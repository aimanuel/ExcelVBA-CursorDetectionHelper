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Adrian Imanuel\Desktop\"/>
    </mc:Choice>
  </mc:AlternateContent>
  <bookViews>
    <workbookView xWindow="0" yWindow="0" windowWidth="21600" windowHeight="10950" tabRatio="687" firstSheet="1" activeTab="1"/>
  </bookViews>
  <sheets>
    <sheet name="Options" sheetId="11" state="hidden" r:id="rId1"/>
    <sheet name="DanaSehat" sheetId="10" r:id="rId2"/>
    <sheet name="PrintDS" sheetId="5" r:id="rId3"/>
    <sheet name="IuranDSSebelumnya" sheetId="12" state="hidden" r:id="rId4"/>
    <sheet name="LaporanDS" sheetId="155" r:id="rId5"/>
    <sheet name="SantoYusuf" sheetId="205" r:id="rId6"/>
    <sheet name="PrintSY" sheetId="206" r:id="rId7"/>
    <sheet name="IuranSYSebelumnya" sheetId="207" state="hidden" r:id="rId8"/>
    <sheet name="LaporanSY" sheetId="208" r:id="rId9"/>
    <sheet name="KartuKuning" sheetId="209" r:id="rId10"/>
    <sheet name="Aktivitas Lingkungan" sheetId="7" r:id="rId11"/>
    <sheet name="RubahDataKK" sheetId="210" r:id="rId12"/>
    <sheet name="Sheet1" sheetId="211" state="veryHidden" r:id="rId13"/>
    <sheet name="Sheet2" sheetId="212" state="veryHidden" r:id="rId14"/>
    <sheet name="Sheet3" sheetId="213" state="veryHidden" r:id="rId15"/>
    <sheet name="Sheet4" sheetId="214" state="veryHidden" r:id="rId16"/>
    <sheet name="Sheet5" sheetId="215" state="veryHidden" r:id="rId17"/>
    <sheet name="Sheet6" sheetId="216" state="veryHidden" r:id="rId18"/>
    <sheet name="Sheet7" sheetId="217" state="veryHidden" r:id="rId19"/>
    <sheet name="Sheet8" sheetId="218" state="veryHidden" r:id="rId20"/>
    <sheet name="Sheet9" sheetId="219" state="veryHidden" r:id="rId21"/>
    <sheet name="Sheet10" sheetId="220" state="veryHidden" r:id="rId22"/>
    <sheet name="Sheet11" sheetId="221" state="veryHidden" r:id="rId23"/>
    <sheet name="Sheet12" sheetId="222" state="veryHidden" r:id="rId24"/>
    <sheet name="Sheet13" sheetId="223" state="veryHidden" r:id="rId25"/>
    <sheet name="Sheet14" sheetId="224" state="veryHidden" r:id="rId26"/>
    <sheet name="Sheet15" sheetId="225" state="veryHidden" r:id="rId27"/>
    <sheet name="Sheet16" sheetId="226" state="veryHidden" r:id="rId28"/>
    <sheet name="Sheet17" sheetId="227" state="veryHidden" r:id="rId29"/>
    <sheet name="Sheet18" sheetId="228" state="veryHidden" r:id="rId30"/>
    <sheet name="Sheet19" sheetId="229" state="veryHidden" r:id="rId31"/>
    <sheet name="Sheet20" sheetId="230" state="veryHidden" r:id="rId32"/>
    <sheet name="Sheet21" sheetId="231" state="veryHidden" r:id="rId33"/>
    <sheet name="Sheet22" sheetId="232" state="veryHidden" r:id="rId34"/>
    <sheet name="Sheet23" sheetId="233" state="veryHidden" r:id="rId35"/>
    <sheet name="Sheet24" sheetId="234" state="veryHidden" r:id="rId36"/>
    <sheet name="Sheet25" sheetId="235" state="veryHidden" r:id="rId37"/>
    <sheet name="Sheet26" sheetId="236" state="veryHidden" r:id="rId38"/>
    <sheet name="Sheet27" sheetId="237" state="veryHidden" r:id="rId39"/>
    <sheet name="Sheet28" sheetId="238" state="veryHidden" r:id="rId40"/>
    <sheet name="Sheet29" sheetId="239" state="veryHidden" r:id="rId41"/>
    <sheet name="Sheet30" sheetId="240" state="veryHidden" r:id="rId42"/>
    <sheet name="Sheet31" sheetId="241" state="veryHidden" r:id="rId43"/>
    <sheet name="Sheet32" sheetId="242" state="veryHidden" r:id="rId44"/>
    <sheet name="Sheet33" sheetId="243" state="veryHidden" r:id="rId45"/>
  </sheets>
  <definedNames>
    <definedName name="_xlcn.WorksheetConnection_IuranDSSebelumnyaI19N21" hidden="1">IuranDSSebelumnya!$I$329:$N$772</definedName>
    <definedName name="_xlcn.WorksheetConnection_IuranSYSebelumnyaI19N21" hidden="1">IuranSYSebelumnya!$I$329:$N$772</definedName>
    <definedName name="BarisAwalIuran" localSheetId="1">DanaSehat!$D$11</definedName>
    <definedName name="BarisAwalIuran" localSheetId="5">SantoYusuf!$D$11</definedName>
    <definedName name="JumlahBarisIuran" localSheetId="1">DanaSehat!$H$11</definedName>
    <definedName name="JumlahBarisIuran" localSheetId="5">SantoYusuf!$H$11</definedName>
    <definedName name="JumlahKolomIuran" localSheetId="1">DanaSehat!$G$11</definedName>
    <definedName name="JumlahKolomIuran" localSheetId="5">SantoYusuf!$G$11</definedName>
    <definedName name="KolomAwalIuran" localSheetId="1">DanaSehat!$E$11</definedName>
    <definedName name="KolomAwalIuran" localSheetId="5">SantoYusuf!$E$11</definedName>
    <definedName name="NamaLingkungan" localSheetId="1">DanaSehat!$L$5</definedName>
    <definedName name="NamaLingkungan" localSheetId="5">SantoYusuf!$L$5</definedName>
    <definedName name="NamaLingkungan">Options!$F$8</definedName>
    <definedName name="_xlnm.Print_Area" localSheetId="10">'Aktivitas Lingkungan'!$D$3:$H$35</definedName>
    <definedName name="_xlnm.Print_Area" localSheetId="11">RubahDataKK!$K$2:$O$20</definedName>
    <definedName name="_xlnm.Print_Titles" localSheetId="2">PrintDS!$E:$H,PrintDS!$11:$12</definedName>
    <definedName name="_xlnm.Print_Titles" localSheetId="6">PrintSY!$E:$H,PrintSY!$11:$12</definedName>
    <definedName name="Slicer_Posting_Date">#N/A</definedName>
    <definedName name="Slicer_Posting_Date1">#N/A</definedName>
    <definedName name="TotalDS">DanaSehat!$AL$12</definedName>
    <definedName name="TotalSY">SantoYusuf!$AL$12</definedName>
  </definedNames>
  <calcPr calcId="162913"/>
  <pivotCaches>
    <pivotCache cacheId="5" r:id="rId46"/>
    <pivotCache cacheId="6" r:id="rId47"/>
  </pivotCaches>
  <extLst>
    <ext xmlns:x14="http://schemas.microsoft.com/office/spreadsheetml/2009/9/main" uri="{BBE1A952-AA13-448e-AADC-164F8A28A991}">
      <x14:slicerCaches>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25b34c95-c840-45ab-8906-7b48a28086e1" name="Range" connection="WorksheetConnection_IuranDSSebelumnya!$I$19:$N$21"/>
          <x15:modelTable id="Range1-ceec2cdd-700c-4a2c-8442-290bfff1122e" name="Range1" connection="WorksheetConnection_IuranSYSebelumnya!$I$19:$N$21"/>
        </x15:modelTables>
      </x15:dataModel>
    </ext>
  </extLst>
</workbook>
</file>

<file path=xl/calcChain.xml><?xml version="1.0" encoding="utf-8"?>
<calcChain xmlns="http://schemas.openxmlformats.org/spreadsheetml/2006/main">
  <c r="L330" i="207" l="1"/>
  <c r="L331" i="207"/>
  <c r="L332" i="207"/>
  <c r="L333" i="207"/>
  <c r="L334" i="207"/>
  <c r="L335" i="207"/>
  <c r="L336" i="207"/>
  <c r="L337" i="207"/>
  <c r="L338" i="207"/>
  <c r="L339" i="207"/>
  <c r="L340" i="207"/>
  <c r="L341" i="207"/>
  <c r="L342" i="207"/>
  <c r="L343" i="207"/>
  <c r="L344" i="207"/>
  <c r="L345" i="207"/>
  <c r="L346" i="207"/>
  <c r="L347" i="207"/>
  <c r="L348" i="207"/>
  <c r="L349" i="207"/>
  <c r="L350" i="207"/>
  <c r="L351" i="207"/>
  <c r="L352" i="207"/>
  <c r="L353" i="207"/>
  <c r="L354" i="207"/>
  <c r="L355" i="207"/>
  <c r="L356" i="207"/>
  <c r="L357" i="207"/>
  <c r="L358" i="207"/>
  <c r="L359" i="207"/>
  <c r="L360" i="207"/>
  <c r="L361" i="207"/>
  <c r="L362" i="207"/>
  <c r="L363" i="207"/>
  <c r="L364" i="207"/>
  <c r="L365" i="207"/>
  <c r="L366" i="207"/>
  <c r="L367" i="207"/>
  <c r="L368" i="207"/>
  <c r="L369" i="207"/>
  <c r="L370" i="207"/>
  <c r="L371" i="207"/>
  <c r="L372" i="207"/>
  <c r="L373" i="207"/>
  <c r="L374" i="207"/>
  <c r="L375" i="207"/>
  <c r="L376" i="207"/>
  <c r="L377" i="207"/>
  <c r="L378" i="207"/>
  <c r="L379" i="207"/>
  <c r="L380" i="207"/>
  <c r="L381" i="207"/>
  <c r="L382" i="207"/>
  <c r="L383" i="207"/>
  <c r="L384" i="207"/>
  <c r="L385" i="207"/>
  <c r="L386" i="207"/>
  <c r="L387" i="207"/>
  <c r="L388" i="207"/>
  <c r="L389" i="207"/>
  <c r="L390" i="207"/>
  <c r="L391" i="207"/>
  <c r="L392" i="207"/>
  <c r="L393" i="207"/>
  <c r="L394" i="207"/>
  <c r="L395" i="207"/>
  <c r="L396" i="207"/>
  <c r="L397" i="207"/>
  <c r="L398" i="207"/>
  <c r="L399" i="207"/>
  <c r="L400" i="207"/>
  <c r="L401" i="207"/>
  <c r="L402" i="207"/>
  <c r="L403" i="207"/>
  <c r="L404" i="207"/>
  <c r="L405" i="207"/>
  <c r="L406" i="207"/>
  <c r="L407" i="207"/>
  <c r="L408" i="207"/>
  <c r="L409" i="207"/>
  <c r="L410" i="207"/>
  <c r="L411" i="207"/>
  <c r="L412" i="207"/>
  <c r="L413" i="207"/>
  <c r="L414" i="207"/>
  <c r="L415" i="207"/>
  <c r="L416" i="207"/>
  <c r="L417" i="207"/>
  <c r="L418" i="207"/>
  <c r="L419" i="207"/>
  <c r="L420" i="207"/>
  <c r="L421" i="207"/>
  <c r="L422" i="207"/>
  <c r="L423" i="207"/>
  <c r="L424" i="207"/>
  <c r="L425" i="207"/>
  <c r="L426" i="207"/>
  <c r="L427" i="207"/>
  <c r="L428" i="207"/>
  <c r="L429" i="207"/>
  <c r="L430" i="207"/>
  <c r="L431" i="207"/>
  <c r="L432" i="207"/>
  <c r="L433" i="207"/>
  <c r="L434" i="207"/>
  <c r="L435" i="207"/>
  <c r="L436" i="207"/>
  <c r="L437" i="207"/>
  <c r="L438" i="207"/>
  <c r="L439" i="207"/>
  <c r="L440" i="207"/>
  <c r="L441" i="207"/>
  <c r="L442" i="207"/>
  <c r="L443" i="207"/>
  <c r="L444" i="207"/>
  <c r="L445" i="207"/>
  <c r="L446" i="207"/>
  <c r="L447" i="207"/>
  <c r="L448" i="207"/>
  <c r="L449" i="207"/>
  <c r="L450" i="207"/>
  <c r="L451" i="207"/>
  <c r="L452" i="207"/>
  <c r="L453" i="207"/>
  <c r="L454" i="207"/>
  <c r="L455" i="207"/>
  <c r="L456" i="207"/>
  <c r="L457" i="207"/>
  <c r="L458" i="207"/>
  <c r="L459" i="207"/>
  <c r="L460" i="207"/>
  <c r="L461" i="207"/>
  <c r="L462" i="207"/>
  <c r="L463" i="207"/>
  <c r="L464" i="207"/>
  <c r="L465" i="207"/>
  <c r="L466" i="207"/>
  <c r="L467" i="207"/>
  <c r="L468" i="207"/>
  <c r="L469" i="207"/>
  <c r="L470" i="207"/>
  <c r="L471" i="207"/>
  <c r="L472" i="207"/>
  <c r="L473" i="207"/>
  <c r="L474" i="207"/>
  <c r="L475" i="207"/>
  <c r="L476" i="207"/>
  <c r="L477" i="207"/>
  <c r="L478" i="207"/>
  <c r="L479" i="207"/>
  <c r="L480" i="207"/>
  <c r="L481" i="207"/>
  <c r="L482" i="207"/>
  <c r="L483" i="207"/>
  <c r="L484" i="207"/>
  <c r="L485" i="207"/>
  <c r="L486" i="207"/>
  <c r="L487" i="207"/>
  <c r="L488" i="207"/>
  <c r="L489" i="207"/>
  <c r="L490" i="207"/>
  <c r="L491" i="207"/>
  <c r="L492" i="207"/>
  <c r="L493" i="207"/>
  <c r="L494" i="207"/>
  <c r="L495" i="207"/>
  <c r="L496" i="207"/>
  <c r="L497" i="207"/>
  <c r="L498" i="207"/>
  <c r="L499" i="207"/>
  <c r="L500" i="207"/>
  <c r="L501" i="207"/>
  <c r="L502" i="207"/>
  <c r="L503" i="207"/>
  <c r="L504" i="207"/>
  <c r="L505" i="207"/>
  <c r="L506" i="207"/>
  <c r="L507" i="207"/>
  <c r="L508" i="207"/>
  <c r="L509" i="207"/>
  <c r="L510" i="207"/>
  <c r="L511" i="207"/>
  <c r="L512" i="207"/>
  <c r="L513" i="207"/>
  <c r="L514" i="207"/>
  <c r="L515" i="207"/>
  <c r="L516" i="207"/>
  <c r="L517" i="207"/>
  <c r="L518" i="207"/>
  <c r="L519" i="207"/>
  <c r="L520" i="207"/>
  <c r="L521" i="207"/>
  <c r="L522" i="207"/>
  <c r="L523" i="207"/>
  <c r="L524" i="207"/>
  <c r="L525" i="207"/>
  <c r="L526" i="207"/>
  <c r="L527" i="207"/>
  <c r="L528" i="207"/>
  <c r="L529" i="207"/>
  <c r="L530" i="207"/>
  <c r="L531" i="207"/>
  <c r="L532" i="207"/>
  <c r="L533" i="207"/>
  <c r="L534" i="207"/>
  <c r="L535" i="207"/>
  <c r="L536" i="207"/>
  <c r="L537" i="207"/>
  <c r="L538" i="207"/>
  <c r="L539" i="207"/>
  <c r="L540" i="207"/>
  <c r="L541" i="207"/>
  <c r="L542" i="207"/>
  <c r="L543" i="207"/>
  <c r="L544" i="207"/>
  <c r="L545" i="207"/>
  <c r="L546" i="207"/>
  <c r="L547" i="207"/>
  <c r="L548" i="207"/>
  <c r="L549" i="207"/>
  <c r="L550" i="207"/>
  <c r="L551" i="207"/>
  <c r="L552" i="207"/>
  <c r="L553" i="207"/>
  <c r="L554" i="207"/>
  <c r="L555" i="207"/>
  <c r="L556" i="207"/>
  <c r="L557" i="207"/>
  <c r="L558" i="207"/>
  <c r="L559" i="207"/>
  <c r="L560" i="207"/>
  <c r="L561" i="207"/>
  <c r="L562" i="207"/>
  <c r="L563" i="207"/>
  <c r="L564" i="207"/>
  <c r="L565" i="207"/>
  <c r="L566" i="207"/>
  <c r="L567" i="207"/>
  <c r="L568" i="207"/>
  <c r="L569" i="207"/>
  <c r="L570" i="207"/>
  <c r="L571" i="207"/>
  <c r="L572" i="207"/>
  <c r="L573" i="207"/>
  <c r="L574" i="207"/>
  <c r="L575" i="207"/>
  <c r="L576" i="207"/>
  <c r="L577" i="207"/>
  <c r="L578" i="207"/>
  <c r="L579" i="207"/>
  <c r="L580" i="207"/>
  <c r="L581" i="207"/>
  <c r="L582" i="207"/>
  <c r="L583" i="207"/>
  <c r="L584" i="207"/>
  <c r="L585" i="207"/>
  <c r="L586" i="207"/>
  <c r="L587" i="207"/>
  <c r="L588" i="207"/>
  <c r="L589" i="207"/>
  <c r="L590" i="207"/>
  <c r="L591" i="207"/>
  <c r="L592" i="207"/>
  <c r="L593" i="207"/>
  <c r="L594" i="207"/>
  <c r="L595" i="207"/>
  <c r="L596" i="207"/>
  <c r="L597" i="207"/>
  <c r="L598" i="207"/>
  <c r="L599" i="207"/>
  <c r="L600" i="207"/>
  <c r="L601" i="207"/>
  <c r="L602" i="207"/>
  <c r="L603" i="207"/>
  <c r="L604" i="207"/>
  <c r="L605" i="207"/>
  <c r="L606" i="207"/>
  <c r="L607" i="207"/>
  <c r="L608" i="207"/>
  <c r="L609" i="207"/>
  <c r="L610" i="207"/>
  <c r="L611" i="207"/>
  <c r="L612" i="207"/>
  <c r="L613" i="207"/>
  <c r="L614" i="207"/>
  <c r="L615" i="207"/>
  <c r="L616" i="207"/>
  <c r="L617" i="207"/>
  <c r="L618" i="207"/>
  <c r="L619" i="207"/>
  <c r="L620" i="207"/>
  <c r="L621" i="207"/>
  <c r="L622" i="207"/>
  <c r="L623" i="207"/>
  <c r="L624" i="207"/>
  <c r="L625" i="207"/>
  <c r="L626" i="207"/>
  <c r="L627" i="207"/>
  <c r="L628" i="207"/>
  <c r="L629" i="207"/>
  <c r="L630" i="207"/>
  <c r="L631" i="207"/>
  <c r="L632" i="207"/>
  <c r="L633" i="207"/>
  <c r="L634" i="207"/>
  <c r="L635" i="207"/>
  <c r="L636" i="207"/>
  <c r="L637" i="207"/>
  <c r="L638" i="207"/>
  <c r="L639" i="207"/>
  <c r="L640" i="207"/>
  <c r="L641" i="207"/>
  <c r="L642" i="207"/>
  <c r="L643" i="207"/>
  <c r="L644" i="207"/>
  <c r="L645" i="207"/>
  <c r="L646" i="207"/>
  <c r="L647" i="207"/>
  <c r="L648" i="207"/>
  <c r="L649" i="207"/>
  <c r="L650" i="207"/>
  <c r="L651" i="207"/>
  <c r="L652" i="207"/>
  <c r="L653" i="207"/>
  <c r="L654" i="207"/>
  <c r="L655" i="207"/>
  <c r="L656" i="207"/>
  <c r="L657" i="207"/>
  <c r="L658" i="207"/>
  <c r="L659" i="207"/>
  <c r="L660" i="207"/>
  <c r="L661" i="207"/>
  <c r="L662" i="207"/>
  <c r="L663" i="207"/>
  <c r="L664" i="207"/>
  <c r="L665" i="207"/>
  <c r="L666" i="207"/>
  <c r="L667" i="207"/>
  <c r="L668" i="207"/>
  <c r="L669" i="207"/>
  <c r="L670" i="207"/>
  <c r="L671" i="207"/>
  <c r="L672" i="207"/>
  <c r="L673" i="207"/>
  <c r="L674" i="207"/>
  <c r="L675" i="207"/>
  <c r="L676" i="207"/>
  <c r="L677" i="207"/>
  <c r="L678" i="207"/>
  <c r="L679" i="207"/>
  <c r="L680" i="207"/>
  <c r="L681" i="207"/>
  <c r="L682" i="207"/>
  <c r="L683" i="207"/>
  <c r="L684" i="207"/>
  <c r="L685" i="207"/>
  <c r="L686" i="207"/>
  <c r="L687" i="207"/>
  <c r="L688" i="207"/>
  <c r="L689" i="207"/>
  <c r="L690" i="207"/>
  <c r="L691" i="207"/>
  <c r="L692" i="207"/>
  <c r="L693" i="207"/>
  <c r="L694" i="207"/>
  <c r="L695" i="207"/>
  <c r="L696" i="207"/>
  <c r="L697" i="207"/>
  <c r="L698" i="207"/>
  <c r="L699" i="207"/>
  <c r="L700" i="207"/>
  <c r="L701" i="207"/>
  <c r="L702" i="207"/>
  <c r="L703" i="207"/>
  <c r="L704" i="207"/>
  <c r="L705" i="207"/>
  <c r="L706" i="207"/>
  <c r="L707" i="207"/>
  <c r="L708" i="207"/>
  <c r="L709" i="207"/>
  <c r="L710" i="207"/>
  <c r="L711" i="207"/>
  <c r="L712" i="207"/>
  <c r="L713" i="207"/>
  <c r="L714" i="207"/>
  <c r="L715" i="207"/>
  <c r="L716" i="207"/>
  <c r="L717" i="207"/>
  <c r="L718" i="207"/>
  <c r="L719" i="207"/>
  <c r="L720" i="207"/>
  <c r="L721" i="207"/>
  <c r="L722" i="207"/>
  <c r="L723" i="207"/>
  <c r="L724" i="207"/>
  <c r="L725" i="207"/>
  <c r="L726" i="207"/>
  <c r="L727" i="207"/>
  <c r="L728" i="207"/>
  <c r="L729" i="207"/>
  <c r="L730" i="207"/>
  <c r="L731" i="207"/>
  <c r="L732" i="207"/>
  <c r="L733" i="207"/>
  <c r="L734" i="207"/>
  <c r="L735" i="207"/>
  <c r="L736" i="207"/>
  <c r="L737" i="207"/>
  <c r="L738" i="207"/>
  <c r="L739" i="207"/>
  <c r="L740" i="207"/>
  <c r="L741" i="207"/>
  <c r="L742" i="207"/>
  <c r="L743" i="207"/>
  <c r="L744" i="207"/>
  <c r="L745" i="207"/>
  <c r="L746" i="207"/>
  <c r="L747" i="207"/>
  <c r="L748" i="207"/>
  <c r="L749" i="207"/>
  <c r="L750" i="207"/>
  <c r="L751" i="207"/>
  <c r="L752" i="207"/>
  <c r="L753" i="207"/>
  <c r="L754" i="207"/>
  <c r="L755" i="207"/>
  <c r="L756" i="207"/>
  <c r="L757" i="207"/>
  <c r="L758" i="207"/>
  <c r="L759" i="207"/>
  <c r="L760" i="207"/>
  <c r="L761" i="207"/>
  <c r="L762" i="207"/>
  <c r="L763" i="207"/>
  <c r="L764" i="207"/>
  <c r="L765" i="207"/>
  <c r="L766" i="207"/>
  <c r="L767" i="207"/>
  <c r="L768" i="207"/>
  <c r="L769" i="207"/>
  <c r="L770" i="207"/>
  <c r="L771" i="207"/>
  <c r="K330" i="207"/>
  <c r="K331" i="207"/>
  <c r="K332" i="207"/>
  <c r="K333" i="207"/>
  <c r="K334" i="207"/>
  <c r="K335" i="207"/>
  <c r="K336" i="207"/>
  <c r="K337" i="207"/>
  <c r="K338" i="207"/>
  <c r="K339" i="207"/>
  <c r="K340" i="207"/>
  <c r="K341" i="207"/>
  <c r="K342" i="207"/>
  <c r="K343" i="207"/>
  <c r="K344" i="207"/>
  <c r="K345" i="207"/>
  <c r="K346" i="207"/>
  <c r="K347" i="207"/>
  <c r="K348" i="207"/>
  <c r="K349" i="207"/>
  <c r="K350" i="207"/>
  <c r="K351" i="207"/>
  <c r="K352" i="207"/>
  <c r="K353" i="207"/>
  <c r="K354" i="207"/>
  <c r="K355" i="207"/>
  <c r="K356" i="207"/>
  <c r="K357" i="207"/>
  <c r="K358" i="207"/>
  <c r="K359" i="207"/>
  <c r="K360" i="207"/>
  <c r="K361" i="207"/>
  <c r="K362" i="207"/>
  <c r="K363" i="207"/>
  <c r="K364" i="207"/>
  <c r="K365" i="207"/>
  <c r="K366" i="207"/>
  <c r="K367" i="207"/>
  <c r="K368" i="207"/>
  <c r="K369" i="207"/>
  <c r="K370" i="207"/>
  <c r="K371" i="207"/>
  <c r="K372" i="207"/>
  <c r="K373" i="207"/>
  <c r="K374" i="207"/>
  <c r="K375" i="207"/>
  <c r="K376" i="207"/>
  <c r="K377" i="207"/>
  <c r="K378" i="207"/>
  <c r="K379" i="207"/>
  <c r="K380" i="207"/>
  <c r="K381" i="207"/>
  <c r="K382" i="207"/>
  <c r="K383" i="207"/>
  <c r="K384" i="207"/>
  <c r="K385" i="207"/>
  <c r="K386" i="207"/>
  <c r="K387" i="207"/>
  <c r="K388" i="207"/>
  <c r="K389" i="207"/>
  <c r="K390" i="207"/>
  <c r="K391" i="207"/>
  <c r="K392" i="207"/>
  <c r="K393" i="207"/>
  <c r="K394" i="207"/>
  <c r="K395" i="207"/>
  <c r="K396" i="207"/>
  <c r="K397" i="207"/>
  <c r="K398" i="207"/>
  <c r="K399" i="207"/>
  <c r="K400" i="207"/>
  <c r="K401" i="207"/>
  <c r="K402" i="207"/>
  <c r="K403" i="207"/>
  <c r="K404" i="207"/>
  <c r="K405" i="207"/>
  <c r="K406" i="207"/>
  <c r="K407" i="207"/>
  <c r="K408" i="207"/>
  <c r="K409" i="207"/>
  <c r="K410" i="207"/>
  <c r="K411" i="207"/>
  <c r="K412" i="207"/>
  <c r="K413" i="207"/>
  <c r="K414" i="207"/>
  <c r="K415" i="207"/>
  <c r="K416" i="207"/>
  <c r="K417" i="207"/>
  <c r="K418" i="207"/>
  <c r="K419" i="207"/>
  <c r="K420" i="207"/>
  <c r="K421" i="207"/>
  <c r="K422" i="207"/>
  <c r="K423" i="207"/>
  <c r="K424" i="207"/>
  <c r="K425" i="207"/>
  <c r="K426" i="207"/>
  <c r="K427" i="207"/>
  <c r="K428" i="207"/>
  <c r="K429" i="207"/>
  <c r="K430" i="207"/>
  <c r="K431" i="207"/>
  <c r="K432" i="207"/>
  <c r="K433" i="207"/>
  <c r="K434" i="207"/>
  <c r="K435" i="207"/>
  <c r="K436" i="207"/>
  <c r="K437" i="207"/>
  <c r="K438" i="207"/>
  <c r="K439" i="207"/>
  <c r="K440" i="207"/>
  <c r="K441" i="207"/>
  <c r="K442" i="207"/>
  <c r="K443" i="207"/>
  <c r="K444" i="207"/>
  <c r="K445" i="207"/>
  <c r="K446" i="207"/>
  <c r="K447" i="207"/>
  <c r="K448" i="207"/>
  <c r="K449" i="207"/>
  <c r="K450" i="207"/>
  <c r="K451" i="207"/>
  <c r="K452" i="207"/>
  <c r="K453" i="207"/>
  <c r="K454" i="207"/>
  <c r="K455" i="207"/>
  <c r="K456" i="207"/>
  <c r="K457" i="207"/>
  <c r="K458" i="207"/>
  <c r="K459" i="207"/>
  <c r="K460" i="207"/>
  <c r="K461" i="207"/>
  <c r="K462" i="207"/>
  <c r="K463" i="207"/>
  <c r="K464" i="207"/>
  <c r="K465" i="207"/>
  <c r="K466" i="207"/>
  <c r="K467" i="207"/>
  <c r="K468" i="207"/>
  <c r="K469" i="207"/>
  <c r="K470" i="207"/>
  <c r="K471" i="207"/>
  <c r="K472" i="207"/>
  <c r="K473" i="207"/>
  <c r="K474" i="207"/>
  <c r="K475" i="207"/>
  <c r="K476" i="207"/>
  <c r="K477" i="207"/>
  <c r="K478" i="207"/>
  <c r="K479" i="207"/>
  <c r="K480" i="207"/>
  <c r="K481" i="207"/>
  <c r="K482" i="207"/>
  <c r="K483" i="207"/>
  <c r="K484" i="207"/>
  <c r="K485" i="207"/>
  <c r="K486" i="207"/>
  <c r="K487" i="207"/>
  <c r="K488" i="207"/>
  <c r="K489" i="207"/>
  <c r="K490" i="207"/>
  <c r="K491" i="207"/>
  <c r="K492" i="207"/>
  <c r="K493" i="207"/>
  <c r="K494" i="207"/>
  <c r="K495" i="207"/>
  <c r="K496" i="207"/>
  <c r="K497" i="207"/>
  <c r="K498" i="207"/>
  <c r="K499" i="207"/>
  <c r="K500" i="207"/>
  <c r="K501" i="207"/>
  <c r="K502" i="207"/>
  <c r="K503" i="207"/>
  <c r="K504" i="207"/>
  <c r="K505" i="207"/>
  <c r="K506" i="207"/>
  <c r="K507" i="207"/>
  <c r="K508" i="207"/>
  <c r="K509" i="207"/>
  <c r="K510" i="207"/>
  <c r="K511" i="207"/>
  <c r="K512" i="207"/>
  <c r="K513" i="207"/>
  <c r="K514" i="207"/>
  <c r="K515" i="207"/>
  <c r="K516" i="207"/>
  <c r="K517" i="207"/>
  <c r="K518" i="207"/>
  <c r="K519" i="207"/>
  <c r="K520" i="207"/>
  <c r="K521" i="207"/>
  <c r="K522" i="207"/>
  <c r="K523" i="207"/>
  <c r="K524" i="207"/>
  <c r="K525" i="207"/>
  <c r="K526" i="207"/>
  <c r="K527" i="207"/>
  <c r="K528" i="207"/>
  <c r="K529" i="207"/>
  <c r="K530" i="207"/>
  <c r="K531" i="207"/>
  <c r="K532" i="207"/>
  <c r="K533" i="207"/>
  <c r="K534" i="207"/>
  <c r="K535" i="207"/>
  <c r="K536" i="207"/>
  <c r="K537" i="207"/>
  <c r="K538" i="207"/>
  <c r="K539" i="207"/>
  <c r="K540" i="207"/>
  <c r="K541" i="207"/>
  <c r="K542" i="207"/>
  <c r="K543" i="207"/>
  <c r="K544" i="207"/>
  <c r="K545" i="207"/>
  <c r="K546" i="207"/>
  <c r="K547" i="207"/>
  <c r="K548" i="207"/>
  <c r="K549" i="207"/>
  <c r="K550" i="207"/>
  <c r="K551" i="207"/>
  <c r="K552" i="207"/>
  <c r="K553" i="207"/>
  <c r="K554" i="207"/>
  <c r="K555" i="207"/>
  <c r="K556" i="207"/>
  <c r="K557" i="207"/>
  <c r="K558" i="207"/>
  <c r="K559" i="207"/>
  <c r="K560" i="207"/>
  <c r="K561" i="207"/>
  <c r="K562" i="207"/>
  <c r="K563" i="207"/>
  <c r="K564" i="207"/>
  <c r="K565" i="207"/>
  <c r="K566" i="207"/>
  <c r="K567" i="207"/>
  <c r="K568" i="207"/>
  <c r="K569" i="207"/>
  <c r="K570" i="207"/>
  <c r="K571" i="207"/>
  <c r="K572" i="207"/>
  <c r="K573" i="207"/>
  <c r="K574" i="207"/>
  <c r="K575" i="207"/>
  <c r="K576" i="207"/>
  <c r="K577" i="207"/>
  <c r="K578" i="207"/>
  <c r="K579" i="207"/>
  <c r="K580" i="207"/>
  <c r="K581" i="207"/>
  <c r="K582" i="207"/>
  <c r="K583" i="207"/>
  <c r="K584" i="207"/>
  <c r="K585" i="207"/>
  <c r="K586" i="207"/>
  <c r="K587" i="207"/>
  <c r="K588" i="207"/>
  <c r="K589" i="207"/>
  <c r="K590" i="207"/>
  <c r="K591" i="207"/>
  <c r="K592" i="207"/>
  <c r="K593" i="207"/>
  <c r="K594" i="207"/>
  <c r="K595" i="207"/>
  <c r="K596" i="207"/>
  <c r="K597" i="207"/>
  <c r="K598" i="207"/>
  <c r="K599" i="207"/>
  <c r="K600" i="207"/>
  <c r="K601" i="207"/>
  <c r="K602" i="207"/>
  <c r="K603" i="207"/>
  <c r="K604" i="207"/>
  <c r="K605" i="207"/>
  <c r="K606" i="207"/>
  <c r="K607" i="207"/>
  <c r="K608" i="207"/>
  <c r="K609" i="207"/>
  <c r="K610" i="207"/>
  <c r="K611" i="207"/>
  <c r="K612" i="207"/>
  <c r="K613" i="207"/>
  <c r="K614" i="207"/>
  <c r="K615" i="207"/>
  <c r="K616" i="207"/>
  <c r="K617" i="207"/>
  <c r="K618" i="207"/>
  <c r="K619" i="207"/>
  <c r="K620" i="207"/>
  <c r="K621" i="207"/>
  <c r="K622" i="207"/>
  <c r="K623" i="207"/>
  <c r="K624" i="207"/>
  <c r="K625" i="207"/>
  <c r="K626" i="207"/>
  <c r="K627" i="207"/>
  <c r="K628" i="207"/>
  <c r="K629" i="207"/>
  <c r="K630" i="207"/>
  <c r="K631" i="207"/>
  <c r="K632" i="207"/>
  <c r="K633" i="207"/>
  <c r="K634" i="207"/>
  <c r="K635" i="207"/>
  <c r="K636" i="207"/>
  <c r="K637" i="207"/>
  <c r="K638" i="207"/>
  <c r="K639" i="207"/>
  <c r="K640" i="207"/>
  <c r="K641" i="207"/>
  <c r="K642" i="207"/>
  <c r="K643" i="207"/>
  <c r="K644" i="207"/>
  <c r="K645" i="207"/>
  <c r="K646" i="207"/>
  <c r="K647" i="207"/>
  <c r="K648" i="207"/>
  <c r="K649" i="207"/>
  <c r="K650" i="207"/>
  <c r="K651" i="207"/>
  <c r="K652" i="207"/>
  <c r="K653" i="207"/>
  <c r="K654" i="207"/>
  <c r="K655" i="207"/>
  <c r="K656" i="207"/>
  <c r="K657" i="207"/>
  <c r="K658" i="207"/>
  <c r="K659" i="207"/>
  <c r="K660" i="207"/>
  <c r="K661" i="207"/>
  <c r="K662" i="207"/>
  <c r="K663" i="207"/>
  <c r="K664" i="207"/>
  <c r="K665" i="207"/>
  <c r="K666" i="207"/>
  <c r="K667" i="207"/>
  <c r="K668" i="207"/>
  <c r="K669" i="207"/>
  <c r="K670" i="207"/>
  <c r="K671" i="207"/>
  <c r="K672" i="207"/>
  <c r="K673" i="207"/>
  <c r="K674" i="207"/>
  <c r="K675" i="207"/>
  <c r="K676" i="207"/>
  <c r="K677" i="207"/>
  <c r="K678" i="207"/>
  <c r="K679" i="207"/>
  <c r="K680" i="207"/>
  <c r="K681" i="207"/>
  <c r="K682" i="207"/>
  <c r="K683" i="207"/>
  <c r="K684" i="207"/>
  <c r="K685" i="207"/>
  <c r="K686" i="207"/>
  <c r="K687" i="207"/>
  <c r="K688" i="207"/>
  <c r="K689" i="207"/>
  <c r="K690" i="207"/>
  <c r="K691" i="207"/>
  <c r="K692" i="207"/>
  <c r="K693" i="207"/>
  <c r="K694" i="207"/>
  <c r="K695" i="207"/>
  <c r="K696" i="207"/>
  <c r="K697" i="207"/>
  <c r="K698" i="207"/>
  <c r="K699" i="207"/>
  <c r="K700" i="207"/>
  <c r="K701" i="207"/>
  <c r="K702" i="207"/>
  <c r="K703" i="207"/>
  <c r="K704" i="207"/>
  <c r="K705" i="207"/>
  <c r="K706" i="207"/>
  <c r="K707" i="207"/>
  <c r="K708" i="207"/>
  <c r="K709" i="207"/>
  <c r="K710" i="207"/>
  <c r="K711" i="207"/>
  <c r="K712" i="207"/>
  <c r="K713" i="207"/>
  <c r="K714" i="207"/>
  <c r="K715" i="207"/>
  <c r="K716" i="207"/>
  <c r="K717" i="207"/>
  <c r="K718" i="207"/>
  <c r="K719" i="207"/>
  <c r="K720" i="207"/>
  <c r="K721" i="207"/>
  <c r="K722" i="207"/>
  <c r="K723" i="207"/>
  <c r="K724" i="207"/>
  <c r="K725" i="207"/>
  <c r="K726" i="207"/>
  <c r="K727" i="207"/>
  <c r="K728" i="207"/>
  <c r="K729" i="207"/>
  <c r="K730" i="207"/>
  <c r="K731" i="207"/>
  <c r="K732" i="207"/>
  <c r="K733" i="207"/>
  <c r="K734" i="207"/>
  <c r="K735" i="207"/>
  <c r="K736" i="207"/>
  <c r="K737" i="207"/>
  <c r="K738" i="207"/>
  <c r="K739" i="207"/>
  <c r="K740" i="207"/>
  <c r="K741" i="207"/>
  <c r="K742" i="207"/>
  <c r="K743" i="207"/>
  <c r="K744" i="207"/>
  <c r="K745" i="207"/>
  <c r="K746" i="207"/>
  <c r="K747" i="207"/>
  <c r="K748" i="207"/>
  <c r="K749" i="207"/>
  <c r="K750" i="207"/>
  <c r="K751" i="207"/>
  <c r="K752" i="207"/>
  <c r="K753" i="207"/>
  <c r="K754" i="207"/>
  <c r="K755" i="207"/>
  <c r="K756" i="207"/>
  <c r="K757" i="207"/>
  <c r="K758" i="207"/>
  <c r="K759" i="207"/>
  <c r="K760" i="207"/>
  <c r="K761" i="207"/>
  <c r="K762" i="207"/>
  <c r="K763" i="207"/>
  <c r="K764" i="207"/>
  <c r="K765" i="207"/>
  <c r="K766" i="207"/>
  <c r="K767" i="207"/>
  <c r="K768" i="207"/>
  <c r="K769" i="207"/>
  <c r="K770" i="207"/>
  <c r="K771" i="207"/>
  <c r="J330" i="207"/>
  <c r="J331" i="207"/>
  <c r="J332" i="207"/>
  <c r="J333" i="207"/>
  <c r="I333" i="207" s="1"/>
  <c r="J334" i="207"/>
  <c r="J335" i="207"/>
  <c r="J336" i="207"/>
  <c r="J337" i="207"/>
  <c r="I337" i="207" s="1"/>
  <c r="J338" i="207"/>
  <c r="J339" i="207"/>
  <c r="J340" i="207"/>
  <c r="J341" i="207"/>
  <c r="I341" i="207" s="1"/>
  <c r="J342" i="207"/>
  <c r="J343" i="207"/>
  <c r="J344" i="207"/>
  <c r="J345" i="207"/>
  <c r="I345" i="207" s="1"/>
  <c r="J346" i="207"/>
  <c r="J347" i="207"/>
  <c r="J348" i="207"/>
  <c r="J349" i="207"/>
  <c r="I349" i="207" s="1"/>
  <c r="J350" i="207"/>
  <c r="J351" i="207"/>
  <c r="J352" i="207"/>
  <c r="J353" i="207"/>
  <c r="I353" i="207" s="1"/>
  <c r="J354" i="207"/>
  <c r="J355" i="207"/>
  <c r="J356" i="207"/>
  <c r="J357" i="207"/>
  <c r="I357" i="207" s="1"/>
  <c r="J358" i="207"/>
  <c r="J359" i="207"/>
  <c r="J360" i="207"/>
  <c r="J361" i="207"/>
  <c r="I361" i="207" s="1"/>
  <c r="J362" i="207"/>
  <c r="J363" i="207"/>
  <c r="J364" i="207"/>
  <c r="J365" i="207"/>
  <c r="I365" i="207" s="1"/>
  <c r="J366" i="207"/>
  <c r="J367" i="207"/>
  <c r="J368" i="207"/>
  <c r="J369" i="207"/>
  <c r="I369" i="207" s="1"/>
  <c r="J370" i="207"/>
  <c r="J371" i="207"/>
  <c r="J372" i="207"/>
  <c r="J373" i="207"/>
  <c r="I373" i="207" s="1"/>
  <c r="J374" i="207"/>
  <c r="J375" i="207"/>
  <c r="J376" i="207"/>
  <c r="J377" i="207"/>
  <c r="I377" i="207" s="1"/>
  <c r="J378" i="207"/>
  <c r="J379" i="207"/>
  <c r="J380" i="207"/>
  <c r="J381" i="207"/>
  <c r="I381" i="207" s="1"/>
  <c r="J382" i="207"/>
  <c r="J383" i="207"/>
  <c r="J384" i="207"/>
  <c r="J385" i="207"/>
  <c r="I385" i="207" s="1"/>
  <c r="J386" i="207"/>
  <c r="J387" i="207"/>
  <c r="J388" i="207"/>
  <c r="J389" i="207"/>
  <c r="I389" i="207" s="1"/>
  <c r="J390" i="207"/>
  <c r="J391" i="207"/>
  <c r="J392" i="207"/>
  <c r="J393" i="207"/>
  <c r="I393" i="207" s="1"/>
  <c r="J394" i="207"/>
  <c r="J395" i="207"/>
  <c r="J396" i="207"/>
  <c r="J397" i="207"/>
  <c r="I397" i="207" s="1"/>
  <c r="J398" i="207"/>
  <c r="J399" i="207"/>
  <c r="J400" i="207"/>
  <c r="J401" i="207"/>
  <c r="I401" i="207" s="1"/>
  <c r="J402" i="207"/>
  <c r="J403" i="207"/>
  <c r="J404" i="207"/>
  <c r="J405" i="207"/>
  <c r="I405" i="207" s="1"/>
  <c r="J406" i="207"/>
  <c r="J407" i="207"/>
  <c r="J408" i="207"/>
  <c r="J409" i="207"/>
  <c r="I409" i="207" s="1"/>
  <c r="J410" i="207"/>
  <c r="J411" i="207"/>
  <c r="J412" i="207"/>
  <c r="J413" i="207"/>
  <c r="I413" i="207" s="1"/>
  <c r="J414" i="207"/>
  <c r="J415" i="207"/>
  <c r="J416" i="207"/>
  <c r="J417" i="207"/>
  <c r="I417" i="207" s="1"/>
  <c r="J418" i="207"/>
  <c r="J419" i="207"/>
  <c r="J420" i="207"/>
  <c r="J421" i="207"/>
  <c r="I421" i="207" s="1"/>
  <c r="J422" i="207"/>
  <c r="J423" i="207"/>
  <c r="J424" i="207"/>
  <c r="J425" i="207"/>
  <c r="I425" i="207" s="1"/>
  <c r="J426" i="207"/>
  <c r="J427" i="207"/>
  <c r="J428" i="207"/>
  <c r="J429" i="207"/>
  <c r="I429" i="207" s="1"/>
  <c r="J430" i="207"/>
  <c r="J431" i="207"/>
  <c r="J432" i="207"/>
  <c r="J433" i="207"/>
  <c r="I433" i="207" s="1"/>
  <c r="J434" i="207"/>
  <c r="J435" i="207"/>
  <c r="J436" i="207"/>
  <c r="J437" i="207"/>
  <c r="I437" i="207" s="1"/>
  <c r="J438" i="207"/>
  <c r="J439" i="207"/>
  <c r="J440" i="207"/>
  <c r="J441" i="207"/>
  <c r="I441" i="207" s="1"/>
  <c r="J442" i="207"/>
  <c r="J443" i="207"/>
  <c r="J444" i="207"/>
  <c r="J445" i="207"/>
  <c r="I445" i="207" s="1"/>
  <c r="J446" i="207"/>
  <c r="J447" i="207"/>
  <c r="J448" i="207"/>
  <c r="J449" i="207"/>
  <c r="I449" i="207" s="1"/>
  <c r="J450" i="207"/>
  <c r="J451" i="207"/>
  <c r="J452" i="207"/>
  <c r="J453" i="207"/>
  <c r="I453" i="207" s="1"/>
  <c r="J454" i="207"/>
  <c r="J455" i="207"/>
  <c r="J456" i="207"/>
  <c r="J457" i="207"/>
  <c r="I457" i="207" s="1"/>
  <c r="J458" i="207"/>
  <c r="J459" i="207"/>
  <c r="J460" i="207"/>
  <c r="J461" i="207"/>
  <c r="I461" i="207" s="1"/>
  <c r="J462" i="207"/>
  <c r="J463" i="207"/>
  <c r="J464" i="207"/>
  <c r="J465" i="207"/>
  <c r="I465" i="207" s="1"/>
  <c r="J466" i="207"/>
  <c r="J467" i="207"/>
  <c r="J468" i="207"/>
  <c r="J469" i="207"/>
  <c r="I469" i="207" s="1"/>
  <c r="J470" i="207"/>
  <c r="J471" i="207"/>
  <c r="J472" i="207"/>
  <c r="J473" i="207"/>
  <c r="I473" i="207" s="1"/>
  <c r="J474" i="207"/>
  <c r="J475" i="207"/>
  <c r="J476" i="207"/>
  <c r="J477" i="207"/>
  <c r="I477" i="207" s="1"/>
  <c r="J478" i="207"/>
  <c r="J479" i="207"/>
  <c r="J480" i="207"/>
  <c r="J481" i="207"/>
  <c r="I481" i="207" s="1"/>
  <c r="J482" i="207"/>
  <c r="J483" i="207"/>
  <c r="J484" i="207"/>
  <c r="J485" i="207"/>
  <c r="I485" i="207" s="1"/>
  <c r="J486" i="207"/>
  <c r="J487" i="207"/>
  <c r="J488" i="207"/>
  <c r="J489" i="207"/>
  <c r="I489" i="207" s="1"/>
  <c r="J490" i="207"/>
  <c r="J491" i="207"/>
  <c r="J492" i="207"/>
  <c r="J493" i="207"/>
  <c r="I493" i="207" s="1"/>
  <c r="J494" i="207"/>
  <c r="J495" i="207"/>
  <c r="J496" i="207"/>
  <c r="J497" i="207"/>
  <c r="I497" i="207" s="1"/>
  <c r="J498" i="207"/>
  <c r="J499" i="207"/>
  <c r="J500" i="207"/>
  <c r="J501" i="207"/>
  <c r="I501" i="207" s="1"/>
  <c r="J502" i="207"/>
  <c r="J503" i="207"/>
  <c r="J504" i="207"/>
  <c r="J505" i="207"/>
  <c r="I505" i="207" s="1"/>
  <c r="J506" i="207"/>
  <c r="J507" i="207"/>
  <c r="J508" i="207"/>
  <c r="J509" i="207"/>
  <c r="I509" i="207" s="1"/>
  <c r="J510" i="207"/>
  <c r="J511" i="207"/>
  <c r="J512" i="207"/>
  <c r="J513" i="207"/>
  <c r="I513" i="207" s="1"/>
  <c r="J514" i="207"/>
  <c r="J515" i="207"/>
  <c r="J516" i="207"/>
  <c r="J517" i="207"/>
  <c r="I517" i="207" s="1"/>
  <c r="J518" i="207"/>
  <c r="J519" i="207"/>
  <c r="J520" i="207"/>
  <c r="J521" i="207"/>
  <c r="I521" i="207" s="1"/>
  <c r="J522" i="207"/>
  <c r="J523" i="207"/>
  <c r="J524" i="207"/>
  <c r="J525" i="207"/>
  <c r="I525" i="207" s="1"/>
  <c r="J526" i="207"/>
  <c r="J527" i="207"/>
  <c r="J528" i="207"/>
  <c r="J529" i="207"/>
  <c r="I529" i="207" s="1"/>
  <c r="J530" i="207"/>
  <c r="J531" i="207"/>
  <c r="J532" i="207"/>
  <c r="J533" i="207"/>
  <c r="I533" i="207" s="1"/>
  <c r="J534" i="207"/>
  <c r="J535" i="207"/>
  <c r="J536" i="207"/>
  <c r="J537" i="207"/>
  <c r="I537" i="207" s="1"/>
  <c r="J538" i="207"/>
  <c r="J539" i="207"/>
  <c r="J540" i="207"/>
  <c r="J541" i="207"/>
  <c r="I541" i="207" s="1"/>
  <c r="J542" i="207"/>
  <c r="J543" i="207"/>
  <c r="J544" i="207"/>
  <c r="J545" i="207"/>
  <c r="I545" i="207" s="1"/>
  <c r="J546" i="207"/>
  <c r="J547" i="207"/>
  <c r="J548" i="207"/>
  <c r="J549" i="207"/>
  <c r="I549" i="207" s="1"/>
  <c r="J550" i="207"/>
  <c r="J551" i="207"/>
  <c r="J552" i="207"/>
  <c r="J553" i="207"/>
  <c r="I553" i="207" s="1"/>
  <c r="J554" i="207"/>
  <c r="J555" i="207"/>
  <c r="J556" i="207"/>
  <c r="J557" i="207"/>
  <c r="I557" i="207" s="1"/>
  <c r="J558" i="207"/>
  <c r="J559" i="207"/>
  <c r="J560" i="207"/>
  <c r="J561" i="207"/>
  <c r="I561" i="207" s="1"/>
  <c r="J562" i="207"/>
  <c r="J563" i="207"/>
  <c r="J564" i="207"/>
  <c r="J565" i="207"/>
  <c r="I565" i="207" s="1"/>
  <c r="J566" i="207"/>
  <c r="J567" i="207"/>
  <c r="J568" i="207"/>
  <c r="J569" i="207"/>
  <c r="I569" i="207" s="1"/>
  <c r="J570" i="207"/>
  <c r="J571" i="207"/>
  <c r="J572" i="207"/>
  <c r="J573" i="207"/>
  <c r="I573" i="207" s="1"/>
  <c r="J574" i="207"/>
  <c r="J575" i="207"/>
  <c r="J576" i="207"/>
  <c r="J577" i="207"/>
  <c r="I577" i="207" s="1"/>
  <c r="J578" i="207"/>
  <c r="J579" i="207"/>
  <c r="J580" i="207"/>
  <c r="J581" i="207"/>
  <c r="I581" i="207" s="1"/>
  <c r="J582" i="207"/>
  <c r="J583" i="207"/>
  <c r="J584" i="207"/>
  <c r="J585" i="207"/>
  <c r="I585" i="207" s="1"/>
  <c r="J586" i="207"/>
  <c r="J587" i="207"/>
  <c r="J588" i="207"/>
  <c r="J589" i="207"/>
  <c r="I589" i="207" s="1"/>
  <c r="J590" i="207"/>
  <c r="J591" i="207"/>
  <c r="J592" i="207"/>
  <c r="J593" i="207"/>
  <c r="I593" i="207" s="1"/>
  <c r="J594" i="207"/>
  <c r="J595" i="207"/>
  <c r="J596" i="207"/>
  <c r="J597" i="207"/>
  <c r="I597" i="207" s="1"/>
  <c r="J598" i="207"/>
  <c r="J599" i="207"/>
  <c r="J600" i="207"/>
  <c r="J601" i="207"/>
  <c r="I601" i="207" s="1"/>
  <c r="J602" i="207"/>
  <c r="J603" i="207"/>
  <c r="J604" i="207"/>
  <c r="J605" i="207"/>
  <c r="I605" i="207" s="1"/>
  <c r="J606" i="207"/>
  <c r="J607" i="207"/>
  <c r="J608" i="207"/>
  <c r="J609" i="207"/>
  <c r="I609" i="207" s="1"/>
  <c r="J610" i="207"/>
  <c r="J611" i="207"/>
  <c r="J612" i="207"/>
  <c r="J613" i="207"/>
  <c r="I613" i="207" s="1"/>
  <c r="J614" i="207"/>
  <c r="J615" i="207"/>
  <c r="J616" i="207"/>
  <c r="J617" i="207"/>
  <c r="I617" i="207" s="1"/>
  <c r="J618" i="207"/>
  <c r="J619" i="207"/>
  <c r="J620" i="207"/>
  <c r="J621" i="207"/>
  <c r="I621" i="207" s="1"/>
  <c r="J622" i="207"/>
  <c r="J623" i="207"/>
  <c r="J624" i="207"/>
  <c r="J625" i="207"/>
  <c r="I625" i="207" s="1"/>
  <c r="J626" i="207"/>
  <c r="J627" i="207"/>
  <c r="J628" i="207"/>
  <c r="J629" i="207"/>
  <c r="I629" i="207" s="1"/>
  <c r="J630" i="207"/>
  <c r="J631" i="207"/>
  <c r="J632" i="207"/>
  <c r="J633" i="207"/>
  <c r="I633" i="207" s="1"/>
  <c r="J634" i="207"/>
  <c r="J635" i="207"/>
  <c r="J636" i="207"/>
  <c r="J637" i="207"/>
  <c r="I637" i="207" s="1"/>
  <c r="J638" i="207"/>
  <c r="J639" i="207"/>
  <c r="J640" i="207"/>
  <c r="J641" i="207"/>
  <c r="I641" i="207" s="1"/>
  <c r="J642" i="207"/>
  <c r="J643" i="207"/>
  <c r="J644" i="207"/>
  <c r="J645" i="207"/>
  <c r="I645" i="207" s="1"/>
  <c r="J646" i="207"/>
  <c r="J647" i="207"/>
  <c r="J648" i="207"/>
  <c r="J649" i="207"/>
  <c r="I649" i="207" s="1"/>
  <c r="J650" i="207"/>
  <c r="J651" i="207"/>
  <c r="J652" i="207"/>
  <c r="J653" i="207"/>
  <c r="I653" i="207" s="1"/>
  <c r="J654" i="207"/>
  <c r="J655" i="207"/>
  <c r="J656" i="207"/>
  <c r="J657" i="207"/>
  <c r="I657" i="207" s="1"/>
  <c r="J658" i="207"/>
  <c r="J659" i="207"/>
  <c r="J660" i="207"/>
  <c r="J661" i="207"/>
  <c r="I661" i="207" s="1"/>
  <c r="J662" i="207"/>
  <c r="J663" i="207"/>
  <c r="J664" i="207"/>
  <c r="J665" i="207"/>
  <c r="I665" i="207" s="1"/>
  <c r="J666" i="207"/>
  <c r="J667" i="207"/>
  <c r="J668" i="207"/>
  <c r="J669" i="207"/>
  <c r="I669" i="207" s="1"/>
  <c r="J670" i="207"/>
  <c r="J671" i="207"/>
  <c r="J672" i="207"/>
  <c r="J673" i="207"/>
  <c r="I673" i="207" s="1"/>
  <c r="J674" i="207"/>
  <c r="J675" i="207"/>
  <c r="J676" i="207"/>
  <c r="J677" i="207"/>
  <c r="I677" i="207" s="1"/>
  <c r="J678" i="207"/>
  <c r="J679" i="207"/>
  <c r="J680" i="207"/>
  <c r="J681" i="207"/>
  <c r="I681" i="207" s="1"/>
  <c r="J682" i="207"/>
  <c r="J683" i="207"/>
  <c r="J684" i="207"/>
  <c r="J685" i="207"/>
  <c r="I685" i="207" s="1"/>
  <c r="J686" i="207"/>
  <c r="J687" i="207"/>
  <c r="J688" i="207"/>
  <c r="J689" i="207"/>
  <c r="I689" i="207" s="1"/>
  <c r="J690" i="207"/>
  <c r="J691" i="207"/>
  <c r="J692" i="207"/>
  <c r="J693" i="207"/>
  <c r="I693" i="207" s="1"/>
  <c r="J694" i="207"/>
  <c r="J695" i="207"/>
  <c r="J696" i="207"/>
  <c r="J697" i="207"/>
  <c r="I697" i="207" s="1"/>
  <c r="J698" i="207"/>
  <c r="J699" i="207"/>
  <c r="J700" i="207"/>
  <c r="J701" i="207"/>
  <c r="I701" i="207" s="1"/>
  <c r="J702" i="207"/>
  <c r="J703" i="207"/>
  <c r="J704" i="207"/>
  <c r="J705" i="207"/>
  <c r="I705" i="207" s="1"/>
  <c r="J706" i="207"/>
  <c r="J707" i="207"/>
  <c r="J708" i="207"/>
  <c r="J709" i="207"/>
  <c r="I709" i="207" s="1"/>
  <c r="J710" i="207"/>
  <c r="J711" i="207"/>
  <c r="J712" i="207"/>
  <c r="J713" i="207"/>
  <c r="I713" i="207" s="1"/>
  <c r="J714" i="207"/>
  <c r="J715" i="207"/>
  <c r="J716" i="207"/>
  <c r="J717" i="207"/>
  <c r="I717" i="207" s="1"/>
  <c r="J718" i="207"/>
  <c r="J719" i="207"/>
  <c r="J720" i="207"/>
  <c r="J721" i="207"/>
  <c r="I721" i="207" s="1"/>
  <c r="J722" i="207"/>
  <c r="J723" i="207"/>
  <c r="J724" i="207"/>
  <c r="J725" i="207"/>
  <c r="I725" i="207" s="1"/>
  <c r="J726" i="207"/>
  <c r="J727" i="207"/>
  <c r="J728" i="207"/>
  <c r="J729" i="207"/>
  <c r="I729" i="207" s="1"/>
  <c r="J730" i="207"/>
  <c r="J731" i="207"/>
  <c r="J732" i="207"/>
  <c r="J733" i="207"/>
  <c r="I733" i="207" s="1"/>
  <c r="J734" i="207"/>
  <c r="J735" i="207"/>
  <c r="J736" i="207"/>
  <c r="J737" i="207"/>
  <c r="I737" i="207" s="1"/>
  <c r="J738" i="207"/>
  <c r="J739" i="207"/>
  <c r="J740" i="207"/>
  <c r="J741" i="207"/>
  <c r="I741" i="207" s="1"/>
  <c r="J742" i="207"/>
  <c r="J743" i="207"/>
  <c r="J744" i="207"/>
  <c r="J745" i="207"/>
  <c r="I745" i="207" s="1"/>
  <c r="J746" i="207"/>
  <c r="J747" i="207"/>
  <c r="J748" i="207"/>
  <c r="J749" i="207"/>
  <c r="I749" i="207" s="1"/>
  <c r="J750" i="207"/>
  <c r="J751" i="207"/>
  <c r="J752" i="207"/>
  <c r="J753" i="207"/>
  <c r="I753" i="207" s="1"/>
  <c r="J754" i="207"/>
  <c r="J755" i="207"/>
  <c r="J756" i="207"/>
  <c r="J757" i="207"/>
  <c r="I757" i="207" s="1"/>
  <c r="J758" i="207"/>
  <c r="J759" i="207"/>
  <c r="J760" i="207"/>
  <c r="J761" i="207"/>
  <c r="I761" i="207" s="1"/>
  <c r="J762" i="207"/>
  <c r="J763" i="207"/>
  <c r="J764" i="207"/>
  <c r="J765" i="207"/>
  <c r="I765" i="207" s="1"/>
  <c r="J766" i="207"/>
  <c r="J767" i="207"/>
  <c r="J768" i="207"/>
  <c r="J769" i="207"/>
  <c r="I769" i="207" s="1"/>
  <c r="J770" i="207"/>
  <c r="J771" i="207"/>
  <c r="D331" i="207"/>
  <c r="D332" i="207"/>
  <c r="D333" i="207"/>
  <c r="D334" i="207"/>
  <c r="D335" i="207"/>
  <c r="D336" i="207"/>
  <c r="D337" i="207"/>
  <c r="D338" i="207"/>
  <c r="D339" i="207"/>
  <c r="D340" i="207"/>
  <c r="D341" i="207"/>
  <c r="D342" i="207"/>
  <c r="D343" i="207"/>
  <c r="D344" i="207"/>
  <c r="D345" i="207"/>
  <c r="D346" i="207"/>
  <c r="D347" i="207"/>
  <c r="D348" i="207"/>
  <c r="D349" i="207"/>
  <c r="D350" i="207"/>
  <c r="D351" i="207"/>
  <c r="D352" i="207"/>
  <c r="D353" i="207"/>
  <c r="D354" i="207"/>
  <c r="D355" i="207"/>
  <c r="D356" i="207"/>
  <c r="D357" i="207"/>
  <c r="D358" i="207"/>
  <c r="D359" i="207"/>
  <c r="D360" i="207"/>
  <c r="D361" i="207"/>
  <c r="D362" i="207"/>
  <c r="D363" i="207"/>
  <c r="D364" i="207"/>
  <c r="D365" i="207"/>
  <c r="D366" i="207"/>
  <c r="D367" i="207"/>
  <c r="D368" i="207"/>
  <c r="D369" i="207"/>
  <c r="D370" i="207"/>
  <c r="D371" i="207"/>
  <c r="D372" i="207"/>
  <c r="D373" i="207"/>
  <c r="D374" i="207"/>
  <c r="D375" i="207"/>
  <c r="D376" i="207"/>
  <c r="D377" i="207"/>
  <c r="D378" i="207"/>
  <c r="D379" i="207"/>
  <c r="D380" i="207"/>
  <c r="D381" i="207"/>
  <c r="D382" i="207"/>
  <c r="D383" i="207"/>
  <c r="D384" i="207"/>
  <c r="D385" i="207"/>
  <c r="D386" i="207"/>
  <c r="D387" i="207"/>
  <c r="D388" i="207"/>
  <c r="D389" i="207"/>
  <c r="D390" i="207"/>
  <c r="D391" i="207"/>
  <c r="D392" i="207"/>
  <c r="D393" i="207"/>
  <c r="D394" i="207"/>
  <c r="D395" i="207"/>
  <c r="D396" i="207"/>
  <c r="D397" i="207"/>
  <c r="D398" i="207"/>
  <c r="D399" i="207"/>
  <c r="D400" i="207"/>
  <c r="D401" i="207"/>
  <c r="D402" i="207"/>
  <c r="D403" i="207"/>
  <c r="D404" i="207"/>
  <c r="D405" i="207"/>
  <c r="D406" i="207"/>
  <c r="D407" i="207"/>
  <c r="D408" i="207"/>
  <c r="D409" i="207"/>
  <c r="D410" i="207"/>
  <c r="D411" i="207"/>
  <c r="D412" i="207"/>
  <c r="D413" i="207"/>
  <c r="D414" i="207"/>
  <c r="D415" i="207"/>
  <c r="D416" i="207"/>
  <c r="D417" i="207"/>
  <c r="D418" i="207"/>
  <c r="D419" i="207"/>
  <c r="D420" i="207"/>
  <c r="D421" i="207"/>
  <c r="D422" i="207"/>
  <c r="D423" i="207"/>
  <c r="D424" i="207"/>
  <c r="D425" i="207"/>
  <c r="D426" i="207"/>
  <c r="D427" i="207"/>
  <c r="D428" i="207"/>
  <c r="D429" i="207"/>
  <c r="D430" i="207"/>
  <c r="D431" i="207"/>
  <c r="D432" i="207"/>
  <c r="D433" i="207"/>
  <c r="D434" i="207"/>
  <c r="D435" i="207"/>
  <c r="D436" i="207"/>
  <c r="D437" i="207"/>
  <c r="D438" i="207"/>
  <c r="D439" i="207"/>
  <c r="D440" i="207"/>
  <c r="D441" i="207"/>
  <c r="D442" i="207"/>
  <c r="D443" i="207"/>
  <c r="D444" i="207"/>
  <c r="D445" i="207"/>
  <c r="D446" i="207"/>
  <c r="D447" i="207"/>
  <c r="D448" i="207"/>
  <c r="D449" i="207"/>
  <c r="D450" i="207"/>
  <c r="D451" i="207"/>
  <c r="D452" i="207"/>
  <c r="D453" i="207"/>
  <c r="D454" i="207"/>
  <c r="D455" i="207"/>
  <c r="D456" i="207"/>
  <c r="D457" i="207"/>
  <c r="D458" i="207"/>
  <c r="D459" i="207"/>
  <c r="D460" i="207"/>
  <c r="D461" i="207"/>
  <c r="D462" i="207"/>
  <c r="D463" i="207"/>
  <c r="D464" i="207"/>
  <c r="D465" i="207"/>
  <c r="D466" i="207"/>
  <c r="D467" i="207"/>
  <c r="D468" i="207"/>
  <c r="D469" i="207"/>
  <c r="D470" i="207"/>
  <c r="D471" i="207"/>
  <c r="D472" i="207"/>
  <c r="D473" i="207"/>
  <c r="D474" i="207"/>
  <c r="D475" i="207"/>
  <c r="D476" i="207"/>
  <c r="D477" i="207"/>
  <c r="D478" i="207"/>
  <c r="D479" i="207"/>
  <c r="D480" i="207"/>
  <c r="D481" i="207"/>
  <c r="D482" i="207"/>
  <c r="D483" i="207"/>
  <c r="D484" i="207"/>
  <c r="D485" i="207"/>
  <c r="D486" i="207"/>
  <c r="D487" i="207"/>
  <c r="D488" i="207"/>
  <c r="D489" i="207"/>
  <c r="D490" i="207"/>
  <c r="D491" i="207"/>
  <c r="D492" i="207"/>
  <c r="D493" i="207"/>
  <c r="D494" i="207"/>
  <c r="D495" i="207"/>
  <c r="D496" i="207"/>
  <c r="D497" i="207"/>
  <c r="D498" i="207"/>
  <c r="D499" i="207"/>
  <c r="D500" i="207"/>
  <c r="D501" i="207"/>
  <c r="D502" i="207"/>
  <c r="D503" i="207"/>
  <c r="D504" i="207"/>
  <c r="D505" i="207"/>
  <c r="D506" i="207"/>
  <c r="D507" i="207"/>
  <c r="D508" i="207"/>
  <c r="D509" i="207"/>
  <c r="D510" i="207"/>
  <c r="D511" i="207"/>
  <c r="D512" i="207"/>
  <c r="D513" i="207"/>
  <c r="D514" i="207"/>
  <c r="D515" i="207"/>
  <c r="D516" i="207"/>
  <c r="D517" i="207"/>
  <c r="D518" i="207"/>
  <c r="D519" i="207"/>
  <c r="D520" i="207"/>
  <c r="D521" i="207"/>
  <c r="D522" i="207"/>
  <c r="D523" i="207"/>
  <c r="D524" i="207"/>
  <c r="D525" i="207"/>
  <c r="D526" i="207"/>
  <c r="D527" i="207"/>
  <c r="D528" i="207"/>
  <c r="D529" i="207"/>
  <c r="D530" i="207"/>
  <c r="D531" i="207"/>
  <c r="D532" i="207"/>
  <c r="D533" i="207"/>
  <c r="D534" i="207"/>
  <c r="D535" i="207"/>
  <c r="D536" i="207"/>
  <c r="D537" i="207"/>
  <c r="D538" i="207"/>
  <c r="D539" i="207"/>
  <c r="D540" i="207"/>
  <c r="D541" i="207"/>
  <c r="D542" i="207"/>
  <c r="D543" i="207"/>
  <c r="D544" i="207"/>
  <c r="D545" i="207"/>
  <c r="D546" i="207"/>
  <c r="D547" i="207"/>
  <c r="D548" i="207"/>
  <c r="D549" i="207"/>
  <c r="D550" i="207"/>
  <c r="D551" i="207"/>
  <c r="D552" i="207"/>
  <c r="D553" i="207"/>
  <c r="D554" i="207"/>
  <c r="D555" i="207"/>
  <c r="D556" i="207"/>
  <c r="D557" i="207"/>
  <c r="D558" i="207"/>
  <c r="D559" i="207"/>
  <c r="D560" i="207"/>
  <c r="D561" i="207"/>
  <c r="D562" i="207"/>
  <c r="D563" i="207"/>
  <c r="D564" i="207"/>
  <c r="D565" i="207"/>
  <c r="D566" i="207"/>
  <c r="D567" i="207"/>
  <c r="D568" i="207"/>
  <c r="D569" i="207"/>
  <c r="D570" i="207"/>
  <c r="D571" i="207"/>
  <c r="D572" i="207"/>
  <c r="D573" i="207"/>
  <c r="D574" i="207"/>
  <c r="D575" i="207"/>
  <c r="D576" i="207"/>
  <c r="D577" i="207"/>
  <c r="D578" i="207"/>
  <c r="D579" i="207"/>
  <c r="D580" i="207"/>
  <c r="D581" i="207"/>
  <c r="D582" i="207"/>
  <c r="D583" i="207"/>
  <c r="D584" i="207"/>
  <c r="D585" i="207"/>
  <c r="D586" i="207"/>
  <c r="D587" i="207"/>
  <c r="D588" i="207"/>
  <c r="D589" i="207"/>
  <c r="D590" i="207"/>
  <c r="D591" i="207"/>
  <c r="D592" i="207"/>
  <c r="D593" i="207"/>
  <c r="D594" i="207"/>
  <c r="D595" i="207"/>
  <c r="D596" i="207"/>
  <c r="D597" i="207"/>
  <c r="D598" i="207"/>
  <c r="D599" i="207"/>
  <c r="D600" i="207"/>
  <c r="D601" i="207"/>
  <c r="D602" i="207"/>
  <c r="D603" i="207"/>
  <c r="D604" i="207"/>
  <c r="D605" i="207"/>
  <c r="D606" i="207"/>
  <c r="D607" i="207"/>
  <c r="D608" i="207"/>
  <c r="D609" i="207"/>
  <c r="D610" i="207"/>
  <c r="D611" i="207"/>
  <c r="D612" i="207"/>
  <c r="D613" i="207"/>
  <c r="D614" i="207"/>
  <c r="D615" i="207"/>
  <c r="D616" i="207"/>
  <c r="D617" i="207"/>
  <c r="D618" i="207"/>
  <c r="D619" i="207"/>
  <c r="D620" i="207"/>
  <c r="D621" i="207"/>
  <c r="D622" i="207"/>
  <c r="D623" i="207"/>
  <c r="D624" i="207"/>
  <c r="D625" i="207"/>
  <c r="D626" i="207"/>
  <c r="D627" i="207"/>
  <c r="D628" i="207"/>
  <c r="D629" i="207"/>
  <c r="D630" i="207"/>
  <c r="D631" i="207"/>
  <c r="D632" i="207"/>
  <c r="D633" i="207"/>
  <c r="D634" i="207"/>
  <c r="D635" i="207"/>
  <c r="D636" i="207"/>
  <c r="D637" i="207"/>
  <c r="D638" i="207"/>
  <c r="D639" i="207"/>
  <c r="D640" i="207"/>
  <c r="D641" i="207"/>
  <c r="D642" i="207"/>
  <c r="D643" i="207"/>
  <c r="D644" i="207"/>
  <c r="D645" i="207"/>
  <c r="D646" i="207"/>
  <c r="D647" i="207"/>
  <c r="D648" i="207"/>
  <c r="D649" i="207"/>
  <c r="D650" i="207"/>
  <c r="D651" i="207"/>
  <c r="D652" i="207"/>
  <c r="D653" i="207"/>
  <c r="D654" i="207"/>
  <c r="D655" i="207"/>
  <c r="D656" i="207"/>
  <c r="D657" i="207"/>
  <c r="D658" i="207"/>
  <c r="D659" i="207"/>
  <c r="D660" i="207"/>
  <c r="D661" i="207"/>
  <c r="D662" i="207"/>
  <c r="D663" i="207"/>
  <c r="D664" i="207"/>
  <c r="D665" i="207"/>
  <c r="D666" i="207"/>
  <c r="D667" i="207"/>
  <c r="D668" i="207"/>
  <c r="D669" i="207"/>
  <c r="D670" i="207"/>
  <c r="D671" i="207"/>
  <c r="D672" i="207"/>
  <c r="D673" i="207"/>
  <c r="D674" i="207"/>
  <c r="D675" i="207"/>
  <c r="D676" i="207"/>
  <c r="D677" i="207"/>
  <c r="D678" i="207"/>
  <c r="D679" i="207"/>
  <c r="D680" i="207"/>
  <c r="D681" i="207"/>
  <c r="D682" i="207"/>
  <c r="D683" i="207"/>
  <c r="D684" i="207"/>
  <c r="D685" i="207"/>
  <c r="D686" i="207"/>
  <c r="D687" i="207"/>
  <c r="D688" i="207"/>
  <c r="D689" i="207"/>
  <c r="D690" i="207"/>
  <c r="D691" i="207"/>
  <c r="D692" i="207"/>
  <c r="D693" i="207"/>
  <c r="D694" i="207"/>
  <c r="D695" i="207"/>
  <c r="D696" i="207"/>
  <c r="D697" i="207"/>
  <c r="D698" i="207"/>
  <c r="D699" i="207"/>
  <c r="D700" i="207"/>
  <c r="D701" i="207"/>
  <c r="D702" i="207"/>
  <c r="D703" i="207"/>
  <c r="D704" i="207"/>
  <c r="D705" i="207"/>
  <c r="D706" i="207"/>
  <c r="D707" i="207"/>
  <c r="D708" i="207"/>
  <c r="D709" i="207"/>
  <c r="D710" i="207"/>
  <c r="D711" i="207"/>
  <c r="D712" i="207"/>
  <c r="D713" i="207"/>
  <c r="D714" i="207"/>
  <c r="D715" i="207"/>
  <c r="D716" i="207"/>
  <c r="D717" i="207"/>
  <c r="D718" i="207"/>
  <c r="D719" i="207"/>
  <c r="D720" i="207"/>
  <c r="D721" i="207"/>
  <c r="D722" i="207"/>
  <c r="D723" i="207"/>
  <c r="D724" i="207"/>
  <c r="D725" i="207"/>
  <c r="D726" i="207"/>
  <c r="D727" i="207"/>
  <c r="D728" i="207"/>
  <c r="D729" i="207"/>
  <c r="D730" i="207"/>
  <c r="D731" i="207"/>
  <c r="D732" i="207"/>
  <c r="D733" i="207"/>
  <c r="D734" i="207"/>
  <c r="D735" i="207"/>
  <c r="D736" i="207"/>
  <c r="D737" i="207"/>
  <c r="D738" i="207"/>
  <c r="D739" i="207"/>
  <c r="D740" i="207"/>
  <c r="D741" i="207"/>
  <c r="D742" i="207"/>
  <c r="D743" i="207"/>
  <c r="D744" i="207"/>
  <c r="D745" i="207"/>
  <c r="D746" i="207"/>
  <c r="D747" i="207"/>
  <c r="D748" i="207"/>
  <c r="D749" i="207"/>
  <c r="D750" i="207"/>
  <c r="D751" i="207"/>
  <c r="D752" i="207"/>
  <c r="D753" i="207"/>
  <c r="D754" i="207"/>
  <c r="D755" i="207"/>
  <c r="D756" i="207"/>
  <c r="D757" i="207"/>
  <c r="D758" i="207"/>
  <c r="D759" i="207"/>
  <c r="D760" i="207"/>
  <c r="D761" i="207"/>
  <c r="D762" i="207"/>
  <c r="D763" i="207"/>
  <c r="D764" i="207"/>
  <c r="D765" i="207"/>
  <c r="D766" i="207"/>
  <c r="D767" i="207"/>
  <c r="D768" i="207"/>
  <c r="D769" i="207"/>
  <c r="D770" i="207"/>
  <c r="D771" i="207"/>
  <c r="I771" i="207"/>
  <c r="I770" i="207"/>
  <c r="I768" i="207"/>
  <c r="I767" i="207"/>
  <c r="I766" i="207"/>
  <c r="I764" i="207"/>
  <c r="I763" i="207"/>
  <c r="I762" i="207"/>
  <c r="I760" i="207"/>
  <c r="I759" i="207"/>
  <c r="I758" i="207"/>
  <c r="I756" i="207"/>
  <c r="I755" i="207"/>
  <c r="I754" i="207"/>
  <c r="I752" i="207"/>
  <c r="I751" i="207"/>
  <c r="I750" i="207"/>
  <c r="I748" i="207"/>
  <c r="I747" i="207"/>
  <c r="I746" i="207"/>
  <c r="I744" i="207"/>
  <c r="I743" i="207"/>
  <c r="I742" i="207"/>
  <c r="I740" i="207"/>
  <c r="I739" i="207"/>
  <c r="I738" i="207"/>
  <c r="I736" i="207"/>
  <c r="I735" i="207"/>
  <c r="I734" i="207"/>
  <c r="I732" i="207"/>
  <c r="I731" i="207"/>
  <c r="I730" i="207"/>
  <c r="I728" i="207"/>
  <c r="I727" i="207"/>
  <c r="I726" i="207"/>
  <c r="I724" i="207"/>
  <c r="I723" i="207"/>
  <c r="I722" i="207"/>
  <c r="I720" i="207"/>
  <c r="I719" i="207"/>
  <c r="I718" i="207"/>
  <c r="I716" i="207"/>
  <c r="I715" i="207"/>
  <c r="I714" i="207"/>
  <c r="I712" i="207"/>
  <c r="I711" i="207"/>
  <c r="I710" i="207"/>
  <c r="I708" i="207"/>
  <c r="I707" i="207"/>
  <c r="I706" i="207"/>
  <c r="I704" i="207"/>
  <c r="I703" i="207"/>
  <c r="I702" i="207"/>
  <c r="I700" i="207"/>
  <c r="I699" i="207"/>
  <c r="I698" i="207"/>
  <c r="I696" i="207"/>
  <c r="I695" i="207"/>
  <c r="I694" i="207"/>
  <c r="I692" i="207"/>
  <c r="I691" i="207"/>
  <c r="I690" i="207"/>
  <c r="I688" i="207"/>
  <c r="I687" i="207"/>
  <c r="I686" i="207"/>
  <c r="I684" i="207"/>
  <c r="I683" i="207"/>
  <c r="I682" i="207"/>
  <c r="I680" i="207"/>
  <c r="I679" i="207"/>
  <c r="I678" i="207"/>
  <c r="I676" i="207"/>
  <c r="I675" i="207"/>
  <c r="I674" i="207"/>
  <c r="I672" i="207"/>
  <c r="I671" i="207"/>
  <c r="I670" i="207"/>
  <c r="I668" i="207"/>
  <c r="I667" i="207"/>
  <c r="I666" i="207"/>
  <c r="I664" i="207"/>
  <c r="I663" i="207"/>
  <c r="I662" i="207"/>
  <c r="I660" i="207"/>
  <c r="I659" i="207"/>
  <c r="I658" i="207"/>
  <c r="I656" i="207"/>
  <c r="I655" i="207"/>
  <c r="I654" i="207"/>
  <c r="I652" i="207"/>
  <c r="I651" i="207"/>
  <c r="I650" i="207"/>
  <c r="I648" i="207"/>
  <c r="I647" i="207"/>
  <c r="I646" i="207"/>
  <c r="I644" i="207"/>
  <c r="I643" i="207"/>
  <c r="I642" i="207"/>
  <c r="I640" i="207"/>
  <c r="I639" i="207"/>
  <c r="I638" i="207"/>
  <c r="I636" i="207"/>
  <c r="I635" i="207"/>
  <c r="I634" i="207"/>
  <c r="I632" i="207"/>
  <c r="I631" i="207"/>
  <c r="I630" i="207"/>
  <c r="I628" i="207"/>
  <c r="I627" i="207"/>
  <c r="I626" i="207"/>
  <c r="I624" i="207"/>
  <c r="I623" i="207"/>
  <c r="I622" i="207"/>
  <c r="I620" i="207"/>
  <c r="I619" i="207"/>
  <c r="I618" i="207"/>
  <c r="I616" i="207"/>
  <c r="I615" i="207"/>
  <c r="I614" i="207"/>
  <c r="I612" i="207"/>
  <c r="I611" i="207"/>
  <c r="I610" i="207"/>
  <c r="I608" i="207"/>
  <c r="I607" i="207"/>
  <c r="I606" i="207"/>
  <c r="I604" i="207"/>
  <c r="I603" i="207"/>
  <c r="I602" i="207"/>
  <c r="I600" i="207"/>
  <c r="I599" i="207"/>
  <c r="I598" i="207"/>
  <c r="I596" i="207"/>
  <c r="I595" i="207"/>
  <c r="I594" i="207"/>
  <c r="I592" i="207"/>
  <c r="I591" i="207"/>
  <c r="I590" i="207"/>
  <c r="I588" i="207"/>
  <c r="I587" i="207"/>
  <c r="I586" i="207"/>
  <c r="I584" i="207"/>
  <c r="I583" i="207"/>
  <c r="I582" i="207"/>
  <c r="I580" i="207"/>
  <c r="I579" i="207"/>
  <c r="I578" i="207"/>
  <c r="I576" i="207"/>
  <c r="I575" i="207"/>
  <c r="I574" i="207"/>
  <c r="I572" i="207"/>
  <c r="I571" i="207"/>
  <c r="I570" i="207"/>
  <c r="I568" i="207"/>
  <c r="I567" i="207"/>
  <c r="I566" i="207"/>
  <c r="I564" i="207"/>
  <c r="I563" i="207"/>
  <c r="I562" i="207"/>
  <c r="I560" i="207"/>
  <c r="I559" i="207"/>
  <c r="I558" i="207"/>
  <c r="I556" i="207"/>
  <c r="I555" i="207"/>
  <c r="I554" i="207"/>
  <c r="I552" i="207"/>
  <c r="I551" i="207"/>
  <c r="I550" i="207"/>
  <c r="I548" i="207"/>
  <c r="I547" i="207"/>
  <c r="I546" i="207"/>
  <c r="I544" i="207"/>
  <c r="I543" i="207"/>
  <c r="I542" i="207"/>
  <c r="I540" i="207"/>
  <c r="I539" i="207"/>
  <c r="I538" i="207"/>
  <c r="I536" i="207"/>
  <c r="I535" i="207"/>
  <c r="I534" i="207"/>
  <c r="I532" i="207"/>
  <c r="I531" i="207"/>
  <c r="I530" i="207"/>
  <c r="I528" i="207"/>
  <c r="I527" i="207"/>
  <c r="I526" i="207"/>
  <c r="I524" i="207"/>
  <c r="I523" i="207"/>
  <c r="I522" i="207"/>
  <c r="I520" i="207"/>
  <c r="I519" i="207"/>
  <c r="I518" i="207"/>
  <c r="I516" i="207"/>
  <c r="I515" i="207"/>
  <c r="I514" i="207"/>
  <c r="I512" i="207"/>
  <c r="I511" i="207"/>
  <c r="I510" i="207"/>
  <c r="I508" i="207"/>
  <c r="I507" i="207"/>
  <c r="I506" i="207"/>
  <c r="I504" i="207"/>
  <c r="I503" i="207"/>
  <c r="I502" i="207"/>
  <c r="I500" i="207"/>
  <c r="I499" i="207"/>
  <c r="I498" i="207"/>
  <c r="I496" i="207"/>
  <c r="I495" i="207"/>
  <c r="I494" i="207"/>
  <c r="I492" i="207"/>
  <c r="I491" i="207"/>
  <c r="I490" i="207"/>
  <c r="I488" i="207"/>
  <c r="I487" i="207"/>
  <c r="I486" i="207"/>
  <c r="I484" i="207"/>
  <c r="I483" i="207"/>
  <c r="I482" i="207"/>
  <c r="I480" i="207"/>
  <c r="I479" i="207"/>
  <c r="I478" i="207"/>
  <c r="I476" i="207"/>
  <c r="I475" i="207"/>
  <c r="I474" i="207"/>
  <c r="I472" i="207"/>
  <c r="I471" i="207"/>
  <c r="I470" i="207"/>
  <c r="I468" i="207"/>
  <c r="I467" i="207"/>
  <c r="I466" i="207"/>
  <c r="I464" i="207"/>
  <c r="I463" i="207"/>
  <c r="I462" i="207"/>
  <c r="I460" i="207"/>
  <c r="I459" i="207"/>
  <c r="I458" i="207"/>
  <c r="I456" i="207"/>
  <c r="I455" i="207"/>
  <c r="I454" i="207"/>
  <c r="I452" i="207"/>
  <c r="I451" i="207"/>
  <c r="I450" i="207"/>
  <c r="I448" i="207"/>
  <c r="I447" i="207"/>
  <c r="I446" i="207"/>
  <c r="I444" i="207"/>
  <c r="I443" i="207"/>
  <c r="I442" i="207"/>
  <c r="I440" i="207"/>
  <c r="I439" i="207"/>
  <c r="I438" i="207"/>
  <c r="I436" i="207"/>
  <c r="I435" i="207"/>
  <c r="I434" i="207"/>
  <c r="I432" i="207"/>
  <c r="I431" i="207"/>
  <c r="I430" i="207"/>
  <c r="I428" i="207"/>
  <c r="I427" i="207"/>
  <c r="I426" i="207"/>
  <c r="I424" i="207"/>
  <c r="I423" i="207"/>
  <c r="I422" i="207"/>
  <c r="I420" i="207"/>
  <c r="I419" i="207"/>
  <c r="I418" i="207"/>
  <c r="I416" i="207"/>
  <c r="I415" i="207"/>
  <c r="I414" i="207"/>
  <c r="I412" i="207"/>
  <c r="I411" i="207"/>
  <c r="I410" i="207"/>
  <c r="I408" i="207"/>
  <c r="I407" i="207"/>
  <c r="I406" i="207"/>
  <c r="I404" i="207"/>
  <c r="I403" i="207"/>
  <c r="I402" i="207"/>
  <c r="I400" i="207"/>
  <c r="I399" i="207"/>
  <c r="I398" i="207"/>
  <c r="I396" i="207"/>
  <c r="I395" i="207"/>
  <c r="I394" i="207"/>
  <c r="I392" i="207"/>
  <c r="I391" i="207"/>
  <c r="I390" i="207"/>
  <c r="I388" i="207"/>
  <c r="I387" i="207"/>
  <c r="I386" i="207"/>
  <c r="I384" i="207"/>
  <c r="I383" i="207"/>
  <c r="I382" i="207"/>
  <c r="I380" i="207"/>
  <c r="I379" i="207"/>
  <c r="I378" i="207"/>
  <c r="I376" i="207"/>
  <c r="I375" i="207"/>
  <c r="I374" i="207"/>
  <c r="I372" i="207"/>
  <c r="I371" i="207"/>
  <c r="I370" i="207"/>
  <c r="I368" i="207"/>
  <c r="I367" i="207"/>
  <c r="I366" i="207"/>
  <c r="I364" i="207"/>
  <c r="I363" i="207"/>
  <c r="I362" i="207"/>
  <c r="I360" i="207"/>
  <c r="I359" i="207"/>
  <c r="I358" i="207"/>
  <c r="I356" i="207"/>
  <c r="I355" i="207"/>
  <c r="I354" i="207"/>
  <c r="I352" i="207"/>
  <c r="I351" i="207"/>
  <c r="I350" i="207"/>
  <c r="I348" i="207"/>
  <c r="I347" i="207"/>
  <c r="I346" i="207"/>
  <c r="I344" i="207"/>
  <c r="I343" i="207"/>
  <c r="I342" i="207"/>
  <c r="I340" i="207"/>
  <c r="I339" i="207"/>
  <c r="I338" i="207"/>
  <c r="I336" i="207"/>
  <c r="I335" i="207"/>
  <c r="I334" i="207"/>
  <c r="I332" i="207"/>
  <c r="I331" i="207"/>
  <c r="Q13" i="207"/>
  <c r="Q14" i="207"/>
  <c r="Q15" i="207"/>
  <c r="Q16" i="207"/>
  <c r="Q17" i="207"/>
  <c r="Q18" i="207"/>
  <c r="Q19" i="207"/>
  <c r="Q20" i="207"/>
  <c r="Q21" i="207"/>
  <c r="Q22" i="207"/>
  <c r="Q23" i="207"/>
  <c r="Q24" i="207"/>
  <c r="Q25" i="207"/>
  <c r="Q26" i="207"/>
  <c r="Q27" i="207"/>
  <c r="Q28" i="207"/>
  <c r="Q29" i="207"/>
  <c r="Q30" i="207"/>
  <c r="Q31" i="207"/>
  <c r="Q32" i="207"/>
  <c r="Q33" i="207"/>
  <c r="Q34" i="207"/>
  <c r="Q35" i="207"/>
  <c r="Q36" i="207"/>
  <c r="Q37" i="207"/>
  <c r="Q38" i="207"/>
  <c r="Q39" i="207"/>
  <c r="Q40" i="207"/>
  <c r="Q41" i="207"/>
  <c r="Q42" i="207"/>
  <c r="Q43" i="207"/>
  <c r="Q44" i="207"/>
  <c r="Q45" i="207"/>
  <c r="Q46" i="207"/>
  <c r="Q47" i="207"/>
  <c r="Q48" i="207"/>
  <c r="Q49" i="207"/>
  <c r="Q50" i="207"/>
  <c r="Q51" i="207"/>
  <c r="Q52" i="207"/>
  <c r="Q53" i="207"/>
  <c r="Q54" i="207"/>
  <c r="Q55" i="207"/>
  <c r="Q56" i="207"/>
  <c r="Q57" i="207"/>
  <c r="Q58" i="207"/>
  <c r="Q59" i="207"/>
  <c r="Q60" i="207"/>
  <c r="Q61" i="207"/>
  <c r="Q62" i="207"/>
  <c r="Q63" i="207"/>
  <c r="Q64" i="207"/>
  <c r="Q65" i="207"/>
  <c r="Q66" i="207"/>
  <c r="Q67" i="207"/>
  <c r="Q68" i="207"/>
  <c r="Q69" i="207"/>
  <c r="Q70" i="207"/>
  <c r="Q71" i="207"/>
  <c r="Q72" i="207"/>
  <c r="Q73" i="207"/>
  <c r="Q74" i="207"/>
  <c r="Q75" i="207"/>
  <c r="Q76" i="207"/>
  <c r="Q77" i="207"/>
  <c r="Q78" i="207"/>
  <c r="Q79" i="207"/>
  <c r="Q80" i="207"/>
  <c r="Q81" i="207"/>
  <c r="Q82" i="207"/>
  <c r="Q83" i="207"/>
  <c r="Q84" i="207"/>
  <c r="Q85" i="207"/>
  <c r="Q86" i="207"/>
  <c r="Q87" i="207"/>
  <c r="Q88" i="207"/>
  <c r="Q89" i="207"/>
  <c r="Q90" i="207"/>
  <c r="Q91" i="207"/>
  <c r="Q92" i="207"/>
  <c r="Q93" i="207"/>
  <c r="Q94" i="207"/>
  <c r="Q95" i="207"/>
  <c r="Q96" i="207"/>
  <c r="Q97" i="207"/>
  <c r="Q98" i="207"/>
  <c r="Q99" i="207"/>
  <c r="Q100" i="207"/>
  <c r="Q101" i="207"/>
  <c r="Q102" i="207"/>
  <c r="Q103" i="207"/>
  <c r="Q104" i="207"/>
  <c r="Q105" i="207"/>
  <c r="Q106" i="207"/>
  <c r="Q107" i="207"/>
  <c r="Q108" i="207"/>
  <c r="Q109" i="207"/>
  <c r="Q110" i="207"/>
  <c r="Q111" i="207"/>
  <c r="Q112" i="207"/>
  <c r="Q113" i="207"/>
  <c r="Q114" i="207"/>
  <c r="Q115" i="207"/>
  <c r="Q116" i="207"/>
  <c r="Q117" i="207"/>
  <c r="Q118" i="207"/>
  <c r="Q119" i="207"/>
  <c r="Q120" i="207"/>
  <c r="Q121" i="207"/>
  <c r="Q122" i="207"/>
  <c r="Q123" i="207"/>
  <c r="Q124" i="207"/>
  <c r="Q125" i="207"/>
  <c r="Q126" i="207"/>
  <c r="Q127" i="207"/>
  <c r="Q128" i="207"/>
  <c r="Q129" i="207"/>
  <c r="Q130" i="207"/>
  <c r="Q131" i="207"/>
  <c r="Q132" i="207"/>
  <c r="Q133" i="207"/>
  <c r="Q134" i="207"/>
  <c r="Q135" i="207"/>
  <c r="Q136" i="207"/>
  <c r="Q137" i="207"/>
  <c r="Q138" i="207"/>
  <c r="Q139" i="207"/>
  <c r="Q140" i="207"/>
  <c r="Q141" i="207"/>
  <c r="Q142" i="207"/>
  <c r="Q143" i="207"/>
  <c r="Q144" i="207"/>
  <c r="Q145" i="207"/>
  <c r="Q146" i="207"/>
  <c r="Q147" i="207"/>
  <c r="Q148" i="207"/>
  <c r="Q149" i="207"/>
  <c r="Q150" i="207"/>
  <c r="Q151" i="207"/>
  <c r="Q152" i="207"/>
  <c r="Q153" i="207"/>
  <c r="Q154" i="207"/>
  <c r="Q155" i="207"/>
  <c r="Q156" i="207"/>
  <c r="Q157" i="207"/>
  <c r="Q158" i="207"/>
  <c r="Q159" i="207"/>
  <c r="Q160" i="207"/>
  <c r="Q161" i="207"/>
  <c r="Q162" i="207"/>
  <c r="Q163" i="207"/>
  <c r="Q164" i="207"/>
  <c r="Q165" i="207"/>
  <c r="Q166" i="207"/>
  <c r="Q167" i="207"/>
  <c r="Q168" i="207"/>
  <c r="Q169" i="207"/>
  <c r="Q170" i="207"/>
  <c r="Q171" i="207"/>
  <c r="Q172" i="207"/>
  <c r="Q173" i="207"/>
  <c r="Q174" i="207"/>
  <c r="Q175" i="207"/>
  <c r="Q176" i="207"/>
  <c r="Q177" i="207"/>
  <c r="Q178" i="207"/>
  <c r="Q179" i="207"/>
  <c r="Q180" i="207"/>
  <c r="Q181" i="207"/>
  <c r="Q182" i="207"/>
  <c r="Q183" i="207"/>
  <c r="Q184" i="207"/>
  <c r="Q185" i="207"/>
  <c r="Q186" i="207"/>
  <c r="Q187" i="207"/>
  <c r="Q188" i="207"/>
  <c r="Q189" i="207"/>
  <c r="Q190" i="207"/>
  <c r="Q191" i="207"/>
  <c r="Q192" i="207"/>
  <c r="Q193" i="207"/>
  <c r="Q194" i="207"/>
  <c r="Q195" i="207"/>
  <c r="Q196" i="207"/>
  <c r="Q197" i="207"/>
  <c r="Q198" i="207"/>
  <c r="Q199" i="207"/>
  <c r="Q200" i="207"/>
  <c r="Q201" i="207"/>
  <c r="Q202" i="207"/>
  <c r="Q203" i="207"/>
  <c r="Q204" i="207"/>
  <c r="Q205" i="207"/>
  <c r="Q206" i="207"/>
  <c r="Q207" i="207"/>
  <c r="Q208" i="207"/>
  <c r="Q209" i="207"/>
  <c r="Q210" i="207"/>
  <c r="Q211" i="207"/>
  <c r="Q212" i="207"/>
  <c r="Q213" i="207"/>
  <c r="Q214" i="207"/>
  <c r="Q215" i="207"/>
  <c r="Q216" i="207"/>
  <c r="Q217" i="207"/>
  <c r="Q218" i="207"/>
  <c r="Q219" i="207"/>
  <c r="Q220" i="207"/>
  <c r="Q221" i="207"/>
  <c r="Q222" i="207"/>
  <c r="Q223" i="207"/>
  <c r="Q224" i="207"/>
  <c r="Q225" i="207"/>
  <c r="Q226" i="207"/>
  <c r="Q227" i="207"/>
  <c r="Q228" i="207"/>
  <c r="Q229" i="207"/>
  <c r="Q230" i="207"/>
  <c r="Q231" i="207"/>
  <c r="Q232" i="207"/>
  <c r="Q233" i="207"/>
  <c r="Q234" i="207"/>
  <c r="Q235" i="207"/>
  <c r="Q236" i="207"/>
  <c r="Q237" i="207"/>
  <c r="Q238" i="207"/>
  <c r="Q239" i="207"/>
  <c r="Q240" i="207"/>
  <c r="Q241" i="207"/>
  <c r="Q242" i="207"/>
  <c r="Q243" i="207"/>
  <c r="Q244" i="207"/>
  <c r="Q245" i="207"/>
  <c r="Q246" i="207"/>
  <c r="Q247" i="207"/>
  <c r="Q248" i="207"/>
  <c r="Q249" i="207"/>
  <c r="Q250" i="207"/>
  <c r="Q251" i="207"/>
  <c r="Q252" i="207"/>
  <c r="Q253" i="207"/>
  <c r="Q254" i="207"/>
  <c r="Q255" i="207"/>
  <c r="Q256" i="207"/>
  <c r="Q257" i="207"/>
  <c r="Q258" i="207"/>
  <c r="Q259" i="207"/>
  <c r="Q260" i="207"/>
  <c r="Q261" i="207"/>
  <c r="Q262" i="207"/>
  <c r="Q263" i="207"/>
  <c r="Q264" i="207"/>
  <c r="Q265" i="207"/>
  <c r="Q266" i="207"/>
  <c r="Q267" i="207"/>
  <c r="Q268" i="207"/>
  <c r="Q269" i="207"/>
  <c r="Q270" i="207"/>
  <c r="Q271" i="207"/>
  <c r="Q272" i="207"/>
  <c r="Q273" i="207"/>
  <c r="Q274" i="207"/>
  <c r="Q275" i="207"/>
  <c r="Q276" i="207"/>
  <c r="Q277" i="207"/>
  <c r="Q278" i="207"/>
  <c r="Q279" i="207"/>
  <c r="Q280" i="207"/>
  <c r="Q281" i="207"/>
  <c r="Q282" i="207"/>
  <c r="Q283" i="207"/>
  <c r="Q284" i="207"/>
  <c r="Q285" i="207"/>
  <c r="Q286" i="207"/>
  <c r="Q287" i="207"/>
  <c r="Q288" i="207"/>
  <c r="Q289" i="207"/>
  <c r="Q290" i="207"/>
  <c r="Q291" i="207"/>
  <c r="Q292" i="207"/>
  <c r="Q293" i="207"/>
  <c r="Q294" i="207"/>
  <c r="Q295" i="207"/>
  <c r="Q296" i="207"/>
  <c r="Q297" i="207"/>
  <c r="Q298" i="207"/>
  <c r="Q299" i="207"/>
  <c r="Q300" i="207"/>
  <c r="Q301" i="207"/>
  <c r="Q302" i="207"/>
  <c r="Q303" i="207"/>
  <c r="Q304" i="207"/>
  <c r="Q305" i="207"/>
  <c r="Q306" i="207"/>
  <c r="Q307" i="207"/>
  <c r="Q308" i="207"/>
  <c r="Q309" i="207"/>
  <c r="Q310" i="207"/>
  <c r="Q311" i="207"/>
  <c r="Q312" i="207"/>
  <c r="Q313" i="207"/>
  <c r="Q314" i="207"/>
  <c r="Q315" i="207"/>
  <c r="Q316" i="207"/>
  <c r="Q317" i="207"/>
  <c r="Q318" i="207"/>
  <c r="Q319" i="207"/>
  <c r="Q320" i="207"/>
  <c r="Q321" i="207"/>
  <c r="Q322" i="207"/>
  <c r="Q323" i="207"/>
  <c r="P13" i="207"/>
  <c r="P14" i="207"/>
  <c r="P15" i="207"/>
  <c r="P16" i="207"/>
  <c r="P17" i="207"/>
  <c r="P18" i="207"/>
  <c r="P19" i="207"/>
  <c r="P20" i="207"/>
  <c r="P21" i="207"/>
  <c r="P22" i="207"/>
  <c r="P23" i="207"/>
  <c r="P24" i="207"/>
  <c r="P25" i="207"/>
  <c r="P26" i="207"/>
  <c r="P27" i="207"/>
  <c r="P28" i="207"/>
  <c r="P29" i="207"/>
  <c r="P30" i="207"/>
  <c r="P31" i="207"/>
  <c r="P32" i="207"/>
  <c r="P33" i="207"/>
  <c r="P34" i="207"/>
  <c r="P35" i="207"/>
  <c r="P36" i="207"/>
  <c r="P37" i="207"/>
  <c r="P38" i="207"/>
  <c r="P39" i="207"/>
  <c r="P40" i="207"/>
  <c r="P41" i="207"/>
  <c r="P42" i="207"/>
  <c r="P43" i="207"/>
  <c r="P44" i="207"/>
  <c r="P45" i="207"/>
  <c r="P46" i="207"/>
  <c r="P47" i="207"/>
  <c r="P48" i="207"/>
  <c r="P49" i="207"/>
  <c r="P50" i="207"/>
  <c r="P51" i="207"/>
  <c r="P52" i="207"/>
  <c r="P53" i="207"/>
  <c r="P54" i="207"/>
  <c r="P55" i="207"/>
  <c r="P56" i="207"/>
  <c r="P57" i="207"/>
  <c r="P58" i="207"/>
  <c r="P59" i="207"/>
  <c r="P60" i="207"/>
  <c r="P61" i="207"/>
  <c r="P62" i="207"/>
  <c r="P63" i="207"/>
  <c r="P64" i="207"/>
  <c r="P65" i="207"/>
  <c r="P66" i="207"/>
  <c r="P67" i="207"/>
  <c r="P68" i="207"/>
  <c r="P69" i="207"/>
  <c r="P70" i="207"/>
  <c r="P71" i="207"/>
  <c r="P72" i="207"/>
  <c r="P73" i="207"/>
  <c r="P74" i="207"/>
  <c r="P75" i="207"/>
  <c r="P76" i="207"/>
  <c r="P77" i="207"/>
  <c r="P78" i="207"/>
  <c r="P79" i="207"/>
  <c r="P80" i="207"/>
  <c r="P81" i="207"/>
  <c r="P82" i="207"/>
  <c r="P83" i="207"/>
  <c r="P84" i="207"/>
  <c r="P85" i="207"/>
  <c r="P86" i="207"/>
  <c r="P87" i="207"/>
  <c r="P88" i="207"/>
  <c r="P89" i="207"/>
  <c r="P90" i="207"/>
  <c r="P91" i="207"/>
  <c r="P92" i="207"/>
  <c r="P93" i="207"/>
  <c r="P94" i="207"/>
  <c r="P95" i="207"/>
  <c r="P96" i="207"/>
  <c r="P97" i="207"/>
  <c r="P98" i="207"/>
  <c r="P99" i="207"/>
  <c r="P100" i="207"/>
  <c r="P101" i="207"/>
  <c r="P102" i="207"/>
  <c r="P103" i="207"/>
  <c r="P104" i="207"/>
  <c r="P105" i="207"/>
  <c r="P106" i="207"/>
  <c r="P107" i="207"/>
  <c r="P108" i="207"/>
  <c r="P109" i="207"/>
  <c r="P110" i="207"/>
  <c r="P111" i="207"/>
  <c r="P112" i="207"/>
  <c r="P113" i="207"/>
  <c r="P114" i="207"/>
  <c r="P115" i="207"/>
  <c r="P116" i="207"/>
  <c r="P117" i="207"/>
  <c r="P118" i="207"/>
  <c r="P119" i="207"/>
  <c r="P120" i="207"/>
  <c r="P121" i="207"/>
  <c r="P122" i="207"/>
  <c r="P123" i="207"/>
  <c r="P124" i="207"/>
  <c r="P125" i="207"/>
  <c r="P126" i="207"/>
  <c r="P127" i="207"/>
  <c r="P128" i="207"/>
  <c r="P129" i="207"/>
  <c r="P130" i="207"/>
  <c r="P131" i="207"/>
  <c r="P132" i="207"/>
  <c r="P133" i="207"/>
  <c r="P134" i="207"/>
  <c r="P135" i="207"/>
  <c r="P136" i="207"/>
  <c r="P137" i="207"/>
  <c r="P138" i="207"/>
  <c r="P139" i="207"/>
  <c r="P140" i="207"/>
  <c r="P141" i="207"/>
  <c r="P142" i="207"/>
  <c r="P143" i="207"/>
  <c r="P144" i="207"/>
  <c r="P145" i="207"/>
  <c r="P146" i="207"/>
  <c r="P147" i="207"/>
  <c r="P148" i="207"/>
  <c r="P149" i="207"/>
  <c r="P150" i="207"/>
  <c r="P151" i="207"/>
  <c r="P152" i="207"/>
  <c r="P153" i="207"/>
  <c r="P154" i="207"/>
  <c r="P155" i="207"/>
  <c r="P156" i="207"/>
  <c r="P157" i="207"/>
  <c r="P158" i="207"/>
  <c r="P159" i="207"/>
  <c r="P160" i="207"/>
  <c r="P161" i="207"/>
  <c r="P162" i="207"/>
  <c r="P163" i="207"/>
  <c r="P164" i="207"/>
  <c r="P165" i="207"/>
  <c r="P166" i="207"/>
  <c r="P167" i="207"/>
  <c r="P168" i="207"/>
  <c r="P169" i="207"/>
  <c r="P170" i="207"/>
  <c r="P171" i="207"/>
  <c r="P172" i="207"/>
  <c r="P173" i="207"/>
  <c r="P174" i="207"/>
  <c r="P175" i="207"/>
  <c r="P176" i="207"/>
  <c r="P177" i="207"/>
  <c r="P178" i="207"/>
  <c r="P179" i="207"/>
  <c r="P180" i="207"/>
  <c r="P181" i="207"/>
  <c r="P182" i="207"/>
  <c r="P183" i="207"/>
  <c r="P184" i="207"/>
  <c r="P185" i="207"/>
  <c r="P186" i="207"/>
  <c r="P187" i="207"/>
  <c r="P188" i="207"/>
  <c r="P189" i="207"/>
  <c r="P190" i="207"/>
  <c r="P191" i="207"/>
  <c r="P192" i="207"/>
  <c r="P193" i="207"/>
  <c r="P194" i="207"/>
  <c r="P195" i="207"/>
  <c r="P196" i="207"/>
  <c r="P197" i="207"/>
  <c r="P198" i="207"/>
  <c r="P199" i="207"/>
  <c r="P200" i="207"/>
  <c r="P201" i="207"/>
  <c r="P202" i="207"/>
  <c r="P203" i="207"/>
  <c r="P204" i="207"/>
  <c r="P205" i="207"/>
  <c r="P206" i="207"/>
  <c r="P207" i="207"/>
  <c r="P208" i="207"/>
  <c r="P209" i="207"/>
  <c r="P210" i="207"/>
  <c r="P211" i="207"/>
  <c r="P212" i="207"/>
  <c r="P213" i="207"/>
  <c r="P214" i="207"/>
  <c r="P215" i="207"/>
  <c r="P216" i="207"/>
  <c r="P217" i="207"/>
  <c r="P218" i="207"/>
  <c r="P219" i="207"/>
  <c r="P220" i="207"/>
  <c r="P221" i="207"/>
  <c r="P222" i="207"/>
  <c r="P223" i="207"/>
  <c r="P224" i="207"/>
  <c r="P225" i="207"/>
  <c r="P226" i="207"/>
  <c r="P227" i="207"/>
  <c r="P228" i="207"/>
  <c r="P229" i="207"/>
  <c r="P230" i="207"/>
  <c r="P231" i="207"/>
  <c r="P232" i="207"/>
  <c r="P233" i="207"/>
  <c r="P234" i="207"/>
  <c r="P235" i="207"/>
  <c r="P236" i="207"/>
  <c r="P237" i="207"/>
  <c r="P238" i="207"/>
  <c r="P239" i="207"/>
  <c r="P240" i="207"/>
  <c r="P241" i="207"/>
  <c r="P242" i="207"/>
  <c r="P243" i="207"/>
  <c r="P244" i="207"/>
  <c r="P245" i="207"/>
  <c r="P246" i="207"/>
  <c r="P247" i="207"/>
  <c r="P248" i="207"/>
  <c r="P249" i="207"/>
  <c r="P250" i="207"/>
  <c r="P251" i="207"/>
  <c r="P252" i="207"/>
  <c r="P253" i="207"/>
  <c r="P254" i="207"/>
  <c r="P255" i="207"/>
  <c r="P256" i="207"/>
  <c r="P257" i="207"/>
  <c r="P258" i="207"/>
  <c r="P259" i="207"/>
  <c r="P260" i="207"/>
  <c r="P261" i="207"/>
  <c r="P262" i="207"/>
  <c r="P263" i="207"/>
  <c r="P264" i="207"/>
  <c r="P265" i="207"/>
  <c r="P266" i="207"/>
  <c r="P267" i="207"/>
  <c r="P268" i="207"/>
  <c r="P269" i="207"/>
  <c r="P270" i="207"/>
  <c r="P271" i="207"/>
  <c r="P272" i="207"/>
  <c r="P273" i="207"/>
  <c r="P274" i="207"/>
  <c r="P275" i="207"/>
  <c r="P276" i="207"/>
  <c r="P277" i="207"/>
  <c r="P278" i="207"/>
  <c r="P279" i="207"/>
  <c r="P280" i="207"/>
  <c r="P281" i="207"/>
  <c r="P282" i="207"/>
  <c r="P283" i="207"/>
  <c r="P284" i="207"/>
  <c r="P285" i="207"/>
  <c r="P286" i="207"/>
  <c r="P287" i="207"/>
  <c r="P288" i="207"/>
  <c r="P289" i="207"/>
  <c r="P290" i="207"/>
  <c r="P291" i="207"/>
  <c r="P292" i="207"/>
  <c r="P293" i="207"/>
  <c r="P294" i="207"/>
  <c r="P295" i="207"/>
  <c r="P296" i="207"/>
  <c r="P297" i="207"/>
  <c r="P298" i="207"/>
  <c r="P299" i="207"/>
  <c r="P300" i="207"/>
  <c r="P301" i="207"/>
  <c r="P302" i="207"/>
  <c r="P303" i="207"/>
  <c r="P304" i="207"/>
  <c r="P305" i="207"/>
  <c r="P306" i="207"/>
  <c r="P307" i="207"/>
  <c r="P308" i="207"/>
  <c r="P309" i="207"/>
  <c r="P310" i="207"/>
  <c r="P311" i="207"/>
  <c r="P312" i="207"/>
  <c r="P313" i="207"/>
  <c r="P314" i="207"/>
  <c r="P315" i="207"/>
  <c r="P316" i="207"/>
  <c r="P317" i="207"/>
  <c r="P318" i="207"/>
  <c r="P319" i="207"/>
  <c r="P320" i="207"/>
  <c r="P321" i="207"/>
  <c r="P322" i="207"/>
  <c r="P323" i="207"/>
  <c r="L14" i="207"/>
  <c r="L15" i="207"/>
  <c r="L16" i="207"/>
  <c r="I16" i="207" s="1"/>
  <c r="L17" i="207"/>
  <c r="L18" i="207"/>
  <c r="L19" i="207"/>
  <c r="L20" i="207"/>
  <c r="I20" i="207" s="1"/>
  <c r="L21" i="207"/>
  <c r="L22" i="207"/>
  <c r="L23" i="207"/>
  <c r="L24" i="207"/>
  <c r="I24" i="207" s="1"/>
  <c r="L25" i="207"/>
  <c r="L26" i="207"/>
  <c r="L27" i="207"/>
  <c r="L28" i="207"/>
  <c r="I28" i="207" s="1"/>
  <c r="L29" i="207"/>
  <c r="L30" i="207"/>
  <c r="L31" i="207"/>
  <c r="L32" i="207"/>
  <c r="I32" i="207" s="1"/>
  <c r="L33" i="207"/>
  <c r="L34" i="207"/>
  <c r="L35" i="207"/>
  <c r="L36" i="207"/>
  <c r="I36" i="207" s="1"/>
  <c r="L37" i="207"/>
  <c r="L38" i="207"/>
  <c r="L39" i="207"/>
  <c r="L40" i="207"/>
  <c r="I40" i="207" s="1"/>
  <c r="L41" i="207"/>
  <c r="L42" i="207"/>
  <c r="L43" i="207"/>
  <c r="L44" i="207"/>
  <c r="I44" i="207" s="1"/>
  <c r="L45" i="207"/>
  <c r="L46" i="207"/>
  <c r="L47" i="207"/>
  <c r="L48" i="207"/>
  <c r="I48" i="207" s="1"/>
  <c r="L49" i="207"/>
  <c r="L50" i="207"/>
  <c r="L51" i="207"/>
  <c r="L52" i="207"/>
  <c r="I52" i="207" s="1"/>
  <c r="L53" i="207"/>
  <c r="L54" i="207"/>
  <c r="L55" i="207"/>
  <c r="L56" i="207"/>
  <c r="I56" i="207" s="1"/>
  <c r="L57" i="207"/>
  <c r="L58" i="207"/>
  <c r="L59" i="207"/>
  <c r="L60" i="207"/>
  <c r="I60" i="207" s="1"/>
  <c r="L61" i="207"/>
  <c r="L62" i="207"/>
  <c r="L63" i="207"/>
  <c r="L64" i="207"/>
  <c r="I64" i="207" s="1"/>
  <c r="L65" i="207"/>
  <c r="L66" i="207"/>
  <c r="L67" i="207"/>
  <c r="L68" i="207"/>
  <c r="I68" i="207" s="1"/>
  <c r="L69" i="207"/>
  <c r="L70" i="207"/>
  <c r="L71" i="207"/>
  <c r="L72" i="207"/>
  <c r="I72" i="207" s="1"/>
  <c r="L73" i="207"/>
  <c r="L74" i="207"/>
  <c r="L75" i="207"/>
  <c r="L76" i="207"/>
  <c r="I76" i="207" s="1"/>
  <c r="L77" i="207"/>
  <c r="L78" i="207"/>
  <c r="L79" i="207"/>
  <c r="L80" i="207"/>
  <c r="I80" i="207" s="1"/>
  <c r="L81" i="207"/>
  <c r="L82" i="207"/>
  <c r="L83" i="207"/>
  <c r="L84" i="207"/>
  <c r="I84" i="207" s="1"/>
  <c r="L85" i="207"/>
  <c r="L86" i="207"/>
  <c r="L87" i="207"/>
  <c r="L88" i="207"/>
  <c r="I88" i="207" s="1"/>
  <c r="L89" i="207"/>
  <c r="L90" i="207"/>
  <c r="L91" i="207"/>
  <c r="L92" i="207"/>
  <c r="I92" i="207" s="1"/>
  <c r="L93" i="207"/>
  <c r="L94" i="207"/>
  <c r="L95" i="207"/>
  <c r="L96" i="207"/>
  <c r="I96" i="207" s="1"/>
  <c r="L97" i="207"/>
  <c r="L98" i="207"/>
  <c r="L99" i="207"/>
  <c r="L100" i="207"/>
  <c r="I100" i="207" s="1"/>
  <c r="L101" i="207"/>
  <c r="L102" i="207"/>
  <c r="L103" i="207"/>
  <c r="L104" i="207"/>
  <c r="I104" i="207" s="1"/>
  <c r="L105" i="207"/>
  <c r="L106" i="207"/>
  <c r="L107" i="207"/>
  <c r="L108" i="207"/>
  <c r="I108" i="207" s="1"/>
  <c r="L109" i="207"/>
  <c r="L110" i="207"/>
  <c r="L111" i="207"/>
  <c r="L112" i="207"/>
  <c r="I112" i="207" s="1"/>
  <c r="L113" i="207"/>
  <c r="L114" i="207"/>
  <c r="L115" i="207"/>
  <c r="L116" i="207"/>
  <c r="I116" i="207" s="1"/>
  <c r="L117" i="207"/>
  <c r="L118" i="207"/>
  <c r="L119" i="207"/>
  <c r="L120" i="207"/>
  <c r="I120" i="207" s="1"/>
  <c r="L121" i="207"/>
  <c r="L122" i="207"/>
  <c r="L123" i="207"/>
  <c r="L124" i="207"/>
  <c r="I124" i="207" s="1"/>
  <c r="L125" i="207"/>
  <c r="L126" i="207"/>
  <c r="L127" i="207"/>
  <c r="L128" i="207"/>
  <c r="I128" i="207" s="1"/>
  <c r="L129" i="207"/>
  <c r="L130" i="207"/>
  <c r="L131" i="207"/>
  <c r="L132" i="207"/>
  <c r="I132" i="207" s="1"/>
  <c r="L133" i="207"/>
  <c r="L134" i="207"/>
  <c r="L135" i="207"/>
  <c r="L136" i="207"/>
  <c r="I136" i="207" s="1"/>
  <c r="L137" i="207"/>
  <c r="L138" i="207"/>
  <c r="L139" i="207"/>
  <c r="L140" i="207"/>
  <c r="I140" i="207" s="1"/>
  <c r="L141" i="207"/>
  <c r="L142" i="207"/>
  <c r="L143" i="207"/>
  <c r="L144" i="207"/>
  <c r="I144" i="207" s="1"/>
  <c r="L145" i="207"/>
  <c r="L146" i="207"/>
  <c r="L148" i="207"/>
  <c r="L149" i="207"/>
  <c r="I149" i="207" s="1"/>
  <c r="L150" i="207"/>
  <c r="L151" i="207"/>
  <c r="L152" i="207"/>
  <c r="L153" i="207"/>
  <c r="I153" i="207" s="1"/>
  <c r="L154" i="207"/>
  <c r="L155" i="207"/>
  <c r="L156" i="207"/>
  <c r="L157" i="207"/>
  <c r="I157" i="207" s="1"/>
  <c r="L158" i="207"/>
  <c r="L159" i="207"/>
  <c r="L160" i="207"/>
  <c r="L161" i="207"/>
  <c r="I161" i="207" s="1"/>
  <c r="L162" i="207"/>
  <c r="L163" i="207"/>
  <c r="L164" i="207"/>
  <c r="L165" i="207"/>
  <c r="I165" i="207" s="1"/>
  <c r="L166" i="207"/>
  <c r="L167" i="207"/>
  <c r="L168" i="207"/>
  <c r="L169" i="207"/>
  <c r="I169" i="207" s="1"/>
  <c r="L170" i="207"/>
  <c r="L171" i="207"/>
  <c r="L172" i="207"/>
  <c r="L173" i="207"/>
  <c r="I173" i="207" s="1"/>
  <c r="L174" i="207"/>
  <c r="L175" i="207"/>
  <c r="L176" i="207"/>
  <c r="L177" i="207"/>
  <c r="I177" i="207" s="1"/>
  <c r="L178" i="207"/>
  <c r="L179" i="207"/>
  <c r="L180" i="207"/>
  <c r="L181" i="207"/>
  <c r="I181" i="207" s="1"/>
  <c r="L182" i="207"/>
  <c r="L183" i="207"/>
  <c r="L184" i="207"/>
  <c r="L185" i="207"/>
  <c r="I185" i="207" s="1"/>
  <c r="L186" i="207"/>
  <c r="L187" i="207"/>
  <c r="L188" i="207"/>
  <c r="L189" i="207"/>
  <c r="I189" i="207" s="1"/>
  <c r="L190" i="207"/>
  <c r="L191" i="207"/>
  <c r="L192" i="207"/>
  <c r="L193" i="207"/>
  <c r="I193" i="207" s="1"/>
  <c r="L194" i="207"/>
  <c r="L195" i="207"/>
  <c r="L196" i="207"/>
  <c r="L197" i="207"/>
  <c r="I197" i="207" s="1"/>
  <c r="L198" i="207"/>
  <c r="L199" i="207"/>
  <c r="L200" i="207"/>
  <c r="L201" i="207"/>
  <c r="I201" i="207" s="1"/>
  <c r="L202" i="207"/>
  <c r="L203" i="207"/>
  <c r="L204" i="207"/>
  <c r="L205" i="207"/>
  <c r="I205" i="207" s="1"/>
  <c r="L206" i="207"/>
  <c r="L207" i="207"/>
  <c r="L208" i="207"/>
  <c r="L209" i="207"/>
  <c r="I209" i="207" s="1"/>
  <c r="L210" i="207"/>
  <c r="L211" i="207"/>
  <c r="L212" i="207"/>
  <c r="L213" i="207"/>
  <c r="I213" i="207" s="1"/>
  <c r="L214" i="207"/>
  <c r="L215" i="207"/>
  <c r="L216" i="207"/>
  <c r="L217" i="207"/>
  <c r="I217" i="207" s="1"/>
  <c r="L218" i="207"/>
  <c r="L219" i="207"/>
  <c r="L220" i="207"/>
  <c r="L221" i="207"/>
  <c r="I221" i="207" s="1"/>
  <c r="L222" i="207"/>
  <c r="L223" i="207"/>
  <c r="L224" i="207"/>
  <c r="L225" i="207"/>
  <c r="I225" i="207" s="1"/>
  <c r="L226" i="207"/>
  <c r="L227" i="207"/>
  <c r="L228" i="207"/>
  <c r="L229" i="207"/>
  <c r="I229" i="207" s="1"/>
  <c r="L230" i="207"/>
  <c r="L231" i="207"/>
  <c r="L232" i="207"/>
  <c r="L233" i="207"/>
  <c r="I233" i="207" s="1"/>
  <c r="L234" i="207"/>
  <c r="L235" i="207"/>
  <c r="L236" i="207"/>
  <c r="L237" i="207"/>
  <c r="I237" i="207" s="1"/>
  <c r="L238" i="207"/>
  <c r="L239" i="207"/>
  <c r="L240" i="207"/>
  <c r="L241" i="207"/>
  <c r="I241" i="207" s="1"/>
  <c r="L242" i="207"/>
  <c r="L243" i="207"/>
  <c r="L244" i="207"/>
  <c r="L245" i="207"/>
  <c r="I245" i="207" s="1"/>
  <c r="L246" i="207"/>
  <c r="L247" i="207"/>
  <c r="L248" i="207"/>
  <c r="L249" i="207"/>
  <c r="I249" i="207" s="1"/>
  <c r="L250" i="207"/>
  <c r="L251" i="207"/>
  <c r="L252" i="207"/>
  <c r="L253" i="207"/>
  <c r="I253" i="207" s="1"/>
  <c r="L254" i="207"/>
  <c r="L255" i="207"/>
  <c r="L256" i="207"/>
  <c r="L257" i="207"/>
  <c r="I257" i="207" s="1"/>
  <c r="L258" i="207"/>
  <c r="L259" i="207"/>
  <c r="L260" i="207"/>
  <c r="L261" i="207"/>
  <c r="I261" i="207" s="1"/>
  <c r="L262" i="207"/>
  <c r="L263" i="207"/>
  <c r="L264" i="207"/>
  <c r="L265" i="207"/>
  <c r="I265" i="207" s="1"/>
  <c r="L266" i="207"/>
  <c r="L267" i="207"/>
  <c r="L268" i="207"/>
  <c r="L269" i="207"/>
  <c r="I269" i="207" s="1"/>
  <c r="L270" i="207"/>
  <c r="L271" i="207"/>
  <c r="L272" i="207"/>
  <c r="L273" i="207"/>
  <c r="I273" i="207" s="1"/>
  <c r="L274" i="207"/>
  <c r="L275" i="207"/>
  <c r="L276" i="207"/>
  <c r="L277" i="207"/>
  <c r="I277" i="207" s="1"/>
  <c r="L278" i="207"/>
  <c r="L279" i="207"/>
  <c r="L280" i="207"/>
  <c r="L281" i="207"/>
  <c r="I281" i="207" s="1"/>
  <c r="L282" i="207"/>
  <c r="L283" i="207"/>
  <c r="L284" i="207"/>
  <c r="L285" i="207"/>
  <c r="I285" i="207" s="1"/>
  <c r="L286" i="207"/>
  <c r="L287" i="207"/>
  <c r="L288" i="207"/>
  <c r="L289" i="207"/>
  <c r="I289" i="207" s="1"/>
  <c r="L290" i="207"/>
  <c r="L291" i="207"/>
  <c r="L292" i="207"/>
  <c r="L293" i="207"/>
  <c r="I293" i="207" s="1"/>
  <c r="L294" i="207"/>
  <c r="L295" i="207"/>
  <c r="L296" i="207"/>
  <c r="L297" i="207"/>
  <c r="I297" i="207" s="1"/>
  <c r="L298" i="207"/>
  <c r="L299" i="207"/>
  <c r="L300" i="207"/>
  <c r="L301" i="207"/>
  <c r="I301" i="207" s="1"/>
  <c r="L302" i="207"/>
  <c r="L303" i="207"/>
  <c r="L304" i="207"/>
  <c r="L305" i="207"/>
  <c r="I305" i="207" s="1"/>
  <c r="L306" i="207"/>
  <c r="L307" i="207"/>
  <c r="L308" i="207"/>
  <c r="L309" i="207"/>
  <c r="I309" i="207" s="1"/>
  <c r="L310" i="207"/>
  <c r="L311" i="207"/>
  <c r="L312" i="207"/>
  <c r="L313" i="207"/>
  <c r="I313" i="207" s="1"/>
  <c r="L314" i="207"/>
  <c r="L315" i="207"/>
  <c r="L316" i="207"/>
  <c r="L317" i="207"/>
  <c r="I317" i="207" s="1"/>
  <c r="L318" i="207"/>
  <c r="L319" i="207"/>
  <c r="L320" i="207"/>
  <c r="L321" i="207"/>
  <c r="I321" i="207" s="1"/>
  <c r="L322" i="207"/>
  <c r="L323" i="207"/>
  <c r="D13" i="207"/>
  <c r="D14" i="207"/>
  <c r="K14" i="207" s="1"/>
  <c r="D15" i="207"/>
  <c r="D16" i="207"/>
  <c r="D17" i="207"/>
  <c r="D18" i="207"/>
  <c r="K18" i="207" s="1"/>
  <c r="D19" i="207"/>
  <c r="D20" i="207"/>
  <c r="D21" i="207"/>
  <c r="D22" i="207"/>
  <c r="K22" i="207" s="1"/>
  <c r="D23" i="207"/>
  <c r="D24" i="207"/>
  <c r="D25" i="207"/>
  <c r="D26" i="207"/>
  <c r="K26" i="207" s="1"/>
  <c r="D27" i="207"/>
  <c r="D28" i="207"/>
  <c r="D29" i="207"/>
  <c r="D30" i="207"/>
  <c r="K30" i="207" s="1"/>
  <c r="D31" i="207"/>
  <c r="D32" i="207"/>
  <c r="D33" i="207"/>
  <c r="D34" i="207"/>
  <c r="K34" i="207" s="1"/>
  <c r="D35" i="207"/>
  <c r="D36" i="207"/>
  <c r="D37" i="207"/>
  <c r="D38" i="207"/>
  <c r="K38" i="207" s="1"/>
  <c r="D39" i="207"/>
  <c r="D40" i="207"/>
  <c r="D41" i="207"/>
  <c r="D42" i="207"/>
  <c r="K42" i="207" s="1"/>
  <c r="D43" i="207"/>
  <c r="D44" i="207"/>
  <c r="D45" i="207"/>
  <c r="D46" i="207"/>
  <c r="K46" i="207" s="1"/>
  <c r="D47" i="207"/>
  <c r="D48" i="207"/>
  <c r="D49" i="207"/>
  <c r="D50" i="207"/>
  <c r="K50" i="207" s="1"/>
  <c r="D51" i="207"/>
  <c r="D52" i="207"/>
  <c r="D53" i="207"/>
  <c r="D54" i="207"/>
  <c r="K54" i="207" s="1"/>
  <c r="D55" i="207"/>
  <c r="D56" i="207"/>
  <c r="D57" i="207"/>
  <c r="D58" i="207"/>
  <c r="K58" i="207" s="1"/>
  <c r="D59" i="207"/>
  <c r="D60" i="207"/>
  <c r="D61" i="207"/>
  <c r="D62" i="207"/>
  <c r="K62" i="207" s="1"/>
  <c r="D63" i="207"/>
  <c r="D64" i="207"/>
  <c r="D65" i="207"/>
  <c r="D66" i="207"/>
  <c r="K66" i="207" s="1"/>
  <c r="D67" i="207"/>
  <c r="D68" i="207"/>
  <c r="D69" i="207"/>
  <c r="D70" i="207"/>
  <c r="K70" i="207" s="1"/>
  <c r="D71" i="207"/>
  <c r="D72" i="207"/>
  <c r="D73" i="207"/>
  <c r="D74" i="207"/>
  <c r="K74" i="207" s="1"/>
  <c r="D75" i="207"/>
  <c r="D76" i="207"/>
  <c r="D77" i="207"/>
  <c r="D78" i="207"/>
  <c r="K78" i="207" s="1"/>
  <c r="D79" i="207"/>
  <c r="D80" i="207"/>
  <c r="D81" i="207"/>
  <c r="D82" i="207"/>
  <c r="K82" i="207" s="1"/>
  <c r="D83" i="207"/>
  <c r="D84" i="207"/>
  <c r="D85" i="207"/>
  <c r="D86" i="207"/>
  <c r="K86" i="207" s="1"/>
  <c r="D87" i="207"/>
  <c r="D88" i="207"/>
  <c r="D89" i="207"/>
  <c r="D90" i="207"/>
  <c r="K90" i="207" s="1"/>
  <c r="D91" i="207"/>
  <c r="D92" i="207"/>
  <c r="D93" i="207"/>
  <c r="D94" i="207"/>
  <c r="K94" i="207" s="1"/>
  <c r="D95" i="207"/>
  <c r="D96" i="207"/>
  <c r="D97" i="207"/>
  <c r="D98" i="207"/>
  <c r="K98" i="207" s="1"/>
  <c r="D99" i="207"/>
  <c r="D100" i="207"/>
  <c r="D101" i="207"/>
  <c r="D102" i="207"/>
  <c r="K102" i="207" s="1"/>
  <c r="D103" i="207"/>
  <c r="D104" i="207"/>
  <c r="D105" i="207"/>
  <c r="D106" i="207"/>
  <c r="K106" i="207" s="1"/>
  <c r="D107" i="207"/>
  <c r="D108" i="207"/>
  <c r="D109" i="207"/>
  <c r="D110" i="207"/>
  <c r="K110" i="207" s="1"/>
  <c r="D111" i="207"/>
  <c r="D112" i="207"/>
  <c r="D113" i="207"/>
  <c r="D114" i="207"/>
  <c r="K114" i="207" s="1"/>
  <c r="D115" i="207"/>
  <c r="D116" i="207"/>
  <c r="D117" i="207"/>
  <c r="D118" i="207"/>
  <c r="K118" i="207" s="1"/>
  <c r="D119" i="207"/>
  <c r="D120" i="207"/>
  <c r="D121" i="207"/>
  <c r="D122" i="207"/>
  <c r="K122" i="207" s="1"/>
  <c r="D123" i="207"/>
  <c r="D124" i="207"/>
  <c r="D125" i="207"/>
  <c r="D126" i="207"/>
  <c r="K126" i="207" s="1"/>
  <c r="D127" i="207"/>
  <c r="D128" i="207"/>
  <c r="D129" i="207"/>
  <c r="D130" i="207"/>
  <c r="K130" i="207" s="1"/>
  <c r="D131" i="207"/>
  <c r="D132" i="207"/>
  <c r="D133" i="207"/>
  <c r="D134" i="207"/>
  <c r="K134" i="207" s="1"/>
  <c r="D135" i="207"/>
  <c r="D136" i="207"/>
  <c r="D137" i="207"/>
  <c r="D138" i="207"/>
  <c r="K138" i="207" s="1"/>
  <c r="D139" i="207"/>
  <c r="D140" i="207"/>
  <c r="D141" i="207"/>
  <c r="D142" i="207"/>
  <c r="K142" i="207" s="1"/>
  <c r="D143" i="207"/>
  <c r="D144" i="207"/>
  <c r="D145" i="207"/>
  <c r="D146" i="207"/>
  <c r="K146" i="207" s="1"/>
  <c r="D147" i="207"/>
  <c r="D148" i="207"/>
  <c r="D149" i="207"/>
  <c r="D150" i="207"/>
  <c r="K150" i="207" s="1"/>
  <c r="D151" i="207"/>
  <c r="D152" i="207"/>
  <c r="D153" i="207"/>
  <c r="D154" i="207"/>
  <c r="K154" i="207" s="1"/>
  <c r="D155" i="207"/>
  <c r="D156" i="207"/>
  <c r="D157" i="207"/>
  <c r="D158" i="207"/>
  <c r="K158" i="207" s="1"/>
  <c r="D159" i="207"/>
  <c r="D160" i="207"/>
  <c r="D161" i="207"/>
  <c r="D162" i="207"/>
  <c r="K162" i="207" s="1"/>
  <c r="D163" i="207"/>
  <c r="D164" i="207"/>
  <c r="D165" i="207"/>
  <c r="D166" i="207"/>
  <c r="K166" i="207" s="1"/>
  <c r="D167" i="207"/>
  <c r="D168" i="207"/>
  <c r="D169" i="207"/>
  <c r="D170" i="207"/>
  <c r="K170" i="207" s="1"/>
  <c r="D171" i="207"/>
  <c r="D172" i="207"/>
  <c r="D173" i="207"/>
  <c r="D174" i="207"/>
  <c r="K174" i="207" s="1"/>
  <c r="D175" i="207"/>
  <c r="D176" i="207"/>
  <c r="D177" i="207"/>
  <c r="D178" i="207"/>
  <c r="K178" i="207" s="1"/>
  <c r="D179" i="207"/>
  <c r="D180" i="207"/>
  <c r="D181" i="207"/>
  <c r="D182" i="207"/>
  <c r="K182" i="207" s="1"/>
  <c r="D183" i="207"/>
  <c r="D184" i="207"/>
  <c r="D185" i="207"/>
  <c r="D186" i="207"/>
  <c r="K186" i="207" s="1"/>
  <c r="D187" i="207"/>
  <c r="D188" i="207"/>
  <c r="D189" i="207"/>
  <c r="D190" i="207"/>
  <c r="K190" i="207" s="1"/>
  <c r="D191" i="207"/>
  <c r="D192" i="207"/>
  <c r="D193" i="207"/>
  <c r="D194" i="207"/>
  <c r="K194" i="207" s="1"/>
  <c r="D195" i="207"/>
  <c r="D196" i="207"/>
  <c r="D197" i="207"/>
  <c r="D198" i="207"/>
  <c r="K198" i="207" s="1"/>
  <c r="D199" i="207"/>
  <c r="D200" i="207"/>
  <c r="D201" i="207"/>
  <c r="D202" i="207"/>
  <c r="K202" i="207" s="1"/>
  <c r="D203" i="207"/>
  <c r="D204" i="207"/>
  <c r="D205" i="207"/>
  <c r="D206" i="207"/>
  <c r="K206" i="207" s="1"/>
  <c r="D207" i="207"/>
  <c r="D208" i="207"/>
  <c r="D209" i="207"/>
  <c r="D210" i="207"/>
  <c r="K210" i="207" s="1"/>
  <c r="D211" i="207"/>
  <c r="D212" i="207"/>
  <c r="D213" i="207"/>
  <c r="D214" i="207"/>
  <c r="K214" i="207" s="1"/>
  <c r="D215" i="207"/>
  <c r="D216" i="207"/>
  <c r="D217" i="207"/>
  <c r="D218" i="207"/>
  <c r="K218" i="207" s="1"/>
  <c r="D219" i="207"/>
  <c r="D220" i="207"/>
  <c r="D221" i="207"/>
  <c r="D222" i="207"/>
  <c r="K222" i="207" s="1"/>
  <c r="D223" i="207"/>
  <c r="D224" i="207"/>
  <c r="D225" i="207"/>
  <c r="D226" i="207"/>
  <c r="K226" i="207" s="1"/>
  <c r="D227" i="207"/>
  <c r="D228" i="207"/>
  <c r="D229" i="207"/>
  <c r="D230" i="207"/>
  <c r="K230" i="207" s="1"/>
  <c r="D231" i="207"/>
  <c r="D232" i="207"/>
  <c r="D233" i="207"/>
  <c r="D234" i="207"/>
  <c r="K234" i="207" s="1"/>
  <c r="D235" i="207"/>
  <c r="D236" i="207"/>
  <c r="D237" i="207"/>
  <c r="D238" i="207"/>
  <c r="K238" i="207" s="1"/>
  <c r="D239" i="207"/>
  <c r="D240" i="207"/>
  <c r="D241" i="207"/>
  <c r="D242" i="207"/>
  <c r="K242" i="207" s="1"/>
  <c r="D243" i="207"/>
  <c r="D244" i="207"/>
  <c r="D245" i="207"/>
  <c r="D246" i="207"/>
  <c r="K246" i="207" s="1"/>
  <c r="D247" i="207"/>
  <c r="D248" i="207"/>
  <c r="D249" i="207"/>
  <c r="D250" i="207"/>
  <c r="K250" i="207" s="1"/>
  <c r="D251" i="207"/>
  <c r="D252" i="207"/>
  <c r="D253" i="207"/>
  <c r="D254" i="207"/>
  <c r="K254" i="207" s="1"/>
  <c r="D255" i="207"/>
  <c r="D256" i="207"/>
  <c r="D257" i="207"/>
  <c r="D258" i="207"/>
  <c r="K258" i="207" s="1"/>
  <c r="D259" i="207"/>
  <c r="D260" i="207"/>
  <c r="D261" i="207"/>
  <c r="D262" i="207"/>
  <c r="K262" i="207" s="1"/>
  <c r="D263" i="207"/>
  <c r="D264" i="207"/>
  <c r="D265" i="207"/>
  <c r="D266" i="207"/>
  <c r="K266" i="207" s="1"/>
  <c r="D267" i="207"/>
  <c r="D268" i="207"/>
  <c r="D269" i="207"/>
  <c r="D270" i="207"/>
  <c r="K270" i="207" s="1"/>
  <c r="D271" i="207"/>
  <c r="D272" i="207"/>
  <c r="D273" i="207"/>
  <c r="D274" i="207"/>
  <c r="K274" i="207" s="1"/>
  <c r="D275" i="207"/>
  <c r="D276" i="207"/>
  <c r="D277" i="207"/>
  <c r="D278" i="207"/>
  <c r="K278" i="207" s="1"/>
  <c r="D279" i="207"/>
  <c r="D280" i="207"/>
  <c r="D281" i="207"/>
  <c r="D282" i="207"/>
  <c r="K282" i="207" s="1"/>
  <c r="D283" i="207"/>
  <c r="D284" i="207"/>
  <c r="D285" i="207"/>
  <c r="D286" i="207"/>
  <c r="K286" i="207" s="1"/>
  <c r="D287" i="207"/>
  <c r="D288" i="207"/>
  <c r="D289" i="207"/>
  <c r="D290" i="207"/>
  <c r="K290" i="207" s="1"/>
  <c r="D291" i="207"/>
  <c r="D292" i="207"/>
  <c r="D293" i="207"/>
  <c r="D294" i="207"/>
  <c r="K294" i="207" s="1"/>
  <c r="D295" i="207"/>
  <c r="D296" i="207"/>
  <c r="D297" i="207"/>
  <c r="D298" i="207"/>
  <c r="K298" i="207" s="1"/>
  <c r="D299" i="207"/>
  <c r="D300" i="207"/>
  <c r="D301" i="207"/>
  <c r="D302" i="207"/>
  <c r="K302" i="207" s="1"/>
  <c r="D303" i="207"/>
  <c r="D304" i="207"/>
  <c r="D305" i="207"/>
  <c r="D306" i="207"/>
  <c r="K306" i="207" s="1"/>
  <c r="D307" i="207"/>
  <c r="D308" i="207"/>
  <c r="D309" i="207"/>
  <c r="D310" i="207"/>
  <c r="K310" i="207" s="1"/>
  <c r="D311" i="207"/>
  <c r="D312" i="207"/>
  <c r="D313" i="207"/>
  <c r="D314" i="207"/>
  <c r="K314" i="207" s="1"/>
  <c r="D315" i="207"/>
  <c r="D316" i="207"/>
  <c r="D317" i="207"/>
  <c r="D318" i="207"/>
  <c r="K318" i="207" s="1"/>
  <c r="D319" i="207"/>
  <c r="D320" i="207"/>
  <c r="D321" i="207"/>
  <c r="D322" i="207"/>
  <c r="K322" i="207" s="1"/>
  <c r="D323" i="207"/>
  <c r="C14" i="207"/>
  <c r="C15" i="207"/>
  <c r="C16" i="207"/>
  <c r="C17" i="207"/>
  <c r="C18" i="207"/>
  <c r="C19" i="207"/>
  <c r="C20" i="207"/>
  <c r="C21" i="207"/>
  <c r="C22" i="207"/>
  <c r="C23" i="207"/>
  <c r="C24" i="207"/>
  <c r="C25" i="207"/>
  <c r="C26" i="207"/>
  <c r="C27" i="207"/>
  <c r="C28" i="207"/>
  <c r="C29" i="207"/>
  <c r="C30" i="207"/>
  <c r="C31" i="207"/>
  <c r="C32" i="207"/>
  <c r="C33" i="207"/>
  <c r="C34" i="207"/>
  <c r="C35" i="207"/>
  <c r="C36" i="207"/>
  <c r="C37" i="207"/>
  <c r="C38" i="207"/>
  <c r="C39" i="207"/>
  <c r="C40" i="207"/>
  <c r="C41" i="207"/>
  <c r="C42" i="207"/>
  <c r="C43" i="207"/>
  <c r="C44" i="207"/>
  <c r="C45" i="207"/>
  <c r="C46" i="207"/>
  <c r="C47" i="207"/>
  <c r="C48" i="207"/>
  <c r="C49" i="207"/>
  <c r="C50" i="207"/>
  <c r="C51" i="207"/>
  <c r="C52" i="207"/>
  <c r="C53" i="207"/>
  <c r="C54" i="207"/>
  <c r="C55" i="207"/>
  <c r="C56" i="207"/>
  <c r="C57" i="207"/>
  <c r="C58" i="207"/>
  <c r="C59" i="207"/>
  <c r="C60" i="207"/>
  <c r="C61" i="207"/>
  <c r="C62" i="207"/>
  <c r="C63" i="207"/>
  <c r="C64" i="207"/>
  <c r="C65" i="207"/>
  <c r="C66" i="207"/>
  <c r="C67" i="207"/>
  <c r="C68" i="207"/>
  <c r="C69" i="207"/>
  <c r="C70" i="207"/>
  <c r="C71" i="207"/>
  <c r="C72" i="207"/>
  <c r="C73" i="207"/>
  <c r="C74" i="207"/>
  <c r="C75" i="207"/>
  <c r="C76" i="207"/>
  <c r="C77" i="207"/>
  <c r="C78" i="207"/>
  <c r="C79" i="207"/>
  <c r="C80" i="207"/>
  <c r="C81" i="207"/>
  <c r="C82" i="207"/>
  <c r="C83" i="207"/>
  <c r="C84" i="207"/>
  <c r="C85" i="207"/>
  <c r="C86" i="207"/>
  <c r="C87" i="207"/>
  <c r="C88" i="207"/>
  <c r="C89" i="207"/>
  <c r="C90" i="207"/>
  <c r="C91" i="207"/>
  <c r="C92" i="207"/>
  <c r="C93" i="207"/>
  <c r="C94" i="207"/>
  <c r="C95" i="207"/>
  <c r="C96" i="207"/>
  <c r="C97" i="207"/>
  <c r="C98" i="207"/>
  <c r="C99" i="207"/>
  <c r="C100" i="207"/>
  <c r="C101" i="207"/>
  <c r="C102" i="207"/>
  <c r="C103" i="207"/>
  <c r="C104" i="207"/>
  <c r="C105" i="207"/>
  <c r="C106" i="207"/>
  <c r="C107" i="207"/>
  <c r="C108" i="207"/>
  <c r="C109" i="207"/>
  <c r="C110" i="207"/>
  <c r="C111" i="207"/>
  <c r="C112" i="207"/>
  <c r="C113" i="207"/>
  <c r="C114" i="207"/>
  <c r="C115" i="207"/>
  <c r="C116" i="207"/>
  <c r="C117" i="207"/>
  <c r="C118" i="207"/>
  <c r="C119" i="207"/>
  <c r="C120" i="207"/>
  <c r="C121" i="207"/>
  <c r="C122" i="207"/>
  <c r="C123" i="207"/>
  <c r="C124" i="207"/>
  <c r="C125" i="207"/>
  <c r="C126" i="207"/>
  <c r="C127" i="207"/>
  <c r="C128" i="207"/>
  <c r="C129" i="207"/>
  <c r="C130" i="207"/>
  <c r="C131" i="207"/>
  <c r="C132" i="207"/>
  <c r="C133" i="207"/>
  <c r="C134" i="207"/>
  <c r="C135" i="207"/>
  <c r="C136" i="207"/>
  <c r="C137" i="207"/>
  <c r="C138" i="207"/>
  <c r="C139" i="207"/>
  <c r="C140" i="207"/>
  <c r="C141" i="207"/>
  <c r="C142" i="207"/>
  <c r="C143" i="207"/>
  <c r="C144" i="207"/>
  <c r="C145" i="207"/>
  <c r="C146" i="207"/>
  <c r="C147" i="207"/>
  <c r="C148" i="207"/>
  <c r="C149" i="207"/>
  <c r="C150" i="207"/>
  <c r="C151" i="207"/>
  <c r="C152" i="207"/>
  <c r="C153" i="207"/>
  <c r="C154" i="207"/>
  <c r="C155" i="207"/>
  <c r="C156" i="207"/>
  <c r="C157" i="207"/>
  <c r="C158" i="207"/>
  <c r="C159" i="207"/>
  <c r="C160" i="207"/>
  <c r="C161" i="207"/>
  <c r="C162" i="207"/>
  <c r="C163" i="207"/>
  <c r="C164" i="207"/>
  <c r="C165" i="207"/>
  <c r="C166" i="207"/>
  <c r="C167" i="207"/>
  <c r="C168" i="207"/>
  <c r="C169" i="207"/>
  <c r="C170" i="207"/>
  <c r="C171" i="207"/>
  <c r="C172" i="207"/>
  <c r="C173" i="207"/>
  <c r="C174" i="207"/>
  <c r="C175" i="207"/>
  <c r="C176" i="207"/>
  <c r="C177" i="207"/>
  <c r="C178" i="207"/>
  <c r="C179" i="207"/>
  <c r="C180" i="207"/>
  <c r="C181" i="207"/>
  <c r="C182" i="207"/>
  <c r="C183" i="207"/>
  <c r="C184" i="207"/>
  <c r="C185" i="207"/>
  <c r="C186" i="207"/>
  <c r="C187" i="207"/>
  <c r="C188" i="207"/>
  <c r="C189" i="207"/>
  <c r="C190" i="207"/>
  <c r="C191" i="207"/>
  <c r="C192" i="207"/>
  <c r="C193" i="207"/>
  <c r="C194" i="207"/>
  <c r="C195" i="207"/>
  <c r="C196" i="207"/>
  <c r="C197" i="207"/>
  <c r="C198" i="207"/>
  <c r="C199" i="207"/>
  <c r="C200" i="207"/>
  <c r="C201" i="207"/>
  <c r="C202" i="207"/>
  <c r="C203" i="207"/>
  <c r="C204" i="207"/>
  <c r="C205" i="207"/>
  <c r="C206" i="207"/>
  <c r="C207" i="207"/>
  <c r="C208" i="207"/>
  <c r="C209" i="207"/>
  <c r="C210" i="207"/>
  <c r="C211" i="207"/>
  <c r="C212" i="207"/>
  <c r="C213" i="207"/>
  <c r="C214" i="207"/>
  <c r="C215" i="207"/>
  <c r="C216" i="207"/>
  <c r="C217" i="207"/>
  <c r="C218" i="207"/>
  <c r="C219" i="207"/>
  <c r="C220" i="207"/>
  <c r="C221" i="207"/>
  <c r="C222" i="207"/>
  <c r="C223" i="207"/>
  <c r="C224" i="207"/>
  <c r="C225" i="207"/>
  <c r="C226" i="207"/>
  <c r="C227" i="207"/>
  <c r="C228" i="207"/>
  <c r="C229" i="207"/>
  <c r="C230" i="207"/>
  <c r="C231" i="207"/>
  <c r="C232" i="207"/>
  <c r="C233" i="207"/>
  <c r="C234" i="207"/>
  <c r="C235" i="207"/>
  <c r="C236" i="207"/>
  <c r="C237" i="207"/>
  <c r="C238" i="207"/>
  <c r="C239" i="207"/>
  <c r="C240" i="207"/>
  <c r="C241" i="207"/>
  <c r="C242" i="207"/>
  <c r="C243" i="207"/>
  <c r="C244" i="207"/>
  <c r="C245" i="207"/>
  <c r="C246" i="207"/>
  <c r="C247" i="207"/>
  <c r="C248" i="207"/>
  <c r="C249" i="207"/>
  <c r="C250" i="207"/>
  <c r="C251" i="207"/>
  <c r="C252" i="207"/>
  <c r="C253" i="207"/>
  <c r="C254" i="207"/>
  <c r="C255" i="207"/>
  <c r="C256" i="207"/>
  <c r="C257" i="207"/>
  <c r="C258" i="207"/>
  <c r="C259" i="207"/>
  <c r="C260" i="207"/>
  <c r="C261" i="207"/>
  <c r="C262" i="207"/>
  <c r="C263" i="207"/>
  <c r="C264" i="207"/>
  <c r="C265" i="207"/>
  <c r="C266" i="207"/>
  <c r="C267" i="207"/>
  <c r="C268" i="207"/>
  <c r="C269" i="207"/>
  <c r="C270" i="207"/>
  <c r="C271" i="207"/>
  <c r="C272" i="207"/>
  <c r="C273" i="207"/>
  <c r="C274" i="207"/>
  <c r="C275" i="207"/>
  <c r="C276" i="207"/>
  <c r="C277" i="207"/>
  <c r="C278" i="207"/>
  <c r="C279" i="207"/>
  <c r="C280" i="207"/>
  <c r="C281" i="207"/>
  <c r="C282" i="207"/>
  <c r="C283" i="207"/>
  <c r="C284" i="207"/>
  <c r="C285" i="207"/>
  <c r="C286" i="207"/>
  <c r="C287" i="207"/>
  <c r="C288" i="207"/>
  <c r="C289" i="207"/>
  <c r="C290" i="207"/>
  <c r="C291" i="207"/>
  <c r="C292" i="207"/>
  <c r="C293" i="207"/>
  <c r="C294" i="207"/>
  <c r="C295" i="207"/>
  <c r="C296" i="207"/>
  <c r="C297" i="207"/>
  <c r="C298" i="207"/>
  <c r="C299" i="207"/>
  <c r="C300" i="207"/>
  <c r="C301" i="207"/>
  <c r="C302" i="207"/>
  <c r="C303" i="207"/>
  <c r="C304" i="207"/>
  <c r="C305" i="207"/>
  <c r="C306" i="207"/>
  <c r="C307" i="207"/>
  <c r="C308" i="207"/>
  <c r="C309" i="207"/>
  <c r="C310" i="207"/>
  <c r="C311" i="207"/>
  <c r="C312" i="207"/>
  <c r="C313" i="207"/>
  <c r="C314" i="207"/>
  <c r="C315" i="207"/>
  <c r="C316" i="207"/>
  <c r="C317" i="207"/>
  <c r="C318" i="207"/>
  <c r="C319" i="207"/>
  <c r="C320" i="207"/>
  <c r="C321" i="207"/>
  <c r="C322" i="207"/>
  <c r="C323" i="207"/>
  <c r="K323" i="207"/>
  <c r="I323" i="207"/>
  <c r="I322" i="207"/>
  <c r="K321" i="207"/>
  <c r="K320" i="207"/>
  <c r="I320" i="207"/>
  <c r="K319" i="207"/>
  <c r="I319" i="207"/>
  <c r="I318" i="207"/>
  <c r="K317" i="207"/>
  <c r="K316" i="207"/>
  <c r="I316" i="207"/>
  <c r="K315" i="207"/>
  <c r="I315" i="207"/>
  <c r="I314" i="207"/>
  <c r="K313" i="207"/>
  <c r="K312" i="207"/>
  <c r="I312" i="207"/>
  <c r="K311" i="207"/>
  <c r="I311" i="207"/>
  <c r="I310" i="207"/>
  <c r="K309" i="207"/>
  <c r="K308" i="207"/>
  <c r="I308" i="207"/>
  <c r="K307" i="207"/>
  <c r="I307" i="207"/>
  <c r="I306" i="207"/>
  <c r="K305" i="207"/>
  <c r="K304" i="207"/>
  <c r="I304" i="207"/>
  <c r="K303" i="207"/>
  <c r="I303" i="207"/>
  <c r="I302" i="207"/>
  <c r="K301" i="207"/>
  <c r="K300" i="207"/>
  <c r="I300" i="207"/>
  <c r="K299" i="207"/>
  <c r="I299" i="207"/>
  <c r="I298" i="207"/>
  <c r="K297" i="207"/>
  <c r="K296" i="207"/>
  <c r="I296" i="207"/>
  <c r="K295" i="207"/>
  <c r="I295" i="207"/>
  <c r="I294" i="207"/>
  <c r="K293" i="207"/>
  <c r="K292" i="207"/>
  <c r="I292" i="207"/>
  <c r="K291" i="207"/>
  <c r="I291" i="207"/>
  <c r="I290" i="207"/>
  <c r="K289" i="207"/>
  <c r="K288" i="207"/>
  <c r="I288" i="207"/>
  <c r="K287" i="207"/>
  <c r="I287" i="207"/>
  <c r="I286" i="207"/>
  <c r="K285" i="207"/>
  <c r="K284" i="207"/>
  <c r="I284" i="207"/>
  <c r="K283" i="207"/>
  <c r="I283" i="207"/>
  <c r="I282" i="207"/>
  <c r="K281" i="207"/>
  <c r="K280" i="207"/>
  <c r="I280" i="207"/>
  <c r="K279" i="207"/>
  <c r="I279" i="207"/>
  <c r="I278" i="207"/>
  <c r="K277" i="207"/>
  <c r="K276" i="207"/>
  <c r="I276" i="207"/>
  <c r="K275" i="207"/>
  <c r="I275" i="207"/>
  <c r="I274" i="207"/>
  <c r="K273" i="207"/>
  <c r="K272" i="207"/>
  <c r="I272" i="207"/>
  <c r="K271" i="207"/>
  <c r="I271" i="207"/>
  <c r="I270" i="207"/>
  <c r="K269" i="207"/>
  <c r="K268" i="207"/>
  <c r="I268" i="207"/>
  <c r="K267" i="207"/>
  <c r="I267" i="207"/>
  <c r="I266" i="207"/>
  <c r="K265" i="207"/>
  <c r="K264" i="207"/>
  <c r="I264" i="207"/>
  <c r="K263" i="207"/>
  <c r="I263" i="207"/>
  <c r="I262" i="207"/>
  <c r="K261" i="207"/>
  <c r="K260" i="207"/>
  <c r="I260" i="207"/>
  <c r="K259" i="207"/>
  <c r="I259" i="207"/>
  <c r="I258" i="207"/>
  <c r="K257" i="207"/>
  <c r="K256" i="207"/>
  <c r="I256" i="207"/>
  <c r="K255" i="207"/>
  <c r="I255" i="207"/>
  <c r="I254" i="207"/>
  <c r="K253" i="207"/>
  <c r="K252" i="207"/>
  <c r="I252" i="207"/>
  <c r="K251" i="207"/>
  <c r="I251" i="207"/>
  <c r="I250" i="207"/>
  <c r="K249" i="207"/>
  <c r="K248" i="207"/>
  <c r="I248" i="207"/>
  <c r="K247" i="207"/>
  <c r="I247" i="207"/>
  <c r="I246" i="207"/>
  <c r="K245" i="207"/>
  <c r="K244" i="207"/>
  <c r="I244" i="207"/>
  <c r="K243" i="207"/>
  <c r="I243" i="207"/>
  <c r="I242" i="207"/>
  <c r="K241" i="207"/>
  <c r="K240" i="207"/>
  <c r="I240" i="207"/>
  <c r="K239" i="207"/>
  <c r="I239" i="207"/>
  <c r="I238" i="207"/>
  <c r="K237" i="207"/>
  <c r="K236" i="207"/>
  <c r="I236" i="207"/>
  <c r="K235" i="207"/>
  <c r="I235" i="207"/>
  <c r="I234" i="207"/>
  <c r="K233" i="207"/>
  <c r="K232" i="207"/>
  <c r="I232" i="207"/>
  <c r="K231" i="207"/>
  <c r="I231" i="207"/>
  <c r="I230" i="207"/>
  <c r="K229" i="207"/>
  <c r="K228" i="207"/>
  <c r="I228" i="207"/>
  <c r="K227" i="207"/>
  <c r="I227" i="207"/>
  <c r="I226" i="207"/>
  <c r="K225" i="207"/>
  <c r="K224" i="207"/>
  <c r="I224" i="207"/>
  <c r="K223" i="207"/>
  <c r="I223" i="207"/>
  <c r="I222" i="207"/>
  <c r="K221" i="207"/>
  <c r="K220" i="207"/>
  <c r="I220" i="207"/>
  <c r="K219" i="207"/>
  <c r="I219" i="207"/>
  <c r="I218" i="207"/>
  <c r="K217" i="207"/>
  <c r="K216" i="207"/>
  <c r="I216" i="207"/>
  <c r="K215" i="207"/>
  <c r="I215" i="207"/>
  <c r="I214" i="207"/>
  <c r="K213" i="207"/>
  <c r="K212" i="207"/>
  <c r="I212" i="207"/>
  <c r="K211" i="207"/>
  <c r="I211" i="207"/>
  <c r="I210" i="207"/>
  <c r="K209" i="207"/>
  <c r="K208" i="207"/>
  <c r="I208" i="207"/>
  <c r="K207" i="207"/>
  <c r="I207" i="207"/>
  <c r="I206" i="207"/>
  <c r="K205" i="207"/>
  <c r="K204" i="207"/>
  <c r="I204" i="207"/>
  <c r="K203" i="207"/>
  <c r="I203" i="207"/>
  <c r="I202" i="207"/>
  <c r="K201" i="207"/>
  <c r="K200" i="207"/>
  <c r="I200" i="207"/>
  <c r="K199" i="207"/>
  <c r="I199" i="207"/>
  <c r="I198" i="207"/>
  <c r="K197" i="207"/>
  <c r="K196" i="207"/>
  <c r="I196" i="207"/>
  <c r="K195" i="207"/>
  <c r="I195" i="207"/>
  <c r="I194" i="207"/>
  <c r="K193" i="207"/>
  <c r="K192" i="207"/>
  <c r="I192" i="207"/>
  <c r="K191" i="207"/>
  <c r="I191" i="207"/>
  <c r="I190" i="207"/>
  <c r="K189" i="207"/>
  <c r="K188" i="207"/>
  <c r="I188" i="207"/>
  <c r="K187" i="207"/>
  <c r="I187" i="207"/>
  <c r="I186" i="207"/>
  <c r="K185" i="207"/>
  <c r="K184" i="207"/>
  <c r="I184" i="207"/>
  <c r="K183" i="207"/>
  <c r="I183" i="207"/>
  <c r="I182" i="207"/>
  <c r="K181" i="207"/>
  <c r="K180" i="207"/>
  <c r="I180" i="207"/>
  <c r="K179" i="207"/>
  <c r="I179" i="207"/>
  <c r="I178" i="207"/>
  <c r="K177" i="207"/>
  <c r="K176" i="207"/>
  <c r="I176" i="207"/>
  <c r="K175" i="207"/>
  <c r="I175" i="207"/>
  <c r="I174" i="207"/>
  <c r="K173" i="207"/>
  <c r="K172" i="207"/>
  <c r="I172" i="207"/>
  <c r="K171" i="207"/>
  <c r="I171" i="207"/>
  <c r="I170" i="207"/>
  <c r="K169" i="207"/>
  <c r="K168" i="207"/>
  <c r="I168" i="207"/>
  <c r="K167" i="207"/>
  <c r="I167" i="207"/>
  <c r="I166" i="207"/>
  <c r="K165" i="207"/>
  <c r="K164" i="207"/>
  <c r="I164" i="207"/>
  <c r="K163" i="207"/>
  <c r="I163" i="207"/>
  <c r="I162" i="207"/>
  <c r="K161" i="207"/>
  <c r="K160" i="207"/>
  <c r="I160" i="207"/>
  <c r="K159" i="207"/>
  <c r="I159" i="207"/>
  <c r="I158" i="207"/>
  <c r="K157" i="207"/>
  <c r="K156" i="207"/>
  <c r="I156" i="207"/>
  <c r="K155" i="207"/>
  <c r="I155" i="207"/>
  <c r="I154" i="207"/>
  <c r="K153" i="207"/>
  <c r="K152" i="207"/>
  <c r="I152" i="207"/>
  <c r="K151" i="207"/>
  <c r="I151" i="207"/>
  <c r="I150" i="207"/>
  <c r="K149" i="207"/>
  <c r="K148" i="207"/>
  <c r="I148" i="207"/>
  <c r="K147" i="207"/>
  <c r="I147" i="207"/>
  <c r="I146" i="207"/>
  <c r="K145" i="207"/>
  <c r="I145" i="207"/>
  <c r="K144" i="207"/>
  <c r="K143" i="207"/>
  <c r="I143" i="207"/>
  <c r="I142" i="207"/>
  <c r="K141" i="207"/>
  <c r="I141" i="207"/>
  <c r="K140" i="207"/>
  <c r="K139" i="207"/>
  <c r="I139" i="207"/>
  <c r="I138" i="207"/>
  <c r="K137" i="207"/>
  <c r="I137" i="207"/>
  <c r="K136" i="207"/>
  <c r="K135" i="207"/>
  <c r="I135" i="207"/>
  <c r="I134" i="207"/>
  <c r="K133" i="207"/>
  <c r="I133" i="207"/>
  <c r="K132" i="207"/>
  <c r="K131" i="207"/>
  <c r="I131" i="207"/>
  <c r="I130" i="207"/>
  <c r="K129" i="207"/>
  <c r="I129" i="207"/>
  <c r="K128" i="207"/>
  <c r="K127" i="207"/>
  <c r="I127" i="207"/>
  <c r="I126" i="207"/>
  <c r="K125" i="207"/>
  <c r="I125" i="207"/>
  <c r="K124" i="207"/>
  <c r="K123" i="207"/>
  <c r="I123" i="207"/>
  <c r="I122" i="207"/>
  <c r="K121" i="207"/>
  <c r="I121" i="207"/>
  <c r="K120" i="207"/>
  <c r="K119" i="207"/>
  <c r="I119" i="207"/>
  <c r="I118" i="207"/>
  <c r="K117" i="207"/>
  <c r="I117" i="207"/>
  <c r="K116" i="207"/>
  <c r="K115" i="207"/>
  <c r="I115" i="207"/>
  <c r="I114" i="207"/>
  <c r="K113" i="207"/>
  <c r="I113" i="207"/>
  <c r="K112" i="207"/>
  <c r="K111" i="207"/>
  <c r="I111" i="207"/>
  <c r="I110" i="207"/>
  <c r="K109" i="207"/>
  <c r="I109" i="207"/>
  <c r="K108" i="207"/>
  <c r="K107" i="207"/>
  <c r="I107" i="207"/>
  <c r="I106" i="207"/>
  <c r="K105" i="207"/>
  <c r="I105" i="207"/>
  <c r="K104" i="207"/>
  <c r="K103" i="207"/>
  <c r="I103" i="207"/>
  <c r="I102" i="207"/>
  <c r="K101" i="207"/>
  <c r="I101" i="207"/>
  <c r="K100" i="207"/>
  <c r="K99" i="207"/>
  <c r="I99" i="207"/>
  <c r="I98" i="207"/>
  <c r="K97" i="207"/>
  <c r="I97" i="207"/>
  <c r="K96" i="207"/>
  <c r="K95" i="207"/>
  <c r="I95" i="207"/>
  <c r="I94" i="207"/>
  <c r="K93" i="207"/>
  <c r="I93" i="207"/>
  <c r="K92" i="207"/>
  <c r="K91" i="207"/>
  <c r="I91" i="207"/>
  <c r="I90" i="207"/>
  <c r="K89" i="207"/>
  <c r="I89" i="207"/>
  <c r="K88" i="207"/>
  <c r="K87" i="207"/>
  <c r="I87" i="207"/>
  <c r="I86" i="207"/>
  <c r="K85" i="207"/>
  <c r="I85" i="207"/>
  <c r="K84" i="207"/>
  <c r="K83" i="207"/>
  <c r="I83" i="207"/>
  <c r="I82" i="207"/>
  <c r="K81" i="207"/>
  <c r="I81" i="207"/>
  <c r="K80" i="207"/>
  <c r="K79" i="207"/>
  <c r="I79" i="207"/>
  <c r="I78" i="207"/>
  <c r="K77" i="207"/>
  <c r="I77" i="207"/>
  <c r="K76" i="207"/>
  <c r="K75" i="207"/>
  <c r="I75" i="207"/>
  <c r="I74" i="207"/>
  <c r="K73" i="207"/>
  <c r="I73" i="207"/>
  <c r="K72" i="207"/>
  <c r="K71" i="207"/>
  <c r="I71" i="207"/>
  <c r="I70" i="207"/>
  <c r="K69" i="207"/>
  <c r="I69" i="207"/>
  <c r="K68" i="207"/>
  <c r="K67" i="207"/>
  <c r="I67" i="207"/>
  <c r="I66" i="207"/>
  <c r="K65" i="207"/>
  <c r="I65" i="207"/>
  <c r="K64" i="207"/>
  <c r="K63" i="207"/>
  <c r="I63" i="207"/>
  <c r="I62" i="207"/>
  <c r="K61" i="207"/>
  <c r="I61" i="207"/>
  <c r="K60" i="207"/>
  <c r="K59" i="207"/>
  <c r="I59" i="207"/>
  <c r="I58" i="207"/>
  <c r="K57" i="207"/>
  <c r="I57" i="207"/>
  <c r="K56" i="207"/>
  <c r="K55" i="207"/>
  <c r="I55" i="207"/>
  <c r="I54" i="207"/>
  <c r="K53" i="207"/>
  <c r="I53" i="207"/>
  <c r="K52" i="207"/>
  <c r="K51" i="207"/>
  <c r="I51" i="207"/>
  <c r="I50" i="207"/>
  <c r="K49" i="207"/>
  <c r="I49" i="207"/>
  <c r="K48" i="207"/>
  <c r="K47" i="207"/>
  <c r="I47" i="207"/>
  <c r="I46" i="207"/>
  <c r="K45" i="207"/>
  <c r="I45" i="207"/>
  <c r="K44" i="207"/>
  <c r="K43" i="207"/>
  <c r="I43" i="207"/>
  <c r="I42" i="207"/>
  <c r="K41" i="207"/>
  <c r="I41" i="207"/>
  <c r="K40" i="207"/>
  <c r="K39" i="207"/>
  <c r="I39" i="207"/>
  <c r="I38" i="207"/>
  <c r="K37" i="207"/>
  <c r="I37" i="207"/>
  <c r="K36" i="207"/>
  <c r="K35" i="207"/>
  <c r="I35" i="207"/>
  <c r="I34" i="207"/>
  <c r="K33" i="207"/>
  <c r="I33" i="207"/>
  <c r="K32" i="207"/>
  <c r="K31" i="207"/>
  <c r="I31" i="207"/>
  <c r="I30" i="207"/>
  <c r="K29" i="207"/>
  <c r="I29" i="207"/>
  <c r="K28" i="207"/>
  <c r="K27" i="207"/>
  <c r="I27" i="207"/>
  <c r="I26" i="207"/>
  <c r="K25" i="207"/>
  <c r="I25" i="207"/>
  <c r="K24" i="207"/>
  <c r="K23" i="207"/>
  <c r="I23" i="207"/>
  <c r="I22" i="207"/>
  <c r="K21" i="207"/>
  <c r="I21" i="207"/>
  <c r="K20" i="207"/>
  <c r="K19" i="207"/>
  <c r="I19" i="207"/>
  <c r="I18" i="207"/>
  <c r="K17" i="207"/>
  <c r="I17" i="207"/>
  <c r="K16" i="207"/>
  <c r="K15" i="207"/>
  <c r="I15" i="207"/>
  <c r="I14" i="207"/>
  <c r="L13" i="205"/>
  <c r="L14" i="205"/>
  <c r="L15" i="205"/>
  <c r="L16" i="205"/>
  <c r="L17" i="205"/>
  <c r="L18" i="205"/>
  <c r="L19" i="205"/>
  <c r="L20" i="205"/>
  <c r="L21" i="205"/>
  <c r="L22" i="205"/>
  <c r="L23" i="205"/>
  <c r="L24" i="205"/>
  <c r="L25" i="205"/>
  <c r="L26" i="205"/>
  <c r="L27" i="205"/>
  <c r="L28" i="205"/>
  <c r="L29" i="205"/>
  <c r="L30" i="205"/>
  <c r="L31" i="205"/>
  <c r="L32" i="205"/>
  <c r="L33" i="205"/>
  <c r="L34" i="205"/>
  <c r="L35" i="205"/>
  <c r="L36" i="205"/>
  <c r="L37" i="205"/>
  <c r="L38" i="205"/>
  <c r="L39" i="205"/>
  <c r="L40" i="205"/>
  <c r="L41" i="205"/>
  <c r="L42" i="205"/>
  <c r="L43" i="205"/>
  <c r="L44" i="205"/>
  <c r="L45" i="205"/>
  <c r="L46" i="205"/>
  <c r="L47" i="205"/>
  <c r="L48" i="205"/>
  <c r="L49" i="205"/>
  <c r="L50" i="205"/>
  <c r="L51" i="205"/>
  <c r="L52" i="205"/>
  <c r="L53" i="205"/>
  <c r="L54" i="205"/>
  <c r="L55" i="205"/>
  <c r="K13" i="205"/>
  <c r="K14" i="205"/>
  <c r="K15" i="205"/>
  <c r="K16" i="205"/>
  <c r="K17" i="205"/>
  <c r="K18" i="205"/>
  <c r="K19" i="205"/>
  <c r="K20" i="205"/>
  <c r="K21" i="205"/>
  <c r="K22" i="205"/>
  <c r="K23" i="205"/>
  <c r="K24" i="205"/>
  <c r="K25" i="205"/>
  <c r="K26" i="205"/>
  <c r="K27" i="205"/>
  <c r="K28" i="205"/>
  <c r="K29" i="205"/>
  <c r="K30" i="205"/>
  <c r="K31" i="205"/>
  <c r="K32" i="205"/>
  <c r="K33" i="205"/>
  <c r="K34" i="205"/>
  <c r="K35" i="205"/>
  <c r="K36" i="205"/>
  <c r="K37" i="205"/>
  <c r="K38" i="205"/>
  <c r="K39" i="205"/>
  <c r="K40" i="205"/>
  <c r="K41" i="205"/>
  <c r="K42" i="205"/>
  <c r="K43" i="205"/>
  <c r="K44" i="205"/>
  <c r="K45" i="205"/>
  <c r="K46" i="205"/>
  <c r="K47" i="205"/>
  <c r="K48" i="205"/>
  <c r="K49" i="205"/>
  <c r="K50" i="205"/>
  <c r="K51" i="205"/>
  <c r="K52" i="205"/>
  <c r="K53" i="205"/>
  <c r="K54" i="205"/>
  <c r="K55" i="205"/>
  <c r="D14" i="205"/>
  <c r="D15" i="205"/>
  <c r="D16" i="205"/>
  <c r="D17" i="205"/>
  <c r="D18" i="205"/>
  <c r="D19" i="205"/>
  <c r="D20" i="205"/>
  <c r="D21" i="205"/>
  <c r="D22" i="205"/>
  <c r="D23" i="205"/>
  <c r="D24" i="205"/>
  <c r="D25" i="205"/>
  <c r="D26" i="205"/>
  <c r="D27" i="205"/>
  <c r="D28" i="205"/>
  <c r="D29" i="205"/>
  <c r="D30" i="205"/>
  <c r="D31" i="205"/>
  <c r="D32" i="205"/>
  <c r="D33" i="205"/>
  <c r="D34" i="205"/>
  <c r="D35" i="205"/>
  <c r="D36" i="205"/>
  <c r="D37" i="205"/>
  <c r="D38" i="205"/>
  <c r="D39" i="205"/>
  <c r="D40" i="205"/>
  <c r="D41" i="205"/>
  <c r="D42" i="205"/>
  <c r="D43" i="205"/>
  <c r="D44" i="205"/>
  <c r="D45" i="205"/>
  <c r="D46" i="205"/>
  <c r="D47" i="205"/>
  <c r="D48" i="205"/>
  <c r="D49" i="205"/>
  <c r="D50" i="205"/>
  <c r="D51" i="205"/>
  <c r="D52" i="205"/>
  <c r="D53" i="205"/>
  <c r="D54" i="205"/>
  <c r="D55" i="205"/>
  <c r="AL55" i="205"/>
  <c r="C55" i="205"/>
  <c r="AL54" i="205"/>
  <c r="C54" i="205"/>
  <c r="AL53" i="205"/>
  <c r="C53" i="205"/>
  <c r="AL52" i="205"/>
  <c r="C52" i="205"/>
  <c r="AL51" i="205"/>
  <c r="C51" i="205"/>
  <c r="AL50" i="205"/>
  <c r="C50" i="205"/>
  <c r="AL49" i="205"/>
  <c r="C49" i="205"/>
  <c r="AL48" i="205"/>
  <c r="C48" i="205"/>
  <c r="AL47" i="205"/>
  <c r="C47" i="205"/>
  <c r="AL46" i="205"/>
  <c r="C46" i="205"/>
  <c r="AL45" i="205"/>
  <c r="C45" i="205"/>
  <c r="AL44" i="205"/>
  <c r="C44" i="205"/>
  <c r="AL43" i="205"/>
  <c r="C43" i="205"/>
  <c r="AL42" i="205"/>
  <c r="C42" i="205"/>
  <c r="AL41" i="205"/>
  <c r="C41" i="205"/>
  <c r="AL40" i="205"/>
  <c r="C40" i="205"/>
  <c r="AL39" i="205"/>
  <c r="C39" i="205"/>
  <c r="AL38" i="205"/>
  <c r="C38" i="205"/>
  <c r="AL37" i="205"/>
  <c r="C37" i="205"/>
  <c r="AL36" i="205"/>
  <c r="C36" i="205"/>
  <c r="AL35" i="205"/>
  <c r="C35" i="205"/>
  <c r="AL34" i="205"/>
  <c r="C34" i="205"/>
  <c r="AL33" i="205"/>
  <c r="C33" i="205"/>
  <c r="AL32" i="205"/>
  <c r="C32" i="205"/>
  <c r="AL31" i="205"/>
  <c r="C31" i="205"/>
  <c r="AL30" i="205"/>
  <c r="C30" i="205"/>
  <c r="AL29" i="205"/>
  <c r="C29" i="205"/>
  <c r="AL28" i="205"/>
  <c r="C28" i="205"/>
  <c r="AL27" i="205"/>
  <c r="C27" i="205"/>
  <c r="AL26" i="205"/>
  <c r="C26" i="205"/>
  <c r="AL25" i="205"/>
  <c r="C25" i="205"/>
  <c r="AL24" i="205"/>
  <c r="C24" i="205"/>
  <c r="AL23" i="205"/>
  <c r="C23" i="205"/>
  <c r="AL22" i="205"/>
  <c r="C22" i="205"/>
  <c r="AL21" i="205"/>
  <c r="C21" i="205"/>
  <c r="AL20" i="205"/>
  <c r="C20" i="205"/>
  <c r="AL19" i="205"/>
  <c r="C19" i="205"/>
  <c r="AL18" i="205"/>
  <c r="C18" i="205"/>
  <c r="AL17" i="205"/>
  <c r="C17" i="205"/>
  <c r="AL16" i="205"/>
  <c r="C16" i="205"/>
  <c r="AL15" i="205"/>
  <c r="C15" i="205"/>
  <c r="AL14" i="205"/>
  <c r="C14" i="205"/>
  <c r="L330" i="12"/>
  <c r="L331" i="12"/>
  <c r="L332" i="12"/>
  <c r="L333" i="12"/>
  <c r="L334" i="12"/>
  <c r="L335" i="12"/>
  <c r="L336" i="12"/>
  <c r="L337" i="12"/>
  <c r="L338" i="12"/>
  <c r="L339" i="12"/>
  <c r="L340" i="12"/>
  <c r="L341" i="12"/>
  <c r="L342" i="12"/>
  <c r="L343" i="12"/>
  <c r="L344" i="12"/>
  <c r="L345" i="12"/>
  <c r="L346" i="12"/>
  <c r="L347" i="12"/>
  <c r="L348" i="12"/>
  <c r="L349" i="12"/>
  <c r="L350" i="12"/>
  <c r="L351" i="12"/>
  <c r="L352" i="12"/>
  <c r="L353" i="12"/>
  <c r="L354" i="12"/>
  <c r="L355" i="12"/>
  <c r="L356" i="12"/>
  <c r="L357" i="12"/>
  <c r="L358" i="12"/>
  <c r="L359" i="12"/>
  <c r="L360" i="12"/>
  <c r="L361" i="12"/>
  <c r="L362" i="12"/>
  <c r="L363" i="12"/>
  <c r="L364" i="12"/>
  <c r="L365" i="12"/>
  <c r="L366" i="12"/>
  <c r="L367" i="12"/>
  <c r="L368" i="12"/>
  <c r="L369" i="12"/>
  <c r="L370" i="12"/>
  <c r="L371" i="12"/>
  <c r="L372" i="12"/>
  <c r="L373" i="12"/>
  <c r="L374" i="12"/>
  <c r="L375" i="12"/>
  <c r="L376" i="12"/>
  <c r="L377" i="12"/>
  <c r="L378" i="12"/>
  <c r="L379" i="12"/>
  <c r="L380" i="12"/>
  <c r="L381" i="12"/>
  <c r="L382" i="12"/>
  <c r="L383" i="12"/>
  <c r="L384" i="12"/>
  <c r="L385" i="12"/>
  <c r="L386" i="12"/>
  <c r="L387" i="12"/>
  <c r="L388" i="12"/>
  <c r="L389" i="12"/>
  <c r="L390" i="12"/>
  <c r="L391" i="12"/>
  <c r="L392" i="12"/>
  <c r="L393" i="12"/>
  <c r="L394" i="12"/>
  <c r="L395" i="12"/>
  <c r="L396" i="12"/>
  <c r="L397" i="12"/>
  <c r="L398" i="12"/>
  <c r="L399" i="12"/>
  <c r="L400" i="12"/>
  <c r="L401" i="12"/>
  <c r="L402" i="12"/>
  <c r="L403" i="12"/>
  <c r="L404" i="12"/>
  <c r="L405" i="12"/>
  <c r="L406" i="12"/>
  <c r="L407" i="12"/>
  <c r="L408" i="12"/>
  <c r="L409" i="12"/>
  <c r="L410" i="12"/>
  <c r="L411" i="12"/>
  <c r="L412" i="12"/>
  <c r="L413" i="12"/>
  <c r="L414" i="12"/>
  <c r="L415" i="12"/>
  <c r="L416" i="12"/>
  <c r="L417" i="12"/>
  <c r="L418" i="12"/>
  <c r="L419" i="12"/>
  <c r="L420" i="12"/>
  <c r="L421" i="12"/>
  <c r="L422" i="12"/>
  <c r="L423" i="12"/>
  <c r="L424" i="12"/>
  <c r="L425" i="12"/>
  <c r="L426" i="12"/>
  <c r="L427" i="12"/>
  <c r="L428" i="12"/>
  <c r="L429" i="12"/>
  <c r="L430" i="12"/>
  <c r="L431" i="12"/>
  <c r="L432" i="12"/>
  <c r="L433" i="12"/>
  <c r="L434" i="12"/>
  <c r="L435" i="12"/>
  <c r="L436" i="12"/>
  <c r="L437" i="12"/>
  <c r="L438" i="12"/>
  <c r="L439" i="12"/>
  <c r="L440" i="12"/>
  <c r="L441" i="12"/>
  <c r="L442" i="12"/>
  <c r="L443" i="12"/>
  <c r="L444" i="12"/>
  <c r="L445" i="12"/>
  <c r="L446" i="12"/>
  <c r="L447" i="12"/>
  <c r="L448" i="12"/>
  <c r="L449" i="12"/>
  <c r="L450" i="12"/>
  <c r="L451" i="12"/>
  <c r="L452" i="12"/>
  <c r="L453" i="12"/>
  <c r="L454" i="12"/>
  <c r="L455" i="12"/>
  <c r="L456" i="12"/>
  <c r="L457" i="12"/>
  <c r="L458" i="12"/>
  <c r="L459" i="12"/>
  <c r="L460" i="12"/>
  <c r="L461" i="12"/>
  <c r="L462" i="12"/>
  <c r="L463" i="12"/>
  <c r="L464" i="12"/>
  <c r="L465" i="12"/>
  <c r="L466" i="12"/>
  <c r="L467" i="12"/>
  <c r="L468" i="12"/>
  <c r="L469" i="12"/>
  <c r="L470" i="12"/>
  <c r="L471" i="12"/>
  <c r="L472" i="12"/>
  <c r="L473" i="12"/>
  <c r="L474" i="12"/>
  <c r="L475" i="12"/>
  <c r="L476" i="12"/>
  <c r="L477" i="12"/>
  <c r="L478" i="12"/>
  <c r="L479" i="12"/>
  <c r="L480" i="12"/>
  <c r="L481" i="12"/>
  <c r="L482" i="12"/>
  <c r="L483" i="12"/>
  <c r="L484" i="12"/>
  <c r="L485" i="12"/>
  <c r="L486" i="12"/>
  <c r="L487" i="12"/>
  <c r="L488" i="12"/>
  <c r="L489" i="12"/>
  <c r="L490" i="12"/>
  <c r="L491" i="12"/>
  <c r="L492" i="12"/>
  <c r="L493" i="12"/>
  <c r="L494" i="12"/>
  <c r="L495" i="12"/>
  <c r="L496" i="12"/>
  <c r="L497" i="12"/>
  <c r="L498" i="12"/>
  <c r="L499" i="12"/>
  <c r="L500" i="12"/>
  <c r="L501" i="12"/>
  <c r="L502" i="12"/>
  <c r="L503" i="12"/>
  <c r="L504" i="12"/>
  <c r="L505" i="12"/>
  <c r="L506" i="12"/>
  <c r="L507" i="12"/>
  <c r="L508" i="12"/>
  <c r="L509" i="12"/>
  <c r="L510" i="12"/>
  <c r="L511" i="12"/>
  <c r="L512" i="12"/>
  <c r="L513" i="12"/>
  <c r="L514" i="12"/>
  <c r="L515" i="12"/>
  <c r="L516" i="12"/>
  <c r="L517" i="12"/>
  <c r="L518" i="12"/>
  <c r="L519" i="12"/>
  <c r="L520" i="12"/>
  <c r="L521" i="12"/>
  <c r="L522" i="12"/>
  <c r="L523" i="12"/>
  <c r="L524" i="12"/>
  <c r="L525" i="12"/>
  <c r="L526" i="12"/>
  <c r="L527" i="12"/>
  <c r="L528" i="12"/>
  <c r="L529" i="12"/>
  <c r="L530" i="12"/>
  <c r="L531" i="12"/>
  <c r="L532" i="12"/>
  <c r="L533" i="12"/>
  <c r="L534" i="12"/>
  <c r="L535" i="12"/>
  <c r="L536" i="12"/>
  <c r="L537" i="12"/>
  <c r="L538" i="12"/>
  <c r="L539" i="12"/>
  <c r="L540" i="12"/>
  <c r="L541" i="12"/>
  <c r="L542" i="12"/>
  <c r="L543" i="12"/>
  <c r="L544" i="12"/>
  <c r="L545" i="12"/>
  <c r="L546" i="12"/>
  <c r="L547" i="12"/>
  <c r="L548" i="12"/>
  <c r="L549" i="12"/>
  <c r="L550" i="12"/>
  <c r="L551" i="12"/>
  <c r="L552" i="12"/>
  <c r="L553" i="12"/>
  <c r="L554" i="12"/>
  <c r="L555" i="12"/>
  <c r="L556" i="12"/>
  <c r="L557" i="12"/>
  <c r="L558" i="12"/>
  <c r="L559" i="12"/>
  <c r="L560" i="12"/>
  <c r="L561" i="12"/>
  <c r="L562" i="12"/>
  <c r="L563" i="12"/>
  <c r="L564" i="12"/>
  <c r="L565" i="12"/>
  <c r="L566" i="12"/>
  <c r="L567" i="12"/>
  <c r="L568" i="12"/>
  <c r="L569" i="12"/>
  <c r="L570" i="12"/>
  <c r="L571" i="12"/>
  <c r="L572" i="12"/>
  <c r="L573" i="12"/>
  <c r="L574" i="12"/>
  <c r="L575" i="12"/>
  <c r="L576" i="12"/>
  <c r="L577" i="12"/>
  <c r="L578" i="12"/>
  <c r="L579" i="12"/>
  <c r="L580" i="12"/>
  <c r="L581" i="12"/>
  <c r="L582" i="12"/>
  <c r="L583" i="12"/>
  <c r="L584" i="12"/>
  <c r="L585" i="12"/>
  <c r="L586" i="12"/>
  <c r="L587" i="12"/>
  <c r="L588" i="12"/>
  <c r="L589" i="12"/>
  <c r="L590" i="12"/>
  <c r="L591" i="12"/>
  <c r="L592" i="12"/>
  <c r="L593" i="12"/>
  <c r="L594" i="12"/>
  <c r="L595" i="12"/>
  <c r="L596" i="12"/>
  <c r="L597" i="12"/>
  <c r="L598" i="12"/>
  <c r="L599" i="12"/>
  <c r="L600" i="12"/>
  <c r="L601" i="12"/>
  <c r="L602" i="12"/>
  <c r="L603" i="12"/>
  <c r="L604" i="12"/>
  <c r="L605" i="12"/>
  <c r="L606" i="12"/>
  <c r="L607" i="12"/>
  <c r="L608" i="12"/>
  <c r="L609" i="12"/>
  <c r="L610" i="12"/>
  <c r="L611" i="12"/>
  <c r="L612" i="12"/>
  <c r="L613" i="12"/>
  <c r="L614" i="12"/>
  <c r="L615" i="12"/>
  <c r="L616" i="12"/>
  <c r="L617" i="12"/>
  <c r="L618" i="12"/>
  <c r="L619" i="12"/>
  <c r="L620" i="12"/>
  <c r="L621" i="12"/>
  <c r="L622" i="12"/>
  <c r="L623" i="12"/>
  <c r="L624" i="12"/>
  <c r="L625" i="12"/>
  <c r="L626" i="12"/>
  <c r="L627" i="12"/>
  <c r="L628" i="12"/>
  <c r="L629" i="12"/>
  <c r="L630" i="12"/>
  <c r="L631" i="12"/>
  <c r="L632" i="12"/>
  <c r="L633" i="12"/>
  <c r="L634" i="12"/>
  <c r="L635" i="12"/>
  <c r="L636" i="12"/>
  <c r="L637" i="12"/>
  <c r="L638" i="12"/>
  <c r="L639" i="12"/>
  <c r="L640" i="12"/>
  <c r="L641" i="12"/>
  <c r="L642" i="12"/>
  <c r="L643" i="12"/>
  <c r="L644" i="12"/>
  <c r="L645" i="12"/>
  <c r="L646" i="12"/>
  <c r="L647" i="12"/>
  <c r="L648" i="12"/>
  <c r="L649" i="12"/>
  <c r="L650" i="12"/>
  <c r="L651" i="12"/>
  <c r="L652" i="12"/>
  <c r="L653" i="12"/>
  <c r="L654" i="12"/>
  <c r="L655" i="12"/>
  <c r="L656" i="12"/>
  <c r="L657" i="12"/>
  <c r="L658" i="12"/>
  <c r="L659" i="12"/>
  <c r="L660" i="12"/>
  <c r="L661" i="12"/>
  <c r="L662" i="12"/>
  <c r="L663" i="12"/>
  <c r="L664" i="12"/>
  <c r="L665" i="12"/>
  <c r="L666" i="12"/>
  <c r="L667" i="12"/>
  <c r="L668" i="12"/>
  <c r="L669" i="12"/>
  <c r="L670" i="12"/>
  <c r="L671" i="12"/>
  <c r="L672" i="12"/>
  <c r="L673" i="12"/>
  <c r="L674" i="12"/>
  <c r="L675" i="12"/>
  <c r="L676" i="12"/>
  <c r="L677" i="12"/>
  <c r="L678" i="12"/>
  <c r="L679" i="12"/>
  <c r="L680" i="12"/>
  <c r="L681" i="12"/>
  <c r="L682" i="12"/>
  <c r="L683" i="12"/>
  <c r="L684" i="12"/>
  <c r="L685" i="12"/>
  <c r="L686" i="12"/>
  <c r="L687" i="12"/>
  <c r="L688" i="12"/>
  <c r="L689" i="12"/>
  <c r="L690" i="12"/>
  <c r="L691" i="12"/>
  <c r="L692" i="12"/>
  <c r="L693" i="12"/>
  <c r="L694" i="12"/>
  <c r="L695" i="12"/>
  <c r="L696" i="12"/>
  <c r="L697" i="12"/>
  <c r="L698" i="12"/>
  <c r="L699" i="12"/>
  <c r="L700" i="12"/>
  <c r="L701" i="12"/>
  <c r="L702" i="12"/>
  <c r="L703" i="12"/>
  <c r="L704" i="12"/>
  <c r="L705" i="12"/>
  <c r="L706" i="12"/>
  <c r="L707" i="12"/>
  <c r="L708" i="12"/>
  <c r="L709" i="12"/>
  <c r="L710" i="12"/>
  <c r="L711" i="12"/>
  <c r="L712" i="12"/>
  <c r="L713" i="12"/>
  <c r="L714" i="12"/>
  <c r="L715" i="12"/>
  <c r="L716" i="12"/>
  <c r="L717" i="12"/>
  <c r="L718" i="12"/>
  <c r="L719" i="12"/>
  <c r="L720" i="12"/>
  <c r="L721" i="12"/>
  <c r="L722" i="12"/>
  <c r="L723" i="12"/>
  <c r="L724" i="12"/>
  <c r="L725" i="12"/>
  <c r="L726" i="12"/>
  <c r="L727" i="12"/>
  <c r="L728" i="12"/>
  <c r="L729" i="12"/>
  <c r="L730" i="12"/>
  <c r="L731" i="12"/>
  <c r="L732" i="12"/>
  <c r="L733" i="12"/>
  <c r="L734" i="12"/>
  <c r="L735" i="12"/>
  <c r="L736" i="12"/>
  <c r="L737" i="12"/>
  <c r="L738" i="12"/>
  <c r="L739" i="12"/>
  <c r="L740" i="12"/>
  <c r="L741" i="12"/>
  <c r="L742" i="12"/>
  <c r="L743" i="12"/>
  <c r="L744" i="12"/>
  <c r="L745" i="12"/>
  <c r="L746" i="12"/>
  <c r="L747" i="12"/>
  <c r="L748" i="12"/>
  <c r="L749" i="12"/>
  <c r="L750" i="12"/>
  <c r="L751" i="12"/>
  <c r="L752" i="12"/>
  <c r="L753" i="12"/>
  <c r="L754" i="12"/>
  <c r="L755" i="12"/>
  <c r="L756" i="12"/>
  <c r="L757" i="12"/>
  <c r="L758" i="12"/>
  <c r="L759" i="12"/>
  <c r="L760" i="12"/>
  <c r="L761" i="12"/>
  <c r="L762" i="12"/>
  <c r="L763" i="12"/>
  <c r="L764" i="12"/>
  <c r="L765" i="12"/>
  <c r="L766" i="12"/>
  <c r="L767" i="12"/>
  <c r="L768" i="12"/>
  <c r="L769" i="12"/>
  <c r="L770" i="12"/>
  <c r="L771"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D331" i="12" l="1"/>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I771" i="12"/>
  <c r="I770" i="12"/>
  <c r="I769" i="12"/>
  <c r="I768" i="12"/>
  <c r="I767" i="12"/>
  <c r="I766" i="12"/>
  <c r="I765" i="12"/>
  <c r="I764" i="12"/>
  <c r="I763" i="12"/>
  <c r="I762" i="12"/>
  <c r="I761" i="12"/>
  <c r="I760" i="12"/>
  <c r="I759" i="12"/>
  <c r="I758" i="12"/>
  <c r="I757" i="12"/>
  <c r="I756" i="12"/>
  <c r="I755" i="12"/>
  <c r="I754" i="12"/>
  <c r="I753" i="12"/>
  <c r="I752" i="12"/>
  <c r="I751" i="12"/>
  <c r="I750" i="12"/>
  <c r="I749" i="12"/>
  <c r="I748" i="12"/>
  <c r="I747" i="12"/>
  <c r="I746" i="12"/>
  <c r="I745" i="12"/>
  <c r="I744" i="12"/>
  <c r="I743" i="12"/>
  <c r="I742" i="12"/>
  <c r="I741" i="12"/>
  <c r="I740" i="12"/>
  <c r="I739" i="12"/>
  <c r="I738" i="12"/>
  <c r="I737" i="12"/>
  <c r="I736" i="12"/>
  <c r="I735" i="12"/>
  <c r="I734" i="12"/>
  <c r="I733" i="12"/>
  <c r="I732" i="12"/>
  <c r="I731" i="12"/>
  <c r="I730" i="12"/>
  <c r="I729" i="12"/>
  <c r="I728" i="12"/>
  <c r="I727" i="12"/>
  <c r="I726" i="12"/>
  <c r="I725" i="12"/>
  <c r="I724" i="12"/>
  <c r="I723" i="12"/>
  <c r="I722" i="12"/>
  <c r="I721" i="12"/>
  <c r="I720" i="12"/>
  <c r="I719" i="12"/>
  <c r="I718" i="12"/>
  <c r="I717" i="12"/>
  <c r="I716" i="12"/>
  <c r="I715" i="12"/>
  <c r="I714" i="12"/>
  <c r="I713" i="12"/>
  <c r="I712" i="12"/>
  <c r="I711" i="12"/>
  <c r="I710" i="12"/>
  <c r="I709" i="12"/>
  <c r="I708" i="12"/>
  <c r="I707" i="12"/>
  <c r="I706" i="12"/>
  <c r="I705" i="12"/>
  <c r="I704" i="12"/>
  <c r="I703" i="12"/>
  <c r="I702" i="12"/>
  <c r="I701" i="12"/>
  <c r="I700" i="12"/>
  <c r="I699" i="12"/>
  <c r="I698" i="12"/>
  <c r="I697" i="12"/>
  <c r="I696" i="12"/>
  <c r="I695" i="12"/>
  <c r="I694" i="12"/>
  <c r="I693" i="12"/>
  <c r="I692" i="12"/>
  <c r="I691" i="12"/>
  <c r="I690" i="12"/>
  <c r="I689" i="12"/>
  <c r="I688" i="12"/>
  <c r="I687" i="12"/>
  <c r="I686" i="12"/>
  <c r="I685" i="12"/>
  <c r="I684" i="12"/>
  <c r="I683" i="12"/>
  <c r="I682" i="12"/>
  <c r="I681" i="12"/>
  <c r="I680" i="12"/>
  <c r="I679" i="12"/>
  <c r="I678" i="12"/>
  <c r="I677" i="12"/>
  <c r="I676" i="12"/>
  <c r="I675" i="12"/>
  <c r="I674" i="12"/>
  <c r="I673" i="12"/>
  <c r="I672" i="12"/>
  <c r="I671" i="12"/>
  <c r="I670" i="12"/>
  <c r="I669" i="12"/>
  <c r="I668" i="12"/>
  <c r="I667" i="12"/>
  <c r="I666" i="12"/>
  <c r="I665" i="12"/>
  <c r="I664" i="12"/>
  <c r="I663" i="12"/>
  <c r="I662" i="12"/>
  <c r="I661" i="12"/>
  <c r="I660" i="12"/>
  <c r="I659" i="12"/>
  <c r="I658" i="12"/>
  <c r="I657" i="12"/>
  <c r="I656" i="12"/>
  <c r="I655" i="12"/>
  <c r="I654" i="12"/>
  <c r="I653" i="12"/>
  <c r="I652" i="12"/>
  <c r="I651" i="12"/>
  <c r="I650" i="12"/>
  <c r="I649" i="12"/>
  <c r="I648" i="12"/>
  <c r="I647" i="12"/>
  <c r="I646" i="12"/>
  <c r="I645" i="12"/>
  <c r="I644" i="12"/>
  <c r="I643" i="12"/>
  <c r="I642" i="12"/>
  <c r="I641" i="12"/>
  <c r="I640" i="12"/>
  <c r="I639" i="12"/>
  <c r="I638" i="12"/>
  <c r="I637" i="12"/>
  <c r="I636" i="12"/>
  <c r="I635" i="12"/>
  <c r="I634" i="12"/>
  <c r="I633" i="12"/>
  <c r="I632" i="12"/>
  <c r="I631" i="12"/>
  <c r="I630" i="12"/>
  <c r="I629" i="12"/>
  <c r="I628" i="12"/>
  <c r="I627" i="12"/>
  <c r="I626" i="12"/>
  <c r="I625" i="12"/>
  <c r="I624" i="12"/>
  <c r="I623" i="12"/>
  <c r="I622" i="12"/>
  <c r="I621" i="12"/>
  <c r="I620" i="12"/>
  <c r="I619" i="12"/>
  <c r="I618" i="12"/>
  <c r="I617" i="12"/>
  <c r="I616" i="12"/>
  <c r="I615" i="12"/>
  <c r="I614" i="12"/>
  <c r="I613" i="12"/>
  <c r="I612" i="12"/>
  <c r="I611" i="12"/>
  <c r="I610" i="12"/>
  <c r="I609" i="12"/>
  <c r="I608" i="12"/>
  <c r="I607" i="12"/>
  <c r="I606" i="12"/>
  <c r="I605" i="12"/>
  <c r="I604" i="12"/>
  <c r="I603" i="12"/>
  <c r="I602" i="12"/>
  <c r="I601" i="12"/>
  <c r="I600" i="12"/>
  <c r="I599" i="12"/>
  <c r="I598" i="12"/>
  <c r="I597" i="12"/>
  <c r="I596" i="12"/>
  <c r="I595" i="12"/>
  <c r="I594" i="12"/>
  <c r="I593" i="12"/>
  <c r="I592" i="12"/>
  <c r="I591" i="12"/>
  <c r="I590" i="12"/>
  <c r="I589" i="12"/>
  <c r="I588" i="12"/>
  <c r="I587" i="12"/>
  <c r="I586" i="12"/>
  <c r="I585" i="12"/>
  <c r="I584" i="12"/>
  <c r="I583" i="12"/>
  <c r="I582" i="12"/>
  <c r="I581" i="12"/>
  <c r="I580" i="12"/>
  <c r="I579" i="12"/>
  <c r="I578" i="12"/>
  <c r="I577" i="12"/>
  <c r="I576" i="12"/>
  <c r="I575" i="12"/>
  <c r="I574" i="12"/>
  <c r="I573" i="12"/>
  <c r="I572" i="12"/>
  <c r="I571" i="12"/>
  <c r="I570" i="12"/>
  <c r="I569" i="12"/>
  <c r="I568" i="12"/>
  <c r="I567" i="12"/>
  <c r="I566" i="12"/>
  <c r="I565" i="12"/>
  <c r="I564" i="12"/>
  <c r="I563" i="12"/>
  <c r="I562" i="12"/>
  <c r="I561" i="12"/>
  <c r="I560" i="12"/>
  <c r="I559" i="12"/>
  <c r="I558" i="12"/>
  <c r="I557" i="12"/>
  <c r="I556" i="12"/>
  <c r="I555" i="12"/>
  <c r="I554" i="12"/>
  <c r="I553" i="12"/>
  <c r="I552" i="12"/>
  <c r="I551" i="12"/>
  <c r="I550" i="12"/>
  <c r="I549" i="12"/>
  <c r="I548" i="12"/>
  <c r="I547" i="12"/>
  <c r="I546" i="12"/>
  <c r="I545" i="12"/>
  <c r="I544" i="12"/>
  <c r="I543" i="12"/>
  <c r="I542" i="12"/>
  <c r="I541" i="12"/>
  <c r="I540" i="12"/>
  <c r="I539" i="12"/>
  <c r="I538" i="12"/>
  <c r="I537" i="12"/>
  <c r="I536" i="12"/>
  <c r="I535" i="12"/>
  <c r="I534" i="12"/>
  <c r="I533" i="12"/>
  <c r="I532" i="12"/>
  <c r="I531" i="12"/>
  <c r="I530" i="12"/>
  <c r="I529" i="12"/>
  <c r="I528" i="12"/>
  <c r="I527" i="12"/>
  <c r="I526" i="12"/>
  <c r="I525" i="12"/>
  <c r="I524" i="12"/>
  <c r="I523" i="12"/>
  <c r="I522" i="12"/>
  <c r="I521" i="12"/>
  <c r="I520" i="12"/>
  <c r="I519" i="12"/>
  <c r="I518" i="12"/>
  <c r="I517" i="12"/>
  <c r="I516" i="12"/>
  <c r="I515" i="12"/>
  <c r="I514" i="12"/>
  <c r="I513" i="12"/>
  <c r="I512" i="12"/>
  <c r="I511" i="12"/>
  <c r="I510" i="12"/>
  <c r="I509" i="12"/>
  <c r="I508" i="12"/>
  <c r="I507" i="12"/>
  <c r="I506" i="12"/>
  <c r="I505" i="12"/>
  <c r="I504" i="12"/>
  <c r="I503" i="12"/>
  <c r="I502" i="12"/>
  <c r="I501" i="12"/>
  <c r="I500" i="12"/>
  <c r="I499" i="12"/>
  <c r="I498" i="12"/>
  <c r="I497" i="12"/>
  <c r="I496" i="12"/>
  <c r="I495" i="12"/>
  <c r="I494" i="12"/>
  <c r="I493" i="12"/>
  <c r="I492" i="12"/>
  <c r="I491" i="12"/>
  <c r="I490" i="12"/>
  <c r="I489" i="12"/>
  <c r="I488" i="12"/>
  <c r="I487" i="12"/>
  <c r="I486" i="12"/>
  <c r="I485" i="12"/>
  <c r="I484" i="12"/>
  <c r="I483" i="12"/>
  <c r="I482" i="12"/>
  <c r="I481" i="12"/>
  <c r="I480" i="12"/>
  <c r="I479" i="12"/>
  <c r="I478" i="12"/>
  <c r="I477" i="12"/>
  <c r="I476" i="12"/>
  <c r="I475" i="12"/>
  <c r="I474" i="12"/>
  <c r="I473" i="12"/>
  <c r="I472" i="12"/>
  <c r="I471" i="12"/>
  <c r="I470" i="12"/>
  <c r="I469" i="12"/>
  <c r="I468" i="12"/>
  <c r="I467" i="12"/>
  <c r="I466" i="12"/>
  <c r="I465" i="12"/>
  <c r="I464" i="12"/>
  <c r="I463" i="12"/>
  <c r="I462" i="12"/>
  <c r="I461" i="12"/>
  <c r="I460" i="12"/>
  <c r="I459" i="12"/>
  <c r="I458" i="12"/>
  <c r="I457" i="12"/>
  <c r="I456" i="12"/>
  <c r="I455" i="12"/>
  <c r="I454" i="12"/>
  <c r="I453" i="12"/>
  <c r="I452" i="12"/>
  <c r="I451" i="12"/>
  <c r="I450" i="12"/>
  <c r="I449" i="12"/>
  <c r="I448" i="12"/>
  <c r="I447" i="12"/>
  <c r="I446" i="12"/>
  <c r="I445" i="12"/>
  <c r="I444" i="12"/>
  <c r="I443" i="12"/>
  <c r="I442" i="12"/>
  <c r="I441" i="12"/>
  <c r="I440" i="12"/>
  <c r="I439" i="12"/>
  <c r="I438" i="12"/>
  <c r="I437" i="12"/>
  <c r="I436" i="12"/>
  <c r="I435" i="12"/>
  <c r="I434" i="12"/>
  <c r="I433" i="12"/>
  <c r="I432" i="12"/>
  <c r="I431" i="12"/>
  <c r="I430" i="12"/>
  <c r="I429" i="12"/>
  <c r="I428" i="12"/>
  <c r="I427" i="12"/>
  <c r="I426" i="12"/>
  <c r="I425" i="12"/>
  <c r="I424" i="12"/>
  <c r="I423" i="12"/>
  <c r="I422" i="12"/>
  <c r="I421" i="12"/>
  <c r="I420" i="12"/>
  <c r="I419" i="12"/>
  <c r="I418" i="12"/>
  <c r="I417" i="12"/>
  <c r="I416" i="12"/>
  <c r="I415" i="12"/>
  <c r="I414" i="12"/>
  <c r="I413" i="12"/>
  <c r="I412" i="12"/>
  <c r="I411" i="12"/>
  <c r="I410" i="12"/>
  <c r="I409" i="12"/>
  <c r="I408" i="12"/>
  <c r="I407" i="12"/>
  <c r="I406" i="12"/>
  <c r="I405" i="12"/>
  <c r="I404" i="12"/>
  <c r="I403" i="12"/>
  <c r="I402" i="12"/>
  <c r="I401" i="12"/>
  <c r="I400" i="12"/>
  <c r="I399" i="12"/>
  <c r="I398" i="12"/>
  <c r="I397" i="12"/>
  <c r="I396" i="12"/>
  <c r="I395" i="12"/>
  <c r="I394" i="12"/>
  <c r="I393" i="12"/>
  <c r="I392" i="12"/>
  <c r="I391" i="12"/>
  <c r="I390" i="12"/>
  <c r="I389" i="12"/>
  <c r="I388" i="12"/>
  <c r="I387" i="12"/>
  <c r="I386" i="12"/>
  <c r="I385" i="12"/>
  <c r="I384" i="12"/>
  <c r="I383" i="12"/>
  <c r="I382" i="12"/>
  <c r="I381" i="12"/>
  <c r="I380" i="12"/>
  <c r="I379" i="12"/>
  <c r="I378" i="12"/>
  <c r="I377" i="12"/>
  <c r="I376" i="12"/>
  <c r="I375" i="12"/>
  <c r="I374" i="12"/>
  <c r="I373" i="12"/>
  <c r="I372" i="12"/>
  <c r="I371" i="12"/>
  <c r="I370" i="12"/>
  <c r="I369" i="12"/>
  <c r="I368" i="12"/>
  <c r="I367" i="12"/>
  <c r="I366" i="12"/>
  <c r="I365" i="12"/>
  <c r="I364" i="12"/>
  <c r="I363" i="12"/>
  <c r="I362" i="12"/>
  <c r="I361" i="12"/>
  <c r="I360" i="12"/>
  <c r="I359" i="12"/>
  <c r="I358" i="12"/>
  <c r="I357" i="12"/>
  <c r="I356" i="12"/>
  <c r="I355" i="12"/>
  <c r="I354" i="12"/>
  <c r="I353" i="12"/>
  <c r="I352" i="12"/>
  <c r="I351" i="12"/>
  <c r="I350" i="12"/>
  <c r="I349" i="12"/>
  <c r="I348" i="12"/>
  <c r="I347" i="12"/>
  <c r="I346" i="12"/>
  <c r="I345" i="12"/>
  <c r="I344" i="12"/>
  <c r="I343" i="12"/>
  <c r="I342" i="12"/>
  <c r="I341" i="12"/>
  <c r="I340" i="12"/>
  <c r="I339" i="12"/>
  <c r="I338" i="12"/>
  <c r="I337" i="12"/>
  <c r="I336" i="12"/>
  <c r="I335" i="12"/>
  <c r="I334" i="12"/>
  <c r="I333" i="12"/>
  <c r="I332" i="12"/>
  <c r="I331" i="12"/>
  <c r="Q13" i="12"/>
  <c r="Q14" i="12"/>
  <c r="Q15" i="12"/>
  <c r="Q16" i="12"/>
  <c r="Q17" i="12"/>
  <c r="Q18" i="12"/>
  <c r="Q19" i="12"/>
  <c r="Q20" i="12"/>
  <c r="Q21" i="12"/>
  <c r="Q22" i="12"/>
  <c r="Q23" i="12"/>
  <c r="Q24" i="12"/>
  <c r="Q25" i="12"/>
  <c r="Q26" i="12"/>
  <c r="Q27" i="12"/>
  <c r="Q28" i="12"/>
  <c r="Q29" i="12"/>
  <c r="Q30" i="12"/>
  <c r="Q31" i="12"/>
  <c r="Q32" i="12"/>
  <c r="Q33" i="12"/>
  <c r="Q34" i="12"/>
  <c r="Q35" i="12"/>
  <c r="Q36" i="12"/>
  <c r="Q37" i="12"/>
  <c r="Q38" i="12"/>
  <c r="Q39" i="12"/>
  <c r="Q40" i="12"/>
  <c r="Q41" i="12"/>
  <c r="Q42" i="12"/>
  <c r="Q43" i="12"/>
  <c r="Q44" i="12"/>
  <c r="Q45" i="12"/>
  <c r="Q46" i="12"/>
  <c r="Q47" i="12"/>
  <c r="Q48" i="12"/>
  <c r="Q49" i="12"/>
  <c r="Q50" i="12"/>
  <c r="Q51" i="12"/>
  <c r="Q52" i="12"/>
  <c r="Q53" i="12"/>
  <c r="Q54" i="12"/>
  <c r="Q55" i="12"/>
  <c r="Q56" i="12"/>
  <c r="Q57" i="12"/>
  <c r="Q58" i="12"/>
  <c r="Q59" i="12"/>
  <c r="Q60" i="12"/>
  <c r="Q61" i="12"/>
  <c r="Q62" i="12"/>
  <c r="Q63" i="12"/>
  <c r="Q64" i="12"/>
  <c r="Q65" i="12"/>
  <c r="Q66" i="12"/>
  <c r="Q67" i="12"/>
  <c r="Q68" i="12"/>
  <c r="Q69" i="12"/>
  <c r="Q70" i="12"/>
  <c r="Q71" i="12"/>
  <c r="Q72" i="12"/>
  <c r="Q73" i="12"/>
  <c r="Q74" i="12"/>
  <c r="Q75" i="12"/>
  <c r="Q76" i="12"/>
  <c r="Q77" i="12"/>
  <c r="Q78" i="12"/>
  <c r="Q79" i="12"/>
  <c r="Q80" i="12"/>
  <c r="Q81" i="12"/>
  <c r="Q82" i="12"/>
  <c r="Q83" i="12"/>
  <c r="Q84" i="12"/>
  <c r="Q85" i="12"/>
  <c r="Q86" i="12"/>
  <c r="Q87" i="12"/>
  <c r="Q88" i="12"/>
  <c r="Q89" i="12"/>
  <c r="Q90" i="12"/>
  <c r="Q91" i="12"/>
  <c r="Q92" i="12"/>
  <c r="Q93" i="12"/>
  <c r="Q94" i="12"/>
  <c r="Q95" i="12"/>
  <c r="Q96" i="12"/>
  <c r="Q97" i="12"/>
  <c r="Q98" i="12"/>
  <c r="Q99" i="12"/>
  <c r="Q100" i="12"/>
  <c r="Q101" i="12"/>
  <c r="Q102" i="12"/>
  <c r="Q103" i="12"/>
  <c r="Q104" i="12"/>
  <c r="Q105" i="12"/>
  <c r="Q106" i="12"/>
  <c r="Q107" i="12"/>
  <c r="Q108" i="12"/>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Q301" i="12"/>
  <c r="Q302" i="12"/>
  <c r="Q303" i="12"/>
  <c r="Q304" i="12"/>
  <c r="Q305" i="12"/>
  <c r="Q306" i="12"/>
  <c r="Q307" i="12"/>
  <c r="Q308" i="12"/>
  <c r="Q309" i="12"/>
  <c r="Q310" i="12"/>
  <c r="Q311" i="12"/>
  <c r="Q312" i="12"/>
  <c r="Q313" i="12"/>
  <c r="Q314" i="12"/>
  <c r="Q315" i="12"/>
  <c r="Q316" i="12"/>
  <c r="Q317" i="12"/>
  <c r="Q318" i="12"/>
  <c r="Q319" i="12"/>
  <c r="Q320" i="12"/>
  <c r="Q321" i="12"/>
  <c r="Q322" i="12"/>
  <c r="Q323"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P175" i="12"/>
  <c r="P176" i="12"/>
  <c r="P177" i="12"/>
  <c r="P178" i="12"/>
  <c r="P179" i="12"/>
  <c r="P180" i="12"/>
  <c r="P181" i="12"/>
  <c r="P182" i="12"/>
  <c r="P183" i="12"/>
  <c r="P184" i="12"/>
  <c r="P185" i="12"/>
  <c r="P186" i="12"/>
  <c r="P187" i="12"/>
  <c r="P188" i="12"/>
  <c r="P189" i="12"/>
  <c r="P190" i="12"/>
  <c r="P191" i="12"/>
  <c r="P192" i="12"/>
  <c r="P193" i="12"/>
  <c r="P194" i="12"/>
  <c r="P195" i="12"/>
  <c r="P196" i="12"/>
  <c r="P197" i="12"/>
  <c r="P198" i="12"/>
  <c r="P199" i="12"/>
  <c r="P200" i="12"/>
  <c r="P201" i="12"/>
  <c r="P202" i="12"/>
  <c r="P203" i="12"/>
  <c r="P204" i="12"/>
  <c r="P205" i="12"/>
  <c r="P206" i="12"/>
  <c r="P207" i="12"/>
  <c r="P208" i="12"/>
  <c r="P209" i="12"/>
  <c r="P210" i="12"/>
  <c r="P211" i="12"/>
  <c r="P212" i="12"/>
  <c r="P213" i="12"/>
  <c r="P214" i="12"/>
  <c r="P215" i="12"/>
  <c r="P216" i="12"/>
  <c r="P217" i="12"/>
  <c r="P218" i="12"/>
  <c r="P219" i="12"/>
  <c r="P220" i="12"/>
  <c r="P221" i="12"/>
  <c r="P222" i="12"/>
  <c r="P223" i="12"/>
  <c r="P224" i="12"/>
  <c r="P225" i="12"/>
  <c r="P226" i="12"/>
  <c r="P227" i="12"/>
  <c r="P228" i="12"/>
  <c r="P229" i="12"/>
  <c r="P230" i="12"/>
  <c r="P231" i="12"/>
  <c r="P232" i="12"/>
  <c r="P233" i="12"/>
  <c r="P234" i="12"/>
  <c r="P235" i="12"/>
  <c r="P236" i="12"/>
  <c r="P237" i="12"/>
  <c r="P238" i="12"/>
  <c r="P239" i="12"/>
  <c r="P240" i="12"/>
  <c r="P241" i="12"/>
  <c r="P242" i="12"/>
  <c r="P243" i="12"/>
  <c r="P244" i="12"/>
  <c r="P245" i="12"/>
  <c r="P246" i="12"/>
  <c r="P247" i="12"/>
  <c r="P248" i="12"/>
  <c r="P249" i="12"/>
  <c r="P250" i="12"/>
  <c r="P251" i="12"/>
  <c r="P252" i="12"/>
  <c r="P253" i="12"/>
  <c r="P254" i="12"/>
  <c r="P255" i="12"/>
  <c r="P256" i="12"/>
  <c r="P257" i="12"/>
  <c r="P258" i="12"/>
  <c r="P259" i="12"/>
  <c r="P260" i="12"/>
  <c r="P261" i="12"/>
  <c r="P262" i="12"/>
  <c r="P263" i="12"/>
  <c r="P264" i="12"/>
  <c r="P265" i="12"/>
  <c r="P266" i="12"/>
  <c r="P267" i="12"/>
  <c r="P268" i="12"/>
  <c r="P269" i="12"/>
  <c r="P270" i="12"/>
  <c r="P271" i="12"/>
  <c r="P272" i="12"/>
  <c r="P273" i="12"/>
  <c r="P274" i="12"/>
  <c r="P275" i="12"/>
  <c r="P276" i="12"/>
  <c r="P277" i="12"/>
  <c r="P278" i="12"/>
  <c r="P279" i="12"/>
  <c r="P280" i="12"/>
  <c r="P281" i="12"/>
  <c r="P282" i="12"/>
  <c r="P283" i="12"/>
  <c r="P284" i="12"/>
  <c r="P285" i="12"/>
  <c r="P286" i="12"/>
  <c r="P287" i="12"/>
  <c r="P288" i="12"/>
  <c r="P289" i="12"/>
  <c r="P290" i="12"/>
  <c r="P291" i="12"/>
  <c r="P292" i="12"/>
  <c r="P293" i="12"/>
  <c r="P294" i="12"/>
  <c r="P295" i="12"/>
  <c r="P296" i="12"/>
  <c r="P297" i="12"/>
  <c r="P298" i="12"/>
  <c r="P299" i="12"/>
  <c r="P300" i="12"/>
  <c r="P301" i="12"/>
  <c r="P302" i="12"/>
  <c r="P303" i="12"/>
  <c r="P304" i="12"/>
  <c r="P305" i="12"/>
  <c r="P306" i="12"/>
  <c r="P307" i="12"/>
  <c r="P308" i="12"/>
  <c r="P309" i="12"/>
  <c r="P310" i="12"/>
  <c r="P311" i="12"/>
  <c r="P312" i="12"/>
  <c r="P313" i="12"/>
  <c r="P314" i="12"/>
  <c r="P315" i="12"/>
  <c r="P316" i="12"/>
  <c r="P317" i="12"/>
  <c r="P318" i="12"/>
  <c r="P319" i="12"/>
  <c r="P320" i="12"/>
  <c r="P321" i="12"/>
  <c r="P322" i="12"/>
  <c r="P32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302" i="12"/>
  <c r="L303" i="12"/>
  <c r="L304" i="12"/>
  <c r="L305" i="12"/>
  <c r="L306" i="12"/>
  <c r="L307" i="12"/>
  <c r="L308" i="12"/>
  <c r="L309" i="12"/>
  <c r="L310" i="12"/>
  <c r="L311" i="12"/>
  <c r="L312" i="12"/>
  <c r="L313" i="12"/>
  <c r="L314" i="12"/>
  <c r="L315" i="12"/>
  <c r="L316" i="12"/>
  <c r="L317" i="12"/>
  <c r="L318" i="12"/>
  <c r="L319" i="12"/>
  <c r="L320" i="12"/>
  <c r="L321" i="12"/>
  <c r="L322" i="12"/>
  <c r="L323"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C14" i="12" l="1"/>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K323" i="12"/>
  <c r="I323" i="12"/>
  <c r="K322" i="12"/>
  <c r="I322" i="12"/>
  <c r="K321" i="12"/>
  <c r="I321" i="12"/>
  <c r="K320" i="12"/>
  <c r="I320" i="12"/>
  <c r="K319" i="12"/>
  <c r="I319" i="12"/>
  <c r="K318" i="12"/>
  <c r="I318" i="12"/>
  <c r="K317" i="12"/>
  <c r="I317" i="12"/>
  <c r="K316" i="12"/>
  <c r="I316" i="12"/>
  <c r="K315" i="12"/>
  <c r="I315" i="12"/>
  <c r="K314" i="12"/>
  <c r="I314" i="12"/>
  <c r="K313" i="12"/>
  <c r="I313" i="12"/>
  <c r="K312" i="12"/>
  <c r="I312" i="12"/>
  <c r="K311" i="12"/>
  <c r="I311" i="12"/>
  <c r="K310" i="12"/>
  <c r="I310" i="12"/>
  <c r="K309" i="12"/>
  <c r="I309" i="12"/>
  <c r="K308" i="12"/>
  <c r="I308" i="12"/>
  <c r="K307" i="12"/>
  <c r="I307" i="12"/>
  <c r="K306" i="12"/>
  <c r="I306" i="12"/>
  <c r="K305" i="12"/>
  <c r="I305" i="12"/>
  <c r="K304" i="12"/>
  <c r="I304" i="12"/>
  <c r="K303" i="12"/>
  <c r="I303" i="12"/>
  <c r="K302" i="12"/>
  <c r="I302" i="12"/>
  <c r="K301" i="12"/>
  <c r="I301" i="12"/>
  <c r="K300" i="12"/>
  <c r="I300" i="12"/>
  <c r="K299" i="12"/>
  <c r="I299" i="12"/>
  <c r="K298" i="12"/>
  <c r="I298" i="12"/>
  <c r="K297" i="12"/>
  <c r="I297" i="12"/>
  <c r="K296" i="12"/>
  <c r="I296" i="12"/>
  <c r="K295" i="12"/>
  <c r="I295" i="12"/>
  <c r="K294" i="12"/>
  <c r="I294" i="12"/>
  <c r="K293" i="12"/>
  <c r="I293" i="12"/>
  <c r="K292" i="12"/>
  <c r="I292" i="12"/>
  <c r="K291" i="12"/>
  <c r="I291" i="12"/>
  <c r="K290" i="12"/>
  <c r="I290" i="12"/>
  <c r="K289" i="12"/>
  <c r="I289" i="12"/>
  <c r="K288" i="12"/>
  <c r="I288" i="12"/>
  <c r="K287" i="12"/>
  <c r="I287" i="12"/>
  <c r="K286" i="12"/>
  <c r="I286" i="12"/>
  <c r="K285" i="12"/>
  <c r="I285" i="12"/>
  <c r="K284" i="12"/>
  <c r="I284" i="12"/>
  <c r="K283" i="12"/>
  <c r="I283" i="12"/>
  <c r="K282" i="12"/>
  <c r="I282" i="12"/>
  <c r="K281" i="12"/>
  <c r="I281" i="12"/>
  <c r="K280" i="12"/>
  <c r="I280" i="12"/>
  <c r="K279" i="12"/>
  <c r="I279" i="12"/>
  <c r="K278" i="12"/>
  <c r="I278" i="12"/>
  <c r="K277" i="12"/>
  <c r="I277" i="12"/>
  <c r="K276" i="12"/>
  <c r="I276" i="12"/>
  <c r="K275" i="12"/>
  <c r="I275" i="12"/>
  <c r="K274" i="12"/>
  <c r="I274" i="12"/>
  <c r="K273" i="12"/>
  <c r="I273" i="12"/>
  <c r="K272" i="12"/>
  <c r="I272" i="12"/>
  <c r="K271" i="12"/>
  <c r="I271" i="12"/>
  <c r="K270" i="12"/>
  <c r="I270" i="12"/>
  <c r="K269" i="12"/>
  <c r="I269" i="12"/>
  <c r="K268" i="12"/>
  <c r="I268" i="12"/>
  <c r="K267" i="12"/>
  <c r="I267" i="12"/>
  <c r="K266" i="12"/>
  <c r="I266" i="12"/>
  <c r="K265" i="12"/>
  <c r="I265" i="12"/>
  <c r="K264" i="12"/>
  <c r="I264" i="12"/>
  <c r="K263" i="12"/>
  <c r="I263" i="12"/>
  <c r="K262" i="12"/>
  <c r="I262" i="12"/>
  <c r="K261" i="12"/>
  <c r="I261" i="12"/>
  <c r="K260" i="12"/>
  <c r="I260" i="12"/>
  <c r="K259" i="12"/>
  <c r="I259" i="12"/>
  <c r="K258" i="12"/>
  <c r="I258" i="12"/>
  <c r="K257" i="12"/>
  <c r="I257" i="12"/>
  <c r="K256" i="12"/>
  <c r="I256" i="12"/>
  <c r="K255" i="12"/>
  <c r="I255" i="12"/>
  <c r="K254" i="12"/>
  <c r="I254" i="12"/>
  <c r="K253" i="12"/>
  <c r="I253" i="12"/>
  <c r="K252" i="12"/>
  <c r="I252" i="12"/>
  <c r="K251" i="12"/>
  <c r="I251" i="12"/>
  <c r="K250" i="12"/>
  <c r="I250" i="12"/>
  <c r="K249" i="12"/>
  <c r="I249" i="12"/>
  <c r="K248" i="12"/>
  <c r="I248" i="12"/>
  <c r="K247" i="12"/>
  <c r="I247" i="12"/>
  <c r="K246" i="12"/>
  <c r="I246" i="12"/>
  <c r="K245" i="12"/>
  <c r="I245" i="12"/>
  <c r="K244" i="12"/>
  <c r="I244" i="12"/>
  <c r="K243" i="12"/>
  <c r="I243" i="12"/>
  <c r="K242" i="12"/>
  <c r="I242" i="12"/>
  <c r="K241" i="12"/>
  <c r="I241" i="12"/>
  <c r="K240" i="12"/>
  <c r="I240" i="12"/>
  <c r="K239" i="12"/>
  <c r="I239" i="12"/>
  <c r="K238" i="12"/>
  <c r="I238" i="12"/>
  <c r="K237" i="12"/>
  <c r="I237" i="12"/>
  <c r="K236" i="12"/>
  <c r="I236" i="12"/>
  <c r="K235" i="12"/>
  <c r="I235" i="12"/>
  <c r="K234" i="12"/>
  <c r="I234" i="12"/>
  <c r="K233" i="12"/>
  <c r="I233" i="12"/>
  <c r="K232" i="12"/>
  <c r="I232" i="12"/>
  <c r="K231" i="12"/>
  <c r="I231" i="12"/>
  <c r="K230" i="12"/>
  <c r="I230" i="12"/>
  <c r="K229" i="12"/>
  <c r="I229" i="12"/>
  <c r="K228" i="12"/>
  <c r="I228" i="12"/>
  <c r="K227" i="12"/>
  <c r="I227" i="12"/>
  <c r="K226" i="12"/>
  <c r="I226" i="12"/>
  <c r="K225" i="12"/>
  <c r="I225" i="12"/>
  <c r="K224" i="12"/>
  <c r="I224" i="12"/>
  <c r="K223" i="12"/>
  <c r="I223" i="12"/>
  <c r="K222" i="12"/>
  <c r="I222" i="12"/>
  <c r="K221" i="12"/>
  <c r="I221" i="12"/>
  <c r="K220" i="12"/>
  <c r="I220" i="12"/>
  <c r="K219" i="12"/>
  <c r="I219" i="12"/>
  <c r="K218" i="12"/>
  <c r="I218" i="12"/>
  <c r="K217" i="12"/>
  <c r="I217" i="12"/>
  <c r="K216" i="12"/>
  <c r="I216" i="12"/>
  <c r="K215" i="12"/>
  <c r="I215" i="12"/>
  <c r="K214" i="12"/>
  <c r="I214" i="12"/>
  <c r="K213" i="12"/>
  <c r="I213" i="12"/>
  <c r="K212" i="12"/>
  <c r="I212" i="12"/>
  <c r="K211" i="12"/>
  <c r="I211" i="12"/>
  <c r="K210" i="12"/>
  <c r="I210" i="12"/>
  <c r="K209" i="12"/>
  <c r="I209" i="12"/>
  <c r="K208" i="12"/>
  <c r="I208" i="12"/>
  <c r="K207" i="12"/>
  <c r="I207" i="12"/>
  <c r="K206" i="12"/>
  <c r="I206" i="12"/>
  <c r="K205" i="12"/>
  <c r="I205" i="12"/>
  <c r="K204" i="12"/>
  <c r="I204" i="12"/>
  <c r="K203" i="12"/>
  <c r="I203" i="12"/>
  <c r="K202" i="12"/>
  <c r="I202" i="12"/>
  <c r="K201" i="12"/>
  <c r="I201" i="12"/>
  <c r="K200" i="12"/>
  <c r="I200" i="12"/>
  <c r="K199" i="12"/>
  <c r="I199" i="12"/>
  <c r="K198" i="12"/>
  <c r="I198" i="12"/>
  <c r="K197" i="12"/>
  <c r="I197" i="12"/>
  <c r="K196" i="12"/>
  <c r="I196" i="12"/>
  <c r="K195" i="12"/>
  <c r="I195" i="12"/>
  <c r="K194" i="12"/>
  <c r="I194" i="12"/>
  <c r="K193" i="12"/>
  <c r="I193" i="12"/>
  <c r="K192" i="12"/>
  <c r="I192" i="12"/>
  <c r="K191" i="12"/>
  <c r="I191" i="12"/>
  <c r="K190" i="12"/>
  <c r="I190" i="12"/>
  <c r="K189" i="12"/>
  <c r="I189" i="12"/>
  <c r="K188" i="12"/>
  <c r="I188" i="12"/>
  <c r="K187" i="12"/>
  <c r="I187" i="12"/>
  <c r="K186" i="12"/>
  <c r="I186" i="12"/>
  <c r="K185" i="12"/>
  <c r="I185" i="12"/>
  <c r="K184" i="12"/>
  <c r="I184" i="12"/>
  <c r="K183" i="12"/>
  <c r="I183" i="12"/>
  <c r="K182" i="12"/>
  <c r="I182" i="12"/>
  <c r="K181" i="12"/>
  <c r="I181" i="12"/>
  <c r="K180" i="12"/>
  <c r="I180" i="12"/>
  <c r="K179" i="12"/>
  <c r="I179" i="12"/>
  <c r="K178" i="12"/>
  <c r="I178" i="12"/>
  <c r="K177" i="12"/>
  <c r="I177" i="12"/>
  <c r="K176" i="12"/>
  <c r="I176" i="12"/>
  <c r="K175" i="12"/>
  <c r="I175" i="12"/>
  <c r="K174" i="12"/>
  <c r="I174" i="12"/>
  <c r="K173" i="12"/>
  <c r="I173" i="12"/>
  <c r="K172" i="12"/>
  <c r="I172" i="12"/>
  <c r="K171" i="12"/>
  <c r="I171" i="12"/>
  <c r="K170" i="12"/>
  <c r="I170" i="12"/>
  <c r="K169" i="12"/>
  <c r="I169" i="12"/>
  <c r="K168" i="12"/>
  <c r="I168" i="12"/>
  <c r="K167" i="12"/>
  <c r="I167" i="12"/>
  <c r="K166" i="12"/>
  <c r="I166" i="12"/>
  <c r="K165" i="12"/>
  <c r="I165" i="12"/>
  <c r="K164" i="12"/>
  <c r="I164" i="12"/>
  <c r="K163" i="12"/>
  <c r="I163" i="12"/>
  <c r="K162" i="12"/>
  <c r="I162" i="12"/>
  <c r="K161" i="12"/>
  <c r="I161" i="12"/>
  <c r="K160" i="12"/>
  <c r="I160" i="12"/>
  <c r="K159" i="12"/>
  <c r="I159" i="12"/>
  <c r="K158" i="12"/>
  <c r="I158" i="12"/>
  <c r="K157" i="12"/>
  <c r="I157" i="12"/>
  <c r="K156" i="12"/>
  <c r="I156" i="12"/>
  <c r="K155" i="12"/>
  <c r="I155" i="12"/>
  <c r="K154" i="12"/>
  <c r="I154" i="12"/>
  <c r="K153" i="12"/>
  <c r="I153" i="12"/>
  <c r="K152" i="12"/>
  <c r="I152" i="12"/>
  <c r="K151" i="12"/>
  <c r="I151" i="12"/>
  <c r="K150" i="12"/>
  <c r="I150" i="12"/>
  <c r="K149" i="12"/>
  <c r="I149" i="12"/>
  <c r="K148" i="12"/>
  <c r="I148" i="12"/>
  <c r="K147" i="12"/>
  <c r="I147" i="12"/>
  <c r="K146" i="12"/>
  <c r="I146" i="12"/>
  <c r="K145" i="12"/>
  <c r="I145" i="12"/>
  <c r="K144" i="12"/>
  <c r="I144" i="12"/>
  <c r="K143" i="12"/>
  <c r="I143" i="12"/>
  <c r="K142" i="12"/>
  <c r="I142" i="12"/>
  <c r="K141" i="12"/>
  <c r="I141" i="12"/>
  <c r="K140" i="12"/>
  <c r="I140" i="12"/>
  <c r="K139" i="12"/>
  <c r="I139" i="12"/>
  <c r="K138" i="12"/>
  <c r="I138" i="12"/>
  <c r="K137" i="12"/>
  <c r="I137" i="12"/>
  <c r="K136" i="12"/>
  <c r="I136" i="12"/>
  <c r="K135" i="12"/>
  <c r="I135" i="12"/>
  <c r="K134" i="12"/>
  <c r="I134" i="12"/>
  <c r="K133" i="12"/>
  <c r="I133" i="12"/>
  <c r="K132" i="12"/>
  <c r="I132" i="12"/>
  <c r="K131" i="12"/>
  <c r="I131" i="12"/>
  <c r="K130" i="12"/>
  <c r="I130" i="12"/>
  <c r="K129" i="12"/>
  <c r="I129" i="12"/>
  <c r="K128" i="12"/>
  <c r="I128" i="12"/>
  <c r="K127" i="12"/>
  <c r="I127" i="12"/>
  <c r="K126" i="12"/>
  <c r="I126" i="12"/>
  <c r="K125" i="12"/>
  <c r="I125" i="12"/>
  <c r="K124" i="12"/>
  <c r="I124" i="12"/>
  <c r="K123" i="12"/>
  <c r="I123" i="12"/>
  <c r="K122" i="12"/>
  <c r="I122" i="12"/>
  <c r="K121" i="12"/>
  <c r="I121" i="12"/>
  <c r="K120" i="12"/>
  <c r="I120" i="12"/>
  <c r="K119" i="12"/>
  <c r="I119" i="12"/>
  <c r="K118" i="12"/>
  <c r="I118" i="12"/>
  <c r="K117" i="12"/>
  <c r="I117" i="12"/>
  <c r="K116" i="12"/>
  <c r="I116" i="12"/>
  <c r="K115" i="12"/>
  <c r="I115" i="12"/>
  <c r="K114" i="12"/>
  <c r="I114" i="12"/>
  <c r="K113" i="12"/>
  <c r="I113" i="12"/>
  <c r="K112" i="12"/>
  <c r="I112" i="12"/>
  <c r="K111" i="12"/>
  <c r="I111" i="12"/>
  <c r="K110" i="12"/>
  <c r="I110" i="12"/>
  <c r="K109" i="12"/>
  <c r="I109" i="12"/>
  <c r="K108" i="12"/>
  <c r="I108" i="12"/>
  <c r="K107" i="12"/>
  <c r="I107" i="12"/>
  <c r="K106" i="12"/>
  <c r="I106" i="12"/>
  <c r="K105" i="12"/>
  <c r="I105" i="12"/>
  <c r="K104" i="12"/>
  <c r="I104" i="12"/>
  <c r="K103" i="12"/>
  <c r="I103" i="12"/>
  <c r="K102" i="12"/>
  <c r="I102" i="12"/>
  <c r="K101" i="12"/>
  <c r="I101" i="12"/>
  <c r="K100" i="12"/>
  <c r="I100" i="12"/>
  <c r="K99" i="12"/>
  <c r="I99" i="12"/>
  <c r="K98" i="12"/>
  <c r="I98" i="12"/>
  <c r="K97" i="12"/>
  <c r="I97" i="12"/>
  <c r="K96" i="12"/>
  <c r="I96" i="12"/>
  <c r="K95" i="12"/>
  <c r="I95" i="12"/>
  <c r="K94" i="12"/>
  <c r="I94" i="12"/>
  <c r="K93" i="12"/>
  <c r="I93" i="12"/>
  <c r="K92" i="12"/>
  <c r="I92" i="12"/>
  <c r="K91" i="12"/>
  <c r="I91" i="12"/>
  <c r="K90" i="12"/>
  <c r="I90" i="12"/>
  <c r="K89" i="12"/>
  <c r="I89" i="12"/>
  <c r="K88" i="12"/>
  <c r="I88" i="12"/>
  <c r="K87" i="12"/>
  <c r="I87" i="12"/>
  <c r="K86" i="12"/>
  <c r="I86" i="12"/>
  <c r="K85" i="12"/>
  <c r="I85" i="12"/>
  <c r="K84" i="12"/>
  <c r="I84" i="12"/>
  <c r="K83" i="12"/>
  <c r="I83" i="12"/>
  <c r="K82" i="12"/>
  <c r="I82" i="12"/>
  <c r="K81" i="12"/>
  <c r="I81" i="12"/>
  <c r="K80" i="12"/>
  <c r="I80" i="12"/>
  <c r="K79" i="12"/>
  <c r="I79" i="12"/>
  <c r="K78" i="12"/>
  <c r="I78" i="12"/>
  <c r="K77" i="12"/>
  <c r="I77" i="12"/>
  <c r="K76" i="12"/>
  <c r="I76" i="12"/>
  <c r="K75" i="12"/>
  <c r="I75" i="12"/>
  <c r="K74" i="12"/>
  <c r="I74" i="12"/>
  <c r="K73" i="12"/>
  <c r="I73" i="12"/>
  <c r="K72" i="12"/>
  <c r="I72" i="12"/>
  <c r="K71" i="12"/>
  <c r="I71" i="12"/>
  <c r="K70" i="12"/>
  <c r="I70" i="12"/>
  <c r="K69" i="12"/>
  <c r="I69" i="12"/>
  <c r="K68" i="12"/>
  <c r="I68" i="12"/>
  <c r="K67" i="12"/>
  <c r="I67" i="12"/>
  <c r="K66" i="12"/>
  <c r="I66" i="12"/>
  <c r="K65" i="12"/>
  <c r="I65" i="12"/>
  <c r="K64" i="12"/>
  <c r="I64" i="12"/>
  <c r="K63" i="12"/>
  <c r="I63" i="12"/>
  <c r="K62" i="12"/>
  <c r="I62" i="12"/>
  <c r="K61" i="12"/>
  <c r="I61" i="12"/>
  <c r="K60" i="12"/>
  <c r="I60" i="12"/>
  <c r="K59" i="12"/>
  <c r="I59" i="12"/>
  <c r="K58" i="12"/>
  <c r="I58" i="12"/>
  <c r="K57" i="12"/>
  <c r="I57" i="12"/>
  <c r="K56" i="12"/>
  <c r="I56" i="12"/>
  <c r="K55" i="12"/>
  <c r="I55" i="12"/>
  <c r="K54" i="12"/>
  <c r="I54" i="12"/>
  <c r="K53" i="12"/>
  <c r="I53" i="12"/>
  <c r="K52" i="12"/>
  <c r="I52" i="12"/>
  <c r="K51" i="12"/>
  <c r="I51" i="12"/>
  <c r="K50" i="12"/>
  <c r="I50" i="12"/>
  <c r="K49" i="12"/>
  <c r="I49" i="12"/>
  <c r="K48" i="12"/>
  <c r="I48" i="12"/>
  <c r="K47" i="12"/>
  <c r="I47" i="12"/>
  <c r="K46" i="12"/>
  <c r="I46" i="12"/>
  <c r="K45" i="12"/>
  <c r="I45" i="12"/>
  <c r="K44" i="12"/>
  <c r="I44" i="12"/>
  <c r="K43" i="12"/>
  <c r="I43" i="12"/>
  <c r="K42" i="12"/>
  <c r="I42" i="12"/>
  <c r="K41" i="12"/>
  <c r="I41" i="12"/>
  <c r="K40" i="12"/>
  <c r="I40" i="12"/>
  <c r="K39" i="12"/>
  <c r="I39" i="12"/>
  <c r="K38" i="12"/>
  <c r="I38" i="12"/>
  <c r="K37" i="12"/>
  <c r="I37" i="12"/>
  <c r="K36" i="12"/>
  <c r="I36" i="12"/>
  <c r="K35" i="12"/>
  <c r="I35" i="12"/>
  <c r="K34" i="12"/>
  <c r="I34" i="12"/>
  <c r="K33" i="12"/>
  <c r="I33" i="12"/>
  <c r="K32" i="12"/>
  <c r="I32" i="12"/>
  <c r="K31" i="12"/>
  <c r="I31" i="12"/>
  <c r="K30" i="12"/>
  <c r="I30" i="12"/>
  <c r="K29" i="12"/>
  <c r="I29" i="12"/>
  <c r="K28" i="12"/>
  <c r="I28" i="12"/>
  <c r="K27" i="12"/>
  <c r="I27" i="12"/>
  <c r="K26" i="12"/>
  <c r="I26" i="12"/>
  <c r="K25" i="12"/>
  <c r="I25" i="12"/>
  <c r="K24" i="12"/>
  <c r="I24" i="12"/>
  <c r="K23" i="12"/>
  <c r="I23" i="12"/>
  <c r="K22" i="12"/>
  <c r="I22" i="12"/>
  <c r="K21" i="12"/>
  <c r="I21" i="12"/>
  <c r="K20" i="12"/>
  <c r="I20" i="12"/>
  <c r="K19" i="12"/>
  <c r="I19" i="12"/>
  <c r="K18" i="12"/>
  <c r="I18" i="12"/>
  <c r="K17" i="12"/>
  <c r="I17" i="12"/>
  <c r="K16" i="12"/>
  <c r="I16" i="12"/>
  <c r="K15" i="12"/>
  <c r="I15" i="12"/>
  <c r="K14" i="12"/>
  <c r="I14" i="12"/>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D14" i="10" l="1"/>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AL55" i="10"/>
  <c r="C55" i="10"/>
  <c r="AL54" i="10"/>
  <c r="C54" i="10"/>
  <c r="AL53" i="10"/>
  <c r="C53" i="10"/>
  <c r="AL52" i="10"/>
  <c r="C52" i="10"/>
  <c r="AL51" i="10"/>
  <c r="C51" i="10"/>
  <c r="AL50" i="10"/>
  <c r="C50" i="10"/>
  <c r="AL49" i="10"/>
  <c r="C49" i="10"/>
  <c r="AL48" i="10"/>
  <c r="C48" i="10"/>
  <c r="AL47" i="10"/>
  <c r="C47" i="10"/>
  <c r="AL46" i="10"/>
  <c r="C46" i="10"/>
  <c r="AL45" i="10"/>
  <c r="C45" i="10"/>
  <c r="AL44" i="10"/>
  <c r="C44" i="10"/>
  <c r="AL43" i="10"/>
  <c r="C43" i="10"/>
  <c r="AL42" i="10"/>
  <c r="C42" i="10"/>
  <c r="AL41" i="10"/>
  <c r="C41" i="10"/>
  <c r="AL40" i="10"/>
  <c r="C40" i="10"/>
  <c r="AL39" i="10"/>
  <c r="C39" i="10"/>
  <c r="AL38" i="10"/>
  <c r="C38" i="10"/>
  <c r="AL37" i="10"/>
  <c r="C37" i="10"/>
  <c r="AL36" i="10"/>
  <c r="C36" i="10"/>
  <c r="AL35" i="10"/>
  <c r="C35" i="10"/>
  <c r="AL34" i="10"/>
  <c r="C34" i="10"/>
  <c r="AL33" i="10"/>
  <c r="C33" i="10"/>
  <c r="AL32" i="10"/>
  <c r="C32" i="10"/>
  <c r="AL31" i="10"/>
  <c r="C31" i="10"/>
  <c r="AL30" i="10"/>
  <c r="C30" i="10"/>
  <c r="AL29" i="10"/>
  <c r="C29" i="10"/>
  <c r="AL28" i="10"/>
  <c r="C28" i="10"/>
  <c r="AL27" i="10"/>
  <c r="C27" i="10"/>
  <c r="AL26" i="10"/>
  <c r="C26" i="10"/>
  <c r="AL25" i="10"/>
  <c r="C25" i="10"/>
  <c r="AL24" i="10"/>
  <c r="C24" i="10"/>
  <c r="AL23" i="10"/>
  <c r="C23" i="10"/>
  <c r="AL22" i="10"/>
  <c r="C22" i="10"/>
  <c r="AL21" i="10"/>
  <c r="C21" i="10"/>
  <c r="AL20" i="10"/>
  <c r="C20" i="10"/>
  <c r="AL19" i="10"/>
  <c r="C19" i="10"/>
  <c r="AL18" i="10"/>
  <c r="C18" i="10"/>
  <c r="AL17" i="10"/>
  <c r="C17" i="10"/>
  <c r="AL16" i="10"/>
  <c r="C16" i="10"/>
  <c r="AL15" i="10"/>
  <c r="C15" i="10"/>
  <c r="AL14" i="10"/>
  <c r="C14" i="10"/>
  <c r="I330" i="207" l="1"/>
  <c r="I13" i="207" l="1"/>
  <c r="K13" i="207" l="1"/>
  <c r="C13" i="205" l="1"/>
  <c r="AL13" i="205" l="1"/>
  <c r="J13" i="205"/>
  <c r="J14" i="205" s="1"/>
  <c r="J15" i="205" s="1"/>
  <c r="J16" i="205" s="1"/>
  <c r="J17" i="205" s="1"/>
  <c r="J18" i="205" s="1"/>
  <c r="J19" i="205" s="1"/>
  <c r="J20" i="205" s="1"/>
  <c r="J21" i="205" s="1"/>
  <c r="J22" i="205" s="1"/>
  <c r="J23" i="205" s="1"/>
  <c r="H13" i="205"/>
  <c r="J24" i="205" l="1"/>
  <c r="J25" i="205" l="1"/>
  <c r="I330" i="12"/>
  <c r="J26" i="205" l="1"/>
  <c r="I13" i="12"/>
  <c r="J27" i="205" l="1"/>
  <c r="K13" i="12"/>
  <c r="J28" i="205" l="1"/>
  <c r="C13" i="10"/>
  <c r="AL13" i="10"/>
  <c r="J13" i="10"/>
  <c r="J14" i="10" s="1"/>
  <c r="J15" i="10" s="1"/>
  <c r="J16" i="10" s="1"/>
  <c r="J17" i="10" s="1"/>
  <c r="J18" i="10" s="1"/>
  <c r="J19" i="10" s="1"/>
  <c r="J20" i="10" s="1"/>
  <c r="J21" i="10" s="1"/>
  <c r="J22" i="10" s="1"/>
  <c r="J23" i="10" s="1"/>
  <c r="J24" i="10" s="1"/>
  <c r="J25" i="10" s="1"/>
  <c r="H13" i="10"/>
  <c r="F6" i="210"/>
  <c r="G6" i="210"/>
  <c r="H6" i="210"/>
  <c r="O6" i="210" s="1"/>
  <c r="I6" i="210"/>
  <c r="F7" i="210"/>
  <c r="G7" i="210"/>
  <c r="O7" i="210" s="1"/>
  <c r="H7" i="210"/>
  <c r="I7" i="210"/>
  <c r="F8" i="210"/>
  <c r="G8" i="210"/>
  <c r="O8" i="210" s="1"/>
  <c r="H8" i="210"/>
  <c r="I8" i="210"/>
  <c r="F9" i="210"/>
  <c r="G9" i="210"/>
  <c r="H9" i="210"/>
  <c r="I9" i="210"/>
  <c r="O9" i="210"/>
  <c r="F10" i="210"/>
  <c r="G10" i="210"/>
  <c r="H10" i="210"/>
  <c r="O10" i="210" s="1"/>
  <c r="I10" i="210"/>
  <c r="F15" i="210"/>
  <c r="G15" i="210"/>
  <c r="O15" i="210" s="1"/>
  <c r="H15" i="210"/>
  <c r="I15" i="210"/>
  <c r="F16" i="210"/>
  <c r="G16" i="210"/>
  <c r="O16" i="210" s="1"/>
  <c r="H16" i="210"/>
  <c r="I16" i="210"/>
  <c r="F17" i="210"/>
  <c r="G17" i="210"/>
  <c r="H17" i="210"/>
  <c r="I17" i="210"/>
  <c r="O17" i="210"/>
  <c r="F18" i="210"/>
  <c r="G18" i="210"/>
  <c r="H18" i="210"/>
  <c r="O18" i="210" s="1"/>
  <c r="I18" i="210"/>
  <c r="F19" i="210"/>
  <c r="G19" i="210"/>
  <c r="O19" i="210" s="1"/>
  <c r="H19" i="210"/>
  <c r="I19" i="210"/>
  <c r="F3"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J29" i="205" l="1"/>
  <c r="J26" i="10"/>
  <c r="B2" i="208"/>
  <c r="C2" i="208" s="1"/>
  <c r="J30" i="205" l="1"/>
  <c r="J27" i="10"/>
  <c r="J7" i="207"/>
  <c r="J31" i="205" l="1"/>
  <c r="J28" i="10"/>
  <c r="L6" i="206"/>
  <c r="J11" i="206" s="1"/>
  <c r="I11" i="206"/>
  <c r="L11" i="206"/>
  <c r="M11" i="206"/>
  <c r="P11" i="206"/>
  <c r="Q11" i="206"/>
  <c r="T11" i="206"/>
  <c r="U11" i="206"/>
  <c r="X11" i="206"/>
  <c r="Y11" i="206"/>
  <c r="AB11" i="206"/>
  <c r="AC11" i="206"/>
  <c r="AF11" i="206"/>
  <c r="J8" i="206"/>
  <c r="H16" i="206"/>
  <c r="H17" i="206"/>
  <c r="H20" i="206"/>
  <c r="H21" i="206"/>
  <c r="H24" i="206"/>
  <c r="H25" i="206"/>
  <c r="H26" i="206"/>
  <c r="H27" i="206"/>
  <c r="H28" i="206"/>
  <c r="H29" i="206"/>
  <c r="H30" i="206"/>
  <c r="H31" i="206"/>
  <c r="H32" i="206"/>
  <c r="H33" i="206"/>
  <c r="H34" i="206"/>
  <c r="H35" i="206"/>
  <c r="H36" i="206"/>
  <c r="H37" i="206"/>
  <c r="H38" i="206"/>
  <c r="H39" i="206"/>
  <c r="H40" i="206"/>
  <c r="H41" i="206"/>
  <c r="H42" i="206"/>
  <c r="H43" i="206"/>
  <c r="H44" i="206"/>
  <c r="H45" i="206"/>
  <c r="H46" i="206"/>
  <c r="H47" i="206"/>
  <c r="H48" i="206"/>
  <c r="H49" i="206"/>
  <c r="H50" i="206"/>
  <c r="H51" i="206"/>
  <c r="H52" i="206"/>
  <c r="H53" i="206"/>
  <c r="H54" i="206"/>
  <c r="H55" i="206"/>
  <c r="H56" i="206"/>
  <c r="H57" i="206"/>
  <c r="H58" i="206"/>
  <c r="H59" i="206"/>
  <c r="H60" i="206"/>
  <c r="H61" i="206"/>
  <c r="H62" i="206"/>
  <c r="H63" i="206"/>
  <c r="H64" i="206"/>
  <c r="H65" i="206"/>
  <c r="H66" i="206"/>
  <c r="H67" i="206"/>
  <c r="H68" i="206"/>
  <c r="H69" i="206"/>
  <c r="H70" i="206"/>
  <c r="H71" i="206"/>
  <c r="H72" i="206"/>
  <c r="H73" i="206"/>
  <c r="H74" i="206"/>
  <c r="H75" i="206"/>
  <c r="H76" i="206"/>
  <c r="H77" i="206"/>
  <c r="H78" i="206"/>
  <c r="H79" i="206"/>
  <c r="H80" i="206"/>
  <c r="H81" i="206"/>
  <c r="H82" i="206"/>
  <c r="H83" i="206"/>
  <c r="H84" i="206"/>
  <c r="H85" i="206"/>
  <c r="H86" i="206"/>
  <c r="H87" i="206"/>
  <c r="H88" i="206"/>
  <c r="H89" i="206"/>
  <c r="H90" i="206"/>
  <c r="H91" i="206"/>
  <c r="H92" i="206"/>
  <c r="H93" i="206"/>
  <c r="H94" i="206"/>
  <c r="H95" i="206"/>
  <c r="H96" i="206"/>
  <c r="H97" i="206"/>
  <c r="H98" i="206"/>
  <c r="H99" i="206"/>
  <c r="H100" i="206"/>
  <c r="H101" i="206"/>
  <c r="H102" i="206"/>
  <c r="H103" i="206"/>
  <c r="H104" i="206"/>
  <c r="H105" i="206"/>
  <c r="H106" i="206"/>
  <c r="H107" i="206"/>
  <c r="H108" i="206"/>
  <c r="H109" i="206"/>
  <c r="H110" i="206"/>
  <c r="H111" i="206"/>
  <c r="H112" i="206"/>
  <c r="H113" i="206"/>
  <c r="E14" i="206"/>
  <c r="F14" i="206"/>
  <c r="G14" i="206"/>
  <c r="I14" i="206"/>
  <c r="J14" i="206"/>
  <c r="K14" i="206"/>
  <c r="L14" i="206"/>
  <c r="M14" i="206"/>
  <c r="N14" i="206"/>
  <c r="O14" i="206"/>
  <c r="P14" i="206"/>
  <c r="Q14" i="206"/>
  <c r="R14" i="206"/>
  <c r="S14" i="206"/>
  <c r="T14" i="206"/>
  <c r="U14" i="206"/>
  <c r="V14" i="206"/>
  <c r="W14" i="206"/>
  <c r="X14" i="206"/>
  <c r="Y14" i="206"/>
  <c r="Z14" i="206"/>
  <c r="AA14" i="206"/>
  <c r="AB14" i="206"/>
  <c r="AC14" i="206"/>
  <c r="AD14" i="206"/>
  <c r="AE14" i="206"/>
  <c r="AF14" i="206"/>
  <c r="E15" i="206"/>
  <c r="F15" i="206"/>
  <c r="G15" i="206"/>
  <c r="I15" i="206"/>
  <c r="J15" i="206"/>
  <c r="K15" i="206"/>
  <c r="L15" i="206"/>
  <c r="M15" i="206"/>
  <c r="N15" i="206"/>
  <c r="O15" i="206"/>
  <c r="P15" i="206"/>
  <c r="Q15" i="206"/>
  <c r="R15" i="206"/>
  <c r="S15" i="206"/>
  <c r="T15" i="206"/>
  <c r="U15" i="206"/>
  <c r="V15" i="206"/>
  <c r="W15" i="206"/>
  <c r="X15" i="206"/>
  <c r="Y15" i="206"/>
  <c r="Z15" i="206"/>
  <c r="AA15" i="206"/>
  <c r="AB15" i="206"/>
  <c r="AC15" i="206"/>
  <c r="AD15" i="206"/>
  <c r="AE15" i="206"/>
  <c r="AF15" i="206"/>
  <c r="E16" i="206"/>
  <c r="F16" i="206"/>
  <c r="G16" i="206"/>
  <c r="I16" i="206"/>
  <c r="J16" i="206"/>
  <c r="K16" i="206"/>
  <c r="L16" i="206"/>
  <c r="M16" i="206"/>
  <c r="N16" i="206"/>
  <c r="O16" i="206"/>
  <c r="P16" i="206"/>
  <c r="Q16" i="206"/>
  <c r="R16" i="206"/>
  <c r="S16" i="206"/>
  <c r="T16" i="206"/>
  <c r="U16" i="206"/>
  <c r="V16" i="206"/>
  <c r="W16" i="206"/>
  <c r="X16" i="206"/>
  <c r="Y16" i="206"/>
  <c r="Z16" i="206"/>
  <c r="AA16" i="206"/>
  <c r="AB16" i="206"/>
  <c r="AC16" i="206"/>
  <c r="AD16" i="206"/>
  <c r="AE16" i="206"/>
  <c r="AF16" i="206"/>
  <c r="E17" i="206"/>
  <c r="F17" i="206"/>
  <c r="G17" i="206"/>
  <c r="I17" i="206"/>
  <c r="J17" i="206"/>
  <c r="K17" i="206"/>
  <c r="L17" i="206"/>
  <c r="M17" i="206"/>
  <c r="N17" i="206"/>
  <c r="O17" i="206"/>
  <c r="P17" i="206"/>
  <c r="Q17" i="206"/>
  <c r="R17" i="206"/>
  <c r="S17" i="206"/>
  <c r="T17" i="206"/>
  <c r="U17" i="206"/>
  <c r="V17" i="206"/>
  <c r="W17" i="206"/>
  <c r="X17" i="206"/>
  <c r="Y17" i="206"/>
  <c r="Z17" i="206"/>
  <c r="AA17" i="206"/>
  <c r="AB17" i="206"/>
  <c r="AC17" i="206"/>
  <c r="AD17" i="206"/>
  <c r="AE17" i="206"/>
  <c r="AF17" i="206"/>
  <c r="E18" i="206"/>
  <c r="F18" i="206"/>
  <c r="G18" i="206"/>
  <c r="I18" i="206"/>
  <c r="J18" i="206"/>
  <c r="K18" i="206"/>
  <c r="L18" i="206"/>
  <c r="M18" i="206"/>
  <c r="N18" i="206"/>
  <c r="O18" i="206"/>
  <c r="P18" i="206"/>
  <c r="Q18" i="206"/>
  <c r="R18" i="206"/>
  <c r="S18" i="206"/>
  <c r="T18" i="206"/>
  <c r="U18" i="206"/>
  <c r="V18" i="206"/>
  <c r="W18" i="206"/>
  <c r="X18" i="206"/>
  <c r="Y18" i="206"/>
  <c r="Z18" i="206"/>
  <c r="AA18" i="206"/>
  <c r="AB18" i="206"/>
  <c r="AC18" i="206"/>
  <c r="AD18" i="206"/>
  <c r="AE18" i="206"/>
  <c r="AF18" i="206"/>
  <c r="E19" i="206"/>
  <c r="F19" i="206"/>
  <c r="G19" i="206"/>
  <c r="I19" i="206"/>
  <c r="J19" i="206"/>
  <c r="K19" i="206"/>
  <c r="L19" i="206"/>
  <c r="M19" i="206"/>
  <c r="N19" i="206"/>
  <c r="O19" i="206"/>
  <c r="P19" i="206"/>
  <c r="Q19" i="206"/>
  <c r="R19" i="206"/>
  <c r="S19" i="206"/>
  <c r="T19" i="206"/>
  <c r="U19" i="206"/>
  <c r="V19" i="206"/>
  <c r="W19" i="206"/>
  <c r="X19" i="206"/>
  <c r="Y19" i="206"/>
  <c r="Z19" i="206"/>
  <c r="AA19" i="206"/>
  <c r="AB19" i="206"/>
  <c r="AC19" i="206"/>
  <c r="AD19" i="206"/>
  <c r="AE19" i="206"/>
  <c r="AF19" i="206"/>
  <c r="E20" i="206"/>
  <c r="F20" i="206"/>
  <c r="G20" i="206"/>
  <c r="I20" i="206"/>
  <c r="J20" i="206"/>
  <c r="K20" i="206"/>
  <c r="L20" i="206"/>
  <c r="M20" i="206"/>
  <c r="N20" i="206"/>
  <c r="O20" i="206"/>
  <c r="P20" i="206"/>
  <c r="Q20" i="206"/>
  <c r="R20" i="206"/>
  <c r="S20" i="206"/>
  <c r="T20" i="206"/>
  <c r="U20" i="206"/>
  <c r="V20" i="206"/>
  <c r="W20" i="206"/>
  <c r="X20" i="206"/>
  <c r="Y20" i="206"/>
  <c r="Z20" i="206"/>
  <c r="AA20" i="206"/>
  <c r="AB20" i="206"/>
  <c r="AC20" i="206"/>
  <c r="AD20" i="206"/>
  <c r="AE20" i="206"/>
  <c r="AF20" i="206"/>
  <c r="E21" i="206"/>
  <c r="F21" i="206"/>
  <c r="G21" i="206"/>
  <c r="I21" i="206"/>
  <c r="J21" i="206"/>
  <c r="K21" i="206"/>
  <c r="L21" i="206"/>
  <c r="M21" i="206"/>
  <c r="N21" i="206"/>
  <c r="O21" i="206"/>
  <c r="P21" i="206"/>
  <c r="Q21" i="206"/>
  <c r="R21" i="206"/>
  <c r="S21" i="206"/>
  <c r="T21" i="206"/>
  <c r="U21" i="206"/>
  <c r="V21" i="206"/>
  <c r="W21" i="206"/>
  <c r="X21" i="206"/>
  <c r="Y21" i="206"/>
  <c r="Z21" i="206"/>
  <c r="AA21" i="206"/>
  <c r="AB21" i="206"/>
  <c r="AC21" i="206"/>
  <c r="AD21" i="206"/>
  <c r="AE21" i="206"/>
  <c r="AF21" i="206"/>
  <c r="E22" i="206"/>
  <c r="F22" i="206"/>
  <c r="G22" i="206"/>
  <c r="I22" i="206"/>
  <c r="J22" i="206"/>
  <c r="K22" i="206"/>
  <c r="L22" i="206"/>
  <c r="M22" i="206"/>
  <c r="N22" i="206"/>
  <c r="O22" i="206"/>
  <c r="P22" i="206"/>
  <c r="Q22" i="206"/>
  <c r="R22" i="206"/>
  <c r="S22" i="206"/>
  <c r="T22" i="206"/>
  <c r="U22" i="206"/>
  <c r="V22" i="206"/>
  <c r="W22" i="206"/>
  <c r="X22" i="206"/>
  <c r="Y22" i="206"/>
  <c r="Z22" i="206"/>
  <c r="AA22" i="206"/>
  <c r="AB22" i="206"/>
  <c r="AC22" i="206"/>
  <c r="AD22" i="206"/>
  <c r="AE22" i="206"/>
  <c r="AF22" i="206"/>
  <c r="E23" i="206"/>
  <c r="F23" i="206"/>
  <c r="G23" i="206"/>
  <c r="I23" i="206"/>
  <c r="J23" i="206"/>
  <c r="K23" i="206"/>
  <c r="L23" i="206"/>
  <c r="M23" i="206"/>
  <c r="N23" i="206"/>
  <c r="O23" i="206"/>
  <c r="P23" i="206"/>
  <c r="Q23" i="206"/>
  <c r="R23" i="206"/>
  <c r="S23" i="206"/>
  <c r="T23" i="206"/>
  <c r="U23" i="206"/>
  <c r="V23" i="206"/>
  <c r="W23" i="206"/>
  <c r="X23" i="206"/>
  <c r="Y23" i="206"/>
  <c r="Z23" i="206"/>
  <c r="AA23" i="206"/>
  <c r="AB23" i="206"/>
  <c r="AC23" i="206"/>
  <c r="AD23" i="206"/>
  <c r="AE23" i="206"/>
  <c r="AF23" i="206"/>
  <c r="E24" i="206"/>
  <c r="F24" i="206"/>
  <c r="G24" i="206"/>
  <c r="I24" i="206"/>
  <c r="J24" i="206"/>
  <c r="K24" i="206"/>
  <c r="L24" i="206"/>
  <c r="M24" i="206"/>
  <c r="N24" i="206"/>
  <c r="O24" i="206"/>
  <c r="P24" i="206"/>
  <c r="Q24" i="206"/>
  <c r="R24" i="206"/>
  <c r="S24" i="206"/>
  <c r="T24" i="206"/>
  <c r="U24" i="206"/>
  <c r="V24" i="206"/>
  <c r="W24" i="206"/>
  <c r="X24" i="206"/>
  <c r="Y24" i="206"/>
  <c r="Z24" i="206"/>
  <c r="AA24" i="206"/>
  <c r="AB24" i="206"/>
  <c r="AC24" i="206"/>
  <c r="AD24" i="206"/>
  <c r="AE24" i="206"/>
  <c r="AF24" i="206"/>
  <c r="E25" i="206"/>
  <c r="F25" i="206"/>
  <c r="G25" i="206"/>
  <c r="I25" i="206"/>
  <c r="J25" i="206"/>
  <c r="K25" i="206"/>
  <c r="L25" i="206"/>
  <c r="M25" i="206"/>
  <c r="N25" i="206"/>
  <c r="O25" i="206"/>
  <c r="P25" i="206"/>
  <c r="Q25" i="206"/>
  <c r="R25" i="206"/>
  <c r="S25" i="206"/>
  <c r="T25" i="206"/>
  <c r="U25" i="206"/>
  <c r="V25" i="206"/>
  <c r="W25" i="206"/>
  <c r="X25" i="206"/>
  <c r="Y25" i="206"/>
  <c r="Z25" i="206"/>
  <c r="AA25" i="206"/>
  <c r="AB25" i="206"/>
  <c r="AC25" i="206"/>
  <c r="AD25" i="206"/>
  <c r="AE25" i="206"/>
  <c r="AF25" i="206"/>
  <c r="E26" i="206"/>
  <c r="F26" i="206"/>
  <c r="G26" i="206"/>
  <c r="I26" i="206"/>
  <c r="J26" i="206"/>
  <c r="K26" i="206"/>
  <c r="L26" i="206"/>
  <c r="M26" i="206"/>
  <c r="N26" i="206"/>
  <c r="O26" i="206"/>
  <c r="P26" i="206"/>
  <c r="Q26" i="206"/>
  <c r="R26" i="206"/>
  <c r="S26" i="206"/>
  <c r="T26" i="206"/>
  <c r="U26" i="206"/>
  <c r="V26" i="206"/>
  <c r="W26" i="206"/>
  <c r="X26" i="206"/>
  <c r="Y26" i="206"/>
  <c r="Z26" i="206"/>
  <c r="AA26" i="206"/>
  <c r="AB26" i="206"/>
  <c r="AC26" i="206"/>
  <c r="AD26" i="206"/>
  <c r="AE26" i="206"/>
  <c r="AF26" i="206"/>
  <c r="E27" i="206"/>
  <c r="F27" i="206"/>
  <c r="G27" i="206"/>
  <c r="I27" i="206"/>
  <c r="J27" i="206"/>
  <c r="K27" i="206"/>
  <c r="L27" i="206"/>
  <c r="M27" i="206"/>
  <c r="N27" i="206"/>
  <c r="O27" i="206"/>
  <c r="P27" i="206"/>
  <c r="Q27" i="206"/>
  <c r="R27" i="206"/>
  <c r="S27" i="206"/>
  <c r="T27" i="206"/>
  <c r="U27" i="206"/>
  <c r="V27" i="206"/>
  <c r="W27" i="206"/>
  <c r="X27" i="206"/>
  <c r="Y27" i="206"/>
  <c r="Z27" i="206"/>
  <c r="AA27" i="206"/>
  <c r="AB27" i="206"/>
  <c r="AC27" i="206"/>
  <c r="AD27" i="206"/>
  <c r="AE27" i="206"/>
  <c r="AF27" i="206"/>
  <c r="E28" i="206"/>
  <c r="F28" i="206"/>
  <c r="G28" i="206"/>
  <c r="I28" i="206"/>
  <c r="J28" i="206"/>
  <c r="K28" i="206"/>
  <c r="L28" i="206"/>
  <c r="M28" i="206"/>
  <c r="N28" i="206"/>
  <c r="O28" i="206"/>
  <c r="P28" i="206"/>
  <c r="Q28" i="206"/>
  <c r="R28" i="206"/>
  <c r="S28" i="206"/>
  <c r="T28" i="206"/>
  <c r="U28" i="206"/>
  <c r="V28" i="206"/>
  <c r="W28" i="206"/>
  <c r="X28" i="206"/>
  <c r="Y28" i="206"/>
  <c r="Z28" i="206"/>
  <c r="AA28" i="206"/>
  <c r="AB28" i="206"/>
  <c r="AC28" i="206"/>
  <c r="AD28" i="206"/>
  <c r="AE28" i="206"/>
  <c r="AF28" i="206"/>
  <c r="E29" i="206"/>
  <c r="F29" i="206"/>
  <c r="G29" i="206"/>
  <c r="I29" i="206"/>
  <c r="J29" i="206"/>
  <c r="K29" i="206"/>
  <c r="L29" i="206"/>
  <c r="M29" i="206"/>
  <c r="N29" i="206"/>
  <c r="O29" i="206"/>
  <c r="P29" i="206"/>
  <c r="Q29" i="206"/>
  <c r="R29" i="206"/>
  <c r="S29" i="206"/>
  <c r="T29" i="206"/>
  <c r="U29" i="206"/>
  <c r="V29" i="206"/>
  <c r="W29" i="206"/>
  <c r="X29" i="206"/>
  <c r="Y29" i="206"/>
  <c r="Z29" i="206"/>
  <c r="AA29" i="206"/>
  <c r="AB29" i="206"/>
  <c r="AC29" i="206"/>
  <c r="AD29" i="206"/>
  <c r="AE29" i="206"/>
  <c r="AF29" i="206"/>
  <c r="E30" i="206"/>
  <c r="F30" i="206"/>
  <c r="G30" i="206"/>
  <c r="I30" i="206"/>
  <c r="J30" i="206"/>
  <c r="K30" i="206"/>
  <c r="L30" i="206"/>
  <c r="M30" i="206"/>
  <c r="N30" i="206"/>
  <c r="O30" i="206"/>
  <c r="P30" i="206"/>
  <c r="Q30" i="206"/>
  <c r="R30" i="206"/>
  <c r="S30" i="206"/>
  <c r="T30" i="206"/>
  <c r="U30" i="206"/>
  <c r="V30" i="206"/>
  <c r="W30" i="206"/>
  <c r="X30" i="206"/>
  <c r="Y30" i="206"/>
  <c r="Z30" i="206"/>
  <c r="AA30" i="206"/>
  <c r="AB30" i="206"/>
  <c r="AC30" i="206"/>
  <c r="AD30" i="206"/>
  <c r="AE30" i="206"/>
  <c r="AF30" i="206"/>
  <c r="E31" i="206"/>
  <c r="F31" i="206"/>
  <c r="G31" i="206"/>
  <c r="I31" i="206"/>
  <c r="J31" i="206"/>
  <c r="K31" i="206"/>
  <c r="L31" i="206"/>
  <c r="M31" i="206"/>
  <c r="N31" i="206"/>
  <c r="O31" i="206"/>
  <c r="P31" i="206"/>
  <c r="Q31" i="206"/>
  <c r="R31" i="206"/>
  <c r="S31" i="206"/>
  <c r="T31" i="206"/>
  <c r="U31" i="206"/>
  <c r="V31" i="206"/>
  <c r="W31" i="206"/>
  <c r="X31" i="206"/>
  <c r="Y31" i="206"/>
  <c r="Z31" i="206"/>
  <c r="AA31" i="206"/>
  <c r="AB31" i="206"/>
  <c r="AC31" i="206"/>
  <c r="AD31" i="206"/>
  <c r="AE31" i="206"/>
  <c r="AF31" i="206"/>
  <c r="E32" i="206"/>
  <c r="F32" i="206"/>
  <c r="G32" i="206"/>
  <c r="I32" i="206"/>
  <c r="J32" i="206"/>
  <c r="K32" i="206"/>
  <c r="L32" i="206"/>
  <c r="M32" i="206"/>
  <c r="N32" i="206"/>
  <c r="O32" i="206"/>
  <c r="P32" i="206"/>
  <c r="Q32" i="206"/>
  <c r="R32" i="206"/>
  <c r="S32" i="206"/>
  <c r="T32" i="206"/>
  <c r="U32" i="206"/>
  <c r="V32" i="206"/>
  <c r="W32" i="206"/>
  <c r="X32" i="206"/>
  <c r="Y32" i="206"/>
  <c r="Z32" i="206"/>
  <c r="AA32" i="206"/>
  <c r="AB32" i="206"/>
  <c r="AC32" i="206"/>
  <c r="AD32" i="206"/>
  <c r="AE32" i="206"/>
  <c r="AF32" i="206"/>
  <c r="E33" i="206"/>
  <c r="F33" i="206"/>
  <c r="G33" i="206"/>
  <c r="I33" i="206"/>
  <c r="J33" i="206"/>
  <c r="K33" i="206"/>
  <c r="L33" i="206"/>
  <c r="M33" i="206"/>
  <c r="N33" i="206"/>
  <c r="O33" i="206"/>
  <c r="P33" i="206"/>
  <c r="Q33" i="206"/>
  <c r="R33" i="206"/>
  <c r="S33" i="206"/>
  <c r="T33" i="206"/>
  <c r="U33" i="206"/>
  <c r="V33" i="206"/>
  <c r="W33" i="206"/>
  <c r="X33" i="206"/>
  <c r="Y33" i="206"/>
  <c r="Z33" i="206"/>
  <c r="AA33" i="206"/>
  <c r="AB33" i="206"/>
  <c r="AC33" i="206"/>
  <c r="AD33" i="206"/>
  <c r="AE33" i="206"/>
  <c r="AF33" i="206"/>
  <c r="E34" i="206"/>
  <c r="F34" i="206"/>
  <c r="G34" i="206"/>
  <c r="I34" i="206"/>
  <c r="J34" i="206"/>
  <c r="K34" i="206"/>
  <c r="L34" i="206"/>
  <c r="M34" i="206"/>
  <c r="N34" i="206"/>
  <c r="O34" i="206"/>
  <c r="P34" i="206"/>
  <c r="Q34" i="206"/>
  <c r="R34" i="206"/>
  <c r="S34" i="206"/>
  <c r="T34" i="206"/>
  <c r="U34" i="206"/>
  <c r="V34" i="206"/>
  <c r="W34" i="206"/>
  <c r="X34" i="206"/>
  <c r="Y34" i="206"/>
  <c r="Z34" i="206"/>
  <c r="AA34" i="206"/>
  <c r="AB34" i="206"/>
  <c r="AC34" i="206"/>
  <c r="AD34" i="206"/>
  <c r="AE34" i="206"/>
  <c r="AF34" i="206"/>
  <c r="E35" i="206"/>
  <c r="F35" i="206"/>
  <c r="G35" i="206"/>
  <c r="I35" i="206"/>
  <c r="J35" i="206"/>
  <c r="K35" i="206"/>
  <c r="L35" i="206"/>
  <c r="M35" i="206"/>
  <c r="N35" i="206"/>
  <c r="O35" i="206"/>
  <c r="P35" i="206"/>
  <c r="Q35" i="206"/>
  <c r="R35" i="206"/>
  <c r="S35" i="206"/>
  <c r="T35" i="206"/>
  <c r="U35" i="206"/>
  <c r="V35" i="206"/>
  <c r="W35" i="206"/>
  <c r="X35" i="206"/>
  <c r="Y35" i="206"/>
  <c r="Z35" i="206"/>
  <c r="AA35" i="206"/>
  <c r="AB35" i="206"/>
  <c r="AC35" i="206"/>
  <c r="AD35" i="206"/>
  <c r="AE35" i="206"/>
  <c r="AF35" i="206"/>
  <c r="E36" i="206"/>
  <c r="F36" i="206"/>
  <c r="G36" i="206"/>
  <c r="I36" i="206"/>
  <c r="J36" i="206"/>
  <c r="K36" i="206"/>
  <c r="L36" i="206"/>
  <c r="M36" i="206"/>
  <c r="N36" i="206"/>
  <c r="O36" i="206"/>
  <c r="P36" i="206"/>
  <c r="Q36" i="206"/>
  <c r="R36" i="206"/>
  <c r="S36" i="206"/>
  <c r="T36" i="206"/>
  <c r="U36" i="206"/>
  <c r="V36" i="206"/>
  <c r="W36" i="206"/>
  <c r="X36" i="206"/>
  <c r="Y36" i="206"/>
  <c r="Z36" i="206"/>
  <c r="AA36" i="206"/>
  <c r="AB36" i="206"/>
  <c r="AC36" i="206"/>
  <c r="AD36" i="206"/>
  <c r="AE36" i="206"/>
  <c r="AF36" i="206"/>
  <c r="E37" i="206"/>
  <c r="F37" i="206"/>
  <c r="G37" i="206"/>
  <c r="I37" i="206"/>
  <c r="J37" i="206"/>
  <c r="K37" i="206"/>
  <c r="L37" i="206"/>
  <c r="M37" i="206"/>
  <c r="N37" i="206"/>
  <c r="O37" i="206"/>
  <c r="P37" i="206"/>
  <c r="Q37" i="206"/>
  <c r="R37" i="206"/>
  <c r="S37" i="206"/>
  <c r="T37" i="206"/>
  <c r="U37" i="206"/>
  <c r="V37" i="206"/>
  <c r="W37" i="206"/>
  <c r="X37" i="206"/>
  <c r="Y37" i="206"/>
  <c r="Z37" i="206"/>
  <c r="AA37" i="206"/>
  <c r="AB37" i="206"/>
  <c r="AC37" i="206"/>
  <c r="AD37" i="206"/>
  <c r="AE37" i="206"/>
  <c r="AF37" i="206"/>
  <c r="E38" i="206"/>
  <c r="F38" i="206"/>
  <c r="G38" i="206"/>
  <c r="I38" i="206"/>
  <c r="J38" i="206"/>
  <c r="K38" i="206"/>
  <c r="L38" i="206"/>
  <c r="M38" i="206"/>
  <c r="N38" i="206"/>
  <c r="O38" i="206"/>
  <c r="P38" i="206"/>
  <c r="Q38" i="206"/>
  <c r="R38" i="206"/>
  <c r="S38" i="206"/>
  <c r="T38" i="206"/>
  <c r="U38" i="206"/>
  <c r="V38" i="206"/>
  <c r="W38" i="206"/>
  <c r="X38" i="206"/>
  <c r="Y38" i="206"/>
  <c r="Z38" i="206"/>
  <c r="AA38" i="206"/>
  <c r="AB38" i="206"/>
  <c r="AC38" i="206"/>
  <c r="AD38" i="206"/>
  <c r="AE38" i="206"/>
  <c r="AF38" i="206"/>
  <c r="E39" i="206"/>
  <c r="F39" i="206"/>
  <c r="G39" i="206"/>
  <c r="I39" i="206"/>
  <c r="J39" i="206"/>
  <c r="K39" i="206"/>
  <c r="L39" i="206"/>
  <c r="M39" i="206"/>
  <c r="N39" i="206"/>
  <c r="O39" i="206"/>
  <c r="P39" i="206"/>
  <c r="Q39" i="206"/>
  <c r="R39" i="206"/>
  <c r="S39" i="206"/>
  <c r="T39" i="206"/>
  <c r="U39" i="206"/>
  <c r="V39" i="206"/>
  <c r="W39" i="206"/>
  <c r="X39" i="206"/>
  <c r="Y39" i="206"/>
  <c r="Z39" i="206"/>
  <c r="AA39" i="206"/>
  <c r="AB39" i="206"/>
  <c r="AC39" i="206"/>
  <c r="AD39" i="206"/>
  <c r="AE39" i="206"/>
  <c r="AF39" i="206"/>
  <c r="E40" i="206"/>
  <c r="F40" i="206"/>
  <c r="G40" i="206"/>
  <c r="I40" i="206"/>
  <c r="J40" i="206"/>
  <c r="K40" i="206"/>
  <c r="L40" i="206"/>
  <c r="M40" i="206"/>
  <c r="N40" i="206"/>
  <c r="O40" i="206"/>
  <c r="P40" i="206"/>
  <c r="Q40" i="206"/>
  <c r="R40" i="206"/>
  <c r="S40" i="206"/>
  <c r="T40" i="206"/>
  <c r="U40" i="206"/>
  <c r="V40" i="206"/>
  <c r="W40" i="206"/>
  <c r="X40" i="206"/>
  <c r="Y40" i="206"/>
  <c r="Z40" i="206"/>
  <c r="AA40" i="206"/>
  <c r="AB40" i="206"/>
  <c r="AC40" i="206"/>
  <c r="AD40" i="206"/>
  <c r="AE40" i="206"/>
  <c r="AF40" i="206"/>
  <c r="E41" i="206"/>
  <c r="F41" i="206"/>
  <c r="G41" i="206"/>
  <c r="I41" i="206"/>
  <c r="J41" i="206"/>
  <c r="K41" i="206"/>
  <c r="L41" i="206"/>
  <c r="M41" i="206"/>
  <c r="N41" i="206"/>
  <c r="O41" i="206"/>
  <c r="P41" i="206"/>
  <c r="Q41" i="206"/>
  <c r="R41" i="206"/>
  <c r="S41" i="206"/>
  <c r="T41" i="206"/>
  <c r="U41" i="206"/>
  <c r="V41" i="206"/>
  <c r="W41" i="206"/>
  <c r="X41" i="206"/>
  <c r="Y41" i="206"/>
  <c r="Z41" i="206"/>
  <c r="AA41" i="206"/>
  <c r="AB41" i="206"/>
  <c r="AC41" i="206"/>
  <c r="AD41" i="206"/>
  <c r="AE41" i="206"/>
  <c r="AF41" i="206"/>
  <c r="E42" i="206"/>
  <c r="F42" i="206"/>
  <c r="G42" i="206"/>
  <c r="I42" i="206"/>
  <c r="J42" i="206"/>
  <c r="K42" i="206"/>
  <c r="L42" i="206"/>
  <c r="M42" i="206"/>
  <c r="N42" i="206"/>
  <c r="O42" i="206"/>
  <c r="P42" i="206"/>
  <c r="Q42" i="206"/>
  <c r="R42" i="206"/>
  <c r="S42" i="206"/>
  <c r="T42" i="206"/>
  <c r="U42" i="206"/>
  <c r="V42" i="206"/>
  <c r="W42" i="206"/>
  <c r="X42" i="206"/>
  <c r="Y42" i="206"/>
  <c r="Z42" i="206"/>
  <c r="AA42" i="206"/>
  <c r="AB42" i="206"/>
  <c r="AC42" i="206"/>
  <c r="AD42" i="206"/>
  <c r="AE42" i="206"/>
  <c r="AF42" i="206"/>
  <c r="E43" i="206"/>
  <c r="F43" i="206"/>
  <c r="G43" i="206"/>
  <c r="I43" i="206"/>
  <c r="J43" i="206"/>
  <c r="K43" i="206"/>
  <c r="L43" i="206"/>
  <c r="M43" i="206"/>
  <c r="N43" i="206"/>
  <c r="O43" i="206"/>
  <c r="P43" i="206"/>
  <c r="Q43" i="206"/>
  <c r="R43" i="206"/>
  <c r="S43" i="206"/>
  <c r="T43" i="206"/>
  <c r="U43" i="206"/>
  <c r="V43" i="206"/>
  <c r="W43" i="206"/>
  <c r="X43" i="206"/>
  <c r="Y43" i="206"/>
  <c r="Z43" i="206"/>
  <c r="AA43" i="206"/>
  <c r="AB43" i="206"/>
  <c r="AC43" i="206"/>
  <c r="AD43" i="206"/>
  <c r="AE43" i="206"/>
  <c r="AF43" i="206"/>
  <c r="E44" i="206"/>
  <c r="F44" i="206"/>
  <c r="G44" i="206"/>
  <c r="I44" i="206"/>
  <c r="J44" i="206"/>
  <c r="K44" i="206"/>
  <c r="L44" i="206"/>
  <c r="M44" i="206"/>
  <c r="N44" i="206"/>
  <c r="O44" i="206"/>
  <c r="P44" i="206"/>
  <c r="Q44" i="206"/>
  <c r="R44" i="206"/>
  <c r="S44" i="206"/>
  <c r="T44" i="206"/>
  <c r="U44" i="206"/>
  <c r="V44" i="206"/>
  <c r="W44" i="206"/>
  <c r="X44" i="206"/>
  <c r="Y44" i="206"/>
  <c r="Z44" i="206"/>
  <c r="AA44" i="206"/>
  <c r="AB44" i="206"/>
  <c r="AC44" i="206"/>
  <c r="AD44" i="206"/>
  <c r="AE44" i="206"/>
  <c r="AF44" i="206"/>
  <c r="E45" i="206"/>
  <c r="F45" i="206"/>
  <c r="G45" i="206"/>
  <c r="I45" i="206"/>
  <c r="J45" i="206"/>
  <c r="K45" i="206"/>
  <c r="L45" i="206"/>
  <c r="M45" i="206"/>
  <c r="N45" i="206"/>
  <c r="O45" i="206"/>
  <c r="P45" i="206"/>
  <c r="Q45" i="206"/>
  <c r="R45" i="206"/>
  <c r="S45" i="206"/>
  <c r="T45" i="206"/>
  <c r="U45" i="206"/>
  <c r="V45" i="206"/>
  <c r="W45" i="206"/>
  <c r="X45" i="206"/>
  <c r="Y45" i="206"/>
  <c r="Z45" i="206"/>
  <c r="AA45" i="206"/>
  <c r="AB45" i="206"/>
  <c r="AC45" i="206"/>
  <c r="AD45" i="206"/>
  <c r="AE45" i="206"/>
  <c r="AF45" i="206"/>
  <c r="E46" i="206"/>
  <c r="F46" i="206"/>
  <c r="G46" i="206"/>
  <c r="I46" i="206"/>
  <c r="J46" i="206"/>
  <c r="K46" i="206"/>
  <c r="L46" i="206"/>
  <c r="M46" i="206"/>
  <c r="N46" i="206"/>
  <c r="O46" i="206"/>
  <c r="P46" i="206"/>
  <c r="Q46" i="206"/>
  <c r="R46" i="206"/>
  <c r="S46" i="206"/>
  <c r="T46" i="206"/>
  <c r="U46" i="206"/>
  <c r="V46" i="206"/>
  <c r="W46" i="206"/>
  <c r="X46" i="206"/>
  <c r="Y46" i="206"/>
  <c r="Z46" i="206"/>
  <c r="AA46" i="206"/>
  <c r="AB46" i="206"/>
  <c r="AC46" i="206"/>
  <c r="AD46" i="206"/>
  <c r="AE46" i="206"/>
  <c r="AF46" i="206"/>
  <c r="E47" i="206"/>
  <c r="F47" i="206"/>
  <c r="G47" i="206"/>
  <c r="I47" i="206"/>
  <c r="J47" i="206"/>
  <c r="K47" i="206"/>
  <c r="L47" i="206"/>
  <c r="M47" i="206"/>
  <c r="N47" i="206"/>
  <c r="O47" i="206"/>
  <c r="P47" i="206"/>
  <c r="Q47" i="206"/>
  <c r="R47" i="206"/>
  <c r="S47" i="206"/>
  <c r="T47" i="206"/>
  <c r="U47" i="206"/>
  <c r="V47" i="206"/>
  <c r="W47" i="206"/>
  <c r="X47" i="206"/>
  <c r="Y47" i="206"/>
  <c r="Z47" i="206"/>
  <c r="AA47" i="206"/>
  <c r="AB47" i="206"/>
  <c r="AC47" i="206"/>
  <c r="AD47" i="206"/>
  <c r="AE47" i="206"/>
  <c r="AF47" i="206"/>
  <c r="E48" i="206"/>
  <c r="F48" i="206"/>
  <c r="G48" i="206"/>
  <c r="I48" i="206"/>
  <c r="J48" i="206"/>
  <c r="K48" i="206"/>
  <c r="L48" i="206"/>
  <c r="M48" i="206"/>
  <c r="N48" i="206"/>
  <c r="O48" i="206"/>
  <c r="P48" i="206"/>
  <c r="Q48" i="206"/>
  <c r="R48" i="206"/>
  <c r="S48" i="206"/>
  <c r="T48" i="206"/>
  <c r="U48" i="206"/>
  <c r="V48" i="206"/>
  <c r="W48" i="206"/>
  <c r="X48" i="206"/>
  <c r="Y48" i="206"/>
  <c r="Z48" i="206"/>
  <c r="AA48" i="206"/>
  <c r="AB48" i="206"/>
  <c r="AC48" i="206"/>
  <c r="AD48" i="206"/>
  <c r="AE48" i="206"/>
  <c r="AF48" i="206"/>
  <c r="E49" i="206"/>
  <c r="F49" i="206"/>
  <c r="G49" i="206"/>
  <c r="I49" i="206"/>
  <c r="J49" i="206"/>
  <c r="K49" i="206"/>
  <c r="L49" i="206"/>
  <c r="M49" i="206"/>
  <c r="N49" i="206"/>
  <c r="O49" i="206"/>
  <c r="P49" i="206"/>
  <c r="Q49" i="206"/>
  <c r="R49" i="206"/>
  <c r="S49" i="206"/>
  <c r="T49" i="206"/>
  <c r="U49" i="206"/>
  <c r="V49" i="206"/>
  <c r="W49" i="206"/>
  <c r="X49" i="206"/>
  <c r="Y49" i="206"/>
  <c r="Z49" i="206"/>
  <c r="AA49" i="206"/>
  <c r="AB49" i="206"/>
  <c r="AC49" i="206"/>
  <c r="AD49" i="206"/>
  <c r="AE49" i="206"/>
  <c r="AF49" i="206"/>
  <c r="E50" i="206"/>
  <c r="F50" i="206"/>
  <c r="G50" i="206"/>
  <c r="I50" i="206"/>
  <c r="J50" i="206"/>
  <c r="K50" i="206"/>
  <c r="L50" i="206"/>
  <c r="M50" i="206"/>
  <c r="N50" i="206"/>
  <c r="O50" i="206"/>
  <c r="P50" i="206"/>
  <c r="Q50" i="206"/>
  <c r="R50" i="206"/>
  <c r="S50" i="206"/>
  <c r="T50" i="206"/>
  <c r="U50" i="206"/>
  <c r="V50" i="206"/>
  <c r="W50" i="206"/>
  <c r="X50" i="206"/>
  <c r="Y50" i="206"/>
  <c r="Z50" i="206"/>
  <c r="AA50" i="206"/>
  <c r="AB50" i="206"/>
  <c r="AC50" i="206"/>
  <c r="AD50" i="206"/>
  <c r="AE50" i="206"/>
  <c r="AF50" i="206"/>
  <c r="E51" i="206"/>
  <c r="F51" i="206"/>
  <c r="G51" i="206"/>
  <c r="I51" i="206"/>
  <c r="J51" i="206"/>
  <c r="K51" i="206"/>
  <c r="L51" i="206"/>
  <c r="M51" i="206"/>
  <c r="N51" i="206"/>
  <c r="O51" i="206"/>
  <c r="P51" i="206"/>
  <c r="Q51" i="206"/>
  <c r="R51" i="206"/>
  <c r="S51" i="206"/>
  <c r="T51" i="206"/>
  <c r="U51" i="206"/>
  <c r="V51" i="206"/>
  <c r="W51" i="206"/>
  <c r="X51" i="206"/>
  <c r="Y51" i="206"/>
  <c r="Z51" i="206"/>
  <c r="AA51" i="206"/>
  <c r="AB51" i="206"/>
  <c r="AC51" i="206"/>
  <c r="AD51" i="206"/>
  <c r="AE51" i="206"/>
  <c r="AF51" i="206"/>
  <c r="E52" i="206"/>
  <c r="F52" i="206"/>
  <c r="G52" i="206"/>
  <c r="I52" i="206"/>
  <c r="J52" i="206"/>
  <c r="K52" i="206"/>
  <c r="L52" i="206"/>
  <c r="M52" i="206"/>
  <c r="N52" i="206"/>
  <c r="O52" i="206"/>
  <c r="P52" i="206"/>
  <c r="Q52" i="206"/>
  <c r="R52" i="206"/>
  <c r="S52" i="206"/>
  <c r="T52" i="206"/>
  <c r="U52" i="206"/>
  <c r="V52" i="206"/>
  <c r="W52" i="206"/>
  <c r="X52" i="206"/>
  <c r="Y52" i="206"/>
  <c r="Z52" i="206"/>
  <c r="AA52" i="206"/>
  <c r="AB52" i="206"/>
  <c r="AC52" i="206"/>
  <c r="AD52" i="206"/>
  <c r="AE52" i="206"/>
  <c r="AF52" i="206"/>
  <c r="E53" i="206"/>
  <c r="F53" i="206"/>
  <c r="G53" i="206"/>
  <c r="I53" i="206"/>
  <c r="J53" i="206"/>
  <c r="K53" i="206"/>
  <c r="L53" i="206"/>
  <c r="M53" i="206"/>
  <c r="N53" i="206"/>
  <c r="O53" i="206"/>
  <c r="P53" i="206"/>
  <c r="Q53" i="206"/>
  <c r="R53" i="206"/>
  <c r="S53" i="206"/>
  <c r="T53" i="206"/>
  <c r="U53" i="206"/>
  <c r="V53" i="206"/>
  <c r="W53" i="206"/>
  <c r="X53" i="206"/>
  <c r="Y53" i="206"/>
  <c r="Z53" i="206"/>
  <c r="AA53" i="206"/>
  <c r="AB53" i="206"/>
  <c r="AC53" i="206"/>
  <c r="AD53" i="206"/>
  <c r="AE53" i="206"/>
  <c r="AF53" i="206"/>
  <c r="E54" i="206"/>
  <c r="F54" i="206"/>
  <c r="G54" i="206"/>
  <c r="I54" i="206"/>
  <c r="J54" i="206"/>
  <c r="K54" i="206"/>
  <c r="L54" i="206"/>
  <c r="M54" i="206"/>
  <c r="N54" i="206"/>
  <c r="O54" i="206"/>
  <c r="P54" i="206"/>
  <c r="Q54" i="206"/>
  <c r="R54" i="206"/>
  <c r="S54" i="206"/>
  <c r="T54" i="206"/>
  <c r="U54" i="206"/>
  <c r="V54" i="206"/>
  <c r="W54" i="206"/>
  <c r="X54" i="206"/>
  <c r="Y54" i="206"/>
  <c r="Z54" i="206"/>
  <c r="AA54" i="206"/>
  <c r="AB54" i="206"/>
  <c r="AC54" i="206"/>
  <c r="AD54" i="206"/>
  <c r="AE54" i="206"/>
  <c r="AF54" i="206"/>
  <c r="E55" i="206"/>
  <c r="F55" i="206"/>
  <c r="G55" i="206"/>
  <c r="I55" i="206"/>
  <c r="J55" i="206"/>
  <c r="K55" i="206"/>
  <c r="L55" i="206"/>
  <c r="M55" i="206"/>
  <c r="N55" i="206"/>
  <c r="O55" i="206"/>
  <c r="P55" i="206"/>
  <c r="Q55" i="206"/>
  <c r="R55" i="206"/>
  <c r="S55" i="206"/>
  <c r="T55" i="206"/>
  <c r="U55" i="206"/>
  <c r="V55" i="206"/>
  <c r="W55" i="206"/>
  <c r="X55" i="206"/>
  <c r="Y55" i="206"/>
  <c r="Z55" i="206"/>
  <c r="AA55" i="206"/>
  <c r="AB55" i="206"/>
  <c r="AC55" i="206"/>
  <c r="AD55" i="206"/>
  <c r="AE55" i="206"/>
  <c r="AF55" i="206"/>
  <c r="E56" i="206"/>
  <c r="F56" i="206"/>
  <c r="G56" i="206"/>
  <c r="I56" i="206"/>
  <c r="J56" i="206"/>
  <c r="K56" i="206"/>
  <c r="L56" i="206"/>
  <c r="M56" i="206"/>
  <c r="N56" i="206"/>
  <c r="O56" i="206"/>
  <c r="P56" i="206"/>
  <c r="Q56" i="206"/>
  <c r="R56" i="206"/>
  <c r="S56" i="206"/>
  <c r="T56" i="206"/>
  <c r="U56" i="206"/>
  <c r="V56" i="206"/>
  <c r="W56" i="206"/>
  <c r="X56" i="206"/>
  <c r="Y56" i="206"/>
  <c r="Z56" i="206"/>
  <c r="AA56" i="206"/>
  <c r="AB56" i="206"/>
  <c r="AC56" i="206"/>
  <c r="AD56" i="206"/>
  <c r="AE56" i="206"/>
  <c r="AF56" i="206"/>
  <c r="E57" i="206"/>
  <c r="F57" i="206"/>
  <c r="G57" i="206"/>
  <c r="I57" i="206"/>
  <c r="J57" i="206"/>
  <c r="K57" i="206"/>
  <c r="L57" i="206"/>
  <c r="M57" i="206"/>
  <c r="N57" i="206"/>
  <c r="O57" i="206"/>
  <c r="P57" i="206"/>
  <c r="Q57" i="206"/>
  <c r="R57" i="206"/>
  <c r="S57" i="206"/>
  <c r="T57" i="206"/>
  <c r="U57" i="206"/>
  <c r="V57" i="206"/>
  <c r="W57" i="206"/>
  <c r="X57" i="206"/>
  <c r="Y57" i="206"/>
  <c r="Z57" i="206"/>
  <c r="AA57" i="206"/>
  <c r="AB57" i="206"/>
  <c r="AC57" i="206"/>
  <c r="AD57" i="206"/>
  <c r="AE57" i="206"/>
  <c r="AF57" i="206"/>
  <c r="E58" i="206"/>
  <c r="F58" i="206"/>
  <c r="G58" i="206"/>
  <c r="I58" i="206"/>
  <c r="J58" i="206"/>
  <c r="K58" i="206"/>
  <c r="L58" i="206"/>
  <c r="M58" i="206"/>
  <c r="N58" i="206"/>
  <c r="O58" i="206"/>
  <c r="P58" i="206"/>
  <c r="Q58" i="206"/>
  <c r="R58" i="206"/>
  <c r="S58" i="206"/>
  <c r="T58" i="206"/>
  <c r="U58" i="206"/>
  <c r="V58" i="206"/>
  <c r="W58" i="206"/>
  <c r="X58" i="206"/>
  <c r="Y58" i="206"/>
  <c r="Z58" i="206"/>
  <c r="AA58" i="206"/>
  <c r="AB58" i="206"/>
  <c r="AC58" i="206"/>
  <c r="AD58" i="206"/>
  <c r="AE58" i="206"/>
  <c r="AF58" i="206"/>
  <c r="E59" i="206"/>
  <c r="F59" i="206"/>
  <c r="G59" i="206"/>
  <c r="I59" i="206"/>
  <c r="J59" i="206"/>
  <c r="K59" i="206"/>
  <c r="L59" i="206"/>
  <c r="M59" i="206"/>
  <c r="N59" i="206"/>
  <c r="O59" i="206"/>
  <c r="P59" i="206"/>
  <c r="Q59" i="206"/>
  <c r="R59" i="206"/>
  <c r="S59" i="206"/>
  <c r="T59" i="206"/>
  <c r="U59" i="206"/>
  <c r="V59" i="206"/>
  <c r="W59" i="206"/>
  <c r="X59" i="206"/>
  <c r="Y59" i="206"/>
  <c r="Z59" i="206"/>
  <c r="AA59" i="206"/>
  <c r="AB59" i="206"/>
  <c r="AC59" i="206"/>
  <c r="AD59" i="206"/>
  <c r="AE59" i="206"/>
  <c r="AF59" i="206"/>
  <c r="E60" i="206"/>
  <c r="F60" i="206"/>
  <c r="G60" i="206"/>
  <c r="I60" i="206"/>
  <c r="J60" i="206"/>
  <c r="K60" i="206"/>
  <c r="L60" i="206"/>
  <c r="M60" i="206"/>
  <c r="N60" i="206"/>
  <c r="O60" i="206"/>
  <c r="P60" i="206"/>
  <c r="Q60" i="206"/>
  <c r="R60" i="206"/>
  <c r="S60" i="206"/>
  <c r="T60" i="206"/>
  <c r="U60" i="206"/>
  <c r="V60" i="206"/>
  <c r="W60" i="206"/>
  <c r="X60" i="206"/>
  <c r="Y60" i="206"/>
  <c r="Z60" i="206"/>
  <c r="AA60" i="206"/>
  <c r="AB60" i="206"/>
  <c r="AC60" i="206"/>
  <c r="AD60" i="206"/>
  <c r="AE60" i="206"/>
  <c r="AF60" i="206"/>
  <c r="E61" i="206"/>
  <c r="F61" i="206"/>
  <c r="G61" i="206"/>
  <c r="I61" i="206"/>
  <c r="J61" i="206"/>
  <c r="K61" i="206"/>
  <c r="L61" i="206"/>
  <c r="M61" i="206"/>
  <c r="N61" i="206"/>
  <c r="O61" i="206"/>
  <c r="P61" i="206"/>
  <c r="Q61" i="206"/>
  <c r="R61" i="206"/>
  <c r="S61" i="206"/>
  <c r="T61" i="206"/>
  <c r="U61" i="206"/>
  <c r="V61" i="206"/>
  <c r="W61" i="206"/>
  <c r="X61" i="206"/>
  <c r="Y61" i="206"/>
  <c r="Z61" i="206"/>
  <c r="AA61" i="206"/>
  <c r="AB61" i="206"/>
  <c r="AC61" i="206"/>
  <c r="AD61" i="206"/>
  <c r="AE61" i="206"/>
  <c r="AF61" i="206"/>
  <c r="E62" i="206"/>
  <c r="F62" i="206"/>
  <c r="G62" i="206"/>
  <c r="I62" i="206"/>
  <c r="J62" i="206"/>
  <c r="K62" i="206"/>
  <c r="L62" i="206"/>
  <c r="M62" i="206"/>
  <c r="N62" i="206"/>
  <c r="O62" i="206"/>
  <c r="P62" i="206"/>
  <c r="Q62" i="206"/>
  <c r="R62" i="206"/>
  <c r="S62" i="206"/>
  <c r="T62" i="206"/>
  <c r="U62" i="206"/>
  <c r="V62" i="206"/>
  <c r="W62" i="206"/>
  <c r="X62" i="206"/>
  <c r="Y62" i="206"/>
  <c r="Z62" i="206"/>
  <c r="AA62" i="206"/>
  <c r="AB62" i="206"/>
  <c r="AC62" i="206"/>
  <c r="AD62" i="206"/>
  <c r="AE62" i="206"/>
  <c r="AF62" i="206"/>
  <c r="E63" i="206"/>
  <c r="F63" i="206"/>
  <c r="G63" i="206"/>
  <c r="I63" i="206"/>
  <c r="J63" i="206"/>
  <c r="K63" i="206"/>
  <c r="L63" i="206"/>
  <c r="M63" i="206"/>
  <c r="N63" i="206"/>
  <c r="O63" i="206"/>
  <c r="P63" i="206"/>
  <c r="Q63" i="206"/>
  <c r="R63" i="206"/>
  <c r="S63" i="206"/>
  <c r="T63" i="206"/>
  <c r="U63" i="206"/>
  <c r="V63" i="206"/>
  <c r="W63" i="206"/>
  <c r="X63" i="206"/>
  <c r="Y63" i="206"/>
  <c r="Z63" i="206"/>
  <c r="AA63" i="206"/>
  <c r="AB63" i="206"/>
  <c r="AC63" i="206"/>
  <c r="AD63" i="206"/>
  <c r="AE63" i="206"/>
  <c r="AF63" i="206"/>
  <c r="E64" i="206"/>
  <c r="F64" i="206"/>
  <c r="G64" i="206"/>
  <c r="I64" i="206"/>
  <c r="J64" i="206"/>
  <c r="K64" i="206"/>
  <c r="L64" i="206"/>
  <c r="M64" i="206"/>
  <c r="N64" i="206"/>
  <c r="O64" i="206"/>
  <c r="P64" i="206"/>
  <c r="Q64" i="206"/>
  <c r="R64" i="206"/>
  <c r="S64" i="206"/>
  <c r="T64" i="206"/>
  <c r="U64" i="206"/>
  <c r="V64" i="206"/>
  <c r="W64" i="206"/>
  <c r="X64" i="206"/>
  <c r="Y64" i="206"/>
  <c r="Z64" i="206"/>
  <c r="AA64" i="206"/>
  <c r="AB64" i="206"/>
  <c r="AC64" i="206"/>
  <c r="AD64" i="206"/>
  <c r="AE64" i="206"/>
  <c r="AF64" i="206"/>
  <c r="E65" i="206"/>
  <c r="F65" i="206"/>
  <c r="G65" i="206"/>
  <c r="I65" i="206"/>
  <c r="J65" i="206"/>
  <c r="K65" i="206"/>
  <c r="L65" i="206"/>
  <c r="M65" i="206"/>
  <c r="N65" i="206"/>
  <c r="O65" i="206"/>
  <c r="P65" i="206"/>
  <c r="Q65" i="206"/>
  <c r="R65" i="206"/>
  <c r="S65" i="206"/>
  <c r="T65" i="206"/>
  <c r="U65" i="206"/>
  <c r="V65" i="206"/>
  <c r="W65" i="206"/>
  <c r="X65" i="206"/>
  <c r="Y65" i="206"/>
  <c r="Z65" i="206"/>
  <c r="AA65" i="206"/>
  <c r="AB65" i="206"/>
  <c r="AC65" i="206"/>
  <c r="AD65" i="206"/>
  <c r="AE65" i="206"/>
  <c r="AF65" i="206"/>
  <c r="E66" i="206"/>
  <c r="F66" i="206"/>
  <c r="G66" i="206"/>
  <c r="I66" i="206"/>
  <c r="J66" i="206"/>
  <c r="K66" i="206"/>
  <c r="L66" i="206"/>
  <c r="M66" i="206"/>
  <c r="N66" i="206"/>
  <c r="O66" i="206"/>
  <c r="P66" i="206"/>
  <c r="Q66" i="206"/>
  <c r="R66" i="206"/>
  <c r="S66" i="206"/>
  <c r="T66" i="206"/>
  <c r="U66" i="206"/>
  <c r="V66" i="206"/>
  <c r="W66" i="206"/>
  <c r="X66" i="206"/>
  <c r="Y66" i="206"/>
  <c r="Z66" i="206"/>
  <c r="AA66" i="206"/>
  <c r="AB66" i="206"/>
  <c r="AC66" i="206"/>
  <c r="AD66" i="206"/>
  <c r="AE66" i="206"/>
  <c r="AF66" i="206"/>
  <c r="E67" i="206"/>
  <c r="F67" i="206"/>
  <c r="G67" i="206"/>
  <c r="I67" i="206"/>
  <c r="J67" i="206"/>
  <c r="K67" i="206"/>
  <c r="L67" i="206"/>
  <c r="M67" i="206"/>
  <c r="N67" i="206"/>
  <c r="O67" i="206"/>
  <c r="P67" i="206"/>
  <c r="Q67" i="206"/>
  <c r="R67" i="206"/>
  <c r="S67" i="206"/>
  <c r="T67" i="206"/>
  <c r="U67" i="206"/>
  <c r="V67" i="206"/>
  <c r="W67" i="206"/>
  <c r="X67" i="206"/>
  <c r="Y67" i="206"/>
  <c r="Z67" i="206"/>
  <c r="AA67" i="206"/>
  <c r="AB67" i="206"/>
  <c r="AC67" i="206"/>
  <c r="AD67" i="206"/>
  <c r="AE67" i="206"/>
  <c r="AF67" i="206"/>
  <c r="E68" i="206"/>
  <c r="F68" i="206"/>
  <c r="G68" i="206"/>
  <c r="I68" i="206"/>
  <c r="J68" i="206"/>
  <c r="K68" i="206"/>
  <c r="L68" i="206"/>
  <c r="M68" i="206"/>
  <c r="N68" i="206"/>
  <c r="O68" i="206"/>
  <c r="P68" i="206"/>
  <c r="Q68" i="206"/>
  <c r="R68" i="206"/>
  <c r="S68" i="206"/>
  <c r="T68" i="206"/>
  <c r="U68" i="206"/>
  <c r="V68" i="206"/>
  <c r="W68" i="206"/>
  <c r="X68" i="206"/>
  <c r="Y68" i="206"/>
  <c r="Z68" i="206"/>
  <c r="AA68" i="206"/>
  <c r="AB68" i="206"/>
  <c r="AC68" i="206"/>
  <c r="AD68" i="206"/>
  <c r="AE68" i="206"/>
  <c r="AF68" i="206"/>
  <c r="E69" i="206"/>
  <c r="F69" i="206"/>
  <c r="G69" i="206"/>
  <c r="I69" i="206"/>
  <c r="J69" i="206"/>
  <c r="K69" i="206"/>
  <c r="L69" i="206"/>
  <c r="M69" i="206"/>
  <c r="N69" i="206"/>
  <c r="O69" i="206"/>
  <c r="P69" i="206"/>
  <c r="Q69" i="206"/>
  <c r="R69" i="206"/>
  <c r="S69" i="206"/>
  <c r="T69" i="206"/>
  <c r="U69" i="206"/>
  <c r="V69" i="206"/>
  <c r="W69" i="206"/>
  <c r="X69" i="206"/>
  <c r="Y69" i="206"/>
  <c r="Z69" i="206"/>
  <c r="AA69" i="206"/>
  <c r="AB69" i="206"/>
  <c r="AC69" i="206"/>
  <c r="AD69" i="206"/>
  <c r="AE69" i="206"/>
  <c r="AF69" i="206"/>
  <c r="E70" i="206"/>
  <c r="F70" i="206"/>
  <c r="G70" i="206"/>
  <c r="I70" i="206"/>
  <c r="J70" i="206"/>
  <c r="K70" i="206"/>
  <c r="L70" i="206"/>
  <c r="M70" i="206"/>
  <c r="N70" i="206"/>
  <c r="O70" i="206"/>
  <c r="P70" i="206"/>
  <c r="Q70" i="206"/>
  <c r="R70" i="206"/>
  <c r="S70" i="206"/>
  <c r="T70" i="206"/>
  <c r="U70" i="206"/>
  <c r="V70" i="206"/>
  <c r="W70" i="206"/>
  <c r="X70" i="206"/>
  <c r="Y70" i="206"/>
  <c r="Z70" i="206"/>
  <c r="AA70" i="206"/>
  <c r="AB70" i="206"/>
  <c r="AC70" i="206"/>
  <c r="AD70" i="206"/>
  <c r="AE70" i="206"/>
  <c r="AF70" i="206"/>
  <c r="E71" i="206"/>
  <c r="F71" i="206"/>
  <c r="G71" i="206"/>
  <c r="I71" i="206"/>
  <c r="J71" i="206"/>
  <c r="K71" i="206"/>
  <c r="L71" i="206"/>
  <c r="M71" i="206"/>
  <c r="N71" i="206"/>
  <c r="O71" i="206"/>
  <c r="P71" i="206"/>
  <c r="Q71" i="206"/>
  <c r="R71" i="206"/>
  <c r="S71" i="206"/>
  <c r="T71" i="206"/>
  <c r="U71" i="206"/>
  <c r="V71" i="206"/>
  <c r="W71" i="206"/>
  <c r="X71" i="206"/>
  <c r="Y71" i="206"/>
  <c r="Z71" i="206"/>
  <c r="AA71" i="206"/>
  <c r="AB71" i="206"/>
  <c r="AC71" i="206"/>
  <c r="AD71" i="206"/>
  <c r="AE71" i="206"/>
  <c r="AF71" i="206"/>
  <c r="E72" i="206"/>
  <c r="F72" i="206"/>
  <c r="G72" i="206"/>
  <c r="I72" i="206"/>
  <c r="J72" i="206"/>
  <c r="K72" i="206"/>
  <c r="L72" i="206"/>
  <c r="M72" i="206"/>
  <c r="N72" i="206"/>
  <c r="O72" i="206"/>
  <c r="P72" i="206"/>
  <c r="Q72" i="206"/>
  <c r="R72" i="206"/>
  <c r="S72" i="206"/>
  <c r="T72" i="206"/>
  <c r="U72" i="206"/>
  <c r="V72" i="206"/>
  <c r="W72" i="206"/>
  <c r="X72" i="206"/>
  <c r="Y72" i="206"/>
  <c r="Z72" i="206"/>
  <c r="AA72" i="206"/>
  <c r="AB72" i="206"/>
  <c r="AC72" i="206"/>
  <c r="AD72" i="206"/>
  <c r="AE72" i="206"/>
  <c r="AF72" i="206"/>
  <c r="E73" i="206"/>
  <c r="F73" i="206"/>
  <c r="G73" i="206"/>
  <c r="I73" i="206"/>
  <c r="J73" i="206"/>
  <c r="K73" i="206"/>
  <c r="L73" i="206"/>
  <c r="M73" i="206"/>
  <c r="N73" i="206"/>
  <c r="O73" i="206"/>
  <c r="P73" i="206"/>
  <c r="Q73" i="206"/>
  <c r="R73" i="206"/>
  <c r="S73" i="206"/>
  <c r="T73" i="206"/>
  <c r="U73" i="206"/>
  <c r="V73" i="206"/>
  <c r="W73" i="206"/>
  <c r="X73" i="206"/>
  <c r="Y73" i="206"/>
  <c r="Z73" i="206"/>
  <c r="AA73" i="206"/>
  <c r="AB73" i="206"/>
  <c r="AC73" i="206"/>
  <c r="AD73" i="206"/>
  <c r="AE73" i="206"/>
  <c r="AF73" i="206"/>
  <c r="E74" i="206"/>
  <c r="F74" i="206"/>
  <c r="G74" i="206"/>
  <c r="I74" i="206"/>
  <c r="J74" i="206"/>
  <c r="K74" i="206"/>
  <c r="L74" i="206"/>
  <c r="M74" i="206"/>
  <c r="N74" i="206"/>
  <c r="O74" i="206"/>
  <c r="P74" i="206"/>
  <c r="Q74" i="206"/>
  <c r="R74" i="206"/>
  <c r="S74" i="206"/>
  <c r="T74" i="206"/>
  <c r="U74" i="206"/>
  <c r="V74" i="206"/>
  <c r="W74" i="206"/>
  <c r="X74" i="206"/>
  <c r="Y74" i="206"/>
  <c r="Z74" i="206"/>
  <c r="AA74" i="206"/>
  <c r="AB74" i="206"/>
  <c r="AC74" i="206"/>
  <c r="AD74" i="206"/>
  <c r="AE74" i="206"/>
  <c r="AF74" i="206"/>
  <c r="E75" i="206"/>
  <c r="F75" i="206"/>
  <c r="G75" i="206"/>
  <c r="I75" i="206"/>
  <c r="J75" i="206"/>
  <c r="K75" i="206"/>
  <c r="L75" i="206"/>
  <c r="M75" i="206"/>
  <c r="N75" i="206"/>
  <c r="O75" i="206"/>
  <c r="P75" i="206"/>
  <c r="Q75" i="206"/>
  <c r="R75" i="206"/>
  <c r="S75" i="206"/>
  <c r="T75" i="206"/>
  <c r="U75" i="206"/>
  <c r="V75" i="206"/>
  <c r="W75" i="206"/>
  <c r="X75" i="206"/>
  <c r="Y75" i="206"/>
  <c r="Z75" i="206"/>
  <c r="AA75" i="206"/>
  <c r="AB75" i="206"/>
  <c r="AC75" i="206"/>
  <c r="AD75" i="206"/>
  <c r="AE75" i="206"/>
  <c r="AF75" i="206"/>
  <c r="E76" i="206"/>
  <c r="F76" i="206"/>
  <c r="G76" i="206"/>
  <c r="I76" i="206"/>
  <c r="J76" i="206"/>
  <c r="K76" i="206"/>
  <c r="L76" i="206"/>
  <c r="M76" i="206"/>
  <c r="N76" i="206"/>
  <c r="O76" i="206"/>
  <c r="P76" i="206"/>
  <c r="Q76" i="206"/>
  <c r="R76" i="206"/>
  <c r="S76" i="206"/>
  <c r="T76" i="206"/>
  <c r="U76" i="206"/>
  <c r="V76" i="206"/>
  <c r="W76" i="206"/>
  <c r="X76" i="206"/>
  <c r="Y76" i="206"/>
  <c r="Z76" i="206"/>
  <c r="AA76" i="206"/>
  <c r="AB76" i="206"/>
  <c r="AC76" i="206"/>
  <c r="AD76" i="206"/>
  <c r="AE76" i="206"/>
  <c r="AF76" i="206"/>
  <c r="E77" i="206"/>
  <c r="F77" i="206"/>
  <c r="G77" i="206"/>
  <c r="I77" i="206"/>
  <c r="J77" i="206"/>
  <c r="K77" i="206"/>
  <c r="L77" i="206"/>
  <c r="M77" i="206"/>
  <c r="N77" i="206"/>
  <c r="O77" i="206"/>
  <c r="P77" i="206"/>
  <c r="Q77" i="206"/>
  <c r="R77" i="206"/>
  <c r="S77" i="206"/>
  <c r="T77" i="206"/>
  <c r="U77" i="206"/>
  <c r="V77" i="206"/>
  <c r="W77" i="206"/>
  <c r="X77" i="206"/>
  <c r="Y77" i="206"/>
  <c r="Z77" i="206"/>
  <c r="AA77" i="206"/>
  <c r="AB77" i="206"/>
  <c r="AC77" i="206"/>
  <c r="AD77" i="206"/>
  <c r="AE77" i="206"/>
  <c r="AF77" i="206"/>
  <c r="E78" i="206"/>
  <c r="F78" i="206"/>
  <c r="G78" i="206"/>
  <c r="I78" i="206"/>
  <c r="J78" i="206"/>
  <c r="K78" i="206"/>
  <c r="L78" i="206"/>
  <c r="M78" i="206"/>
  <c r="N78" i="206"/>
  <c r="O78" i="206"/>
  <c r="P78" i="206"/>
  <c r="Q78" i="206"/>
  <c r="R78" i="206"/>
  <c r="S78" i="206"/>
  <c r="T78" i="206"/>
  <c r="U78" i="206"/>
  <c r="V78" i="206"/>
  <c r="W78" i="206"/>
  <c r="X78" i="206"/>
  <c r="Y78" i="206"/>
  <c r="Z78" i="206"/>
  <c r="AA78" i="206"/>
  <c r="AB78" i="206"/>
  <c r="AC78" i="206"/>
  <c r="AD78" i="206"/>
  <c r="AE78" i="206"/>
  <c r="AF78" i="206"/>
  <c r="E79" i="206"/>
  <c r="F79" i="206"/>
  <c r="G79" i="206"/>
  <c r="I79" i="206"/>
  <c r="J79" i="206"/>
  <c r="K79" i="206"/>
  <c r="L79" i="206"/>
  <c r="M79" i="206"/>
  <c r="N79" i="206"/>
  <c r="O79" i="206"/>
  <c r="P79" i="206"/>
  <c r="Q79" i="206"/>
  <c r="R79" i="206"/>
  <c r="S79" i="206"/>
  <c r="T79" i="206"/>
  <c r="U79" i="206"/>
  <c r="V79" i="206"/>
  <c r="W79" i="206"/>
  <c r="X79" i="206"/>
  <c r="Y79" i="206"/>
  <c r="Z79" i="206"/>
  <c r="AA79" i="206"/>
  <c r="AB79" i="206"/>
  <c r="AC79" i="206"/>
  <c r="AD79" i="206"/>
  <c r="AE79" i="206"/>
  <c r="AF79" i="206"/>
  <c r="E80" i="206"/>
  <c r="F80" i="206"/>
  <c r="G80" i="206"/>
  <c r="I80" i="206"/>
  <c r="J80" i="206"/>
  <c r="K80" i="206"/>
  <c r="L80" i="206"/>
  <c r="M80" i="206"/>
  <c r="N80" i="206"/>
  <c r="O80" i="206"/>
  <c r="P80" i="206"/>
  <c r="Q80" i="206"/>
  <c r="R80" i="206"/>
  <c r="S80" i="206"/>
  <c r="T80" i="206"/>
  <c r="U80" i="206"/>
  <c r="V80" i="206"/>
  <c r="W80" i="206"/>
  <c r="X80" i="206"/>
  <c r="Y80" i="206"/>
  <c r="Z80" i="206"/>
  <c r="AA80" i="206"/>
  <c r="AB80" i="206"/>
  <c r="AC80" i="206"/>
  <c r="AD80" i="206"/>
  <c r="AE80" i="206"/>
  <c r="AF80" i="206"/>
  <c r="E81" i="206"/>
  <c r="F81" i="206"/>
  <c r="G81" i="206"/>
  <c r="I81" i="206"/>
  <c r="J81" i="206"/>
  <c r="K81" i="206"/>
  <c r="L81" i="206"/>
  <c r="M81" i="206"/>
  <c r="N81" i="206"/>
  <c r="O81" i="206"/>
  <c r="P81" i="206"/>
  <c r="Q81" i="206"/>
  <c r="R81" i="206"/>
  <c r="S81" i="206"/>
  <c r="T81" i="206"/>
  <c r="U81" i="206"/>
  <c r="V81" i="206"/>
  <c r="W81" i="206"/>
  <c r="X81" i="206"/>
  <c r="Y81" i="206"/>
  <c r="Z81" i="206"/>
  <c r="AA81" i="206"/>
  <c r="AB81" i="206"/>
  <c r="AC81" i="206"/>
  <c r="AD81" i="206"/>
  <c r="AE81" i="206"/>
  <c r="AF81" i="206"/>
  <c r="E82" i="206"/>
  <c r="F82" i="206"/>
  <c r="G82" i="206"/>
  <c r="I82" i="206"/>
  <c r="J82" i="206"/>
  <c r="K82" i="206"/>
  <c r="L82" i="206"/>
  <c r="M82" i="206"/>
  <c r="N82" i="206"/>
  <c r="O82" i="206"/>
  <c r="P82" i="206"/>
  <c r="Q82" i="206"/>
  <c r="R82" i="206"/>
  <c r="S82" i="206"/>
  <c r="T82" i="206"/>
  <c r="U82" i="206"/>
  <c r="V82" i="206"/>
  <c r="W82" i="206"/>
  <c r="X82" i="206"/>
  <c r="Y82" i="206"/>
  <c r="Z82" i="206"/>
  <c r="AA82" i="206"/>
  <c r="AB82" i="206"/>
  <c r="AC82" i="206"/>
  <c r="AD82" i="206"/>
  <c r="AE82" i="206"/>
  <c r="AF82" i="206"/>
  <c r="E83" i="206"/>
  <c r="F83" i="206"/>
  <c r="G83" i="206"/>
  <c r="I83" i="206"/>
  <c r="J83" i="206"/>
  <c r="K83" i="206"/>
  <c r="L83" i="206"/>
  <c r="M83" i="206"/>
  <c r="N83" i="206"/>
  <c r="O83" i="206"/>
  <c r="P83" i="206"/>
  <c r="Q83" i="206"/>
  <c r="R83" i="206"/>
  <c r="S83" i="206"/>
  <c r="T83" i="206"/>
  <c r="U83" i="206"/>
  <c r="V83" i="206"/>
  <c r="W83" i="206"/>
  <c r="X83" i="206"/>
  <c r="Y83" i="206"/>
  <c r="Z83" i="206"/>
  <c r="AA83" i="206"/>
  <c r="AB83" i="206"/>
  <c r="AC83" i="206"/>
  <c r="AD83" i="206"/>
  <c r="AE83" i="206"/>
  <c r="AF83" i="206"/>
  <c r="E84" i="206"/>
  <c r="F84" i="206"/>
  <c r="G84" i="206"/>
  <c r="I84" i="206"/>
  <c r="J84" i="206"/>
  <c r="K84" i="206"/>
  <c r="L84" i="206"/>
  <c r="M84" i="206"/>
  <c r="N84" i="206"/>
  <c r="O84" i="206"/>
  <c r="P84" i="206"/>
  <c r="Q84" i="206"/>
  <c r="R84" i="206"/>
  <c r="S84" i="206"/>
  <c r="T84" i="206"/>
  <c r="U84" i="206"/>
  <c r="V84" i="206"/>
  <c r="W84" i="206"/>
  <c r="X84" i="206"/>
  <c r="Y84" i="206"/>
  <c r="Z84" i="206"/>
  <c r="AA84" i="206"/>
  <c r="AB84" i="206"/>
  <c r="AC84" i="206"/>
  <c r="AD84" i="206"/>
  <c r="AE84" i="206"/>
  <c r="AF84" i="206"/>
  <c r="E85" i="206"/>
  <c r="F85" i="206"/>
  <c r="G85" i="206"/>
  <c r="I85" i="206"/>
  <c r="J85" i="206"/>
  <c r="K85" i="206"/>
  <c r="L85" i="206"/>
  <c r="M85" i="206"/>
  <c r="N85" i="206"/>
  <c r="O85" i="206"/>
  <c r="P85" i="206"/>
  <c r="Q85" i="206"/>
  <c r="R85" i="206"/>
  <c r="S85" i="206"/>
  <c r="T85" i="206"/>
  <c r="U85" i="206"/>
  <c r="V85" i="206"/>
  <c r="W85" i="206"/>
  <c r="X85" i="206"/>
  <c r="Y85" i="206"/>
  <c r="Z85" i="206"/>
  <c r="AA85" i="206"/>
  <c r="AB85" i="206"/>
  <c r="AC85" i="206"/>
  <c r="AD85" i="206"/>
  <c r="AE85" i="206"/>
  <c r="AF85" i="206"/>
  <c r="E86" i="206"/>
  <c r="F86" i="206"/>
  <c r="G86" i="206"/>
  <c r="I86" i="206"/>
  <c r="J86" i="206"/>
  <c r="K86" i="206"/>
  <c r="L86" i="206"/>
  <c r="M86" i="206"/>
  <c r="N86" i="206"/>
  <c r="O86" i="206"/>
  <c r="P86" i="206"/>
  <c r="Q86" i="206"/>
  <c r="R86" i="206"/>
  <c r="S86" i="206"/>
  <c r="T86" i="206"/>
  <c r="U86" i="206"/>
  <c r="V86" i="206"/>
  <c r="W86" i="206"/>
  <c r="X86" i="206"/>
  <c r="Y86" i="206"/>
  <c r="Z86" i="206"/>
  <c r="AA86" i="206"/>
  <c r="AB86" i="206"/>
  <c r="AC86" i="206"/>
  <c r="AD86" i="206"/>
  <c r="AE86" i="206"/>
  <c r="AF86" i="206"/>
  <c r="E87" i="206"/>
  <c r="F87" i="206"/>
  <c r="G87" i="206"/>
  <c r="I87" i="206"/>
  <c r="J87" i="206"/>
  <c r="K87" i="206"/>
  <c r="L87" i="206"/>
  <c r="M87" i="206"/>
  <c r="N87" i="206"/>
  <c r="O87" i="206"/>
  <c r="P87" i="206"/>
  <c r="Q87" i="206"/>
  <c r="R87" i="206"/>
  <c r="S87" i="206"/>
  <c r="T87" i="206"/>
  <c r="U87" i="206"/>
  <c r="V87" i="206"/>
  <c r="W87" i="206"/>
  <c r="X87" i="206"/>
  <c r="Y87" i="206"/>
  <c r="Z87" i="206"/>
  <c r="AA87" i="206"/>
  <c r="AB87" i="206"/>
  <c r="AC87" i="206"/>
  <c r="AD87" i="206"/>
  <c r="AE87" i="206"/>
  <c r="AF87" i="206"/>
  <c r="E88" i="206"/>
  <c r="F88" i="206"/>
  <c r="G88" i="206"/>
  <c r="I88" i="206"/>
  <c r="J88" i="206"/>
  <c r="K88" i="206"/>
  <c r="L88" i="206"/>
  <c r="M88" i="206"/>
  <c r="N88" i="206"/>
  <c r="O88" i="206"/>
  <c r="P88" i="206"/>
  <c r="Q88" i="206"/>
  <c r="R88" i="206"/>
  <c r="S88" i="206"/>
  <c r="T88" i="206"/>
  <c r="U88" i="206"/>
  <c r="V88" i="206"/>
  <c r="W88" i="206"/>
  <c r="X88" i="206"/>
  <c r="Y88" i="206"/>
  <c r="Z88" i="206"/>
  <c r="AA88" i="206"/>
  <c r="AB88" i="206"/>
  <c r="AC88" i="206"/>
  <c r="AD88" i="206"/>
  <c r="AE88" i="206"/>
  <c r="AF88" i="206"/>
  <c r="E89" i="206"/>
  <c r="F89" i="206"/>
  <c r="G89" i="206"/>
  <c r="I89" i="206"/>
  <c r="J89" i="206"/>
  <c r="K89" i="206"/>
  <c r="L89" i="206"/>
  <c r="M89" i="206"/>
  <c r="N89" i="206"/>
  <c r="O89" i="206"/>
  <c r="P89" i="206"/>
  <c r="Q89" i="206"/>
  <c r="R89" i="206"/>
  <c r="S89" i="206"/>
  <c r="T89" i="206"/>
  <c r="U89" i="206"/>
  <c r="V89" i="206"/>
  <c r="W89" i="206"/>
  <c r="X89" i="206"/>
  <c r="Y89" i="206"/>
  <c r="Z89" i="206"/>
  <c r="AA89" i="206"/>
  <c r="AB89" i="206"/>
  <c r="AC89" i="206"/>
  <c r="AD89" i="206"/>
  <c r="AE89" i="206"/>
  <c r="AF89" i="206"/>
  <c r="E90" i="206"/>
  <c r="F90" i="206"/>
  <c r="G90" i="206"/>
  <c r="I90" i="206"/>
  <c r="J90" i="206"/>
  <c r="K90" i="206"/>
  <c r="L90" i="206"/>
  <c r="M90" i="206"/>
  <c r="N90" i="206"/>
  <c r="O90" i="206"/>
  <c r="P90" i="206"/>
  <c r="Q90" i="206"/>
  <c r="R90" i="206"/>
  <c r="S90" i="206"/>
  <c r="T90" i="206"/>
  <c r="U90" i="206"/>
  <c r="V90" i="206"/>
  <c r="W90" i="206"/>
  <c r="X90" i="206"/>
  <c r="Y90" i="206"/>
  <c r="Z90" i="206"/>
  <c r="AA90" i="206"/>
  <c r="AB90" i="206"/>
  <c r="AC90" i="206"/>
  <c r="AD90" i="206"/>
  <c r="AE90" i="206"/>
  <c r="AF90" i="206"/>
  <c r="E91" i="206"/>
  <c r="F91" i="206"/>
  <c r="G91" i="206"/>
  <c r="I91" i="206"/>
  <c r="J91" i="206"/>
  <c r="K91" i="206"/>
  <c r="L91" i="206"/>
  <c r="M91" i="206"/>
  <c r="N91" i="206"/>
  <c r="O91" i="206"/>
  <c r="P91" i="206"/>
  <c r="Q91" i="206"/>
  <c r="R91" i="206"/>
  <c r="S91" i="206"/>
  <c r="T91" i="206"/>
  <c r="U91" i="206"/>
  <c r="V91" i="206"/>
  <c r="W91" i="206"/>
  <c r="X91" i="206"/>
  <c r="Y91" i="206"/>
  <c r="Z91" i="206"/>
  <c r="AA91" i="206"/>
  <c r="AB91" i="206"/>
  <c r="AC91" i="206"/>
  <c r="AD91" i="206"/>
  <c r="AE91" i="206"/>
  <c r="AF91" i="206"/>
  <c r="E92" i="206"/>
  <c r="F92" i="206"/>
  <c r="G92" i="206"/>
  <c r="I92" i="206"/>
  <c r="J92" i="206"/>
  <c r="K92" i="206"/>
  <c r="L92" i="206"/>
  <c r="M92" i="206"/>
  <c r="N92" i="206"/>
  <c r="O92" i="206"/>
  <c r="P92" i="206"/>
  <c r="Q92" i="206"/>
  <c r="R92" i="206"/>
  <c r="S92" i="206"/>
  <c r="T92" i="206"/>
  <c r="U92" i="206"/>
  <c r="V92" i="206"/>
  <c r="W92" i="206"/>
  <c r="X92" i="206"/>
  <c r="Y92" i="206"/>
  <c r="Z92" i="206"/>
  <c r="AA92" i="206"/>
  <c r="AB92" i="206"/>
  <c r="AC92" i="206"/>
  <c r="AD92" i="206"/>
  <c r="AE92" i="206"/>
  <c r="AF92" i="206"/>
  <c r="E93" i="206"/>
  <c r="F93" i="206"/>
  <c r="G93" i="206"/>
  <c r="I93" i="206"/>
  <c r="J93" i="206"/>
  <c r="K93" i="206"/>
  <c r="L93" i="206"/>
  <c r="M93" i="206"/>
  <c r="N93" i="206"/>
  <c r="O93" i="206"/>
  <c r="P93" i="206"/>
  <c r="Q93" i="206"/>
  <c r="R93" i="206"/>
  <c r="S93" i="206"/>
  <c r="T93" i="206"/>
  <c r="U93" i="206"/>
  <c r="V93" i="206"/>
  <c r="W93" i="206"/>
  <c r="X93" i="206"/>
  <c r="Y93" i="206"/>
  <c r="Z93" i="206"/>
  <c r="AA93" i="206"/>
  <c r="AB93" i="206"/>
  <c r="AC93" i="206"/>
  <c r="AD93" i="206"/>
  <c r="AE93" i="206"/>
  <c r="AF93" i="206"/>
  <c r="E94" i="206"/>
  <c r="F94" i="206"/>
  <c r="G94" i="206"/>
  <c r="I94" i="206"/>
  <c r="J94" i="206"/>
  <c r="K94" i="206"/>
  <c r="L94" i="206"/>
  <c r="M94" i="206"/>
  <c r="N94" i="206"/>
  <c r="O94" i="206"/>
  <c r="P94" i="206"/>
  <c r="Q94" i="206"/>
  <c r="R94" i="206"/>
  <c r="S94" i="206"/>
  <c r="T94" i="206"/>
  <c r="U94" i="206"/>
  <c r="V94" i="206"/>
  <c r="W94" i="206"/>
  <c r="X94" i="206"/>
  <c r="Y94" i="206"/>
  <c r="Z94" i="206"/>
  <c r="AA94" i="206"/>
  <c r="AB94" i="206"/>
  <c r="AC94" i="206"/>
  <c r="AD94" i="206"/>
  <c r="AE94" i="206"/>
  <c r="AF94" i="206"/>
  <c r="E95" i="206"/>
  <c r="F95" i="206"/>
  <c r="G95" i="206"/>
  <c r="I95" i="206"/>
  <c r="J95" i="206"/>
  <c r="K95" i="206"/>
  <c r="L95" i="206"/>
  <c r="M95" i="206"/>
  <c r="N95" i="206"/>
  <c r="O95" i="206"/>
  <c r="P95" i="206"/>
  <c r="Q95" i="206"/>
  <c r="R95" i="206"/>
  <c r="S95" i="206"/>
  <c r="T95" i="206"/>
  <c r="U95" i="206"/>
  <c r="V95" i="206"/>
  <c r="W95" i="206"/>
  <c r="X95" i="206"/>
  <c r="Y95" i="206"/>
  <c r="Z95" i="206"/>
  <c r="AA95" i="206"/>
  <c r="AB95" i="206"/>
  <c r="AC95" i="206"/>
  <c r="AD95" i="206"/>
  <c r="AE95" i="206"/>
  <c r="AF95" i="206"/>
  <c r="E96" i="206"/>
  <c r="F96" i="206"/>
  <c r="G96" i="206"/>
  <c r="I96" i="206"/>
  <c r="J96" i="206"/>
  <c r="K96" i="206"/>
  <c r="L96" i="206"/>
  <c r="M96" i="206"/>
  <c r="N96" i="206"/>
  <c r="O96" i="206"/>
  <c r="P96" i="206"/>
  <c r="Q96" i="206"/>
  <c r="R96" i="206"/>
  <c r="S96" i="206"/>
  <c r="T96" i="206"/>
  <c r="U96" i="206"/>
  <c r="V96" i="206"/>
  <c r="W96" i="206"/>
  <c r="X96" i="206"/>
  <c r="Y96" i="206"/>
  <c r="Z96" i="206"/>
  <c r="AA96" i="206"/>
  <c r="AB96" i="206"/>
  <c r="AC96" i="206"/>
  <c r="AD96" i="206"/>
  <c r="AE96" i="206"/>
  <c r="AF96" i="206"/>
  <c r="E97" i="206"/>
  <c r="F97" i="206"/>
  <c r="G97" i="206"/>
  <c r="I97" i="206"/>
  <c r="J97" i="206"/>
  <c r="K97" i="206"/>
  <c r="L97" i="206"/>
  <c r="M97" i="206"/>
  <c r="N97" i="206"/>
  <c r="O97" i="206"/>
  <c r="P97" i="206"/>
  <c r="Q97" i="206"/>
  <c r="R97" i="206"/>
  <c r="S97" i="206"/>
  <c r="T97" i="206"/>
  <c r="U97" i="206"/>
  <c r="V97" i="206"/>
  <c r="W97" i="206"/>
  <c r="X97" i="206"/>
  <c r="Y97" i="206"/>
  <c r="Z97" i="206"/>
  <c r="AA97" i="206"/>
  <c r="AB97" i="206"/>
  <c r="AC97" i="206"/>
  <c r="AD97" i="206"/>
  <c r="AE97" i="206"/>
  <c r="AF97" i="206"/>
  <c r="E98" i="206"/>
  <c r="F98" i="206"/>
  <c r="G98" i="206"/>
  <c r="I98" i="206"/>
  <c r="J98" i="206"/>
  <c r="K98" i="206"/>
  <c r="L98" i="206"/>
  <c r="M98" i="206"/>
  <c r="N98" i="206"/>
  <c r="O98" i="206"/>
  <c r="P98" i="206"/>
  <c r="Q98" i="206"/>
  <c r="R98" i="206"/>
  <c r="S98" i="206"/>
  <c r="T98" i="206"/>
  <c r="U98" i="206"/>
  <c r="V98" i="206"/>
  <c r="W98" i="206"/>
  <c r="X98" i="206"/>
  <c r="Y98" i="206"/>
  <c r="Z98" i="206"/>
  <c r="AA98" i="206"/>
  <c r="AB98" i="206"/>
  <c r="AC98" i="206"/>
  <c r="AD98" i="206"/>
  <c r="AE98" i="206"/>
  <c r="AF98" i="206"/>
  <c r="E99" i="206"/>
  <c r="F99" i="206"/>
  <c r="G99" i="206"/>
  <c r="I99" i="206"/>
  <c r="J99" i="206"/>
  <c r="K99" i="206"/>
  <c r="L99" i="206"/>
  <c r="M99" i="206"/>
  <c r="N99" i="206"/>
  <c r="O99" i="206"/>
  <c r="P99" i="206"/>
  <c r="Q99" i="206"/>
  <c r="R99" i="206"/>
  <c r="S99" i="206"/>
  <c r="T99" i="206"/>
  <c r="U99" i="206"/>
  <c r="V99" i="206"/>
  <c r="W99" i="206"/>
  <c r="X99" i="206"/>
  <c r="Y99" i="206"/>
  <c r="Z99" i="206"/>
  <c r="AA99" i="206"/>
  <c r="AB99" i="206"/>
  <c r="AC99" i="206"/>
  <c r="AD99" i="206"/>
  <c r="AE99" i="206"/>
  <c r="AF99" i="206"/>
  <c r="E100" i="206"/>
  <c r="F100" i="206"/>
  <c r="G100" i="206"/>
  <c r="I100" i="206"/>
  <c r="J100" i="206"/>
  <c r="K100" i="206"/>
  <c r="L100" i="206"/>
  <c r="M100" i="206"/>
  <c r="N100" i="206"/>
  <c r="O100" i="206"/>
  <c r="P100" i="206"/>
  <c r="Q100" i="206"/>
  <c r="R100" i="206"/>
  <c r="S100" i="206"/>
  <c r="T100" i="206"/>
  <c r="U100" i="206"/>
  <c r="V100" i="206"/>
  <c r="W100" i="206"/>
  <c r="X100" i="206"/>
  <c r="Y100" i="206"/>
  <c r="Z100" i="206"/>
  <c r="AA100" i="206"/>
  <c r="AB100" i="206"/>
  <c r="AC100" i="206"/>
  <c r="AD100" i="206"/>
  <c r="AE100" i="206"/>
  <c r="AF100" i="206"/>
  <c r="E101" i="206"/>
  <c r="F101" i="206"/>
  <c r="G101" i="206"/>
  <c r="I101" i="206"/>
  <c r="J101" i="206"/>
  <c r="K101" i="206"/>
  <c r="L101" i="206"/>
  <c r="M101" i="206"/>
  <c r="N101" i="206"/>
  <c r="O101" i="206"/>
  <c r="P101" i="206"/>
  <c r="Q101" i="206"/>
  <c r="R101" i="206"/>
  <c r="S101" i="206"/>
  <c r="T101" i="206"/>
  <c r="U101" i="206"/>
  <c r="V101" i="206"/>
  <c r="W101" i="206"/>
  <c r="X101" i="206"/>
  <c r="Y101" i="206"/>
  <c r="Z101" i="206"/>
  <c r="AA101" i="206"/>
  <c r="AB101" i="206"/>
  <c r="AC101" i="206"/>
  <c r="AD101" i="206"/>
  <c r="AE101" i="206"/>
  <c r="AF101" i="206"/>
  <c r="E102" i="206"/>
  <c r="F102" i="206"/>
  <c r="G102" i="206"/>
  <c r="I102" i="206"/>
  <c r="J102" i="206"/>
  <c r="K102" i="206"/>
  <c r="L102" i="206"/>
  <c r="M102" i="206"/>
  <c r="N102" i="206"/>
  <c r="O102" i="206"/>
  <c r="P102" i="206"/>
  <c r="Q102" i="206"/>
  <c r="R102" i="206"/>
  <c r="S102" i="206"/>
  <c r="T102" i="206"/>
  <c r="U102" i="206"/>
  <c r="V102" i="206"/>
  <c r="W102" i="206"/>
  <c r="X102" i="206"/>
  <c r="Y102" i="206"/>
  <c r="Z102" i="206"/>
  <c r="AA102" i="206"/>
  <c r="AB102" i="206"/>
  <c r="AC102" i="206"/>
  <c r="AD102" i="206"/>
  <c r="AE102" i="206"/>
  <c r="AF102" i="206"/>
  <c r="E103" i="206"/>
  <c r="F103" i="206"/>
  <c r="G103" i="206"/>
  <c r="I103" i="206"/>
  <c r="J103" i="206"/>
  <c r="K103" i="206"/>
  <c r="L103" i="206"/>
  <c r="M103" i="206"/>
  <c r="N103" i="206"/>
  <c r="O103" i="206"/>
  <c r="P103" i="206"/>
  <c r="Q103" i="206"/>
  <c r="R103" i="206"/>
  <c r="S103" i="206"/>
  <c r="T103" i="206"/>
  <c r="U103" i="206"/>
  <c r="V103" i="206"/>
  <c r="W103" i="206"/>
  <c r="X103" i="206"/>
  <c r="Y103" i="206"/>
  <c r="Z103" i="206"/>
  <c r="AA103" i="206"/>
  <c r="AB103" i="206"/>
  <c r="AC103" i="206"/>
  <c r="AD103" i="206"/>
  <c r="AE103" i="206"/>
  <c r="AF103" i="206"/>
  <c r="E104" i="206"/>
  <c r="F104" i="206"/>
  <c r="G104" i="206"/>
  <c r="I104" i="206"/>
  <c r="J104" i="206"/>
  <c r="K104" i="206"/>
  <c r="L104" i="206"/>
  <c r="M104" i="206"/>
  <c r="N104" i="206"/>
  <c r="O104" i="206"/>
  <c r="P104" i="206"/>
  <c r="Q104" i="206"/>
  <c r="R104" i="206"/>
  <c r="S104" i="206"/>
  <c r="T104" i="206"/>
  <c r="U104" i="206"/>
  <c r="V104" i="206"/>
  <c r="W104" i="206"/>
  <c r="X104" i="206"/>
  <c r="Y104" i="206"/>
  <c r="Z104" i="206"/>
  <c r="AA104" i="206"/>
  <c r="AB104" i="206"/>
  <c r="AC104" i="206"/>
  <c r="AD104" i="206"/>
  <c r="AE104" i="206"/>
  <c r="AF104" i="206"/>
  <c r="E105" i="206"/>
  <c r="F105" i="206"/>
  <c r="G105" i="206"/>
  <c r="I105" i="206"/>
  <c r="J105" i="206"/>
  <c r="K105" i="206"/>
  <c r="L105" i="206"/>
  <c r="M105" i="206"/>
  <c r="N105" i="206"/>
  <c r="O105" i="206"/>
  <c r="P105" i="206"/>
  <c r="Q105" i="206"/>
  <c r="R105" i="206"/>
  <c r="S105" i="206"/>
  <c r="T105" i="206"/>
  <c r="U105" i="206"/>
  <c r="V105" i="206"/>
  <c r="W105" i="206"/>
  <c r="X105" i="206"/>
  <c r="Y105" i="206"/>
  <c r="Z105" i="206"/>
  <c r="AA105" i="206"/>
  <c r="AB105" i="206"/>
  <c r="AC105" i="206"/>
  <c r="AD105" i="206"/>
  <c r="AE105" i="206"/>
  <c r="AF105" i="206"/>
  <c r="E106" i="206"/>
  <c r="F106" i="206"/>
  <c r="G106" i="206"/>
  <c r="I106" i="206"/>
  <c r="J106" i="206"/>
  <c r="K106" i="206"/>
  <c r="L106" i="206"/>
  <c r="M106" i="206"/>
  <c r="N106" i="206"/>
  <c r="O106" i="206"/>
  <c r="P106" i="206"/>
  <c r="Q106" i="206"/>
  <c r="R106" i="206"/>
  <c r="S106" i="206"/>
  <c r="T106" i="206"/>
  <c r="U106" i="206"/>
  <c r="V106" i="206"/>
  <c r="W106" i="206"/>
  <c r="X106" i="206"/>
  <c r="Y106" i="206"/>
  <c r="Z106" i="206"/>
  <c r="AA106" i="206"/>
  <c r="AB106" i="206"/>
  <c r="AC106" i="206"/>
  <c r="AD106" i="206"/>
  <c r="AE106" i="206"/>
  <c r="AF106" i="206"/>
  <c r="E107" i="206"/>
  <c r="F107" i="206"/>
  <c r="G107" i="206"/>
  <c r="I107" i="206"/>
  <c r="J107" i="206"/>
  <c r="K107" i="206"/>
  <c r="L107" i="206"/>
  <c r="M107" i="206"/>
  <c r="N107" i="206"/>
  <c r="O107" i="206"/>
  <c r="P107" i="206"/>
  <c r="Q107" i="206"/>
  <c r="R107" i="206"/>
  <c r="S107" i="206"/>
  <c r="T107" i="206"/>
  <c r="U107" i="206"/>
  <c r="V107" i="206"/>
  <c r="W107" i="206"/>
  <c r="X107" i="206"/>
  <c r="Y107" i="206"/>
  <c r="Z107" i="206"/>
  <c r="AA107" i="206"/>
  <c r="AB107" i="206"/>
  <c r="AC107" i="206"/>
  <c r="AD107" i="206"/>
  <c r="AE107" i="206"/>
  <c r="AF107" i="206"/>
  <c r="E108" i="206"/>
  <c r="F108" i="206"/>
  <c r="G108" i="206"/>
  <c r="I108" i="206"/>
  <c r="J108" i="206"/>
  <c r="K108" i="206"/>
  <c r="L108" i="206"/>
  <c r="M108" i="206"/>
  <c r="N108" i="206"/>
  <c r="O108" i="206"/>
  <c r="P108" i="206"/>
  <c r="Q108" i="206"/>
  <c r="R108" i="206"/>
  <c r="S108" i="206"/>
  <c r="T108" i="206"/>
  <c r="U108" i="206"/>
  <c r="V108" i="206"/>
  <c r="W108" i="206"/>
  <c r="X108" i="206"/>
  <c r="Y108" i="206"/>
  <c r="Z108" i="206"/>
  <c r="AA108" i="206"/>
  <c r="AB108" i="206"/>
  <c r="AC108" i="206"/>
  <c r="AD108" i="206"/>
  <c r="AE108" i="206"/>
  <c r="AF108" i="206"/>
  <c r="E109" i="206"/>
  <c r="F109" i="206"/>
  <c r="G109" i="206"/>
  <c r="I109" i="206"/>
  <c r="J109" i="206"/>
  <c r="K109" i="206"/>
  <c r="L109" i="206"/>
  <c r="M109" i="206"/>
  <c r="N109" i="206"/>
  <c r="O109" i="206"/>
  <c r="P109" i="206"/>
  <c r="Q109" i="206"/>
  <c r="R109" i="206"/>
  <c r="S109" i="206"/>
  <c r="T109" i="206"/>
  <c r="U109" i="206"/>
  <c r="V109" i="206"/>
  <c r="W109" i="206"/>
  <c r="X109" i="206"/>
  <c r="Y109" i="206"/>
  <c r="Z109" i="206"/>
  <c r="AA109" i="206"/>
  <c r="AB109" i="206"/>
  <c r="AC109" i="206"/>
  <c r="AD109" i="206"/>
  <c r="AE109" i="206"/>
  <c r="AF109" i="206"/>
  <c r="E110" i="206"/>
  <c r="F110" i="206"/>
  <c r="G110" i="206"/>
  <c r="I110" i="206"/>
  <c r="J110" i="206"/>
  <c r="K110" i="206"/>
  <c r="L110" i="206"/>
  <c r="M110" i="206"/>
  <c r="N110" i="206"/>
  <c r="O110" i="206"/>
  <c r="P110" i="206"/>
  <c r="Q110" i="206"/>
  <c r="R110" i="206"/>
  <c r="S110" i="206"/>
  <c r="T110" i="206"/>
  <c r="U110" i="206"/>
  <c r="V110" i="206"/>
  <c r="W110" i="206"/>
  <c r="X110" i="206"/>
  <c r="Y110" i="206"/>
  <c r="Z110" i="206"/>
  <c r="AA110" i="206"/>
  <c r="AB110" i="206"/>
  <c r="AC110" i="206"/>
  <c r="AD110" i="206"/>
  <c r="AE110" i="206"/>
  <c r="AF110" i="206"/>
  <c r="E111" i="206"/>
  <c r="F111" i="206"/>
  <c r="G111" i="206"/>
  <c r="I111" i="206"/>
  <c r="J111" i="206"/>
  <c r="K111" i="206"/>
  <c r="L111" i="206"/>
  <c r="M111" i="206"/>
  <c r="N111" i="206"/>
  <c r="O111" i="206"/>
  <c r="P111" i="206"/>
  <c r="Q111" i="206"/>
  <c r="R111" i="206"/>
  <c r="S111" i="206"/>
  <c r="T111" i="206"/>
  <c r="U111" i="206"/>
  <c r="V111" i="206"/>
  <c r="W111" i="206"/>
  <c r="X111" i="206"/>
  <c r="Y111" i="206"/>
  <c r="Z111" i="206"/>
  <c r="AA111" i="206"/>
  <c r="AB111" i="206"/>
  <c r="AC111" i="206"/>
  <c r="AD111" i="206"/>
  <c r="AE111" i="206"/>
  <c r="AF111" i="206"/>
  <c r="E112" i="206"/>
  <c r="F112" i="206"/>
  <c r="G112" i="206"/>
  <c r="I112" i="206"/>
  <c r="J112" i="206"/>
  <c r="K112" i="206"/>
  <c r="L112" i="206"/>
  <c r="M112" i="206"/>
  <c r="N112" i="206"/>
  <c r="O112" i="206"/>
  <c r="P112" i="206"/>
  <c r="Q112" i="206"/>
  <c r="R112" i="206"/>
  <c r="S112" i="206"/>
  <c r="T112" i="206"/>
  <c r="U112" i="206"/>
  <c r="V112" i="206"/>
  <c r="W112" i="206"/>
  <c r="X112" i="206"/>
  <c r="Y112" i="206"/>
  <c r="Z112" i="206"/>
  <c r="AA112" i="206"/>
  <c r="AB112" i="206"/>
  <c r="AC112" i="206"/>
  <c r="AD112" i="206"/>
  <c r="AE112" i="206"/>
  <c r="AF112" i="206"/>
  <c r="E113" i="206"/>
  <c r="F113" i="206"/>
  <c r="G113" i="206"/>
  <c r="I113" i="206"/>
  <c r="J113" i="206"/>
  <c r="K113" i="206"/>
  <c r="L113" i="206"/>
  <c r="M113" i="206"/>
  <c r="N113" i="206"/>
  <c r="O113" i="206"/>
  <c r="P113" i="206"/>
  <c r="Q113" i="206"/>
  <c r="R113" i="206"/>
  <c r="S113" i="206"/>
  <c r="T113" i="206"/>
  <c r="U113" i="206"/>
  <c r="V113" i="206"/>
  <c r="W113" i="206"/>
  <c r="X113" i="206"/>
  <c r="Y113" i="206"/>
  <c r="Z113" i="206"/>
  <c r="AA113" i="206"/>
  <c r="AB113" i="206"/>
  <c r="AC113" i="206"/>
  <c r="AD113" i="206"/>
  <c r="AE113" i="206"/>
  <c r="AF113" i="206"/>
  <c r="H4" i="205"/>
  <c r="K2" i="205" s="1"/>
  <c r="H23" i="206" l="1"/>
  <c r="H19" i="206"/>
  <c r="H15" i="206"/>
  <c r="AE11" i="206"/>
  <c r="AA11" i="206"/>
  <c r="W11" i="206"/>
  <c r="S11" i="206"/>
  <c r="O11" i="206"/>
  <c r="K11" i="206"/>
  <c r="H22" i="206"/>
  <c r="H18" i="206"/>
  <c r="H14" i="206"/>
  <c r="H12" i="206" s="1"/>
  <c r="AD11" i="206"/>
  <c r="Z11" i="206"/>
  <c r="V11" i="206"/>
  <c r="R11" i="206"/>
  <c r="N11" i="206"/>
  <c r="J32" i="205"/>
  <c r="J29" i="10"/>
  <c r="M8" i="205"/>
  <c r="N8" i="205"/>
  <c r="O8" i="205"/>
  <c r="P8" i="205"/>
  <c r="Q8" i="205"/>
  <c r="R8" i="205"/>
  <c r="S8" i="205"/>
  <c r="T8" i="205"/>
  <c r="U8" i="205"/>
  <c r="V8" i="205"/>
  <c r="W8" i="205"/>
  <c r="X8" i="205"/>
  <c r="Y8" i="205"/>
  <c r="Z8" i="205"/>
  <c r="AA8" i="205"/>
  <c r="AB8" i="205"/>
  <c r="AC8" i="205"/>
  <c r="AD8" i="205"/>
  <c r="AE8" i="205"/>
  <c r="AF8" i="205"/>
  <c r="AG8" i="205"/>
  <c r="AH8" i="205"/>
  <c r="AI8" i="205"/>
  <c r="AJ8" i="205"/>
  <c r="AK8" i="205"/>
  <c r="N12" i="205"/>
  <c r="O12" i="205"/>
  <c r="P12" i="205"/>
  <c r="Q12" i="205"/>
  <c r="R12" i="205"/>
  <c r="S12" i="205"/>
  <c r="T12" i="205"/>
  <c r="U12" i="205"/>
  <c r="V12" i="205"/>
  <c r="W12" i="205"/>
  <c r="X12" i="205"/>
  <c r="Y12" i="205"/>
  <c r="Z12" i="205"/>
  <c r="AA12" i="205"/>
  <c r="AB12" i="205"/>
  <c r="AC12" i="205"/>
  <c r="AD12" i="205"/>
  <c r="AE12" i="205"/>
  <c r="AF12" i="205"/>
  <c r="AG12" i="205"/>
  <c r="AH12" i="205"/>
  <c r="AI12" i="205"/>
  <c r="AJ12" i="205"/>
  <c r="AK12" i="205"/>
  <c r="M9" i="205"/>
  <c r="O9" i="205" s="1"/>
  <c r="P9" i="205" s="1"/>
  <c r="Q9" i="205" s="1"/>
  <c r="R9" i="205" s="1"/>
  <c r="S9" i="205" s="1"/>
  <c r="T9" i="205" s="1"/>
  <c r="U9" i="205" s="1"/>
  <c r="V9" i="205" s="1"/>
  <c r="W9" i="205" s="1"/>
  <c r="X9" i="205" s="1"/>
  <c r="Y9" i="205" s="1"/>
  <c r="Z9" i="205" s="1"/>
  <c r="AA9" i="205" s="1"/>
  <c r="AB9" i="205" s="1"/>
  <c r="AC9" i="205" s="1"/>
  <c r="AD9" i="205" s="1"/>
  <c r="AE9" i="205" s="1"/>
  <c r="AF9" i="205" s="1"/>
  <c r="AG9" i="205" s="1"/>
  <c r="AH9" i="205" s="1"/>
  <c r="AI9" i="205" s="1"/>
  <c r="AJ9" i="205" s="1"/>
  <c r="AK9" i="205" s="1"/>
  <c r="N9" i="205"/>
  <c r="J33" i="205" l="1"/>
  <c r="J30" i="10"/>
  <c r="G3" i="206"/>
  <c r="J3" i="206" s="1"/>
  <c r="K3" i="206" s="1"/>
  <c r="L3" i="206" s="1"/>
  <c r="M3" i="206" s="1"/>
  <c r="N3" i="206" s="1"/>
  <c r="O3" i="206" s="1"/>
  <c r="P3" i="206" s="1"/>
  <c r="Q3" i="206" s="1"/>
  <c r="R3" i="206" s="1"/>
  <c r="S3" i="206" s="1"/>
  <c r="T3" i="206" s="1"/>
  <c r="U3" i="206" s="1"/>
  <c r="V3" i="206" s="1"/>
  <c r="W3" i="206" s="1"/>
  <c r="X3" i="206" s="1"/>
  <c r="Y3" i="206" s="1"/>
  <c r="Z3" i="206" s="1"/>
  <c r="AA3" i="206" s="1"/>
  <c r="AB3" i="206" s="1"/>
  <c r="AC3" i="206" s="1"/>
  <c r="AD3" i="206" s="1"/>
  <c r="AE3" i="206" s="1"/>
  <c r="AF3" i="206" s="1"/>
  <c r="N10" i="205"/>
  <c r="AF10" i="205"/>
  <c r="J34" i="205" l="1"/>
  <c r="J31" i="10"/>
  <c r="AO10" i="205"/>
  <c r="BG10" i="205"/>
  <c r="D11" i="205"/>
  <c r="E11" i="205"/>
  <c r="F11" i="205"/>
  <c r="G11" i="205"/>
  <c r="N11" i="205"/>
  <c r="O11" i="205"/>
  <c r="P11" i="205"/>
  <c r="Q11" i="205"/>
  <c r="R11" i="205"/>
  <c r="S11" i="205"/>
  <c r="T11" i="205"/>
  <c r="U11" i="205"/>
  <c r="V11" i="205"/>
  <c r="W11" i="205"/>
  <c r="X11" i="205"/>
  <c r="Y11" i="205"/>
  <c r="Z11" i="205"/>
  <c r="AA11" i="205"/>
  <c r="AB11" i="205"/>
  <c r="AC11" i="205"/>
  <c r="AD11" i="205"/>
  <c r="AE11" i="205"/>
  <c r="AF11" i="205"/>
  <c r="AG11" i="205"/>
  <c r="AH11" i="205"/>
  <c r="AI11" i="205"/>
  <c r="AJ11" i="205"/>
  <c r="AK11" i="205"/>
  <c r="AO11" i="205"/>
  <c r="AP11" i="205"/>
  <c r="AQ11" i="205"/>
  <c r="AR11" i="205"/>
  <c r="AS11" i="205"/>
  <c r="AT11" i="205"/>
  <c r="AU11" i="205"/>
  <c r="AV11" i="205"/>
  <c r="AW11" i="205"/>
  <c r="AX11" i="205"/>
  <c r="AY11" i="205"/>
  <c r="AZ11" i="205"/>
  <c r="BA11" i="205"/>
  <c r="BB11" i="205"/>
  <c r="BC11" i="205"/>
  <c r="BD11" i="205"/>
  <c r="BE11" i="205"/>
  <c r="BF11" i="205"/>
  <c r="BG11" i="205"/>
  <c r="BH11" i="205"/>
  <c r="BI11" i="205"/>
  <c r="BJ11" i="205"/>
  <c r="BK11" i="205"/>
  <c r="BL11" i="205"/>
  <c r="H12" i="205"/>
  <c r="AL12" i="205"/>
  <c r="BL55" i="205" l="1"/>
  <c r="BL54" i="205"/>
  <c r="BL53" i="205"/>
  <c r="BL52" i="205"/>
  <c r="BL51" i="205"/>
  <c r="BL50" i="205"/>
  <c r="BL49" i="205"/>
  <c r="BL48" i="205"/>
  <c r="BL47" i="205"/>
  <c r="BL46" i="205"/>
  <c r="BL45" i="205"/>
  <c r="BL44" i="205"/>
  <c r="BL43" i="205"/>
  <c r="BL42" i="205"/>
  <c r="BL41" i="205"/>
  <c r="BL40" i="205"/>
  <c r="BL39" i="205"/>
  <c r="BL38" i="205"/>
  <c r="BL37" i="205"/>
  <c r="BL36" i="205"/>
  <c r="BL35" i="205"/>
  <c r="BL34" i="205"/>
  <c r="BL33" i="205"/>
  <c r="BL32" i="205"/>
  <c r="BL31" i="205"/>
  <c r="BL30" i="205"/>
  <c r="BL29" i="205"/>
  <c r="BL28" i="205"/>
  <c r="BL27" i="205"/>
  <c r="BL26" i="205"/>
  <c r="BL25" i="205"/>
  <c r="BL24" i="205"/>
  <c r="BL23" i="205"/>
  <c r="BL22" i="205"/>
  <c r="BL21" i="205"/>
  <c r="BL20" i="205"/>
  <c r="BL19" i="205"/>
  <c r="BL18" i="205"/>
  <c r="BL17" i="205"/>
  <c r="BL16" i="205"/>
  <c r="BL15" i="205"/>
  <c r="BL14" i="205"/>
  <c r="BL13" i="205"/>
  <c r="BK55" i="205"/>
  <c r="BK54" i="205"/>
  <c r="BK53" i="205"/>
  <c r="BK52" i="205"/>
  <c r="BK51" i="205"/>
  <c r="BK50" i="205"/>
  <c r="BK49" i="205"/>
  <c r="BK48" i="205"/>
  <c r="BK47" i="205"/>
  <c r="BK46" i="205"/>
  <c r="BK45" i="205"/>
  <c r="BK44" i="205"/>
  <c r="BK43" i="205"/>
  <c r="BK42" i="205"/>
  <c r="BK41" i="205"/>
  <c r="BK40" i="205"/>
  <c r="BK39" i="205"/>
  <c r="BK38" i="205"/>
  <c r="BK37" i="205"/>
  <c r="BK36" i="205"/>
  <c r="BK35" i="205"/>
  <c r="BK34" i="205"/>
  <c r="BK33" i="205"/>
  <c r="BK32" i="205"/>
  <c r="BK31" i="205"/>
  <c r="BK30" i="205"/>
  <c r="BK29" i="205"/>
  <c r="BK28" i="205"/>
  <c r="BK27" i="205"/>
  <c r="BK26" i="205"/>
  <c r="BK25" i="205"/>
  <c r="BK24" i="205"/>
  <c r="BK23" i="205"/>
  <c r="BK22" i="205"/>
  <c r="BK21" i="205"/>
  <c r="BK20" i="205"/>
  <c r="BK19" i="205"/>
  <c r="BK18" i="205"/>
  <c r="BK17" i="205"/>
  <c r="BK16" i="205"/>
  <c r="BK15" i="205"/>
  <c r="BK14" i="205"/>
  <c r="BK13" i="205"/>
  <c r="BJ55" i="205"/>
  <c r="BJ54" i="205"/>
  <c r="BJ53" i="205"/>
  <c r="BJ52" i="205"/>
  <c r="BJ51" i="205"/>
  <c r="BJ50" i="205"/>
  <c r="BJ49" i="205"/>
  <c r="BJ48" i="205"/>
  <c r="BJ47" i="205"/>
  <c r="BJ46" i="205"/>
  <c r="BJ45" i="205"/>
  <c r="BJ44" i="205"/>
  <c r="BJ43" i="205"/>
  <c r="BJ42" i="205"/>
  <c r="BJ41" i="205"/>
  <c r="BJ40" i="205"/>
  <c r="BJ39" i="205"/>
  <c r="BJ38" i="205"/>
  <c r="BJ37" i="205"/>
  <c r="BJ36" i="205"/>
  <c r="BJ35" i="205"/>
  <c r="BJ34" i="205"/>
  <c r="BJ33" i="205"/>
  <c r="BJ32" i="205"/>
  <c r="BJ31" i="205"/>
  <c r="BJ30" i="205"/>
  <c r="BJ29" i="205"/>
  <c r="BJ28" i="205"/>
  <c r="BJ27" i="205"/>
  <c r="BJ26" i="205"/>
  <c r="BJ25" i="205"/>
  <c r="BJ24" i="205"/>
  <c r="BJ23" i="205"/>
  <c r="BJ22" i="205"/>
  <c r="BJ21" i="205"/>
  <c r="BJ20" i="205"/>
  <c r="BJ19" i="205"/>
  <c r="BJ18" i="205"/>
  <c r="BJ17" i="205"/>
  <c r="BJ16" i="205"/>
  <c r="BJ15" i="205"/>
  <c r="BJ14" i="205"/>
  <c r="BJ13" i="205"/>
  <c r="BI55" i="205"/>
  <c r="BI54" i="205"/>
  <c r="BI53" i="205"/>
  <c r="BI52" i="205"/>
  <c r="BI51" i="205"/>
  <c r="BI50" i="205"/>
  <c r="BI49" i="205"/>
  <c r="BI48" i="205"/>
  <c r="BI47" i="205"/>
  <c r="BI46" i="205"/>
  <c r="BI45" i="205"/>
  <c r="BI44" i="205"/>
  <c r="BI43" i="205"/>
  <c r="BI42" i="205"/>
  <c r="BI41" i="205"/>
  <c r="BI40" i="205"/>
  <c r="BI39" i="205"/>
  <c r="BI38" i="205"/>
  <c r="BI37" i="205"/>
  <c r="BI36" i="205"/>
  <c r="BI35" i="205"/>
  <c r="BI34" i="205"/>
  <c r="BI33" i="205"/>
  <c r="BI32" i="205"/>
  <c r="BI31" i="205"/>
  <c r="BI30" i="205"/>
  <c r="BI29" i="205"/>
  <c r="BI28" i="205"/>
  <c r="BI27" i="205"/>
  <c r="BI26" i="205"/>
  <c r="BI25" i="205"/>
  <c r="BI24" i="205"/>
  <c r="BI23" i="205"/>
  <c r="BI22" i="205"/>
  <c r="BI21" i="205"/>
  <c r="BI20" i="205"/>
  <c r="BI19" i="205"/>
  <c r="BI18" i="205"/>
  <c r="BI17" i="205"/>
  <c r="BI16" i="205"/>
  <c r="BI15" i="205"/>
  <c r="BI14" i="205"/>
  <c r="BI13" i="205"/>
  <c r="BH55" i="205"/>
  <c r="BH54" i="205"/>
  <c r="BH53" i="205"/>
  <c r="BH52" i="205"/>
  <c r="BH51" i="205"/>
  <c r="BH50" i="205"/>
  <c r="BH49" i="205"/>
  <c r="BH48" i="205"/>
  <c r="BH47" i="205"/>
  <c r="BH46" i="205"/>
  <c r="BH45" i="205"/>
  <c r="BH44" i="205"/>
  <c r="BH43" i="205"/>
  <c r="BH42" i="205"/>
  <c r="BH41" i="205"/>
  <c r="BH40" i="205"/>
  <c r="BH39" i="205"/>
  <c r="BH38" i="205"/>
  <c r="BH37" i="205"/>
  <c r="BH36" i="205"/>
  <c r="BH35" i="205"/>
  <c r="BH34" i="205"/>
  <c r="BH33" i="205"/>
  <c r="BH32" i="205"/>
  <c r="BH31" i="205"/>
  <c r="BH30" i="205"/>
  <c r="BH29" i="205"/>
  <c r="BH28" i="205"/>
  <c r="BH27" i="205"/>
  <c r="BH26" i="205"/>
  <c r="BH25" i="205"/>
  <c r="BH24" i="205"/>
  <c r="BH23" i="205"/>
  <c r="BH22" i="205"/>
  <c r="BH21" i="205"/>
  <c r="BH20" i="205"/>
  <c r="BH19" i="205"/>
  <c r="BH18" i="205"/>
  <c r="BH17" i="205"/>
  <c r="BH16" i="205"/>
  <c r="BH15" i="205"/>
  <c r="BH14" i="205"/>
  <c r="BH13" i="205"/>
  <c r="BG55" i="205"/>
  <c r="BG54" i="205"/>
  <c r="BG53" i="205"/>
  <c r="BG52" i="205"/>
  <c r="BG51" i="205"/>
  <c r="BG50" i="205"/>
  <c r="BG49" i="205"/>
  <c r="BG48" i="205"/>
  <c r="BG47" i="205"/>
  <c r="BG46" i="205"/>
  <c r="BG45" i="205"/>
  <c r="BG44" i="205"/>
  <c r="BG43" i="205"/>
  <c r="BG42" i="205"/>
  <c r="BG41" i="205"/>
  <c r="BG40" i="205"/>
  <c r="BG39" i="205"/>
  <c r="BG38" i="205"/>
  <c r="BG37" i="205"/>
  <c r="BG36" i="205"/>
  <c r="BG35" i="205"/>
  <c r="BG34" i="205"/>
  <c r="BG33" i="205"/>
  <c r="BG32" i="205"/>
  <c r="BG31" i="205"/>
  <c r="BG30" i="205"/>
  <c r="BG29" i="205"/>
  <c r="BG28" i="205"/>
  <c r="BG27" i="205"/>
  <c r="BG26" i="205"/>
  <c r="BG25" i="205"/>
  <c r="BG24" i="205"/>
  <c r="BG23" i="205"/>
  <c r="BG22" i="205"/>
  <c r="BG21" i="205"/>
  <c r="BG20" i="205"/>
  <c r="BG19" i="205"/>
  <c r="BG18" i="205"/>
  <c r="BG17" i="205"/>
  <c r="BG16" i="205"/>
  <c r="BG15" i="205"/>
  <c r="BG14" i="205"/>
  <c r="BG13" i="205"/>
  <c r="BF55" i="205"/>
  <c r="BF54" i="205"/>
  <c r="BF53" i="205"/>
  <c r="BF52" i="205"/>
  <c r="BF51" i="205"/>
  <c r="BF50" i="205"/>
  <c r="BF49" i="205"/>
  <c r="BF48" i="205"/>
  <c r="BF47" i="205"/>
  <c r="BF46" i="205"/>
  <c r="BF45" i="205"/>
  <c r="BF44" i="205"/>
  <c r="BF43" i="205"/>
  <c r="BF42" i="205"/>
  <c r="BF40" i="205"/>
  <c r="BF39" i="205"/>
  <c r="BF38" i="205"/>
  <c r="BF37" i="205"/>
  <c r="BF36" i="205"/>
  <c r="BF35" i="205"/>
  <c r="BF34" i="205"/>
  <c r="BF33" i="205"/>
  <c r="BF32" i="205"/>
  <c r="BF31" i="205"/>
  <c r="BF30" i="205"/>
  <c r="BF29" i="205"/>
  <c r="BF28" i="205"/>
  <c r="BF27" i="205"/>
  <c r="BF26" i="205"/>
  <c r="BF25" i="205"/>
  <c r="BF24" i="205"/>
  <c r="BF23" i="205"/>
  <c r="BF22" i="205"/>
  <c r="BF20" i="205"/>
  <c r="BF19" i="205"/>
  <c r="BF18" i="205"/>
  <c r="BF17" i="205"/>
  <c r="BF16" i="205"/>
  <c r="BF15" i="205"/>
  <c r="BF14" i="205"/>
  <c r="BF41" i="205"/>
  <c r="BF21" i="205"/>
  <c r="BF13" i="205"/>
  <c r="BE55" i="205"/>
  <c r="BE54" i="205"/>
  <c r="BE53" i="205"/>
  <c r="BE52" i="205"/>
  <c r="BE51" i="205"/>
  <c r="BE50" i="205"/>
  <c r="BE49" i="205"/>
  <c r="BE48" i="205"/>
  <c r="BE47" i="205"/>
  <c r="BE46" i="205"/>
  <c r="BE45" i="205"/>
  <c r="BE44" i="205"/>
  <c r="BE43" i="205"/>
  <c r="BE42" i="205"/>
  <c r="BE40" i="205"/>
  <c r="BE39" i="205"/>
  <c r="BE38" i="205"/>
  <c r="BE37" i="205"/>
  <c r="BE36" i="205"/>
  <c r="BE35" i="205"/>
  <c r="BE34" i="205"/>
  <c r="BE33" i="205"/>
  <c r="BE32" i="205"/>
  <c r="BE31" i="205"/>
  <c r="BE30" i="205"/>
  <c r="BE29" i="205"/>
  <c r="BE28" i="205"/>
  <c r="BE27" i="205"/>
  <c r="BE26" i="205"/>
  <c r="BE25" i="205"/>
  <c r="BE24" i="205"/>
  <c r="BE23" i="205"/>
  <c r="BE22" i="205"/>
  <c r="BE20" i="205"/>
  <c r="BE19" i="205"/>
  <c r="BE18" i="205"/>
  <c r="BE17" i="205"/>
  <c r="BE16" i="205"/>
  <c r="BE15" i="205"/>
  <c r="BE14" i="205"/>
  <c r="BE41" i="205"/>
  <c r="BE21" i="205"/>
  <c r="BE13" i="205"/>
  <c r="BD55" i="205"/>
  <c r="BD54" i="205"/>
  <c r="BD53" i="205"/>
  <c r="BD52" i="205"/>
  <c r="BD51" i="205"/>
  <c r="BD50" i="205"/>
  <c r="BD49" i="205"/>
  <c r="BD48" i="205"/>
  <c r="BD47" i="205"/>
  <c r="BD46" i="205"/>
  <c r="BD45" i="205"/>
  <c r="BD44" i="205"/>
  <c r="BD43" i="205"/>
  <c r="BD42" i="205"/>
  <c r="BD40" i="205"/>
  <c r="BD39" i="205"/>
  <c r="BD38" i="205"/>
  <c r="BD37" i="205"/>
  <c r="BD36" i="205"/>
  <c r="BD35" i="205"/>
  <c r="BD34" i="205"/>
  <c r="BD33" i="205"/>
  <c r="BD32" i="205"/>
  <c r="BD31" i="205"/>
  <c r="BD30" i="205"/>
  <c r="BD29" i="205"/>
  <c r="BD28" i="205"/>
  <c r="BD27" i="205"/>
  <c r="BD26" i="205"/>
  <c r="BD25" i="205"/>
  <c r="BD24" i="205"/>
  <c r="BD23" i="205"/>
  <c r="BD22" i="205"/>
  <c r="BD20" i="205"/>
  <c r="BD19" i="205"/>
  <c r="BD18" i="205"/>
  <c r="BD17" i="205"/>
  <c r="BD16" i="205"/>
  <c r="BD15" i="205"/>
  <c r="BD14" i="205"/>
  <c r="BD41" i="205"/>
  <c r="BD21" i="205"/>
  <c r="BD13" i="205"/>
  <c r="BC55" i="205"/>
  <c r="BC54" i="205"/>
  <c r="BC52" i="205"/>
  <c r="BC51" i="205"/>
  <c r="BC50" i="205"/>
  <c r="BC49" i="205"/>
  <c r="BC48" i="205"/>
  <c r="BC47" i="205"/>
  <c r="BC46" i="205"/>
  <c r="BC45" i="205"/>
  <c r="BC44" i="205"/>
  <c r="BC43" i="205"/>
  <c r="BC42" i="205"/>
  <c r="BC40" i="205"/>
  <c r="BC39" i="205"/>
  <c r="BC38" i="205"/>
  <c r="BC37" i="205"/>
  <c r="BC36" i="205"/>
  <c r="BC35" i="205"/>
  <c r="BC33" i="205"/>
  <c r="BC32" i="205"/>
  <c r="BC31" i="205"/>
  <c r="BC30" i="205"/>
  <c r="BC29" i="205"/>
  <c r="BC28" i="205"/>
  <c r="BC27" i="205"/>
  <c r="BC26" i="205"/>
  <c r="BC25" i="205"/>
  <c r="BC24" i="205"/>
  <c r="BC23" i="205"/>
  <c r="BC22" i="205"/>
  <c r="BC20" i="205"/>
  <c r="BC19" i="205"/>
  <c r="BC16" i="205"/>
  <c r="BC15" i="205"/>
  <c r="BC14" i="205"/>
  <c r="BC53" i="205"/>
  <c r="BC41" i="205"/>
  <c r="BC34" i="205"/>
  <c r="BC21" i="205"/>
  <c r="BC18" i="205"/>
  <c r="BC17" i="205"/>
  <c r="BC13" i="205"/>
  <c r="BB55" i="205"/>
  <c r="BB54" i="205"/>
  <c r="BB52" i="205"/>
  <c r="BB51" i="205"/>
  <c r="BB50" i="205"/>
  <c r="BB49" i="205"/>
  <c r="BB48" i="205"/>
  <c r="BB47" i="205"/>
  <c r="BB46" i="205"/>
  <c r="BB45" i="205"/>
  <c r="BB44" i="205"/>
  <c r="BB43" i="205"/>
  <c r="BB40" i="205"/>
  <c r="BB39" i="205"/>
  <c r="BB38" i="205"/>
  <c r="BB37" i="205"/>
  <c r="BB36" i="205"/>
  <c r="BB35" i="205"/>
  <c r="BB33" i="205"/>
  <c r="BB32" i="205"/>
  <c r="BB30" i="205"/>
  <c r="BB28" i="205"/>
  <c r="BB27" i="205"/>
  <c r="BB26" i="205"/>
  <c r="BB24" i="205"/>
  <c r="BB23" i="205"/>
  <c r="BB22" i="205"/>
  <c r="BB20" i="205"/>
  <c r="BB19" i="205"/>
  <c r="BB16" i="205"/>
  <c r="BB15" i="205"/>
  <c r="BB14" i="205"/>
  <c r="BB53" i="205"/>
  <c r="BB42" i="205"/>
  <c r="BB41" i="205"/>
  <c r="BB34" i="205"/>
  <c r="BB31" i="205"/>
  <c r="BB29" i="205"/>
  <c r="BB25" i="205"/>
  <c r="BB21" i="205"/>
  <c r="BB18" i="205"/>
  <c r="BB17" i="205"/>
  <c r="BB13" i="205"/>
  <c r="BA55" i="205"/>
  <c r="BA54" i="205"/>
  <c r="BA52" i="205"/>
  <c r="BA51" i="205"/>
  <c r="BA49" i="205"/>
  <c r="BA48" i="205"/>
  <c r="BA47" i="205"/>
  <c r="BA46" i="205"/>
  <c r="BA45" i="205"/>
  <c r="BA44" i="205"/>
  <c r="BA43" i="205"/>
  <c r="BA40" i="205"/>
  <c r="BA39" i="205"/>
  <c r="BA38" i="205"/>
  <c r="BA37" i="205"/>
  <c r="BA36" i="205"/>
  <c r="BA35" i="205"/>
  <c r="BA33" i="205"/>
  <c r="BA32" i="205"/>
  <c r="BA30" i="205"/>
  <c r="BA27" i="205"/>
  <c r="BA26" i="205"/>
  <c r="BA24" i="205"/>
  <c r="BA23" i="205"/>
  <c r="BA22" i="205"/>
  <c r="BA19" i="205"/>
  <c r="BA16" i="205"/>
  <c r="BA15" i="205"/>
  <c r="BA14" i="205"/>
  <c r="BA53" i="205"/>
  <c r="BA50" i="205"/>
  <c r="BA42" i="205"/>
  <c r="BA41" i="205"/>
  <c r="BA34" i="205"/>
  <c r="BA31" i="205"/>
  <c r="BA29" i="205"/>
  <c r="BA28" i="205"/>
  <c r="BA25" i="205"/>
  <c r="BA21" i="205"/>
  <c r="BA20" i="205"/>
  <c r="BA18" i="205"/>
  <c r="BA17" i="205"/>
  <c r="BA13" i="205"/>
  <c r="AZ55" i="205"/>
  <c r="AZ54" i="205"/>
  <c r="AZ52" i="205"/>
  <c r="AZ47" i="205"/>
  <c r="AZ46" i="205"/>
  <c r="AZ45" i="205"/>
  <c r="AZ44" i="205"/>
  <c r="AZ43" i="205"/>
  <c r="AZ40" i="205"/>
  <c r="AZ39" i="205"/>
  <c r="AZ38" i="205"/>
  <c r="AZ37" i="205"/>
  <c r="AZ36" i="205"/>
  <c r="AZ35" i="205"/>
  <c r="AZ33" i="205"/>
  <c r="AZ32" i="205"/>
  <c r="AZ30" i="205"/>
  <c r="AZ26" i="205"/>
  <c r="AZ24" i="205"/>
  <c r="AZ23" i="205"/>
  <c r="AZ22" i="205"/>
  <c r="AZ19" i="205"/>
  <c r="AZ16" i="205"/>
  <c r="AZ15" i="205"/>
  <c r="AZ14" i="205"/>
  <c r="AZ53" i="205"/>
  <c r="AZ51" i="205"/>
  <c r="AZ50" i="205"/>
  <c r="AZ49" i="205"/>
  <c r="AZ48" i="205"/>
  <c r="AZ42" i="205"/>
  <c r="AZ41" i="205"/>
  <c r="AZ34" i="205"/>
  <c r="AZ31" i="205"/>
  <c r="AZ29" i="205"/>
  <c r="AZ28" i="205"/>
  <c r="AZ27" i="205"/>
  <c r="AZ25" i="205"/>
  <c r="AZ21" i="205"/>
  <c r="AZ20" i="205"/>
  <c r="AZ18" i="205"/>
  <c r="AZ17" i="205"/>
  <c r="AZ13" i="205"/>
  <c r="AY55" i="205"/>
  <c r="AY54" i="205"/>
  <c r="AY52" i="205"/>
  <c r="AY47" i="205"/>
  <c r="AY46" i="205"/>
  <c r="AY45" i="205"/>
  <c r="AY44" i="205"/>
  <c r="AY43" i="205"/>
  <c r="AY40" i="205"/>
  <c r="AY39" i="205"/>
  <c r="AY38" i="205"/>
  <c r="AY37" i="205"/>
  <c r="AY36" i="205"/>
  <c r="AY35" i="205"/>
  <c r="AY33" i="205"/>
  <c r="AY32" i="205"/>
  <c r="AY30" i="205"/>
  <c r="AY26" i="205"/>
  <c r="AY24" i="205"/>
  <c r="AY23" i="205"/>
  <c r="AY22" i="205"/>
  <c r="AY19" i="205"/>
  <c r="AY16" i="205"/>
  <c r="AY15" i="205"/>
  <c r="AY14" i="205"/>
  <c r="AY53" i="205"/>
  <c r="AY51" i="205"/>
  <c r="AY50" i="205"/>
  <c r="AY49" i="205"/>
  <c r="AY48" i="205"/>
  <c r="AY42" i="205"/>
  <c r="AY41" i="205"/>
  <c r="AY34" i="205"/>
  <c r="AY31" i="205"/>
  <c r="AY29" i="205"/>
  <c r="AY28" i="205"/>
  <c r="AY27" i="205"/>
  <c r="AY25" i="205"/>
  <c r="AY21" i="205"/>
  <c r="AY20" i="205"/>
  <c r="AY18" i="205"/>
  <c r="AY17" i="205"/>
  <c r="AY13" i="205"/>
  <c r="AX54" i="205"/>
  <c r="AX52" i="205"/>
  <c r="AX47" i="205"/>
  <c r="AX46" i="205"/>
  <c r="AX45" i="205"/>
  <c r="AX44" i="205"/>
  <c r="AX43" i="205"/>
  <c r="AX40" i="205"/>
  <c r="AX39" i="205"/>
  <c r="AX38" i="205"/>
  <c r="AX37" i="205"/>
  <c r="AX36" i="205"/>
  <c r="AX35" i="205"/>
  <c r="AX33" i="205"/>
  <c r="AX30" i="205"/>
  <c r="AX26" i="205"/>
  <c r="AX24" i="205"/>
  <c r="AX23" i="205"/>
  <c r="AX22" i="205"/>
  <c r="AX19" i="205"/>
  <c r="AX16" i="205"/>
  <c r="AX15" i="205"/>
  <c r="AX55" i="205"/>
  <c r="AX53" i="205"/>
  <c r="AX51" i="205"/>
  <c r="AX50" i="205"/>
  <c r="AX49" i="205"/>
  <c r="AX48" i="205"/>
  <c r="AX42" i="205"/>
  <c r="AX41" i="205"/>
  <c r="AX34" i="205"/>
  <c r="AX32" i="205"/>
  <c r="AX31" i="205"/>
  <c r="AX29" i="205"/>
  <c r="AX28" i="205"/>
  <c r="AX27" i="205"/>
  <c r="AX25" i="205"/>
  <c r="AX21" i="205"/>
  <c r="AX20" i="205"/>
  <c r="AX18" i="205"/>
  <c r="AX17" i="205"/>
  <c r="AX14" i="205"/>
  <c r="AX13" i="205"/>
  <c r="AW54" i="205"/>
  <c r="AW52" i="205"/>
  <c r="AW47" i="205"/>
  <c r="AW46" i="205"/>
  <c r="AW45" i="205"/>
  <c r="AW44" i="205"/>
  <c r="AW43" i="205"/>
  <c r="AW40" i="205"/>
  <c r="AW39" i="205"/>
  <c r="AW38" i="205"/>
  <c r="AW37" i="205"/>
  <c r="AW36" i="205"/>
  <c r="AW35" i="205"/>
  <c r="AW30" i="205"/>
  <c r="AW24" i="205"/>
  <c r="AW23" i="205"/>
  <c r="AW22" i="205"/>
  <c r="AW19" i="205"/>
  <c r="AW16" i="205"/>
  <c r="AW15" i="205"/>
  <c r="AW55" i="205"/>
  <c r="AW53" i="205"/>
  <c r="AW51" i="205"/>
  <c r="AW50" i="205"/>
  <c r="AW49" i="205"/>
  <c r="AW48" i="205"/>
  <c r="AW42" i="205"/>
  <c r="AW41" i="205"/>
  <c r="AW34" i="205"/>
  <c r="AW33" i="205"/>
  <c r="AW32" i="205"/>
  <c r="AW31" i="205"/>
  <c r="AW29" i="205"/>
  <c r="AW28" i="205"/>
  <c r="AW27" i="205"/>
  <c r="AW26" i="205"/>
  <c r="AW25" i="205"/>
  <c r="AW21" i="205"/>
  <c r="AW20" i="205"/>
  <c r="AW18" i="205"/>
  <c r="AW17" i="205"/>
  <c r="AW14" i="205"/>
  <c r="AW13" i="205"/>
  <c r="AV54" i="205"/>
  <c r="AV52" i="205"/>
  <c r="AV47" i="205"/>
  <c r="AV46" i="205"/>
  <c r="AV45" i="205"/>
  <c r="AV44" i="205"/>
  <c r="AV43" i="205"/>
  <c r="AV40" i="205"/>
  <c r="AV39" i="205"/>
  <c r="AV38" i="205"/>
  <c r="AV37" i="205"/>
  <c r="AV36" i="205"/>
  <c r="AV35" i="205"/>
  <c r="AV30" i="205"/>
  <c r="AV24" i="205"/>
  <c r="AV23" i="205"/>
  <c r="AV22" i="205"/>
  <c r="AV19" i="205"/>
  <c r="AV16" i="205"/>
  <c r="AV15" i="205"/>
  <c r="AV55" i="205"/>
  <c r="AV53" i="205"/>
  <c r="AV51" i="205"/>
  <c r="AV50" i="205"/>
  <c r="AV49" i="205"/>
  <c r="AV48" i="205"/>
  <c r="AV42" i="205"/>
  <c r="AV41" i="205"/>
  <c r="AV34" i="205"/>
  <c r="AV33" i="205"/>
  <c r="AV32" i="205"/>
  <c r="AV31" i="205"/>
  <c r="AV29" i="205"/>
  <c r="AV28" i="205"/>
  <c r="AV27" i="205"/>
  <c r="AV26" i="205"/>
  <c r="AV25" i="205"/>
  <c r="AV21" i="205"/>
  <c r="AV20" i="205"/>
  <c r="AV18" i="205"/>
  <c r="AV17" i="205"/>
  <c r="AV14" i="205"/>
  <c r="AV13" i="205"/>
  <c r="AU54" i="205"/>
  <c r="AU52" i="205"/>
  <c r="AU47" i="205"/>
  <c r="AU46" i="205"/>
  <c r="AU45" i="205"/>
  <c r="AU44" i="205"/>
  <c r="AU43" i="205"/>
  <c r="AU40" i="205"/>
  <c r="AU39" i="205"/>
  <c r="AU38" i="205"/>
  <c r="AU37" i="205"/>
  <c r="AU36" i="205"/>
  <c r="AU35" i="205"/>
  <c r="AU30" i="205"/>
  <c r="AU24" i="205"/>
  <c r="AU23" i="205"/>
  <c r="AU22" i="205"/>
  <c r="AU19" i="205"/>
  <c r="AU16" i="205"/>
  <c r="AU15" i="205"/>
  <c r="AU55" i="205"/>
  <c r="AU53" i="205"/>
  <c r="AU51" i="205"/>
  <c r="AU50" i="205"/>
  <c r="AU49" i="205"/>
  <c r="AU48" i="205"/>
  <c r="AU42" i="205"/>
  <c r="AU41" i="205"/>
  <c r="AU34" i="205"/>
  <c r="AU33" i="205"/>
  <c r="AU32" i="205"/>
  <c r="AU31" i="205"/>
  <c r="AU29" i="205"/>
  <c r="AU28" i="205"/>
  <c r="AU27" i="205"/>
  <c r="AU26" i="205"/>
  <c r="AU25" i="205"/>
  <c r="AU21" i="205"/>
  <c r="AU20" i="205"/>
  <c r="AU18" i="205"/>
  <c r="AU17" i="205"/>
  <c r="AU14" i="205"/>
  <c r="AU13" i="205"/>
  <c r="AT54" i="205"/>
  <c r="AT52" i="205"/>
  <c r="AT51" i="205"/>
  <c r="AT47" i="205"/>
  <c r="AT45" i="205"/>
  <c r="AT43" i="205"/>
  <c r="AT41" i="205"/>
  <c r="AT40" i="205"/>
  <c r="AT39" i="205"/>
  <c r="AT38" i="205"/>
  <c r="AT37" i="205"/>
  <c r="AT36" i="205"/>
  <c r="AT30" i="205"/>
  <c r="AT24" i="205"/>
  <c r="AT22" i="205"/>
  <c r="AT16" i="205"/>
  <c r="AT15" i="205"/>
  <c r="AT14" i="205"/>
  <c r="AT55" i="205"/>
  <c r="AT53" i="205"/>
  <c r="AT50" i="205"/>
  <c r="AT49" i="205"/>
  <c r="AT48" i="205"/>
  <c r="AT46" i="205"/>
  <c r="AT44" i="205"/>
  <c r="AT42" i="205"/>
  <c r="AT35" i="205"/>
  <c r="AT34" i="205"/>
  <c r="AT33" i="205"/>
  <c r="AT32" i="205"/>
  <c r="AT31" i="205"/>
  <c r="AT29" i="205"/>
  <c r="AT28" i="205"/>
  <c r="AT27" i="205"/>
  <c r="AT26" i="205"/>
  <c r="AT25" i="205"/>
  <c r="AT23" i="205"/>
  <c r="AT21" i="205"/>
  <c r="AT20" i="205"/>
  <c r="AT19" i="205"/>
  <c r="AT18" i="205"/>
  <c r="AT17" i="205"/>
  <c r="AT13" i="205"/>
  <c r="AS54" i="205"/>
  <c r="AS52" i="205"/>
  <c r="AS51" i="205"/>
  <c r="AS47" i="205"/>
  <c r="AS45" i="205"/>
  <c r="AS43" i="205"/>
  <c r="AS41" i="205"/>
  <c r="AS40" i="205"/>
  <c r="AS39" i="205"/>
  <c r="AS38" i="205"/>
  <c r="AS37" i="205"/>
  <c r="AS36" i="205"/>
  <c r="AS30" i="205"/>
  <c r="AS24" i="205"/>
  <c r="AS22" i="205"/>
  <c r="AS16" i="205"/>
  <c r="AS15" i="205"/>
  <c r="AS14" i="205"/>
  <c r="AS55" i="205"/>
  <c r="AS53" i="205"/>
  <c r="AS50" i="205"/>
  <c r="AS49" i="205"/>
  <c r="AS48" i="205"/>
  <c r="AS46" i="205"/>
  <c r="AS44" i="205"/>
  <c r="AS42" i="205"/>
  <c r="AS35" i="205"/>
  <c r="AS34" i="205"/>
  <c r="AS33" i="205"/>
  <c r="AS32" i="205"/>
  <c r="AS31" i="205"/>
  <c r="AS29" i="205"/>
  <c r="AS28" i="205"/>
  <c r="AS27" i="205"/>
  <c r="AS26" i="205"/>
  <c r="AS25" i="205"/>
  <c r="AS23" i="205"/>
  <c r="AS21" i="205"/>
  <c r="AS20" i="205"/>
  <c r="AS19" i="205"/>
  <c r="AS18" i="205"/>
  <c r="AS17" i="205"/>
  <c r="AS13" i="205"/>
  <c r="AR54" i="205"/>
  <c r="AR52" i="205"/>
  <c r="AR51" i="205"/>
  <c r="AR47" i="205"/>
  <c r="AR45" i="205"/>
  <c r="AR43" i="205"/>
  <c r="AR41" i="205"/>
  <c r="AR40" i="205"/>
  <c r="AR39" i="205"/>
  <c r="AR38" i="205"/>
  <c r="AR37" i="205"/>
  <c r="AR36" i="205"/>
  <c r="AR30" i="205"/>
  <c r="AR24" i="205"/>
  <c r="AR22" i="205"/>
  <c r="AR16" i="205"/>
  <c r="AR15" i="205"/>
  <c r="AR14" i="205"/>
  <c r="AR55" i="205"/>
  <c r="AR53" i="205"/>
  <c r="AR50" i="205"/>
  <c r="AR49" i="205"/>
  <c r="AR48" i="205"/>
  <c r="AR46" i="205"/>
  <c r="AR44" i="205"/>
  <c r="AR42" i="205"/>
  <c r="AR35" i="205"/>
  <c r="AR34" i="205"/>
  <c r="AR33" i="205"/>
  <c r="AR32" i="205"/>
  <c r="AR31" i="205"/>
  <c r="AR29" i="205"/>
  <c r="AR28" i="205"/>
  <c r="AR27" i="205"/>
  <c r="AR26" i="205"/>
  <c r="AR25" i="205"/>
  <c r="AR23" i="205"/>
  <c r="AR21" i="205"/>
  <c r="AR20" i="205"/>
  <c r="AR19" i="205"/>
  <c r="AR18" i="205"/>
  <c r="AR17" i="205"/>
  <c r="AR13" i="205"/>
  <c r="AQ54" i="205"/>
  <c r="AQ52" i="205"/>
  <c r="AQ51" i="205"/>
  <c r="AQ47" i="205"/>
  <c r="AQ45" i="205"/>
  <c r="AQ43" i="205"/>
  <c r="AQ41" i="205"/>
  <c r="AQ40" i="205"/>
  <c r="AQ39" i="205"/>
  <c r="AQ38" i="205"/>
  <c r="AQ37" i="205"/>
  <c r="AQ36" i="205"/>
  <c r="AQ30" i="205"/>
  <c r="AQ24" i="205"/>
  <c r="AQ22" i="205"/>
  <c r="AQ16" i="205"/>
  <c r="AQ15" i="205"/>
  <c r="AQ14" i="205"/>
  <c r="AQ55" i="205"/>
  <c r="AQ53" i="205"/>
  <c r="AQ50" i="205"/>
  <c r="AQ49" i="205"/>
  <c r="AQ48" i="205"/>
  <c r="AQ46" i="205"/>
  <c r="AQ44" i="205"/>
  <c r="AQ42" i="205"/>
  <c r="AQ35" i="205"/>
  <c r="AQ34" i="205"/>
  <c r="AQ33" i="205"/>
  <c r="AQ32" i="205"/>
  <c r="AQ31" i="205"/>
  <c r="AQ29" i="205"/>
  <c r="AQ28" i="205"/>
  <c r="AQ27" i="205"/>
  <c r="AQ26" i="205"/>
  <c r="AQ25" i="205"/>
  <c r="AQ23" i="205"/>
  <c r="AQ21" i="205"/>
  <c r="AQ20" i="205"/>
  <c r="AQ19" i="205"/>
  <c r="AQ18" i="205"/>
  <c r="AQ17" i="205"/>
  <c r="AQ13" i="205"/>
  <c r="AP54" i="205"/>
  <c r="AP52" i="205"/>
  <c r="AP51" i="205"/>
  <c r="AP47" i="205"/>
  <c r="AP45" i="205"/>
  <c r="AP43" i="205"/>
  <c r="AP41" i="205"/>
  <c r="AP40" i="205"/>
  <c r="AP39" i="205"/>
  <c r="AP38" i="205"/>
  <c r="AP37" i="205"/>
  <c r="AP36" i="205"/>
  <c r="AP30" i="205"/>
  <c r="AP24" i="205"/>
  <c r="AP22" i="205"/>
  <c r="AP16" i="205"/>
  <c r="AP15" i="205"/>
  <c r="AP14" i="205"/>
  <c r="AP55" i="205"/>
  <c r="AP53" i="205"/>
  <c r="AP50" i="205"/>
  <c r="AP49" i="205"/>
  <c r="AP48" i="205"/>
  <c r="AP46" i="205"/>
  <c r="AP44" i="205"/>
  <c r="AP42" i="205"/>
  <c r="AP35" i="205"/>
  <c r="AP34" i="205"/>
  <c r="AP33" i="205"/>
  <c r="AP32" i="205"/>
  <c r="AP31" i="205"/>
  <c r="AP29" i="205"/>
  <c r="AP28" i="205"/>
  <c r="AP27" i="205"/>
  <c r="AP26" i="205"/>
  <c r="AP25" i="205"/>
  <c r="AP23" i="205"/>
  <c r="AP21" i="205"/>
  <c r="AP20" i="205"/>
  <c r="AP19" i="205"/>
  <c r="AP18" i="205"/>
  <c r="AP17" i="205"/>
  <c r="AP13" i="205"/>
  <c r="AO54" i="205"/>
  <c r="AO52" i="205"/>
  <c r="AO51" i="205"/>
  <c r="AO47" i="205"/>
  <c r="AO45" i="205"/>
  <c r="AO43" i="205"/>
  <c r="AO41" i="205"/>
  <c r="AO40" i="205"/>
  <c r="AO39" i="205"/>
  <c r="AO38" i="205"/>
  <c r="AO37" i="205"/>
  <c r="AO36" i="205"/>
  <c r="AO30" i="205"/>
  <c r="AO24" i="205"/>
  <c r="AO22" i="205"/>
  <c r="AO16" i="205"/>
  <c r="AO15" i="205"/>
  <c r="AO14" i="205"/>
  <c r="AO55" i="205"/>
  <c r="AO53" i="205"/>
  <c r="AO50" i="205"/>
  <c r="AO49" i="205"/>
  <c r="AO48" i="205"/>
  <c r="AO46" i="205"/>
  <c r="AO44" i="205"/>
  <c r="AO42" i="205"/>
  <c r="AO35" i="205"/>
  <c r="AO34" i="205"/>
  <c r="AO33" i="205"/>
  <c r="AO32" i="205"/>
  <c r="AO31" i="205"/>
  <c r="AO29" i="205"/>
  <c r="AO28" i="205"/>
  <c r="AO27" i="205"/>
  <c r="AO26" i="205"/>
  <c r="AO25" i="205"/>
  <c r="AO23" i="205"/>
  <c r="AO21" i="205"/>
  <c r="AO20" i="205"/>
  <c r="AO19" i="205"/>
  <c r="AO18" i="205"/>
  <c r="AO17" i="205"/>
  <c r="AO13" i="205"/>
  <c r="C4" i="206"/>
  <c r="C15" i="206" s="1"/>
  <c r="C16" i="206" s="1"/>
  <c r="C17" i="206" s="1"/>
  <c r="C18" i="206" s="1"/>
  <c r="C19" i="206" s="1"/>
  <c r="C20" i="206" s="1"/>
  <c r="C21" i="206" s="1"/>
  <c r="C22" i="206" s="1"/>
  <c r="C23" i="206" s="1"/>
  <c r="C24" i="206" s="1"/>
  <c r="C25" i="206" s="1"/>
  <c r="C26" i="206" s="1"/>
  <c r="C27" i="206" s="1"/>
  <c r="C28" i="206" s="1"/>
  <c r="C29" i="206" s="1"/>
  <c r="C30" i="206" s="1"/>
  <c r="C31" i="206" s="1"/>
  <c r="C32" i="206" s="1"/>
  <c r="C33" i="206" s="1"/>
  <c r="C34" i="206" s="1"/>
  <c r="C35" i="206" s="1"/>
  <c r="C36" i="206" s="1"/>
  <c r="C37" i="206" s="1"/>
  <c r="C38" i="206" s="1"/>
  <c r="C39" i="206" s="1"/>
  <c r="C40" i="206" s="1"/>
  <c r="C41" i="206" s="1"/>
  <c r="C42" i="206" s="1"/>
  <c r="C43" i="206" s="1"/>
  <c r="C44" i="206" s="1"/>
  <c r="C45" i="206" s="1"/>
  <c r="C46" i="206" s="1"/>
  <c r="C47" i="206" s="1"/>
  <c r="C48" i="206" s="1"/>
  <c r="C49" i="206" s="1"/>
  <c r="C50" i="206" s="1"/>
  <c r="C51" i="206" s="1"/>
  <c r="C52" i="206" s="1"/>
  <c r="C53" i="206" s="1"/>
  <c r="C54" i="206" s="1"/>
  <c r="C55" i="206" s="1"/>
  <c r="C56" i="206" s="1"/>
  <c r="C57" i="206" s="1"/>
  <c r="C58" i="206" s="1"/>
  <c r="C59" i="206" s="1"/>
  <c r="C60" i="206" s="1"/>
  <c r="C61" i="206" s="1"/>
  <c r="C62" i="206" s="1"/>
  <c r="C63" i="206" s="1"/>
  <c r="C64" i="206" s="1"/>
  <c r="C65" i="206" s="1"/>
  <c r="C66" i="206" s="1"/>
  <c r="C67" i="206" s="1"/>
  <c r="C68" i="206" s="1"/>
  <c r="C69" i="206" s="1"/>
  <c r="C70" i="206" s="1"/>
  <c r="C71" i="206" s="1"/>
  <c r="C72" i="206" s="1"/>
  <c r="C73" i="206" s="1"/>
  <c r="C74" i="206" s="1"/>
  <c r="C75" i="206" s="1"/>
  <c r="C76" i="206" s="1"/>
  <c r="C77" i="206" s="1"/>
  <c r="C78" i="206" s="1"/>
  <c r="C79" i="206" s="1"/>
  <c r="C80" i="206" s="1"/>
  <c r="C81" i="206" s="1"/>
  <c r="C82" i="206" s="1"/>
  <c r="C83" i="206" s="1"/>
  <c r="C84" i="206" s="1"/>
  <c r="C85" i="206" s="1"/>
  <c r="C86" i="206" s="1"/>
  <c r="C87" i="206" s="1"/>
  <c r="C88" i="206" s="1"/>
  <c r="C89" i="206" s="1"/>
  <c r="C90" i="206" s="1"/>
  <c r="C91" i="206" s="1"/>
  <c r="C92" i="206" s="1"/>
  <c r="C93" i="206" s="1"/>
  <c r="C94" i="206" s="1"/>
  <c r="C95" i="206" s="1"/>
  <c r="C96" i="206" s="1"/>
  <c r="C97" i="206" s="1"/>
  <c r="C98" i="206" s="1"/>
  <c r="C99" i="206" s="1"/>
  <c r="C100" i="206" s="1"/>
  <c r="C101" i="206" s="1"/>
  <c r="C102" i="206" s="1"/>
  <c r="C103" i="206" s="1"/>
  <c r="C104" i="206" s="1"/>
  <c r="C105" i="206" s="1"/>
  <c r="C106" i="206" s="1"/>
  <c r="C107" i="206" s="1"/>
  <c r="C108" i="206" s="1"/>
  <c r="C109" i="206" s="1"/>
  <c r="C110" i="206" s="1"/>
  <c r="C111" i="206" s="1"/>
  <c r="C112" i="206" s="1"/>
  <c r="C113" i="206" s="1"/>
  <c r="H14" i="205"/>
  <c r="H15" i="205" s="1"/>
  <c r="H16" i="205" s="1"/>
  <c r="H17" i="205" s="1"/>
  <c r="H18" i="205" s="1"/>
  <c r="H19" i="205" s="1"/>
  <c r="H20" i="205" s="1"/>
  <c r="H21" i="205" s="1"/>
  <c r="H22" i="205" s="1"/>
  <c r="H23" i="205" s="1"/>
  <c r="H24" i="205" s="1"/>
  <c r="H25" i="205" s="1"/>
  <c r="H26" i="205" s="1"/>
  <c r="H27" i="205" s="1"/>
  <c r="H28" i="205" s="1"/>
  <c r="H29" i="205" s="1"/>
  <c r="H30" i="205" s="1"/>
  <c r="H31" i="205" s="1"/>
  <c r="H32" i="205" s="1"/>
  <c r="H33" i="205" s="1"/>
  <c r="H34" i="205" s="1"/>
  <c r="J35" i="205"/>
  <c r="J32" i="10"/>
  <c r="I4" i="206"/>
  <c r="J4" i="206"/>
  <c r="K4" i="206"/>
  <c r="L4" i="206"/>
  <c r="M4" i="206"/>
  <c r="N4" i="206"/>
  <c r="O4" i="206"/>
  <c r="P4" i="206"/>
  <c r="Q4" i="206"/>
  <c r="R4" i="206"/>
  <c r="S4" i="206"/>
  <c r="T4" i="206"/>
  <c r="U4" i="206"/>
  <c r="V4" i="206"/>
  <c r="W4" i="206"/>
  <c r="X4" i="206"/>
  <c r="Y4" i="206"/>
  <c r="Z4" i="206"/>
  <c r="AA4" i="206"/>
  <c r="AB4" i="206"/>
  <c r="AC4" i="206"/>
  <c r="AD4" i="206"/>
  <c r="AE4" i="206"/>
  <c r="AF4" i="206"/>
  <c r="B2" i="155"/>
  <c r="C2" i="155" s="1"/>
  <c r="J36" i="205" l="1"/>
  <c r="H35" i="205"/>
  <c r="J33" i="10"/>
  <c r="J7" i="12"/>
  <c r="J37" i="205" l="1"/>
  <c r="H36" i="205"/>
  <c r="J34" i="10"/>
  <c r="I11" i="5"/>
  <c r="J11" i="5"/>
  <c r="K11" i="5"/>
  <c r="L11" i="5"/>
  <c r="M11" i="5"/>
  <c r="N11" i="5"/>
  <c r="O11" i="5"/>
  <c r="P11" i="5"/>
  <c r="Q11" i="5"/>
  <c r="R11" i="5"/>
  <c r="S11" i="5"/>
  <c r="T11" i="5"/>
  <c r="U11" i="5"/>
  <c r="V11" i="5"/>
  <c r="W11" i="5"/>
  <c r="X11" i="5"/>
  <c r="Y11" i="5"/>
  <c r="Z11" i="5"/>
  <c r="AA11" i="5"/>
  <c r="AB11" i="5"/>
  <c r="AC11" i="5"/>
  <c r="AD11" i="5"/>
  <c r="AE11" i="5"/>
  <c r="AF11" i="5"/>
  <c r="J8" i="5"/>
  <c r="J9" i="5"/>
  <c r="H14" i="5"/>
  <c r="H15" i="5"/>
  <c r="H16" i="5"/>
  <c r="H12" i="5" s="1"/>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E14" i="5"/>
  <c r="F14" i="5"/>
  <c r="G14" i="5"/>
  <c r="I14" i="5"/>
  <c r="J14" i="5"/>
  <c r="K14" i="5"/>
  <c r="L14" i="5"/>
  <c r="M14" i="5"/>
  <c r="N14" i="5"/>
  <c r="O14" i="5"/>
  <c r="P14" i="5"/>
  <c r="Q14" i="5"/>
  <c r="R14" i="5"/>
  <c r="S14" i="5"/>
  <c r="T14" i="5"/>
  <c r="U14" i="5"/>
  <c r="V14" i="5"/>
  <c r="W14" i="5"/>
  <c r="X14" i="5"/>
  <c r="Y14" i="5"/>
  <c r="Z14" i="5"/>
  <c r="AA14" i="5"/>
  <c r="AB14" i="5"/>
  <c r="AC14" i="5"/>
  <c r="AD14" i="5"/>
  <c r="AE14" i="5"/>
  <c r="AF14" i="5"/>
  <c r="E15" i="5"/>
  <c r="F15" i="5"/>
  <c r="G15" i="5"/>
  <c r="I15" i="5"/>
  <c r="J15" i="5"/>
  <c r="K15" i="5"/>
  <c r="L15" i="5"/>
  <c r="M15" i="5"/>
  <c r="N15" i="5"/>
  <c r="O15" i="5"/>
  <c r="P15" i="5"/>
  <c r="Q15" i="5"/>
  <c r="R15" i="5"/>
  <c r="S15" i="5"/>
  <c r="T15" i="5"/>
  <c r="U15" i="5"/>
  <c r="V15" i="5"/>
  <c r="W15" i="5"/>
  <c r="X15" i="5"/>
  <c r="Y15" i="5"/>
  <c r="Z15" i="5"/>
  <c r="AA15" i="5"/>
  <c r="AB15" i="5"/>
  <c r="AC15" i="5"/>
  <c r="AD15" i="5"/>
  <c r="AE15" i="5"/>
  <c r="AF15" i="5"/>
  <c r="E16" i="5"/>
  <c r="F16" i="5"/>
  <c r="G16" i="5"/>
  <c r="I16" i="5"/>
  <c r="J16" i="5"/>
  <c r="K16" i="5"/>
  <c r="L16" i="5"/>
  <c r="M16" i="5"/>
  <c r="N16" i="5"/>
  <c r="O16" i="5"/>
  <c r="P16" i="5"/>
  <c r="Q16" i="5"/>
  <c r="R16" i="5"/>
  <c r="S16" i="5"/>
  <c r="T16" i="5"/>
  <c r="U16" i="5"/>
  <c r="V16" i="5"/>
  <c r="W16" i="5"/>
  <c r="X16" i="5"/>
  <c r="Y16" i="5"/>
  <c r="Z16" i="5"/>
  <c r="AA16" i="5"/>
  <c r="AB16" i="5"/>
  <c r="AC16" i="5"/>
  <c r="AD16" i="5"/>
  <c r="AE16" i="5"/>
  <c r="AF16" i="5"/>
  <c r="E17" i="5"/>
  <c r="F17" i="5"/>
  <c r="G17" i="5"/>
  <c r="I17" i="5"/>
  <c r="J17" i="5"/>
  <c r="K17" i="5"/>
  <c r="L17" i="5"/>
  <c r="M17" i="5"/>
  <c r="N17" i="5"/>
  <c r="O17" i="5"/>
  <c r="P17" i="5"/>
  <c r="Q17" i="5"/>
  <c r="R17" i="5"/>
  <c r="S17" i="5"/>
  <c r="T17" i="5"/>
  <c r="U17" i="5"/>
  <c r="V17" i="5"/>
  <c r="W17" i="5"/>
  <c r="X17" i="5"/>
  <c r="Y17" i="5"/>
  <c r="Z17" i="5"/>
  <c r="AA17" i="5"/>
  <c r="AB17" i="5"/>
  <c r="AC17" i="5"/>
  <c r="AD17" i="5"/>
  <c r="AE17" i="5"/>
  <c r="AF17" i="5"/>
  <c r="E18" i="5"/>
  <c r="F18" i="5"/>
  <c r="G18" i="5"/>
  <c r="I18" i="5"/>
  <c r="J18" i="5"/>
  <c r="K18" i="5"/>
  <c r="L18" i="5"/>
  <c r="M18" i="5"/>
  <c r="N18" i="5"/>
  <c r="O18" i="5"/>
  <c r="P18" i="5"/>
  <c r="Q18" i="5"/>
  <c r="R18" i="5"/>
  <c r="S18" i="5"/>
  <c r="T18" i="5"/>
  <c r="U18" i="5"/>
  <c r="V18" i="5"/>
  <c r="W18" i="5"/>
  <c r="X18" i="5"/>
  <c r="Y18" i="5"/>
  <c r="Z18" i="5"/>
  <c r="AA18" i="5"/>
  <c r="AB18" i="5"/>
  <c r="AC18" i="5"/>
  <c r="AD18" i="5"/>
  <c r="AE18" i="5"/>
  <c r="AF18" i="5"/>
  <c r="E19" i="5"/>
  <c r="F19" i="5"/>
  <c r="G19" i="5"/>
  <c r="I19" i="5"/>
  <c r="J19" i="5"/>
  <c r="K19" i="5"/>
  <c r="L19" i="5"/>
  <c r="M19" i="5"/>
  <c r="N19" i="5"/>
  <c r="O19" i="5"/>
  <c r="P19" i="5"/>
  <c r="Q19" i="5"/>
  <c r="R19" i="5"/>
  <c r="S19" i="5"/>
  <c r="T19" i="5"/>
  <c r="U19" i="5"/>
  <c r="V19" i="5"/>
  <c r="W19" i="5"/>
  <c r="X19" i="5"/>
  <c r="Y19" i="5"/>
  <c r="Z19" i="5"/>
  <c r="AA19" i="5"/>
  <c r="AB19" i="5"/>
  <c r="AC19" i="5"/>
  <c r="AD19" i="5"/>
  <c r="AE19" i="5"/>
  <c r="AF19" i="5"/>
  <c r="E20" i="5"/>
  <c r="F20" i="5"/>
  <c r="G20" i="5"/>
  <c r="I20" i="5"/>
  <c r="J20" i="5"/>
  <c r="K20" i="5"/>
  <c r="L20" i="5"/>
  <c r="M20" i="5"/>
  <c r="N20" i="5"/>
  <c r="O20" i="5"/>
  <c r="P20" i="5"/>
  <c r="Q20" i="5"/>
  <c r="R20" i="5"/>
  <c r="S20" i="5"/>
  <c r="T20" i="5"/>
  <c r="U20" i="5"/>
  <c r="V20" i="5"/>
  <c r="W20" i="5"/>
  <c r="X20" i="5"/>
  <c r="Y20" i="5"/>
  <c r="Z20" i="5"/>
  <c r="AA20" i="5"/>
  <c r="AB20" i="5"/>
  <c r="AC20" i="5"/>
  <c r="AD20" i="5"/>
  <c r="AE20" i="5"/>
  <c r="AF20" i="5"/>
  <c r="E21" i="5"/>
  <c r="F21" i="5"/>
  <c r="G21" i="5"/>
  <c r="I21" i="5"/>
  <c r="J21" i="5"/>
  <c r="K21" i="5"/>
  <c r="L21" i="5"/>
  <c r="M21" i="5"/>
  <c r="N21" i="5"/>
  <c r="O21" i="5"/>
  <c r="P21" i="5"/>
  <c r="Q21" i="5"/>
  <c r="R21" i="5"/>
  <c r="S21" i="5"/>
  <c r="T21" i="5"/>
  <c r="U21" i="5"/>
  <c r="V21" i="5"/>
  <c r="W21" i="5"/>
  <c r="X21" i="5"/>
  <c r="Y21" i="5"/>
  <c r="Z21" i="5"/>
  <c r="AA21" i="5"/>
  <c r="AB21" i="5"/>
  <c r="AC21" i="5"/>
  <c r="AD21" i="5"/>
  <c r="AE21" i="5"/>
  <c r="AF21" i="5"/>
  <c r="E22" i="5"/>
  <c r="F22" i="5"/>
  <c r="G22" i="5"/>
  <c r="I22" i="5"/>
  <c r="J22" i="5"/>
  <c r="K22" i="5"/>
  <c r="L22" i="5"/>
  <c r="M22" i="5"/>
  <c r="N22" i="5"/>
  <c r="O22" i="5"/>
  <c r="P22" i="5"/>
  <c r="Q22" i="5"/>
  <c r="R22" i="5"/>
  <c r="S22" i="5"/>
  <c r="T22" i="5"/>
  <c r="U22" i="5"/>
  <c r="V22" i="5"/>
  <c r="W22" i="5"/>
  <c r="X22" i="5"/>
  <c r="Y22" i="5"/>
  <c r="Z22" i="5"/>
  <c r="AA22" i="5"/>
  <c r="AB22" i="5"/>
  <c r="AC22" i="5"/>
  <c r="AD22" i="5"/>
  <c r="AE22" i="5"/>
  <c r="AF22" i="5"/>
  <c r="E23" i="5"/>
  <c r="F23" i="5"/>
  <c r="G23" i="5"/>
  <c r="I23" i="5"/>
  <c r="J23" i="5"/>
  <c r="K23" i="5"/>
  <c r="L23" i="5"/>
  <c r="M23" i="5"/>
  <c r="N23" i="5"/>
  <c r="O23" i="5"/>
  <c r="P23" i="5"/>
  <c r="Q23" i="5"/>
  <c r="R23" i="5"/>
  <c r="S23" i="5"/>
  <c r="T23" i="5"/>
  <c r="U23" i="5"/>
  <c r="V23" i="5"/>
  <c r="W23" i="5"/>
  <c r="X23" i="5"/>
  <c r="Y23" i="5"/>
  <c r="Z23" i="5"/>
  <c r="AA23" i="5"/>
  <c r="AB23" i="5"/>
  <c r="AC23" i="5"/>
  <c r="AD23" i="5"/>
  <c r="AE23" i="5"/>
  <c r="AF23" i="5"/>
  <c r="E24" i="5"/>
  <c r="F24" i="5"/>
  <c r="G24" i="5"/>
  <c r="I24" i="5"/>
  <c r="J24" i="5"/>
  <c r="K24" i="5"/>
  <c r="L24" i="5"/>
  <c r="M24" i="5"/>
  <c r="N24" i="5"/>
  <c r="O24" i="5"/>
  <c r="P24" i="5"/>
  <c r="Q24" i="5"/>
  <c r="R24" i="5"/>
  <c r="S24" i="5"/>
  <c r="T24" i="5"/>
  <c r="U24" i="5"/>
  <c r="V24" i="5"/>
  <c r="W24" i="5"/>
  <c r="X24" i="5"/>
  <c r="Y24" i="5"/>
  <c r="Z24" i="5"/>
  <c r="AA24" i="5"/>
  <c r="AB24" i="5"/>
  <c r="AC24" i="5"/>
  <c r="AD24" i="5"/>
  <c r="AE24" i="5"/>
  <c r="AF24" i="5"/>
  <c r="E25" i="5"/>
  <c r="F25" i="5"/>
  <c r="G25" i="5"/>
  <c r="I25" i="5"/>
  <c r="J25" i="5"/>
  <c r="K25" i="5"/>
  <c r="L25" i="5"/>
  <c r="M25" i="5"/>
  <c r="N25" i="5"/>
  <c r="O25" i="5"/>
  <c r="P25" i="5"/>
  <c r="Q25" i="5"/>
  <c r="R25" i="5"/>
  <c r="S25" i="5"/>
  <c r="T25" i="5"/>
  <c r="U25" i="5"/>
  <c r="V25" i="5"/>
  <c r="W25" i="5"/>
  <c r="X25" i="5"/>
  <c r="Y25" i="5"/>
  <c r="Z25" i="5"/>
  <c r="AA25" i="5"/>
  <c r="AB25" i="5"/>
  <c r="AC25" i="5"/>
  <c r="AD25" i="5"/>
  <c r="AE25" i="5"/>
  <c r="AF25" i="5"/>
  <c r="E26" i="5"/>
  <c r="F26" i="5"/>
  <c r="G26" i="5"/>
  <c r="I26" i="5"/>
  <c r="J26" i="5"/>
  <c r="K26" i="5"/>
  <c r="L26" i="5"/>
  <c r="M26" i="5"/>
  <c r="N26" i="5"/>
  <c r="O26" i="5"/>
  <c r="P26" i="5"/>
  <c r="Q26" i="5"/>
  <c r="R26" i="5"/>
  <c r="S26" i="5"/>
  <c r="T26" i="5"/>
  <c r="U26" i="5"/>
  <c r="V26" i="5"/>
  <c r="W26" i="5"/>
  <c r="X26" i="5"/>
  <c r="Y26" i="5"/>
  <c r="Z26" i="5"/>
  <c r="AA26" i="5"/>
  <c r="AB26" i="5"/>
  <c r="AC26" i="5"/>
  <c r="AD26" i="5"/>
  <c r="AE26" i="5"/>
  <c r="AF26" i="5"/>
  <c r="E27" i="5"/>
  <c r="F27" i="5"/>
  <c r="G27" i="5"/>
  <c r="I27" i="5"/>
  <c r="J27" i="5"/>
  <c r="K27" i="5"/>
  <c r="L27" i="5"/>
  <c r="M27" i="5"/>
  <c r="N27" i="5"/>
  <c r="O27" i="5"/>
  <c r="P27" i="5"/>
  <c r="Q27" i="5"/>
  <c r="R27" i="5"/>
  <c r="S27" i="5"/>
  <c r="T27" i="5"/>
  <c r="U27" i="5"/>
  <c r="V27" i="5"/>
  <c r="W27" i="5"/>
  <c r="X27" i="5"/>
  <c r="Y27" i="5"/>
  <c r="Z27" i="5"/>
  <c r="AA27" i="5"/>
  <c r="AB27" i="5"/>
  <c r="AC27" i="5"/>
  <c r="AD27" i="5"/>
  <c r="AE27" i="5"/>
  <c r="AF27" i="5"/>
  <c r="E28" i="5"/>
  <c r="F28" i="5"/>
  <c r="G28" i="5"/>
  <c r="I28" i="5"/>
  <c r="J28" i="5"/>
  <c r="K28" i="5"/>
  <c r="L28" i="5"/>
  <c r="M28" i="5"/>
  <c r="N28" i="5"/>
  <c r="O28" i="5"/>
  <c r="P28" i="5"/>
  <c r="Q28" i="5"/>
  <c r="R28" i="5"/>
  <c r="S28" i="5"/>
  <c r="T28" i="5"/>
  <c r="U28" i="5"/>
  <c r="V28" i="5"/>
  <c r="W28" i="5"/>
  <c r="X28" i="5"/>
  <c r="Y28" i="5"/>
  <c r="Z28" i="5"/>
  <c r="AA28" i="5"/>
  <c r="AB28" i="5"/>
  <c r="AC28" i="5"/>
  <c r="AD28" i="5"/>
  <c r="AE28" i="5"/>
  <c r="AF28" i="5"/>
  <c r="E29" i="5"/>
  <c r="F29" i="5"/>
  <c r="G29" i="5"/>
  <c r="I29" i="5"/>
  <c r="J29" i="5"/>
  <c r="K29" i="5"/>
  <c r="L29" i="5"/>
  <c r="M29" i="5"/>
  <c r="N29" i="5"/>
  <c r="O29" i="5"/>
  <c r="P29" i="5"/>
  <c r="Q29" i="5"/>
  <c r="R29" i="5"/>
  <c r="S29" i="5"/>
  <c r="T29" i="5"/>
  <c r="U29" i="5"/>
  <c r="V29" i="5"/>
  <c r="W29" i="5"/>
  <c r="X29" i="5"/>
  <c r="Y29" i="5"/>
  <c r="Z29" i="5"/>
  <c r="AA29" i="5"/>
  <c r="AB29" i="5"/>
  <c r="AC29" i="5"/>
  <c r="AD29" i="5"/>
  <c r="AE29" i="5"/>
  <c r="AF29" i="5"/>
  <c r="E30" i="5"/>
  <c r="F30" i="5"/>
  <c r="G30" i="5"/>
  <c r="I30" i="5"/>
  <c r="J30" i="5"/>
  <c r="K30" i="5"/>
  <c r="L30" i="5"/>
  <c r="M30" i="5"/>
  <c r="N30" i="5"/>
  <c r="O30" i="5"/>
  <c r="P30" i="5"/>
  <c r="Q30" i="5"/>
  <c r="R30" i="5"/>
  <c r="S30" i="5"/>
  <c r="T30" i="5"/>
  <c r="U30" i="5"/>
  <c r="V30" i="5"/>
  <c r="W30" i="5"/>
  <c r="X30" i="5"/>
  <c r="Y30" i="5"/>
  <c r="Z30" i="5"/>
  <c r="AA30" i="5"/>
  <c r="AB30" i="5"/>
  <c r="AC30" i="5"/>
  <c r="AD30" i="5"/>
  <c r="AE30" i="5"/>
  <c r="AF30" i="5"/>
  <c r="E31" i="5"/>
  <c r="F31" i="5"/>
  <c r="G31" i="5"/>
  <c r="I31" i="5"/>
  <c r="J31" i="5"/>
  <c r="K31" i="5"/>
  <c r="L31" i="5"/>
  <c r="M31" i="5"/>
  <c r="N31" i="5"/>
  <c r="O31" i="5"/>
  <c r="P31" i="5"/>
  <c r="Q31" i="5"/>
  <c r="R31" i="5"/>
  <c r="S31" i="5"/>
  <c r="T31" i="5"/>
  <c r="U31" i="5"/>
  <c r="V31" i="5"/>
  <c r="W31" i="5"/>
  <c r="X31" i="5"/>
  <c r="Y31" i="5"/>
  <c r="Z31" i="5"/>
  <c r="AA31" i="5"/>
  <c r="AB31" i="5"/>
  <c r="AC31" i="5"/>
  <c r="AD31" i="5"/>
  <c r="AE31" i="5"/>
  <c r="AF31" i="5"/>
  <c r="E32" i="5"/>
  <c r="F32" i="5"/>
  <c r="G32" i="5"/>
  <c r="I32" i="5"/>
  <c r="J32" i="5"/>
  <c r="K32" i="5"/>
  <c r="L32" i="5"/>
  <c r="M32" i="5"/>
  <c r="N32" i="5"/>
  <c r="O32" i="5"/>
  <c r="P32" i="5"/>
  <c r="Q32" i="5"/>
  <c r="R32" i="5"/>
  <c r="S32" i="5"/>
  <c r="T32" i="5"/>
  <c r="U32" i="5"/>
  <c r="V32" i="5"/>
  <c r="W32" i="5"/>
  <c r="X32" i="5"/>
  <c r="Y32" i="5"/>
  <c r="Z32" i="5"/>
  <c r="AA32" i="5"/>
  <c r="AB32" i="5"/>
  <c r="AC32" i="5"/>
  <c r="AD32" i="5"/>
  <c r="AE32" i="5"/>
  <c r="AF32" i="5"/>
  <c r="E33" i="5"/>
  <c r="F33" i="5"/>
  <c r="G33" i="5"/>
  <c r="I33" i="5"/>
  <c r="J33" i="5"/>
  <c r="K33" i="5"/>
  <c r="L33" i="5"/>
  <c r="M33" i="5"/>
  <c r="N33" i="5"/>
  <c r="O33" i="5"/>
  <c r="P33" i="5"/>
  <c r="Q33" i="5"/>
  <c r="R33" i="5"/>
  <c r="S33" i="5"/>
  <c r="T33" i="5"/>
  <c r="U33" i="5"/>
  <c r="V33" i="5"/>
  <c r="W33" i="5"/>
  <c r="X33" i="5"/>
  <c r="Y33" i="5"/>
  <c r="Z33" i="5"/>
  <c r="AA33" i="5"/>
  <c r="AB33" i="5"/>
  <c r="AC33" i="5"/>
  <c r="AD33" i="5"/>
  <c r="AE33" i="5"/>
  <c r="AF33" i="5"/>
  <c r="E34" i="5"/>
  <c r="F34" i="5"/>
  <c r="G34" i="5"/>
  <c r="I34" i="5"/>
  <c r="J34" i="5"/>
  <c r="K34" i="5"/>
  <c r="L34" i="5"/>
  <c r="M34" i="5"/>
  <c r="N34" i="5"/>
  <c r="O34" i="5"/>
  <c r="P34" i="5"/>
  <c r="Q34" i="5"/>
  <c r="R34" i="5"/>
  <c r="S34" i="5"/>
  <c r="T34" i="5"/>
  <c r="U34" i="5"/>
  <c r="V34" i="5"/>
  <c r="W34" i="5"/>
  <c r="X34" i="5"/>
  <c r="Y34" i="5"/>
  <c r="Z34" i="5"/>
  <c r="AA34" i="5"/>
  <c r="AB34" i="5"/>
  <c r="AC34" i="5"/>
  <c r="AD34" i="5"/>
  <c r="AE34" i="5"/>
  <c r="AF34" i="5"/>
  <c r="E35" i="5"/>
  <c r="F35" i="5"/>
  <c r="G35" i="5"/>
  <c r="I35" i="5"/>
  <c r="J35" i="5"/>
  <c r="K35" i="5"/>
  <c r="L35" i="5"/>
  <c r="M35" i="5"/>
  <c r="N35" i="5"/>
  <c r="O35" i="5"/>
  <c r="P35" i="5"/>
  <c r="Q35" i="5"/>
  <c r="R35" i="5"/>
  <c r="S35" i="5"/>
  <c r="T35" i="5"/>
  <c r="U35" i="5"/>
  <c r="V35" i="5"/>
  <c r="W35" i="5"/>
  <c r="X35" i="5"/>
  <c r="Y35" i="5"/>
  <c r="Z35" i="5"/>
  <c r="AA35" i="5"/>
  <c r="AB35" i="5"/>
  <c r="AC35" i="5"/>
  <c r="AD35" i="5"/>
  <c r="AE35" i="5"/>
  <c r="AF35" i="5"/>
  <c r="E36" i="5"/>
  <c r="F36" i="5"/>
  <c r="G36" i="5"/>
  <c r="I36" i="5"/>
  <c r="J36" i="5"/>
  <c r="K36" i="5"/>
  <c r="L36" i="5"/>
  <c r="M36" i="5"/>
  <c r="N36" i="5"/>
  <c r="O36" i="5"/>
  <c r="P36" i="5"/>
  <c r="Q36" i="5"/>
  <c r="R36" i="5"/>
  <c r="S36" i="5"/>
  <c r="T36" i="5"/>
  <c r="U36" i="5"/>
  <c r="V36" i="5"/>
  <c r="W36" i="5"/>
  <c r="X36" i="5"/>
  <c r="Y36" i="5"/>
  <c r="Z36" i="5"/>
  <c r="AA36" i="5"/>
  <c r="AB36" i="5"/>
  <c r="AC36" i="5"/>
  <c r="AD36" i="5"/>
  <c r="AE36" i="5"/>
  <c r="AF36" i="5"/>
  <c r="E37" i="5"/>
  <c r="F37" i="5"/>
  <c r="G37" i="5"/>
  <c r="I37" i="5"/>
  <c r="J37" i="5"/>
  <c r="K37" i="5"/>
  <c r="L37" i="5"/>
  <c r="M37" i="5"/>
  <c r="N37" i="5"/>
  <c r="O37" i="5"/>
  <c r="P37" i="5"/>
  <c r="Q37" i="5"/>
  <c r="R37" i="5"/>
  <c r="S37" i="5"/>
  <c r="T37" i="5"/>
  <c r="U37" i="5"/>
  <c r="V37" i="5"/>
  <c r="W37" i="5"/>
  <c r="X37" i="5"/>
  <c r="Y37" i="5"/>
  <c r="Z37" i="5"/>
  <c r="AA37" i="5"/>
  <c r="AB37" i="5"/>
  <c r="AC37" i="5"/>
  <c r="AD37" i="5"/>
  <c r="AE37" i="5"/>
  <c r="AF37" i="5"/>
  <c r="E38" i="5"/>
  <c r="F38" i="5"/>
  <c r="G38" i="5"/>
  <c r="I38" i="5"/>
  <c r="J38" i="5"/>
  <c r="K38" i="5"/>
  <c r="L38" i="5"/>
  <c r="M38" i="5"/>
  <c r="N38" i="5"/>
  <c r="O38" i="5"/>
  <c r="P38" i="5"/>
  <c r="Q38" i="5"/>
  <c r="R38" i="5"/>
  <c r="S38" i="5"/>
  <c r="T38" i="5"/>
  <c r="U38" i="5"/>
  <c r="V38" i="5"/>
  <c r="W38" i="5"/>
  <c r="X38" i="5"/>
  <c r="Y38" i="5"/>
  <c r="Z38" i="5"/>
  <c r="AA38" i="5"/>
  <c r="AB38" i="5"/>
  <c r="AC38" i="5"/>
  <c r="AD38" i="5"/>
  <c r="AE38" i="5"/>
  <c r="AF38" i="5"/>
  <c r="E39" i="5"/>
  <c r="F39" i="5"/>
  <c r="G39" i="5"/>
  <c r="I39" i="5"/>
  <c r="J39" i="5"/>
  <c r="K39" i="5"/>
  <c r="L39" i="5"/>
  <c r="M39" i="5"/>
  <c r="N39" i="5"/>
  <c r="O39" i="5"/>
  <c r="P39" i="5"/>
  <c r="Q39" i="5"/>
  <c r="R39" i="5"/>
  <c r="S39" i="5"/>
  <c r="T39" i="5"/>
  <c r="U39" i="5"/>
  <c r="V39" i="5"/>
  <c r="W39" i="5"/>
  <c r="X39" i="5"/>
  <c r="Y39" i="5"/>
  <c r="Z39" i="5"/>
  <c r="AA39" i="5"/>
  <c r="AB39" i="5"/>
  <c r="AC39" i="5"/>
  <c r="AD39" i="5"/>
  <c r="AE39" i="5"/>
  <c r="AF39" i="5"/>
  <c r="E40" i="5"/>
  <c r="F40" i="5"/>
  <c r="G40" i="5"/>
  <c r="I40" i="5"/>
  <c r="J40" i="5"/>
  <c r="K40" i="5"/>
  <c r="L40" i="5"/>
  <c r="M40" i="5"/>
  <c r="N40" i="5"/>
  <c r="O40" i="5"/>
  <c r="P40" i="5"/>
  <c r="Q40" i="5"/>
  <c r="R40" i="5"/>
  <c r="S40" i="5"/>
  <c r="T40" i="5"/>
  <c r="U40" i="5"/>
  <c r="V40" i="5"/>
  <c r="W40" i="5"/>
  <c r="X40" i="5"/>
  <c r="Y40" i="5"/>
  <c r="Z40" i="5"/>
  <c r="AA40" i="5"/>
  <c r="AB40" i="5"/>
  <c r="AC40" i="5"/>
  <c r="AD40" i="5"/>
  <c r="AE40" i="5"/>
  <c r="AF40" i="5"/>
  <c r="E41" i="5"/>
  <c r="F41" i="5"/>
  <c r="G41" i="5"/>
  <c r="I41" i="5"/>
  <c r="J41" i="5"/>
  <c r="K41" i="5"/>
  <c r="L41" i="5"/>
  <c r="M41" i="5"/>
  <c r="N41" i="5"/>
  <c r="O41" i="5"/>
  <c r="P41" i="5"/>
  <c r="Q41" i="5"/>
  <c r="R41" i="5"/>
  <c r="S41" i="5"/>
  <c r="T41" i="5"/>
  <c r="U41" i="5"/>
  <c r="V41" i="5"/>
  <c r="W41" i="5"/>
  <c r="X41" i="5"/>
  <c r="Y41" i="5"/>
  <c r="Z41" i="5"/>
  <c r="AA41" i="5"/>
  <c r="AB41" i="5"/>
  <c r="AC41" i="5"/>
  <c r="AD41" i="5"/>
  <c r="AE41" i="5"/>
  <c r="AF41" i="5"/>
  <c r="E42" i="5"/>
  <c r="F42" i="5"/>
  <c r="G42" i="5"/>
  <c r="I42" i="5"/>
  <c r="J42" i="5"/>
  <c r="K42" i="5"/>
  <c r="L42" i="5"/>
  <c r="M42" i="5"/>
  <c r="N42" i="5"/>
  <c r="O42" i="5"/>
  <c r="P42" i="5"/>
  <c r="Q42" i="5"/>
  <c r="R42" i="5"/>
  <c r="S42" i="5"/>
  <c r="T42" i="5"/>
  <c r="U42" i="5"/>
  <c r="V42" i="5"/>
  <c r="W42" i="5"/>
  <c r="X42" i="5"/>
  <c r="Y42" i="5"/>
  <c r="Z42" i="5"/>
  <c r="AA42" i="5"/>
  <c r="AB42" i="5"/>
  <c r="AC42" i="5"/>
  <c r="AD42" i="5"/>
  <c r="AE42" i="5"/>
  <c r="AF42" i="5"/>
  <c r="E43" i="5"/>
  <c r="F43" i="5"/>
  <c r="G43" i="5"/>
  <c r="I43" i="5"/>
  <c r="J43" i="5"/>
  <c r="K43" i="5"/>
  <c r="L43" i="5"/>
  <c r="M43" i="5"/>
  <c r="N43" i="5"/>
  <c r="O43" i="5"/>
  <c r="P43" i="5"/>
  <c r="Q43" i="5"/>
  <c r="R43" i="5"/>
  <c r="S43" i="5"/>
  <c r="T43" i="5"/>
  <c r="U43" i="5"/>
  <c r="V43" i="5"/>
  <c r="W43" i="5"/>
  <c r="X43" i="5"/>
  <c r="Y43" i="5"/>
  <c r="Z43" i="5"/>
  <c r="AA43" i="5"/>
  <c r="AB43" i="5"/>
  <c r="AC43" i="5"/>
  <c r="AD43" i="5"/>
  <c r="AE43" i="5"/>
  <c r="AF43" i="5"/>
  <c r="E44" i="5"/>
  <c r="F44" i="5"/>
  <c r="G44" i="5"/>
  <c r="I44" i="5"/>
  <c r="J44" i="5"/>
  <c r="K44" i="5"/>
  <c r="L44" i="5"/>
  <c r="M44" i="5"/>
  <c r="N44" i="5"/>
  <c r="O44" i="5"/>
  <c r="P44" i="5"/>
  <c r="Q44" i="5"/>
  <c r="R44" i="5"/>
  <c r="S44" i="5"/>
  <c r="T44" i="5"/>
  <c r="U44" i="5"/>
  <c r="V44" i="5"/>
  <c r="W44" i="5"/>
  <c r="X44" i="5"/>
  <c r="Y44" i="5"/>
  <c r="Z44" i="5"/>
  <c r="AA44" i="5"/>
  <c r="AB44" i="5"/>
  <c r="AC44" i="5"/>
  <c r="AD44" i="5"/>
  <c r="AE44" i="5"/>
  <c r="AF44" i="5"/>
  <c r="E45" i="5"/>
  <c r="F45" i="5"/>
  <c r="G45" i="5"/>
  <c r="I45" i="5"/>
  <c r="J45" i="5"/>
  <c r="K45" i="5"/>
  <c r="L45" i="5"/>
  <c r="M45" i="5"/>
  <c r="N45" i="5"/>
  <c r="O45" i="5"/>
  <c r="P45" i="5"/>
  <c r="Q45" i="5"/>
  <c r="R45" i="5"/>
  <c r="S45" i="5"/>
  <c r="T45" i="5"/>
  <c r="U45" i="5"/>
  <c r="V45" i="5"/>
  <c r="W45" i="5"/>
  <c r="X45" i="5"/>
  <c r="Y45" i="5"/>
  <c r="Z45" i="5"/>
  <c r="AA45" i="5"/>
  <c r="AB45" i="5"/>
  <c r="AC45" i="5"/>
  <c r="AD45" i="5"/>
  <c r="AE45" i="5"/>
  <c r="AF45" i="5"/>
  <c r="E46" i="5"/>
  <c r="F46" i="5"/>
  <c r="G46" i="5"/>
  <c r="I46" i="5"/>
  <c r="J46" i="5"/>
  <c r="K46" i="5"/>
  <c r="L46" i="5"/>
  <c r="M46" i="5"/>
  <c r="N46" i="5"/>
  <c r="O46" i="5"/>
  <c r="P46" i="5"/>
  <c r="Q46" i="5"/>
  <c r="R46" i="5"/>
  <c r="S46" i="5"/>
  <c r="T46" i="5"/>
  <c r="U46" i="5"/>
  <c r="V46" i="5"/>
  <c r="W46" i="5"/>
  <c r="X46" i="5"/>
  <c r="Y46" i="5"/>
  <c r="Z46" i="5"/>
  <c r="AA46" i="5"/>
  <c r="AB46" i="5"/>
  <c r="AC46" i="5"/>
  <c r="AD46" i="5"/>
  <c r="AE46" i="5"/>
  <c r="AF46" i="5"/>
  <c r="E47" i="5"/>
  <c r="F47" i="5"/>
  <c r="G47" i="5"/>
  <c r="I47" i="5"/>
  <c r="J47" i="5"/>
  <c r="K47" i="5"/>
  <c r="L47" i="5"/>
  <c r="M47" i="5"/>
  <c r="N47" i="5"/>
  <c r="O47" i="5"/>
  <c r="P47" i="5"/>
  <c r="Q47" i="5"/>
  <c r="R47" i="5"/>
  <c r="S47" i="5"/>
  <c r="T47" i="5"/>
  <c r="U47" i="5"/>
  <c r="V47" i="5"/>
  <c r="W47" i="5"/>
  <c r="X47" i="5"/>
  <c r="Y47" i="5"/>
  <c r="Z47" i="5"/>
  <c r="AA47" i="5"/>
  <c r="AB47" i="5"/>
  <c r="AC47" i="5"/>
  <c r="AD47" i="5"/>
  <c r="AE47" i="5"/>
  <c r="AF47" i="5"/>
  <c r="E48" i="5"/>
  <c r="F48" i="5"/>
  <c r="G48" i="5"/>
  <c r="I48" i="5"/>
  <c r="J48" i="5"/>
  <c r="K48" i="5"/>
  <c r="L48" i="5"/>
  <c r="M48" i="5"/>
  <c r="N48" i="5"/>
  <c r="O48" i="5"/>
  <c r="P48" i="5"/>
  <c r="Q48" i="5"/>
  <c r="R48" i="5"/>
  <c r="S48" i="5"/>
  <c r="T48" i="5"/>
  <c r="U48" i="5"/>
  <c r="V48" i="5"/>
  <c r="W48" i="5"/>
  <c r="X48" i="5"/>
  <c r="Y48" i="5"/>
  <c r="Z48" i="5"/>
  <c r="AA48" i="5"/>
  <c r="AB48" i="5"/>
  <c r="AC48" i="5"/>
  <c r="AD48" i="5"/>
  <c r="AE48" i="5"/>
  <c r="AF48" i="5"/>
  <c r="E49" i="5"/>
  <c r="F49" i="5"/>
  <c r="G49" i="5"/>
  <c r="I49" i="5"/>
  <c r="J49" i="5"/>
  <c r="K49" i="5"/>
  <c r="L49" i="5"/>
  <c r="M49" i="5"/>
  <c r="N49" i="5"/>
  <c r="O49" i="5"/>
  <c r="P49" i="5"/>
  <c r="Q49" i="5"/>
  <c r="R49" i="5"/>
  <c r="S49" i="5"/>
  <c r="T49" i="5"/>
  <c r="U49" i="5"/>
  <c r="V49" i="5"/>
  <c r="W49" i="5"/>
  <c r="X49" i="5"/>
  <c r="Y49" i="5"/>
  <c r="Z49" i="5"/>
  <c r="AA49" i="5"/>
  <c r="AB49" i="5"/>
  <c r="AC49" i="5"/>
  <c r="AD49" i="5"/>
  <c r="AE49" i="5"/>
  <c r="AF49" i="5"/>
  <c r="E50" i="5"/>
  <c r="F50" i="5"/>
  <c r="G50" i="5"/>
  <c r="I50" i="5"/>
  <c r="J50" i="5"/>
  <c r="K50" i="5"/>
  <c r="L50" i="5"/>
  <c r="M50" i="5"/>
  <c r="N50" i="5"/>
  <c r="O50" i="5"/>
  <c r="P50" i="5"/>
  <c r="Q50" i="5"/>
  <c r="R50" i="5"/>
  <c r="S50" i="5"/>
  <c r="T50" i="5"/>
  <c r="U50" i="5"/>
  <c r="V50" i="5"/>
  <c r="W50" i="5"/>
  <c r="X50" i="5"/>
  <c r="Y50" i="5"/>
  <c r="Z50" i="5"/>
  <c r="AA50" i="5"/>
  <c r="AB50" i="5"/>
  <c r="AC50" i="5"/>
  <c r="AD50" i="5"/>
  <c r="AE50" i="5"/>
  <c r="AF50" i="5"/>
  <c r="E51" i="5"/>
  <c r="F51" i="5"/>
  <c r="G51" i="5"/>
  <c r="I51" i="5"/>
  <c r="J51" i="5"/>
  <c r="K51" i="5"/>
  <c r="L51" i="5"/>
  <c r="M51" i="5"/>
  <c r="N51" i="5"/>
  <c r="O51" i="5"/>
  <c r="P51" i="5"/>
  <c r="Q51" i="5"/>
  <c r="R51" i="5"/>
  <c r="S51" i="5"/>
  <c r="T51" i="5"/>
  <c r="U51" i="5"/>
  <c r="V51" i="5"/>
  <c r="W51" i="5"/>
  <c r="X51" i="5"/>
  <c r="Y51" i="5"/>
  <c r="Z51" i="5"/>
  <c r="AA51" i="5"/>
  <c r="AB51" i="5"/>
  <c r="AC51" i="5"/>
  <c r="AD51" i="5"/>
  <c r="AE51" i="5"/>
  <c r="AF51" i="5"/>
  <c r="E52" i="5"/>
  <c r="F52" i="5"/>
  <c r="G52" i="5"/>
  <c r="I52" i="5"/>
  <c r="J52" i="5"/>
  <c r="K52" i="5"/>
  <c r="L52" i="5"/>
  <c r="M52" i="5"/>
  <c r="N52" i="5"/>
  <c r="O52" i="5"/>
  <c r="P52" i="5"/>
  <c r="Q52" i="5"/>
  <c r="R52" i="5"/>
  <c r="S52" i="5"/>
  <c r="T52" i="5"/>
  <c r="U52" i="5"/>
  <c r="V52" i="5"/>
  <c r="W52" i="5"/>
  <c r="X52" i="5"/>
  <c r="Y52" i="5"/>
  <c r="Z52" i="5"/>
  <c r="AA52" i="5"/>
  <c r="AB52" i="5"/>
  <c r="AC52" i="5"/>
  <c r="AD52" i="5"/>
  <c r="AE52" i="5"/>
  <c r="AF52" i="5"/>
  <c r="E53" i="5"/>
  <c r="F53" i="5"/>
  <c r="G53" i="5"/>
  <c r="I53" i="5"/>
  <c r="J53" i="5"/>
  <c r="K53" i="5"/>
  <c r="L53" i="5"/>
  <c r="M53" i="5"/>
  <c r="N53" i="5"/>
  <c r="O53" i="5"/>
  <c r="P53" i="5"/>
  <c r="Q53" i="5"/>
  <c r="R53" i="5"/>
  <c r="S53" i="5"/>
  <c r="T53" i="5"/>
  <c r="U53" i="5"/>
  <c r="V53" i="5"/>
  <c r="W53" i="5"/>
  <c r="X53" i="5"/>
  <c r="Y53" i="5"/>
  <c r="Z53" i="5"/>
  <c r="AA53" i="5"/>
  <c r="AB53" i="5"/>
  <c r="AC53" i="5"/>
  <c r="AD53" i="5"/>
  <c r="AE53" i="5"/>
  <c r="AF53" i="5"/>
  <c r="E54" i="5"/>
  <c r="F54" i="5"/>
  <c r="G54" i="5"/>
  <c r="I54" i="5"/>
  <c r="J54" i="5"/>
  <c r="K54" i="5"/>
  <c r="L54" i="5"/>
  <c r="M54" i="5"/>
  <c r="N54" i="5"/>
  <c r="O54" i="5"/>
  <c r="P54" i="5"/>
  <c r="Q54" i="5"/>
  <c r="R54" i="5"/>
  <c r="S54" i="5"/>
  <c r="T54" i="5"/>
  <c r="U54" i="5"/>
  <c r="V54" i="5"/>
  <c r="W54" i="5"/>
  <c r="X54" i="5"/>
  <c r="Y54" i="5"/>
  <c r="Z54" i="5"/>
  <c r="AA54" i="5"/>
  <c r="AB54" i="5"/>
  <c r="AC54" i="5"/>
  <c r="AD54" i="5"/>
  <c r="AE54" i="5"/>
  <c r="AF54" i="5"/>
  <c r="E55" i="5"/>
  <c r="F55" i="5"/>
  <c r="G55" i="5"/>
  <c r="I55" i="5"/>
  <c r="J55" i="5"/>
  <c r="K55" i="5"/>
  <c r="L55" i="5"/>
  <c r="M55" i="5"/>
  <c r="N55" i="5"/>
  <c r="O55" i="5"/>
  <c r="P55" i="5"/>
  <c r="Q55" i="5"/>
  <c r="R55" i="5"/>
  <c r="S55" i="5"/>
  <c r="T55" i="5"/>
  <c r="U55" i="5"/>
  <c r="V55" i="5"/>
  <c r="W55" i="5"/>
  <c r="X55" i="5"/>
  <c r="Y55" i="5"/>
  <c r="Z55" i="5"/>
  <c r="AA55" i="5"/>
  <c r="AB55" i="5"/>
  <c r="AC55" i="5"/>
  <c r="AD55" i="5"/>
  <c r="AE55" i="5"/>
  <c r="AF55" i="5"/>
  <c r="E56" i="5"/>
  <c r="F56" i="5"/>
  <c r="G56" i="5"/>
  <c r="I56" i="5"/>
  <c r="J56" i="5"/>
  <c r="K56" i="5"/>
  <c r="L56" i="5"/>
  <c r="M56" i="5"/>
  <c r="N56" i="5"/>
  <c r="O56" i="5"/>
  <c r="P56" i="5"/>
  <c r="Q56" i="5"/>
  <c r="R56" i="5"/>
  <c r="S56" i="5"/>
  <c r="T56" i="5"/>
  <c r="U56" i="5"/>
  <c r="V56" i="5"/>
  <c r="W56" i="5"/>
  <c r="X56" i="5"/>
  <c r="Y56" i="5"/>
  <c r="Z56" i="5"/>
  <c r="AA56" i="5"/>
  <c r="AB56" i="5"/>
  <c r="AC56" i="5"/>
  <c r="AD56" i="5"/>
  <c r="AE56" i="5"/>
  <c r="AF56" i="5"/>
  <c r="E57" i="5"/>
  <c r="F57" i="5"/>
  <c r="G57" i="5"/>
  <c r="I57" i="5"/>
  <c r="J57" i="5"/>
  <c r="K57" i="5"/>
  <c r="L57" i="5"/>
  <c r="M57" i="5"/>
  <c r="N57" i="5"/>
  <c r="O57" i="5"/>
  <c r="P57" i="5"/>
  <c r="Q57" i="5"/>
  <c r="R57" i="5"/>
  <c r="S57" i="5"/>
  <c r="T57" i="5"/>
  <c r="U57" i="5"/>
  <c r="V57" i="5"/>
  <c r="W57" i="5"/>
  <c r="X57" i="5"/>
  <c r="Y57" i="5"/>
  <c r="Z57" i="5"/>
  <c r="AA57" i="5"/>
  <c r="AB57" i="5"/>
  <c r="AC57" i="5"/>
  <c r="AD57" i="5"/>
  <c r="AE57" i="5"/>
  <c r="AF57" i="5"/>
  <c r="E58" i="5"/>
  <c r="F58" i="5"/>
  <c r="G58" i="5"/>
  <c r="I58" i="5"/>
  <c r="J58" i="5"/>
  <c r="K58" i="5"/>
  <c r="L58" i="5"/>
  <c r="M58" i="5"/>
  <c r="N58" i="5"/>
  <c r="O58" i="5"/>
  <c r="P58" i="5"/>
  <c r="Q58" i="5"/>
  <c r="R58" i="5"/>
  <c r="S58" i="5"/>
  <c r="T58" i="5"/>
  <c r="U58" i="5"/>
  <c r="V58" i="5"/>
  <c r="W58" i="5"/>
  <c r="X58" i="5"/>
  <c r="Y58" i="5"/>
  <c r="Z58" i="5"/>
  <c r="AA58" i="5"/>
  <c r="AB58" i="5"/>
  <c r="AC58" i="5"/>
  <c r="AD58" i="5"/>
  <c r="AE58" i="5"/>
  <c r="AF58" i="5"/>
  <c r="E59" i="5"/>
  <c r="F59" i="5"/>
  <c r="G59" i="5"/>
  <c r="I59" i="5"/>
  <c r="J59" i="5"/>
  <c r="K59" i="5"/>
  <c r="L59" i="5"/>
  <c r="M59" i="5"/>
  <c r="N59" i="5"/>
  <c r="O59" i="5"/>
  <c r="P59" i="5"/>
  <c r="Q59" i="5"/>
  <c r="R59" i="5"/>
  <c r="S59" i="5"/>
  <c r="T59" i="5"/>
  <c r="U59" i="5"/>
  <c r="V59" i="5"/>
  <c r="W59" i="5"/>
  <c r="X59" i="5"/>
  <c r="Y59" i="5"/>
  <c r="Z59" i="5"/>
  <c r="AA59" i="5"/>
  <c r="AB59" i="5"/>
  <c r="AC59" i="5"/>
  <c r="AD59" i="5"/>
  <c r="AE59" i="5"/>
  <c r="AF59" i="5"/>
  <c r="E60" i="5"/>
  <c r="F60" i="5"/>
  <c r="G60" i="5"/>
  <c r="I60" i="5"/>
  <c r="J60" i="5"/>
  <c r="K60" i="5"/>
  <c r="L60" i="5"/>
  <c r="M60" i="5"/>
  <c r="N60" i="5"/>
  <c r="O60" i="5"/>
  <c r="P60" i="5"/>
  <c r="Q60" i="5"/>
  <c r="R60" i="5"/>
  <c r="S60" i="5"/>
  <c r="T60" i="5"/>
  <c r="U60" i="5"/>
  <c r="V60" i="5"/>
  <c r="W60" i="5"/>
  <c r="X60" i="5"/>
  <c r="Y60" i="5"/>
  <c r="Z60" i="5"/>
  <c r="AA60" i="5"/>
  <c r="AB60" i="5"/>
  <c r="AC60" i="5"/>
  <c r="AD60" i="5"/>
  <c r="AE60" i="5"/>
  <c r="AF60" i="5"/>
  <c r="E61" i="5"/>
  <c r="F61" i="5"/>
  <c r="G61" i="5"/>
  <c r="I61" i="5"/>
  <c r="J61" i="5"/>
  <c r="K61" i="5"/>
  <c r="L61" i="5"/>
  <c r="M61" i="5"/>
  <c r="N61" i="5"/>
  <c r="O61" i="5"/>
  <c r="P61" i="5"/>
  <c r="Q61" i="5"/>
  <c r="R61" i="5"/>
  <c r="S61" i="5"/>
  <c r="T61" i="5"/>
  <c r="U61" i="5"/>
  <c r="V61" i="5"/>
  <c r="W61" i="5"/>
  <c r="X61" i="5"/>
  <c r="Y61" i="5"/>
  <c r="Z61" i="5"/>
  <c r="AA61" i="5"/>
  <c r="AB61" i="5"/>
  <c r="AC61" i="5"/>
  <c r="AD61" i="5"/>
  <c r="AE61" i="5"/>
  <c r="AF61" i="5"/>
  <c r="E62" i="5"/>
  <c r="F62" i="5"/>
  <c r="G62" i="5"/>
  <c r="I62" i="5"/>
  <c r="J62" i="5"/>
  <c r="K62" i="5"/>
  <c r="L62" i="5"/>
  <c r="M62" i="5"/>
  <c r="N62" i="5"/>
  <c r="O62" i="5"/>
  <c r="P62" i="5"/>
  <c r="Q62" i="5"/>
  <c r="R62" i="5"/>
  <c r="S62" i="5"/>
  <c r="T62" i="5"/>
  <c r="U62" i="5"/>
  <c r="V62" i="5"/>
  <c r="W62" i="5"/>
  <c r="X62" i="5"/>
  <c r="Y62" i="5"/>
  <c r="Z62" i="5"/>
  <c r="AA62" i="5"/>
  <c r="AB62" i="5"/>
  <c r="AC62" i="5"/>
  <c r="AD62" i="5"/>
  <c r="AE62" i="5"/>
  <c r="AF62" i="5"/>
  <c r="E63" i="5"/>
  <c r="F63" i="5"/>
  <c r="G63" i="5"/>
  <c r="I63" i="5"/>
  <c r="J63" i="5"/>
  <c r="K63" i="5"/>
  <c r="L63" i="5"/>
  <c r="M63" i="5"/>
  <c r="N63" i="5"/>
  <c r="O63" i="5"/>
  <c r="P63" i="5"/>
  <c r="Q63" i="5"/>
  <c r="R63" i="5"/>
  <c r="S63" i="5"/>
  <c r="T63" i="5"/>
  <c r="U63" i="5"/>
  <c r="V63" i="5"/>
  <c r="W63" i="5"/>
  <c r="X63" i="5"/>
  <c r="Y63" i="5"/>
  <c r="Z63" i="5"/>
  <c r="AA63" i="5"/>
  <c r="AB63" i="5"/>
  <c r="AC63" i="5"/>
  <c r="AD63" i="5"/>
  <c r="AE63" i="5"/>
  <c r="AF63" i="5"/>
  <c r="E64" i="5"/>
  <c r="F64" i="5"/>
  <c r="G64" i="5"/>
  <c r="I64" i="5"/>
  <c r="J64" i="5"/>
  <c r="K64" i="5"/>
  <c r="L64" i="5"/>
  <c r="M64" i="5"/>
  <c r="N64" i="5"/>
  <c r="O64" i="5"/>
  <c r="P64" i="5"/>
  <c r="Q64" i="5"/>
  <c r="R64" i="5"/>
  <c r="S64" i="5"/>
  <c r="T64" i="5"/>
  <c r="U64" i="5"/>
  <c r="V64" i="5"/>
  <c r="W64" i="5"/>
  <c r="X64" i="5"/>
  <c r="Y64" i="5"/>
  <c r="Z64" i="5"/>
  <c r="AA64" i="5"/>
  <c r="AB64" i="5"/>
  <c r="AC64" i="5"/>
  <c r="AD64" i="5"/>
  <c r="AE64" i="5"/>
  <c r="AF64" i="5"/>
  <c r="E65" i="5"/>
  <c r="F65" i="5"/>
  <c r="G65" i="5"/>
  <c r="I65" i="5"/>
  <c r="J65" i="5"/>
  <c r="K65" i="5"/>
  <c r="L65" i="5"/>
  <c r="M65" i="5"/>
  <c r="N65" i="5"/>
  <c r="O65" i="5"/>
  <c r="P65" i="5"/>
  <c r="Q65" i="5"/>
  <c r="R65" i="5"/>
  <c r="S65" i="5"/>
  <c r="T65" i="5"/>
  <c r="U65" i="5"/>
  <c r="V65" i="5"/>
  <c r="W65" i="5"/>
  <c r="X65" i="5"/>
  <c r="Y65" i="5"/>
  <c r="Z65" i="5"/>
  <c r="AA65" i="5"/>
  <c r="AB65" i="5"/>
  <c r="AC65" i="5"/>
  <c r="AD65" i="5"/>
  <c r="AE65" i="5"/>
  <c r="AF65" i="5"/>
  <c r="E66" i="5"/>
  <c r="F66" i="5"/>
  <c r="G66" i="5"/>
  <c r="I66" i="5"/>
  <c r="J66" i="5"/>
  <c r="K66" i="5"/>
  <c r="L66" i="5"/>
  <c r="M66" i="5"/>
  <c r="N66" i="5"/>
  <c r="O66" i="5"/>
  <c r="P66" i="5"/>
  <c r="Q66" i="5"/>
  <c r="R66" i="5"/>
  <c r="S66" i="5"/>
  <c r="T66" i="5"/>
  <c r="U66" i="5"/>
  <c r="V66" i="5"/>
  <c r="W66" i="5"/>
  <c r="X66" i="5"/>
  <c r="Y66" i="5"/>
  <c r="Z66" i="5"/>
  <c r="AA66" i="5"/>
  <c r="AB66" i="5"/>
  <c r="AC66" i="5"/>
  <c r="AD66" i="5"/>
  <c r="AE66" i="5"/>
  <c r="AF66" i="5"/>
  <c r="E67" i="5"/>
  <c r="F67" i="5"/>
  <c r="G67" i="5"/>
  <c r="I67" i="5"/>
  <c r="J67" i="5"/>
  <c r="K67" i="5"/>
  <c r="L67" i="5"/>
  <c r="M67" i="5"/>
  <c r="N67" i="5"/>
  <c r="O67" i="5"/>
  <c r="P67" i="5"/>
  <c r="Q67" i="5"/>
  <c r="R67" i="5"/>
  <c r="S67" i="5"/>
  <c r="T67" i="5"/>
  <c r="U67" i="5"/>
  <c r="V67" i="5"/>
  <c r="W67" i="5"/>
  <c r="X67" i="5"/>
  <c r="Y67" i="5"/>
  <c r="Z67" i="5"/>
  <c r="AA67" i="5"/>
  <c r="AB67" i="5"/>
  <c r="AC67" i="5"/>
  <c r="AD67" i="5"/>
  <c r="AE67" i="5"/>
  <c r="AF67" i="5"/>
  <c r="E68" i="5"/>
  <c r="F68" i="5"/>
  <c r="G68" i="5"/>
  <c r="I68" i="5"/>
  <c r="J68" i="5"/>
  <c r="K68" i="5"/>
  <c r="L68" i="5"/>
  <c r="M68" i="5"/>
  <c r="N68" i="5"/>
  <c r="O68" i="5"/>
  <c r="P68" i="5"/>
  <c r="Q68" i="5"/>
  <c r="R68" i="5"/>
  <c r="S68" i="5"/>
  <c r="T68" i="5"/>
  <c r="U68" i="5"/>
  <c r="V68" i="5"/>
  <c r="W68" i="5"/>
  <c r="X68" i="5"/>
  <c r="Y68" i="5"/>
  <c r="Z68" i="5"/>
  <c r="AA68" i="5"/>
  <c r="AB68" i="5"/>
  <c r="AC68" i="5"/>
  <c r="AD68" i="5"/>
  <c r="AE68" i="5"/>
  <c r="AF68" i="5"/>
  <c r="E69" i="5"/>
  <c r="F69" i="5"/>
  <c r="G69" i="5"/>
  <c r="I69" i="5"/>
  <c r="J69" i="5"/>
  <c r="K69" i="5"/>
  <c r="L69" i="5"/>
  <c r="M69" i="5"/>
  <c r="N69" i="5"/>
  <c r="O69" i="5"/>
  <c r="P69" i="5"/>
  <c r="Q69" i="5"/>
  <c r="R69" i="5"/>
  <c r="S69" i="5"/>
  <c r="T69" i="5"/>
  <c r="U69" i="5"/>
  <c r="V69" i="5"/>
  <c r="W69" i="5"/>
  <c r="X69" i="5"/>
  <c r="Y69" i="5"/>
  <c r="Z69" i="5"/>
  <c r="AA69" i="5"/>
  <c r="AB69" i="5"/>
  <c r="AC69" i="5"/>
  <c r="AD69" i="5"/>
  <c r="AE69" i="5"/>
  <c r="AF69" i="5"/>
  <c r="E70" i="5"/>
  <c r="F70" i="5"/>
  <c r="G70" i="5"/>
  <c r="I70" i="5"/>
  <c r="J70" i="5"/>
  <c r="K70" i="5"/>
  <c r="L70" i="5"/>
  <c r="M70" i="5"/>
  <c r="N70" i="5"/>
  <c r="O70" i="5"/>
  <c r="P70" i="5"/>
  <c r="Q70" i="5"/>
  <c r="R70" i="5"/>
  <c r="S70" i="5"/>
  <c r="T70" i="5"/>
  <c r="U70" i="5"/>
  <c r="V70" i="5"/>
  <c r="W70" i="5"/>
  <c r="X70" i="5"/>
  <c r="Y70" i="5"/>
  <c r="Z70" i="5"/>
  <c r="AA70" i="5"/>
  <c r="AB70" i="5"/>
  <c r="AC70" i="5"/>
  <c r="AD70" i="5"/>
  <c r="AE70" i="5"/>
  <c r="AF70" i="5"/>
  <c r="E71" i="5"/>
  <c r="F71" i="5"/>
  <c r="G71" i="5"/>
  <c r="I71" i="5"/>
  <c r="J71" i="5"/>
  <c r="K71" i="5"/>
  <c r="L71" i="5"/>
  <c r="M71" i="5"/>
  <c r="N71" i="5"/>
  <c r="O71" i="5"/>
  <c r="P71" i="5"/>
  <c r="Q71" i="5"/>
  <c r="R71" i="5"/>
  <c r="S71" i="5"/>
  <c r="T71" i="5"/>
  <c r="U71" i="5"/>
  <c r="V71" i="5"/>
  <c r="W71" i="5"/>
  <c r="X71" i="5"/>
  <c r="Y71" i="5"/>
  <c r="Z71" i="5"/>
  <c r="AA71" i="5"/>
  <c r="AB71" i="5"/>
  <c r="AC71" i="5"/>
  <c r="AD71" i="5"/>
  <c r="AE71" i="5"/>
  <c r="AF71" i="5"/>
  <c r="E72" i="5"/>
  <c r="F72" i="5"/>
  <c r="G72" i="5"/>
  <c r="I72" i="5"/>
  <c r="J72" i="5"/>
  <c r="K72" i="5"/>
  <c r="L72" i="5"/>
  <c r="M72" i="5"/>
  <c r="N72" i="5"/>
  <c r="O72" i="5"/>
  <c r="P72" i="5"/>
  <c r="Q72" i="5"/>
  <c r="R72" i="5"/>
  <c r="S72" i="5"/>
  <c r="T72" i="5"/>
  <c r="U72" i="5"/>
  <c r="V72" i="5"/>
  <c r="W72" i="5"/>
  <c r="X72" i="5"/>
  <c r="Y72" i="5"/>
  <c r="Z72" i="5"/>
  <c r="AA72" i="5"/>
  <c r="AB72" i="5"/>
  <c r="AC72" i="5"/>
  <c r="AD72" i="5"/>
  <c r="AE72" i="5"/>
  <c r="AF72" i="5"/>
  <c r="E73" i="5"/>
  <c r="F73" i="5"/>
  <c r="G73" i="5"/>
  <c r="I73" i="5"/>
  <c r="J73" i="5"/>
  <c r="K73" i="5"/>
  <c r="L73" i="5"/>
  <c r="M73" i="5"/>
  <c r="N73" i="5"/>
  <c r="O73" i="5"/>
  <c r="P73" i="5"/>
  <c r="Q73" i="5"/>
  <c r="R73" i="5"/>
  <c r="S73" i="5"/>
  <c r="T73" i="5"/>
  <c r="U73" i="5"/>
  <c r="V73" i="5"/>
  <c r="W73" i="5"/>
  <c r="X73" i="5"/>
  <c r="Y73" i="5"/>
  <c r="Z73" i="5"/>
  <c r="AA73" i="5"/>
  <c r="AB73" i="5"/>
  <c r="AC73" i="5"/>
  <c r="AD73" i="5"/>
  <c r="AE73" i="5"/>
  <c r="AF73" i="5"/>
  <c r="E74" i="5"/>
  <c r="F74" i="5"/>
  <c r="G74" i="5"/>
  <c r="I74" i="5"/>
  <c r="J74" i="5"/>
  <c r="K74" i="5"/>
  <c r="L74" i="5"/>
  <c r="M74" i="5"/>
  <c r="N74" i="5"/>
  <c r="O74" i="5"/>
  <c r="P74" i="5"/>
  <c r="Q74" i="5"/>
  <c r="R74" i="5"/>
  <c r="S74" i="5"/>
  <c r="T74" i="5"/>
  <c r="U74" i="5"/>
  <c r="V74" i="5"/>
  <c r="W74" i="5"/>
  <c r="X74" i="5"/>
  <c r="Y74" i="5"/>
  <c r="Z74" i="5"/>
  <c r="AA74" i="5"/>
  <c r="AB74" i="5"/>
  <c r="AC74" i="5"/>
  <c r="AD74" i="5"/>
  <c r="AE74" i="5"/>
  <c r="AF74" i="5"/>
  <c r="E75" i="5"/>
  <c r="F75" i="5"/>
  <c r="G75" i="5"/>
  <c r="I75" i="5"/>
  <c r="J75" i="5"/>
  <c r="K75" i="5"/>
  <c r="L75" i="5"/>
  <c r="M75" i="5"/>
  <c r="N75" i="5"/>
  <c r="O75" i="5"/>
  <c r="P75" i="5"/>
  <c r="Q75" i="5"/>
  <c r="R75" i="5"/>
  <c r="S75" i="5"/>
  <c r="T75" i="5"/>
  <c r="U75" i="5"/>
  <c r="V75" i="5"/>
  <c r="W75" i="5"/>
  <c r="X75" i="5"/>
  <c r="Y75" i="5"/>
  <c r="Z75" i="5"/>
  <c r="AA75" i="5"/>
  <c r="AB75" i="5"/>
  <c r="AC75" i="5"/>
  <c r="AD75" i="5"/>
  <c r="AE75" i="5"/>
  <c r="AF75" i="5"/>
  <c r="E76" i="5"/>
  <c r="F76" i="5"/>
  <c r="G76" i="5"/>
  <c r="I76" i="5"/>
  <c r="J76" i="5"/>
  <c r="K76" i="5"/>
  <c r="L76" i="5"/>
  <c r="M76" i="5"/>
  <c r="N76" i="5"/>
  <c r="O76" i="5"/>
  <c r="P76" i="5"/>
  <c r="Q76" i="5"/>
  <c r="R76" i="5"/>
  <c r="S76" i="5"/>
  <c r="T76" i="5"/>
  <c r="U76" i="5"/>
  <c r="V76" i="5"/>
  <c r="W76" i="5"/>
  <c r="X76" i="5"/>
  <c r="Y76" i="5"/>
  <c r="Z76" i="5"/>
  <c r="AA76" i="5"/>
  <c r="AB76" i="5"/>
  <c r="AC76" i="5"/>
  <c r="AD76" i="5"/>
  <c r="AE76" i="5"/>
  <c r="AF76" i="5"/>
  <c r="E77" i="5"/>
  <c r="F77" i="5"/>
  <c r="G77" i="5"/>
  <c r="I77" i="5"/>
  <c r="J77" i="5"/>
  <c r="K77" i="5"/>
  <c r="L77" i="5"/>
  <c r="M77" i="5"/>
  <c r="N77" i="5"/>
  <c r="O77" i="5"/>
  <c r="P77" i="5"/>
  <c r="Q77" i="5"/>
  <c r="R77" i="5"/>
  <c r="S77" i="5"/>
  <c r="T77" i="5"/>
  <c r="U77" i="5"/>
  <c r="V77" i="5"/>
  <c r="W77" i="5"/>
  <c r="X77" i="5"/>
  <c r="Y77" i="5"/>
  <c r="Z77" i="5"/>
  <c r="AA77" i="5"/>
  <c r="AB77" i="5"/>
  <c r="AC77" i="5"/>
  <c r="AD77" i="5"/>
  <c r="AE77" i="5"/>
  <c r="AF77" i="5"/>
  <c r="E78" i="5"/>
  <c r="F78" i="5"/>
  <c r="G78" i="5"/>
  <c r="I78" i="5"/>
  <c r="J78" i="5"/>
  <c r="K78" i="5"/>
  <c r="L78" i="5"/>
  <c r="M78" i="5"/>
  <c r="N78" i="5"/>
  <c r="O78" i="5"/>
  <c r="P78" i="5"/>
  <c r="Q78" i="5"/>
  <c r="R78" i="5"/>
  <c r="S78" i="5"/>
  <c r="T78" i="5"/>
  <c r="U78" i="5"/>
  <c r="V78" i="5"/>
  <c r="W78" i="5"/>
  <c r="X78" i="5"/>
  <c r="Y78" i="5"/>
  <c r="Z78" i="5"/>
  <c r="AA78" i="5"/>
  <c r="AB78" i="5"/>
  <c r="AC78" i="5"/>
  <c r="AD78" i="5"/>
  <c r="AE78" i="5"/>
  <c r="AF78" i="5"/>
  <c r="E79" i="5"/>
  <c r="F79" i="5"/>
  <c r="G79" i="5"/>
  <c r="I79" i="5"/>
  <c r="J79" i="5"/>
  <c r="K79" i="5"/>
  <c r="L79" i="5"/>
  <c r="M79" i="5"/>
  <c r="N79" i="5"/>
  <c r="O79" i="5"/>
  <c r="P79" i="5"/>
  <c r="Q79" i="5"/>
  <c r="R79" i="5"/>
  <c r="S79" i="5"/>
  <c r="T79" i="5"/>
  <c r="U79" i="5"/>
  <c r="V79" i="5"/>
  <c r="W79" i="5"/>
  <c r="X79" i="5"/>
  <c r="Y79" i="5"/>
  <c r="Z79" i="5"/>
  <c r="AA79" i="5"/>
  <c r="AB79" i="5"/>
  <c r="AC79" i="5"/>
  <c r="AD79" i="5"/>
  <c r="AE79" i="5"/>
  <c r="AF79" i="5"/>
  <c r="E80" i="5"/>
  <c r="F80" i="5"/>
  <c r="G80" i="5"/>
  <c r="I80" i="5"/>
  <c r="J80" i="5"/>
  <c r="K80" i="5"/>
  <c r="L80" i="5"/>
  <c r="M80" i="5"/>
  <c r="N80" i="5"/>
  <c r="O80" i="5"/>
  <c r="P80" i="5"/>
  <c r="Q80" i="5"/>
  <c r="R80" i="5"/>
  <c r="S80" i="5"/>
  <c r="T80" i="5"/>
  <c r="U80" i="5"/>
  <c r="V80" i="5"/>
  <c r="W80" i="5"/>
  <c r="X80" i="5"/>
  <c r="Y80" i="5"/>
  <c r="Z80" i="5"/>
  <c r="AA80" i="5"/>
  <c r="AB80" i="5"/>
  <c r="AC80" i="5"/>
  <c r="AD80" i="5"/>
  <c r="AE80" i="5"/>
  <c r="AF80" i="5"/>
  <c r="E81" i="5"/>
  <c r="F81" i="5"/>
  <c r="G81" i="5"/>
  <c r="I81" i="5"/>
  <c r="J81" i="5"/>
  <c r="K81" i="5"/>
  <c r="L81" i="5"/>
  <c r="M81" i="5"/>
  <c r="N81" i="5"/>
  <c r="O81" i="5"/>
  <c r="P81" i="5"/>
  <c r="Q81" i="5"/>
  <c r="R81" i="5"/>
  <c r="S81" i="5"/>
  <c r="T81" i="5"/>
  <c r="U81" i="5"/>
  <c r="V81" i="5"/>
  <c r="W81" i="5"/>
  <c r="X81" i="5"/>
  <c r="Y81" i="5"/>
  <c r="Z81" i="5"/>
  <c r="AA81" i="5"/>
  <c r="AB81" i="5"/>
  <c r="AC81" i="5"/>
  <c r="AD81" i="5"/>
  <c r="AE81" i="5"/>
  <c r="AF81" i="5"/>
  <c r="E82" i="5"/>
  <c r="F82" i="5"/>
  <c r="G82" i="5"/>
  <c r="I82" i="5"/>
  <c r="J82" i="5"/>
  <c r="K82" i="5"/>
  <c r="L82" i="5"/>
  <c r="M82" i="5"/>
  <c r="N82" i="5"/>
  <c r="O82" i="5"/>
  <c r="P82" i="5"/>
  <c r="Q82" i="5"/>
  <c r="R82" i="5"/>
  <c r="S82" i="5"/>
  <c r="T82" i="5"/>
  <c r="U82" i="5"/>
  <c r="V82" i="5"/>
  <c r="W82" i="5"/>
  <c r="X82" i="5"/>
  <c r="Y82" i="5"/>
  <c r="Z82" i="5"/>
  <c r="AA82" i="5"/>
  <c r="AB82" i="5"/>
  <c r="AC82" i="5"/>
  <c r="AD82" i="5"/>
  <c r="AE82" i="5"/>
  <c r="AF82" i="5"/>
  <c r="E83" i="5"/>
  <c r="F83" i="5"/>
  <c r="G83" i="5"/>
  <c r="I83" i="5"/>
  <c r="J83" i="5"/>
  <c r="K83" i="5"/>
  <c r="L83" i="5"/>
  <c r="M83" i="5"/>
  <c r="N83" i="5"/>
  <c r="O83" i="5"/>
  <c r="P83" i="5"/>
  <c r="Q83" i="5"/>
  <c r="R83" i="5"/>
  <c r="S83" i="5"/>
  <c r="T83" i="5"/>
  <c r="U83" i="5"/>
  <c r="V83" i="5"/>
  <c r="W83" i="5"/>
  <c r="X83" i="5"/>
  <c r="Y83" i="5"/>
  <c r="Z83" i="5"/>
  <c r="AA83" i="5"/>
  <c r="AB83" i="5"/>
  <c r="AC83" i="5"/>
  <c r="AD83" i="5"/>
  <c r="AE83" i="5"/>
  <c r="AF83" i="5"/>
  <c r="E84" i="5"/>
  <c r="F84" i="5"/>
  <c r="G84" i="5"/>
  <c r="I84" i="5"/>
  <c r="J84" i="5"/>
  <c r="K84" i="5"/>
  <c r="L84" i="5"/>
  <c r="M84" i="5"/>
  <c r="N84" i="5"/>
  <c r="O84" i="5"/>
  <c r="P84" i="5"/>
  <c r="Q84" i="5"/>
  <c r="R84" i="5"/>
  <c r="S84" i="5"/>
  <c r="T84" i="5"/>
  <c r="U84" i="5"/>
  <c r="V84" i="5"/>
  <c r="W84" i="5"/>
  <c r="X84" i="5"/>
  <c r="Y84" i="5"/>
  <c r="Z84" i="5"/>
  <c r="AA84" i="5"/>
  <c r="AB84" i="5"/>
  <c r="AC84" i="5"/>
  <c r="AD84" i="5"/>
  <c r="AE84" i="5"/>
  <c r="AF84" i="5"/>
  <c r="E85" i="5"/>
  <c r="F85" i="5"/>
  <c r="G85" i="5"/>
  <c r="I85" i="5"/>
  <c r="J85" i="5"/>
  <c r="K85" i="5"/>
  <c r="L85" i="5"/>
  <c r="M85" i="5"/>
  <c r="N85" i="5"/>
  <c r="O85" i="5"/>
  <c r="P85" i="5"/>
  <c r="Q85" i="5"/>
  <c r="R85" i="5"/>
  <c r="S85" i="5"/>
  <c r="T85" i="5"/>
  <c r="U85" i="5"/>
  <c r="V85" i="5"/>
  <c r="W85" i="5"/>
  <c r="X85" i="5"/>
  <c r="Y85" i="5"/>
  <c r="Z85" i="5"/>
  <c r="AA85" i="5"/>
  <c r="AB85" i="5"/>
  <c r="AC85" i="5"/>
  <c r="AD85" i="5"/>
  <c r="AE85" i="5"/>
  <c r="AF85" i="5"/>
  <c r="E86" i="5"/>
  <c r="F86" i="5"/>
  <c r="G86" i="5"/>
  <c r="I86" i="5"/>
  <c r="J86" i="5"/>
  <c r="K86" i="5"/>
  <c r="L86" i="5"/>
  <c r="M86" i="5"/>
  <c r="N86" i="5"/>
  <c r="O86" i="5"/>
  <c r="P86" i="5"/>
  <c r="Q86" i="5"/>
  <c r="R86" i="5"/>
  <c r="S86" i="5"/>
  <c r="T86" i="5"/>
  <c r="U86" i="5"/>
  <c r="V86" i="5"/>
  <c r="W86" i="5"/>
  <c r="X86" i="5"/>
  <c r="Y86" i="5"/>
  <c r="Z86" i="5"/>
  <c r="AA86" i="5"/>
  <c r="AB86" i="5"/>
  <c r="AC86" i="5"/>
  <c r="AD86" i="5"/>
  <c r="AE86" i="5"/>
  <c r="AF86" i="5"/>
  <c r="E87" i="5"/>
  <c r="F87" i="5"/>
  <c r="G87" i="5"/>
  <c r="I87" i="5"/>
  <c r="J87" i="5"/>
  <c r="K87" i="5"/>
  <c r="L87" i="5"/>
  <c r="M87" i="5"/>
  <c r="N87" i="5"/>
  <c r="O87" i="5"/>
  <c r="P87" i="5"/>
  <c r="Q87" i="5"/>
  <c r="R87" i="5"/>
  <c r="S87" i="5"/>
  <c r="T87" i="5"/>
  <c r="U87" i="5"/>
  <c r="V87" i="5"/>
  <c r="W87" i="5"/>
  <c r="X87" i="5"/>
  <c r="Y87" i="5"/>
  <c r="Z87" i="5"/>
  <c r="AA87" i="5"/>
  <c r="AB87" i="5"/>
  <c r="AC87" i="5"/>
  <c r="AD87" i="5"/>
  <c r="AE87" i="5"/>
  <c r="AF87" i="5"/>
  <c r="E88" i="5"/>
  <c r="F88" i="5"/>
  <c r="G88" i="5"/>
  <c r="I88" i="5"/>
  <c r="J88" i="5"/>
  <c r="K88" i="5"/>
  <c r="L88" i="5"/>
  <c r="M88" i="5"/>
  <c r="N88" i="5"/>
  <c r="O88" i="5"/>
  <c r="P88" i="5"/>
  <c r="Q88" i="5"/>
  <c r="R88" i="5"/>
  <c r="S88" i="5"/>
  <c r="T88" i="5"/>
  <c r="U88" i="5"/>
  <c r="V88" i="5"/>
  <c r="W88" i="5"/>
  <c r="X88" i="5"/>
  <c r="Y88" i="5"/>
  <c r="Z88" i="5"/>
  <c r="AA88" i="5"/>
  <c r="AB88" i="5"/>
  <c r="AC88" i="5"/>
  <c r="AD88" i="5"/>
  <c r="AE88" i="5"/>
  <c r="AF88" i="5"/>
  <c r="E89" i="5"/>
  <c r="F89" i="5"/>
  <c r="G89" i="5"/>
  <c r="I89" i="5"/>
  <c r="J89" i="5"/>
  <c r="K89" i="5"/>
  <c r="L89" i="5"/>
  <c r="M89" i="5"/>
  <c r="N89" i="5"/>
  <c r="O89" i="5"/>
  <c r="P89" i="5"/>
  <c r="Q89" i="5"/>
  <c r="R89" i="5"/>
  <c r="S89" i="5"/>
  <c r="T89" i="5"/>
  <c r="U89" i="5"/>
  <c r="V89" i="5"/>
  <c r="W89" i="5"/>
  <c r="X89" i="5"/>
  <c r="Y89" i="5"/>
  <c r="Z89" i="5"/>
  <c r="AA89" i="5"/>
  <c r="AB89" i="5"/>
  <c r="AC89" i="5"/>
  <c r="AD89" i="5"/>
  <c r="AE89" i="5"/>
  <c r="AF89" i="5"/>
  <c r="E90" i="5"/>
  <c r="F90" i="5"/>
  <c r="G90" i="5"/>
  <c r="I90" i="5"/>
  <c r="J90" i="5"/>
  <c r="K90" i="5"/>
  <c r="L90" i="5"/>
  <c r="M90" i="5"/>
  <c r="N90" i="5"/>
  <c r="O90" i="5"/>
  <c r="P90" i="5"/>
  <c r="Q90" i="5"/>
  <c r="R90" i="5"/>
  <c r="S90" i="5"/>
  <c r="T90" i="5"/>
  <c r="U90" i="5"/>
  <c r="V90" i="5"/>
  <c r="W90" i="5"/>
  <c r="X90" i="5"/>
  <c r="Y90" i="5"/>
  <c r="Z90" i="5"/>
  <c r="AA90" i="5"/>
  <c r="AB90" i="5"/>
  <c r="AC90" i="5"/>
  <c r="AD90" i="5"/>
  <c r="AE90" i="5"/>
  <c r="AF90" i="5"/>
  <c r="E91" i="5"/>
  <c r="F91" i="5"/>
  <c r="G91" i="5"/>
  <c r="I91" i="5"/>
  <c r="J91" i="5"/>
  <c r="K91" i="5"/>
  <c r="L91" i="5"/>
  <c r="M91" i="5"/>
  <c r="N91" i="5"/>
  <c r="O91" i="5"/>
  <c r="P91" i="5"/>
  <c r="Q91" i="5"/>
  <c r="R91" i="5"/>
  <c r="S91" i="5"/>
  <c r="T91" i="5"/>
  <c r="U91" i="5"/>
  <c r="V91" i="5"/>
  <c r="W91" i="5"/>
  <c r="X91" i="5"/>
  <c r="Y91" i="5"/>
  <c r="Z91" i="5"/>
  <c r="AA91" i="5"/>
  <c r="AB91" i="5"/>
  <c r="AC91" i="5"/>
  <c r="AD91" i="5"/>
  <c r="AE91" i="5"/>
  <c r="AF91" i="5"/>
  <c r="E92" i="5"/>
  <c r="F92" i="5"/>
  <c r="G92" i="5"/>
  <c r="I92" i="5"/>
  <c r="J92" i="5"/>
  <c r="K92" i="5"/>
  <c r="L92" i="5"/>
  <c r="M92" i="5"/>
  <c r="N92" i="5"/>
  <c r="O92" i="5"/>
  <c r="P92" i="5"/>
  <c r="Q92" i="5"/>
  <c r="R92" i="5"/>
  <c r="S92" i="5"/>
  <c r="T92" i="5"/>
  <c r="U92" i="5"/>
  <c r="V92" i="5"/>
  <c r="W92" i="5"/>
  <c r="X92" i="5"/>
  <c r="Y92" i="5"/>
  <c r="Z92" i="5"/>
  <c r="AA92" i="5"/>
  <c r="AB92" i="5"/>
  <c r="AC92" i="5"/>
  <c r="AD92" i="5"/>
  <c r="AE92" i="5"/>
  <c r="AF92" i="5"/>
  <c r="E93" i="5"/>
  <c r="F93" i="5"/>
  <c r="G93" i="5"/>
  <c r="I93" i="5"/>
  <c r="J93" i="5"/>
  <c r="K93" i="5"/>
  <c r="L93" i="5"/>
  <c r="M93" i="5"/>
  <c r="N93" i="5"/>
  <c r="O93" i="5"/>
  <c r="P93" i="5"/>
  <c r="Q93" i="5"/>
  <c r="R93" i="5"/>
  <c r="S93" i="5"/>
  <c r="T93" i="5"/>
  <c r="U93" i="5"/>
  <c r="V93" i="5"/>
  <c r="W93" i="5"/>
  <c r="X93" i="5"/>
  <c r="Y93" i="5"/>
  <c r="Z93" i="5"/>
  <c r="AA93" i="5"/>
  <c r="AB93" i="5"/>
  <c r="AC93" i="5"/>
  <c r="AD93" i="5"/>
  <c r="AE93" i="5"/>
  <c r="AF93" i="5"/>
  <c r="E94" i="5"/>
  <c r="F94" i="5"/>
  <c r="G94" i="5"/>
  <c r="I94" i="5"/>
  <c r="J94" i="5"/>
  <c r="K94" i="5"/>
  <c r="L94" i="5"/>
  <c r="M94" i="5"/>
  <c r="N94" i="5"/>
  <c r="O94" i="5"/>
  <c r="P94" i="5"/>
  <c r="Q94" i="5"/>
  <c r="R94" i="5"/>
  <c r="S94" i="5"/>
  <c r="T94" i="5"/>
  <c r="U94" i="5"/>
  <c r="V94" i="5"/>
  <c r="W94" i="5"/>
  <c r="X94" i="5"/>
  <c r="Y94" i="5"/>
  <c r="Z94" i="5"/>
  <c r="AA94" i="5"/>
  <c r="AB94" i="5"/>
  <c r="AC94" i="5"/>
  <c r="AD94" i="5"/>
  <c r="AE94" i="5"/>
  <c r="AF94" i="5"/>
  <c r="E95" i="5"/>
  <c r="F95" i="5"/>
  <c r="G95" i="5"/>
  <c r="I95" i="5"/>
  <c r="J95" i="5"/>
  <c r="K95" i="5"/>
  <c r="L95" i="5"/>
  <c r="M95" i="5"/>
  <c r="N95" i="5"/>
  <c r="O95" i="5"/>
  <c r="P95" i="5"/>
  <c r="Q95" i="5"/>
  <c r="R95" i="5"/>
  <c r="S95" i="5"/>
  <c r="T95" i="5"/>
  <c r="U95" i="5"/>
  <c r="V95" i="5"/>
  <c r="W95" i="5"/>
  <c r="X95" i="5"/>
  <c r="Y95" i="5"/>
  <c r="Z95" i="5"/>
  <c r="AA95" i="5"/>
  <c r="AB95" i="5"/>
  <c r="AC95" i="5"/>
  <c r="AD95" i="5"/>
  <c r="AE95" i="5"/>
  <c r="AF95" i="5"/>
  <c r="E96" i="5"/>
  <c r="F96" i="5"/>
  <c r="G96" i="5"/>
  <c r="I96" i="5"/>
  <c r="J96" i="5"/>
  <c r="K96" i="5"/>
  <c r="L96" i="5"/>
  <c r="M96" i="5"/>
  <c r="N96" i="5"/>
  <c r="O96" i="5"/>
  <c r="P96" i="5"/>
  <c r="Q96" i="5"/>
  <c r="R96" i="5"/>
  <c r="S96" i="5"/>
  <c r="T96" i="5"/>
  <c r="U96" i="5"/>
  <c r="V96" i="5"/>
  <c r="W96" i="5"/>
  <c r="X96" i="5"/>
  <c r="Y96" i="5"/>
  <c r="Z96" i="5"/>
  <c r="AA96" i="5"/>
  <c r="AB96" i="5"/>
  <c r="AC96" i="5"/>
  <c r="AD96" i="5"/>
  <c r="AE96" i="5"/>
  <c r="AF96" i="5"/>
  <c r="E97" i="5"/>
  <c r="F97" i="5"/>
  <c r="G97" i="5"/>
  <c r="I97" i="5"/>
  <c r="J97" i="5"/>
  <c r="K97" i="5"/>
  <c r="L97" i="5"/>
  <c r="M97" i="5"/>
  <c r="N97" i="5"/>
  <c r="O97" i="5"/>
  <c r="P97" i="5"/>
  <c r="Q97" i="5"/>
  <c r="R97" i="5"/>
  <c r="S97" i="5"/>
  <c r="T97" i="5"/>
  <c r="U97" i="5"/>
  <c r="V97" i="5"/>
  <c r="W97" i="5"/>
  <c r="X97" i="5"/>
  <c r="Y97" i="5"/>
  <c r="Z97" i="5"/>
  <c r="AA97" i="5"/>
  <c r="AB97" i="5"/>
  <c r="AC97" i="5"/>
  <c r="AD97" i="5"/>
  <c r="AE97" i="5"/>
  <c r="AF97" i="5"/>
  <c r="E98" i="5"/>
  <c r="F98" i="5"/>
  <c r="G98" i="5"/>
  <c r="I98" i="5"/>
  <c r="J98" i="5"/>
  <c r="K98" i="5"/>
  <c r="L98" i="5"/>
  <c r="M98" i="5"/>
  <c r="N98" i="5"/>
  <c r="O98" i="5"/>
  <c r="P98" i="5"/>
  <c r="Q98" i="5"/>
  <c r="R98" i="5"/>
  <c r="S98" i="5"/>
  <c r="T98" i="5"/>
  <c r="U98" i="5"/>
  <c r="V98" i="5"/>
  <c r="W98" i="5"/>
  <c r="X98" i="5"/>
  <c r="Y98" i="5"/>
  <c r="Z98" i="5"/>
  <c r="AA98" i="5"/>
  <c r="AB98" i="5"/>
  <c r="AC98" i="5"/>
  <c r="AD98" i="5"/>
  <c r="AE98" i="5"/>
  <c r="AF98" i="5"/>
  <c r="E99" i="5"/>
  <c r="F99" i="5"/>
  <c r="G99" i="5"/>
  <c r="I99" i="5"/>
  <c r="J99" i="5"/>
  <c r="K99" i="5"/>
  <c r="L99" i="5"/>
  <c r="M99" i="5"/>
  <c r="N99" i="5"/>
  <c r="O99" i="5"/>
  <c r="P99" i="5"/>
  <c r="Q99" i="5"/>
  <c r="R99" i="5"/>
  <c r="S99" i="5"/>
  <c r="T99" i="5"/>
  <c r="U99" i="5"/>
  <c r="V99" i="5"/>
  <c r="W99" i="5"/>
  <c r="X99" i="5"/>
  <c r="Y99" i="5"/>
  <c r="Z99" i="5"/>
  <c r="AA99" i="5"/>
  <c r="AB99" i="5"/>
  <c r="AC99" i="5"/>
  <c r="AD99" i="5"/>
  <c r="AE99" i="5"/>
  <c r="AF99" i="5"/>
  <c r="E100" i="5"/>
  <c r="F100" i="5"/>
  <c r="G100" i="5"/>
  <c r="I100" i="5"/>
  <c r="J100" i="5"/>
  <c r="K100" i="5"/>
  <c r="L100" i="5"/>
  <c r="M100" i="5"/>
  <c r="N100" i="5"/>
  <c r="O100" i="5"/>
  <c r="P100" i="5"/>
  <c r="Q100" i="5"/>
  <c r="R100" i="5"/>
  <c r="S100" i="5"/>
  <c r="T100" i="5"/>
  <c r="U100" i="5"/>
  <c r="V100" i="5"/>
  <c r="W100" i="5"/>
  <c r="X100" i="5"/>
  <c r="Y100" i="5"/>
  <c r="Z100" i="5"/>
  <c r="AA100" i="5"/>
  <c r="AB100" i="5"/>
  <c r="AC100" i="5"/>
  <c r="AD100" i="5"/>
  <c r="AE100" i="5"/>
  <c r="AF100" i="5"/>
  <c r="E101" i="5"/>
  <c r="F101" i="5"/>
  <c r="G101" i="5"/>
  <c r="I101" i="5"/>
  <c r="J101" i="5"/>
  <c r="K101" i="5"/>
  <c r="L101" i="5"/>
  <c r="M101" i="5"/>
  <c r="N101" i="5"/>
  <c r="O101" i="5"/>
  <c r="P101" i="5"/>
  <c r="Q101" i="5"/>
  <c r="R101" i="5"/>
  <c r="S101" i="5"/>
  <c r="T101" i="5"/>
  <c r="U101" i="5"/>
  <c r="V101" i="5"/>
  <c r="W101" i="5"/>
  <c r="X101" i="5"/>
  <c r="Y101" i="5"/>
  <c r="Z101" i="5"/>
  <c r="AA101" i="5"/>
  <c r="AB101" i="5"/>
  <c r="AC101" i="5"/>
  <c r="AD101" i="5"/>
  <c r="AE101" i="5"/>
  <c r="AF101" i="5"/>
  <c r="E102" i="5"/>
  <c r="F102" i="5"/>
  <c r="G102" i="5"/>
  <c r="I102" i="5"/>
  <c r="J102" i="5"/>
  <c r="K102" i="5"/>
  <c r="L102" i="5"/>
  <c r="M102" i="5"/>
  <c r="N102" i="5"/>
  <c r="O102" i="5"/>
  <c r="P102" i="5"/>
  <c r="Q102" i="5"/>
  <c r="R102" i="5"/>
  <c r="S102" i="5"/>
  <c r="T102" i="5"/>
  <c r="U102" i="5"/>
  <c r="V102" i="5"/>
  <c r="W102" i="5"/>
  <c r="X102" i="5"/>
  <c r="Y102" i="5"/>
  <c r="Z102" i="5"/>
  <c r="AA102" i="5"/>
  <c r="AB102" i="5"/>
  <c r="AC102" i="5"/>
  <c r="AD102" i="5"/>
  <c r="AE102" i="5"/>
  <c r="AF102" i="5"/>
  <c r="E103" i="5"/>
  <c r="F103" i="5"/>
  <c r="G103" i="5"/>
  <c r="I103" i="5"/>
  <c r="J103" i="5"/>
  <c r="K103" i="5"/>
  <c r="L103" i="5"/>
  <c r="M103" i="5"/>
  <c r="N103" i="5"/>
  <c r="O103" i="5"/>
  <c r="P103" i="5"/>
  <c r="Q103" i="5"/>
  <c r="R103" i="5"/>
  <c r="S103" i="5"/>
  <c r="T103" i="5"/>
  <c r="U103" i="5"/>
  <c r="V103" i="5"/>
  <c r="W103" i="5"/>
  <c r="X103" i="5"/>
  <c r="Y103" i="5"/>
  <c r="Z103" i="5"/>
  <c r="AA103" i="5"/>
  <c r="AB103" i="5"/>
  <c r="AC103" i="5"/>
  <c r="AD103" i="5"/>
  <c r="AE103" i="5"/>
  <c r="AF103" i="5"/>
  <c r="E104" i="5"/>
  <c r="F104" i="5"/>
  <c r="G104" i="5"/>
  <c r="I104" i="5"/>
  <c r="J104" i="5"/>
  <c r="K104" i="5"/>
  <c r="L104" i="5"/>
  <c r="M104" i="5"/>
  <c r="N104" i="5"/>
  <c r="O104" i="5"/>
  <c r="P104" i="5"/>
  <c r="Q104" i="5"/>
  <c r="R104" i="5"/>
  <c r="S104" i="5"/>
  <c r="T104" i="5"/>
  <c r="U104" i="5"/>
  <c r="V104" i="5"/>
  <c r="W104" i="5"/>
  <c r="X104" i="5"/>
  <c r="Y104" i="5"/>
  <c r="Z104" i="5"/>
  <c r="AA104" i="5"/>
  <c r="AB104" i="5"/>
  <c r="AC104" i="5"/>
  <c r="AD104" i="5"/>
  <c r="AE104" i="5"/>
  <c r="AF104" i="5"/>
  <c r="E105" i="5"/>
  <c r="F105" i="5"/>
  <c r="G105" i="5"/>
  <c r="I105" i="5"/>
  <c r="J105" i="5"/>
  <c r="K105" i="5"/>
  <c r="L105" i="5"/>
  <c r="M105" i="5"/>
  <c r="N105" i="5"/>
  <c r="O105" i="5"/>
  <c r="P105" i="5"/>
  <c r="Q105" i="5"/>
  <c r="R105" i="5"/>
  <c r="S105" i="5"/>
  <c r="T105" i="5"/>
  <c r="U105" i="5"/>
  <c r="V105" i="5"/>
  <c r="W105" i="5"/>
  <c r="X105" i="5"/>
  <c r="Y105" i="5"/>
  <c r="Z105" i="5"/>
  <c r="AA105" i="5"/>
  <c r="AB105" i="5"/>
  <c r="AC105" i="5"/>
  <c r="AD105" i="5"/>
  <c r="AE105" i="5"/>
  <c r="AF105" i="5"/>
  <c r="E106" i="5"/>
  <c r="F106" i="5"/>
  <c r="G106" i="5"/>
  <c r="I106" i="5"/>
  <c r="J106" i="5"/>
  <c r="K106" i="5"/>
  <c r="L106" i="5"/>
  <c r="M106" i="5"/>
  <c r="N106" i="5"/>
  <c r="O106" i="5"/>
  <c r="P106" i="5"/>
  <c r="Q106" i="5"/>
  <c r="R106" i="5"/>
  <c r="S106" i="5"/>
  <c r="T106" i="5"/>
  <c r="U106" i="5"/>
  <c r="V106" i="5"/>
  <c r="W106" i="5"/>
  <c r="X106" i="5"/>
  <c r="Y106" i="5"/>
  <c r="Z106" i="5"/>
  <c r="AA106" i="5"/>
  <c r="AB106" i="5"/>
  <c r="AC106" i="5"/>
  <c r="AD106" i="5"/>
  <c r="AE106" i="5"/>
  <c r="AF106" i="5"/>
  <c r="E107" i="5"/>
  <c r="F107" i="5"/>
  <c r="G107" i="5"/>
  <c r="I107" i="5"/>
  <c r="J107" i="5"/>
  <c r="K107" i="5"/>
  <c r="L107" i="5"/>
  <c r="M107" i="5"/>
  <c r="N107" i="5"/>
  <c r="O107" i="5"/>
  <c r="P107" i="5"/>
  <c r="Q107" i="5"/>
  <c r="R107" i="5"/>
  <c r="S107" i="5"/>
  <c r="T107" i="5"/>
  <c r="U107" i="5"/>
  <c r="V107" i="5"/>
  <c r="W107" i="5"/>
  <c r="X107" i="5"/>
  <c r="Y107" i="5"/>
  <c r="Z107" i="5"/>
  <c r="AA107" i="5"/>
  <c r="AB107" i="5"/>
  <c r="AC107" i="5"/>
  <c r="AD107" i="5"/>
  <c r="AE107" i="5"/>
  <c r="AF107" i="5"/>
  <c r="E108" i="5"/>
  <c r="F108" i="5"/>
  <c r="G108" i="5"/>
  <c r="I108" i="5"/>
  <c r="J108" i="5"/>
  <c r="K108" i="5"/>
  <c r="L108" i="5"/>
  <c r="M108" i="5"/>
  <c r="N108" i="5"/>
  <c r="O108" i="5"/>
  <c r="P108" i="5"/>
  <c r="Q108" i="5"/>
  <c r="R108" i="5"/>
  <c r="S108" i="5"/>
  <c r="T108" i="5"/>
  <c r="U108" i="5"/>
  <c r="V108" i="5"/>
  <c r="W108" i="5"/>
  <c r="X108" i="5"/>
  <c r="Y108" i="5"/>
  <c r="Z108" i="5"/>
  <c r="AA108" i="5"/>
  <c r="AB108" i="5"/>
  <c r="AC108" i="5"/>
  <c r="AD108" i="5"/>
  <c r="AE108" i="5"/>
  <c r="AF108" i="5"/>
  <c r="E109" i="5"/>
  <c r="F109" i="5"/>
  <c r="G109" i="5"/>
  <c r="I109" i="5"/>
  <c r="J109" i="5"/>
  <c r="K109" i="5"/>
  <c r="L109" i="5"/>
  <c r="M109" i="5"/>
  <c r="N109" i="5"/>
  <c r="O109" i="5"/>
  <c r="P109" i="5"/>
  <c r="Q109" i="5"/>
  <c r="R109" i="5"/>
  <c r="S109" i="5"/>
  <c r="T109" i="5"/>
  <c r="U109" i="5"/>
  <c r="V109" i="5"/>
  <c r="W109" i="5"/>
  <c r="X109" i="5"/>
  <c r="Y109" i="5"/>
  <c r="Z109" i="5"/>
  <c r="AA109" i="5"/>
  <c r="AB109" i="5"/>
  <c r="AC109" i="5"/>
  <c r="AD109" i="5"/>
  <c r="AE109" i="5"/>
  <c r="AF109" i="5"/>
  <c r="E110" i="5"/>
  <c r="F110" i="5"/>
  <c r="G110" i="5"/>
  <c r="I110" i="5"/>
  <c r="J110" i="5"/>
  <c r="K110" i="5"/>
  <c r="L110" i="5"/>
  <c r="M110" i="5"/>
  <c r="N110" i="5"/>
  <c r="O110" i="5"/>
  <c r="P110" i="5"/>
  <c r="Q110" i="5"/>
  <c r="R110" i="5"/>
  <c r="S110" i="5"/>
  <c r="T110" i="5"/>
  <c r="U110" i="5"/>
  <c r="V110" i="5"/>
  <c r="W110" i="5"/>
  <c r="X110" i="5"/>
  <c r="Y110" i="5"/>
  <c r="Z110" i="5"/>
  <c r="AA110" i="5"/>
  <c r="AB110" i="5"/>
  <c r="AC110" i="5"/>
  <c r="AD110" i="5"/>
  <c r="AE110" i="5"/>
  <c r="AF110" i="5"/>
  <c r="E111" i="5"/>
  <c r="F111" i="5"/>
  <c r="G111" i="5"/>
  <c r="I111" i="5"/>
  <c r="J111" i="5"/>
  <c r="K111" i="5"/>
  <c r="L111" i="5"/>
  <c r="M111" i="5"/>
  <c r="N111" i="5"/>
  <c r="O111" i="5"/>
  <c r="P111" i="5"/>
  <c r="Q111" i="5"/>
  <c r="R111" i="5"/>
  <c r="S111" i="5"/>
  <c r="T111" i="5"/>
  <c r="U111" i="5"/>
  <c r="V111" i="5"/>
  <c r="W111" i="5"/>
  <c r="X111" i="5"/>
  <c r="Y111" i="5"/>
  <c r="Z111" i="5"/>
  <c r="AA111" i="5"/>
  <c r="AB111" i="5"/>
  <c r="AC111" i="5"/>
  <c r="AD111" i="5"/>
  <c r="AE111" i="5"/>
  <c r="AF111" i="5"/>
  <c r="E112" i="5"/>
  <c r="F112" i="5"/>
  <c r="G112" i="5"/>
  <c r="I112" i="5"/>
  <c r="J112" i="5"/>
  <c r="K112" i="5"/>
  <c r="L112" i="5"/>
  <c r="M112" i="5"/>
  <c r="N112" i="5"/>
  <c r="O112" i="5"/>
  <c r="P112" i="5"/>
  <c r="Q112" i="5"/>
  <c r="R112" i="5"/>
  <c r="S112" i="5"/>
  <c r="T112" i="5"/>
  <c r="U112" i="5"/>
  <c r="V112" i="5"/>
  <c r="W112" i="5"/>
  <c r="X112" i="5"/>
  <c r="Y112" i="5"/>
  <c r="Z112" i="5"/>
  <c r="AA112" i="5"/>
  <c r="AB112" i="5"/>
  <c r="AC112" i="5"/>
  <c r="AD112" i="5"/>
  <c r="AE112" i="5"/>
  <c r="AF112" i="5"/>
  <c r="E113" i="5"/>
  <c r="F113" i="5"/>
  <c r="G113" i="5"/>
  <c r="I113" i="5"/>
  <c r="J113" i="5"/>
  <c r="K113" i="5"/>
  <c r="L113" i="5"/>
  <c r="M113" i="5"/>
  <c r="N113" i="5"/>
  <c r="O113" i="5"/>
  <c r="P113" i="5"/>
  <c r="Q113" i="5"/>
  <c r="R113" i="5"/>
  <c r="S113" i="5"/>
  <c r="T113" i="5"/>
  <c r="U113" i="5"/>
  <c r="V113" i="5"/>
  <c r="W113" i="5"/>
  <c r="X113" i="5"/>
  <c r="Y113" i="5"/>
  <c r="Z113" i="5"/>
  <c r="AA113" i="5"/>
  <c r="AB113" i="5"/>
  <c r="AC113" i="5"/>
  <c r="AD113" i="5"/>
  <c r="AE113" i="5"/>
  <c r="AF113" i="5"/>
  <c r="H4" i="10"/>
  <c r="K2" i="10" s="1"/>
  <c r="J38" i="205" l="1"/>
  <c r="H37" i="205"/>
  <c r="J35" i="10"/>
  <c r="M8" i="10"/>
  <c r="N8" i="10"/>
  <c r="O8" i="10"/>
  <c r="P8" i="10"/>
  <c r="Q8" i="10"/>
  <c r="R8" i="10"/>
  <c r="S8" i="10"/>
  <c r="T8" i="10"/>
  <c r="U8" i="10"/>
  <c r="V8" i="10"/>
  <c r="W8" i="10"/>
  <c r="X8" i="10"/>
  <c r="Y8" i="10"/>
  <c r="Z8" i="10"/>
  <c r="AA8" i="10"/>
  <c r="AB8" i="10"/>
  <c r="AC8" i="10"/>
  <c r="AD8" i="10"/>
  <c r="AE8" i="10"/>
  <c r="AF8" i="10"/>
  <c r="AG8" i="10"/>
  <c r="AH8" i="10"/>
  <c r="AI8" i="10"/>
  <c r="AJ8" i="10"/>
  <c r="AK8" i="10"/>
  <c r="N12" i="10"/>
  <c r="O12" i="10"/>
  <c r="P12" i="10"/>
  <c r="Q12" i="10"/>
  <c r="R12" i="10"/>
  <c r="S12" i="10"/>
  <c r="T12" i="10"/>
  <c r="U12" i="10"/>
  <c r="V12" i="10"/>
  <c r="W12" i="10"/>
  <c r="X12" i="10"/>
  <c r="Y12" i="10"/>
  <c r="Z12" i="10"/>
  <c r="AA12" i="10"/>
  <c r="AB12" i="10"/>
  <c r="AC12" i="10"/>
  <c r="AD12" i="10"/>
  <c r="AE12" i="10"/>
  <c r="AF12" i="10"/>
  <c r="AG12" i="10"/>
  <c r="AH12" i="10"/>
  <c r="AI12" i="10"/>
  <c r="AJ12" i="10"/>
  <c r="AK12" i="10"/>
  <c r="M9" i="10"/>
  <c r="N9" i="10"/>
  <c r="O9" i="10" s="1"/>
  <c r="P9" i="10" s="1"/>
  <c r="Q9" i="10" s="1"/>
  <c r="R9" i="10" s="1"/>
  <c r="S9" i="10" s="1"/>
  <c r="T9" i="10" s="1"/>
  <c r="U9" i="10" s="1"/>
  <c r="V9" i="10" s="1"/>
  <c r="W9" i="10" s="1"/>
  <c r="X9" i="10" s="1"/>
  <c r="Y9" i="10" s="1"/>
  <c r="Z9" i="10" s="1"/>
  <c r="AA9" i="10" s="1"/>
  <c r="AB9" i="10" s="1"/>
  <c r="AC9" i="10" s="1"/>
  <c r="AD9" i="10" s="1"/>
  <c r="AE9" i="10" s="1"/>
  <c r="AF9" i="10" s="1"/>
  <c r="AG9" i="10" s="1"/>
  <c r="AH9" i="10" s="1"/>
  <c r="AI9" i="10" s="1"/>
  <c r="AJ9" i="10" s="1"/>
  <c r="AK9" i="10" s="1"/>
  <c r="J39" i="205" l="1"/>
  <c r="H38" i="205"/>
  <c r="J36" i="10"/>
  <c r="G3" i="5"/>
  <c r="J3" i="5" s="1"/>
  <c r="K3" i="5" s="1"/>
  <c r="L3" i="5" s="1"/>
  <c r="M3" i="5" s="1"/>
  <c r="N3" i="5" s="1"/>
  <c r="O3" i="5" s="1"/>
  <c r="P3" i="5" s="1"/>
  <c r="Q3" i="5" s="1"/>
  <c r="R3" i="5" s="1"/>
  <c r="S3" i="5" s="1"/>
  <c r="T3" i="5" s="1"/>
  <c r="U3" i="5" s="1"/>
  <c r="V3" i="5" s="1"/>
  <c r="W3" i="5" s="1"/>
  <c r="X3" i="5" s="1"/>
  <c r="Y3" i="5" s="1"/>
  <c r="Z3" i="5" s="1"/>
  <c r="AA3" i="5" s="1"/>
  <c r="AB3" i="5" s="1"/>
  <c r="AC3" i="5" s="1"/>
  <c r="AD3" i="5" s="1"/>
  <c r="AE3" i="5" s="1"/>
  <c r="AF3" i="5" s="1"/>
  <c r="N10" i="10"/>
  <c r="AF10" i="10"/>
  <c r="J40" i="205" l="1"/>
  <c r="H39" i="205"/>
  <c r="J37" i="10"/>
  <c r="AO10" i="10"/>
  <c r="BG10" i="10"/>
  <c r="D11" i="10"/>
  <c r="E11" i="10"/>
  <c r="F11" i="10"/>
  <c r="G11" i="10" s="1"/>
  <c r="N11" i="10"/>
  <c r="O11" i="10"/>
  <c r="C10" i="209" s="1"/>
  <c r="P11" i="10"/>
  <c r="C11" i="209" s="1"/>
  <c r="Q11" i="10"/>
  <c r="C12" i="209" s="1"/>
  <c r="R11" i="10"/>
  <c r="C13" i="209" s="1"/>
  <c r="S11" i="10"/>
  <c r="C14" i="209" s="1"/>
  <c r="T11" i="10"/>
  <c r="C15" i="209" s="1"/>
  <c r="U11" i="10"/>
  <c r="C16" i="209" s="1"/>
  <c r="V11" i="10"/>
  <c r="C17" i="209" s="1"/>
  <c r="W11" i="10"/>
  <c r="C18" i="209" s="1"/>
  <c r="X11" i="10"/>
  <c r="C19" i="209" s="1"/>
  <c r="Y11" i="10"/>
  <c r="C20" i="209" s="1"/>
  <c r="Z11" i="10"/>
  <c r="C21" i="209" s="1"/>
  <c r="AA11" i="10"/>
  <c r="C22" i="209" s="1"/>
  <c r="AB11" i="10"/>
  <c r="C23" i="209" s="1"/>
  <c r="AC11" i="10"/>
  <c r="C24" i="209" s="1"/>
  <c r="AD11" i="10"/>
  <c r="C25" i="209" s="1"/>
  <c r="AE11" i="10"/>
  <c r="C26" i="209" s="1"/>
  <c r="AF11" i="10"/>
  <c r="C27" i="209" s="1"/>
  <c r="AG11" i="10"/>
  <c r="C28" i="209" s="1"/>
  <c r="AH11" i="10"/>
  <c r="C29" i="209" s="1"/>
  <c r="AI11" i="10"/>
  <c r="C30" i="209" s="1"/>
  <c r="AJ11" i="10"/>
  <c r="C31" i="209" s="1"/>
  <c r="AK11" i="10"/>
  <c r="C32" i="209" s="1"/>
  <c r="AO11" i="10"/>
  <c r="AP11" i="10"/>
  <c r="AQ11" i="10"/>
  <c r="AR11" i="10"/>
  <c r="AS11" i="10"/>
  <c r="AT11" i="10"/>
  <c r="AU11" i="10"/>
  <c r="AV11" i="10"/>
  <c r="AW11" i="10"/>
  <c r="AX11" i="10"/>
  <c r="AY11" i="10"/>
  <c r="AZ11" i="10"/>
  <c r="BA11" i="10"/>
  <c r="BB11" i="10"/>
  <c r="BC11" i="10"/>
  <c r="BD11" i="10"/>
  <c r="BE11" i="10"/>
  <c r="BF11" i="10"/>
  <c r="BG11" i="10"/>
  <c r="BH11" i="10"/>
  <c r="BI11" i="10"/>
  <c r="BJ11" i="10"/>
  <c r="BK11" i="10"/>
  <c r="BL11" i="10"/>
  <c r="H12" i="10"/>
  <c r="AL12" i="10"/>
  <c r="BL55" i="10" l="1"/>
  <c r="BL54" i="10"/>
  <c r="BL53" i="10"/>
  <c r="BL52" i="10"/>
  <c r="BL51" i="10"/>
  <c r="BL50" i="10"/>
  <c r="BL49" i="10"/>
  <c r="BL48" i="10"/>
  <c r="BL47" i="10"/>
  <c r="BL46" i="10"/>
  <c r="BL45" i="10"/>
  <c r="BL44" i="10"/>
  <c r="BL43" i="10"/>
  <c r="BL42" i="10"/>
  <c r="BL41" i="10"/>
  <c r="BL40" i="10"/>
  <c r="BL39" i="10"/>
  <c r="BL38" i="10"/>
  <c r="BL37" i="10"/>
  <c r="BL36" i="10"/>
  <c r="BL35" i="10"/>
  <c r="BL34" i="10"/>
  <c r="BL33" i="10"/>
  <c r="BL32" i="10"/>
  <c r="BL31" i="10"/>
  <c r="BL30" i="10"/>
  <c r="BL29" i="10"/>
  <c r="BL28" i="10"/>
  <c r="BL27" i="10"/>
  <c r="BL26" i="10"/>
  <c r="BL25" i="10"/>
  <c r="BL24" i="10"/>
  <c r="BL23" i="10"/>
  <c r="BL22" i="10"/>
  <c r="BL21" i="10"/>
  <c r="BL20" i="10"/>
  <c r="BL19" i="10"/>
  <c r="BL18" i="10"/>
  <c r="BL17" i="10"/>
  <c r="BL16" i="10"/>
  <c r="BL15" i="10"/>
  <c r="BL14" i="10"/>
  <c r="BL13" i="10"/>
  <c r="BK55" i="10"/>
  <c r="BK54" i="10"/>
  <c r="BK53" i="10"/>
  <c r="BK52" i="10"/>
  <c r="BK51" i="10"/>
  <c r="BK50" i="10"/>
  <c r="BK49" i="10"/>
  <c r="BK48" i="10"/>
  <c r="BK47" i="10"/>
  <c r="BK46" i="10"/>
  <c r="BK45" i="10"/>
  <c r="BK44" i="10"/>
  <c r="BK43" i="10"/>
  <c r="BK42" i="10"/>
  <c r="BK41" i="10"/>
  <c r="BK40" i="10"/>
  <c r="BK39" i="10"/>
  <c r="BK38" i="10"/>
  <c r="BK37" i="10"/>
  <c r="BK36" i="10"/>
  <c r="BK35" i="10"/>
  <c r="BK34" i="10"/>
  <c r="BK33" i="10"/>
  <c r="BK32" i="10"/>
  <c r="BK31" i="10"/>
  <c r="BK30" i="10"/>
  <c r="BK29" i="10"/>
  <c r="BK28" i="10"/>
  <c r="BK27" i="10"/>
  <c r="BK26" i="10"/>
  <c r="BK25" i="10"/>
  <c r="BK24" i="10"/>
  <c r="BK23" i="10"/>
  <c r="BK22" i="10"/>
  <c r="BK21" i="10"/>
  <c r="BK20" i="10"/>
  <c r="BK19" i="10"/>
  <c r="BK18" i="10"/>
  <c r="BK17" i="10"/>
  <c r="BK16" i="10"/>
  <c r="BK15" i="10"/>
  <c r="BK14" i="10"/>
  <c r="BK13" i="10"/>
  <c r="BJ55" i="10"/>
  <c r="BJ54" i="10"/>
  <c r="BJ53" i="10"/>
  <c r="BJ52" i="10"/>
  <c r="BJ51" i="10"/>
  <c r="BJ50" i="10"/>
  <c r="BJ49" i="10"/>
  <c r="BJ48" i="10"/>
  <c r="BJ47" i="10"/>
  <c r="BJ46" i="10"/>
  <c r="BJ45" i="10"/>
  <c r="BJ44" i="10"/>
  <c r="BJ43" i="10"/>
  <c r="BJ42" i="10"/>
  <c r="BJ41" i="10"/>
  <c r="BJ40" i="10"/>
  <c r="BJ39" i="10"/>
  <c r="BJ38" i="10"/>
  <c r="BJ37" i="10"/>
  <c r="BJ36" i="10"/>
  <c r="BJ35" i="10"/>
  <c r="BJ34" i="10"/>
  <c r="BJ33" i="10"/>
  <c r="BJ32" i="10"/>
  <c r="BJ31" i="10"/>
  <c r="BJ30" i="10"/>
  <c r="BJ29" i="10"/>
  <c r="BJ28" i="10"/>
  <c r="BJ27" i="10"/>
  <c r="BJ26" i="10"/>
  <c r="BJ25" i="10"/>
  <c r="BJ24" i="10"/>
  <c r="BJ23" i="10"/>
  <c r="BJ22" i="10"/>
  <c r="BJ21" i="10"/>
  <c r="BJ20" i="10"/>
  <c r="BJ19" i="10"/>
  <c r="BJ18" i="10"/>
  <c r="BJ17" i="10"/>
  <c r="BJ16" i="10"/>
  <c r="BJ15" i="10"/>
  <c r="BJ14" i="10"/>
  <c r="BJ13" i="10"/>
  <c r="BI55" i="10"/>
  <c r="BI54" i="10"/>
  <c r="BI53" i="10"/>
  <c r="BI52" i="10"/>
  <c r="BI51" i="10"/>
  <c r="BI50" i="10"/>
  <c r="BI49" i="10"/>
  <c r="BI48" i="10"/>
  <c r="BI47" i="10"/>
  <c r="BI46" i="10"/>
  <c r="BI45" i="10"/>
  <c r="BI44" i="10"/>
  <c r="BI43" i="10"/>
  <c r="BI42" i="10"/>
  <c r="BI41" i="10"/>
  <c r="BI40" i="10"/>
  <c r="BI39" i="10"/>
  <c r="BI38" i="10"/>
  <c r="BI37" i="10"/>
  <c r="BI36" i="10"/>
  <c r="BI35" i="10"/>
  <c r="BI34" i="10"/>
  <c r="BI33" i="10"/>
  <c r="BI32" i="10"/>
  <c r="BI31" i="10"/>
  <c r="BI30" i="10"/>
  <c r="BI29" i="10"/>
  <c r="BI28" i="10"/>
  <c r="BI27" i="10"/>
  <c r="BI26" i="10"/>
  <c r="BI25" i="10"/>
  <c r="BI24" i="10"/>
  <c r="BI23" i="10"/>
  <c r="BI22" i="10"/>
  <c r="BI21" i="10"/>
  <c r="BI20" i="10"/>
  <c r="BI19" i="10"/>
  <c r="BI18" i="10"/>
  <c r="BI17" i="10"/>
  <c r="BI16" i="10"/>
  <c r="BI15" i="10"/>
  <c r="BI14" i="10"/>
  <c r="BI13" i="10"/>
  <c r="BH55" i="10"/>
  <c r="BH54" i="10"/>
  <c r="BH53" i="10"/>
  <c r="BH52" i="10"/>
  <c r="BH51" i="10"/>
  <c r="BH50" i="10"/>
  <c r="BH49" i="10"/>
  <c r="BH48" i="10"/>
  <c r="BH47" i="10"/>
  <c r="BH46" i="10"/>
  <c r="BH45" i="10"/>
  <c r="BH44" i="10"/>
  <c r="BH43" i="10"/>
  <c r="BH42" i="10"/>
  <c r="BH41" i="10"/>
  <c r="BH40" i="10"/>
  <c r="BH39" i="10"/>
  <c r="BH38" i="10"/>
  <c r="BH37" i="10"/>
  <c r="BH36" i="10"/>
  <c r="BH35" i="10"/>
  <c r="BH34" i="10"/>
  <c r="BH33" i="10"/>
  <c r="BH32" i="10"/>
  <c r="BH31" i="10"/>
  <c r="BH30" i="10"/>
  <c r="BH29" i="10"/>
  <c r="BH28" i="10"/>
  <c r="BH27" i="10"/>
  <c r="BH26" i="10"/>
  <c r="BH25" i="10"/>
  <c r="BH24" i="10"/>
  <c r="BH23" i="10"/>
  <c r="BH22" i="10"/>
  <c r="BH21" i="10"/>
  <c r="BH20" i="10"/>
  <c r="BH19" i="10"/>
  <c r="BH18" i="10"/>
  <c r="BH17" i="10"/>
  <c r="BH16" i="10"/>
  <c r="BH15" i="10"/>
  <c r="BH14" i="10"/>
  <c r="BH13" i="10"/>
  <c r="BG55" i="10"/>
  <c r="BG54" i="10"/>
  <c r="BG53" i="10"/>
  <c r="BG52" i="10"/>
  <c r="BG51" i="10"/>
  <c r="BG50" i="10"/>
  <c r="BG49" i="10"/>
  <c r="BG48" i="10"/>
  <c r="BG47" i="10"/>
  <c r="BG46" i="10"/>
  <c r="BG45" i="10"/>
  <c r="BG44" i="10"/>
  <c r="BG43" i="10"/>
  <c r="BG42" i="10"/>
  <c r="BG41" i="10"/>
  <c r="BG40" i="10"/>
  <c r="BG39" i="10"/>
  <c r="BG38" i="10"/>
  <c r="BG37" i="10"/>
  <c r="BG36" i="10"/>
  <c r="BG35" i="10"/>
  <c r="BG34" i="10"/>
  <c r="BG33" i="10"/>
  <c r="BG32" i="10"/>
  <c r="BG31" i="10"/>
  <c r="BG30" i="10"/>
  <c r="BG29" i="10"/>
  <c r="BG28" i="10"/>
  <c r="BG27" i="10"/>
  <c r="BG26" i="10"/>
  <c r="BG25" i="10"/>
  <c r="BG24" i="10"/>
  <c r="BG23" i="10"/>
  <c r="BG22" i="10"/>
  <c r="BG21" i="10"/>
  <c r="BG20" i="10"/>
  <c r="BG19" i="10"/>
  <c r="BG18" i="10"/>
  <c r="BG17" i="10"/>
  <c r="BG16" i="10"/>
  <c r="BG15" i="10"/>
  <c r="BG14" i="10"/>
  <c r="BG13" i="10"/>
  <c r="BF55" i="10"/>
  <c r="BF54" i="10"/>
  <c r="BF53" i="10"/>
  <c r="BF52" i="10"/>
  <c r="BF51" i="10"/>
  <c r="BF50" i="10"/>
  <c r="BF49" i="10"/>
  <c r="BF48" i="10"/>
  <c r="BF47" i="10"/>
  <c r="BF46" i="10"/>
  <c r="BF45" i="10"/>
  <c r="BF44" i="10"/>
  <c r="BF43" i="10"/>
  <c r="BF42" i="10"/>
  <c r="BF40" i="10"/>
  <c r="BF39" i="10"/>
  <c r="BF38" i="10"/>
  <c r="BF37" i="10"/>
  <c r="BF36" i="10"/>
  <c r="BF35" i="10"/>
  <c r="BF34" i="10"/>
  <c r="BF33" i="10"/>
  <c r="BF32" i="10"/>
  <c r="BF31" i="10"/>
  <c r="BF30" i="10"/>
  <c r="BF29" i="10"/>
  <c r="BF28" i="10"/>
  <c r="BF27" i="10"/>
  <c r="BF26" i="10"/>
  <c r="BF25" i="10"/>
  <c r="BF24" i="10"/>
  <c r="BF23" i="10"/>
  <c r="BF22" i="10"/>
  <c r="BF20" i="10"/>
  <c r="BF19" i="10"/>
  <c r="BF18" i="10"/>
  <c r="BF17" i="10"/>
  <c r="BF16" i="10"/>
  <c r="BF15" i="10"/>
  <c r="BF14" i="10"/>
  <c r="BF41" i="10"/>
  <c r="BF21" i="10"/>
  <c r="BF13" i="10"/>
  <c r="BE55" i="10"/>
  <c r="BE54" i="10"/>
  <c r="BE53" i="10"/>
  <c r="BE52" i="10"/>
  <c r="BE51" i="10"/>
  <c r="BE50" i="10"/>
  <c r="BE49" i="10"/>
  <c r="BE48" i="10"/>
  <c r="BE47" i="10"/>
  <c r="BE46" i="10"/>
  <c r="BE45" i="10"/>
  <c r="BE44" i="10"/>
  <c r="BE43" i="10"/>
  <c r="BE42" i="10"/>
  <c r="BE40" i="10"/>
  <c r="BE39" i="10"/>
  <c r="BE38" i="10"/>
  <c r="BE37" i="10"/>
  <c r="BE36" i="10"/>
  <c r="BE35" i="10"/>
  <c r="BE34" i="10"/>
  <c r="BE33" i="10"/>
  <c r="BE32" i="10"/>
  <c r="BE31" i="10"/>
  <c r="BE30" i="10"/>
  <c r="BE29" i="10"/>
  <c r="BE28" i="10"/>
  <c r="BE27" i="10"/>
  <c r="BE26" i="10"/>
  <c r="BE25" i="10"/>
  <c r="BE24" i="10"/>
  <c r="BE23" i="10"/>
  <c r="BE22" i="10"/>
  <c r="BE20" i="10"/>
  <c r="BE19" i="10"/>
  <c r="BE18" i="10"/>
  <c r="BE17" i="10"/>
  <c r="BE16" i="10"/>
  <c r="BE15" i="10"/>
  <c r="BE14" i="10"/>
  <c r="BE41" i="10"/>
  <c r="BE21" i="10"/>
  <c r="BE13" i="10"/>
  <c r="BD55" i="10"/>
  <c r="BD54" i="10"/>
  <c r="BD53" i="10"/>
  <c r="BD52" i="10"/>
  <c r="BD51" i="10"/>
  <c r="BD50" i="10"/>
  <c r="BD49" i="10"/>
  <c r="BD48" i="10"/>
  <c r="BD47" i="10"/>
  <c r="BD46" i="10"/>
  <c r="BD45" i="10"/>
  <c r="BD44" i="10"/>
  <c r="BD43" i="10"/>
  <c r="BD42" i="10"/>
  <c r="BD40" i="10"/>
  <c r="BD39" i="10"/>
  <c r="BD38" i="10"/>
  <c r="BD37" i="10"/>
  <c r="BD36" i="10"/>
  <c r="BD35" i="10"/>
  <c r="BD34" i="10"/>
  <c r="BD33" i="10"/>
  <c r="BD32" i="10"/>
  <c r="BD31" i="10"/>
  <c r="BD30" i="10"/>
  <c r="BD29" i="10"/>
  <c r="BD28" i="10"/>
  <c r="BD27" i="10"/>
  <c r="BD26" i="10"/>
  <c r="BD25" i="10"/>
  <c r="BD24" i="10"/>
  <c r="BD23" i="10"/>
  <c r="BD22" i="10"/>
  <c r="BD20" i="10"/>
  <c r="BD19" i="10"/>
  <c r="BD18" i="10"/>
  <c r="BD17" i="10"/>
  <c r="BD16" i="10"/>
  <c r="BD15" i="10"/>
  <c r="BD14" i="10"/>
  <c r="BD41" i="10"/>
  <c r="BD21" i="10"/>
  <c r="BD13" i="10"/>
  <c r="BC55" i="10"/>
  <c r="BC54" i="10"/>
  <c r="BC52" i="10"/>
  <c r="BC51" i="10"/>
  <c r="BC50" i="10"/>
  <c r="BC49" i="10"/>
  <c r="BC48" i="10"/>
  <c r="BC47" i="10"/>
  <c r="BC46" i="10"/>
  <c r="BC45" i="10"/>
  <c r="BC44" i="10"/>
  <c r="BC43" i="10"/>
  <c r="BC42" i="10"/>
  <c r="BC40" i="10"/>
  <c r="BC39" i="10"/>
  <c r="BC38" i="10"/>
  <c r="BC37" i="10"/>
  <c r="BC36" i="10"/>
  <c r="BC35" i="10"/>
  <c r="BC33" i="10"/>
  <c r="BC32" i="10"/>
  <c r="BC31" i="10"/>
  <c r="BC30" i="10"/>
  <c r="BC29" i="10"/>
  <c r="BC28" i="10"/>
  <c r="BC27" i="10"/>
  <c r="BC26" i="10"/>
  <c r="BC25" i="10"/>
  <c r="BC24" i="10"/>
  <c r="BC23" i="10"/>
  <c r="BC22" i="10"/>
  <c r="BC20" i="10"/>
  <c r="BC19" i="10"/>
  <c r="BC16" i="10"/>
  <c r="BC15" i="10"/>
  <c r="BC14" i="10"/>
  <c r="BC53" i="10"/>
  <c r="BC41" i="10"/>
  <c r="BC34" i="10"/>
  <c r="BC21" i="10"/>
  <c r="BC18" i="10"/>
  <c r="BC17" i="10"/>
  <c r="BC13" i="10"/>
  <c r="BB55" i="10"/>
  <c r="BB54" i="10"/>
  <c r="BB52" i="10"/>
  <c r="BB51" i="10"/>
  <c r="BB50" i="10"/>
  <c r="BB49" i="10"/>
  <c r="BB48" i="10"/>
  <c r="BB47" i="10"/>
  <c r="BB46" i="10"/>
  <c r="BB45" i="10"/>
  <c r="BB44" i="10"/>
  <c r="BB43" i="10"/>
  <c r="BB40" i="10"/>
  <c r="BB39" i="10"/>
  <c r="BB38" i="10"/>
  <c r="BB37" i="10"/>
  <c r="BB36" i="10"/>
  <c r="BB35" i="10"/>
  <c r="BB33" i="10"/>
  <c r="BB32" i="10"/>
  <c r="BB30" i="10"/>
  <c r="BB28" i="10"/>
  <c r="BB27" i="10"/>
  <c r="BB26" i="10"/>
  <c r="BB24" i="10"/>
  <c r="BB23" i="10"/>
  <c r="BB22" i="10"/>
  <c r="BB20" i="10"/>
  <c r="BB19" i="10"/>
  <c r="BB16" i="10"/>
  <c r="BB15" i="10"/>
  <c r="BB14" i="10"/>
  <c r="BB53" i="10"/>
  <c r="BB42" i="10"/>
  <c r="BB41" i="10"/>
  <c r="BB34" i="10"/>
  <c r="BB31" i="10"/>
  <c r="BB29" i="10"/>
  <c r="BB25" i="10"/>
  <c r="BB21" i="10"/>
  <c r="BB18" i="10"/>
  <c r="BB17" i="10"/>
  <c r="BB13" i="10"/>
  <c r="BA55" i="10"/>
  <c r="BA54" i="10"/>
  <c r="BA52" i="10"/>
  <c r="BA51" i="10"/>
  <c r="BA49" i="10"/>
  <c r="BA48" i="10"/>
  <c r="BA47" i="10"/>
  <c r="BA46" i="10"/>
  <c r="BA45" i="10"/>
  <c r="BA44" i="10"/>
  <c r="BA43" i="10"/>
  <c r="BA40" i="10"/>
  <c r="BA39" i="10"/>
  <c r="BA38" i="10"/>
  <c r="BA37" i="10"/>
  <c r="BA36" i="10"/>
  <c r="BA35" i="10"/>
  <c r="BA33" i="10"/>
  <c r="BA32" i="10"/>
  <c r="BA30" i="10"/>
  <c r="BA27" i="10"/>
  <c r="BA26" i="10"/>
  <c r="BA24" i="10"/>
  <c r="BA23" i="10"/>
  <c r="BA22" i="10"/>
  <c r="BA19" i="10"/>
  <c r="BA16" i="10"/>
  <c r="BA15" i="10"/>
  <c r="BA14" i="10"/>
  <c r="BA53" i="10"/>
  <c r="BA50" i="10"/>
  <c r="BA42" i="10"/>
  <c r="BA41" i="10"/>
  <c r="BA34" i="10"/>
  <c r="BA31" i="10"/>
  <c r="BA29" i="10"/>
  <c r="BA28" i="10"/>
  <c r="BA25" i="10"/>
  <c r="BA21" i="10"/>
  <c r="BA20" i="10"/>
  <c r="BA18" i="10"/>
  <c r="BA17" i="10"/>
  <c r="BA13" i="10"/>
  <c r="AZ55" i="10"/>
  <c r="AZ54" i="10"/>
  <c r="AZ52" i="10"/>
  <c r="AZ47" i="10"/>
  <c r="AZ46" i="10"/>
  <c r="AZ45" i="10"/>
  <c r="AZ44" i="10"/>
  <c r="AZ43" i="10"/>
  <c r="AZ40" i="10"/>
  <c r="AZ39" i="10"/>
  <c r="AZ38" i="10"/>
  <c r="AZ37" i="10"/>
  <c r="AZ36" i="10"/>
  <c r="AZ35" i="10"/>
  <c r="AZ33" i="10"/>
  <c r="AZ32" i="10"/>
  <c r="AZ30" i="10"/>
  <c r="AZ26" i="10"/>
  <c r="AZ24" i="10"/>
  <c r="AZ23" i="10"/>
  <c r="AZ22" i="10"/>
  <c r="AZ19" i="10"/>
  <c r="AZ16" i="10"/>
  <c r="AZ15" i="10"/>
  <c r="AZ14" i="10"/>
  <c r="AZ53" i="10"/>
  <c r="AZ51" i="10"/>
  <c r="AZ50" i="10"/>
  <c r="AZ49" i="10"/>
  <c r="AZ48" i="10"/>
  <c r="AZ42" i="10"/>
  <c r="AZ41" i="10"/>
  <c r="AZ34" i="10"/>
  <c r="AZ31" i="10"/>
  <c r="AZ29" i="10"/>
  <c r="AZ28" i="10"/>
  <c r="AZ27" i="10"/>
  <c r="AZ25" i="10"/>
  <c r="AZ21" i="10"/>
  <c r="AZ20" i="10"/>
  <c r="AZ18" i="10"/>
  <c r="AZ17" i="10"/>
  <c r="AZ13" i="10"/>
  <c r="AY55" i="10"/>
  <c r="AY54" i="10"/>
  <c r="AY52" i="10"/>
  <c r="AY47" i="10"/>
  <c r="AY46" i="10"/>
  <c r="AY45" i="10"/>
  <c r="AY44" i="10"/>
  <c r="AY43" i="10"/>
  <c r="AY40" i="10"/>
  <c r="AY39" i="10"/>
  <c r="AY38" i="10"/>
  <c r="AY37" i="10"/>
  <c r="AY36" i="10"/>
  <c r="AY35" i="10"/>
  <c r="AY33" i="10"/>
  <c r="AY32" i="10"/>
  <c r="AY30" i="10"/>
  <c r="AY26" i="10"/>
  <c r="AY24" i="10"/>
  <c r="AY23" i="10"/>
  <c r="AY22" i="10"/>
  <c r="AY19" i="10"/>
  <c r="AY16" i="10"/>
  <c r="AY15" i="10"/>
  <c r="AY14" i="10"/>
  <c r="AY53" i="10"/>
  <c r="AY51" i="10"/>
  <c r="AY50" i="10"/>
  <c r="AY49" i="10"/>
  <c r="AY48" i="10"/>
  <c r="AY42" i="10"/>
  <c r="AY41" i="10"/>
  <c r="AY34" i="10"/>
  <c r="AY31" i="10"/>
  <c r="AY29" i="10"/>
  <c r="AY28" i="10"/>
  <c r="AY27" i="10"/>
  <c r="AY25" i="10"/>
  <c r="AY21" i="10"/>
  <c r="AY20" i="10"/>
  <c r="AY18" i="10"/>
  <c r="AY17" i="10"/>
  <c r="AY13" i="10"/>
  <c r="AX54" i="10"/>
  <c r="AX52" i="10"/>
  <c r="AX47" i="10"/>
  <c r="AX46" i="10"/>
  <c r="AX45" i="10"/>
  <c r="AX44" i="10"/>
  <c r="AX43" i="10"/>
  <c r="AX40" i="10"/>
  <c r="AX39" i="10"/>
  <c r="AX38" i="10"/>
  <c r="AX37" i="10"/>
  <c r="AX36" i="10"/>
  <c r="AX35" i="10"/>
  <c r="AX33" i="10"/>
  <c r="AX30" i="10"/>
  <c r="AX26" i="10"/>
  <c r="AX24" i="10"/>
  <c r="AX23" i="10"/>
  <c r="AX22" i="10"/>
  <c r="AX19" i="10"/>
  <c r="AX16" i="10"/>
  <c r="AX15" i="10"/>
  <c r="AX55" i="10"/>
  <c r="AX53" i="10"/>
  <c r="AX51" i="10"/>
  <c r="AX50" i="10"/>
  <c r="AX49" i="10"/>
  <c r="AX48" i="10"/>
  <c r="AX42" i="10"/>
  <c r="AX41" i="10"/>
  <c r="AX34" i="10"/>
  <c r="AX32" i="10"/>
  <c r="AX31" i="10"/>
  <c r="AX29" i="10"/>
  <c r="AX28" i="10"/>
  <c r="AX27" i="10"/>
  <c r="AX25" i="10"/>
  <c r="AX21" i="10"/>
  <c r="AX20" i="10"/>
  <c r="AX18" i="10"/>
  <c r="AX17" i="10"/>
  <c r="AX14" i="10"/>
  <c r="AX13" i="10"/>
  <c r="AW54" i="10"/>
  <c r="AW52" i="10"/>
  <c r="AW47" i="10"/>
  <c r="AW46" i="10"/>
  <c r="AW45" i="10"/>
  <c r="AW44" i="10"/>
  <c r="AW43" i="10"/>
  <c r="AW40" i="10"/>
  <c r="AW39" i="10"/>
  <c r="AW38" i="10"/>
  <c r="AW37" i="10"/>
  <c r="AW36" i="10"/>
  <c r="AW35" i="10"/>
  <c r="AW30" i="10"/>
  <c r="AW24" i="10"/>
  <c r="AW23" i="10"/>
  <c r="AW22" i="10"/>
  <c r="AW19" i="10"/>
  <c r="AW16" i="10"/>
  <c r="AW15" i="10"/>
  <c r="AW55" i="10"/>
  <c r="AW53" i="10"/>
  <c r="AW51" i="10"/>
  <c r="AW50" i="10"/>
  <c r="AW49" i="10"/>
  <c r="AW48" i="10"/>
  <c r="AW42" i="10"/>
  <c r="AW41" i="10"/>
  <c r="AW34" i="10"/>
  <c r="AW33" i="10"/>
  <c r="AW32" i="10"/>
  <c r="AW31" i="10"/>
  <c r="AW29" i="10"/>
  <c r="AW28" i="10"/>
  <c r="AW27" i="10"/>
  <c r="AW26" i="10"/>
  <c r="AW25" i="10"/>
  <c r="AW21" i="10"/>
  <c r="AW20" i="10"/>
  <c r="AW18" i="10"/>
  <c r="AW17" i="10"/>
  <c r="AW14" i="10"/>
  <c r="AW13" i="10"/>
  <c r="AV54" i="10"/>
  <c r="AV52" i="10"/>
  <c r="AV47" i="10"/>
  <c r="AV46" i="10"/>
  <c r="AV45" i="10"/>
  <c r="AV44" i="10"/>
  <c r="AV43" i="10"/>
  <c r="AV40" i="10"/>
  <c r="AV39" i="10"/>
  <c r="AV38" i="10"/>
  <c r="AV37" i="10"/>
  <c r="AV36" i="10"/>
  <c r="AV35" i="10"/>
  <c r="AV30" i="10"/>
  <c r="AV24" i="10"/>
  <c r="AV23" i="10"/>
  <c r="AV22" i="10"/>
  <c r="AV19" i="10"/>
  <c r="AV16" i="10"/>
  <c r="AV15" i="10"/>
  <c r="AV55" i="10"/>
  <c r="AV53" i="10"/>
  <c r="AV51" i="10"/>
  <c r="AV50" i="10"/>
  <c r="AV49" i="10"/>
  <c r="AV48" i="10"/>
  <c r="AV42" i="10"/>
  <c r="AV41" i="10"/>
  <c r="AV34" i="10"/>
  <c r="AV33" i="10"/>
  <c r="AV32" i="10"/>
  <c r="AV31" i="10"/>
  <c r="AV29" i="10"/>
  <c r="AV28" i="10"/>
  <c r="AV27" i="10"/>
  <c r="AV26" i="10"/>
  <c r="AV25" i="10"/>
  <c r="AV21" i="10"/>
  <c r="AV20" i="10"/>
  <c r="AV18" i="10"/>
  <c r="AV17" i="10"/>
  <c r="AV14" i="10"/>
  <c r="AV13" i="10"/>
  <c r="AU54" i="10"/>
  <c r="AU52" i="10"/>
  <c r="AU47" i="10"/>
  <c r="AU46" i="10"/>
  <c r="AU45" i="10"/>
  <c r="AU44" i="10"/>
  <c r="AU43" i="10"/>
  <c r="AU40" i="10"/>
  <c r="AU39" i="10"/>
  <c r="AU38" i="10"/>
  <c r="AU37" i="10"/>
  <c r="AU36" i="10"/>
  <c r="AU35" i="10"/>
  <c r="AU30" i="10"/>
  <c r="AU24" i="10"/>
  <c r="AU23" i="10"/>
  <c r="AU22" i="10"/>
  <c r="AU19" i="10"/>
  <c r="AU16" i="10"/>
  <c r="AU15" i="10"/>
  <c r="AU55" i="10"/>
  <c r="AU53" i="10"/>
  <c r="AU51" i="10"/>
  <c r="AU50" i="10"/>
  <c r="AU49" i="10"/>
  <c r="AU48" i="10"/>
  <c r="AU42" i="10"/>
  <c r="AU41" i="10"/>
  <c r="AU34" i="10"/>
  <c r="AU33" i="10"/>
  <c r="AU32" i="10"/>
  <c r="AU31" i="10"/>
  <c r="AU29" i="10"/>
  <c r="AU28" i="10"/>
  <c r="AU27" i="10"/>
  <c r="AU26" i="10"/>
  <c r="AU25" i="10"/>
  <c r="AU21" i="10"/>
  <c r="AU20" i="10"/>
  <c r="AU18" i="10"/>
  <c r="AU17" i="10"/>
  <c r="AU14" i="10"/>
  <c r="AU13" i="10"/>
  <c r="AT54" i="10"/>
  <c r="AT52" i="10"/>
  <c r="AT51" i="10"/>
  <c r="AT47" i="10"/>
  <c r="AT45" i="10"/>
  <c r="AT43" i="10"/>
  <c r="AT41" i="10"/>
  <c r="AT40" i="10"/>
  <c r="AT39" i="10"/>
  <c r="AT38" i="10"/>
  <c r="AT37" i="10"/>
  <c r="AT36" i="10"/>
  <c r="AT30" i="10"/>
  <c r="AT24" i="10"/>
  <c r="AT22" i="10"/>
  <c r="AT16" i="10"/>
  <c r="AT15" i="10"/>
  <c r="AT14" i="10"/>
  <c r="AT55" i="10"/>
  <c r="AT53" i="10"/>
  <c r="AT50" i="10"/>
  <c r="AT49" i="10"/>
  <c r="AT48" i="10"/>
  <c r="AT46" i="10"/>
  <c r="AT44" i="10"/>
  <c r="AT42" i="10"/>
  <c r="AT35" i="10"/>
  <c r="AT34" i="10"/>
  <c r="AT33" i="10"/>
  <c r="AT32" i="10"/>
  <c r="AT31" i="10"/>
  <c r="AT29" i="10"/>
  <c r="AT28" i="10"/>
  <c r="AT27" i="10"/>
  <c r="AT26" i="10"/>
  <c r="AT25" i="10"/>
  <c r="AT23" i="10"/>
  <c r="AT21" i="10"/>
  <c r="AT20" i="10"/>
  <c r="AT19" i="10"/>
  <c r="AT18" i="10"/>
  <c r="AT17" i="10"/>
  <c r="AT13" i="10"/>
  <c r="AS54" i="10"/>
  <c r="AS52" i="10"/>
  <c r="AS51" i="10"/>
  <c r="AS47" i="10"/>
  <c r="AS45" i="10"/>
  <c r="AS43" i="10"/>
  <c r="AS41" i="10"/>
  <c r="AS40" i="10"/>
  <c r="AS39" i="10"/>
  <c r="AS38" i="10"/>
  <c r="AS37" i="10"/>
  <c r="AS36" i="10"/>
  <c r="AS30" i="10"/>
  <c r="AS24" i="10"/>
  <c r="AS22" i="10"/>
  <c r="AS16" i="10"/>
  <c r="AS15" i="10"/>
  <c r="AS14" i="10"/>
  <c r="AS55" i="10"/>
  <c r="AS53" i="10"/>
  <c r="AS50" i="10"/>
  <c r="AS49" i="10"/>
  <c r="AS48" i="10"/>
  <c r="AS46" i="10"/>
  <c r="AS44" i="10"/>
  <c r="AS42" i="10"/>
  <c r="AS35" i="10"/>
  <c r="AS34" i="10"/>
  <c r="AS33" i="10"/>
  <c r="AS32" i="10"/>
  <c r="AS31" i="10"/>
  <c r="AS29" i="10"/>
  <c r="AS28" i="10"/>
  <c r="AS27" i="10"/>
  <c r="AS26" i="10"/>
  <c r="AS25" i="10"/>
  <c r="AS23" i="10"/>
  <c r="AS21" i="10"/>
  <c r="AS20" i="10"/>
  <c r="AS19" i="10"/>
  <c r="AS18" i="10"/>
  <c r="AS17" i="10"/>
  <c r="AS13" i="10"/>
  <c r="AR54" i="10"/>
  <c r="AR52" i="10"/>
  <c r="AR51" i="10"/>
  <c r="AR47" i="10"/>
  <c r="AR45" i="10"/>
  <c r="AR43" i="10"/>
  <c r="AR41" i="10"/>
  <c r="AR40" i="10"/>
  <c r="AR39" i="10"/>
  <c r="AR38" i="10"/>
  <c r="AR37" i="10"/>
  <c r="AR36" i="10"/>
  <c r="AR30" i="10"/>
  <c r="AR24" i="10"/>
  <c r="AR22" i="10"/>
  <c r="AR16" i="10"/>
  <c r="AR15" i="10"/>
  <c r="AR14" i="10"/>
  <c r="AR55" i="10"/>
  <c r="AR53" i="10"/>
  <c r="AR50" i="10"/>
  <c r="AR49" i="10"/>
  <c r="AR48" i="10"/>
  <c r="AR46" i="10"/>
  <c r="AR44" i="10"/>
  <c r="AR42" i="10"/>
  <c r="AR35" i="10"/>
  <c r="AR34" i="10"/>
  <c r="AR33" i="10"/>
  <c r="AR32" i="10"/>
  <c r="AR31" i="10"/>
  <c r="AR29" i="10"/>
  <c r="AR28" i="10"/>
  <c r="AR27" i="10"/>
  <c r="AR26" i="10"/>
  <c r="AR25" i="10"/>
  <c r="AR23" i="10"/>
  <c r="AR21" i="10"/>
  <c r="AR20" i="10"/>
  <c r="AR19" i="10"/>
  <c r="AR18" i="10"/>
  <c r="AR17" i="10"/>
  <c r="AR13" i="10"/>
  <c r="AQ54" i="10"/>
  <c r="AQ52" i="10"/>
  <c r="AQ51" i="10"/>
  <c r="AQ47" i="10"/>
  <c r="AQ45" i="10"/>
  <c r="AQ43" i="10"/>
  <c r="AQ41" i="10"/>
  <c r="AQ40" i="10"/>
  <c r="AQ39" i="10"/>
  <c r="AQ38" i="10"/>
  <c r="AQ37" i="10"/>
  <c r="AQ36" i="10"/>
  <c r="AQ30" i="10"/>
  <c r="AQ24" i="10"/>
  <c r="AQ22" i="10"/>
  <c r="AQ16" i="10"/>
  <c r="AQ15" i="10"/>
  <c r="AQ14" i="10"/>
  <c r="AQ55" i="10"/>
  <c r="AQ53" i="10"/>
  <c r="AQ50" i="10"/>
  <c r="AQ49" i="10"/>
  <c r="AQ48" i="10"/>
  <c r="AQ46" i="10"/>
  <c r="AQ44" i="10"/>
  <c r="AQ42" i="10"/>
  <c r="AQ35" i="10"/>
  <c r="AQ34" i="10"/>
  <c r="AQ33" i="10"/>
  <c r="AQ32" i="10"/>
  <c r="AQ31" i="10"/>
  <c r="AQ29" i="10"/>
  <c r="AQ28" i="10"/>
  <c r="AQ27" i="10"/>
  <c r="AQ26" i="10"/>
  <c r="AQ25" i="10"/>
  <c r="AQ23" i="10"/>
  <c r="AQ21" i="10"/>
  <c r="AQ20" i="10"/>
  <c r="AQ19" i="10"/>
  <c r="AQ18" i="10"/>
  <c r="AQ17" i="10"/>
  <c r="AQ13" i="10"/>
  <c r="AP54" i="10"/>
  <c r="AP52" i="10"/>
  <c r="AP51" i="10"/>
  <c r="AP47" i="10"/>
  <c r="AP45" i="10"/>
  <c r="AP43" i="10"/>
  <c r="AP41" i="10"/>
  <c r="AP40" i="10"/>
  <c r="AP39" i="10"/>
  <c r="AP38" i="10"/>
  <c r="AP37" i="10"/>
  <c r="AP36" i="10"/>
  <c r="AP30" i="10"/>
  <c r="AP24" i="10"/>
  <c r="AP22" i="10"/>
  <c r="AP16" i="10"/>
  <c r="AP15" i="10"/>
  <c r="AP14" i="10"/>
  <c r="AP55" i="10"/>
  <c r="AP53" i="10"/>
  <c r="AP50" i="10"/>
  <c r="AP49" i="10"/>
  <c r="AP48" i="10"/>
  <c r="AP46" i="10"/>
  <c r="AP44" i="10"/>
  <c r="AP42" i="10"/>
  <c r="AP35" i="10"/>
  <c r="AP34" i="10"/>
  <c r="AP33" i="10"/>
  <c r="AP32" i="10"/>
  <c r="AP31" i="10"/>
  <c r="AP29" i="10"/>
  <c r="AP28" i="10"/>
  <c r="AP27" i="10"/>
  <c r="AP26" i="10"/>
  <c r="AP25" i="10"/>
  <c r="AP23" i="10"/>
  <c r="AP21" i="10"/>
  <c r="AP20" i="10"/>
  <c r="AP19" i="10"/>
  <c r="AP18" i="10"/>
  <c r="AP17" i="10"/>
  <c r="AP13" i="10"/>
  <c r="AO54" i="10"/>
  <c r="AO52" i="10"/>
  <c r="AO51" i="10"/>
  <c r="AO47" i="10"/>
  <c r="AO45" i="10"/>
  <c r="AO43" i="10"/>
  <c r="AO41" i="10"/>
  <c r="AO40" i="10"/>
  <c r="AO39" i="10"/>
  <c r="AO38" i="10"/>
  <c r="AO37" i="10"/>
  <c r="AO36" i="10"/>
  <c r="AO30" i="10"/>
  <c r="AO24" i="10"/>
  <c r="AO22" i="10"/>
  <c r="AO16" i="10"/>
  <c r="AO15" i="10"/>
  <c r="AO14" i="10"/>
  <c r="AO55" i="10"/>
  <c r="AO53" i="10"/>
  <c r="AO50" i="10"/>
  <c r="AO49" i="10"/>
  <c r="AO48" i="10"/>
  <c r="AO46" i="10"/>
  <c r="AO44" i="10"/>
  <c r="AO42" i="10"/>
  <c r="AO35" i="10"/>
  <c r="AO34" i="10"/>
  <c r="AO33" i="10"/>
  <c r="AO32" i="10"/>
  <c r="AO31" i="10"/>
  <c r="AO29" i="10"/>
  <c r="AO28" i="10"/>
  <c r="AO27" i="10"/>
  <c r="AO26" i="10"/>
  <c r="AO25" i="10"/>
  <c r="AO23" i="10"/>
  <c r="AO21" i="10"/>
  <c r="AO20" i="10"/>
  <c r="AO19" i="10"/>
  <c r="AO18" i="10"/>
  <c r="AO17" i="10"/>
  <c r="AO13" i="10"/>
  <c r="J41" i="205"/>
  <c r="H40" i="205"/>
  <c r="C4" i="5"/>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H14" i="10"/>
  <c r="H15" i="10" s="1"/>
  <c r="H16" i="10" s="1"/>
  <c r="H17" i="10" s="1"/>
  <c r="H18" i="10" s="1"/>
  <c r="H19" i="10" s="1"/>
  <c r="H20" i="10" s="1"/>
  <c r="H21" i="10" s="1"/>
  <c r="H22" i="10" s="1"/>
  <c r="H23" i="10" s="1"/>
  <c r="H24" i="10" s="1"/>
  <c r="H25" i="10" s="1"/>
  <c r="H26" i="10" s="1"/>
  <c r="H27" i="10" s="1"/>
  <c r="H28" i="10" s="1"/>
  <c r="H29" i="10" s="1"/>
  <c r="H30" i="10" s="1"/>
  <c r="H31" i="10" s="1"/>
  <c r="H32" i="10" s="1"/>
  <c r="H33" i="10" s="1"/>
  <c r="H34" i="10" s="1"/>
  <c r="H35" i="10" s="1"/>
  <c r="H36" i="10" s="1"/>
  <c r="J38" i="10"/>
  <c r="H37" i="10"/>
  <c r="H9" i="206"/>
  <c r="H9" i="5"/>
  <c r="C9" i="209"/>
  <c r="I4" i="5"/>
  <c r="J4" i="5"/>
  <c r="K4" i="5"/>
  <c r="L4" i="5"/>
  <c r="M4" i="5"/>
  <c r="N4" i="5"/>
  <c r="O4" i="5"/>
  <c r="P4" i="5"/>
  <c r="Q4" i="5"/>
  <c r="R4" i="5"/>
  <c r="S4" i="5"/>
  <c r="T4" i="5"/>
  <c r="U4" i="5"/>
  <c r="V4" i="5"/>
  <c r="W4" i="5"/>
  <c r="X4" i="5"/>
  <c r="Y4" i="5"/>
  <c r="Z4" i="5"/>
  <c r="AA4" i="5"/>
  <c r="AB4" i="5"/>
  <c r="AC4" i="5"/>
  <c r="AD4" i="5"/>
  <c r="AE4" i="5"/>
  <c r="AF4" i="5"/>
  <c r="F8" i="11"/>
  <c r="J42" i="205" l="1"/>
  <c r="H41" i="205"/>
  <c r="J39" i="10"/>
  <c r="H38" i="10"/>
  <c r="E6" i="209"/>
  <c r="E4" i="7"/>
  <c r="J43" i="205" l="1"/>
  <c r="H42" i="205"/>
  <c r="J40" i="10"/>
  <c r="H39" i="10"/>
  <c r="D9" i="209"/>
  <c r="E9" i="209"/>
  <c r="D10" i="209"/>
  <c r="E10" i="209"/>
  <c r="D11" i="209"/>
  <c r="E11" i="209"/>
  <c r="D12" i="209"/>
  <c r="E12" i="209"/>
  <c r="D13" i="209"/>
  <c r="E13" i="209"/>
  <c r="D14" i="209"/>
  <c r="E14" i="209"/>
  <c r="D15" i="209"/>
  <c r="E15" i="209"/>
  <c r="D16" i="209"/>
  <c r="E16" i="209"/>
  <c r="D17" i="209"/>
  <c r="E17" i="209"/>
  <c r="D18" i="209"/>
  <c r="E18" i="209"/>
  <c r="D19" i="209"/>
  <c r="E19" i="209"/>
  <c r="D20" i="209"/>
  <c r="E20" i="209"/>
  <c r="D21" i="209"/>
  <c r="E21" i="209"/>
  <c r="D22" i="209"/>
  <c r="E22" i="209"/>
  <c r="D23" i="209"/>
  <c r="E23" i="209"/>
  <c r="D24" i="209"/>
  <c r="E24" i="209"/>
  <c r="D25" i="209"/>
  <c r="E25" i="209"/>
  <c r="D26" i="209"/>
  <c r="E26" i="209"/>
  <c r="D27" i="209"/>
  <c r="E27" i="209"/>
  <c r="D28" i="209"/>
  <c r="E28" i="209"/>
  <c r="D29" i="209"/>
  <c r="E29" i="209"/>
  <c r="D30" i="209"/>
  <c r="E30" i="209"/>
  <c r="D31" i="209"/>
  <c r="E31" i="209"/>
  <c r="D32" i="209"/>
  <c r="E32" i="209"/>
  <c r="J44" i="205" l="1"/>
  <c r="H43" i="205"/>
  <c r="J41" i="10"/>
  <c r="H40" i="10"/>
  <c r="J45" i="205" l="1"/>
  <c r="H44" i="205"/>
  <c r="J42" i="10"/>
  <c r="H41" i="10"/>
  <c r="J46" i="205" l="1"/>
  <c r="H45" i="205"/>
  <c r="J43" i="10"/>
  <c r="H42" i="10"/>
  <c r="J47" i="205" l="1"/>
  <c r="H46" i="205"/>
  <c r="J44" i="10"/>
  <c r="H43" i="10"/>
  <c r="J48" i="205" l="1"/>
  <c r="H47" i="205"/>
  <c r="J45" i="10"/>
  <c r="H44" i="10"/>
  <c r="J49" i="205" l="1"/>
  <c r="H48" i="205"/>
  <c r="J46" i="10"/>
  <c r="H45" i="10"/>
  <c r="J50" i="205" l="1"/>
  <c r="H49" i="205"/>
  <c r="J47" i="10"/>
  <c r="H46" i="10"/>
  <c r="J51" i="205" l="1"/>
  <c r="H50" i="205"/>
  <c r="J48" i="10"/>
  <c r="H47" i="10"/>
  <c r="J52" i="205" l="1"/>
  <c r="H51" i="205"/>
  <c r="J49" i="10"/>
  <c r="H48" i="10"/>
  <c r="J53" i="205" l="1"/>
  <c r="H52" i="205"/>
  <c r="J50" i="10"/>
  <c r="H49" i="10"/>
  <c r="J54" i="205" l="1"/>
  <c r="H53" i="205"/>
  <c r="J51" i="10"/>
  <c r="H50" i="10"/>
  <c r="J55" i="205" l="1"/>
  <c r="H54" i="205"/>
  <c r="J52" i="10"/>
  <c r="H51" i="10"/>
  <c r="H55" i="205" l="1"/>
  <c r="H11" i="205"/>
  <c r="J53" i="10"/>
  <c r="H52" i="10"/>
  <c r="J54" i="10" l="1"/>
  <c r="H53" i="10"/>
  <c r="J55" i="10" l="1"/>
  <c r="H54" i="10"/>
  <c r="H55" i="10" l="1"/>
  <c r="H11" i="10"/>
</calcChain>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IuranDSSebelumnya!$I$19:$N$21" type="102" refreshedVersion="5" minRefreshableVersion="5">
    <extLst>
      <ext xmlns:x15="http://schemas.microsoft.com/office/spreadsheetml/2010/11/main" uri="{DE250136-89BD-433C-8126-D09CA5730AF9}">
        <x15:connection id="Range-25b34c95-c840-45ab-8906-7b48a28086e1" autoDelete="1">
          <x15:rangePr sourceName="_xlcn.WorksheetConnection_IuranDSSebelumnyaI19N21"/>
        </x15:connection>
      </ext>
    </extLst>
  </connection>
  <connection id="3" name="WorksheetConnection_IuranSYSebelumnya!$I$19:$N$21" type="102" refreshedVersion="5" minRefreshableVersion="5">
    <extLst>
      <ext xmlns:x15="http://schemas.microsoft.com/office/spreadsheetml/2010/11/main" uri="{DE250136-89BD-433C-8126-D09CA5730AF9}">
        <x15:connection id="Range1-ceec2cdd-700c-4a2c-8442-290bfff1122e" autoDelete="1">
          <x15:rangePr sourceName="_xlcn.WorksheetConnection_IuranSYSebelumnyaI19N21"/>
        </x15:connection>
      </ext>
    </extLst>
  </connection>
</connections>
</file>

<file path=xl/sharedStrings.xml><?xml version="1.0" encoding="utf-8"?>
<sst xmlns="http://schemas.openxmlformats.org/spreadsheetml/2006/main" count="42274" uniqueCount="21015">
  <si>
    <t>Daftar Sumbangan Dana Sehat</t>
  </si>
  <si>
    <t>Nama Lingkungan</t>
  </si>
  <si>
    <t>No. KK</t>
  </si>
  <si>
    <t>Nama Kepala Keluarga</t>
  </si>
  <si>
    <t>Alamat</t>
  </si>
  <si>
    <t>Subtotal</t>
  </si>
  <si>
    <t>Posting Date</t>
  </si>
  <si>
    <t>Description</t>
  </si>
  <si>
    <t>Customer</t>
  </si>
  <si>
    <t>Document Date</t>
  </si>
  <si>
    <t>No.</t>
  </si>
  <si>
    <t>Nama</t>
  </si>
  <si>
    <t>Mengetahui,</t>
  </si>
  <si>
    <t>Ketua Lingkungan</t>
  </si>
  <si>
    <t>TGL</t>
  </si>
  <si>
    <t>KETERANGAN</t>
  </si>
  <si>
    <t>PENERIMAAN</t>
  </si>
  <si>
    <t>PENGELUARAN</t>
  </si>
  <si>
    <t>SALDO</t>
  </si>
  <si>
    <t>Saldo awal</t>
  </si>
  <si>
    <t>Diterima oleh,</t>
  </si>
  <si>
    <t>Fit</t>
  </si>
  <si>
    <t>Hide</t>
  </si>
  <si>
    <t>Title</t>
  </si>
  <si>
    <t>Value</t>
  </si>
  <si>
    <t>Lookup</t>
  </si>
  <si>
    <t>Nama Filter</t>
  </si>
  <si>
    <t>Nilai</t>
  </si>
  <si>
    <t>Table Referensi</t>
  </si>
  <si>
    <t>Lookup Formula</t>
  </si>
  <si>
    <t>Option</t>
  </si>
  <si>
    <t>Dimension Value</t>
  </si>
  <si>
    <t>Amount</t>
  </si>
  <si>
    <t>Intensi Code</t>
  </si>
  <si>
    <t>Source Type</t>
  </si>
  <si>
    <t>Bagian ini digunakan Khusus untuk Mirroring.</t>
  </si>
  <si>
    <t>Nilai ini kemudian yang akan digunakan di table input iuran DSSY untuk conditional formatting, dan Lock Cell</t>
  </si>
  <si>
    <t>Gabungan</t>
  </si>
  <si>
    <t>Status</t>
  </si>
  <si>
    <t>Kolom Awal</t>
  </si>
  <si>
    <t>Kolom Akhir</t>
  </si>
  <si>
    <t>Jumlah Kolom</t>
  </si>
  <si>
    <t>Jumlah Baris</t>
  </si>
  <si>
    <t>Baris Awal</t>
  </si>
  <si>
    <t>Intensi</t>
  </si>
  <si>
    <t>Kartu Persembahan - Dana Sehat</t>
  </si>
  <si>
    <t>Dana Papa</t>
  </si>
  <si>
    <t>Resp Center</t>
  </si>
  <si>
    <t>Laporan Iuran Dana Sehat Sebelumnya</t>
  </si>
  <si>
    <t>apa yang lingkungan setorkan tiap bulan</t>
  </si>
  <si>
    <t>Table ini asalnya dari G/L Entry table, data-nya akan dipake untuk menghasilkan Pivot Table untuk melaporkan</t>
  </si>
  <si>
    <t>Table ini asalnya dari Customer Table, datanya dipake untuk menunjukkan bulan apa yang iurannya sudah</t>
  </si>
  <si>
    <t>dibayar. Perlu ada table ini, karena table yang diatas tidak menunjukkan pembayaran bila pembayaran iuran</t>
  </si>
  <si>
    <t>dilakukan di lingkungan sebelum umat pindah ke lingkungan yang baru</t>
  </si>
  <si>
    <t>Name</t>
  </si>
  <si>
    <t>Cust. Ledger Entry</t>
  </si>
  <si>
    <t>Filter</t>
  </si>
  <si>
    <t>Departemen Code</t>
  </si>
  <si>
    <t>Mengambil Nilai dari Sheet "IuranDSSebelumnya", &amp; Customer Table. Dan memberikan indikator, apakah ada pembayaran di bulan tertentu, pada KK tertentu.</t>
  </si>
  <si>
    <t>(All)</t>
  </si>
  <si>
    <t>Row Labels</t>
  </si>
  <si>
    <t>(blank)</t>
  </si>
  <si>
    <t>Grand Total</t>
  </si>
  <si>
    <t>Column Labels</t>
  </si>
  <si>
    <t>Sum of Amount</t>
  </si>
  <si>
    <t>Filter Tanggal</t>
  </si>
  <si>
    <t>Tanggal</t>
  </si>
  <si>
    <t>Daftar Sumbangan St. Yusuf</t>
  </si>
  <si>
    <t>Kartu Persembahan - St Yusuf</t>
  </si>
  <si>
    <t>Laporan Iuran St. Yusuf Sebelumnya</t>
  </si>
  <si>
    <t>Auto+Hide+Lock</t>
  </si>
  <si>
    <t>--&gt; Sudah bayar, di lingkungan lain</t>
  </si>
  <si>
    <t>baris ini khusus u/ jadi marker kolom mana yg mau di tarik ke laporan print lingkungan</t>
  </si>
  <si>
    <t>Banyak Baris</t>
  </si>
  <si>
    <t>ini marker kolom mana yang ditunjukkan</t>
  </si>
  <si>
    <t>ini petunjuk kolom berapa yang di pakai u/ vlookup</t>
  </si>
  <si>
    <t>Bendahara Ling.</t>
  </si>
  <si>
    <t>Dibuat oleh,</t>
  </si>
  <si>
    <t>Dana Sehat</t>
  </si>
  <si>
    <t>Rekapitulasi Sumbangan Kartu Persembahan:</t>
  </si>
  <si>
    <t>St. Yusuf</t>
  </si>
  <si>
    <t>--&gt; Sudah bayar</t>
  </si>
  <si>
    <t>Total</t>
  </si>
  <si>
    <t>Bing Subroto</t>
  </si>
  <si>
    <t>Mengambil Nilai dari Sheet "IuranSYSebelumnya", &amp; Customer Table. Dan memberikan indikator, apakah ada pembayaran di bulan tertentu, pada KK tertentu.</t>
  </si>
  <si>
    <t>Total DSSY :</t>
  </si>
  <si>
    <t>Laporan Kartu Kuning</t>
  </si>
  <si>
    <t>Bulan</t>
  </si>
  <si>
    <t>Lingkungan :</t>
  </si>
  <si>
    <t>Bagian Dana Sehat / St. Yusuf</t>
  </si>
  <si>
    <t>Tangerang,</t>
  </si>
  <si>
    <t>Permohonan Perubahan Data KK</t>
  </si>
  <si>
    <t>Tambah KK</t>
  </si>
  <si>
    <t>No. KK Biduk</t>
  </si>
  <si>
    <t>Nama KK di Biduk</t>
  </si>
  <si>
    <t>Alasan Penambahan KK</t>
  </si>
  <si>
    <t>Keterangan Lain</t>
  </si>
  <si>
    <t>Pindah dari Lingkungan lain</t>
  </si>
  <si>
    <t>Pindah dari Paroki Lain</t>
  </si>
  <si>
    <t>Baptisan Baru</t>
  </si>
  <si>
    <t>Umat lama yang baru mendaftar</t>
  </si>
  <si>
    <t>Mekar dari KK ortu (menikah)</t>
  </si>
  <si>
    <t>Lain</t>
  </si>
  <si>
    <t>Checker</t>
  </si>
  <si>
    <t>Perlu Keterangan Lain</t>
  </si>
  <si>
    <t>Ya</t>
  </si>
  <si>
    <t>Tidak</t>
  </si>
  <si>
    <t>Pengurangan KK</t>
  </si>
  <si>
    <t>Nama KK</t>
  </si>
  <si>
    <t>Alasan Pengurangan KK</t>
  </si>
  <si>
    <t>Meninggal</t>
  </si>
  <si>
    <t>Pindah Rumah</t>
  </si>
  <si>
    <t>Pindah Agama</t>
  </si>
  <si>
    <t>Bend. Paroki</t>
  </si>
  <si>
    <t>Bend. Lingkungan</t>
  </si>
  <si>
    <t>baris ini jadi marker, apakah cursor nya sedang ada di kolom ini ?</t>
  </si>
  <si>
    <t>kolom ini jadi marker, apakah cursor nya sedang ada di baris ini ?</t>
  </si>
  <si>
    <t>="TRT-80-10"</t>
  </si>
  <si>
    <t>=NL("Lookup","Dimension Value",{"Code","Name"},"Dimension Code","DEPARTEMEN","Dimension Value Type","Standard","Group Type","LINGKUNGAN","+Name","*")</t>
  </si>
  <si>
    <t>Auto+Hide+HideSheet+Values+Formulas=Sheet1,Sheet2+FormulasOnly</t>
  </si>
  <si>
    <t>=IF(H4="Protected","","Admin Mode: Excel tidak terkunci, jangan dibagikan ke lingkungan")</t>
  </si>
  <si>
    <t>=Options!B4</t>
  </si>
  <si>
    <t>=NL("First","Dimension Value","Name","Code",$M$5)</t>
  </si>
  <si>
    <t>=NP("Eval","=Options!$F$8")</t>
  </si>
  <si>
    <t>=NL("First","Dimension Value","Code","Name",$L$6)</t>
  </si>
  <si>
    <t>=CELL("col")=CELL("col",M8)</t>
  </si>
  <si>
    <t>=CELL("col")=CELL("col",N8)</t>
  </si>
  <si>
    <t>=CELL("col")=CELL("col",O8)</t>
  </si>
  <si>
    <t>=CELL("col")=CELL("col",P8)</t>
  </si>
  <si>
    <t>=CELL("col")=CELL("col",Q8)</t>
  </si>
  <si>
    <t>=CELL("col")=CELL("col",R8)</t>
  </si>
  <si>
    <t>=CELL("col")=CELL("col",S8)</t>
  </si>
  <si>
    <t>=CELL("col")=CELL("col",T8)</t>
  </si>
  <si>
    <t>=CELL("col")=CELL("col",U8)</t>
  </si>
  <si>
    <t>=CELL("col")=CELL("col",V8)</t>
  </si>
  <si>
    <t>=CELL("col")=CELL("col",W8)</t>
  </si>
  <si>
    <t>=CELL("col")=CELL("col",X8)</t>
  </si>
  <si>
    <t>=CELL("col")=CELL("col",Y8)</t>
  </si>
  <si>
    <t>=CELL("col")=CELL("col",Z8)</t>
  </si>
  <si>
    <t>=CELL("col")=CELL("col",AA8)</t>
  </si>
  <si>
    <t>=CELL("col")=CELL("col",AB8)</t>
  </si>
  <si>
    <t>=CELL("col")=CELL("col",AC8)</t>
  </si>
  <si>
    <t>=CELL("col")=CELL("col",AD8)</t>
  </si>
  <si>
    <t>=CELL("col")=CELL("col",AE8)</t>
  </si>
  <si>
    <t>=CELL("col")=CELL("col",AF8)</t>
  </si>
  <si>
    <t>=CELL("col")=CELL("col",AG8)</t>
  </si>
  <si>
    <t>=CELL("col")=CELL("col",AH8)</t>
  </si>
  <si>
    <t>=CELL("col")=CELL("col",AI8)</t>
  </si>
  <si>
    <t>=CELL("col")=CELL("col",AJ8)</t>
  </si>
  <si>
    <t>=CELL("col")=CELL("col",AK8)</t>
  </si>
  <si>
    <t>=COUNTIF(N12:AK12,"&gt;0")</t>
  </si>
  <si>
    <t>=IF(N$12=0,0,1)</t>
  </si>
  <si>
    <t>=IF(N9=$M$9,0,
        IF(O$12=0,N9,N9+1))</t>
  </si>
  <si>
    <t>=IF(O9=$M$9,0,
        IF(P$12=0,O9,O9+1))</t>
  </si>
  <si>
    <t>=IF(P9=$M$9,0,
        IF(Q$12=0,P9,P9+1))</t>
  </si>
  <si>
    <t>=IF(Q9=$M$9,0,
        IF(R$12=0,Q9,Q9+1))</t>
  </si>
  <si>
    <t>=IF(R9=$M$9,0,
        IF(S$12=0,R9,R9+1))</t>
  </si>
  <si>
    <t>=IF(S9=$M$9,0,
        IF(T$12=0,S9,S9+1))</t>
  </si>
  <si>
    <t>=IF(T9=$M$9,0,
        IF(U$12=0,T9,T9+1))</t>
  </si>
  <si>
    <t>=IF(U9=$M$9,0,
        IF(V$12=0,U9,U9+1))</t>
  </si>
  <si>
    <t>=IF(V9=$M$9,0,
        IF(W$12=0,V9,V9+1))</t>
  </si>
  <si>
    <t>=IF(W9=$M$9,0,
        IF(X$12=0,W9,W9+1))</t>
  </si>
  <si>
    <t>=IF(X9=$M$9,0,
        IF(Y$12=0,X9,X9+1))</t>
  </si>
  <si>
    <t>=IF(Y9=$M$9,0,
        IF(Z$12=0,Y9,Y9+1))</t>
  </si>
  <si>
    <t>=IF(Z9=$M$9,0,
        IF(AA$12=0,Z9,Z9+1))</t>
  </si>
  <si>
    <t>=IF(AA9=$M$9,0,
        IF(AB$12=0,AA9,AA9+1))</t>
  </si>
  <si>
    <t>=IF(AB9=$M$9,0,
        IF(AC$12=0,AB9,AB9+1))</t>
  </si>
  <si>
    <t>=IF(AC9=$M$9,0,
        IF(AD$12=0,AC9,AC9+1))</t>
  </si>
  <si>
    <t>=IF(AD9=$M$9,0,
        IF(AE$12=0,AD9,AD9+1))</t>
  </si>
  <si>
    <t>=IF(AE9=$M$9,0,
        IF(AF$12=0,AE9,AE9+1))</t>
  </si>
  <si>
    <t>=IF(AF9=$M$9,0,
        IF(AG$12=0,AF9,AF9+1))</t>
  </si>
  <si>
    <t>=IF(AG9=$M$9,0,
        IF(AH$12=0,AG9,AG9+1))</t>
  </si>
  <si>
    <t>=IF(AH9=$M$9,0,
        IF(AI$12=0,AH9,AH9+1))</t>
  </si>
  <si>
    <t>=IF(AI9=$M$9,0,
        IF(AJ$12=0,AI9,AI9+1))</t>
  </si>
  <si>
    <t>=IF(AJ9=$M$9,0,
        IF(AK$12=0,AJ9,AJ9+1))</t>
  </si>
  <si>
    <t>=T10-1</t>
  </si>
  <si>
    <t>=NP("Eval","=IF(MONTH(TODAY())=12,YEAR(TODAY())+1,YEAR(TODAY()))")</t>
  </si>
  <si>
    <t>=T10+1</t>
  </si>
  <si>
    <t>=AU10-1</t>
  </si>
  <si>
    <t>=NP("Eval","=YEAR(TODAY())")</t>
  </si>
  <si>
    <t>=AU10+1</t>
  </si>
  <si>
    <t>=ROW(N13)</t>
  </si>
  <si>
    <t>=COLUMN(N13)</t>
  </si>
  <si>
    <t>=COLUMN(AK13)</t>
  </si>
  <si>
    <t>=F11-E11+1</t>
  </si>
  <si>
    <t>=COUNT(J13:J14)</t>
  </si>
  <si>
    <t>=DATE($N$10,7,1)</t>
  </si>
  <si>
    <t>=DATE($N$10,8,1)</t>
  </si>
  <si>
    <t>=DATE($N$10,9,1)</t>
  </si>
  <si>
    <t>=DATE($N$10,10,1)</t>
  </si>
  <si>
    <t>=DATE($N$10,11,1)</t>
  </si>
  <si>
    <t>=DATE($N$10,12,1)</t>
  </si>
  <si>
    <t>=DATE($T$10,1,1)</t>
  </si>
  <si>
    <t>=DATE($T$10,2,1)</t>
  </si>
  <si>
    <t>=DATE($T$10,3,1)</t>
  </si>
  <si>
    <t>=DATE($T$10,4,1)</t>
  </si>
  <si>
    <t>=DATE($T$10,5,1)</t>
  </si>
  <si>
    <t>=DATE($T$10,6,1)</t>
  </si>
  <si>
    <t>=DATE($T$10,7,1)</t>
  </si>
  <si>
    <t>=DATE($T$10,8,1)</t>
  </si>
  <si>
    <t>=DATE($T$10,9,1)</t>
  </si>
  <si>
    <t>=DATE($T$10,10,1)</t>
  </si>
  <si>
    <t>=DATE($T$10,11,1)</t>
  </si>
  <si>
    <t>=DATE($T$10,12,1)</t>
  </si>
  <si>
    <t>=DATE($AF$10,1,1)</t>
  </si>
  <si>
    <t>=DATE($AF$10,2,1)</t>
  </si>
  <si>
    <t>=DATE($AF$10,3,1)</t>
  </si>
  <si>
    <t>=DATE($AF$10,4,1)</t>
  </si>
  <si>
    <t>=DATE($AF$10,5,1)</t>
  </si>
  <si>
    <t>=DATE($AF$10,6,1)</t>
  </si>
  <si>
    <t>=COUNTIF(AL13:AL14,"&gt;0")</t>
  </si>
  <si>
    <t>=SUBTOTAL(9,N13:N14)</t>
  </si>
  <si>
    <t>=SUBTOTAL(9,O13:O14)</t>
  </si>
  <si>
    <t>=SUBTOTAL(9,P13:P14)</t>
  </si>
  <si>
    <t>=SUBTOTAL(9,Q13:Q14)</t>
  </si>
  <si>
    <t>=SUBTOTAL(9,R13:R14)</t>
  </si>
  <si>
    <t>=SUBTOTAL(9,S13:S14)</t>
  </si>
  <si>
    <t>=SUBTOTAL(9,T13:T14)</t>
  </si>
  <si>
    <t>=SUBTOTAL(9,U13:U14)</t>
  </si>
  <si>
    <t>=SUBTOTAL(9,V13:V14)</t>
  </si>
  <si>
    <t>=SUBTOTAL(9,W13:W14)</t>
  </si>
  <si>
    <t>=SUBTOTAL(9,X13:X14)</t>
  </si>
  <si>
    <t>=SUBTOTAL(9,Y13:Y14)</t>
  </si>
  <si>
    <t>=SUBTOTAL(9,Z13:Z14)</t>
  </si>
  <si>
    <t>=SUBTOTAL(9,AA13:AA14)</t>
  </si>
  <si>
    <t>=SUBTOTAL(9,AB13:AB14)</t>
  </si>
  <si>
    <t>=SUBTOTAL(9,AC13:AC14)</t>
  </si>
  <si>
    <t>=SUBTOTAL(9,AD13:AD14)</t>
  </si>
  <si>
    <t>=SUBTOTAL(9,AE13:AE14)</t>
  </si>
  <si>
    <t>=SUBTOTAL(9,AF13:AF14)</t>
  </si>
  <si>
    <t>=SUBTOTAL(9,AG13:AG14)</t>
  </si>
  <si>
    <t>=SUBTOTAL(9,AH13:AH14)</t>
  </si>
  <si>
    <t>=SUBTOTAL(9,AI13:AI14)</t>
  </si>
  <si>
    <t>=SUBTOTAL(9,AJ13:AJ14)</t>
  </si>
  <si>
    <t>=SUBTOTAL(9,AK13:AK14)</t>
  </si>
  <si>
    <t>=SUBTOTAL(9,AL13:AL14)</t>
  </si>
  <si>
    <t>=CELL("row")=CELL("row",C13)</t>
  </si>
  <si>
    <t>=NL("Rows","Customer",,"Departemen Code",$M$5,"No.","KK*","+Name","*","Blocked","@@")</t>
  </si>
  <si>
    <t>=IF(AND($AL13=0,$J13=1)=TRUE,0,
        IF(AND($AL13&gt;0,$J13=1)=TRUE,1,
              IF(AND(H12=$H$12,$J13&gt;1)=TRUE,0,
                    IF(AND($AL13=0,$J13&gt;1),H12,
                         H12+1))))</t>
  </si>
  <si>
    <t>=IF(J12="No.",1,J12+1)</t>
  </si>
  <si>
    <t>=NF($D13,"No.")</t>
  </si>
  <si>
    <t>=NF($D13,"Name")</t>
  </si>
  <si>
    <t>=SUM(N13:AK13)</t>
  </si>
  <si>
    <t>=IF(COUNTIFS(IuranDSSebelumnya!$J$20:$J$21,$K13,IuranDSSebelumnya!$M$20:$M$21,AO$11,IuranDSSebelumnya!$L$20:$L$21,$M$5)&gt;0,
        VLOOKUP(CONCATENATE($K13,"|",AO$11,"|",$M$5),IuranDSSebelumnya!$I$20:$N$21,5,FALSE),
        IF(COUNTIFS(IuranDSSebelumnya!$J$20:$J$21,$K13,IuranDSSebelumnya!$M$20:$M$21,AO$11,IuranDSSebelumnya!$L$20:$L$21,"&lt;&gt;"&amp;$M$5)&gt;0,
              "Iuran dari Lingkungan lain",
              ""))</t>
  </si>
  <si>
    <t>=IF(COUNTIFS(IuranDSSebelumnya!$J$20:$J$21,$K13,IuranDSSebelumnya!$M$20:$M$21,AP$11,IuranDSSebelumnya!$L$20:$L$21,$M$5)&gt;0,
        VLOOKUP(CONCATENATE($K13,"|",AP$11,"|",$M$5),IuranDSSebelumnya!$I$20:$N$21,5,FALSE),
        IF(COUNTIFS(IuranDSSebelumnya!$J$20:$J$21,$K13,IuranDSSebelumnya!$M$20:$M$21,AP$11,IuranDSSebelumnya!$L$20:$L$21,"&lt;&gt;"&amp;$M$5)&gt;0,
              "Iuran dari Lingkungan lain",
              ""))</t>
  </si>
  <si>
    <t>=IF(COUNTIFS(IuranDSSebelumnya!$J$20:$J$21,$K13,IuranDSSebelumnya!$M$20:$M$21,AQ$11,IuranDSSebelumnya!$L$20:$L$21,$M$5)&gt;0,
        VLOOKUP(CONCATENATE($K13,"|",AQ$11,"|",$M$5),IuranDSSebelumnya!$I$20:$N$21,5,FALSE),
        IF(COUNTIFS(IuranDSSebelumnya!$J$20:$J$21,$K13,IuranDSSebelumnya!$M$20:$M$21,AQ$11,IuranDSSebelumnya!$L$20:$L$21,"&lt;&gt;"&amp;$M$5)&gt;0,
              "Iuran dari Lingkungan lain",
              ""))</t>
  </si>
  <si>
    <t>=IF(COUNTIFS(IuranDSSebelumnya!$J$20:$J$21,$K13,IuranDSSebelumnya!$M$20:$M$21,AR$11,IuranDSSebelumnya!$L$20:$L$21,$M$5)&gt;0,
        VLOOKUP(CONCATENATE($K13,"|",AR$11,"|",$M$5),IuranDSSebelumnya!$I$20:$N$21,5,FALSE),
        IF(COUNTIFS(IuranDSSebelumnya!$J$20:$J$21,$K13,IuranDSSebelumnya!$M$20:$M$21,AR$11,IuranDSSebelumnya!$L$20:$L$21,"&lt;&gt;"&amp;$M$5)&gt;0,
              "Iuran dari Lingkungan lain",
              ""))</t>
  </si>
  <si>
    <t>=IF(COUNTIFS(IuranDSSebelumnya!$J$20:$J$21,$K13,IuranDSSebelumnya!$M$20:$M$21,AS$11,IuranDSSebelumnya!$L$20:$L$21,$M$5)&gt;0,
        VLOOKUP(CONCATENATE($K13,"|",AS$11,"|",$M$5),IuranDSSebelumnya!$I$20:$N$21,5,FALSE),
        IF(COUNTIFS(IuranDSSebelumnya!$J$20:$J$21,$K13,IuranDSSebelumnya!$M$20:$M$21,AS$11,IuranDSSebelumnya!$L$20:$L$21,"&lt;&gt;"&amp;$M$5)&gt;0,
              "Iuran dari Lingkungan lain",
              ""))</t>
  </si>
  <si>
    <t>=IF(COUNTIFS(IuranDSSebelumnya!$J$20:$J$21,$K13,IuranDSSebelumnya!$M$20:$M$21,AT$11,IuranDSSebelumnya!$L$20:$L$21,$M$5)&gt;0,
        VLOOKUP(CONCATENATE($K13,"|",AT$11,"|",$M$5),IuranDSSebelumnya!$I$20:$N$21,5,FALSE),
        IF(COUNTIFS(IuranDSSebelumnya!$J$20:$J$21,$K13,IuranDSSebelumnya!$M$20:$M$21,AT$11,IuranDSSebelumnya!$L$20:$L$21,"&lt;&gt;"&amp;$M$5)&gt;0,
              "Iuran dari Lingkungan lain",
              ""))</t>
  </si>
  <si>
    <t>=IF(COUNTIFS(IuranDSSebelumnya!$J$20:$J$21,$K13,IuranDSSebelumnya!$M$20:$M$21,AU$11,IuranDSSebelumnya!$L$20:$L$21,$M$5)&gt;0,
        VLOOKUP(CONCATENATE($K13,"|",AU$11,"|",$M$5),IuranDSSebelumnya!$I$20:$N$21,5,FALSE),
        IF(COUNTIFS(IuranDSSebelumnya!$J$20:$J$21,$K13,IuranDSSebelumnya!$M$20:$M$21,AU$11,IuranDSSebelumnya!$L$20:$L$21,"&lt;&gt;"&amp;$M$5)&gt;0,
              "Iuran dari Lingkungan lain",
              ""))</t>
  </si>
  <si>
    <t>=IF(COUNTIFS(IuranDSSebelumnya!$J$20:$J$21,$K13,IuranDSSebelumnya!$M$20:$M$21,AV$11,IuranDSSebelumnya!$L$20:$L$21,$M$5)&gt;0,
        VLOOKUP(CONCATENATE($K13,"|",AV$11,"|",$M$5),IuranDSSebelumnya!$I$20:$N$21,5,FALSE),
        IF(COUNTIFS(IuranDSSebelumnya!$J$20:$J$21,$K13,IuranDSSebelumnya!$M$20:$M$21,AV$11,IuranDSSebelumnya!$L$20:$L$21,"&lt;&gt;"&amp;$M$5)&gt;0,
              "Iuran dari Lingkungan lain",
              ""))</t>
  </si>
  <si>
    <t>=IF(COUNTIFS(IuranDSSebelumnya!$J$20:$J$21,$K13,IuranDSSebelumnya!$M$20:$M$21,AW$11,IuranDSSebelumnya!$L$20:$L$21,$M$5)&gt;0,
        VLOOKUP(CONCATENATE($K13,"|",AW$11,"|",$M$5),IuranDSSebelumnya!$I$20:$N$21,5,FALSE),
        IF(COUNTIFS(IuranDSSebelumnya!$J$20:$J$21,$K13,IuranDSSebelumnya!$M$20:$M$21,AW$11,IuranDSSebelumnya!$L$20:$L$21,"&lt;&gt;"&amp;$M$5)&gt;0,
              "Iuran dari Lingkungan lain",
              ""))</t>
  </si>
  <si>
    <t>=IF(COUNTIFS(IuranDSSebelumnya!$J$20:$J$21,$K13,IuranDSSebelumnya!$M$20:$M$21,AX$11,IuranDSSebelumnya!$L$20:$L$21,$M$5)&gt;0,
        VLOOKUP(CONCATENATE($K13,"|",AX$11,"|",$M$5),IuranDSSebelumnya!$I$20:$N$21,5,FALSE),
        IF(COUNTIFS(IuranDSSebelumnya!$J$20:$J$21,$K13,IuranDSSebelumnya!$M$20:$M$21,AX$11,IuranDSSebelumnya!$L$20:$L$21,"&lt;&gt;"&amp;$M$5)&gt;0,
              "Iuran dari Lingkungan lain",
              ""))</t>
  </si>
  <si>
    <t>=IF(COUNTIFS(IuranDSSebelumnya!$J$20:$J$21,$K13,IuranDSSebelumnya!$M$20:$M$21,AY$11,IuranDSSebelumnya!$L$20:$L$21,$M$5)&gt;0,
        VLOOKUP(CONCATENATE($K13,"|",AY$11,"|",$M$5),IuranDSSebelumnya!$I$20:$N$21,5,FALSE),
        IF(COUNTIFS(IuranDSSebelumnya!$J$20:$J$21,$K13,IuranDSSebelumnya!$M$20:$M$21,AY$11,IuranDSSebelumnya!$L$20:$L$21,"&lt;&gt;"&amp;$M$5)&gt;0,
              "Iuran dari Lingkungan lain",
              ""))</t>
  </si>
  <si>
    <t>=IF(COUNTIFS(IuranDSSebelumnya!$J$20:$J$21,$K13,IuranDSSebelumnya!$M$20:$M$21,AZ$11,IuranDSSebelumnya!$L$20:$L$21,$M$5)&gt;0,
        VLOOKUP(CONCATENATE($K13,"|",AZ$11,"|",$M$5),IuranDSSebelumnya!$I$20:$N$21,5,FALSE),
        IF(COUNTIFS(IuranDSSebelumnya!$J$20:$J$21,$K13,IuranDSSebelumnya!$M$20:$M$21,AZ$11,IuranDSSebelumnya!$L$20:$L$21,"&lt;&gt;"&amp;$M$5)&gt;0,
              "Iuran dari Lingkungan lain",
              ""))</t>
  </si>
  <si>
    <t>=IF(COUNTIFS(IuranDSSebelumnya!$J$20:$J$21,$K13,IuranDSSebelumnya!$M$20:$M$21,BA$11,IuranDSSebelumnya!$L$20:$L$21,$M$5)&gt;0,
        VLOOKUP(CONCATENATE($K13,"|",BA$11,"|",$M$5),IuranDSSebelumnya!$I$20:$N$21,5,FALSE),
        IF(COUNTIFS(IuranDSSebelumnya!$J$20:$J$21,$K13,IuranDSSebelumnya!$M$20:$M$21,BA$11,IuranDSSebelumnya!$L$20:$L$21,"&lt;&gt;"&amp;$M$5)&gt;0,
              "Iuran dari Lingkungan lain",
              ""))</t>
  </si>
  <si>
    <t>=IF(COUNTIFS(IuranDSSebelumnya!$J$20:$J$21,$K13,IuranDSSebelumnya!$M$20:$M$21,BB$11,IuranDSSebelumnya!$L$20:$L$21,$M$5)&gt;0,
        VLOOKUP(CONCATENATE($K13,"|",BB$11,"|",$M$5),IuranDSSebelumnya!$I$20:$N$21,5,FALSE),
        IF(COUNTIFS(IuranDSSebelumnya!$J$20:$J$21,$K13,IuranDSSebelumnya!$M$20:$M$21,BB$11,IuranDSSebelumnya!$L$20:$L$21,"&lt;&gt;"&amp;$M$5)&gt;0,
              "Iuran dari Lingkungan lain",
              ""))</t>
  </si>
  <si>
    <t>=IF(COUNTIFS(IuranDSSebelumnya!$J$20:$J$21,$K13,IuranDSSebelumnya!$M$20:$M$21,BC$11,IuranDSSebelumnya!$L$20:$L$21,$M$5)&gt;0,
        VLOOKUP(CONCATENATE($K13,"|",BC$11,"|",$M$5),IuranDSSebelumnya!$I$20:$N$21,5,FALSE),
        IF(COUNTIFS(IuranDSSebelumnya!$J$20:$J$21,$K13,IuranDSSebelumnya!$M$20:$M$21,BC$11,IuranDSSebelumnya!$L$20:$L$21,"&lt;&gt;"&amp;$M$5)&gt;0,
              "Iuran dari Lingkungan lain",
              ""))</t>
  </si>
  <si>
    <t>=IF(COUNTIFS(IuranDSSebelumnya!$J$20:$J$21,$K13,IuranDSSebelumnya!$M$20:$M$21,BD$11,IuranDSSebelumnya!$L$20:$L$21,$M$5)&gt;0,
        VLOOKUP(CONCATENATE($K13,"|",BD$11,"|",$M$5),IuranDSSebelumnya!$I$20:$N$21,5,FALSE),
        IF(COUNTIFS(IuranDSSebelumnya!$J$20:$J$21,$K13,IuranDSSebelumnya!$M$20:$M$21,BD$11,IuranDSSebelumnya!$L$20:$L$21,"&lt;&gt;"&amp;$M$5)&gt;0,
              "Iuran dari Lingkungan lain",
              ""))</t>
  </si>
  <si>
    <t>=IF(COUNTIFS(IuranDSSebelumnya!$J$20:$J$21,$K13,IuranDSSebelumnya!$M$20:$M$21,BE$11,IuranDSSebelumnya!$L$20:$L$21,$M$5)&gt;0,
        VLOOKUP(CONCATENATE($K13,"|",BE$11,"|",$M$5),IuranDSSebelumnya!$I$20:$N$21,5,FALSE),
        IF(COUNTIFS(IuranDSSebelumnya!$J$20:$J$21,$K13,IuranDSSebelumnya!$M$20:$M$21,BE$11,IuranDSSebelumnya!$L$20:$L$21,"&lt;&gt;"&amp;$M$5)&gt;0,
              "Iuran dari Lingkungan lain",
              ""))</t>
  </si>
  <si>
    <t>=IF(COUNTIFS(IuranDSSebelumnya!$J$20:$J$21,$K13,IuranDSSebelumnya!$M$20:$M$21,BF$11,IuranDSSebelumnya!$L$20:$L$21,$M$5)&gt;0,
        VLOOKUP(CONCATENATE($K13,"|",BF$11,"|",$M$5),IuranDSSebelumnya!$I$20:$N$21,5,FALSE),
        IF(COUNTIFS(IuranDSSebelumnya!$J$20:$J$21,$K13,IuranDSSebelumnya!$M$20:$M$21,BF$11,IuranDSSebelumnya!$L$20:$L$21,"&lt;&gt;"&amp;$M$5)&gt;0,
              "Iuran dari Lingkungan lain",
              ""))</t>
  </si>
  <si>
    <t>=IF(COUNTIFS(IuranDSSebelumnya!$J$20:$J$21,$K13,IuranDSSebelumnya!$M$20:$M$21,BG$11,IuranDSSebelumnya!$L$20:$L$21,$M$5)&gt;0,
        VLOOKUP(CONCATENATE($K13,"|",BG$11,"|",$M$5),IuranDSSebelumnya!$I$20:$N$21,5,FALSE),
        IF(COUNTIFS(IuranDSSebelumnya!$J$20:$J$21,$K13,IuranDSSebelumnya!$M$20:$M$21,BG$11,IuranDSSebelumnya!$L$20:$L$21,"&lt;&gt;"&amp;$M$5)&gt;0,
              "Iuran dari Lingkungan lain",
              ""))</t>
  </si>
  <si>
    <t>=IF(COUNTIFS(IuranDSSebelumnya!$J$20:$J$21,$K13,IuranDSSebelumnya!$M$20:$M$21,BH$11,IuranDSSebelumnya!$L$20:$L$21,$M$5)&gt;0,
        VLOOKUP(CONCATENATE($K13,"|",BH$11,"|",$M$5),IuranDSSebelumnya!$I$20:$N$21,5,FALSE),
        IF(COUNTIFS(IuranDSSebelumnya!$J$20:$J$21,$K13,IuranDSSebelumnya!$M$20:$M$21,BH$11,IuranDSSebelumnya!$L$20:$L$21,"&lt;&gt;"&amp;$M$5)&gt;0,
              "Iuran dari Lingkungan lain",
              ""))</t>
  </si>
  <si>
    <t>=IF(COUNTIFS(IuranDSSebelumnya!$J$20:$J$21,$K13,IuranDSSebelumnya!$M$20:$M$21,BI$11,IuranDSSebelumnya!$L$20:$L$21,$M$5)&gt;0,
        VLOOKUP(CONCATENATE($K13,"|",BI$11,"|",$M$5),IuranDSSebelumnya!$I$20:$N$21,5,FALSE),
        IF(COUNTIFS(IuranDSSebelumnya!$J$20:$J$21,$K13,IuranDSSebelumnya!$M$20:$M$21,BI$11,IuranDSSebelumnya!$L$20:$L$21,"&lt;&gt;"&amp;$M$5)&gt;0,
              "Iuran dari Lingkungan lain",
              ""))</t>
  </si>
  <si>
    <t>=IF(COUNTIFS(IuranDSSebelumnya!$J$20:$J$21,$K13,IuranDSSebelumnya!$M$20:$M$21,BJ$11,IuranDSSebelumnya!$L$20:$L$21,$M$5)&gt;0,
        VLOOKUP(CONCATENATE($K13,"|",BJ$11,"|",$M$5),IuranDSSebelumnya!$I$20:$N$21,5,FALSE),
        IF(COUNTIFS(IuranDSSebelumnya!$J$20:$J$21,$K13,IuranDSSebelumnya!$M$20:$M$21,BJ$11,IuranDSSebelumnya!$L$20:$L$21,"&lt;&gt;"&amp;$M$5)&gt;0,
              "Iuran dari Lingkungan lain",
              ""))</t>
  </si>
  <si>
    <t>=IF(COUNTIFS(IuranDSSebelumnya!$J$20:$J$21,$K13,IuranDSSebelumnya!$M$20:$M$21,BK$11,IuranDSSebelumnya!$L$20:$L$21,$M$5)&gt;0,
        VLOOKUP(CONCATENATE($K13,"|",BK$11,"|",$M$5),IuranDSSebelumnya!$I$20:$N$21,5,FALSE),
        IF(COUNTIFS(IuranDSSebelumnya!$J$20:$J$21,$K13,IuranDSSebelumnya!$M$20:$M$21,BK$11,IuranDSSebelumnya!$L$20:$L$21,"&lt;&gt;"&amp;$M$5)&gt;0,
              "Iuran dari Lingkungan lain",
              ""))</t>
  </si>
  <si>
    <t>=IF(COUNTIFS(IuranDSSebelumnya!$J$20:$J$21,$K13,IuranDSSebelumnya!$M$20:$M$21,BL$11,IuranDSSebelumnya!$L$20:$L$21,$M$5)&gt;0,
        VLOOKUP(CONCATENATE($K13,"|",BL$11,"|",$M$5),IuranDSSebelumnya!$I$20:$N$21,5,FALSE),
        IF(COUNTIFS(IuranDSSebelumnya!$J$20:$J$21,$K13,IuranDSSebelumnya!$M$20:$M$21,BL$11,IuranDSSebelumnya!$L$20:$L$21,"&lt;&gt;"&amp;$M$5)&gt;0,
              "Iuran dari Lingkungan lain",
              ""))</t>
  </si>
  <si>
    <t>Auto+Hide+HideSheet+Values+Formulas=Sheet3,Sheet4+FormulasOnly</t>
  </si>
  <si>
    <t>=COUNTIF(DanaSehat!$N$9:$AK$9,"&gt;0")</t>
  </si>
  <si>
    <t>1</t>
  </si>
  <si>
    <t>=IF(I$3=$G$3,0,
       IF(I$3=0,0,I$3+1))</t>
  </si>
  <si>
    <t>=IF(J$3=$G$3,0,
       IF(J$3=0,0,J$3+1))</t>
  </si>
  <si>
    <t>=IF(K$3=$G$3,0,
       IF(K$3=0,0,K$3+1))</t>
  </si>
  <si>
    <t>=IF(L$3=$G$3,0,
       IF(L$3=0,0,L$3+1))</t>
  </si>
  <si>
    <t>=IF(M$3=$G$3,0,
       IF(M$3=0,0,M$3+1))</t>
  </si>
  <si>
    <t>=IF(N$3=$G$3,0,
       IF(N$3=0,0,N$3+1))</t>
  </si>
  <si>
    <t>=IF(O$3=$G$3,0,
       IF(O$3=0,0,O$3+1))</t>
  </si>
  <si>
    <t>=IF(P$3=$G$3,0,
       IF(P$3=0,0,P$3+1))</t>
  </si>
  <si>
    <t>=IF(Q$3=$G$3,0,
       IF(Q$3=0,0,Q$3+1))</t>
  </si>
  <si>
    <t>=IF(R$3=$G$3,0,
       IF(R$3=0,0,R$3+1))</t>
  </si>
  <si>
    <t>=IF(S$3=$G$3,0,
       IF(S$3=0,0,S$3+1))</t>
  </si>
  <si>
    <t>=IF(T$3=$G$3,0,
       IF(T$3=0,0,T$3+1))</t>
  </si>
  <si>
    <t>=IF(U$3=$G$3,0,
       IF(U$3=0,0,U$3+1))</t>
  </si>
  <si>
    <t>=IF(V$3=$G$3,0,
       IF(V$3=0,0,V$3+1))</t>
  </si>
  <si>
    <t>=IF(W$3=$G$3,0,
       IF(W$3=0,0,W$3+1))</t>
  </si>
  <si>
    <t>=IF(X$3=$G$3,0,
       IF(X$3=0,0,X$3+1))</t>
  </si>
  <si>
    <t>=IF(Y$3=$G$3,0,
       IF(Y$3=0,0,Y$3+1))</t>
  </si>
  <si>
    <t>=IF(Z$3=$G$3,0,
       IF(Z$3=0,0,Z$3+1))</t>
  </si>
  <si>
    <t>=IF(AA$3=$G$3,0,
       IF(AA$3=0,0,AA$3+1))</t>
  </si>
  <si>
    <t>=IF(AB$3=$G$3,0,
       IF(AB$3=0,0,AB$3+1))</t>
  </si>
  <si>
    <t>=IF(AC$3=$G$3,0,
       IF(AC$3=0,0,AC$3+1))</t>
  </si>
  <si>
    <t>=IF(AD$3=$G$3,0,
       IF(AD$3=0,0,AD$3+1))</t>
  </si>
  <si>
    <t>=IF(AE$3=$G$3,0,
       IF(AE$3=0,0,AE$3+1))</t>
  </si>
  <si>
    <t>=DanaSehat!$H$12</t>
  </si>
  <si>
    <t>=MATCH(I$11,DanaSehat!$L$11:$AK$11,0)</t>
  </si>
  <si>
    <t>=MATCH(J$11,DanaSehat!$L$11:$AK$11,0)</t>
  </si>
  <si>
    <t>=MATCH(K$11,DanaSehat!$L$11:$AK$11,0)</t>
  </si>
  <si>
    <t>=MATCH(L$11,DanaSehat!$L$11:$AK$11,0)</t>
  </si>
  <si>
    <t>=MATCH(M$11,DanaSehat!$L$11:$AK$11,0)</t>
  </si>
  <si>
    <t>=MATCH(N$11,DanaSehat!$L$11:$AK$11,0)</t>
  </si>
  <si>
    <t>=MATCH(O$11,DanaSehat!$L$11:$AK$11,0)</t>
  </si>
  <si>
    <t>=MATCH(P$11,DanaSehat!$L$11:$AK$11,0)</t>
  </si>
  <si>
    <t>=MATCH(Q$11,DanaSehat!$L$11:$AK$11,0)</t>
  </si>
  <si>
    <t>=MATCH(R$11,DanaSehat!$L$11:$AK$11,0)</t>
  </si>
  <si>
    <t>=MATCH(S$11,DanaSehat!$L$11:$AK$11,0)</t>
  </si>
  <si>
    <t>=MATCH(T$11,DanaSehat!$L$11:$AK$11,0)</t>
  </si>
  <si>
    <t>=MATCH(U$11,DanaSehat!$L$11:$AK$11,0)</t>
  </si>
  <si>
    <t>=MATCH(V$11,DanaSehat!$L$11:$AK$11,0)</t>
  </si>
  <si>
    <t>=MATCH(W$11,DanaSehat!$L$11:$AK$11,0)</t>
  </si>
  <si>
    <t>=MATCH(X$11,DanaSehat!$L$11:$AK$11,0)</t>
  </si>
  <si>
    <t>=MATCH(Y$11,DanaSehat!$L$11:$AK$11,0)</t>
  </si>
  <si>
    <t>=MATCH(Z$11,DanaSehat!$L$11:$AK$11,0)</t>
  </si>
  <si>
    <t>=MATCH(AA$11,DanaSehat!$L$11:$AK$11,0)</t>
  </si>
  <si>
    <t>=MATCH(AB$11,DanaSehat!$L$11:$AK$11,0)</t>
  </si>
  <si>
    <t>=MATCH(AC$11,DanaSehat!$L$11:$AK$11,0)</t>
  </si>
  <si>
    <t>=MATCH(AD$11,DanaSehat!$L$11:$AK$11,0)</t>
  </si>
  <si>
    <t>=MATCH(AE$11,DanaSehat!$L$11:$AK$11,0)</t>
  </si>
  <si>
    <t>=MATCH(AF$11,DanaSehat!$L$11:$AK$11,0)</t>
  </si>
  <si>
    <t>=NP("Eval","=DanaSehat!$L$5")</t>
  </si>
  <si>
    <t>=IF(ISNUMBER($L$6)=FALSE,"Mohon isi cell kuning diatas dengan TGL PENYETORAN...","")</t>
  </si>
  <si>
    <t>=TotalDS+TotalSY</t>
  </si>
  <si>
    <t>=IF(ISNUMBER($L$6)=FALSE,"Contoh: Akan setor tgl 22 Mei 2016 --&gt; Isi 5/22/16 atau 22/5/16 atau 5-22-16 atau 22-5-16","")</t>
  </si>
  <si>
    <t>=IF(ISNUMBER($L$6)=FALSE,"",
IF(I$3=0,"",HLOOKUP(1,DanaSehat!$N$9:$AK$11,3,FALSE)))</t>
  </si>
  <si>
    <t>=IF(ISNUMBER($L$6)=FALSE,"",
IF(J$3=0,"",DATE(YEAR(I11),MONTH(I11)+1,1)))</t>
  </si>
  <si>
    <t>=IF(ISNUMBER($L$6)=FALSE,"",
IF(K$3=0,"",DATE(YEAR(J11),MONTH(J11)+1,1)))</t>
  </si>
  <si>
    <t>=IF(ISNUMBER($L$6)=FALSE,"",
IF(L$3=0,"",DATE(YEAR(K11),MONTH(K11)+1,1)))</t>
  </si>
  <si>
    <t>=IF(ISNUMBER($L$6)=FALSE,"",
IF(M$3=0,"",DATE(YEAR(L11),MONTH(L11)+1,1)))</t>
  </si>
  <si>
    <t>=IF(ISNUMBER($L$6)=FALSE,"",
IF(N$3=0,"",DATE(YEAR(M11),MONTH(M11)+1,1)))</t>
  </si>
  <si>
    <t>=IF(ISNUMBER($L$6)=FALSE,"",
IF(O$3=0,"",DATE(YEAR(N11),MONTH(N11)+1,1)))</t>
  </si>
  <si>
    <t>=IF(ISNUMBER($L$6)=FALSE,"",
IF(P$3=0,"",DATE(YEAR(O11),MONTH(O11)+1,1)))</t>
  </si>
  <si>
    <t>=IF(ISNUMBER($L$6)=FALSE,"",
IF(Q$3=0,"",DATE(YEAR(P11),MONTH(P11)+1,1)))</t>
  </si>
  <si>
    <t>=IF(ISNUMBER($L$6)=FALSE,"",
IF(R$3=0,"",DATE(YEAR(Q11),MONTH(Q11)+1,1)))</t>
  </si>
  <si>
    <t>=IF(ISNUMBER($L$6)=FALSE,"",
IF(S$3=0,"",DATE(YEAR(R11),MONTH(R11)+1,1)))</t>
  </si>
  <si>
    <t>=IF(ISNUMBER($L$6)=FALSE,"",
IF(T$3=0,"",DATE(YEAR(S11),MONTH(S11)+1,1)))</t>
  </si>
  <si>
    <t>=IF(ISNUMBER($L$6)=FALSE,"",
IF(U$3=0,"",DATE(YEAR(T11),MONTH(T11)+1,1)))</t>
  </si>
  <si>
    <t>=IF(ISNUMBER($L$6)=FALSE,"",
IF(V$3=0,"",DATE(YEAR(U11),MONTH(U11)+1,1)))</t>
  </si>
  <si>
    <t>=IF(ISNUMBER($L$6)=FALSE,"",
IF(W$3=0,"",DATE(YEAR(V11),MONTH(V11)+1,1)))</t>
  </si>
  <si>
    <t>=IF(ISNUMBER($L$6)=FALSE,"",
IF(X$3=0,"",DATE(YEAR(W11),MONTH(W11)+1,1)))</t>
  </si>
  <si>
    <t>=IF(ISNUMBER($L$6)=FALSE,"",
IF(Y$3=0,"",DATE(YEAR(X11),MONTH(X11)+1,1)))</t>
  </si>
  <si>
    <t>=IF(ISNUMBER($L$6)=FALSE,"",
IF(Z$3=0,"",DATE(YEAR(Y11),MONTH(Y11)+1,1)))</t>
  </si>
  <si>
    <t>=IF(ISNUMBER($L$6)=FALSE,"",
IF(AA$3=0,"",DATE(YEAR(Z11),MONTH(Z11)+1,1)))</t>
  </si>
  <si>
    <t>=IF(ISNUMBER($L$6)=FALSE,"",
IF(AB$3=0,"",DATE(YEAR(AA11),MONTH(AA11)+1,1)))</t>
  </si>
  <si>
    <t>=IF(ISNUMBER($L$6)=FALSE,"",
IF(AC$3=0,"",DATE(YEAR(AB11),MONTH(AB11)+1,1)))</t>
  </si>
  <si>
    <t>=IF(ISNUMBER($L$6)=FALSE,"",
IF(AD$3=0,"",DATE(YEAR(AC11),MONTH(AC11)+1,1)))</t>
  </si>
  <si>
    <t>=IF(ISNUMBER($L$6)=FALSE,"",
IF(AE$3=0,"",DATE(YEAR(AD11),MONTH(AD11)+1,1)))</t>
  </si>
  <si>
    <t>=IF(ISNUMBER($L$6)=FALSE,"",
IF(AF$3=0,"",DATE(YEAR(AE11),MONTH(AE11)+1,1)))</t>
  </si>
  <si>
    <t>=SUM(H13:H113)</t>
  </si>
  <si>
    <t>=IF(ISNUMBER($L$6)=FALSE,"",
IF($C14=0,"",$C14))</t>
  </si>
  <si>
    <t>=IF(ISNUMBER($L$6)=FALSE,"",
IF($C14=0,"",VLOOKUP($E14,DanaSehat!$H$13:$L$14,4,FALSE)))</t>
  </si>
  <si>
    <t>=IF(ISNUMBER($L$6)=FALSE,"",
IF($C14=0,"",VLOOKUP($E14,DanaSehat!$H$13:$L$14,5,FALSE)))</t>
  </si>
  <si>
    <t>=IF(ISNUMBER($L$6)=FALSE,"",
IF($C14=0,"",SUM(I14:AF14)))</t>
  </si>
  <si>
    <t>=IF(ISNUMBER($L$6)=FALSE,"",
        IF(ISERROR(VLOOKUP($G14,DanaSehat!$L$13:$AK$14,I$4,FALSE))=TRUE,"",
              VLOOKUP($G14,DanaSehat!$L$13:$AK$14,I$4,FALSE)))</t>
  </si>
  <si>
    <t>=IF(ISNUMBER($L$6)=FALSE,"",
        IF(ISERROR(VLOOKUP($G14,DanaSehat!$L$13:$AK$14,J$4,FALSE))=TRUE,"",
              VLOOKUP($G14,DanaSehat!$L$13:$AK$14,J$4,FALSE)))</t>
  </si>
  <si>
    <t>=IF(ISNUMBER($L$6)=FALSE,"",
        IF(ISERROR(VLOOKUP($G14,DanaSehat!$L$13:$AK$14,K$4,FALSE))=TRUE,"",
              VLOOKUP($G14,DanaSehat!$L$13:$AK$14,K$4,FALSE)))</t>
  </si>
  <si>
    <t>=IF(ISNUMBER($L$6)=FALSE,"",
        IF(ISERROR(VLOOKUP($G14,DanaSehat!$L$13:$AK$14,L$4,FALSE))=TRUE,"",
              VLOOKUP($G14,DanaSehat!$L$13:$AK$14,L$4,FALSE)))</t>
  </si>
  <si>
    <t>=IF(ISNUMBER($L$6)=FALSE,"",
        IF(ISERROR(VLOOKUP($G14,DanaSehat!$L$13:$AK$14,M$4,FALSE))=TRUE,"",
              VLOOKUP($G14,DanaSehat!$L$13:$AK$14,M$4,FALSE)))</t>
  </si>
  <si>
    <t>=IF(ISNUMBER($L$6)=FALSE,"",
        IF(ISERROR(VLOOKUP($G14,DanaSehat!$L$13:$AK$14,N$4,FALSE))=TRUE,"",
              VLOOKUP($G14,DanaSehat!$L$13:$AK$14,N$4,FALSE)))</t>
  </si>
  <si>
    <t>=IF(ISNUMBER($L$6)=FALSE,"",
        IF(ISERROR(VLOOKUP($G14,DanaSehat!$L$13:$AK$14,O$4,FALSE))=TRUE,"",
              VLOOKUP($G14,DanaSehat!$L$13:$AK$14,O$4,FALSE)))</t>
  </si>
  <si>
    <t>=IF(ISNUMBER($L$6)=FALSE,"",
        IF(ISERROR(VLOOKUP($G14,DanaSehat!$L$13:$AK$14,P$4,FALSE))=TRUE,"",
              VLOOKUP($G14,DanaSehat!$L$13:$AK$14,P$4,FALSE)))</t>
  </si>
  <si>
    <t>=IF(ISNUMBER($L$6)=FALSE,"",
        IF(ISERROR(VLOOKUP($G14,DanaSehat!$L$13:$AK$14,Q$4,FALSE))=TRUE,"",
              VLOOKUP($G14,DanaSehat!$L$13:$AK$14,Q$4,FALSE)))</t>
  </si>
  <si>
    <t>=IF(ISNUMBER($L$6)=FALSE,"",
        IF(ISERROR(VLOOKUP($G14,DanaSehat!$L$13:$AK$14,R$4,FALSE))=TRUE,"",
              VLOOKUP($G14,DanaSehat!$L$13:$AK$14,R$4,FALSE)))</t>
  </si>
  <si>
    <t>=IF(ISNUMBER($L$6)=FALSE,"",
        IF(ISERROR(VLOOKUP($G14,DanaSehat!$L$13:$AK$14,S$4,FALSE))=TRUE,"",
              VLOOKUP($G14,DanaSehat!$L$13:$AK$14,S$4,FALSE)))</t>
  </si>
  <si>
    <t>=IF(ISNUMBER($L$6)=FALSE,"",
        IF(ISERROR(VLOOKUP($G14,DanaSehat!$L$13:$AK$14,T$4,FALSE))=TRUE,"",
              VLOOKUP($G14,DanaSehat!$L$13:$AK$14,T$4,FALSE)))</t>
  </si>
  <si>
    <t>=IF(ISNUMBER($L$6)=FALSE,"",
        IF(ISERROR(VLOOKUP($G14,DanaSehat!$L$13:$AK$14,U$4,FALSE))=TRUE,"",
              VLOOKUP($G14,DanaSehat!$L$13:$AK$14,U$4,FALSE)))</t>
  </si>
  <si>
    <t>=IF(ISNUMBER($L$6)=FALSE,"",
        IF(ISERROR(VLOOKUP($G14,DanaSehat!$L$13:$AK$14,V$4,FALSE))=TRUE,"",
              VLOOKUP($G14,DanaSehat!$L$13:$AK$14,V$4,FALSE)))</t>
  </si>
  <si>
    <t>=IF(ISNUMBER($L$6)=FALSE,"",
        IF(ISERROR(VLOOKUP($G14,DanaSehat!$L$13:$AK$14,W$4,FALSE))=TRUE,"",
              VLOOKUP($G14,DanaSehat!$L$13:$AK$14,W$4,FALSE)))</t>
  </si>
  <si>
    <t>=IF(ISNUMBER($L$6)=FALSE,"",
        IF(ISERROR(VLOOKUP($G14,DanaSehat!$L$13:$AK$14,X$4,FALSE))=TRUE,"",
              VLOOKUP($G14,DanaSehat!$L$13:$AK$14,X$4,FALSE)))</t>
  </si>
  <si>
    <t>=IF(ISNUMBER($L$6)=FALSE,"",
        IF(ISERROR(VLOOKUP($G14,DanaSehat!$L$13:$AK$14,Y$4,FALSE))=TRUE,"",
              VLOOKUP($G14,DanaSehat!$L$13:$AK$14,Y$4,FALSE)))</t>
  </si>
  <si>
    <t>=IF(ISNUMBER($L$6)=FALSE,"",
        IF(ISERROR(VLOOKUP($G14,DanaSehat!$L$13:$AK$14,Z$4,FALSE))=TRUE,"",
              VLOOKUP($G14,DanaSehat!$L$13:$AK$14,Z$4,FALSE)))</t>
  </si>
  <si>
    <t>=IF(ISNUMBER($L$6)=FALSE,"",
        IF(ISERROR(VLOOKUP($G14,DanaSehat!$L$13:$AK$14,AA$4,FALSE))=TRUE,"",
              VLOOKUP($G14,DanaSehat!$L$13:$AK$14,AA$4,FALSE)))</t>
  </si>
  <si>
    <t>=IF(ISNUMBER($L$6)=FALSE,"",
        IF(ISERROR(VLOOKUP($G14,DanaSehat!$L$13:$AK$14,AB$4,FALSE))=TRUE,"",
              VLOOKUP($G14,DanaSehat!$L$13:$AK$14,AB$4,FALSE)))</t>
  </si>
  <si>
    <t>=IF(ISNUMBER($L$6)=FALSE,"",
        IF(ISERROR(VLOOKUP($G14,DanaSehat!$L$13:$AK$14,AC$4,FALSE))=TRUE,"",
              VLOOKUP($G14,DanaSehat!$L$13:$AK$14,AC$4,FALSE)))</t>
  </si>
  <si>
    <t>=IF(ISNUMBER($L$6)=FALSE,"",
        IF(ISERROR(VLOOKUP($G14,DanaSehat!$L$13:$AK$14,AD$4,FALSE))=TRUE,"",
              VLOOKUP($G14,DanaSehat!$L$13:$AK$14,AD$4,FALSE)))</t>
  </si>
  <si>
    <t>=IF(ISNUMBER($L$6)=FALSE,"",
        IF(ISERROR(VLOOKUP($G14,DanaSehat!$L$13:$AK$14,AE$4,FALSE))=TRUE,"",
              VLOOKUP($G14,DanaSehat!$L$13:$AK$14,AE$4,FALSE)))</t>
  </si>
  <si>
    <t>=IF(ISNUMBER($L$6)=FALSE,"",
        IF(ISERROR(VLOOKUP($G14,DanaSehat!$L$13:$AK$14,AF$4,FALSE))=TRUE,"",
              VLOOKUP($G14,DanaSehat!$L$13:$AK$14,AF$4,FALSE)))</t>
  </si>
  <si>
    <t>=IF($C14=$C$4,0,
       IF($C14=0,0,$C14+1))</t>
  </si>
  <si>
    <t>=IF(ISNUMBER($L$6)=FALSE,"",
IF($C15=0,"",$C15))</t>
  </si>
  <si>
    <t>=IF(ISNUMBER($L$6)=FALSE,"",
IF($C15=0,"",VLOOKUP($E15,DanaSehat!$H$13:$L$14,4,FALSE)))</t>
  </si>
  <si>
    <t>=IF(ISNUMBER($L$6)=FALSE,"",
IF($C15=0,"",VLOOKUP($E15,DanaSehat!$H$13:$L$14,5,FALSE)))</t>
  </si>
  <si>
    <t>=IF(ISNUMBER($L$6)=FALSE,"",
IF($C15=0,"",SUM(I15:AF15)))</t>
  </si>
  <si>
    <t>=IF(ISNUMBER($L$6)=FALSE,"",
        IF(ISERROR(VLOOKUP($G15,DanaSehat!$L$13:$AK$14,I$4,FALSE))=TRUE,"",
              VLOOKUP($G15,DanaSehat!$L$13:$AK$14,I$4,FALSE)))</t>
  </si>
  <si>
    <t>=IF(ISNUMBER($L$6)=FALSE,"",
        IF(ISERROR(VLOOKUP($G15,DanaSehat!$L$13:$AK$14,J$4,FALSE))=TRUE,"",
              VLOOKUP($G15,DanaSehat!$L$13:$AK$14,J$4,FALSE)))</t>
  </si>
  <si>
    <t>=IF(ISNUMBER($L$6)=FALSE,"",
        IF(ISERROR(VLOOKUP($G15,DanaSehat!$L$13:$AK$14,K$4,FALSE))=TRUE,"",
              VLOOKUP($G15,DanaSehat!$L$13:$AK$14,K$4,FALSE)))</t>
  </si>
  <si>
    <t>=IF(ISNUMBER($L$6)=FALSE,"",
        IF(ISERROR(VLOOKUP($G15,DanaSehat!$L$13:$AK$14,L$4,FALSE))=TRUE,"",
              VLOOKUP($G15,DanaSehat!$L$13:$AK$14,L$4,FALSE)))</t>
  </si>
  <si>
    <t>=IF(ISNUMBER($L$6)=FALSE,"",
        IF(ISERROR(VLOOKUP($G15,DanaSehat!$L$13:$AK$14,M$4,FALSE))=TRUE,"",
              VLOOKUP($G15,DanaSehat!$L$13:$AK$14,M$4,FALSE)))</t>
  </si>
  <si>
    <t>=IF(ISNUMBER($L$6)=FALSE,"",
        IF(ISERROR(VLOOKUP($G15,DanaSehat!$L$13:$AK$14,N$4,FALSE))=TRUE,"",
              VLOOKUP($G15,DanaSehat!$L$13:$AK$14,N$4,FALSE)))</t>
  </si>
  <si>
    <t>=IF(ISNUMBER($L$6)=FALSE,"",
        IF(ISERROR(VLOOKUP($G15,DanaSehat!$L$13:$AK$14,O$4,FALSE))=TRUE,"",
              VLOOKUP($G15,DanaSehat!$L$13:$AK$14,O$4,FALSE)))</t>
  </si>
  <si>
    <t>=IF(ISNUMBER($L$6)=FALSE,"",
        IF(ISERROR(VLOOKUP($G15,DanaSehat!$L$13:$AK$14,P$4,FALSE))=TRUE,"",
              VLOOKUP($G15,DanaSehat!$L$13:$AK$14,P$4,FALSE)))</t>
  </si>
  <si>
    <t>=IF(ISNUMBER($L$6)=FALSE,"",
        IF(ISERROR(VLOOKUP($G15,DanaSehat!$L$13:$AK$14,Q$4,FALSE))=TRUE,"",
              VLOOKUP($G15,DanaSehat!$L$13:$AK$14,Q$4,FALSE)))</t>
  </si>
  <si>
    <t>=IF(ISNUMBER($L$6)=FALSE,"",
        IF(ISERROR(VLOOKUP($G15,DanaSehat!$L$13:$AK$14,R$4,FALSE))=TRUE,"",
              VLOOKUP($G15,DanaSehat!$L$13:$AK$14,R$4,FALSE)))</t>
  </si>
  <si>
    <t>=IF(ISNUMBER($L$6)=FALSE,"",
        IF(ISERROR(VLOOKUP($G15,DanaSehat!$L$13:$AK$14,S$4,FALSE))=TRUE,"",
              VLOOKUP($G15,DanaSehat!$L$13:$AK$14,S$4,FALSE)))</t>
  </si>
  <si>
    <t>=IF(ISNUMBER($L$6)=FALSE,"",
        IF(ISERROR(VLOOKUP($G15,DanaSehat!$L$13:$AK$14,T$4,FALSE))=TRUE,"",
              VLOOKUP($G15,DanaSehat!$L$13:$AK$14,T$4,FALSE)))</t>
  </si>
  <si>
    <t>=IF(ISNUMBER($L$6)=FALSE,"",
        IF(ISERROR(VLOOKUP($G15,DanaSehat!$L$13:$AK$14,U$4,FALSE))=TRUE,"",
              VLOOKUP($G15,DanaSehat!$L$13:$AK$14,U$4,FALSE)))</t>
  </si>
  <si>
    <t>=IF(ISNUMBER($L$6)=FALSE,"",
        IF(ISERROR(VLOOKUP($G15,DanaSehat!$L$13:$AK$14,V$4,FALSE))=TRUE,"",
              VLOOKUP($G15,DanaSehat!$L$13:$AK$14,V$4,FALSE)))</t>
  </si>
  <si>
    <t>=IF(ISNUMBER($L$6)=FALSE,"",
        IF(ISERROR(VLOOKUP($G15,DanaSehat!$L$13:$AK$14,W$4,FALSE))=TRUE,"",
              VLOOKUP($G15,DanaSehat!$L$13:$AK$14,W$4,FALSE)))</t>
  </si>
  <si>
    <t>=IF(ISNUMBER($L$6)=FALSE,"",
        IF(ISERROR(VLOOKUP($G15,DanaSehat!$L$13:$AK$14,X$4,FALSE))=TRUE,"",
              VLOOKUP($G15,DanaSehat!$L$13:$AK$14,X$4,FALSE)))</t>
  </si>
  <si>
    <t>=IF(ISNUMBER($L$6)=FALSE,"",
        IF(ISERROR(VLOOKUP($G15,DanaSehat!$L$13:$AK$14,Y$4,FALSE))=TRUE,"",
              VLOOKUP($G15,DanaSehat!$L$13:$AK$14,Y$4,FALSE)))</t>
  </si>
  <si>
    <t>=IF(ISNUMBER($L$6)=FALSE,"",
        IF(ISERROR(VLOOKUP($G15,DanaSehat!$L$13:$AK$14,Z$4,FALSE))=TRUE,"",
              VLOOKUP($G15,DanaSehat!$L$13:$AK$14,Z$4,FALSE)))</t>
  </si>
  <si>
    <t>=IF(ISNUMBER($L$6)=FALSE,"",
        IF(ISERROR(VLOOKUP($G15,DanaSehat!$L$13:$AK$14,AA$4,FALSE))=TRUE,"",
              VLOOKUP($G15,DanaSehat!$L$13:$AK$14,AA$4,FALSE)))</t>
  </si>
  <si>
    <t>=IF(ISNUMBER($L$6)=FALSE,"",
        IF(ISERROR(VLOOKUP($G15,DanaSehat!$L$13:$AK$14,AB$4,FALSE))=TRUE,"",
              VLOOKUP($G15,DanaSehat!$L$13:$AK$14,AB$4,FALSE)))</t>
  </si>
  <si>
    <t>=IF(ISNUMBER($L$6)=FALSE,"",
        IF(ISERROR(VLOOKUP($G15,DanaSehat!$L$13:$AK$14,AC$4,FALSE))=TRUE,"",
              VLOOKUP($G15,DanaSehat!$L$13:$AK$14,AC$4,FALSE)))</t>
  </si>
  <si>
    <t>=IF(ISNUMBER($L$6)=FALSE,"",
        IF(ISERROR(VLOOKUP($G15,DanaSehat!$L$13:$AK$14,AD$4,FALSE))=TRUE,"",
              VLOOKUP($G15,DanaSehat!$L$13:$AK$14,AD$4,FALSE)))</t>
  </si>
  <si>
    <t>=IF(ISNUMBER($L$6)=FALSE,"",
        IF(ISERROR(VLOOKUP($G15,DanaSehat!$L$13:$AK$14,AE$4,FALSE))=TRUE,"",
              VLOOKUP($G15,DanaSehat!$L$13:$AK$14,AE$4,FALSE)))</t>
  </si>
  <si>
    <t>=IF(ISNUMBER($L$6)=FALSE,"",
        IF(ISERROR(VLOOKUP($G15,DanaSehat!$L$13:$AK$14,AF$4,FALSE))=TRUE,"",
              VLOOKUP($G15,DanaSehat!$L$13:$AK$14,AF$4,FALSE)))</t>
  </si>
  <si>
    <t>=IF($C15=$C$4,0,
       IF($C15=0,0,$C15+1))</t>
  </si>
  <si>
    <t>=IF(ISNUMBER($L$6)=FALSE,"",
IF($C16=0,"",$C16))</t>
  </si>
  <si>
    <t>=IF(ISNUMBER($L$6)=FALSE,"",
IF($C16=0,"",VLOOKUP($E16,DanaSehat!$H$13:$L$14,4,FALSE)))</t>
  </si>
  <si>
    <t>=IF(ISNUMBER($L$6)=FALSE,"",
IF($C16=0,"",VLOOKUP($E16,DanaSehat!$H$13:$L$14,5,FALSE)))</t>
  </si>
  <si>
    <t>=IF(ISNUMBER($L$6)=FALSE,"",
IF($C16=0,"",SUM(I16:AF16)))</t>
  </si>
  <si>
    <t>=IF(ISNUMBER($L$6)=FALSE,"",
        IF(ISERROR(VLOOKUP($G16,DanaSehat!$L$13:$AK$14,I$4,FALSE))=TRUE,"",
              VLOOKUP($G16,DanaSehat!$L$13:$AK$14,I$4,FALSE)))</t>
  </si>
  <si>
    <t>=IF(ISNUMBER($L$6)=FALSE,"",
        IF(ISERROR(VLOOKUP($G16,DanaSehat!$L$13:$AK$14,J$4,FALSE))=TRUE,"",
              VLOOKUP($G16,DanaSehat!$L$13:$AK$14,J$4,FALSE)))</t>
  </si>
  <si>
    <t>=IF(ISNUMBER($L$6)=FALSE,"",
        IF(ISERROR(VLOOKUP($G16,DanaSehat!$L$13:$AK$14,K$4,FALSE))=TRUE,"",
              VLOOKUP($G16,DanaSehat!$L$13:$AK$14,K$4,FALSE)))</t>
  </si>
  <si>
    <t>=IF(ISNUMBER($L$6)=FALSE,"",
        IF(ISERROR(VLOOKUP($G16,DanaSehat!$L$13:$AK$14,L$4,FALSE))=TRUE,"",
              VLOOKUP($G16,DanaSehat!$L$13:$AK$14,L$4,FALSE)))</t>
  </si>
  <si>
    <t>=IF(ISNUMBER($L$6)=FALSE,"",
        IF(ISERROR(VLOOKUP($G16,DanaSehat!$L$13:$AK$14,M$4,FALSE))=TRUE,"",
              VLOOKUP($G16,DanaSehat!$L$13:$AK$14,M$4,FALSE)))</t>
  </si>
  <si>
    <t>=IF(ISNUMBER($L$6)=FALSE,"",
        IF(ISERROR(VLOOKUP($G16,DanaSehat!$L$13:$AK$14,N$4,FALSE))=TRUE,"",
              VLOOKUP($G16,DanaSehat!$L$13:$AK$14,N$4,FALSE)))</t>
  </si>
  <si>
    <t>=IF(ISNUMBER($L$6)=FALSE,"",
        IF(ISERROR(VLOOKUP($G16,DanaSehat!$L$13:$AK$14,O$4,FALSE))=TRUE,"",
              VLOOKUP($G16,DanaSehat!$L$13:$AK$14,O$4,FALSE)))</t>
  </si>
  <si>
    <t>=IF(ISNUMBER($L$6)=FALSE,"",
        IF(ISERROR(VLOOKUP($G16,DanaSehat!$L$13:$AK$14,P$4,FALSE))=TRUE,"",
              VLOOKUP($G16,DanaSehat!$L$13:$AK$14,P$4,FALSE)))</t>
  </si>
  <si>
    <t>=IF(ISNUMBER($L$6)=FALSE,"",
        IF(ISERROR(VLOOKUP($G16,DanaSehat!$L$13:$AK$14,Q$4,FALSE))=TRUE,"",
              VLOOKUP($G16,DanaSehat!$L$13:$AK$14,Q$4,FALSE)))</t>
  </si>
  <si>
    <t>=IF(ISNUMBER($L$6)=FALSE,"",
        IF(ISERROR(VLOOKUP($G16,DanaSehat!$L$13:$AK$14,R$4,FALSE))=TRUE,"",
              VLOOKUP($G16,DanaSehat!$L$13:$AK$14,R$4,FALSE)))</t>
  </si>
  <si>
    <t>=IF(ISNUMBER($L$6)=FALSE,"",
        IF(ISERROR(VLOOKUP($G16,DanaSehat!$L$13:$AK$14,S$4,FALSE))=TRUE,"",
              VLOOKUP($G16,DanaSehat!$L$13:$AK$14,S$4,FALSE)))</t>
  </si>
  <si>
    <t>=IF(ISNUMBER($L$6)=FALSE,"",
        IF(ISERROR(VLOOKUP($G16,DanaSehat!$L$13:$AK$14,T$4,FALSE))=TRUE,"",
              VLOOKUP($G16,DanaSehat!$L$13:$AK$14,T$4,FALSE)))</t>
  </si>
  <si>
    <t>=IF(ISNUMBER($L$6)=FALSE,"",
        IF(ISERROR(VLOOKUP($G16,DanaSehat!$L$13:$AK$14,U$4,FALSE))=TRUE,"",
              VLOOKUP($G16,DanaSehat!$L$13:$AK$14,U$4,FALSE)))</t>
  </si>
  <si>
    <t>=IF(ISNUMBER($L$6)=FALSE,"",
        IF(ISERROR(VLOOKUP($G16,DanaSehat!$L$13:$AK$14,V$4,FALSE))=TRUE,"",
              VLOOKUP($G16,DanaSehat!$L$13:$AK$14,V$4,FALSE)))</t>
  </si>
  <si>
    <t>=IF(ISNUMBER($L$6)=FALSE,"",
        IF(ISERROR(VLOOKUP($G16,DanaSehat!$L$13:$AK$14,W$4,FALSE))=TRUE,"",
              VLOOKUP($G16,DanaSehat!$L$13:$AK$14,W$4,FALSE)))</t>
  </si>
  <si>
    <t>=IF(ISNUMBER($L$6)=FALSE,"",
        IF(ISERROR(VLOOKUP($G16,DanaSehat!$L$13:$AK$14,X$4,FALSE))=TRUE,"",
              VLOOKUP($G16,DanaSehat!$L$13:$AK$14,X$4,FALSE)))</t>
  </si>
  <si>
    <t>=IF(ISNUMBER($L$6)=FALSE,"",
        IF(ISERROR(VLOOKUP($G16,DanaSehat!$L$13:$AK$14,Y$4,FALSE))=TRUE,"",
              VLOOKUP($G16,DanaSehat!$L$13:$AK$14,Y$4,FALSE)))</t>
  </si>
  <si>
    <t>=IF(ISNUMBER($L$6)=FALSE,"",
        IF(ISERROR(VLOOKUP($G16,DanaSehat!$L$13:$AK$14,Z$4,FALSE))=TRUE,"",
              VLOOKUP($G16,DanaSehat!$L$13:$AK$14,Z$4,FALSE)))</t>
  </si>
  <si>
    <t>=IF(ISNUMBER($L$6)=FALSE,"",
        IF(ISERROR(VLOOKUP($G16,DanaSehat!$L$13:$AK$14,AA$4,FALSE))=TRUE,"",
              VLOOKUP($G16,DanaSehat!$L$13:$AK$14,AA$4,FALSE)))</t>
  </si>
  <si>
    <t>=IF(ISNUMBER($L$6)=FALSE,"",
        IF(ISERROR(VLOOKUP($G16,DanaSehat!$L$13:$AK$14,AB$4,FALSE))=TRUE,"",
              VLOOKUP($G16,DanaSehat!$L$13:$AK$14,AB$4,FALSE)))</t>
  </si>
  <si>
    <t>=IF(ISNUMBER($L$6)=FALSE,"",
        IF(ISERROR(VLOOKUP($G16,DanaSehat!$L$13:$AK$14,AC$4,FALSE))=TRUE,"",
              VLOOKUP($G16,DanaSehat!$L$13:$AK$14,AC$4,FALSE)))</t>
  </si>
  <si>
    <t>=IF(ISNUMBER($L$6)=FALSE,"",
        IF(ISERROR(VLOOKUP($G16,DanaSehat!$L$13:$AK$14,AD$4,FALSE))=TRUE,"",
              VLOOKUP($G16,DanaSehat!$L$13:$AK$14,AD$4,FALSE)))</t>
  </si>
  <si>
    <t>=IF(ISNUMBER($L$6)=FALSE,"",
        IF(ISERROR(VLOOKUP($G16,DanaSehat!$L$13:$AK$14,AE$4,FALSE))=TRUE,"",
              VLOOKUP($G16,DanaSehat!$L$13:$AK$14,AE$4,FALSE)))</t>
  </si>
  <si>
    <t>=IF(ISNUMBER($L$6)=FALSE,"",
        IF(ISERROR(VLOOKUP($G16,DanaSehat!$L$13:$AK$14,AF$4,FALSE))=TRUE,"",
              VLOOKUP($G16,DanaSehat!$L$13:$AK$14,AF$4,FALSE)))</t>
  </si>
  <si>
    <t>=IF($C16=$C$4,0,
       IF($C16=0,0,$C16+1))</t>
  </si>
  <si>
    <t>=IF(ISNUMBER($L$6)=FALSE,"",
IF($C17=0,"",$C17))</t>
  </si>
  <si>
    <t>=IF(ISNUMBER($L$6)=FALSE,"",
IF($C17=0,"",VLOOKUP($E17,DanaSehat!$H$13:$L$14,4,FALSE)))</t>
  </si>
  <si>
    <t>=IF(ISNUMBER($L$6)=FALSE,"",
IF($C17=0,"",VLOOKUP($E17,DanaSehat!$H$13:$L$14,5,FALSE)))</t>
  </si>
  <si>
    <t>=IF(ISNUMBER($L$6)=FALSE,"",
IF($C17=0,"",SUM(I17:AF17)))</t>
  </si>
  <si>
    <t>=IF(ISNUMBER($L$6)=FALSE,"",
        IF(ISERROR(VLOOKUP($G17,DanaSehat!$L$13:$AK$14,I$4,FALSE))=TRUE,"",
              VLOOKUP($G17,DanaSehat!$L$13:$AK$14,I$4,FALSE)))</t>
  </si>
  <si>
    <t>=IF(ISNUMBER($L$6)=FALSE,"",
        IF(ISERROR(VLOOKUP($G17,DanaSehat!$L$13:$AK$14,J$4,FALSE))=TRUE,"",
              VLOOKUP($G17,DanaSehat!$L$13:$AK$14,J$4,FALSE)))</t>
  </si>
  <si>
    <t>=IF(ISNUMBER($L$6)=FALSE,"",
        IF(ISERROR(VLOOKUP($G17,DanaSehat!$L$13:$AK$14,K$4,FALSE))=TRUE,"",
              VLOOKUP($G17,DanaSehat!$L$13:$AK$14,K$4,FALSE)))</t>
  </si>
  <si>
    <t>=IF(ISNUMBER($L$6)=FALSE,"",
        IF(ISERROR(VLOOKUP($G17,DanaSehat!$L$13:$AK$14,L$4,FALSE))=TRUE,"",
              VLOOKUP($G17,DanaSehat!$L$13:$AK$14,L$4,FALSE)))</t>
  </si>
  <si>
    <t>=IF(ISNUMBER($L$6)=FALSE,"",
        IF(ISERROR(VLOOKUP($G17,DanaSehat!$L$13:$AK$14,M$4,FALSE))=TRUE,"",
              VLOOKUP($G17,DanaSehat!$L$13:$AK$14,M$4,FALSE)))</t>
  </si>
  <si>
    <t>=IF(ISNUMBER($L$6)=FALSE,"",
        IF(ISERROR(VLOOKUP($G17,DanaSehat!$L$13:$AK$14,N$4,FALSE))=TRUE,"",
              VLOOKUP($G17,DanaSehat!$L$13:$AK$14,N$4,FALSE)))</t>
  </si>
  <si>
    <t>=IF(ISNUMBER($L$6)=FALSE,"",
        IF(ISERROR(VLOOKUP($G17,DanaSehat!$L$13:$AK$14,O$4,FALSE))=TRUE,"",
              VLOOKUP($G17,DanaSehat!$L$13:$AK$14,O$4,FALSE)))</t>
  </si>
  <si>
    <t>=IF(ISNUMBER($L$6)=FALSE,"",
        IF(ISERROR(VLOOKUP($G17,DanaSehat!$L$13:$AK$14,P$4,FALSE))=TRUE,"",
              VLOOKUP($G17,DanaSehat!$L$13:$AK$14,P$4,FALSE)))</t>
  </si>
  <si>
    <t>=IF(ISNUMBER($L$6)=FALSE,"",
        IF(ISERROR(VLOOKUP($G17,DanaSehat!$L$13:$AK$14,Q$4,FALSE))=TRUE,"",
              VLOOKUP($G17,DanaSehat!$L$13:$AK$14,Q$4,FALSE)))</t>
  </si>
  <si>
    <t>=IF(ISNUMBER($L$6)=FALSE,"",
        IF(ISERROR(VLOOKUP($G17,DanaSehat!$L$13:$AK$14,R$4,FALSE))=TRUE,"",
              VLOOKUP($G17,DanaSehat!$L$13:$AK$14,R$4,FALSE)))</t>
  </si>
  <si>
    <t>=IF(ISNUMBER($L$6)=FALSE,"",
        IF(ISERROR(VLOOKUP($G17,DanaSehat!$L$13:$AK$14,S$4,FALSE))=TRUE,"",
              VLOOKUP($G17,DanaSehat!$L$13:$AK$14,S$4,FALSE)))</t>
  </si>
  <si>
    <t>=IF(ISNUMBER($L$6)=FALSE,"",
        IF(ISERROR(VLOOKUP($G17,DanaSehat!$L$13:$AK$14,T$4,FALSE))=TRUE,"",
              VLOOKUP($G17,DanaSehat!$L$13:$AK$14,T$4,FALSE)))</t>
  </si>
  <si>
    <t>=IF(ISNUMBER($L$6)=FALSE,"",
        IF(ISERROR(VLOOKUP($G17,DanaSehat!$L$13:$AK$14,U$4,FALSE))=TRUE,"",
              VLOOKUP($G17,DanaSehat!$L$13:$AK$14,U$4,FALSE)))</t>
  </si>
  <si>
    <t>=IF(ISNUMBER($L$6)=FALSE,"",
        IF(ISERROR(VLOOKUP($G17,DanaSehat!$L$13:$AK$14,V$4,FALSE))=TRUE,"",
              VLOOKUP($G17,DanaSehat!$L$13:$AK$14,V$4,FALSE)))</t>
  </si>
  <si>
    <t>=IF(ISNUMBER($L$6)=FALSE,"",
        IF(ISERROR(VLOOKUP($G17,DanaSehat!$L$13:$AK$14,W$4,FALSE))=TRUE,"",
              VLOOKUP($G17,DanaSehat!$L$13:$AK$14,W$4,FALSE)))</t>
  </si>
  <si>
    <t>=IF(ISNUMBER($L$6)=FALSE,"",
        IF(ISERROR(VLOOKUP($G17,DanaSehat!$L$13:$AK$14,X$4,FALSE))=TRUE,"",
              VLOOKUP($G17,DanaSehat!$L$13:$AK$14,X$4,FALSE)))</t>
  </si>
  <si>
    <t>=IF(ISNUMBER($L$6)=FALSE,"",
        IF(ISERROR(VLOOKUP($G17,DanaSehat!$L$13:$AK$14,Y$4,FALSE))=TRUE,"",
              VLOOKUP($G17,DanaSehat!$L$13:$AK$14,Y$4,FALSE)))</t>
  </si>
  <si>
    <t>=IF(ISNUMBER($L$6)=FALSE,"",
        IF(ISERROR(VLOOKUP($G17,DanaSehat!$L$13:$AK$14,Z$4,FALSE))=TRUE,"",
              VLOOKUP($G17,DanaSehat!$L$13:$AK$14,Z$4,FALSE)))</t>
  </si>
  <si>
    <t>=IF(ISNUMBER($L$6)=FALSE,"",
        IF(ISERROR(VLOOKUP($G17,DanaSehat!$L$13:$AK$14,AA$4,FALSE))=TRUE,"",
              VLOOKUP($G17,DanaSehat!$L$13:$AK$14,AA$4,FALSE)))</t>
  </si>
  <si>
    <t>=IF(ISNUMBER($L$6)=FALSE,"",
        IF(ISERROR(VLOOKUP($G17,DanaSehat!$L$13:$AK$14,AB$4,FALSE))=TRUE,"",
              VLOOKUP($G17,DanaSehat!$L$13:$AK$14,AB$4,FALSE)))</t>
  </si>
  <si>
    <t>=IF(ISNUMBER($L$6)=FALSE,"",
        IF(ISERROR(VLOOKUP($G17,DanaSehat!$L$13:$AK$14,AC$4,FALSE))=TRUE,"",
              VLOOKUP($G17,DanaSehat!$L$13:$AK$14,AC$4,FALSE)))</t>
  </si>
  <si>
    <t>=IF(ISNUMBER($L$6)=FALSE,"",
        IF(ISERROR(VLOOKUP($G17,DanaSehat!$L$13:$AK$14,AD$4,FALSE))=TRUE,"",
              VLOOKUP($G17,DanaSehat!$L$13:$AK$14,AD$4,FALSE)))</t>
  </si>
  <si>
    <t>=IF(ISNUMBER($L$6)=FALSE,"",
        IF(ISERROR(VLOOKUP($G17,DanaSehat!$L$13:$AK$14,AE$4,FALSE))=TRUE,"",
              VLOOKUP($G17,DanaSehat!$L$13:$AK$14,AE$4,FALSE)))</t>
  </si>
  <si>
    <t>=IF(ISNUMBER($L$6)=FALSE,"",
        IF(ISERROR(VLOOKUP($G17,DanaSehat!$L$13:$AK$14,AF$4,FALSE))=TRUE,"",
              VLOOKUP($G17,DanaSehat!$L$13:$AK$14,AF$4,FALSE)))</t>
  </si>
  <si>
    <t>=IF($C17=$C$4,0,
       IF($C17=0,0,$C17+1))</t>
  </si>
  <si>
    <t>=IF(ISNUMBER($L$6)=FALSE,"",
IF($C18=0,"",$C18))</t>
  </si>
  <si>
    <t>=IF(ISNUMBER($L$6)=FALSE,"",
IF($C18=0,"",VLOOKUP($E18,DanaSehat!$H$13:$L$14,4,FALSE)))</t>
  </si>
  <si>
    <t>=IF(ISNUMBER($L$6)=FALSE,"",
IF($C18=0,"",VLOOKUP($E18,DanaSehat!$H$13:$L$14,5,FALSE)))</t>
  </si>
  <si>
    <t>=IF(ISNUMBER($L$6)=FALSE,"",
IF($C18=0,"",SUM(I18:AF18)))</t>
  </si>
  <si>
    <t>=IF(ISNUMBER($L$6)=FALSE,"",
        IF(ISERROR(VLOOKUP($G18,DanaSehat!$L$13:$AK$14,I$4,FALSE))=TRUE,"",
              VLOOKUP($G18,DanaSehat!$L$13:$AK$14,I$4,FALSE)))</t>
  </si>
  <si>
    <t>=IF(ISNUMBER($L$6)=FALSE,"",
        IF(ISERROR(VLOOKUP($G18,DanaSehat!$L$13:$AK$14,J$4,FALSE))=TRUE,"",
              VLOOKUP($G18,DanaSehat!$L$13:$AK$14,J$4,FALSE)))</t>
  </si>
  <si>
    <t>=IF(ISNUMBER($L$6)=FALSE,"",
        IF(ISERROR(VLOOKUP($G18,DanaSehat!$L$13:$AK$14,K$4,FALSE))=TRUE,"",
              VLOOKUP($G18,DanaSehat!$L$13:$AK$14,K$4,FALSE)))</t>
  </si>
  <si>
    <t>=IF(ISNUMBER($L$6)=FALSE,"",
        IF(ISERROR(VLOOKUP($G18,DanaSehat!$L$13:$AK$14,L$4,FALSE))=TRUE,"",
              VLOOKUP($G18,DanaSehat!$L$13:$AK$14,L$4,FALSE)))</t>
  </si>
  <si>
    <t>=IF(ISNUMBER($L$6)=FALSE,"",
        IF(ISERROR(VLOOKUP($G18,DanaSehat!$L$13:$AK$14,M$4,FALSE))=TRUE,"",
              VLOOKUP($G18,DanaSehat!$L$13:$AK$14,M$4,FALSE)))</t>
  </si>
  <si>
    <t>=IF(ISNUMBER($L$6)=FALSE,"",
        IF(ISERROR(VLOOKUP($G18,DanaSehat!$L$13:$AK$14,N$4,FALSE))=TRUE,"",
              VLOOKUP($G18,DanaSehat!$L$13:$AK$14,N$4,FALSE)))</t>
  </si>
  <si>
    <t>=IF(ISNUMBER($L$6)=FALSE,"",
        IF(ISERROR(VLOOKUP($G18,DanaSehat!$L$13:$AK$14,O$4,FALSE))=TRUE,"",
              VLOOKUP($G18,DanaSehat!$L$13:$AK$14,O$4,FALSE)))</t>
  </si>
  <si>
    <t>=IF(ISNUMBER($L$6)=FALSE,"",
        IF(ISERROR(VLOOKUP($G18,DanaSehat!$L$13:$AK$14,P$4,FALSE))=TRUE,"",
              VLOOKUP($G18,DanaSehat!$L$13:$AK$14,P$4,FALSE)))</t>
  </si>
  <si>
    <t>=IF(ISNUMBER($L$6)=FALSE,"",
        IF(ISERROR(VLOOKUP($G18,DanaSehat!$L$13:$AK$14,Q$4,FALSE))=TRUE,"",
              VLOOKUP($G18,DanaSehat!$L$13:$AK$14,Q$4,FALSE)))</t>
  </si>
  <si>
    <t>=IF(ISNUMBER($L$6)=FALSE,"",
        IF(ISERROR(VLOOKUP($G18,DanaSehat!$L$13:$AK$14,R$4,FALSE))=TRUE,"",
              VLOOKUP($G18,DanaSehat!$L$13:$AK$14,R$4,FALSE)))</t>
  </si>
  <si>
    <t>=IF(ISNUMBER($L$6)=FALSE,"",
        IF(ISERROR(VLOOKUP($G18,DanaSehat!$L$13:$AK$14,S$4,FALSE))=TRUE,"",
              VLOOKUP($G18,DanaSehat!$L$13:$AK$14,S$4,FALSE)))</t>
  </si>
  <si>
    <t>=IF(ISNUMBER($L$6)=FALSE,"",
        IF(ISERROR(VLOOKUP($G18,DanaSehat!$L$13:$AK$14,T$4,FALSE))=TRUE,"",
              VLOOKUP($G18,DanaSehat!$L$13:$AK$14,T$4,FALSE)))</t>
  </si>
  <si>
    <t>=IF(ISNUMBER($L$6)=FALSE,"",
        IF(ISERROR(VLOOKUP($G18,DanaSehat!$L$13:$AK$14,U$4,FALSE))=TRUE,"",
              VLOOKUP($G18,DanaSehat!$L$13:$AK$14,U$4,FALSE)))</t>
  </si>
  <si>
    <t>=IF(ISNUMBER($L$6)=FALSE,"",
        IF(ISERROR(VLOOKUP($G18,DanaSehat!$L$13:$AK$14,V$4,FALSE))=TRUE,"",
              VLOOKUP($G18,DanaSehat!$L$13:$AK$14,V$4,FALSE)))</t>
  </si>
  <si>
    <t>=IF(ISNUMBER($L$6)=FALSE,"",
        IF(ISERROR(VLOOKUP($G18,DanaSehat!$L$13:$AK$14,W$4,FALSE))=TRUE,"",
              VLOOKUP($G18,DanaSehat!$L$13:$AK$14,W$4,FALSE)))</t>
  </si>
  <si>
    <t>=IF(ISNUMBER($L$6)=FALSE,"",
        IF(ISERROR(VLOOKUP($G18,DanaSehat!$L$13:$AK$14,X$4,FALSE))=TRUE,"",
              VLOOKUP($G18,DanaSehat!$L$13:$AK$14,X$4,FALSE)))</t>
  </si>
  <si>
    <t>=IF(ISNUMBER($L$6)=FALSE,"",
        IF(ISERROR(VLOOKUP($G18,DanaSehat!$L$13:$AK$14,Y$4,FALSE))=TRUE,"",
              VLOOKUP($G18,DanaSehat!$L$13:$AK$14,Y$4,FALSE)))</t>
  </si>
  <si>
    <t>=IF(ISNUMBER($L$6)=FALSE,"",
        IF(ISERROR(VLOOKUP($G18,DanaSehat!$L$13:$AK$14,Z$4,FALSE))=TRUE,"",
              VLOOKUP($G18,DanaSehat!$L$13:$AK$14,Z$4,FALSE)))</t>
  </si>
  <si>
    <t>=IF(ISNUMBER($L$6)=FALSE,"",
        IF(ISERROR(VLOOKUP($G18,DanaSehat!$L$13:$AK$14,AA$4,FALSE))=TRUE,"",
              VLOOKUP($G18,DanaSehat!$L$13:$AK$14,AA$4,FALSE)))</t>
  </si>
  <si>
    <t>=IF(ISNUMBER($L$6)=FALSE,"",
        IF(ISERROR(VLOOKUP($G18,DanaSehat!$L$13:$AK$14,AB$4,FALSE))=TRUE,"",
              VLOOKUP($G18,DanaSehat!$L$13:$AK$14,AB$4,FALSE)))</t>
  </si>
  <si>
    <t>=IF(ISNUMBER($L$6)=FALSE,"",
        IF(ISERROR(VLOOKUP($G18,DanaSehat!$L$13:$AK$14,AC$4,FALSE))=TRUE,"",
              VLOOKUP($G18,DanaSehat!$L$13:$AK$14,AC$4,FALSE)))</t>
  </si>
  <si>
    <t>=IF(ISNUMBER($L$6)=FALSE,"",
        IF(ISERROR(VLOOKUP($G18,DanaSehat!$L$13:$AK$14,AD$4,FALSE))=TRUE,"",
              VLOOKUP($G18,DanaSehat!$L$13:$AK$14,AD$4,FALSE)))</t>
  </si>
  <si>
    <t>=IF(ISNUMBER($L$6)=FALSE,"",
        IF(ISERROR(VLOOKUP($G18,DanaSehat!$L$13:$AK$14,AE$4,FALSE))=TRUE,"",
              VLOOKUP($G18,DanaSehat!$L$13:$AK$14,AE$4,FALSE)))</t>
  </si>
  <si>
    <t>=IF(ISNUMBER($L$6)=FALSE,"",
        IF(ISERROR(VLOOKUP($G18,DanaSehat!$L$13:$AK$14,AF$4,FALSE))=TRUE,"",
              VLOOKUP($G18,DanaSehat!$L$13:$AK$14,AF$4,FALSE)))</t>
  </si>
  <si>
    <t>=IF($C18=$C$4,0,
       IF($C18=0,0,$C18+1))</t>
  </si>
  <si>
    <t>=IF(ISNUMBER($L$6)=FALSE,"",
IF($C19=0,"",$C19))</t>
  </si>
  <si>
    <t>=IF(ISNUMBER($L$6)=FALSE,"",
IF($C19=0,"",VLOOKUP($E19,DanaSehat!$H$13:$L$14,4,FALSE)))</t>
  </si>
  <si>
    <t>=IF(ISNUMBER($L$6)=FALSE,"",
IF($C19=0,"",VLOOKUP($E19,DanaSehat!$H$13:$L$14,5,FALSE)))</t>
  </si>
  <si>
    <t>=IF(ISNUMBER($L$6)=FALSE,"",
IF($C19=0,"",SUM(I19:AF19)))</t>
  </si>
  <si>
    <t>=IF(ISNUMBER($L$6)=FALSE,"",
        IF(ISERROR(VLOOKUP($G19,DanaSehat!$L$13:$AK$14,I$4,FALSE))=TRUE,"",
              VLOOKUP($G19,DanaSehat!$L$13:$AK$14,I$4,FALSE)))</t>
  </si>
  <si>
    <t>=IF(ISNUMBER($L$6)=FALSE,"",
        IF(ISERROR(VLOOKUP($G19,DanaSehat!$L$13:$AK$14,J$4,FALSE))=TRUE,"",
              VLOOKUP($G19,DanaSehat!$L$13:$AK$14,J$4,FALSE)))</t>
  </si>
  <si>
    <t>=IF(ISNUMBER($L$6)=FALSE,"",
        IF(ISERROR(VLOOKUP($G19,DanaSehat!$L$13:$AK$14,K$4,FALSE))=TRUE,"",
              VLOOKUP($G19,DanaSehat!$L$13:$AK$14,K$4,FALSE)))</t>
  </si>
  <si>
    <t>=IF(ISNUMBER($L$6)=FALSE,"",
        IF(ISERROR(VLOOKUP($G19,DanaSehat!$L$13:$AK$14,L$4,FALSE))=TRUE,"",
              VLOOKUP($G19,DanaSehat!$L$13:$AK$14,L$4,FALSE)))</t>
  </si>
  <si>
    <t>=IF(ISNUMBER($L$6)=FALSE,"",
        IF(ISERROR(VLOOKUP($G19,DanaSehat!$L$13:$AK$14,M$4,FALSE))=TRUE,"",
              VLOOKUP($G19,DanaSehat!$L$13:$AK$14,M$4,FALSE)))</t>
  </si>
  <si>
    <t>=IF(ISNUMBER($L$6)=FALSE,"",
        IF(ISERROR(VLOOKUP($G19,DanaSehat!$L$13:$AK$14,N$4,FALSE))=TRUE,"",
              VLOOKUP($G19,DanaSehat!$L$13:$AK$14,N$4,FALSE)))</t>
  </si>
  <si>
    <t>=IF(ISNUMBER($L$6)=FALSE,"",
        IF(ISERROR(VLOOKUP($G19,DanaSehat!$L$13:$AK$14,O$4,FALSE))=TRUE,"",
              VLOOKUP($G19,DanaSehat!$L$13:$AK$14,O$4,FALSE)))</t>
  </si>
  <si>
    <t>=IF(ISNUMBER($L$6)=FALSE,"",
        IF(ISERROR(VLOOKUP($G19,DanaSehat!$L$13:$AK$14,P$4,FALSE))=TRUE,"",
              VLOOKUP($G19,DanaSehat!$L$13:$AK$14,P$4,FALSE)))</t>
  </si>
  <si>
    <t>=IF(ISNUMBER($L$6)=FALSE,"",
        IF(ISERROR(VLOOKUP($G19,DanaSehat!$L$13:$AK$14,Q$4,FALSE))=TRUE,"",
              VLOOKUP($G19,DanaSehat!$L$13:$AK$14,Q$4,FALSE)))</t>
  </si>
  <si>
    <t>=IF(ISNUMBER($L$6)=FALSE,"",
        IF(ISERROR(VLOOKUP($G19,DanaSehat!$L$13:$AK$14,R$4,FALSE))=TRUE,"",
              VLOOKUP($G19,DanaSehat!$L$13:$AK$14,R$4,FALSE)))</t>
  </si>
  <si>
    <t>=IF(ISNUMBER($L$6)=FALSE,"",
        IF(ISERROR(VLOOKUP($G19,DanaSehat!$L$13:$AK$14,S$4,FALSE))=TRUE,"",
              VLOOKUP($G19,DanaSehat!$L$13:$AK$14,S$4,FALSE)))</t>
  </si>
  <si>
    <t>=IF(ISNUMBER($L$6)=FALSE,"",
        IF(ISERROR(VLOOKUP($G19,DanaSehat!$L$13:$AK$14,T$4,FALSE))=TRUE,"",
              VLOOKUP($G19,DanaSehat!$L$13:$AK$14,T$4,FALSE)))</t>
  </si>
  <si>
    <t>=IF(ISNUMBER($L$6)=FALSE,"",
        IF(ISERROR(VLOOKUP($G19,DanaSehat!$L$13:$AK$14,U$4,FALSE))=TRUE,"",
              VLOOKUP($G19,DanaSehat!$L$13:$AK$14,U$4,FALSE)))</t>
  </si>
  <si>
    <t>=IF(ISNUMBER($L$6)=FALSE,"",
        IF(ISERROR(VLOOKUP($G19,DanaSehat!$L$13:$AK$14,V$4,FALSE))=TRUE,"",
              VLOOKUP($G19,DanaSehat!$L$13:$AK$14,V$4,FALSE)))</t>
  </si>
  <si>
    <t>=IF(ISNUMBER($L$6)=FALSE,"",
        IF(ISERROR(VLOOKUP($G19,DanaSehat!$L$13:$AK$14,W$4,FALSE))=TRUE,"",
              VLOOKUP($G19,DanaSehat!$L$13:$AK$14,W$4,FALSE)))</t>
  </si>
  <si>
    <t>=IF(ISNUMBER($L$6)=FALSE,"",
        IF(ISERROR(VLOOKUP($G19,DanaSehat!$L$13:$AK$14,X$4,FALSE))=TRUE,"",
              VLOOKUP($G19,DanaSehat!$L$13:$AK$14,X$4,FALSE)))</t>
  </si>
  <si>
    <t>=IF(ISNUMBER($L$6)=FALSE,"",
        IF(ISERROR(VLOOKUP($G19,DanaSehat!$L$13:$AK$14,Y$4,FALSE))=TRUE,"",
              VLOOKUP($G19,DanaSehat!$L$13:$AK$14,Y$4,FALSE)))</t>
  </si>
  <si>
    <t>=IF(ISNUMBER($L$6)=FALSE,"",
        IF(ISERROR(VLOOKUP($G19,DanaSehat!$L$13:$AK$14,Z$4,FALSE))=TRUE,"",
              VLOOKUP($G19,DanaSehat!$L$13:$AK$14,Z$4,FALSE)))</t>
  </si>
  <si>
    <t>=IF(ISNUMBER($L$6)=FALSE,"",
        IF(ISERROR(VLOOKUP($G19,DanaSehat!$L$13:$AK$14,AA$4,FALSE))=TRUE,"",
              VLOOKUP($G19,DanaSehat!$L$13:$AK$14,AA$4,FALSE)))</t>
  </si>
  <si>
    <t>=IF(ISNUMBER($L$6)=FALSE,"",
        IF(ISERROR(VLOOKUP($G19,DanaSehat!$L$13:$AK$14,AB$4,FALSE))=TRUE,"",
              VLOOKUP($G19,DanaSehat!$L$13:$AK$14,AB$4,FALSE)))</t>
  </si>
  <si>
    <t>=IF(ISNUMBER($L$6)=FALSE,"",
        IF(ISERROR(VLOOKUP($G19,DanaSehat!$L$13:$AK$14,AC$4,FALSE))=TRUE,"",
              VLOOKUP($G19,DanaSehat!$L$13:$AK$14,AC$4,FALSE)))</t>
  </si>
  <si>
    <t>=IF(ISNUMBER($L$6)=FALSE,"",
        IF(ISERROR(VLOOKUP($G19,DanaSehat!$L$13:$AK$14,AD$4,FALSE))=TRUE,"",
              VLOOKUP($G19,DanaSehat!$L$13:$AK$14,AD$4,FALSE)))</t>
  </si>
  <si>
    <t>=IF(ISNUMBER($L$6)=FALSE,"",
        IF(ISERROR(VLOOKUP($G19,DanaSehat!$L$13:$AK$14,AE$4,FALSE))=TRUE,"",
              VLOOKUP($G19,DanaSehat!$L$13:$AK$14,AE$4,FALSE)))</t>
  </si>
  <si>
    <t>=IF(ISNUMBER($L$6)=FALSE,"",
        IF(ISERROR(VLOOKUP($G19,DanaSehat!$L$13:$AK$14,AF$4,FALSE))=TRUE,"",
              VLOOKUP($G19,DanaSehat!$L$13:$AK$14,AF$4,FALSE)))</t>
  </si>
  <si>
    <t>=IF($C19=$C$4,0,
       IF($C19=0,0,$C19+1))</t>
  </si>
  <si>
    <t>=IF(ISNUMBER($L$6)=FALSE,"",
IF($C20=0,"",$C20))</t>
  </si>
  <si>
    <t>=IF(ISNUMBER($L$6)=FALSE,"",
IF($C20=0,"",VLOOKUP($E20,DanaSehat!$H$13:$L$14,4,FALSE)))</t>
  </si>
  <si>
    <t>=IF(ISNUMBER($L$6)=FALSE,"",
IF($C20=0,"",VLOOKUP($E20,DanaSehat!$H$13:$L$14,5,FALSE)))</t>
  </si>
  <si>
    <t>=IF(ISNUMBER($L$6)=FALSE,"",
IF($C20=0,"",SUM(I20:AF20)))</t>
  </si>
  <si>
    <t>=IF(ISNUMBER($L$6)=FALSE,"",
        IF(ISERROR(VLOOKUP($G20,DanaSehat!$L$13:$AK$14,I$4,FALSE))=TRUE,"",
              VLOOKUP($G20,DanaSehat!$L$13:$AK$14,I$4,FALSE)))</t>
  </si>
  <si>
    <t>=IF(ISNUMBER($L$6)=FALSE,"",
        IF(ISERROR(VLOOKUP($G20,DanaSehat!$L$13:$AK$14,J$4,FALSE))=TRUE,"",
              VLOOKUP($G20,DanaSehat!$L$13:$AK$14,J$4,FALSE)))</t>
  </si>
  <si>
    <t>=IF(ISNUMBER($L$6)=FALSE,"",
        IF(ISERROR(VLOOKUP($G20,DanaSehat!$L$13:$AK$14,K$4,FALSE))=TRUE,"",
              VLOOKUP($G20,DanaSehat!$L$13:$AK$14,K$4,FALSE)))</t>
  </si>
  <si>
    <t>=IF(ISNUMBER($L$6)=FALSE,"",
        IF(ISERROR(VLOOKUP($G20,DanaSehat!$L$13:$AK$14,L$4,FALSE))=TRUE,"",
              VLOOKUP($G20,DanaSehat!$L$13:$AK$14,L$4,FALSE)))</t>
  </si>
  <si>
    <t>=IF(ISNUMBER($L$6)=FALSE,"",
        IF(ISERROR(VLOOKUP($G20,DanaSehat!$L$13:$AK$14,M$4,FALSE))=TRUE,"",
              VLOOKUP($G20,DanaSehat!$L$13:$AK$14,M$4,FALSE)))</t>
  </si>
  <si>
    <t>=IF(ISNUMBER($L$6)=FALSE,"",
        IF(ISERROR(VLOOKUP($G20,DanaSehat!$L$13:$AK$14,N$4,FALSE))=TRUE,"",
              VLOOKUP($G20,DanaSehat!$L$13:$AK$14,N$4,FALSE)))</t>
  </si>
  <si>
    <t>=IF(ISNUMBER($L$6)=FALSE,"",
        IF(ISERROR(VLOOKUP($G20,DanaSehat!$L$13:$AK$14,O$4,FALSE))=TRUE,"",
              VLOOKUP($G20,DanaSehat!$L$13:$AK$14,O$4,FALSE)))</t>
  </si>
  <si>
    <t>=IF(ISNUMBER($L$6)=FALSE,"",
        IF(ISERROR(VLOOKUP($G20,DanaSehat!$L$13:$AK$14,P$4,FALSE))=TRUE,"",
              VLOOKUP($G20,DanaSehat!$L$13:$AK$14,P$4,FALSE)))</t>
  </si>
  <si>
    <t>=IF(ISNUMBER($L$6)=FALSE,"",
        IF(ISERROR(VLOOKUP($G20,DanaSehat!$L$13:$AK$14,Q$4,FALSE))=TRUE,"",
              VLOOKUP($G20,DanaSehat!$L$13:$AK$14,Q$4,FALSE)))</t>
  </si>
  <si>
    <t>=IF(ISNUMBER($L$6)=FALSE,"",
        IF(ISERROR(VLOOKUP($G20,DanaSehat!$L$13:$AK$14,R$4,FALSE))=TRUE,"",
              VLOOKUP($G20,DanaSehat!$L$13:$AK$14,R$4,FALSE)))</t>
  </si>
  <si>
    <t>=IF(ISNUMBER($L$6)=FALSE,"",
        IF(ISERROR(VLOOKUP($G20,DanaSehat!$L$13:$AK$14,S$4,FALSE))=TRUE,"",
              VLOOKUP($G20,DanaSehat!$L$13:$AK$14,S$4,FALSE)))</t>
  </si>
  <si>
    <t>=IF(ISNUMBER($L$6)=FALSE,"",
        IF(ISERROR(VLOOKUP($G20,DanaSehat!$L$13:$AK$14,T$4,FALSE))=TRUE,"",
              VLOOKUP($G20,DanaSehat!$L$13:$AK$14,T$4,FALSE)))</t>
  </si>
  <si>
    <t>=IF(ISNUMBER($L$6)=FALSE,"",
        IF(ISERROR(VLOOKUP($G20,DanaSehat!$L$13:$AK$14,U$4,FALSE))=TRUE,"",
              VLOOKUP($G20,DanaSehat!$L$13:$AK$14,U$4,FALSE)))</t>
  </si>
  <si>
    <t>=IF(ISNUMBER($L$6)=FALSE,"",
        IF(ISERROR(VLOOKUP($G20,DanaSehat!$L$13:$AK$14,V$4,FALSE))=TRUE,"",
              VLOOKUP($G20,DanaSehat!$L$13:$AK$14,V$4,FALSE)))</t>
  </si>
  <si>
    <t>=IF(ISNUMBER($L$6)=FALSE,"",
        IF(ISERROR(VLOOKUP($G20,DanaSehat!$L$13:$AK$14,W$4,FALSE))=TRUE,"",
              VLOOKUP($G20,DanaSehat!$L$13:$AK$14,W$4,FALSE)))</t>
  </si>
  <si>
    <t>=IF(ISNUMBER($L$6)=FALSE,"",
        IF(ISERROR(VLOOKUP($G20,DanaSehat!$L$13:$AK$14,X$4,FALSE))=TRUE,"",
              VLOOKUP($G20,DanaSehat!$L$13:$AK$14,X$4,FALSE)))</t>
  </si>
  <si>
    <t>=IF(ISNUMBER($L$6)=FALSE,"",
        IF(ISERROR(VLOOKUP($G20,DanaSehat!$L$13:$AK$14,Y$4,FALSE))=TRUE,"",
              VLOOKUP($G20,DanaSehat!$L$13:$AK$14,Y$4,FALSE)))</t>
  </si>
  <si>
    <t>=IF(ISNUMBER($L$6)=FALSE,"",
        IF(ISERROR(VLOOKUP($G20,DanaSehat!$L$13:$AK$14,Z$4,FALSE))=TRUE,"",
              VLOOKUP($G20,DanaSehat!$L$13:$AK$14,Z$4,FALSE)))</t>
  </si>
  <si>
    <t>=IF(ISNUMBER($L$6)=FALSE,"",
        IF(ISERROR(VLOOKUP($G20,DanaSehat!$L$13:$AK$14,AA$4,FALSE))=TRUE,"",
              VLOOKUP($G20,DanaSehat!$L$13:$AK$14,AA$4,FALSE)))</t>
  </si>
  <si>
    <t>=IF(ISNUMBER($L$6)=FALSE,"",
        IF(ISERROR(VLOOKUP($G20,DanaSehat!$L$13:$AK$14,AB$4,FALSE))=TRUE,"",
              VLOOKUP($G20,DanaSehat!$L$13:$AK$14,AB$4,FALSE)))</t>
  </si>
  <si>
    <t>=IF(ISNUMBER($L$6)=FALSE,"",
        IF(ISERROR(VLOOKUP($G20,DanaSehat!$L$13:$AK$14,AC$4,FALSE))=TRUE,"",
              VLOOKUP($G20,DanaSehat!$L$13:$AK$14,AC$4,FALSE)))</t>
  </si>
  <si>
    <t>=IF(ISNUMBER($L$6)=FALSE,"",
        IF(ISERROR(VLOOKUP($G20,DanaSehat!$L$13:$AK$14,AD$4,FALSE))=TRUE,"",
              VLOOKUP($G20,DanaSehat!$L$13:$AK$14,AD$4,FALSE)))</t>
  </si>
  <si>
    <t>=IF(ISNUMBER($L$6)=FALSE,"",
        IF(ISERROR(VLOOKUP($G20,DanaSehat!$L$13:$AK$14,AE$4,FALSE))=TRUE,"",
              VLOOKUP($G20,DanaSehat!$L$13:$AK$14,AE$4,FALSE)))</t>
  </si>
  <si>
    <t>=IF(ISNUMBER($L$6)=FALSE,"",
        IF(ISERROR(VLOOKUP($G20,DanaSehat!$L$13:$AK$14,AF$4,FALSE))=TRUE,"",
              VLOOKUP($G20,DanaSehat!$L$13:$AK$14,AF$4,FALSE)))</t>
  </si>
  <si>
    <t>=IF($C20=$C$4,0,
       IF($C20=0,0,$C20+1))</t>
  </si>
  <si>
    <t>=IF(ISNUMBER($L$6)=FALSE,"",
IF($C21=0,"",$C21))</t>
  </si>
  <si>
    <t>=IF(ISNUMBER($L$6)=FALSE,"",
IF($C21=0,"",VLOOKUP($E21,DanaSehat!$H$13:$L$14,4,FALSE)))</t>
  </si>
  <si>
    <t>=IF(ISNUMBER($L$6)=FALSE,"",
IF($C21=0,"",VLOOKUP($E21,DanaSehat!$H$13:$L$14,5,FALSE)))</t>
  </si>
  <si>
    <t>=IF(ISNUMBER($L$6)=FALSE,"",
IF($C21=0,"",SUM(I21:AF21)))</t>
  </si>
  <si>
    <t>=IF(ISNUMBER($L$6)=FALSE,"",
        IF(ISERROR(VLOOKUP($G21,DanaSehat!$L$13:$AK$14,I$4,FALSE))=TRUE,"",
              VLOOKUP($G21,DanaSehat!$L$13:$AK$14,I$4,FALSE)))</t>
  </si>
  <si>
    <t>=IF(ISNUMBER($L$6)=FALSE,"",
        IF(ISERROR(VLOOKUP($G21,DanaSehat!$L$13:$AK$14,J$4,FALSE))=TRUE,"",
              VLOOKUP($G21,DanaSehat!$L$13:$AK$14,J$4,FALSE)))</t>
  </si>
  <si>
    <t>=IF(ISNUMBER($L$6)=FALSE,"",
        IF(ISERROR(VLOOKUP($G21,DanaSehat!$L$13:$AK$14,K$4,FALSE))=TRUE,"",
              VLOOKUP($G21,DanaSehat!$L$13:$AK$14,K$4,FALSE)))</t>
  </si>
  <si>
    <t>=IF(ISNUMBER($L$6)=FALSE,"",
        IF(ISERROR(VLOOKUP($G21,DanaSehat!$L$13:$AK$14,L$4,FALSE))=TRUE,"",
              VLOOKUP($G21,DanaSehat!$L$13:$AK$14,L$4,FALSE)))</t>
  </si>
  <si>
    <t>=IF(ISNUMBER($L$6)=FALSE,"",
        IF(ISERROR(VLOOKUP($G21,DanaSehat!$L$13:$AK$14,M$4,FALSE))=TRUE,"",
              VLOOKUP($G21,DanaSehat!$L$13:$AK$14,M$4,FALSE)))</t>
  </si>
  <si>
    <t>=IF(ISNUMBER($L$6)=FALSE,"",
        IF(ISERROR(VLOOKUP($G21,DanaSehat!$L$13:$AK$14,N$4,FALSE))=TRUE,"",
              VLOOKUP($G21,DanaSehat!$L$13:$AK$14,N$4,FALSE)))</t>
  </si>
  <si>
    <t>=IF(ISNUMBER($L$6)=FALSE,"",
        IF(ISERROR(VLOOKUP($G21,DanaSehat!$L$13:$AK$14,O$4,FALSE))=TRUE,"",
              VLOOKUP($G21,DanaSehat!$L$13:$AK$14,O$4,FALSE)))</t>
  </si>
  <si>
    <t>=IF(ISNUMBER($L$6)=FALSE,"",
        IF(ISERROR(VLOOKUP($G21,DanaSehat!$L$13:$AK$14,P$4,FALSE))=TRUE,"",
              VLOOKUP($G21,DanaSehat!$L$13:$AK$14,P$4,FALSE)))</t>
  </si>
  <si>
    <t>=IF(ISNUMBER($L$6)=FALSE,"",
        IF(ISERROR(VLOOKUP($G21,DanaSehat!$L$13:$AK$14,Q$4,FALSE))=TRUE,"",
              VLOOKUP($G21,DanaSehat!$L$13:$AK$14,Q$4,FALSE)))</t>
  </si>
  <si>
    <t>=IF(ISNUMBER($L$6)=FALSE,"",
        IF(ISERROR(VLOOKUP($G21,DanaSehat!$L$13:$AK$14,R$4,FALSE))=TRUE,"",
              VLOOKUP($G21,DanaSehat!$L$13:$AK$14,R$4,FALSE)))</t>
  </si>
  <si>
    <t>=IF(ISNUMBER($L$6)=FALSE,"",
        IF(ISERROR(VLOOKUP($G21,DanaSehat!$L$13:$AK$14,S$4,FALSE))=TRUE,"",
              VLOOKUP($G21,DanaSehat!$L$13:$AK$14,S$4,FALSE)))</t>
  </si>
  <si>
    <t>=IF(ISNUMBER($L$6)=FALSE,"",
        IF(ISERROR(VLOOKUP($G21,DanaSehat!$L$13:$AK$14,T$4,FALSE))=TRUE,"",
              VLOOKUP($G21,DanaSehat!$L$13:$AK$14,T$4,FALSE)))</t>
  </si>
  <si>
    <t>=IF(ISNUMBER($L$6)=FALSE,"",
        IF(ISERROR(VLOOKUP($G21,DanaSehat!$L$13:$AK$14,U$4,FALSE))=TRUE,"",
              VLOOKUP($G21,DanaSehat!$L$13:$AK$14,U$4,FALSE)))</t>
  </si>
  <si>
    <t>=IF(ISNUMBER($L$6)=FALSE,"",
        IF(ISERROR(VLOOKUP($G21,DanaSehat!$L$13:$AK$14,V$4,FALSE))=TRUE,"",
              VLOOKUP($G21,DanaSehat!$L$13:$AK$14,V$4,FALSE)))</t>
  </si>
  <si>
    <t>=IF(ISNUMBER($L$6)=FALSE,"",
        IF(ISERROR(VLOOKUP($G21,DanaSehat!$L$13:$AK$14,W$4,FALSE))=TRUE,"",
              VLOOKUP($G21,DanaSehat!$L$13:$AK$14,W$4,FALSE)))</t>
  </si>
  <si>
    <t>=IF(ISNUMBER($L$6)=FALSE,"",
        IF(ISERROR(VLOOKUP($G21,DanaSehat!$L$13:$AK$14,X$4,FALSE))=TRUE,"",
              VLOOKUP($G21,DanaSehat!$L$13:$AK$14,X$4,FALSE)))</t>
  </si>
  <si>
    <t>=IF(ISNUMBER($L$6)=FALSE,"",
        IF(ISERROR(VLOOKUP($G21,DanaSehat!$L$13:$AK$14,Y$4,FALSE))=TRUE,"",
              VLOOKUP($G21,DanaSehat!$L$13:$AK$14,Y$4,FALSE)))</t>
  </si>
  <si>
    <t>=IF(ISNUMBER($L$6)=FALSE,"",
        IF(ISERROR(VLOOKUP($G21,DanaSehat!$L$13:$AK$14,Z$4,FALSE))=TRUE,"",
              VLOOKUP($G21,DanaSehat!$L$13:$AK$14,Z$4,FALSE)))</t>
  </si>
  <si>
    <t>=IF(ISNUMBER($L$6)=FALSE,"",
        IF(ISERROR(VLOOKUP($G21,DanaSehat!$L$13:$AK$14,AA$4,FALSE))=TRUE,"",
              VLOOKUP($G21,DanaSehat!$L$13:$AK$14,AA$4,FALSE)))</t>
  </si>
  <si>
    <t>=IF(ISNUMBER($L$6)=FALSE,"",
        IF(ISERROR(VLOOKUP($G21,DanaSehat!$L$13:$AK$14,AB$4,FALSE))=TRUE,"",
              VLOOKUP($G21,DanaSehat!$L$13:$AK$14,AB$4,FALSE)))</t>
  </si>
  <si>
    <t>=IF(ISNUMBER($L$6)=FALSE,"",
        IF(ISERROR(VLOOKUP($G21,DanaSehat!$L$13:$AK$14,AC$4,FALSE))=TRUE,"",
              VLOOKUP($G21,DanaSehat!$L$13:$AK$14,AC$4,FALSE)))</t>
  </si>
  <si>
    <t>=IF(ISNUMBER($L$6)=FALSE,"",
        IF(ISERROR(VLOOKUP($G21,DanaSehat!$L$13:$AK$14,AD$4,FALSE))=TRUE,"",
              VLOOKUP($G21,DanaSehat!$L$13:$AK$14,AD$4,FALSE)))</t>
  </si>
  <si>
    <t>=IF(ISNUMBER($L$6)=FALSE,"",
        IF(ISERROR(VLOOKUP($G21,DanaSehat!$L$13:$AK$14,AE$4,FALSE))=TRUE,"",
              VLOOKUP($G21,DanaSehat!$L$13:$AK$14,AE$4,FALSE)))</t>
  </si>
  <si>
    <t>=IF(ISNUMBER($L$6)=FALSE,"",
        IF(ISERROR(VLOOKUP($G21,DanaSehat!$L$13:$AK$14,AF$4,FALSE))=TRUE,"",
              VLOOKUP($G21,DanaSehat!$L$13:$AK$14,AF$4,FALSE)))</t>
  </si>
  <si>
    <t>=IF($C21=$C$4,0,
       IF($C21=0,0,$C21+1))</t>
  </si>
  <si>
    <t>=IF(ISNUMBER($L$6)=FALSE,"",
IF($C22=0,"",$C22))</t>
  </si>
  <si>
    <t>=IF(ISNUMBER($L$6)=FALSE,"",
IF($C22=0,"",VLOOKUP($E22,DanaSehat!$H$13:$L$14,4,FALSE)))</t>
  </si>
  <si>
    <t>=IF(ISNUMBER($L$6)=FALSE,"",
IF($C22=0,"",VLOOKUP($E22,DanaSehat!$H$13:$L$14,5,FALSE)))</t>
  </si>
  <si>
    <t>=IF(ISNUMBER($L$6)=FALSE,"",
IF($C22=0,"",SUM(I22:AF22)))</t>
  </si>
  <si>
    <t>=IF(ISNUMBER($L$6)=FALSE,"",
        IF(ISERROR(VLOOKUP($G22,DanaSehat!$L$13:$AK$14,I$4,FALSE))=TRUE,"",
              VLOOKUP($G22,DanaSehat!$L$13:$AK$14,I$4,FALSE)))</t>
  </si>
  <si>
    <t>=IF(ISNUMBER($L$6)=FALSE,"",
        IF(ISERROR(VLOOKUP($G22,DanaSehat!$L$13:$AK$14,J$4,FALSE))=TRUE,"",
              VLOOKUP($G22,DanaSehat!$L$13:$AK$14,J$4,FALSE)))</t>
  </si>
  <si>
    <t>=IF(ISNUMBER($L$6)=FALSE,"",
        IF(ISERROR(VLOOKUP($G22,DanaSehat!$L$13:$AK$14,K$4,FALSE))=TRUE,"",
              VLOOKUP($G22,DanaSehat!$L$13:$AK$14,K$4,FALSE)))</t>
  </si>
  <si>
    <t>=IF(ISNUMBER($L$6)=FALSE,"",
        IF(ISERROR(VLOOKUP($G22,DanaSehat!$L$13:$AK$14,L$4,FALSE))=TRUE,"",
              VLOOKUP($G22,DanaSehat!$L$13:$AK$14,L$4,FALSE)))</t>
  </si>
  <si>
    <t>=IF(ISNUMBER($L$6)=FALSE,"",
        IF(ISERROR(VLOOKUP($G22,DanaSehat!$L$13:$AK$14,M$4,FALSE))=TRUE,"",
              VLOOKUP($G22,DanaSehat!$L$13:$AK$14,M$4,FALSE)))</t>
  </si>
  <si>
    <t>=IF(ISNUMBER($L$6)=FALSE,"",
        IF(ISERROR(VLOOKUP($G22,DanaSehat!$L$13:$AK$14,N$4,FALSE))=TRUE,"",
              VLOOKUP($G22,DanaSehat!$L$13:$AK$14,N$4,FALSE)))</t>
  </si>
  <si>
    <t>=IF(ISNUMBER($L$6)=FALSE,"",
        IF(ISERROR(VLOOKUP($G22,DanaSehat!$L$13:$AK$14,O$4,FALSE))=TRUE,"",
              VLOOKUP($G22,DanaSehat!$L$13:$AK$14,O$4,FALSE)))</t>
  </si>
  <si>
    <t>=IF(ISNUMBER($L$6)=FALSE,"",
        IF(ISERROR(VLOOKUP($G22,DanaSehat!$L$13:$AK$14,P$4,FALSE))=TRUE,"",
              VLOOKUP($G22,DanaSehat!$L$13:$AK$14,P$4,FALSE)))</t>
  </si>
  <si>
    <t>=IF(ISNUMBER($L$6)=FALSE,"",
        IF(ISERROR(VLOOKUP($G22,DanaSehat!$L$13:$AK$14,Q$4,FALSE))=TRUE,"",
              VLOOKUP($G22,DanaSehat!$L$13:$AK$14,Q$4,FALSE)))</t>
  </si>
  <si>
    <t>=IF(ISNUMBER($L$6)=FALSE,"",
        IF(ISERROR(VLOOKUP($G22,DanaSehat!$L$13:$AK$14,R$4,FALSE))=TRUE,"",
              VLOOKUP($G22,DanaSehat!$L$13:$AK$14,R$4,FALSE)))</t>
  </si>
  <si>
    <t>=IF(ISNUMBER($L$6)=FALSE,"",
        IF(ISERROR(VLOOKUP($G22,DanaSehat!$L$13:$AK$14,S$4,FALSE))=TRUE,"",
              VLOOKUP($G22,DanaSehat!$L$13:$AK$14,S$4,FALSE)))</t>
  </si>
  <si>
    <t>=IF(ISNUMBER($L$6)=FALSE,"",
        IF(ISERROR(VLOOKUP($G22,DanaSehat!$L$13:$AK$14,T$4,FALSE))=TRUE,"",
              VLOOKUP($G22,DanaSehat!$L$13:$AK$14,T$4,FALSE)))</t>
  </si>
  <si>
    <t>=IF(ISNUMBER($L$6)=FALSE,"",
        IF(ISERROR(VLOOKUP($G22,DanaSehat!$L$13:$AK$14,U$4,FALSE))=TRUE,"",
              VLOOKUP($G22,DanaSehat!$L$13:$AK$14,U$4,FALSE)))</t>
  </si>
  <si>
    <t>=IF(ISNUMBER($L$6)=FALSE,"",
        IF(ISERROR(VLOOKUP($G22,DanaSehat!$L$13:$AK$14,V$4,FALSE))=TRUE,"",
              VLOOKUP($G22,DanaSehat!$L$13:$AK$14,V$4,FALSE)))</t>
  </si>
  <si>
    <t>=IF(ISNUMBER($L$6)=FALSE,"",
        IF(ISERROR(VLOOKUP($G22,DanaSehat!$L$13:$AK$14,W$4,FALSE))=TRUE,"",
              VLOOKUP($G22,DanaSehat!$L$13:$AK$14,W$4,FALSE)))</t>
  </si>
  <si>
    <t>=IF(ISNUMBER($L$6)=FALSE,"",
        IF(ISERROR(VLOOKUP($G22,DanaSehat!$L$13:$AK$14,X$4,FALSE))=TRUE,"",
              VLOOKUP($G22,DanaSehat!$L$13:$AK$14,X$4,FALSE)))</t>
  </si>
  <si>
    <t>=IF(ISNUMBER($L$6)=FALSE,"",
        IF(ISERROR(VLOOKUP($G22,DanaSehat!$L$13:$AK$14,Y$4,FALSE))=TRUE,"",
              VLOOKUP($G22,DanaSehat!$L$13:$AK$14,Y$4,FALSE)))</t>
  </si>
  <si>
    <t>=IF(ISNUMBER($L$6)=FALSE,"",
        IF(ISERROR(VLOOKUP($G22,DanaSehat!$L$13:$AK$14,Z$4,FALSE))=TRUE,"",
              VLOOKUP($G22,DanaSehat!$L$13:$AK$14,Z$4,FALSE)))</t>
  </si>
  <si>
    <t>=IF(ISNUMBER($L$6)=FALSE,"",
        IF(ISERROR(VLOOKUP($G22,DanaSehat!$L$13:$AK$14,AA$4,FALSE))=TRUE,"",
              VLOOKUP($G22,DanaSehat!$L$13:$AK$14,AA$4,FALSE)))</t>
  </si>
  <si>
    <t>=IF(ISNUMBER($L$6)=FALSE,"",
        IF(ISERROR(VLOOKUP($G22,DanaSehat!$L$13:$AK$14,AB$4,FALSE))=TRUE,"",
              VLOOKUP($G22,DanaSehat!$L$13:$AK$14,AB$4,FALSE)))</t>
  </si>
  <si>
    <t>=IF(ISNUMBER($L$6)=FALSE,"",
        IF(ISERROR(VLOOKUP($G22,DanaSehat!$L$13:$AK$14,AC$4,FALSE))=TRUE,"",
              VLOOKUP($G22,DanaSehat!$L$13:$AK$14,AC$4,FALSE)))</t>
  </si>
  <si>
    <t>=IF(ISNUMBER($L$6)=FALSE,"",
        IF(ISERROR(VLOOKUP($G22,DanaSehat!$L$13:$AK$14,AD$4,FALSE))=TRUE,"",
              VLOOKUP($G22,DanaSehat!$L$13:$AK$14,AD$4,FALSE)))</t>
  </si>
  <si>
    <t>=IF(ISNUMBER($L$6)=FALSE,"",
        IF(ISERROR(VLOOKUP($G22,DanaSehat!$L$13:$AK$14,AE$4,FALSE))=TRUE,"",
              VLOOKUP($G22,DanaSehat!$L$13:$AK$14,AE$4,FALSE)))</t>
  </si>
  <si>
    <t>=IF(ISNUMBER($L$6)=FALSE,"",
        IF(ISERROR(VLOOKUP($G22,DanaSehat!$L$13:$AK$14,AF$4,FALSE))=TRUE,"",
              VLOOKUP($G22,DanaSehat!$L$13:$AK$14,AF$4,FALSE)))</t>
  </si>
  <si>
    <t>=IF($C22=$C$4,0,
       IF($C22=0,0,$C22+1))</t>
  </si>
  <si>
    <t>=IF(ISNUMBER($L$6)=FALSE,"",
IF($C23=0,"",$C23))</t>
  </si>
  <si>
    <t>=IF(ISNUMBER($L$6)=FALSE,"",
IF($C23=0,"",VLOOKUP($E23,DanaSehat!$H$13:$L$14,4,FALSE)))</t>
  </si>
  <si>
    <t>=IF(ISNUMBER($L$6)=FALSE,"",
IF($C23=0,"",VLOOKUP($E23,DanaSehat!$H$13:$L$14,5,FALSE)))</t>
  </si>
  <si>
    <t>=IF(ISNUMBER($L$6)=FALSE,"",
IF($C23=0,"",SUM(I23:AF23)))</t>
  </si>
  <si>
    <t>=IF(ISNUMBER($L$6)=FALSE,"",
        IF(ISERROR(VLOOKUP($G23,DanaSehat!$L$13:$AK$14,I$4,FALSE))=TRUE,"",
              VLOOKUP($G23,DanaSehat!$L$13:$AK$14,I$4,FALSE)))</t>
  </si>
  <si>
    <t>=IF(ISNUMBER($L$6)=FALSE,"",
        IF(ISERROR(VLOOKUP($G23,DanaSehat!$L$13:$AK$14,J$4,FALSE))=TRUE,"",
              VLOOKUP($G23,DanaSehat!$L$13:$AK$14,J$4,FALSE)))</t>
  </si>
  <si>
    <t>=IF(ISNUMBER($L$6)=FALSE,"",
        IF(ISERROR(VLOOKUP($G23,DanaSehat!$L$13:$AK$14,K$4,FALSE))=TRUE,"",
              VLOOKUP($G23,DanaSehat!$L$13:$AK$14,K$4,FALSE)))</t>
  </si>
  <si>
    <t>=IF(ISNUMBER($L$6)=FALSE,"",
        IF(ISERROR(VLOOKUP($G23,DanaSehat!$L$13:$AK$14,L$4,FALSE))=TRUE,"",
              VLOOKUP($G23,DanaSehat!$L$13:$AK$14,L$4,FALSE)))</t>
  </si>
  <si>
    <t>=IF(ISNUMBER($L$6)=FALSE,"",
        IF(ISERROR(VLOOKUP($G23,DanaSehat!$L$13:$AK$14,M$4,FALSE))=TRUE,"",
              VLOOKUP($G23,DanaSehat!$L$13:$AK$14,M$4,FALSE)))</t>
  </si>
  <si>
    <t>=IF(ISNUMBER($L$6)=FALSE,"",
        IF(ISERROR(VLOOKUP($G23,DanaSehat!$L$13:$AK$14,N$4,FALSE))=TRUE,"",
              VLOOKUP($G23,DanaSehat!$L$13:$AK$14,N$4,FALSE)))</t>
  </si>
  <si>
    <t>=IF(ISNUMBER($L$6)=FALSE,"",
        IF(ISERROR(VLOOKUP($G23,DanaSehat!$L$13:$AK$14,O$4,FALSE))=TRUE,"",
              VLOOKUP($G23,DanaSehat!$L$13:$AK$14,O$4,FALSE)))</t>
  </si>
  <si>
    <t>=IF(ISNUMBER($L$6)=FALSE,"",
        IF(ISERROR(VLOOKUP($G23,DanaSehat!$L$13:$AK$14,P$4,FALSE))=TRUE,"",
              VLOOKUP($G23,DanaSehat!$L$13:$AK$14,P$4,FALSE)))</t>
  </si>
  <si>
    <t>=IF(ISNUMBER($L$6)=FALSE,"",
        IF(ISERROR(VLOOKUP($G23,DanaSehat!$L$13:$AK$14,Q$4,FALSE))=TRUE,"",
              VLOOKUP($G23,DanaSehat!$L$13:$AK$14,Q$4,FALSE)))</t>
  </si>
  <si>
    <t>=IF(ISNUMBER($L$6)=FALSE,"",
        IF(ISERROR(VLOOKUP($G23,DanaSehat!$L$13:$AK$14,R$4,FALSE))=TRUE,"",
              VLOOKUP($G23,DanaSehat!$L$13:$AK$14,R$4,FALSE)))</t>
  </si>
  <si>
    <t>=IF(ISNUMBER($L$6)=FALSE,"",
        IF(ISERROR(VLOOKUP($G23,DanaSehat!$L$13:$AK$14,S$4,FALSE))=TRUE,"",
              VLOOKUP($G23,DanaSehat!$L$13:$AK$14,S$4,FALSE)))</t>
  </si>
  <si>
    <t>=IF(ISNUMBER($L$6)=FALSE,"",
        IF(ISERROR(VLOOKUP($G23,DanaSehat!$L$13:$AK$14,T$4,FALSE))=TRUE,"",
              VLOOKUP($G23,DanaSehat!$L$13:$AK$14,T$4,FALSE)))</t>
  </si>
  <si>
    <t>=IF(ISNUMBER($L$6)=FALSE,"",
        IF(ISERROR(VLOOKUP($G23,DanaSehat!$L$13:$AK$14,U$4,FALSE))=TRUE,"",
              VLOOKUP($G23,DanaSehat!$L$13:$AK$14,U$4,FALSE)))</t>
  </si>
  <si>
    <t>=IF(ISNUMBER($L$6)=FALSE,"",
        IF(ISERROR(VLOOKUP($G23,DanaSehat!$L$13:$AK$14,V$4,FALSE))=TRUE,"",
              VLOOKUP($G23,DanaSehat!$L$13:$AK$14,V$4,FALSE)))</t>
  </si>
  <si>
    <t>=IF(ISNUMBER($L$6)=FALSE,"",
        IF(ISERROR(VLOOKUP($G23,DanaSehat!$L$13:$AK$14,W$4,FALSE))=TRUE,"",
              VLOOKUP($G23,DanaSehat!$L$13:$AK$14,W$4,FALSE)))</t>
  </si>
  <si>
    <t>=IF(ISNUMBER($L$6)=FALSE,"",
        IF(ISERROR(VLOOKUP($G23,DanaSehat!$L$13:$AK$14,X$4,FALSE))=TRUE,"",
              VLOOKUP($G23,DanaSehat!$L$13:$AK$14,X$4,FALSE)))</t>
  </si>
  <si>
    <t>=IF(ISNUMBER($L$6)=FALSE,"",
        IF(ISERROR(VLOOKUP($G23,DanaSehat!$L$13:$AK$14,Y$4,FALSE))=TRUE,"",
              VLOOKUP($G23,DanaSehat!$L$13:$AK$14,Y$4,FALSE)))</t>
  </si>
  <si>
    <t>=IF(ISNUMBER($L$6)=FALSE,"",
        IF(ISERROR(VLOOKUP($G23,DanaSehat!$L$13:$AK$14,Z$4,FALSE))=TRUE,"",
              VLOOKUP($G23,DanaSehat!$L$13:$AK$14,Z$4,FALSE)))</t>
  </si>
  <si>
    <t>=IF(ISNUMBER($L$6)=FALSE,"",
        IF(ISERROR(VLOOKUP($G23,DanaSehat!$L$13:$AK$14,AA$4,FALSE))=TRUE,"",
              VLOOKUP($G23,DanaSehat!$L$13:$AK$14,AA$4,FALSE)))</t>
  </si>
  <si>
    <t>=IF(ISNUMBER($L$6)=FALSE,"",
        IF(ISERROR(VLOOKUP($G23,DanaSehat!$L$13:$AK$14,AB$4,FALSE))=TRUE,"",
              VLOOKUP($G23,DanaSehat!$L$13:$AK$14,AB$4,FALSE)))</t>
  </si>
  <si>
    <t>=IF(ISNUMBER($L$6)=FALSE,"",
        IF(ISERROR(VLOOKUP($G23,DanaSehat!$L$13:$AK$14,AC$4,FALSE))=TRUE,"",
              VLOOKUP($G23,DanaSehat!$L$13:$AK$14,AC$4,FALSE)))</t>
  </si>
  <si>
    <t>=IF(ISNUMBER($L$6)=FALSE,"",
        IF(ISERROR(VLOOKUP($G23,DanaSehat!$L$13:$AK$14,AD$4,FALSE))=TRUE,"",
              VLOOKUP($G23,DanaSehat!$L$13:$AK$14,AD$4,FALSE)))</t>
  </si>
  <si>
    <t>=IF(ISNUMBER($L$6)=FALSE,"",
        IF(ISERROR(VLOOKUP($G23,DanaSehat!$L$13:$AK$14,AE$4,FALSE))=TRUE,"",
              VLOOKUP($G23,DanaSehat!$L$13:$AK$14,AE$4,FALSE)))</t>
  </si>
  <si>
    <t>=IF(ISNUMBER($L$6)=FALSE,"",
        IF(ISERROR(VLOOKUP($G23,DanaSehat!$L$13:$AK$14,AF$4,FALSE))=TRUE,"",
              VLOOKUP($G23,DanaSehat!$L$13:$AK$14,AF$4,FALSE)))</t>
  </si>
  <si>
    <t>=IF($C23=$C$4,0,
       IF($C23=0,0,$C23+1))</t>
  </si>
  <si>
    <t>=IF(ISNUMBER($L$6)=FALSE,"",
IF($C24=0,"",$C24))</t>
  </si>
  <si>
    <t>=IF(ISNUMBER($L$6)=FALSE,"",
IF($C24=0,"",VLOOKUP($E24,DanaSehat!$H$13:$L$14,4,FALSE)))</t>
  </si>
  <si>
    <t>=IF(ISNUMBER($L$6)=FALSE,"",
IF($C24=0,"",VLOOKUP($E24,DanaSehat!$H$13:$L$14,5,FALSE)))</t>
  </si>
  <si>
    <t>=IF(ISNUMBER($L$6)=FALSE,"",
IF($C24=0,"",SUM(I24:AF24)))</t>
  </si>
  <si>
    <t>=IF(ISNUMBER($L$6)=FALSE,"",
        IF(ISERROR(VLOOKUP($G24,DanaSehat!$L$13:$AK$14,I$4,FALSE))=TRUE,"",
              VLOOKUP($G24,DanaSehat!$L$13:$AK$14,I$4,FALSE)))</t>
  </si>
  <si>
    <t>=IF(ISNUMBER($L$6)=FALSE,"",
        IF(ISERROR(VLOOKUP($G24,DanaSehat!$L$13:$AK$14,J$4,FALSE))=TRUE,"",
              VLOOKUP($G24,DanaSehat!$L$13:$AK$14,J$4,FALSE)))</t>
  </si>
  <si>
    <t>=IF(ISNUMBER($L$6)=FALSE,"",
        IF(ISERROR(VLOOKUP($G24,DanaSehat!$L$13:$AK$14,K$4,FALSE))=TRUE,"",
              VLOOKUP($G24,DanaSehat!$L$13:$AK$14,K$4,FALSE)))</t>
  </si>
  <si>
    <t>=IF(ISNUMBER($L$6)=FALSE,"",
        IF(ISERROR(VLOOKUP($G24,DanaSehat!$L$13:$AK$14,L$4,FALSE))=TRUE,"",
              VLOOKUP($G24,DanaSehat!$L$13:$AK$14,L$4,FALSE)))</t>
  </si>
  <si>
    <t>=IF(ISNUMBER($L$6)=FALSE,"",
        IF(ISERROR(VLOOKUP($G24,DanaSehat!$L$13:$AK$14,M$4,FALSE))=TRUE,"",
              VLOOKUP($G24,DanaSehat!$L$13:$AK$14,M$4,FALSE)))</t>
  </si>
  <si>
    <t>=IF(ISNUMBER($L$6)=FALSE,"",
        IF(ISERROR(VLOOKUP($G24,DanaSehat!$L$13:$AK$14,N$4,FALSE))=TRUE,"",
              VLOOKUP($G24,DanaSehat!$L$13:$AK$14,N$4,FALSE)))</t>
  </si>
  <si>
    <t>=IF(ISNUMBER($L$6)=FALSE,"",
        IF(ISERROR(VLOOKUP($G24,DanaSehat!$L$13:$AK$14,O$4,FALSE))=TRUE,"",
              VLOOKUP($G24,DanaSehat!$L$13:$AK$14,O$4,FALSE)))</t>
  </si>
  <si>
    <t>=IF(ISNUMBER($L$6)=FALSE,"",
        IF(ISERROR(VLOOKUP($G24,DanaSehat!$L$13:$AK$14,P$4,FALSE))=TRUE,"",
              VLOOKUP($G24,DanaSehat!$L$13:$AK$14,P$4,FALSE)))</t>
  </si>
  <si>
    <t>=IF(ISNUMBER($L$6)=FALSE,"",
        IF(ISERROR(VLOOKUP($G24,DanaSehat!$L$13:$AK$14,Q$4,FALSE))=TRUE,"",
              VLOOKUP($G24,DanaSehat!$L$13:$AK$14,Q$4,FALSE)))</t>
  </si>
  <si>
    <t>=IF(ISNUMBER($L$6)=FALSE,"",
        IF(ISERROR(VLOOKUP($G24,DanaSehat!$L$13:$AK$14,R$4,FALSE))=TRUE,"",
              VLOOKUP($G24,DanaSehat!$L$13:$AK$14,R$4,FALSE)))</t>
  </si>
  <si>
    <t>=IF(ISNUMBER($L$6)=FALSE,"",
        IF(ISERROR(VLOOKUP($G24,DanaSehat!$L$13:$AK$14,S$4,FALSE))=TRUE,"",
              VLOOKUP($G24,DanaSehat!$L$13:$AK$14,S$4,FALSE)))</t>
  </si>
  <si>
    <t>=IF(ISNUMBER($L$6)=FALSE,"",
        IF(ISERROR(VLOOKUP($G24,DanaSehat!$L$13:$AK$14,T$4,FALSE))=TRUE,"",
              VLOOKUP($G24,DanaSehat!$L$13:$AK$14,T$4,FALSE)))</t>
  </si>
  <si>
    <t>=IF(ISNUMBER($L$6)=FALSE,"",
        IF(ISERROR(VLOOKUP($G24,DanaSehat!$L$13:$AK$14,U$4,FALSE))=TRUE,"",
              VLOOKUP($G24,DanaSehat!$L$13:$AK$14,U$4,FALSE)))</t>
  </si>
  <si>
    <t>=IF(ISNUMBER($L$6)=FALSE,"",
        IF(ISERROR(VLOOKUP($G24,DanaSehat!$L$13:$AK$14,V$4,FALSE))=TRUE,"",
              VLOOKUP($G24,DanaSehat!$L$13:$AK$14,V$4,FALSE)))</t>
  </si>
  <si>
    <t>=IF(ISNUMBER($L$6)=FALSE,"",
        IF(ISERROR(VLOOKUP($G24,DanaSehat!$L$13:$AK$14,W$4,FALSE))=TRUE,"",
              VLOOKUP($G24,DanaSehat!$L$13:$AK$14,W$4,FALSE)))</t>
  </si>
  <si>
    <t>=IF(ISNUMBER($L$6)=FALSE,"",
        IF(ISERROR(VLOOKUP($G24,DanaSehat!$L$13:$AK$14,X$4,FALSE))=TRUE,"",
              VLOOKUP($G24,DanaSehat!$L$13:$AK$14,X$4,FALSE)))</t>
  </si>
  <si>
    <t>=IF(ISNUMBER($L$6)=FALSE,"",
        IF(ISERROR(VLOOKUP($G24,DanaSehat!$L$13:$AK$14,Y$4,FALSE))=TRUE,"",
              VLOOKUP($G24,DanaSehat!$L$13:$AK$14,Y$4,FALSE)))</t>
  </si>
  <si>
    <t>=IF(ISNUMBER($L$6)=FALSE,"",
        IF(ISERROR(VLOOKUP($G24,DanaSehat!$L$13:$AK$14,Z$4,FALSE))=TRUE,"",
              VLOOKUP($G24,DanaSehat!$L$13:$AK$14,Z$4,FALSE)))</t>
  </si>
  <si>
    <t>=IF(ISNUMBER($L$6)=FALSE,"",
        IF(ISERROR(VLOOKUP($G24,DanaSehat!$L$13:$AK$14,AA$4,FALSE))=TRUE,"",
              VLOOKUP($G24,DanaSehat!$L$13:$AK$14,AA$4,FALSE)))</t>
  </si>
  <si>
    <t>=IF(ISNUMBER($L$6)=FALSE,"",
        IF(ISERROR(VLOOKUP($G24,DanaSehat!$L$13:$AK$14,AB$4,FALSE))=TRUE,"",
              VLOOKUP($G24,DanaSehat!$L$13:$AK$14,AB$4,FALSE)))</t>
  </si>
  <si>
    <t>=IF(ISNUMBER($L$6)=FALSE,"",
        IF(ISERROR(VLOOKUP($G24,DanaSehat!$L$13:$AK$14,AC$4,FALSE))=TRUE,"",
              VLOOKUP($G24,DanaSehat!$L$13:$AK$14,AC$4,FALSE)))</t>
  </si>
  <si>
    <t>=IF(ISNUMBER($L$6)=FALSE,"",
        IF(ISERROR(VLOOKUP($G24,DanaSehat!$L$13:$AK$14,AD$4,FALSE))=TRUE,"",
              VLOOKUP($G24,DanaSehat!$L$13:$AK$14,AD$4,FALSE)))</t>
  </si>
  <si>
    <t>=IF(ISNUMBER($L$6)=FALSE,"",
        IF(ISERROR(VLOOKUP($G24,DanaSehat!$L$13:$AK$14,AE$4,FALSE))=TRUE,"",
              VLOOKUP($G24,DanaSehat!$L$13:$AK$14,AE$4,FALSE)))</t>
  </si>
  <si>
    <t>=IF(ISNUMBER($L$6)=FALSE,"",
        IF(ISERROR(VLOOKUP($G24,DanaSehat!$L$13:$AK$14,AF$4,FALSE))=TRUE,"",
              VLOOKUP($G24,DanaSehat!$L$13:$AK$14,AF$4,FALSE)))</t>
  </si>
  <si>
    <t>=IF($C24=$C$4,0,
       IF($C24=0,0,$C24+1))</t>
  </si>
  <si>
    <t>=IF(ISNUMBER($L$6)=FALSE,"",
IF($C25=0,"",$C25))</t>
  </si>
  <si>
    <t>=IF(ISNUMBER($L$6)=FALSE,"",
IF($C25=0,"",VLOOKUP($E25,DanaSehat!$H$13:$L$14,4,FALSE)))</t>
  </si>
  <si>
    <t>=IF(ISNUMBER($L$6)=FALSE,"",
IF($C25=0,"",VLOOKUP($E25,DanaSehat!$H$13:$L$14,5,FALSE)))</t>
  </si>
  <si>
    <t>=IF(ISNUMBER($L$6)=FALSE,"",
IF($C25=0,"",SUM(I25:AF25)))</t>
  </si>
  <si>
    <t>=IF(ISNUMBER($L$6)=FALSE,"",
        IF(ISERROR(VLOOKUP($G25,DanaSehat!$L$13:$AK$14,I$4,FALSE))=TRUE,"",
              VLOOKUP($G25,DanaSehat!$L$13:$AK$14,I$4,FALSE)))</t>
  </si>
  <si>
    <t>=IF(ISNUMBER($L$6)=FALSE,"",
        IF(ISERROR(VLOOKUP($G25,DanaSehat!$L$13:$AK$14,J$4,FALSE))=TRUE,"",
              VLOOKUP($G25,DanaSehat!$L$13:$AK$14,J$4,FALSE)))</t>
  </si>
  <si>
    <t>=IF(ISNUMBER($L$6)=FALSE,"",
        IF(ISERROR(VLOOKUP($G25,DanaSehat!$L$13:$AK$14,K$4,FALSE))=TRUE,"",
              VLOOKUP($G25,DanaSehat!$L$13:$AK$14,K$4,FALSE)))</t>
  </si>
  <si>
    <t>=IF(ISNUMBER($L$6)=FALSE,"",
        IF(ISERROR(VLOOKUP($G25,DanaSehat!$L$13:$AK$14,L$4,FALSE))=TRUE,"",
              VLOOKUP($G25,DanaSehat!$L$13:$AK$14,L$4,FALSE)))</t>
  </si>
  <si>
    <t>=IF(ISNUMBER($L$6)=FALSE,"",
        IF(ISERROR(VLOOKUP($G25,DanaSehat!$L$13:$AK$14,M$4,FALSE))=TRUE,"",
              VLOOKUP($G25,DanaSehat!$L$13:$AK$14,M$4,FALSE)))</t>
  </si>
  <si>
    <t>=IF(ISNUMBER($L$6)=FALSE,"",
        IF(ISERROR(VLOOKUP($G25,DanaSehat!$L$13:$AK$14,N$4,FALSE))=TRUE,"",
              VLOOKUP($G25,DanaSehat!$L$13:$AK$14,N$4,FALSE)))</t>
  </si>
  <si>
    <t>=IF(ISNUMBER($L$6)=FALSE,"",
        IF(ISERROR(VLOOKUP($G25,DanaSehat!$L$13:$AK$14,O$4,FALSE))=TRUE,"",
              VLOOKUP($G25,DanaSehat!$L$13:$AK$14,O$4,FALSE)))</t>
  </si>
  <si>
    <t>=IF(ISNUMBER($L$6)=FALSE,"",
        IF(ISERROR(VLOOKUP($G25,DanaSehat!$L$13:$AK$14,P$4,FALSE))=TRUE,"",
              VLOOKUP($G25,DanaSehat!$L$13:$AK$14,P$4,FALSE)))</t>
  </si>
  <si>
    <t>=IF(ISNUMBER($L$6)=FALSE,"",
        IF(ISERROR(VLOOKUP($G25,DanaSehat!$L$13:$AK$14,Q$4,FALSE))=TRUE,"",
              VLOOKUP($G25,DanaSehat!$L$13:$AK$14,Q$4,FALSE)))</t>
  </si>
  <si>
    <t>=IF(ISNUMBER($L$6)=FALSE,"",
        IF(ISERROR(VLOOKUP($G25,DanaSehat!$L$13:$AK$14,R$4,FALSE))=TRUE,"",
              VLOOKUP($G25,DanaSehat!$L$13:$AK$14,R$4,FALSE)))</t>
  </si>
  <si>
    <t>=IF(ISNUMBER($L$6)=FALSE,"",
        IF(ISERROR(VLOOKUP($G25,DanaSehat!$L$13:$AK$14,S$4,FALSE))=TRUE,"",
              VLOOKUP($G25,DanaSehat!$L$13:$AK$14,S$4,FALSE)))</t>
  </si>
  <si>
    <t>=IF(ISNUMBER($L$6)=FALSE,"",
        IF(ISERROR(VLOOKUP($G25,DanaSehat!$L$13:$AK$14,T$4,FALSE))=TRUE,"",
              VLOOKUP($G25,DanaSehat!$L$13:$AK$14,T$4,FALSE)))</t>
  </si>
  <si>
    <t>=IF(ISNUMBER($L$6)=FALSE,"",
        IF(ISERROR(VLOOKUP($G25,DanaSehat!$L$13:$AK$14,U$4,FALSE))=TRUE,"",
              VLOOKUP($G25,DanaSehat!$L$13:$AK$14,U$4,FALSE)))</t>
  </si>
  <si>
    <t>=IF(ISNUMBER($L$6)=FALSE,"",
        IF(ISERROR(VLOOKUP($G25,DanaSehat!$L$13:$AK$14,V$4,FALSE))=TRUE,"",
              VLOOKUP($G25,DanaSehat!$L$13:$AK$14,V$4,FALSE)))</t>
  </si>
  <si>
    <t>=IF(ISNUMBER($L$6)=FALSE,"",
        IF(ISERROR(VLOOKUP($G25,DanaSehat!$L$13:$AK$14,W$4,FALSE))=TRUE,"",
              VLOOKUP($G25,DanaSehat!$L$13:$AK$14,W$4,FALSE)))</t>
  </si>
  <si>
    <t>=IF(ISNUMBER($L$6)=FALSE,"",
        IF(ISERROR(VLOOKUP($G25,DanaSehat!$L$13:$AK$14,X$4,FALSE))=TRUE,"",
              VLOOKUP($G25,DanaSehat!$L$13:$AK$14,X$4,FALSE)))</t>
  </si>
  <si>
    <t>=IF(ISNUMBER($L$6)=FALSE,"",
        IF(ISERROR(VLOOKUP($G25,DanaSehat!$L$13:$AK$14,Y$4,FALSE))=TRUE,"",
              VLOOKUP($G25,DanaSehat!$L$13:$AK$14,Y$4,FALSE)))</t>
  </si>
  <si>
    <t>=IF(ISNUMBER($L$6)=FALSE,"",
        IF(ISERROR(VLOOKUP($G25,DanaSehat!$L$13:$AK$14,Z$4,FALSE))=TRUE,"",
              VLOOKUP($G25,DanaSehat!$L$13:$AK$14,Z$4,FALSE)))</t>
  </si>
  <si>
    <t>=IF(ISNUMBER($L$6)=FALSE,"",
        IF(ISERROR(VLOOKUP($G25,DanaSehat!$L$13:$AK$14,AA$4,FALSE))=TRUE,"",
              VLOOKUP($G25,DanaSehat!$L$13:$AK$14,AA$4,FALSE)))</t>
  </si>
  <si>
    <t>=IF(ISNUMBER($L$6)=FALSE,"",
        IF(ISERROR(VLOOKUP($G25,DanaSehat!$L$13:$AK$14,AB$4,FALSE))=TRUE,"",
              VLOOKUP($G25,DanaSehat!$L$13:$AK$14,AB$4,FALSE)))</t>
  </si>
  <si>
    <t>=IF(ISNUMBER($L$6)=FALSE,"",
        IF(ISERROR(VLOOKUP($G25,DanaSehat!$L$13:$AK$14,AC$4,FALSE))=TRUE,"",
              VLOOKUP($G25,DanaSehat!$L$13:$AK$14,AC$4,FALSE)))</t>
  </si>
  <si>
    <t>=IF(ISNUMBER($L$6)=FALSE,"",
        IF(ISERROR(VLOOKUP($G25,DanaSehat!$L$13:$AK$14,AD$4,FALSE))=TRUE,"",
              VLOOKUP($G25,DanaSehat!$L$13:$AK$14,AD$4,FALSE)))</t>
  </si>
  <si>
    <t>=IF(ISNUMBER($L$6)=FALSE,"",
        IF(ISERROR(VLOOKUP($G25,DanaSehat!$L$13:$AK$14,AE$4,FALSE))=TRUE,"",
              VLOOKUP($G25,DanaSehat!$L$13:$AK$14,AE$4,FALSE)))</t>
  </si>
  <si>
    <t>=IF(ISNUMBER($L$6)=FALSE,"",
        IF(ISERROR(VLOOKUP($G25,DanaSehat!$L$13:$AK$14,AF$4,FALSE))=TRUE,"",
              VLOOKUP($G25,DanaSehat!$L$13:$AK$14,AF$4,FALSE)))</t>
  </si>
  <si>
    <t>=IF($C25=$C$4,0,
       IF($C25=0,0,$C25+1))</t>
  </si>
  <si>
    <t>=IF(ISNUMBER($L$6)=FALSE,"",
IF($C26=0,"",$C26))</t>
  </si>
  <si>
    <t>=IF(ISNUMBER($L$6)=FALSE,"",
IF($C26=0,"",VLOOKUP($E26,DanaSehat!$H$13:$L$14,4,FALSE)))</t>
  </si>
  <si>
    <t>=IF(ISNUMBER($L$6)=FALSE,"",
IF($C26=0,"",VLOOKUP($E26,DanaSehat!$H$13:$L$14,5,FALSE)))</t>
  </si>
  <si>
    <t>=IF(ISNUMBER($L$6)=FALSE,"",
IF($C26=0,"",SUM(I26:AF26)))</t>
  </si>
  <si>
    <t>=IF(ISNUMBER($L$6)=FALSE,"",
        IF(ISERROR(VLOOKUP($G26,DanaSehat!$L$13:$AK$14,I$4,FALSE))=TRUE,"",
              VLOOKUP($G26,DanaSehat!$L$13:$AK$14,I$4,FALSE)))</t>
  </si>
  <si>
    <t>=IF(ISNUMBER($L$6)=FALSE,"",
        IF(ISERROR(VLOOKUP($G26,DanaSehat!$L$13:$AK$14,J$4,FALSE))=TRUE,"",
              VLOOKUP($G26,DanaSehat!$L$13:$AK$14,J$4,FALSE)))</t>
  </si>
  <si>
    <t>=IF(ISNUMBER($L$6)=FALSE,"",
        IF(ISERROR(VLOOKUP($G26,DanaSehat!$L$13:$AK$14,K$4,FALSE))=TRUE,"",
              VLOOKUP($G26,DanaSehat!$L$13:$AK$14,K$4,FALSE)))</t>
  </si>
  <si>
    <t>=IF(ISNUMBER($L$6)=FALSE,"",
        IF(ISERROR(VLOOKUP($G26,DanaSehat!$L$13:$AK$14,L$4,FALSE))=TRUE,"",
              VLOOKUP($G26,DanaSehat!$L$13:$AK$14,L$4,FALSE)))</t>
  </si>
  <si>
    <t>=IF(ISNUMBER($L$6)=FALSE,"",
        IF(ISERROR(VLOOKUP($G26,DanaSehat!$L$13:$AK$14,M$4,FALSE))=TRUE,"",
              VLOOKUP($G26,DanaSehat!$L$13:$AK$14,M$4,FALSE)))</t>
  </si>
  <si>
    <t>=IF(ISNUMBER($L$6)=FALSE,"",
        IF(ISERROR(VLOOKUP($G26,DanaSehat!$L$13:$AK$14,N$4,FALSE))=TRUE,"",
              VLOOKUP($G26,DanaSehat!$L$13:$AK$14,N$4,FALSE)))</t>
  </si>
  <si>
    <t>=IF(ISNUMBER($L$6)=FALSE,"",
        IF(ISERROR(VLOOKUP($G26,DanaSehat!$L$13:$AK$14,O$4,FALSE))=TRUE,"",
              VLOOKUP($G26,DanaSehat!$L$13:$AK$14,O$4,FALSE)))</t>
  </si>
  <si>
    <t>=IF(ISNUMBER($L$6)=FALSE,"",
        IF(ISERROR(VLOOKUP($G26,DanaSehat!$L$13:$AK$14,P$4,FALSE))=TRUE,"",
              VLOOKUP($G26,DanaSehat!$L$13:$AK$14,P$4,FALSE)))</t>
  </si>
  <si>
    <t>=IF(ISNUMBER($L$6)=FALSE,"",
        IF(ISERROR(VLOOKUP($G26,DanaSehat!$L$13:$AK$14,Q$4,FALSE))=TRUE,"",
              VLOOKUP($G26,DanaSehat!$L$13:$AK$14,Q$4,FALSE)))</t>
  </si>
  <si>
    <t>=IF(ISNUMBER($L$6)=FALSE,"",
        IF(ISERROR(VLOOKUP($G26,DanaSehat!$L$13:$AK$14,R$4,FALSE))=TRUE,"",
              VLOOKUP($G26,DanaSehat!$L$13:$AK$14,R$4,FALSE)))</t>
  </si>
  <si>
    <t>=IF(ISNUMBER($L$6)=FALSE,"",
        IF(ISERROR(VLOOKUP($G26,DanaSehat!$L$13:$AK$14,S$4,FALSE))=TRUE,"",
              VLOOKUP($G26,DanaSehat!$L$13:$AK$14,S$4,FALSE)))</t>
  </si>
  <si>
    <t>=IF(ISNUMBER($L$6)=FALSE,"",
        IF(ISERROR(VLOOKUP($G26,DanaSehat!$L$13:$AK$14,T$4,FALSE))=TRUE,"",
              VLOOKUP($G26,DanaSehat!$L$13:$AK$14,T$4,FALSE)))</t>
  </si>
  <si>
    <t>=IF(ISNUMBER($L$6)=FALSE,"",
        IF(ISERROR(VLOOKUP($G26,DanaSehat!$L$13:$AK$14,U$4,FALSE))=TRUE,"",
              VLOOKUP($G26,DanaSehat!$L$13:$AK$14,U$4,FALSE)))</t>
  </si>
  <si>
    <t>=IF(ISNUMBER($L$6)=FALSE,"",
        IF(ISERROR(VLOOKUP($G26,DanaSehat!$L$13:$AK$14,V$4,FALSE))=TRUE,"",
              VLOOKUP($G26,DanaSehat!$L$13:$AK$14,V$4,FALSE)))</t>
  </si>
  <si>
    <t>=IF(ISNUMBER($L$6)=FALSE,"",
        IF(ISERROR(VLOOKUP($G26,DanaSehat!$L$13:$AK$14,W$4,FALSE))=TRUE,"",
              VLOOKUP($G26,DanaSehat!$L$13:$AK$14,W$4,FALSE)))</t>
  </si>
  <si>
    <t>=IF(ISNUMBER($L$6)=FALSE,"",
        IF(ISERROR(VLOOKUP($G26,DanaSehat!$L$13:$AK$14,X$4,FALSE))=TRUE,"",
              VLOOKUP($G26,DanaSehat!$L$13:$AK$14,X$4,FALSE)))</t>
  </si>
  <si>
    <t>=IF(ISNUMBER($L$6)=FALSE,"",
        IF(ISERROR(VLOOKUP($G26,DanaSehat!$L$13:$AK$14,Y$4,FALSE))=TRUE,"",
              VLOOKUP($G26,DanaSehat!$L$13:$AK$14,Y$4,FALSE)))</t>
  </si>
  <si>
    <t>=IF(ISNUMBER($L$6)=FALSE,"",
        IF(ISERROR(VLOOKUP($G26,DanaSehat!$L$13:$AK$14,Z$4,FALSE))=TRUE,"",
              VLOOKUP($G26,DanaSehat!$L$13:$AK$14,Z$4,FALSE)))</t>
  </si>
  <si>
    <t>=IF(ISNUMBER($L$6)=FALSE,"",
        IF(ISERROR(VLOOKUP($G26,DanaSehat!$L$13:$AK$14,AA$4,FALSE))=TRUE,"",
              VLOOKUP($G26,DanaSehat!$L$13:$AK$14,AA$4,FALSE)))</t>
  </si>
  <si>
    <t>=IF(ISNUMBER($L$6)=FALSE,"",
        IF(ISERROR(VLOOKUP($G26,DanaSehat!$L$13:$AK$14,AB$4,FALSE))=TRUE,"",
              VLOOKUP($G26,DanaSehat!$L$13:$AK$14,AB$4,FALSE)))</t>
  </si>
  <si>
    <t>=IF(ISNUMBER($L$6)=FALSE,"",
        IF(ISERROR(VLOOKUP($G26,DanaSehat!$L$13:$AK$14,AC$4,FALSE))=TRUE,"",
              VLOOKUP($G26,DanaSehat!$L$13:$AK$14,AC$4,FALSE)))</t>
  </si>
  <si>
    <t>=IF(ISNUMBER($L$6)=FALSE,"",
        IF(ISERROR(VLOOKUP($G26,DanaSehat!$L$13:$AK$14,AD$4,FALSE))=TRUE,"",
              VLOOKUP($G26,DanaSehat!$L$13:$AK$14,AD$4,FALSE)))</t>
  </si>
  <si>
    <t>=IF(ISNUMBER($L$6)=FALSE,"",
        IF(ISERROR(VLOOKUP($G26,DanaSehat!$L$13:$AK$14,AE$4,FALSE))=TRUE,"",
              VLOOKUP($G26,DanaSehat!$L$13:$AK$14,AE$4,FALSE)))</t>
  </si>
  <si>
    <t>=IF(ISNUMBER($L$6)=FALSE,"",
        IF(ISERROR(VLOOKUP($G26,DanaSehat!$L$13:$AK$14,AF$4,FALSE))=TRUE,"",
              VLOOKUP($G26,DanaSehat!$L$13:$AK$14,AF$4,FALSE)))</t>
  </si>
  <si>
    <t>=IF($C26=$C$4,0,
       IF($C26=0,0,$C26+1))</t>
  </si>
  <si>
    <t>=IF(ISNUMBER($L$6)=FALSE,"",
IF($C27=0,"",$C27))</t>
  </si>
  <si>
    <t>=IF(ISNUMBER($L$6)=FALSE,"",
IF($C27=0,"",VLOOKUP($E27,DanaSehat!$H$13:$L$14,4,FALSE)))</t>
  </si>
  <si>
    <t>=IF(ISNUMBER($L$6)=FALSE,"",
IF($C27=0,"",VLOOKUP($E27,DanaSehat!$H$13:$L$14,5,FALSE)))</t>
  </si>
  <si>
    <t>=IF(ISNUMBER($L$6)=FALSE,"",
IF($C27=0,"",SUM(I27:AF27)))</t>
  </si>
  <si>
    <t>=IF(ISNUMBER($L$6)=FALSE,"",
        IF(ISERROR(VLOOKUP($G27,DanaSehat!$L$13:$AK$14,I$4,FALSE))=TRUE,"",
              VLOOKUP($G27,DanaSehat!$L$13:$AK$14,I$4,FALSE)))</t>
  </si>
  <si>
    <t>=IF(ISNUMBER($L$6)=FALSE,"",
        IF(ISERROR(VLOOKUP($G27,DanaSehat!$L$13:$AK$14,J$4,FALSE))=TRUE,"",
              VLOOKUP($G27,DanaSehat!$L$13:$AK$14,J$4,FALSE)))</t>
  </si>
  <si>
    <t>=IF(ISNUMBER($L$6)=FALSE,"",
        IF(ISERROR(VLOOKUP($G27,DanaSehat!$L$13:$AK$14,K$4,FALSE))=TRUE,"",
              VLOOKUP($G27,DanaSehat!$L$13:$AK$14,K$4,FALSE)))</t>
  </si>
  <si>
    <t>=IF(ISNUMBER($L$6)=FALSE,"",
        IF(ISERROR(VLOOKUP($G27,DanaSehat!$L$13:$AK$14,L$4,FALSE))=TRUE,"",
              VLOOKUP($G27,DanaSehat!$L$13:$AK$14,L$4,FALSE)))</t>
  </si>
  <si>
    <t>=IF(ISNUMBER($L$6)=FALSE,"",
        IF(ISERROR(VLOOKUP($G27,DanaSehat!$L$13:$AK$14,M$4,FALSE))=TRUE,"",
              VLOOKUP($G27,DanaSehat!$L$13:$AK$14,M$4,FALSE)))</t>
  </si>
  <si>
    <t>=IF(ISNUMBER($L$6)=FALSE,"",
        IF(ISERROR(VLOOKUP($G27,DanaSehat!$L$13:$AK$14,N$4,FALSE))=TRUE,"",
              VLOOKUP($G27,DanaSehat!$L$13:$AK$14,N$4,FALSE)))</t>
  </si>
  <si>
    <t>=IF(ISNUMBER($L$6)=FALSE,"",
        IF(ISERROR(VLOOKUP($G27,DanaSehat!$L$13:$AK$14,O$4,FALSE))=TRUE,"",
              VLOOKUP($G27,DanaSehat!$L$13:$AK$14,O$4,FALSE)))</t>
  </si>
  <si>
    <t>=IF(ISNUMBER($L$6)=FALSE,"",
        IF(ISERROR(VLOOKUP($G27,DanaSehat!$L$13:$AK$14,P$4,FALSE))=TRUE,"",
              VLOOKUP($G27,DanaSehat!$L$13:$AK$14,P$4,FALSE)))</t>
  </si>
  <si>
    <t>=IF(ISNUMBER($L$6)=FALSE,"",
        IF(ISERROR(VLOOKUP($G27,DanaSehat!$L$13:$AK$14,Q$4,FALSE))=TRUE,"",
              VLOOKUP($G27,DanaSehat!$L$13:$AK$14,Q$4,FALSE)))</t>
  </si>
  <si>
    <t>=IF(ISNUMBER($L$6)=FALSE,"",
        IF(ISERROR(VLOOKUP($G27,DanaSehat!$L$13:$AK$14,R$4,FALSE))=TRUE,"",
              VLOOKUP($G27,DanaSehat!$L$13:$AK$14,R$4,FALSE)))</t>
  </si>
  <si>
    <t>=IF(ISNUMBER($L$6)=FALSE,"",
        IF(ISERROR(VLOOKUP($G27,DanaSehat!$L$13:$AK$14,S$4,FALSE))=TRUE,"",
              VLOOKUP($G27,DanaSehat!$L$13:$AK$14,S$4,FALSE)))</t>
  </si>
  <si>
    <t>=IF(ISNUMBER($L$6)=FALSE,"",
        IF(ISERROR(VLOOKUP($G27,DanaSehat!$L$13:$AK$14,T$4,FALSE))=TRUE,"",
              VLOOKUP($G27,DanaSehat!$L$13:$AK$14,T$4,FALSE)))</t>
  </si>
  <si>
    <t>=IF(ISNUMBER($L$6)=FALSE,"",
        IF(ISERROR(VLOOKUP($G27,DanaSehat!$L$13:$AK$14,U$4,FALSE))=TRUE,"",
              VLOOKUP($G27,DanaSehat!$L$13:$AK$14,U$4,FALSE)))</t>
  </si>
  <si>
    <t>=IF(ISNUMBER($L$6)=FALSE,"",
        IF(ISERROR(VLOOKUP($G27,DanaSehat!$L$13:$AK$14,V$4,FALSE))=TRUE,"",
              VLOOKUP($G27,DanaSehat!$L$13:$AK$14,V$4,FALSE)))</t>
  </si>
  <si>
    <t>=IF(ISNUMBER($L$6)=FALSE,"",
        IF(ISERROR(VLOOKUP($G27,DanaSehat!$L$13:$AK$14,W$4,FALSE))=TRUE,"",
              VLOOKUP($G27,DanaSehat!$L$13:$AK$14,W$4,FALSE)))</t>
  </si>
  <si>
    <t>=IF(ISNUMBER($L$6)=FALSE,"",
        IF(ISERROR(VLOOKUP($G27,DanaSehat!$L$13:$AK$14,X$4,FALSE))=TRUE,"",
              VLOOKUP($G27,DanaSehat!$L$13:$AK$14,X$4,FALSE)))</t>
  </si>
  <si>
    <t>=IF(ISNUMBER($L$6)=FALSE,"",
        IF(ISERROR(VLOOKUP($G27,DanaSehat!$L$13:$AK$14,Y$4,FALSE))=TRUE,"",
              VLOOKUP($G27,DanaSehat!$L$13:$AK$14,Y$4,FALSE)))</t>
  </si>
  <si>
    <t>=IF(ISNUMBER($L$6)=FALSE,"",
        IF(ISERROR(VLOOKUP($G27,DanaSehat!$L$13:$AK$14,Z$4,FALSE))=TRUE,"",
              VLOOKUP($G27,DanaSehat!$L$13:$AK$14,Z$4,FALSE)))</t>
  </si>
  <si>
    <t>=IF(ISNUMBER($L$6)=FALSE,"",
        IF(ISERROR(VLOOKUP($G27,DanaSehat!$L$13:$AK$14,AA$4,FALSE))=TRUE,"",
              VLOOKUP($G27,DanaSehat!$L$13:$AK$14,AA$4,FALSE)))</t>
  </si>
  <si>
    <t>=IF(ISNUMBER($L$6)=FALSE,"",
        IF(ISERROR(VLOOKUP($G27,DanaSehat!$L$13:$AK$14,AB$4,FALSE))=TRUE,"",
              VLOOKUP($G27,DanaSehat!$L$13:$AK$14,AB$4,FALSE)))</t>
  </si>
  <si>
    <t>=IF(ISNUMBER($L$6)=FALSE,"",
        IF(ISERROR(VLOOKUP($G27,DanaSehat!$L$13:$AK$14,AC$4,FALSE))=TRUE,"",
              VLOOKUP($G27,DanaSehat!$L$13:$AK$14,AC$4,FALSE)))</t>
  </si>
  <si>
    <t>=IF(ISNUMBER($L$6)=FALSE,"",
        IF(ISERROR(VLOOKUP($G27,DanaSehat!$L$13:$AK$14,AD$4,FALSE))=TRUE,"",
              VLOOKUP($G27,DanaSehat!$L$13:$AK$14,AD$4,FALSE)))</t>
  </si>
  <si>
    <t>=IF(ISNUMBER($L$6)=FALSE,"",
        IF(ISERROR(VLOOKUP($G27,DanaSehat!$L$13:$AK$14,AE$4,FALSE))=TRUE,"",
              VLOOKUP($G27,DanaSehat!$L$13:$AK$14,AE$4,FALSE)))</t>
  </si>
  <si>
    <t>=IF(ISNUMBER($L$6)=FALSE,"",
        IF(ISERROR(VLOOKUP($G27,DanaSehat!$L$13:$AK$14,AF$4,FALSE))=TRUE,"",
              VLOOKUP($G27,DanaSehat!$L$13:$AK$14,AF$4,FALSE)))</t>
  </si>
  <si>
    <t>=IF($C27=$C$4,0,
       IF($C27=0,0,$C27+1))</t>
  </si>
  <si>
    <t>=IF(ISNUMBER($L$6)=FALSE,"",
IF($C28=0,"",$C28))</t>
  </si>
  <si>
    <t>=IF(ISNUMBER($L$6)=FALSE,"",
IF($C28=0,"",VLOOKUP($E28,DanaSehat!$H$13:$L$14,4,FALSE)))</t>
  </si>
  <si>
    <t>=IF(ISNUMBER($L$6)=FALSE,"",
IF($C28=0,"",VLOOKUP($E28,DanaSehat!$H$13:$L$14,5,FALSE)))</t>
  </si>
  <si>
    <t>=IF(ISNUMBER($L$6)=FALSE,"",
IF($C28=0,"",SUM(I28:AF28)))</t>
  </si>
  <si>
    <t>=IF(ISNUMBER($L$6)=FALSE,"",
        IF(ISERROR(VLOOKUP($G28,DanaSehat!$L$13:$AK$14,I$4,FALSE))=TRUE,"",
              VLOOKUP($G28,DanaSehat!$L$13:$AK$14,I$4,FALSE)))</t>
  </si>
  <si>
    <t>=IF(ISNUMBER($L$6)=FALSE,"",
        IF(ISERROR(VLOOKUP($G28,DanaSehat!$L$13:$AK$14,J$4,FALSE))=TRUE,"",
              VLOOKUP($G28,DanaSehat!$L$13:$AK$14,J$4,FALSE)))</t>
  </si>
  <si>
    <t>=IF(ISNUMBER($L$6)=FALSE,"",
        IF(ISERROR(VLOOKUP($G28,DanaSehat!$L$13:$AK$14,K$4,FALSE))=TRUE,"",
              VLOOKUP($G28,DanaSehat!$L$13:$AK$14,K$4,FALSE)))</t>
  </si>
  <si>
    <t>=IF(ISNUMBER($L$6)=FALSE,"",
        IF(ISERROR(VLOOKUP($G28,DanaSehat!$L$13:$AK$14,L$4,FALSE))=TRUE,"",
              VLOOKUP($G28,DanaSehat!$L$13:$AK$14,L$4,FALSE)))</t>
  </si>
  <si>
    <t>=IF(ISNUMBER($L$6)=FALSE,"",
        IF(ISERROR(VLOOKUP($G28,DanaSehat!$L$13:$AK$14,M$4,FALSE))=TRUE,"",
              VLOOKUP($G28,DanaSehat!$L$13:$AK$14,M$4,FALSE)))</t>
  </si>
  <si>
    <t>=IF(ISNUMBER($L$6)=FALSE,"",
        IF(ISERROR(VLOOKUP($G28,DanaSehat!$L$13:$AK$14,N$4,FALSE))=TRUE,"",
              VLOOKUP($G28,DanaSehat!$L$13:$AK$14,N$4,FALSE)))</t>
  </si>
  <si>
    <t>=IF(ISNUMBER($L$6)=FALSE,"",
        IF(ISERROR(VLOOKUP($G28,DanaSehat!$L$13:$AK$14,O$4,FALSE))=TRUE,"",
              VLOOKUP($G28,DanaSehat!$L$13:$AK$14,O$4,FALSE)))</t>
  </si>
  <si>
    <t>=IF(ISNUMBER($L$6)=FALSE,"",
        IF(ISERROR(VLOOKUP($G28,DanaSehat!$L$13:$AK$14,P$4,FALSE))=TRUE,"",
              VLOOKUP($G28,DanaSehat!$L$13:$AK$14,P$4,FALSE)))</t>
  </si>
  <si>
    <t>=IF(ISNUMBER($L$6)=FALSE,"",
        IF(ISERROR(VLOOKUP($G28,DanaSehat!$L$13:$AK$14,Q$4,FALSE))=TRUE,"",
              VLOOKUP($G28,DanaSehat!$L$13:$AK$14,Q$4,FALSE)))</t>
  </si>
  <si>
    <t>=IF(ISNUMBER($L$6)=FALSE,"",
        IF(ISERROR(VLOOKUP($G28,DanaSehat!$L$13:$AK$14,R$4,FALSE))=TRUE,"",
              VLOOKUP($G28,DanaSehat!$L$13:$AK$14,R$4,FALSE)))</t>
  </si>
  <si>
    <t>=IF(ISNUMBER($L$6)=FALSE,"",
        IF(ISERROR(VLOOKUP($G28,DanaSehat!$L$13:$AK$14,S$4,FALSE))=TRUE,"",
              VLOOKUP($G28,DanaSehat!$L$13:$AK$14,S$4,FALSE)))</t>
  </si>
  <si>
    <t>=IF(ISNUMBER($L$6)=FALSE,"",
        IF(ISERROR(VLOOKUP($G28,DanaSehat!$L$13:$AK$14,T$4,FALSE))=TRUE,"",
              VLOOKUP($G28,DanaSehat!$L$13:$AK$14,T$4,FALSE)))</t>
  </si>
  <si>
    <t>=IF(ISNUMBER($L$6)=FALSE,"",
        IF(ISERROR(VLOOKUP($G28,DanaSehat!$L$13:$AK$14,U$4,FALSE))=TRUE,"",
              VLOOKUP($G28,DanaSehat!$L$13:$AK$14,U$4,FALSE)))</t>
  </si>
  <si>
    <t>=IF(ISNUMBER($L$6)=FALSE,"",
        IF(ISERROR(VLOOKUP($G28,DanaSehat!$L$13:$AK$14,V$4,FALSE))=TRUE,"",
              VLOOKUP($G28,DanaSehat!$L$13:$AK$14,V$4,FALSE)))</t>
  </si>
  <si>
    <t>=IF(ISNUMBER($L$6)=FALSE,"",
        IF(ISERROR(VLOOKUP($G28,DanaSehat!$L$13:$AK$14,W$4,FALSE))=TRUE,"",
              VLOOKUP($G28,DanaSehat!$L$13:$AK$14,W$4,FALSE)))</t>
  </si>
  <si>
    <t>=IF(ISNUMBER($L$6)=FALSE,"",
        IF(ISERROR(VLOOKUP($G28,DanaSehat!$L$13:$AK$14,X$4,FALSE))=TRUE,"",
              VLOOKUP($G28,DanaSehat!$L$13:$AK$14,X$4,FALSE)))</t>
  </si>
  <si>
    <t>=IF(ISNUMBER($L$6)=FALSE,"",
        IF(ISERROR(VLOOKUP($G28,DanaSehat!$L$13:$AK$14,Y$4,FALSE))=TRUE,"",
              VLOOKUP($G28,DanaSehat!$L$13:$AK$14,Y$4,FALSE)))</t>
  </si>
  <si>
    <t>=IF(ISNUMBER($L$6)=FALSE,"",
        IF(ISERROR(VLOOKUP($G28,DanaSehat!$L$13:$AK$14,Z$4,FALSE))=TRUE,"",
              VLOOKUP($G28,DanaSehat!$L$13:$AK$14,Z$4,FALSE)))</t>
  </si>
  <si>
    <t>=IF(ISNUMBER($L$6)=FALSE,"",
        IF(ISERROR(VLOOKUP($G28,DanaSehat!$L$13:$AK$14,AA$4,FALSE))=TRUE,"",
              VLOOKUP($G28,DanaSehat!$L$13:$AK$14,AA$4,FALSE)))</t>
  </si>
  <si>
    <t>=IF(ISNUMBER($L$6)=FALSE,"",
        IF(ISERROR(VLOOKUP($G28,DanaSehat!$L$13:$AK$14,AB$4,FALSE))=TRUE,"",
              VLOOKUP($G28,DanaSehat!$L$13:$AK$14,AB$4,FALSE)))</t>
  </si>
  <si>
    <t>=IF(ISNUMBER($L$6)=FALSE,"",
        IF(ISERROR(VLOOKUP($G28,DanaSehat!$L$13:$AK$14,AC$4,FALSE))=TRUE,"",
              VLOOKUP($G28,DanaSehat!$L$13:$AK$14,AC$4,FALSE)))</t>
  </si>
  <si>
    <t>=IF(ISNUMBER($L$6)=FALSE,"",
        IF(ISERROR(VLOOKUP($G28,DanaSehat!$L$13:$AK$14,AD$4,FALSE))=TRUE,"",
              VLOOKUP($G28,DanaSehat!$L$13:$AK$14,AD$4,FALSE)))</t>
  </si>
  <si>
    <t>=IF(ISNUMBER($L$6)=FALSE,"",
        IF(ISERROR(VLOOKUP($G28,DanaSehat!$L$13:$AK$14,AE$4,FALSE))=TRUE,"",
              VLOOKUP($G28,DanaSehat!$L$13:$AK$14,AE$4,FALSE)))</t>
  </si>
  <si>
    <t>=IF(ISNUMBER($L$6)=FALSE,"",
        IF(ISERROR(VLOOKUP($G28,DanaSehat!$L$13:$AK$14,AF$4,FALSE))=TRUE,"",
              VLOOKUP($G28,DanaSehat!$L$13:$AK$14,AF$4,FALSE)))</t>
  </si>
  <si>
    <t>=IF($C28=$C$4,0,
       IF($C28=0,0,$C28+1))</t>
  </si>
  <si>
    <t>=IF(ISNUMBER($L$6)=FALSE,"",
IF($C29=0,"",$C29))</t>
  </si>
  <si>
    <t>=IF(ISNUMBER($L$6)=FALSE,"",
IF($C29=0,"",VLOOKUP($E29,DanaSehat!$H$13:$L$14,4,FALSE)))</t>
  </si>
  <si>
    <t>=IF(ISNUMBER($L$6)=FALSE,"",
IF($C29=0,"",VLOOKUP($E29,DanaSehat!$H$13:$L$14,5,FALSE)))</t>
  </si>
  <si>
    <t>=IF(ISNUMBER($L$6)=FALSE,"",
IF($C29=0,"",SUM(I29:AF29)))</t>
  </si>
  <si>
    <t>=IF(ISNUMBER($L$6)=FALSE,"",
        IF(ISERROR(VLOOKUP($G29,DanaSehat!$L$13:$AK$14,I$4,FALSE))=TRUE,"",
              VLOOKUP($G29,DanaSehat!$L$13:$AK$14,I$4,FALSE)))</t>
  </si>
  <si>
    <t>=IF(ISNUMBER($L$6)=FALSE,"",
        IF(ISERROR(VLOOKUP($G29,DanaSehat!$L$13:$AK$14,J$4,FALSE))=TRUE,"",
              VLOOKUP($G29,DanaSehat!$L$13:$AK$14,J$4,FALSE)))</t>
  </si>
  <si>
    <t>=IF(ISNUMBER($L$6)=FALSE,"",
        IF(ISERROR(VLOOKUP($G29,DanaSehat!$L$13:$AK$14,K$4,FALSE))=TRUE,"",
              VLOOKUP($G29,DanaSehat!$L$13:$AK$14,K$4,FALSE)))</t>
  </si>
  <si>
    <t>=IF(ISNUMBER($L$6)=FALSE,"",
        IF(ISERROR(VLOOKUP($G29,DanaSehat!$L$13:$AK$14,L$4,FALSE))=TRUE,"",
              VLOOKUP($G29,DanaSehat!$L$13:$AK$14,L$4,FALSE)))</t>
  </si>
  <si>
    <t>=IF(ISNUMBER($L$6)=FALSE,"",
        IF(ISERROR(VLOOKUP($G29,DanaSehat!$L$13:$AK$14,M$4,FALSE))=TRUE,"",
              VLOOKUP($G29,DanaSehat!$L$13:$AK$14,M$4,FALSE)))</t>
  </si>
  <si>
    <t>=IF(ISNUMBER($L$6)=FALSE,"",
        IF(ISERROR(VLOOKUP($G29,DanaSehat!$L$13:$AK$14,N$4,FALSE))=TRUE,"",
              VLOOKUP($G29,DanaSehat!$L$13:$AK$14,N$4,FALSE)))</t>
  </si>
  <si>
    <t>=IF(ISNUMBER($L$6)=FALSE,"",
        IF(ISERROR(VLOOKUP($G29,DanaSehat!$L$13:$AK$14,O$4,FALSE))=TRUE,"",
              VLOOKUP($G29,DanaSehat!$L$13:$AK$14,O$4,FALSE)))</t>
  </si>
  <si>
    <t>=IF(ISNUMBER($L$6)=FALSE,"",
        IF(ISERROR(VLOOKUP($G29,DanaSehat!$L$13:$AK$14,P$4,FALSE))=TRUE,"",
              VLOOKUP($G29,DanaSehat!$L$13:$AK$14,P$4,FALSE)))</t>
  </si>
  <si>
    <t>=IF(ISNUMBER($L$6)=FALSE,"",
        IF(ISERROR(VLOOKUP($G29,DanaSehat!$L$13:$AK$14,Q$4,FALSE))=TRUE,"",
              VLOOKUP($G29,DanaSehat!$L$13:$AK$14,Q$4,FALSE)))</t>
  </si>
  <si>
    <t>=IF(ISNUMBER($L$6)=FALSE,"",
        IF(ISERROR(VLOOKUP($G29,DanaSehat!$L$13:$AK$14,R$4,FALSE))=TRUE,"",
              VLOOKUP($G29,DanaSehat!$L$13:$AK$14,R$4,FALSE)))</t>
  </si>
  <si>
    <t>=IF(ISNUMBER($L$6)=FALSE,"",
        IF(ISERROR(VLOOKUP($G29,DanaSehat!$L$13:$AK$14,S$4,FALSE))=TRUE,"",
              VLOOKUP($G29,DanaSehat!$L$13:$AK$14,S$4,FALSE)))</t>
  </si>
  <si>
    <t>=IF(ISNUMBER($L$6)=FALSE,"",
        IF(ISERROR(VLOOKUP($G29,DanaSehat!$L$13:$AK$14,T$4,FALSE))=TRUE,"",
              VLOOKUP($G29,DanaSehat!$L$13:$AK$14,T$4,FALSE)))</t>
  </si>
  <si>
    <t>=IF(ISNUMBER($L$6)=FALSE,"",
        IF(ISERROR(VLOOKUP($G29,DanaSehat!$L$13:$AK$14,U$4,FALSE))=TRUE,"",
              VLOOKUP($G29,DanaSehat!$L$13:$AK$14,U$4,FALSE)))</t>
  </si>
  <si>
    <t>=IF(ISNUMBER($L$6)=FALSE,"",
        IF(ISERROR(VLOOKUP($G29,DanaSehat!$L$13:$AK$14,V$4,FALSE))=TRUE,"",
              VLOOKUP($G29,DanaSehat!$L$13:$AK$14,V$4,FALSE)))</t>
  </si>
  <si>
    <t>=IF(ISNUMBER($L$6)=FALSE,"",
        IF(ISERROR(VLOOKUP($G29,DanaSehat!$L$13:$AK$14,W$4,FALSE))=TRUE,"",
              VLOOKUP($G29,DanaSehat!$L$13:$AK$14,W$4,FALSE)))</t>
  </si>
  <si>
    <t>=IF(ISNUMBER($L$6)=FALSE,"",
        IF(ISERROR(VLOOKUP($G29,DanaSehat!$L$13:$AK$14,X$4,FALSE))=TRUE,"",
              VLOOKUP($G29,DanaSehat!$L$13:$AK$14,X$4,FALSE)))</t>
  </si>
  <si>
    <t>=IF(ISNUMBER($L$6)=FALSE,"",
        IF(ISERROR(VLOOKUP($G29,DanaSehat!$L$13:$AK$14,Y$4,FALSE))=TRUE,"",
              VLOOKUP($G29,DanaSehat!$L$13:$AK$14,Y$4,FALSE)))</t>
  </si>
  <si>
    <t>=IF(ISNUMBER($L$6)=FALSE,"",
        IF(ISERROR(VLOOKUP($G29,DanaSehat!$L$13:$AK$14,Z$4,FALSE))=TRUE,"",
              VLOOKUP($G29,DanaSehat!$L$13:$AK$14,Z$4,FALSE)))</t>
  </si>
  <si>
    <t>=IF(ISNUMBER($L$6)=FALSE,"",
        IF(ISERROR(VLOOKUP($G29,DanaSehat!$L$13:$AK$14,AA$4,FALSE))=TRUE,"",
              VLOOKUP($G29,DanaSehat!$L$13:$AK$14,AA$4,FALSE)))</t>
  </si>
  <si>
    <t>=IF(ISNUMBER($L$6)=FALSE,"",
        IF(ISERROR(VLOOKUP($G29,DanaSehat!$L$13:$AK$14,AB$4,FALSE))=TRUE,"",
              VLOOKUP($G29,DanaSehat!$L$13:$AK$14,AB$4,FALSE)))</t>
  </si>
  <si>
    <t>=IF(ISNUMBER($L$6)=FALSE,"",
        IF(ISERROR(VLOOKUP($G29,DanaSehat!$L$13:$AK$14,AC$4,FALSE))=TRUE,"",
              VLOOKUP($G29,DanaSehat!$L$13:$AK$14,AC$4,FALSE)))</t>
  </si>
  <si>
    <t>=IF(ISNUMBER($L$6)=FALSE,"",
        IF(ISERROR(VLOOKUP($G29,DanaSehat!$L$13:$AK$14,AD$4,FALSE))=TRUE,"",
              VLOOKUP($G29,DanaSehat!$L$13:$AK$14,AD$4,FALSE)))</t>
  </si>
  <si>
    <t>=IF(ISNUMBER($L$6)=FALSE,"",
        IF(ISERROR(VLOOKUP($G29,DanaSehat!$L$13:$AK$14,AE$4,FALSE))=TRUE,"",
              VLOOKUP($G29,DanaSehat!$L$13:$AK$14,AE$4,FALSE)))</t>
  </si>
  <si>
    <t>=IF(ISNUMBER($L$6)=FALSE,"",
        IF(ISERROR(VLOOKUP($G29,DanaSehat!$L$13:$AK$14,AF$4,FALSE))=TRUE,"",
              VLOOKUP($G29,DanaSehat!$L$13:$AK$14,AF$4,FALSE)))</t>
  </si>
  <si>
    <t>=IF($C29=$C$4,0,
       IF($C29=0,0,$C29+1))</t>
  </si>
  <si>
    <t>=IF(ISNUMBER($L$6)=FALSE,"",
IF($C30=0,"",$C30))</t>
  </si>
  <si>
    <t>=IF(ISNUMBER($L$6)=FALSE,"",
IF($C30=0,"",VLOOKUP($E30,DanaSehat!$H$13:$L$14,4,FALSE)))</t>
  </si>
  <si>
    <t>=IF(ISNUMBER($L$6)=FALSE,"",
IF($C30=0,"",VLOOKUP($E30,DanaSehat!$H$13:$L$14,5,FALSE)))</t>
  </si>
  <si>
    <t>=IF(ISNUMBER($L$6)=FALSE,"",
IF($C30=0,"",SUM(I30:AF30)))</t>
  </si>
  <si>
    <t>=IF(ISNUMBER($L$6)=FALSE,"",
        IF(ISERROR(VLOOKUP($G30,DanaSehat!$L$13:$AK$14,I$4,FALSE))=TRUE,"",
              VLOOKUP($G30,DanaSehat!$L$13:$AK$14,I$4,FALSE)))</t>
  </si>
  <si>
    <t>=IF(ISNUMBER($L$6)=FALSE,"",
        IF(ISERROR(VLOOKUP($G30,DanaSehat!$L$13:$AK$14,J$4,FALSE))=TRUE,"",
              VLOOKUP($G30,DanaSehat!$L$13:$AK$14,J$4,FALSE)))</t>
  </si>
  <si>
    <t>=IF(ISNUMBER($L$6)=FALSE,"",
        IF(ISERROR(VLOOKUP($G30,DanaSehat!$L$13:$AK$14,K$4,FALSE))=TRUE,"",
              VLOOKUP($G30,DanaSehat!$L$13:$AK$14,K$4,FALSE)))</t>
  </si>
  <si>
    <t>=IF(ISNUMBER($L$6)=FALSE,"",
        IF(ISERROR(VLOOKUP($G30,DanaSehat!$L$13:$AK$14,L$4,FALSE))=TRUE,"",
              VLOOKUP($G30,DanaSehat!$L$13:$AK$14,L$4,FALSE)))</t>
  </si>
  <si>
    <t>=IF(ISNUMBER($L$6)=FALSE,"",
        IF(ISERROR(VLOOKUP($G30,DanaSehat!$L$13:$AK$14,M$4,FALSE))=TRUE,"",
              VLOOKUP($G30,DanaSehat!$L$13:$AK$14,M$4,FALSE)))</t>
  </si>
  <si>
    <t>=IF(ISNUMBER($L$6)=FALSE,"",
        IF(ISERROR(VLOOKUP($G30,DanaSehat!$L$13:$AK$14,N$4,FALSE))=TRUE,"",
              VLOOKUP($G30,DanaSehat!$L$13:$AK$14,N$4,FALSE)))</t>
  </si>
  <si>
    <t>=IF(ISNUMBER($L$6)=FALSE,"",
        IF(ISERROR(VLOOKUP($G30,DanaSehat!$L$13:$AK$14,O$4,FALSE))=TRUE,"",
              VLOOKUP($G30,DanaSehat!$L$13:$AK$14,O$4,FALSE)))</t>
  </si>
  <si>
    <t>=IF(ISNUMBER($L$6)=FALSE,"",
        IF(ISERROR(VLOOKUP($G30,DanaSehat!$L$13:$AK$14,P$4,FALSE))=TRUE,"",
              VLOOKUP($G30,DanaSehat!$L$13:$AK$14,P$4,FALSE)))</t>
  </si>
  <si>
    <t>=IF(ISNUMBER($L$6)=FALSE,"",
        IF(ISERROR(VLOOKUP($G30,DanaSehat!$L$13:$AK$14,Q$4,FALSE))=TRUE,"",
              VLOOKUP($G30,DanaSehat!$L$13:$AK$14,Q$4,FALSE)))</t>
  </si>
  <si>
    <t>=IF(ISNUMBER($L$6)=FALSE,"",
        IF(ISERROR(VLOOKUP($G30,DanaSehat!$L$13:$AK$14,R$4,FALSE))=TRUE,"",
              VLOOKUP($G30,DanaSehat!$L$13:$AK$14,R$4,FALSE)))</t>
  </si>
  <si>
    <t>=IF(ISNUMBER($L$6)=FALSE,"",
        IF(ISERROR(VLOOKUP($G30,DanaSehat!$L$13:$AK$14,S$4,FALSE))=TRUE,"",
              VLOOKUP($G30,DanaSehat!$L$13:$AK$14,S$4,FALSE)))</t>
  </si>
  <si>
    <t>=IF(ISNUMBER($L$6)=FALSE,"",
        IF(ISERROR(VLOOKUP($G30,DanaSehat!$L$13:$AK$14,T$4,FALSE))=TRUE,"",
              VLOOKUP($G30,DanaSehat!$L$13:$AK$14,T$4,FALSE)))</t>
  </si>
  <si>
    <t>=IF(ISNUMBER($L$6)=FALSE,"",
        IF(ISERROR(VLOOKUP($G30,DanaSehat!$L$13:$AK$14,U$4,FALSE))=TRUE,"",
              VLOOKUP($G30,DanaSehat!$L$13:$AK$14,U$4,FALSE)))</t>
  </si>
  <si>
    <t>=IF(ISNUMBER($L$6)=FALSE,"",
        IF(ISERROR(VLOOKUP($G30,DanaSehat!$L$13:$AK$14,V$4,FALSE))=TRUE,"",
              VLOOKUP($G30,DanaSehat!$L$13:$AK$14,V$4,FALSE)))</t>
  </si>
  <si>
    <t>=IF(ISNUMBER($L$6)=FALSE,"",
        IF(ISERROR(VLOOKUP($G30,DanaSehat!$L$13:$AK$14,W$4,FALSE))=TRUE,"",
              VLOOKUP($G30,DanaSehat!$L$13:$AK$14,W$4,FALSE)))</t>
  </si>
  <si>
    <t>=IF(ISNUMBER($L$6)=FALSE,"",
        IF(ISERROR(VLOOKUP($G30,DanaSehat!$L$13:$AK$14,X$4,FALSE))=TRUE,"",
              VLOOKUP($G30,DanaSehat!$L$13:$AK$14,X$4,FALSE)))</t>
  </si>
  <si>
    <t>=IF(ISNUMBER($L$6)=FALSE,"",
        IF(ISERROR(VLOOKUP($G30,DanaSehat!$L$13:$AK$14,Y$4,FALSE))=TRUE,"",
              VLOOKUP($G30,DanaSehat!$L$13:$AK$14,Y$4,FALSE)))</t>
  </si>
  <si>
    <t>=IF(ISNUMBER($L$6)=FALSE,"",
        IF(ISERROR(VLOOKUP($G30,DanaSehat!$L$13:$AK$14,Z$4,FALSE))=TRUE,"",
              VLOOKUP($G30,DanaSehat!$L$13:$AK$14,Z$4,FALSE)))</t>
  </si>
  <si>
    <t>=IF(ISNUMBER($L$6)=FALSE,"",
        IF(ISERROR(VLOOKUP($G30,DanaSehat!$L$13:$AK$14,AA$4,FALSE))=TRUE,"",
              VLOOKUP($G30,DanaSehat!$L$13:$AK$14,AA$4,FALSE)))</t>
  </si>
  <si>
    <t>=IF(ISNUMBER($L$6)=FALSE,"",
        IF(ISERROR(VLOOKUP($G30,DanaSehat!$L$13:$AK$14,AB$4,FALSE))=TRUE,"",
              VLOOKUP($G30,DanaSehat!$L$13:$AK$14,AB$4,FALSE)))</t>
  </si>
  <si>
    <t>=IF(ISNUMBER($L$6)=FALSE,"",
        IF(ISERROR(VLOOKUP($G30,DanaSehat!$L$13:$AK$14,AC$4,FALSE))=TRUE,"",
              VLOOKUP($G30,DanaSehat!$L$13:$AK$14,AC$4,FALSE)))</t>
  </si>
  <si>
    <t>=IF(ISNUMBER($L$6)=FALSE,"",
        IF(ISERROR(VLOOKUP($G30,DanaSehat!$L$13:$AK$14,AD$4,FALSE))=TRUE,"",
              VLOOKUP($G30,DanaSehat!$L$13:$AK$14,AD$4,FALSE)))</t>
  </si>
  <si>
    <t>=IF(ISNUMBER($L$6)=FALSE,"",
        IF(ISERROR(VLOOKUP($G30,DanaSehat!$L$13:$AK$14,AE$4,FALSE))=TRUE,"",
              VLOOKUP($G30,DanaSehat!$L$13:$AK$14,AE$4,FALSE)))</t>
  </si>
  <si>
    <t>=IF(ISNUMBER($L$6)=FALSE,"",
        IF(ISERROR(VLOOKUP($G30,DanaSehat!$L$13:$AK$14,AF$4,FALSE))=TRUE,"",
              VLOOKUP($G30,DanaSehat!$L$13:$AK$14,AF$4,FALSE)))</t>
  </si>
  <si>
    <t>=IF($C30=$C$4,0,
       IF($C30=0,0,$C30+1))</t>
  </si>
  <si>
    <t>=IF(ISNUMBER($L$6)=FALSE,"",
IF($C31=0,"",$C31))</t>
  </si>
  <si>
    <t>=IF(ISNUMBER($L$6)=FALSE,"",
IF($C31=0,"",VLOOKUP($E31,DanaSehat!$H$13:$L$14,4,FALSE)))</t>
  </si>
  <si>
    <t>=IF(ISNUMBER($L$6)=FALSE,"",
IF($C31=0,"",VLOOKUP($E31,DanaSehat!$H$13:$L$14,5,FALSE)))</t>
  </si>
  <si>
    <t>=IF(ISNUMBER($L$6)=FALSE,"",
IF($C31=0,"",SUM(I31:AF31)))</t>
  </si>
  <si>
    <t>=IF(ISNUMBER($L$6)=FALSE,"",
        IF(ISERROR(VLOOKUP($G31,DanaSehat!$L$13:$AK$14,I$4,FALSE))=TRUE,"",
              VLOOKUP($G31,DanaSehat!$L$13:$AK$14,I$4,FALSE)))</t>
  </si>
  <si>
    <t>=IF(ISNUMBER($L$6)=FALSE,"",
        IF(ISERROR(VLOOKUP($G31,DanaSehat!$L$13:$AK$14,J$4,FALSE))=TRUE,"",
              VLOOKUP($G31,DanaSehat!$L$13:$AK$14,J$4,FALSE)))</t>
  </si>
  <si>
    <t>=IF(ISNUMBER($L$6)=FALSE,"",
        IF(ISERROR(VLOOKUP($G31,DanaSehat!$L$13:$AK$14,K$4,FALSE))=TRUE,"",
              VLOOKUP($G31,DanaSehat!$L$13:$AK$14,K$4,FALSE)))</t>
  </si>
  <si>
    <t>=IF(ISNUMBER($L$6)=FALSE,"",
        IF(ISERROR(VLOOKUP($G31,DanaSehat!$L$13:$AK$14,L$4,FALSE))=TRUE,"",
              VLOOKUP($G31,DanaSehat!$L$13:$AK$14,L$4,FALSE)))</t>
  </si>
  <si>
    <t>=IF(ISNUMBER($L$6)=FALSE,"",
        IF(ISERROR(VLOOKUP($G31,DanaSehat!$L$13:$AK$14,M$4,FALSE))=TRUE,"",
              VLOOKUP($G31,DanaSehat!$L$13:$AK$14,M$4,FALSE)))</t>
  </si>
  <si>
    <t>=IF(ISNUMBER($L$6)=FALSE,"",
        IF(ISERROR(VLOOKUP($G31,DanaSehat!$L$13:$AK$14,N$4,FALSE))=TRUE,"",
              VLOOKUP($G31,DanaSehat!$L$13:$AK$14,N$4,FALSE)))</t>
  </si>
  <si>
    <t>=IF(ISNUMBER($L$6)=FALSE,"",
        IF(ISERROR(VLOOKUP($G31,DanaSehat!$L$13:$AK$14,O$4,FALSE))=TRUE,"",
              VLOOKUP($G31,DanaSehat!$L$13:$AK$14,O$4,FALSE)))</t>
  </si>
  <si>
    <t>=IF(ISNUMBER($L$6)=FALSE,"",
        IF(ISERROR(VLOOKUP($G31,DanaSehat!$L$13:$AK$14,P$4,FALSE))=TRUE,"",
              VLOOKUP($G31,DanaSehat!$L$13:$AK$14,P$4,FALSE)))</t>
  </si>
  <si>
    <t>=IF(ISNUMBER($L$6)=FALSE,"",
        IF(ISERROR(VLOOKUP($G31,DanaSehat!$L$13:$AK$14,Q$4,FALSE))=TRUE,"",
              VLOOKUP($G31,DanaSehat!$L$13:$AK$14,Q$4,FALSE)))</t>
  </si>
  <si>
    <t>=IF(ISNUMBER($L$6)=FALSE,"",
        IF(ISERROR(VLOOKUP($G31,DanaSehat!$L$13:$AK$14,R$4,FALSE))=TRUE,"",
              VLOOKUP($G31,DanaSehat!$L$13:$AK$14,R$4,FALSE)))</t>
  </si>
  <si>
    <t>=IF(ISNUMBER($L$6)=FALSE,"",
        IF(ISERROR(VLOOKUP($G31,DanaSehat!$L$13:$AK$14,S$4,FALSE))=TRUE,"",
              VLOOKUP($G31,DanaSehat!$L$13:$AK$14,S$4,FALSE)))</t>
  </si>
  <si>
    <t>=IF(ISNUMBER($L$6)=FALSE,"",
        IF(ISERROR(VLOOKUP($G31,DanaSehat!$L$13:$AK$14,T$4,FALSE))=TRUE,"",
              VLOOKUP($G31,DanaSehat!$L$13:$AK$14,T$4,FALSE)))</t>
  </si>
  <si>
    <t>=IF(ISNUMBER($L$6)=FALSE,"",
        IF(ISERROR(VLOOKUP($G31,DanaSehat!$L$13:$AK$14,U$4,FALSE))=TRUE,"",
              VLOOKUP($G31,DanaSehat!$L$13:$AK$14,U$4,FALSE)))</t>
  </si>
  <si>
    <t>=IF(ISNUMBER($L$6)=FALSE,"",
        IF(ISERROR(VLOOKUP($G31,DanaSehat!$L$13:$AK$14,V$4,FALSE))=TRUE,"",
              VLOOKUP($G31,DanaSehat!$L$13:$AK$14,V$4,FALSE)))</t>
  </si>
  <si>
    <t>=IF(ISNUMBER($L$6)=FALSE,"",
        IF(ISERROR(VLOOKUP($G31,DanaSehat!$L$13:$AK$14,W$4,FALSE))=TRUE,"",
              VLOOKUP($G31,DanaSehat!$L$13:$AK$14,W$4,FALSE)))</t>
  </si>
  <si>
    <t>=IF(ISNUMBER($L$6)=FALSE,"",
        IF(ISERROR(VLOOKUP($G31,DanaSehat!$L$13:$AK$14,X$4,FALSE))=TRUE,"",
              VLOOKUP($G31,DanaSehat!$L$13:$AK$14,X$4,FALSE)))</t>
  </si>
  <si>
    <t>=IF(ISNUMBER($L$6)=FALSE,"",
        IF(ISERROR(VLOOKUP($G31,DanaSehat!$L$13:$AK$14,Y$4,FALSE))=TRUE,"",
              VLOOKUP($G31,DanaSehat!$L$13:$AK$14,Y$4,FALSE)))</t>
  </si>
  <si>
    <t>=IF(ISNUMBER($L$6)=FALSE,"",
        IF(ISERROR(VLOOKUP($G31,DanaSehat!$L$13:$AK$14,Z$4,FALSE))=TRUE,"",
              VLOOKUP($G31,DanaSehat!$L$13:$AK$14,Z$4,FALSE)))</t>
  </si>
  <si>
    <t>=IF(ISNUMBER($L$6)=FALSE,"",
        IF(ISERROR(VLOOKUP($G31,DanaSehat!$L$13:$AK$14,AA$4,FALSE))=TRUE,"",
              VLOOKUP($G31,DanaSehat!$L$13:$AK$14,AA$4,FALSE)))</t>
  </si>
  <si>
    <t>=IF(ISNUMBER($L$6)=FALSE,"",
        IF(ISERROR(VLOOKUP($G31,DanaSehat!$L$13:$AK$14,AB$4,FALSE))=TRUE,"",
              VLOOKUP($G31,DanaSehat!$L$13:$AK$14,AB$4,FALSE)))</t>
  </si>
  <si>
    <t>=IF(ISNUMBER($L$6)=FALSE,"",
        IF(ISERROR(VLOOKUP($G31,DanaSehat!$L$13:$AK$14,AC$4,FALSE))=TRUE,"",
              VLOOKUP($G31,DanaSehat!$L$13:$AK$14,AC$4,FALSE)))</t>
  </si>
  <si>
    <t>=IF(ISNUMBER($L$6)=FALSE,"",
        IF(ISERROR(VLOOKUP($G31,DanaSehat!$L$13:$AK$14,AD$4,FALSE))=TRUE,"",
              VLOOKUP($G31,DanaSehat!$L$13:$AK$14,AD$4,FALSE)))</t>
  </si>
  <si>
    <t>=IF(ISNUMBER($L$6)=FALSE,"",
        IF(ISERROR(VLOOKUP($G31,DanaSehat!$L$13:$AK$14,AE$4,FALSE))=TRUE,"",
              VLOOKUP($G31,DanaSehat!$L$13:$AK$14,AE$4,FALSE)))</t>
  </si>
  <si>
    <t>=IF(ISNUMBER($L$6)=FALSE,"",
        IF(ISERROR(VLOOKUP($G31,DanaSehat!$L$13:$AK$14,AF$4,FALSE))=TRUE,"",
              VLOOKUP($G31,DanaSehat!$L$13:$AK$14,AF$4,FALSE)))</t>
  </si>
  <si>
    <t>=IF($C31=$C$4,0,
       IF($C31=0,0,$C31+1))</t>
  </si>
  <si>
    <t>=IF(ISNUMBER($L$6)=FALSE,"",
IF($C32=0,"",$C32))</t>
  </si>
  <si>
    <t>=IF(ISNUMBER($L$6)=FALSE,"",
IF($C32=0,"",VLOOKUP($E32,DanaSehat!$H$13:$L$14,4,FALSE)))</t>
  </si>
  <si>
    <t>=IF(ISNUMBER($L$6)=FALSE,"",
IF($C32=0,"",VLOOKUP($E32,DanaSehat!$H$13:$L$14,5,FALSE)))</t>
  </si>
  <si>
    <t>=IF(ISNUMBER($L$6)=FALSE,"",
IF($C32=0,"",SUM(I32:AF32)))</t>
  </si>
  <si>
    <t>=IF(ISNUMBER($L$6)=FALSE,"",
        IF(ISERROR(VLOOKUP($G32,DanaSehat!$L$13:$AK$14,I$4,FALSE))=TRUE,"",
              VLOOKUP($G32,DanaSehat!$L$13:$AK$14,I$4,FALSE)))</t>
  </si>
  <si>
    <t>=IF(ISNUMBER($L$6)=FALSE,"",
        IF(ISERROR(VLOOKUP($G32,DanaSehat!$L$13:$AK$14,J$4,FALSE))=TRUE,"",
              VLOOKUP($G32,DanaSehat!$L$13:$AK$14,J$4,FALSE)))</t>
  </si>
  <si>
    <t>=IF(ISNUMBER($L$6)=FALSE,"",
        IF(ISERROR(VLOOKUP($G32,DanaSehat!$L$13:$AK$14,K$4,FALSE))=TRUE,"",
              VLOOKUP($G32,DanaSehat!$L$13:$AK$14,K$4,FALSE)))</t>
  </si>
  <si>
    <t>=IF(ISNUMBER($L$6)=FALSE,"",
        IF(ISERROR(VLOOKUP($G32,DanaSehat!$L$13:$AK$14,L$4,FALSE))=TRUE,"",
              VLOOKUP($G32,DanaSehat!$L$13:$AK$14,L$4,FALSE)))</t>
  </si>
  <si>
    <t>=IF(ISNUMBER($L$6)=FALSE,"",
        IF(ISERROR(VLOOKUP($G32,DanaSehat!$L$13:$AK$14,M$4,FALSE))=TRUE,"",
              VLOOKUP($G32,DanaSehat!$L$13:$AK$14,M$4,FALSE)))</t>
  </si>
  <si>
    <t>=IF(ISNUMBER($L$6)=FALSE,"",
        IF(ISERROR(VLOOKUP($G32,DanaSehat!$L$13:$AK$14,N$4,FALSE))=TRUE,"",
              VLOOKUP($G32,DanaSehat!$L$13:$AK$14,N$4,FALSE)))</t>
  </si>
  <si>
    <t>=IF(ISNUMBER($L$6)=FALSE,"",
        IF(ISERROR(VLOOKUP($G32,DanaSehat!$L$13:$AK$14,O$4,FALSE))=TRUE,"",
              VLOOKUP($G32,DanaSehat!$L$13:$AK$14,O$4,FALSE)))</t>
  </si>
  <si>
    <t>=IF(ISNUMBER($L$6)=FALSE,"",
        IF(ISERROR(VLOOKUP($G32,DanaSehat!$L$13:$AK$14,P$4,FALSE))=TRUE,"",
              VLOOKUP($G32,DanaSehat!$L$13:$AK$14,P$4,FALSE)))</t>
  </si>
  <si>
    <t>=IF(ISNUMBER($L$6)=FALSE,"",
        IF(ISERROR(VLOOKUP($G32,DanaSehat!$L$13:$AK$14,Q$4,FALSE))=TRUE,"",
              VLOOKUP($G32,DanaSehat!$L$13:$AK$14,Q$4,FALSE)))</t>
  </si>
  <si>
    <t>=IF(ISNUMBER($L$6)=FALSE,"",
        IF(ISERROR(VLOOKUP($G32,DanaSehat!$L$13:$AK$14,R$4,FALSE))=TRUE,"",
              VLOOKUP($G32,DanaSehat!$L$13:$AK$14,R$4,FALSE)))</t>
  </si>
  <si>
    <t>=IF(ISNUMBER($L$6)=FALSE,"",
        IF(ISERROR(VLOOKUP($G32,DanaSehat!$L$13:$AK$14,S$4,FALSE))=TRUE,"",
              VLOOKUP($G32,DanaSehat!$L$13:$AK$14,S$4,FALSE)))</t>
  </si>
  <si>
    <t>=IF(ISNUMBER($L$6)=FALSE,"",
        IF(ISERROR(VLOOKUP($G32,DanaSehat!$L$13:$AK$14,T$4,FALSE))=TRUE,"",
              VLOOKUP($G32,DanaSehat!$L$13:$AK$14,T$4,FALSE)))</t>
  </si>
  <si>
    <t>=IF(ISNUMBER($L$6)=FALSE,"",
        IF(ISERROR(VLOOKUP($G32,DanaSehat!$L$13:$AK$14,U$4,FALSE))=TRUE,"",
              VLOOKUP($G32,DanaSehat!$L$13:$AK$14,U$4,FALSE)))</t>
  </si>
  <si>
    <t>=IF(ISNUMBER($L$6)=FALSE,"",
        IF(ISERROR(VLOOKUP($G32,DanaSehat!$L$13:$AK$14,V$4,FALSE))=TRUE,"",
              VLOOKUP($G32,DanaSehat!$L$13:$AK$14,V$4,FALSE)))</t>
  </si>
  <si>
    <t>=IF(ISNUMBER($L$6)=FALSE,"",
        IF(ISERROR(VLOOKUP($G32,DanaSehat!$L$13:$AK$14,W$4,FALSE))=TRUE,"",
              VLOOKUP($G32,DanaSehat!$L$13:$AK$14,W$4,FALSE)))</t>
  </si>
  <si>
    <t>=IF(ISNUMBER($L$6)=FALSE,"",
        IF(ISERROR(VLOOKUP($G32,DanaSehat!$L$13:$AK$14,X$4,FALSE))=TRUE,"",
              VLOOKUP($G32,DanaSehat!$L$13:$AK$14,X$4,FALSE)))</t>
  </si>
  <si>
    <t>=IF(ISNUMBER($L$6)=FALSE,"",
        IF(ISERROR(VLOOKUP($G32,DanaSehat!$L$13:$AK$14,Y$4,FALSE))=TRUE,"",
              VLOOKUP($G32,DanaSehat!$L$13:$AK$14,Y$4,FALSE)))</t>
  </si>
  <si>
    <t>=IF(ISNUMBER($L$6)=FALSE,"",
        IF(ISERROR(VLOOKUP($G32,DanaSehat!$L$13:$AK$14,Z$4,FALSE))=TRUE,"",
              VLOOKUP($G32,DanaSehat!$L$13:$AK$14,Z$4,FALSE)))</t>
  </si>
  <si>
    <t>=IF(ISNUMBER($L$6)=FALSE,"",
        IF(ISERROR(VLOOKUP($G32,DanaSehat!$L$13:$AK$14,AA$4,FALSE))=TRUE,"",
              VLOOKUP($G32,DanaSehat!$L$13:$AK$14,AA$4,FALSE)))</t>
  </si>
  <si>
    <t>=IF(ISNUMBER($L$6)=FALSE,"",
        IF(ISERROR(VLOOKUP($G32,DanaSehat!$L$13:$AK$14,AB$4,FALSE))=TRUE,"",
              VLOOKUP($G32,DanaSehat!$L$13:$AK$14,AB$4,FALSE)))</t>
  </si>
  <si>
    <t>=IF(ISNUMBER($L$6)=FALSE,"",
        IF(ISERROR(VLOOKUP($G32,DanaSehat!$L$13:$AK$14,AC$4,FALSE))=TRUE,"",
              VLOOKUP($G32,DanaSehat!$L$13:$AK$14,AC$4,FALSE)))</t>
  </si>
  <si>
    <t>=IF(ISNUMBER($L$6)=FALSE,"",
        IF(ISERROR(VLOOKUP($G32,DanaSehat!$L$13:$AK$14,AD$4,FALSE))=TRUE,"",
              VLOOKUP($G32,DanaSehat!$L$13:$AK$14,AD$4,FALSE)))</t>
  </si>
  <si>
    <t>=IF(ISNUMBER($L$6)=FALSE,"",
        IF(ISERROR(VLOOKUP($G32,DanaSehat!$L$13:$AK$14,AE$4,FALSE))=TRUE,"",
              VLOOKUP($G32,DanaSehat!$L$13:$AK$14,AE$4,FALSE)))</t>
  </si>
  <si>
    <t>=IF(ISNUMBER($L$6)=FALSE,"",
        IF(ISERROR(VLOOKUP($G32,DanaSehat!$L$13:$AK$14,AF$4,FALSE))=TRUE,"",
              VLOOKUP($G32,DanaSehat!$L$13:$AK$14,AF$4,FALSE)))</t>
  </si>
  <si>
    <t>=IF($C32=$C$4,0,
       IF($C32=0,0,$C32+1))</t>
  </si>
  <si>
    <t>=IF(ISNUMBER($L$6)=FALSE,"",
IF($C33=0,"",$C33))</t>
  </si>
  <si>
    <t>=IF(ISNUMBER($L$6)=FALSE,"",
IF($C33=0,"",VLOOKUP($E33,DanaSehat!$H$13:$L$14,4,FALSE)))</t>
  </si>
  <si>
    <t>=IF(ISNUMBER($L$6)=FALSE,"",
IF($C33=0,"",VLOOKUP($E33,DanaSehat!$H$13:$L$14,5,FALSE)))</t>
  </si>
  <si>
    <t>=IF(ISNUMBER($L$6)=FALSE,"",
IF($C33=0,"",SUM(I33:AF33)))</t>
  </si>
  <si>
    <t>=IF(ISNUMBER($L$6)=FALSE,"",
        IF(ISERROR(VLOOKUP($G33,DanaSehat!$L$13:$AK$14,I$4,FALSE))=TRUE,"",
              VLOOKUP($G33,DanaSehat!$L$13:$AK$14,I$4,FALSE)))</t>
  </si>
  <si>
    <t>=IF(ISNUMBER($L$6)=FALSE,"",
        IF(ISERROR(VLOOKUP($G33,DanaSehat!$L$13:$AK$14,J$4,FALSE))=TRUE,"",
              VLOOKUP($G33,DanaSehat!$L$13:$AK$14,J$4,FALSE)))</t>
  </si>
  <si>
    <t>=IF(ISNUMBER($L$6)=FALSE,"",
        IF(ISERROR(VLOOKUP($G33,DanaSehat!$L$13:$AK$14,K$4,FALSE))=TRUE,"",
              VLOOKUP($G33,DanaSehat!$L$13:$AK$14,K$4,FALSE)))</t>
  </si>
  <si>
    <t>=IF(ISNUMBER($L$6)=FALSE,"",
        IF(ISERROR(VLOOKUP($G33,DanaSehat!$L$13:$AK$14,L$4,FALSE))=TRUE,"",
              VLOOKUP($G33,DanaSehat!$L$13:$AK$14,L$4,FALSE)))</t>
  </si>
  <si>
    <t>=IF(ISNUMBER($L$6)=FALSE,"",
        IF(ISERROR(VLOOKUP($G33,DanaSehat!$L$13:$AK$14,M$4,FALSE))=TRUE,"",
              VLOOKUP($G33,DanaSehat!$L$13:$AK$14,M$4,FALSE)))</t>
  </si>
  <si>
    <t>=IF(ISNUMBER($L$6)=FALSE,"",
        IF(ISERROR(VLOOKUP($G33,DanaSehat!$L$13:$AK$14,N$4,FALSE))=TRUE,"",
              VLOOKUP($G33,DanaSehat!$L$13:$AK$14,N$4,FALSE)))</t>
  </si>
  <si>
    <t>=IF(ISNUMBER($L$6)=FALSE,"",
        IF(ISERROR(VLOOKUP($G33,DanaSehat!$L$13:$AK$14,O$4,FALSE))=TRUE,"",
              VLOOKUP($G33,DanaSehat!$L$13:$AK$14,O$4,FALSE)))</t>
  </si>
  <si>
    <t>=IF(ISNUMBER($L$6)=FALSE,"",
        IF(ISERROR(VLOOKUP($G33,DanaSehat!$L$13:$AK$14,P$4,FALSE))=TRUE,"",
              VLOOKUP($G33,DanaSehat!$L$13:$AK$14,P$4,FALSE)))</t>
  </si>
  <si>
    <t>=IF(ISNUMBER($L$6)=FALSE,"",
        IF(ISERROR(VLOOKUP($G33,DanaSehat!$L$13:$AK$14,Q$4,FALSE))=TRUE,"",
              VLOOKUP($G33,DanaSehat!$L$13:$AK$14,Q$4,FALSE)))</t>
  </si>
  <si>
    <t>=IF(ISNUMBER($L$6)=FALSE,"",
        IF(ISERROR(VLOOKUP($G33,DanaSehat!$L$13:$AK$14,R$4,FALSE))=TRUE,"",
              VLOOKUP($G33,DanaSehat!$L$13:$AK$14,R$4,FALSE)))</t>
  </si>
  <si>
    <t>=IF(ISNUMBER($L$6)=FALSE,"",
        IF(ISERROR(VLOOKUP($G33,DanaSehat!$L$13:$AK$14,S$4,FALSE))=TRUE,"",
              VLOOKUP($G33,DanaSehat!$L$13:$AK$14,S$4,FALSE)))</t>
  </si>
  <si>
    <t>=IF(ISNUMBER($L$6)=FALSE,"",
        IF(ISERROR(VLOOKUP($G33,DanaSehat!$L$13:$AK$14,T$4,FALSE))=TRUE,"",
              VLOOKUP($G33,DanaSehat!$L$13:$AK$14,T$4,FALSE)))</t>
  </si>
  <si>
    <t>=IF(ISNUMBER($L$6)=FALSE,"",
        IF(ISERROR(VLOOKUP($G33,DanaSehat!$L$13:$AK$14,U$4,FALSE))=TRUE,"",
              VLOOKUP($G33,DanaSehat!$L$13:$AK$14,U$4,FALSE)))</t>
  </si>
  <si>
    <t>=IF(ISNUMBER($L$6)=FALSE,"",
        IF(ISERROR(VLOOKUP($G33,DanaSehat!$L$13:$AK$14,V$4,FALSE))=TRUE,"",
              VLOOKUP($G33,DanaSehat!$L$13:$AK$14,V$4,FALSE)))</t>
  </si>
  <si>
    <t>=IF(ISNUMBER($L$6)=FALSE,"",
        IF(ISERROR(VLOOKUP($G33,DanaSehat!$L$13:$AK$14,W$4,FALSE))=TRUE,"",
              VLOOKUP($G33,DanaSehat!$L$13:$AK$14,W$4,FALSE)))</t>
  </si>
  <si>
    <t>=IF(ISNUMBER($L$6)=FALSE,"",
        IF(ISERROR(VLOOKUP($G33,DanaSehat!$L$13:$AK$14,X$4,FALSE))=TRUE,"",
              VLOOKUP($G33,DanaSehat!$L$13:$AK$14,X$4,FALSE)))</t>
  </si>
  <si>
    <t>=IF(ISNUMBER($L$6)=FALSE,"",
        IF(ISERROR(VLOOKUP($G33,DanaSehat!$L$13:$AK$14,Y$4,FALSE))=TRUE,"",
              VLOOKUP($G33,DanaSehat!$L$13:$AK$14,Y$4,FALSE)))</t>
  </si>
  <si>
    <t>=IF(ISNUMBER($L$6)=FALSE,"",
        IF(ISERROR(VLOOKUP($G33,DanaSehat!$L$13:$AK$14,Z$4,FALSE))=TRUE,"",
              VLOOKUP($G33,DanaSehat!$L$13:$AK$14,Z$4,FALSE)))</t>
  </si>
  <si>
    <t>=IF(ISNUMBER($L$6)=FALSE,"",
        IF(ISERROR(VLOOKUP($G33,DanaSehat!$L$13:$AK$14,AA$4,FALSE))=TRUE,"",
              VLOOKUP($G33,DanaSehat!$L$13:$AK$14,AA$4,FALSE)))</t>
  </si>
  <si>
    <t>=IF(ISNUMBER($L$6)=FALSE,"",
        IF(ISERROR(VLOOKUP($G33,DanaSehat!$L$13:$AK$14,AB$4,FALSE))=TRUE,"",
              VLOOKUP($G33,DanaSehat!$L$13:$AK$14,AB$4,FALSE)))</t>
  </si>
  <si>
    <t>=IF(ISNUMBER($L$6)=FALSE,"",
        IF(ISERROR(VLOOKUP($G33,DanaSehat!$L$13:$AK$14,AC$4,FALSE))=TRUE,"",
              VLOOKUP($G33,DanaSehat!$L$13:$AK$14,AC$4,FALSE)))</t>
  </si>
  <si>
    <t>=IF(ISNUMBER($L$6)=FALSE,"",
        IF(ISERROR(VLOOKUP($G33,DanaSehat!$L$13:$AK$14,AD$4,FALSE))=TRUE,"",
              VLOOKUP($G33,DanaSehat!$L$13:$AK$14,AD$4,FALSE)))</t>
  </si>
  <si>
    <t>=IF(ISNUMBER($L$6)=FALSE,"",
        IF(ISERROR(VLOOKUP($G33,DanaSehat!$L$13:$AK$14,AE$4,FALSE))=TRUE,"",
              VLOOKUP($G33,DanaSehat!$L$13:$AK$14,AE$4,FALSE)))</t>
  </si>
  <si>
    <t>=IF(ISNUMBER($L$6)=FALSE,"",
        IF(ISERROR(VLOOKUP($G33,DanaSehat!$L$13:$AK$14,AF$4,FALSE))=TRUE,"",
              VLOOKUP($G33,DanaSehat!$L$13:$AK$14,AF$4,FALSE)))</t>
  </si>
  <si>
    <t>=IF($C33=$C$4,0,
       IF($C33=0,0,$C33+1))</t>
  </si>
  <si>
    <t>=IF(ISNUMBER($L$6)=FALSE,"",
IF($C34=0,"",$C34))</t>
  </si>
  <si>
    <t>=IF(ISNUMBER($L$6)=FALSE,"",
IF($C34=0,"",VLOOKUP($E34,DanaSehat!$H$13:$L$14,4,FALSE)))</t>
  </si>
  <si>
    <t>=IF(ISNUMBER($L$6)=FALSE,"",
IF($C34=0,"",VLOOKUP($E34,DanaSehat!$H$13:$L$14,5,FALSE)))</t>
  </si>
  <si>
    <t>=IF(ISNUMBER($L$6)=FALSE,"",
IF($C34=0,"",SUM(I34:AF34)))</t>
  </si>
  <si>
    <t>=IF(ISNUMBER($L$6)=FALSE,"",
        IF(ISERROR(VLOOKUP($G34,DanaSehat!$L$13:$AK$14,I$4,FALSE))=TRUE,"",
              VLOOKUP($G34,DanaSehat!$L$13:$AK$14,I$4,FALSE)))</t>
  </si>
  <si>
    <t>=IF(ISNUMBER($L$6)=FALSE,"",
        IF(ISERROR(VLOOKUP($G34,DanaSehat!$L$13:$AK$14,J$4,FALSE))=TRUE,"",
              VLOOKUP($G34,DanaSehat!$L$13:$AK$14,J$4,FALSE)))</t>
  </si>
  <si>
    <t>=IF(ISNUMBER($L$6)=FALSE,"",
        IF(ISERROR(VLOOKUP($G34,DanaSehat!$L$13:$AK$14,K$4,FALSE))=TRUE,"",
              VLOOKUP($G34,DanaSehat!$L$13:$AK$14,K$4,FALSE)))</t>
  </si>
  <si>
    <t>=IF(ISNUMBER($L$6)=FALSE,"",
        IF(ISERROR(VLOOKUP($G34,DanaSehat!$L$13:$AK$14,L$4,FALSE))=TRUE,"",
              VLOOKUP($G34,DanaSehat!$L$13:$AK$14,L$4,FALSE)))</t>
  </si>
  <si>
    <t>=IF(ISNUMBER($L$6)=FALSE,"",
        IF(ISERROR(VLOOKUP($G34,DanaSehat!$L$13:$AK$14,M$4,FALSE))=TRUE,"",
              VLOOKUP($G34,DanaSehat!$L$13:$AK$14,M$4,FALSE)))</t>
  </si>
  <si>
    <t>=IF(ISNUMBER($L$6)=FALSE,"",
        IF(ISERROR(VLOOKUP($G34,DanaSehat!$L$13:$AK$14,N$4,FALSE))=TRUE,"",
              VLOOKUP($G34,DanaSehat!$L$13:$AK$14,N$4,FALSE)))</t>
  </si>
  <si>
    <t>=IF(ISNUMBER($L$6)=FALSE,"",
        IF(ISERROR(VLOOKUP($G34,DanaSehat!$L$13:$AK$14,O$4,FALSE))=TRUE,"",
              VLOOKUP($G34,DanaSehat!$L$13:$AK$14,O$4,FALSE)))</t>
  </si>
  <si>
    <t>=IF(ISNUMBER($L$6)=FALSE,"",
        IF(ISERROR(VLOOKUP($G34,DanaSehat!$L$13:$AK$14,P$4,FALSE))=TRUE,"",
              VLOOKUP($G34,DanaSehat!$L$13:$AK$14,P$4,FALSE)))</t>
  </si>
  <si>
    <t>=IF(ISNUMBER($L$6)=FALSE,"",
        IF(ISERROR(VLOOKUP($G34,DanaSehat!$L$13:$AK$14,Q$4,FALSE))=TRUE,"",
              VLOOKUP($G34,DanaSehat!$L$13:$AK$14,Q$4,FALSE)))</t>
  </si>
  <si>
    <t>=IF(ISNUMBER($L$6)=FALSE,"",
        IF(ISERROR(VLOOKUP($G34,DanaSehat!$L$13:$AK$14,R$4,FALSE))=TRUE,"",
              VLOOKUP($G34,DanaSehat!$L$13:$AK$14,R$4,FALSE)))</t>
  </si>
  <si>
    <t>=IF(ISNUMBER($L$6)=FALSE,"",
        IF(ISERROR(VLOOKUP($G34,DanaSehat!$L$13:$AK$14,S$4,FALSE))=TRUE,"",
              VLOOKUP($G34,DanaSehat!$L$13:$AK$14,S$4,FALSE)))</t>
  </si>
  <si>
    <t>=IF(ISNUMBER($L$6)=FALSE,"",
        IF(ISERROR(VLOOKUP($G34,DanaSehat!$L$13:$AK$14,T$4,FALSE))=TRUE,"",
              VLOOKUP($G34,DanaSehat!$L$13:$AK$14,T$4,FALSE)))</t>
  </si>
  <si>
    <t>=IF(ISNUMBER($L$6)=FALSE,"",
        IF(ISERROR(VLOOKUP($G34,DanaSehat!$L$13:$AK$14,U$4,FALSE))=TRUE,"",
              VLOOKUP($G34,DanaSehat!$L$13:$AK$14,U$4,FALSE)))</t>
  </si>
  <si>
    <t>=IF(ISNUMBER($L$6)=FALSE,"",
        IF(ISERROR(VLOOKUP($G34,DanaSehat!$L$13:$AK$14,V$4,FALSE))=TRUE,"",
              VLOOKUP($G34,DanaSehat!$L$13:$AK$14,V$4,FALSE)))</t>
  </si>
  <si>
    <t>=IF(ISNUMBER($L$6)=FALSE,"",
        IF(ISERROR(VLOOKUP($G34,DanaSehat!$L$13:$AK$14,W$4,FALSE))=TRUE,"",
              VLOOKUP($G34,DanaSehat!$L$13:$AK$14,W$4,FALSE)))</t>
  </si>
  <si>
    <t>=IF(ISNUMBER($L$6)=FALSE,"",
        IF(ISERROR(VLOOKUP($G34,DanaSehat!$L$13:$AK$14,X$4,FALSE))=TRUE,"",
              VLOOKUP($G34,DanaSehat!$L$13:$AK$14,X$4,FALSE)))</t>
  </si>
  <si>
    <t>=IF(ISNUMBER($L$6)=FALSE,"",
        IF(ISERROR(VLOOKUP($G34,DanaSehat!$L$13:$AK$14,Y$4,FALSE))=TRUE,"",
              VLOOKUP($G34,DanaSehat!$L$13:$AK$14,Y$4,FALSE)))</t>
  </si>
  <si>
    <t>=IF(ISNUMBER($L$6)=FALSE,"",
        IF(ISERROR(VLOOKUP($G34,DanaSehat!$L$13:$AK$14,Z$4,FALSE))=TRUE,"",
              VLOOKUP($G34,DanaSehat!$L$13:$AK$14,Z$4,FALSE)))</t>
  </si>
  <si>
    <t>=IF(ISNUMBER($L$6)=FALSE,"",
        IF(ISERROR(VLOOKUP($G34,DanaSehat!$L$13:$AK$14,AA$4,FALSE))=TRUE,"",
              VLOOKUP($G34,DanaSehat!$L$13:$AK$14,AA$4,FALSE)))</t>
  </si>
  <si>
    <t>=IF(ISNUMBER($L$6)=FALSE,"",
        IF(ISERROR(VLOOKUP($G34,DanaSehat!$L$13:$AK$14,AB$4,FALSE))=TRUE,"",
              VLOOKUP($G34,DanaSehat!$L$13:$AK$14,AB$4,FALSE)))</t>
  </si>
  <si>
    <t>=IF(ISNUMBER($L$6)=FALSE,"",
        IF(ISERROR(VLOOKUP($G34,DanaSehat!$L$13:$AK$14,AC$4,FALSE))=TRUE,"",
              VLOOKUP($G34,DanaSehat!$L$13:$AK$14,AC$4,FALSE)))</t>
  </si>
  <si>
    <t>=IF(ISNUMBER($L$6)=FALSE,"",
        IF(ISERROR(VLOOKUP($G34,DanaSehat!$L$13:$AK$14,AD$4,FALSE))=TRUE,"",
              VLOOKUP($G34,DanaSehat!$L$13:$AK$14,AD$4,FALSE)))</t>
  </si>
  <si>
    <t>=IF(ISNUMBER($L$6)=FALSE,"",
        IF(ISERROR(VLOOKUP($G34,DanaSehat!$L$13:$AK$14,AE$4,FALSE))=TRUE,"",
              VLOOKUP($G34,DanaSehat!$L$13:$AK$14,AE$4,FALSE)))</t>
  </si>
  <si>
    <t>=IF(ISNUMBER($L$6)=FALSE,"",
        IF(ISERROR(VLOOKUP($G34,DanaSehat!$L$13:$AK$14,AF$4,FALSE))=TRUE,"",
              VLOOKUP($G34,DanaSehat!$L$13:$AK$14,AF$4,FALSE)))</t>
  </si>
  <si>
    <t>=IF($C34=$C$4,0,
       IF($C34=0,0,$C34+1))</t>
  </si>
  <si>
    <t>=IF(ISNUMBER($L$6)=FALSE,"",
IF($C35=0,"",$C35))</t>
  </si>
  <si>
    <t>=IF(ISNUMBER($L$6)=FALSE,"",
IF($C35=0,"",VLOOKUP($E35,DanaSehat!$H$13:$L$14,4,FALSE)))</t>
  </si>
  <si>
    <t>=IF(ISNUMBER($L$6)=FALSE,"",
IF($C35=0,"",VLOOKUP($E35,DanaSehat!$H$13:$L$14,5,FALSE)))</t>
  </si>
  <si>
    <t>=IF(ISNUMBER($L$6)=FALSE,"",
IF($C35=0,"",SUM(I35:AF35)))</t>
  </si>
  <si>
    <t>=IF(ISNUMBER($L$6)=FALSE,"",
        IF(ISERROR(VLOOKUP($G35,DanaSehat!$L$13:$AK$14,I$4,FALSE))=TRUE,"",
              VLOOKUP($G35,DanaSehat!$L$13:$AK$14,I$4,FALSE)))</t>
  </si>
  <si>
    <t>=IF(ISNUMBER($L$6)=FALSE,"",
        IF(ISERROR(VLOOKUP($G35,DanaSehat!$L$13:$AK$14,J$4,FALSE))=TRUE,"",
              VLOOKUP($G35,DanaSehat!$L$13:$AK$14,J$4,FALSE)))</t>
  </si>
  <si>
    <t>=IF(ISNUMBER($L$6)=FALSE,"",
        IF(ISERROR(VLOOKUP($G35,DanaSehat!$L$13:$AK$14,K$4,FALSE))=TRUE,"",
              VLOOKUP($G35,DanaSehat!$L$13:$AK$14,K$4,FALSE)))</t>
  </si>
  <si>
    <t>=IF(ISNUMBER($L$6)=FALSE,"",
        IF(ISERROR(VLOOKUP($G35,DanaSehat!$L$13:$AK$14,L$4,FALSE))=TRUE,"",
              VLOOKUP($G35,DanaSehat!$L$13:$AK$14,L$4,FALSE)))</t>
  </si>
  <si>
    <t>=IF(ISNUMBER($L$6)=FALSE,"",
        IF(ISERROR(VLOOKUP($G35,DanaSehat!$L$13:$AK$14,M$4,FALSE))=TRUE,"",
              VLOOKUP($G35,DanaSehat!$L$13:$AK$14,M$4,FALSE)))</t>
  </si>
  <si>
    <t>=IF(ISNUMBER($L$6)=FALSE,"",
        IF(ISERROR(VLOOKUP($G35,DanaSehat!$L$13:$AK$14,N$4,FALSE))=TRUE,"",
              VLOOKUP($G35,DanaSehat!$L$13:$AK$14,N$4,FALSE)))</t>
  </si>
  <si>
    <t>=IF(ISNUMBER($L$6)=FALSE,"",
        IF(ISERROR(VLOOKUP($G35,DanaSehat!$L$13:$AK$14,O$4,FALSE))=TRUE,"",
              VLOOKUP($G35,DanaSehat!$L$13:$AK$14,O$4,FALSE)))</t>
  </si>
  <si>
    <t>=IF(ISNUMBER($L$6)=FALSE,"",
        IF(ISERROR(VLOOKUP($G35,DanaSehat!$L$13:$AK$14,P$4,FALSE))=TRUE,"",
              VLOOKUP($G35,DanaSehat!$L$13:$AK$14,P$4,FALSE)))</t>
  </si>
  <si>
    <t>=IF(ISNUMBER($L$6)=FALSE,"",
        IF(ISERROR(VLOOKUP($G35,DanaSehat!$L$13:$AK$14,Q$4,FALSE))=TRUE,"",
              VLOOKUP($G35,DanaSehat!$L$13:$AK$14,Q$4,FALSE)))</t>
  </si>
  <si>
    <t>=IF(ISNUMBER($L$6)=FALSE,"",
        IF(ISERROR(VLOOKUP($G35,DanaSehat!$L$13:$AK$14,R$4,FALSE))=TRUE,"",
              VLOOKUP($G35,DanaSehat!$L$13:$AK$14,R$4,FALSE)))</t>
  </si>
  <si>
    <t>=IF(ISNUMBER($L$6)=FALSE,"",
        IF(ISERROR(VLOOKUP($G35,DanaSehat!$L$13:$AK$14,S$4,FALSE))=TRUE,"",
              VLOOKUP($G35,DanaSehat!$L$13:$AK$14,S$4,FALSE)))</t>
  </si>
  <si>
    <t>=IF(ISNUMBER($L$6)=FALSE,"",
        IF(ISERROR(VLOOKUP($G35,DanaSehat!$L$13:$AK$14,T$4,FALSE))=TRUE,"",
              VLOOKUP($G35,DanaSehat!$L$13:$AK$14,T$4,FALSE)))</t>
  </si>
  <si>
    <t>=IF(ISNUMBER($L$6)=FALSE,"",
        IF(ISERROR(VLOOKUP($G35,DanaSehat!$L$13:$AK$14,U$4,FALSE))=TRUE,"",
              VLOOKUP($G35,DanaSehat!$L$13:$AK$14,U$4,FALSE)))</t>
  </si>
  <si>
    <t>=IF(ISNUMBER($L$6)=FALSE,"",
        IF(ISERROR(VLOOKUP($G35,DanaSehat!$L$13:$AK$14,V$4,FALSE))=TRUE,"",
              VLOOKUP($G35,DanaSehat!$L$13:$AK$14,V$4,FALSE)))</t>
  </si>
  <si>
    <t>=IF(ISNUMBER($L$6)=FALSE,"",
        IF(ISERROR(VLOOKUP($G35,DanaSehat!$L$13:$AK$14,W$4,FALSE))=TRUE,"",
              VLOOKUP($G35,DanaSehat!$L$13:$AK$14,W$4,FALSE)))</t>
  </si>
  <si>
    <t>=IF(ISNUMBER($L$6)=FALSE,"",
        IF(ISERROR(VLOOKUP($G35,DanaSehat!$L$13:$AK$14,X$4,FALSE))=TRUE,"",
              VLOOKUP($G35,DanaSehat!$L$13:$AK$14,X$4,FALSE)))</t>
  </si>
  <si>
    <t>=IF(ISNUMBER($L$6)=FALSE,"",
        IF(ISERROR(VLOOKUP($G35,DanaSehat!$L$13:$AK$14,Y$4,FALSE))=TRUE,"",
              VLOOKUP($G35,DanaSehat!$L$13:$AK$14,Y$4,FALSE)))</t>
  </si>
  <si>
    <t>=IF(ISNUMBER($L$6)=FALSE,"",
        IF(ISERROR(VLOOKUP($G35,DanaSehat!$L$13:$AK$14,Z$4,FALSE))=TRUE,"",
              VLOOKUP($G35,DanaSehat!$L$13:$AK$14,Z$4,FALSE)))</t>
  </si>
  <si>
    <t>=IF(ISNUMBER($L$6)=FALSE,"",
        IF(ISERROR(VLOOKUP($G35,DanaSehat!$L$13:$AK$14,AA$4,FALSE))=TRUE,"",
              VLOOKUP($G35,DanaSehat!$L$13:$AK$14,AA$4,FALSE)))</t>
  </si>
  <si>
    <t>=IF(ISNUMBER($L$6)=FALSE,"",
        IF(ISERROR(VLOOKUP($G35,DanaSehat!$L$13:$AK$14,AB$4,FALSE))=TRUE,"",
              VLOOKUP($G35,DanaSehat!$L$13:$AK$14,AB$4,FALSE)))</t>
  </si>
  <si>
    <t>=IF(ISNUMBER($L$6)=FALSE,"",
        IF(ISERROR(VLOOKUP($G35,DanaSehat!$L$13:$AK$14,AC$4,FALSE))=TRUE,"",
              VLOOKUP($G35,DanaSehat!$L$13:$AK$14,AC$4,FALSE)))</t>
  </si>
  <si>
    <t>=IF(ISNUMBER($L$6)=FALSE,"",
        IF(ISERROR(VLOOKUP($G35,DanaSehat!$L$13:$AK$14,AD$4,FALSE))=TRUE,"",
              VLOOKUP($G35,DanaSehat!$L$13:$AK$14,AD$4,FALSE)))</t>
  </si>
  <si>
    <t>=IF(ISNUMBER($L$6)=FALSE,"",
        IF(ISERROR(VLOOKUP($G35,DanaSehat!$L$13:$AK$14,AE$4,FALSE))=TRUE,"",
              VLOOKUP($G35,DanaSehat!$L$13:$AK$14,AE$4,FALSE)))</t>
  </si>
  <si>
    <t>=IF(ISNUMBER($L$6)=FALSE,"",
        IF(ISERROR(VLOOKUP($G35,DanaSehat!$L$13:$AK$14,AF$4,FALSE))=TRUE,"",
              VLOOKUP($G35,DanaSehat!$L$13:$AK$14,AF$4,FALSE)))</t>
  </si>
  <si>
    <t>=IF($C35=$C$4,0,
       IF($C35=0,0,$C35+1))</t>
  </si>
  <si>
    <t>=IF(ISNUMBER($L$6)=FALSE,"",
IF($C36=0,"",$C36))</t>
  </si>
  <si>
    <t>=IF(ISNUMBER($L$6)=FALSE,"",
IF($C36=0,"",VLOOKUP($E36,DanaSehat!$H$13:$L$14,4,FALSE)))</t>
  </si>
  <si>
    <t>=IF(ISNUMBER($L$6)=FALSE,"",
IF($C36=0,"",VLOOKUP($E36,DanaSehat!$H$13:$L$14,5,FALSE)))</t>
  </si>
  <si>
    <t>=IF(ISNUMBER($L$6)=FALSE,"",
IF($C36=0,"",SUM(I36:AF36)))</t>
  </si>
  <si>
    <t>=IF(ISNUMBER($L$6)=FALSE,"",
        IF(ISERROR(VLOOKUP($G36,DanaSehat!$L$13:$AK$14,I$4,FALSE))=TRUE,"",
              VLOOKUP($G36,DanaSehat!$L$13:$AK$14,I$4,FALSE)))</t>
  </si>
  <si>
    <t>=IF(ISNUMBER($L$6)=FALSE,"",
        IF(ISERROR(VLOOKUP($G36,DanaSehat!$L$13:$AK$14,J$4,FALSE))=TRUE,"",
              VLOOKUP($G36,DanaSehat!$L$13:$AK$14,J$4,FALSE)))</t>
  </si>
  <si>
    <t>=IF(ISNUMBER($L$6)=FALSE,"",
        IF(ISERROR(VLOOKUP($G36,DanaSehat!$L$13:$AK$14,K$4,FALSE))=TRUE,"",
              VLOOKUP($G36,DanaSehat!$L$13:$AK$14,K$4,FALSE)))</t>
  </si>
  <si>
    <t>=IF(ISNUMBER($L$6)=FALSE,"",
        IF(ISERROR(VLOOKUP($G36,DanaSehat!$L$13:$AK$14,L$4,FALSE))=TRUE,"",
              VLOOKUP($G36,DanaSehat!$L$13:$AK$14,L$4,FALSE)))</t>
  </si>
  <si>
    <t>=IF(ISNUMBER($L$6)=FALSE,"",
        IF(ISERROR(VLOOKUP($G36,DanaSehat!$L$13:$AK$14,M$4,FALSE))=TRUE,"",
              VLOOKUP($G36,DanaSehat!$L$13:$AK$14,M$4,FALSE)))</t>
  </si>
  <si>
    <t>=IF(ISNUMBER($L$6)=FALSE,"",
        IF(ISERROR(VLOOKUP($G36,DanaSehat!$L$13:$AK$14,N$4,FALSE))=TRUE,"",
              VLOOKUP($G36,DanaSehat!$L$13:$AK$14,N$4,FALSE)))</t>
  </si>
  <si>
    <t>=IF(ISNUMBER($L$6)=FALSE,"",
        IF(ISERROR(VLOOKUP($G36,DanaSehat!$L$13:$AK$14,O$4,FALSE))=TRUE,"",
              VLOOKUP($G36,DanaSehat!$L$13:$AK$14,O$4,FALSE)))</t>
  </si>
  <si>
    <t>=IF(ISNUMBER($L$6)=FALSE,"",
        IF(ISERROR(VLOOKUP($G36,DanaSehat!$L$13:$AK$14,P$4,FALSE))=TRUE,"",
              VLOOKUP($G36,DanaSehat!$L$13:$AK$14,P$4,FALSE)))</t>
  </si>
  <si>
    <t>=IF(ISNUMBER($L$6)=FALSE,"",
        IF(ISERROR(VLOOKUP($G36,DanaSehat!$L$13:$AK$14,Q$4,FALSE))=TRUE,"",
              VLOOKUP($G36,DanaSehat!$L$13:$AK$14,Q$4,FALSE)))</t>
  </si>
  <si>
    <t>=IF(ISNUMBER($L$6)=FALSE,"",
        IF(ISERROR(VLOOKUP($G36,DanaSehat!$L$13:$AK$14,R$4,FALSE))=TRUE,"",
              VLOOKUP($G36,DanaSehat!$L$13:$AK$14,R$4,FALSE)))</t>
  </si>
  <si>
    <t>=IF(ISNUMBER($L$6)=FALSE,"",
        IF(ISERROR(VLOOKUP($G36,DanaSehat!$L$13:$AK$14,S$4,FALSE))=TRUE,"",
              VLOOKUP($G36,DanaSehat!$L$13:$AK$14,S$4,FALSE)))</t>
  </si>
  <si>
    <t>=IF(ISNUMBER($L$6)=FALSE,"",
        IF(ISERROR(VLOOKUP($G36,DanaSehat!$L$13:$AK$14,T$4,FALSE))=TRUE,"",
              VLOOKUP($G36,DanaSehat!$L$13:$AK$14,T$4,FALSE)))</t>
  </si>
  <si>
    <t>=IF(ISNUMBER($L$6)=FALSE,"",
        IF(ISERROR(VLOOKUP($G36,DanaSehat!$L$13:$AK$14,U$4,FALSE))=TRUE,"",
              VLOOKUP($G36,DanaSehat!$L$13:$AK$14,U$4,FALSE)))</t>
  </si>
  <si>
    <t>=IF(ISNUMBER($L$6)=FALSE,"",
        IF(ISERROR(VLOOKUP($G36,DanaSehat!$L$13:$AK$14,V$4,FALSE))=TRUE,"",
              VLOOKUP($G36,DanaSehat!$L$13:$AK$14,V$4,FALSE)))</t>
  </si>
  <si>
    <t>=IF(ISNUMBER($L$6)=FALSE,"",
        IF(ISERROR(VLOOKUP($G36,DanaSehat!$L$13:$AK$14,W$4,FALSE))=TRUE,"",
              VLOOKUP($G36,DanaSehat!$L$13:$AK$14,W$4,FALSE)))</t>
  </si>
  <si>
    <t>=IF(ISNUMBER($L$6)=FALSE,"",
        IF(ISERROR(VLOOKUP($G36,DanaSehat!$L$13:$AK$14,X$4,FALSE))=TRUE,"",
              VLOOKUP($G36,DanaSehat!$L$13:$AK$14,X$4,FALSE)))</t>
  </si>
  <si>
    <t>=IF(ISNUMBER($L$6)=FALSE,"",
        IF(ISERROR(VLOOKUP($G36,DanaSehat!$L$13:$AK$14,Y$4,FALSE))=TRUE,"",
              VLOOKUP($G36,DanaSehat!$L$13:$AK$14,Y$4,FALSE)))</t>
  </si>
  <si>
    <t>=IF(ISNUMBER($L$6)=FALSE,"",
        IF(ISERROR(VLOOKUP($G36,DanaSehat!$L$13:$AK$14,Z$4,FALSE))=TRUE,"",
              VLOOKUP($G36,DanaSehat!$L$13:$AK$14,Z$4,FALSE)))</t>
  </si>
  <si>
    <t>=IF(ISNUMBER($L$6)=FALSE,"",
        IF(ISERROR(VLOOKUP($G36,DanaSehat!$L$13:$AK$14,AA$4,FALSE))=TRUE,"",
              VLOOKUP($G36,DanaSehat!$L$13:$AK$14,AA$4,FALSE)))</t>
  </si>
  <si>
    <t>=IF(ISNUMBER($L$6)=FALSE,"",
        IF(ISERROR(VLOOKUP($G36,DanaSehat!$L$13:$AK$14,AB$4,FALSE))=TRUE,"",
              VLOOKUP($G36,DanaSehat!$L$13:$AK$14,AB$4,FALSE)))</t>
  </si>
  <si>
    <t>=IF(ISNUMBER($L$6)=FALSE,"",
        IF(ISERROR(VLOOKUP($G36,DanaSehat!$L$13:$AK$14,AC$4,FALSE))=TRUE,"",
              VLOOKUP($G36,DanaSehat!$L$13:$AK$14,AC$4,FALSE)))</t>
  </si>
  <si>
    <t>=IF(ISNUMBER($L$6)=FALSE,"",
        IF(ISERROR(VLOOKUP($G36,DanaSehat!$L$13:$AK$14,AD$4,FALSE))=TRUE,"",
              VLOOKUP($G36,DanaSehat!$L$13:$AK$14,AD$4,FALSE)))</t>
  </si>
  <si>
    <t>=IF(ISNUMBER($L$6)=FALSE,"",
        IF(ISERROR(VLOOKUP($G36,DanaSehat!$L$13:$AK$14,AE$4,FALSE))=TRUE,"",
              VLOOKUP($G36,DanaSehat!$L$13:$AK$14,AE$4,FALSE)))</t>
  </si>
  <si>
    <t>=IF(ISNUMBER($L$6)=FALSE,"",
        IF(ISERROR(VLOOKUP($G36,DanaSehat!$L$13:$AK$14,AF$4,FALSE))=TRUE,"",
              VLOOKUP($G36,DanaSehat!$L$13:$AK$14,AF$4,FALSE)))</t>
  </si>
  <si>
    <t>=IF($C36=$C$4,0,
       IF($C36=0,0,$C36+1))</t>
  </si>
  <si>
    <t>=IF(ISNUMBER($L$6)=FALSE,"",
IF($C37=0,"",$C37))</t>
  </si>
  <si>
    <t>=IF(ISNUMBER($L$6)=FALSE,"",
IF($C37=0,"",VLOOKUP($E37,DanaSehat!$H$13:$L$14,4,FALSE)))</t>
  </si>
  <si>
    <t>=IF(ISNUMBER($L$6)=FALSE,"",
IF($C37=0,"",VLOOKUP($E37,DanaSehat!$H$13:$L$14,5,FALSE)))</t>
  </si>
  <si>
    <t>=IF(ISNUMBER($L$6)=FALSE,"",
IF($C37=0,"",SUM(I37:AF37)))</t>
  </si>
  <si>
    <t>=IF(ISNUMBER($L$6)=FALSE,"",
        IF(ISERROR(VLOOKUP($G37,DanaSehat!$L$13:$AK$14,I$4,FALSE))=TRUE,"",
              VLOOKUP($G37,DanaSehat!$L$13:$AK$14,I$4,FALSE)))</t>
  </si>
  <si>
    <t>=IF(ISNUMBER($L$6)=FALSE,"",
        IF(ISERROR(VLOOKUP($G37,DanaSehat!$L$13:$AK$14,J$4,FALSE))=TRUE,"",
              VLOOKUP($G37,DanaSehat!$L$13:$AK$14,J$4,FALSE)))</t>
  </si>
  <si>
    <t>=IF(ISNUMBER($L$6)=FALSE,"",
        IF(ISERROR(VLOOKUP($G37,DanaSehat!$L$13:$AK$14,K$4,FALSE))=TRUE,"",
              VLOOKUP($G37,DanaSehat!$L$13:$AK$14,K$4,FALSE)))</t>
  </si>
  <si>
    <t>=IF(ISNUMBER($L$6)=FALSE,"",
        IF(ISERROR(VLOOKUP($G37,DanaSehat!$L$13:$AK$14,L$4,FALSE))=TRUE,"",
              VLOOKUP($G37,DanaSehat!$L$13:$AK$14,L$4,FALSE)))</t>
  </si>
  <si>
    <t>=IF(ISNUMBER($L$6)=FALSE,"",
        IF(ISERROR(VLOOKUP($G37,DanaSehat!$L$13:$AK$14,M$4,FALSE))=TRUE,"",
              VLOOKUP($G37,DanaSehat!$L$13:$AK$14,M$4,FALSE)))</t>
  </si>
  <si>
    <t>=IF(ISNUMBER($L$6)=FALSE,"",
        IF(ISERROR(VLOOKUP($G37,DanaSehat!$L$13:$AK$14,N$4,FALSE))=TRUE,"",
              VLOOKUP($G37,DanaSehat!$L$13:$AK$14,N$4,FALSE)))</t>
  </si>
  <si>
    <t>=IF(ISNUMBER($L$6)=FALSE,"",
        IF(ISERROR(VLOOKUP($G37,DanaSehat!$L$13:$AK$14,O$4,FALSE))=TRUE,"",
              VLOOKUP($G37,DanaSehat!$L$13:$AK$14,O$4,FALSE)))</t>
  </si>
  <si>
    <t>=IF(ISNUMBER($L$6)=FALSE,"",
        IF(ISERROR(VLOOKUP($G37,DanaSehat!$L$13:$AK$14,P$4,FALSE))=TRUE,"",
              VLOOKUP($G37,DanaSehat!$L$13:$AK$14,P$4,FALSE)))</t>
  </si>
  <si>
    <t>=IF(ISNUMBER($L$6)=FALSE,"",
        IF(ISERROR(VLOOKUP($G37,DanaSehat!$L$13:$AK$14,Q$4,FALSE))=TRUE,"",
              VLOOKUP($G37,DanaSehat!$L$13:$AK$14,Q$4,FALSE)))</t>
  </si>
  <si>
    <t>=IF(ISNUMBER($L$6)=FALSE,"",
        IF(ISERROR(VLOOKUP($G37,DanaSehat!$L$13:$AK$14,R$4,FALSE))=TRUE,"",
              VLOOKUP($G37,DanaSehat!$L$13:$AK$14,R$4,FALSE)))</t>
  </si>
  <si>
    <t>=IF(ISNUMBER($L$6)=FALSE,"",
        IF(ISERROR(VLOOKUP($G37,DanaSehat!$L$13:$AK$14,S$4,FALSE))=TRUE,"",
              VLOOKUP($G37,DanaSehat!$L$13:$AK$14,S$4,FALSE)))</t>
  </si>
  <si>
    <t>=IF(ISNUMBER($L$6)=FALSE,"",
        IF(ISERROR(VLOOKUP($G37,DanaSehat!$L$13:$AK$14,T$4,FALSE))=TRUE,"",
              VLOOKUP($G37,DanaSehat!$L$13:$AK$14,T$4,FALSE)))</t>
  </si>
  <si>
    <t>=IF(ISNUMBER($L$6)=FALSE,"",
        IF(ISERROR(VLOOKUP($G37,DanaSehat!$L$13:$AK$14,U$4,FALSE))=TRUE,"",
              VLOOKUP($G37,DanaSehat!$L$13:$AK$14,U$4,FALSE)))</t>
  </si>
  <si>
    <t>=IF(ISNUMBER($L$6)=FALSE,"",
        IF(ISERROR(VLOOKUP($G37,DanaSehat!$L$13:$AK$14,V$4,FALSE))=TRUE,"",
              VLOOKUP($G37,DanaSehat!$L$13:$AK$14,V$4,FALSE)))</t>
  </si>
  <si>
    <t>=IF(ISNUMBER($L$6)=FALSE,"",
        IF(ISERROR(VLOOKUP($G37,DanaSehat!$L$13:$AK$14,W$4,FALSE))=TRUE,"",
              VLOOKUP($G37,DanaSehat!$L$13:$AK$14,W$4,FALSE)))</t>
  </si>
  <si>
    <t>=IF(ISNUMBER($L$6)=FALSE,"",
        IF(ISERROR(VLOOKUP($G37,DanaSehat!$L$13:$AK$14,X$4,FALSE))=TRUE,"",
              VLOOKUP($G37,DanaSehat!$L$13:$AK$14,X$4,FALSE)))</t>
  </si>
  <si>
    <t>=IF(ISNUMBER($L$6)=FALSE,"",
        IF(ISERROR(VLOOKUP($G37,DanaSehat!$L$13:$AK$14,Y$4,FALSE))=TRUE,"",
              VLOOKUP($G37,DanaSehat!$L$13:$AK$14,Y$4,FALSE)))</t>
  </si>
  <si>
    <t>=IF(ISNUMBER($L$6)=FALSE,"",
        IF(ISERROR(VLOOKUP($G37,DanaSehat!$L$13:$AK$14,Z$4,FALSE))=TRUE,"",
              VLOOKUP($G37,DanaSehat!$L$13:$AK$14,Z$4,FALSE)))</t>
  </si>
  <si>
    <t>=IF(ISNUMBER($L$6)=FALSE,"",
        IF(ISERROR(VLOOKUP($G37,DanaSehat!$L$13:$AK$14,AA$4,FALSE))=TRUE,"",
              VLOOKUP($G37,DanaSehat!$L$13:$AK$14,AA$4,FALSE)))</t>
  </si>
  <si>
    <t>=IF(ISNUMBER($L$6)=FALSE,"",
        IF(ISERROR(VLOOKUP($G37,DanaSehat!$L$13:$AK$14,AB$4,FALSE))=TRUE,"",
              VLOOKUP($G37,DanaSehat!$L$13:$AK$14,AB$4,FALSE)))</t>
  </si>
  <si>
    <t>=IF(ISNUMBER($L$6)=FALSE,"",
        IF(ISERROR(VLOOKUP($G37,DanaSehat!$L$13:$AK$14,AC$4,FALSE))=TRUE,"",
              VLOOKUP($G37,DanaSehat!$L$13:$AK$14,AC$4,FALSE)))</t>
  </si>
  <si>
    <t>=IF(ISNUMBER($L$6)=FALSE,"",
        IF(ISERROR(VLOOKUP($G37,DanaSehat!$L$13:$AK$14,AD$4,FALSE))=TRUE,"",
              VLOOKUP($G37,DanaSehat!$L$13:$AK$14,AD$4,FALSE)))</t>
  </si>
  <si>
    <t>=IF(ISNUMBER($L$6)=FALSE,"",
        IF(ISERROR(VLOOKUP($G37,DanaSehat!$L$13:$AK$14,AE$4,FALSE))=TRUE,"",
              VLOOKUP($G37,DanaSehat!$L$13:$AK$14,AE$4,FALSE)))</t>
  </si>
  <si>
    <t>=IF(ISNUMBER($L$6)=FALSE,"",
        IF(ISERROR(VLOOKUP($G37,DanaSehat!$L$13:$AK$14,AF$4,FALSE))=TRUE,"",
              VLOOKUP($G37,DanaSehat!$L$13:$AK$14,AF$4,FALSE)))</t>
  </si>
  <si>
    <t>=IF($C37=$C$4,0,
       IF($C37=0,0,$C37+1))</t>
  </si>
  <si>
    <t>=IF(ISNUMBER($L$6)=FALSE,"",
IF($C38=0,"",$C38))</t>
  </si>
  <si>
    <t>=IF(ISNUMBER($L$6)=FALSE,"",
IF($C38=0,"",VLOOKUP($E38,DanaSehat!$H$13:$L$14,4,FALSE)))</t>
  </si>
  <si>
    <t>=IF(ISNUMBER($L$6)=FALSE,"",
IF($C38=0,"",VLOOKUP($E38,DanaSehat!$H$13:$L$14,5,FALSE)))</t>
  </si>
  <si>
    <t>=IF(ISNUMBER($L$6)=FALSE,"",
IF($C38=0,"",SUM(I38:AF38)))</t>
  </si>
  <si>
    <t>=IF(ISNUMBER($L$6)=FALSE,"",
        IF(ISERROR(VLOOKUP($G38,DanaSehat!$L$13:$AK$14,I$4,FALSE))=TRUE,"",
              VLOOKUP($G38,DanaSehat!$L$13:$AK$14,I$4,FALSE)))</t>
  </si>
  <si>
    <t>=IF(ISNUMBER($L$6)=FALSE,"",
        IF(ISERROR(VLOOKUP($G38,DanaSehat!$L$13:$AK$14,J$4,FALSE))=TRUE,"",
              VLOOKUP($G38,DanaSehat!$L$13:$AK$14,J$4,FALSE)))</t>
  </si>
  <si>
    <t>=IF(ISNUMBER($L$6)=FALSE,"",
        IF(ISERROR(VLOOKUP($G38,DanaSehat!$L$13:$AK$14,K$4,FALSE))=TRUE,"",
              VLOOKUP($G38,DanaSehat!$L$13:$AK$14,K$4,FALSE)))</t>
  </si>
  <si>
    <t>=IF(ISNUMBER($L$6)=FALSE,"",
        IF(ISERROR(VLOOKUP($G38,DanaSehat!$L$13:$AK$14,L$4,FALSE))=TRUE,"",
              VLOOKUP($G38,DanaSehat!$L$13:$AK$14,L$4,FALSE)))</t>
  </si>
  <si>
    <t>=IF(ISNUMBER($L$6)=FALSE,"",
        IF(ISERROR(VLOOKUP($G38,DanaSehat!$L$13:$AK$14,M$4,FALSE))=TRUE,"",
              VLOOKUP($G38,DanaSehat!$L$13:$AK$14,M$4,FALSE)))</t>
  </si>
  <si>
    <t>=IF(ISNUMBER($L$6)=FALSE,"",
        IF(ISERROR(VLOOKUP($G38,DanaSehat!$L$13:$AK$14,N$4,FALSE))=TRUE,"",
              VLOOKUP($G38,DanaSehat!$L$13:$AK$14,N$4,FALSE)))</t>
  </si>
  <si>
    <t>=IF(ISNUMBER($L$6)=FALSE,"",
        IF(ISERROR(VLOOKUP($G38,DanaSehat!$L$13:$AK$14,O$4,FALSE))=TRUE,"",
              VLOOKUP($G38,DanaSehat!$L$13:$AK$14,O$4,FALSE)))</t>
  </si>
  <si>
    <t>=IF(ISNUMBER($L$6)=FALSE,"",
        IF(ISERROR(VLOOKUP($G38,DanaSehat!$L$13:$AK$14,P$4,FALSE))=TRUE,"",
              VLOOKUP($G38,DanaSehat!$L$13:$AK$14,P$4,FALSE)))</t>
  </si>
  <si>
    <t>=IF(ISNUMBER($L$6)=FALSE,"",
        IF(ISERROR(VLOOKUP($G38,DanaSehat!$L$13:$AK$14,Q$4,FALSE))=TRUE,"",
              VLOOKUP($G38,DanaSehat!$L$13:$AK$14,Q$4,FALSE)))</t>
  </si>
  <si>
    <t>=IF(ISNUMBER($L$6)=FALSE,"",
        IF(ISERROR(VLOOKUP($G38,DanaSehat!$L$13:$AK$14,R$4,FALSE))=TRUE,"",
              VLOOKUP($G38,DanaSehat!$L$13:$AK$14,R$4,FALSE)))</t>
  </si>
  <si>
    <t>=IF(ISNUMBER($L$6)=FALSE,"",
        IF(ISERROR(VLOOKUP($G38,DanaSehat!$L$13:$AK$14,S$4,FALSE))=TRUE,"",
              VLOOKUP($G38,DanaSehat!$L$13:$AK$14,S$4,FALSE)))</t>
  </si>
  <si>
    <t>=IF(ISNUMBER($L$6)=FALSE,"",
        IF(ISERROR(VLOOKUP($G38,DanaSehat!$L$13:$AK$14,T$4,FALSE))=TRUE,"",
              VLOOKUP($G38,DanaSehat!$L$13:$AK$14,T$4,FALSE)))</t>
  </si>
  <si>
    <t>=IF(ISNUMBER($L$6)=FALSE,"",
        IF(ISERROR(VLOOKUP($G38,DanaSehat!$L$13:$AK$14,U$4,FALSE))=TRUE,"",
              VLOOKUP($G38,DanaSehat!$L$13:$AK$14,U$4,FALSE)))</t>
  </si>
  <si>
    <t>=IF(ISNUMBER($L$6)=FALSE,"",
        IF(ISERROR(VLOOKUP($G38,DanaSehat!$L$13:$AK$14,V$4,FALSE))=TRUE,"",
              VLOOKUP($G38,DanaSehat!$L$13:$AK$14,V$4,FALSE)))</t>
  </si>
  <si>
    <t>=IF(ISNUMBER($L$6)=FALSE,"",
        IF(ISERROR(VLOOKUP($G38,DanaSehat!$L$13:$AK$14,W$4,FALSE))=TRUE,"",
              VLOOKUP($G38,DanaSehat!$L$13:$AK$14,W$4,FALSE)))</t>
  </si>
  <si>
    <t>=IF(ISNUMBER($L$6)=FALSE,"",
        IF(ISERROR(VLOOKUP($G38,DanaSehat!$L$13:$AK$14,X$4,FALSE))=TRUE,"",
              VLOOKUP($G38,DanaSehat!$L$13:$AK$14,X$4,FALSE)))</t>
  </si>
  <si>
    <t>=IF(ISNUMBER($L$6)=FALSE,"",
        IF(ISERROR(VLOOKUP($G38,DanaSehat!$L$13:$AK$14,Y$4,FALSE))=TRUE,"",
              VLOOKUP($G38,DanaSehat!$L$13:$AK$14,Y$4,FALSE)))</t>
  </si>
  <si>
    <t>=IF(ISNUMBER($L$6)=FALSE,"",
        IF(ISERROR(VLOOKUP($G38,DanaSehat!$L$13:$AK$14,Z$4,FALSE))=TRUE,"",
              VLOOKUP($G38,DanaSehat!$L$13:$AK$14,Z$4,FALSE)))</t>
  </si>
  <si>
    <t>=IF(ISNUMBER($L$6)=FALSE,"",
        IF(ISERROR(VLOOKUP($G38,DanaSehat!$L$13:$AK$14,AA$4,FALSE))=TRUE,"",
              VLOOKUP($G38,DanaSehat!$L$13:$AK$14,AA$4,FALSE)))</t>
  </si>
  <si>
    <t>=IF(ISNUMBER($L$6)=FALSE,"",
        IF(ISERROR(VLOOKUP($G38,DanaSehat!$L$13:$AK$14,AB$4,FALSE))=TRUE,"",
              VLOOKUP($G38,DanaSehat!$L$13:$AK$14,AB$4,FALSE)))</t>
  </si>
  <si>
    <t>=IF(ISNUMBER($L$6)=FALSE,"",
        IF(ISERROR(VLOOKUP($G38,DanaSehat!$L$13:$AK$14,AC$4,FALSE))=TRUE,"",
              VLOOKUP($G38,DanaSehat!$L$13:$AK$14,AC$4,FALSE)))</t>
  </si>
  <si>
    <t>=IF(ISNUMBER($L$6)=FALSE,"",
        IF(ISERROR(VLOOKUP($G38,DanaSehat!$L$13:$AK$14,AD$4,FALSE))=TRUE,"",
              VLOOKUP($G38,DanaSehat!$L$13:$AK$14,AD$4,FALSE)))</t>
  </si>
  <si>
    <t>=IF(ISNUMBER($L$6)=FALSE,"",
        IF(ISERROR(VLOOKUP($G38,DanaSehat!$L$13:$AK$14,AE$4,FALSE))=TRUE,"",
              VLOOKUP($G38,DanaSehat!$L$13:$AK$14,AE$4,FALSE)))</t>
  </si>
  <si>
    <t>=IF(ISNUMBER($L$6)=FALSE,"",
        IF(ISERROR(VLOOKUP($G38,DanaSehat!$L$13:$AK$14,AF$4,FALSE))=TRUE,"",
              VLOOKUP($G38,DanaSehat!$L$13:$AK$14,AF$4,FALSE)))</t>
  </si>
  <si>
    <t>=IF($C38=$C$4,0,
       IF($C38=0,0,$C38+1))</t>
  </si>
  <si>
    <t>=IF(ISNUMBER($L$6)=FALSE,"",
IF($C39=0,"",$C39))</t>
  </si>
  <si>
    <t>=IF(ISNUMBER($L$6)=FALSE,"",
IF($C39=0,"",VLOOKUP($E39,DanaSehat!$H$13:$L$14,4,FALSE)))</t>
  </si>
  <si>
    <t>=IF(ISNUMBER($L$6)=FALSE,"",
IF($C39=0,"",VLOOKUP($E39,DanaSehat!$H$13:$L$14,5,FALSE)))</t>
  </si>
  <si>
    <t>=IF(ISNUMBER($L$6)=FALSE,"",
IF($C39=0,"",SUM(I39:AF39)))</t>
  </si>
  <si>
    <t>=IF(ISNUMBER($L$6)=FALSE,"",
        IF(ISERROR(VLOOKUP($G39,DanaSehat!$L$13:$AK$14,I$4,FALSE))=TRUE,"",
              VLOOKUP($G39,DanaSehat!$L$13:$AK$14,I$4,FALSE)))</t>
  </si>
  <si>
    <t>=IF(ISNUMBER($L$6)=FALSE,"",
        IF(ISERROR(VLOOKUP($G39,DanaSehat!$L$13:$AK$14,J$4,FALSE))=TRUE,"",
              VLOOKUP($G39,DanaSehat!$L$13:$AK$14,J$4,FALSE)))</t>
  </si>
  <si>
    <t>=IF(ISNUMBER($L$6)=FALSE,"",
        IF(ISERROR(VLOOKUP($G39,DanaSehat!$L$13:$AK$14,K$4,FALSE))=TRUE,"",
              VLOOKUP($G39,DanaSehat!$L$13:$AK$14,K$4,FALSE)))</t>
  </si>
  <si>
    <t>=IF(ISNUMBER($L$6)=FALSE,"",
        IF(ISERROR(VLOOKUP($G39,DanaSehat!$L$13:$AK$14,L$4,FALSE))=TRUE,"",
              VLOOKUP($G39,DanaSehat!$L$13:$AK$14,L$4,FALSE)))</t>
  </si>
  <si>
    <t>=IF(ISNUMBER($L$6)=FALSE,"",
        IF(ISERROR(VLOOKUP($G39,DanaSehat!$L$13:$AK$14,M$4,FALSE))=TRUE,"",
              VLOOKUP($G39,DanaSehat!$L$13:$AK$14,M$4,FALSE)))</t>
  </si>
  <si>
    <t>=IF(ISNUMBER($L$6)=FALSE,"",
        IF(ISERROR(VLOOKUP($G39,DanaSehat!$L$13:$AK$14,N$4,FALSE))=TRUE,"",
              VLOOKUP($G39,DanaSehat!$L$13:$AK$14,N$4,FALSE)))</t>
  </si>
  <si>
    <t>=IF(ISNUMBER($L$6)=FALSE,"",
        IF(ISERROR(VLOOKUP($G39,DanaSehat!$L$13:$AK$14,O$4,FALSE))=TRUE,"",
              VLOOKUP($G39,DanaSehat!$L$13:$AK$14,O$4,FALSE)))</t>
  </si>
  <si>
    <t>=IF(ISNUMBER($L$6)=FALSE,"",
        IF(ISERROR(VLOOKUP($G39,DanaSehat!$L$13:$AK$14,P$4,FALSE))=TRUE,"",
              VLOOKUP($G39,DanaSehat!$L$13:$AK$14,P$4,FALSE)))</t>
  </si>
  <si>
    <t>=IF(ISNUMBER($L$6)=FALSE,"",
        IF(ISERROR(VLOOKUP($G39,DanaSehat!$L$13:$AK$14,Q$4,FALSE))=TRUE,"",
              VLOOKUP($G39,DanaSehat!$L$13:$AK$14,Q$4,FALSE)))</t>
  </si>
  <si>
    <t>=IF(ISNUMBER($L$6)=FALSE,"",
        IF(ISERROR(VLOOKUP($G39,DanaSehat!$L$13:$AK$14,R$4,FALSE))=TRUE,"",
              VLOOKUP($G39,DanaSehat!$L$13:$AK$14,R$4,FALSE)))</t>
  </si>
  <si>
    <t>=IF(ISNUMBER($L$6)=FALSE,"",
        IF(ISERROR(VLOOKUP($G39,DanaSehat!$L$13:$AK$14,S$4,FALSE))=TRUE,"",
              VLOOKUP($G39,DanaSehat!$L$13:$AK$14,S$4,FALSE)))</t>
  </si>
  <si>
    <t>=IF(ISNUMBER($L$6)=FALSE,"",
        IF(ISERROR(VLOOKUP($G39,DanaSehat!$L$13:$AK$14,T$4,FALSE))=TRUE,"",
              VLOOKUP($G39,DanaSehat!$L$13:$AK$14,T$4,FALSE)))</t>
  </si>
  <si>
    <t>=IF(ISNUMBER($L$6)=FALSE,"",
        IF(ISERROR(VLOOKUP($G39,DanaSehat!$L$13:$AK$14,U$4,FALSE))=TRUE,"",
              VLOOKUP($G39,DanaSehat!$L$13:$AK$14,U$4,FALSE)))</t>
  </si>
  <si>
    <t>=IF(ISNUMBER($L$6)=FALSE,"",
        IF(ISERROR(VLOOKUP($G39,DanaSehat!$L$13:$AK$14,V$4,FALSE))=TRUE,"",
              VLOOKUP($G39,DanaSehat!$L$13:$AK$14,V$4,FALSE)))</t>
  </si>
  <si>
    <t>=IF(ISNUMBER($L$6)=FALSE,"",
        IF(ISERROR(VLOOKUP($G39,DanaSehat!$L$13:$AK$14,W$4,FALSE))=TRUE,"",
              VLOOKUP($G39,DanaSehat!$L$13:$AK$14,W$4,FALSE)))</t>
  </si>
  <si>
    <t>=IF(ISNUMBER($L$6)=FALSE,"",
        IF(ISERROR(VLOOKUP($G39,DanaSehat!$L$13:$AK$14,X$4,FALSE))=TRUE,"",
              VLOOKUP($G39,DanaSehat!$L$13:$AK$14,X$4,FALSE)))</t>
  </si>
  <si>
    <t>=IF(ISNUMBER($L$6)=FALSE,"",
        IF(ISERROR(VLOOKUP($G39,DanaSehat!$L$13:$AK$14,Y$4,FALSE))=TRUE,"",
              VLOOKUP($G39,DanaSehat!$L$13:$AK$14,Y$4,FALSE)))</t>
  </si>
  <si>
    <t>=IF(ISNUMBER($L$6)=FALSE,"",
        IF(ISERROR(VLOOKUP($G39,DanaSehat!$L$13:$AK$14,Z$4,FALSE))=TRUE,"",
              VLOOKUP($G39,DanaSehat!$L$13:$AK$14,Z$4,FALSE)))</t>
  </si>
  <si>
    <t>=IF(ISNUMBER($L$6)=FALSE,"",
        IF(ISERROR(VLOOKUP($G39,DanaSehat!$L$13:$AK$14,AA$4,FALSE))=TRUE,"",
              VLOOKUP($G39,DanaSehat!$L$13:$AK$14,AA$4,FALSE)))</t>
  </si>
  <si>
    <t>=IF(ISNUMBER($L$6)=FALSE,"",
        IF(ISERROR(VLOOKUP($G39,DanaSehat!$L$13:$AK$14,AB$4,FALSE))=TRUE,"",
              VLOOKUP($G39,DanaSehat!$L$13:$AK$14,AB$4,FALSE)))</t>
  </si>
  <si>
    <t>=IF(ISNUMBER($L$6)=FALSE,"",
        IF(ISERROR(VLOOKUP($G39,DanaSehat!$L$13:$AK$14,AC$4,FALSE))=TRUE,"",
              VLOOKUP($G39,DanaSehat!$L$13:$AK$14,AC$4,FALSE)))</t>
  </si>
  <si>
    <t>=IF(ISNUMBER($L$6)=FALSE,"",
        IF(ISERROR(VLOOKUP($G39,DanaSehat!$L$13:$AK$14,AD$4,FALSE))=TRUE,"",
              VLOOKUP($G39,DanaSehat!$L$13:$AK$14,AD$4,FALSE)))</t>
  </si>
  <si>
    <t>=IF(ISNUMBER($L$6)=FALSE,"",
        IF(ISERROR(VLOOKUP($G39,DanaSehat!$L$13:$AK$14,AE$4,FALSE))=TRUE,"",
              VLOOKUP($G39,DanaSehat!$L$13:$AK$14,AE$4,FALSE)))</t>
  </si>
  <si>
    <t>=IF(ISNUMBER($L$6)=FALSE,"",
        IF(ISERROR(VLOOKUP($G39,DanaSehat!$L$13:$AK$14,AF$4,FALSE))=TRUE,"",
              VLOOKUP($G39,DanaSehat!$L$13:$AK$14,AF$4,FALSE)))</t>
  </si>
  <si>
    <t>=IF($C39=$C$4,0,
       IF($C39=0,0,$C39+1))</t>
  </si>
  <si>
    <t>=IF(ISNUMBER($L$6)=FALSE,"",
IF($C40=0,"",$C40))</t>
  </si>
  <si>
    <t>=IF(ISNUMBER($L$6)=FALSE,"",
IF($C40=0,"",VLOOKUP($E40,DanaSehat!$H$13:$L$14,4,FALSE)))</t>
  </si>
  <si>
    <t>=IF(ISNUMBER($L$6)=FALSE,"",
IF($C40=0,"",VLOOKUP($E40,DanaSehat!$H$13:$L$14,5,FALSE)))</t>
  </si>
  <si>
    <t>=IF(ISNUMBER($L$6)=FALSE,"",
IF($C40=0,"",SUM(I40:AF40)))</t>
  </si>
  <si>
    <t>=IF(ISNUMBER($L$6)=FALSE,"",
        IF(ISERROR(VLOOKUP($G40,DanaSehat!$L$13:$AK$14,I$4,FALSE))=TRUE,"",
              VLOOKUP($G40,DanaSehat!$L$13:$AK$14,I$4,FALSE)))</t>
  </si>
  <si>
    <t>=IF(ISNUMBER($L$6)=FALSE,"",
        IF(ISERROR(VLOOKUP($G40,DanaSehat!$L$13:$AK$14,J$4,FALSE))=TRUE,"",
              VLOOKUP($G40,DanaSehat!$L$13:$AK$14,J$4,FALSE)))</t>
  </si>
  <si>
    <t>=IF(ISNUMBER($L$6)=FALSE,"",
        IF(ISERROR(VLOOKUP($G40,DanaSehat!$L$13:$AK$14,K$4,FALSE))=TRUE,"",
              VLOOKUP($G40,DanaSehat!$L$13:$AK$14,K$4,FALSE)))</t>
  </si>
  <si>
    <t>=IF(ISNUMBER($L$6)=FALSE,"",
        IF(ISERROR(VLOOKUP($G40,DanaSehat!$L$13:$AK$14,L$4,FALSE))=TRUE,"",
              VLOOKUP($G40,DanaSehat!$L$13:$AK$14,L$4,FALSE)))</t>
  </si>
  <si>
    <t>=IF(ISNUMBER($L$6)=FALSE,"",
        IF(ISERROR(VLOOKUP($G40,DanaSehat!$L$13:$AK$14,M$4,FALSE))=TRUE,"",
              VLOOKUP($G40,DanaSehat!$L$13:$AK$14,M$4,FALSE)))</t>
  </si>
  <si>
    <t>=IF(ISNUMBER($L$6)=FALSE,"",
        IF(ISERROR(VLOOKUP($G40,DanaSehat!$L$13:$AK$14,N$4,FALSE))=TRUE,"",
              VLOOKUP($G40,DanaSehat!$L$13:$AK$14,N$4,FALSE)))</t>
  </si>
  <si>
    <t>=IF(ISNUMBER($L$6)=FALSE,"",
        IF(ISERROR(VLOOKUP($G40,DanaSehat!$L$13:$AK$14,O$4,FALSE))=TRUE,"",
              VLOOKUP($G40,DanaSehat!$L$13:$AK$14,O$4,FALSE)))</t>
  </si>
  <si>
    <t>=IF(ISNUMBER($L$6)=FALSE,"",
        IF(ISERROR(VLOOKUP($G40,DanaSehat!$L$13:$AK$14,P$4,FALSE))=TRUE,"",
              VLOOKUP($G40,DanaSehat!$L$13:$AK$14,P$4,FALSE)))</t>
  </si>
  <si>
    <t>=IF(ISNUMBER($L$6)=FALSE,"",
        IF(ISERROR(VLOOKUP($G40,DanaSehat!$L$13:$AK$14,Q$4,FALSE))=TRUE,"",
              VLOOKUP($G40,DanaSehat!$L$13:$AK$14,Q$4,FALSE)))</t>
  </si>
  <si>
    <t>=IF(ISNUMBER($L$6)=FALSE,"",
        IF(ISERROR(VLOOKUP($G40,DanaSehat!$L$13:$AK$14,R$4,FALSE))=TRUE,"",
              VLOOKUP($G40,DanaSehat!$L$13:$AK$14,R$4,FALSE)))</t>
  </si>
  <si>
    <t>=IF(ISNUMBER($L$6)=FALSE,"",
        IF(ISERROR(VLOOKUP($G40,DanaSehat!$L$13:$AK$14,S$4,FALSE))=TRUE,"",
              VLOOKUP($G40,DanaSehat!$L$13:$AK$14,S$4,FALSE)))</t>
  </si>
  <si>
    <t>=IF(ISNUMBER($L$6)=FALSE,"",
        IF(ISERROR(VLOOKUP($G40,DanaSehat!$L$13:$AK$14,T$4,FALSE))=TRUE,"",
              VLOOKUP($G40,DanaSehat!$L$13:$AK$14,T$4,FALSE)))</t>
  </si>
  <si>
    <t>=IF(ISNUMBER($L$6)=FALSE,"",
        IF(ISERROR(VLOOKUP($G40,DanaSehat!$L$13:$AK$14,U$4,FALSE))=TRUE,"",
              VLOOKUP($G40,DanaSehat!$L$13:$AK$14,U$4,FALSE)))</t>
  </si>
  <si>
    <t>=IF(ISNUMBER($L$6)=FALSE,"",
        IF(ISERROR(VLOOKUP($G40,DanaSehat!$L$13:$AK$14,V$4,FALSE))=TRUE,"",
              VLOOKUP($G40,DanaSehat!$L$13:$AK$14,V$4,FALSE)))</t>
  </si>
  <si>
    <t>=IF(ISNUMBER($L$6)=FALSE,"",
        IF(ISERROR(VLOOKUP($G40,DanaSehat!$L$13:$AK$14,W$4,FALSE))=TRUE,"",
              VLOOKUP($G40,DanaSehat!$L$13:$AK$14,W$4,FALSE)))</t>
  </si>
  <si>
    <t>=IF(ISNUMBER($L$6)=FALSE,"",
        IF(ISERROR(VLOOKUP($G40,DanaSehat!$L$13:$AK$14,X$4,FALSE))=TRUE,"",
              VLOOKUP($G40,DanaSehat!$L$13:$AK$14,X$4,FALSE)))</t>
  </si>
  <si>
    <t>=IF(ISNUMBER($L$6)=FALSE,"",
        IF(ISERROR(VLOOKUP($G40,DanaSehat!$L$13:$AK$14,Y$4,FALSE))=TRUE,"",
              VLOOKUP($G40,DanaSehat!$L$13:$AK$14,Y$4,FALSE)))</t>
  </si>
  <si>
    <t>=IF(ISNUMBER($L$6)=FALSE,"",
        IF(ISERROR(VLOOKUP($G40,DanaSehat!$L$13:$AK$14,Z$4,FALSE))=TRUE,"",
              VLOOKUP($G40,DanaSehat!$L$13:$AK$14,Z$4,FALSE)))</t>
  </si>
  <si>
    <t>=IF(ISNUMBER($L$6)=FALSE,"",
        IF(ISERROR(VLOOKUP($G40,DanaSehat!$L$13:$AK$14,AA$4,FALSE))=TRUE,"",
              VLOOKUP($G40,DanaSehat!$L$13:$AK$14,AA$4,FALSE)))</t>
  </si>
  <si>
    <t>=IF(ISNUMBER($L$6)=FALSE,"",
        IF(ISERROR(VLOOKUP($G40,DanaSehat!$L$13:$AK$14,AB$4,FALSE))=TRUE,"",
              VLOOKUP($G40,DanaSehat!$L$13:$AK$14,AB$4,FALSE)))</t>
  </si>
  <si>
    <t>=IF(ISNUMBER($L$6)=FALSE,"",
        IF(ISERROR(VLOOKUP($G40,DanaSehat!$L$13:$AK$14,AC$4,FALSE))=TRUE,"",
              VLOOKUP($G40,DanaSehat!$L$13:$AK$14,AC$4,FALSE)))</t>
  </si>
  <si>
    <t>=IF(ISNUMBER($L$6)=FALSE,"",
        IF(ISERROR(VLOOKUP($G40,DanaSehat!$L$13:$AK$14,AD$4,FALSE))=TRUE,"",
              VLOOKUP($G40,DanaSehat!$L$13:$AK$14,AD$4,FALSE)))</t>
  </si>
  <si>
    <t>=IF(ISNUMBER($L$6)=FALSE,"",
        IF(ISERROR(VLOOKUP($G40,DanaSehat!$L$13:$AK$14,AE$4,FALSE))=TRUE,"",
              VLOOKUP($G40,DanaSehat!$L$13:$AK$14,AE$4,FALSE)))</t>
  </si>
  <si>
    <t>=IF(ISNUMBER($L$6)=FALSE,"",
        IF(ISERROR(VLOOKUP($G40,DanaSehat!$L$13:$AK$14,AF$4,FALSE))=TRUE,"",
              VLOOKUP($G40,DanaSehat!$L$13:$AK$14,AF$4,FALSE)))</t>
  </si>
  <si>
    <t>=IF($C40=$C$4,0,
       IF($C40=0,0,$C40+1))</t>
  </si>
  <si>
    <t>=IF(ISNUMBER($L$6)=FALSE,"",
IF($C41=0,"",$C41))</t>
  </si>
  <si>
    <t>=IF(ISNUMBER($L$6)=FALSE,"",
IF($C41=0,"",VLOOKUP($E41,DanaSehat!$H$13:$L$14,4,FALSE)))</t>
  </si>
  <si>
    <t>=IF(ISNUMBER($L$6)=FALSE,"",
IF($C41=0,"",VLOOKUP($E41,DanaSehat!$H$13:$L$14,5,FALSE)))</t>
  </si>
  <si>
    <t>=IF(ISNUMBER($L$6)=FALSE,"",
IF($C41=0,"",SUM(I41:AF41)))</t>
  </si>
  <si>
    <t>=IF(ISNUMBER($L$6)=FALSE,"",
        IF(ISERROR(VLOOKUP($G41,DanaSehat!$L$13:$AK$14,I$4,FALSE))=TRUE,"",
              VLOOKUP($G41,DanaSehat!$L$13:$AK$14,I$4,FALSE)))</t>
  </si>
  <si>
    <t>=IF(ISNUMBER($L$6)=FALSE,"",
        IF(ISERROR(VLOOKUP($G41,DanaSehat!$L$13:$AK$14,J$4,FALSE))=TRUE,"",
              VLOOKUP($G41,DanaSehat!$L$13:$AK$14,J$4,FALSE)))</t>
  </si>
  <si>
    <t>=IF(ISNUMBER($L$6)=FALSE,"",
        IF(ISERROR(VLOOKUP($G41,DanaSehat!$L$13:$AK$14,K$4,FALSE))=TRUE,"",
              VLOOKUP($G41,DanaSehat!$L$13:$AK$14,K$4,FALSE)))</t>
  </si>
  <si>
    <t>=IF(ISNUMBER($L$6)=FALSE,"",
        IF(ISERROR(VLOOKUP($G41,DanaSehat!$L$13:$AK$14,L$4,FALSE))=TRUE,"",
              VLOOKUP($G41,DanaSehat!$L$13:$AK$14,L$4,FALSE)))</t>
  </si>
  <si>
    <t>=IF(ISNUMBER($L$6)=FALSE,"",
        IF(ISERROR(VLOOKUP($G41,DanaSehat!$L$13:$AK$14,M$4,FALSE))=TRUE,"",
              VLOOKUP($G41,DanaSehat!$L$13:$AK$14,M$4,FALSE)))</t>
  </si>
  <si>
    <t>=IF(ISNUMBER($L$6)=FALSE,"",
        IF(ISERROR(VLOOKUP($G41,DanaSehat!$L$13:$AK$14,N$4,FALSE))=TRUE,"",
              VLOOKUP($G41,DanaSehat!$L$13:$AK$14,N$4,FALSE)))</t>
  </si>
  <si>
    <t>=IF(ISNUMBER($L$6)=FALSE,"",
        IF(ISERROR(VLOOKUP($G41,DanaSehat!$L$13:$AK$14,O$4,FALSE))=TRUE,"",
              VLOOKUP($G41,DanaSehat!$L$13:$AK$14,O$4,FALSE)))</t>
  </si>
  <si>
    <t>=IF(ISNUMBER($L$6)=FALSE,"",
        IF(ISERROR(VLOOKUP($G41,DanaSehat!$L$13:$AK$14,P$4,FALSE))=TRUE,"",
              VLOOKUP($G41,DanaSehat!$L$13:$AK$14,P$4,FALSE)))</t>
  </si>
  <si>
    <t>=IF(ISNUMBER($L$6)=FALSE,"",
        IF(ISERROR(VLOOKUP($G41,DanaSehat!$L$13:$AK$14,Q$4,FALSE))=TRUE,"",
              VLOOKUP($G41,DanaSehat!$L$13:$AK$14,Q$4,FALSE)))</t>
  </si>
  <si>
    <t>=IF(ISNUMBER($L$6)=FALSE,"",
        IF(ISERROR(VLOOKUP($G41,DanaSehat!$L$13:$AK$14,R$4,FALSE))=TRUE,"",
              VLOOKUP($G41,DanaSehat!$L$13:$AK$14,R$4,FALSE)))</t>
  </si>
  <si>
    <t>=IF(ISNUMBER($L$6)=FALSE,"",
        IF(ISERROR(VLOOKUP($G41,DanaSehat!$L$13:$AK$14,S$4,FALSE))=TRUE,"",
              VLOOKUP($G41,DanaSehat!$L$13:$AK$14,S$4,FALSE)))</t>
  </si>
  <si>
    <t>=IF(ISNUMBER($L$6)=FALSE,"",
        IF(ISERROR(VLOOKUP($G41,DanaSehat!$L$13:$AK$14,T$4,FALSE))=TRUE,"",
              VLOOKUP($G41,DanaSehat!$L$13:$AK$14,T$4,FALSE)))</t>
  </si>
  <si>
    <t>=IF(ISNUMBER($L$6)=FALSE,"",
        IF(ISERROR(VLOOKUP($G41,DanaSehat!$L$13:$AK$14,U$4,FALSE))=TRUE,"",
              VLOOKUP($G41,DanaSehat!$L$13:$AK$14,U$4,FALSE)))</t>
  </si>
  <si>
    <t>=IF(ISNUMBER($L$6)=FALSE,"",
        IF(ISERROR(VLOOKUP($G41,DanaSehat!$L$13:$AK$14,V$4,FALSE))=TRUE,"",
              VLOOKUP($G41,DanaSehat!$L$13:$AK$14,V$4,FALSE)))</t>
  </si>
  <si>
    <t>=IF(ISNUMBER($L$6)=FALSE,"",
        IF(ISERROR(VLOOKUP($G41,DanaSehat!$L$13:$AK$14,W$4,FALSE))=TRUE,"",
              VLOOKUP($G41,DanaSehat!$L$13:$AK$14,W$4,FALSE)))</t>
  </si>
  <si>
    <t>=IF(ISNUMBER($L$6)=FALSE,"",
        IF(ISERROR(VLOOKUP($G41,DanaSehat!$L$13:$AK$14,X$4,FALSE))=TRUE,"",
              VLOOKUP($G41,DanaSehat!$L$13:$AK$14,X$4,FALSE)))</t>
  </si>
  <si>
    <t>=IF(ISNUMBER($L$6)=FALSE,"",
        IF(ISERROR(VLOOKUP($G41,DanaSehat!$L$13:$AK$14,Y$4,FALSE))=TRUE,"",
              VLOOKUP($G41,DanaSehat!$L$13:$AK$14,Y$4,FALSE)))</t>
  </si>
  <si>
    <t>=IF(ISNUMBER($L$6)=FALSE,"",
        IF(ISERROR(VLOOKUP($G41,DanaSehat!$L$13:$AK$14,Z$4,FALSE))=TRUE,"",
              VLOOKUP($G41,DanaSehat!$L$13:$AK$14,Z$4,FALSE)))</t>
  </si>
  <si>
    <t>=IF(ISNUMBER($L$6)=FALSE,"",
        IF(ISERROR(VLOOKUP($G41,DanaSehat!$L$13:$AK$14,AA$4,FALSE))=TRUE,"",
              VLOOKUP($G41,DanaSehat!$L$13:$AK$14,AA$4,FALSE)))</t>
  </si>
  <si>
    <t>=IF(ISNUMBER($L$6)=FALSE,"",
        IF(ISERROR(VLOOKUP($G41,DanaSehat!$L$13:$AK$14,AB$4,FALSE))=TRUE,"",
              VLOOKUP($G41,DanaSehat!$L$13:$AK$14,AB$4,FALSE)))</t>
  </si>
  <si>
    <t>=IF(ISNUMBER($L$6)=FALSE,"",
        IF(ISERROR(VLOOKUP($G41,DanaSehat!$L$13:$AK$14,AC$4,FALSE))=TRUE,"",
              VLOOKUP($G41,DanaSehat!$L$13:$AK$14,AC$4,FALSE)))</t>
  </si>
  <si>
    <t>=IF(ISNUMBER($L$6)=FALSE,"",
        IF(ISERROR(VLOOKUP($G41,DanaSehat!$L$13:$AK$14,AD$4,FALSE))=TRUE,"",
              VLOOKUP($G41,DanaSehat!$L$13:$AK$14,AD$4,FALSE)))</t>
  </si>
  <si>
    <t>=IF(ISNUMBER($L$6)=FALSE,"",
        IF(ISERROR(VLOOKUP($G41,DanaSehat!$L$13:$AK$14,AE$4,FALSE))=TRUE,"",
              VLOOKUP($G41,DanaSehat!$L$13:$AK$14,AE$4,FALSE)))</t>
  </si>
  <si>
    <t>=IF(ISNUMBER($L$6)=FALSE,"",
        IF(ISERROR(VLOOKUP($G41,DanaSehat!$L$13:$AK$14,AF$4,FALSE))=TRUE,"",
              VLOOKUP($G41,DanaSehat!$L$13:$AK$14,AF$4,FALSE)))</t>
  </si>
  <si>
    <t>=IF($C41=$C$4,0,
       IF($C41=0,0,$C41+1))</t>
  </si>
  <si>
    <t>=IF(ISNUMBER($L$6)=FALSE,"",
IF($C42=0,"",$C42))</t>
  </si>
  <si>
    <t>=IF(ISNUMBER($L$6)=FALSE,"",
IF($C42=0,"",VLOOKUP($E42,DanaSehat!$H$13:$L$14,4,FALSE)))</t>
  </si>
  <si>
    <t>=IF(ISNUMBER($L$6)=FALSE,"",
IF($C42=0,"",VLOOKUP($E42,DanaSehat!$H$13:$L$14,5,FALSE)))</t>
  </si>
  <si>
    <t>=IF(ISNUMBER($L$6)=FALSE,"",
IF($C42=0,"",SUM(I42:AF42)))</t>
  </si>
  <si>
    <t>=IF(ISNUMBER($L$6)=FALSE,"",
        IF(ISERROR(VLOOKUP($G42,DanaSehat!$L$13:$AK$14,I$4,FALSE))=TRUE,"",
              VLOOKUP($G42,DanaSehat!$L$13:$AK$14,I$4,FALSE)))</t>
  </si>
  <si>
    <t>=IF(ISNUMBER($L$6)=FALSE,"",
        IF(ISERROR(VLOOKUP($G42,DanaSehat!$L$13:$AK$14,J$4,FALSE))=TRUE,"",
              VLOOKUP($G42,DanaSehat!$L$13:$AK$14,J$4,FALSE)))</t>
  </si>
  <si>
    <t>=IF(ISNUMBER($L$6)=FALSE,"",
        IF(ISERROR(VLOOKUP($G42,DanaSehat!$L$13:$AK$14,K$4,FALSE))=TRUE,"",
              VLOOKUP($G42,DanaSehat!$L$13:$AK$14,K$4,FALSE)))</t>
  </si>
  <si>
    <t>=IF(ISNUMBER($L$6)=FALSE,"",
        IF(ISERROR(VLOOKUP($G42,DanaSehat!$L$13:$AK$14,L$4,FALSE))=TRUE,"",
              VLOOKUP($G42,DanaSehat!$L$13:$AK$14,L$4,FALSE)))</t>
  </si>
  <si>
    <t>=IF(ISNUMBER($L$6)=FALSE,"",
        IF(ISERROR(VLOOKUP($G42,DanaSehat!$L$13:$AK$14,M$4,FALSE))=TRUE,"",
              VLOOKUP($G42,DanaSehat!$L$13:$AK$14,M$4,FALSE)))</t>
  </si>
  <si>
    <t>=IF(ISNUMBER($L$6)=FALSE,"",
        IF(ISERROR(VLOOKUP($G42,DanaSehat!$L$13:$AK$14,N$4,FALSE))=TRUE,"",
              VLOOKUP($G42,DanaSehat!$L$13:$AK$14,N$4,FALSE)))</t>
  </si>
  <si>
    <t>=IF(ISNUMBER($L$6)=FALSE,"",
        IF(ISERROR(VLOOKUP($G42,DanaSehat!$L$13:$AK$14,O$4,FALSE))=TRUE,"",
              VLOOKUP($G42,DanaSehat!$L$13:$AK$14,O$4,FALSE)))</t>
  </si>
  <si>
    <t>=IF(ISNUMBER($L$6)=FALSE,"",
        IF(ISERROR(VLOOKUP($G42,DanaSehat!$L$13:$AK$14,P$4,FALSE))=TRUE,"",
              VLOOKUP($G42,DanaSehat!$L$13:$AK$14,P$4,FALSE)))</t>
  </si>
  <si>
    <t>=IF(ISNUMBER($L$6)=FALSE,"",
        IF(ISERROR(VLOOKUP($G42,DanaSehat!$L$13:$AK$14,Q$4,FALSE))=TRUE,"",
              VLOOKUP($G42,DanaSehat!$L$13:$AK$14,Q$4,FALSE)))</t>
  </si>
  <si>
    <t>=IF(ISNUMBER($L$6)=FALSE,"",
        IF(ISERROR(VLOOKUP($G42,DanaSehat!$L$13:$AK$14,R$4,FALSE))=TRUE,"",
              VLOOKUP($G42,DanaSehat!$L$13:$AK$14,R$4,FALSE)))</t>
  </si>
  <si>
    <t>=IF(ISNUMBER($L$6)=FALSE,"",
        IF(ISERROR(VLOOKUP($G42,DanaSehat!$L$13:$AK$14,S$4,FALSE))=TRUE,"",
              VLOOKUP($G42,DanaSehat!$L$13:$AK$14,S$4,FALSE)))</t>
  </si>
  <si>
    <t>=IF(ISNUMBER($L$6)=FALSE,"",
        IF(ISERROR(VLOOKUP($G42,DanaSehat!$L$13:$AK$14,T$4,FALSE))=TRUE,"",
              VLOOKUP($G42,DanaSehat!$L$13:$AK$14,T$4,FALSE)))</t>
  </si>
  <si>
    <t>=IF(ISNUMBER($L$6)=FALSE,"",
        IF(ISERROR(VLOOKUP($G42,DanaSehat!$L$13:$AK$14,U$4,FALSE))=TRUE,"",
              VLOOKUP($G42,DanaSehat!$L$13:$AK$14,U$4,FALSE)))</t>
  </si>
  <si>
    <t>=IF(ISNUMBER($L$6)=FALSE,"",
        IF(ISERROR(VLOOKUP($G42,DanaSehat!$L$13:$AK$14,V$4,FALSE))=TRUE,"",
              VLOOKUP($G42,DanaSehat!$L$13:$AK$14,V$4,FALSE)))</t>
  </si>
  <si>
    <t>=IF(ISNUMBER($L$6)=FALSE,"",
        IF(ISERROR(VLOOKUP($G42,DanaSehat!$L$13:$AK$14,W$4,FALSE))=TRUE,"",
              VLOOKUP($G42,DanaSehat!$L$13:$AK$14,W$4,FALSE)))</t>
  </si>
  <si>
    <t>=IF(ISNUMBER($L$6)=FALSE,"",
        IF(ISERROR(VLOOKUP($G42,DanaSehat!$L$13:$AK$14,X$4,FALSE))=TRUE,"",
              VLOOKUP($G42,DanaSehat!$L$13:$AK$14,X$4,FALSE)))</t>
  </si>
  <si>
    <t>=IF(ISNUMBER($L$6)=FALSE,"",
        IF(ISERROR(VLOOKUP($G42,DanaSehat!$L$13:$AK$14,Y$4,FALSE))=TRUE,"",
              VLOOKUP($G42,DanaSehat!$L$13:$AK$14,Y$4,FALSE)))</t>
  </si>
  <si>
    <t>=IF(ISNUMBER($L$6)=FALSE,"",
        IF(ISERROR(VLOOKUP($G42,DanaSehat!$L$13:$AK$14,Z$4,FALSE))=TRUE,"",
              VLOOKUP($G42,DanaSehat!$L$13:$AK$14,Z$4,FALSE)))</t>
  </si>
  <si>
    <t>=IF(ISNUMBER($L$6)=FALSE,"",
        IF(ISERROR(VLOOKUP($G42,DanaSehat!$L$13:$AK$14,AA$4,FALSE))=TRUE,"",
              VLOOKUP($G42,DanaSehat!$L$13:$AK$14,AA$4,FALSE)))</t>
  </si>
  <si>
    <t>=IF(ISNUMBER($L$6)=FALSE,"",
        IF(ISERROR(VLOOKUP($G42,DanaSehat!$L$13:$AK$14,AB$4,FALSE))=TRUE,"",
              VLOOKUP($G42,DanaSehat!$L$13:$AK$14,AB$4,FALSE)))</t>
  </si>
  <si>
    <t>=IF(ISNUMBER($L$6)=FALSE,"",
        IF(ISERROR(VLOOKUP($G42,DanaSehat!$L$13:$AK$14,AC$4,FALSE))=TRUE,"",
              VLOOKUP($G42,DanaSehat!$L$13:$AK$14,AC$4,FALSE)))</t>
  </si>
  <si>
    <t>=IF(ISNUMBER($L$6)=FALSE,"",
        IF(ISERROR(VLOOKUP($G42,DanaSehat!$L$13:$AK$14,AD$4,FALSE))=TRUE,"",
              VLOOKUP($G42,DanaSehat!$L$13:$AK$14,AD$4,FALSE)))</t>
  </si>
  <si>
    <t>=IF(ISNUMBER($L$6)=FALSE,"",
        IF(ISERROR(VLOOKUP($G42,DanaSehat!$L$13:$AK$14,AE$4,FALSE))=TRUE,"",
              VLOOKUP($G42,DanaSehat!$L$13:$AK$14,AE$4,FALSE)))</t>
  </si>
  <si>
    <t>=IF(ISNUMBER($L$6)=FALSE,"",
        IF(ISERROR(VLOOKUP($G42,DanaSehat!$L$13:$AK$14,AF$4,FALSE))=TRUE,"",
              VLOOKUP($G42,DanaSehat!$L$13:$AK$14,AF$4,FALSE)))</t>
  </si>
  <si>
    <t>=IF($C42=$C$4,0,
       IF($C42=0,0,$C42+1))</t>
  </si>
  <si>
    <t>=IF(ISNUMBER($L$6)=FALSE,"",
IF($C43=0,"",$C43))</t>
  </si>
  <si>
    <t>=IF(ISNUMBER($L$6)=FALSE,"",
IF($C43=0,"",VLOOKUP($E43,DanaSehat!$H$13:$L$14,4,FALSE)))</t>
  </si>
  <si>
    <t>=IF(ISNUMBER($L$6)=FALSE,"",
IF($C43=0,"",VLOOKUP($E43,DanaSehat!$H$13:$L$14,5,FALSE)))</t>
  </si>
  <si>
    <t>=IF(ISNUMBER($L$6)=FALSE,"",
IF($C43=0,"",SUM(I43:AF43)))</t>
  </si>
  <si>
    <t>=IF(ISNUMBER($L$6)=FALSE,"",
        IF(ISERROR(VLOOKUP($G43,DanaSehat!$L$13:$AK$14,I$4,FALSE))=TRUE,"",
              VLOOKUP($G43,DanaSehat!$L$13:$AK$14,I$4,FALSE)))</t>
  </si>
  <si>
    <t>=IF(ISNUMBER($L$6)=FALSE,"",
        IF(ISERROR(VLOOKUP($G43,DanaSehat!$L$13:$AK$14,J$4,FALSE))=TRUE,"",
              VLOOKUP($G43,DanaSehat!$L$13:$AK$14,J$4,FALSE)))</t>
  </si>
  <si>
    <t>=IF(ISNUMBER($L$6)=FALSE,"",
        IF(ISERROR(VLOOKUP($G43,DanaSehat!$L$13:$AK$14,K$4,FALSE))=TRUE,"",
              VLOOKUP($G43,DanaSehat!$L$13:$AK$14,K$4,FALSE)))</t>
  </si>
  <si>
    <t>=IF(ISNUMBER($L$6)=FALSE,"",
        IF(ISERROR(VLOOKUP($G43,DanaSehat!$L$13:$AK$14,L$4,FALSE))=TRUE,"",
              VLOOKUP($G43,DanaSehat!$L$13:$AK$14,L$4,FALSE)))</t>
  </si>
  <si>
    <t>=IF(ISNUMBER($L$6)=FALSE,"",
        IF(ISERROR(VLOOKUP($G43,DanaSehat!$L$13:$AK$14,M$4,FALSE))=TRUE,"",
              VLOOKUP($G43,DanaSehat!$L$13:$AK$14,M$4,FALSE)))</t>
  </si>
  <si>
    <t>=IF(ISNUMBER($L$6)=FALSE,"",
        IF(ISERROR(VLOOKUP($G43,DanaSehat!$L$13:$AK$14,N$4,FALSE))=TRUE,"",
              VLOOKUP($G43,DanaSehat!$L$13:$AK$14,N$4,FALSE)))</t>
  </si>
  <si>
    <t>=IF(ISNUMBER($L$6)=FALSE,"",
        IF(ISERROR(VLOOKUP($G43,DanaSehat!$L$13:$AK$14,O$4,FALSE))=TRUE,"",
              VLOOKUP($G43,DanaSehat!$L$13:$AK$14,O$4,FALSE)))</t>
  </si>
  <si>
    <t>=IF(ISNUMBER($L$6)=FALSE,"",
        IF(ISERROR(VLOOKUP($G43,DanaSehat!$L$13:$AK$14,P$4,FALSE))=TRUE,"",
              VLOOKUP($G43,DanaSehat!$L$13:$AK$14,P$4,FALSE)))</t>
  </si>
  <si>
    <t>=IF(ISNUMBER($L$6)=FALSE,"",
        IF(ISERROR(VLOOKUP($G43,DanaSehat!$L$13:$AK$14,Q$4,FALSE))=TRUE,"",
              VLOOKUP($G43,DanaSehat!$L$13:$AK$14,Q$4,FALSE)))</t>
  </si>
  <si>
    <t>=IF(ISNUMBER($L$6)=FALSE,"",
        IF(ISERROR(VLOOKUP($G43,DanaSehat!$L$13:$AK$14,R$4,FALSE))=TRUE,"",
              VLOOKUP($G43,DanaSehat!$L$13:$AK$14,R$4,FALSE)))</t>
  </si>
  <si>
    <t>=IF(ISNUMBER($L$6)=FALSE,"",
        IF(ISERROR(VLOOKUP($G43,DanaSehat!$L$13:$AK$14,S$4,FALSE))=TRUE,"",
              VLOOKUP($G43,DanaSehat!$L$13:$AK$14,S$4,FALSE)))</t>
  </si>
  <si>
    <t>=IF(ISNUMBER($L$6)=FALSE,"",
        IF(ISERROR(VLOOKUP($G43,DanaSehat!$L$13:$AK$14,T$4,FALSE))=TRUE,"",
              VLOOKUP($G43,DanaSehat!$L$13:$AK$14,T$4,FALSE)))</t>
  </si>
  <si>
    <t>=IF(ISNUMBER($L$6)=FALSE,"",
        IF(ISERROR(VLOOKUP($G43,DanaSehat!$L$13:$AK$14,U$4,FALSE))=TRUE,"",
              VLOOKUP($G43,DanaSehat!$L$13:$AK$14,U$4,FALSE)))</t>
  </si>
  <si>
    <t>=IF(ISNUMBER($L$6)=FALSE,"",
        IF(ISERROR(VLOOKUP($G43,DanaSehat!$L$13:$AK$14,V$4,FALSE))=TRUE,"",
              VLOOKUP($G43,DanaSehat!$L$13:$AK$14,V$4,FALSE)))</t>
  </si>
  <si>
    <t>=IF(ISNUMBER($L$6)=FALSE,"",
        IF(ISERROR(VLOOKUP($G43,DanaSehat!$L$13:$AK$14,W$4,FALSE))=TRUE,"",
              VLOOKUP($G43,DanaSehat!$L$13:$AK$14,W$4,FALSE)))</t>
  </si>
  <si>
    <t>=IF(ISNUMBER($L$6)=FALSE,"",
        IF(ISERROR(VLOOKUP($G43,DanaSehat!$L$13:$AK$14,X$4,FALSE))=TRUE,"",
              VLOOKUP($G43,DanaSehat!$L$13:$AK$14,X$4,FALSE)))</t>
  </si>
  <si>
    <t>=IF(ISNUMBER($L$6)=FALSE,"",
        IF(ISERROR(VLOOKUP($G43,DanaSehat!$L$13:$AK$14,Y$4,FALSE))=TRUE,"",
              VLOOKUP($G43,DanaSehat!$L$13:$AK$14,Y$4,FALSE)))</t>
  </si>
  <si>
    <t>=IF(ISNUMBER($L$6)=FALSE,"",
        IF(ISERROR(VLOOKUP($G43,DanaSehat!$L$13:$AK$14,Z$4,FALSE))=TRUE,"",
              VLOOKUP($G43,DanaSehat!$L$13:$AK$14,Z$4,FALSE)))</t>
  </si>
  <si>
    <t>=IF(ISNUMBER($L$6)=FALSE,"",
        IF(ISERROR(VLOOKUP($G43,DanaSehat!$L$13:$AK$14,AA$4,FALSE))=TRUE,"",
              VLOOKUP($G43,DanaSehat!$L$13:$AK$14,AA$4,FALSE)))</t>
  </si>
  <si>
    <t>=IF(ISNUMBER($L$6)=FALSE,"",
        IF(ISERROR(VLOOKUP($G43,DanaSehat!$L$13:$AK$14,AB$4,FALSE))=TRUE,"",
              VLOOKUP($G43,DanaSehat!$L$13:$AK$14,AB$4,FALSE)))</t>
  </si>
  <si>
    <t>=IF(ISNUMBER($L$6)=FALSE,"",
        IF(ISERROR(VLOOKUP($G43,DanaSehat!$L$13:$AK$14,AC$4,FALSE))=TRUE,"",
              VLOOKUP($G43,DanaSehat!$L$13:$AK$14,AC$4,FALSE)))</t>
  </si>
  <si>
    <t>=IF(ISNUMBER($L$6)=FALSE,"",
        IF(ISERROR(VLOOKUP($G43,DanaSehat!$L$13:$AK$14,AD$4,FALSE))=TRUE,"",
              VLOOKUP($G43,DanaSehat!$L$13:$AK$14,AD$4,FALSE)))</t>
  </si>
  <si>
    <t>=IF(ISNUMBER($L$6)=FALSE,"",
        IF(ISERROR(VLOOKUP($G43,DanaSehat!$L$13:$AK$14,AE$4,FALSE))=TRUE,"",
              VLOOKUP($G43,DanaSehat!$L$13:$AK$14,AE$4,FALSE)))</t>
  </si>
  <si>
    <t>=IF(ISNUMBER($L$6)=FALSE,"",
        IF(ISERROR(VLOOKUP($G43,DanaSehat!$L$13:$AK$14,AF$4,FALSE))=TRUE,"",
              VLOOKUP($G43,DanaSehat!$L$13:$AK$14,AF$4,FALSE)))</t>
  </si>
  <si>
    <t>=IF($C43=$C$4,0,
       IF($C43=0,0,$C43+1))</t>
  </si>
  <si>
    <t>=IF(ISNUMBER($L$6)=FALSE,"",
IF($C44=0,"",$C44))</t>
  </si>
  <si>
    <t>=IF(ISNUMBER($L$6)=FALSE,"",
IF($C44=0,"",VLOOKUP($E44,DanaSehat!$H$13:$L$14,4,FALSE)))</t>
  </si>
  <si>
    <t>=IF(ISNUMBER($L$6)=FALSE,"",
IF($C44=0,"",VLOOKUP($E44,DanaSehat!$H$13:$L$14,5,FALSE)))</t>
  </si>
  <si>
    <t>=IF(ISNUMBER($L$6)=FALSE,"",
IF($C44=0,"",SUM(I44:AF44)))</t>
  </si>
  <si>
    <t>=IF(ISNUMBER($L$6)=FALSE,"",
        IF(ISERROR(VLOOKUP($G44,DanaSehat!$L$13:$AK$14,I$4,FALSE))=TRUE,"",
              VLOOKUP($G44,DanaSehat!$L$13:$AK$14,I$4,FALSE)))</t>
  </si>
  <si>
    <t>=IF(ISNUMBER($L$6)=FALSE,"",
        IF(ISERROR(VLOOKUP($G44,DanaSehat!$L$13:$AK$14,J$4,FALSE))=TRUE,"",
              VLOOKUP($G44,DanaSehat!$L$13:$AK$14,J$4,FALSE)))</t>
  </si>
  <si>
    <t>=IF(ISNUMBER($L$6)=FALSE,"",
        IF(ISERROR(VLOOKUP($G44,DanaSehat!$L$13:$AK$14,K$4,FALSE))=TRUE,"",
              VLOOKUP($G44,DanaSehat!$L$13:$AK$14,K$4,FALSE)))</t>
  </si>
  <si>
    <t>=IF(ISNUMBER($L$6)=FALSE,"",
        IF(ISERROR(VLOOKUP($G44,DanaSehat!$L$13:$AK$14,L$4,FALSE))=TRUE,"",
              VLOOKUP($G44,DanaSehat!$L$13:$AK$14,L$4,FALSE)))</t>
  </si>
  <si>
    <t>=IF(ISNUMBER($L$6)=FALSE,"",
        IF(ISERROR(VLOOKUP($G44,DanaSehat!$L$13:$AK$14,M$4,FALSE))=TRUE,"",
              VLOOKUP($G44,DanaSehat!$L$13:$AK$14,M$4,FALSE)))</t>
  </si>
  <si>
    <t>=IF(ISNUMBER($L$6)=FALSE,"",
        IF(ISERROR(VLOOKUP($G44,DanaSehat!$L$13:$AK$14,N$4,FALSE))=TRUE,"",
              VLOOKUP($G44,DanaSehat!$L$13:$AK$14,N$4,FALSE)))</t>
  </si>
  <si>
    <t>=IF(ISNUMBER($L$6)=FALSE,"",
        IF(ISERROR(VLOOKUP($G44,DanaSehat!$L$13:$AK$14,O$4,FALSE))=TRUE,"",
              VLOOKUP($G44,DanaSehat!$L$13:$AK$14,O$4,FALSE)))</t>
  </si>
  <si>
    <t>=IF(ISNUMBER($L$6)=FALSE,"",
        IF(ISERROR(VLOOKUP($G44,DanaSehat!$L$13:$AK$14,P$4,FALSE))=TRUE,"",
              VLOOKUP($G44,DanaSehat!$L$13:$AK$14,P$4,FALSE)))</t>
  </si>
  <si>
    <t>=IF(ISNUMBER($L$6)=FALSE,"",
        IF(ISERROR(VLOOKUP($G44,DanaSehat!$L$13:$AK$14,Q$4,FALSE))=TRUE,"",
              VLOOKUP($G44,DanaSehat!$L$13:$AK$14,Q$4,FALSE)))</t>
  </si>
  <si>
    <t>=IF(ISNUMBER($L$6)=FALSE,"",
        IF(ISERROR(VLOOKUP($G44,DanaSehat!$L$13:$AK$14,R$4,FALSE))=TRUE,"",
              VLOOKUP($G44,DanaSehat!$L$13:$AK$14,R$4,FALSE)))</t>
  </si>
  <si>
    <t>=IF(ISNUMBER($L$6)=FALSE,"",
        IF(ISERROR(VLOOKUP($G44,DanaSehat!$L$13:$AK$14,S$4,FALSE))=TRUE,"",
              VLOOKUP($G44,DanaSehat!$L$13:$AK$14,S$4,FALSE)))</t>
  </si>
  <si>
    <t>=IF(ISNUMBER($L$6)=FALSE,"",
        IF(ISERROR(VLOOKUP($G44,DanaSehat!$L$13:$AK$14,T$4,FALSE))=TRUE,"",
              VLOOKUP($G44,DanaSehat!$L$13:$AK$14,T$4,FALSE)))</t>
  </si>
  <si>
    <t>=IF(ISNUMBER($L$6)=FALSE,"",
        IF(ISERROR(VLOOKUP($G44,DanaSehat!$L$13:$AK$14,U$4,FALSE))=TRUE,"",
              VLOOKUP($G44,DanaSehat!$L$13:$AK$14,U$4,FALSE)))</t>
  </si>
  <si>
    <t>=IF(ISNUMBER($L$6)=FALSE,"",
        IF(ISERROR(VLOOKUP($G44,DanaSehat!$L$13:$AK$14,V$4,FALSE))=TRUE,"",
              VLOOKUP($G44,DanaSehat!$L$13:$AK$14,V$4,FALSE)))</t>
  </si>
  <si>
    <t>=IF(ISNUMBER($L$6)=FALSE,"",
        IF(ISERROR(VLOOKUP($G44,DanaSehat!$L$13:$AK$14,W$4,FALSE))=TRUE,"",
              VLOOKUP($G44,DanaSehat!$L$13:$AK$14,W$4,FALSE)))</t>
  </si>
  <si>
    <t>=IF(ISNUMBER($L$6)=FALSE,"",
        IF(ISERROR(VLOOKUP($G44,DanaSehat!$L$13:$AK$14,X$4,FALSE))=TRUE,"",
              VLOOKUP($G44,DanaSehat!$L$13:$AK$14,X$4,FALSE)))</t>
  </si>
  <si>
    <t>=IF(ISNUMBER($L$6)=FALSE,"",
        IF(ISERROR(VLOOKUP($G44,DanaSehat!$L$13:$AK$14,Y$4,FALSE))=TRUE,"",
              VLOOKUP($G44,DanaSehat!$L$13:$AK$14,Y$4,FALSE)))</t>
  </si>
  <si>
    <t>=IF(ISNUMBER($L$6)=FALSE,"",
        IF(ISERROR(VLOOKUP($G44,DanaSehat!$L$13:$AK$14,Z$4,FALSE))=TRUE,"",
              VLOOKUP($G44,DanaSehat!$L$13:$AK$14,Z$4,FALSE)))</t>
  </si>
  <si>
    <t>=IF(ISNUMBER($L$6)=FALSE,"",
        IF(ISERROR(VLOOKUP($G44,DanaSehat!$L$13:$AK$14,AA$4,FALSE))=TRUE,"",
              VLOOKUP($G44,DanaSehat!$L$13:$AK$14,AA$4,FALSE)))</t>
  </si>
  <si>
    <t>=IF(ISNUMBER($L$6)=FALSE,"",
        IF(ISERROR(VLOOKUP($G44,DanaSehat!$L$13:$AK$14,AB$4,FALSE))=TRUE,"",
              VLOOKUP($G44,DanaSehat!$L$13:$AK$14,AB$4,FALSE)))</t>
  </si>
  <si>
    <t>=IF(ISNUMBER($L$6)=FALSE,"",
        IF(ISERROR(VLOOKUP($G44,DanaSehat!$L$13:$AK$14,AC$4,FALSE))=TRUE,"",
              VLOOKUP($G44,DanaSehat!$L$13:$AK$14,AC$4,FALSE)))</t>
  </si>
  <si>
    <t>=IF(ISNUMBER($L$6)=FALSE,"",
        IF(ISERROR(VLOOKUP($G44,DanaSehat!$L$13:$AK$14,AD$4,FALSE))=TRUE,"",
              VLOOKUP($G44,DanaSehat!$L$13:$AK$14,AD$4,FALSE)))</t>
  </si>
  <si>
    <t>=IF(ISNUMBER($L$6)=FALSE,"",
        IF(ISERROR(VLOOKUP($G44,DanaSehat!$L$13:$AK$14,AE$4,FALSE))=TRUE,"",
              VLOOKUP($G44,DanaSehat!$L$13:$AK$14,AE$4,FALSE)))</t>
  </si>
  <si>
    <t>=IF(ISNUMBER($L$6)=FALSE,"",
        IF(ISERROR(VLOOKUP($G44,DanaSehat!$L$13:$AK$14,AF$4,FALSE))=TRUE,"",
              VLOOKUP($G44,DanaSehat!$L$13:$AK$14,AF$4,FALSE)))</t>
  </si>
  <si>
    <t>=IF($C44=$C$4,0,
       IF($C44=0,0,$C44+1))</t>
  </si>
  <si>
    <t>=IF(ISNUMBER($L$6)=FALSE,"",
IF($C45=0,"",$C45))</t>
  </si>
  <si>
    <t>=IF(ISNUMBER($L$6)=FALSE,"",
IF($C45=0,"",VLOOKUP($E45,DanaSehat!$H$13:$L$14,4,FALSE)))</t>
  </si>
  <si>
    <t>=IF(ISNUMBER($L$6)=FALSE,"",
IF($C45=0,"",VLOOKUP($E45,DanaSehat!$H$13:$L$14,5,FALSE)))</t>
  </si>
  <si>
    <t>=IF(ISNUMBER($L$6)=FALSE,"",
IF($C45=0,"",SUM(I45:AF45)))</t>
  </si>
  <si>
    <t>=IF(ISNUMBER($L$6)=FALSE,"",
        IF(ISERROR(VLOOKUP($G45,DanaSehat!$L$13:$AK$14,I$4,FALSE))=TRUE,"",
              VLOOKUP($G45,DanaSehat!$L$13:$AK$14,I$4,FALSE)))</t>
  </si>
  <si>
    <t>=IF(ISNUMBER($L$6)=FALSE,"",
        IF(ISERROR(VLOOKUP($G45,DanaSehat!$L$13:$AK$14,J$4,FALSE))=TRUE,"",
              VLOOKUP($G45,DanaSehat!$L$13:$AK$14,J$4,FALSE)))</t>
  </si>
  <si>
    <t>=IF(ISNUMBER($L$6)=FALSE,"",
        IF(ISERROR(VLOOKUP($G45,DanaSehat!$L$13:$AK$14,K$4,FALSE))=TRUE,"",
              VLOOKUP($G45,DanaSehat!$L$13:$AK$14,K$4,FALSE)))</t>
  </si>
  <si>
    <t>=IF(ISNUMBER($L$6)=FALSE,"",
        IF(ISERROR(VLOOKUP($G45,DanaSehat!$L$13:$AK$14,L$4,FALSE))=TRUE,"",
              VLOOKUP($G45,DanaSehat!$L$13:$AK$14,L$4,FALSE)))</t>
  </si>
  <si>
    <t>=IF(ISNUMBER($L$6)=FALSE,"",
        IF(ISERROR(VLOOKUP($G45,DanaSehat!$L$13:$AK$14,M$4,FALSE))=TRUE,"",
              VLOOKUP($G45,DanaSehat!$L$13:$AK$14,M$4,FALSE)))</t>
  </si>
  <si>
    <t>=IF(ISNUMBER($L$6)=FALSE,"",
        IF(ISERROR(VLOOKUP($G45,DanaSehat!$L$13:$AK$14,N$4,FALSE))=TRUE,"",
              VLOOKUP($G45,DanaSehat!$L$13:$AK$14,N$4,FALSE)))</t>
  </si>
  <si>
    <t>=IF(ISNUMBER($L$6)=FALSE,"",
        IF(ISERROR(VLOOKUP($G45,DanaSehat!$L$13:$AK$14,O$4,FALSE))=TRUE,"",
              VLOOKUP($G45,DanaSehat!$L$13:$AK$14,O$4,FALSE)))</t>
  </si>
  <si>
    <t>=IF(ISNUMBER($L$6)=FALSE,"",
        IF(ISERROR(VLOOKUP($G45,DanaSehat!$L$13:$AK$14,P$4,FALSE))=TRUE,"",
              VLOOKUP($G45,DanaSehat!$L$13:$AK$14,P$4,FALSE)))</t>
  </si>
  <si>
    <t>=IF(ISNUMBER($L$6)=FALSE,"",
        IF(ISERROR(VLOOKUP($G45,DanaSehat!$L$13:$AK$14,Q$4,FALSE))=TRUE,"",
              VLOOKUP($G45,DanaSehat!$L$13:$AK$14,Q$4,FALSE)))</t>
  </si>
  <si>
    <t>=IF(ISNUMBER($L$6)=FALSE,"",
        IF(ISERROR(VLOOKUP($G45,DanaSehat!$L$13:$AK$14,R$4,FALSE))=TRUE,"",
              VLOOKUP($G45,DanaSehat!$L$13:$AK$14,R$4,FALSE)))</t>
  </si>
  <si>
    <t>=IF(ISNUMBER($L$6)=FALSE,"",
        IF(ISERROR(VLOOKUP($G45,DanaSehat!$L$13:$AK$14,S$4,FALSE))=TRUE,"",
              VLOOKUP($G45,DanaSehat!$L$13:$AK$14,S$4,FALSE)))</t>
  </si>
  <si>
    <t>=IF(ISNUMBER($L$6)=FALSE,"",
        IF(ISERROR(VLOOKUP($G45,DanaSehat!$L$13:$AK$14,T$4,FALSE))=TRUE,"",
              VLOOKUP($G45,DanaSehat!$L$13:$AK$14,T$4,FALSE)))</t>
  </si>
  <si>
    <t>=IF(ISNUMBER($L$6)=FALSE,"",
        IF(ISERROR(VLOOKUP($G45,DanaSehat!$L$13:$AK$14,U$4,FALSE))=TRUE,"",
              VLOOKUP($G45,DanaSehat!$L$13:$AK$14,U$4,FALSE)))</t>
  </si>
  <si>
    <t>=IF(ISNUMBER($L$6)=FALSE,"",
        IF(ISERROR(VLOOKUP($G45,DanaSehat!$L$13:$AK$14,V$4,FALSE))=TRUE,"",
              VLOOKUP($G45,DanaSehat!$L$13:$AK$14,V$4,FALSE)))</t>
  </si>
  <si>
    <t>=IF(ISNUMBER($L$6)=FALSE,"",
        IF(ISERROR(VLOOKUP($G45,DanaSehat!$L$13:$AK$14,W$4,FALSE))=TRUE,"",
              VLOOKUP($G45,DanaSehat!$L$13:$AK$14,W$4,FALSE)))</t>
  </si>
  <si>
    <t>=IF(ISNUMBER($L$6)=FALSE,"",
        IF(ISERROR(VLOOKUP($G45,DanaSehat!$L$13:$AK$14,X$4,FALSE))=TRUE,"",
              VLOOKUP($G45,DanaSehat!$L$13:$AK$14,X$4,FALSE)))</t>
  </si>
  <si>
    <t>=IF(ISNUMBER($L$6)=FALSE,"",
        IF(ISERROR(VLOOKUP($G45,DanaSehat!$L$13:$AK$14,Y$4,FALSE))=TRUE,"",
              VLOOKUP($G45,DanaSehat!$L$13:$AK$14,Y$4,FALSE)))</t>
  </si>
  <si>
    <t>=IF(ISNUMBER($L$6)=FALSE,"",
        IF(ISERROR(VLOOKUP($G45,DanaSehat!$L$13:$AK$14,Z$4,FALSE))=TRUE,"",
              VLOOKUP($G45,DanaSehat!$L$13:$AK$14,Z$4,FALSE)))</t>
  </si>
  <si>
    <t>=IF(ISNUMBER($L$6)=FALSE,"",
        IF(ISERROR(VLOOKUP($G45,DanaSehat!$L$13:$AK$14,AA$4,FALSE))=TRUE,"",
              VLOOKUP($G45,DanaSehat!$L$13:$AK$14,AA$4,FALSE)))</t>
  </si>
  <si>
    <t>=IF(ISNUMBER($L$6)=FALSE,"",
        IF(ISERROR(VLOOKUP($G45,DanaSehat!$L$13:$AK$14,AB$4,FALSE))=TRUE,"",
              VLOOKUP($G45,DanaSehat!$L$13:$AK$14,AB$4,FALSE)))</t>
  </si>
  <si>
    <t>=IF(ISNUMBER($L$6)=FALSE,"",
        IF(ISERROR(VLOOKUP($G45,DanaSehat!$L$13:$AK$14,AC$4,FALSE))=TRUE,"",
              VLOOKUP($G45,DanaSehat!$L$13:$AK$14,AC$4,FALSE)))</t>
  </si>
  <si>
    <t>=IF(ISNUMBER($L$6)=FALSE,"",
        IF(ISERROR(VLOOKUP($G45,DanaSehat!$L$13:$AK$14,AD$4,FALSE))=TRUE,"",
              VLOOKUP($G45,DanaSehat!$L$13:$AK$14,AD$4,FALSE)))</t>
  </si>
  <si>
    <t>=IF(ISNUMBER($L$6)=FALSE,"",
        IF(ISERROR(VLOOKUP($G45,DanaSehat!$L$13:$AK$14,AE$4,FALSE))=TRUE,"",
              VLOOKUP($G45,DanaSehat!$L$13:$AK$14,AE$4,FALSE)))</t>
  </si>
  <si>
    <t>=IF(ISNUMBER($L$6)=FALSE,"",
        IF(ISERROR(VLOOKUP($G45,DanaSehat!$L$13:$AK$14,AF$4,FALSE))=TRUE,"",
              VLOOKUP($G45,DanaSehat!$L$13:$AK$14,AF$4,FALSE)))</t>
  </si>
  <si>
    <t>=IF($C45=$C$4,0,
       IF($C45=0,0,$C45+1))</t>
  </si>
  <si>
    <t>=IF(ISNUMBER($L$6)=FALSE,"",
IF($C46=0,"",$C46))</t>
  </si>
  <si>
    <t>=IF(ISNUMBER($L$6)=FALSE,"",
IF($C46=0,"",VLOOKUP($E46,DanaSehat!$H$13:$L$14,4,FALSE)))</t>
  </si>
  <si>
    <t>=IF(ISNUMBER($L$6)=FALSE,"",
IF($C46=0,"",VLOOKUP($E46,DanaSehat!$H$13:$L$14,5,FALSE)))</t>
  </si>
  <si>
    <t>=IF(ISNUMBER($L$6)=FALSE,"",
IF($C46=0,"",SUM(I46:AF46)))</t>
  </si>
  <si>
    <t>=IF(ISNUMBER($L$6)=FALSE,"",
        IF(ISERROR(VLOOKUP($G46,DanaSehat!$L$13:$AK$14,I$4,FALSE))=TRUE,"",
              VLOOKUP($G46,DanaSehat!$L$13:$AK$14,I$4,FALSE)))</t>
  </si>
  <si>
    <t>=IF(ISNUMBER($L$6)=FALSE,"",
        IF(ISERROR(VLOOKUP($G46,DanaSehat!$L$13:$AK$14,J$4,FALSE))=TRUE,"",
              VLOOKUP($G46,DanaSehat!$L$13:$AK$14,J$4,FALSE)))</t>
  </si>
  <si>
    <t>=IF(ISNUMBER($L$6)=FALSE,"",
        IF(ISERROR(VLOOKUP($G46,DanaSehat!$L$13:$AK$14,K$4,FALSE))=TRUE,"",
              VLOOKUP($G46,DanaSehat!$L$13:$AK$14,K$4,FALSE)))</t>
  </si>
  <si>
    <t>=IF(ISNUMBER($L$6)=FALSE,"",
        IF(ISERROR(VLOOKUP($G46,DanaSehat!$L$13:$AK$14,L$4,FALSE))=TRUE,"",
              VLOOKUP($G46,DanaSehat!$L$13:$AK$14,L$4,FALSE)))</t>
  </si>
  <si>
    <t>=IF(ISNUMBER($L$6)=FALSE,"",
        IF(ISERROR(VLOOKUP($G46,DanaSehat!$L$13:$AK$14,M$4,FALSE))=TRUE,"",
              VLOOKUP($G46,DanaSehat!$L$13:$AK$14,M$4,FALSE)))</t>
  </si>
  <si>
    <t>=IF(ISNUMBER($L$6)=FALSE,"",
        IF(ISERROR(VLOOKUP($G46,DanaSehat!$L$13:$AK$14,N$4,FALSE))=TRUE,"",
              VLOOKUP($G46,DanaSehat!$L$13:$AK$14,N$4,FALSE)))</t>
  </si>
  <si>
    <t>=IF(ISNUMBER($L$6)=FALSE,"",
        IF(ISERROR(VLOOKUP($G46,DanaSehat!$L$13:$AK$14,O$4,FALSE))=TRUE,"",
              VLOOKUP($G46,DanaSehat!$L$13:$AK$14,O$4,FALSE)))</t>
  </si>
  <si>
    <t>=IF(ISNUMBER($L$6)=FALSE,"",
        IF(ISERROR(VLOOKUP($G46,DanaSehat!$L$13:$AK$14,P$4,FALSE))=TRUE,"",
              VLOOKUP($G46,DanaSehat!$L$13:$AK$14,P$4,FALSE)))</t>
  </si>
  <si>
    <t>=IF(ISNUMBER($L$6)=FALSE,"",
        IF(ISERROR(VLOOKUP($G46,DanaSehat!$L$13:$AK$14,Q$4,FALSE))=TRUE,"",
              VLOOKUP($G46,DanaSehat!$L$13:$AK$14,Q$4,FALSE)))</t>
  </si>
  <si>
    <t>=IF(ISNUMBER($L$6)=FALSE,"",
        IF(ISERROR(VLOOKUP($G46,DanaSehat!$L$13:$AK$14,R$4,FALSE))=TRUE,"",
              VLOOKUP($G46,DanaSehat!$L$13:$AK$14,R$4,FALSE)))</t>
  </si>
  <si>
    <t>=IF(ISNUMBER($L$6)=FALSE,"",
        IF(ISERROR(VLOOKUP($G46,DanaSehat!$L$13:$AK$14,S$4,FALSE))=TRUE,"",
              VLOOKUP($G46,DanaSehat!$L$13:$AK$14,S$4,FALSE)))</t>
  </si>
  <si>
    <t>=IF(ISNUMBER($L$6)=FALSE,"",
        IF(ISERROR(VLOOKUP($G46,DanaSehat!$L$13:$AK$14,T$4,FALSE))=TRUE,"",
              VLOOKUP($G46,DanaSehat!$L$13:$AK$14,T$4,FALSE)))</t>
  </si>
  <si>
    <t>=IF(ISNUMBER($L$6)=FALSE,"",
        IF(ISERROR(VLOOKUP($G46,DanaSehat!$L$13:$AK$14,U$4,FALSE))=TRUE,"",
              VLOOKUP($G46,DanaSehat!$L$13:$AK$14,U$4,FALSE)))</t>
  </si>
  <si>
    <t>=IF(ISNUMBER($L$6)=FALSE,"",
        IF(ISERROR(VLOOKUP($G46,DanaSehat!$L$13:$AK$14,V$4,FALSE))=TRUE,"",
              VLOOKUP($G46,DanaSehat!$L$13:$AK$14,V$4,FALSE)))</t>
  </si>
  <si>
    <t>=IF(ISNUMBER($L$6)=FALSE,"",
        IF(ISERROR(VLOOKUP($G46,DanaSehat!$L$13:$AK$14,W$4,FALSE))=TRUE,"",
              VLOOKUP($G46,DanaSehat!$L$13:$AK$14,W$4,FALSE)))</t>
  </si>
  <si>
    <t>=IF(ISNUMBER($L$6)=FALSE,"",
        IF(ISERROR(VLOOKUP($G46,DanaSehat!$L$13:$AK$14,X$4,FALSE))=TRUE,"",
              VLOOKUP($G46,DanaSehat!$L$13:$AK$14,X$4,FALSE)))</t>
  </si>
  <si>
    <t>=IF(ISNUMBER($L$6)=FALSE,"",
        IF(ISERROR(VLOOKUP($G46,DanaSehat!$L$13:$AK$14,Y$4,FALSE))=TRUE,"",
              VLOOKUP($G46,DanaSehat!$L$13:$AK$14,Y$4,FALSE)))</t>
  </si>
  <si>
    <t>=IF(ISNUMBER($L$6)=FALSE,"",
        IF(ISERROR(VLOOKUP($G46,DanaSehat!$L$13:$AK$14,Z$4,FALSE))=TRUE,"",
              VLOOKUP($G46,DanaSehat!$L$13:$AK$14,Z$4,FALSE)))</t>
  </si>
  <si>
    <t>=IF(ISNUMBER($L$6)=FALSE,"",
        IF(ISERROR(VLOOKUP($G46,DanaSehat!$L$13:$AK$14,AA$4,FALSE))=TRUE,"",
              VLOOKUP($G46,DanaSehat!$L$13:$AK$14,AA$4,FALSE)))</t>
  </si>
  <si>
    <t>=IF(ISNUMBER($L$6)=FALSE,"",
        IF(ISERROR(VLOOKUP($G46,DanaSehat!$L$13:$AK$14,AB$4,FALSE))=TRUE,"",
              VLOOKUP($G46,DanaSehat!$L$13:$AK$14,AB$4,FALSE)))</t>
  </si>
  <si>
    <t>=IF(ISNUMBER($L$6)=FALSE,"",
        IF(ISERROR(VLOOKUP($G46,DanaSehat!$L$13:$AK$14,AC$4,FALSE))=TRUE,"",
              VLOOKUP($G46,DanaSehat!$L$13:$AK$14,AC$4,FALSE)))</t>
  </si>
  <si>
    <t>=IF(ISNUMBER($L$6)=FALSE,"",
        IF(ISERROR(VLOOKUP($G46,DanaSehat!$L$13:$AK$14,AD$4,FALSE))=TRUE,"",
              VLOOKUP($G46,DanaSehat!$L$13:$AK$14,AD$4,FALSE)))</t>
  </si>
  <si>
    <t>=IF(ISNUMBER($L$6)=FALSE,"",
        IF(ISERROR(VLOOKUP($G46,DanaSehat!$L$13:$AK$14,AE$4,FALSE))=TRUE,"",
              VLOOKUP($G46,DanaSehat!$L$13:$AK$14,AE$4,FALSE)))</t>
  </si>
  <si>
    <t>=IF(ISNUMBER($L$6)=FALSE,"",
        IF(ISERROR(VLOOKUP($G46,DanaSehat!$L$13:$AK$14,AF$4,FALSE))=TRUE,"",
              VLOOKUP($G46,DanaSehat!$L$13:$AK$14,AF$4,FALSE)))</t>
  </si>
  <si>
    <t>=IF($C46=$C$4,0,
       IF($C46=0,0,$C46+1))</t>
  </si>
  <si>
    <t>=IF(ISNUMBER($L$6)=FALSE,"",
IF($C47=0,"",$C47))</t>
  </si>
  <si>
    <t>=IF(ISNUMBER($L$6)=FALSE,"",
IF($C47=0,"",VLOOKUP($E47,DanaSehat!$H$13:$L$14,4,FALSE)))</t>
  </si>
  <si>
    <t>=IF(ISNUMBER($L$6)=FALSE,"",
IF($C47=0,"",VLOOKUP($E47,DanaSehat!$H$13:$L$14,5,FALSE)))</t>
  </si>
  <si>
    <t>=IF(ISNUMBER($L$6)=FALSE,"",
IF($C47=0,"",SUM(I47:AF47)))</t>
  </si>
  <si>
    <t>=IF(ISNUMBER($L$6)=FALSE,"",
        IF(ISERROR(VLOOKUP($G47,DanaSehat!$L$13:$AK$14,I$4,FALSE))=TRUE,"",
              VLOOKUP($G47,DanaSehat!$L$13:$AK$14,I$4,FALSE)))</t>
  </si>
  <si>
    <t>=IF(ISNUMBER($L$6)=FALSE,"",
        IF(ISERROR(VLOOKUP($G47,DanaSehat!$L$13:$AK$14,J$4,FALSE))=TRUE,"",
              VLOOKUP($G47,DanaSehat!$L$13:$AK$14,J$4,FALSE)))</t>
  </si>
  <si>
    <t>=IF(ISNUMBER($L$6)=FALSE,"",
        IF(ISERROR(VLOOKUP($G47,DanaSehat!$L$13:$AK$14,K$4,FALSE))=TRUE,"",
              VLOOKUP($G47,DanaSehat!$L$13:$AK$14,K$4,FALSE)))</t>
  </si>
  <si>
    <t>=IF(ISNUMBER($L$6)=FALSE,"",
        IF(ISERROR(VLOOKUP($G47,DanaSehat!$L$13:$AK$14,L$4,FALSE))=TRUE,"",
              VLOOKUP($G47,DanaSehat!$L$13:$AK$14,L$4,FALSE)))</t>
  </si>
  <si>
    <t>=IF(ISNUMBER($L$6)=FALSE,"",
        IF(ISERROR(VLOOKUP($G47,DanaSehat!$L$13:$AK$14,M$4,FALSE))=TRUE,"",
              VLOOKUP($G47,DanaSehat!$L$13:$AK$14,M$4,FALSE)))</t>
  </si>
  <si>
    <t>=IF(ISNUMBER($L$6)=FALSE,"",
        IF(ISERROR(VLOOKUP($G47,DanaSehat!$L$13:$AK$14,N$4,FALSE))=TRUE,"",
              VLOOKUP($G47,DanaSehat!$L$13:$AK$14,N$4,FALSE)))</t>
  </si>
  <si>
    <t>=IF(ISNUMBER($L$6)=FALSE,"",
        IF(ISERROR(VLOOKUP($G47,DanaSehat!$L$13:$AK$14,O$4,FALSE))=TRUE,"",
              VLOOKUP($G47,DanaSehat!$L$13:$AK$14,O$4,FALSE)))</t>
  </si>
  <si>
    <t>=IF(ISNUMBER($L$6)=FALSE,"",
        IF(ISERROR(VLOOKUP($G47,DanaSehat!$L$13:$AK$14,P$4,FALSE))=TRUE,"",
              VLOOKUP($G47,DanaSehat!$L$13:$AK$14,P$4,FALSE)))</t>
  </si>
  <si>
    <t>=IF(ISNUMBER($L$6)=FALSE,"",
        IF(ISERROR(VLOOKUP($G47,DanaSehat!$L$13:$AK$14,Q$4,FALSE))=TRUE,"",
              VLOOKUP($G47,DanaSehat!$L$13:$AK$14,Q$4,FALSE)))</t>
  </si>
  <si>
    <t>=IF(ISNUMBER($L$6)=FALSE,"",
        IF(ISERROR(VLOOKUP($G47,DanaSehat!$L$13:$AK$14,R$4,FALSE))=TRUE,"",
              VLOOKUP($G47,DanaSehat!$L$13:$AK$14,R$4,FALSE)))</t>
  </si>
  <si>
    <t>=IF(ISNUMBER($L$6)=FALSE,"",
        IF(ISERROR(VLOOKUP($G47,DanaSehat!$L$13:$AK$14,S$4,FALSE))=TRUE,"",
              VLOOKUP($G47,DanaSehat!$L$13:$AK$14,S$4,FALSE)))</t>
  </si>
  <si>
    <t>=IF(ISNUMBER($L$6)=FALSE,"",
        IF(ISERROR(VLOOKUP($G47,DanaSehat!$L$13:$AK$14,T$4,FALSE))=TRUE,"",
              VLOOKUP($G47,DanaSehat!$L$13:$AK$14,T$4,FALSE)))</t>
  </si>
  <si>
    <t>=IF(ISNUMBER($L$6)=FALSE,"",
        IF(ISERROR(VLOOKUP($G47,DanaSehat!$L$13:$AK$14,U$4,FALSE))=TRUE,"",
              VLOOKUP($G47,DanaSehat!$L$13:$AK$14,U$4,FALSE)))</t>
  </si>
  <si>
    <t>=IF(ISNUMBER($L$6)=FALSE,"",
        IF(ISERROR(VLOOKUP($G47,DanaSehat!$L$13:$AK$14,V$4,FALSE))=TRUE,"",
              VLOOKUP($G47,DanaSehat!$L$13:$AK$14,V$4,FALSE)))</t>
  </si>
  <si>
    <t>=IF(ISNUMBER($L$6)=FALSE,"",
        IF(ISERROR(VLOOKUP($G47,DanaSehat!$L$13:$AK$14,W$4,FALSE))=TRUE,"",
              VLOOKUP($G47,DanaSehat!$L$13:$AK$14,W$4,FALSE)))</t>
  </si>
  <si>
    <t>=IF(ISNUMBER($L$6)=FALSE,"",
        IF(ISERROR(VLOOKUP($G47,DanaSehat!$L$13:$AK$14,X$4,FALSE))=TRUE,"",
              VLOOKUP($G47,DanaSehat!$L$13:$AK$14,X$4,FALSE)))</t>
  </si>
  <si>
    <t>=IF(ISNUMBER($L$6)=FALSE,"",
        IF(ISERROR(VLOOKUP($G47,DanaSehat!$L$13:$AK$14,Y$4,FALSE))=TRUE,"",
              VLOOKUP($G47,DanaSehat!$L$13:$AK$14,Y$4,FALSE)))</t>
  </si>
  <si>
    <t>=IF(ISNUMBER($L$6)=FALSE,"",
        IF(ISERROR(VLOOKUP($G47,DanaSehat!$L$13:$AK$14,Z$4,FALSE))=TRUE,"",
              VLOOKUP($G47,DanaSehat!$L$13:$AK$14,Z$4,FALSE)))</t>
  </si>
  <si>
    <t>=IF(ISNUMBER($L$6)=FALSE,"",
        IF(ISERROR(VLOOKUP($G47,DanaSehat!$L$13:$AK$14,AA$4,FALSE))=TRUE,"",
              VLOOKUP($G47,DanaSehat!$L$13:$AK$14,AA$4,FALSE)))</t>
  </si>
  <si>
    <t>=IF(ISNUMBER($L$6)=FALSE,"",
        IF(ISERROR(VLOOKUP($G47,DanaSehat!$L$13:$AK$14,AB$4,FALSE))=TRUE,"",
              VLOOKUP($G47,DanaSehat!$L$13:$AK$14,AB$4,FALSE)))</t>
  </si>
  <si>
    <t>=IF(ISNUMBER($L$6)=FALSE,"",
        IF(ISERROR(VLOOKUP($G47,DanaSehat!$L$13:$AK$14,AC$4,FALSE))=TRUE,"",
              VLOOKUP($G47,DanaSehat!$L$13:$AK$14,AC$4,FALSE)))</t>
  </si>
  <si>
    <t>=IF(ISNUMBER($L$6)=FALSE,"",
        IF(ISERROR(VLOOKUP($G47,DanaSehat!$L$13:$AK$14,AD$4,FALSE))=TRUE,"",
              VLOOKUP($G47,DanaSehat!$L$13:$AK$14,AD$4,FALSE)))</t>
  </si>
  <si>
    <t>=IF(ISNUMBER($L$6)=FALSE,"",
        IF(ISERROR(VLOOKUP($G47,DanaSehat!$L$13:$AK$14,AE$4,FALSE))=TRUE,"",
              VLOOKUP($G47,DanaSehat!$L$13:$AK$14,AE$4,FALSE)))</t>
  </si>
  <si>
    <t>=IF(ISNUMBER($L$6)=FALSE,"",
        IF(ISERROR(VLOOKUP($G47,DanaSehat!$L$13:$AK$14,AF$4,FALSE))=TRUE,"",
              VLOOKUP($G47,DanaSehat!$L$13:$AK$14,AF$4,FALSE)))</t>
  </si>
  <si>
    <t>=IF($C47=$C$4,0,
       IF($C47=0,0,$C47+1))</t>
  </si>
  <si>
    <t>=IF(ISNUMBER($L$6)=FALSE,"",
IF($C48=0,"",$C48))</t>
  </si>
  <si>
    <t>=IF(ISNUMBER($L$6)=FALSE,"",
IF($C48=0,"",VLOOKUP($E48,DanaSehat!$H$13:$L$14,4,FALSE)))</t>
  </si>
  <si>
    <t>=IF(ISNUMBER($L$6)=FALSE,"",
IF($C48=0,"",VLOOKUP($E48,DanaSehat!$H$13:$L$14,5,FALSE)))</t>
  </si>
  <si>
    <t>=IF(ISNUMBER($L$6)=FALSE,"",
IF($C48=0,"",SUM(I48:AF48)))</t>
  </si>
  <si>
    <t>=IF(ISNUMBER($L$6)=FALSE,"",
        IF(ISERROR(VLOOKUP($G48,DanaSehat!$L$13:$AK$14,I$4,FALSE))=TRUE,"",
              VLOOKUP($G48,DanaSehat!$L$13:$AK$14,I$4,FALSE)))</t>
  </si>
  <si>
    <t>=IF(ISNUMBER($L$6)=FALSE,"",
        IF(ISERROR(VLOOKUP($G48,DanaSehat!$L$13:$AK$14,J$4,FALSE))=TRUE,"",
              VLOOKUP($G48,DanaSehat!$L$13:$AK$14,J$4,FALSE)))</t>
  </si>
  <si>
    <t>=IF(ISNUMBER($L$6)=FALSE,"",
        IF(ISERROR(VLOOKUP($G48,DanaSehat!$L$13:$AK$14,K$4,FALSE))=TRUE,"",
              VLOOKUP($G48,DanaSehat!$L$13:$AK$14,K$4,FALSE)))</t>
  </si>
  <si>
    <t>=IF(ISNUMBER($L$6)=FALSE,"",
        IF(ISERROR(VLOOKUP($G48,DanaSehat!$L$13:$AK$14,L$4,FALSE))=TRUE,"",
              VLOOKUP($G48,DanaSehat!$L$13:$AK$14,L$4,FALSE)))</t>
  </si>
  <si>
    <t>=IF(ISNUMBER($L$6)=FALSE,"",
        IF(ISERROR(VLOOKUP($G48,DanaSehat!$L$13:$AK$14,M$4,FALSE))=TRUE,"",
              VLOOKUP($G48,DanaSehat!$L$13:$AK$14,M$4,FALSE)))</t>
  </si>
  <si>
    <t>=IF(ISNUMBER($L$6)=FALSE,"",
        IF(ISERROR(VLOOKUP($G48,DanaSehat!$L$13:$AK$14,N$4,FALSE))=TRUE,"",
              VLOOKUP($G48,DanaSehat!$L$13:$AK$14,N$4,FALSE)))</t>
  </si>
  <si>
    <t>=IF(ISNUMBER($L$6)=FALSE,"",
        IF(ISERROR(VLOOKUP($G48,DanaSehat!$L$13:$AK$14,O$4,FALSE))=TRUE,"",
              VLOOKUP($G48,DanaSehat!$L$13:$AK$14,O$4,FALSE)))</t>
  </si>
  <si>
    <t>=IF(ISNUMBER($L$6)=FALSE,"",
        IF(ISERROR(VLOOKUP($G48,DanaSehat!$L$13:$AK$14,P$4,FALSE))=TRUE,"",
              VLOOKUP($G48,DanaSehat!$L$13:$AK$14,P$4,FALSE)))</t>
  </si>
  <si>
    <t>=IF(ISNUMBER($L$6)=FALSE,"",
        IF(ISERROR(VLOOKUP($G48,DanaSehat!$L$13:$AK$14,Q$4,FALSE))=TRUE,"",
              VLOOKUP($G48,DanaSehat!$L$13:$AK$14,Q$4,FALSE)))</t>
  </si>
  <si>
    <t>=IF(ISNUMBER($L$6)=FALSE,"",
        IF(ISERROR(VLOOKUP($G48,DanaSehat!$L$13:$AK$14,R$4,FALSE))=TRUE,"",
              VLOOKUP($G48,DanaSehat!$L$13:$AK$14,R$4,FALSE)))</t>
  </si>
  <si>
    <t>=IF(ISNUMBER($L$6)=FALSE,"",
        IF(ISERROR(VLOOKUP($G48,DanaSehat!$L$13:$AK$14,S$4,FALSE))=TRUE,"",
              VLOOKUP($G48,DanaSehat!$L$13:$AK$14,S$4,FALSE)))</t>
  </si>
  <si>
    <t>=IF(ISNUMBER($L$6)=FALSE,"",
        IF(ISERROR(VLOOKUP($G48,DanaSehat!$L$13:$AK$14,T$4,FALSE))=TRUE,"",
              VLOOKUP($G48,DanaSehat!$L$13:$AK$14,T$4,FALSE)))</t>
  </si>
  <si>
    <t>=IF(ISNUMBER($L$6)=FALSE,"",
        IF(ISERROR(VLOOKUP($G48,DanaSehat!$L$13:$AK$14,U$4,FALSE))=TRUE,"",
              VLOOKUP($G48,DanaSehat!$L$13:$AK$14,U$4,FALSE)))</t>
  </si>
  <si>
    <t>=IF(ISNUMBER($L$6)=FALSE,"",
        IF(ISERROR(VLOOKUP($G48,DanaSehat!$L$13:$AK$14,V$4,FALSE))=TRUE,"",
              VLOOKUP($G48,DanaSehat!$L$13:$AK$14,V$4,FALSE)))</t>
  </si>
  <si>
    <t>=IF(ISNUMBER($L$6)=FALSE,"",
        IF(ISERROR(VLOOKUP($G48,DanaSehat!$L$13:$AK$14,W$4,FALSE))=TRUE,"",
              VLOOKUP($G48,DanaSehat!$L$13:$AK$14,W$4,FALSE)))</t>
  </si>
  <si>
    <t>=IF(ISNUMBER($L$6)=FALSE,"",
        IF(ISERROR(VLOOKUP($G48,DanaSehat!$L$13:$AK$14,X$4,FALSE))=TRUE,"",
              VLOOKUP($G48,DanaSehat!$L$13:$AK$14,X$4,FALSE)))</t>
  </si>
  <si>
    <t>=IF(ISNUMBER($L$6)=FALSE,"",
        IF(ISERROR(VLOOKUP($G48,DanaSehat!$L$13:$AK$14,Y$4,FALSE))=TRUE,"",
              VLOOKUP($G48,DanaSehat!$L$13:$AK$14,Y$4,FALSE)))</t>
  </si>
  <si>
    <t>=IF(ISNUMBER($L$6)=FALSE,"",
        IF(ISERROR(VLOOKUP($G48,DanaSehat!$L$13:$AK$14,Z$4,FALSE))=TRUE,"",
              VLOOKUP($G48,DanaSehat!$L$13:$AK$14,Z$4,FALSE)))</t>
  </si>
  <si>
    <t>=IF(ISNUMBER($L$6)=FALSE,"",
        IF(ISERROR(VLOOKUP($G48,DanaSehat!$L$13:$AK$14,AA$4,FALSE))=TRUE,"",
              VLOOKUP($G48,DanaSehat!$L$13:$AK$14,AA$4,FALSE)))</t>
  </si>
  <si>
    <t>=IF(ISNUMBER($L$6)=FALSE,"",
        IF(ISERROR(VLOOKUP($G48,DanaSehat!$L$13:$AK$14,AB$4,FALSE))=TRUE,"",
              VLOOKUP($G48,DanaSehat!$L$13:$AK$14,AB$4,FALSE)))</t>
  </si>
  <si>
    <t>=IF(ISNUMBER($L$6)=FALSE,"",
        IF(ISERROR(VLOOKUP($G48,DanaSehat!$L$13:$AK$14,AC$4,FALSE))=TRUE,"",
              VLOOKUP($G48,DanaSehat!$L$13:$AK$14,AC$4,FALSE)))</t>
  </si>
  <si>
    <t>=IF(ISNUMBER($L$6)=FALSE,"",
        IF(ISERROR(VLOOKUP($G48,DanaSehat!$L$13:$AK$14,AD$4,FALSE))=TRUE,"",
              VLOOKUP($G48,DanaSehat!$L$13:$AK$14,AD$4,FALSE)))</t>
  </si>
  <si>
    <t>=IF(ISNUMBER($L$6)=FALSE,"",
        IF(ISERROR(VLOOKUP($G48,DanaSehat!$L$13:$AK$14,AE$4,FALSE))=TRUE,"",
              VLOOKUP($G48,DanaSehat!$L$13:$AK$14,AE$4,FALSE)))</t>
  </si>
  <si>
    <t>=IF(ISNUMBER($L$6)=FALSE,"",
        IF(ISERROR(VLOOKUP($G48,DanaSehat!$L$13:$AK$14,AF$4,FALSE))=TRUE,"",
              VLOOKUP($G48,DanaSehat!$L$13:$AK$14,AF$4,FALSE)))</t>
  </si>
  <si>
    <t>=IF($C48=$C$4,0,
       IF($C48=0,0,$C48+1))</t>
  </si>
  <si>
    <t>=IF(ISNUMBER($L$6)=FALSE,"",
IF($C49=0,"",$C49))</t>
  </si>
  <si>
    <t>=IF(ISNUMBER($L$6)=FALSE,"",
IF($C49=0,"",VLOOKUP($E49,DanaSehat!$H$13:$L$14,4,FALSE)))</t>
  </si>
  <si>
    <t>=IF(ISNUMBER($L$6)=FALSE,"",
IF($C49=0,"",VLOOKUP($E49,DanaSehat!$H$13:$L$14,5,FALSE)))</t>
  </si>
  <si>
    <t>=IF(ISNUMBER($L$6)=FALSE,"",
IF($C49=0,"",SUM(I49:AF49)))</t>
  </si>
  <si>
    <t>=IF(ISNUMBER($L$6)=FALSE,"",
        IF(ISERROR(VLOOKUP($G49,DanaSehat!$L$13:$AK$14,I$4,FALSE))=TRUE,"",
              VLOOKUP($G49,DanaSehat!$L$13:$AK$14,I$4,FALSE)))</t>
  </si>
  <si>
    <t>=IF(ISNUMBER($L$6)=FALSE,"",
        IF(ISERROR(VLOOKUP($G49,DanaSehat!$L$13:$AK$14,J$4,FALSE))=TRUE,"",
              VLOOKUP($G49,DanaSehat!$L$13:$AK$14,J$4,FALSE)))</t>
  </si>
  <si>
    <t>=IF(ISNUMBER($L$6)=FALSE,"",
        IF(ISERROR(VLOOKUP($G49,DanaSehat!$L$13:$AK$14,K$4,FALSE))=TRUE,"",
              VLOOKUP($G49,DanaSehat!$L$13:$AK$14,K$4,FALSE)))</t>
  </si>
  <si>
    <t>=IF(ISNUMBER($L$6)=FALSE,"",
        IF(ISERROR(VLOOKUP($G49,DanaSehat!$L$13:$AK$14,L$4,FALSE))=TRUE,"",
              VLOOKUP($G49,DanaSehat!$L$13:$AK$14,L$4,FALSE)))</t>
  </si>
  <si>
    <t>=IF(ISNUMBER($L$6)=FALSE,"",
        IF(ISERROR(VLOOKUP($G49,DanaSehat!$L$13:$AK$14,M$4,FALSE))=TRUE,"",
              VLOOKUP($G49,DanaSehat!$L$13:$AK$14,M$4,FALSE)))</t>
  </si>
  <si>
    <t>=IF(ISNUMBER($L$6)=FALSE,"",
        IF(ISERROR(VLOOKUP($G49,DanaSehat!$L$13:$AK$14,N$4,FALSE))=TRUE,"",
              VLOOKUP($G49,DanaSehat!$L$13:$AK$14,N$4,FALSE)))</t>
  </si>
  <si>
    <t>=IF(ISNUMBER($L$6)=FALSE,"",
        IF(ISERROR(VLOOKUP($G49,DanaSehat!$L$13:$AK$14,O$4,FALSE))=TRUE,"",
              VLOOKUP($G49,DanaSehat!$L$13:$AK$14,O$4,FALSE)))</t>
  </si>
  <si>
    <t>=IF(ISNUMBER($L$6)=FALSE,"",
        IF(ISERROR(VLOOKUP($G49,DanaSehat!$L$13:$AK$14,P$4,FALSE))=TRUE,"",
              VLOOKUP($G49,DanaSehat!$L$13:$AK$14,P$4,FALSE)))</t>
  </si>
  <si>
    <t>=IF(ISNUMBER($L$6)=FALSE,"",
        IF(ISERROR(VLOOKUP($G49,DanaSehat!$L$13:$AK$14,Q$4,FALSE))=TRUE,"",
              VLOOKUP($G49,DanaSehat!$L$13:$AK$14,Q$4,FALSE)))</t>
  </si>
  <si>
    <t>=IF(ISNUMBER($L$6)=FALSE,"",
        IF(ISERROR(VLOOKUP($G49,DanaSehat!$L$13:$AK$14,R$4,FALSE))=TRUE,"",
              VLOOKUP($G49,DanaSehat!$L$13:$AK$14,R$4,FALSE)))</t>
  </si>
  <si>
    <t>=IF(ISNUMBER($L$6)=FALSE,"",
        IF(ISERROR(VLOOKUP($G49,DanaSehat!$L$13:$AK$14,S$4,FALSE))=TRUE,"",
              VLOOKUP($G49,DanaSehat!$L$13:$AK$14,S$4,FALSE)))</t>
  </si>
  <si>
    <t>=IF(ISNUMBER($L$6)=FALSE,"",
        IF(ISERROR(VLOOKUP($G49,DanaSehat!$L$13:$AK$14,T$4,FALSE))=TRUE,"",
              VLOOKUP($G49,DanaSehat!$L$13:$AK$14,T$4,FALSE)))</t>
  </si>
  <si>
    <t>=IF(ISNUMBER($L$6)=FALSE,"",
        IF(ISERROR(VLOOKUP($G49,DanaSehat!$L$13:$AK$14,U$4,FALSE))=TRUE,"",
              VLOOKUP($G49,DanaSehat!$L$13:$AK$14,U$4,FALSE)))</t>
  </si>
  <si>
    <t>=IF(ISNUMBER($L$6)=FALSE,"",
        IF(ISERROR(VLOOKUP($G49,DanaSehat!$L$13:$AK$14,V$4,FALSE))=TRUE,"",
              VLOOKUP($G49,DanaSehat!$L$13:$AK$14,V$4,FALSE)))</t>
  </si>
  <si>
    <t>=IF(ISNUMBER($L$6)=FALSE,"",
        IF(ISERROR(VLOOKUP($G49,DanaSehat!$L$13:$AK$14,W$4,FALSE))=TRUE,"",
              VLOOKUP($G49,DanaSehat!$L$13:$AK$14,W$4,FALSE)))</t>
  </si>
  <si>
    <t>=IF(ISNUMBER($L$6)=FALSE,"",
        IF(ISERROR(VLOOKUP($G49,DanaSehat!$L$13:$AK$14,X$4,FALSE))=TRUE,"",
              VLOOKUP($G49,DanaSehat!$L$13:$AK$14,X$4,FALSE)))</t>
  </si>
  <si>
    <t>=IF(ISNUMBER($L$6)=FALSE,"",
        IF(ISERROR(VLOOKUP($G49,DanaSehat!$L$13:$AK$14,Y$4,FALSE))=TRUE,"",
              VLOOKUP($G49,DanaSehat!$L$13:$AK$14,Y$4,FALSE)))</t>
  </si>
  <si>
    <t>=IF(ISNUMBER($L$6)=FALSE,"",
        IF(ISERROR(VLOOKUP($G49,DanaSehat!$L$13:$AK$14,Z$4,FALSE))=TRUE,"",
              VLOOKUP($G49,DanaSehat!$L$13:$AK$14,Z$4,FALSE)))</t>
  </si>
  <si>
    <t>=IF(ISNUMBER($L$6)=FALSE,"",
        IF(ISERROR(VLOOKUP($G49,DanaSehat!$L$13:$AK$14,AA$4,FALSE))=TRUE,"",
              VLOOKUP($G49,DanaSehat!$L$13:$AK$14,AA$4,FALSE)))</t>
  </si>
  <si>
    <t>=IF(ISNUMBER($L$6)=FALSE,"",
        IF(ISERROR(VLOOKUP($G49,DanaSehat!$L$13:$AK$14,AB$4,FALSE))=TRUE,"",
              VLOOKUP($G49,DanaSehat!$L$13:$AK$14,AB$4,FALSE)))</t>
  </si>
  <si>
    <t>=IF(ISNUMBER($L$6)=FALSE,"",
        IF(ISERROR(VLOOKUP($G49,DanaSehat!$L$13:$AK$14,AC$4,FALSE))=TRUE,"",
              VLOOKUP($G49,DanaSehat!$L$13:$AK$14,AC$4,FALSE)))</t>
  </si>
  <si>
    <t>=IF(ISNUMBER($L$6)=FALSE,"",
        IF(ISERROR(VLOOKUP($G49,DanaSehat!$L$13:$AK$14,AD$4,FALSE))=TRUE,"",
              VLOOKUP($G49,DanaSehat!$L$13:$AK$14,AD$4,FALSE)))</t>
  </si>
  <si>
    <t>=IF(ISNUMBER($L$6)=FALSE,"",
        IF(ISERROR(VLOOKUP($G49,DanaSehat!$L$13:$AK$14,AE$4,FALSE))=TRUE,"",
              VLOOKUP($G49,DanaSehat!$L$13:$AK$14,AE$4,FALSE)))</t>
  </si>
  <si>
    <t>=IF(ISNUMBER($L$6)=FALSE,"",
        IF(ISERROR(VLOOKUP($G49,DanaSehat!$L$13:$AK$14,AF$4,FALSE))=TRUE,"",
              VLOOKUP($G49,DanaSehat!$L$13:$AK$14,AF$4,FALSE)))</t>
  </si>
  <si>
    <t>=IF($C49=$C$4,0,
       IF($C49=0,0,$C49+1))</t>
  </si>
  <si>
    <t>=IF(ISNUMBER($L$6)=FALSE,"",
IF($C50=0,"",$C50))</t>
  </si>
  <si>
    <t>=IF(ISNUMBER($L$6)=FALSE,"",
IF($C50=0,"",VLOOKUP($E50,DanaSehat!$H$13:$L$14,4,FALSE)))</t>
  </si>
  <si>
    <t>=IF(ISNUMBER($L$6)=FALSE,"",
IF($C50=0,"",VLOOKUP($E50,DanaSehat!$H$13:$L$14,5,FALSE)))</t>
  </si>
  <si>
    <t>=IF(ISNUMBER($L$6)=FALSE,"",
IF($C50=0,"",SUM(I50:AF50)))</t>
  </si>
  <si>
    <t>=IF(ISNUMBER($L$6)=FALSE,"",
        IF(ISERROR(VLOOKUP($G50,DanaSehat!$L$13:$AK$14,I$4,FALSE))=TRUE,"",
              VLOOKUP($G50,DanaSehat!$L$13:$AK$14,I$4,FALSE)))</t>
  </si>
  <si>
    <t>=IF(ISNUMBER($L$6)=FALSE,"",
        IF(ISERROR(VLOOKUP($G50,DanaSehat!$L$13:$AK$14,J$4,FALSE))=TRUE,"",
              VLOOKUP($G50,DanaSehat!$L$13:$AK$14,J$4,FALSE)))</t>
  </si>
  <si>
    <t>=IF(ISNUMBER($L$6)=FALSE,"",
        IF(ISERROR(VLOOKUP($G50,DanaSehat!$L$13:$AK$14,K$4,FALSE))=TRUE,"",
              VLOOKUP($G50,DanaSehat!$L$13:$AK$14,K$4,FALSE)))</t>
  </si>
  <si>
    <t>=IF(ISNUMBER($L$6)=FALSE,"",
        IF(ISERROR(VLOOKUP($G50,DanaSehat!$L$13:$AK$14,L$4,FALSE))=TRUE,"",
              VLOOKUP($G50,DanaSehat!$L$13:$AK$14,L$4,FALSE)))</t>
  </si>
  <si>
    <t>=IF(ISNUMBER($L$6)=FALSE,"",
        IF(ISERROR(VLOOKUP($G50,DanaSehat!$L$13:$AK$14,M$4,FALSE))=TRUE,"",
              VLOOKUP($G50,DanaSehat!$L$13:$AK$14,M$4,FALSE)))</t>
  </si>
  <si>
    <t>=IF(ISNUMBER($L$6)=FALSE,"",
        IF(ISERROR(VLOOKUP($G50,DanaSehat!$L$13:$AK$14,N$4,FALSE))=TRUE,"",
              VLOOKUP($G50,DanaSehat!$L$13:$AK$14,N$4,FALSE)))</t>
  </si>
  <si>
    <t>=IF(ISNUMBER($L$6)=FALSE,"",
        IF(ISERROR(VLOOKUP($G50,DanaSehat!$L$13:$AK$14,O$4,FALSE))=TRUE,"",
              VLOOKUP($G50,DanaSehat!$L$13:$AK$14,O$4,FALSE)))</t>
  </si>
  <si>
    <t>=IF(ISNUMBER($L$6)=FALSE,"",
        IF(ISERROR(VLOOKUP($G50,DanaSehat!$L$13:$AK$14,P$4,FALSE))=TRUE,"",
              VLOOKUP($G50,DanaSehat!$L$13:$AK$14,P$4,FALSE)))</t>
  </si>
  <si>
    <t>=IF(ISNUMBER($L$6)=FALSE,"",
        IF(ISERROR(VLOOKUP($G50,DanaSehat!$L$13:$AK$14,Q$4,FALSE))=TRUE,"",
              VLOOKUP($G50,DanaSehat!$L$13:$AK$14,Q$4,FALSE)))</t>
  </si>
  <si>
    <t>=IF(ISNUMBER($L$6)=FALSE,"",
        IF(ISERROR(VLOOKUP($G50,DanaSehat!$L$13:$AK$14,R$4,FALSE))=TRUE,"",
              VLOOKUP($G50,DanaSehat!$L$13:$AK$14,R$4,FALSE)))</t>
  </si>
  <si>
    <t>=IF(ISNUMBER($L$6)=FALSE,"",
        IF(ISERROR(VLOOKUP($G50,DanaSehat!$L$13:$AK$14,S$4,FALSE))=TRUE,"",
              VLOOKUP($G50,DanaSehat!$L$13:$AK$14,S$4,FALSE)))</t>
  </si>
  <si>
    <t>=IF(ISNUMBER($L$6)=FALSE,"",
        IF(ISERROR(VLOOKUP($G50,DanaSehat!$L$13:$AK$14,T$4,FALSE))=TRUE,"",
              VLOOKUP($G50,DanaSehat!$L$13:$AK$14,T$4,FALSE)))</t>
  </si>
  <si>
    <t>=IF(ISNUMBER($L$6)=FALSE,"",
        IF(ISERROR(VLOOKUP($G50,DanaSehat!$L$13:$AK$14,U$4,FALSE))=TRUE,"",
              VLOOKUP($G50,DanaSehat!$L$13:$AK$14,U$4,FALSE)))</t>
  </si>
  <si>
    <t>=IF(ISNUMBER($L$6)=FALSE,"",
        IF(ISERROR(VLOOKUP($G50,DanaSehat!$L$13:$AK$14,V$4,FALSE))=TRUE,"",
              VLOOKUP($G50,DanaSehat!$L$13:$AK$14,V$4,FALSE)))</t>
  </si>
  <si>
    <t>=IF(ISNUMBER($L$6)=FALSE,"",
        IF(ISERROR(VLOOKUP($G50,DanaSehat!$L$13:$AK$14,W$4,FALSE))=TRUE,"",
              VLOOKUP($G50,DanaSehat!$L$13:$AK$14,W$4,FALSE)))</t>
  </si>
  <si>
    <t>=IF(ISNUMBER($L$6)=FALSE,"",
        IF(ISERROR(VLOOKUP($G50,DanaSehat!$L$13:$AK$14,X$4,FALSE))=TRUE,"",
              VLOOKUP($G50,DanaSehat!$L$13:$AK$14,X$4,FALSE)))</t>
  </si>
  <si>
    <t>=IF(ISNUMBER($L$6)=FALSE,"",
        IF(ISERROR(VLOOKUP($G50,DanaSehat!$L$13:$AK$14,Y$4,FALSE))=TRUE,"",
              VLOOKUP($G50,DanaSehat!$L$13:$AK$14,Y$4,FALSE)))</t>
  </si>
  <si>
    <t>=IF(ISNUMBER($L$6)=FALSE,"",
        IF(ISERROR(VLOOKUP($G50,DanaSehat!$L$13:$AK$14,Z$4,FALSE))=TRUE,"",
              VLOOKUP($G50,DanaSehat!$L$13:$AK$14,Z$4,FALSE)))</t>
  </si>
  <si>
    <t>=IF(ISNUMBER($L$6)=FALSE,"",
        IF(ISERROR(VLOOKUP($G50,DanaSehat!$L$13:$AK$14,AA$4,FALSE))=TRUE,"",
              VLOOKUP($G50,DanaSehat!$L$13:$AK$14,AA$4,FALSE)))</t>
  </si>
  <si>
    <t>=IF(ISNUMBER($L$6)=FALSE,"",
        IF(ISERROR(VLOOKUP($G50,DanaSehat!$L$13:$AK$14,AB$4,FALSE))=TRUE,"",
              VLOOKUP($G50,DanaSehat!$L$13:$AK$14,AB$4,FALSE)))</t>
  </si>
  <si>
    <t>=IF(ISNUMBER($L$6)=FALSE,"",
        IF(ISERROR(VLOOKUP($G50,DanaSehat!$L$13:$AK$14,AC$4,FALSE))=TRUE,"",
              VLOOKUP($G50,DanaSehat!$L$13:$AK$14,AC$4,FALSE)))</t>
  </si>
  <si>
    <t>=IF(ISNUMBER($L$6)=FALSE,"",
        IF(ISERROR(VLOOKUP($G50,DanaSehat!$L$13:$AK$14,AD$4,FALSE))=TRUE,"",
              VLOOKUP($G50,DanaSehat!$L$13:$AK$14,AD$4,FALSE)))</t>
  </si>
  <si>
    <t>=IF(ISNUMBER($L$6)=FALSE,"",
        IF(ISERROR(VLOOKUP($G50,DanaSehat!$L$13:$AK$14,AE$4,FALSE))=TRUE,"",
              VLOOKUP($G50,DanaSehat!$L$13:$AK$14,AE$4,FALSE)))</t>
  </si>
  <si>
    <t>=IF(ISNUMBER($L$6)=FALSE,"",
        IF(ISERROR(VLOOKUP($G50,DanaSehat!$L$13:$AK$14,AF$4,FALSE))=TRUE,"",
              VLOOKUP($G50,DanaSehat!$L$13:$AK$14,AF$4,FALSE)))</t>
  </si>
  <si>
    <t>=IF($C50=$C$4,0,
       IF($C50=0,0,$C50+1))</t>
  </si>
  <si>
    <t>=IF(ISNUMBER($L$6)=FALSE,"",
IF($C51=0,"",$C51))</t>
  </si>
  <si>
    <t>=IF(ISNUMBER($L$6)=FALSE,"",
IF($C51=0,"",VLOOKUP($E51,DanaSehat!$H$13:$L$14,4,FALSE)))</t>
  </si>
  <si>
    <t>=IF(ISNUMBER($L$6)=FALSE,"",
IF($C51=0,"",VLOOKUP($E51,DanaSehat!$H$13:$L$14,5,FALSE)))</t>
  </si>
  <si>
    <t>=IF(ISNUMBER($L$6)=FALSE,"",
IF($C51=0,"",SUM(I51:AF51)))</t>
  </si>
  <si>
    <t>=IF(ISNUMBER($L$6)=FALSE,"",
        IF(ISERROR(VLOOKUP($G51,DanaSehat!$L$13:$AK$14,I$4,FALSE))=TRUE,"",
              VLOOKUP($G51,DanaSehat!$L$13:$AK$14,I$4,FALSE)))</t>
  </si>
  <si>
    <t>=IF(ISNUMBER($L$6)=FALSE,"",
        IF(ISERROR(VLOOKUP($G51,DanaSehat!$L$13:$AK$14,J$4,FALSE))=TRUE,"",
              VLOOKUP($G51,DanaSehat!$L$13:$AK$14,J$4,FALSE)))</t>
  </si>
  <si>
    <t>=IF(ISNUMBER($L$6)=FALSE,"",
        IF(ISERROR(VLOOKUP($G51,DanaSehat!$L$13:$AK$14,K$4,FALSE))=TRUE,"",
              VLOOKUP($G51,DanaSehat!$L$13:$AK$14,K$4,FALSE)))</t>
  </si>
  <si>
    <t>=IF(ISNUMBER($L$6)=FALSE,"",
        IF(ISERROR(VLOOKUP($G51,DanaSehat!$L$13:$AK$14,L$4,FALSE))=TRUE,"",
              VLOOKUP($G51,DanaSehat!$L$13:$AK$14,L$4,FALSE)))</t>
  </si>
  <si>
    <t>=IF(ISNUMBER($L$6)=FALSE,"",
        IF(ISERROR(VLOOKUP($G51,DanaSehat!$L$13:$AK$14,M$4,FALSE))=TRUE,"",
              VLOOKUP($G51,DanaSehat!$L$13:$AK$14,M$4,FALSE)))</t>
  </si>
  <si>
    <t>=IF(ISNUMBER($L$6)=FALSE,"",
        IF(ISERROR(VLOOKUP($G51,DanaSehat!$L$13:$AK$14,N$4,FALSE))=TRUE,"",
              VLOOKUP($G51,DanaSehat!$L$13:$AK$14,N$4,FALSE)))</t>
  </si>
  <si>
    <t>=IF(ISNUMBER($L$6)=FALSE,"",
        IF(ISERROR(VLOOKUP($G51,DanaSehat!$L$13:$AK$14,O$4,FALSE))=TRUE,"",
              VLOOKUP($G51,DanaSehat!$L$13:$AK$14,O$4,FALSE)))</t>
  </si>
  <si>
    <t>=IF(ISNUMBER($L$6)=FALSE,"",
        IF(ISERROR(VLOOKUP($G51,DanaSehat!$L$13:$AK$14,P$4,FALSE))=TRUE,"",
              VLOOKUP($G51,DanaSehat!$L$13:$AK$14,P$4,FALSE)))</t>
  </si>
  <si>
    <t>=IF(ISNUMBER($L$6)=FALSE,"",
        IF(ISERROR(VLOOKUP($G51,DanaSehat!$L$13:$AK$14,Q$4,FALSE))=TRUE,"",
              VLOOKUP($G51,DanaSehat!$L$13:$AK$14,Q$4,FALSE)))</t>
  </si>
  <si>
    <t>=IF(ISNUMBER($L$6)=FALSE,"",
        IF(ISERROR(VLOOKUP($G51,DanaSehat!$L$13:$AK$14,R$4,FALSE))=TRUE,"",
              VLOOKUP($G51,DanaSehat!$L$13:$AK$14,R$4,FALSE)))</t>
  </si>
  <si>
    <t>=IF(ISNUMBER($L$6)=FALSE,"",
        IF(ISERROR(VLOOKUP($G51,DanaSehat!$L$13:$AK$14,S$4,FALSE))=TRUE,"",
              VLOOKUP($G51,DanaSehat!$L$13:$AK$14,S$4,FALSE)))</t>
  </si>
  <si>
    <t>=IF(ISNUMBER($L$6)=FALSE,"",
        IF(ISERROR(VLOOKUP($G51,DanaSehat!$L$13:$AK$14,T$4,FALSE))=TRUE,"",
              VLOOKUP($G51,DanaSehat!$L$13:$AK$14,T$4,FALSE)))</t>
  </si>
  <si>
    <t>=IF(ISNUMBER($L$6)=FALSE,"",
        IF(ISERROR(VLOOKUP($G51,DanaSehat!$L$13:$AK$14,U$4,FALSE))=TRUE,"",
              VLOOKUP($G51,DanaSehat!$L$13:$AK$14,U$4,FALSE)))</t>
  </si>
  <si>
    <t>=IF(ISNUMBER($L$6)=FALSE,"",
        IF(ISERROR(VLOOKUP($G51,DanaSehat!$L$13:$AK$14,V$4,FALSE))=TRUE,"",
              VLOOKUP($G51,DanaSehat!$L$13:$AK$14,V$4,FALSE)))</t>
  </si>
  <si>
    <t>=IF(ISNUMBER($L$6)=FALSE,"",
        IF(ISERROR(VLOOKUP($G51,DanaSehat!$L$13:$AK$14,W$4,FALSE))=TRUE,"",
              VLOOKUP($G51,DanaSehat!$L$13:$AK$14,W$4,FALSE)))</t>
  </si>
  <si>
    <t>=IF(ISNUMBER($L$6)=FALSE,"",
        IF(ISERROR(VLOOKUP($G51,DanaSehat!$L$13:$AK$14,X$4,FALSE))=TRUE,"",
              VLOOKUP($G51,DanaSehat!$L$13:$AK$14,X$4,FALSE)))</t>
  </si>
  <si>
    <t>=IF(ISNUMBER($L$6)=FALSE,"",
        IF(ISERROR(VLOOKUP($G51,DanaSehat!$L$13:$AK$14,Y$4,FALSE))=TRUE,"",
              VLOOKUP($G51,DanaSehat!$L$13:$AK$14,Y$4,FALSE)))</t>
  </si>
  <si>
    <t>=IF(ISNUMBER($L$6)=FALSE,"",
        IF(ISERROR(VLOOKUP($G51,DanaSehat!$L$13:$AK$14,Z$4,FALSE))=TRUE,"",
              VLOOKUP($G51,DanaSehat!$L$13:$AK$14,Z$4,FALSE)))</t>
  </si>
  <si>
    <t>=IF(ISNUMBER($L$6)=FALSE,"",
        IF(ISERROR(VLOOKUP($G51,DanaSehat!$L$13:$AK$14,AA$4,FALSE))=TRUE,"",
              VLOOKUP($G51,DanaSehat!$L$13:$AK$14,AA$4,FALSE)))</t>
  </si>
  <si>
    <t>=IF(ISNUMBER($L$6)=FALSE,"",
        IF(ISERROR(VLOOKUP($G51,DanaSehat!$L$13:$AK$14,AB$4,FALSE))=TRUE,"",
              VLOOKUP($G51,DanaSehat!$L$13:$AK$14,AB$4,FALSE)))</t>
  </si>
  <si>
    <t>=IF(ISNUMBER($L$6)=FALSE,"",
        IF(ISERROR(VLOOKUP($G51,DanaSehat!$L$13:$AK$14,AC$4,FALSE))=TRUE,"",
              VLOOKUP($G51,DanaSehat!$L$13:$AK$14,AC$4,FALSE)))</t>
  </si>
  <si>
    <t>=IF(ISNUMBER($L$6)=FALSE,"",
        IF(ISERROR(VLOOKUP($G51,DanaSehat!$L$13:$AK$14,AD$4,FALSE))=TRUE,"",
              VLOOKUP($G51,DanaSehat!$L$13:$AK$14,AD$4,FALSE)))</t>
  </si>
  <si>
    <t>=IF(ISNUMBER($L$6)=FALSE,"",
        IF(ISERROR(VLOOKUP($G51,DanaSehat!$L$13:$AK$14,AE$4,FALSE))=TRUE,"",
              VLOOKUP($G51,DanaSehat!$L$13:$AK$14,AE$4,FALSE)))</t>
  </si>
  <si>
    <t>=IF(ISNUMBER($L$6)=FALSE,"",
        IF(ISERROR(VLOOKUP($G51,DanaSehat!$L$13:$AK$14,AF$4,FALSE))=TRUE,"",
              VLOOKUP($G51,DanaSehat!$L$13:$AK$14,AF$4,FALSE)))</t>
  </si>
  <si>
    <t>=IF($C51=$C$4,0,
       IF($C51=0,0,$C51+1))</t>
  </si>
  <si>
    <t>=IF(ISNUMBER($L$6)=FALSE,"",
IF($C52=0,"",$C52))</t>
  </si>
  <si>
    <t>=IF(ISNUMBER($L$6)=FALSE,"",
IF($C52=0,"",VLOOKUP($E52,DanaSehat!$H$13:$L$14,4,FALSE)))</t>
  </si>
  <si>
    <t>=IF(ISNUMBER($L$6)=FALSE,"",
IF($C52=0,"",VLOOKUP($E52,DanaSehat!$H$13:$L$14,5,FALSE)))</t>
  </si>
  <si>
    <t>=IF(ISNUMBER($L$6)=FALSE,"",
IF($C52=0,"",SUM(I52:AF52)))</t>
  </si>
  <si>
    <t>=IF(ISNUMBER($L$6)=FALSE,"",
        IF(ISERROR(VLOOKUP($G52,DanaSehat!$L$13:$AK$14,I$4,FALSE))=TRUE,"",
              VLOOKUP($G52,DanaSehat!$L$13:$AK$14,I$4,FALSE)))</t>
  </si>
  <si>
    <t>=IF(ISNUMBER($L$6)=FALSE,"",
        IF(ISERROR(VLOOKUP($G52,DanaSehat!$L$13:$AK$14,J$4,FALSE))=TRUE,"",
              VLOOKUP($G52,DanaSehat!$L$13:$AK$14,J$4,FALSE)))</t>
  </si>
  <si>
    <t>=IF(ISNUMBER($L$6)=FALSE,"",
        IF(ISERROR(VLOOKUP($G52,DanaSehat!$L$13:$AK$14,K$4,FALSE))=TRUE,"",
              VLOOKUP($G52,DanaSehat!$L$13:$AK$14,K$4,FALSE)))</t>
  </si>
  <si>
    <t>=IF(ISNUMBER($L$6)=FALSE,"",
        IF(ISERROR(VLOOKUP($G52,DanaSehat!$L$13:$AK$14,L$4,FALSE))=TRUE,"",
              VLOOKUP($G52,DanaSehat!$L$13:$AK$14,L$4,FALSE)))</t>
  </si>
  <si>
    <t>=IF(ISNUMBER($L$6)=FALSE,"",
        IF(ISERROR(VLOOKUP($G52,DanaSehat!$L$13:$AK$14,M$4,FALSE))=TRUE,"",
              VLOOKUP($G52,DanaSehat!$L$13:$AK$14,M$4,FALSE)))</t>
  </si>
  <si>
    <t>=IF(ISNUMBER($L$6)=FALSE,"",
        IF(ISERROR(VLOOKUP($G52,DanaSehat!$L$13:$AK$14,N$4,FALSE))=TRUE,"",
              VLOOKUP($G52,DanaSehat!$L$13:$AK$14,N$4,FALSE)))</t>
  </si>
  <si>
    <t>=IF(ISNUMBER($L$6)=FALSE,"",
        IF(ISERROR(VLOOKUP($G52,DanaSehat!$L$13:$AK$14,O$4,FALSE))=TRUE,"",
              VLOOKUP($G52,DanaSehat!$L$13:$AK$14,O$4,FALSE)))</t>
  </si>
  <si>
    <t>=IF(ISNUMBER($L$6)=FALSE,"",
        IF(ISERROR(VLOOKUP($G52,DanaSehat!$L$13:$AK$14,P$4,FALSE))=TRUE,"",
              VLOOKUP($G52,DanaSehat!$L$13:$AK$14,P$4,FALSE)))</t>
  </si>
  <si>
    <t>=IF(ISNUMBER($L$6)=FALSE,"",
        IF(ISERROR(VLOOKUP($G52,DanaSehat!$L$13:$AK$14,Q$4,FALSE))=TRUE,"",
              VLOOKUP($G52,DanaSehat!$L$13:$AK$14,Q$4,FALSE)))</t>
  </si>
  <si>
    <t>=IF(ISNUMBER($L$6)=FALSE,"",
        IF(ISERROR(VLOOKUP($G52,DanaSehat!$L$13:$AK$14,R$4,FALSE))=TRUE,"",
              VLOOKUP($G52,DanaSehat!$L$13:$AK$14,R$4,FALSE)))</t>
  </si>
  <si>
    <t>=IF(ISNUMBER($L$6)=FALSE,"",
        IF(ISERROR(VLOOKUP($G52,DanaSehat!$L$13:$AK$14,S$4,FALSE))=TRUE,"",
              VLOOKUP($G52,DanaSehat!$L$13:$AK$14,S$4,FALSE)))</t>
  </si>
  <si>
    <t>=IF(ISNUMBER($L$6)=FALSE,"",
        IF(ISERROR(VLOOKUP($G52,DanaSehat!$L$13:$AK$14,T$4,FALSE))=TRUE,"",
              VLOOKUP($G52,DanaSehat!$L$13:$AK$14,T$4,FALSE)))</t>
  </si>
  <si>
    <t>=IF(ISNUMBER($L$6)=FALSE,"",
        IF(ISERROR(VLOOKUP($G52,DanaSehat!$L$13:$AK$14,U$4,FALSE))=TRUE,"",
              VLOOKUP($G52,DanaSehat!$L$13:$AK$14,U$4,FALSE)))</t>
  </si>
  <si>
    <t>=IF(ISNUMBER($L$6)=FALSE,"",
        IF(ISERROR(VLOOKUP($G52,DanaSehat!$L$13:$AK$14,V$4,FALSE))=TRUE,"",
              VLOOKUP($G52,DanaSehat!$L$13:$AK$14,V$4,FALSE)))</t>
  </si>
  <si>
    <t>=IF(ISNUMBER($L$6)=FALSE,"",
        IF(ISERROR(VLOOKUP($G52,DanaSehat!$L$13:$AK$14,W$4,FALSE))=TRUE,"",
              VLOOKUP($G52,DanaSehat!$L$13:$AK$14,W$4,FALSE)))</t>
  </si>
  <si>
    <t>=IF(ISNUMBER($L$6)=FALSE,"",
        IF(ISERROR(VLOOKUP($G52,DanaSehat!$L$13:$AK$14,X$4,FALSE))=TRUE,"",
              VLOOKUP($G52,DanaSehat!$L$13:$AK$14,X$4,FALSE)))</t>
  </si>
  <si>
    <t>=IF(ISNUMBER($L$6)=FALSE,"",
        IF(ISERROR(VLOOKUP($G52,DanaSehat!$L$13:$AK$14,Y$4,FALSE))=TRUE,"",
              VLOOKUP($G52,DanaSehat!$L$13:$AK$14,Y$4,FALSE)))</t>
  </si>
  <si>
    <t>=IF(ISNUMBER($L$6)=FALSE,"",
        IF(ISERROR(VLOOKUP($G52,DanaSehat!$L$13:$AK$14,Z$4,FALSE))=TRUE,"",
              VLOOKUP($G52,DanaSehat!$L$13:$AK$14,Z$4,FALSE)))</t>
  </si>
  <si>
    <t>=IF(ISNUMBER($L$6)=FALSE,"",
        IF(ISERROR(VLOOKUP($G52,DanaSehat!$L$13:$AK$14,AA$4,FALSE))=TRUE,"",
              VLOOKUP($G52,DanaSehat!$L$13:$AK$14,AA$4,FALSE)))</t>
  </si>
  <si>
    <t>=IF(ISNUMBER($L$6)=FALSE,"",
        IF(ISERROR(VLOOKUP($G52,DanaSehat!$L$13:$AK$14,AB$4,FALSE))=TRUE,"",
              VLOOKUP($G52,DanaSehat!$L$13:$AK$14,AB$4,FALSE)))</t>
  </si>
  <si>
    <t>=IF(ISNUMBER($L$6)=FALSE,"",
        IF(ISERROR(VLOOKUP($G52,DanaSehat!$L$13:$AK$14,AC$4,FALSE))=TRUE,"",
              VLOOKUP($G52,DanaSehat!$L$13:$AK$14,AC$4,FALSE)))</t>
  </si>
  <si>
    <t>=IF(ISNUMBER($L$6)=FALSE,"",
        IF(ISERROR(VLOOKUP($G52,DanaSehat!$L$13:$AK$14,AD$4,FALSE))=TRUE,"",
              VLOOKUP($G52,DanaSehat!$L$13:$AK$14,AD$4,FALSE)))</t>
  </si>
  <si>
    <t>=IF(ISNUMBER($L$6)=FALSE,"",
        IF(ISERROR(VLOOKUP($G52,DanaSehat!$L$13:$AK$14,AE$4,FALSE))=TRUE,"",
              VLOOKUP($G52,DanaSehat!$L$13:$AK$14,AE$4,FALSE)))</t>
  </si>
  <si>
    <t>=IF(ISNUMBER($L$6)=FALSE,"",
        IF(ISERROR(VLOOKUP($G52,DanaSehat!$L$13:$AK$14,AF$4,FALSE))=TRUE,"",
              VLOOKUP($G52,DanaSehat!$L$13:$AK$14,AF$4,FALSE)))</t>
  </si>
  <si>
    <t>=IF($C52=$C$4,0,
       IF($C52=0,0,$C52+1))</t>
  </si>
  <si>
    <t>=IF(ISNUMBER($L$6)=FALSE,"",
IF($C53=0,"",$C53))</t>
  </si>
  <si>
    <t>=IF(ISNUMBER($L$6)=FALSE,"",
IF($C53=0,"",VLOOKUP($E53,DanaSehat!$H$13:$L$14,4,FALSE)))</t>
  </si>
  <si>
    <t>=IF(ISNUMBER($L$6)=FALSE,"",
IF($C53=0,"",VLOOKUP($E53,DanaSehat!$H$13:$L$14,5,FALSE)))</t>
  </si>
  <si>
    <t>=IF(ISNUMBER($L$6)=FALSE,"",
IF($C53=0,"",SUM(I53:AF53)))</t>
  </si>
  <si>
    <t>=IF(ISNUMBER($L$6)=FALSE,"",
        IF(ISERROR(VLOOKUP($G53,DanaSehat!$L$13:$AK$14,I$4,FALSE))=TRUE,"",
              VLOOKUP($G53,DanaSehat!$L$13:$AK$14,I$4,FALSE)))</t>
  </si>
  <si>
    <t>=IF(ISNUMBER($L$6)=FALSE,"",
        IF(ISERROR(VLOOKUP($G53,DanaSehat!$L$13:$AK$14,J$4,FALSE))=TRUE,"",
              VLOOKUP($G53,DanaSehat!$L$13:$AK$14,J$4,FALSE)))</t>
  </si>
  <si>
    <t>=IF(ISNUMBER($L$6)=FALSE,"",
        IF(ISERROR(VLOOKUP($G53,DanaSehat!$L$13:$AK$14,K$4,FALSE))=TRUE,"",
              VLOOKUP($G53,DanaSehat!$L$13:$AK$14,K$4,FALSE)))</t>
  </si>
  <si>
    <t>=IF(ISNUMBER($L$6)=FALSE,"",
        IF(ISERROR(VLOOKUP($G53,DanaSehat!$L$13:$AK$14,L$4,FALSE))=TRUE,"",
              VLOOKUP($G53,DanaSehat!$L$13:$AK$14,L$4,FALSE)))</t>
  </si>
  <si>
    <t>=IF(ISNUMBER($L$6)=FALSE,"",
        IF(ISERROR(VLOOKUP($G53,DanaSehat!$L$13:$AK$14,M$4,FALSE))=TRUE,"",
              VLOOKUP($G53,DanaSehat!$L$13:$AK$14,M$4,FALSE)))</t>
  </si>
  <si>
    <t>=IF(ISNUMBER($L$6)=FALSE,"",
        IF(ISERROR(VLOOKUP($G53,DanaSehat!$L$13:$AK$14,N$4,FALSE))=TRUE,"",
              VLOOKUP($G53,DanaSehat!$L$13:$AK$14,N$4,FALSE)))</t>
  </si>
  <si>
    <t>=IF(ISNUMBER($L$6)=FALSE,"",
        IF(ISERROR(VLOOKUP($G53,DanaSehat!$L$13:$AK$14,O$4,FALSE))=TRUE,"",
              VLOOKUP($G53,DanaSehat!$L$13:$AK$14,O$4,FALSE)))</t>
  </si>
  <si>
    <t>=IF(ISNUMBER($L$6)=FALSE,"",
        IF(ISERROR(VLOOKUP($G53,DanaSehat!$L$13:$AK$14,P$4,FALSE))=TRUE,"",
              VLOOKUP($G53,DanaSehat!$L$13:$AK$14,P$4,FALSE)))</t>
  </si>
  <si>
    <t>=IF(ISNUMBER($L$6)=FALSE,"",
        IF(ISERROR(VLOOKUP($G53,DanaSehat!$L$13:$AK$14,Q$4,FALSE))=TRUE,"",
              VLOOKUP($G53,DanaSehat!$L$13:$AK$14,Q$4,FALSE)))</t>
  </si>
  <si>
    <t>=IF(ISNUMBER($L$6)=FALSE,"",
        IF(ISERROR(VLOOKUP($G53,DanaSehat!$L$13:$AK$14,R$4,FALSE))=TRUE,"",
              VLOOKUP($G53,DanaSehat!$L$13:$AK$14,R$4,FALSE)))</t>
  </si>
  <si>
    <t>=IF(ISNUMBER($L$6)=FALSE,"",
        IF(ISERROR(VLOOKUP($G53,DanaSehat!$L$13:$AK$14,S$4,FALSE))=TRUE,"",
              VLOOKUP($G53,DanaSehat!$L$13:$AK$14,S$4,FALSE)))</t>
  </si>
  <si>
    <t>=IF(ISNUMBER($L$6)=FALSE,"",
        IF(ISERROR(VLOOKUP($G53,DanaSehat!$L$13:$AK$14,T$4,FALSE))=TRUE,"",
              VLOOKUP($G53,DanaSehat!$L$13:$AK$14,T$4,FALSE)))</t>
  </si>
  <si>
    <t>=IF(ISNUMBER($L$6)=FALSE,"",
        IF(ISERROR(VLOOKUP($G53,DanaSehat!$L$13:$AK$14,U$4,FALSE))=TRUE,"",
              VLOOKUP($G53,DanaSehat!$L$13:$AK$14,U$4,FALSE)))</t>
  </si>
  <si>
    <t>=IF(ISNUMBER($L$6)=FALSE,"",
        IF(ISERROR(VLOOKUP($G53,DanaSehat!$L$13:$AK$14,V$4,FALSE))=TRUE,"",
              VLOOKUP($G53,DanaSehat!$L$13:$AK$14,V$4,FALSE)))</t>
  </si>
  <si>
    <t>=IF(ISNUMBER($L$6)=FALSE,"",
        IF(ISERROR(VLOOKUP($G53,DanaSehat!$L$13:$AK$14,W$4,FALSE))=TRUE,"",
              VLOOKUP($G53,DanaSehat!$L$13:$AK$14,W$4,FALSE)))</t>
  </si>
  <si>
    <t>=IF(ISNUMBER($L$6)=FALSE,"",
        IF(ISERROR(VLOOKUP($G53,DanaSehat!$L$13:$AK$14,X$4,FALSE))=TRUE,"",
              VLOOKUP($G53,DanaSehat!$L$13:$AK$14,X$4,FALSE)))</t>
  </si>
  <si>
    <t>=IF(ISNUMBER($L$6)=FALSE,"",
        IF(ISERROR(VLOOKUP($G53,DanaSehat!$L$13:$AK$14,Y$4,FALSE))=TRUE,"",
              VLOOKUP($G53,DanaSehat!$L$13:$AK$14,Y$4,FALSE)))</t>
  </si>
  <si>
    <t>=IF(ISNUMBER($L$6)=FALSE,"",
        IF(ISERROR(VLOOKUP($G53,DanaSehat!$L$13:$AK$14,Z$4,FALSE))=TRUE,"",
              VLOOKUP($G53,DanaSehat!$L$13:$AK$14,Z$4,FALSE)))</t>
  </si>
  <si>
    <t>=IF(ISNUMBER($L$6)=FALSE,"",
        IF(ISERROR(VLOOKUP($G53,DanaSehat!$L$13:$AK$14,AA$4,FALSE))=TRUE,"",
              VLOOKUP($G53,DanaSehat!$L$13:$AK$14,AA$4,FALSE)))</t>
  </si>
  <si>
    <t>=IF(ISNUMBER($L$6)=FALSE,"",
        IF(ISERROR(VLOOKUP($G53,DanaSehat!$L$13:$AK$14,AB$4,FALSE))=TRUE,"",
              VLOOKUP($G53,DanaSehat!$L$13:$AK$14,AB$4,FALSE)))</t>
  </si>
  <si>
    <t>=IF(ISNUMBER($L$6)=FALSE,"",
        IF(ISERROR(VLOOKUP($G53,DanaSehat!$L$13:$AK$14,AC$4,FALSE))=TRUE,"",
              VLOOKUP($G53,DanaSehat!$L$13:$AK$14,AC$4,FALSE)))</t>
  </si>
  <si>
    <t>=IF(ISNUMBER($L$6)=FALSE,"",
        IF(ISERROR(VLOOKUP($G53,DanaSehat!$L$13:$AK$14,AD$4,FALSE))=TRUE,"",
              VLOOKUP($G53,DanaSehat!$L$13:$AK$14,AD$4,FALSE)))</t>
  </si>
  <si>
    <t>=IF(ISNUMBER($L$6)=FALSE,"",
        IF(ISERROR(VLOOKUP($G53,DanaSehat!$L$13:$AK$14,AE$4,FALSE))=TRUE,"",
              VLOOKUP($G53,DanaSehat!$L$13:$AK$14,AE$4,FALSE)))</t>
  </si>
  <si>
    <t>=IF(ISNUMBER($L$6)=FALSE,"",
        IF(ISERROR(VLOOKUP($G53,DanaSehat!$L$13:$AK$14,AF$4,FALSE))=TRUE,"",
              VLOOKUP($G53,DanaSehat!$L$13:$AK$14,AF$4,FALSE)))</t>
  </si>
  <si>
    <t>=IF($C53=$C$4,0,
       IF($C53=0,0,$C53+1))</t>
  </si>
  <si>
    <t>=IF(ISNUMBER($L$6)=FALSE,"",
IF($C54=0,"",$C54))</t>
  </si>
  <si>
    <t>=IF(ISNUMBER($L$6)=FALSE,"",
IF($C54=0,"",VLOOKUP($E54,DanaSehat!$H$13:$L$14,4,FALSE)))</t>
  </si>
  <si>
    <t>=IF(ISNUMBER($L$6)=FALSE,"",
IF($C54=0,"",VLOOKUP($E54,DanaSehat!$H$13:$L$14,5,FALSE)))</t>
  </si>
  <si>
    <t>=IF(ISNUMBER($L$6)=FALSE,"",
IF($C54=0,"",SUM(I54:AF54)))</t>
  </si>
  <si>
    <t>=IF(ISNUMBER($L$6)=FALSE,"",
        IF(ISERROR(VLOOKUP($G54,DanaSehat!$L$13:$AK$14,I$4,FALSE))=TRUE,"",
              VLOOKUP($G54,DanaSehat!$L$13:$AK$14,I$4,FALSE)))</t>
  </si>
  <si>
    <t>=IF(ISNUMBER($L$6)=FALSE,"",
        IF(ISERROR(VLOOKUP($G54,DanaSehat!$L$13:$AK$14,J$4,FALSE))=TRUE,"",
              VLOOKUP($G54,DanaSehat!$L$13:$AK$14,J$4,FALSE)))</t>
  </si>
  <si>
    <t>=IF(ISNUMBER($L$6)=FALSE,"",
        IF(ISERROR(VLOOKUP($G54,DanaSehat!$L$13:$AK$14,K$4,FALSE))=TRUE,"",
              VLOOKUP($G54,DanaSehat!$L$13:$AK$14,K$4,FALSE)))</t>
  </si>
  <si>
    <t>=IF(ISNUMBER($L$6)=FALSE,"",
        IF(ISERROR(VLOOKUP($G54,DanaSehat!$L$13:$AK$14,L$4,FALSE))=TRUE,"",
              VLOOKUP($G54,DanaSehat!$L$13:$AK$14,L$4,FALSE)))</t>
  </si>
  <si>
    <t>=IF(ISNUMBER($L$6)=FALSE,"",
        IF(ISERROR(VLOOKUP($G54,DanaSehat!$L$13:$AK$14,M$4,FALSE))=TRUE,"",
              VLOOKUP($G54,DanaSehat!$L$13:$AK$14,M$4,FALSE)))</t>
  </si>
  <si>
    <t>=IF(ISNUMBER($L$6)=FALSE,"",
        IF(ISERROR(VLOOKUP($G54,DanaSehat!$L$13:$AK$14,N$4,FALSE))=TRUE,"",
              VLOOKUP($G54,DanaSehat!$L$13:$AK$14,N$4,FALSE)))</t>
  </si>
  <si>
    <t>=IF(ISNUMBER($L$6)=FALSE,"",
        IF(ISERROR(VLOOKUP($G54,DanaSehat!$L$13:$AK$14,O$4,FALSE))=TRUE,"",
              VLOOKUP($G54,DanaSehat!$L$13:$AK$14,O$4,FALSE)))</t>
  </si>
  <si>
    <t>=IF(ISNUMBER($L$6)=FALSE,"",
        IF(ISERROR(VLOOKUP($G54,DanaSehat!$L$13:$AK$14,P$4,FALSE))=TRUE,"",
              VLOOKUP($G54,DanaSehat!$L$13:$AK$14,P$4,FALSE)))</t>
  </si>
  <si>
    <t>=IF(ISNUMBER($L$6)=FALSE,"",
        IF(ISERROR(VLOOKUP($G54,DanaSehat!$L$13:$AK$14,Q$4,FALSE))=TRUE,"",
              VLOOKUP($G54,DanaSehat!$L$13:$AK$14,Q$4,FALSE)))</t>
  </si>
  <si>
    <t>=IF(ISNUMBER($L$6)=FALSE,"",
        IF(ISERROR(VLOOKUP($G54,DanaSehat!$L$13:$AK$14,R$4,FALSE))=TRUE,"",
              VLOOKUP($G54,DanaSehat!$L$13:$AK$14,R$4,FALSE)))</t>
  </si>
  <si>
    <t>=IF(ISNUMBER($L$6)=FALSE,"",
        IF(ISERROR(VLOOKUP($G54,DanaSehat!$L$13:$AK$14,S$4,FALSE))=TRUE,"",
              VLOOKUP($G54,DanaSehat!$L$13:$AK$14,S$4,FALSE)))</t>
  </si>
  <si>
    <t>=IF(ISNUMBER($L$6)=FALSE,"",
        IF(ISERROR(VLOOKUP($G54,DanaSehat!$L$13:$AK$14,T$4,FALSE))=TRUE,"",
              VLOOKUP($G54,DanaSehat!$L$13:$AK$14,T$4,FALSE)))</t>
  </si>
  <si>
    <t>=IF(ISNUMBER($L$6)=FALSE,"",
        IF(ISERROR(VLOOKUP($G54,DanaSehat!$L$13:$AK$14,U$4,FALSE))=TRUE,"",
              VLOOKUP($G54,DanaSehat!$L$13:$AK$14,U$4,FALSE)))</t>
  </si>
  <si>
    <t>=IF(ISNUMBER($L$6)=FALSE,"",
        IF(ISERROR(VLOOKUP($G54,DanaSehat!$L$13:$AK$14,V$4,FALSE))=TRUE,"",
              VLOOKUP($G54,DanaSehat!$L$13:$AK$14,V$4,FALSE)))</t>
  </si>
  <si>
    <t>=IF(ISNUMBER($L$6)=FALSE,"",
        IF(ISERROR(VLOOKUP($G54,DanaSehat!$L$13:$AK$14,W$4,FALSE))=TRUE,"",
              VLOOKUP($G54,DanaSehat!$L$13:$AK$14,W$4,FALSE)))</t>
  </si>
  <si>
    <t>=IF(ISNUMBER($L$6)=FALSE,"",
        IF(ISERROR(VLOOKUP($G54,DanaSehat!$L$13:$AK$14,X$4,FALSE))=TRUE,"",
              VLOOKUP($G54,DanaSehat!$L$13:$AK$14,X$4,FALSE)))</t>
  </si>
  <si>
    <t>=IF(ISNUMBER($L$6)=FALSE,"",
        IF(ISERROR(VLOOKUP($G54,DanaSehat!$L$13:$AK$14,Y$4,FALSE))=TRUE,"",
              VLOOKUP($G54,DanaSehat!$L$13:$AK$14,Y$4,FALSE)))</t>
  </si>
  <si>
    <t>=IF(ISNUMBER($L$6)=FALSE,"",
        IF(ISERROR(VLOOKUP($G54,DanaSehat!$L$13:$AK$14,Z$4,FALSE))=TRUE,"",
              VLOOKUP($G54,DanaSehat!$L$13:$AK$14,Z$4,FALSE)))</t>
  </si>
  <si>
    <t>=IF(ISNUMBER($L$6)=FALSE,"",
        IF(ISERROR(VLOOKUP($G54,DanaSehat!$L$13:$AK$14,AA$4,FALSE))=TRUE,"",
              VLOOKUP($G54,DanaSehat!$L$13:$AK$14,AA$4,FALSE)))</t>
  </si>
  <si>
    <t>=IF(ISNUMBER($L$6)=FALSE,"",
        IF(ISERROR(VLOOKUP($G54,DanaSehat!$L$13:$AK$14,AB$4,FALSE))=TRUE,"",
              VLOOKUP($G54,DanaSehat!$L$13:$AK$14,AB$4,FALSE)))</t>
  </si>
  <si>
    <t>=IF(ISNUMBER($L$6)=FALSE,"",
        IF(ISERROR(VLOOKUP($G54,DanaSehat!$L$13:$AK$14,AC$4,FALSE))=TRUE,"",
              VLOOKUP($G54,DanaSehat!$L$13:$AK$14,AC$4,FALSE)))</t>
  </si>
  <si>
    <t>=IF(ISNUMBER($L$6)=FALSE,"",
        IF(ISERROR(VLOOKUP($G54,DanaSehat!$L$13:$AK$14,AD$4,FALSE))=TRUE,"",
              VLOOKUP($G54,DanaSehat!$L$13:$AK$14,AD$4,FALSE)))</t>
  </si>
  <si>
    <t>=IF(ISNUMBER($L$6)=FALSE,"",
        IF(ISERROR(VLOOKUP($G54,DanaSehat!$L$13:$AK$14,AE$4,FALSE))=TRUE,"",
              VLOOKUP($G54,DanaSehat!$L$13:$AK$14,AE$4,FALSE)))</t>
  </si>
  <si>
    <t>=IF(ISNUMBER($L$6)=FALSE,"",
        IF(ISERROR(VLOOKUP($G54,DanaSehat!$L$13:$AK$14,AF$4,FALSE))=TRUE,"",
              VLOOKUP($G54,DanaSehat!$L$13:$AK$14,AF$4,FALSE)))</t>
  </si>
  <si>
    <t>=IF($C54=$C$4,0,
       IF($C54=0,0,$C54+1))</t>
  </si>
  <si>
    <t>=IF(ISNUMBER($L$6)=FALSE,"",
IF($C55=0,"",$C55))</t>
  </si>
  <si>
    <t>=IF(ISNUMBER($L$6)=FALSE,"",
IF($C55=0,"",VLOOKUP($E55,DanaSehat!$H$13:$L$14,4,FALSE)))</t>
  </si>
  <si>
    <t>=IF(ISNUMBER($L$6)=FALSE,"",
IF($C55=0,"",VLOOKUP($E55,DanaSehat!$H$13:$L$14,5,FALSE)))</t>
  </si>
  <si>
    <t>=IF(ISNUMBER($L$6)=FALSE,"",
IF($C55=0,"",SUM(I55:AF55)))</t>
  </si>
  <si>
    <t>=IF(ISNUMBER($L$6)=FALSE,"",
        IF(ISERROR(VLOOKUP($G55,DanaSehat!$L$13:$AK$14,I$4,FALSE))=TRUE,"",
              VLOOKUP($G55,DanaSehat!$L$13:$AK$14,I$4,FALSE)))</t>
  </si>
  <si>
    <t>=IF(ISNUMBER($L$6)=FALSE,"",
        IF(ISERROR(VLOOKUP($G55,DanaSehat!$L$13:$AK$14,J$4,FALSE))=TRUE,"",
              VLOOKUP($G55,DanaSehat!$L$13:$AK$14,J$4,FALSE)))</t>
  </si>
  <si>
    <t>=IF(ISNUMBER($L$6)=FALSE,"",
        IF(ISERROR(VLOOKUP($G55,DanaSehat!$L$13:$AK$14,K$4,FALSE))=TRUE,"",
              VLOOKUP($G55,DanaSehat!$L$13:$AK$14,K$4,FALSE)))</t>
  </si>
  <si>
    <t>=IF(ISNUMBER($L$6)=FALSE,"",
        IF(ISERROR(VLOOKUP($G55,DanaSehat!$L$13:$AK$14,L$4,FALSE))=TRUE,"",
              VLOOKUP($G55,DanaSehat!$L$13:$AK$14,L$4,FALSE)))</t>
  </si>
  <si>
    <t>=IF(ISNUMBER($L$6)=FALSE,"",
        IF(ISERROR(VLOOKUP($G55,DanaSehat!$L$13:$AK$14,M$4,FALSE))=TRUE,"",
              VLOOKUP($G55,DanaSehat!$L$13:$AK$14,M$4,FALSE)))</t>
  </si>
  <si>
    <t>=IF(ISNUMBER($L$6)=FALSE,"",
        IF(ISERROR(VLOOKUP($G55,DanaSehat!$L$13:$AK$14,N$4,FALSE))=TRUE,"",
              VLOOKUP($G55,DanaSehat!$L$13:$AK$14,N$4,FALSE)))</t>
  </si>
  <si>
    <t>=IF(ISNUMBER($L$6)=FALSE,"",
        IF(ISERROR(VLOOKUP($G55,DanaSehat!$L$13:$AK$14,O$4,FALSE))=TRUE,"",
              VLOOKUP($G55,DanaSehat!$L$13:$AK$14,O$4,FALSE)))</t>
  </si>
  <si>
    <t>=IF(ISNUMBER($L$6)=FALSE,"",
        IF(ISERROR(VLOOKUP($G55,DanaSehat!$L$13:$AK$14,P$4,FALSE))=TRUE,"",
              VLOOKUP($G55,DanaSehat!$L$13:$AK$14,P$4,FALSE)))</t>
  </si>
  <si>
    <t>=IF(ISNUMBER($L$6)=FALSE,"",
        IF(ISERROR(VLOOKUP($G55,DanaSehat!$L$13:$AK$14,Q$4,FALSE))=TRUE,"",
              VLOOKUP($G55,DanaSehat!$L$13:$AK$14,Q$4,FALSE)))</t>
  </si>
  <si>
    <t>=IF(ISNUMBER($L$6)=FALSE,"",
        IF(ISERROR(VLOOKUP($G55,DanaSehat!$L$13:$AK$14,R$4,FALSE))=TRUE,"",
              VLOOKUP($G55,DanaSehat!$L$13:$AK$14,R$4,FALSE)))</t>
  </si>
  <si>
    <t>=IF(ISNUMBER($L$6)=FALSE,"",
        IF(ISERROR(VLOOKUP($G55,DanaSehat!$L$13:$AK$14,S$4,FALSE))=TRUE,"",
              VLOOKUP($G55,DanaSehat!$L$13:$AK$14,S$4,FALSE)))</t>
  </si>
  <si>
    <t>=IF(ISNUMBER($L$6)=FALSE,"",
        IF(ISERROR(VLOOKUP($G55,DanaSehat!$L$13:$AK$14,T$4,FALSE))=TRUE,"",
              VLOOKUP($G55,DanaSehat!$L$13:$AK$14,T$4,FALSE)))</t>
  </si>
  <si>
    <t>=IF(ISNUMBER($L$6)=FALSE,"",
        IF(ISERROR(VLOOKUP($G55,DanaSehat!$L$13:$AK$14,U$4,FALSE))=TRUE,"",
              VLOOKUP($G55,DanaSehat!$L$13:$AK$14,U$4,FALSE)))</t>
  </si>
  <si>
    <t>=IF(ISNUMBER($L$6)=FALSE,"",
        IF(ISERROR(VLOOKUP($G55,DanaSehat!$L$13:$AK$14,V$4,FALSE))=TRUE,"",
              VLOOKUP($G55,DanaSehat!$L$13:$AK$14,V$4,FALSE)))</t>
  </si>
  <si>
    <t>=IF(ISNUMBER($L$6)=FALSE,"",
        IF(ISERROR(VLOOKUP($G55,DanaSehat!$L$13:$AK$14,W$4,FALSE))=TRUE,"",
              VLOOKUP($G55,DanaSehat!$L$13:$AK$14,W$4,FALSE)))</t>
  </si>
  <si>
    <t>=IF(ISNUMBER($L$6)=FALSE,"",
        IF(ISERROR(VLOOKUP($G55,DanaSehat!$L$13:$AK$14,X$4,FALSE))=TRUE,"",
              VLOOKUP($G55,DanaSehat!$L$13:$AK$14,X$4,FALSE)))</t>
  </si>
  <si>
    <t>=IF(ISNUMBER($L$6)=FALSE,"",
        IF(ISERROR(VLOOKUP($G55,DanaSehat!$L$13:$AK$14,Y$4,FALSE))=TRUE,"",
              VLOOKUP($G55,DanaSehat!$L$13:$AK$14,Y$4,FALSE)))</t>
  </si>
  <si>
    <t>=IF(ISNUMBER($L$6)=FALSE,"",
        IF(ISERROR(VLOOKUP($G55,DanaSehat!$L$13:$AK$14,Z$4,FALSE))=TRUE,"",
              VLOOKUP($G55,DanaSehat!$L$13:$AK$14,Z$4,FALSE)))</t>
  </si>
  <si>
    <t>=IF(ISNUMBER($L$6)=FALSE,"",
        IF(ISERROR(VLOOKUP($G55,DanaSehat!$L$13:$AK$14,AA$4,FALSE))=TRUE,"",
              VLOOKUP($G55,DanaSehat!$L$13:$AK$14,AA$4,FALSE)))</t>
  </si>
  <si>
    <t>=IF(ISNUMBER($L$6)=FALSE,"",
        IF(ISERROR(VLOOKUP($G55,DanaSehat!$L$13:$AK$14,AB$4,FALSE))=TRUE,"",
              VLOOKUP($G55,DanaSehat!$L$13:$AK$14,AB$4,FALSE)))</t>
  </si>
  <si>
    <t>=IF(ISNUMBER($L$6)=FALSE,"",
        IF(ISERROR(VLOOKUP($G55,DanaSehat!$L$13:$AK$14,AC$4,FALSE))=TRUE,"",
              VLOOKUP($G55,DanaSehat!$L$13:$AK$14,AC$4,FALSE)))</t>
  </si>
  <si>
    <t>=IF(ISNUMBER($L$6)=FALSE,"",
        IF(ISERROR(VLOOKUP($G55,DanaSehat!$L$13:$AK$14,AD$4,FALSE))=TRUE,"",
              VLOOKUP($G55,DanaSehat!$L$13:$AK$14,AD$4,FALSE)))</t>
  </si>
  <si>
    <t>=IF(ISNUMBER($L$6)=FALSE,"",
        IF(ISERROR(VLOOKUP($G55,DanaSehat!$L$13:$AK$14,AE$4,FALSE))=TRUE,"",
              VLOOKUP($G55,DanaSehat!$L$13:$AK$14,AE$4,FALSE)))</t>
  </si>
  <si>
    <t>=IF(ISNUMBER($L$6)=FALSE,"",
        IF(ISERROR(VLOOKUP($G55,DanaSehat!$L$13:$AK$14,AF$4,FALSE))=TRUE,"",
              VLOOKUP($G55,DanaSehat!$L$13:$AK$14,AF$4,FALSE)))</t>
  </si>
  <si>
    <t>=IF($C55=$C$4,0,
       IF($C55=0,0,$C55+1))</t>
  </si>
  <si>
    <t>=IF(ISNUMBER($L$6)=FALSE,"",
IF($C56=0,"",$C56))</t>
  </si>
  <si>
    <t>=IF(ISNUMBER($L$6)=FALSE,"",
IF($C56=0,"",VLOOKUP($E56,DanaSehat!$H$13:$L$14,4,FALSE)))</t>
  </si>
  <si>
    <t>=IF(ISNUMBER($L$6)=FALSE,"",
IF($C56=0,"",VLOOKUP($E56,DanaSehat!$H$13:$L$14,5,FALSE)))</t>
  </si>
  <si>
    <t>=IF(ISNUMBER($L$6)=FALSE,"",
IF($C56=0,"",SUM(I56:AF56)))</t>
  </si>
  <si>
    <t>=IF(ISNUMBER($L$6)=FALSE,"",
        IF(ISERROR(VLOOKUP($G56,DanaSehat!$L$13:$AK$14,I$4,FALSE))=TRUE,"",
              VLOOKUP($G56,DanaSehat!$L$13:$AK$14,I$4,FALSE)))</t>
  </si>
  <si>
    <t>=IF(ISNUMBER($L$6)=FALSE,"",
        IF(ISERROR(VLOOKUP($G56,DanaSehat!$L$13:$AK$14,J$4,FALSE))=TRUE,"",
              VLOOKUP($G56,DanaSehat!$L$13:$AK$14,J$4,FALSE)))</t>
  </si>
  <si>
    <t>=IF(ISNUMBER($L$6)=FALSE,"",
        IF(ISERROR(VLOOKUP($G56,DanaSehat!$L$13:$AK$14,K$4,FALSE))=TRUE,"",
              VLOOKUP($G56,DanaSehat!$L$13:$AK$14,K$4,FALSE)))</t>
  </si>
  <si>
    <t>=IF(ISNUMBER($L$6)=FALSE,"",
        IF(ISERROR(VLOOKUP($G56,DanaSehat!$L$13:$AK$14,L$4,FALSE))=TRUE,"",
              VLOOKUP($G56,DanaSehat!$L$13:$AK$14,L$4,FALSE)))</t>
  </si>
  <si>
    <t>=IF(ISNUMBER($L$6)=FALSE,"",
        IF(ISERROR(VLOOKUP($G56,DanaSehat!$L$13:$AK$14,M$4,FALSE))=TRUE,"",
              VLOOKUP($G56,DanaSehat!$L$13:$AK$14,M$4,FALSE)))</t>
  </si>
  <si>
    <t>=IF(ISNUMBER($L$6)=FALSE,"",
        IF(ISERROR(VLOOKUP($G56,DanaSehat!$L$13:$AK$14,N$4,FALSE))=TRUE,"",
              VLOOKUP($G56,DanaSehat!$L$13:$AK$14,N$4,FALSE)))</t>
  </si>
  <si>
    <t>=IF(ISNUMBER($L$6)=FALSE,"",
        IF(ISERROR(VLOOKUP($G56,DanaSehat!$L$13:$AK$14,O$4,FALSE))=TRUE,"",
              VLOOKUP($G56,DanaSehat!$L$13:$AK$14,O$4,FALSE)))</t>
  </si>
  <si>
    <t>=IF(ISNUMBER($L$6)=FALSE,"",
        IF(ISERROR(VLOOKUP($G56,DanaSehat!$L$13:$AK$14,P$4,FALSE))=TRUE,"",
              VLOOKUP($G56,DanaSehat!$L$13:$AK$14,P$4,FALSE)))</t>
  </si>
  <si>
    <t>=IF(ISNUMBER($L$6)=FALSE,"",
        IF(ISERROR(VLOOKUP($G56,DanaSehat!$L$13:$AK$14,Q$4,FALSE))=TRUE,"",
              VLOOKUP($G56,DanaSehat!$L$13:$AK$14,Q$4,FALSE)))</t>
  </si>
  <si>
    <t>=IF(ISNUMBER($L$6)=FALSE,"",
        IF(ISERROR(VLOOKUP($G56,DanaSehat!$L$13:$AK$14,R$4,FALSE))=TRUE,"",
              VLOOKUP($G56,DanaSehat!$L$13:$AK$14,R$4,FALSE)))</t>
  </si>
  <si>
    <t>=IF(ISNUMBER($L$6)=FALSE,"",
        IF(ISERROR(VLOOKUP($G56,DanaSehat!$L$13:$AK$14,S$4,FALSE))=TRUE,"",
              VLOOKUP($G56,DanaSehat!$L$13:$AK$14,S$4,FALSE)))</t>
  </si>
  <si>
    <t>=IF(ISNUMBER($L$6)=FALSE,"",
        IF(ISERROR(VLOOKUP($G56,DanaSehat!$L$13:$AK$14,T$4,FALSE))=TRUE,"",
              VLOOKUP($G56,DanaSehat!$L$13:$AK$14,T$4,FALSE)))</t>
  </si>
  <si>
    <t>=IF(ISNUMBER($L$6)=FALSE,"",
        IF(ISERROR(VLOOKUP($G56,DanaSehat!$L$13:$AK$14,U$4,FALSE))=TRUE,"",
              VLOOKUP($G56,DanaSehat!$L$13:$AK$14,U$4,FALSE)))</t>
  </si>
  <si>
    <t>=IF(ISNUMBER($L$6)=FALSE,"",
        IF(ISERROR(VLOOKUP($G56,DanaSehat!$L$13:$AK$14,V$4,FALSE))=TRUE,"",
              VLOOKUP($G56,DanaSehat!$L$13:$AK$14,V$4,FALSE)))</t>
  </si>
  <si>
    <t>=IF(ISNUMBER($L$6)=FALSE,"",
        IF(ISERROR(VLOOKUP($G56,DanaSehat!$L$13:$AK$14,W$4,FALSE))=TRUE,"",
              VLOOKUP($G56,DanaSehat!$L$13:$AK$14,W$4,FALSE)))</t>
  </si>
  <si>
    <t>=IF(ISNUMBER($L$6)=FALSE,"",
        IF(ISERROR(VLOOKUP($G56,DanaSehat!$L$13:$AK$14,X$4,FALSE))=TRUE,"",
              VLOOKUP($G56,DanaSehat!$L$13:$AK$14,X$4,FALSE)))</t>
  </si>
  <si>
    <t>=IF(ISNUMBER($L$6)=FALSE,"",
        IF(ISERROR(VLOOKUP($G56,DanaSehat!$L$13:$AK$14,Y$4,FALSE))=TRUE,"",
              VLOOKUP($G56,DanaSehat!$L$13:$AK$14,Y$4,FALSE)))</t>
  </si>
  <si>
    <t>=IF(ISNUMBER($L$6)=FALSE,"",
        IF(ISERROR(VLOOKUP($G56,DanaSehat!$L$13:$AK$14,Z$4,FALSE))=TRUE,"",
              VLOOKUP($G56,DanaSehat!$L$13:$AK$14,Z$4,FALSE)))</t>
  </si>
  <si>
    <t>=IF(ISNUMBER($L$6)=FALSE,"",
        IF(ISERROR(VLOOKUP($G56,DanaSehat!$L$13:$AK$14,AA$4,FALSE))=TRUE,"",
              VLOOKUP($G56,DanaSehat!$L$13:$AK$14,AA$4,FALSE)))</t>
  </si>
  <si>
    <t>=IF(ISNUMBER($L$6)=FALSE,"",
        IF(ISERROR(VLOOKUP($G56,DanaSehat!$L$13:$AK$14,AB$4,FALSE))=TRUE,"",
              VLOOKUP($G56,DanaSehat!$L$13:$AK$14,AB$4,FALSE)))</t>
  </si>
  <si>
    <t>=IF(ISNUMBER($L$6)=FALSE,"",
        IF(ISERROR(VLOOKUP($G56,DanaSehat!$L$13:$AK$14,AC$4,FALSE))=TRUE,"",
              VLOOKUP($G56,DanaSehat!$L$13:$AK$14,AC$4,FALSE)))</t>
  </si>
  <si>
    <t>=IF(ISNUMBER($L$6)=FALSE,"",
        IF(ISERROR(VLOOKUP($G56,DanaSehat!$L$13:$AK$14,AD$4,FALSE))=TRUE,"",
              VLOOKUP($G56,DanaSehat!$L$13:$AK$14,AD$4,FALSE)))</t>
  </si>
  <si>
    <t>=IF(ISNUMBER($L$6)=FALSE,"",
        IF(ISERROR(VLOOKUP($G56,DanaSehat!$L$13:$AK$14,AE$4,FALSE))=TRUE,"",
              VLOOKUP($G56,DanaSehat!$L$13:$AK$14,AE$4,FALSE)))</t>
  </si>
  <si>
    <t>=IF(ISNUMBER($L$6)=FALSE,"",
        IF(ISERROR(VLOOKUP($G56,DanaSehat!$L$13:$AK$14,AF$4,FALSE))=TRUE,"",
              VLOOKUP($G56,DanaSehat!$L$13:$AK$14,AF$4,FALSE)))</t>
  </si>
  <si>
    <t>=IF($C56=$C$4,0,
       IF($C56=0,0,$C56+1))</t>
  </si>
  <si>
    <t>=IF(ISNUMBER($L$6)=FALSE,"",
IF($C57=0,"",$C57))</t>
  </si>
  <si>
    <t>=IF(ISNUMBER($L$6)=FALSE,"",
IF($C57=0,"",VLOOKUP($E57,DanaSehat!$H$13:$L$14,4,FALSE)))</t>
  </si>
  <si>
    <t>=IF(ISNUMBER($L$6)=FALSE,"",
IF($C57=0,"",VLOOKUP($E57,DanaSehat!$H$13:$L$14,5,FALSE)))</t>
  </si>
  <si>
    <t>=IF(ISNUMBER($L$6)=FALSE,"",
IF($C57=0,"",SUM(I57:AF57)))</t>
  </si>
  <si>
    <t>=IF(ISNUMBER($L$6)=FALSE,"",
        IF(ISERROR(VLOOKUP($G57,DanaSehat!$L$13:$AK$14,I$4,FALSE))=TRUE,"",
              VLOOKUP($G57,DanaSehat!$L$13:$AK$14,I$4,FALSE)))</t>
  </si>
  <si>
    <t>=IF(ISNUMBER($L$6)=FALSE,"",
        IF(ISERROR(VLOOKUP($G57,DanaSehat!$L$13:$AK$14,J$4,FALSE))=TRUE,"",
              VLOOKUP($G57,DanaSehat!$L$13:$AK$14,J$4,FALSE)))</t>
  </si>
  <si>
    <t>=IF(ISNUMBER($L$6)=FALSE,"",
        IF(ISERROR(VLOOKUP($G57,DanaSehat!$L$13:$AK$14,K$4,FALSE))=TRUE,"",
              VLOOKUP($G57,DanaSehat!$L$13:$AK$14,K$4,FALSE)))</t>
  </si>
  <si>
    <t>=IF(ISNUMBER($L$6)=FALSE,"",
        IF(ISERROR(VLOOKUP($G57,DanaSehat!$L$13:$AK$14,L$4,FALSE))=TRUE,"",
              VLOOKUP($G57,DanaSehat!$L$13:$AK$14,L$4,FALSE)))</t>
  </si>
  <si>
    <t>=IF(ISNUMBER($L$6)=FALSE,"",
        IF(ISERROR(VLOOKUP($G57,DanaSehat!$L$13:$AK$14,M$4,FALSE))=TRUE,"",
              VLOOKUP($G57,DanaSehat!$L$13:$AK$14,M$4,FALSE)))</t>
  </si>
  <si>
    <t>=IF(ISNUMBER($L$6)=FALSE,"",
        IF(ISERROR(VLOOKUP($G57,DanaSehat!$L$13:$AK$14,N$4,FALSE))=TRUE,"",
              VLOOKUP($G57,DanaSehat!$L$13:$AK$14,N$4,FALSE)))</t>
  </si>
  <si>
    <t>=IF(ISNUMBER($L$6)=FALSE,"",
        IF(ISERROR(VLOOKUP($G57,DanaSehat!$L$13:$AK$14,O$4,FALSE))=TRUE,"",
              VLOOKUP($G57,DanaSehat!$L$13:$AK$14,O$4,FALSE)))</t>
  </si>
  <si>
    <t>=IF(ISNUMBER($L$6)=FALSE,"",
        IF(ISERROR(VLOOKUP($G57,DanaSehat!$L$13:$AK$14,P$4,FALSE))=TRUE,"",
              VLOOKUP($G57,DanaSehat!$L$13:$AK$14,P$4,FALSE)))</t>
  </si>
  <si>
    <t>=IF(ISNUMBER($L$6)=FALSE,"",
        IF(ISERROR(VLOOKUP($G57,DanaSehat!$L$13:$AK$14,Q$4,FALSE))=TRUE,"",
              VLOOKUP($G57,DanaSehat!$L$13:$AK$14,Q$4,FALSE)))</t>
  </si>
  <si>
    <t>=IF(ISNUMBER($L$6)=FALSE,"",
        IF(ISERROR(VLOOKUP($G57,DanaSehat!$L$13:$AK$14,R$4,FALSE))=TRUE,"",
              VLOOKUP($G57,DanaSehat!$L$13:$AK$14,R$4,FALSE)))</t>
  </si>
  <si>
    <t>=IF(ISNUMBER($L$6)=FALSE,"",
        IF(ISERROR(VLOOKUP($G57,DanaSehat!$L$13:$AK$14,S$4,FALSE))=TRUE,"",
              VLOOKUP($G57,DanaSehat!$L$13:$AK$14,S$4,FALSE)))</t>
  </si>
  <si>
    <t>=IF(ISNUMBER($L$6)=FALSE,"",
        IF(ISERROR(VLOOKUP($G57,DanaSehat!$L$13:$AK$14,T$4,FALSE))=TRUE,"",
              VLOOKUP($G57,DanaSehat!$L$13:$AK$14,T$4,FALSE)))</t>
  </si>
  <si>
    <t>=IF(ISNUMBER($L$6)=FALSE,"",
        IF(ISERROR(VLOOKUP($G57,DanaSehat!$L$13:$AK$14,U$4,FALSE))=TRUE,"",
              VLOOKUP($G57,DanaSehat!$L$13:$AK$14,U$4,FALSE)))</t>
  </si>
  <si>
    <t>=IF(ISNUMBER($L$6)=FALSE,"",
        IF(ISERROR(VLOOKUP($G57,DanaSehat!$L$13:$AK$14,V$4,FALSE))=TRUE,"",
              VLOOKUP($G57,DanaSehat!$L$13:$AK$14,V$4,FALSE)))</t>
  </si>
  <si>
    <t>=IF(ISNUMBER($L$6)=FALSE,"",
        IF(ISERROR(VLOOKUP($G57,DanaSehat!$L$13:$AK$14,W$4,FALSE))=TRUE,"",
              VLOOKUP($G57,DanaSehat!$L$13:$AK$14,W$4,FALSE)))</t>
  </si>
  <si>
    <t>=IF(ISNUMBER($L$6)=FALSE,"",
        IF(ISERROR(VLOOKUP($G57,DanaSehat!$L$13:$AK$14,X$4,FALSE))=TRUE,"",
              VLOOKUP($G57,DanaSehat!$L$13:$AK$14,X$4,FALSE)))</t>
  </si>
  <si>
    <t>=IF(ISNUMBER($L$6)=FALSE,"",
        IF(ISERROR(VLOOKUP($G57,DanaSehat!$L$13:$AK$14,Y$4,FALSE))=TRUE,"",
              VLOOKUP($G57,DanaSehat!$L$13:$AK$14,Y$4,FALSE)))</t>
  </si>
  <si>
    <t>=IF(ISNUMBER($L$6)=FALSE,"",
        IF(ISERROR(VLOOKUP($G57,DanaSehat!$L$13:$AK$14,Z$4,FALSE))=TRUE,"",
              VLOOKUP($G57,DanaSehat!$L$13:$AK$14,Z$4,FALSE)))</t>
  </si>
  <si>
    <t>=IF(ISNUMBER($L$6)=FALSE,"",
        IF(ISERROR(VLOOKUP($G57,DanaSehat!$L$13:$AK$14,AA$4,FALSE))=TRUE,"",
              VLOOKUP($G57,DanaSehat!$L$13:$AK$14,AA$4,FALSE)))</t>
  </si>
  <si>
    <t>=IF(ISNUMBER($L$6)=FALSE,"",
        IF(ISERROR(VLOOKUP($G57,DanaSehat!$L$13:$AK$14,AB$4,FALSE))=TRUE,"",
              VLOOKUP($G57,DanaSehat!$L$13:$AK$14,AB$4,FALSE)))</t>
  </si>
  <si>
    <t>=IF(ISNUMBER($L$6)=FALSE,"",
        IF(ISERROR(VLOOKUP($G57,DanaSehat!$L$13:$AK$14,AC$4,FALSE))=TRUE,"",
              VLOOKUP($G57,DanaSehat!$L$13:$AK$14,AC$4,FALSE)))</t>
  </si>
  <si>
    <t>=IF(ISNUMBER($L$6)=FALSE,"",
        IF(ISERROR(VLOOKUP($G57,DanaSehat!$L$13:$AK$14,AD$4,FALSE))=TRUE,"",
              VLOOKUP($G57,DanaSehat!$L$13:$AK$14,AD$4,FALSE)))</t>
  </si>
  <si>
    <t>=IF(ISNUMBER($L$6)=FALSE,"",
        IF(ISERROR(VLOOKUP($G57,DanaSehat!$L$13:$AK$14,AE$4,FALSE))=TRUE,"",
              VLOOKUP($G57,DanaSehat!$L$13:$AK$14,AE$4,FALSE)))</t>
  </si>
  <si>
    <t>=IF(ISNUMBER($L$6)=FALSE,"",
        IF(ISERROR(VLOOKUP($G57,DanaSehat!$L$13:$AK$14,AF$4,FALSE))=TRUE,"",
              VLOOKUP($G57,DanaSehat!$L$13:$AK$14,AF$4,FALSE)))</t>
  </si>
  <si>
    <t>=IF($C57=$C$4,0,
       IF($C57=0,0,$C57+1))</t>
  </si>
  <si>
    <t>=IF(ISNUMBER($L$6)=FALSE,"",
IF($C58=0,"",$C58))</t>
  </si>
  <si>
    <t>=IF(ISNUMBER($L$6)=FALSE,"",
IF($C58=0,"",VLOOKUP($E58,DanaSehat!$H$13:$L$14,4,FALSE)))</t>
  </si>
  <si>
    <t>=IF(ISNUMBER($L$6)=FALSE,"",
IF($C58=0,"",VLOOKUP($E58,DanaSehat!$H$13:$L$14,5,FALSE)))</t>
  </si>
  <si>
    <t>=IF(ISNUMBER($L$6)=FALSE,"",
IF($C58=0,"",SUM(I58:AF58)))</t>
  </si>
  <si>
    <t>=IF(ISNUMBER($L$6)=FALSE,"",
        IF(ISERROR(VLOOKUP($G58,DanaSehat!$L$13:$AK$14,I$4,FALSE))=TRUE,"",
              VLOOKUP($G58,DanaSehat!$L$13:$AK$14,I$4,FALSE)))</t>
  </si>
  <si>
    <t>=IF(ISNUMBER($L$6)=FALSE,"",
        IF(ISERROR(VLOOKUP($G58,DanaSehat!$L$13:$AK$14,J$4,FALSE))=TRUE,"",
              VLOOKUP($G58,DanaSehat!$L$13:$AK$14,J$4,FALSE)))</t>
  </si>
  <si>
    <t>=IF(ISNUMBER($L$6)=FALSE,"",
        IF(ISERROR(VLOOKUP($G58,DanaSehat!$L$13:$AK$14,K$4,FALSE))=TRUE,"",
              VLOOKUP($G58,DanaSehat!$L$13:$AK$14,K$4,FALSE)))</t>
  </si>
  <si>
    <t>=IF(ISNUMBER($L$6)=FALSE,"",
        IF(ISERROR(VLOOKUP($G58,DanaSehat!$L$13:$AK$14,L$4,FALSE))=TRUE,"",
              VLOOKUP($G58,DanaSehat!$L$13:$AK$14,L$4,FALSE)))</t>
  </si>
  <si>
    <t>=IF(ISNUMBER($L$6)=FALSE,"",
        IF(ISERROR(VLOOKUP($G58,DanaSehat!$L$13:$AK$14,M$4,FALSE))=TRUE,"",
              VLOOKUP($G58,DanaSehat!$L$13:$AK$14,M$4,FALSE)))</t>
  </si>
  <si>
    <t>=IF(ISNUMBER($L$6)=FALSE,"",
        IF(ISERROR(VLOOKUP($G58,DanaSehat!$L$13:$AK$14,N$4,FALSE))=TRUE,"",
              VLOOKUP($G58,DanaSehat!$L$13:$AK$14,N$4,FALSE)))</t>
  </si>
  <si>
    <t>=IF(ISNUMBER($L$6)=FALSE,"",
        IF(ISERROR(VLOOKUP($G58,DanaSehat!$L$13:$AK$14,O$4,FALSE))=TRUE,"",
              VLOOKUP($G58,DanaSehat!$L$13:$AK$14,O$4,FALSE)))</t>
  </si>
  <si>
    <t>=IF(ISNUMBER($L$6)=FALSE,"",
        IF(ISERROR(VLOOKUP($G58,DanaSehat!$L$13:$AK$14,P$4,FALSE))=TRUE,"",
              VLOOKUP($G58,DanaSehat!$L$13:$AK$14,P$4,FALSE)))</t>
  </si>
  <si>
    <t>=IF(ISNUMBER($L$6)=FALSE,"",
        IF(ISERROR(VLOOKUP($G58,DanaSehat!$L$13:$AK$14,Q$4,FALSE))=TRUE,"",
              VLOOKUP($G58,DanaSehat!$L$13:$AK$14,Q$4,FALSE)))</t>
  </si>
  <si>
    <t>=IF(ISNUMBER($L$6)=FALSE,"",
        IF(ISERROR(VLOOKUP($G58,DanaSehat!$L$13:$AK$14,R$4,FALSE))=TRUE,"",
              VLOOKUP($G58,DanaSehat!$L$13:$AK$14,R$4,FALSE)))</t>
  </si>
  <si>
    <t>=IF(ISNUMBER($L$6)=FALSE,"",
        IF(ISERROR(VLOOKUP($G58,DanaSehat!$L$13:$AK$14,S$4,FALSE))=TRUE,"",
              VLOOKUP($G58,DanaSehat!$L$13:$AK$14,S$4,FALSE)))</t>
  </si>
  <si>
    <t>=IF(ISNUMBER($L$6)=FALSE,"",
        IF(ISERROR(VLOOKUP($G58,DanaSehat!$L$13:$AK$14,T$4,FALSE))=TRUE,"",
              VLOOKUP($G58,DanaSehat!$L$13:$AK$14,T$4,FALSE)))</t>
  </si>
  <si>
    <t>=IF(ISNUMBER($L$6)=FALSE,"",
        IF(ISERROR(VLOOKUP($G58,DanaSehat!$L$13:$AK$14,U$4,FALSE))=TRUE,"",
              VLOOKUP($G58,DanaSehat!$L$13:$AK$14,U$4,FALSE)))</t>
  </si>
  <si>
    <t>=IF(ISNUMBER($L$6)=FALSE,"",
        IF(ISERROR(VLOOKUP($G58,DanaSehat!$L$13:$AK$14,V$4,FALSE))=TRUE,"",
              VLOOKUP($G58,DanaSehat!$L$13:$AK$14,V$4,FALSE)))</t>
  </si>
  <si>
    <t>=IF(ISNUMBER($L$6)=FALSE,"",
        IF(ISERROR(VLOOKUP($G58,DanaSehat!$L$13:$AK$14,W$4,FALSE))=TRUE,"",
              VLOOKUP($G58,DanaSehat!$L$13:$AK$14,W$4,FALSE)))</t>
  </si>
  <si>
    <t>=IF(ISNUMBER($L$6)=FALSE,"",
        IF(ISERROR(VLOOKUP($G58,DanaSehat!$L$13:$AK$14,X$4,FALSE))=TRUE,"",
              VLOOKUP($G58,DanaSehat!$L$13:$AK$14,X$4,FALSE)))</t>
  </si>
  <si>
    <t>=IF(ISNUMBER($L$6)=FALSE,"",
        IF(ISERROR(VLOOKUP($G58,DanaSehat!$L$13:$AK$14,Y$4,FALSE))=TRUE,"",
              VLOOKUP($G58,DanaSehat!$L$13:$AK$14,Y$4,FALSE)))</t>
  </si>
  <si>
    <t>=IF(ISNUMBER($L$6)=FALSE,"",
        IF(ISERROR(VLOOKUP($G58,DanaSehat!$L$13:$AK$14,Z$4,FALSE))=TRUE,"",
              VLOOKUP($G58,DanaSehat!$L$13:$AK$14,Z$4,FALSE)))</t>
  </si>
  <si>
    <t>=IF(ISNUMBER($L$6)=FALSE,"",
        IF(ISERROR(VLOOKUP($G58,DanaSehat!$L$13:$AK$14,AA$4,FALSE))=TRUE,"",
              VLOOKUP($G58,DanaSehat!$L$13:$AK$14,AA$4,FALSE)))</t>
  </si>
  <si>
    <t>=IF(ISNUMBER($L$6)=FALSE,"",
        IF(ISERROR(VLOOKUP($G58,DanaSehat!$L$13:$AK$14,AB$4,FALSE))=TRUE,"",
              VLOOKUP($G58,DanaSehat!$L$13:$AK$14,AB$4,FALSE)))</t>
  </si>
  <si>
    <t>=IF(ISNUMBER($L$6)=FALSE,"",
        IF(ISERROR(VLOOKUP($G58,DanaSehat!$L$13:$AK$14,AC$4,FALSE))=TRUE,"",
              VLOOKUP($G58,DanaSehat!$L$13:$AK$14,AC$4,FALSE)))</t>
  </si>
  <si>
    <t>=IF(ISNUMBER($L$6)=FALSE,"",
        IF(ISERROR(VLOOKUP($G58,DanaSehat!$L$13:$AK$14,AD$4,FALSE))=TRUE,"",
              VLOOKUP($G58,DanaSehat!$L$13:$AK$14,AD$4,FALSE)))</t>
  </si>
  <si>
    <t>=IF(ISNUMBER($L$6)=FALSE,"",
        IF(ISERROR(VLOOKUP($G58,DanaSehat!$L$13:$AK$14,AE$4,FALSE))=TRUE,"",
              VLOOKUP($G58,DanaSehat!$L$13:$AK$14,AE$4,FALSE)))</t>
  </si>
  <si>
    <t>=IF(ISNUMBER($L$6)=FALSE,"",
        IF(ISERROR(VLOOKUP($G58,DanaSehat!$L$13:$AK$14,AF$4,FALSE))=TRUE,"",
              VLOOKUP($G58,DanaSehat!$L$13:$AK$14,AF$4,FALSE)))</t>
  </si>
  <si>
    <t>=IF($C58=$C$4,0,
       IF($C58=0,0,$C58+1))</t>
  </si>
  <si>
    <t>=IF(ISNUMBER($L$6)=FALSE,"",
IF($C59=0,"",$C59))</t>
  </si>
  <si>
    <t>=IF(ISNUMBER($L$6)=FALSE,"",
IF($C59=0,"",VLOOKUP($E59,DanaSehat!$H$13:$L$14,4,FALSE)))</t>
  </si>
  <si>
    <t>=IF(ISNUMBER($L$6)=FALSE,"",
IF($C59=0,"",VLOOKUP($E59,DanaSehat!$H$13:$L$14,5,FALSE)))</t>
  </si>
  <si>
    <t>=IF(ISNUMBER($L$6)=FALSE,"",
IF($C59=0,"",SUM(I59:AF59)))</t>
  </si>
  <si>
    <t>=IF(ISNUMBER($L$6)=FALSE,"",
        IF(ISERROR(VLOOKUP($G59,DanaSehat!$L$13:$AK$14,I$4,FALSE))=TRUE,"",
              VLOOKUP($G59,DanaSehat!$L$13:$AK$14,I$4,FALSE)))</t>
  </si>
  <si>
    <t>=IF(ISNUMBER($L$6)=FALSE,"",
        IF(ISERROR(VLOOKUP($G59,DanaSehat!$L$13:$AK$14,J$4,FALSE))=TRUE,"",
              VLOOKUP($G59,DanaSehat!$L$13:$AK$14,J$4,FALSE)))</t>
  </si>
  <si>
    <t>=IF(ISNUMBER($L$6)=FALSE,"",
        IF(ISERROR(VLOOKUP($G59,DanaSehat!$L$13:$AK$14,K$4,FALSE))=TRUE,"",
              VLOOKUP($G59,DanaSehat!$L$13:$AK$14,K$4,FALSE)))</t>
  </si>
  <si>
    <t>=IF(ISNUMBER($L$6)=FALSE,"",
        IF(ISERROR(VLOOKUP($G59,DanaSehat!$L$13:$AK$14,L$4,FALSE))=TRUE,"",
              VLOOKUP($G59,DanaSehat!$L$13:$AK$14,L$4,FALSE)))</t>
  </si>
  <si>
    <t>=IF(ISNUMBER($L$6)=FALSE,"",
        IF(ISERROR(VLOOKUP($G59,DanaSehat!$L$13:$AK$14,M$4,FALSE))=TRUE,"",
              VLOOKUP($G59,DanaSehat!$L$13:$AK$14,M$4,FALSE)))</t>
  </si>
  <si>
    <t>=IF(ISNUMBER($L$6)=FALSE,"",
        IF(ISERROR(VLOOKUP($G59,DanaSehat!$L$13:$AK$14,N$4,FALSE))=TRUE,"",
              VLOOKUP($G59,DanaSehat!$L$13:$AK$14,N$4,FALSE)))</t>
  </si>
  <si>
    <t>=IF(ISNUMBER($L$6)=FALSE,"",
        IF(ISERROR(VLOOKUP($G59,DanaSehat!$L$13:$AK$14,O$4,FALSE))=TRUE,"",
              VLOOKUP($G59,DanaSehat!$L$13:$AK$14,O$4,FALSE)))</t>
  </si>
  <si>
    <t>=IF(ISNUMBER($L$6)=FALSE,"",
        IF(ISERROR(VLOOKUP($G59,DanaSehat!$L$13:$AK$14,P$4,FALSE))=TRUE,"",
              VLOOKUP($G59,DanaSehat!$L$13:$AK$14,P$4,FALSE)))</t>
  </si>
  <si>
    <t>=IF(ISNUMBER($L$6)=FALSE,"",
        IF(ISERROR(VLOOKUP($G59,DanaSehat!$L$13:$AK$14,Q$4,FALSE))=TRUE,"",
              VLOOKUP($G59,DanaSehat!$L$13:$AK$14,Q$4,FALSE)))</t>
  </si>
  <si>
    <t>=IF(ISNUMBER($L$6)=FALSE,"",
        IF(ISERROR(VLOOKUP($G59,DanaSehat!$L$13:$AK$14,R$4,FALSE))=TRUE,"",
              VLOOKUP($G59,DanaSehat!$L$13:$AK$14,R$4,FALSE)))</t>
  </si>
  <si>
    <t>=IF(ISNUMBER($L$6)=FALSE,"",
        IF(ISERROR(VLOOKUP($G59,DanaSehat!$L$13:$AK$14,S$4,FALSE))=TRUE,"",
              VLOOKUP($G59,DanaSehat!$L$13:$AK$14,S$4,FALSE)))</t>
  </si>
  <si>
    <t>=IF(ISNUMBER($L$6)=FALSE,"",
        IF(ISERROR(VLOOKUP($G59,DanaSehat!$L$13:$AK$14,T$4,FALSE))=TRUE,"",
              VLOOKUP($G59,DanaSehat!$L$13:$AK$14,T$4,FALSE)))</t>
  </si>
  <si>
    <t>=IF(ISNUMBER($L$6)=FALSE,"",
        IF(ISERROR(VLOOKUP($G59,DanaSehat!$L$13:$AK$14,U$4,FALSE))=TRUE,"",
              VLOOKUP($G59,DanaSehat!$L$13:$AK$14,U$4,FALSE)))</t>
  </si>
  <si>
    <t>=IF(ISNUMBER($L$6)=FALSE,"",
        IF(ISERROR(VLOOKUP($G59,DanaSehat!$L$13:$AK$14,V$4,FALSE))=TRUE,"",
              VLOOKUP($G59,DanaSehat!$L$13:$AK$14,V$4,FALSE)))</t>
  </si>
  <si>
    <t>=IF(ISNUMBER($L$6)=FALSE,"",
        IF(ISERROR(VLOOKUP($G59,DanaSehat!$L$13:$AK$14,W$4,FALSE))=TRUE,"",
              VLOOKUP($G59,DanaSehat!$L$13:$AK$14,W$4,FALSE)))</t>
  </si>
  <si>
    <t>=IF(ISNUMBER($L$6)=FALSE,"",
        IF(ISERROR(VLOOKUP($G59,DanaSehat!$L$13:$AK$14,X$4,FALSE))=TRUE,"",
              VLOOKUP($G59,DanaSehat!$L$13:$AK$14,X$4,FALSE)))</t>
  </si>
  <si>
    <t>=IF(ISNUMBER($L$6)=FALSE,"",
        IF(ISERROR(VLOOKUP($G59,DanaSehat!$L$13:$AK$14,Y$4,FALSE))=TRUE,"",
              VLOOKUP($G59,DanaSehat!$L$13:$AK$14,Y$4,FALSE)))</t>
  </si>
  <si>
    <t>=IF(ISNUMBER($L$6)=FALSE,"",
        IF(ISERROR(VLOOKUP($G59,DanaSehat!$L$13:$AK$14,Z$4,FALSE))=TRUE,"",
              VLOOKUP($G59,DanaSehat!$L$13:$AK$14,Z$4,FALSE)))</t>
  </si>
  <si>
    <t>=IF(ISNUMBER($L$6)=FALSE,"",
        IF(ISERROR(VLOOKUP($G59,DanaSehat!$L$13:$AK$14,AA$4,FALSE))=TRUE,"",
              VLOOKUP($G59,DanaSehat!$L$13:$AK$14,AA$4,FALSE)))</t>
  </si>
  <si>
    <t>=IF(ISNUMBER($L$6)=FALSE,"",
        IF(ISERROR(VLOOKUP($G59,DanaSehat!$L$13:$AK$14,AB$4,FALSE))=TRUE,"",
              VLOOKUP($G59,DanaSehat!$L$13:$AK$14,AB$4,FALSE)))</t>
  </si>
  <si>
    <t>=IF(ISNUMBER($L$6)=FALSE,"",
        IF(ISERROR(VLOOKUP($G59,DanaSehat!$L$13:$AK$14,AC$4,FALSE))=TRUE,"",
              VLOOKUP($G59,DanaSehat!$L$13:$AK$14,AC$4,FALSE)))</t>
  </si>
  <si>
    <t>=IF(ISNUMBER($L$6)=FALSE,"",
        IF(ISERROR(VLOOKUP($G59,DanaSehat!$L$13:$AK$14,AD$4,FALSE))=TRUE,"",
              VLOOKUP($G59,DanaSehat!$L$13:$AK$14,AD$4,FALSE)))</t>
  </si>
  <si>
    <t>=IF(ISNUMBER($L$6)=FALSE,"",
        IF(ISERROR(VLOOKUP($G59,DanaSehat!$L$13:$AK$14,AE$4,FALSE))=TRUE,"",
              VLOOKUP($G59,DanaSehat!$L$13:$AK$14,AE$4,FALSE)))</t>
  </si>
  <si>
    <t>=IF(ISNUMBER($L$6)=FALSE,"",
        IF(ISERROR(VLOOKUP($G59,DanaSehat!$L$13:$AK$14,AF$4,FALSE))=TRUE,"",
              VLOOKUP($G59,DanaSehat!$L$13:$AK$14,AF$4,FALSE)))</t>
  </si>
  <si>
    <t>=IF($C59=$C$4,0,
       IF($C59=0,0,$C59+1))</t>
  </si>
  <si>
    <t>=IF(ISNUMBER($L$6)=FALSE,"",
IF($C60=0,"",$C60))</t>
  </si>
  <si>
    <t>=IF(ISNUMBER($L$6)=FALSE,"",
IF($C60=0,"",VLOOKUP($E60,DanaSehat!$H$13:$L$14,4,FALSE)))</t>
  </si>
  <si>
    <t>=IF(ISNUMBER($L$6)=FALSE,"",
IF($C60=0,"",VLOOKUP($E60,DanaSehat!$H$13:$L$14,5,FALSE)))</t>
  </si>
  <si>
    <t>=IF(ISNUMBER($L$6)=FALSE,"",
IF($C60=0,"",SUM(I60:AF60)))</t>
  </si>
  <si>
    <t>=IF(ISNUMBER($L$6)=FALSE,"",
        IF(ISERROR(VLOOKUP($G60,DanaSehat!$L$13:$AK$14,I$4,FALSE))=TRUE,"",
              VLOOKUP($G60,DanaSehat!$L$13:$AK$14,I$4,FALSE)))</t>
  </si>
  <si>
    <t>=IF(ISNUMBER($L$6)=FALSE,"",
        IF(ISERROR(VLOOKUP($G60,DanaSehat!$L$13:$AK$14,J$4,FALSE))=TRUE,"",
              VLOOKUP($G60,DanaSehat!$L$13:$AK$14,J$4,FALSE)))</t>
  </si>
  <si>
    <t>=IF(ISNUMBER($L$6)=FALSE,"",
        IF(ISERROR(VLOOKUP($G60,DanaSehat!$L$13:$AK$14,K$4,FALSE))=TRUE,"",
              VLOOKUP($G60,DanaSehat!$L$13:$AK$14,K$4,FALSE)))</t>
  </si>
  <si>
    <t>=IF(ISNUMBER($L$6)=FALSE,"",
        IF(ISERROR(VLOOKUP($G60,DanaSehat!$L$13:$AK$14,L$4,FALSE))=TRUE,"",
              VLOOKUP($G60,DanaSehat!$L$13:$AK$14,L$4,FALSE)))</t>
  </si>
  <si>
    <t>=IF(ISNUMBER($L$6)=FALSE,"",
        IF(ISERROR(VLOOKUP($G60,DanaSehat!$L$13:$AK$14,M$4,FALSE))=TRUE,"",
              VLOOKUP($G60,DanaSehat!$L$13:$AK$14,M$4,FALSE)))</t>
  </si>
  <si>
    <t>=IF(ISNUMBER($L$6)=FALSE,"",
        IF(ISERROR(VLOOKUP($G60,DanaSehat!$L$13:$AK$14,N$4,FALSE))=TRUE,"",
              VLOOKUP($G60,DanaSehat!$L$13:$AK$14,N$4,FALSE)))</t>
  </si>
  <si>
    <t>=IF(ISNUMBER($L$6)=FALSE,"",
        IF(ISERROR(VLOOKUP($G60,DanaSehat!$L$13:$AK$14,O$4,FALSE))=TRUE,"",
              VLOOKUP($G60,DanaSehat!$L$13:$AK$14,O$4,FALSE)))</t>
  </si>
  <si>
    <t>=IF(ISNUMBER($L$6)=FALSE,"",
        IF(ISERROR(VLOOKUP($G60,DanaSehat!$L$13:$AK$14,P$4,FALSE))=TRUE,"",
              VLOOKUP($G60,DanaSehat!$L$13:$AK$14,P$4,FALSE)))</t>
  </si>
  <si>
    <t>=IF(ISNUMBER($L$6)=FALSE,"",
        IF(ISERROR(VLOOKUP($G60,DanaSehat!$L$13:$AK$14,Q$4,FALSE))=TRUE,"",
              VLOOKUP($G60,DanaSehat!$L$13:$AK$14,Q$4,FALSE)))</t>
  </si>
  <si>
    <t>=IF(ISNUMBER($L$6)=FALSE,"",
        IF(ISERROR(VLOOKUP($G60,DanaSehat!$L$13:$AK$14,R$4,FALSE))=TRUE,"",
              VLOOKUP($G60,DanaSehat!$L$13:$AK$14,R$4,FALSE)))</t>
  </si>
  <si>
    <t>=IF(ISNUMBER($L$6)=FALSE,"",
        IF(ISERROR(VLOOKUP($G60,DanaSehat!$L$13:$AK$14,S$4,FALSE))=TRUE,"",
              VLOOKUP($G60,DanaSehat!$L$13:$AK$14,S$4,FALSE)))</t>
  </si>
  <si>
    <t>=IF(ISNUMBER($L$6)=FALSE,"",
        IF(ISERROR(VLOOKUP($G60,DanaSehat!$L$13:$AK$14,T$4,FALSE))=TRUE,"",
              VLOOKUP($G60,DanaSehat!$L$13:$AK$14,T$4,FALSE)))</t>
  </si>
  <si>
    <t>=IF(ISNUMBER($L$6)=FALSE,"",
        IF(ISERROR(VLOOKUP($G60,DanaSehat!$L$13:$AK$14,U$4,FALSE))=TRUE,"",
              VLOOKUP($G60,DanaSehat!$L$13:$AK$14,U$4,FALSE)))</t>
  </si>
  <si>
    <t>=IF(ISNUMBER($L$6)=FALSE,"",
        IF(ISERROR(VLOOKUP($G60,DanaSehat!$L$13:$AK$14,V$4,FALSE))=TRUE,"",
              VLOOKUP($G60,DanaSehat!$L$13:$AK$14,V$4,FALSE)))</t>
  </si>
  <si>
    <t>=IF(ISNUMBER($L$6)=FALSE,"",
        IF(ISERROR(VLOOKUP($G60,DanaSehat!$L$13:$AK$14,W$4,FALSE))=TRUE,"",
              VLOOKUP($G60,DanaSehat!$L$13:$AK$14,W$4,FALSE)))</t>
  </si>
  <si>
    <t>=IF(ISNUMBER($L$6)=FALSE,"",
        IF(ISERROR(VLOOKUP($G60,DanaSehat!$L$13:$AK$14,X$4,FALSE))=TRUE,"",
              VLOOKUP($G60,DanaSehat!$L$13:$AK$14,X$4,FALSE)))</t>
  </si>
  <si>
    <t>=IF(ISNUMBER($L$6)=FALSE,"",
        IF(ISERROR(VLOOKUP($G60,DanaSehat!$L$13:$AK$14,Y$4,FALSE))=TRUE,"",
              VLOOKUP($G60,DanaSehat!$L$13:$AK$14,Y$4,FALSE)))</t>
  </si>
  <si>
    <t>=IF(ISNUMBER($L$6)=FALSE,"",
        IF(ISERROR(VLOOKUP($G60,DanaSehat!$L$13:$AK$14,Z$4,FALSE))=TRUE,"",
              VLOOKUP($G60,DanaSehat!$L$13:$AK$14,Z$4,FALSE)))</t>
  </si>
  <si>
    <t>=IF(ISNUMBER($L$6)=FALSE,"",
        IF(ISERROR(VLOOKUP($G60,DanaSehat!$L$13:$AK$14,AA$4,FALSE))=TRUE,"",
              VLOOKUP($G60,DanaSehat!$L$13:$AK$14,AA$4,FALSE)))</t>
  </si>
  <si>
    <t>=IF(ISNUMBER($L$6)=FALSE,"",
        IF(ISERROR(VLOOKUP($G60,DanaSehat!$L$13:$AK$14,AB$4,FALSE))=TRUE,"",
              VLOOKUP($G60,DanaSehat!$L$13:$AK$14,AB$4,FALSE)))</t>
  </si>
  <si>
    <t>=IF(ISNUMBER($L$6)=FALSE,"",
        IF(ISERROR(VLOOKUP($G60,DanaSehat!$L$13:$AK$14,AC$4,FALSE))=TRUE,"",
              VLOOKUP($G60,DanaSehat!$L$13:$AK$14,AC$4,FALSE)))</t>
  </si>
  <si>
    <t>=IF(ISNUMBER($L$6)=FALSE,"",
        IF(ISERROR(VLOOKUP($G60,DanaSehat!$L$13:$AK$14,AD$4,FALSE))=TRUE,"",
              VLOOKUP($G60,DanaSehat!$L$13:$AK$14,AD$4,FALSE)))</t>
  </si>
  <si>
    <t>=IF(ISNUMBER($L$6)=FALSE,"",
        IF(ISERROR(VLOOKUP($G60,DanaSehat!$L$13:$AK$14,AE$4,FALSE))=TRUE,"",
              VLOOKUP($G60,DanaSehat!$L$13:$AK$14,AE$4,FALSE)))</t>
  </si>
  <si>
    <t>=IF(ISNUMBER($L$6)=FALSE,"",
        IF(ISERROR(VLOOKUP($G60,DanaSehat!$L$13:$AK$14,AF$4,FALSE))=TRUE,"",
              VLOOKUP($G60,DanaSehat!$L$13:$AK$14,AF$4,FALSE)))</t>
  </si>
  <si>
    <t>=IF($C60=$C$4,0,
       IF($C60=0,0,$C60+1))</t>
  </si>
  <si>
    <t>=IF(ISNUMBER($L$6)=FALSE,"",
IF($C61=0,"",$C61))</t>
  </si>
  <si>
    <t>=IF(ISNUMBER($L$6)=FALSE,"",
IF($C61=0,"",VLOOKUP($E61,DanaSehat!$H$13:$L$14,4,FALSE)))</t>
  </si>
  <si>
    <t>=IF(ISNUMBER($L$6)=FALSE,"",
IF($C61=0,"",VLOOKUP($E61,DanaSehat!$H$13:$L$14,5,FALSE)))</t>
  </si>
  <si>
    <t>=IF(ISNUMBER($L$6)=FALSE,"",
IF($C61=0,"",SUM(I61:AF61)))</t>
  </si>
  <si>
    <t>=IF(ISNUMBER($L$6)=FALSE,"",
        IF(ISERROR(VLOOKUP($G61,DanaSehat!$L$13:$AK$14,I$4,FALSE))=TRUE,"",
              VLOOKUP($G61,DanaSehat!$L$13:$AK$14,I$4,FALSE)))</t>
  </si>
  <si>
    <t>=IF(ISNUMBER($L$6)=FALSE,"",
        IF(ISERROR(VLOOKUP($G61,DanaSehat!$L$13:$AK$14,J$4,FALSE))=TRUE,"",
              VLOOKUP($G61,DanaSehat!$L$13:$AK$14,J$4,FALSE)))</t>
  </si>
  <si>
    <t>=IF(ISNUMBER($L$6)=FALSE,"",
        IF(ISERROR(VLOOKUP($G61,DanaSehat!$L$13:$AK$14,K$4,FALSE))=TRUE,"",
              VLOOKUP($G61,DanaSehat!$L$13:$AK$14,K$4,FALSE)))</t>
  </si>
  <si>
    <t>=IF(ISNUMBER($L$6)=FALSE,"",
        IF(ISERROR(VLOOKUP($G61,DanaSehat!$L$13:$AK$14,L$4,FALSE))=TRUE,"",
              VLOOKUP($G61,DanaSehat!$L$13:$AK$14,L$4,FALSE)))</t>
  </si>
  <si>
    <t>=IF(ISNUMBER($L$6)=FALSE,"",
        IF(ISERROR(VLOOKUP($G61,DanaSehat!$L$13:$AK$14,M$4,FALSE))=TRUE,"",
              VLOOKUP($G61,DanaSehat!$L$13:$AK$14,M$4,FALSE)))</t>
  </si>
  <si>
    <t>=IF(ISNUMBER($L$6)=FALSE,"",
        IF(ISERROR(VLOOKUP($G61,DanaSehat!$L$13:$AK$14,N$4,FALSE))=TRUE,"",
              VLOOKUP($G61,DanaSehat!$L$13:$AK$14,N$4,FALSE)))</t>
  </si>
  <si>
    <t>=IF(ISNUMBER($L$6)=FALSE,"",
        IF(ISERROR(VLOOKUP($G61,DanaSehat!$L$13:$AK$14,O$4,FALSE))=TRUE,"",
              VLOOKUP($G61,DanaSehat!$L$13:$AK$14,O$4,FALSE)))</t>
  </si>
  <si>
    <t>=IF(ISNUMBER($L$6)=FALSE,"",
        IF(ISERROR(VLOOKUP($G61,DanaSehat!$L$13:$AK$14,P$4,FALSE))=TRUE,"",
              VLOOKUP($G61,DanaSehat!$L$13:$AK$14,P$4,FALSE)))</t>
  </si>
  <si>
    <t>=IF(ISNUMBER($L$6)=FALSE,"",
        IF(ISERROR(VLOOKUP($G61,DanaSehat!$L$13:$AK$14,Q$4,FALSE))=TRUE,"",
              VLOOKUP($G61,DanaSehat!$L$13:$AK$14,Q$4,FALSE)))</t>
  </si>
  <si>
    <t>=IF(ISNUMBER($L$6)=FALSE,"",
        IF(ISERROR(VLOOKUP($G61,DanaSehat!$L$13:$AK$14,R$4,FALSE))=TRUE,"",
              VLOOKUP($G61,DanaSehat!$L$13:$AK$14,R$4,FALSE)))</t>
  </si>
  <si>
    <t>=IF(ISNUMBER($L$6)=FALSE,"",
        IF(ISERROR(VLOOKUP($G61,DanaSehat!$L$13:$AK$14,S$4,FALSE))=TRUE,"",
              VLOOKUP($G61,DanaSehat!$L$13:$AK$14,S$4,FALSE)))</t>
  </si>
  <si>
    <t>=IF(ISNUMBER($L$6)=FALSE,"",
        IF(ISERROR(VLOOKUP($G61,DanaSehat!$L$13:$AK$14,T$4,FALSE))=TRUE,"",
              VLOOKUP($G61,DanaSehat!$L$13:$AK$14,T$4,FALSE)))</t>
  </si>
  <si>
    <t>=IF(ISNUMBER($L$6)=FALSE,"",
        IF(ISERROR(VLOOKUP($G61,DanaSehat!$L$13:$AK$14,U$4,FALSE))=TRUE,"",
              VLOOKUP($G61,DanaSehat!$L$13:$AK$14,U$4,FALSE)))</t>
  </si>
  <si>
    <t>=IF(ISNUMBER($L$6)=FALSE,"",
        IF(ISERROR(VLOOKUP($G61,DanaSehat!$L$13:$AK$14,V$4,FALSE))=TRUE,"",
              VLOOKUP($G61,DanaSehat!$L$13:$AK$14,V$4,FALSE)))</t>
  </si>
  <si>
    <t>=IF(ISNUMBER($L$6)=FALSE,"",
        IF(ISERROR(VLOOKUP($G61,DanaSehat!$L$13:$AK$14,W$4,FALSE))=TRUE,"",
              VLOOKUP($G61,DanaSehat!$L$13:$AK$14,W$4,FALSE)))</t>
  </si>
  <si>
    <t>=IF(ISNUMBER($L$6)=FALSE,"",
        IF(ISERROR(VLOOKUP($G61,DanaSehat!$L$13:$AK$14,X$4,FALSE))=TRUE,"",
              VLOOKUP($G61,DanaSehat!$L$13:$AK$14,X$4,FALSE)))</t>
  </si>
  <si>
    <t>=IF(ISNUMBER($L$6)=FALSE,"",
        IF(ISERROR(VLOOKUP($G61,DanaSehat!$L$13:$AK$14,Y$4,FALSE))=TRUE,"",
              VLOOKUP($G61,DanaSehat!$L$13:$AK$14,Y$4,FALSE)))</t>
  </si>
  <si>
    <t>=IF(ISNUMBER($L$6)=FALSE,"",
        IF(ISERROR(VLOOKUP($G61,DanaSehat!$L$13:$AK$14,Z$4,FALSE))=TRUE,"",
              VLOOKUP($G61,DanaSehat!$L$13:$AK$14,Z$4,FALSE)))</t>
  </si>
  <si>
    <t>=IF(ISNUMBER($L$6)=FALSE,"",
        IF(ISERROR(VLOOKUP($G61,DanaSehat!$L$13:$AK$14,AA$4,FALSE))=TRUE,"",
              VLOOKUP($G61,DanaSehat!$L$13:$AK$14,AA$4,FALSE)))</t>
  </si>
  <si>
    <t>=IF(ISNUMBER($L$6)=FALSE,"",
        IF(ISERROR(VLOOKUP($G61,DanaSehat!$L$13:$AK$14,AB$4,FALSE))=TRUE,"",
              VLOOKUP($G61,DanaSehat!$L$13:$AK$14,AB$4,FALSE)))</t>
  </si>
  <si>
    <t>=IF(ISNUMBER($L$6)=FALSE,"",
        IF(ISERROR(VLOOKUP($G61,DanaSehat!$L$13:$AK$14,AC$4,FALSE))=TRUE,"",
              VLOOKUP($G61,DanaSehat!$L$13:$AK$14,AC$4,FALSE)))</t>
  </si>
  <si>
    <t>=IF(ISNUMBER($L$6)=FALSE,"",
        IF(ISERROR(VLOOKUP($G61,DanaSehat!$L$13:$AK$14,AD$4,FALSE))=TRUE,"",
              VLOOKUP($G61,DanaSehat!$L$13:$AK$14,AD$4,FALSE)))</t>
  </si>
  <si>
    <t>=IF(ISNUMBER($L$6)=FALSE,"",
        IF(ISERROR(VLOOKUP($G61,DanaSehat!$L$13:$AK$14,AE$4,FALSE))=TRUE,"",
              VLOOKUP($G61,DanaSehat!$L$13:$AK$14,AE$4,FALSE)))</t>
  </si>
  <si>
    <t>=IF(ISNUMBER($L$6)=FALSE,"",
        IF(ISERROR(VLOOKUP($G61,DanaSehat!$L$13:$AK$14,AF$4,FALSE))=TRUE,"",
              VLOOKUP($G61,DanaSehat!$L$13:$AK$14,AF$4,FALSE)))</t>
  </si>
  <si>
    <t>=IF($C61=$C$4,0,
       IF($C61=0,0,$C61+1))</t>
  </si>
  <si>
    <t>=IF(ISNUMBER($L$6)=FALSE,"",
IF($C62=0,"",$C62))</t>
  </si>
  <si>
    <t>=IF(ISNUMBER($L$6)=FALSE,"",
IF($C62=0,"",VLOOKUP($E62,DanaSehat!$H$13:$L$14,4,FALSE)))</t>
  </si>
  <si>
    <t>=IF(ISNUMBER($L$6)=FALSE,"",
IF($C62=0,"",VLOOKUP($E62,DanaSehat!$H$13:$L$14,5,FALSE)))</t>
  </si>
  <si>
    <t>=IF(ISNUMBER($L$6)=FALSE,"",
IF($C62=0,"",SUM(I62:AF62)))</t>
  </si>
  <si>
    <t>=IF(ISNUMBER($L$6)=FALSE,"",
        IF(ISERROR(VLOOKUP($G62,DanaSehat!$L$13:$AK$14,I$4,FALSE))=TRUE,"",
              VLOOKUP($G62,DanaSehat!$L$13:$AK$14,I$4,FALSE)))</t>
  </si>
  <si>
    <t>=IF(ISNUMBER($L$6)=FALSE,"",
        IF(ISERROR(VLOOKUP($G62,DanaSehat!$L$13:$AK$14,J$4,FALSE))=TRUE,"",
              VLOOKUP($G62,DanaSehat!$L$13:$AK$14,J$4,FALSE)))</t>
  </si>
  <si>
    <t>=IF(ISNUMBER($L$6)=FALSE,"",
        IF(ISERROR(VLOOKUP($G62,DanaSehat!$L$13:$AK$14,K$4,FALSE))=TRUE,"",
              VLOOKUP($G62,DanaSehat!$L$13:$AK$14,K$4,FALSE)))</t>
  </si>
  <si>
    <t>=IF(ISNUMBER($L$6)=FALSE,"",
        IF(ISERROR(VLOOKUP($G62,DanaSehat!$L$13:$AK$14,L$4,FALSE))=TRUE,"",
              VLOOKUP($G62,DanaSehat!$L$13:$AK$14,L$4,FALSE)))</t>
  </si>
  <si>
    <t>=IF(ISNUMBER($L$6)=FALSE,"",
        IF(ISERROR(VLOOKUP($G62,DanaSehat!$L$13:$AK$14,M$4,FALSE))=TRUE,"",
              VLOOKUP($G62,DanaSehat!$L$13:$AK$14,M$4,FALSE)))</t>
  </si>
  <si>
    <t>=IF(ISNUMBER($L$6)=FALSE,"",
        IF(ISERROR(VLOOKUP($G62,DanaSehat!$L$13:$AK$14,N$4,FALSE))=TRUE,"",
              VLOOKUP($G62,DanaSehat!$L$13:$AK$14,N$4,FALSE)))</t>
  </si>
  <si>
    <t>=IF(ISNUMBER($L$6)=FALSE,"",
        IF(ISERROR(VLOOKUP($G62,DanaSehat!$L$13:$AK$14,O$4,FALSE))=TRUE,"",
              VLOOKUP($G62,DanaSehat!$L$13:$AK$14,O$4,FALSE)))</t>
  </si>
  <si>
    <t>=IF(ISNUMBER($L$6)=FALSE,"",
        IF(ISERROR(VLOOKUP($G62,DanaSehat!$L$13:$AK$14,P$4,FALSE))=TRUE,"",
              VLOOKUP($G62,DanaSehat!$L$13:$AK$14,P$4,FALSE)))</t>
  </si>
  <si>
    <t>=IF(ISNUMBER($L$6)=FALSE,"",
        IF(ISERROR(VLOOKUP($G62,DanaSehat!$L$13:$AK$14,Q$4,FALSE))=TRUE,"",
              VLOOKUP($G62,DanaSehat!$L$13:$AK$14,Q$4,FALSE)))</t>
  </si>
  <si>
    <t>=IF(ISNUMBER($L$6)=FALSE,"",
        IF(ISERROR(VLOOKUP($G62,DanaSehat!$L$13:$AK$14,R$4,FALSE))=TRUE,"",
              VLOOKUP($G62,DanaSehat!$L$13:$AK$14,R$4,FALSE)))</t>
  </si>
  <si>
    <t>=IF(ISNUMBER($L$6)=FALSE,"",
        IF(ISERROR(VLOOKUP($G62,DanaSehat!$L$13:$AK$14,S$4,FALSE))=TRUE,"",
              VLOOKUP($G62,DanaSehat!$L$13:$AK$14,S$4,FALSE)))</t>
  </si>
  <si>
    <t>=IF(ISNUMBER($L$6)=FALSE,"",
        IF(ISERROR(VLOOKUP($G62,DanaSehat!$L$13:$AK$14,T$4,FALSE))=TRUE,"",
              VLOOKUP($G62,DanaSehat!$L$13:$AK$14,T$4,FALSE)))</t>
  </si>
  <si>
    <t>=IF(ISNUMBER($L$6)=FALSE,"",
        IF(ISERROR(VLOOKUP($G62,DanaSehat!$L$13:$AK$14,U$4,FALSE))=TRUE,"",
              VLOOKUP($G62,DanaSehat!$L$13:$AK$14,U$4,FALSE)))</t>
  </si>
  <si>
    <t>=IF(ISNUMBER($L$6)=FALSE,"",
        IF(ISERROR(VLOOKUP($G62,DanaSehat!$L$13:$AK$14,V$4,FALSE))=TRUE,"",
              VLOOKUP($G62,DanaSehat!$L$13:$AK$14,V$4,FALSE)))</t>
  </si>
  <si>
    <t>=IF(ISNUMBER($L$6)=FALSE,"",
        IF(ISERROR(VLOOKUP($G62,DanaSehat!$L$13:$AK$14,W$4,FALSE))=TRUE,"",
              VLOOKUP($G62,DanaSehat!$L$13:$AK$14,W$4,FALSE)))</t>
  </si>
  <si>
    <t>=IF(ISNUMBER($L$6)=FALSE,"",
        IF(ISERROR(VLOOKUP($G62,DanaSehat!$L$13:$AK$14,X$4,FALSE))=TRUE,"",
              VLOOKUP($G62,DanaSehat!$L$13:$AK$14,X$4,FALSE)))</t>
  </si>
  <si>
    <t>=IF(ISNUMBER($L$6)=FALSE,"",
        IF(ISERROR(VLOOKUP($G62,DanaSehat!$L$13:$AK$14,Y$4,FALSE))=TRUE,"",
              VLOOKUP($G62,DanaSehat!$L$13:$AK$14,Y$4,FALSE)))</t>
  </si>
  <si>
    <t>=IF(ISNUMBER($L$6)=FALSE,"",
        IF(ISERROR(VLOOKUP($G62,DanaSehat!$L$13:$AK$14,Z$4,FALSE))=TRUE,"",
              VLOOKUP($G62,DanaSehat!$L$13:$AK$14,Z$4,FALSE)))</t>
  </si>
  <si>
    <t>=IF(ISNUMBER($L$6)=FALSE,"",
        IF(ISERROR(VLOOKUP($G62,DanaSehat!$L$13:$AK$14,AA$4,FALSE))=TRUE,"",
              VLOOKUP($G62,DanaSehat!$L$13:$AK$14,AA$4,FALSE)))</t>
  </si>
  <si>
    <t>=IF(ISNUMBER($L$6)=FALSE,"",
        IF(ISERROR(VLOOKUP($G62,DanaSehat!$L$13:$AK$14,AB$4,FALSE))=TRUE,"",
              VLOOKUP($G62,DanaSehat!$L$13:$AK$14,AB$4,FALSE)))</t>
  </si>
  <si>
    <t>=IF(ISNUMBER($L$6)=FALSE,"",
        IF(ISERROR(VLOOKUP($G62,DanaSehat!$L$13:$AK$14,AC$4,FALSE))=TRUE,"",
              VLOOKUP($G62,DanaSehat!$L$13:$AK$14,AC$4,FALSE)))</t>
  </si>
  <si>
    <t>=IF(ISNUMBER($L$6)=FALSE,"",
        IF(ISERROR(VLOOKUP($G62,DanaSehat!$L$13:$AK$14,AD$4,FALSE))=TRUE,"",
              VLOOKUP($G62,DanaSehat!$L$13:$AK$14,AD$4,FALSE)))</t>
  </si>
  <si>
    <t>=IF(ISNUMBER($L$6)=FALSE,"",
        IF(ISERROR(VLOOKUP($G62,DanaSehat!$L$13:$AK$14,AE$4,FALSE))=TRUE,"",
              VLOOKUP($G62,DanaSehat!$L$13:$AK$14,AE$4,FALSE)))</t>
  </si>
  <si>
    <t>=IF(ISNUMBER($L$6)=FALSE,"",
        IF(ISERROR(VLOOKUP($G62,DanaSehat!$L$13:$AK$14,AF$4,FALSE))=TRUE,"",
              VLOOKUP($G62,DanaSehat!$L$13:$AK$14,AF$4,FALSE)))</t>
  </si>
  <si>
    <t>=IF($C62=$C$4,0,
       IF($C62=0,0,$C62+1))</t>
  </si>
  <si>
    <t>=IF(ISNUMBER($L$6)=FALSE,"",
IF($C63=0,"",$C63))</t>
  </si>
  <si>
    <t>=IF(ISNUMBER($L$6)=FALSE,"",
IF($C63=0,"",VLOOKUP($E63,DanaSehat!$H$13:$L$14,4,FALSE)))</t>
  </si>
  <si>
    <t>=IF(ISNUMBER($L$6)=FALSE,"",
IF($C63=0,"",VLOOKUP($E63,DanaSehat!$H$13:$L$14,5,FALSE)))</t>
  </si>
  <si>
    <t>=IF(ISNUMBER($L$6)=FALSE,"",
IF($C63=0,"",SUM(I63:AF63)))</t>
  </si>
  <si>
    <t>=IF(ISNUMBER($L$6)=FALSE,"",
        IF(ISERROR(VLOOKUP($G63,DanaSehat!$L$13:$AK$14,I$4,FALSE))=TRUE,"",
              VLOOKUP($G63,DanaSehat!$L$13:$AK$14,I$4,FALSE)))</t>
  </si>
  <si>
    <t>=IF(ISNUMBER($L$6)=FALSE,"",
        IF(ISERROR(VLOOKUP($G63,DanaSehat!$L$13:$AK$14,J$4,FALSE))=TRUE,"",
              VLOOKUP($G63,DanaSehat!$L$13:$AK$14,J$4,FALSE)))</t>
  </si>
  <si>
    <t>=IF(ISNUMBER($L$6)=FALSE,"",
        IF(ISERROR(VLOOKUP($G63,DanaSehat!$L$13:$AK$14,K$4,FALSE))=TRUE,"",
              VLOOKUP($G63,DanaSehat!$L$13:$AK$14,K$4,FALSE)))</t>
  </si>
  <si>
    <t>=IF(ISNUMBER($L$6)=FALSE,"",
        IF(ISERROR(VLOOKUP($G63,DanaSehat!$L$13:$AK$14,L$4,FALSE))=TRUE,"",
              VLOOKUP($G63,DanaSehat!$L$13:$AK$14,L$4,FALSE)))</t>
  </si>
  <si>
    <t>=IF(ISNUMBER($L$6)=FALSE,"",
        IF(ISERROR(VLOOKUP($G63,DanaSehat!$L$13:$AK$14,M$4,FALSE))=TRUE,"",
              VLOOKUP($G63,DanaSehat!$L$13:$AK$14,M$4,FALSE)))</t>
  </si>
  <si>
    <t>=IF(ISNUMBER($L$6)=FALSE,"",
        IF(ISERROR(VLOOKUP($G63,DanaSehat!$L$13:$AK$14,N$4,FALSE))=TRUE,"",
              VLOOKUP($G63,DanaSehat!$L$13:$AK$14,N$4,FALSE)))</t>
  </si>
  <si>
    <t>=IF(ISNUMBER($L$6)=FALSE,"",
        IF(ISERROR(VLOOKUP($G63,DanaSehat!$L$13:$AK$14,O$4,FALSE))=TRUE,"",
              VLOOKUP($G63,DanaSehat!$L$13:$AK$14,O$4,FALSE)))</t>
  </si>
  <si>
    <t>=IF(ISNUMBER($L$6)=FALSE,"",
        IF(ISERROR(VLOOKUP($G63,DanaSehat!$L$13:$AK$14,P$4,FALSE))=TRUE,"",
              VLOOKUP($G63,DanaSehat!$L$13:$AK$14,P$4,FALSE)))</t>
  </si>
  <si>
    <t>=IF(ISNUMBER($L$6)=FALSE,"",
        IF(ISERROR(VLOOKUP($G63,DanaSehat!$L$13:$AK$14,Q$4,FALSE))=TRUE,"",
              VLOOKUP($G63,DanaSehat!$L$13:$AK$14,Q$4,FALSE)))</t>
  </si>
  <si>
    <t>=IF(ISNUMBER($L$6)=FALSE,"",
        IF(ISERROR(VLOOKUP($G63,DanaSehat!$L$13:$AK$14,R$4,FALSE))=TRUE,"",
              VLOOKUP($G63,DanaSehat!$L$13:$AK$14,R$4,FALSE)))</t>
  </si>
  <si>
    <t>=IF(ISNUMBER($L$6)=FALSE,"",
        IF(ISERROR(VLOOKUP($G63,DanaSehat!$L$13:$AK$14,S$4,FALSE))=TRUE,"",
              VLOOKUP($G63,DanaSehat!$L$13:$AK$14,S$4,FALSE)))</t>
  </si>
  <si>
    <t>=IF(ISNUMBER($L$6)=FALSE,"",
        IF(ISERROR(VLOOKUP($G63,DanaSehat!$L$13:$AK$14,T$4,FALSE))=TRUE,"",
              VLOOKUP($G63,DanaSehat!$L$13:$AK$14,T$4,FALSE)))</t>
  </si>
  <si>
    <t>=IF(ISNUMBER($L$6)=FALSE,"",
        IF(ISERROR(VLOOKUP($G63,DanaSehat!$L$13:$AK$14,U$4,FALSE))=TRUE,"",
              VLOOKUP($G63,DanaSehat!$L$13:$AK$14,U$4,FALSE)))</t>
  </si>
  <si>
    <t>=IF(ISNUMBER($L$6)=FALSE,"",
        IF(ISERROR(VLOOKUP($G63,DanaSehat!$L$13:$AK$14,V$4,FALSE))=TRUE,"",
              VLOOKUP($G63,DanaSehat!$L$13:$AK$14,V$4,FALSE)))</t>
  </si>
  <si>
    <t>=IF(ISNUMBER($L$6)=FALSE,"",
        IF(ISERROR(VLOOKUP($G63,DanaSehat!$L$13:$AK$14,W$4,FALSE))=TRUE,"",
              VLOOKUP($G63,DanaSehat!$L$13:$AK$14,W$4,FALSE)))</t>
  </si>
  <si>
    <t>=IF(ISNUMBER($L$6)=FALSE,"",
        IF(ISERROR(VLOOKUP($G63,DanaSehat!$L$13:$AK$14,X$4,FALSE))=TRUE,"",
              VLOOKUP($G63,DanaSehat!$L$13:$AK$14,X$4,FALSE)))</t>
  </si>
  <si>
    <t>=IF(ISNUMBER($L$6)=FALSE,"",
        IF(ISERROR(VLOOKUP($G63,DanaSehat!$L$13:$AK$14,Y$4,FALSE))=TRUE,"",
              VLOOKUP($G63,DanaSehat!$L$13:$AK$14,Y$4,FALSE)))</t>
  </si>
  <si>
    <t>=IF(ISNUMBER($L$6)=FALSE,"",
        IF(ISERROR(VLOOKUP($G63,DanaSehat!$L$13:$AK$14,Z$4,FALSE))=TRUE,"",
              VLOOKUP($G63,DanaSehat!$L$13:$AK$14,Z$4,FALSE)))</t>
  </si>
  <si>
    <t>=IF(ISNUMBER($L$6)=FALSE,"",
        IF(ISERROR(VLOOKUP($G63,DanaSehat!$L$13:$AK$14,AA$4,FALSE))=TRUE,"",
              VLOOKUP($G63,DanaSehat!$L$13:$AK$14,AA$4,FALSE)))</t>
  </si>
  <si>
    <t>=IF(ISNUMBER($L$6)=FALSE,"",
        IF(ISERROR(VLOOKUP($G63,DanaSehat!$L$13:$AK$14,AB$4,FALSE))=TRUE,"",
              VLOOKUP($G63,DanaSehat!$L$13:$AK$14,AB$4,FALSE)))</t>
  </si>
  <si>
    <t>=IF(ISNUMBER($L$6)=FALSE,"",
        IF(ISERROR(VLOOKUP($G63,DanaSehat!$L$13:$AK$14,AC$4,FALSE))=TRUE,"",
              VLOOKUP($G63,DanaSehat!$L$13:$AK$14,AC$4,FALSE)))</t>
  </si>
  <si>
    <t>=IF(ISNUMBER($L$6)=FALSE,"",
        IF(ISERROR(VLOOKUP($G63,DanaSehat!$L$13:$AK$14,AD$4,FALSE))=TRUE,"",
              VLOOKUP($G63,DanaSehat!$L$13:$AK$14,AD$4,FALSE)))</t>
  </si>
  <si>
    <t>=IF(ISNUMBER($L$6)=FALSE,"",
        IF(ISERROR(VLOOKUP($G63,DanaSehat!$L$13:$AK$14,AE$4,FALSE))=TRUE,"",
              VLOOKUP($G63,DanaSehat!$L$13:$AK$14,AE$4,FALSE)))</t>
  </si>
  <si>
    <t>=IF(ISNUMBER($L$6)=FALSE,"",
        IF(ISERROR(VLOOKUP($G63,DanaSehat!$L$13:$AK$14,AF$4,FALSE))=TRUE,"",
              VLOOKUP($G63,DanaSehat!$L$13:$AK$14,AF$4,FALSE)))</t>
  </si>
  <si>
    <t>=IF($C63=$C$4,0,
       IF($C63=0,0,$C63+1))</t>
  </si>
  <si>
    <t>=IF(ISNUMBER($L$6)=FALSE,"",
IF($C64=0,"",$C64))</t>
  </si>
  <si>
    <t>=IF(ISNUMBER($L$6)=FALSE,"",
IF($C64=0,"",VLOOKUP($E64,DanaSehat!$H$13:$L$14,4,FALSE)))</t>
  </si>
  <si>
    <t>=IF(ISNUMBER($L$6)=FALSE,"",
IF($C64=0,"",VLOOKUP($E64,DanaSehat!$H$13:$L$14,5,FALSE)))</t>
  </si>
  <si>
    <t>=IF(ISNUMBER($L$6)=FALSE,"",
IF($C64=0,"",SUM(I64:AF64)))</t>
  </si>
  <si>
    <t>=IF(ISNUMBER($L$6)=FALSE,"",
        IF(ISERROR(VLOOKUP($G64,DanaSehat!$L$13:$AK$14,I$4,FALSE))=TRUE,"",
              VLOOKUP($G64,DanaSehat!$L$13:$AK$14,I$4,FALSE)))</t>
  </si>
  <si>
    <t>=IF(ISNUMBER($L$6)=FALSE,"",
        IF(ISERROR(VLOOKUP($G64,DanaSehat!$L$13:$AK$14,J$4,FALSE))=TRUE,"",
              VLOOKUP($G64,DanaSehat!$L$13:$AK$14,J$4,FALSE)))</t>
  </si>
  <si>
    <t>=IF(ISNUMBER($L$6)=FALSE,"",
        IF(ISERROR(VLOOKUP($G64,DanaSehat!$L$13:$AK$14,K$4,FALSE))=TRUE,"",
              VLOOKUP($G64,DanaSehat!$L$13:$AK$14,K$4,FALSE)))</t>
  </si>
  <si>
    <t>=IF(ISNUMBER($L$6)=FALSE,"",
        IF(ISERROR(VLOOKUP($G64,DanaSehat!$L$13:$AK$14,L$4,FALSE))=TRUE,"",
              VLOOKUP($G64,DanaSehat!$L$13:$AK$14,L$4,FALSE)))</t>
  </si>
  <si>
    <t>=IF(ISNUMBER($L$6)=FALSE,"",
        IF(ISERROR(VLOOKUP($G64,DanaSehat!$L$13:$AK$14,M$4,FALSE))=TRUE,"",
              VLOOKUP($G64,DanaSehat!$L$13:$AK$14,M$4,FALSE)))</t>
  </si>
  <si>
    <t>=IF(ISNUMBER($L$6)=FALSE,"",
        IF(ISERROR(VLOOKUP($G64,DanaSehat!$L$13:$AK$14,N$4,FALSE))=TRUE,"",
              VLOOKUP($G64,DanaSehat!$L$13:$AK$14,N$4,FALSE)))</t>
  </si>
  <si>
    <t>=IF(ISNUMBER($L$6)=FALSE,"",
        IF(ISERROR(VLOOKUP($G64,DanaSehat!$L$13:$AK$14,O$4,FALSE))=TRUE,"",
              VLOOKUP($G64,DanaSehat!$L$13:$AK$14,O$4,FALSE)))</t>
  </si>
  <si>
    <t>=IF(ISNUMBER($L$6)=FALSE,"",
        IF(ISERROR(VLOOKUP($G64,DanaSehat!$L$13:$AK$14,P$4,FALSE))=TRUE,"",
              VLOOKUP($G64,DanaSehat!$L$13:$AK$14,P$4,FALSE)))</t>
  </si>
  <si>
    <t>=IF(ISNUMBER($L$6)=FALSE,"",
        IF(ISERROR(VLOOKUP($G64,DanaSehat!$L$13:$AK$14,Q$4,FALSE))=TRUE,"",
              VLOOKUP($G64,DanaSehat!$L$13:$AK$14,Q$4,FALSE)))</t>
  </si>
  <si>
    <t>=IF(ISNUMBER($L$6)=FALSE,"",
        IF(ISERROR(VLOOKUP($G64,DanaSehat!$L$13:$AK$14,R$4,FALSE))=TRUE,"",
              VLOOKUP($G64,DanaSehat!$L$13:$AK$14,R$4,FALSE)))</t>
  </si>
  <si>
    <t>=IF(ISNUMBER($L$6)=FALSE,"",
        IF(ISERROR(VLOOKUP($G64,DanaSehat!$L$13:$AK$14,S$4,FALSE))=TRUE,"",
              VLOOKUP($G64,DanaSehat!$L$13:$AK$14,S$4,FALSE)))</t>
  </si>
  <si>
    <t>=IF(ISNUMBER($L$6)=FALSE,"",
        IF(ISERROR(VLOOKUP($G64,DanaSehat!$L$13:$AK$14,T$4,FALSE))=TRUE,"",
              VLOOKUP($G64,DanaSehat!$L$13:$AK$14,T$4,FALSE)))</t>
  </si>
  <si>
    <t>=IF(ISNUMBER($L$6)=FALSE,"",
        IF(ISERROR(VLOOKUP($G64,DanaSehat!$L$13:$AK$14,U$4,FALSE))=TRUE,"",
              VLOOKUP($G64,DanaSehat!$L$13:$AK$14,U$4,FALSE)))</t>
  </si>
  <si>
    <t>=IF(ISNUMBER($L$6)=FALSE,"",
        IF(ISERROR(VLOOKUP($G64,DanaSehat!$L$13:$AK$14,V$4,FALSE))=TRUE,"",
              VLOOKUP($G64,DanaSehat!$L$13:$AK$14,V$4,FALSE)))</t>
  </si>
  <si>
    <t>=IF(ISNUMBER($L$6)=FALSE,"",
        IF(ISERROR(VLOOKUP($G64,DanaSehat!$L$13:$AK$14,W$4,FALSE))=TRUE,"",
              VLOOKUP($G64,DanaSehat!$L$13:$AK$14,W$4,FALSE)))</t>
  </si>
  <si>
    <t>=IF(ISNUMBER($L$6)=FALSE,"",
        IF(ISERROR(VLOOKUP($G64,DanaSehat!$L$13:$AK$14,X$4,FALSE))=TRUE,"",
              VLOOKUP($G64,DanaSehat!$L$13:$AK$14,X$4,FALSE)))</t>
  </si>
  <si>
    <t>=IF(ISNUMBER($L$6)=FALSE,"",
        IF(ISERROR(VLOOKUP($G64,DanaSehat!$L$13:$AK$14,Y$4,FALSE))=TRUE,"",
              VLOOKUP($G64,DanaSehat!$L$13:$AK$14,Y$4,FALSE)))</t>
  </si>
  <si>
    <t>=IF(ISNUMBER($L$6)=FALSE,"",
        IF(ISERROR(VLOOKUP($G64,DanaSehat!$L$13:$AK$14,Z$4,FALSE))=TRUE,"",
              VLOOKUP($G64,DanaSehat!$L$13:$AK$14,Z$4,FALSE)))</t>
  </si>
  <si>
    <t>=IF(ISNUMBER($L$6)=FALSE,"",
        IF(ISERROR(VLOOKUP($G64,DanaSehat!$L$13:$AK$14,AA$4,FALSE))=TRUE,"",
              VLOOKUP($G64,DanaSehat!$L$13:$AK$14,AA$4,FALSE)))</t>
  </si>
  <si>
    <t>=IF(ISNUMBER($L$6)=FALSE,"",
        IF(ISERROR(VLOOKUP($G64,DanaSehat!$L$13:$AK$14,AB$4,FALSE))=TRUE,"",
              VLOOKUP($G64,DanaSehat!$L$13:$AK$14,AB$4,FALSE)))</t>
  </si>
  <si>
    <t>=IF(ISNUMBER($L$6)=FALSE,"",
        IF(ISERROR(VLOOKUP($G64,DanaSehat!$L$13:$AK$14,AC$4,FALSE))=TRUE,"",
              VLOOKUP($G64,DanaSehat!$L$13:$AK$14,AC$4,FALSE)))</t>
  </si>
  <si>
    <t>=IF(ISNUMBER($L$6)=FALSE,"",
        IF(ISERROR(VLOOKUP($G64,DanaSehat!$L$13:$AK$14,AD$4,FALSE))=TRUE,"",
              VLOOKUP($G64,DanaSehat!$L$13:$AK$14,AD$4,FALSE)))</t>
  </si>
  <si>
    <t>=IF(ISNUMBER($L$6)=FALSE,"",
        IF(ISERROR(VLOOKUP($G64,DanaSehat!$L$13:$AK$14,AE$4,FALSE))=TRUE,"",
              VLOOKUP($G64,DanaSehat!$L$13:$AK$14,AE$4,FALSE)))</t>
  </si>
  <si>
    <t>=IF(ISNUMBER($L$6)=FALSE,"",
        IF(ISERROR(VLOOKUP($G64,DanaSehat!$L$13:$AK$14,AF$4,FALSE))=TRUE,"",
              VLOOKUP($G64,DanaSehat!$L$13:$AK$14,AF$4,FALSE)))</t>
  </si>
  <si>
    <t>=IF($C64=$C$4,0,
       IF($C64=0,0,$C64+1))</t>
  </si>
  <si>
    <t>=IF(ISNUMBER($L$6)=FALSE,"",
IF($C65=0,"",$C65))</t>
  </si>
  <si>
    <t>=IF(ISNUMBER($L$6)=FALSE,"",
IF($C65=0,"",VLOOKUP($E65,DanaSehat!$H$13:$L$14,4,FALSE)))</t>
  </si>
  <si>
    <t>=IF(ISNUMBER($L$6)=FALSE,"",
IF($C65=0,"",VLOOKUP($E65,DanaSehat!$H$13:$L$14,5,FALSE)))</t>
  </si>
  <si>
    <t>=IF(ISNUMBER($L$6)=FALSE,"",
IF($C65=0,"",SUM(I65:AF65)))</t>
  </si>
  <si>
    <t>=IF(ISNUMBER($L$6)=FALSE,"",
        IF(ISERROR(VLOOKUP($G65,DanaSehat!$L$13:$AK$14,I$4,FALSE))=TRUE,"",
              VLOOKUP($G65,DanaSehat!$L$13:$AK$14,I$4,FALSE)))</t>
  </si>
  <si>
    <t>=IF(ISNUMBER($L$6)=FALSE,"",
        IF(ISERROR(VLOOKUP($G65,DanaSehat!$L$13:$AK$14,J$4,FALSE))=TRUE,"",
              VLOOKUP($G65,DanaSehat!$L$13:$AK$14,J$4,FALSE)))</t>
  </si>
  <si>
    <t>=IF(ISNUMBER($L$6)=FALSE,"",
        IF(ISERROR(VLOOKUP($G65,DanaSehat!$L$13:$AK$14,K$4,FALSE))=TRUE,"",
              VLOOKUP($G65,DanaSehat!$L$13:$AK$14,K$4,FALSE)))</t>
  </si>
  <si>
    <t>=IF(ISNUMBER($L$6)=FALSE,"",
        IF(ISERROR(VLOOKUP($G65,DanaSehat!$L$13:$AK$14,L$4,FALSE))=TRUE,"",
              VLOOKUP($G65,DanaSehat!$L$13:$AK$14,L$4,FALSE)))</t>
  </si>
  <si>
    <t>=IF(ISNUMBER($L$6)=FALSE,"",
        IF(ISERROR(VLOOKUP($G65,DanaSehat!$L$13:$AK$14,M$4,FALSE))=TRUE,"",
              VLOOKUP($G65,DanaSehat!$L$13:$AK$14,M$4,FALSE)))</t>
  </si>
  <si>
    <t>=IF(ISNUMBER($L$6)=FALSE,"",
        IF(ISERROR(VLOOKUP($G65,DanaSehat!$L$13:$AK$14,N$4,FALSE))=TRUE,"",
              VLOOKUP($G65,DanaSehat!$L$13:$AK$14,N$4,FALSE)))</t>
  </si>
  <si>
    <t>=IF(ISNUMBER($L$6)=FALSE,"",
        IF(ISERROR(VLOOKUP($G65,DanaSehat!$L$13:$AK$14,O$4,FALSE))=TRUE,"",
              VLOOKUP($G65,DanaSehat!$L$13:$AK$14,O$4,FALSE)))</t>
  </si>
  <si>
    <t>=IF(ISNUMBER($L$6)=FALSE,"",
        IF(ISERROR(VLOOKUP($G65,DanaSehat!$L$13:$AK$14,P$4,FALSE))=TRUE,"",
              VLOOKUP($G65,DanaSehat!$L$13:$AK$14,P$4,FALSE)))</t>
  </si>
  <si>
    <t>=IF(ISNUMBER($L$6)=FALSE,"",
        IF(ISERROR(VLOOKUP($G65,DanaSehat!$L$13:$AK$14,Q$4,FALSE))=TRUE,"",
              VLOOKUP($G65,DanaSehat!$L$13:$AK$14,Q$4,FALSE)))</t>
  </si>
  <si>
    <t>=IF(ISNUMBER($L$6)=FALSE,"",
        IF(ISERROR(VLOOKUP($G65,DanaSehat!$L$13:$AK$14,R$4,FALSE))=TRUE,"",
              VLOOKUP($G65,DanaSehat!$L$13:$AK$14,R$4,FALSE)))</t>
  </si>
  <si>
    <t>=IF(ISNUMBER($L$6)=FALSE,"",
        IF(ISERROR(VLOOKUP($G65,DanaSehat!$L$13:$AK$14,S$4,FALSE))=TRUE,"",
              VLOOKUP($G65,DanaSehat!$L$13:$AK$14,S$4,FALSE)))</t>
  </si>
  <si>
    <t>=IF(ISNUMBER($L$6)=FALSE,"",
        IF(ISERROR(VLOOKUP($G65,DanaSehat!$L$13:$AK$14,T$4,FALSE))=TRUE,"",
              VLOOKUP($G65,DanaSehat!$L$13:$AK$14,T$4,FALSE)))</t>
  </si>
  <si>
    <t>=IF(ISNUMBER($L$6)=FALSE,"",
        IF(ISERROR(VLOOKUP($G65,DanaSehat!$L$13:$AK$14,U$4,FALSE))=TRUE,"",
              VLOOKUP($G65,DanaSehat!$L$13:$AK$14,U$4,FALSE)))</t>
  </si>
  <si>
    <t>=IF(ISNUMBER($L$6)=FALSE,"",
        IF(ISERROR(VLOOKUP($G65,DanaSehat!$L$13:$AK$14,V$4,FALSE))=TRUE,"",
              VLOOKUP($G65,DanaSehat!$L$13:$AK$14,V$4,FALSE)))</t>
  </si>
  <si>
    <t>=IF(ISNUMBER($L$6)=FALSE,"",
        IF(ISERROR(VLOOKUP($G65,DanaSehat!$L$13:$AK$14,W$4,FALSE))=TRUE,"",
              VLOOKUP($G65,DanaSehat!$L$13:$AK$14,W$4,FALSE)))</t>
  </si>
  <si>
    <t>=IF(ISNUMBER($L$6)=FALSE,"",
        IF(ISERROR(VLOOKUP($G65,DanaSehat!$L$13:$AK$14,X$4,FALSE))=TRUE,"",
              VLOOKUP($G65,DanaSehat!$L$13:$AK$14,X$4,FALSE)))</t>
  </si>
  <si>
    <t>=IF(ISNUMBER($L$6)=FALSE,"",
        IF(ISERROR(VLOOKUP($G65,DanaSehat!$L$13:$AK$14,Y$4,FALSE))=TRUE,"",
              VLOOKUP($G65,DanaSehat!$L$13:$AK$14,Y$4,FALSE)))</t>
  </si>
  <si>
    <t>=IF(ISNUMBER($L$6)=FALSE,"",
        IF(ISERROR(VLOOKUP($G65,DanaSehat!$L$13:$AK$14,Z$4,FALSE))=TRUE,"",
              VLOOKUP($G65,DanaSehat!$L$13:$AK$14,Z$4,FALSE)))</t>
  </si>
  <si>
    <t>=IF(ISNUMBER($L$6)=FALSE,"",
        IF(ISERROR(VLOOKUP($G65,DanaSehat!$L$13:$AK$14,AA$4,FALSE))=TRUE,"",
              VLOOKUP($G65,DanaSehat!$L$13:$AK$14,AA$4,FALSE)))</t>
  </si>
  <si>
    <t>=IF(ISNUMBER($L$6)=FALSE,"",
        IF(ISERROR(VLOOKUP($G65,DanaSehat!$L$13:$AK$14,AB$4,FALSE))=TRUE,"",
              VLOOKUP($G65,DanaSehat!$L$13:$AK$14,AB$4,FALSE)))</t>
  </si>
  <si>
    <t>=IF(ISNUMBER($L$6)=FALSE,"",
        IF(ISERROR(VLOOKUP($G65,DanaSehat!$L$13:$AK$14,AC$4,FALSE))=TRUE,"",
              VLOOKUP($G65,DanaSehat!$L$13:$AK$14,AC$4,FALSE)))</t>
  </si>
  <si>
    <t>=IF(ISNUMBER($L$6)=FALSE,"",
        IF(ISERROR(VLOOKUP($G65,DanaSehat!$L$13:$AK$14,AD$4,FALSE))=TRUE,"",
              VLOOKUP($G65,DanaSehat!$L$13:$AK$14,AD$4,FALSE)))</t>
  </si>
  <si>
    <t>=IF(ISNUMBER($L$6)=FALSE,"",
        IF(ISERROR(VLOOKUP($G65,DanaSehat!$L$13:$AK$14,AE$4,FALSE))=TRUE,"",
              VLOOKUP($G65,DanaSehat!$L$13:$AK$14,AE$4,FALSE)))</t>
  </si>
  <si>
    <t>=IF(ISNUMBER($L$6)=FALSE,"",
        IF(ISERROR(VLOOKUP($G65,DanaSehat!$L$13:$AK$14,AF$4,FALSE))=TRUE,"",
              VLOOKUP($G65,DanaSehat!$L$13:$AK$14,AF$4,FALSE)))</t>
  </si>
  <si>
    <t>=IF($C65=$C$4,0,
       IF($C65=0,0,$C65+1))</t>
  </si>
  <si>
    <t>=IF(ISNUMBER($L$6)=FALSE,"",
IF($C66=0,"",$C66))</t>
  </si>
  <si>
    <t>=IF(ISNUMBER($L$6)=FALSE,"",
IF($C66=0,"",VLOOKUP($E66,DanaSehat!$H$13:$L$14,4,FALSE)))</t>
  </si>
  <si>
    <t>=IF(ISNUMBER($L$6)=FALSE,"",
IF($C66=0,"",VLOOKUP($E66,DanaSehat!$H$13:$L$14,5,FALSE)))</t>
  </si>
  <si>
    <t>=IF(ISNUMBER($L$6)=FALSE,"",
IF($C66=0,"",SUM(I66:AF66)))</t>
  </si>
  <si>
    <t>=IF(ISNUMBER($L$6)=FALSE,"",
        IF(ISERROR(VLOOKUP($G66,DanaSehat!$L$13:$AK$14,I$4,FALSE))=TRUE,"",
              VLOOKUP($G66,DanaSehat!$L$13:$AK$14,I$4,FALSE)))</t>
  </si>
  <si>
    <t>=IF(ISNUMBER($L$6)=FALSE,"",
        IF(ISERROR(VLOOKUP($G66,DanaSehat!$L$13:$AK$14,J$4,FALSE))=TRUE,"",
              VLOOKUP($G66,DanaSehat!$L$13:$AK$14,J$4,FALSE)))</t>
  </si>
  <si>
    <t>=IF(ISNUMBER($L$6)=FALSE,"",
        IF(ISERROR(VLOOKUP($G66,DanaSehat!$L$13:$AK$14,K$4,FALSE))=TRUE,"",
              VLOOKUP($G66,DanaSehat!$L$13:$AK$14,K$4,FALSE)))</t>
  </si>
  <si>
    <t>=IF(ISNUMBER($L$6)=FALSE,"",
        IF(ISERROR(VLOOKUP($G66,DanaSehat!$L$13:$AK$14,L$4,FALSE))=TRUE,"",
              VLOOKUP($G66,DanaSehat!$L$13:$AK$14,L$4,FALSE)))</t>
  </si>
  <si>
    <t>=IF(ISNUMBER($L$6)=FALSE,"",
        IF(ISERROR(VLOOKUP($G66,DanaSehat!$L$13:$AK$14,M$4,FALSE))=TRUE,"",
              VLOOKUP($G66,DanaSehat!$L$13:$AK$14,M$4,FALSE)))</t>
  </si>
  <si>
    <t>=IF(ISNUMBER($L$6)=FALSE,"",
        IF(ISERROR(VLOOKUP($G66,DanaSehat!$L$13:$AK$14,N$4,FALSE))=TRUE,"",
              VLOOKUP($G66,DanaSehat!$L$13:$AK$14,N$4,FALSE)))</t>
  </si>
  <si>
    <t>=IF(ISNUMBER($L$6)=FALSE,"",
        IF(ISERROR(VLOOKUP($G66,DanaSehat!$L$13:$AK$14,O$4,FALSE))=TRUE,"",
              VLOOKUP($G66,DanaSehat!$L$13:$AK$14,O$4,FALSE)))</t>
  </si>
  <si>
    <t>=IF(ISNUMBER($L$6)=FALSE,"",
        IF(ISERROR(VLOOKUP($G66,DanaSehat!$L$13:$AK$14,P$4,FALSE))=TRUE,"",
              VLOOKUP($G66,DanaSehat!$L$13:$AK$14,P$4,FALSE)))</t>
  </si>
  <si>
    <t>=IF(ISNUMBER($L$6)=FALSE,"",
        IF(ISERROR(VLOOKUP($G66,DanaSehat!$L$13:$AK$14,Q$4,FALSE))=TRUE,"",
              VLOOKUP($G66,DanaSehat!$L$13:$AK$14,Q$4,FALSE)))</t>
  </si>
  <si>
    <t>=IF(ISNUMBER($L$6)=FALSE,"",
        IF(ISERROR(VLOOKUP($G66,DanaSehat!$L$13:$AK$14,R$4,FALSE))=TRUE,"",
              VLOOKUP($G66,DanaSehat!$L$13:$AK$14,R$4,FALSE)))</t>
  </si>
  <si>
    <t>=IF(ISNUMBER($L$6)=FALSE,"",
        IF(ISERROR(VLOOKUP($G66,DanaSehat!$L$13:$AK$14,S$4,FALSE))=TRUE,"",
              VLOOKUP($G66,DanaSehat!$L$13:$AK$14,S$4,FALSE)))</t>
  </si>
  <si>
    <t>=IF(ISNUMBER($L$6)=FALSE,"",
        IF(ISERROR(VLOOKUP($G66,DanaSehat!$L$13:$AK$14,T$4,FALSE))=TRUE,"",
              VLOOKUP($G66,DanaSehat!$L$13:$AK$14,T$4,FALSE)))</t>
  </si>
  <si>
    <t>=IF(ISNUMBER($L$6)=FALSE,"",
        IF(ISERROR(VLOOKUP($G66,DanaSehat!$L$13:$AK$14,U$4,FALSE))=TRUE,"",
              VLOOKUP($G66,DanaSehat!$L$13:$AK$14,U$4,FALSE)))</t>
  </si>
  <si>
    <t>=IF(ISNUMBER($L$6)=FALSE,"",
        IF(ISERROR(VLOOKUP($G66,DanaSehat!$L$13:$AK$14,V$4,FALSE))=TRUE,"",
              VLOOKUP($G66,DanaSehat!$L$13:$AK$14,V$4,FALSE)))</t>
  </si>
  <si>
    <t>=IF(ISNUMBER($L$6)=FALSE,"",
        IF(ISERROR(VLOOKUP($G66,DanaSehat!$L$13:$AK$14,W$4,FALSE))=TRUE,"",
              VLOOKUP($G66,DanaSehat!$L$13:$AK$14,W$4,FALSE)))</t>
  </si>
  <si>
    <t>=IF(ISNUMBER($L$6)=FALSE,"",
        IF(ISERROR(VLOOKUP($G66,DanaSehat!$L$13:$AK$14,X$4,FALSE))=TRUE,"",
              VLOOKUP($G66,DanaSehat!$L$13:$AK$14,X$4,FALSE)))</t>
  </si>
  <si>
    <t>=IF(ISNUMBER($L$6)=FALSE,"",
        IF(ISERROR(VLOOKUP($G66,DanaSehat!$L$13:$AK$14,Y$4,FALSE))=TRUE,"",
              VLOOKUP($G66,DanaSehat!$L$13:$AK$14,Y$4,FALSE)))</t>
  </si>
  <si>
    <t>=IF(ISNUMBER($L$6)=FALSE,"",
        IF(ISERROR(VLOOKUP($G66,DanaSehat!$L$13:$AK$14,Z$4,FALSE))=TRUE,"",
              VLOOKUP($G66,DanaSehat!$L$13:$AK$14,Z$4,FALSE)))</t>
  </si>
  <si>
    <t>=IF(ISNUMBER($L$6)=FALSE,"",
        IF(ISERROR(VLOOKUP($G66,DanaSehat!$L$13:$AK$14,AA$4,FALSE))=TRUE,"",
              VLOOKUP($G66,DanaSehat!$L$13:$AK$14,AA$4,FALSE)))</t>
  </si>
  <si>
    <t>=IF(ISNUMBER($L$6)=FALSE,"",
        IF(ISERROR(VLOOKUP($G66,DanaSehat!$L$13:$AK$14,AB$4,FALSE))=TRUE,"",
              VLOOKUP($G66,DanaSehat!$L$13:$AK$14,AB$4,FALSE)))</t>
  </si>
  <si>
    <t>=IF(ISNUMBER($L$6)=FALSE,"",
        IF(ISERROR(VLOOKUP($G66,DanaSehat!$L$13:$AK$14,AC$4,FALSE))=TRUE,"",
              VLOOKUP($G66,DanaSehat!$L$13:$AK$14,AC$4,FALSE)))</t>
  </si>
  <si>
    <t>=IF(ISNUMBER($L$6)=FALSE,"",
        IF(ISERROR(VLOOKUP($G66,DanaSehat!$L$13:$AK$14,AD$4,FALSE))=TRUE,"",
              VLOOKUP($G66,DanaSehat!$L$13:$AK$14,AD$4,FALSE)))</t>
  </si>
  <si>
    <t>=IF(ISNUMBER($L$6)=FALSE,"",
        IF(ISERROR(VLOOKUP($G66,DanaSehat!$L$13:$AK$14,AE$4,FALSE))=TRUE,"",
              VLOOKUP($G66,DanaSehat!$L$13:$AK$14,AE$4,FALSE)))</t>
  </si>
  <si>
    <t>=IF(ISNUMBER($L$6)=FALSE,"",
        IF(ISERROR(VLOOKUP($G66,DanaSehat!$L$13:$AK$14,AF$4,FALSE))=TRUE,"",
              VLOOKUP($G66,DanaSehat!$L$13:$AK$14,AF$4,FALSE)))</t>
  </si>
  <si>
    <t>=IF($C66=$C$4,0,
       IF($C66=0,0,$C66+1))</t>
  </si>
  <si>
    <t>=IF(ISNUMBER($L$6)=FALSE,"",
IF($C67=0,"",$C67))</t>
  </si>
  <si>
    <t>=IF(ISNUMBER($L$6)=FALSE,"",
IF($C67=0,"",VLOOKUP($E67,DanaSehat!$H$13:$L$14,4,FALSE)))</t>
  </si>
  <si>
    <t>=IF(ISNUMBER($L$6)=FALSE,"",
IF($C67=0,"",VLOOKUP($E67,DanaSehat!$H$13:$L$14,5,FALSE)))</t>
  </si>
  <si>
    <t>=IF(ISNUMBER($L$6)=FALSE,"",
IF($C67=0,"",SUM(I67:AF67)))</t>
  </si>
  <si>
    <t>=IF(ISNUMBER($L$6)=FALSE,"",
        IF(ISERROR(VLOOKUP($G67,DanaSehat!$L$13:$AK$14,I$4,FALSE))=TRUE,"",
              VLOOKUP($G67,DanaSehat!$L$13:$AK$14,I$4,FALSE)))</t>
  </si>
  <si>
    <t>=IF(ISNUMBER($L$6)=FALSE,"",
        IF(ISERROR(VLOOKUP($G67,DanaSehat!$L$13:$AK$14,J$4,FALSE))=TRUE,"",
              VLOOKUP($G67,DanaSehat!$L$13:$AK$14,J$4,FALSE)))</t>
  </si>
  <si>
    <t>=IF(ISNUMBER($L$6)=FALSE,"",
        IF(ISERROR(VLOOKUP($G67,DanaSehat!$L$13:$AK$14,K$4,FALSE))=TRUE,"",
              VLOOKUP($G67,DanaSehat!$L$13:$AK$14,K$4,FALSE)))</t>
  </si>
  <si>
    <t>=IF(ISNUMBER($L$6)=FALSE,"",
        IF(ISERROR(VLOOKUP($G67,DanaSehat!$L$13:$AK$14,L$4,FALSE))=TRUE,"",
              VLOOKUP($G67,DanaSehat!$L$13:$AK$14,L$4,FALSE)))</t>
  </si>
  <si>
    <t>=IF(ISNUMBER($L$6)=FALSE,"",
        IF(ISERROR(VLOOKUP($G67,DanaSehat!$L$13:$AK$14,M$4,FALSE))=TRUE,"",
              VLOOKUP($G67,DanaSehat!$L$13:$AK$14,M$4,FALSE)))</t>
  </si>
  <si>
    <t>=IF(ISNUMBER($L$6)=FALSE,"",
        IF(ISERROR(VLOOKUP($G67,DanaSehat!$L$13:$AK$14,N$4,FALSE))=TRUE,"",
              VLOOKUP($G67,DanaSehat!$L$13:$AK$14,N$4,FALSE)))</t>
  </si>
  <si>
    <t>=IF(ISNUMBER($L$6)=FALSE,"",
        IF(ISERROR(VLOOKUP($G67,DanaSehat!$L$13:$AK$14,O$4,FALSE))=TRUE,"",
              VLOOKUP($G67,DanaSehat!$L$13:$AK$14,O$4,FALSE)))</t>
  </si>
  <si>
    <t>=IF(ISNUMBER($L$6)=FALSE,"",
        IF(ISERROR(VLOOKUP($G67,DanaSehat!$L$13:$AK$14,P$4,FALSE))=TRUE,"",
              VLOOKUP($G67,DanaSehat!$L$13:$AK$14,P$4,FALSE)))</t>
  </si>
  <si>
    <t>=IF(ISNUMBER($L$6)=FALSE,"",
        IF(ISERROR(VLOOKUP($G67,DanaSehat!$L$13:$AK$14,Q$4,FALSE))=TRUE,"",
              VLOOKUP($G67,DanaSehat!$L$13:$AK$14,Q$4,FALSE)))</t>
  </si>
  <si>
    <t>=IF(ISNUMBER($L$6)=FALSE,"",
        IF(ISERROR(VLOOKUP($G67,DanaSehat!$L$13:$AK$14,R$4,FALSE))=TRUE,"",
              VLOOKUP($G67,DanaSehat!$L$13:$AK$14,R$4,FALSE)))</t>
  </si>
  <si>
    <t>=IF(ISNUMBER($L$6)=FALSE,"",
        IF(ISERROR(VLOOKUP($G67,DanaSehat!$L$13:$AK$14,S$4,FALSE))=TRUE,"",
              VLOOKUP($G67,DanaSehat!$L$13:$AK$14,S$4,FALSE)))</t>
  </si>
  <si>
    <t>=IF(ISNUMBER($L$6)=FALSE,"",
        IF(ISERROR(VLOOKUP($G67,DanaSehat!$L$13:$AK$14,T$4,FALSE))=TRUE,"",
              VLOOKUP($G67,DanaSehat!$L$13:$AK$14,T$4,FALSE)))</t>
  </si>
  <si>
    <t>=IF(ISNUMBER($L$6)=FALSE,"",
        IF(ISERROR(VLOOKUP($G67,DanaSehat!$L$13:$AK$14,U$4,FALSE))=TRUE,"",
              VLOOKUP($G67,DanaSehat!$L$13:$AK$14,U$4,FALSE)))</t>
  </si>
  <si>
    <t>=IF(ISNUMBER($L$6)=FALSE,"",
        IF(ISERROR(VLOOKUP($G67,DanaSehat!$L$13:$AK$14,V$4,FALSE))=TRUE,"",
              VLOOKUP($G67,DanaSehat!$L$13:$AK$14,V$4,FALSE)))</t>
  </si>
  <si>
    <t>=IF(ISNUMBER($L$6)=FALSE,"",
        IF(ISERROR(VLOOKUP($G67,DanaSehat!$L$13:$AK$14,W$4,FALSE))=TRUE,"",
              VLOOKUP($G67,DanaSehat!$L$13:$AK$14,W$4,FALSE)))</t>
  </si>
  <si>
    <t>=IF(ISNUMBER($L$6)=FALSE,"",
        IF(ISERROR(VLOOKUP($G67,DanaSehat!$L$13:$AK$14,X$4,FALSE))=TRUE,"",
              VLOOKUP($G67,DanaSehat!$L$13:$AK$14,X$4,FALSE)))</t>
  </si>
  <si>
    <t>=IF(ISNUMBER($L$6)=FALSE,"",
        IF(ISERROR(VLOOKUP($G67,DanaSehat!$L$13:$AK$14,Y$4,FALSE))=TRUE,"",
              VLOOKUP($G67,DanaSehat!$L$13:$AK$14,Y$4,FALSE)))</t>
  </si>
  <si>
    <t>=IF(ISNUMBER($L$6)=FALSE,"",
        IF(ISERROR(VLOOKUP($G67,DanaSehat!$L$13:$AK$14,Z$4,FALSE))=TRUE,"",
              VLOOKUP($G67,DanaSehat!$L$13:$AK$14,Z$4,FALSE)))</t>
  </si>
  <si>
    <t>=IF(ISNUMBER($L$6)=FALSE,"",
        IF(ISERROR(VLOOKUP($G67,DanaSehat!$L$13:$AK$14,AA$4,FALSE))=TRUE,"",
              VLOOKUP($G67,DanaSehat!$L$13:$AK$14,AA$4,FALSE)))</t>
  </si>
  <si>
    <t>=IF(ISNUMBER($L$6)=FALSE,"",
        IF(ISERROR(VLOOKUP($G67,DanaSehat!$L$13:$AK$14,AB$4,FALSE))=TRUE,"",
              VLOOKUP($G67,DanaSehat!$L$13:$AK$14,AB$4,FALSE)))</t>
  </si>
  <si>
    <t>=IF(ISNUMBER($L$6)=FALSE,"",
        IF(ISERROR(VLOOKUP($G67,DanaSehat!$L$13:$AK$14,AC$4,FALSE))=TRUE,"",
              VLOOKUP($G67,DanaSehat!$L$13:$AK$14,AC$4,FALSE)))</t>
  </si>
  <si>
    <t>=IF(ISNUMBER($L$6)=FALSE,"",
        IF(ISERROR(VLOOKUP($G67,DanaSehat!$L$13:$AK$14,AD$4,FALSE))=TRUE,"",
              VLOOKUP($G67,DanaSehat!$L$13:$AK$14,AD$4,FALSE)))</t>
  </si>
  <si>
    <t>=IF(ISNUMBER($L$6)=FALSE,"",
        IF(ISERROR(VLOOKUP($G67,DanaSehat!$L$13:$AK$14,AE$4,FALSE))=TRUE,"",
              VLOOKUP($G67,DanaSehat!$L$13:$AK$14,AE$4,FALSE)))</t>
  </si>
  <si>
    <t>=IF(ISNUMBER($L$6)=FALSE,"",
        IF(ISERROR(VLOOKUP($G67,DanaSehat!$L$13:$AK$14,AF$4,FALSE))=TRUE,"",
              VLOOKUP($G67,DanaSehat!$L$13:$AK$14,AF$4,FALSE)))</t>
  </si>
  <si>
    <t>=IF($C67=$C$4,0,
       IF($C67=0,0,$C67+1))</t>
  </si>
  <si>
    <t>=IF(ISNUMBER($L$6)=FALSE,"",
IF($C68=0,"",$C68))</t>
  </si>
  <si>
    <t>=IF(ISNUMBER($L$6)=FALSE,"",
IF($C68=0,"",VLOOKUP($E68,DanaSehat!$H$13:$L$14,4,FALSE)))</t>
  </si>
  <si>
    <t>=IF(ISNUMBER($L$6)=FALSE,"",
IF($C68=0,"",VLOOKUP($E68,DanaSehat!$H$13:$L$14,5,FALSE)))</t>
  </si>
  <si>
    <t>=IF(ISNUMBER($L$6)=FALSE,"",
IF($C68=0,"",SUM(I68:AF68)))</t>
  </si>
  <si>
    <t>=IF(ISNUMBER($L$6)=FALSE,"",
        IF(ISERROR(VLOOKUP($G68,DanaSehat!$L$13:$AK$14,I$4,FALSE))=TRUE,"",
              VLOOKUP($G68,DanaSehat!$L$13:$AK$14,I$4,FALSE)))</t>
  </si>
  <si>
    <t>=IF(ISNUMBER($L$6)=FALSE,"",
        IF(ISERROR(VLOOKUP($G68,DanaSehat!$L$13:$AK$14,J$4,FALSE))=TRUE,"",
              VLOOKUP($G68,DanaSehat!$L$13:$AK$14,J$4,FALSE)))</t>
  </si>
  <si>
    <t>=IF(ISNUMBER($L$6)=FALSE,"",
        IF(ISERROR(VLOOKUP($G68,DanaSehat!$L$13:$AK$14,K$4,FALSE))=TRUE,"",
              VLOOKUP($G68,DanaSehat!$L$13:$AK$14,K$4,FALSE)))</t>
  </si>
  <si>
    <t>=IF(ISNUMBER($L$6)=FALSE,"",
        IF(ISERROR(VLOOKUP($G68,DanaSehat!$L$13:$AK$14,L$4,FALSE))=TRUE,"",
              VLOOKUP($G68,DanaSehat!$L$13:$AK$14,L$4,FALSE)))</t>
  </si>
  <si>
    <t>=IF(ISNUMBER($L$6)=FALSE,"",
        IF(ISERROR(VLOOKUP($G68,DanaSehat!$L$13:$AK$14,M$4,FALSE))=TRUE,"",
              VLOOKUP($G68,DanaSehat!$L$13:$AK$14,M$4,FALSE)))</t>
  </si>
  <si>
    <t>=IF(ISNUMBER($L$6)=FALSE,"",
        IF(ISERROR(VLOOKUP($G68,DanaSehat!$L$13:$AK$14,N$4,FALSE))=TRUE,"",
              VLOOKUP($G68,DanaSehat!$L$13:$AK$14,N$4,FALSE)))</t>
  </si>
  <si>
    <t>=IF(ISNUMBER($L$6)=FALSE,"",
        IF(ISERROR(VLOOKUP($G68,DanaSehat!$L$13:$AK$14,O$4,FALSE))=TRUE,"",
              VLOOKUP($G68,DanaSehat!$L$13:$AK$14,O$4,FALSE)))</t>
  </si>
  <si>
    <t>=IF(ISNUMBER($L$6)=FALSE,"",
        IF(ISERROR(VLOOKUP($G68,DanaSehat!$L$13:$AK$14,P$4,FALSE))=TRUE,"",
              VLOOKUP($G68,DanaSehat!$L$13:$AK$14,P$4,FALSE)))</t>
  </si>
  <si>
    <t>=IF(ISNUMBER($L$6)=FALSE,"",
        IF(ISERROR(VLOOKUP($G68,DanaSehat!$L$13:$AK$14,Q$4,FALSE))=TRUE,"",
              VLOOKUP($G68,DanaSehat!$L$13:$AK$14,Q$4,FALSE)))</t>
  </si>
  <si>
    <t>=IF(ISNUMBER($L$6)=FALSE,"",
        IF(ISERROR(VLOOKUP($G68,DanaSehat!$L$13:$AK$14,R$4,FALSE))=TRUE,"",
              VLOOKUP($G68,DanaSehat!$L$13:$AK$14,R$4,FALSE)))</t>
  </si>
  <si>
    <t>=IF(ISNUMBER($L$6)=FALSE,"",
        IF(ISERROR(VLOOKUP($G68,DanaSehat!$L$13:$AK$14,S$4,FALSE))=TRUE,"",
              VLOOKUP($G68,DanaSehat!$L$13:$AK$14,S$4,FALSE)))</t>
  </si>
  <si>
    <t>=IF(ISNUMBER($L$6)=FALSE,"",
        IF(ISERROR(VLOOKUP($G68,DanaSehat!$L$13:$AK$14,T$4,FALSE))=TRUE,"",
              VLOOKUP($G68,DanaSehat!$L$13:$AK$14,T$4,FALSE)))</t>
  </si>
  <si>
    <t>=IF(ISNUMBER($L$6)=FALSE,"",
        IF(ISERROR(VLOOKUP($G68,DanaSehat!$L$13:$AK$14,U$4,FALSE))=TRUE,"",
              VLOOKUP($G68,DanaSehat!$L$13:$AK$14,U$4,FALSE)))</t>
  </si>
  <si>
    <t>=IF(ISNUMBER($L$6)=FALSE,"",
        IF(ISERROR(VLOOKUP($G68,DanaSehat!$L$13:$AK$14,V$4,FALSE))=TRUE,"",
              VLOOKUP($G68,DanaSehat!$L$13:$AK$14,V$4,FALSE)))</t>
  </si>
  <si>
    <t>=IF(ISNUMBER($L$6)=FALSE,"",
        IF(ISERROR(VLOOKUP($G68,DanaSehat!$L$13:$AK$14,W$4,FALSE))=TRUE,"",
              VLOOKUP($G68,DanaSehat!$L$13:$AK$14,W$4,FALSE)))</t>
  </si>
  <si>
    <t>=IF(ISNUMBER($L$6)=FALSE,"",
        IF(ISERROR(VLOOKUP($G68,DanaSehat!$L$13:$AK$14,X$4,FALSE))=TRUE,"",
              VLOOKUP($G68,DanaSehat!$L$13:$AK$14,X$4,FALSE)))</t>
  </si>
  <si>
    <t>=IF(ISNUMBER($L$6)=FALSE,"",
        IF(ISERROR(VLOOKUP($G68,DanaSehat!$L$13:$AK$14,Y$4,FALSE))=TRUE,"",
              VLOOKUP($G68,DanaSehat!$L$13:$AK$14,Y$4,FALSE)))</t>
  </si>
  <si>
    <t>=IF(ISNUMBER($L$6)=FALSE,"",
        IF(ISERROR(VLOOKUP($G68,DanaSehat!$L$13:$AK$14,Z$4,FALSE))=TRUE,"",
              VLOOKUP($G68,DanaSehat!$L$13:$AK$14,Z$4,FALSE)))</t>
  </si>
  <si>
    <t>=IF(ISNUMBER($L$6)=FALSE,"",
        IF(ISERROR(VLOOKUP($G68,DanaSehat!$L$13:$AK$14,AA$4,FALSE))=TRUE,"",
              VLOOKUP($G68,DanaSehat!$L$13:$AK$14,AA$4,FALSE)))</t>
  </si>
  <si>
    <t>=IF(ISNUMBER($L$6)=FALSE,"",
        IF(ISERROR(VLOOKUP($G68,DanaSehat!$L$13:$AK$14,AB$4,FALSE))=TRUE,"",
              VLOOKUP($G68,DanaSehat!$L$13:$AK$14,AB$4,FALSE)))</t>
  </si>
  <si>
    <t>=IF(ISNUMBER($L$6)=FALSE,"",
        IF(ISERROR(VLOOKUP($G68,DanaSehat!$L$13:$AK$14,AC$4,FALSE))=TRUE,"",
              VLOOKUP($G68,DanaSehat!$L$13:$AK$14,AC$4,FALSE)))</t>
  </si>
  <si>
    <t>=IF(ISNUMBER($L$6)=FALSE,"",
        IF(ISERROR(VLOOKUP($G68,DanaSehat!$L$13:$AK$14,AD$4,FALSE))=TRUE,"",
              VLOOKUP($G68,DanaSehat!$L$13:$AK$14,AD$4,FALSE)))</t>
  </si>
  <si>
    <t>=IF(ISNUMBER($L$6)=FALSE,"",
        IF(ISERROR(VLOOKUP($G68,DanaSehat!$L$13:$AK$14,AE$4,FALSE))=TRUE,"",
              VLOOKUP($G68,DanaSehat!$L$13:$AK$14,AE$4,FALSE)))</t>
  </si>
  <si>
    <t>=IF(ISNUMBER($L$6)=FALSE,"",
        IF(ISERROR(VLOOKUP($G68,DanaSehat!$L$13:$AK$14,AF$4,FALSE))=TRUE,"",
              VLOOKUP($G68,DanaSehat!$L$13:$AK$14,AF$4,FALSE)))</t>
  </si>
  <si>
    <t>=IF($C68=$C$4,0,
       IF($C68=0,0,$C68+1))</t>
  </si>
  <si>
    <t>=IF(ISNUMBER($L$6)=FALSE,"",
IF($C69=0,"",$C69))</t>
  </si>
  <si>
    <t>=IF(ISNUMBER($L$6)=FALSE,"",
IF($C69=0,"",VLOOKUP($E69,DanaSehat!$H$13:$L$14,4,FALSE)))</t>
  </si>
  <si>
    <t>=IF(ISNUMBER($L$6)=FALSE,"",
IF($C69=0,"",VLOOKUP($E69,DanaSehat!$H$13:$L$14,5,FALSE)))</t>
  </si>
  <si>
    <t>=IF(ISNUMBER($L$6)=FALSE,"",
IF($C69=0,"",SUM(I69:AF69)))</t>
  </si>
  <si>
    <t>=IF(ISNUMBER($L$6)=FALSE,"",
        IF(ISERROR(VLOOKUP($G69,DanaSehat!$L$13:$AK$14,I$4,FALSE))=TRUE,"",
              VLOOKUP($G69,DanaSehat!$L$13:$AK$14,I$4,FALSE)))</t>
  </si>
  <si>
    <t>=IF(ISNUMBER($L$6)=FALSE,"",
        IF(ISERROR(VLOOKUP($G69,DanaSehat!$L$13:$AK$14,J$4,FALSE))=TRUE,"",
              VLOOKUP($G69,DanaSehat!$L$13:$AK$14,J$4,FALSE)))</t>
  </si>
  <si>
    <t>=IF(ISNUMBER($L$6)=FALSE,"",
        IF(ISERROR(VLOOKUP($G69,DanaSehat!$L$13:$AK$14,K$4,FALSE))=TRUE,"",
              VLOOKUP($G69,DanaSehat!$L$13:$AK$14,K$4,FALSE)))</t>
  </si>
  <si>
    <t>=IF(ISNUMBER($L$6)=FALSE,"",
        IF(ISERROR(VLOOKUP($G69,DanaSehat!$L$13:$AK$14,L$4,FALSE))=TRUE,"",
              VLOOKUP($G69,DanaSehat!$L$13:$AK$14,L$4,FALSE)))</t>
  </si>
  <si>
    <t>=IF(ISNUMBER($L$6)=FALSE,"",
        IF(ISERROR(VLOOKUP($G69,DanaSehat!$L$13:$AK$14,M$4,FALSE))=TRUE,"",
              VLOOKUP($G69,DanaSehat!$L$13:$AK$14,M$4,FALSE)))</t>
  </si>
  <si>
    <t>=IF(ISNUMBER($L$6)=FALSE,"",
        IF(ISERROR(VLOOKUP($G69,DanaSehat!$L$13:$AK$14,N$4,FALSE))=TRUE,"",
              VLOOKUP($G69,DanaSehat!$L$13:$AK$14,N$4,FALSE)))</t>
  </si>
  <si>
    <t>=IF(ISNUMBER($L$6)=FALSE,"",
        IF(ISERROR(VLOOKUP($G69,DanaSehat!$L$13:$AK$14,O$4,FALSE))=TRUE,"",
              VLOOKUP($G69,DanaSehat!$L$13:$AK$14,O$4,FALSE)))</t>
  </si>
  <si>
    <t>=IF(ISNUMBER($L$6)=FALSE,"",
        IF(ISERROR(VLOOKUP($G69,DanaSehat!$L$13:$AK$14,P$4,FALSE))=TRUE,"",
              VLOOKUP($G69,DanaSehat!$L$13:$AK$14,P$4,FALSE)))</t>
  </si>
  <si>
    <t>=IF(ISNUMBER($L$6)=FALSE,"",
        IF(ISERROR(VLOOKUP($G69,DanaSehat!$L$13:$AK$14,Q$4,FALSE))=TRUE,"",
              VLOOKUP($G69,DanaSehat!$L$13:$AK$14,Q$4,FALSE)))</t>
  </si>
  <si>
    <t>=IF(ISNUMBER($L$6)=FALSE,"",
        IF(ISERROR(VLOOKUP($G69,DanaSehat!$L$13:$AK$14,R$4,FALSE))=TRUE,"",
              VLOOKUP($G69,DanaSehat!$L$13:$AK$14,R$4,FALSE)))</t>
  </si>
  <si>
    <t>=IF(ISNUMBER($L$6)=FALSE,"",
        IF(ISERROR(VLOOKUP($G69,DanaSehat!$L$13:$AK$14,S$4,FALSE))=TRUE,"",
              VLOOKUP($G69,DanaSehat!$L$13:$AK$14,S$4,FALSE)))</t>
  </si>
  <si>
    <t>=IF(ISNUMBER($L$6)=FALSE,"",
        IF(ISERROR(VLOOKUP($G69,DanaSehat!$L$13:$AK$14,T$4,FALSE))=TRUE,"",
              VLOOKUP($G69,DanaSehat!$L$13:$AK$14,T$4,FALSE)))</t>
  </si>
  <si>
    <t>=IF(ISNUMBER($L$6)=FALSE,"",
        IF(ISERROR(VLOOKUP($G69,DanaSehat!$L$13:$AK$14,U$4,FALSE))=TRUE,"",
              VLOOKUP($G69,DanaSehat!$L$13:$AK$14,U$4,FALSE)))</t>
  </si>
  <si>
    <t>=IF(ISNUMBER($L$6)=FALSE,"",
        IF(ISERROR(VLOOKUP($G69,DanaSehat!$L$13:$AK$14,V$4,FALSE))=TRUE,"",
              VLOOKUP($G69,DanaSehat!$L$13:$AK$14,V$4,FALSE)))</t>
  </si>
  <si>
    <t>=IF(ISNUMBER($L$6)=FALSE,"",
        IF(ISERROR(VLOOKUP($G69,DanaSehat!$L$13:$AK$14,W$4,FALSE))=TRUE,"",
              VLOOKUP($G69,DanaSehat!$L$13:$AK$14,W$4,FALSE)))</t>
  </si>
  <si>
    <t>=IF(ISNUMBER($L$6)=FALSE,"",
        IF(ISERROR(VLOOKUP($G69,DanaSehat!$L$13:$AK$14,X$4,FALSE))=TRUE,"",
              VLOOKUP($G69,DanaSehat!$L$13:$AK$14,X$4,FALSE)))</t>
  </si>
  <si>
    <t>=IF(ISNUMBER($L$6)=FALSE,"",
        IF(ISERROR(VLOOKUP($G69,DanaSehat!$L$13:$AK$14,Y$4,FALSE))=TRUE,"",
              VLOOKUP($G69,DanaSehat!$L$13:$AK$14,Y$4,FALSE)))</t>
  </si>
  <si>
    <t>=IF(ISNUMBER($L$6)=FALSE,"",
        IF(ISERROR(VLOOKUP($G69,DanaSehat!$L$13:$AK$14,Z$4,FALSE))=TRUE,"",
              VLOOKUP($G69,DanaSehat!$L$13:$AK$14,Z$4,FALSE)))</t>
  </si>
  <si>
    <t>=IF(ISNUMBER($L$6)=FALSE,"",
        IF(ISERROR(VLOOKUP($G69,DanaSehat!$L$13:$AK$14,AA$4,FALSE))=TRUE,"",
              VLOOKUP($G69,DanaSehat!$L$13:$AK$14,AA$4,FALSE)))</t>
  </si>
  <si>
    <t>=IF(ISNUMBER($L$6)=FALSE,"",
        IF(ISERROR(VLOOKUP($G69,DanaSehat!$L$13:$AK$14,AB$4,FALSE))=TRUE,"",
              VLOOKUP($G69,DanaSehat!$L$13:$AK$14,AB$4,FALSE)))</t>
  </si>
  <si>
    <t>=IF(ISNUMBER($L$6)=FALSE,"",
        IF(ISERROR(VLOOKUP($G69,DanaSehat!$L$13:$AK$14,AC$4,FALSE))=TRUE,"",
              VLOOKUP($G69,DanaSehat!$L$13:$AK$14,AC$4,FALSE)))</t>
  </si>
  <si>
    <t>=IF(ISNUMBER($L$6)=FALSE,"",
        IF(ISERROR(VLOOKUP($G69,DanaSehat!$L$13:$AK$14,AD$4,FALSE))=TRUE,"",
              VLOOKUP($G69,DanaSehat!$L$13:$AK$14,AD$4,FALSE)))</t>
  </si>
  <si>
    <t>=IF(ISNUMBER($L$6)=FALSE,"",
        IF(ISERROR(VLOOKUP($G69,DanaSehat!$L$13:$AK$14,AE$4,FALSE))=TRUE,"",
              VLOOKUP($G69,DanaSehat!$L$13:$AK$14,AE$4,FALSE)))</t>
  </si>
  <si>
    <t>=IF(ISNUMBER($L$6)=FALSE,"",
        IF(ISERROR(VLOOKUP($G69,DanaSehat!$L$13:$AK$14,AF$4,FALSE))=TRUE,"",
              VLOOKUP($G69,DanaSehat!$L$13:$AK$14,AF$4,FALSE)))</t>
  </si>
  <si>
    <t>=IF($C69=$C$4,0,
       IF($C69=0,0,$C69+1))</t>
  </si>
  <si>
    <t>=IF(ISNUMBER($L$6)=FALSE,"",
IF($C70=0,"",$C70))</t>
  </si>
  <si>
    <t>=IF(ISNUMBER($L$6)=FALSE,"",
IF($C70=0,"",VLOOKUP($E70,DanaSehat!$H$13:$L$14,4,FALSE)))</t>
  </si>
  <si>
    <t>=IF(ISNUMBER($L$6)=FALSE,"",
IF($C70=0,"",VLOOKUP($E70,DanaSehat!$H$13:$L$14,5,FALSE)))</t>
  </si>
  <si>
    <t>=IF(ISNUMBER($L$6)=FALSE,"",
IF($C70=0,"",SUM(I70:AF70)))</t>
  </si>
  <si>
    <t>=IF(ISNUMBER($L$6)=FALSE,"",
        IF(ISERROR(VLOOKUP($G70,DanaSehat!$L$13:$AK$14,I$4,FALSE))=TRUE,"",
              VLOOKUP($G70,DanaSehat!$L$13:$AK$14,I$4,FALSE)))</t>
  </si>
  <si>
    <t>=IF(ISNUMBER($L$6)=FALSE,"",
        IF(ISERROR(VLOOKUP($G70,DanaSehat!$L$13:$AK$14,J$4,FALSE))=TRUE,"",
              VLOOKUP($G70,DanaSehat!$L$13:$AK$14,J$4,FALSE)))</t>
  </si>
  <si>
    <t>=IF(ISNUMBER($L$6)=FALSE,"",
        IF(ISERROR(VLOOKUP($G70,DanaSehat!$L$13:$AK$14,K$4,FALSE))=TRUE,"",
              VLOOKUP($G70,DanaSehat!$L$13:$AK$14,K$4,FALSE)))</t>
  </si>
  <si>
    <t>=IF(ISNUMBER($L$6)=FALSE,"",
        IF(ISERROR(VLOOKUP($G70,DanaSehat!$L$13:$AK$14,L$4,FALSE))=TRUE,"",
              VLOOKUP($G70,DanaSehat!$L$13:$AK$14,L$4,FALSE)))</t>
  </si>
  <si>
    <t>=IF(ISNUMBER($L$6)=FALSE,"",
        IF(ISERROR(VLOOKUP($G70,DanaSehat!$L$13:$AK$14,M$4,FALSE))=TRUE,"",
              VLOOKUP($G70,DanaSehat!$L$13:$AK$14,M$4,FALSE)))</t>
  </si>
  <si>
    <t>=IF(ISNUMBER($L$6)=FALSE,"",
        IF(ISERROR(VLOOKUP($G70,DanaSehat!$L$13:$AK$14,N$4,FALSE))=TRUE,"",
              VLOOKUP($G70,DanaSehat!$L$13:$AK$14,N$4,FALSE)))</t>
  </si>
  <si>
    <t>=IF(ISNUMBER($L$6)=FALSE,"",
        IF(ISERROR(VLOOKUP($G70,DanaSehat!$L$13:$AK$14,O$4,FALSE))=TRUE,"",
              VLOOKUP($G70,DanaSehat!$L$13:$AK$14,O$4,FALSE)))</t>
  </si>
  <si>
    <t>=IF(ISNUMBER($L$6)=FALSE,"",
        IF(ISERROR(VLOOKUP($G70,DanaSehat!$L$13:$AK$14,P$4,FALSE))=TRUE,"",
              VLOOKUP($G70,DanaSehat!$L$13:$AK$14,P$4,FALSE)))</t>
  </si>
  <si>
    <t>=IF(ISNUMBER($L$6)=FALSE,"",
        IF(ISERROR(VLOOKUP($G70,DanaSehat!$L$13:$AK$14,Q$4,FALSE))=TRUE,"",
              VLOOKUP($G70,DanaSehat!$L$13:$AK$14,Q$4,FALSE)))</t>
  </si>
  <si>
    <t>=IF(ISNUMBER($L$6)=FALSE,"",
        IF(ISERROR(VLOOKUP($G70,DanaSehat!$L$13:$AK$14,R$4,FALSE))=TRUE,"",
              VLOOKUP($G70,DanaSehat!$L$13:$AK$14,R$4,FALSE)))</t>
  </si>
  <si>
    <t>=IF(ISNUMBER($L$6)=FALSE,"",
        IF(ISERROR(VLOOKUP($G70,DanaSehat!$L$13:$AK$14,S$4,FALSE))=TRUE,"",
              VLOOKUP($G70,DanaSehat!$L$13:$AK$14,S$4,FALSE)))</t>
  </si>
  <si>
    <t>=IF(ISNUMBER($L$6)=FALSE,"",
        IF(ISERROR(VLOOKUP($G70,DanaSehat!$L$13:$AK$14,T$4,FALSE))=TRUE,"",
              VLOOKUP($G70,DanaSehat!$L$13:$AK$14,T$4,FALSE)))</t>
  </si>
  <si>
    <t>=IF(ISNUMBER($L$6)=FALSE,"",
        IF(ISERROR(VLOOKUP($G70,DanaSehat!$L$13:$AK$14,U$4,FALSE))=TRUE,"",
              VLOOKUP($G70,DanaSehat!$L$13:$AK$14,U$4,FALSE)))</t>
  </si>
  <si>
    <t>=IF(ISNUMBER($L$6)=FALSE,"",
        IF(ISERROR(VLOOKUP($G70,DanaSehat!$L$13:$AK$14,V$4,FALSE))=TRUE,"",
              VLOOKUP($G70,DanaSehat!$L$13:$AK$14,V$4,FALSE)))</t>
  </si>
  <si>
    <t>=IF(ISNUMBER($L$6)=FALSE,"",
        IF(ISERROR(VLOOKUP($G70,DanaSehat!$L$13:$AK$14,W$4,FALSE))=TRUE,"",
              VLOOKUP($G70,DanaSehat!$L$13:$AK$14,W$4,FALSE)))</t>
  </si>
  <si>
    <t>=IF(ISNUMBER($L$6)=FALSE,"",
        IF(ISERROR(VLOOKUP($G70,DanaSehat!$L$13:$AK$14,X$4,FALSE))=TRUE,"",
              VLOOKUP($G70,DanaSehat!$L$13:$AK$14,X$4,FALSE)))</t>
  </si>
  <si>
    <t>=IF(ISNUMBER($L$6)=FALSE,"",
        IF(ISERROR(VLOOKUP($G70,DanaSehat!$L$13:$AK$14,Y$4,FALSE))=TRUE,"",
              VLOOKUP($G70,DanaSehat!$L$13:$AK$14,Y$4,FALSE)))</t>
  </si>
  <si>
    <t>=IF(ISNUMBER($L$6)=FALSE,"",
        IF(ISERROR(VLOOKUP($G70,DanaSehat!$L$13:$AK$14,Z$4,FALSE))=TRUE,"",
              VLOOKUP($G70,DanaSehat!$L$13:$AK$14,Z$4,FALSE)))</t>
  </si>
  <si>
    <t>=IF(ISNUMBER($L$6)=FALSE,"",
        IF(ISERROR(VLOOKUP($G70,DanaSehat!$L$13:$AK$14,AA$4,FALSE))=TRUE,"",
              VLOOKUP($G70,DanaSehat!$L$13:$AK$14,AA$4,FALSE)))</t>
  </si>
  <si>
    <t>=IF(ISNUMBER($L$6)=FALSE,"",
        IF(ISERROR(VLOOKUP($G70,DanaSehat!$L$13:$AK$14,AB$4,FALSE))=TRUE,"",
              VLOOKUP($G70,DanaSehat!$L$13:$AK$14,AB$4,FALSE)))</t>
  </si>
  <si>
    <t>=IF(ISNUMBER($L$6)=FALSE,"",
        IF(ISERROR(VLOOKUP($G70,DanaSehat!$L$13:$AK$14,AC$4,FALSE))=TRUE,"",
              VLOOKUP($G70,DanaSehat!$L$13:$AK$14,AC$4,FALSE)))</t>
  </si>
  <si>
    <t>=IF(ISNUMBER($L$6)=FALSE,"",
        IF(ISERROR(VLOOKUP($G70,DanaSehat!$L$13:$AK$14,AD$4,FALSE))=TRUE,"",
              VLOOKUP($G70,DanaSehat!$L$13:$AK$14,AD$4,FALSE)))</t>
  </si>
  <si>
    <t>=IF(ISNUMBER($L$6)=FALSE,"",
        IF(ISERROR(VLOOKUP($G70,DanaSehat!$L$13:$AK$14,AE$4,FALSE))=TRUE,"",
              VLOOKUP($G70,DanaSehat!$L$13:$AK$14,AE$4,FALSE)))</t>
  </si>
  <si>
    <t>=IF(ISNUMBER($L$6)=FALSE,"",
        IF(ISERROR(VLOOKUP($G70,DanaSehat!$L$13:$AK$14,AF$4,FALSE))=TRUE,"",
              VLOOKUP($G70,DanaSehat!$L$13:$AK$14,AF$4,FALSE)))</t>
  </si>
  <si>
    <t>=IF($C70=$C$4,0,
       IF($C70=0,0,$C70+1))</t>
  </si>
  <si>
    <t>=IF(ISNUMBER($L$6)=FALSE,"",
IF($C71=0,"",$C71))</t>
  </si>
  <si>
    <t>=IF(ISNUMBER($L$6)=FALSE,"",
IF($C71=0,"",VLOOKUP($E71,DanaSehat!$H$13:$L$14,4,FALSE)))</t>
  </si>
  <si>
    <t>=IF(ISNUMBER($L$6)=FALSE,"",
IF($C71=0,"",VLOOKUP($E71,DanaSehat!$H$13:$L$14,5,FALSE)))</t>
  </si>
  <si>
    <t>=IF(ISNUMBER($L$6)=FALSE,"",
IF($C71=0,"",SUM(I71:AF71)))</t>
  </si>
  <si>
    <t>=IF(ISNUMBER($L$6)=FALSE,"",
        IF(ISERROR(VLOOKUP($G71,DanaSehat!$L$13:$AK$14,I$4,FALSE))=TRUE,"",
              VLOOKUP($G71,DanaSehat!$L$13:$AK$14,I$4,FALSE)))</t>
  </si>
  <si>
    <t>=IF(ISNUMBER($L$6)=FALSE,"",
        IF(ISERROR(VLOOKUP($G71,DanaSehat!$L$13:$AK$14,J$4,FALSE))=TRUE,"",
              VLOOKUP($G71,DanaSehat!$L$13:$AK$14,J$4,FALSE)))</t>
  </si>
  <si>
    <t>=IF(ISNUMBER($L$6)=FALSE,"",
        IF(ISERROR(VLOOKUP($G71,DanaSehat!$L$13:$AK$14,K$4,FALSE))=TRUE,"",
              VLOOKUP($G71,DanaSehat!$L$13:$AK$14,K$4,FALSE)))</t>
  </si>
  <si>
    <t>=IF(ISNUMBER($L$6)=FALSE,"",
        IF(ISERROR(VLOOKUP($G71,DanaSehat!$L$13:$AK$14,L$4,FALSE))=TRUE,"",
              VLOOKUP($G71,DanaSehat!$L$13:$AK$14,L$4,FALSE)))</t>
  </si>
  <si>
    <t>=IF(ISNUMBER($L$6)=FALSE,"",
        IF(ISERROR(VLOOKUP($G71,DanaSehat!$L$13:$AK$14,M$4,FALSE))=TRUE,"",
              VLOOKUP($G71,DanaSehat!$L$13:$AK$14,M$4,FALSE)))</t>
  </si>
  <si>
    <t>=IF(ISNUMBER($L$6)=FALSE,"",
        IF(ISERROR(VLOOKUP($G71,DanaSehat!$L$13:$AK$14,N$4,FALSE))=TRUE,"",
              VLOOKUP($G71,DanaSehat!$L$13:$AK$14,N$4,FALSE)))</t>
  </si>
  <si>
    <t>=IF(ISNUMBER($L$6)=FALSE,"",
        IF(ISERROR(VLOOKUP($G71,DanaSehat!$L$13:$AK$14,O$4,FALSE))=TRUE,"",
              VLOOKUP($G71,DanaSehat!$L$13:$AK$14,O$4,FALSE)))</t>
  </si>
  <si>
    <t>=IF(ISNUMBER($L$6)=FALSE,"",
        IF(ISERROR(VLOOKUP($G71,DanaSehat!$L$13:$AK$14,P$4,FALSE))=TRUE,"",
              VLOOKUP($G71,DanaSehat!$L$13:$AK$14,P$4,FALSE)))</t>
  </si>
  <si>
    <t>=IF(ISNUMBER($L$6)=FALSE,"",
        IF(ISERROR(VLOOKUP($G71,DanaSehat!$L$13:$AK$14,Q$4,FALSE))=TRUE,"",
              VLOOKUP($G71,DanaSehat!$L$13:$AK$14,Q$4,FALSE)))</t>
  </si>
  <si>
    <t>=IF(ISNUMBER($L$6)=FALSE,"",
        IF(ISERROR(VLOOKUP($G71,DanaSehat!$L$13:$AK$14,R$4,FALSE))=TRUE,"",
              VLOOKUP($G71,DanaSehat!$L$13:$AK$14,R$4,FALSE)))</t>
  </si>
  <si>
    <t>=IF(ISNUMBER($L$6)=FALSE,"",
        IF(ISERROR(VLOOKUP($G71,DanaSehat!$L$13:$AK$14,S$4,FALSE))=TRUE,"",
              VLOOKUP($G71,DanaSehat!$L$13:$AK$14,S$4,FALSE)))</t>
  </si>
  <si>
    <t>=IF(ISNUMBER($L$6)=FALSE,"",
        IF(ISERROR(VLOOKUP($G71,DanaSehat!$L$13:$AK$14,T$4,FALSE))=TRUE,"",
              VLOOKUP($G71,DanaSehat!$L$13:$AK$14,T$4,FALSE)))</t>
  </si>
  <si>
    <t>=IF(ISNUMBER($L$6)=FALSE,"",
        IF(ISERROR(VLOOKUP($G71,DanaSehat!$L$13:$AK$14,U$4,FALSE))=TRUE,"",
              VLOOKUP($G71,DanaSehat!$L$13:$AK$14,U$4,FALSE)))</t>
  </si>
  <si>
    <t>=IF(ISNUMBER($L$6)=FALSE,"",
        IF(ISERROR(VLOOKUP($G71,DanaSehat!$L$13:$AK$14,V$4,FALSE))=TRUE,"",
              VLOOKUP($G71,DanaSehat!$L$13:$AK$14,V$4,FALSE)))</t>
  </si>
  <si>
    <t>=IF(ISNUMBER($L$6)=FALSE,"",
        IF(ISERROR(VLOOKUP($G71,DanaSehat!$L$13:$AK$14,W$4,FALSE))=TRUE,"",
              VLOOKUP($G71,DanaSehat!$L$13:$AK$14,W$4,FALSE)))</t>
  </si>
  <si>
    <t>=IF(ISNUMBER($L$6)=FALSE,"",
        IF(ISERROR(VLOOKUP($G71,DanaSehat!$L$13:$AK$14,X$4,FALSE))=TRUE,"",
              VLOOKUP($G71,DanaSehat!$L$13:$AK$14,X$4,FALSE)))</t>
  </si>
  <si>
    <t>=IF(ISNUMBER($L$6)=FALSE,"",
        IF(ISERROR(VLOOKUP($G71,DanaSehat!$L$13:$AK$14,Y$4,FALSE))=TRUE,"",
              VLOOKUP($G71,DanaSehat!$L$13:$AK$14,Y$4,FALSE)))</t>
  </si>
  <si>
    <t>=IF(ISNUMBER($L$6)=FALSE,"",
        IF(ISERROR(VLOOKUP($G71,DanaSehat!$L$13:$AK$14,Z$4,FALSE))=TRUE,"",
              VLOOKUP($G71,DanaSehat!$L$13:$AK$14,Z$4,FALSE)))</t>
  </si>
  <si>
    <t>=IF(ISNUMBER($L$6)=FALSE,"",
        IF(ISERROR(VLOOKUP($G71,DanaSehat!$L$13:$AK$14,AA$4,FALSE))=TRUE,"",
              VLOOKUP($G71,DanaSehat!$L$13:$AK$14,AA$4,FALSE)))</t>
  </si>
  <si>
    <t>=IF(ISNUMBER($L$6)=FALSE,"",
        IF(ISERROR(VLOOKUP($G71,DanaSehat!$L$13:$AK$14,AB$4,FALSE))=TRUE,"",
              VLOOKUP($G71,DanaSehat!$L$13:$AK$14,AB$4,FALSE)))</t>
  </si>
  <si>
    <t>=IF(ISNUMBER($L$6)=FALSE,"",
        IF(ISERROR(VLOOKUP($G71,DanaSehat!$L$13:$AK$14,AC$4,FALSE))=TRUE,"",
              VLOOKUP($G71,DanaSehat!$L$13:$AK$14,AC$4,FALSE)))</t>
  </si>
  <si>
    <t>=IF(ISNUMBER($L$6)=FALSE,"",
        IF(ISERROR(VLOOKUP($G71,DanaSehat!$L$13:$AK$14,AD$4,FALSE))=TRUE,"",
              VLOOKUP($G71,DanaSehat!$L$13:$AK$14,AD$4,FALSE)))</t>
  </si>
  <si>
    <t>=IF(ISNUMBER($L$6)=FALSE,"",
        IF(ISERROR(VLOOKUP($G71,DanaSehat!$L$13:$AK$14,AE$4,FALSE))=TRUE,"",
              VLOOKUP($G71,DanaSehat!$L$13:$AK$14,AE$4,FALSE)))</t>
  </si>
  <si>
    <t>=IF(ISNUMBER($L$6)=FALSE,"",
        IF(ISERROR(VLOOKUP($G71,DanaSehat!$L$13:$AK$14,AF$4,FALSE))=TRUE,"",
              VLOOKUP($G71,DanaSehat!$L$13:$AK$14,AF$4,FALSE)))</t>
  </si>
  <si>
    <t>=IF($C71=$C$4,0,
       IF($C71=0,0,$C71+1))</t>
  </si>
  <si>
    <t>=IF(ISNUMBER($L$6)=FALSE,"",
IF($C72=0,"",$C72))</t>
  </si>
  <si>
    <t>=IF(ISNUMBER($L$6)=FALSE,"",
IF($C72=0,"",VLOOKUP($E72,DanaSehat!$H$13:$L$14,4,FALSE)))</t>
  </si>
  <si>
    <t>=IF(ISNUMBER($L$6)=FALSE,"",
IF($C72=0,"",VLOOKUP($E72,DanaSehat!$H$13:$L$14,5,FALSE)))</t>
  </si>
  <si>
    <t>=IF(ISNUMBER($L$6)=FALSE,"",
IF($C72=0,"",SUM(I72:AF72)))</t>
  </si>
  <si>
    <t>=IF(ISNUMBER($L$6)=FALSE,"",
        IF(ISERROR(VLOOKUP($G72,DanaSehat!$L$13:$AK$14,I$4,FALSE))=TRUE,"",
              VLOOKUP($G72,DanaSehat!$L$13:$AK$14,I$4,FALSE)))</t>
  </si>
  <si>
    <t>=IF(ISNUMBER($L$6)=FALSE,"",
        IF(ISERROR(VLOOKUP($G72,DanaSehat!$L$13:$AK$14,J$4,FALSE))=TRUE,"",
              VLOOKUP($G72,DanaSehat!$L$13:$AK$14,J$4,FALSE)))</t>
  </si>
  <si>
    <t>=IF(ISNUMBER($L$6)=FALSE,"",
        IF(ISERROR(VLOOKUP($G72,DanaSehat!$L$13:$AK$14,K$4,FALSE))=TRUE,"",
              VLOOKUP($G72,DanaSehat!$L$13:$AK$14,K$4,FALSE)))</t>
  </si>
  <si>
    <t>=IF(ISNUMBER($L$6)=FALSE,"",
        IF(ISERROR(VLOOKUP($G72,DanaSehat!$L$13:$AK$14,L$4,FALSE))=TRUE,"",
              VLOOKUP($G72,DanaSehat!$L$13:$AK$14,L$4,FALSE)))</t>
  </si>
  <si>
    <t>=IF(ISNUMBER($L$6)=FALSE,"",
        IF(ISERROR(VLOOKUP($G72,DanaSehat!$L$13:$AK$14,M$4,FALSE))=TRUE,"",
              VLOOKUP($G72,DanaSehat!$L$13:$AK$14,M$4,FALSE)))</t>
  </si>
  <si>
    <t>=IF(ISNUMBER($L$6)=FALSE,"",
        IF(ISERROR(VLOOKUP($G72,DanaSehat!$L$13:$AK$14,N$4,FALSE))=TRUE,"",
              VLOOKUP($G72,DanaSehat!$L$13:$AK$14,N$4,FALSE)))</t>
  </si>
  <si>
    <t>=IF(ISNUMBER($L$6)=FALSE,"",
        IF(ISERROR(VLOOKUP($G72,DanaSehat!$L$13:$AK$14,O$4,FALSE))=TRUE,"",
              VLOOKUP($G72,DanaSehat!$L$13:$AK$14,O$4,FALSE)))</t>
  </si>
  <si>
    <t>=IF(ISNUMBER($L$6)=FALSE,"",
        IF(ISERROR(VLOOKUP($G72,DanaSehat!$L$13:$AK$14,P$4,FALSE))=TRUE,"",
              VLOOKUP($G72,DanaSehat!$L$13:$AK$14,P$4,FALSE)))</t>
  </si>
  <si>
    <t>=IF(ISNUMBER($L$6)=FALSE,"",
        IF(ISERROR(VLOOKUP($G72,DanaSehat!$L$13:$AK$14,Q$4,FALSE))=TRUE,"",
              VLOOKUP($G72,DanaSehat!$L$13:$AK$14,Q$4,FALSE)))</t>
  </si>
  <si>
    <t>=IF(ISNUMBER($L$6)=FALSE,"",
        IF(ISERROR(VLOOKUP($G72,DanaSehat!$L$13:$AK$14,R$4,FALSE))=TRUE,"",
              VLOOKUP($G72,DanaSehat!$L$13:$AK$14,R$4,FALSE)))</t>
  </si>
  <si>
    <t>=IF(ISNUMBER($L$6)=FALSE,"",
        IF(ISERROR(VLOOKUP($G72,DanaSehat!$L$13:$AK$14,S$4,FALSE))=TRUE,"",
              VLOOKUP($G72,DanaSehat!$L$13:$AK$14,S$4,FALSE)))</t>
  </si>
  <si>
    <t>=IF(ISNUMBER($L$6)=FALSE,"",
        IF(ISERROR(VLOOKUP($G72,DanaSehat!$L$13:$AK$14,T$4,FALSE))=TRUE,"",
              VLOOKUP($G72,DanaSehat!$L$13:$AK$14,T$4,FALSE)))</t>
  </si>
  <si>
    <t>=IF(ISNUMBER($L$6)=FALSE,"",
        IF(ISERROR(VLOOKUP($G72,DanaSehat!$L$13:$AK$14,U$4,FALSE))=TRUE,"",
              VLOOKUP($G72,DanaSehat!$L$13:$AK$14,U$4,FALSE)))</t>
  </si>
  <si>
    <t>=IF(ISNUMBER($L$6)=FALSE,"",
        IF(ISERROR(VLOOKUP($G72,DanaSehat!$L$13:$AK$14,V$4,FALSE))=TRUE,"",
              VLOOKUP($G72,DanaSehat!$L$13:$AK$14,V$4,FALSE)))</t>
  </si>
  <si>
    <t>=IF(ISNUMBER($L$6)=FALSE,"",
        IF(ISERROR(VLOOKUP($G72,DanaSehat!$L$13:$AK$14,W$4,FALSE))=TRUE,"",
              VLOOKUP($G72,DanaSehat!$L$13:$AK$14,W$4,FALSE)))</t>
  </si>
  <si>
    <t>=IF(ISNUMBER($L$6)=FALSE,"",
        IF(ISERROR(VLOOKUP($G72,DanaSehat!$L$13:$AK$14,X$4,FALSE))=TRUE,"",
              VLOOKUP($G72,DanaSehat!$L$13:$AK$14,X$4,FALSE)))</t>
  </si>
  <si>
    <t>=IF(ISNUMBER($L$6)=FALSE,"",
        IF(ISERROR(VLOOKUP($G72,DanaSehat!$L$13:$AK$14,Y$4,FALSE))=TRUE,"",
              VLOOKUP($G72,DanaSehat!$L$13:$AK$14,Y$4,FALSE)))</t>
  </si>
  <si>
    <t>=IF(ISNUMBER($L$6)=FALSE,"",
        IF(ISERROR(VLOOKUP($G72,DanaSehat!$L$13:$AK$14,Z$4,FALSE))=TRUE,"",
              VLOOKUP($G72,DanaSehat!$L$13:$AK$14,Z$4,FALSE)))</t>
  </si>
  <si>
    <t>=IF(ISNUMBER($L$6)=FALSE,"",
        IF(ISERROR(VLOOKUP($G72,DanaSehat!$L$13:$AK$14,AA$4,FALSE))=TRUE,"",
              VLOOKUP($G72,DanaSehat!$L$13:$AK$14,AA$4,FALSE)))</t>
  </si>
  <si>
    <t>=IF(ISNUMBER($L$6)=FALSE,"",
        IF(ISERROR(VLOOKUP($G72,DanaSehat!$L$13:$AK$14,AB$4,FALSE))=TRUE,"",
              VLOOKUP($G72,DanaSehat!$L$13:$AK$14,AB$4,FALSE)))</t>
  </si>
  <si>
    <t>=IF(ISNUMBER($L$6)=FALSE,"",
        IF(ISERROR(VLOOKUP($G72,DanaSehat!$L$13:$AK$14,AC$4,FALSE))=TRUE,"",
              VLOOKUP($G72,DanaSehat!$L$13:$AK$14,AC$4,FALSE)))</t>
  </si>
  <si>
    <t>=IF(ISNUMBER($L$6)=FALSE,"",
        IF(ISERROR(VLOOKUP($G72,DanaSehat!$L$13:$AK$14,AD$4,FALSE))=TRUE,"",
              VLOOKUP($G72,DanaSehat!$L$13:$AK$14,AD$4,FALSE)))</t>
  </si>
  <si>
    <t>=IF(ISNUMBER($L$6)=FALSE,"",
        IF(ISERROR(VLOOKUP($G72,DanaSehat!$L$13:$AK$14,AE$4,FALSE))=TRUE,"",
              VLOOKUP($G72,DanaSehat!$L$13:$AK$14,AE$4,FALSE)))</t>
  </si>
  <si>
    <t>=IF(ISNUMBER($L$6)=FALSE,"",
        IF(ISERROR(VLOOKUP($G72,DanaSehat!$L$13:$AK$14,AF$4,FALSE))=TRUE,"",
              VLOOKUP($G72,DanaSehat!$L$13:$AK$14,AF$4,FALSE)))</t>
  </si>
  <si>
    <t>=IF($C72=$C$4,0,
       IF($C72=0,0,$C72+1))</t>
  </si>
  <si>
    <t>=IF(ISNUMBER($L$6)=FALSE,"",
IF($C73=0,"",$C73))</t>
  </si>
  <si>
    <t>=IF(ISNUMBER($L$6)=FALSE,"",
IF($C73=0,"",VLOOKUP($E73,DanaSehat!$H$13:$L$14,4,FALSE)))</t>
  </si>
  <si>
    <t>=IF(ISNUMBER($L$6)=FALSE,"",
IF($C73=0,"",VLOOKUP($E73,DanaSehat!$H$13:$L$14,5,FALSE)))</t>
  </si>
  <si>
    <t>=IF(ISNUMBER($L$6)=FALSE,"",
IF($C73=0,"",SUM(I73:AF73)))</t>
  </si>
  <si>
    <t>=IF(ISNUMBER($L$6)=FALSE,"",
        IF(ISERROR(VLOOKUP($G73,DanaSehat!$L$13:$AK$14,I$4,FALSE))=TRUE,"",
              VLOOKUP($G73,DanaSehat!$L$13:$AK$14,I$4,FALSE)))</t>
  </si>
  <si>
    <t>=IF(ISNUMBER($L$6)=FALSE,"",
        IF(ISERROR(VLOOKUP($G73,DanaSehat!$L$13:$AK$14,J$4,FALSE))=TRUE,"",
              VLOOKUP($G73,DanaSehat!$L$13:$AK$14,J$4,FALSE)))</t>
  </si>
  <si>
    <t>=IF(ISNUMBER($L$6)=FALSE,"",
        IF(ISERROR(VLOOKUP($G73,DanaSehat!$L$13:$AK$14,K$4,FALSE))=TRUE,"",
              VLOOKUP($G73,DanaSehat!$L$13:$AK$14,K$4,FALSE)))</t>
  </si>
  <si>
    <t>=IF(ISNUMBER($L$6)=FALSE,"",
        IF(ISERROR(VLOOKUP($G73,DanaSehat!$L$13:$AK$14,L$4,FALSE))=TRUE,"",
              VLOOKUP($G73,DanaSehat!$L$13:$AK$14,L$4,FALSE)))</t>
  </si>
  <si>
    <t>=IF(ISNUMBER($L$6)=FALSE,"",
        IF(ISERROR(VLOOKUP($G73,DanaSehat!$L$13:$AK$14,M$4,FALSE))=TRUE,"",
              VLOOKUP($G73,DanaSehat!$L$13:$AK$14,M$4,FALSE)))</t>
  </si>
  <si>
    <t>=IF(ISNUMBER($L$6)=FALSE,"",
        IF(ISERROR(VLOOKUP($G73,DanaSehat!$L$13:$AK$14,N$4,FALSE))=TRUE,"",
              VLOOKUP($G73,DanaSehat!$L$13:$AK$14,N$4,FALSE)))</t>
  </si>
  <si>
    <t>=IF(ISNUMBER($L$6)=FALSE,"",
        IF(ISERROR(VLOOKUP($G73,DanaSehat!$L$13:$AK$14,O$4,FALSE))=TRUE,"",
              VLOOKUP($G73,DanaSehat!$L$13:$AK$14,O$4,FALSE)))</t>
  </si>
  <si>
    <t>=IF(ISNUMBER($L$6)=FALSE,"",
        IF(ISERROR(VLOOKUP($G73,DanaSehat!$L$13:$AK$14,P$4,FALSE))=TRUE,"",
              VLOOKUP($G73,DanaSehat!$L$13:$AK$14,P$4,FALSE)))</t>
  </si>
  <si>
    <t>=IF(ISNUMBER($L$6)=FALSE,"",
        IF(ISERROR(VLOOKUP($G73,DanaSehat!$L$13:$AK$14,Q$4,FALSE))=TRUE,"",
              VLOOKUP($G73,DanaSehat!$L$13:$AK$14,Q$4,FALSE)))</t>
  </si>
  <si>
    <t>=IF(ISNUMBER($L$6)=FALSE,"",
        IF(ISERROR(VLOOKUP($G73,DanaSehat!$L$13:$AK$14,R$4,FALSE))=TRUE,"",
              VLOOKUP($G73,DanaSehat!$L$13:$AK$14,R$4,FALSE)))</t>
  </si>
  <si>
    <t>=IF(ISNUMBER($L$6)=FALSE,"",
        IF(ISERROR(VLOOKUP($G73,DanaSehat!$L$13:$AK$14,S$4,FALSE))=TRUE,"",
              VLOOKUP($G73,DanaSehat!$L$13:$AK$14,S$4,FALSE)))</t>
  </si>
  <si>
    <t>=IF(ISNUMBER($L$6)=FALSE,"",
        IF(ISERROR(VLOOKUP($G73,DanaSehat!$L$13:$AK$14,T$4,FALSE))=TRUE,"",
              VLOOKUP($G73,DanaSehat!$L$13:$AK$14,T$4,FALSE)))</t>
  </si>
  <si>
    <t>=IF(ISNUMBER($L$6)=FALSE,"",
        IF(ISERROR(VLOOKUP($G73,DanaSehat!$L$13:$AK$14,U$4,FALSE))=TRUE,"",
              VLOOKUP($G73,DanaSehat!$L$13:$AK$14,U$4,FALSE)))</t>
  </si>
  <si>
    <t>=IF(ISNUMBER($L$6)=FALSE,"",
        IF(ISERROR(VLOOKUP($G73,DanaSehat!$L$13:$AK$14,V$4,FALSE))=TRUE,"",
              VLOOKUP($G73,DanaSehat!$L$13:$AK$14,V$4,FALSE)))</t>
  </si>
  <si>
    <t>=IF(ISNUMBER($L$6)=FALSE,"",
        IF(ISERROR(VLOOKUP($G73,DanaSehat!$L$13:$AK$14,W$4,FALSE))=TRUE,"",
              VLOOKUP($G73,DanaSehat!$L$13:$AK$14,W$4,FALSE)))</t>
  </si>
  <si>
    <t>=IF(ISNUMBER($L$6)=FALSE,"",
        IF(ISERROR(VLOOKUP($G73,DanaSehat!$L$13:$AK$14,X$4,FALSE))=TRUE,"",
              VLOOKUP($G73,DanaSehat!$L$13:$AK$14,X$4,FALSE)))</t>
  </si>
  <si>
    <t>=IF(ISNUMBER($L$6)=FALSE,"",
        IF(ISERROR(VLOOKUP($G73,DanaSehat!$L$13:$AK$14,Y$4,FALSE))=TRUE,"",
              VLOOKUP($G73,DanaSehat!$L$13:$AK$14,Y$4,FALSE)))</t>
  </si>
  <si>
    <t>=IF(ISNUMBER($L$6)=FALSE,"",
        IF(ISERROR(VLOOKUP($G73,DanaSehat!$L$13:$AK$14,Z$4,FALSE))=TRUE,"",
              VLOOKUP($G73,DanaSehat!$L$13:$AK$14,Z$4,FALSE)))</t>
  </si>
  <si>
    <t>=IF(ISNUMBER($L$6)=FALSE,"",
        IF(ISERROR(VLOOKUP($G73,DanaSehat!$L$13:$AK$14,AA$4,FALSE))=TRUE,"",
              VLOOKUP($G73,DanaSehat!$L$13:$AK$14,AA$4,FALSE)))</t>
  </si>
  <si>
    <t>=IF(ISNUMBER($L$6)=FALSE,"",
        IF(ISERROR(VLOOKUP($G73,DanaSehat!$L$13:$AK$14,AB$4,FALSE))=TRUE,"",
              VLOOKUP($G73,DanaSehat!$L$13:$AK$14,AB$4,FALSE)))</t>
  </si>
  <si>
    <t>=IF(ISNUMBER($L$6)=FALSE,"",
        IF(ISERROR(VLOOKUP($G73,DanaSehat!$L$13:$AK$14,AC$4,FALSE))=TRUE,"",
              VLOOKUP($G73,DanaSehat!$L$13:$AK$14,AC$4,FALSE)))</t>
  </si>
  <si>
    <t>=IF(ISNUMBER($L$6)=FALSE,"",
        IF(ISERROR(VLOOKUP($G73,DanaSehat!$L$13:$AK$14,AD$4,FALSE))=TRUE,"",
              VLOOKUP($G73,DanaSehat!$L$13:$AK$14,AD$4,FALSE)))</t>
  </si>
  <si>
    <t>=IF(ISNUMBER($L$6)=FALSE,"",
        IF(ISERROR(VLOOKUP($G73,DanaSehat!$L$13:$AK$14,AE$4,FALSE))=TRUE,"",
              VLOOKUP($G73,DanaSehat!$L$13:$AK$14,AE$4,FALSE)))</t>
  </si>
  <si>
    <t>=IF(ISNUMBER($L$6)=FALSE,"",
        IF(ISERROR(VLOOKUP($G73,DanaSehat!$L$13:$AK$14,AF$4,FALSE))=TRUE,"",
              VLOOKUP($G73,DanaSehat!$L$13:$AK$14,AF$4,FALSE)))</t>
  </si>
  <si>
    <t>=IF($C73=$C$4,0,
       IF($C73=0,0,$C73+1))</t>
  </si>
  <si>
    <t>=IF(ISNUMBER($L$6)=FALSE,"",
IF($C74=0,"",$C74))</t>
  </si>
  <si>
    <t>=IF(ISNUMBER($L$6)=FALSE,"",
IF($C74=0,"",VLOOKUP($E74,DanaSehat!$H$13:$L$14,4,FALSE)))</t>
  </si>
  <si>
    <t>=IF(ISNUMBER($L$6)=FALSE,"",
IF($C74=0,"",VLOOKUP($E74,DanaSehat!$H$13:$L$14,5,FALSE)))</t>
  </si>
  <si>
    <t>=IF(ISNUMBER($L$6)=FALSE,"",
IF($C74=0,"",SUM(I74:AF74)))</t>
  </si>
  <si>
    <t>=IF(ISNUMBER($L$6)=FALSE,"",
        IF(ISERROR(VLOOKUP($G74,DanaSehat!$L$13:$AK$14,I$4,FALSE))=TRUE,"",
              VLOOKUP($G74,DanaSehat!$L$13:$AK$14,I$4,FALSE)))</t>
  </si>
  <si>
    <t>=IF(ISNUMBER($L$6)=FALSE,"",
        IF(ISERROR(VLOOKUP($G74,DanaSehat!$L$13:$AK$14,J$4,FALSE))=TRUE,"",
              VLOOKUP($G74,DanaSehat!$L$13:$AK$14,J$4,FALSE)))</t>
  </si>
  <si>
    <t>=IF(ISNUMBER($L$6)=FALSE,"",
        IF(ISERROR(VLOOKUP($G74,DanaSehat!$L$13:$AK$14,K$4,FALSE))=TRUE,"",
              VLOOKUP($G74,DanaSehat!$L$13:$AK$14,K$4,FALSE)))</t>
  </si>
  <si>
    <t>=IF(ISNUMBER($L$6)=FALSE,"",
        IF(ISERROR(VLOOKUP($G74,DanaSehat!$L$13:$AK$14,L$4,FALSE))=TRUE,"",
              VLOOKUP($G74,DanaSehat!$L$13:$AK$14,L$4,FALSE)))</t>
  </si>
  <si>
    <t>=IF(ISNUMBER($L$6)=FALSE,"",
        IF(ISERROR(VLOOKUP($G74,DanaSehat!$L$13:$AK$14,M$4,FALSE))=TRUE,"",
              VLOOKUP($G74,DanaSehat!$L$13:$AK$14,M$4,FALSE)))</t>
  </si>
  <si>
    <t>=IF(ISNUMBER($L$6)=FALSE,"",
        IF(ISERROR(VLOOKUP($G74,DanaSehat!$L$13:$AK$14,N$4,FALSE))=TRUE,"",
              VLOOKUP($G74,DanaSehat!$L$13:$AK$14,N$4,FALSE)))</t>
  </si>
  <si>
    <t>=IF(ISNUMBER($L$6)=FALSE,"",
        IF(ISERROR(VLOOKUP($G74,DanaSehat!$L$13:$AK$14,O$4,FALSE))=TRUE,"",
              VLOOKUP($G74,DanaSehat!$L$13:$AK$14,O$4,FALSE)))</t>
  </si>
  <si>
    <t>=IF(ISNUMBER($L$6)=FALSE,"",
        IF(ISERROR(VLOOKUP($G74,DanaSehat!$L$13:$AK$14,P$4,FALSE))=TRUE,"",
              VLOOKUP($G74,DanaSehat!$L$13:$AK$14,P$4,FALSE)))</t>
  </si>
  <si>
    <t>=IF(ISNUMBER($L$6)=FALSE,"",
        IF(ISERROR(VLOOKUP($G74,DanaSehat!$L$13:$AK$14,Q$4,FALSE))=TRUE,"",
              VLOOKUP($G74,DanaSehat!$L$13:$AK$14,Q$4,FALSE)))</t>
  </si>
  <si>
    <t>=IF(ISNUMBER($L$6)=FALSE,"",
        IF(ISERROR(VLOOKUP($G74,DanaSehat!$L$13:$AK$14,R$4,FALSE))=TRUE,"",
              VLOOKUP($G74,DanaSehat!$L$13:$AK$14,R$4,FALSE)))</t>
  </si>
  <si>
    <t>=IF(ISNUMBER($L$6)=FALSE,"",
        IF(ISERROR(VLOOKUP($G74,DanaSehat!$L$13:$AK$14,S$4,FALSE))=TRUE,"",
              VLOOKUP($G74,DanaSehat!$L$13:$AK$14,S$4,FALSE)))</t>
  </si>
  <si>
    <t>=IF(ISNUMBER($L$6)=FALSE,"",
        IF(ISERROR(VLOOKUP($G74,DanaSehat!$L$13:$AK$14,T$4,FALSE))=TRUE,"",
              VLOOKUP($G74,DanaSehat!$L$13:$AK$14,T$4,FALSE)))</t>
  </si>
  <si>
    <t>=IF(ISNUMBER($L$6)=FALSE,"",
        IF(ISERROR(VLOOKUP($G74,DanaSehat!$L$13:$AK$14,U$4,FALSE))=TRUE,"",
              VLOOKUP($G74,DanaSehat!$L$13:$AK$14,U$4,FALSE)))</t>
  </si>
  <si>
    <t>=IF(ISNUMBER($L$6)=FALSE,"",
        IF(ISERROR(VLOOKUP($G74,DanaSehat!$L$13:$AK$14,V$4,FALSE))=TRUE,"",
              VLOOKUP($G74,DanaSehat!$L$13:$AK$14,V$4,FALSE)))</t>
  </si>
  <si>
    <t>=IF(ISNUMBER($L$6)=FALSE,"",
        IF(ISERROR(VLOOKUP($G74,DanaSehat!$L$13:$AK$14,W$4,FALSE))=TRUE,"",
              VLOOKUP($G74,DanaSehat!$L$13:$AK$14,W$4,FALSE)))</t>
  </si>
  <si>
    <t>=IF(ISNUMBER($L$6)=FALSE,"",
        IF(ISERROR(VLOOKUP($G74,DanaSehat!$L$13:$AK$14,X$4,FALSE))=TRUE,"",
              VLOOKUP($G74,DanaSehat!$L$13:$AK$14,X$4,FALSE)))</t>
  </si>
  <si>
    <t>=IF(ISNUMBER($L$6)=FALSE,"",
        IF(ISERROR(VLOOKUP($G74,DanaSehat!$L$13:$AK$14,Y$4,FALSE))=TRUE,"",
              VLOOKUP($G74,DanaSehat!$L$13:$AK$14,Y$4,FALSE)))</t>
  </si>
  <si>
    <t>=IF(ISNUMBER($L$6)=FALSE,"",
        IF(ISERROR(VLOOKUP($G74,DanaSehat!$L$13:$AK$14,Z$4,FALSE))=TRUE,"",
              VLOOKUP($G74,DanaSehat!$L$13:$AK$14,Z$4,FALSE)))</t>
  </si>
  <si>
    <t>=IF(ISNUMBER($L$6)=FALSE,"",
        IF(ISERROR(VLOOKUP($G74,DanaSehat!$L$13:$AK$14,AA$4,FALSE))=TRUE,"",
              VLOOKUP($G74,DanaSehat!$L$13:$AK$14,AA$4,FALSE)))</t>
  </si>
  <si>
    <t>=IF(ISNUMBER($L$6)=FALSE,"",
        IF(ISERROR(VLOOKUP($G74,DanaSehat!$L$13:$AK$14,AB$4,FALSE))=TRUE,"",
              VLOOKUP($G74,DanaSehat!$L$13:$AK$14,AB$4,FALSE)))</t>
  </si>
  <si>
    <t>=IF(ISNUMBER($L$6)=FALSE,"",
        IF(ISERROR(VLOOKUP($G74,DanaSehat!$L$13:$AK$14,AC$4,FALSE))=TRUE,"",
              VLOOKUP($G74,DanaSehat!$L$13:$AK$14,AC$4,FALSE)))</t>
  </si>
  <si>
    <t>=IF(ISNUMBER($L$6)=FALSE,"",
        IF(ISERROR(VLOOKUP($G74,DanaSehat!$L$13:$AK$14,AD$4,FALSE))=TRUE,"",
              VLOOKUP($G74,DanaSehat!$L$13:$AK$14,AD$4,FALSE)))</t>
  </si>
  <si>
    <t>=IF(ISNUMBER($L$6)=FALSE,"",
        IF(ISERROR(VLOOKUP($G74,DanaSehat!$L$13:$AK$14,AE$4,FALSE))=TRUE,"",
              VLOOKUP($G74,DanaSehat!$L$13:$AK$14,AE$4,FALSE)))</t>
  </si>
  <si>
    <t>=IF(ISNUMBER($L$6)=FALSE,"",
        IF(ISERROR(VLOOKUP($G74,DanaSehat!$L$13:$AK$14,AF$4,FALSE))=TRUE,"",
              VLOOKUP($G74,DanaSehat!$L$13:$AK$14,AF$4,FALSE)))</t>
  </si>
  <si>
    <t>=IF($C74=$C$4,0,
       IF($C74=0,0,$C74+1))</t>
  </si>
  <si>
    <t>=IF(ISNUMBER($L$6)=FALSE,"",
IF($C75=0,"",$C75))</t>
  </si>
  <si>
    <t>=IF(ISNUMBER($L$6)=FALSE,"",
IF($C75=0,"",VLOOKUP($E75,DanaSehat!$H$13:$L$14,4,FALSE)))</t>
  </si>
  <si>
    <t>=IF(ISNUMBER($L$6)=FALSE,"",
IF($C75=0,"",VLOOKUP($E75,DanaSehat!$H$13:$L$14,5,FALSE)))</t>
  </si>
  <si>
    <t>=IF(ISNUMBER($L$6)=FALSE,"",
IF($C75=0,"",SUM(I75:AF75)))</t>
  </si>
  <si>
    <t>=IF(ISNUMBER($L$6)=FALSE,"",
        IF(ISERROR(VLOOKUP($G75,DanaSehat!$L$13:$AK$14,I$4,FALSE))=TRUE,"",
              VLOOKUP($G75,DanaSehat!$L$13:$AK$14,I$4,FALSE)))</t>
  </si>
  <si>
    <t>=IF(ISNUMBER($L$6)=FALSE,"",
        IF(ISERROR(VLOOKUP($G75,DanaSehat!$L$13:$AK$14,J$4,FALSE))=TRUE,"",
              VLOOKUP($G75,DanaSehat!$L$13:$AK$14,J$4,FALSE)))</t>
  </si>
  <si>
    <t>=IF(ISNUMBER($L$6)=FALSE,"",
        IF(ISERROR(VLOOKUP($G75,DanaSehat!$L$13:$AK$14,K$4,FALSE))=TRUE,"",
              VLOOKUP($G75,DanaSehat!$L$13:$AK$14,K$4,FALSE)))</t>
  </si>
  <si>
    <t>=IF(ISNUMBER($L$6)=FALSE,"",
        IF(ISERROR(VLOOKUP($G75,DanaSehat!$L$13:$AK$14,L$4,FALSE))=TRUE,"",
              VLOOKUP($G75,DanaSehat!$L$13:$AK$14,L$4,FALSE)))</t>
  </si>
  <si>
    <t>=IF(ISNUMBER($L$6)=FALSE,"",
        IF(ISERROR(VLOOKUP($G75,DanaSehat!$L$13:$AK$14,M$4,FALSE))=TRUE,"",
              VLOOKUP($G75,DanaSehat!$L$13:$AK$14,M$4,FALSE)))</t>
  </si>
  <si>
    <t>=IF(ISNUMBER($L$6)=FALSE,"",
        IF(ISERROR(VLOOKUP($G75,DanaSehat!$L$13:$AK$14,N$4,FALSE))=TRUE,"",
              VLOOKUP($G75,DanaSehat!$L$13:$AK$14,N$4,FALSE)))</t>
  </si>
  <si>
    <t>=IF(ISNUMBER($L$6)=FALSE,"",
        IF(ISERROR(VLOOKUP($G75,DanaSehat!$L$13:$AK$14,O$4,FALSE))=TRUE,"",
              VLOOKUP($G75,DanaSehat!$L$13:$AK$14,O$4,FALSE)))</t>
  </si>
  <si>
    <t>=IF(ISNUMBER($L$6)=FALSE,"",
        IF(ISERROR(VLOOKUP($G75,DanaSehat!$L$13:$AK$14,P$4,FALSE))=TRUE,"",
              VLOOKUP($G75,DanaSehat!$L$13:$AK$14,P$4,FALSE)))</t>
  </si>
  <si>
    <t>=IF(ISNUMBER($L$6)=FALSE,"",
        IF(ISERROR(VLOOKUP($G75,DanaSehat!$L$13:$AK$14,Q$4,FALSE))=TRUE,"",
              VLOOKUP($G75,DanaSehat!$L$13:$AK$14,Q$4,FALSE)))</t>
  </si>
  <si>
    <t>=IF(ISNUMBER($L$6)=FALSE,"",
        IF(ISERROR(VLOOKUP($G75,DanaSehat!$L$13:$AK$14,R$4,FALSE))=TRUE,"",
              VLOOKUP($G75,DanaSehat!$L$13:$AK$14,R$4,FALSE)))</t>
  </si>
  <si>
    <t>=IF(ISNUMBER($L$6)=FALSE,"",
        IF(ISERROR(VLOOKUP($G75,DanaSehat!$L$13:$AK$14,S$4,FALSE))=TRUE,"",
              VLOOKUP($G75,DanaSehat!$L$13:$AK$14,S$4,FALSE)))</t>
  </si>
  <si>
    <t>=IF(ISNUMBER($L$6)=FALSE,"",
        IF(ISERROR(VLOOKUP($G75,DanaSehat!$L$13:$AK$14,T$4,FALSE))=TRUE,"",
              VLOOKUP($G75,DanaSehat!$L$13:$AK$14,T$4,FALSE)))</t>
  </si>
  <si>
    <t>=IF(ISNUMBER($L$6)=FALSE,"",
        IF(ISERROR(VLOOKUP($G75,DanaSehat!$L$13:$AK$14,U$4,FALSE))=TRUE,"",
              VLOOKUP($G75,DanaSehat!$L$13:$AK$14,U$4,FALSE)))</t>
  </si>
  <si>
    <t>=IF(ISNUMBER($L$6)=FALSE,"",
        IF(ISERROR(VLOOKUP($G75,DanaSehat!$L$13:$AK$14,V$4,FALSE))=TRUE,"",
              VLOOKUP($G75,DanaSehat!$L$13:$AK$14,V$4,FALSE)))</t>
  </si>
  <si>
    <t>=IF(ISNUMBER($L$6)=FALSE,"",
        IF(ISERROR(VLOOKUP($G75,DanaSehat!$L$13:$AK$14,W$4,FALSE))=TRUE,"",
              VLOOKUP($G75,DanaSehat!$L$13:$AK$14,W$4,FALSE)))</t>
  </si>
  <si>
    <t>=IF(ISNUMBER($L$6)=FALSE,"",
        IF(ISERROR(VLOOKUP($G75,DanaSehat!$L$13:$AK$14,X$4,FALSE))=TRUE,"",
              VLOOKUP($G75,DanaSehat!$L$13:$AK$14,X$4,FALSE)))</t>
  </si>
  <si>
    <t>=IF(ISNUMBER($L$6)=FALSE,"",
        IF(ISERROR(VLOOKUP($G75,DanaSehat!$L$13:$AK$14,Y$4,FALSE))=TRUE,"",
              VLOOKUP($G75,DanaSehat!$L$13:$AK$14,Y$4,FALSE)))</t>
  </si>
  <si>
    <t>=IF(ISNUMBER($L$6)=FALSE,"",
        IF(ISERROR(VLOOKUP($G75,DanaSehat!$L$13:$AK$14,Z$4,FALSE))=TRUE,"",
              VLOOKUP($G75,DanaSehat!$L$13:$AK$14,Z$4,FALSE)))</t>
  </si>
  <si>
    <t>=IF(ISNUMBER($L$6)=FALSE,"",
        IF(ISERROR(VLOOKUP($G75,DanaSehat!$L$13:$AK$14,AA$4,FALSE))=TRUE,"",
              VLOOKUP($G75,DanaSehat!$L$13:$AK$14,AA$4,FALSE)))</t>
  </si>
  <si>
    <t>=IF(ISNUMBER($L$6)=FALSE,"",
        IF(ISERROR(VLOOKUP($G75,DanaSehat!$L$13:$AK$14,AB$4,FALSE))=TRUE,"",
              VLOOKUP($G75,DanaSehat!$L$13:$AK$14,AB$4,FALSE)))</t>
  </si>
  <si>
    <t>=IF(ISNUMBER($L$6)=FALSE,"",
        IF(ISERROR(VLOOKUP($G75,DanaSehat!$L$13:$AK$14,AC$4,FALSE))=TRUE,"",
              VLOOKUP($G75,DanaSehat!$L$13:$AK$14,AC$4,FALSE)))</t>
  </si>
  <si>
    <t>=IF(ISNUMBER($L$6)=FALSE,"",
        IF(ISERROR(VLOOKUP($G75,DanaSehat!$L$13:$AK$14,AD$4,FALSE))=TRUE,"",
              VLOOKUP($G75,DanaSehat!$L$13:$AK$14,AD$4,FALSE)))</t>
  </si>
  <si>
    <t>=IF(ISNUMBER($L$6)=FALSE,"",
        IF(ISERROR(VLOOKUP($G75,DanaSehat!$L$13:$AK$14,AE$4,FALSE))=TRUE,"",
              VLOOKUP($G75,DanaSehat!$L$13:$AK$14,AE$4,FALSE)))</t>
  </si>
  <si>
    <t>=IF(ISNUMBER($L$6)=FALSE,"",
        IF(ISERROR(VLOOKUP($G75,DanaSehat!$L$13:$AK$14,AF$4,FALSE))=TRUE,"",
              VLOOKUP($G75,DanaSehat!$L$13:$AK$14,AF$4,FALSE)))</t>
  </si>
  <si>
    <t>=IF($C75=$C$4,0,
       IF($C75=0,0,$C75+1))</t>
  </si>
  <si>
    <t>=IF(ISNUMBER($L$6)=FALSE,"",
IF($C76=0,"",$C76))</t>
  </si>
  <si>
    <t>=IF(ISNUMBER($L$6)=FALSE,"",
IF($C76=0,"",VLOOKUP($E76,DanaSehat!$H$13:$L$14,4,FALSE)))</t>
  </si>
  <si>
    <t>=IF(ISNUMBER($L$6)=FALSE,"",
IF($C76=0,"",VLOOKUP($E76,DanaSehat!$H$13:$L$14,5,FALSE)))</t>
  </si>
  <si>
    <t>=IF(ISNUMBER($L$6)=FALSE,"",
IF($C76=0,"",SUM(I76:AF76)))</t>
  </si>
  <si>
    <t>=IF(ISNUMBER($L$6)=FALSE,"",
        IF(ISERROR(VLOOKUP($G76,DanaSehat!$L$13:$AK$14,I$4,FALSE))=TRUE,"",
              VLOOKUP($G76,DanaSehat!$L$13:$AK$14,I$4,FALSE)))</t>
  </si>
  <si>
    <t>=IF(ISNUMBER($L$6)=FALSE,"",
        IF(ISERROR(VLOOKUP($G76,DanaSehat!$L$13:$AK$14,J$4,FALSE))=TRUE,"",
              VLOOKUP($G76,DanaSehat!$L$13:$AK$14,J$4,FALSE)))</t>
  </si>
  <si>
    <t>=IF(ISNUMBER($L$6)=FALSE,"",
        IF(ISERROR(VLOOKUP($G76,DanaSehat!$L$13:$AK$14,K$4,FALSE))=TRUE,"",
              VLOOKUP($G76,DanaSehat!$L$13:$AK$14,K$4,FALSE)))</t>
  </si>
  <si>
    <t>=IF(ISNUMBER($L$6)=FALSE,"",
        IF(ISERROR(VLOOKUP($G76,DanaSehat!$L$13:$AK$14,L$4,FALSE))=TRUE,"",
              VLOOKUP($G76,DanaSehat!$L$13:$AK$14,L$4,FALSE)))</t>
  </si>
  <si>
    <t>=IF(ISNUMBER($L$6)=FALSE,"",
        IF(ISERROR(VLOOKUP($G76,DanaSehat!$L$13:$AK$14,M$4,FALSE))=TRUE,"",
              VLOOKUP($G76,DanaSehat!$L$13:$AK$14,M$4,FALSE)))</t>
  </si>
  <si>
    <t>=IF(ISNUMBER($L$6)=FALSE,"",
        IF(ISERROR(VLOOKUP($G76,DanaSehat!$L$13:$AK$14,N$4,FALSE))=TRUE,"",
              VLOOKUP($G76,DanaSehat!$L$13:$AK$14,N$4,FALSE)))</t>
  </si>
  <si>
    <t>=IF(ISNUMBER($L$6)=FALSE,"",
        IF(ISERROR(VLOOKUP($G76,DanaSehat!$L$13:$AK$14,O$4,FALSE))=TRUE,"",
              VLOOKUP($G76,DanaSehat!$L$13:$AK$14,O$4,FALSE)))</t>
  </si>
  <si>
    <t>=IF(ISNUMBER($L$6)=FALSE,"",
        IF(ISERROR(VLOOKUP($G76,DanaSehat!$L$13:$AK$14,P$4,FALSE))=TRUE,"",
              VLOOKUP($G76,DanaSehat!$L$13:$AK$14,P$4,FALSE)))</t>
  </si>
  <si>
    <t>=IF(ISNUMBER($L$6)=FALSE,"",
        IF(ISERROR(VLOOKUP($G76,DanaSehat!$L$13:$AK$14,Q$4,FALSE))=TRUE,"",
              VLOOKUP($G76,DanaSehat!$L$13:$AK$14,Q$4,FALSE)))</t>
  </si>
  <si>
    <t>=IF(ISNUMBER($L$6)=FALSE,"",
        IF(ISERROR(VLOOKUP($G76,DanaSehat!$L$13:$AK$14,R$4,FALSE))=TRUE,"",
              VLOOKUP($G76,DanaSehat!$L$13:$AK$14,R$4,FALSE)))</t>
  </si>
  <si>
    <t>=IF(ISNUMBER($L$6)=FALSE,"",
        IF(ISERROR(VLOOKUP($G76,DanaSehat!$L$13:$AK$14,S$4,FALSE))=TRUE,"",
              VLOOKUP($G76,DanaSehat!$L$13:$AK$14,S$4,FALSE)))</t>
  </si>
  <si>
    <t>=IF(ISNUMBER($L$6)=FALSE,"",
        IF(ISERROR(VLOOKUP($G76,DanaSehat!$L$13:$AK$14,T$4,FALSE))=TRUE,"",
              VLOOKUP($G76,DanaSehat!$L$13:$AK$14,T$4,FALSE)))</t>
  </si>
  <si>
    <t>=IF(ISNUMBER($L$6)=FALSE,"",
        IF(ISERROR(VLOOKUP($G76,DanaSehat!$L$13:$AK$14,U$4,FALSE))=TRUE,"",
              VLOOKUP($G76,DanaSehat!$L$13:$AK$14,U$4,FALSE)))</t>
  </si>
  <si>
    <t>=IF(ISNUMBER($L$6)=FALSE,"",
        IF(ISERROR(VLOOKUP($G76,DanaSehat!$L$13:$AK$14,V$4,FALSE))=TRUE,"",
              VLOOKUP($G76,DanaSehat!$L$13:$AK$14,V$4,FALSE)))</t>
  </si>
  <si>
    <t>=IF(ISNUMBER($L$6)=FALSE,"",
        IF(ISERROR(VLOOKUP($G76,DanaSehat!$L$13:$AK$14,W$4,FALSE))=TRUE,"",
              VLOOKUP($G76,DanaSehat!$L$13:$AK$14,W$4,FALSE)))</t>
  </si>
  <si>
    <t>=IF(ISNUMBER($L$6)=FALSE,"",
        IF(ISERROR(VLOOKUP($G76,DanaSehat!$L$13:$AK$14,X$4,FALSE))=TRUE,"",
              VLOOKUP($G76,DanaSehat!$L$13:$AK$14,X$4,FALSE)))</t>
  </si>
  <si>
    <t>=IF(ISNUMBER($L$6)=FALSE,"",
        IF(ISERROR(VLOOKUP($G76,DanaSehat!$L$13:$AK$14,Y$4,FALSE))=TRUE,"",
              VLOOKUP($G76,DanaSehat!$L$13:$AK$14,Y$4,FALSE)))</t>
  </si>
  <si>
    <t>=IF(ISNUMBER($L$6)=FALSE,"",
        IF(ISERROR(VLOOKUP($G76,DanaSehat!$L$13:$AK$14,Z$4,FALSE))=TRUE,"",
              VLOOKUP($G76,DanaSehat!$L$13:$AK$14,Z$4,FALSE)))</t>
  </si>
  <si>
    <t>=IF(ISNUMBER($L$6)=FALSE,"",
        IF(ISERROR(VLOOKUP($G76,DanaSehat!$L$13:$AK$14,AA$4,FALSE))=TRUE,"",
              VLOOKUP($G76,DanaSehat!$L$13:$AK$14,AA$4,FALSE)))</t>
  </si>
  <si>
    <t>=IF(ISNUMBER($L$6)=FALSE,"",
        IF(ISERROR(VLOOKUP($G76,DanaSehat!$L$13:$AK$14,AB$4,FALSE))=TRUE,"",
              VLOOKUP($G76,DanaSehat!$L$13:$AK$14,AB$4,FALSE)))</t>
  </si>
  <si>
    <t>=IF(ISNUMBER($L$6)=FALSE,"",
        IF(ISERROR(VLOOKUP($G76,DanaSehat!$L$13:$AK$14,AC$4,FALSE))=TRUE,"",
              VLOOKUP($G76,DanaSehat!$L$13:$AK$14,AC$4,FALSE)))</t>
  </si>
  <si>
    <t>=IF(ISNUMBER($L$6)=FALSE,"",
        IF(ISERROR(VLOOKUP($G76,DanaSehat!$L$13:$AK$14,AD$4,FALSE))=TRUE,"",
              VLOOKUP($G76,DanaSehat!$L$13:$AK$14,AD$4,FALSE)))</t>
  </si>
  <si>
    <t>=IF(ISNUMBER($L$6)=FALSE,"",
        IF(ISERROR(VLOOKUP($G76,DanaSehat!$L$13:$AK$14,AE$4,FALSE))=TRUE,"",
              VLOOKUP($G76,DanaSehat!$L$13:$AK$14,AE$4,FALSE)))</t>
  </si>
  <si>
    <t>=IF(ISNUMBER($L$6)=FALSE,"",
        IF(ISERROR(VLOOKUP($G76,DanaSehat!$L$13:$AK$14,AF$4,FALSE))=TRUE,"",
              VLOOKUP($G76,DanaSehat!$L$13:$AK$14,AF$4,FALSE)))</t>
  </si>
  <si>
    <t>=IF($C76=$C$4,0,
       IF($C76=0,0,$C76+1))</t>
  </si>
  <si>
    <t>=IF(ISNUMBER($L$6)=FALSE,"",
IF($C77=0,"",$C77))</t>
  </si>
  <si>
    <t>=IF(ISNUMBER($L$6)=FALSE,"",
IF($C77=0,"",VLOOKUP($E77,DanaSehat!$H$13:$L$14,4,FALSE)))</t>
  </si>
  <si>
    <t>=IF(ISNUMBER($L$6)=FALSE,"",
IF($C77=0,"",VLOOKUP($E77,DanaSehat!$H$13:$L$14,5,FALSE)))</t>
  </si>
  <si>
    <t>=IF(ISNUMBER($L$6)=FALSE,"",
IF($C77=0,"",SUM(I77:AF77)))</t>
  </si>
  <si>
    <t>=IF(ISNUMBER($L$6)=FALSE,"",
        IF(ISERROR(VLOOKUP($G77,DanaSehat!$L$13:$AK$14,I$4,FALSE))=TRUE,"",
              VLOOKUP($G77,DanaSehat!$L$13:$AK$14,I$4,FALSE)))</t>
  </si>
  <si>
    <t>=IF(ISNUMBER($L$6)=FALSE,"",
        IF(ISERROR(VLOOKUP($G77,DanaSehat!$L$13:$AK$14,J$4,FALSE))=TRUE,"",
              VLOOKUP($G77,DanaSehat!$L$13:$AK$14,J$4,FALSE)))</t>
  </si>
  <si>
    <t>=IF(ISNUMBER($L$6)=FALSE,"",
        IF(ISERROR(VLOOKUP($G77,DanaSehat!$L$13:$AK$14,K$4,FALSE))=TRUE,"",
              VLOOKUP($G77,DanaSehat!$L$13:$AK$14,K$4,FALSE)))</t>
  </si>
  <si>
    <t>=IF(ISNUMBER($L$6)=FALSE,"",
        IF(ISERROR(VLOOKUP($G77,DanaSehat!$L$13:$AK$14,L$4,FALSE))=TRUE,"",
              VLOOKUP($G77,DanaSehat!$L$13:$AK$14,L$4,FALSE)))</t>
  </si>
  <si>
    <t>=IF(ISNUMBER($L$6)=FALSE,"",
        IF(ISERROR(VLOOKUP($G77,DanaSehat!$L$13:$AK$14,M$4,FALSE))=TRUE,"",
              VLOOKUP($G77,DanaSehat!$L$13:$AK$14,M$4,FALSE)))</t>
  </si>
  <si>
    <t>=IF(ISNUMBER($L$6)=FALSE,"",
        IF(ISERROR(VLOOKUP($G77,DanaSehat!$L$13:$AK$14,N$4,FALSE))=TRUE,"",
              VLOOKUP($G77,DanaSehat!$L$13:$AK$14,N$4,FALSE)))</t>
  </si>
  <si>
    <t>=IF(ISNUMBER($L$6)=FALSE,"",
        IF(ISERROR(VLOOKUP($G77,DanaSehat!$L$13:$AK$14,O$4,FALSE))=TRUE,"",
              VLOOKUP($G77,DanaSehat!$L$13:$AK$14,O$4,FALSE)))</t>
  </si>
  <si>
    <t>=IF(ISNUMBER($L$6)=FALSE,"",
        IF(ISERROR(VLOOKUP($G77,DanaSehat!$L$13:$AK$14,P$4,FALSE))=TRUE,"",
              VLOOKUP($G77,DanaSehat!$L$13:$AK$14,P$4,FALSE)))</t>
  </si>
  <si>
    <t>=IF(ISNUMBER($L$6)=FALSE,"",
        IF(ISERROR(VLOOKUP($G77,DanaSehat!$L$13:$AK$14,Q$4,FALSE))=TRUE,"",
              VLOOKUP($G77,DanaSehat!$L$13:$AK$14,Q$4,FALSE)))</t>
  </si>
  <si>
    <t>=IF(ISNUMBER($L$6)=FALSE,"",
        IF(ISERROR(VLOOKUP($G77,DanaSehat!$L$13:$AK$14,R$4,FALSE))=TRUE,"",
              VLOOKUP($G77,DanaSehat!$L$13:$AK$14,R$4,FALSE)))</t>
  </si>
  <si>
    <t>=IF(ISNUMBER($L$6)=FALSE,"",
        IF(ISERROR(VLOOKUP($G77,DanaSehat!$L$13:$AK$14,S$4,FALSE))=TRUE,"",
              VLOOKUP($G77,DanaSehat!$L$13:$AK$14,S$4,FALSE)))</t>
  </si>
  <si>
    <t>=IF(ISNUMBER($L$6)=FALSE,"",
        IF(ISERROR(VLOOKUP($G77,DanaSehat!$L$13:$AK$14,T$4,FALSE))=TRUE,"",
              VLOOKUP($G77,DanaSehat!$L$13:$AK$14,T$4,FALSE)))</t>
  </si>
  <si>
    <t>=IF(ISNUMBER($L$6)=FALSE,"",
        IF(ISERROR(VLOOKUP($G77,DanaSehat!$L$13:$AK$14,U$4,FALSE))=TRUE,"",
              VLOOKUP($G77,DanaSehat!$L$13:$AK$14,U$4,FALSE)))</t>
  </si>
  <si>
    <t>=IF(ISNUMBER($L$6)=FALSE,"",
        IF(ISERROR(VLOOKUP($G77,DanaSehat!$L$13:$AK$14,V$4,FALSE))=TRUE,"",
              VLOOKUP($G77,DanaSehat!$L$13:$AK$14,V$4,FALSE)))</t>
  </si>
  <si>
    <t>=IF(ISNUMBER($L$6)=FALSE,"",
        IF(ISERROR(VLOOKUP($G77,DanaSehat!$L$13:$AK$14,W$4,FALSE))=TRUE,"",
              VLOOKUP($G77,DanaSehat!$L$13:$AK$14,W$4,FALSE)))</t>
  </si>
  <si>
    <t>=IF(ISNUMBER($L$6)=FALSE,"",
        IF(ISERROR(VLOOKUP($G77,DanaSehat!$L$13:$AK$14,X$4,FALSE))=TRUE,"",
              VLOOKUP($G77,DanaSehat!$L$13:$AK$14,X$4,FALSE)))</t>
  </si>
  <si>
    <t>=IF(ISNUMBER($L$6)=FALSE,"",
        IF(ISERROR(VLOOKUP($G77,DanaSehat!$L$13:$AK$14,Y$4,FALSE))=TRUE,"",
              VLOOKUP($G77,DanaSehat!$L$13:$AK$14,Y$4,FALSE)))</t>
  </si>
  <si>
    <t>=IF(ISNUMBER($L$6)=FALSE,"",
        IF(ISERROR(VLOOKUP($G77,DanaSehat!$L$13:$AK$14,Z$4,FALSE))=TRUE,"",
              VLOOKUP($G77,DanaSehat!$L$13:$AK$14,Z$4,FALSE)))</t>
  </si>
  <si>
    <t>=IF(ISNUMBER($L$6)=FALSE,"",
        IF(ISERROR(VLOOKUP($G77,DanaSehat!$L$13:$AK$14,AA$4,FALSE))=TRUE,"",
              VLOOKUP($G77,DanaSehat!$L$13:$AK$14,AA$4,FALSE)))</t>
  </si>
  <si>
    <t>=IF(ISNUMBER($L$6)=FALSE,"",
        IF(ISERROR(VLOOKUP($G77,DanaSehat!$L$13:$AK$14,AB$4,FALSE))=TRUE,"",
              VLOOKUP($G77,DanaSehat!$L$13:$AK$14,AB$4,FALSE)))</t>
  </si>
  <si>
    <t>=IF(ISNUMBER($L$6)=FALSE,"",
        IF(ISERROR(VLOOKUP($G77,DanaSehat!$L$13:$AK$14,AC$4,FALSE))=TRUE,"",
              VLOOKUP($G77,DanaSehat!$L$13:$AK$14,AC$4,FALSE)))</t>
  </si>
  <si>
    <t>=IF(ISNUMBER($L$6)=FALSE,"",
        IF(ISERROR(VLOOKUP($G77,DanaSehat!$L$13:$AK$14,AD$4,FALSE))=TRUE,"",
              VLOOKUP($G77,DanaSehat!$L$13:$AK$14,AD$4,FALSE)))</t>
  </si>
  <si>
    <t>=IF(ISNUMBER($L$6)=FALSE,"",
        IF(ISERROR(VLOOKUP($G77,DanaSehat!$L$13:$AK$14,AE$4,FALSE))=TRUE,"",
              VLOOKUP($G77,DanaSehat!$L$13:$AK$14,AE$4,FALSE)))</t>
  </si>
  <si>
    <t>=IF(ISNUMBER($L$6)=FALSE,"",
        IF(ISERROR(VLOOKUP($G77,DanaSehat!$L$13:$AK$14,AF$4,FALSE))=TRUE,"",
              VLOOKUP($G77,DanaSehat!$L$13:$AK$14,AF$4,FALSE)))</t>
  </si>
  <si>
    <t>=IF($C77=$C$4,0,
       IF($C77=0,0,$C77+1))</t>
  </si>
  <si>
    <t>=IF(ISNUMBER($L$6)=FALSE,"",
IF($C78=0,"",$C78))</t>
  </si>
  <si>
    <t>=IF(ISNUMBER($L$6)=FALSE,"",
IF($C78=0,"",VLOOKUP($E78,DanaSehat!$H$13:$L$14,4,FALSE)))</t>
  </si>
  <si>
    <t>=IF(ISNUMBER($L$6)=FALSE,"",
IF($C78=0,"",VLOOKUP($E78,DanaSehat!$H$13:$L$14,5,FALSE)))</t>
  </si>
  <si>
    <t>=IF(ISNUMBER($L$6)=FALSE,"",
IF($C78=0,"",SUM(I78:AF78)))</t>
  </si>
  <si>
    <t>=IF(ISNUMBER($L$6)=FALSE,"",
        IF(ISERROR(VLOOKUP($G78,DanaSehat!$L$13:$AK$14,I$4,FALSE))=TRUE,"",
              VLOOKUP($G78,DanaSehat!$L$13:$AK$14,I$4,FALSE)))</t>
  </si>
  <si>
    <t>=IF(ISNUMBER($L$6)=FALSE,"",
        IF(ISERROR(VLOOKUP($G78,DanaSehat!$L$13:$AK$14,J$4,FALSE))=TRUE,"",
              VLOOKUP($G78,DanaSehat!$L$13:$AK$14,J$4,FALSE)))</t>
  </si>
  <si>
    <t>=IF(ISNUMBER($L$6)=FALSE,"",
        IF(ISERROR(VLOOKUP($G78,DanaSehat!$L$13:$AK$14,K$4,FALSE))=TRUE,"",
              VLOOKUP($G78,DanaSehat!$L$13:$AK$14,K$4,FALSE)))</t>
  </si>
  <si>
    <t>=IF(ISNUMBER($L$6)=FALSE,"",
        IF(ISERROR(VLOOKUP($G78,DanaSehat!$L$13:$AK$14,L$4,FALSE))=TRUE,"",
              VLOOKUP($G78,DanaSehat!$L$13:$AK$14,L$4,FALSE)))</t>
  </si>
  <si>
    <t>=IF(ISNUMBER($L$6)=FALSE,"",
        IF(ISERROR(VLOOKUP($G78,DanaSehat!$L$13:$AK$14,M$4,FALSE))=TRUE,"",
              VLOOKUP($G78,DanaSehat!$L$13:$AK$14,M$4,FALSE)))</t>
  </si>
  <si>
    <t>=IF(ISNUMBER($L$6)=FALSE,"",
        IF(ISERROR(VLOOKUP($G78,DanaSehat!$L$13:$AK$14,N$4,FALSE))=TRUE,"",
              VLOOKUP($G78,DanaSehat!$L$13:$AK$14,N$4,FALSE)))</t>
  </si>
  <si>
    <t>=IF(ISNUMBER($L$6)=FALSE,"",
        IF(ISERROR(VLOOKUP($G78,DanaSehat!$L$13:$AK$14,O$4,FALSE))=TRUE,"",
              VLOOKUP($G78,DanaSehat!$L$13:$AK$14,O$4,FALSE)))</t>
  </si>
  <si>
    <t>=IF(ISNUMBER($L$6)=FALSE,"",
        IF(ISERROR(VLOOKUP($G78,DanaSehat!$L$13:$AK$14,P$4,FALSE))=TRUE,"",
              VLOOKUP($G78,DanaSehat!$L$13:$AK$14,P$4,FALSE)))</t>
  </si>
  <si>
    <t>=IF(ISNUMBER($L$6)=FALSE,"",
        IF(ISERROR(VLOOKUP($G78,DanaSehat!$L$13:$AK$14,Q$4,FALSE))=TRUE,"",
              VLOOKUP($G78,DanaSehat!$L$13:$AK$14,Q$4,FALSE)))</t>
  </si>
  <si>
    <t>=IF(ISNUMBER($L$6)=FALSE,"",
        IF(ISERROR(VLOOKUP($G78,DanaSehat!$L$13:$AK$14,R$4,FALSE))=TRUE,"",
              VLOOKUP($G78,DanaSehat!$L$13:$AK$14,R$4,FALSE)))</t>
  </si>
  <si>
    <t>=IF(ISNUMBER($L$6)=FALSE,"",
        IF(ISERROR(VLOOKUP($G78,DanaSehat!$L$13:$AK$14,S$4,FALSE))=TRUE,"",
              VLOOKUP($G78,DanaSehat!$L$13:$AK$14,S$4,FALSE)))</t>
  </si>
  <si>
    <t>=IF(ISNUMBER($L$6)=FALSE,"",
        IF(ISERROR(VLOOKUP($G78,DanaSehat!$L$13:$AK$14,T$4,FALSE))=TRUE,"",
              VLOOKUP($G78,DanaSehat!$L$13:$AK$14,T$4,FALSE)))</t>
  </si>
  <si>
    <t>=IF(ISNUMBER($L$6)=FALSE,"",
        IF(ISERROR(VLOOKUP($G78,DanaSehat!$L$13:$AK$14,U$4,FALSE))=TRUE,"",
              VLOOKUP($G78,DanaSehat!$L$13:$AK$14,U$4,FALSE)))</t>
  </si>
  <si>
    <t>=IF(ISNUMBER($L$6)=FALSE,"",
        IF(ISERROR(VLOOKUP($G78,DanaSehat!$L$13:$AK$14,V$4,FALSE))=TRUE,"",
              VLOOKUP($G78,DanaSehat!$L$13:$AK$14,V$4,FALSE)))</t>
  </si>
  <si>
    <t>=IF(ISNUMBER($L$6)=FALSE,"",
        IF(ISERROR(VLOOKUP($G78,DanaSehat!$L$13:$AK$14,W$4,FALSE))=TRUE,"",
              VLOOKUP($G78,DanaSehat!$L$13:$AK$14,W$4,FALSE)))</t>
  </si>
  <si>
    <t>=IF(ISNUMBER($L$6)=FALSE,"",
        IF(ISERROR(VLOOKUP($G78,DanaSehat!$L$13:$AK$14,X$4,FALSE))=TRUE,"",
              VLOOKUP($G78,DanaSehat!$L$13:$AK$14,X$4,FALSE)))</t>
  </si>
  <si>
    <t>=IF(ISNUMBER($L$6)=FALSE,"",
        IF(ISERROR(VLOOKUP($G78,DanaSehat!$L$13:$AK$14,Y$4,FALSE))=TRUE,"",
              VLOOKUP($G78,DanaSehat!$L$13:$AK$14,Y$4,FALSE)))</t>
  </si>
  <si>
    <t>=IF(ISNUMBER($L$6)=FALSE,"",
        IF(ISERROR(VLOOKUP($G78,DanaSehat!$L$13:$AK$14,Z$4,FALSE))=TRUE,"",
              VLOOKUP($G78,DanaSehat!$L$13:$AK$14,Z$4,FALSE)))</t>
  </si>
  <si>
    <t>=IF(ISNUMBER($L$6)=FALSE,"",
        IF(ISERROR(VLOOKUP($G78,DanaSehat!$L$13:$AK$14,AA$4,FALSE))=TRUE,"",
              VLOOKUP($G78,DanaSehat!$L$13:$AK$14,AA$4,FALSE)))</t>
  </si>
  <si>
    <t>=IF(ISNUMBER($L$6)=FALSE,"",
        IF(ISERROR(VLOOKUP($G78,DanaSehat!$L$13:$AK$14,AB$4,FALSE))=TRUE,"",
              VLOOKUP($G78,DanaSehat!$L$13:$AK$14,AB$4,FALSE)))</t>
  </si>
  <si>
    <t>=IF(ISNUMBER($L$6)=FALSE,"",
        IF(ISERROR(VLOOKUP($G78,DanaSehat!$L$13:$AK$14,AC$4,FALSE))=TRUE,"",
              VLOOKUP($G78,DanaSehat!$L$13:$AK$14,AC$4,FALSE)))</t>
  </si>
  <si>
    <t>=IF(ISNUMBER($L$6)=FALSE,"",
        IF(ISERROR(VLOOKUP($G78,DanaSehat!$L$13:$AK$14,AD$4,FALSE))=TRUE,"",
              VLOOKUP($G78,DanaSehat!$L$13:$AK$14,AD$4,FALSE)))</t>
  </si>
  <si>
    <t>=IF(ISNUMBER($L$6)=FALSE,"",
        IF(ISERROR(VLOOKUP($G78,DanaSehat!$L$13:$AK$14,AE$4,FALSE))=TRUE,"",
              VLOOKUP($G78,DanaSehat!$L$13:$AK$14,AE$4,FALSE)))</t>
  </si>
  <si>
    <t>=IF(ISNUMBER($L$6)=FALSE,"",
        IF(ISERROR(VLOOKUP($G78,DanaSehat!$L$13:$AK$14,AF$4,FALSE))=TRUE,"",
              VLOOKUP($G78,DanaSehat!$L$13:$AK$14,AF$4,FALSE)))</t>
  </si>
  <si>
    <t>=IF($C78=$C$4,0,
       IF($C78=0,0,$C78+1))</t>
  </si>
  <si>
    <t>=IF(ISNUMBER($L$6)=FALSE,"",
IF($C79=0,"",$C79))</t>
  </si>
  <si>
    <t>=IF(ISNUMBER($L$6)=FALSE,"",
IF($C79=0,"",VLOOKUP($E79,DanaSehat!$H$13:$L$14,4,FALSE)))</t>
  </si>
  <si>
    <t>=IF(ISNUMBER($L$6)=FALSE,"",
IF($C79=0,"",VLOOKUP($E79,DanaSehat!$H$13:$L$14,5,FALSE)))</t>
  </si>
  <si>
    <t>=IF(ISNUMBER($L$6)=FALSE,"",
IF($C79=0,"",SUM(I79:AF79)))</t>
  </si>
  <si>
    <t>=IF(ISNUMBER($L$6)=FALSE,"",
        IF(ISERROR(VLOOKUP($G79,DanaSehat!$L$13:$AK$14,I$4,FALSE))=TRUE,"",
              VLOOKUP($G79,DanaSehat!$L$13:$AK$14,I$4,FALSE)))</t>
  </si>
  <si>
    <t>=IF(ISNUMBER($L$6)=FALSE,"",
        IF(ISERROR(VLOOKUP($G79,DanaSehat!$L$13:$AK$14,J$4,FALSE))=TRUE,"",
              VLOOKUP($G79,DanaSehat!$L$13:$AK$14,J$4,FALSE)))</t>
  </si>
  <si>
    <t>=IF(ISNUMBER($L$6)=FALSE,"",
        IF(ISERROR(VLOOKUP($G79,DanaSehat!$L$13:$AK$14,K$4,FALSE))=TRUE,"",
              VLOOKUP($G79,DanaSehat!$L$13:$AK$14,K$4,FALSE)))</t>
  </si>
  <si>
    <t>=IF(ISNUMBER($L$6)=FALSE,"",
        IF(ISERROR(VLOOKUP($G79,DanaSehat!$L$13:$AK$14,L$4,FALSE))=TRUE,"",
              VLOOKUP($G79,DanaSehat!$L$13:$AK$14,L$4,FALSE)))</t>
  </si>
  <si>
    <t>=IF(ISNUMBER($L$6)=FALSE,"",
        IF(ISERROR(VLOOKUP($G79,DanaSehat!$L$13:$AK$14,M$4,FALSE))=TRUE,"",
              VLOOKUP($G79,DanaSehat!$L$13:$AK$14,M$4,FALSE)))</t>
  </si>
  <si>
    <t>=IF(ISNUMBER($L$6)=FALSE,"",
        IF(ISERROR(VLOOKUP($G79,DanaSehat!$L$13:$AK$14,N$4,FALSE))=TRUE,"",
              VLOOKUP($G79,DanaSehat!$L$13:$AK$14,N$4,FALSE)))</t>
  </si>
  <si>
    <t>=IF(ISNUMBER($L$6)=FALSE,"",
        IF(ISERROR(VLOOKUP($G79,DanaSehat!$L$13:$AK$14,O$4,FALSE))=TRUE,"",
              VLOOKUP($G79,DanaSehat!$L$13:$AK$14,O$4,FALSE)))</t>
  </si>
  <si>
    <t>=IF(ISNUMBER($L$6)=FALSE,"",
        IF(ISERROR(VLOOKUP($G79,DanaSehat!$L$13:$AK$14,P$4,FALSE))=TRUE,"",
              VLOOKUP($G79,DanaSehat!$L$13:$AK$14,P$4,FALSE)))</t>
  </si>
  <si>
    <t>=IF(ISNUMBER($L$6)=FALSE,"",
        IF(ISERROR(VLOOKUP($G79,DanaSehat!$L$13:$AK$14,Q$4,FALSE))=TRUE,"",
              VLOOKUP($G79,DanaSehat!$L$13:$AK$14,Q$4,FALSE)))</t>
  </si>
  <si>
    <t>=IF(ISNUMBER($L$6)=FALSE,"",
        IF(ISERROR(VLOOKUP($G79,DanaSehat!$L$13:$AK$14,R$4,FALSE))=TRUE,"",
              VLOOKUP($G79,DanaSehat!$L$13:$AK$14,R$4,FALSE)))</t>
  </si>
  <si>
    <t>=IF(ISNUMBER($L$6)=FALSE,"",
        IF(ISERROR(VLOOKUP($G79,DanaSehat!$L$13:$AK$14,S$4,FALSE))=TRUE,"",
              VLOOKUP($G79,DanaSehat!$L$13:$AK$14,S$4,FALSE)))</t>
  </si>
  <si>
    <t>=IF(ISNUMBER($L$6)=FALSE,"",
        IF(ISERROR(VLOOKUP($G79,DanaSehat!$L$13:$AK$14,T$4,FALSE))=TRUE,"",
              VLOOKUP($G79,DanaSehat!$L$13:$AK$14,T$4,FALSE)))</t>
  </si>
  <si>
    <t>=IF(ISNUMBER($L$6)=FALSE,"",
        IF(ISERROR(VLOOKUP($G79,DanaSehat!$L$13:$AK$14,U$4,FALSE))=TRUE,"",
              VLOOKUP($G79,DanaSehat!$L$13:$AK$14,U$4,FALSE)))</t>
  </si>
  <si>
    <t>=IF(ISNUMBER($L$6)=FALSE,"",
        IF(ISERROR(VLOOKUP($G79,DanaSehat!$L$13:$AK$14,V$4,FALSE))=TRUE,"",
              VLOOKUP($G79,DanaSehat!$L$13:$AK$14,V$4,FALSE)))</t>
  </si>
  <si>
    <t>=IF(ISNUMBER($L$6)=FALSE,"",
        IF(ISERROR(VLOOKUP($G79,DanaSehat!$L$13:$AK$14,W$4,FALSE))=TRUE,"",
              VLOOKUP($G79,DanaSehat!$L$13:$AK$14,W$4,FALSE)))</t>
  </si>
  <si>
    <t>=IF(ISNUMBER($L$6)=FALSE,"",
        IF(ISERROR(VLOOKUP($G79,DanaSehat!$L$13:$AK$14,X$4,FALSE))=TRUE,"",
              VLOOKUP($G79,DanaSehat!$L$13:$AK$14,X$4,FALSE)))</t>
  </si>
  <si>
    <t>=IF(ISNUMBER($L$6)=FALSE,"",
        IF(ISERROR(VLOOKUP($G79,DanaSehat!$L$13:$AK$14,Y$4,FALSE))=TRUE,"",
              VLOOKUP($G79,DanaSehat!$L$13:$AK$14,Y$4,FALSE)))</t>
  </si>
  <si>
    <t>=IF(ISNUMBER($L$6)=FALSE,"",
        IF(ISERROR(VLOOKUP($G79,DanaSehat!$L$13:$AK$14,Z$4,FALSE))=TRUE,"",
              VLOOKUP($G79,DanaSehat!$L$13:$AK$14,Z$4,FALSE)))</t>
  </si>
  <si>
    <t>=IF(ISNUMBER($L$6)=FALSE,"",
        IF(ISERROR(VLOOKUP($G79,DanaSehat!$L$13:$AK$14,AA$4,FALSE))=TRUE,"",
              VLOOKUP($G79,DanaSehat!$L$13:$AK$14,AA$4,FALSE)))</t>
  </si>
  <si>
    <t>=IF(ISNUMBER($L$6)=FALSE,"",
        IF(ISERROR(VLOOKUP($G79,DanaSehat!$L$13:$AK$14,AB$4,FALSE))=TRUE,"",
              VLOOKUP($G79,DanaSehat!$L$13:$AK$14,AB$4,FALSE)))</t>
  </si>
  <si>
    <t>=IF(ISNUMBER($L$6)=FALSE,"",
        IF(ISERROR(VLOOKUP($G79,DanaSehat!$L$13:$AK$14,AC$4,FALSE))=TRUE,"",
              VLOOKUP($G79,DanaSehat!$L$13:$AK$14,AC$4,FALSE)))</t>
  </si>
  <si>
    <t>=IF(ISNUMBER($L$6)=FALSE,"",
        IF(ISERROR(VLOOKUP($G79,DanaSehat!$L$13:$AK$14,AD$4,FALSE))=TRUE,"",
              VLOOKUP($G79,DanaSehat!$L$13:$AK$14,AD$4,FALSE)))</t>
  </si>
  <si>
    <t>=IF(ISNUMBER($L$6)=FALSE,"",
        IF(ISERROR(VLOOKUP($G79,DanaSehat!$L$13:$AK$14,AE$4,FALSE))=TRUE,"",
              VLOOKUP($G79,DanaSehat!$L$13:$AK$14,AE$4,FALSE)))</t>
  </si>
  <si>
    <t>=IF(ISNUMBER($L$6)=FALSE,"",
        IF(ISERROR(VLOOKUP($G79,DanaSehat!$L$13:$AK$14,AF$4,FALSE))=TRUE,"",
              VLOOKUP($G79,DanaSehat!$L$13:$AK$14,AF$4,FALSE)))</t>
  </si>
  <si>
    <t>=IF($C79=$C$4,0,
       IF($C79=0,0,$C79+1))</t>
  </si>
  <si>
    <t>=IF(ISNUMBER($L$6)=FALSE,"",
IF($C80=0,"",$C80))</t>
  </si>
  <si>
    <t>=IF(ISNUMBER($L$6)=FALSE,"",
IF($C80=0,"",VLOOKUP($E80,DanaSehat!$H$13:$L$14,4,FALSE)))</t>
  </si>
  <si>
    <t>=IF(ISNUMBER($L$6)=FALSE,"",
IF($C80=0,"",VLOOKUP($E80,DanaSehat!$H$13:$L$14,5,FALSE)))</t>
  </si>
  <si>
    <t>=IF(ISNUMBER($L$6)=FALSE,"",
IF($C80=0,"",SUM(I80:AF80)))</t>
  </si>
  <si>
    <t>=IF(ISNUMBER($L$6)=FALSE,"",
        IF(ISERROR(VLOOKUP($G80,DanaSehat!$L$13:$AK$14,I$4,FALSE))=TRUE,"",
              VLOOKUP($G80,DanaSehat!$L$13:$AK$14,I$4,FALSE)))</t>
  </si>
  <si>
    <t>=IF(ISNUMBER($L$6)=FALSE,"",
        IF(ISERROR(VLOOKUP($G80,DanaSehat!$L$13:$AK$14,J$4,FALSE))=TRUE,"",
              VLOOKUP($G80,DanaSehat!$L$13:$AK$14,J$4,FALSE)))</t>
  </si>
  <si>
    <t>=IF(ISNUMBER($L$6)=FALSE,"",
        IF(ISERROR(VLOOKUP($G80,DanaSehat!$L$13:$AK$14,K$4,FALSE))=TRUE,"",
              VLOOKUP($G80,DanaSehat!$L$13:$AK$14,K$4,FALSE)))</t>
  </si>
  <si>
    <t>=IF(ISNUMBER($L$6)=FALSE,"",
        IF(ISERROR(VLOOKUP($G80,DanaSehat!$L$13:$AK$14,L$4,FALSE))=TRUE,"",
              VLOOKUP($G80,DanaSehat!$L$13:$AK$14,L$4,FALSE)))</t>
  </si>
  <si>
    <t>=IF(ISNUMBER($L$6)=FALSE,"",
        IF(ISERROR(VLOOKUP($G80,DanaSehat!$L$13:$AK$14,M$4,FALSE))=TRUE,"",
              VLOOKUP($G80,DanaSehat!$L$13:$AK$14,M$4,FALSE)))</t>
  </si>
  <si>
    <t>=IF(ISNUMBER($L$6)=FALSE,"",
        IF(ISERROR(VLOOKUP($G80,DanaSehat!$L$13:$AK$14,N$4,FALSE))=TRUE,"",
              VLOOKUP($G80,DanaSehat!$L$13:$AK$14,N$4,FALSE)))</t>
  </si>
  <si>
    <t>=IF(ISNUMBER($L$6)=FALSE,"",
        IF(ISERROR(VLOOKUP($G80,DanaSehat!$L$13:$AK$14,O$4,FALSE))=TRUE,"",
              VLOOKUP($G80,DanaSehat!$L$13:$AK$14,O$4,FALSE)))</t>
  </si>
  <si>
    <t>=IF(ISNUMBER($L$6)=FALSE,"",
        IF(ISERROR(VLOOKUP($G80,DanaSehat!$L$13:$AK$14,P$4,FALSE))=TRUE,"",
              VLOOKUP($G80,DanaSehat!$L$13:$AK$14,P$4,FALSE)))</t>
  </si>
  <si>
    <t>=IF(ISNUMBER($L$6)=FALSE,"",
        IF(ISERROR(VLOOKUP($G80,DanaSehat!$L$13:$AK$14,Q$4,FALSE))=TRUE,"",
              VLOOKUP($G80,DanaSehat!$L$13:$AK$14,Q$4,FALSE)))</t>
  </si>
  <si>
    <t>=IF(ISNUMBER($L$6)=FALSE,"",
        IF(ISERROR(VLOOKUP($G80,DanaSehat!$L$13:$AK$14,R$4,FALSE))=TRUE,"",
              VLOOKUP($G80,DanaSehat!$L$13:$AK$14,R$4,FALSE)))</t>
  </si>
  <si>
    <t>=IF(ISNUMBER($L$6)=FALSE,"",
        IF(ISERROR(VLOOKUP($G80,DanaSehat!$L$13:$AK$14,S$4,FALSE))=TRUE,"",
              VLOOKUP($G80,DanaSehat!$L$13:$AK$14,S$4,FALSE)))</t>
  </si>
  <si>
    <t>=IF(ISNUMBER($L$6)=FALSE,"",
        IF(ISERROR(VLOOKUP($G80,DanaSehat!$L$13:$AK$14,T$4,FALSE))=TRUE,"",
              VLOOKUP($G80,DanaSehat!$L$13:$AK$14,T$4,FALSE)))</t>
  </si>
  <si>
    <t>=IF(ISNUMBER($L$6)=FALSE,"",
        IF(ISERROR(VLOOKUP($G80,DanaSehat!$L$13:$AK$14,U$4,FALSE))=TRUE,"",
              VLOOKUP($G80,DanaSehat!$L$13:$AK$14,U$4,FALSE)))</t>
  </si>
  <si>
    <t>=IF(ISNUMBER($L$6)=FALSE,"",
        IF(ISERROR(VLOOKUP($G80,DanaSehat!$L$13:$AK$14,V$4,FALSE))=TRUE,"",
              VLOOKUP($G80,DanaSehat!$L$13:$AK$14,V$4,FALSE)))</t>
  </si>
  <si>
    <t>=IF(ISNUMBER($L$6)=FALSE,"",
        IF(ISERROR(VLOOKUP($G80,DanaSehat!$L$13:$AK$14,W$4,FALSE))=TRUE,"",
              VLOOKUP($G80,DanaSehat!$L$13:$AK$14,W$4,FALSE)))</t>
  </si>
  <si>
    <t>=IF(ISNUMBER($L$6)=FALSE,"",
        IF(ISERROR(VLOOKUP($G80,DanaSehat!$L$13:$AK$14,X$4,FALSE))=TRUE,"",
              VLOOKUP($G80,DanaSehat!$L$13:$AK$14,X$4,FALSE)))</t>
  </si>
  <si>
    <t>=IF(ISNUMBER($L$6)=FALSE,"",
        IF(ISERROR(VLOOKUP($G80,DanaSehat!$L$13:$AK$14,Y$4,FALSE))=TRUE,"",
              VLOOKUP($G80,DanaSehat!$L$13:$AK$14,Y$4,FALSE)))</t>
  </si>
  <si>
    <t>=IF(ISNUMBER($L$6)=FALSE,"",
        IF(ISERROR(VLOOKUP($G80,DanaSehat!$L$13:$AK$14,Z$4,FALSE))=TRUE,"",
              VLOOKUP($G80,DanaSehat!$L$13:$AK$14,Z$4,FALSE)))</t>
  </si>
  <si>
    <t>=IF(ISNUMBER($L$6)=FALSE,"",
        IF(ISERROR(VLOOKUP($G80,DanaSehat!$L$13:$AK$14,AA$4,FALSE))=TRUE,"",
              VLOOKUP($G80,DanaSehat!$L$13:$AK$14,AA$4,FALSE)))</t>
  </si>
  <si>
    <t>=IF(ISNUMBER($L$6)=FALSE,"",
        IF(ISERROR(VLOOKUP($G80,DanaSehat!$L$13:$AK$14,AB$4,FALSE))=TRUE,"",
              VLOOKUP($G80,DanaSehat!$L$13:$AK$14,AB$4,FALSE)))</t>
  </si>
  <si>
    <t>=IF(ISNUMBER($L$6)=FALSE,"",
        IF(ISERROR(VLOOKUP($G80,DanaSehat!$L$13:$AK$14,AC$4,FALSE))=TRUE,"",
              VLOOKUP($G80,DanaSehat!$L$13:$AK$14,AC$4,FALSE)))</t>
  </si>
  <si>
    <t>=IF(ISNUMBER($L$6)=FALSE,"",
        IF(ISERROR(VLOOKUP($G80,DanaSehat!$L$13:$AK$14,AD$4,FALSE))=TRUE,"",
              VLOOKUP($G80,DanaSehat!$L$13:$AK$14,AD$4,FALSE)))</t>
  </si>
  <si>
    <t>=IF(ISNUMBER($L$6)=FALSE,"",
        IF(ISERROR(VLOOKUP($G80,DanaSehat!$L$13:$AK$14,AE$4,FALSE))=TRUE,"",
              VLOOKUP($G80,DanaSehat!$L$13:$AK$14,AE$4,FALSE)))</t>
  </si>
  <si>
    <t>=IF(ISNUMBER($L$6)=FALSE,"",
        IF(ISERROR(VLOOKUP($G80,DanaSehat!$L$13:$AK$14,AF$4,FALSE))=TRUE,"",
              VLOOKUP($G80,DanaSehat!$L$13:$AK$14,AF$4,FALSE)))</t>
  </si>
  <si>
    <t>=IF($C80=$C$4,0,
       IF($C80=0,0,$C80+1))</t>
  </si>
  <si>
    <t>=IF(ISNUMBER($L$6)=FALSE,"",
IF($C81=0,"",$C81))</t>
  </si>
  <si>
    <t>=IF(ISNUMBER($L$6)=FALSE,"",
IF($C81=0,"",VLOOKUP($E81,DanaSehat!$H$13:$L$14,4,FALSE)))</t>
  </si>
  <si>
    <t>=IF(ISNUMBER($L$6)=FALSE,"",
IF($C81=0,"",VLOOKUP($E81,DanaSehat!$H$13:$L$14,5,FALSE)))</t>
  </si>
  <si>
    <t>=IF(ISNUMBER($L$6)=FALSE,"",
IF($C81=0,"",SUM(I81:AF81)))</t>
  </si>
  <si>
    <t>=IF(ISNUMBER($L$6)=FALSE,"",
        IF(ISERROR(VLOOKUP($G81,DanaSehat!$L$13:$AK$14,I$4,FALSE))=TRUE,"",
              VLOOKUP($G81,DanaSehat!$L$13:$AK$14,I$4,FALSE)))</t>
  </si>
  <si>
    <t>=IF(ISNUMBER($L$6)=FALSE,"",
        IF(ISERROR(VLOOKUP($G81,DanaSehat!$L$13:$AK$14,J$4,FALSE))=TRUE,"",
              VLOOKUP($G81,DanaSehat!$L$13:$AK$14,J$4,FALSE)))</t>
  </si>
  <si>
    <t>=IF(ISNUMBER($L$6)=FALSE,"",
        IF(ISERROR(VLOOKUP($G81,DanaSehat!$L$13:$AK$14,K$4,FALSE))=TRUE,"",
              VLOOKUP($G81,DanaSehat!$L$13:$AK$14,K$4,FALSE)))</t>
  </si>
  <si>
    <t>=IF(ISNUMBER($L$6)=FALSE,"",
        IF(ISERROR(VLOOKUP($G81,DanaSehat!$L$13:$AK$14,L$4,FALSE))=TRUE,"",
              VLOOKUP($G81,DanaSehat!$L$13:$AK$14,L$4,FALSE)))</t>
  </si>
  <si>
    <t>=IF(ISNUMBER($L$6)=FALSE,"",
        IF(ISERROR(VLOOKUP($G81,DanaSehat!$L$13:$AK$14,M$4,FALSE))=TRUE,"",
              VLOOKUP($G81,DanaSehat!$L$13:$AK$14,M$4,FALSE)))</t>
  </si>
  <si>
    <t>=IF(ISNUMBER($L$6)=FALSE,"",
        IF(ISERROR(VLOOKUP($G81,DanaSehat!$L$13:$AK$14,N$4,FALSE))=TRUE,"",
              VLOOKUP($G81,DanaSehat!$L$13:$AK$14,N$4,FALSE)))</t>
  </si>
  <si>
    <t>=IF(ISNUMBER($L$6)=FALSE,"",
        IF(ISERROR(VLOOKUP($G81,DanaSehat!$L$13:$AK$14,O$4,FALSE))=TRUE,"",
              VLOOKUP($G81,DanaSehat!$L$13:$AK$14,O$4,FALSE)))</t>
  </si>
  <si>
    <t>=IF(ISNUMBER($L$6)=FALSE,"",
        IF(ISERROR(VLOOKUP($G81,DanaSehat!$L$13:$AK$14,P$4,FALSE))=TRUE,"",
              VLOOKUP($G81,DanaSehat!$L$13:$AK$14,P$4,FALSE)))</t>
  </si>
  <si>
    <t>=IF(ISNUMBER($L$6)=FALSE,"",
        IF(ISERROR(VLOOKUP($G81,DanaSehat!$L$13:$AK$14,Q$4,FALSE))=TRUE,"",
              VLOOKUP($G81,DanaSehat!$L$13:$AK$14,Q$4,FALSE)))</t>
  </si>
  <si>
    <t>=IF(ISNUMBER($L$6)=FALSE,"",
        IF(ISERROR(VLOOKUP($G81,DanaSehat!$L$13:$AK$14,R$4,FALSE))=TRUE,"",
              VLOOKUP($G81,DanaSehat!$L$13:$AK$14,R$4,FALSE)))</t>
  </si>
  <si>
    <t>=IF(ISNUMBER($L$6)=FALSE,"",
        IF(ISERROR(VLOOKUP($G81,DanaSehat!$L$13:$AK$14,S$4,FALSE))=TRUE,"",
              VLOOKUP($G81,DanaSehat!$L$13:$AK$14,S$4,FALSE)))</t>
  </si>
  <si>
    <t>=IF(ISNUMBER($L$6)=FALSE,"",
        IF(ISERROR(VLOOKUP($G81,DanaSehat!$L$13:$AK$14,T$4,FALSE))=TRUE,"",
              VLOOKUP($G81,DanaSehat!$L$13:$AK$14,T$4,FALSE)))</t>
  </si>
  <si>
    <t>=IF(ISNUMBER($L$6)=FALSE,"",
        IF(ISERROR(VLOOKUP($G81,DanaSehat!$L$13:$AK$14,U$4,FALSE))=TRUE,"",
              VLOOKUP($G81,DanaSehat!$L$13:$AK$14,U$4,FALSE)))</t>
  </si>
  <si>
    <t>=IF(ISNUMBER($L$6)=FALSE,"",
        IF(ISERROR(VLOOKUP($G81,DanaSehat!$L$13:$AK$14,V$4,FALSE))=TRUE,"",
              VLOOKUP($G81,DanaSehat!$L$13:$AK$14,V$4,FALSE)))</t>
  </si>
  <si>
    <t>=IF(ISNUMBER($L$6)=FALSE,"",
        IF(ISERROR(VLOOKUP($G81,DanaSehat!$L$13:$AK$14,W$4,FALSE))=TRUE,"",
              VLOOKUP($G81,DanaSehat!$L$13:$AK$14,W$4,FALSE)))</t>
  </si>
  <si>
    <t>=IF(ISNUMBER($L$6)=FALSE,"",
        IF(ISERROR(VLOOKUP($G81,DanaSehat!$L$13:$AK$14,X$4,FALSE))=TRUE,"",
              VLOOKUP($G81,DanaSehat!$L$13:$AK$14,X$4,FALSE)))</t>
  </si>
  <si>
    <t>=IF(ISNUMBER($L$6)=FALSE,"",
        IF(ISERROR(VLOOKUP($G81,DanaSehat!$L$13:$AK$14,Y$4,FALSE))=TRUE,"",
              VLOOKUP($G81,DanaSehat!$L$13:$AK$14,Y$4,FALSE)))</t>
  </si>
  <si>
    <t>=IF(ISNUMBER($L$6)=FALSE,"",
        IF(ISERROR(VLOOKUP($G81,DanaSehat!$L$13:$AK$14,Z$4,FALSE))=TRUE,"",
              VLOOKUP($G81,DanaSehat!$L$13:$AK$14,Z$4,FALSE)))</t>
  </si>
  <si>
    <t>=IF(ISNUMBER($L$6)=FALSE,"",
        IF(ISERROR(VLOOKUP($G81,DanaSehat!$L$13:$AK$14,AA$4,FALSE))=TRUE,"",
              VLOOKUP($G81,DanaSehat!$L$13:$AK$14,AA$4,FALSE)))</t>
  </si>
  <si>
    <t>=IF(ISNUMBER($L$6)=FALSE,"",
        IF(ISERROR(VLOOKUP($G81,DanaSehat!$L$13:$AK$14,AB$4,FALSE))=TRUE,"",
              VLOOKUP($G81,DanaSehat!$L$13:$AK$14,AB$4,FALSE)))</t>
  </si>
  <si>
    <t>=IF(ISNUMBER($L$6)=FALSE,"",
        IF(ISERROR(VLOOKUP($G81,DanaSehat!$L$13:$AK$14,AC$4,FALSE))=TRUE,"",
              VLOOKUP($G81,DanaSehat!$L$13:$AK$14,AC$4,FALSE)))</t>
  </si>
  <si>
    <t>=IF(ISNUMBER($L$6)=FALSE,"",
        IF(ISERROR(VLOOKUP($G81,DanaSehat!$L$13:$AK$14,AD$4,FALSE))=TRUE,"",
              VLOOKUP($G81,DanaSehat!$L$13:$AK$14,AD$4,FALSE)))</t>
  </si>
  <si>
    <t>=IF(ISNUMBER($L$6)=FALSE,"",
        IF(ISERROR(VLOOKUP($G81,DanaSehat!$L$13:$AK$14,AE$4,FALSE))=TRUE,"",
              VLOOKUP($G81,DanaSehat!$L$13:$AK$14,AE$4,FALSE)))</t>
  </si>
  <si>
    <t>=IF(ISNUMBER($L$6)=FALSE,"",
        IF(ISERROR(VLOOKUP($G81,DanaSehat!$L$13:$AK$14,AF$4,FALSE))=TRUE,"",
              VLOOKUP($G81,DanaSehat!$L$13:$AK$14,AF$4,FALSE)))</t>
  </si>
  <si>
    <t>=IF($C81=$C$4,0,
       IF($C81=0,0,$C81+1))</t>
  </si>
  <si>
    <t>=IF(ISNUMBER($L$6)=FALSE,"",
IF($C82=0,"",$C82))</t>
  </si>
  <si>
    <t>=IF(ISNUMBER($L$6)=FALSE,"",
IF($C82=0,"",VLOOKUP($E82,DanaSehat!$H$13:$L$14,4,FALSE)))</t>
  </si>
  <si>
    <t>=IF(ISNUMBER($L$6)=FALSE,"",
IF($C82=0,"",VLOOKUP($E82,DanaSehat!$H$13:$L$14,5,FALSE)))</t>
  </si>
  <si>
    <t>=IF(ISNUMBER($L$6)=FALSE,"",
IF($C82=0,"",SUM(I82:AF82)))</t>
  </si>
  <si>
    <t>=IF(ISNUMBER($L$6)=FALSE,"",
        IF(ISERROR(VLOOKUP($G82,DanaSehat!$L$13:$AK$14,I$4,FALSE))=TRUE,"",
              VLOOKUP($G82,DanaSehat!$L$13:$AK$14,I$4,FALSE)))</t>
  </si>
  <si>
    <t>=IF(ISNUMBER($L$6)=FALSE,"",
        IF(ISERROR(VLOOKUP($G82,DanaSehat!$L$13:$AK$14,J$4,FALSE))=TRUE,"",
              VLOOKUP($G82,DanaSehat!$L$13:$AK$14,J$4,FALSE)))</t>
  </si>
  <si>
    <t>=IF(ISNUMBER($L$6)=FALSE,"",
        IF(ISERROR(VLOOKUP($G82,DanaSehat!$L$13:$AK$14,K$4,FALSE))=TRUE,"",
              VLOOKUP($G82,DanaSehat!$L$13:$AK$14,K$4,FALSE)))</t>
  </si>
  <si>
    <t>=IF(ISNUMBER($L$6)=FALSE,"",
        IF(ISERROR(VLOOKUP($G82,DanaSehat!$L$13:$AK$14,L$4,FALSE))=TRUE,"",
              VLOOKUP($G82,DanaSehat!$L$13:$AK$14,L$4,FALSE)))</t>
  </si>
  <si>
    <t>=IF(ISNUMBER($L$6)=FALSE,"",
        IF(ISERROR(VLOOKUP($G82,DanaSehat!$L$13:$AK$14,M$4,FALSE))=TRUE,"",
              VLOOKUP($G82,DanaSehat!$L$13:$AK$14,M$4,FALSE)))</t>
  </si>
  <si>
    <t>=IF(ISNUMBER($L$6)=FALSE,"",
        IF(ISERROR(VLOOKUP($G82,DanaSehat!$L$13:$AK$14,N$4,FALSE))=TRUE,"",
              VLOOKUP($G82,DanaSehat!$L$13:$AK$14,N$4,FALSE)))</t>
  </si>
  <si>
    <t>=IF(ISNUMBER($L$6)=FALSE,"",
        IF(ISERROR(VLOOKUP($G82,DanaSehat!$L$13:$AK$14,O$4,FALSE))=TRUE,"",
              VLOOKUP($G82,DanaSehat!$L$13:$AK$14,O$4,FALSE)))</t>
  </si>
  <si>
    <t>=IF(ISNUMBER($L$6)=FALSE,"",
        IF(ISERROR(VLOOKUP($G82,DanaSehat!$L$13:$AK$14,P$4,FALSE))=TRUE,"",
              VLOOKUP($G82,DanaSehat!$L$13:$AK$14,P$4,FALSE)))</t>
  </si>
  <si>
    <t>=IF(ISNUMBER($L$6)=FALSE,"",
        IF(ISERROR(VLOOKUP($G82,DanaSehat!$L$13:$AK$14,Q$4,FALSE))=TRUE,"",
              VLOOKUP($G82,DanaSehat!$L$13:$AK$14,Q$4,FALSE)))</t>
  </si>
  <si>
    <t>=IF(ISNUMBER($L$6)=FALSE,"",
        IF(ISERROR(VLOOKUP($G82,DanaSehat!$L$13:$AK$14,R$4,FALSE))=TRUE,"",
              VLOOKUP($G82,DanaSehat!$L$13:$AK$14,R$4,FALSE)))</t>
  </si>
  <si>
    <t>=IF(ISNUMBER($L$6)=FALSE,"",
        IF(ISERROR(VLOOKUP($G82,DanaSehat!$L$13:$AK$14,S$4,FALSE))=TRUE,"",
              VLOOKUP($G82,DanaSehat!$L$13:$AK$14,S$4,FALSE)))</t>
  </si>
  <si>
    <t>=IF(ISNUMBER($L$6)=FALSE,"",
        IF(ISERROR(VLOOKUP($G82,DanaSehat!$L$13:$AK$14,T$4,FALSE))=TRUE,"",
              VLOOKUP($G82,DanaSehat!$L$13:$AK$14,T$4,FALSE)))</t>
  </si>
  <si>
    <t>=IF(ISNUMBER($L$6)=FALSE,"",
        IF(ISERROR(VLOOKUP($G82,DanaSehat!$L$13:$AK$14,U$4,FALSE))=TRUE,"",
              VLOOKUP($G82,DanaSehat!$L$13:$AK$14,U$4,FALSE)))</t>
  </si>
  <si>
    <t>=IF(ISNUMBER($L$6)=FALSE,"",
        IF(ISERROR(VLOOKUP($G82,DanaSehat!$L$13:$AK$14,V$4,FALSE))=TRUE,"",
              VLOOKUP($G82,DanaSehat!$L$13:$AK$14,V$4,FALSE)))</t>
  </si>
  <si>
    <t>=IF(ISNUMBER($L$6)=FALSE,"",
        IF(ISERROR(VLOOKUP($G82,DanaSehat!$L$13:$AK$14,W$4,FALSE))=TRUE,"",
              VLOOKUP($G82,DanaSehat!$L$13:$AK$14,W$4,FALSE)))</t>
  </si>
  <si>
    <t>=IF(ISNUMBER($L$6)=FALSE,"",
        IF(ISERROR(VLOOKUP($G82,DanaSehat!$L$13:$AK$14,X$4,FALSE))=TRUE,"",
              VLOOKUP($G82,DanaSehat!$L$13:$AK$14,X$4,FALSE)))</t>
  </si>
  <si>
    <t>=IF(ISNUMBER($L$6)=FALSE,"",
        IF(ISERROR(VLOOKUP($G82,DanaSehat!$L$13:$AK$14,Y$4,FALSE))=TRUE,"",
              VLOOKUP($G82,DanaSehat!$L$13:$AK$14,Y$4,FALSE)))</t>
  </si>
  <si>
    <t>=IF(ISNUMBER($L$6)=FALSE,"",
        IF(ISERROR(VLOOKUP($G82,DanaSehat!$L$13:$AK$14,Z$4,FALSE))=TRUE,"",
              VLOOKUP($G82,DanaSehat!$L$13:$AK$14,Z$4,FALSE)))</t>
  </si>
  <si>
    <t>=IF(ISNUMBER($L$6)=FALSE,"",
        IF(ISERROR(VLOOKUP($G82,DanaSehat!$L$13:$AK$14,AA$4,FALSE))=TRUE,"",
              VLOOKUP($G82,DanaSehat!$L$13:$AK$14,AA$4,FALSE)))</t>
  </si>
  <si>
    <t>=IF(ISNUMBER($L$6)=FALSE,"",
        IF(ISERROR(VLOOKUP($G82,DanaSehat!$L$13:$AK$14,AB$4,FALSE))=TRUE,"",
              VLOOKUP($G82,DanaSehat!$L$13:$AK$14,AB$4,FALSE)))</t>
  </si>
  <si>
    <t>=IF(ISNUMBER($L$6)=FALSE,"",
        IF(ISERROR(VLOOKUP($G82,DanaSehat!$L$13:$AK$14,AC$4,FALSE))=TRUE,"",
              VLOOKUP($G82,DanaSehat!$L$13:$AK$14,AC$4,FALSE)))</t>
  </si>
  <si>
    <t>=IF(ISNUMBER($L$6)=FALSE,"",
        IF(ISERROR(VLOOKUP($G82,DanaSehat!$L$13:$AK$14,AD$4,FALSE))=TRUE,"",
              VLOOKUP($G82,DanaSehat!$L$13:$AK$14,AD$4,FALSE)))</t>
  </si>
  <si>
    <t>=IF(ISNUMBER($L$6)=FALSE,"",
        IF(ISERROR(VLOOKUP($G82,DanaSehat!$L$13:$AK$14,AE$4,FALSE))=TRUE,"",
              VLOOKUP($G82,DanaSehat!$L$13:$AK$14,AE$4,FALSE)))</t>
  </si>
  <si>
    <t>=IF(ISNUMBER($L$6)=FALSE,"",
        IF(ISERROR(VLOOKUP($G82,DanaSehat!$L$13:$AK$14,AF$4,FALSE))=TRUE,"",
              VLOOKUP($G82,DanaSehat!$L$13:$AK$14,AF$4,FALSE)))</t>
  </si>
  <si>
    <t>=IF($C82=$C$4,0,
       IF($C82=0,0,$C82+1))</t>
  </si>
  <si>
    <t>=IF(ISNUMBER($L$6)=FALSE,"",
IF($C83=0,"",$C83))</t>
  </si>
  <si>
    <t>=IF(ISNUMBER($L$6)=FALSE,"",
IF($C83=0,"",VLOOKUP($E83,DanaSehat!$H$13:$L$14,4,FALSE)))</t>
  </si>
  <si>
    <t>=IF(ISNUMBER($L$6)=FALSE,"",
IF($C83=0,"",VLOOKUP($E83,DanaSehat!$H$13:$L$14,5,FALSE)))</t>
  </si>
  <si>
    <t>=IF(ISNUMBER($L$6)=FALSE,"",
IF($C83=0,"",SUM(I83:AF83)))</t>
  </si>
  <si>
    <t>=IF(ISNUMBER($L$6)=FALSE,"",
        IF(ISERROR(VLOOKUP($G83,DanaSehat!$L$13:$AK$14,I$4,FALSE))=TRUE,"",
              VLOOKUP($G83,DanaSehat!$L$13:$AK$14,I$4,FALSE)))</t>
  </si>
  <si>
    <t>=IF(ISNUMBER($L$6)=FALSE,"",
        IF(ISERROR(VLOOKUP($G83,DanaSehat!$L$13:$AK$14,J$4,FALSE))=TRUE,"",
              VLOOKUP($G83,DanaSehat!$L$13:$AK$14,J$4,FALSE)))</t>
  </si>
  <si>
    <t>=IF(ISNUMBER($L$6)=FALSE,"",
        IF(ISERROR(VLOOKUP($G83,DanaSehat!$L$13:$AK$14,K$4,FALSE))=TRUE,"",
              VLOOKUP($G83,DanaSehat!$L$13:$AK$14,K$4,FALSE)))</t>
  </si>
  <si>
    <t>=IF(ISNUMBER($L$6)=FALSE,"",
        IF(ISERROR(VLOOKUP($G83,DanaSehat!$L$13:$AK$14,L$4,FALSE))=TRUE,"",
              VLOOKUP($G83,DanaSehat!$L$13:$AK$14,L$4,FALSE)))</t>
  </si>
  <si>
    <t>=IF(ISNUMBER($L$6)=FALSE,"",
        IF(ISERROR(VLOOKUP($G83,DanaSehat!$L$13:$AK$14,M$4,FALSE))=TRUE,"",
              VLOOKUP($G83,DanaSehat!$L$13:$AK$14,M$4,FALSE)))</t>
  </si>
  <si>
    <t>=IF(ISNUMBER($L$6)=FALSE,"",
        IF(ISERROR(VLOOKUP($G83,DanaSehat!$L$13:$AK$14,N$4,FALSE))=TRUE,"",
              VLOOKUP($G83,DanaSehat!$L$13:$AK$14,N$4,FALSE)))</t>
  </si>
  <si>
    <t>=IF(ISNUMBER($L$6)=FALSE,"",
        IF(ISERROR(VLOOKUP($G83,DanaSehat!$L$13:$AK$14,O$4,FALSE))=TRUE,"",
              VLOOKUP($G83,DanaSehat!$L$13:$AK$14,O$4,FALSE)))</t>
  </si>
  <si>
    <t>=IF(ISNUMBER($L$6)=FALSE,"",
        IF(ISERROR(VLOOKUP($G83,DanaSehat!$L$13:$AK$14,P$4,FALSE))=TRUE,"",
              VLOOKUP($G83,DanaSehat!$L$13:$AK$14,P$4,FALSE)))</t>
  </si>
  <si>
    <t>=IF(ISNUMBER($L$6)=FALSE,"",
        IF(ISERROR(VLOOKUP($G83,DanaSehat!$L$13:$AK$14,Q$4,FALSE))=TRUE,"",
              VLOOKUP($G83,DanaSehat!$L$13:$AK$14,Q$4,FALSE)))</t>
  </si>
  <si>
    <t>=IF(ISNUMBER($L$6)=FALSE,"",
        IF(ISERROR(VLOOKUP($G83,DanaSehat!$L$13:$AK$14,R$4,FALSE))=TRUE,"",
              VLOOKUP($G83,DanaSehat!$L$13:$AK$14,R$4,FALSE)))</t>
  </si>
  <si>
    <t>=IF(ISNUMBER($L$6)=FALSE,"",
        IF(ISERROR(VLOOKUP($G83,DanaSehat!$L$13:$AK$14,S$4,FALSE))=TRUE,"",
              VLOOKUP($G83,DanaSehat!$L$13:$AK$14,S$4,FALSE)))</t>
  </si>
  <si>
    <t>=IF(ISNUMBER($L$6)=FALSE,"",
        IF(ISERROR(VLOOKUP($G83,DanaSehat!$L$13:$AK$14,T$4,FALSE))=TRUE,"",
              VLOOKUP($G83,DanaSehat!$L$13:$AK$14,T$4,FALSE)))</t>
  </si>
  <si>
    <t>=IF(ISNUMBER($L$6)=FALSE,"",
        IF(ISERROR(VLOOKUP($G83,DanaSehat!$L$13:$AK$14,U$4,FALSE))=TRUE,"",
              VLOOKUP($G83,DanaSehat!$L$13:$AK$14,U$4,FALSE)))</t>
  </si>
  <si>
    <t>=IF(ISNUMBER($L$6)=FALSE,"",
        IF(ISERROR(VLOOKUP($G83,DanaSehat!$L$13:$AK$14,V$4,FALSE))=TRUE,"",
              VLOOKUP($G83,DanaSehat!$L$13:$AK$14,V$4,FALSE)))</t>
  </si>
  <si>
    <t>=IF(ISNUMBER($L$6)=FALSE,"",
        IF(ISERROR(VLOOKUP($G83,DanaSehat!$L$13:$AK$14,W$4,FALSE))=TRUE,"",
              VLOOKUP($G83,DanaSehat!$L$13:$AK$14,W$4,FALSE)))</t>
  </si>
  <si>
    <t>=IF(ISNUMBER($L$6)=FALSE,"",
        IF(ISERROR(VLOOKUP($G83,DanaSehat!$L$13:$AK$14,X$4,FALSE))=TRUE,"",
              VLOOKUP($G83,DanaSehat!$L$13:$AK$14,X$4,FALSE)))</t>
  </si>
  <si>
    <t>=IF(ISNUMBER($L$6)=FALSE,"",
        IF(ISERROR(VLOOKUP($G83,DanaSehat!$L$13:$AK$14,Y$4,FALSE))=TRUE,"",
              VLOOKUP($G83,DanaSehat!$L$13:$AK$14,Y$4,FALSE)))</t>
  </si>
  <si>
    <t>=IF(ISNUMBER($L$6)=FALSE,"",
        IF(ISERROR(VLOOKUP($G83,DanaSehat!$L$13:$AK$14,Z$4,FALSE))=TRUE,"",
              VLOOKUP($G83,DanaSehat!$L$13:$AK$14,Z$4,FALSE)))</t>
  </si>
  <si>
    <t>=IF(ISNUMBER($L$6)=FALSE,"",
        IF(ISERROR(VLOOKUP($G83,DanaSehat!$L$13:$AK$14,AA$4,FALSE))=TRUE,"",
              VLOOKUP($G83,DanaSehat!$L$13:$AK$14,AA$4,FALSE)))</t>
  </si>
  <si>
    <t>=IF(ISNUMBER($L$6)=FALSE,"",
        IF(ISERROR(VLOOKUP($G83,DanaSehat!$L$13:$AK$14,AB$4,FALSE))=TRUE,"",
              VLOOKUP($G83,DanaSehat!$L$13:$AK$14,AB$4,FALSE)))</t>
  </si>
  <si>
    <t>=IF(ISNUMBER($L$6)=FALSE,"",
        IF(ISERROR(VLOOKUP($G83,DanaSehat!$L$13:$AK$14,AC$4,FALSE))=TRUE,"",
              VLOOKUP($G83,DanaSehat!$L$13:$AK$14,AC$4,FALSE)))</t>
  </si>
  <si>
    <t>=IF(ISNUMBER($L$6)=FALSE,"",
        IF(ISERROR(VLOOKUP($G83,DanaSehat!$L$13:$AK$14,AD$4,FALSE))=TRUE,"",
              VLOOKUP($G83,DanaSehat!$L$13:$AK$14,AD$4,FALSE)))</t>
  </si>
  <si>
    <t>=IF(ISNUMBER($L$6)=FALSE,"",
        IF(ISERROR(VLOOKUP($G83,DanaSehat!$L$13:$AK$14,AE$4,FALSE))=TRUE,"",
              VLOOKUP($G83,DanaSehat!$L$13:$AK$14,AE$4,FALSE)))</t>
  </si>
  <si>
    <t>=IF(ISNUMBER($L$6)=FALSE,"",
        IF(ISERROR(VLOOKUP($G83,DanaSehat!$L$13:$AK$14,AF$4,FALSE))=TRUE,"",
              VLOOKUP($G83,DanaSehat!$L$13:$AK$14,AF$4,FALSE)))</t>
  </si>
  <si>
    <t>=IF($C83=$C$4,0,
       IF($C83=0,0,$C83+1))</t>
  </si>
  <si>
    <t>=IF(ISNUMBER($L$6)=FALSE,"",
IF($C84=0,"",$C84))</t>
  </si>
  <si>
    <t>=IF(ISNUMBER($L$6)=FALSE,"",
IF($C84=0,"",VLOOKUP($E84,DanaSehat!$H$13:$L$14,4,FALSE)))</t>
  </si>
  <si>
    <t>=IF(ISNUMBER($L$6)=FALSE,"",
IF($C84=0,"",VLOOKUP($E84,DanaSehat!$H$13:$L$14,5,FALSE)))</t>
  </si>
  <si>
    <t>=IF(ISNUMBER($L$6)=FALSE,"",
IF($C84=0,"",SUM(I84:AF84)))</t>
  </si>
  <si>
    <t>=IF(ISNUMBER($L$6)=FALSE,"",
        IF(ISERROR(VLOOKUP($G84,DanaSehat!$L$13:$AK$14,I$4,FALSE))=TRUE,"",
              VLOOKUP($G84,DanaSehat!$L$13:$AK$14,I$4,FALSE)))</t>
  </si>
  <si>
    <t>=IF(ISNUMBER($L$6)=FALSE,"",
        IF(ISERROR(VLOOKUP($G84,DanaSehat!$L$13:$AK$14,J$4,FALSE))=TRUE,"",
              VLOOKUP($G84,DanaSehat!$L$13:$AK$14,J$4,FALSE)))</t>
  </si>
  <si>
    <t>=IF(ISNUMBER($L$6)=FALSE,"",
        IF(ISERROR(VLOOKUP($G84,DanaSehat!$L$13:$AK$14,K$4,FALSE))=TRUE,"",
              VLOOKUP($G84,DanaSehat!$L$13:$AK$14,K$4,FALSE)))</t>
  </si>
  <si>
    <t>=IF(ISNUMBER($L$6)=FALSE,"",
        IF(ISERROR(VLOOKUP($G84,DanaSehat!$L$13:$AK$14,L$4,FALSE))=TRUE,"",
              VLOOKUP($G84,DanaSehat!$L$13:$AK$14,L$4,FALSE)))</t>
  </si>
  <si>
    <t>=IF(ISNUMBER($L$6)=FALSE,"",
        IF(ISERROR(VLOOKUP($G84,DanaSehat!$L$13:$AK$14,M$4,FALSE))=TRUE,"",
              VLOOKUP($G84,DanaSehat!$L$13:$AK$14,M$4,FALSE)))</t>
  </si>
  <si>
    <t>=IF(ISNUMBER($L$6)=FALSE,"",
        IF(ISERROR(VLOOKUP($G84,DanaSehat!$L$13:$AK$14,N$4,FALSE))=TRUE,"",
              VLOOKUP($G84,DanaSehat!$L$13:$AK$14,N$4,FALSE)))</t>
  </si>
  <si>
    <t>=IF(ISNUMBER($L$6)=FALSE,"",
        IF(ISERROR(VLOOKUP($G84,DanaSehat!$L$13:$AK$14,O$4,FALSE))=TRUE,"",
              VLOOKUP($G84,DanaSehat!$L$13:$AK$14,O$4,FALSE)))</t>
  </si>
  <si>
    <t>=IF(ISNUMBER($L$6)=FALSE,"",
        IF(ISERROR(VLOOKUP($G84,DanaSehat!$L$13:$AK$14,P$4,FALSE))=TRUE,"",
              VLOOKUP($G84,DanaSehat!$L$13:$AK$14,P$4,FALSE)))</t>
  </si>
  <si>
    <t>=IF(ISNUMBER($L$6)=FALSE,"",
        IF(ISERROR(VLOOKUP($G84,DanaSehat!$L$13:$AK$14,Q$4,FALSE))=TRUE,"",
              VLOOKUP($G84,DanaSehat!$L$13:$AK$14,Q$4,FALSE)))</t>
  </si>
  <si>
    <t>=IF(ISNUMBER($L$6)=FALSE,"",
        IF(ISERROR(VLOOKUP($G84,DanaSehat!$L$13:$AK$14,R$4,FALSE))=TRUE,"",
              VLOOKUP($G84,DanaSehat!$L$13:$AK$14,R$4,FALSE)))</t>
  </si>
  <si>
    <t>=IF(ISNUMBER($L$6)=FALSE,"",
        IF(ISERROR(VLOOKUP($G84,DanaSehat!$L$13:$AK$14,S$4,FALSE))=TRUE,"",
              VLOOKUP($G84,DanaSehat!$L$13:$AK$14,S$4,FALSE)))</t>
  </si>
  <si>
    <t>=IF(ISNUMBER($L$6)=FALSE,"",
        IF(ISERROR(VLOOKUP($G84,DanaSehat!$L$13:$AK$14,T$4,FALSE))=TRUE,"",
              VLOOKUP($G84,DanaSehat!$L$13:$AK$14,T$4,FALSE)))</t>
  </si>
  <si>
    <t>=IF(ISNUMBER($L$6)=FALSE,"",
        IF(ISERROR(VLOOKUP($G84,DanaSehat!$L$13:$AK$14,U$4,FALSE))=TRUE,"",
              VLOOKUP($G84,DanaSehat!$L$13:$AK$14,U$4,FALSE)))</t>
  </si>
  <si>
    <t>=IF(ISNUMBER($L$6)=FALSE,"",
        IF(ISERROR(VLOOKUP($G84,DanaSehat!$L$13:$AK$14,V$4,FALSE))=TRUE,"",
              VLOOKUP($G84,DanaSehat!$L$13:$AK$14,V$4,FALSE)))</t>
  </si>
  <si>
    <t>=IF(ISNUMBER($L$6)=FALSE,"",
        IF(ISERROR(VLOOKUP($G84,DanaSehat!$L$13:$AK$14,W$4,FALSE))=TRUE,"",
              VLOOKUP($G84,DanaSehat!$L$13:$AK$14,W$4,FALSE)))</t>
  </si>
  <si>
    <t>=IF(ISNUMBER($L$6)=FALSE,"",
        IF(ISERROR(VLOOKUP($G84,DanaSehat!$L$13:$AK$14,X$4,FALSE))=TRUE,"",
              VLOOKUP($G84,DanaSehat!$L$13:$AK$14,X$4,FALSE)))</t>
  </si>
  <si>
    <t>=IF(ISNUMBER($L$6)=FALSE,"",
        IF(ISERROR(VLOOKUP($G84,DanaSehat!$L$13:$AK$14,Y$4,FALSE))=TRUE,"",
              VLOOKUP($G84,DanaSehat!$L$13:$AK$14,Y$4,FALSE)))</t>
  </si>
  <si>
    <t>=IF(ISNUMBER($L$6)=FALSE,"",
        IF(ISERROR(VLOOKUP($G84,DanaSehat!$L$13:$AK$14,Z$4,FALSE))=TRUE,"",
              VLOOKUP($G84,DanaSehat!$L$13:$AK$14,Z$4,FALSE)))</t>
  </si>
  <si>
    <t>=IF(ISNUMBER($L$6)=FALSE,"",
        IF(ISERROR(VLOOKUP($G84,DanaSehat!$L$13:$AK$14,AA$4,FALSE))=TRUE,"",
              VLOOKUP($G84,DanaSehat!$L$13:$AK$14,AA$4,FALSE)))</t>
  </si>
  <si>
    <t>=IF(ISNUMBER($L$6)=FALSE,"",
        IF(ISERROR(VLOOKUP($G84,DanaSehat!$L$13:$AK$14,AB$4,FALSE))=TRUE,"",
              VLOOKUP($G84,DanaSehat!$L$13:$AK$14,AB$4,FALSE)))</t>
  </si>
  <si>
    <t>=IF(ISNUMBER($L$6)=FALSE,"",
        IF(ISERROR(VLOOKUP($G84,DanaSehat!$L$13:$AK$14,AC$4,FALSE))=TRUE,"",
              VLOOKUP($G84,DanaSehat!$L$13:$AK$14,AC$4,FALSE)))</t>
  </si>
  <si>
    <t>=IF(ISNUMBER($L$6)=FALSE,"",
        IF(ISERROR(VLOOKUP($G84,DanaSehat!$L$13:$AK$14,AD$4,FALSE))=TRUE,"",
              VLOOKUP($G84,DanaSehat!$L$13:$AK$14,AD$4,FALSE)))</t>
  </si>
  <si>
    <t>=IF(ISNUMBER($L$6)=FALSE,"",
        IF(ISERROR(VLOOKUP($G84,DanaSehat!$L$13:$AK$14,AE$4,FALSE))=TRUE,"",
              VLOOKUP($G84,DanaSehat!$L$13:$AK$14,AE$4,FALSE)))</t>
  </si>
  <si>
    <t>=IF(ISNUMBER($L$6)=FALSE,"",
        IF(ISERROR(VLOOKUP($G84,DanaSehat!$L$13:$AK$14,AF$4,FALSE))=TRUE,"",
              VLOOKUP($G84,DanaSehat!$L$13:$AK$14,AF$4,FALSE)))</t>
  </si>
  <si>
    <t>=IF($C84=$C$4,0,
       IF($C84=0,0,$C84+1))</t>
  </si>
  <si>
    <t>=IF(ISNUMBER($L$6)=FALSE,"",
IF($C85=0,"",$C85))</t>
  </si>
  <si>
    <t>=IF(ISNUMBER($L$6)=FALSE,"",
IF($C85=0,"",VLOOKUP($E85,DanaSehat!$H$13:$L$14,4,FALSE)))</t>
  </si>
  <si>
    <t>=IF(ISNUMBER($L$6)=FALSE,"",
IF($C85=0,"",VLOOKUP($E85,DanaSehat!$H$13:$L$14,5,FALSE)))</t>
  </si>
  <si>
    <t>=IF(ISNUMBER($L$6)=FALSE,"",
IF($C85=0,"",SUM(I85:AF85)))</t>
  </si>
  <si>
    <t>=IF(ISNUMBER($L$6)=FALSE,"",
        IF(ISERROR(VLOOKUP($G85,DanaSehat!$L$13:$AK$14,I$4,FALSE))=TRUE,"",
              VLOOKUP($G85,DanaSehat!$L$13:$AK$14,I$4,FALSE)))</t>
  </si>
  <si>
    <t>=IF(ISNUMBER($L$6)=FALSE,"",
        IF(ISERROR(VLOOKUP($G85,DanaSehat!$L$13:$AK$14,J$4,FALSE))=TRUE,"",
              VLOOKUP($G85,DanaSehat!$L$13:$AK$14,J$4,FALSE)))</t>
  </si>
  <si>
    <t>=IF(ISNUMBER($L$6)=FALSE,"",
        IF(ISERROR(VLOOKUP($G85,DanaSehat!$L$13:$AK$14,K$4,FALSE))=TRUE,"",
              VLOOKUP($G85,DanaSehat!$L$13:$AK$14,K$4,FALSE)))</t>
  </si>
  <si>
    <t>=IF(ISNUMBER($L$6)=FALSE,"",
        IF(ISERROR(VLOOKUP($G85,DanaSehat!$L$13:$AK$14,L$4,FALSE))=TRUE,"",
              VLOOKUP($G85,DanaSehat!$L$13:$AK$14,L$4,FALSE)))</t>
  </si>
  <si>
    <t>=IF(ISNUMBER($L$6)=FALSE,"",
        IF(ISERROR(VLOOKUP($G85,DanaSehat!$L$13:$AK$14,M$4,FALSE))=TRUE,"",
              VLOOKUP($G85,DanaSehat!$L$13:$AK$14,M$4,FALSE)))</t>
  </si>
  <si>
    <t>=IF(ISNUMBER($L$6)=FALSE,"",
        IF(ISERROR(VLOOKUP($G85,DanaSehat!$L$13:$AK$14,N$4,FALSE))=TRUE,"",
              VLOOKUP($G85,DanaSehat!$L$13:$AK$14,N$4,FALSE)))</t>
  </si>
  <si>
    <t>=IF(ISNUMBER($L$6)=FALSE,"",
        IF(ISERROR(VLOOKUP($G85,DanaSehat!$L$13:$AK$14,O$4,FALSE))=TRUE,"",
              VLOOKUP($G85,DanaSehat!$L$13:$AK$14,O$4,FALSE)))</t>
  </si>
  <si>
    <t>=IF(ISNUMBER($L$6)=FALSE,"",
        IF(ISERROR(VLOOKUP($G85,DanaSehat!$L$13:$AK$14,P$4,FALSE))=TRUE,"",
              VLOOKUP($G85,DanaSehat!$L$13:$AK$14,P$4,FALSE)))</t>
  </si>
  <si>
    <t>=IF(ISNUMBER($L$6)=FALSE,"",
        IF(ISERROR(VLOOKUP($G85,DanaSehat!$L$13:$AK$14,Q$4,FALSE))=TRUE,"",
              VLOOKUP($G85,DanaSehat!$L$13:$AK$14,Q$4,FALSE)))</t>
  </si>
  <si>
    <t>=IF(ISNUMBER($L$6)=FALSE,"",
        IF(ISERROR(VLOOKUP($G85,DanaSehat!$L$13:$AK$14,R$4,FALSE))=TRUE,"",
              VLOOKUP($G85,DanaSehat!$L$13:$AK$14,R$4,FALSE)))</t>
  </si>
  <si>
    <t>=IF(ISNUMBER($L$6)=FALSE,"",
        IF(ISERROR(VLOOKUP($G85,DanaSehat!$L$13:$AK$14,S$4,FALSE))=TRUE,"",
              VLOOKUP($G85,DanaSehat!$L$13:$AK$14,S$4,FALSE)))</t>
  </si>
  <si>
    <t>=IF(ISNUMBER($L$6)=FALSE,"",
        IF(ISERROR(VLOOKUP($G85,DanaSehat!$L$13:$AK$14,T$4,FALSE))=TRUE,"",
              VLOOKUP($G85,DanaSehat!$L$13:$AK$14,T$4,FALSE)))</t>
  </si>
  <si>
    <t>=IF(ISNUMBER($L$6)=FALSE,"",
        IF(ISERROR(VLOOKUP($G85,DanaSehat!$L$13:$AK$14,U$4,FALSE))=TRUE,"",
              VLOOKUP($G85,DanaSehat!$L$13:$AK$14,U$4,FALSE)))</t>
  </si>
  <si>
    <t>=IF(ISNUMBER($L$6)=FALSE,"",
        IF(ISERROR(VLOOKUP($G85,DanaSehat!$L$13:$AK$14,V$4,FALSE))=TRUE,"",
              VLOOKUP($G85,DanaSehat!$L$13:$AK$14,V$4,FALSE)))</t>
  </si>
  <si>
    <t>=IF(ISNUMBER($L$6)=FALSE,"",
        IF(ISERROR(VLOOKUP($G85,DanaSehat!$L$13:$AK$14,W$4,FALSE))=TRUE,"",
              VLOOKUP($G85,DanaSehat!$L$13:$AK$14,W$4,FALSE)))</t>
  </si>
  <si>
    <t>=IF(ISNUMBER($L$6)=FALSE,"",
        IF(ISERROR(VLOOKUP($G85,DanaSehat!$L$13:$AK$14,X$4,FALSE))=TRUE,"",
              VLOOKUP($G85,DanaSehat!$L$13:$AK$14,X$4,FALSE)))</t>
  </si>
  <si>
    <t>=IF(ISNUMBER($L$6)=FALSE,"",
        IF(ISERROR(VLOOKUP($G85,DanaSehat!$L$13:$AK$14,Y$4,FALSE))=TRUE,"",
              VLOOKUP($G85,DanaSehat!$L$13:$AK$14,Y$4,FALSE)))</t>
  </si>
  <si>
    <t>=IF(ISNUMBER($L$6)=FALSE,"",
        IF(ISERROR(VLOOKUP($G85,DanaSehat!$L$13:$AK$14,Z$4,FALSE))=TRUE,"",
              VLOOKUP($G85,DanaSehat!$L$13:$AK$14,Z$4,FALSE)))</t>
  </si>
  <si>
    <t>=IF(ISNUMBER($L$6)=FALSE,"",
        IF(ISERROR(VLOOKUP($G85,DanaSehat!$L$13:$AK$14,AA$4,FALSE))=TRUE,"",
              VLOOKUP($G85,DanaSehat!$L$13:$AK$14,AA$4,FALSE)))</t>
  </si>
  <si>
    <t>=IF(ISNUMBER($L$6)=FALSE,"",
        IF(ISERROR(VLOOKUP($G85,DanaSehat!$L$13:$AK$14,AB$4,FALSE))=TRUE,"",
              VLOOKUP($G85,DanaSehat!$L$13:$AK$14,AB$4,FALSE)))</t>
  </si>
  <si>
    <t>=IF(ISNUMBER($L$6)=FALSE,"",
        IF(ISERROR(VLOOKUP($G85,DanaSehat!$L$13:$AK$14,AC$4,FALSE))=TRUE,"",
              VLOOKUP($G85,DanaSehat!$L$13:$AK$14,AC$4,FALSE)))</t>
  </si>
  <si>
    <t>=IF(ISNUMBER($L$6)=FALSE,"",
        IF(ISERROR(VLOOKUP($G85,DanaSehat!$L$13:$AK$14,AD$4,FALSE))=TRUE,"",
              VLOOKUP($G85,DanaSehat!$L$13:$AK$14,AD$4,FALSE)))</t>
  </si>
  <si>
    <t>=IF(ISNUMBER($L$6)=FALSE,"",
        IF(ISERROR(VLOOKUP($G85,DanaSehat!$L$13:$AK$14,AE$4,FALSE))=TRUE,"",
              VLOOKUP($G85,DanaSehat!$L$13:$AK$14,AE$4,FALSE)))</t>
  </si>
  <si>
    <t>=IF(ISNUMBER($L$6)=FALSE,"",
        IF(ISERROR(VLOOKUP($G85,DanaSehat!$L$13:$AK$14,AF$4,FALSE))=TRUE,"",
              VLOOKUP($G85,DanaSehat!$L$13:$AK$14,AF$4,FALSE)))</t>
  </si>
  <si>
    <t>=IF($C85=$C$4,0,
       IF($C85=0,0,$C85+1))</t>
  </si>
  <si>
    <t>=IF(ISNUMBER($L$6)=FALSE,"",
IF($C86=0,"",$C86))</t>
  </si>
  <si>
    <t>=IF(ISNUMBER($L$6)=FALSE,"",
IF($C86=0,"",VLOOKUP($E86,DanaSehat!$H$13:$L$14,4,FALSE)))</t>
  </si>
  <si>
    <t>=IF(ISNUMBER($L$6)=FALSE,"",
IF($C86=0,"",VLOOKUP($E86,DanaSehat!$H$13:$L$14,5,FALSE)))</t>
  </si>
  <si>
    <t>=IF(ISNUMBER($L$6)=FALSE,"",
IF($C86=0,"",SUM(I86:AF86)))</t>
  </si>
  <si>
    <t>=IF(ISNUMBER($L$6)=FALSE,"",
        IF(ISERROR(VLOOKUP($G86,DanaSehat!$L$13:$AK$14,I$4,FALSE))=TRUE,"",
              VLOOKUP($G86,DanaSehat!$L$13:$AK$14,I$4,FALSE)))</t>
  </si>
  <si>
    <t>=IF(ISNUMBER($L$6)=FALSE,"",
        IF(ISERROR(VLOOKUP($G86,DanaSehat!$L$13:$AK$14,J$4,FALSE))=TRUE,"",
              VLOOKUP($G86,DanaSehat!$L$13:$AK$14,J$4,FALSE)))</t>
  </si>
  <si>
    <t>=IF(ISNUMBER($L$6)=FALSE,"",
        IF(ISERROR(VLOOKUP($G86,DanaSehat!$L$13:$AK$14,K$4,FALSE))=TRUE,"",
              VLOOKUP($G86,DanaSehat!$L$13:$AK$14,K$4,FALSE)))</t>
  </si>
  <si>
    <t>=IF(ISNUMBER($L$6)=FALSE,"",
        IF(ISERROR(VLOOKUP($G86,DanaSehat!$L$13:$AK$14,L$4,FALSE))=TRUE,"",
              VLOOKUP($G86,DanaSehat!$L$13:$AK$14,L$4,FALSE)))</t>
  </si>
  <si>
    <t>=IF(ISNUMBER($L$6)=FALSE,"",
        IF(ISERROR(VLOOKUP($G86,DanaSehat!$L$13:$AK$14,M$4,FALSE))=TRUE,"",
              VLOOKUP($G86,DanaSehat!$L$13:$AK$14,M$4,FALSE)))</t>
  </si>
  <si>
    <t>=IF(ISNUMBER($L$6)=FALSE,"",
        IF(ISERROR(VLOOKUP($G86,DanaSehat!$L$13:$AK$14,N$4,FALSE))=TRUE,"",
              VLOOKUP($G86,DanaSehat!$L$13:$AK$14,N$4,FALSE)))</t>
  </si>
  <si>
    <t>=IF(ISNUMBER($L$6)=FALSE,"",
        IF(ISERROR(VLOOKUP($G86,DanaSehat!$L$13:$AK$14,O$4,FALSE))=TRUE,"",
              VLOOKUP($G86,DanaSehat!$L$13:$AK$14,O$4,FALSE)))</t>
  </si>
  <si>
    <t>=IF(ISNUMBER($L$6)=FALSE,"",
        IF(ISERROR(VLOOKUP($G86,DanaSehat!$L$13:$AK$14,P$4,FALSE))=TRUE,"",
              VLOOKUP($G86,DanaSehat!$L$13:$AK$14,P$4,FALSE)))</t>
  </si>
  <si>
    <t>=IF(ISNUMBER($L$6)=FALSE,"",
        IF(ISERROR(VLOOKUP($G86,DanaSehat!$L$13:$AK$14,Q$4,FALSE))=TRUE,"",
              VLOOKUP($G86,DanaSehat!$L$13:$AK$14,Q$4,FALSE)))</t>
  </si>
  <si>
    <t>=IF(ISNUMBER($L$6)=FALSE,"",
        IF(ISERROR(VLOOKUP($G86,DanaSehat!$L$13:$AK$14,R$4,FALSE))=TRUE,"",
              VLOOKUP($G86,DanaSehat!$L$13:$AK$14,R$4,FALSE)))</t>
  </si>
  <si>
    <t>=IF(ISNUMBER($L$6)=FALSE,"",
        IF(ISERROR(VLOOKUP($G86,DanaSehat!$L$13:$AK$14,S$4,FALSE))=TRUE,"",
              VLOOKUP($G86,DanaSehat!$L$13:$AK$14,S$4,FALSE)))</t>
  </si>
  <si>
    <t>=IF(ISNUMBER($L$6)=FALSE,"",
        IF(ISERROR(VLOOKUP($G86,DanaSehat!$L$13:$AK$14,T$4,FALSE))=TRUE,"",
              VLOOKUP($G86,DanaSehat!$L$13:$AK$14,T$4,FALSE)))</t>
  </si>
  <si>
    <t>=IF(ISNUMBER($L$6)=FALSE,"",
        IF(ISERROR(VLOOKUP($G86,DanaSehat!$L$13:$AK$14,U$4,FALSE))=TRUE,"",
              VLOOKUP($G86,DanaSehat!$L$13:$AK$14,U$4,FALSE)))</t>
  </si>
  <si>
    <t>=IF(ISNUMBER($L$6)=FALSE,"",
        IF(ISERROR(VLOOKUP($G86,DanaSehat!$L$13:$AK$14,V$4,FALSE))=TRUE,"",
              VLOOKUP($G86,DanaSehat!$L$13:$AK$14,V$4,FALSE)))</t>
  </si>
  <si>
    <t>=IF(ISNUMBER($L$6)=FALSE,"",
        IF(ISERROR(VLOOKUP($G86,DanaSehat!$L$13:$AK$14,W$4,FALSE))=TRUE,"",
              VLOOKUP($G86,DanaSehat!$L$13:$AK$14,W$4,FALSE)))</t>
  </si>
  <si>
    <t>=IF(ISNUMBER($L$6)=FALSE,"",
        IF(ISERROR(VLOOKUP($G86,DanaSehat!$L$13:$AK$14,X$4,FALSE))=TRUE,"",
              VLOOKUP($G86,DanaSehat!$L$13:$AK$14,X$4,FALSE)))</t>
  </si>
  <si>
    <t>=IF(ISNUMBER($L$6)=FALSE,"",
        IF(ISERROR(VLOOKUP($G86,DanaSehat!$L$13:$AK$14,Y$4,FALSE))=TRUE,"",
              VLOOKUP($G86,DanaSehat!$L$13:$AK$14,Y$4,FALSE)))</t>
  </si>
  <si>
    <t>=IF(ISNUMBER($L$6)=FALSE,"",
        IF(ISERROR(VLOOKUP($G86,DanaSehat!$L$13:$AK$14,Z$4,FALSE))=TRUE,"",
              VLOOKUP($G86,DanaSehat!$L$13:$AK$14,Z$4,FALSE)))</t>
  </si>
  <si>
    <t>=IF(ISNUMBER($L$6)=FALSE,"",
        IF(ISERROR(VLOOKUP($G86,DanaSehat!$L$13:$AK$14,AA$4,FALSE))=TRUE,"",
              VLOOKUP($G86,DanaSehat!$L$13:$AK$14,AA$4,FALSE)))</t>
  </si>
  <si>
    <t>=IF(ISNUMBER($L$6)=FALSE,"",
        IF(ISERROR(VLOOKUP($G86,DanaSehat!$L$13:$AK$14,AB$4,FALSE))=TRUE,"",
              VLOOKUP($G86,DanaSehat!$L$13:$AK$14,AB$4,FALSE)))</t>
  </si>
  <si>
    <t>=IF(ISNUMBER($L$6)=FALSE,"",
        IF(ISERROR(VLOOKUP($G86,DanaSehat!$L$13:$AK$14,AC$4,FALSE))=TRUE,"",
              VLOOKUP($G86,DanaSehat!$L$13:$AK$14,AC$4,FALSE)))</t>
  </si>
  <si>
    <t>=IF(ISNUMBER($L$6)=FALSE,"",
        IF(ISERROR(VLOOKUP($G86,DanaSehat!$L$13:$AK$14,AD$4,FALSE))=TRUE,"",
              VLOOKUP($G86,DanaSehat!$L$13:$AK$14,AD$4,FALSE)))</t>
  </si>
  <si>
    <t>=IF(ISNUMBER($L$6)=FALSE,"",
        IF(ISERROR(VLOOKUP($G86,DanaSehat!$L$13:$AK$14,AE$4,FALSE))=TRUE,"",
              VLOOKUP($G86,DanaSehat!$L$13:$AK$14,AE$4,FALSE)))</t>
  </si>
  <si>
    <t>=IF(ISNUMBER($L$6)=FALSE,"",
        IF(ISERROR(VLOOKUP($G86,DanaSehat!$L$13:$AK$14,AF$4,FALSE))=TRUE,"",
              VLOOKUP($G86,DanaSehat!$L$13:$AK$14,AF$4,FALSE)))</t>
  </si>
  <si>
    <t>=IF($C86=$C$4,0,
       IF($C86=0,0,$C86+1))</t>
  </si>
  <si>
    <t>=IF(ISNUMBER($L$6)=FALSE,"",
IF($C87=0,"",$C87))</t>
  </si>
  <si>
    <t>=IF(ISNUMBER($L$6)=FALSE,"",
IF($C87=0,"",VLOOKUP($E87,DanaSehat!$H$13:$L$14,4,FALSE)))</t>
  </si>
  <si>
    <t>=IF(ISNUMBER($L$6)=FALSE,"",
IF($C87=0,"",VLOOKUP($E87,DanaSehat!$H$13:$L$14,5,FALSE)))</t>
  </si>
  <si>
    <t>=IF(ISNUMBER($L$6)=FALSE,"",
IF($C87=0,"",SUM(I87:AF87)))</t>
  </si>
  <si>
    <t>=IF(ISNUMBER($L$6)=FALSE,"",
        IF(ISERROR(VLOOKUP($G87,DanaSehat!$L$13:$AK$14,I$4,FALSE))=TRUE,"",
              VLOOKUP($G87,DanaSehat!$L$13:$AK$14,I$4,FALSE)))</t>
  </si>
  <si>
    <t>=IF(ISNUMBER($L$6)=FALSE,"",
        IF(ISERROR(VLOOKUP($G87,DanaSehat!$L$13:$AK$14,J$4,FALSE))=TRUE,"",
              VLOOKUP($G87,DanaSehat!$L$13:$AK$14,J$4,FALSE)))</t>
  </si>
  <si>
    <t>=IF(ISNUMBER($L$6)=FALSE,"",
        IF(ISERROR(VLOOKUP($G87,DanaSehat!$L$13:$AK$14,K$4,FALSE))=TRUE,"",
              VLOOKUP($G87,DanaSehat!$L$13:$AK$14,K$4,FALSE)))</t>
  </si>
  <si>
    <t>=IF(ISNUMBER($L$6)=FALSE,"",
        IF(ISERROR(VLOOKUP($G87,DanaSehat!$L$13:$AK$14,L$4,FALSE))=TRUE,"",
              VLOOKUP($G87,DanaSehat!$L$13:$AK$14,L$4,FALSE)))</t>
  </si>
  <si>
    <t>=IF(ISNUMBER($L$6)=FALSE,"",
        IF(ISERROR(VLOOKUP($G87,DanaSehat!$L$13:$AK$14,M$4,FALSE))=TRUE,"",
              VLOOKUP($G87,DanaSehat!$L$13:$AK$14,M$4,FALSE)))</t>
  </si>
  <si>
    <t>=IF(ISNUMBER($L$6)=FALSE,"",
        IF(ISERROR(VLOOKUP($G87,DanaSehat!$L$13:$AK$14,N$4,FALSE))=TRUE,"",
              VLOOKUP($G87,DanaSehat!$L$13:$AK$14,N$4,FALSE)))</t>
  </si>
  <si>
    <t>=IF(ISNUMBER($L$6)=FALSE,"",
        IF(ISERROR(VLOOKUP($G87,DanaSehat!$L$13:$AK$14,O$4,FALSE))=TRUE,"",
              VLOOKUP($G87,DanaSehat!$L$13:$AK$14,O$4,FALSE)))</t>
  </si>
  <si>
    <t>=IF(ISNUMBER($L$6)=FALSE,"",
        IF(ISERROR(VLOOKUP($G87,DanaSehat!$L$13:$AK$14,P$4,FALSE))=TRUE,"",
              VLOOKUP($G87,DanaSehat!$L$13:$AK$14,P$4,FALSE)))</t>
  </si>
  <si>
    <t>=IF(ISNUMBER($L$6)=FALSE,"",
        IF(ISERROR(VLOOKUP($G87,DanaSehat!$L$13:$AK$14,Q$4,FALSE))=TRUE,"",
              VLOOKUP($G87,DanaSehat!$L$13:$AK$14,Q$4,FALSE)))</t>
  </si>
  <si>
    <t>=IF(ISNUMBER($L$6)=FALSE,"",
        IF(ISERROR(VLOOKUP($G87,DanaSehat!$L$13:$AK$14,R$4,FALSE))=TRUE,"",
              VLOOKUP($G87,DanaSehat!$L$13:$AK$14,R$4,FALSE)))</t>
  </si>
  <si>
    <t>=IF(ISNUMBER($L$6)=FALSE,"",
        IF(ISERROR(VLOOKUP($G87,DanaSehat!$L$13:$AK$14,S$4,FALSE))=TRUE,"",
              VLOOKUP($G87,DanaSehat!$L$13:$AK$14,S$4,FALSE)))</t>
  </si>
  <si>
    <t>=IF(ISNUMBER($L$6)=FALSE,"",
        IF(ISERROR(VLOOKUP($G87,DanaSehat!$L$13:$AK$14,T$4,FALSE))=TRUE,"",
              VLOOKUP($G87,DanaSehat!$L$13:$AK$14,T$4,FALSE)))</t>
  </si>
  <si>
    <t>=IF(ISNUMBER($L$6)=FALSE,"",
        IF(ISERROR(VLOOKUP($G87,DanaSehat!$L$13:$AK$14,U$4,FALSE))=TRUE,"",
              VLOOKUP($G87,DanaSehat!$L$13:$AK$14,U$4,FALSE)))</t>
  </si>
  <si>
    <t>=IF(ISNUMBER($L$6)=FALSE,"",
        IF(ISERROR(VLOOKUP($G87,DanaSehat!$L$13:$AK$14,V$4,FALSE))=TRUE,"",
              VLOOKUP($G87,DanaSehat!$L$13:$AK$14,V$4,FALSE)))</t>
  </si>
  <si>
    <t>=IF(ISNUMBER($L$6)=FALSE,"",
        IF(ISERROR(VLOOKUP($G87,DanaSehat!$L$13:$AK$14,W$4,FALSE))=TRUE,"",
              VLOOKUP($G87,DanaSehat!$L$13:$AK$14,W$4,FALSE)))</t>
  </si>
  <si>
    <t>=IF(ISNUMBER($L$6)=FALSE,"",
        IF(ISERROR(VLOOKUP($G87,DanaSehat!$L$13:$AK$14,X$4,FALSE))=TRUE,"",
              VLOOKUP($G87,DanaSehat!$L$13:$AK$14,X$4,FALSE)))</t>
  </si>
  <si>
    <t>=IF(ISNUMBER($L$6)=FALSE,"",
        IF(ISERROR(VLOOKUP($G87,DanaSehat!$L$13:$AK$14,Y$4,FALSE))=TRUE,"",
              VLOOKUP($G87,DanaSehat!$L$13:$AK$14,Y$4,FALSE)))</t>
  </si>
  <si>
    <t>=IF(ISNUMBER($L$6)=FALSE,"",
        IF(ISERROR(VLOOKUP($G87,DanaSehat!$L$13:$AK$14,Z$4,FALSE))=TRUE,"",
              VLOOKUP($G87,DanaSehat!$L$13:$AK$14,Z$4,FALSE)))</t>
  </si>
  <si>
    <t>=IF(ISNUMBER($L$6)=FALSE,"",
        IF(ISERROR(VLOOKUP($G87,DanaSehat!$L$13:$AK$14,AA$4,FALSE))=TRUE,"",
              VLOOKUP($G87,DanaSehat!$L$13:$AK$14,AA$4,FALSE)))</t>
  </si>
  <si>
    <t>=IF(ISNUMBER($L$6)=FALSE,"",
        IF(ISERROR(VLOOKUP($G87,DanaSehat!$L$13:$AK$14,AB$4,FALSE))=TRUE,"",
              VLOOKUP($G87,DanaSehat!$L$13:$AK$14,AB$4,FALSE)))</t>
  </si>
  <si>
    <t>=IF(ISNUMBER($L$6)=FALSE,"",
        IF(ISERROR(VLOOKUP($G87,DanaSehat!$L$13:$AK$14,AC$4,FALSE))=TRUE,"",
              VLOOKUP($G87,DanaSehat!$L$13:$AK$14,AC$4,FALSE)))</t>
  </si>
  <si>
    <t>=IF(ISNUMBER($L$6)=FALSE,"",
        IF(ISERROR(VLOOKUP($G87,DanaSehat!$L$13:$AK$14,AD$4,FALSE))=TRUE,"",
              VLOOKUP($G87,DanaSehat!$L$13:$AK$14,AD$4,FALSE)))</t>
  </si>
  <si>
    <t>=IF(ISNUMBER($L$6)=FALSE,"",
        IF(ISERROR(VLOOKUP($G87,DanaSehat!$L$13:$AK$14,AE$4,FALSE))=TRUE,"",
              VLOOKUP($G87,DanaSehat!$L$13:$AK$14,AE$4,FALSE)))</t>
  </si>
  <si>
    <t>=IF(ISNUMBER($L$6)=FALSE,"",
        IF(ISERROR(VLOOKUP($G87,DanaSehat!$L$13:$AK$14,AF$4,FALSE))=TRUE,"",
              VLOOKUP($G87,DanaSehat!$L$13:$AK$14,AF$4,FALSE)))</t>
  </si>
  <si>
    <t>=IF($C87=$C$4,0,
       IF($C87=0,0,$C87+1))</t>
  </si>
  <si>
    <t>=IF(ISNUMBER($L$6)=FALSE,"",
IF($C88=0,"",$C88))</t>
  </si>
  <si>
    <t>=IF(ISNUMBER($L$6)=FALSE,"",
IF($C88=0,"",VLOOKUP($E88,DanaSehat!$H$13:$L$14,4,FALSE)))</t>
  </si>
  <si>
    <t>=IF(ISNUMBER($L$6)=FALSE,"",
IF($C88=0,"",VLOOKUP($E88,DanaSehat!$H$13:$L$14,5,FALSE)))</t>
  </si>
  <si>
    <t>=IF(ISNUMBER($L$6)=FALSE,"",
IF($C88=0,"",SUM(I88:AF88)))</t>
  </si>
  <si>
    <t>=IF(ISNUMBER($L$6)=FALSE,"",
        IF(ISERROR(VLOOKUP($G88,DanaSehat!$L$13:$AK$14,I$4,FALSE))=TRUE,"",
              VLOOKUP($G88,DanaSehat!$L$13:$AK$14,I$4,FALSE)))</t>
  </si>
  <si>
    <t>=IF(ISNUMBER($L$6)=FALSE,"",
        IF(ISERROR(VLOOKUP($G88,DanaSehat!$L$13:$AK$14,J$4,FALSE))=TRUE,"",
              VLOOKUP($G88,DanaSehat!$L$13:$AK$14,J$4,FALSE)))</t>
  </si>
  <si>
    <t>=IF(ISNUMBER($L$6)=FALSE,"",
        IF(ISERROR(VLOOKUP($G88,DanaSehat!$L$13:$AK$14,K$4,FALSE))=TRUE,"",
              VLOOKUP($G88,DanaSehat!$L$13:$AK$14,K$4,FALSE)))</t>
  </si>
  <si>
    <t>=IF(ISNUMBER($L$6)=FALSE,"",
        IF(ISERROR(VLOOKUP($G88,DanaSehat!$L$13:$AK$14,L$4,FALSE))=TRUE,"",
              VLOOKUP($G88,DanaSehat!$L$13:$AK$14,L$4,FALSE)))</t>
  </si>
  <si>
    <t>=IF(ISNUMBER($L$6)=FALSE,"",
        IF(ISERROR(VLOOKUP($G88,DanaSehat!$L$13:$AK$14,M$4,FALSE))=TRUE,"",
              VLOOKUP($G88,DanaSehat!$L$13:$AK$14,M$4,FALSE)))</t>
  </si>
  <si>
    <t>=IF(ISNUMBER($L$6)=FALSE,"",
        IF(ISERROR(VLOOKUP($G88,DanaSehat!$L$13:$AK$14,N$4,FALSE))=TRUE,"",
              VLOOKUP($G88,DanaSehat!$L$13:$AK$14,N$4,FALSE)))</t>
  </si>
  <si>
    <t>=IF(ISNUMBER($L$6)=FALSE,"",
        IF(ISERROR(VLOOKUP($G88,DanaSehat!$L$13:$AK$14,O$4,FALSE))=TRUE,"",
              VLOOKUP($G88,DanaSehat!$L$13:$AK$14,O$4,FALSE)))</t>
  </si>
  <si>
    <t>=IF(ISNUMBER($L$6)=FALSE,"",
        IF(ISERROR(VLOOKUP($G88,DanaSehat!$L$13:$AK$14,P$4,FALSE))=TRUE,"",
              VLOOKUP($G88,DanaSehat!$L$13:$AK$14,P$4,FALSE)))</t>
  </si>
  <si>
    <t>=IF(ISNUMBER($L$6)=FALSE,"",
        IF(ISERROR(VLOOKUP($G88,DanaSehat!$L$13:$AK$14,Q$4,FALSE))=TRUE,"",
              VLOOKUP($G88,DanaSehat!$L$13:$AK$14,Q$4,FALSE)))</t>
  </si>
  <si>
    <t>=IF(ISNUMBER($L$6)=FALSE,"",
        IF(ISERROR(VLOOKUP($G88,DanaSehat!$L$13:$AK$14,R$4,FALSE))=TRUE,"",
              VLOOKUP($G88,DanaSehat!$L$13:$AK$14,R$4,FALSE)))</t>
  </si>
  <si>
    <t>=IF(ISNUMBER($L$6)=FALSE,"",
        IF(ISERROR(VLOOKUP($G88,DanaSehat!$L$13:$AK$14,S$4,FALSE))=TRUE,"",
              VLOOKUP($G88,DanaSehat!$L$13:$AK$14,S$4,FALSE)))</t>
  </si>
  <si>
    <t>=IF(ISNUMBER($L$6)=FALSE,"",
        IF(ISERROR(VLOOKUP($G88,DanaSehat!$L$13:$AK$14,T$4,FALSE))=TRUE,"",
              VLOOKUP($G88,DanaSehat!$L$13:$AK$14,T$4,FALSE)))</t>
  </si>
  <si>
    <t>=IF(ISNUMBER($L$6)=FALSE,"",
        IF(ISERROR(VLOOKUP($G88,DanaSehat!$L$13:$AK$14,U$4,FALSE))=TRUE,"",
              VLOOKUP($G88,DanaSehat!$L$13:$AK$14,U$4,FALSE)))</t>
  </si>
  <si>
    <t>=IF(ISNUMBER($L$6)=FALSE,"",
        IF(ISERROR(VLOOKUP($G88,DanaSehat!$L$13:$AK$14,V$4,FALSE))=TRUE,"",
              VLOOKUP($G88,DanaSehat!$L$13:$AK$14,V$4,FALSE)))</t>
  </si>
  <si>
    <t>=IF(ISNUMBER($L$6)=FALSE,"",
        IF(ISERROR(VLOOKUP($G88,DanaSehat!$L$13:$AK$14,W$4,FALSE))=TRUE,"",
              VLOOKUP($G88,DanaSehat!$L$13:$AK$14,W$4,FALSE)))</t>
  </si>
  <si>
    <t>=IF(ISNUMBER($L$6)=FALSE,"",
        IF(ISERROR(VLOOKUP($G88,DanaSehat!$L$13:$AK$14,X$4,FALSE))=TRUE,"",
              VLOOKUP($G88,DanaSehat!$L$13:$AK$14,X$4,FALSE)))</t>
  </si>
  <si>
    <t>=IF(ISNUMBER($L$6)=FALSE,"",
        IF(ISERROR(VLOOKUP($G88,DanaSehat!$L$13:$AK$14,Y$4,FALSE))=TRUE,"",
              VLOOKUP($G88,DanaSehat!$L$13:$AK$14,Y$4,FALSE)))</t>
  </si>
  <si>
    <t>=IF(ISNUMBER($L$6)=FALSE,"",
        IF(ISERROR(VLOOKUP($G88,DanaSehat!$L$13:$AK$14,Z$4,FALSE))=TRUE,"",
              VLOOKUP($G88,DanaSehat!$L$13:$AK$14,Z$4,FALSE)))</t>
  </si>
  <si>
    <t>=IF(ISNUMBER($L$6)=FALSE,"",
        IF(ISERROR(VLOOKUP($G88,DanaSehat!$L$13:$AK$14,AA$4,FALSE))=TRUE,"",
              VLOOKUP($G88,DanaSehat!$L$13:$AK$14,AA$4,FALSE)))</t>
  </si>
  <si>
    <t>=IF(ISNUMBER($L$6)=FALSE,"",
        IF(ISERROR(VLOOKUP($G88,DanaSehat!$L$13:$AK$14,AB$4,FALSE))=TRUE,"",
              VLOOKUP($G88,DanaSehat!$L$13:$AK$14,AB$4,FALSE)))</t>
  </si>
  <si>
    <t>=IF(ISNUMBER($L$6)=FALSE,"",
        IF(ISERROR(VLOOKUP($G88,DanaSehat!$L$13:$AK$14,AC$4,FALSE))=TRUE,"",
              VLOOKUP($G88,DanaSehat!$L$13:$AK$14,AC$4,FALSE)))</t>
  </si>
  <si>
    <t>=IF(ISNUMBER($L$6)=FALSE,"",
        IF(ISERROR(VLOOKUP($G88,DanaSehat!$L$13:$AK$14,AD$4,FALSE))=TRUE,"",
              VLOOKUP($G88,DanaSehat!$L$13:$AK$14,AD$4,FALSE)))</t>
  </si>
  <si>
    <t>=IF(ISNUMBER($L$6)=FALSE,"",
        IF(ISERROR(VLOOKUP($G88,DanaSehat!$L$13:$AK$14,AE$4,FALSE))=TRUE,"",
              VLOOKUP($G88,DanaSehat!$L$13:$AK$14,AE$4,FALSE)))</t>
  </si>
  <si>
    <t>=IF(ISNUMBER($L$6)=FALSE,"",
        IF(ISERROR(VLOOKUP($G88,DanaSehat!$L$13:$AK$14,AF$4,FALSE))=TRUE,"",
              VLOOKUP($G88,DanaSehat!$L$13:$AK$14,AF$4,FALSE)))</t>
  </si>
  <si>
    <t>=IF($C88=$C$4,0,
       IF($C88=0,0,$C88+1))</t>
  </si>
  <si>
    <t>=IF(ISNUMBER($L$6)=FALSE,"",
IF($C89=0,"",$C89))</t>
  </si>
  <si>
    <t>=IF(ISNUMBER($L$6)=FALSE,"",
IF($C89=0,"",VLOOKUP($E89,DanaSehat!$H$13:$L$14,4,FALSE)))</t>
  </si>
  <si>
    <t>=IF(ISNUMBER($L$6)=FALSE,"",
IF($C89=0,"",VLOOKUP($E89,DanaSehat!$H$13:$L$14,5,FALSE)))</t>
  </si>
  <si>
    <t>=IF(ISNUMBER($L$6)=FALSE,"",
IF($C89=0,"",SUM(I89:AF89)))</t>
  </si>
  <si>
    <t>=IF(ISNUMBER($L$6)=FALSE,"",
        IF(ISERROR(VLOOKUP($G89,DanaSehat!$L$13:$AK$14,I$4,FALSE))=TRUE,"",
              VLOOKUP($G89,DanaSehat!$L$13:$AK$14,I$4,FALSE)))</t>
  </si>
  <si>
    <t>=IF(ISNUMBER($L$6)=FALSE,"",
        IF(ISERROR(VLOOKUP($G89,DanaSehat!$L$13:$AK$14,J$4,FALSE))=TRUE,"",
              VLOOKUP($G89,DanaSehat!$L$13:$AK$14,J$4,FALSE)))</t>
  </si>
  <si>
    <t>=IF(ISNUMBER($L$6)=FALSE,"",
        IF(ISERROR(VLOOKUP($G89,DanaSehat!$L$13:$AK$14,K$4,FALSE))=TRUE,"",
              VLOOKUP($G89,DanaSehat!$L$13:$AK$14,K$4,FALSE)))</t>
  </si>
  <si>
    <t>=IF(ISNUMBER($L$6)=FALSE,"",
        IF(ISERROR(VLOOKUP($G89,DanaSehat!$L$13:$AK$14,L$4,FALSE))=TRUE,"",
              VLOOKUP($G89,DanaSehat!$L$13:$AK$14,L$4,FALSE)))</t>
  </si>
  <si>
    <t>=IF(ISNUMBER($L$6)=FALSE,"",
        IF(ISERROR(VLOOKUP($G89,DanaSehat!$L$13:$AK$14,M$4,FALSE))=TRUE,"",
              VLOOKUP($G89,DanaSehat!$L$13:$AK$14,M$4,FALSE)))</t>
  </si>
  <si>
    <t>=IF(ISNUMBER($L$6)=FALSE,"",
        IF(ISERROR(VLOOKUP($G89,DanaSehat!$L$13:$AK$14,N$4,FALSE))=TRUE,"",
              VLOOKUP($G89,DanaSehat!$L$13:$AK$14,N$4,FALSE)))</t>
  </si>
  <si>
    <t>=IF(ISNUMBER($L$6)=FALSE,"",
        IF(ISERROR(VLOOKUP($G89,DanaSehat!$L$13:$AK$14,O$4,FALSE))=TRUE,"",
              VLOOKUP($G89,DanaSehat!$L$13:$AK$14,O$4,FALSE)))</t>
  </si>
  <si>
    <t>=IF(ISNUMBER($L$6)=FALSE,"",
        IF(ISERROR(VLOOKUP($G89,DanaSehat!$L$13:$AK$14,P$4,FALSE))=TRUE,"",
              VLOOKUP($G89,DanaSehat!$L$13:$AK$14,P$4,FALSE)))</t>
  </si>
  <si>
    <t>=IF(ISNUMBER($L$6)=FALSE,"",
        IF(ISERROR(VLOOKUP($G89,DanaSehat!$L$13:$AK$14,Q$4,FALSE))=TRUE,"",
              VLOOKUP($G89,DanaSehat!$L$13:$AK$14,Q$4,FALSE)))</t>
  </si>
  <si>
    <t>=IF(ISNUMBER($L$6)=FALSE,"",
        IF(ISERROR(VLOOKUP($G89,DanaSehat!$L$13:$AK$14,R$4,FALSE))=TRUE,"",
              VLOOKUP($G89,DanaSehat!$L$13:$AK$14,R$4,FALSE)))</t>
  </si>
  <si>
    <t>=IF(ISNUMBER($L$6)=FALSE,"",
        IF(ISERROR(VLOOKUP($G89,DanaSehat!$L$13:$AK$14,S$4,FALSE))=TRUE,"",
              VLOOKUP($G89,DanaSehat!$L$13:$AK$14,S$4,FALSE)))</t>
  </si>
  <si>
    <t>=IF(ISNUMBER($L$6)=FALSE,"",
        IF(ISERROR(VLOOKUP($G89,DanaSehat!$L$13:$AK$14,T$4,FALSE))=TRUE,"",
              VLOOKUP($G89,DanaSehat!$L$13:$AK$14,T$4,FALSE)))</t>
  </si>
  <si>
    <t>=IF(ISNUMBER($L$6)=FALSE,"",
        IF(ISERROR(VLOOKUP($G89,DanaSehat!$L$13:$AK$14,U$4,FALSE))=TRUE,"",
              VLOOKUP($G89,DanaSehat!$L$13:$AK$14,U$4,FALSE)))</t>
  </si>
  <si>
    <t>=IF(ISNUMBER($L$6)=FALSE,"",
        IF(ISERROR(VLOOKUP($G89,DanaSehat!$L$13:$AK$14,V$4,FALSE))=TRUE,"",
              VLOOKUP($G89,DanaSehat!$L$13:$AK$14,V$4,FALSE)))</t>
  </si>
  <si>
    <t>=IF(ISNUMBER($L$6)=FALSE,"",
        IF(ISERROR(VLOOKUP($G89,DanaSehat!$L$13:$AK$14,W$4,FALSE))=TRUE,"",
              VLOOKUP($G89,DanaSehat!$L$13:$AK$14,W$4,FALSE)))</t>
  </si>
  <si>
    <t>=IF(ISNUMBER($L$6)=FALSE,"",
        IF(ISERROR(VLOOKUP($G89,DanaSehat!$L$13:$AK$14,X$4,FALSE))=TRUE,"",
              VLOOKUP($G89,DanaSehat!$L$13:$AK$14,X$4,FALSE)))</t>
  </si>
  <si>
    <t>=IF(ISNUMBER($L$6)=FALSE,"",
        IF(ISERROR(VLOOKUP($G89,DanaSehat!$L$13:$AK$14,Y$4,FALSE))=TRUE,"",
              VLOOKUP($G89,DanaSehat!$L$13:$AK$14,Y$4,FALSE)))</t>
  </si>
  <si>
    <t>=IF(ISNUMBER($L$6)=FALSE,"",
        IF(ISERROR(VLOOKUP($G89,DanaSehat!$L$13:$AK$14,Z$4,FALSE))=TRUE,"",
              VLOOKUP($G89,DanaSehat!$L$13:$AK$14,Z$4,FALSE)))</t>
  </si>
  <si>
    <t>=IF(ISNUMBER($L$6)=FALSE,"",
        IF(ISERROR(VLOOKUP($G89,DanaSehat!$L$13:$AK$14,AA$4,FALSE))=TRUE,"",
              VLOOKUP($G89,DanaSehat!$L$13:$AK$14,AA$4,FALSE)))</t>
  </si>
  <si>
    <t>=IF(ISNUMBER($L$6)=FALSE,"",
        IF(ISERROR(VLOOKUP($G89,DanaSehat!$L$13:$AK$14,AB$4,FALSE))=TRUE,"",
              VLOOKUP($G89,DanaSehat!$L$13:$AK$14,AB$4,FALSE)))</t>
  </si>
  <si>
    <t>=IF(ISNUMBER($L$6)=FALSE,"",
        IF(ISERROR(VLOOKUP($G89,DanaSehat!$L$13:$AK$14,AC$4,FALSE))=TRUE,"",
              VLOOKUP($G89,DanaSehat!$L$13:$AK$14,AC$4,FALSE)))</t>
  </si>
  <si>
    <t>=IF(ISNUMBER($L$6)=FALSE,"",
        IF(ISERROR(VLOOKUP($G89,DanaSehat!$L$13:$AK$14,AD$4,FALSE))=TRUE,"",
              VLOOKUP($G89,DanaSehat!$L$13:$AK$14,AD$4,FALSE)))</t>
  </si>
  <si>
    <t>=IF(ISNUMBER($L$6)=FALSE,"",
        IF(ISERROR(VLOOKUP($G89,DanaSehat!$L$13:$AK$14,AE$4,FALSE))=TRUE,"",
              VLOOKUP($G89,DanaSehat!$L$13:$AK$14,AE$4,FALSE)))</t>
  </si>
  <si>
    <t>=IF(ISNUMBER($L$6)=FALSE,"",
        IF(ISERROR(VLOOKUP($G89,DanaSehat!$L$13:$AK$14,AF$4,FALSE))=TRUE,"",
              VLOOKUP($G89,DanaSehat!$L$13:$AK$14,AF$4,FALSE)))</t>
  </si>
  <si>
    <t>=IF($C89=$C$4,0,
       IF($C89=0,0,$C89+1))</t>
  </si>
  <si>
    <t>=IF(ISNUMBER($L$6)=FALSE,"",
IF($C90=0,"",$C90))</t>
  </si>
  <si>
    <t>=IF(ISNUMBER($L$6)=FALSE,"",
IF($C90=0,"",VLOOKUP($E90,DanaSehat!$H$13:$L$14,4,FALSE)))</t>
  </si>
  <si>
    <t>=IF(ISNUMBER($L$6)=FALSE,"",
IF($C90=0,"",VLOOKUP($E90,DanaSehat!$H$13:$L$14,5,FALSE)))</t>
  </si>
  <si>
    <t>=IF(ISNUMBER($L$6)=FALSE,"",
IF($C90=0,"",SUM(I90:AF90)))</t>
  </si>
  <si>
    <t>=IF(ISNUMBER($L$6)=FALSE,"",
        IF(ISERROR(VLOOKUP($G90,DanaSehat!$L$13:$AK$14,I$4,FALSE))=TRUE,"",
              VLOOKUP($G90,DanaSehat!$L$13:$AK$14,I$4,FALSE)))</t>
  </si>
  <si>
    <t>=IF(ISNUMBER($L$6)=FALSE,"",
        IF(ISERROR(VLOOKUP($G90,DanaSehat!$L$13:$AK$14,J$4,FALSE))=TRUE,"",
              VLOOKUP($G90,DanaSehat!$L$13:$AK$14,J$4,FALSE)))</t>
  </si>
  <si>
    <t>=IF(ISNUMBER($L$6)=FALSE,"",
        IF(ISERROR(VLOOKUP($G90,DanaSehat!$L$13:$AK$14,K$4,FALSE))=TRUE,"",
              VLOOKUP($G90,DanaSehat!$L$13:$AK$14,K$4,FALSE)))</t>
  </si>
  <si>
    <t>=IF(ISNUMBER($L$6)=FALSE,"",
        IF(ISERROR(VLOOKUP($G90,DanaSehat!$L$13:$AK$14,L$4,FALSE))=TRUE,"",
              VLOOKUP($G90,DanaSehat!$L$13:$AK$14,L$4,FALSE)))</t>
  </si>
  <si>
    <t>=IF(ISNUMBER($L$6)=FALSE,"",
        IF(ISERROR(VLOOKUP($G90,DanaSehat!$L$13:$AK$14,M$4,FALSE))=TRUE,"",
              VLOOKUP($G90,DanaSehat!$L$13:$AK$14,M$4,FALSE)))</t>
  </si>
  <si>
    <t>=IF(ISNUMBER($L$6)=FALSE,"",
        IF(ISERROR(VLOOKUP($G90,DanaSehat!$L$13:$AK$14,N$4,FALSE))=TRUE,"",
              VLOOKUP($G90,DanaSehat!$L$13:$AK$14,N$4,FALSE)))</t>
  </si>
  <si>
    <t>=IF(ISNUMBER($L$6)=FALSE,"",
        IF(ISERROR(VLOOKUP($G90,DanaSehat!$L$13:$AK$14,O$4,FALSE))=TRUE,"",
              VLOOKUP($G90,DanaSehat!$L$13:$AK$14,O$4,FALSE)))</t>
  </si>
  <si>
    <t>=IF(ISNUMBER($L$6)=FALSE,"",
        IF(ISERROR(VLOOKUP($G90,DanaSehat!$L$13:$AK$14,P$4,FALSE))=TRUE,"",
              VLOOKUP($G90,DanaSehat!$L$13:$AK$14,P$4,FALSE)))</t>
  </si>
  <si>
    <t>=IF(ISNUMBER($L$6)=FALSE,"",
        IF(ISERROR(VLOOKUP($G90,DanaSehat!$L$13:$AK$14,Q$4,FALSE))=TRUE,"",
              VLOOKUP($G90,DanaSehat!$L$13:$AK$14,Q$4,FALSE)))</t>
  </si>
  <si>
    <t>=IF(ISNUMBER($L$6)=FALSE,"",
        IF(ISERROR(VLOOKUP($G90,DanaSehat!$L$13:$AK$14,R$4,FALSE))=TRUE,"",
              VLOOKUP($G90,DanaSehat!$L$13:$AK$14,R$4,FALSE)))</t>
  </si>
  <si>
    <t>=IF(ISNUMBER($L$6)=FALSE,"",
        IF(ISERROR(VLOOKUP($G90,DanaSehat!$L$13:$AK$14,S$4,FALSE))=TRUE,"",
              VLOOKUP($G90,DanaSehat!$L$13:$AK$14,S$4,FALSE)))</t>
  </si>
  <si>
    <t>=IF(ISNUMBER($L$6)=FALSE,"",
        IF(ISERROR(VLOOKUP($G90,DanaSehat!$L$13:$AK$14,T$4,FALSE))=TRUE,"",
              VLOOKUP($G90,DanaSehat!$L$13:$AK$14,T$4,FALSE)))</t>
  </si>
  <si>
    <t>=IF(ISNUMBER($L$6)=FALSE,"",
        IF(ISERROR(VLOOKUP($G90,DanaSehat!$L$13:$AK$14,U$4,FALSE))=TRUE,"",
              VLOOKUP($G90,DanaSehat!$L$13:$AK$14,U$4,FALSE)))</t>
  </si>
  <si>
    <t>=IF(ISNUMBER($L$6)=FALSE,"",
        IF(ISERROR(VLOOKUP($G90,DanaSehat!$L$13:$AK$14,V$4,FALSE))=TRUE,"",
              VLOOKUP($G90,DanaSehat!$L$13:$AK$14,V$4,FALSE)))</t>
  </si>
  <si>
    <t>=IF(ISNUMBER($L$6)=FALSE,"",
        IF(ISERROR(VLOOKUP($G90,DanaSehat!$L$13:$AK$14,W$4,FALSE))=TRUE,"",
              VLOOKUP($G90,DanaSehat!$L$13:$AK$14,W$4,FALSE)))</t>
  </si>
  <si>
    <t>=IF(ISNUMBER($L$6)=FALSE,"",
        IF(ISERROR(VLOOKUP($G90,DanaSehat!$L$13:$AK$14,X$4,FALSE))=TRUE,"",
              VLOOKUP($G90,DanaSehat!$L$13:$AK$14,X$4,FALSE)))</t>
  </si>
  <si>
    <t>=IF(ISNUMBER($L$6)=FALSE,"",
        IF(ISERROR(VLOOKUP($G90,DanaSehat!$L$13:$AK$14,Y$4,FALSE))=TRUE,"",
              VLOOKUP($G90,DanaSehat!$L$13:$AK$14,Y$4,FALSE)))</t>
  </si>
  <si>
    <t>=IF(ISNUMBER($L$6)=FALSE,"",
        IF(ISERROR(VLOOKUP($G90,DanaSehat!$L$13:$AK$14,Z$4,FALSE))=TRUE,"",
              VLOOKUP($G90,DanaSehat!$L$13:$AK$14,Z$4,FALSE)))</t>
  </si>
  <si>
    <t>=IF(ISNUMBER($L$6)=FALSE,"",
        IF(ISERROR(VLOOKUP($G90,DanaSehat!$L$13:$AK$14,AA$4,FALSE))=TRUE,"",
              VLOOKUP($G90,DanaSehat!$L$13:$AK$14,AA$4,FALSE)))</t>
  </si>
  <si>
    <t>=IF(ISNUMBER($L$6)=FALSE,"",
        IF(ISERROR(VLOOKUP($G90,DanaSehat!$L$13:$AK$14,AB$4,FALSE))=TRUE,"",
              VLOOKUP($G90,DanaSehat!$L$13:$AK$14,AB$4,FALSE)))</t>
  </si>
  <si>
    <t>=IF(ISNUMBER($L$6)=FALSE,"",
        IF(ISERROR(VLOOKUP($G90,DanaSehat!$L$13:$AK$14,AC$4,FALSE))=TRUE,"",
              VLOOKUP($G90,DanaSehat!$L$13:$AK$14,AC$4,FALSE)))</t>
  </si>
  <si>
    <t>=IF(ISNUMBER($L$6)=FALSE,"",
        IF(ISERROR(VLOOKUP($G90,DanaSehat!$L$13:$AK$14,AD$4,FALSE))=TRUE,"",
              VLOOKUP($G90,DanaSehat!$L$13:$AK$14,AD$4,FALSE)))</t>
  </si>
  <si>
    <t>=IF(ISNUMBER($L$6)=FALSE,"",
        IF(ISERROR(VLOOKUP($G90,DanaSehat!$L$13:$AK$14,AE$4,FALSE))=TRUE,"",
              VLOOKUP($G90,DanaSehat!$L$13:$AK$14,AE$4,FALSE)))</t>
  </si>
  <si>
    <t>=IF(ISNUMBER($L$6)=FALSE,"",
        IF(ISERROR(VLOOKUP($G90,DanaSehat!$L$13:$AK$14,AF$4,FALSE))=TRUE,"",
              VLOOKUP($G90,DanaSehat!$L$13:$AK$14,AF$4,FALSE)))</t>
  </si>
  <si>
    <t>=IF($C90=$C$4,0,
       IF($C90=0,0,$C90+1))</t>
  </si>
  <si>
    <t>=IF(ISNUMBER($L$6)=FALSE,"",
IF($C91=0,"",$C91))</t>
  </si>
  <si>
    <t>=IF(ISNUMBER($L$6)=FALSE,"",
IF($C91=0,"",VLOOKUP($E91,DanaSehat!$H$13:$L$14,4,FALSE)))</t>
  </si>
  <si>
    <t>=IF(ISNUMBER($L$6)=FALSE,"",
IF($C91=0,"",VLOOKUP($E91,DanaSehat!$H$13:$L$14,5,FALSE)))</t>
  </si>
  <si>
    <t>=IF(ISNUMBER($L$6)=FALSE,"",
IF($C91=0,"",SUM(I91:AF91)))</t>
  </si>
  <si>
    <t>=IF(ISNUMBER($L$6)=FALSE,"",
        IF(ISERROR(VLOOKUP($G91,DanaSehat!$L$13:$AK$14,I$4,FALSE))=TRUE,"",
              VLOOKUP($G91,DanaSehat!$L$13:$AK$14,I$4,FALSE)))</t>
  </si>
  <si>
    <t>=IF(ISNUMBER($L$6)=FALSE,"",
        IF(ISERROR(VLOOKUP($G91,DanaSehat!$L$13:$AK$14,J$4,FALSE))=TRUE,"",
              VLOOKUP($G91,DanaSehat!$L$13:$AK$14,J$4,FALSE)))</t>
  </si>
  <si>
    <t>=IF(ISNUMBER($L$6)=FALSE,"",
        IF(ISERROR(VLOOKUP($G91,DanaSehat!$L$13:$AK$14,K$4,FALSE))=TRUE,"",
              VLOOKUP($G91,DanaSehat!$L$13:$AK$14,K$4,FALSE)))</t>
  </si>
  <si>
    <t>=IF(ISNUMBER($L$6)=FALSE,"",
        IF(ISERROR(VLOOKUP($G91,DanaSehat!$L$13:$AK$14,L$4,FALSE))=TRUE,"",
              VLOOKUP($G91,DanaSehat!$L$13:$AK$14,L$4,FALSE)))</t>
  </si>
  <si>
    <t>=IF(ISNUMBER($L$6)=FALSE,"",
        IF(ISERROR(VLOOKUP($G91,DanaSehat!$L$13:$AK$14,M$4,FALSE))=TRUE,"",
              VLOOKUP($G91,DanaSehat!$L$13:$AK$14,M$4,FALSE)))</t>
  </si>
  <si>
    <t>=IF(ISNUMBER($L$6)=FALSE,"",
        IF(ISERROR(VLOOKUP($G91,DanaSehat!$L$13:$AK$14,N$4,FALSE))=TRUE,"",
              VLOOKUP($G91,DanaSehat!$L$13:$AK$14,N$4,FALSE)))</t>
  </si>
  <si>
    <t>=IF(ISNUMBER($L$6)=FALSE,"",
        IF(ISERROR(VLOOKUP($G91,DanaSehat!$L$13:$AK$14,O$4,FALSE))=TRUE,"",
              VLOOKUP($G91,DanaSehat!$L$13:$AK$14,O$4,FALSE)))</t>
  </si>
  <si>
    <t>=IF(ISNUMBER($L$6)=FALSE,"",
        IF(ISERROR(VLOOKUP($G91,DanaSehat!$L$13:$AK$14,P$4,FALSE))=TRUE,"",
              VLOOKUP($G91,DanaSehat!$L$13:$AK$14,P$4,FALSE)))</t>
  </si>
  <si>
    <t>=IF(ISNUMBER($L$6)=FALSE,"",
        IF(ISERROR(VLOOKUP($G91,DanaSehat!$L$13:$AK$14,Q$4,FALSE))=TRUE,"",
              VLOOKUP($G91,DanaSehat!$L$13:$AK$14,Q$4,FALSE)))</t>
  </si>
  <si>
    <t>=IF(ISNUMBER($L$6)=FALSE,"",
        IF(ISERROR(VLOOKUP($G91,DanaSehat!$L$13:$AK$14,R$4,FALSE))=TRUE,"",
              VLOOKUP($G91,DanaSehat!$L$13:$AK$14,R$4,FALSE)))</t>
  </si>
  <si>
    <t>=IF(ISNUMBER($L$6)=FALSE,"",
        IF(ISERROR(VLOOKUP($G91,DanaSehat!$L$13:$AK$14,S$4,FALSE))=TRUE,"",
              VLOOKUP($G91,DanaSehat!$L$13:$AK$14,S$4,FALSE)))</t>
  </si>
  <si>
    <t>=IF(ISNUMBER($L$6)=FALSE,"",
        IF(ISERROR(VLOOKUP($G91,DanaSehat!$L$13:$AK$14,T$4,FALSE))=TRUE,"",
              VLOOKUP($G91,DanaSehat!$L$13:$AK$14,T$4,FALSE)))</t>
  </si>
  <si>
    <t>=IF(ISNUMBER($L$6)=FALSE,"",
        IF(ISERROR(VLOOKUP($G91,DanaSehat!$L$13:$AK$14,U$4,FALSE))=TRUE,"",
              VLOOKUP($G91,DanaSehat!$L$13:$AK$14,U$4,FALSE)))</t>
  </si>
  <si>
    <t>=IF(ISNUMBER($L$6)=FALSE,"",
        IF(ISERROR(VLOOKUP($G91,DanaSehat!$L$13:$AK$14,V$4,FALSE))=TRUE,"",
              VLOOKUP($G91,DanaSehat!$L$13:$AK$14,V$4,FALSE)))</t>
  </si>
  <si>
    <t>=IF(ISNUMBER($L$6)=FALSE,"",
        IF(ISERROR(VLOOKUP($G91,DanaSehat!$L$13:$AK$14,W$4,FALSE))=TRUE,"",
              VLOOKUP($G91,DanaSehat!$L$13:$AK$14,W$4,FALSE)))</t>
  </si>
  <si>
    <t>=IF(ISNUMBER($L$6)=FALSE,"",
        IF(ISERROR(VLOOKUP($G91,DanaSehat!$L$13:$AK$14,X$4,FALSE))=TRUE,"",
              VLOOKUP($G91,DanaSehat!$L$13:$AK$14,X$4,FALSE)))</t>
  </si>
  <si>
    <t>=IF(ISNUMBER($L$6)=FALSE,"",
        IF(ISERROR(VLOOKUP($G91,DanaSehat!$L$13:$AK$14,Y$4,FALSE))=TRUE,"",
              VLOOKUP($G91,DanaSehat!$L$13:$AK$14,Y$4,FALSE)))</t>
  </si>
  <si>
    <t>=IF(ISNUMBER($L$6)=FALSE,"",
        IF(ISERROR(VLOOKUP($G91,DanaSehat!$L$13:$AK$14,Z$4,FALSE))=TRUE,"",
              VLOOKUP($G91,DanaSehat!$L$13:$AK$14,Z$4,FALSE)))</t>
  </si>
  <si>
    <t>=IF(ISNUMBER($L$6)=FALSE,"",
        IF(ISERROR(VLOOKUP($G91,DanaSehat!$L$13:$AK$14,AA$4,FALSE))=TRUE,"",
              VLOOKUP($G91,DanaSehat!$L$13:$AK$14,AA$4,FALSE)))</t>
  </si>
  <si>
    <t>=IF(ISNUMBER($L$6)=FALSE,"",
        IF(ISERROR(VLOOKUP($G91,DanaSehat!$L$13:$AK$14,AB$4,FALSE))=TRUE,"",
              VLOOKUP($G91,DanaSehat!$L$13:$AK$14,AB$4,FALSE)))</t>
  </si>
  <si>
    <t>=IF(ISNUMBER($L$6)=FALSE,"",
        IF(ISERROR(VLOOKUP($G91,DanaSehat!$L$13:$AK$14,AC$4,FALSE))=TRUE,"",
              VLOOKUP($G91,DanaSehat!$L$13:$AK$14,AC$4,FALSE)))</t>
  </si>
  <si>
    <t>=IF(ISNUMBER($L$6)=FALSE,"",
        IF(ISERROR(VLOOKUP($G91,DanaSehat!$L$13:$AK$14,AD$4,FALSE))=TRUE,"",
              VLOOKUP($G91,DanaSehat!$L$13:$AK$14,AD$4,FALSE)))</t>
  </si>
  <si>
    <t>=IF(ISNUMBER($L$6)=FALSE,"",
        IF(ISERROR(VLOOKUP($G91,DanaSehat!$L$13:$AK$14,AE$4,FALSE))=TRUE,"",
              VLOOKUP($G91,DanaSehat!$L$13:$AK$14,AE$4,FALSE)))</t>
  </si>
  <si>
    <t>=IF(ISNUMBER($L$6)=FALSE,"",
        IF(ISERROR(VLOOKUP($G91,DanaSehat!$L$13:$AK$14,AF$4,FALSE))=TRUE,"",
              VLOOKUP($G91,DanaSehat!$L$13:$AK$14,AF$4,FALSE)))</t>
  </si>
  <si>
    <t>=IF($C91=$C$4,0,
       IF($C91=0,0,$C91+1))</t>
  </si>
  <si>
    <t>=IF(ISNUMBER($L$6)=FALSE,"",
IF($C92=0,"",$C92))</t>
  </si>
  <si>
    <t>=IF(ISNUMBER($L$6)=FALSE,"",
IF($C92=0,"",VLOOKUP($E92,DanaSehat!$H$13:$L$14,4,FALSE)))</t>
  </si>
  <si>
    <t>=IF(ISNUMBER($L$6)=FALSE,"",
IF($C92=0,"",VLOOKUP($E92,DanaSehat!$H$13:$L$14,5,FALSE)))</t>
  </si>
  <si>
    <t>=IF(ISNUMBER($L$6)=FALSE,"",
IF($C92=0,"",SUM(I92:AF92)))</t>
  </si>
  <si>
    <t>=IF(ISNUMBER($L$6)=FALSE,"",
        IF(ISERROR(VLOOKUP($G92,DanaSehat!$L$13:$AK$14,I$4,FALSE))=TRUE,"",
              VLOOKUP($G92,DanaSehat!$L$13:$AK$14,I$4,FALSE)))</t>
  </si>
  <si>
    <t>=IF(ISNUMBER($L$6)=FALSE,"",
        IF(ISERROR(VLOOKUP($G92,DanaSehat!$L$13:$AK$14,J$4,FALSE))=TRUE,"",
              VLOOKUP($G92,DanaSehat!$L$13:$AK$14,J$4,FALSE)))</t>
  </si>
  <si>
    <t>=IF(ISNUMBER($L$6)=FALSE,"",
        IF(ISERROR(VLOOKUP($G92,DanaSehat!$L$13:$AK$14,K$4,FALSE))=TRUE,"",
              VLOOKUP($G92,DanaSehat!$L$13:$AK$14,K$4,FALSE)))</t>
  </si>
  <si>
    <t>=IF(ISNUMBER($L$6)=FALSE,"",
        IF(ISERROR(VLOOKUP($G92,DanaSehat!$L$13:$AK$14,L$4,FALSE))=TRUE,"",
              VLOOKUP($G92,DanaSehat!$L$13:$AK$14,L$4,FALSE)))</t>
  </si>
  <si>
    <t>=IF(ISNUMBER($L$6)=FALSE,"",
        IF(ISERROR(VLOOKUP($G92,DanaSehat!$L$13:$AK$14,M$4,FALSE))=TRUE,"",
              VLOOKUP($G92,DanaSehat!$L$13:$AK$14,M$4,FALSE)))</t>
  </si>
  <si>
    <t>=IF(ISNUMBER($L$6)=FALSE,"",
        IF(ISERROR(VLOOKUP($G92,DanaSehat!$L$13:$AK$14,N$4,FALSE))=TRUE,"",
              VLOOKUP($G92,DanaSehat!$L$13:$AK$14,N$4,FALSE)))</t>
  </si>
  <si>
    <t>=IF(ISNUMBER($L$6)=FALSE,"",
        IF(ISERROR(VLOOKUP($G92,DanaSehat!$L$13:$AK$14,O$4,FALSE))=TRUE,"",
              VLOOKUP($G92,DanaSehat!$L$13:$AK$14,O$4,FALSE)))</t>
  </si>
  <si>
    <t>=IF(ISNUMBER($L$6)=FALSE,"",
        IF(ISERROR(VLOOKUP($G92,DanaSehat!$L$13:$AK$14,P$4,FALSE))=TRUE,"",
              VLOOKUP($G92,DanaSehat!$L$13:$AK$14,P$4,FALSE)))</t>
  </si>
  <si>
    <t>=IF(ISNUMBER($L$6)=FALSE,"",
        IF(ISERROR(VLOOKUP($G92,DanaSehat!$L$13:$AK$14,Q$4,FALSE))=TRUE,"",
              VLOOKUP($G92,DanaSehat!$L$13:$AK$14,Q$4,FALSE)))</t>
  </si>
  <si>
    <t>=IF(ISNUMBER($L$6)=FALSE,"",
        IF(ISERROR(VLOOKUP($G92,DanaSehat!$L$13:$AK$14,R$4,FALSE))=TRUE,"",
              VLOOKUP($G92,DanaSehat!$L$13:$AK$14,R$4,FALSE)))</t>
  </si>
  <si>
    <t>=IF(ISNUMBER($L$6)=FALSE,"",
        IF(ISERROR(VLOOKUP($G92,DanaSehat!$L$13:$AK$14,S$4,FALSE))=TRUE,"",
              VLOOKUP($G92,DanaSehat!$L$13:$AK$14,S$4,FALSE)))</t>
  </si>
  <si>
    <t>=IF(ISNUMBER($L$6)=FALSE,"",
        IF(ISERROR(VLOOKUP($G92,DanaSehat!$L$13:$AK$14,T$4,FALSE))=TRUE,"",
              VLOOKUP($G92,DanaSehat!$L$13:$AK$14,T$4,FALSE)))</t>
  </si>
  <si>
    <t>=IF(ISNUMBER($L$6)=FALSE,"",
        IF(ISERROR(VLOOKUP($G92,DanaSehat!$L$13:$AK$14,U$4,FALSE))=TRUE,"",
              VLOOKUP($G92,DanaSehat!$L$13:$AK$14,U$4,FALSE)))</t>
  </si>
  <si>
    <t>=IF(ISNUMBER($L$6)=FALSE,"",
        IF(ISERROR(VLOOKUP($G92,DanaSehat!$L$13:$AK$14,V$4,FALSE))=TRUE,"",
              VLOOKUP($G92,DanaSehat!$L$13:$AK$14,V$4,FALSE)))</t>
  </si>
  <si>
    <t>=IF(ISNUMBER($L$6)=FALSE,"",
        IF(ISERROR(VLOOKUP($G92,DanaSehat!$L$13:$AK$14,W$4,FALSE))=TRUE,"",
              VLOOKUP($G92,DanaSehat!$L$13:$AK$14,W$4,FALSE)))</t>
  </si>
  <si>
    <t>=IF(ISNUMBER($L$6)=FALSE,"",
        IF(ISERROR(VLOOKUP($G92,DanaSehat!$L$13:$AK$14,X$4,FALSE))=TRUE,"",
              VLOOKUP($G92,DanaSehat!$L$13:$AK$14,X$4,FALSE)))</t>
  </si>
  <si>
    <t>=IF(ISNUMBER($L$6)=FALSE,"",
        IF(ISERROR(VLOOKUP($G92,DanaSehat!$L$13:$AK$14,Y$4,FALSE))=TRUE,"",
              VLOOKUP($G92,DanaSehat!$L$13:$AK$14,Y$4,FALSE)))</t>
  </si>
  <si>
    <t>=IF(ISNUMBER($L$6)=FALSE,"",
        IF(ISERROR(VLOOKUP($G92,DanaSehat!$L$13:$AK$14,Z$4,FALSE))=TRUE,"",
              VLOOKUP($G92,DanaSehat!$L$13:$AK$14,Z$4,FALSE)))</t>
  </si>
  <si>
    <t>=IF(ISNUMBER($L$6)=FALSE,"",
        IF(ISERROR(VLOOKUP($G92,DanaSehat!$L$13:$AK$14,AA$4,FALSE))=TRUE,"",
              VLOOKUP($G92,DanaSehat!$L$13:$AK$14,AA$4,FALSE)))</t>
  </si>
  <si>
    <t>=IF(ISNUMBER($L$6)=FALSE,"",
        IF(ISERROR(VLOOKUP($G92,DanaSehat!$L$13:$AK$14,AB$4,FALSE))=TRUE,"",
              VLOOKUP($G92,DanaSehat!$L$13:$AK$14,AB$4,FALSE)))</t>
  </si>
  <si>
    <t>=IF(ISNUMBER($L$6)=FALSE,"",
        IF(ISERROR(VLOOKUP($G92,DanaSehat!$L$13:$AK$14,AC$4,FALSE))=TRUE,"",
              VLOOKUP($G92,DanaSehat!$L$13:$AK$14,AC$4,FALSE)))</t>
  </si>
  <si>
    <t>=IF(ISNUMBER($L$6)=FALSE,"",
        IF(ISERROR(VLOOKUP($G92,DanaSehat!$L$13:$AK$14,AD$4,FALSE))=TRUE,"",
              VLOOKUP($G92,DanaSehat!$L$13:$AK$14,AD$4,FALSE)))</t>
  </si>
  <si>
    <t>=IF(ISNUMBER($L$6)=FALSE,"",
        IF(ISERROR(VLOOKUP($G92,DanaSehat!$L$13:$AK$14,AE$4,FALSE))=TRUE,"",
              VLOOKUP($G92,DanaSehat!$L$13:$AK$14,AE$4,FALSE)))</t>
  </si>
  <si>
    <t>=IF(ISNUMBER($L$6)=FALSE,"",
        IF(ISERROR(VLOOKUP($G92,DanaSehat!$L$13:$AK$14,AF$4,FALSE))=TRUE,"",
              VLOOKUP($G92,DanaSehat!$L$13:$AK$14,AF$4,FALSE)))</t>
  </si>
  <si>
    <t>=IF($C92=$C$4,0,
       IF($C92=0,0,$C92+1))</t>
  </si>
  <si>
    <t>=IF(ISNUMBER($L$6)=FALSE,"",
IF($C93=0,"",$C93))</t>
  </si>
  <si>
    <t>=IF(ISNUMBER($L$6)=FALSE,"",
IF($C93=0,"",VLOOKUP($E93,DanaSehat!$H$13:$L$14,4,FALSE)))</t>
  </si>
  <si>
    <t>=IF(ISNUMBER($L$6)=FALSE,"",
IF($C93=0,"",VLOOKUP($E93,DanaSehat!$H$13:$L$14,5,FALSE)))</t>
  </si>
  <si>
    <t>=IF(ISNUMBER($L$6)=FALSE,"",
IF($C93=0,"",SUM(I93:AF93)))</t>
  </si>
  <si>
    <t>=IF(ISNUMBER($L$6)=FALSE,"",
        IF(ISERROR(VLOOKUP($G93,DanaSehat!$L$13:$AK$14,I$4,FALSE))=TRUE,"",
              VLOOKUP($G93,DanaSehat!$L$13:$AK$14,I$4,FALSE)))</t>
  </si>
  <si>
    <t>=IF(ISNUMBER($L$6)=FALSE,"",
        IF(ISERROR(VLOOKUP($G93,DanaSehat!$L$13:$AK$14,J$4,FALSE))=TRUE,"",
              VLOOKUP($G93,DanaSehat!$L$13:$AK$14,J$4,FALSE)))</t>
  </si>
  <si>
    <t>=IF(ISNUMBER($L$6)=FALSE,"",
        IF(ISERROR(VLOOKUP($G93,DanaSehat!$L$13:$AK$14,K$4,FALSE))=TRUE,"",
              VLOOKUP($G93,DanaSehat!$L$13:$AK$14,K$4,FALSE)))</t>
  </si>
  <si>
    <t>=IF(ISNUMBER($L$6)=FALSE,"",
        IF(ISERROR(VLOOKUP($G93,DanaSehat!$L$13:$AK$14,L$4,FALSE))=TRUE,"",
              VLOOKUP($G93,DanaSehat!$L$13:$AK$14,L$4,FALSE)))</t>
  </si>
  <si>
    <t>=IF(ISNUMBER($L$6)=FALSE,"",
        IF(ISERROR(VLOOKUP($G93,DanaSehat!$L$13:$AK$14,M$4,FALSE))=TRUE,"",
              VLOOKUP($G93,DanaSehat!$L$13:$AK$14,M$4,FALSE)))</t>
  </si>
  <si>
    <t>=IF(ISNUMBER($L$6)=FALSE,"",
        IF(ISERROR(VLOOKUP($G93,DanaSehat!$L$13:$AK$14,N$4,FALSE))=TRUE,"",
              VLOOKUP($G93,DanaSehat!$L$13:$AK$14,N$4,FALSE)))</t>
  </si>
  <si>
    <t>=IF(ISNUMBER($L$6)=FALSE,"",
        IF(ISERROR(VLOOKUP($G93,DanaSehat!$L$13:$AK$14,O$4,FALSE))=TRUE,"",
              VLOOKUP($G93,DanaSehat!$L$13:$AK$14,O$4,FALSE)))</t>
  </si>
  <si>
    <t>=IF(ISNUMBER($L$6)=FALSE,"",
        IF(ISERROR(VLOOKUP($G93,DanaSehat!$L$13:$AK$14,P$4,FALSE))=TRUE,"",
              VLOOKUP($G93,DanaSehat!$L$13:$AK$14,P$4,FALSE)))</t>
  </si>
  <si>
    <t>=IF(ISNUMBER($L$6)=FALSE,"",
        IF(ISERROR(VLOOKUP($G93,DanaSehat!$L$13:$AK$14,Q$4,FALSE))=TRUE,"",
              VLOOKUP($G93,DanaSehat!$L$13:$AK$14,Q$4,FALSE)))</t>
  </si>
  <si>
    <t>=IF(ISNUMBER($L$6)=FALSE,"",
        IF(ISERROR(VLOOKUP($G93,DanaSehat!$L$13:$AK$14,R$4,FALSE))=TRUE,"",
              VLOOKUP($G93,DanaSehat!$L$13:$AK$14,R$4,FALSE)))</t>
  </si>
  <si>
    <t>=IF(ISNUMBER($L$6)=FALSE,"",
        IF(ISERROR(VLOOKUP($G93,DanaSehat!$L$13:$AK$14,S$4,FALSE))=TRUE,"",
              VLOOKUP($G93,DanaSehat!$L$13:$AK$14,S$4,FALSE)))</t>
  </si>
  <si>
    <t>=IF(ISNUMBER($L$6)=FALSE,"",
        IF(ISERROR(VLOOKUP($G93,DanaSehat!$L$13:$AK$14,T$4,FALSE))=TRUE,"",
              VLOOKUP($G93,DanaSehat!$L$13:$AK$14,T$4,FALSE)))</t>
  </si>
  <si>
    <t>=IF(ISNUMBER($L$6)=FALSE,"",
        IF(ISERROR(VLOOKUP($G93,DanaSehat!$L$13:$AK$14,U$4,FALSE))=TRUE,"",
              VLOOKUP($G93,DanaSehat!$L$13:$AK$14,U$4,FALSE)))</t>
  </si>
  <si>
    <t>=IF(ISNUMBER($L$6)=FALSE,"",
        IF(ISERROR(VLOOKUP($G93,DanaSehat!$L$13:$AK$14,V$4,FALSE))=TRUE,"",
              VLOOKUP($G93,DanaSehat!$L$13:$AK$14,V$4,FALSE)))</t>
  </si>
  <si>
    <t>=IF(ISNUMBER($L$6)=FALSE,"",
        IF(ISERROR(VLOOKUP($G93,DanaSehat!$L$13:$AK$14,W$4,FALSE))=TRUE,"",
              VLOOKUP($G93,DanaSehat!$L$13:$AK$14,W$4,FALSE)))</t>
  </si>
  <si>
    <t>=IF(ISNUMBER($L$6)=FALSE,"",
        IF(ISERROR(VLOOKUP($G93,DanaSehat!$L$13:$AK$14,X$4,FALSE))=TRUE,"",
              VLOOKUP($G93,DanaSehat!$L$13:$AK$14,X$4,FALSE)))</t>
  </si>
  <si>
    <t>=IF(ISNUMBER($L$6)=FALSE,"",
        IF(ISERROR(VLOOKUP($G93,DanaSehat!$L$13:$AK$14,Y$4,FALSE))=TRUE,"",
              VLOOKUP($G93,DanaSehat!$L$13:$AK$14,Y$4,FALSE)))</t>
  </si>
  <si>
    <t>=IF(ISNUMBER($L$6)=FALSE,"",
        IF(ISERROR(VLOOKUP($G93,DanaSehat!$L$13:$AK$14,Z$4,FALSE))=TRUE,"",
              VLOOKUP($G93,DanaSehat!$L$13:$AK$14,Z$4,FALSE)))</t>
  </si>
  <si>
    <t>=IF(ISNUMBER($L$6)=FALSE,"",
        IF(ISERROR(VLOOKUP($G93,DanaSehat!$L$13:$AK$14,AA$4,FALSE))=TRUE,"",
              VLOOKUP($G93,DanaSehat!$L$13:$AK$14,AA$4,FALSE)))</t>
  </si>
  <si>
    <t>=IF(ISNUMBER($L$6)=FALSE,"",
        IF(ISERROR(VLOOKUP($G93,DanaSehat!$L$13:$AK$14,AB$4,FALSE))=TRUE,"",
              VLOOKUP($G93,DanaSehat!$L$13:$AK$14,AB$4,FALSE)))</t>
  </si>
  <si>
    <t>=IF(ISNUMBER($L$6)=FALSE,"",
        IF(ISERROR(VLOOKUP($G93,DanaSehat!$L$13:$AK$14,AC$4,FALSE))=TRUE,"",
              VLOOKUP($G93,DanaSehat!$L$13:$AK$14,AC$4,FALSE)))</t>
  </si>
  <si>
    <t>=IF(ISNUMBER($L$6)=FALSE,"",
        IF(ISERROR(VLOOKUP($G93,DanaSehat!$L$13:$AK$14,AD$4,FALSE))=TRUE,"",
              VLOOKUP($G93,DanaSehat!$L$13:$AK$14,AD$4,FALSE)))</t>
  </si>
  <si>
    <t>=IF(ISNUMBER($L$6)=FALSE,"",
        IF(ISERROR(VLOOKUP($G93,DanaSehat!$L$13:$AK$14,AE$4,FALSE))=TRUE,"",
              VLOOKUP($G93,DanaSehat!$L$13:$AK$14,AE$4,FALSE)))</t>
  </si>
  <si>
    <t>=IF(ISNUMBER($L$6)=FALSE,"",
        IF(ISERROR(VLOOKUP($G93,DanaSehat!$L$13:$AK$14,AF$4,FALSE))=TRUE,"",
              VLOOKUP($G93,DanaSehat!$L$13:$AK$14,AF$4,FALSE)))</t>
  </si>
  <si>
    <t>=IF($C93=$C$4,0,
       IF($C93=0,0,$C93+1))</t>
  </si>
  <si>
    <t>=IF(ISNUMBER($L$6)=FALSE,"",
IF($C94=0,"",$C94))</t>
  </si>
  <si>
    <t>=IF(ISNUMBER($L$6)=FALSE,"",
IF($C94=0,"",VLOOKUP($E94,DanaSehat!$H$13:$L$14,4,FALSE)))</t>
  </si>
  <si>
    <t>=IF(ISNUMBER($L$6)=FALSE,"",
IF($C94=0,"",VLOOKUP($E94,DanaSehat!$H$13:$L$14,5,FALSE)))</t>
  </si>
  <si>
    <t>=IF(ISNUMBER($L$6)=FALSE,"",
IF($C94=0,"",SUM(I94:AF94)))</t>
  </si>
  <si>
    <t>=IF(ISNUMBER($L$6)=FALSE,"",
        IF(ISERROR(VLOOKUP($G94,DanaSehat!$L$13:$AK$14,I$4,FALSE))=TRUE,"",
              VLOOKUP($G94,DanaSehat!$L$13:$AK$14,I$4,FALSE)))</t>
  </si>
  <si>
    <t>=IF(ISNUMBER($L$6)=FALSE,"",
        IF(ISERROR(VLOOKUP($G94,DanaSehat!$L$13:$AK$14,J$4,FALSE))=TRUE,"",
              VLOOKUP($G94,DanaSehat!$L$13:$AK$14,J$4,FALSE)))</t>
  </si>
  <si>
    <t>=IF(ISNUMBER($L$6)=FALSE,"",
        IF(ISERROR(VLOOKUP($G94,DanaSehat!$L$13:$AK$14,K$4,FALSE))=TRUE,"",
              VLOOKUP($G94,DanaSehat!$L$13:$AK$14,K$4,FALSE)))</t>
  </si>
  <si>
    <t>=IF(ISNUMBER($L$6)=FALSE,"",
        IF(ISERROR(VLOOKUP($G94,DanaSehat!$L$13:$AK$14,L$4,FALSE))=TRUE,"",
              VLOOKUP($G94,DanaSehat!$L$13:$AK$14,L$4,FALSE)))</t>
  </si>
  <si>
    <t>=IF(ISNUMBER($L$6)=FALSE,"",
        IF(ISERROR(VLOOKUP($G94,DanaSehat!$L$13:$AK$14,M$4,FALSE))=TRUE,"",
              VLOOKUP($G94,DanaSehat!$L$13:$AK$14,M$4,FALSE)))</t>
  </si>
  <si>
    <t>=IF(ISNUMBER($L$6)=FALSE,"",
        IF(ISERROR(VLOOKUP($G94,DanaSehat!$L$13:$AK$14,N$4,FALSE))=TRUE,"",
              VLOOKUP($G94,DanaSehat!$L$13:$AK$14,N$4,FALSE)))</t>
  </si>
  <si>
    <t>=IF(ISNUMBER($L$6)=FALSE,"",
        IF(ISERROR(VLOOKUP($G94,DanaSehat!$L$13:$AK$14,O$4,FALSE))=TRUE,"",
              VLOOKUP($G94,DanaSehat!$L$13:$AK$14,O$4,FALSE)))</t>
  </si>
  <si>
    <t>=IF(ISNUMBER($L$6)=FALSE,"",
        IF(ISERROR(VLOOKUP($G94,DanaSehat!$L$13:$AK$14,P$4,FALSE))=TRUE,"",
              VLOOKUP($G94,DanaSehat!$L$13:$AK$14,P$4,FALSE)))</t>
  </si>
  <si>
    <t>=IF(ISNUMBER($L$6)=FALSE,"",
        IF(ISERROR(VLOOKUP($G94,DanaSehat!$L$13:$AK$14,Q$4,FALSE))=TRUE,"",
              VLOOKUP($G94,DanaSehat!$L$13:$AK$14,Q$4,FALSE)))</t>
  </si>
  <si>
    <t>=IF(ISNUMBER($L$6)=FALSE,"",
        IF(ISERROR(VLOOKUP($G94,DanaSehat!$L$13:$AK$14,R$4,FALSE))=TRUE,"",
              VLOOKUP($G94,DanaSehat!$L$13:$AK$14,R$4,FALSE)))</t>
  </si>
  <si>
    <t>=IF(ISNUMBER($L$6)=FALSE,"",
        IF(ISERROR(VLOOKUP($G94,DanaSehat!$L$13:$AK$14,S$4,FALSE))=TRUE,"",
              VLOOKUP($G94,DanaSehat!$L$13:$AK$14,S$4,FALSE)))</t>
  </si>
  <si>
    <t>=IF(ISNUMBER($L$6)=FALSE,"",
        IF(ISERROR(VLOOKUP($G94,DanaSehat!$L$13:$AK$14,T$4,FALSE))=TRUE,"",
              VLOOKUP($G94,DanaSehat!$L$13:$AK$14,T$4,FALSE)))</t>
  </si>
  <si>
    <t>=IF(ISNUMBER($L$6)=FALSE,"",
        IF(ISERROR(VLOOKUP($G94,DanaSehat!$L$13:$AK$14,U$4,FALSE))=TRUE,"",
              VLOOKUP($G94,DanaSehat!$L$13:$AK$14,U$4,FALSE)))</t>
  </si>
  <si>
    <t>=IF(ISNUMBER($L$6)=FALSE,"",
        IF(ISERROR(VLOOKUP($G94,DanaSehat!$L$13:$AK$14,V$4,FALSE))=TRUE,"",
              VLOOKUP($G94,DanaSehat!$L$13:$AK$14,V$4,FALSE)))</t>
  </si>
  <si>
    <t>=IF(ISNUMBER($L$6)=FALSE,"",
        IF(ISERROR(VLOOKUP($G94,DanaSehat!$L$13:$AK$14,W$4,FALSE))=TRUE,"",
              VLOOKUP($G94,DanaSehat!$L$13:$AK$14,W$4,FALSE)))</t>
  </si>
  <si>
    <t>=IF(ISNUMBER($L$6)=FALSE,"",
        IF(ISERROR(VLOOKUP($G94,DanaSehat!$L$13:$AK$14,X$4,FALSE))=TRUE,"",
              VLOOKUP($G94,DanaSehat!$L$13:$AK$14,X$4,FALSE)))</t>
  </si>
  <si>
    <t>=IF(ISNUMBER($L$6)=FALSE,"",
        IF(ISERROR(VLOOKUP($G94,DanaSehat!$L$13:$AK$14,Y$4,FALSE))=TRUE,"",
              VLOOKUP($G94,DanaSehat!$L$13:$AK$14,Y$4,FALSE)))</t>
  </si>
  <si>
    <t>=IF(ISNUMBER($L$6)=FALSE,"",
        IF(ISERROR(VLOOKUP($G94,DanaSehat!$L$13:$AK$14,Z$4,FALSE))=TRUE,"",
              VLOOKUP($G94,DanaSehat!$L$13:$AK$14,Z$4,FALSE)))</t>
  </si>
  <si>
    <t>=IF(ISNUMBER($L$6)=FALSE,"",
        IF(ISERROR(VLOOKUP($G94,DanaSehat!$L$13:$AK$14,AA$4,FALSE))=TRUE,"",
              VLOOKUP($G94,DanaSehat!$L$13:$AK$14,AA$4,FALSE)))</t>
  </si>
  <si>
    <t>=IF(ISNUMBER($L$6)=FALSE,"",
        IF(ISERROR(VLOOKUP($G94,DanaSehat!$L$13:$AK$14,AB$4,FALSE))=TRUE,"",
              VLOOKUP($G94,DanaSehat!$L$13:$AK$14,AB$4,FALSE)))</t>
  </si>
  <si>
    <t>=IF(ISNUMBER($L$6)=FALSE,"",
        IF(ISERROR(VLOOKUP($G94,DanaSehat!$L$13:$AK$14,AC$4,FALSE))=TRUE,"",
              VLOOKUP($G94,DanaSehat!$L$13:$AK$14,AC$4,FALSE)))</t>
  </si>
  <si>
    <t>=IF(ISNUMBER($L$6)=FALSE,"",
        IF(ISERROR(VLOOKUP($G94,DanaSehat!$L$13:$AK$14,AD$4,FALSE))=TRUE,"",
              VLOOKUP($G94,DanaSehat!$L$13:$AK$14,AD$4,FALSE)))</t>
  </si>
  <si>
    <t>=IF(ISNUMBER($L$6)=FALSE,"",
        IF(ISERROR(VLOOKUP($G94,DanaSehat!$L$13:$AK$14,AE$4,FALSE))=TRUE,"",
              VLOOKUP($G94,DanaSehat!$L$13:$AK$14,AE$4,FALSE)))</t>
  </si>
  <si>
    <t>=IF(ISNUMBER($L$6)=FALSE,"",
        IF(ISERROR(VLOOKUP($G94,DanaSehat!$L$13:$AK$14,AF$4,FALSE))=TRUE,"",
              VLOOKUP($G94,DanaSehat!$L$13:$AK$14,AF$4,FALSE)))</t>
  </si>
  <si>
    <t>=IF($C94=$C$4,0,
       IF($C94=0,0,$C94+1))</t>
  </si>
  <si>
    <t>=IF(ISNUMBER($L$6)=FALSE,"",
IF($C95=0,"",$C95))</t>
  </si>
  <si>
    <t>=IF(ISNUMBER($L$6)=FALSE,"",
IF($C95=0,"",VLOOKUP($E95,DanaSehat!$H$13:$L$14,4,FALSE)))</t>
  </si>
  <si>
    <t>=IF(ISNUMBER($L$6)=FALSE,"",
IF($C95=0,"",VLOOKUP($E95,DanaSehat!$H$13:$L$14,5,FALSE)))</t>
  </si>
  <si>
    <t>=IF(ISNUMBER($L$6)=FALSE,"",
IF($C95=0,"",SUM(I95:AF95)))</t>
  </si>
  <si>
    <t>=IF(ISNUMBER($L$6)=FALSE,"",
        IF(ISERROR(VLOOKUP($G95,DanaSehat!$L$13:$AK$14,I$4,FALSE))=TRUE,"",
              VLOOKUP($G95,DanaSehat!$L$13:$AK$14,I$4,FALSE)))</t>
  </si>
  <si>
    <t>=IF(ISNUMBER($L$6)=FALSE,"",
        IF(ISERROR(VLOOKUP($G95,DanaSehat!$L$13:$AK$14,J$4,FALSE))=TRUE,"",
              VLOOKUP($G95,DanaSehat!$L$13:$AK$14,J$4,FALSE)))</t>
  </si>
  <si>
    <t>=IF(ISNUMBER($L$6)=FALSE,"",
        IF(ISERROR(VLOOKUP($G95,DanaSehat!$L$13:$AK$14,K$4,FALSE))=TRUE,"",
              VLOOKUP($G95,DanaSehat!$L$13:$AK$14,K$4,FALSE)))</t>
  </si>
  <si>
    <t>=IF(ISNUMBER($L$6)=FALSE,"",
        IF(ISERROR(VLOOKUP($G95,DanaSehat!$L$13:$AK$14,L$4,FALSE))=TRUE,"",
              VLOOKUP($G95,DanaSehat!$L$13:$AK$14,L$4,FALSE)))</t>
  </si>
  <si>
    <t>=IF(ISNUMBER($L$6)=FALSE,"",
        IF(ISERROR(VLOOKUP($G95,DanaSehat!$L$13:$AK$14,M$4,FALSE))=TRUE,"",
              VLOOKUP($G95,DanaSehat!$L$13:$AK$14,M$4,FALSE)))</t>
  </si>
  <si>
    <t>=IF(ISNUMBER($L$6)=FALSE,"",
        IF(ISERROR(VLOOKUP($G95,DanaSehat!$L$13:$AK$14,N$4,FALSE))=TRUE,"",
              VLOOKUP($G95,DanaSehat!$L$13:$AK$14,N$4,FALSE)))</t>
  </si>
  <si>
    <t>=IF(ISNUMBER($L$6)=FALSE,"",
        IF(ISERROR(VLOOKUP($G95,DanaSehat!$L$13:$AK$14,O$4,FALSE))=TRUE,"",
              VLOOKUP($G95,DanaSehat!$L$13:$AK$14,O$4,FALSE)))</t>
  </si>
  <si>
    <t>=IF(ISNUMBER($L$6)=FALSE,"",
        IF(ISERROR(VLOOKUP($G95,DanaSehat!$L$13:$AK$14,P$4,FALSE))=TRUE,"",
              VLOOKUP($G95,DanaSehat!$L$13:$AK$14,P$4,FALSE)))</t>
  </si>
  <si>
    <t>=IF(ISNUMBER($L$6)=FALSE,"",
        IF(ISERROR(VLOOKUP($G95,DanaSehat!$L$13:$AK$14,Q$4,FALSE))=TRUE,"",
              VLOOKUP($G95,DanaSehat!$L$13:$AK$14,Q$4,FALSE)))</t>
  </si>
  <si>
    <t>=IF(ISNUMBER($L$6)=FALSE,"",
        IF(ISERROR(VLOOKUP($G95,DanaSehat!$L$13:$AK$14,R$4,FALSE))=TRUE,"",
              VLOOKUP($G95,DanaSehat!$L$13:$AK$14,R$4,FALSE)))</t>
  </si>
  <si>
    <t>=IF(ISNUMBER($L$6)=FALSE,"",
        IF(ISERROR(VLOOKUP($G95,DanaSehat!$L$13:$AK$14,S$4,FALSE))=TRUE,"",
              VLOOKUP($G95,DanaSehat!$L$13:$AK$14,S$4,FALSE)))</t>
  </si>
  <si>
    <t>=IF(ISNUMBER($L$6)=FALSE,"",
        IF(ISERROR(VLOOKUP($G95,DanaSehat!$L$13:$AK$14,T$4,FALSE))=TRUE,"",
              VLOOKUP($G95,DanaSehat!$L$13:$AK$14,T$4,FALSE)))</t>
  </si>
  <si>
    <t>=IF(ISNUMBER($L$6)=FALSE,"",
        IF(ISERROR(VLOOKUP($G95,DanaSehat!$L$13:$AK$14,U$4,FALSE))=TRUE,"",
              VLOOKUP($G95,DanaSehat!$L$13:$AK$14,U$4,FALSE)))</t>
  </si>
  <si>
    <t>=IF(ISNUMBER($L$6)=FALSE,"",
        IF(ISERROR(VLOOKUP($G95,DanaSehat!$L$13:$AK$14,V$4,FALSE))=TRUE,"",
              VLOOKUP($G95,DanaSehat!$L$13:$AK$14,V$4,FALSE)))</t>
  </si>
  <si>
    <t>=IF(ISNUMBER($L$6)=FALSE,"",
        IF(ISERROR(VLOOKUP($G95,DanaSehat!$L$13:$AK$14,W$4,FALSE))=TRUE,"",
              VLOOKUP($G95,DanaSehat!$L$13:$AK$14,W$4,FALSE)))</t>
  </si>
  <si>
    <t>=IF(ISNUMBER($L$6)=FALSE,"",
        IF(ISERROR(VLOOKUP($G95,DanaSehat!$L$13:$AK$14,X$4,FALSE))=TRUE,"",
              VLOOKUP($G95,DanaSehat!$L$13:$AK$14,X$4,FALSE)))</t>
  </si>
  <si>
    <t>=IF(ISNUMBER($L$6)=FALSE,"",
        IF(ISERROR(VLOOKUP($G95,DanaSehat!$L$13:$AK$14,Y$4,FALSE))=TRUE,"",
              VLOOKUP($G95,DanaSehat!$L$13:$AK$14,Y$4,FALSE)))</t>
  </si>
  <si>
    <t>=IF(ISNUMBER($L$6)=FALSE,"",
        IF(ISERROR(VLOOKUP($G95,DanaSehat!$L$13:$AK$14,Z$4,FALSE))=TRUE,"",
              VLOOKUP($G95,DanaSehat!$L$13:$AK$14,Z$4,FALSE)))</t>
  </si>
  <si>
    <t>=IF(ISNUMBER($L$6)=FALSE,"",
        IF(ISERROR(VLOOKUP($G95,DanaSehat!$L$13:$AK$14,AA$4,FALSE))=TRUE,"",
              VLOOKUP($G95,DanaSehat!$L$13:$AK$14,AA$4,FALSE)))</t>
  </si>
  <si>
    <t>=IF(ISNUMBER($L$6)=FALSE,"",
        IF(ISERROR(VLOOKUP($G95,DanaSehat!$L$13:$AK$14,AB$4,FALSE))=TRUE,"",
              VLOOKUP($G95,DanaSehat!$L$13:$AK$14,AB$4,FALSE)))</t>
  </si>
  <si>
    <t>=IF(ISNUMBER($L$6)=FALSE,"",
        IF(ISERROR(VLOOKUP($G95,DanaSehat!$L$13:$AK$14,AC$4,FALSE))=TRUE,"",
              VLOOKUP($G95,DanaSehat!$L$13:$AK$14,AC$4,FALSE)))</t>
  </si>
  <si>
    <t>=IF(ISNUMBER($L$6)=FALSE,"",
        IF(ISERROR(VLOOKUP($G95,DanaSehat!$L$13:$AK$14,AD$4,FALSE))=TRUE,"",
              VLOOKUP($G95,DanaSehat!$L$13:$AK$14,AD$4,FALSE)))</t>
  </si>
  <si>
    <t>=IF(ISNUMBER($L$6)=FALSE,"",
        IF(ISERROR(VLOOKUP($G95,DanaSehat!$L$13:$AK$14,AE$4,FALSE))=TRUE,"",
              VLOOKUP($G95,DanaSehat!$L$13:$AK$14,AE$4,FALSE)))</t>
  </si>
  <si>
    <t>=IF(ISNUMBER($L$6)=FALSE,"",
        IF(ISERROR(VLOOKUP($G95,DanaSehat!$L$13:$AK$14,AF$4,FALSE))=TRUE,"",
              VLOOKUP($G95,DanaSehat!$L$13:$AK$14,AF$4,FALSE)))</t>
  </si>
  <si>
    <t>=IF($C95=$C$4,0,
       IF($C95=0,0,$C95+1))</t>
  </si>
  <si>
    <t>=IF(ISNUMBER($L$6)=FALSE,"",
IF($C96=0,"",$C96))</t>
  </si>
  <si>
    <t>=IF(ISNUMBER($L$6)=FALSE,"",
IF($C96=0,"",VLOOKUP($E96,DanaSehat!$H$13:$L$14,4,FALSE)))</t>
  </si>
  <si>
    <t>=IF(ISNUMBER($L$6)=FALSE,"",
IF($C96=0,"",VLOOKUP($E96,DanaSehat!$H$13:$L$14,5,FALSE)))</t>
  </si>
  <si>
    <t>=IF(ISNUMBER($L$6)=FALSE,"",
IF($C96=0,"",SUM(I96:AF96)))</t>
  </si>
  <si>
    <t>=IF(ISNUMBER($L$6)=FALSE,"",
        IF(ISERROR(VLOOKUP($G96,DanaSehat!$L$13:$AK$14,I$4,FALSE))=TRUE,"",
              VLOOKUP($G96,DanaSehat!$L$13:$AK$14,I$4,FALSE)))</t>
  </si>
  <si>
    <t>=IF(ISNUMBER($L$6)=FALSE,"",
        IF(ISERROR(VLOOKUP($G96,DanaSehat!$L$13:$AK$14,J$4,FALSE))=TRUE,"",
              VLOOKUP($G96,DanaSehat!$L$13:$AK$14,J$4,FALSE)))</t>
  </si>
  <si>
    <t>=IF(ISNUMBER($L$6)=FALSE,"",
        IF(ISERROR(VLOOKUP($G96,DanaSehat!$L$13:$AK$14,K$4,FALSE))=TRUE,"",
              VLOOKUP($G96,DanaSehat!$L$13:$AK$14,K$4,FALSE)))</t>
  </si>
  <si>
    <t>=IF(ISNUMBER($L$6)=FALSE,"",
        IF(ISERROR(VLOOKUP($G96,DanaSehat!$L$13:$AK$14,L$4,FALSE))=TRUE,"",
              VLOOKUP($G96,DanaSehat!$L$13:$AK$14,L$4,FALSE)))</t>
  </si>
  <si>
    <t>=IF(ISNUMBER($L$6)=FALSE,"",
        IF(ISERROR(VLOOKUP($G96,DanaSehat!$L$13:$AK$14,M$4,FALSE))=TRUE,"",
              VLOOKUP($G96,DanaSehat!$L$13:$AK$14,M$4,FALSE)))</t>
  </si>
  <si>
    <t>=IF(ISNUMBER($L$6)=FALSE,"",
        IF(ISERROR(VLOOKUP($G96,DanaSehat!$L$13:$AK$14,N$4,FALSE))=TRUE,"",
              VLOOKUP($G96,DanaSehat!$L$13:$AK$14,N$4,FALSE)))</t>
  </si>
  <si>
    <t>=IF(ISNUMBER($L$6)=FALSE,"",
        IF(ISERROR(VLOOKUP($G96,DanaSehat!$L$13:$AK$14,O$4,FALSE))=TRUE,"",
              VLOOKUP($G96,DanaSehat!$L$13:$AK$14,O$4,FALSE)))</t>
  </si>
  <si>
    <t>=IF(ISNUMBER($L$6)=FALSE,"",
        IF(ISERROR(VLOOKUP($G96,DanaSehat!$L$13:$AK$14,P$4,FALSE))=TRUE,"",
              VLOOKUP($G96,DanaSehat!$L$13:$AK$14,P$4,FALSE)))</t>
  </si>
  <si>
    <t>=IF(ISNUMBER($L$6)=FALSE,"",
        IF(ISERROR(VLOOKUP($G96,DanaSehat!$L$13:$AK$14,Q$4,FALSE))=TRUE,"",
              VLOOKUP($G96,DanaSehat!$L$13:$AK$14,Q$4,FALSE)))</t>
  </si>
  <si>
    <t>=IF(ISNUMBER($L$6)=FALSE,"",
        IF(ISERROR(VLOOKUP($G96,DanaSehat!$L$13:$AK$14,R$4,FALSE))=TRUE,"",
              VLOOKUP($G96,DanaSehat!$L$13:$AK$14,R$4,FALSE)))</t>
  </si>
  <si>
    <t>=IF(ISNUMBER($L$6)=FALSE,"",
        IF(ISERROR(VLOOKUP($G96,DanaSehat!$L$13:$AK$14,S$4,FALSE))=TRUE,"",
              VLOOKUP($G96,DanaSehat!$L$13:$AK$14,S$4,FALSE)))</t>
  </si>
  <si>
    <t>=IF(ISNUMBER($L$6)=FALSE,"",
        IF(ISERROR(VLOOKUP($G96,DanaSehat!$L$13:$AK$14,T$4,FALSE))=TRUE,"",
              VLOOKUP($G96,DanaSehat!$L$13:$AK$14,T$4,FALSE)))</t>
  </si>
  <si>
    <t>=IF(ISNUMBER($L$6)=FALSE,"",
        IF(ISERROR(VLOOKUP($G96,DanaSehat!$L$13:$AK$14,U$4,FALSE))=TRUE,"",
              VLOOKUP($G96,DanaSehat!$L$13:$AK$14,U$4,FALSE)))</t>
  </si>
  <si>
    <t>=IF(ISNUMBER($L$6)=FALSE,"",
        IF(ISERROR(VLOOKUP($G96,DanaSehat!$L$13:$AK$14,V$4,FALSE))=TRUE,"",
              VLOOKUP($G96,DanaSehat!$L$13:$AK$14,V$4,FALSE)))</t>
  </si>
  <si>
    <t>=IF(ISNUMBER($L$6)=FALSE,"",
        IF(ISERROR(VLOOKUP($G96,DanaSehat!$L$13:$AK$14,W$4,FALSE))=TRUE,"",
              VLOOKUP($G96,DanaSehat!$L$13:$AK$14,W$4,FALSE)))</t>
  </si>
  <si>
    <t>=IF(ISNUMBER($L$6)=FALSE,"",
        IF(ISERROR(VLOOKUP($G96,DanaSehat!$L$13:$AK$14,X$4,FALSE))=TRUE,"",
              VLOOKUP($G96,DanaSehat!$L$13:$AK$14,X$4,FALSE)))</t>
  </si>
  <si>
    <t>=IF(ISNUMBER($L$6)=FALSE,"",
        IF(ISERROR(VLOOKUP($G96,DanaSehat!$L$13:$AK$14,Y$4,FALSE))=TRUE,"",
              VLOOKUP($G96,DanaSehat!$L$13:$AK$14,Y$4,FALSE)))</t>
  </si>
  <si>
    <t>=IF(ISNUMBER($L$6)=FALSE,"",
        IF(ISERROR(VLOOKUP($G96,DanaSehat!$L$13:$AK$14,Z$4,FALSE))=TRUE,"",
              VLOOKUP($G96,DanaSehat!$L$13:$AK$14,Z$4,FALSE)))</t>
  </si>
  <si>
    <t>=IF(ISNUMBER($L$6)=FALSE,"",
        IF(ISERROR(VLOOKUP($G96,DanaSehat!$L$13:$AK$14,AA$4,FALSE))=TRUE,"",
              VLOOKUP($G96,DanaSehat!$L$13:$AK$14,AA$4,FALSE)))</t>
  </si>
  <si>
    <t>=IF(ISNUMBER($L$6)=FALSE,"",
        IF(ISERROR(VLOOKUP($G96,DanaSehat!$L$13:$AK$14,AB$4,FALSE))=TRUE,"",
              VLOOKUP($G96,DanaSehat!$L$13:$AK$14,AB$4,FALSE)))</t>
  </si>
  <si>
    <t>=IF(ISNUMBER($L$6)=FALSE,"",
        IF(ISERROR(VLOOKUP($G96,DanaSehat!$L$13:$AK$14,AC$4,FALSE))=TRUE,"",
              VLOOKUP($G96,DanaSehat!$L$13:$AK$14,AC$4,FALSE)))</t>
  </si>
  <si>
    <t>=IF(ISNUMBER($L$6)=FALSE,"",
        IF(ISERROR(VLOOKUP($G96,DanaSehat!$L$13:$AK$14,AD$4,FALSE))=TRUE,"",
              VLOOKUP($G96,DanaSehat!$L$13:$AK$14,AD$4,FALSE)))</t>
  </si>
  <si>
    <t>=IF(ISNUMBER($L$6)=FALSE,"",
        IF(ISERROR(VLOOKUP($G96,DanaSehat!$L$13:$AK$14,AE$4,FALSE))=TRUE,"",
              VLOOKUP($G96,DanaSehat!$L$13:$AK$14,AE$4,FALSE)))</t>
  </si>
  <si>
    <t>=IF(ISNUMBER($L$6)=FALSE,"",
        IF(ISERROR(VLOOKUP($G96,DanaSehat!$L$13:$AK$14,AF$4,FALSE))=TRUE,"",
              VLOOKUP($G96,DanaSehat!$L$13:$AK$14,AF$4,FALSE)))</t>
  </si>
  <si>
    <t>=IF($C96=$C$4,0,
       IF($C96=0,0,$C96+1))</t>
  </si>
  <si>
    <t>=IF(ISNUMBER($L$6)=FALSE,"",
IF($C97=0,"",$C97))</t>
  </si>
  <si>
    <t>=IF(ISNUMBER($L$6)=FALSE,"",
IF($C97=0,"",VLOOKUP($E97,DanaSehat!$H$13:$L$14,4,FALSE)))</t>
  </si>
  <si>
    <t>=IF(ISNUMBER($L$6)=FALSE,"",
IF($C97=0,"",VLOOKUP($E97,DanaSehat!$H$13:$L$14,5,FALSE)))</t>
  </si>
  <si>
    <t>=IF(ISNUMBER($L$6)=FALSE,"",
IF($C97=0,"",SUM(I97:AF97)))</t>
  </si>
  <si>
    <t>=IF(ISNUMBER($L$6)=FALSE,"",
        IF(ISERROR(VLOOKUP($G97,DanaSehat!$L$13:$AK$14,I$4,FALSE))=TRUE,"",
              VLOOKUP($G97,DanaSehat!$L$13:$AK$14,I$4,FALSE)))</t>
  </si>
  <si>
    <t>=IF(ISNUMBER($L$6)=FALSE,"",
        IF(ISERROR(VLOOKUP($G97,DanaSehat!$L$13:$AK$14,J$4,FALSE))=TRUE,"",
              VLOOKUP($G97,DanaSehat!$L$13:$AK$14,J$4,FALSE)))</t>
  </si>
  <si>
    <t>=IF(ISNUMBER($L$6)=FALSE,"",
        IF(ISERROR(VLOOKUP($G97,DanaSehat!$L$13:$AK$14,K$4,FALSE))=TRUE,"",
              VLOOKUP($G97,DanaSehat!$L$13:$AK$14,K$4,FALSE)))</t>
  </si>
  <si>
    <t>=IF(ISNUMBER($L$6)=FALSE,"",
        IF(ISERROR(VLOOKUP($G97,DanaSehat!$L$13:$AK$14,L$4,FALSE))=TRUE,"",
              VLOOKUP($G97,DanaSehat!$L$13:$AK$14,L$4,FALSE)))</t>
  </si>
  <si>
    <t>=IF(ISNUMBER($L$6)=FALSE,"",
        IF(ISERROR(VLOOKUP($G97,DanaSehat!$L$13:$AK$14,M$4,FALSE))=TRUE,"",
              VLOOKUP($G97,DanaSehat!$L$13:$AK$14,M$4,FALSE)))</t>
  </si>
  <si>
    <t>=IF(ISNUMBER($L$6)=FALSE,"",
        IF(ISERROR(VLOOKUP($G97,DanaSehat!$L$13:$AK$14,N$4,FALSE))=TRUE,"",
              VLOOKUP($G97,DanaSehat!$L$13:$AK$14,N$4,FALSE)))</t>
  </si>
  <si>
    <t>=IF(ISNUMBER($L$6)=FALSE,"",
        IF(ISERROR(VLOOKUP($G97,DanaSehat!$L$13:$AK$14,O$4,FALSE))=TRUE,"",
              VLOOKUP($G97,DanaSehat!$L$13:$AK$14,O$4,FALSE)))</t>
  </si>
  <si>
    <t>=IF(ISNUMBER($L$6)=FALSE,"",
        IF(ISERROR(VLOOKUP($G97,DanaSehat!$L$13:$AK$14,P$4,FALSE))=TRUE,"",
              VLOOKUP($G97,DanaSehat!$L$13:$AK$14,P$4,FALSE)))</t>
  </si>
  <si>
    <t>=IF(ISNUMBER($L$6)=FALSE,"",
        IF(ISERROR(VLOOKUP($G97,DanaSehat!$L$13:$AK$14,Q$4,FALSE))=TRUE,"",
              VLOOKUP($G97,DanaSehat!$L$13:$AK$14,Q$4,FALSE)))</t>
  </si>
  <si>
    <t>=IF(ISNUMBER($L$6)=FALSE,"",
        IF(ISERROR(VLOOKUP($G97,DanaSehat!$L$13:$AK$14,R$4,FALSE))=TRUE,"",
              VLOOKUP($G97,DanaSehat!$L$13:$AK$14,R$4,FALSE)))</t>
  </si>
  <si>
    <t>=IF(ISNUMBER($L$6)=FALSE,"",
        IF(ISERROR(VLOOKUP($G97,DanaSehat!$L$13:$AK$14,S$4,FALSE))=TRUE,"",
              VLOOKUP($G97,DanaSehat!$L$13:$AK$14,S$4,FALSE)))</t>
  </si>
  <si>
    <t>=IF(ISNUMBER($L$6)=FALSE,"",
        IF(ISERROR(VLOOKUP($G97,DanaSehat!$L$13:$AK$14,T$4,FALSE))=TRUE,"",
              VLOOKUP($G97,DanaSehat!$L$13:$AK$14,T$4,FALSE)))</t>
  </si>
  <si>
    <t>=IF(ISNUMBER($L$6)=FALSE,"",
        IF(ISERROR(VLOOKUP($G97,DanaSehat!$L$13:$AK$14,U$4,FALSE))=TRUE,"",
              VLOOKUP($G97,DanaSehat!$L$13:$AK$14,U$4,FALSE)))</t>
  </si>
  <si>
    <t>=IF(ISNUMBER($L$6)=FALSE,"",
        IF(ISERROR(VLOOKUP($G97,DanaSehat!$L$13:$AK$14,V$4,FALSE))=TRUE,"",
              VLOOKUP($G97,DanaSehat!$L$13:$AK$14,V$4,FALSE)))</t>
  </si>
  <si>
    <t>=IF(ISNUMBER($L$6)=FALSE,"",
        IF(ISERROR(VLOOKUP($G97,DanaSehat!$L$13:$AK$14,W$4,FALSE))=TRUE,"",
              VLOOKUP($G97,DanaSehat!$L$13:$AK$14,W$4,FALSE)))</t>
  </si>
  <si>
    <t>=IF(ISNUMBER($L$6)=FALSE,"",
        IF(ISERROR(VLOOKUP($G97,DanaSehat!$L$13:$AK$14,X$4,FALSE))=TRUE,"",
              VLOOKUP($G97,DanaSehat!$L$13:$AK$14,X$4,FALSE)))</t>
  </si>
  <si>
    <t>=IF(ISNUMBER($L$6)=FALSE,"",
        IF(ISERROR(VLOOKUP($G97,DanaSehat!$L$13:$AK$14,Y$4,FALSE))=TRUE,"",
              VLOOKUP($G97,DanaSehat!$L$13:$AK$14,Y$4,FALSE)))</t>
  </si>
  <si>
    <t>=IF(ISNUMBER($L$6)=FALSE,"",
        IF(ISERROR(VLOOKUP($G97,DanaSehat!$L$13:$AK$14,Z$4,FALSE))=TRUE,"",
              VLOOKUP($G97,DanaSehat!$L$13:$AK$14,Z$4,FALSE)))</t>
  </si>
  <si>
    <t>=IF(ISNUMBER($L$6)=FALSE,"",
        IF(ISERROR(VLOOKUP($G97,DanaSehat!$L$13:$AK$14,AA$4,FALSE))=TRUE,"",
              VLOOKUP($G97,DanaSehat!$L$13:$AK$14,AA$4,FALSE)))</t>
  </si>
  <si>
    <t>=IF(ISNUMBER($L$6)=FALSE,"",
        IF(ISERROR(VLOOKUP($G97,DanaSehat!$L$13:$AK$14,AB$4,FALSE))=TRUE,"",
              VLOOKUP($G97,DanaSehat!$L$13:$AK$14,AB$4,FALSE)))</t>
  </si>
  <si>
    <t>=IF(ISNUMBER($L$6)=FALSE,"",
        IF(ISERROR(VLOOKUP($G97,DanaSehat!$L$13:$AK$14,AC$4,FALSE))=TRUE,"",
              VLOOKUP($G97,DanaSehat!$L$13:$AK$14,AC$4,FALSE)))</t>
  </si>
  <si>
    <t>=IF(ISNUMBER($L$6)=FALSE,"",
        IF(ISERROR(VLOOKUP($G97,DanaSehat!$L$13:$AK$14,AD$4,FALSE))=TRUE,"",
              VLOOKUP($G97,DanaSehat!$L$13:$AK$14,AD$4,FALSE)))</t>
  </si>
  <si>
    <t>=IF(ISNUMBER($L$6)=FALSE,"",
        IF(ISERROR(VLOOKUP($G97,DanaSehat!$L$13:$AK$14,AE$4,FALSE))=TRUE,"",
              VLOOKUP($G97,DanaSehat!$L$13:$AK$14,AE$4,FALSE)))</t>
  </si>
  <si>
    <t>=IF(ISNUMBER($L$6)=FALSE,"",
        IF(ISERROR(VLOOKUP($G97,DanaSehat!$L$13:$AK$14,AF$4,FALSE))=TRUE,"",
              VLOOKUP($G97,DanaSehat!$L$13:$AK$14,AF$4,FALSE)))</t>
  </si>
  <si>
    <t>=IF($C97=$C$4,0,
       IF($C97=0,0,$C97+1))</t>
  </si>
  <si>
    <t>=IF(ISNUMBER($L$6)=FALSE,"",
IF($C98=0,"",$C98))</t>
  </si>
  <si>
    <t>=IF(ISNUMBER($L$6)=FALSE,"",
IF($C98=0,"",VLOOKUP($E98,DanaSehat!$H$13:$L$14,4,FALSE)))</t>
  </si>
  <si>
    <t>=IF(ISNUMBER($L$6)=FALSE,"",
IF($C98=0,"",VLOOKUP($E98,DanaSehat!$H$13:$L$14,5,FALSE)))</t>
  </si>
  <si>
    <t>=IF(ISNUMBER($L$6)=FALSE,"",
IF($C98=0,"",SUM(I98:AF98)))</t>
  </si>
  <si>
    <t>=IF(ISNUMBER($L$6)=FALSE,"",
        IF(ISERROR(VLOOKUP($G98,DanaSehat!$L$13:$AK$14,I$4,FALSE))=TRUE,"",
              VLOOKUP($G98,DanaSehat!$L$13:$AK$14,I$4,FALSE)))</t>
  </si>
  <si>
    <t>=IF(ISNUMBER($L$6)=FALSE,"",
        IF(ISERROR(VLOOKUP($G98,DanaSehat!$L$13:$AK$14,J$4,FALSE))=TRUE,"",
              VLOOKUP($G98,DanaSehat!$L$13:$AK$14,J$4,FALSE)))</t>
  </si>
  <si>
    <t>=IF(ISNUMBER($L$6)=FALSE,"",
        IF(ISERROR(VLOOKUP($G98,DanaSehat!$L$13:$AK$14,K$4,FALSE))=TRUE,"",
              VLOOKUP($G98,DanaSehat!$L$13:$AK$14,K$4,FALSE)))</t>
  </si>
  <si>
    <t>=IF(ISNUMBER($L$6)=FALSE,"",
        IF(ISERROR(VLOOKUP($G98,DanaSehat!$L$13:$AK$14,L$4,FALSE))=TRUE,"",
              VLOOKUP($G98,DanaSehat!$L$13:$AK$14,L$4,FALSE)))</t>
  </si>
  <si>
    <t>=IF(ISNUMBER($L$6)=FALSE,"",
        IF(ISERROR(VLOOKUP($G98,DanaSehat!$L$13:$AK$14,M$4,FALSE))=TRUE,"",
              VLOOKUP($G98,DanaSehat!$L$13:$AK$14,M$4,FALSE)))</t>
  </si>
  <si>
    <t>=IF(ISNUMBER($L$6)=FALSE,"",
        IF(ISERROR(VLOOKUP($G98,DanaSehat!$L$13:$AK$14,N$4,FALSE))=TRUE,"",
              VLOOKUP($G98,DanaSehat!$L$13:$AK$14,N$4,FALSE)))</t>
  </si>
  <si>
    <t>=IF(ISNUMBER($L$6)=FALSE,"",
        IF(ISERROR(VLOOKUP($G98,DanaSehat!$L$13:$AK$14,O$4,FALSE))=TRUE,"",
              VLOOKUP($G98,DanaSehat!$L$13:$AK$14,O$4,FALSE)))</t>
  </si>
  <si>
    <t>=IF(ISNUMBER($L$6)=FALSE,"",
        IF(ISERROR(VLOOKUP($G98,DanaSehat!$L$13:$AK$14,P$4,FALSE))=TRUE,"",
              VLOOKUP($G98,DanaSehat!$L$13:$AK$14,P$4,FALSE)))</t>
  </si>
  <si>
    <t>=IF(ISNUMBER($L$6)=FALSE,"",
        IF(ISERROR(VLOOKUP($G98,DanaSehat!$L$13:$AK$14,Q$4,FALSE))=TRUE,"",
              VLOOKUP($G98,DanaSehat!$L$13:$AK$14,Q$4,FALSE)))</t>
  </si>
  <si>
    <t>=IF(ISNUMBER($L$6)=FALSE,"",
        IF(ISERROR(VLOOKUP($G98,DanaSehat!$L$13:$AK$14,R$4,FALSE))=TRUE,"",
              VLOOKUP($G98,DanaSehat!$L$13:$AK$14,R$4,FALSE)))</t>
  </si>
  <si>
    <t>=IF(ISNUMBER($L$6)=FALSE,"",
        IF(ISERROR(VLOOKUP($G98,DanaSehat!$L$13:$AK$14,S$4,FALSE))=TRUE,"",
              VLOOKUP($G98,DanaSehat!$L$13:$AK$14,S$4,FALSE)))</t>
  </si>
  <si>
    <t>=IF(ISNUMBER($L$6)=FALSE,"",
        IF(ISERROR(VLOOKUP($G98,DanaSehat!$L$13:$AK$14,T$4,FALSE))=TRUE,"",
              VLOOKUP($G98,DanaSehat!$L$13:$AK$14,T$4,FALSE)))</t>
  </si>
  <si>
    <t>=IF(ISNUMBER($L$6)=FALSE,"",
        IF(ISERROR(VLOOKUP($G98,DanaSehat!$L$13:$AK$14,U$4,FALSE))=TRUE,"",
              VLOOKUP($G98,DanaSehat!$L$13:$AK$14,U$4,FALSE)))</t>
  </si>
  <si>
    <t>=IF(ISNUMBER($L$6)=FALSE,"",
        IF(ISERROR(VLOOKUP($G98,DanaSehat!$L$13:$AK$14,V$4,FALSE))=TRUE,"",
              VLOOKUP($G98,DanaSehat!$L$13:$AK$14,V$4,FALSE)))</t>
  </si>
  <si>
    <t>=IF(ISNUMBER($L$6)=FALSE,"",
        IF(ISERROR(VLOOKUP($G98,DanaSehat!$L$13:$AK$14,W$4,FALSE))=TRUE,"",
              VLOOKUP($G98,DanaSehat!$L$13:$AK$14,W$4,FALSE)))</t>
  </si>
  <si>
    <t>=IF(ISNUMBER($L$6)=FALSE,"",
        IF(ISERROR(VLOOKUP($G98,DanaSehat!$L$13:$AK$14,X$4,FALSE))=TRUE,"",
              VLOOKUP($G98,DanaSehat!$L$13:$AK$14,X$4,FALSE)))</t>
  </si>
  <si>
    <t>=IF(ISNUMBER($L$6)=FALSE,"",
        IF(ISERROR(VLOOKUP($G98,DanaSehat!$L$13:$AK$14,Y$4,FALSE))=TRUE,"",
              VLOOKUP($G98,DanaSehat!$L$13:$AK$14,Y$4,FALSE)))</t>
  </si>
  <si>
    <t>=IF(ISNUMBER($L$6)=FALSE,"",
        IF(ISERROR(VLOOKUP($G98,DanaSehat!$L$13:$AK$14,Z$4,FALSE))=TRUE,"",
              VLOOKUP($G98,DanaSehat!$L$13:$AK$14,Z$4,FALSE)))</t>
  </si>
  <si>
    <t>=IF(ISNUMBER($L$6)=FALSE,"",
        IF(ISERROR(VLOOKUP($G98,DanaSehat!$L$13:$AK$14,AA$4,FALSE))=TRUE,"",
              VLOOKUP($G98,DanaSehat!$L$13:$AK$14,AA$4,FALSE)))</t>
  </si>
  <si>
    <t>=IF(ISNUMBER($L$6)=FALSE,"",
        IF(ISERROR(VLOOKUP($G98,DanaSehat!$L$13:$AK$14,AB$4,FALSE))=TRUE,"",
              VLOOKUP($G98,DanaSehat!$L$13:$AK$14,AB$4,FALSE)))</t>
  </si>
  <si>
    <t>=IF(ISNUMBER($L$6)=FALSE,"",
        IF(ISERROR(VLOOKUP($G98,DanaSehat!$L$13:$AK$14,AC$4,FALSE))=TRUE,"",
              VLOOKUP($G98,DanaSehat!$L$13:$AK$14,AC$4,FALSE)))</t>
  </si>
  <si>
    <t>=IF(ISNUMBER($L$6)=FALSE,"",
        IF(ISERROR(VLOOKUP($G98,DanaSehat!$L$13:$AK$14,AD$4,FALSE))=TRUE,"",
              VLOOKUP($G98,DanaSehat!$L$13:$AK$14,AD$4,FALSE)))</t>
  </si>
  <si>
    <t>=IF(ISNUMBER($L$6)=FALSE,"",
        IF(ISERROR(VLOOKUP($G98,DanaSehat!$L$13:$AK$14,AE$4,FALSE))=TRUE,"",
              VLOOKUP($G98,DanaSehat!$L$13:$AK$14,AE$4,FALSE)))</t>
  </si>
  <si>
    <t>=IF(ISNUMBER($L$6)=FALSE,"",
        IF(ISERROR(VLOOKUP($G98,DanaSehat!$L$13:$AK$14,AF$4,FALSE))=TRUE,"",
              VLOOKUP($G98,DanaSehat!$L$13:$AK$14,AF$4,FALSE)))</t>
  </si>
  <si>
    <t>=IF($C98=$C$4,0,
       IF($C98=0,0,$C98+1))</t>
  </si>
  <si>
    <t>=IF(ISNUMBER($L$6)=FALSE,"",
IF($C99=0,"",$C99))</t>
  </si>
  <si>
    <t>=IF(ISNUMBER($L$6)=FALSE,"",
IF($C99=0,"",VLOOKUP($E99,DanaSehat!$H$13:$L$14,4,FALSE)))</t>
  </si>
  <si>
    <t>=IF(ISNUMBER($L$6)=FALSE,"",
IF($C99=0,"",VLOOKUP($E99,DanaSehat!$H$13:$L$14,5,FALSE)))</t>
  </si>
  <si>
    <t>=IF(ISNUMBER($L$6)=FALSE,"",
IF($C99=0,"",SUM(I99:AF99)))</t>
  </si>
  <si>
    <t>=IF(ISNUMBER($L$6)=FALSE,"",
        IF(ISERROR(VLOOKUP($G99,DanaSehat!$L$13:$AK$14,I$4,FALSE))=TRUE,"",
              VLOOKUP($G99,DanaSehat!$L$13:$AK$14,I$4,FALSE)))</t>
  </si>
  <si>
    <t>=IF(ISNUMBER($L$6)=FALSE,"",
        IF(ISERROR(VLOOKUP($G99,DanaSehat!$L$13:$AK$14,J$4,FALSE))=TRUE,"",
              VLOOKUP($G99,DanaSehat!$L$13:$AK$14,J$4,FALSE)))</t>
  </si>
  <si>
    <t>=IF(ISNUMBER($L$6)=FALSE,"",
        IF(ISERROR(VLOOKUP($G99,DanaSehat!$L$13:$AK$14,K$4,FALSE))=TRUE,"",
              VLOOKUP($G99,DanaSehat!$L$13:$AK$14,K$4,FALSE)))</t>
  </si>
  <si>
    <t>=IF(ISNUMBER($L$6)=FALSE,"",
        IF(ISERROR(VLOOKUP($G99,DanaSehat!$L$13:$AK$14,L$4,FALSE))=TRUE,"",
              VLOOKUP($G99,DanaSehat!$L$13:$AK$14,L$4,FALSE)))</t>
  </si>
  <si>
    <t>=IF(ISNUMBER($L$6)=FALSE,"",
        IF(ISERROR(VLOOKUP($G99,DanaSehat!$L$13:$AK$14,M$4,FALSE))=TRUE,"",
              VLOOKUP($G99,DanaSehat!$L$13:$AK$14,M$4,FALSE)))</t>
  </si>
  <si>
    <t>=IF(ISNUMBER($L$6)=FALSE,"",
        IF(ISERROR(VLOOKUP($G99,DanaSehat!$L$13:$AK$14,N$4,FALSE))=TRUE,"",
              VLOOKUP($G99,DanaSehat!$L$13:$AK$14,N$4,FALSE)))</t>
  </si>
  <si>
    <t>=IF(ISNUMBER($L$6)=FALSE,"",
        IF(ISERROR(VLOOKUP($G99,DanaSehat!$L$13:$AK$14,O$4,FALSE))=TRUE,"",
              VLOOKUP($G99,DanaSehat!$L$13:$AK$14,O$4,FALSE)))</t>
  </si>
  <si>
    <t>=IF(ISNUMBER($L$6)=FALSE,"",
        IF(ISERROR(VLOOKUP($G99,DanaSehat!$L$13:$AK$14,P$4,FALSE))=TRUE,"",
              VLOOKUP($G99,DanaSehat!$L$13:$AK$14,P$4,FALSE)))</t>
  </si>
  <si>
    <t>=IF(ISNUMBER($L$6)=FALSE,"",
        IF(ISERROR(VLOOKUP($G99,DanaSehat!$L$13:$AK$14,Q$4,FALSE))=TRUE,"",
              VLOOKUP($G99,DanaSehat!$L$13:$AK$14,Q$4,FALSE)))</t>
  </si>
  <si>
    <t>=IF(ISNUMBER($L$6)=FALSE,"",
        IF(ISERROR(VLOOKUP($G99,DanaSehat!$L$13:$AK$14,R$4,FALSE))=TRUE,"",
              VLOOKUP($G99,DanaSehat!$L$13:$AK$14,R$4,FALSE)))</t>
  </si>
  <si>
    <t>=IF(ISNUMBER($L$6)=FALSE,"",
        IF(ISERROR(VLOOKUP($G99,DanaSehat!$L$13:$AK$14,S$4,FALSE))=TRUE,"",
              VLOOKUP($G99,DanaSehat!$L$13:$AK$14,S$4,FALSE)))</t>
  </si>
  <si>
    <t>=IF(ISNUMBER($L$6)=FALSE,"",
        IF(ISERROR(VLOOKUP($G99,DanaSehat!$L$13:$AK$14,T$4,FALSE))=TRUE,"",
              VLOOKUP($G99,DanaSehat!$L$13:$AK$14,T$4,FALSE)))</t>
  </si>
  <si>
    <t>=IF(ISNUMBER($L$6)=FALSE,"",
        IF(ISERROR(VLOOKUP($G99,DanaSehat!$L$13:$AK$14,U$4,FALSE))=TRUE,"",
              VLOOKUP($G99,DanaSehat!$L$13:$AK$14,U$4,FALSE)))</t>
  </si>
  <si>
    <t>=IF(ISNUMBER($L$6)=FALSE,"",
        IF(ISERROR(VLOOKUP($G99,DanaSehat!$L$13:$AK$14,V$4,FALSE))=TRUE,"",
              VLOOKUP($G99,DanaSehat!$L$13:$AK$14,V$4,FALSE)))</t>
  </si>
  <si>
    <t>=IF(ISNUMBER($L$6)=FALSE,"",
        IF(ISERROR(VLOOKUP($G99,DanaSehat!$L$13:$AK$14,W$4,FALSE))=TRUE,"",
              VLOOKUP($G99,DanaSehat!$L$13:$AK$14,W$4,FALSE)))</t>
  </si>
  <si>
    <t>=IF(ISNUMBER($L$6)=FALSE,"",
        IF(ISERROR(VLOOKUP($G99,DanaSehat!$L$13:$AK$14,X$4,FALSE))=TRUE,"",
              VLOOKUP($G99,DanaSehat!$L$13:$AK$14,X$4,FALSE)))</t>
  </si>
  <si>
    <t>=IF(ISNUMBER($L$6)=FALSE,"",
        IF(ISERROR(VLOOKUP($G99,DanaSehat!$L$13:$AK$14,Y$4,FALSE))=TRUE,"",
              VLOOKUP($G99,DanaSehat!$L$13:$AK$14,Y$4,FALSE)))</t>
  </si>
  <si>
    <t>=IF(ISNUMBER($L$6)=FALSE,"",
        IF(ISERROR(VLOOKUP($G99,DanaSehat!$L$13:$AK$14,Z$4,FALSE))=TRUE,"",
              VLOOKUP($G99,DanaSehat!$L$13:$AK$14,Z$4,FALSE)))</t>
  </si>
  <si>
    <t>=IF(ISNUMBER($L$6)=FALSE,"",
        IF(ISERROR(VLOOKUP($G99,DanaSehat!$L$13:$AK$14,AA$4,FALSE))=TRUE,"",
              VLOOKUP($G99,DanaSehat!$L$13:$AK$14,AA$4,FALSE)))</t>
  </si>
  <si>
    <t>=IF(ISNUMBER($L$6)=FALSE,"",
        IF(ISERROR(VLOOKUP($G99,DanaSehat!$L$13:$AK$14,AB$4,FALSE))=TRUE,"",
              VLOOKUP($G99,DanaSehat!$L$13:$AK$14,AB$4,FALSE)))</t>
  </si>
  <si>
    <t>=IF(ISNUMBER($L$6)=FALSE,"",
        IF(ISERROR(VLOOKUP($G99,DanaSehat!$L$13:$AK$14,AC$4,FALSE))=TRUE,"",
              VLOOKUP($G99,DanaSehat!$L$13:$AK$14,AC$4,FALSE)))</t>
  </si>
  <si>
    <t>=IF(ISNUMBER($L$6)=FALSE,"",
        IF(ISERROR(VLOOKUP($G99,DanaSehat!$L$13:$AK$14,AD$4,FALSE))=TRUE,"",
              VLOOKUP($G99,DanaSehat!$L$13:$AK$14,AD$4,FALSE)))</t>
  </si>
  <si>
    <t>=IF(ISNUMBER($L$6)=FALSE,"",
        IF(ISERROR(VLOOKUP($G99,DanaSehat!$L$13:$AK$14,AE$4,FALSE))=TRUE,"",
              VLOOKUP($G99,DanaSehat!$L$13:$AK$14,AE$4,FALSE)))</t>
  </si>
  <si>
    <t>=IF(ISNUMBER($L$6)=FALSE,"",
        IF(ISERROR(VLOOKUP($G99,DanaSehat!$L$13:$AK$14,AF$4,FALSE))=TRUE,"",
              VLOOKUP($G99,DanaSehat!$L$13:$AK$14,AF$4,FALSE)))</t>
  </si>
  <si>
    <t>=IF($C99=$C$4,0,
       IF($C99=0,0,$C99+1))</t>
  </si>
  <si>
    <t>=IF(ISNUMBER($L$6)=FALSE,"",
IF($C100=0,"",$C100))</t>
  </si>
  <si>
    <t>=IF(ISNUMBER($L$6)=FALSE,"",
IF($C100=0,"",VLOOKUP($E100,DanaSehat!$H$13:$L$14,4,FALSE)))</t>
  </si>
  <si>
    <t>=IF(ISNUMBER($L$6)=FALSE,"",
IF($C100=0,"",VLOOKUP($E100,DanaSehat!$H$13:$L$14,5,FALSE)))</t>
  </si>
  <si>
    <t>=IF(ISNUMBER($L$6)=FALSE,"",
IF($C100=0,"",SUM(I100:AF100)))</t>
  </si>
  <si>
    <t>=IF(ISNUMBER($L$6)=FALSE,"",
        IF(ISERROR(VLOOKUP($G100,DanaSehat!$L$13:$AK$14,I$4,FALSE))=TRUE,"",
              VLOOKUP($G100,DanaSehat!$L$13:$AK$14,I$4,FALSE)))</t>
  </si>
  <si>
    <t>=IF(ISNUMBER($L$6)=FALSE,"",
        IF(ISERROR(VLOOKUP($G100,DanaSehat!$L$13:$AK$14,J$4,FALSE))=TRUE,"",
              VLOOKUP($G100,DanaSehat!$L$13:$AK$14,J$4,FALSE)))</t>
  </si>
  <si>
    <t>=IF(ISNUMBER($L$6)=FALSE,"",
        IF(ISERROR(VLOOKUP($G100,DanaSehat!$L$13:$AK$14,K$4,FALSE))=TRUE,"",
              VLOOKUP($G100,DanaSehat!$L$13:$AK$14,K$4,FALSE)))</t>
  </si>
  <si>
    <t>=IF(ISNUMBER($L$6)=FALSE,"",
        IF(ISERROR(VLOOKUP($G100,DanaSehat!$L$13:$AK$14,L$4,FALSE))=TRUE,"",
              VLOOKUP($G100,DanaSehat!$L$13:$AK$14,L$4,FALSE)))</t>
  </si>
  <si>
    <t>=IF(ISNUMBER($L$6)=FALSE,"",
        IF(ISERROR(VLOOKUP($G100,DanaSehat!$L$13:$AK$14,M$4,FALSE))=TRUE,"",
              VLOOKUP($G100,DanaSehat!$L$13:$AK$14,M$4,FALSE)))</t>
  </si>
  <si>
    <t>=IF(ISNUMBER($L$6)=FALSE,"",
        IF(ISERROR(VLOOKUP($G100,DanaSehat!$L$13:$AK$14,N$4,FALSE))=TRUE,"",
              VLOOKUP($G100,DanaSehat!$L$13:$AK$14,N$4,FALSE)))</t>
  </si>
  <si>
    <t>=IF(ISNUMBER($L$6)=FALSE,"",
        IF(ISERROR(VLOOKUP($G100,DanaSehat!$L$13:$AK$14,O$4,FALSE))=TRUE,"",
              VLOOKUP($G100,DanaSehat!$L$13:$AK$14,O$4,FALSE)))</t>
  </si>
  <si>
    <t>=IF(ISNUMBER($L$6)=FALSE,"",
        IF(ISERROR(VLOOKUP($G100,DanaSehat!$L$13:$AK$14,P$4,FALSE))=TRUE,"",
              VLOOKUP($G100,DanaSehat!$L$13:$AK$14,P$4,FALSE)))</t>
  </si>
  <si>
    <t>=IF(ISNUMBER($L$6)=FALSE,"",
        IF(ISERROR(VLOOKUP($G100,DanaSehat!$L$13:$AK$14,Q$4,FALSE))=TRUE,"",
              VLOOKUP($G100,DanaSehat!$L$13:$AK$14,Q$4,FALSE)))</t>
  </si>
  <si>
    <t>=IF(ISNUMBER($L$6)=FALSE,"",
        IF(ISERROR(VLOOKUP($G100,DanaSehat!$L$13:$AK$14,R$4,FALSE))=TRUE,"",
              VLOOKUP($G100,DanaSehat!$L$13:$AK$14,R$4,FALSE)))</t>
  </si>
  <si>
    <t>=IF(ISNUMBER($L$6)=FALSE,"",
        IF(ISERROR(VLOOKUP($G100,DanaSehat!$L$13:$AK$14,S$4,FALSE))=TRUE,"",
              VLOOKUP($G100,DanaSehat!$L$13:$AK$14,S$4,FALSE)))</t>
  </si>
  <si>
    <t>=IF(ISNUMBER($L$6)=FALSE,"",
        IF(ISERROR(VLOOKUP($G100,DanaSehat!$L$13:$AK$14,T$4,FALSE))=TRUE,"",
              VLOOKUP($G100,DanaSehat!$L$13:$AK$14,T$4,FALSE)))</t>
  </si>
  <si>
    <t>=IF(ISNUMBER($L$6)=FALSE,"",
        IF(ISERROR(VLOOKUP($G100,DanaSehat!$L$13:$AK$14,U$4,FALSE))=TRUE,"",
              VLOOKUP($G100,DanaSehat!$L$13:$AK$14,U$4,FALSE)))</t>
  </si>
  <si>
    <t>=IF(ISNUMBER($L$6)=FALSE,"",
        IF(ISERROR(VLOOKUP($G100,DanaSehat!$L$13:$AK$14,V$4,FALSE))=TRUE,"",
              VLOOKUP($G100,DanaSehat!$L$13:$AK$14,V$4,FALSE)))</t>
  </si>
  <si>
    <t>=IF(ISNUMBER($L$6)=FALSE,"",
        IF(ISERROR(VLOOKUP($G100,DanaSehat!$L$13:$AK$14,W$4,FALSE))=TRUE,"",
              VLOOKUP($G100,DanaSehat!$L$13:$AK$14,W$4,FALSE)))</t>
  </si>
  <si>
    <t>=IF(ISNUMBER($L$6)=FALSE,"",
        IF(ISERROR(VLOOKUP($G100,DanaSehat!$L$13:$AK$14,X$4,FALSE))=TRUE,"",
              VLOOKUP($G100,DanaSehat!$L$13:$AK$14,X$4,FALSE)))</t>
  </si>
  <si>
    <t>=IF(ISNUMBER($L$6)=FALSE,"",
        IF(ISERROR(VLOOKUP($G100,DanaSehat!$L$13:$AK$14,Y$4,FALSE))=TRUE,"",
              VLOOKUP($G100,DanaSehat!$L$13:$AK$14,Y$4,FALSE)))</t>
  </si>
  <si>
    <t>=IF(ISNUMBER($L$6)=FALSE,"",
        IF(ISERROR(VLOOKUP($G100,DanaSehat!$L$13:$AK$14,Z$4,FALSE))=TRUE,"",
              VLOOKUP($G100,DanaSehat!$L$13:$AK$14,Z$4,FALSE)))</t>
  </si>
  <si>
    <t>=IF(ISNUMBER($L$6)=FALSE,"",
        IF(ISERROR(VLOOKUP($G100,DanaSehat!$L$13:$AK$14,AA$4,FALSE))=TRUE,"",
              VLOOKUP($G100,DanaSehat!$L$13:$AK$14,AA$4,FALSE)))</t>
  </si>
  <si>
    <t>=IF(ISNUMBER($L$6)=FALSE,"",
        IF(ISERROR(VLOOKUP($G100,DanaSehat!$L$13:$AK$14,AB$4,FALSE))=TRUE,"",
              VLOOKUP($G100,DanaSehat!$L$13:$AK$14,AB$4,FALSE)))</t>
  </si>
  <si>
    <t>=IF(ISNUMBER($L$6)=FALSE,"",
        IF(ISERROR(VLOOKUP($G100,DanaSehat!$L$13:$AK$14,AC$4,FALSE))=TRUE,"",
              VLOOKUP($G100,DanaSehat!$L$13:$AK$14,AC$4,FALSE)))</t>
  </si>
  <si>
    <t>=IF(ISNUMBER($L$6)=FALSE,"",
        IF(ISERROR(VLOOKUP($G100,DanaSehat!$L$13:$AK$14,AD$4,FALSE))=TRUE,"",
              VLOOKUP($G100,DanaSehat!$L$13:$AK$14,AD$4,FALSE)))</t>
  </si>
  <si>
    <t>=IF(ISNUMBER($L$6)=FALSE,"",
        IF(ISERROR(VLOOKUP($G100,DanaSehat!$L$13:$AK$14,AE$4,FALSE))=TRUE,"",
              VLOOKUP($G100,DanaSehat!$L$13:$AK$14,AE$4,FALSE)))</t>
  </si>
  <si>
    <t>=IF(ISNUMBER($L$6)=FALSE,"",
        IF(ISERROR(VLOOKUP($G100,DanaSehat!$L$13:$AK$14,AF$4,FALSE))=TRUE,"",
              VLOOKUP($G100,DanaSehat!$L$13:$AK$14,AF$4,FALSE)))</t>
  </si>
  <si>
    <t>=IF($C100=$C$4,0,
       IF($C100=0,0,$C100+1))</t>
  </si>
  <si>
    <t>=IF(ISNUMBER($L$6)=FALSE,"",
IF($C101=0,"",$C101))</t>
  </si>
  <si>
    <t>=IF(ISNUMBER($L$6)=FALSE,"",
IF($C101=0,"",VLOOKUP($E101,DanaSehat!$H$13:$L$14,4,FALSE)))</t>
  </si>
  <si>
    <t>=IF(ISNUMBER($L$6)=FALSE,"",
IF($C101=0,"",VLOOKUP($E101,DanaSehat!$H$13:$L$14,5,FALSE)))</t>
  </si>
  <si>
    <t>=IF(ISNUMBER($L$6)=FALSE,"",
IF($C101=0,"",SUM(I101:AF101)))</t>
  </si>
  <si>
    <t>=IF(ISNUMBER($L$6)=FALSE,"",
        IF(ISERROR(VLOOKUP($G101,DanaSehat!$L$13:$AK$14,I$4,FALSE))=TRUE,"",
              VLOOKUP($G101,DanaSehat!$L$13:$AK$14,I$4,FALSE)))</t>
  </si>
  <si>
    <t>=IF(ISNUMBER($L$6)=FALSE,"",
        IF(ISERROR(VLOOKUP($G101,DanaSehat!$L$13:$AK$14,J$4,FALSE))=TRUE,"",
              VLOOKUP($G101,DanaSehat!$L$13:$AK$14,J$4,FALSE)))</t>
  </si>
  <si>
    <t>=IF(ISNUMBER($L$6)=FALSE,"",
        IF(ISERROR(VLOOKUP($G101,DanaSehat!$L$13:$AK$14,K$4,FALSE))=TRUE,"",
              VLOOKUP($G101,DanaSehat!$L$13:$AK$14,K$4,FALSE)))</t>
  </si>
  <si>
    <t>=IF(ISNUMBER($L$6)=FALSE,"",
        IF(ISERROR(VLOOKUP($G101,DanaSehat!$L$13:$AK$14,L$4,FALSE))=TRUE,"",
              VLOOKUP($G101,DanaSehat!$L$13:$AK$14,L$4,FALSE)))</t>
  </si>
  <si>
    <t>=IF(ISNUMBER($L$6)=FALSE,"",
        IF(ISERROR(VLOOKUP($G101,DanaSehat!$L$13:$AK$14,M$4,FALSE))=TRUE,"",
              VLOOKUP($G101,DanaSehat!$L$13:$AK$14,M$4,FALSE)))</t>
  </si>
  <si>
    <t>=IF(ISNUMBER($L$6)=FALSE,"",
        IF(ISERROR(VLOOKUP($G101,DanaSehat!$L$13:$AK$14,N$4,FALSE))=TRUE,"",
              VLOOKUP($G101,DanaSehat!$L$13:$AK$14,N$4,FALSE)))</t>
  </si>
  <si>
    <t>=IF(ISNUMBER($L$6)=FALSE,"",
        IF(ISERROR(VLOOKUP($G101,DanaSehat!$L$13:$AK$14,O$4,FALSE))=TRUE,"",
              VLOOKUP($G101,DanaSehat!$L$13:$AK$14,O$4,FALSE)))</t>
  </si>
  <si>
    <t>=IF(ISNUMBER($L$6)=FALSE,"",
        IF(ISERROR(VLOOKUP($G101,DanaSehat!$L$13:$AK$14,P$4,FALSE))=TRUE,"",
              VLOOKUP($G101,DanaSehat!$L$13:$AK$14,P$4,FALSE)))</t>
  </si>
  <si>
    <t>=IF(ISNUMBER($L$6)=FALSE,"",
        IF(ISERROR(VLOOKUP($G101,DanaSehat!$L$13:$AK$14,Q$4,FALSE))=TRUE,"",
              VLOOKUP($G101,DanaSehat!$L$13:$AK$14,Q$4,FALSE)))</t>
  </si>
  <si>
    <t>=IF(ISNUMBER($L$6)=FALSE,"",
        IF(ISERROR(VLOOKUP($G101,DanaSehat!$L$13:$AK$14,R$4,FALSE))=TRUE,"",
              VLOOKUP($G101,DanaSehat!$L$13:$AK$14,R$4,FALSE)))</t>
  </si>
  <si>
    <t>=IF(ISNUMBER($L$6)=FALSE,"",
        IF(ISERROR(VLOOKUP($G101,DanaSehat!$L$13:$AK$14,S$4,FALSE))=TRUE,"",
              VLOOKUP($G101,DanaSehat!$L$13:$AK$14,S$4,FALSE)))</t>
  </si>
  <si>
    <t>=IF(ISNUMBER($L$6)=FALSE,"",
        IF(ISERROR(VLOOKUP($G101,DanaSehat!$L$13:$AK$14,T$4,FALSE))=TRUE,"",
              VLOOKUP($G101,DanaSehat!$L$13:$AK$14,T$4,FALSE)))</t>
  </si>
  <si>
    <t>=IF(ISNUMBER($L$6)=FALSE,"",
        IF(ISERROR(VLOOKUP($G101,DanaSehat!$L$13:$AK$14,U$4,FALSE))=TRUE,"",
              VLOOKUP($G101,DanaSehat!$L$13:$AK$14,U$4,FALSE)))</t>
  </si>
  <si>
    <t>=IF(ISNUMBER($L$6)=FALSE,"",
        IF(ISERROR(VLOOKUP($G101,DanaSehat!$L$13:$AK$14,V$4,FALSE))=TRUE,"",
              VLOOKUP($G101,DanaSehat!$L$13:$AK$14,V$4,FALSE)))</t>
  </si>
  <si>
    <t>=IF(ISNUMBER($L$6)=FALSE,"",
        IF(ISERROR(VLOOKUP($G101,DanaSehat!$L$13:$AK$14,W$4,FALSE))=TRUE,"",
              VLOOKUP($G101,DanaSehat!$L$13:$AK$14,W$4,FALSE)))</t>
  </si>
  <si>
    <t>=IF(ISNUMBER($L$6)=FALSE,"",
        IF(ISERROR(VLOOKUP($G101,DanaSehat!$L$13:$AK$14,X$4,FALSE))=TRUE,"",
              VLOOKUP($G101,DanaSehat!$L$13:$AK$14,X$4,FALSE)))</t>
  </si>
  <si>
    <t>=IF(ISNUMBER($L$6)=FALSE,"",
        IF(ISERROR(VLOOKUP($G101,DanaSehat!$L$13:$AK$14,Y$4,FALSE))=TRUE,"",
              VLOOKUP($G101,DanaSehat!$L$13:$AK$14,Y$4,FALSE)))</t>
  </si>
  <si>
    <t>=IF(ISNUMBER($L$6)=FALSE,"",
        IF(ISERROR(VLOOKUP($G101,DanaSehat!$L$13:$AK$14,Z$4,FALSE))=TRUE,"",
              VLOOKUP($G101,DanaSehat!$L$13:$AK$14,Z$4,FALSE)))</t>
  </si>
  <si>
    <t>=IF(ISNUMBER($L$6)=FALSE,"",
        IF(ISERROR(VLOOKUP($G101,DanaSehat!$L$13:$AK$14,AA$4,FALSE))=TRUE,"",
              VLOOKUP($G101,DanaSehat!$L$13:$AK$14,AA$4,FALSE)))</t>
  </si>
  <si>
    <t>=IF(ISNUMBER($L$6)=FALSE,"",
        IF(ISERROR(VLOOKUP($G101,DanaSehat!$L$13:$AK$14,AB$4,FALSE))=TRUE,"",
              VLOOKUP($G101,DanaSehat!$L$13:$AK$14,AB$4,FALSE)))</t>
  </si>
  <si>
    <t>=IF(ISNUMBER($L$6)=FALSE,"",
        IF(ISERROR(VLOOKUP($G101,DanaSehat!$L$13:$AK$14,AC$4,FALSE))=TRUE,"",
              VLOOKUP($G101,DanaSehat!$L$13:$AK$14,AC$4,FALSE)))</t>
  </si>
  <si>
    <t>=IF(ISNUMBER($L$6)=FALSE,"",
        IF(ISERROR(VLOOKUP($G101,DanaSehat!$L$13:$AK$14,AD$4,FALSE))=TRUE,"",
              VLOOKUP($G101,DanaSehat!$L$13:$AK$14,AD$4,FALSE)))</t>
  </si>
  <si>
    <t>=IF(ISNUMBER($L$6)=FALSE,"",
        IF(ISERROR(VLOOKUP($G101,DanaSehat!$L$13:$AK$14,AE$4,FALSE))=TRUE,"",
              VLOOKUP($G101,DanaSehat!$L$13:$AK$14,AE$4,FALSE)))</t>
  </si>
  <si>
    <t>=IF(ISNUMBER($L$6)=FALSE,"",
        IF(ISERROR(VLOOKUP($G101,DanaSehat!$L$13:$AK$14,AF$4,FALSE))=TRUE,"",
              VLOOKUP($G101,DanaSehat!$L$13:$AK$14,AF$4,FALSE)))</t>
  </si>
  <si>
    <t>=IF($C101=$C$4,0,
       IF($C101=0,0,$C101+1))</t>
  </si>
  <si>
    <t>=IF(ISNUMBER($L$6)=FALSE,"",
IF($C102=0,"",$C102))</t>
  </si>
  <si>
    <t>=IF(ISNUMBER($L$6)=FALSE,"",
IF($C102=0,"",VLOOKUP($E102,DanaSehat!$H$13:$L$14,4,FALSE)))</t>
  </si>
  <si>
    <t>=IF(ISNUMBER($L$6)=FALSE,"",
IF($C102=0,"",VLOOKUP($E102,DanaSehat!$H$13:$L$14,5,FALSE)))</t>
  </si>
  <si>
    <t>=IF(ISNUMBER($L$6)=FALSE,"",
IF($C102=0,"",SUM(I102:AF102)))</t>
  </si>
  <si>
    <t>=IF(ISNUMBER($L$6)=FALSE,"",
        IF(ISERROR(VLOOKUP($G102,DanaSehat!$L$13:$AK$14,I$4,FALSE))=TRUE,"",
              VLOOKUP($G102,DanaSehat!$L$13:$AK$14,I$4,FALSE)))</t>
  </si>
  <si>
    <t>=IF(ISNUMBER($L$6)=FALSE,"",
        IF(ISERROR(VLOOKUP($G102,DanaSehat!$L$13:$AK$14,J$4,FALSE))=TRUE,"",
              VLOOKUP($G102,DanaSehat!$L$13:$AK$14,J$4,FALSE)))</t>
  </si>
  <si>
    <t>=IF(ISNUMBER($L$6)=FALSE,"",
        IF(ISERROR(VLOOKUP($G102,DanaSehat!$L$13:$AK$14,K$4,FALSE))=TRUE,"",
              VLOOKUP($G102,DanaSehat!$L$13:$AK$14,K$4,FALSE)))</t>
  </si>
  <si>
    <t>=IF(ISNUMBER($L$6)=FALSE,"",
        IF(ISERROR(VLOOKUP($G102,DanaSehat!$L$13:$AK$14,L$4,FALSE))=TRUE,"",
              VLOOKUP($G102,DanaSehat!$L$13:$AK$14,L$4,FALSE)))</t>
  </si>
  <si>
    <t>=IF(ISNUMBER($L$6)=FALSE,"",
        IF(ISERROR(VLOOKUP($G102,DanaSehat!$L$13:$AK$14,M$4,FALSE))=TRUE,"",
              VLOOKUP($G102,DanaSehat!$L$13:$AK$14,M$4,FALSE)))</t>
  </si>
  <si>
    <t>=IF(ISNUMBER($L$6)=FALSE,"",
        IF(ISERROR(VLOOKUP($G102,DanaSehat!$L$13:$AK$14,N$4,FALSE))=TRUE,"",
              VLOOKUP($G102,DanaSehat!$L$13:$AK$14,N$4,FALSE)))</t>
  </si>
  <si>
    <t>=IF(ISNUMBER($L$6)=FALSE,"",
        IF(ISERROR(VLOOKUP($G102,DanaSehat!$L$13:$AK$14,O$4,FALSE))=TRUE,"",
              VLOOKUP($G102,DanaSehat!$L$13:$AK$14,O$4,FALSE)))</t>
  </si>
  <si>
    <t>=IF(ISNUMBER($L$6)=FALSE,"",
        IF(ISERROR(VLOOKUP($G102,DanaSehat!$L$13:$AK$14,P$4,FALSE))=TRUE,"",
              VLOOKUP($G102,DanaSehat!$L$13:$AK$14,P$4,FALSE)))</t>
  </si>
  <si>
    <t>=IF(ISNUMBER($L$6)=FALSE,"",
        IF(ISERROR(VLOOKUP($G102,DanaSehat!$L$13:$AK$14,Q$4,FALSE))=TRUE,"",
              VLOOKUP($G102,DanaSehat!$L$13:$AK$14,Q$4,FALSE)))</t>
  </si>
  <si>
    <t>=IF(ISNUMBER($L$6)=FALSE,"",
        IF(ISERROR(VLOOKUP($G102,DanaSehat!$L$13:$AK$14,R$4,FALSE))=TRUE,"",
              VLOOKUP($G102,DanaSehat!$L$13:$AK$14,R$4,FALSE)))</t>
  </si>
  <si>
    <t>=IF(ISNUMBER($L$6)=FALSE,"",
        IF(ISERROR(VLOOKUP($G102,DanaSehat!$L$13:$AK$14,S$4,FALSE))=TRUE,"",
              VLOOKUP($G102,DanaSehat!$L$13:$AK$14,S$4,FALSE)))</t>
  </si>
  <si>
    <t>=IF(ISNUMBER($L$6)=FALSE,"",
        IF(ISERROR(VLOOKUP($G102,DanaSehat!$L$13:$AK$14,T$4,FALSE))=TRUE,"",
              VLOOKUP($G102,DanaSehat!$L$13:$AK$14,T$4,FALSE)))</t>
  </si>
  <si>
    <t>=IF(ISNUMBER($L$6)=FALSE,"",
        IF(ISERROR(VLOOKUP($G102,DanaSehat!$L$13:$AK$14,U$4,FALSE))=TRUE,"",
              VLOOKUP($G102,DanaSehat!$L$13:$AK$14,U$4,FALSE)))</t>
  </si>
  <si>
    <t>=IF(ISNUMBER($L$6)=FALSE,"",
        IF(ISERROR(VLOOKUP($G102,DanaSehat!$L$13:$AK$14,V$4,FALSE))=TRUE,"",
              VLOOKUP($G102,DanaSehat!$L$13:$AK$14,V$4,FALSE)))</t>
  </si>
  <si>
    <t>=IF(ISNUMBER($L$6)=FALSE,"",
        IF(ISERROR(VLOOKUP($G102,DanaSehat!$L$13:$AK$14,W$4,FALSE))=TRUE,"",
              VLOOKUP($G102,DanaSehat!$L$13:$AK$14,W$4,FALSE)))</t>
  </si>
  <si>
    <t>=IF(ISNUMBER($L$6)=FALSE,"",
        IF(ISERROR(VLOOKUP($G102,DanaSehat!$L$13:$AK$14,X$4,FALSE))=TRUE,"",
              VLOOKUP($G102,DanaSehat!$L$13:$AK$14,X$4,FALSE)))</t>
  </si>
  <si>
    <t>=IF(ISNUMBER($L$6)=FALSE,"",
        IF(ISERROR(VLOOKUP($G102,DanaSehat!$L$13:$AK$14,Y$4,FALSE))=TRUE,"",
              VLOOKUP($G102,DanaSehat!$L$13:$AK$14,Y$4,FALSE)))</t>
  </si>
  <si>
    <t>=IF(ISNUMBER($L$6)=FALSE,"",
        IF(ISERROR(VLOOKUP($G102,DanaSehat!$L$13:$AK$14,Z$4,FALSE))=TRUE,"",
              VLOOKUP($G102,DanaSehat!$L$13:$AK$14,Z$4,FALSE)))</t>
  </si>
  <si>
    <t>=IF(ISNUMBER($L$6)=FALSE,"",
        IF(ISERROR(VLOOKUP($G102,DanaSehat!$L$13:$AK$14,AA$4,FALSE))=TRUE,"",
              VLOOKUP($G102,DanaSehat!$L$13:$AK$14,AA$4,FALSE)))</t>
  </si>
  <si>
    <t>=IF(ISNUMBER($L$6)=FALSE,"",
        IF(ISERROR(VLOOKUP($G102,DanaSehat!$L$13:$AK$14,AB$4,FALSE))=TRUE,"",
              VLOOKUP($G102,DanaSehat!$L$13:$AK$14,AB$4,FALSE)))</t>
  </si>
  <si>
    <t>=IF(ISNUMBER($L$6)=FALSE,"",
        IF(ISERROR(VLOOKUP($G102,DanaSehat!$L$13:$AK$14,AC$4,FALSE))=TRUE,"",
              VLOOKUP($G102,DanaSehat!$L$13:$AK$14,AC$4,FALSE)))</t>
  </si>
  <si>
    <t>=IF(ISNUMBER($L$6)=FALSE,"",
        IF(ISERROR(VLOOKUP($G102,DanaSehat!$L$13:$AK$14,AD$4,FALSE))=TRUE,"",
              VLOOKUP($G102,DanaSehat!$L$13:$AK$14,AD$4,FALSE)))</t>
  </si>
  <si>
    <t>=IF(ISNUMBER($L$6)=FALSE,"",
        IF(ISERROR(VLOOKUP($G102,DanaSehat!$L$13:$AK$14,AE$4,FALSE))=TRUE,"",
              VLOOKUP($G102,DanaSehat!$L$13:$AK$14,AE$4,FALSE)))</t>
  </si>
  <si>
    <t>=IF(ISNUMBER($L$6)=FALSE,"",
        IF(ISERROR(VLOOKUP($G102,DanaSehat!$L$13:$AK$14,AF$4,FALSE))=TRUE,"",
              VLOOKUP($G102,DanaSehat!$L$13:$AK$14,AF$4,FALSE)))</t>
  </si>
  <si>
    <t>=IF($C102=$C$4,0,
       IF($C102=0,0,$C102+1))</t>
  </si>
  <si>
    <t>=IF(ISNUMBER($L$6)=FALSE,"",
IF($C103=0,"",$C103))</t>
  </si>
  <si>
    <t>=IF(ISNUMBER($L$6)=FALSE,"",
IF($C103=0,"",VLOOKUP($E103,DanaSehat!$H$13:$L$14,4,FALSE)))</t>
  </si>
  <si>
    <t>=IF(ISNUMBER($L$6)=FALSE,"",
IF($C103=0,"",VLOOKUP($E103,DanaSehat!$H$13:$L$14,5,FALSE)))</t>
  </si>
  <si>
    <t>=IF(ISNUMBER($L$6)=FALSE,"",
IF($C103=0,"",SUM(I103:AF103)))</t>
  </si>
  <si>
    <t>=IF(ISNUMBER($L$6)=FALSE,"",
        IF(ISERROR(VLOOKUP($G103,DanaSehat!$L$13:$AK$14,I$4,FALSE))=TRUE,"",
              VLOOKUP($G103,DanaSehat!$L$13:$AK$14,I$4,FALSE)))</t>
  </si>
  <si>
    <t>=IF(ISNUMBER($L$6)=FALSE,"",
        IF(ISERROR(VLOOKUP($G103,DanaSehat!$L$13:$AK$14,J$4,FALSE))=TRUE,"",
              VLOOKUP($G103,DanaSehat!$L$13:$AK$14,J$4,FALSE)))</t>
  </si>
  <si>
    <t>=IF(ISNUMBER($L$6)=FALSE,"",
        IF(ISERROR(VLOOKUP($G103,DanaSehat!$L$13:$AK$14,K$4,FALSE))=TRUE,"",
              VLOOKUP($G103,DanaSehat!$L$13:$AK$14,K$4,FALSE)))</t>
  </si>
  <si>
    <t>=IF(ISNUMBER($L$6)=FALSE,"",
        IF(ISERROR(VLOOKUP($G103,DanaSehat!$L$13:$AK$14,L$4,FALSE))=TRUE,"",
              VLOOKUP($G103,DanaSehat!$L$13:$AK$14,L$4,FALSE)))</t>
  </si>
  <si>
    <t>=IF(ISNUMBER($L$6)=FALSE,"",
        IF(ISERROR(VLOOKUP($G103,DanaSehat!$L$13:$AK$14,M$4,FALSE))=TRUE,"",
              VLOOKUP($G103,DanaSehat!$L$13:$AK$14,M$4,FALSE)))</t>
  </si>
  <si>
    <t>=IF(ISNUMBER($L$6)=FALSE,"",
        IF(ISERROR(VLOOKUP($G103,DanaSehat!$L$13:$AK$14,N$4,FALSE))=TRUE,"",
              VLOOKUP($G103,DanaSehat!$L$13:$AK$14,N$4,FALSE)))</t>
  </si>
  <si>
    <t>=IF(ISNUMBER($L$6)=FALSE,"",
        IF(ISERROR(VLOOKUP($G103,DanaSehat!$L$13:$AK$14,O$4,FALSE))=TRUE,"",
              VLOOKUP($G103,DanaSehat!$L$13:$AK$14,O$4,FALSE)))</t>
  </si>
  <si>
    <t>=IF(ISNUMBER($L$6)=FALSE,"",
        IF(ISERROR(VLOOKUP($G103,DanaSehat!$L$13:$AK$14,P$4,FALSE))=TRUE,"",
              VLOOKUP($G103,DanaSehat!$L$13:$AK$14,P$4,FALSE)))</t>
  </si>
  <si>
    <t>=IF(ISNUMBER($L$6)=FALSE,"",
        IF(ISERROR(VLOOKUP($G103,DanaSehat!$L$13:$AK$14,Q$4,FALSE))=TRUE,"",
              VLOOKUP($G103,DanaSehat!$L$13:$AK$14,Q$4,FALSE)))</t>
  </si>
  <si>
    <t>=IF(ISNUMBER($L$6)=FALSE,"",
        IF(ISERROR(VLOOKUP($G103,DanaSehat!$L$13:$AK$14,R$4,FALSE))=TRUE,"",
              VLOOKUP($G103,DanaSehat!$L$13:$AK$14,R$4,FALSE)))</t>
  </si>
  <si>
    <t>=IF(ISNUMBER($L$6)=FALSE,"",
        IF(ISERROR(VLOOKUP($G103,DanaSehat!$L$13:$AK$14,S$4,FALSE))=TRUE,"",
              VLOOKUP($G103,DanaSehat!$L$13:$AK$14,S$4,FALSE)))</t>
  </si>
  <si>
    <t>=IF(ISNUMBER($L$6)=FALSE,"",
        IF(ISERROR(VLOOKUP($G103,DanaSehat!$L$13:$AK$14,T$4,FALSE))=TRUE,"",
              VLOOKUP($G103,DanaSehat!$L$13:$AK$14,T$4,FALSE)))</t>
  </si>
  <si>
    <t>=IF(ISNUMBER($L$6)=FALSE,"",
        IF(ISERROR(VLOOKUP($G103,DanaSehat!$L$13:$AK$14,U$4,FALSE))=TRUE,"",
              VLOOKUP($G103,DanaSehat!$L$13:$AK$14,U$4,FALSE)))</t>
  </si>
  <si>
    <t>=IF(ISNUMBER($L$6)=FALSE,"",
        IF(ISERROR(VLOOKUP($G103,DanaSehat!$L$13:$AK$14,V$4,FALSE))=TRUE,"",
              VLOOKUP($G103,DanaSehat!$L$13:$AK$14,V$4,FALSE)))</t>
  </si>
  <si>
    <t>=IF(ISNUMBER($L$6)=FALSE,"",
        IF(ISERROR(VLOOKUP($G103,DanaSehat!$L$13:$AK$14,W$4,FALSE))=TRUE,"",
              VLOOKUP($G103,DanaSehat!$L$13:$AK$14,W$4,FALSE)))</t>
  </si>
  <si>
    <t>=IF(ISNUMBER($L$6)=FALSE,"",
        IF(ISERROR(VLOOKUP($G103,DanaSehat!$L$13:$AK$14,X$4,FALSE))=TRUE,"",
              VLOOKUP($G103,DanaSehat!$L$13:$AK$14,X$4,FALSE)))</t>
  </si>
  <si>
    <t>=IF(ISNUMBER($L$6)=FALSE,"",
        IF(ISERROR(VLOOKUP($G103,DanaSehat!$L$13:$AK$14,Y$4,FALSE))=TRUE,"",
              VLOOKUP($G103,DanaSehat!$L$13:$AK$14,Y$4,FALSE)))</t>
  </si>
  <si>
    <t>=IF(ISNUMBER($L$6)=FALSE,"",
        IF(ISERROR(VLOOKUP($G103,DanaSehat!$L$13:$AK$14,Z$4,FALSE))=TRUE,"",
              VLOOKUP($G103,DanaSehat!$L$13:$AK$14,Z$4,FALSE)))</t>
  </si>
  <si>
    <t>=IF(ISNUMBER($L$6)=FALSE,"",
        IF(ISERROR(VLOOKUP($G103,DanaSehat!$L$13:$AK$14,AA$4,FALSE))=TRUE,"",
              VLOOKUP($G103,DanaSehat!$L$13:$AK$14,AA$4,FALSE)))</t>
  </si>
  <si>
    <t>=IF(ISNUMBER($L$6)=FALSE,"",
        IF(ISERROR(VLOOKUP($G103,DanaSehat!$L$13:$AK$14,AB$4,FALSE))=TRUE,"",
              VLOOKUP($G103,DanaSehat!$L$13:$AK$14,AB$4,FALSE)))</t>
  </si>
  <si>
    <t>=IF(ISNUMBER($L$6)=FALSE,"",
        IF(ISERROR(VLOOKUP($G103,DanaSehat!$L$13:$AK$14,AC$4,FALSE))=TRUE,"",
              VLOOKUP($G103,DanaSehat!$L$13:$AK$14,AC$4,FALSE)))</t>
  </si>
  <si>
    <t>=IF(ISNUMBER($L$6)=FALSE,"",
        IF(ISERROR(VLOOKUP($G103,DanaSehat!$L$13:$AK$14,AD$4,FALSE))=TRUE,"",
              VLOOKUP($G103,DanaSehat!$L$13:$AK$14,AD$4,FALSE)))</t>
  </si>
  <si>
    <t>=IF(ISNUMBER($L$6)=FALSE,"",
        IF(ISERROR(VLOOKUP($G103,DanaSehat!$L$13:$AK$14,AE$4,FALSE))=TRUE,"",
              VLOOKUP($G103,DanaSehat!$L$13:$AK$14,AE$4,FALSE)))</t>
  </si>
  <si>
    <t>=IF(ISNUMBER($L$6)=FALSE,"",
        IF(ISERROR(VLOOKUP($G103,DanaSehat!$L$13:$AK$14,AF$4,FALSE))=TRUE,"",
              VLOOKUP($G103,DanaSehat!$L$13:$AK$14,AF$4,FALSE)))</t>
  </si>
  <si>
    <t>=IF($C103=$C$4,0,
       IF($C103=0,0,$C103+1))</t>
  </si>
  <si>
    <t>=IF(ISNUMBER($L$6)=FALSE,"",
IF($C104=0,"",$C104))</t>
  </si>
  <si>
    <t>=IF(ISNUMBER($L$6)=FALSE,"",
IF($C104=0,"",VLOOKUP($E104,DanaSehat!$H$13:$L$14,4,FALSE)))</t>
  </si>
  <si>
    <t>=IF(ISNUMBER($L$6)=FALSE,"",
IF($C104=0,"",VLOOKUP($E104,DanaSehat!$H$13:$L$14,5,FALSE)))</t>
  </si>
  <si>
    <t>=IF(ISNUMBER($L$6)=FALSE,"",
IF($C104=0,"",SUM(I104:AF104)))</t>
  </si>
  <si>
    <t>=IF(ISNUMBER($L$6)=FALSE,"",
        IF(ISERROR(VLOOKUP($G104,DanaSehat!$L$13:$AK$14,I$4,FALSE))=TRUE,"",
              VLOOKUP($G104,DanaSehat!$L$13:$AK$14,I$4,FALSE)))</t>
  </si>
  <si>
    <t>=IF(ISNUMBER($L$6)=FALSE,"",
        IF(ISERROR(VLOOKUP($G104,DanaSehat!$L$13:$AK$14,J$4,FALSE))=TRUE,"",
              VLOOKUP($G104,DanaSehat!$L$13:$AK$14,J$4,FALSE)))</t>
  </si>
  <si>
    <t>=IF(ISNUMBER($L$6)=FALSE,"",
        IF(ISERROR(VLOOKUP($G104,DanaSehat!$L$13:$AK$14,K$4,FALSE))=TRUE,"",
              VLOOKUP($G104,DanaSehat!$L$13:$AK$14,K$4,FALSE)))</t>
  </si>
  <si>
    <t>=IF(ISNUMBER($L$6)=FALSE,"",
        IF(ISERROR(VLOOKUP($G104,DanaSehat!$L$13:$AK$14,L$4,FALSE))=TRUE,"",
              VLOOKUP($G104,DanaSehat!$L$13:$AK$14,L$4,FALSE)))</t>
  </si>
  <si>
    <t>=IF(ISNUMBER($L$6)=FALSE,"",
        IF(ISERROR(VLOOKUP($G104,DanaSehat!$L$13:$AK$14,M$4,FALSE))=TRUE,"",
              VLOOKUP($G104,DanaSehat!$L$13:$AK$14,M$4,FALSE)))</t>
  </si>
  <si>
    <t>=IF(ISNUMBER($L$6)=FALSE,"",
        IF(ISERROR(VLOOKUP($G104,DanaSehat!$L$13:$AK$14,N$4,FALSE))=TRUE,"",
              VLOOKUP($G104,DanaSehat!$L$13:$AK$14,N$4,FALSE)))</t>
  </si>
  <si>
    <t>=IF(ISNUMBER($L$6)=FALSE,"",
        IF(ISERROR(VLOOKUP($G104,DanaSehat!$L$13:$AK$14,O$4,FALSE))=TRUE,"",
              VLOOKUP($G104,DanaSehat!$L$13:$AK$14,O$4,FALSE)))</t>
  </si>
  <si>
    <t>=IF(ISNUMBER($L$6)=FALSE,"",
        IF(ISERROR(VLOOKUP($G104,DanaSehat!$L$13:$AK$14,P$4,FALSE))=TRUE,"",
              VLOOKUP($G104,DanaSehat!$L$13:$AK$14,P$4,FALSE)))</t>
  </si>
  <si>
    <t>=IF(ISNUMBER($L$6)=FALSE,"",
        IF(ISERROR(VLOOKUP($G104,DanaSehat!$L$13:$AK$14,Q$4,FALSE))=TRUE,"",
              VLOOKUP($G104,DanaSehat!$L$13:$AK$14,Q$4,FALSE)))</t>
  </si>
  <si>
    <t>=IF(ISNUMBER($L$6)=FALSE,"",
        IF(ISERROR(VLOOKUP($G104,DanaSehat!$L$13:$AK$14,R$4,FALSE))=TRUE,"",
              VLOOKUP($G104,DanaSehat!$L$13:$AK$14,R$4,FALSE)))</t>
  </si>
  <si>
    <t>=IF(ISNUMBER($L$6)=FALSE,"",
        IF(ISERROR(VLOOKUP($G104,DanaSehat!$L$13:$AK$14,S$4,FALSE))=TRUE,"",
              VLOOKUP($G104,DanaSehat!$L$13:$AK$14,S$4,FALSE)))</t>
  </si>
  <si>
    <t>=IF(ISNUMBER($L$6)=FALSE,"",
        IF(ISERROR(VLOOKUP($G104,DanaSehat!$L$13:$AK$14,T$4,FALSE))=TRUE,"",
              VLOOKUP($G104,DanaSehat!$L$13:$AK$14,T$4,FALSE)))</t>
  </si>
  <si>
    <t>=IF(ISNUMBER($L$6)=FALSE,"",
        IF(ISERROR(VLOOKUP($G104,DanaSehat!$L$13:$AK$14,U$4,FALSE))=TRUE,"",
              VLOOKUP($G104,DanaSehat!$L$13:$AK$14,U$4,FALSE)))</t>
  </si>
  <si>
    <t>=IF(ISNUMBER($L$6)=FALSE,"",
        IF(ISERROR(VLOOKUP($G104,DanaSehat!$L$13:$AK$14,V$4,FALSE))=TRUE,"",
              VLOOKUP($G104,DanaSehat!$L$13:$AK$14,V$4,FALSE)))</t>
  </si>
  <si>
    <t>=IF(ISNUMBER($L$6)=FALSE,"",
        IF(ISERROR(VLOOKUP($G104,DanaSehat!$L$13:$AK$14,W$4,FALSE))=TRUE,"",
              VLOOKUP($G104,DanaSehat!$L$13:$AK$14,W$4,FALSE)))</t>
  </si>
  <si>
    <t>=IF(ISNUMBER($L$6)=FALSE,"",
        IF(ISERROR(VLOOKUP($G104,DanaSehat!$L$13:$AK$14,X$4,FALSE))=TRUE,"",
              VLOOKUP($G104,DanaSehat!$L$13:$AK$14,X$4,FALSE)))</t>
  </si>
  <si>
    <t>=IF(ISNUMBER($L$6)=FALSE,"",
        IF(ISERROR(VLOOKUP($G104,DanaSehat!$L$13:$AK$14,Y$4,FALSE))=TRUE,"",
              VLOOKUP($G104,DanaSehat!$L$13:$AK$14,Y$4,FALSE)))</t>
  </si>
  <si>
    <t>=IF(ISNUMBER($L$6)=FALSE,"",
        IF(ISERROR(VLOOKUP($G104,DanaSehat!$L$13:$AK$14,Z$4,FALSE))=TRUE,"",
              VLOOKUP($G104,DanaSehat!$L$13:$AK$14,Z$4,FALSE)))</t>
  </si>
  <si>
    <t>=IF(ISNUMBER($L$6)=FALSE,"",
        IF(ISERROR(VLOOKUP($G104,DanaSehat!$L$13:$AK$14,AA$4,FALSE))=TRUE,"",
              VLOOKUP($G104,DanaSehat!$L$13:$AK$14,AA$4,FALSE)))</t>
  </si>
  <si>
    <t>=IF(ISNUMBER($L$6)=FALSE,"",
        IF(ISERROR(VLOOKUP($G104,DanaSehat!$L$13:$AK$14,AB$4,FALSE))=TRUE,"",
              VLOOKUP($G104,DanaSehat!$L$13:$AK$14,AB$4,FALSE)))</t>
  </si>
  <si>
    <t>=IF(ISNUMBER($L$6)=FALSE,"",
        IF(ISERROR(VLOOKUP($G104,DanaSehat!$L$13:$AK$14,AC$4,FALSE))=TRUE,"",
              VLOOKUP($G104,DanaSehat!$L$13:$AK$14,AC$4,FALSE)))</t>
  </si>
  <si>
    <t>=IF(ISNUMBER($L$6)=FALSE,"",
        IF(ISERROR(VLOOKUP($G104,DanaSehat!$L$13:$AK$14,AD$4,FALSE))=TRUE,"",
              VLOOKUP($G104,DanaSehat!$L$13:$AK$14,AD$4,FALSE)))</t>
  </si>
  <si>
    <t>=IF(ISNUMBER($L$6)=FALSE,"",
        IF(ISERROR(VLOOKUP($G104,DanaSehat!$L$13:$AK$14,AE$4,FALSE))=TRUE,"",
              VLOOKUP($G104,DanaSehat!$L$13:$AK$14,AE$4,FALSE)))</t>
  </si>
  <si>
    <t>=IF(ISNUMBER($L$6)=FALSE,"",
        IF(ISERROR(VLOOKUP($G104,DanaSehat!$L$13:$AK$14,AF$4,FALSE))=TRUE,"",
              VLOOKUP($G104,DanaSehat!$L$13:$AK$14,AF$4,FALSE)))</t>
  </si>
  <si>
    <t>=IF($C104=$C$4,0,
       IF($C104=0,0,$C104+1))</t>
  </si>
  <si>
    <t>=IF(ISNUMBER($L$6)=FALSE,"",
IF($C105=0,"",$C105))</t>
  </si>
  <si>
    <t>=IF(ISNUMBER($L$6)=FALSE,"",
IF($C105=0,"",VLOOKUP($E105,DanaSehat!$H$13:$L$14,4,FALSE)))</t>
  </si>
  <si>
    <t>=IF(ISNUMBER($L$6)=FALSE,"",
IF($C105=0,"",VLOOKUP($E105,DanaSehat!$H$13:$L$14,5,FALSE)))</t>
  </si>
  <si>
    <t>=IF(ISNUMBER($L$6)=FALSE,"",
IF($C105=0,"",SUM(I105:AF105)))</t>
  </si>
  <si>
    <t>=IF(ISNUMBER($L$6)=FALSE,"",
        IF(ISERROR(VLOOKUP($G105,DanaSehat!$L$13:$AK$14,I$4,FALSE))=TRUE,"",
              VLOOKUP($G105,DanaSehat!$L$13:$AK$14,I$4,FALSE)))</t>
  </si>
  <si>
    <t>=IF(ISNUMBER($L$6)=FALSE,"",
        IF(ISERROR(VLOOKUP($G105,DanaSehat!$L$13:$AK$14,J$4,FALSE))=TRUE,"",
              VLOOKUP($G105,DanaSehat!$L$13:$AK$14,J$4,FALSE)))</t>
  </si>
  <si>
    <t>=IF(ISNUMBER($L$6)=FALSE,"",
        IF(ISERROR(VLOOKUP($G105,DanaSehat!$L$13:$AK$14,K$4,FALSE))=TRUE,"",
              VLOOKUP($G105,DanaSehat!$L$13:$AK$14,K$4,FALSE)))</t>
  </si>
  <si>
    <t>=IF(ISNUMBER($L$6)=FALSE,"",
        IF(ISERROR(VLOOKUP($G105,DanaSehat!$L$13:$AK$14,L$4,FALSE))=TRUE,"",
              VLOOKUP($G105,DanaSehat!$L$13:$AK$14,L$4,FALSE)))</t>
  </si>
  <si>
    <t>=IF(ISNUMBER($L$6)=FALSE,"",
        IF(ISERROR(VLOOKUP($G105,DanaSehat!$L$13:$AK$14,M$4,FALSE))=TRUE,"",
              VLOOKUP($G105,DanaSehat!$L$13:$AK$14,M$4,FALSE)))</t>
  </si>
  <si>
    <t>=IF(ISNUMBER($L$6)=FALSE,"",
        IF(ISERROR(VLOOKUP($G105,DanaSehat!$L$13:$AK$14,N$4,FALSE))=TRUE,"",
              VLOOKUP($G105,DanaSehat!$L$13:$AK$14,N$4,FALSE)))</t>
  </si>
  <si>
    <t>=IF(ISNUMBER($L$6)=FALSE,"",
        IF(ISERROR(VLOOKUP($G105,DanaSehat!$L$13:$AK$14,O$4,FALSE))=TRUE,"",
              VLOOKUP($G105,DanaSehat!$L$13:$AK$14,O$4,FALSE)))</t>
  </si>
  <si>
    <t>=IF(ISNUMBER($L$6)=FALSE,"",
        IF(ISERROR(VLOOKUP($G105,DanaSehat!$L$13:$AK$14,P$4,FALSE))=TRUE,"",
              VLOOKUP($G105,DanaSehat!$L$13:$AK$14,P$4,FALSE)))</t>
  </si>
  <si>
    <t>=IF(ISNUMBER($L$6)=FALSE,"",
        IF(ISERROR(VLOOKUP($G105,DanaSehat!$L$13:$AK$14,Q$4,FALSE))=TRUE,"",
              VLOOKUP($G105,DanaSehat!$L$13:$AK$14,Q$4,FALSE)))</t>
  </si>
  <si>
    <t>=IF(ISNUMBER($L$6)=FALSE,"",
        IF(ISERROR(VLOOKUP($G105,DanaSehat!$L$13:$AK$14,R$4,FALSE))=TRUE,"",
              VLOOKUP($G105,DanaSehat!$L$13:$AK$14,R$4,FALSE)))</t>
  </si>
  <si>
    <t>=IF(ISNUMBER($L$6)=FALSE,"",
        IF(ISERROR(VLOOKUP($G105,DanaSehat!$L$13:$AK$14,S$4,FALSE))=TRUE,"",
              VLOOKUP($G105,DanaSehat!$L$13:$AK$14,S$4,FALSE)))</t>
  </si>
  <si>
    <t>=IF(ISNUMBER($L$6)=FALSE,"",
        IF(ISERROR(VLOOKUP($G105,DanaSehat!$L$13:$AK$14,T$4,FALSE))=TRUE,"",
              VLOOKUP($G105,DanaSehat!$L$13:$AK$14,T$4,FALSE)))</t>
  </si>
  <si>
    <t>=IF(ISNUMBER($L$6)=FALSE,"",
        IF(ISERROR(VLOOKUP($G105,DanaSehat!$L$13:$AK$14,U$4,FALSE))=TRUE,"",
              VLOOKUP($G105,DanaSehat!$L$13:$AK$14,U$4,FALSE)))</t>
  </si>
  <si>
    <t>=IF(ISNUMBER($L$6)=FALSE,"",
        IF(ISERROR(VLOOKUP($G105,DanaSehat!$L$13:$AK$14,V$4,FALSE))=TRUE,"",
              VLOOKUP($G105,DanaSehat!$L$13:$AK$14,V$4,FALSE)))</t>
  </si>
  <si>
    <t>=IF(ISNUMBER($L$6)=FALSE,"",
        IF(ISERROR(VLOOKUP($G105,DanaSehat!$L$13:$AK$14,W$4,FALSE))=TRUE,"",
              VLOOKUP($G105,DanaSehat!$L$13:$AK$14,W$4,FALSE)))</t>
  </si>
  <si>
    <t>=IF(ISNUMBER($L$6)=FALSE,"",
        IF(ISERROR(VLOOKUP($G105,DanaSehat!$L$13:$AK$14,X$4,FALSE))=TRUE,"",
              VLOOKUP($G105,DanaSehat!$L$13:$AK$14,X$4,FALSE)))</t>
  </si>
  <si>
    <t>=IF(ISNUMBER($L$6)=FALSE,"",
        IF(ISERROR(VLOOKUP($G105,DanaSehat!$L$13:$AK$14,Y$4,FALSE))=TRUE,"",
              VLOOKUP($G105,DanaSehat!$L$13:$AK$14,Y$4,FALSE)))</t>
  </si>
  <si>
    <t>=IF(ISNUMBER($L$6)=FALSE,"",
        IF(ISERROR(VLOOKUP($G105,DanaSehat!$L$13:$AK$14,Z$4,FALSE))=TRUE,"",
              VLOOKUP($G105,DanaSehat!$L$13:$AK$14,Z$4,FALSE)))</t>
  </si>
  <si>
    <t>=IF(ISNUMBER($L$6)=FALSE,"",
        IF(ISERROR(VLOOKUP($G105,DanaSehat!$L$13:$AK$14,AA$4,FALSE))=TRUE,"",
              VLOOKUP($G105,DanaSehat!$L$13:$AK$14,AA$4,FALSE)))</t>
  </si>
  <si>
    <t>=IF(ISNUMBER($L$6)=FALSE,"",
        IF(ISERROR(VLOOKUP($G105,DanaSehat!$L$13:$AK$14,AB$4,FALSE))=TRUE,"",
              VLOOKUP($G105,DanaSehat!$L$13:$AK$14,AB$4,FALSE)))</t>
  </si>
  <si>
    <t>=IF(ISNUMBER($L$6)=FALSE,"",
        IF(ISERROR(VLOOKUP($G105,DanaSehat!$L$13:$AK$14,AC$4,FALSE))=TRUE,"",
              VLOOKUP($G105,DanaSehat!$L$13:$AK$14,AC$4,FALSE)))</t>
  </si>
  <si>
    <t>=IF(ISNUMBER($L$6)=FALSE,"",
        IF(ISERROR(VLOOKUP($G105,DanaSehat!$L$13:$AK$14,AD$4,FALSE))=TRUE,"",
              VLOOKUP($G105,DanaSehat!$L$13:$AK$14,AD$4,FALSE)))</t>
  </si>
  <si>
    <t>=IF(ISNUMBER($L$6)=FALSE,"",
        IF(ISERROR(VLOOKUP($G105,DanaSehat!$L$13:$AK$14,AE$4,FALSE))=TRUE,"",
              VLOOKUP($G105,DanaSehat!$L$13:$AK$14,AE$4,FALSE)))</t>
  </si>
  <si>
    <t>=IF(ISNUMBER($L$6)=FALSE,"",
        IF(ISERROR(VLOOKUP($G105,DanaSehat!$L$13:$AK$14,AF$4,FALSE))=TRUE,"",
              VLOOKUP($G105,DanaSehat!$L$13:$AK$14,AF$4,FALSE)))</t>
  </si>
  <si>
    <t>=IF($C105=$C$4,0,
       IF($C105=0,0,$C105+1))</t>
  </si>
  <si>
    <t>=IF(ISNUMBER($L$6)=FALSE,"",
IF($C106=0,"",$C106))</t>
  </si>
  <si>
    <t>=IF(ISNUMBER($L$6)=FALSE,"",
IF($C106=0,"",VLOOKUP($E106,DanaSehat!$H$13:$L$14,4,FALSE)))</t>
  </si>
  <si>
    <t>=IF(ISNUMBER($L$6)=FALSE,"",
IF($C106=0,"",VLOOKUP($E106,DanaSehat!$H$13:$L$14,5,FALSE)))</t>
  </si>
  <si>
    <t>=IF(ISNUMBER($L$6)=FALSE,"",
IF($C106=0,"",SUM(I106:AF106)))</t>
  </si>
  <si>
    <t>=IF(ISNUMBER($L$6)=FALSE,"",
        IF(ISERROR(VLOOKUP($G106,DanaSehat!$L$13:$AK$14,I$4,FALSE))=TRUE,"",
              VLOOKUP($G106,DanaSehat!$L$13:$AK$14,I$4,FALSE)))</t>
  </si>
  <si>
    <t>=IF(ISNUMBER($L$6)=FALSE,"",
        IF(ISERROR(VLOOKUP($G106,DanaSehat!$L$13:$AK$14,J$4,FALSE))=TRUE,"",
              VLOOKUP($G106,DanaSehat!$L$13:$AK$14,J$4,FALSE)))</t>
  </si>
  <si>
    <t>=IF(ISNUMBER($L$6)=FALSE,"",
        IF(ISERROR(VLOOKUP($G106,DanaSehat!$L$13:$AK$14,K$4,FALSE))=TRUE,"",
              VLOOKUP($G106,DanaSehat!$L$13:$AK$14,K$4,FALSE)))</t>
  </si>
  <si>
    <t>=IF(ISNUMBER($L$6)=FALSE,"",
        IF(ISERROR(VLOOKUP($G106,DanaSehat!$L$13:$AK$14,L$4,FALSE))=TRUE,"",
              VLOOKUP($G106,DanaSehat!$L$13:$AK$14,L$4,FALSE)))</t>
  </si>
  <si>
    <t>=IF(ISNUMBER($L$6)=FALSE,"",
        IF(ISERROR(VLOOKUP($G106,DanaSehat!$L$13:$AK$14,M$4,FALSE))=TRUE,"",
              VLOOKUP($G106,DanaSehat!$L$13:$AK$14,M$4,FALSE)))</t>
  </si>
  <si>
    <t>=IF(ISNUMBER($L$6)=FALSE,"",
        IF(ISERROR(VLOOKUP($G106,DanaSehat!$L$13:$AK$14,N$4,FALSE))=TRUE,"",
              VLOOKUP($G106,DanaSehat!$L$13:$AK$14,N$4,FALSE)))</t>
  </si>
  <si>
    <t>=IF(ISNUMBER($L$6)=FALSE,"",
        IF(ISERROR(VLOOKUP($G106,DanaSehat!$L$13:$AK$14,O$4,FALSE))=TRUE,"",
              VLOOKUP($G106,DanaSehat!$L$13:$AK$14,O$4,FALSE)))</t>
  </si>
  <si>
    <t>=IF(ISNUMBER($L$6)=FALSE,"",
        IF(ISERROR(VLOOKUP($G106,DanaSehat!$L$13:$AK$14,P$4,FALSE))=TRUE,"",
              VLOOKUP($G106,DanaSehat!$L$13:$AK$14,P$4,FALSE)))</t>
  </si>
  <si>
    <t>=IF(ISNUMBER($L$6)=FALSE,"",
        IF(ISERROR(VLOOKUP($G106,DanaSehat!$L$13:$AK$14,Q$4,FALSE))=TRUE,"",
              VLOOKUP($G106,DanaSehat!$L$13:$AK$14,Q$4,FALSE)))</t>
  </si>
  <si>
    <t>=IF(ISNUMBER($L$6)=FALSE,"",
        IF(ISERROR(VLOOKUP($G106,DanaSehat!$L$13:$AK$14,R$4,FALSE))=TRUE,"",
              VLOOKUP($G106,DanaSehat!$L$13:$AK$14,R$4,FALSE)))</t>
  </si>
  <si>
    <t>=IF(ISNUMBER($L$6)=FALSE,"",
        IF(ISERROR(VLOOKUP($G106,DanaSehat!$L$13:$AK$14,S$4,FALSE))=TRUE,"",
              VLOOKUP($G106,DanaSehat!$L$13:$AK$14,S$4,FALSE)))</t>
  </si>
  <si>
    <t>=IF(ISNUMBER($L$6)=FALSE,"",
        IF(ISERROR(VLOOKUP($G106,DanaSehat!$L$13:$AK$14,T$4,FALSE))=TRUE,"",
              VLOOKUP($G106,DanaSehat!$L$13:$AK$14,T$4,FALSE)))</t>
  </si>
  <si>
    <t>=IF(ISNUMBER($L$6)=FALSE,"",
        IF(ISERROR(VLOOKUP($G106,DanaSehat!$L$13:$AK$14,U$4,FALSE))=TRUE,"",
              VLOOKUP($G106,DanaSehat!$L$13:$AK$14,U$4,FALSE)))</t>
  </si>
  <si>
    <t>=IF(ISNUMBER($L$6)=FALSE,"",
        IF(ISERROR(VLOOKUP($G106,DanaSehat!$L$13:$AK$14,V$4,FALSE))=TRUE,"",
              VLOOKUP($G106,DanaSehat!$L$13:$AK$14,V$4,FALSE)))</t>
  </si>
  <si>
    <t>=IF(ISNUMBER($L$6)=FALSE,"",
        IF(ISERROR(VLOOKUP($G106,DanaSehat!$L$13:$AK$14,W$4,FALSE))=TRUE,"",
              VLOOKUP($G106,DanaSehat!$L$13:$AK$14,W$4,FALSE)))</t>
  </si>
  <si>
    <t>=IF(ISNUMBER($L$6)=FALSE,"",
        IF(ISERROR(VLOOKUP($G106,DanaSehat!$L$13:$AK$14,X$4,FALSE))=TRUE,"",
              VLOOKUP($G106,DanaSehat!$L$13:$AK$14,X$4,FALSE)))</t>
  </si>
  <si>
    <t>=IF(ISNUMBER($L$6)=FALSE,"",
        IF(ISERROR(VLOOKUP($G106,DanaSehat!$L$13:$AK$14,Y$4,FALSE))=TRUE,"",
              VLOOKUP($G106,DanaSehat!$L$13:$AK$14,Y$4,FALSE)))</t>
  </si>
  <si>
    <t>=IF(ISNUMBER($L$6)=FALSE,"",
        IF(ISERROR(VLOOKUP($G106,DanaSehat!$L$13:$AK$14,Z$4,FALSE))=TRUE,"",
              VLOOKUP($G106,DanaSehat!$L$13:$AK$14,Z$4,FALSE)))</t>
  </si>
  <si>
    <t>=IF(ISNUMBER($L$6)=FALSE,"",
        IF(ISERROR(VLOOKUP($G106,DanaSehat!$L$13:$AK$14,AA$4,FALSE))=TRUE,"",
              VLOOKUP($G106,DanaSehat!$L$13:$AK$14,AA$4,FALSE)))</t>
  </si>
  <si>
    <t>=IF(ISNUMBER($L$6)=FALSE,"",
        IF(ISERROR(VLOOKUP($G106,DanaSehat!$L$13:$AK$14,AB$4,FALSE))=TRUE,"",
              VLOOKUP($G106,DanaSehat!$L$13:$AK$14,AB$4,FALSE)))</t>
  </si>
  <si>
    <t>=IF(ISNUMBER($L$6)=FALSE,"",
        IF(ISERROR(VLOOKUP($G106,DanaSehat!$L$13:$AK$14,AC$4,FALSE))=TRUE,"",
              VLOOKUP($G106,DanaSehat!$L$13:$AK$14,AC$4,FALSE)))</t>
  </si>
  <si>
    <t>=IF(ISNUMBER($L$6)=FALSE,"",
        IF(ISERROR(VLOOKUP($G106,DanaSehat!$L$13:$AK$14,AD$4,FALSE))=TRUE,"",
              VLOOKUP($G106,DanaSehat!$L$13:$AK$14,AD$4,FALSE)))</t>
  </si>
  <si>
    <t>=IF(ISNUMBER($L$6)=FALSE,"",
        IF(ISERROR(VLOOKUP($G106,DanaSehat!$L$13:$AK$14,AE$4,FALSE))=TRUE,"",
              VLOOKUP($G106,DanaSehat!$L$13:$AK$14,AE$4,FALSE)))</t>
  </si>
  <si>
    <t>=IF(ISNUMBER($L$6)=FALSE,"",
        IF(ISERROR(VLOOKUP($G106,DanaSehat!$L$13:$AK$14,AF$4,FALSE))=TRUE,"",
              VLOOKUP($G106,DanaSehat!$L$13:$AK$14,AF$4,FALSE)))</t>
  </si>
  <si>
    <t>=IF($C106=$C$4,0,
       IF($C106=0,0,$C106+1))</t>
  </si>
  <si>
    <t>=IF(ISNUMBER($L$6)=FALSE,"",
IF($C107=0,"",$C107))</t>
  </si>
  <si>
    <t>=IF(ISNUMBER($L$6)=FALSE,"",
IF($C107=0,"",VLOOKUP($E107,DanaSehat!$H$13:$L$14,4,FALSE)))</t>
  </si>
  <si>
    <t>=IF(ISNUMBER($L$6)=FALSE,"",
IF($C107=0,"",VLOOKUP($E107,DanaSehat!$H$13:$L$14,5,FALSE)))</t>
  </si>
  <si>
    <t>=IF(ISNUMBER($L$6)=FALSE,"",
IF($C107=0,"",SUM(I107:AF107)))</t>
  </si>
  <si>
    <t>=IF(ISNUMBER($L$6)=FALSE,"",
        IF(ISERROR(VLOOKUP($G107,DanaSehat!$L$13:$AK$14,I$4,FALSE))=TRUE,"",
              VLOOKUP($G107,DanaSehat!$L$13:$AK$14,I$4,FALSE)))</t>
  </si>
  <si>
    <t>=IF(ISNUMBER($L$6)=FALSE,"",
        IF(ISERROR(VLOOKUP($G107,DanaSehat!$L$13:$AK$14,J$4,FALSE))=TRUE,"",
              VLOOKUP($G107,DanaSehat!$L$13:$AK$14,J$4,FALSE)))</t>
  </si>
  <si>
    <t>=IF(ISNUMBER($L$6)=FALSE,"",
        IF(ISERROR(VLOOKUP($G107,DanaSehat!$L$13:$AK$14,K$4,FALSE))=TRUE,"",
              VLOOKUP($G107,DanaSehat!$L$13:$AK$14,K$4,FALSE)))</t>
  </si>
  <si>
    <t>=IF(ISNUMBER($L$6)=FALSE,"",
        IF(ISERROR(VLOOKUP($G107,DanaSehat!$L$13:$AK$14,L$4,FALSE))=TRUE,"",
              VLOOKUP($G107,DanaSehat!$L$13:$AK$14,L$4,FALSE)))</t>
  </si>
  <si>
    <t>=IF(ISNUMBER($L$6)=FALSE,"",
        IF(ISERROR(VLOOKUP($G107,DanaSehat!$L$13:$AK$14,M$4,FALSE))=TRUE,"",
              VLOOKUP($G107,DanaSehat!$L$13:$AK$14,M$4,FALSE)))</t>
  </si>
  <si>
    <t>=IF(ISNUMBER($L$6)=FALSE,"",
        IF(ISERROR(VLOOKUP($G107,DanaSehat!$L$13:$AK$14,N$4,FALSE))=TRUE,"",
              VLOOKUP($G107,DanaSehat!$L$13:$AK$14,N$4,FALSE)))</t>
  </si>
  <si>
    <t>=IF(ISNUMBER($L$6)=FALSE,"",
        IF(ISERROR(VLOOKUP($G107,DanaSehat!$L$13:$AK$14,O$4,FALSE))=TRUE,"",
              VLOOKUP($G107,DanaSehat!$L$13:$AK$14,O$4,FALSE)))</t>
  </si>
  <si>
    <t>=IF(ISNUMBER($L$6)=FALSE,"",
        IF(ISERROR(VLOOKUP($G107,DanaSehat!$L$13:$AK$14,P$4,FALSE))=TRUE,"",
              VLOOKUP($G107,DanaSehat!$L$13:$AK$14,P$4,FALSE)))</t>
  </si>
  <si>
    <t>=IF(ISNUMBER($L$6)=FALSE,"",
        IF(ISERROR(VLOOKUP($G107,DanaSehat!$L$13:$AK$14,Q$4,FALSE))=TRUE,"",
              VLOOKUP($G107,DanaSehat!$L$13:$AK$14,Q$4,FALSE)))</t>
  </si>
  <si>
    <t>=IF(ISNUMBER($L$6)=FALSE,"",
        IF(ISERROR(VLOOKUP($G107,DanaSehat!$L$13:$AK$14,R$4,FALSE))=TRUE,"",
              VLOOKUP($G107,DanaSehat!$L$13:$AK$14,R$4,FALSE)))</t>
  </si>
  <si>
    <t>=IF(ISNUMBER($L$6)=FALSE,"",
        IF(ISERROR(VLOOKUP($G107,DanaSehat!$L$13:$AK$14,S$4,FALSE))=TRUE,"",
              VLOOKUP($G107,DanaSehat!$L$13:$AK$14,S$4,FALSE)))</t>
  </si>
  <si>
    <t>=IF(ISNUMBER($L$6)=FALSE,"",
        IF(ISERROR(VLOOKUP($G107,DanaSehat!$L$13:$AK$14,T$4,FALSE))=TRUE,"",
              VLOOKUP($G107,DanaSehat!$L$13:$AK$14,T$4,FALSE)))</t>
  </si>
  <si>
    <t>=IF(ISNUMBER($L$6)=FALSE,"",
        IF(ISERROR(VLOOKUP($G107,DanaSehat!$L$13:$AK$14,U$4,FALSE))=TRUE,"",
              VLOOKUP($G107,DanaSehat!$L$13:$AK$14,U$4,FALSE)))</t>
  </si>
  <si>
    <t>=IF(ISNUMBER($L$6)=FALSE,"",
        IF(ISERROR(VLOOKUP($G107,DanaSehat!$L$13:$AK$14,V$4,FALSE))=TRUE,"",
              VLOOKUP($G107,DanaSehat!$L$13:$AK$14,V$4,FALSE)))</t>
  </si>
  <si>
    <t>=IF(ISNUMBER($L$6)=FALSE,"",
        IF(ISERROR(VLOOKUP($G107,DanaSehat!$L$13:$AK$14,W$4,FALSE))=TRUE,"",
              VLOOKUP($G107,DanaSehat!$L$13:$AK$14,W$4,FALSE)))</t>
  </si>
  <si>
    <t>=IF(ISNUMBER($L$6)=FALSE,"",
        IF(ISERROR(VLOOKUP($G107,DanaSehat!$L$13:$AK$14,X$4,FALSE))=TRUE,"",
              VLOOKUP($G107,DanaSehat!$L$13:$AK$14,X$4,FALSE)))</t>
  </si>
  <si>
    <t>=IF(ISNUMBER($L$6)=FALSE,"",
        IF(ISERROR(VLOOKUP($G107,DanaSehat!$L$13:$AK$14,Y$4,FALSE))=TRUE,"",
              VLOOKUP($G107,DanaSehat!$L$13:$AK$14,Y$4,FALSE)))</t>
  </si>
  <si>
    <t>=IF(ISNUMBER($L$6)=FALSE,"",
        IF(ISERROR(VLOOKUP($G107,DanaSehat!$L$13:$AK$14,Z$4,FALSE))=TRUE,"",
              VLOOKUP($G107,DanaSehat!$L$13:$AK$14,Z$4,FALSE)))</t>
  </si>
  <si>
    <t>=IF(ISNUMBER($L$6)=FALSE,"",
        IF(ISERROR(VLOOKUP($G107,DanaSehat!$L$13:$AK$14,AA$4,FALSE))=TRUE,"",
              VLOOKUP($G107,DanaSehat!$L$13:$AK$14,AA$4,FALSE)))</t>
  </si>
  <si>
    <t>=IF(ISNUMBER($L$6)=FALSE,"",
        IF(ISERROR(VLOOKUP($G107,DanaSehat!$L$13:$AK$14,AB$4,FALSE))=TRUE,"",
              VLOOKUP($G107,DanaSehat!$L$13:$AK$14,AB$4,FALSE)))</t>
  </si>
  <si>
    <t>=IF(ISNUMBER($L$6)=FALSE,"",
        IF(ISERROR(VLOOKUP($G107,DanaSehat!$L$13:$AK$14,AC$4,FALSE))=TRUE,"",
              VLOOKUP($G107,DanaSehat!$L$13:$AK$14,AC$4,FALSE)))</t>
  </si>
  <si>
    <t>=IF(ISNUMBER($L$6)=FALSE,"",
        IF(ISERROR(VLOOKUP($G107,DanaSehat!$L$13:$AK$14,AD$4,FALSE))=TRUE,"",
              VLOOKUP($G107,DanaSehat!$L$13:$AK$14,AD$4,FALSE)))</t>
  </si>
  <si>
    <t>=IF(ISNUMBER($L$6)=FALSE,"",
        IF(ISERROR(VLOOKUP($G107,DanaSehat!$L$13:$AK$14,AE$4,FALSE))=TRUE,"",
              VLOOKUP($G107,DanaSehat!$L$13:$AK$14,AE$4,FALSE)))</t>
  </si>
  <si>
    <t>=IF(ISNUMBER($L$6)=FALSE,"",
        IF(ISERROR(VLOOKUP($G107,DanaSehat!$L$13:$AK$14,AF$4,FALSE))=TRUE,"",
              VLOOKUP($G107,DanaSehat!$L$13:$AK$14,AF$4,FALSE)))</t>
  </si>
  <si>
    <t>=IF($C107=$C$4,0,
       IF($C107=0,0,$C107+1))</t>
  </si>
  <si>
    <t>=IF(ISNUMBER($L$6)=FALSE,"",
IF($C108=0,"",$C108))</t>
  </si>
  <si>
    <t>=IF(ISNUMBER($L$6)=FALSE,"",
IF($C108=0,"",VLOOKUP($E108,DanaSehat!$H$13:$L$14,4,FALSE)))</t>
  </si>
  <si>
    <t>=IF(ISNUMBER($L$6)=FALSE,"",
IF($C108=0,"",VLOOKUP($E108,DanaSehat!$H$13:$L$14,5,FALSE)))</t>
  </si>
  <si>
    <t>=IF(ISNUMBER($L$6)=FALSE,"",
IF($C108=0,"",SUM(I108:AF108)))</t>
  </si>
  <si>
    <t>=IF(ISNUMBER($L$6)=FALSE,"",
        IF(ISERROR(VLOOKUP($G108,DanaSehat!$L$13:$AK$14,I$4,FALSE))=TRUE,"",
              VLOOKUP($G108,DanaSehat!$L$13:$AK$14,I$4,FALSE)))</t>
  </si>
  <si>
    <t>=IF(ISNUMBER($L$6)=FALSE,"",
        IF(ISERROR(VLOOKUP($G108,DanaSehat!$L$13:$AK$14,J$4,FALSE))=TRUE,"",
              VLOOKUP($G108,DanaSehat!$L$13:$AK$14,J$4,FALSE)))</t>
  </si>
  <si>
    <t>=IF(ISNUMBER($L$6)=FALSE,"",
        IF(ISERROR(VLOOKUP($G108,DanaSehat!$L$13:$AK$14,K$4,FALSE))=TRUE,"",
              VLOOKUP($G108,DanaSehat!$L$13:$AK$14,K$4,FALSE)))</t>
  </si>
  <si>
    <t>=IF(ISNUMBER($L$6)=FALSE,"",
        IF(ISERROR(VLOOKUP($G108,DanaSehat!$L$13:$AK$14,L$4,FALSE))=TRUE,"",
              VLOOKUP($G108,DanaSehat!$L$13:$AK$14,L$4,FALSE)))</t>
  </si>
  <si>
    <t>=IF(ISNUMBER($L$6)=FALSE,"",
        IF(ISERROR(VLOOKUP($G108,DanaSehat!$L$13:$AK$14,M$4,FALSE))=TRUE,"",
              VLOOKUP($G108,DanaSehat!$L$13:$AK$14,M$4,FALSE)))</t>
  </si>
  <si>
    <t>=IF(ISNUMBER($L$6)=FALSE,"",
        IF(ISERROR(VLOOKUP($G108,DanaSehat!$L$13:$AK$14,N$4,FALSE))=TRUE,"",
              VLOOKUP($G108,DanaSehat!$L$13:$AK$14,N$4,FALSE)))</t>
  </si>
  <si>
    <t>=IF(ISNUMBER($L$6)=FALSE,"",
        IF(ISERROR(VLOOKUP($G108,DanaSehat!$L$13:$AK$14,O$4,FALSE))=TRUE,"",
              VLOOKUP($G108,DanaSehat!$L$13:$AK$14,O$4,FALSE)))</t>
  </si>
  <si>
    <t>=IF(ISNUMBER($L$6)=FALSE,"",
        IF(ISERROR(VLOOKUP($G108,DanaSehat!$L$13:$AK$14,P$4,FALSE))=TRUE,"",
              VLOOKUP($G108,DanaSehat!$L$13:$AK$14,P$4,FALSE)))</t>
  </si>
  <si>
    <t>=IF(ISNUMBER($L$6)=FALSE,"",
        IF(ISERROR(VLOOKUP($G108,DanaSehat!$L$13:$AK$14,Q$4,FALSE))=TRUE,"",
              VLOOKUP($G108,DanaSehat!$L$13:$AK$14,Q$4,FALSE)))</t>
  </si>
  <si>
    <t>=IF(ISNUMBER($L$6)=FALSE,"",
        IF(ISERROR(VLOOKUP($G108,DanaSehat!$L$13:$AK$14,R$4,FALSE))=TRUE,"",
              VLOOKUP($G108,DanaSehat!$L$13:$AK$14,R$4,FALSE)))</t>
  </si>
  <si>
    <t>=IF(ISNUMBER($L$6)=FALSE,"",
        IF(ISERROR(VLOOKUP($G108,DanaSehat!$L$13:$AK$14,S$4,FALSE))=TRUE,"",
              VLOOKUP($G108,DanaSehat!$L$13:$AK$14,S$4,FALSE)))</t>
  </si>
  <si>
    <t>=IF(ISNUMBER($L$6)=FALSE,"",
        IF(ISERROR(VLOOKUP($G108,DanaSehat!$L$13:$AK$14,T$4,FALSE))=TRUE,"",
              VLOOKUP($G108,DanaSehat!$L$13:$AK$14,T$4,FALSE)))</t>
  </si>
  <si>
    <t>=IF(ISNUMBER($L$6)=FALSE,"",
        IF(ISERROR(VLOOKUP($G108,DanaSehat!$L$13:$AK$14,U$4,FALSE))=TRUE,"",
              VLOOKUP($G108,DanaSehat!$L$13:$AK$14,U$4,FALSE)))</t>
  </si>
  <si>
    <t>=IF(ISNUMBER($L$6)=FALSE,"",
        IF(ISERROR(VLOOKUP($G108,DanaSehat!$L$13:$AK$14,V$4,FALSE))=TRUE,"",
              VLOOKUP($G108,DanaSehat!$L$13:$AK$14,V$4,FALSE)))</t>
  </si>
  <si>
    <t>=IF(ISNUMBER($L$6)=FALSE,"",
        IF(ISERROR(VLOOKUP($G108,DanaSehat!$L$13:$AK$14,W$4,FALSE))=TRUE,"",
              VLOOKUP($G108,DanaSehat!$L$13:$AK$14,W$4,FALSE)))</t>
  </si>
  <si>
    <t>=IF(ISNUMBER($L$6)=FALSE,"",
        IF(ISERROR(VLOOKUP($G108,DanaSehat!$L$13:$AK$14,X$4,FALSE))=TRUE,"",
              VLOOKUP($G108,DanaSehat!$L$13:$AK$14,X$4,FALSE)))</t>
  </si>
  <si>
    <t>=IF(ISNUMBER($L$6)=FALSE,"",
        IF(ISERROR(VLOOKUP($G108,DanaSehat!$L$13:$AK$14,Y$4,FALSE))=TRUE,"",
              VLOOKUP($G108,DanaSehat!$L$13:$AK$14,Y$4,FALSE)))</t>
  </si>
  <si>
    <t>=IF(ISNUMBER($L$6)=FALSE,"",
        IF(ISERROR(VLOOKUP($G108,DanaSehat!$L$13:$AK$14,Z$4,FALSE))=TRUE,"",
              VLOOKUP($G108,DanaSehat!$L$13:$AK$14,Z$4,FALSE)))</t>
  </si>
  <si>
    <t>=IF(ISNUMBER($L$6)=FALSE,"",
        IF(ISERROR(VLOOKUP($G108,DanaSehat!$L$13:$AK$14,AA$4,FALSE))=TRUE,"",
              VLOOKUP($G108,DanaSehat!$L$13:$AK$14,AA$4,FALSE)))</t>
  </si>
  <si>
    <t>=IF(ISNUMBER($L$6)=FALSE,"",
        IF(ISERROR(VLOOKUP($G108,DanaSehat!$L$13:$AK$14,AB$4,FALSE))=TRUE,"",
              VLOOKUP($G108,DanaSehat!$L$13:$AK$14,AB$4,FALSE)))</t>
  </si>
  <si>
    <t>=IF(ISNUMBER($L$6)=FALSE,"",
        IF(ISERROR(VLOOKUP($G108,DanaSehat!$L$13:$AK$14,AC$4,FALSE))=TRUE,"",
              VLOOKUP($G108,DanaSehat!$L$13:$AK$14,AC$4,FALSE)))</t>
  </si>
  <si>
    <t>=IF(ISNUMBER($L$6)=FALSE,"",
        IF(ISERROR(VLOOKUP($G108,DanaSehat!$L$13:$AK$14,AD$4,FALSE))=TRUE,"",
              VLOOKUP($G108,DanaSehat!$L$13:$AK$14,AD$4,FALSE)))</t>
  </si>
  <si>
    <t>=IF(ISNUMBER($L$6)=FALSE,"",
        IF(ISERROR(VLOOKUP($G108,DanaSehat!$L$13:$AK$14,AE$4,FALSE))=TRUE,"",
              VLOOKUP($G108,DanaSehat!$L$13:$AK$14,AE$4,FALSE)))</t>
  </si>
  <si>
    <t>=IF(ISNUMBER($L$6)=FALSE,"",
        IF(ISERROR(VLOOKUP($G108,DanaSehat!$L$13:$AK$14,AF$4,FALSE))=TRUE,"",
              VLOOKUP($G108,DanaSehat!$L$13:$AK$14,AF$4,FALSE)))</t>
  </si>
  <si>
    <t>=IF($C108=$C$4,0,
       IF($C108=0,0,$C108+1))</t>
  </si>
  <si>
    <t>=IF(ISNUMBER($L$6)=FALSE,"",
IF($C109=0,"",$C109))</t>
  </si>
  <si>
    <t>=IF(ISNUMBER($L$6)=FALSE,"",
IF($C109=0,"",VLOOKUP($E109,DanaSehat!$H$13:$L$14,4,FALSE)))</t>
  </si>
  <si>
    <t>=IF(ISNUMBER($L$6)=FALSE,"",
IF($C109=0,"",VLOOKUP($E109,DanaSehat!$H$13:$L$14,5,FALSE)))</t>
  </si>
  <si>
    <t>=IF(ISNUMBER($L$6)=FALSE,"",
IF($C109=0,"",SUM(I109:AF109)))</t>
  </si>
  <si>
    <t>=IF(ISNUMBER($L$6)=FALSE,"",
        IF(ISERROR(VLOOKUP($G109,DanaSehat!$L$13:$AK$14,I$4,FALSE))=TRUE,"",
              VLOOKUP($G109,DanaSehat!$L$13:$AK$14,I$4,FALSE)))</t>
  </si>
  <si>
    <t>=IF(ISNUMBER($L$6)=FALSE,"",
        IF(ISERROR(VLOOKUP($G109,DanaSehat!$L$13:$AK$14,J$4,FALSE))=TRUE,"",
              VLOOKUP($G109,DanaSehat!$L$13:$AK$14,J$4,FALSE)))</t>
  </si>
  <si>
    <t>=IF(ISNUMBER($L$6)=FALSE,"",
        IF(ISERROR(VLOOKUP($G109,DanaSehat!$L$13:$AK$14,K$4,FALSE))=TRUE,"",
              VLOOKUP($G109,DanaSehat!$L$13:$AK$14,K$4,FALSE)))</t>
  </si>
  <si>
    <t>=IF(ISNUMBER($L$6)=FALSE,"",
        IF(ISERROR(VLOOKUP($G109,DanaSehat!$L$13:$AK$14,L$4,FALSE))=TRUE,"",
              VLOOKUP($G109,DanaSehat!$L$13:$AK$14,L$4,FALSE)))</t>
  </si>
  <si>
    <t>=IF(ISNUMBER($L$6)=FALSE,"",
        IF(ISERROR(VLOOKUP($G109,DanaSehat!$L$13:$AK$14,M$4,FALSE))=TRUE,"",
              VLOOKUP($G109,DanaSehat!$L$13:$AK$14,M$4,FALSE)))</t>
  </si>
  <si>
    <t>=IF(ISNUMBER($L$6)=FALSE,"",
        IF(ISERROR(VLOOKUP($G109,DanaSehat!$L$13:$AK$14,N$4,FALSE))=TRUE,"",
              VLOOKUP($G109,DanaSehat!$L$13:$AK$14,N$4,FALSE)))</t>
  </si>
  <si>
    <t>=IF(ISNUMBER($L$6)=FALSE,"",
        IF(ISERROR(VLOOKUP($G109,DanaSehat!$L$13:$AK$14,O$4,FALSE))=TRUE,"",
              VLOOKUP($G109,DanaSehat!$L$13:$AK$14,O$4,FALSE)))</t>
  </si>
  <si>
    <t>=IF(ISNUMBER($L$6)=FALSE,"",
        IF(ISERROR(VLOOKUP($G109,DanaSehat!$L$13:$AK$14,P$4,FALSE))=TRUE,"",
              VLOOKUP($G109,DanaSehat!$L$13:$AK$14,P$4,FALSE)))</t>
  </si>
  <si>
    <t>=IF(ISNUMBER($L$6)=FALSE,"",
        IF(ISERROR(VLOOKUP($G109,DanaSehat!$L$13:$AK$14,Q$4,FALSE))=TRUE,"",
              VLOOKUP($G109,DanaSehat!$L$13:$AK$14,Q$4,FALSE)))</t>
  </si>
  <si>
    <t>=IF(ISNUMBER($L$6)=FALSE,"",
        IF(ISERROR(VLOOKUP($G109,DanaSehat!$L$13:$AK$14,R$4,FALSE))=TRUE,"",
              VLOOKUP($G109,DanaSehat!$L$13:$AK$14,R$4,FALSE)))</t>
  </si>
  <si>
    <t>=IF(ISNUMBER($L$6)=FALSE,"",
        IF(ISERROR(VLOOKUP($G109,DanaSehat!$L$13:$AK$14,S$4,FALSE))=TRUE,"",
              VLOOKUP($G109,DanaSehat!$L$13:$AK$14,S$4,FALSE)))</t>
  </si>
  <si>
    <t>=IF(ISNUMBER($L$6)=FALSE,"",
        IF(ISERROR(VLOOKUP($G109,DanaSehat!$L$13:$AK$14,T$4,FALSE))=TRUE,"",
              VLOOKUP($G109,DanaSehat!$L$13:$AK$14,T$4,FALSE)))</t>
  </si>
  <si>
    <t>=IF(ISNUMBER($L$6)=FALSE,"",
        IF(ISERROR(VLOOKUP($G109,DanaSehat!$L$13:$AK$14,U$4,FALSE))=TRUE,"",
              VLOOKUP($G109,DanaSehat!$L$13:$AK$14,U$4,FALSE)))</t>
  </si>
  <si>
    <t>=IF(ISNUMBER($L$6)=FALSE,"",
        IF(ISERROR(VLOOKUP($G109,DanaSehat!$L$13:$AK$14,V$4,FALSE))=TRUE,"",
              VLOOKUP($G109,DanaSehat!$L$13:$AK$14,V$4,FALSE)))</t>
  </si>
  <si>
    <t>=IF(ISNUMBER($L$6)=FALSE,"",
        IF(ISERROR(VLOOKUP($G109,DanaSehat!$L$13:$AK$14,W$4,FALSE))=TRUE,"",
              VLOOKUP($G109,DanaSehat!$L$13:$AK$14,W$4,FALSE)))</t>
  </si>
  <si>
    <t>=IF(ISNUMBER($L$6)=FALSE,"",
        IF(ISERROR(VLOOKUP($G109,DanaSehat!$L$13:$AK$14,X$4,FALSE))=TRUE,"",
              VLOOKUP($G109,DanaSehat!$L$13:$AK$14,X$4,FALSE)))</t>
  </si>
  <si>
    <t>=IF(ISNUMBER($L$6)=FALSE,"",
        IF(ISERROR(VLOOKUP($G109,DanaSehat!$L$13:$AK$14,Y$4,FALSE))=TRUE,"",
              VLOOKUP($G109,DanaSehat!$L$13:$AK$14,Y$4,FALSE)))</t>
  </si>
  <si>
    <t>=IF(ISNUMBER($L$6)=FALSE,"",
        IF(ISERROR(VLOOKUP($G109,DanaSehat!$L$13:$AK$14,Z$4,FALSE))=TRUE,"",
              VLOOKUP($G109,DanaSehat!$L$13:$AK$14,Z$4,FALSE)))</t>
  </si>
  <si>
    <t>=IF(ISNUMBER($L$6)=FALSE,"",
        IF(ISERROR(VLOOKUP($G109,DanaSehat!$L$13:$AK$14,AA$4,FALSE))=TRUE,"",
              VLOOKUP($G109,DanaSehat!$L$13:$AK$14,AA$4,FALSE)))</t>
  </si>
  <si>
    <t>=IF(ISNUMBER($L$6)=FALSE,"",
        IF(ISERROR(VLOOKUP($G109,DanaSehat!$L$13:$AK$14,AB$4,FALSE))=TRUE,"",
              VLOOKUP($G109,DanaSehat!$L$13:$AK$14,AB$4,FALSE)))</t>
  </si>
  <si>
    <t>=IF(ISNUMBER($L$6)=FALSE,"",
        IF(ISERROR(VLOOKUP($G109,DanaSehat!$L$13:$AK$14,AC$4,FALSE))=TRUE,"",
              VLOOKUP($G109,DanaSehat!$L$13:$AK$14,AC$4,FALSE)))</t>
  </si>
  <si>
    <t>=IF(ISNUMBER($L$6)=FALSE,"",
        IF(ISERROR(VLOOKUP($G109,DanaSehat!$L$13:$AK$14,AD$4,FALSE))=TRUE,"",
              VLOOKUP($G109,DanaSehat!$L$13:$AK$14,AD$4,FALSE)))</t>
  </si>
  <si>
    <t>=IF(ISNUMBER($L$6)=FALSE,"",
        IF(ISERROR(VLOOKUP($G109,DanaSehat!$L$13:$AK$14,AE$4,FALSE))=TRUE,"",
              VLOOKUP($G109,DanaSehat!$L$13:$AK$14,AE$4,FALSE)))</t>
  </si>
  <si>
    <t>=IF(ISNUMBER($L$6)=FALSE,"",
        IF(ISERROR(VLOOKUP($G109,DanaSehat!$L$13:$AK$14,AF$4,FALSE))=TRUE,"",
              VLOOKUP($G109,DanaSehat!$L$13:$AK$14,AF$4,FALSE)))</t>
  </si>
  <si>
    <t>=IF($C109=$C$4,0,
       IF($C109=0,0,$C109+1))</t>
  </si>
  <si>
    <t>=IF(ISNUMBER($L$6)=FALSE,"",
IF($C110=0,"",$C110))</t>
  </si>
  <si>
    <t>=IF(ISNUMBER($L$6)=FALSE,"",
IF($C110=0,"",VLOOKUP($E110,DanaSehat!$H$13:$L$14,4,FALSE)))</t>
  </si>
  <si>
    <t>=IF(ISNUMBER($L$6)=FALSE,"",
IF($C110=0,"",VLOOKUP($E110,DanaSehat!$H$13:$L$14,5,FALSE)))</t>
  </si>
  <si>
    <t>=IF(ISNUMBER($L$6)=FALSE,"",
IF($C110=0,"",SUM(I110:AF110)))</t>
  </si>
  <si>
    <t>=IF(ISNUMBER($L$6)=FALSE,"",
        IF(ISERROR(VLOOKUP($G110,DanaSehat!$L$13:$AK$14,I$4,FALSE))=TRUE,"",
              VLOOKUP($G110,DanaSehat!$L$13:$AK$14,I$4,FALSE)))</t>
  </si>
  <si>
    <t>=IF(ISNUMBER($L$6)=FALSE,"",
        IF(ISERROR(VLOOKUP($G110,DanaSehat!$L$13:$AK$14,J$4,FALSE))=TRUE,"",
              VLOOKUP($G110,DanaSehat!$L$13:$AK$14,J$4,FALSE)))</t>
  </si>
  <si>
    <t>=IF(ISNUMBER($L$6)=FALSE,"",
        IF(ISERROR(VLOOKUP($G110,DanaSehat!$L$13:$AK$14,K$4,FALSE))=TRUE,"",
              VLOOKUP($G110,DanaSehat!$L$13:$AK$14,K$4,FALSE)))</t>
  </si>
  <si>
    <t>=IF(ISNUMBER($L$6)=FALSE,"",
        IF(ISERROR(VLOOKUP($G110,DanaSehat!$L$13:$AK$14,L$4,FALSE))=TRUE,"",
              VLOOKUP($G110,DanaSehat!$L$13:$AK$14,L$4,FALSE)))</t>
  </si>
  <si>
    <t>=IF(ISNUMBER($L$6)=FALSE,"",
        IF(ISERROR(VLOOKUP($G110,DanaSehat!$L$13:$AK$14,M$4,FALSE))=TRUE,"",
              VLOOKUP($G110,DanaSehat!$L$13:$AK$14,M$4,FALSE)))</t>
  </si>
  <si>
    <t>=IF(ISNUMBER($L$6)=FALSE,"",
        IF(ISERROR(VLOOKUP($G110,DanaSehat!$L$13:$AK$14,N$4,FALSE))=TRUE,"",
              VLOOKUP($G110,DanaSehat!$L$13:$AK$14,N$4,FALSE)))</t>
  </si>
  <si>
    <t>=IF(ISNUMBER($L$6)=FALSE,"",
        IF(ISERROR(VLOOKUP($G110,DanaSehat!$L$13:$AK$14,O$4,FALSE))=TRUE,"",
              VLOOKUP($G110,DanaSehat!$L$13:$AK$14,O$4,FALSE)))</t>
  </si>
  <si>
    <t>=IF(ISNUMBER($L$6)=FALSE,"",
        IF(ISERROR(VLOOKUP($G110,DanaSehat!$L$13:$AK$14,P$4,FALSE))=TRUE,"",
              VLOOKUP($G110,DanaSehat!$L$13:$AK$14,P$4,FALSE)))</t>
  </si>
  <si>
    <t>=IF(ISNUMBER($L$6)=FALSE,"",
        IF(ISERROR(VLOOKUP($G110,DanaSehat!$L$13:$AK$14,Q$4,FALSE))=TRUE,"",
              VLOOKUP($G110,DanaSehat!$L$13:$AK$14,Q$4,FALSE)))</t>
  </si>
  <si>
    <t>=IF(ISNUMBER($L$6)=FALSE,"",
        IF(ISERROR(VLOOKUP($G110,DanaSehat!$L$13:$AK$14,R$4,FALSE))=TRUE,"",
              VLOOKUP($G110,DanaSehat!$L$13:$AK$14,R$4,FALSE)))</t>
  </si>
  <si>
    <t>=IF(ISNUMBER($L$6)=FALSE,"",
        IF(ISERROR(VLOOKUP($G110,DanaSehat!$L$13:$AK$14,S$4,FALSE))=TRUE,"",
              VLOOKUP($G110,DanaSehat!$L$13:$AK$14,S$4,FALSE)))</t>
  </si>
  <si>
    <t>=IF(ISNUMBER($L$6)=FALSE,"",
        IF(ISERROR(VLOOKUP($G110,DanaSehat!$L$13:$AK$14,T$4,FALSE))=TRUE,"",
              VLOOKUP($G110,DanaSehat!$L$13:$AK$14,T$4,FALSE)))</t>
  </si>
  <si>
    <t>=IF(ISNUMBER($L$6)=FALSE,"",
        IF(ISERROR(VLOOKUP($G110,DanaSehat!$L$13:$AK$14,U$4,FALSE))=TRUE,"",
              VLOOKUP($G110,DanaSehat!$L$13:$AK$14,U$4,FALSE)))</t>
  </si>
  <si>
    <t>=IF(ISNUMBER($L$6)=FALSE,"",
        IF(ISERROR(VLOOKUP($G110,DanaSehat!$L$13:$AK$14,V$4,FALSE))=TRUE,"",
              VLOOKUP($G110,DanaSehat!$L$13:$AK$14,V$4,FALSE)))</t>
  </si>
  <si>
    <t>=IF(ISNUMBER($L$6)=FALSE,"",
        IF(ISERROR(VLOOKUP($G110,DanaSehat!$L$13:$AK$14,W$4,FALSE))=TRUE,"",
              VLOOKUP($G110,DanaSehat!$L$13:$AK$14,W$4,FALSE)))</t>
  </si>
  <si>
    <t>=IF(ISNUMBER($L$6)=FALSE,"",
        IF(ISERROR(VLOOKUP($G110,DanaSehat!$L$13:$AK$14,X$4,FALSE))=TRUE,"",
              VLOOKUP($G110,DanaSehat!$L$13:$AK$14,X$4,FALSE)))</t>
  </si>
  <si>
    <t>=IF(ISNUMBER($L$6)=FALSE,"",
        IF(ISERROR(VLOOKUP($G110,DanaSehat!$L$13:$AK$14,Y$4,FALSE))=TRUE,"",
              VLOOKUP($G110,DanaSehat!$L$13:$AK$14,Y$4,FALSE)))</t>
  </si>
  <si>
    <t>=IF(ISNUMBER($L$6)=FALSE,"",
        IF(ISERROR(VLOOKUP($G110,DanaSehat!$L$13:$AK$14,Z$4,FALSE))=TRUE,"",
              VLOOKUP($G110,DanaSehat!$L$13:$AK$14,Z$4,FALSE)))</t>
  </si>
  <si>
    <t>=IF(ISNUMBER($L$6)=FALSE,"",
        IF(ISERROR(VLOOKUP($G110,DanaSehat!$L$13:$AK$14,AA$4,FALSE))=TRUE,"",
              VLOOKUP($G110,DanaSehat!$L$13:$AK$14,AA$4,FALSE)))</t>
  </si>
  <si>
    <t>=IF(ISNUMBER($L$6)=FALSE,"",
        IF(ISERROR(VLOOKUP($G110,DanaSehat!$L$13:$AK$14,AB$4,FALSE))=TRUE,"",
              VLOOKUP($G110,DanaSehat!$L$13:$AK$14,AB$4,FALSE)))</t>
  </si>
  <si>
    <t>=IF(ISNUMBER($L$6)=FALSE,"",
        IF(ISERROR(VLOOKUP($G110,DanaSehat!$L$13:$AK$14,AC$4,FALSE))=TRUE,"",
              VLOOKUP($G110,DanaSehat!$L$13:$AK$14,AC$4,FALSE)))</t>
  </si>
  <si>
    <t>=IF(ISNUMBER($L$6)=FALSE,"",
        IF(ISERROR(VLOOKUP($G110,DanaSehat!$L$13:$AK$14,AD$4,FALSE))=TRUE,"",
              VLOOKUP($G110,DanaSehat!$L$13:$AK$14,AD$4,FALSE)))</t>
  </si>
  <si>
    <t>=IF(ISNUMBER($L$6)=FALSE,"",
        IF(ISERROR(VLOOKUP($G110,DanaSehat!$L$13:$AK$14,AE$4,FALSE))=TRUE,"",
              VLOOKUP($G110,DanaSehat!$L$13:$AK$14,AE$4,FALSE)))</t>
  </si>
  <si>
    <t>=IF(ISNUMBER($L$6)=FALSE,"",
        IF(ISERROR(VLOOKUP($G110,DanaSehat!$L$13:$AK$14,AF$4,FALSE))=TRUE,"",
              VLOOKUP($G110,DanaSehat!$L$13:$AK$14,AF$4,FALSE)))</t>
  </si>
  <si>
    <t>=IF($C110=$C$4,0,
       IF($C110=0,0,$C110+1))</t>
  </si>
  <si>
    <t>=IF(ISNUMBER($L$6)=FALSE,"",
IF($C111=0,"",$C111))</t>
  </si>
  <si>
    <t>=IF(ISNUMBER($L$6)=FALSE,"",
IF($C111=0,"",VLOOKUP($E111,DanaSehat!$H$13:$L$14,4,FALSE)))</t>
  </si>
  <si>
    <t>=IF(ISNUMBER($L$6)=FALSE,"",
IF($C111=0,"",VLOOKUP($E111,DanaSehat!$H$13:$L$14,5,FALSE)))</t>
  </si>
  <si>
    <t>=IF(ISNUMBER($L$6)=FALSE,"",
IF($C111=0,"",SUM(I111:AF111)))</t>
  </si>
  <si>
    <t>=IF(ISNUMBER($L$6)=FALSE,"",
        IF(ISERROR(VLOOKUP($G111,DanaSehat!$L$13:$AK$14,I$4,FALSE))=TRUE,"",
              VLOOKUP($G111,DanaSehat!$L$13:$AK$14,I$4,FALSE)))</t>
  </si>
  <si>
    <t>=IF(ISNUMBER($L$6)=FALSE,"",
        IF(ISERROR(VLOOKUP($G111,DanaSehat!$L$13:$AK$14,J$4,FALSE))=TRUE,"",
              VLOOKUP($G111,DanaSehat!$L$13:$AK$14,J$4,FALSE)))</t>
  </si>
  <si>
    <t>=IF(ISNUMBER($L$6)=FALSE,"",
        IF(ISERROR(VLOOKUP($G111,DanaSehat!$L$13:$AK$14,K$4,FALSE))=TRUE,"",
              VLOOKUP($G111,DanaSehat!$L$13:$AK$14,K$4,FALSE)))</t>
  </si>
  <si>
    <t>=IF(ISNUMBER($L$6)=FALSE,"",
        IF(ISERROR(VLOOKUP($G111,DanaSehat!$L$13:$AK$14,L$4,FALSE))=TRUE,"",
              VLOOKUP($G111,DanaSehat!$L$13:$AK$14,L$4,FALSE)))</t>
  </si>
  <si>
    <t>=IF(ISNUMBER($L$6)=FALSE,"",
        IF(ISERROR(VLOOKUP($G111,DanaSehat!$L$13:$AK$14,M$4,FALSE))=TRUE,"",
              VLOOKUP($G111,DanaSehat!$L$13:$AK$14,M$4,FALSE)))</t>
  </si>
  <si>
    <t>=IF(ISNUMBER($L$6)=FALSE,"",
        IF(ISERROR(VLOOKUP($G111,DanaSehat!$L$13:$AK$14,N$4,FALSE))=TRUE,"",
              VLOOKUP($G111,DanaSehat!$L$13:$AK$14,N$4,FALSE)))</t>
  </si>
  <si>
    <t>=IF(ISNUMBER($L$6)=FALSE,"",
        IF(ISERROR(VLOOKUP($G111,DanaSehat!$L$13:$AK$14,O$4,FALSE))=TRUE,"",
              VLOOKUP($G111,DanaSehat!$L$13:$AK$14,O$4,FALSE)))</t>
  </si>
  <si>
    <t>=IF(ISNUMBER($L$6)=FALSE,"",
        IF(ISERROR(VLOOKUP($G111,DanaSehat!$L$13:$AK$14,P$4,FALSE))=TRUE,"",
              VLOOKUP($G111,DanaSehat!$L$13:$AK$14,P$4,FALSE)))</t>
  </si>
  <si>
    <t>=IF(ISNUMBER($L$6)=FALSE,"",
        IF(ISERROR(VLOOKUP($G111,DanaSehat!$L$13:$AK$14,Q$4,FALSE))=TRUE,"",
              VLOOKUP($G111,DanaSehat!$L$13:$AK$14,Q$4,FALSE)))</t>
  </si>
  <si>
    <t>=IF(ISNUMBER($L$6)=FALSE,"",
        IF(ISERROR(VLOOKUP($G111,DanaSehat!$L$13:$AK$14,R$4,FALSE))=TRUE,"",
              VLOOKUP($G111,DanaSehat!$L$13:$AK$14,R$4,FALSE)))</t>
  </si>
  <si>
    <t>=IF(ISNUMBER($L$6)=FALSE,"",
        IF(ISERROR(VLOOKUP($G111,DanaSehat!$L$13:$AK$14,S$4,FALSE))=TRUE,"",
              VLOOKUP($G111,DanaSehat!$L$13:$AK$14,S$4,FALSE)))</t>
  </si>
  <si>
    <t>=IF(ISNUMBER($L$6)=FALSE,"",
        IF(ISERROR(VLOOKUP($G111,DanaSehat!$L$13:$AK$14,T$4,FALSE))=TRUE,"",
              VLOOKUP($G111,DanaSehat!$L$13:$AK$14,T$4,FALSE)))</t>
  </si>
  <si>
    <t>=IF(ISNUMBER($L$6)=FALSE,"",
        IF(ISERROR(VLOOKUP($G111,DanaSehat!$L$13:$AK$14,U$4,FALSE))=TRUE,"",
              VLOOKUP($G111,DanaSehat!$L$13:$AK$14,U$4,FALSE)))</t>
  </si>
  <si>
    <t>=IF(ISNUMBER($L$6)=FALSE,"",
        IF(ISERROR(VLOOKUP($G111,DanaSehat!$L$13:$AK$14,V$4,FALSE))=TRUE,"",
              VLOOKUP($G111,DanaSehat!$L$13:$AK$14,V$4,FALSE)))</t>
  </si>
  <si>
    <t>=IF(ISNUMBER($L$6)=FALSE,"",
        IF(ISERROR(VLOOKUP($G111,DanaSehat!$L$13:$AK$14,W$4,FALSE))=TRUE,"",
              VLOOKUP($G111,DanaSehat!$L$13:$AK$14,W$4,FALSE)))</t>
  </si>
  <si>
    <t>=IF(ISNUMBER($L$6)=FALSE,"",
        IF(ISERROR(VLOOKUP($G111,DanaSehat!$L$13:$AK$14,X$4,FALSE))=TRUE,"",
              VLOOKUP($G111,DanaSehat!$L$13:$AK$14,X$4,FALSE)))</t>
  </si>
  <si>
    <t>=IF(ISNUMBER($L$6)=FALSE,"",
        IF(ISERROR(VLOOKUP($G111,DanaSehat!$L$13:$AK$14,Y$4,FALSE))=TRUE,"",
              VLOOKUP($G111,DanaSehat!$L$13:$AK$14,Y$4,FALSE)))</t>
  </si>
  <si>
    <t>=IF(ISNUMBER($L$6)=FALSE,"",
        IF(ISERROR(VLOOKUP($G111,DanaSehat!$L$13:$AK$14,Z$4,FALSE))=TRUE,"",
              VLOOKUP($G111,DanaSehat!$L$13:$AK$14,Z$4,FALSE)))</t>
  </si>
  <si>
    <t>=IF(ISNUMBER($L$6)=FALSE,"",
        IF(ISERROR(VLOOKUP($G111,DanaSehat!$L$13:$AK$14,AA$4,FALSE))=TRUE,"",
              VLOOKUP($G111,DanaSehat!$L$13:$AK$14,AA$4,FALSE)))</t>
  </si>
  <si>
    <t>=IF(ISNUMBER($L$6)=FALSE,"",
        IF(ISERROR(VLOOKUP($G111,DanaSehat!$L$13:$AK$14,AB$4,FALSE))=TRUE,"",
              VLOOKUP($G111,DanaSehat!$L$13:$AK$14,AB$4,FALSE)))</t>
  </si>
  <si>
    <t>=IF(ISNUMBER($L$6)=FALSE,"",
        IF(ISERROR(VLOOKUP($G111,DanaSehat!$L$13:$AK$14,AC$4,FALSE))=TRUE,"",
              VLOOKUP($G111,DanaSehat!$L$13:$AK$14,AC$4,FALSE)))</t>
  </si>
  <si>
    <t>=IF(ISNUMBER($L$6)=FALSE,"",
        IF(ISERROR(VLOOKUP($G111,DanaSehat!$L$13:$AK$14,AD$4,FALSE))=TRUE,"",
              VLOOKUP($G111,DanaSehat!$L$13:$AK$14,AD$4,FALSE)))</t>
  </si>
  <si>
    <t>=IF(ISNUMBER($L$6)=FALSE,"",
        IF(ISERROR(VLOOKUP($G111,DanaSehat!$L$13:$AK$14,AE$4,FALSE))=TRUE,"",
              VLOOKUP($G111,DanaSehat!$L$13:$AK$14,AE$4,FALSE)))</t>
  </si>
  <si>
    <t>=IF(ISNUMBER($L$6)=FALSE,"",
        IF(ISERROR(VLOOKUP($G111,DanaSehat!$L$13:$AK$14,AF$4,FALSE))=TRUE,"",
              VLOOKUP($G111,DanaSehat!$L$13:$AK$14,AF$4,FALSE)))</t>
  </si>
  <si>
    <t>=IF($C111=$C$4,0,
       IF($C111=0,0,$C111+1))</t>
  </si>
  <si>
    <t>=IF(ISNUMBER($L$6)=FALSE,"",
IF($C112=0,"",$C112))</t>
  </si>
  <si>
    <t>=IF(ISNUMBER($L$6)=FALSE,"",
IF($C112=0,"",VLOOKUP($E112,DanaSehat!$H$13:$L$14,4,FALSE)))</t>
  </si>
  <si>
    <t>=IF(ISNUMBER($L$6)=FALSE,"",
IF($C112=0,"",VLOOKUP($E112,DanaSehat!$H$13:$L$14,5,FALSE)))</t>
  </si>
  <si>
    <t>=IF(ISNUMBER($L$6)=FALSE,"",
IF($C112=0,"",SUM(I112:AF112)))</t>
  </si>
  <si>
    <t>=IF(ISNUMBER($L$6)=FALSE,"",
        IF(ISERROR(VLOOKUP($G112,DanaSehat!$L$13:$AK$14,I$4,FALSE))=TRUE,"",
              VLOOKUP($G112,DanaSehat!$L$13:$AK$14,I$4,FALSE)))</t>
  </si>
  <si>
    <t>=IF(ISNUMBER($L$6)=FALSE,"",
        IF(ISERROR(VLOOKUP($G112,DanaSehat!$L$13:$AK$14,J$4,FALSE))=TRUE,"",
              VLOOKUP($G112,DanaSehat!$L$13:$AK$14,J$4,FALSE)))</t>
  </si>
  <si>
    <t>=IF(ISNUMBER($L$6)=FALSE,"",
        IF(ISERROR(VLOOKUP($G112,DanaSehat!$L$13:$AK$14,K$4,FALSE))=TRUE,"",
              VLOOKUP($G112,DanaSehat!$L$13:$AK$14,K$4,FALSE)))</t>
  </si>
  <si>
    <t>=IF(ISNUMBER($L$6)=FALSE,"",
        IF(ISERROR(VLOOKUP($G112,DanaSehat!$L$13:$AK$14,L$4,FALSE))=TRUE,"",
              VLOOKUP($G112,DanaSehat!$L$13:$AK$14,L$4,FALSE)))</t>
  </si>
  <si>
    <t>=IF(ISNUMBER($L$6)=FALSE,"",
        IF(ISERROR(VLOOKUP($G112,DanaSehat!$L$13:$AK$14,M$4,FALSE))=TRUE,"",
              VLOOKUP($G112,DanaSehat!$L$13:$AK$14,M$4,FALSE)))</t>
  </si>
  <si>
    <t>=IF(ISNUMBER($L$6)=FALSE,"",
        IF(ISERROR(VLOOKUP($G112,DanaSehat!$L$13:$AK$14,N$4,FALSE))=TRUE,"",
              VLOOKUP($G112,DanaSehat!$L$13:$AK$14,N$4,FALSE)))</t>
  </si>
  <si>
    <t>=IF(ISNUMBER($L$6)=FALSE,"",
        IF(ISERROR(VLOOKUP($G112,DanaSehat!$L$13:$AK$14,O$4,FALSE))=TRUE,"",
              VLOOKUP($G112,DanaSehat!$L$13:$AK$14,O$4,FALSE)))</t>
  </si>
  <si>
    <t>=IF(ISNUMBER($L$6)=FALSE,"",
        IF(ISERROR(VLOOKUP($G112,DanaSehat!$L$13:$AK$14,P$4,FALSE))=TRUE,"",
              VLOOKUP($G112,DanaSehat!$L$13:$AK$14,P$4,FALSE)))</t>
  </si>
  <si>
    <t>=IF(ISNUMBER($L$6)=FALSE,"",
        IF(ISERROR(VLOOKUP($G112,DanaSehat!$L$13:$AK$14,Q$4,FALSE))=TRUE,"",
              VLOOKUP($G112,DanaSehat!$L$13:$AK$14,Q$4,FALSE)))</t>
  </si>
  <si>
    <t>=IF(ISNUMBER($L$6)=FALSE,"",
        IF(ISERROR(VLOOKUP($G112,DanaSehat!$L$13:$AK$14,R$4,FALSE))=TRUE,"",
              VLOOKUP($G112,DanaSehat!$L$13:$AK$14,R$4,FALSE)))</t>
  </si>
  <si>
    <t>=IF(ISNUMBER($L$6)=FALSE,"",
        IF(ISERROR(VLOOKUP($G112,DanaSehat!$L$13:$AK$14,S$4,FALSE))=TRUE,"",
              VLOOKUP($G112,DanaSehat!$L$13:$AK$14,S$4,FALSE)))</t>
  </si>
  <si>
    <t>=IF(ISNUMBER($L$6)=FALSE,"",
        IF(ISERROR(VLOOKUP($G112,DanaSehat!$L$13:$AK$14,T$4,FALSE))=TRUE,"",
              VLOOKUP($G112,DanaSehat!$L$13:$AK$14,T$4,FALSE)))</t>
  </si>
  <si>
    <t>=IF(ISNUMBER($L$6)=FALSE,"",
        IF(ISERROR(VLOOKUP($G112,DanaSehat!$L$13:$AK$14,U$4,FALSE))=TRUE,"",
              VLOOKUP($G112,DanaSehat!$L$13:$AK$14,U$4,FALSE)))</t>
  </si>
  <si>
    <t>=IF(ISNUMBER($L$6)=FALSE,"",
        IF(ISERROR(VLOOKUP($G112,DanaSehat!$L$13:$AK$14,V$4,FALSE))=TRUE,"",
              VLOOKUP($G112,DanaSehat!$L$13:$AK$14,V$4,FALSE)))</t>
  </si>
  <si>
    <t>=IF(ISNUMBER($L$6)=FALSE,"",
        IF(ISERROR(VLOOKUP($G112,DanaSehat!$L$13:$AK$14,W$4,FALSE))=TRUE,"",
              VLOOKUP($G112,DanaSehat!$L$13:$AK$14,W$4,FALSE)))</t>
  </si>
  <si>
    <t>=IF(ISNUMBER($L$6)=FALSE,"",
        IF(ISERROR(VLOOKUP($G112,DanaSehat!$L$13:$AK$14,X$4,FALSE))=TRUE,"",
              VLOOKUP($G112,DanaSehat!$L$13:$AK$14,X$4,FALSE)))</t>
  </si>
  <si>
    <t>=IF(ISNUMBER($L$6)=FALSE,"",
        IF(ISERROR(VLOOKUP($G112,DanaSehat!$L$13:$AK$14,Y$4,FALSE))=TRUE,"",
              VLOOKUP($G112,DanaSehat!$L$13:$AK$14,Y$4,FALSE)))</t>
  </si>
  <si>
    <t>=IF(ISNUMBER($L$6)=FALSE,"",
        IF(ISERROR(VLOOKUP($G112,DanaSehat!$L$13:$AK$14,Z$4,FALSE))=TRUE,"",
              VLOOKUP($G112,DanaSehat!$L$13:$AK$14,Z$4,FALSE)))</t>
  </si>
  <si>
    <t>=IF(ISNUMBER($L$6)=FALSE,"",
        IF(ISERROR(VLOOKUP($G112,DanaSehat!$L$13:$AK$14,AA$4,FALSE))=TRUE,"",
              VLOOKUP($G112,DanaSehat!$L$13:$AK$14,AA$4,FALSE)))</t>
  </si>
  <si>
    <t>=IF(ISNUMBER($L$6)=FALSE,"",
        IF(ISERROR(VLOOKUP($G112,DanaSehat!$L$13:$AK$14,AB$4,FALSE))=TRUE,"",
              VLOOKUP($G112,DanaSehat!$L$13:$AK$14,AB$4,FALSE)))</t>
  </si>
  <si>
    <t>=IF(ISNUMBER($L$6)=FALSE,"",
        IF(ISERROR(VLOOKUP($G112,DanaSehat!$L$13:$AK$14,AC$4,FALSE))=TRUE,"",
              VLOOKUP($G112,DanaSehat!$L$13:$AK$14,AC$4,FALSE)))</t>
  </si>
  <si>
    <t>=IF(ISNUMBER($L$6)=FALSE,"",
        IF(ISERROR(VLOOKUP($G112,DanaSehat!$L$13:$AK$14,AD$4,FALSE))=TRUE,"",
              VLOOKUP($G112,DanaSehat!$L$13:$AK$14,AD$4,FALSE)))</t>
  </si>
  <si>
    <t>=IF(ISNUMBER($L$6)=FALSE,"",
        IF(ISERROR(VLOOKUP($G112,DanaSehat!$L$13:$AK$14,AE$4,FALSE))=TRUE,"",
              VLOOKUP($G112,DanaSehat!$L$13:$AK$14,AE$4,FALSE)))</t>
  </si>
  <si>
    <t>=IF(ISNUMBER($L$6)=FALSE,"",
        IF(ISERROR(VLOOKUP($G112,DanaSehat!$L$13:$AK$14,AF$4,FALSE))=TRUE,"",
              VLOOKUP($G112,DanaSehat!$L$13:$AK$14,AF$4,FALSE)))</t>
  </si>
  <si>
    <t>=IF($C112=$C$4,0,
       IF($C112=0,0,$C112+1))</t>
  </si>
  <si>
    <t>=IF(ISNUMBER($L$6)=FALSE,"",
IF($C113=0,"",$C113))</t>
  </si>
  <si>
    <t>=IF(ISNUMBER($L$6)=FALSE,"",
IF($C113=0,"",VLOOKUP($E113,DanaSehat!$H$13:$L$14,4,FALSE)))</t>
  </si>
  <si>
    <t>=IF(ISNUMBER($L$6)=FALSE,"",
IF($C113=0,"",VLOOKUP($E113,DanaSehat!$H$13:$L$14,5,FALSE)))</t>
  </si>
  <si>
    <t>=IF(ISNUMBER($L$6)=FALSE,"",
IF($C113=0,"",SUM(I113:AF113)))</t>
  </si>
  <si>
    <t>=IF(ISNUMBER($L$6)=FALSE,"",
        IF(ISERROR(VLOOKUP($G113,DanaSehat!$L$13:$AK$14,I$4,FALSE))=TRUE,"",
              VLOOKUP($G113,DanaSehat!$L$13:$AK$14,I$4,FALSE)))</t>
  </si>
  <si>
    <t>=IF(ISNUMBER($L$6)=FALSE,"",
        IF(ISERROR(VLOOKUP($G113,DanaSehat!$L$13:$AK$14,J$4,FALSE))=TRUE,"",
              VLOOKUP($G113,DanaSehat!$L$13:$AK$14,J$4,FALSE)))</t>
  </si>
  <si>
    <t>=IF(ISNUMBER($L$6)=FALSE,"",
        IF(ISERROR(VLOOKUP($G113,DanaSehat!$L$13:$AK$14,K$4,FALSE))=TRUE,"",
              VLOOKUP($G113,DanaSehat!$L$13:$AK$14,K$4,FALSE)))</t>
  </si>
  <si>
    <t>=IF(ISNUMBER($L$6)=FALSE,"",
        IF(ISERROR(VLOOKUP($G113,DanaSehat!$L$13:$AK$14,L$4,FALSE))=TRUE,"",
              VLOOKUP($G113,DanaSehat!$L$13:$AK$14,L$4,FALSE)))</t>
  </si>
  <si>
    <t>=IF(ISNUMBER($L$6)=FALSE,"",
        IF(ISERROR(VLOOKUP($G113,DanaSehat!$L$13:$AK$14,M$4,FALSE))=TRUE,"",
              VLOOKUP($G113,DanaSehat!$L$13:$AK$14,M$4,FALSE)))</t>
  </si>
  <si>
    <t>=IF(ISNUMBER($L$6)=FALSE,"",
        IF(ISERROR(VLOOKUP($G113,DanaSehat!$L$13:$AK$14,N$4,FALSE))=TRUE,"",
              VLOOKUP($G113,DanaSehat!$L$13:$AK$14,N$4,FALSE)))</t>
  </si>
  <si>
    <t>=IF(ISNUMBER($L$6)=FALSE,"",
        IF(ISERROR(VLOOKUP($G113,DanaSehat!$L$13:$AK$14,O$4,FALSE))=TRUE,"",
              VLOOKUP($G113,DanaSehat!$L$13:$AK$14,O$4,FALSE)))</t>
  </si>
  <si>
    <t>=IF(ISNUMBER($L$6)=FALSE,"",
        IF(ISERROR(VLOOKUP($G113,DanaSehat!$L$13:$AK$14,P$4,FALSE))=TRUE,"",
              VLOOKUP($G113,DanaSehat!$L$13:$AK$14,P$4,FALSE)))</t>
  </si>
  <si>
    <t>=IF(ISNUMBER($L$6)=FALSE,"",
        IF(ISERROR(VLOOKUP($G113,DanaSehat!$L$13:$AK$14,Q$4,FALSE))=TRUE,"",
              VLOOKUP($G113,DanaSehat!$L$13:$AK$14,Q$4,FALSE)))</t>
  </si>
  <si>
    <t>=IF(ISNUMBER($L$6)=FALSE,"",
        IF(ISERROR(VLOOKUP($G113,DanaSehat!$L$13:$AK$14,R$4,FALSE))=TRUE,"",
              VLOOKUP($G113,DanaSehat!$L$13:$AK$14,R$4,FALSE)))</t>
  </si>
  <si>
    <t>=IF(ISNUMBER($L$6)=FALSE,"",
        IF(ISERROR(VLOOKUP($G113,DanaSehat!$L$13:$AK$14,S$4,FALSE))=TRUE,"",
              VLOOKUP($G113,DanaSehat!$L$13:$AK$14,S$4,FALSE)))</t>
  </si>
  <si>
    <t>=IF(ISNUMBER($L$6)=FALSE,"",
        IF(ISERROR(VLOOKUP($G113,DanaSehat!$L$13:$AK$14,T$4,FALSE))=TRUE,"",
              VLOOKUP($G113,DanaSehat!$L$13:$AK$14,T$4,FALSE)))</t>
  </si>
  <si>
    <t>=IF(ISNUMBER($L$6)=FALSE,"",
        IF(ISERROR(VLOOKUP($G113,DanaSehat!$L$13:$AK$14,U$4,FALSE))=TRUE,"",
              VLOOKUP($G113,DanaSehat!$L$13:$AK$14,U$4,FALSE)))</t>
  </si>
  <si>
    <t>=IF(ISNUMBER($L$6)=FALSE,"",
        IF(ISERROR(VLOOKUP($G113,DanaSehat!$L$13:$AK$14,V$4,FALSE))=TRUE,"",
              VLOOKUP($G113,DanaSehat!$L$13:$AK$14,V$4,FALSE)))</t>
  </si>
  <si>
    <t>=IF(ISNUMBER($L$6)=FALSE,"",
        IF(ISERROR(VLOOKUP($G113,DanaSehat!$L$13:$AK$14,W$4,FALSE))=TRUE,"",
              VLOOKUP($G113,DanaSehat!$L$13:$AK$14,W$4,FALSE)))</t>
  </si>
  <si>
    <t>=IF(ISNUMBER($L$6)=FALSE,"",
        IF(ISERROR(VLOOKUP($G113,DanaSehat!$L$13:$AK$14,X$4,FALSE))=TRUE,"",
              VLOOKUP($G113,DanaSehat!$L$13:$AK$14,X$4,FALSE)))</t>
  </si>
  <si>
    <t>=IF(ISNUMBER($L$6)=FALSE,"",
        IF(ISERROR(VLOOKUP($G113,DanaSehat!$L$13:$AK$14,Y$4,FALSE))=TRUE,"",
              VLOOKUP($G113,DanaSehat!$L$13:$AK$14,Y$4,FALSE)))</t>
  </si>
  <si>
    <t>=IF(ISNUMBER($L$6)=FALSE,"",
        IF(ISERROR(VLOOKUP($G113,DanaSehat!$L$13:$AK$14,Z$4,FALSE))=TRUE,"",
              VLOOKUP($G113,DanaSehat!$L$13:$AK$14,Z$4,FALSE)))</t>
  </si>
  <si>
    <t>=IF(ISNUMBER($L$6)=FALSE,"",
        IF(ISERROR(VLOOKUP($G113,DanaSehat!$L$13:$AK$14,AA$4,FALSE))=TRUE,"",
              VLOOKUP($G113,DanaSehat!$L$13:$AK$14,AA$4,FALSE)))</t>
  </si>
  <si>
    <t>=IF(ISNUMBER($L$6)=FALSE,"",
        IF(ISERROR(VLOOKUP($G113,DanaSehat!$L$13:$AK$14,AB$4,FALSE))=TRUE,"",
              VLOOKUP($G113,DanaSehat!$L$13:$AK$14,AB$4,FALSE)))</t>
  </si>
  <si>
    <t>=IF(ISNUMBER($L$6)=FALSE,"",
        IF(ISERROR(VLOOKUP($G113,DanaSehat!$L$13:$AK$14,AC$4,FALSE))=TRUE,"",
              VLOOKUP($G113,DanaSehat!$L$13:$AK$14,AC$4,FALSE)))</t>
  </si>
  <si>
    <t>=IF(ISNUMBER($L$6)=FALSE,"",
        IF(ISERROR(VLOOKUP($G113,DanaSehat!$L$13:$AK$14,AD$4,FALSE))=TRUE,"",
              VLOOKUP($G113,DanaSehat!$L$13:$AK$14,AD$4,FALSE)))</t>
  </si>
  <si>
    <t>=IF(ISNUMBER($L$6)=FALSE,"",
        IF(ISERROR(VLOOKUP($G113,DanaSehat!$L$13:$AK$14,AE$4,FALSE))=TRUE,"",
              VLOOKUP($G113,DanaSehat!$L$13:$AK$14,AE$4,FALSE)))</t>
  </si>
  <si>
    <t>=IF(ISNUMBER($L$6)=FALSE,"",
        IF(ISERROR(VLOOKUP($G113,DanaSehat!$L$13:$AK$14,AF$4,FALSE))=TRUE,"",
              VLOOKUP($G113,DanaSehat!$L$13:$AK$14,AF$4,FALSE)))</t>
  </si>
  <si>
    <t>Auto+Hide+Formulas=Sheet5,Sheet6+FormulasOnly</t>
  </si>
  <si>
    <t>=NL("First","Dimension Value","Name","Code",$K$5)</t>
  </si>
  <si>
    <t>=NL("First","Dimension Value","Code","Name",$J$6)</t>
  </si>
  <si>
    <t>=DATE(YEAR($K$7)-1,7,1)</t>
  </si>
  <si>
    <t>=NP("Eval","=TODAY()")</t>
  </si>
  <si>
    <t>=NP("DateFilter",$J$7,$K$7)</t>
  </si>
  <si>
    <t>=NL("Rows","G/L Entry",,"Departemen Code",$K$5,"Amount","&lt;0","Intensi Code",$K$6,"+Posting Date",$J$8,"Bal. Account Type","G/L Account","+Source Type","*","Reversed","False")</t>
  </si>
  <si>
    <t>=NF($C13,"Source Type")</t>
  </si>
  <si>
    <t>=CONCATENATE(L13,"|",O13)</t>
  </si>
  <si>
    <t>=NF($C13,"Posting Date")</t>
  </si>
  <si>
    <t>=IF($D13="Customer",$D13,"G/L")</t>
  </si>
  <si>
    <t>=NF($C13,"Source No.")</t>
  </si>
  <si>
    <t>=NL("First","Customer","Name","No.",IF($D13="Customer",$L13,"@@"))</t>
  </si>
  <si>
    <t>=ABS(NF($C13,"Amount"))</t>
  </si>
  <si>
    <t>=NF($C13,"Document Date")</t>
  </si>
  <si>
    <t>=NF($C13,"Description")</t>
  </si>
  <si>
    <t>=NF($C13,"Intensi Code")</t>
  </si>
  <si>
    <t>=NL("Filter","Customer","No.","Departemen Code",$K$5,"No.","KK*","Name","*")</t>
  </si>
  <si>
    <t>=NL("Rows","Cust. Ledger Entry",,"Intensi Code",$K$6,"Posting Date",$J$8,"+Customer No.",$C20,"Reversed","False")</t>
  </si>
  <si>
    <t>=CONCATENATE(J20,"|",M20,"|",L20)</t>
  </si>
  <si>
    <t>=NF($D20,"Customer No.")</t>
  </si>
  <si>
    <t>=NL("First","Customer","Name","No.",J20)</t>
  </si>
  <si>
    <t>=NF($D20,"Departemen Code")</t>
  </si>
  <si>
    <t>=NF($D20,"Document Date")</t>
  </si>
  <si>
    <t>=ABS(NF($D20,"Amount"))</t>
  </si>
  <si>
    <t>Auto+Hide+HideSheet+Formulas=Sheet7,Sheet8+FormulasOnly</t>
  </si>
  <si>
    <t>=IF(B2="Protected","","Admin Mode: Excel tidak terkunci, jangan dibagikan ke lingkungan")</t>
  </si>
  <si>
    <t>=NL("First","Dimension Value","Name","Code",$E$5)</t>
  </si>
  <si>
    <t>42057</t>
  </si>
  <si>
    <t>42005</t>
  </si>
  <si>
    <t>180000</t>
  </si>
  <si>
    <t>Auto+Hide+Formulas=Sheet9,Sheet10+FormulasOnly</t>
  </si>
  <si>
    <t>=IF(COUNTIFS(IuranSYSebelumnya!$J$20:$J$21,$K13,IuranSYSebelumnya!$M$20:$M$21,AO$11,IuranSYSebelumnya!$L$20:$L$21,$M$5)&gt;0,
        VLOOKUP(CONCATENATE($K13,"|",AO$11,"|",$M$5),IuranSYSebelumnya!$I$20:$N$21,5,FALSE),
        IF(COUNTIFS(IuranSYSebelumnya!$J$20:$J$21,$K13,IuranSYSebelumnya!$M$20:$M$21,AO$11,IuranSYSebelumnya!$L$20:$L$21,"&lt;&gt;"&amp;$M$5)&gt;0,
              "Iuran dari Lingkungan lain",
              ""))</t>
  </si>
  <si>
    <t>=IF(COUNTIFS(IuranSYSebelumnya!$J$20:$J$21,$K13,IuranSYSebelumnya!$M$20:$M$21,AP$11,IuranSYSebelumnya!$L$20:$L$21,$M$5)&gt;0,
        VLOOKUP(CONCATENATE($K13,"|",AP$11,"|",$M$5),IuranSYSebelumnya!$I$20:$N$21,5,FALSE),
        IF(COUNTIFS(IuranSYSebelumnya!$J$20:$J$21,$K13,IuranSYSebelumnya!$M$20:$M$21,AP$11,IuranSYSebelumnya!$L$20:$L$21,"&lt;&gt;"&amp;$M$5)&gt;0,
              "Iuran dari Lingkungan lain",
              ""))</t>
  </si>
  <si>
    <t>=IF(COUNTIFS(IuranSYSebelumnya!$J$20:$J$21,$K13,IuranSYSebelumnya!$M$20:$M$21,AQ$11,IuranSYSebelumnya!$L$20:$L$21,$M$5)&gt;0,
        VLOOKUP(CONCATENATE($K13,"|",AQ$11,"|",$M$5),IuranSYSebelumnya!$I$20:$N$21,5,FALSE),
        IF(COUNTIFS(IuranSYSebelumnya!$J$20:$J$21,$K13,IuranSYSebelumnya!$M$20:$M$21,AQ$11,IuranSYSebelumnya!$L$20:$L$21,"&lt;&gt;"&amp;$M$5)&gt;0,
              "Iuran dari Lingkungan lain",
              ""))</t>
  </si>
  <si>
    <t>=IF(COUNTIFS(IuranSYSebelumnya!$J$20:$J$21,$K13,IuranSYSebelumnya!$M$20:$M$21,AR$11,IuranSYSebelumnya!$L$20:$L$21,$M$5)&gt;0,
        VLOOKUP(CONCATENATE($K13,"|",AR$11,"|",$M$5),IuranSYSebelumnya!$I$20:$N$21,5,FALSE),
        IF(COUNTIFS(IuranSYSebelumnya!$J$20:$J$21,$K13,IuranSYSebelumnya!$M$20:$M$21,AR$11,IuranSYSebelumnya!$L$20:$L$21,"&lt;&gt;"&amp;$M$5)&gt;0,
              "Iuran dari Lingkungan lain",
              ""))</t>
  </si>
  <si>
    <t>=IF(COUNTIFS(IuranSYSebelumnya!$J$20:$J$21,$K13,IuranSYSebelumnya!$M$20:$M$21,AS$11,IuranSYSebelumnya!$L$20:$L$21,$M$5)&gt;0,
        VLOOKUP(CONCATENATE($K13,"|",AS$11,"|",$M$5),IuranSYSebelumnya!$I$20:$N$21,5,FALSE),
        IF(COUNTIFS(IuranSYSebelumnya!$J$20:$J$21,$K13,IuranSYSebelumnya!$M$20:$M$21,AS$11,IuranSYSebelumnya!$L$20:$L$21,"&lt;&gt;"&amp;$M$5)&gt;0,
              "Iuran dari Lingkungan lain",
              ""))</t>
  </si>
  <si>
    <t>=IF(COUNTIFS(IuranSYSebelumnya!$J$20:$J$21,$K13,IuranSYSebelumnya!$M$20:$M$21,AT$11,IuranSYSebelumnya!$L$20:$L$21,$M$5)&gt;0,
        VLOOKUP(CONCATENATE($K13,"|",AT$11,"|",$M$5),IuranSYSebelumnya!$I$20:$N$21,5,FALSE),
        IF(COUNTIFS(IuranSYSebelumnya!$J$20:$J$21,$K13,IuranSYSebelumnya!$M$20:$M$21,AT$11,IuranSYSebelumnya!$L$20:$L$21,"&lt;&gt;"&amp;$M$5)&gt;0,
              "Iuran dari Lingkungan lain",
              ""))</t>
  </si>
  <si>
    <t>=IF(COUNTIFS(IuranSYSebelumnya!$J$20:$J$21,$K13,IuranSYSebelumnya!$M$20:$M$21,AU$11,IuranSYSebelumnya!$L$20:$L$21,$M$5)&gt;0,
        VLOOKUP(CONCATENATE($K13,"|",AU$11,"|",$M$5),IuranSYSebelumnya!$I$20:$N$21,5,FALSE),
        IF(COUNTIFS(IuranSYSebelumnya!$J$20:$J$21,$K13,IuranSYSebelumnya!$M$20:$M$21,AU$11,IuranSYSebelumnya!$L$20:$L$21,"&lt;&gt;"&amp;$M$5)&gt;0,
              "Iuran dari Lingkungan lain",
              ""))</t>
  </si>
  <si>
    <t>=IF(COUNTIFS(IuranSYSebelumnya!$J$20:$J$21,$K13,IuranSYSebelumnya!$M$20:$M$21,AV$11,IuranSYSebelumnya!$L$20:$L$21,$M$5)&gt;0,
        VLOOKUP(CONCATENATE($K13,"|",AV$11,"|",$M$5),IuranSYSebelumnya!$I$20:$N$21,5,FALSE),
        IF(COUNTIFS(IuranSYSebelumnya!$J$20:$J$21,$K13,IuranSYSebelumnya!$M$20:$M$21,AV$11,IuranSYSebelumnya!$L$20:$L$21,"&lt;&gt;"&amp;$M$5)&gt;0,
              "Iuran dari Lingkungan lain",
              ""))</t>
  </si>
  <si>
    <t>=IF(COUNTIFS(IuranSYSebelumnya!$J$20:$J$21,$K13,IuranSYSebelumnya!$M$20:$M$21,AW$11,IuranSYSebelumnya!$L$20:$L$21,$M$5)&gt;0,
        VLOOKUP(CONCATENATE($K13,"|",AW$11,"|",$M$5),IuranSYSebelumnya!$I$20:$N$21,5,FALSE),
        IF(COUNTIFS(IuranSYSebelumnya!$J$20:$J$21,$K13,IuranSYSebelumnya!$M$20:$M$21,AW$11,IuranSYSebelumnya!$L$20:$L$21,"&lt;&gt;"&amp;$M$5)&gt;0,
              "Iuran dari Lingkungan lain",
              ""))</t>
  </si>
  <si>
    <t>=IF(COUNTIFS(IuranSYSebelumnya!$J$20:$J$21,$K13,IuranSYSebelumnya!$M$20:$M$21,AX$11,IuranSYSebelumnya!$L$20:$L$21,$M$5)&gt;0,
        VLOOKUP(CONCATENATE($K13,"|",AX$11,"|",$M$5),IuranSYSebelumnya!$I$20:$N$21,5,FALSE),
        IF(COUNTIFS(IuranSYSebelumnya!$J$20:$J$21,$K13,IuranSYSebelumnya!$M$20:$M$21,AX$11,IuranSYSebelumnya!$L$20:$L$21,"&lt;&gt;"&amp;$M$5)&gt;0,
              "Iuran dari Lingkungan lain",
              ""))</t>
  </si>
  <si>
    <t>=IF(COUNTIFS(IuranSYSebelumnya!$J$20:$J$21,$K13,IuranSYSebelumnya!$M$20:$M$21,AY$11,IuranSYSebelumnya!$L$20:$L$21,$M$5)&gt;0,
        VLOOKUP(CONCATENATE($K13,"|",AY$11,"|",$M$5),IuranSYSebelumnya!$I$20:$N$21,5,FALSE),
        IF(COUNTIFS(IuranSYSebelumnya!$J$20:$J$21,$K13,IuranSYSebelumnya!$M$20:$M$21,AY$11,IuranSYSebelumnya!$L$20:$L$21,"&lt;&gt;"&amp;$M$5)&gt;0,
              "Iuran dari Lingkungan lain",
              ""))</t>
  </si>
  <si>
    <t>=IF(COUNTIFS(IuranSYSebelumnya!$J$20:$J$21,$K13,IuranSYSebelumnya!$M$20:$M$21,AZ$11,IuranSYSebelumnya!$L$20:$L$21,$M$5)&gt;0,
        VLOOKUP(CONCATENATE($K13,"|",AZ$11,"|",$M$5),IuranSYSebelumnya!$I$20:$N$21,5,FALSE),
        IF(COUNTIFS(IuranSYSebelumnya!$J$20:$J$21,$K13,IuranSYSebelumnya!$M$20:$M$21,AZ$11,IuranSYSebelumnya!$L$20:$L$21,"&lt;&gt;"&amp;$M$5)&gt;0,
              "Iuran dari Lingkungan lain",
              ""))</t>
  </si>
  <si>
    <t>=IF(COUNTIFS(IuranSYSebelumnya!$J$20:$J$21,$K13,IuranSYSebelumnya!$M$20:$M$21,BA$11,IuranSYSebelumnya!$L$20:$L$21,$M$5)&gt;0,
        VLOOKUP(CONCATENATE($K13,"|",BA$11,"|",$M$5),IuranSYSebelumnya!$I$20:$N$21,5,FALSE),
        IF(COUNTIFS(IuranSYSebelumnya!$J$20:$J$21,$K13,IuranSYSebelumnya!$M$20:$M$21,BA$11,IuranSYSebelumnya!$L$20:$L$21,"&lt;&gt;"&amp;$M$5)&gt;0,
              "Iuran dari Lingkungan lain",
              ""))</t>
  </si>
  <si>
    <t>=IF(COUNTIFS(IuranSYSebelumnya!$J$20:$J$21,$K13,IuranSYSebelumnya!$M$20:$M$21,BB$11,IuranSYSebelumnya!$L$20:$L$21,$M$5)&gt;0,
        VLOOKUP(CONCATENATE($K13,"|",BB$11,"|",$M$5),IuranSYSebelumnya!$I$20:$N$21,5,FALSE),
        IF(COUNTIFS(IuranSYSebelumnya!$J$20:$J$21,$K13,IuranSYSebelumnya!$M$20:$M$21,BB$11,IuranSYSebelumnya!$L$20:$L$21,"&lt;&gt;"&amp;$M$5)&gt;0,
              "Iuran dari Lingkungan lain",
              ""))</t>
  </si>
  <si>
    <t>=IF(COUNTIFS(IuranSYSebelumnya!$J$20:$J$21,$K13,IuranSYSebelumnya!$M$20:$M$21,BC$11,IuranSYSebelumnya!$L$20:$L$21,$M$5)&gt;0,
        VLOOKUP(CONCATENATE($K13,"|",BC$11,"|",$M$5),IuranSYSebelumnya!$I$20:$N$21,5,FALSE),
        IF(COUNTIFS(IuranSYSebelumnya!$J$20:$J$21,$K13,IuranSYSebelumnya!$M$20:$M$21,BC$11,IuranSYSebelumnya!$L$20:$L$21,"&lt;&gt;"&amp;$M$5)&gt;0,
              "Iuran dari Lingkungan lain",
              ""))</t>
  </si>
  <si>
    <t>=IF(COUNTIFS(IuranSYSebelumnya!$J$20:$J$21,$K13,IuranSYSebelumnya!$M$20:$M$21,BD$11,IuranSYSebelumnya!$L$20:$L$21,$M$5)&gt;0,
        VLOOKUP(CONCATENATE($K13,"|",BD$11,"|",$M$5),IuranSYSebelumnya!$I$20:$N$21,5,FALSE),
        IF(COUNTIFS(IuranSYSebelumnya!$J$20:$J$21,$K13,IuranSYSebelumnya!$M$20:$M$21,BD$11,IuranSYSebelumnya!$L$20:$L$21,"&lt;&gt;"&amp;$M$5)&gt;0,
              "Iuran dari Lingkungan lain",
              ""))</t>
  </si>
  <si>
    <t>=IF(COUNTIFS(IuranSYSebelumnya!$J$20:$J$21,$K13,IuranSYSebelumnya!$M$20:$M$21,BE$11,IuranSYSebelumnya!$L$20:$L$21,$M$5)&gt;0,
        VLOOKUP(CONCATENATE($K13,"|",BE$11,"|",$M$5),IuranSYSebelumnya!$I$20:$N$21,5,FALSE),
        IF(COUNTIFS(IuranSYSebelumnya!$J$20:$J$21,$K13,IuranSYSebelumnya!$M$20:$M$21,BE$11,IuranSYSebelumnya!$L$20:$L$21,"&lt;&gt;"&amp;$M$5)&gt;0,
              "Iuran dari Lingkungan lain",
              ""))</t>
  </si>
  <si>
    <t>=IF(COUNTIFS(IuranSYSebelumnya!$J$20:$J$21,$K13,IuranSYSebelumnya!$M$20:$M$21,BF$11,IuranSYSebelumnya!$L$20:$L$21,$M$5)&gt;0,
        VLOOKUP(CONCATENATE($K13,"|",BF$11,"|",$M$5),IuranSYSebelumnya!$I$20:$N$21,5,FALSE),
        IF(COUNTIFS(IuranSYSebelumnya!$J$20:$J$21,$K13,IuranSYSebelumnya!$M$20:$M$21,BF$11,IuranSYSebelumnya!$L$20:$L$21,"&lt;&gt;"&amp;$M$5)&gt;0,
              "Iuran dari Lingkungan lain",
              ""))</t>
  </si>
  <si>
    <t>=IF(COUNTIFS(IuranSYSebelumnya!$J$20:$J$21,$K13,IuranSYSebelumnya!$M$20:$M$21,BG$11,IuranSYSebelumnya!$L$20:$L$21,$M$5)&gt;0,
        VLOOKUP(CONCATENATE($K13,"|",BG$11,"|",$M$5),IuranSYSebelumnya!$I$20:$N$21,5,FALSE),
        IF(COUNTIFS(IuranSYSebelumnya!$J$20:$J$21,$K13,IuranSYSebelumnya!$M$20:$M$21,BG$11,IuranSYSebelumnya!$L$20:$L$21,"&lt;&gt;"&amp;$M$5)&gt;0,
              "Iuran dari Lingkungan lain",
              ""))</t>
  </si>
  <si>
    <t>=IF(COUNTIFS(IuranSYSebelumnya!$J$20:$J$21,$K13,IuranSYSebelumnya!$M$20:$M$21,BH$11,IuranSYSebelumnya!$L$20:$L$21,$M$5)&gt;0,
        VLOOKUP(CONCATENATE($K13,"|",BH$11,"|",$M$5),IuranSYSebelumnya!$I$20:$N$21,5,FALSE),
        IF(COUNTIFS(IuranSYSebelumnya!$J$20:$J$21,$K13,IuranSYSebelumnya!$M$20:$M$21,BH$11,IuranSYSebelumnya!$L$20:$L$21,"&lt;&gt;"&amp;$M$5)&gt;0,
              "Iuran dari Lingkungan lain",
              ""))</t>
  </si>
  <si>
    <t>=IF(COUNTIFS(IuranSYSebelumnya!$J$20:$J$21,$K13,IuranSYSebelumnya!$M$20:$M$21,BI$11,IuranSYSebelumnya!$L$20:$L$21,$M$5)&gt;0,
        VLOOKUP(CONCATENATE($K13,"|",BI$11,"|",$M$5),IuranSYSebelumnya!$I$20:$N$21,5,FALSE),
        IF(COUNTIFS(IuranSYSebelumnya!$J$20:$J$21,$K13,IuranSYSebelumnya!$M$20:$M$21,BI$11,IuranSYSebelumnya!$L$20:$L$21,"&lt;&gt;"&amp;$M$5)&gt;0,
              "Iuran dari Lingkungan lain",
              ""))</t>
  </si>
  <si>
    <t>=IF(COUNTIFS(IuranSYSebelumnya!$J$20:$J$21,$K13,IuranSYSebelumnya!$M$20:$M$21,BJ$11,IuranSYSebelumnya!$L$20:$L$21,$M$5)&gt;0,
        VLOOKUP(CONCATENATE($K13,"|",BJ$11,"|",$M$5),IuranSYSebelumnya!$I$20:$N$21,5,FALSE),
        IF(COUNTIFS(IuranSYSebelumnya!$J$20:$J$21,$K13,IuranSYSebelumnya!$M$20:$M$21,BJ$11,IuranSYSebelumnya!$L$20:$L$21,"&lt;&gt;"&amp;$M$5)&gt;0,
              "Iuran dari Lingkungan lain",
              ""))</t>
  </si>
  <si>
    <t>=IF(COUNTIFS(IuranSYSebelumnya!$J$20:$J$21,$K13,IuranSYSebelumnya!$M$20:$M$21,BK$11,IuranSYSebelumnya!$L$20:$L$21,$M$5)&gt;0,
        VLOOKUP(CONCATENATE($K13,"|",BK$11,"|",$M$5),IuranSYSebelumnya!$I$20:$N$21,5,FALSE),
        IF(COUNTIFS(IuranSYSebelumnya!$J$20:$J$21,$K13,IuranSYSebelumnya!$M$20:$M$21,BK$11,IuranSYSebelumnya!$L$20:$L$21,"&lt;&gt;"&amp;$M$5)&gt;0,
              "Iuran dari Lingkungan lain",
              ""))</t>
  </si>
  <si>
    <t>=IF(COUNTIFS(IuranSYSebelumnya!$J$20:$J$21,$K13,IuranSYSebelumnya!$M$20:$M$21,BL$11,IuranSYSebelumnya!$L$20:$L$21,$M$5)&gt;0,
        VLOOKUP(CONCATENATE($K13,"|",BL$11,"|",$M$5),IuranSYSebelumnya!$I$20:$N$21,5,FALSE),
        IF(COUNTIFS(IuranSYSebelumnya!$J$20:$J$21,$K13,IuranSYSebelumnya!$M$20:$M$21,BL$11,IuranSYSebelumnya!$L$20:$L$21,"&lt;&gt;"&amp;$M$5)&gt;0,
              "Iuran dari Lingkungan lain",
              ""))</t>
  </si>
  <si>
    <t>Auto+Hide+HideSheet+Values+Formulas=Sheet11,Sheet12+FormulasOnly</t>
  </si>
  <si>
    <t>=COUNTIF(SantoYusuf!$N$9:$AK$9,"&gt;0")</t>
  </si>
  <si>
    <t>=SantoYusuf!$H$12</t>
  </si>
  <si>
    <t>=MATCH(I$11,SantoYusuf!$L$11:$AK$11,0)</t>
  </si>
  <si>
    <t>=MATCH(J$11,SantoYusuf!$L$11:$AK$11,0)</t>
  </si>
  <si>
    <t>=MATCH(K$11,SantoYusuf!$L$11:$AK$11,0)</t>
  </si>
  <si>
    <t>=MATCH(L$11,SantoYusuf!$L$11:$AK$11,0)</t>
  </si>
  <si>
    <t>=MATCH(M$11,SantoYusuf!$L$11:$AK$11,0)</t>
  </si>
  <si>
    <t>=MATCH(N$11,SantoYusuf!$L$11:$AK$11,0)</t>
  </si>
  <si>
    <t>=MATCH(O$11,SantoYusuf!$L$11:$AK$11,0)</t>
  </si>
  <si>
    <t>=MATCH(P$11,SantoYusuf!$L$11:$AK$11,0)</t>
  </si>
  <si>
    <t>=MATCH(Q$11,SantoYusuf!$L$11:$AK$11,0)</t>
  </si>
  <si>
    <t>=MATCH(R$11,SantoYusuf!$L$11:$AK$11,0)</t>
  </si>
  <si>
    <t>=MATCH(S$11,SantoYusuf!$L$11:$AK$11,0)</t>
  </si>
  <si>
    <t>=MATCH(T$11,SantoYusuf!$L$11:$AK$11,0)</t>
  </si>
  <si>
    <t>=MATCH(U$11,SantoYusuf!$L$11:$AK$11,0)</t>
  </si>
  <si>
    <t>=MATCH(V$11,SantoYusuf!$L$11:$AK$11,0)</t>
  </si>
  <si>
    <t>=MATCH(W$11,SantoYusuf!$L$11:$AK$11,0)</t>
  </si>
  <si>
    <t>=MATCH(X$11,SantoYusuf!$L$11:$AK$11,0)</t>
  </si>
  <si>
    <t>=MATCH(Y$11,SantoYusuf!$L$11:$AK$11,0)</t>
  </si>
  <si>
    <t>=MATCH(Z$11,SantoYusuf!$L$11:$AK$11,0)</t>
  </si>
  <si>
    <t>=MATCH(AA$11,SantoYusuf!$L$11:$AK$11,0)</t>
  </si>
  <si>
    <t>=MATCH(AB$11,SantoYusuf!$L$11:$AK$11,0)</t>
  </si>
  <si>
    <t>=MATCH(AC$11,SantoYusuf!$L$11:$AK$11,0)</t>
  </si>
  <si>
    <t>=MATCH(AD$11,SantoYusuf!$L$11:$AK$11,0)</t>
  </si>
  <si>
    <t>=MATCH(AE$11,SantoYusuf!$L$11:$AK$11,0)</t>
  </si>
  <si>
    <t>=MATCH(AF$11,SantoYusuf!$L$11:$AK$11,0)</t>
  </si>
  <si>
    <t>=IF(PrintDS!$L$6="","",PrintDS!$L$6)</t>
  </si>
  <si>
    <t>=NP("Eval","=SantoYusuf!$L$5")</t>
  </si>
  <si>
    <t>=IF(ISNUMBER($L$6)=FALSE,"Mohon kembali ke Sheet PrintDS, dan isi Tanggal Penyetoran","")</t>
  </si>
  <si>
    <t>=IF(ISNUMBER($L$6)=FALSE,"",
IF(I$3=0,"",HLOOKUP(1,SantoYusuf!$N$9:$AK$11,3,FALSE)))</t>
  </si>
  <si>
    <t>=IF(ISNUMBER($L$6)=FALSE,"",
IF($C14=0,"",VLOOKUP($E14,SantoYusuf!$H$13:$L$14,4,FALSE)))</t>
  </si>
  <si>
    <t>=IF(ISNUMBER($L$6)=FALSE,"",
IF($C14=0,"",VLOOKUP($E14,SantoYusuf!$H$13:$L$14,5,FALSE)))</t>
  </si>
  <si>
    <t>=IF(ISNUMBER($L$6)=FALSE,"",
        IF(ISERROR(VLOOKUP($G14,SantoYusuf!$L$13:$AK$14,I$4,FALSE))=TRUE,"",
              VLOOKUP($G14,SantoYusuf!$L$13:$AK$14,I$4,FALSE)))</t>
  </si>
  <si>
    <t>=IF(ISNUMBER($L$6)=FALSE,"",
        IF(ISERROR(VLOOKUP($G14,SantoYusuf!$L$13:$AK$14,J$4,FALSE))=TRUE,"",
              VLOOKUP($G14,SantoYusuf!$L$13:$AK$14,J$4,FALSE)))</t>
  </si>
  <si>
    <t>=IF(ISNUMBER($L$6)=FALSE,"",
        IF(ISERROR(VLOOKUP($G14,SantoYusuf!$L$13:$AK$14,K$4,FALSE))=TRUE,"",
              VLOOKUP($G14,SantoYusuf!$L$13:$AK$14,K$4,FALSE)))</t>
  </si>
  <si>
    <t>=IF(ISNUMBER($L$6)=FALSE,"",
        IF(ISERROR(VLOOKUP($G14,SantoYusuf!$L$13:$AK$14,L$4,FALSE))=TRUE,"",
              VLOOKUP($G14,SantoYusuf!$L$13:$AK$14,L$4,FALSE)))</t>
  </si>
  <si>
    <t>=IF(ISNUMBER($L$6)=FALSE,"",
        IF(ISERROR(VLOOKUP($G14,SantoYusuf!$L$13:$AK$14,M$4,FALSE))=TRUE,"",
              VLOOKUP($G14,SantoYusuf!$L$13:$AK$14,M$4,FALSE)))</t>
  </si>
  <si>
    <t>=IF(ISNUMBER($L$6)=FALSE,"",
        IF(ISERROR(VLOOKUP($G14,SantoYusuf!$L$13:$AK$14,N$4,FALSE))=TRUE,"",
              VLOOKUP($G14,SantoYusuf!$L$13:$AK$14,N$4,FALSE)))</t>
  </si>
  <si>
    <t>=IF(ISNUMBER($L$6)=FALSE,"",
        IF(ISERROR(VLOOKUP($G14,SantoYusuf!$L$13:$AK$14,O$4,FALSE))=TRUE,"",
              VLOOKUP($G14,SantoYusuf!$L$13:$AK$14,O$4,FALSE)))</t>
  </si>
  <si>
    <t>=IF(ISNUMBER($L$6)=FALSE,"",
        IF(ISERROR(VLOOKUP($G14,SantoYusuf!$L$13:$AK$14,P$4,FALSE))=TRUE,"",
              VLOOKUP($G14,SantoYusuf!$L$13:$AK$14,P$4,FALSE)))</t>
  </si>
  <si>
    <t>=IF(ISNUMBER($L$6)=FALSE,"",
        IF(ISERROR(VLOOKUP($G14,SantoYusuf!$L$13:$AK$14,Q$4,FALSE))=TRUE,"",
              VLOOKUP($G14,SantoYusuf!$L$13:$AK$14,Q$4,FALSE)))</t>
  </si>
  <si>
    <t>=IF(ISNUMBER($L$6)=FALSE,"",
        IF(ISERROR(VLOOKUP($G14,SantoYusuf!$L$13:$AK$14,R$4,FALSE))=TRUE,"",
              VLOOKUP($G14,SantoYusuf!$L$13:$AK$14,R$4,FALSE)))</t>
  </si>
  <si>
    <t>=IF(ISNUMBER($L$6)=FALSE,"",
        IF(ISERROR(VLOOKUP($G14,SantoYusuf!$L$13:$AK$14,S$4,FALSE))=TRUE,"",
              VLOOKUP($G14,SantoYusuf!$L$13:$AK$14,S$4,FALSE)))</t>
  </si>
  <si>
    <t>=IF(ISNUMBER($L$6)=FALSE,"",
        IF(ISERROR(VLOOKUP($G14,SantoYusuf!$L$13:$AK$14,T$4,FALSE))=TRUE,"",
              VLOOKUP($G14,SantoYusuf!$L$13:$AK$14,T$4,FALSE)))</t>
  </si>
  <si>
    <t>=IF(ISNUMBER($L$6)=FALSE,"",
        IF(ISERROR(VLOOKUP($G14,SantoYusuf!$L$13:$AK$14,U$4,FALSE))=TRUE,"",
              VLOOKUP($G14,SantoYusuf!$L$13:$AK$14,U$4,FALSE)))</t>
  </si>
  <si>
    <t>=IF(ISNUMBER($L$6)=FALSE,"",
        IF(ISERROR(VLOOKUP($G14,SantoYusuf!$L$13:$AK$14,V$4,FALSE))=TRUE,"",
              VLOOKUP($G14,SantoYusuf!$L$13:$AK$14,V$4,FALSE)))</t>
  </si>
  <si>
    <t>=IF(ISNUMBER($L$6)=FALSE,"",
        IF(ISERROR(VLOOKUP($G14,SantoYusuf!$L$13:$AK$14,W$4,FALSE))=TRUE,"",
              VLOOKUP($G14,SantoYusuf!$L$13:$AK$14,W$4,FALSE)))</t>
  </si>
  <si>
    <t>=IF(ISNUMBER($L$6)=FALSE,"",
        IF(ISERROR(VLOOKUP($G14,SantoYusuf!$L$13:$AK$14,X$4,FALSE))=TRUE,"",
              VLOOKUP($G14,SantoYusuf!$L$13:$AK$14,X$4,FALSE)))</t>
  </si>
  <si>
    <t>=IF(ISNUMBER($L$6)=FALSE,"",
        IF(ISERROR(VLOOKUP($G14,SantoYusuf!$L$13:$AK$14,Y$4,FALSE))=TRUE,"",
              VLOOKUP($G14,SantoYusuf!$L$13:$AK$14,Y$4,FALSE)))</t>
  </si>
  <si>
    <t>=IF(ISNUMBER($L$6)=FALSE,"",
        IF(ISERROR(VLOOKUP($G14,SantoYusuf!$L$13:$AK$14,Z$4,FALSE))=TRUE,"",
              VLOOKUP($G14,SantoYusuf!$L$13:$AK$14,Z$4,FALSE)))</t>
  </si>
  <si>
    <t>=IF(ISNUMBER($L$6)=FALSE,"",
        IF(ISERROR(VLOOKUP($G14,SantoYusuf!$L$13:$AK$14,AA$4,FALSE))=TRUE,"",
              VLOOKUP($G14,SantoYusuf!$L$13:$AK$14,AA$4,FALSE)))</t>
  </si>
  <si>
    <t>=IF(ISNUMBER($L$6)=FALSE,"",
        IF(ISERROR(VLOOKUP($G14,SantoYusuf!$L$13:$AK$14,AB$4,FALSE))=TRUE,"",
              VLOOKUP($G14,SantoYusuf!$L$13:$AK$14,AB$4,FALSE)))</t>
  </si>
  <si>
    <t>=IF(ISNUMBER($L$6)=FALSE,"",
        IF(ISERROR(VLOOKUP($G14,SantoYusuf!$L$13:$AK$14,AC$4,FALSE))=TRUE,"",
              VLOOKUP($G14,SantoYusuf!$L$13:$AK$14,AC$4,FALSE)))</t>
  </si>
  <si>
    <t>=IF(ISNUMBER($L$6)=FALSE,"",
        IF(ISERROR(VLOOKUP($G14,SantoYusuf!$L$13:$AK$14,AD$4,FALSE))=TRUE,"",
              VLOOKUP($G14,SantoYusuf!$L$13:$AK$14,AD$4,FALSE)))</t>
  </si>
  <si>
    <t>=IF(ISNUMBER($L$6)=FALSE,"",
        IF(ISERROR(VLOOKUP($G14,SantoYusuf!$L$13:$AK$14,AE$4,FALSE))=TRUE,"",
              VLOOKUP($G14,SantoYusuf!$L$13:$AK$14,AE$4,FALSE)))</t>
  </si>
  <si>
    <t>=IF(ISNUMBER($L$6)=FALSE,"",
        IF(ISERROR(VLOOKUP($G14,SantoYusuf!$L$13:$AK$14,AF$4,FALSE))=TRUE,"",
              VLOOKUP($G14,SantoYusuf!$L$13:$AK$14,AF$4,FALSE)))</t>
  </si>
  <si>
    <t>=IF(ISNUMBER($L$6)=FALSE,"",
IF($C15=0,"",VLOOKUP($E15,SantoYusuf!$H$13:$L$14,4,FALSE)))</t>
  </si>
  <si>
    <t>=IF(ISNUMBER($L$6)=FALSE,"",
IF($C15=0,"",VLOOKUP($E15,SantoYusuf!$H$13:$L$14,5,FALSE)))</t>
  </si>
  <si>
    <t>=IF(ISNUMBER($L$6)=FALSE,"",
        IF(ISERROR(VLOOKUP($G15,SantoYusuf!$L$13:$AK$14,I$4,FALSE))=TRUE,"",
              VLOOKUP($G15,SantoYusuf!$L$13:$AK$14,I$4,FALSE)))</t>
  </si>
  <si>
    <t>=IF(ISNUMBER($L$6)=FALSE,"",
        IF(ISERROR(VLOOKUP($G15,SantoYusuf!$L$13:$AK$14,J$4,FALSE))=TRUE,"",
              VLOOKUP($G15,SantoYusuf!$L$13:$AK$14,J$4,FALSE)))</t>
  </si>
  <si>
    <t>=IF(ISNUMBER($L$6)=FALSE,"",
        IF(ISERROR(VLOOKUP($G15,SantoYusuf!$L$13:$AK$14,K$4,FALSE))=TRUE,"",
              VLOOKUP($G15,SantoYusuf!$L$13:$AK$14,K$4,FALSE)))</t>
  </si>
  <si>
    <t>=IF(ISNUMBER($L$6)=FALSE,"",
        IF(ISERROR(VLOOKUP($G15,SantoYusuf!$L$13:$AK$14,L$4,FALSE))=TRUE,"",
              VLOOKUP($G15,SantoYusuf!$L$13:$AK$14,L$4,FALSE)))</t>
  </si>
  <si>
    <t>=IF(ISNUMBER($L$6)=FALSE,"",
        IF(ISERROR(VLOOKUP($G15,SantoYusuf!$L$13:$AK$14,M$4,FALSE))=TRUE,"",
              VLOOKUP($G15,SantoYusuf!$L$13:$AK$14,M$4,FALSE)))</t>
  </si>
  <si>
    <t>=IF(ISNUMBER($L$6)=FALSE,"",
        IF(ISERROR(VLOOKUP($G15,SantoYusuf!$L$13:$AK$14,N$4,FALSE))=TRUE,"",
              VLOOKUP($G15,SantoYusuf!$L$13:$AK$14,N$4,FALSE)))</t>
  </si>
  <si>
    <t>=IF(ISNUMBER($L$6)=FALSE,"",
        IF(ISERROR(VLOOKUP($G15,SantoYusuf!$L$13:$AK$14,O$4,FALSE))=TRUE,"",
              VLOOKUP($G15,SantoYusuf!$L$13:$AK$14,O$4,FALSE)))</t>
  </si>
  <si>
    <t>=IF(ISNUMBER($L$6)=FALSE,"",
        IF(ISERROR(VLOOKUP($G15,SantoYusuf!$L$13:$AK$14,P$4,FALSE))=TRUE,"",
              VLOOKUP($G15,SantoYusuf!$L$13:$AK$14,P$4,FALSE)))</t>
  </si>
  <si>
    <t>=IF(ISNUMBER($L$6)=FALSE,"",
        IF(ISERROR(VLOOKUP($G15,SantoYusuf!$L$13:$AK$14,Q$4,FALSE))=TRUE,"",
              VLOOKUP($G15,SantoYusuf!$L$13:$AK$14,Q$4,FALSE)))</t>
  </si>
  <si>
    <t>=IF(ISNUMBER($L$6)=FALSE,"",
        IF(ISERROR(VLOOKUP($G15,SantoYusuf!$L$13:$AK$14,R$4,FALSE))=TRUE,"",
              VLOOKUP($G15,SantoYusuf!$L$13:$AK$14,R$4,FALSE)))</t>
  </si>
  <si>
    <t>=IF(ISNUMBER($L$6)=FALSE,"",
        IF(ISERROR(VLOOKUP($G15,SantoYusuf!$L$13:$AK$14,S$4,FALSE))=TRUE,"",
              VLOOKUP($G15,SantoYusuf!$L$13:$AK$14,S$4,FALSE)))</t>
  </si>
  <si>
    <t>=IF(ISNUMBER($L$6)=FALSE,"",
        IF(ISERROR(VLOOKUP($G15,SantoYusuf!$L$13:$AK$14,T$4,FALSE))=TRUE,"",
              VLOOKUP($G15,SantoYusuf!$L$13:$AK$14,T$4,FALSE)))</t>
  </si>
  <si>
    <t>=IF(ISNUMBER($L$6)=FALSE,"",
        IF(ISERROR(VLOOKUP($G15,SantoYusuf!$L$13:$AK$14,U$4,FALSE))=TRUE,"",
              VLOOKUP($G15,SantoYusuf!$L$13:$AK$14,U$4,FALSE)))</t>
  </si>
  <si>
    <t>=IF(ISNUMBER($L$6)=FALSE,"",
        IF(ISERROR(VLOOKUP($G15,SantoYusuf!$L$13:$AK$14,V$4,FALSE))=TRUE,"",
              VLOOKUP($G15,SantoYusuf!$L$13:$AK$14,V$4,FALSE)))</t>
  </si>
  <si>
    <t>=IF(ISNUMBER($L$6)=FALSE,"",
        IF(ISERROR(VLOOKUP($G15,SantoYusuf!$L$13:$AK$14,W$4,FALSE))=TRUE,"",
              VLOOKUP($G15,SantoYusuf!$L$13:$AK$14,W$4,FALSE)))</t>
  </si>
  <si>
    <t>=IF(ISNUMBER($L$6)=FALSE,"",
        IF(ISERROR(VLOOKUP($G15,SantoYusuf!$L$13:$AK$14,X$4,FALSE))=TRUE,"",
              VLOOKUP($G15,SantoYusuf!$L$13:$AK$14,X$4,FALSE)))</t>
  </si>
  <si>
    <t>=IF(ISNUMBER($L$6)=FALSE,"",
        IF(ISERROR(VLOOKUP($G15,SantoYusuf!$L$13:$AK$14,Y$4,FALSE))=TRUE,"",
              VLOOKUP($G15,SantoYusuf!$L$13:$AK$14,Y$4,FALSE)))</t>
  </si>
  <si>
    <t>=IF(ISNUMBER($L$6)=FALSE,"",
        IF(ISERROR(VLOOKUP($G15,SantoYusuf!$L$13:$AK$14,Z$4,FALSE))=TRUE,"",
              VLOOKUP($G15,SantoYusuf!$L$13:$AK$14,Z$4,FALSE)))</t>
  </si>
  <si>
    <t>=IF(ISNUMBER($L$6)=FALSE,"",
        IF(ISERROR(VLOOKUP($G15,SantoYusuf!$L$13:$AK$14,AA$4,FALSE))=TRUE,"",
              VLOOKUP($G15,SantoYusuf!$L$13:$AK$14,AA$4,FALSE)))</t>
  </si>
  <si>
    <t>=IF(ISNUMBER($L$6)=FALSE,"",
        IF(ISERROR(VLOOKUP($G15,SantoYusuf!$L$13:$AK$14,AB$4,FALSE))=TRUE,"",
              VLOOKUP($G15,SantoYusuf!$L$13:$AK$14,AB$4,FALSE)))</t>
  </si>
  <si>
    <t>=IF(ISNUMBER($L$6)=FALSE,"",
        IF(ISERROR(VLOOKUP($G15,SantoYusuf!$L$13:$AK$14,AC$4,FALSE))=TRUE,"",
              VLOOKUP($G15,SantoYusuf!$L$13:$AK$14,AC$4,FALSE)))</t>
  </si>
  <si>
    <t>=IF(ISNUMBER($L$6)=FALSE,"",
        IF(ISERROR(VLOOKUP($G15,SantoYusuf!$L$13:$AK$14,AD$4,FALSE))=TRUE,"",
              VLOOKUP($G15,SantoYusuf!$L$13:$AK$14,AD$4,FALSE)))</t>
  </si>
  <si>
    <t>=IF(ISNUMBER($L$6)=FALSE,"",
        IF(ISERROR(VLOOKUP($G15,SantoYusuf!$L$13:$AK$14,AE$4,FALSE))=TRUE,"",
              VLOOKUP($G15,SantoYusuf!$L$13:$AK$14,AE$4,FALSE)))</t>
  </si>
  <si>
    <t>=IF(ISNUMBER($L$6)=FALSE,"",
        IF(ISERROR(VLOOKUP($G15,SantoYusuf!$L$13:$AK$14,AF$4,FALSE))=TRUE,"",
              VLOOKUP($G15,SantoYusuf!$L$13:$AK$14,AF$4,FALSE)))</t>
  </si>
  <si>
    <t>=IF(ISNUMBER($L$6)=FALSE,"",
IF($C16=0,"",VLOOKUP($E16,SantoYusuf!$H$13:$L$14,4,FALSE)))</t>
  </si>
  <si>
    <t>=IF(ISNUMBER($L$6)=FALSE,"",
IF($C16=0,"",VLOOKUP($E16,SantoYusuf!$H$13:$L$14,5,FALSE)))</t>
  </si>
  <si>
    <t>=IF(ISNUMBER($L$6)=FALSE,"",
        IF(ISERROR(VLOOKUP($G16,SantoYusuf!$L$13:$AK$14,I$4,FALSE))=TRUE,"",
              VLOOKUP($G16,SantoYusuf!$L$13:$AK$14,I$4,FALSE)))</t>
  </si>
  <si>
    <t>=IF(ISNUMBER($L$6)=FALSE,"",
        IF(ISERROR(VLOOKUP($G16,SantoYusuf!$L$13:$AK$14,J$4,FALSE))=TRUE,"",
              VLOOKUP($G16,SantoYusuf!$L$13:$AK$14,J$4,FALSE)))</t>
  </si>
  <si>
    <t>=IF(ISNUMBER($L$6)=FALSE,"",
        IF(ISERROR(VLOOKUP($G16,SantoYusuf!$L$13:$AK$14,K$4,FALSE))=TRUE,"",
              VLOOKUP($G16,SantoYusuf!$L$13:$AK$14,K$4,FALSE)))</t>
  </si>
  <si>
    <t>=IF(ISNUMBER($L$6)=FALSE,"",
        IF(ISERROR(VLOOKUP($G16,SantoYusuf!$L$13:$AK$14,L$4,FALSE))=TRUE,"",
              VLOOKUP($G16,SantoYusuf!$L$13:$AK$14,L$4,FALSE)))</t>
  </si>
  <si>
    <t>=IF(ISNUMBER($L$6)=FALSE,"",
        IF(ISERROR(VLOOKUP($G16,SantoYusuf!$L$13:$AK$14,M$4,FALSE))=TRUE,"",
              VLOOKUP($G16,SantoYusuf!$L$13:$AK$14,M$4,FALSE)))</t>
  </si>
  <si>
    <t>=IF(ISNUMBER($L$6)=FALSE,"",
        IF(ISERROR(VLOOKUP($G16,SantoYusuf!$L$13:$AK$14,N$4,FALSE))=TRUE,"",
              VLOOKUP($G16,SantoYusuf!$L$13:$AK$14,N$4,FALSE)))</t>
  </si>
  <si>
    <t>=IF(ISNUMBER($L$6)=FALSE,"",
        IF(ISERROR(VLOOKUP($G16,SantoYusuf!$L$13:$AK$14,O$4,FALSE))=TRUE,"",
              VLOOKUP($G16,SantoYusuf!$L$13:$AK$14,O$4,FALSE)))</t>
  </si>
  <si>
    <t>=IF(ISNUMBER($L$6)=FALSE,"",
        IF(ISERROR(VLOOKUP($G16,SantoYusuf!$L$13:$AK$14,P$4,FALSE))=TRUE,"",
              VLOOKUP($G16,SantoYusuf!$L$13:$AK$14,P$4,FALSE)))</t>
  </si>
  <si>
    <t>=IF(ISNUMBER($L$6)=FALSE,"",
        IF(ISERROR(VLOOKUP($G16,SantoYusuf!$L$13:$AK$14,Q$4,FALSE))=TRUE,"",
              VLOOKUP($G16,SantoYusuf!$L$13:$AK$14,Q$4,FALSE)))</t>
  </si>
  <si>
    <t>=IF(ISNUMBER($L$6)=FALSE,"",
        IF(ISERROR(VLOOKUP($G16,SantoYusuf!$L$13:$AK$14,R$4,FALSE))=TRUE,"",
              VLOOKUP($G16,SantoYusuf!$L$13:$AK$14,R$4,FALSE)))</t>
  </si>
  <si>
    <t>=IF(ISNUMBER($L$6)=FALSE,"",
        IF(ISERROR(VLOOKUP($G16,SantoYusuf!$L$13:$AK$14,S$4,FALSE))=TRUE,"",
              VLOOKUP($G16,SantoYusuf!$L$13:$AK$14,S$4,FALSE)))</t>
  </si>
  <si>
    <t>=IF(ISNUMBER($L$6)=FALSE,"",
        IF(ISERROR(VLOOKUP($G16,SantoYusuf!$L$13:$AK$14,T$4,FALSE))=TRUE,"",
              VLOOKUP($G16,SantoYusuf!$L$13:$AK$14,T$4,FALSE)))</t>
  </si>
  <si>
    <t>=IF(ISNUMBER($L$6)=FALSE,"",
        IF(ISERROR(VLOOKUP($G16,SantoYusuf!$L$13:$AK$14,U$4,FALSE))=TRUE,"",
              VLOOKUP($G16,SantoYusuf!$L$13:$AK$14,U$4,FALSE)))</t>
  </si>
  <si>
    <t>=IF(ISNUMBER($L$6)=FALSE,"",
        IF(ISERROR(VLOOKUP($G16,SantoYusuf!$L$13:$AK$14,V$4,FALSE))=TRUE,"",
              VLOOKUP($G16,SantoYusuf!$L$13:$AK$14,V$4,FALSE)))</t>
  </si>
  <si>
    <t>=IF(ISNUMBER($L$6)=FALSE,"",
        IF(ISERROR(VLOOKUP($G16,SantoYusuf!$L$13:$AK$14,W$4,FALSE))=TRUE,"",
              VLOOKUP($G16,SantoYusuf!$L$13:$AK$14,W$4,FALSE)))</t>
  </si>
  <si>
    <t>=IF(ISNUMBER($L$6)=FALSE,"",
        IF(ISERROR(VLOOKUP($G16,SantoYusuf!$L$13:$AK$14,X$4,FALSE))=TRUE,"",
              VLOOKUP($G16,SantoYusuf!$L$13:$AK$14,X$4,FALSE)))</t>
  </si>
  <si>
    <t>=IF(ISNUMBER($L$6)=FALSE,"",
        IF(ISERROR(VLOOKUP($G16,SantoYusuf!$L$13:$AK$14,Y$4,FALSE))=TRUE,"",
              VLOOKUP($G16,SantoYusuf!$L$13:$AK$14,Y$4,FALSE)))</t>
  </si>
  <si>
    <t>=IF(ISNUMBER($L$6)=FALSE,"",
        IF(ISERROR(VLOOKUP($G16,SantoYusuf!$L$13:$AK$14,Z$4,FALSE))=TRUE,"",
              VLOOKUP($G16,SantoYusuf!$L$13:$AK$14,Z$4,FALSE)))</t>
  </si>
  <si>
    <t>=IF(ISNUMBER($L$6)=FALSE,"",
        IF(ISERROR(VLOOKUP($G16,SantoYusuf!$L$13:$AK$14,AA$4,FALSE))=TRUE,"",
              VLOOKUP($G16,SantoYusuf!$L$13:$AK$14,AA$4,FALSE)))</t>
  </si>
  <si>
    <t>=IF(ISNUMBER($L$6)=FALSE,"",
        IF(ISERROR(VLOOKUP($G16,SantoYusuf!$L$13:$AK$14,AB$4,FALSE))=TRUE,"",
              VLOOKUP($G16,SantoYusuf!$L$13:$AK$14,AB$4,FALSE)))</t>
  </si>
  <si>
    <t>=IF(ISNUMBER($L$6)=FALSE,"",
        IF(ISERROR(VLOOKUP($G16,SantoYusuf!$L$13:$AK$14,AC$4,FALSE))=TRUE,"",
              VLOOKUP($G16,SantoYusuf!$L$13:$AK$14,AC$4,FALSE)))</t>
  </si>
  <si>
    <t>=IF(ISNUMBER($L$6)=FALSE,"",
        IF(ISERROR(VLOOKUP($G16,SantoYusuf!$L$13:$AK$14,AD$4,FALSE))=TRUE,"",
              VLOOKUP($G16,SantoYusuf!$L$13:$AK$14,AD$4,FALSE)))</t>
  </si>
  <si>
    <t>=IF(ISNUMBER($L$6)=FALSE,"",
        IF(ISERROR(VLOOKUP($G16,SantoYusuf!$L$13:$AK$14,AE$4,FALSE))=TRUE,"",
              VLOOKUP($G16,SantoYusuf!$L$13:$AK$14,AE$4,FALSE)))</t>
  </si>
  <si>
    <t>=IF(ISNUMBER($L$6)=FALSE,"",
        IF(ISERROR(VLOOKUP($G16,SantoYusuf!$L$13:$AK$14,AF$4,FALSE))=TRUE,"",
              VLOOKUP($G16,SantoYusuf!$L$13:$AK$14,AF$4,FALSE)))</t>
  </si>
  <si>
    <t>=IF(ISNUMBER($L$6)=FALSE,"",
IF($C17=0,"",VLOOKUP($E17,SantoYusuf!$H$13:$L$14,4,FALSE)))</t>
  </si>
  <si>
    <t>=IF(ISNUMBER($L$6)=FALSE,"",
IF($C17=0,"",VLOOKUP($E17,SantoYusuf!$H$13:$L$14,5,FALSE)))</t>
  </si>
  <si>
    <t>=IF(ISNUMBER($L$6)=FALSE,"",
        IF(ISERROR(VLOOKUP($G17,SantoYusuf!$L$13:$AK$14,I$4,FALSE))=TRUE,"",
              VLOOKUP($G17,SantoYusuf!$L$13:$AK$14,I$4,FALSE)))</t>
  </si>
  <si>
    <t>=IF(ISNUMBER($L$6)=FALSE,"",
        IF(ISERROR(VLOOKUP($G17,SantoYusuf!$L$13:$AK$14,J$4,FALSE))=TRUE,"",
              VLOOKUP($G17,SantoYusuf!$L$13:$AK$14,J$4,FALSE)))</t>
  </si>
  <si>
    <t>=IF(ISNUMBER($L$6)=FALSE,"",
        IF(ISERROR(VLOOKUP($G17,SantoYusuf!$L$13:$AK$14,K$4,FALSE))=TRUE,"",
              VLOOKUP($G17,SantoYusuf!$L$13:$AK$14,K$4,FALSE)))</t>
  </si>
  <si>
    <t>=IF(ISNUMBER($L$6)=FALSE,"",
        IF(ISERROR(VLOOKUP($G17,SantoYusuf!$L$13:$AK$14,L$4,FALSE))=TRUE,"",
              VLOOKUP($G17,SantoYusuf!$L$13:$AK$14,L$4,FALSE)))</t>
  </si>
  <si>
    <t>=IF(ISNUMBER($L$6)=FALSE,"",
        IF(ISERROR(VLOOKUP($G17,SantoYusuf!$L$13:$AK$14,M$4,FALSE))=TRUE,"",
              VLOOKUP($G17,SantoYusuf!$L$13:$AK$14,M$4,FALSE)))</t>
  </si>
  <si>
    <t>=IF(ISNUMBER($L$6)=FALSE,"",
        IF(ISERROR(VLOOKUP($G17,SantoYusuf!$L$13:$AK$14,N$4,FALSE))=TRUE,"",
              VLOOKUP($G17,SantoYusuf!$L$13:$AK$14,N$4,FALSE)))</t>
  </si>
  <si>
    <t>=IF(ISNUMBER($L$6)=FALSE,"",
        IF(ISERROR(VLOOKUP($G17,SantoYusuf!$L$13:$AK$14,O$4,FALSE))=TRUE,"",
              VLOOKUP($G17,SantoYusuf!$L$13:$AK$14,O$4,FALSE)))</t>
  </si>
  <si>
    <t>=IF(ISNUMBER($L$6)=FALSE,"",
        IF(ISERROR(VLOOKUP($G17,SantoYusuf!$L$13:$AK$14,P$4,FALSE))=TRUE,"",
              VLOOKUP($G17,SantoYusuf!$L$13:$AK$14,P$4,FALSE)))</t>
  </si>
  <si>
    <t>=IF(ISNUMBER($L$6)=FALSE,"",
        IF(ISERROR(VLOOKUP($G17,SantoYusuf!$L$13:$AK$14,Q$4,FALSE))=TRUE,"",
              VLOOKUP($G17,SantoYusuf!$L$13:$AK$14,Q$4,FALSE)))</t>
  </si>
  <si>
    <t>=IF(ISNUMBER($L$6)=FALSE,"",
        IF(ISERROR(VLOOKUP($G17,SantoYusuf!$L$13:$AK$14,R$4,FALSE))=TRUE,"",
              VLOOKUP($G17,SantoYusuf!$L$13:$AK$14,R$4,FALSE)))</t>
  </si>
  <si>
    <t>=IF(ISNUMBER($L$6)=FALSE,"",
        IF(ISERROR(VLOOKUP($G17,SantoYusuf!$L$13:$AK$14,S$4,FALSE))=TRUE,"",
              VLOOKUP($G17,SantoYusuf!$L$13:$AK$14,S$4,FALSE)))</t>
  </si>
  <si>
    <t>=IF(ISNUMBER($L$6)=FALSE,"",
        IF(ISERROR(VLOOKUP($G17,SantoYusuf!$L$13:$AK$14,T$4,FALSE))=TRUE,"",
              VLOOKUP($G17,SantoYusuf!$L$13:$AK$14,T$4,FALSE)))</t>
  </si>
  <si>
    <t>=IF(ISNUMBER($L$6)=FALSE,"",
        IF(ISERROR(VLOOKUP($G17,SantoYusuf!$L$13:$AK$14,U$4,FALSE))=TRUE,"",
              VLOOKUP($G17,SantoYusuf!$L$13:$AK$14,U$4,FALSE)))</t>
  </si>
  <si>
    <t>=IF(ISNUMBER($L$6)=FALSE,"",
        IF(ISERROR(VLOOKUP($G17,SantoYusuf!$L$13:$AK$14,V$4,FALSE))=TRUE,"",
              VLOOKUP($G17,SantoYusuf!$L$13:$AK$14,V$4,FALSE)))</t>
  </si>
  <si>
    <t>=IF(ISNUMBER($L$6)=FALSE,"",
        IF(ISERROR(VLOOKUP($G17,SantoYusuf!$L$13:$AK$14,W$4,FALSE))=TRUE,"",
              VLOOKUP($G17,SantoYusuf!$L$13:$AK$14,W$4,FALSE)))</t>
  </si>
  <si>
    <t>=IF(ISNUMBER($L$6)=FALSE,"",
        IF(ISERROR(VLOOKUP($G17,SantoYusuf!$L$13:$AK$14,X$4,FALSE))=TRUE,"",
              VLOOKUP($G17,SantoYusuf!$L$13:$AK$14,X$4,FALSE)))</t>
  </si>
  <si>
    <t>=IF(ISNUMBER($L$6)=FALSE,"",
        IF(ISERROR(VLOOKUP($G17,SantoYusuf!$L$13:$AK$14,Y$4,FALSE))=TRUE,"",
              VLOOKUP($G17,SantoYusuf!$L$13:$AK$14,Y$4,FALSE)))</t>
  </si>
  <si>
    <t>=IF(ISNUMBER($L$6)=FALSE,"",
        IF(ISERROR(VLOOKUP($G17,SantoYusuf!$L$13:$AK$14,Z$4,FALSE))=TRUE,"",
              VLOOKUP($G17,SantoYusuf!$L$13:$AK$14,Z$4,FALSE)))</t>
  </si>
  <si>
    <t>=IF(ISNUMBER($L$6)=FALSE,"",
        IF(ISERROR(VLOOKUP($G17,SantoYusuf!$L$13:$AK$14,AA$4,FALSE))=TRUE,"",
              VLOOKUP($G17,SantoYusuf!$L$13:$AK$14,AA$4,FALSE)))</t>
  </si>
  <si>
    <t>=IF(ISNUMBER($L$6)=FALSE,"",
        IF(ISERROR(VLOOKUP($G17,SantoYusuf!$L$13:$AK$14,AB$4,FALSE))=TRUE,"",
              VLOOKUP($G17,SantoYusuf!$L$13:$AK$14,AB$4,FALSE)))</t>
  </si>
  <si>
    <t>=IF(ISNUMBER($L$6)=FALSE,"",
        IF(ISERROR(VLOOKUP($G17,SantoYusuf!$L$13:$AK$14,AC$4,FALSE))=TRUE,"",
              VLOOKUP($G17,SantoYusuf!$L$13:$AK$14,AC$4,FALSE)))</t>
  </si>
  <si>
    <t>=IF(ISNUMBER($L$6)=FALSE,"",
        IF(ISERROR(VLOOKUP($G17,SantoYusuf!$L$13:$AK$14,AD$4,FALSE))=TRUE,"",
              VLOOKUP($G17,SantoYusuf!$L$13:$AK$14,AD$4,FALSE)))</t>
  </si>
  <si>
    <t>=IF(ISNUMBER($L$6)=FALSE,"",
        IF(ISERROR(VLOOKUP($G17,SantoYusuf!$L$13:$AK$14,AE$4,FALSE))=TRUE,"",
              VLOOKUP($G17,SantoYusuf!$L$13:$AK$14,AE$4,FALSE)))</t>
  </si>
  <si>
    <t>=IF(ISNUMBER($L$6)=FALSE,"",
        IF(ISERROR(VLOOKUP($G17,SantoYusuf!$L$13:$AK$14,AF$4,FALSE))=TRUE,"",
              VLOOKUP($G17,SantoYusuf!$L$13:$AK$14,AF$4,FALSE)))</t>
  </si>
  <si>
    <t>=IF(ISNUMBER($L$6)=FALSE,"",
IF($C18=0,"",VLOOKUP($E18,SantoYusuf!$H$13:$L$14,4,FALSE)))</t>
  </si>
  <si>
    <t>=IF(ISNUMBER($L$6)=FALSE,"",
IF($C18=0,"",VLOOKUP($E18,SantoYusuf!$H$13:$L$14,5,FALSE)))</t>
  </si>
  <si>
    <t>=IF(ISNUMBER($L$6)=FALSE,"",
        IF(ISERROR(VLOOKUP($G18,SantoYusuf!$L$13:$AK$14,I$4,FALSE))=TRUE,"",
              VLOOKUP($G18,SantoYusuf!$L$13:$AK$14,I$4,FALSE)))</t>
  </si>
  <si>
    <t>=IF(ISNUMBER($L$6)=FALSE,"",
        IF(ISERROR(VLOOKUP($G18,SantoYusuf!$L$13:$AK$14,J$4,FALSE))=TRUE,"",
              VLOOKUP($G18,SantoYusuf!$L$13:$AK$14,J$4,FALSE)))</t>
  </si>
  <si>
    <t>=IF(ISNUMBER($L$6)=FALSE,"",
        IF(ISERROR(VLOOKUP($G18,SantoYusuf!$L$13:$AK$14,K$4,FALSE))=TRUE,"",
              VLOOKUP($G18,SantoYusuf!$L$13:$AK$14,K$4,FALSE)))</t>
  </si>
  <si>
    <t>=IF(ISNUMBER($L$6)=FALSE,"",
        IF(ISERROR(VLOOKUP($G18,SantoYusuf!$L$13:$AK$14,L$4,FALSE))=TRUE,"",
              VLOOKUP($G18,SantoYusuf!$L$13:$AK$14,L$4,FALSE)))</t>
  </si>
  <si>
    <t>=IF(ISNUMBER($L$6)=FALSE,"",
        IF(ISERROR(VLOOKUP($G18,SantoYusuf!$L$13:$AK$14,M$4,FALSE))=TRUE,"",
              VLOOKUP($G18,SantoYusuf!$L$13:$AK$14,M$4,FALSE)))</t>
  </si>
  <si>
    <t>=IF(ISNUMBER($L$6)=FALSE,"",
        IF(ISERROR(VLOOKUP($G18,SantoYusuf!$L$13:$AK$14,N$4,FALSE))=TRUE,"",
              VLOOKUP($G18,SantoYusuf!$L$13:$AK$14,N$4,FALSE)))</t>
  </si>
  <si>
    <t>=IF(ISNUMBER($L$6)=FALSE,"",
        IF(ISERROR(VLOOKUP($G18,SantoYusuf!$L$13:$AK$14,O$4,FALSE))=TRUE,"",
              VLOOKUP($G18,SantoYusuf!$L$13:$AK$14,O$4,FALSE)))</t>
  </si>
  <si>
    <t>=IF(ISNUMBER($L$6)=FALSE,"",
        IF(ISERROR(VLOOKUP($G18,SantoYusuf!$L$13:$AK$14,P$4,FALSE))=TRUE,"",
              VLOOKUP($G18,SantoYusuf!$L$13:$AK$14,P$4,FALSE)))</t>
  </si>
  <si>
    <t>=IF(ISNUMBER($L$6)=FALSE,"",
        IF(ISERROR(VLOOKUP($G18,SantoYusuf!$L$13:$AK$14,Q$4,FALSE))=TRUE,"",
              VLOOKUP($G18,SantoYusuf!$L$13:$AK$14,Q$4,FALSE)))</t>
  </si>
  <si>
    <t>=IF(ISNUMBER($L$6)=FALSE,"",
        IF(ISERROR(VLOOKUP($G18,SantoYusuf!$L$13:$AK$14,R$4,FALSE))=TRUE,"",
              VLOOKUP($G18,SantoYusuf!$L$13:$AK$14,R$4,FALSE)))</t>
  </si>
  <si>
    <t>=IF(ISNUMBER($L$6)=FALSE,"",
        IF(ISERROR(VLOOKUP($G18,SantoYusuf!$L$13:$AK$14,S$4,FALSE))=TRUE,"",
              VLOOKUP($G18,SantoYusuf!$L$13:$AK$14,S$4,FALSE)))</t>
  </si>
  <si>
    <t>=IF(ISNUMBER($L$6)=FALSE,"",
        IF(ISERROR(VLOOKUP($G18,SantoYusuf!$L$13:$AK$14,T$4,FALSE))=TRUE,"",
              VLOOKUP($G18,SantoYusuf!$L$13:$AK$14,T$4,FALSE)))</t>
  </si>
  <si>
    <t>=IF(ISNUMBER($L$6)=FALSE,"",
        IF(ISERROR(VLOOKUP($G18,SantoYusuf!$L$13:$AK$14,U$4,FALSE))=TRUE,"",
              VLOOKUP($G18,SantoYusuf!$L$13:$AK$14,U$4,FALSE)))</t>
  </si>
  <si>
    <t>=IF(ISNUMBER($L$6)=FALSE,"",
        IF(ISERROR(VLOOKUP($G18,SantoYusuf!$L$13:$AK$14,V$4,FALSE))=TRUE,"",
              VLOOKUP($G18,SantoYusuf!$L$13:$AK$14,V$4,FALSE)))</t>
  </si>
  <si>
    <t>=IF(ISNUMBER($L$6)=FALSE,"",
        IF(ISERROR(VLOOKUP($G18,SantoYusuf!$L$13:$AK$14,W$4,FALSE))=TRUE,"",
              VLOOKUP($G18,SantoYusuf!$L$13:$AK$14,W$4,FALSE)))</t>
  </si>
  <si>
    <t>=IF(ISNUMBER($L$6)=FALSE,"",
        IF(ISERROR(VLOOKUP($G18,SantoYusuf!$L$13:$AK$14,X$4,FALSE))=TRUE,"",
              VLOOKUP($G18,SantoYusuf!$L$13:$AK$14,X$4,FALSE)))</t>
  </si>
  <si>
    <t>=IF(ISNUMBER($L$6)=FALSE,"",
        IF(ISERROR(VLOOKUP($G18,SantoYusuf!$L$13:$AK$14,Y$4,FALSE))=TRUE,"",
              VLOOKUP($G18,SantoYusuf!$L$13:$AK$14,Y$4,FALSE)))</t>
  </si>
  <si>
    <t>=IF(ISNUMBER($L$6)=FALSE,"",
        IF(ISERROR(VLOOKUP($G18,SantoYusuf!$L$13:$AK$14,Z$4,FALSE))=TRUE,"",
              VLOOKUP($G18,SantoYusuf!$L$13:$AK$14,Z$4,FALSE)))</t>
  </si>
  <si>
    <t>=IF(ISNUMBER($L$6)=FALSE,"",
        IF(ISERROR(VLOOKUP($G18,SantoYusuf!$L$13:$AK$14,AA$4,FALSE))=TRUE,"",
              VLOOKUP($G18,SantoYusuf!$L$13:$AK$14,AA$4,FALSE)))</t>
  </si>
  <si>
    <t>=IF(ISNUMBER($L$6)=FALSE,"",
        IF(ISERROR(VLOOKUP($G18,SantoYusuf!$L$13:$AK$14,AB$4,FALSE))=TRUE,"",
              VLOOKUP($G18,SantoYusuf!$L$13:$AK$14,AB$4,FALSE)))</t>
  </si>
  <si>
    <t>=IF(ISNUMBER($L$6)=FALSE,"",
        IF(ISERROR(VLOOKUP($G18,SantoYusuf!$L$13:$AK$14,AC$4,FALSE))=TRUE,"",
              VLOOKUP($G18,SantoYusuf!$L$13:$AK$14,AC$4,FALSE)))</t>
  </si>
  <si>
    <t>=IF(ISNUMBER($L$6)=FALSE,"",
        IF(ISERROR(VLOOKUP($G18,SantoYusuf!$L$13:$AK$14,AD$4,FALSE))=TRUE,"",
              VLOOKUP($G18,SantoYusuf!$L$13:$AK$14,AD$4,FALSE)))</t>
  </si>
  <si>
    <t>=IF(ISNUMBER($L$6)=FALSE,"",
        IF(ISERROR(VLOOKUP($G18,SantoYusuf!$L$13:$AK$14,AE$4,FALSE))=TRUE,"",
              VLOOKUP($G18,SantoYusuf!$L$13:$AK$14,AE$4,FALSE)))</t>
  </si>
  <si>
    <t>=IF(ISNUMBER($L$6)=FALSE,"",
        IF(ISERROR(VLOOKUP($G18,SantoYusuf!$L$13:$AK$14,AF$4,FALSE))=TRUE,"",
              VLOOKUP($G18,SantoYusuf!$L$13:$AK$14,AF$4,FALSE)))</t>
  </si>
  <si>
    <t>=IF(ISNUMBER($L$6)=FALSE,"",
IF($C19=0,"",VLOOKUP($E19,SantoYusuf!$H$13:$L$14,4,FALSE)))</t>
  </si>
  <si>
    <t>=IF(ISNUMBER($L$6)=FALSE,"",
IF($C19=0,"",VLOOKUP($E19,SantoYusuf!$H$13:$L$14,5,FALSE)))</t>
  </si>
  <si>
    <t>=IF(ISNUMBER($L$6)=FALSE,"",
        IF(ISERROR(VLOOKUP($G19,SantoYusuf!$L$13:$AK$14,I$4,FALSE))=TRUE,"",
              VLOOKUP($G19,SantoYusuf!$L$13:$AK$14,I$4,FALSE)))</t>
  </si>
  <si>
    <t>=IF(ISNUMBER($L$6)=FALSE,"",
        IF(ISERROR(VLOOKUP($G19,SantoYusuf!$L$13:$AK$14,J$4,FALSE))=TRUE,"",
              VLOOKUP($G19,SantoYusuf!$L$13:$AK$14,J$4,FALSE)))</t>
  </si>
  <si>
    <t>=IF(ISNUMBER($L$6)=FALSE,"",
        IF(ISERROR(VLOOKUP($G19,SantoYusuf!$L$13:$AK$14,K$4,FALSE))=TRUE,"",
              VLOOKUP($G19,SantoYusuf!$L$13:$AK$14,K$4,FALSE)))</t>
  </si>
  <si>
    <t>=IF(ISNUMBER($L$6)=FALSE,"",
        IF(ISERROR(VLOOKUP($G19,SantoYusuf!$L$13:$AK$14,L$4,FALSE))=TRUE,"",
              VLOOKUP($G19,SantoYusuf!$L$13:$AK$14,L$4,FALSE)))</t>
  </si>
  <si>
    <t>=IF(ISNUMBER($L$6)=FALSE,"",
        IF(ISERROR(VLOOKUP($G19,SantoYusuf!$L$13:$AK$14,M$4,FALSE))=TRUE,"",
              VLOOKUP($G19,SantoYusuf!$L$13:$AK$14,M$4,FALSE)))</t>
  </si>
  <si>
    <t>=IF(ISNUMBER($L$6)=FALSE,"",
        IF(ISERROR(VLOOKUP($G19,SantoYusuf!$L$13:$AK$14,N$4,FALSE))=TRUE,"",
              VLOOKUP($G19,SantoYusuf!$L$13:$AK$14,N$4,FALSE)))</t>
  </si>
  <si>
    <t>=IF(ISNUMBER($L$6)=FALSE,"",
        IF(ISERROR(VLOOKUP($G19,SantoYusuf!$L$13:$AK$14,O$4,FALSE))=TRUE,"",
              VLOOKUP($G19,SantoYusuf!$L$13:$AK$14,O$4,FALSE)))</t>
  </si>
  <si>
    <t>=IF(ISNUMBER($L$6)=FALSE,"",
        IF(ISERROR(VLOOKUP($G19,SantoYusuf!$L$13:$AK$14,P$4,FALSE))=TRUE,"",
              VLOOKUP($G19,SantoYusuf!$L$13:$AK$14,P$4,FALSE)))</t>
  </si>
  <si>
    <t>=IF(ISNUMBER($L$6)=FALSE,"",
        IF(ISERROR(VLOOKUP($G19,SantoYusuf!$L$13:$AK$14,Q$4,FALSE))=TRUE,"",
              VLOOKUP($G19,SantoYusuf!$L$13:$AK$14,Q$4,FALSE)))</t>
  </si>
  <si>
    <t>=IF(ISNUMBER($L$6)=FALSE,"",
        IF(ISERROR(VLOOKUP($G19,SantoYusuf!$L$13:$AK$14,R$4,FALSE))=TRUE,"",
              VLOOKUP($G19,SantoYusuf!$L$13:$AK$14,R$4,FALSE)))</t>
  </si>
  <si>
    <t>=IF(ISNUMBER($L$6)=FALSE,"",
        IF(ISERROR(VLOOKUP($G19,SantoYusuf!$L$13:$AK$14,S$4,FALSE))=TRUE,"",
              VLOOKUP($G19,SantoYusuf!$L$13:$AK$14,S$4,FALSE)))</t>
  </si>
  <si>
    <t>=IF(ISNUMBER($L$6)=FALSE,"",
        IF(ISERROR(VLOOKUP($G19,SantoYusuf!$L$13:$AK$14,T$4,FALSE))=TRUE,"",
              VLOOKUP($G19,SantoYusuf!$L$13:$AK$14,T$4,FALSE)))</t>
  </si>
  <si>
    <t>=IF(ISNUMBER($L$6)=FALSE,"",
        IF(ISERROR(VLOOKUP($G19,SantoYusuf!$L$13:$AK$14,U$4,FALSE))=TRUE,"",
              VLOOKUP($G19,SantoYusuf!$L$13:$AK$14,U$4,FALSE)))</t>
  </si>
  <si>
    <t>=IF(ISNUMBER($L$6)=FALSE,"",
        IF(ISERROR(VLOOKUP($G19,SantoYusuf!$L$13:$AK$14,V$4,FALSE))=TRUE,"",
              VLOOKUP($G19,SantoYusuf!$L$13:$AK$14,V$4,FALSE)))</t>
  </si>
  <si>
    <t>=IF(ISNUMBER($L$6)=FALSE,"",
        IF(ISERROR(VLOOKUP($G19,SantoYusuf!$L$13:$AK$14,W$4,FALSE))=TRUE,"",
              VLOOKUP($G19,SantoYusuf!$L$13:$AK$14,W$4,FALSE)))</t>
  </si>
  <si>
    <t>=IF(ISNUMBER($L$6)=FALSE,"",
        IF(ISERROR(VLOOKUP($G19,SantoYusuf!$L$13:$AK$14,X$4,FALSE))=TRUE,"",
              VLOOKUP($G19,SantoYusuf!$L$13:$AK$14,X$4,FALSE)))</t>
  </si>
  <si>
    <t>=IF(ISNUMBER($L$6)=FALSE,"",
        IF(ISERROR(VLOOKUP($G19,SantoYusuf!$L$13:$AK$14,Y$4,FALSE))=TRUE,"",
              VLOOKUP($G19,SantoYusuf!$L$13:$AK$14,Y$4,FALSE)))</t>
  </si>
  <si>
    <t>=IF(ISNUMBER($L$6)=FALSE,"",
        IF(ISERROR(VLOOKUP($G19,SantoYusuf!$L$13:$AK$14,Z$4,FALSE))=TRUE,"",
              VLOOKUP($G19,SantoYusuf!$L$13:$AK$14,Z$4,FALSE)))</t>
  </si>
  <si>
    <t>=IF(ISNUMBER($L$6)=FALSE,"",
        IF(ISERROR(VLOOKUP($G19,SantoYusuf!$L$13:$AK$14,AA$4,FALSE))=TRUE,"",
              VLOOKUP($G19,SantoYusuf!$L$13:$AK$14,AA$4,FALSE)))</t>
  </si>
  <si>
    <t>=IF(ISNUMBER($L$6)=FALSE,"",
        IF(ISERROR(VLOOKUP($G19,SantoYusuf!$L$13:$AK$14,AB$4,FALSE))=TRUE,"",
              VLOOKUP($G19,SantoYusuf!$L$13:$AK$14,AB$4,FALSE)))</t>
  </si>
  <si>
    <t>=IF(ISNUMBER($L$6)=FALSE,"",
        IF(ISERROR(VLOOKUP($G19,SantoYusuf!$L$13:$AK$14,AC$4,FALSE))=TRUE,"",
              VLOOKUP($G19,SantoYusuf!$L$13:$AK$14,AC$4,FALSE)))</t>
  </si>
  <si>
    <t>=IF(ISNUMBER($L$6)=FALSE,"",
        IF(ISERROR(VLOOKUP($G19,SantoYusuf!$L$13:$AK$14,AD$4,FALSE))=TRUE,"",
              VLOOKUP($G19,SantoYusuf!$L$13:$AK$14,AD$4,FALSE)))</t>
  </si>
  <si>
    <t>=IF(ISNUMBER($L$6)=FALSE,"",
        IF(ISERROR(VLOOKUP($G19,SantoYusuf!$L$13:$AK$14,AE$4,FALSE))=TRUE,"",
              VLOOKUP($G19,SantoYusuf!$L$13:$AK$14,AE$4,FALSE)))</t>
  </si>
  <si>
    <t>=IF(ISNUMBER($L$6)=FALSE,"",
        IF(ISERROR(VLOOKUP($G19,SantoYusuf!$L$13:$AK$14,AF$4,FALSE))=TRUE,"",
              VLOOKUP($G19,SantoYusuf!$L$13:$AK$14,AF$4,FALSE)))</t>
  </si>
  <si>
    <t>=IF(ISNUMBER($L$6)=FALSE,"",
IF($C20=0,"",VLOOKUP($E20,SantoYusuf!$H$13:$L$14,4,FALSE)))</t>
  </si>
  <si>
    <t>=IF(ISNUMBER($L$6)=FALSE,"",
IF($C20=0,"",VLOOKUP($E20,SantoYusuf!$H$13:$L$14,5,FALSE)))</t>
  </si>
  <si>
    <t>=IF(ISNUMBER($L$6)=FALSE,"",
        IF(ISERROR(VLOOKUP($G20,SantoYusuf!$L$13:$AK$14,I$4,FALSE))=TRUE,"",
              VLOOKUP($G20,SantoYusuf!$L$13:$AK$14,I$4,FALSE)))</t>
  </si>
  <si>
    <t>=IF(ISNUMBER($L$6)=FALSE,"",
        IF(ISERROR(VLOOKUP($G20,SantoYusuf!$L$13:$AK$14,J$4,FALSE))=TRUE,"",
              VLOOKUP($G20,SantoYusuf!$L$13:$AK$14,J$4,FALSE)))</t>
  </si>
  <si>
    <t>=IF(ISNUMBER($L$6)=FALSE,"",
        IF(ISERROR(VLOOKUP($G20,SantoYusuf!$L$13:$AK$14,K$4,FALSE))=TRUE,"",
              VLOOKUP($G20,SantoYusuf!$L$13:$AK$14,K$4,FALSE)))</t>
  </si>
  <si>
    <t>=IF(ISNUMBER($L$6)=FALSE,"",
        IF(ISERROR(VLOOKUP($G20,SantoYusuf!$L$13:$AK$14,L$4,FALSE))=TRUE,"",
              VLOOKUP($G20,SantoYusuf!$L$13:$AK$14,L$4,FALSE)))</t>
  </si>
  <si>
    <t>=IF(ISNUMBER($L$6)=FALSE,"",
        IF(ISERROR(VLOOKUP($G20,SantoYusuf!$L$13:$AK$14,M$4,FALSE))=TRUE,"",
              VLOOKUP($G20,SantoYusuf!$L$13:$AK$14,M$4,FALSE)))</t>
  </si>
  <si>
    <t>=IF(ISNUMBER($L$6)=FALSE,"",
        IF(ISERROR(VLOOKUP($G20,SantoYusuf!$L$13:$AK$14,N$4,FALSE))=TRUE,"",
              VLOOKUP($G20,SantoYusuf!$L$13:$AK$14,N$4,FALSE)))</t>
  </si>
  <si>
    <t>=IF(ISNUMBER($L$6)=FALSE,"",
        IF(ISERROR(VLOOKUP($G20,SantoYusuf!$L$13:$AK$14,O$4,FALSE))=TRUE,"",
              VLOOKUP($G20,SantoYusuf!$L$13:$AK$14,O$4,FALSE)))</t>
  </si>
  <si>
    <t>=IF(ISNUMBER($L$6)=FALSE,"",
        IF(ISERROR(VLOOKUP($G20,SantoYusuf!$L$13:$AK$14,P$4,FALSE))=TRUE,"",
              VLOOKUP($G20,SantoYusuf!$L$13:$AK$14,P$4,FALSE)))</t>
  </si>
  <si>
    <t>=IF(ISNUMBER($L$6)=FALSE,"",
        IF(ISERROR(VLOOKUP($G20,SantoYusuf!$L$13:$AK$14,Q$4,FALSE))=TRUE,"",
              VLOOKUP($G20,SantoYusuf!$L$13:$AK$14,Q$4,FALSE)))</t>
  </si>
  <si>
    <t>=IF(ISNUMBER($L$6)=FALSE,"",
        IF(ISERROR(VLOOKUP($G20,SantoYusuf!$L$13:$AK$14,R$4,FALSE))=TRUE,"",
              VLOOKUP($G20,SantoYusuf!$L$13:$AK$14,R$4,FALSE)))</t>
  </si>
  <si>
    <t>=IF(ISNUMBER($L$6)=FALSE,"",
        IF(ISERROR(VLOOKUP($G20,SantoYusuf!$L$13:$AK$14,S$4,FALSE))=TRUE,"",
              VLOOKUP($G20,SantoYusuf!$L$13:$AK$14,S$4,FALSE)))</t>
  </si>
  <si>
    <t>=IF(ISNUMBER($L$6)=FALSE,"",
        IF(ISERROR(VLOOKUP($G20,SantoYusuf!$L$13:$AK$14,T$4,FALSE))=TRUE,"",
              VLOOKUP($G20,SantoYusuf!$L$13:$AK$14,T$4,FALSE)))</t>
  </si>
  <si>
    <t>=IF(ISNUMBER($L$6)=FALSE,"",
        IF(ISERROR(VLOOKUP($G20,SantoYusuf!$L$13:$AK$14,U$4,FALSE))=TRUE,"",
              VLOOKUP($G20,SantoYusuf!$L$13:$AK$14,U$4,FALSE)))</t>
  </si>
  <si>
    <t>=IF(ISNUMBER($L$6)=FALSE,"",
        IF(ISERROR(VLOOKUP($G20,SantoYusuf!$L$13:$AK$14,V$4,FALSE))=TRUE,"",
              VLOOKUP($G20,SantoYusuf!$L$13:$AK$14,V$4,FALSE)))</t>
  </si>
  <si>
    <t>=IF(ISNUMBER($L$6)=FALSE,"",
        IF(ISERROR(VLOOKUP($G20,SantoYusuf!$L$13:$AK$14,W$4,FALSE))=TRUE,"",
              VLOOKUP($G20,SantoYusuf!$L$13:$AK$14,W$4,FALSE)))</t>
  </si>
  <si>
    <t>=IF(ISNUMBER($L$6)=FALSE,"",
        IF(ISERROR(VLOOKUP($G20,SantoYusuf!$L$13:$AK$14,X$4,FALSE))=TRUE,"",
              VLOOKUP($G20,SantoYusuf!$L$13:$AK$14,X$4,FALSE)))</t>
  </si>
  <si>
    <t>=IF(ISNUMBER($L$6)=FALSE,"",
        IF(ISERROR(VLOOKUP($G20,SantoYusuf!$L$13:$AK$14,Y$4,FALSE))=TRUE,"",
              VLOOKUP($G20,SantoYusuf!$L$13:$AK$14,Y$4,FALSE)))</t>
  </si>
  <si>
    <t>=IF(ISNUMBER($L$6)=FALSE,"",
        IF(ISERROR(VLOOKUP($G20,SantoYusuf!$L$13:$AK$14,Z$4,FALSE))=TRUE,"",
              VLOOKUP($G20,SantoYusuf!$L$13:$AK$14,Z$4,FALSE)))</t>
  </si>
  <si>
    <t>=IF(ISNUMBER($L$6)=FALSE,"",
        IF(ISERROR(VLOOKUP($G20,SantoYusuf!$L$13:$AK$14,AA$4,FALSE))=TRUE,"",
              VLOOKUP($G20,SantoYusuf!$L$13:$AK$14,AA$4,FALSE)))</t>
  </si>
  <si>
    <t>=IF(ISNUMBER($L$6)=FALSE,"",
        IF(ISERROR(VLOOKUP($G20,SantoYusuf!$L$13:$AK$14,AB$4,FALSE))=TRUE,"",
              VLOOKUP($G20,SantoYusuf!$L$13:$AK$14,AB$4,FALSE)))</t>
  </si>
  <si>
    <t>=IF(ISNUMBER($L$6)=FALSE,"",
        IF(ISERROR(VLOOKUP($G20,SantoYusuf!$L$13:$AK$14,AC$4,FALSE))=TRUE,"",
              VLOOKUP($G20,SantoYusuf!$L$13:$AK$14,AC$4,FALSE)))</t>
  </si>
  <si>
    <t>=IF(ISNUMBER($L$6)=FALSE,"",
        IF(ISERROR(VLOOKUP($G20,SantoYusuf!$L$13:$AK$14,AD$4,FALSE))=TRUE,"",
              VLOOKUP($G20,SantoYusuf!$L$13:$AK$14,AD$4,FALSE)))</t>
  </si>
  <si>
    <t>=IF(ISNUMBER($L$6)=FALSE,"",
        IF(ISERROR(VLOOKUP($G20,SantoYusuf!$L$13:$AK$14,AE$4,FALSE))=TRUE,"",
              VLOOKUP($G20,SantoYusuf!$L$13:$AK$14,AE$4,FALSE)))</t>
  </si>
  <si>
    <t>=IF(ISNUMBER($L$6)=FALSE,"",
        IF(ISERROR(VLOOKUP($G20,SantoYusuf!$L$13:$AK$14,AF$4,FALSE))=TRUE,"",
              VLOOKUP($G20,SantoYusuf!$L$13:$AK$14,AF$4,FALSE)))</t>
  </si>
  <si>
    <t>=IF(ISNUMBER($L$6)=FALSE,"",
IF($C21=0,"",VLOOKUP($E21,SantoYusuf!$H$13:$L$14,4,FALSE)))</t>
  </si>
  <si>
    <t>=IF(ISNUMBER($L$6)=FALSE,"",
IF($C21=0,"",VLOOKUP($E21,SantoYusuf!$H$13:$L$14,5,FALSE)))</t>
  </si>
  <si>
    <t>=IF(ISNUMBER($L$6)=FALSE,"",
        IF(ISERROR(VLOOKUP($G21,SantoYusuf!$L$13:$AK$14,I$4,FALSE))=TRUE,"",
              VLOOKUP($G21,SantoYusuf!$L$13:$AK$14,I$4,FALSE)))</t>
  </si>
  <si>
    <t>=IF(ISNUMBER($L$6)=FALSE,"",
        IF(ISERROR(VLOOKUP($G21,SantoYusuf!$L$13:$AK$14,J$4,FALSE))=TRUE,"",
              VLOOKUP($G21,SantoYusuf!$L$13:$AK$14,J$4,FALSE)))</t>
  </si>
  <si>
    <t>=IF(ISNUMBER($L$6)=FALSE,"",
        IF(ISERROR(VLOOKUP($G21,SantoYusuf!$L$13:$AK$14,K$4,FALSE))=TRUE,"",
              VLOOKUP($G21,SantoYusuf!$L$13:$AK$14,K$4,FALSE)))</t>
  </si>
  <si>
    <t>=IF(ISNUMBER($L$6)=FALSE,"",
        IF(ISERROR(VLOOKUP($G21,SantoYusuf!$L$13:$AK$14,L$4,FALSE))=TRUE,"",
              VLOOKUP($G21,SantoYusuf!$L$13:$AK$14,L$4,FALSE)))</t>
  </si>
  <si>
    <t>=IF(ISNUMBER($L$6)=FALSE,"",
        IF(ISERROR(VLOOKUP($G21,SantoYusuf!$L$13:$AK$14,M$4,FALSE))=TRUE,"",
              VLOOKUP($G21,SantoYusuf!$L$13:$AK$14,M$4,FALSE)))</t>
  </si>
  <si>
    <t>=IF(ISNUMBER($L$6)=FALSE,"",
        IF(ISERROR(VLOOKUP($G21,SantoYusuf!$L$13:$AK$14,N$4,FALSE))=TRUE,"",
              VLOOKUP($G21,SantoYusuf!$L$13:$AK$14,N$4,FALSE)))</t>
  </si>
  <si>
    <t>=IF(ISNUMBER($L$6)=FALSE,"",
        IF(ISERROR(VLOOKUP($G21,SantoYusuf!$L$13:$AK$14,O$4,FALSE))=TRUE,"",
              VLOOKUP($G21,SantoYusuf!$L$13:$AK$14,O$4,FALSE)))</t>
  </si>
  <si>
    <t>=IF(ISNUMBER($L$6)=FALSE,"",
        IF(ISERROR(VLOOKUP($G21,SantoYusuf!$L$13:$AK$14,P$4,FALSE))=TRUE,"",
              VLOOKUP($G21,SantoYusuf!$L$13:$AK$14,P$4,FALSE)))</t>
  </si>
  <si>
    <t>=IF(ISNUMBER($L$6)=FALSE,"",
        IF(ISERROR(VLOOKUP($G21,SantoYusuf!$L$13:$AK$14,Q$4,FALSE))=TRUE,"",
              VLOOKUP($G21,SantoYusuf!$L$13:$AK$14,Q$4,FALSE)))</t>
  </si>
  <si>
    <t>=IF(ISNUMBER($L$6)=FALSE,"",
        IF(ISERROR(VLOOKUP($G21,SantoYusuf!$L$13:$AK$14,R$4,FALSE))=TRUE,"",
              VLOOKUP($G21,SantoYusuf!$L$13:$AK$14,R$4,FALSE)))</t>
  </si>
  <si>
    <t>=IF(ISNUMBER($L$6)=FALSE,"",
        IF(ISERROR(VLOOKUP($G21,SantoYusuf!$L$13:$AK$14,S$4,FALSE))=TRUE,"",
              VLOOKUP($G21,SantoYusuf!$L$13:$AK$14,S$4,FALSE)))</t>
  </si>
  <si>
    <t>=IF(ISNUMBER($L$6)=FALSE,"",
        IF(ISERROR(VLOOKUP($G21,SantoYusuf!$L$13:$AK$14,T$4,FALSE))=TRUE,"",
              VLOOKUP($G21,SantoYusuf!$L$13:$AK$14,T$4,FALSE)))</t>
  </si>
  <si>
    <t>=IF(ISNUMBER($L$6)=FALSE,"",
        IF(ISERROR(VLOOKUP($G21,SantoYusuf!$L$13:$AK$14,U$4,FALSE))=TRUE,"",
              VLOOKUP($G21,SantoYusuf!$L$13:$AK$14,U$4,FALSE)))</t>
  </si>
  <si>
    <t>=IF(ISNUMBER($L$6)=FALSE,"",
        IF(ISERROR(VLOOKUP($G21,SantoYusuf!$L$13:$AK$14,V$4,FALSE))=TRUE,"",
              VLOOKUP($G21,SantoYusuf!$L$13:$AK$14,V$4,FALSE)))</t>
  </si>
  <si>
    <t>=IF(ISNUMBER($L$6)=FALSE,"",
        IF(ISERROR(VLOOKUP($G21,SantoYusuf!$L$13:$AK$14,W$4,FALSE))=TRUE,"",
              VLOOKUP($G21,SantoYusuf!$L$13:$AK$14,W$4,FALSE)))</t>
  </si>
  <si>
    <t>=IF(ISNUMBER($L$6)=FALSE,"",
        IF(ISERROR(VLOOKUP($G21,SantoYusuf!$L$13:$AK$14,X$4,FALSE))=TRUE,"",
              VLOOKUP($G21,SantoYusuf!$L$13:$AK$14,X$4,FALSE)))</t>
  </si>
  <si>
    <t>=IF(ISNUMBER($L$6)=FALSE,"",
        IF(ISERROR(VLOOKUP($G21,SantoYusuf!$L$13:$AK$14,Y$4,FALSE))=TRUE,"",
              VLOOKUP($G21,SantoYusuf!$L$13:$AK$14,Y$4,FALSE)))</t>
  </si>
  <si>
    <t>=IF(ISNUMBER($L$6)=FALSE,"",
        IF(ISERROR(VLOOKUP($G21,SantoYusuf!$L$13:$AK$14,Z$4,FALSE))=TRUE,"",
              VLOOKUP($G21,SantoYusuf!$L$13:$AK$14,Z$4,FALSE)))</t>
  </si>
  <si>
    <t>=IF(ISNUMBER($L$6)=FALSE,"",
        IF(ISERROR(VLOOKUP($G21,SantoYusuf!$L$13:$AK$14,AA$4,FALSE))=TRUE,"",
              VLOOKUP($G21,SantoYusuf!$L$13:$AK$14,AA$4,FALSE)))</t>
  </si>
  <si>
    <t>=IF(ISNUMBER($L$6)=FALSE,"",
        IF(ISERROR(VLOOKUP($G21,SantoYusuf!$L$13:$AK$14,AB$4,FALSE))=TRUE,"",
              VLOOKUP($G21,SantoYusuf!$L$13:$AK$14,AB$4,FALSE)))</t>
  </si>
  <si>
    <t>=IF(ISNUMBER($L$6)=FALSE,"",
        IF(ISERROR(VLOOKUP($G21,SantoYusuf!$L$13:$AK$14,AC$4,FALSE))=TRUE,"",
              VLOOKUP($G21,SantoYusuf!$L$13:$AK$14,AC$4,FALSE)))</t>
  </si>
  <si>
    <t>=IF(ISNUMBER($L$6)=FALSE,"",
        IF(ISERROR(VLOOKUP($G21,SantoYusuf!$L$13:$AK$14,AD$4,FALSE))=TRUE,"",
              VLOOKUP($G21,SantoYusuf!$L$13:$AK$14,AD$4,FALSE)))</t>
  </si>
  <si>
    <t>=IF(ISNUMBER($L$6)=FALSE,"",
        IF(ISERROR(VLOOKUP($G21,SantoYusuf!$L$13:$AK$14,AE$4,FALSE))=TRUE,"",
              VLOOKUP($G21,SantoYusuf!$L$13:$AK$14,AE$4,FALSE)))</t>
  </si>
  <si>
    <t>=IF(ISNUMBER($L$6)=FALSE,"",
        IF(ISERROR(VLOOKUP($G21,SantoYusuf!$L$13:$AK$14,AF$4,FALSE))=TRUE,"",
              VLOOKUP($G21,SantoYusuf!$L$13:$AK$14,AF$4,FALSE)))</t>
  </si>
  <si>
    <t>=IF(ISNUMBER($L$6)=FALSE,"",
IF($C22=0,"",VLOOKUP($E22,SantoYusuf!$H$13:$L$14,4,FALSE)))</t>
  </si>
  <si>
    <t>=IF(ISNUMBER($L$6)=FALSE,"",
IF($C22=0,"",VLOOKUP($E22,SantoYusuf!$H$13:$L$14,5,FALSE)))</t>
  </si>
  <si>
    <t>=IF(ISNUMBER($L$6)=FALSE,"",
        IF(ISERROR(VLOOKUP($G22,SantoYusuf!$L$13:$AK$14,I$4,FALSE))=TRUE,"",
              VLOOKUP($G22,SantoYusuf!$L$13:$AK$14,I$4,FALSE)))</t>
  </si>
  <si>
    <t>=IF(ISNUMBER($L$6)=FALSE,"",
        IF(ISERROR(VLOOKUP($G22,SantoYusuf!$L$13:$AK$14,J$4,FALSE))=TRUE,"",
              VLOOKUP($G22,SantoYusuf!$L$13:$AK$14,J$4,FALSE)))</t>
  </si>
  <si>
    <t>=IF(ISNUMBER($L$6)=FALSE,"",
        IF(ISERROR(VLOOKUP($G22,SantoYusuf!$L$13:$AK$14,K$4,FALSE))=TRUE,"",
              VLOOKUP($G22,SantoYusuf!$L$13:$AK$14,K$4,FALSE)))</t>
  </si>
  <si>
    <t>=IF(ISNUMBER($L$6)=FALSE,"",
        IF(ISERROR(VLOOKUP($G22,SantoYusuf!$L$13:$AK$14,L$4,FALSE))=TRUE,"",
              VLOOKUP($G22,SantoYusuf!$L$13:$AK$14,L$4,FALSE)))</t>
  </si>
  <si>
    <t>=IF(ISNUMBER($L$6)=FALSE,"",
        IF(ISERROR(VLOOKUP($G22,SantoYusuf!$L$13:$AK$14,M$4,FALSE))=TRUE,"",
              VLOOKUP($G22,SantoYusuf!$L$13:$AK$14,M$4,FALSE)))</t>
  </si>
  <si>
    <t>=IF(ISNUMBER($L$6)=FALSE,"",
        IF(ISERROR(VLOOKUP($G22,SantoYusuf!$L$13:$AK$14,N$4,FALSE))=TRUE,"",
              VLOOKUP($G22,SantoYusuf!$L$13:$AK$14,N$4,FALSE)))</t>
  </si>
  <si>
    <t>=IF(ISNUMBER($L$6)=FALSE,"",
        IF(ISERROR(VLOOKUP($G22,SantoYusuf!$L$13:$AK$14,O$4,FALSE))=TRUE,"",
              VLOOKUP($G22,SantoYusuf!$L$13:$AK$14,O$4,FALSE)))</t>
  </si>
  <si>
    <t>=IF(ISNUMBER($L$6)=FALSE,"",
        IF(ISERROR(VLOOKUP($G22,SantoYusuf!$L$13:$AK$14,P$4,FALSE))=TRUE,"",
              VLOOKUP($G22,SantoYusuf!$L$13:$AK$14,P$4,FALSE)))</t>
  </si>
  <si>
    <t>=IF(ISNUMBER($L$6)=FALSE,"",
        IF(ISERROR(VLOOKUP($G22,SantoYusuf!$L$13:$AK$14,Q$4,FALSE))=TRUE,"",
              VLOOKUP($G22,SantoYusuf!$L$13:$AK$14,Q$4,FALSE)))</t>
  </si>
  <si>
    <t>=IF(ISNUMBER($L$6)=FALSE,"",
        IF(ISERROR(VLOOKUP($G22,SantoYusuf!$L$13:$AK$14,R$4,FALSE))=TRUE,"",
              VLOOKUP($G22,SantoYusuf!$L$13:$AK$14,R$4,FALSE)))</t>
  </si>
  <si>
    <t>=IF(ISNUMBER($L$6)=FALSE,"",
        IF(ISERROR(VLOOKUP($G22,SantoYusuf!$L$13:$AK$14,S$4,FALSE))=TRUE,"",
              VLOOKUP($G22,SantoYusuf!$L$13:$AK$14,S$4,FALSE)))</t>
  </si>
  <si>
    <t>=IF(ISNUMBER($L$6)=FALSE,"",
        IF(ISERROR(VLOOKUP($G22,SantoYusuf!$L$13:$AK$14,T$4,FALSE))=TRUE,"",
              VLOOKUP($G22,SantoYusuf!$L$13:$AK$14,T$4,FALSE)))</t>
  </si>
  <si>
    <t>=IF(ISNUMBER($L$6)=FALSE,"",
        IF(ISERROR(VLOOKUP($G22,SantoYusuf!$L$13:$AK$14,U$4,FALSE))=TRUE,"",
              VLOOKUP($G22,SantoYusuf!$L$13:$AK$14,U$4,FALSE)))</t>
  </si>
  <si>
    <t>=IF(ISNUMBER($L$6)=FALSE,"",
        IF(ISERROR(VLOOKUP($G22,SantoYusuf!$L$13:$AK$14,V$4,FALSE))=TRUE,"",
              VLOOKUP($G22,SantoYusuf!$L$13:$AK$14,V$4,FALSE)))</t>
  </si>
  <si>
    <t>=IF(ISNUMBER($L$6)=FALSE,"",
        IF(ISERROR(VLOOKUP($G22,SantoYusuf!$L$13:$AK$14,W$4,FALSE))=TRUE,"",
              VLOOKUP($G22,SantoYusuf!$L$13:$AK$14,W$4,FALSE)))</t>
  </si>
  <si>
    <t>=IF(ISNUMBER($L$6)=FALSE,"",
        IF(ISERROR(VLOOKUP($G22,SantoYusuf!$L$13:$AK$14,X$4,FALSE))=TRUE,"",
              VLOOKUP($G22,SantoYusuf!$L$13:$AK$14,X$4,FALSE)))</t>
  </si>
  <si>
    <t>=IF(ISNUMBER($L$6)=FALSE,"",
        IF(ISERROR(VLOOKUP($G22,SantoYusuf!$L$13:$AK$14,Y$4,FALSE))=TRUE,"",
              VLOOKUP($G22,SantoYusuf!$L$13:$AK$14,Y$4,FALSE)))</t>
  </si>
  <si>
    <t>=IF(ISNUMBER($L$6)=FALSE,"",
        IF(ISERROR(VLOOKUP($G22,SantoYusuf!$L$13:$AK$14,Z$4,FALSE))=TRUE,"",
              VLOOKUP($G22,SantoYusuf!$L$13:$AK$14,Z$4,FALSE)))</t>
  </si>
  <si>
    <t>=IF(ISNUMBER($L$6)=FALSE,"",
        IF(ISERROR(VLOOKUP($G22,SantoYusuf!$L$13:$AK$14,AA$4,FALSE))=TRUE,"",
              VLOOKUP($G22,SantoYusuf!$L$13:$AK$14,AA$4,FALSE)))</t>
  </si>
  <si>
    <t>=IF(ISNUMBER($L$6)=FALSE,"",
        IF(ISERROR(VLOOKUP($G22,SantoYusuf!$L$13:$AK$14,AB$4,FALSE))=TRUE,"",
              VLOOKUP($G22,SantoYusuf!$L$13:$AK$14,AB$4,FALSE)))</t>
  </si>
  <si>
    <t>=IF(ISNUMBER($L$6)=FALSE,"",
        IF(ISERROR(VLOOKUP($G22,SantoYusuf!$L$13:$AK$14,AC$4,FALSE))=TRUE,"",
              VLOOKUP($G22,SantoYusuf!$L$13:$AK$14,AC$4,FALSE)))</t>
  </si>
  <si>
    <t>=IF(ISNUMBER($L$6)=FALSE,"",
        IF(ISERROR(VLOOKUP($G22,SantoYusuf!$L$13:$AK$14,AD$4,FALSE))=TRUE,"",
              VLOOKUP($G22,SantoYusuf!$L$13:$AK$14,AD$4,FALSE)))</t>
  </si>
  <si>
    <t>=IF(ISNUMBER($L$6)=FALSE,"",
        IF(ISERROR(VLOOKUP($G22,SantoYusuf!$L$13:$AK$14,AE$4,FALSE))=TRUE,"",
              VLOOKUP($G22,SantoYusuf!$L$13:$AK$14,AE$4,FALSE)))</t>
  </si>
  <si>
    <t>=IF(ISNUMBER($L$6)=FALSE,"",
        IF(ISERROR(VLOOKUP($G22,SantoYusuf!$L$13:$AK$14,AF$4,FALSE))=TRUE,"",
              VLOOKUP($G22,SantoYusuf!$L$13:$AK$14,AF$4,FALSE)))</t>
  </si>
  <si>
    <t>=IF(ISNUMBER($L$6)=FALSE,"",
IF($C23=0,"",VLOOKUP($E23,SantoYusuf!$H$13:$L$14,4,FALSE)))</t>
  </si>
  <si>
    <t>=IF(ISNUMBER($L$6)=FALSE,"",
IF($C23=0,"",VLOOKUP($E23,SantoYusuf!$H$13:$L$14,5,FALSE)))</t>
  </si>
  <si>
    <t>=IF(ISNUMBER($L$6)=FALSE,"",
        IF(ISERROR(VLOOKUP($G23,SantoYusuf!$L$13:$AK$14,I$4,FALSE))=TRUE,"",
              VLOOKUP($G23,SantoYusuf!$L$13:$AK$14,I$4,FALSE)))</t>
  </si>
  <si>
    <t>=IF(ISNUMBER($L$6)=FALSE,"",
        IF(ISERROR(VLOOKUP($G23,SantoYusuf!$L$13:$AK$14,J$4,FALSE))=TRUE,"",
              VLOOKUP($G23,SantoYusuf!$L$13:$AK$14,J$4,FALSE)))</t>
  </si>
  <si>
    <t>=IF(ISNUMBER($L$6)=FALSE,"",
        IF(ISERROR(VLOOKUP($G23,SantoYusuf!$L$13:$AK$14,K$4,FALSE))=TRUE,"",
              VLOOKUP($G23,SantoYusuf!$L$13:$AK$14,K$4,FALSE)))</t>
  </si>
  <si>
    <t>=IF(ISNUMBER($L$6)=FALSE,"",
        IF(ISERROR(VLOOKUP($G23,SantoYusuf!$L$13:$AK$14,L$4,FALSE))=TRUE,"",
              VLOOKUP($G23,SantoYusuf!$L$13:$AK$14,L$4,FALSE)))</t>
  </si>
  <si>
    <t>=IF(ISNUMBER($L$6)=FALSE,"",
        IF(ISERROR(VLOOKUP($G23,SantoYusuf!$L$13:$AK$14,M$4,FALSE))=TRUE,"",
              VLOOKUP($G23,SantoYusuf!$L$13:$AK$14,M$4,FALSE)))</t>
  </si>
  <si>
    <t>=IF(ISNUMBER($L$6)=FALSE,"",
        IF(ISERROR(VLOOKUP($G23,SantoYusuf!$L$13:$AK$14,N$4,FALSE))=TRUE,"",
              VLOOKUP($G23,SantoYusuf!$L$13:$AK$14,N$4,FALSE)))</t>
  </si>
  <si>
    <t>=IF(ISNUMBER($L$6)=FALSE,"",
        IF(ISERROR(VLOOKUP($G23,SantoYusuf!$L$13:$AK$14,O$4,FALSE))=TRUE,"",
              VLOOKUP($G23,SantoYusuf!$L$13:$AK$14,O$4,FALSE)))</t>
  </si>
  <si>
    <t>=IF(ISNUMBER($L$6)=FALSE,"",
        IF(ISERROR(VLOOKUP($G23,SantoYusuf!$L$13:$AK$14,P$4,FALSE))=TRUE,"",
              VLOOKUP($G23,SantoYusuf!$L$13:$AK$14,P$4,FALSE)))</t>
  </si>
  <si>
    <t>=IF(ISNUMBER($L$6)=FALSE,"",
        IF(ISERROR(VLOOKUP($G23,SantoYusuf!$L$13:$AK$14,Q$4,FALSE))=TRUE,"",
              VLOOKUP($G23,SantoYusuf!$L$13:$AK$14,Q$4,FALSE)))</t>
  </si>
  <si>
    <t>=IF(ISNUMBER($L$6)=FALSE,"",
        IF(ISERROR(VLOOKUP($G23,SantoYusuf!$L$13:$AK$14,R$4,FALSE))=TRUE,"",
              VLOOKUP($G23,SantoYusuf!$L$13:$AK$14,R$4,FALSE)))</t>
  </si>
  <si>
    <t>=IF(ISNUMBER($L$6)=FALSE,"",
        IF(ISERROR(VLOOKUP($G23,SantoYusuf!$L$13:$AK$14,S$4,FALSE))=TRUE,"",
              VLOOKUP($G23,SantoYusuf!$L$13:$AK$14,S$4,FALSE)))</t>
  </si>
  <si>
    <t>=IF(ISNUMBER($L$6)=FALSE,"",
        IF(ISERROR(VLOOKUP($G23,SantoYusuf!$L$13:$AK$14,T$4,FALSE))=TRUE,"",
              VLOOKUP($G23,SantoYusuf!$L$13:$AK$14,T$4,FALSE)))</t>
  </si>
  <si>
    <t>=IF(ISNUMBER($L$6)=FALSE,"",
        IF(ISERROR(VLOOKUP($G23,SantoYusuf!$L$13:$AK$14,U$4,FALSE))=TRUE,"",
              VLOOKUP($G23,SantoYusuf!$L$13:$AK$14,U$4,FALSE)))</t>
  </si>
  <si>
    <t>=IF(ISNUMBER($L$6)=FALSE,"",
        IF(ISERROR(VLOOKUP($G23,SantoYusuf!$L$13:$AK$14,V$4,FALSE))=TRUE,"",
              VLOOKUP($G23,SantoYusuf!$L$13:$AK$14,V$4,FALSE)))</t>
  </si>
  <si>
    <t>=IF(ISNUMBER($L$6)=FALSE,"",
        IF(ISERROR(VLOOKUP($G23,SantoYusuf!$L$13:$AK$14,W$4,FALSE))=TRUE,"",
              VLOOKUP($G23,SantoYusuf!$L$13:$AK$14,W$4,FALSE)))</t>
  </si>
  <si>
    <t>=IF(ISNUMBER($L$6)=FALSE,"",
        IF(ISERROR(VLOOKUP($G23,SantoYusuf!$L$13:$AK$14,X$4,FALSE))=TRUE,"",
              VLOOKUP($G23,SantoYusuf!$L$13:$AK$14,X$4,FALSE)))</t>
  </si>
  <si>
    <t>=IF(ISNUMBER($L$6)=FALSE,"",
        IF(ISERROR(VLOOKUP($G23,SantoYusuf!$L$13:$AK$14,Y$4,FALSE))=TRUE,"",
              VLOOKUP($G23,SantoYusuf!$L$13:$AK$14,Y$4,FALSE)))</t>
  </si>
  <si>
    <t>=IF(ISNUMBER($L$6)=FALSE,"",
        IF(ISERROR(VLOOKUP($G23,SantoYusuf!$L$13:$AK$14,Z$4,FALSE))=TRUE,"",
              VLOOKUP($G23,SantoYusuf!$L$13:$AK$14,Z$4,FALSE)))</t>
  </si>
  <si>
    <t>=IF(ISNUMBER($L$6)=FALSE,"",
        IF(ISERROR(VLOOKUP($G23,SantoYusuf!$L$13:$AK$14,AA$4,FALSE))=TRUE,"",
              VLOOKUP($G23,SantoYusuf!$L$13:$AK$14,AA$4,FALSE)))</t>
  </si>
  <si>
    <t>=IF(ISNUMBER($L$6)=FALSE,"",
        IF(ISERROR(VLOOKUP($G23,SantoYusuf!$L$13:$AK$14,AB$4,FALSE))=TRUE,"",
              VLOOKUP($G23,SantoYusuf!$L$13:$AK$14,AB$4,FALSE)))</t>
  </si>
  <si>
    <t>=IF(ISNUMBER($L$6)=FALSE,"",
        IF(ISERROR(VLOOKUP($G23,SantoYusuf!$L$13:$AK$14,AC$4,FALSE))=TRUE,"",
              VLOOKUP($G23,SantoYusuf!$L$13:$AK$14,AC$4,FALSE)))</t>
  </si>
  <si>
    <t>=IF(ISNUMBER($L$6)=FALSE,"",
        IF(ISERROR(VLOOKUP($G23,SantoYusuf!$L$13:$AK$14,AD$4,FALSE))=TRUE,"",
              VLOOKUP($G23,SantoYusuf!$L$13:$AK$14,AD$4,FALSE)))</t>
  </si>
  <si>
    <t>=IF(ISNUMBER($L$6)=FALSE,"",
        IF(ISERROR(VLOOKUP($G23,SantoYusuf!$L$13:$AK$14,AE$4,FALSE))=TRUE,"",
              VLOOKUP($G23,SantoYusuf!$L$13:$AK$14,AE$4,FALSE)))</t>
  </si>
  <si>
    <t>=IF(ISNUMBER($L$6)=FALSE,"",
        IF(ISERROR(VLOOKUP($G23,SantoYusuf!$L$13:$AK$14,AF$4,FALSE))=TRUE,"",
              VLOOKUP($G23,SantoYusuf!$L$13:$AK$14,AF$4,FALSE)))</t>
  </si>
  <si>
    <t>=IF(ISNUMBER($L$6)=FALSE,"",
IF($C24=0,"",VLOOKUP($E24,SantoYusuf!$H$13:$L$14,4,FALSE)))</t>
  </si>
  <si>
    <t>=IF(ISNUMBER($L$6)=FALSE,"",
IF($C24=0,"",VLOOKUP($E24,SantoYusuf!$H$13:$L$14,5,FALSE)))</t>
  </si>
  <si>
    <t>=IF(ISNUMBER($L$6)=FALSE,"",
        IF(ISERROR(VLOOKUP($G24,SantoYusuf!$L$13:$AK$14,I$4,FALSE))=TRUE,"",
              VLOOKUP($G24,SantoYusuf!$L$13:$AK$14,I$4,FALSE)))</t>
  </si>
  <si>
    <t>=IF(ISNUMBER($L$6)=FALSE,"",
        IF(ISERROR(VLOOKUP($G24,SantoYusuf!$L$13:$AK$14,J$4,FALSE))=TRUE,"",
              VLOOKUP($G24,SantoYusuf!$L$13:$AK$14,J$4,FALSE)))</t>
  </si>
  <si>
    <t>=IF(ISNUMBER($L$6)=FALSE,"",
        IF(ISERROR(VLOOKUP($G24,SantoYusuf!$L$13:$AK$14,K$4,FALSE))=TRUE,"",
              VLOOKUP($G24,SantoYusuf!$L$13:$AK$14,K$4,FALSE)))</t>
  </si>
  <si>
    <t>=IF(ISNUMBER($L$6)=FALSE,"",
        IF(ISERROR(VLOOKUP($G24,SantoYusuf!$L$13:$AK$14,L$4,FALSE))=TRUE,"",
              VLOOKUP($G24,SantoYusuf!$L$13:$AK$14,L$4,FALSE)))</t>
  </si>
  <si>
    <t>=IF(ISNUMBER($L$6)=FALSE,"",
        IF(ISERROR(VLOOKUP($G24,SantoYusuf!$L$13:$AK$14,M$4,FALSE))=TRUE,"",
              VLOOKUP($G24,SantoYusuf!$L$13:$AK$14,M$4,FALSE)))</t>
  </si>
  <si>
    <t>=IF(ISNUMBER($L$6)=FALSE,"",
        IF(ISERROR(VLOOKUP($G24,SantoYusuf!$L$13:$AK$14,N$4,FALSE))=TRUE,"",
              VLOOKUP($G24,SantoYusuf!$L$13:$AK$14,N$4,FALSE)))</t>
  </si>
  <si>
    <t>=IF(ISNUMBER($L$6)=FALSE,"",
        IF(ISERROR(VLOOKUP($G24,SantoYusuf!$L$13:$AK$14,O$4,FALSE))=TRUE,"",
              VLOOKUP($G24,SantoYusuf!$L$13:$AK$14,O$4,FALSE)))</t>
  </si>
  <si>
    <t>=IF(ISNUMBER($L$6)=FALSE,"",
        IF(ISERROR(VLOOKUP($G24,SantoYusuf!$L$13:$AK$14,P$4,FALSE))=TRUE,"",
              VLOOKUP($G24,SantoYusuf!$L$13:$AK$14,P$4,FALSE)))</t>
  </si>
  <si>
    <t>=IF(ISNUMBER($L$6)=FALSE,"",
        IF(ISERROR(VLOOKUP($G24,SantoYusuf!$L$13:$AK$14,Q$4,FALSE))=TRUE,"",
              VLOOKUP($G24,SantoYusuf!$L$13:$AK$14,Q$4,FALSE)))</t>
  </si>
  <si>
    <t>=IF(ISNUMBER($L$6)=FALSE,"",
        IF(ISERROR(VLOOKUP($G24,SantoYusuf!$L$13:$AK$14,R$4,FALSE))=TRUE,"",
              VLOOKUP($G24,SantoYusuf!$L$13:$AK$14,R$4,FALSE)))</t>
  </si>
  <si>
    <t>=IF(ISNUMBER($L$6)=FALSE,"",
        IF(ISERROR(VLOOKUP($G24,SantoYusuf!$L$13:$AK$14,S$4,FALSE))=TRUE,"",
              VLOOKUP($G24,SantoYusuf!$L$13:$AK$14,S$4,FALSE)))</t>
  </si>
  <si>
    <t>=IF(ISNUMBER($L$6)=FALSE,"",
        IF(ISERROR(VLOOKUP($G24,SantoYusuf!$L$13:$AK$14,T$4,FALSE))=TRUE,"",
              VLOOKUP($G24,SantoYusuf!$L$13:$AK$14,T$4,FALSE)))</t>
  </si>
  <si>
    <t>=IF(ISNUMBER($L$6)=FALSE,"",
        IF(ISERROR(VLOOKUP($G24,SantoYusuf!$L$13:$AK$14,U$4,FALSE))=TRUE,"",
              VLOOKUP($G24,SantoYusuf!$L$13:$AK$14,U$4,FALSE)))</t>
  </si>
  <si>
    <t>=IF(ISNUMBER($L$6)=FALSE,"",
        IF(ISERROR(VLOOKUP($G24,SantoYusuf!$L$13:$AK$14,V$4,FALSE))=TRUE,"",
              VLOOKUP($G24,SantoYusuf!$L$13:$AK$14,V$4,FALSE)))</t>
  </si>
  <si>
    <t>=IF(ISNUMBER($L$6)=FALSE,"",
        IF(ISERROR(VLOOKUP($G24,SantoYusuf!$L$13:$AK$14,W$4,FALSE))=TRUE,"",
              VLOOKUP($G24,SantoYusuf!$L$13:$AK$14,W$4,FALSE)))</t>
  </si>
  <si>
    <t>=IF(ISNUMBER($L$6)=FALSE,"",
        IF(ISERROR(VLOOKUP($G24,SantoYusuf!$L$13:$AK$14,X$4,FALSE))=TRUE,"",
              VLOOKUP($G24,SantoYusuf!$L$13:$AK$14,X$4,FALSE)))</t>
  </si>
  <si>
    <t>=IF(ISNUMBER($L$6)=FALSE,"",
        IF(ISERROR(VLOOKUP($G24,SantoYusuf!$L$13:$AK$14,Y$4,FALSE))=TRUE,"",
              VLOOKUP($G24,SantoYusuf!$L$13:$AK$14,Y$4,FALSE)))</t>
  </si>
  <si>
    <t>=IF(ISNUMBER($L$6)=FALSE,"",
        IF(ISERROR(VLOOKUP($G24,SantoYusuf!$L$13:$AK$14,Z$4,FALSE))=TRUE,"",
              VLOOKUP($G24,SantoYusuf!$L$13:$AK$14,Z$4,FALSE)))</t>
  </si>
  <si>
    <t>=IF(ISNUMBER($L$6)=FALSE,"",
        IF(ISERROR(VLOOKUP($G24,SantoYusuf!$L$13:$AK$14,AA$4,FALSE))=TRUE,"",
              VLOOKUP($G24,SantoYusuf!$L$13:$AK$14,AA$4,FALSE)))</t>
  </si>
  <si>
    <t>=IF(ISNUMBER($L$6)=FALSE,"",
        IF(ISERROR(VLOOKUP($G24,SantoYusuf!$L$13:$AK$14,AB$4,FALSE))=TRUE,"",
              VLOOKUP($G24,SantoYusuf!$L$13:$AK$14,AB$4,FALSE)))</t>
  </si>
  <si>
    <t>=IF(ISNUMBER($L$6)=FALSE,"",
        IF(ISERROR(VLOOKUP($G24,SantoYusuf!$L$13:$AK$14,AC$4,FALSE))=TRUE,"",
              VLOOKUP($G24,SantoYusuf!$L$13:$AK$14,AC$4,FALSE)))</t>
  </si>
  <si>
    <t>=IF(ISNUMBER($L$6)=FALSE,"",
        IF(ISERROR(VLOOKUP($G24,SantoYusuf!$L$13:$AK$14,AD$4,FALSE))=TRUE,"",
              VLOOKUP($G24,SantoYusuf!$L$13:$AK$14,AD$4,FALSE)))</t>
  </si>
  <si>
    <t>=IF(ISNUMBER($L$6)=FALSE,"",
        IF(ISERROR(VLOOKUP($G24,SantoYusuf!$L$13:$AK$14,AE$4,FALSE))=TRUE,"",
              VLOOKUP($G24,SantoYusuf!$L$13:$AK$14,AE$4,FALSE)))</t>
  </si>
  <si>
    <t>=IF(ISNUMBER($L$6)=FALSE,"",
        IF(ISERROR(VLOOKUP($G24,SantoYusuf!$L$13:$AK$14,AF$4,FALSE))=TRUE,"",
              VLOOKUP($G24,SantoYusuf!$L$13:$AK$14,AF$4,FALSE)))</t>
  </si>
  <si>
    <t>=IF(ISNUMBER($L$6)=FALSE,"",
IF($C25=0,"",VLOOKUP($E25,SantoYusuf!$H$13:$L$14,4,FALSE)))</t>
  </si>
  <si>
    <t>=IF(ISNUMBER($L$6)=FALSE,"",
IF($C25=0,"",VLOOKUP($E25,SantoYusuf!$H$13:$L$14,5,FALSE)))</t>
  </si>
  <si>
    <t>=IF(ISNUMBER($L$6)=FALSE,"",
        IF(ISERROR(VLOOKUP($G25,SantoYusuf!$L$13:$AK$14,I$4,FALSE))=TRUE,"",
              VLOOKUP($G25,SantoYusuf!$L$13:$AK$14,I$4,FALSE)))</t>
  </si>
  <si>
    <t>=IF(ISNUMBER($L$6)=FALSE,"",
        IF(ISERROR(VLOOKUP($G25,SantoYusuf!$L$13:$AK$14,J$4,FALSE))=TRUE,"",
              VLOOKUP($G25,SantoYusuf!$L$13:$AK$14,J$4,FALSE)))</t>
  </si>
  <si>
    <t>=IF(ISNUMBER($L$6)=FALSE,"",
        IF(ISERROR(VLOOKUP($G25,SantoYusuf!$L$13:$AK$14,K$4,FALSE))=TRUE,"",
              VLOOKUP($G25,SantoYusuf!$L$13:$AK$14,K$4,FALSE)))</t>
  </si>
  <si>
    <t>=IF(ISNUMBER($L$6)=FALSE,"",
        IF(ISERROR(VLOOKUP($G25,SantoYusuf!$L$13:$AK$14,L$4,FALSE))=TRUE,"",
              VLOOKUP($G25,SantoYusuf!$L$13:$AK$14,L$4,FALSE)))</t>
  </si>
  <si>
    <t>=IF(ISNUMBER($L$6)=FALSE,"",
        IF(ISERROR(VLOOKUP($G25,SantoYusuf!$L$13:$AK$14,M$4,FALSE))=TRUE,"",
              VLOOKUP($G25,SantoYusuf!$L$13:$AK$14,M$4,FALSE)))</t>
  </si>
  <si>
    <t>=IF(ISNUMBER($L$6)=FALSE,"",
        IF(ISERROR(VLOOKUP($G25,SantoYusuf!$L$13:$AK$14,N$4,FALSE))=TRUE,"",
              VLOOKUP($G25,SantoYusuf!$L$13:$AK$14,N$4,FALSE)))</t>
  </si>
  <si>
    <t>=IF(ISNUMBER($L$6)=FALSE,"",
        IF(ISERROR(VLOOKUP($G25,SantoYusuf!$L$13:$AK$14,O$4,FALSE))=TRUE,"",
              VLOOKUP($G25,SantoYusuf!$L$13:$AK$14,O$4,FALSE)))</t>
  </si>
  <si>
    <t>=IF(ISNUMBER($L$6)=FALSE,"",
        IF(ISERROR(VLOOKUP($G25,SantoYusuf!$L$13:$AK$14,P$4,FALSE))=TRUE,"",
              VLOOKUP($G25,SantoYusuf!$L$13:$AK$14,P$4,FALSE)))</t>
  </si>
  <si>
    <t>=IF(ISNUMBER($L$6)=FALSE,"",
        IF(ISERROR(VLOOKUP($G25,SantoYusuf!$L$13:$AK$14,Q$4,FALSE))=TRUE,"",
              VLOOKUP($G25,SantoYusuf!$L$13:$AK$14,Q$4,FALSE)))</t>
  </si>
  <si>
    <t>=IF(ISNUMBER($L$6)=FALSE,"",
        IF(ISERROR(VLOOKUP($G25,SantoYusuf!$L$13:$AK$14,R$4,FALSE))=TRUE,"",
              VLOOKUP($G25,SantoYusuf!$L$13:$AK$14,R$4,FALSE)))</t>
  </si>
  <si>
    <t>=IF(ISNUMBER($L$6)=FALSE,"",
        IF(ISERROR(VLOOKUP($G25,SantoYusuf!$L$13:$AK$14,S$4,FALSE))=TRUE,"",
              VLOOKUP($G25,SantoYusuf!$L$13:$AK$14,S$4,FALSE)))</t>
  </si>
  <si>
    <t>=IF(ISNUMBER($L$6)=FALSE,"",
        IF(ISERROR(VLOOKUP($G25,SantoYusuf!$L$13:$AK$14,T$4,FALSE))=TRUE,"",
              VLOOKUP($G25,SantoYusuf!$L$13:$AK$14,T$4,FALSE)))</t>
  </si>
  <si>
    <t>=IF(ISNUMBER($L$6)=FALSE,"",
        IF(ISERROR(VLOOKUP($G25,SantoYusuf!$L$13:$AK$14,U$4,FALSE))=TRUE,"",
              VLOOKUP($G25,SantoYusuf!$L$13:$AK$14,U$4,FALSE)))</t>
  </si>
  <si>
    <t>=IF(ISNUMBER($L$6)=FALSE,"",
        IF(ISERROR(VLOOKUP($G25,SantoYusuf!$L$13:$AK$14,V$4,FALSE))=TRUE,"",
              VLOOKUP($G25,SantoYusuf!$L$13:$AK$14,V$4,FALSE)))</t>
  </si>
  <si>
    <t>=IF(ISNUMBER($L$6)=FALSE,"",
        IF(ISERROR(VLOOKUP($G25,SantoYusuf!$L$13:$AK$14,W$4,FALSE))=TRUE,"",
              VLOOKUP($G25,SantoYusuf!$L$13:$AK$14,W$4,FALSE)))</t>
  </si>
  <si>
    <t>=IF(ISNUMBER($L$6)=FALSE,"",
        IF(ISERROR(VLOOKUP($G25,SantoYusuf!$L$13:$AK$14,X$4,FALSE))=TRUE,"",
              VLOOKUP($G25,SantoYusuf!$L$13:$AK$14,X$4,FALSE)))</t>
  </si>
  <si>
    <t>=IF(ISNUMBER($L$6)=FALSE,"",
        IF(ISERROR(VLOOKUP($G25,SantoYusuf!$L$13:$AK$14,Y$4,FALSE))=TRUE,"",
              VLOOKUP($G25,SantoYusuf!$L$13:$AK$14,Y$4,FALSE)))</t>
  </si>
  <si>
    <t>=IF(ISNUMBER($L$6)=FALSE,"",
        IF(ISERROR(VLOOKUP($G25,SantoYusuf!$L$13:$AK$14,Z$4,FALSE))=TRUE,"",
              VLOOKUP($G25,SantoYusuf!$L$13:$AK$14,Z$4,FALSE)))</t>
  </si>
  <si>
    <t>=IF(ISNUMBER($L$6)=FALSE,"",
        IF(ISERROR(VLOOKUP($G25,SantoYusuf!$L$13:$AK$14,AA$4,FALSE))=TRUE,"",
              VLOOKUP($G25,SantoYusuf!$L$13:$AK$14,AA$4,FALSE)))</t>
  </si>
  <si>
    <t>=IF(ISNUMBER($L$6)=FALSE,"",
        IF(ISERROR(VLOOKUP($G25,SantoYusuf!$L$13:$AK$14,AB$4,FALSE))=TRUE,"",
              VLOOKUP($G25,SantoYusuf!$L$13:$AK$14,AB$4,FALSE)))</t>
  </si>
  <si>
    <t>=IF(ISNUMBER($L$6)=FALSE,"",
        IF(ISERROR(VLOOKUP($G25,SantoYusuf!$L$13:$AK$14,AC$4,FALSE))=TRUE,"",
              VLOOKUP($G25,SantoYusuf!$L$13:$AK$14,AC$4,FALSE)))</t>
  </si>
  <si>
    <t>=IF(ISNUMBER($L$6)=FALSE,"",
        IF(ISERROR(VLOOKUP($G25,SantoYusuf!$L$13:$AK$14,AD$4,FALSE))=TRUE,"",
              VLOOKUP($G25,SantoYusuf!$L$13:$AK$14,AD$4,FALSE)))</t>
  </si>
  <si>
    <t>=IF(ISNUMBER($L$6)=FALSE,"",
        IF(ISERROR(VLOOKUP($G25,SantoYusuf!$L$13:$AK$14,AE$4,FALSE))=TRUE,"",
              VLOOKUP($G25,SantoYusuf!$L$13:$AK$14,AE$4,FALSE)))</t>
  </si>
  <si>
    <t>=IF(ISNUMBER($L$6)=FALSE,"",
        IF(ISERROR(VLOOKUP($G25,SantoYusuf!$L$13:$AK$14,AF$4,FALSE))=TRUE,"",
              VLOOKUP($G25,SantoYusuf!$L$13:$AK$14,AF$4,FALSE)))</t>
  </si>
  <si>
    <t>=IF(ISNUMBER($L$6)=FALSE,"",
IF($C26=0,"",VLOOKUP($E26,SantoYusuf!$H$13:$L$14,4,FALSE)))</t>
  </si>
  <si>
    <t>=IF(ISNUMBER($L$6)=FALSE,"",
IF($C26=0,"",VLOOKUP($E26,SantoYusuf!$H$13:$L$14,5,FALSE)))</t>
  </si>
  <si>
    <t>=IF(ISNUMBER($L$6)=FALSE,"",
        IF(ISERROR(VLOOKUP($G26,SantoYusuf!$L$13:$AK$14,I$4,FALSE))=TRUE,"",
              VLOOKUP($G26,SantoYusuf!$L$13:$AK$14,I$4,FALSE)))</t>
  </si>
  <si>
    <t>=IF(ISNUMBER($L$6)=FALSE,"",
        IF(ISERROR(VLOOKUP($G26,SantoYusuf!$L$13:$AK$14,J$4,FALSE))=TRUE,"",
              VLOOKUP($G26,SantoYusuf!$L$13:$AK$14,J$4,FALSE)))</t>
  </si>
  <si>
    <t>=IF(ISNUMBER($L$6)=FALSE,"",
        IF(ISERROR(VLOOKUP($G26,SantoYusuf!$L$13:$AK$14,K$4,FALSE))=TRUE,"",
              VLOOKUP($G26,SantoYusuf!$L$13:$AK$14,K$4,FALSE)))</t>
  </si>
  <si>
    <t>=IF(ISNUMBER($L$6)=FALSE,"",
        IF(ISERROR(VLOOKUP($G26,SantoYusuf!$L$13:$AK$14,L$4,FALSE))=TRUE,"",
              VLOOKUP($G26,SantoYusuf!$L$13:$AK$14,L$4,FALSE)))</t>
  </si>
  <si>
    <t>=IF(ISNUMBER($L$6)=FALSE,"",
        IF(ISERROR(VLOOKUP($G26,SantoYusuf!$L$13:$AK$14,M$4,FALSE))=TRUE,"",
              VLOOKUP($G26,SantoYusuf!$L$13:$AK$14,M$4,FALSE)))</t>
  </si>
  <si>
    <t>=IF(ISNUMBER($L$6)=FALSE,"",
        IF(ISERROR(VLOOKUP($G26,SantoYusuf!$L$13:$AK$14,N$4,FALSE))=TRUE,"",
              VLOOKUP($G26,SantoYusuf!$L$13:$AK$14,N$4,FALSE)))</t>
  </si>
  <si>
    <t>=IF(ISNUMBER($L$6)=FALSE,"",
        IF(ISERROR(VLOOKUP($G26,SantoYusuf!$L$13:$AK$14,O$4,FALSE))=TRUE,"",
              VLOOKUP($G26,SantoYusuf!$L$13:$AK$14,O$4,FALSE)))</t>
  </si>
  <si>
    <t>=IF(ISNUMBER($L$6)=FALSE,"",
        IF(ISERROR(VLOOKUP($G26,SantoYusuf!$L$13:$AK$14,P$4,FALSE))=TRUE,"",
              VLOOKUP($G26,SantoYusuf!$L$13:$AK$14,P$4,FALSE)))</t>
  </si>
  <si>
    <t>=IF(ISNUMBER($L$6)=FALSE,"",
        IF(ISERROR(VLOOKUP($G26,SantoYusuf!$L$13:$AK$14,Q$4,FALSE))=TRUE,"",
              VLOOKUP($G26,SantoYusuf!$L$13:$AK$14,Q$4,FALSE)))</t>
  </si>
  <si>
    <t>=IF(ISNUMBER($L$6)=FALSE,"",
        IF(ISERROR(VLOOKUP($G26,SantoYusuf!$L$13:$AK$14,R$4,FALSE))=TRUE,"",
              VLOOKUP($G26,SantoYusuf!$L$13:$AK$14,R$4,FALSE)))</t>
  </si>
  <si>
    <t>=IF(ISNUMBER($L$6)=FALSE,"",
        IF(ISERROR(VLOOKUP($G26,SantoYusuf!$L$13:$AK$14,S$4,FALSE))=TRUE,"",
              VLOOKUP($G26,SantoYusuf!$L$13:$AK$14,S$4,FALSE)))</t>
  </si>
  <si>
    <t>=IF(ISNUMBER($L$6)=FALSE,"",
        IF(ISERROR(VLOOKUP($G26,SantoYusuf!$L$13:$AK$14,T$4,FALSE))=TRUE,"",
              VLOOKUP($G26,SantoYusuf!$L$13:$AK$14,T$4,FALSE)))</t>
  </si>
  <si>
    <t>=IF(ISNUMBER($L$6)=FALSE,"",
        IF(ISERROR(VLOOKUP($G26,SantoYusuf!$L$13:$AK$14,U$4,FALSE))=TRUE,"",
              VLOOKUP($G26,SantoYusuf!$L$13:$AK$14,U$4,FALSE)))</t>
  </si>
  <si>
    <t>=IF(ISNUMBER($L$6)=FALSE,"",
        IF(ISERROR(VLOOKUP($G26,SantoYusuf!$L$13:$AK$14,V$4,FALSE))=TRUE,"",
              VLOOKUP($G26,SantoYusuf!$L$13:$AK$14,V$4,FALSE)))</t>
  </si>
  <si>
    <t>=IF(ISNUMBER($L$6)=FALSE,"",
        IF(ISERROR(VLOOKUP($G26,SantoYusuf!$L$13:$AK$14,W$4,FALSE))=TRUE,"",
              VLOOKUP($G26,SantoYusuf!$L$13:$AK$14,W$4,FALSE)))</t>
  </si>
  <si>
    <t>=IF(ISNUMBER($L$6)=FALSE,"",
        IF(ISERROR(VLOOKUP($G26,SantoYusuf!$L$13:$AK$14,X$4,FALSE))=TRUE,"",
              VLOOKUP($G26,SantoYusuf!$L$13:$AK$14,X$4,FALSE)))</t>
  </si>
  <si>
    <t>=IF(ISNUMBER($L$6)=FALSE,"",
        IF(ISERROR(VLOOKUP($G26,SantoYusuf!$L$13:$AK$14,Y$4,FALSE))=TRUE,"",
              VLOOKUP($G26,SantoYusuf!$L$13:$AK$14,Y$4,FALSE)))</t>
  </si>
  <si>
    <t>=IF(ISNUMBER($L$6)=FALSE,"",
        IF(ISERROR(VLOOKUP($G26,SantoYusuf!$L$13:$AK$14,Z$4,FALSE))=TRUE,"",
              VLOOKUP($G26,SantoYusuf!$L$13:$AK$14,Z$4,FALSE)))</t>
  </si>
  <si>
    <t>=IF(ISNUMBER($L$6)=FALSE,"",
        IF(ISERROR(VLOOKUP($G26,SantoYusuf!$L$13:$AK$14,AA$4,FALSE))=TRUE,"",
              VLOOKUP($G26,SantoYusuf!$L$13:$AK$14,AA$4,FALSE)))</t>
  </si>
  <si>
    <t>=IF(ISNUMBER($L$6)=FALSE,"",
        IF(ISERROR(VLOOKUP($G26,SantoYusuf!$L$13:$AK$14,AB$4,FALSE))=TRUE,"",
              VLOOKUP($G26,SantoYusuf!$L$13:$AK$14,AB$4,FALSE)))</t>
  </si>
  <si>
    <t>=IF(ISNUMBER($L$6)=FALSE,"",
        IF(ISERROR(VLOOKUP($G26,SantoYusuf!$L$13:$AK$14,AC$4,FALSE))=TRUE,"",
              VLOOKUP($G26,SantoYusuf!$L$13:$AK$14,AC$4,FALSE)))</t>
  </si>
  <si>
    <t>=IF(ISNUMBER($L$6)=FALSE,"",
        IF(ISERROR(VLOOKUP($G26,SantoYusuf!$L$13:$AK$14,AD$4,FALSE))=TRUE,"",
              VLOOKUP($G26,SantoYusuf!$L$13:$AK$14,AD$4,FALSE)))</t>
  </si>
  <si>
    <t>=IF(ISNUMBER($L$6)=FALSE,"",
        IF(ISERROR(VLOOKUP($G26,SantoYusuf!$L$13:$AK$14,AE$4,FALSE))=TRUE,"",
              VLOOKUP($G26,SantoYusuf!$L$13:$AK$14,AE$4,FALSE)))</t>
  </si>
  <si>
    <t>=IF(ISNUMBER($L$6)=FALSE,"",
        IF(ISERROR(VLOOKUP($G26,SantoYusuf!$L$13:$AK$14,AF$4,FALSE))=TRUE,"",
              VLOOKUP($G26,SantoYusuf!$L$13:$AK$14,AF$4,FALSE)))</t>
  </si>
  <si>
    <t>=IF(ISNUMBER($L$6)=FALSE,"",
IF($C27=0,"",VLOOKUP($E27,SantoYusuf!$H$13:$L$14,4,FALSE)))</t>
  </si>
  <si>
    <t>=IF(ISNUMBER($L$6)=FALSE,"",
IF($C27=0,"",VLOOKUP($E27,SantoYusuf!$H$13:$L$14,5,FALSE)))</t>
  </si>
  <si>
    <t>=IF(ISNUMBER($L$6)=FALSE,"",
        IF(ISERROR(VLOOKUP($G27,SantoYusuf!$L$13:$AK$14,I$4,FALSE))=TRUE,"",
              VLOOKUP($G27,SantoYusuf!$L$13:$AK$14,I$4,FALSE)))</t>
  </si>
  <si>
    <t>=IF(ISNUMBER($L$6)=FALSE,"",
        IF(ISERROR(VLOOKUP($G27,SantoYusuf!$L$13:$AK$14,J$4,FALSE))=TRUE,"",
              VLOOKUP($G27,SantoYusuf!$L$13:$AK$14,J$4,FALSE)))</t>
  </si>
  <si>
    <t>=IF(ISNUMBER($L$6)=FALSE,"",
        IF(ISERROR(VLOOKUP($G27,SantoYusuf!$L$13:$AK$14,K$4,FALSE))=TRUE,"",
              VLOOKUP($G27,SantoYusuf!$L$13:$AK$14,K$4,FALSE)))</t>
  </si>
  <si>
    <t>=IF(ISNUMBER($L$6)=FALSE,"",
        IF(ISERROR(VLOOKUP($G27,SantoYusuf!$L$13:$AK$14,L$4,FALSE))=TRUE,"",
              VLOOKUP($G27,SantoYusuf!$L$13:$AK$14,L$4,FALSE)))</t>
  </si>
  <si>
    <t>=IF(ISNUMBER($L$6)=FALSE,"",
        IF(ISERROR(VLOOKUP($G27,SantoYusuf!$L$13:$AK$14,M$4,FALSE))=TRUE,"",
              VLOOKUP($G27,SantoYusuf!$L$13:$AK$14,M$4,FALSE)))</t>
  </si>
  <si>
    <t>=IF(ISNUMBER($L$6)=FALSE,"",
        IF(ISERROR(VLOOKUP($G27,SantoYusuf!$L$13:$AK$14,N$4,FALSE))=TRUE,"",
              VLOOKUP($G27,SantoYusuf!$L$13:$AK$14,N$4,FALSE)))</t>
  </si>
  <si>
    <t>=IF(ISNUMBER($L$6)=FALSE,"",
        IF(ISERROR(VLOOKUP($G27,SantoYusuf!$L$13:$AK$14,O$4,FALSE))=TRUE,"",
              VLOOKUP($G27,SantoYusuf!$L$13:$AK$14,O$4,FALSE)))</t>
  </si>
  <si>
    <t>=IF(ISNUMBER($L$6)=FALSE,"",
        IF(ISERROR(VLOOKUP($G27,SantoYusuf!$L$13:$AK$14,P$4,FALSE))=TRUE,"",
              VLOOKUP($G27,SantoYusuf!$L$13:$AK$14,P$4,FALSE)))</t>
  </si>
  <si>
    <t>=IF(ISNUMBER($L$6)=FALSE,"",
        IF(ISERROR(VLOOKUP($G27,SantoYusuf!$L$13:$AK$14,Q$4,FALSE))=TRUE,"",
              VLOOKUP($G27,SantoYusuf!$L$13:$AK$14,Q$4,FALSE)))</t>
  </si>
  <si>
    <t>=IF(ISNUMBER($L$6)=FALSE,"",
        IF(ISERROR(VLOOKUP($G27,SantoYusuf!$L$13:$AK$14,R$4,FALSE))=TRUE,"",
              VLOOKUP($G27,SantoYusuf!$L$13:$AK$14,R$4,FALSE)))</t>
  </si>
  <si>
    <t>=IF(ISNUMBER($L$6)=FALSE,"",
        IF(ISERROR(VLOOKUP($G27,SantoYusuf!$L$13:$AK$14,S$4,FALSE))=TRUE,"",
              VLOOKUP($G27,SantoYusuf!$L$13:$AK$14,S$4,FALSE)))</t>
  </si>
  <si>
    <t>=IF(ISNUMBER($L$6)=FALSE,"",
        IF(ISERROR(VLOOKUP($G27,SantoYusuf!$L$13:$AK$14,T$4,FALSE))=TRUE,"",
              VLOOKUP($G27,SantoYusuf!$L$13:$AK$14,T$4,FALSE)))</t>
  </si>
  <si>
    <t>=IF(ISNUMBER($L$6)=FALSE,"",
        IF(ISERROR(VLOOKUP($G27,SantoYusuf!$L$13:$AK$14,U$4,FALSE))=TRUE,"",
              VLOOKUP($G27,SantoYusuf!$L$13:$AK$14,U$4,FALSE)))</t>
  </si>
  <si>
    <t>=IF(ISNUMBER($L$6)=FALSE,"",
        IF(ISERROR(VLOOKUP($G27,SantoYusuf!$L$13:$AK$14,V$4,FALSE))=TRUE,"",
              VLOOKUP($G27,SantoYusuf!$L$13:$AK$14,V$4,FALSE)))</t>
  </si>
  <si>
    <t>=IF(ISNUMBER($L$6)=FALSE,"",
        IF(ISERROR(VLOOKUP($G27,SantoYusuf!$L$13:$AK$14,W$4,FALSE))=TRUE,"",
              VLOOKUP($G27,SantoYusuf!$L$13:$AK$14,W$4,FALSE)))</t>
  </si>
  <si>
    <t>=IF(ISNUMBER($L$6)=FALSE,"",
        IF(ISERROR(VLOOKUP($G27,SantoYusuf!$L$13:$AK$14,X$4,FALSE))=TRUE,"",
              VLOOKUP($G27,SantoYusuf!$L$13:$AK$14,X$4,FALSE)))</t>
  </si>
  <si>
    <t>=IF(ISNUMBER($L$6)=FALSE,"",
        IF(ISERROR(VLOOKUP($G27,SantoYusuf!$L$13:$AK$14,Y$4,FALSE))=TRUE,"",
              VLOOKUP($G27,SantoYusuf!$L$13:$AK$14,Y$4,FALSE)))</t>
  </si>
  <si>
    <t>=IF(ISNUMBER($L$6)=FALSE,"",
        IF(ISERROR(VLOOKUP($G27,SantoYusuf!$L$13:$AK$14,Z$4,FALSE))=TRUE,"",
              VLOOKUP($G27,SantoYusuf!$L$13:$AK$14,Z$4,FALSE)))</t>
  </si>
  <si>
    <t>=IF(ISNUMBER($L$6)=FALSE,"",
        IF(ISERROR(VLOOKUP($G27,SantoYusuf!$L$13:$AK$14,AA$4,FALSE))=TRUE,"",
              VLOOKUP($G27,SantoYusuf!$L$13:$AK$14,AA$4,FALSE)))</t>
  </si>
  <si>
    <t>=IF(ISNUMBER($L$6)=FALSE,"",
        IF(ISERROR(VLOOKUP($G27,SantoYusuf!$L$13:$AK$14,AB$4,FALSE))=TRUE,"",
              VLOOKUP($G27,SantoYusuf!$L$13:$AK$14,AB$4,FALSE)))</t>
  </si>
  <si>
    <t>=IF(ISNUMBER($L$6)=FALSE,"",
        IF(ISERROR(VLOOKUP($G27,SantoYusuf!$L$13:$AK$14,AC$4,FALSE))=TRUE,"",
              VLOOKUP($G27,SantoYusuf!$L$13:$AK$14,AC$4,FALSE)))</t>
  </si>
  <si>
    <t>=IF(ISNUMBER($L$6)=FALSE,"",
        IF(ISERROR(VLOOKUP($G27,SantoYusuf!$L$13:$AK$14,AD$4,FALSE))=TRUE,"",
              VLOOKUP($G27,SantoYusuf!$L$13:$AK$14,AD$4,FALSE)))</t>
  </si>
  <si>
    <t>=IF(ISNUMBER($L$6)=FALSE,"",
        IF(ISERROR(VLOOKUP($G27,SantoYusuf!$L$13:$AK$14,AE$4,FALSE))=TRUE,"",
              VLOOKUP($G27,SantoYusuf!$L$13:$AK$14,AE$4,FALSE)))</t>
  </si>
  <si>
    <t>=IF(ISNUMBER($L$6)=FALSE,"",
        IF(ISERROR(VLOOKUP($G27,SantoYusuf!$L$13:$AK$14,AF$4,FALSE))=TRUE,"",
              VLOOKUP($G27,SantoYusuf!$L$13:$AK$14,AF$4,FALSE)))</t>
  </si>
  <si>
    <t>=IF(ISNUMBER($L$6)=FALSE,"",
IF($C28=0,"",VLOOKUP($E28,SantoYusuf!$H$13:$L$14,4,FALSE)))</t>
  </si>
  <si>
    <t>=IF(ISNUMBER($L$6)=FALSE,"",
IF($C28=0,"",VLOOKUP($E28,SantoYusuf!$H$13:$L$14,5,FALSE)))</t>
  </si>
  <si>
    <t>=IF(ISNUMBER($L$6)=FALSE,"",
        IF(ISERROR(VLOOKUP($G28,SantoYusuf!$L$13:$AK$14,I$4,FALSE))=TRUE,"",
              VLOOKUP($G28,SantoYusuf!$L$13:$AK$14,I$4,FALSE)))</t>
  </si>
  <si>
    <t>=IF(ISNUMBER($L$6)=FALSE,"",
        IF(ISERROR(VLOOKUP($G28,SantoYusuf!$L$13:$AK$14,J$4,FALSE))=TRUE,"",
              VLOOKUP($G28,SantoYusuf!$L$13:$AK$14,J$4,FALSE)))</t>
  </si>
  <si>
    <t>=IF(ISNUMBER($L$6)=FALSE,"",
        IF(ISERROR(VLOOKUP($G28,SantoYusuf!$L$13:$AK$14,K$4,FALSE))=TRUE,"",
              VLOOKUP($G28,SantoYusuf!$L$13:$AK$14,K$4,FALSE)))</t>
  </si>
  <si>
    <t>=IF(ISNUMBER($L$6)=FALSE,"",
        IF(ISERROR(VLOOKUP($G28,SantoYusuf!$L$13:$AK$14,L$4,FALSE))=TRUE,"",
              VLOOKUP($G28,SantoYusuf!$L$13:$AK$14,L$4,FALSE)))</t>
  </si>
  <si>
    <t>=IF(ISNUMBER($L$6)=FALSE,"",
        IF(ISERROR(VLOOKUP($G28,SantoYusuf!$L$13:$AK$14,M$4,FALSE))=TRUE,"",
              VLOOKUP($G28,SantoYusuf!$L$13:$AK$14,M$4,FALSE)))</t>
  </si>
  <si>
    <t>=IF(ISNUMBER($L$6)=FALSE,"",
        IF(ISERROR(VLOOKUP($G28,SantoYusuf!$L$13:$AK$14,N$4,FALSE))=TRUE,"",
              VLOOKUP($G28,SantoYusuf!$L$13:$AK$14,N$4,FALSE)))</t>
  </si>
  <si>
    <t>=IF(ISNUMBER($L$6)=FALSE,"",
        IF(ISERROR(VLOOKUP($G28,SantoYusuf!$L$13:$AK$14,O$4,FALSE))=TRUE,"",
              VLOOKUP($G28,SantoYusuf!$L$13:$AK$14,O$4,FALSE)))</t>
  </si>
  <si>
    <t>=IF(ISNUMBER($L$6)=FALSE,"",
        IF(ISERROR(VLOOKUP($G28,SantoYusuf!$L$13:$AK$14,P$4,FALSE))=TRUE,"",
              VLOOKUP($G28,SantoYusuf!$L$13:$AK$14,P$4,FALSE)))</t>
  </si>
  <si>
    <t>=IF(ISNUMBER($L$6)=FALSE,"",
        IF(ISERROR(VLOOKUP($G28,SantoYusuf!$L$13:$AK$14,Q$4,FALSE))=TRUE,"",
              VLOOKUP($G28,SantoYusuf!$L$13:$AK$14,Q$4,FALSE)))</t>
  </si>
  <si>
    <t>=IF(ISNUMBER($L$6)=FALSE,"",
        IF(ISERROR(VLOOKUP($G28,SantoYusuf!$L$13:$AK$14,R$4,FALSE))=TRUE,"",
              VLOOKUP($G28,SantoYusuf!$L$13:$AK$14,R$4,FALSE)))</t>
  </si>
  <si>
    <t>=IF(ISNUMBER($L$6)=FALSE,"",
        IF(ISERROR(VLOOKUP($G28,SantoYusuf!$L$13:$AK$14,S$4,FALSE))=TRUE,"",
              VLOOKUP($G28,SantoYusuf!$L$13:$AK$14,S$4,FALSE)))</t>
  </si>
  <si>
    <t>=IF(ISNUMBER($L$6)=FALSE,"",
        IF(ISERROR(VLOOKUP($G28,SantoYusuf!$L$13:$AK$14,T$4,FALSE))=TRUE,"",
              VLOOKUP($G28,SantoYusuf!$L$13:$AK$14,T$4,FALSE)))</t>
  </si>
  <si>
    <t>=IF(ISNUMBER($L$6)=FALSE,"",
        IF(ISERROR(VLOOKUP($G28,SantoYusuf!$L$13:$AK$14,U$4,FALSE))=TRUE,"",
              VLOOKUP($G28,SantoYusuf!$L$13:$AK$14,U$4,FALSE)))</t>
  </si>
  <si>
    <t>=IF(ISNUMBER($L$6)=FALSE,"",
        IF(ISERROR(VLOOKUP($G28,SantoYusuf!$L$13:$AK$14,V$4,FALSE))=TRUE,"",
              VLOOKUP($G28,SantoYusuf!$L$13:$AK$14,V$4,FALSE)))</t>
  </si>
  <si>
    <t>=IF(ISNUMBER($L$6)=FALSE,"",
        IF(ISERROR(VLOOKUP($G28,SantoYusuf!$L$13:$AK$14,W$4,FALSE))=TRUE,"",
              VLOOKUP($G28,SantoYusuf!$L$13:$AK$14,W$4,FALSE)))</t>
  </si>
  <si>
    <t>=IF(ISNUMBER($L$6)=FALSE,"",
        IF(ISERROR(VLOOKUP($G28,SantoYusuf!$L$13:$AK$14,X$4,FALSE))=TRUE,"",
              VLOOKUP($G28,SantoYusuf!$L$13:$AK$14,X$4,FALSE)))</t>
  </si>
  <si>
    <t>=IF(ISNUMBER($L$6)=FALSE,"",
        IF(ISERROR(VLOOKUP($G28,SantoYusuf!$L$13:$AK$14,Y$4,FALSE))=TRUE,"",
              VLOOKUP($G28,SantoYusuf!$L$13:$AK$14,Y$4,FALSE)))</t>
  </si>
  <si>
    <t>=IF(ISNUMBER($L$6)=FALSE,"",
        IF(ISERROR(VLOOKUP($G28,SantoYusuf!$L$13:$AK$14,Z$4,FALSE))=TRUE,"",
              VLOOKUP($G28,SantoYusuf!$L$13:$AK$14,Z$4,FALSE)))</t>
  </si>
  <si>
    <t>=IF(ISNUMBER($L$6)=FALSE,"",
        IF(ISERROR(VLOOKUP($G28,SantoYusuf!$L$13:$AK$14,AA$4,FALSE))=TRUE,"",
              VLOOKUP($G28,SantoYusuf!$L$13:$AK$14,AA$4,FALSE)))</t>
  </si>
  <si>
    <t>=IF(ISNUMBER($L$6)=FALSE,"",
        IF(ISERROR(VLOOKUP($G28,SantoYusuf!$L$13:$AK$14,AB$4,FALSE))=TRUE,"",
              VLOOKUP($G28,SantoYusuf!$L$13:$AK$14,AB$4,FALSE)))</t>
  </si>
  <si>
    <t>=IF(ISNUMBER($L$6)=FALSE,"",
        IF(ISERROR(VLOOKUP($G28,SantoYusuf!$L$13:$AK$14,AC$4,FALSE))=TRUE,"",
              VLOOKUP($G28,SantoYusuf!$L$13:$AK$14,AC$4,FALSE)))</t>
  </si>
  <si>
    <t>=IF(ISNUMBER($L$6)=FALSE,"",
        IF(ISERROR(VLOOKUP($G28,SantoYusuf!$L$13:$AK$14,AD$4,FALSE))=TRUE,"",
              VLOOKUP($G28,SantoYusuf!$L$13:$AK$14,AD$4,FALSE)))</t>
  </si>
  <si>
    <t>=IF(ISNUMBER($L$6)=FALSE,"",
        IF(ISERROR(VLOOKUP($G28,SantoYusuf!$L$13:$AK$14,AE$4,FALSE))=TRUE,"",
              VLOOKUP($G28,SantoYusuf!$L$13:$AK$14,AE$4,FALSE)))</t>
  </si>
  <si>
    <t>=IF(ISNUMBER($L$6)=FALSE,"",
        IF(ISERROR(VLOOKUP($G28,SantoYusuf!$L$13:$AK$14,AF$4,FALSE))=TRUE,"",
              VLOOKUP($G28,SantoYusuf!$L$13:$AK$14,AF$4,FALSE)))</t>
  </si>
  <si>
    <t>=IF(ISNUMBER($L$6)=FALSE,"",
IF($C29=0,"",VLOOKUP($E29,SantoYusuf!$H$13:$L$14,4,FALSE)))</t>
  </si>
  <si>
    <t>=IF(ISNUMBER($L$6)=FALSE,"",
IF($C29=0,"",VLOOKUP($E29,SantoYusuf!$H$13:$L$14,5,FALSE)))</t>
  </si>
  <si>
    <t>=IF(ISNUMBER($L$6)=FALSE,"",
        IF(ISERROR(VLOOKUP($G29,SantoYusuf!$L$13:$AK$14,I$4,FALSE))=TRUE,"",
              VLOOKUP($G29,SantoYusuf!$L$13:$AK$14,I$4,FALSE)))</t>
  </si>
  <si>
    <t>=IF(ISNUMBER($L$6)=FALSE,"",
        IF(ISERROR(VLOOKUP($G29,SantoYusuf!$L$13:$AK$14,J$4,FALSE))=TRUE,"",
              VLOOKUP($G29,SantoYusuf!$L$13:$AK$14,J$4,FALSE)))</t>
  </si>
  <si>
    <t>=IF(ISNUMBER($L$6)=FALSE,"",
        IF(ISERROR(VLOOKUP($G29,SantoYusuf!$L$13:$AK$14,K$4,FALSE))=TRUE,"",
              VLOOKUP($G29,SantoYusuf!$L$13:$AK$14,K$4,FALSE)))</t>
  </si>
  <si>
    <t>=IF(ISNUMBER($L$6)=FALSE,"",
        IF(ISERROR(VLOOKUP($G29,SantoYusuf!$L$13:$AK$14,L$4,FALSE))=TRUE,"",
              VLOOKUP($G29,SantoYusuf!$L$13:$AK$14,L$4,FALSE)))</t>
  </si>
  <si>
    <t>=IF(ISNUMBER($L$6)=FALSE,"",
        IF(ISERROR(VLOOKUP($G29,SantoYusuf!$L$13:$AK$14,M$4,FALSE))=TRUE,"",
              VLOOKUP($G29,SantoYusuf!$L$13:$AK$14,M$4,FALSE)))</t>
  </si>
  <si>
    <t>=IF(ISNUMBER($L$6)=FALSE,"",
        IF(ISERROR(VLOOKUP($G29,SantoYusuf!$L$13:$AK$14,N$4,FALSE))=TRUE,"",
              VLOOKUP($G29,SantoYusuf!$L$13:$AK$14,N$4,FALSE)))</t>
  </si>
  <si>
    <t>=IF(ISNUMBER($L$6)=FALSE,"",
        IF(ISERROR(VLOOKUP($G29,SantoYusuf!$L$13:$AK$14,O$4,FALSE))=TRUE,"",
              VLOOKUP($G29,SantoYusuf!$L$13:$AK$14,O$4,FALSE)))</t>
  </si>
  <si>
    <t>=IF(ISNUMBER($L$6)=FALSE,"",
        IF(ISERROR(VLOOKUP($G29,SantoYusuf!$L$13:$AK$14,P$4,FALSE))=TRUE,"",
              VLOOKUP($G29,SantoYusuf!$L$13:$AK$14,P$4,FALSE)))</t>
  </si>
  <si>
    <t>=IF(ISNUMBER($L$6)=FALSE,"",
        IF(ISERROR(VLOOKUP($G29,SantoYusuf!$L$13:$AK$14,Q$4,FALSE))=TRUE,"",
              VLOOKUP($G29,SantoYusuf!$L$13:$AK$14,Q$4,FALSE)))</t>
  </si>
  <si>
    <t>=IF(ISNUMBER($L$6)=FALSE,"",
        IF(ISERROR(VLOOKUP($G29,SantoYusuf!$L$13:$AK$14,R$4,FALSE))=TRUE,"",
              VLOOKUP($G29,SantoYusuf!$L$13:$AK$14,R$4,FALSE)))</t>
  </si>
  <si>
    <t>=IF(ISNUMBER($L$6)=FALSE,"",
        IF(ISERROR(VLOOKUP($G29,SantoYusuf!$L$13:$AK$14,S$4,FALSE))=TRUE,"",
              VLOOKUP($G29,SantoYusuf!$L$13:$AK$14,S$4,FALSE)))</t>
  </si>
  <si>
    <t>=IF(ISNUMBER($L$6)=FALSE,"",
        IF(ISERROR(VLOOKUP($G29,SantoYusuf!$L$13:$AK$14,T$4,FALSE))=TRUE,"",
              VLOOKUP($G29,SantoYusuf!$L$13:$AK$14,T$4,FALSE)))</t>
  </si>
  <si>
    <t>=IF(ISNUMBER($L$6)=FALSE,"",
        IF(ISERROR(VLOOKUP($G29,SantoYusuf!$L$13:$AK$14,U$4,FALSE))=TRUE,"",
              VLOOKUP($G29,SantoYusuf!$L$13:$AK$14,U$4,FALSE)))</t>
  </si>
  <si>
    <t>=IF(ISNUMBER($L$6)=FALSE,"",
        IF(ISERROR(VLOOKUP($G29,SantoYusuf!$L$13:$AK$14,V$4,FALSE))=TRUE,"",
              VLOOKUP($G29,SantoYusuf!$L$13:$AK$14,V$4,FALSE)))</t>
  </si>
  <si>
    <t>=IF(ISNUMBER($L$6)=FALSE,"",
        IF(ISERROR(VLOOKUP($G29,SantoYusuf!$L$13:$AK$14,W$4,FALSE))=TRUE,"",
              VLOOKUP($G29,SantoYusuf!$L$13:$AK$14,W$4,FALSE)))</t>
  </si>
  <si>
    <t>=IF(ISNUMBER($L$6)=FALSE,"",
        IF(ISERROR(VLOOKUP($G29,SantoYusuf!$L$13:$AK$14,X$4,FALSE))=TRUE,"",
              VLOOKUP($G29,SantoYusuf!$L$13:$AK$14,X$4,FALSE)))</t>
  </si>
  <si>
    <t>=IF(ISNUMBER($L$6)=FALSE,"",
        IF(ISERROR(VLOOKUP($G29,SantoYusuf!$L$13:$AK$14,Y$4,FALSE))=TRUE,"",
              VLOOKUP($G29,SantoYusuf!$L$13:$AK$14,Y$4,FALSE)))</t>
  </si>
  <si>
    <t>=IF(ISNUMBER($L$6)=FALSE,"",
        IF(ISERROR(VLOOKUP($G29,SantoYusuf!$L$13:$AK$14,Z$4,FALSE))=TRUE,"",
              VLOOKUP($G29,SantoYusuf!$L$13:$AK$14,Z$4,FALSE)))</t>
  </si>
  <si>
    <t>=IF(ISNUMBER($L$6)=FALSE,"",
        IF(ISERROR(VLOOKUP($G29,SantoYusuf!$L$13:$AK$14,AA$4,FALSE))=TRUE,"",
              VLOOKUP($G29,SantoYusuf!$L$13:$AK$14,AA$4,FALSE)))</t>
  </si>
  <si>
    <t>=IF(ISNUMBER($L$6)=FALSE,"",
        IF(ISERROR(VLOOKUP($G29,SantoYusuf!$L$13:$AK$14,AB$4,FALSE))=TRUE,"",
              VLOOKUP($G29,SantoYusuf!$L$13:$AK$14,AB$4,FALSE)))</t>
  </si>
  <si>
    <t>=IF(ISNUMBER($L$6)=FALSE,"",
        IF(ISERROR(VLOOKUP($G29,SantoYusuf!$L$13:$AK$14,AC$4,FALSE))=TRUE,"",
              VLOOKUP($G29,SantoYusuf!$L$13:$AK$14,AC$4,FALSE)))</t>
  </si>
  <si>
    <t>=IF(ISNUMBER($L$6)=FALSE,"",
        IF(ISERROR(VLOOKUP($G29,SantoYusuf!$L$13:$AK$14,AD$4,FALSE))=TRUE,"",
              VLOOKUP($G29,SantoYusuf!$L$13:$AK$14,AD$4,FALSE)))</t>
  </si>
  <si>
    <t>=IF(ISNUMBER($L$6)=FALSE,"",
        IF(ISERROR(VLOOKUP($G29,SantoYusuf!$L$13:$AK$14,AE$4,FALSE))=TRUE,"",
              VLOOKUP($G29,SantoYusuf!$L$13:$AK$14,AE$4,FALSE)))</t>
  </si>
  <si>
    <t>=IF(ISNUMBER($L$6)=FALSE,"",
        IF(ISERROR(VLOOKUP($G29,SantoYusuf!$L$13:$AK$14,AF$4,FALSE))=TRUE,"",
              VLOOKUP($G29,SantoYusuf!$L$13:$AK$14,AF$4,FALSE)))</t>
  </si>
  <si>
    <t>=IF(ISNUMBER($L$6)=FALSE,"",
IF($C30=0,"",VLOOKUP($E30,SantoYusuf!$H$13:$L$14,4,FALSE)))</t>
  </si>
  <si>
    <t>=IF(ISNUMBER($L$6)=FALSE,"",
IF($C30=0,"",VLOOKUP($E30,SantoYusuf!$H$13:$L$14,5,FALSE)))</t>
  </si>
  <si>
    <t>=IF(ISNUMBER($L$6)=FALSE,"",
        IF(ISERROR(VLOOKUP($G30,SantoYusuf!$L$13:$AK$14,I$4,FALSE))=TRUE,"",
              VLOOKUP($G30,SantoYusuf!$L$13:$AK$14,I$4,FALSE)))</t>
  </si>
  <si>
    <t>=IF(ISNUMBER($L$6)=FALSE,"",
        IF(ISERROR(VLOOKUP($G30,SantoYusuf!$L$13:$AK$14,J$4,FALSE))=TRUE,"",
              VLOOKUP($G30,SantoYusuf!$L$13:$AK$14,J$4,FALSE)))</t>
  </si>
  <si>
    <t>=IF(ISNUMBER($L$6)=FALSE,"",
        IF(ISERROR(VLOOKUP($G30,SantoYusuf!$L$13:$AK$14,K$4,FALSE))=TRUE,"",
              VLOOKUP($G30,SantoYusuf!$L$13:$AK$14,K$4,FALSE)))</t>
  </si>
  <si>
    <t>=IF(ISNUMBER($L$6)=FALSE,"",
        IF(ISERROR(VLOOKUP($G30,SantoYusuf!$L$13:$AK$14,L$4,FALSE))=TRUE,"",
              VLOOKUP($G30,SantoYusuf!$L$13:$AK$14,L$4,FALSE)))</t>
  </si>
  <si>
    <t>=IF(ISNUMBER($L$6)=FALSE,"",
        IF(ISERROR(VLOOKUP($G30,SantoYusuf!$L$13:$AK$14,M$4,FALSE))=TRUE,"",
              VLOOKUP($G30,SantoYusuf!$L$13:$AK$14,M$4,FALSE)))</t>
  </si>
  <si>
    <t>=IF(ISNUMBER($L$6)=FALSE,"",
        IF(ISERROR(VLOOKUP($G30,SantoYusuf!$L$13:$AK$14,N$4,FALSE))=TRUE,"",
              VLOOKUP($G30,SantoYusuf!$L$13:$AK$14,N$4,FALSE)))</t>
  </si>
  <si>
    <t>=IF(ISNUMBER($L$6)=FALSE,"",
        IF(ISERROR(VLOOKUP($G30,SantoYusuf!$L$13:$AK$14,O$4,FALSE))=TRUE,"",
              VLOOKUP($G30,SantoYusuf!$L$13:$AK$14,O$4,FALSE)))</t>
  </si>
  <si>
    <t>=IF(ISNUMBER($L$6)=FALSE,"",
        IF(ISERROR(VLOOKUP($G30,SantoYusuf!$L$13:$AK$14,P$4,FALSE))=TRUE,"",
              VLOOKUP($G30,SantoYusuf!$L$13:$AK$14,P$4,FALSE)))</t>
  </si>
  <si>
    <t>=IF(ISNUMBER($L$6)=FALSE,"",
        IF(ISERROR(VLOOKUP($G30,SantoYusuf!$L$13:$AK$14,Q$4,FALSE))=TRUE,"",
              VLOOKUP($G30,SantoYusuf!$L$13:$AK$14,Q$4,FALSE)))</t>
  </si>
  <si>
    <t>=IF(ISNUMBER($L$6)=FALSE,"",
        IF(ISERROR(VLOOKUP($G30,SantoYusuf!$L$13:$AK$14,R$4,FALSE))=TRUE,"",
              VLOOKUP($G30,SantoYusuf!$L$13:$AK$14,R$4,FALSE)))</t>
  </si>
  <si>
    <t>=IF(ISNUMBER($L$6)=FALSE,"",
        IF(ISERROR(VLOOKUP($G30,SantoYusuf!$L$13:$AK$14,S$4,FALSE))=TRUE,"",
              VLOOKUP($G30,SantoYusuf!$L$13:$AK$14,S$4,FALSE)))</t>
  </si>
  <si>
    <t>=IF(ISNUMBER($L$6)=FALSE,"",
        IF(ISERROR(VLOOKUP($G30,SantoYusuf!$L$13:$AK$14,T$4,FALSE))=TRUE,"",
              VLOOKUP($G30,SantoYusuf!$L$13:$AK$14,T$4,FALSE)))</t>
  </si>
  <si>
    <t>=IF(ISNUMBER($L$6)=FALSE,"",
        IF(ISERROR(VLOOKUP($G30,SantoYusuf!$L$13:$AK$14,U$4,FALSE))=TRUE,"",
              VLOOKUP($G30,SantoYusuf!$L$13:$AK$14,U$4,FALSE)))</t>
  </si>
  <si>
    <t>=IF(ISNUMBER($L$6)=FALSE,"",
        IF(ISERROR(VLOOKUP($G30,SantoYusuf!$L$13:$AK$14,V$4,FALSE))=TRUE,"",
              VLOOKUP($G30,SantoYusuf!$L$13:$AK$14,V$4,FALSE)))</t>
  </si>
  <si>
    <t>=IF(ISNUMBER($L$6)=FALSE,"",
        IF(ISERROR(VLOOKUP($G30,SantoYusuf!$L$13:$AK$14,W$4,FALSE))=TRUE,"",
              VLOOKUP($G30,SantoYusuf!$L$13:$AK$14,W$4,FALSE)))</t>
  </si>
  <si>
    <t>=IF(ISNUMBER($L$6)=FALSE,"",
        IF(ISERROR(VLOOKUP($G30,SantoYusuf!$L$13:$AK$14,X$4,FALSE))=TRUE,"",
              VLOOKUP($G30,SantoYusuf!$L$13:$AK$14,X$4,FALSE)))</t>
  </si>
  <si>
    <t>=IF(ISNUMBER($L$6)=FALSE,"",
        IF(ISERROR(VLOOKUP($G30,SantoYusuf!$L$13:$AK$14,Y$4,FALSE))=TRUE,"",
              VLOOKUP($G30,SantoYusuf!$L$13:$AK$14,Y$4,FALSE)))</t>
  </si>
  <si>
    <t>=IF(ISNUMBER($L$6)=FALSE,"",
        IF(ISERROR(VLOOKUP($G30,SantoYusuf!$L$13:$AK$14,Z$4,FALSE))=TRUE,"",
              VLOOKUP($G30,SantoYusuf!$L$13:$AK$14,Z$4,FALSE)))</t>
  </si>
  <si>
    <t>=IF(ISNUMBER($L$6)=FALSE,"",
        IF(ISERROR(VLOOKUP($G30,SantoYusuf!$L$13:$AK$14,AA$4,FALSE))=TRUE,"",
              VLOOKUP($G30,SantoYusuf!$L$13:$AK$14,AA$4,FALSE)))</t>
  </si>
  <si>
    <t>=IF(ISNUMBER($L$6)=FALSE,"",
        IF(ISERROR(VLOOKUP($G30,SantoYusuf!$L$13:$AK$14,AB$4,FALSE))=TRUE,"",
              VLOOKUP($G30,SantoYusuf!$L$13:$AK$14,AB$4,FALSE)))</t>
  </si>
  <si>
    <t>=IF(ISNUMBER($L$6)=FALSE,"",
        IF(ISERROR(VLOOKUP($G30,SantoYusuf!$L$13:$AK$14,AC$4,FALSE))=TRUE,"",
              VLOOKUP($G30,SantoYusuf!$L$13:$AK$14,AC$4,FALSE)))</t>
  </si>
  <si>
    <t>=IF(ISNUMBER($L$6)=FALSE,"",
        IF(ISERROR(VLOOKUP($G30,SantoYusuf!$L$13:$AK$14,AD$4,FALSE))=TRUE,"",
              VLOOKUP($G30,SantoYusuf!$L$13:$AK$14,AD$4,FALSE)))</t>
  </si>
  <si>
    <t>=IF(ISNUMBER($L$6)=FALSE,"",
        IF(ISERROR(VLOOKUP($G30,SantoYusuf!$L$13:$AK$14,AE$4,FALSE))=TRUE,"",
              VLOOKUP($G30,SantoYusuf!$L$13:$AK$14,AE$4,FALSE)))</t>
  </si>
  <si>
    <t>=IF(ISNUMBER($L$6)=FALSE,"",
        IF(ISERROR(VLOOKUP($G30,SantoYusuf!$L$13:$AK$14,AF$4,FALSE))=TRUE,"",
              VLOOKUP($G30,SantoYusuf!$L$13:$AK$14,AF$4,FALSE)))</t>
  </si>
  <si>
    <t>=IF(ISNUMBER($L$6)=FALSE,"",
IF($C31=0,"",VLOOKUP($E31,SantoYusuf!$H$13:$L$14,4,FALSE)))</t>
  </si>
  <si>
    <t>=IF(ISNUMBER($L$6)=FALSE,"",
IF($C31=0,"",VLOOKUP($E31,SantoYusuf!$H$13:$L$14,5,FALSE)))</t>
  </si>
  <si>
    <t>=IF(ISNUMBER($L$6)=FALSE,"",
        IF(ISERROR(VLOOKUP($G31,SantoYusuf!$L$13:$AK$14,I$4,FALSE))=TRUE,"",
              VLOOKUP($G31,SantoYusuf!$L$13:$AK$14,I$4,FALSE)))</t>
  </si>
  <si>
    <t>=IF(ISNUMBER($L$6)=FALSE,"",
        IF(ISERROR(VLOOKUP($G31,SantoYusuf!$L$13:$AK$14,J$4,FALSE))=TRUE,"",
              VLOOKUP($G31,SantoYusuf!$L$13:$AK$14,J$4,FALSE)))</t>
  </si>
  <si>
    <t>=IF(ISNUMBER($L$6)=FALSE,"",
        IF(ISERROR(VLOOKUP($G31,SantoYusuf!$L$13:$AK$14,K$4,FALSE))=TRUE,"",
              VLOOKUP($G31,SantoYusuf!$L$13:$AK$14,K$4,FALSE)))</t>
  </si>
  <si>
    <t>=IF(ISNUMBER($L$6)=FALSE,"",
        IF(ISERROR(VLOOKUP($G31,SantoYusuf!$L$13:$AK$14,L$4,FALSE))=TRUE,"",
              VLOOKUP($G31,SantoYusuf!$L$13:$AK$14,L$4,FALSE)))</t>
  </si>
  <si>
    <t>=IF(ISNUMBER($L$6)=FALSE,"",
        IF(ISERROR(VLOOKUP($G31,SantoYusuf!$L$13:$AK$14,M$4,FALSE))=TRUE,"",
              VLOOKUP($G31,SantoYusuf!$L$13:$AK$14,M$4,FALSE)))</t>
  </si>
  <si>
    <t>=IF(ISNUMBER($L$6)=FALSE,"",
        IF(ISERROR(VLOOKUP($G31,SantoYusuf!$L$13:$AK$14,N$4,FALSE))=TRUE,"",
              VLOOKUP($G31,SantoYusuf!$L$13:$AK$14,N$4,FALSE)))</t>
  </si>
  <si>
    <t>=IF(ISNUMBER($L$6)=FALSE,"",
        IF(ISERROR(VLOOKUP($G31,SantoYusuf!$L$13:$AK$14,O$4,FALSE))=TRUE,"",
              VLOOKUP($G31,SantoYusuf!$L$13:$AK$14,O$4,FALSE)))</t>
  </si>
  <si>
    <t>=IF(ISNUMBER($L$6)=FALSE,"",
        IF(ISERROR(VLOOKUP($G31,SantoYusuf!$L$13:$AK$14,P$4,FALSE))=TRUE,"",
              VLOOKUP($G31,SantoYusuf!$L$13:$AK$14,P$4,FALSE)))</t>
  </si>
  <si>
    <t>=IF(ISNUMBER($L$6)=FALSE,"",
        IF(ISERROR(VLOOKUP($G31,SantoYusuf!$L$13:$AK$14,Q$4,FALSE))=TRUE,"",
              VLOOKUP($G31,SantoYusuf!$L$13:$AK$14,Q$4,FALSE)))</t>
  </si>
  <si>
    <t>=IF(ISNUMBER($L$6)=FALSE,"",
        IF(ISERROR(VLOOKUP($G31,SantoYusuf!$L$13:$AK$14,R$4,FALSE))=TRUE,"",
              VLOOKUP($G31,SantoYusuf!$L$13:$AK$14,R$4,FALSE)))</t>
  </si>
  <si>
    <t>=IF(ISNUMBER($L$6)=FALSE,"",
        IF(ISERROR(VLOOKUP($G31,SantoYusuf!$L$13:$AK$14,S$4,FALSE))=TRUE,"",
              VLOOKUP($G31,SantoYusuf!$L$13:$AK$14,S$4,FALSE)))</t>
  </si>
  <si>
    <t>=IF(ISNUMBER($L$6)=FALSE,"",
        IF(ISERROR(VLOOKUP($G31,SantoYusuf!$L$13:$AK$14,T$4,FALSE))=TRUE,"",
              VLOOKUP($G31,SantoYusuf!$L$13:$AK$14,T$4,FALSE)))</t>
  </si>
  <si>
    <t>=IF(ISNUMBER($L$6)=FALSE,"",
        IF(ISERROR(VLOOKUP($G31,SantoYusuf!$L$13:$AK$14,U$4,FALSE))=TRUE,"",
              VLOOKUP($G31,SantoYusuf!$L$13:$AK$14,U$4,FALSE)))</t>
  </si>
  <si>
    <t>=IF(ISNUMBER($L$6)=FALSE,"",
        IF(ISERROR(VLOOKUP($G31,SantoYusuf!$L$13:$AK$14,V$4,FALSE))=TRUE,"",
              VLOOKUP($G31,SantoYusuf!$L$13:$AK$14,V$4,FALSE)))</t>
  </si>
  <si>
    <t>=IF(ISNUMBER($L$6)=FALSE,"",
        IF(ISERROR(VLOOKUP($G31,SantoYusuf!$L$13:$AK$14,W$4,FALSE))=TRUE,"",
              VLOOKUP($G31,SantoYusuf!$L$13:$AK$14,W$4,FALSE)))</t>
  </si>
  <si>
    <t>=IF(ISNUMBER($L$6)=FALSE,"",
        IF(ISERROR(VLOOKUP($G31,SantoYusuf!$L$13:$AK$14,X$4,FALSE))=TRUE,"",
              VLOOKUP($G31,SantoYusuf!$L$13:$AK$14,X$4,FALSE)))</t>
  </si>
  <si>
    <t>=IF(ISNUMBER($L$6)=FALSE,"",
        IF(ISERROR(VLOOKUP($G31,SantoYusuf!$L$13:$AK$14,Y$4,FALSE))=TRUE,"",
              VLOOKUP($G31,SantoYusuf!$L$13:$AK$14,Y$4,FALSE)))</t>
  </si>
  <si>
    <t>=IF(ISNUMBER($L$6)=FALSE,"",
        IF(ISERROR(VLOOKUP($G31,SantoYusuf!$L$13:$AK$14,Z$4,FALSE))=TRUE,"",
              VLOOKUP($G31,SantoYusuf!$L$13:$AK$14,Z$4,FALSE)))</t>
  </si>
  <si>
    <t>=IF(ISNUMBER($L$6)=FALSE,"",
        IF(ISERROR(VLOOKUP($G31,SantoYusuf!$L$13:$AK$14,AA$4,FALSE))=TRUE,"",
              VLOOKUP($G31,SantoYusuf!$L$13:$AK$14,AA$4,FALSE)))</t>
  </si>
  <si>
    <t>=IF(ISNUMBER($L$6)=FALSE,"",
        IF(ISERROR(VLOOKUP($G31,SantoYusuf!$L$13:$AK$14,AB$4,FALSE))=TRUE,"",
              VLOOKUP($G31,SantoYusuf!$L$13:$AK$14,AB$4,FALSE)))</t>
  </si>
  <si>
    <t>=IF(ISNUMBER($L$6)=FALSE,"",
        IF(ISERROR(VLOOKUP($G31,SantoYusuf!$L$13:$AK$14,AC$4,FALSE))=TRUE,"",
              VLOOKUP($G31,SantoYusuf!$L$13:$AK$14,AC$4,FALSE)))</t>
  </si>
  <si>
    <t>=IF(ISNUMBER($L$6)=FALSE,"",
        IF(ISERROR(VLOOKUP($G31,SantoYusuf!$L$13:$AK$14,AD$4,FALSE))=TRUE,"",
              VLOOKUP($G31,SantoYusuf!$L$13:$AK$14,AD$4,FALSE)))</t>
  </si>
  <si>
    <t>=IF(ISNUMBER($L$6)=FALSE,"",
        IF(ISERROR(VLOOKUP($G31,SantoYusuf!$L$13:$AK$14,AE$4,FALSE))=TRUE,"",
              VLOOKUP($G31,SantoYusuf!$L$13:$AK$14,AE$4,FALSE)))</t>
  </si>
  <si>
    <t>=IF(ISNUMBER($L$6)=FALSE,"",
        IF(ISERROR(VLOOKUP($G31,SantoYusuf!$L$13:$AK$14,AF$4,FALSE))=TRUE,"",
              VLOOKUP($G31,SantoYusuf!$L$13:$AK$14,AF$4,FALSE)))</t>
  </si>
  <si>
    <t>=IF(ISNUMBER($L$6)=FALSE,"",
IF($C32=0,"",VLOOKUP($E32,SantoYusuf!$H$13:$L$14,4,FALSE)))</t>
  </si>
  <si>
    <t>=IF(ISNUMBER($L$6)=FALSE,"",
IF($C32=0,"",VLOOKUP($E32,SantoYusuf!$H$13:$L$14,5,FALSE)))</t>
  </si>
  <si>
    <t>=IF(ISNUMBER($L$6)=FALSE,"",
        IF(ISERROR(VLOOKUP($G32,SantoYusuf!$L$13:$AK$14,I$4,FALSE))=TRUE,"",
              VLOOKUP($G32,SantoYusuf!$L$13:$AK$14,I$4,FALSE)))</t>
  </si>
  <si>
    <t>=IF(ISNUMBER($L$6)=FALSE,"",
        IF(ISERROR(VLOOKUP($G32,SantoYusuf!$L$13:$AK$14,J$4,FALSE))=TRUE,"",
              VLOOKUP($G32,SantoYusuf!$L$13:$AK$14,J$4,FALSE)))</t>
  </si>
  <si>
    <t>=IF(ISNUMBER($L$6)=FALSE,"",
        IF(ISERROR(VLOOKUP($G32,SantoYusuf!$L$13:$AK$14,K$4,FALSE))=TRUE,"",
              VLOOKUP($G32,SantoYusuf!$L$13:$AK$14,K$4,FALSE)))</t>
  </si>
  <si>
    <t>=IF(ISNUMBER($L$6)=FALSE,"",
        IF(ISERROR(VLOOKUP($G32,SantoYusuf!$L$13:$AK$14,L$4,FALSE))=TRUE,"",
              VLOOKUP($G32,SantoYusuf!$L$13:$AK$14,L$4,FALSE)))</t>
  </si>
  <si>
    <t>=IF(ISNUMBER($L$6)=FALSE,"",
        IF(ISERROR(VLOOKUP($G32,SantoYusuf!$L$13:$AK$14,M$4,FALSE))=TRUE,"",
              VLOOKUP($G32,SantoYusuf!$L$13:$AK$14,M$4,FALSE)))</t>
  </si>
  <si>
    <t>=IF(ISNUMBER($L$6)=FALSE,"",
        IF(ISERROR(VLOOKUP($G32,SantoYusuf!$L$13:$AK$14,N$4,FALSE))=TRUE,"",
              VLOOKUP($G32,SantoYusuf!$L$13:$AK$14,N$4,FALSE)))</t>
  </si>
  <si>
    <t>=IF(ISNUMBER($L$6)=FALSE,"",
        IF(ISERROR(VLOOKUP($G32,SantoYusuf!$L$13:$AK$14,O$4,FALSE))=TRUE,"",
              VLOOKUP($G32,SantoYusuf!$L$13:$AK$14,O$4,FALSE)))</t>
  </si>
  <si>
    <t>=IF(ISNUMBER($L$6)=FALSE,"",
        IF(ISERROR(VLOOKUP($G32,SantoYusuf!$L$13:$AK$14,P$4,FALSE))=TRUE,"",
              VLOOKUP($G32,SantoYusuf!$L$13:$AK$14,P$4,FALSE)))</t>
  </si>
  <si>
    <t>=IF(ISNUMBER($L$6)=FALSE,"",
        IF(ISERROR(VLOOKUP($G32,SantoYusuf!$L$13:$AK$14,Q$4,FALSE))=TRUE,"",
              VLOOKUP($G32,SantoYusuf!$L$13:$AK$14,Q$4,FALSE)))</t>
  </si>
  <si>
    <t>=IF(ISNUMBER($L$6)=FALSE,"",
        IF(ISERROR(VLOOKUP($G32,SantoYusuf!$L$13:$AK$14,R$4,FALSE))=TRUE,"",
              VLOOKUP($G32,SantoYusuf!$L$13:$AK$14,R$4,FALSE)))</t>
  </si>
  <si>
    <t>=IF(ISNUMBER($L$6)=FALSE,"",
        IF(ISERROR(VLOOKUP($G32,SantoYusuf!$L$13:$AK$14,S$4,FALSE))=TRUE,"",
              VLOOKUP($G32,SantoYusuf!$L$13:$AK$14,S$4,FALSE)))</t>
  </si>
  <si>
    <t>=IF(ISNUMBER($L$6)=FALSE,"",
        IF(ISERROR(VLOOKUP($G32,SantoYusuf!$L$13:$AK$14,T$4,FALSE))=TRUE,"",
              VLOOKUP($G32,SantoYusuf!$L$13:$AK$14,T$4,FALSE)))</t>
  </si>
  <si>
    <t>=IF(ISNUMBER($L$6)=FALSE,"",
        IF(ISERROR(VLOOKUP($G32,SantoYusuf!$L$13:$AK$14,U$4,FALSE))=TRUE,"",
              VLOOKUP($G32,SantoYusuf!$L$13:$AK$14,U$4,FALSE)))</t>
  </si>
  <si>
    <t>=IF(ISNUMBER($L$6)=FALSE,"",
        IF(ISERROR(VLOOKUP($G32,SantoYusuf!$L$13:$AK$14,V$4,FALSE))=TRUE,"",
              VLOOKUP($G32,SantoYusuf!$L$13:$AK$14,V$4,FALSE)))</t>
  </si>
  <si>
    <t>=IF(ISNUMBER($L$6)=FALSE,"",
        IF(ISERROR(VLOOKUP($G32,SantoYusuf!$L$13:$AK$14,W$4,FALSE))=TRUE,"",
              VLOOKUP($G32,SantoYusuf!$L$13:$AK$14,W$4,FALSE)))</t>
  </si>
  <si>
    <t>=IF(ISNUMBER($L$6)=FALSE,"",
        IF(ISERROR(VLOOKUP($G32,SantoYusuf!$L$13:$AK$14,X$4,FALSE))=TRUE,"",
              VLOOKUP($G32,SantoYusuf!$L$13:$AK$14,X$4,FALSE)))</t>
  </si>
  <si>
    <t>=IF(ISNUMBER($L$6)=FALSE,"",
        IF(ISERROR(VLOOKUP($G32,SantoYusuf!$L$13:$AK$14,Y$4,FALSE))=TRUE,"",
              VLOOKUP($G32,SantoYusuf!$L$13:$AK$14,Y$4,FALSE)))</t>
  </si>
  <si>
    <t>=IF(ISNUMBER($L$6)=FALSE,"",
        IF(ISERROR(VLOOKUP($G32,SantoYusuf!$L$13:$AK$14,Z$4,FALSE))=TRUE,"",
              VLOOKUP($G32,SantoYusuf!$L$13:$AK$14,Z$4,FALSE)))</t>
  </si>
  <si>
    <t>=IF(ISNUMBER($L$6)=FALSE,"",
        IF(ISERROR(VLOOKUP($G32,SantoYusuf!$L$13:$AK$14,AA$4,FALSE))=TRUE,"",
              VLOOKUP($G32,SantoYusuf!$L$13:$AK$14,AA$4,FALSE)))</t>
  </si>
  <si>
    <t>=IF(ISNUMBER($L$6)=FALSE,"",
        IF(ISERROR(VLOOKUP($G32,SantoYusuf!$L$13:$AK$14,AB$4,FALSE))=TRUE,"",
              VLOOKUP($G32,SantoYusuf!$L$13:$AK$14,AB$4,FALSE)))</t>
  </si>
  <si>
    <t>=IF(ISNUMBER($L$6)=FALSE,"",
        IF(ISERROR(VLOOKUP($G32,SantoYusuf!$L$13:$AK$14,AC$4,FALSE))=TRUE,"",
              VLOOKUP($G32,SantoYusuf!$L$13:$AK$14,AC$4,FALSE)))</t>
  </si>
  <si>
    <t>=IF(ISNUMBER($L$6)=FALSE,"",
        IF(ISERROR(VLOOKUP($G32,SantoYusuf!$L$13:$AK$14,AD$4,FALSE))=TRUE,"",
              VLOOKUP($G32,SantoYusuf!$L$13:$AK$14,AD$4,FALSE)))</t>
  </si>
  <si>
    <t>=IF(ISNUMBER($L$6)=FALSE,"",
        IF(ISERROR(VLOOKUP($G32,SantoYusuf!$L$13:$AK$14,AE$4,FALSE))=TRUE,"",
              VLOOKUP($G32,SantoYusuf!$L$13:$AK$14,AE$4,FALSE)))</t>
  </si>
  <si>
    <t>=IF(ISNUMBER($L$6)=FALSE,"",
        IF(ISERROR(VLOOKUP($G32,SantoYusuf!$L$13:$AK$14,AF$4,FALSE))=TRUE,"",
              VLOOKUP($G32,SantoYusuf!$L$13:$AK$14,AF$4,FALSE)))</t>
  </si>
  <si>
    <t>=IF(ISNUMBER($L$6)=FALSE,"",
IF($C33=0,"",VLOOKUP($E33,SantoYusuf!$H$13:$L$14,4,FALSE)))</t>
  </si>
  <si>
    <t>=IF(ISNUMBER($L$6)=FALSE,"",
IF($C33=0,"",VLOOKUP($E33,SantoYusuf!$H$13:$L$14,5,FALSE)))</t>
  </si>
  <si>
    <t>=IF(ISNUMBER($L$6)=FALSE,"",
        IF(ISERROR(VLOOKUP($G33,SantoYusuf!$L$13:$AK$14,I$4,FALSE))=TRUE,"",
              VLOOKUP($G33,SantoYusuf!$L$13:$AK$14,I$4,FALSE)))</t>
  </si>
  <si>
    <t>=IF(ISNUMBER($L$6)=FALSE,"",
        IF(ISERROR(VLOOKUP($G33,SantoYusuf!$L$13:$AK$14,J$4,FALSE))=TRUE,"",
              VLOOKUP($G33,SantoYusuf!$L$13:$AK$14,J$4,FALSE)))</t>
  </si>
  <si>
    <t>=IF(ISNUMBER($L$6)=FALSE,"",
        IF(ISERROR(VLOOKUP($G33,SantoYusuf!$L$13:$AK$14,K$4,FALSE))=TRUE,"",
              VLOOKUP($G33,SantoYusuf!$L$13:$AK$14,K$4,FALSE)))</t>
  </si>
  <si>
    <t>=IF(ISNUMBER($L$6)=FALSE,"",
        IF(ISERROR(VLOOKUP($G33,SantoYusuf!$L$13:$AK$14,L$4,FALSE))=TRUE,"",
              VLOOKUP($G33,SantoYusuf!$L$13:$AK$14,L$4,FALSE)))</t>
  </si>
  <si>
    <t>=IF(ISNUMBER($L$6)=FALSE,"",
        IF(ISERROR(VLOOKUP($G33,SantoYusuf!$L$13:$AK$14,M$4,FALSE))=TRUE,"",
              VLOOKUP($G33,SantoYusuf!$L$13:$AK$14,M$4,FALSE)))</t>
  </si>
  <si>
    <t>=IF(ISNUMBER($L$6)=FALSE,"",
        IF(ISERROR(VLOOKUP($G33,SantoYusuf!$L$13:$AK$14,N$4,FALSE))=TRUE,"",
              VLOOKUP($G33,SantoYusuf!$L$13:$AK$14,N$4,FALSE)))</t>
  </si>
  <si>
    <t>=IF(ISNUMBER($L$6)=FALSE,"",
        IF(ISERROR(VLOOKUP($G33,SantoYusuf!$L$13:$AK$14,O$4,FALSE))=TRUE,"",
              VLOOKUP($G33,SantoYusuf!$L$13:$AK$14,O$4,FALSE)))</t>
  </si>
  <si>
    <t>=IF(ISNUMBER($L$6)=FALSE,"",
        IF(ISERROR(VLOOKUP($G33,SantoYusuf!$L$13:$AK$14,P$4,FALSE))=TRUE,"",
              VLOOKUP($G33,SantoYusuf!$L$13:$AK$14,P$4,FALSE)))</t>
  </si>
  <si>
    <t>=IF(ISNUMBER($L$6)=FALSE,"",
        IF(ISERROR(VLOOKUP($G33,SantoYusuf!$L$13:$AK$14,Q$4,FALSE))=TRUE,"",
              VLOOKUP($G33,SantoYusuf!$L$13:$AK$14,Q$4,FALSE)))</t>
  </si>
  <si>
    <t>=IF(ISNUMBER($L$6)=FALSE,"",
        IF(ISERROR(VLOOKUP($G33,SantoYusuf!$L$13:$AK$14,R$4,FALSE))=TRUE,"",
              VLOOKUP($G33,SantoYusuf!$L$13:$AK$14,R$4,FALSE)))</t>
  </si>
  <si>
    <t>=IF(ISNUMBER($L$6)=FALSE,"",
        IF(ISERROR(VLOOKUP($G33,SantoYusuf!$L$13:$AK$14,S$4,FALSE))=TRUE,"",
              VLOOKUP($G33,SantoYusuf!$L$13:$AK$14,S$4,FALSE)))</t>
  </si>
  <si>
    <t>=IF(ISNUMBER($L$6)=FALSE,"",
        IF(ISERROR(VLOOKUP($G33,SantoYusuf!$L$13:$AK$14,T$4,FALSE))=TRUE,"",
              VLOOKUP($G33,SantoYusuf!$L$13:$AK$14,T$4,FALSE)))</t>
  </si>
  <si>
    <t>=IF(ISNUMBER($L$6)=FALSE,"",
        IF(ISERROR(VLOOKUP($G33,SantoYusuf!$L$13:$AK$14,U$4,FALSE))=TRUE,"",
              VLOOKUP($G33,SantoYusuf!$L$13:$AK$14,U$4,FALSE)))</t>
  </si>
  <si>
    <t>=IF(ISNUMBER($L$6)=FALSE,"",
        IF(ISERROR(VLOOKUP($G33,SantoYusuf!$L$13:$AK$14,V$4,FALSE))=TRUE,"",
              VLOOKUP($G33,SantoYusuf!$L$13:$AK$14,V$4,FALSE)))</t>
  </si>
  <si>
    <t>=IF(ISNUMBER($L$6)=FALSE,"",
        IF(ISERROR(VLOOKUP($G33,SantoYusuf!$L$13:$AK$14,W$4,FALSE))=TRUE,"",
              VLOOKUP($G33,SantoYusuf!$L$13:$AK$14,W$4,FALSE)))</t>
  </si>
  <si>
    <t>=IF(ISNUMBER($L$6)=FALSE,"",
        IF(ISERROR(VLOOKUP($G33,SantoYusuf!$L$13:$AK$14,X$4,FALSE))=TRUE,"",
              VLOOKUP($G33,SantoYusuf!$L$13:$AK$14,X$4,FALSE)))</t>
  </si>
  <si>
    <t>=IF(ISNUMBER($L$6)=FALSE,"",
        IF(ISERROR(VLOOKUP($G33,SantoYusuf!$L$13:$AK$14,Y$4,FALSE))=TRUE,"",
              VLOOKUP($G33,SantoYusuf!$L$13:$AK$14,Y$4,FALSE)))</t>
  </si>
  <si>
    <t>=IF(ISNUMBER($L$6)=FALSE,"",
        IF(ISERROR(VLOOKUP($G33,SantoYusuf!$L$13:$AK$14,Z$4,FALSE))=TRUE,"",
              VLOOKUP($G33,SantoYusuf!$L$13:$AK$14,Z$4,FALSE)))</t>
  </si>
  <si>
    <t>=IF(ISNUMBER($L$6)=FALSE,"",
        IF(ISERROR(VLOOKUP($G33,SantoYusuf!$L$13:$AK$14,AA$4,FALSE))=TRUE,"",
              VLOOKUP($G33,SantoYusuf!$L$13:$AK$14,AA$4,FALSE)))</t>
  </si>
  <si>
    <t>=IF(ISNUMBER($L$6)=FALSE,"",
        IF(ISERROR(VLOOKUP($G33,SantoYusuf!$L$13:$AK$14,AB$4,FALSE))=TRUE,"",
              VLOOKUP($G33,SantoYusuf!$L$13:$AK$14,AB$4,FALSE)))</t>
  </si>
  <si>
    <t>=IF(ISNUMBER($L$6)=FALSE,"",
        IF(ISERROR(VLOOKUP($G33,SantoYusuf!$L$13:$AK$14,AC$4,FALSE))=TRUE,"",
              VLOOKUP($G33,SantoYusuf!$L$13:$AK$14,AC$4,FALSE)))</t>
  </si>
  <si>
    <t>=IF(ISNUMBER($L$6)=FALSE,"",
        IF(ISERROR(VLOOKUP($G33,SantoYusuf!$L$13:$AK$14,AD$4,FALSE))=TRUE,"",
              VLOOKUP($G33,SantoYusuf!$L$13:$AK$14,AD$4,FALSE)))</t>
  </si>
  <si>
    <t>=IF(ISNUMBER($L$6)=FALSE,"",
        IF(ISERROR(VLOOKUP($G33,SantoYusuf!$L$13:$AK$14,AE$4,FALSE))=TRUE,"",
              VLOOKUP($G33,SantoYusuf!$L$13:$AK$14,AE$4,FALSE)))</t>
  </si>
  <si>
    <t>=IF(ISNUMBER($L$6)=FALSE,"",
        IF(ISERROR(VLOOKUP($G33,SantoYusuf!$L$13:$AK$14,AF$4,FALSE))=TRUE,"",
              VLOOKUP($G33,SantoYusuf!$L$13:$AK$14,AF$4,FALSE)))</t>
  </si>
  <si>
    <t>=IF(ISNUMBER($L$6)=FALSE,"",
IF($C34=0,"",VLOOKUP($E34,SantoYusuf!$H$13:$L$14,4,FALSE)))</t>
  </si>
  <si>
    <t>=IF(ISNUMBER($L$6)=FALSE,"",
IF($C34=0,"",VLOOKUP($E34,SantoYusuf!$H$13:$L$14,5,FALSE)))</t>
  </si>
  <si>
    <t>=IF(ISNUMBER($L$6)=FALSE,"",
        IF(ISERROR(VLOOKUP($G34,SantoYusuf!$L$13:$AK$14,I$4,FALSE))=TRUE,"",
              VLOOKUP($G34,SantoYusuf!$L$13:$AK$14,I$4,FALSE)))</t>
  </si>
  <si>
    <t>=IF(ISNUMBER($L$6)=FALSE,"",
        IF(ISERROR(VLOOKUP($G34,SantoYusuf!$L$13:$AK$14,J$4,FALSE))=TRUE,"",
              VLOOKUP($G34,SantoYusuf!$L$13:$AK$14,J$4,FALSE)))</t>
  </si>
  <si>
    <t>=IF(ISNUMBER($L$6)=FALSE,"",
        IF(ISERROR(VLOOKUP($G34,SantoYusuf!$L$13:$AK$14,K$4,FALSE))=TRUE,"",
              VLOOKUP($G34,SantoYusuf!$L$13:$AK$14,K$4,FALSE)))</t>
  </si>
  <si>
    <t>=IF(ISNUMBER($L$6)=FALSE,"",
        IF(ISERROR(VLOOKUP($G34,SantoYusuf!$L$13:$AK$14,L$4,FALSE))=TRUE,"",
              VLOOKUP($G34,SantoYusuf!$L$13:$AK$14,L$4,FALSE)))</t>
  </si>
  <si>
    <t>=IF(ISNUMBER($L$6)=FALSE,"",
        IF(ISERROR(VLOOKUP($G34,SantoYusuf!$L$13:$AK$14,M$4,FALSE))=TRUE,"",
              VLOOKUP($G34,SantoYusuf!$L$13:$AK$14,M$4,FALSE)))</t>
  </si>
  <si>
    <t>=IF(ISNUMBER($L$6)=FALSE,"",
        IF(ISERROR(VLOOKUP($G34,SantoYusuf!$L$13:$AK$14,N$4,FALSE))=TRUE,"",
              VLOOKUP($G34,SantoYusuf!$L$13:$AK$14,N$4,FALSE)))</t>
  </si>
  <si>
    <t>=IF(ISNUMBER($L$6)=FALSE,"",
        IF(ISERROR(VLOOKUP($G34,SantoYusuf!$L$13:$AK$14,O$4,FALSE))=TRUE,"",
              VLOOKUP($G34,SantoYusuf!$L$13:$AK$14,O$4,FALSE)))</t>
  </si>
  <si>
    <t>=IF(ISNUMBER($L$6)=FALSE,"",
        IF(ISERROR(VLOOKUP($G34,SantoYusuf!$L$13:$AK$14,P$4,FALSE))=TRUE,"",
              VLOOKUP($G34,SantoYusuf!$L$13:$AK$14,P$4,FALSE)))</t>
  </si>
  <si>
    <t>=IF(ISNUMBER($L$6)=FALSE,"",
        IF(ISERROR(VLOOKUP($G34,SantoYusuf!$L$13:$AK$14,Q$4,FALSE))=TRUE,"",
              VLOOKUP($G34,SantoYusuf!$L$13:$AK$14,Q$4,FALSE)))</t>
  </si>
  <si>
    <t>=IF(ISNUMBER($L$6)=FALSE,"",
        IF(ISERROR(VLOOKUP($G34,SantoYusuf!$L$13:$AK$14,R$4,FALSE))=TRUE,"",
              VLOOKUP($G34,SantoYusuf!$L$13:$AK$14,R$4,FALSE)))</t>
  </si>
  <si>
    <t>=IF(ISNUMBER($L$6)=FALSE,"",
        IF(ISERROR(VLOOKUP($G34,SantoYusuf!$L$13:$AK$14,S$4,FALSE))=TRUE,"",
              VLOOKUP($G34,SantoYusuf!$L$13:$AK$14,S$4,FALSE)))</t>
  </si>
  <si>
    <t>=IF(ISNUMBER($L$6)=FALSE,"",
        IF(ISERROR(VLOOKUP($G34,SantoYusuf!$L$13:$AK$14,T$4,FALSE))=TRUE,"",
              VLOOKUP($G34,SantoYusuf!$L$13:$AK$14,T$4,FALSE)))</t>
  </si>
  <si>
    <t>=IF(ISNUMBER($L$6)=FALSE,"",
        IF(ISERROR(VLOOKUP($G34,SantoYusuf!$L$13:$AK$14,U$4,FALSE))=TRUE,"",
              VLOOKUP($G34,SantoYusuf!$L$13:$AK$14,U$4,FALSE)))</t>
  </si>
  <si>
    <t>=IF(ISNUMBER($L$6)=FALSE,"",
        IF(ISERROR(VLOOKUP($G34,SantoYusuf!$L$13:$AK$14,V$4,FALSE))=TRUE,"",
              VLOOKUP($G34,SantoYusuf!$L$13:$AK$14,V$4,FALSE)))</t>
  </si>
  <si>
    <t>=IF(ISNUMBER($L$6)=FALSE,"",
        IF(ISERROR(VLOOKUP($G34,SantoYusuf!$L$13:$AK$14,W$4,FALSE))=TRUE,"",
              VLOOKUP($G34,SantoYusuf!$L$13:$AK$14,W$4,FALSE)))</t>
  </si>
  <si>
    <t>=IF(ISNUMBER($L$6)=FALSE,"",
        IF(ISERROR(VLOOKUP($G34,SantoYusuf!$L$13:$AK$14,X$4,FALSE))=TRUE,"",
              VLOOKUP($G34,SantoYusuf!$L$13:$AK$14,X$4,FALSE)))</t>
  </si>
  <si>
    <t>=IF(ISNUMBER($L$6)=FALSE,"",
        IF(ISERROR(VLOOKUP($G34,SantoYusuf!$L$13:$AK$14,Y$4,FALSE))=TRUE,"",
              VLOOKUP($G34,SantoYusuf!$L$13:$AK$14,Y$4,FALSE)))</t>
  </si>
  <si>
    <t>=IF(ISNUMBER($L$6)=FALSE,"",
        IF(ISERROR(VLOOKUP($G34,SantoYusuf!$L$13:$AK$14,Z$4,FALSE))=TRUE,"",
              VLOOKUP($G34,SantoYusuf!$L$13:$AK$14,Z$4,FALSE)))</t>
  </si>
  <si>
    <t>=IF(ISNUMBER($L$6)=FALSE,"",
        IF(ISERROR(VLOOKUP($G34,SantoYusuf!$L$13:$AK$14,AA$4,FALSE))=TRUE,"",
              VLOOKUP($G34,SantoYusuf!$L$13:$AK$14,AA$4,FALSE)))</t>
  </si>
  <si>
    <t>=IF(ISNUMBER($L$6)=FALSE,"",
        IF(ISERROR(VLOOKUP($G34,SantoYusuf!$L$13:$AK$14,AB$4,FALSE))=TRUE,"",
              VLOOKUP($G34,SantoYusuf!$L$13:$AK$14,AB$4,FALSE)))</t>
  </si>
  <si>
    <t>=IF(ISNUMBER($L$6)=FALSE,"",
        IF(ISERROR(VLOOKUP($G34,SantoYusuf!$L$13:$AK$14,AC$4,FALSE))=TRUE,"",
              VLOOKUP($G34,SantoYusuf!$L$13:$AK$14,AC$4,FALSE)))</t>
  </si>
  <si>
    <t>=IF(ISNUMBER($L$6)=FALSE,"",
        IF(ISERROR(VLOOKUP($G34,SantoYusuf!$L$13:$AK$14,AD$4,FALSE))=TRUE,"",
              VLOOKUP($G34,SantoYusuf!$L$13:$AK$14,AD$4,FALSE)))</t>
  </si>
  <si>
    <t>=IF(ISNUMBER($L$6)=FALSE,"",
        IF(ISERROR(VLOOKUP($G34,SantoYusuf!$L$13:$AK$14,AE$4,FALSE))=TRUE,"",
              VLOOKUP($G34,SantoYusuf!$L$13:$AK$14,AE$4,FALSE)))</t>
  </si>
  <si>
    <t>=IF(ISNUMBER($L$6)=FALSE,"",
        IF(ISERROR(VLOOKUP($G34,SantoYusuf!$L$13:$AK$14,AF$4,FALSE))=TRUE,"",
              VLOOKUP($G34,SantoYusuf!$L$13:$AK$14,AF$4,FALSE)))</t>
  </si>
  <si>
    <t>=IF(ISNUMBER($L$6)=FALSE,"",
IF($C35=0,"",VLOOKUP($E35,SantoYusuf!$H$13:$L$14,4,FALSE)))</t>
  </si>
  <si>
    <t>=IF(ISNUMBER($L$6)=FALSE,"",
IF($C35=0,"",VLOOKUP($E35,SantoYusuf!$H$13:$L$14,5,FALSE)))</t>
  </si>
  <si>
    <t>=IF(ISNUMBER($L$6)=FALSE,"",
        IF(ISERROR(VLOOKUP($G35,SantoYusuf!$L$13:$AK$14,I$4,FALSE))=TRUE,"",
              VLOOKUP($G35,SantoYusuf!$L$13:$AK$14,I$4,FALSE)))</t>
  </si>
  <si>
    <t>=IF(ISNUMBER($L$6)=FALSE,"",
        IF(ISERROR(VLOOKUP($G35,SantoYusuf!$L$13:$AK$14,J$4,FALSE))=TRUE,"",
              VLOOKUP($G35,SantoYusuf!$L$13:$AK$14,J$4,FALSE)))</t>
  </si>
  <si>
    <t>=IF(ISNUMBER($L$6)=FALSE,"",
        IF(ISERROR(VLOOKUP($G35,SantoYusuf!$L$13:$AK$14,K$4,FALSE))=TRUE,"",
              VLOOKUP($G35,SantoYusuf!$L$13:$AK$14,K$4,FALSE)))</t>
  </si>
  <si>
    <t>=IF(ISNUMBER($L$6)=FALSE,"",
        IF(ISERROR(VLOOKUP($G35,SantoYusuf!$L$13:$AK$14,L$4,FALSE))=TRUE,"",
              VLOOKUP($G35,SantoYusuf!$L$13:$AK$14,L$4,FALSE)))</t>
  </si>
  <si>
    <t>=IF(ISNUMBER($L$6)=FALSE,"",
        IF(ISERROR(VLOOKUP($G35,SantoYusuf!$L$13:$AK$14,M$4,FALSE))=TRUE,"",
              VLOOKUP($G35,SantoYusuf!$L$13:$AK$14,M$4,FALSE)))</t>
  </si>
  <si>
    <t>=IF(ISNUMBER($L$6)=FALSE,"",
        IF(ISERROR(VLOOKUP($G35,SantoYusuf!$L$13:$AK$14,N$4,FALSE))=TRUE,"",
              VLOOKUP($G35,SantoYusuf!$L$13:$AK$14,N$4,FALSE)))</t>
  </si>
  <si>
    <t>=IF(ISNUMBER($L$6)=FALSE,"",
        IF(ISERROR(VLOOKUP($G35,SantoYusuf!$L$13:$AK$14,O$4,FALSE))=TRUE,"",
              VLOOKUP($G35,SantoYusuf!$L$13:$AK$14,O$4,FALSE)))</t>
  </si>
  <si>
    <t>=IF(ISNUMBER($L$6)=FALSE,"",
        IF(ISERROR(VLOOKUP($G35,SantoYusuf!$L$13:$AK$14,P$4,FALSE))=TRUE,"",
              VLOOKUP($G35,SantoYusuf!$L$13:$AK$14,P$4,FALSE)))</t>
  </si>
  <si>
    <t>=IF(ISNUMBER($L$6)=FALSE,"",
        IF(ISERROR(VLOOKUP($G35,SantoYusuf!$L$13:$AK$14,Q$4,FALSE))=TRUE,"",
              VLOOKUP($G35,SantoYusuf!$L$13:$AK$14,Q$4,FALSE)))</t>
  </si>
  <si>
    <t>=IF(ISNUMBER($L$6)=FALSE,"",
        IF(ISERROR(VLOOKUP($G35,SantoYusuf!$L$13:$AK$14,R$4,FALSE))=TRUE,"",
              VLOOKUP($G35,SantoYusuf!$L$13:$AK$14,R$4,FALSE)))</t>
  </si>
  <si>
    <t>=IF(ISNUMBER($L$6)=FALSE,"",
        IF(ISERROR(VLOOKUP($G35,SantoYusuf!$L$13:$AK$14,S$4,FALSE))=TRUE,"",
              VLOOKUP($G35,SantoYusuf!$L$13:$AK$14,S$4,FALSE)))</t>
  </si>
  <si>
    <t>=IF(ISNUMBER($L$6)=FALSE,"",
        IF(ISERROR(VLOOKUP($G35,SantoYusuf!$L$13:$AK$14,T$4,FALSE))=TRUE,"",
              VLOOKUP($G35,SantoYusuf!$L$13:$AK$14,T$4,FALSE)))</t>
  </si>
  <si>
    <t>=IF(ISNUMBER($L$6)=FALSE,"",
        IF(ISERROR(VLOOKUP($G35,SantoYusuf!$L$13:$AK$14,U$4,FALSE))=TRUE,"",
              VLOOKUP($G35,SantoYusuf!$L$13:$AK$14,U$4,FALSE)))</t>
  </si>
  <si>
    <t>=IF(ISNUMBER($L$6)=FALSE,"",
        IF(ISERROR(VLOOKUP($G35,SantoYusuf!$L$13:$AK$14,V$4,FALSE))=TRUE,"",
              VLOOKUP($G35,SantoYusuf!$L$13:$AK$14,V$4,FALSE)))</t>
  </si>
  <si>
    <t>=IF(ISNUMBER($L$6)=FALSE,"",
        IF(ISERROR(VLOOKUP($G35,SantoYusuf!$L$13:$AK$14,W$4,FALSE))=TRUE,"",
              VLOOKUP($G35,SantoYusuf!$L$13:$AK$14,W$4,FALSE)))</t>
  </si>
  <si>
    <t>=IF(ISNUMBER($L$6)=FALSE,"",
        IF(ISERROR(VLOOKUP($G35,SantoYusuf!$L$13:$AK$14,X$4,FALSE))=TRUE,"",
              VLOOKUP($G35,SantoYusuf!$L$13:$AK$14,X$4,FALSE)))</t>
  </si>
  <si>
    <t>=IF(ISNUMBER($L$6)=FALSE,"",
        IF(ISERROR(VLOOKUP($G35,SantoYusuf!$L$13:$AK$14,Y$4,FALSE))=TRUE,"",
              VLOOKUP($G35,SantoYusuf!$L$13:$AK$14,Y$4,FALSE)))</t>
  </si>
  <si>
    <t>=IF(ISNUMBER($L$6)=FALSE,"",
        IF(ISERROR(VLOOKUP($G35,SantoYusuf!$L$13:$AK$14,Z$4,FALSE))=TRUE,"",
              VLOOKUP($G35,SantoYusuf!$L$13:$AK$14,Z$4,FALSE)))</t>
  </si>
  <si>
    <t>=IF(ISNUMBER($L$6)=FALSE,"",
        IF(ISERROR(VLOOKUP($G35,SantoYusuf!$L$13:$AK$14,AA$4,FALSE))=TRUE,"",
              VLOOKUP($G35,SantoYusuf!$L$13:$AK$14,AA$4,FALSE)))</t>
  </si>
  <si>
    <t>=IF(ISNUMBER($L$6)=FALSE,"",
        IF(ISERROR(VLOOKUP($G35,SantoYusuf!$L$13:$AK$14,AB$4,FALSE))=TRUE,"",
              VLOOKUP($G35,SantoYusuf!$L$13:$AK$14,AB$4,FALSE)))</t>
  </si>
  <si>
    <t>=IF(ISNUMBER($L$6)=FALSE,"",
        IF(ISERROR(VLOOKUP($G35,SantoYusuf!$L$13:$AK$14,AC$4,FALSE))=TRUE,"",
              VLOOKUP($G35,SantoYusuf!$L$13:$AK$14,AC$4,FALSE)))</t>
  </si>
  <si>
    <t>=IF(ISNUMBER($L$6)=FALSE,"",
        IF(ISERROR(VLOOKUP($G35,SantoYusuf!$L$13:$AK$14,AD$4,FALSE))=TRUE,"",
              VLOOKUP($G35,SantoYusuf!$L$13:$AK$14,AD$4,FALSE)))</t>
  </si>
  <si>
    <t>=IF(ISNUMBER($L$6)=FALSE,"",
        IF(ISERROR(VLOOKUP($G35,SantoYusuf!$L$13:$AK$14,AE$4,FALSE))=TRUE,"",
              VLOOKUP($G35,SantoYusuf!$L$13:$AK$14,AE$4,FALSE)))</t>
  </si>
  <si>
    <t>=IF(ISNUMBER($L$6)=FALSE,"",
        IF(ISERROR(VLOOKUP($G35,SantoYusuf!$L$13:$AK$14,AF$4,FALSE))=TRUE,"",
              VLOOKUP($G35,SantoYusuf!$L$13:$AK$14,AF$4,FALSE)))</t>
  </si>
  <si>
    <t>=IF(ISNUMBER($L$6)=FALSE,"",
IF($C36=0,"",VLOOKUP($E36,SantoYusuf!$H$13:$L$14,4,FALSE)))</t>
  </si>
  <si>
    <t>=IF(ISNUMBER($L$6)=FALSE,"",
IF($C36=0,"",VLOOKUP($E36,SantoYusuf!$H$13:$L$14,5,FALSE)))</t>
  </si>
  <si>
    <t>=IF(ISNUMBER($L$6)=FALSE,"",
        IF(ISERROR(VLOOKUP($G36,SantoYusuf!$L$13:$AK$14,I$4,FALSE))=TRUE,"",
              VLOOKUP($G36,SantoYusuf!$L$13:$AK$14,I$4,FALSE)))</t>
  </si>
  <si>
    <t>=IF(ISNUMBER($L$6)=FALSE,"",
        IF(ISERROR(VLOOKUP($G36,SantoYusuf!$L$13:$AK$14,J$4,FALSE))=TRUE,"",
              VLOOKUP($G36,SantoYusuf!$L$13:$AK$14,J$4,FALSE)))</t>
  </si>
  <si>
    <t>=IF(ISNUMBER($L$6)=FALSE,"",
        IF(ISERROR(VLOOKUP($G36,SantoYusuf!$L$13:$AK$14,K$4,FALSE))=TRUE,"",
              VLOOKUP($G36,SantoYusuf!$L$13:$AK$14,K$4,FALSE)))</t>
  </si>
  <si>
    <t>=IF(ISNUMBER($L$6)=FALSE,"",
        IF(ISERROR(VLOOKUP($G36,SantoYusuf!$L$13:$AK$14,L$4,FALSE))=TRUE,"",
              VLOOKUP($G36,SantoYusuf!$L$13:$AK$14,L$4,FALSE)))</t>
  </si>
  <si>
    <t>=IF(ISNUMBER($L$6)=FALSE,"",
        IF(ISERROR(VLOOKUP($G36,SantoYusuf!$L$13:$AK$14,M$4,FALSE))=TRUE,"",
              VLOOKUP($G36,SantoYusuf!$L$13:$AK$14,M$4,FALSE)))</t>
  </si>
  <si>
    <t>=IF(ISNUMBER($L$6)=FALSE,"",
        IF(ISERROR(VLOOKUP($G36,SantoYusuf!$L$13:$AK$14,N$4,FALSE))=TRUE,"",
              VLOOKUP($G36,SantoYusuf!$L$13:$AK$14,N$4,FALSE)))</t>
  </si>
  <si>
    <t>=IF(ISNUMBER($L$6)=FALSE,"",
        IF(ISERROR(VLOOKUP($G36,SantoYusuf!$L$13:$AK$14,O$4,FALSE))=TRUE,"",
              VLOOKUP($G36,SantoYusuf!$L$13:$AK$14,O$4,FALSE)))</t>
  </si>
  <si>
    <t>=IF(ISNUMBER($L$6)=FALSE,"",
        IF(ISERROR(VLOOKUP($G36,SantoYusuf!$L$13:$AK$14,P$4,FALSE))=TRUE,"",
              VLOOKUP($G36,SantoYusuf!$L$13:$AK$14,P$4,FALSE)))</t>
  </si>
  <si>
    <t>=IF(ISNUMBER($L$6)=FALSE,"",
        IF(ISERROR(VLOOKUP($G36,SantoYusuf!$L$13:$AK$14,Q$4,FALSE))=TRUE,"",
              VLOOKUP($G36,SantoYusuf!$L$13:$AK$14,Q$4,FALSE)))</t>
  </si>
  <si>
    <t>=IF(ISNUMBER($L$6)=FALSE,"",
        IF(ISERROR(VLOOKUP($G36,SantoYusuf!$L$13:$AK$14,R$4,FALSE))=TRUE,"",
              VLOOKUP($G36,SantoYusuf!$L$13:$AK$14,R$4,FALSE)))</t>
  </si>
  <si>
    <t>=IF(ISNUMBER($L$6)=FALSE,"",
        IF(ISERROR(VLOOKUP($G36,SantoYusuf!$L$13:$AK$14,S$4,FALSE))=TRUE,"",
              VLOOKUP($G36,SantoYusuf!$L$13:$AK$14,S$4,FALSE)))</t>
  </si>
  <si>
    <t>=IF(ISNUMBER($L$6)=FALSE,"",
        IF(ISERROR(VLOOKUP($G36,SantoYusuf!$L$13:$AK$14,T$4,FALSE))=TRUE,"",
              VLOOKUP($G36,SantoYusuf!$L$13:$AK$14,T$4,FALSE)))</t>
  </si>
  <si>
    <t>=IF(ISNUMBER($L$6)=FALSE,"",
        IF(ISERROR(VLOOKUP($G36,SantoYusuf!$L$13:$AK$14,U$4,FALSE))=TRUE,"",
              VLOOKUP($G36,SantoYusuf!$L$13:$AK$14,U$4,FALSE)))</t>
  </si>
  <si>
    <t>=IF(ISNUMBER($L$6)=FALSE,"",
        IF(ISERROR(VLOOKUP($G36,SantoYusuf!$L$13:$AK$14,V$4,FALSE))=TRUE,"",
              VLOOKUP($G36,SantoYusuf!$L$13:$AK$14,V$4,FALSE)))</t>
  </si>
  <si>
    <t>=IF(ISNUMBER($L$6)=FALSE,"",
        IF(ISERROR(VLOOKUP($G36,SantoYusuf!$L$13:$AK$14,W$4,FALSE))=TRUE,"",
              VLOOKUP($G36,SantoYusuf!$L$13:$AK$14,W$4,FALSE)))</t>
  </si>
  <si>
    <t>=IF(ISNUMBER($L$6)=FALSE,"",
        IF(ISERROR(VLOOKUP($G36,SantoYusuf!$L$13:$AK$14,X$4,FALSE))=TRUE,"",
              VLOOKUP($G36,SantoYusuf!$L$13:$AK$14,X$4,FALSE)))</t>
  </si>
  <si>
    <t>=IF(ISNUMBER($L$6)=FALSE,"",
        IF(ISERROR(VLOOKUP($G36,SantoYusuf!$L$13:$AK$14,Y$4,FALSE))=TRUE,"",
              VLOOKUP($G36,SantoYusuf!$L$13:$AK$14,Y$4,FALSE)))</t>
  </si>
  <si>
    <t>=IF(ISNUMBER($L$6)=FALSE,"",
        IF(ISERROR(VLOOKUP($G36,SantoYusuf!$L$13:$AK$14,Z$4,FALSE))=TRUE,"",
              VLOOKUP($G36,SantoYusuf!$L$13:$AK$14,Z$4,FALSE)))</t>
  </si>
  <si>
    <t>=IF(ISNUMBER($L$6)=FALSE,"",
        IF(ISERROR(VLOOKUP($G36,SantoYusuf!$L$13:$AK$14,AA$4,FALSE))=TRUE,"",
              VLOOKUP($G36,SantoYusuf!$L$13:$AK$14,AA$4,FALSE)))</t>
  </si>
  <si>
    <t>=IF(ISNUMBER($L$6)=FALSE,"",
        IF(ISERROR(VLOOKUP($G36,SantoYusuf!$L$13:$AK$14,AB$4,FALSE))=TRUE,"",
              VLOOKUP($G36,SantoYusuf!$L$13:$AK$14,AB$4,FALSE)))</t>
  </si>
  <si>
    <t>=IF(ISNUMBER($L$6)=FALSE,"",
        IF(ISERROR(VLOOKUP($G36,SantoYusuf!$L$13:$AK$14,AC$4,FALSE))=TRUE,"",
              VLOOKUP($G36,SantoYusuf!$L$13:$AK$14,AC$4,FALSE)))</t>
  </si>
  <si>
    <t>=IF(ISNUMBER($L$6)=FALSE,"",
        IF(ISERROR(VLOOKUP($G36,SantoYusuf!$L$13:$AK$14,AD$4,FALSE))=TRUE,"",
              VLOOKUP($G36,SantoYusuf!$L$13:$AK$14,AD$4,FALSE)))</t>
  </si>
  <si>
    <t>=IF(ISNUMBER($L$6)=FALSE,"",
        IF(ISERROR(VLOOKUP($G36,SantoYusuf!$L$13:$AK$14,AE$4,FALSE))=TRUE,"",
              VLOOKUP($G36,SantoYusuf!$L$13:$AK$14,AE$4,FALSE)))</t>
  </si>
  <si>
    <t>=IF(ISNUMBER($L$6)=FALSE,"",
        IF(ISERROR(VLOOKUP($G36,SantoYusuf!$L$13:$AK$14,AF$4,FALSE))=TRUE,"",
              VLOOKUP($G36,SantoYusuf!$L$13:$AK$14,AF$4,FALSE)))</t>
  </si>
  <si>
    <t>=IF(ISNUMBER($L$6)=FALSE,"",
IF($C37=0,"",VLOOKUP($E37,SantoYusuf!$H$13:$L$14,4,FALSE)))</t>
  </si>
  <si>
    <t>=IF(ISNUMBER($L$6)=FALSE,"",
IF($C37=0,"",VLOOKUP($E37,SantoYusuf!$H$13:$L$14,5,FALSE)))</t>
  </si>
  <si>
    <t>=IF(ISNUMBER($L$6)=FALSE,"",
        IF(ISERROR(VLOOKUP($G37,SantoYusuf!$L$13:$AK$14,I$4,FALSE))=TRUE,"",
              VLOOKUP($G37,SantoYusuf!$L$13:$AK$14,I$4,FALSE)))</t>
  </si>
  <si>
    <t>=IF(ISNUMBER($L$6)=FALSE,"",
        IF(ISERROR(VLOOKUP($G37,SantoYusuf!$L$13:$AK$14,J$4,FALSE))=TRUE,"",
              VLOOKUP($G37,SantoYusuf!$L$13:$AK$14,J$4,FALSE)))</t>
  </si>
  <si>
    <t>=IF(ISNUMBER($L$6)=FALSE,"",
        IF(ISERROR(VLOOKUP($G37,SantoYusuf!$L$13:$AK$14,K$4,FALSE))=TRUE,"",
              VLOOKUP($G37,SantoYusuf!$L$13:$AK$14,K$4,FALSE)))</t>
  </si>
  <si>
    <t>=IF(ISNUMBER($L$6)=FALSE,"",
        IF(ISERROR(VLOOKUP($G37,SantoYusuf!$L$13:$AK$14,L$4,FALSE))=TRUE,"",
              VLOOKUP($G37,SantoYusuf!$L$13:$AK$14,L$4,FALSE)))</t>
  </si>
  <si>
    <t>=IF(ISNUMBER($L$6)=FALSE,"",
        IF(ISERROR(VLOOKUP($G37,SantoYusuf!$L$13:$AK$14,M$4,FALSE))=TRUE,"",
              VLOOKUP($G37,SantoYusuf!$L$13:$AK$14,M$4,FALSE)))</t>
  </si>
  <si>
    <t>=IF(ISNUMBER($L$6)=FALSE,"",
        IF(ISERROR(VLOOKUP($G37,SantoYusuf!$L$13:$AK$14,N$4,FALSE))=TRUE,"",
              VLOOKUP($G37,SantoYusuf!$L$13:$AK$14,N$4,FALSE)))</t>
  </si>
  <si>
    <t>=IF(ISNUMBER($L$6)=FALSE,"",
        IF(ISERROR(VLOOKUP($G37,SantoYusuf!$L$13:$AK$14,O$4,FALSE))=TRUE,"",
              VLOOKUP($G37,SantoYusuf!$L$13:$AK$14,O$4,FALSE)))</t>
  </si>
  <si>
    <t>=IF(ISNUMBER($L$6)=FALSE,"",
        IF(ISERROR(VLOOKUP($G37,SantoYusuf!$L$13:$AK$14,P$4,FALSE))=TRUE,"",
              VLOOKUP($G37,SantoYusuf!$L$13:$AK$14,P$4,FALSE)))</t>
  </si>
  <si>
    <t>=IF(ISNUMBER($L$6)=FALSE,"",
        IF(ISERROR(VLOOKUP($G37,SantoYusuf!$L$13:$AK$14,Q$4,FALSE))=TRUE,"",
              VLOOKUP($G37,SantoYusuf!$L$13:$AK$14,Q$4,FALSE)))</t>
  </si>
  <si>
    <t>=IF(ISNUMBER($L$6)=FALSE,"",
        IF(ISERROR(VLOOKUP($G37,SantoYusuf!$L$13:$AK$14,R$4,FALSE))=TRUE,"",
              VLOOKUP($G37,SantoYusuf!$L$13:$AK$14,R$4,FALSE)))</t>
  </si>
  <si>
    <t>=IF(ISNUMBER($L$6)=FALSE,"",
        IF(ISERROR(VLOOKUP($G37,SantoYusuf!$L$13:$AK$14,S$4,FALSE))=TRUE,"",
              VLOOKUP($G37,SantoYusuf!$L$13:$AK$14,S$4,FALSE)))</t>
  </si>
  <si>
    <t>=IF(ISNUMBER($L$6)=FALSE,"",
        IF(ISERROR(VLOOKUP($G37,SantoYusuf!$L$13:$AK$14,T$4,FALSE))=TRUE,"",
              VLOOKUP($G37,SantoYusuf!$L$13:$AK$14,T$4,FALSE)))</t>
  </si>
  <si>
    <t>=IF(ISNUMBER($L$6)=FALSE,"",
        IF(ISERROR(VLOOKUP($G37,SantoYusuf!$L$13:$AK$14,U$4,FALSE))=TRUE,"",
              VLOOKUP($G37,SantoYusuf!$L$13:$AK$14,U$4,FALSE)))</t>
  </si>
  <si>
    <t>=IF(ISNUMBER($L$6)=FALSE,"",
        IF(ISERROR(VLOOKUP($G37,SantoYusuf!$L$13:$AK$14,V$4,FALSE))=TRUE,"",
              VLOOKUP($G37,SantoYusuf!$L$13:$AK$14,V$4,FALSE)))</t>
  </si>
  <si>
    <t>=IF(ISNUMBER($L$6)=FALSE,"",
        IF(ISERROR(VLOOKUP($G37,SantoYusuf!$L$13:$AK$14,W$4,FALSE))=TRUE,"",
              VLOOKUP($G37,SantoYusuf!$L$13:$AK$14,W$4,FALSE)))</t>
  </si>
  <si>
    <t>=IF(ISNUMBER($L$6)=FALSE,"",
        IF(ISERROR(VLOOKUP($G37,SantoYusuf!$L$13:$AK$14,X$4,FALSE))=TRUE,"",
              VLOOKUP($G37,SantoYusuf!$L$13:$AK$14,X$4,FALSE)))</t>
  </si>
  <si>
    <t>=IF(ISNUMBER($L$6)=FALSE,"",
        IF(ISERROR(VLOOKUP($G37,SantoYusuf!$L$13:$AK$14,Y$4,FALSE))=TRUE,"",
              VLOOKUP($G37,SantoYusuf!$L$13:$AK$14,Y$4,FALSE)))</t>
  </si>
  <si>
    <t>=IF(ISNUMBER($L$6)=FALSE,"",
        IF(ISERROR(VLOOKUP($G37,SantoYusuf!$L$13:$AK$14,Z$4,FALSE))=TRUE,"",
              VLOOKUP($G37,SantoYusuf!$L$13:$AK$14,Z$4,FALSE)))</t>
  </si>
  <si>
    <t>=IF(ISNUMBER($L$6)=FALSE,"",
        IF(ISERROR(VLOOKUP($G37,SantoYusuf!$L$13:$AK$14,AA$4,FALSE))=TRUE,"",
              VLOOKUP($G37,SantoYusuf!$L$13:$AK$14,AA$4,FALSE)))</t>
  </si>
  <si>
    <t>=IF(ISNUMBER($L$6)=FALSE,"",
        IF(ISERROR(VLOOKUP($G37,SantoYusuf!$L$13:$AK$14,AB$4,FALSE))=TRUE,"",
              VLOOKUP($G37,SantoYusuf!$L$13:$AK$14,AB$4,FALSE)))</t>
  </si>
  <si>
    <t>=IF(ISNUMBER($L$6)=FALSE,"",
        IF(ISERROR(VLOOKUP($G37,SantoYusuf!$L$13:$AK$14,AC$4,FALSE))=TRUE,"",
              VLOOKUP($G37,SantoYusuf!$L$13:$AK$14,AC$4,FALSE)))</t>
  </si>
  <si>
    <t>=IF(ISNUMBER($L$6)=FALSE,"",
        IF(ISERROR(VLOOKUP($G37,SantoYusuf!$L$13:$AK$14,AD$4,FALSE))=TRUE,"",
              VLOOKUP($G37,SantoYusuf!$L$13:$AK$14,AD$4,FALSE)))</t>
  </si>
  <si>
    <t>=IF(ISNUMBER($L$6)=FALSE,"",
        IF(ISERROR(VLOOKUP($G37,SantoYusuf!$L$13:$AK$14,AE$4,FALSE))=TRUE,"",
              VLOOKUP($G37,SantoYusuf!$L$13:$AK$14,AE$4,FALSE)))</t>
  </si>
  <si>
    <t>=IF(ISNUMBER($L$6)=FALSE,"",
        IF(ISERROR(VLOOKUP($G37,SantoYusuf!$L$13:$AK$14,AF$4,FALSE))=TRUE,"",
              VLOOKUP($G37,SantoYusuf!$L$13:$AK$14,AF$4,FALSE)))</t>
  </si>
  <si>
    <t>=IF(ISNUMBER($L$6)=FALSE,"",
IF($C38=0,"",VLOOKUP($E38,SantoYusuf!$H$13:$L$14,4,FALSE)))</t>
  </si>
  <si>
    <t>=IF(ISNUMBER($L$6)=FALSE,"",
IF($C38=0,"",VLOOKUP($E38,SantoYusuf!$H$13:$L$14,5,FALSE)))</t>
  </si>
  <si>
    <t>=IF(ISNUMBER($L$6)=FALSE,"",
        IF(ISERROR(VLOOKUP($G38,SantoYusuf!$L$13:$AK$14,I$4,FALSE))=TRUE,"",
              VLOOKUP($G38,SantoYusuf!$L$13:$AK$14,I$4,FALSE)))</t>
  </si>
  <si>
    <t>=IF(ISNUMBER($L$6)=FALSE,"",
        IF(ISERROR(VLOOKUP($G38,SantoYusuf!$L$13:$AK$14,J$4,FALSE))=TRUE,"",
              VLOOKUP($G38,SantoYusuf!$L$13:$AK$14,J$4,FALSE)))</t>
  </si>
  <si>
    <t>=IF(ISNUMBER($L$6)=FALSE,"",
        IF(ISERROR(VLOOKUP($G38,SantoYusuf!$L$13:$AK$14,K$4,FALSE))=TRUE,"",
              VLOOKUP($G38,SantoYusuf!$L$13:$AK$14,K$4,FALSE)))</t>
  </si>
  <si>
    <t>=IF(ISNUMBER($L$6)=FALSE,"",
        IF(ISERROR(VLOOKUP($G38,SantoYusuf!$L$13:$AK$14,L$4,FALSE))=TRUE,"",
              VLOOKUP($G38,SantoYusuf!$L$13:$AK$14,L$4,FALSE)))</t>
  </si>
  <si>
    <t>=IF(ISNUMBER($L$6)=FALSE,"",
        IF(ISERROR(VLOOKUP($G38,SantoYusuf!$L$13:$AK$14,M$4,FALSE))=TRUE,"",
              VLOOKUP($G38,SantoYusuf!$L$13:$AK$14,M$4,FALSE)))</t>
  </si>
  <si>
    <t>=IF(ISNUMBER($L$6)=FALSE,"",
        IF(ISERROR(VLOOKUP($G38,SantoYusuf!$L$13:$AK$14,N$4,FALSE))=TRUE,"",
              VLOOKUP($G38,SantoYusuf!$L$13:$AK$14,N$4,FALSE)))</t>
  </si>
  <si>
    <t>=IF(ISNUMBER($L$6)=FALSE,"",
        IF(ISERROR(VLOOKUP($G38,SantoYusuf!$L$13:$AK$14,O$4,FALSE))=TRUE,"",
              VLOOKUP($G38,SantoYusuf!$L$13:$AK$14,O$4,FALSE)))</t>
  </si>
  <si>
    <t>=IF(ISNUMBER($L$6)=FALSE,"",
        IF(ISERROR(VLOOKUP($G38,SantoYusuf!$L$13:$AK$14,P$4,FALSE))=TRUE,"",
              VLOOKUP($G38,SantoYusuf!$L$13:$AK$14,P$4,FALSE)))</t>
  </si>
  <si>
    <t>=IF(ISNUMBER($L$6)=FALSE,"",
        IF(ISERROR(VLOOKUP($G38,SantoYusuf!$L$13:$AK$14,Q$4,FALSE))=TRUE,"",
              VLOOKUP($G38,SantoYusuf!$L$13:$AK$14,Q$4,FALSE)))</t>
  </si>
  <si>
    <t>=IF(ISNUMBER($L$6)=FALSE,"",
        IF(ISERROR(VLOOKUP($G38,SantoYusuf!$L$13:$AK$14,R$4,FALSE))=TRUE,"",
              VLOOKUP($G38,SantoYusuf!$L$13:$AK$14,R$4,FALSE)))</t>
  </si>
  <si>
    <t>=IF(ISNUMBER($L$6)=FALSE,"",
        IF(ISERROR(VLOOKUP($G38,SantoYusuf!$L$13:$AK$14,S$4,FALSE))=TRUE,"",
              VLOOKUP($G38,SantoYusuf!$L$13:$AK$14,S$4,FALSE)))</t>
  </si>
  <si>
    <t>=IF(ISNUMBER($L$6)=FALSE,"",
        IF(ISERROR(VLOOKUP($G38,SantoYusuf!$L$13:$AK$14,T$4,FALSE))=TRUE,"",
              VLOOKUP($G38,SantoYusuf!$L$13:$AK$14,T$4,FALSE)))</t>
  </si>
  <si>
    <t>=IF(ISNUMBER($L$6)=FALSE,"",
        IF(ISERROR(VLOOKUP($G38,SantoYusuf!$L$13:$AK$14,U$4,FALSE))=TRUE,"",
              VLOOKUP($G38,SantoYusuf!$L$13:$AK$14,U$4,FALSE)))</t>
  </si>
  <si>
    <t>=IF(ISNUMBER($L$6)=FALSE,"",
        IF(ISERROR(VLOOKUP($G38,SantoYusuf!$L$13:$AK$14,V$4,FALSE))=TRUE,"",
              VLOOKUP($G38,SantoYusuf!$L$13:$AK$14,V$4,FALSE)))</t>
  </si>
  <si>
    <t>=IF(ISNUMBER($L$6)=FALSE,"",
        IF(ISERROR(VLOOKUP($G38,SantoYusuf!$L$13:$AK$14,W$4,FALSE))=TRUE,"",
              VLOOKUP($G38,SantoYusuf!$L$13:$AK$14,W$4,FALSE)))</t>
  </si>
  <si>
    <t>=IF(ISNUMBER($L$6)=FALSE,"",
        IF(ISERROR(VLOOKUP($G38,SantoYusuf!$L$13:$AK$14,X$4,FALSE))=TRUE,"",
              VLOOKUP($G38,SantoYusuf!$L$13:$AK$14,X$4,FALSE)))</t>
  </si>
  <si>
    <t>=IF(ISNUMBER($L$6)=FALSE,"",
        IF(ISERROR(VLOOKUP($G38,SantoYusuf!$L$13:$AK$14,Y$4,FALSE))=TRUE,"",
              VLOOKUP($G38,SantoYusuf!$L$13:$AK$14,Y$4,FALSE)))</t>
  </si>
  <si>
    <t>=IF(ISNUMBER($L$6)=FALSE,"",
        IF(ISERROR(VLOOKUP($G38,SantoYusuf!$L$13:$AK$14,Z$4,FALSE))=TRUE,"",
              VLOOKUP($G38,SantoYusuf!$L$13:$AK$14,Z$4,FALSE)))</t>
  </si>
  <si>
    <t>=IF(ISNUMBER($L$6)=FALSE,"",
        IF(ISERROR(VLOOKUP($G38,SantoYusuf!$L$13:$AK$14,AA$4,FALSE))=TRUE,"",
              VLOOKUP($G38,SantoYusuf!$L$13:$AK$14,AA$4,FALSE)))</t>
  </si>
  <si>
    <t>=IF(ISNUMBER($L$6)=FALSE,"",
        IF(ISERROR(VLOOKUP($G38,SantoYusuf!$L$13:$AK$14,AB$4,FALSE))=TRUE,"",
              VLOOKUP($G38,SantoYusuf!$L$13:$AK$14,AB$4,FALSE)))</t>
  </si>
  <si>
    <t>=IF(ISNUMBER($L$6)=FALSE,"",
        IF(ISERROR(VLOOKUP($G38,SantoYusuf!$L$13:$AK$14,AC$4,FALSE))=TRUE,"",
              VLOOKUP($G38,SantoYusuf!$L$13:$AK$14,AC$4,FALSE)))</t>
  </si>
  <si>
    <t>=IF(ISNUMBER($L$6)=FALSE,"",
        IF(ISERROR(VLOOKUP($G38,SantoYusuf!$L$13:$AK$14,AD$4,FALSE))=TRUE,"",
              VLOOKUP($G38,SantoYusuf!$L$13:$AK$14,AD$4,FALSE)))</t>
  </si>
  <si>
    <t>=IF(ISNUMBER($L$6)=FALSE,"",
        IF(ISERROR(VLOOKUP($G38,SantoYusuf!$L$13:$AK$14,AE$4,FALSE))=TRUE,"",
              VLOOKUP($G38,SantoYusuf!$L$13:$AK$14,AE$4,FALSE)))</t>
  </si>
  <si>
    <t>=IF(ISNUMBER($L$6)=FALSE,"",
        IF(ISERROR(VLOOKUP($G38,SantoYusuf!$L$13:$AK$14,AF$4,FALSE))=TRUE,"",
              VLOOKUP($G38,SantoYusuf!$L$13:$AK$14,AF$4,FALSE)))</t>
  </si>
  <si>
    <t>=IF(ISNUMBER($L$6)=FALSE,"",
IF($C39=0,"",VLOOKUP($E39,SantoYusuf!$H$13:$L$14,4,FALSE)))</t>
  </si>
  <si>
    <t>=IF(ISNUMBER($L$6)=FALSE,"",
IF($C39=0,"",VLOOKUP($E39,SantoYusuf!$H$13:$L$14,5,FALSE)))</t>
  </si>
  <si>
    <t>=IF(ISNUMBER($L$6)=FALSE,"",
        IF(ISERROR(VLOOKUP($G39,SantoYusuf!$L$13:$AK$14,I$4,FALSE))=TRUE,"",
              VLOOKUP($G39,SantoYusuf!$L$13:$AK$14,I$4,FALSE)))</t>
  </si>
  <si>
    <t>=IF(ISNUMBER($L$6)=FALSE,"",
        IF(ISERROR(VLOOKUP($G39,SantoYusuf!$L$13:$AK$14,J$4,FALSE))=TRUE,"",
              VLOOKUP($G39,SantoYusuf!$L$13:$AK$14,J$4,FALSE)))</t>
  </si>
  <si>
    <t>=IF(ISNUMBER($L$6)=FALSE,"",
        IF(ISERROR(VLOOKUP($G39,SantoYusuf!$L$13:$AK$14,K$4,FALSE))=TRUE,"",
              VLOOKUP($G39,SantoYusuf!$L$13:$AK$14,K$4,FALSE)))</t>
  </si>
  <si>
    <t>=IF(ISNUMBER($L$6)=FALSE,"",
        IF(ISERROR(VLOOKUP($G39,SantoYusuf!$L$13:$AK$14,L$4,FALSE))=TRUE,"",
              VLOOKUP($G39,SantoYusuf!$L$13:$AK$14,L$4,FALSE)))</t>
  </si>
  <si>
    <t>=IF(ISNUMBER($L$6)=FALSE,"",
        IF(ISERROR(VLOOKUP($G39,SantoYusuf!$L$13:$AK$14,M$4,FALSE))=TRUE,"",
              VLOOKUP($G39,SantoYusuf!$L$13:$AK$14,M$4,FALSE)))</t>
  </si>
  <si>
    <t>=IF(ISNUMBER($L$6)=FALSE,"",
        IF(ISERROR(VLOOKUP($G39,SantoYusuf!$L$13:$AK$14,N$4,FALSE))=TRUE,"",
              VLOOKUP($G39,SantoYusuf!$L$13:$AK$14,N$4,FALSE)))</t>
  </si>
  <si>
    <t>=IF(ISNUMBER($L$6)=FALSE,"",
        IF(ISERROR(VLOOKUP($G39,SantoYusuf!$L$13:$AK$14,O$4,FALSE))=TRUE,"",
              VLOOKUP($G39,SantoYusuf!$L$13:$AK$14,O$4,FALSE)))</t>
  </si>
  <si>
    <t>=IF(ISNUMBER($L$6)=FALSE,"",
        IF(ISERROR(VLOOKUP($G39,SantoYusuf!$L$13:$AK$14,P$4,FALSE))=TRUE,"",
              VLOOKUP($G39,SantoYusuf!$L$13:$AK$14,P$4,FALSE)))</t>
  </si>
  <si>
    <t>=IF(ISNUMBER($L$6)=FALSE,"",
        IF(ISERROR(VLOOKUP($G39,SantoYusuf!$L$13:$AK$14,Q$4,FALSE))=TRUE,"",
              VLOOKUP($G39,SantoYusuf!$L$13:$AK$14,Q$4,FALSE)))</t>
  </si>
  <si>
    <t>=IF(ISNUMBER($L$6)=FALSE,"",
        IF(ISERROR(VLOOKUP($G39,SantoYusuf!$L$13:$AK$14,R$4,FALSE))=TRUE,"",
              VLOOKUP($G39,SantoYusuf!$L$13:$AK$14,R$4,FALSE)))</t>
  </si>
  <si>
    <t>=IF(ISNUMBER($L$6)=FALSE,"",
        IF(ISERROR(VLOOKUP($G39,SantoYusuf!$L$13:$AK$14,S$4,FALSE))=TRUE,"",
              VLOOKUP($G39,SantoYusuf!$L$13:$AK$14,S$4,FALSE)))</t>
  </si>
  <si>
    <t>=IF(ISNUMBER($L$6)=FALSE,"",
        IF(ISERROR(VLOOKUP($G39,SantoYusuf!$L$13:$AK$14,T$4,FALSE))=TRUE,"",
              VLOOKUP($G39,SantoYusuf!$L$13:$AK$14,T$4,FALSE)))</t>
  </si>
  <si>
    <t>=IF(ISNUMBER($L$6)=FALSE,"",
        IF(ISERROR(VLOOKUP($G39,SantoYusuf!$L$13:$AK$14,U$4,FALSE))=TRUE,"",
              VLOOKUP($G39,SantoYusuf!$L$13:$AK$14,U$4,FALSE)))</t>
  </si>
  <si>
    <t>=IF(ISNUMBER($L$6)=FALSE,"",
        IF(ISERROR(VLOOKUP($G39,SantoYusuf!$L$13:$AK$14,V$4,FALSE))=TRUE,"",
              VLOOKUP($G39,SantoYusuf!$L$13:$AK$14,V$4,FALSE)))</t>
  </si>
  <si>
    <t>=IF(ISNUMBER($L$6)=FALSE,"",
        IF(ISERROR(VLOOKUP($G39,SantoYusuf!$L$13:$AK$14,W$4,FALSE))=TRUE,"",
              VLOOKUP($G39,SantoYusuf!$L$13:$AK$14,W$4,FALSE)))</t>
  </si>
  <si>
    <t>=IF(ISNUMBER($L$6)=FALSE,"",
        IF(ISERROR(VLOOKUP($G39,SantoYusuf!$L$13:$AK$14,X$4,FALSE))=TRUE,"",
              VLOOKUP($G39,SantoYusuf!$L$13:$AK$14,X$4,FALSE)))</t>
  </si>
  <si>
    <t>=IF(ISNUMBER($L$6)=FALSE,"",
        IF(ISERROR(VLOOKUP($G39,SantoYusuf!$L$13:$AK$14,Y$4,FALSE))=TRUE,"",
              VLOOKUP($G39,SantoYusuf!$L$13:$AK$14,Y$4,FALSE)))</t>
  </si>
  <si>
    <t>=IF(ISNUMBER($L$6)=FALSE,"",
        IF(ISERROR(VLOOKUP($G39,SantoYusuf!$L$13:$AK$14,Z$4,FALSE))=TRUE,"",
              VLOOKUP($G39,SantoYusuf!$L$13:$AK$14,Z$4,FALSE)))</t>
  </si>
  <si>
    <t>=IF(ISNUMBER($L$6)=FALSE,"",
        IF(ISERROR(VLOOKUP($G39,SantoYusuf!$L$13:$AK$14,AA$4,FALSE))=TRUE,"",
              VLOOKUP($G39,SantoYusuf!$L$13:$AK$14,AA$4,FALSE)))</t>
  </si>
  <si>
    <t>=IF(ISNUMBER($L$6)=FALSE,"",
        IF(ISERROR(VLOOKUP($G39,SantoYusuf!$L$13:$AK$14,AB$4,FALSE))=TRUE,"",
              VLOOKUP($G39,SantoYusuf!$L$13:$AK$14,AB$4,FALSE)))</t>
  </si>
  <si>
    <t>=IF(ISNUMBER($L$6)=FALSE,"",
        IF(ISERROR(VLOOKUP($G39,SantoYusuf!$L$13:$AK$14,AC$4,FALSE))=TRUE,"",
              VLOOKUP($G39,SantoYusuf!$L$13:$AK$14,AC$4,FALSE)))</t>
  </si>
  <si>
    <t>=IF(ISNUMBER($L$6)=FALSE,"",
        IF(ISERROR(VLOOKUP($G39,SantoYusuf!$L$13:$AK$14,AD$4,FALSE))=TRUE,"",
              VLOOKUP($G39,SantoYusuf!$L$13:$AK$14,AD$4,FALSE)))</t>
  </si>
  <si>
    <t>=IF(ISNUMBER($L$6)=FALSE,"",
        IF(ISERROR(VLOOKUP($G39,SantoYusuf!$L$13:$AK$14,AE$4,FALSE))=TRUE,"",
              VLOOKUP($G39,SantoYusuf!$L$13:$AK$14,AE$4,FALSE)))</t>
  </si>
  <si>
    <t>=IF(ISNUMBER($L$6)=FALSE,"",
        IF(ISERROR(VLOOKUP($G39,SantoYusuf!$L$13:$AK$14,AF$4,FALSE))=TRUE,"",
              VLOOKUP($G39,SantoYusuf!$L$13:$AK$14,AF$4,FALSE)))</t>
  </si>
  <si>
    <t>=IF(ISNUMBER($L$6)=FALSE,"",
IF($C40=0,"",VLOOKUP($E40,SantoYusuf!$H$13:$L$14,4,FALSE)))</t>
  </si>
  <si>
    <t>=IF(ISNUMBER($L$6)=FALSE,"",
IF($C40=0,"",VLOOKUP($E40,SantoYusuf!$H$13:$L$14,5,FALSE)))</t>
  </si>
  <si>
    <t>=IF(ISNUMBER($L$6)=FALSE,"",
        IF(ISERROR(VLOOKUP($G40,SantoYusuf!$L$13:$AK$14,I$4,FALSE))=TRUE,"",
              VLOOKUP($G40,SantoYusuf!$L$13:$AK$14,I$4,FALSE)))</t>
  </si>
  <si>
    <t>=IF(ISNUMBER($L$6)=FALSE,"",
        IF(ISERROR(VLOOKUP($G40,SantoYusuf!$L$13:$AK$14,J$4,FALSE))=TRUE,"",
              VLOOKUP($G40,SantoYusuf!$L$13:$AK$14,J$4,FALSE)))</t>
  </si>
  <si>
    <t>=IF(ISNUMBER($L$6)=FALSE,"",
        IF(ISERROR(VLOOKUP($G40,SantoYusuf!$L$13:$AK$14,K$4,FALSE))=TRUE,"",
              VLOOKUP($G40,SantoYusuf!$L$13:$AK$14,K$4,FALSE)))</t>
  </si>
  <si>
    <t>=IF(ISNUMBER($L$6)=FALSE,"",
        IF(ISERROR(VLOOKUP($G40,SantoYusuf!$L$13:$AK$14,L$4,FALSE))=TRUE,"",
              VLOOKUP($G40,SantoYusuf!$L$13:$AK$14,L$4,FALSE)))</t>
  </si>
  <si>
    <t>=IF(ISNUMBER($L$6)=FALSE,"",
        IF(ISERROR(VLOOKUP($G40,SantoYusuf!$L$13:$AK$14,M$4,FALSE))=TRUE,"",
              VLOOKUP($G40,SantoYusuf!$L$13:$AK$14,M$4,FALSE)))</t>
  </si>
  <si>
    <t>=IF(ISNUMBER($L$6)=FALSE,"",
        IF(ISERROR(VLOOKUP($G40,SantoYusuf!$L$13:$AK$14,N$4,FALSE))=TRUE,"",
              VLOOKUP($G40,SantoYusuf!$L$13:$AK$14,N$4,FALSE)))</t>
  </si>
  <si>
    <t>=IF(ISNUMBER($L$6)=FALSE,"",
        IF(ISERROR(VLOOKUP($G40,SantoYusuf!$L$13:$AK$14,O$4,FALSE))=TRUE,"",
              VLOOKUP($G40,SantoYusuf!$L$13:$AK$14,O$4,FALSE)))</t>
  </si>
  <si>
    <t>=IF(ISNUMBER($L$6)=FALSE,"",
        IF(ISERROR(VLOOKUP($G40,SantoYusuf!$L$13:$AK$14,P$4,FALSE))=TRUE,"",
              VLOOKUP($G40,SantoYusuf!$L$13:$AK$14,P$4,FALSE)))</t>
  </si>
  <si>
    <t>=IF(ISNUMBER($L$6)=FALSE,"",
        IF(ISERROR(VLOOKUP($G40,SantoYusuf!$L$13:$AK$14,Q$4,FALSE))=TRUE,"",
              VLOOKUP($G40,SantoYusuf!$L$13:$AK$14,Q$4,FALSE)))</t>
  </si>
  <si>
    <t>=IF(ISNUMBER($L$6)=FALSE,"",
        IF(ISERROR(VLOOKUP($G40,SantoYusuf!$L$13:$AK$14,R$4,FALSE))=TRUE,"",
              VLOOKUP($G40,SantoYusuf!$L$13:$AK$14,R$4,FALSE)))</t>
  </si>
  <si>
    <t>=IF(ISNUMBER($L$6)=FALSE,"",
        IF(ISERROR(VLOOKUP($G40,SantoYusuf!$L$13:$AK$14,S$4,FALSE))=TRUE,"",
              VLOOKUP($G40,SantoYusuf!$L$13:$AK$14,S$4,FALSE)))</t>
  </si>
  <si>
    <t>=IF(ISNUMBER($L$6)=FALSE,"",
        IF(ISERROR(VLOOKUP($G40,SantoYusuf!$L$13:$AK$14,T$4,FALSE))=TRUE,"",
              VLOOKUP($G40,SantoYusuf!$L$13:$AK$14,T$4,FALSE)))</t>
  </si>
  <si>
    <t>=IF(ISNUMBER($L$6)=FALSE,"",
        IF(ISERROR(VLOOKUP($G40,SantoYusuf!$L$13:$AK$14,U$4,FALSE))=TRUE,"",
              VLOOKUP($G40,SantoYusuf!$L$13:$AK$14,U$4,FALSE)))</t>
  </si>
  <si>
    <t>=IF(ISNUMBER($L$6)=FALSE,"",
        IF(ISERROR(VLOOKUP($G40,SantoYusuf!$L$13:$AK$14,V$4,FALSE))=TRUE,"",
              VLOOKUP($G40,SantoYusuf!$L$13:$AK$14,V$4,FALSE)))</t>
  </si>
  <si>
    <t>=IF(ISNUMBER($L$6)=FALSE,"",
        IF(ISERROR(VLOOKUP($G40,SantoYusuf!$L$13:$AK$14,W$4,FALSE))=TRUE,"",
              VLOOKUP($G40,SantoYusuf!$L$13:$AK$14,W$4,FALSE)))</t>
  </si>
  <si>
    <t>=IF(ISNUMBER($L$6)=FALSE,"",
        IF(ISERROR(VLOOKUP($G40,SantoYusuf!$L$13:$AK$14,X$4,FALSE))=TRUE,"",
              VLOOKUP($G40,SantoYusuf!$L$13:$AK$14,X$4,FALSE)))</t>
  </si>
  <si>
    <t>=IF(ISNUMBER($L$6)=FALSE,"",
        IF(ISERROR(VLOOKUP($G40,SantoYusuf!$L$13:$AK$14,Y$4,FALSE))=TRUE,"",
              VLOOKUP($G40,SantoYusuf!$L$13:$AK$14,Y$4,FALSE)))</t>
  </si>
  <si>
    <t>=IF(ISNUMBER($L$6)=FALSE,"",
        IF(ISERROR(VLOOKUP($G40,SantoYusuf!$L$13:$AK$14,Z$4,FALSE))=TRUE,"",
              VLOOKUP($G40,SantoYusuf!$L$13:$AK$14,Z$4,FALSE)))</t>
  </si>
  <si>
    <t>=IF(ISNUMBER($L$6)=FALSE,"",
        IF(ISERROR(VLOOKUP($G40,SantoYusuf!$L$13:$AK$14,AA$4,FALSE))=TRUE,"",
              VLOOKUP($G40,SantoYusuf!$L$13:$AK$14,AA$4,FALSE)))</t>
  </si>
  <si>
    <t>=IF(ISNUMBER($L$6)=FALSE,"",
        IF(ISERROR(VLOOKUP($G40,SantoYusuf!$L$13:$AK$14,AB$4,FALSE))=TRUE,"",
              VLOOKUP($G40,SantoYusuf!$L$13:$AK$14,AB$4,FALSE)))</t>
  </si>
  <si>
    <t>=IF(ISNUMBER($L$6)=FALSE,"",
        IF(ISERROR(VLOOKUP($G40,SantoYusuf!$L$13:$AK$14,AC$4,FALSE))=TRUE,"",
              VLOOKUP($G40,SantoYusuf!$L$13:$AK$14,AC$4,FALSE)))</t>
  </si>
  <si>
    <t>=IF(ISNUMBER($L$6)=FALSE,"",
        IF(ISERROR(VLOOKUP($G40,SantoYusuf!$L$13:$AK$14,AD$4,FALSE))=TRUE,"",
              VLOOKUP($G40,SantoYusuf!$L$13:$AK$14,AD$4,FALSE)))</t>
  </si>
  <si>
    <t>=IF(ISNUMBER($L$6)=FALSE,"",
        IF(ISERROR(VLOOKUP($G40,SantoYusuf!$L$13:$AK$14,AE$4,FALSE))=TRUE,"",
              VLOOKUP($G40,SantoYusuf!$L$13:$AK$14,AE$4,FALSE)))</t>
  </si>
  <si>
    <t>=IF(ISNUMBER($L$6)=FALSE,"",
        IF(ISERROR(VLOOKUP($G40,SantoYusuf!$L$13:$AK$14,AF$4,FALSE))=TRUE,"",
              VLOOKUP($G40,SantoYusuf!$L$13:$AK$14,AF$4,FALSE)))</t>
  </si>
  <si>
    <t>=IF(ISNUMBER($L$6)=FALSE,"",
IF($C41=0,"",VLOOKUP($E41,SantoYusuf!$H$13:$L$14,4,FALSE)))</t>
  </si>
  <si>
    <t>=IF(ISNUMBER($L$6)=FALSE,"",
IF($C41=0,"",VLOOKUP($E41,SantoYusuf!$H$13:$L$14,5,FALSE)))</t>
  </si>
  <si>
    <t>=IF(ISNUMBER($L$6)=FALSE,"",
        IF(ISERROR(VLOOKUP($G41,SantoYusuf!$L$13:$AK$14,I$4,FALSE))=TRUE,"",
              VLOOKUP($G41,SantoYusuf!$L$13:$AK$14,I$4,FALSE)))</t>
  </si>
  <si>
    <t>=IF(ISNUMBER($L$6)=FALSE,"",
        IF(ISERROR(VLOOKUP($G41,SantoYusuf!$L$13:$AK$14,J$4,FALSE))=TRUE,"",
              VLOOKUP($G41,SantoYusuf!$L$13:$AK$14,J$4,FALSE)))</t>
  </si>
  <si>
    <t>=IF(ISNUMBER($L$6)=FALSE,"",
        IF(ISERROR(VLOOKUP($G41,SantoYusuf!$L$13:$AK$14,K$4,FALSE))=TRUE,"",
              VLOOKUP($G41,SantoYusuf!$L$13:$AK$14,K$4,FALSE)))</t>
  </si>
  <si>
    <t>=IF(ISNUMBER($L$6)=FALSE,"",
        IF(ISERROR(VLOOKUP($G41,SantoYusuf!$L$13:$AK$14,L$4,FALSE))=TRUE,"",
              VLOOKUP($G41,SantoYusuf!$L$13:$AK$14,L$4,FALSE)))</t>
  </si>
  <si>
    <t>=IF(ISNUMBER($L$6)=FALSE,"",
        IF(ISERROR(VLOOKUP($G41,SantoYusuf!$L$13:$AK$14,M$4,FALSE))=TRUE,"",
              VLOOKUP($G41,SantoYusuf!$L$13:$AK$14,M$4,FALSE)))</t>
  </si>
  <si>
    <t>=IF(ISNUMBER($L$6)=FALSE,"",
        IF(ISERROR(VLOOKUP($G41,SantoYusuf!$L$13:$AK$14,N$4,FALSE))=TRUE,"",
              VLOOKUP($G41,SantoYusuf!$L$13:$AK$14,N$4,FALSE)))</t>
  </si>
  <si>
    <t>=IF(ISNUMBER($L$6)=FALSE,"",
        IF(ISERROR(VLOOKUP($G41,SantoYusuf!$L$13:$AK$14,O$4,FALSE))=TRUE,"",
              VLOOKUP($G41,SantoYusuf!$L$13:$AK$14,O$4,FALSE)))</t>
  </si>
  <si>
    <t>=IF(ISNUMBER($L$6)=FALSE,"",
        IF(ISERROR(VLOOKUP($G41,SantoYusuf!$L$13:$AK$14,P$4,FALSE))=TRUE,"",
              VLOOKUP($G41,SantoYusuf!$L$13:$AK$14,P$4,FALSE)))</t>
  </si>
  <si>
    <t>=IF(ISNUMBER($L$6)=FALSE,"",
        IF(ISERROR(VLOOKUP($G41,SantoYusuf!$L$13:$AK$14,Q$4,FALSE))=TRUE,"",
              VLOOKUP($G41,SantoYusuf!$L$13:$AK$14,Q$4,FALSE)))</t>
  </si>
  <si>
    <t>=IF(ISNUMBER($L$6)=FALSE,"",
        IF(ISERROR(VLOOKUP($G41,SantoYusuf!$L$13:$AK$14,R$4,FALSE))=TRUE,"",
              VLOOKUP($G41,SantoYusuf!$L$13:$AK$14,R$4,FALSE)))</t>
  </si>
  <si>
    <t>=IF(ISNUMBER($L$6)=FALSE,"",
        IF(ISERROR(VLOOKUP($G41,SantoYusuf!$L$13:$AK$14,S$4,FALSE))=TRUE,"",
              VLOOKUP($G41,SantoYusuf!$L$13:$AK$14,S$4,FALSE)))</t>
  </si>
  <si>
    <t>=IF(ISNUMBER($L$6)=FALSE,"",
        IF(ISERROR(VLOOKUP($G41,SantoYusuf!$L$13:$AK$14,T$4,FALSE))=TRUE,"",
              VLOOKUP($G41,SantoYusuf!$L$13:$AK$14,T$4,FALSE)))</t>
  </si>
  <si>
    <t>=IF(ISNUMBER($L$6)=FALSE,"",
        IF(ISERROR(VLOOKUP($G41,SantoYusuf!$L$13:$AK$14,U$4,FALSE))=TRUE,"",
              VLOOKUP($G41,SantoYusuf!$L$13:$AK$14,U$4,FALSE)))</t>
  </si>
  <si>
    <t>=IF(ISNUMBER($L$6)=FALSE,"",
        IF(ISERROR(VLOOKUP($G41,SantoYusuf!$L$13:$AK$14,V$4,FALSE))=TRUE,"",
              VLOOKUP($G41,SantoYusuf!$L$13:$AK$14,V$4,FALSE)))</t>
  </si>
  <si>
    <t>=IF(ISNUMBER($L$6)=FALSE,"",
        IF(ISERROR(VLOOKUP($G41,SantoYusuf!$L$13:$AK$14,W$4,FALSE))=TRUE,"",
              VLOOKUP($G41,SantoYusuf!$L$13:$AK$14,W$4,FALSE)))</t>
  </si>
  <si>
    <t>=IF(ISNUMBER($L$6)=FALSE,"",
        IF(ISERROR(VLOOKUP($G41,SantoYusuf!$L$13:$AK$14,X$4,FALSE))=TRUE,"",
              VLOOKUP($G41,SantoYusuf!$L$13:$AK$14,X$4,FALSE)))</t>
  </si>
  <si>
    <t>=IF(ISNUMBER($L$6)=FALSE,"",
        IF(ISERROR(VLOOKUP($G41,SantoYusuf!$L$13:$AK$14,Y$4,FALSE))=TRUE,"",
              VLOOKUP($G41,SantoYusuf!$L$13:$AK$14,Y$4,FALSE)))</t>
  </si>
  <si>
    <t>=IF(ISNUMBER($L$6)=FALSE,"",
        IF(ISERROR(VLOOKUP($G41,SantoYusuf!$L$13:$AK$14,Z$4,FALSE))=TRUE,"",
              VLOOKUP($G41,SantoYusuf!$L$13:$AK$14,Z$4,FALSE)))</t>
  </si>
  <si>
    <t>=IF(ISNUMBER($L$6)=FALSE,"",
        IF(ISERROR(VLOOKUP($G41,SantoYusuf!$L$13:$AK$14,AA$4,FALSE))=TRUE,"",
              VLOOKUP($G41,SantoYusuf!$L$13:$AK$14,AA$4,FALSE)))</t>
  </si>
  <si>
    <t>=IF(ISNUMBER($L$6)=FALSE,"",
        IF(ISERROR(VLOOKUP($G41,SantoYusuf!$L$13:$AK$14,AB$4,FALSE))=TRUE,"",
              VLOOKUP($G41,SantoYusuf!$L$13:$AK$14,AB$4,FALSE)))</t>
  </si>
  <si>
    <t>=IF(ISNUMBER($L$6)=FALSE,"",
        IF(ISERROR(VLOOKUP($G41,SantoYusuf!$L$13:$AK$14,AC$4,FALSE))=TRUE,"",
              VLOOKUP($G41,SantoYusuf!$L$13:$AK$14,AC$4,FALSE)))</t>
  </si>
  <si>
    <t>=IF(ISNUMBER($L$6)=FALSE,"",
        IF(ISERROR(VLOOKUP($G41,SantoYusuf!$L$13:$AK$14,AD$4,FALSE))=TRUE,"",
              VLOOKUP($G41,SantoYusuf!$L$13:$AK$14,AD$4,FALSE)))</t>
  </si>
  <si>
    <t>=IF(ISNUMBER($L$6)=FALSE,"",
        IF(ISERROR(VLOOKUP($G41,SantoYusuf!$L$13:$AK$14,AE$4,FALSE))=TRUE,"",
              VLOOKUP($G41,SantoYusuf!$L$13:$AK$14,AE$4,FALSE)))</t>
  </si>
  <si>
    <t>=IF(ISNUMBER($L$6)=FALSE,"",
        IF(ISERROR(VLOOKUP($G41,SantoYusuf!$L$13:$AK$14,AF$4,FALSE))=TRUE,"",
              VLOOKUP($G41,SantoYusuf!$L$13:$AK$14,AF$4,FALSE)))</t>
  </si>
  <si>
    <t>=IF(ISNUMBER($L$6)=FALSE,"",
IF($C42=0,"",VLOOKUP($E42,SantoYusuf!$H$13:$L$14,4,FALSE)))</t>
  </si>
  <si>
    <t>=IF(ISNUMBER($L$6)=FALSE,"",
IF($C42=0,"",VLOOKUP($E42,SantoYusuf!$H$13:$L$14,5,FALSE)))</t>
  </si>
  <si>
    <t>=IF(ISNUMBER($L$6)=FALSE,"",
        IF(ISERROR(VLOOKUP($G42,SantoYusuf!$L$13:$AK$14,I$4,FALSE))=TRUE,"",
              VLOOKUP($G42,SantoYusuf!$L$13:$AK$14,I$4,FALSE)))</t>
  </si>
  <si>
    <t>=IF(ISNUMBER($L$6)=FALSE,"",
        IF(ISERROR(VLOOKUP($G42,SantoYusuf!$L$13:$AK$14,J$4,FALSE))=TRUE,"",
              VLOOKUP($G42,SantoYusuf!$L$13:$AK$14,J$4,FALSE)))</t>
  </si>
  <si>
    <t>=IF(ISNUMBER($L$6)=FALSE,"",
        IF(ISERROR(VLOOKUP($G42,SantoYusuf!$L$13:$AK$14,K$4,FALSE))=TRUE,"",
              VLOOKUP($G42,SantoYusuf!$L$13:$AK$14,K$4,FALSE)))</t>
  </si>
  <si>
    <t>=IF(ISNUMBER($L$6)=FALSE,"",
        IF(ISERROR(VLOOKUP($G42,SantoYusuf!$L$13:$AK$14,L$4,FALSE))=TRUE,"",
              VLOOKUP($G42,SantoYusuf!$L$13:$AK$14,L$4,FALSE)))</t>
  </si>
  <si>
    <t>=IF(ISNUMBER($L$6)=FALSE,"",
        IF(ISERROR(VLOOKUP($G42,SantoYusuf!$L$13:$AK$14,M$4,FALSE))=TRUE,"",
              VLOOKUP($G42,SantoYusuf!$L$13:$AK$14,M$4,FALSE)))</t>
  </si>
  <si>
    <t>=IF(ISNUMBER($L$6)=FALSE,"",
        IF(ISERROR(VLOOKUP($G42,SantoYusuf!$L$13:$AK$14,N$4,FALSE))=TRUE,"",
              VLOOKUP($G42,SantoYusuf!$L$13:$AK$14,N$4,FALSE)))</t>
  </si>
  <si>
    <t>=IF(ISNUMBER($L$6)=FALSE,"",
        IF(ISERROR(VLOOKUP($G42,SantoYusuf!$L$13:$AK$14,O$4,FALSE))=TRUE,"",
              VLOOKUP($G42,SantoYusuf!$L$13:$AK$14,O$4,FALSE)))</t>
  </si>
  <si>
    <t>=IF(ISNUMBER($L$6)=FALSE,"",
        IF(ISERROR(VLOOKUP($G42,SantoYusuf!$L$13:$AK$14,P$4,FALSE))=TRUE,"",
              VLOOKUP($G42,SantoYusuf!$L$13:$AK$14,P$4,FALSE)))</t>
  </si>
  <si>
    <t>=IF(ISNUMBER($L$6)=FALSE,"",
        IF(ISERROR(VLOOKUP($G42,SantoYusuf!$L$13:$AK$14,Q$4,FALSE))=TRUE,"",
              VLOOKUP($G42,SantoYusuf!$L$13:$AK$14,Q$4,FALSE)))</t>
  </si>
  <si>
    <t>=IF(ISNUMBER($L$6)=FALSE,"",
        IF(ISERROR(VLOOKUP($G42,SantoYusuf!$L$13:$AK$14,R$4,FALSE))=TRUE,"",
              VLOOKUP($G42,SantoYusuf!$L$13:$AK$14,R$4,FALSE)))</t>
  </si>
  <si>
    <t>=IF(ISNUMBER($L$6)=FALSE,"",
        IF(ISERROR(VLOOKUP($G42,SantoYusuf!$L$13:$AK$14,S$4,FALSE))=TRUE,"",
              VLOOKUP($G42,SantoYusuf!$L$13:$AK$14,S$4,FALSE)))</t>
  </si>
  <si>
    <t>=IF(ISNUMBER($L$6)=FALSE,"",
        IF(ISERROR(VLOOKUP($G42,SantoYusuf!$L$13:$AK$14,T$4,FALSE))=TRUE,"",
              VLOOKUP($G42,SantoYusuf!$L$13:$AK$14,T$4,FALSE)))</t>
  </si>
  <si>
    <t>=IF(ISNUMBER($L$6)=FALSE,"",
        IF(ISERROR(VLOOKUP($G42,SantoYusuf!$L$13:$AK$14,U$4,FALSE))=TRUE,"",
              VLOOKUP($G42,SantoYusuf!$L$13:$AK$14,U$4,FALSE)))</t>
  </si>
  <si>
    <t>=IF(ISNUMBER($L$6)=FALSE,"",
        IF(ISERROR(VLOOKUP($G42,SantoYusuf!$L$13:$AK$14,V$4,FALSE))=TRUE,"",
              VLOOKUP($G42,SantoYusuf!$L$13:$AK$14,V$4,FALSE)))</t>
  </si>
  <si>
    <t>=IF(ISNUMBER($L$6)=FALSE,"",
        IF(ISERROR(VLOOKUP($G42,SantoYusuf!$L$13:$AK$14,W$4,FALSE))=TRUE,"",
              VLOOKUP($G42,SantoYusuf!$L$13:$AK$14,W$4,FALSE)))</t>
  </si>
  <si>
    <t>=IF(ISNUMBER($L$6)=FALSE,"",
        IF(ISERROR(VLOOKUP($G42,SantoYusuf!$L$13:$AK$14,X$4,FALSE))=TRUE,"",
              VLOOKUP($G42,SantoYusuf!$L$13:$AK$14,X$4,FALSE)))</t>
  </si>
  <si>
    <t>=IF(ISNUMBER($L$6)=FALSE,"",
        IF(ISERROR(VLOOKUP($G42,SantoYusuf!$L$13:$AK$14,Y$4,FALSE))=TRUE,"",
              VLOOKUP($G42,SantoYusuf!$L$13:$AK$14,Y$4,FALSE)))</t>
  </si>
  <si>
    <t>=IF(ISNUMBER($L$6)=FALSE,"",
        IF(ISERROR(VLOOKUP($G42,SantoYusuf!$L$13:$AK$14,Z$4,FALSE))=TRUE,"",
              VLOOKUP($G42,SantoYusuf!$L$13:$AK$14,Z$4,FALSE)))</t>
  </si>
  <si>
    <t>=IF(ISNUMBER($L$6)=FALSE,"",
        IF(ISERROR(VLOOKUP($G42,SantoYusuf!$L$13:$AK$14,AA$4,FALSE))=TRUE,"",
              VLOOKUP($G42,SantoYusuf!$L$13:$AK$14,AA$4,FALSE)))</t>
  </si>
  <si>
    <t>=IF(ISNUMBER($L$6)=FALSE,"",
        IF(ISERROR(VLOOKUP($G42,SantoYusuf!$L$13:$AK$14,AB$4,FALSE))=TRUE,"",
              VLOOKUP($G42,SantoYusuf!$L$13:$AK$14,AB$4,FALSE)))</t>
  </si>
  <si>
    <t>=IF(ISNUMBER($L$6)=FALSE,"",
        IF(ISERROR(VLOOKUP($G42,SantoYusuf!$L$13:$AK$14,AC$4,FALSE))=TRUE,"",
              VLOOKUP($G42,SantoYusuf!$L$13:$AK$14,AC$4,FALSE)))</t>
  </si>
  <si>
    <t>=IF(ISNUMBER($L$6)=FALSE,"",
        IF(ISERROR(VLOOKUP($G42,SantoYusuf!$L$13:$AK$14,AD$4,FALSE))=TRUE,"",
              VLOOKUP($G42,SantoYusuf!$L$13:$AK$14,AD$4,FALSE)))</t>
  </si>
  <si>
    <t>=IF(ISNUMBER($L$6)=FALSE,"",
        IF(ISERROR(VLOOKUP($G42,SantoYusuf!$L$13:$AK$14,AE$4,FALSE))=TRUE,"",
              VLOOKUP($G42,SantoYusuf!$L$13:$AK$14,AE$4,FALSE)))</t>
  </si>
  <si>
    <t>=IF(ISNUMBER($L$6)=FALSE,"",
        IF(ISERROR(VLOOKUP($G42,SantoYusuf!$L$13:$AK$14,AF$4,FALSE))=TRUE,"",
              VLOOKUP($G42,SantoYusuf!$L$13:$AK$14,AF$4,FALSE)))</t>
  </si>
  <si>
    <t>=IF(ISNUMBER($L$6)=FALSE,"",
IF($C43=0,"",VLOOKUP($E43,SantoYusuf!$H$13:$L$14,4,FALSE)))</t>
  </si>
  <si>
    <t>=IF(ISNUMBER($L$6)=FALSE,"",
IF($C43=0,"",VLOOKUP($E43,SantoYusuf!$H$13:$L$14,5,FALSE)))</t>
  </si>
  <si>
    <t>=IF(ISNUMBER($L$6)=FALSE,"",
        IF(ISERROR(VLOOKUP($G43,SantoYusuf!$L$13:$AK$14,I$4,FALSE))=TRUE,"",
              VLOOKUP($G43,SantoYusuf!$L$13:$AK$14,I$4,FALSE)))</t>
  </si>
  <si>
    <t>=IF(ISNUMBER($L$6)=FALSE,"",
        IF(ISERROR(VLOOKUP($G43,SantoYusuf!$L$13:$AK$14,J$4,FALSE))=TRUE,"",
              VLOOKUP($G43,SantoYusuf!$L$13:$AK$14,J$4,FALSE)))</t>
  </si>
  <si>
    <t>=IF(ISNUMBER($L$6)=FALSE,"",
        IF(ISERROR(VLOOKUP($G43,SantoYusuf!$L$13:$AK$14,K$4,FALSE))=TRUE,"",
              VLOOKUP($G43,SantoYusuf!$L$13:$AK$14,K$4,FALSE)))</t>
  </si>
  <si>
    <t>=IF(ISNUMBER($L$6)=FALSE,"",
        IF(ISERROR(VLOOKUP($G43,SantoYusuf!$L$13:$AK$14,L$4,FALSE))=TRUE,"",
              VLOOKUP($G43,SantoYusuf!$L$13:$AK$14,L$4,FALSE)))</t>
  </si>
  <si>
    <t>=IF(ISNUMBER($L$6)=FALSE,"",
        IF(ISERROR(VLOOKUP($G43,SantoYusuf!$L$13:$AK$14,M$4,FALSE))=TRUE,"",
              VLOOKUP($G43,SantoYusuf!$L$13:$AK$14,M$4,FALSE)))</t>
  </si>
  <si>
    <t>=IF(ISNUMBER($L$6)=FALSE,"",
        IF(ISERROR(VLOOKUP($G43,SantoYusuf!$L$13:$AK$14,N$4,FALSE))=TRUE,"",
              VLOOKUP($G43,SantoYusuf!$L$13:$AK$14,N$4,FALSE)))</t>
  </si>
  <si>
    <t>=IF(ISNUMBER($L$6)=FALSE,"",
        IF(ISERROR(VLOOKUP($G43,SantoYusuf!$L$13:$AK$14,O$4,FALSE))=TRUE,"",
              VLOOKUP($G43,SantoYusuf!$L$13:$AK$14,O$4,FALSE)))</t>
  </si>
  <si>
    <t>=IF(ISNUMBER($L$6)=FALSE,"",
        IF(ISERROR(VLOOKUP($G43,SantoYusuf!$L$13:$AK$14,P$4,FALSE))=TRUE,"",
              VLOOKUP($G43,SantoYusuf!$L$13:$AK$14,P$4,FALSE)))</t>
  </si>
  <si>
    <t>=IF(ISNUMBER($L$6)=FALSE,"",
        IF(ISERROR(VLOOKUP($G43,SantoYusuf!$L$13:$AK$14,Q$4,FALSE))=TRUE,"",
              VLOOKUP($G43,SantoYusuf!$L$13:$AK$14,Q$4,FALSE)))</t>
  </si>
  <si>
    <t>=IF(ISNUMBER($L$6)=FALSE,"",
        IF(ISERROR(VLOOKUP($G43,SantoYusuf!$L$13:$AK$14,R$4,FALSE))=TRUE,"",
              VLOOKUP($G43,SantoYusuf!$L$13:$AK$14,R$4,FALSE)))</t>
  </si>
  <si>
    <t>=IF(ISNUMBER($L$6)=FALSE,"",
        IF(ISERROR(VLOOKUP($G43,SantoYusuf!$L$13:$AK$14,S$4,FALSE))=TRUE,"",
              VLOOKUP($G43,SantoYusuf!$L$13:$AK$14,S$4,FALSE)))</t>
  </si>
  <si>
    <t>=IF(ISNUMBER($L$6)=FALSE,"",
        IF(ISERROR(VLOOKUP($G43,SantoYusuf!$L$13:$AK$14,T$4,FALSE))=TRUE,"",
              VLOOKUP($G43,SantoYusuf!$L$13:$AK$14,T$4,FALSE)))</t>
  </si>
  <si>
    <t>=IF(ISNUMBER($L$6)=FALSE,"",
        IF(ISERROR(VLOOKUP($G43,SantoYusuf!$L$13:$AK$14,U$4,FALSE))=TRUE,"",
              VLOOKUP($G43,SantoYusuf!$L$13:$AK$14,U$4,FALSE)))</t>
  </si>
  <si>
    <t>=IF(ISNUMBER($L$6)=FALSE,"",
        IF(ISERROR(VLOOKUP($G43,SantoYusuf!$L$13:$AK$14,V$4,FALSE))=TRUE,"",
              VLOOKUP($G43,SantoYusuf!$L$13:$AK$14,V$4,FALSE)))</t>
  </si>
  <si>
    <t>=IF(ISNUMBER($L$6)=FALSE,"",
        IF(ISERROR(VLOOKUP($G43,SantoYusuf!$L$13:$AK$14,W$4,FALSE))=TRUE,"",
              VLOOKUP($G43,SantoYusuf!$L$13:$AK$14,W$4,FALSE)))</t>
  </si>
  <si>
    <t>=IF(ISNUMBER($L$6)=FALSE,"",
        IF(ISERROR(VLOOKUP($G43,SantoYusuf!$L$13:$AK$14,X$4,FALSE))=TRUE,"",
              VLOOKUP($G43,SantoYusuf!$L$13:$AK$14,X$4,FALSE)))</t>
  </si>
  <si>
    <t>=IF(ISNUMBER($L$6)=FALSE,"",
        IF(ISERROR(VLOOKUP($G43,SantoYusuf!$L$13:$AK$14,Y$4,FALSE))=TRUE,"",
              VLOOKUP($G43,SantoYusuf!$L$13:$AK$14,Y$4,FALSE)))</t>
  </si>
  <si>
    <t>=IF(ISNUMBER($L$6)=FALSE,"",
        IF(ISERROR(VLOOKUP($G43,SantoYusuf!$L$13:$AK$14,Z$4,FALSE))=TRUE,"",
              VLOOKUP($G43,SantoYusuf!$L$13:$AK$14,Z$4,FALSE)))</t>
  </si>
  <si>
    <t>=IF(ISNUMBER($L$6)=FALSE,"",
        IF(ISERROR(VLOOKUP($G43,SantoYusuf!$L$13:$AK$14,AA$4,FALSE))=TRUE,"",
              VLOOKUP($G43,SantoYusuf!$L$13:$AK$14,AA$4,FALSE)))</t>
  </si>
  <si>
    <t>=IF(ISNUMBER($L$6)=FALSE,"",
        IF(ISERROR(VLOOKUP($G43,SantoYusuf!$L$13:$AK$14,AB$4,FALSE))=TRUE,"",
              VLOOKUP($G43,SantoYusuf!$L$13:$AK$14,AB$4,FALSE)))</t>
  </si>
  <si>
    <t>=IF(ISNUMBER($L$6)=FALSE,"",
        IF(ISERROR(VLOOKUP($G43,SantoYusuf!$L$13:$AK$14,AC$4,FALSE))=TRUE,"",
              VLOOKUP($G43,SantoYusuf!$L$13:$AK$14,AC$4,FALSE)))</t>
  </si>
  <si>
    <t>=IF(ISNUMBER($L$6)=FALSE,"",
        IF(ISERROR(VLOOKUP($G43,SantoYusuf!$L$13:$AK$14,AD$4,FALSE))=TRUE,"",
              VLOOKUP($G43,SantoYusuf!$L$13:$AK$14,AD$4,FALSE)))</t>
  </si>
  <si>
    <t>=IF(ISNUMBER($L$6)=FALSE,"",
        IF(ISERROR(VLOOKUP($G43,SantoYusuf!$L$13:$AK$14,AE$4,FALSE))=TRUE,"",
              VLOOKUP($G43,SantoYusuf!$L$13:$AK$14,AE$4,FALSE)))</t>
  </si>
  <si>
    <t>=IF(ISNUMBER($L$6)=FALSE,"",
        IF(ISERROR(VLOOKUP($G43,SantoYusuf!$L$13:$AK$14,AF$4,FALSE))=TRUE,"",
              VLOOKUP($G43,SantoYusuf!$L$13:$AK$14,AF$4,FALSE)))</t>
  </si>
  <si>
    <t>=IF(ISNUMBER($L$6)=FALSE,"",
IF($C44=0,"",VLOOKUP($E44,SantoYusuf!$H$13:$L$14,4,FALSE)))</t>
  </si>
  <si>
    <t>=IF(ISNUMBER($L$6)=FALSE,"",
IF($C44=0,"",VLOOKUP($E44,SantoYusuf!$H$13:$L$14,5,FALSE)))</t>
  </si>
  <si>
    <t>=IF(ISNUMBER($L$6)=FALSE,"",
        IF(ISERROR(VLOOKUP($G44,SantoYusuf!$L$13:$AK$14,I$4,FALSE))=TRUE,"",
              VLOOKUP($G44,SantoYusuf!$L$13:$AK$14,I$4,FALSE)))</t>
  </si>
  <si>
    <t>=IF(ISNUMBER($L$6)=FALSE,"",
        IF(ISERROR(VLOOKUP($G44,SantoYusuf!$L$13:$AK$14,J$4,FALSE))=TRUE,"",
              VLOOKUP($G44,SantoYusuf!$L$13:$AK$14,J$4,FALSE)))</t>
  </si>
  <si>
    <t>=IF(ISNUMBER($L$6)=FALSE,"",
        IF(ISERROR(VLOOKUP($G44,SantoYusuf!$L$13:$AK$14,K$4,FALSE))=TRUE,"",
              VLOOKUP($G44,SantoYusuf!$L$13:$AK$14,K$4,FALSE)))</t>
  </si>
  <si>
    <t>=IF(ISNUMBER($L$6)=FALSE,"",
        IF(ISERROR(VLOOKUP($G44,SantoYusuf!$L$13:$AK$14,L$4,FALSE))=TRUE,"",
              VLOOKUP($G44,SantoYusuf!$L$13:$AK$14,L$4,FALSE)))</t>
  </si>
  <si>
    <t>=IF(ISNUMBER($L$6)=FALSE,"",
        IF(ISERROR(VLOOKUP($G44,SantoYusuf!$L$13:$AK$14,M$4,FALSE))=TRUE,"",
              VLOOKUP($G44,SantoYusuf!$L$13:$AK$14,M$4,FALSE)))</t>
  </si>
  <si>
    <t>=IF(ISNUMBER($L$6)=FALSE,"",
        IF(ISERROR(VLOOKUP($G44,SantoYusuf!$L$13:$AK$14,N$4,FALSE))=TRUE,"",
              VLOOKUP($G44,SantoYusuf!$L$13:$AK$14,N$4,FALSE)))</t>
  </si>
  <si>
    <t>=IF(ISNUMBER($L$6)=FALSE,"",
        IF(ISERROR(VLOOKUP($G44,SantoYusuf!$L$13:$AK$14,O$4,FALSE))=TRUE,"",
              VLOOKUP($G44,SantoYusuf!$L$13:$AK$14,O$4,FALSE)))</t>
  </si>
  <si>
    <t>=IF(ISNUMBER($L$6)=FALSE,"",
        IF(ISERROR(VLOOKUP($G44,SantoYusuf!$L$13:$AK$14,P$4,FALSE))=TRUE,"",
              VLOOKUP($G44,SantoYusuf!$L$13:$AK$14,P$4,FALSE)))</t>
  </si>
  <si>
    <t>=IF(ISNUMBER($L$6)=FALSE,"",
        IF(ISERROR(VLOOKUP($G44,SantoYusuf!$L$13:$AK$14,Q$4,FALSE))=TRUE,"",
              VLOOKUP($G44,SantoYusuf!$L$13:$AK$14,Q$4,FALSE)))</t>
  </si>
  <si>
    <t>=IF(ISNUMBER($L$6)=FALSE,"",
        IF(ISERROR(VLOOKUP($G44,SantoYusuf!$L$13:$AK$14,R$4,FALSE))=TRUE,"",
              VLOOKUP($G44,SantoYusuf!$L$13:$AK$14,R$4,FALSE)))</t>
  </si>
  <si>
    <t>=IF(ISNUMBER($L$6)=FALSE,"",
        IF(ISERROR(VLOOKUP($G44,SantoYusuf!$L$13:$AK$14,S$4,FALSE))=TRUE,"",
              VLOOKUP($G44,SantoYusuf!$L$13:$AK$14,S$4,FALSE)))</t>
  </si>
  <si>
    <t>=IF(ISNUMBER($L$6)=FALSE,"",
        IF(ISERROR(VLOOKUP($G44,SantoYusuf!$L$13:$AK$14,T$4,FALSE))=TRUE,"",
              VLOOKUP($G44,SantoYusuf!$L$13:$AK$14,T$4,FALSE)))</t>
  </si>
  <si>
    <t>=IF(ISNUMBER($L$6)=FALSE,"",
        IF(ISERROR(VLOOKUP($G44,SantoYusuf!$L$13:$AK$14,U$4,FALSE))=TRUE,"",
              VLOOKUP($G44,SantoYusuf!$L$13:$AK$14,U$4,FALSE)))</t>
  </si>
  <si>
    <t>=IF(ISNUMBER($L$6)=FALSE,"",
        IF(ISERROR(VLOOKUP($G44,SantoYusuf!$L$13:$AK$14,V$4,FALSE))=TRUE,"",
              VLOOKUP($G44,SantoYusuf!$L$13:$AK$14,V$4,FALSE)))</t>
  </si>
  <si>
    <t>=IF(ISNUMBER($L$6)=FALSE,"",
        IF(ISERROR(VLOOKUP($G44,SantoYusuf!$L$13:$AK$14,W$4,FALSE))=TRUE,"",
              VLOOKUP($G44,SantoYusuf!$L$13:$AK$14,W$4,FALSE)))</t>
  </si>
  <si>
    <t>=IF(ISNUMBER($L$6)=FALSE,"",
        IF(ISERROR(VLOOKUP($G44,SantoYusuf!$L$13:$AK$14,X$4,FALSE))=TRUE,"",
              VLOOKUP($G44,SantoYusuf!$L$13:$AK$14,X$4,FALSE)))</t>
  </si>
  <si>
    <t>=IF(ISNUMBER($L$6)=FALSE,"",
        IF(ISERROR(VLOOKUP($G44,SantoYusuf!$L$13:$AK$14,Y$4,FALSE))=TRUE,"",
              VLOOKUP($G44,SantoYusuf!$L$13:$AK$14,Y$4,FALSE)))</t>
  </si>
  <si>
    <t>=IF(ISNUMBER($L$6)=FALSE,"",
        IF(ISERROR(VLOOKUP($G44,SantoYusuf!$L$13:$AK$14,Z$4,FALSE))=TRUE,"",
              VLOOKUP($G44,SantoYusuf!$L$13:$AK$14,Z$4,FALSE)))</t>
  </si>
  <si>
    <t>=IF(ISNUMBER($L$6)=FALSE,"",
        IF(ISERROR(VLOOKUP($G44,SantoYusuf!$L$13:$AK$14,AA$4,FALSE))=TRUE,"",
              VLOOKUP($G44,SantoYusuf!$L$13:$AK$14,AA$4,FALSE)))</t>
  </si>
  <si>
    <t>=IF(ISNUMBER($L$6)=FALSE,"",
        IF(ISERROR(VLOOKUP($G44,SantoYusuf!$L$13:$AK$14,AB$4,FALSE))=TRUE,"",
              VLOOKUP($G44,SantoYusuf!$L$13:$AK$14,AB$4,FALSE)))</t>
  </si>
  <si>
    <t>=IF(ISNUMBER($L$6)=FALSE,"",
        IF(ISERROR(VLOOKUP($G44,SantoYusuf!$L$13:$AK$14,AC$4,FALSE))=TRUE,"",
              VLOOKUP($G44,SantoYusuf!$L$13:$AK$14,AC$4,FALSE)))</t>
  </si>
  <si>
    <t>=IF(ISNUMBER($L$6)=FALSE,"",
        IF(ISERROR(VLOOKUP($G44,SantoYusuf!$L$13:$AK$14,AD$4,FALSE))=TRUE,"",
              VLOOKUP($G44,SantoYusuf!$L$13:$AK$14,AD$4,FALSE)))</t>
  </si>
  <si>
    <t>=IF(ISNUMBER($L$6)=FALSE,"",
        IF(ISERROR(VLOOKUP($G44,SantoYusuf!$L$13:$AK$14,AE$4,FALSE))=TRUE,"",
              VLOOKUP($G44,SantoYusuf!$L$13:$AK$14,AE$4,FALSE)))</t>
  </si>
  <si>
    <t>=IF(ISNUMBER($L$6)=FALSE,"",
        IF(ISERROR(VLOOKUP($G44,SantoYusuf!$L$13:$AK$14,AF$4,FALSE))=TRUE,"",
              VLOOKUP($G44,SantoYusuf!$L$13:$AK$14,AF$4,FALSE)))</t>
  </si>
  <si>
    <t>=IF(ISNUMBER($L$6)=FALSE,"",
IF($C45=0,"",VLOOKUP($E45,SantoYusuf!$H$13:$L$14,4,FALSE)))</t>
  </si>
  <si>
    <t>=IF(ISNUMBER($L$6)=FALSE,"",
IF($C45=0,"",VLOOKUP($E45,SantoYusuf!$H$13:$L$14,5,FALSE)))</t>
  </si>
  <si>
    <t>=IF(ISNUMBER($L$6)=FALSE,"",
        IF(ISERROR(VLOOKUP($G45,SantoYusuf!$L$13:$AK$14,I$4,FALSE))=TRUE,"",
              VLOOKUP($G45,SantoYusuf!$L$13:$AK$14,I$4,FALSE)))</t>
  </si>
  <si>
    <t>=IF(ISNUMBER($L$6)=FALSE,"",
        IF(ISERROR(VLOOKUP($G45,SantoYusuf!$L$13:$AK$14,J$4,FALSE))=TRUE,"",
              VLOOKUP($G45,SantoYusuf!$L$13:$AK$14,J$4,FALSE)))</t>
  </si>
  <si>
    <t>=IF(ISNUMBER($L$6)=FALSE,"",
        IF(ISERROR(VLOOKUP($G45,SantoYusuf!$L$13:$AK$14,K$4,FALSE))=TRUE,"",
              VLOOKUP($G45,SantoYusuf!$L$13:$AK$14,K$4,FALSE)))</t>
  </si>
  <si>
    <t>=IF(ISNUMBER($L$6)=FALSE,"",
        IF(ISERROR(VLOOKUP($G45,SantoYusuf!$L$13:$AK$14,L$4,FALSE))=TRUE,"",
              VLOOKUP($G45,SantoYusuf!$L$13:$AK$14,L$4,FALSE)))</t>
  </si>
  <si>
    <t>=IF(ISNUMBER($L$6)=FALSE,"",
        IF(ISERROR(VLOOKUP($G45,SantoYusuf!$L$13:$AK$14,M$4,FALSE))=TRUE,"",
              VLOOKUP($G45,SantoYusuf!$L$13:$AK$14,M$4,FALSE)))</t>
  </si>
  <si>
    <t>=IF(ISNUMBER($L$6)=FALSE,"",
        IF(ISERROR(VLOOKUP($G45,SantoYusuf!$L$13:$AK$14,N$4,FALSE))=TRUE,"",
              VLOOKUP($G45,SantoYusuf!$L$13:$AK$14,N$4,FALSE)))</t>
  </si>
  <si>
    <t>=IF(ISNUMBER($L$6)=FALSE,"",
        IF(ISERROR(VLOOKUP($G45,SantoYusuf!$L$13:$AK$14,O$4,FALSE))=TRUE,"",
              VLOOKUP($G45,SantoYusuf!$L$13:$AK$14,O$4,FALSE)))</t>
  </si>
  <si>
    <t>=IF(ISNUMBER($L$6)=FALSE,"",
        IF(ISERROR(VLOOKUP($G45,SantoYusuf!$L$13:$AK$14,P$4,FALSE))=TRUE,"",
              VLOOKUP($G45,SantoYusuf!$L$13:$AK$14,P$4,FALSE)))</t>
  </si>
  <si>
    <t>=IF(ISNUMBER($L$6)=FALSE,"",
        IF(ISERROR(VLOOKUP($G45,SantoYusuf!$L$13:$AK$14,Q$4,FALSE))=TRUE,"",
              VLOOKUP($G45,SantoYusuf!$L$13:$AK$14,Q$4,FALSE)))</t>
  </si>
  <si>
    <t>=IF(ISNUMBER($L$6)=FALSE,"",
        IF(ISERROR(VLOOKUP($G45,SantoYusuf!$L$13:$AK$14,R$4,FALSE))=TRUE,"",
              VLOOKUP($G45,SantoYusuf!$L$13:$AK$14,R$4,FALSE)))</t>
  </si>
  <si>
    <t>=IF(ISNUMBER($L$6)=FALSE,"",
        IF(ISERROR(VLOOKUP($G45,SantoYusuf!$L$13:$AK$14,S$4,FALSE))=TRUE,"",
              VLOOKUP($G45,SantoYusuf!$L$13:$AK$14,S$4,FALSE)))</t>
  </si>
  <si>
    <t>=IF(ISNUMBER($L$6)=FALSE,"",
        IF(ISERROR(VLOOKUP($G45,SantoYusuf!$L$13:$AK$14,T$4,FALSE))=TRUE,"",
              VLOOKUP($G45,SantoYusuf!$L$13:$AK$14,T$4,FALSE)))</t>
  </si>
  <si>
    <t>=IF(ISNUMBER($L$6)=FALSE,"",
        IF(ISERROR(VLOOKUP($G45,SantoYusuf!$L$13:$AK$14,U$4,FALSE))=TRUE,"",
              VLOOKUP($G45,SantoYusuf!$L$13:$AK$14,U$4,FALSE)))</t>
  </si>
  <si>
    <t>=IF(ISNUMBER($L$6)=FALSE,"",
        IF(ISERROR(VLOOKUP($G45,SantoYusuf!$L$13:$AK$14,V$4,FALSE))=TRUE,"",
              VLOOKUP($G45,SantoYusuf!$L$13:$AK$14,V$4,FALSE)))</t>
  </si>
  <si>
    <t>=IF(ISNUMBER($L$6)=FALSE,"",
        IF(ISERROR(VLOOKUP($G45,SantoYusuf!$L$13:$AK$14,W$4,FALSE))=TRUE,"",
              VLOOKUP($G45,SantoYusuf!$L$13:$AK$14,W$4,FALSE)))</t>
  </si>
  <si>
    <t>=IF(ISNUMBER($L$6)=FALSE,"",
        IF(ISERROR(VLOOKUP($G45,SantoYusuf!$L$13:$AK$14,X$4,FALSE))=TRUE,"",
              VLOOKUP($G45,SantoYusuf!$L$13:$AK$14,X$4,FALSE)))</t>
  </si>
  <si>
    <t>=IF(ISNUMBER($L$6)=FALSE,"",
        IF(ISERROR(VLOOKUP($G45,SantoYusuf!$L$13:$AK$14,Y$4,FALSE))=TRUE,"",
              VLOOKUP($G45,SantoYusuf!$L$13:$AK$14,Y$4,FALSE)))</t>
  </si>
  <si>
    <t>=IF(ISNUMBER($L$6)=FALSE,"",
        IF(ISERROR(VLOOKUP($G45,SantoYusuf!$L$13:$AK$14,Z$4,FALSE))=TRUE,"",
              VLOOKUP($G45,SantoYusuf!$L$13:$AK$14,Z$4,FALSE)))</t>
  </si>
  <si>
    <t>=IF(ISNUMBER($L$6)=FALSE,"",
        IF(ISERROR(VLOOKUP($G45,SantoYusuf!$L$13:$AK$14,AA$4,FALSE))=TRUE,"",
              VLOOKUP($G45,SantoYusuf!$L$13:$AK$14,AA$4,FALSE)))</t>
  </si>
  <si>
    <t>=IF(ISNUMBER($L$6)=FALSE,"",
        IF(ISERROR(VLOOKUP($G45,SantoYusuf!$L$13:$AK$14,AB$4,FALSE))=TRUE,"",
              VLOOKUP($G45,SantoYusuf!$L$13:$AK$14,AB$4,FALSE)))</t>
  </si>
  <si>
    <t>=IF(ISNUMBER($L$6)=FALSE,"",
        IF(ISERROR(VLOOKUP($G45,SantoYusuf!$L$13:$AK$14,AC$4,FALSE))=TRUE,"",
              VLOOKUP($G45,SantoYusuf!$L$13:$AK$14,AC$4,FALSE)))</t>
  </si>
  <si>
    <t>=IF(ISNUMBER($L$6)=FALSE,"",
        IF(ISERROR(VLOOKUP($G45,SantoYusuf!$L$13:$AK$14,AD$4,FALSE))=TRUE,"",
              VLOOKUP($G45,SantoYusuf!$L$13:$AK$14,AD$4,FALSE)))</t>
  </si>
  <si>
    <t>=IF(ISNUMBER($L$6)=FALSE,"",
        IF(ISERROR(VLOOKUP($G45,SantoYusuf!$L$13:$AK$14,AE$4,FALSE))=TRUE,"",
              VLOOKUP($G45,SantoYusuf!$L$13:$AK$14,AE$4,FALSE)))</t>
  </si>
  <si>
    <t>=IF(ISNUMBER($L$6)=FALSE,"",
        IF(ISERROR(VLOOKUP($G45,SantoYusuf!$L$13:$AK$14,AF$4,FALSE))=TRUE,"",
              VLOOKUP($G45,SantoYusuf!$L$13:$AK$14,AF$4,FALSE)))</t>
  </si>
  <si>
    <t>=IF(ISNUMBER($L$6)=FALSE,"",
IF($C46=0,"",VLOOKUP($E46,SantoYusuf!$H$13:$L$14,4,FALSE)))</t>
  </si>
  <si>
    <t>=IF(ISNUMBER($L$6)=FALSE,"",
IF($C46=0,"",VLOOKUP($E46,SantoYusuf!$H$13:$L$14,5,FALSE)))</t>
  </si>
  <si>
    <t>=IF(ISNUMBER($L$6)=FALSE,"",
        IF(ISERROR(VLOOKUP($G46,SantoYusuf!$L$13:$AK$14,I$4,FALSE))=TRUE,"",
              VLOOKUP($G46,SantoYusuf!$L$13:$AK$14,I$4,FALSE)))</t>
  </si>
  <si>
    <t>=IF(ISNUMBER($L$6)=FALSE,"",
        IF(ISERROR(VLOOKUP($G46,SantoYusuf!$L$13:$AK$14,J$4,FALSE))=TRUE,"",
              VLOOKUP($G46,SantoYusuf!$L$13:$AK$14,J$4,FALSE)))</t>
  </si>
  <si>
    <t>=IF(ISNUMBER($L$6)=FALSE,"",
        IF(ISERROR(VLOOKUP($G46,SantoYusuf!$L$13:$AK$14,K$4,FALSE))=TRUE,"",
              VLOOKUP($G46,SantoYusuf!$L$13:$AK$14,K$4,FALSE)))</t>
  </si>
  <si>
    <t>=IF(ISNUMBER($L$6)=FALSE,"",
        IF(ISERROR(VLOOKUP($G46,SantoYusuf!$L$13:$AK$14,L$4,FALSE))=TRUE,"",
              VLOOKUP($G46,SantoYusuf!$L$13:$AK$14,L$4,FALSE)))</t>
  </si>
  <si>
    <t>=IF(ISNUMBER($L$6)=FALSE,"",
        IF(ISERROR(VLOOKUP($G46,SantoYusuf!$L$13:$AK$14,M$4,FALSE))=TRUE,"",
              VLOOKUP($G46,SantoYusuf!$L$13:$AK$14,M$4,FALSE)))</t>
  </si>
  <si>
    <t>=IF(ISNUMBER($L$6)=FALSE,"",
        IF(ISERROR(VLOOKUP($G46,SantoYusuf!$L$13:$AK$14,N$4,FALSE))=TRUE,"",
              VLOOKUP($G46,SantoYusuf!$L$13:$AK$14,N$4,FALSE)))</t>
  </si>
  <si>
    <t>=IF(ISNUMBER($L$6)=FALSE,"",
        IF(ISERROR(VLOOKUP($G46,SantoYusuf!$L$13:$AK$14,O$4,FALSE))=TRUE,"",
              VLOOKUP($G46,SantoYusuf!$L$13:$AK$14,O$4,FALSE)))</t>
  </si>
  <si>
    <t>=IF(ISNUMBER($L$6)=FALSE,"",
        IF(ISERROR(VLOOKUP($G46,SantoYusuf!$L$13:$AK$14,P$4,FALSE))=TRUE,"",
              VLOOKUP($G46,SantoYusuf!$L$13:$AK$14,P$4,FALSE)))</t>
  </si>
  <si>
    <t>=IF(ISNUMBER($L$6)=FALSE,"",
        IF(ISERROR(VLOOKUP($G46,SantoYusuf!$L$13:$AK$14,Q$4,FALSE))=TRUE,"",
              VLOOKUP($G46,SantoYusuf!$L$13:$AK$14,Q$4,FALSE)))</t>
  </si>
  <si>
    <t>=IF(ISNUMBER($L$6)=FALSE,"",
        IF(ISERROR(VLOOKUP($G46,SantoYusuf!$L$13:$AK$14,R$4,FALSE))=TRUE,"",
              VLOOKUP($G46,SantoYusuf!$L$13:$AK$14,R$4,FALSE)))</t>
  </si>
  <si>
    <t>=IF(ISNUMBER($L$6)=FALSE,"",
        IF(ISERROR(VLOOKUP($G46,SantoYusuf!$L$13:$AK$14,S$4,FALSE))=TRUE,"",
              VLOOKUP($G46,SantoYusuf!$L$13:$AK$14,S$4,FALSE)))</t>
  </si>
  <si>
    <t>=IF(ISNUMBER($L$6)=FALSE,"",
        IF(ISERROR(VLOOKUP($G46,SantoYusuf!$L$13:$AK$14,T$4,FALSE))=TRUE,"",
              VLOOKUP($G46,SantoYusuf!$L$13:$AK$14,T$4,FALSE)))</t>
  </si>
  <si>
    <t>=IF(ISNUMBER($L$6)=FALSE,"",
        IF(ISERROR(VLOOKUP($G46,SantoYusuf!$L$13:$AK$14,U$4,FALSE))=TRUE,"",
              VLOOKUP($G46,SantoYusuf!$L$13:$AK$14,U$4,FALSE)))</t>
  </si>
  <si>
    <t>=IF(ISNUMBER($L$6)=FALSE,"",
        IF(ISERROR(VLOOKUP($G46,SantoYusuf!$L$13:$AK$14,V$4,FALSE))=TRUE,"",
              VLOOKUP($G46,SantoYusuf!$L$13:$AK$14,V$4,FALSE)))</t>
  </si>
  <si>
    <t>=IF(ISNUMBER($L$6)=FALSE,"",
        IF(ISERROR(VLOOKUP($G46,SantoYusuf!$L$13:$AK$14,W$4,FALSE))=TRUE,"",
              VLOOKUP($G46,SantoYusuf!$L$13:$AK$14,W$4,FALSE)))</t>
  </si>
  <si>
    <t>=IF(ISNUMBER($L$6)=FALSE,"",
        IF(ISERROR(VLOOKUP($G46,SantoYusuf!$L$13:$AK$14,X$4,FALSE))=TRUE,"",
              VLOOKUP($G46,SantoYusuf!$L$13:$AK$14,X$4,FALSE)))</t>
  </si>
  <si>
    <t>=IF(ISNUMBER($L$6)=FALSE,"",
        IF(ISERROR(VLOOKUP($G46,SantoYusuf!$L$13:$AK$14,Y$4,FALSE))=TRUE,"",
              VLOOKUP($G46,SantoYusuf!$L$13:$AK$14,Y$4,FALSE)))</t>
  </si>
  <si>
    <t>=IF(ISNUMBER($L$6)=FALSE,"",
        IF(ISERROR(VLOOKUP($G46,SantoYusuf!$L$13:$AK$14,Z$4,FALSE))=TRUE,"",
              VLOOKUP($G46,SantoYusuf!$L$13:$AK$14,Z$4,FALSE)))</t>
  </si>
  <si>
    <t>=IF(ISNUMBER($L$6)=FALSE,"",
        IF(ISERROR(VLOOKUP($G46,SantoYusuf!$L$13:$AK$14,AA$4,FALSE))=TRUE,"",
              VLOOKUP($G46,SantoYusuf!$L$13:$AK$14,AA$4,FALSE)))</t>
  </si>
  <si>
    <t>=IF(ISNUMBER($L$6)=FALSE,"",
        IF(ISERROR(VLOOKUP($G46,SantoYusuf!$L$13:$AK$14,AB$4,FALSE))=TRUE,"",
              VLOOKUP($G46,SantoYusuf!$L$13:$AK$14,AB$4,FALSE)))</t>
  </si>
  <si>
    <t>=IF(ISNUMBER($L$6)=FALSE,"",
        IF(ISERROR(VLOOKUP($G46,SantoYusuf!$L$13:$AK$14,AC$4,FALSE))=TRUE,"",
              VLOOKUP($G46,SantoYusuf!$L$13:$AK$14,AC$4,FALSE)))</t>
  </si>
  <si>
    <t>=IF(ISNUMBER($L$6)=FALSE,"",
        IF(ISERROR(VLOOKUP($G46,SantoYusuf!$L$13:$AK$14,AD$4,FALSE))=TRUE,"",
              VLOOKUP($G46,SantoYusuf!$L$13:$AK$14,AD$4,FALSE)))</t>
  </si>
  <si>
    <t>=IF(ISNUMBER($L$6)=FALSE,"",
        IF(ISERROR(VLOOKUP($G46,SantoYusuf!$L$13:$AK$14,AE$4,FALSE))=TRUE,"",
              VLOOKUP($G46,SantoYusuf!$L$13:$AK$14,AE$4,FALSE)))</t>
  </si>
  <si>
    <t>=IF(ISNUMBER($L$6)=FALSE,"",
        IF(ISERROR(VLOOKUP($G46,SantoYusuf!$L$13:$AK$14,AF$4,FALSE))=TRUE,"",
              VLOOKUP($G46,SantoYusuf!$L$13:$AK$14,AF$4,FALSE)))</t>
  </si>
  <si>
    <t>=IF(ISNUMBER($L$6)=FALSE,"",
IF($C47=0,"",VLOOKUP($E47,SantoYusuf!$H$13:$L$14,4,FALSE)))</t>
  </si>
  <si>
    <t>=IF(ISNUMBER($L$6)=FALSE,"",
IF($C47=0,"",VLOOKUP($E47,SantoYusuf!$H$13:$L$14,5,FALSE)))</t>
  </si>
  <si>
    <t>=IF(ISNUMBER($L$6)=FALSE,"",
        IF(ISERROR(VLOOKUP($G47,SantoYusuf!$L$13:$AK$14,I$4,FALSE))=TRUE,"",
              VLOOKUP($G47,SantoYusuf!$L$13:$AK$14,I$4,FALSE)))</t>
  </si>
  <si>
    <t>=IF(ISNUMBER($L$6)=FALSE,"",
        IF(ISERROR(VLOOKUP($G47,SantoYusuf!$L$13:$AK$14,J$4,FALSE))=TRUE,"",
              VLOOKUP($G47,SantoYusuf!$L$13:$AK$14,J$4,FALSE)))</t>
  </si>
  <si>
    <t>=IF(ISNUMBER($L$6)=FALSE,"",
        IF(ISERROR(VLOOKUP($G47,SantoYusuf!$L$13:$AK$14,K$4,FALSE))=TRUE,"",
              VLOOKUP($G47,SantoYusuf!$L$13:$AK$14,K$4,FALSE)))</t>
  </si>
  <si>
    <t>=IF(ISNUMBER($L$6)=FALSE,"",
        IF(ISERROR(VLOOKUP($G47,SantoYusuf!$L$13:$AK$14,L$4,FALSE))=TRUE,"",
              VLOOKUP($G47,SantoYusuf!$L$13:$AK$14,L$4,FALSE)))</t>
  </si>
  <si>
    <t>=IF(ISNUMBER($L$6)=FALSE,"",
        IF(ISERROR(VLOOKUP($G47,SantoYusuf!$L$13:$AK$14,M$4,FALSE))=TRUE,"",
              VLOOKUP($G47,SantoYusuf!$L$13:$AK$14,M$4,FALSE)))</t>
  </si>
  <si>
    <t>=IF(ISNUMBER($L$6)=FALSE,"",
        IF(ISERROR(VLOOKUP($G47,SantoYusuf!$L$13:$AK$14,N$4,FALSE))=TRUE,"",
              VLOOKUP($G47,SantoYusuf!$L$13:$AK$14,N$4,FALSE)))</t>
  </si>
  <si>
    <t>=IF(ISNUMBER($L$6)=FALSE,"",
        IF(ISERROR(VLOOKUP($G47,SantoYusuf!$L$13:$AK$14,O$4,FALSE))=TRUE,"",
              VLOOKUP($G47,SantoYusuf!$L$13:$AK$14,O$4,FALSE)))</t>
  </si>
  <si>
    <t>=IF(ISNUMBER($L$6)=FALSE,"",
        IF(ISERROR(VLOOKUP($G47,SantoYusuf!$L$13:$AK$14,P$4,FALSE))=TRUE,"",
              VLOOKUP($G47,SantoYusuf!$L$13:$AK$14,P$4,FALSE)))</t>
  </si>
  <si>
    <t>=IF(ISNUMBER($L$6)=FALSE,"",
        IF(ISERROR(VLOOKUP($G47,SantoYusuf!$L$13:$AK$14,Q$4,FALSE))=TRUE,"",
              VLOOKUP($G47,SantoYusuf!$L$13:$AK$14,Q$4,FALSE)))</t>
  </si>
  <si>
    <t>=IF(ISNUMBER($L$6)=FALSE,"",
        IF(ISERROR(VLOOKUP($G47,SantoYusuf!$L$13:$AK$14,R$4,FALSE))=TRUE,"",
              VLOOKUP($G47,SantoYusuf!$L$13:$AK$14,R$4,FALSE)))</t>
  </si>
  <si>
    <t>=IF(ISNUMBER($L$6)=FALSE,"",
        IF(ISERROR(VLOOKUP($G47,SantoYusuf!$L$13:$AK$14,S$4,FALSE))=TRUE,"",
              VLOOKUP($G47,SantoYusuf!$L$13:$AK$14,S$4,FALSE)))</t>
  </si>
  <si>
    <t>=IF(ISNUMBER($L$6)=FALSE,"",
        IF(ISERROR(VLOOKUP($G47,SantoYusuf!$L$13:$AK$14,T$4,FALSE))=TRUE,"",
              VLOOKUP($G47,SantoYusuf!$L$13:$AK$14,T$4,FALSE)))</t>
  </si>
  <si>
    <t>=IF(ISNUMBER($L$6)=FALSE,"",
        IF(ISERROR(VLOOKUP($G47,SantoYusuf!$L$13:$AK$14,U$4,FALSE))=TRUE,"",
              VLOOKUP($G47,SantoYusuf!$L$13:$AK$14,U$4,FALSE)))</t>
  </si>
  <si>
    <t>=IF(ISNUMBER($L$6)=FALSE,"",
        IF(ISERROR(VLOOKUP($G47,SantoYusuf!$L$13:$AK$14,V$4,FALSE))=TRUE,"",
              VLOOKUP($G47,SantoYusuf!$L$13:$AK$14,V$4,FALSE)))</t>
  </si>
  <si>
    <t>=IF(ISNUMBER($L$6)=FALSE,"",
        IF(ISERROR(VLOOKUP($G47,SantoYusuf!$L$13:$AK$14,W$4,FALSE))=TRUE,"",
              VLOOKUP($G47,SantoYusuf!$L$13:$AK$14,W$4,FALSE)))</t>
  </si>
  <si>
    <t>=IF(ISNUMBER($L$6)=FALSE,"",
        IF(ISERROR(VLOOKUP($G47,SantoYusuf!$L$13:$AK$14,X$4,FALSE))=TRUE,"",
              VLOOKUP($G47,SantoYusuf!$L$13:$AK$14,X$4,FALSE)))</t>
  </si>
  <si>
    <t>=IF(ISNUMBER($L$6)=FALSE,"",
        IF(ISERROR(VLOOKUP($G47,SantoYusuf!$L$13:$AK$14,Y$4,FALSE))=TRUE,"",
              VLOOKUP($G47,SantoYusuf!$L$13:$AK$14,Y$4,FALSE)))</t>
  </si>
  <si>
    <t>=IF(ISNUMBER($L$6)=FALSE,"",
        IF(ISERROR(VLOOKUP($G47,SantoYusuf!$L$13:$AK$14,Z$4,FALSE))=TRUE,"",
              VLOOKUP($G47,SantoYusuf!$L$13:$AK$14,Z$4,FALSE)))</t>
  </si>
  <si>
    <t>=IF(ISNUMBER($L$6)=FALSE,"",
        IF(ISERROR(VLOOKUP($G47,SantoYusuf!$L$13:$AK$14,AA$4,FALSE))=TRUE,"",
              VLOOKUP($G47,SantoYusuf!$L$13:$AK$14,AA$4,FALSE)))</t>
  </si>
  <si>
    <t>=IF(ISNUMBER($L$6)=FALSE,"",
        IF(ISERROR(VLOOKUP($G47,SantoYusuf!$L$13:$AK$14,AB$4,FALSE))=TRUE,"",
              VLOOKUP($G47,SantoYusuf!$L$13:$AK$14,AB$4,FALSE)))</t>
  </si>
  <si>
    <t>=IF(ISNUMBER($L$6)=FALSE,"",
        IF(ISERROR(VLOOKUP($G47,SantoYusuf!$L$13:$AK$14,AC$4,FALSE))=TRUE,"",
              VLOOKUP($G47,SantoYusuf!$L$13:$AK$14,AC$4,FALSE)))</t>
  </si>
  <si>
    <t>=IF(ISNUMBER($L$6)=FALSE,"",
        IF(ISERROR(VLOOKUP($G47,SantoYusuf!$L$13:$AK$14,AD$4,FALSE))=TRUE,"",
              VLOOKUP($G47,SantoYusuf!$L$13:$AK$14,AD$4,FALSE)))</t>
  </si>
  <si>
    <t>=IF(ISNUMBER($L$6)=FALSE,"",
        IF(ISERROR(VLOOKUP($G47,SantoYusuf!$L$13:$AK$14,AE$4,FALSE))=TRUE,"",
              VLOOKUP($G47,SantoYusuf!$L$13:$AK$14,AE$4,FALSE)))</t>
  </si>
  <si>
    <t>=IF(ISNUMBER($L$6)=FALSE,"",
        IF(ISERROR(VLOOKUP($G47,SantoYusuf!$L$13:$AK$14,AF$4,FALSE))=TRUE,"",
              VLOOKUP($G47,SantoYusuf!$L$13:$AK$14,AF$4,FALSE)))</t>
  </si>
  <si>
    <t>=IF(ISNUMBER($L$6)=FALSE,"",
IF($C48=0,"",VLOOKUP($E48,SantoYusuf!$H$13:$L$14,4,FALSE)))</t>
  </si>
  <si>
    <t>=IF(ISNUMBER($L$6)=FALSE,"",
IF($C48=0,"",VLOOKUP($E48,SantoYusuf!$H$13:$L$14,5,FALSE)))</t>
  </si>
  <si>
    <t>=IF(ISNUMBER($L$6)=FALSE,"",
        IF(ISERROR(VLOOKUP($G48,SantoYusuf!$L$13:$AK$14,I$4,FALSE))=TRUE,"",
              VLOOKUP($G48,SantoYusuf!$L$13:$AK$14,I$4,FALSE)))</t>
  </si>
  <si>
    <t>=IF(ISNUMBER($L$6)=FALSE,"",
        IF(ISERROR(VLOOKUP($G48,SantoYusuf!$L$13:$AK$14,J$4,FALSE))=TRUE,"",
              VLOOKUP($G48,SantoYusuf!$L$13:$AK$14,J$4,FALSE)))</t>
  </si>
  <si>
    <t>=IF(ISNUMBER($L$6)=FALSE,"",
        IF(ISERROR(VLOOKUP($G48,SantoYusuf!$L$13:$AK$14,K$4,FALSE))=TRUE,"",
              VLOOKUP($G48,SantoYusuf!$L$13:$AK$14,K$4,FALSE)))</t>
  </si>
  <si>
    <t>=IF(ISNUMBER($L$6)=FALSE,"",
        IF(ISERROR(VLOOKUP($G48,SantoYusuf!$L$13:$AK$14,L$4,FALSE))=TRUE,"",
              VLOOKUP($G48,SantoYusuf!$L$13:$AK$14,L$4,FALSE)))</t>
  </si>
  <si>
    <t>=IF(ISNUMBER($L$6)=FALSE,"",
        IF(ISERROR(VLOOKUP($G48,SantoYusuf!$L$13:$AK$14,M$4,FALSE))=TRUE,"",
              VLOOKUP($G48,SantoYusuf!$L$13:$AK$14,M$4,FALSE)))</t>
  </si>
  <si>
    <t>=IF(ISNUMBER($L$6)=FALSE,"",
        IF(ISERROR(VLOOKUP($G48,SantoYusuf!$L$13:$AK$14,N$4,FALSE))=TRUE,"",
              VLOOKUP($G48,SantoYusuf!$L$13:$AK$14,N$4,FALSE)))</t>
  </si>
  <si>
    <t>=IF(ISNUMBER($L$6)=FALSE,"",
        IF(ISERROR(VLOOKUP($G48,SantoYusuf!$L$13:$AK$14,O$4,FALSE))=TRUE,"",
              VLOOKUP($G48,SantoYusuf!$L$13:$AK$14,O$4,FALSE)))</t>
  </si>
  <si>
    <t>=IF(ISNUMBER($L$6)=FALSE,"",
        IF(ISERROR(VLOOKUP($G48,SantoYusuf!$L$13:$AK$14,P$4,FALSE))=TRUE,"",
              VLOOKUP($G48,SantoYusuf!$L$13:$AK$14,P$4,FALSE)))</t>
  </si>
  <si>
    <t>=IF(ISNUMBER($L$6)=FALSE,"",
        IF(ISERROR(VLOOKUP($G48,SantoYusuf!$L$13:$AK$14,Q$4,FALSE))=TRUE,"",
              VLOOKUP($G48,SantoYusuf!$L$13:$AK$14,Q$4,FALSE)))</t>
  </si>
  <si>
    <t>=IF(ISNUMBER($L$6)=FALSE,"",
        IF(ISERROR(VLOOKUP($G48,SantoYusuf!$L$13:$AK$14,R$4,FALSE))=TRUE,"",
              VLOOKUP($G48,SantoYusuf!$L$13:$AK$14,R$4,FALSE)))</t>
  </si>
  <si>
    <t>=IF(ISNUMBER($L$6)=FALSE,"",
        IF(ISERROR(VLOOKUP($G48,SantoYusuf!$L$13:$AK$14,S$4,FALSE))=TRUE,"",
              VLOOKUP($G48,SantoYusuf!$L$13:$AK$14,S$4,FALSE)))</t>
  </si>
  <si>
    <t>=IF(ISNUMBER($L$6)=FALSE,"",
        IF(ISERROR(VLOOKUP($G48,SantoYusuf!$L$13:$AK$14,T$4,FALSE))=TRUE,"",
              VLOOKUP($G48,SantoYusuf!$L$13:$AK$14,T$4,FALSE)))</t>
  </si>
  <si>
    <t>=IF(ISNUMBER($L$6)=FALSE,"",
        IF(ISERROR(VLOOKUP($G48,SantoYusuf!$L$13:$AK$14,U$4,FALSE))=TRUE,"",
              VLOOKUP($G48,SantoYusuf!$L$13:$AK$14,U$4,FALSE)))</t>
  </si>
  <si>
    <t>=IF(ISNUMBER($L$6)=FALSE,"",
        IF(ISERROR(VLOOKUP($G48,SantoYusuf!$L$13:$AK$14,V$4,FALSE))=TRUE,"",
              VLOOKUP($G48,SantoYusuf!$L$13:$AK$14,V$4,FALSE)))</t>
  </si>
  <si>
    <t>=IF(ISNUMBER($L$6)=FALSE,"",
        IF(ISERROR(VLOOKUP($G48,SantoYusuf!$L$13:$AK$14,W$4,FALSE))=TRUE,"",
              VLOOKUP($G48,SantoYusuf!$L$13:$AK$14,W$4,FALSE)))</t>
  </si>
  <si>
    <t>=IF(ISNUMBER($L$6)=FALSE,"",
        IF(ISERROR(VLOOKUP($G48,SantoYusuf!$L$13:$AK$14,X$4,FALSE))=TRUE,"",
              VLOOKUP($G48,SantoYusuf!$L$13:$AK$14,X$4,FALSE)))</t>
  </si>
  <si>
    <t>=IF(ISNUMBER($L$6)=FALSE,"",
        IF(ISERROR(VLOOKUP($G48,SantoYusuf!$L$13:$AK$14,Y$4,FALSE))=TRUE,"",
              VLOOKUP($G48,SantoYusuf!$L$13:$AK$14,Y$4,FALSE)))</t>
  </si>
  <si>
    <t>=IF(ISNUMBER($L$6)=FALSE,"",
        IF(ISERROR(VLOOKUP($G48,SantoYusuf!$L$13:$AK$14,Z$4,FALSE))=TRUE,"",
              VLOOKUP($G48,SantoYusuf!$L$13:$AK$14,Z$4,FALSE)))</t>
  </si>
  <si>
    <t>=IF(ISNUMBER($L$6)=FALSE,"",
        IF(ISERROR(VLOOKUP($G48,SantoYusuf!$L$13:$AK$14,AA$4,FALSE))=TRUE,"",
              VLOOKUP($G48,SantoYusuf!$L$13:$AK$14,AA$4,FALSE)))</t>
  </si>
  <si>
    <t>=IF(ISNUMBER($L$6)=FALSE,"",
        IF(ISERROR(VLOOKUP($G48,SantoYusuf!$L$13:$AK$14,AB$4,FALSE))=TRUE,"",
              VLOOKUP($G48,SantoYusuf!$L$13:$AK$14,AB$4,FALSE)))</t>
  </si>
  <si>
    <t>=IF(ISNUMBER($L$6)=FALSE,"",
        IF(ISERROR(VLOOKUP($G48,SantoYusuf!$L$13:$AK$14,AC$4,FALSE))=TRUE,"",
              VLOOKUP($G48,SantoYusuf!$L$13:$AK$14,AC$4,FALSE)))</t>
  </si>
  <si>
    <t>=IF(ISNUMBER($L$6)=FALSE,"",
        IF(ISERROR(VLOOKUP($G48,SantoYusuf!$L$13:$AK$14,AD$4,FALSE))=TRUE,"",
              VLOOKUP($G48,SantoYusuf!$L$13:$AK$14,AD$4,FALSE)))</t>
  </si>
  <si>
    <t>=IF(ISNUMBER($L$6)=FALSE,"",
        IF(ISERROR(VLOOKUP($G48,SantoYusuf!$L$13:$AK$14,AE$4,FALSE))=TRUE,"",
              VLOOKUP($G48,SantoYusuf!$L$13:$AK$14,AE$4,FALSE)))</t>
  </si>
  <si>
    <t>=IF(ISNUMBER($L$6)=FALSE,"",
        IF(ISERROR(VLOOKUP($G48,SantoYusuf!$L$13:$AK$14,AF$4,FALSE))=TRUE,"",
              VLOOKUP($G48,SantoYusuf!$L$13:$AK$14,AF$4,FALSE)))</t>
  </si>
  <si>
    <t>=IF(ISNUMBER($L$6)=FALSE,"",
IF($C49=0,"",VLOOKUP($E49,SantoYusuf!$H$13:$L$14,4,FALSE)))</t>
  </si>
  <si>
    <t>=IF(ISNUMBER($L$6)=FALSE,"",
IF($C49=0,"",VLOOKUP($E49,SantoYusuf!$H$13:$L$14,5,FALSE)))</t>
  </si>
  <si>
    <t>=IF(ISNUMBER($L$6)=FALSE,"",
        IF(ISERROR(VLOOKUP($G49,SantoYusuf!$L$13:$AK$14,I$4,FALSE))=TRUE,"",
              VLOOKUP($G49,SantoYusuf!$L$13:$AK$14,I$4,FALSE)))</t>
  </si>
  <si>
    <t>=IF(ISNUMBER($L$6)=FALSE,"",
        IF(ISERROR(VLOOKUP($G49,SantoYusuf!$L$13:$AK$14,J$4,FALSE))=TRUE,"",
              VLOOKUP($G49,SantoYusuf!$L$13:$AK$14,J$4,FALSE)))</t>
  </si>
  <si>
    <t>=IF(ISNUMBER($L$6)=FALSE,"",
        IF(ISERROR(VLOOKUP($G49,SantoYusuf!$L$13:$AK$14,K$4,FALSE))=TRUE,"",
              VLOOKUP($G49,SantoYusuf!$L$13:$AK$14,K$4,FALSE)))</t>
  </si>
  <si>
    <t>=IF(ISNUMBER($L$6)=FALSE,"",
        IF(ISERROR(VLOOKUP($G49,SantoYusuf!$L$13:$AK$14,L$4,FALSE))=TRUE,"",
              VLOOKUP($G49,SantoYusuf!$L$13:$AK$14,L$4,FALSE)))</t>
  </si>
  <si>
    <t>=IF(ISNUMBER($L$6)=FALSE,"",
        IF(ISERROR(VLOOKUP($G49,SantoYusuf!$L$13:$AK$14,M$4,FALSE))=TRUE,"",
              VLOOKUP($G49,SantoYusuf!$L$13:$AK$14,M$4,FALSE)))</t>
  </si>
  <si>
    <t>=IF(ISNUMBER($L$6)=FALSE,"",
        IF(ISERROR(VLOOKUP($G49,SantoYusuf!$L$13:$AK$14,N$4,FALSE))=TRUE,"",
              VLOOKUP($G49,SantoYusuf!$L$13:$AK$14,N$4,FALSE)))</t>
  </si>
  <si>
    <t>=IF(ISNUMBER($L$6)=FALSE,"",
        IF(ISERROR(VLOOKUP($G49,SantoYusuf!$L$13:$AK$14,O$4,FALSE))=TRUE,"",
              VLOOKUP($G49,SantoYusuf!$L$13:$AK$14,O$4,FALSE)))</t>
  </si>
  <si>
    <t>=IF(ISNUMBER($L$6)=FALSE,"",
        IF(ISERROR(VLOOKUP($G49,SantoYusuf!$L$13:$AK$14,P$4,FALSE))=TRUE,"",
              VLOOKUP($G49,SantoYusuf!$L$13:$AK$14,P$4,FALSE)))</t>
  </si>
  <si>
    <t>=IF(ISNUMBER($L$6)=FALSE,"",
        IF(ISERROR(VLOOKUP($G49,SantoYusuf!$L$13:$AK$14,Q$4,FALSE))=TRUE,"",
              VLOOKUP($G49,SantoYusuf!$L$13:$AK$14,Q$4,FALSE)))</t>
  </si>
  <si>
    <t>=IF(ISNUMBER($L$6)=FALSE,"",
        IF(ISERROR(VLOOKUP($G49,SantoYusuf!$L$13:$AK$14,R$4,FALSE))=TRUE,"",
              VLOOKUP($G49,SantoYusuf!$L$13:$AK$14,R$4,FALSE)))</t>
  </si>
  <si>
    <t>=IF(ISNUMBER($L$6)=FALSE,"",
        IF(ISERROR(VLOOKUP($G49,SantoYusuf!$L$13:$AK$14,S$4,FALSE))=TRUE,"",
              VLOOKUP($G49,SantoYusuf!$L$13:$AK$14,S$4,FALSE)))</t>
  </si>
  <si>
    <t>=IF(ISNUMBER($L$6)=FALSE,"",
        IF(ISERROR(VLOOKUP($G49,SantoYusuf!$L$13:$AK$14,T$4,FALSE))=TRUE,"",
              VLOOKUP($G49,SantoYusuf!$L$13:$AK$14,T$4,FALSE)))</t>
  </si>
  <si>
    <t>=IF(ISNUMBER($L$6)=FALSE,"",
        IF(ISERROR(VLOOKUP($G49,SantoYusuf!$L$13:$AK$14,U$4,FALSE))=TRUE,"",
              VLOOKUP($G49,SantoYusuf!$L$13:$AK$14,U$4,FALSE)))</t>
  </si>
  <si>
    <t>=IF(ISNUMBER($L$6)=FALSE,"",
        IF(ISERROR(VLOOKUP($G49,SantoYusuf!$L$13:$AK$14,V$4,FALSE))=TRUE,"",
              VLOOKUP($G49,SantoYusuf!$L$13:$AK$14,V$4,FALSE)))</t>
  </si>
  <si>
    <t>=IF(ISNUMBER($L$6)=FALSE,"",
        IF(ISERROR(VLOOKUP($G49,SantoYusuf!$L$13:$AK$14,W$4,FALSE))=TRUE,"",
              VLOOKUP($G49,SantoYusuf!$L$13:$AK$14,W$4,FALSE)))</t>
  </si>
  <si>
    <t>=IF(ISNUMBER($L$6)=FALSE,"",
        IF(ISERROR(VLOOKUP($G49,SantoYusuf!$L$13:$AK$14,X$4,FALSE))=TRUE,"",
              VLOOKUP($G49,SantoYusuf!$L$13:$AK$14,X$4,FALSE)))</t>
  </si>
  <si>
    <t>=IF(ISNUMBER($L$6)=FALSE,"",
        IF(ISERROR(VLOOKUP($G49,SantoYusuf!$L$13:$AK$14,Y$4,FALSE))=TRUE,"",
              VLOOKUP($G49,SantoYusuf!$L$13:$AK$14,Y$4,FALSE)))</t>
  </si>
  <si>
    <t>=IF(ISNUMBER($L$6)=FALSE,"",
        IF(ISERROR(VLOOKUP($G49,SantoYusuf!$L$13:$AK$14,Z$4,FALSE))=TRUE,"",
              VLOOKUP($G49,SantoYusuf!$L$13:$AK$14,Z$4,FALSE)))</t>
  </si>
  <si>
    <t>=IF(ISNUMBER($L$6)=FALSE,"",
        IF(ISERROR(VLOOKUP($G49,SantoYusuf!$L$13:$AK$14,AA$4,FALSE))=TRUE,"",
              VLOOKUP($G49,SantoYusuf!$L$13:$AK$14,AA$4,FALSE)))</t>
  </si>
  <si>
    <t>=IF(ISNUMBER($L$6)=FALSE,"",
        IF(ISERROR(VLOOKUP($G49,SantoYusuf!$L$13:$AK$14,AB$4,FALSE))=TRUE,"",
              VLOOKUP($G49,SantoYusuf!$L$13:$AK$14,AB$4,FALSE)))</t>
  </si>
  <si>
    <t>=IF(ISNUMBER($L$6)=FALSE,"",
        IF(ISERROR(VLOOKUP($G49,SantoYusuf!$L$13:$AK$14,AC$4,FALSE))=TRUE,"",
              VLOOKUP($G49,SantoYusuf!$L$13:$AK$14,AC$4,FALSE)))</t>
  </si>
  <si>
    <t>=IF(ISNUMBER($L$6)=FALSE,"",
        IF(ISERROR(VLOOKUP($G49,SantoYusuf!$L$13:$AK$14,AD$4,FALSE))=TRUE,"",
              VLOOKUP($G49,SantoYusuf!$L$13:$AK$14,AD$4,FALSE)))</t>
  </si>
  <si>
    <t>=IF(ISNUMBER($L$6)=FALSE,"",
        IF(ISERROR(VLOOKUP($G49,SantoYusuf!$L$13:$AK$14,AE$4,FALSE))=TRUE,"",
              VLOOKUP($G49,SantoYusuf!$L$13:$AK$14,AE$4,FALSE)))</t>
  </si>
  <si>
    <t>=IF(ISNUMBER($L$6)=FALSE,"",
        IF(ISERROR(VLOOKUP($G49,SantoYusuf!$L$13:$AK$14,AF$4,FALSE))=TRUE,"",
              VLOOKUP($G49,SantoYusuf!$L$13:$AK$14,AF$4,FALSE)))</t>
  </si>
  <si>
    <t>=IF(ISNUMBER($L$6)=FALSE,"",
IF($C50=0,"",VLOOKUP($E50,SantoYusuf!$H$13:$L$14,4,FALSE)))</t>
  </si>
  <si>
    <t>=IF(ISNUMBER($L$6)=FALSE,"",
IF($C50=0,"",VLOOKUP($E50,SantoYusuf!$H$13:$L$14,5,FALSE)))</t>
  </si>
  <si>
    <t>=IF(ISNUMBER($L$6)=FALSE,"",
        IF(ISERROR(VLOOKUP($G50,SantoYusuf!$L$13:$AK$14,I$4,FALSE))=TRUE,"",
              VLOOKUP($G50,SantoYusuf!$L$13:$AK$14,I$4,FALSE)))</t>
  </si>
  <si>
    <t>=IF(ISNUMBER($L$6)=FALSE,"",
        IF(ISERROR(VLOOKUP($G50,SantoYusuf!$L$13:$AK$14,J$4,FALSE))=TRUE,"",
              VLOOKUP($G50,SantoYusuf!$L$13:$AK$14,J$4,FALSE)))</t>
  </si>
  <si>
    <t>=IF(ISNUMBER($L$6)=FALSE,"",
        IF(ISERROR(VLOOKUP($G50,SantoYusuf!$L$13:$AK$14,K$4,FALSE))=TRUE,"",
              VLOOKUP($G50,SantoYusuf!$L$13:$AK$14,K$4,FALSE)))</t>
  </si>
  <si>
    <t>=IF(ISNUMBER($L$6)=FALSE,"",
        IF(ISERROR(VLOOKUP($G50,SantoYusuf!$L$13:$AK$14,L$4,FALSE))=TRUE,"",
              VLOOKUP($G50,SantoYusuf!$L$13:$AK$14,L$4,FALSE)))</t>
  </si>
  <si>
    <t>=IF(ISNUMBER($L$6)=FALSE,"",
        IF(ISERROR(VLOOKUP($G50,SantoYusuf!$L$13:$AK$14,M$4,FALSE))=TRUE,"",
              VLOOKUP($G50,SantoYusuf!$L$13:$AK$14,M$4,FALSE)))</t>
  </si>
  <si>
    <t>=IF(ISNUMBER($L$6)=FALSE,"",
        IF(ISERROR(VLOOKUP($G50,SantoYusuf!$L$13:$AK$14,N$4,FALSE))=TRUE,"",
              VLOOKUP($G50,SantoYusuf!$L$13:$AK$14,N$4,FALSE)))</t>
  </si>
  <si>
    <t>=IF(ISNUMBER($L$6)=FALSE,"",
        IF(ISERROR(VLOOKUP($G50,SantoYusuf!$L$13:$AK$14,O$4,FALSE))=TRUE,"",
              VLOOKUP($G50,SantoYusuf!$L$13:$AK$14,O$4,FALSE)))</t>
  </si>
  <si>
    <t>=IF(ISNUMBER($L$6)=FALSE,"",
        IF(ISERROR(VLOOKUP($G50,SantoYusuf!$L$13:$AK$14,P$4,FALSE))=TRUE,"",
              VLOOKUP($G50,SantoYusuf!$L$13:$AK$14,P$4,FALSE)))</t>
  </si>
  <si>
    <t>=IF(ISNUMBER($L$6)=FALSE,"",
        IF(ISERROR(VLOOKUP($G50,SantoYusuf!$L$13:$AK$14,Q$4,FALSE))=TRUE,"",
              VLOOKUP($G50,SantoYusuf!$L$13:$AK$14,Q$4,FALSE)))</t>
  </si>
  <si>
    <t>=IF(ISNUMBER($L$6)=FALSE,"",
        IF(ISERROR(VLOOKUP($G50,SantoYusuf!$L$13:$AK$14,R$4,FALSE))=TRUE,"",
              VLOOKUP($G50,SantoYusuf!$L$13:$AK$14,R$4,FALSE)))</t>
  </si>
  <si>
    <t>=IF(ISNUMBER($L$6)=FALSE,"",
        IF(ISERROR(VLOOKUP($G50,SantoYusuf!$L$13:$AK$14,S$4,FALSE))=TRUE,"",
              VLOOKUP($G50,SantoYusuf!$L$13:$AK$14,S$4,FALSE)))</t>
  </si>
  <si>
    <t>=IF(ISNUMBER($L$6)=FALSE,"",
        IF(ISERROR(VLOOKUP($G50,SantoYusuf!$L$13:$AK$14,T$4,FALSE))=TRUE,"",
              VLOOKUP($G50,SantoYusuf!$L$13:$AK$14,T$4,FALSE)))</t>
  </si>
  <si>
    <t>=IF(ISNUMBER($L$6)=FALSE,"",
        IF(ISERROR(VLOOKUP($G50,SantoYusuf!$L$13:$AK$14,U$4,FALSE))=TRUE,"",
              VLOOKUP($G50,SantoYusuf!$L$13:$AK$14,U$4,FALSE)))</t>
  </si>
  <si>
    <t>=IF(ISNUMBER($L$6)=FALSE,"",
        IF(ISERROR(VLOOKUP($G50,SantoYusuf!$L$13:$AK$14,V$4,FALSE))=TRUE,"",
              VLOOKUP($G50,SantoYusuf!$L$13:$AK$14,V$4,FALSE)))</t>
  </si>
  <si>
    <t>=IF(ISNUMBER($L$6)=FALSE,"",
        IF(ISERROR(VLOOKUP($G50,SantoYusuf!$L$13:$AK$14,W$4,FALSE))=TRUE,"",
              VLOOKUP($G50,SantoYusuf!$L$13:$AK$14,W$4,FALSE)))</t>
  </si>
  <si>
    <t>=IF(ISNUMBER($L$6)=FALSE,"",
        IF(ISERROR(VLOOKUP($G50,SantoYusuf!$L$13:$AK$14,X$4,FALSE))=TRUE,"",
              VLOOKUP($G50,SantoYusuf!$L$13:$AK$14,X$4,FALSE)))</t>
  </si>
  <si>
    <t>=IF(ISNUMBER($L$6)=FALSE,"",
        IF(ISERROR(VLOOKUP($G50,SantoYusuf!$L$13:$AK$14,Y$4,FALSE))=TRUE,"",
              VLOOKUP($G50,SantoYusuf!$L$13:$AK$14,Y$4,FALSE)))</t>
  </si>
  <si>
    <t>=IF(ISNUMBER($L$6)=FALSE,"",
        IF(ISERROR(VLOOKUP($G50,SantoYusuf!$L$13:$AK$14,Z$4,FALSE))=TRUE,"",
              VLOOKUP($G50,SantoYusuf!$L$13:$AK$14,Z$4,FALSE)))</t>
  </si>
  <si>
    <t>=IF(ISNUMBER($L$6)=FALSE,"",
        IF(ISERROR(VLOOKUP($G50,SantoYusuf!$L$13:$AK$14,AA$4,FALSE))=TRUE,"",
              VLOOKUP($G50,SantoYusuf!$L$13:$AK$14,AA$4,FALSE)))</t>
  </si>
  <si>
    <t>=IF(ISNUMBER($L$6)=FALSE,"",
        IF(ISERROR(VLOOKUP($G50,SantoYusuf!$L$13:$AK$14,AB$4,FALSE))=TRUE,"",
              VLOOKUP($G50,SantoYusuf!$L$13:$AK$14,AB$4,FALSE)))</t>
  </si>
  <si>
    <t>=IF(ISNUMBER($L$6)=FALSE,"",
        IF(ISERROR(VLOOKUP($G50,SantoYusuf!$L$13:$AK$14,AC$4,FALSE))=TRUE,"",
              VLOOKUP($G50,SantoYusuf!$L$13:$AK$14,AC$4,FALSE)))</t>
  </si>
  <si>
    <t>=IF(ISNUMBER($L$6)=FALSE,"",
        IF(ISERROR(VLOOKUP($G50,SantoYusuf!$L$13:$AK$14,AD$4,FALSE))=TRUE,"",
              VLOOKUP($G50,SantoYusuf!$L$13:$AK$14,AD$4,FALSE)))</t>
  </si>
  <si>
    <t>=IF(ISNUMBER($L$6)=FALSE,"",
        IF(ISERROR(VLOOKUP($G50,SantoYusuf!$L$13:$AK$14,AE$4,FALSE))=TRUE,"",
              VLOOKUP($G50,SantoYusuf!$L$13:$AK$14,AE$4,FALSE)))</t>
  </si>
  <si>
    <t>=IF(ISNUMBER($L$6)=FALSE,"",
        IF(ISERROR(VLOOKUP($G50,SantoYusuf!$L$13:$AK$14,AF$4,FALSE))=TRUE,"",
              VLOOKUP($G50,SantoYusuf!$L$13:$AK$14,AF$4,FALSE)))</t>
  </si>
  <si>
    <t>=IF(ISNUMBER($L$6)=FALSE,"",
IF($C51=0,"",VLOOKUP($E51,SantoYusuf!$H$13:$L$14,4,FALSE)))</t>
  </si>
  <si>
    <t>=IF(ISNUMBER($L$6)=FALSE,"",
IF($C51=0,"",VLOOKUP($E51,SantoYusuf!$H$13:$L$14,5,FALSE)))</t>
  </si>
  <si>
    <t>=IF(ISNUMBER($L$6)=FALSE,"",
        IF(ISERROR(VLOOKUP($G51,SantoYusuf!$L$13:$AK$14,I$4,FALSE))=TRUE,"",
              VLOOKUP($G51,SantoYusuf!$L$13:$AK$14,I$4,FALSE)))</t>
  </si>
  <si>
    <t>=IF(ISNUMBER($L$6)=FALSE,"",
        IF(ISERROR(VLOOKUP($G51,SantoYusuf!$L$13:$AK$14,J$4,FALSE))=TRUE,"",
              VLOOKUP($G51,SantoYusuf!$L$13:$AK$14,J$4,FALSE)))</t>
  </si>
  <si>
    <t>=IF(ISNUMBER($L$6)=FALSE,"",
        IF(ISERROR(VLOOKUP($G51,SantoYusuf!$L$13:$AK$14,K$4,FALSE))=TRUE,"",
              VLOOKUP($G51,SantoYusuf!$L$13:$AK$14,K$4,FALSE)))</t>
  </si>
  <si>
    <t>=IF(ISNUMBER($L$6)=FALSE,"",
        IF(ISERROR(VLOOKUP($G51,SantoYusuf!$L$13:$AK$14,L$4,FALSE))=TRUE,"",
              VLOOKUP($G51,SantoYusuf!$L$13:$AK$14,L$4,FALSE)))</t>
  </si>
  <si>
    <t>=IF(ISNUMBER($L$6)=FALSE,"",
        IF(ISERROR(VLOOKUP($G51,SantoYusuf!$L$13:$AK$14,M$4,FALSE))=TRUE,"",
              VLOOKUP($G51,SantoYusuf!$L$13:$AK$14,M$4,FALSE)))</t>
  </si>
  <si>
    <t>=IF(ISNUMBER($L$6)=FALSE,"",
        IF(ISERROR(VLOOKUP($G51,SantoYusuf!$L$13:$AK$14,N$4,FALSE))=TRUE,"",
              VLOOKUP($G51,SantoYusuf!$L$13:$AK$14,N$4,FALSE)))</t>
  </si>
  <si>
    <t>=IF(ISNUMBER($L$6)=FALSE,"",
        IF(ISERROR(VLOOKUP($G51,SantoYusuf!$L$13:$AK$14,O$4,FALSE))=TRUE,"",
              VLOOKUP($G51,SantoYusuf!$L$13:$AK$14,O$4,FALSE)))</t>
  </si>
  <si>
    <t>=IF(ISNUMBER($L$6)=FALSE,"",
        IF(ISERROR(VLOOKUP($G51,SantoYusuf!$L$13:$AK$14,P$4,FALSE))=TRUE,"",
              VLOOKUP($G51,SantoYusuf!$L$13:$AK$14,P$4,FALSE)))</t>
  </si>
  <si>
    <t>=IF(ISNUMBER($L$6)=FALSE,"",
        IF(ISERROR(VLOOKUP($G51,SantoYusuf!$L$13:$AK$14,Q$4,FALSE))=TRUE,"",
              VLOOKUP($G51,SantoYusuf!$L$13:$AK$14,Q$4,FALSE)))</t>
  </si>
  <si>
    <t>=IF(ISNUMBER($L$6)=FALSE,"",
        IF(ISERROR(VLOOKUP($G51,SantoYusuf!$L$13:$AK$14,R$4,FALSE))=TRUE,"",
              VLOOKUP($G51,SantoYusuf!$L$13:$AK$14,R$4,FALSE)))</t>
  </si>
  <si>
    <t>=IF(ISNUMBER($L$6)=FALSE,"",
        IF(ISERROR(VLOOKUP($G51,SantoYusuf!$L$13:$AK$14,S$4,FALSE))=TRUE,"",
              VLOOKUP($G51,SantoYusuf!$L$13:$AK$14,S$4,FALSE)))</t>
  </si>
  <si>
    <t>=IF(ISNUMBER($L$6)=FALSE,"",
        IF(ISERROR(VLOOKUP($G51,SantoYusuf!$L$13:$AK$14,T$4,FALSE))=TRUE,"",
              VLOOKUP($G51,SantoYusuf!$L$13:$AK$14,T$4,FALSE)))</t>
  </si>
  <si>
    <t>=IF(ISNUMBER($L$6)=FALSE,"",
        IF(ISERROR(VLOOKUP($G51,SantoYusuf!$L$13:$AK$14,U$4,FALSE))=TRUE,"",
              VLOOKUP($G51,SantoYusuf!$L$13:$AK$14,U$4,FALSE)))</t>
  </si>
  <si>
    <t>=IF(ISNUMBER($L$6)=FALSE,"",
        IF(ISERROR(VLOOKUP($G51,SantoYusuf!$L$13:$AK$14,V$4,FALSE))=TRUE,"",
              VLOOKUP($G51,SantoYusuf!$L$13:$AK$14,V$4,FALSE)))</t>
  </si>
  <si>
    <t>=IF(ISNUMBER($L$6)=FALSE,"",
        IF(ISERROR(VLOOKUP($G51,SantoYusuf!$L$13:$AK$14,W$4,FALSE))=TRUE,"",
              VLOOKUP($G51,SantoYusuf!$L$13:$AK$14,W$4,FALSE)))</t>
  </si>
  <si>
    <t>=IF(ISNUMBER($L$6)=FALSE,"",
        IF(ISERROR(VLOOKUP($G51,SantoYusuf!$L$13:$AK$14,X$4,FALSE))=TRUE,"",
              VLOOKUP($G51,SantoYusuf!$L$13:$AK$14,X$4,FALSE)))</t>
  </si>
  <si>
    <t>=IF(ISNUMBER($L$6)=FALSE,"",
        IF(ISERROR(VLOOKUP($G51,SantoYusuf!$L$13:$AK$14,Y$4,FALSE))=TRUE,"",
              VLOOKUP($G51,SantoYusuf!$L$13:$AK$14,Y$4,FALSE)))</t>
  </si>
  <si>
    <t>=IF(ISNUMBER($L$6)=FALSE,"",
        IF(ISERROR(VLOOKUP($G51,SantoYusuf!$L$13:$AK$14,Z$4,FALSE))=TRUE,"",
              VLOOKUP($G51,SantoYusuf!$L$13:$AK$14,Z$4,FALSE)))</t>
  </si>
  <si>
    <t>=IF(ISNUMBER($L$6)=FALSE,"",
        IF(ISERROR(VLOOKUP($G51,SantoYusuf!$L$13:$AK$14,AA$4,FALSE))=TRUE,"",
              VLOOKUP($G51,SantoYusuf!$L$13:$AK$14,AA$4,FALSE)))</t>
  </si>
  <si>
    <t>=IF(ISNUMBER($L$6)=FALSE,"",
        IF(ISERROR(VLOOKUP($G51,SantoYusuf!$L$13:$AK$14,AB$4,FALSE))=TRUE,"",
              VLOOKUP($G51,SantoYusuf!$L$13:$AK$14,AB$4,FALSE)))</t>
  </si>
  <si>
    <t>=IF(ISNUMBER($L$6)=FALSE,"",
        IF(ISERROR(VLOOKUP($G51,SantoYusuf!$L$13:$AK$14,AC$4,FALSE))=TRUE,"",
              VLOOKUP($G51,SantoYusuf!$L$13:$AK$14,AC$4,FALSE)))</t>
  </si>
  <si>
    <t>=IF(ISNUMBER($L$6)=FALSE,"",
        IF(ISERROR(VLOOKUP($G51,SantoYusuf!$L$13:$AK$14,AD$4,FALSE))=TRUE,"",
              VLOOKUP($G51,SantoYusuf!$L$13:$AK$14,AD$4,FALSE)))</t>
  </si>
  <si>
    <t>=IF(ISNUMBER($L$6)=FALSE,"",
        IF(ISERROR(VLOOKUP($G51,SantoYusuf!$L$13:$AK$14,AE$4,FALSE))=TRUE,"",
              VLOOKUP($G51,SantoYusuf!$L$13:$AK$14,AE$4,FALSE)))</t>
  </si>
  <si>
    <t>=IF(ISNUMBER($L$6)=FALSE,"",
        IF(ISERROR(VLOOKUP($G51,SantoYusuf!$L$13:$AK$14,AF$4,FALSE))=TRUE,"",
              VLOOKUP($G51,SantoYusuf!$L$13:$AK$14,AF$4,FALSE)))</t>
  </si>
  <si>
    <t>=IF(ISNUMBER($L$6)=FALSE,"",
IF($C52=0,"",VLOOKUP($E52,SantoYusuf!$H$13:$L$14,4,FALSE)))</t>
  </si>
  <si>
    <t>=IF(ISNUMBER($L$6)=FALSE,"",
IF($C52=0,"",VLOOKUP($E52,SantoYusuf!$H$13:$L$14,5,FALSE)))</t>
  </si>
  <si>
    <t>=IF(ISNUMBER($L$6)=FALSE,"",
        IF(ISERROR(VLOOKUP($G52,SantoYusuf!$L$13:$AK$14,I$4,FALSE))=TRUE,"",
              VLOOKUP($G52,SantoYusuf!$L$13:$AK$14,I$4,FALSE)))</t>
  </si>
  <si>
    <t>=IF(ISNUMBER($L$6)=FALSE,"",
        IF(ISERROR(VLOOKUP($G52,SantoYusuf!$L$13:$AK$14,J$4,FALSE))=TRUE,"",
              VLOOKUP($G52,SantoYusuf!$L$13:$AK$14,J$4,FALSE)))</t>
  </si>
  <si>
    <t>=IF(ISNUMBER($L$6)=FALSE,"",
        IF(ISERROR(VLOOKUP($G52,SantoYusuf!$L$13:$AK$14,K$4,FALSE))=TRUE,"",
              VLOOKUP($G52,SantoYusuf!$L$13:$AK$14,K$4,FALSE)))</t>
  </si>
  <si>
    <t>=IF(ISNUMBER($L$6)=FALSE,"",
        IF(ISERROR(VLOOKUP($G52,SantoYusuf!$L$13:$AK$14,L$4,FALSE))=TRUE,"",
              VLOOKUP($G52,SantoYusuf!$L$13:$AK$14,L$4,FALSE)))</t>
  </si>
  <si>
    <t>=IF(ISNUMBER($L$6)=FALSE,"",
        IF(ISERROR(VLOOKUP($G52,SantoYusuf!$L$13:$AK$14,M$4,FALSE))=TRUE,"",
              VLOOKUP($G52,SantoYusuf!$L$13:$AK$14,M$4,FALSE)))</t>
  </si>
  <si>
    <t>=IF(ISNUMBER($L$6)=FALSE,"",
        IF(ISERROR(VLOOKUP($G52,SantoYusuf!$L$13:$AK$14,N$4,FALSE))=TRUE,"",
              VLOOKUP($G52,SantoYusuf!$L$13:$AK$14,N$4,FALSE)))</t>
  </si>
  <si>
    <t>=IF(ISNUMBER($L$6)=FALSE,"",
        IF(ISERROR(VLOOKUP($G52,SantoYusuf!$L$13:$AK$14,O$4,FALSE))=TRUE,"",
              VLOOKUP($G52,SantoYusuf!$L$13:$AK$14,O$4,FALSE)))</t>
  </si>
  <si>
    <t>=IF(ISNUMBER($L$6)=FALSE,"",
        IF(ISERROR(VLOOKUP($G52,SantoYusuf!$L$13:$AK$14,P$4,FALSE))=TRUE,"",
              VLOOKUP($G52,SantoYusuf!$L$13:$AK$14,P$4,FALSE)))</t>
  </si>
  <si>
    <t>=IF(ISNUMBER($L$6)=FALSE,"",
        IF(ISERROR(VLOOKUP($G52,SantoYusuf!$L$13:$AK$14,Q$4,FALSE))=TRUE,"",
              VLOOKUP($G52,SantoYusuf!$L$13:$AK$14,Q$4,FALSE)))</t>
  </si>
  <si>
    <t>=IF(ISNUMBER($L$6)=FALSE,"",
        IF(ISERROR(VLOOKUP($G52,SantoYusuf!$L$13:$AK$14,R$4,FALSE))=TRUE,"",
              VLOOKUP($G52,SantoYusuf!$L$13:$AK$14,R$4,FALSE)))</t>
  </si>
  <si>
    <t>=IF(ISNUMBER($L$6)=FALSE,"",
        IF(ISERROR(VLOOKUP($G52,SantoYusuf!$L$13:$AK$14,S$4,FALSE))=TRUE,"",
              VLOOKUP($G52,SantoYusuf!$L$13:$AK$14,S$4,FALSE)))</t>
  </si>
  <si>
    <t>=IF(ISNUMBER($L$6)=FALSE,"",
        IF(ISERROR(VLOOKUP($G52,SantoYusuf!$L$13:$AK$14,T$4,FALSE))=TRUE,"",
              VLOOKUP($G52,SantoYusuf!$L$13:$AK$14,T$4,FALSE)))</t>
  </si>
  <si>
    <t>=IF(ISNUMBER($L$6)=FALSE,"",
        IF(ISERROR(VLOOKUP($G52,SantoYusuf!$L$13:$AK$14,U$4,FALSE))=TRUE,"",
              VLOOKUP($G52,SantoYusuf!$L$13:$AK$14,U$4,FALSE)))</t>
  </si>
  <si>
    <t>=IF(ISNUMBER($L$6)=FALSE,"",
        IF(ISERROR(VLOOKUP($G52,SantoYusuf!$L$13:$AK$14,V$4,FALSE))=TRUE,"",
              VLOOKUP($G52,SantoYusuf!$L$13:$AK$14,V$4,FALSE)))</t>
  </si>
  <si>
    <t>=IF(ISNUMBER($L$6)=FALSE,"",
        IF(ISERROR(VLOOKUP($G52,SantoYusuf!$L$13:$AK$14,W$4,FALSE))=TRUE,"",
              VLOOKUP($G52,SantoYusuf!$L$13:$AK$14,W$4,FALSE)))</t>
  </si>
  <si>
    <t>=IF(ISNUMBER($L$6)=FALSE,"",
        IF(ISERROR(VLOOKUP($G52,SantoYusuf!$L$13:$AK$14,X$4,FALSE))=TRUE,"",
              VLOOKUP($G52,SantoYusuf!$L$13:$AK$14,X$4,FALSE)))</t>
  </si>
  <si>
    <t>=IF(ISNUMBER($L$6)=FALSE,"",
        IF(ISERROR(VLOOKUP($G52,SantoYusuf!$L$13:$AK$14,Y$4,FALSE))=TRUE,"",
              VLOOKUP($G52,SantoYusuf!$L$13:$AK$14,Y$4,FALSE)))</t>
  </si>
  <si>
    <t>=IF(ISNUMBER($L$6)=FALSE,"",
        IF(ISERROR(VLOOKUP($G52,SantoYusuf!$L$13:$AK$14,Z$4,FALSE))=TRUE,"",
              VLOOKUP($G52,SantoYusuf!$L$13:$AK$14,Z$4,FALSE)))</t>
  </si>
  <si>
    <t>=IF(ISNUMBER($L$6)=FALSE,"",
        IF(ISERROR(VLOOKUP($G52,SantoYusuf!$L$13:$AK$14,AA$4,FALSE))=TRUE,"",
              VLOOKUP($G52,SantoYusuf!$L$13:$AK$14,AA$4,FALSE)))</t>
  </si>
  <si>
    <t>=IF(ISNUMBER($L$6)=FALSE,"",
        IF(ISERROR(VLOOKUP($G52,SantoYusuf!$L$13:$AK$14,AB$4,FALSE))=TRUE,"",
              VLOOKUP($G52,SantoYusuf!$L$13:$AK$14,AB$4,FALSE)))</t>
  </si>
  <si>
    <t>=IF(ISNUMBER($L$6)=FALSE,"",
        IF(ISERROR(VLOOKUP($G52,SantoYusuf!$L$13:$AK$14,AC$4,FALSE))=TRUE,"",
              VLOOKUP($G52,SantoYusuf!$L$13:$AK$14,AC$4,FALSE)))</t>
  </si>
  <si>
    <t>=IF(ISNUMBER($L$6)=FALSE,"",
        IF(ISERROR(VLOOKUP($G52,SantoYusuf!$L$13:$AK$14,AD$4,FALSE))=TRUE,"",
              VLOOKUP($G52,SantoYusuf!$L$13:$AK$14,AD$4,FALSE)))</t>
  </si>
  <si>
    <t>=IF(ISNUMBER($L$6)=FALSE,"",
        IF(ISERROR(VLOOKUP($G52,SantoYusuf!$L$13:$AK$14,AE$4,FALSE))=TRUE,"",
              VLOOKUP($G52,SantoYusuf!$L$13:$AK$14,AE$4,FALSE)))</t>
  </si>
  <si>
    <t>=IF(ISNUMBER($L$6)=FALSE,"",
        IF(ISERROR(VLOOKUP($G52,SantoYusuf!$L$13:$AK$14,AF$4,FALSE))=TRUE,"",
              VLOOKUP($G52,SantoYusuf!$L$13:$AK$14,AF$4,FALSE)))</t>
  </si>
  <si>
    <t>=IF(ISNUMBER($L$6)=FALSE,"",
IF($C53=0,"",VLOOKUP($E53,SantoYusuf!$H$13:$L$14,4,FALSE)))</t>
  </si>
  <si>
    <t>=IF(ISNUMBER($L$6)=FALSE,"",
IF($C53=0,"",VLOOKUP($E53,SantoYusuf!$H$13:$L$14,5,FALSE)))</t>
  </si>
  <si>
    <t>=IF(ISNUMBER($L$6)=FALSE,"",
        IF(ISERROR(VLOOKUP($G53,SantoYusuf!$L$13:$AK$14,I$4,FALSE))=TRUE,"",
              VLOOKUP($G53,SantoYusuf!$L$13:$AK$14,I$4,FALSE)))</t>
  </si>
  <si>
    <t>=IF(ISNUMBER($L$6)=FALSE,"",
        IF(ISERROR(VLOOKUP($G53,SantoYusuf!$L$13:$AK$14,J$4,FALSE))=TRUE,"",
              VLOOKUP($G53,SantoYusuf!$L$13:$AK$14,J$4,FALSE)))</t>
  </si>
  <si>
    <t>=IF(ISNUMBER($L$6)=FALSE,"",
        IF(ISERROR(VLOOKUP($G53,SantoYusuf!$L$13:$AK$14,K$4,FALSE))=TRUE,"",
              VLOOKUP($G53,SantoYusuf!$L$13:$AK$14,K$4,FALSE)))</t>
  </si>
  <si>
    <t>=IF(ISNUMBER($L$6)=FALSE,"",
        IF(ISERROR(VLOOKUP($G53,SantoYusuf!$L$13:$AK$14,L$4,FALSE))=TRUE,"",
              VLOOKUP($G53,SantoYusuf!$L$13:$AK$14,L$4,FALSE)))</t>
  </si>
  <si>
    <t>=IF(ISNUMBER($L$6)=FALSE,"",
        IF(ISERROR(VLOOKUP($G53,SantoYusuf!$L$13:$AK$14,M$4,FALSE))=TRUE,"",
              VLOOKUP($G53,SantoYusuf!$L$13:$AK$14,M$4,FALSE)))</t>
  </si>
  <si>
    <t>=IF(ISNUMBER($L$6)=FALSE,"",
        IF(ISERROR(VLOOKUP($G53,SantoYusuf!$L$13:$AK$14,N$4,FALSE))=TRUE,"",
              VLOOKUP($G53,SantoYusuf!$L$13:$AK$14,N$4,FALSE)))</t>
  </si>
  <si>
    <t>=IF(ISNUMBER($L$6)=FALSE,"",
        IF(ISERROR(VLOOKUP($G53,SantoYusuf!$L$13:$AK$14,O$4,FALSE))=TRUE,"",
              VLOOKUP($G53,SantoYusuf!$L$13:$AK$14,O$4,FALSE)))</t>
  </si>
  <si>
    <t>=IF(ISNUMBER($L$6)=FALSE,"",
        IF(ISERROR(VLOOKUP($G53,SantoYusuf!$L$13:$AK$14,P$4,FALSE))=TRUE,"",
              VLOOKUP($G53,SantoYusuf!$L$13:$AK$14,P$4,FALSE)))</t>
  </si>
  <si>
    <t>=IF(ISNUMBER($L$6)=FALSE,"",
        IF(ISERROR(VLOOKUP($G53,SantoYusuf!$L$13:$AK$14,Q$4,FALSE))=TRUE,"",
              VLOOKUP($G53,SantoYusuf!$L$13:$AK$14,Q$4,FALSE)))</t>
  </si>
  <si>
    <t>=IF(ISNUMBER($L$6)=FALSE,"",
        IF(ISERROR(VLOOKUP($G53,SantoYusuf!$L$13:$AK$14,R$4,FALSE))=TRUE,"",
              VLOOKUP($G53,SantoYusuf!$L$13:$AK$14,R$4,FALSE)))</t>
  </si>
  <si>
    <t>=IF(ISNUMBER($L$6)=FALSE,"",
        IF(ISERROR(VLOOKUP($G53,SantoYusuf!$L$13:$AK$14,S$4,FALSE))=TRUE,"",
              VLOOKUP($G53,SantoYusuf!$L$13:$AK$14,S$4,FALSE)))</t>
  </si>
  <si>
    <t>=IF(ISNUMBER($L$6)=FALSE,"",
        IF(ISERROR(VLOOKUP($G53,SantoYusuf!$L$13:$AK$14,T$4,FALSE))=TRUE,"",
              VLOOKUP($G53,SantoYusuf!$L$13:$AK$14,T$4,FALSE)))</t>
  </si>
  <si>
    <t>=IF(ISNUMBER($L$6)=FALSE,"",
        IF(ISERROR(VLOOKUP($G53,SantoYusuf!$L$13:$AK$14,U$4,FALSE))=TRUE,"",
              VLOOKUP($G53,SantoYusuf!$L$13:$AK$14,U$4,FALSE)))</t>
  </si>
  <si>
    <t>=IF(ISNUMBER($L$6)=FALSE,"",
        IF(ISERROR(VLOOKUP($G53,SantoYusuf!$L$13:$AK$14,V$4,FALSE))=TRUE,"",
              VLOOKUP($G53,SantoYusuf!$L$13:$AK$14,V$4,FALSE)))</t>
  </si>
  <si>
    <t>=IF(ISNUMBER($L$6)=FALSE,"",
        IF(ISERROR(VLOOKUP($G53,SantoYusuf!$L$13:$AK$14,W$4,FALSE))=TRUE,"",
              VLOOKUP($G53,SantoYusuf!$L$13:$AK$14,W$4,FALSE)))</t>
  </si>
  <si>
    <t>=IF(ISNUMBER($L$6)=FALSE,"",
        IF(ISERROR(VLOOKUP($G53,SantoYusuf!$L$13:$AK$14,X$4,FALSE))=TRUE,"",
              VLOOKUP($G53,SantoYusuf!$L$13:$AK$14,X$4,FALSE)))</t>
  </si>
  <si>
    <t>=IF(ISNUMBER($L$6)=FALSE,"",
        IF(ISERROR(VLOOKUP($G53,SantoYusuf!$L$13:$AK$14,Y$4,FALSE))=TRUE,"",
              VLOOKUP($G53,SantoYusuf!$L$13:$AK$14,Y$4,FALSE)))</t>
  </si>
  <si>
    <t>=IF(ISNUMBER($L$6)=FALSE,"",
        IF(ISERROR(VLOOKUP($G53,SantoYusuf!$L$13:$AK$14,Z$4,FALSE))=TRUE,"",
              VLOOKUP($G53,SantoYusuf!$L$13:$AK$14,Z$4,FALSE)))</t>
  </si>
  <si>
    <t>=IF(ISNUMBER($L$6)=FALSE,"",
        IF(ISERROR(VLOOKUP($G53,SantoYusuf!$L$13:$AK$14,AA$4,FALSE))=TRUE,"",
              VLOOKUP($G53,SantoYusuf!$L$13:$AK$14,AA$4,FALSE)))</t>
  </si>
  <si>
    <t>=IF(ISNUMBER($L$6)=FALSE,"",
        IF(ISERROR(VLOOKUP($G53,SantoYusuf!$L$13:$AK$14,AB$4,FALSE))=TRUE,"",
              VLOOKUP($G53,SantoYusuf!$L$13:$AK$14,AB$4,FALSE)))</t>
  </si>
  <si>
    <t>=IF(ISNUMBER($L$6)=FALSE,"",
        IF(ISERROR(VLOOKUP($G53,SantoYusuf!$L$13:$AK$14,AC$4,FALSE))=TRUE,"",
              VLOOKUP($G53,SantoYusuf!$L$13:$AK$14,AC$4,FALSE)))</t>
  </si>
  <si>
    <t>=IF(ISNUMBER($L$6)=FALSE,"",
        IF(ISERROR(VLOOKUP($G53,SantoYusuf!$L$13:$AK$14,AD$4,FALSE))=TRUE,"",
              VLOOKUP($G53,SantoYusuf!$L$13:$AK$14,AD$4,FALSE)))</t>
  </si>
  <si>
    <t>=IF(ISNUMBER($L$6)=FALSE,"",
        IF(ISERROR(VLOOKUP($G53,SantoYusuf!$L$13:$AK$14,AE$4,FALSE))=TRUE,"",
              VLOOKUP($G53,SantoYusuf!$L$13:$AK$14,AE$4,FALSE)))</t>
  </si>
  <si>
    <t>=IF(ISNUMBER($L$6)=FALSE,"",
        IF(ISERROR(VLOOKUP($G53,SantoYusuf!$L$13:$AK$14,AF$4,FALSE))=TRUE,"",
              VLOOKUP($G53,SantoYusuf!$L$13:$AK$14,AF$4,FALSE)))</t>
  </si>
  <si>
    <t>=IF(ISNUMBER($L$6)=FALSE,"",
IF($C54=0,"",VLOOKUP($E54,SantoYusuf!$H$13:$L$14,4,FALSE)))</t>
  </si>
  <si>
    <t>=IF(ISNUMBER($L$6)=FALSE,"",
IF($C54=0,"",VLOOKUP($E54,SantoYusuf!$H$13:$L$14,5,FALSE)))</t>
  </si>
  <si>
    <t>=IF(ISNUMBER($L$6)=FALSE,"",
        IF(ISERROR(VLOOKUP($G54,SantoYusuf!$L$13:$AK$14,I$4,FALSE))=TRUE,"",
              VLOOKUP($G54,SantoYusuf!$L$13:$AK$14,I$4,FALSE)))</t>
  </si>
  <si>
    <t>=IF(ISNUMBER($L$6)=FALSE,"",
        IF(ISERROR(VLOOKUP($G54,SantoYusuf!$L$13:$AK$14,J$4,FALSE))=TRUE,"",
              VLOOKUP($G54,SantoYusuf!$L$13:$AK$14,J$4,FALSE)))</t>
  </si>
  <si>
    <t>=IF(ISNUMBER($L$6)=FALSE,"",
        IF(ISERROR(VLOOKUP($G54,SantoYusuf!$L$13:$AK$14,K$4,FALSE))=TRUE,"",
              VLOOKUP($G54,SantoYusuf!$L$13:$AK$14,K$4,FALSE)))</t>
  </si>
  <si>
    <t>=IF(ISNUMBER($L$6)=FALSE,"",
        IF(ISERROR(VLOOKUP($G54,SantoYusuf!$L$13:$AK$14,L$4,FALSE))=TRUE,"",
              VLOOKUP($G54,SantoYusuf!$L$13:$AK$14,L$4,FALSE)))</t>
  </si>
  <si>
    <t>=IF(ISNUMBER($L$6)=FALSE,"",
        IF(ISERROR(VLOOKUP($G54,SantoYusuf!$L$13:$AK$14,M$4,FALSE))=TRUE,"",
              VLOOKUP($G54,SantoYusuf!$L$13:$AK$14,M$4,FALSE)))</t>
  </si>
  <si>
    <t>=IF(ISNUMBER($L$6)=FALSE,"",
        IF(ISERROR(VLOOKUP($G54,SantoYusuf!$L$13:$AK$14,N$4,FALSE))=TRUE,"",
              VLOOKUP($G54,SantoYusuf!$L$13:$AK$14,N$4,FALSE)))</t>
  </si>
  <si>
    <t>=IF(ISNUMBER($L$6)=FALSE,"",
        IF(ISERROR(VLOOKUP($G54,SantoYusuf!$L$13:$AK$14,O$4,FALSE))=TRUE,"",
              VLOOKUP($G54,SantoYusuf!$L$13:$AK$14,O$4,FALSE)))</t>
  </si>
  <si>
    <t>=IF(ISNUMBER($L$6)=FALSE,"",
        IF(ISERROR(VLOOKUP($G54,SantoYusuf!$L$13:$AK$14,P$4,FALSE))=TRUE,"",
              VLOOKUP($G54,SantoYusuf!$L$13:$AK$14,P$4,FALSE)))</t>
  </si>
  <si>
    <t>=IF(ISNUMBER($L$6)=FALSE,"",
        IF(ISERROR(VLOOKUP($G54,SantoYusuf!$L$13:$AK$14,Q$4,FALSE))=TRUE,"",
              VLOOKUP($G54,SantoYusuf!$L$13:$AK$14,Q$4,FALSE)))</t>
  </si>
  <si>
    <t>=IF(ISNUMBER($L$6)=FALSE,"",
        IF(ISERROR(VLOOKUP($G54,SantoYusuf!$L$13:$AK$14,R$4,FALSE))=TRUE,"",
              VLOOKUP($G54,SantoYusuf!$L$13:$AK$14,R$4,FALSE)))</t>
  </si>
  <si>
    <t>=IF(ISNUMBER($L$6)=FALSE,"",
        IF(ISERROR(VLOOKUP($G54,SantoYusuf!$L$13:$AK$14,S$4,FALSE))=TRUE,"",
              VLOOKUP($G54,SantoYusuf!$L$13:$AK$14,S$4,FALSE)))</t>
  </si>
  <si>
    <t>=IF(ISNUMBER($L$6)=FALSE,"",
        IF(ISERROR(VLOOKUP($G54,SantoYusuf!$L$13:$AK$14,T$4,FALSE))=TRUE,"",
              VLOOKUP($G54,SantoYusuf!$L$13:$AK$14,T$4,FALSE)))</t>
  </si>
  <si>
    <t>=IF(ISNUMBER($L$6)=FALSE,"",
        IF(ISERROR(VLOOKUP($G54,SantoYusuf!$L$13:$AK$14,U$4,FALSE))=TRUE,"",
              VLOOKUP($G54,SantoYusuf!$L$13:$AK$14,U$4,FALSE)))</t>
  </si>
  <si>
    <t>=IF(ISNUMBER($L$6)=FALSE,"",
        IF(ISERROR(VLOOKUP($G54,SantoYusuf!$L$13:$AK$14,V$4,FALSE))=TRUE,"",
              VLOOKUP($G54,SantoYusuf!$L$13:$AK$14,V$4,FALSE)))</t>
  </si>
  <si>
    <t>=IF(ISNUMBER($L$6)=FALSE,"",
        IF(ISERROR(VLOOKUP($G54,SantoYusuf!$L$13:$AK$14,W$4,FALSE))=TRUE,"",
              VLOOKUP($G54,SantoYusuf!$L$13:$AK$14,W$4,FALSE)))</t>
  </si>
  <si>
    <t>=IF(ISNUMBER($L$6)=FALSE,"",
        IF(ISERROR(VLOOKUP($G54,SantoYusuf!$L$13:$AK$14,X$4,FALSE))=TRUE,"",
              VLOOKUP($G54,SantoYusuf!$L$13:$AK$14,X$4,FALSE)))</t>
  </si>
  <si>
    <t>=IF(ISNUMBER($L$6)=FALSE,"",
        IF(ISERROR(VLOOKUP($G54,SantoYusuf!$L$13:$AK$14,Y$4,FALSE))=TRUE,"",
              VLOOKUP($G54,SantoYusuf!$L$13:$AK$14,Y$4,FALSE)))</t>
  </si>
  <si>
    <t>=IF(ISNUMBER($L$6)=FALSE,"",
        IF(ISERROR(VLOOKUP($G54,SantoYusuf!$L$13:$AK$14,Z$4,FALSE))=TRUE,"",
              VLOOKUP($G54,SantoYusuf!$L$13:$AK$14,Z$4,FALSE)))</t>
  </si>
  <si>
    <t>=IF(ISNUMBER($L$6)=FALSE,"",
        IF(ISERROR(VLOOKUP($G54,SantoYusuf!$L$13:$AK$14,AA$4,FALSE))=TRUE,"",
              VLOOKUP($G54,SantoYusuf!$L$13:$AK$14,AA$4,FALSE)))</t>
  </si>
  <si>
    <t>=IF(ISNUMBER($L$6)=FALSE,"",
        IF(ISERROR(VLOOKUP($G54,SantoYusuf!$L$13:$AK$14,AB$4,FALSE))=TRUE,"",
              VLOOKUP($G54,SantoYusuf!$L$13:$AK$14,AB$4,FALSE)))</t>
  </si>
  <si>
    <t>=IF(ISNUMBER($L$6)=FALSE,"",
        IF(ISERROR(VLOOKUP($G54,SantoYusuf!$L$13:$AK$14,AC$4,FALSE))=TRUE,"",
              VLOOKUP($G54,SantoYusuf!$L$13:$AK$14,AC$4,FALSE)))</t>
  </si>
  <si>
    <t>=IF(ISNUMBER($L$6)=FALSE,"",
        IF(ISERROR(VLOOKUP($G54,SantoYusuf!$L$13:$AK$14,AD$4,FALSE))=TRUE,"",
              VLOOKUP($G54,SantoYusuf!$L$13:$AK$14,AD$4,FALSE)))</t>
  </si>
  <si>
    <t>=IF(ISNUMBER($L$6)=FALSE,"",
        IF(ISERROR(VLOOKUP($G54,SantoYusuf!$L$13:$AK$14,AE$4,FALSE))=TRUE,"",
              VLOOKUP($G54,SantoYusuf!$L$13:$AK$14,AE$4,FALSE)))</t>
  </si>
  <si>
    <t>=IF(ISNUMBER($L$6)=FALSE,"",
        IF(ISERROR(VLOOKUP($G54,SantoYusuf!$L$13:$AK$14,AF$4,FALSE))=TRUE,"",
              VLOOKUP($G54,SantoYusuf!$L$13:$AK$14,AF$4,FALSE)))</t>
  </si>
  <si>
    <t>=IF(ISNUMBER($L$6)=FALSE,"",
IF($C55=0,"",VLOOKUP($E55,SantoYusuf!$H$13:$L$14,4,FALSE)))</t>
  </si>
  <si>
    <t>=IF(ISNUMBER($L$6)=FALSE,"",
IF($C55=0,"",VLOOKUP($E55,SantoYusuf!$H$13:$L$14,5,FALSE)))</t>
  </si>
  <si>
    <t>=IF(ISNUMBER($L$6)=FALSE,"",
        IF(ISERROR(VLOOKUP($G55,SantoYusuf!$L$13:$AK$14,I$4,FALSE))=TRUE,"",
              VLOOKUP($G55,SantoYusuf!$L$13:$AK$14,I$4,FALSE)))</t>
  </si>
  <si>
    <t>=IF(ISNUMBER($L$6)=FALSE,"",
        IF(ISERROR(VLOOKUP($G55,SantoYusuf!$L$13:$AK$14,J$4,FALSE))=TRUE,"",
              VLOOKUP($G55,SantoYusuf!$L$13:$AK$14,J$4,FALSE)))</t>
  </si>
  <si>
    <t>=IF(ISNUMBER($L$6)=FALSE,"",
        IF(ISERROR(VLOOKUP($G55,SantoYusuf!$L$13:$AK$14,K$4,FALSE))=TRUE,"",
              VLOOKUP($G55,SantoYusuf!$L$13:$AK$14,K$4,FALSE)))</t>
  </si>
  <si>
    <t>=IF(ISNUMBER($L$6)=FALSE,"",
        IF(ISERROR(VLOOKUP($G55,SantoYusuf!$L$13:$AK$14,L$4,FALSE))=TRUE,"",
              VLOOKUP($G55,SantoYusuf!$L$13:$AK$14,L$4,FALSE)))</t>
  </si>
  <si>
    <t>=IF(ISNUMBER($L$6)=FALSE,"",
        IF(ISERROR(VLOOKUP($G55,SantoYusuf!$L$13:$AK$14,M$4,FALSE))=TRUE,"",
              VLOOKUP($G55,SantoYusuf!$L$13:$AK$14,M$4,FALSE)))</t>
  </si>
  <si>
    <t>=IF(ISNUMBER($L$6)=FALSE,"",
        IF(ISERROR(VLOOKUP($G55,SantoYusuf!$L$13:$AK$14,N$4,FALSE))=TRUE,"",
              VLOOKUP($G55,SantoYusuf!$L$13:$AK$14,N$4,FALSE)))</t>
  </si>
  <si>
    <t>=IF(ISNUMBER($L$6)=FALSE,"",
        IF(ISERROR(VLOOKUP($G55,SantoYusuf!$L$13:$AK$14,O$4,FALSE))=TRUE,"",
              VLOOKUP($G55,SantoYusuf!$L$13:$AK$14,O$4,FALSE)))</t>
  </si>
  <si>
    <t>=IF(ISNUMBER($L$6)=FALSE,"",
        IF(ISERROR(VLOOKUP($G55,SantoYusuf!$L$13:$AK$14,P$4,FALSE))=TRUE,"",
              VLOOKUP($G55,SantoYusuf!$L$13:$AK$14,P$4,FALSE)))</t>
  </si>
  <si>
    <t>=IF(ISNUMBER($L$6)=FALSE,"",
        IF(ISERROR(VLOOKUP($G55,SantoYusuf!$L$13:$AK$14,Q$4,FALSE))=TRUE,"",
              VLOOKUP($G55,SantoYusuf!$L$13:$AK$14,Q$4,FALSE)))</t>
  </si>
  <si>
    <t>=IF(ISNUMBER($L$6)=FALSE,"",
        IF(ISERROR(VLOOKUP($G55,SantoYusuf!$L$13:$AK$14,R$4,FALSE))=TRUE,"",
              VLOOKUP($G55,SantoYusuf!$L$13:$AK$14,R$4,FALSE)))</t>
  </si>
  <si>
    <t>=IF(ISNUMBER($L$6)=FALSE,"",
        IF(ISERROR(VLOOKUP($G55,SantoYusuf!$L$13:$AK$14,S$4,FALSE))=TRUE,"",
              VLOOKUP($G55,SantoYusuf!$L$13:$AK$14,S$4,FALSE)))</t>
  </si>
  <si>
    <t>=IF(ISNUMBER($L$6)=FALSE,"",
        IF(ISERROR(VLOOKUP($G55,SantoYusuf!$L$13:$AK$14,T$4,FALSE))=TRUE,"",
              VLOOKUP($G55,SantoYusuf!$L$13:$AK$14,T$4,FALSE)))</t>
  </si>
  <si>
    <t>=IF(ISNUMBER($L$6)=FALSE,"",
        IF(ISERROR(VLOOKUP($G55,SantoYusuf!$L$13:$AK$14,U$4,FALSE))=TRUE,"",
              VLOOKUP($G55,SantoYusuf!$L$13:$AK$14,U$4,FALSE)))</t>
  </si>
  <si>
    <t>=IF(ISNUMBER($L$6)=FALSE,"",
        IF(ISERROR(VLOOKUP($G55,SantoYusuf!$L$13:$AK$14,V$4,FALSE))=TRUE,"",
              VLOOKUP($G55,SantoYusuf!$L$13:$AK$14,V$4,FALSE)))</t>
  </si>
  <si>
    <t>=IF(ISNUMBER($L$6)=FALSE,"",
        IF(ISERROR(VLOOKUP($G55,SantoYusuf!$L$13:$AK$14,W$4,FALSE))=TRUE,"",
              VLOOKUP($G55,SantoYusuf!$L$13:$AK$14,W$4,FALSE)))</t>
  </si>
  <si>
    <t>=IF(ISNUMBER($L$6)=FALSE,"",
        IF(ISERROR(VLOOKUP($G55,SantoYusuf!$L$13:$AK$14,X$4,FALSE))=TRUE,"",
              VLOOKUP($G55,SantoYusuf!$L$13:$AK$14,X$4,FALSE)))</t>
  </si>
  <si>
    <t>=IF(ISNUMBER($L$6)=FALSE,"",
        IF(ISERROR(VLOOKUP($G55,SantoYusuf!$L$13:$AK$14,Y$4,FALSE))=TRUE,"",
              VLOOKUP($G55,SantoYusuf!$L$13:$AK$14,Y$4,FALSE)))</t>
  </si>
  <si>
    <t>=IF(ISNUMBER($L$6)=FALSE,"",
        IF(ISERROR(VLOOKUP($G55,SantoYusuf!$L$13:$AK$14,Z$4,FALSE))=TRUE,"",
              VLOOKUP($G55,SantoYusuf!$L$13:$AK$14,Z$4,FALSE)))</t>
  </si>
  <si>
    <t>=IF(ISNUMBER($L$6)=FALSE,"",
        IF(ISERROR(VLOOKUP($G55,SantoYusuf!$L$13:$AK$14,AA$4,FALSE))=TRUE,"",
              VLOOKUP($G55,SantoYusuf!$L$13:$AK$14,AA$4,FALSE)))</t>
  </si>
  <si>
    <t>=IF(ISNUMBER($L$6)=FALSE,"",
        IF(ISERROR(VLOOKUP($G55,SantoYusuf!$L$13:$AK$14,AB$4,FALSE))=TRUE,"",
              VLOOKUP($G55,SantoYusuf!$L$13:$AK$14,AB$4,FALSE)))</t>
  </si>
  <si>
    <t>=IF(ISNUMBER($L$6)=FALSE,"",
        IF(ISERROR(VLOOKUP($G55,SantoYusuf!$L$13:$AK$14,AC$4,FALSE))=TRUE,"",
              VLOOKUP($G55,SantoYusuf!$L$13:$AK$14,AC$4,FALSE)))</t>
  </si>
  <si>
    <t>=IF(ISNUMBER($L$6)=FALSE,"",
        IF(ISERROR(VLOOKUP($G55,SantoYusuf!$L$13:$AK$14,AD$4,FALSE))=TRUE,"",
              VLOOKUP($G55,SantoYusuf!$L$13:$AK$14,AD$4,FALSE)))</t>
  </si>
  <si>
    <t>=IF(ISNUMBER($L$6)=FALSE,"",
        IF(ISERROR(VLOOKUP($G55,SantoYusuf!$L$13:$AK$14,AE$4,FALSE))=TRUE,"",
              VLOOKUP($G55,SantoYusuf!$L$13:$AK$14,AE$4,FALSE)))</t>
  </si>
  <si>
    <t>=IF(ISNUMBER($L$6)=FALSE,"",
        IF(ISERROR(VLOOKUP($G55,SantoYusuf!$L$13:$AK$14,AF$4,FALSE))=TRUE,"",
              VLOOKUP($G55,SantoYusuf!$L$13:$AK$14,AF$4,FALSE)))</t>
  </si>
  <si>
    <t>=IF(ISNUMBER($L$6)=FALSE,"",
IF($C56=0,"",VLOOKUP($E56,SantoYusuf!$H$13:$L$14,4,FALSE)))</t>
  </si>
  <si>
    <t>=IF(ISNUMBER($L$6)=FALSE,"",
IF($C56=0,"",VLOOKUP($E56,SantoYusuf!$H$13:$L$14,5,FALSE)))</t>
  </si>
  <si>
    <t>=IF(ISNUMBER($L$6)=FALSE,"",
        IF(ISERROR(VLOOKUP($G56,SantoYusuf!$L$13:$AK$14,I$4,FALSE))=TRUE,"",
              VLOOKUP($G56,SantoYusuf!$L$13:$AK$14,I$4,FALSE)))</t>
  </si>
  <si>
    <t>=IF(ISNUMBER($L$6)=FALSE,"",
        IF(ISERROR(VLOOKUP($G56,SantoYusuf!$L$13:$AK$14,J$4,FALSE))=TRUE,"",
              VLOOKUP($G56,SantoYusuf!$L$13:$AK$14,J$4,FALSE)))</t>
  </si>
  <si>
    <t>=IF(ISNUMBER($L$6)=FALSE,"",
        IF(ISERROR(VLOOKUP($G56,SantoYusuf!$L$13:$AK$14,K$4,FALSE))=TRUE,"",
              VLOOKUP($G56,SantoYusuf!$L$13:$AK$14,K$4,FALSE)))</t>
  </si>
  <si>
    <t>=IF(ISNUMBER($L$6)=FALSE,"",
        IF(ISERROR(VLOOKUP($G56,SantoYusuf!$L$13:$AK$14,L$4,FALSE))=TRUE,"",
              VLOOKUP($G56,SantoYusuf!$L$13:$AK$14,L$4,FALSE)))</t>
  </si>
  <si>
    <t>=IF(ISNUMBER($L$6)=FALSE,"",
        IF(ISERROR(VLOOKUP($G56,SantoYusuf!$L$13:$AK$14,M$4,FALSE))=TRUE,"",
              VLOOKUP($G56,SantoYusuf!$L$13:$AK$14,M$4,FALSE)))</t>
  </si>
  <si>
    <t>=IF(ISNUMBER($L$6)=FALSE,"",
        IF(ISERROR(VLOOKUP($G56,SantoYusuf!$L$13:$AK$14,N$4,FALSE))=TRUE,"",
              VLOOKUP($G56,SantoYusuf!$L$13:$AK$14,N$4,FALSE)))</t>
  </si>
  <si>
    <t>=IF(ISNUMBER($L$6)=FALSE,"",
        IF(ISERROR(VLOOKUP($G56,SantoYusuf!$L$13:$AK$14,O$4,FALSE))=TRUE,"",
              VLOOKUP($G56,SantoYusuf!$L$13:$AK$14,O$4,FALSE)))</t>
  </si>
  <si>
    <t>=IF(ISNUMBER($L$6)=FALSE,"",
        IF(ISERROR(VLOOKUP($G56,SantoYusuf!$L$13:$AK$14,P$4,FALSE))=TRUE,"",
              VLOOKUP($G56,SantoYusuf!$L$13:$AK$14,P$4,FALSE)))</t>
  </si>
  <si>
    <t>=IF(ISNUMBER($L$6)=FALSE,"",
        IF(ISERROR(VLOOKUP($G56,SantoYusuf!$L$13:$AK$14,Q$4,FALSE))=TRUE,"",
              VLOOKUP($G56,SantoYusuf!$L$13:$AK$14,Q$4,FALSE)))</t>
  </si>
  <si>
    <t>=IF(ISNUMBER($L$6)=FALSE,"",
        IF(ISERROR(VLOOKUP($G56,SantoYusuf!$L$13:$AK$14,R$4,FALSE))=TRUE,"",
              VLOOKUP($G56,SantoYusuf!$L$13:$AK$14,R$4,FALSE)))</t>
  </si>
  <si>
    <t>=IF(ISNUMBER($L$6)=FALSE,"",
        IF(ISERROR(VLOOKUP($G56,SantoYusuf!$L$13:$AK$14,S$4,FALSE))=TRUE,"",
              VLOOKUP($G56,SantoYusuf!$L$13:$AK$14,S$4,FALSE)))</t>
  </si>
  <si>
    <t>=IF(ISNUMBER($L$6)=FALSE,"",
        IF(ISERROR(VLOOKUP($G56,SantoYusuf!$L$13:$AK$14,T$4,FALSE))=TRUE,"",
              VLOOKUP($G56,SantoYusuf!$L$13:$AK$14,T$4,FALSE)))</t>
  </si>
  <si>
    <t>=IF(ISNUMBER($L$6)=FALSE,"",
        IF(ISERROR(VLOOKUP($G56,SantoYusuf!$L$13:$AK$14,U$4,FALSE))=TRUE,"",
              VLOOKUP($G56,SantoYusuf!$L$13:$AK$14,U$4,FALSE)))</t>
  </si>
  <si>
    <t>=IF(ISNUMBER($L$6)=FALSE,"",
        IF(ISERROR(VLOOKUP($G56,SantoYusuf!$L$13:$AK$14,V$4,FALSE))=TRUE,"",
              VLOOKUP($G56,SantoYusuf!$L$13:$AK$14,V$4,FALSE)))</t>
  </si>
  <si>
    <t>=IF(ISNUMBER($L$6)=FALSE,"",
        IF(ISERROR(VLOOKUP($G56,SantoYusuf!$L$13:$AK$14,W$4,FALSE))=TRUE,"",
              VLOOKUP($G56,SantoYusuf!$L$13:$AK$14,W$4,FALSE)))</t>
  </si>
  <si>
    <t>=IF(ISNUMBER($L$6)=FALSE,"",
        IF(ISERROR(VLOOKUP($G56,SantoYusuf!$L$13:$AK$14,X$4,FALSE))=TRUE,"",
              VLOOKUP($G56,SantoYusuf!$L$13:$AK$14,X$4,FALSE)))</t>
  </si>
  <si>
    <t>=IF(ISNUMBER($L$6)=FALSE,"",
        IF(ISERROR(VLOOKUP($G56,SantoYusuf!$L$13:$AK$14,Y$4,FALSE))=TRUE,"",
              VLOOKUP($G56,SantoYusuf!$L$13:$AK$14,Y$4,FALSE)))</t>
  </si>
  <si>
    <t>=IF(ISNUMBER($L$6)=FALSE,"",
        IF(ISERROR(VLOOKUP($G56,SantoYusuf!$L$13:$AK$14,Z$4,FALSE))=TRUE,"",
              VLOOKUP($G56,SantoYusuf!$L$13:$AK$14,Z$4,FALSE)))</t>
  </si>
  <si>
    <t>=IF(ISNUMBER($L$6)=FALSE,"",
        IF(ISERROR(VLOOKUP($G56,SantoYusuf!$L$13:$AK$14,AA$4,FALSE))=TRUE,"",
              VLOOKUP($G56,SantoYusuf!$L$13:$AK$14,AA$4,FALSE)))</t>
  </si>
  <si>
    <t>=IF(ISNUMBER($L$6)=FALSE,"",
        IF(ISERROR(VLOOKUP($G56,SantoYusuf!$L$13:$AK$14,AB$4,FALSE))=TRUE,"",
              VLOOKUP($G56,SantoYusuf!$L$13:$AK$14,AB$4,FALSE)))</t>
  </si>
  <si>
    <t>=IF(ISNUMBER($L$6)=FALSE,"",
        IF(ISERROR(VLOOKUP($G56,SantoYusuf!$L$13:$AK$14,AC$4,FALSE))=TRUE,"",
              VLOOKUP($G56,SantoYusuf!$L$13:$AK$14,AC$4,FALSE)))</t>
  </si>
  <si>
    <t>=IF(ISNUMBER($L$6)=FALSE,"",
        IF(ISERROR(VLOOKUP($G56,SantoYusuf!$L$13:$AK$14,AD$4,FALSE))=TRUE,"",
              VLOOKUP($G56,SantoYusuf!$L$13:$AK$14,AD$4,FALSE)))</t>
  </si>
  <si>
    <t>=IF(ISNUMBER($L$6)=FALSE,"",
        IF(ISERROR(VLOOKUP($G56,SantoYusuf!$L$13:$AK$14,AE$4,FALSE))=TRUE,"",
              VLOOKUP($G56,SantoYusuf!$L$13:$AK$14,AE$4,FALSE)))</t>
  </si>
  <si>
    <t>=IF(ISNUMBER($L$6)=FALSE,"",
        IF(ISERROR(VLOOKUP($G56,SantoYusuf!$L$13:$AK$14,AF$4,FALSE))=TRUE,"",
              VLOOKUP($G56,SantoYusuf!$L$13:$AK$14,AF$4,FALSE)))</t>
  </si>
  <si>
    <t>=IF(ISNUMBER($L$6)=FALSE,"",
IF($C57=0,"",VLOOKUP($E57,SantoYusuf!$H$13:$L$14,4,FALSE)))</t>
  </si>
  <si>
    <t>=IF(ISNUMBER($L$6)=FALSE,"",
IF($C57=0,"",VLOOKUP($E57,SantoYusuf!$H$13:$L$14,5,FALSE)))</t>
  </si>
  <si>
    <t>=IF(ISNUMBER($L$6)=FALSE,"",
        IF(ISERROR(VLOOKUP($G57,SantoYusuf!$L$13:$AK$14,I$4,FALSE))=TRUE,"",
              VLOOKUP($G57,SantoYusuf!$L$13:$AK$14,I$4,FALSE)))</t>
  </si>
  <si>
    <t>=IF(ISNUMBER($L$6)=FALSE,"",
        IF(ISERROR(VLOOKUP($G57,SantoYusuf!$L$13:$AK$14,J$4,FALSE))=TRUE,"",
              VLOOKUP($G57,SantoYusuf!$L$13:$AK$14,J$4,FALSE)))</t>
  </si>
  <si>
    <t>=IF(ISNUMBER($L$6)=FALSE,"",
        IF(ISERROR(VLOOKUP($G57,SantoYusuf!$L$13:$AK$14,K$4,FALSE))=TRUE,"",
              VLOOKUP($G57,SantoYusuf!$L$13:$AK$14,K$4,FALSE)))</t>
  </si>
  <si>
    <t>=IF(ISNUMBER($L$6)=FALSE,"",
        IF(ISERROR(VLOOKUP($G57,SantoYusuf!$L$13:$AK$14,L$4,FALSE))=TRUE,"",
              VLOOKUP($G57,SantoYusuf!$L$13:$AK$14,L$4,FALSE)))</t>
  </si>
  <si>
    <t>=IF(ISNUMBER($L$6)=FALSE,"",
        IF(ISERROR(VLOOKUP($G57,SantoYusuf!$L$13:$AK$14,M$4,FALSE))=TRUE,"",
              VLOOKUP($G57,SantoYusuf!$L$13:$AK$14,M$4,FALSE)))</t>
  </si>
  <si>
    <t>=IF(ISNUMBER($L$6)=FALSE,"",
        IF(ISERROR(VLOOKUP($G57,SantoYusuf!$L$13:$AK$14,N$4,FALSE))=TRUE,"",
              VLOOKUP($G57,SantoYusuf!$L$13:$AK$14,N$4,FALSE)))</t>
  </si>
  <si>
    <t>=IF(ISNUMBER($L$6)=FALSE,"",
        IF(ISERROR(VLOOKUP($G57,SantoYusuf!$L$13:$AK$14,O$4,FALSE))=TRUE,"",
              VLOOKUP($G57,SantoYusuf!$L$13:$AK$14,O$4,FALSE)))</t>
  </si>
  <si>
    <t>=IF(ISNUMBER($L$6)=FALSE,"",
        IF(ISERROR(VLOOKUP($G57,SantoYusuf!$L$13:$AK$14,P$4,FALSE))=TRUE,"",
              VLOOKUP($G57,SantoYusuf!$L$13:$AK$14,P$4,FALSE)))</t>
  </si>
  <si>
    <t>=IF(ISNUMBER($L$6)=FALSE,"",
        IF(ISERROR(VLOOKUP($G57,SantoYusuf!$L$13:$AK$14,Q$4,FALSE))=TRUE,"",
              VLOOKUP($G57,SantoYusuf!$L$13:$AK$14,Q$4,FALSE)))</t>
  </si>
  <si>
    <t>=IF(ISNUMBER($L$6)=FALSE,"",
        IF(ISERROR(VLOOKUP($G57,SantoYusuf!$L$13:$AK$14,R$4,FALSE))=TRUE,"",
              VLOOKUP($G57,SantoYusuf!$L$13:$AK$14,R$4,FALSE)))</t>
  </si>
  <si>
    <t>=IF(ISNUMBER($L$6)=FALSE,"",
        IF(ISERROR(VLOOKUP($G57,SantoYusuf!$L$13:$AK$14,S$4,FALSE))=TRUE,"",
              VLOOKUP($G57,SantoYusuf!$L$13:$AK$14,S$4,FALSE)))</t>
  </si>
  <si>
    <t>=IF(ISNUMBER($L$6)=FALSE,"",
        IF(ISERROR(VLOOKUP($G57,SantoYusuf!$L$13:$AK$14,T$4,FALSE))=TRUE,"",
              VLOOKUP($G57,SantoYusuf!$L$13:$AK$14,T$4,FALSE)))</t>
  </si>
  <si>
    <t>=IF(ISNUMBER($L$6)=FALSE,"",
        IF(ISERROR(VLOOKUP($G57,SantoYusuf!$L$13:$AK$14,U$4,FALSE))=TRUE,"",
              VLOOKUP($G57,SantoYusuf!$L$13:$AK$14,U$4,FALSE)))</t>
  </si>
  <si>
    <t>=IF(ISNUMBER($L$6)=FALSE,"",
        IF(ISERROR(VLOOKUP($G57,SantoYusuf!$L$13:$AK$14,V$4,FALSE))=TRUE,"",
              VLOOKUP($G57,SantoYusuf!$L$13:$AK$14,V$4,FALSE)))</t>
  </si>
  <si>
    <t>=IF(ISNUMBER($L$6)=FALSE,"",
        IF(ISERROR(VLOOKUP($G57,SantoYusuf!$L$13:$AK$14,W$4,FALSE))=TRUE,"",
              VLOOKUP($G57,SantoYusuf!$L$13:$AK$14,W$4,FALSE)))</t>
  </si>
  <si>
    <t>=IF(ISNUMBER($L$6)=FALSE,"",
        IF(ISERROR(VLOOKUP($G57,SantoYusuf!$L$13:$AK$14,X$4,FALSE))=TRUE,"",
              VLOOKUP($G57,SantoYusuf!$L$13:$AK$14,X$4,FALSE)))</t>
  </si>
  <si>
    <t>=IF(ISNUMBER($L$6)=FALSE,"",
        IF(ISERROR(VLOOKUP($G57,SantoYusuf!$L$13:$AK$14,Y$4,FALSE))=TRUE,"",
              VLOOKUP($G57,SantoYusuf!$L$13:$AK$14,Y$4,FALSE)))</t>
  </si>
  <si>
    <t>=IF(ISNUMBER($L$6)=FALSE,"",
        IF(ISERROR(VLOOKUP($G57,SantoYusuf!$L$13:$AK$14,Z$4,FALSE))=TRUE,"",
              VLOOKUP($G57,SantoYusuf!$L$13:$AK$14,Z$4,FALSE)))</t>
  </si>
  <si>
    <t>=IF(ISNUMBER($L$6)=FALSE,"",
        IF(ISERROR(VLOOKUP($G57,SantoYusuf!$L$13:$AK$14,AA$4,FALSE))=TRUE,"",
              VLOOKUP($G57,SantoYusuf!$L$13:$AK$14,AA$4,FALSE)))</t>
  </si>
  <si>
    <t>=IF(ISNUMBER($L$6)=FALSE,"",
        IF(ISERROR(VLOOKUP($G57,SantoYusuf!$L$13:$AK$14,AB$4,FALSE))=TRUE,"",
              VLOOKUP($G57,SantoYusuf!$L$13:$AK$14,AB$4,FALSE)))</t>
  </si>
  <si>
    <t>=IF(ISNUMBER($L$6)=FALSE,"",
        IF(ISERROR(VLOOKUP($G57,SantoYusuf!$L$13:$AK$14,AC$4,FALSE))=TRUE,"",
              VLOOKUP($G57,SantoYusuf!$L$13:$AK$14,AC$4,FALSE)))</t>
  </si>
  <si>
    <t>=IF(ISNUMBER($L$6)=FALSE,"",
        IF(ISERROR(VLOOKUP($G57,SantoYusuf!$L$13:$AK$14,AD$4,FALSE))=TRUE,"",
              VLOOKUP($G57,SantoYusuf!$L$13:$AK$14,AD$4,FALSE)))</t>
  </si>
  <si>
    <t>=IF(ISNUMBER($L$6)=FALSE,"",
        IF(ISERROR(VLOOKUP($G57,SantoYusuf!$L$13:$AK$14,AE$4,FALSE))=TRUE,"",
              VLOOKUP($G57,SantoYusuf!$L$13:$AK$14,AE$4,FALSE)))</t>
  </si>
  <si>
    <t>=IF(ISNUMBER($L$6)=FALSE,"",
        IF(ISERROR(VLOOKUP($G57,SantoYusuf!$L$13:$AK$14,AF$4,FALSE))=TRUE,"",
              VLOOKUP($G57,SantoYusuf!$L$13:$AK$14,AF$4,FALSE)))</t>
  </si>
  <si>
    <t>=IF(ISNUMBER($L$6)=FALSE,"",
IF($C58=0,"",VLOOKUP($E58,SantoYusuf!$H$13:$L$14,4,FALSE)))</t>
  </si>
  <si>
    <t>=IF(ISNUMBER($L$6)=FALSE,"",
IF($C58=0,"",VLOOKUP($E58,SantoYusuf!$H$13:$L$14,5,FALSE)))</t>
  </si>
  <si>
    <t>=IF(ISNUMBER($L$6)=FALSE,"",
        IF(ISERROR(VLOOKUP($G58,SantoYusuf!$L$13:$AK$14,I$4,FALSE))=TRUE,"",
              VLOOKUP($G58,SantoYusuf!$L$13:$AK$14,I$4,FALSE)))</t>
  </si>
  <si>
    <t>=IF(ISNUMBER($L$6)=FALSE,"",
        IF(ISERROR(VLOOKUP($G58,SantoYusuf!$L$13:$AK$14,J$4,FALSE))=TRUE,"",
              VLOOKUP($G58,SantoYusuf!$L$13:$AK$14,J$4,FALSE)))</t>
  </si>
  <si>
    <t>=IF(ISNUMBER($L$6)=FALSE,"",
        IF(ISERROR(VLOOKUP($G58,SantoYusuf!$L$13:$AK$14,K$4,FALSE))=TRUE,"",
              VLOOKUP($G58,SantoYusuf!$L$13:$AK$14,K$4,FALSE)))</t>
  </si>
  <si>
    <t>=IF(ISNUMBER($L$6)=FALSE,"",
        IF(ISERROR(VLOOKUP($G58,SantoYusuf!$L$13:$AK$14,L$4,FALSE))=TRUE,"",
              VLOOKUP($G58,SantoYusuf!$L$13:$AK$14,L$4,FALSE)))</t>
  </si>
  <si>
    <t>=IF(ISNUMBER($L$6)=FALSE,"",
        IF(ISERROR(VLOOKUP($G58,SantoYusuf!$L$13:$AK$14,M$4,FALSE))=TRUE,"",
              VLOOKUP($G58,SantoYusuf!$L$13:$AK$14,M$4,FALSE)))</t>
  </si>
  <si>
    <t>=IF(ISNUMBER($L$6)=FALSE,"",
        IF(ISERROR(VLOOKUP($G58,SantoYusuf!$L$13:$AK$14,N$4,FALSE))=TRUE,"",
              VLOOKUP($G58,SantoYusuf!$L$13:$AK$14,N$4,FALSE)))</t>
  </si>
  <si>
    <t>=IF(ISNUMBER($L$6)=FALSE,"",
        IF(ISERROR(VLOOKUP($G58,SantoYusuf!$L$13:$AK$14,O$4,FALSE))=TRUE,"",
              VLOOKUP($G58,SantoYusuf!$L$13:$AK$14,O$4,FALSE)))</t>
  </si>
  <si>
    <t>=IF(ISNUMBER($L$6)=FALSE,"",
        IF(ISERROR(VLOOKUP($G58,SantoYusuf!$L$13:$AK$14,P$4,FALSE))=TRUE,"",
              VLOOKUP($G58,SantoYusuf!$L$13:$AK$14,P$4,FALSE)))</t>
  </si>
  <si>
    <t>=IF(ISNUMBER($L$6)=FALSE,"",
        IF(ISERROR(VLOOKUP($G58,SantoYusuf!$L$13:$AK$14,Q$4,FALSE))=TRUE,"",
              VLOOKUP($G58,SantoYusuf!$L$13:$AK$14,Q$4,FALSE)))</t>
  </si>
  <si>
    <t>=IF(ISNUMBER($L$6)=FALSE,"",
        IF(ISERROR(VLOOKUP($G58,SantoYusuf!$L$13:$AK$14,R$4,FALSE))=TRUE,"",
              VLOOKUP($G58,SantoYusuf!$L$13:$AK$14,R$4,FALSE)))</t>
  </si>
  <si>
    <t>=IF(ISNUMBER($L$6)=FALSE,"",
        IF(ISERROR(VLOOKUP($G58,SantoYusuf!$L$13:$AK$14,S$4,FALSE))=TRUE,"",
              VLOOKUP($G58,SantoYusuf!$L$13:$AK$14,S$4,FALSE)))</t>
  </si>
  <si>
    <t>=IF(ISNUMBER($L$6)=FALSE,"",
        IF(ISERROR(VLOOKUP($G58,SantoYusuf!$L$13:$AK$14,T$4,FALSE))=TRUE,"",
              VLOOKUP($G58,SantoYusuf!$L$13:$AK$14,T$4,FALSE)))</t>
  </si>
  <si>
    <t>=IF(ISNUMBER($L$6)=FALSE,"",
        IF(ISERROR(VLOOKUP($G58,SantoYusuf!$L$13:$AK$14,U$4,FALSE))=TRUE,"",
              VLOOKUP($G58,SantoYusuf!$L$13:$AK$14,U$4,FALSE)))</t>
  </si>
  <si>
    <t>=IF(ISNUMBER($L$6)=FALSE,"",
        IF(ISERROR(VLOOKUP($G58,SantoYusuf!$L$13:$AK$14,V$4,FALSE))=TRUE,"",
              VLOOKUP($G58,SantoYusuf!$L$13:$AK$14,V$4,FALSE)))</t>
  </si>
  <si>
    <t>=IF(ISNUMBER($L$6)=FALSE,"",
        IF(ISERROR(VLOOKUP($G58,SantoYusuf!$L$13:$AK$14,W$4,FALSE))=TRUE,"",
              VLOOKUP($G58,SantoYusuf!$L$13:$AK$14,W$4,FALSE)))</t>
  </si>
  <si>
    <t>=IF(ISNUMBER($L$6)=FALSE,"",
        IF(ISERROR(VLOOKUP($G58,SantoYusuf!$L$13:$AK$14,X$4,FALSE))=TRUE,"",
              VLOOKUP($G58,SantoYusuf!$L$13:$AK$14,X$4,FALSE)))</t>
  </si>
  <si>
    <t>=IF(ISNUMBER($L$6)=FALSE,"",
        IF(ISERROR(VLOOKUP($G58,SantoYusuf!$L$13:$AK$14,Y$4,FALSE))=TRUE,"",
              VLOOKUP($G58,SantoYusuf!$L$13:$AK$14,Y$4,FALSE)))</t>
  </si>
  <si>
    <t>=IF(ISNUMBER($L$6)=FALSE,"",
        IF(ISERROR(VLOOKUP($G58,SantoYusuf!$L$13:$AK$14,Z$4,FALSE))=TRUE,"",
              VLOOKUP($G58,SantoYusuf!$L$13:$AK$14,Z$4,FALSE)))</t>
  </si>
  <si>
    <t>=IF(ISNUMBER($L$6)=FALSE,"",
        IF(ISERROR(VLOOKUP($G58,SantoYusuf!$L$13:$AK$14,AA$4,FALSE))=TRUE,"",
              VLOOKUP($G58,SantoYusuf!$L$13:$AK$14,AA$4,FALSE)))</t>
  </si>
  <si>
    <t>=IF(ISNUMBER($L$6)=FALSE,"",
        IF(ISERROR(VLOOKUP($G58,SantoYusuf!$L$13:$AK$14,AB$4,FALSE))=TRUE,"",
              VLOOKUP($G58,SantoYusuf!$L$13:$AK$14,AB$4,FALSE)))</t>
  </si>
  <si>
    <t>=IF(ISNUMBER($L$6)=FALSE,"",
        IF(ISERROR(VLOOKUP($G58,SantoYusuf!$L$13:$AK$14,AC$4,FALSE))=TRUE,"",
              VLOOKUP($G58,SantoYusuf!$L$13:$AK$14,AC$4,FALSE)))</t>
  </si>
  <si>
    <t>=IF(ISNUMBER($L$6)=FALSE,"",
        IF(ISERROR(VLOOKUP($G58,SantoYusuf!$L$13:$AK$14,AD$4,FALSE))=TRUE,"",
              VLOOKUP($G58,SantoYusuf!$L$13:$AK$14,AD$4,FALSE)))</t>
  </si>
  <si>
    <t>=IF(ISNUMBER($L$6)=FALSE,"",
        IF(ISERROR(VLOOKUP($G58,SantoYusuf!$L$13:$AK$14,AE$4,FALSE))=TRUE,"",
              VLOOKUP($G58,SantoYusuf!$L$13:$AK$14,AE$4,FALSE)))</t>
  </si>
  <si>
    <t>=IF(ISNUMBER($L$6)=FALSE,"",
        IF(ISERROR(VLOOKUP($G58,SantoYusuf!$L$13:$AK$14,AF$4,FALSE))=TRUE,"",
              VLOOKUP($G58,SantoYusuf!$L$13:$AK$14,AF$4,FALSE)))</t>
  </si>
  <si>
    <t>=IF(ISNUMBER($L$6)=FALSE,"",
IF($C59=0,"",VLOOKUP($E59,SantoYusuf!$H$13:$L$14,4,FALSE)))</t>
  </si>
  <si>
    <t>=IF(ISNUMBER($L$6)=FALSE,"",
IF($C59=0,"",VLOOKUP($E59,SantoYusuf!$H$13:$L$14,5,FALSE)))</t>
  </si>
  <si>
    <t>=IF(ISNUMBER($L$6)=FALSE,"",
        IF(ISERROR(VLOOKUP($G59,SantoYusuf!$L$13:$AK$14,I$4,FALSE))=TRUE,"",
              VLOOKUP($G59,SantoYusuf!$L$13:$AK$14,I$4,FALSE)))</t>
  </si>
  <si>
    <t>=IF(ISNUMBER($L$6)=FALSE,"",
        IF(ISERROR(VLOOKUP($G59,SantoYusuf!$L$13:$AK$14,J$4,FALSE))=TRUE,"",
              VLOOKUP($G59,SantoYusuf!$L$13:$AK$14,J$4,FALSE)))</t>
  </si>
  <si>
    <t>=IF(ISNUMBER($L$6)=FALSE,"",
        IF(ISERROR(VLOOKUP($G59,SantoYusuf!$L$13:$AK$14,K$4,FALSE))=TRUE,"",
              VLOOKUP($G59,SantoYusuf!$L$13:$AK$14,K$4,FALSE)))</t>
  </si>
  <si>
    <t>=IF(ISNUMBER($L$6)=FALSE,"",
        IF(ISERROR(VLOOKUP($G59,SantoYusuf!$L$13:$AK$14,L$4,FALSE))=TRUE,"",
              VLOOKUP($G59,SantoYusuf!$L$13:$AK$14,L$4,FALSE)))</t>
  </si>
  <si>
    <t>=IF(ISNUMBER($L$6)=FALSE,"",
        IF(ISERROR(VLOOKUP($G59,SantoYusuf!$L$13:$AK$14,M$4,FALSE))=TRUE,"",
              VLOOKUP($G59,SantoYusuf!$L$13:$AK$14,M$4,FALSE)))</t>
  </si>
  <si>
    <t>=IF(ISNUMBER($L$6)=FALSE,"",
        IF(ISERROR(VLOOKUP($G59,SantoYusuf!$L$13:$AK$14,N$4,FALSE))=TRUE,"",
              VLOOKUP($G59,SantoYusuf!$L$13:$AK$14,N$4,FALSE)))</t>
  </si>
  <si>
    <t>=IF(ISNUMBER($L$6)=FALSE,"",
        IF(ISERROR(VLOOKUP($G59,SantoYusuf!$L$13:$AK$14,O$4,FALSE))=TRUE,"",
              VLOOKUP($G59,SantoYusuf!$L$13:$AK$14,O$4,FALSE)))</t>
  </si>
  <si>
    <t>=IF(ISNUMBER($L$6)=FALSE,"",
        IF(ISERROR(VLOOKUP($G59,SantoYusuf!$L$13:$AK$14,P$4,FALSE))=TRUE,"",
              VLOOKUP($G59,SantoYusuf!$L$13:$AK$14,P$4,FALSE)))</t>
  </si>
  <si>
    <t>=IF(ISNUMBER($L$6)=FALSE,"",
        IF(ISERROR(VLOOKUP($G59,SantoYusuf!$L$13:$AK$14,Q$4,FALSE))=TRUE,"",
              VLOOKUP($G59,SantoYusuf!$L$13:$AK$14,Q$4,FALSE)))</t>
  </si>
  <si>
    <t>=IF(ISNUMBER($L$6)=FALSE,"",
        IF(ISERROR(VLOOKUP($G59,SantoYusuf!$L$13:$AK$14,R$4,FALSE))=TRUE,"",
              VLOOKUP($G59,SantoYusuf!$L$13:$AK$14,R$4,FALSE)))</t>
  </si>
  <si>
    <t>=IF(ISNUMBER($L$6)=FALSE,"",
        IF(ISERROR(VLOOKUP($G59,SantoYusuf!$L$13:$AK$14,S$4,FALSE))=TRUE,"",
              VLOOKUP($G59,SantoYusuf!$L$13:$AK$14,S$4,FALSE)))</t>
  </si>
  <si>
    <t>=IF(ISNUMBER($L$6)=FALSE,"",
        IF(ISERROR(VLOOKUP($G59,SantoYusuf!$L$13:$AK$14,T$4,FALSE))=TRUE,"",
              VLOOKUP($G59,SantoYusuf!$L$13:$AK$14,T$4,FALSE)))</t>
  </si>
  <si>
    <t>=IF(ISNUMBER($L$6)=FALSE,"",
        IF(ISERROR(VLOOKUP($G59,SantoYusuf!$L$13:$AK$14,U$4,FALSE))=TRUE,"",
              VLOOKUP($G59,SantoYusuf!$L$13:$AK$14,U$4,FALSE)))</t>
  </si>
  <si>
    <t>=IF(ISNUMBER($L$6)=FALSE,"",
        IF(ISERROR(VLOOKUP($G59,SantoYusuf!$L$13:$AK$14,V$4,FALSE))=TRUE,"",
              VLOOKUP($G59,SantoYusuf!$L$13:$AK$14,V$4,FALSE)))</t>
  </si>
  <si>
    <t>=IF(ISNUMBER($L$6)=FALSE,"",
        IF(ISERROR(VLOOKUP($G59,SantoYusuf!$L$13:$AK$14,W$4,FALSE))=TRUE,"",
              VLOOKUP($G59,SantoYusuf!$L$13:$AK$14,W$4,FALSE)))</t>
  </si>
  <si>
    <t>=IF(ISNUMBER($L$6)=FALSE,"",
        IF(ISERROR(VLOOKUP($G59,SantoYusuf!$L$13:$AK$14,X$4,FALSE))=TRUE,"",
              VLOOKUP($G59,SantoYusuf!$L$13:$AK$14,X$4,FALSE)))</t>
  </si>
  <si>
    <t>=IF(ISNUMBER($L$6)=FALSE,"",
        IF(ISERROR(VLOOKUP($G59,SantoYusuf!$L$13:$AK$14,Y$4,FALSE))=TRUE,"",
              VLOOKUP($G59,SantoYusuf!$L$13:$AK$14,Y$4,FALSE)))</t>
  </si>
  <si>
    <t>=IF(ISNUMBER($L$6)=FALSE,"",
        IF(ISERROR(VLOOKUP($G59,SantoYusuf!$L$13:$AK$14,Z$4,FALSE))=TRUE,"",
              VLOOKUP($G59,SantoYusuf!$L$13:$AK$14,Z$4,FALSE)))</t>
  </si>
  <si>
    <t>=IF(ISNUMBER($L$6)=FALSE,"",
        IF(ISERROR(VLOOKUP($G59,SantoYusuf!$L$13:$AK$14,AA$4,FALSE))=TRUE,"",
              VLOOKUP($G59,SantoYusuf!$L$13:$AK$14,AA$4,FALSE)))</t>
  </si>
  <si>
    <t>=IF(ISNUMBER($L$6)=FALSE,"",
        IF(ISERROR(VLOOKUP($G59,SantoYusuf!$L$13:$AK$14,AB$4,FALSE))=TRUE,"",
              VLOOKUP($G59,SantoYusuf!$L$13:$AK$14,AB$4,FALSE)))</t>
  </si>
  <si>
    <t>=IF(ISNUMBER($L$6)=FALSE,"",
        IF(ISERROR(VLOOKUP($G59,SantoYusuf!$L$13:$AK$14,AC$4,FALSE))=TRUE,"",
              VLOOKUP($G59,SantoYusuf!$L$13:$AK$14,AC$4,FALSE)))</t>
  </si>
  <si>
    <t>=IF(ISNUMBER($L$6)=FALSE,"",
        IF(ISERROR(VLOOKUP($G59,SantoYusuf!$L$13:$AK$14,AD$4,FALSE))=TRUE,"",
              VLOOKUP($G59,SantoYusuf!$L$13:$AK$14,AD$4,FALSE)))</t>
  </si>
  <si>
    <t>=IF(ISNUMBER($L$6)=FALSE,"",
        IF(ISERROR(VLOOKUP($G59,SantoYusuf!$L$13:$AK$14,AE$4,FALSE))=TRUE,"",
              VLOOKUP($G59,SantoYusuf!$L$13:$AK$14,AE$4,FALSE)))</t>
  </si>
  <si>
    <t>=IF(ISNUMBER($L$6)=FALSE,"",
        IF(ISERROR(VLOOKUP($G59,SantoYusuf!$L$13:$AK$14,AF$4,FALSE))=TRUE,"",
              VLOOKUP($G59,SantoYusuf!$L$13:$AK$14,AF$4,FALSE)))</t>
  </si>
  <si>
    <t>=IF(ISNUMBER($L$6)=FALSE,"",
IF($C60=0,"",VLOOKUP($E60,SantoYusuf!$H$13:$L$14,4,FALSE)))</t>
  </si>
  <si>
    <t>=IF(ISNUMBER($L$6)=FALSE,"",
IF($C60=0,"",VLOOKUP($E60,SantoYusuf!$H$13:$L$14,5,FALSE)))</t>
  </si>
  <si>
    <t>=IF(ISNUMBER($L$6)=FALSE,"",
        IF(ISERROR(VLOOKUP($G60,SantoYusuf!$L$13:$AK$14,I$4,FALSE))=TRUE,"",
              VLOOKUP($G60,SantoYusuf!$L$13:$AK$14,I$4,FALSE)))</t>
  </si>
  <si>
    <t>=IF(ISNUMBER($L$6)=FALSE,"",
        IF(ISERROR(VLOOKUP($G60,SantoYusuf!$L$13:$AK$14,J$4,FALSE))=TRUE,"",
              VLOOKUP($G60,SantoYusuf!$L$13:$AK$14,J$4,FALSE)))</t>
  </si>
  <si>
    <t>=IF(ISNUMBER($L$6)=FALSE,"",
        IF(ISERROR(VLOOKUP($G60,SantoYusuf!$L$13:$AK$14,K$4,FALSE))=TRUE,"",
              VLOOKUP($G60,SantoYusuf!$L$13:$AK$14,K$4,FALSE)))</t>
  </si>
  <si>
    <t>=IF(ISNUMBER($L$6)=FALSE,"",
        IF(ISERROR(VLOOKUP($G60,SantoYusuf!$L$13:$AK$14,L$4,FALSE))=TRUE,"",
              VLOOKUP($G60,SantoYusuf!$L$13:$AK$14,L$4,FALSE)))</t>
  </si>
  <si>
    <t>=IF(ISNUMBER($L$6)=FALSE,"",
        IF(ISERROR(VLOOKUP($G60,SantoYusuf!$L$13:$AK$14,M$4,FALSE))=TRUE,"",
              VLOOKUP($G60,SantoYusuf!$L$13:$AK$14,M$4,FALSE)))</t>
  </si>
  <si>
    <t>=IF(ISNUMBER($L$6)=FALSE,"",
        IF(ISERROR(VLOOKUP($G60,SantoYusuf!$L$13:$AK$14,N$4,FALSE))=TRUE,"",
              VLOOKUP($G60,SantoYusuf!$L$13:$AK$14,N$4,FALSE)))</t>
  </si>
  <si>
    <t>=IF(ISNUMBER($L$6)=FALSE,"",
        IF(ISERROR(VLOOKUP($G60,SantoYusuf!$L$13:$AK$14,O$4,FALSE))=TRUE,"",
              VLOOKUP($G60,SantoYusuf!$L$13:$AK$14,O$4,FALSE)))</t>
  </si>
  <si>
    <t>=IF(ISNUMBER($L$6)=FALSE,"",
        IF(ISERROR(VLOOKUP($G60,SantoYusuf!$L$13:$AK$14,P$4,FALSE))=TRUE,"",
              VLOOKUP($G60,SantoYusuf!$L$13:$AK$14,P$4,FALSE)))</t>
  </si>
  <si>
    <t>=IF(ISNUMBER($L$6)=FALSE,"",
        IF(ISERROR(VLOOKUP($G60,SantoYusuf!$L$13:$AK$14,Q$4,FALSE))=TRUE,"",
              VLOOKUP($G60,SantoYusuf!$L$13:$AK$14,Q$4,FALSE)))</t>
  </si>
  <si>
    <t>=IF(ISNUMBER($L$6)=FALSE,"",
        IF(ISERROR(VLOOKUP($G60,SantoYusuf!$L$13:$AK$14,R$4,FALSE))=TRUE,"",
              VLOOKUP($G60,SantoYusuf!$L$13:$AK$14,R$4,FALSE)))</t>
  </si>
  <si>
    <t>=IF(ISNUMBER($L$6)=FALSE,"",
        IF(ISERROR(VLOOKUP($G60,SantoYusuf!$L$13:$AK$14,S$4,FALSE))=TRUE,"",
              VLOOKUP($G60,SantoYusuf!$L$13:$AK$14,S$4,FALSE)))</t>
  </si>
  <si>
    <t>=IF(ISNUMBER($L$6)=FALSE,"",
        IF(ISERROR(VLOOKUP($G60,SantoYusuf!$L$13:$AK$14,T$4,FALSE))=TRUE,"",
              VLOOKUP($G60,SantoYusuf!$L$13:$AK$14,T$4,FALSE)))</t>
  </si>
  <si>
    <t>=IF(ISNUMBER($L$6)=FALSE,"",
        IF(ISERROR(VLOOKUP($G60,SantoYusuf!$L$13:$AK$14,U$4,FALSE))=TRUE,"",
              VLOOKUP($G60,SantoYusuf!$L$13:$AK$14,U$4,FALSE)))</t>
  </si>
  <si>
    <t>=IF(ISNUMBER($L$6)=FALSE,"",
        IF(ISERROR(VLOOKUP($G60,SantoYusuf!$L$13:$AK$14,V$4,FALSE))=TRUE,"",
              VLOOKUP($G60,SantoYusuf!$L$13:$AK$14,V$4,FALSE)))</t>
  </si>
  <si>
    <t>=IF(ISNUMBER($L$6)=FALSE,"",
        IF(ISERROR(VLOOKUP($G60,SantoYusuf!$L$13:$AK$14,W$4,FALSE))=TRUE,"",
              VLOOKUP($G60,SantoYusuf!$L$13:$AK$14,W$4,FALSE)))</t>
  </si>
  <si>
    <t>=IF(ISNUMBER($L$6)=FALSE,"",
        IF(ISERROR(VLOOKUP($G60,SantoYusuf!$L$13:$AK$14,X$4,FALSE))=TRUE,"",
              VLOOKUP($G60,SantoYusuf!$L$13:$AK$14,X$4,FALSE)))</t>
  </si>
  <si>
    <t>=IF(ISNUMBER($L$6)=FALSE,"",
        IF(ISERROR(VLOOKUP($G60,SantoYusuf!$L$13:$AK$14,Y$4,FALSE))=TRUE,"",
              VLOOKUP($G60,SantoYusuf!$L$13:$AK$14,Y$4,FALSE)))</t>
  </si>
  <si>
    <t>=IF(ISNUMBER($L$6)=FALSE,"",
        IF(ISERROR(VLOOKUP($G60,SantoYusuf!$L$13:$AK$14,Z$4,FALSE))=TRUE,"",
              VLOOKUP($G60,SantoYusuf!$L$13:$AK$14,Z$4,FALSE)))</t>
  </si>
  <si>
    <t>=IF(ISNUMBER($L$6)=FALSE,"",
        IF(ISERROR(VLOOKUP($G60,SantoYusuf!$L$13:$AK$14,AA$4,FALSE))=TRUE,"",
              VLOOKUP($G60,SantoYusuf!$L$13:$AK$14,AA$4,FALSE)))</t>
  </si>
  <si>
    <t>=IF(ISNUMBER($L$6)=FALSE,"",
        IF(ISERROR(VLOOKUP($G60,SantoYusuf!$L$13:$AK$14,AB$4,FALSE))=TRUE,"",
              VLOOKUP($G60,SantoYusuf!$L$13:$AK$14,AB$4,FALSE)))</t>
  </si>
  <si>
    <t>=IF(ISNUMBER($L$6)=FALSE,"",
        IF(ISERROR(VLOOKUP($G60,SantoYusuf!$L$13:$AK$14,AC$4,FALSE))=TRUE,"",
              VLOOKUP($G60,SantoYusuf!$L$13:$AK$14,AC$4,FALSE)))</t>
  </si>
  <si>
    <t>=IF(ISNUMBER($L$6)=FALSE,"",
        IF(ISERROR(VLOOKUP($G60,SantoYusuf!$L$13:$AK$14,AD$4,FALSE))=TRUE,"",
              VLOOKUP($G60,SantoYusuf!$L$13:$AK$14,AD$4,FALSE)))</t>
  </si>
  <si>
    <t>=IF(ISNUMBER($L$6)=FALSE,"",
        IF(ISERROR(VLOOKUP($G60,SantoYusuf!$L$13:$AK$14,AE$4,FALSE))=TRUE,"",
              VLOOKUP($G60,SantoYusuf!$L$13:$AK$14,AE$4,FALSE)))</t>
  </si>
  <si>
    <t>=IF(ISNUMBER($L$6)=FALSE,"",
        IF(ISERROR(VLOOKUP($G60,SantoYusuf!$L$13:$AK$14,AF$4,FALSE))=TRUE,"",
              VLOOKUP($G60,SantoYusuf!$L$13:$AK$14,AF$4,FALSE)))</t>
  </si>
  <si>
    <t>=IF(ISNUMBER($L$6)=FALSE,"",
IF($C61=0,"",VLOOKUP($E61,SantoYusuf!$H$13:$L$14,4,FALSE)))</t>
  </si>
  <si>
    <t>=IF(ISNUMBER($L$6)=FALSE,"",
IF($C61=0,"",VLOOKUP($E61,SantoYusuf!$H$13:$L$14,5,FALSE)))</t>
  </si>
  <si>
    <t>=IF(ISNUMBER($L$6)=FALSE,"",
        IF(ISERROR(VLOOKUP($G61,SantoYusuf!$L$13:$AK$14,I$4,FALSE))=TRUE,"",
              VLOOKUP($G61,SantoYusuf!$L$13:$AK$14,I$4,FALSE)))</t>
  </si>
  <si>
    <t>=IF(ISNUMBER($L$6)=FALSE,"",
        IF(ISERROR(VLOOKUP($G61,SantoYusuf!$L$13:$AK$14,J$4,FALSE))=TRUE,"",
              VLOOKUP($G61,SantoYusuf!$L$13:$AK$14,J$4,FALSE)))</t>
  </si>
  <si>
    <t>=IF(ISNUMBER($L$6)=FALSE,"",
        IF(ISERROR(VLOOKUP($G61,SantoYusuf!$L$13:$AK$14,K$4,FALSE))=TRUE,"",
              VLOOKUP($G61,SantoYusuf!$L$13:$AK$14,K$4,FALSE)))</t>
  </si>
  <si>
    <t>=IF(ISNUMBER($L$6)=FALSE,"",
        IF(ISERROR(VLOOKUP($G61,SantoYusuf!$L$13:$AK$14,L$4,FALSE))=TRUE,"",
              VLOOKUP($G61,SantoYusuf!$L$13:$AK$14,L$4,FALSE)))</t>
  </si>
  <si>
    <t>=IF(ISNUMBER($L$6)=FALSE,"",
        IF(ISERROR(VLOOKUP($G61,SantoYusuf!$L$13:$AK$14,M$4,FALSE))=TRUE,"",
              VLOOKUP($G61,SantoYusuf!$L$13:$AK$14,M$4,FALSE)))</t>
  </si>
  <si>
    <t>=IF(ISNUMBER($L$6)=FALSE,"",
        IF(ISERROR(VLOOKUP($G61,SantoYusuf!$L$13:$AK$14,N$4,FALSE))=TRUE,"",
              VLOOKUP($G61,SantoYusuf!$L$13:$AK$14,N$4,FALSE)))</t>
  </si>
  <si>
    <t>=IF(ISNUMBER($L$6)=FALSE,"",
        IF(ISERROR(VLOOKUP($G61,SantoYusuf!$L$13:$AK$14,O$4,FALSE))=TRUE,"",
              VLOOKUP($G61,SantoYusuf!$L$13:$AK$14,O$4,FALSE)))</t>
  </si>
  <si>
    <t>=IF(ISNUMBER($L$6)=FALSE,"",
        IF(ISERROR(VLOOKUP($G61,SantoYusuf!$L$13:$AK$14,P$4,FALSE))=TRUE,"",
              VLOOKUP($G61,SantoYusuf!$L$13:$AK$14,P$4,FALSE)))</t>
  </si>
  <si>
    <t>=IF(ISNUMBER($L$6)=FALSE,"",
        IF(ISERROR(VLOOKUP($G61,SantoYusuf!$L$13:$AK$14,Q$4,FALSE))=TRUE,"",
              VLOOKUP($G61,SantoYusuf!$L$13:$AK$14,Q$4,FALSE)))</t>
  </si>
  <si>
    <t>=IF(ISNUMBER($L$6)=FALSE,"",
        IF(ISERROR(VLOOKUP($G61,SantoYusuf!$L$13:$AK$14,R$4,FALSE))=TRUE,"",
              VLOOKUP($G61,SantoYusuf!$L$13:$AK$14,R$4,FALSE)))</t>
  </si>
  <si>
    <t>=IF(ISNUMBER($L$6)=FALSE,"",
        IF(ISERROR(VLOOKUP($G61,SantoYusuf!$L$13:$AK$14,S$4,FALSE))=TRUE,"",
              VLOOKUP($G61,SantoYusuf!$L$13:$AK$14,S$4,FALSE)))</t>
  </si>
  <si>
    <t>=IF(ISNUMBER($L$6)=FALSE,"",
        IF(ISERROR(VLOOKUP($G61,SantoYusuf!$L$13:$AK$14,T$4,FALSE))=TRUE,"",
              VLOOKUP($G61,SantoYusuf!$L$13:$AK$14,T$4,FALSE)))</t>
  </si>
  <si>
    <t>=IF(ISNUMBER($L$6)=FALSE,"",
        IF(ISERROR(VLOOKUP($G61,SantoYusuf!$L$13:$AK$14,U$4,FALSE))=TRUE,"",
              VLOOKUP($G61,SantoYusuf!$L$13:$AK$14,U$4,FALSE)))</t>
  </si>
  <si>
    <t>=IF(ISNUMBER($L$6)=FALSE,"",
        IF(ISERROR(VLOOKUP($G61,SantoYusuf!$L$13:$AK$14,V$4,FALSE))=TRUE,"",
              VLOOKUP($G61,SantoYusuf!$L$13:$AK$14,V$4,FALSE)))</t>
  </si>
  <si>
    <t>=IF(ISNUMBER($L$6)=FALSE,"",
        IF(ISERROR(VLOOKUP($G61,SantoYusuf!$L$13:$AK$14,W$4,FALSE))=TRUE,"",
              VLOOKUP($G61,SantoYusuf!$L$13:$AK$14,W$4,FALSE)))</t>
  </si>
  <si>
    <t>=IF(ISNUMBER($L$6)=FALSE,"",
        IF(ISERROR(VLOOKUP($G61,SantoYusuf!$L$13:$AK$14,X$4,FALSE))=TRUE,"",
              VLOOKUP($G61,SantoYusuf!$L$13:$AK$14,X$4,FALSE)))</t>
  </si>
  <si>
    <t>=IF(ISNUMBER($L$6)=FALSE,"",
        IF(ISERROR(VLOOKUP($G61,SantoYusuf!$L$13:$AK$14,Y$4,FALSE))=TRUE,"",
              VLOOKUP($G61,SantoYusuf!$L$13:$AK$14,Y$4,FALSE)))</t>
  </si>
  <si>
    <t>=IF(ISNUMBER($L$6)=FALSE,"",
        IF(ISERROR(VLOOKUP($G61,SantoYusuf!$L$13:$AK$14,Z$4,FALSE))=TRUE,"",
              VLOOKUP($G61,SantoYusuf!$L$13:$AK$14,Z$4,FALSE)))</t>
  </si>
  <si>
    <t>=IF(ISNUMBER($L$6)=FALSE,"",
        IF(ISERROR(VLOOKUP($G61,SantoYusuf!$L$13:$AK$14,AA$4,FALSE))=TRUE,"",
              VLOOKUP($G61,SantoYusuf!$L$13:$AK$14,AA$4,FALSE)))</t>
  </si>
  <si>
    <t>=IF(ISNUMBER($L$6)=FALSE,"",
        IF(ISERROR(VLOOKUP($G61,SantoYusuf!$L$13:$AK$14,AB$4,FALSE))=TRUE,"",
              VLOOKUP($G61,SantoYusuf!$L$13:$AK$14,AB$4,FALSE)))</t>
  </si>
  <si>
    <t>=IF(ISNUMBER($L$6)=FALSE,"",
        IF(ISERROR(VLOOKUP($G61,SantoYusuf!$L$13:$AK$14,AC$4,FALSE))=TRUE,"",
              VLOOKUP($G61,SantoYusuf!$L$13:$AK$14,AC$4,FALSE)))</t>
  </si>
  <si>
    <t>=IF(ISNUMBER($L$6)=FALSE,"",
        IF(ISERROR(VLOOKUP($G61,SantoYusuf!$L$13:$AK$14,AD$4,FALSE))=TRUE,"",
              VLOOKUP($G61,SantoYusuf!$L$13:$AK$14,AD$4,FALSE)))</t>
  </si>
  <si>
    <t>=IF(ISNUMBER($L$6)=FALSE,"",
        IF(ISERROR(VLOOKUP($G61,SantoYusuf!$L$13:$AK$14,AE$4,FALSE))=TRUE,"",
              VLOOKUP($G61,SantoYusuf!$L$13:$AK$14,AE$4,FALSE)))</t>
  </si>
  <si>
    <t>=IF(ISNUMBER($L$6)=FALSE,"",
        IF(ISERROR(VLOOKUP($G61,SantoYusuf!$L$13:$AK$14,AF$4,FALSE))=TRUE,"",
              VLOOKUP($G61,SantoYusuf!$L$13:$AK$14,AF$4,FALSE)))</t>
  </si>
  <si>
    <t>=IF(ISNUMBER($L$6)=FALSE,"",
IF($C62=0,"",VLOOKUP($E62,SantoYusuf!$H$13:$L$14,4,FALSE)))</t>
  </si>
  <si>
    <t>=IF(ISNUMBER($L$6)=FALSE,"",
IF($C62=0,"",VLOOKUP($E62,SantoYusuf!$H$13:$L$14,5,FALSE)))</t>
  </si>
  <si>
    <t>=IF(ISNUMBER($L$6)=FALSE,"",
        IF(ISERROR(VLOOKUP($G62,SantoYusuf!$L$13:$AK$14,I$4,FALSE))=TRUE,"",
              VLOOKUP($G62,SantoYusuf!$L$13:$AK$14,I$4,FALSE)))</t>
  </si>
  <si>
    <t>=IF(ISNUMBER($L$6)=FALSE,"",
        IF(ISERROR(VLOOKUP($G62,SantoYusuf!$L$13:$AK$14,J$4,FALSE))=TRUE,"",
              VLOOKUP($G62,SantoYusuf!$L$13:$AK$14,J$4,FALSE)))</t>
  </si>
  <si>
    <t>=IF(ISNUMBER($L$6)=FALSE,"",
        IF(ISERROR(VLOOKUP($G62,SantoYusuf!$L$13:$AK$14,K$4,FALSE))=TRUE,"",
              VLOOKUP($G62,SantoYusuf!$L$13:$AK$14,K$4,FALSE)))</t>
  </si>
  <si>
    <t>=IF(ISNUMBER($L$6)=FALSE,"",
        IF(ISERROR(VLOOKUP($G62,SantoYusuf!$L$13:$AK$14,L$4,FALSE))=TRUE,"",
              VLOOKUP($G62,SantoYusuf!$L$13:$AK$14,L$4,FALSE)))</t>
  </si>
  <si>
    <t>=IF(ISNUMBER($L$6)=FALSE,"",
        IF(ISERROR(VLOOKUP($G62,SantoYusuf!$L$13:$AK$14,M$4,FALSE))=TRUE,"",
              VLOOKUP($G62,SantoYusuf!$L$13:$AK$14,M$4,FALSE)))</t>
  </si>
  <si>
    <t>=IF(ISNUMBER($L$6)=FALSE,"",
        IF(ISERROR(VLOOKUP($G62,SantoYusuf!$L$13:$AK$14,N$4,FALSE))=TRUE,"",
              VLOOKUP($G62,SantoYusuf!$L$13:$AK$14,N$4,FALSE)))</t>
  </si>
  <si>
    <t>=IF(ISNUMBER($L$6)=FALSE,"",
        IF(ISERROR(VLOOKUP($G62,SantoYusuf!$L$13:$AK$14,O$4,FALSE))=TRUE,"",
              VLOOKUP($G62,SantoYusuf!$L$13:$AK$14,O$4,FALSE)))</t>
  </si>
  <si>
    <t>=IF(ISNUMBER($L$6)=FALSE,"",
        IF(ISERROR(VLOOKUP($G62,SantoYusuf!$L$13:$AK$14,P$4,FALSE))=TRUE,"",
              VLOOKUP($G62,SantoYusuf!$L$13:$AK$14,P$4,FALSE)))</t>
  </si>
  <si>
    <t>=IF(ISNUMBER($L$6)=FALSE,"",
        IF(ISERROR(VLOOKUP($G62,SantoYusuf!$L$13:$AK$14,Q$4,FALSE))=TRUE,"",
              VLOOKUP($G62,SantoYusuf!$L$13:$AK$14,Q$4,FALSE)))</t>
  </si>
  <si>
    <t>=IF(ISNUMBER($L$6)=FALSE,"",
        IF(ISERROR(VLOOKUP($G62,SantoYusuf!$L$13:$AK$14,R$4,FALSE))=TRUE,"",
              VLOOKUP($G62,SantoYusuf!$L$13:$AK$14,R$4,FALSE)))</t>
  </si>
  <si>
    <t>=IF(ISNUMBER($L$6)=FALSE,"",
        IF(ISERROR(VLOOKUP($G62,SantoYusuf!$L$13:$AK$14,S$4,FALSE))=TRUE,"",
              VLOOKUP($G62,SantoYusuf!$L$13:$AK$14,S$4,FALSE)))</t>
  </si>
  <si>
    <t>=IF(ISNUMBER($L$6)=FALSE,"",
        IF(ISERROR(VLOOKUP($G62,SantoYusuf!$L$13:$AK$14,T$4,FALSE))=TRUE,"",
              VLOOKUP($G62,SantoYusuf!$L$13:$AK$14,T$4,FALSE)))</t>
  </si>
  <si>
    <t>=IF(ISNUMBER($L$6)=FALSE,"",
        IF(ISERROR(VLOOKUP($G62,SantoYusuf!$L$13:$AK$14,U$4,FALSE))=TRUE,"",
              VLOOKUP($G62,SantoYusuf!$L$13:$AK$14,U$4,FALSE)))</t>
  </si>
  <si>
    <t>=IF(ISNUMBER($L$6)=FALSE,"",
        IF(ISERROR(VLOOKUP($G62,SantoYusuf!$L$13:$AK$14,V$4,FALSE))=TRUE,"",
              VLOOKUP($G62,SantoYusuf!$L$13:$AK$14,V$4,FALSE)))</t>
  </si>
  <si>
    <t>=IF(ISNUMBER($L$6)=FALSE,"",
        IF(ISERROR(VLOOKUP($G62,SantoYusuf!$L$13:$AK$14,W$4,FALSE))=TRUE,"",
              VLOOKUP($G62,SantoYusuf!$L$13:$AK$14,W$4,FALSE)))</t>
  </si>
  <si>
    <t>=IF(ISNUMBER($L$6)=FALSE,"",
        IF(ISERROR(VLOOKUP($G62,SantoYusuf!$L$13:$AK$14,X$4,FALSE))=TRUE,"",
              VLOOKUP($G62,SantoYusuf!$L$13:$AK$14,X$4,FALSE)))</t>
  </si>
  <si>
    <t>=IF(ISNUMBER($L$6)=FALSE,"",
        IF(ISERROR(VLOOKUP($G62,SantoYusuf!$L$13:$AK$14,Y$4,FALSE))=TRUE,"",
              VLOOKUP($G62,SantoYusuf!$L$13:$AK$14,Y$4,FALSE)))</t>
  </si>
  <si>
    <t>=IF(ISNUMBER($L$6)=FALSE,"",
        IF(ISERROR(VLOOKUP($G62,SantoYusuf!$L$13:$AK$14,Z$4,FALSE))=TRUE,"",
              VLOOKUP($G62,SantoYusuf!$L$13:$AK$14,Z$4,FALSE)))</t>
  </si>
  <si>
    <t>=IF(ISNUMBER($L$6)=FALSE,"",
        IF(ISERROR(VLOOKUP($G62,SantoYusuf!$L$13:$AK$14,AA$4,FALSE))=TRUE,"",
              VLOOKUP($G62,SantoYusuf!$L$13:$AK$14,AA$4,FALSE)))</t>
  </si>
  <si>
    <t>=IF(ISNUMBER($L$6)=FALSE,"",
        IF(ISERROR(VLOOKUP($G62,SantoYusuf!$L$13:$AK$14,AB$4,FALSE))=TRUE,"",
              VLOOKUP($G62,SantoYusuf!$L$13:$AK$14,AB$4,FALSE)))</t>
  </si>
  <si>
    <t>=IF(ISNUMBER($L$6)=FALSE,"",
        IF(ISERROR(VLOOKUP($G62,SantoYusuf!$L$13:$AK$14,AC$4,FALSE))=TRUE,"",
              VLOOKUP($G62,SantoYusuf!$L$13:$AK$14,AC$4,FALSE)))</t>
  </si>
  <si>
    <t>=IF(ISNUMBER($L$6)=FALSE,"",
        IF(ISERROR(VLOOKUP($G62,SantoYusuf!$L$13:$AK$14,AD$4,FALSE))=TRUE,"",
              VLOOKUP($G62,SantoYusuf!$L$13:$AK$14,AD$4,FALSE)))</t>
  </si>
  <si>
    <t>=IF(ISNUMBER($L$6)=FALSE,"",
        IF(ISERROR(VLOOKUP($G62,SantoYusuf!$L$13:$AK$14,AE$4,FALSE))=TRUE,"",
              VLOOKUP($G62,SantoYusuf!$L$13:$AK$14,AE$4,FALSE)))</t>
  </si>
  <si>
    <t>=IF(ISNUMBER($L$6)=FALSE,"",
        IF(ISERROR(VLOOKUP($G62,SantoYusuf!$L$13:$AK$14,AF$4,FALSE))=TRUE,"",
              VLOOKUP($G62,SantoYusuf!$L$13:$AK$14,AF$4,FALSE)))</t>
  </si>
  <si>
    <t>=IF(ISNUMBER($L$6)=FALSE,"",
IF($C63=0,"",VLOOKUP($E63,SantoYusuf!$H$13:$L$14,4,FALSE)))</t>
  </si>
  <si>
    <t>=IF(ISNUMBER($L$6)=FALSE,"",
IF($C63=0,"",VLOOKUP($E63,SantoYusuf!$H$13:$L$14,5,FALSE)))</t>
  </si>
  <si>
    <t>=IF(ISNUMBER($L$6)=FALSE,"",
        IF(ISERROR(VLOOKUP($G63,SantoYusuf!$L$13:$AK$14,I$4,FALSE))=TRUE,"",
              VLOOKUP($G63,SantoYusuf!$L$13:$AK$14,I$4,FALSE)))</t>
  </si>
  <si>
    <t>=IF(ISNUMBER($L$6)=FALSE,"",
        IF(ISERROR(VLOOKUP($G63,SantoYusuf!$L$13:$AK$14,J$4,FALSE))=TRUE,"",
              VLOOKUP($G63,SantoYusuf!$L$13:$AK$14,J$4,FALSE)))</t>
  </si>
  <si>
    <t>=IF(ISNUMBER($L$6)=FALSE,"",
        IF(ISERROR(VLOOKUP($G63,SantoYusuf!$L$13:$AK$14,K$4,FALSE))=TRUE,"",
              VLOOKUP($G63,SantoYusuf!$L$13:$AK$14,K$4,FALSE)))</t>
  </si>
  <si>
    <t>=IF(ISNUMBER($L$6)=FALSE,"",
        IF(ISERROR(VLOOKUP($G63,SantoYusuf!$L$13:$AK$14,L$4,FALSE))=TRUE,"",
              VLOOKUP($G63,SantoYusuf!$L$13:$AK$14,L$4,FALSE)))</t>
  </si>
  <si>
    <t>=IF(ISNUMBER($L$6)=FALSE,"",
        IF(ISERROR(VLOOKUP($G63,SantoYusuf!$L$13:$AK$14,M$4,FALSE))=TRUE,"",
              VLOOKUP($G63,SantoYusuf!$L$13:$AK$14,M$4,FALSE)))</t>
  </si>
  <si>
    <t>=IF(ISNUMBER($L$6)=FALSE,"",
        IF(ISERROR(VLOOKUP($G63,SantoYusuf!$L$13:$AK$14,N$4,FALSE))=TRUE,"",
              VLOOKUP($G63,SantoYusuf!$L$13:$AK$14,N$4,FALSE)))</t>
  </si>
  <si>
    <t>=IF(ISNUMBER($L$6)=FALSE,"",
        IF(ISERROR(VLOOKUP($G63,SantoYusuf!$L$13:$AK$14,O$4,FALSE))=TRUE,"",
              VLOOKUP($G63,SantoYusuf!$L$13:$AK$14,O$4,FALSE)))</t>
  </si>
  <si>
    <t>=IF(ISNUMBER($L$6)=FALSE,"",
        IF(ISERROR(VLOOKUP($G63,SantoYusuf!$L$13:$AK$14,P$4,FALSE))=TRUE,"",
              VLOOKUP($G63,SantoYusuf!$L$13:$AK$14,P$4,FALSE)))</t>
  </si>
  <si>
    <t>=IF(ISNUMBER($L$6)=FALSE,"",
        IF(ISERROR(VLOOKUP($G63,SantoYusuf!$L$13:$AK$14,Q$4,FALSE))=TRUE,"",
              VLOOKUP($G63,SantoYusuf!$L$13:$AK$14,Q$4,FALSE)))</t>
  </si>
  <si>
    <t>=IF(ISNUMBER($L$6)=FALSE,"",
        IF(ISERROR(VLOOKUP($G63,SantoYusuf!$L$13:$AK$14,R$4,FALSE))=TRUE,"",
              VLOOKUP($G63,SantoYusuf!$L$13:$AK$14,R$4,FALSE)))</t>
  </si>
  <si>
    <t>=IF(ISNUMBER($L$6)=FALSE,"",
        IF(ISERROR(VLOOKUP($G63,SantoYusuf!$L$13:$AK$14,S$4,FALSE))=TRUE,"",
              VLOOKUP($G63,SantoYusuf!$L$13:$AK$14,S$4,FALSE)))</t>
  </si>
  <si>
    <t>=IF(ISNUMBER($L$6)=FALSE,"",
        IF(ISERROR(VLOOKUP($G63,SantoYusuf!$L$13:$AK$14,T$4,FALSE))=TRUE,"",
              VLOOKUP($G63,SantoYusuf!$L$13:$AK$14,T$4,FALSE)))</t>
  </si>
  <si>
    <t>=IF(ISNUMBER($L$6)=FALSE,"",
        IF(ISERROR(VLOOKUP($G63,SantoYusuf!$L$13:$AK$14,U$4,FALSE))=TRUE,"",
              VLOOKUP($G63,SantoYusuf!$L$13:$AK$14,U$4,FALSE)))</t>
  </si>
  <si>
    <t>=IF(ISNUMBER($L$6)=FALSE,"",
        IF(ISERROR(VLOOKUP($G63,SantoYusuf!$L$13:$AK$14,V$4,FALSE))=TRUE,"",
              VLOOKUP($G63,SantoYusuf!$L$13:$AK$14,V$4,FALSE)))</t>
  </si>
  <si>
    <t>=IF(ISNUMBER($L$6)=FALSE,"",
        IF(ISERROR(VLOOKUP($G63,SantoYusuf!$L$13:$AK$14,W$4,FALSE))=TRUE,"",
              VLOOKUP($G63,SantoYusuf!$L$13:$AK$14,W$4,FALSE)))</t>
  </si>
  <si>
    <t>=IF(ISNUMBER($L$6)=FALSE,"",
        IF(ISERROR(VLOOKUP($G63,SantoYusuf!$L$13:$AK$14,X$4,FALSE))=TRUE,"",
              VLOOKUP($G63,SantoYusuf!$L$13:$AK$14,X$4,FALSE)))</t>
  </si>
  <si>
    <t>=IF(ISNUMBER($L$6)=FALSE,"",
        IF(ISERROR(VLOOKUP($G63,SantoYusuf!$L$13:$AK$14,Y$4,FALSE))=TRUE,"",
              VLOOKUP($G63,SantoYusuf!$L$13:$AK$14,Y$4,FALSE)))</t>
  </si>
  <si>
    <t>=IF(ISNUMBER($L$6)=FALSE,"",
        IF(ISERROR(VLOOKUP($G63,SantoYusuf!$L$13:$AK$14,Z$4,FALSE))=TRUE,"",
              VLOOKUP($G63,SantoYusuf!$L$13:$AK$14,Z$4,FALSE)))</t>
  </si>
  <si>
    <t>=IF(ISNUMBER($L$6)=FALSE,"",
        IF(ISERROR(VLOOKUP($G63,SantoYusuf!$L$13:$AK$14,AA$4,FALSE))=TRUE,"",
              VLOOKUP($G63,SantoYusuf!$L$13:$AK$14,AA$4,FALSE)))</t>
  </si>
  <si>
    <t>=IF(ISNUMBER($L$6)=FALSE,"",
        IF(ISERROR(VLOOKUP($G63,SantoYusuf!$L$13:$AK$14,AB$4,FALSE))=TRUE,"",
              VLOOKUP($G63,SantoYusuf!$L$13:$AK$14,AB$4,FALSE)))</t>
  </si>
  <si>
    <t>=IF(ISNUMBER($L$6)=FALSE,"",
        IF(ISERROR(VLOOKUP($G63,SantoYusuf!$L$13:$AK$14,AC$4,FALSE))=TRUE,"",
              VLOOKUP($G63,SantoYusuf!$L$13:$AK$14,AC$4,FALSE)))</t>
  </si>
  <si>
    <t>=IF(ISNUMBER($L$6)=FALSE,"",
        IF(ISERROR(VLOOKUP($G63,SantoYusuf!$L$13:$AK$14,AD$4,FALSE))=TRUE,"",
              VLOOKUP($G63,SantoYusuf!$L$13:$AK$14,AD$4,FALSE)))</t>
  </si>
  <si>
    <t>=IF(ISNUMBER($L$6)=FALSE,"",
        IF(ISERROR(VLOOKUP($G63,SantoYusuf!$L$13:$AK$14,AE$4,FALSE))=TRUE,"",
              VLOOKUP($G63,SantoYusuf!$L$13:$AK$14,AE$4,FALSE)))</t>
  </si>
  <si>
    <t>=IF(ISNUMBER($L$6)=FALSE,"",
        IF(ISERROR(VLOOKUP($G63,SantoYusuf!$L$13:$AK$14,AF$4,FALSE))=TRUE,"",
              VLOOKUP($G63,SantoYusuf!$L$13:$AK$14,AF$4,FALSE)))</t>
  </si>
  <si>
    <t>=IF(ISNUMBER($L$6)=FALSE,"",
IF($C64=0,"",VLOOKUP($E64,SantoYusuf!$H$13:$L$14,4,FALSE)))</t>
  </si>
  <si>
    <t>=IF(ISNUMBER($L$6)=FALSE,"",
IF($C64=0,"",VLOOKUP($E64,SantoYusuf!$H$13:$L$14,5,FALSE)))</t>
  </si>
  <si>
    <t>=IF(ISNUMBER($L$6)=FALSE,"",
        IF(ISERROR(VLOOKUP($G64,SantoYusuf!$L$13:$AK$14,I$4,FALSE))=TRUE,"",
              VLOOKUP($G64,SantoYusuf!$L$13:$AK$14,I$4,FALSE)))</t>
  </si>
  <si>
    <t>=IF(ISNUMBER($L$6)=FALSE,"",
        IF(ISERROR(VLOOKUP($G64,SantoYusuf!$L$13:$AK$14,J$4,FALSE))=TRUE,"",
              VLOOKUP($G64,SantoYusuf!$L$13:$AK$14,J$4,FALSE)))</t>
  </si>
  <si>
    <t>=IF(ISNUMBER($L$6)=FALSE,"",
        IF(ISERROR(VLOOKUP($G64,SantoYusuf!$L$13:$AK$14,K$4,FALSE))=TRUE,"",
              VLOOKUP($G64,SantoYusuf!$L$13:$AK$14,K$4,FALSE)))</t>
  </si>
  <si>
    <t>=IF(ISNUMBER($L$6)=FALSE,"",
        IF(ISERROR(VLOOKUP($G64,SantoYusuf!$L$13:$AK$14,L$4,FALSE))=TRUE,"",
              VLOOKUP($G64,SantoYusuf!$L$13:$AK$14,L$4,FALSE)))</t>
  </si>
  <si>
    <t>=IF(ISNUMBER($L$6)=FALSE,"",
        IF(ISERROR(VLOOKUP($G64,SantoYusuf!$L$13:$AK$14,M$4,FALSE))=TRUE,"",
              VLOOKUP($G64,SantoYusuf!$L$13:$AK$14,M$4,FALSE)))</t>
  </si>
  <si>
    <t>=IF(ISNUMBER($L$6)=FALSE,"",
        IF(ISERROR(VLOOKUP($G64,SantoYusuf!$L$13:$AK$14,N$4,FALSE))=TRUE,"",
              VLOOKUP($G64,SantoYusuf!$L$13:$AK$14,N$4,FALSE)))</t>
  </si>
  <si>
    <t>=IF(ISNUMBER($L$6)=FALSE,"",
        IF(ISERROR(VLOOKUP($G64,SantoYusuf!$L$13:$AK$14,O$4,FALSE))=TRUE,"",
              VLOOKUP($G64,SantoYusuf!$L$13:$AK$14,O$4,FALSE)))</t>
  </si>
  <si>
    <t>=IF(ISNUMBER($L$6)=FALSE,"",
        IF(ISERROR(VLOOKUP($G64,SantoYusuf!$L$13:$AK$14,P$4,FALSE))=TRUE,"",
              VLOOKUP($G64,SantoYusuf!$L$13:$AK$14,P$4,FALSE)))</t>
  </si>
  <si>
    <t>=IF(ISNUMBER($L$6)=FALSE,"",
        IF(ISERROR(VLOOKUP($G64,SantoYusuf!$L$13:$AK$14,Q$4,FALSE))=TRUE,"",
              VLOOKUP($G64,SantoYusuf!$L$13:$AK$14,Q$4,FALSE)))</t>
  </si>
  <si>
    <t>=IF(ISNUMBER($L$6)=FALSE,"",
        IF(ISERROR(VLOOKUP($G64,SantoYusuf!$L$13:$AK$14,R$4,FALSE))=TRUE,"",
              VLOOKUP($G64,SantoYusuf!$L$13:$AK$14,R$4,FALSE)))</t>
  </si>
  <si>
    <t>=IF(ISNUMBER($L$6)=FALSE,"",
        IF(ISERROR(VLOOKUP($G64,SantoYusuf!$L$13:$AK$14,S$4,FALSE))=TRUE,"",
              VLOOKUP($G64,SantoYusuf!$L$13:$AK$14,S$4,FALSE)))</t>
  </si>
  <si>
    <t>=IF(ISNUMBER($L$6)=FALSE,"",
        IF(ISERROR(VLOOKUP($G64,SantoYusuf!$L$13:$AK$14,T$4,FALSE))=TRUE,"",
              VLOOKUP($G64,SantoYusuf!$L$13:$AK$14,T$4,FALSE)))</t>
  </si>
  <si>
    <t>=IF(ISNUMBER($L$6)=FALSE,"",
        IF(ISERROR(VLOOKUP($G64,SantoYusuf!$L$13:$AK$14,U$4,FALSE))=TRUE,"",
              VLOOKUP($G64,SantoYusuf!$L$13:$AK$14,U$4,FALSE)))</t>
  </si>
  <si>
    <t>=IF(ISNUMBER($L$6)=FALSE,"",
        IF(ISERROR(VLOOKUP($G64,SantoYusuf!$L$13:$AK$14,V$4,FALSE))=TRUE,"",
              VLOOKUP($G64,SantoYusuf!$L$13:$AK$14,V$4,FALSE)))</t>
  </si>
  <si>
    <t>=IF(ISNUMBER($L$6)=FALSE,"",
        IF(ISERROR(VLOOKUP($G64,SantoYusuf!$L$13:$AK$14,W$4,FALSE))=TRUE,"",
              VLOOKUP($G64,SantoYusuf!$L$13:$AK$14,W$4,FALSE)))</t>
  </si>
  <si>
    <t>=IF(ISNUMBER($L$6)=FALSE,"",
        IF(ISERROR(VLOOKUP($G64,SantoYusuf!$L$13:$AK$14,X$4,FALSE))=TRUE,"",
              VLOOKUP($G64,SantoYusuf!$L$13:$AK$14,X$4,FALSE)))</t>
  </si>
  <si>
    <t>=IF(ISNUMBER($L$6)=FALSE,"",
        IF(ISERROR(VLOOKUP($G64,SantoYusuf!$L$13:$AK$14,Y$4,FALSE))=TRUE,"",
              VLOOKUP($G64,SantoYusuf!$L$13:$AK$14,Y$4,FALSE)))</t>
  </si>
  <si>
    <t>=IF(ISNUMBER($L$6)=FALSE,"",
        IF(ISERROR(VLOOKUP($G64,SantoYusuf!$L$13:$AK$14,Z$4,FALSE))=TRUE,"",
              VLOOKUP($G64,SantoYusuf!$L$13:$AK$14,Z$4,FALSE)))</t>
  </si>
  <si>
    <t>=IF(ISNUMBER($L$6)=FALSE,"",
        IF(ISERROR(VLOOKUP($G64,SantoYusuf!$L$13:$AK$14,AA$4,FALSE))=TRUE,"",
              VLOOKUP($G64,SantoYusuf!$L$13:$AK$14,AA$4,FALSE)))</t>
  </si>
  <si>
    <t>=IF(ISNUMBER($L$6)=FALSE,"",
        IF(ISERROR(VLOOKUP($G64,SantoYusuf!$L$13:$AK$14,AB$4,FALSE))=TRUE,"",
              VLOOKUP($G64,SantoYusuf!$L$13:$AK$14,AB$4,FALSE)))</t>
  </si>
  <si>
    <t>=IF(ISNUMBER($L$6)=FALSE,"",
        IF(ISERROR(VLOOKUP($G64,SantoYusuf!$L$13:$AK$14,AC$4,FALSE))=TRUE,"",
              VLOOKUP($G64,SantoYusuf!$L$13:$AK$14,AC$4,FALSE)))</t>
  </si>
  <si>
    <t>=IF(ISNUMBER($L$6)=FALSE,"",
        IF(ISERROR(VLOOKUP($G64,SantoYusuf!$L$13:$AK$14,AD$4,FALSE))=TRUE,"",
              VLOOKUP($G64,SantoYusuf!$L$13:$AK$14,AD$4,FALSE)))</t>
  </si>
  <si>
    <t>=IF(ISNUMBER($L$6)=FALSE,"",
        IF(ISERROR(VLOOKUP($G64,SantoYusuf!$L$13:$AK$14,AE$4,FALSE))=TRUE,"",
              VLOOKUP($G64,SantoYusuf!$L$13:$AK$14,AE$4,FALSE)))</t>
  </si>
  <si>
    <t>=IF(ISNUMBER($L$6)=FALSE,"",
        IF(ISERROR(VLOOKUP($G64,SantoYusuf!$L$13:$AK$14,AF$4,FALSE))=TRUE,"",
              VLOOKUP($G64,SantoYusuf!$L$13:$AK$14,AF$4,FALSE)))</t>
  </si>
  <si>
    <t>=IF(ISNUMBER($L$6)=FALSE,"",
IF($C65=0,"",VLOOKUP($E65,SantoYusuf!$H$13:$L$14,4,FALSE)))</t>
  </si>
  <si>
    <t>=IF(ISNUMBER($L$6)=FALSE,"",
IF($C65=0,"",VLOOKUP($E65,SantoYusuf!$H$13:$L$14,5,FALSE)))</t>
  </si>
  <si>
    <t>=IF(ISNUMBER($L$6)=FALSE,"",
        IF(ISERROR(VLOOKUP($G65,SantoYusuf!$L$13:$AK$14,I$4,FALSE))=TRUE,"",
              VLOOKUP($G65,SantoYusuf!$L$13:$AK$14,I$4,FALSE)))</t>
  </si>
  <si>
    <t>=IF(ISNUMBER($L$6)=FALSE,"",
        IF(ISERROR(VLOOKUP($G65,SantoYusuf!$L$13:$AK$14,J$4,FALSE))=TRUE,"",
              VLOOKUP($G65,SantoYusuf!$L$13:$AK$14,J$4,FALSE)))</t>
  </si>
  <si>
    <t>=IF(ISNUMBER($L$6)=FALSE,"",
        IF(ISERROR(VLOOKUP($G65,SantoYusuf!$L$13:$AK$14,K$4,FALSE))=TRUE,"",
              VLOOKUP($G65,SantoYusuf!$L$13:$AK$14,K$4,FALSE)))</t>
  </si>
  <si>
    <t>=IF(ISNUMBER($L$6)=FALSE,"",
        IF(ISERROR(VLOOKUP($G65,SantoYusuf!$L$13:$AK$14,L$4,FALSE))=TRUE,"",
              VLOOKUP($G65,SantoYusuf!$L$13:$AK$14,L$4,FALSE)))</t>
  </si>
  <si>
    <t>=IF(ISNUMBER($L$6)=FALSE,"",
        IF(ISERROR(VLOOKUP($G65,SantoYusuf!$L$13:$AK$14,M$4,FALSE))=TRUE,"",
              VLOOKUP($G65,SantoYusuf!$L$13:$AK$14,M$4,FALSE)))</t>
  </si>
  <si>
    <t>=IF(ISNUMBER($L$6)=FALSE,"",
        IF(ISERROR(VLOOKUP($G65,SantoYusuf!$L$13:$AK$14,N$4,FALSE))=TRUE,"",
              VLOOKUP($G65,SantoYusuf!$L$13:$AK$14,N$4,FALSE)))</t>
  </si>
  <si>
    <t>=IF(ISNUMBER($L$6)=FALSE,"",
        IF(ISERROR(VLOOKUP($G65,SantoYusuf!$L$13:$AK$14,O$4,FALSE))=TRUE,"",
              VLOOKUP($G65,SantoYusuf!$L$13:$AK$14,O$4,FALSE)))</t>
  </si>
  <si>
    <t>=IF(ISNUMBER($L$6)=FALSE,"",
        IF(ISERROR(VLOOKUP($G65,SantoYusuf!$L$13:$AK$14,P$4,FALSE))=TRUE,"",
              VLOOKUP($G65,SantoYusuf!$L$13:$AK$14,P$4,FALSE)))</t>
  </si>
  <si>
    <t>=IF(ISNUMBER($L$6)=FALSE,"",
        IF(ISERROR(VLOOKUP($G65,SantoYusuf!$L$13:$AK$14,Q$4,FALSE))=TRUE,"",
              VLOOKUP($G65,SantoYusuf!$L$13:$AK$14,Q$4,FALSE)))</t>
  </si>
  <si>
    <t>=IF(ISNUMBER($L$6)=FALSE,"",
        IF(ISERROR(VLOOKUP($G65,SantoYusuf!$L$13:$AK$14,R$4,FALSE))=TRUE,"",
              VLOOKUP($G65,SantoYusuf!$L$13:$AK$14,R$4,FALSE)))</t>
  </si>
  <si>
    <t>=IF(ISNUMBER($L$6)=FALSE,"",
        IF(ISERROR(VLOOKUP($G65,SantoYusuf!$L$13:$AK$14,S$4,FALSE))=TRUE,"",
              VLOOKUP($G65,SantoYusuf!$L$13:$AK$14,S$4,FALSE)))</t>
  </si>
  <si>
    <t>=IF(ISNUMBER($L$6)=FALSE,"",
        IF(ISERROR(VLOOKUP($G65,SantoYusuf!$L$13:$AK$14,T$4,FALSE))=TRUE,"",
              VLOOKUP($G65,SantoYusuf!$L$13:$AK$14,T$4,FALSE)))</t>
  </si>
  <si>
    <t>=IF(ISNUMBER($L$6)=FALSE,"",
        IF(ISERROR(VLOOKUP($G65,SantoYusuf!$L$13:$AK$14,U$4,FALSE))=TRUE,"",
              VLOOKUP($G65,SantoYusuf!$L$13:$AK$14,U$4,FALSE)))</t>
  </si>
  <si>
    <t>=IF(ISNUMBER($L$6)=FALSE,"",
        IF(ISERROR(VLOOKUP($G65,SantoYusuf!$L$13:$AK$14,V$4,FALSE))=TRUE,"",
              VLOOKUP($G65,SantoYusuf!$L$13:$AK$14,V$4,FALSE)))</t>
  </si>
  <si>
    <t>=IF(ISNUMBER($L$6)=FALSE,"",
        IF(ISERROR(VLOOKUP($G65,SantoYusuf!$L$13:$AK$14,W$4,FALSE))=TRUE,"",
              VLOOKUP($G65,SantoYusuf!$L$13:$AK$14,W$4,FALSE)))</t>
  </si>
  <si>
    <t>=IF(ISNUMBER($L$6)=FALSE,"",
        IF(ISERROR(VLOOKUP($G65,SantoYusuf!$L$13:$AK$14,X$4,FALSE))=TRUE,"",
              VLOOKUP($G65,SantoYusuf!$L$13:$AK$14,X$4,FALSE)))</t>
  </si>
  <si>
    <t>=IF(ISNUMBER($L$6)=FALSE,"",
        IF(ISERROR(VLOOKUP($G65,SantoYusuf!$L$13:$AK$14,Y$4,FALSE))=TRUE,"",
              VLOOKUP($G65,SantoYusuf!$L$13:$AK$14,Y$4,FALSE)))</t>
  </si>
  <si>
    <t>=IF(ISNUMBER($L$6)=FALSE,"",
        IF(ISERROR(VLOOKUP($G65,SantoYusuf!$L$13:$AK$14,Z$4,FALSE))=TRUE,"",
              VLOOKUP($G65,SantoYusuf!$L$13:$AK$14,Z$4,FALSE)))</t>
  </si>
  <si>
    <t>=IF(ISNUMBER($L$6)=FALSE,"",
        IF(ISERROR(VLOOKUP($G65,SantoYusuf!$L$13:$AK$14,AA$4,FALSE))=TRUE,"",
              VLOOKUP($G65,SantoYusuf!$L$13:$AK$14,AA$4,FALSE)))</t>
  </si>
  <si>
    <t>=IF(ISNUMBER($L$6)=FALSE,"",
        IF(ISERROR(VLOOKUP($G65,SantoYusuf!$L$13:$AK$14,AB$4,FALSE))=TRUE,"",
              VLOOKUP($G65,SantoYusuf!$L$13:$AK$14,AB$4,FALSE)))</t>
  </si>
  <si>
    <t>=IF(ISNUMBER($L$6)=FALSE,"",
        IF(ISERROR(VLOOKUP($G65,SantoYusuf!$L$13:$AK$14,AC$4,FALSE))=TRUE,"",
              VLOOKUP($G65,SantoYusuf!$L$13:$AK$14,AC$4,FALSE)))</t>
  </si>
  <si>
    <t>=IF(ISNUMBER($L$6)=FALSE,"",
        IF(ISERROR(VLOOKUP($G65,SantoYusuf!$L$13:$AK$14,AD$4,FALSE))=TRUE,"",
              VLOOKUP($G65,SantoYusuf!$L$13:$AK$14,AD$4,FALSE)))</t>
  </si>
  <si>
    <t>=IF(ISNUMBER($L$6)=FALSE,"",
        IF(ISERROR(VLOOKUP($G65,SantoYusuf!$L$13:$AK$14,AE$4,FALSE))=TRUE,"",
              VLOOKUP($G65,SantoYusuf!$L$13:$AK$14,AE$4,FALSE)))</t>
  </si>
  <si>
    <t>=IF(ISNUMBER($L$6)=FALSE,"",
        IF(ISERROR(VLOOKUP($G65,SantoYusuf!$L$13:$AK$14,AF$4,FALSE))=TRUE,"",
              VLOOKUP($G65,SantoYusuf!$L$13:$AK$14,AF$4,FALSE)))</t>
  </si>
  <si>
    <t>=IF(ISNUMBER($L$6)=FALSE,"",
IF($C66=0,"",VLOOKUP($E66,SantoYusuf!$H$13:$L$14,4,FALSE)))</t>
  </si>
  <si>
    <t>=IF(ISNUMBER($L$6)=FALSE,"",
IF($C66=0,"",VLOOKUP($E66,SantoYusuf!$H$13:$L$14,5,FALSE)))</t>
  </si>
  <si>
    <t>=IF(ISNUMBER($L$6)=FALSE,"",
        IF(ISERROR(VLOOKUP($G66,SantoYusuf!$L$13:$AK$14,I$4,FALSE))=TRUE,"",
              VLOOKUP($G66,SantoYusuf!$L$13:$AK$14,I$4,FALSE)))</t>
  </si>
  <si>
    <t>=IF(ISNUMBER($L$6)=FALSE,"",
        IF(ISERROR(VLOOKUP($G66,SantoYusuf!$L$13:$AK$14,J$4,FALSE))=TRUE,"",
              VLOOKUP($G66,SantoYusuf!$L$13:$AK$14,J$4,FALSE)))</t>
  </si>
  <si>
    <t>=IF(ISNUMBER($L$6)=FALSE,"",
        IF(ISERROR(VLOOKUP($G66,SantoYusuf!$L$13:$AK$14,K$4,FALSE))=TRUE,"",
              VLOOKUP($G66,SantoYusuf!$L$13:$AK$14,K$4,FALSE)))</t>
  </si>
  <si>
    <t>=IF(ISNUMBER($L$6)=FALSE,"",
        IF(ISERROR(VLOOKUP($G66,SantoYusuf!$L$13:$AK$14,L$4,FALSE))=TRUE,"",
              VLOOKUP($G66,SantoYusuf!$L$13:$AK$14,L$4,FALSE)))</t>
  </si>
  <si>
    <t>=IF(ISNUMBER($L$6)=FALSE,"",
        IF(ISERROR(VLOOKUP($G66,SantoYusuf!$L$13:$AK$14,M$4,FALSE))=TRUE,"",
              VLOOKUP($G66,SantoYusuf!$L$13:$AK$14,M$4,FALSE)))</t>
  </si>
  <si>
    <t>=IF(ISNUMBER($L$6)=FALSE,"",
        IF(ISERROR(VLOOKUP($G66,SantoYusuf!$L$13:$AK$14,N$4,FALSE))=TRUE,"",
              VLOOKUP($G66,SantoYusuf!$L$13:$AK$14,N$4,FALSE)))</t>
  </si>
  <si>
    <t>=IF(ISNUMBER($L$6)=FALSE,"",
        IF(ISERROR(VLOOKUP($G66,SantoYusuf!$L$13:$AK$14,O$4,FALSE))=TRUE,"",
              VLOOKUP($G66,SantoYusuf!$L$13:$AK$14,O$4,FALSE)))</t>
  </si>
  <si>
    <t>=IF(ISNUMBER($L$6)=FALSE,"",
        IF(ISERROR(VLOOKUP($G66,SantoYusuf!$L$13:$AK$14,P$4,FALSE))=TRUE,"",
              VLOOKUP($G66,SantoYusuf!$L$13:$AK$14,P$4,FALSE)))</t>
  </si>
  <si>
    <t>=IF(ISNUMBER($L$6)=FALSE,"",
        IF(ISERROR(VLOOKUP($G66,SantoYusuf!$L$13:$AK$14,Q$4,FALSE))=TRUE,"",
              VLOOKUP($G66,SantoYusuf!$L$13:$AK$14,Q$4,FALSE)))</t>
  </si>
  <si>
    <t>=IF(ISNUMBER($L$6)=FALSE,"",
        IF(ISERROR(VLOOKUP($G66,SantoYusuf!$L$13:$AK$14,R$4,FALSE))=TRUE,"",
              VLOOKUP($G66,SantoYusuf!$L$13:$AK$14,R$4,FALSE)))</t>
  </si>
  <si>
    <t>=IF(ISNUMBER($L$6)=FALSE,"",
        IF(ISERROR(VLOOKUP($G66,SantoYusuf!$L$13:$AK$14,S$4,FALSE))=TRUE,"",
              VLOOKUP($G66,SantoYusuf!$L$13:$AK$14,S$4,FALSE)))</t>
  </si>
  <si>
    <t>=IF(ISNUMBER($L$6)=FALSE,"",
        IF(ISERROR(VLOOKUP($G66,SantoYusuf!$L$13:$AK$14,T$4,FALSE))=TRUE,"",
              VLOOKUP($G66,SantoYusuf!$L$13:$AK$14,T$4,FALSE)))</t>
  </si>
  <si>
    <t>=IF(ISNUMBER($L$6)=FALSE,"",
        IF(ISERROR(VLOOKUP($G66,SantoYusuf!$L$13:$AK$14,U$4,FALSE))=TRUE,"",
              VLOOKUP($G66,SantoYusuf!$L$13:$AK$14,U$4,FALSE)))</t>
  </si>
  <si>
    <t>=IF(ISNUMBER($L$6)=FALSE,"",
        IF(ISERROR(VLOOKUP($G66,SantoYusuf!$L$13:$AK$14,V$4,FALSE))=TRUE,"",
              VLOOKUP($G66,SantoYusuf!$L$13:$AK$14,V$4,FALSE)))</t>
  </si>
  <si>
    <t>=IF(ISNUMBER($L$6)=FALSE,"",
        IF(ISERROR(VLOOKUP($G66,SantoYusuf!$L$13:$AK$14,W$4,FALSE))=TRUE,"",
              VLOOKUP($G66,SantoYusuf!$L$13:$AK$14,W$4,FALSE)))</t>
  </si>
  <si>
    <t>=IF(ISNUMBER($L$6)=FALSE,"",
        IF(ISERROR(VLOOKUP($G66,SantoYusuf!$L$13:$AK$14,X$4,FALSE))=TRUE,"",
              VLOOKUP($G66,SantoYusuf!$L$13:$AK$14,X$4,FALSE)))</t>
  </si>
  <si>
    <t>=IF(ISNUMBER($L$6)=FALSE,"",
        IF(ISERROR(VLOOKUP($G66,SantoYusuf!$L$13:$AK$14,Y$4,FALSE))=TRUE,"",
              VLOOKUP($G66,SantoYusuf!$L$13:$AK$14,Y$4,FALSE)))</t>
  </si>
  <si>
    <t>=IF(ISNUMBER($L$6)=FALSE,"",
        IF(ISERROR(VLOOKUP($G66,SantoYusuf!$L$13:$AK$14,Z$4,FALSE))=TRUE,"",
              VLOOKUP($G66,SantoYusuf!$L$13:$AK$14,Z$4,FALSE)))</t>
  </si>
  <si>
    <t>=IF(ISNUMBER($L$6)=FALSE,"",
        IF(ISERROR(VLOOKUP($G66,SantoYusuf!$L$13:$AK$14,AA$4,FALSE))=TRUE,"",
              VLOOKUP($G66,SantoYusuf!$L$13:$AK$14,AA$4,FALSE)))</t>
  </si>
  <si>
    <t>=IF(ISNUMBER($L$6)=FALSE,"",
        IF(ISERROR(VLOOKUP($G66,SantoYusuf!$L$13:$AK$14,AB$4,FALSE))=TRUE,"",
              VLOOKUP($G66,SantoYusuf!$L$13:$AK$14,AB$4,FALSE)))</t>
  </si>
  <si>
    <t>=IF(ISNUMBER($L$6)=FALSE,"",
        IF(ISERROR(VLOOKUP($G66,SantoYusuf!$L$13:$AK$14,AC$4,FALSE))=TRUE,"",
              VLOOKUP($G66,SantoYusuf!$L$13:$AK$14,AC$4,FALSE)))</t>
  </si>
  <si>
    <t>=IF(ISNUMBER($L$6)=FALSE,"",
        IF(ISERROR(VLOOKUP($G66,SantoYusuf!$L$13:$AK$14,AD$4,FALSE))=TRUE,"",
              VLOOKUP($G66,SantoYusuf!$L$13:$AK$14,AD$4,FALSE)))</t>
  </si>
  <si>
    <t>=IF(ISNUMBER($L$6)=FALSE,"",
        IF(ISERROR(VLOOKUP($G66,SantoYusuf!$L$13:$AK$14,AE$4,FALSE))=TRUE,"",
              VLOOKUP($G66,SantoYusuf!$L$13:$AK$14,AE$4,FALSE)))</t>
  </si>
  <si>
    <t>=IF(ISNUMBER($L$6)=FALSE,"",
        IF(ISERROR(VLOOKUP($G66,SantoYusuf!$L$13:$AK$14,AF$4,FALSE))=TRUE,"",
              VLOOKUP($G66,SantoYusuf!$L$13:$AK$14,AF$4,FALSE)))</t>
  </si>
  <si>
    <t>=IF(ISNUMBER($L$6)=FALSE,"",
IF($C67=0,"",VLOOKUP($E67,SantoYusuf!$H$13:$L$14,4,FALSE)))</t>
  </si>
  <si>
    <t>=IF(ISNUMBER($L$6)=FALSE,"",
IF($C67=0,"",VLOOKUP($E67,SantoYusuf!$H$13:$L$14,5,FALSE)))</t>
  </si>
  <si>
    <t>=IF(ISNUMBER($L$6)=FALSE,"",
        IF(ISERROR(VLOOKUP($G67,SantoYusuf!$L$13:$AK$14,I$4,FALSE))=TRUE,"",
              VLOOKUP($G67,SantoYusuf!$L$13:$AK$14,I$4,FALSE)))</t>
  </si>
  <si>
    <t>=IF(ISNUMBER($L$6)=FALSE,"",
        IF(ISERROR(VLOOKUP($G67,SantoYusuf!$L$13:$AK$14,J$4,FALSE))=TRUE,"",
              VLOOKUP($G67,SantoYusuf!$L$13:$AK$14,J$4,FALSE)))</t>
  </si>
  <si>
    <t>=IF(ISNUMBER($L$6)=FALSE,"",
        IF(ISERROR(VLOOKUP($G67,SantoYusuf!$L$13:$AK$14,K$4,FALSE))=TRUE,"",
              VLOOKUP($G67,SantoYusuf!$L$13:$AK$14,K$4,FALSE)))</t>
  </si>
  <si>
    <t>=IF(ISNUMBER($L$6)=FALSE,"",
        IF(ISERROR(VLOOKUP($G67,SantoYusuf!$L$13:$AK$14,L$4,FALSE))=TRUE,"",
              VLOOKUP($G67,SantoYusuf!$L$13:$AK$14,L$4,FALSE)))</t>
  </si>
  <si>
    <t>=IF(ISNUMBER($L$6)=FALSE,"",
        IF(ISERROR(VLOOKUP($G67,SantoYusuf!$L$13:$AK$14,M$4,FALSE))=TRUE,"",
              VLOOKUP($G67,SantoYusuf!$L$13:$AK$14,M$4,FALSE)))</t>
  </si>
  <si>
    <t>=IF(ISNUMBER($L$6)=FALSE,"",
        IF(ISERROR(VLOOKUP($G67,SantoYusuf!$L$13:$AK$14,N$4,FALSE))=TRUE,"",
              VLOOKUP($G67,SantoYusuf!$L$13:$AK$14,N$4,FALSE)))</t>
  </si>
  <si>
    <t>=IF(ISNUMBER($L$6)=FALSE,"",
        IF(ISERROR(VLOOKUP($G67,SantoYusuf!$L$13:$AK$14,O$4,FALSE))=TRUE,"",
              VLOOKUP($G67,SantoYusuf!$L$13:$AK$14,O$4,FALSE)))</t>
  </si>
  <si>
    <t>=IF(ISNUMBER($L$6)=FALSE,"",
        IF(ISERROR(VLOOKUP($G67,SantoYusuf!$L$13:$AK$14,P$4,FALSE))=TRUE,"",
              VLOOKUP($G67,SantoYusuf!$L$13:$AK$14,P$4,FALSE)))</t>
  </si>
  <si>
    <t>=IF(ISNUMBER($L$6)=FALSE,"",
        IF(ISERROR(VLOOKUP($G67,SantoYusuf!$L$13:$AK$14,Q$4,FALSE))=TRUE,"",
              VLOOKUP($G67,SantoYusuf!$L$13:$AK$14,Q$4,FALSE)))</t>
  </si>
  <si>
    <t>=IF(ISNUMBER($L$6)=FALSE,"",
        IF(ISERROR(VLOOKUP($G67,SantoYusuf!$L$13:$AK$14,R$4,FALSE))=TRUE,"",
              VLOOKUP($G67,SantoYusuf!$L$13:$AK$14,R$4,FALSE)))</t>
  </si>
  <si>
    <t>=IF(ISNUMBER($L$6)=FALSE,"",
        IF(ISERROR(VLOOKUP($G67,SantoYusuf!$L$13:$AK$14,S$4,FALSE))=TRUE,"",
              VLOOKUP($G67,SantoYusuf!$L$13:$AK$14,S$4,FALSE)))</t>
  </si>
  <si>
    <t>=IF(ISNUMBER($L$6)=FALSE,"",
        IF(ISERROR(VLOOKUP($G67,SantoYusuf!$L$13:$AK$14,T$4,FALSE))=TRUE,"",
              VLOOKUP($G67,SantoYusuf!$L$13:$AK$14,T$4,FALSE)))</t>
  </si>
  <si>
    <t>=IF(ISNUMBER($L$6)=FALSE,"",
        IF(ISERROR(VLOOKUP($G67,SantoYusuf!$L$13:$AK$14,U$4,FALSE))=TRUE,"",
              VLOOKUP($G67,SantoYusuf!$L$13:$AK$14,U$4,FALSE)))</t>
  </si>
  <si>
    <t>=IF(ISNUMBER($L$6)=FALSE,"",
        IF(ISERROR(VLOOKUP($G67,SantoYusuf!$L$13:$AK$14,V$4,FALSE))=TRUE,"",
              VLOOKUP($G67,SantoYusuf!$L$13:$AK$14,V$4,FALSE)))</t>
  </si>
  <si>
    <t>=IF(ISNUMBER($L$6)=FALSE,"",
        IF(ISERROR(VLOOKUP($G67,SantoYusuf!$L$13:$AK$14,W$4,FALSE))=TRUE,"",
              VLOOKUP($G67,SantoYusuf!$L$13:$AK$14,W$4,FALSE)))</t>
  </si>
  <si>
    <t>=IF(ISNUMBER($L$6)=FALSE,"",
        IF(ISERROR(VLOOKUP($G67,SantoYusuf!$L$13:$AK$14,X$4,FALSE))=TRUE,"",
              VLOOKUP($G67,SantoYusuf!$L$13:$AK$14,X$4,FALSE)))</t>
  </si>
  <si>
    <t>=IF(ISNUMBER($L$6)=FALSE,"",
        IF(ISERROR(VLOOKUP($G67,SantoYusuf!$L$13:$AK$14,Y$4,FALSE))=TRUE,"",
              VLOOKUP($G67,SantoYusuf!$L$13:$AK$14,Y$4,FALSE)))</t>
  </si>
  <si>
    <t>=IF(ISNUMBER($L$6)=FALSE,"",
        IF(ISERROR(VLOOKUP($G67,SantoYusuf!$L$13:$AK$14,Z$4,FALSE))=TRUE,"",
              VLOOKUP($G67,SantoYusuf!$L$13:$AK$14,Z$4,FALSE)))</t>
  </si>
  <si>
    <t>=IF(ISNUMBER($L$6)=FALSE,"",
        IF(ISERROR(VLOOKUP($G67,SantoYusuf!$L$13:$AK$14,AA$4,FALSE))=TRUE,"",
              VLOOKUP($G67,SantoYusuf!$L$13:$AK$14,AA$4,FALSE)))</t>
  </si>
  <si>
    <t>=IF(ISNUMBER($L$6)=FALSE,"",
        IF(ISERROR(VLOOKUP($G67,SantoYusuf!$L$13:$AK$14,AB$4,FALSE))=TRUE,"",
              VLOOKUP($G67,SantoYusuf!$L$13:$AK$14,AB$4,FALSE)))</t>
  </si>
  <si>
    <t>=IF(ISNUMBER($L$6)=FALSE,"",
        IF(ISERROR(VLOOKUP($G67,SantoYusuf!$L$13:$AK$14,AC$4,FALSE))=TRUE,"",
              VLOOKUP($G67,SantoYusuf!$L$13:$AK$14,AC$4,FALSE)))</t>
  </si>
  <si>
    <t>=IF(ISNUMBER($L$6)=FALSE,"",
        IF(ISERROR(VLOOKUP($G67,SantoYusuf!$L$13:$AK$14,AD$4,FALSE))=TRUE,"",
              VLOOKUP($G67,SantoYusuf!$L$13:$AK$14,AD$4,FALSE)))</t>
  </si>
  <si>
    <t>=IF(ISNUMBER($L$6)=FALSE,"",
        IF(ISERROR(VLOOKUP($G67,SantoYusuf!$L$13:$AK$14,AE$4,FALSE))=TRUE,"",
              VLOOKUP($G67,SantoYusuf!$L$13:$AK$14,AE$4,FALSE)))</t>
  </si>
  <si>
    <t>=IF(ISNUMBER($L$6)=FALSE,"",
        IF(ISERROR(VLOOKUP($G67,SantoYusuf!$L$13:$AK$14,AF$4,FALSE))=TRUE,"",
              VLOOKUP($G67,SantoYusuf!$L$13:$AK$14,AF$4,FALSE)))</t>
  </si>
  <si>
    <t>=IF(ISNUMBER($L$6)=FALSE,"",
IF($C68=0,"",VLOOKUP($E68,SantoYusuf!$H$13:$L$14,4,FALSE)))</t>
  </si>
  <si>
    <t>=IF(ISNUMBER($L$6)=FALSE,"",
IF($C68=0,"",VLOOKUP($E68,SantoYusuf!$H$13:$L$14,5,FALSE)))</t>
  </si>
  <si>
    <t>=IF(ISNUMBER($L$6)=FALSE,"",
        IF(ISERROR(VLOOKUP($G68,SantoYusuf!$L$13:$AK$14,I$4,FALSE))=TRUE,"",
              VLOOKUP($G68,SantoYusuf!$L$13:$AK$14,I$4,FALSE)))</t>
  </si>
  <si>
    <t>=IF(ISNUMBER($L$6)=FALSE,"",
        IF(ISERROR(VLOOKUP($G68,SantoYusuf!$L$13:$AK$14,J$4,FALSE))=TRUE,"",
              VLOOKUP($G68,SantoYusuf!$L$13:$AK$14,J$4,FALSE)))</t>
  </si>
  <si>
    <t>=IF(ISNUMBER($L$6)=FALSE,"",
        IF(ISERROR(VLOOKUP($G68,SantoYusuf!$L$13:$AK$14,K$4,FALSE))=TRUE,"",
              VLOOKUP($G68,SantoYusuf!$L$13:$AK$14,K$4,FALSE)))</t>
  </si>
  <si>
    <t>=IF(ISNUMBER($L$6)=FALSE,"",
        IF(ISERROR(VLOOKUP($G68,SantoYusuf!$L$13:$AK$14,L$4,FALSE))=TRUE,"",
              VLOOKUP($G68,SantoYusuf!$L$13:$AK$14,L$4,FALSE)))</t>
  </si>
  <si>
    <t>=IF(ISNUMBER($L$6)=FALSE,"",
        IF(ISERROR(VLOOKUP($G68,SantoYusuf!$L$13:$AK$14,M$4,FALSE))=TRUE,"",
              VLOOKUP($G68,SantoYusuf!$L$13:$AK$14,M$4,FALSE)))</t>
  </si>
  <si>
    <t>=IF(ISNUMBER($L$6)=FALSE,"",
        IF(ISERROR(VLOOKUP($G68,SantoYusuf!$L$13:$AK$14,N$4,FALSE))=TRUE,"",
              VLOOKUP($G68,SantoYusuf!$L$13:$AK$14,N$4,FALSE)))</t>
  </si>
  <si>
    <t>=IF(ISNUMBER($L$6)=FALSE,"",
        IF(ISERROR(VLOOKUP($G68,SantoYusuf!$L$13:$AK$14,O$4,FALSE))=TRUE,"",
              VLOOKUP($G68,SantoYusuf!$L$13:$AK$14,O$4,FALSE)))</t>
  </si>
  <si>
    <t>=IF(ISNUMBER($L$6)=FALSE,"",
        IF(ISERROR(VLOOKUP($G68,SantoYusuf!$L$13:$AK$14,P$4,FALSE))=TRUE,"",
              VLOOKUP($G68,SantoYusuf!$L$13:$AK$14,P$4,FALSE)))</t>
  </si>
  <si>
    <t>=IF(ISNUMBER($L$6)=FALSE,"",
        IF(ISERROR(VLOOKUP($G68,SantoYusuf!$L$13:$AK$14,Q$4,FALSE))=TRUE,"",
              VLOOKUP($G68,SantoYusuf!$L$13:$AK$14,Q$4,FALSE)))</t>
  </si>
  <si>
    <t>=IF(ISNUMBER($L$6)=FALSE,"",
        IF(ISERROR(VLOOKUP($G68,SantoYusuf!$L$13:$AK$14,R$4,FALSE))=TRUE,"",
              VLOOKUP($G68,SantoYusuf!$L$13:$AK$14,R$4,FALSE)))</t>
  </si>
  <si>
    <t>=IF(ISNUMBER($L$6)=FALSE,"",
        IF(ISERROR(VLOOKUP($G68,SantoYusuf!$L$13:$AK$14,S$4,FALSE))=TRUE,"",
              VLOOKUP($G68,SantoYusuf!$L$13:$AK$14,S$4,FALSE)))</t>
  </si>
  <si>
    <t>=IF(ISNUMBER($L$6)=FALSE,"",
        IF(ISERROR(VLOOKUP($G68,SantoYusuf!$L$13:$AK$14,T$4,FALSE))=TRUE,"",
              VLOOKUP($G68,SantoYusuf!$L$13:$AK$14,T$4,FALSE)))</t>
  </si>
  <si>
    <t>=IF(ISNUMBER($L$6)=FALSE,"",
        IF(ISERROR(VLOOKUP($G68,SantoYusuf!$L$13:$AK$14,U$4,FALSE))=TRUE,"",
              VLOOKUP($G68,SantoYusuf!$L$13:$AK$14,U$4,FALSE)))</t>
  </si>
  <si>
    <t>=IF(ISNUMBER($L$6)=FALSE,"",
        IF(ISERROR(VLOOKUP($G68,SantoYusuf!$L$13:$AK$14,V$4,FALSE))=TRUE,"",
              VLOOKUP($G68,SantoYusuf!$L$13:$AK$14,V$4,FALSE)))</t>
  </si>
  <si>
    <t>=IF(ISNUMBER($L$6)=FALSE,"",
        IF(ISERROR(VLOOKUP($G68,SantoYusuf!$L$13:$AK$14,W$4,FALSE))=TRUE,"",
              VLOOKUP($G68,SantoYusuf!$L$13:$AK$14,W$4,FALSE)))</t>
  </si>
  <si>
    <t>=IF(ISNUMBER($L$6)=FALSE,"",
        IF(ISERROR(VLOOKUP($G68,SantoYusuf!$L$13:$AK$14,X$4,FALSE))=TRUE,"",
              VLOOKUP($G68,SantoYusuf!$L$13:$AK$14,X$4,FALSE)))</t>
  </si>
  <si>
    <t>=IF(ISNUMBER($L$6)=FALSE,"",
        IF(ISERROR(VLOOKUP($G68,SantoYusuf!$L$13:$AK$14,Y$4,FALSE))=TRUE,"",
              VLOOKUP($G68,SantoYusuf!$L$13:$AK$14,Y$4,FALSE)))</t>
  </si>
  <si>
    <t>=IF(ISNUMBER($L$6)=FALSE,"",
        IF(ISERROR(VLOOKUP($G68,SantoYusuf!$L$13:$AK$14,Z$4,FALSE))=TRUE,"",
              VLOOKUP($G68,SantoYusuf!$L$13:$AK$14,Z$4,FALSE)))</t>
  </si>
  <si>
    <t>=IF(ISNUMBER($L$6)=FALSE,"",
        IF(ISERROR(VLOOKUP($G68,SantoYusuf!$L$13:$AK$14,AA$4,FALSE))=TRUE,"",
              VLOOKUP($G68,SantoYusuf!$L$13:$AK$14,AA$4,FALSE)))</t>
  </si>
  <si>
    <t>=IF(ISNUMBER($L$6)=FALSE,"",
        IF(ISERROR(VLOOKUP($G68,SantoYusuf!$L$13:$AK$14,AB$4,FALSE))=TRUE,"",
              VLOOKUP($G68,SantoYusuf!$L$13:$AK$14,AB$4,FALSE)))</t>
  </si>
  <si>
    <t>=IF(ISNUMBER($L$6)=FALSE,"",
        IF(ISERROR(VLOOKUP($G68,SantoYusuf!$L$13:$AK$14,AC$4,FALSE))=TRUE,"",
              VLOOKUP($G68,SantoYusuf!$L$13:$AK$14,AC$4,FALSE)))</t>
  </si>
  <si>
    <t>=IF(ISNUMBER($L$6)=FALSE,"",
        IF(ISERROR(VLOOKUP($G68,SantoYusuf!$L$13:$AK$14,AD$4,FALSE))=TRUE,"",
              VLOOKUP($G68,SantoYusuf!$L$13:$AK$14,AD$4,FALSE)))</t>
  </si>
  <si>
    <t>=IF(ISNUMBER($L$6)=FALSE,"",
        IF(ISERROR(VLOOKUP($G68,SantoYusuf!$L$13:$AK$14,AE$4,FALSE))=TRUE,"",
              VLOOKUP($G68,SantoYusuf!$L$13:$AK$14,AE$4,FALSE)))</t>
  </si>
  <si>
    <t>=IF(ISNUMBER($L$6)=FALSE,"",
        IF(ISERROR(VLOOKUP($G68,SantoYusuf!$L$13:$AK$14,AF$4,FALSE))=TRUE,"",
              VLOOKUP($G68,SantoYusuf!$L$13:$AK$14,AF$4,FALSE)))</t>
  </si>
  <si>
    <t>=IF(ISNUMBER($L$6)=FALSE,"",
IF($C69=0,"",VLOOKUP($E69,SantoYusuf!$H$13:$L$14,4,FALSE)))</t>
  </si>
  <si>
    <t>=IF(ISNUMBER($L$6)=FALSE,"",
IF($C69=0,"",VLOOKUP($E69,SantoYusuf!$H$13:$L$14,5,FALSE)))</t>
  </si>
  <si>
    <t>=IF(ISNUMBER($L$6)=FALSE,"",
        IF(ISERROR(VLOOKUP($G69,SantoYusuf!$L$13:$AK$14,I$4,FALSE))=TRUE,"",
              VLOOKUP($G69,SantoYusuf!$L$13:$AK$14,I$4,FALSE)))</t>
  </si>
  <si>
    <t>=IF(ISNUMBER($L$6)=FALSE,"",
        IF(ISERROR(VLOOKUP($G69,SantoYusuf!$L$13:$AK$14,J$4,FALSE))=TRUE,"",
              VLOOKUP($G69,SantoYusuf!$L$13:$AK$14,J$4,FALSE)))</t>
  </si>
  <si>
    <t>=IF(ISNUMBER($L$6)=FALSE,"",
        IF(ISERROR(VLOOKUP($G69,SantoYusuf!$L$13:$AK$14,K$4,FALSE))=TRUE,"",
              VLOOKUP($G69,SantoYusuf!$L$13:$AK$14,K$4,FALSE)))</t>
  </si>
  <si>
    <t>=IF(ISNUMBER($L$6)=FALSE,"",
        IF(ISERROR(VLOOKUP($G69,SantoYusuf!$L$13:$AK$14,L$4,FALSE))=TRUE,"",
              VLOOKUP($G69,SantoYusuf!$L$13:$AK$14,L$4,FALSE)))</t>
  </si>
  <si>
    <t>=IF(ISNUMBER($L$6)=FALSE,"",
        IF(ISERROR(VLOOKUP($G69,SantoYusuf!$L$13:$AK$14,M$4,FALSE))=TRUE,"",
              VLOOKUP($G69,SantoYusuf!$L$13:$AK$14,M$4,FALSE)))</t>
  </si>
  <si>
    <t>=IF(ISNUMBER($L$6)=FALSE,"",
        IF(ISERROR(VLOOKUP($G69,SantoYusuf!$L$13:$AK$14,N$4,FALSE))=TRUE,"",
              VLOOKUP($G69,SantoYusuf!$L$13:$AK$14,N$4,FALSE)))</t>
  </si>
  <si>
    <t>=IF(ISNUMBER($L$6)=FALSE,"",
        IF(ISERROR(VLOOKUP($G69,SantoYusuf!$L$13:$AK$14,O$4,FALSE))=TRUE,"",
              VLOOKUP($G69,SantoYusuf!$L$13:$AK$14,O$4,FALSE)))</t>
  </si>
  <si>
    <t>=IF(ISNUMBER($L$6)=FALSE,"",
        IF(ISERROR(VLOOKUP($G69,SantoYusuf!$L$13:$AK$14,P$4,FALSE))=TRUE,"",
              VLOOKUP($G69,SantoYusuf!$L$13:$AK$14,P$4,FALSE)))</t>
  </si>
  <si>
    <t>=IF(ISNUMBER($L$6)=FALSE,"",
        IF(ISERROR(VLOOKUP($G69,SantoYusuf!$L$13:$AK$14,Q$4,FALSE))=TRUE,"",
              VLOOKUP($G69,SantoYusuf!$L$13:$AK$14,Q$4,FALSE)))</t>
  </si>
  <si>
    <t>=IF(ISNUMBER($L$6)=FALSE,"",
        IF(ISERROR(VLOOKUP($G69,SantoYusuf!$L$13:$AK$14,R$4,FALSE))=TRUE,"",
              VLOOKUP($G69,SantoYusuf!$L$13:$AK$14,R$4,FALSE)))</t>
  </si>
  <si>
    <t>=IF(ISNUMBER($L$6)=FALSE,"",
        IF(ISERROR(VLOOKUP($G69,SantoYusuf!$L$13:$AK$14,S$4,FALSE))=TRUE,"",
              VLOOKUP($G69,SantoYusuf!$L$13:$AK$14,S$4,FALSE)))</t>
  </si>
  <si>
    <t>=IF(ISNUMBER($L$6)=FALSE,"",
        IF(ISERROR(VLOOKUP($G69,SantoYusuf!$L$13:$AK$14,T$4,FALSE))=TRUE,"",
              VLOOKUP($G69,SantoYusuf!$L$13:$AK$14,T$4,FALSE)))</t>
  </si>
  <si>
    <t>=IF(ISNUMBER($L$6)=FALSE,"",
        IF(ISERROR(VLOOKUP($G69,SantoYusuf!$L$13:$AK$14,U$4,FALSE))=TRUE,"",
              VLOOKUP($G69,SantoYusuf!$L$13:$AK$14,U$4,FALSE)))</t>
  </si>
  <si>
    <t>=IF(ISNUMBER($L$6)=FALSE,"",
        IF(ISERROR(VLOOKUP($G69,SantoYusuf!$L$13:$AK$14,V$4,FALSE))=TRUE,"",
              VLOOKUP($G69,SantoYusuf!$L$13:$AK$14,V$4,FALSE)))</t>
  </si>
  <si>
    <t>=IF(ISNUMBER($L$6)=FALSE,"",
        IF(ISERROR(VLOOKUP($G69,SantoYusuf!$L$13:$AK$14,W$4,FALSE))=TRUE,"",
              VLOOKUP($G69,SantoYusuf!$L$13:$AK$14,W$4,FALSE)))</t>
  </si>
  <si>
    <t>=IF(ISNUMBER($L$6)=FALSE,"",
        IF(ISERROR(VLOOKUP($G69,SantoYusuf!$L$13:$AK$14,X$4,FALSE))=TRUE,"",
              VLOOKUP($G69,SantoYusuf!$L$13:$AK$14,X$4,FALSE)))</t>
  </si>
  <si>
    <t>=IF(ISNUMBER($L$6)=FALSE,"",
        IF(ISERROR(VLOOKUP($G69,SantoYusuf!$L$13:$AK$14,Y$4,FALSE))=TRUE,"",
              VLOOKUP($G69,SantoYusuf!$L$13:$AK$14,Y$4,FALSE)))</t>
  </si>
  <si>
    <t>=IF(ISNUMBER($L$6)=FALSE,"",
        IF(ISERROR(VLOOKUP($G69,SantoYusuf!$L$13:$AK$14,Z$4,FALSE))=TRUE,"",
              VLOOKUP($G69,SantoYusuf!$L$13:$AK$14,Z$4,FALSE)))</t>
  </si>
  <si>
    <t>=IF(ISNUMBER($L$6)=FALSE,"",
        IF(ISERROR(VLOOKUP($G69,SantoYusuf!$L$13:$AK$14,AA$4,FALSE))=TRUE,"",
              VLOOKUP($G69,SantoYusuf!$L$13:$AK$14,AA$4,FALSE)))</t>
  </si>
  <si>
    <t>=IF(ISNUMBER($L$6)=FALSE,"",
        IF(ISERROR(VLOOKUP($G69,SantoYusuf!$L$13:$AK$14,AB$4,FALSE))=TRUE,"",
              VLOOKUP($G69,SantoYusuf!$L$13:$AK$14,AB$4,FALSE)))</t>
  </si>
  <si>
    <t>=IF(ISNUMBER($L$6)=FALSE,"",
        IF(ISERROR(VLOOKUP($G69,SantoYusuf!$L$13:$AK$14,AC$4,FALSE))=TRUE,"",
              VLOOKUP($G69,SantoYusuf!$L$13:$AK$14,AC$4,FALSE)))</t>
  </si>
  <si>
    <t>=IF(ISNUMBER($L$6)=FALSE,"",
        IF(ISERROR(VLOOKUP($G69,SantoYusuf!$L$13:$AK$14,AD$4,FALSE))=TRUE,"",
              VLOOKUP($G69,SantoYusuf!$L$13:$AK$14,AD$4,FALSE)))</t>
  </si>
  <si>
    <t>=IF(ISNUMBER($L$6)=FALSE,"",
        IF(ISERROR(VLOOKUP($G69,SantoYusuf!$L$13:$AK$14,AE$4,FALSE))=TRUE,"",
              VLOOKUP($G69,SantoYusuf!$L$13:$AK$14,AE$4,FALSE)))</t>
  </si>
  <si>
    <t>=IF(ISNUMBER($L$6)=FALSE,"",
        IF(ISERROR(VLOOKUP($G69,SantoYusuf!$L$13:$AK$14,AF$4,FALSE))=TRUE,"",
              VLOOKUP($G69,SantoYusuf!$L$13:$AK$14,AF$4,FALSE)))</t>
  </si>
  <si>
    <t>=IF(ISNUMBER($L$6)=FALSE,"",
IF($C70=0,"",VLOOKUP($E70,SantoYusuf!$H$13:$L$14,4,FALSE)))</t>
  </si>
  <si>
    <t>=IF(ISNUMBER($L$6)=FALSE,"",
IF($C70=0,"",VLOOKUP($E70,SantoYusuf!$H$13:$L$14,5,FALSE)))</t>
  </si>
  <si>
    <t>=IF(ISNUMBER($L$6)=FALSE,"",
        IF(ISERROR(VLOOKUP($G70,SantoYusuf!$L$13:$AK$14,I$4,FALSE))=TRUE,"",
              VLOOKUP($G70,SantoYusuf!$L$13:$AK$14,I$4,FALSE)))</t>
  </si>
  <si>
    <t>=IF(ISNUMBER($L$6)=FALSE,"",
        IF(ISERROR(VLOOKUP($G70,SantoYusuf!$L$13:$AK$14,J$4,FALSE))=TRUE,"",
              VLOOKUP($G70,SantoYusuf!$L$13:$AK$14,J$4,FALSE)))</t>
  </si>
  <si>
    <t>=IF(ISNUMBER($L$6)=FALSE,"",
        IF(ISERROR(VLOOKUP($G70,SantoYusuf!$L$13:$AK$14,K$4,FALSE))=TRUE,"",
              VLOOKUP($G70,SantoYusuf!$L$13:$AK$14,K$4,FALSE)))</t>
  </si>
  <si>
    <t>=IF(ISNUMBER($L$6)=FALSE,"",
        IF(ISERROR(VLOOKUP($G70,SantoYusuf!$L$13:$AK$14,L$4,FALSE))=TRUE,"",
              VLOOKUP($G70,SantoYusuf!$L$13:$AK$14,L$4,FALSE)))</t>
  </si>
  <si>
    <t>=IF(ISNUMBER($L$6)=FALSE,"",
        IF(ISERROR(VLOOKUP($G70,SantoYusuf!$L$13:$AK$14,M$4,FALSE))=TRUE,"",
              VLOOKUP($G70,SantoYusuf!$L$13:$AK$14,M$4,FALSE)))</t>
  </si>
  <si>
    <t>=IF(ISNUMBER($L$6)=FALSE,"",
        IF(ISERROR(VLOOKUP($G70,SantoYusuf!$L$13:$AK$14,N$4,FALSE))=TRUE,"",
              VLOOKUP($G70,SantoYusuf!$L$13:$AK$14,N$4,FALSE)))</t>
  </si>
  <si>
    <t>=IF(ISNUMBER($L$6)=FALSE,"",
        IF(ISERROR(VLOOKUP($G70,SantoYusuf!$L$13:$AK$14,O$4,FALSE))=TRUE,"",
              VLOOKUP($G70,SantoYusuf!$L$13:$AK$14,O$4,FALSE)))</t>
  </si>
  <si>
    <t>=IF(ISNUMBER($L$6)=FALSE,"",
        IF(ISERROR(VLOOKUP($G70,SantoYusuf!$L$13:$AK$14,P$4,FALSE))=TRUE,"",
              VLOOKUP($G70,SantoYusuf!$L$13:$AK$14,P$4,FALSE)))</t>
  </si>
  <si>
    <t>=IF(ISNUMBER($L$6)=FALSE,"",
        IF(ISERROR(VLOOKUP($G70,SantoYusuf!$L$13:$AK$14,Q$4,FALSE))=TRUE,"",
              VLOOKUP($G70,SantoYusuf!$L$13:$AK$14,Q$4,FALSE)))</t>
  </si>
  <si>
    <t>=IF(ISNUMBER($L$6)=FALSE,"",
        IF(ISERROR(VLOOKUP($G70,SantoYusuf!$L$13:$AK$14,R$4,FALSE))=TRUE,"",
              VLOOKUP($G70,SantoYusuf!$L$13:$AK$14,R$4,FALSE)))</t>
  </si>
  <si>
    <t>=IF(ISNUMBER($L$6)=FALSE,"",
        IF(ISERROR(VLOOKUP($G70,SantoYusuf!$L$13:$AK$14,S$4,FALSE))=TRUE,"",
              VLOOKUP($G70,SantoYusuf!$L$13:$AK$14,S$4,FALSE)))</t>
  </si>
  <si>
    <t>=IF(ISNUMBER($L$6)=FALSE,"",
        IF(ISERROR(VLOOKUP($G70,SantoYusuf!$L$13:$AK$14,T$4,FALSE))=TRUE,"",
              VLOOKUP($G70,SantoYusuf!$L$13:$AK$14,T$4,FALSE)))</t>
  </si>
  <si>
    <t>=IF(ISNUMBER($L$6)=FALSE,"",
        IF(ISERROR(VLOOKUP($G70,SantoYusuf!$L$13:$AK$14,U$4,FALSE))=TRUE,"",
              VLOOKUP($G70,SantoYusuf!$L$13:$AK$14,U$4,FALSE)))</t>
  </si>
  <si>
    <t>=IF(ISNUMBER($L$6)=FALSE,"",
        IF(ISERROR(VLOOKUP($G70,SantoYusuf!$L$13:$AK$14,V$4,FALSE))=TRUE,"",
              VLOOKUP($G70,SantoYusuf!$L$13:$AK$14,V$4,FALSE)))</t>
  </si>
  <si>
    <t>=IF(ISNUMBER($L$6)=FALSE,"",
        IF(ISERROR(VLOOKUP($G70,SantoYusuf!$L$13:$AK$14,W$4,FALSE))=TRUE,"",
              VLOOKUP($G70,SantoYusuf!$L$13:$AK$14,W$4,FALSE)))</t>
  </si>
  <si>
    <t>=IF(ISNUMBER($L$6)=FALSE,"",
        IF(ISERROR(VLOOKUP($G70,SantoYusuf!$L$13:$AK$14,X$4,FALSE))=TRUE,"",
              VLOOKUP($G70,SantoYusuf!$L$13:$AK$14,X$4,FALSE)))</t>
  </si>
  <si>
    <t>=IF(ISNUMBER($L$6)=FALSE,"",
        IF(ISERROR(VLOOKUP($G70,SantoYusuf!$L$13:$AK$14,Y$4,FALSE))=TRUE,"",
              VLOOKUP($G70,SantoYusuf!$L$13:$AK$14,Y$4,FALSE)))</t>
  </si>
  <si>
    <t>=IF(ISNUMBER($L$6)=FALSE,"",
        IF(ISERROR(VLOOKUP($G70,SantoYusuf!$L$13:$AK$14,Z$4,FALSE))=TRUE,"",
              VLOOKUP($G70,SantoYusuf!$L$13:$AK$14,Z$4,FALSE)))</t>
  </si>
  <si>
    <t>=IF(ISNUMBER($L$6)=FALSE,"",
        IF(ISERROR(VLOOKUP($G70,SantoYusuf!$L$13:$AK$14,AA$4,FALSE))=TRUE,"",
              VLOOKUP($G70,SantoYusuf!$L$13:$AK$14,AA$4,FALSE)))</t>
  </si>
  <si>
    <t>=IF(ISNUMBER($L$6)=FALSE,"",
        IF(ISERROR(VLOOKUP($G70,SantoYusuf!$L$13:$AK$14,AB$4,FALSE))=TRUE,"",
              VLOOKUP($G70,SantoYusuf!$L$13:$AK$14,AB$4,FALSE)))</t>
  </si>
  <si>
    <t>=IF(ISNUMBER($L$6)=FALSE,"",
        IF(ISERROR(VLOOKUP($G70,SantoYusuf!$L$13:$AK$14,AC$4,FALSE))=TRUE,"",
              VLOOKUP($G70,SantoYusuf!$L$13:$AK$14,AC$4,FALSE)))</t>
  </si>
  <si>
    <t>=IF(ISNUMBER($L$6)=FALSE,"",
        IF(ISERROR(VLOOKUP($G70,SantoYusuf!$L$13:$AK$14,AD$4,FALSE))=TRUE,"",
              VLOOKUP($G70,SantoYusuf!$L$13:$AK$14,AD$4,FALSE)))</t>
  </si>
  <si>
    <t>=IF(ISNUMBER($L$6)=FALSE,"",
        IF(ISERROR(VLOOKUP($G70,SantoYusuf!$L$13:$AK$14,AE$4,FALSE))=TRUE,"",
              VLOOKUP($G70,SantoYusuf!$L$13:$AK$14,AE$4,FALSE)))</t>
  </si>
  <si>
    <t>=IF(ISNUMBER($L$6)=FALSE,"",
        IF(ISERROR(VLOOKUP($G70,SantoYusuf!$L$13:$AK$14,AF$4,FALSE))=TRUE,"",
              VLOOKUP($G70,SantoYusuf!$L$13:$AK$14,AF$4,FALSE)))</t>
  </si>
  <si>
    <t>=IF(ISNUMBER($L$6)=FALSE,"",
IF($C71=0,"",VLOOKUP($E71,SantoYusuf!$H$13:$L$14,4,FALSE)))</t>
  </si>
  <si>
    <t>=IF(ISNUMBER($L$6)=FALSE,"",
IF($C71=0,"",VLOOKUP($E71,SantoYusuf!$H$13:$L$14,5,FALSE)))</t>
  </si>
  <si>
    <t>=IF(ISNUMBER($L$6)=FALSE,"",
        IF(ISERROR(VLOOKUP($G71,SantoYusuf!$L$13:$AK$14,I$4,FALSE))=TRUE,"",
              VLOOKUP($G71,SantoYusuf!$L$13:$AK$14,I$4,FALSE)))</t>
  </si>
  <si>
    <t>=IF(ISNUMBER($L$6)=FALSE,"",
        IF(ISERROR(VLOOKUP($G71,SantoYusuf!$L$13:$AK$14,J$4,FALSE))=TRUE,"",
              VLOOKUP($G71,SantoYusuf!$L$13:$AK$14,J$4,FALSE)))</t>
  </si>
  <si>
    <t>=IF(ISNUMBER($L$6)=FALSE,"",
        IF(ISERROR(VLOOKUP($G71,SantoYusuf!$L$13:$AK$14,K$4,FALSE))=TRUE,"",
              VLOOKUP($G71,SantoYusuf!$L$13:$AK$14,K$4,FALSE)))</t>
  </si>
  <si>
    <t>=IF(ISNUMBER($L$6)=FALSE,"",
        IF(ISERROR(VLOOKUP($G71,SantoYusuf!$L$13:$AK$14,L$4,FALSE))=TRUE,"",
              VLOOKUP($G71,SantoYusuf!$L$13:$AK$14,L$4,FALSE)))</t>
  </si>
  <si>
    <t>=IF(ISNUMBER($L$6)=FALSE,"",
        IF(ISERROR(VLOOKUP($G71,SantoYusuf!$L$13:$AK$14,M$4,FALSE))=TRUE,"",
              VLOOKUP($G71,SantoYusuf!$L$13:$AK$14,M$4,FALSE)))</t>
  </si>
  <si>
    <t>=IF(ISNUMBER($L$6)=FALSE,"",
        IF(ISERROR(VLOOKUP($G71,SantoYusuf!$L$13:$AK$14,N$4,FALSE))=TRUE,"",
              VLOOKUP($G71,SantoYusuf!$L$13:$AK$14,N$4,FALSE)))</t>
  </si>
  <si>
    <t>=IF(ISNUMBER($L$6)=FALSE,"",
        IF(ISERROR(VLOOKUP($G71,SantoYusuf!$L$13:$AK$14,O$4,FALSE))=TRUE,"",
              VLOOKUP($G71,SantoYusuf!$L$13:$AK$14,O$4,FALSE)))</t>
  </si>
  <si>
    <t>=IF(ISNUMBER($L$6)=FALSE,"",
        IF(ISERROR(VLOOKUP($G71,SantoYusuf!$L$13:$AK$14,P$4,FALSE))=TRUE,"",
              VLOOKUP($G71,SantoYusuf!$L$13:$AK$14,P$4,FALSE)))</t>
  </si>
  <si>
    <t>=IF(ISNUMBER($L$6)=FALSE,"",
        IF(ISERROR(VLOOKUP($G71,SantoYusuf!$L$13:$AK$14,Q$4,FALSE))=TRUE,"",
              VLOOKUP($G71,SantoYusuf!$L$13:$AK$14,Q$4,FALSE)))</t>
  </si>
  <si>
    <t>=IF(ISNUMBER($L$6)=FALSE,"",
        IF(ISERROR(VLOOKUP($G71,SantoYusuf!$L$13:$AK$14,R$4,FALSE))=TRUE,"",
              VLOOKUP($G71,SantoYusuf!$L$13:$AK$14,R$4,FALSE)))</t>
  </si>
  <si>
    <t>=IF(ISNUMBER($L$6)=FALSE,"",
        IF(ISERROR(VLOOKUP($G71,SantoYusuf!$L$13:$AK$14,S$4,FALSE))=TRUE,"",
              VLOOKUP($G71,SantoYusuf!$L$13:$AK$14,S$4,FALSE)))</t>
  </si>
  <si>
    <t>=IF(ISNUMBER($L$6)=FALSE,"",
        IF(ISERROR(VLOOKUP($G71,SantoYusuf!$L$13:$AK$14,T$4,FALSE))=TRUE,"",
              VLOOKUP($G71,SantoYusuf!$L$13:$AK$14,T$4,FALSE)))</t>
  </si>
  <si>
    <t>=IF(ISNUMBER($L$6)=FALSE,"",
        IF(ISERROR(VLOOKUP($G71,SantoYusuf!$L$13:$AK$14,U$4,FALSE))=TRUE,"",
              VLOOKUP($G71,SantoYusuf!$L$13:$AK$14,U$4,FALSE)))</t>
  </si>
  <si>
    <t>=IF(ISNUMBER($L$6)=FALSE,"",
        IF(ISERROR(VLOOKUP($G71,SantoYusuf!$L$13:$AK$14,V$4,FALSE))=TRUE,"",
              VLOOKUP($G71,SantoYusuf!$L$13:$AK$14,V$4,FALSE)))</t>
  </si>
  <si>
    <t>=IF(ISNUMBER($L$6)=FALSE,"",
        IF(ISERROR(VLOOKUP($G71,SantoYusuf!$L$13:$AK$14,W$4,FALSE))=TRUE,"",
              VLOOKUP($G71,SantoYusuf!$L$13:$AK$14,W$4,FALSE)))</t>
  </si>
  <si>
    <t>=IF(ISNUMBER($L$6)=FALSE,"",
        IF(ISERROR(VLOOKUP($G71,SantoYusuf!$L$13:$AK$14,X$4,FALSE))=TRUE,"",
              VLOOKUP($G71,SantoYusuf!$L$13:$AK$14,X$4,FALSE)))</t>
  </si>
  <si>
    <t>=IF(ISNUMBER($L$6)=FALSE,"",
        IF(ISERROR(VLOOKUP($G71,SantoYusuf!$L$13:$AK$14,Y$4,FALSE))=TRUE,"",
              VLOOKUP($G71,SantoYusuf!$L$13:$AK$14,Y$4,FALSE)))</t>
  </si>
  <si>
    <t>=IF(ISNUMBER($L$6)=FALSE,"",
        IF(ISERROR(VLOOKUP($G71,SantoYusuf!$L$13:$AK$14,Z$4,FALSE))=TRUE,"",
              VLOOKUP($G71,SantoYusuf!$L$13:$AK$14,Z$4,FALSE)))</t>
  </si>
  <si>
    <t>=IF(ISNUMBER($L$6)=FALSE,"",
        IF(ISERROR(VLOOKUP($G71,SantoYusuf!$L$13:$AK$14,AA$4,FALSE))=TRUE,"",
              VLOOKUP($G71,SantoYusuf!$L$13:$AK$14,AA$4,FALSE)))</t>
  </si>
  <si>
    <t>=IF(ISNUMBER($L$6)=FALSE,"",
        IF(ISERROR(VLOOKUP($G71,SantoYusuf!$L$13:$AK$14,AB$4,FALSE))=TRUE,"",
              VLOOKUP($G71,SantoYusuf!$L$13:$AK$14,AB$4,FALSE)))</t>
  </si>
  <si>
    <t>=IF(ISNUMBER($L$6)=FALSE,"",
        IF(ISERROR(VLOOKUP($G71,SantoYusuf!$L$13:$AK$14,AC$4,FALSE))=TRUE,"",
              VLOOKUP($G71,SantoYusuf!$L$13:$AK$14,AC$4,FALSE)))</t>
  </si>
  <si>
    <t>=IF(ISNUMBER($L$6)=FALSE,"",
        IF(ISERROR(VLOOKUP($G71,SantoYusuf!$L$13:$AK$14,AD$4,FALSE))=TRUE,"",
              VLOOKUP($G71,SantoYusuf!$L$13:$AK$14,AD$4,FALSE)))</t>
  </si>
  <si>
    <t>=IF(ISNUMBER($L$6)=FALSE,"",
        IF(ISERROR(VLOOKUP($G71,SantoYusuf!$L$13:$AK$14,AE$4,FALSE))=TRUE,"",
              VLOOKUP($G71,SantoYusuf!$L$13:$AK$14,AE$4,FALSE)))</t>
  </si>
  <si>
    <t>=IF(ISNUMBER($L$6)=FALSE,"",
        IF(ISERROR(VLOOKUP($G71,SantoYusuf!$L$13:$AK$14,AF$4,FALSE))=TRUE,"",
              VLOOKUP($G71,SantoYusuf!$L$13:$AK$14,AF$4,FALSE)))</t>
  </si>
  <si>
    <t>=IF(ISNUMBER($L$6)=FALSE,"",
IF($C72=0,"",VLOOKUP($E72,SantoYusuf!$H$13:$L$14,4,FALSE)))</t>
  </si>
  <si>
    <t>=IF(ISNUMBER($L$6)=FALSE,"",
IF($C72=0,"",VLOOKUP($E72,SantoYusuf!$H$13:$L$14,5,FALSE)))</t>
  </si>
  <si>
    <t>=IF(ISNUMBER($L$6)=FALSE,"",
        IF(ISERROR(VLOOKUP($G72,SantoYusuf!$L$13:$AK$14,I$4,FALSE))=TRUE,"",
              VLOOKUP($G72,SantoYusuf!$L$13:$AK$14,I$4,FALSE)))</t>
  </si>
  <si>
    <t>=IF(ISNUMBER($L$6)=FALSE,"",
        IF(ISERROR(VLOOKUP($G72,SantoYusuf!$L$13:$AK$14,J$4,FALSE))=TRUE,"",
              VLOOKUP($G72,SantoYusuf!$L$13:$AK$14,J$4,FALSE)))</t>
  </si>
  <si>
    <t>=IF(ISNUMBER($L$6)=FALSE,"",
        IF(ISERROR(VLOOKUP($G72,SantoYusuf!$L$13:$AK$14,K$4,FALSE))=TRUE,"",
              VLOOKUP($G72,SantoYusuf!$L$13:$AK$14,K$4,FALSE)))</t>
  </si>
  <si>
    <t>=IF(ISNUMBER($L$6)=FALSE,"",
        IF(ISERROR(VLOOKUP($G72,SantoYusuf!$L$13:$AK$14,L$4,FALSE))=TRUE,"",
              VLOOKUP($G72,SantoYusuf!$L$13:$AK$14,L$4,FALSE)))</t>
  </si>
  <si>
    <t>=IF(ISNUMBER($L$6)=FALSE,"",
        IF(ISERROR(VLOOKUP($G72,SantoYusuf!$L$13:$AK$14,M$4,FALSE))=TRUE,"",
              VLOOKUP($G72,SantoYusuf!$L$13:$AK$14,M$4,FALSE)))</t>
  </si>
  <si>
    <t>=IF(ISNUMBER($L$6)=FALSE,"",
        IF(ISERROR(VLOOKUP($G72,SantoYusuf!$L$13:$AK$14,N$4,FALSE))=TRUE,"",
              VLOOKUP($G72,SantoYusuf!$L$13:$AK$14,N$4,FALSE)))</t>
  </si>
  <si>
    <t>=IF(ISNUMBER($L$6)=FALSE,"",
        IF(ISERROR(VLOOKUP($G72,SantoYusuf!$L$13:$AK$14,O$4,FALSE))=TRUE,"",
              VLOOKUP($G72,SantoYusuf!$L$13:$AK$14,O$4,FALSE)))</t>
  </si>
  <si>
    <t>=IF(ISNUMBER($L$6)=FALSE,"",
        IF(ISERROR(VLOOKUP($G72,SantoYusuf!$L$13:$AK$14,P$4,FALSE))=TRUE,"",
              VLOOKUP($G72,SantoYusuf!$L$13:$AK$14,P$4,FALSE)))</t>
  </si>
  <si>
    <t>=IF(ISNUMBER($L$6)=FALSE,"",
        IF(ISERROR(VLOOKUP($G72,SantoYusuf!$L$13:$AK$14,Q$4,FALSE))=TRUE,"",
              VLOOKUP($G72,SantoYusuf!$L$13:$AK$14,Q$4,FALSE)))</t>
  </si>
  <si>
    <t>=IF(ISNUMBER($L$6)=FALSE,"",
        IF(ISERROR(VLOOKUP($G72,SantoYusuf!$L$13:$AK$14,R$4,FALSE))=TRUE,"",
              VLOOKUP($G72,SantoYusuf!$L$13:$AK$14,R$4,FALSE)))</t>
  </si>
  <si>
    <t>=IF(ISNUMBER($L$6)=FALSE,"",
        IF(ISERROR(VLOOKUP($G72,SantoYusuf!$L$13:$AK$14,S$4,FALSE))=TRUE,"",
              VLOOKUP($G72,SantoYusuf!$L$13:$AK$14,S$4,FALSE)))</t>
  </si>
  <si>
    <t>=IF(ISNUMBER($L$6)=FALSE,"",
        IF(ISERROR(VLOOKUP($G72,SantoYusuf!$L$13:$AK$14,T$4,FALSE))=TRUE,"",
              VLOOKUP($G72,SantoYusuf!$L$13:$AK$14,T$4,FALSE)))</t>
  </si>
  <si>
    <t>=IF(ISNUMBER($L$6)=FALSE,"",
        IF(ISERROR(VLOOKUP($G72,SantoYusuf!$L$13:$AK$14,U$4,FALSE))=TRUE,"",
              VLOOKUP($G72,SantoYusuf!$L$13:$AK$14,U$4,FALSE)))</t>
  </si>
  <si>
    <t>=IF(ISNUMBER($L$6)=FALSE,"",
        IF(ISERROR(VLOOKUP($G72,SantoYusuf!$L$13:$AK$14,V$4,FALSE))=TRUE,"",
              VLOOKUP($G72,SantoYusuf!$L$13:$AK$14,V$4,FALSE)))</t>
  </si>
  <si>
    <t>=IF(ISNUMBER($L$6)=FALSE,"",
        IF(ISERROR(VLOOKUP($G72,SantoYusuf!$L$13:$AK$14,W$4,FALSE))=TRUE,"",
              VLOOKUP($G72,SantoYusuf!$L$13:$AK$14,W$4,FALSE)))</t>
  </si>
  <si>
    <t>=IF(ISNUMBER($L$6)=FALSE,"",
        IF(ISERROR(VLOOKUP($G72,SantoYusuf!$L$13:$AK$14,X$4,FALSE))=TRUE,"",
              VLOOKUP($G72,SantoYusuf!$L$13:$AK$14,X$4,FALSE)))</t>
  </si>
  <si>
    <t>=IF(ISNUMBER($L$6)=FALSE,"",
        IF(ISERROR(VLOOKUP($G72,SantoYusuf!$L$13:$AK$14,Y$4,FALSE))=TRUE,"",
              VLOOKUP($G72,SantoYusuf!$L$13:$AK$14,Y$4,FALSE)))</t>
  </si>
  <si>
    <t>=IF(ISNUMBER($L$6)=FALSE,"",
        IF(ISERROR(VLOOKUP($G72,SantoYusuf!$L$13:$AK$14,Z$4,FALSE))=TRUE,"",
              VLOOKUP($G72,SantoYusuf!$L$13:$AK$14,Z$4,FALSE)))</t>
  </si>
  <si>
    <t>=IF(ISNUMBER($L$6)=FALSE,"",
        IF(ISERROR(VLOOKUP($G72,SantoYusuf!$L$13:$AK$14,AA$4,FALSE))=TRUE,"",
              VLOOKUP($G72,SantoYusuf!$L$13:$AK$14,AA$4,FALSE)))</t>
  </si>
  <si>
    <t>=IF(ISNUMBER($L$6)=FALSE,"",
        IF(ISERROR(VLOOKUP($G72,SantoYusuf!$L$13:$AK$14,AB$4,FALSE))=TRUE,"",
              VLOOKUP($G72,SantoYusuf!$L$13:$AK$14,AB$4,FALSE)))</t>
  </si>
  <si>
    <t>=IF(ISNUMBER($L$6)=FALSE,"",
        IF(ISERROR(VLOOKUP($G72,SantoYusuf!$L$13:$AK$14,AC$4,FALSE))=TRUE,"",
              VLOOKUP($G72,SantoYusuf!$L$13:$AK$14,AC$4,FALSE)))</t>
  </si>
  <si>
    <t>=IF(ISNUMBER($L$6)=FALSE,"",
        IF(ISERROR(VLOOKUP($G72,SantoYusuf!$L$13:$AK$14,AD$4,FALSE))=TRUE,"",
              VLOOKUP($G72,SantoYusuf!$L$13:$AK$14,AD$4,FALSE)))</t>
  </si>
  <si>
    <t>=IF(ISNUMBER($L$6)=FALSE,"",
        IF(ISERROR(VLOOKUP($G72,SantoYusuf!$L$13:$AK$14,AE$4,FALSE))=TRUE,"",
              VLOOKUP($G72,SantoYusuf!$L$13:$AK$14,AE$4,FALSE)))</t>
  </si>
  <si>
    <t>=IF(ISNUMBER($L$6)=FALSE,"",
        IF(ISERROR(VLOOKUP($G72,SantoYusuf!$L$13:$AK$14,AF$4,FALSE))=TRUE,"",
              VLOOKUP($G72,SantoYusuf!$L$13:$AK$14,AF$4,FALSE)))</t>
  </si>
  <si>
    <t>=IF(ISNUMBER($L$6)=FALSE,"",
IF($C73=0,"",VLOOKUP($E73,SantoYusuf!$H$13:$L$14,4,FALSE)))</t>
  </si>
  <si>
    <t>=IF(ISNUMBER($L$6)=FALSE,"",
IF($C73=0,"",VLOOKUP($E73,SantoYusuf!$H$13:$L$14,5,FALSE)))</t>
  </si>
  <si>
    <t>=IF(ISNUMBER($L$6)=FALSE,"",
        IF(ISERROR(VLOOKUP($G73,SantoYusuf!$L$13:$AK$14,I$4,FALSE))=TRUE,"",
              VLOOKUP($G73,SantoYusuf!$L$13:$AK$14,I$4,FALSE)))</t>
  </si>
  <si>
    <t>=IF(ISNUMBER($L$6)=FALSE,"",
        IF(ISERROR(VLOOKUP($G73,SantoYusuf!$L$13:$AK$14,J$4,FALSE))=TRUE,"",
              VLOOKUP($G73,SantoYusuf!$L$13:$AK$14,J$4,FALSE)))</t>
  </si>
  <si>
    <t>=IF(ISNUMBER($L$6)=FALSE,"",
        IF(ISERROR(VLOOKUP($G73,SantoYusuf!$L$13:$AK$14,K$4,FALSE))=TRUE,"",
              VLOOKUP($G73,SantoYusuf!$L$13:$AK$14,K$4,FALSE)))</t>
  </si>
  <si>
    <t>=IF(ISNUMBER($L$6)=FALSE,"",
        IF(ISERROR(VLOOKUP($G73,SantoYusuf!$L$13:$AK$14,L$4,FALSE))=TRUE,"",
              VLOOKUP($G73,SantoYusuf!$L$13:$AK$14,L$4,FALSE)))</t>
  </si>
  <si>
    <t>=IF(ISNUMBER($L$6)=FALSE,"",
        IF(ISERROR(VLOOKUP($G73,SantoYusuf!$L$13:$AK$14,M$4,FALSE))=TRUE,"",
              VLOOKUP($G73,SantoYusuf!$L$13:$AK$14,M$4,FALSE)))</t>
  </si>
  <si>
    <t>=IF(ISNUMBER($L$6)=FALSE,"",
        IF(ISERROR(VLOOKUP($G73,SantoYusuf!$L$13:$AK$14,N$4,FALSE))=TRUE,"",
              VLOOKUP($G73,SantoYusuf!$L$13:$AK$14,N$4,FALSE)))</t>
  </si>
  <si>
    <t>=IF(ISNUMBER($L$6)=FALSE,"",
        IF(ISERROR(VLOOKUP($G73,SantoYusuf!$L$13:$AK$14,O$4,FALSE))=TRUE,"",
              VLOOKUP($G73,SantoYusuf!$L$13:$AK$14,O$4,FALSE)))</t>
  </si>
  <si>
    <t>=IF(ISNUMBER($L$6)=FALSE,"",
        IF(ISERROR(VLOOKUP($G73,SantoYusuf!$L$13:$AK$14,P$4,FALSE))=TRUE,"",
              VLOOKUP($G73,SantoYusuf!$L$13:$AK$14,P$4,FALSE)))</t>
  </si>
  <si>
    <t>=IF(ISNUMBER($L$6)=FALSE,"",
        IF(ISERROR(VLOOKUP($G73,SantoYusuf!$L$13:$AK$14,Q$4,FALSE))=TRUE,"",
              VLOOKUP($G73,SantoYusuf!$L$13:$AK$14,Q$4,FALSE)))</t>
  </si>
  <si>
    <t>=IF(ISNUMBER($L$6)=FALSE,"",
        IF(ISERROR(VLOOKUP($G73,SantoYusuf!$L$13:$AK$14,R$4,FALSE))=TRUE,"",
              VLOOKUP($G73,SantoYusuf!$L$13:$AK$14,R$4,FALSE)))</t>
  </si>
  <si>
    <t>=IF(ISNUMBER($L$6)=FALSE,"",
        IF(ISERROR(VLOOKUP($G73,SantoYusuf!$L$13:$AK$14,S$4,FALSE))=TRUE,"",
              VLOOKUP($G73,SantoYusuf!$L$13:$AK$14,S$4,FALSE)))</t>
  </si>
  <si>
    <t>=IF(ISNUMBER($L$6)=FALSE,"",
        IF(ISERROR(VLOOKUP($G73,SantoYusuf!$L$13:$AK$14,T$4,FALSE))=TRUE,"",
              VLOOKUP($G73,SantoYusuf!$L$13:$AK$14,T$4,FALSE)))</t>
  </si>
  <si>
    <t>=IF(ISNUMBER($L$6)=FALSE,"",
        IF(ISERROR(VLOOKUP($G73,SantoYusuf!$L$13:$AK$14,U$4,FALSE))=TRUE,"",
              VLOOKUP($G73,SantoYusuf!$L$13:$AK$14,U$4,FALSE)))</t>
  </si>
  <si>
    <t>=IF(ISNUMBER($L$6)=FALSE,"",
        IF(ISERROR(VLOOKUP($G73,SantoYusuf!$L$13:$AK$14,V$4,FALSE))=TRUE,"",
              VLOOKUP($G73,SantoYusuf!$L$13:$AK$14,V$4,FALSE)))</t>
  </si>
  <si>
    <t>=IF(ISNUMBER($L$6)=FALSE,"",
        IF(ISERROR(VLOOKUP($G73,SantoYusuf!$L$13:$AK$14,W$4,FALSE))=TRUE,"",
              VLOOKUP($G73,SantoYusuf!$L$13:$AK$14,W$4,FALSE)))</t>
  </si>
  <si>
    <t>=IF(ISNUMBER($L$6)=FALSE,"",
        IF(ISERROR(VLOOKUP($G73,SantoYusuf!$L$13:$AK$14,X$4,FALSE))=TRUE,"",
              VLOOKUP($G73,SantoYusuf!$L$13:$AK$14,X$4,FALSE)))</t>
  </si>
  <si>
    <t>=IF(ISNUMBER($L$6)=FALSE,"",
        IF(ISERROR(VLOOKUP($G73,SantoYusuf!$L$13:$AK$14,Y$4,FALSE))=TRUE,"",
              VLOOKUP($G73,SantoYusuf!$L$13:$AK$14,Y$4,FALSE)))</t>
  </si>
  <si>
    <t>=IF(ISNUMBER($L$6)=FALSE,"",
        IF(ISERROR(VLOOKUP($G73,SantoYusuf!$L$13:$AK$14,Z$4,FALSE))=TRUE,"",
              VLOOKUP($G73,SantoYusuf!$L$13:$AK$14,Z$4,FALSE)))</t>
  </si>
  <si>
    <t>=IF(ISNUMBER($L$6)=FALSE,"",
        IF(ISERROR(VLOOKUP($G73,SantoYusuf!$L$13:$AK$14,AA$4,FALSE))=TRUE,"",
              VLOOKUP($G73,SantoYusuf!$L$13:$AK$14,AA$4,FALSE)))</t>
  </si>
  <si>
    <t>=IF(ISNUMBER($L$6)=FALSE,"",
        IF(ISERROR(VLOOKUP($G73,SantoYusuf!$L$13:$AK$14,AB$4,FALSE))=TRUE,"",
              VLOOKUP($G73,SantoYusuf!$L$13:$AK$14,AB$4,FALSE)))</t>
  </si>
  <si>
    <t>=IF(ISNUMBER($L$6)=FALSE,"",
        IF(ISERROR(VLOOKUP($G73,SantoYusuf!$L$13:$AK$14,AC$4,FALSE))=TRUE,"",
              VLOOKUP($G73,SantoYusuf!$L$13:$AK$14,AC$4,FALSE)))</t>
  </si>
  <si>
    <t>=IF(ISNUMBER($L$6)=FALSE,"",
        IF(ISERROR(VLOOKUP($G73,SantoYusuf!$L$13:$AK$14,AD$4,FALSE))=TRUE,"",
              VLOOKUP($G73,SantoYusuf!$L$13:$AK$14,AD$4,FALSE)))</t>
  </si>
  <si>
    <t>=IF(ISNUMBER($L$6)=FALSE,"",
        IF(ISERROR(VLOOKUP($G73,SantoYusuf!$L$13:$AK$14,AE$4,FALSE))=TRUE,"",
              VLOOKUP($G73,SantoYusuf!$L$13:$AK$14,AE$4,FALSE)))</t>
  </si>
  <si>
    <t>=IF(ISNUMBER($L$6)=FALSE,"",
        IF(ISERROR(VLOOKUP($G73,SantoYusuf!$L$13:$AK$14,AF$4,FALSE))=TRUE,"",
              VLOOKUP($G73,SantoYusuf!$L$13:$AK$14,AF$4,FALSE)))</t>
  </si>
  <si>
    <t>=IF(ISNUMBER($L$6)=FALSE,"",
IF($C74=0,"",VLOOKUP($E74,SantoYusuf!$H$13:$L$14,4,FALSE)))</t>
  </si>
  <si>
    <t>=IF(ISNUMBER($L$6)=FALSE,"",
IF($C74=0,"",VLOOKUP($E74,SantoYusuf!$H$13:$L$14,5,FALSE)))</t>
  </si>
  <si>
    <t>=IF(ISNUMBER($L$6)=FALSE,"",
        IF(ISERROR(VLOOKUP($G74,SantoYusuf!$L$13:$AK$14,I$4,FALSE))=TRUE,"",
              VLOOKUP($G74,SantoYusuf!$L$13:$AK$14,I$4,FALSE)))</t>
  </si>
  <si>
    <t>=IF(ISNUMBER($L$6)=FALSE,"",
        IF(ISERROR(VLOOKUP($G74,SantoYusuf!$L$13:$AK$14,J$4,FALSE))=TRUE,"",
              VLOOKUP($G74,SantoYusuf!$L$13:$AK$14,J$4,FALSE)))</t>
  </si>
  <si>
    <t>=IF(ISNUMBER($L$6)=FALSE,"",
        IF(ISERROR(VLOOKUP($G74,SantoYusuf!$L$13:$AK$14,K$4,FALSE))=TRUE,"",
              VLOOKUP($G74,SantoYusuf!$L$13:$AK$14,K$4,FALSE)))</t>
  </si>
  <si>
    <t>=IF(ISNUMBER($L$6)=FALSE,"",
        IF(ISERROR(VLOOKUP($G74,SantoYusuf!$L$13:$AK$14,L$4,FALSE))=TRUE,"",
              VLOOKUP($G74,SantoYusuf!$L$13:$AK$14,L$4,FALSE)))</t>
  </si>
  <si>
    <t>=IF(ISNUMBER($L$6)=FALSE,"",
        IF(ISERROR(VLOOKUP($G74,SantoYusuf!$L$13:$AK$14,M$4,FALSE))=TRUE,"",
              VLOOKUP($G74,SantoYusuf!$L$13:$AK$14,M$4,FALSE)))</t>
  </si>
  <si>
    <t>=IF(ISNUMBER($L$6)=FALSE,"",
        IF(ISERROR(VLOOKUP($G74,SantoYusuf!$L$13:$AK$14,N$4,FALSE))=TRUE,"",
              VLOOKUP($G74,SantoYusuf!$L$13:$AK$14,N$4,FALSE)))</t>
  </si>
  <si>
    <t>=IF(ISNUMBER($L$6)=FALSE,"",
        IF(ISERROR(VLOOKUP($G74,SantoYusuf!$L$13:$AK$14,O$4,FALSE))=TRUE,"",
              VLOOKUP($G74,SantoYusuf!$L$13:$AK$14,O$4,FALSE)))</t>
  </si>
  <si>
    <t>=IF(ISNUMBER($L$6)=FALSE,"",
        IF(ISERROR(VLOOKUP($G74,SantoYusuf!$L$13:$AK$14,P$4,FALSE))=TRUE,"",
              VLOOKUP($G74,SantoYusuf!$L$13:$AK$14,P$4,FALSE)))</t>
  </si>
  <si>
    <t>=IF(ISNUMBER($L$6)=FALSE,"",
        IF(ISERROR(VLOOKUP($G74,SantoYusuf!$L$13:$AK$14,Q$4,FALSE))=TRUE,"",
              VLOOKUP($G74,SantoYusuf!$L$13:$AK$14,Q$4,FALSE)))</t>
  </si>
  <si>
    <t>=IF(ISNUMBER($L$6)=FALSE,"",
        IF(ISERROR(VLOOKUP($G74,SantoYusuf!$L$13:$AK$14,R$4,FALSE))=TRUE,"",
              VLOOKUP($G74,SantoYusuf!$L$13:$AK$14,R$4,FALSE)))</t>
  </si>
  <si>
    <t>=IF(ISNUMBER($L$6)=FALSE,"",
        IF(ISERROR(VLOOKUP($G74,SantoYusuf!$L$13:$AK$14,S$4,FALSE))=TRUE,"",
              VLOOKUP($G74,SantoYusuf!$L$13:$AK$14,S$4,FALSE)))</t>
  </si>
  <si>
    <t>=IF(ISNUMBER($L$6)=FALSE,"",
        IF(ISERROR(VLOOKUP($G74,SantoYusuf!$L$13:$AK$14,T$4,FALSE))=TRUE,"",
              VLOOKUP($G74,SantoYusuf!$L$13:$AK$14,T$4,FALSE)))</t>
  </si>
  <si>
    <t>=IF(ISNUMBER($L$6)=FALSE,"",
        IF(ISERROR(VLOOKUP($G74,SantoYusuf!$L$13:$AK$14,U$4,FALSE))=TRUE,"",
              VLOOKUP($G74,SantoYusuf!$L$13:$AK$14,U$4,FALSE)))</t>
  </si>
  <si>
    <t>=IF(ISNUMBER($L$6)=FALSE,"",
        IF(ISERROR(VLOOKUP($G74,SantoYusuf!$L$13:$AK$14,V$4,FALSE))=TRUE,"",
              VLOOKUP($G74,SantoYusuf!$L$13:$AK$14,V$4,FALSE)))</t>
  </si>
  <si>
    <t>=IF(ISNUMBER($L$6)=FALSE,"",
        IF(ISERROR(VLOOKUP($G74,SantoYusuf!$L$13:$AK$14,W$4,FALSE))=TRUE,"",
              VLOOKUP($G74,SantoYusuf!$L$13:$AK$14,W$4,FALSE)))</t>
  </si>
  <si>
    <t>=IF(ISNUMBER($L$6)=FALSE,"",
        IF(ISERROR(VLOOKUP($G74,SantoYusuf!$L$13:$AK$14,X$4,FALSE))=TRUE,"",
              VLOOKUP($G74,SantoYusuf!$L$13:$AK$14,X$4,FALSE)))</t>
  </si>
  <si>
    <t>=IF(ISNUMBER($L$6)=FALSE,"",
        IF(ISERROR(VLOOKUP($G74,SantoYusuf!$L$13:$AK$14,Y$4,FALSE))=TRUE,"",
              VLOOKUP($G74,SantoYusuf!$L$13:$AK$14,Y$4,FALSE)))</t>
  </si>
  <si>
    <t>=IF(ISNUMBER($L$6)=FALSE,"",
        IF(ISERROR(VLOOKUP($G74,SantoYusuf!$L$13:$AK$14,Z$4,FALSE))=TRUE,"",
              VLOOKUP($G74,SantoYusuf!$L$13:$AK$14,Z$4,FALSE)))</t>
  </si>
  <si>
    <t>=IF(ISNUMBER($L$6)=FALSE,"",
        IF(ISERROR(VLOOKUP($G74,SantoYusuf!$L$13:$AK$14,AA$4,FALSE))=TRUE,"",
              VLOOKUP($G74,SantoYusuf!$L$13:$AK$14,AA$4,FALSE)))</t>
  </si>
  <si>
    <t>=IF(ISNUMBER($L$6)=FALSE,"",
        IF(ISERROR(VLOOKUP($G74,SantoYusuf!$L$13:$AK$14,AB$4,FALSE))=TRUE,"",
              VLOOKUP($G74,SantoYusuf!$L$13:$AK$14,AB$4,FALSE)))</t>
  </si>
  <si>
    <t>=IF(ISNUMBER($L$6)=FALSE,"",
        IF(ISERROR(VLOOKUP($G74,SantoYusuf!$L$13:$AK$14,AC$4,FALSE))=TRUE,"",
              VLOOKUP($G74,SantoYusuf!$L$13:$AK$14,AC$4,FALSE)))</t>
  </si>
  <si>
    <t>=IF(ISNUMBER($L$6)=FALSE,"",
        IF(ISERROR(VLOOKUP($G74,SantoYusuf!$L$13:$AK$14,AD$4,FALSE))=TRUE,"",
              VLOOKUP($G74,SantoYusuf!$L$13:$AK$14,AD$4,FALSE)))</t>
  </si>
  <si>
    <t>=IF(ISNUMBER($L$6)=FALSE,"",
        IF(ISERROR(VLOOKUP($G74,SantoYusuf!$L$13:$AK$14,AE$4,FALSE))=TRUE,"",
              VLOOKUP($G74,SantoYusuf!$L$13:$AK$14,AE$4,FALSE)))</t>
  </si>
  <si>
    <t>=IF(ISNUMBER($L$6)=FALSE,"",
        IF(ISERROR(VLOOKUP($G74,SantoYusuf!$L$13:$AK$14,AF$4,FALSE))=TRUE,"",
              VLOOKUP($G74,SantoYusuf!$L$13:$AK$14,AF$4,FALSE)))</t>
  </si>
  <si>
    <t>=IF(ISNUMBER($L$6)=FALSE,"",
IF($C75=0,"",VLOOKUP($E75,SantoYusuf!$H$13:$L$14,4,FALSE)))</t>
  </si>
  <si>
    <t>=IF(ISNUMBER($L$6)=FALSE,"",
IF($C75=0,"",VLOOKUP($E75,SantoYusuf!$H$13:$L$14,5,FALSE)))</t>
  </si>
  <si>
    <t>=IF(ISNUMBER($L$6)=FALSE,"",
        IF(ISERROR(VLOOKUP($G75,SantoYusuf!$L$13:$AK$14,I$4,FALSE))=TRUE,"",
              VLOOKUP($G75,SantoYusuf!$L$13:$AK$14,I$4,FALSE)))</t>
  </si>
  <si>
    <t>=IF(ISNUMBER($L$6)=FALSE,"",
        IF(ISERROR(VLOOKUP($G75,SantoYusuf!$L$13:$AK$14,J$4,FALSE))=TRUE,"",
              VLOOKUP($G75,SantoYusuf!$L$13:$AK$14,J$4,FALSE)))</t>
  </si>
  <si>
    <t>=IF(ISNUMBER($L$6)=FALSE,"",
        IF(ISERROR(VLOOKUP($G75,SantoYusuf!$L$13:$AK$14,K$4,FALSE))=TRUE,"",
              VLOOKUP($G75,SantoYusuf!$L$13:$AK$14,K$4,FALSE)))</t>
  </si>
  <si>
    <t>=IF(ISNUMBER($L$6)=FALSE,"",
        IF(ISERROR(VLOOKUP($G75,SantoYusuf!$L$13:$AK$14,L$4,FALSE))=TRUE,"",
              VLOOKUP($G75,SantoYusuf!$L$13:$AK$14,L$4,FALSE)))</t>
  </si>
  <si>
    <t>=IF(ISNUMBER($L$6)=FALSE,"",
        IF(ISERROR(VLOOKUP($G75,SantoYusuf!$L$13:$AK$14,M$4,FALSE))=TRUE,"",
              VLOOKUP($G75,SantoYusuf!$L$13:$AK$14,M$4,FALSE)))</t>
  </si>
  <si>
    <t>=IF(ISNUMBER($L$6)=FALSE,"",
        IF(ISERROR(VLOOKUP($G75,SantoYusuf!$L$13:$AK$14,N$4,FALSE))=TRUE,"",
              VLOOKUP($G75,SantoYusuf!$L$13:$AK$14,N$4,FALSE)))</t>
  </si>
  <si>
    <t>=IF(ISNUMBER($L$6)=FALSE,"",
        IF(ISERROR(VLOOKUP($G75,SantoYusuf!$L$13:$AK$14,O$4,FALSE))=TRUE,"",
              VLOOKUP($G75,SantoYusuf!$L$13:$AK$14,O$4,FALSE)))</t>
  </si>
  <si>
    <t>=IF(ISNUMBER($L$6)=FALSE,"",
        IF(ISERROR(VLOOKUP($G75,SantoYusuf!$L$13:$AK$14,P$4,FALSE))=TRUE,"",
              VLOOKUP($G75,SantoYusuf!$L$13:$AK$14,P$4,FALSE)))</t>
  </si>
  <si>
    <t>=IF(ISNUMBER($L$6)=FALSE,"",
        IF(ISERROR(VLOOKUP($G75,SantoYusuf!$L$13:$AK$14,Q$4,FALSE))=TRUE,"",
              VLOOKUP($G75,SantoYusuf!$L$13:$AK$14,Q$4,FALSE)))</t>
  </si>
  <si>
    <t>=IF(ISNUMBER($L$6)=FALSE,"",
        IF(ISERROR(VLOOKUP($G75,SantoYusuf!$L$13:$AK$14,R$4,FALSE))=TRUE,"",
              VLOOKUP($G75,SantoYusuf!$L$13:$AK$14,R$4,FALSE)))</t>
  </si>
  <si>
    <t>=IF(ISNUMBER($L$6)=FALSE,"",
        IF(ISERROR(VLOOKUP($G75,SantoYusuf!$L$13:$AK$14,S$4,FALSE))=TRUE,"",
              VLOOKUP($G75,SantoYusuf!$L$13:$AK$14,S$4,FALSE)))</t>
  </si>
  <si>
    <t>=IF(ISNUMBER($L$6)=FALSE,"",
        IF(ISERROR(VLOOKUP($G75,SantoYusuf!$L$13:$AK$14,T$4,FALSE))=TRUE,"",
              VLOOKUP($G75,SantoYusuf!$L$13:$AK$14,T$4,FALSE)))</t>
  </si>
  <si>
    <t>=IF(ISNUMBER($L$6)=FALSE,"",
        IF(ISERROR(VLOOKUP($G75,SantoYusuf!$L$13:$AK$14,U$4,FALSE))=TRUE,"",
              VLOOKUP($G75,SantoYusuf!$L$13:$AK$14,U$4,FALSE)))</t>
  </si>
  <si>
    <t>=IF(ISNUMBER($L$6)=FALSE,"",
        IF(ISERROR(VLOOKUP($G75,SantoYusuf!$L$13:$AK$14,V$4,FALSE))=TRUE,"",
              VLOOKUP($G75,SantoYusuf!$L$13:$AK$14,V$4,FALSE)))</t>
  </si>
  <si>
    <t>=IF(ISNUMBER($L$6)=FALSE,"",
        IF(ISERROR(VLOOKUP($G75,SantoYusuf!$L$13:$AK$14,W$4,FALSE))=TRUE,"",
              VLOOKUP($G75,SantoYusuf!$L$13:$AK$14,W$4,FALSE)))</t>
  </si>
  <si>
    <t>=IF(ISNUMBER($L$6)=FALSE,"",
        IF(ISERROR(VLOOKUP($G75,SantoYusuf!$L$13:$AK$14,X$4,FALSE))=TRUE,"",
              VLOOKUP($G75,SantoYusuf!$L$13:$AK$14,X$4,FALSE)))</t>
  </si>
  <si>
    <t>=IF(ISNUMBER($L$6)=FALSE,"",
        IF(ISERROR(VLOOKUP($G75,SantoYusuf!$L$13:$AK$14,Y$4,FALSE))=TRUE,"",
              VLOOKUP($G75,SantoYusuf!$L$13:$AK$14,Y$4,FALSE)))</t>
  </si>
  <si>
    <t>=IF(ISNUMBER($L$6)=FALSE,"",
        IF(ISERROR(VLOOKUP($G75,SantoYusuf!$L$13:$AK$14,Z$4,FALSE))=TRUE,"",
              VLOOKUP($G75,SantoYusuf!$L$13:$AK$14,Z$4,FALSE)))</t>
  </si>
  <si>
    <t>=IF(ISNUMBER($L$6)=FALSE,"",
        IF(ISERROR(VLOOKUP($G75,SantoYusuf!$L$13:$AK$14,AA$4,FALSE))=TRUE,"",
              VLOOKUP($G75,SantoYusuf!$L$13:$AK$14,AA$4,FALSE)))</t>
  </si>
  <si>
    <t>=IF(ISNUMBER($L$6)=FALSE,"",
        IF(ISERROR(VLOOKUP($G75,SantoYusuf!$L$13:$AK$14,AB$4,FALSE))=TRUE,"",
              VLOOKUP($G75,SantoYusuf!$L$13:$AK$14,AB$4,FALSE)))</t>
  </si>
  <si>
    <t>=IF(ISNUMBER($L$6)=FALSE,"",
        IF(ISERROR(VLOOKUP($G75,SantoYusuf!$L$13:$AK$14,AC$4,FALSE))=TRUE,"",
              VLOOKUP($G75,SantoYusuf!$L$13:$AK$14,AC$4,FALSE)))</t>
  </si>
  <si>
    <t>=IF(ISNUMBER($L$6)=FALSE,"",
        IF(ISERROR(VLOOKUP($G75,SantoYusuf!$L$13:$AK$14,AD$4,FALSE))=TRUE,"",
              VLOOKUP($G75,SantoYusuf!$L$13:$AK$14,AD$4,FALSE)))</t>
  </si>
  <si>
    <t>=IF(ISNUMBER($L$6)=FALSE,"",
        IF(ISERROR(VLOOKUP($G75,SantoYusuf!$L$13:$AK$14,AE$4,FALSE))=TRUE,"",
              VLOOKUP($G75,SantoYusuf!$L$13:$AK$14,AE$4,FALSE)))</t>
  </si>
  <si>
    <t>=IF(ISNUMBER($L$6)=FALSE,"",
        IF(ISERROR(VLOOKUP($G75,SantoYusuf!$L$13:$AK$14,AF$4,FALSE))=TRUE,"",
              VLOOKUP($G75,SantoYusuf!$L$13:$AK$14,AF$4,FALSE)))</t>
  </si>
  <si>
    <t>=IF(ISNUMBER($L$6)=FALSE,"",
IF($C76=0,"",VLOOKUP($E76,SantoYusuf!$H$13:$L$14,4,FALSE)))</t>
  </si>
  <si>
    <t>=IF(ISNUMBER($L$6)=FALSE,"",
IF($C76=0,"",VLOOKUP($E76,SantoYusuf!$H$13:$L$14,5,FALSE)))</t>
  </si>
  <si>
    <t>=IF(ISNUMBER($L$6)=FALSE,"",
        IF(ISERROR(VLOOKUP($G76,SantoYusuf!$L$13:$AK$14,I$4,FALSE))=TRUE,"",
              VLOOKUP($G76,SantoYusuf!$L$13:$AK$14,I$4,FALSE)))</t>
  </si>
  <si>
    <t>=IF(ISNUMBER($L$6)=FALSE,"",
        IF(ISERROR(VLOOKUP($G76,SantoYusuf!$L$13:$AK$14,J$4,FALSE))=TRUE,"",
              VLOOKUP($G76,SantoYusuf!$L$13:$AK$14,J$4,FALSE)))</t>
  </si>
  <si>
    <t>=IF(ISNUMBER($L$6)=FALSE,"",
        IF(ISERROR(VLOOKUP($G76,SantoYusuf!$L$13:$AK$14,K$4,FALSE))=TRUE,"",
              VLOOKUP($G76,SantoYusuf!$L$13:$AK$14,K$4,FALSE)))</t>
  </si>
  <si>
    <t>=IF(ISNUMBER($L$6)=FALSE,"",
        IF(ISERROR(VLOOKUP($G76,SantoYusuf!$L$13:$AK$14,L$4,FALSE))=TRUE,"",
              VLOOKUP($G76,SantoYusuf!$L$13:$AK$14,L$4,FALSE)))</t>
  </si>
  <si>
    <t>=IF(ISNUMBER($L$6)=FALSE,"",
        IF(ISERROR(VLOOKUP($G76,SantoYusuf!$L$13:$AK$14,M$4,FALSE))=TRUE,"",
              VLOOKUP($G76,SantoYusuf!$L$13:$AK$14,M$4,FALSE)))</t>
  </si>
  <si>
    <t>=IF(ISNUMBER($L$6)=FALSE,"",
        IF(ISERROR(VLOOKUP($G76,SantoYusuf!$L$13:$AK$14,N$4,FALSE))=TRUE,"",
              VLOOKUP($G76,SantoYusuf!$L$13:$AK$14,N$4,FALSE)))</t>
  </si>
  <si>
    <t>=IF(ISNUMBER($L$6)=FALSE,"",
        IF(ISERROR(VLOOKUP($G76,SantoYusuf!$L$13:$AK$14,O$4,FALSE))=TRUE,"",
              VLOOKUP($G76,SantoYusuf!$L$13:$AK$14,O$4,FALSE)))</t>
  </si>
  <si>
    <t>=IF(ISNUMBER($L$6)=FALSE,"",
        IF(ISERROR(VLOOKUP($G76,SantoYusuf!$L$13:$AK$14,P$4,FALSE))=TRUE,"",
              VLOOKUP($G76,SantoYusuf!$L$13:$AK$14,P$4,FALSE)))</t>
  </si>
  <si>
    <t>=IF(ISNUMBER($L$6)=FALSE,"",
        IF(ISERROR(VLOOKUP($G76,SantoYusuf!$L$13:$AK$14,Q$4,FALSE))=TRUE,"",
              VLOOKUP($G76,SantoYusuf!$L$13:$AK$14,Q$4,FALSE)))</t>
  </si>
  <si>
    <t>=IF(ISNUMBER($L$6)=FALSE,"",
        IF(ISERROR(VLOOKUP($G76,SantoYusuf!$L$13:$AK$14,R$4,FALSE))=TRUE,"",
              VLOOKUP($G76,SantoYusuf!$L$13:$AK$14,R$4,FALSE)))</t>
  </si>
  <si>
    <t>=IF(ISNUMBER($L$6)=FALSE,"",
        IF(ISERROR(VLOOKUP($G76,SantoYusuf!$L$13:$AK$14,S$4,FALSE))=TRUE,"",
              VLOOKUP($G76,SantoYusuf!$L$13:$AK$14,S$4,FALSE)))</t>
  </si>
  <si>
    <t>=IF(ISNUMBER($L$6)=FALSE,"",
        IF(ISERROR(VLOOKUP($G76,SantoYusuf!$L$13:$AK$14,T$4,FALSE))=TRUE,"",
              VLOOKUP($G76,SantoYusuf!$L$13:$AK$14,T$4,FALSE)))</t>
  </si>
  <si>
    <t>=IF(ISNUMBER($L$6)=FALSE,"",
        IF(ISERROR(VLOOKUP($G76,SantoYusuf!$L$13:$AK$14,U$4,FALSE))=TRUE,"",
              VLOOKUP($G76,SantoYusuf!$L$13:$AK$14,U$4,FALSE)))</t>
  </si>
  <si>
    <t>=IF(ISNUMBER($L$6)=FALSE,"",
        IF(ISERROR(VLOOKUP($G76,SantoYusuf!$L$13:$AK$14,V$4,FALSE))=TRUE,"",
              VLOOKUP($G76,SantoYusuf!$L$13:$AK$14,V$4,FALSE)))</t>
  </si>
  <si>
    <t>=IF(ISNUMBER($L$6)=FALSE,"",
        IF(ISERROR(VLOOKUP($G76,SantoYusuf!$L$13:$AK$14,W$4,FALSE))=TRUE,"",
              VLOOKUP($G76,SantoYusuf!$L$13:$AK$14,W$4,FALSE)))</t>
  </si>
  <si>
    <t>=IF(ISNUMBER($L$6)=FALSE,"",
        IF(ISERROR(VLOOKUP($G76,SantoYusuf!$L$13:$AK$14,X$4,FALSE))=TRUE,"",
              VLOOKUP($G76,SantoYusuf!$L$13:$AK$14,X$4,FALSE)))</t>
  </si>
  <si>
    <t>=IF(ISNUMBER($L$6)=FALSE,"",
        IF(ISERROR(VLOOKUP($G76,SantoYusuf!$L$13:$AK$14,Y$4,FALSE))=TRUE,"",
              VLOOKUP($G76,SantoYusuf!$L$13:$AK$14,Y$4,FALSE)))</t>
  </si>
  <si>
    <t>=IF(ISNUMBER($L$6)=FALSE,"",
        IF(ISERROR(VLOOKUP($G76,SantoYusuf!$L$13:$AK$14,Z$4,FALSE))=TRUE,"",
              VLOOKUP($G76,SantoYusuf!$L$13:$AK$14,Z$4,FALSE)))</t>
  </si>
  <si>
    <t>=IF(ISNUMBER($L$6)=FALSE,"",
        IF(ISERROR(VLOOKUP($G76,SantoYusuf!$L$13:$AK$14,AA$4,FALSE))=TRUE,"",
              VLOOKUP($G76,SantoYusuf!$L$13:$AK$14,AA$4,FALSE)))</t>
  </si>
  <si>
    <t>=IF(ISNUMBER($L$6)=FALSE,"",
        IF(ISERROR(VLOOKUP($G76,SantoYusuf!$L$13:$AK$14,AB$4,FALSE))=TRUE,"",
              VLOOKUP($G76,SantoYusuf!$L$13:$AK$14,AB$4,FALSE)))</t>
  </si>
  <si>
    <t>=IF(ISNUMBER($L$6)=FALSE,"",
        IF(ISERROR(VLOOKUP($G76,SantoYusuf!$L$13:$AK$14,AC$4,FALSE))=TRUE,"",
              VLOOKUP($G76,SantoYusuf!$L$13:$AK$14,AC$4,FALSE)))</t>
  </si>
  <si>
    <t>=IF(ISNUMBER($L$6)=FALSE,"",
        IF(ISERROR(VLOOKUP($G76,SantoYusuf!$L$13:$AK$14,AD$4,FALSE))=TRUE,"",
              VLOOKUP($G76,SantoYusuf!$L$13:$AK$14,AD$4,FALSE)))</t>
  </si>
  <si>
    <t>=IF(ISNUMBER($L$6)=FALSE,"",
        IF(ISERROR(VLOOKUP($G76,SantoYusuf!$L$13:$AK$14,AE$4,FALSE))=TRUE,"",
              VLOOKUP($G76,SantoYusuf!$L$13:$AK$14,AE$4,FALSE)))</t>
  </si>
  <si>
    <t>=IF(ISNUMBER($L$6)=FALSE,"",
        IF(ISERROR(VLOOKUP($G76,SantoYusuf!$L$13:$AK$14,AF$4,FALSE))=TRUE,"",
              VLOOKUP($G76,SantoYusuf!$L$13:$AK$14,AF$4,FALSE)))</t>
  </si>
  <si>
    <t>=IF(ISNUMBER($L$6)=FALSE,"",
IF($C77=0,"",VLOOKUP($E77,SantoYusuf!$H$13:$L$14,4,FALSE)))</t>
  </si>
  <si>
    <t>=IF(ISNUMBER($L$6)=FALSE,"",
IF($C77=0,"",VLOOKUP($E77,SantoYusuf!$H$13:$L$14,5,FALSE)))</t>
  </si>
  <si>
    <t>=IF(ISNUMBER($L$6)=FALSE,"",
        IF(ISERROR(VLOOKUP($G77,SantoYusuf!$L$13:$AK$14,I$4,FALSE))=TRUE,"",
              VLOOKUP($G77,SantoYusuf!$L$13:$AK$14,I$4,FALSE)))</t>
  </si>
  <si>
    <t>=IF(ISNUMBER($L$6)=FALSE,"",
        IF(ISERROR(VLOOKUP($G77,SantoYusuf!$L$13:$AK$14,J$4,FALSE))=TRUE,"",
              VLOOKUP($G77,SantoYusuf!$L$13:$AK$14,J$4,FALSE)))</t>
  </si>
  <si>
    <t>=IF(ISNUMBER($L$6)=FALSE,"",
        IF(ISERROR(VLOOKUP($G77,SantoYusuf!$L$13:$AK$14,K$4,FALSE))=TRUE,"",
              VLOOKUP($G77,SantoYusuf!$L$13:$AK$14,K$4,FALSE)))</t>
  </si>
  <si>
    <t>=IF(ISNUMBER($L$6)=FALSE,"",
        IF(ISERROR(VLOOKUP($G77,SantoYusuf!$L$13:$AK$14,L$4,FALSE))=TRUE,"",
              VLOOKUP($G77,SantoYusuf!$L$13:$AK$14,L$4,FALSE)))</t>
  </si>
  <si>
    <t>=IF(ISNUMBER($L$6)=FALSE,"",
        IF(ISERROR(VLOOKUP($G77,SantoYusuf!$L$13:$AK$14,M$4,FALSE))=TRUE,"",
              VLOOKUP($G77,SantoYusuf!$L$13:$AK$14,M$4,FALSE)))</t>
  </si>
  <si>
    <t>=IF(ISNUMBER($L$6)=FALSE,"",
        IF(ISERROR(VLOOKUP($G77,SantoYusuf!$L$13:$AK$14,N$4,FALSE))=TRUE,"",
              VLOOKUP($G77,SantoYusuf!$L$13:$AK$14,N$4,FALSE)))</t>
  </si>
  <si>
    <t>=IF(ISNUMBER($L$6)=FALSE,"",
        IF(ISERROR(VLOOKUP($G77,SantoYusuf!$L$13:$AK$14,O$4,FALSE))=TRUE,"",
              VLOOKUP($G77,SantoYusuf!$L$13:$AK$14,O$4,FALSE)))</t>
  </si>
  <si>
    <t>=IF(ISNUMBER($L$6)=FALSE,"",
        IF(ISERROR(VLOOKUP($G77,SantoYusuf!$L$13:$AK$14,P$4,FALSE))=TRUE,"",
              VLOOKUP($G77,SantoYusuf!$L$13:$AK$14,P$4,FALSE)))</t>
  </si>
  <si>
    <t>=IF(ISNUMBER($L$6)=FALSE,"",
        IF(ISERROR(VLOOKUP($G77,SantoYusuf!$L$13:$AK$14,Q$4,FALSE))=TRUE,"",
              VLOOKUP($G77,SantoYusuf!$L$13:$AK$14,Q$4,FALSE)))</t>
  </si>
  <si>
    <t>=IF(ISNUMBER($L$6)=FALSE,"",
        IF(ISERROR(VLOOKUP($G77,SantoYusuf!$L$13:$AK$14,R$4,FALSE))=TRUE,"",
              VLOOKUP($G77,SantoYusuf!$L$13:$AK$14,R$4,FALSE)))</t>
  </si>
  <si>
    <t>=IF(ISNUMBER($L$6)=FALSE,"",
        IF(ISERROR(VLOOKUP($G77,SantoYusuf!$L$13:$AK$14,S$4,FALSE))=TRUE,"",
              VLOOKUP($G77,SantoYusuf!$L$13:$AK$14,S$4,FALSE)))</t>
  </si>
  <si>
    <t>=IF(ISNUMBER($L$6)=FALSE,"",
        IF(ISERROR(VLOOKUP($G77,SantoYusuf!$L$13:$AK$14,T$4,FALSE))=TRUE,"",
              VLOOKUP($G77,SantoYusuf!$L$13:$AK$14,T$4,FALSE)))</t>
  </si>
  <si>
    <t>=IF(ISNUMBER($L$6)=FALSE,"",
        IF(ISERROR(VLOOKUP($G77,SantoYusuf!$L$13:$AK$14,U$4,FALSE))=TRUE,"",
              VLOOKUP($G77,SantoYusuf!$L$13:$AK$14,U$4,FALSE)))</t>
  </si>
  <si>
    <t>=IF(ISNUMBER($L$6)=FALSE,"",
        IF(ISERROR(VLOOKUP($G77,SantoYusuf!$L$13:$AK$14,V$4,FALSE))=TRUE,"",
              VLOOKUP($G77,SantoYusuf!$L$13:$AK$14,V$4,FALSE)))</t>
  </si>
  <si>
    <t>=IF(ISNUMBER($L$6)=FALSE,"",
        IF(ISERROR(VLOOKUP($G77,SantoYusuf!$L$13:$AK$14,W$4,FALSE))=TRUE,"",
              VLOOKUP($G77,SantoYusuf!$L$13:$AK$14,W$4,FALSE)))</t>
  </si>
  <si>
    <t>=IF(ISNUMBER($L$6)=FALSE,"",
        IF(ISERROR(VLOOKUP($G77,SantoYusuf!$L$13:$AK$14,X$4,FALSE))=TRUE,"",
              VLOOKUP($G77,SantoYusuf!$L$13:$AK$14,X$4,FALSE)))</t>
  </si>
  <si>
    <t>=IF(ISNUMBER($L$6)=FALSE,"",
        IF(ISERROR(VLOOKUP($G77,SantoYusuf!$L$13:$AK$14,Y$4,FALSE))=TRUE,"",
              VLOOKUP($G77,SantoYusuf!$L$13:$AK$14,Y$4,FALSE)))</t>
  </si>
  <si>
    <t>=IF(ISNUMBER($L$6)=FALSE,"",
        IF(ISERROR(VLOOKUP($G77,SantoYusuf!$L$13:$AK$14,Z$4,FALSE))=TRUE,"",
              VLOOKUP($G77,SantoYusuf!$L$13:$AK$14,Z$4,FALSE)))</t>
  </si>
  <si>
    <t>=IF(ISNUMBER($L$6)=FALSE,"",
        IF(ISERROR(VLOOKUP($G77,SantoYusuf!$L$13:$AK$14,AA$4,FALSE))=TRUE,"",
              VLOOKUP($G77,SantoYusuf!$L$13:$AK$14,AA$4,FALSE)))</t>
  </si>
  <si>
    <t>=IF(ISNUMBER($L$6)=FALSE,"",
        IF(ISERROR(VLOOKUP($G77,SantoYusuf!$L$13:$AK$14,AB$4,FALSE))=TRUE,"",
              VLOOKUP($G77,SantoYusuf!$L$13:$AK$14,AB$4,FALSE)))</t>
  </si>
  <si>
    <t>=IF(ISNUMBER($L$6)=FALSE,"",
        IF(ISERROR(VLOOKUP($G77,SantoYusuf!$L$13:$AK$14,AC$4,FALSE))=TRUE,"",
              VLOOKUP($G77,SantoYusuf!$L$13:$AK$14,AC$4,FALSE)))</t>
  </si>
  <si>
    <t>=IF(ISNUMBER($L$6)=FALSE,"",
        IF(ISERROR(VLOOKUP($G77,SantoYusuf!$L$13:$AK$14,AD$4,FALSE))=TRUE,"",
              VLOOKUP($G77,SantoYusuf!$L$13:$AK$14,AD$4,FALSE)))</t>
  </si>
  <si>
    <t>=IF(ISNUMBER($L$6)=FALSE,"",
        IF(ISERROR(VLOOKUP($G77,SantoYusuf!$L$13:$AK$14,AE$4,FALSE))=TRUE,"",
              VLOOKUP($G77,SantoYusuf!$L$13:$AK$14,AE$4,FALSE)))</t>
  </si>
  <si>
    <t>=IF(ISNUMBER($L$6)=FALSE,"",
        IF(ISERROR(VLOOKUP($G77,SantoYusuf!$L$13:$AK$14,AF$4,FALSE))=TRUE,"",
              VLOOKUP($G77,SantoYusuf!$L$13:$AK$14,AF$4,FALSE)))</t>
  </si>
  <si>
    <t>=IF(ISNUMBER($L$6)=FALSE,"",
IF($C78=0,"",VLOOKUP($E78,SantoYusuf!$H$13:$L$14,4,FALSE)))</t>
  </si>
  <si>
    <t>=IF(ISNUMBER($L$6)=FALSE,"",
IF($C78=0,"",VLOOKUP($E78,SantoYusuf!$H$13:$L$14,5,FALSE)))</t>
  </si>
  <si>
    <t>=IF(ISNUMBER($L$6)=FALSE,"",
        IF(ISERROR(VLOOKUP($G78,SantoYusuf!$L$13:$AK$14,I$4,FALSE))=TRUE,"",
              VLOOKUP($G78,SantoYusuf!$L$13:$AK$14,I$4,FALSE)))</t>
  </si>
  <si>
    <t>=IF(ISNUMBER($L$6)=FALSE,"",
        IF(ISERROR(VLOOKUP($G78,SantoYusuf!$L$13:$AK$14,J$4,FALSE))=TRUE,"",
              VLOOKUP($G78,SantoYusuf!$L$13:$AK$14,J$4,FALSE)))</t>
  </si>
  <si>
    <t>=IF(ISNUMBER($L$6)=FALSE,"",
        IF(ISERROR(VLOOKUP($G78,SantoYusuf!$L$13:$AK$14,K$4,FALSE))=TRUE,"",
              VLOOKUP($G78,SantoYusuf!$L$13:$AK$14,K$4,FALSE)))</t>
  </si>
  <si>
    <t>=IF(ISNUMBER($L$6)=FALSE,"",
        IF(ISERROR(VLOOKUP($G78,SantoYusuf!$L$13:$AK$14,L$4,FALSE))=TRUE,"",
              VLOOKUP($G78,SantoYusuf!$L$13:$AK$14,L$4,FALSE)))</t>
  </si>
  <si>
    <t>=IF(ISNUMBER($L$6)=FALSE,"",
        IF(ISERROR(VLOOKUP($G78,SantoYusuf!$L$13:$AK$14,M$4,FALSE))=TRUE,"",
              VLOOKUP($G78,SantoYusuf!$L$13:$AK$14,M$4,FALSE)))</t>
  </si>
  <si>
    <t>=IF(ISNUMBER($L$6)=FALSE,"",
        IF(ISERROR(VLOOKUP($G78,SantoYusuf!$L$13:$AK$14,N$4,FALSE))=TRUE,"",
              VLOOKUP($G78,SantoYusuf!$L$13:$AK$14,N$4,FALSE)))</t>
  </si>
  <si>
    <t>=IF(ISNUMBER($L$6)=FALSE,"",
        IF(ISERROR(VLOOKUP($G78,SantoYusuf!$L$13:$AK$14,O$4,FALSE))=TRUE,"",
              VLOOKUP($G78,SantoYusuf!$L$13:$AK$14,O$4,FALSE)))</t>
  </si>
  <si>
    <t>=IF(ISNUMBER($L$6)=FALSE,"",
        IF(ISERROR(VLOOKUP($G78,SantoYusuf!$L$13:$AK$14,P$4,FALSE))=TRUE,"",
              VLOOKUP($G78,SantoYusuf!$L$13:$AK$14,P$4,FALSE)))</t>
  </si>
  <si>
    <t>=IF(ISNUMBER($L$6)=FALSE,"",
        IF(ISERROR(VLOOKUP($G78,SantoYusuf!$L$13:$AK$14,Q$4,FALSE))=TRUE,"",
              VLOOKUP($G78,SantoYusuf!$L$13:$AK$14,Q$4,FALSE)))</t>
  </si>
  <si>
    <t>=IF(ISNUMBER($L$6)=FALSE,"",
        IF(ISERROR(VLOOKUP($G78,SantoYusuf!$L$13:$AK$14,R$4,FALSE))=TRUE,"",
              VLOOKUP($G78,SantoYusuf!$L$13:$AK$14,R$4,FALSE)))</t>
  </si>
  <si>
    <t>=IF(ISNUMBER($L$6)=FALSE,"",
        IF(ISERROR(VLOOKUP($G78,SantoYusuf!$L$13:$AK$14,S$4,FALSE))=TRUE,"",
              VLOOKUP($G78,SantoYusuf!$L$13:$AK$14,S$4,FALSE)))</t>
  </si>
  <si>
    <t>=IF(ISNUMBER($L$6)=FALSE,"",
        IF(ISERROR(VLOOKUP($G78,SantoYusuf!$L$13:$AK$14,T$4,FALSE))=TRUE,"",
              VLOOKUP($G78,SantoYusuf!$L$13:$AK$14,T$4,FALSE)))</t>
  </si>
  <si>
    <t>=IF(ISNUMBER($L$6)=FALSE,"",
        IF(ISERROR(VLOOKUP($G78,SantoYusuf!$L$13:$AK$14,U$4,FALSE))=TRUE,"",
              VLOOKUP($G78,SantoYusuf!$L$13:$AK$14,U$4,FALSE)))</t>
  </si>
  <si>
    <t>=IF(ISNUMBER($L$6)=FALSE,"",
        IF(ISERROR(VLOOKUP($G78,SantoYusuf!$L$13:$AK$14,V$4,FALSE))=TRUE,"",
              VLOOKUP($G78,SantoYusuf!$L$13:$AK$14,V$4,FALSE)))</t>
  </si>
  <si>
    <t>=IF(ISNUMBER($L$6)=FALSE,"",
        IF(ISERROR(VLOOKUP($G78,SantoYusuf!$L$13:$AK$14,W$4,FALSE))=TRUE,"",
              VLOOKUP($G78,SantoYusuf!$L$13:$AK$14,W$4,FALSE)))</t>
  </si>
  <si>
    <t>=IF(ISNUMBER($L$6)=FALSE,"",
        IF(ISERROR(VLOOKUP($G78,SantoYusuf!$L$13:$AK$14,X$4,FALSE))=TRUE,"",
              VLOOKUP($G78,SantoYusuf!$L$13:$AK$14,X$4,FALSE)))</t>
  </si>
  <si>
    <t>=IF(ISNUMBER($L$6)=FALSE,"",
        IF(ISERROR(VLOOKUP($G78,SantoYusuf!$L$13:$AK$14,Y$4,FALSE))=TRUE,"",
              VLOOKUP($G78,SantoYusuf!$L$13:$AK$14,Y$4,FALSE)))</t>
  </si>
  <si>
    <t>=IF(ISNUMBER($L$6)=FALSE,"",
        IF(ISERROR(VLOOKUP($G78,SantoYusuf!$L$13:$AK$14,Z$4,FALSE))=TRUE,"",
              VLOOKUP($G78,SantoYusuf!$L$13:$AK$14,Z$4,FALSE)))</t>
  </si>
  <si>
    <t>=IF(ISNUMBER($L$6)=FALSE,"",
        IF(ISERROR(VLOOKUP($G78,SantoYusuf!$L$13:$AK$14,AA$4,FALSE))=TRUE,"",
              VLOOKUP($G78,SantoYusuf!$L$13:$AK$14,AA$4,FALSE)))</t>
  </si>
  <si>
    <t>=IF(ISNUMBER($L$6)=FALSE,"",
        IF(ISERROR(VLOOKUP($G78,SantoYusuf!$L$13:$AK$14,AB$4,FALSE))=TRUE,"",
              VLOOKUP($G78,SantoYusuf!$L$13:$AK$14,AB$4,FALSE)))</t>
  </si>
  <si>
    <t>=IF(ISNUMBER($L$6)=FALSE,"",
        IF(ISERROR(VLOOKUP($G78,SantoYusuf!$L$13:$AK$14,AC$4,FALSE))=TRUE,"",
              VLOOKUP($G78,SantoYusuf!$L$13:$AK$14,AC$4,FALSE)))</t>
  </si>
  <si>
    <t>=IF(ISNUMBER($L$6)=FALSE,"",
        IF(ISERROR(VLOOKUP($G78,SantoYusuf!$L$13:$AK$14,AD$4,FALSE))=TRUE,"",
              VLOOKUP($G78,SantoYusuf!$L$13:$AK$14,AD$4,FALSE)))</t>
  </si>
  <si>
    <t>=IF(ISNUMBER($L$6)=FALSE,"",
        IF(ISERROR(VLOOKUP($G78,SantoYusuf!$L$13:$AK$14,AE$4,FALSE))=TRUE,"",
              VLOOKUP($G78,SantoYusuf!$L$13:$AK$14,AE$4,FALSE)))</t>
  </si>
  <si>
    <t>=IF(ISNUMBER($L$6)=FALSE,"",
        IF(ISERROR(VLOOKUP($G78,SantoYusuf!$L$13:$AK$14,AF$4,FALSE))=TRUE,"",
              VLOOKUP($G78,SantoYusuf!$L$13:$AK$14,AF$4,FALSE)))</t>
  </si>
  <si>
    <t>=IF(ISNUMBER($L$6)=FALSE,"",
IF($C79=0,"",VLOOKUP($E79,SantoYusuf!$H$13:$L$14,4,FALSE)))</t>
  </si>
  <si>
    <t>=IF(ISNUMBER($L$6)=FALSE,"",
IF($C79=0,"",VLOOKUP($E79,SantoYusuf!$H$13:$L$14,5,FALSE)))</t>
  </si>
  <si>
    <t>=IF(ISNUMBER($L$6)=FALSE,"",
        IF(ISERROR(VLOOKUP($G79,SantoYusuf!$L$13:$AK$14,I$4,FALSE))=TRUE,"",
              VLOOKUP($G79,SantoYusuf!$L$13:$AK$14,I$4,FALSE)))</t>
  </si>
  <si>
    <t>=IF(ISNUMBER($L$6)=FALSE,"",
        IF(ISERROR(VLOOKUP($G79,SantoYusuf!$L$13:$AK$14,J$4,FALSE))=TRUE,"",
              VLOOKUP($G79,SantoYusuf!$L$13:$AK$14,J$4,FALSE)))</t>
  </si>
  <si>
    <t>=IF(ISNUMBER($L$6)=FALSE,"",
        IF(ISERROR(VLOOKUP($G79,SantoYusuf!$L$13:$AK$14,K$4,FALSE))=TRUE,"",
              VLOOKUP($G79,SantoYusuf!$L$13:$AK$14,K$4,FALSE)))</t>
  </si>
  <si>
    <t>=IF(ISNUMBER($L$6)=FALSE,"",
        IF(ISERROR(VLOOKUP($G79,SantoYusuf!$L$13:$AK$14,L$4,FALSE))=TRUE,"",
              VLOOKUP($G79,SantoYusuf!$L$13:$AK$14,L$4,FALSE)))</t>
  </si>
  <si>
    <t>=IF(ISNUMBER($L$6)=FALSE,"",
        IF(ISERROR(VLOOKUP($G79,SantoYusuf!$L$13:$AK$14,M$4,FALSE))=TRUE,"",
              VLOOKUP($G79,SantoYusuf!$L$13:$AK$14,M$4,FALSE)))</t>
  </si>
  <si>
    <t>=IF(ISNUMBER($L$6)=FALSE,"",
        IF(ISERROR(VLOOKUP($G79,SantoYusuf!$L$13:$AK$14,N$4,FALSE))=TRUE,"",
              VLOOKUP($G79,SantoYusuf!$L$13:$AK$14,N$4,FALSE)))</t>
  </si>
  <si>
    <t>=IF(ISNUMBER($L$6)=FALSE,"",
        IF(ISERROR(VLOOKUP($G79,SantoYusuf!$L$13:$AK$14,O$4,FALSE))=TRUE,"",
              VLOOKUP($G79,SantoYusuf!$L$13:$AK$14,O$4,FALSE)))</t>
  </si>
  <si>
    <t>=IF(ISNUMBER($L$6)=FALSE,"",
        IF(ISERROR(VLOOKUP($G79,SantoYusuf!$L$13:$AK$14,P$4,FALSE))=TRUE,"",
              VLOOKUP($G79,SantoYusuf!$L$13:$AK$14,P$4,FALSE)))</t>
  </si>
  <si>
    <t>=IF(ISNUMBER($L$6)=FALSE,"",
        IF(ISERROR(VLOOKUP($G79,SantoYusuf!$L$13:$AK$14,Q$4,FALSE))=TRUE,"",
              VLOOKUP($G79,SantoYusuf!$L$13:$AK$14,Q$4,FALSE)))</t>
  </si>
  <si>
    <t>=IF(ISNUMBER($L$6)=FALSE,"",
        IF(ISERROR(VLOOKUP($G79,SantoYusuf!$L$13:$AK$14,R$4,FALSE))=TRUE,"",
              VLOOKUP($G79,SantoYusuf!$L$13:$AK$14,R$4,FALSE)))</t>
  </si>
  <si>
    <t>=IF(ISNUMBER($L$6)=FALSE,"",
        IF(ISERROR(VLOOKUP($G79,SantoYusuf!$L$13:$AK$14,S$4,FALSE))=TRUE,"",
              VLOOKUP($G79,SantoYusuf!$L$13:$AK$14,S$4,FALSE)))</t>
  </si>
  <si>
    <t>=IF(ISNUMBER($L$6)=FALSE,"",
        IF(ISERROR(VLOOKUP($G79,SantoYusuf!$L$13:$AK$14,T$4,FALSE))=TRUE,"",
              VLOOKUP($G79,SantoYusuf!$L$13:$AK$14,T$4,FALSE)))</t>
  </si>
  <si>
    <t>=IF(ISNUMBER($L$6)=FALSE,"",
        IF(ISERROR(VLOOKUP($G79,SantoYusuf!$L$13:$AK$14,U$4,FALSE))=TRUE,"",
              VLOOKUP($G79,SantoYusuf!$L$13:$AK$14,U$4,FALSE)))</t>
  </si>
  <si>
    <t>=IF(ISNUMBER($L$6)=FALSE,"",
        IF(ISERROR(VLOOKUP($G79,SantoYusuf!$L$13:$AK$14,V$4,FALSE))=TRUE,"",
              VLOOKUP($G79,SantoYusuf!$L$13:$AK$14,V$4,FALSE)))</t>
  </si>
  <si>
    <t>=IF(ISNUMBER($L$6)=FALSE,"",
        IF(ISERROR(VLOOKUP($G79,SantoYusuf!$L$13:$AK$14,W$4,FALSE))=TRUE,"",
              VLOOKUP($G79,SantoYusuf!$L$13:$AK$14,W$4,FALSE)))</t>
  </si>
  <si>
    <t>=IF(ISNUMBER($L$6)=FALSE,"",
        IF(ISERROR(VLOOKUP($G79,SantoYusuf!$L$13:$AK$14,X$4,FALSE))=TRUE,"",
              VLOOKUP($G79,SantoYusuf!$L$13:$AK$14,X$4,FALSE)))</t>
  </si>
  <si>
    <t>=IF(ISNUMBER($L$6)=FALSE,"",
        IF(ISERROR(VLOOKUP($G79,SantoYusuf!$L$13:$AK$14,Y$4,FALSE))=TRUE,"",
              VLOOKUP($G79,SantoYusuf!$L$13:$AK$14,Y$4,FALSE)))</t>
  </si>
  <si>
    <t>=IF(ISNUMBER($L$6)=FALSE,"",
        IF(ISERROR(VLOOKUP($G79,SantoYusuf!$L$13:$AK$14,Z$4,FALSE))=TRUE,"",
              VLOOKUP($G79,SantoYusuf!$L$13:$AK$14,Z$4,FALSE)))</t>
  </si>
  <si>
    <t>=IF(ISNUMBER($L$6)=FALSE,"",
        IF(ISERROR(VLOOKUP($G79,SantoYusuf!$L$13:$AK$14,AA$4,FALSE))=TRUE,"",
              VLOOKUP($G79,SantoYusuf!$L$13:$AK$14,AA$4,FALSE)))</t>
  </si>
  <si>
    <t>=IF(ISNUMBER($L$6)=FALSE,"",
        IF(ISERROR(VLOOKUP($G79,SantoYusuf!$L$13:$AK$14,AB$4,FALSE))=TRUE,"",
              VLOOKUP($G79,SantoYusuf!$L$13:$AK$14,AB$4,FALSE)))</t>
  </si>
  <si>
    <t>=IF(ISNUMBER($L$6)=FALSE,"",
        IF(ISERROR(VLOOKUP($G79,SantoYusuf!$L$13:$AK$14,AC$4,FALSE))=TRUE,"",
              VLOOKUP($G79,SantoYusuf!$L$13:$AK$14,AC$4,FALSE)))</t>
  </si>
  <si>
    <t>=IF(ISNUMBER($L$6)=FALSE,"",
        IF(ISERROR(VLOOKUP($G79,SantoYusuf!$L$13:$AK$14,AD$4,FALSE))=TRUE,"",
              VLOOKUP($G79,SantoYusuf!$L$13:$AK$14,AD$4,FALSE)))</t>
  </si>
  <si>
    <t>=IF(ISNUMBER($L$6)=FALSE,"",
        IF(ISERROR(VLOOKUP($G79,SantoYusuf!$L$13:$AK$14,AE$4,FALSE))=TRUE,"",
              VLOOKUP($G79,SantoYusuf!$L$13:$AK$14,AE$4,FALSE)))</t>
  </si>
  <si>
    <t>=IF(ISNUMBER($L$6)=FALSE,"",
        IF(ISERROR(VLOOKUP($G79,SantoYusuf!$L$13:$AK$14,AF$4,FALSE))=TRUE,"",
              VLOOKUP($G79,SantoYusuf!$L$13:$AK$14,AF$4,FALSE)))</t>
  </si>
  <si>
    <t>=IF(ISNUMBER($L$6)=FALSE,"",
IF($C80=0,"",VLOOKUP($E80,SantoYusuf!$H$13:$L$14,4,FALSE)))</t>
  </si>
  <si>
    <t>=IF(ISNUMBER($L$6)=FALSE,"",
IF($C80=0,"",VLOOKUP($E80,SantoYusuf!$H$13:$L$14,5,FALSE)))</t>
  </si>
  <si>
    <t>=IF(ISNUMBER($L$6)=FALSE,"",
        IF(ISERROR(VLOOKUP($G80,SantoYusuf!$L$13:$AK$14,I$4,FALSE))=TRUE,"",
              VLOOKUP($G80,SantoYusuf!$L$13:$AK$14,I$4,FALSE)))</t>
  </si>
  <si>
    <t>=IF(ISNUMBER($L$6)=FALSE,"",
        IF(ISERROR(VLOOKUP($G80,SantoYusuf!$L$13:$AK$14,J$4,FALSE))=TRUE,"",
              VLOOKUP($G80,SantoYusuf!$L$13:$AK$14,J$4,FALSE)))</t>
  </si>
  <si>
    <t>=IF(ISNUMBER($L$6)=FALSE,"",
        IF(ISERROR(VLOOKUP($G80,SantoYusuf!$L$13:$AK$14,K$4,FALSE))=TRUE,"",
              VLOOKUP($G80,SantoYusuf!$L$13:$AK$14,K$4,FALSE)))</t>
  </si>
  <si>
    <t>=IF(ISNUMBER($L$6)=FALSE,"",
        IF(ISERROR(VLOOKUP($G80,SantoYusuf!$L$13:$AK$14,L$4,FALSE))=TRUE,"",
              VLOOKUP($G80,SantoYusuf!$L$13:$AK$14,L$4,FALSE)))</t>
  </si>
  <si>
    <t>=IF(ISNUMBER($L$6)=FALSE,"",
        IF(ISERROR(VLOOKUP($G80,SantoYusuf!$L$13:$AK$14,M$4,FALSE))=TRUE,"",
              VLOOKUP($G80,SantoYusuf!$L$13:$AK$14,M$4,FALSE)))</t>
  </si>
  <si>
    <t>=IF(ISNUMBER($L$6)=FALSE,"",
        IF(ISERROR(VLOOKUP($G80,SantoYusuf!$L$13:$AK$14,N$4,FALSE))=TRUE,"",
              VLOOKUP($G80,SantoYusuf!$L$13:$AK$14,N$4,FALSE)))</t>
  </si>
  <si>
    <t>=IF(ISNUMBER($L$6)=FALSE,"",
        IF(ISERROR(VLOOKUP($G80,SantoYusuf!$L$13:$AK$14,O$4,FALSE))=TRUE,"",
              VLOOKUP($G80,SantoYusuf!$L$13:$AK$14,O$4,FALSE)))</t>
  </si>
  <si>
    <t>=IF(ISNUMBER($L$6)=FALSE,"",
        IF(ISERROR(VLOOKUP($G80,SantoYusuf!$L$13:$AK$14,P$4,FALSE))=TRUE,"",
              VLOOKUP($G80,SantoYusuf!$L$13:$AK$14,P$4,FALSE)))</t>
  </si>
  <si>
    <t>=IF(ISNUMBER($L$6)=FALSE,"",
        IF(ISERROR(VLOOKUP($G80,SantoYusuf!$L$13:$AK$14,Q$4,FALSE))=TRUE,"",
              VLOOKUP($G80,SantoYusuf!$L$13:$AK$14,Q$4,FALSE)))</t>
  </si>
  <si>
    <t>=IF(ISNUMBER($L$6)=FALSE,"",
        IF(ISERROR(VLOOKUP($G80,SantoYusuf!$L$13:$AK$14,R$4,FALSE))=TRUE,"",
              VLOOKUP($G80,SantoYusuf!$L$13:$AK$14,R$4,FALSE)))</t>
  </si>
  <si>
    <t>=IF(ISNUMBER($L$6)=FALSE,"",
        IF(ISERROR(VLOOKUP($G80,SantoYusuf!$L$13:$AK$14,S$4,FALSE))=TRUE,"",
              VLOOKUP($G80,SantoYusuf!$L$13:$AK$14,S$4,FALSE)))</t>
  </si>
  <si>
    <t>=IF(ISNUMBER($L$6)=FALSE,"",
        IF(ISERROR(VLOOKUP($G80,SantoYusuf!$L$13:$AK$14,T$4,FALSE))=TRUE,"",
              VLOOKUP($G80,SantoYusuf!$L$13:$AK$14,T$4,FALSE)))</t>
  </si>
  <si>
    <t>=IF(ISNUMBER($L$6)=FALSE,"",
        IF(ISERROR(VLOOKUP($G80,SantoYusuf!$L$13:$AK$14,U$4,FALSE))=TRUE,"",
              VLOOKUP($G80,SantoYusuf!$L$13:$AK$14,U$4,FALSE)))</t>
  </si>
  <si>
    <t>=IF(ISNUMBER($L$6)=FALSE,"",
        IF(ISERROR(VLOOKUP($G80,SantoYusuf!$L$13:$AK$14,V$4,FALSE))=TRUE,"",
              VLOOKUP($G80,SantoYusuf!$L$13:$AK$14,V$4,FALSE)))</t>
  </si>
  <si>
    <t>=IF(ISNUMBER($L$6)=FALSE,"",
        IF(ISERROR(VLOOKUP($G80,SantoYusuf!$L$13:$AK$14,W$4,FALSE))=TRUE,"",
              VLOOKUP($G80,SantoYusuf!$L$13:$AK$14,W$4,FALSE)))</t>
  </si>
  <si>
    <t>=IF(ISNUMBER($L$6)=FALSE,"",
        IF(ISERROR(VLOOKUP($G80,SantoYusuf!$L$13:$AK$14,X$4,FALSE))=TRUE,"",
              VLOOKUP($G80,SantoYusuf!$L$13:$AK$14,X$4,FALSE)))</t>
  </si>
  <si>
    <t>=IF(ISNUMBER($L$6)=FALSE,"",
        IF(ISERROR(VLOOKUP($G80,SantoYusuf!$L$13:$AK$14,Y$4,FALSE))=TRUE,"",
              VLOOKUP($G80,SantoYusuf!$L$13:$AK$14,Y$4,FALSE)))</t>
  </si>
  <si>
    <t>=IF(ISNUMBER($L$6)=FALSE,"",
        IF(ISERROR(VLOOKUP($G80,SantoYusuf!$L$13:$AK$14,Z$4,FALSE))=TRUE,"",
              VLOOKUP($G80,SantoYusuf!$L$13:$AK$14,Z$4,FALSE)))</t>
  </si>
  <si>
    <t>=IF(ISNUMBER($L$6)=FALSE,"",
        IF(ISERROR(VLOOKUP($G80,SantoYusuf!$L$13:$AK$14,AA$4,FALSE))=TRUE,"",
              VLOOKUP($G80,SantoYusuf!$L$13:$AK$14,AA$4,FALSE)))</t>
  </si>
  <si>
    <t>=IF(ISNUMBER($L$6)=FALSE,"",
        IF(ISERROR(VLOOKUP($G80,SantoYusuf!$L$13:$AK$14,AB$4,FALSE))=TRUE,"",
              VLOOKUP($G80,SantoYusuf!$L$13:$AK$14,AB$4,FALSE)))</t>
  </si>
  <si>
    <t>=IF(ISNUMBER($L$6)=FALSE,"",
        IF(ISERROR(VLOOKUP($G80,SantoYusuf!$L$13:$AK$14,AC$4,FALSE))=TRUE,"",
              VLOOKUP($G80,SantoYusuf!$L$13:$AK$14,AC$4,FALSE)))</t>
  </si>
  <si>
    <t>=IF(ISNUMBER($L$6)=FALSE,"",
        IF(ISERROR(VLOOKUP($G80,SantoYusuf!$L$13:$AK$14,AD$4,FALSE))=TRUE,"",
              VLOOKUP($G80,SantoYusuf!$L$13:$AK$14,AD$4,FALSE)))</t>
  </si>
  <si>
    <t>=IF(ISNUMBER($L$6)=FALSE,"",
        IF(ISERROR(VLOOKUP($G80,SantoYusuf!$L$13:$AK$14,AE$4,FALSE))=TRUE,"",
              VLOOKUP($G80,SantoYusuf!$L$13:$AK$14,AE$4,FALSE)))</t>
  </si>
  <si>
    <t>=IF(ISNUMBER($L$6)=FALSE,"",
        IF(ISERROR(VLOOKUP($G80,SantoYusuf!$L$13:$AK$14,AF$4,FALSE))=TRUE,"",
              VLOOKUP($G80,SantoYusuf!$L$13:$AK$14,AF$4,FALSE)))</t>
  </si>
  <si>
    <t>=IF(ISNUMBER($L$6)=FALSE,"",
IF($C81=0,"",VLOOKUP($E81,SantoYusuf!$H$13:$L$14,4,FALSE)))</t>
  </si>
  <si>
    <t>=IF(ISNUMBER($L$6)=FALSE,"",
IF($C81=0,"",VLOOKUP($E81,SantoYusuf!$H$13:$L$14,5,FALSE)))</t>
  </si>
  <si>
    <t>=IF(ISNUMBER($L$6)=FALSE,"",
        IF(ISERROR(VLOOKUP($G81,SantoYusuf!$L$13:$AK$14,I$4,FALSE))=TRUE,"",
              VLOOKUP($G81,SantoYusuf!$L$13:$AK$14,I$4,FALSE)))</t>
  </si>
  <si>
    <t>=IF(ISNUMBER($L$6)=FALSE,"",
        IF(ISERROR(VLOOKUP($G81,SantoYusuf!$L$13:$AK$14,J$4,FALSE))=TRUE,"",
              VLOOKUP($G81,SantoYusuf!$L$13:$AK$14,J$4,FALSE)))</t>
  </si>
  <si>
    <t>=IF(ISNUMBER($L$6)=FALSE,"",
        IF(ISERROR(VLOOKUP($G81,SantoYusuf!$L$13:$AK$14,K$4,FALSE))=TRUE,"",
              VLOOKUP($G81,SantoYusuf!$L$13:$AK$14,K$4,FALSE)))</t>
  </si>
  <si>
    <t>=IF(ISNUMBER($L$6)=FALSE,"",
        IF(ISERROR(VLOOKUP($G81,SantoYusuf!$L$13:$AK$14,L$4,FALSE))=TRUE,"",
              VLOOKUP($G81,SantoYusuf!$L$13:$AK$14,L$4,FALSE)))</t>
  </si>
  <si>
    <t>=IF(ISNUMBER($L$6)=FALSE,"",
        IF(ISERROR(VLOOKUP($G81,SantoYusuf!$L$13:$AK$14,M$4,FALSE))=TRUE,"",
              VLOOKUP($G81,SantoYusuf!$L$13:$AK$14,M$4,FALSE)))</t>
  </si>
  <si>
    <t>=IF(ISNUMBER($L$6)=FALSE,"",
        IF(ISERROR(VLOOKUP($G81,SantoYusuf!$L$13:$AK$14,N$4,FALSE))=TRUE,"",
              VLOOKUP($G81,SantoYusuf!$L$13:$AK$14,N$4,FALSE)))</t>
  </si>
  <si>
    <t>=IF(ISNUMBER($L$6)=FALSE,"",
        IF(ISERROR(VLOOKUP($G81,SantoYusuf!$L$13:$AK$14,O$4,FALSE))=TRUE,"",
              VLOOKUP($G81,SantoYusuf!$L$13:$AK$14,O$4,FALSE)))</t>
  </si>
  <si>
    <t>=IF(ISNUMBER($L$6)=FALSE,"",
        IF(ISERROR(VLOOKUP($G81,SantoYusuf!$L$13:$AK$14,P$4,FALSE))=TRUE,"",
              VLOOKUP($G81,SantoYusuf!$L$13:$AK$14,P$4,FALSE)))</t>
  </si>
  <si>
    <t>=IF(ISNUMBER($L$6)=FALSE,"",
        IF(ISERROR(VLOOKUP($G81,SantoYusuf!$L$13:$AK$14,Q$4,FALSE))=TRUE,"",
              VLOOKUP($G81,SantoYusuf!$L$13:$AK$14,Q$4,FALSE)))</t>
  </si>
  <si>
    <t>=IF(ISNUMBER($L$6)=FALSE,"",
        IF(ISERROR(VLOOKUP($G81,SantoYusuf!$L$13:$AK$14,R$4,FALSE))=TRUE,"",
              VLOOKUP($G81,SantoYusuf!$L$13:$AK$14,R$4,FALSE)))</t>
  </si>
  <si>
    <t>=IF(ISNUMBER($L$6)=FALSE,"",
        IF(ISERROR(VLOOKUP($G81,SantoYusuf!$L$13:$AK$14,S$4,FALSE))=TRUE,"",
              VLOOKUP($G81,SantoYusuf!$L$13:$AK$14,S$4,FALSE)))</t>
  </si>
  <si>
    <t>=IF(ISNUMBER($L$6)=FALSE,"",
        IF(ISERROR(VLOOKUP($G81,SantoYusuf!$L$13:$AK$14,T$4,FALSE))=TRUE,"",
              VLOOKUP($G81,SantoYusuf!$L$13:$AK$14,T$4,FALSE)))</t>
  </si>
  <si>
    <t>=IF(ISNUMBER($L$6)=FALSE,"",
        IF(ISERROR(VLOOKUP($G81,SantoYusuf!$L$13:$AK$14,U$4,FALSE))=TRUE,"",
              VLOOKUP($G81,SantoYusuf!$L$13:$AK$14,U$4,FALSE)))</t>
  </si>
  <si>
    <t>=IF(ISNUMBER($L$6)=FALSE,"",
        IF(ISERROR(VLOOKUP($G81,SantoYusuf!$L$13:$AK$14,V$4,FALSE))=TRUE,"",
              VLOOKUP($G81,SantoYusuf!$L$13:$AK$14,V$4,FALSE)))</t>
  </si>
  <si>
    <t>=IF(ISNUMBER($L$6)=FALSE,"",
        IF(ISERROR(VLOOKUP($G81,SantoYusuf!$L$13:$AK$14,W$4,FALSE))=TRUE,"",
              VLOOKUP($G81,SantoYusuf!$L$13:$AK$14,W$4,FALSE)))</t>
  </si>
  <si>
    <t>=IF(ISNUMBER($L$6)=FALSE,"",
        IF(ISERROR(VLOOKUP($G81,SantoYusuf!$L$13:$AK$14,X$4,FALSE))=TRUE,"",
              VLOOKUP($G81,SantoYusuf!$L$13:$AK$14,X$4,FALSE)))</t>
  </si>
  <si>
    <t>=IF(ISNUMBER($L$6)=FALSE,"",
        IF(ISERROR(VLOOKUP($G81,SantoYusuf!$L$13:$AK$14,Y$4,FALSE))=TRUE,"",
              VLOOKUP($G81,SantoYusuf!$L$13:$AK$14,Y$4,FALSE)))</t>
  </si>
  <si>
    <t>=IF(ISNUMBER($L$6)=FALSE,"",
        IF(ISERROR(VLOOKUP($G81,SantoYusuf!$L$13:$AK$14,Z$4,FALSE))=TRUE,"",
              VLOOKUP($G81,SantoYusuf!$L$13:$AK$14,Z$4,FALSE)))</t>
  </si>
  <si>
    <t>=IF(ISNUMBER($L$6)=FALSE,"",
        IF(ISERROR(VLOOKUP($G81,SantoYusuf!$L$13:$AK$14,AA$4,FALSE))=TRUE,"",
              VLOOKUP($G81,SantoYusuf!$L$13:$AK$14,AA$4,FALSE)))</t>
  </si>
  <si>
    <t>=IF(ISNUMBER($L$6)=FALSE,"",
        IF(ISERROR(VLOOKUP($G81,SantoYusuf!$L$13:$AK$14,AB$4,FALSE))=TRUE,"",
              VLOOKUP($G81,SantoYusuf!$L$13:$AK$14,AB$4,FALSE)))</t>
  </si>
  <si>
    <t>=IF(ISNUMBER($L$6)=FALSE,"",
        IF(ISERROR(VLOOKUP($G81,SantoYusuf!$L$13:$AK$14,AC$4,FALSE))=TRUE,"",
              VLOOKUP($G81,SantoYusuf!$L$13:$AK$14,AC$4,FALSE)))</t>
  </si>
  <si>
    <t>=IF(ISNUMBER($L$6)=FALSE,"",
        IF(ISERROR(VLOOKUP($G81,SantoYusuf!$L$13:$AK$14,AD$4,FALSE))=TRUE,"",
              VLOOKUP($G81,SantoYusuf!$L$13:$AK$14,AD$4,FALSE)))</t>
  </si>
  <si>
    <t>=IF(ISNUMBER($L$6)=FALSE,"",
        IF(ISERROR(VLOOKUP($G81,SantoYusuf!$L$13:$AK$14,AE$4,FALSE))=TRUE,"",
              VLOOKUP($G81,SantoYusuf!$L$13:$AK$14,AE$4,FALSE)))</t>
  </si>
  <si>
    <t>=IF(ISNUMBER($L$6)=FALSE,"",
        IF(ISERROR(VLOOKUP($G81,SantoYusuf!$L$13:$AK$14,AF$4,FALSE))=TRUE,"",
              VLOOKUP($G81,SantoYusuf!$L$13:$AK$14,AF$4,FALSE)))</t>
  </si>
  <si>
    <t>=IF(ISNUMBER($L$6)=FALSE,"",
IF($C82=0,"",VLOOKUP($E82,SantoYusuf!$H$13:$L$14,4,FALSE)))</t>
  </si>
  <si>
    <t>=IF(ISNUMBER($L$6)=FALSE,"",
IF($C82=0,"",VLOOKUP($E82,SantoYusuf!$H$13:$L$14,5,FALSE)))</t>
  </si>
  <si>
    <t>=IF(ISNUMBER($L$6)=FALSE,"",
        IF(ISERROR(VLOOKUP($G82,SantoYusuf!$L$13:$AK$14,I$4,FALSE))=TRUE,"",
              VLOOKUP($G82,SantoYusuf!$L$13:$AK$14,I$4,FALSE)))</t>
  </si>
  <si>
    <t>=IF(ISNUMBER($L$6)=FALSE,"",
        IF(ISERROR(VLOOKUP($G82,SantoYusuf!$L$13:$AK$14,J$4,FALSE))=TRUE,"",
              VLOOKUP($G82,SantoYusuf!$L$13:$AK$14,J$4,FALSE)))</t>
  </si>
  <si>
    <t>=IF(ISNUMBER($L$6)=FALSE,"",
        IF(ISERROR(VLOOKUP($G82,SantoYusuf!$L$13:$AK$14,K$4,FALSE))=TRUE,"",
              VLOOKUP($G82,SantoYusuf!$L$13:$AK$14,K$4,FALSE)))</t>
  </si>
  <si>
    <t>=IF(ISNUMBER($L$6)=FALSE,"",
        IF(ISERROR(VLOOKUP($G82,SantoYusuf!$L$13:$AK$14,L$4,FALSE))=TRUE,"",
              VLOOKUP($G82,SantoYusuf!$L$13:$AK$14,L$4,FALSE)))</t>
  </si>
  <si>
    <t>=IF(ISNUMBER($L$6)=FALSE,"",
        IF(ISERROR(VLOOKUP($G82,SantoYusuf!$L$13:$AK$14,M$4,FALSE))=TRUE,"",
              VLOOKUP($G82,SantoYusuf!$L$13:$AK$14,M$4,FALSE)))</t>
  </si>
  <si>
    <t>=IF(ISNUMBER($L$6)=FALSE,"",
        IF(ISERROR(VLOOKUP($G82,SantoYusuf!$L$13:$AK$14,N$4,FALSE))=TRUE,"",
              VLOOKUP($G82,SantoYusuf!$L$13:$AK$14,N$4,FALSE)))</t>
  </si>
  <si>
    <t>=IF(ISNUMBER($L$6)=FALSE,"",
        IF(ISERROR(VLOOKUP($G82,SantoYusuf!$L$13:$AK$14,O$4,FALSE))=TRUE,"",
              VLOOKUP($G82,SantoYusuf!$L$13:$AK$14,O$4,FALSE)))</t>
  </si>
  <si>
    <t>=IF(ISNUMBER($L$6)=FALSE,"",
        IF(ISERROR(VLOOKUP($G82,SantoYusuf!$L$13:$AK$14,P$4,FALSE))=TRUE,"",
              VLOOKUP($G82,SantoYusuf!$L$13:$AK$14,P$4,FALSE)))</t>
  </si>
  <si>
    <t>=IF(ISNUMBER($L$6)=FALSE,"",
        IF(ISERROR(VLOOKUP($G82,SantoYusuf!$L$13:$AK$14,Q$4,FALSE))=TRUE,"",
              VLOOKUP($G82,SantoYusuf!$L$13:$AK$14,Q$4,FALSE)))</t>
  </si>
  <si>
    <t>=IF(ISNUMBER($L$6)=FALSE,"",
        IF(ISERROR(VLOOKUP($G82,SantoYusuf!$L$13:$AK$14,R$4,FALSE))=TRUE,"",
              VLOOKUP($G82,SantoYusuf!$L$13:$AK$14,R$4,FALSE)))</t>
  </si>
  <si>
    <t>=IF(ISNUMBER($L$6)=FALSE,"",
        IF(ISERROR(VLOOKUP($G82,SantoYusuf!$L$13:$AK$14,S$4,FALSE))=TRUE,"",
              VLOOKUP($G82,SantoYusuf!$L$13:$AK$14,S$4,FALSE)))</t>
  </si>
  <si>
    <t>=IF(ISNUMBER($L$6)=FALSE,"",
        IF(ISERROR(VLOOKUP($G82,SantoYusuf!$L$13:$AK$14,T$4,FALSE))=TRUE,"",
              VLOOKUP($G82,SantoYusuf!$L$13:$AK$14,T$4,FALSE)))</t>
  </si>
  <si>
    <t>=IF(ISNUMBER($L$6)=FALSE,"",
        IF(ISERROR(VLOOKUP($G82,SantoYusuf!$L$13:$AK$14,U$4,FALSE))=TRUE,"",
              VLOOKUP($G82,SantoYusuf!$L$13:$AK$14,U$4,FALSE)))</t>
  </si>
  <si>
    <t>=IF(ISNUMBER($L$6)=FALSE,"",
        IF(ISERROR(VLOOKUP($G82,SantoYusuf!$L$13:$AK$14,V$4,FALSE))=TRUE,"",
              VLOOKUP($G82,SantoYusuf!$L$13:$AK$14,V$4,FALSE)))</t>
  </si>
  <si>
    <t>=IF(ISNUMBER($L$6)=FALSE,"",
        IF(ISERROR(VLOOKUP($G82,SantoYusuf!$L$13:$AK$14,W$4,FALSE))=TRUE,"",
              VLOOKUP($G82,SantoYusuf!$L$13:$AK$14,W$4,FALSE)))</t>
  </si>
  <si>
    <t>=IF(ISNUMBER($L$6)=FALSE,"",
        IF(ISERROR(VLOOKUP($G82,SantoYusuf!$L$13:$AK$14,X$4,FALSE))=TRUE,"",
              VLOOKUP($G82,SantoYusuf!$L$13:$AK$14,X$4,FALSE)))</t>
  </si>
  <si>
    <t>=IF(ISNUMBER($L$6)=FALSE,"",
        IF(ISERROR(VLOOKUP($G82,SantoYusuf!$L$13:$AK$14,Y$4,FALSE))=TRUE,"",
              VLOOKUP($G82,SantoYusuf!$L$13:$AK$14,Y$4,FALSE)))</t>
  </si>
  <si>
    <t>=IF(ISNUMBER($L$6)=FALSE,"",
        IF(ISERROR(VLOOKUP($G82,SantoYusuf!$L$13:$AK$14,Z$4,FALSE))=TRUE,"",
              VLOOKUP($G82,SantoYusuf!$L$13:$AK$14,Z$4,FALSE)))</t>
  </si>
  <si>
    <t>=IF(ISNUMBER($L$6)=FALSE,"",
        IF(ISERROR(VLOOKUP($G82,SantoYusuf!$L$13:$AK$14,AA$4,FALSE))=TRUE,"",
              VLOOKUP($G82,SantoYusuf!$L$13:$AK$14,AA$4,FALSE)))</t>
  </si>
  <si>
    <t>=IF(ISNUMBER($L$6)=FALSE,"",
        IF(ISERROR(VLOOKUP($G82,SantoYusuf!$L$13:$AK$14,AB$4,FALSE))=TRUE,"",
              VLOOKUP($G82,SantoYusuf!$L$13:$AK$14,AB$4,FALSE)))</t>
  </si>
  <si>
    <t>=IF(ISNUMBER($L$6)=FALSE,"",
        IF(ISERROR(VLOOKUP($G82,SantoYusuf!$L$13:$AK$14,AC$4,FALSE))=TRUE,"",
              VLOOKUP($G82,SantoYusuf!$L$13:$AK$14,AC$4,FALSE)))</t>
  </si>
  <si>
    <t>=IF(ISNUMBER($L$6)=FALSE,"",
        IF(ISERROR(VLOOKUP($G82,SantoYusuf!$L$13:$AK$14,AD$4,FALSE))=TRUE,"",
              VLOOKUP($G82,SantoYusuf!$L$13:$AK$14,AD$4,FALSE)))</t>
  </si>
  <si>
    <t>=IF(ISNUMBER($L$6)=FALSE,"",
        IF(ISERROR(VLOOKUP($G82,SantoYusuf!$L$13:$AK$14,AE$4,FALSE))=TRUE,"",
              VLOOKUP($G82,SantoYusuf!$L$13:$AK$14,AE$4,FALSE)))</t>
  </si>
  <si>
    <t>=IF(ISNUMBER($L$6)=FALSE,"",
        IF(ISERROR(VLOOKUP($G82,SantoYusuf!$L$13:$AK$14,AF$4,FALSE))=TRUE,"",
              VLOOKUP($G82,SantoYusuf!$L$13:$AK$14,AF$4,FALSE)))</t>
  </si>
  <si>
    <t>=IF(ISNUMBER($L$6)=FALSE,"",
IF($C83=0,"",VLOOKUP($E83,SantoYusuf!$H$13:$L$14,4,FALSE)))</t>
  </si>
  <si>
    <t>=IF(ISNUMBER($L$6)=FALSE,"",
IF($C83=0,"",VLOOKUP($E83,SantoYusuf!$H$13:$L$14,5,FALSE)))</t>
  </si>
  <si>
    <t>=IF(ISNUMBER($L$6)=FALSE,"",
        IF(ISERROR(VLOOKUP($G83,SantoYusuf!$L$13:$AK$14,I$4,FALSE))=TRUE,"",
              VLOOKUP($G83,SantoYusuf!$L$13:$AK$14,I$4,FALSE)))</t>
  </si>
  <si>
    <t>=IF(ISNUMBER($L$6)=FALSE,"",
        IF(ISERROR(VLOOKUP($G83,SantoYusuf!$L$13:$AK$14,J$4,FALSE))=TRUE,"",
              VLOOKUP($G83,SantoYusuf!$L$13:$AK$14,J$4,FALSE)))</t>
  </si>
  <si>
    <t>=IF(ISNUMBER($L$6)=FALSE,"",
        IF(ISERROR(VLOOKUP($G83,SantoYusuf!$L$13:$AK$14,K$4,FALSE))=TRUE,"",
              VLOOKUP($G83,SantoYusuf!$L$13:$AK$14,K$4,FALSE)))</t>
  </si>
  <si>
    <t>=IF(ISNUMBER($L$6)=FALSE,"",
        IF(ISERROR(VLOOKUP($G83,SantoYusuf!$L$13:$AK$14,L$4,FALSE))=TRUE,"",
              VLOOKUP($G83,SantoYusuf!$L$13:$AK$14,L$4,FALSE)))</t>
  </si>
  <si>
    <t>=IF(ISNUMBER($L$6)=FALSE,"",
        IF(ISERROR(VLOOKUP($G83,SantoYusuf!$L$13:$AK$14,M$4,FALSE))=TRUE,"",
              VLOOKUP($G83,SantoYusuf!$L$13:$AK$14,M$4,FALSE)))</t>
  </si>
  <si>
    <t>=IF(ISNUMBER($L$6)=FALSE,"",
        IF(ISERROR(VLOOKUP($G83,SantoYusuf!$L$13:$AK$14,N$4,FALSE))=TRUE,"",
              VLOOKUP($G83,SantoYusuf!$L$13:$AK$14,N$4,FALSE)))</t>
  </si>
  <si>
    <t>=IF(ISNUMBER($L$6)=FALSE,"",
        IF(ISERROR(VLOOKUP($G83,SantoYusuf!$L$13:$AK$14,O$4,FALSE))=TRUE,"",
              VLOOKUP($G83,SantoYusuf!$L$13:$AK$14,O$4,FALSE)))</t>
  </si>
  <si>
    <t>=IF(ISNUMBER($L$6)=FALSE,"",
        IF(ISERROR(VLOOKUP($G83,SantoYusuf!$L$13:$AK$14,P$4,FALSE))=TRUE,"",
              VLOOKUP($G83,SantoYusuf!$L$13:$AK$14,P$4,FALSE)))</t>
  </si>
  <si>
    <t>=IF(ISNUMBER($L$6)=FALSE,"",
        IF(ISERROR(VLOOKUP($G83,SantoYusuf!$L$13:$AK$14,Q$4,FALSE))=TRUE,"",
              VLOOKUP($G83,SantoYusuf!$L$13:$AK$14,Q$4,FALSE)))</t>
  </si>
  <si>
    <t>=IF(ISNUMBER($L$6)=FALSE,"",
        IF(ISERROR(VLOOKUP($G83,SantoYusuf!$L$13:$AK$14,R$4,FALSE))=TRUE,"",
              VLOOKUP($G83,SantoYusuf!$L$13:$AK$14,R$4,FALSE)))</t>
  </si>
  <si>
    <t>=IF(ISNUMBER($L$6)=FALSE,"",
        IF(ISERROR(VLOOKUP($G83,SantoYusuf!$L$13:$AK$14,S$4,FALSE))=TRUE,"",
              VLOOKUP($G83,SantoYusuf!$L$13:$AK$14,S$4,FALSE)))</t>
  </si>
  <si>
    <t>=IF(ISNUMBER($L$6)=FALSE,"",
        IF(ISERROR(VLOOKUP($G83,SantoYusuf!$L$13:$AK$14,T$4,FALSE))=TRUE,"",
              VLOOKUP($G83,SantoYusuf!$L$13:$AK$14,T$4,FALSE)))</t>
  </si>
  <si>
    <t>=IF(ISNUMBER($L$6)=FALSE,"",
        IF(ISERROR(VLOOKUP($G83,SantoYusuf!$L$13:$AK$14,U$4,FALSE))=TRUE,"",
              VLOOKUP($G83,SantoYusuf!$L$13:$AK$14,U$4,FALSE)))</t>
  </si>
  <si>
    <t>=IF(ISNUMBER($L$6)=FALSE,"",
        IF(ISERROR(VLOOKUP($G83,SantoYusuf!$L$13:$AK$14,V$4,FALSE))=TRUE,"",
              VLOOKUP($G83,SantoYusuf!$L$13:$AK$14,V$4,FALSE)))</t>
  </si>
  <si>
    <t>=IF(ISNUMBER($L$6)=FALSE,"",
        IF(ISERROR(VLOOKUP($G83,SantoYusuf!$L$13:$AK$14,W$4,FALSE))=TRUE,"",
              VLOOKUP($G83,SantoYusuf!$L$13:$AK$14,W$4,FALSE)))</t>
  </si>
  <si>
    <t>=IF(ISNUMBER($L$6)=FALSE,"",
        IF(ISERROR(VLOOKUP($G83,SantoYusuf!$L$13:$AK$14,X$4,FALSE))=TRUE,"",
              VLOOKUP($G83,SantoYusuf!$L$13:$AK$14,X$4,FALSE)))</t>
  </si>
  <si>
    <t>=IF(ISNUMBER($L$6)=FALSE,"",
        IF(ISERROR(VLOOKUP($G83,SantoYusuf!$L$13:$AK$14,Y$4,FALSE))=TRUE,"",
              VLOOKUP($G83,SantoYusuf!$L$13:$AK$14,Y$4,FALSE)))</t>
  </si>
  <si>
    <t>=IF(ISNUMBER($L$6)=FALSE,"",
        IF(ISERROR(VLOOKUP($G83,SantoYusuf!$L$13:$AK$14,Z$4,FALSE))=TRUE,"",
              VLOOKUP($G83,SantoYusuf!$L$13:$AK$14,Z$4,FALSE)))</t>
  </si>
  <si>
    <t>=IF(ISNUMBER($L$6)=FALSE,"",
        IF(ISERROR(VLOOKUP($G83,SantoYusuf!$L$13:$AK$14,AA$4,FALSE))=TRUE,"",
              VLOOKUP($G83,SantoYusuf!$L$13:$AK$14,AA$4,FALSE)))</t>
  </si>
  <si>
    <t>=IF(ISNUMBER($L$6)=FALSE,"",
        IF(ISERROR(VLOOKUP($G83,SantoYusuf!$L$13:$AK$14,AB$4,FALSE))=TRUE,"",
              VLOOKUP($G83,SantoYusuf!$L$13:$AK$14,AB$4,FALSE)))</t>
  </si>
  <si>
    <t>=IF(ISNUMBER($L$6)=FALSE,"",
        IF(ISERROR(VLOOKUP($G83,SantoYusuf!$L$13:$AK$14,AC$4,FALSE))=TRUE,"",
              VLOOKUP($G83,SantoYusuf!$L$13:$AK$14,AC$4,FALSE)))</t>
  </si>
  <si>
    <t>=IF(ISNUMBER($L$6)=FALSE,"",
        IF(ISERROR(VLOOKUP($G83,SantoYusuf!$L$13:$AK$14,AD$4,FALSE))=TRUE,"",
              VLOOKUP($G83,SantoYusuf!$L$13:$AK$14,AD$4,FALSE)))</t>
  </si>
  <si>
    <t>=IF(ISNUMBER($L$6)=FALSE,"",
        IF(ISERROR(VLOOKUP($G83,SantoYusuf!$L$13:$AK$14,AE$4,FALSE))=TRUE,"",
              VLOOKUP($G83,SantoYusuf!$L$13:$AK$14,AE$4,FALSE)))</t>
  </si>
  <si>
    <t>=IF(ISNUMBER($L$6)=FALSE,"",
        IF(ISERROR(VLOOKUP($G83,SantoYusuf!$L$13:$AK$14,AF$4,FALSE))=TRUE,"",
              VLOOKUP($G83,SantoYusuf!$L$13:$AK$14,AF$4,FALSE)))</t>
  </si>
  <si>
    <t>=IF(ISNUMBER($L$6)=FALSE,"",
IF($C84=0,"",VLOOKUP($E84,SantoYusuf!$H$13:$L$14,4,FALSE)))</t>
  </si>
  <si>
    <t>=IF(ISNUMBER($L$6)=FALSE,"",
IF($C84=0,"",VLOOKUP($E84,SantoYusuf!$H$13:$L$14,5,FALSE)))</t>
  </si>
  <si>
    <t>=IF(ISNUMBER($L$6)=FALSE,"",
        IF(ISERROR(VLOOKUP($G84,SantoYusuf!$L$13:$AK$14,I$4,FALSE))=TRUE,"",
              VLOOKUP($G84,SantoYusuf!$L$13:$AK$14,I$4,FALSE)))</t>
  </si>
  <si>
    <t>=IF(ISNUMBER($L$6)=FALSE,"",
        IF(ISERROR(VLOOKUP($G84,SantoYusuf!$L$13:$AK$14,J$4,FALSE))=TRUE,"",
              VLOOKUP($G84,SantoYusuf!$L$13:$AK$14,J$4,FALSE)))</t>
  </si>
  <si>
    <t>=IF(ISNUMBER($L$6)=FALSE,"",
        IF(ISERROR(VLOOKUP($G84,SantoYusuf!$L$13:$AK$14,K$4,FALSE))=TRUE,"",
              VLOOKUP($G84,SantoYusuf!$L$13:$AK$14,K$4,FALSE)))</t>
  </si>
  <si>
    <t>=IF(ISNUMBER($L$6)=FALSE,"",
        IF(ISERROR(VLOOKUP($G84,SantoYusuf!$L$13:$AK$14,L$4,FALSE))=TRUE,"",
              VLOOKUP($G84,SantoYusuf!$L$13:$AK$14,L$4,FALSE)))</t>
  </si>
  <si>
    <t>=IF(ISNUMBER($L$6)=FALSE,"",
        IF(ISERROR(VLOOKUP($G84,SantoYusuf!$L$13:$AK$14,M$4,FALSE))=TRUE,"",
              VLOOKUP($G84,SantoYusuf!$L$13:$AK$14,M$4,FALSE)))</t>
  </si>
  <si>
    <t>=IF(ISNUMBER($L$6)=FALSE,"",
        IF(ISERROR(VLOOKUP($G84,SantoYusuf!$L$13:$AK$14,N$4,FALSE))=TRUE,"",
              VLOOKUP($G84,SantoYusuf!$L$13:$AK$14,N$4,FALSE)))</t>
  </si>
  <si>
    <t>=IF(ISNUMBER($L$6)=FALSE,"",
        IF(ISERROR(VLOOKUP($G84,SantoYusuf!$L$13:$AK$14,O$4,FALSE))=TRUE,"",
              VLOOKUP($G84,SantoYusuf!$L$13:$AK$14,O$4,FALSE)))</t>
  </si>
  <si>
    <t>=IF(ISNUMBER($L$6)=FALSE,"",
        IF(ISERROR(VLOOKUP($G84,SantoYusuf!$L$13:$AK$14,P$4,FALSE))=TRUE,"",
              VLOOKUP($G84,SantoYusuf!$L$13:$AK$14,P$4,FALSE)))</t>
  </si>
  <si>
    <t>=IF(ISNUMBER($L$6)=FALSE,"",
        IF(ISERROR(VLOOKUP($G84,SantoYusuf!$L$13:$AK$14,Q$4,FALSE))=TRUE,"",
              VLOOKUP($G84,SantoYusuf!$L$13:$AK$14,Q$4,FALSE)))</t>
  </si>
  <si>
    <t>=IF(ISNUMBER($L$6)=FALSE,"",
        IF(ISERROR(VLOOKUP($G84,SantoYusuf!$L$13:$AK$14,R$4,FALSE))=TRUE,"",
              VLOOKUP($G84,SantoYusuf!$L$13:$AK$14,R$4,FALSE)))</t>
  </si>
  <si>
    <t>=IF(ISNUMBER($L$6)=FALSE,"",
        IF(ISERROR(VLOOKUP($G84,SantoYusuf!$L$13:$AK$14,S$4,FALSE))=TRUE,"",
              VLOOKUP($G84,SantoYusuf!$L$13:$AK$14,S$4,FALSE)))</t>
  </si>
  <si>
    <t>=IF(ISNUMBER($L$6)=FALSE,"",
        IF(ISERROR(VLOOKUP($G84,SantoYusuf!$L$13:$AK$14,T$4,FALSE))=TRUE,"",
              VLOOKUP($G84,SantoYusuf!$L$13:$AK$14,T$4,FALSE)))</t>
  </si>
  <si>
    <t>=IF(ISNUMBER($L$6)=FALSE,"",
        IF(ISERROR(VLOOKUP($G84,SantoYusuf!$L$13:$AK$14,U$4,FALSE))=TRUE,"",
              VLOOKUP($G84,SantoYusuf!$L$13:$AK$14,U$4,FALSE)))</t>
  </si>
  <si>
    <t>=IF(ISNUMBER($L$6)=FALSE,"",
        IF(ISERROR(VLOOKUP($G84,SantoYusuf!$L$13:$AK$14,V$4,FALSE))=TRUE,"",
              VLOOKUP($G84,SantoYusuf!$L$13:$AK$14,V$4,FALSE)))</t>
  </si>
  <si>
    <t>=IF(ISNUMBER($L$6)=FALSE,"",
        IF(ISERROR(VLOOKUP($G84,SantoYusuf!$L$13:$AK$14,W$4,FALSE))=TRUE,"",
              VLOOKUP($G84,SantoYusuf!$L$13:$AK$14,W$4,FALSE)))</t>
  </si>
  <si>
    <t>=IF(ISNUMBER($L$6)=FALSE,"",
        IF(ISERROR(VLOOKUP($G84,SantoYusuf!$L$13:$AK$14,X$4,FALSE))=TRUE,"",
              VLOOKUP($G84,SantoYusuf!$L$13:$AK$14,X$4,FALSE)))</t>
  </si>
  <si>
    <t>=IF(ISNUMBER($L$6)=FALSE,"",
        IF(ISERROR(VLOOKUP($G84,SantoYusuf!$L$13:$AK$14,Y$4,FALSE))=TRUE,"",
              VLOOKUP($G84,SantoYusuf!$L$13:$AK$14,Y$4,FALSE)))</t>
  </si>
  <si>
    <t>=IF(ISNUMBER($L$6)=FALSE,"",
        IF(ISERROR(VLOOKUP($G84,SantoYusuf!$L$13:$AK$14,Z$4,FALSE))=TRUE,"",
              VLOOKUP($G84,SantoYusuf!$L$13:$AK$14,Z$4,FALSE)))</t>
  </si>
  <si>
    <t>=IF(ISNUMBER($L$6)=FALSE,"",
        IF(ISERROR(VLOOKUP($G84,SantoYusuf!$L$13:$AK$14,AA$4,FALSE))=TRUE,"",
              VLOOKUP($G84,SantoYusuf!$L$13:$AK$14,AA$4,FALSE)))</t>
  </si>
  <si>
    <t>=IF(ISNUMBER($L$6)=FALSE,"",
        IF(ISERROR(VLOOKUP($G84,SantoYusuf!$L$13:$AK$14,AB$4,FALSE))=TRUE,"",
              VLOOKUP($G84,SantoYusuf!$L$13:$AK$14,AB$4,FALSE)))</t>
  </si>
  <si>
    <t>=IF(ISNUMBER($L$6)=FALSE,"",
        IF(ISERROR(VLOOKUP($G84,SantoYusuf!$L$13:$AK$14,AC$4,FALSE))=TRUE,"",
              VLOOKUP($G84,SantoYusuf!$L$13:$AK$14,AC$4,FALSE)))</t>
  </si>
  <si>
    <t>=IF(ISNUMBER($L$6)=FALSE,"",
        IF(ISERROR(VLOOKUP($G84,SantoYusuf!$L$13:$AK$14,AD$4,FALSE))=TRUE,"",
              VLOOKUP($G84,SantoYusuf!$L$13:$AK$14,AD$4,FALSE)))</t>
  </si>
  <si>
    <t>=IF(ISNUMBER($L$6)=FALSE,"",
        IF(ISERROR(VLOOKUP($G84,SantoYusuf!$L$13:$AK$14,AE$4,FALSE))=TRUE,"",
              VLOOKUP($G84,SantoYusuf!$L$13:$AK$14,AE$4,FALSE)))</t>
  </si>
  <si>
    <t>=IF(ISNUMBER($L$6)=FALSE,"",
        IF(ISERROR(VLOOKUP($G84,SantoYusuf!$L$13:$AK$14,AF$4,FALSE))=TRUE,"",
              VLOOKUP($G84,SantoYusuf!$L$13:$AK$14,AF$4,FALSE)))</t>
  </si>
  <si>
    <t>=IF(ISNUMBER($L$6)=FALSE,"",
IF($C85=0,"",VLOOKUP($E85,SantoYusuf!$H$13:$L$14,4,FALSE)))</t>
  </si>
  <si>
    <t>=IF(ISNUMBER($L$6)=FALSE,"",
IF($C85=0,"",VLOOKUP($E85,SantoYusuf!$H$13:$L$14,5,FALSE)))</t>
  </si>
  <si>
    <t>=IF(ISNUMBER($L$6)=FALSE,"",
        IF(ISERROR(VLOOKUP($G85,SantoYusuf!$L$13:$AK$14,I$4,FALSE))=TRUE,"",
              VLOOKUP($G85,SantoYusuf!$L$13:$AK$14,I$4,FALSE)))</t>
  </si>
  <si>
    <t>=IF(ISNUMBER($L$6)=FALSE,"",
        IF(ISERROR(VLOOKUP($G85,SantoYusuf!$L$13:$AK$14,J$4,FALSE))=TRUE,"",
              VLOOKUP($G85,SantoYusuf!$L$13:$AK$14,J$4,FALSE)))</t>
  </si>
  <si>
    <t>=IF(ISNUMBER($L$6)=FALSE,"",
        IF(ISERROR(VLOOKUP($G85,SantoYusuf!$L$13:$AK$14,K$4,FALSE))=TRUE,"",
              VLOOKUP($G85,SantoYusuf!$L$13:$AK$14,K$4,FALSE)))</t>
  </si>
  <si>
    <t>=IF(ISNUMBER($L$6)=FALSE,"",
        IF(ISERROR(VLOOKUP($G85,SantoYusuf!$L$13:$AK$14,L$4,FALSE))=TRUE,"",
              VLOOKUP($G85,SantoYusuf!$L$13:$AK$14,L$4,FALSE)))</t>
  </si>
  <si>
    <t>=IF(ISNUMBER($L$6)=FALSE,"",
        IF(ISERROR(VLOOKUP($G85,SantoYusuf!$L$13:$AK$14,M$4,FALSE))=TRUE,"",
              VLOOKUP($G85,SantoYusuf!$L$13:$AK$14,M$4,FALSE)))</t>
  </si>
  <si>
    <t>=IF(ISNUMBER($L$6)=FALSE,"",
        IF(ISERROR(VLOOKUP($G85,SantoYusuf!$L$13:$AK$14,N$4,FALSE))=TRUE,"",
              VLOOKUP($G85,SantoYusuf!$L$13:$AK$14,N$4,FALSE)))</t>
  </si>
  <si>
    <t>=IF(ISNUMBER($L$6)=FALSE,"",
        IF(ISERROR(VLOOKUP($G85,SantoYusuf!$L$13:$AK$14,O$4,FALSE))=TRUE,"",
              VLOOKUP($G85,SantoYusuf!$L$13:$AK$14,O$4,FALSE)))</t>
  </si>
  <si>
    <t>=IF(ISNUMBER($L$6)=FALSE,"",
        IF(ISERROR(VLOOKUP($G85,SantoYusuf!$L$13:$AK$14,P$4,FALSE))=TRUE,"",
              VLOOKUP($G85,SantoYusuf!$L$13:$AK$14,P$4,FALSE)))</t>
  </si>
  <si>
    <t>=IF(ISNUMBER($L$6)=FALSE,"",
        IF(ISERROR(VLOOKUP($G85,SantoYusuf!$L$13:$AK$14,Q$4,FALSE))=TRUE,"",
              VLOOKUP($G85,SantoYusuf!$L$13:$AK$14,Q$4,FALSE)))</t>
  </si>
  <si>
    <t>=IF(ISNUMBER($L$6)=FALSE,"",
        IF(ISERROR(VLOOKUP($G85,SantoYusuf!$L$13:$AK$14,R$4,FALSE))=TRUE,"",
              VLOOKUP($G85,SantoYusuf!$L$13:$AK$14,R$4,FALSE)))</t>
  </si>
  <si>
    <t>=IF(ISNUMBER($L$6)=FALSE,"",
        IF(ISERROR(VLOOKUP($G85,SantoYusuf!$L$13:$AK$14,S$4,FALSE))=TRUE,"",
              VLOOKUP($G85,SantoYusuf!$L$13:$AK$14,S$4,FALSE)))</t>
  </si>
  <si>
    <t>=IF(ISNUMBER($L$6)=FALSE,"",
        IF(ISERROR(VLOOKUP($G85,SantoYusuf!$L$13:$AK$14,T$4,FALSE))=TRUE,"",
              VLOOKUP($G85,SantoYusuf!$L$13:$AK$14,T$4,FALSE)))</t>
  </si>
  <si>
    <t>=IF(ISNUMBER($L$6)=FALSE,"",
        IF(ISERROR(VLOOKUP($G85,SantoYusuf!$L$13:$AK$14,U$4,FALSE))=TRUE,"",
              VLOOKUP($G85,SantoYusuf!$L$13:$AK$14,U$4,FALSE)))</t>
  </si>
  <si>
    <t>=IF(ISNUMBER($L$6)=FALSE,"",
        IF(ISERROR(VLOOKUP($G85,SantoYusuf!$L$13:$AK$14,V$4,FALSE))=TRUE,"",
              VLOOKUP($G85,SantoYusuf!$L$13:$AK$14,V$4,FALSE)))</t>
  </si>
  <si>
    <t>=IF(ISNUMBER($L$6)=FALSE,"",
        IF(ISERROR(VLOOKUP($G85,SantoYusuf!$L$13:$AK$14,W$4,FALSE))=TRUE,"",
              VLOOKUP($G85,SantoYusuf!$L$13:$AK$14,W$4,FALSE)))</t>
  </si>
  <si>
    <t>=IF(ISNUMBER($L$6)=FALSE,"",
        IF(ISERROR(VLOOKUP($G85,SantoYusuf!$L$13:$AK$14,X$4,FALSE))=TRUE,"",
              VLOOKUP($G85,SantoYusuf!$L$13:$AK$14,X$4,FALSE)))</t>
  </si>
  <si>
    <t>=IF(ISNUMBER($L$6)=FALSE,"",
        IF(ISERROR(VLOOKUP($G85,SantoYusuf!$L$13:$AK$14,Y$4,FALSE))=TRUE,"",
              VLOOKUP($G85,SantoYusuf!$L$13:$AK$14,Y$4,FALSE)))</t>
  </si>
  <si>
    <t>=IF(ISNUMBER($L$6)=FALSE,"",
        IF(ISERROR(VLOOKUP($G85,SantoYusuf!$L$13:$AK$14,Z$4,FALSE))=TRUE,"",
              VLOOKUP($G85,SantoYusuf!$L$13:$AK$14,Z$4,FALSE)))</t>
  </si>
  <si>
    <t>=IF(ISNUMBER($L$6)=FALSE,"",
        IF(ISERROR(VLOOKUP($G85,SantoYusuf!$L$13:$AK$14,AA$4,FALSE))=TRUE,"",
              VLOOKUP($G85,SantoYusuf!$L$13:$AK$14,AA$4,FALSE)))</t>
  </si>
  <si>
    <t>=IF(ISNUMBER($L$6)=FALSE,"",
        IF(ISERROR(VLOOKUP($G85,SantoYusuf!$L$13:$AK$14,AB$4,FALSE))=TRUE,"",
              VLOOKUP($G85,SantoYusuf!$L$13:$AK$14,AB$4,FALSE)))</t>
  </si>
  <si>
    <t>=IF(ISNUMBER($L$6)=FALSE,"",
        IF(ISERROR(VLOOKUP($G85,SantoYusuf!$L$13:$AK$14,AC$4,FALSE))=TRUE,"",
              VLOOKUP($G85,SantoYusuf!$L$13:$AK$14,AC$4,FALSE)))</t>
  </si>
  <si>
    <t>=IF(ISNUMBER($L$6)=FALSE,"",
        IF(ISERROR(VLOOKUP($G85,SantoYusuf!$L$13:$AK$14,AD$4,FALSE))=TRUE,"",
              VLOOKUP($G85,SantoYusuf!$L$13:$AK$14,AD$4,FALSE)))</t>
  </si>
  <si>
    <t>=IF(ISNUMBER($L$6)=FALSE,"",
        IF(ISERROR(VLOOKUP($G85,SantoYusuf!$L$13:$AK$14,AE$4,FALSE))=TRUE,"",
              VLOOKUP($G85,SantoYusuf!$L$13:$AK$14,AE$4,FALSE)))</t>
  </si>
  <si>
    <t>=IF(ISNUMBER($L$6)=FALSE,"",
        IF(ISERROR(VLOOKUP($G85,SantoYusuf!$L$13:$AK$14,AF$4,FALSE))=TRUE,"",
              VLOOKUP($G85,SantoYusuf!$L$13:$AK$14,AF$4,FALSE)))</t>
  </si>
  <si>
    <t>=IF(ISNUMBER($L$6)=FALSE,"",
IF($C86=0,"",VLOOKUP($E86,SantoYusuf!$H$13:$L$14,4,FALSE)))</t>
  </si>
  <si>
    <t>=IF(ISNUMBER($L$6)=FALSE,"",
IF($C86=0,"",VLOOKUP($E86,SantoYusuf!$H$13:$L$14,5,FALSE)))</t>
  </si>
  <si>
    <t>=IF(ISNUMBER($L$6)=FALSE,"",
        IF(ISERROR(VLOOKUP($G86,SantoYusuf!$L$13:$AK$14,I$4,FALSE))=TRUE,"",
              VLOOKUP($G86,SantoYusuf!$L$13:$AK$14,I$4,FALSE)))</t>
  </si>
  <si>
    <t>=IF(ISNUMBER($L$6)=FALSE,"",
        IF(ISERROR(VLOOKUP($G86,SantoYusuf!$L$13:$AK$14,J$4,FALSE))=TRUE,"",
              VLOOKUP($G86,SantoYusuf!$L$13:$AK$14,J$4,FALSE)))</t>
  </si>
  <si>
    <t>=IF(ISNUMBER($L$6)=FALSE,"",
        IF(ISERROR(VLOOKUP($G86,SantoYusuf!$L$13:$AK$14,K$4,FALSE))=TRUE,"",
              VLOOKUP($G86,SantoYusuf!$L$13:$AK$14,K$4,FALSE)))</t>
  </si>
  <si>
    <t>=IF(ISNUMBER($L$6)=FALSE,"",
        IF(ISERROR(VLOOKUP($G86,SantoYusuf!$L$13:$AK$14,L$4,FALSE))=TRUE,"",
              VLOOKUP($G86,SantoYusuf!$L$13:$AK$14,L$4,FALSE)))</t>
  </si>
  <si>
    <t>=IF(ISNUMBER($L$6)=FALSE,"",
        IF(ISERROR(VLOOKUP($G86,SantoYusuf!$L$13:$AK$14,M$4,FALSE))=TRUE,"",
              VLOOKUP($G86,SantoYusuf!$L$13:$AK$14,M$4,FALSE)))</t>
  </si>
  <si>
    <t>=IF(ISNUMBER($L$6)=FALSE,"",
        IF(ISERROR(VLOOKUP($G86,SantoYusuf!$L$13:$AK$14,N$4,FALSE))=TRUE,"",
              VLOOKUP($G86,SantoYusuf!$L$13:$AK$14,N$4,FALSE)))</t>
  </si>
  <si>
    <t>=IF(ISNUMBER($L$6)=FALSE,"",
        IF(ISERROR(VLOOKUP($G86,SantoYusuf!$L$13:$AK$14,O$4,FALSE))=TRUE,"",
              VLOOKUP($G86,SantoYusuf!$L$13:$AK$14,O$4,FALSE)))</t>
  </si>
  <si>
    <t>=IF(ISNUMBER($L$6)=FALSE,"",
        IF(ISERROR(VLOOKUP($G86,SantoYusuf!$L$13:$AK$14,P$4,FALSE))=TRUE,"",
              VLOOKUP($G86,SantoYusuf!$L$13:$AK$14,P$4,FALSE)))</t>
  </si>
  <si>
    <t>=IF(ISNUMBER($L$6)=FALSE,"",
        IF(ISERROR(VLOOKUP($G86,SantoYusuf!$L$13:$AK$14,Q$4,FALSE))=TRUE,"",
              VLOOKUP($G86,SantoYusuf!$L$13:$AK$14,Q$4,FALSE)))</t>
  </si>
  <si>
    <t>=IF(ISNUMBER($L$6)=FALSE,"",
        IF(ISERROR(VLOOKUP($G86,SantoYusuf!$L$13:$AK$14,R$4,FALSE))=TRUE,"",
              VLOOKUP($G86,SantoYusuf!$L$13:$AK$14,R$4,FALSE)))</t>
  </si>
  <si>
    <t>=IF(ISNUMBER($L$6)=FALSE,"",
        IF(ISERROR(VLOOKUP($G86,SantoYusuf!$L$13:$AK$14,S$4,FALSE))=TRUE,"",
              VLOOKUP($G86,SantoYusuf!$L$13:$AK$14,S$4,FALSE)))</t>
  </si>
  <si>
    <t>=IF(ISNUMBER($L$6)=FALSE,"",
        IF(ISERROR(VLOOKUP($G86,SantoYusuf!$L$13:$AK$14,T$4,FALSE))=TRUE,"",
              VLOOKUP($G86,SantoYusuf!$L$13:$AK$14,T$4,FALSE)))</t>
  </si>
  <si>
    <t>=IF(ISNUMBER($L$6)=FALSE,"",
        IF(ISERROR(VLOOKUP($G86,SantoYusuf!$L$13:$AK$14,U$4,FALSE))=TRUE,"",
              VLOOKUP($G86,SantoYusuf!$L$13:$AK$14,U$4,FALSE)))</t>
  </si>
  <si>
    <t>=IF(ISNUMBER($L$6)=FALSE,"",
        IF(ISERROR(VLOOKUP($G86,SantoYusuf!$L$13:$AK$14,V$4,FALSE))=TRUE,"",
              VLOOKUP($G86,SantoYusuf!$L$13:$AK$14,V$4,FALSE)))</t>
  </si>
  <si>
    <t>=IF(ISNUMBER($L$6)=FALSE,"",
        IF(ISERROR(VLOOKUP($G86,SantoYusuf!$L$13:$AK$14,W$4,FALSE))=TRUE,"",
              VLOOKUP($G86,SantoYusuf!$L$13:$AK$14,W$4,FALSE)))</t>
  </si>
  <si>
    <t>=IF(ISNUMBER($L$6)=FALSE,"",
        IF(ISERROR(VLOOKUP($G86,SantoYusuf!$L$13:$AK$14,X$4,FALSE))=TRUE,"",
              VLOOKUP($G86,SantoYusuf!$L$13:$AK$14,X$4,FALSE)))</t>
  </si>
  <si>
    <t>=IF(ISNUMBER($L$6)=FALSE,"",
        IF(ISERROR(VLOOKUP($G86,SantoYusuf!$L$13:$AK$14,Y$4,FALSE))=TRUE,"",
              VLOOKUP($G86,SantoYusuf!$L$13:$AK$14,Y$4,FALSE)))</t>
  </si>
  <si>
    <t>=IF(ISNUMBER($L$6)=FALSE,"",
        IF(ISERROR(VLOOKUP($G86,SantoYusuf!$L$13:$AK$14,Z$4,FALSE))=TRUE,"",
              VLOOKUP($G86,SantoYusuf!$L$13:$AK$14,Z$4,FALSE)))</t>
  </si>
  <si>
    <t>=IF(ISNUMBER($L$6)=FALSE,"",
        IF(ISERROR(VLOOKUP($G86,SantoYusuf!$L$13:$AK$14,AA$4,FALSE))=TRUE,"",
              VLOOKUP($G86,SantoYusuf!$L$13:$AK$14,AA$4,FALSE)))</t>
  </si>
  <si>
    <t>=IF(ISNUMBER($L$6)=FALSE,"",
        IF(ISERROR(VLOOKUP($G86,SantoYusuf!$L$13:$AK$14,AB$4,FALSE))=TRUE,"",
              VLOOKUP($G86,SantoYusuf!$L$13:$AK$14,AB$4,FALSE)))</t>
  </si>
  <si>
    <t>=IF(ISNUMBER($L$6)=FALSE,"",
        IF(ISERROR(VLOOKUP($G86,SantoYusuf!$L$13:$AK$14,AC$4,FALSE))=TRUE,"",
              VLOOKUP($G86,SantoYusuf!$L$13:$AK$14,AC$4,FALSE)))</t>
  </si>
  <si>
    <t>=IF(ISNUMBER($L$6)=FALSE,"",
        IF(ISERROR(VLOOKUP($G86,SantoYusuf!$L$13:$AK$14,AD$4,FALSE))=TRUE,"",
              VLOOKUP($G86,SantoYusuf!$L$13:$AK$14,AD$4,FALSE)))</t>
  </si>
  <si>
    <t>=IF(ISNUMBER($L$6)=FALSE,"",
        IF(ISERROR(VLOOKUP($G86,SantoYusuf!$L$13:$AK$14,AE$4,FALSE))=TRUE,"",
              VLOOKUP($G86,SantoYusuf!$L$13:$AK$14,AE$4,FALSE)))</t>
  </si>
  <si>
    <t>=IF(ISNUMBER($L$6)=FALSE,"",
        IF(ISERROR(VLOOKUP($G86,SantoYusuf!$L$13:$AK$14,AF$4,FALSE))=TRUE,"",
              VLOOKUP($G86,SantoYusuf!$L$13:$AK$14,AF$4,FALSE)))</t>
  </si>
  <si>
    <t>=IF(ISNUMBER($L$6)=FALSE,"",
IF($C87=0,"",VLOOKUP($E87,SantoYusuf!$H$13:$L$14,4,FALSE)))</t>
  </si>
  <si>
    <t>=IF(ISNUMBER($L$6)=FALSE,"",
IF($C87=0,"",VLOOKUP($E87,SantoYusuf!$H$13:$L$14,5,FALSE)))</t>
  </si>
  <si>
    <t>=IF(ISNUMBER($L$6)=FALSE,"",
        IF(ISERROR(VLOOKUP($G87,SantoYusuf!$L$13:$AK$14,I$4,FALSE))=TRUE,"",
              VLOOKUP($G87,SantoYusuf!$L$13:$AK$14,I$4,FALSE)))</t>
  </si>
  <si>
    <t>=IF(ISNUMBER($L$6)=FALSE,"",
        IF(ISERROR(VLOOKUP($G87,SantoYusuf!$L$13:$AK$14,J$4,FALSE))=TRUE,"",
              VLOOKUP($G87,SantoYusuf!$L$13:$AK$14,J$4,FALSE)))</t>
  </si>
  <si>
    <t>=IF(ISNUMBER($L$6)=FALSE,"",
        IF(ISERROR(VLOOKUP($G87,SantoYusuf!$L$13:$AK$14,K$4,FALSE))=TRUE,"",
              VLOOKUP($G87,SantoYusuf!$L$13:$AK$14,K$4,FALSE)))</t>
  </si>
  <si>
    <t>=IF(ISNUMBER($L$6)=FALSE,"",
        IF(ISERROR(VLOOKUP($G87,SantoYusuf!$L$13:$AK$14,L$4,FALSE))=TRUE,"",
              VLOOKUP($G87,SantoYusuf!$L$13:$AK$14,L$4,FALSE)))</t>
  </si>
  <si>
    <t>=IF(ISNUMBER($L$6)=FALSE,"",
        IF(ISERROR(VLOOKUP($G87,SantoYusuf!$L$13:$AK$14,M$4,FALSE))=TRUE,"",
              VLOOKUP($G87,SantoYusuf!$L$13:$AK$14,M$4,FALSE)))</t>
  </si>
  <si>
    <t>=IF(ISNUMBER($L$6)=FALSE,"",
        IF(ISERROR(VLOOKUP($G87,SantoYusuf!$L$13:$AK$14,N$4,FALSE))=TRUE,"",
              VLOOKUP($G87,SantoYusuf!$L$13:$AK$14,N$4,FALSE)))</t>
  </si>
  <si>
    <t>=IF(ISNUMBER($L$6)=FALSE,"",
        IF(ISERROR(VLOOKUP($G87,SantoYusuf!$L$13:$AK$14,O$4,FALSE))=TRUE,"",
              VLOOKUP($G87,SantoYusuf!$L$13:$AK$14,O$4,FALSE)))</t>
  </si>
  <si>
    <t>=IF(ISNUMBER($L$6)=FALSE,"",
        IF(ISERROR(VLOOKUP($G87,SantoYusuf!$L$13:$AK$14,P$4,FALSE))=TRUE,"",
              VLOOKUP($G87,SantoYusuf!$L$13:$AK$14,P$4,FALSE)))</t>
  </si>
  <si>
    <t>=IF(ISNUMBER($L$6)=FALSE,"",
        IF(ISERROR(VLOOKUP($G87,SantoYusuf!$L$13:$AK$14,Q$4,FALSE))=TRUE,"",
              VLOOKUP($G87,SantoYusuf!$L$13:$AK$14,Q$4,FALSE)))</t>
  </si>
  <si>
    <t>=IF(ISNUMBER($L$6)=FALSE,"",
        IF(ISERROR(VLOOKUP($G87,SantoYusuf!$L$13:$AK$14,R$4,FALSE))=TRUE,"",
              VLOOKUP($G87,SantoYusuf!$L$13:$AK$14,R$4,FALSE)))</t>
  </si>
  <si>
    <t>=IF(ISNUMBER($L$6)=FALSE,"",
        IF(ISERROR(VLOOKUP($G87,SantoYusuf!$L$13:$AK$14,S$4,FALSE))=TRUE,"",
              VLOOKUP($G87,SantoYusuf!$L$13:$AK$14,S$4,FALSE)))</t>
  </si>
  <si>
    <t>=IF(ISNUMBER($L$6)=FALSE,"",
        IF(ISERROR(VLOOKUP($G87,SantoYusuf!$L$13:$AK$14,T$4,FALSE))=TRUE,"",
              VLOOKUP($G87,SantoYusuf!$L$13:$AK$14,T$4,FALSE)))</t>
  </si>
  <si>
    <t>=IF(ISNUMBER($L$6)=FALSE,"",
        IF(ISERROR(VLOOKUP($G87,SantoYusuf!$L$13:$AK$14,U$4,FALSE))=TRUE,"",
              VLOOKUP($G87,SantoYusuf!$L$13:$AK$14,U$4,FALSE)))</t>
  </si>
  <si>
    <t>=IF(ISNUMBER($L$6)=FALSE,"",
        IF(ISERROR(VLOOKUP($G87,SantoYusuf!$L$13:$AK$14,V$4,FALSE))=TRUE,"",
              VLOOKUP($G87,SantoYusuf!$L$13:$AK$14,V$4,FALSE)))</t>
  </si>
  <si>
    <t>=IF(ISNUMBER($L$6)=FALSE,"",
        IF(ISERROR(VLOOKUP($G87,SantoYusuf!$L$13:$AK$14,W$4,FALSE))=TRUE,"",
              VLOOKUP($G87,SantoYusuf!$L$13:$AK$14,W$4,FALSE)))</t>
  </si>
  <si>
    <t>=IF(ISNUMBER($L$6)=FALSE,"",
        IF(ISERROR(VLOOKUP($G87,SantoYusuf!$L$13:$AK$14,X$4,FALSE))=TRUE,"",
              VLOOKUP($G87,SantoYusuf!$L$13:$AK$14,X$4,FALSE)))</t>
  </si>
  <si>
    <t>=IF(ISNUMBER($L$6)=FALSE,"",
        IF(ISERROR(VLOOKUP($G87,SantoYusuf!$L$13:$AK$14,Y$4,FALSE))=TRUE,"",
              VLOOKUP($G87,SantoYusuf!$L$13:$AK$14,Y$4,FALSE)))</t>
  </si>
  <si>
    <t>=IF(ISNUMBER($L$6)=FALSE,"",
        IF(ISERROR(VLOOKUP($G87,SantoYusuf!$L$13:$AK$14,Z$4,FALSE))=TRUE,"",
              VLOOKUP($G87,SantoYusuf!$L$13:$AK$14,Z$4,FALSE)))</t>
  </si>
  <si>
    <t>=IF(ISNUMBER($L$6)=FALSE,"",
        IF(ISERROR(VLOOKUP($G87,SantoYusuf!$L$13:$AK$14,AA$4,FALSE))=TRUE,"",
              VLOOKUP($G87,SantoYusuf!$L$13:$AK$14,AA$4,FALSE)))</t>
  </si>
  <si>
    <t>=IF(ISNUMBER($L$6)=FALSE,"",
        IF(ISERROR(VLOOKUP($G87,SantoYusuf!$L$13:$AK$14,AB$4,FALSE))=TRUE,"",
              VLOOKUP($G87,SantoYusuf!$L$13:$AK$14,AB$4,FALSE)))</t>
  </si>
  <si>
    <t>=IF(ISNUMBER($L$6)=FALSE,"",
        IF(ISERROR(VLOOKUP($G87,SantoYusuf!$L$13:$AK$14,AC$4,FALSE))=TRUE,"",
              VLOOKUP($G87,SantoYusuf!$L$13:$AK$14,AC$4,FALSE)))</t>
  </si>
  <si>
    <t>=IF(ISNUMBER($L$6)=FALSE,"",
        IF(ISERROR(VLOOKUP($G87,SantoYusuf!$L$13:$AK$14,AD$4,FALSE))=TRUE,"",
              VLOOKUP($G87,SantoYusuf!$L$13:$AK$14,AD$4,FALSE)))</t>
  </si>
  <si>
    <t>=IF(ISNUMBER($L$6)=FALSE,"",
        IF(ISERROR(VLOOKUP($G87,SantoYusuf!$L$13:$AK$14,AE$4,FALSE))=TRUE,"",
              VLOOKUP($G87,SantoYusuf!$L$13:$AK$14,AE$4,FALSE)))</t>
  </si>
  <si>
    <t>=IF(ISNUMBER($L$6)=FALSE,"",
        IF(ISERROR(VLOOKUP($G87,SantoYusuf!$L$13:$AK$14,AF$4,FALSE))=TRUE,"",
              VLOOKUP($G87,SantoYusuf!$L$13:$AK$14,AF$4,FALSE)))</t>
  </si>
  <si>
    <t>=IF(ISNUMBER($L$6)=FALSE,"",
IF($C88=0,"",VLOOKUP($E88,SantoYusuf!$H$13:$L$14,4,FALSE)))</t>
  </si>
  <si>
    <t>=IF(ISNUMBER($L$6)=FALSE,"",
IF($C88=0,"",VLOOKUP($E88,SantoYusuf!$H$13:$L$14,5,FALSE)))</t>
  </si>
  <si>
    <t>=IF(ISNUMBER($L$6)=FALSE,"",
        IF(ISERROR(VLOOKUP($G88,SantoYusuf!$L$13:$AK$14,I$4,FALSE))=TRUE,"",
              VLOOKUP($G88,SantoYusuf!$L$13:$AK$14,I$4,FALSE)))</t>
  </si>
  <si>
    <t>=IF(ISNUMBER($L$6)=FALSE,"",
        IF(ISERROR(VLOOKUP($G88,SantoYusuf!$L$13:$AK$14,J$4,FALSE))=TRUE,"",
              VLOOKUP($G88,SantoYusuf!$L$13:$AK$14,J$4,FALSE)))</t>
  </si>
  <si>
    <t>=IF(ISNUMBER($L$6)=FALSE,"",
        IF(ISERROR(VLOOKUP($G88,SantoYusuf!$L$13:$AK$14,K$4,FALSE))=TRUE,"",
              VLOOKUP($G88,SantoYusuf!$L$13:$AK$14,K$4,FALSE)))</t>
  </si>
  <si>
    <t>=IF(ISNUMBER($L$6)=FALSE,"",
        IF(ISERROR(VLOOKUP($G88,SantoYusuf!$L$13:$AK$14,L$4,FALSE))=TRUE,"",
              VLOOKUP($G88,SantoYusuf!$L$13:$AK$14,L$4,FALSE)))</t>
  </si>
  <si>
    <t>=IF(ISNUMBER($L$6)=FALSE,"",
        IF(ISERROR(VLOOKUP($G88,SantoYusuf!$L$13:$AK$14,M$4,FALSE))=TRUE,"",
              VLOOKUP($G88,SantoYusuf!$L$13:$AK$14,M$4,FALSE)))</t>
  </si>
  <si>
    <t>=IF(ISNUMBER($L$6)=FALSE,"",
        IF(ISERROR(VLOOKUP($G88,SantoYusuf!$L$13:$AK$14,N$4,FALSE))=TRUE,"",
              VLOOKUP($G88,SantoYusuf!$L$13:$AK$14,N$4,FALSE)))</t>
  </si>
  <si>
    <t>=IF(ISNUMBER($L$6)=FALSE,"",
        IF(ISERROR(VLOOKUP($G88,SantoYusuf!$L$13:$AK$14,O$4,FALSE))=TRUE,"",
              VLOOKUP($G88,SantoYusuf!$L$13:$AK$14,O$4,FALSE)))</t>
  </si>
  <si>
    <t>=IF(ISNUMBER($L$6)=FALSE,"",
        IF(ISERROR(VLOOKUP($G88,SantoYusuf!$L$13:$AK$14,P$4,FALSE))=TRUE,"",
              VLOOKUP($G88,SantoYusuf!$L$13:$AK$14,P$4,FALSE)))</t>
  </si>
  <si>
    <t>=IF(ISNUMBER($L$6)=FALSE,"",
        IF(ISERROR(VLOOKUP($G88,SantoYusuf!$L$13:$AK$14,Q$4,FALSE))=TRUE,"",
              VLOOKUP($G88,SantoYusuf!$L$13:$AK$14,Q$4,FALSE)))</t>
  </si>
  <si>
    <t>=IF(ISNUMBER($L$6)=FALSE,"",
        IF(ISERROR(VLOOKUP($G88,SantoYusuf!$L$13:$AK$14,R$4,FALSE))=TRUE,"",
              VLOOKUP($G88,SantoYusuf!$L$13:$AK$14,R$4,FALSE)))</t>
  </si>
  <si>
    <t>=IF(ISNUMBER($L$6)=FALSE,"",
        IF(ISERROR(VLOOKUP($G88,SantoYusuf!$L$13:$AK$14,S$4,FALSE))=TRUE,"",
              VLOOKUP($G88,SantoYusuf!$L$13:$AK$14,S$4,FALSE)))</t>
  </si>
  <si>
    <t>=IF(ISNUMBER($L$6)=FALSE,"",
        IF(ISERROR(VLOOKUP($G88,SantoYusuf!$L$13:$AK$14,T$4,FALSE))=TRUE,"",
              VLOOKUP($G88,SantoYusuf!$L$13:$AK$14,T$4,FALSE)))</t>
  </si>
  <si>
    <t>=IF(ISNUMBER($L$6)=FALSE,"",
        IF(ISERROR(VLOOKUP($G88,SantoYusuf!$L$13:$AK$14,U$4,FALSE))=TRUE,"",
              VLOOKUP($G88,SantoYusuf!$L$13:$AK$14,U$4,FALSE)))</t>
  </si>
  <si>
    <t>=IF(ISNUMBER($L$6)=FALSE,"",
        IF(ISERROR(VLOOKUP($G88,SantoYusuf!$L$13:$AK$14,V$4,FALSE))=TRUE,"",
              VLOOKUP($G88,SantoYusuf!$L$13:$AK$14,V$4,FALSE)))</t>
  </si>
  <si>
    <t>=IF(ISNUMBER($L$6)=FALSE,"",
        IF(ISERROR(VLOOKUP($G88,SantoYusuf!$L$13:$AK$14,W$4,FALSE))=TRUE,"",
              VLOOKUP($G88,SantoYusuf!$L$13:$AK$14,W$4,FALSE)))</t>
  </si>
  <si>
    <t>=IF(ISNUMBER($L$6)=FALSE,"",
        IF(ISERROR(VLOOKUP($G88,SantoYusuf!$L$13:$AK$14,X$4,FALSE))=TRUE,"",
              VLOOKUP($G88,SantoYusuf!$L$13:$AK$14,X$4,FALSE)))</t>
  </si>
  <si>
    <t>=IF(ISNUMBER($L$6)=FALSE,"",
        IF(ISERROR(VLOOKUP($G88,SantoYusuf!$L$13:$AK$14,Y$4,FALSE))=TRUE,"",
              VLOOKUP($G88,SantoYusuf!$L$13:$AK$14,Y$4,FALSE)))</t>
  </si>
  <si>
    <t>=IF(ISNUMBER($L$6)=FALSE,"",
        IF(ISERROR(VLOOKUP($G88,SantoYusuf!$L$13:$AK$14,Z$4,FALSE))=TRUE,"",
              VLOOKUP($G88,SantoYusuf!$L$13:$AK$14,Z$4,FALSE)))</t>
  </si>
  <si>
    <t>=IF(ISNUMBER($L$6)=FALSE,"",
        IF(ISERROR(VLOOKUP($G88,SantoYusuf!$L$13:$AK$14,AA$4,FALSE))=TRUE,"",
              VLOOKUP($G88,SantoYusuf!$L$13:$AK$14,AA$4,FALSE)))</t>
  </si>
  <si>
    <t>=IF(ISNUMBER($L$6)=FALSE,"",
        IF(ISERROR(VLOOKUP($G88,SantoYusuf!$L$13:$AK$14,AB$4,FALSE))=TRUE,"",
              VLOOKUP($G88,SantoYusuf!$L$13:$AK$14,AB$4,FALSE)))</t>
  </si>
  <si>
    <t>=IF(ISNUMBER($L$6)=FALSE,"",
        IF(ISERROR(VLOOKUP($G88,SantoYusuf!$L$13:$AK$14,AC$4,FALSE))=TRUE,"",
              VLOOKUP($G88,SantoYusuf!$L$13:$AK$14,AC$4,FALSE)))</t>
  </si>
  <si>
    <t>=IF(ISNUMBER($L$6)=FALSE,"",
        IF(ISERROR(VLOOKUP($G88,SantoYusuf!$L$13:$AK$14,AD$4,FALSE))=TRUE,"",
              VLOOKUP($G88,SantoYusuf!$L$13:$AK$14,AD$4,FALSE)))</t>
  </si>
  <si>
    <t>=IF(ISNUMBER($L$6)=FALSE,"",
        IF(ISERROR(VLOOKUP($G88,SantoYusuf!$L$13:$AK$14,AE$4,FALSE))=TRUE,"",
              VLOOKUP($G88,SantoYusuf!$L$13:$AK$14,AE$4,FALSE)))</t>
  </si>
  <si>
    <t>=IF(ISNUMBER($L$6)=FALSE,"",
        IF(ISERROR(VLOOKUP($G88,SantoYusuf!$L$13:$AK$14,AF$4,FALSE))=TRUE,"",
              VLOOKUP($G88,SantoYusuf!$L$13:$AK$14,AF$4,FALSE)))</t>
  </si>
  <si>
    <t>=IF(ISNUMBER($L$6)=FALSE,"",
IF($C89=0,"",VLOOKUP($E89,SantoYusuf!$H$13:$L$14,4,FALSE)))</t>
  </si>
  <si>
    <t>=IF(ISNUMBER($L$6)=FALSE,"",
IF($C89=0,"",VLOOKUP($E89,SantoYusuf!$H$13:$L$14,5,FALSE)))</t>
  </si>
  <si>
    <t>=IF(ISNUMBER($L$6)=FALSE,"",
        IF(ISERROR(VLOOKUP($G89,SantoYusuf!$L$13:$AK$14,I$4,FALSE))=TRUE,"",
              VLOOKUP($G89,SantoYusuf!$L$13:$AK$14,I$4,FALSE)))</t>
  </si>
  <si>
    <t>=IF(ISNUMBER($L$6)=FALSE,"",
        IF(ISERROR(VLOOKUP($G89,SantoYusuf!$L$13:$AK$14,J$4,FALSE))=TRUE,"",
              VLOOKUP($G89,SantoYusuf!$L$13:$AK$14,J$4,FALSE)))</t>
  </si>
  <si>
    <t>=IF(ISNUMBER($L$6)=FALSE,"",
        IF(ISERROR(VLOOKUP($G89,SantoYusuf!$L$13:$AK$14,K$4,FALSE))=TRUE,"",
              VLOOKUP($G89,SantoYusuf!$L$13:$AK$14,K$4,FALSE)))</t>
  </si>
  <si>
    <t>=IF(ISNUMBER($L$6)=FALSE,"",
        IF(ISERROR(VLOOKUP($G89,SantoYusuf!$L$13:$AK$14,L$4,FALSE))=TRUE,"",
              VLOOKUP($G89,SantoYusuf!$L$13:$AK$14,L$4,FALSE)))</t>
  </si>
  <si>
    <t>=IF(ISNUMBER($L$6)=FALSE,"",
        IF(ISERROR(VLOOKUP($G89,SantoYusuf!$L$13:$AK$14,M$4,FALSE))=TRUE,"",
              VLOOKUP($G89,SantoYusuf!$L$13:$AK$14,M$4,FALSE)))</t>
  </si>
  <si>
    <t>=IF(ISNUMBER($L$6)=FALSE,"",
        IF(ISERROR(VLOOKUP($G89,SantoYusuf!$L$13:$AK$14,N$4,FALSE))=TRUE,"",
              VLOOKUP($G89,SantoYusuf!$L$13:$AK$14,N$4,FALSE)))</t>
  </si>
  <si>
    <t>=IF(ISNUMBER($L$6)=FALSE,"",
        IF(ISERROR(VLOOKUP($G89,SantoYusuf!$L$13:$AK$14,O$4,FALSE))=TRUE,"",
              VLOOKUP($G89,SantoYusuf!$L$13:$AK$14,O$4,FALSE)))</t>
  </si>
  <si>
    <t>=IF(ISNUMBER($L$6)=FALSE,"",
        IF(ISERROR(VLOOKUP($G89,SantoYusuf!$L$13:$AK$14,P$4,FALSE))=TRUE,"",
              VLOOKUP($G89,SantoYusuf!$L$13:$AK$14,P$4,FALSE)))</t>
  </si>
  <si>
    <t>=IF(ISNUMBER($L$6)=FALSE,"",
        IF(ISERROR(VLOOKUP($G89,SantoYusuf!$L$13:$AK$14,Q$4,FALSE))=TRUE,"",
              VLOOKUP($G89,SantoYusuf!$L$13:$AK$14,Q$4,FALSE)))</t>
  </si>
  <si>
    <t>=IF(ISNUMBER($L$6)=FALSE,"",
        IF(ISERROR(VLOOKUP($G89,SantoYusuf!$L$13:$AK$14,R$4,FALSE))=TRUE,"",
              VLOOKUP($G89,SantoYusuf!$L$13:$AK$14,R$4,FALSE)))</t>
  </si>
  <si>
    <t>=IF(ISNUMBER($L$6)=FALSE,"",
        IF(ISERROR(VLOOKUP($G89,SantoYusuf!$L$13:$AK$14,S$4,FALSE))=TRUE,"",
              VLOOKUP($G89,SantoYusuf!$L$13:$AK$14,S$4,FALSE)))</t>
  </si>
  <si>
    <t>=IF(ISNUMBER($L$6)=FALSE,"",
        IF(ISERROR(VLOOKUP($G89,SantoYusuf!$L$13:$AK$14,T$4,FALSE))=TRUE,"",
              VLOOKUP($G89,SantoYusuf!$L$13:$AK$14,T$4,FALSE)))</t>
  </si>
  <si>
    <t>=IF(ISNUMBER($L$6)=FALSE,"",
        IF(ISERROR(VLOOKUP($G89,SantoYusuf!$L$13:$AK$14,U$4,FALSE))=TRUE,"",
              VLOOKUP($G89,SantoYusuf!$L$13:$AK$14,U$4,FALSE)))</t>
  </si>
  <si>
    <t>=IF(ISNUMBER($L$6)=FALSE,"",
        IF(ISERROR(VLOOKUP($G89,SantoYusuf!$L$13:$AK$14,V$4,FALSE))=TRUE,"",
              VLOOKUP($G89,SantoYusuf!$L$13:$AK$14,V$4,FALSE)))</t>
  </si>
  <si>
    <t>=IF(ISNUMBER($L$6)=FALSE,"",
        IF(ISERROR(VLOOKUP($G89,SantoYusuf!$L$13:$AK$14,W$4,FALSE))=TRUE,"",
              VLOOKUP($G89,SantoYusuf!$L$13:$AK$14,W$4,FALSE)))</t>
  </si>
  <si>
    <t>=IF(ISNUMBER($L$6)=FALSE,"",
        IF(ISERROR(VLOOKUP($G89,SantoYusuf!$L$13:$AK$14,X$4,FALSE))=TRUE,"",
              VLOOKUP($G89,SantoYusuf!$L$13:$AK$14,X$4,FALSE)))</t>
  </si>
  <si>
    <t>=IF(ISNUMBER($L$6)=FALSE,"",
        IF(ISERROR(VLOOKUP($G89,SantoYusuf!$L$13:$AK$14,Y$4,FALSE))=TRUE,"",
              VLOOKUP($G89,SantoYusuf!$L$13:$AK$14,Y$4,FALSE)))</t>
  </si>
  <si>
    <t>=IF(ISNUMBER($L$6)=FALSE,"",
        IF(ISERROR(VLOOKUP($G89,SantoYusuf!$L$13:$AK$14,Z$4,FALSE))=TRUE,"",
              VLOOKUP($G89,SantoYusuf!$L$13:$AK$14,Z$4,FALSE)))</t>
  </si>
  <si>
    <t>=IF(ISNUMBER($L$6)=FALSE,"",
        IF(ISERROR(VLOOKUP($G89,SantoYusuf!$L$13:$AK$14,AA$4,FALSE))=TRUE,"",
              VLOOKUP($G89,SantoYusuf!$L$13:$AK$14,AA$4,FALSE)))</t>
  </si>
  <si>
    <t>=IF(ISNUMBER($L$6)=FALSE,"",
        IF(ISERROR(VLOOKUP($G89,SantoYusuf!$L$13:$AK$14,AB$4,FALSE))=TRUE,"",
              VLOOKUP($G89,SantoYusuf!$L$13:$AK$14,AB$4,FALSE)))</t>
  </si>
  <si>
    <t>=IF(ISNUMBER($L$6)=FALSE,"",
        IF(ISERROR(VLOOKUP($G89,SantoYusuf!$L$13:$AK$14,AC$4,FALSE))=TRUE,"",
              VLOOKUP($G89,SantoYusuf!$L$13:$AK$14,AC$4,FALSE)))</t>
  </si>
  <si>
    <t>=IF(ISNUMBER($L$6)=FALSE,"",
        IF(ISERROR(VLOOKUP($G89,SantoYusuf!$L$13:$AK$14,AD$4,FALSE))=TRUE,"",
              VLOOKUP($G89,SantoYusuf!$L$13:$AK$14,AD$4,FALSE)))</t>
  </si>
  <si>
    <t>=IF(ISNUMBER($L$6)=FALSE,"",
        IF(ISERROR(VLOOKUP($G89,SantoYusuf!$L$13:$AK$14,AE$4,FALSE))=TRUE,"",
              VLOOKUP($G89,SantoYusuf!$L$13:$AK$14,AE$4,FALSE)))</t>
  </si>
  <si>
    <t>=IF(ISNUMBER($L$6)=FALSE,"",
        IF(ISERROR(VLOOKUP($G89,SantoYusuf!$L$13:$AK$14,AF$4,FALSE))=TRUE,"",
              VLOOKUP($G89,SantoYusuf!$L$13:$AK$14,AF$4,FALSE)))</t>
  </si>
  <si>
    <t>=IF(ISNUMBER($L$6)=FALSE,"",
IF($C90=0,"",VLOOKUP($E90,SantoYusuf!$H$13:$L$14,4,FALSE)))</t>
  </si>
  <si>
    <t>=IF(ISNUMBER($L$6)=FALSE,"",
IF($C90=0,"",VLOOKUP($E90,SantoYusuf!$H$13:$L$14,5,FALSE)))</t>
  </si>
  <si>
    <t>=IF(ISNUMBER($L$6)=FALSE,"",
        IF(ISERROR(VLOOKUP($G90,SantoYusuf!$L$13:$AK$14,I$4,FALSE))=TRUE,"",
              VLOOKUP($G90,SantoYusuf!$L$13:$AK$14,I$4,FALSE)))</t>
  </si>
  <si>
    <t>=IF(ISNUMBER($L$6)=FALSE,"",
        IF(ISERROR(VLOOKUP($G90,SantoYusuf!$L$13:$AK$14,J$4,FALSE))=TRUE,"",
              VLOOKUP($G90,SantoYusuf!$L$13:$AK$14,J$4,FALSE)))</t>
  </si>
  <si>
    <t>=IF(ISNUMBER($L$6)=FALSE,"",
        IF(ISERROR(VLOOKUP($G90,SantoYusuf!$L$13:$AK$14,K$4,FALSE))=TRUE,"",
              VLOOKUP($G90,SantoYusuf!$L$13:$AK$14,K$4,FALSE)))</t>
  </si>
  <si>
    <t>=IF(ISNUMBER($L$6)=FALSE,"",
        IF(ISERROR(VLOOKUP($G90,SantoYusuf!$L$13:$AK$14,L$4,FALSE))=TRUE,"",
              VLOOKUP($G90,SantoYusuf!$L$13:$AK$14,L$4,FALSE)))</t>
  </si>
  <si>
    <t>=IF(ISNUMBER($L$6)=FALSE,"",
        IF(ISERROR(VLOOKUP($G90,SantoYusuf!$L$13:$AK$14,M$4,FALSE))=TRUE,"",
              VLOOKUP($G90,SantoYusuf!$L$13:$AK$14,M$4,FALSE)))</t>
  </si>
  <si>
    <t>=IF(ISNUMBER($L$6)=FALSE,"",
        IF(ISERROR(VLOOKUP($G90,SantoYusuf!$L$13:$AK$14,N$4,FALSE))=TRUE,"",
              VLOOKUP($G90,SantoYusuf!$L$13:$AK$14,N$4,FALSE)))</t>
  </si>
  <si>
    <t>=IF(ISNUMBER($L$6)=FALSE,"",
        IF(ISERROR(VLOOKUP($G90,SantoYusuf!$L$13:$AK$14,O$4,FALSE))=TRUE,"",
              VLOOKUP($G90,SantoYusuf!$L$13:$AK$14,O$4,FALSE)))</t>
  </si>
  <si>
    <t>=IF(ISNUMBER($L$6)=FALSE,"",
        IF(ISERROR(VLOOKUP($G90,SantoYusuf!$L$13:$AK$14,P$4,FALSE))=TRUE,"",
              VLOOKUP($G90,SantoYusuf!$L$13:$AK$14,P$4,FALSE)))</t>
  </si>
  <si>
    <t>=IF(ISNUMBER($L$6)=FALSE,"",
        IF(ISERROR(VLOOKUP($G90,SantoYusuf!$L$13:$AK$14,Q$4,FALSE))=TRUE,"",
              VLOOKUP($G90,SantoYusuf!$L$13:$AK$14,Q$4,FALSE)))</t>
  </si>
  <si>
    <t>=IF(ISNUMBER($L$6)=FALSE,"",
        IF(ISERROR(VLOOKUP($G90,SantoYusuf!$L$13:$AK$14,R$4,FALSE))=TRUE,"",
              VLOOKUP($G90,SantoYusuf!$L$13:$AK$14,R$4,FALSE)))</t>
  </si>
  <si>
    <t>=IF(ISNUMBER($L$6)=FALSE,"",
        IF(ISERROR(VLOOKUP($G90,SantoYusuf!$L$13:$AK$14,S$4,FALSE))=TRUE,"",
              VLOOKUP($G90,SantoYusuf!$L$13:$AK$14,S$4,FALSE)))</t>
  </si>
  <si>
    <t>=IF(ISNUMBER($L$6)=FALSE,"",
        IF(ISERROR(VLOOKUP($G90,SantoYusuf!$L$13:$AK$14,T$4,FALSE))=TRUE,"",
              VLOOKUP($G90,SantoYusuf!$L$13:$AK$14,T$4,FALSE)))</t>
  </si>
  <si>
    <t>=IF(ISNUMBER($L$6)=FALSE,"",
        IF(ISERROR(VLOOKUP($G90,SantoYusuf!$L$13:$AK$14,U$4,FALSE))=TRUE,"",
              VLOOKUP($G90,SantoYusuf!$L$13:$AK$14,U$4,FALSE)))</t>
  </si>
  <si>
    <t>=IF(ISNUMBER($L$6)=FALSE,"",
        IF(ISERROR(VLOOKUP($G90,SantoYusuf!$L$13:$AK$14,V$4,FALSE))=TRUE,"",
              VLOOKUP($G90,SantoYusuf!$L$13:$AK$14,V$4,FALSE)))</t>
  </si>
  <si>
    <t>=IF(ISNUMBER($L$6)=FALSE,"",
        IF(ISERROR(VLOOKUP($G90,SantoYusuf!$L$13:$AK$14,W$4,FALSE))=TRUE,"",
              VLOOKUP($G90,SantoYusuf!$L$13:$AK$14,W$4,FALSE)))</t>
  </si>
  <si>
    <t>=IF(ISNUMBER($L$6)=FALSE,"",
        IF(ISERROR(VLOOKUP($G90,SantoYusuf!$L$13:$AK$14,X$4,FALSE))=TRUE,"",
              VLOOKUP($G90,SantoYusuf!$L$13:$AK$14,X$4,FALSE)))</t>
  </si>
  <si>
    <t>=IF(ISNUMBER($L$6)=FALSE,"",
        IF(ISERROR(VLOOKUP($G90,SantoYusuf!$L$13:$AK$14,Y$4,FALSE))=TRUE,"",
              VLOOKUP($G90,SantoYusuf!$L$13:$AK$14,Y$4,FALSE)))</t>
  </si>
  <si>
    <t>=IF(ISNUMBER($L$6)=FALSE,"",
        IF(ISERROR(VLOOKUP($G90,SantoYusuf!$L$13:$AK$14,Z$4,FALSE))=TRUE,"",
              VLOOKUP($G90,SantoYusuf!$L$13:$AK$14,Z$4,FALSE)))</t>
  </si>
  <si>
    <t>=IF(ISNUMBER($L$6)=FALSE,"",
        IF(ISERROR(VLOOKUP($G90,SantoYusuf!$L$13:$AK$14,AA$4,FALSE))=TRUE,"",
              VLOOKUP($G90,SantoYusuf!$L$13:$AK$14,AA$4,FALSE)))</t>
  </si>
  <si>
    <t>=IF(ISNUMBER($L$6)=FALSE,"",
        IF(ISERROR(VLOOKUP($G90,SantoYusuf!$L$13:$AK$14,AB$4,FALSE))=TRUE,"",
              VLOOKUP($G90,SantoYusuf!$L$13:$AK$14,AB$4,FALSE)))</t>
  </si>
  <si>
    <t>=IF(ISNUMBER($L$6)=FALSE,"",
        IF(ISERROR(VLOOKUP($G90,SantoYusuf!$L$13:$AK$14,AC$4,FALSE))=TRUE,"",
              VLOOKUP($G90,SantoYusuf!$L$13:$AK$14,AC$4,FALSE)))</t>
  </si>
  <si>
    <t>=IF(ISNUMBER($L$6)=FALSE,"",
        IF(ISERROR(VLOOKUP($G90,SantoYusuf!$L$13:$AK$14,AD$4,FALSE))=TRUE,"",
              VLOOKUP($G90,SantoYusuf!$L$13:$AK$14,AD$4,FALSE)))</t>
  </si>
  <si>
    <t>=IF(ISNUMBER($L$6)=FALSE,"",
        IF(ISERROR(VLOOKUP($G90,SantoYusuf!$L$13:$AK$14,AE$4,FALSE))=TRUE,"",
              VLOOKUP($G90,SantoYusuf!$L$13:$AK$14,AE$4,FALSE)))</t>
  </si>
  <si>
    <t>=IF(ISNUMBER($L$6)=FALSE,"",
        IF(ISERROR(VLOOKUP($G90,SantoYusuf!$L$13:$AK$14,AF$4,FALSE))=TRUE,"",
              VLOOKUP($G90,SantoYusuf!$L$13:$AK$14,AF$4,FALSE)))</t>
  </si>
  <si>
    <t>=IF(ISNUMBER($L$6)=FALSE,"",
IF($C91=0,"",VLOOKUP($E91,SantoYusuf!$H$13:$L$14,4,FALSE)))</t>
  </si>
  <si>
    <t>=IF(ISNUMBER($L$6)=FALSE,"",
IF($C91=0,"",VLOOKUP($E91,SantoYusuf!$H$13:$L$14,5,FALSE)))</t>
  </si>
  <si>
    <t>=IF(ISNUMBER($L$6)=FALSE,"",
        IF(ISERROR(VLOOKUP($G91,SantoYusuf!$L$13:$AK$14,I$4,FALSE))=TRUE,"",
              VLOOKUP($G91,SantoYusuf!$L$13:$AK$14,I$4,FALSE)))</t>
  </si>
  <si>
    <t>=IF(ISNUMBER($L$6)=FALSE,"",
        IF(ISERROR(VLOOKUP($G91,SantoYusuf!$L$13:$AK$14,J$4,FALSE))=TRUE,"",
              VLOOKUP($G91,SantoYusuf!$L$13:$AK$14,J$4,FALSE)))</t>
  </si>
  <si>
    <t>=IF(ISNUMBER($L$6)=FALSE,"",
        IF(ISERROR(VLOOKUP($G91,SantoYusuf!$L$13:$AK$14,K$4,FALSE))=TRUE,"",
              VLOOKUP($G91,SantoYusuf!$L$13:$AK$14,K$4,FALSE)))</t>
  </si>
  <si>
    <t>=IF(ISNUMBER($L$6)=FALSE,"",
        IF(ISERROR(VLOOKUP($G91,SantoYusuf!$L$13:$AK$14,L$4,FALSE))=TRUE,"",
              VLOOKUP($G91,SantoYusuf!$L$13:$AK$14,L$4,FALSE)))</t>
  </si>
  <si>
    <t>=IF(ISNUMBER($L$6)=FALSE,"",
        IF(ISERROR(VLOOKUP($G91,SantoYusuf!$L$13:$AK$14,M$4,FALSE))=TRUE,"",
              VLOOKUP($G91,SantoYusuf!$L$13:$AK$14,M$4,FALSE)))</t>
  </si>
  <si>
    <t>=IF(ISNUMBER($L$6)=FALSE,"",
        IF(ISERROR(VLOOKUP($G91,SantoYusuf!$L$13:$AK$14,N$4,FALSE))=TRUE,"",
              VLOOKUP($G91,SantoYusuf!$L$13:$AK$14,N$4,FALSE)))</t>
  </si>
  <si>
    <t>=IF(ISNUMBER($L$6)=FALSE,"",
        IF(ISERROR(VLOOKUP($G91,SantoYusuf!$L$13:$AK$14,O$4,FALSE))=TRUE,"",
              VLOOKUP($G91,SantoYusuf!$L$13:$AK$14,O$4,FALSE)))</t>
  </si>
  <si>
    <t>=IF(ISNUMBER($L$6)=FALSE,"",
        IF(ISERROR(VLOOKUP($G91,SantoYusuf!$L$13:$AK$14,P$4,FALSE))=TRUE,"",
              VLOOKUP($G91,SantoYusuf!$L$13:$AK$14,P$4,FALSE)))</t>
  </si>
  <si>
    <t>=IF(ISNUMBER($L$6)=FALSE,"",
        IF(ISERROR(VLOOKUP($G91,SantoYusuf!$L$13:$AK$14,Q$4,FALSE))=TRUE,"",
              VLOOKUP($G91,SantoYusuf!$L$13:$AK$14,Q$4,FALSE)))</t>
  </si>
  <si>
    <t>=IF(ISNUMBER($L$6)=FALSE,"",
        IF(ISERROR(VLOOKUP($G91,SantoYusuf!$L$13:$AK$14,R$4,FALSE))=TRUE,"",
              VLOOKUP($G91,SantoYusuf!$L$13:$AK$14,R$4,FALSE)))</t>
  </si>
  <si>
    <t>=IF(ISNUMBER($L$6)=FALSE,"",
        IF(ISERROR(VLOOKUP($G91,SantoYusuf!$L$13:$AK$14,S$4,FALSE))=TRUE,"",
              VLOOKUP($G91,SantoYusuf!$L$13:$AK$14,S$4,FALSE)))</t>
  </si>
  <si>
    <t>=IF(ISNUMBER($L$6)=FALSE,"",
        IF(ISERROR(VLOOKUP($G91,SantoYusuf!$L$13:$AK$14,T$4,FALSE))=TRUE,"",
              VLOOKUP($G91,SantoYusuf!$L$13:$AK$14,T$4,FALSE)))</t>
  </si>
  <si>
    <t>=IF(ISNUMBER($L$6)=FALSE,"",
        IF(ISERROR(VLOOKUP($G91,SantoYusuf!$L$13:$AK$14,U$4,FALSE))=TRUE,"",
              VLOOKUP($G91,SantoYusuf!$L$13:$AK$14,U$4,FALSE)))</t>
  </si>
  <si>
    <t>=IF(ISNUMBER($L$6)=FALSE,"",
        IF(ISERROR(VLOOKUP($G91,SantoYusuf!$L$13:$AK$14,V$4,FALSE))=TRUE,"",
              VLOOKUP($G91,SantoYusuf!$L$13:$AK$14,V$4,FALSE)))</t>
  </si>
  <si>
    <t>=IF(ISNUMBER($L$6)=FALSE,"",
        IF(ISERROR(VLOOKUP($G91,SantoYusuf!$L$13:$AK$14,W$4,FALSE))=TRUE,"",
              VLOOKUP($G91,SantoYusuf!$L$13:$AK$14,W$4,FALSE)))</t>
  </si>
  <si>
    <t>=IF(ISNUMBER($L$6)=FALSE,"",
        IF(ISERROR(VLOOKUP($G91,SantoYusuf!$L$13:$AK$14,X$4,FALSE))=TRUE,"",
              VLOOKUP($G91,SantoYusuf!$L$13:$AK$14,X$4,FALSE)))</t>
  </si>
  <si>
    <t>=IF(ISNUMBER($L$6)=FALSE,"",
        IF(ISERROR(VLOOKUP($G91,SantoYusuf!$L$13:$AK$14,Y$4,FALSE))=TRUE,"",
              VLOOKUP($G91,SantoYusuf!$L$13:$AK$14,Y$4,FALSE)))</t>
  </si>
  <si>
    <t>=IF(ISNUMBER($L$6)=FALSE,"",
        IF(ISERROR(VLOOKUP($G91,SantoYusuf!$L$13:$AK$14,Z$4,FALSE))=TRUE,"",
              VLOOKUP($G91,SantoYusuf!$L$13:$AK$14,Z$4,FALSE)))</t>
  </si>
  <si>
    <t>=IF(ISNUMBER($L$6)=FALSE,"",
        IF(ISERROR(VLOOKUP($G91,SantoYusuf!$L$13:$AK$14,AA$4,FALSE))=TRUE,"",
              VLOOKUP($G91,SantoYusuf!$L$13:$AK$14,AA$4,FALSE)))</t>
  </si>
  <si>
    <t>=IF(ISNUMBER($L$6)=FALSE,"",
        IF(ISERROR(VLOOKUP($G91,SantoYusuf!$L$13:$AK$14,AB$4,FALSE))=TRUE,"",
              VLOOKUP($G91,SantoYusuf!$L$13:$AK$14,AB$4,FALSE)))</t>
  </si>
  <si>
    <t>=IF(ISNUMBER($L$6)=FALSE,"",
        IF(ISERROR(VLOOKUP($G91,SantoYusuf!$L$13:$AK$14,AC$4,FALSE))=TRUE,"",
              VLOOKUP($G91,SantoYusuf!$L$13:$AK$14,AC$4,FALSE)))</t>
  </si>
  <si>
    <t>=IF(ISNUMBER($L$6)=FALSE,"",
        IF(ISERROR(VLOOKUP($G91,SantoYusuf!$L$13:$AK$14,AD$4,FALSE))=TRUE,"",
              VLOOKUP($G91,SantoYusuf!$L$13:$AK$14,AD$4,FALSE)))</t>
  </si>
  <si>
    <t>=IF(ISNUMBER($L$6)=FALSE,"",
        IF(ISERROR(VLOOKUP($G91,SantoYusuf!$L$13:$AK$14,AE$4,FALSE))=TRUE,"",
              VLOOKUP($G91,SantoYusuf!$L$13:$AK$14,AE$4,FALSE)))</t>
  </si>
  <si>
    <t>=IF(ISNUMBER($L$6)=FALSE,"",
        IF(ISERROR(VLOOKUP($G91,SantoYusuf!$L$13:$AK$14,AF$4,FALSE))=TRUE,"",
              VLOOKUP($G91,SantoYusuf!$L$13:$AK$14,AF$4,FALSE)))</t>
  </si>
  <si>
    <t>=IF(ISNUMBER($L$6)=FALSE,"",
IF($C92=0,"",VLOOKUP($E92,SantoYusuf!$H$13:$L$14,4,FALSE)))</t>
  </si>
  <si>
    <t>=IF(ISNUMBER($L$6)=FALSE,"",
IF($C92=0,"",VLOOKUP($E92,SantoYusuf!$H$13:$L$14,5,FALSE)))</t>
  </si>
  <si>
    <t>=IF(ISNUMBER($L$6)=FALSE,"",
        IF(ISERROR(VLOOKUP($G92,SantoYusuf!$L$13:$AK$14,I$4,FALSE))=TRUE,"",
              VLOOKUP($G92,SantoYusuf!$L$13:$AK$14,I$4,FALSE)))</t>
  </si>
  <si>
    <t>=IF(ISNUMBER($L$6)=FALSE,"",
        IF(ISERROR(VLOOKUP($G92,SantoYusuf!$L$13:$AK$14,J$4,FALSE))=TRUE,"",
              VLOOKUP($G92,SantoYusuf!$L$13:$AK$14,J$4,FALSE)))</t>
  </si>
  <si>
    <t>=IF(ISNUMBER($L$6)=FALSE,"",
        IF(ISERROR(VLOOKUP($G92,SantoYusuf!$L$13:$AK$14,K$4,FALSE))=TRUE,"",
              VLOOKUP($G92,SantoYusuf!$L$13:$AK$14,K$4,FALSE)))</t>
  </si>
  <si>
    <t>=IF(ISNUMBER($L$6)=FALSE,"",
        IF(ISERROR(VLOOKUP($G92,SantoYusuf!$L$13:$AK$14,L$4,FALSE))=TRUE,"",
              VLOOKUP($G92,SantoYusuf!$L$13:$AK$14,L$4,FALSE)))</t>
  </si>
  <si>
    <t>=IF(ISNUMBER($L$6)=FALSE,"",
        IF(ISERROR(VLOOKUP($G92,SantoYusuf!$L$13:$AK$14,M$4,FALSE))=TRUE,"",
              VLOOKUP($G92,SantoYusuf!$L$13:$AK$14,M$4,FALSE)))</t>
  </si>
  <si>
    <t>=IF(ISNUMBER($L$6)=FALSE,"",
        IF(ISERROR(VLOOKUP($G92,SantoYusuf!$L$13:$AK$14,N$4,FALSE))=TRUE,"",
              VLOOKUP($G92,SantoYusuf!$L$13:$AK$14,N$4,FALSE)))</t>
  </si>
  <si>
    <t>=IF(ISNUMBER($L$6)=FALSE,"",
        IF(ISERROR(VLOOKUP($G92,SantoYusuf!$L$13:$AK$14,O$4,FALSE))=TRUE,"",
              VLOOKUP($G92,SantoYusuf!$L$13:$AK$14,O$4,FALSE)))</t>
  </si>
  <si>
    <t>=IF(ISNUMBER($L$6)=FALSE,"",
        IF(ISERROR(VLOOKUP($G92,SantoYusuf!$L$13:$AK$14,P$4,FALSE))=TRUE,"",
              VLOOKUP($G92,SantoYusuf!$L$13:$AK$14,P$4,FALSE)))</t>
  </si>
  <si>
    <t>=IF(ISNUMBER($L$6)=FALSE,"",
        IF(ISERROR(VLOOKUP($G92,SantoYusuf!$L$13:$AK$14,Q$4,FALSE))=TRUE,"",
              VLOOKUP($G92,SantoYusuf!$L$13:$AK$14,Q$4,FALSE)))</t>
  </si>
  <si>
    <t>=IF(ISNUMBER($L$6)=FALSE,"",
        IF(ISERROR(VLOOKUP($G92,SantoYusuf!$L$13:$AK$14,R$4,FALSE))=TRUE,"",
              VLOOKUP($G92,SantoYusuf!$L$13:$AK$14,R$4,FALSE)))</t>
  </si>
  <si>
    <t>=IF(ISNUMBER($L$6)=FALSE,"",
        IF(ISERROR(VLOOKUP($G92,SantoYusuf!$L$13:$AK$14,S$4,FALSE))=TRUE,"",
              VLOOKUP($G92,SantoYusuf!$L$13:$AK$14,S$4,FALSE)))</t>
  </si>
  <si>
    <t>=IF(ISNUMBER($L$6)=FALSE,"",
        IF(ISERROR(VLOOKUP($G92,SantoYusuf!$L$13:$AK$14,T$4,FALSE))=TRUE,"",
              VLOOKUP($G92,SantoYusuf!$L$13:$AK$14,T$4,FALSE)))</t>
  </si>
  <si>
    <t>=IF(ISNUMBER($L$6)=FALSE,"",
        IF(ISERROR(VLOOKUP($G92,SantoYusuf!$L$13:$AK$14,U$4,FALSE))=TRUE,"",
              VLOOKUP($G92,SantoYusuf!$L$13:$AK$14,U$4,FALSE)))</t>
  </si>
  <si>
    <t>=IF(ISNUMBER($L$6)=FALSE,"",
        IF(ISERROR(VLOOKUP($G92,SantoYusuf!$L$13:$AK$14,V$4,FALSE))=TRUE,"",
              VLOOKUP($G92,SantoYusuf!$L$13:$AK$14,V$4,FALSE)))</t>
  </si>
  <si>
    <t>=IF(ISNUMBER($L$6)=FALSE,"",
        IF(ISERROR(VLOOKUP($G92,SantoYusuf!$L$13:$AK$14,W$4,FALSE))=TRUE,"",
              VLOOKUP($G92,SantoYusuf!$L$13:$AK$14,W$4,FALSE)))</t>
  </si>
  <si>
    <t>=IF(ISNUMBER($L$6)=FALSE,"",
        IF(ISERROR(VLOOKUP($G92,SantoYusuf!$L$13:$AK$14,X$4,FALSE))=TRUE,"",
              VLOOKUP($G92,SantoYusuf!$L$13:$AK$14,X$4,FALSE)))</t>
  </si>
  <si>
    <t>=IF(ISNUMBER($L$6)=FALSE,"",
        IF(ISERROR(VLOOKUP($G92,SantoYusuf!$L$13:$AK$14,Y$4,FALSE))=TRUE,"",
              VLOOKUP($G92,SantoYusuf!$L$13:$AK$14,Y$4,FALSE)))</t>
  </si>
  <si>
    <t>=IF(ISNUMBER($L$6)=FALSE,"",
        IF(ISERROR(VLOOKUP($G92,SantoYusuf!$L$13:$AK$14,Z$4,FALSE))=TRUE,"",
              VLOOKUP($G92,SantoYusuf!$L$13:$AK$14,Z$4,FALSE)))</t>
  </si>
  <si>
    <t>=IF(ISNUMBER($L$6)=FALSE,"",
        IF(ISERROR(VLOOKUP($G92,SantoYusuf!$L$13:$AK$14,AA$4,FALSE))=TRUE,"",
              VLOOKUP($G92,SantoYusuf!$L$13:$AK$14,AA$4,FALSE)))</t>
  </si>
  <si>
    <t>=IF(ISNUMBER($L$6)=FALSE,"",
        IF(ISERROR(VLOOKUP($G92,SantoYusuf!$L$13:$AK$14,AB$4,FALSE))=TRUE,"",
              VLOOKUP($G92,SantoYusuf!$L$13:$AK$14,AB$4,FALSE)))</t>
  </si>
  <si>
    <t>=IF(ISNUMBER($L$6)=FALSE,"",
        IF(ISERROR(VLOOKUP($G92,SantoYusuf!$L$13:$AK$14,AC$4,FALSE))=TRUE,"",
              VLOOKUP($G92,SantoYusuf!$L$13:$AK$14,AC$4,FALSE)))</t>
  </si>
  <si>
    <t>=IF(ISNUMBER($L$6)=FALSE,"",
        IF(ISERROR(VLOOKUP($G92,SantoYusuf!$L$13:$AK$14,AD$4,FALSE))=TRUE,"",
              VLOOKUP($G92,SantoYusuf!$L$13:$AK$14,AD$4,FALSE)))</t>
  </si>
  <si>
    <t>=IF(ISNUMBER($L$6)=FALSE,"",
        IF(ISERROR(VLOOKUP($G92,SantoYusuf!$L$13:$AK$14,AE$4,FALSE))=TRUE,"",
              VLOOKUP($G92,SantoYusuf!$L$13:$AK$14,AE$4,FALSE)))</t>
  </si>
  <si>
    <t>=IF(ISNUMBER($L$6)=FALSE,"",
        IF(ISERROR(VLOOKUP($G92,SantoYusuf!$L$13:$AK$14,AF$4,FALSE))=TRUE,"",
              VLOOKUP($G92,SantoYusuf!$L$13:$AK$14,AF$4,FALSE)))</t>
  </si>
  <si>
    <t>=IF(ISNUMBER($L$6)=FALSE,"",
IF($C93=0,"",VLOOKUP($E93,SantoYusuf!$H$13:$L$14,4,FALSE)))</t>
  </si>
  <si>
    <t>=IF(ISNUMBER($L$6)=FALSE,"",
IF($C93=0,"",VLOOKUP($E93,SantoYusuf!$H$13:$L$14,5,FALSE)))</t>
  </si>
  <si>
    <t>=IF(ISNUMBER($L$6)=FALSE,"",
        IF(ISERROR(VLOOKUP($G93,SantoYusuf!$L$13:$AK$14,I$4,FALSE))=TRUE,"",
              VLOOKUP($G93,SantoYusuf!$L$13:$AK$14,I$4,FALSE)))</t>
  </si>
  <si>
    <t>=IF(ISNUMBER($L$6)=FALSE,"",
        IF(ISERROR(VLOOKUP($G93,SantoYusuf!$L$13:$AK$14,J$4,FALSE))=TRUE,"",
              VLOOKUP($G93,SantoYusuf!$L$13:$AK$14,J$4,FALSE)))</t>
  </si>
  <si>
    <t>=IF(ISNUMBER($L$6)=FALSE,"",
        IF(ISERROR(VLOOKUP($G93,SantoYusuf!$L$13:$AK$14,K$4,FALSE))=TRUE,"",
              VLOOKUP($G93,SantoYusuf!$L$13:$AK$14,K$4,FALSE)))</t>
  </si>
  <si>
    <t>=IF(ISNUMBER($L$6)=FALSE,"",
        IF(ISERROR(VLOOKUP($G93,SantoYusuf!$L$13:$AK$14,L$4,FALSE))=TRUE,"",
              VLOOKUP($G93,SantoYusuf!$L$13:$AK$14,L$4,FALSE)))</t>
  </si>
  <si>
    <t>=IF(ISNUMBER($L$6)=FALSE,"",
        IF(ISERROR(VLOOKUP($G93,SantoYusuf!$L$13:$AK$14,M$4,FALSE))=TRUE,"",
              VLOOKUP($G93,SantoYusuf!$L$13:$AK$14,M$4,FALSE)))</t>
  </si>
  <si>
    <t>=IF(ISNUMBER($L$6)=FALSE,"",
        IF(ISERROR(VLOOKUP($G93,SantoYusuf!$L$13:$AK$14,N$4,FALSE))=TRUE,"",
              VLOOKUP($G93,SantoYusuf!$L$13:$AK$14,N$4,FALSE)))</t>
  </si>
  <si>
    <t>=IF(ISNUMBER($L$6)=FALSE,"",
        IF(ISERROR(VLOOKUP($G93,SantoYusuf!$L$13:$AK$14,O$4,FALSE))=TRUE,"",
              VLOOKUP($G93,SantoYusuf!$L$13:$AK$14,O$4,FALSE)))</t>
  </si>
  <si>
    <t>=IF(ISNUMBER($L$6)=FALSE,"",
        IF(ISERROR(VLOOKUP($G93,SantoYusuf!$L$13:$AK$14,P$4,FALSE))=TRUE,"",
              VLOOKUP($G93,SantoYusuf!$L$13:$AK$14,P$4,FALSE)))</t>
  </si>
  <si>
    <t>=IF(ISNUMBER($L$6)=FALSE,"",
        IF(ISERROR(VLOOKUP($G93,SantoYusuf!$L$13:$AK$14,Q$4,FALSE))=TRUE,"",
              VLOOKUP($G93,SantoYusuf!$L$13:$AK$14,Q$4,FALSE)))</t>
  </si>
  <si>
    <t>=IF(ISNUMBER($L$6)=FALSE,"",
        IF(ISERROR(VLOOKUP($G93,SantoYusuf!$L$13:$AK$14,R$4,FALSE))=TRUE,"",
              VLOOKUP($G93,SantoYusuf!$L$13:$AK$14,R$4,FALSE)))</t>
  </si>
  <si>
    <t>=IF(ISNUMBER($L$6)=FALSE,"",
        IF(ISERROR(VLOOKUP($G93,SantoYusuf!$L$13:$AK$14,S$4,FALSE))=TRUE,"",
              VLOOKUP($G93,SantoYusuf!$L$13:$AK$14,S$4,FALSE)))</t>
  </si>
  <si>
    <t>=IF(ISNUMBER($L$6)=FALSE,"",
        IF(ISERROR(VLOOKUP($G93,SantoYusuf!$L$13:$AK$14,T$4,FALSE))=TRUE,"",
              VLOOKUP($G93,SantoYusuf!$L$13:$AK$14,T$4,FALSE)))</t>
  </si>
  <si>
    <t>=IF(ISNUMBER($L$6)=FALSE,"",
        IF(ISERROR(VLOOKUP($G93,SantoYusuf!$L$13:$AK$14,U$4,FALSE))=TRUE,"",
              VLOOKUP($G93,SantoYusuf!$L$13:$AK$14,U$4,FALSE)))</t>
  </si>
  <si>
    <t>=IF(ISNUMBER($L$6)=FALSE,"",
        IF(ISERROR(VLOOKUP($G93,SantoYusuf!$L$13:$AK$14,V$4,FALSE))=TRUE,"",
              VLOOKUP($G93,SantoYusuf!$L$13:$AK$14,V$4,FALSE)))</t>
  </si>
  <si>
    <t>=IF(ISNUMBER($L$6)=FALSE,"",
        IF(ISERROR(VLOOKUP($G93,SantoYusuf!$L$13:$AK$14,W$4,FALSE))=TRUE,"",
              VLOOKUP($G93,SantoYusuf!$L$13:$AK$14,W$4,FALSE)))</t>
  </si>
  <si>
    <t>=IF(ISNUMBER($L$6)=FALSE,"",
        IF(ISERROR(VLOOKUP($G93,SantoYusuf!$L$13:$AK$14,X$4,FALSE))=TRUE,"",
              VLOOKUP($G93,SantoYusuf!$L$13:$AK$14,X$4,FALSE)))</t>
  </si>
  <si>
    <t>=IF(ISNUMBER($L$6)=FALSE,"",
        IF(ISERROR(VLOOKUP($G93,SantoYusuf!$L$13:$AK$14,Y$4,FALSE))=TRUE,"",
              VLOOKUP($G93,SantoYusuf!$L$13:$AK$14,Y$4,FALSE)))</t>
  </si>
  <si>
    <t>=IF(ISNUMBER($L$6)=FALSE,"",
        IF(ISERROR(VLOOKUP($G93,SantoYusuf!$L$13:$AK$14,Z$4,FALSE))=TRUE,"",
              VLOOKUP($G93,SantoYusuf!$L$13:$AK$14,Z$4,FALSE)))</t>
  </si>
  <si>
    <t>=IF(ISNUMBER($L$6)=FALSE,"",
        IF(ISERROR(VLOOKUP($G93,SantoYusuf!$L$13:$AK$14,AA$4,FALSE))=TRUE,"",
              VLOOKUP($G93,SantoYusuf!$L$13:$AK$14,AA$4,FALSE)))</t>
  </si>
  <si>
    <t>=IF(ISNUMBER($L$6)=FALSE,"",
        IF(ISERROR(VLOOKUP($G93,SantoYusuf!$L$13:$AK$14,AB$4,FALSE))=TRUE,"",
              VLOOKUP($G93,SantoYusuf!$L$13:$AK$14,AB$4,FALSE)))</t>
  </si>
  <si>
    <t>=IF(ISNUMBER($L$6)=FALSE,"",
        IF(ISERROR(VLOOKUP($G93,SantoYusuf!$L$13:$AK$14,AC$4,FALSE))=TRUE,"",
              VLOOKUP($G93,SantoYusuf!$L$13:$AK$14,AC$4,FALSE)))</t>
  </si>
  <si>
    <t>=IF(ISNUMBER($L$6)=FALSE,"",
        IF(ISERROR(VLOOKUP($G93,SantoYusuf!$L$13:$AK$14,AD$4,FALSE))=TRUE,"",
              VLOOKUP($G93,SantoYusuf!$L$13:$AK$14,AD$4,FALSE)))</t>
  </si>
  <si>
    <t>=IF(ISNUMBER($L$6)=FALSE,"",
        IF(ISERROR(VLOOKUP($G93,SantoYusuf!$L$13:$AK$14,AE$4,FALSE))=TRUE,"",
              VLOOKUP($G93,SantoYusuf!$L$13:$AK$14,AE$4,FALSE)))</t>
  </si>
  <si>
    <t>=IF(ISNUMBER($L$6)=FALSE,"",
        IF(ISERROR(VLOOKUP($G93,SantoYusuf!$L$13:$AK$14,AF$4,FALSE))=TRUE,"",
              VLOOKUP($G93,SantoYusuf!$L$13:$AK$14,AF$4,FALSE)))</t>
  </si>
  <si>
    <t>=IF(ISNUMBER($L$6)=FALSE,"",
IF($C94=0,"",VLOOKUP($E94,SantoYusuf!$H$13:$L$14,4,FALSE)))</t>
  </si>
  <si>
    <t>=IF(ISNUMBER($L$6)=FALSE,"",
IF($C94=0,"",VLOOKUP($E94,SantoYusuf!$H$13:$L$14,5,FALSE)))</t>
  </si>
  <si>
    <t>=IF(ISNUMBER($L$6)=FALSE,"",
        IF(ISERROR(VLOOKUP($G94,SantoYusuf!$L$13:$AK$14,I$4,FALSE))=TRUE,"",
              VLOOKUP($G94,SantoYusuf!$L$13:$AK$14,I$4,FALSE)))</t>
  </si>
  <si>
    <t>=IF(ISNUMBER($L$6)=FALSE,"",
        IF(ISERROR(VLOOKUP($G94,SantoYusuf!$L$13:$AK$14,J$4,FALSE))=TRUE,"",
              VLOOKUP($G94,SantoYusuf!$L$13:$AK$14,J$4,FALSE)))</t>
  </si>
  <si>
    <t>=IF(ISNUMBER($L$6)=FALSE,"",
        IF(ISERROR(VLOOKUP($G94,SantoYusuf!$L$13:$AK$14,K$4,FALSE))=TRUE,"",
              VLOOKUP($G94,SantoYusuf!$L$13:$AK$14,K$4,FALSE)))</t>
  </si>
  <si>
    <t>=IF(ISNUMBER($L$6)=FALSE,"",
        IF(ISERROR(VLOOKUP($G94,SantoYusuf!$L$13:$AK$14,L$4,FALSE))=TRUE,"",
              VLOOKUP($G94,SantoYusuf!$L$13:$AK$14,L$4,FALSE)))</t>
  </si>
  <si>
    <t>=IF(ISNUMBER($L$6)=FALSE,"",
        IF(ISERROR(VLOOKUP($G94,SantoYusuf!$L$13:$AK$14,M$4,FALSE))=TRUE,"",
              VLOOKUP($G94,SantoYusuf!$L$13:$AK$14,M$4,FALSE)))</t>
  </si>
  <si>
    <t>=IF(ISNUMBER($L$6)=FALSE,"",
        IF(ISERROR(VLOOKUP($G94,SantoYusuf!$L$13:$AK$14,N$4,FALSE))=TRUE,"",
              VLOOKUP($G94,SantoYusuf!$L$13:$AK$14,N$4,FALSE)))</t>
  </si>
  <si>
    <t>=IF(ISNUMBER($L$6)=FALSE,"",
        IF(ISERROR(VLOOKUP($G94,SantoYusuf!$L$13:$AK$14,O$4,FALSE))=TRUE,"",
              VLOOKUP($G94,SantoYusuf!$L$13:$AK$14,O$4,FALSE)))</t>
  </si>
  <si>
    <t>=IF(ISNUMBER($L$6)=FALSE,"",
        IF(ISERROR(VLOOKUP($G94,SantoYusuf!$L$13:$AK$14,P$4,FALSE))=TRUE,"",
              VLOOKUP($G94,SantoYusuf!$L$13:$AK$14,P$4,FALSE)))</t>
  </si>
  <si>
    <t>=IF(ISNUMBER($L$6)=FALSE,"",
        IF(ISERROR(VLOOKUP($G94,SantoYusuf!$L$13:$AK$14,Q$4,FALSE))=TRUE,"",
              VLOOKUP($G94,SantoYusuf!$L$13:$AK$14,Q$4,FALSE)))</t>
  </si>
  <si>
    <t>=IF(ISNUMBER($L$6)=FALSE,"",
        IF(ISERROR(VLOOKUP($G94,SantoYusuf!$L$13:$AK$14,R$4,FALSE))=TRUE,"",
              VLOOKUP($G94,SantoYusuf!$L$13:$AK$14,R$4,FALSE)))</t>
  </si>
  <si>
    <t>=IF(ISNUMBER($L$6)=FALSE,"",
        IF(ISERROR(VLOOKUP($G94,SantoYusuf!$L$13:$AK$14,S$4,FALSE))=TRUE,"",
              VLOOKUP($G94,SantoYusuf!$L$13:$AK$14,S$4,FALSE)))</t>
  </si>
  <si>
    <t>=IF(ISNUMBER($L$6)=FALSE,"",
        IF(ISERROR(VLOOKUP($G94,SantoYusuf!$L$13:$AK$14,T$4,FALSE))=TRUE,"",
              VLOOKUP($G94,SantoYusuf!$L$13:$AK$14,T$4,FALSE)))</t>
  </si>
  <si>
    <t>=IF(ISNUMBER($L$6)=FALSE,"",
        IF(ISERROR(VLOOKUP($G94,SantoYusuf!$L$13:$AK$14,U$4,FALSE))=TRUE,"",
              VLOOKUP($G94,SantoYusuf!$L$13:$AK$14,U$4,FALSE)))</t>
  </si>
  <si>
    <t>=IF(ISNUMBER($L$6)=FALSE,"",
        IF(ISERROR(VLOOKUP($G94,SantoYusuf!$L$13:$AK$14,V$4,FALSE))=TRUE,"",
              VLOOKUP($G94,SantoYusuf!$L$13:$AK$14,V$4,FALSE)))</t>
  </si>
  <si>
    <t>=IF(ISNUMBER($L$6)=FALSE,"",
        IF(ISERROR(VLOOKUP($G94,SantoYusuf!$L$13:$AK$14,W$4,FALSE))=TRUE,"",
              VLOOKUP($G94,SantoYusuf!$L$13:$AK$14,W$4,FALSE)))</t>
  </si>
  <si>
    <t>=IF(ISNUMBER($L$6)=FALSE,"",
        IF(ISERROR(VLOOKUP($G94,SantoYusuf!$L$13:$AK$14,X$4,FALSE))=TRUE,"",
              VLOOKUP($G94,SantoYusuf!$L$13:$AK$14,X$4,FALSE)))</t>
  </si>
  <si>
    <t>=IF(ISNUMBER($L$6)=FALSE,"",
        IF(ISERROR(VLOOKUP($G94,SantoYusuf!$L$13:$AK$14,Y$4,FALSE))=TRUE,"",
              VLOOKUP($G94,SantoYusuf!$L$13:$AK$14,Y$4,FALSE)))</t>
  </si>
  <si>
    <t>=IF(ISNUMBER($L$6)=FALSE,"",
        IF(ISERROR(VLOOKUP($G94,SantoYusuf!$L$13:$AK$14,Z$4,FALSE))=TRUE,"",
              VLOOKUP($G94,SantoYusuf!$L$13:$AK$14,Z$4,FALSE)))</t>
  </si>
  <si>
    <t>=IF(ISNUMBER($L$6)=FALSE,"",
        IF(ISERROR(VLOOKUP($G94,SantoYusuf!$L$13:$AK$14,AA$4,FALSE))=TRUE,"",
              VLOOKUP($G94,SantoYusuf!$L$13:$AK$14,AA$4,FALSE)))</t>
  </si>
  <si>
    <t>=IF(ISNUMBER($L$6)=FALSE,"",
        IF(ISERROR(VLOOKUP($G94,SantoYusuf!$L$13:$AK$14,AB$4,FALSE))=TRUE,"",
              VLOOKUP($G94,SantoYusuf!$L$13:$AK$14,AB$4,FALSE)))</t>
  </si>
  <si>
    <t>=IF(ISNUMBER($L$6)=FALSE,"",
        IF(ISERROR(VLOOKUP($G94,SantoYusuf!$L$13:$AK$14,AC$4,FALSE))=TRUE,"",
              VLOOKUP($G94,SantoYusuf!$L$13:$AK$14,AC$4,FALSE)))</t>
  </si>
  <si>
    <t>=IF(ISNUMBER($L$6)=FALSE,"",
        IF(ISERROR(VLOOKUP($G94,SantoYusuf!$L$13:$AK$14,AD$4,FALSE))=TRUE,"",
              VLOOKUP($G94,SantoYusuf!$L$13:$AK$14,AD$4,FALSE)))</t>
  </si>
  <si>
    <t>=IF(ISNUMBER($L$6)=FALSE,"",
        IF(ISERROR(VLOOKUP($G94,SantoYusuf!$L$13:$AK$14,AE$4,FALSE))=TRUE,"",
              VLOOKUP($G94,SantoYusuf!$L$13:$AK$14,AE$4,FALSE)))</t>
  </si>
  <si>
    <t>=IF(ISNUMBER($L$6)=FALSE,"",
        IF(ISERROR(VLOOKUP($G94,SantoYusuf!$L$13:$AK$14,AF$4,FALSE))=TRUE,"",
              VLOOKUP($G94,SantoYusuf!$L$13:$AK$14,AF$4,FALSE)))</t>
  </si>
  <si>
    <t>=IF(ISNUMBER($L$6)=FALSE,"",
IF($C95=0,"",VLOOKUP($E95,SantoYusuf!$H$13:$L$14,4,FALSE)))</t>
  </si>
  <si>
    <t>=IF(ISNUMBER($L$6)=FALSE,"",
IF($C95=0,"",VLOOKUP($E95,SantoYusuf!$H$13:$L$14,5,FALSE)))</t>
  </si>
  <si>
    <t>=IF(ISNUMBER($L$6)=FALSE,"",
        IF(ISERROR(VLOOKUP($G95,SantoYusuf!$L$13:$AK$14,I$4,FALSE))=TRUE,"",
              VLOOKUP($G95,SantoYusuf!$L$13:$AK$14,I$4,FALSE)))</t>
  </si>
  <si>
    <t>=IF(ISNUMBER($L$6)=FALSE,"",
        IF(ISERROR(VLOOKUP($G95,SantoYusuf!$L$13:$AK$14,J$4,FALSE))=TRUE,"",
              VLOOKUP($G95,SantoYusuf!$L$13:$AK$14,J$4,FALSE)))</t>
  </si>
  <si>
    <t>=IF(ISNUMBER($L$6)=FALSE,"",
        IF(ISERROR(VLOOKUP($G95,SantoYusuf!$L$13:$AK$14,K$4,FALSE))=TRUE,"",
              VLOOKUP($G95,SantoYusuf!$L$13:$AK$14,K$4,FALSE)))</t>
  </si>
  <si>
    <t>=IF(ISNUMBER($L$6)=FALSE,"",
        IF(ISERROR(VLOOKUP($G95,SantoYusuf!$L$13:$AK$14,L$4,FALSE))=TRUE,"",
              VLOOKUP($G95,SantoYusuf!$L$13:$AK$14,L$4,FALSE)))</t>
  </si>
  <si>
    <t>=IF(ISNUMBER($L$6)=FALSE,"",
        IF(ISERROR(VLOOKUP($G95,SantoYusuf!$L$13:$AK$14,M$4,FALSE))=TRUE,"",
              VLOOKUP($G95,SantoYusuf!$L$13:$AK$14,M$4,FALSE)))</t>
  </si>
  <si>
    <t>=IF(ISNUMBER($L$6)=FALSE,"",
        IF(ISERROR(VLOOKUP($G95,SantoYusuf!$L$13:$AK$14,N$4,FALSE))=TRUE,"",
              VLOOKUP($G95,SantoYusuf!$L$13:$AK$14,N$4,FALSE)))</t>
  </si>
  <si>
    <t>=IF(ISNUMBER($L$6)=FALSE,"",
        IF(ISERROR(VLOOKUP($G95,SantoYusuf!$L$13:$AK$14,O$4,FALSE))=TRUE,"",
              VLOOKUP($G95,SantoYusuf!$L$13:$AK$14,O$4,FALSE)))</t>
  </si>
  <si>
    <t>=IF(ISNUMBER($L$6)=FALSE,"",
        IF(ISERROR(VLOOKUP($G95,SantoYusuf!$L$13:$AK$14,P$4,FALSE))=TRUE,"",
              VLOOKUP($G95,SantoYusuf!$L$13:$AK$14,P$4,FALSE)))</t>
  </si>
  <si>
    <t>=IF(ISNUMBER($L$6)=FALSE,"",
        IF(ISERROR(VLOOKUP($G95,SantoYusuf!$L$13:$AK$14,Q$4,FALSE))=TRUE,"",
              VLOOKUP($G95,SantoYusuf!$L$13:$AK$14,Q$4,FALSE)))</t>
  </si>
  <si>
    <t>=IF(ISNUMBER($L$6)=FALSE,"",
        IF(ISERROR(VLOOKUP($G95,SantoYusuf!$L$13:$AK$14,R$4,FALSE))=TRUE,"",
              VLOOKUP($G95,SantoYusuf!$L$13:$AK$14,R$4,FALSE)))</t>
  </si>
  <si>
    <t>=IF(ISNUMBER($L$6)=FALSE,"",
        IF(ISERROR(VLOOKUP($G95,SantoYusuf!$L$13:$AK$14,S$4,FALSE))=TRUE,"",
              VLOOKUP($G95,SantoYusuf!$L$13:$AK$14,S$4,FALSE)))</t>
  </si>
  <si>
    <t>=IF(ISNUMBER($L$6)=FALSE,"",
        IF(ISERROR(VLOOKUP($G95,SantoYusuf!$L$13:$AK$14,T$4,FALSE))=TRUE,"",
              VLOOKUP($G95,SantoYusuf!$L$13:$AK$14,T$4,FALSE)))</t>
  </si>
  <si>
    <t>=IF(ISNUMBER($L$6)=FALSE,"",
        IF(ISERROR(VLOOKUP($G95,SantoYusuf!$L$13:$AK$14,U$4,FALSE))=TRUE,"",
              VLOOKUP($G95,SantoYusuf!$L$13:$AK$14,U$4,FALSE)))</t>
  </si>
  <si>
    <t>=IF(ISNUMBER($L$6)=FALSE,"",
        IF(ISERROR(VLOOKUP($G95,SantoYusuf!$L$13:$AK$14,V$4,FALSE))=TRUE,"",
              VLOOKUP($G95,SantoYusuf!$L$13:$AK$14,V$4,FALSE)))</t>
  </si>
  <si>
    <t>=IF(ISNUMBER($L$6)=FALSE,"",
        IF(ISERROR(VLOOKUP($G95,SantoYusuf!$L$13:$AK$14,W$4,FALSE))=TRUE,"",
              VLOOKUP($G95,SantoYusuf!$L$13:$AK$14,W$4,FALSE)))</t>
  </si>
  <si>
    <t>=IF(ISNUMBER($L$6)=FALSE,"",
        IF(ISERROR(VLOOKUP($G95,SantoYusuf!$L$13:$AK$14,X$4,FALSE))=TRUE,"",
              VLOOKUP($G95,SantoYusuf!$L$13:$AK$14,X$4,FALSE)))</t>
  </si>
  <si>
    <t>=IF(ISNUMBER($L$6)=FALSE,"",
        IF(ISERROR(VLOOKUP($G95,SantoYusuf!$L$13:$AK$14,Y$4,FALSE))=TRUE,"",
              VLOOKUP($G95,SantoYusuf!$L$13:$AK$14,Y$4,FALSE)))</t>
  </si>
  <si>
    <t>=IF(ISNUMBER($L$6)=FALSE,"",
        IF(ISERROR(VLOOKUP($G95,SantoYusuf!$L$13:$AK$14,Z$4,FALSE))=TRUE,"",
              VLOOKUP($G95,SantoYusuf!$L$13:$AK$14,Z$4,FALSE)))</t>
  </si>
  <si>
    <t>=IF(ISNUMBER($L$6)=FALSE,"",
        IF(ISERROR(VLOOKUP($G95,SantoYusuf!$L$13:$AK$14,AA$4,FALSE))=TRUE,"",
              VLOOKUP($G95,SantoYusuf!$L$13:$AK$14,AA$4,FALSE)))</t>
  </si>
  <si>
    <t>=IF(ISNUMBER($L$6)=FALSE,"",
        IF(ISERROR(VLOOKUP($G95,SantoYusuf!$L$13:$AK$14,AB$4,FALSE))=TRUE,"",
              VLOOKUP($G95,SantoYusuf!$L$13:$AK$14,AB$4,FALSE)))</t>
  </si>
  <si>
    <t>=IF(ISNUMBER($L$6)=FALSE,"",
        IF(ISERROR(VLOOKUP($G95,SantoYusuf!$L$13:$AK$14,AC$4,FALSE))=TRUE,"",
              VLOOKUP($G95,SantoYusuf!$L$13:$AK$14,AC$4,FALSE)))</t>
  </si>
  <si>
    <t>=IF(ISNUMBER($L$6)=FALSE,"",
        IF(ISERROR(VLOOKUP($G95,SantoYusuf!$L$13:$AK$14,AD$4,FALSE))=TRUE,"",
              VLOOKUP($G95,SantoYusuf!$L$13:$AK$14,AD$4,FALSE)))</t>
  </si>
  <si>
    <t>=IF(ISNUMBER($L$6)=FALSE,"",
        IF(ISERROR(VLOOKUP($G95,SantoYusuf!$L$13:$AK$14,AE$4,FALSE))=TRUE,"",
              VLOOKUP($G95,SantoYusuf!$L$13:$AK$14,AE$4,FALSE)))</t>
  </si>
  <si>
    <t>=IF(ISNUMBER($L$6)=FALSE,"",
        IF(ISERROR(VLOOKUP($G95,SantoYusuf!$L$13:$AK$14,AF$4,FALSE))=TRUE,"",
              VLOOKUP($G95,SantoYusuf!$L$13:$AK$14,AF$4,FALSE)))</t>
  </si>
  <si>
    <t>=IF(ISNUMBER($L$6)=FALSE,"",
IF($C96=0,"",VLOOKUP($E96,SantoYusuf!$H$13:$L$14,4,FALSE)))</t>
  </si>
  <si>
    <t>=IF(ISNUMBER($L$6)=FALSE,"",
IF($C96=0,"",VLOOKUP($E96,SantoYusuf!$H$13:$L$14,5,FALSE)))</t>
  </si>
  <si>
    <t>=IF(ISNUMBER($L$6)=FALSE,"",
        IF(ISERROR(VLOOKUP($G96,SantoYusuf!$L$13:$AK$14,I$4,FALSE))=TRUE,"",
              VLOOKUP($G96,SantoYusuf!$L$13:$AK$14,I$4,FALSE)))</t>
  </si>
  <si>
    <t>=IF(ISNUMBER($L$6)=FALSE,"",
        IF(ISERROR(VLOOKUP($G96,SantoYusuf!$L$13:$AK$14,J$4,FALSE))=TRUE,"",
              VLOOKUP($G96,SantoYusuf!$L$13:$AK$14,J$4,FALSE)))</t>
  </si>
  <si>
    <t>=IF(ISNUMBER($L$6)=FALSE,"",
        IF(ISERROR(VLOOKUP($G96,SantoYusuf!$L$13:$AK$14,K$4,FALSE))=TRUE,"",
              VLOOKUP($G96,SantoYusuf!$L$13:$AK$14,K$4,FALSE)))</t>
  </si>
  <si>
    <t>=IF(ISNUMBER($L$6)=FALSE,"",
        IF(ISERROR(VLOOKUP($G96,SantoYusuf!$L$13:$AK$14,L$4,FALSE))=TRUE,"",
              VLOOKUP($G96,SantoYusuf!$L$13:$AK$14,L$4,FALSE)))</t>
  </si>
  <si>
    <t>=IF(ISNUMBER($L$6)=FALSE,"",
        IF(ISERROR(VLOOKUP($G96,SantoYusuf!$L$13:$AK$14,M$4,FALSE))=TRUE,"",
              VLOOKUP($G96,SantoYusuf!$L$13:$AK$14,M$4,FALSE)))</t>
  </si>
  <si>
    <t>=IF(ISNUMBER($L$6)=FALSE,"",
        IF(ISERROR(VLOOKUP($G96,SantoYusuf!$L$13:$AK$14,N$4,FALSE))=TRUE,"",
              VLOOKUP($G96,SantoYusuf!$L$13:$AK$14,N$4,FALSE)))</t>
  </si>
  <si>
    <t>=IF(ISNUMBER($L$6)=FALSE,"",
        IF(ISERROR(VLOOKUP($G96,SantoYusuf!$L$13:$AK$14,O$4,FALSE))=TRUE,"",
              VLOOKUP($G96,SantoYusuf!$L$13:$AK$14,O$4,FALSE)))</t>
  </si>
  <si>
    <t>=IF(ISNUMBER($L$6)=FALSE,"",
        IF(ISERROR(VLOOKUP($G96,SantoYusuf!$L$13:$AK$14,P$4,FALSE))=TRUE,"",
              VLOOKUP($G96,SantoYusuf!$L$13:$AK$14,P$4,FALSE)))</t>
  </si>
  <si>
    <t>=IF(ISNUMBER($L$6)=FALSE,"",
        IF(ISERROR(VLOOKUP($G96,SantoYusuf!$L$13:$AK$14,Q$4,FALSE))=TRUE,"",
              VLOOKUP($G96,SantoYusuf!$L$13:$AK$14,Q$4,FALSE)))</t>
  </si>
  <si>
    <t>=IF(ISNUMBER($L$6)=FALSE,"",
        IF(ISERROR(VLOOKUP($G96,SantoYusuf!$L$13:$AK$14,R$4,FALSE))=TRUE,"",
              VLOOKUP($G96,SantoYusuf!$L$13:$AK$14,R$4,FALSE)))</t>
  </si>
  <si>
    <t>=IF(ISNUMBER($L$6)=FALSE,"",
        IF(ISERROR(VLOOKUP($G96,SantoYusuf!$L$13:$AK$14,S$4,FALSE))=TRUE,"",
              VLOOKUP($G96,SantoYusuf!$L$13:$AK$14,S$4,FALSE)))</t>
  </si>
  <si>
    <t>=IF(ISNUMBER($L$6)=FALSE,"",
        IF(ISERROR(VLOOKUP($G96,SantoYusuf!$L$13:$AK$14,T$4,FALSE))=TRUE,"",
              VLOOKUP($G96,SantoYusuf!$L$13:$AK$14,T$4,FALSE)))</t>
  </si>
  <si>
    <t>=IF(ISNUMBER($L$6)=FALSE,"",
        IF(ISERROR(VLOOKUP($G96,SantoYusuf!$L$13:$AK$14,U$4,FALSE))=TRUE,"",
              VLOOKUP($G96,SantoYusuf!$L$13:$AK$14,U$4,FALSE)))</t>
  </si>
  <si>
    <t>=IF(ISNUMBER($L$6)=FALSE,"",
        IF(ISERROR(VLOOKUP($G96,SantoYusuf!$L$13:$AK$14,V$4,FALSE))=TRUE,"",
              VLOOKUP($G96,SantoYusuf!$L$13:$AK$14,V$4,FALSE)))</t>
  </si>
  <si>
    <t>=IF(ISNUMBER($L$6)=FALSE,"",
        IF(ISERROR(VLOOKUP($G96,SantoYusuf!$L$13:$AK$14,W$4,FALSE))=TRUE,"",
              VLOOKUP($G96,SantoYusuf!$L$13:$AK$14,W$4,FALSE)))</t>
  </si>
  <si>
    <t>=IF(ISNUMBER($L$6)=FALSE,"",
        IF(ISERROR(VLOOKUP($G96,SantoYusuf!$L$13:$AK$14,X$4,FALSE))=TRUE,"",
              VLOOKUP($G96,SantoYusuf!$L$13:$AK$14,X$4,FALSE)))</t>
  </si>
  <si>
    <t>=IF(ISNUMBER($L$6)=FALSE,"",
        IF(ISERROR(VLOOKUP($G96,SantoYusuf!$L$13:$AK$14,Y$4,FALSE))=TRUE,"",
              VLOOKUP($G96,SantoYusuf!$L$13:$AK$14,Y$4,FALSE)))</t>
  </si>
  <si>
    <t>=IF(ISNUMBER($L$6)=FALSE,"",
        IF(ISERROR(VLOOKUP($G96,SantoYusuf!$L$13:$AK$14,Z$4,FALSE))=TRUE,"",
              VLOOKUP($G96,SantoYusuf!$L$13:$AK$14,Z$4,FALSE)))</t>
  </si>
  <si>
    <t>=IF(ISNUMBER($L$6)=FALSE,"",
        IF(ISERROR(VLOOKUP($G96,SantoYusuf!$L$13:$AK$14,AA$4,FALSE))=TRUE,"",
              VLOOKUP($G96,SantoYusuf!$L$13:$AK$14,AA$4,FALSE)))</t>
  </si>
  <si>
    <t>=IF(ISNUMBER($L$6)=FALSE,"",
        IF(ISERROR(VLOOKUP($G96,SantoYusuf!$L$13:$AK$14,AB$4,FALSE))=TRUE,"",
              VLOOKUP($G96,SantoYusuf!$L$13:$AK$14,AB$4,FALSE)))</t>
  </si>
  <si>
    <t>=IF(ISNUMBER($L$6)=FALSE,"",
        IF(ISERROR(VLOOKUP($G96,SantoYusuf!$L$13:$AK$14,AC$4,FALSE))=TRUE,"",
              VLOOKUP($G96,SantoYusuf!$L$13:$AK$14,AC$4,FALSE)))</t>
  </si>
  <si>
    <t>=IF(ISNUMBER($L$6)=FALSE,"",
        IF(ISERROR(VLOOKUP($G96,SantoYusuf!$L$13:$AK$14,AD$4,FALSE))=TRUE,"",
              VLOOKUP($G96,SantoYusuf!$L$13:$AK$14,AD$4,FALSE)))</t>
  </si>
  <si>
    <t>=IF(ISNUMBER($L$6)=FALSE,"",
        IF(ISERROR(VLOOKUP($G96,SantoYusuf!$L$13:$AK$14,AE$4,FALSE))=TRUE,"",
              VLOOKUP($G96,SantoYusuf!$L$13:$AK$14,AE$4,FALSE)))</t>
  </si>
  <si>
    <t>=IF(ISNUMBER($L$6)=FALSE,"",
        IF(ISERROR(VLOOKUP($G96,SantoYusuf!$L$13:$AK$14,AF$4,FALSE))=TRUE,"",
              VLOOKUP($G96,SantoYusuf!$L$13:$AK$14,AF$4,FALSE)))</t>
  </si>
  <si>
    <t>=IF(ISNUMBER($L$6)=FALSE,"",
IF($C97=0,"",VLOOKUP($E97,SantoYusuf!$H$13:$L$14,4,FALSE)))</t>
  </si>
  <si>
    <t>=IF(ISNUMBER($L$6)=FALSE,"",
IF($C97=0,"",VLOOKUP($E97,SantoYusuf!$H$13:$L$14,5,FALSE)))</t>
  </si>
  <si>
    <t>=IF(ISNUMBER($L$6)=FALSE,"",
        IF(ISERROR(VLOOKUP($G97,SantoYusuf!$L$13:$AK$14,I$4,FALSE))=TRUE,"",
              VLOOKUP($G97,SantoYusuf!$L$13:$AK$14,I$4,FALSE)))</t>
  </si>
  <si>
    <t>=IF(ISNUMBER($L$6)=FALSE,"",
        IF(ISERROR(VLOOKUP($G97,SantoYusuf!$L$13:$AK$14,J$4,FALSE))=TRUE,"",
              VLOOKUP($G97,SantoYusuf!$L$13:$AK$14,J$4,FALSE)))</t>
  </si>
  <si>
    <t>=IF(ISNUMBER($L$6)=FALSE,"",
        IF(ISERROR(VLOOKUP($G97,SantoYusuf!$L$13:$AK$14,K$4,FALSE))=TRUE,"",
              VLOOKUP($G97,SantoYusuf!$L$13:$AK$14,K$4,FALSE)))</t>
  </si>
  <si>
    <t>=IF(ISNUMBER($L$6)=FALSE,"",
        IF(ISERROR(VLOOKUP($G97,SantoYusuf!$L$13:$AK$14,L$4,FALSE))=TRUE,"",
              VLOOKUP($G97,SantoYusuf!$L$13:$AK$14,L$4,FALSE)))</t>
  </si>
  <si>
    <t>=IF(ISNUMBER($L$6)=FALSE,"",
        IF(ISERROR(VLOOKUP($G97,SantoYusuf!$L$13:$AK$14,M$4,FALSE))=TRUE,"",
              VLOOKUP($G97,SantoYusuf!$L$13:$AK$14,M$4,FALSE)))</t>
  </si>
  <si>
    <t>=IF(ISNUMBER($L$6)=FALSE,"",
        IF(ISERROR(VLOOKUP($G97,SantoYusuf!$L$13:$AK$14,N$4,FALSE))=TRUE,"",
              VLOOKUP($G97,SantoYusuf!$L$13:$AK$14,N$4,FALSE)))</t>
  </si>
  <si>
    <t>=IF(ISNUMBER($L$6)=FALSE,"",
        IF(ISERROR(VLOOKUP($G97,SantoYusuf!$L$13:$AK$14,O$4,FALSE))=TRUE,"",
              VLOOKUP($G97,SantoYusuf!$L$13:$AK$14,O$4,FALSE)))</t>
  </si>
  <si>
    <t>=IF(ISNUMBER($L$6)=FALSE,"",
        IF(ISERROR(VLOOKUP($G97,SantoYusuf!$L$13:$AK$14,P$4,FALSE))=TRUE,"",
              VLOOKUP($G97,SantoYusuf!$L$13:$AK$14,P$4,FALSE)))</t>
  </si>
  <si>
    <t>=IF(ISNUMBER($L$6)=FALSE,"",
        IF(ISERROR(VLOOKUP($G97,SantoYusuf!$L$13:$AK$14,Q$4,FALSE))=TRUE,"",
              VLOOKUP($G97,SantoYusuf!$L$13:$AK$14,Q$4,FALSE)))</t>
  </si>
  <si>
    <t>=IF(ISNUMBER($L$6)=FALSE,"",
        IF(ISERROR(VLOOKUP($G97,SantoYusuf!$L$13:$AK$14,R$4,FALSE))=TRUE,"",
              VLOOKUP($G97,SantoYusuf!$L$13:$AK$14,R$4,FALSE)))</t>
  </si>
  <si>
    <t>=IF(ISNUMBER($L$6)=FALSE,"",
        IF(ISERROR(VLOOKUP($G97,SantoYusuf!$L$13:$AK$14,S$4,FALSE))=TRUE,"",
              VLOOKUP($G97,SantoYusuf!$L$13:$AK$14,S$4,FALSE)))</t>
  </si>
  <si>
    <t>=IF(ISNUMBER($L$6)=FALSE,"",
        IF(ISERROR(VLOOKUP($G97,SantoYusuf!$L$13:$AK$14,T$4,FALSE))=TRUE,"",
              VLOOKUP($G97,SantoYusuf!$L$13:$AK$14,T$4,FALSE)))</t>
  </si>
  <si>
    <t>=IF(ISNUMBER($L$6)=FALSE,"",
        IF(ISERROR(VLOOKUP($G97,SantoYusuf!$L$13:$AK$14,U$4,FALSE))=TRUE,"",
              VLOOKUP($G97,SantoYusuf!$L$13:$AK$14,U$4,FALSE)))</t>
  </si>
  <si>
    <t>=IF(ISNUMBER($L$6)=FALSE,"",
        IF(ISERROR(VLOOKUP($G97,SantoYusuf!$L$13:$AK$14,V$4,FALSE))=TRUE,"",
              VLOOKUP($G97,SantoYusuf!$L$13:$AK$14,V$4,FALSE)))</t>
  </si>
  <si>
    <t>=IF(ISNUMBER($L$6)=FALSE,"",
        IF(ISERROR(VLOOKUP($G97,SantoYusuf!$L$13:$AK$14,W$4,FALSE))=TRUE,"",
              VLOOKUP($G97,SantoYusuf!$L$13:$AK$14,W$4,FALSE)))</t>
  </si>
  <si>
    <t>=IF(ISNUMBER($L$6)=FALSE,"",
        IF(ISERROR(VLOOKUP($G97,SantoYusuf!$L$13:$AK$14,X$4,FALSE))=TRUE,"",
              VLOOKUP($G97,SantoYusuf!$L$13:$AK$14,X$4,FALSE)))</t>
  </si>
  <si>
    <t>=IF(ISNUMBER($L$6)=FALSE,"",
        IF(ISERROR(VLOOKUP($G97,SantoYusuf!$L$13:$AK$14,Y$4,FALSE))=TRUE,"",
              VLOOKUP($G97,SantoYusuf!$L$13:$AK$14,Y$4,FALSE)))</t>
  </si>
  <si>
    <t>=IF(ISNUMBER($L$6)=FALSE,"",
        IF(ISERROR(VLOOKUP($G97,SantoYusuf!$L$13:$AK$14,Z$4,FALSE))=TRUE,"",
              VLOOKUP($G97,SantoYusuf!$L$13:$AK$14,Z$4,FALSE)))</t>
  </si>
  <si>
    <t>=IF(ISNUMBER($L$6)=FALSE,"",
        IF(ISERROR(VLOOKUP($G97,SantoYusuf!$L$13:$AK$14,AA$4,FALSE))=TRUE,"",
              VLOOKUP($G97,SantoYusuf!$L$13:$AK$14,AA$4,FALSE)))</t>
  </si>
  <si>
    <t>=IF(ISNUMBER($L$6)=FALSE,"",
        IF(ISERROR(VLOOKUP($G97,SantoYusuf!$L$13:$AK$14,AB$4,FALSE))=TRUE,"",
              VLOOKUP($G97,SantoYusuf!$L$13:$AK$14,AB$4,FALSE)))</t>
  </si>
  <si>
    <t>=IF(ISNUMBER($L$6)=FALSE,"",
        IF(ISERROR(VLOOKUP($G97,SantoYusuf!$L$13:$AK$14,AC$4,FALSE))=TRUE,"",
              VLOOKUP($G97,SantoYusuf!$L$13:$AK$14,AC$4,FALSE)))</t>
  </si>
  <si>
    <t>=IF(ISNUMBER($L$6)=FALSE,"",
        IF(ISERROR(VLOOKUP($G97,SantoYusuf!$L$13:$AK$14,AD$4,FALSE))=TRUE,"",
              VLOOKUP($G97,SantoYusuf!$L$13:$AK$14,AD$4,FALSE)))</t>
  </si>
  <si>
    <t>=IF(ISNUMBER($L$6)=FALSE,"",
        IF(ISERROR(VLOOKUP($G97,SantoYusuf!$L$13:$AK$14,AE$4,FALSE))=TRUE,"",
              VLOOKUP($G97,SantoYusuf!$L$13:$AK$14,AE$4,FALSE)))</t>
  </si>
  <si>
    <t>=IF(ISNUMBER($L$6)=FALSE,"",
        IF(ISERROR(VLOOKUP($G97,SantoYusuf!$L$13:$AK$14,AF$4,FALSE))=TRUE,"",
              VLOOKUP($G97,SantoYusuf!$L$13:$AK$14,AF$4,FALSE)))</t>
  </si>
  <si>
    <t>=IF(ISNUMBER($L$6)=FALSE,"",
IF($C98=0,"",VLOOKUP($E98,SantoYusuf!$H$13:$L$14,4,FALSE)))</t>
  </si>
  <si>
    <t>=IF(ISNUMBER($L$6)=FALSE,"",
IF($C98=0,"",VLOOKUP($E98,SantoYusuf!$H$13:$L$14,5,FALSE)))</t>
  </si>
  <si>
    <t>=IF(ISNUMBER($L$6)=FALSE,"",
        IF(ISERROR(VLOOKUP($G98,SantoYusuf!$L$13:$AK$14,I$4,FALSE))=TRUE,"",
              VLOOKUP($G98,SantoYusuf!$L$13:$AK$14,I$4,FALSE)))</t>
  </si>
  <si>
    <t>=IF(ISNUMBER($L$6)=FALSE,"",
        IF(ISERROR(VLOOKUP($G98,SantoYusuf!$L$13:$AK$14,J$4,FALSE))=TRUE,"",
              VLOOKUP($G98,SantoYusuf!$L$13:$AK$14,J$4,FALSE)))</t>
  </si>
  <si>
    <t>=IF(ISNUMBER($L$6)=FALSE,"",
        IF(ISERROR(VLOOKUP($G98,SantoYusuf!$L$13:$AK$14,K$4,FALSE))=TRUE,"",
              VLOOKUP($G98,SantoYusuf!$L$13:$AK$14,K$4,FALSE)))</t>
  </si>
  <si>
    <t>=IF(ISNUMBER($L$6)=FALSE,"",
        IF(ISERROR(VLOOKUP($G98,SantoYusuf!$L$13:$AK$14,L$4,FALSE))=TRUE,"",
              VLOOKUP($G98,SantoYusuf!$L$13:$AK$14,L$4,FALSE)))</t>
  </si>
  <si>
    <t>=IF(ISNUMBER($L$6)=FALSE,"",
        IF(ISERROR(VLOOKUP($G98,SantoYusuf!$L$13:$AK$14,M$4,FALSE))=TRUE,"",
              VLOOKUP($G98,SantoYusuf!$L$13:$AK$14,M$4,FALSE)))</t>
  </si>
  <si>
    <t>=IF(ISNUMBER($L$6)=FALSE,"",
        IF(ISERROR(VLOOKUP($G98,SantoYusuf!$L$13:$AK$14,N$4,FALSE))=TRUE,"",
              VLOOKUP($G98,SantoYusuf!$L$13:$AK$14,N$4,FALSE)))</t>
  </si>
  <si>
    <t>=IF(ISNUMBER($L$6)=FALSE,"",
        IF(ISERROR(VLOOKUP($G98,SantoYusuf!$L$13:$AK$14,O$4,FALSE))=TRUE,"",
              VLOOKUP($G98,SantoYusuf!$L$13:$AK$14,O$4,FALSE)))</t>
  </si>
  <si>
    <t>=IF(ISNUMBER($L$6)=FALSE,"",
        IF(ISERROR(VLOOKUP($G98,SantoYusuf!$L$13:$AK$14,P$4,FALSE))=TRUE,"",
              VLOOKUP($G98,SantoYusuf!$L$13:$AK$14,P$4,FALSE)))</t>
  </si>
  <si>
    <t>=IF(ISNUMBER($L$6)=FALSE,"",
        IF(ISERROR(VLOOKUP($G98,SantoYusuf!$L$13:$AK$14,Q$4,FALSE))=TRUE,"",
              VLOOKUP($G98,SantoYusuf!$L$13:$AK$14,Q$4,FALSE)))</t>
  </si>
  <si>
    <t>=IF(ISNUMBER($L$6)=FALSE,"",
        IF(ISERROR(VLOOKUP($G98,SantoYusuf!$L$13:$AK$14,R$4,FALSE))=TRUE,"",
              VLOOKUP($G98,SantoYusuf!$L$13:$AK$14,R$4,FALSE)))</t>
  </si>
  <si>
    <t>=IF(ISNUMBER($L$6)=FALSE,"",
        IF(ISERROR(VLOOKUP($G98,SantoYusuf!$L$13:$AK$14,S$4,FALSE))=TRUE,"",
              VLOOKUP($G98,SantoYusuf!$L$13:$AK$14,S$4,FALSE)))</t>
  </si>
  <si>
    <t>=IF(ISNUMBER($L$6)=FALSE,"",
        IF(ISERROR(VLOOKUP($G98,SantoYusuf!$L$13:$AK$14,T$4,FALSE))=TRUE,"",
              VLOOKUP($G98,SantoYusuf!$L$13:$AK$14,T$4,FALSE)))</t>
  </si>
  <si>
    <t>=IF(ISNUMBER($L$6)=FALSE,"",
        IF(ISERROR(VLOOKUP($G98,SantoYusuf!$L$13:$AK$14,U$4,FALSE))=TRUE,"",
              VLOOKUP($G98,SantoYusuf!$L$13:$AK$14,U$4,FALSE)))</t>
  </si>
  <si>
    <t>=IF(ISNUMBER($L$6)=FALSE,"",
        IF(ISERROR(VLOOKUP($G98,SantoYusuf!$L$13:$AK$14,V$4,FALSE))=TRUE,"",
              VLOOKUP($G98,SantoYusuf!$L$13:$AK$14,V$4,FALSE)))</t>
  </si>
  <si>
    <t>=IF(ISNUMBER($L$6)=FALSE,"",
        IF(ISERROR(VLOOKUP($G98,SantoYusuf!$L$13:$AK$14,W$4,FALSE))=TRUE,"",
              VLOOKUP($G98,SantoYusuf!$L$13:$AK$14,W$4,FALSE)))</t>
  </si>
  <si>
    <t>=IF(ISNUMBER($L$6)=FALSE,"",
        IF(ISERROR(VLOOKUP($G98,SantoYusuf!$L$13:$AK$14,X$4,FALSE))=TRUE,"",
              VLOOKUP($G98,SantoYusuf!$L$13:$AK$14,X$4,FALSE)))</t>
  </si>
  <si>
    <t>=IF(ISNUMBER($L$6)=FALSE,"",
        IF(ISERROR(VLOOKUP($G98,SantoYusuf!$L$13:$AK$14,Y$4,FALSE))=TRUE,"",
              VLOOKUP($G98,SantoYusuf!$L$13:$AK$14,Y$4,FALSE)))</t>
  </si>
  <si>
    <t>=IF(ISNUMBER($L$6)=FALSE,"",
        IF(ISERROR(VLOOKUP($G98,SantoYusuf!$L$13:$AK$14,Z$4,FALSE))=TRUE,"",
              VLOOKUP($G98,SantoYusuf!$L$13:$AK$14,Z$4,FALSE)))</t>
  </si>
  <si>
    <t>=IF(ISNUMBER($L$6)=FALSE,"",
        IF(ISERROR(VLOOKUP($G98,SantoYusuf!$L$13:$AK$14,AA$4,FALSE))=TRUE,"",
              VLOOKUP($G98,SantoYusuf!$L$13:$AK$14,AA$4,FALSE)))</t>
  </si>
  <si>
    <t>=IF(ISNUMBER($L$6)=FALSE,"",
        IF(ISERROR(VLOOKUP($G98,SantoYusuf!$L$13:$AK$14,AB$4,FALSE))=TRUE,"",
              VLOOKUP($G98,SantoYusuf!$L$13:$AK$14,AB$4,FALSE)))</t>
  </si>
  <si>
    <t>=IF(ISNUMBER($L$6)=FALSE,"",
        IF(ISERROR(VLOOKUP($G98,SantoYusuf!$L$13:$AK$14,AC$4,FALSE))=TRUE,"",
              VLOOKUP($G98,SantoYusuf!$L$13:$AK$14,AC$4,FALSE)))</t>
  </si>
  <si>
    <t>=IF(ISNUMBER($L$6)=FALSE,"",
        IF(ISERROR(VLOOKUP($G98,SantoYusuf!$L$13:$AK$14,AD$4,FALSE))=TRUE,"",
              VLOOKUP($G98,SantoYusuf!$L$13:$AK$14,AD$4,FALSE)))</t>
  </si>
  <si>
    <t>=IF(ISNUMBER($L$6)=FALSE,"",
        IF(ISERROR(VLOOKUP($G98,SantoYusuf!$L$13:$AK$14,AE$4,FALSE))=TRUE,"",
              VLOOKUP($G98,SantoYusuf!$L$13:$AK$14,AE$4,FALSE)))</t>
  </si>
  <si>
    <t>=IF(ISNUMBER($L$6)=FALSE,"",
        IF(ISERROR(VLOOKUP($G98,SantoYusuf!$L$13:$AK$14,AF$4,FALSE))=TRUE,"",
              VLOOKUP($G98,SantoYusuf!$L$13:$AK$14,AF$4,FALSE)))</t>
  </si>
  <si>
    <t>=IF(ISNUMBER($L$6)=FALSE,"",
IF($C99=0,"",VLOOKUP($E99,SantoYusuf!$H$13:$L$14,4,FALSE)))</t>
  </si>
  <si>
    <t>=IF(ISNUMBER($L$6)=FALSE,"",
IF($C99=0,"",VLOOKUP($E99,SantoYusuf!$H$13:$L$14,5,FALSE)))</t>
  </si>
  <si>
    <t>=IF(ISNUMBER($L$6)=FALSE,"",
        IF(ISERROR(VLOOKUP($G99,SantoYusuf!$L$13:$AK$14,I$4,FALSE))=TRUE,"",
              VLOOKUP($G99,SantoYusuf!$L$13:$AK$14,I$4,FALSE)))</t>
  </si>
  <si>
    <t>=IF(ISNUMBER($L$6)=FALSE,"",
        IF(ISERROR(VLOOKUP($G99,SantoYusuf!$L$13:$AK$14,J$4,FALSE))=TRUE,"",
              VLOOKUP($G99,SantoYusuf!$L$13:$AK$14,J$4,FALSE)))</t>
  </si>
  <si>
    <t>=IF(ISNUMBER($L$6)=FALSE,"",
        IF(ISERROR(VLOOKUP($G99,SantoYusuf!$L$13:$AK$14,K$4,FALSE))=TRUE,"",
              VLOOKUP($G99,SantoYusuf!$L$13:$AK$14,K$4,FALSE)))</t>
  </si>
  <si>
    <t>=IF(ISNUMBER($L$6)=FALSE,"",
        IF(ISERROR(VLOOKUP($G99,SantoYusuf!$L$13:$AK$14,L$4,FALSE))=TRUE,"",
              VLOOKUP($G99,SantoYusuf!$L$13:$AK$14,L$4,FALSE)))</t>
  </si>
  <si>
    <t>=IF(ISNUMBER($L$6)=FALSE,"",
        IF(ISERROR(VLOOKUP($G99,SantoYusuf!$L$13:$AK$14,M$4,FALSE))=TRUE,"",
              VLOOKUP($G99,SantoYusuf!$L$13:$AK$14,M$4,FALSE)))</t>
  </si>
  <si>
    <t>=IF(ISNUMBER($L$6)=FALSE,"",
        IF(ISERROR(VLOOKUP($G99,SantoYusuf!$L$13:$AK$14,N$4,FALSE))=TRUE,"",
              VLOOKUP($G99,SantoYusuf!$L$13:$AK$14,N$4,FALSE)))</t>
  </si>
  <si>
    <t>=IF(ISNUMBER($L$6)=FALSE,"",
        IF(ISERROR(VLOOKUP($G99,SantoYusuf!$L$13:$AK$14,O$4,FALSE))=TRUE,"",
              VLOOKUP($G99,SantoYusuf!$L$13:$AK$14,O$4,FALSE)))</t>
  </si>
  <si>
    <t>=IF(ISNUMBER($L$6)=FALSE,"",
        IF(ISERROR(VLOOKUP($G99,SantoYusuf!$L$13:$AK$14,P$4,FALSE))=TRUE,"",
              VLOOKUP($G99,SantoYusuf!$L$13:$AK$14,P$4,FALSE)))</t>
  </si>
  <si>
    <t>=IF(ISNUMBER($L$6)=FALSE,"",
        IF(ISERROR(VLOOKUP($G99,SantoYusuf!$L$13:$AK$14,Q$4,FALSE))=TRUE,"",
              VLOOKUP($G99,SantoYusuf!$L$13:$AK$14,Q$4,FALSE)))</t>
  </si>
  <si>
    <t>=IF(ISNUMBER($L$6)=FALSE,"",
        IF(ISERROR(VLOOKUP($G99,SantoYusuf!$L$13:$AK$14,R$4,FALSE))=TRUE,"",
              VLOOKUP($G99,SantoYusuf!$L$13:$AK$14,R$4,FALSE)))</t>
  </si>
  <si>
    <t>=IF(ISNUMBER($L$6)=FALSE,"",
        IF(ISERROR(VLOOKUP($G99,SantoYusuf!$L$13:$AK$14,S$4,FALSE))=TRUE,"",
              VLOOKUP($G99,SantoYusuf!$L$13:$AK$14,S$4,FALSE)))</t>
  </si>
  <si>
    <t>=IF(ISNUMBER($L$6)=FALSE,"",
        IF(ISERROR(VLOOKUP($G99,SantoYusuf!$L$13:$AK$14,T$4,FALSE))=TRUE,"",
              VLOOKUP($G99,SantoYusuf!$L$13:$AK$14,T$4,FALSE)))</t>
  </si>
  <si>
    <t>=IF(ISNUMBER($L$6)=FALSE,"",
        IF(ISERROR(VLOOKUP($G99,SantoYusuf!$L$13:$AK$14,U$4,FALSE))=TRUE,"",
              VLOOKUP($G99,SantoYusuf!$L$13:$AK$14,U$4,FALSE)))</t>
  </si>
  <si>
    <t>=IF(ISNUMBER($L$6)=FALSE,"",
        IF(ISERROR(VLOOKUP($G99,SantoYusuf!$L$13:$AK$14,V$4,FALSE))=TRUE,"",
              VLOOKUP($G99,SantoYusuf!$L$13:$AK$14,V$4,FALSE)))</t>
  </si>
  <si>
    <t>=IF(ISNUMBER($L$6)=FALSE,"",
        IF(ISERROR(VLOOKUP($G99,SantoYusuf!$L$13:$AK$14,W$4,FALSE))=TRUE,"",
              VLOOKUP($G99,SantoYusuf!$L$13:$AK$14,W$4,FALSE)))</t>
  </si>
  <si>
    <t>=IF(ISNUMBER($L$6)=FALSE,"",
        IF(ISERROR(VLOOKUP($G99,SantoYusuf!$L$13:$AK$14,X$4,FALSE))=TRUE,"",
              VLOOKUP($G99,SantoYusuf!$L$13:$AK$14,X$4,FALSE)))</t>
  </si>
  <si>
    <t>=IF(ISNUMBER($L$6)=FALSE,"",
        IF(ISERROR(VLOOKUP($G99,SantoYusuf!$L$13:$AK$14,Y$4,FALSE))=TRUE,"",
              VLOOKUP($G99,SantoYusuf!$L$13:$AK$14,Y$4,FALSE)))</t>
  </si>
  <si>
    <t>=IF(ISNUMBER($L$6)=FALSE,"",
        IF(ISERROR(VLOOKUP($G99,SantoYusuf!$L$13:$AK$14,Z$4,FALSE))=TRUE,"",
              VLOOKUP($G99,SantoYusuf!$L$13:$AK$14,Z$4,FALSE)))</t>
  </si>
  <si>
    <t>=IF(ISNUMBER($L$6)=FALSE,"",
        IF(ISERROR(VLOOKUP($G99,SantoYusuf!$L$13:$AK$14,AA$4,FALSE))=TRUE,"",
              VLOOKUP($G99,SantoYusuf!$L$13:$AK$14,AA$4,FALSE)))</t>
  </si>
  <si>
    <t>=IF(ISNUMBER($L$6)=FALSE,"",
        IF(ISERROR(VLOOKUP($G99,SantoYusuf!$L$13:$AK$14,AB$4,FALSE))=TRUE,"",
              VLOOKUP($G99,SantoYusuf!$L$13:$AK$14,AB$4,FALSE)))</t>
  </si>
  <si>
    <t>=IF(ISNUMBER($L$6)=FALSE,"",
        IF(ISERROR(VLOOKUP($G99,SantoYusuf!$L$13:$AK$14,AC$4,FALSE))=TRUE,"",
              VLOOKUP($G99,SantoYusuf!$L$13:$AK$14,AC$4,FALSE)))</t>
  </si>
  <si>
    <t>=IF(ISNUMBER($L$6)=FALSE,"",
        IF(ISERROR(VLOOKUP($G99,SantoYusuf!$L$13:$AK$14,AD$4,FALSE))=TRUE,"",
              VLOOKUP($G99,SantoYusuf!$L$13:$AK$14,AD$4,FALSE)))</t>
  </si>
  <si>
    <t>=IF(ISNUMBER($L$6)=FALSE,"",
        IF(ISERROR(VLOOKUP($G99,SantoYusuf!$L$13:$AK$14,AE$4,FALSE))=TRUE,"",
              VLOOKUP($G99,SantoYusuf!$L$13:$AK$14,AE$4,FALSE)))</t>
  </si>
  <si>
    <t>=IF(ISNUMBER($L$6)=FALSE,"",
        IF(ISERROR(VLOOKUP($G99,SantoYusuf!$L$13:$AK$14,AF$4,FALSE))=TRUE,"",
              VLOOKUP($G99,SantoYusuf!$L$13:$AK$14,AF$4,FALSE)))</t>
  </si>
  <si>
    <t>=IF(ISNUMBER($L$6)=FALSE,"",
IF($C100=0,"",VLOOKUP($E100,SantoYusuf!$H$13:$L$14,4,FALSE)))</t>
  </si>
  <si>
    <t>=IF(ISNUMBER($L$6)=FALSE,"",
IF($C100=0,"",VLOOKUP($E100,SantoYusuf!$H$13:$L$14,5,FALSE)))</t>
  </si>
  <si>
    <t>=IF(ISNUMBER($L$6)=FALSE,"",
        IF(ISERROR(VLOOKUP($G100,SantoYusuf!$L$13:$AK$14,I$4,FALSE))=TRUE,"",
              VLOOKUP($G100,SantoYusuf!$L$13:$AK$14,I$4,FALSE)))</t>
  </si>
  <si>
    <t>=IF(ISNUMBER($L$6)=FALSE,"",
        IF(ISERROR(VLOOKUP($G100,SantoYusuf!$L$13:$AK$14,J$4,FALSE))=TRUE,"",
              VLOOKUP($G100,SantoYusuf!$L$13:$AK$14,J$4,FALSE)))</t>
  </si>
  <si>
    <t>=IF(ISNUMBER($L$6)=FALSE,"",
        IF(ISERROR(VLOOKUP($G100,SantoYusuf!$L$13:$AK$14,K$4,FALSE))=TRUE,"",
              VLOOKUP($G100,SantoYusuf!$L$13:$AK$14,K$4,FALSE)))</t>
  </si>
  <si>
    <t>=IF(ISNUMBER($L$6)=FALSE,"",
        IF(ISERROR(VLOOKUP($G100,SantoYusuf!$L$13:$AK$14,L$4,FALSE))=TRUE,"",
              VLOOKUP($G100,SantoYusuf!$L$13:$AK$14,L$4,FALSE)))</t>
  </si>
  <si>
    <t>=IF(ISNUMBER($L$6)=FALSE,"",
        IF(ISERROR(VLOOKUP($G100,SantoYusuf!$L$13:$AK$14,M$4,FALSE))=TRUE,"",
              VLOOKUP($G100,SantoYusuf!$L$13:$AK$14,M$4,FALSE)))</t>
  </si>
  <si>
    <t>=IF(ISNUMBER($L$6)=FALSE,"",
        IF(ISERROR(VLOOKUP($G100,SantoYusuf!$L$13:$AK$14,N$4,FALSE))=TRUE,"",
              VLOOKUP($G100,SantoYusuf!$L$13:$AK$14,N$4,FALSE)))</t>
  </si>
  <si>
    <t>=IF(ISNUMBER($L$6)=FALSE,"",
        IF(ISERROR(VLOOKUP($G100,SantoYusuf!$L$13:$AK$14,O$4,FALSE))=TRUE,"",
              VLOOKUP($G100,SantoYusuf!$L$13:$AK$14,O$4,FALSE)))</t>
  </si>
  <si>
    <t>=IF(ISNUMBER($L$6)=FALSE,"",
        IF(ISERROR(VLOOKUP($G100,SantoYusuf!$L$13:$AK$14,P$4,FALSE))=TRUE,"",
              VLOOKUP($G100,SantoYusuf!$L$13:$AK$14,P$4,FALSE)))</t>
  </si>
  <si>
    <t>=IF(ISNUMBER($L$6)=FALSE,"",
        IF(ISERROR(VLOOKUP($G100,SantoYusuf!$L$13:$AK$14,Q$4,FALSE))=TRUE,"",
              VLOOKUP($G100,SantoYusuf!$L$13:$AK$14,Q$4,FALSE)))</t>
  </si>
  <si>
    <t>=IF(ISNUMBER($L$6)=FALSE,"",
        IF(ISERROR(VLOOKUP($G100,SantoYusuf!$L$13:$AK$14,R$4,FALSE))=TRUE,"",
              VLOOKUP($G100,SantoYusuf!$L$13:$AK$14,R$4,FALSE)))</t>
  </si>
  <si>
    <t>=IF(ISNUMBER($L$6)=FALSE,"",
        IF(ISERROR(VLOOKUP($G100,SantoYusuf!$L$13:$AK$14,S$4,FALSE))=TRUE,"",
              VLOOKUP($G100,SantoYusuf!$L$13:$AK$14,S$4,FALSE)))</t>
  </si>
  <si>
    <t>=IF(ISNUMBER($L$6)=FALSE,"",
        IF(ISERROR(VLOOKUP($G100,SantoYusuf!$L$13:$AK$14,T$4,FALSE))=TRUE,"",
              VLOOKUP($G100,SantoYusuf!$L$13:$AK$14,T$4,FALSE)))</t>
  </si>
  <si>
    <t>=IF(ISNUMBER($L$6)=FALSE,"",
        IF(ISERROR(VLOOKUP($G100,SantoYusuf!$L$13:$AK$14,U$4,FALSE))=TRUE,"",
              VLOOKUP($G100,SantoYusuf!$L$13:$AK$14,U$4,FALSE)))</t>
  </si>
  <si>
    <t>=IF(ISNUMBER($L$6)=FALSE,"",
        IF(ISERROR(VLOOKUP($G100,SantoYusuf!$L$13:$AK$14,V$4,FALSE))=TRUE,"",
              VLOOKUP($G100,SantoYusuf!$L$13:$AK$14,V$4,FALSE)))</t>
  </si>
  <si>
    <t>=IF(ISNUMBER($L$6)=FALSE,"",
        IF(ISERROR(VLOOKUP($G100,SantoYusuf!$L$13:$AK$14,W$4,FALSE))=TRUE,"",
              VLOOKUP($G100,SantoYusuf!$L$13:$AK$14,W$4,FALSE)))</t>
  </si>
  <si>
    <t>=IF(ISNUMBER($L$6)=FALSE,"",
        IF(ISERROR(VLOOKUP($G100,SantoYusuf!$L$13:$AK$14,X$4,FALSE))=TRUE,"",
              VLOOKUP($G100,SantoYusuf!$L$13:$AK$14,X$4,FALSE)))</t>
  </si>
  <si>
    <t>=IF(ISNUMBER($L$6)=FALSE,"",
        IF(ISERROR(VLOOKUP($G100,SantoYusuf!$L$13:$AK$14,Y$4,FALSE))=TRUE,"",
              VLOOKUP($G100,SantoYusuf!$L$13:$AK$14,Y$4,FALSE)))</t>
  </si>
  <si>
    <t>=IF(ISNUMBER($L$6)=FALSE,"",
        IF(ISERROR(VLOOKUP($G100,SantoYusuf!$L$13:$AK$14,Z$4,FALSE))=TRUE,"",
              VLOOKUP($G100,SantoYusuf!$L$13:$AK$14,Z$4,FALSE)))</t>
  </si>
  <si>
    <t>=IF(ISNUMBER($L$6)=FALSE,"",
        IF(ISERROR(VLOOKUP($G100,SantoYusuf!$L$13:$AK$14,AA$4,FALSE))=TRUE,"",
              VLOOKUP($G100,SantoYusuf!$L$13:$AK$14,AA$4,FALSE)))</t>
  </si>
  <si>
    <t>=IF(ISNUMBER($L$6)=FALSE,"",
        IF(ISERROR(VLOOKUP($G100,SantoYusuf!$L$13:$AK$14,AB$4,FALSE))=TRUE,"",
              VLOOKUP($G100,SantoYusuf!$L$13:$AK$14,AB$4,FALSE)))</t>
  </si>
  <si>
    <t>=IF(ISNUMBER($L$6)=FALSE,"",
        IF(ISERROR(VLOOKUP($G100,SantoYusuf!$L$13:$AK$14,AC$4,FALSE))=TRUE,"",
              VLOOKUP($G100,SantoYusuf!$L$13:$AK$14,AC$4,FALSE)))</t>
  </si>
  <si>
    <t>=IF(ISNUMBER($L$6)=FALSE,"",
        IF(ISERROR(VLOOKUP($G100,SantoYusuf!$L$13:$AK$14,AD$4,FALSE))=TRUE,"",
              VLOOKUP($G100,SantoYusuf!$L$13:$AK$14,AD$4,FALSE)))</t>
  </si>
  <si>
    <t>=IF(ISNUMBER($L$6)=FALSE,"",
        IF(ISERROR(VLOOKUP($G100,SantoYusuf!$L$13:$AK$14,AE$4,FALSE))=TRUE,"",
              VLOOKUP($G100,SantoYusuf!$L$13:$AK$14,AE$4,FALSE)))</t>
  </si>
  <si>
    <t>=IF(ISNUMBER($L$6)=FALSE,"",
        IF(ISERROR(VLOOKUP($G100,SantoYusuf!$L$13:$AK$14,AF$4,FALSE))=TRUE,"",
              VLOOKUP($G100,SantoYusuf!$L$13:$AK$14,AF$4,FALSE)))</t>
  </si>
  <si>
    <t>=IF(ISNUMBER($L$6)=FALSE,"",
IF($C101=0,"",VLOOKUP($E101,SantoYusuf!$H$13:$L$14,4,FALSE)))</t>
  </si>
  <si>
    <t>=IF(ISNUMBER($L$6)=FALSE,"",
IF($C101=0,"",VLOOKUP($E101,SantoYusuf!$H$13:$L$14,5,FALSE)))</t>
  </si>
  <si>
    <t>=IF(ISNUMBER($L$6)=FALSE,"",
        IF(ISERROR(VLOOKUP($G101,SantoYusuf!$L$13:$AK$14,I$4,FALSE))=TRUE,"",
              VLOOKUP($G101,SantoYusuf!$L$13:$AK$14,I$4,FALSE)))</t>
  </si>
  <si>
    <t>=IF(ISNUMBER($L$6)=FALSE,"",
        IF(ISERROR(VLOOKUP($G101,SantoYusuf!$L$13:$AK$14,J$4,FALSE))=TRUE,"",
              VLOOKUP($G101,SantoYusuf!$L$13:$AK$14,J$4,FALSE)))</t>
  </si>
  <si>
    <t>=IF(ISNUMBER($L$6)=FALSE,"",
        IF(ISERROR(VLOOKUP($G101,SantoYusuf!$L$13:$AK$14,K$4,FALSE))=TRUE,"",
              VLOOKUP($G101,SantoYusuf!$L$13:$AK$14,K$4,FALSE)))</t>
  </si>
  <si>
    <t>=IF(ISNUMBER($L$6)=FALSE,"",
        IF(ISERROR(VLOOKUP($G101,SantoYusuf!$L$13:$AK$14,L$4,FALSE))=TRUE,"",
              VLOOKUP($G101,SantoYusuf!$L$13:$AK$14,L$4,FALSE)))</t>
  </si>
  <si>
    <t>=IF(ISNUMBER($L$6)=FALSE,"",
        IF(ISERROR(VLOOKUP($G101,SantoYusuf!$L$13:$AK$14,M$4,FALSE))=TRUE,"",
              VLOOKUP($G101,SantoYusuf!$L$13:$AK$14,M$4,FALSE)))</t>
  </si>
  <si>
    <t>=IF(ISNUMBER($L$6)=FALSE,"",
        IF(ISERROR(VLOOKUP($G101,SantoYusuf!$L$13:$AK$14,N$4,FALSE))=TRUE,"",
              VLOOKUP($G101,SantoYusuf!$L$13:$AK$14,N$4,FALSE)))</t>
  </si>
  <si>
    <t>=IF(ISNUMBER($L$6)=FALSE,"",
        IF(ISERROR(VLOOKUP($G101,SantoYusuf!$L$13:$AK$14,O$4,FALSE))=TRUE,"",
              VLOOKUP($G101,SantoYusuf!$L$13:$AK$14,O$4,FALSE)))</t>
  </si>
  <si>
    <t>=IF(ISNUMBER($L$6)=FALSE,"",
        IF(ISERROR(VLOOKUP($G101,SantoYusuf!$L$13:$AK$14,P$4,FALSE))=TRUE,"",
              VLOOKUP($G101,SantoYusuf!$L$13:$AK$14,P$4,FALSE)))</t>
  </si>
  <si>
    <t>=IF(ISNUMBER($L$6)=FALSE,"",
        IF(ISERROR(VLOOKUP($G101,SantoYusuf!$L$13:$AK$14,Q$4,FALSE))=TRUE,"",
              VLOOKUP($G101,SantoYusuf!$L$13:$AK$14,Q$4,FALSE)))</t>
  </si>
  <si>
    <t>=IF(ISNUMBER($L$6)=FALSE,"",
        IF(ISERROR(VLOOKUP($G101,SantoYusuf!$L$13:$AK$14,R$4,FALSE))=TRUE,"",
              VLOOKUP($G101,SantoYusuf!$L$13:$AK$14,R$4,FALSE)))</t>
  </si>
  <si>
    <t>=IF(ISNUMBER($L$6)=FALSE,"",
        IF(ISERROR(VLOOKUP($G101,SantoYusuf!$L$13:$AK$14,S$4,FALSE))=TRUE,"",
              VLOOKUP($G101,SantoYusuf!$L$13:$AK$14,S$4,FALSE)))</t>
  </si>
  <si>
    <t>=IF(ISNUMBER($L$6)=FALSE,"",
        IF(ISERROR(VLOOKUP($G101,SantoYusuf!$L$13:$AK$14,T$4,FALSE))=TRUE,"",
              VLOOKUP($G101,SantoYusuf!$L$13:$AK$14,T$4,FALSE)))</t>
  </si>
  <si>
    <t>=IF(ISNUMBER($L$6)=FALSE,"",
        IF(ISERROR(VLOOKUP($G101,SantoYusuf!$L$13:$AK$14,U$4,FALSE))=TRUE,"",
              VLOOKUP($G101,SantoYusuf!$L$13:$AK$14,U$4,FALSE)))</t>
  </si>
  <si>
    <t>=IF(ISNUMBER($L$6)=FALSE,"",
        IF(ISERROR(VLOOKUP($G101,SantoYusuf!$L$13:$AK$14,V$4,FALSE))=TRUE,"",
              VLOOKUP($G101,SantoYusuf!$L$13:$AK$14,V$4,FALSE)))</t>
  </si>
  <si>
    <t>=IF(ISNUMBER($L$6)=FALSE,"",
        IF(ISERROR(VLOOKUP($G101,SantoYusuf!$L$13:$AK$14,W$4,FALSE))=TRUE,"",
              VLOOKUP($G101,SantoYusuf!$L$13:$AK$14,W$4,FALSE)))</t>
  </si>
  <si>
    <t>=IF(ISNUMBER($L$6)=FALSE,"",
        IF(ISERROR(VLOOKUP($G101,SantoYusuf!$L$13:$AK$14,X$4,FALSE))=TRUE,"",
              VLOOKUP($G101,SantoYusuf!$L$13:$AK$14,X$4,FALSE)))</t>
  </si>
  <si>
    <t>=IF(ISNUMBER($L$6)=FALSE,"",
        IF(ISERROR(VLOOKUP($G101,SantoYusuf!$L$13:$AK$14,Y$4,FALSE))=TRUE,"",
              VLOOKUP($G101,SantoYusuf!$L$13:$AK$14,Y$4,FALSE)))</t>
  </si>
  <si>
    <t>=IF(ISNUMBER($L$6)=FALSE,"",
        IF(ISERROR(VLOOKUP($G101,SantoYusuf!$L$13:$AK$14,Z$4,FALSE))=TRUE,"",
              VLOOKUP($G101,SantoYusuf!$L$13:$AK$14,Z$4,FALSE)))</t>
  </si>
  <si>
    <t>=IF(ISNUMBER($L$6)=FALSE,"",
        IF(ISERROR(VLOOKUP($G101,SantoYusuf!$L$13:$AK$14,AA$4,FALSE))=TRUE,"",
              VLOOKUP($G101,SantoYusuf!$L$13:$AK$14,AA$4,FALSE)))</t>
  </si>
  <si>
    <t>=IF(ISNUMBER($L$6)=FALSE,"",
        IF(ISERROR(VLOOKUP($G101,SantoYusuf!$L$13:$AK$14,AB$4,FALSE))=TRUE,"",
              VLOOKUP($G101,SantoYusuf!$L$13:$AK$14,AB$4,FALSE)))</t>
  </si>
  <si>
    <t>=IF(ISNUMBER($L$6)=FALSE,"",
        IF(ISERROR(VLOOKUP($G101,SantoYusuf!$L$13:$AK$14,AC$4,FALSE))=TRUE,"",
              VLOOKUP($G101,SantoYusuf!$L$13:$AK$14,AC$4,FALSE)))</t>
  </si>
  <si>
    <t>=IF(ISNUMBER($L$6)=FALSE,"",
        IF(ISERROR(VLOOKUP($G101,SantoYusuf!$L$13:$AK$14,AD$4,FALSE))=TRUE,"",
              VLOOKUP($G101,SantoYusuf!$L$13:$AK$14,AD$4,FALSE)))</t>
  </si>
  <si>
    <t>=IF(ISNUMBER($L$6)=FALSE,"",
        IF(ISERROR(VLOOKUP($G101,SantoYusuf!$L$13:$AK$14,AE$4,FALSE))=TRUE,"",
              VLOOKUP($G101,SantoYusuf!$L$13:$AK$14,AE$4,FALSE)))</t>
  </si>
  <si>
    <t>=IF(ISNUMBER($L$6)=FALSE,"",
        IF(ISERROR(VLOOKUP($G101,SantoYusuf!$L$13:$AK$14,AF$4,FALSE))=TRUE,"",
              VLOOKUP($G101,SantoYusuf!$L$13:$AK$14,AF$4,FALSE)))</t>
  </si>
  <si>
    <t>=IF(ISNUMBER($L$6)=FALSE,"",
IF($C102=0,"",VLOOKUP($E102,SantoYusuf!$H$13:$L$14,4,FALSE)))</t>
  </si>
  <si>
    <t>=IF(ISNUMBER($L$6)=FALSE,"",
IF($C102=0,"",VLOOKUP($E102,SantoYusuf!$H$13:$L$14,5,FALSE)))</t>
  </si>
  <si>
    <t>=IF(ISNUMBER($L$6)=FALSE,"",
        IF(ISERROR(VLOOKUP($G102,SantoYusuf!$L$13:$AK$14,I$4,FALSE))=TRUE,"",
              VLOOKUP($G102,SantoYusuf!$L$13:$AK$14,I$4,FALSE)))</t>
  </si>
  <si>
    <t>=IF(ISNUMBER($L$6)=FALSE,"",
        IF(ISERROR(VLOOKUP($G102,SantoYusuf!$L$13:$AK$14,J$4,FALSE))=TRUE,"",
              VLOOKUP($G102,SantoYusuf!$L$13:$AK$14,J$4,FALSE)))</t>
  </si>
  <si>
    <t>=IF(ISNUMBER($L$6)=FALSE,"",
        IF(ISERROR(VLOOKUP($G102,SantoYusuf!$L$13:$AK$14,K$4,FALSE))=TRUE,"",
              VLOOKUP($G102,SantoYusuf!$L$13:$AK$14,K$4,FALSE)))</t>
  </si>
  <si>
    <t>=IF(ISNUMBER($L$6)=FALSE,"",
        IF(ISERROR(VLOOKUP($G102,SantoYusuf!$L$13:$AK$14,L$4,FALSE))=TRUE,"",
              VLOOKUP($G102,SantoYusuf!$L$13:$AK$14,L$4,FALSE)))</t>
  </si>
  <si>
    <t>=IF(ISNUMBER($L$6)=FALSE,"",
        IF(ISERROR(VLOOKUP($G102,SantoYusuf!$L$13:$AK$14,M$4,FALSE))=TRUE,"",
              VLOOKUP($G102,SantoYusuf!$L$13:$AK$14,M$4,FALSE)))</t>
  </si>
  <si>
    <t>=IF(ISNUMBER($L$6)=FALSE,"",
        IF(ISERROR(VLOOKUP($G102,SantoYusuf!$L$13:$AK$14,N$4,FALSE))=TRUE,"",
              VLOOKUP($G102,SantoYusuf!$L$13:$AK$14,N$4,FALSE)))</t>
  </si>
  <si>
    <t>=IF(ISNUMBER($L$6)=FALSE,"",
        IF(ISERROR(VLOOKUP($G102,SantoYusuf!$L$13:$AK$14,O$4,FALSE))=TRUE,"",
              VLOOKUP($G102,SantoYusuf!$L$13:$AK$14,O$4,FALSE)))</t>
  </si>
  <si>
    <t>=IF(ISNUMBER($L$6)=FALSE,"",
        IF(ISERROR(VLOOKUP($G102,SantoYusuf!$L$13:$AK$14,P$4,FALSE))=TRUE,"",
              VLOOKUP($G102,SantoYusuf!$L$13:$AK$14,P$4,FALSE)))</t>
  </si>
  <si>
    <t>=IF(ISNUMBER($L$6)=FALSE,"",
        IF(ISERROR(VLOOKUP($G102,SantoYusuf!$L$13:$AK$14,Q$4,FALSE))=TRUE,"",
              VLOOKUP($G102,SantoYusuf!$L$13:$AK$14,Q$4,FALSE)))</t>
  </si>
  <si>
    <t>=IF(ISNUMBER($L$6)=FALSE,"",
        IF(ISERROR(VLOOKUP($G102,SantoYusuf!$L$13:$AK$14,R$4,FALSE))=TRUE,"",
              VLOOKUP($G102,SantoYusuf!$L$13:$AK$14,R$4,FALSE)))</t>
  </si>
  <si>
    <t>=IF(ISNUMBER($L$6)=FALSE,"",
        IF(ISERROR(VLOOKUP($G102,SantoYusuf!$L$13:$AK$14,S$4,FALSE))=TRUE,"",
              VLOOKUP($G102,SantoYusuf!$L$13:$AK$14,S$4,FALSE)))</t>
  </si>
  <si>
    <t>=IF(ISNUMBER($L$6)=FALSE,"",
        IF(ISERROR(VLOOKUP($G102,SantoYusuf!$L$13:$AK$14,T$4,FALSE))=TRUE,"",
              VLOOKUP($G102,SantoYusuf!$L$13:$AK$14,T$4,FALSE)))</t>
  </si>
  <si>
    <t>=IF(ISNUMBER($L$6)=FALSE,"",
        IF(ISERROR(VLOOKUP($G102,SantoYusuf!$L$13:$AK$14,U$4,FALSE))=TRUE,"",
              VLOOKUP($G102,SantoYusuf!$L$13:$AK$14,U$4,FALSE)))</t>
  </si>
  <si>
    <t>=IF(ISNUMBER($L$6)=FALSE,"",
        IF(ISERROR(VLOOKUP($G102,SantoYusuf!$L$13:$AK$14,V$4,FALSE))=TRUE,"",
              VLOOKUP($G102,SantoYusuf!$L$13:$AK$14,V$4,FALSE)))</t>
  </si>
  <si>
    <t>=IF(ISNUMBER($L$6)=FALSE,"",
        IF(ISERROR(VLOOKUP($G102,SantoYusuf!$L$13:$AK$14,W$4,FALSE))=TRUE,"",
              VLOOKUP($G102,SantoYusuf!$L$13:$AK$14,W$4,FALSE)))</t>
  </si>
  <si>
    <t>=IF(ISNUMBER($L$6)=FALSE,"",
        IF(ISERROR(VLOOKUP($G102,SantoYusuf!$L$13:$AK$14,X$4,FALSE))=TRUE,"",
              VLOOKUP($G102,SantoYusuf!$L$13:$AK$14,X$4,FALSE)))</t>
  </si>
  <si>
    <t>=IF(ISNUMBER($L$6)=FALSE,"",
        IF(ISERROR(VLOOKUP($G102,SantoYusuf!$L$13:$AK$14,Y$4,FALSE))=TRUE,"",
              VLOOKUP($G102,SantoYusuf!$L$13:$AK$14,Y$4,FALSE)))</t>
  </si>
  <si>
    <t>=IF(ISNUMBER($L$6)=FALSE,"",
        IF(ISERROR(VLOOKUP($G102,SantoYusuf!$L$13:$AK$14,Z$4,FALSE))=TRUE,"",
              VLOOKUP($G102,SantoYusuf!$L$13:$AK$14,Z$4,FALSE)))</t>
  </si>
  <si>
    <t>=IF(ISNUMBER($L$6)=FALSE,"",
        IF(ISERROR(VLOOKUP($G102,SantoYusuf!$L$13:$AK$14,AA$4,FALSE))=TRUE,"",
              VLOOKUP($G102,SantoYusuf!$L$13:$AK$14,AA$4,FALSE)))</t>
  </si>
  <si>
    <t>=IF(ISNUMBER($L$6)=FALSE,"",
        IF(ISERROR(VLOOKUP($G102,SantoYusuf!$L$13:$AK$14,AB$4,FALSE))=TRUE,"",
              VLOOKUP($G102,SantoYusuf!$L$13:$AK$14,AB$4,FALSE)))</t>
  </si>
  <si>
    <t>=IF(ISNUMBER($L$6)=FALSE,"",
        IF(ISERROR(VLOOKUP($G102,SantoYusuf!$L$13:$AK$14,AC$4,FALSE))=TRUE,"",
              VLOOKUP($G102,SantoYusuf!$L$13:$AK$14,AC$4,FALSE)))</t>
  </si>
  <si>
    <t>=IF(ISNUMBER($L$6)=FALSE,"",
        IF(ISERROR(VLOOKUP($G102,SantoYusuf!$L$13:$AK$14,AD$4,FALSE))=TRUE,"",
              VLOOKUP($G102,SantoYusuf!$L$13:$AK$14,AD$4,FALSE)))</t>
  </si>
  <si>
    <t>=IF(ISNUMBER($L$6)=FALSE,"",
        IF(ISERROR(VLOOKUP($G102,SantoYusuf!$L$13:$AK$14,AE$4,FALSE))=TRUE,"",
              VLOOKUP($G102,SantoYusuf!$L$13:$AK$14,AE$4,FALSE)))</t>
  </si>
  <si>
    <t>=IF(ISNUMBER($L$6)=FALSE,"",
        IF(ISERROR(VLOOKUP($G102,SantoYusuf!$L$13:$AK$14,AF$4,FALSE))=TRUE,"",
              VLOOKUP($G102,SantoYusuf!$L$13:$AK$14,AF$4,FALSE)))</t>
  </si>
  <si>
    <t>=IF(ISNUMBER($L$6)=FALSE,"",
IF($C103=0,"",VLOOKUP($E103,SantoYusuf!$H$13:$L$14,4,FALSE)))</t>
  </si>
  <si>
    <t>=IF(ISNUMBER($L$6)=FALSE,"",
IF($C103=0,"",VLOOKUP($E103,SantoYusuf!$H$13:$L$14,5,FALSE)))</t>
  </si>
  <si>
    <t>=IF(ISNUMBER($L$6)=FALSE,"",
        IF(ISERROR(VLOOKUP($G103,SantoYusuf!$L$13:$AK$14,I$4,FALSE))=TRUE,"",
              VLOOKUP($G103,SantoYusuf!$L$13:$AK$14,I$4,FALSE)))</t>
  </si>
  <si>
    <t>=IF(ISNUMBER($L$6)=FALSE,"",
        IF(ISERROR(VLOOKUP($G103,SantoYusuf!$L$13:$AK$14,J$4,FALSE))=TRUE,"",
              VLOOKUP($G103,SantoYusuf!$L$13:$AK$14,J$4,FALSE)))</t>
  </si>
  <si>
    <t>=IF(ISNUMBER($L$6)=FALSE,"",
        IF(ISERROR(VLOOKUP($G103,SantoYusuf!$L$13:$AK$14,K$4,FALSE))=TRUE,"",
              VLOOKUP($G103,SantoYusuf!$L$13:$AK$14,K$4,FALSE)))</t>
  </si>
  <si>
    <t>=IF(ISNUMBER($L$6)=FALSE,"",
        IF(ISERROR(VLOOKUP($G103,SantoYusuf!$L$13:$AK$14,L$4,FALSE))=TRUE,"",
              VLOOKUP($G103,SantoYusuf!$L$13:$AK$14,L$4,FALSE)))</t>
  </si>
  <si>
    <t>=IF(ISNUMBER($L$6)=FALSE,"",
        IF(ISERROR(VLOOKUP($G103,SantoYusuf!$L$13:$AK$14,M$4,FALSE))=TRUE,"",
              VLOOKUP($G103,SantoYusuf!$L$13:$AK$14,M$4,FALSE)))</t>
  </si>
  <si>
    <t>=IF(ISNUMBER($L$6)=FALSE,"",
        IF(ISERROR(VLOOKUP($G103,SantoYusuf!$L$13:$AK$14,N$4,FALSE))=TRUE,"",
              VLOOKUP($G103,SantoYusuf!$L$13:$AK$14,N$4,FALSE)))</t>
  </si>
  <si>
    <t>=IF(ISNUMBER($L$6)=FALSE,"",
        IF(ISERROR(VLOOKUP($G103,SantoYusuf!$L$13:$AK$14,O$4,FALSE))=TRUE,"",
              VLOOKUP($G103,SantoYusuf!$L$13:$AK$14,O$4,FALSE)))</t>
  </si>
  <si>
    <t>=IF(ISNUMBER($L$6)=FALSE,"",
        IF(ISERROR(VLOOKUP($G103,SantoYusuf!$L$13:$AK$14,P$4,FALSE))=TRUE,"",
              VLOOKUP($G103,SantoYusuf!$L$13:$AK$14,P$4,FALSE)))</t>
  </si>
  <si>
    <t>=IF(ISNUMBER($L$6)=FALSE,"",
        IF(ISERROR(VLOOKUP($G103,SantoYusuf!$L$13:$AK$14,Q$4,FALSE))=TRUE,"",
              VLOOKUP($G103,SantoYusuf!$L$13:$AK$14,Q$4,FALSE)))</t>
  </si>
  <si>
    <t>=IF(ISNUMBER($L$6)=FALSE,"",
        IF(ISERROR(VLOOKUP($G103,SantoYusuf!$L$13:$AK$14,R$4,FALSE))=TRUE,"",
              VLOOKUP($G103,SantoYusuf!$L$13:$AK$14,R$4,FALSE)))</t>
  </si>
  <si>
    <t>=IF(ISNUMBER($L$6)=FALSE,"",
        IF(ISERROR(VLOOKUP($G103,SantoYusuf!$L$13:$AK$14,S$4,FALSE))=TRUE,"",
              VLOOKUP($G103,SantoYusuf!$L$13:$AK$14,S$4,FALSE)))</t>
  </si>
  <si>
    <t>=IF(ISNUMBER($L$6)=FALSE,"",
        IF(ISERROR(VLOOKUP($G103,SantoYusuf!$L$13:$AK$14,T$4,FALSE))=TRUE,"",
              VLOOKUP($G103,SantoYusuf!$L$13:$AK$14,T$4,FALSE)))</t>
  </si>
  <si>
    <t>=IF(ISNUMBER($L$6)=FALSE,"",
        IF(ISERROR(VLOOKUP($G103,SantoYusuf!$L$13:$AK$14,U$4,FALSE))=TRUE,"",
              VLOOKUP($G103,SantoYusuf!$L$13:$AK$14,U$4,FALSE)))</t>
  </si>
  <si>
    <t>=IF(ISNUMBER($L$6)=FALSE,"",
        IF(ISERROR(VLOOKUP($G103,SantoYusuf!$L$13:$AK$14,V$4,FALSE))=TRUE,"",
              VLOOKUP($G103,SantoYusuf!$L$13:$AK$14,V$4,FALSE)))</t>
  </si>
  <si>
    <t>=IF(ISNUMBER($L$6)=FALSE,"",
        IF(ISERROR(VLOOKUP($G103,SantoYusuf!$L$13:$AK$14,W$4,FALSE))=TRUE,"",
              VLOOKUP($G103,SantoYusuf!$L$13:$AK$14,W$4,FALSE)))</t>
  </si>
  <si>
    <t>=IF(ISNUMBER($L$6)=FALSE,"",
        IF(ISERROR(VLOOKUP($G103,SantoYusuf!$L$13:$AK$14,X$4,FALSE))=TRUE,"",
              VLOOKUP($G103,SantoYusuf!$L$13:$AK$14,X$4,FALSE)))</t>
  </si>
  <si>
    <t>=IF(ISNUMBER($L$6)=FALSE,"",
        IF(ISERROR(VLOOKUP($G103,SantoYusuf!$L$13:$AK$14,Y$4,FALSE))=TRUE,"",
              VLOOKUP($G103,SantoYusuf!$L$13:$AK$14,Y$4,FALSE)))</t>
  </si>
  <si>
    <t>=IF(ISNUMBER($L$6)=FALSE,"",
        IF(ISERROR(VLOOKUP($G103,SantoYusuf!$L$13:$AK$14,Z$4,FALSE))=TRUE,"",
              VLOOKUP($G103,SantoYusuf!$L$13:$AK$14,Z$4,FALSE)))</t>
  </si>
  <si>
    <t>=IF(ISNUMBER($L$6)=FALSE,"",
        IF(ISERROR(VLOOKUP($G103,SantoYusuf!$L$13:$AK$14,AA$4,FALSE))=TRUE,"",
              VLOOKUP($G103,SantoYusuf!$L$13:$AK$14,AA$4,FALSE)))</t>
  </si>
  <si>
    <t>=IF(ISNUMBER($L$6)=FALSE,"",
        IF(ISERROR(VLOOKUP($G103,SantoYusuf!$L$13:$AK$14,AB$4,FALSE))=TRUE,"",
              VLOOKUP($G103,SantoYusuf!$L$13:$AK$14,AB$4,FALSE)))</t>
  </si>
  <si>
    <t>=IF(ISNUMBER($L$6)=FALSE,"",
        IF(ISERROR(VLOOKUP($G103,SantoYusuf!$L$13:$AK$14,AC$4,FALSE))=TRUE,"",
              VLOOKUP($G103,SantoYusuf!$L$13:$AK$14,AC$4,FALSE)))</t>
  </si>
  <si>
    <t>=IF(ISNUMBER($L$6)=FALSE,"",
        IF(ISERROR(VLOOKUP($G103,SantoYusuf!$L$13:$AK$14,AD$4,FALSE))=TRUE,"",
              VLOOKUP($G103,SantoYusuf!$L$13:$AK$14,AD$4,FALSE)))</t>
  </si>
  <si>
    <t>=IF(ISNUMBER($L$6)=FALSE,"",
        IF(ISERROR(VLOOKUP($G103,SantoYusuf!$L$13:$AK$14,AE$4,FALSE))=TRUE,"",
              VLOOKUP($G103,SantoYusuf!$L$13:$AK$14,AE$4,FALSE)))</t>
  </si>
  <si>
    <t>=IF(ISNUMBER($L$6)=FALSE,"",
        IF(ISERROR(VLOOKUP($G103,SantoYusuf!$L$13:$AK$14,AF$4,FALSE))=TRUE,"",
              VLOOKUP($G103,SantoYusuf!$L$13:$AK$14,AF$4,FALSE)))</t>
  </si>
  <si>
    <t>=IF(ISNUMBER($L$6)=FALSE,"",
IF($C104=0,"",VLOOKUP($E104,SantoYusuf!$H$13:$L$14,4,FALSE)))</t>
  </si>
  <si>
    <t>=IF(ISNUMBER($L$6)=FALSE,"",
IF($C104=0,"",VLOOKUP($E104,SantoYusuf!$H$13:$L$14,5,FALSE)))</t>
  </si>
  <si>
    <t>=IF(ISNUMBER($L$6)=FALSE,"",
        IF(ISERROR(VLOOKUP($G104,SantoYusuf!$L$13:$AK$14,I$4,FALSE))=TRUE,"",
              VLOOKUP($G104,SantoYusuf!$L$13:$AK$14,I$4,FALSE)))</t>
  </si>
  <si>
    <t>=IF(ISNUMBER($L$6)=FALSE,"",
        IF(ISERROR(VLOOKUP($G104,SantoYusuf!$L$13:$AK$14,J$4,FALSE))=TRUE,"",
              VLOOKUP($G104,SantoYusuf!$L$13:$AK$14,J$4,FALSE)))</t>
  </si>
  <si>
    <t>=IF(ISNUMBER($L$6)=FALSE,"",
        IF(ISERROR(VLOOKUP($G104,SantoYusuf!$L$13:$AK$14,K$4,FALSE))=TRUE,"",
              VLOOKUP($G104,SantoYusuf!$L$13:$AK$14,K$4,FALSE)))</t>
  </si>
  <si>
    <t>=IF(ISNUMBER($L$6)=FALSE,"",
        IF(ISERROR(VLOOKUP($G104,SantoYusuf!$L$13:$AK$14,L$4,FALSE))=TRUE,"",
              VLOOKUP($G104,SantoYusuf!$L$13:$AK$14,L$4,FALSE)))</t>
  </si>
  <si>
    <t>=IF(ISNUMBER($L$6)=FALSE,"",
        IF(ISERROR(VLOOKUP($G104,SantoYusuf!$L$13:$AK$14,M$4,FALSE))=TRUE,"",
              VLOOKUP($G104,SantoYusuf!$L$13:$AK$14,M$4,FALSE)))</t>
  </si>
  <si>
    <t>=IF(ISNUMBER($L$6)=FALSE,"",
        IF(ISERROR(VLOOKUP($G104,SantoYusuf!$L$13:$AK$14,N$4,FALSE))=TRUE,"",
              VLOOKUP($G104,SantoYusuf!$L$13:$AK$14,N$4,FALSE)))</t>
  </si>
  <si>
    <t>=IF(ISNUMBER($L$6)=FALSE,"",
        IF(ISERROR(VLOOKUP($G104,SantoYusuf!$L$13:$AK$14,O$4,FALSE))=TRUE,"",
              VLOOKUP($G104,SantoYusuf!$L$13:$AK$14,O$4,FALSE)))</t>
  </si>
  <si>
    <t>=IF(ISNUMBER($L$6)=FALSE,"",
        IF(ISERROR(VLOOKUP($G104,SantoYusuf!$L$13:$AK$14,P$4,FALSE))=TRUE,"",
              VLOOKUP($G104,SantoYusuf!$L$13:$AK$14,P$4,FALSE)))</t>
  </si>
  <si>
    <t>=IF(ISNUMBER($L$6)=FALSE,"",
        IF(ISERROR(VLOOKUP($G104,SantoYusuf!$L$13:$AK$14,Q$4,FALSE))=TRUE,"",
              VLOOKUP($G104,SantoYusuf!$L$13:$AK$14,Q$4,FALSE)))</t>
  </si>
  <si>
    <t>=IF(ISNUMBER($L$6)=FALSE,"",
        IF(ISERROR(VLOOKUP($G104,SantoYusuf!$L$13:$AK$14,R$4,FALSE))=TRUE,"",
              VLOOKUP($G104,SantoYusuf!$L$13:$AK$14,R$4,FALSE)))</t>
  </si>
  <si>
    <t>=IF(ISNUMBER($L$6)=FALSE,"",
        IF(ISERROR(VLOOKUP($G104,SantoYusuf!$L$13:$AK$14,S$4,FALSE))=TRUE,"",
              VLOOKUP($G104,SantoYusuf!$L$13:$AK$14,S$4,FALSE)))</t>
  </si>
  <si>
    <t>=IF(ISNUMBER($L$6)=FALSE,"",
        IF(ISERROR(VLOOKUP($G104,SantoYusuf!$L$13:$AK$14,T$4,FALSE))=TRUE,"",
              VLOOKUP($G104,SantoYusuf!$L$13:$AK$14,T$4,FALSE)))</t>
  </si>
  <si>
    <t>=IF(ISNUMBER($L$6)=FALSE,"",
        IF(ISERROR(VLOOKUP($G104,SantoYusuf!$L$13:$AK$14,U$4,FALSE))=TRUE,"",
              VLOOKUP($G104,SantoYusuf!$L$13:$AK$14,U$4,FALSE)))</t>
  </si>
  <si>
    <t>=IF(ISNUMBER($L$6)=FALSE,"",
        IF(ISERROR(VLOOKUP($G104,SantoYusuf!$L$13:$AK$14,V$4,FALSE))=TRUE,"",
              VLOOKUP($G104,SantoYusuf!$L$13:$AK$14,V$4,FALSE)))</t>
  </si>
  <si>
    <t>=IF(ISNUMBER($L$6)=FALSE,"",
        IF(ISERROR(VLOOKUP($G104,SantoYusuf!$L$13:$AK$14,W$4,FALSE))=TRUE,"",
              VLOOKUP($G104,SantoYusuf!$L$13:$AK$14,W$4,FALSE)))</t>
  </si>
  <si>
    <t>=IF(ISNUMBER($L$6)=FALSE,"",
        IF(ISERROR(VLOOKUP($G104,SantoYusuf!$L$13:$AK$14,X$4,FALSE))=TRUE,"",
              VLOOKUP($G104,SantoYusuf!$L$13:$AK$14,X$4,FALSE)))</t>
  </si>
  <si>
    <t>=IF(ISNUMBER($L$6)=FALSE,"",
        IF(ISERROR(VLOOKUP($G104,SantoYusuf!$L$13:$AK$14,Y$4,FALSE))=TRUE,"",
              VLOOKUP($G104,SantoYusuf!$L$13:$AK$14,Y$4,FALSE)))</t>
  </si>
  <si>
    <t>=IF(ISNUMBER($L$6)=FALSE,"",
        IF(ISERROR(VLOOKUP($G104,SantoYusuf!$L$13:$AK$14,Z$4,FALSE))=TRUE,"",
              VLOOKUP($G104,SantoYusuf!$L$13:$AK$14,Z$4,FALSE)))</t>
  </si>
  <si>
    <t>=IF(ISNUMBER($L$6)=FALSE,"",
        IF(ISERROR(VLOOKUP($G104,SantoYusuf!$L$13:$AK$14,AA$4,FALSE))=TRUE,"",
              VLOOKUP($G104,SantoYusuf!$L$13:$AK$14,AA$4,FALSE)))</t>
  </si>
  <si>
    <t>=IF(ISNUMBER($L$6)=FALSE,"",
        IF(ISERROR(VLOOKUP($G104,SantoYusuf!$L$13:$AK$14,AB$4,FALSE))=TRUE,"",
              VLOOKUP($G104,SantoYusuf!$L$13:$AK$14,AB$4,FALSE)))</t>
  </si>
  <si>
    <t>=IF(ISNUMBER($L$6)=FALSE,"",
        IF(ISERROR(VLOOKUP($G104,SantoYusuf!$L$13:$AK$14,AC$4,FALSE))=TRUE,"",
              VLOOKUP($G104,SantoYusuf!$L$13:$AK$14,AC$4,FALSE)))</t>
  </si>
  <si>
    <t>=IF(ISNUMBER($L$6)=FALSE,"",
        IF(ISERROR(VLOOKUP($G104,SantoYusuf!$L$13:$AK$14,AD$4,FALSE))=TRUE,"",
              VLOOKUP($G104,SantoYusuf!$L$13:$AK$14,AD$4,FALSE)))</t>
  </si>
  <si>
    <t>=IF(ISNUMBER($L$6)=FALSE,"",
        IF(ISERROR(VLOOKUP($G104,SantoYusuf!$L$13:$AK$14,AE$4,FALSE))=TRUE,"",
              VLOOKUP($G104,SantoYusuf!$L$13:$AK$14,AE$4,FALSE)))</t>
  </si>
  <si>
    <t>=IF(ISNUMBER($L$6)=FALSE,"",
        IF(ISERROR(VLOOKUP($G104,SantoYusuf!$L$13:$AK$14,AF$4,FALSE))=TRUE,"",
              VLOOKUP($G104,SantoYusuf!$L$13:$AK$14,AF$4,FALSE)))</t>
  </si>
  <si>
    <t>=IF(ISNUMBER($L$6)=FALSE,"",
IF($C105=0,"",VLOOKUP($E105,SantoYusuf!$H$13:$L$14,4,FALSE)))</t>
  </si>
  <si>
    <t>=IF(ISNUMBER($L$6)=FALSE,"",
IF($C105=0,"",VLOOKUP($E105,SantoYusuf!$H$13:$L$14,5,FALSE)))</t>
  </si>
  <si>
    <t>=IF(ISNUMBER($L$6)=FALSE,"",
        IF(ISERROR(VLOOKUP($G105,SantoYusuf!$L$13:$AK$14,I$4,FALSE))=TRUE,"",
              VLOOKUP($G105,SantoYusuf!$L$13:$AK$14,I$4,FALSE)))</t>
  </si>
  <si>
    <t>=IF(ISNUMBER($L$6)=FALSE,"",
        IF(ISERROR(VLOOKUP($G105,SantoYusuf!$L$13:$AK$14,J$4,FALSE))=TRUE,"",
              VLOOKUP($G105,SantoYusuf!$L$13:$AK$14,J$4,FALSE)))</t>
  </si>
  <si>
    <t>=IF(ISNUMBER($L$6)=FALSE,"",
        IF(ISERROR(VLOOKUP($G105,SantoYusuf!$L$13:$AK$14,K$4,FALSE))=TRUE,"",
              VLOOKUP($G105,SantoYusuf!$L$13:$AK$14,K$4,FALSE)))</t>
  </si>
  <si>
    <t>=IF(ISNUMBER($L$6)=FALSE,"",
        IF(ISERROR(VLOOKUP($G105,SantoYusuf!$L$13:$AK$14,L$4,FALSE))=TRUE,"",
              VLOOKUP($G105,SantoYusuf!$L$13:$AK$14,L$4,FALSE)))</t>
  </si>
  <si>
    <t>=IF(ISNUMBER($L$6)=FALSE,"",
        IF(ISERROR(VLOOKUP($G105,SantoYusuf!$L$13:$AK$14,M$4,FALSE))=TRUE,"",
              VLOOKUP($G105,SantoYusuf!$L$13:$AK$14,M$4,FALSE)))</t>
  </si>
  <si>
    <t>=IF(ISNUMBER($L$6)=FALSE,"",
        IF(ISERROR(VLOOKUP($G105,SantoYusuf!$L$13:$AK$14,N$4,FALSE))=TRUE,"",
              VLOOKUP($G105,SantoYusuf!$L$13:$AK$14,N$4,FALSE)))</t>
  </si>
  <si>
    <t>=IF(ISNUMBER($L$6)=FALSE,"",
        IF(ISERROR(VLOOKUP($G105,SantoYusuf!$L$13:$AK$14,O$4,FALSE))=TRUE,"",
              VLOOKUP($G105,SantoYusuf!$L$13:$AK$14,O$4,FALSE)))</t>
  </si>
  <si>
    <t>=IF(ISNUMBER($L$6)=FALSE,"",
        IF(ISERROR(VLOOKUP($G105,SantoYusuf!$L$13:$AK$14,P$4,FALSE))=TRUE,"",
              VLOOKUP($G105,SantoYusuf!$L$13:$AK$14,P$4,FALSE)))</t>
  </si>
  <si>
    <t>=IF(ISNUMBER($L$6)=FALSE,"",
        IF(ISERROR(VLOOKUP($G105,SantoYusuf!$L$13:$AK$14,Q$4,FALSE))=TRUE,"",
              VLOOKUP($G105,SantoYusuf!$L$13:$AK$14,Q$4,FALSE)))</t>
  </si>
  <si>
    <t>=IF(ISNUMBER($L$6)=FALSE,"",
        IF(ISERROR(VLOOKUP($G105,SantoYusuf!$L$13:$AK$14,R$4,FALSE))=TRUE,"",
              VLOOKUP($G105,SantoYusuf!$L$13:$AK$14,R$4,FALSE)))</t>
  </si>
  <si>
    <t>=IF(ISNUMBER($L$6)=FALSE,"",
        IF(ISERROR(VLOOKUP($G105,SantoYusuf!$L$13:$AK$14,S$4,FALSE))=TRUE,"",
              VLOOKUP($G105,SantoYusuf!$L$13:$AK$14,S$4,FALSE)))</t>
  </si>
  <si>
    <t>=IF(ISNUMBER($L$6)=FALSE,"",
        IF(ISERROR(VLOOKUP($G105,SantoYusuf!$L$13:$AK$14,T$4,FALSE))=TRUE,"",
              VLOOKUP($G105,SantoYusuf!$L$13:$AK$14,T$4,FALSE)))</t>
  </si>
  <si>
    <t>=IF(ISNUMBER($L$6)=FALSE,"",
        IF(ISERROR(VLOOKUP($G105,SantoYusuf!$L$13:$AK$14,U$4,FALSE))=TRUE,"",
              VLOOKUP($G105,SantoYusuf!$L$13:$AK$14,U$4,FALSE)))</t>
  </si>
  <si>
    <t>=IF(ISNUMBER($L$6)=FALSE,"",
        IF(ISERROR(VLOOKUP($G105,SantoYusuf!$L$13:$AK$14,V$4,FALSE))=TRUE,"",
              VLOOKUP($G105,SantoYusuf!$L$13:$AK$14,V$4,FALSE)))</t>
  </si>
  <si>
    <t>=IF(ISNUMBER($L$6)=FALSE,"",
        IF(ISERROR(VLOOKUP($G105,SantoYusuf!$L$13:$AK$14,W$4,FALSE))=TRUE,"",
              VLOOKUP($G105,SantoYusuf!$L$13:$AK$14,W$4,FALSE)))</t>
  </si>
  <si>
    <t>=IF(ISNUMBER($L$6)=FALSE,"",
        IF(ISERROR(VLOOKUP($G105,SantoYusuf!$L$13:$AK$14,X$4,FALSE))=TRUE,"",
              VLOOKUP($G105,SantoYusuf!$L$13:$AK$14,X$4,FALSE)))</t>
  </si>
  <si>
    <t>=IF(ISNUMBER($L$6)=FALSE,"",
        IF(ISERROR(VLOOKUP($G105,SantoYusuf!$L$13:$AK$14,Y$4,FALSE))=TRUE,"",
              VLOOKUP($G105,SantoYusuf!$L$13:$AK$14,Y$4,FALSE)))</t>
  </si>
  <si>
    <t>=IF(ISNUMBER($L$6)=FALSE,"",
        IF(ISERROR(VLOOKUP($G105,SantoYusuf!$L$13:$AK$14,Z$4,FALSE))=TRUE,"",
              VLOOKUP($G105,SantoYusuf!$L$13:$AK$14,Z$4,FALSE)))</t>
  </si>
  <si>
    <t>=IF(ISNUMBER($L$6)=FALSE,"",
        IF(ISERROR(VLOOKUP($G105,SantoYusuf!$L$13:$AK$14,AA$4,FALSE))=TRUE,"",
              VLOOKUP($G105,SantoYusuf!$L$13:$AK$14,AA$4,FALSE)))</t>
  </si>
  <si>
    <t>=IF(ISNUMBER($L$6)=FALSE,"",
        IF(ISERROR(VLOOKUP($G105,SantoYusuf!$L$13:$AK$14,AB$4,FALSE))=TRUE,"",
              VLOOKUP($G105,SantoYusuf!$L$13:$AK$14,AB$4,FALSE)))</t>
  </si>
  <si>
    <t>=IF(ISNUMBER($L$6)=FALSE,"",
        IF(ISERROR(VLOOKUP($G105,SantoYusuf!$L$13:$AK$14,AC$4,FALSE))=TRUE,"",
              VLOOKUP($G105,SantoYusuf!$L$13:$AK$14,AC$4,FALSE)))</t>
  </si>
  <si>
    <t>=IF(ISNUMBER($L$6)=FALSE,"",
        IF(ISERROR(VLOOKUP($G105,SantoYusuf!$L$13:$AK$14,AD$4,FALSE))=TRUE,"",
              VLOOKUP($G105,SantoYusuf!$L$13:$AK$14,AD$4,FALSE)))</t>
  </si>
  <si>
    <t>=IF(ISNUMBER($L$6)=FALSE,"",
        IF(ISERROR(VLOOKUP($G105,SantoYusuf!$L$13:$AK$14,AE$4,FALSE))=TRUE,"",
              VLOOKUP($G105,SantoYusuf!$L$13:$AK$14,AE$4,FALSE)))</t>
  </si>
  <si>
    <t>=IF(ISNUMBER($L$6)=FALSE,"",
        IF(ISERROR(VLOOKUP($G105,SantoYusuf!$L$13:$AK$14,AF$4,FALSE))=TRUE,"",
              VLOOKUP($G105,SantoYusuf!$L$13:$AK$14,AF$4,FALSE)))</t>
  </si>
  <si>
    <t>=IF(ISNUMBER($L$6)=FALSE,"",
IF($C106=0,"",VLOOKUP($E106,SantoYusuf!$H$13:$L$14,4,FALSE)))</t>
  </si>
  <si>
    <t>=IF(ISNUMBER($L$6)=FALSE,"",
IF($C106=0,"",VLOOKUP($E106,SantoYusuf!$H$13:$L$14,5,FALSE)))</t>
  </si>
  <si>
    <t>=IF(ISNUMBER($L$6)=FALSE,"",
        IF(ISERROR(VLOOKUP($G106,SantoYusuf!$L$13:$AK$14,I$4,FALSE))=TRUE,"",
              VLOOKUP($G106,SantoYusuf!$L$13:$AK$14,I$4,FALSE)))</t>
  </si>
  <si>
    <t>=IF(ISNUMBER($L$6)=FALSE,"",
        IF(ISERROR(VLOOKUP($G106,SantoYusuf!$L$13:$AK$14,J$4,FALSE))=TRUE,"",
              VLOOKUP($G106,SantoYusuf!$L$13:$AK$14,J$4,FALSE)))</t>
  </si>
  <si>
    <t>=IF(ISNUMBER($L$6)=FALSE,"",
        IF(ISERROR(VLOOKUP($G106,SantoYusuf!$L$13:$AK$14,K$4,FALSE))=TRUE,"",
              VLOOKUP($G106,SantoYusuf!$L$13:$AK$14,K$4,FALSE)))</t>
  </si>
  <si>
    <t>=IF(ISNUMBER($L$6)=FALSE,"",
        IF(ISERROR(VLOOKUP($G106,SantoYusuf!$L$13:$AK$14,L$4,FALSE))=TRUE,"",
              VLOOKUP($G106,SantoYusuf!$L$13:$AK$14,L$4,FALSE)))</t>
  </si>
  <si>
    <t>=IF(ISNUMBER($L$6)=FALSE,"",
        IF(ISERROR(VLOOKUP($G106,SantoYusuf!$L$13:$AK$14,M$4,FALSE))=TRUE,"",
              VLOOKUP($G106,SantoYusuf!$L$13:$AK$14,M$4,FALSE)))</t>
  </si>
  <si>
    <t>=IF(ISNUMBER($L$6)=FALSE,"",
        IF(ISERROR(VLOOKUP($G106,SantoYusuf!$L$13:$AK$14,N$4,FALSE))=TRUE,"",
              VLOOKUP($G106,SantoYusuf!$L$13:$AK$14,N$4,FALSE)))</t>
  </si>
  <si>
    <t>=IF(ISNUMBER($L$6)=FALSE,"",
        IF(ISERROR(VLOOKUP($G106,SantoYusuf!$L$13:$AK$14,O$4,FALSE))=TRUE,"",
              VLOOKUP($G106,SantoYusuf!$L$13:$AK$14,O$4,FALSE)))</t>
  </si>
  <si>
    <t>=IF(ISNUMBER($L$6)=FALSE,"",
        IF(ISERROR(VLOOKUP($G106,SantoYusuf!$L$13:$AK$14,P$4,FALSE))=TRUE,"",
              VLOOKUP($G106,SantoYusuf!$L$13:$AK$14,P$4,FALSE)))</t>
  </si>
  <si>
    <t>=IF(ISNUMBER($L$6)=FALSE,"",
        IF(ISERROR(VLOOKUP($G106,SantoYusuf!$L$13:$AK$14,Q$4,FALSE))=TRUE,"",
              VLOOKUP($G106,SantoYusuf!$L$13:$AK$14,Q$4,FALSE)))</t>
  </si>
  <si>
    <t>=IF(ISNUMBER($L$6)=FALSE,"",
        IF(ISERROR(VLOOKUP($G106,SantoYusuf!$L$13:$AK$14,R$4,FALSE))=TRUE,"",
              VLOOKUP($G106,SantoYusuf!$L$13:$AK$14,R$4,FALSE)))</t>
  </si>
  <si>
    <t>=IF(ISNUMBER($L$6)=FALSE,"",
        IF(ISERROR(VLOOKUP($G106,SantoYusuf!$L$13:$AK$14,S$4,FALSE))=TRUE,"",
              VLOOKUP($G106,SantoYusuf!$L$13:$AK$14,S$4,FALSE)))</t>
  </si>
  <si>
    <t>=IF(ISNUMBER($L$6)=FALSE,"",
        IF(ISERROR(VLOOKUP($G106,SantoYusuf!$L$13:$AK$14,T$4,FALSE))=TRUE,"",
              VLOOKUP($G106,SantoYusuf!$L$13:$AK$14,T$4,FALSE)))</t>
  </si>
  <si>
    <t>=IF(ISNUMBER($L$6)=FALSE,"",
        IF(ISERROR(VLOOKUP($G106,SantoYusuf!$L$13:$AK$14,U$4,FALSE))=TRUE,"",
              VLOOKUP($G106,SantoYusuf!$L$13:$AK$14,U$4,FALSE)))</t>
  </si>
  <si>
    <t>=IF(ISNUMBER($L$6)=FALSE,"",
        IF(ISERROR(VLOOKUP($G106,SantoYusuf!$L$13:$AK$14,V$4,FALSE))=TRUE,"",
              VLOOKUP($G106,SantoYusuf!$L$13:$AK$14,V$4,FALSE)))</t>
  </si>
  <si>
    <t>=IF(ISNUMBER($L$6)=FALSE,"",
        IF(ISERROR(VLOOKUP($G106,SantoYusuf!$L$13:$AK$14,W$4,FALSE))=TRUE,"",
              VLOOKUP($G106,SantoYusuf!$L$13:$AK$14,W$4,FALSE)))</t>
  </si>
  <si>
    <t>=IF(ISNUMBER($L$6)=FALSE,"",
        IF(ISERROR(VLOOKUP($G106,SantoYusuf!$L$13:$AK$14,X$4,FALSE))=TRUE,"",
              VLOOKUP($G106,SantoYusuf!$L$13:$AK$14,X$4,FALSE)))</t>
  </si>
  <si>
    <t>=IF(ISNUMBER($L$6)=FALSE,"",
        IF(ISERROR(VLOOKUP($G106,SantoYusuf!$L$13:$AK$14,Y$4,FALSE))=TRUE,"",
              VLOOKUP($G106,SantoYusuf!$L$13:$AK$14,Y$4,FALSE)))</t>
  </si>
  <si>
    <t>=IF(ISNUMBER($L$6)=FALSE,"",
        IF(ISERROR(VLOOKUP($G106,SantoYusuf!$L$13:$AK$14,Z$4,FALSE))=TRUE,"",
              VLOOKUP($G106,SantoYusuf!$L$13:$AK$14,Z$4,FALSE)))</t>
  </si>
  <si>
    <t>=IF(ISNUMBER($L$6)=FALSE,"",
        IF(ISERROR(VLOOKUP($G106,SantoYusuf!$L$13:$AK$14,AA$4,FALSE))=TRUE,"",
              VLOOKUP($G106,SantoYusuf!$L$13:$AK$14,AA$4,FALSE)))</t>
  </si>
  <si>
    <t>=IF(ISNUMBER($L$6)=FALSE,"",
        IF(ISERROR(VLOOKUP($G106,SantoYusuf!$L$13:$AK$14,AB$4,FALSE))=TRUE,"",
              VLOOKUP($G106,SantoYusuf!$L$13:$AK$14,AB$4,FALSE)))</t>
  </si>
  <si>
    <t>=IF(ISNUMBER($L$6)=FALSE,"",
        IF(ISERROR(VLOOKUP($G106,SantoYusuf!$L$13:$AK$14,AC$4,FALSE))=TRUE,"",
              VLOOKUP($G106,SantoYusuf!$L$13:$AK$14,AC$4,FALSE)))</t>
  </si>
  <si>
    <t>=IF(ISNUMBER($L$6)=FALSE,"",
        IF(ISERROR(VLOOKUP($G106,SantoYusuf!$L$13:$AK$14,AD$4,FALSE))=TRUE,"",
              VLOOKUP($G106,SantoYusuf!$L$13:$AK$14,AD$4,FALSE)))</t>
  </si>
  <si>
    <t>=IF(ISNUMBER($L$6)=FALSE,"",
        IF(ISERROR(VLOOKUP($G106,SantoYusuf!$L$13:$AK$14,AE$4,FALSE))=TRUE,"",
              VLOOKUP($G106,SantoYusuf!$L$13:$AK$14,AE$4,FALSE)))</t>
  </si>
  <si>
    <t>=IF(ISNUMBER($L$6)=FALSE,"",
        IF(ISERROR(VLOOKUP($G106,SantoYusuf!$L$13:$AK$14,AF$4,FALSE))=TRUE,"",
              VLOOKUP($G106,SantoYusuf!$L$13:$AK$14,AF$4,FALSE)))</t>
  </si>
  <si>
    <t>=IF(ISNUMBER($L$6)=FALSE,"",
IF($C107=0,"",VLOOKUP($E107,SantoYusuf!$H$13:$L$14,4,FALSE)))</t>
  </si>
  <si>
    <t>=IF(ISNUMBER($L$6)=FALSE,"",
IF($C107=0,"",VLOOKUP($E107,SantoYusuf!$H$13:$L$14,5,FALSE)))</t>
  </si>
  <si>
    <t>=IF(ISNUMBER($L$6)=FALSE,"",
        IF(ISERROR(VLOOKUP($G107,SantoYusuf!$L$13:$AK$14,I$4,FALSE))=TRUE,"",
              VLOOKUP($G107,SantoYusuf!$L$13:$AK$14,I$4,FALSE)))</t>
  </si>
  <si>
    <t>=IF(ISNUMBER($L$6)=FALSE,"",
        IF(ISERROR(VLOOKUP($G107,SantoYusuf!$L$13:$AK$14,J$4,FALSE))=TRUE,"",
              VLOOKUP($G107,SantoYusuf!$L$13:$AK$14,J$4,FALSE)))</t>
  </si>
  <si>
    <t>=IF(ISNUMBER($L$6)=FALSE,"",
        IF(ISERROR(VLOOKUP($G107,SantoYusuf!$L$13:$AK$14,K$4,FALSE))=TRUE,"",
              VLOOKUP($G107,SantoYusuf!$L$13:$AK$14,K$4,FALSE)))</t>
  </si>
  <si>
    <t>=IF(ISNUMBER($L$6)=FALSE,"",
        IF(ISERROR(VLOOKUP($G107,SantoYusuf!$L$13:$AK$14,L$4,FALSE))=TRUE,"",
              VLOOKUP($G107,SantoYusuf!$L$13:$AK$14,L$4,FALSE)))</t>
  </si>
  <si>
    <t>=IF(ISNUMBER($L$6)=FALSE,"",
        IF(ISERROR(VLOOKUP($G107,SantoYusuf!$L$13:$AK$14,M$4,FALSE))=TRUE,"",
              VLOOKUP($G107,SantoYusuf!$L$13:$AK$14,M$4,FALSE)))</t>
  </si>
  <si>
    <t>=IF(ISNUMBER($L$6)=FALSE,"",
        IF(ISERROR(VLOOKUP($G107,SantoYusuf!$L$13:$AK$14,N$4,FALSE))=TRUE,"",
              VLOOKUP($G107,SantoYusuf!$L$13:$AK$14,N$4,FALSE)))</t>
  </si>
  <si>
    <t>=IF(ISNUMBER($L$6)=FALSE,"",
        IF(ISERROR(VLOOKUP($G107,SantoYusuf!$L$13:$AK$14,O$4,FALSE))=TRUE,"",
              VLOOKUP($G107,SantoYusuf!$L$13:$AK$14,O$4,FALSE)))</t>
  </si>
  <si>
    <t>=IF(ISNUMBER($L$6)=FALSE,"",
        IF(ISERROR(VLOOKUP($G107,SantoYusuf!$L$13:$AK$14,P$4,FALSE))=TRUE,"",
              VLOOKUP($G107,SantoYusuf!$L$13:$AK$14,P$4,FALSE)))</t>
  </si>
  <si>
    <t>=IF(ISNUMBER($L$6)=FALSE,"",
        IF(ISERROR(VLOOKUP($G107,SantoYusuf!$L$13:$AK$14,Q$4,FALSE))=TRUE,"",
              VLOOKUP($G107,SantoYusuf!$L$13:$AK$14,Q$4,FALSE)))</t>
  </si>
  <si>
    <t>=IF(ISNUMBER($L$6)=FALSE,"",
        IF(ISERROR(VLOOKUP($G107,SantoYusuf!$L$13:$AK$14,R$4,FALSE))=TRUE,"",
              VLOOKUP($G107,SantoYusuf!$L$13:$AK$14,R$4,FALSE)))</t>
  </si>
  <si>
    <t>=IF(ISNUMBER($L$6)=FALSE,"",
        IF(ISERROR(VLOOKUP($G107,SantoYusuf!$L$13:$AK$14,S$4,FALSE))=TRUE,"",
              VLOOKUP($G107,SantoYusuf!$L$13:$AK$14,S$4,FALSE)))</t>
  </si>
  <si>
    <t>=IF(ISNUMBER($L$6)=FALSE,"",
        IF(ISERROR(VLOOKUP($G107,SantoYusuf!$L$13:$AK$14,T$4,FALSE))=TRUE,"",
              VLOOKUP($G107,SantoYusuf!$L$13:$AK$14,T$4,FALSE)))</t>
  </si>
  <si>
    <t>=IF(ISNUMBER($L$6)=FALSE,"",
        IF(ISERROR(VLOOKUP($G107,SantoYusuf!$L$13:$AK$14,U$4,FALSE))=TRUE,"",
              VLOOKUP($G107,SantoYusuf!$L$13:$AK$14,U$4,FALSE)))</t>
  </si>
  <si>
    <t>=IF(ISNUMBER($L$6)=FALSE,"",
        IF(ISERROR(VLOOKUP($G107,SantoYusuf!$L$13:$AK$14,V$4,FALSE))=TRUE,"",
              VLOOKUP($G107,SantoYusuf!$L$13:$AK$14,V$4,FALSE)))</t>
  </si>
  <si>
    <t>=IF(ISNUMBER($L$6)=FALSE,"",
        IF(ISERROR(VLOOKUP($G107,SantoYusuf!$L$13:$AK$14,W$4,FALSE))=TRUE,"",
              VLOOKUP($G107,SantoYusuf!$L$13:$AK$14,W$4,FALSE)))</t>
  </si>
  <si>
    <t>=IF(ISNUMBER($L$6)=FALSE,"",
        IF(ISERROR(VLOOKUP($G107,SantoYusuf!$L$13:$AK$14,X$4,FALSE))=TRUE,"",
              VLOOKUP($G107,SantoYusuf!$L$13:$AK$14,X$4,FALSE)))</t>
  </si>
  <si>
    <t>=IF(ISNUMBER($L$6)=FALSE,"",
        IF(ISERROR(VLOOKUP($G107,SantoYusuf!$L$13:$AK$14,Y$4,FALSE))=TRUE,"",
              VLOOKUP($G107,SantoYusuf!$L$13:$AK$14,Y$4,FALSE)))</t>
  </si>
  <si>
    <t>=IF(ISNUMBER($L$6)=FALSE,"",
        IF(ISERROR(VLOOKUP($G107,SantoYusuf!$L$13:$AK$14,Z$4,FALSE))=TRUE,"",
              VLOOKUP($G107,SantoYusuf!$L$13:$AK$14,Z$4,FALSE)))</t>
  </si>
  <si>
    <t>=IF(ISNUMBER($L$6)=FALSE,"",
        IF(ISERROR(VLOOKUP($G107,SantoYusuf!$L$13:$AK$14,AA$4,FALSE))=TRUE,"",
              VLOOKUP($G107,SantoYusuf!$L$13:$AK$14,AA$4,FALSE)))</t>
  </si>
  <si>
    <t>=IF(ISNUMBER($L$6)=FALSE,"",
        IF(ISERROR(VLOOKUP($G107,SantoYusuf!$L$13:$AK$14,AB$4,FALSE))=TRUE,"",
              VLOOKUP($G107,SantoYusuf!$L$13:$AK$14,AB$4,FALSE)))</t>
  </si>
  <si>
    <t>=IF(ISNUMBER($L$6)=FALSE,"",
        IF(ISERROR(VLOOKUP($G107,SantoYusuf!$L$13:$AK$14,AC$4,FALSE))=TRUE,"",
              VLOOKUP($G107,SantoYusuf!$L$13:$AK$14,AC$4,FALSE)))</t>
  </si>
  <si>
    <t>=IF(ISNUMBER($L$6)=FALSE,"",
        IF(ISERROR(VLOOKUP($G107,SantoYusuf!$L$13:$AK$14,AD$4,FALSE))=TRUE,"",
              VLOOKUP($G107,SantoYusuf!$L$13:$AK$14,AD$4,FALSE)))</t>
  </si>
  <si>
    <t>=IF(ISNUMBER($L$6)=FALSE,"",
        IF(ISERROR(VLOOKUP($G107,SantoYusuf!$L$13:$AK$14,AE$4,FALSE))=TRUE,"",
              VLOOKUP($G107,SantoYusuf!$L$13:$AK$14,AE$4,FALSE)))</t>
  </si>
  <si>
    <t>=IF(ISNUMBER($L$6)=FALSE,"",
        IF(ISERROR(VLOOKUP($G107,SantoYusuf!$L$13:$AK$14,AF$4,FALSE))=TRUE,"",
              VLOOKUP($G107,SantoYusuf!$L$13:$AK$14,AF$4,FALSE)))</t>
  </si>
  <si>
    <t>=IF(ISNUMBER($L$6)=FALSE,"",
IF($C108=0,"",VLOOKUP($E108,SantoYusuf!$H$13:$L$14,4,FALSE)))</t>
  </si>
  <si>
    <t>=IF(ISNUMBER($L$6)=FALSE,"",
IF($C108=0,"",VLOOKUP($E108,SantoYusuf!$H$13:$L$14,5,FALSE)))</t>
  </si>
  <si>
    <t>=IF(ISNUMBER($L$6)=FALSE,"",
        IF(ISERROR(VLOOKUP($G108,SantoYusuf!$L$13:$AK$14,I$4,FALSE))=TRUE,"",
              VLOOKUP($G108,SantoYusuf!$L$13:$AK$14,I$4,FALSE)))</t>
  </si>
  <si>
    <t>=IF(ISNUMBER($L$6)=FALSE,"",
        IF(ISERROR(VLOOKUP($G108,SantoYusuf!$L$13:$AK$14,J$4,FALSE))=TRUE,"",
              VLOOKUP($G108,SantoYusuf!$L$13:$AK$14,J$4,FALSE)))</t>
  </si>
  <si>
    <t>=IF(ISNUMBER($L$6)=FALSE,"",
        IF(ISERROR(VLOOKUP($G108,SantoYusuf!$L$13:$AK$14,K$4,FALSE))=TRUE,"",
              VLOOKUP($G108,SantoYusuf!$L$13:$AK$14,K$4,FALSE)))</t>
  </si>
  <si>
    <t>=IF(ISNUMBER($L$6)=FALSE,"",
        IF(ISERROR(VLOOKUP($G108,SantoYusuf!$L$13:$AK$14,L$4,FALSE))=TRUE,"",
              VLOOKUP($G108,SantoYusuf!$L$13:$AK$14,L$4,FALSE)))</t>
  </si>
  <si>
    <t>=IF(ISNUMBER($L$6)=FALSE,"",
        IF(ISERROR(VLOOKUP($G108,SantoYusuf!$L$13:$AK$14,M$4,FALSE))=TRUE,"",
              VLOOKUP($G108,SantoYusuf!$L$13:$AK$14,M$4,FALSE)))</t>
  </si>
  <si>
    <t>=IF(ISNUMBER($L$6)=FALSE,"",
        IF(ISERROR(VLOOKUP($G108,SantoYusuf!$L$13:$AK$14,N$4,FALSE))=TRUE,"",
              VLOOKUP($G108,SantoYusuf!$L$13:$AK$14,N$4,FALSE)))</t>
  </si>
  <si>
    <t>=IF(ISNUMBER($L$6)=FALSE,"",
        IF(ISERROR(VLOOKUP($G108,SantoYusuf!$L$13:$AK$14,O$4,FALSE))=TRUE,"",
              VLOOKUP($G108,SantoYusuf!$L$13:$AK$14,O$4,FALSE)))</t>
  </si>
  <si>
    <t>=IF(ISNUMBER($L$6)=FALSE,"",
        IF(ISERROR(VLOOKUP($G108,SantoYusuf!$L$13:$AK$14,P$4,FALSE))=TRUE,"",
              VLOOKUP($G108,SantoYusuf!$L$13:$AK$14,P$4,FALSE)))</t>
  </si>
  <si>
    <t>=IF(ISNUMBER($L$6)=FALSE,"",
        IF(ISERROR(VLOOKUP($G108,SantoYusuf!$L$13:$AK$14,Q$4,FALSE))=TRUE,"",
              VLOOKUP($G108,SantoYusuf!$L$13:$AK$14,Q$4,FALSE)))</t>
  </si>
  <si>
    <t>=IF(ISNUMBER($L$6)=FALSE,"",
        IF(ISERROR(VLOOKUP($G108,SantoYusuf!$L$13:$AK$14,R$4,FALSE))=TRUE,"",
              VLOOKUP($G108,SantoYusuf!$L$13:$AK$14,R$4,FALSE)))</t>
  </si>
  <si>
    <t>=IF(ISNUMBER($L$6)=FALSE,"",
        IF(ISERROR(VLOOKUP($G108,SantoYusuf!$L$13:$AK$14,S$4,FALSE))=TRUE,"",
              VLOOKUP($G108,SantoYusuf!$L$13:$AK$14,S$4,FALSE)))</t>
  </si>
  <si>
    <t>=IF(ISNUMBER($L$6)=FALSE,"",
        IF(ISERROR(VLOOKUP($G108,SantoYusuf!$L$13:$AK$14,T$4,FALSE))=TRUE,"",
              VLOOKUP($G108,SantoYusuf!$L$13:$AK$14,T$4,FALSE)))</t>
  </si>
  <si>
    <t>=IF(ISNUMBER($L$6)=FALSE,"",
        IF(ISERROR(VLOOKUP($G108,SantoYusuf!$L$13:$AK$14,U$4,FALSE))=TRUE,"",
              VLOOKUP($G108,SantoYusuf!$L$13:$AK$14,U$4,FALSE)))</t>
  </si>
  <si>
    <t>=IF(ISNUMBER($L$6)=FALSE,"",
        IF(ISERROR(VLOOKUP($G108,SantoYusuf!$L$13:$AK$14,V$4,FALSE))=TRUE,"",
              VLOOKUP($G108,SantoYusuf!$L$13:$AK$14,V$4,FALSE)))</t>
  </si>
  <si>
    <t>=IF(ISNUMBER($L$6)=FALSE,"",
        IF(ISERROR(VLOOKUP($G108,SantoYusuf!$L$13:$AK$14,W$4,FALSE))=TRUE,"",
              VLOOKUP($G108,SantoYusuf!$L$13:$AK$14,W$4,FALSE)))</t>
  </si>
  <si>
    <t>=IF(ISNUMBER($L$6)=FALSE,"",
        IF(ISERROR(VLOOKUP($G108,SantoYusuf!$L$13:$AK$14,X$4,FALSE))=TRUE,"",
              VLOOKUP($G108,SantoYusuf!$L$13:$AK$14,X$4,FALSE)))</t>
  </si>
  <si>
    <t>=IF(ISNUMBER($L$6)=FALSE,"",
        IF(ISERROR(VLOOKUP($G108,SantoYusuf!$L$13:$AK$14,Y$4,FALSE))=TRUE,"",
              VLOOKUP($G108,SantoYusuf!$L$13:$AK$14,Y$4,FALSE)))</t>
  </si>
  <si>
    <t>=IF(ISNUMBER($L$6)=FALSE,"",
        IF(ISERROR(VLOOKUP($G108,SantoYusuf!$L$13:$AK$14,Z$4,FALSE))=TRUE,"",
              VLOOKUP($G108,SantoYusuf!$L$13:$AK$14,Z$4,FALSE)))</t>
  </si>
  <si>
    <t>=IF(ISNUMBER($L$6)=FALSE,"",
        IF(ISERROR(VLOOKUP($G108,SantoYusuf!$L$13:$AK$14,AA$4,FALSE))=TRUE,"",
              VLOOKUP($G108,SantoYusuf!$L$13:$AK$14,AA$4,FALSE)))</t>
  </si>
  <si>
    <t>=IF(ISNUMBER($L$6)=FALSE,"",
        IF(ISERROR(VLOOKUP($G108,SantoYusuf!$L$13:$AK$14,AB$4,FALSE))=TRUE,"",
              VLOOKUP($G108,SantoYusuf!$L$13:$AK$14,AB$4,FALSE)))</t>
  </si>
  <si>
    <t>=IF(ISNUMBER($L$6)=FALSE,"",
        IF(ISERROR(VLOOKUP($G108,SantoYusuf!$L$13:$AK$14,AC$4,FALSE))=TRUE,"",
              VLOOKUP($G108,SantoYusuf!$L$13:$AK$14,AC$4,FALSE)))</t>
  </si>
  <si>
    <t>=IF(ISNUMBER($L$6)=FALSE,"",
        IF(ISERROR(VLOOKUP($G108,SantoYusuf!$L$13:$AK$14,AD$4,FALSE))=TRUE,"",
              VLOOKUP($G108,SantoYusuf!$L$13:$AK$14,AD$4,FALSE)))</t>
  </si>
  <si>
    <t>=IF(ISNUMBER($L$6)=FALSE,"",
        IF(ISERROR(VLOOKUP($G108,SantoYusuf!$L$13:$AK$14,AE$4,FALSE))=TRUE,"",
              VLOOKUP($G108,SantoYusuf!$L$13:$AK$14,AE$4,FALSE)))</t>
  </si>
  <si>
    <t>=IF(ISNUMBER($L$6)=FALSE,"",
        IF(ISERROR(VLOOKUP($G108,SantoYusuf!$L$13:$AK$14,AF$4,FALSE))=TRUE,"",
              VLOOKUP($G108,SantoYusuf!$L$13:$AK$14,AF$4,FALSE)))</t>
  </si>
  <si>
    <t>=IF(ISNUMBER($L$6)=FALSE,"",
IF($C109=0,"",VLOOKUP($E109,SantoYusuf!$H$13:$L$14,4,FALSE)))</t>
  </si>
  <si>
    <t>=IF(ISNUMBER($L$6)=FALSE,"",
IF($C109=0,"",VLOOKUP($E109,SantoYusuf!$H$13:$L$14,5,FALSE)))</t>
  </si>
  <si>
    <t>=IF(ISNUMBER($L$6)=FALSE,"",
        IF(ISERROR(VLOOKUP($G109,SantoYusuf!$L$13:$AK$14,I$4,FALSE))=TRUE,"",
              VLOOKUP($G109,SantoYusuf!$L$13:$AK$14,I$4,FALSE)))</t>
  </si>
  <si>
    <t>=IF(ISNUMBER($L$6)=FALSE,"",
        IF(ISERROR(VLOOKUP($G109,SantoYusuf!$L$13:$AK$14,J$4,FALSE))=TRUE,"",
              VLOOKUP($G109,SantoYusuf!$L$13:$AK$14,J$4,FALSE)))</t>
  </si>
  <si>
    <t>=IF(ISNUMBER($L$6)=FALSE,"",
        IF(ISERROR(VLOOKUP($G109,SantoYusuf!$L$13:$AK$14,K$4,FALSE))=TRUE,"",
              VLOOKUP($G109,SantoYusuf!$L$13:$AK$14,K$4,FALSE)))</t>
  </si>
  <si>
    <t>=IF(ISNUMBER($L$6)=FALSE,"",
        IF(ISERROR(VLOOKUP($G109,SantoYusuf!$L$13:$AK$14,L$4,FALSE))=TRUE,"",
              VLOOKUP($G109,SantoYusuf!$L$13:$AK$14,L$4,FALSE)))</t>
  </si>
  <si>
    <t>=IF(ISNUMBER($L$6)=FALSE,"",
        IF(ISERROR(VLOOKUP($G109,SantoYusuf!$L$13:$AK$14,M$4,FALSE))=TRUE,"",
              VLOOKUP($G109,SantoYusuf!$L$13:$AK$14,M$4,FALSE)))</t>
  </si>
  <si>
    <t>=IF(ISNUMBER($L$6)=FALSE,"",
        IF(ISERROR(VLOOKUP($G109,SantoYusuf!$L$13:$AK$14,N$4,FALSE))=TRUE,"",
              VLOOKUP($G109,SantoYusuf!$L$13:$AK$14,N$4,FALSE)))</t>
  </si>
  <si>
    <t>=IF(ISNUMBER($L$6)=FALSE,"",
        IF(ISERROR(VLOOKUP($G109,SantoYusuf!$L$13:$AK$14,O$4,FALSE))=TRUE,"",
              VLOOKUP($G109,SantoYusuf!$L$13:$AK$14,O$4,FALSE)))</t>
  </si>
  <si>
    <t>=IF(ISNUMBER($L$6)=FALSE,"",
        IF(ISERROR(VLOOKUP($G109,SantoYusuf!$L$13:$AK$14,P$4,FALSE))=TRUE,"",
              VLOOKUP($G109,SantoYusuf!$L$13:$AK$14,P$4,FALSE)))</t>
  </si>
  <si>
    <t>=IF(ISNUMBER($L$6)=FALSE,"",
        IF(ISERROR(VLOOKUP($G109,SantoYusuf!$L$13:$AK$14,Q$4,FALSE))=TRUE,"",
              VLOOKUP($G109,SantoYusuf!$L$13:$AK$14,Q$4,FALSE)))</t>
  </si>
  <si>
    <t>=IF(ISNUMBER($L$6)=FALSE,"",
        IF(ISERROR(VLOOKUP($G109,SantoYusuf!$L$13:$AK$14,R$4,FALSE))=TRUE,"",
              VLOOKUP($G109,SantoYusuf!$L$13:$AK$14,R$4,FALSE)))</t>
  </si>
  <si>
    <t>=IF(ISNUMBER($L$6)=FALSE,"",
        IF(ISERROR(VLOOKUP($G109,SantoYusuf!$L$13:$AK$14,S$4,FALSE))=TRUE,"",
              VLOOKUP($G109,SantoYusuf!$L$13:$AK$14,S$4,FALSE)))</t>
  </si>
  <si>
    <t>=IF(ISNUMBER($L$6)=FALSE,"",
        IF(ISERROR(VLOOKUP($G109,SantoYusuf!$L$13:$AK$14,T$4,FALSE))=TRUE,"",
              VLOOKUP($G109,SantoYusuf!$L$13:$AK$14,T$4,FALSE)))</t>
  </si>
  <si>
    <t>=IF(ISNUMBER($L$6)=FALSE,"",
        IF(ISERROR(VLOOKUP($G109,SantoYusuf!$L$13:$AK$14,U$4,FALSE))=TRUE,"",
              VLOOKUP($G109,SantoYusuf!$L$13:$AK$14,U$4,FALSE)))</t>
  </si>
  <si>
    <t>=IF(ISNUMBER($L$6)=FALSE,"",
        IF(ISERROR(VLOOKUP($G109,SantoYusuf!$L$13:$AK$14,V$4,FALSE))=TRUE,"",
              VLOOKUP($G109,SantoYusuf!$L$13:$AK$14,V$4,FALSE)))</t>
  </si>
  <si>
    <t>=IF(ISNUMBER($L$6)=FALSE,"",
        IF(ISERROR(VLOOKUP($G109,SantoYusuf!$L$13:$AK$14,W$4,FALSE))=TRUE,"",
              VLOOKUP($G109,SantoYusuf!$L$13:$AK$14,W$4,FALSE)))</t>
  </si>
  <si>
    <t>=IF(ISNUMBER($L$6)=FALSE,"",
        IF(ISERROR(VLOOKUP($G109,SantoYusuf!$L$13:$AK$14,X$4,FALSE))=TRUE,"",
              VLOOKUP($G109,SantoYusuf!$L$13:$AK$14,X$4,FALSE)))</t>
  </si>
  <si>
    <t>=IF(ISNUMBER($L$6)=FALSE,"",
        IF(ISERROR(VLOOKUP($G109,SantoYusuf!$L$13:$AK$14,Y$4,FALSE))=TRUE,"",
              VLOOKUP($G109,SantoYusuf!$L$13:$AK$14,Y$4,FALSE)))</t>
  </si>
  <si>
    <t>=IF(ISNUMBER($L$6)=FALSE,"",
        IF(ISERROR(VLOOKUP($G109,SantoYusuf!$L$13:$AK$14,Z$4,FALSE))=TRUE,"",
              VLOOKUP($G109,SantoYusuf!$L$13:$AK$14,Z$4,FALSE)))</t>
  </si>
  <si>
    <t>=IF(ISNUMBER($L$6)=FALSE,"",
        IF(ISERROR(VLOOKUP($G109,SantoYusuf!$L$13:$AK$14,AA$4,FALSE))=TRUE,"",
              VLOOKUP($G109,SantoYusuf!$L$13:$AK$14,AA$4,FALSE)))</t>
  </si>
  <si>
    <t>=IF(ISNUMBER($L$6)=FALSE,"",
        IF(ISERROR(VLOOKUP($G109,SantoYusuf!$L$13:$AK$14,AB$4,FALSE))=TRUE,"",
              VLOOKUP($G109,SantoYusuf!$L$13:$AK$14,AB$4,FALSE)))</t>
  </si>
  <si>
    <t>=IF(ISNUMBER($L$6)=FALSE,"",
        IF(ISERROR(VLOOKUP($G109,SantoYusuf!$L$13:$AK$14,AC$4,FALSE))=TRUE,"",
              VLOOKUP($G109,SantoYusuf!$L$13:$AK$14,AC$4,FALSE)))</t>
  </si>
  <si>
    <t>=IF(ISNUMBER($L$6)=FALSE,"",
        IF(ISERROR(VLOOKUP($G109,SantoYusuf!$L$13:$AK$14,AD$4,FALSE))=TRUE,"",
              VLOOKUP($G109,SantoYusuf!$L$13:$AK$14,AD$4,FALSE)))</t>
  </si>
  <si>
    <t>=IF(ISNUMBER($L$6)=FALSE,"",
        IF(ISERROR(VLOOKUP($G109,SantoYusuf!$L$13:$AK$14,AE$4,FALSE))=TRUE,"",
              VLOOKUP($G109,SantoYusuf!$L$13:$AK$14,AE$4,FALSE)))</t>
  </si>
  <si>
    <t>=IF(ISNUMBER($L$6)=FALSE,"",
        IF(ISERROR(VLOOKUP($G109,SantoYusuf!$L$13:$AK$14,AF$4,FALSE))=TRUE,"",
              VLOOKUP($G109,SantoYusuf!$L$13:$AK$14,AF$4,FALSE)))</t>
  </si>
  <si>
    <t>=IF(ISNUMBER($L$6)=FALSE,"",
IF($C110=0,"",VLOOKUP($E110,SantoYusuf!$H$13:$L$14,4,FALSE)))</t>
  </si>
  <si>
    <t>=IF(ISNUMBER($L$6)=FALSE,"",
IF($C110=0,"",VLOOKUP($E110,SantoYusuf!$H$13:$L$14,5,FALSE)))</t>
  </si>
  <si>
    <t>=IF(ISNUMBER($L$6)=FALSE,"",
        IF(ISERROR(VLOOKUP($G110,SantoYusuf!$L$13:$AK$14,I$4,FALSE))=TRUE,"",
              VLOOKUP($G110,SantoYusuf!$L$13:$AK$14,I$4,FALSE)))</t>
  </si>
  <si>
    <t>=IF(ISNUMBER($L$6)=FALSE,"",
        IF(ISERROR(VLOOKUP($G110,SantoYusuf!$L$13:$AK$14,J$4,FALSE))=TRUE,"",
              VLOOKUP($G110,SantoYusuf!$L$13:$AK$14,J$4,FALSE)))</t>
  </si>
  <si>
    <t>=IF(ISNUMBER($L$6)=FALSE,"",
        IF(ISERROR(VLOOKUP($G110,SantoYusuf!$L$13:$AK$14,K$4,FALSE))=TRUE,"",
              VLOOKUP($G110,SantoYusuf!$L$13:$AK$14,K$4,FALSE)))</t>
  </si>
  <si>
    <t>=IF(ISNUMBER($L$6)=FALSE,"",
        IF(ISERROR(VLOOKUP($G110,SantoYusuf!$L$13:$AK$14,L$4,FALSE))=TRUE,"",
              VLOOKUP($G110,SantoYusuf!$L$13:$AK$14,L$4,FALSE)))</t>
  </si>
  <si>
    <t>=IF(ISNUMBER($L$6)=FALSE,"",
        IF(ISERROR(VLOOKUP($G110,SantoYusuf!$L$13:$AK$14,M$4,FALSE))=TRUE,"",
              VLOOKUP($G110,SantoYusuf!$L$13:$AK$14,M$4,FALSE)))</t>
  </si>
  <si>
    <t>=IF(ISNUMBER($L$6)=FALSE,"",
        IF(ISERROR(VLOOKUP($G110,SantoYusuf!$L$13:$AK$14,N$4,FALSE))=TRUE,"",
              VLOOKUP($G110,SantoYusuf!$L$13:$AK$14,N$4,FALSE)))</t>
  </si>
  <si>
    <t>=IF(ISNUMBER($L$6)=FALSE,"",
        IF(ISERROR(VLOOKUP($G110,SantoYusuf!$L$13:$AK$14,O$4,FALSE))=TRUE,"",
              VLOOKUP($G110,SantoYusuf!$L$13:$AK$14,O$4,FALSE)))</t>
  </si>
  <si>
    <t>=IF(ISNUMBER($L$6)=FALSE,"",
        IF(ISERROR(VLOOKUP($G110,SantoYusuf!$L$13:$AK$14,P$4,FALSE))=TRUE,"",
              VLOOKUP($G110,SantoYusuf!$L$13:$AK$14,P$4,FALSE)))</t>
  </si>
  <si>
    <t>=IF(ISNUMBER($L$6)=FALSE,"",
        IF(ISERROR(VLOOKUP($G110,SantoYusuf!$L$13:$AK$14,Q$4,FALSE))=TRUE,"",
              VLOOKUP($G110,SantoYusuf!$L$13:$AK$14,Q$4,FALSE)))</t>
  </si>
  <si>
    <t>=IF(ISNUMBER($L$6)=FALSE,"",
        IF(ISERROR(VLOOKUP($G110,SantoYusuf!$L$13:$AK$14,R$4,FALSE))=TRUE,"",
              VLOOKUP($G110,SantoYusuf!$L$13:$AK$14,R$4,FALSE)))</t>
  </si>
  <si>
    <t>=IF(ISNUMBER($L$6)=FALSE,"",
        IF(ISERROR(VLOOKUP($G110,SantoYusuf!$L$13:$AK$14,S$4,FALSE))=TRUE,"",
              VLOOKUP($G110,SantoYusuf!$L$13:$AK$14,S$4,FALSE)))</t>
  </si>
  <si>
    <t>=IF(ISNUMBER($L$6)=FALSE,"",
        IF(ISERROR(VLOOKUP($G110,SantoYusuf!$L$13:$AK$14,T$4,FALSE))=TRUE,"",
              VLOOKUP($G110,SantoYusuf!$L$13:$AK$14,T$4,FALSE)))</t>
  </si>
  <si>
    <t>=IF(ISNUMBER($L$6)=FALSE,"",
        IF(ISERROR(VLOOKUP($G110,SantoYusuf!$L$13:$AK$14,U$4,FALSE))=TRUE,"",
              VLOOKUP($G110,SantoYusuf!$L$13:$AK$14,U$4,FALSE)))</t>
  </si>
  <si>
    <t>=IF(ISNUMBER($L$6)=FALSE,"",
        IF(ISERROR(VLOOKUP($G110,SantoYusuf!$L$13:$AK$14,V$4,FALSE))=TRUE,"",
              VLOOKUP($G110,SantoYusuf!$L$13:$AK$14,V$4,FALSE)))</t>
  </si>
  <si>
    <t>=IF(ISNUMBER($L$6)=FALSE,"",
        IF(ISERROR(VLOOKUP($G110,SantoYusuf!$L$13:$AK$14,W$4,FALSE))=TRUE,"",
              VLOOKUP($G110,SantoYusuf!$L$13:$AK$14,W$4,FALSE)))</t>
  </si>
  <si>
    <t>=IF(ISNUMBER($L$6)=FALSE,"",
        IF(ISERROR(VLOOKUP($G110,SantoYusuf!$L$13:$AK$14,X$4,FALSE))=TRUE,"",
              VLOOKUP($G110,SantoYusuf!$L$13:$AK$14,X$4,FALSE)))</t>
  </si>
  <si>
    <t>=IF(ISNUMBER($L$6)=FALSE,"",
        IF(ISERROR(VLOOKUP($G110,SantoYusuf!$L$13:$AK$14,Y$4,FALSE))=TRUE,"",
              VLOOKUP($G110,SantoYusuf!$L$13:$AK$14,Y$4,FALSE)))</t>
  </si>
  <si>
    <t>=IF(ISNUMBER($L$6)=FALSE,"",
        IF(ISERROR(VLOOKUP($G110,SantoYusuf!$L$13:$AK$14,Z$4,FALSE))=TRUE,"",
              VLOOKUP($G110,SantoYusuf!$L$13:$AK$14,Z$4,FALSE)))</t>
  </si>
  <si>
    <t>=IF(ISNUMBER($L$6)=FALSE,"",
        IF(ISERROR(VLOOKUP($G110,SantoYusuf!$L$13:$AK$14,AA$4,FALSE))=TRUE,"",
              VLOOKUP($G110,SantoYusuf!$L$13:$AK$14,AA$4,FALSE)))</t>
  </si>
  <si>
    <t>=IF(ISNUMBER($L$6)=FALSE,"",
        IF(ISERROR(VLOOKUP($G110,SantoYusuf!$L$13:$AK$14,AB$4,FALSE))=TRUE,"",
              VLOOKUP($G110,SantoYusuf!$L$13:$AK$14,AB$4,FALSE)))</t>
  </si>
  <si>
    <t>=IF(ISNUMBER($L$6)=FALSE,"",
        IF(ISERROR(VLOOKUP($G110,SantoYusuf!$L$13:$AK$14,AC$4,FALSE))=TRUE,"",
              VLOOKUP($G110,SantoYusuf!$L$13:$AK$14,AC$4,FALSE)))</t>
  </si>
  <si>
    <t>=IF(ISNUMBER($L$6)=FALSE,"",
        IF(ISERROR(VLOOKUP($G110,SantoYusuf!$L$13:$AK$14,AD$4,FALSE))=TRUE,"",
              VLOOKUP($G110,SantoYusuf!$L$13:$AK$14,AD$4,FALSE)))</t>
  </si>
  <si>
    <t>=IF(ISNUMBER($L$6)=FALSE,"",
        IF(ISERROR(VLOOKUP($G110,SantoYusuf!$L$13:$AK$14,AE$4,FALSE))=TRUE,"",
              VLOOKUP($G110,SantoYusuf!$L$13:$AK$14,AE$4,FALSE)))</t>
  </si>
  <si>
    <t>=IF(ISNUMBER($L$6)=FALSE,"",
        IF(ISERROR(VLOOKUP($G110,SantoYusuf!$L$13:$AK$14,AF$4,FALSE))=TRUE,"",
              VLOOKUP($G110,SantoYusuf!$L$13:$AK$14,AF$4,FALSE)))</t>
  </si>
  <si>
    <t>=IF(ISNUMBER($L$6)=FALSE,"",
IF($C111=0,"",VLOOKUP($E111,SantoYusuf!$H$13:$L$14,4,FALSE)))</t>
  </si>
  <si>
    <t>=IF(ISNUMBER($L$6)=FALSE,"",
IF($C111=0,"",VLOOKUP($E111,SantoYusuf!$H$13:$L$14,5,FALSE)))</t>
  </si>
  <si>
    <t>=IF(ISNUMBER($L$6)=FALSE,"",
        IF(ISERROR(VLOOKUP($G111,SantoYusuf!$L$13:$AK$14,I$4,FALSE))=TRUE,"",
              VLOOKUP($G111,SantoYusuf!$L$13:$AK$14,I$4,FALSE)))</t>
  </si>
  <si>
    <t>=IF(ISNUMBER($L$6)=FALSE,"",
        IF(ISERROR(VLOOKUP($G111,SantoYusuf!$L$13:$AK$14,J$4,FALSE))=TRUE,"",
              VLOOKUP($G111,SantoYusuf!$L$13:$AK$14,J$4,FALSE)))</t>
  </si>
  <si>
    <t>=IF(ISNUMBER($L$6)=FALSE,"",
        IF(ISERROR(VLOOKUP($G111,SantoYusuf!$L$13:$AK$14,K$4,FALSE))=TRUE,"",
              VLOOKUP($G111,SantoYusuf!$L$13:$AK$14,K$4,FALSE)))</t>
  </si>
  <si>
    <t>=IF(ISNUMBER($L$6)=FALSE,"",
        IF(ISERROR(VLOOKUP($G111,SantoYusuf!$L$13:$AK$14,L$4,FALSE))=TRUE,"",
              VLOOKUP($G111,SantoYusuf!$L$13:$AK$14,L$4,FALSE)))</t>
  </si>
  <si>
    <t>=IF(ISNUMBER($L$6)=FALSE,"",
        IF(ISERROR(VLOOKUP($G111,SantoYusuf!$L$13:$AK$14,M$4,FALSE))=TRUE,"",
              VLOOKUP($G111,SantoYusuf!$L$13:$AK$14,M$4,FALSE)))</t>
  </si>
  <si>
    <t>=IF(ISNUMBER($L$6)=FALSE,"",
        IF(ISERROR(VLOOKUP($G111,SantoYusuf!$L$13:$AK$14,N$4,FALSE))=TRUE,"",
              VLOOKUP($G111,SantoYusuf!$L$13:$AK$14,N$4,FALSE)))</t>
  </si>
  <si>
    <t>=IF(ISNUMBER($L$6)=FALSE,"",
        IF(ISERROR(VLOOKUP($G111,SantoYusuf!$L$13:$AK$14,O$4,FALSE))=TRUE,"",
              VLOOKUP($G111,SantoYusuf!$L$13:$AK$14,O$4,FALSE)))</t>
  </si>
  <si>
    <t>=IF(ISNUMBER($L$6)=FALSE,"",
        IF(ISERROR(VLOOKUP($G111,SantoYusuf!$L$13:$AK$14,P$4,FALSE))=TRUE,"",
              VLOOKUP($G111,SantoYusuf!$L$13:$AK$14,P$4,FALSE)))</t>
  </si>
  <si>
    <t>=IF(ISNUMBER($L$6)=FALSE,"",
        IF(ISERROR(VLOOKUP($G111,SantoYusuf!$L$13:$AK$14,Q$4,FALSE))=TRUE,"",
              VLOOKUP($G111,SantoYusuf!$L$13:$AK$14,Q$4,FALSE)))</t>
  </si>
  <si>
    <t>=IF(ISNUMBER($L$6)=FALSE,"",
        IF(ISERROR(VLOOKUP($G111,SantoYusuf!$L$13:$AK$14,R$4,FALSE))=TRUE,"",
              VLOOKUP($G111,SantoYusuf!$L$13:$AK$14,R$4,FALSE)))</t>
  </si>
  <si>
    <t>=IF(ISNUMBER($L$6)=FALSE,"",
        IF(ISERROR(VLOOKUP($G111,SantoYusuf!$L$13:$AK$14,S$4,FALSE))=TRUE,"",
              VLOOKUP($G111,SantoYusuf!$L$13:$AK$14,S$4,FALSE)))</t>
  </si>
  <si>
    <t>=IF(ISNUMBER($L$6)=FALSE,"",
        IF(ISERROR(VLOOKUP($G111,SantoYusuf!$L$13:$AK$14,T$4,FALSE))=TRUE,"",
              VLOOKUP($G111,SantoYusuf!$L$13:$AK$14,T$4,FALSE)))</t>
  </si>
  <si>
    <t>=IF(ISNUMBER($L$6)=FALSE,"",
        IF(ISERROR(VLOOKUP($G111,SantoYusuf!$L$13:$AK$14,U$4,FALSE))=TRUE,"",
              VLOOKUP($G111,SantoYusuf!$L$13:$AK$14,U$4,FALSE)))</t>
  </si>
  <si>
    <t>=IF(ISNUMBER($L$6)=FALSE,"",
        IF(ISERROR(VLOOKUP($G111,SantoYusuf!$L$13:$AK$14,V$4,FALSE))=TRUE,"",
              VLOOKUP($G111,SantoYusuf!$L$13:$AK$14,V$4,FALSE)))</t>
  </si>
  <si>
    <t>=IF(ISNUMBER($L$6)=FALSE,"",
        IF(ISERROR(VLOOKUP($G111,SantoYusuf!$L$13:$AK$14,W$4,FALSE))=TRUE,"",
              VLOOKUP($G111,SantoYusuf!$L$13:$AK$14,W$4,FALSE)))</t>
  </si>
  <si>
    <t>=IF(ISNUMBER($L$6)=FALSE,"",
        IF(ISERROR(VLOOKUP($G111,SantoYusuf!$L$13:$AK$14,X$4,FALSE))=TRUE,"",
              VLOOKUP($G111,SantoYusuf!$L$13:$AK$14,X$4,FALSE)))</t>
  </si>
  <si>
    <t>=IF(ISNUMBER($L$6)=FALSE,"",
        IF(ISERROR(VLOOKUP($G111,SantoYusuf!$L$13:$AK$14,Y$4,FALSE))=TRUE,"",
              VLOOKUP($G111,SantoYusuf!$L$13:$AK$14,Y$4,FALSE)))</t>
  </si>
  <si>
    <t>=IF(ISNUMBER($L$6)=FALSE,"",
        IF(ISERROR(VLOOKUP($G111,SantoYusuf!$L$13:$AK$14,Z$4,FALSE))=TRUE,"",
              VLOOKUP($G111,SantoYusuf!$L$13:$AK$14,Z$4,FALSE)))</t>
  </si>
  <si>
    <t>=IF(ISNUMBER($L$6)=FALSE,"",
        IF(ISERROR(VLOOKUP($G111,SantoYusuf!$L$13:$AK$14,AA$4,FALSE))=TRUE,"",
              VLOOKUP($G111,SantoYusuf!$L$13:$AK$14,AA$4,FALSE)))</t>
  </si>
  <si>
    <t>=IF(ISNUMBER($L$6)=FALSE,"",
        IF(ISERROR(VLOOKUP($G111,SantoYusuf!$L$13:$AK$14,AB$4,FALSE))=TRUE,"",
              VLOOKUP($G111,SantoYusuf!$L$13:$AK$14,AB$4,FALSE)))</t>
  </si>
  <si>
    <t>=IF(ISNUMBER($L$6)=FALSE,"",
        IF(ISERROR(VLOOKUP($G111,SantoYusuf!$L$13:$AK$14,AC$4,FALSE))=TRUE,"",
              VLOOKUP($G111,SantoYusuf!$L$13:$AK$14,AC$4,FALSE)))</t>
  </si>
  <si>
    <t>=IF(ISNUMBER($L$6)=FALSE,"",
        IF(ISERROR(VLOOKUP($G111,SantoYusuf!$L$13:$AK$14,AD$4,FALSE))=TRUE,"",
              VLOOKUP($G111,SantoYusuf!$L$13:$AK$14,AD$4,FALSE)))</t>
  </si>
  <si>
    <t>=IF(ISNUMBER($L$6)=FALSE,"",
        IF(ISERROR(VLOOKUP($G111,SantoYusuf!$L$13:$AK$14,AE$4,FALSE))=TRUE,"",
              VLOOKUP($G111,SantoYusuf!$L$13:$AK$14,AE$4,FALSE)))</t>
  </si>
  <si>
    <t>=IF(ISNUMBER($L$6)=FALSE,"",
        IF(ISERROR(VLOOKUP($G111,SantoYusuf!$L$13:$AK$14,AF$4,FALSE))=TRUE,"",
              VLOOKUP($G111,SantoYusuf!$L$13:$AK$14,AF$4,FALSE)))</t>
  </si>
  <si>
    <t>=IF(ISNUMBER($L$6)=FALSE,"",
IF($C112=0,"",VLOOKUP($E112,SantoYusuf!$H$13:$L$14,4,FALSE)))</t>
  </si>
  <si>
    <t>=IF(ISNUMBER($L$6)=FALSE,"",
IF($C112=0,"",VLOOKUP($E112,SantoYusuf!$H$13:$L$14,5,FALSE)))</t>
  </si>
  <si>
    <t>=IF(ISNUMBER($L$6)=FALSE,"",
        IF(ISERROR(VLOOKUP($G112,SantoYusuf!$L$13:$AK$14,I$4,FALSE))=TRUE,"",
              VLOOKUP($G112,SantoYusuf!$L$13:$AK$14,I$4,FALSE)))</t>
  </si>
  <si>
    <t>=IF(ISNUMBER($L$6)=FALSE,"",
        IF(ISERROR(VLOOKUP($G112,SantoYusuf!$L$13:$AK$14,J$4,FALSE))=TRUE,"",
              VLOOKUP($G112,SantoYusuf!$L$13:$AK$14,J$4,FALSE)))</t>
  </si>
  <si>
    <t>=IF(ISNUMBER($L$6)=FALSE,"",
        IF(ISERROR(VLOOKUP($G112,SantoYusuf!$L$13:$AK$14,K$4,FALSE))=TRUE,"",
              VLOOKUP($G112,SantoYusuf!$L$13:$AK$14,K$4,FALSE)))</t>
  </si>
  <si>
    <t>=IF(ISNUMBER($L$6)=FALSE,"",
        IF(ISERROR(VLOOKUP($G112,SantoYusuf!$L$13:$AK$14,L$4,FALSE))=TRUE,"",
              VLOOKUP($G112,SantoYusuf!$L$13:$AK$14,L$4,FALSE)))</t>
  </si>
  <si>
    <t>=IF(ISNUMBER($L$6)=FALSE,"",
        IF(ISERROR(VLOOKUP($G112,SantoYusuf!$L$13:$AK$14,M$4,FALSE))=TRUE,"",
              VLOOKUP($G112,SantoYusuf!$L$13:$AK$14,M$4,FALSE)))</t>
  </si>
  <si>
    <t>=IF(ISNUMBER($L$6)=FALSE,"",
        IF(ISERROR(VLOOKUP($G112,SantoYusuf!$L$13:$AK$14,N$4,FALSE))=TRUE,"",
              VLOOKUP($G112,SantoYusuf!$L$13:$AK$14,N$4,FALSE)))</t>
  </si>
  <si>
    <t>=IF(ISNUMBER($L$6)=FALSE,"",
        IF(ISERROR(VLOOKUP($G112,SantoYusuf!$L$13:$AK$14,O$4,FALSE))=TRUE,"",
              VLOOKUP($G112,SantoYusuf!$L$13:$AK$14,O$4,FALSE)))</t>
  </si>
  <si>
    <t>=IF(ISNUMBER($L$6)=FALSE,"",
        IF(ISERROR(VLOOKUP($G112,SantoYusuf!$L$13:$AK$14,P$4,FALSE))=TRUE,"",
              VLOOKUP($G112,SantoYusuf!$L$13:$AK$14,P$4,FALSE)))</t>
  </si>
  <si>
    <t>=IF(ISNUMBER($L$6)=FALSE,"",
        IF(ISERROR(VLOOKUP($G112,SantoYusuf!$L$13:$AK$14,Q$4,FALSE))=TRUE,"",
              VLOOKUP($G112,SantoYusuf!$L$13:$AK$14,Q$4,FALSE)))</t>
  </si>
  <si>
    <t>=IF(ISNUMBER($L$6)=FALSE,"",
        IF(ISERROR(VLOOKUP($G112,SantoYusuf!$L$13:$AK$14,R$4,FALSE))=TRUE,"",
              VLOOKUP($G112,SantoYusuf!$L$13:$AK$14,R$4,FALSE)))</t>
  </si>
  <si>
    <t>=IF(ISNUMBER($L$6)=FALSE,"",
        IF(ISERROR(VLOOKUP($G112,SantoYusuf!$L$13:$AK$14,S$4,FALSE))=TRUE,"",
              VLOOKUP($G112,SantoYusuf!$L$13:$AK$14,S$4,FALSE)))</t>
  </si>
  <si>
    <t>=IF(ISNUMBER($L$6)=FALSE,"",
        IF(ISERROR(VLOOKUP($G112,SantoYusuf!$L$13:$AK$14,T$4,FALSE))=TRUE,"",
              VLOOKUP($G112,SantoYusuf!$L$13:$AK$14,T$4,FALSE)))</t>
  </si>
  <si>
    <t>=IF(ISNUMBER($L$6)=FALSE,"",
        IF(ISERROR(VLOOKUP($G112,SantoYusuf!$L$13:$AK$14,U$4,FALSE))=TRUE,"",
              VLOOKUP($G112,SantoYusuf!$L$13:$AK$14,U$4,FALSE)))</t>
  </si>
  <si>
    <t>=IF(ISNUMBER($L$6)=FALSE,"",
        IF(ISERROR(VLOOKUP($G112,SantoYusuf!$L$13:$AK$14,V$4,FALSE))=TRUE,"",
              VLOOKUP($G112,SantoYusuf!$L$13:$AK$14,V$4,FALSE)))</t>
  </si>
  <si>
    <t>=IF(ISNUMBER($L$6)=FALSE,"",
        IF(ISERROR(VLOOKUP($G112,SantoYusuf!$L$13:$AK$14,W$4,FALSE))=TRUE,"",
              VLOOKUP($G112,SantoYusuf!$L$13:$AK$14,W$4,FALSE)))</t>
  </si>
  <si>
    <t>=IF(ISNUMBER($L$6)=FALSE,"",
        IF(ISERROR(VLOOKUP($G112,SantoYusuf!$L$13:$AK$14,X$4,FALSE))=TRUE,"",
              VLOOKUP($G112,SantoYusuf!$L$13:$AK$14,X$4,FALSE)))</t>
  </si>
  <si>
    <t>=IF(ISNUMBER($L$6)=FALSE,"",
        IF(ISERROR(VLOOKUP($G112,SantoYusuf!$L$13:$AK$14,Y$4,FALSE))=TRUE,"",
              VLOOKUP($G112,SantoYusuf!$L$13:$AK$14,Y$4,FALSE)))</t>
  </si>
  <si>
    <t>=IF(ISNUMBER($L$6)=FALSE,"",
        IF(ISERROR(VLOOKUP($G112,SantoYusuf!$L$13:$AK$14,Z$4,FALSE))=TRUE,"",
              VLOOKUP($G112,SantoYusuf!$L$13:$AK$14,Z$4,FALSE)))</t>
  </si>
  <si>
    <t>=IF(ISNUMBER($L$6)=FALSE,"",
        IF(ISERROR(VLOOKUP($G112,SantoYusuf!$L$13:$AK$14,AA$4,FALSE))=TRUE,"",
              VLOOKUP($G112,SantoYusuf!$L$13:$AK$14,AA$4,FALSE)))</t>
  </si>
  <si>
    <t>=IF(ISNUMBER($L$6)=FALSE,"",
        IF(ISERROR(VLOOKUP($G112,SantoYusuf!$L$13:$AK$14,AB$4,FALSE))=TRUE,"",
              VLOOKUP($G112,SantoYusuf!$L$13:$AK$14,AB$4,FALSE)))</t>
  </si>
  <si>
    <t>=IF(ISNUMBER($L$6)=FALSE,"",
        IF(ISERROR(VLOOKUP($G112,SantoYusuf!$L$13:$AK$14,AC$4,FALSE))=TRUE,"",
              VLOOKUP($G112,SantoYusuf!$L$13:$AK$14,AC$4,FALSE)))</t>
  </si>
  <si>
    <t>=IF(ISNUMBER($L$6)=FALSE,"",
        IF(ISERROR(VLOOKUP($G112,SantoYusuf!$L$13:$AK$14,AD$4,FALSE))=TRUE,"",
              VLOOKUP($G112,SantoYusuf!$L$13:$AK$14,AD$4,FALSE)))</t>
  </si>
  <si>
    <t>=IF(ISNUMBER($L$6)=FALSE,"",
        IF(ISERROR(VLOOKUP($G112,SantoYusuf!$L$13:$AK$14,AE$4,FALSE))=TRUE,"",
              VLOOKUP($G112,SantoYusuf!$L$13:$AK$14,AE$4,FALSE)))</t>
  </si>
  <si>
    <t>=IF(ISNUMBER($L$6)=FALSE,"",
        IF(ISERROR(VLOOKUP($G112,SantoYusuf!$L$13:$AK$14,AF$4,FALSE))=TRUE,"",
              VLOOKUP($G112,SantoYusuf!$L$13:$AK$14,AF$4,FALSE)))</t>
  </si>
  <si>
    <t>=IF(ISNUMBER($L$6)=FALSE,"",
IF($C113=0,"",VLOOKUP($E113,SantoYusuf!$H$13:$L$14,4,FALSE)))</t>
  </si>
  <si>
    <t>=IF(ISNUMBER($L$6)=FALSE,"",
IF($C113=0,"",VLOOKUP($E113,SantoYusuf!$H$13:$L$14,5,FALSE)))</t>
  </si>
  <si>
    <t>=IF(ISNUMBER($L$6)=FALSE,"",
        IF(ISERROR(VLOOKUP($G113,SantoYusuf!$L$13:$AK$14,I$4,FALSE))=TRUE,"",
              VLOOKUP($G113,SantoYusuf!$L$13:$AK$14,I$4,FALSE)))</t>
  </si>
  <si>
    <t>=IF(ISNUMBER($L$6)=FALSE,"",
        IF(ISERROR(VLOOKUP($G113,SantoYusuf!$L$13:$AK$14,J$4,FALSE))=TRUE,"",
              VLOOKUP($G113,SantoYusuf!$L$13:$AK$14,J$4,FALSE)))</t>
  </si>
  <si>
    <t>=IF(ISNUMBER($L$6)=FALSE,"",
        IF(ISERROR(VLOOKUP($G113,SantoYusuf!$L$13:$AK$14,K$4,FALSE))=TRUE,"",
              VLOOKUP($G113,SantoYusuf!$L$13:$AK$14,K$4,FALSE)))</t>
  </si>
  <si>
    <t>=IF(ISNUMBER($L$6)=FALSE,"",
        IF(ISERROR(VLOOKUP($G113,SantoYusuf!$L$13:$AK$14,L$4,FALSE))=TRUE,"",
              VLOOKUP($G113,SantoYusuf!$L$13:$AK$14,L$4,FALSE)))</t>
  </si>
  <si>
    <t>=IF(ISNUMBER($L$6)=FALSE,"",
        IF(ISERROR(VLOOKUP($G113,SantoYusuf!$L$13:$AK$14,M$4,FALSE))=TRUE,"",
              VLOOKUP($G113,SantoYusuf!$L$13:$AK$14,M$4,FALSE)))</t>
  </si>
  <si>
    <t>=IF(ISNUMBER($L$6)=FALSE,"",
        IF(ISERROR(VLOOKUP($G113,SantoYusuf!$L$13:$AK$14,N$4,FALSE))=TRUE,"",
              VLOOKUP($G113,SantoYusuf!$L$13:$AK$14,N$4,FALSE)))</t>
  </si>
  <si>
    <t>=IF(ISNUMBER($L$6)=FALSE,"",
        IF(ISERROR(VLOOKUP($G113,SantoYusuf!$L$13:$AK$14,O$4,FALSE))=TRUE,"",
              VLOOKUP($G113,SantoYusuf!$L$13:$AK$14,O$4,FALSE)))</t>
  </si>
  <si>
    <t>=IF(ISNUMBER($L$6)=FALSE,"",
        IF(ISERROR(VLOOKUP($G113,SantoYusuf!$L$13:$AK$14,P$4,FALSE))=TRUE,"",
              VLOOKUP($G113,SantoYusuf!$L$13:$AK$14,P$4,FALSE)))</t>
  </si>
  <si>
    <t>=IF(ISNUMBER($L$6)=FALSE,"",
        IF(ISERROR(VLOOKUP($G113,SantoYusuf!$L$13:$AK$14,Q$4,FALSE))=TRUE,"",
              VLOOKUP($G113,SantoYusuf!$L$13:$AK$14,Q$4,FALSE)))</t>
  </si>
  <si>
    <t>=IF(ISNUMBER($L$6)=FALSE,"",
        IF(ISERROR(VLOOKUP($G113,SantoYusuf!$L$13:$AK$14,R$4,FALSE))=TRUE,"",
              VLOOKUP($G113,SantoYusuf!$L$13:$AK$14,R$4,FALSE)))</t>
  </si>
  <si>
    <t>=IF(ISNUMBER($L$6)=FALSE,"",
        IF(ISERROR(VLOOKUP($G113,SantoYusuf!$L$13:$AK$14,S$4,FALSE))=TRUE,"",
              VLOOKUP($G113,SantoYusuf!$L$13:$AK$14,S$4,FALSE)))</t>
  </si>
  <si>
    <t>=IF(ISNUMBER($L$6)=FALSE,"",
        IF(ISERROR(VLOOKUP($G113,SantoYusuf!$L$13:$AK$14,T$4,FALSE))=TRUE,"",
              VLOOKUP($G113,SantoYusuf!$L$13:$AK$14,T$4,FALSE)))</t>
  </si>
  <si>
    <t>=IF(ISNUMBER($L$6)=FALSE,"",
        IF(ISERROR(VLOOKUP($G113,SantoYusuf!$L$13:$AK$14,U$4,FALSE))=TRUE,"",
              VLOOKUP($G113,SantoYusuf!$L$13:$AK$14,U$4,FALSE)))</t>
  </si>
  <si>
    <t>=IF(ISNUMBER($L$6)=FALSE,"",
        IF(ISERROR(VLOOKUP($G113,SantoYusuf!$L$13:$AK$14,V$4,FALSE))=TRUE,"",
              VLOOKUP($G113,SantoYusuf!$L$13:$AK$14,V$4,FALSE)))</t>
  </si>
  <si>
    <t>=IF(ISNUMBER($L$6)=FALSE,"",
        IF(ISERROR(VLOOKUP($G113,SantoYusuf!$L$13:$AK$14,W$4,FALSE))=TRUE,"",
              VLOOKUP($G113,SantoYusuf!$L$13:$AK$14,W$4,FALSE)))</t>
  </si>
  <si>
    <t>=IF(ISNUMBER($L$6)=FALSE,"",
        IF(ISERROR(VLOOKUP($G113,SantoYusuf!$L$13:$AK$14,X$4,FALSE))=TRUE,"",
              VLOOKUP($G113,SantoYusuf!$L$13:$AK$14,X$4,FALSE)))</t>
  </si>
  <si>
    <t>=IF(ISNUMBER($L$6)=FALSE,"",
        IF(ISERROR(VLOOKUP($G113,SantoYusuf!$L$13:$AK$14,Y$4,FALSE))=TRUE,"",
              VLOOKUP($G113,SantoYusuf!$L$13:$AK$14,Y$4,FALSE)))</t>
  </si>
  <si>
    <t>=IF(ISNUMBER($L$6)=FALSE,"",
        IF(ISERROR(VLOOKUP($G113,SantoYusuf!$L$13:$AK$14,Z$4,FALSE))=TRUE,"",
              VLOOKUP($G113,SantoYusuf!$L$13:$AK$14,Z$4,FALSE)))</t>
  </si>
  <si>
    <t>=IF(ISNUMBER($L$6)=FALSE,"",
        IF(ISERROR(VLOOKUP($G113,SantoYusuf!$L$13:$AK$14,AA$4,FALSE))=TRUE,"",
              VLOOKUP($G113,SantoYusuf!$L$13:$AK$14,AA$4,FALSE)))</t>
  </si>
  <si>
    <t>=IF(ISNUMBER($L$6)=FALSE,"",
        IF(ISERROR(VLOOKUP($G113,SantoYusuf!$L$13:$AK$14,AB$4,FALSE))=TRUE,"",
              VLOOKUP($G113,SantoYusuf!$L$13:$AK$14,AB$4,FALSE)))</t>
  </si>
  <si>
    <t>=IF(ISNUMBER($L$6)=FALSE,"",
        IF(ISERROR(VLOOKUP($G113,SantoYusuf!$L$13:$AK$14,AC$4,FALSE))=TRUE,"",
              VLOOKUP($G113,SantoYusuf!$L$13:$AK$14,AC$4,FALSE)))</t>
  </si>
  <si>
    <t>=IF(ISNUMBER($L$6)=FALSE,"",
        IF(ISERROR(VLOOKUP($G113,SantoYusuf!$L$13:$AK$14,AD$4,FALSE))=TRUE,"",
              VLOOKUP($G113,SantoYusuf!$L$13:$AK$14,AD$4,FALSE)))</t>
  </si>
  <si>
    <t>=IF(ISNUMBER($L$6)=FALSE,"",
        IF(ISERROR(VLOOKUP($G113,SantoYusuf!$L$13:$AK$14,AE$4,FALSE))=TRUE,"",
              VLOOKUP($G113,SantoYusuf!$L$13:$AK$14,AE$4,FALSE)))</t>
  </si>
  <si>
    <t>=IF(ISNUMBER($L$6)=FALSE,"",
        IF(ISERROR(VLOOKUP($G113,SantoYusuf!$L$13:$AK$14,AF$4,FALSE))=TRUE,"",
              VLOOKUP($G113,SantoYusuf!$L$13:$AK$14,AF$4,FALSE)))</t>
  </si>
  <si>
    <t>Auto+Hide+Formulas=Sheet13,Sheet14+FormulasOnly</t>
  </si>
  <si>
    <t>Auto+Hide+HideSheet+Formulas=Sheet15,Sheet16+FormulasOnly</t>
  </si>
  <si>
    <t>240000</t>
  </si>
  <si>
    <t>Auto+Hide+Formulas=Sheet17,Sheet18+FormulasOnly</t>
  </si>
  <si>
    <t>=NP("Eval","=DanaSehat!$K$5")</t>
  </si>
  <si>
    <t>=INDEX(DanaSehat!$K$13:$K$14,MATCH($D$6,DanaSehat!$L$13:$L$14,0))</t>
  </si>
  <si>
    <t>=DanaSehat!$N$11</t>
  </si>
  <si>
    <t>=SUMIFS(IuranDSSebelumnya!$N$20:$N$21,IuranDSSebelumnya!$J$20:$J$21,$E$6,IuranDSSebelumnya!$M$20:$M$21,$C9)</t>
  </si>
  <si>
    <t>=SUMIFS(IuranSYSebelumnya!$N$20:$N$21,IuranSYSebelumnya!$J$20:$J$21,$E$6,IuranSYSebelumnya!$M$20:$M$21,$C9)</t>
  </si>
  <si>
    <t>=DanaSehat!$O$11</t>
  </si>
  <si>
    <t>=SUMIFS(IuranDSSebelumnya!$N$20:$N$21,IuranDSSebelumnya!$J$20:$J$21,$E$6,IuranDSSebelumnya!$M$20:$M$21,$C10)</t>
  </si>
  <si>
    <t>=SUMIFS(IuranSYSebelumnya!$N$20:$N$21,IuranSYSebelumnya!$J$20:$J$21,$E$6,IuranSYSebelumnya!$M$20:$M$21,$C10)</t>
  </si>
  <si>
    <t>=DanaSehat!$P$11</t>
  </si>
  <si>
    <t>=SUMIFS(IuranDSSebelumnya!$N$20:$N$21,IuranDSSebelumnya!$J$20:$J$21,$E$6,IuranDSSebelumnya!$M$20:$M$21,$C11)</t>
  </si>
  <si>
    <t>=SUMIFS(IuranSYSebelumnya!$N$20:$N$21,IuranSYSebelumnya!$J$20:$J$21,$E$6,IuranSYSebelumnya!$M$20:$M$21,$C11)</t>
  </si>
  <si>
    <t>=DanaSehat!$Q$11</t>
  </si>
  <si>
    <t>=SUMIFS(IuranDSSebelumnya!$N$20:$N$21,IuranDSSebelumnya!$J$20:$J$21,$E$6,IuranDSSebelumnya!$M$20:$M$21,$C12)</t>
  </si>
  <si>
    <t>=SUMIFS(IuranSYSebelumnya!$N$20:$N$21,IuranSYSebelumnya!$J$20:$J$21,$E$6,IuranSYSebelumnya!$M$20:$M$21,$C12)</t>
  </si>
  <si>
    <t>=DanaSehat!$R$11</t>
  </si>
  <si>
    <t>=SUMIFS(IuranDSSebelumnya!$N$20:$N$21,IuranDSSebelumnya!$J$20:$J$21,$E$6,IuranDSSebelumnya!$M$20:$M$21,$C13)</t>
  </si>
  <si>
    <t>=SUMIFS(IuranSYSebelumnya!$N$20:$N$21,IuranSYSebelumnya!$J$20:$J$21,$E$6,IuranSYSebelumnya!$M$20:$M$21,$C13)</t>
  </si>
  <si>
    <t>=DanaSehat!$S$11</t>
  </si>
  <si>
    <t>=SUMIFS(IuranDSSebelumnya!$N$20:$N$21,IuranDSSebelumnya!$J$20:$J$21,$E$6,IuranDSSebelumnya!$M$20:$M$21,$C14)</t>
  </si>
  <si>
    <t>=SUMIFS(IuranSYSebelumnya!$N$20:$N$21,IuranSYSebelumnya!$J$20:$J$21,$E$6,IuranSYSebelumnya!$M$20:$M$21,$C14)</t>
  </si>
  <si>
    <t>=DanaSehat!$T$11</t>
  </si>
  <si>
    <t>=SUMIFS(IuranDSSebelumnya!$N$20:$N$21,IuranDSSebelumnya!$J$20:$J$21,$E$6,IuranDSSebelumnya!$M$20:$M$21,$C15)</t>
  </si>
  <si>
    <t>=SUMIFS(IuranSYSebelumnya!$N$20:$N$21,IuranSYSebelumnya!$J$20:$J$21,$E$6,IuranSYSebelumnya!$M$20:$M$21,$C15)</t>
  </si>
  <si>
    <t>=DanaSehat!$U$11</t>
  </si>
  <si>
    <t>=SUMIFS(IuranDSSebelumnya!$N$20:$N$21,IuranDSSebelumnya!$J$20:$J$21,$E$6,IuranDSSebelumnya!$M$20:$M$21,$C16)</t>
  </si>
  <si>
    <t>=SUMIFS(IuranSYSebelumnya!$N$20:$N$21,IuranSYSebelumnya!$J$20:$J$21,$E$6,IuranSYSebelumnya!$M$20:$M$21,$C16)</t>
  </si>
  <si>
    <t>=DanaSehat!$V$11</t>
  </si>
  <si>
    <t>=SUMIFS(IuranDSSebelumnya!$N$20:$N$21,IuranDSSebelumnya!$J$20:$J$21,$E$6,IuranDSSebelumnya!$M$20:$M$21,$C17)</t>
  </si>
  <si>
    <t>=SUMIFS(IuranSYSebelumnya!$N$20:$N$21,IuranSYSebelumnya!$J$20:$J$21,$E$6,IuranSYSebelumnya!$M$20:$M$21,$C17)</t>
  </si>
  <si>
    <t>=DanaSehat!$W$11</t>
  </si>
  <si>
    <t>=SUMIFS(IuranDSSebelumnya!$N$20:$N$21,IuranDSSebelumnya!$J$20:$J$21,$E$6,IuranDSSebelumnya!$M$20:$M$21,$C18)</t>
  </si>
  <si>
    <t>=SUMIFS(IuranSYSebelumnya!$N$20:$N$21,IuranSYSebelumnya!$J$20:$J$21,$E$6,IuranSYSebelumnya!$M$20:$M$21,$C18)</t>
  </si>
  <si>
    <t>=DanaSehat!$X$11</t>
  </si>
  <si>
    <t>=SUMIFS(IuranDSSebelumnya!$N$20:$N$21,IuranDSSebelumnya!$J$20:$J$21,$E$6,IuranDSSebelumnya!$M$20:$M$21,$C19)</t>
  </si>
  <si>
    <t>=SUMIFS(IuranSYSebelumnya!$N$20:$N$21,IuranSYSebelumnya!$J$20:$J$21,$E$6,IuranSYSebelumnya!$M$20:$M$21,$C19)</t>
  </si>
  <si>
    <t>=DanaSehat!$Y$11</t>
  </si>
  <si>
    <t>=SUMIFS(IuranDSSebelumnya!$N$20:$N$21,IuranDSSebelumnya!$J$20:$J$21,$E$6,IuranDSSebelumnya!$M$20:$M$21,$C20)</t>
  </si>
  <si>
    <t>=SUMIFS(IuranSYSebelumnya!$N$20:$N$21,IuranSYSebelumnya!$J$20:$J$21,$E$6,IuranSYSebelumnya!$M$20:$M$21,$C20)</t>
  </si>
  <si>
    <t>=DanaSehat!$Z$11</t>
  </si>
  <si>
    <t>=SUMIFS(IuranDSSebelumnya!$N$20:$N$21,IuranDSSebelumnya!$J$20:$J$21,$E$6,IuranDSSebelumnya!$M$20:$M$21,$C21)</t>
  </si>
  <si>
    <t>=SUMIFS(IuranSYSebelumnya!$N$20:$N$21,IuranSYSebelumnya!$J$20:$J$21,$E$6,IuranSYSebelumnya!$M$20:$M$21,$C21)</t>
  </si>
  <si>
    <t>=DanaSehat!$AA$11</t>
  </si>
  <si>
    <t>=SUMIFS(IuranDSSebelumnya!$N$20:$N$21,IuranDSSebelumnya!$J$20:$J$21,$E$6,IuranDSSebelumnya!$M$20:$M$21,$C22)</t>
  </si>
  <si>
    <t>=SUMIFS(IuranSYSebelumnya!$N$20:$N$21,IuranSYSebelumnya!$J$20:$J$21,$E$6,IuranSYSebelumnya!$M$20:$M$21,$C22)</t>
  </si>
  <si>
    <t>=DanaSehat!$AB$11</t>
  </si>
  <si>
    <t>=SUMIFS(IuranDSSebelumnya!$N$20:$N$21,IuranDSSebelumnya!$J$20:$J$21,$E$6,IuranDSSebelumnya!$M$20:$M$21,$C23)</t>
  </si>
  <si>
    <t>=SUMIFS(IuranSYSebelumnya!$N$20:$N$21,IuranSYSebelumnya!$J$20:$J$21,$E$6,IuranSYSebelumnya!$M$20:$M$21,$C23)</t>
  </si>
  <si>
    <t>=DanaSehat!$AC$11</t>
  </si>
  <si>
    <t>=SUMIFS(IuranDSSebelumnya!$N$20:$N$21,IuranDSSebelumnya!$J$20:$J$21,$E$6,IuranDSSebelumnya!$M$20:$M$21,$C24)</t>
  </si>
  <si>
    <t>=SUMIFS(IuranSYSebelumnya!$N$20:$N$21,IuranSYSebelumnya!$J$20:$J$21,$E$6,IuranSYSebelumnya!$M$20:$M$21,$C24)</t>
  </si>
  <si>
    <t>=DanaSehat!$AD$11</t>
  </si>
  <si>
    <t>=SUMIFS(IuranDSSebelumnya!$N$20:$N$21,IuranDSSebelumnya!$J$20:$J$21,$E$6,IuranDSSebelumnya!$M$20:$M$21,$C25)</t>
  </si>
  <si>
    <t>=SUMIFS(IuranSYSebelumnya!$N$20:$N$21,IuranSYSebelumnya!$J$20:$J$21,$E$6,IuranSYSebelumnya!$M$20:$M$21,$C25)</t>
  </si>
  <si>
    <t>=DanaSehat!$AE$11</t>
  </si>
  <si>
    <t>=SUMIFS(IuranDSSebelumnya!$N$20:$N$21,IuranDSSebelumnya!$J$20:$J$21,$E$6,IuranDSSebelumnya!$M$20:$M$21,$C26)</t>
  </si>
  <si>
    <t>=SUMIFS(IuranSYSebelumnya!$N$20:$N$21,IuranSYSebelumnya!$J$20:$J$21,$E$6,IuranSYSebelumnya!$M$20:$M$21,$C26)</t>
  </si>
  <si>
    <t>=DanaSehat!$AF$11</t>
  </si>
  <si>
    <t>=SUMIFS(IuranDSSebelumnya!$N$20:$N$21,IuranDSSebelumnya!$J$20:$J$21,$E$6,IuranDSSebelumnya!$M$20:$M$21,$C27)</t>
  </si>
  <si>
    <t>=SUMIFS(IuranSYSebelumnya!$N$20:$N$21,IuranSYSebelumnya!$J$20:$J$21,$E$6,IuranSYSebelumnya!$M$20:$M$21,$C27)</t>
  </si>
  <si>
    <t>=DanaSehat!$AG$11</t>
  </si>
  <si>
    <t>=SUMIFS(IuranDSSebelumnya!$N$20:$N$21,IuranDSSebelumnya!$J$20:$J$21,$E$6,IuranDSSebelumnya!$M$20:$M$21,$C28)</t>
  </si>
  <si>
    <t>=SUMIFS(IuranSYSebelumnya!$N$20:$N$21,IuranSYSebelumnya!$J$20:$J$21,$E$6,IuranSYSebelumnya!$M$20:$M$21,$C28)</t>
  </si>
  <si>
    <t>=DanaSehat!$AH$11</t>
  </si>
  <si>
    <t>=SUMIFS(IuranDSSebelumnya!$N$20:$N$21,IuranDSSebelumnya!$J$20:$J$21,$E$6,IuranDSSebelumnya!$M$20:$M$21,$C29)</t>
  </si>
  <si>
    <t>=SUMIFS(IuranSYSebelumnya!$N$20:$N$21,IuranSYSebelumnya!$J$20:$J$21,$E$6,IuranSYSebelumnya!$M$20:$M$21,$C29)</t>
  </si>
  <si>
    <t>=DanaSehat!$AI$11</t>
  </si>
  <si>
    <t>=SUMIFS(IuranDSSebelumnya!$N$20:$N$21,IuranDSSebelumnya!$J$20:$J$21,$E$6,IuranDSSebelumnya!$M$20:$M$21,$C30)</t>
  </si>
  <si>
    <t>=SUMIFS(IuranSYSebelumnya!$N$20:$N$21,IuranSYSebelumnya!$J$20:$J$21,$E$6,IuranSYSebelumnya!$M$20:$M$21,$C30)</t>
  </si>
  <si>
    <t>=DanaSehat!$AJ$11</t>
  </si>
  <si>
    <t>=SUMIFS(IuranDSSebelumnya!$N$20:$N$21,IuranDSSebelumnya!$J$20:$J$21,$E$6,IuranDSSebelumnya!$M$20:$M$21,$C31)</t>
  </si>
  <si>
    <t>=SUMIFS(IuranSYSebelumnya!$N$20:$N$21,IuranSYSebelumnya!$J$20:$J$21,$E$6,IuranSYSebelumnya!$M$20:$M$21,$C31)</t>
  </si>
  <si>
    <t>=DanaSehat!$AK$11</t>
  </si>
  <si>
    <t>=SUMIFS(IuranDSSebelumnya!$N$20:$N$21,IuranDSSebelumnya!$J$20:$J$21,$E$6,IuranDSSebelumnya!$M$20:$M$21,$C32)</t>
  </si>
  <si>
    <t>=SUMIFS(IuranSYSebelumnya!$N$20:$N$21,IuranSYSebelumnya!$J$20:$J$21,$E$6,IuranSYSebelumnya!$M$20:$M$21,$C32)</t>
  </si>
  <si>
    <t>Auto+Hide+Formulas=Sheet19,Sheet20+FormulasOnly</t>
  </si>
  <si>
    <t>=ISTEXT(K6)</t>
  </si>
  <si>
    <t>=ISTEXT(L6)</t>
  </si>
  <si>
    <t>=ISTEXT(M6)</t>
  </si>
  <si>
    <t>=IF(VLOOKUP(M6,$C$6:$D$11,2,FALSE)="Ya",ISTEXT(N6),TRUE)</t>
  </si>
  <si>
    <t>=IF(COUNTIF(F6:I6,TRUE)&gt;0,
        IF(COUNTIF(F6:I6,TRUE)=4,"Data Lengkap","Data Belum Lengkap"),
        "")</t>
  </si>
  <si>
    <t>=ISTEXT(K7)</t>
  </si>
  <si>
    <t>=ISTEXT(L7)</t>
  </si>
  <si>
    <t>=ISTEXT(M7)</t>
  </si>
  <si>
    <t>=IF(VLOOKUP(M7,$C$6:$D$11,2,FALSE)="Ya",ISTEXT(N7),TRUE)</t>
  </si>
  <si>
    <t>=IF(COUNTIF(F7:I7,TRUE)&gt;0,
        IF(COUNTIF(F7:I7,TRUE)=4,"Data Lengkap","Data Belum Lengkap"),
        "")</t>
  </si>
  <si>
    <t>=ISTEXT(K8)</t>
  </si>
  <si>
    <t>=ISTEXT(L8)</t>
  </si>
  <si>
    <t>=ISTEXT(M8)</t>
  </si>
  <si>
    <t>=IF(VLOOKUP(M8,$C$6:$D$11,2,FALSE)="Ya",ISTEXT(N8),TRUE)</t>
  </si>
  <si>
    <t>=IF(COUNTIF(F8:I8,TRUE)&gt;0,
        IF(COUNTIF(F8:I8,TRUE)=4,"Data Lengkap","Data Belum Lengkap"),
        "")</t>
  </si>
  <si>
    <t>=ISTEXT(K9)</t>
  </si>
  <si>
    <t>=ISTEXT(L9)</t>
  </si>
  <si>
    <t>=ISTEXT(M9)</t>
  </si>
  <si>
    <t>=IF(VLOOKUP(M9,$C$6:$D$11,2,FALSE)="Ya",ISTEXT(N9),TRUE)</t>
  </si>
  <si>
    <t>=IF(COUNTIF(F9:I9,TRUE)&gt;0,
        IF(COUNTIF(F9:I9,TRUE)=4,"Data Lengkap","Data Belum Lengkap"),
        "")</t>
  </si>
  <si>
    <t>=ISTEXT(K10)</t>
  </si>
  <si>
    <t>=ISTEXT(L10)</t>
  </si>
  <si>
    <t>=ISTEXT(M10)</t>
  </si>
  <si>
    <t>=IF(VLOOKUP(M10,$C$6:$D$11,2,FALSE)="Ya",ISTEXT(N10),TRUE)</t>
  </si>
  <si>
    <t>=IF(COUNTIF(F10:I10,TRUE)&gt;0,
        IF(COUNTIF(F10:I10,TRUE)=4,"Data Lengkap","Data Belum Lengkap"),
        "")</t>
  </si>
  <si>
    <t>=ISTEXT(K15)</t>
  </si>
  <si>
    <t>=ISTEXT(L15)</t>
  </si>
  <si>
    <t>=ISTEXT(M15)</t>
  </si>
  <si>
    <t>=IF(VLOOKUP(M15,$C$15:$D$18,2,FALSE)="Ya",ISTEXT(N15),TRUE)</t>
  </si>
  <si>
    <t>=IF(COUNTIF(F15:I15,TRUE)&gt;0,
        IF(COUNTIF(F15:I15,TRUE)=4,"Data Lengkap","Data Belum Lengkap"),
        "")</t>
  </si>
  <si>
    <t>=ISTEXT(K16)</t>
  </si>
  <si>
    <t>=ISTEXT(L16)</t>
  </si>
  <si>
    <t>=ISTEXT(M16)</t>
  </si>
  <si>
    <t>=IF(VLOOKUP(M16,$C$15:$D$18,2,FALSE)="Ya",ISTEXT(N16),TRUE)</t>
  </si>
  <si>
    <t>=IF(COUNTIF(F16:I16,TRUE)&gt;0,
        IF(COUNTIF(F16:I16,TRUE)=4,"Data Lengkap","Data Belum Lengkap"),
        "")</t>
  </si>
  <si>
    <t>=ISTEXT(K17)</t>
  </si>
  <si>
    <t>=ISTEXT(L17)</t>
  </si>
  <si>
    <t>=ISTEXT(M17)</t>
  </si>
  <si>
    <t>=IF(VLOOKUP(M17,$C$15:$D$18,2,FALSE)="Ya",ISTEXT(N17),TRUE)</t>
  </si>
  <si>
    <t>=IF(COUNTIF(F17:I17,TRUE)&gt;0,
        IF(COUNTIF(F17:I17,TRUE)=4,"Data Lengkap","Data Belum Lengkap"),
        "")</t>
  </si>
  <si>
    <t>=ISTEXT(K18)</t>
  </si>
  <si>
    <t>=ISTEXT(L18)</t>
  </si>
  <si>
    <t>=ISTEXT(M18)</t>
  </si>
  <si>
    <t>=IF(VLOOKUP(M18,$C$15:$D$18,2,FALSE)="Ya",ISTEXT(N18),TRUE)</t>
  </si>
  <si>
    <t>=IF(COUNTIF(F18:I18,TRUE)&gt;0,
        IF(COUNTIF(F18:I18,TRUE)=4,"Data Lengkap","Data Belum Lengkap"),
        "")</t>
  </si>
  <si>
    <t>=ISTEXT(K19)</t>
  </si>
  <si>
    <t>=ISTEXT(L19)</t>
  </si>
  <si>
    <t>=ISTEXT(M19)</t>
  </si>
  <si>
    <t>=IF(VLOOKUP(M19,$C$15:$D$18,2,FALSE)="Ya",ISTEXT(N19),TRUE)</t>
  </si>
  <si>
    <t>=IF(COUNTIF(F19:I19,TRUE)&gt;0,
        IF(COUNTIF(F19:I19,TRUE)=4,"Data Lengkap","Data Belum Lengkap"),
        "")</t>
  </si>
  <si>
    <t>Auto+Hide+Lock+Formulas=Sheet21,Sheet22+FormulasOnly</t>
  </si>
  <si>
    <t>Auto</t>
  </si>
  <si>
    <t>Auto+Hide+HideSheet+Values+Formulas=Sheet23,Sheet1,Sheet2</t>
  </si>
  <si>
    <t>Auto+Hide+HideSheet+Values+Formulas=Sheet23,Sheet1,Sheet2+FormulasOnly</t>
  </si>
  <si>
    <t>Auto+Hide+HideSheet+Values+Formulas=Sheet24,Sheet3,Sheet4</t>
  </si>
  <si>
    <t>=COUNT(J13:J56)</t>
  </si>
  <si>
    <t>=COUNTIF(AL13:AL56,"&gt;0")</t>
  </si>
  <si>
    <t>=SUBTOTAL(9,N13:N56)</t>
  </si>
  <si>
    <t>=SUBTOTAL(9,O13:O56)</t>
  </si>
  <si>
    <t>=SUBTOTAL(9,P13:P56)</t>
  </si>
  <si>
    <t>=SUBTOTAL(9,Q13:Q56)</t>
  </si>
  <si>
    <t>=SUBTOTAL(9,R13:R56)</t>
  </si>
  <si>
    <t>=SUBTOTAL(9,S13:S56)</t>
  </si>
  <si>
    <t>=SUBTOTAL(9,T13:T56)</t>
  </si>
  <si>
    <t>=SUBTOTAL(9,U13:U56)</t>
  </si>
  <si>
    <t>=SUBTOTAL(9,V13:V56)</t>
  </si>
  <si>
    <t>=SUBTOTAL(9,W13:W56)</t>
  </si>
  <si>
    <t>=SUBTOTAL(9,X13:X56)</t>
  </si>
  <si>
    <t>=SUBTOTAL(9,Y13:Y56)</t>
  </si>
  <si>
    <t>=SUBTOTAL(9,Z13:Z56)</t>
  </si>
  <si>
    <t>=SUBTOTAL(9,AA13:AA56)</t>
  </si>
  <si>
    <t>=SUBTOTAL(9,AB13:AB56)</t>
  </si>
  <si>
    <t>=SUBTOTAL(9,AC13:AC56)</t>
  </si>
  <si>
    <t>=SUBTOTAL(9,AD13:AD56)</t>
  </si>
  <si>
    <t>=SUBTOTAL(9,AE13:AE56)</t>
  </si>
  <si>
    <t>=SUBTOTAL(9,AF13:AF56)</t>
  </si>
  <si>
    <t>=SUBTOTAL(9,AG13:AG56)</t>
  </si>
  <si>
    <t>=SUBTOTAL(9,AH13:AH56)</t>
  </si>
  <si>
    <t>=SUBTOTAL(9,AI13:AI56)</t>
  </si>
  <si>
    <t>=SUBTOTAL(9,AJ13:AJ56)</t>
  </si>
  <si>
    <t>=SUBTOTAL(9,AK13:AK56)</t>
  </si>
  <si>
    <t>=SUBTOTAL(9,AL13:AL56)</t>
  </si>
  <si>
    <t>=IF(COUNTIFS(IuranDSSebelumnya!$J$330:$J$772,$K13,IuranDSSebelumnya!$M$330:$M$772,AO$11,IuranDSSebelumnya!$L$330:$L$772,$M$5)&gt;0,
        VLOOKUP(CONCATENATE($K13,"|",AO$11,"|",$M$5),IuranDSSebelumnya!$I$330:$N$772,5,FALSE),
        IF(COUNTIFS(IuranDSSebelumnya!$J$330:$J$772,$K13,IuranDSSebelumnya!$M$330:$M$772,AO$11,IuranDSSebelumnya!$L$330:$L$772,"&lt;&gt;"&amp;$M$5)&gt;0,
              "Iuran dari Lingkungan lain",
              ""))</t>
  </si>
  <si>
    <t>=IF(COUNTIFS(IuranDSSebelumnya!$J$330:$J$772,$K13,IuranDSSebelumnya!$M$330:$M$772,AP$11,IuranDSSebelumnya!$L$330:$L$772,$M$5)&gt;0,
        VLOOKUP(CONCATENATE($K13,"|",AP$11,"|",$M$5),IuranDSSebelumnya!$I$330:$N$772,5,FALSE),
        IF(COUNTIFS(IuranDSSebelumnya!$J$330:$J$772,$K13,IuranDSSebelumnya!$M$330:$M$772,AP$11,IuranDSSebelumnya!$L$330:$L$772,"&lt;&gt;"&amp;$M$5)&gt;0,
              "Iuran dari Lingkungan lain",
              ""))</t>
  </si>
  <si>
    <t>=IF(COUNTIFS(IuranDSSebelumnya!$J$330:$J$772,$K13,IuranDSSebelumnya!$M$330:$M$772,AQ$11,IuranDSSebelumnya!$L$330:$L$772,$M$5)&gt;0,
        VLOOKUP(CONCATENATE($K13,"|",AQ$11,"|",$M$5),IuranDSSebelumnya!$I$330:$N$772,5,FALSE),
        IF(COUNTIFS(IuranDSSebelumnya!$J$330:$J$772,$K13,IuranDSSebelumnya!$M$330:$M$772,AQ$11,IuranDSSebelumnya!$L$330:$L$772,"&lt;&gt;"&amp;$M$5)&gt;0,
              "Iuran dari Lingkungan lain",
              ""))</t>
  </si>
  <si>
    <t>=IF(COUNTIFS(IuranDSSebelumnya!$J$330:$J$772,$K13,IuranDSSebelumnya!$M$330:$M$772,AR$11,IuranDSSebelumnya!$L$330:$L$772,$M$5)&gt;0,
        VLOOKUP(CONCATENATE($K13,"|",AR$11,"|",$M$5),IuranDSSebelumnya!$I$330:$N$772,5,FALSE),
        IF(COUNTIFS(IuranDSSebelumnya!$J$330:$J$772,$K13,IuranDSSebelumnya!$M$330:$M$772,AR$11,IuranDSSebelumnya!$L$330:$L$772,"&lt;&gt;"&amp;$M$5)&gt;0,
              "Iuran dari Lingkungan lain",
              ""))</t>
  </si>
  <si>
    <t>=IF(COUNTIFS(IuranDSSebelumnya!$J$330:$J$772,$K13,IuranDSSebelumnya!$M$330:$M$772,AS$11,IuranDSSebelumnya!$L$330:$L$772,$M$5)&gt;0,
        VLOOKUP(CONCATENATE($K13,"|",AS$11,"|",$M$5),IuranDSSebelumnya!$I$330:$N$772,5,FALSE),
        IF(COUNTIFS(IuranDSSebelumnya!$J$330:$J$772,$K13,IuranDSSebelumnya!$M$330:$M$772,AS$11,IuranDSSebelumnya!$L$330:$L$772,"&lt;&gt;"&amp;$M$5)&gt;0,
              "Iuran dari Lingkungan lain",
              ""))</t>
  </si>
  <si>
    <t>=IF(COUNTIFS(IuranDSSebelumnya!$J$330:$J$772,$K13,IuranDSSebelumnya!$M$330:$M$772,AT$11,IuranDSSebelumnya!$L$330:$L$772,$M$5)&gt;0,
        VLOOKUP(CONCATENATE($K13,"|",AT$11,"|",$M$5),IuranDSSebelumnya!$I$330:$N$772,5,FALSE),
        IF(COUNTIFS(IuranDSSebelumnya!$J$330:$J$772,$K13,IuranDSSebelumnya!$M$330:$M$772,AT$11,IuranDSSebelumnya!$L$330:$L$772,"&lt;&gt;"&amp;$M$5)&gt;0,
              "Iuran dari Lingkungan lain",
              ""))</t>
  </si>
  <si>
    <t>=IF(COUNTIFS(IuranDSSebelumnya!$J$330:$J$772,$K13,IuranDSSebelumnya!$M$330:$M$772,AU$11,IuranDSSebelumnya!$L$330:$L$772,$M$5)&gt;0,
        VLOOKUP(CONCATENATE($K13,"|",AU$11,"|",$M$5),IuranDSSebelumnya!$I$330:$N$772,5,FALSE),
        IF(COUNTIFS(IuranDSSebelumnya!$J$330:$J$772,$K13,IuranDSSebelumnya!$M$330:$M$772,AU$11,IuranDSSebelumnya!$L$330:$L$772,"&lt;&gt;"&amp;$M$5)&gt;0,
              "Iuran dari Lingkungan lain",
              ""))</t>
  </si>
  <si>
    <t>=IF(COUNTIFS(IuranDSSebelumnya!$J$330:$J$772,$K13,IuranDSSebelumnya!$M$330:$M$772,AV$11,IuranDSSebelumnya!$L$330:$L$772,$M$5)&gt;0,
        VLOOKUP(CONCATENATE($K13,"|",AV$11,"|",$M$5),IuranDSSebelumnya!$I$330:$N$772,5,FALSE),
        IF(COUNTIFS(IuranDSSebelumnya!$J$330:$J$772,$K13,IuranDSSebelumnya!$M$330:$M$772,AV$11,IuranDSSebelumnya!$L$330:$L$772,"&lt;&gt;"&amp;$M$5)&gt;0,
              "Iuran dari Lingkungan lain",
              ""))</t>
  </si>
  <si>
    <t>=IF(COUNTIFS(IuranDSSebelumnya!$J$330:$J$772,$K13,IuranDSSebelumnya!$M$330:$M$772,AW$11,IuranDSSebelumnya!$L$330:$L$772,$M$5)&gt;0,
        VLOOKUP(CONCATENATE($K13,"|",AW$11,"|",$M$5),IuranDSSebelumnya!$I$330:$N$772,5,FALSE),
        IF(COUNTIFS(IuranDSSebelumnya!$J$330:$J$772,$K13,IuranDSSebelumnya!$M$330:$M$772,AW$11,IuranDSSebelumnya!$L$330:$L$772,"&lt;&gt;"&amp;$M$5)&gt;0,
              "Iuran dari Lingkungan lain",
              ""))</t>
  </si>
  <si>
    <t>=IF(COUNTIFS(IuranDSSebelumnya!$J$330:$J$772,$K13,IuranDSSebelumnya!$M$330:$M$772,AX$11,IuranDSSebelumnya!$L$330:$L$772,$M$5)&gt;0,
        VLOOKUP(CONCATENATE($K13,"|",AX$11,"|",$M$5),IuranDSSebelumnya!$I$330:$N$772,5,FALSE),
        IF(COUNTIFS(IuranDSSebelumnya!$J$330:$J$772,$K13,IuranDSSebelumnya!$M$330:$M$772,AX$11,IuranDSSebelumnya!$L$330:$L$772,"&lt;&gt;"&amp;$M$5)&gt;0,
              "Iuran dari Lingkungan lain",
              ""))</t>
  </si>
  <si>
    <t>=IF(COUNTIFS(IuranDSSebelumnya!$J$330:$J$772,$K13,IuranDSSebelumnya!$M$330:$M$772,AY$11,IuranDSSebelumnya!$L$330:$L$772,$M$5)&gt;0,
        VLOOKUP(CONCATENATE($K13,"|",AY$11,"|",$M$5),IuranDSSebelumnya!$I$330:$N$772,5,FALSE),
        IF(COUNTIFS(IuranDSSebelumnya!$J$330:$J$772,$K13,IuranDSSebelumnya!$M$330:$M$772,AY$11,IuranDSSebelumnya!$L$330:$L$772,"&lt;&gt;"&amp;$M$5)&gt;0,
              "Iuran dari Lingkungan lain",
              ""))</t>
  </si>
  <si>
    <t>=IF(COUNTIFS(IuranDSSebelumnya!$J$330:$J$772,$K13,IuranDSSebelumnya!$M$330:$M$772,AZ$11,IuranDSSebelumnya!$L$330:$L$772,$M$5)&gt;0,
        VLOOKUP(CONCATENATE($K13,"|",AZ$11,"|",$M$5),IuranDSSebelumnya!$I$330:$N$772,5,FALSE),
        IF(COUNTIFS(IuranDSSebelumnya!$J$330:$J$772,$K13,IuranDSSebelumnya!$M$330:$M$772,AZ$11,IuranDSSebelumnya!$L$330:$L$772,"&lt;&gt;"&amp;$M$5)&gt;0,
              "Iuran dari Lingkungan lain",
              ""))</t>
  </si>
  <si>
    <t>=IF(COUNTIFS(IuranDSSebelumnya!$J$330:$J$772,$K13,IuranDSSebelumnya!$M$330:$M$772,BA$11,IuranDSSebelumnya!$L$330:$L$772,$M$5)&gt;0,
        VLOOKUP(CONCATENATE($K13,"|",BA$11,"|",$M$5),IuranDSSebelumnya!$I$330:$N$772,5,FALSE),
        IF(COUNTIFS(IuranDSSebelumnya!$J$330:$J$772,$K13,IuranDSSebelumnya!$M$330:$M$772,BA$11,IuranDSSebelumnya!$L$330:$L$772,"&lt;&gt;"&amp;$M$5)&gt;0,
              "Iuran dari Lingkungan lain",
              ""))</t>
  </si>
  <si>
    <t>=IF(COUNTIFS(IuranDSSebelumnya!$J$330:$J$772,$K13,IuranDSSebelumnya!$M$330:$M$772,BB$11,IuranDSSebelumnya!$L$330:$L$772,$M$5)&gt;0,
        VLOOKUP(CONCATENATE($K13,"|",BB$11,"|",$M$5),IuranDSSebelumnya!$I$330:$N$772,5,FALSE),
        IF(COUNTIFS(IuranDSSebelumnya!$J$330:$J$772,$K13,IuranDSSebelumnya!$M$330:$M$772,BB$11,IuranDSSebelumnya!$L$330:$L$772,"&lt;&gt;"&amp;$M$5)&gt;0,
              "Iuran dari Lingkungan lain",
              ""))</t>
  </si>
  <si>
    <t>=IF(COUNTIFS(IuranDSSebelumnya!$J$330:$J$772,$K13,IuranDSSebelumnya!$M$330:$M$772,BC$11,IuranDSSebelumnya!$L$330:$L$772,$M$5)&gt;0,
        VLOOKUP(CONCATENATE($K13,"|",BC$11,"|",$M$5),IuranDSSebelumnya!$I$330:$N$772,5,FALSE),
        IF(COUNTIFS(IuranDSSebelumnya!$J$330:$J$772,$K13,IuranDSSebelumnya!$M$330:$M$772,BC$11,IuranDSSebelumnya!$L$330:$L$772,"&lt;&gt;"&amp;$M$5)&gt;0,
              "Iuran dari Lingkungan lain",
              ""))</t>
  </si>
  <si>
    <t>=IF(COUNTIFS(IuranDSSebelumnya!$J$330:$J$772,$K13,IuranDSSebelumnya!$M$330:$M$772,BD$11,IuranDSSebelumnya!$L$330:$L$772,$M$5)&gt;0,
        VLOOKUP(CONCATENATE($K13,"|",BD$11,"|",$M$5),IuranDSSebelumnya!$I$330:$N$772,5,FALSE),
        IF(COUNTIFS(IuranDSSebelumnya!$J$330:$J$772,$K13,IuranDSSebelumnya!$M$330:$M$772,BD$11,IuranDSSebelumnya!$L$330:$L$772,"&lt;&gt;"&amp;$M$5)&gt;0,
              "Iuran dari Lingkungan lain",
              ""))</t>
  </si>
  <si>
    <t>=IF(COUNTIFS(IuranDSSebelumnya!$J$330:$J$772,$K13,IuranDSSebelumnya!$M$330:$M$772,BE$11,IuranDSSebelumnya!$L$330:$L$772,$M$5)&gt;0,
        VLOOKUP(CONCATENATE($K13,"|",BE$11,"|",$M$5),IuranDSSebelumnya!$I$330:$N$772,5,FALSE),
        IF(COUNTIFS(IuranDSSebelumnya!$J$330:$J$772,$K13,IuranDSSebelumnya!$M$330:$M$772,BE$11,IuranDSSebelumnya!$L$330:$L$772,"&lt;&gt;"&amp;$M$5)&gt;0,
              "Iuran dari Lingkungan lain",
              ""))</t>
  </si>
  <si>
    <t>=IF(COUNTIFS(IuranDSSebelumnya!$J$330:$J$772,$K13,IuranDSSebelumnya!$M$330:$M$772,BF$11,IuranDSSebelumnya!$L$330:$L$772,$M$5)&gt;0,
        VLOOKUP(CONCATENATE($K13,"|",BF$11,"|",$M$5),IuranDSSebelumnya!$I$330:$N$772,5,FALSE),
        IF(COUNTIFS(IuranDSSebelumnya!$J$330:$J$772,$K13,IuranDSSebelumnya!$M$330:$M$772,BF$11,IuranDSSebelumnya!$L$330:$L$772,"&lt;&gt;"&amp;$M$5)&gt;0,
              "Iuran dari Lingkungan lain",
              ""))</t>
  </si>
  <si>
    <t>=IF(COUNTIFS(IuranDSSebelumnya!$J$330:$J$772,$K13,IuranDSSebelumnya!$M$330:$M$772,BG$11,IuranDSSebelumnya!$L$330:$L$772,$M$5)&gt;0,
        VLOOKUP(CONCATENATE($K13,"|",BG$11,"|",$M$5),IuranDSSebelumnya!$I$330:$N$772,5,FALSE),
        IF(COUNTIFS(IuranDSSebelumnya!$J$330:$J$772,$K13,IuranDSSebelumnya!$M$330:$M$772,BG$11,IuranDSSebelumnya!$L$330:$L$772,"&lt;&gt;"&amp;$M$5)&gt;0,
              "Iuran dari Lingkungan lain",
              ""))</t>
  </si>
  <si>
    <t>=IF(COUNTIFS(IuranDSSebelumnya!$J$330:$J$772,$K13,IuranDSSebelumnya!$M$330:$M$772,BH$11,IuranDSSebelumnya!$L$330:$L$772,$M$5)&gt;0,
        VLOOKUP(CONCATENATE($K13,"|",BH$11,"|",$M$5),IuranDSSebelumnya!$I$330:$N$772,5,FALSE),
        IF(COUNTIFS(IuranDSSebelumnya!$J$330:$J$772,$K13,IuranDSSebelumnya!$M$330:$M$772,BH$11,IuranDSSebelumnya!$L$330:$L$772,"&lt;&gt;"&amp;$M$5)&gt;0,
              "Iuran dari Lingkungan lain",
              ""))</t>
  </si>
  <si>
    <t>=IF(COUNTIFS(IuranDSSebelumnya!$J$330:$J$772,$K13,IuranDSSebelumnya!$M$330:$M$772,BI$11,IuranDSSebelumnya!$L$330:$L$772,$M$5)&gt;0,
        VLOOKUP(CONCATENATE($K13,"|",BI$11,"|",$M$5),IuranDSSebelumnya!$I$330:$N$772,5,FALSE),
        IF(COUNTIFS(IuranDSSebelumnya!$J$330:$J$772,$K13,IuranDSSebelumnya!$M$330:$M$772,BI$11,IuranDSSebelumnya!$L$330:$L$772,"&lt;&gt;"&amp;$M$5)&gt;0,
              "Iuran dari Lingkungan lain",
              ""))</t>
  </si>
  <si>
    <t>=IF(COUNTIFS(IuranDSSebelumnya!$J$330:$J$772,$K13,IuranDSSebelumnya!$M$330:$M$772,BJ$11,IuranDSSebelumnya!$L$330:$L$772,$M$5)&gt;0,
        VLOOKUP(CONCATENATE($K13,"|",BJ$11,"|",$M$5),IuranDSSebelumnya!$I$330:$N$772,5,FALSE),
        IF(COUNTIFS(IuranDSSebelumnya!$J$330:$J$772,$K13,IuranDSSebelumnya!$M$330:$M$772,BJ$11,IuranDSSebelumnya!$L$330:$L$772,"&lt;&gt;"&amp;$M$5)&gt;0,
              "Iuran dari Lingkungan lain",
              ""))</t>
  </si>
  <si>
    <t>=IF(COUNTIFS(IuranDSSebelumnya!$J$330:$J$772,$K13,IuranDSSebelumnya!$M$330:$M$772,BK$11,IuranDSSebelumnya!$L$330:$L$772,$M$5)&gt;0,
        VLOOKUP(CONCATENATE($K13,"|",BK$11,"|",$M$5),IuranDSSebelumnya!$I$330:$N$772,5,FALSE),
        IF(COUNTIFS(IuranDSSebelumnya!$J$330:$J$772,$K13,IuranDSSebelumnya!$M$330:$M$772,BK$11,IuranDSSebelumnya!$L$330:$L$772,"&lt;&gt;"&amp;$M$5)&gt;0,
              "Iuran dari Lingkungan lain",
              ""))</t>
  </si>
  <si>
    <t>=IF(COUNTIFS(IuranDSSebelumnya!$J$330:$J$772,$K13,IuranDSSebelumnya!$M$330:$M$772,BL$11,IuranDSSebelumnya!$L$330:$L$772,$M$5)&gt;0,
        VLOOKUP(CONCATENATE($K13,"|",BL$11,"|",$M$5),IuranDSSebelumnya!$I$330:$N$772,5,FALSE),
        IF(COUNTIFS(IuranDSSebelumnya!$J$330:$J$772,$K13,IuranDSSebelumnya!$M$330:$M$772,BL$11,IuranDSSebelumnya!$L$330:$L$772,"&lt;&gt;"&amp;$M$5)&gt;0,
              "Iuran dari Lingkungan lain",
              ""))</t>
  </si>
  <si>
    <t>=CELL("row")=CELL("row",C14)</t>
  </si>
  <si>
    <t>="""TRUST Nav"",""HSPMTB2016"",""18"",""1"",""KK-05048"""</t>
  </si>
  <si>
    <t>=IF(AND($AL14=0,$J14=1)=TRUE,0,
        IF(AND($AL14&gt;0,$J14=1)=TRUE,1,
              IF(AND(H13=$H$12,$J14&gt;1)=TRUE,0,
                    IF(AND($AL14=0,$J14&gt;1),H13,
                         H13+1))))</t>
  </si>
  <si>
    <t>=IF(J13="No.",1,J13+1)</t>
  </si>
  <si>
    <t>=SUM(N14:AK14)</t>
  </si>
  <si>
    <t>=IF(COUNTIFS(IuranDSSebelumnya!$J$330:$J$772,$K14,IuranDSSebelumnya!$M$330:$M$772,AO$11,IuranDSSebelumnya!$L$330:$L$772,$M$5)&gt;0,
        VLOOKUP(CONCATENATE($K14,"|",AO$11,"|",$M$5),IuranDSSebelumnya!$I$330:$N$772,5,FALSE),
        IF(COUNTIFS(IuranDSSebelumnya!$J$330:$J$772,$K14,IuranDSSebelumnya!$M$330:$M$772,AO$11,IuranDSSebelumnya!$L$330:$L$772,"&lt;&gt;"&amp;$M$5)&gt;0,
              "Iuran dari Lingkungan lain",
              ""))</t>
  </si>
  <si>
    <t>=IF(COUNTIFS(IuranDSSebelumnya!$J$330:$J$772,$K14,IuranDSSebelumnya!$M$330:$M$772,AP$11,IuranDSSebelumnya!$L$330:$L$772,$M$5)&gt;0,
        VLOOKUP(CONCATENATE($K14,"|",AP$11,"|",$M$5),IuranDSSebelumnya!$I$330:$N$772,5,FALSE),
        IF(COUNTIFS(IuranDSSebelumnya!$J$330:$J$772,$K14,IuranDSSebelumnya!$M$330:$M$772,AP$11,IuranDSSebelumnya!$L$330:$L$772,"&lt;&gt;"&amp;$M$5)&gt;0,
              "Iuran dari Lingkungan lain",
              ""))</t>
  </si>
  <si>
    <t>=IF(COUNTIFS(IuranDSSebelumnya!$J$330:$J$772,$K14,IuranDSSebelumnya!$M$330:$M$772,AQ$11,IuranDSSebelumnya!$L$330:$L$772,$M$5)&gt;0,
        VLOOKUP(CONCATENATE($K14,"|",AQ$11,"|",$M$5),IuranDSSebelumnya!$I$330:$N$772,5,FALSE),
        IF(COUNTIFS(IuranDSSebelumnya!$J$330:$J$772,$K14,IuranDSSebelumnya!$M$330:$M$772,AQ$11,IuranDSSebelumnya!$L$330:$L$772,"&lt;&gt;"&amp;$M$5)&gt;0,
              "Iuran dari Lingkungan lain",
              ""))</t>
  </si>
  <si>
    <t>=IF(COUNTIFS(IuranDSSebelumnya!$J$330:$J$772,$K14,IuranDSSebelumnya!$M$330:$M$772,AR$11,IuranDSSebelumnya!$L$330:$L$772,$M$5)&gt;0,
        VLOOKUP(CONCATENATE($K14,"|",AR$11,"|",$M$5),IuranDSSebelumnya!$I$330:$N$772,5,FALSE),
        IF(COUNTIFS(IuranDSSebelumnya!$J$330:$J$772,$K14,IuranDSSebelumnya!$M$330:$M$772,AR$11,IuranDSSebelumnya!$L$330:$L$772,"&lt;&gt;"&amp;$M$5)&gt;0,
              "Iuran dari Lingkungan lain",
              ""))</t>
  </si>
  <si>
    <t>=IF(COUNTIFS(IuranDSSebelumnya!$J$330:$J$772,$K14,IuranDSSebelumnya!$M$330:$M$772,AS$11,IuranDSSebelumnya!$L$330:$L$772,$M$5)&gt;0,
        VLOOKUP(CONCATENATE($K14,"|",AS$11,"|",$M$5),IuranDSSebelumnya!$I$330:$N$772,5,FALSE),
        IF(COUNTIFS(IuranDSSebelumnya!$J$330:$J$772,$K14,IuranDSSebelumnya!$M$330:$M$772,AS$11,IuranDSSebelumnya!$L$330:$L$772,"&lt;&gt;"&amp;$M$5)&gt;0,
              "Iuran dari Lingkungan lain",
              ""))</t>
  </si>
  <si>
    <t>=IF(COUNTIFS(IuranDSSebelumnya!$J$330:$J$772,$K14,IuranDSSebelumnya!$M$330:$M$772,AT$11,IuranDSSebelumnya!$L$330:$L$772,$M$5)&gt;0,
        VLOOKUP(CONCATENATE($K14,"|",AT$11,"|",$M$5),IuranDSSebelumnya!$I$330:$N$772,5,FALSE),
        IF(COUNTIFS(IuranDSSebelumnya!$J$330:$J$772,$K14,IuranDSSebelumnya!$M$330:$M$772,AT$11,IuranDSSebelumnya!$L$330:$L$772,"&lt;&gt;"&amp;$M$5)&gt;0,
              "Iuran dari Lingkungan lain",
              ""))</t>
  </si>
  <si>
    <t>=IF(COUNTIFS(IuranDSSebelumnya!$J$330:$J$772,$K14,IuranDSSebelumnya!$M$330:$M$772,AU$11,IuranDSSebelumnya!$L$330:$L$772,$M$5)&gt;0,
        VLOOKUP(CONCATENATE($K14,"|",AU$11,"|",$M$5),IuranDSSebelumnya!$I$330:$N$772,5,FALSE),
        IF(COUNTIFS(IuranDSSebelumnya!$J$330:$J$772,$K14,IuranDSSebelumnya!$M$330:$M$772,AU$11,IuranDSSebelumnya!$L$330:$L$772,"&lt;&gt;"&amp;$M$5)&gt;0,
              "Iuran dari Lingkungan lain",
              ""))</t>
  </si>
  <si>
    <t>=IF(COUNTIFS(IuranDSSebelumnya!$J$330:$J$772,$K14,IuranDSSebelumnya!$M$330:$M$772,AV$11,IuranDSSebelumnya!$L$330:$L$772,$M$5)&gt;0,
        VLOOKUP(CONCATENATE($K14,"|",AV$11,"|",$M$5),IuranDSSebelumnya!$I$330:$N$772,5,FALSE),
        IF(COUNTIFS(IuranDSSebelumnya!$J$330:$J$772,$K14,IuranDSSebelumnya!$M$330:$M$772,AV$11,IuranDSSebelumnya!$L$330:$L$772,"&lt;&gt;"&amp;$M$5)&gt;0,
              "Iuran dari Lingkungan lain",
              ""))</t>
  </si>
  <si>
    <t>=IF(COUNTIFS(IuranDSSebelumnya!$J$330:$J$772,$K14,IuranDSSebelumnya!$M$330:$M$772,AW$11,IuranDSSebelumnya!$L$330:$L$772,$M$5)&gt;0,
        VLOOKUP(CONCATENATE($K14,"|",AW$11,"|",$M$5),IuranDSSebelumnya!$I$330:$N$772,5,FALSE),
        IF(COUNTIFS(IuranDSSebelumnya!$J$330:$J$772,$K14,IuranDSSebelumnya!$M$330:$M$772,AW$11,IuranDSSebelumnya!$L$330:$L$772,"&lt;&gt;"&amp;$M$5)&gt;0,
              "Iuran dari Lingkungan lain",
              ""))</t>
  </si>
  <si>
    <t>=IF(COUNTIFS(IuranDSSebelumnya!$J$330:$J$772,$K14,IuranDSSebelumnya!$M$330:$M$772,AX$11,IuranDSSebelumnya!$L$330:$L$772,$M$5)&gt;0,
        VLOOKUP(CONCATENATE($K14,"|",AX$11,"|",$M$5),IuranDSSebelumnya!$I$330:$N$772,5,FALSE),
        IF(COUNTIFS(IuranDSSebelumnya!$J$330:$J$772,$K14,IuranDSSebelumnya!$M$330:$M$772,AX$11,IuranDSSebelumnya!$L$330:$L$772,"&lt;&gt;"&amp;$M$5)&gt;0,
              "Iuran dari Lingkungan lain",
              ""))</t>
  </si>
  <si>
    <t>=IF(COUNTIFS(IuranDSSebelumnya!$J$330:$J$772,$K14,IuranDSSebelumnya!$M$330:$M$772,AY$11,IuranDSSebelumnya!$L$330:$L$772,$M$5)&gt;0,
        VLOOKUP(CONCATENATE($K14,"|",AY$11,"|",$M$5),IuranDSSebelumnya!$I$330:$N$772,5,FALSE),
        IF(COUNTIFS(IuranDSSebelumnya!$J$330:$J$772,$K14,IuranDSSebelumnya!$M$330:$M$772,AY$11,IuranDSSebelumnya!$L$330:$L$772,"&lt;&gt;"&amp;$M$5)&gt;0,
              "Iuran dari Lingkungan lain",
              ""))</t>
  </si>
  <si>
    <t>=IF(COUNTIFS(IuranDSSebelumnya!$J$330:$J$772,$K14,IuranDSSebelumnya!$M$330:$M$772,AZ$11,IuranDSSebelumnya!$L$330:$L$772,$M$5)&gt;0,
        VLOOKUP(CONCATENATE($K14,"|",AZ$11,"|",$M$5),IuranDSSebelumnya!$I$330:$N$772,5,FALSE),
        IF(COUNTIFS(IuranDSSebelumnya!$J$330:$J$772,$K14,IuranDSSebelumnya!$M$330:$M$772,AZ$11,IuranDSSebelumnya!$L$330:$L$772,"&lt;&gt;"&amp;$M$5)&gt;0,
              "Iuran dari Lingkungan lain",
              ""))</t>
  </si>
  <si>
    <t>=IF(COUNTIFS(IuranDSSebelumnya!$J$330:$J$772,$K14,IuranDSSebelumnya!$M$330:$M$772,BA$11,IuranDSSebelumnya!$L$330:$L$772,$M$5)&gt;0,
        VLOOKUP(CONCATENATE($K14,"|",BA$11,"|",$M$5),IuranDSSebelumnya!$I$330:$N$772,5,FALSE),
        IF(COUNTIFS(IuranDSSebelumnya!$J$330:$J$772,$K14,IuranDSSebelumnya!$M$330:$M$772,BA$11,IuranDSSebelumnya!$L$330:$L$772,"&lt;&gt;"&amp;$M$5)&gt;0,
              "Iuran dari Lingkungan lain",
              ""))</t>
  </si>
  <si>
    <t>=IF(COUNTIFS(IuranDSSebelumnya!$J$330:$J$772,$K14,IuranDSSebelumnya!$M$330:$M$772,BB$11,IuranDSSebelumnya!$L$330:$L$772,$M$5)&gt;0,
        VLOOKUP(CONCATENATE($K14,"|",BB$11,"|",$M$5),IuranDSSebelumnya!$I$330:$N$772,5,FALSE),
        IF(COUNTIFS(IuranDSSebelumnya!$J$330:$J$772,$K14,IuranDSSebelumnya!$M$330:$M$772,BB$11,IuranDSSebelumnya!$L$330:$L$772,"&lt;&gt;"&amp;$M$5)&gt;0,
              "Iuran dari Lingkungan lain",
              ""))</t>
  </si>
  <si>
    <t>=IF(COUNTIFS(IuranDSSebelumnya!$J$330:$J$772,$K14,IuranDSSebelumnya!$M$330:$M$772,BC$11,IuranDSSebelumnya!$L$330:$L$772,$M$5)&gt;0,
        VLOOKUP(CONCATENATE($K14,"|",BC$11,"|",$M$5),IuranDSSebelumnya!$I$330:$N$772,5,FALSE),
        IF(COUNTIFS(IuranDSSebelumnya!$J$330:$J$772,$K14,IuranDSSebelumnya!$M$330:$M$772,BC$11,IuranDSSebelumnya!$L$330:$L$772,"&lt;&gt;"&amp;$M$5)&gt;0,
              "Iuran dari Lingkungan lain",
              ""))</t>
  </si>
  <si>
    <t>=IF(COUNTIFS(IuranDSSebelumnya!$J$330:$J$772,$K14,IuranDSSebelumnya!$M$330:$M$772,BD$11,IuranDSSebelumnya!$L$330:$L$772,$M$5)&gt;0,
        VLOOKUP(CONCATENATE($K14,"|",BD$11,"|",$M$5),IuranDSSebelumnya!$I$330:$N$772,5,FALSE),
        IF(COUNTIFS(IuranDSSebelumnya!$J$330:$J$772,$K14,IuranDSSebelumnya!$M$330:$M$772,BD$11,IuranDSSebelumnya!$L$330:$L$772,"&lt;&gt;"&amp;$M$5)&gt;0,
              "Iuran dari Lingkungan lain",
              ""))</t>
  </si>
  <si>
    <t>=IF(COUNTIFS(IuranDSSebelumnya!$J$330:$J$772,$K14,IuranDSSebelumnya!$M$330:$M$772,BE$11,IuranDSSebelumnya!$L$330:$L$772,$M$5)&gt;0,
        VLOOKUP(CONCATENATE($K14,"|",BE$11,"|",$M$5),IuranDSSebelumnya!$I$330:$N$772,5,FALSE),
        IF(COUNTIFS(IuranDSSebelumnya!$J$330:$J$772,$K14,IuranDSSebelumnya!$M$330:$M$772,BE$11,IuranDSSebelumnya!$L$330:$L$772,"&lt;&gt;"&amp;$M$5)&gt;0,
              "Iuran dari Lingkungan lain",
              ""))</t>
  </si>
  <si>
    <t>=IF(COUNTIFS(IuranDSSebelumnya!$J$330:$J$772,$K14,IuranDSSebelumnya!$M$330:$M$772,BF$11,IuranDSSebelumnya!$L$330:$L$772,$M$5)&gt;0,
        VLOOKUP(CONCATENATE($K14,"|",BF$11,"|",$M$5),IuranDSSebelumnya!$I$330:$N$772,5,FALSE),
        IF(COUNTIFS(IuranDSSebelumnya!$J$330:$J$772,$K14,IuranDSSebelumnya!$M$330:$M$772,BF$11,IuranDSSebelumnya!$L$330:$L$772,"&lt;&gt;"&amp;$M$5)&gt;0,
              "Iuran dari Lingkungan lain",
              ""))</t>
  </si>
  <si>
    <t>=IF(COUNTIFS(IuranDSSebelumnya!$J$330:$J$772,$K14,IuranDSSebelumnya!$M$330:$M$772,BG$11,IuranDSSebelumnya!$L$330:$L$772,$M$5)&gt;0,
        VLOOKUP(CONCATENATE($K14,"|",BG$11,"|",$M$5),IuranDSSebelumnya!$I$330:$N$772,5,FALSE),
        IF(COUNTIFS(IuranDSSebelumnya!$J$330:$J$772,$K14,IuranDSSebelumnya!$M$330:$M$772,BG$11,IuranDSSebelumnya!$L$330:$L$772,"&lt;&gt;"&amp;$M$5)&gt;0,
              "Iuran dari Lingkungan lain",
              ""))</t>
  </si>
  <si>
    <t>=IF(COUNTIFS(IuranDSSebelumnya!$J$330:$J$772,$K14,IuranDSSebelumnya!$M$330:$M$772,BH$11,IuranDSSebelumnya!$L$330:$L$772,$M$5)&gt;0,
        VLOOKUP(CONCATENATE($K14,"|",BH$11,"|",$M$5),IuranDSSebelumnya!$I$330:$N$772,5,FALSE),
        IF(COUNTIFS(IuranDSSebelumnya!$J$330:$J$772,$K14,IuranDSSebelumnya!$M$330:$M$772,BH$11,IuranDSSebelumnya!$L$330:$L$772,"&lt;&gt;"&amp;$M$5)&gt;0,
              "Iuran dari Lingkungan lain",
              ""))</t>
  </si>
  <si>
    <t>=IF(COUNTIFS(IuranDSSebelumnya!$J$330:$J$772,$K14,IuranDSSebelumnya!$M$330:$M$772,BI$11,IuranDSSebelumnya!$L$330:$L$772,$M$5)&gt;0,
        VLOOKUP(CONCATENATE($K14,"|",BI$11,"|",$M$5),IuranDSSebelumnya!$I$330:$N$772,5,FALSE),
        IF(COUNTIFS(IuranDSSebelumnya!$J$330:$J$772,$K14,IuranDSSebelumnya!$M$330:$M$772,BI$11,IuranDSSebelumnya!$L$330:$L$772,"&lt;&gt;"&amp;$M$5)&gt;0,
              "Iuran dari Lingkungan lain",
              ""))</t>
  </si>
  <si>
    <t>=IF(COUNTIFS(IuranDSSebelumnya!$J$330:$J$772,$K14,IuranDSSebelumnya!$M$330:$M$772,BJ$11,IuranDSSebelumnya!$L$330:$L$772,$M$5)&gt;0,
        VLOOKUP(CONCATENATE($K14,"|",BJ$11,"|",$M$5),IuranDSSebelumnya!$I$330:$N$772,5,FALSE),
        IF(COUNTIFS(IuranDSSebelumnya!$J$330:$J$772,$K14,IuranDSSebelumnya!$M$330:$M$772,BJ$11,IuranDSSebelumnya!$L$330:$L$772,"&lt;&gt;"&amp;$M$5)&gt;0,
              "Iuran dari Lingkungan lain",
              ""))</t>
  </si>
  <si>
    <t>=IF(COUNTIFS(IuranDSSebelumnya!$J$330:$J$772,$K14,IuranDSSebelumnya!$M$330:$M$772,BK$11,IuranDSSebelumnya!$L$330:$L$772,$M$5)&gt;0,
        VLOOKUP(CONCATENATE($K14,"|",BK$11,"|",$M$5),IuranDSSebelumnya!$I$330:$N$772,5,FALSE),
        IF(COUNTIFS(IuranDSSebelumnya!$J$330:$J$772,$K14,IuranDSSebelumnya!$M$330:$M$772,BK$11,IuranDSSebelumnya!$L$330:$L$772,"&lt;&gt;"&amp;$M$5)&gt;0,
              "Iuran dari Lingkungan lain",
              ""))</t>
  </si>
  <si>
    <t>=IF(COUNTIFS(IuranDSSebelumnya!$J$330:$J$772,$K14,IuranDSSebelumnya!$M$330:$M$772,BL$11,IuranDSSebelumnya!$L$330:$L$772,$M$5)&gt;0,
        VLOOKUP(CONCATENATE($K14,"|",BL$11,"|",$M$5),IuranDSSebelumnya!$I$330:$N$772,5,FALSE),
        IF(COUNTIFS(IuranDSSebelumnya!$J$330:$J$772,$K14,IuranDSSebelumnya!$M$330:$M$772,BL$11,IuranDSSebelumnya!$L$330:$L$772,"&lt;&gt;"&amp;$M$5)&gt;0,
              "Iuran dari Lingkungan lain",
              ""))</t>
  </si>
  <si>
    <t>=CELL("row")=CELL("row",C15)</t>
  </si>
  <si>
    <t>="""TRUST Nav"",""HSPMTB2016"",""18"",""1"",""KK-05057"""</t>
  </si>
  <si>
    <t>=IF(AND($AL15=0,$J15=1)=TRUE,0,
        IF(AND($AL15&gt;0,$J15=1)=TRUE,1,
              IF(AND(H14=$H$12,$J15&gt;1)=TRUE,0,
                    IF(AND($AL15=0,$J15&gt;1),H14,
                         H14+1))))</t>
  </si>
  <si>
    <t>=IF(J14="No.",1,J14+1)</t>
  </si>
  <si>
    <t>=SUM(N15:AK15)</t>
  </si>
  <si>
    <t>=IF(COUNTIFS(IuranDSSebelumnya!$J$330:$J$772,$K15,IuranDSSebelumnya!$M$330:$M$772,AO$11,IuranDSSebelumnya!$L$330:$L$772,$M$5)&gt;0,
        VLOOKUP(CONCATENATE($K15,"|",AO$11,"|",$M$5),IuranDSSebelumnya!$I$330:$N$772,5,FALSE),
        IF(COUNTIFS(IuranDSSebelumnya!$J$330:$J$772,$K15,IuranDSSebelumnya!$M$330:$M$772,AO$11,IuranDSSebelumnya!$L$330:$L$772,"&lt;&gt;"&amp;$M$5)&gt;0,
              "Iuran dari Lingkungan lain",
              ""))</t>
  </si>
  <si>
    <t>=IF(COUNTIFS(IuranDSSebelumnya!$J$330:$J$772,$K15,IuranDSSebelumnya!$M$330:$M$772,AP$11,IuranDSSebelumnya!$L$330:$L$772,$M$5)&gt;0,
        VLOOKUP(CONCATENATE($K15,"|",AP$11,"|",$M$5),IuranDSSebelumnya!$I$330:$N$772,5,FALSE),
        IF(COUNTIFS(IuranDSSebelumnya!$J$330:$J$772,$K15,IuranDSSebelumnya!$M$330:$M$772,AP$11,IuranDSSebelumnya!$L$330:$L$772,"&lt;&gt;"&amp;$M$5)&gt;0,
              "Iuran dari Lingkungan lain",
              ""))</t>
  </si>
  <si>
    <t>=IF(COUNTIFS(IuranDSSebelumnya!$J$330:$J$772,$K15,IuranDSSebelumnya!$M$330:$M$772,AQ$11,IuranDSSebelumnya!$L$330:$L$772,$M$5)&gt;0,
        VLOOKUP(CONCATENATE($K15,"|",AQ$11,"|",$M$5),IuranDSSebelumnya!$I$330:$N$772,5,FALSE),
        IF(COUNTIFS(IuranDSSebelumnya!$J$330:$J$772,$K15,IuranDSSebelumnya!$M$330:$M$772,AQ$11,IuranDSSebelumnya!$L$330:$L$772,"&lt;&gt;"&amp;$M$5)&gt;0,
              "Iuran dari Lingkungan lain",
              ""))</t>
  </si>
  <si>
    <t>=IF(COUNTIFS(IuranDSSebelumnya!$J$330:$J$772,$K15,IuranDSSebelumnya!$M$330:$M$772,AR$11,IuranDSSebelumnya!$L$330:$L$772,$M$5)&gt;0,
        VLOOKUP(CONCATENATE($K15,"|",AR$11,"|",$M$5),IuranDSSebelumnya!$I$330:$N$772,5,FALSE),
        IF(COUNTIFS(IuranDSSebelumnya!$J$330:$J$772,$K15,IuranDSSebelumnya!$M$330:$M$772,AR$11,IuranDSSebelumnya!$L$330:$L$772,"&lt;&gt;"&amp;$M$5)&gt;0,
              "Iuran dari Lingkungan lain",
              ""))</t>
  </si>
  <si>
    <t>=IF(COUNTIFS(IuranDSSebelumnya!$J$330:$J$772,$K15,IuranDSSebelumnya!$M$330:$M$772,AS$11,IuranDSSebelumnya!$L$330:$L$772,$M$5)&gt;0,
        VLOOKUP(CONCATENATE($K15,"|",AS$11,"|",$M$5),IuranDSSebelumnya!$I$330:$N$772,5,FALSE),
        IF(COUNTIFS(IuranDSSebelumnya!$J$330:$J$772,$K15,IuranDSSebelumnya!$M$330:$M$772,AS$11,IuranDSSebelumnya!$L$330:$L$772,"&lt;&gt;"&amp;$M$5)&gt;0,
              "Iuran dari Lingkungan lain",
              ""))</t>
  </si>
  <si>
    <t>=IF(COUNTIFS(IuranDSSebelumnya!$J$330:$J$772,$K15,IuranDSSebelumnya!$M$330:$M$772,AT$11,IuranDSSebelumnya!$L$330:$L$772,$M$5)&gt;0,
        VLOOKUP(CONCATENATE($K15,"|",AT$11,"|",$M$5),IuranDSSebelumnya!$I$330:$N$772,5,FALSE),
        IF(COUNTIFS(IuranDSSebelumnya!$J$330:$J$772,$K15,IuranDSSebelumnya!$M$330:$M$772,AT$11,IuranDSSebelumnya!$L$330:$L$772,"&lt;&gt;"&amp;$M$5)&gt;0,
              "Iuran dari Lingkungan lain",
              ""))</t>
  </si>
  <si>
    <t>=IF(COUNTIFS(IuranDSSebelumnya!$J$330:$J$772,$K15,IuranDSSebelumnya!$M$330:$M$772,AU$11,IuranDSSebelumnya!$L$330:$L$772,$M$5)&gt;0,
        VLOOKUP(CONCATENATE($K15,"|",AU$11,"|",$M$5),IuranDSSebelumnya!$I$330:$N$772,5,FALSE),
        IF(COUNTIFS(IuranDSSebelumnya!$J$330:$J$772,$K15,IuranDSSebelumnya!$M$330:$M$772,AU$11,IuranDSSebelumnya!$L$330:$L$772,"&lt;&gt;"&amp;$M$5)&gt;0,
              "Iuran dari Lingkungan lain",
              ""))</t>
  </si>
  <si>
    <t>=IF(COUNTIFS(IuranDSSebelumnya!$J$330:$J$772,$K15,IuranDSSebelumnya!$M$330:$M$772,AV$11,IuranDSSebelumnya!$L$330:$L$772,$M$5)&gt;0,
        VLOOKUP(CONCATENATE($K15,"|",AV$11,"|",$M$5),IuranDSSebelumnya!$I$330:$N$772,5,FALSE),
        IF(COUNTIFS(IuranDSSebelumnya!$J$330:$J$772,$K15,IuranDSSebelumnya!$M$330:$M$772,AV$11,IuranDSSebelumnya!$L$330:$L$772,"&lt;&gt;"&amp;$M$5)&gt;0,
              "Iuran dari Lingkungan lain",
              ""))</t>
  </si>
  <si>
    <t>=IF(COUNTIFS(IuranDSSebelumnya!$J$330:$J$772,$K15,IuranDSSebelumnya!$M$330:$M$772,AW$11,IuranDSSebelumnya!$L$330:$L$772,$M$5)&gt;0,
        VLOOKUP(CONCATENATE($K15,"|",AW$11,"|",$M$5),IuranDSSebelumnya!$I$330:$N$772,5,FALSE),
        IF(COUNTIFS(IuranDSSebelumnya!$J$330:$J$772,$K15,IuranDSSebelumnya!$M$330:$M$772,AW$11,IuranDSSebelumnya!$L$330:$L$772,"&lt;&gt;"&amp;$M$5)&gt;0,
              "Iuran dari Lingkungan lain",
              ""))</t>
  </si>
  <si>
    <t>=IF(COUNTIFS(IuranDSSebelumnya!$J$330:$J$772,$K15,IuranDSSebelumnya!$M$330:$M$772,AX$11,IuranDSSebelumnya!$L$330:$L$772,$M$5)&gt;0,
        VLOOKUP(CONCATENATE($K15,"|",AX$11,"|",$M$5),IuranDSSebelumnya!$I$330:$N$772,5,FALSE),
        IF(COUNTIFS(IuranDSSebelumnya!$J$330:$J$772,$K15,IuranDSSebelumnya!$M$330:$M$772,AX$11,IuranDSSebelumnya!$L$330:$L$772,"&lt;&gt;"&amp;$M$5)&gt;0,
              "Iuran dari Lingkungan lain",
              ""))</t>
  </si>
  <si>
    <t>=IF(COUNTIFS(IuranDSSebelumnya!$J$330:$J$772,$K15,IuranDSSebelumnya!$M$330:$M$772,AY$11,IuranDSSebelumnya!$L$330:$L$772,$M$5)&gt;0,
        VLOOKUP(CONCATENATE($K15,"|",AY$11,"|",$M$5),IuranDSSebelumnya!$I$330:$N$772,5,FALSE),
        IF(COUNTIFS(IuranDSSebelumnya!$J$330:$J$772,$K15,IuranDSSebelumnya!$M$330:$M$772,AY$11,IuranDSSebelumnya!$L$330:$L$772,"&lt;&gt;"&amp;$M$5)&gt;0,
              "Iuran dari Lingkungan lain",
              ""))</t>
  </si>
  <si>
    <t>=IF(COUNTIFS(IuranDSSebelumnya!$J$330:$J$772,$K15,IuranDSSebelumnya!$M$330:$M$772,AZ$11,IuranDSSebelumnya!$L$330:$L$772,$M$5)&gt;0,
        VLOOKUP(CONCATENATE($K15,"|",AZ$11,"|",$M$5),IuranDSSebelumnya!$I$330:$N$772,5,FALSE),
        IF(COUNTIFS(IuranDSSebelumnya!$J$330:$J$772,$K15,IuranDSSebelumnya!$M$330:$M$772,AZ$11,IuranDSSebelumnya!$L$330:$L$772,"&lt;&gt;"&amp;$M$5)&gt;0,
              "Iuran dari Lingkungan lain",
              ""))</t>
  </si>
  <si>
    <t>=IF(COUNTIFS(IuranDSSebelumnya!$J$330:$J$772,$K15,IuranDSSebelumnya!$M$330:$M$772,BA$11,IuranDSSebelumnya!$L$330:$L$772,$M$5)&gt;0,
        VLOOKUP(CONCATENATE($K15,"|",BA$11,"|",$M$5),IuranDSSebelumnya!$I$330:$N$772,5,FALSE),
        IF(COUNTIFS(IuranDSSebelumnya!$J$330:$J$772,$K15,IuranDSSebelumnya!$M$330:$M$772,BA$11,IuranDSSebelumnya!$L$330:$L$772,"&lt;&gt;"&amp;$M$5)&gt;0,
              "Iuran dari Lingkungan lain",
              ""))</t>
  </si>
  <si>
    <t>=IF(COUNTIFS(IuranDSSebelumnya!$J$330:$J$772,$K15,IuranDSSebelumnya!$M$330:$M$772,BB$11,IuranDSSebelumnya!$L$330:$L$772,$M$5)&gt;0,
        VLOOKUP(CONCATENATE($K15,"|",BB$11,"|",$M$5),IuranDSSebelumnya!$I$330:$N$772,5,FALSE),
        IF(COUNTIFS(IuranDSSebelumnya!$J$330:$J$772,$K15,IuranDSSebelumnya!$M$330:$M$772,BB$11,IuranDSSebelumnya!$L$330:$L$772,"&lt;&gt;"&amp;$M$5)&gt;0,
              "Iuran dari Lingkungan lain",
              ""))</t>
  </si>
  <si>
    <t>=IF(COUNTIFS(IuranDSSebelumnya!$J$330:$J$772,$K15,IuranDSSebelumnya!$M$330:$M$772,BC$11,IuranDSSebelumnya!$L$330:$L$772,$M$5)&gt;0,
        VLOOKUP(CONCATENATE($K15,"|",BC$11,"|",$M$5),IuranDSSebelumnya!$I$330:$N$772,5,FALSE),
        IF(COUNTIFS(IuranDSSebelumnya!$J$330:$J$772,$K15,IuranDSSebelumnya!$M$330:$M$772,BC$11,IuranDSSebelumnya!$L$330:$L$772,"&lt;&gt;"&amp;$M$5)&gt;0,
              "Iuran dari Lingkungan lain",
              ""))</t>
  </si>
  <si>
    <t>=IF(COUNTIFS(IuranDSSebelumnya!$J$330:$J$772,$K15,IuranDSSebelumnya!$M$330:$M$772,BD$11,IuranDSSebelumnya!$L$330:$L$772,$M$5)&gt;0,
        VLOOKUP(CONCATENATE($K15,"|",BD$11,"|",$M$5),IuranDSSebelumnya!$I$330:$N$772,5,FALSE),
        IF(COUNTIFS(IuranDSSebelumnya!$J$330:$J$772,$K15,IuranDSSebelumnya!$M$330:$M$772,BD$11,IuranDSSebelumnya!$L$330:$L$772,"&lt;&gt;"&amp;$M$5)&gt;0,
              "Iuran dari Lingkungan lain",
              ""))</t>
  </si>
  <si>
    <t>=IF(COUNTIFS(IuranDSSebelumnya!$J$330:$J$772,$K15,IuranDSSebelumnya!$M$330:$M$772,BE$11,IuranDSSebelumnya!$L$330:$L$772,$M$5)&gt;0,
        VLOOKUP(CONCATENATE($K15,"|",BE$11,"|",$M$5),IuranDSSebelumnya!$I$330:$N$772,5,FALSE),
        IF(COUNTIFS(IuranDSSebelumnya!$J$330:$J$772,$K15,IuranDSSebelumnya!$M$330:$M$772,BE$11,IuranDSSebelumnya!$L$330:$L$772,"&lt;&gt;"&amp;$M$5)&gt;0,
              "Iuran dari Lingkungan lain",
              ""))</t>
  </si>
  <si>
    <t>=IF(COUNTIFS(IuranDSSebelumnya!$J$330:$J$772,$K15,IuranDSSebelumnya!$M$330:$M$772,BF$11,IuranDSSebelumnya!$L$330:$L$772,$M$5)&gt;0,
        VLOOKUP(CONCATENATE($K15,"|",BF$11,"|",$M$5),IuranDSSebelumnya!$I$330:$N$772,5,FALSE),
        IF(COUNTIFS(IuranDSSebelumnya!$J$330:$J$772,$K15,IuranDSSebelumnya!$M$330:$M$772,BF$11,IuranDSSebelumnya!$L$330:$L$772,"&lt;&gt;"&amp;$M$5)&gt;0,
              "Iuran dari Lingkungan lain",
              ""))</t>
  </si>
  <si>
    <t>=IF(COUNTIFS(IuranDSSebelumnya!$J$330:$J$772,$K15,IuranDSSebelumnya!$M$330:$M$772,BG$11,IuranDSSebelumnya!$L$330:$L$772,$M$5)&gt;0,
        VLOOKUP(CONCATENATE($K15,"|",BG$11,"|",$M$5),IuranDSSebelumnya!$I$330:$N$772,5,FALSE),
        IF(COUNTIFS(IuranDSSebelumnya!$J$330:$J$772,$K15,IuranDSSebelumnya!$M$330:$M$772,BG$11,IuranDSSebelumnya!$L$330:$L$772,"&lt;&gt;"&amp;$M$5)&gt;0,
              "Iuran dari Lingkungan lain",
              ""))</t>
  </si>
  <si>
    <t>=IF(COUNTIFS(IuranDSSebelumnya!$J$330:$J$772,$K15,IuranDSSebelumnya!$M$330:$M$772,BH$11,IuranDSSebelumnya!$L$330:$L$772,$M$5)&gt;0,
        VLOOKUP(CONCATENATE($K15,"|",BH$11,"|",$M$5),IuranDSSebelumnya!$I$330:$N$772,5,FALSE),
        IF(COUNTIFS(IuranDSSebelumnya!$J$330:$J$772,$K15,IuranDSSebelumnya!$M$330:$M$772,BH$11,IuranDSSebelumnya!$L$330:$L$772,"&lt;&gt;"&amp;$M$5)&gt;0,
              "Iuran dari Lingkungan lain",
              ""))</t>
  </si>
  <si>
    <t>=IF(COUNTIFS(IuranDSSebelumnya!$J$330:$J$772,$K15,IuranDSSebelumnya!$M$330:$M$772,BI$11,IuranDSSebelumnya!$L$330:$L$772,$M$5)&gt;0,
        VLOOKUP(CONCATENATE($K15,"|",BI$11,"|",$M$5),IuranDSSebelumnya!$I$330:$N$772,5,FALSE),
        IF(COUNTIFS(IuranDSSebelumnya!$J$330:$J$772,$K15,IuranDSSebelumnya!$M$330:$M$772,BI$11,IuranDSSebelumnya!$L$330:$L$772,"&lt;&gt;"&amp;$M$5)&gt;0,
              "Iuran dari Lingkungan lain",
              ""))</t>
  </si>
  <si>
    <t>=IF(COUNTIFS(IuranDSSebelumnya!$J$330:$J$772,$K15,IuranDSSebelumnya!$M$330:$M$772,BJ$11,IuranDSSebelumnya!$L$330:$L$772,$M$5)&gt;0,
        VLOOKUP(CONCATENATE($K15,"|",BJ$11,"|",$M$5),IuranDSSebelumnya!$I$330:$N$772,5,FALSE),
        IF(COUNTIFS(IuranDSSebelumnya!$J$330:$J$772,$K15,IuranDSSebelumnya!$M$330:$M$772,BJ$11,IuranDSSebelumnya!$L$330:$L$772,"&lt;&gt;"&amp;$M$5)&gt;0,
              "Iuran dari Lingkungan lain",
              ""))</t>
  </si>
  <si>
    <t>=IF(COUNTIFS(IuranDSSebelumnya!$J$330:$J$772,$K15,IuranDSSebelumnya!$M$330:$M$772,BK$11,IuranDSSebelumnya!$L$330:$L$772,$M$5)&gt;0,
        VLOOKUP(CONCATENATE($K15,"|",BK$11,"|",$M$5),IuranDSSebelumnya!$I$330:$N$772,5,FALSE),
        IF(COUNTIFS(IuranDSSebelumnya!$J$330:$J$772,$K15,IuranDSSebelumnya!$M$330:$M$772,BK$11,IuranDSSebelumnya!$L$330:$L$772,"&lt;&gt;"&amp;$M$5)&gt;0,
              "Iuran dari Lingkungan lain",
              ""))</t>
  </si>
  <si>
    <t>=IF(COUNTIFS(IuranDSSebelumnya!$J$330:$J$772,$K15,IuranDSSebelumnya!$M$330:$M$772,BL$11,IuranDSSebelumnya!$L$330:$L$772,$M$5)&gt;0,
        VLOOKUP(CONCATENATE($K15,"|",BL$11,"|",$M$5),IuranDSSebelumnya!$I$330:$N$772,5,FALSE),
        IF(COUNTIFS(IuranDSSebelumnya!$J$330:$J$772,$K15,IuranDSSebelumnya!$M$330:$M$772,BL$11,IuranDSSebelumnya!$L$330:$L$772,"&lt;&gt;"&amp;$M$5)&gt;0,
              "Iuran dari Lingkungan lain",
              ""))</t>
  </si>
  <si>
    <t>=CELL("row")=CELL("row",C16)</t>
  </si>
  <si>
    <t>="""TRUST Nav"",""HSPMTB2016"",""18"",""1"",""KK-05055"""</t>
  </si>
  <si>
    <t>=IF(AND($AL16=0,$J16=1)=TRUE,0,
        IF(AND($AL16&gt;0,$J16=1)=TRUE,1,
              IF(AND(H15=$H$12,$J16&gt;1)=TRUE,0,
                    IF(AND($AL16=0,$J16&gt;1),H15,
                         H15+1))))</t>
  </si>
  <si>
    <t>=IF(J15="No.",1,J15+1)</t>
  </si>
  <si>
    <t>=SUM(N16:AK16)</t>
  </si>
  <si>
    <t>=IF(COUNTIFS(IuranDSSebelumnya!$J$330:$J$772,$K16,IuranDSSebelumnya!$M$330:$M$772,AO$11,IuranDSSebelumnya!$L$330:$L$772,$M$5)&gt;0,
        VLOOKUP(CONCATENATE($K16,"|",AO$11,"|",$M$5),IuranDSSebelumnya!$I$330:$N$772,5,FALSE),
        IF(COUNTIFS(IuranDSSebelumnya!$J$330:$J$772,$K16,IuranDSSebelumnya!$M$330:$M$772,AO$11,IuranDSSebelumnya!$L$330:$L$772,"&lt;&gt;"&amp;$M$5)&gt;0,
              "Iuran dari Lingkungan lain",
              ""))</t>
  </si>
  <si>
    <t>=IF(COUNTIFS(IuranDSSebelumnya!$J$330:$J$772,$K16,IuranDSSebelumnya!$M$330:$M$772,AP$11,IuranDSSebelumnya!$L$330:$L$772,$M$5)&gt;0,
        VLOOKUP(CONCATENATE($K16,"|",AP$11,"|",$M$5),IuranDSSebelumnya!$I$330:$N$772,5,FALSE),
        IF(COUNTIFS(IuranDSSebelumnya!$J$330:$J$772,$K16,IuranDSSebelumnya!$M$330:$M$772,AP$11,IuranDSSebelumnya!$L$330:$L$772,"&lt;&gt;"&amp;$M$5)&gt;0,
              "Iuran dari Lingkungan lain",
              ""))</t>
  </si>
  <si>
    <t>=IF(COUNTIFS(IuranDSSebelumnya!$J$330:$J$772,$K16,IuranDSSebelumnya!$M$330:$M$772,AQ$11,IuranDSSebelumnya!$L$330:$L$772,$M$5)&gt;0,
        VLOOKUP(CONCATENATE($K16,"|",AQ$11,"|",$M$5),IuranDSSebelumnya!$I$330:$N$772,5,FALSE),
        IF(COUNTIFS(IuranDSSebelumnya!$J$330:$J$772,$K16,IuranDSSebelumnya!$M$330:$M$772,AQ$11,IuranDSSebelumnya!$L$330:$L$772,"&lt;&gt;"&amp;$M$5)&gt;0,
              "Iuran dari Lingkungan lain",
              ""))</t>
  </si>
  <si>
    <t>=IF(COUNTIFS(IuranDSSebelumnya!$J$330:$J$772,$K16,IuranDSSebelumnya!$M$330:$M$772,AR$11,IuranDSSebelumnya!$L$330:$L$772,$M$5)&gt;0,
        VLOOKUP(CONCATENATE($K16,"|",AR$11,"|",$M$5),IuranDSSebelumnya!$I$330:$N$772,5,FALSE),
        IF(COUNTIFS(IuranDSSebelumnya!$J$330:$J$772,$K16,IuranDSSebelumnya!$M$330:$M$772,AR$11,IuranDSSebelumnya!$L$330:$L$772,"&lt;&gt;"&amp;$M$5)&gt;0,
              "Iuran dari Lingkungan lain",
              ""))</t>
  </si>
  <si>
    <t>=IF(COUNTIFS(IuranDSSebelumnya!$J$330:$J$772,$K16,IuranDSSebelumnya!$M$330:$M$772,AS$11,IuranDSSebelumnya!$L$330:$L$772,$M$5)&gt;0,
        VLOOKUP(CONCATENATE($K16,"|",AS$11,"|",$M$5),IuranDSSebelumnya!$I$330:$N$772,5,FALSE),
        IF(COUNTIFS(IuranDSSebelumnya!$J$330:$J$772,$K16,IuranDSSebelumnya!$M$330:$M$772,AS$11,IuranDSSebelumnya!$L$330:$L$772,"&lt;&gt;"&amp;$M$5)&gt;0,
              "Iuran dari Lingkungan lain",
              ""))</t>
  </si>
  <si>
    <t>=IF(COUNTIFS(IuranDSSebelumnya!$J$330:$J$772,$K16,IuranDSSebelumnya!$M$330:$M$772,AT$11,IuranDSSebelumnya!$L$330:$L$772,$M$5)&gt;0,
        VLOOKUP(CONCATENATE($K16,"|",AT$11,"|",$M$5),IuranDSSebelumnya!$I$330:$N$772,5,FALSE),
        IF(COUNTIFS(IuranDSSebelumnya!$J$330:$J$772,$K16,IuranDSSebelumnya!$M$330:$M$772,AT$11,IuranDSSebelumnya!$L$330:$L$772,"&lt;&gt;"&amp;$M$5)&gt;0,
              "Iuran dari Lingkungan lain",
              ""))</t>
  </si>
  <si>
    <t>=IF(COUNTIFS(IuranDSSebelumnya!$J$330:$J$772,$K16,IuranDSSebelumnya!$M$330:$M$772,AU$11,IuranDSSebelumnya!$L$330:$L$772,$M$5)&gt;0,
        VLOOKUP(CONCATENATE($K16,"|",AU$11,"|",$M$5),IuranDSSebelumnya!$I$330:$N$772,5,FALSE),
        IF(COUNTIFS(IuranDSSebelumnya!$J$330:$J$772,$K16,IuranDSSebelumnya!$M$330:$M$772,AU$11,IuranDSSebelumnya!$L$330:$L$772,"&lt;&gt;"&amp;$M$5)&gt;0,
              "Iuran dari Lingkungan lain",
              ""))</t>
  </si>
  <si>
    <t>=IF(COUNTIFS(IuranDSSebelumnya!$J$330:$J$772,$K16,IuranDSSebelumnya!$M$330:$M$772,AV$11,IuranDSSebelumnya!$L$330:$L$772,$M$5)&gt;0,
        VLOOKUP(CONCATENATE($K16,"|",AV$11,"|",$M$5),IuranDSSebelumnya!$I$330:$N$772,5,FALSE),
        IF(COUNTIFS(IuranDSSebelumnya!$J$330:$J$772,$K16,IuranDSSebelumnya!$M$330:$M$772,AV$11,IuranDSSebelumnya!$L$330:$L$772,"&lt;&gt;"&amp;$M$5)&gt;0,
              "Iuran dari Lingkungan lain",
              ""))</t>
  </si>
  <si>
    <t>=IF(COUNTIFS(IuranDSSebelumnya!$J$330:$J$772,$K16,IuranDSSebelumnya!$M$330:$M$772,AW$11,IuranDSSebelumnya!$L$330:$L$772,$M$5)&gt;0,
        VLOOKUP(CONCATENATE($K16,"|",AW$11,"|",$M$5),IuranDSSebelumnya!$I$330:$N$772,5,FALSE),
        IF(COUNTIFS(IuranDSSebelumnya!$J$330:$J$772,$K16,IuranDSSebelumnya!$M$330:$M$772,AW$11,IuranDSSebelumnya!$L$330:$L$772,"&lt;&gt;"&amp;$M$5)&gt;0,
              "Iuran dari Lingkungan lain",
              ""))</t>
  </si>
  <si>
    <t>=IF(COUNTIFS(IuranDSSebelumnya!$J$330:$J$772,$K16,IuranDSSebelumnya!$M$330:$M$772,AX$11,IuranDSSebelumnya!$L$330:$L$772,$M$5)&gt;0,
        VLOOKUP(CONCATENATE($K16,"|",AX$11,"|",$M$5),IuranDSSebelumnya!$I$330:$N$772,5,FALSE),
        IF(COUNTIFS(IuranDSSebelumnya!$J$330:$J$772,$K16,IuranDSSebelumnya!$M$330:$M$772,AX$11,IuranDSSebelumnya!$L$330:$L$772,"&lt;&gt;"&amp;$M$5)&gt;0,
              "Iuran dari Lingkungan lain",
              ""))</t>
  </si>
  <si>
    <t>=IF(COUNTIFS(IuranDSSebelumnya!$J$330:$J$772,$K16,IuranDSSebelumnya!$M$330:$M$772,AY$11,IuranDSSebelumnya!$L$330:$L$772,$M$5)&gt;0,
        VLOOKUP(CONCATENATE($K16,"|",AY$11,"|",$M$5),IuranDSSebelumnya!$I$330:$N$772,5,FALSE),
        IF(COUNTIFS(IuranDSSebelumnya!$J$330:$J$772,$K16,IuranDSSebelumnya!$M$330:$M$772,AY$11,IuranDSSebelumnya!$L$330:$L$772,"&lt;&gt;"&amp;$M$5)&gt;0,
              "Iuran dari Lingkungan lain",
              ""))</t>
  </si>
  <si>
    <t>=IF(COUNTIFS(IuranDSSebelumnya!$J$330:$J$772,$K16,IuranDSSebelumnya!$M$330:$M$772,AZ$11,IuranDSSebelumnya!$L$330:$L$772,$M$5)&gt;0,
        VLOOKUP(CONCATENATE($K16,"|",AZ$11,"|",$M$5),IuranDSSebelumnya!$I$330:$N$772,5,FALSE),
        IF(COUNTIFS(IuranDSSebelumnya!$J$330:$J$772,$K16,IuranDSSebelumnya!$M$330:$M$772,AZ$11,IuranDSSebelumnya!$L$330:$L$772,"&lt;&gt;"&amp;$M$5)&gt;0,
              "Iuran dari Lingkungan lain",
              ""))</t>
  </si>
  <si>
    <t>=IF(COUNTIFS(IuranDSSebelumnya!$J$330:$J$772,$K16,IuranDSSebelumnya!$M$330:$M$772,BA$11,IuranDSSebelumnya!$L$330:$L$772,$M$5)&gt;0,
        VLOOKUP(CONCATENATE($K16,"|",BA$11,"|",$M$5),IuranDSSebelumnya!$I$330:$N$772,5,FALSE),
        IF(COUNTIFS(IuranDSSebelumnya!$J$330:$J$772,$K16,IuranDSSebelumnya!$M$330:$M$772,BA$11,IuranDSSebelumnya!$L$330:$L$772,"&lt;&gt;"&amp;$M$5)&gt;0,
              "Iuran dari Lingkungan lain",
              ""))</t>
  </si>
  <si>
    <t>=IF(COUNTIFS(IuranDSSebelumnya!$J$330:$J$772,$K16,IuranDSSebelumnya!$M$330:$M$772,BB$11,IuranDSSebelumnya!$L$330:$L$772,$M$5)&gt;0,
        VLOOKUP(CONCATENATE($K16,"|",BB$11,"|",$M$5),IuranDSSebelumnya!$I$330:$N$772,5,FALSE),
        IF(COUNTIFS(IuranDSSebelumnya!$J$330:$J$772,$K16,IuranDSSebelumnya!$M$330:$M$772,BB$11,IuranDSSebelumnya!$L$330:$L$772,"&lt;&gt;"&amp;$M$5)&gt;0,
              "Iuran dari Lingkungan lain",
              ""))</t>
  </si>
  <si>
    <t>=IF(COUNTIFS(IuranDSSebelumnya!$J$330:$J$772,$K16,IuranDSSebelumnya!$M$330:$M$772,BC$11,IuranDSSebelumnya!$L$330:$L$772,$M$5)&gt;0,
        VLOOKUP(CONCATENATE($K16,"|",BC$11,"|",$M$5),IuranDSSebelumnya!$I$330:$N$772,5,FALSE),
        IF(COUNTIFS(IuranDSSebelumnya!$J$330:$J$772,$K16,IuranDSSebelumnya!$M$330:$M$772,BC$11,IuranDSSebelumnya!$L$330:$L$772,"&lt;&gt;"&amp;$M$5)&gt;0,
              "Iuran dari Lingkungan lain",
              ""))</t>
  </si>
  <si>
    <t>=IF(COUNTIFS(IuranDSSebelumnya!$J$330:$J$772,$K16,IuranDSSebelumnya!$M$330:$M$772,BD$11,IuranDSSebelumnya!$L$330:$L$772,$M$5)&gt;0,
        VLOOKUP(CONCATENATE($K16,"|",BD$11,"|",$M$5),IuranDSSebelumnya!$I$330:$N$772,5,FALSE),
        IF(COUNTIFS(IuranDSSebelumnya!$J$330:$J$772,$K16,IuranDSSebelumnya!$M$330:$M$772,BD$11,IuranDSSebelumnya!$L$330:$L$772,"&lt;&gt;"&amp;$M$5)&gt;0,
              "Iuran dari Lingkungan lain",
              ""))</t>
  </si>
  <si>
    <t>=IF(COUNTIFS(IuranDSSebelumnya!$J$330:$J$772,$K16,IuranDSSebelumnya!$M$330:$M$772,BE$11,IuranDSSebelumnya!$L$330:$L$772,$M$5)&gt;0,
        VLOOKUP(CONCATENATE($K16,"|",BE$11,"|",$M$5),IuranDSSebelumnya!$I$330:$N$772,5,FALSE),
        IF(COUNTIFS(IuranDSSebelumnya!$J$330:$J$772,$K16,IuranDSSebelumnya!$M$330:$M$772,BE$11,IuranDSSebelumnya!$L$330:$L$772,"&lt;&gt;"&amp;$M$5)&gt;0,
              "Iuran dari Lingkungan lain",
              ""))</t>
  </si>
  <si>
    <t>=IF(COUNTIFS(IuranDSSebelumnya!$J$330:$J$772,$K16,IuranDSSebelumnya!$M$330:$M$772,BF$11,IuranDSSebelumnya!$L$330:$L$772,$M$5)&gt;0,
        VLOOKUP(CONCATENATE($K16,"|",BF$11,"|",$M$5),IuranDSSebelumnya!$I$330:$N$772,5,FALSE),
        IF(COUNTIFS(IuranDSSebelumnya!$J$330:$J$772,$K16,IuranDSSebelumnya!$M$330:$M$772,BF$11,IuranDSSebelumnya!$L$330:$L$772,"&lt;&gt;"&amp;$M$5)&gt;0,
              "Iuran dari Lingkungan lain",
              ""))</t>
  </si>
  <si>
    <t>=IF(COUNTIFS(IuranDSSebelumnya!$J$330:$J$772,$K16,IuranDSSebelumnya!$M$330:$M$772,BG$11,IuranDSSebelumnya!$L$330:$L$772,$M$5)&gt;0,
        VLOOKUP(CONCATENATE($K16,"|",BG$11,"|",$M$5),IuranDSSebelumnya!$I$330:$N$772,5,FALSE),
        IF(COUNTIFS(IuranDSSebelumnya!$J$330:$J$772,$K16,IuranDSSebelumnya!$M$330:$M$772,BG$11,IuranDSSebelumnya!$L$330:$L$772,"&lt;&gt;"&amp;$M$5)&gt;0,
              "Iuran dari Lingkungan lain",
              ""))</t>
  </si>
  <si>
    <t>=IF(COUNTIFS(IuranDSSebelumnya!$J$330:$J$772,$K16,IuranDSSebelumnya!$M$330:$M$772,BH$11,IuranDSSebelumnya!$L$330:$L$772,$M$5)&gt;0,
        VLOOKUP(CONCATENATE($K16,"|",BH$11,"|",$M$5),IuranDSSebelumnya!$I$330:$N$772,5,FALSE),
        IF(COUNTIFS(IuranDSSebelumnya!$J$330:$J$772,$K16,IuranDSSebelumnya!$M$330:$M$772,BH$11,IuranDSSebelumnya!$L$330:$L$772,"&lt;&gt;"&amp;$M$5)&gt;0,
              "Iuran dari Lingkungan lain",
              ""))</t>
  </si>
  <si>
    <t>=IF(COUNTIFS(IuranDSSebelumnya!$J$330:$J$772,$K16,IuranDSSebelumnya!$M$330:$M$772,BI$11,IuranDSSebelumnya!$L$330:$L$772,$M$5)&gt;0,
        VLOOKUP(CONCATENATE($K16,"|",BI$11,"|",$M$5),IuranDSSebelumnya!$I$330:$N$772,5,FALSE),
        IF(COUNTIFS(IuranDSSebelumnya!$J$330:$J$772,$K16,IuranDSSebelumnya!$M$330:$M$772,BI$11,IuranDSSebelumnya!$L$330:$L$772,"&lt;&gt;"&amp;$M$5)&gt;0,
              "Iuran dari Lingkungan lain",
              ""))</t>
  </si>
  <si>
    <t>=IF(COUNTIFS(IuranDSSebelumnya!$J$330:$J$772,$K16,IuranDSSebelumnya!$M$330:$M$772,BJ$11,IuranDSSebelumnya!$L$330:$L$772,$M$5)&gt;0,
        VLOOKUP(CONCATENATE($K16,"|",BJ$11,"|",$M$5),IuranDSSebelumnya!$I$330:$N$772,5,FALSE),
        IF(COUNTIFS(IuranDSSebelumnya!$J$330:$J$772,$K16,IuranDSSebelumnya!$M$330:$M$772,BJ$11,IuranDSSebelumnya!$L$330:$L$772,"&lt;&gt;"&amp;$M$5)&gt;0,
              "Iuran dari Lingkungan lain",
              ""))</t>
  </si>
  <si>
    <t>=IF(COUNTIFS(IuranDSSebelumnya!$J$330:$J$772,$K16,IuranDSSebelumnya!$M$330:$M$772,BK$11,IuranDSSebelumnya!$L$330:$L$772,$M$5)&gt;0,
        VLOOKUP(CONCATENATE($K16,"|",BK$11,"|",$M$5),IuranDSSebelumnya!$I$330:$N$772,5,FALSE),
        IF(COUNTIFS(IuranDSSebelumnya!$J$330:$J$772,$K16,IuranDSSebelumnya!$M$330:$M$772,BK$11,IuranDSSebelumnya!$L$330:$L$772,"&lt;&gt;"&amp;$M$5)&gt;0,
              "Iuran dari Lingkungan lain",
              ""))</t>
  </si>
  <si>
    <t>=IF(COUNTIFS(IuranDSSebelumnya!$J$330:$J$772,$K16,IuranDSSebelumnya!$M$330:$M$772,BL$11,IuranDSSebelumnya!$L$330:$L$772,$M$5)&gt;0,
        VLOOKUP(CONCATENATE($K16,"|",BL$11,"|",$M$5),IuranDSSebelumnya!$I$330:$N$772,5,FALSE),
        IF(COUNTIFS(IuranDSSebelumnya!$J$330:$J$772,$K16,IuranDSSebelumnya!$M$330:$M$772,BL$11,IuranDSSebelumnya!$L$330:$L$772,"&lt;&gt;"&amp;$M$5)&gt;0,
              "Iuran dari Lingkungan lain",
              ""))</t>
  </si>
  <si>
    <t>=CELL("row")=CELL("row",C17)</t>
  </si>
  <si>
    <t>="""TRUST Nav"",""HSPMTB2016"",""18"",""1"",""KK-04597"""</t>
  </si>
  <si>
    <t>=IF(AND($AL17=0,$J17=1)=TRUE,0,
        IF(AND($AL17&gt;0,$J17=1)=TRUE,1,
              IF(AND(H16=$H$12,$J17&gt;1)=TRUE,0,
                    IF(AND($AL17=0,$J17&gt;1),H16,
                         H16+1))))</t>
  </si>
  <si>
    <t>=IF(J16="No.",1,J16+1)</t>
  </si>
  <si>
    <t>=SUM(N17:AK17)</t>
  </si>
  <si>
    <t>=IF(COUNTIFS(IuranDSSebelumnya!$J$330:$J$772,$K17,IuranDSSebelumnya!$M$330:$M$772,AO$11,IuranDSSebelumnya!$L$330:$L$772,$M$5)&gt;0,
        VLOOKUP(CONCATENATE($K17,"|",AO$11,"|",$M$5),IuranDSSebelumnya!$I$330:$N$772,5,FALSE),
        IF(COUNTIFS(IuranDSSebelumnya!$J$330:$J$772,$K17,IuranDSSebelumnya!$M$330:$M$772,AO$11,IuranDSSebelumnya!$L$330:$L$772,"&lt;&gt;"&amp;$M$5)&gt;0,
              "Iuran dari Lingkungan lain",
              ""))</t>
  </si>
  <si>
    <t>=IF(COUNTIFS(IuranDSSebelumnya!$J$330:$J$772,$K17,IuranDSSebelumnya!$M$330:$M$772,AP$11,IuranDSSebelumnya!$L$330:$L$772,$M$5)&gt;0,
        VLOOKUP(CONCATENATE($K17,"|",AP$11,"|",$M$5),IuranDSSebelumnya!$I$330:$N$772,5,FALSE),
        IF(COUNTIFS(IuranDSSebelumnya!$J$330:$J$772,$K17,IuranDSSebelumnya!$M$330:$M$772,AP$11,IuranDSSebelumnya!$L$330:$L$772,"&lt;&gt;"&amp;$M$5)&gt;0,
              "Iuran dari Lingkungan lain",
              ""))</t>
  </si>
  <si>
    <t>=IF(COUNTIFS(IuranDSSebelumnya!$J$330:$J$772,$K17,IuranDSSebelumnya!$M$330:$M$772,AQ$11,IuranDSSebelumnya!$L$330:$L$772,$M$5)&gt;0,
        VLOOKUP(CONCATENATE($K17,"|",AQ$11,"|",$M$5),IuranDSSebelumnya!$I$330:$N$772,5,FALSE),
        IF(COUNTIFS(IuranDSSebelumnya!$J$330:$J$772,$K17,IuranDSSebelumnya!$M$330:$M$772,AQ$11,IuranDSSebelumnya!$L$330:$L$772,"&lt;&gt;"&amp;$M$5)&gt;0,
              "Iuran dari Lingkungan lain",
              ""))</t>
  </si>
  <si>
    <t>=IF(COUNTIFS(IuranDSSebelumnya!$J$330:$J$772,$K17,IuranDSSebelumnya!$M$330:$M$772,AR$11,IuranDSSebelumnya!$L$330:$L$772,$M$5)&gt;0,
        VLOOKUP(CONCATENATE($K17,"|",AR$11,"|",$M$5),IuranDSSebelumnya!$I$330:$N$772,5,FALSE),
        IF(COUNTIFS(IuranDSSebelumnya!$J$330:$J$772,$K17,IuranDSSebelumnya!$M$330:$M$772,AR$11,IuranDSSebelumnya!$L$330:$L$772,"&lt;&gt;"&amp;$M$5)&gt;0,
              "Iuran dari Lingkungan lain",
              ""))</t>
  </si>
  <si>
    <t>=IF(COUNTIFS(IuranDSSebelumnya!$J$330:$J$772,$K17,IuranDSSebelumnya!$M$330:$M$772,AS$11,IuranDSSebelumnya!$L$330:$L$772,$M$5)&gt;0,
        VLOOKUP(CONCATENATE($K17,"|",AS$11,"|",$M$5),IuranDSSebelumnya!$I$330:$N$772,5,FALSE),
        IF(COUNTIFS(IuranDSSebelumnya!$J$330:$J$772,$K17,IuranDSSebelumnya!$M$330:$M$772,AS$11,IuranDSSebelumnya!$L$330:$L$772,"&lt;&gt;"&amp;$M$5)&gt;0,
              "Iuran dari Lingkungan lain",
              ""))</t>
  </si>
  <si>
    <t>=IF(COUNTIFS(IuranDSSebelumnya!$J$330:$J$772,$K17,IuranDSSebelumnya!$M$330:$M$772,AT$11,IuranDSSebelumnya!$L$330:$L$772,$M$5)&gt;0,
        VLOOKUP(CONCATENATE($K17,"|",AT$11,"|",$M$5),IuranDSSebelumnya!$I$330:$N$772,5,FALSE),
        IF(COUNTIFS(IuranDSSebelumnya!$J$330:$J$772,$K17,IuranDSSebelumnya!$M$330:$M$772,AT$11,IuranDSSebelumnya!$L$330:$L$772,"&lt;&gt;"&amp;$M$5)&gt;0,
              "Iuran dari Lingkungan lain",
              ""))</t>
  </si>
  <si>
    <t>=IF(COUNTIFS(IuranDSSebelumnya!$J$330:$J$772,$K17,IuranDSSebelumnya!$M$330:$M$772,AU$11,IuranDSSebelumnya!$L$330:$L$772,$M$5)&gt;0,
        VLOOKUP(CONCATENATE($K17,"|",AU$11,"|",$M$5),IuranDSSebelumnya!$I$330:$N$772,5,FALSE),
        IF(COUNTIFS(IuranDSSebelumnya!$J$330:$J$772,$K17,IuranDSSebelumnya!$M$330:$M$772,AU$11,IuranDSSebelumnya!$L$330:$L$772,"&lt;&gt;"&amp;$M$5)&gt;0,
              "Iuran dari Lingkungan lain",
              ""))</t>
  </si>
  <si>
    <t>=IF(COUNTIFS(IuranDSSebelumnya!$J$330:$J$772,$K17,IuranDSSebelumnya!$M$330:$M$772,AV$11,IuranDSSebelumnya!$L$330:$L$772,$M$5)&gt;0,
        VLOOKUP(CONCATENATE($K17,"|",AV$11,"|",$M$5),IuranDSSebelumnya!$I$330:$N$772,5,FALSE),
        IF(COUNTIFS(IuranDSSebelumnya!$J$330:$J$772,$K17,IuranDSSebelumnya!$M$330:$M$772,AV$11,IuranDSSebelumnya!$L$330:$L$772,"&lt;&gt;"&amp;$M$5)&gt;0,
              "Iuran dari Lingkungan lain",
              ""))</t>
  </si>
  <si>
    <t>=IF(COUNTIFS(IuranDSSebelumnya!$J$330:$J$772,$K17,IuranDSSebelumnya!$M$330:$M$772,AW$11,IuranDSSebelumnya!$L$330:$L$772,$M$5)&gt;0,
        VLOOKUP(CONCATENATE($K17,"|",AW$11,"|",$M$5),IuranDSSebelumnya!$I$330:$N$772,5,FALSE),
        IF(COUNTIFS(IuranDSSebelumnya!$J$330:$J$772,$K17,IuranDSSebelumnya!$M$330:$M$772,AW$11,IuranDSSebelumnya!$L$330:$L$772,"&lt;&gt;"&amp;$M$5)&gt;0,
              "Iuran dari Lingkungan lain",
              ""))</t>
  </si>
  <si>
    <t>=IF(COUNTIFS(IuranDSSebelumnya!$J$330:$J$772,$K17,IuranDSSebelumnya!$M$330:$M$772,AX$11,IuranDSSebelumnya!$L$330:$L$772,$M$5)&gt;0,
        VLOOKUP(CONCATENATE($K17,"|",AX$11,"|",$M$5),IuranDSSebelumnya!$I$330:$N$772,5,FALSE),
        IF(COUNTIFS(IuranDSSebelumnya!$J$330:$J$772,$K17,IuranDSSebelumnya!$M$330:$M$772,AX$11,IuranDSSebelumnya!$L$330:$L$772,"&lt;&gt;"&amp;$M$5)&gt;0,
              "Iuran dari Lingkungan lain",
              ""))</t>
  </si>
  <si>
    <t>=IF(COUNTIFS(IuranDSSebelumnya!$J$330:$J$772,$K17,IuranDSSebelumnya!$M$330:$M$772,AY$11,IuranDSSebelumnya!$L$330:$L$772,$M$5)&gt;0,
        VLOOKUP(CONCATENATE($K17,"|",AY$11,"|",$M$5),IuranDSSebelumnya!$I$330:$N$772,5,FALSE),
        IF(COUNTIFS(IuranDSSebelumnya!$J$330:$J$772,$K17,IuranDSSebelumnya!$M$330:$M$772,AY$11,IuranDSSebelumnya!$L$330:$L$772,"&lt;&gt;"&amp;$M$5)&gt;0,
              "Iuran dari Lingkungan lain",
              ""))</t>
  </si>
  <si>
    <t>=IF(COUNTIFS(IuranDSSebelumnya!$J$330:$J$772,$K17,IuranDSSebelumnya!$M$330:$M$772,AZ$11,IuranDSSebelumnya!$L$330:$L$772,$M$5)&gt;0,
        VLOOKUP(CONCATENATE($K17,"|",AZ$11,"|",$M$5),IuranDSSebelumnya!$I$330:$N$772,5,FALSE),
        IF(COUNTIFS(IuranDSSebelumnya!$J$330:$J$772,$K17,IuranDSSebelumnya!$M$330:$M$772,AZ$11,IuranDSSebelumnya!$L$330:$L$772,"&lt;&gt;"&amp;$M$5)&gt;0,
              "Iuran dari Lingkungan lain",
              ""))</t>
  </si>
  <si>
    <t>=IF(COUNTIFS(IuranDSSebelumnya!$J$330:$J$772,$K17,IuranDSSebelumnya!$M$330:$M$772,BA$11,IuranDSSebelumnya!$L$330:$L$772,$M$5)&gt;0,
        VLOOKUP(CONCATENATE($K17,"|",BA$11,"|",$M$5),IuranDSSebelumnya!$I$330:$N$772,5,FALSE),
        IF(COUNTIFS(IuranDSSebelumnya!$J$330:$J$772,$K17,IuranDSSebelumnya!$M$330:$M$772,BA$11,IuranDSSebelumnya!$L$330:$L$772,"&lt;&gt;"&amp;$M$5)&gt;0,
              "Iuran dari Lingkungan lain",
              ""))</t>
  </si>
  <si>
    <t>=IF(COUNTIFS(IuranDSSebelumnya!$J$330:$J$772,$K17,IuranDSSebelumnya!$M$330:$M$772,BB$11,IuranDSSebelumnya!$L$330:$L$772,$M$5)&gt;0,
        VLOOKUP(CONCATENATE($K17,"|",BB$11,"|",$M$5),IuranDSSebelumnya!$I$330:$N$772,5,FALSE),
        IF(COUNTIFS(IuranDSSebelumnya!$J$330:$J$772,$K17,IuranDSSebelumnya!$M$330:$M$772,BB$11,IuranDSSebelumnya!$L$330:$L$772,"&lt;&gt;"&amp;$M$5)&gt;0,
              "Iuran dari Lingkungan lain",
              ""))</t>
  </si>
  <si>
    <t>=IF(COUNTIFS(IuranDSSebelumnya!$J$330:$J$772,$K17,IuranDSSebelumnya!$M$330:$M$772,BC$11,IuranDSSebelumnya!$L$330:$L$772,$M$5)&gt;0,
        VLOOKUP(CONCATENATE($K17,"|",BC$11,"|",$M$5),IuranDSSebelumnya!$I$330:$N$772,5,FALSE),
        IF(COUNTIFS(IuranDSSebelumnya!$J$330:$J$772,$K17,IuranDSSebelumnya!$M$330:$M$772,BC$11,IuranDSSebelumnya!$L$330:$L$772,"&lt;&gt;"&amp;$M$5)&gt;0,
              "Iuran dari Lingkungan lain",
              ""))</t>
  </si>
  <si>
    <t>=IF(COUNTIFS(IuranDSSebelumnya!$J$330:$J$772,$K17,IuranDSSebelumnya!$M$330:$M$772,BD$11,IuranDSSebelumnya!$L$330:$L$772,$M$5)&gt;0,
        VLOOKUP(CONCATENATE($K17,"|",BD$11,"|",$M$5),IuranDSSebelumnya!$I$330:$N$772,5,FALSE),
        IF(COUNTIFS(IuranDSSebelumnya!$J$330:$J$772,$K17,IuranDSSebelumnya!$M$330:$M$772,BD$11,IuranDSSebelumnya!$L$330:$L$772,"&lt;&gt;"&amp;$M$5)&gt;0,
              "Iuran dari Lingkungan lain",
              ""))</t>
  </si>
  <si>
    <t>=IF(COUNTIFS(IuranDSSebelumnya!$J$330:$J$772,$K17,IuranDSSebelumnya!$M$330:$M$772,BE$11,IuranDSSebelumnya!$L$330:$L$772,$M$5)&gt;0,
        VLOOKUP(CONCATENATE($K17,"|",BE$11,"|",$M$5),IuranDSSebelumnya!$I$330:$N$772,5,FALSE),
        IF(COUNTIFS(IuranDSSebelumnya!$J$330:$J$772,$K17,IuranDSSebelumnya!$M$330:$M$772,BE$11,IuranDSSebelumnya!$L$330:$L$772,"&lt;&gt;"&amp;$M$5)&gt;0,
              "Iuran dari Lingkungan lain",
              ""))</t>
  </si>
  <si>
    <t>=IF(COUNTIFS(IuranDSSebelumnya!$J$330:$J$772,$K17,IuranDSSebelumnya!$M$330:$M$772,BF$11,IuranDSSebelumnya!$L$330:$L$772,$M$5)&gt;0,
        VLOOKUP(CONCATENATE($K17,"|",BF$11,"|",$M$5),IuranDSSebelumnya!$I$330:$N$772,5,FALSE),
        IF(COUNTIFS(IuranDSSebelumnya!$J$330:$J$772,$K17,IuranDSSebelumnya!$M$330:$M$772,BF$11,IuranDSSebelumnya!$L$330:$L$772,"&lt;&gt;"&amp;$M$5)&gt;0,
              "Iuran dari Lingkungan lain",
              ""))</t>
  </si>
  <si>
    <t>=IF(COUNTIFS(IuranDSSebelumnya!$J$330:$J$772,$K17,IuranDSSebelumnya!$M$330:$M$772,BG$11,IuranDSSebelumnya!$L$330:$L$772,$M$5)&gt;0,
        VLOOKUP(CONCATENATE($K17,"|",BG$11,"|",$M$5),IuranDSSebelumnya!$I$330:$N$772,5,FALSE),
        IF(COUNTIFS(IuranDSSebelumnya!$J$330:$J$772,$K17,IuranDSSebelumnya!$M$330:$M$772,BG$11,IuranDSSebelumnya!$L$330:$L$772,"&lt;&gt;"&amp;$M$5)&gt;0,
              "Iuran dari Lingkungan lain",
              ""))</t>
  </si>
  <si>
    <t>=IF(COUNTIFS(IuranDSSebelumnya!$J$330:$J$772,$K17,IuranDSSebelumnya!$M$330:$M$772,BH$11,IuranDSSebelumnya!$L$330:$L$772,$M$5)&gt;0,
        VLOOKUP(CONCATENATE($K17,"|",BH$11,"|",$M$5),IuranDSSebelumnya!$I$330:$N$772,5,FALSE),
        IF(COUNTIFS(IuranDSSebelumnya!$J$330:$J$772,$K17,IuranDSSebelumnya!$M$330:$M$772,BH$11,IuranDSSebelumnya!$L$330:$L$772,"&lt;&gt;"&amp;$M$5)&gt;0,
              "Iuran dari Lingkungan lain",
              ""))</t>
  </si>
  <si>
    <t>=IF(COUNTIFS(IuranDSSebelumnya!$J$330:$J$772,$K17,IuranDSSebelumnya!$M$330:$M$772,BI$11,IuranDSSebelumnya!$L$330:$L$772,$M$5)&gt;0,
        VLOOKUP(CONCATENATE($K17,"|",BI$11,"|",$M$5),IuranDSSebelumnya!$I$330:$N$772,5,FALSE),
        IF(COUNTIFS(IuranDSSebelumnya!$J$330:$J$772,$K17,IuranDSSebelumnya!$M$330:$M$772,BI$11,IuranDSSebelumnya!$L$330:$L$772,"&lt;&gt;"&amp;$M$5)&gt;0,
              "Iuran dari Lingkungan lain",
              ""))</t>
  </si>
  <si>
    <t>=IF(COUNTIFS(IuranDSSebelumnya!$J$330:$J$772,$K17,IuranDSSebelumnya!$M$330:$M$772,BJ$11,IuranDSSebelumnya!$L$330:$L$772,$M$5)&gt;0,
        VLOOKUP(CONCATENATE($K17,"|",BJ$11,"|",$M$5),IuranDSSebelumnya!$I$330:$N$772,5,FALSE),
        IF(COUNTIFS(IuranDSSebelumnya!$J$330:$J$772,$K17,IuranDSSebelumnya!$M$330:$M$772,BJ$11,IuranDSSebelumnya!$L$330:$L$772,"&lt;&gt;"&amp;$M$5)&gt;0,
              "Iuran dari Lingkungan lain",
              ""))</t>
  </si>
  <si>
    <t>=IF(COUNTIFS(IuranDSSebelumnya!$J$330:$J$772,$K17,IuranDSSebelumnya!$M$330:$M$772,BK$11,IuranDSSebelumnya!$L$330:$L$772,$M$5)&gt;0,
        VLOOKUP(CONCATENATE($K17,"|",BK$11,"|",$M$5),IuranDSSebelumnya!$I$330:$N$772,5,FALSE),
        IF(COUNTIFS(IuranDSSebelumnya!$J$330:$J$772,$K17,IuranDSSebelumnya!$M$330:$M$772,BK$11,IuranDSSebelumnya!$L$330:$L$772,"&lt;&gt;"&amp;$M$5)&gt;0,
              "Iuran dari Lingkungan lain",
              ""))</t>
  </si>
  <si>
    <t>=IF(COUNTIFS(IuranDSSebelumnya!$J$330:$J$772,$K17,IuranDSSebelumnya!$M$330:$M$772,BL$11,IuranDSSebelumnya!$L$330:$L$772,$M$5)&gt;0,
        VLOOKUP(CONCATENATE($K17,"|",BL$11,"|",$M$5),IuranDSSebelumnya!$I$330:$N$772,5,FALSE),
        IF(COUNTIFS(IuranDSSebelumnya!$J$330:$J$772,$K17,IuranDSSebelumnya!$M$330:$M$772,BL$11,IuranDSSebelumnya!$L$330:$L$772,"&lt;&gt;"&amp;$M$5)&gt;0,
              "Iuran dari Lingkungan lain",
              ""))</t>
  </si>
  <si>
    <t>=CELL("row")=CELL("row",C18)</t>
  </si>
  <si>
    <t>="""TRUST Nav"",""HSPMTB2016"",""18"",""1"",""KK-04599"""</t>
  </si>
  <si>
    <t>=IF(AND($AL18=0,$J18=1)=TRUE,0,
        IF(AND($AL18&gt;0,$J18=1)=TRUE,1,
              IF(AND(H17=$H$12,$J18&gt;1)=TRUE,0,
                    IF(AND($AL18=0,$J18&gt;1),H17,
                         H17+1))))</t>
  </si>
  <si>
    <t>=IF(J17="No.",1,J17+1)</t>
  </si>
  <si>
    <t>=SUM(N18:AK18)</t>
  </si>
  <si>
    <t>=IF(COUNTIFS(IuranDSSebelumnya!$J$330:$J$772,$K18,IuranDSSebelumnya!$M$330:$M$772,AO$11,IuranDSSebelumnya!$L$330:$L$772,$M$5)&gt;0,
        VLOOKUP(CONCATENATE($K18,"|",AO$11,"|",$M$5),IuranDSSebelumnya!$I$330:$N$772,5,FALSE),
        IF(COUNTIFS(IuranDSSebelumnya!$J$330:$J$772,$K18,IuranDSSebelumnya!$M$330:$M$772,AO$11,IuranDSSebelumnya!$L$330:$L$772,"&lt;&gt;"&amp;$M$5)&gt;0,
              "Iuran dari Lingkungan lain",
              ""))</t>
  </si>
  <si>
    <t>=IF(COUNTIFS(IuranDSSebelumnya!$J$330:$J$772,$K18,IuranDSSebelumnya!$M$330:$M$772,AP$11,IuranDSSebelumnya!$L$330:$L$772,$M$5)&gt;0,
        VLOOKUP(CONCATENATE($K18,"|",AP$11,"|",$M$5),IuranDSSebelumnya!$I$330:$N$772,5,FALSE),
        IF(COUNTIFS(IuranDSSebelumnya!$J$330:$J$772,$K18,IuranDSSebelumnya!$M$330:$M$772,AP$11,IuranDSSebelumnya!$L$330:$L$772,"&lt;&gt;"&amp;$M$5)&gt;0,
              "Iuran dari Lingkungan lain",
              ""))</t>
  </si>
  <si>
    <t>=IF(COUNTIFS(IuranDSSebelumnya!$J$330:$J$772,$K18,IuranDSSebelumnya!$M$330:$M$772,AQ$11,IuranDSSebelumnya!$L$330:$L$772,$M$5)&gt;0,
        VLOOKUP(CONCATENATE($K18,"|",AQ$11,"|",$M$5),IuranDSSebelumnya!$I$330:$N$772,5,FALSE),
        IF(COUNTIFS(IuranDSSebelumnya!$J$330:$J$772,$K18,IuranDSSebelumnya!$M$330:$M$772,AQ$11,IuranDSSebelumnya!$L$330:$L$772,"&lt;&gt;"&amp;$M$5)&gt;0,
              "Iuran dari Lingkungan lain",
              ""))</t>
  </si>
  <si>
    <t>=IF(COUNTIFS(IuranDSSebelumnya!$J$330:$J$772,$K18,IuranDSSebelumnya!$M$330:$M$772,AR$11,IuranDSSebelumnya!$L$330:$L$772,$M$5)&gt;0,
        VLOOKUP(CONCATENATE($K18,"|",AR$11,"|",$M$5),IuranDSSebelumnya!$I$330:$N$772,5,FALSE),
        IF(COUNTIFS(IuranDSSebelumnya!$J$330:$J$772,$K18,IuranDSSebelumnya!$M$330:$M$772,AR$11,IuranDSSebelumnya!$L$330:$L$772,"&lt;&gt;"&amp;$M$5)&gt;0,
              "Iuran dari Lingkungan lain",
              ""))</t>
  </si>
  <si>
    <t>=IF(COUNTIFS(IuranDSSebelumnya!$J$330:$J$772,$K18,IuranDSSebelumnya!$M$330:$M$772,AS$11,IuranDSSebelumnya!$L$330:$L$772,$M$5)&gt;0,
        VLOOKUP(CONCATENATE($K18,"|",AS$11,"|",$M$5),IuranDSSebelumnya!$I$330:$N$772,5,FALSE),
        IF(COUNTIFS(IuranDSSebelumnya!$J$330:$J$772,$K18,IuranDSSebelumnya!$M$330:$M$772,AS$11,IuranDSSebelumnya!$L$330:$L$772,"&lt;&gt;"&amp;$M$5)&gt;0,
              "Iuran dari Lingkungan lain",
              ""))</t>
  </si>
  <si>
    <t>=IF(COUNTIFS(IuranDSSebelumnya!$J$330:$J$772,$K18,IuranDSSebelumnya!$M$330:$M$772,AT$11,IuranDSSebelumnya!$L$330:$L$772,$M$5)&gt;0,
        VLOOKUP(CONCATENATE($K18,"|",AT$11,"|",$M$5),IuranDSSebelumnya!$I$330:$N$772,5,FALSE),
        IF(COUNTIFS(IuranDSSebelumnya!$J$330:$J$772,$K18,IuranDSSebelumnya!$M$330:$M$772,AT$11,IuranDSSebelumnya!$L$330:$L$772,"&lt;&gt;"&amp;$M$5)&gt;0,
              "Iuran dari Lingkungan lain",
              ""))</t>
  </si>
  <si>
    <t>=IF(COUNTIFS(IuranDSSebelumnya!$J$330:$J$772,$K18,IuranDSSebelumnya!$M$330:$M$772,AU$11,IuranDSSebelumnya!$L$330:$L$772,$M$5)&gt;0,
        VLOOKUP(CONCATENATE($K18,"|",AU$11,"|",$M$5),IuranDSSebelumnya!$I$330:$N$772,5,FALSE),
        IF(COUNTIFS(IuranDSSebelumnya!$J$330:$J$772,$K18,IuranDSSebelumnya!$M$330:$M$772,AU$11,IuranDSSebelumnya!$L$330:$L$772,"&lt;&gt;"&amp;$M$5)&gt;0,
              "Iuran dari Lingkungan lain",
              ""))</t>
  </si>
  <si>
    <t>=IF(COUNTIFS(IuranDSSebelumnya!$J$330:$J$772,$K18,IuranDSSebelumnya!$M$330:$M$772,AV$11,IuranDSSebelumnya!$L$330:$L$772,$M$5)&gt;0,
        VLOOKUP(CONCATENATE($K18,"|",AV$11,"|",$M$5),IuranDSSebelumnya!$I$330:$N$772,5,FALSE),
        IF(COUNTIFS(IuranDSSebelumnya!$J$330:$J$772,$K18,IuranDSSebelumnya!$M$330:$M$772,AV$11,IuranDSSebelumnya!$L$330:$L$772,"&lt;&gt;"&amp;$M$5)&gt;0,
              "Iuran dari Lingkungan lain",
              ""))</t>
  </si>
  <si>
    <t>=IF(COUNTIFS(IuranDSSebelumnya!$J$330:$J$772,$K18,IuranDSSebelumnya!$M$330:$M$772,AW$11,IuranDSSebelumnya!$L$330:$L$772,$M$5)&gt;0,
        VLOOKUP(CONCATENATE($K18,"|",AW$11,"|",$M$5),IuranDSSebelumnya!$I$330:$N$772,5,FALSE),
        IF(COUNTIFS(IuranDSSebelumnya!$J$330:$J$772,$K18,IuranDSSebelumnya!$M$330:$M$772,AW$11,IuranDSSebelumnya!$L$330:$L$772,"&lt;&gt;"&amp;$M$5)&gt;0,
              "Iuran dari Lingkungan lain",
              ""))</t>
  </si>
  <si>
    <t>=IF(COUNTIFS(IuranDSSebelumnya!$J$330:$J$772,$K18,IuranDSSebelumnya!$M$330:$M$772,AX$11,IuranDSSebelumnya!$L$330:$L$772,$M$5)&gt;0,
        VLOOKUP(CONCATENATE($K18,"|",AX$11,"|",$M$5),IuranDSSebelumnya!$I$330:$N$772,5,FALSE),
        IF(COUNTIFS(IuranDSSebelumnya!$J$330:$J$772,$K18,IuranDSSebelumnya!$M$330:$M$772,AX$11,IuranDSSebelumnya!$L$330:$L$772,"&lt;&gt;"&amp;$M$5)&gt;0,
              "Iuran dari Lingkungan lain",
              ""))</t>
  </si>
  <si>
    <t>=IF(COUNTIFS(IuranDSSebelumnya!$J$330:$J$772,$K18,IuranDSSebelumnya!$M$330:$M$772,AY$11,IuranDSSebelumnya!$L$330:$L$772,$M$5)&gt;0,
        VLOOKUP(CONCATENATE($K18,"|",AY$11,"|",$M$5),IuranDSSebelumnya!$I$330:$N$772,5,FALSE),
        IF(COUNTIFS(IuranDSSebelumnya!$J$330:$J$772,$K18,IuranDSSebelumnya!$M$330:$M$772,AY$11,IuranDSSebelumnya!$L$330:$L$772,"&lt;&gt;"&amp;$M$5)&gt;0,
              "Iuran dari Lingkungan lain",
              ""))</t>
  </si>
  <si>
    <t>=IF(COUNTIFS(IuranDSSebelumnya!$J$330:$J$772,$K18,IuranDSSebelumnya!$M$330:$M$772,AZ$11,IuranDSSebelumnya!$L$330:$L$772,$M$5)&gt;0,
        VLOOKUP(CONCATENATE($K18,"|",AZ$11,"|",$M$5),IuranDSSebelumnya!$I$330:$N$772,5,FALSE),
        IF(COUNTIFS(IuranDSSebelumnya!$J$330:$J$772,$K18,IuranDSSebelumnya!$M$330:$M$772,AZ$11,IuranDSSebelumnya!$L$330:$L$772,"&lt;&gt;"&amp;$M$5)&gt;0,
              "Iuran dari Lingkungan lain",
              ""))</t>
  </si>
  <si>
    <t>=IF(COUNTIFS(IuranDSSebelumnya!$J$330:$J$772,$K18,IuranDSSebelumnya!$M$330:$M$772,BA$11,IuranDSSebelumnya!$L$330:$L$772,$M$5)&gt;0,
        VLOOKUP(CONCATENATE($K18,"|",BA$11,"|",$M$5),IuranDSSebelumnya!$I$330:$N$772,5,FALSE),
        IF(COUNTIFS(IuranDSSebelumnya!$J$330:$J$772,$K18,IuranDSSebelumnya!$M$330:$M$772,BA$11,IuranDSSebelumnya!$L$330:$L$772,"&lt;&gt;"&amp;$M$5)&gt;0,
              "Iuran dari Lingkungan lain",
              ""))</t>
  </si>
  <si>
    <t>=IF(COUNTIFS(IuranDSSebelumnya!$J$330:$J$772,$K18,IuranDSSebelumnya!$M$330:$M$772,BB$11,IuranDSSebelumnya!$L$330:$L$772,$M$5)&gt;0,
        VLOOKUP(CONCATENATE($K18,"|",BB$11,"|",$M$5),IuranDSSebelumnya!$I$330:$N$772,5,FALSE),
        IF(COUNTIFS(IuranDSSebelumnya!$J$330:$J$772,$K18,IuranDSSebelumnya!$M$330:$M$772,BB$11,IuranDSSebelumnya!$L$330:$L$772,"&lt;&gt;"&amp;$M$5)&gt;0,
              "Iuran dari Lingkungan lain",
              ""))</t>
  </si>
  <si>
    <t>=IF(COUNTIFS(IuranDSSebelumnya!$J$330:$J$772,$K18,IuranDSSebelumnya!$M$330:$M$772,BC$11,IuranDSSebelumnya!$L$330:$L$772,$M$5)&gt;0,
        VLOOKUP(CONCATENATE($K18,"|",BC$11,"|",$M$5),IuranDSSebelumnya!$I$330:$N$772,5,FALSE),
        IF(COUNTIFS(IuranDSSebelumnya!$J$330:$J$772,$K18,IuranDSSebelumnya!$M$330:$M$772,BC$11,IuranDSSebelumnya!$L$330:$L$772,"&lt;&gt;"&amp;$M$5)&gt;0,
              "Iuran dari Lingkungan lain",
              ""))</t>
  </si>
  <si>
    <t>=IF(COUNTIFS(IuranDSSebelumnya!$J$330:$J$772,$K18,IuranDSSebelumnya!$M$330:$M$772,BD$11,IuranDSSebelumnya!$L$330:$L$772,$M$5)&gt;0,
        VLOOKUP(CONCATENATE($K18,"|",BD$11,"|",$M$5),IuranDSSebelumnya!$I$330:$N$772,5,FALSE),
        IF(COUNTIFS(IuranDSSebelumnya!$J$330:$J$772,$K18,IuranDSSebelumnya!$M$330:$M$772,BD$11,IuranDSSebelumnya!$L$330:$L$772,"&lt;&gt;"&amp;$M$5)&gt;0,
              "Iuran dari Lingkungan lain",
              ""))</t>
  </si>
  <si>
    <t>=IF(COUNTIFS(IuranDSSebelumnya!$J$330:$J$772,$K18,IuranDSSebelumnya!$M$330:$M$772,BE$11,IuranDSSebelumnya!$L$330:$L$772,$M$5)&gt;0,
        VLOOKUP(CONCATENATE($K18,"|",BE$11,"|",$M$5),IuranDSSebelumnya!$I$330:$N$772,5,FALSE),
        IF(COUNTIFS(IuranDSSebelumnya!$J$330:$J$772,$K18,IuranDSSebelumnya!$M$330:$M$772,BE$11,IuranDSSebelumnya!$L$330:$L$772,"&lt;&gt;"&amp;$M$5)&gt;0,
              "Iuran dari Lingkungan lain",
              ""))</t>
  </si>
  <si>
    <t>=IF(COUNTIFS(IuranDSSebelumnya!$J$330:$J$772,$K18,IuranDSSebelumnya!$M$330:$M$772,BF$11,IuranDSSebelumnya!$L$330:$L$772,$M$5)&gt;0,
        VLOOKUP(CONCATENATE($K18,"|",BF$11,"|",$M$5),IuranDSSebelumnya!$I$330:$N$772,5,FALSE),
        IF(COUNTIFS(IuranDSSebelumnya!$J$330:$J$772,$K18,IuranDSSebelumnya!$M$330:$M$772,BF$11,IuranDSSebelumnya!$L$330:$L$772,"&lt;&gt;"&amp;$M$5)&gt;0,
              "Iuran dari Lingkungan lain",
              ""))</t>
  </si>
  <si>
    <t>=IF(COUNTIFS(IuranDSSebelumnya!$J$330:$J$772,$K18,IuranDSSebelumnya!$M$330:$M$772,BG$11,IuranDSSebelumnya!$L$330:$L$772,$M$5)&gt;0,
        VLOOKUP(CONCATENATE($K18,"|",BG$11,"|",$M$5),IuranDSSebelumnya!$I$330:$N$772,5,FALSE),
        IF(COUNTIFS(IuranDSSebelumnya!$J$330:$J$772,$K18,IuranDSSebelumnya!$M$330:$M$772,BG$11,IuranDSSebelumnya!$L$330:$L$772,"&lt;&gt;"&amp;$M$5)&gt;0,
              "Iuran dari Lingkungan lain",
              ""))</t>
  </si>
  <si>
    <t>=IF(COUNTIFS(IuranDSSebelumnya!$J$330:$J$772,$K18,IuranDSSebelumnya!$M$330:$M$772,BH$11,IuranDSSebelumnya!$L$330:$L$772,$M$5)&gt;0,
        VLOOKUP(CONCATENATE($K18,"|",BH$11,"|",$M$5),IuranDSSebelumnya!$I$330:$N$772,5,FALSE),
        IF(COUNTIFS(IuranDSSebelumnya!$J$330:$J$772,$K18,IuranDSSebelumnya!$M$330:$M$772,BH$11,IuranDSSebelumnya!$L$330:$L$772,"&lt;&gt;"&amp;$M$5)&gt;0,
              "Iuran dari Lingkungan lain",
              ""))</t>
  </si>
  <si>
    <t>=IF(COUNTIFS(IuranDSSebelumnya!$J$330:$J$772,$K18,IuranDSSebelumnya!$M$330:$M$772,BI$11,IuranDSSebelumnya!$L$330:$L$772,$M$5)&gt;0,
        VLOOKUP(CONCATENATE($K18,"|",BI$11,"|",$M$5),IuranDSSebelumnya!$I$330:$N$772,5,FALSE),
        IF(COUNTIFS(IuranDSSebelumnya!$J$330:$J$772,$K18,IuranDSSebelumnya!$M$330:$M$772,BI$11,IuranDSSebelumnya!$L$330:$L$772,"&lt;&gt;"&amp;$M$5)&gt;0,
              "Iuran dari Lingkungan lain",
              ""))</t>
  </si>
  <si>
    <t>=IF(COUNTIFS(IuranDSSebelumnya!$J$330:$J$772,$K18,IuranDSSebelumnya!$M$330:$M$772,BJ$11,IuranDSSebelumnya!$L$330:$L$772,$M$5)&gt;0,
        VLOOKUP(CONCATENATE($K18,"|",BJ$11,"|",$M$5),IuranDSSebelumnya!$I$330:$N$772,5,FALSE),
        IF(COUNTIFS(IuranDSSebelumnya!$J$330:$J$772,$K18,IuranDSSebelumnya!$M$330:$M$772,BJ$11,IuranDSSebelumnya!$L$330:$L$772,"&lt;&gt;"&amp;$M$5)&gt;0,
              "Iuran dari Lingkungan lain",
              ""))</t>
  </si>
  <si>
    <t>=IF(COUNTIFS(IuranDSSebelumnya!$J$330:$J$772,$K18,IuranDSSebelumnya!$M$330:$M$772,BK$11,IuranDSSebelumnya!$L$330:$L$772,$M$5)&gt;0,
        VLOOKUP(CONCATENATE($K18,"|",BK$11,"|",$M$5),IuranDSSebelumnya!$I$330:$N$772,5,FALSE),
        IF(COUNTIFS(IuranDSSebelumnya!$J$330:$J$772,$K18,IuranDSSebelumnya!$M$330:$M$772,BK$11,IuranDSSebelumnya!$L$330:$L$772,"&lt;&gt;"&amp;$M$5)&gt;0,
              "Iuran dari Lingkungan lain",
              ""))</t>
  </si>
  <si>
    <t>=IF(COUNTIFS(IuranDSSebelumnya!$J$330:$J$772,$K18,IuranDSSebelumnya!$M$330:$M$772,BL$11,IuranDSSebelumnya!$L$330:$L$772,$M$5)&gt;0,
        VLOOKUP(CONCATENATE($K18,"|",BL$11,"|",$M$5),IuranDSSebelumnya!$I$330:$N$772,5,FALSE),
        IF(COUNTIFS(IuranDSSebelumnya!$J$330:$J$772,$K18,IuranDSSebelumnya!$M$330:$M$772,BL$11,IuranDSSebelumnya!$L$330:$L$772,"&lt;&gt;"&amp;$M$5)&gt;0,
              "Iuran dari Lingkungan lain",
              ""))</t>
  </si>
  <si>
    <t>=CELL("row")=CELL("row",C19)</t>
  </si>
  <si>
    <t>="""TRUST Nav"",""HSPMTB2016"",""18"",""1"",""KK-04600"""</t>
  </si>
  <si>
    <t>=IF(AND($AL19=0,$J19=1)=TRUE,0,
        IF(AND($AL19&gt;0,$J19=1)=TRUE,1,
              IF(AND(H18=$H$12,$J19&gt;1)=TRUE,0,
                    IF(AND($AL19=0,$J19&gt;1),H18,
                         H18+1))))</t>
  </si>
  <si>
    <t>=IF(J18="No.",1,J18+1)</t>
  </si>
  <si>
    <t>=SUM(N19:AK19)</t>
  </si>
  <si>
    <t>=IF(COUNTIFS(IuranDSSebelumnya!$J$330:$J$772,$K19,IuranDSSebelumnya!$M$330:$M$772,AO$11,IuranDSSebelumnya!$L$330:$L$772,$M$5)&gt;0,
        VLOOKUP(CONCATENATE($K19,"|",AO$11,"|",$M$5),IuranDSSebelumnya!$I$330:$N$772,5,FALSE),
        IF(COUNTIFS(IuranDSSebelumnya!$J$330:$J$772,$K19,IuranDSSebelumnya!$M$330:$M$772,AO$11,IuranDSSebelumnya!$L$330:$L$772,"&lt;&gt;"&amp;$M$5)&gt;0,
              "Iuran dari Lingkungan lain",
              ""))</t>
  </si>
  <si>
    <t>=IF(COUNTIFS(IuranDSSebelumnya!$J$330:$J$772,$K19,IuranDSSebelumnya!$M$330:$M$772,AP$11,IuranDSSebelumnya!$L$330:$L$772,$M$5)&gt;0,
        VLOOKUP(CONCATENATE($K19,"|",AP$11,"|",$M$5),IuranDSSebelumnya!$I$330:$N$772,5,FALSE),
        IF(COUNTIFS(IuranDSSebelumnya!$J$330:$J$772,$K19,IuranDSSebelumnya!$M$330:$M$772,AP$11,IuranDSSebelumnya!$L$330:$L$772,"&lt;&gt;"&amp;$M$5)&gt;0,
              "Iuran dari Lingkungan lain",
              ""))</t>
  </si>
  <si>
    <t>=IF(COUNTIFS(IuranDSSebelumnya!$J$330:$J$772,$K19,IuranDSSebelumnya!$M$330:$M$772,AQ$11,IuranDSSebelumnya!$L$330:$L$772,$M$5)&gt;0,
        VLOOKUP(CONCATENATE($K19,"|",AQ$11,"|",$M$5),IuranDSSebelumnya!$I$330:$N$772,5,FALSE),
        IF(COUNTIFS(IuranDSSebelumnya!$J$330:$J$772,$K19,IuranDSSebelumnya!$M$330:$M$772,AQ$11,IuranDSSebelumnya!$L$330:$L$772,"&lt;&gt;"&amp;$M$5)&gt;0,
              "Iuran dari Lingkungan lain",
              ""))</t>
  </si>
  <si>
    <t>=IF(COUNTIFS(IuranDSSebelumnya!$J$330:$J$772,$K19,IuranDSSebelumnya!$M$330:$M$772,AR$11,IuranDSSebelumnya!$L$330:$L$772,$M$5)&gt;0,
        VLOOKUP(CONCATENATE($K19,"|",AR$11,"|",$M$5),IuranDSSebelumnya!$I$330:$N$772,5,FALSE),
        IF(COUNTIFS(IuranDSSebelumnya!$J$330:$J$772,$K19,IuranDSSebelumnya!$M$330:$M$772,AR$11,IuranDSSebelumnya!$L$330:$L$772,"&lt;&gt;"&amp;$M$5)&gt;0,
              "Iuran dari Lingkungan lain",
              ""))</t>
  </si>
  <si>
    <t>=IF(COUNTIFS(IuranDSSebelumnya!$J$330:$J$772,$K19,IuranDSSebelumnya!$M$330:$M$772,AS$11,IuranDSSebelumnya!$L$330:$L$772,$M$5)&gt;0,
        VLOOKUP(CONCATENATE($K19,"|",AS$11,"|",$M$5),IuranDSSebelumnya!$I$330:$N$772,5,FALSE),
        IF(COUNTIFS(IuranDSSebelumnya!$J$330:$J$772,$K19,IuranDSSebelumnya!$M$330:$M$772,AS$11,IuranDSSebelumnya!$L$330:$L$772,"&lt;&gt;"&amp;$M$5)&gt;0,
              "Iuran dari Lingkungan lain",
              ""))</t>
  </si>
  <si>
    <t>=IF(COUNTIFS(IuranDSSebelumnya!$J$330:$J$772,$K19,IuranDSSebelumnya!$M$330:$M$772,AT$11,IuranDSSebelumnya!$L$330:$L$772,$M$5)&gt;0,
        VLOOKUP(CONCATENATE($K19,"|",AT$11,"|",$M$5),IuranDSSebelumnya!$I$330:$N$772,5,FALSE),
        IF(COUNTIFS(IuranDSSebelumnya!$J$330:$J$772,$K19,IuranDSSebelumnya!$M$330:$M$772,AT$11,IuranDSSebelumnya!$L$330:$L$772,"&lt;&gt;"&amp;$M$5)&gt;0,
              "Iuran dari Lingkungan lain",
              ""))</t>
  </si>
  <si>
    <t>=IF(COUNTIFS(IuranDSSebelumnya!$J$330:$J$772,$K19,IuranDSSebelumnya!$M$330:$M$772,AU$11,IuranDSSebelumnya!$L$330:$L$772,$M$5)&gt;0,
        VLOOKUP(CONCATENATE($K19,"|",AU$11,"|",$M$5),IuranDSSebelumnya!$I$330:$N$772,5,FALSE),
        IF(COUNTIFS(IuranDSSebelumnya!$J$330:$J$772,$K19,IuranDSSebelumnya!$M$330:$M$772,AU$11,IuranDSSebelumnya!$L$330:$L$772,"&lt;&gt;"&amp;$M$5)&gt;0,
              "Iuran dari Lingkungan lain",
              ""))</t>
  </si>
  <si>
    <t>=IF(COUNTIFS(IuranDSSebelumnya!$J$330:$J$772,$K19,IuranDSSebelumnya!$M$330:$M$772,AV$11,IuranDSSebelumnya!$L$330:$L$772,$M$5)&gt;0,
        VLOOKUP(CONCATENATE($K19,"|",AV$11,"|",$M$5),IuranDSSebelumnya!$I$330:$N$772,5,FALSE),
        IF(COUNTIFS(IuranDSSebelumnya!$J$330:$J$772,$K19,IuranDSSebelumnya!$M$330:$M$772,AV$11,IuranDSSebelumnya!$L$330:$L$772,"&lt;&gt;"&amp;$M$5)&gt;0,
              "Iuran dari Lingkungan lain",
              ""))</t>
  </si>
  <si>
    <t>=IF(COUNTIFS(IuranDSSebelumnya!$J$330:$J$772,$K19,IuranDSSebelumnya!$M$330:$M$772,AW$11,IuranDSSebelumnya!$L$330:$L$772,$M$5)&gt;0,
        VLOOKUP(CONCATENATE($K19,"|",AW$11,"|",$M$5),IuranDSSebelumnya!$I$330:$N$772,5,FALSE),
        IF(COUNTIFS(IuranDSSebelumnya!$J$330:$J$772,$K19,IuranDSSebelumnya!$M$330:$M$772,AW$11,IuranDSSebelumnya!$L$330:$L$772,"&lt;&gt;"&amp;$M$5)&gt;0,
              "Iuran dari Lingkungan lain",
              ""))</t>
  </si>
  <si>
    <t>=IF(COUNTIFS(IuranDSSebelumnya!$J$330:$J$772,$K19,IuranDSSebelumnya!$M$330:$M$772,AX$11,IuranDSSebelumnya!$L$330:$L$772,$M$5)&gt;0,
        VLOOKUP(CONCATENATE($K19,"|",AX$11,"|",$M$5),IuranDSSebelumnya!$I$330:$N$772,5,FALSE),
        IF(COUNTIFS(IuranDSSebelumnya!$J$330:$J$772,$K19,IuranDSSebelumnya!$M$330:$M$772,AX$11,IuranDSSebelumnya!$L$330:$L$772,"&lt;&gt;"&amp;$M$5)&gt;0,
              "Iuran dari Lingkungan lain",
              ""))</t>
  </si>
  <si>
    <t>=IF(COUNTIFS(IuranDSSebelumnya!$J$330:$J$772,$K19,IuranDSSebelumnya!$M$330:$M$772,AY$11,IuranDSSebelumnya!$L$330:$L$772,$M$5)&gt;0,
        VLOOKUP(CONCATENATE($K19,"|",AY$11,"|",$M$5),IuranDSSebelumnya!$I$330:$N$772,5,FALSE),
        IF(COUNTIFS(IuranDSSebelumnya!$J$330:$J$772,$K19,IuranDSSebelumnya!$M$330:$M$772,AY$11,IuranDSSebelumnya!$L$330:$L$772,"&lt;&gt;"&amp;$M$5)&gt;0,
              "Iuran dari Lingkungan lain",
              ""))</t>
  </si>
  <si>
    <t>=IF(COUNTIFS(IuranDSSebelumnya!$J$330:$J$772,$K19,IuranDSSebelumnya!$M$330:$M$772,AZ$11,IuranDSSebelumnya!$L$330:$L$772,$M$5)&gt;0,
        VLOOKUP(CONCATENATE($K19,"|",AZ$11,"|",$M$5),IuranDSSebelumnya!$I$330:$N$772,5,FALSE),
        IF(COUNTIFS(IuranDSSebelumnya!$J$330:$J$772,$K19,IuranDSSebelumnya!$M$330:$M$772,AZ$11,IuranDSSebelumnya!$L$330:$L$772,"&lt;&gt;"&amp;$M$5)&gt;0,
              "Iuran dari Lingkungan lain",
              ""))</t>
  </si>
  <si>
    <t>=IF(COUNTIFS(IuranDSSebelumnya!$J$330:$J$772,$K19,IuranDSSebelumnya!$M$330:$M$772,BA$11,IuranDSSebelumnya!$L$330:$L$772,$M$5)&gt;0,
        VLOOKUP(CONCATENATE($K19,"|",BA$11,"|",$M$5),IuranDSSebelumnya!$I$330:$N$772,5,FALSE),
        IF(COUNTIFS(IuranDSSebelumnya!$J$330:$J$772,$K19,IuranDSSebelumnya!$M$330:$M$772,BA$11,IuranDSSebelumnya!$L$330:$L$772,"&lt;&gt;"&amp;$M$5)&gt;0,
              "Iuran dari Lingkungan lain",
              ""))</t>
  </si>
  <si>
    <t>=IF(COUNTIFS(IuranDSSebelumnya!$J$330:$J$772,$K19,IuranDSSebelumnya!$M$330:$M$772,BB$11,IuranDSSebelumnya!$L$330:$L$772,$M$5)&gt;0,
        VLOOKUP(CONCATENATE($K19,"|",BB$11,"|",$M$5),IuranDSSebelumnya!$I$330:$N$772,5,FALSE),
        IF(COUNTIFS(IuranDSSebelumnya!$J$330:$J$772,$K19,IuranDSSebelumnya!$M$330:$M$772,BB$11,IuranDSSebelumnya!$L$330:$L$772,"&lt;&gt;"&amp;$M$5)&gt;0,
              "Iuran dari Lingkungan lain",
              ""))</t>
  </si>
  <si>
    <t>=IF(COUNTIFS(IuranDSSebelumnya!$J$330:$J$772,$K19,IuranDSSebelumnya!$M$330:$M$772,BC$11,IuranDSSebelumnya!$L$330:$L$772,$M$5)&gt;0,
        VLOOKUP(CONCATENATE($K19,"|",BC$11,"|",$M$5),IuranDSSebelumnya!$I$330:$N$772,5,FALSE),
        IF(COUNTIFS(IuranDSSebelumnya!$J$330:$J$772,$K19,IuranDSSebelumnya!$M$330:$M$772,BC$11,IuranDSSebelumnya!$L$330:$L$772,"&lt;&gt;"&amp;$M$5)&gt;0,
              "Iuran dari Lingkungan lain",
              ""))</t>
  </si>
  <si>
    <t>=IF(COUNTIFS(IuranDSSebelumnya!$J$330:$J$772,$K19,IuranDSSebelumnya!$M$330:$M$772,BD$11,IuranDSSebelumnya!$L$330:$L$772,$M$5)&gt;0,
        VLOOKUP(CONCATENATE($K19,"|",BD$11,"|",$M$5),IuranDSSebelumnya!$I$330:$N$772,5,FALSE),
        IF(COUNTIFS(IuranDSSebelumnya!$J$330:$J$772,$K19,IuranDSSebelumnya!$M$330:$M$772,BD$11,IuranDSSebelumnya!$L$330:$L$772,"&lt;&gt;"&amp;$M$5)&gt;0,
              "Iuran dari Lingkungan lain",
              ""))</t>
  </si>
  <si>
    <t>=IF(COUNTIFS(IuranDSSebelumnya!$J$330:$J$772,$K19,IuranDSSebelumnya!$M$330:$M$772,BE$11,IuranDSSebelumnya!$L$330:$L$772,$M$5)&gt;0,
        VLOOKUP(CONCATENATE($K19,"|",BE$11,"|",$M$5),IuranDSSebelumnya!$I$330:$N$772,5,FALSE),
        IF(COUNTIFS(IuranDSSebelumnya!$J$330:$J$772,$K19,IuranDSSebelumnya!$M$330:$M$772,BE$11,IuranDSSebelumnya!$L$330:$L$772,"&lt;&gt;"&amp;$M$5)&gt;0,
              "Iuran dari Lingkungan lain",
              ""))</t>
  </si>
  <si>
    <t>=IF(COUNTIFS(IuranDSSebelumnya!$J$330:$J$772,$K19,IuranDSSebelumnya!$M$330:$M$772,BF$11,IuranDSSebelumnya!$L$330:$L$772,$M$5)&gt;0,
        VLOOKUP(CONCATENATE($K19,"|",BF$11,"|",$M$5),IuranDSSebelumnya!$I$330:$N$772,5,FALSE),
        IF(COUNTIFS(IuranDSSebelumnya!$J$330:$J$772,$K19,IuranDSSebelumnya!$M$330:$M$772,BF$11,IuranDSSebelumnya!$L$330:$L$772,"&lt;&gt;"&amp;$M$5)&gt;0,
              "Iuran dari Lingkungan lain",
              ""))</t>
  </si>
  <si>
    <t>=IF(COUNTIFS(IuranDSSebelumnya!$J$330:$J$772,$K19,IuranDSSebelumnya!$M$330:$M$772,BG$11,IuranDSSebelumnya!$L$330:$L$772,$M$5)&gt;0,
        VLOOKUP(CONCATENATE($K19,"|",BG$11,"|",$M$5),IuranDSSebelumnya!$I$330:$N$772,5,FALSE),
        IF(COUNTIFS(IuranDSSebelumnya!$J$330:$J$772,$K19,IuranDSSebelumnya!$M$330:$M$772,BG$11,IuranDSSebelumnya!$L$330:$L$772,"&lt;&gt;"&amp;$M$5)&gt;0,
              "Iuran dari Lingkungan lain",
              ""))</t>
  </si>
  <si>
    <t>=IF(COUNTIFS(IuranDSSebelumnya!$J$330:$J$772,$K19,IuranDSSebelumnya!$M$330:$M$772,BH$11,IuranDSSebelumnya!$L$330:$L$772,$M$5)&gt;0,
        VLOOKUP(CONCATENATE($K19,"|",BH$11,"|",$M$5),IuranDSSebelumnya!$I$330:$N$772,5,FALSE),
        IF(COUNTIFS(IuranDSSebelumnya!$J$330:$J$772,$K19,IuranDSSebelumnya!$M$330:$M$772,BH$11,IuranDSSebelumnya!$L$330:$L$772,"&lt;&gt;"&amp;$M$5)&gt;0,
              "Iuran dari Lingkungan lain",
              ""))</t>
  </si>
  <si>
    <t>=IF(COUNTIFS(IuranDSSebelumnya!$J$330:$J$772,$K19,IuranDSSebelumnya!$M$330:$M$772,BI$11,IuranDSSebelumnya!$L$330:$L$772,$M$5)&gt;0,
        VLOOKUP(CONCATENATE($K19,"|",BI$11,"|",$M$5),IuranDSSebelumnya!$I$330:$N$772,5,FALSE),
        IF(COUNTIFS(IuranDSSebelumnya!$J$330:$J$772,$K19,IuranDSSebelumnya!$M$330:$M$772,BI$11,IuranDSSebelumnya!$L$330:$L$772,"&lt;&gt;"&amp;$M$5)&gt;0,
              "Iuran dari Lingkungan lain",
              ""))</t>
  </si>
  <si>
    <t>=IF(COUNTIFS(IuranDSSebelumnya!$J$330:$J$772,$K19,IuranDSSebelumnya!$M$330:$M$772,BJ$11,IuranDSSebelumnya!$L$330:$L$772,$M$5)&gt;0,
        VLOOKUP(CONCATENATE($K19,"|",BJ$11,"|",$M$5),IuranDSSebelumnya!$I$330:$N$772,5,FALSE),
        IF(COUNTIFS(IuranDSSebelumnya!$J$330:$J$772,$K19,IuranDSSebelumnya!$M$330:$M$772,BJ$11,IuranDSSebelumnya!$L$330:$L$772,"&lt;&gt;"&amp;$M$5)&gt;0,
              "Iuran dari Lingkungan lain",
              ""))</t>
  </si>
  <si>
    <t>=IF(COUNTIFS(IuranDSSebelumnya!$J$330:$J$772,$K19,IuranDSSebelumnya!$M$330:$M$772,BK$11,IuranDSSebelumnya!$L$330:$L$772,$M$5)&gt;0,
        VLOOKUP(CONCATENATE($K19,"|",BK$11,"|",$M$5),IuranDSSebelumnya!$I$330:$N$772,5,FALSE),
        IF(COUNTIFS(IuranDSSebelumnya!$J$330:$J$772,$K19,IuranDSSebelumnya!$M$330:$M$772,BK$11,IuranDSSebelumnya!$L$330:$L$772,"&lt;&gt;"&amp;$M$5)&gt;0,
              "Iuran dari Lingkungan lain",
              ""))</t>
  </si>
  <si>
    <t>=IF(COUNTIFS(IuranDSSebelumnya!$J$330:$J$772,$K19,IuranDSSebelumnya!$M$330:$M$772,BL$11,IuranDSSebelumnya!$L$330:$L$772,$M$5)&gt;0,
        VLOOKUP(CONCATENATE($K19,"|",BL$11,"|",$M$5),IuranDSSebelumnya!$I$330:$N$772,5,FALSE),
        IF(COUNTIFS(IuranDSSebelumnya!$J$330:$J$772,$K19,IuranDSSebelumnya!$M$330:$M$772,BL$11,IuranDSSebelumnya!$L$330:$L$772,"&lt;&gt;"&amp;$M$5)&gt;0,
              "Iuran dari Lingkungan lain",
              ""))</t>
  </si>
  <si>
    <t>=CELL("row")=CELL("row",C20)</t>
  </si>
  <si>
    <t>="""TRUST Nav"",""HSPMTB2016"",""18"",""1"",""KK-04601"""</t>
  </si>
  <si>
    <t>=IF(AND($AL20=0,$J20=1)=TRUE,0,
        IF(AND($AL20&gt;0,$J20=1)=TRUE,1,
              IF(AND(H19=$H$12,$J20&gt;1)=TRUE,0,
                    IF(AND($AL20=0,$J20&gt;1),H19,
                         H19+1))))</t>
  </si>
  <si>
    <t>=IF(J19="No.",1,J19+1)</t>
  </si>
  <si>
    <t>=SUM(N20:AK20)</t>
  </si>
  <si>
    <t>=IF(COUNTIFS(IuranDSSebelumnya!$J$330:$J$772,$K20,IuranDSSebelumnya!$M$330:$M$772,AO$11,IuranDSSebelumnya!$L$330:$L$772,$M$5)&gt;0,
        VLOOKUP(CONCATENATE($K20,"|",AO$11,"|",$M$5),IuranDSSebelumnya!$I$330:$N$772,5,FALSE),
        IF(COUNTIFS(IuranDSSebelumnya!$J$330:$J$772,$K20,IuranDSSebelumnya!$M$330:$M$772,AO$11,IuranDSSebelumnya!$L$330:$L$772,"&lt;&gt;"&amp;$M$5)&gt;0,
              "Iuran dari Lingkungan lain",
              ""))</t>
  </si>
  <si>
    <t>=IF(COUNTIFS(IuranDSSebelumnya!$J$330:$J$772,$K20,IuranDSSebelumnya!$M$330:$M$772,AP$11,IuranDSSebelumnya!$L$330:$L$772,$M$5)&gt;0,
        VLOOKUP(CONCATENATE($K20,"|",AP$11,"|",$M$5),IuranDSSebelumnya!$I$330:$N$772,5,FALSE),
        IF(COUNTIFS(IuranDSSebelumnya!$J$330:$J$772,$K20,IuranDSSebelumnya!$M$330:$M$772,AP$11,IuranDSSebelumnya!$L$330:$L$772,"&lt;&gt;"&amp;$M$5)&gt;0,
              "Iuran dari Lingkungan lain",
              ""))</t>
  </si>
  <si>
    <t>=IF(COUNTIFS(IuranDSSebelumnya!$J$330:$J$772,$K20,IuranDSSebelumnya!$M$330:$M$772,AQ$11,IuranDSSebelumnya!$L$330:$L$772,$M$5)&gt;0,
        VLOOKUP(CONCATENATE($K20,"|",AQ$11,"|",$M$5),IuranDSSebelumnya!$I$330:$N$772,5,FALSE),
        IF(COUNTIFS(IuranDSSebelumnya!$J$330:$J$772,$K20,IuranDSSebelumnya!$M$330:$M$772,AQ$11,IuranDSSebelumnya!$L$330:$L$772,"&lt;&gt;"&amp;$M$5)&gt;0,
              "Iuran dari Lingkungan lain",
              ""))</t>
  </si>
  <si>
    <t>=IF(COUNTIFS(IuranDSSebelumnya!$J$330:$J$772,$K20,IuranDSSebelumnya!$M$330:$M$772,AR$11,IuranDSSebelumnya!$L$330:$L$772,$M$5)&gt;0,
        VLOOKUP(CONCATENATE($K20,"|",AR$11,"|",$M$5),IuranDSSebelumnya!$I$330:$N$772,5,FALSE),
        IF(COUNTIFS(IuranDSSebelumnya!$J$330:$J$772,$K20,IuranDSSebelumnya!$M$330:$M$772,AR$11,IuranDSSebelumnya!$L$330:$L$772,"&lt;&gt;"&amp;$M$5)&gt;0,
              "Iuran dari Lingkungan lain",
              ""))</t>
  </si>
  <si>
    <t>=IF(COUNTIFS(IuranDSSebelumnya!$J$330:$J$772,$K20,IuranDSSebelumnya!$M$330:$M$772,AS$11,IuranDSSebelumnya!$L$330:$L$772,$M$5)&gt;0,
        VLOOKUP(CONCATENATE($K20,"|",AS$11,"|",$M$5),IuranDSSebelumnya!$I$330:$N$772,5,FALSE),
        IF(COUNTIFS(IuranDSSebelumnya!$J$330:$J$772,$K20,IuranDSSebelumnya!$M$330:$M$772,AS$11,IuranDSSebelumnya!$L$330:$L$772,"&lt;&gt;"&amp;$M$5)&gt;0,
              "Iuran dari Lingkungan lain",
              ""))</t>
  </si>
  <si>
    <t>=IF(COUNTIFS(IuranDSSebelumnya!$J$330:$J$772,$K20,IuranDSSebelumnya!$M$330:$M$772,AT$11,IuranDSSebelumnya!$L$330:$L$772,$M$5)&gt;0,
        VLOOKUP(CONCATENATE($K20,"|",AT$11,"|",$M$5),IuranDSSebelumnya!$I$330:$N$772,5,FALSE),
        IF(COUNTIFS(IuranDSSebelumnya!$J$330:$J$772,$K20,IuranDSSebelumnya!$M$330:$M$772,AT$11,IuranDSSebelumnya!$L$330:$L$772,"&lt;&gt;"&amp;$M$5)&gt;0,
              "Iuran dari Lingkungan lain",
              ""))</t>
  </si>
  <si>
    <t>=IF(COUNTIFS(IuranDSSebelumnya!$J$330:$J$772,$K20,IuranDSSebelumnya!$M$330:$M$772,AU$11,IuranDSSebelumnya!$L$330:$L$772,$M$5)&gt;0,
        VLOOKUP(CONCATENATE($K20,"|",AU$11,"|",$M$5),IuranDSSebelumnya!$I$330:$N$772,5,FALSE),
        IF(COUNTIFS(IuranDSSebelumnya!$J$330:$J$772,$K20,IuranDSSebelumnya!$M$330:$M$772,AU$11,IuranDSSebelumnya!$L$330:$L$772,"&lt;&gt;"&amp;$M$5)&gt;0,
              "Iuran dari Lingkungan lain",
              ""))</t>
  </si>
  <si>
    <t>=IF(COUNTIFS(IuranDSSebelumnya!$J$330:$J$772,$K20,IuranDSSebelumnya!$M$330:$M$772,AV$11,IuranDSSebelumnya!$L$330:$L$772,$M$5)&gt;0,
        VLOOKUP(CONCATENATE($K20,"|",AV$11,"|",$M$5),IuranDSSebelumnya!$I$330:$N$772,5,FALSE),
        IF(COUNTIFS(IuranDSSebelumnya!$J$330:$J$772,$K20,IuranDSSebelumnya!$M$330:$M$772,AV$11,IuranDSSebelumnya!$L$330:$L$772,"&lt;&gt;"&amp;$M$5)&gt;0,
              "Iuran dari Lingkungan lain",
              ""))</t>
  </si>
  <si>
    <t>=IF(COUNTIFS(IuranDSSebelumnya!$J$330:$J$772,$K20,IuranDSSebelumnya!$M$330:$M$772,AW$11,IuranDSSebelumnya!$L$330:$L$772,$M$5)&gt;0,
        VLOOKUP(CONCATENATE($K20,"|",AW$11,"|",$M$5),IuranDSSebelumnya!$I$330:$N$772,5,FALSE),
        IF(COUNTIFS(IuranDSSebelumnya!$J$330:$J$772,$K20,IuranDSSebelumnya!$M$330:$M$772,AW$11,IuranDSSebelumnya!$L$330:$L$772,"&lt;&gt;"&amp;$M$5)&gt;0,
              "Iuran dari Lingkungan lain",
              ""))</t>
  </si>
  <si>
    <t>=IF(COUNTIFS(IuranDSSebelumnya!$J$330:$J$772,$K20,IuranDSSebelumnya!$M$330:$M$772,AX$11,IuranDSSebelumnya!$L$330:$L$772,$M$5)&gt;0,
        VLOOKUP(CONCATENATE($K20,"|",AX$11,"|",$M$5),IuranDSSebelumnya!$I$330:$N$772,5,FALSE),
        IF(COUNTIFS(IuranDSSebelumnya!$J$330:$J$772,$K20,IuranDSSebelumnya!$M$330:$M$772,AX$11,IuranDSSebelumnya!$L$330:$L$772,"&lt;&gt;"&amp;$M$5)&gt;0,
              "Iuran dari Lingkungan lain",
              ""))</t>
  </si>
  <si>
    <t>=IF(COUNTIFS(IuranDSSebelumnya!$J$330:$J$772,$K20,IuranDSSebelumnya!$M$330:$M$772,AY$11,IuranDSSebelumnya!$L$330:$L$772,$M$5)&gt;0,
        VLOOKUP(CONCATENATE($K20,"|",AY$11,"|",$M$5),IuranDSSebelumnya!$I$330:$N$772,5,FALSE),
        IF(COUNTIFS(IuranDSSebelumnya!$J$330:$J$772,$K20,IuranDSSebelumnya!$M$330:$M$772,AY$11,IuranDSSebelumnya!$L$330:$L$772,"&lt;&gt;"&amp;$M$5)&gt;0,
              "Iuran dari Lingkungan lain",
              ""))</t>
  </si>
  <si>
    <t>=IF(COUNTIFS(IuranDSSebelumnya!$J$330:$J$772,$K20,IuranDSSebelumnya!$M$330:$M$772,AZ$11,IuranDSSebelumnya!$L$330:$L$772,$M$5)&gt;0,
        VLOOKUP(CONCATENATE($K20,"|",AZ$11,"|",$M$5),IuranDSSebelumnya!$I$330:$N$772,5,FALSE),
        IF(COUNTIFS(IuranDSSebelumnya!$J$330:$J$772,$K20,IuranDSSebelumnya!$M$330:$M$772,AZ$11,IuranDSSebelumnya!$L$330:$L$772,"&lt;&gt;"&amp;$M$5)&gt;0,
              "Iuran dari Lingkungan lain",
              ""))</t>
  </si>
  <si>
    <t>=IF(COUNTIFS(IuranDSSebelumnya!$J$330:$J$772,$K20,IuranDSSebelumnya!$M$330:$M$772,BA$11,IuranDSSebelumnya!$L$330:$L$772,$M$5)&gt;0,
        VLOOKUP(CONCATENATE($K20,"|",BA$11,"|",$M$5),IuranDSSebelumnya!$I$330:$N$772,5,FALSE),
        IF(COUNTIFS(IuranDSSebelumnya!$J$330:$J$772,$K20,IuranDSSebelumnya!$M$330:$M$772,BA$11,IuranDSSebelumnya!$L$330:$L$772,"&lt;&gt;"&amp;$M$5)&gt;0,
              "Iuran dari Lingkungan lain",
              ""))</t>
  </si>
  <si>
    <t>=IF(COUNTIFS(IuranDSSebelumnya!$J$330:$J$772,$K20,IuranDSSebelumnya!$M$330:$M$772,BB$11,IuranDSSebelumnya!$L$330:$L$772,$M$5)&gt;0,
        VLOOKUP(CONCATENATE($K20,"|",BB$11,"|",$M$5),IuranDSSebelumnya!$I$330:$N$772,5,FALSE),
        IF(COUNTIFS(IuranDSSebelumnya!$J$330:$J$772,$K20,IuranDSSebelumnya!$M$330:$M$772,BB$11,IuranDSSebelumnya!$L$330:$L$772,"&lt;&gt;"&amp;$M$5)&gt;0,
              "Iuran dari Lingkungan lain",
              ""))</t>
  </si>
  <si>
    <t>=IF(COUNTIFS(IuranDSSebelumnya!$J$330:$J$772,$K20,IuranDSSebelumnya!$M$330:$M$772,BC$11,IuranDSSebelumnya!$L$330:$L$772,$M$5)&gt;0,
        VLOOKUP(CONCATENATE($K20,"|",BC$11,"|",$M$5),IuranDSSebelumnya!$I$330:$N$772,5,FALSE),
        IF(COUNTIFS(IuranDSSebelumnya!$J$330:$J$772,$K20,IuranDSSebelumnya!$M$330:$M$772,BC$11,IuranDSSebelumnya!$L$330:$L$772,"&lt;&gt;"&amp;$M$5)&gt;0,
              "Iuran dari Lingkungan lain",
              ""))</t>
  </si>
  <si>
    <t>=IF(COUNTIFS(IuranDSSebelumnya!$J$330:$J$772,$K20,IuranDSSebelumnya!$M$330:$M$772,BD$11,IuranDSSebelumnya!$L$330:$L$772,$M$5)&gt;0,
        VLOOKUP(CONCATENATE($K20,"|",BD$11,"|",$M$5),IuranDSSebelumnya!$I$330:$N$772,5,FALSE),
        IF(COUNTIFS(IuranDSSebelumnya!$J$330:$J$772,$K20,IuranDSSebelumnya!$M$330:$M$772,BD$11,IuranDSSebelumnya!$L$330:$L$772,"&lt;&gt;"&amp;$M$5)&gt;0,
              "Iuran dari Lingkungan lain",
              ""))</t>
  </si>
  <si>
    <t>=IF(COUNTIFS(IuranDSSebelumnya!$J$330:$J$772,$K20,IuranDSSebelumnya!$M$330:$M$772,BE$11,IuranDSSebelumnya!$L$330:$L$772,$M$5)&gt;0,
        VLOOKUP(CONCATENATE($K20,"|",BE$11,"|",$M$5),IuranDSSebelumnya!$I$330:$N$772,5,FALSE),
        IF(COUNTIFS(IuranDSSebelumnya!$J$330:$J$772,$K20,IuranDSSebelumnya!$M$330:$M$772,BE$11,IuranDSSebelumnya!$L$330:$L$772,"&lt;&gt;"&amp;$M$5)&gt;0,
              "Iuran dari Lingkungan lain",
              ""))</t>
  </si>
  <si>
    <t>=IF(COUNTIFS(IuranDSSebelumnya!$J$330:$J$772,$K20,IuranDSSebelumnya!$M$330:$M$772,BF$11,IuranDSSebelumnya!$L$330:$L$772,$M$5)&gt;0,
        VLOOKUP(CONCATENATE($K20,"|",BF$11,"|",$M$5),IuranDSSebelumnya!$I$330:$N$772,5,FALSE),
        IF(COUNTIFS(IuranDSSebelumnya!$J$330:$J$772,$K20,IuranDSSebelumnya!$M$330:$M$772,BF$11,IuranDSSebelumnya!$L$330:$L$772,"&lt;&gt;"&amp;$M$5)&gt;0,
              "Iuran dari Lingkungan lain",
              ""))</t>
  </si>
  <si>
    <t>=IF(COUNTIFS(IuranDSSebelumnya!$J$330:$J$772,$K20,IuranDSSebelumnya!$M$330:$M$772,BG$11,IuranDSSebelumnya!$L$330:$L$772,$M$5)&gt;0,
        VLOOKUP(CONCATENATE($K20,"|",BG$11,"|",$M$5),IuranDSSebelumnya!$I$330:$N$772,5,FALSE),
        IF(COUNTIFS(IuranDSSebelumnya!$J$330:$J$772,$K20,IuranDSSebelumnya!$M$330:$M$772,BG$11,IuranDSSebelumnya!$L$330:$L$772,"&lt;&gt;"&amp;$M$5)&gt;0,
              "Iuran dari Lingkungan lain",
              ""))</t>
  </si>
  <si>
    <t>=IF(COUNTIFS(IuranDSSebelumnya!$J$330:$J$772,$K20,IuranDSSebelumnya!$M$330:$M$772,BH$11,IuranDSSebelumnya!$L$330:$L$772,$M$5)&gt;0,
        VLOOKUP(CONCATENATE($K20,"|",BH$11,"|",$M$5),IuranDSSebelumnya!$I$330:$N$772,5,FALSE),
        IF(COUNTIFS(IuranDSSebelumnya!$J$330:$J$772,$K20,IuranDSSebelumnya!$M$330:$M$772,BH$11,IuranDSSebelumnya!$L$330:$L$772,"&lt;&gt;"&amp;$M$5)&gt;0,
              "Iuran dari Lingkungan lain",
              ""))</t>
  </si>
  <si>
    <t>=IF(COUNTIFS(IuranDSSebelumnya!$J$330:$J$772,$K20,IuranDSSebelumnya!$M$330:$M$772,BI$11,IuranDSSebelumnya!$L$330:$L$772,$M$5)&gt;0,
        VLOOKUP(CONCATENATE($K20,"|",BI$11,"|",$M$5),IuranDSSebelumnya!$I$330:$N$772,5,FALSE),
        IF(COUNTIFS(IuranDSSebelumnya!$J$330:$J$772,$K20,IuranDSSebelumnya!$M$330:$M$772,BI$11,IuranDSSebelumnya!$L$330:$L$772,"&lt;&gt;"&amp;$M$5)&gt;0,
              "Iuran dari Lingkungan lain",
              ""))</t>
  </si>
  <si>
    <t>=IF(COUNTIFS(IuranDSSebelumnya!$J$330:$J$772,$K20,IuranDSSebelumnya!$M$330:$M$772,BJ$11,IuranDSSebelumnya!$L$330:$L$772,$M$5)&gt;0,
        VLOOKUP(CONCATENATE($K20,"|",BJ$11,"|",$M$5),IuranDSSebelumnya!$I$330:$N$772,5,FALSE),
        IF(COUNTIFS(IuranDSSebelumnya!$J$330:$J$772,$K20,IuranDSSebelumnya!$M$330:$M$772,BJ$11,IuranDSSebelumnya!$L$330:$L$772,"&lt;&gt;"&amp;$M$5)&gt;0,
              "Iuran dari Lingkungan lain",
              ""))</t>
  </si>
  <si>
    <t>=IF(COUNTIFS(IuranDSSebelumnya!$J$330:$J$772,$K20,IuranDSSebelumnya!$M$330:$M$772,BK$11,IuranDSSebelumnya!$L$330:$L$772,$M$5)&gt;0,
        VLOOKUP(CONCATENATE($K20,"|",BK$11,"|",$M$5),IuranDSSebelumnya!$I$330:$N$772,5,FALSE),
        IF(COUNTIFS(IuranDSSebelumnya!$J$330:$J$772,$K20,IuranDSSebelumnya!$M$330:$M$772,BK$11,IuranDSSebelumnya!$L$330:$L$772,"&lt;&gt;"&amp;$M$5)&gt;0,
              "Iuran dari Lingkungan lain",
              ""))</t>
  </si>
  <si>
    <t>=IF(COUNTIFS(IuranDSSebelumnya!$J$330:$J$772,$K20,IuranDSSebelumnya!$M$330:$M$772,BL$11,IuranDSSebelumnya!$L$330:$L$772,$M$5)&gt;0,
        VLOOKUP(CONCATENATE($K20,"|",BL$11,"|",$M$5),IuranDSSebelumnya!$I$330:$N$772,5,FALSE),
        IF(COUNTIFS(IuranDSSebelumnya!$J$330:$J$772,$K20,IuranDSSebelumnya!$M$330:$M$772,BL$11,IuranDSSebelumnya!$L$330:$L$772,"&lt;&gt;"&amp;$M$5)&gt;0,
              "Iuran dari Lingkungan lain",
              ""))</t>
  </si>
  <si>
    <t>=CELL("row")=CELL("row",C21)</t>
  </si>
  <si>
    <t>="""TRUST Nav"",""HSPMTB2016"",""18"",""1"",""KK-04602"""</t>
  </si>
  <si>
    <t>=IF(AND($AL21=0,$J21=1)=TRUE,0,
        IF(AND($AL21&gt;0,$J21=1)=TRUE,1,
              IF(AND(H20=$H$12,$J21&gt;1)=TRUE,0,
                    IF(AND($AL21=0,$J21&gt;1),H20,
                         H20+1))))</t>
  </si>
  <si>
    <t>=IF(J20="No.",1,J20+1)</t>
  </si>
  <si>
    <t>=SUM(N21:AK21)</t>
  </si>
  <si>
    <t>=IF(COUNTIFS(IuranDSSebelumnya!$J$330:$J$772,$K21,IuranDSSebelumnya!$M$330:$M$772,AO$11,IuranDSSebelumnya!$L$330:$L$772,$M$5)&gt;0,
        VLOOKUP(CONCATENATE($K21,"|",AO$11,"|",$M$5),IuranDSSebelumnya!$I$330:$N$772,5,FALSE),
        IF(COUNTIFS(IuranDSSebelumnya!$J$330:$J$772,$K21,IuranDSSebelumnya!$M$330:$M$772,AO$11,IuranDSSebelumnya!$L$330:$L$772,"&lt;&gt;"&amp;$M$5)&gt;0,
              "Iuran dari Lingkungan lain",
              ""))</t>
  </si>
  <si>
    <t>=IF(COUNTIFS(IuranDSSebelumnya!$J$330:$J$772,$K21,IuranDSSebelumnya!$M$330:$M$772,AP$11,IuranDSSebelumnya!$L$330:$L$772,$M$5)&gt;0,
        VLOOKUP(CONCATENATE($K21,"|",AP$11,"|",$M$5),IuranDSSebelumnya!$I$330:$N$772,5,FALSE),
        IF(COUNTIFS(IuranDSSebelumnya!$J$330:$J$772,$K21,IuranDSSebelumnya!$M$330:$M$772,AP$11,IuranDSSebelumnya!$L$330:$L$772,"&lt;&gt;"&amp;$M$5)&gt;0,
              "Iuran dari Lingkungan lain",
              ""))</t>
  </si>
  <si>
    <t>=IF(COUNTIFS(IuranDSSebelumnya!$J$330:$J$772,$K21,IuranDSSebelumnya!$M$330:$M$772,AQ$11,IuranDSSebelumnya!$L$330:$L$772,$M$5)&gt;0,
        VLOOKUP(CONCATENATE($K21,"|",AQ$11,"|",$M$5),IuranDSSebelumnya!$I$330:$N$772,5,FALSE),
        IF(COUNTIFS(IuranDSSebelumnya!$J$330:$J$772,$K21,IuranDSSebelumnya!$M$330:$M$772,AQ$11,IuranDSSebelumnya!$L$330:$L$772,"&lt;&gt;"&amp;$M$5)&gt;0,
              "Iuran dari Lingkungan lain",
              ""))</t>
  </si>
  <si>
    <t>=IF(COUNTIFS(IuranDSSebelumnya!$J$330:$J$772,$K21,IuranDSSebelumnya!$M$330:$M$772,AR$11,IuranDSSebelumnya!$L$330:$L$772,$M$5)&gt;0,
        VLOOKUP(CONCATENATE($K21,"|",AR$11,"|",$M$5),IuranDSSebelumnya!$I$330:$N$772,5,FALSE),
        IF(COUNTIFS(IuranDSSebelumnya!$J$330:$J$772,$K21,IuranDSSebelumnya!$M$330:$M$772,AR$11,IuranDSSebelumnya!$L$330:$L$772,"&lt;&gt;"&amp;$M$5)&gt;0,
              "Iuran dari Lingkungan lain",
              ""))</t>
  </si>
  <si>
    <t>=IF(COUNTIFS(IuranDSSebelumnya!$J$330:$J$772,$K21,IuranDSSebelumnya!$M$330:$M$772,AS$11,IuranDSSebelumnya!$L$330:$L$772,$M$5)&gt;0,
        VLOOKUP(CONCATENATE($K21,"|",AS$11,"|",$M$5),IuranDSSebelumnya!$I$330:$N$772,5,FALSE),
        IF(COUNTIFS(IuranDSSebelumnya!$J$330:$J$772,$K21,IuranDSSebelumnya!$M$330:$M$772,AS$11,IuranDSSebelumnya!$L$330:$L$772,"&lt;&gt;"&amp;$M$5)&gt;0,
              "Iuran dari Lingkungan lain",
              ""))</t>
  </si>
  <si>
    <t>=IF(COUNTIFS(IuranDSSebelumnya!$J$330:$J$772,$K21,IuranDSSebelumnya!$M$330:$M$772,AT$11,IuranDSSebelumnya!$L$330:$L$772,$M$5)&gt;0,
        VLOOKUP(CONCATENATE($K21,"|",AT$11,"|",$M$5),IuranDSSebelumnya!$I$330:$N$772,5,FALSE),
        IF(COUNTIFS(IuranDSSebelumnya!$J$330:$J$772,$K21,IuranDSSebelumnya!$M$330:$M$772,AT$11,IuranDSSebelumnya!$L$330:$L$772,"&lt;&gt;"&amp;$M$5)&gt;0,
              "Iuran dari Lingkungan lain",
              ""))</t>
  </si>
  <si>
    <t>=IF(COUNTIFS(IuranDSSebelumnya!$J$330:$J$772,$K21,IuranDSSebelumnya!$M$330:$M$772,AU$11,IuranDSSebelumnya!$L$330:$L$772,$M$5)&gt;0,
        VLOOKUP(CONCATENATE($K21,"|",AU$11,"|",$M$5),IuranDSSebelumnya!$I$330:$N$772,5,FALSE),
        IF(COUNTIFS(IuranDSSebelumnya!$J$330:$J$772,$K21,IuranDSSebelumnya!$M$330:$M$772,AU$11,IuranDSSebelumnya!$L$330:$L$772,"&lt;&gt;"&amp;$M$5)&gt;0,
              "Iuran dari Lingkungan lain",
              ""))</t>
  </si>
  <si>
    <t>=IF(COUNTIFS(IuranDSSebelumnya!$J$330:$J$772,$K21,IuranDSSebelumnya!$M$330:$M$772,AV$11,IuranDSSebelumnya!$L$330:$L$772,$M$5)&gt;0,
        VLOOKUP(CONCATENATE($K21,"|",AV$11,"|",$M$5),IuranDSSebelumnya!$I$330:$N$772,5,FALSE),
        IF(COUNTIFS(IuranDSSebelumnya!$J$330:$J$772,$K21,IuranDSSebelumnya!$M$330:$M$772,AV$11,IuranDSSebelumnya!$L$330:$L$772,"&lt;&gt;"&amp;$M$5)&gt;0,
              "Iuran dari Lingkungan lain",
              ""))</t>
  </si>
  <si>
    <t>=IF(COUNTIFS(IuranDSSebelumnya!$J$330:$J$772,$K21,IuranDSSebelumnya!$M$330:$M$772,AW$11,IuranDSSebelumnya!$L$330:$L$772,$M$5)&gt;0,
        VLOOKUP(CONCATENATE($K21,"|",AW$11,"|",$M$5),IuranDSSebelumnya!$I$330:$N$772,5,FALSE),
        IF(COUNTIFS(IuranDSSebelumnya!$J$330:$J$772,$K21,IuranDSSebelumnya!$M$330:$M$772,AW$11,IuranDSSebelumnya!$L$330:$L$772,"&lt;&gt;"&amp;$M$5)&gt;0,
              "Iuran dari Lingkungan lain",
              ""))</t>
  </si>
  <si>
    <t>=IF(COUNTIFS(IuranDSSebelumnya!$J$330:$J$772,$K21,IuranDSSebelumnya!$M$330:$M$772,AX$11,IuranDSSebelumnya!$L$330:$L$772,$M$5)&gt;0,
        VLOOKUP(CONCATENATE($K21,"|",AX$11,"|",$M$5),IuranDSSebelumnya!$I$330:$N$772,5,FALSE),
        IF(COUNTIFS(IuranDSSebelumnya!$J$330:$J$772,$K21,IuranDSSebelumnya!$M$330:$M$772,AX$11,IuranDSSebelumnya!$L$330:$L$772,"&lt;&gt;"&amp;$M$5)&gt;0,
              "Iuran dari Lingkungan lain",
              ""))</t>
  </si>
  <si>
    <t>=IF(COUNTIFS(IuranDSSebelumnya!$J$330:$J$772,$K21,IuranDSSebelumnya!$M$330:$M$772,AY$11,IuranDSSebelumnya!$L$330:$L$772,$M$5)&gt;0,
        VLOOKUP(CONCATENATE($K21,"|",AY$11,"|",$M$5),IuranDSSebelumnya!$I$330:$N$772,5,FALSE),
        IF(COUNTIFS(IuranDSSebelumnya!$J$330:$J$772,$K21,IuranDSSebelumnya!$M$330:$M$772,AY$11,IuranDSSebelumnya!$L$330:$L$772,"&lt;&gt;"&amp;$M$5)&gt;0,
              "Iuran dari Lingkungan lain",
              ""))</t>
  </si>
  <si>
    <t>=IF(COUNTIFS(IuranDSSebelumnya!$J$330:$J$772,$K21,IuranDSSebelumnya!$M$330:$M$772,AZ$11,IuranDSSebelumnya!$L$330:$L$772,$M$5)&gt;0,
        VLOOKUP(CONCATENATE($K21,"|",AZ$11,"|",$M$5),IuranDSSebelumnya!$I$330:$N$772,5,FALSE),
        IF(COUNTIFS(IuranDSSebelumnya!$J$330:$J$772,$K21,IuranDSSebelumnya!$M$330:$M$772,AZ$11,IuranDSSebelumnya!$L$330:$L$772,"&lt;&gt;"&amp;$M$5)&gt;0,
              "Iuran dari Lingkungan lain",
              ""))</t>
  </si>
  <si>
    <t>=IF(COUNTIFS(IuranDSSebelumnya!$J$330:$J$772,$K21,IuranDSSebelumnya!$M$330:$M$772,BA$11,IuranDSSebelumnya!$L$330:$L$772,$M$5)&gt;0,
        VLOOKUP(CONCATENATE($K21,"|",BA$11,"|",$M$5),IuranDSSebelumnya!$I$330:$N$772,5,FALSE),
        IF(COUNTIFS(IuranDSSebelumnya!$J$330:$J$772,$K21,IuranDSSebelumnya!$M$330:$M$772,BA$11,IuranDSSebelumnya!$L$330:$L$772,"&lt;&gt;"&amp;$M$5)&gt;0,
              "Iuran dari Lingkungan lain",
              ""))</t>
  </si>
  <si>
    <t>=IF(COUNTIFS(IuranDSSebelumnya!$J$330:$J$772,$K21,IuranDSSebelumnya!$M$330:$M$772,BB$11,IuranDSSebelumnya!$L$330:$L$772,$M$5)&gt;0,
        VLOOKUP(CONCATENATE($K21,"|",BB$11,"|",$M$5),IuranDSSebelumnya!$I$330:$N$772,5,FALSE),
        IF(COUNTIFS(IuranDSSebelumnya!$J$330:$J$772,$K21,IuranDSSebelumnya!$M$330:$M$772,BB$11,IuranDSSebelumnya!$L$330:$L$772,"&lt;&gt;"&amp;$M$5)&gt;0,
              "Iuran dari Lingkungan lain",
              ""))</t>
  </si>
  <si>
    <t>=IF(COUNTIFS(IuranDSSebelumnya!$J$330:$J$772,$K21,IuranDSSebelumnya!$M$330:$M$772,BC$11,IuranDSSebelumnya!$L$330:$L$772,$M$5)&gt;0,
        VLOOKUP(CONCATENATE($K21,"|",BC$11,"|",$M$5),IuranDSSebelumnya!$I$330:$N$772,5,FALSE),
        IF(COUNTIFS(IuranDSSebelumnya!$J$330:$J$772,$K21,IuranDSSebelumnya!$M$330:$M$772,BC$11,IuranDSSebelumnya!$L$330:$L$772,"&lt;&gt;"&amp;$M$5)&gt;0,
              "Iuran dari Lingkungan lain",
              ""))</t>
  </si>
  <si>
    <t>=IF(COUNTIFS(IuranDSSebelumnya!$J$330:$J$772,$K21,IuranDSSebelumnya!$M$330:$M$772,BD$11,IuranDSSebelumnya!$L$330:$L$772,$M$5)&gt;0,
        VLOOKUP(CONCATENATE($K21,"|",BD$11,"|",$M$5),IuranDSSebelumnya!$I$330:$N$772,5,FALSE),
        IF(COUNTIFS(IuranDSSebelumnya!$J$330:$J$772,$K21,IuranDSSebelumnya!$M$330:$M$772,BD$11,IuranDSSebelumnya!$L$330:$L$772,"&lt;&gt;"&amp;$M$5)&gt;0,
              "Iuran dari Lingkungan lain",
              ""))</t>
  </si>
  <si>
    <t>=IF(COUNTIFS(IuranDSSebelumnya!$J$330:$J$772,$K21,IuranDSSebelumnya!$M$330:$M$772,BE$11,IuranDSSebelumnya!$L$330:$L$772,$M$5)&gt;0,
        VLOOKUP(CONCATENATE($K21,"|",BE$11,"|",$M$5),IuranDSSebelumnya!$I$330:$N$772,5,FALSE),
        IF(COUNTIFS(IuranDSSebelumnya!$J$330:$J$772,$K21,IuranDSSebelumnya!$M$330:$M$772,BE$11,IuranDSSebelumnya!$L$330:$L$772,"&lt;&gt;"&amp;$M$5)&gt;0,
              "Iuran dari Lingkungan lain",
              ""))</t>
  </si>
  <si>
    <t>=IF(COUNTIFS(IuranDSSebelumnya!$J$330:$J$772,$K21,IuranDSSebelumnya!$M$330:$M$772,BF$11,IuranDSSebelumnya!$L$330:$L$772,$M$5)&gt;0,
        VLOOKUP(CONCATENATE($K21,"|",BF$11,"|",$M$5),IuranDSSebelumnya!$I$330:$N$772,5,FALSE),
        IF(COUNTIFS(IuranDSSebelumnya!$J$330:$J$772,$K21,IuranDSSebelumnya!$M$330:$M$772,BF$11,IuranDSSebelumnya!$L$330:$L$772,"&lt;&gt;"&amp;$M$5)&gt;0,
              "Iuran dari Lingkungan lain",
              ""))</t>
  </si>
  <si>
    <t>=IF(COUNTIFS(IuranDSSebelumnya!$J$330:$J$772,$K21,IuranDSSebelumnya!$M$330:$M$772,BG$11,IuranDSSebelumnya!$L$330:$L$772,$M$5)&gt;0,
        VLOOKUP(CONCATENATE($K21,"|",BG$11,"|",$M$5),IuranDSSebelumnya!$I$330:$N$772,5,FALSE),
        IF(COUNTIFS(IuranDSSebelumnya!$J$330:$J$772,$K21,IuranDSSebelumnya!$M$330:$M$772,BG$11,IuranDSSebelumnya!$L$330:$L$772,"&lt;&gt;"&amp;$M$5)&gt;0,
              "Iuran dari Lingkungan lain",
              ""))</t>
  </si>
  <si>
    <t>=IF(COUNTIFS(IuranDSSebelumnya!$J$330:$J$772,$K21,IuranDSSebelumnya!$M$330:$M$772,BH$11,IuranDSSebelumnya!$L$330:$L$772,$M$5)&gt;0,
        VLOOKUP(CONCATENATE($K21,"|",BH$11,"|",$M$5),IuranDSSebelumnya!$I$330:$N$772,5,FALSE),
        IF(COUNTIFS(IuranDSSebelumnya!$J$330:$J$772,$K21,IuranDSSebelumnya!$M$330:$M$772,BH$11,IuranDSSebelumnya!$L$330:$L$772,"&lt;&gt;"&amp;$M$5)&gt;0,
              "Iuran dari Lingkungan lain",
              ""))</t>
  </si>
  <si>
    <t>=IF(COUNTIFS(IuranDSSebelumnya!$J$330:$J$772,$K21,IuranDSSebelumnya!$M$330:$M$772,BI$11,IuranDSSebelumnya!$L$330:$L$772,$M$5)&gt;0,
        VLOOKUP(CONCATENATE($K21,"|",BI$11,"|",$M$5),IuranDSSebelumnya!$I$330:$N$772,5,FALSE),
        IF(COUNTIFS(IuranDSSebelumnya!$J$330:$J$772,$K21,IuranDSSebelumnya!$M$330:$M$772,BI$11,IuranDSSebelumnya!$L$330:$L$772,"&lt;&gt;"&amp;$M$5)&gt;0,
              "Iuran dari Lingkungan lain",
              ""))</t>
  </si>
  <si>
    <t>=IF(COUNTIFS(IuranDSSebelumnya!$J$330:$J$772,$K21,IuranDSSebelumnya!$M$330:$M$772,BJ$11,IuranDSSebelumnya!$L$330:$L$772,$M$5)&gt;0,
        VLOOKUP(CONCATENATE($K21,"|",BJ$11,"|",$M$5),IuranDSSebelumnya!$I$330:$N$772,5,FALSE),
        IF(COUNTIFS(IuranDSSebelumnya!$J$330:$J$772,$K21,IuranDSSebelumnya!$M$330:$M$772,BJ$11,IuranDSSebelumnya!$L$330:$L$772,"&lt;&gt;"&amp;$M$5)&gt;0,
              "Iuran dari Lingkungan lain",
              ""))</t>
  </si>
  <si>
    <t>=IF(COUNTIFS(IuranDSSebelumnya!$J$330:$J$772,$K21,IuranDSSebelumnya!$M$330:$M$772,BK$11,IuranDSSebelumnya!$L$330:$L$772,$M$5)&gt;0,
        VLOOKUP(CONCATENATE($K21,"|",BK$11,"|",$M$5),IuranDSSebelumnya!$I$330:$N$772,5,FALSE),
        IF(COUNTIFS(IuranDSSebelumnya!$J$330:$J$772,$K21,IuranDSSebelumnya!$M$330:$M$772,BK$11,IuranDSSebelumnya!$L$330:$L$772,"&lt;&gt;"&amp;$M$5)&gt;0,
              "Iuran dari Lingkungan lain",
              ""))</t>
  </si>
  <si>
    <t>=IF(COUNTIFS(IuranDSSebelumnya!$J$330:$J$772,$K21,IuranDSSebelumnya!$M$330:$M$772,BL$11,IuranDSSebelumnya!$L$330:$L$772,$M$5)&gt;0,
        VLOOKUP(CONCATENATE($K21,"|",BL$11,"|",$M$5),IuranDSSebelumnya!$I$330:$N$772,5,FALSE),
        IF(COUNTIFS(IuranDSSebelumnya!$J$330:$J$772,$K21,IuranDSSebelumnya!$M$330:$M$772,BL$11,IuranDSSebelumnya!$L$330:$L$772,"&lt;&gt;"&amp;$M$5)&gt;0,
              "Iuran dari Lingkungan lain",
              ""))</t>
  </si>
  <si>
    <t>=CELL("row")=CELL("row",C22)</t>
  </si>
  <si>
    <t>="""TRUST Nav"",""HSPMTB2016"",""18"",""1"",""KK-04603"""</t>
  </si>
  <si>
    <t>=IF(AND($AL22=0,$J22=1)=TRUE,0,
        IF(AND($AL22&gt;0,$J22=1)=TRUE,1,
              IF(AND(H21=$H$12,$J22&gt;1)=TRUE,0,
                    IF(AND($AL22=0,$J22&gt;1),H21,
                         H21+1))))</t>
  </si>
  <si>
    <t>=IF(J21="No.",1,J21+1)</t>
  </si>
  <si>
    <t>=SUM(N22:AK22)</t>
  </si>
  <si>
    <t>=IF(COUNTIFS(IuranDSSebelumnya!$J$330:$J$772,$K22,IuranDSSebelumnya!$M$330:$M$772,AO$11,IuranDSSebelumnya!$L$330:$L$772,$M$5)&gt;0,
        VLOOKUP(CONCATENATE($K22,"|",AO$11,"|",$M$5),IuranDSSebelumnya!$I$330:$N$772,5,FALSE),
        IF(COUNTIFS(IuranDSSebelumnya!$J$330:$J$772,$K22,IuranDSSebelumnya!$M$330:$M$772,AO$11,IuranDSSebelumnya!$L$330:$L$772,"&lt;&gt;"&amp;$M$5)&gt;0,
              "Iuran dari Lingkungan lain",
              ""))</t>
  </si>
  <si>
    <t>=IF(COUNTIFS(IuranDSSebelumnya!$J$330:$J$772,$K22,IuranDSSebelumnya!$M$330:$M$772,AP$11,IuranDSSebelumnya!$L$330:$L$772,$M$5)&gt;0,
        VLOOKUP(CONCATENATE($K22,"|",AP$11,"|",$M$5),IuranDSSebelumnya!$I$330:$N$772,5,FALSE),
        IF(COUNTIFS(IuranDSSebelumnya!$J$330:$J$772,$K22,IuranDSSebelumnya!$M$330:$M$772,AP$11,IuranDSSebelumnya!$L$330:$L$772,"&lt;&gt;"&amp;$M$5)&gt;0,
              "Iuran dari Lingkungan lain",
              ""))</t>
  </si>
  <si>
    <t>=IF(COUNTIFS(IuranDSSebelumnya!$J$330:$J$772,$K22,IuranDSSebelumnya!$M$330:$M$772,AQ$11,IuranDSSebelumnya!$L$330:$L$772,$M$5)&gt;0,
        VLOOKUP(CONCATENATE($K22,"|",AQ$11,"|",$M$5),IuranDSSebelumnya!$I$330:$N$772,5,FALSE),
        IF(COUNTIFS(IuranDSSebelumnya!$J$330:$J$772,$K22,IuranDSSebelumnya!$M$330:$M$772,AQ$11,IuranDSSebelumnya!$L$330:$L$772,"&lt;&gt;"&amp;$M$5)&gt;0,
              "Iuran dari Lingkungan lain",
              ""))</t>
  </si>
  <si>
    <t>=IF(COUNTIFS(IuranDSSebelumnya!$J$330:$J$772,$K22,IuranDSSebelumnya!$M$330:$M$772,AR$11,IuranDSSebelumnya!$L$330:$L$772,$M$5)&gt;0,
        VLOOKUP(CONCATENATE($K22,"|",AR$11,"|",$M$5),IuranDSSebelumnya!$I$330:$N$772,5,FALSE),
        IF(COUNTIFS(IuranDSSebelumnya!$J$330:$J$772,$K22,IuranDSSebelumnya!$M$330:$M$772,AR$11,IuranDSSebelumnya!$L$330:$L$772,"&lt;&gt;"&amp;$M$5)&gt;0,
              "Iuran dari Lingkungan lain",
              ""))</t>
  </si>
  <si>
    <t>=IF(COUNTIFS(IuranDSSebelumnya!$J$330:$J$772,$K22,IuranDSSebelumnya!$M$330:$M$772,AS$11,IuranDSSebelumnya!$L$330:$L$772,$M$5)&gt;0,
        VLOOKUP(CONCATENATE($K22,"|",AS$11,"|",$M$5),IuranDSSebelumnya!$I$330:$N$772,5,FALSE),
        IF(COUNTIFS(IuranDSSebelumnya!$J$330:$J$772,$K22,IuranDSSebelumnya!$M$330:$M$772,AS$11,IuranDSSebelumnya!$L$330:$L$772,"&lt;&gt;"&amp;$M$5)&gt;0,
              "Iuran dari Lingkungan lain",
              ""))</t>
  </si>
  <si>
    <t>=IF(COUNTIFS(IuranDSSebelumnya!$J$330:$J$772,$K22,IuranDSSebelumnya!$M$330:$M$772,AT$11,IuranDSSebelumnya!$L$330:$L$772,$M$5)&gt;0,
        VLOOKUP(CONCATENATE($K22,"|",AT$11,"|",$M$5),IuranDSSebelumnya!$I$330:$N$772,5,FALSE),
        IF(COUNTIFS(IuranDSSebelumnya!$J$330:$J$772,$K22,IuranDSSebelumnya!$M$330:$M$772,AT$11,IuranDSSebelumnya!$L$330:$L$772,"&lt;&gt;"&amp;$M$5)&gt;0,
              "Iuran dari Lingkungan lain",
              ""))</t>
  </si>
  <si>
    <t>=IF(COUNTIFS(IuranDSSebelumnya!$J$330:$J$772,$K22,IuranDSSebelumnya!$M$330:$M$772,AU$11,IuranDSSebelumnya!$L$330:$L$772,$M$5)&gt;0,
        VLOOKUP(CONCATENATE($K22,"|",AU$11,"|",$M$5),IuranDSSebelumnya!$I$330:$N$772,5,FALSE),
        IF(COUNTIFS(IuranDSSebelumnya!$J$330:$J$772,$K22,IuranDSSebelumnya!$M$330:$M$772,AU$11,IuranDSSebelumnya!$L$330:$L$772,"&lt;&gt;"&amp;$M$5)&gt;0,
              "Iuran dari Lingkungan lain",
              ""))</t>
  </si>
  <si>
    <t>=IF(COUNTIFS(IuranDSSebelumnya!$J$330:$J$772,$K22,IuranDSSebelumnya!$M$330:$M$772,AV$11,IuranDSSebelumnya!$L$330:$L$772,$M$5)&gt;0,
        VLOOKUP(CONCATENATE($K22,"|",AV$11,"|",$M$5),IuranDSSebelumnya!$I$330:$N$772,5,FALSE),
        IF(COUNTIFS(IuranDSSebelumnya!$J$330:$J$772,$K22,IuranDSSebelumnya!$M$330:$M$772,AV$11,IuranDSSebelumnya!$L$330:$L$772,"&lt;&gt;"&amp;$M$5)&gt;0,
              "Iuran dari Lingkungan lain",
              ""))</t>
  </si>
  <si>
    <t>=IF(COUNTIFS(IuranDSSebelumnya!$J$330:$J$772,$K22,IuranDSSebelumnya!$M$330:$M$772,AW$11,IuranDSSebelumnya!$L$330:$L$772,$M$5)&gt;0,
        VLOOKUP(CONCATENATE($K22,"|",AW$11,"|",$M$5),IuranDSSebelumnya!$I$330:$N$772,5,FALSE),
        IF(COUNTIFS(IuranDSSebelumnya!$J$330:$J$772,$K22,IuranDSSebelumnya!$M$330:$M$772,AW$11,IuranDSSebelumnya!$L$330:$L$772,"&lt;&gt;"&amp;$M$5)&gt;0,
              "Iuran dari Lingkungan lain",
              ""))</t>
  </si>
  <si>
    <t>=IF(COUNTIFS(IuranDSSebelumnya!$J$330:$J$772,$K22,IuranDSSebelumnya!$M$330:$M$772,AX$11,IuranDSSebelumnya!$L$330:$L$772,$M$5)&gt;0,
        VLOOKUP(CONCATENATE($K22,"|",AX$11,"|",$M$5),IuranDSSebelumnya!$I$330:$N$772,5,FALSE),
        IF(COUNTIFS(IuranDSSebelumnya!$J$330:$J$772,$K22,IuranDSSebelumnya!$M$330:$M$772,AX$11,IuranDSSebelumnya!$L$330:$L$772,"&lt;&gt;"&amp;$M$5)&gt;0,
              "Iuran dari Lingkungan lain",
              ""))</t>
  </si>
  <si>
    <t>=IF(COUNTIFS(IuranDSSebelumnya!$J$330:$J$772,$K22,IuranDSSebelumnya!$M$330:$M$772,AY$11,IuranDSSebelumnya!$L$330:$L$772,$M$5)&gt;0,
        VLOOKUP(CONCATENATE($K22,"|",AY$11,"|",$M$5),IuranDSSebelumnya!$I$330:$N$772,5,FALSE),
        IF(COUNTIFS(IuranDSSebelumnya!$J$330:$J$772,$K22,IuranDSSebelumnya!$M$330:$M$772,AY$11,IuranDSSebelumnya!$L$330:$L$772,"&lt;&gt;"&amp;$M$5)&gt;0,
              "Iuran dari Lingkungan lain",
              ""))</t>
  </si>
  <si>
    <t>=IF(COUNTIFS(IuranDSSebelumnya!$J$330:$J$772,$K22,IuranDSSebelumnya!$M$330:$M$772,AZ$11,IuranDSSebelumnya!$L$330:$L$772,$M$5)&gt;0,
        VLOOKUP(CONCATENATE($K22,"|",AZ$11,"|",$M$5),IuranDSSebelumnya!$I$330:$N$772,5,FALSE),
        IF(COUNTIFS(IuranDSSebelumnya!$J$330:$J$772,$K22,IuranDSSebelumnya!$M$330:$M$772,AZ$11,IuranDSSebelumnya!$L$330:$L$772,"&lt;&gt;"&amp;$M$5)&gt;0,
              "Iuran dari Lingkungan lain",
              ""))</t>
  </si>
  <si>
    <t>=IF(COUNTIFS(IuranDSSebelumnya!$J$330:$J$772,$K22,IuranDSSebelumnya!$M$330:$M$772,BA$11,IuranDSSebelumnya!$L$330:$L$772,$M$5)&gt;0,
        VLOOKUP(CONCATENATE($K22,"|",BA$11,"|",$M$5),IuranDSSebelumnya!$I$330:$N$772,5,FALSE),
        IF(COUNTIFS(IuranDSSebelumnya!$J$330:$J$772,$K22,IuranDSSebelumnya!$M$330:$M$772,BA$11,IuranDSSebelumnya!$L$330:$L$772,"&lt;&gt;"&amp;$M$5)&gt;0,
              "Iuran dari Lingkungan lain",
              ""))</t>
  </si>
  <si>
    <t>=IF(COUNTIFS(IuranDSSebelumnya!$J$330:$J$772,$K22,IuranDSSebelumnya!$M$330:$M$772,BB$11,IuranDSSebelumnya!$L$330:$L$772,$M$5)&gt;0,
        VLOOKUP(CONCATENATE($K22,"|",BB$11,"|",$M$5),IuranDSSebelumnya!$I$330:$N$772,5,FALSE),
        IF(COUNTIFS(IuranDSSebelumnya!$J$330:$J$772,$K22,IuranDSSebelumnya!$M$330:$M$772,BB$11,IuranDSSebelumnya!$L$330:$L$772,"&lt;&gt;"&amp;$M$5)&gt;0,
              "Iuran dari Lingkungan lain",
              ""))</t>
  </si>
  <si>
    <t>=IF(COUNTIFS(IuranDSSebelumnya!$J$330:$J$772,$K22,IuranDSSebelumnya!$M$330:$M$772,BC$11,IuranDSSebelumnya!$L$330:$L$772,$M$5)&gt;0,
        VLOOKUP(CONCATENATE($K22,"|",BC$11,"|",$M$5),IuranDSSebelumnya!$I$330:$N$772,5,FALSE),
        IF(COUNTIFS(IuranDSSebelumnya!$J$330:$J$772,$K22,IuranDSSebelumnya!$M$330:$M$772,BC$11,IuranDSSebelumnya!$L$330:$L$772,"&lt;&gt;"&amp;$M$5)&gt;0,
              "Iuran dari Lingkungan lain",
              ""))</t>
  </si>
  <si>
    <t>=IF(COUNTIFS(IuranDSSebelumnya!$J$330:$J$772,$K22,IuranDSSebelumnya!$M$330:$M$772,BD$11,IuranDSSebelumnya!$L$330:$L$772,$M$5)&gt;0,
        VLOOKUP(CONCATENATE($K22,"|",BD$11,"|",$M$5),IuranDSSebelumnya!$I$330:$N$772,5,FALSE),
        IF(COUNTIFS(IuranDSSebelumnya!$J$330:$J$772,$K22,IuranDSSebelumnya!$M$330:$M$772,BD$11,IuranDSSebelumnya!$L$330:$L$772,"&lt;&gt;"&amp;$M$5)&gt;0,
              "Iuran dari Lingkungan lain",
              ""))</t>
  </si>
  <si>
    <t>=IF(COUNTIFS(IuranDSSebelumnya!$J$330:$J$772,$K22,IuranDSSebelumnya!$M$330:$M$772,BE$11,IuranDSSebelumnya!$L$330:$L$772,$M$5)&gt;0,
        VLOOKUP(CONCATENATE($K22,"|",BE$11,"|",$M$5),IuranDSSebelumnya!$I$330:$N$772,5,FALSE),
        IF(COUNTIFS(IuranDSSebelumnya!$J$330:$J$772,$K22,IuranDSSebelumnya!$M$330:$M$772,BE$11,IuranDSSebelumnya!$L$330:$L$772,"&lt;&gt;"&amp;$M$5)&gt;0,
              "Iuran dari Lingkungan lain",
              ""))</t>
  </si>
  <si>
    <t>=IF(COUNTIFS(IuranDSSebelumnya!$J$330:$J$772,$K22,IuranDSSebelumnya!$M$330:$M$772,BF$11,IuranDSSebelumnya!$L$330:$L$772,$M$5)&gt;0,
        VLOOKUP(CONCATENATE($K22,"|",BF$11,"|",$M$5),IuranDSSebelumnya!$I$330:$N$772,5,FALSE),
        IF(COUNTIFS(IuranDSSebelumnya!$J$330:$J$772,$K22,IuranDSSebelumnya!$M$330:$M$772,BF$11,IuranDSSebelumnya!$L$330:$L$772,"&lt;&gt;"&amp;$M$5)&gt;0,
              "Iuran dari Lingkungan lain",
              ""))</t>
  </si>
  <si>
    <t>=IF(COUNTIFS(IuranDSSebelumnya!$J$330:$J$772,$K22,IuranDSSebelumnya!$M$330:$M$772,BG$11,IuranDSSebelumnya!$L$330:$L$772,$M$5)&gt;0,
        VLOOKUP(CONCATENATE($K22,"|",BG$11,"|",$M$5),IuranDSSebelumnya!$I$330:$N$772,5,FALSE),
        IF(COUNTIFS(IuranDSSebelumnya!$J$330:$J$772,$K22,IuranDSSebelumnya!$M$330:$M$772,BG$11,IuranDSSebelumnya!$L$330:$L$772,"&lt;&gt;"&amp;$M$5)&gt;0,
              "Iuran dari Lingkungan lain",
              ""))</t>
  </si>
  <si>
    <t>=IF(COUNTIFS(IuranDSSebelumnya!$J$330:$J$772,$K22,IuranDSSebelumnya!$M$330:$M$772,BH$11,IuranDSSebelumnya!$L$330:$L$772,$M$5)&gt;0,
        VLOOKUP(CONCATENATE($K22,"|",BH$11,"|",$M$5),IuranDSSebelumnya!$I$330:$N$772,5,FALSE),
        IF(COUNTIFS(IuranDSSebelumnya!$J$330:$J$772,$K22,IuranDSSebelumnya!$M$330:$M$772,BH$11,IuranDSSebelumnya!$L$330:$L$772,"&lt;&gt;"&amp;$M$5)&gt;0,
              "Iuran dari Lingkungan lain",
              ""))</t>
  </si>
  <si>
    <t>=IF(COUNTIFS(IuranDSSebelumnya!$J$330:$J$772,$K22,IuranDSSebelumnya!$M$330:$M$772,BI$11,IuranDSSebelumnya!$L$330:$L$772,$M$5)&gt;0,
        VLOOKUP(CONCATENATE($K22,"|",BI$11,"|",$M$5),IuranDSSebelumnya!$I$330:$N$772,5,FALSE),
        IF(COUNTIFS(IuranDSSebelumnya!$J$330:$J$772,$K22,IuranDSSebelumnya!$M$330:$M$772,BI$11,IuranDSSebelumnya!$L$330:$L$772,"&lt;&gt;"&amp;$M$5)&gt;0,
              "Iuran dari Lingkungan lain",
              ""))</t>
  </si>
  <si>
    <t>=IF(COUNTIFS(IuranDSSebelumnya!$J$330:$J$772,$K22,IuranDSSebelumnya!$M$330:$M$772,BJ$11,IuranDSSebelumnya!$L$330:$L$772,$M$5)&gt;0,
        VLOOKUP(CONCATENATE($K22,"|",BJ$11,"|",$M$5),IuranDSSebelumnya!$I$330:$N$772,5,FALSE),
        IF(COUNTIFS(IuranDSSebelumnya!$J$330:$J$772,$K22,IuranDSSebelumnya!$M$330:$M$772,BJ$11,IuranDSSebelumnya!$L$330:$L$772,"&lt;&gt;"&amp;$M$5)&gt;0,
              "Iuran dari Lingkungan lain",
              ""))</t>
  </si>
  <si>
    <t>=IF(COUNTIFS(IuranDSSebelumnya!$J$330:$J$772,$K22,IuranDSSebelumnya!$M$330:$M$772,BK$11,IuranDSSebelumnya!$L$330:$L$772,$M$5)&gt;0,
        VLOOKUP(CONCATENATE($K22,"|",BK$11,"|",$M$5),IuranDSSebelumnya!$I$330:$N$772,5,FALSE),
        IF(COUNTIFS(IuranDSSebelumnya!$J$330:$J$772,$K22,IuranDSSebelumnya!$M$330:$M$772,BK$11,IuranDSSebelumnya!$L$330:$L$772,"&lt;&gt;"&amp;$M$5)&gt;0,
              "Iuran dari Lingkungan lain",
              ""))</t>
  </si>
  <si>
    <t>=IF(COUNTIFS(IuranDSSebelumnya!$J$330:$J$772,$K22,IuranDSSebelumnya!$M$330:$M$772,BL$11,IuranDSSebelumnya!$L$330:$L$772,$M$5)&gt;0,
        VLOOKUP(CONCATENATE($K22,"|",BL$11,"|",$M$5),IuranDSSebelumnya!$I$330:$N$772,5,FALSE),
        IF(COUNTIFS(IuranDSSebelumnya!$J$330:$J$772,$K22,IuranDSSebelumnya!$M$330:$M$772,BL$11,IuranDSSebelumnya!$L$330:$L$772,"&lt;&gt;"&amp;$M$5)&gt;0,
              "Iuran dari Lingkungan lain",
              ""))</t>
  </si>
  <si>
    <t>=CELL("row")=CELL("row",C23)</t>
  </si>
  <si>
    <t>="""TRUST Nav"",""HSPMTB2016"",""18"",""1"",""KK-04604"""</t>
  </si>
  <si>
    <t>=IF(AND($AL23=0,$J23=1)=TRUE,0,
        IF(AND($AL23&gt;0,$J23=1)=TRUE,1,
              IF(AND(H22=$H$12,$J23&gt;1)=TRUE,0,
                    IF(AND($AL23=0,$J23&gt;1),H22,
                         H22+1))))</t>
  </si>
  <si>
    <t>=IF(J22="No.",1,J22+1)</t>
  </si>
  <si>
    <t>=SUM(N23:AK23)</t>
  </si>
  <si>
    <t>=IF(COUNTIFS(IuranDSSebelumnya!$J$330:$J$772,$K23,IuranDSSebelumnya!$M$330:$M$772,AO$11,IuranDSSebelumnya!$L$330:$L$772,$M$5)&gt;0,
        VLOOKUP(CONCATENATE($K23,"|",AO$11,"|",$M$5),IuranDSSebelumnya!$I$330:$N$772,5,FALSE),
        IF(COUNTIFS(IuranDSSebelumnya!$J$330:$J$772,$K23,IuranDSSebelumnya!$M$330:$M$772,AO$11,IuranDSSebelumnya!$L$330:$L$772,"&lt;&gt;"&amp;$M$5)&gt;0,
              "Iuran dari Lingkungan lain",
              ""))</t>
  </si>
  <si>
    <t>=IF(COUNTIFS(IuranDSSebelumnya!$J$330:$J$772,$K23,IuranDSSebelumnya!$M$330:$M$772,AP$11,IuranDSSebelumnya!$L$330:$L$772,$M$5)&gt;0,
        VLOOKUP(CONCATENATE($K23,"|",AP$11,"|",$M$5),IuranDSSebelumnya!$I$330:$N$772,5,FALSE),
        IF(COUNTIFS(IuranDSSebelumnya!$J$330:$J$772,$K23,IuranDSSebelumnya!$M$330:$M$772,AP$11,IuranDSSebelumnya!$L$330:$L$772,"&lt;&gt;"&amp;$M$5)&gt;0,
              "Iuran dari Lingkungan lain",
              ""))</t>
  </si>
  <si>
    <t>=IF(COUNTIFS(IuranDSSebelumnya!$J$330:$J$772,$K23,IuranDSSebelumnya!$M$330:$M$772,AQ$11,IuranDSSebelumnya!$L$330:$L$772,$M$5)&gt;0,
        VLOOKUP(CONCATENATE($K23,"|",AQ$11,"|",$M$5),IuranDSSebelumnya!$I$330:$N$772,5,FALSE),
        IF(COUNTIFS(IuranDSSebelumnya!$J$330:$J$772,$K23,IuranDSSebelumnya!$M$330:$M$772,AQ$11,IuranDSSebelumnya!$L$330:$L$772,"&lt;&gt;"&amp;$M$5)&gt;0,
              "Iuran dari Lingkungan lain",
              ""))</t>
  </si>
  <si>
    <t>=IF(COUNTIFS(IuranDSSebelumnya!$J$330:$J$772,$K23,IuranDSSebelumnya!$M$330:$M$772,AR$11,IuranDSSebelumnya!$L$330:$L$772,$M$5)&gt;0,
        VLOOKUP(CONCATENATE($K23,"|",AR$11,"|",$M$5),IuranDSSebelumnya!$I$330:$N$772,5,FALSE),
        IF(COUNTIFS(IuranDSSebelumnya!$J$330:$J$772,$K23,IuranDSSebelumnya!$M$330:$M$772,AR$11,IuranDSSebelumnya!$L$330:$L$772,"&lt;&gt;"&amp;$M$5)&gt;0,
              "Iuran dari Lingkungan lain",
              ""))</t>
  </si>
  <si>
    <t>=IF(COUNTIFS(IuranDSSebelumnya!$J$330:$J$772,$K23,IuranDSSebelumnya!$M$330:$M$772,AS$11,IuranDSSebelumnya!$L$330:$L$772,$M$5)&gt;0,
        VLOOKUP(CONCATENATE($K23,"|",AS$11,"|",$M$5),IuranDSSebelumnya!$I$330:$N$772,5,FALSE),
        IF(COUNTIFS(IuranDSSebelumnya!$J$330:$J$772,$K23,IuranDSSebelumnya!$M$330:$M$772,AS$11,IuranDSSebelumnya!$L$330:$L$772,"&lt;&gt;"&amp;$M$5)&gt;0,
              "Iuran dari Lingkungan lain",
              ""))</t>
  </si>
  <si>
    <t>=IF(COUNTIFS(IuranDSSebelumnya!$J$330:$J$772,$K23,IuranDSSebelumnya!$M$330:$M$772,AT$11,IuranDSSebelumnya!$L$330:$L$772,$M$5)&gt;0,
        VLOOKUP(CONCATENATE($K23,"|",AT$11,"|",$M$5),IuranDSSebelumnya!$I$330:$N$772,5,FALSE),
        IF(COUNTIFS(IuranDSSebelumnya!$J$330:$J$772,$K23,IuranDSSebelumnya!$M$330:$M$772,AT$11,IuranDSSebelumnya!$L$330:$L$772,"&lt;&gt;"&amp;$M$5)&gt;0,
              "Iuran dari Lingkungan lain",
              ""))</t>
  </si>
  <si>
    <t>=IF(COUNTIFS(IuranDSSebelumnya!$J$330:$J$772,$K23,IuranDSSebelumnya!$M$330:$M$772,AU$11,IuranDSSebelumnya!$L$330:$L$772,$M$5)&gt;0,
        VLOOKUP(CONCATENATE($K23,"|",AU$11,"|",$M$5),IuranDSSebelumnya!$I$330:$N$772,5,FALSE),
        IF(COUNTIFS(IuranDSSebelumnya!$J$330:$J$772,$K23,IuranDSSebelumnya!$M$330:$M$772,AU$11,IuranDSSebelumnya!$L$330:$L$772,"&lt;&gt;"&amp;$M$5)&gt;0,
              "Iuran dari Lingkungan lain",
              ""))</t>
  </si>
  <si>
    <t>=IF(COUNTIFS(IuranDSSebelumnya!$J$330:$J$772,$K23,IuranDSSebelumnya!$M$330:$M$772,AV$11,IuranDSSebelumnya!$L$330:$L$772,$M$5)&gt;0,
        VLOOKUP(CONCATENATE($K23,"|",AV$11,"|",$M$5),IuranDSSebelumnya!$I$330:$N$772,5,FALSE),
        IF(COUNTIFS(IuranDSSebelumnya!$J$330:$J$772,$K23,IuranDSSebelumnya!$M$330:$M$772,AV$11,IuranDSSebelumnya!$L$330:$L$772,"&lt;&gt;"&amp;$M$5)&gt;0,
              "Iuran dari Lingkungan lain",
              ""))</t>
  </si>
  <si>
    <t>=IF(COUNTIFS(IuranDSSebelumnya!$J$330:$J$772,$K23,IuranDSSebelumnya!$M$330:$M$772,AW$11,IuranDSSebelumnya!$L$330:$L$772,$M$5)&gt;0,
        VLOOKUP(CONCATENATE($K23,"|",AW$11,"|",$M$5),IuranDSSebelumnya!$I$330:$N$772,5,FALSE),
        IF(COUNTIFS(IuranDSSebelumnya!$J$330:$J$772,$K23,IuranDSSebelumnya!$M$330:$M$772,AW$11,IuranDSSebelumnya!$L$330:$L$772,"&lt;&gt;"&amp;$M$5)&gt;0,
              "Iuran dari Lingkungan lain",
              ""))</t>
  </si>
  <si>
    <t>=IF(COUNTIFS(IuranDSSebelumnya!$J$330:$J$772,$K23,IuranDSSebelumnya!$M$330:$M$772,AX$11,IuranDSSebelumnya!$L$330:$L$772,$M$5)&gt;0,
        VLOOKUP(CONCATENATE($K23,"|",AX$11,"|",$M$5),IuranDSSebelumnya!$I$330:$N$772,5,FALSE),
        IF(COUNTIFS(IuranDSSebelumnya!$J$330:$J$772,$K23,IuranDSSebelumnya!$M$330:$M$772,AX$11,IuranDSSebelumnya!$L$330:$L$772,"&lt;&gt;"&amp;$M$5)&gt;0,
              "Iuran dari Lingkungan lain",
              ""))</t>
  </si>
  <si>
    <t>=IF(COUNTIFS(IuranDSSebelumnya!$J$330:$J$772,$K23,IuranDSSebelumnya!$M$330:$M$772,AY$11,IuranDSSebelumnya!$L$330:$L$772,$M$5)&gt;0,
        VLOOKUP(CONCATENATE($K23,"|",AY$11,"|",$M$5),IuranDSSebelumnya!$I$330:$N$772,5,FALSE),
        IF(COUNTIFS(IuranDSSebelumnya!$J$330:$J$772,$K23,IuranDSSebelumnya!$M$330:$M$772,AY$11,IuranDSSebelumnya!$L$330:$L$772,"&lt;&gt;"&amp;$M$5)&gt;0,
              "Iuran dari Lingkungan lain",
              ""))</t>
  </si>
  <si>
    <t>=IF(COUNTIFS(IuranDSSebelumnya!$J$330:$J$772,$K23,IuranDSSebelumnya!$M$330:$M$772,AZ$11,IuranDSSebelumnya!$L$330:$L$772,$M$5)&gt;0,
        VLOOKUP(CONCATENATE($K23,"|",AZ$11,"|",$M$5),IuranDSSebelumnya!$I$330:$N$772,5,FALSE),
        IF(COUNTIFS(IuranDSSebelumnya!$J$330:$J$772,$K23,IuranDSSebelumnya!$M$330:$M$772,AZ$11,IuranDSSebelumnya!$L$330:$L$772,"&lt;&gt;"&amp;$M$5)&gt;0,
              "Iuran dari Lingkungan lain",
              ""))</t>
  </si>
  <si>
    <t>=IF(COUNTIFS(IuranDSSebelumnya!$J$330:$J$772,$K23,IuranDSSebelumnya!$M$330:$M$772,BA$11,IuranDSSebelumnya!$L$330:$L$772,$M$5)&gt;0,
        VLOOKUP(CONCATENATE($K23,"|",BA$11,"|",$M$5),IuranDSSebelumnya!$I$330:$N$772,5,FALSE),
        IF(COUNTIFS(IuranDSSebelumnya!$J$330:$J$772,$K23,IuranDSSebelumnya!$M$330:$M$772,BA$11,IuranDSSebelumnya!$L$330:$L$772,"&lt;&gt;"&amp;$M$5)&gt;0,
              "Iuran dari Lingkungan lain",
              ""))</t>
  </si>
  <si>
    <t>=IF(COUNTIFS(IuranDSSebelumnya!$J$330:$J$772,$K23,IuranDSSebelumnya!$M$330:$M$772,BB$11,IuranDSSebelumnya!$L$330:$L$772,$M$5)&gt;0,
        VLOOKUP(CONCATENATE($K23,"|",BB$11,"|",$M$5),IuranDSSebelumnya!$I$330:$N$772,5,FALSE),
        IF(COUNTIFS(IuranDSSebelumnya!$J$330:$J$772,$K23,IuranDSSebelumnya!$M$330:$M$772,BB$11,IuranDSSebelumnya!$L$330:$L$772,"&lt;&gt;"&amp;$M$5)&gt;0,
              "Iuran dari Lingkungan lain",
              ""))</t>
  </si>
  <si>
    <t>=IF(COUNTIFS(IuranDSSebelumnya!$J$330:$J$772,$K23,IuranDSSebelumnya!$M$330:$M$772,BC$11,IuranDSSebelumnya!$L$330:$L$772,$M$5)&gt;0,
        VLOOKUP(CONCATENATE($K23,"|",BC$11,"|",$M$5),IuranDSSebelumnya!$I$330:$N$772,5,FALSE),
        IF(COUNTIFS(IuranDSSebelumnya!$J$330:$J$772,$K23,IuranDSSebelumnya!$M$330:$M$772,BC$11,IuranDSSebelumnya!$L$330:$L$772,"&lt;&gt;"&amp;$M$5)&gt;0,
              "Iuran dari Lingkungan lain",
              ""))</t>
  </si>
  <si>
    <t>=IF(COUNTIFS(IuranDSSebelumnya!$J$330:$J$772,$K23,IuranDSSebelumnya!$M$330:$M$772,BD$11,IuranDSSebelumnya!$L$330:$L$772,$M$5)&gt;0,
        VLOOKUP(CONCATENATE($K23,"|",BD$11,"|",$M$5),IuranDSSebelumnya!$I$330:$N$772,5,FALSE),
        IF(COUNTIFS(IuranDSSebelumnya!$J$330:$J$772,$K23,IuranDSSebelumnya!$M$330:$M$772,BD$11,IuranDSSebelumnya!$L$330:$L$772,"&lt;&gt;"&amp;$M$5)&gt;0,
              "Iuran dari Lingkungan lain",
              ""))</t>
  </si>
  <si>
    <t>=IF(COUNTIFS(IuranDSSebelumnya!$J$330:$J$772,$K23,IuranDSSebelumnya!$M$330:$M$772,BE$11,IuranDSSebelumnya!$L$330:$L$772,$M$5)&gt;0,
        VLOOKUP(CONCATENATE($K23,"|",BE$11,"|",$M$5),IuranDSSebelumnya!$I$330:$N$772,5,FALSE),
        IF(COUNTIFS(IuranDSSebelumnya!$J$330:$J$772,$K23,IuranDSSebelumnya!$M$330:$M$772,BE$11,IuranDSSebelumnya!$L$330:$L$772,"&lt;&gt;"&amp;$M$5)&gt;0,
              "Iuran dari Lingkungan lain",
              ""))</t>
  </si>
  <si>
    <t>=IF(COUNTIFS(IuranDSSebelumnya!$J$330:$J$772,$K23,IuranDSSebelumnya!$M$330:$M$772,BF$11,IuranDSSebelumnya!$L$330:$L$772,$M$5)&gt;0,
        VLOOKUP(CONCATENATE($K23,"|",BF$11,"|",$M$5),IuranDSSebelumnya!$I$330:$N$772,5,FALSE),
        IF(COUNTIFS(IuranDSSebelumnya!$J$330:$J$772,$K23,IuranDSSebelumnya!$M$330:$M$772,BF$11,IuranDSSebelumnya!$L$330:$L$772,"&lt;&gt;"&amp;$M$5)&gt;0,
              "Iuran dari Lingkungan lain",
              ""))</t>
  </si>
  <si>
    <t>=IF(COUNTIFS(IuranDSSebelumnya!$J$330:$J$772,$K23,IuranDSSebelumnya!$M$330:$M$772,BG$11,IuranDSSebelumnya!$L$330:$L$772,$M$5)&gt;0,
        VLOOKUP(CONCATENATE($K23,"|",BG$11,"|",$M$5),IuranDSSebelumnya!$I$330:$N$772,5,FALSE),
        IF(COUNTIFS(IuranDSSebelumnya!$J$330:$J$772,$K23,IuranDSSebelumnya!$M$330:$M$772,BG$11,IuranDSSebelumnya!$L$330:$L$772,"&lt;&gt;"&amp;$M$5)&gt;0,
              "Iuran dari Lingkungan lain",
              ""))</t>
  </si>
  <si>
    <t>=IF(COUNTIFS(IuranDSSebelumnya!$J$330:$J$772,$K23,IuranDSSebelumnya!$M$330:$M$772,BH$11,IuranDSSebelumnya!$L$330:$L$772,$M$5)&gt;0,
        VLOOKUP(CONCATENATE($K23,"|",BH$11,"|",$M$5),IuranDSSebelumnya!$I$330:$N$772,5,FALSE),
        IF(COUNTIFS(IuranDSSebelumnya!$J$330:$J$772,$K23,IuranDSSebelumnya!$M$330:$M$772,BH$11,IuranDSSebelumnya!$L$330:$L$772,"&lt;&gt;"&amp;$M$5)&gt;0,
              "Iuran dari Lingkungan lain",
              ""))</t>
  </si>
  <si>
    <t>=IF(COUNTIFS(IuranDSSebelumnya!$J$330:$J$772,$K23,IuranDSSebelumnya!$M$330:$M$772,BI$11,IuranDSSebelumnya!$L$330:$L$772,$M$5)&gt;0,
        VLOOKUP(CONCATENATE($K23,"|",BI$11,"|",$M$5),IuranDSSebelumnya!$I$330:$N$772,5,FALSE),
        IF(COUNTIFS(IuranDSSebelumnya!$J$330:$J$772,$K23,IuranDSSebelumnya!$M$330:$M$772,BI$11,IuranDSSebelumnya!$L$330:$L$772,"&lt;&gt;"&amp;$M$5)&gt;0,
              "Iuran dari Lingkungan lain",
              ""))</t>
  </si>
  <si>
    <t>=IF(COUNTIFS(IuranDSSebelumnya!$J$330:$J$772,$K23,IuranDSSebelumnya!$M$330:$M$772,BJ$11,IuranDSSebelumnya!$L$330:$L$772,$M$5)&gt;0,
        VLOOKUP(CONCATENATE($K23,"|",BJ$11,"|",$M$5),IuranDSSebelumnya!$I$330:$N$772,5,FALSE),
        IF(COUNTIFS(IuranDSSebelumnya!$J$330:$J$772,$K23,IuranDSSebelumnya!$M$330:$M$772,BJ$11,IuranDSSebelumnya!$L$330:$L$772,"&lt;&gt;"&amp;$M$5)&gt;0,
              "Iuran dari Lingkungan lain",
              ""))</t>
  </si>
  <si>
    <t>=IF(COUNTIFS(IuranDSSebelumnya!$J$330:$J$772,$K23,IuranDSSebelumnya!$M$330:$M$772,BK$11,IuranDSSebelumnya!$L$330:$L$772,$M$5)&gt;0,
        VLOOKUP(CONCATENATE($K23,"|",BK$11,"|",$M$5),IuranDSSebelumnya!$I$330:$N$772,5,FALSE),
        IF(COUNTIFS(IuranDSSebelumnya!$J$330:$J$772,$K23,IuranDSSebelumnya!$M$330:$M$772,BK$11,IuranDSSebelumnya!$L$330:$L$772,"&lt;&gt;"&amp;$M$5)&gt;0,
              "Iuran dari Lingkungan lain",
              ""))</t>
  </si>
  <si>
    <t>=IF(COUNTIFS(IuranDSSebelumnya!$J$330:$J$772,$K23,IuranDSSebelumnya!$M$330:$M$772,BL$11,IuranDSSebelumnya!$L$330:$L$772,$M$5)&gt;0,
        VLOOKUP(CONCATENATE($K23,"|",BL$11,"|",$M$5),IuranDSSebelumnya!$I$330:$N$772,5,FALSE),
        IF(COUNTIFS(IuranDSSebelumnya!$J$330:$J$772,$K23,IuranDSSebelumnya!$M$330:$M$772,BL$11,IuranDSSebelumnya!$L$330:$L$772,"&lt;&gt;"&amp;$M$5)&gt;0,
              "Iuran dari Lingkungan lain",
              ""))</t>
  </si>
  <si>
    <t>=CELL("row")=CELL("row",C24)</t>
  </si>
  <si>
    <t>="""TRUST Nav"",""HSPMTB2016"",""18"",""1"",""KK-05047"""</t>
  </si>
  <si>
    <t>=IF(AND($AL24=0,$J24=1)=TRUE,0,
        IF(AND($AL24&gt;0,$J24=1)=TRUE,1,
              IF(AND(H23=$H$12,$J24&gt;1)=TRUE,0,
                    IF(AND($AL24=0,$J24&gt;1),H23,
                         H23+1))))</t>
  </si>
  <si>
    <t>=IF(J23="No.",1,J23+1)</t>
  </si>
  <si>
    <t>=SUM(N24:AK24)</t>
  </si>
  <si>
    <t>=IF(COUNTIFS(IuranDSSebelumnya!$J$330:$J$772,$K24,IuranDSSebelumnya!$M$330:$M$772,AO$11,IuranDSSebelumnya!$L$330:$L$772,$M$5)&gt;0,
        VLOOKUP(CONCATENATE($K24,"|",AO$11,"|",$M$5),IuranDSSebelumnya!$I$330:$N$772,5,FALSE),
        IF(COUNTIFS(IuranDSSebelumnya!$J$330:$J$772,$K24,IuranDSSebelumnya!$M$330:$M$772,AO$11,IuranDSSebelumnya!$L$330:$L$772,"&lt;&gt;"&amp;$M$5)&gt;0,
              "Iuran dari Lingkungan lain",
              ""))</t>
  </si>
  <si>
    <t>=IF(COUNTIFS(IuranDSSebelumnya!$J$330:$J$772,$K24,IuranDSSebelumnya!$M$330:$M$772,AP$11,IuranDSSebelumnya!$L$330:$L$772,$M$5)&gt;0,
        VLOOKUP(CONCATENATE($K24,"|",AP$11,"|",$M$5),IuranDSSebelumnya!$I$330:$N$772,5,FALSE),
        IF(COUNTIFS(IuranDSSebelumnya!$J$330:$J$772,$K24,IuranDSSebelumnya!$M$330:$M$772,AP$11,IuranDSSebelumnya!$L$330:$L$772,"&lt;&gt;"&amp;$M$5)&gt;0,
              "Iuran dari Lingkungan lain",
              ""))</t>
  </si>
  <si>
    <t>=IF(COUNTIFS(IuranDSSebelumnya!$J$330:$J$772,$K24,IuranDSSebelumnya!$M$330:$M$772,AQ$11,IuranDSSebelumnya!$L$330:$L$772,$M$5)&gt;0,
        VLOOKUP(CONCATENATE($K24,"|",AQ$11,"|",$M$5),IuranDSSebelumnya!$I$330:$N$772,5,FALSE),
        IF(COUNTIFS(IuranDSSebelumnya!$J$330:$J$772,$K24,IuranDSSebelumnya!$M$330:$M$772,AQ$11,IuranDSSebelumnya!$L$330:$L$772,"&lt;&gt;"&amp;$M$5)&gt;0,
              "Iuran dari Lingkungan lain",
              ""))</t>
  </si>
  <si>
    <t>=IF(COUNTIFS(IuranDSSebelumnya!$J$330:$J$772,$K24,IuranDSSebelumnya!$M$330:$M$772,AR$11,IuranDSSebelumnya!$L$330:$L$772,$M$5)&gt;0,
        VLOOKUP(CONCATENATE($K24,"|",AR$11,"|",$M$5),IuranDSSebelumnya!$I$330:$N$772,5,FALSE),
        IF(COUNTIFS(IuranDSSebelumnya!$J$330:$J$772,$K24,IuranDSSebelumnya!$M$330:$M$772,AR$11,IuranDSSebelumnya!$L$330:$L$772,"&lt;&gt;"&amp;$M$5)&gt;0,
              "Iuran dari Lingkungan lain",
              ""))</t>
  </si>
  <si>
    <t>=IF(COUNTIFS(IuranDSSebelumnya!$J$330:$J$772,$K24,IuranDSSebelumnya!$M$330:$M$772,AS$11,IuranDSSebelumnya!$L$330:$L$772,$M$5)&gt;0,
        VLOOKUP(CONCATENATE($K24,"|",AS$11,"|",$M$5),IuranDSSebelumnya!$I$330:$N$772,5,FALSE),
        IF(COUNTIFS(IuranDSSebelumnya!$J$330:$J$772,$K24,IuranDSSebelumnya!$M$330:$M$772,AS$11,IuranDSSebelumnya!$L$330:$L$772,"&lt;&gt;"&amp;$M$5)&gt;0,
              "Iuran dari Lingkungan lain",
              ""))</t>
  </si>
  <si>
    <t>=IF(COUNTIFS(IuranDSSebelumnya!$J$330:$J$772,$K24,IuranDSSebelumnya!$M$330:$M$772,AT$11,IuranDSSebelumnya!$L$330:$L$772,$M$5)&gt;0,
        VLOOKUP(CONCATENATE($K24,"|",AT$11,"|",$M$5),IuranDSSebelumnya!$I$330:$N$772,5,FALSE),
        IF(COUNTIFS(IuranDSSebelumnya!$J$330:$J$772,$K24,IuranDSSebelumnya!$M$330:$M$772,AT$11,IuranDSSebelumnya!$L$330:$L$772,"&lt;&gt;"&amp;$M$5)&gt;0,
              "Iuran dari Lingkungan lain",
              ""))</t>
  </si>
  <si>
    <t>=IF(COUNTIFS(IuranDSSebelumnya!$J$330:$J$772,$K24,IuranDSSebelumnya!$M$330:$M$772,AU$11,IuranDSSebelumnya!$L$330:$L$772,$M$5)&gt;0,
        VLOOKUP(CONCATENATE($K24,"|",AU$11,"|",$M$5),IuranDSSebelumnya!$I$330:$N$772,5,FALSE),
        IF(COUNTIFS(IuranDSSebelumnya!$J$330:$J$772,$K24,IuranDSSebelumnya!$M$330:$M$772,AU$11,IuranDSSebelumnya!$L$330:$L$772,"&lt;&gt;"&amp;$M$5)&gt;0,
              "Iuran dari Lingkungan lain",
              ""))</t>
  </si>
  <si>
    <t>=IF(COUNTIFS(IuranDSSebelumnya!$J$330:$J$772,$K24,IuranDSSebelumnya!$M$330:$M$772,AV$11,IuranDSSebelumnya!$L$330:$L$772,$M$5)&gt;0,
        VLOOKUP(CONCATENATE($K24,"|",AV$11,"|",$M$5),IuranDSSebelumnya!$I$330:$N$772,5,FALSE),
        IF(COUNTIFS(IuranDSSebelumnya!$J$330:$J$772,$K24,IuranDSSebelumnya!$M$330:$M$772,AV$11,IuranDSSebelumnya!$L$330:$L$772,"&lt;&gt;"&amp;$M$5)&gt;0,
              "Iuran dari Lingkungan lain",
              ""))</t>
  </si>
  <si>
    <t>=IF(COUNTIFS(IuranDSSebelumnya!$J$330:$J$772,$K24,IuranDSSebelumnya!$M$330:$M$772,AW$11,IuranDSSebelumnya!$L$330:$L$772,$M$5)&gt;0,
        VLOOKUP(CONCATENATE($K24,"|",AW$11,"|",$M$5),IuranDSSebelumnya!$I$330:$N$772,5,FALSE),
        IF(COUNTIFS(IuranDSSebelumnya!$J$330:$J$772,$K24,IuranDSSebelumnya!$M$330:$M$772,AW$11,IuranDSSebelumnya!$L$330:$L$772,"&lt;&gt;"&amp;$M$5)&gt;0,
              "Iuran dari Lingkungan lain",
              ""))</t>
  </si>
  <si>
    <t>=IF(COUNTIFS(IuranDSSebelumnya!$J$330:$J$772,$K24,IuranDSSebelumnya!$M$330:$M$772,AX$11,IuranDSSebelumnya!$L$330:$L$772,$M$5)&gt;0,
        VLOOKUP(CONCATENATE($K24,"|",AX$11,"|",$M$5),IuranDSSebelumnya!$I$330:$N$772,5,FALSE),
        IF(COUNTIFS(IuranDSSebelumnya!$J$330:$J$772,$K24,IuranDSSebelumnya!$M$330:$M$772,AX$11,IuranDSSebelumnya!$L$330:$L$772,"&lt;&gt;"&amp;$M$5)&gt;0,
              "Iuran dari Lingkungan lain",
              ""))</t>
  </si>
  <si>
    <t>=IF(COUNTIFS(IuranDSSebelumnya!$J$330:$J$772,$K24,IuranDSSebelumnya!$M$330:$M$772,AY$11,IuranDSSebelumnya!$L$330:$L$772,$M$5)&gt;0,
        VLOOKUP(CONCATENATE($K24,"|",AY$11,"|",$M$5),IuranDSSebelumnya!$I$330:$N$772,5,FALSE),
        IF(COUNTIFS(IuranDSSebelumnya!$J$330:$J$772,$K24,IuranDSSebelumnya!$M$330:$M$772,AY$11,IuranDSSebelumnya!$L$330:$L$772,"&lt;&gt;"&amp;$M$5)&gt;0,
              "Iuran dari Lingkungan lain",
              ""))</t>
  </si>
  <si>
    <t>=IF(COUNTIFS(IuranDSSebelumnya!$J$330:$J$772,$K24,IuranDSSebelumnya!$M$330:$M$772,AZ$11,IuranDSSebelumnya!$L$330:$L$772,$M$5)&gt;0,
        VLOOKUP(CONCATENATE($K24,"|",AZ$11,"|",$M$5),IuranDSSebelumnya!$I$330:$N$772,5,FALSE),
        IF(COUNTIFS(IuranDSSebelumnya!$J$330:$J$772,$K24,IuranDSSebelumnya!$M$330:$M$772,AZ$11,IuranDSSebelumnya!$L$330:$L$772,"&lt;&gt;"&amp;$M$5)&gt;0,
              "Iuran dari Lingkungan lain",
              ""))</t>
  </si>
  <si>
    <t>=IF(COUNTIFS(IuranDSSebelumnya!$J$330:$J$772,$K24,IuranDSSebelumnya!$M$330:$M$772,BA$11,IuranDSSebelumnya!$L$330:$L$772,$M$5)&gt;0,
        VLOOKUP(CONCATENATE($K24,"|",BA$11,"|",$M$5),IuranDSSebelumnya!$I$330:$N$772,5,FALSE),
        IF(COUNTIFS(IuranDSSebelumnya!$J$330:$J$772,$K24,IuranDSSebelumnya!$M$330:$M$772,BA$11,IuranDSSebelumnya!$L$330:$L$772,"&lt;&gt;"&amp;$M$5)&gt;0,
              "Iuran dari Lingkungan lain",
              ""))</t>
  </si>
  <si>
    <t>=IF(COUNTIFS(IuranDSSebelumnya!$J$330:$J$772,$K24,IuranDSSebelumnya!$M$330:$M$772,BB$11,IuranDSSebelumnya!$L$330:$L$772,$M$5)&gt;0,
        VLOOKUP(CONCATENATE($K24,"|",BB$11,"|",$M$5),IuranDSSebelumnya!$I$330:$N$772,5,FALSE),
        IF(COUNTIFS(IuranDSSebelumnya!$J$330:$J$772,$K24,IuranDSSebelumnya!$M$330:$M$772,BB$11,IuranDSSebelumnya!$L$330:$L$772,"&lt;&gt;"&amp;$M$5)&gt;0,
              "Iuran dari Lingkungan lain",
              ""))</t>
  </si>
  <si>
    <t>=IF(COUNTIFS(IuranDSSebelumnya!$J$330:$J$772,$K24,IuranDSSebelumnya!$M$330:$M$772,BC$11,IuranDSSebelumnya!$L$330:$L$772,$M$5)&gt;0,
        VLOOKUP(CONCATENATE($K24,"|",BC$11,"|",$M$5),IuranDSSebelumnya!$I$330:$N$772,5,FALSE),
        IF(COUNTIFS(IuranDSSebelumnya!$J$330:$J$772,$K24,IuranDSSebelumnya!$M$330:$M$772,BC$11,IuranDSSebelumnya!$L$330:$L$772,"&lt;&gt;"&amp;$M$5)&gt;0,
              "Iuran dari Lingkungan lain",
              ""))</t>
  </si>
  <si>
    <t>=IF(COUNTIFS(IuranDSSebelumnya!$J$330:$J$772,$K24,IuranDSSebelumnya!$M$330:$M$772,BD$11,IuranDSSebelumnya!$L$330:$L$772,$M$5)&gt;0,
        VLOOKUP(CONCATENATE($K24,"|",BD$11,"|",$M$5),IuranDSSebelumnya!$I$330:$N$772,5,FALSE),
        IF(COUNTIFS(IuranDSSebelumnya!$J$330:$J$772,$K24,IuranDSSebelumnya!$M$330:$M$772,BD$11,IuranDSSebelumnya!$L$330:$L$772,"&lt;&gt;"&amp;$M$5)&gt;0,
              "Iuran dari Lingkungan lain",
              ""))</t>
  </si>
  <si>
    <t>=IF(COUNTIFS(IuranDSSebelumnya!$J$330:$J$772,$K24,IuranDSSebelumnya!$M$330:$M$772,BE$11,IuranDSSebelumnya!$L$330:$L$772,$M$5)&gt;0,
        VLOOKUP(CONCATENATE($K24,"|",BE$11,"|",$M$5),IuranDSSebelumnya!$I$330:$N$772,5,FALSE),
        IF(COUNTIFS(IuranDSSebelumnya!$J$330:$J$772,$K24,IuranDSSebelumnya!$M$330:$M$772,BE$11,IuranDSSebelumnya!$L$330:$L$772,"&lt;&gt;"&amp;$M$5)&gt;0,
              "Iuran dari Lingkungan lain",
              ""))</t>
  </si>
  <si>
    <t>=IF(COUNTIFS(IuranDSSebelumnya!$J$330:$J$772,$K24,IuranDSSebelumnya!$M$330:$M$772,BF$11,IuranDSSebelumnya!$L$330:$L$772,$M$5)&gt;0,
        VLOOKUP(CONCATENATE($K24,"|",BF$11,"|",$M$5),IuranDSSebelumnya!$I$330:$N$772,5,FALSE),
        IF(COUNTIFS(IuranDSSebelumnya!$J$330:$J$772,$K24,IuranDSSebelumnya!$M$330:$M$772,BF$11,IuranDSSebelumnya!$L$330:$L$772,"&lt;&gt;"&amp;$M$5)&gt;0,
              "Iuran dari Lingkungan lain",
              ""))</t>
  </si>
  <si>
    <t>=IF(COUNTIFS(IuranDSSebelumnya!$J$330:$J$772,$K24,IuranDSSebelumnya!$M$330:$M$772,BG$11,IuranDSSebelumnya!$L$330:$L$772,$M$5)&gt;0,
        VLOOKUP(CONCATENATE($K24,"|",BG$11,"|",$M$5),IuranDSSebelumnya!$I$330:$N$772,5,FALSE),
        IF(COUNTIFS(IuranDSSebelumnya!$J$330:$J$772,$K24,IuranDSSebelumnya!$M$330:$M$772,BG$11,IuranDSSebelumnya!$L$330:$L$772,"&lt;&gt;"&amp;$M$5)&gt;0,
              "Iuran dari Lingkungan lain",
              ""))</t>
  </si>
  <si>
    <t>=IF(COUNTIFS(IuranDSSebelumnya!$J$330:$J$772,$K24,IuranDSSebelumnya!$M$330:$M$772,BH$11,IuranDSSebelumnya!$L$330:$L$772,$M$5)&gt;0,
        VLOOKUP(CONCATENATE($K24,"|",BH$11,"|",$M$5),IuranDSSebelumnya!$I$330:$N$772,5,FALSE),
        IF(COUNTIFS(IuranDSSebelumnya!$J$330:$J$772,$K24,IuranDSSebelumnya!$M$330:$M$772,BH$11,IuranDSSebelumnya!$L$330:$L$772,"&lt;&gt;"&amp;$M$5)&gt;0,
              "Iuran dari Lingkungan lain",
              ""))</t>
  </si>
  <si>
    <t>=IF(COUNTIFS(IuranDSSebelumnya!$J$330:$J$772,$K24,IuranDSSebelumnya!$M$330:$M$772,BI$11,IuranDSSebelumnya!$L$330:$L$772,$M$5)&gt;0,
        VLOOKUP(CONCATENATE($K24,"|",BI$11,"|",$M$5),IuranDSSebelumnya!$I$330:$N$772,5,FALSE),
        IF(COUNTIFS(IuranDSSebelumnya!$J$330:$J$772,$K24,IuranDSSebelumnya!$M$330:$M$772,BI$11,IuranDSSebelumnya!$L$330:$L$772,"&lt;&gt;"&amp;$M$5)&gt;0,
              "Iuran dari Lingkungan lain",
              ""))</t>
  </si>
  <si>
    <t>=IF(COUNTIFS(IuranDSSebelumnya!$J$330:$J$772,$K24,IuranDSSebelumnya!$M$330:$M$772,BJ$11,IuranDSSebelumnya!$L$330:$L$772,$M$5)&gt;0,
        VLOOKUP(CONCATENATE($K24,"|",BJ$11,"|",$M$5),IuranDSSebelumnya!$I$330:$N$772,5,FALSE),
        IF(COUNTIFS(IuranDSSebelumnya!$J$330:$J$772,$K24,IuranDSSebelumnya!$M$330:$M$772,BJ$11,IuranDSSebelumnya!$L$330:$L$772,"&lt;&gt;"&amp;$M$5)&gt;0,
              "Iuran dari Lingkungan lain",
              ""))</t>
  </si>
  <si>
    <t>=IF(COUNTIFS(IuranDSSebelumnya!$J$330:$J$772,$K24,IuranDSSebelumnya!$M$330:$M$772,BK$11,IuranDSSebelumnya!$L$330:$L$772,$M$5)&gt;0,
        VLOOKUP(CONCATENATE($K24,"|",BK$11,"|",$M$5),IuranDSSebelumnya!$I$330:$N$772,5,FALSE),
        IF(COUNTIFS(IuranDSSebelumnya!$J$330:$J$772,$K24,IuranDSSebelumnya!$M$330:$M$772,BK$11,IuranDSSebelumnya!$L$330:$L$772,"&lt;&gt;"&amp;$M$5)&gt;0,
              "Iuran dari Lingkungan lain",
              ""))</t>
  </si>
  <si>
    <t>=IF(COUNTIFS(IuranDSSebelumnya!$J$330:$J$772,$K24,IuranDSSebelumnya!$M$330:$M$772,BL$11,IuranDSSebelumnya!$L$330:$L$772,$M$5)&gt;0,
        VLOOKUP(CONCATENATE($K24,"|",BL$11,"|",$M$5),IuranDSSebelumnya!$I$330:$N$772,5,FALSE),
        IF(COUNTIFS(IuranDSSebelumnya!$J$330:$J$772,$K24,IuranDSSebelumnya!$M$330:$M$772,BL$11,IuranDSSebelumnya!$L$330:$L$772,"&lt;&gt;"&amp;$M$5)&gt;0,
              "Iuran dari Lingkungan lain",
              ""))</t>
  </si>
  <si>
    <t>=CELL("row")=CELL("row",C25)</t>
  </si>
  <si>
    <t>="""TRUST Nav"",""HSPMTB2016"",""18"",""1"",""KK-04626"""</t>
  </si>
  <si>
    <t>=IF(AND($AL25=0,$J25=1)=TRUE,0,
        IF(AND($AL25&gt;0,$J25=1)=TRUE,1,
              IF(AND(H24=$H$12,$J25&gt;1)=TRUE,0,
                    IF(AND($AL25=0,$J25&gt;1),H24,
                         H24+1))))</t>
  </si>
  <si>
    <t>=IF(J24="No.",1,J24+1)</t>
  </si>
  <si>
    <t>=SUM(N25:AK25)</t>
  </si>
  <si>
    <t>=IF(COUNTIFS(IuranDSSebelumnya!$J$330:$J$772,$K25,IuranDSSebelumnya!$M$330:$M$772,AO$11,IuranDSSebelumnya!$L$330:$L$772,$M$5)&gt;0,
        VLOOKUP(CONCATENATE($K25,"|",AO$11,"|",$M$5),IuranDSSebelumnya!$I$330:$N$772,5,FALSE),
        IF(COUNTIFS(IuranDSSebelumnya!$J$330:$J$772,$K25,IuranDSSebelumnya!$M$330:$M$772,AO$11,IuranDSSebelumnya!$L$330:$L$772,"&lt;&gt;"&amp;$M$5)&gt;0,
              "Iuran dari Lingkungan lain",
              ""))</t>
  </si>
  <si>
    <t>=IF(COUNTIFS(IuranDSSebelumnya!$J$330:$J$772,$K25,IuranDSSebelumnya!$M$330:$M$772,AP$11,IuranDSSebelumnya!$L$330:$L$772,$M$5)&gt;0,
        VLOOKUP(CONCATENATE($K25,"|",AP$11,"|",$M$5),IuranDSSebelumnya!$I$330:$N$772,5,FALSE),
        IF(COUNTIFS(IuranDSSebelumnya!$J$330:$J$772,$K25,IuranDSSebelumnya!$M$330:$M$772,AP$11,IuranDSSebelumnya!$L$330:$L$772,"&lt;&gt;"&amp;$M$5)&gt;0,
              "Iuran dari Lingkungan lain",
              ""))</t>
  </si>
  <si>
    <t>=IF(COUNTIFS(IuranDSSebelumnya!$J$330:$J$772,$K25,IuranDSSebelumnya!$M$330:$M$772,AQ$11,IuranDSSebelumnya!$L$330:$L$772,$M$5)&gt;0,
        VLOOKUP(CONCATENATE($K25,"|",AQ$11,"|",$M$5),IuranDSSebelumnya!$I$330:$N$772,5,FALSE),
        IF(COUNTIFS(IuranDSSebelumnya!$J$330:$J$772,$K25,IuranDSSebelumnya!$M$330:$M$772,AQ$11,IuranDSSebelumnya!$L$330:$L$772,"&lt;&gt;"&amp;$M$5)&gt;0,
              "Iuran dari Lingkungan lain",
              ""))</t>
  </si>
  <si>
    <t>=IF(COUNTIFS(IuranDSSebelumnya!$J$330:$J$772,$K25,IuranDSSebelumnya!$M$330:$M$772,AR$11,IuranDSSebelumnya!$L$330:$L$772,$M$5)&gt;0,
        VLOOKUP(CONCATENATE($K25,"|",AR$11,"|",$M$5),IuranDSSebelumnya!$I$330:$N$772,5,FALSE),
        IF(COUNTIFS(IuranDSSebelumnya!$J$330:$J$772,$K25,IuranDSSebelumnya!$M$330:$M$772,AR$11,IuranDSSebelumnya!$L$330:$L$772,"&lt;&gt;"&amp;$M$5)&gt;0,
              "Iuran dari Lingkungan lain",
              ""))</t>
  </si>
  <si>
    <t>=IF(COUNTIFS(IuranDSSebelumnya!$J$330:$J$772,$K25,IuranDSSebelumnya!$M$330:$M$772,AS$11,IuranDSSebelumnya!$L$330:$L$772,$M$5)&gt;0,
        VLOOKUP(CONCATENATE($K25,"|",AS$11,"|",$M$5),IuranDSSebelumnya!$I$330:$N$772,5,FALSE),
        IF(COUNTIFS(IuranDSSebelumnya!$J$330:$J$772,$K25,IuranDSSebelumnya!$M$330:$M$772,AS$11,IuranDSSebelumnya!$L$330:$L$772,"&lt;&gt;"&amp;$M$5)&gt;0,
              "Iuran dari Lingkungan lain",
              ""))</t>
  </si>
  <si>
    <t>=IF(COUNTIFS(IuranDSSebelumnya!$J$330:$J$772,$K25,IuranDSSebelumnya!$M$330:$M$772,AT$11,IuranDSSebelumnya!$L$330:$L$772,$M$5)&gt;0,
        VLOOKUP(CONCATENATE($K25,"|",AT$11,"|",$M$5),IuranDSSebelumnya!$I$330:$N$772,5,FALSE),
        IF(COUNTIFS(IuranDSSebelumnya!$J$330:$J$772,$K25,IuranDSSebelumnya!$M$330:$M$772,AT$11,IuranDSSebelumnya!$L$330:$L$772,"&lt;&gt;"&amp;$M$5)&gt;0,
              "Iuran dari Lingkungan lain",
              ""))</t>
  </si>
  <si>
    <t>=IF(COUNTIFS(IuranDSSebelumnya!$J$330:$J$772,$K25,IuranDSSebelumnya!$M$330:$M$772,AU$11,IuranDSSebelumnya!$L$330:$L$772,$M$5)&gt;0,
        VLOOKUP(CONCATENATE($K25,"|",AU$11,"|",$M$5),IuranDSSebelumnya!$I$330:$N$772,5,FALSE),
        IF(COUNTIFS(IuranDSSebelumnya!$J$330:$J$772,$K25,IuranDSSebelumnya!$M$330:$M$772,AU$11,IuranDSSebelumnya!$L$330:$L$772,"&lt;&gt;"&amp;$M$5)&gt;0,
              "Iuran dari Lingkungan lain",
              ""))</t>
  </si>
  <si>
    <t>=IF(COUNTIFS(IuranDSSebelumnya!$J$330:$J$772,$K25,IuranDSSebelumnya!$M$330:$M$772,AV$11,IuranDSSebelumnya!$L$330:$L$772,$M$5)&gt;0,
        VLOOKUP(CONCATENATE($K25,"|",AV$11,"|",$M$5),IuranDSSebelumnya!$I$330:$N$772,5,FALSE),
        IF(COUNTIFS(IuranDSSebelumnya!$J$330:$J$772,$K25,IuranDSSebelumnya!$M$330:$M$772,AV$11,IuranDSSebelumnya!$L$330:$L$772,"&lt;&gt;"&amp;$M$5)&gt;0,
              "Iuran dari Lingkungan lain",
              ""))</t>
  </si>
  <si>
    <t>=IF(COUNTIFS(IuranDSSebelumnya!$J$330:$J$772,$K25,IuranDSSebelumnya!$M$330:$M$772,AW$11,IuranDSSebelumnya!$L$330:$L$772,$M$5)&gt;0,
        VLOOKUP(CONCATENATE($K25,"|",AW$11,"|",$M$5),IuranDSSebelumnya!$I$330:$N$772,5,FALSE),
        IF(COUNTIFS(IuranDSSebelumnya!$J$330:$J$772,$K25,IuranDSSebelumnya!$M$330:$M$772,AW$11,IuranDSSebelumnya!$L$330:$L$772,"&lt;&gt;"&amp;$M$5)&gt;0,
              "Iuran dari Lingkungan lain",
              ""))</t>
  </si>
  <si>
    <t>=IF(COUNTIFS(IuranDSSebelumnya!$J$330:$J$772,$K25,IuranDSSebelumnya!$M$330:$M$772,AX$11,IuranDSSebelumnya!$L$330:$L$772,$M$5)&gt;0,
        VLOOKUP(CONCATENATE($K25,"|",AX$11,"|",$M$5),IuranDSSebelumnya!$I$330:$N$772,5,FALSE),
        IF(COUNTIFS(IuranDSSebelumnya!$J$330:$J$772,$K25,IuranDSSebelumnya!$M$330:$M$772,AX$11,IuranDSSebelumnya!$L$330:$L$772,"&lt;&gt;"&amp;$M$5)&gt;0,
              "Iuran dari Lingkungan lain",
              ""))</t>
  </si>
  <si>
    <t>=IF(COUNTIFS(IuranDSSebelumnya!$J$330:$J$772,$K25,IuranDSSebelumnya!$M$330:$M$772,AY$11,IuranDSSebelumnya!$L$330:$L$772,$M$5)&gt;0,
        VLOOKUP(CONCATENATE($K25,"|",AY$11,"|",$M$5),IuranDSSebelumnya!$I$330:$N$772,5,FALSE),
        IF(COUNTIFS(IuranDSSebelumnya!$J$330:$J$772,$K25,IuranDSSebelumnya!$M$330:$M$772,AY$11,IuranDSSebelumnya!$L$330:$L$772,"&lt;&gt;"&amp;$M$5)&gt;0,
              "Iuran dari Lingkungan lain",
              ""))</t>
  </si>
  <si>
    <t>=IF(COUNTIFS(IuranDSSebelumnya!$J$330:$J$772,$K25,IuranDSSebelumnya!$M$330:$M$772,AZ$11,IuranDSSebelumnya!$L$330:$L$772,$M$5)&gt;0,
        VLOOKUP(CONCATENATE($K25,"|",AZ$11,"|",$M$5),IuranDSSebelumnya!$I$330:$N$772,5,FALSE),
        IF(COUNTIFS(IuranDSSebelumnya!$J$330:$J$772,$K25,IuranDSSebelumnya!$M$330:$M$772,AZ$11,IuranDSSebelumnya!$L$330:$L$772,"&lt;&gt;"&amp;$M$5)&gt;0,
              "Iuran dari Lingkungan lain",
              ""))</t>
  </si>
  <si>
    <t>=IF(COUNTIFS(IuranDSSebelumnya!$J$330:$J$772,$K25,IuranDSSebelumnya!$M$330:$M$772,BA$11,IuranDSSebelumnya!$L$330:$L$772,$M$5)&gt;0,
        VLOOKUP(CONCATENATE($K25,"|",BA$11,"|",$M$5),IuranDSSebelumnya!$I$330:$N$772,5,FALSE),
        IF(COUNTIFS(IuranDSSebelumnya!$J$330:$J$772,$K25,IuranDSSebelumnya!$M$330:$M$772,BA$11,IuranDSSebelumnya!$L$330:$L$772,"&lt;&gt;"&amp;$M$5)&gt;0,
              "Iuran dari Lingkungan lain",
              ""))</t>
  </si>
  <si>
    <t>=IF(COUNTIFS(IuranDSSebelumnya!$J$330:$J$772,$K25,IuranDSSebelumnya!$M$330:$M$772,BB$11,IuranDSSebelumnya!$L$330:$L$772,$M$5)&gt;0,
        VLOOKUP(CONCATENATE($K25,"|",BB$11,"|",$M$5),IuranDSSebelumnya!$I$330:$N$772,5,FALSE),
        IF(COUNTIFS(IuranDSSebelumnya!$J$330:$J$772,$K25,IuranDSSebelumnya!$M$330:$M$772,BB$11,IuranDSSebelumnya!$L$330:$L$772,"&lt;&gt;"&amp;$M$5)&gt;0,
              "Iuran dari Lingkungan lain",
              ""))</t>
  </si>
  <si>
    <t>=IF(COUNTIFS(IuranDSSebelumnya!$J$330:$J$772,$K25,IuranDSSebelumnya!$M$330:$M$772,BC$11,IuranDSSebelumnya!$L$330:$L$772,$M$5)&gt;0,
        VLOOKUP(CONCATENATE($K25,"|",BC$11,"|",$M$5),IuranDSSebelumnya!$I$330:$N$772,5,FALSE),
        IF(COUNTIFS(IuranDSSebelumnya!$J$330:$J$772,$K25,IuranDSSebelumnya!$M$330:$M$772,BC$11,IuranDSSebelumnya!$L$330:$L$772,"&lt;&gt;"&amp;$M$5)&gt;0,
              "Iuran dari Lingkungan lain",
              ""))</t>
  </si>
  <si>
    <t>=IF(COUNTIFS(IuranDSSebelumnya!$J$330:$J$772,$K25,IuranDSSebelumnya!$M$330:$M$772,BD$11,IuranDSSebelumnya!$L$330:$L$772,$M$5)&gt;0,
        VLOOKUP(CONCATENATE($K25,"|",BD$11,"|",$M$5),IuranDSSebelumnya!$I$330:$N$772,5,FALSE),
        IF(COUNTIFS(IuranDSSebelumnya!$J$330:$J$772,$K25,IuranDSSebelumnya!$M$330:$M$772,BD$11,IuranDSSebelumnya!$L$330:$L$772,"&lt;&gt;"&amp;$M$5)&gt;0,
              "Iuran dari Lingkungan lain",
              ""))</t>
  </si>
  <si>
    <t>=IF(COUNTIFS(IuranDSSebelumnya!$J$330:$J$772,$K25,IuranDSSebelumnya!$M$330:$M$772,BE$11,IuranDSSebelumnya!$L$330:$L$772,$M$5)&gt;0,
        VLOOKUP(CONCATENATE($K25,"|",BE$11,"|",$M$5),IuranDSSebelumnya!$I$330:$N$772,5,FALSE),
        IF(COUNTIFS(IuranDSSebelumnya!$J$330:$J$772,$K25,IuranDSSebelumnya!$M$330:$M$772,BE$11,IuranDSSebelumnya!$L$330:$L$772,"&lt;&gt;"&amp;$M$5)&gt;0,
              "Iuran dari Lingkungan lain",
              ""))</t>
  </si>
  <si>
    <t>=IF(COUNTIFS(IuranDSSebelumnya!$J$330:$J$772,$K25,IuranDSSebelumnya!$M$330:$M$772,BF$11,IuranDSSebelumnya!$L$330:$L$772,$M$5)&gt;0,
        VLOOKUP(CONCATENATE($K25,"|",BF$11,"|",$M$5),IuranDSSebelumnya!$I$330:$N$772,5,FALSE),
        IF(COUNTIFS(IuranDSSebelumnya!$J$330:$J$772,$K25,IuranDSSebelumnya!$M$330:$M$772,BF$11,IuranDSSebelumnya!$L$330:$L$772,"&lt;&gt;"&amp;$M$5)&gt;0,
              "Iuran dari Lingkungan lain",
              ""))</t>
  </si>
  <si>
    <t>=IF(COUNTIFS(IuranDSSebelumnya!$J$330:$J$772,$K25,IuranDSSebelumnya!$M$330:$M$772,BG$11,IuranDSSebelumnya!$L$330:$L$772,$M$5)&gt;0,
        VLOOKUP(CONCATENATE($K25,"|",BG$11,"|",$M$5),IuranDSSebelumnya!$I$330:$N$772,5,FALSE),
        IF(COUNTIFS(IuranDSSebelumnya!$J$330:$J$772,$K25,IuranDSSebelumnya!$M$330:$M$772,BG$11,IuranDSSebelumnya!$L$330:$L$772,"&lt;&gt;"&amp;$M$5)&gt;0,
              "Iuran dari Lingkungan lain",
              ""))</t>
  </si>
  <si>
    <t>=IF(COUNTIFS(IuranDSSebelumnya!$J$330:$J$772,$K25,IuranDSSebelumnya!$M$330:$M$772,BH$11,IuranDSSebelumnya!$L$330:$L$772,$M$5)&gt;0,
        VLOOKUP(CONCATENATE($K25,"|",BH$11,"|",$M$5),IuranDSSebelumnya!$I$330:$N$772,5,FALSE),
        IF(COUNTIFS(IuranDSSebelumnya!$J$330:$J$772,$K25,IuranDSSebelumnya!$M$330:$M$772,BH$11,IuranDSSebelumnya!$L$330:$L$772,"&lt;&gt;"&amp;$M$5)&gt;0,
              "Iuran dari Lingkungan lain",
              ""))</t>
  </si>
  <si>
    <t>=IF(COUNTIFS(IuranDSSebelumnya!$J$330:$J$772,$K25,IuranDSSebelumnya!$M$330:$M$772,BI$11,IuranDSSebelumnya!$L$330:$L$772,$M$5)&gt;0,
        VLOOKUP(CONCATENATE($K25,"|",BI$11,"|",$M$5),IuranDSSebelumnya!$I$330:$N$772,5,FALSE),
        IF(COUNTIFS(IuranDSSebelumnya!$J$330:$J$772,$K25,IuranDSSebelumnya!$M$330:$M$772,BI$11,IuranDSSebelumnya!$L$330:$L$772,"&lt;&gt;"&amp;$M$5)&gt;0,
              "Iuran dari Lingkungan lain",
              ""))</t>
  </si>
  <si>
    <t>=IF(COUNTIFS(IuranDSSebelumnya!$J$330:$J$772,$K25,IuranDSSebelumnya!$M$330:$M$772,BJ$11,IuranDSSebelumnya!$L$330:$L$772,$M$5)&gt;0,
        VLOOKUP(CONCATENATE($K25,"|",BJ$11,"|",$M$5),IuranDSSebelumnya!$I$330:$N$772,5,FALSE),
        IF(COUNTIFS(IuranDSSebelumnya!$J$330:$J$772,$K25,IuranDSSebelumnya!$M$330:$M$772,BJ$11,IuranDSSebelumnya!$L$330:$L$772,"&lt;&gt;"&amp;$M$5)&gt;0,
              "Iuran dari Lingkungan lain",
              ""))</t>
  </si>
  <si>
    <t>=IF(COUNTIFS(IuranDSSebelumnya!$J$330:$J$772,$K25,IuranDSSebelumnya!$M$330:$M$772,BK$11,IuranDSSebelumnya!$L$330:$L$772,$M$5)&gt;0,
        VLOOKUP(CONCATENATE($K25,"|",BK$11,"|",$M$5),IuranDSSebelumnya!$I$330:$N$772,5,FALSE),
        IF(COUNTIFS(IuranDSSebelumnya!$J$330:$J$772,$K25,IuranDSSebelumnya!$M$330:$M$772,BK$11,IuranDSSebelumnya!$L$330:$L$772,"&lt;&gt;"&amp;$M$5)&gt;0,
              "Iuran dari Lingkungan lain",
              ""))</t>
  </si>
  <si>
    <t>=IF(COUNTIFS(IuranDSSebelumnya!$J$330:$J$772,$K25,IuranDSSebelumnya!$M$330:$M$772,BL$11,IuranDSSebelumnya!$L$330:$L$772,$M$5)&gt;0,
        VLOOKUP(CONCATENATE($K25,"|",BL$11,"|",$M$5),IuranDSSebelumnya!$I$330:$N$772,5,FALSE),
        IF(COUNTIFS(IuranDSSebelumnya!$J$330:$J$772,$K25,IuranDSSebelumnya!$M$330:$M$772,BL$11,IuranDSSebelumnya!$L$330:$L$772,"&lt;&gt;"&amp;$M$5)&gt;0,
              "Iuran dari Lingkungan lain",
              ""))</t>
  </si>
  <si>
    <t>=CELL("row")=CELL("row",C26)</t>
  </si>
  <si>
    <t>="""TRUST Nav"",""HSPMTB2016"",""18"",""1"",""KK-04605"""</t>
  </si>
  <si>
    <t>=IF(AND($AL26=0,$J26=1)=TRUE,0,
        IF(AND($AL26&gt;0,$J26=1)=TRUE,1,
              IF(AND(H25=$H$12,$J26&gt;1)=TRUE,0,
                    IF(AND($AL26=0,$J26&gt;1),H25,
                         H25+1))))</t>
  </si>
  <si>
    <t>=IF(J25="No.",1,J25+1)</t>
  </si>
  <si>
    <t>=SUM(N26:AK26)</t>
  </si>
  <si>
    <t>=IF(COUNTIFS(IuranDSSebelumnya!$J$330:$J$772,$K26,IuranDSSebelumnya!$M$330:$M$772,AO$11,IuranDSSebelumnya!$L$330:$L$772,$M$5)&gt;0,
        VLOOKUP(CONCATENATE($K26,"|",AO$11,"|",$M$5),IuranDSSebelumnya!$I$330:$N$772,5,FALSE),
        IF(COUNTIFS(IuranDSSebelumnya!$J$330:$J$772,$K26,IuranDSSebelumnya!$M$330:$M$772,AO$11,IuranDSSebelumnya!$L$330:$L$772,"&lt;&gt;"&amp;$M$5)&gt;0,
              "Iuran dari Lingkungan lain",
              ""))</t>
  </si>
  <si>
    <t>=IF(COUNTIFS(IuranDSSebelumnya!$J$330:$J$772,$K26,IuranDSSebelumnya!$M$330:$M$772,AP$11,IuranDSSebelumnya!$L$330:$L$772,$M$5)&gt;0,
        VLOOKUP(CONCATENATE($K26,"|",AP$11,"|",$M$5),IuranDSSebelumnya!$I$330:$N$772,5,FALSE),
        IF(COUNTIFS(IuranDSSebelumnya!$J$330:$J$772,$K26,IuranDSSebelumnya!$M$330:$M$772,AP$11,IuranDSSebelumnya!$L$330:$L$772,"&lt;&gt;"&amp;$M$5)&gt;0,
              "Iuran dari Lingkungan lain",
              ""))</t>
  </si>
  <si>
    <t>=IF(COUNTIFS(IuranDSSebelumnya!$J$330:$J$772,$K26,IuranDSSebelumnya!$M$330:$M$772,AQ$11,IuranDSSebelumnya!$L$330:$L$772,$M$5)&gt;0,
        VLOOKUP(CONCATENATE($K26,"|",AQ$11,"|",$M$5),IuranDSSebelumnya!$I$330:$N$772,5,FALSE),
        IF(COUNTIFS(IuranDSSebelumnya!$J$330:$J$772,$K26,IuranDSSebelumnya!$M$330:$M$772,AQ$11,IuranDSSebelumnya!$L$330:$L$772,"&lt;&gt;"&amp;$M$5)&gt;0,
              "Iuran dari Lingkungan lain",
              ""))</t>
  </si>
  <si>
    <t>=IF(COUNTIFS(IuranDSSebelumnya!$J$330:$J$772,$K26,IuranDSSebelumnya!$M$330:$M$772,AR$11,IuranDSSebelumnya!$L$330:$L$772,$M$5)&gt;0,
        VLOOKUP(CONCATENATE($K26,"|",AR$11,"|",$M$5),IuranDSSebelumnya!$I$330:$N$772,5,FALSE),
        IF(COUNTIFS(IuranDSSebelumnya!$J$330:$J$772,$K26,IuranDSSebelumnya!$M$330:$M$772,AR$11,IuranDSSebelumnya!$L$330:$L$772,"&lt;&gt;"&amp;$M$5)&gt;0,
              "Iuran dari Lingkungan lain",
              ""))</t>
  </si>
  <si>
    <t>=IF(COUNTIFS(IuranDSSebelumnya!$J$330:$J$772,$K26,IuranDSSebelumnya!$M$330:$M$772,AS$11,IuranDSSebelumnya!$L$330:$L$772,$M$5)&gt;0,
        VLOOKUP(CONCATENATE($K26,"|",AS$11,"|",$M$5),IuranDSSebelumnya!$I$330:$N$772,5,FALSE),
        IF(COUNTIFS(IuranDSSebelumnya!$J$330:$J$772,$K26,IuranDSSebelumnya!$M$330:$M$772,AS$11,IuranDSSebelumnya!$L$330:$L$772,"&lt;&gt;"&amp;$M$5)&gt;0,
              "Iuran dari Lingkungan lain",
              ""))</t>
  </si>
  <si>
    <t>=IF(COUNTIFS(IuranDSSebelumnya!$J$330:$J$772,$K26,IuranDSSebelumnya!$M$330:$M$772,AT$11,IuranDSSebelumnya!$L$330:$L$772,$M$5)&gt;0,
        VLOOKUP(CONCATENATE($K26,"|",AT$11,"|",$M$5),IuranDSSebelumnya!$I$330:$N$772,5,FALSE),
        IF(COUNTIFS(IuranDSSebelumnya!$J$330:$J$772,$K26,IuranDSSebelumnya!$M$330:$M$772,AT$11,IuranDSSebelumnya!$L$330:$L$772,"&lt;&gt;"&amp;$M$5)&gt;0,
              "Iuran dari Lingkungan lain",
              ""))</t>
  </si>
  <si>
    <t>=IF(COUNTIFS(IuranDSSebelumnya!$J$330:$J$772,$K26,IuranDSSebelumnya!$M$330:$M$772,AU$11,IuranDSSebelumnya!$L$330:$L$772,$M$5)&gt;0,
        VLOOKUP(CONCATENATE($K26,"|",AU$11,"|",$M$5),IuranDSSebelumnya!$I$330:$N$772,5,FALSE),
        IF(COUNTIFS(IuranDSSebelumnya!$J$330:$J$772,$K26,IuranDSSebelumnya!$M$330:$M$772,AU$11,IuranDSSebelumnya!$L$330:$L$772,"&lt;&gt;"&amp;$M$5)&gt;0,
              "Iuran dari Lingkungan lain",
              ""))</t>
  </si>
  <si>
    <t>=IF(COUNTIFS(IuranDSSebelumnya!$J$330:$J$772,$K26,IuranDSSebelumnya!$M$330:$M$772,AV$11,IuranDSSebelumnya!$L$330:$L$772,$M$5)&gt;0,
        VLOOKUP(CONCATENATE($K26,"|",AV$11,"|",$M$5),IuranDSSebelumnya!$I$330:$N$772,5,FALSE),
        IF(COUNTIFS(IuranDSSebelumnya!$J$330:$J$772,$K26,IuranDSSebelumnya!$M$330:$M$772,AV$11,IuranDSSebelumnya!$L$330:$L$772,"&lt;&gt;"&amp;$M$5)&gt;0,
              "Iuran dari Lingkungan lain",
              ""))</t>
  </si>
  <si>
    <t>=IF(COUNTIFS(IuranDSSebelumnya!$J$330:$J$772,$K26,IuranDSSebelumnya!$M$330:$M$772,AW$11,IuranDSSebelumnya!$L$330:$L$772,$M$5)&gt;0,
        VLOOKUP(CONCATENATE($K26,"|",AW$11,"|",$M$5),IuranDSSebelumnya!$I$330:$N$772,5,FALSE),
        IF(COUNTIFS(IuranDSSebelumnya!$J$330:$J$772,$K26,IuranDSSebelumnya!$M$330:$M$772,AW$11,IuranDSSebelumnya!$L$330:$L$772,"&lt;&gt;"&amp;$M$5)&gt;0,
              "Iuran dari Lingkungan lain",
              ""))</t>
  </si>
  <si>
    <t>=IF(COUNTIFS(IuranDSSebelumnya!$J$330:$J$772,$K26,IuranDSSebelumnya!$M$330:$M$772,AX$11,IuranDSSebelumnya!$L$330:$L$772,$M$5)&gt;0,
        VLOOKUP(CONCATENATE($K26,"|",AX$11,"|",$M$5),IuranDSSebelumnya!$I$330:$N$772,5,FALSE),
        IF(COUNTIFS(IuranDSSebelumnya!$J$330:$J$772,$K26,IuranDSSebelumnya!$M$330:$M$772,AX$11,IuranDSSebelumnya!$L$330:$L$772,"&lt;&gt;"&amp;$M$5)&gt;0,
              "Iuran dari Lingkungan lain",
              ""))</t>
  </si>
  <si>
    <t>=IF(COUNTIFS(IuranDSSebelumnya!$J$330:$J$772,$K26,IuranDSSebelumnya!$M$330:$M$772,AY$11,IuranDSSebelumnya!$L$330:$L$772,$M$5)&gt;0,
        VLOOKUP(CONCATENATE($K26,"|",AY$11,"|",$M$5),IuranDSSebelumnya!$I$330:$N$772,5,FALSE),
        IF(COUNTIFS(IuranDSSebelumnya!$J$330:$J$772,$K26,IuranDSSebelumnya!$M$330:$M$772,AY$11,IuranDSSebelumnya!$L$330:$L$772,"&lt;&gt;"&amp;$M$5)&gt;0,
              "Iuran dari Lingkungan lain",
              ""))</t>
  </si>
  <si>
    <t>=IF(COUNTIFS(IuranDSSebelumnya!$J$330:$J$772,$K26,IuranDSSebelumnya!$M$330:$M$772,AZ$11,IuranDSSebelumnya!$L$330:$L$772,$M$5)&gt;0,
        VLOOKUP(CONCATENATE($K26,"|",AZ$11,"|",$M$5),IuranDSSebelumnya!$I$330:$N$772,5,FALSE),
        IF(COUNTIFS(IuranDSSebelumnya!$J$330:$J$772,$K26,IuranDSSebelumnya!$M$330:$M$772,AZ$11,IuranDSSebelumnya!$L$330:$L$772,"&lt;&gt;"&amp;$M$5)&gt;0,
              "Iuran dari Lingkungan lain",
              ""))</t>
  </si>
  <si>
    <t>=IF(COUNTIFS(IuranDSSebelumnya!$J$330:$J$772,$K26,IuranDSSebelumnya!$M$330:$M$772,BA$11,IuranDSSebelumnya!$L$330:$L$772,$M$5)&gt;0,
        VLOOKUP(CONCATENATE($K26,"|",BA$11,"|",$M$5),IuranDSSebelumnya!$I$330:$N$772,5,FALSE),
        IF(COUNTIFS(IuranDSSebelumnya!$J$330:$J$772,$K26,IuranDSSebelumnya!$M$330:$M$772,BA$11,IuranDSSebelumnya!$L$330:$L$772,"&lt;&gt;"&amp;$M$5)&gt;0,
              "Iuran dari Lingkungan lain",
              ""))</t>
  </si>
  <si>
    <t>=IF(COUNTIFS(IuranDSSebelumnya!$J$330:$J$772,$K26,IuranDSSebelumnya!$M$330:$M$772,BB$11,IuranDSSebelumnya!$L$330:$L$772,$M$5)&gt;0,
        VLOOKUP(CONCATENATE($K26,"|",BB$11,"|",$M$5),IuranDSSebelumnya!$I$330:$N$772,5,FALSE),
        IF(COUNTIFS(IuranDSSebelumnya!$J$330:$J$772,$K26,IuranDSSebelumnya!$M$330:$M$772,BB$11,IuranDSSebelumnya!$L$330:$L$772,"&lt;&gt;"&amp;$M$5)&gt;0,
              "Iuran dari Lingkungan lain",
              ""))</t>
  </si>
  <si>
    <t>=IF(COUNTIFS(IuranDSSebelumnya!$J$330:$J$772,$K26,IuranDSSebelumnya!$M$330:$M$772,BC$11,IuranDSSebelumnya!$L$330:$L$772,$M$5)&gt;0,
        VLOOKUP(CONCATENATE($K26,"|",BC$11,"|",$M$5),IuranDSSebelumnya!$I$330:$N$772,5,FALSE),
        IF(COUNTIFS(IuranDSSebelumnya!$J$330:$J$772,$K26,IuranDSSebelumnya!$M$330:$M$772,BC$11,IuranDSSebelumnya!$L$330:$L$772,"&lt;&gt;"&amp;$M$5)&gt;0,
              "Iuran dari Lingkungan lain",
              ""))</t>
  </si>
  <si>
    <t>=IF(COUNTIFS(IuranDSSebelumnya!$J$330:$J$772,$K26,IuranDSSebelumnya!$M$330:$M$772,BD$11,IuranDSSebelumnya!$L$330:$L$772,$M$5)&gt;0,
        VLOOKUP(CONCATENATE($K26,"|",BD$11,"|",$M$5),IuranDSSebelumnya!$I$330:$N$772,5,FALSE),
        IF(COUNTIFS(IuranDSSebelumnya!$J$330:$J$772,$K26,IuranDSSebelumnya!$M$330:$M$772,BD$11,IuranDSSebelumnya!$L$330:$L$772,"&lt;&gt;"&amp;$M$5)&gt;0,
              "Iuran dari Lingkungan lain",
              ""))</t>
  </si>
  <si>
    <t>=IF(COUNTIFS(IuranDSSebelumnya!$J$330:$J$772,$K26,IuranDSSebelumnya!$M$330:$M$772,BE$11,IuranDSSebelumnya!$L$330:$L$772,$M$5)&gt;0,
        VLOOKUP(CONCATENATE($K26,"|",BE$11,"|",$M$5),IuranDSSebelumnya!$I$330:$N$772,5,FALSE),
        IF(COUNTIFS(IuranDSSebelumnya!$J$330:$J$772,$K26,IuranDSSebelumnya!$M$330:$M$772,BE$11,IuranDSSebelumnya!$L$330:$L$772,"&lt;&gt;"&amp;$M$5)&gt;0,
              "Iuran dari Lingkungan lain",
              ""))</t>
  </si>
  <si>
    <t>=IF(COUNTIFS(IuranDSSebelumnya!$J$330:$J$772,$K26,IuranDSSebelumnya!$M$330:$M$772,BF$11,IuranDSSebelumnya!$L$330:$L$772,$M$5)&gt;0,
        VLOOKUP(CONCATENATE($K26,"|",BF$11,"|",$M$5),IuranDSSebelumnya!$I$330:$N$772,5,FALSE),
        IF(COUNTIFS(IuranDSSebelumnya!$J$330:$J$772,$K26,IuranDSSebelumnya!$M$330:$M$772,BF$11,IuranDSSebelumnya!$L$330:$L$772,"&lt;&gt;"&amp;$M$5)&gt;0,
              "Iuran dari Lingkungan lain",
              ""))</t>
  </si>
  <si>
    <t>=IF(COUNTIFS(IuranDSSebelumnya!$J$330:$J$772,$K26,IuranDSSebelumnya!$M$330:$M$772,BG$11,IuranDSSebelumnya!$L$330:$L$772,$M$5)&gt;0,
        VLOOKUP(CONCATENATE($K26,"|",BG$11,"|",$M$5),IuranDSSebelumnya!$I$330:$N$772,5,FALSE),
        IF(COUNTIFS(IuranDSSebelumnya!$J$330:$J$772,$K26,IuranDSSebelumnya!$M$330:$M$772,BG$11,IuranDSSebelumnya!$L$330:$L$772,"&lt;&gt;"&amp;$M$5)&gt;0,
              "Iuran dari Lingkungan lain",
              ""))</t>
  </si>
  <si>
    <t>=IF(COUNTIFS(IuranDSSebelumnya!$J$330:$J$772,$K26,IuranDSSebelumnya!$M$330:$M$772,BH$11,IuranDSSebelumnya!$L$330:$L$772,$M$5)&gt;0,
        VLOOKUP(CONCATENATE($K26,"|",BH$11,"|",$M$5),IuranDSSebelumnya!$I$330:$N$772,5,FALSE),
        IF(COUNTIFS(IuranDSSebelumnya!$J$330:$J$772,$K26,IuranDSSebelumnya!$M$330:$M$772,BH$11,IuranDSSebelumnya!$L$330:$L$772,"&lt;&gt;"&amp;$M$5)&gt;0,
              "Iuran dari Lingkungan lain",
              ""))</t>
  </si>
  <si>
    <t>=IF(COUNTIFS(IuranDSSebelumnya!$J$330:$J$772,$K26,IuranDSSebelumnya!$M$330:$M$772,BI$11,IuranDSSebelumnya!$L$330:$L$772,$M$5)&gt;0,
        VLOOKUP(CONCATENATE($K26,"|",BI$11,"|",$M$5),IuranDSSebelumnya!$I$330:$N$772,5,FALSE),
        IF(COUNTIFS(IuranDSSebelumnya!$J$330:$J$772,$K26,IuranDSSebelumnya!$M$330:$M$772,BI$11,IuranDSSebelumnya!$L$330:$L$772,"&lt;&gt;"&amp;$M$5)&gt;0,
              "Iuran dari Lingkungan lain",
              ""))</t>
  </si>
  <si>
    <t>=IF(COUNTIFS(IuranDSSebelumnya!$J$330:$J$772,$K26,IuranDSSebelumnya!$M$330:$M$772,BJ$11,IuranDSSebelumnya!$L$330:$L$772,$M$5)&gt;0,
        VLOOKUP(CONCATENATE($K26,"|",BJ$11,"|",$M$5),IuranDSSebelumnya!$I$330:$N$772,5,FALSE),
        IF(COUNTIFS(IuranDSSebelumnya!$J$330:$J$772,$K26,IuranDSSebelumnya!$M$330:$M$772,BJ$11,IuranDSSebelumnya!$L$330:$L$772,"&lt;&gt;"&amp;$M$5)&gt;0,
              "Iuran dari Lingkungan lain",
              ""))</t>
  </si>
  <si>
    <t>=IF(COUNTIFS(IuranDSSebelumnya!$J$330:$J$772,$K26,IuranDSSebelumnya!$M$330:$M$772,BK$11,IuranDSSebelumnya!$L$330:$L$772,$M$5)&gt;0,
        VLOOKUP(CONCATENATE($K26,"|",BK$11,"|",$M$5),IuranDSSebelumnya!$I$330:$N$772,5,FALSE),
        IF(COUNTIFS(IuranDSSebelumnya!$J$330:$J$772,$K26,IuranDSSebelumnya!$M$330:$M$772,BK$11,IuranDSSebelumnya!$L$330:$L$772,"&lt;&gt;"&amp;$M$5)&gt;0,
              "Iuran dari Lingkungan lain",
              ""))</t>
  </si>
  <si>
    <t>=IF(COUNTIFS(IuranDSSebelumnya!$J$330:$J$772,$K26,IuranDSSebelumnya!$M$330:$M$772,BL$11,IuranDSSebelumnya!$L$330:$L$772,$M$5)&gt;0,
        VLOOKUP(CONCATENATE($K26,"|",BL$11,"|",$M$5),IuranDSSebelumnya!$I$330:$N$772,5,FALSE),
        IF(COUNTIFS(IuranDSSebelumnya!$J$330:$J$772,$K26,IuranDSSebelumnya!$M$330:$M$772,BL$11,IuranDSSebelumnya!$L$330:$L$772,"&lt;&gt;"&amp;$M$5)&gt;0,
              "Iuran dari Lingkungan lain",
              ""))</t>
  </si>
  <si>
    <t>=CELL("row")=CELL("row",C27)</t>
  </si>
  <si>
    <t>="""TRUST Nav"",""HSPMTB2016"",""18"",""1"",""KK-04606"""</t>
  </si>
  <si>
    <t>=IF(AND($AL27=0,$J27=1)=TRUE,0,
        IF(AND($AL27&gt;0,$J27=1)=TRUE,1,
              IF(AND(H26=$H$12,$J27&gt;1)=TRUE,0,
                    IF(AND($AL27=0,$J27&gt;1),H26,
                         H26+1))))</t>
  </si>
  <si>
    <t>=IF(J26="No.",1,J26+1)</t>
  </si>
  <si>
    <t>=SUM(N27:AK27)</t>
  </si>
  <si>
    <t>=IF(COUNTIFS(IuranDSSebelumnya!$J$330:$J$772,$K27,IuranDSSebelumnya!$M$330:$M$772,AO$11,IuranDSSebelumnya!$L$330:$L$772,$M$5)&gt;0,
        VLOOKUP(CONCATENATE($K27,"|",AO$11,"|",$M$5),IuranDSSebelumnya!$I$330:$N$772,5,FALSE),
        IF(COUNTIFS(IuranDSSebelumnya!$J$330:$J$772,$K27,IuranDSSebelumnya!$M$330:$M$772,AO$11,IuranDSSebelumnya!$L$330:$L$772,"&lt;&gt;"&amp;$M$5)&gt;0,
              "Iuran dari Lingkungan lain",
              ""))</t>
  </si>
  <si>
    <t>=IF(COUNTIFS(IuranDSSebelumnya!$J$330:$J$772,$K27,IuranDSSebelumnya!$M$330:$M$772,AP$11,IuranDSSebelumnya!$L$330:$L$772,$M$5)&gt;0,
        VLOOKUP(CONCATENATE($K27,"|",AP$11,"|",$M$5),IuranDSSebelumnya!$I$330:$N$772,5,FALSE),
        IF(COUNTIFS(IuranDSSebelumnya!$J$330:$J$772,$K27,IuranDSSebelumnya!$M$330:$M$772,AP$11,IuranDSSebelumnya!$L$330:$L$772,"&lt;&gt;"&amp;$M$5)&gt;0,
              "Iuran dari Lingkungan lain",
              ""))</t>
  </si>
  <si>
    <t>=IF(COUNTIFS(IuranDSSebelumnya!$J$330:$J$772,$K27,IuranDSSebelumnya!$M$330:$M$772,AQ$11,IuranDSSebelumnya!$L$330:$L$772,$M$5)&gt;0,
        VLOOKUP(CONCATENATE($K27,"|",AQ$11,"|",$M$5),IuranDSSebelumnya!$I$330:$N$772,5,FALSE),
        IF(COUNTIFS(IuranDSSebelumnya!$J$330:$J$772,$K27,IuranDSSebelumnya!$M$330:$M$772,AQ$11,IuranDSSebelumnya!$L$330:$L$772,"&lt;&gt;"&amp;$M$5)&gt;0,
              "Iuran dari Lingkungan lain",
              ""))</t>
  </si>
  <si>
    <t>=IF(COUNTIFS(IuranDSSebelumnya!$J$330:$J$772,$K27,IuranDSSebelumnya!$M$330:$M$772,AR$11,IuranDSSebelumnya!$L$330:$L$772,$M$5)&gt;0,
        VLOOKUP(CONCATENATE($K27,"|",AR$11,"|",$M$5),IuranDSSebelumnya!$I$330:$N$772,5,FALSE),
        IF(COUNTIFS(IuranDSSebelumnya!$J$330:$J$772,$K27,IuranDSSebelumnya!$M$330:$M$772,AR$11,IuranDSSebelumnya!$L$330:$L$772,"&lt;&gt;"&amp;$M$5)&gt;0,
              "Iuran dari Lingkungan lain",
              ""))</t>
  </si>
  <si>
    <t>=IF(COUNTIFS(IuranDSSebelumnya!$J$330:$J$772,$K27,IuranDSSebelumnya!$M$330:$M$772,AS$11,IuranDSSebelumnya!$L$330:$L$772,$M$5)&gt;0,
        VLOOKUP(CONCATENATE($K27,"|",AS$11,"|",$M$5),IuranDSSebelumnya!$I$330:$N$772,5,FALSE),
        IF(COUNTIFS(IuranDSSebelumnya!$J$330:$J$772,$K27,IuranDSSebelumnya!$M$330:$M$772,AS$11,IuranDSSebelumnya!$L$330:$L$772,"&lt;&gt;"&amp;$M$5)&gt;0,
              "Iuran dari Lingkungan lain",
              ""))</t>
  </si>
  <si>
    <t>=IF(COUNTIFS(IuranDSSebelumnya!$J$330:$J$772,$K27,IuranDSSebelumnya!$M$330:$M$772,AT$11,IuranDSSebelumnya!$L$330:$L$772,$M$5)&gt;0,
        VLOOKUP(CONCATENATE($K27,"|",AT$11,"|",$M$5),IuranDSSebelumnya!$I$330:$N$772,5,FALSE),
        IF(COUNTIFS(IuranDSSebelumnya!$J$330:$J$772,$K27,IuranDSSebelumnya!$M$330:$M$772,AT$11,IuranDSSebelumnya!$L$330:$L$772,"&lt;&gt;"&amp;$M$5)&gt;0,
              "Iuran dari Lingkungan lain",
              ""))</t>
  </si>
  <si>
    <t>=IF(COUNTIFS(IuranDSSebelumnya!$J$330:$J$772,$K27,IuranDSSebelumnya!$M$330:$M$772,AU$11,IuranDSSebelumnya!$L$330:$L$772,$M$5)&gt;0,
        VLOOKUP(CONCATENATE($K27,"|",AU$11,"|",$M$5),IuranDSSebelumnya!$I$330:$N$772,5,FALSE),
        IF(COUNTIFS(IuranDSSebelumnya!$J$330:$J$772,$K27,IuranDSSebelumnya!$M$330:$M$772,AU$11,IuranDSSebelumnya!$L$330:$L$772,"&lt;&gt;"&amp;$M$5)&gt;0,
              "Iuran dari Lingkungan lain",
              ""))</t>
  </si>
  <si>
    <t>=IF(COUNTIFS(IuranDSSebelumnya!$J$330:$J$772,$K27,IuranDSSebelumnya!$M$330:$M$772,AV$11,IuranDSSebelumnya!$L$330:$L$772,$M$5)&gt;0,
        VLOOKUP(CONCATENATE($K27,"|",AV$11,"|",$M$5),IuranDSSebelumnya!$I$330:$N$772,5,FALSE),
        IF(COUNTIFS(IuranDSSebelumnya!$J$330:$J$772,$K27,IuranDSSebelumnya!$M$330:$M$772,AV$11,IuranDSSebelumnya!$L$330:$L$772,"&lt;&gt;"&amp;$M$5)&gt;0,
              "Iuran dari Lingkungan lain",
              ""))</t>
  </si>
  <si>
    <t>=IF(COUNTIFS(IuranDSSebelumnya!$J$330:$J$772,$K27,IuranDSSebelumnya!$M$330:$M$772,AW$11,IuranDSSebelumnya!$L$330:$L$772,$M$5)&gt;0,
        VLOOKUP(CONCATENATE($K27,"|",AW$11,"|",$M$5),IuranDSSebelumnya!$I$330:$N$772,5,FALSE),
        IF(COUNTIFS(IuranDSSebelumnya!$J$330:$J$772,$K27,IuranDSSebelumnya!$M$330:$M$772,AW$11,IuranDSSebelumnya!$L$330:$L$772,"&lt;&gt;"&amp;$M$5)&gt;0,
              "Iuran dari Lingkungan lain",
              ""))</t>
  </si>
  <si>
    <t>=IF(COUNTIFS(IuranDSSebelumnya!$J$330:$J$772,$K27,IuranDSSebelumnya!$M$330:$M$772,AX$11,IuranDSSebelumnya!$L$330:$L$772,$M$5)&gt;0,
        VLOOKUP(CONCATENATE($K27,"|",AX$11,"|",$M$5),IuranDSSebelumnya!$I$330:$N$772,5,FALSE),
        IF(COUNTIFS(IuranDSSebelumnya!$J$330:$J$772,$K27,IuranDSSebelumnya!$M$330:$M$772,AX$11,IuranDSSebelumnya!$L$330:$L$772,"&lt;&gt;"&amp;$M$5)&gt;0,
              "Iuran dari Lingkungan lain",
              ""))</t>
  </si>
  <si>
    <t>=IF(COUNTIFS(IuranDSSebelumnya!$J$330:$J$772,$K27,IuranDSSebelumnya!$M$330:$M$772,AY$11,IuranDSSebelumnya!$L$330:$L$772,$M$5)&gt;0,
        VLOOKUP(CONCATENATE($K27,"|",AY$11,"|",$M$5),IuranDSSebelumnya!$I$330:$N$772,5,FALSE),
        IF(COUNTIFS(IuranDSSebelumnya!$J$330:$J$772,$K27,IuranDSSebelumnya!$M$330:$M$772,AY$11,IuranDSSebelumnya!$L$330:$L$772,"&lt;&gt;"&amp;$M$5)&gt;0,
              "Iuran dari Lingkungan lain",
              ""))</t>
  </si>
  <si>
    <t>=IF(COUNTIFS(IuranDSSebelumnya!$J$330:$J$772,$K27,IuranDSSebelumnya!$M$330:$M$772,AZ$11,IuranDSSebelumnya!$L$330:$L$772,$M$5)&gt;0,
        VLOOKUP(CONCATENATE($K27,"|",AZ$11,"|",$M$5),IuranDSSebelumnya!$I$330:$N$772,5,FALSE),
        IF(COUNTIFS(IuranDSSebelumnya!$J$330:$J$772,$K27,IuranDSSebelumnya!$M$330:$M$772,AZ$11,IuranDSSebelumnya!$L$330:$L$772,"&lt;&gt;"&amp;$M$5)&gt;0,
              "Iuran dari Lingkungan lain",
              ""))</t>
  </si>
  <si>
    <t>=IF(COUNTIFS(IuranDSSebelumnya!$J$330:$J$772,$K27,IuranDSSebelumnya!$M$330:$M$772,BA$11,IuranDSSebelumnya!$L$330:$L$772,$M$5)&gt;0,
        VLOOKUP(CONCATENATE($K27,"|",BA$11,"|",$M$5),IuranDSSebelumnya!$I$330:$N$772,5,FALSE),
        IF(COUNTIFS(IuranDSSebelumnya!$J$330:$J$772,$K27,IuranDSSebelumnya!$M$330:$M$772,BA$11,IuranDSSebelumnya!$L$330:$L$772,"&lt;&gt;"&amp;$M$5)&gt;0,
              "Iuran dari Lingkungan lain",
              ""))</t>
  </si>
  <si>
    <t>=IF(COUNTIFS(IuranDSSebelumnya!$J$330:$J$772,$K27,IuranDSSebelumnya!$M$330:$M$772,BB$11,IuranDSSebelumnya!$L$330:$L$772,$M$5)&gt;0,
        VLOOKUP(CONCATENATE($K27,"|",BB$11,"|",$M$5),IuranDSSebelumnya!$I$330:$N$772,5,FALSE),
        IF(COUNTIFS(IuranDSSebelumnya!$J$330:$J$772,$K27,IuranDSSebelumnya!$M$330:$M$772,BB$11,IuranDSSebelumnya!$L$330:$L$772,"&lt;&gt;"&amp;$M$5)&gt;0,
              "Iuran dari Lingkungan lain",
              ""))</t>
  </si>
  <si>
    <t>=IF(COUNTIFS(IuranDSSebelumnya!$J$330:$J$772,$K27,IuranDSSebelumnya!$M$330:$M$772,BC$11,IuranDSSebelumnya!$L$330:$L$772,$M$5)&gt;0,
        VLOOKUP(CONCATENATE($K27,"|",BC$11,"|",$M$5),IuranDSSebelumnya!$I$330:$N$772,5,FALSE),
        IF(COUNTIFS(IuranDSSebelumnya!$J$330:$J$772,$K27,IuranDSSebelumnya!$M$330:$M$772,BC$11,IuranDSSebelumnya!$L$330:$L$772,"&lt;&gt;"&amp;$M$5)&gt;0,
              "Iuran dari Lingkungan lain",
              ""))</t>
  </si>
  <si>
    <t>=IF(COUNTIFS(IuranDSSebelumnya!$J$330:$J$772,$K27,IuranDSSebelumnya!$M$330:$M$772,BD$11,IuranDSSebelumnya!$L$330:$L$772,$M$5)&gt;0,
        VLOOKUP(CONCATENATE($K27,"|",BD$11,"|",$M$5),IuranDSSebelumnya!$I$330:$N$772,5,FALSE),
        IF(COUNTIFS(IuranDSSebelumnya!$J$330:$J$772,$K27,IuranDSSebelumnya!$M$330:$M$772,BD$11,IuranDSSebelumnya!$L$330:$L$772,"&lt;&gt;"&amp;$M$5)&gt;0,
              "Iuran dari Lingkungan lain",
              ""))</t>
  </si>
  <si>
    <t>=IF(COUNTIFS(IuranDSSebelumnya!$J$330:$J$772,$K27,IuranDSSebelumnya!$M$330:$M$772,BE$11,IuranDSSebelumnya!$L$330:$L$772,$M$5)&gt;0,
        VLOOKUP(CONCATENATE($K27,"|",BE$11,"|",$M$5),IuranDSSebelumnya!$I$330:$N$772,5,FALSE),
        IF(COUNTIFS(IuranDSSebelumnya!$J$330:$J$772,$K27,IuranDSSebelumnya!$M$330:$M$772,BE$11,IuranDSSebelumnya!$L$330:$L$772,"&lt;&gt;"&amp;$M$5)&gt;0,
              "Iuran dari Lingkungan lain",
              ""))</t>
  </si>
  <si>
    <t>=IF(COUNTIFS(IuranDSSebelumnya!$J$330:$J$772,$K27,IuranDSSebelumnya!$M$330:$M$772,BF$11,IuranDSSebelumnya!$L$330:$L$772,$M$5)&gt;0,
        VLOOKUP(CONCATENATE($K27,"|",BF$11,"|",$M$5),IuranDSSebelumnya!$I$330:$N$772,5,FALSE),
        IF(COUNTIFS(IuranDSSebelumnya!$J$330:$J$772,$K27,IuranDSSebelumnya!$M$330:$M$772,BF$11,IuranDSSebelumnya!$L$330:$L$772,"&lt;&gt;"&amp;$M$5)&gt;0,
              "Iuran dari Lingkungan lain",
              ""))</t>
  </si>
  <si>
    <t>=IF(COUNTIFS(IuranDSSebelumnya!$J$330:$J$772,$K27,IuranDSSebelumnya!$M$330:$M$772,BG$11,IuranDSSebelumnya!$L$330:$L$772,$M$5)&gt;0,
        VLOOKUP(CONCATENATE($K27,"|",BG$11,"|",$M$5),IuranDSSebelumnya!$I$330:$N$772,5,FALSE),
        IF(COUNTIFS(IuranDSSebelumnya!$J$330:$J$772,$K27,IuranDSSebelumnya!$M$330:$M$772,BG$11,IuranDSSebelumnya!$L$330:$L$772,"&lt;&gt;"&amp;$M$5)&gt;0,
              "Iuran dari Lingkungan lain",
              ""))</t>
  </si>
  <si>
    <t>=IF(COUNTIFS(IuranDSSebelumnya!$J$330:$J$772,$K27,IuranDSSebelumnya!$M$330:$M$772,BH$11,IuranDSSebelumnya!$L$330:$L$772,$M$5)&gt;0,
        VLOOKUP(CONCATENATE($K27,"|",BH$11,"|",$M$5),IuranDSSebelumnya!$I$330:$N$772,5,FALSE),
        IF(COUNTIFS(IuranDSSebelumnya!$J$330:$J$772,$K27,IuranDSSebelumnya!$M$330:$M$772,BH$11,IuranDSSebelumnya!$L$330:$L$772,"&lt;&gt;"&amp;$M$5)&gt;0,
              "Iuran dari Lingkungan lain",
              ""))</t>
  </si>
  <si>
    <t>=IF(COUNTIFS(IuranDSSebelumnya!$J$330:$J$772,$K27,IuranDSSebelumnya!$M$330:$M$772,BI$11,IuranDSSebelumnya!$L$330:$L$772,$M$5)&gt;0,
        VLOOKUP(CONCATENATE($K27,"|",BI$11,"|",$M$5),IuranDSSebelumnya!$I$330:$N$772,5,FALSE),
        IF(COUNTIFS(IuranDSSebelumnya!$J$330:$J$772,$K27,IuranDSSebelumnya!$M$330:$M$772,BI$11,IuranDSSebelumnya!$L$330:$L$772,"&lt;&gt;"&amp;$M$5)&gt;0,
              "Iuran dari Lingkungan lain",
              ""))</t>
  </si>
  <si>
    <t>=IF(COUNTIFS(IuranDSSebelumnya!$J$330:$J$772,$K27,IuranDSSebelumnya!$M$330:$M$772,BJ$11,IuranDSSebelumnya!$L$330:$L$772,$M$5)&gt;0,
        VLOOKUP(CONCATENATE($K27,"|",BJ$11,"|",$M$5),IuranDSSebelumnya!$I$330:$N$772,5,FALSE),
        IF(COUNTIFS(IuranDSSebelumnya!$J$330:$J$772,$K27,IuranDSSebelumnya!$M$330:$M$772,BJ$11,IuranDSSebelumnya!$L$330:$L$772,"&lt;&gt;"&amp;$M$5)&gt;0,
              "Iuran dari Lingkungan lain",
              ""))</t>
  </si>
  <si>
    <t>=IF(COUNTIFS(IuranDSSebelumnya!$J$330:$J$772,$K27,IuranDSSebelumnya!$M$330:$M$772,BK$11,IuranDSSebelumnya!$L$330:$L$772,$M$5)&gt;0,
        VLOOKUP(CONCATENATE($K27,"|",BK$11,"|",$M$5),IuranDSSebelumnya!$I$330:$N$772,5,FALSE),
        IF(COUNTIFS(IuranDSSebelumnya!$J$330:$J$772,$K27,IuranDSSebelumnya!$M$330:$M$772,BK$11,IuranDSSebelumnya!$L$330:$L$772,"&lt;&gt;"&amp;$M$5)&gt;0,
              "Iuran dari Lingkungan lain",
              ""))</t>
  </si>
  <si>
    <t>=IF(COUNTIFS(IuranDSSebelumnya!$J$330:$J$772,$K27,IuranDSSebelumnya!$M$330:$M$772,BL$11,IuranDSSebelumnya!$L$330:$L$772,$M$5)&gt;0,
        VLOOKUP(CONCATENATE($K27,"|",BL$11,"|",$M$5),IuranDSSebelumnya!$I$330:$N$772,5,FALSE),
        IF(COUNTIFS(IuranDSSebelumnya!$J$330:$J$772,$K27,IuranDSSebelumnya!$M$330:$M$772,BL$11,IuranDSSebelumnya!$L$330:$L$772,"&lt;&gt;"&amp;$M$5)&gt;0,
              "Iuran dari Lingkungan lain",
              ""))</t>
  </si>
  <si>
    <t>=CELL("row")=CELL("row",C28)</t>
  </si>
  <si>
    <t>="""TRUST Nav"",""HSPMTB2016"",""18"",""1"",""KK-04607"""</t>
  </si>
  <si>
    <t>=IF(AND($AL28=0,$J28=1)=TRUE,0,
        IF(AND($AL28&gt;0,$J28=1)=TRUE,1,
              IF(AND(H27=$H$12,$J28&gt;1)=TRUE,0,
                    IF(AND($AL28=0,$J28&gt;1),H27,
                         H27+1))))</t>
  </si>
  <si>
    <t>=IF(J27="No.",1,J27+1)</t>
  </si>
  <si>
    <t>=SUM(N28:AK28)</t>
  </si>
  <si>
    <t>=IF(COUNTIFS(IuranDSSebelumnya!$J$330:$J$772,$K28,IuranDSSebelumnya!$M$330:$M$772,AO$11,IuranDSSebelumnya!$L$330:$L$772,$M$5)&gt;0,
        VLOOKUP(CONCATENATE($K28,"|",AO$11,"|",$M$5),IuranDSSebelumnya!$I$330:$N$772,5,FALSE),
        IF(COUNTIFS(IuranDSSebelumnya!$J$330:$J$772,$K28,IuranDSSebelumnya!$M$330:$M$772,AO$11,IuranDSSebelumnya!$L$330:$L$772,"&lt;&gt;"&amp;$M$5)&gt;0,
              "Iuran dari Lingkungan lain",
              ""))</t>
  </si>
  <si>
    <t>=IF(COUNTIFS(IuranDSSebelumnya!$J$330:$J$772,$K28,IuranDSSebelumnya!$M$330:$M$772,AP$11,IuranDSSebelumnya!$L$330:$L$772,$M$5)&gt;0,
        VLOOKUP(CONCATENATE($K28,"|",AP$11,"|",$M$5),IuranDSSebelumnya!$I$330:$N$772,5,FALSE),
        IF(COUNTIFS(IuranDSSebelumnya!$J$330:$J$772,$K28,IuranDSSebelumnya!$M$330:$M$772,AP$11,IuranDSSebelumnya!$L$330:$L$772,"&lt;&gt;"&amp;$M$5)&gt;0,
              "Iuran dari Lingkungan lain",
              ""))</t>
  </si>
  <si>
    <t>=IF(COUNTIFS(IuranDSSebelumnya!$J$330:$J$772,$K28,IuranDSSebelumnya!$M$330:$M$772,AQ$11,IuranDSSebelumnya!$L$330:$L$772,$M$5)&gt;0,
        VLOOKUP(CONCATENATE($K28,"|",AQ$11,"|",$M$5),IuranDSSebelumnya!$I$330:$N$772,5,FALSE),
        IF(COUNTIFS(IuranDSSebelumnya!$J$330:$J$772,$K28,IuranDSSebelumnya!$M$330:$M$772,AQ$11,IuranDSSebelumnya!$L$330:$L$772,"&lt;&gt;"&amp;$M$5)&gt;0,
              "Iuran dari Lingkungan lain",
              ""))</t>
  </si>
  <si>
    <t>=IF(COUNTIFS(IuranDSSebelumnya!$J$330:$J$772,$K28,IuranDSSebelumnya!$M$330:$M$772,AR$11,IuranDSSebelumnya!$L$330:$L$772,$M$5)&gt;0,
        VLOOKUP(CONCATENATE($K28,"|",AR$11,"|",$M$5),IuranDSSebelumnya!$I$330:$N$772,5,FALSE),
        IF(COUNTIFS(IuranDSSebelumnya!$J$330:$J$772,$K28,IuranDSSebelumnya!$M$330:$M$772,AR$11,IuranDSSebelumnya!$L$330:$L$772,"&lt;&gt;"&amp;$M$5)&gt;0,
              "Iuran dari Lingkungan lain",
              ""))</t>
  </si>
  <si>
    <t>=IF(COUNTIFS(IuranDSSebelumnya!$J$330:$J$772,$K28,IuranDSSebelumnya!$M$330:$M$772,AS$11,IuranDSSebelumnya!$L$330:$L$772,$M$5)&gt;0,
        VLOOKUP(CONCATENATE($K28,"|",AS$11,"|",$M$5),IuranDSSebelumnya!$I$330:$N$772,5,FALSE),
        IF(COUNTIFS(IuranDSSebelumnya!$J$330:$J$772,$K28,IuranDSSebelumnya!$M$330:$M$772,AS$11,IuranDSSebelumnya!$L$330:$L$772,"&lt;&gt;"&amp;$M$5)&gt;0,
              "Iuran dari Lingkungan lain",
              ""))</t>
  </si>
  <si>
    <t>=IF(COUNTIFS(IuranDSSebelumnya!$J$330:$J$772,$K28,IuranDSSebelumnya!$M$330:$M$772,AT$11,IuranDSSebelumnya!$L$330:$L$772,$M$5)&gt;0,
        VLOOKUP(CONCATENATE($K28,"|",AT$11,"|",$M$5),IuranDSSebelumnya!$I$330:$N$772,5,FALSE),
        IF(COUNTIFS(IuranDSSebelumnya!$J$330:$J$772,$K28,IuranDSSebelumnya!$M$330:$M$772,AT$11,IuranDSSebelumnya!$L$330:$L$772,"&lt;&gt;"&amp;$M$5)&gt;0,
              "Iuran dari Lingkungan lain",
              ""))</t>
  </si>
  <si>
    <t>=IF(COUNTIFS(IuranDSSebelumnya!$J$330:$J$772,$K28,IuranDSSebelumnya!$M$330:$M$772,AU$11,IuranDSSebelumnya!$L$330:$L$772,$M$5)&gt;0,
        VLOOKUP(CONCATENATE($K28,"|",AU$11,"|",$M$5),IuranDSSebelumnya!$I$330:$N$772,5,FALSE),
        IF(COUNTIFS(IuranDSSebelumnya!$J$330:$J$772,$K28,IuranDSSebelumnya!$M$330:$M$772,AU$11,IuranDSSebelumnya!$L$330:$L$772,"&lt;&gt;"&amp;$M$5)&gt;0,
              "Iuran dari Lingkungan lain",
              ""))</t>
  </si>
  <si>
    <t>=IF(COUNTIFS(IuranDSSebelumnya!$J$330:$J$772,$K28,IuranDSSebelumnya!$M$330:$M$772,AV$11,IuranDSSebelumnya!$L$330:$L$772,$M$5)&gt;0,
        VLOOKUP(CONCATENATE($K28,"|",AV$11,"|",$M$5),IuranDSSebelumnya!$I$330:$N$772,5,FALSE),
        IF(COUNTIFS(IuranDSSebelumnya!$J$330:$J$772,$K28,IuranDSSebelumnya!$M$330:$M$772,AV$11,IuranDSSebelumnya!$L$330:$L$772,"&lt;&gt;"&amp;$M$5)&gt;0,
              "Iuran dari Lingkungan lain",
              ""))</t>
  </si>
  <si>
    <t>=IF(COUNTIFS(IuranDSSebelumnya!$J$330:$J$772,$K28,IuranDSSebelumnya!$M$330:$M$772,AW$11,IuranDSSebelumnya!$L$330:$L$772,$M$5)&gt;0,
        VLOOKUP(CONCATENATE($K28,"|",AW$11,"|",$M$5),IuranDSSebelumnya!$I$330:$N$772,5,FALSE),
        IF(COUNTIFS(IuranDSSebelumnya!$J$330:$J$772,$K28,IuranDSSebelumnya!$M$330:$M$772,AW$11,IuranDSSebelumnya!$L$330:$L$772,"&lt;&gt;"&amp;$M$5)&gt;0,
              "Iuran dari Lingkungan lain",
              ""))</t>
  </si>
  <si>
    <t>=IF(COUNTIFS(IuranDSSebelumnya!$J$330:$J$772,$K28,IuranDSSebelumnya!$M$330:$M$772,AX$11,IuranDSSebelumnya!$L$330:$L$772,$M$5)&gt;0,
        VLOOKUP(CONCATENATE($K28,"|",AX$11,"|",$M$5),IuranDSSebelumnya!$I$330:$N$772,5,FALSE),
        IF(COUNTIFS(IuranDSSebelumnya!$J$330:$J$772,$K28,IuranDSSebelumnya!$M$330:$M$772,AX$11,IuranDSSebelumnya!$L$330:$L$772,"&lt;&gt;"&amp;$M$5)&gt;0,
              "Iuran dari Lingkungan lain",
              ""))</t>
  </si>
  <si>
    <t>=IF(COUNTIFS(IuranDSSebelumnya!$J$330:$J$772,$K28,IuranDSSebelumnya!$M$330:$M$772,AY$11,IuranDSSebelumnya!$L$330:$L$772,$M$5)&gt;0,
        VLOOKUP(CONCATENATE($K28,"|",AY$11,"|",$M$5),IuranDSSebelumnya!$I$330:$N$772,5,FALSE),
        IF(COUNTIFS(IuranDSSebelumnya!$J$330:$J$772,$K28,IuranDSSebelumnya!$M$330:$M$772,AY$11,IuranDSSebelumnya!$L$330:$L$772,"&lt;&gt;"&amp;$M$5)&gt;0,
              "Iuran dari Lingkungan lain",
              ""))</t>
  </si>
  <si>
    <t>=IF(COUNTIFS(IuranDSSebelumnya!$J$330:$J$772,$K28,IuranDSSebelumnya!$M$330:$M$772,AZ$11,IuranDSSebelumnya!$L$330:$L$772,$M$5)&gt;0,
        VLOOKUP(CONCATENATE($K28,"|",AZ$11,"|",$M$5),IuranDSSebelumnya!$I$330:$N$772,5,FALSE),
        IF(COUNTIFS(IuranDSSebelumnya!$J$330:$J$772,$K28,IuranDSSebelumnya!$M$330:$M$772,AZ$11,IuranDSSebelumnya!$L$330:$L$772,"&lt;&gt;"&amp;$M$5)&gt;0,
              "Iuran dari Lingkungan lain",
              ""))</t>
  </si>
  <si>
    <t>=IF(COUNTIFS(IuranDSSebelumnya!$J$330:$J$772,$K28,IuranDSSebelumnya!$M$330:$M$772,BA$11,IuranDSSebelumnya!$L$330:$L$772,$M$5)&gt;0,
        VLOOKUP(CONCATENATE($K28,"|",BA$11,"|",$M$5),IuranDSSebelumnya!$I$330:$N$772,5,FALSE),
        IF(COUNTIFS(IuranDSSebelumnya!$J$330:$J$772,$K28,IuranDSSebelumnya!$M$330:$M$772,BA$11,IuranDSSebelumnya!$L$330:$L$772,"&lt;&gt;"&amp;$M$5)&gt;0,
              "Iuran dari Lingkungan lain",
              ""))</t>
  </si>
  <si>
    <t>=IF(COUNTIFS(IuranDSSebelumnya!$J$330:$J$772,$K28,IuranDSSebelumnya!$M$330:$M$772,BB$11,IuranDSSebelumnya!$L$330:$L$772,$M$5)&gt;0,
        VLOOKUP(CONCATENATE($K28,"|",BB$11,"|",$M$5),IuranDSSebelumnya!$I$330:$N$772,5,FALSE),
        IF(COUNTIFS(IuranDSSebelumnya!$J$330:$J$772,$K28,IuranDSSebelumnya!$M$330:$M$772,BB$11,IuranDSSebelumnya!$L$330:$L$772,"&lt;&gt;"&amp;$M$5)&gt;0,
              "Iuran dari Lingkungan lain",
              ""))</t>
  </si>
  <si>
    <t>=IF(COUNTIFS(IuranDSSebelumnya!$J$330:$J$772,$K28,IuranDSSebelumnya!$M$330:$M$772,BC$11,IuranDSSebelumnya!$L$330:$L$772,$M$5)&gt;0,
        VLOOKUP(CONCATENATE($K28,"|",BC$11,"|",$M$5),IuranDSSebelumnya!$I$330:$N$772,5,FALSE),
        IF(COUNTIFS(IuranDSSebelumnya!$J$330:$J$772,$K28,IuranDSSebelumnya!$M$330:$M$772,BC$11,IuranDSSebelumnya!$L$330:$L$772,"&lt;&gt;"&amp;$M$5)&gt;0,
              "Iuran dari Lingkungan lain",
              ""))</t>
  </si>
  <si>
    <t>=IF(COUNTIFS(IuranDSSebelumnya!$J$330:$J$772,$K28,IuranDSSebelumnya!$M$330:$M$772,BD$11,IuranDSSebelumnya!$L$330:$L$772,$M$5)&gt;0,
        VLOOKUP(CONCATENATE($K28,"|",BD$11,"|",$M$5),IuranDSSebelumnya!$I$330:$N$772,5,FALSE),
        IF(COUNTIFS(IuranDSSebelumnya!$J$330:$J$772,$K28,IuranDSSebelumnya!$M$330:$M$772,BD$11,IuranDSSebelumnya!$L$330:$L$772,"&lt;&gt;"&amp;$M$5)&gt;0,
              "Iuran dari Lingkungan lain",
              ""))</t>
  </si>
  <si>
    <t>=IF(COUNTIFS(IuranDSSebelumnya!$J$330:$J$772,$K28,IuranDSSebelumnya!$M$330:$M$772,BE$11,IuranDSSebelumnya!$L$330:$L$772,$M$5)&gt;0,
        VLOOKUP(CONCATENATE($K28,"|",BE$11,"|",$M$5),IuranDSSebelumnya!$I$330:$N$772,5,FALSE),
        IF(COUNTIFS(IuranDSSebelumnya!$J$330:$J$772,$K28,IuranDSSebelumnya!$M$330:$M$772,BE$11,IuranDSSebelumnya!$L$330:$L$772,"&lt;&gt;"&amp;$M$5)&gt;0,
              "Iuran dari Lingkungan lain",
              ""))</t>
  </si>
  <si>
    <t>=IF(COUNTIFS(IuranDSSebelumnya!$J$330:$J$772,$K28,IuranDSSebelumnya!$M$330:$M$772,BF$11,IuranDSSebelumnya!$L$330:$L$772,$M$5)&gt;0,
        VLOOKUP(CONCATENATE($K28,"|",BF$11,"|",$M$5),IuranDSSebelumnya!$I$330:$N$772,5,FALSE),
        IF(COUNTIFS(IuranDSSebelumnya!$J$330:$J$772,$K28,IuranDSSebelumnya!$M$330:$M$772,BF$11,IuranDSSebelumnya!$L$330:$L$772,"&lt;&gt;"&amp;$M$5)&gt;0,
              "Iuran dari Lingkungan lain",
              ""))</t>
  </si>
  <si>
    <t>=IF(COUNTIFS(IuranDSSebelumnya!$J$330:$J$772,$K28,IuranDSSebelumnya!$M$330:$M$772,BG$11,IuranDSSebelumnya!$L$330:$L$772,$M$5)&gt;0,
        VLOOKUP(CONCATENATE($K28,"|",BG$11,"|",$M$5),IuranDSSebelumnya!$I$330:$N$772,5,FALSE),
        IF(COUNTIFS(IuranDSSebelumnya!$J$330:$J$772,$K28,IuranDSSebelumnya!$M$330:$M$772,BG$11,IuranDSSebelumnya!$L$330:$L$772,"&lt;&gt;"&amp;$M$5)&gt;0,
              "Iuran dari Lingkungan lain",
              ""))</t>
  </si>
  <si>
    <t>=IF(COUNTIFS(IuranDSSebelumnya!$J$330:$J$772,$K28,IuranDSSebelumnya!$M$330:$M$772,BH$11,IuranDSSebelumnya!$L$330:$L$772,$M$5)&gt;0,
        VLOOKUP(CONCATENATE($K28,"|",BH$11,"|",$M$5),IuranDSSebelumnya!$I$330:$N$772,5,FALSE),
        IF(COUNTIFS(IuranDSSebelumnya!$J$330:$J$772,$K28,IuranDSSebelumnya!$M$330:$M$772,BH$11,IuranDSSebelumnya!$L$330:$L$772,"&lt;&gt;"&amp;$M$5)&gt;0,
              "Iuran dari Lingkungan lain",
              ""))</t>
  </si>
  <si>
    <t>=IF(COUNTIFS(IuranDSSebelumnya!$J$330:$J$772,$K28,IuranDSSebelumnya!$M$330:$M$772,BI$11,IuranDSSebelumnya!$L$330:$L$772,$M$5)&gt;0,
        VLOOKUP(CONCATENATE($K28,"|",BI$11,"|",$M$5),IuranDSSebelumnya!$I$330:$N$772,5,FALSE),
        IF(COUNTIFS(IuranDSSebelumnya!$J$330:$J$772,$K28,IuranDSSebelumnya!$M$330:$M$772,BI$11,IuranDSSebelumnya!$L$330:$L$772,"&lt;&gt;"&amp;$M$5)&gt;0,
              "Iuran dari Lingkungan lain",
              ""))</t>
  </si>
  <si>
    <t>=IF(COUNTIFS(IuranDSSebelumnya!$J$330:$J$772,$K28,IuranDSSebelumnya!$M$330:$M$772,BJ$11,IuranDSSebelumnya!$L$330:$L$772,$M$5)&gt;0,
        VLOOKUP(CONCATENATE($K28,"|",BJ$11,"|",$M$5),IuranDSSebelumnya!$I$330:$N$772,5,FALSE),
        IF(COUNTIFS(IuranDSSebelumnya!$J$330:$J$772,$K28,IuranDSSebelumnya!$M$330:$M$772,BJ$11,IuranDSSebelumnya!$L$330:$L$772,"&lt;&gt;"&amp;$M$5)&gt;0,
              "Iuran dari Lingkungan lain",
              ""))</t>
  </si>
  <si>
    <t>=IF(COUNTIFS(IuranDSSebelumnya!$J$330:$J$772,$K28,IuranDSSebelumnya!$M$330:$M$772,BK$11,IuranDSSebelumnya!$L$330:$L$772,$M$5)&gt;0,
        VLOOKUP(CONCATENATE($K28,"|",BK$11,"|",$M$5),IuranDSSebelumnya!$I$330:$N$772,5,FALSE),
        IF(COUNTIFS(IuranDSSebelumnya!$J$330:$J$772,$K28,IuranDSSebelumnya!$M$330:$M$772,BK$11,IuranDSSebelumnya!$L$330:$L$772,"&lt;&gt;"&amp;$M$5)&gt;0,
              "Iuran dari Lingkungan lain",
              ""))</t>
  </si>
  <si>
    <t>=IF(COUNTIFS(IuranDSSebelumnya!$J$330:$J$772,$K28,IuranDSSebelumnya!$M$330:$M$772,BL$11,IuranDSSebelumnya!$L$330:$L$772,$M$5)&gt;0,
        VLOOKUP(CONCATENATE($K28,"|",BL$11,"|",$M$5),IuranDSSebelumnya!$I$330:$N$772,5,FALSE),
        IF(COUNTIFS(IuranDSSebelumnya!$J$330:$J$772,$K28,IuranDSSebelumnya!$M$330:$M$772,BL$11,IuranDSSebelumnya!$L$330:$L$772,"&lt;&gt;"&amp;$M$5)&gt;0,
              "Iuran dari Lingkungan lain",
              ""))</t>
  </si>
  <si>
    <t>=CELL("row")=CELL("row",C29)</t>
  </si>
  <si>
    <t>="""TRUST Nav"",""HSPMTB2016"",""18"",""1"",""KK-04608"""</t>
  </si>
  <si>
    <t>=IF(AND($AL29=0,$J29=1)=TRUE,0,
        IF(AND($AL29&gt;0,$J29=1)=TRUE,1,
              IF(AND(H28=$H$12,$J29&gt;1)=TRUE,0,
                    IF(AND($AL29=0,$J29&gt;1),H28,
                         H28+1))))</t>
  </si>
  <si>
    <t>=IF(J28="No.",1,J28+1)</t>
  </si>
  <si>
    <t>=SUM(N29:AK29)</t>
  </si>
  <si>
    <t>=IF(COUNTIFS(IuranDSSebelumnya!$J$330:$J$772,$K29,IuranDSSebelumnya!$M$330:$M$772,AO$11,IuranDSSebelumnya!$L$330:$L$772,$M$5)&gt;0,
        VLOOKUP(CONCATENATE($K29,"|",AO$11,"|",$M$5),IuranDSSebelumnya!$I$330:$N$772,5,FALSE),
        IF(COUNTIFS(IuranDSSebelumnya!$J$330:$J$772,$K29,IuranDSSebelumnya!$M$330:$M$772,AO$11,IuranDSSebelumnya!$L$330:$L$772,"&lt;&gt;"&amp;$M$5)&gt;0,
              "Iuran dari Lingkungan lain",
              ""))</t>
  </si>
  <si>
    <t>=IF(COUNTIFS(IuranDSSebelumnya!$J$330:$J$772,$K29,IuranDSSebelumnya!$M$330:$M$772,AP$11,IuranDSSebelumnya!$L$330:$L$772,$M$5)&gt;0,
        VLOOKUP(CONCATENATE($K29,"|",AP$11,"|",$M$5),IuranDSSebelumnya!$I$330:$N$772,5,FALSE),
        IF(COUNTIFS(IuranDSSebelumnya!$J$330:$J$772,$K29,IuranDSSebelumnya!$M$330:$M$772,AP$11,IuranDSSebelumnya!$L$330:$L$772,"&lt;&gt;"&amp;$M$5)&gt;0,
              "Iuran dari Lingkungan lain",
              ""))</t>
  </si>
  <si>
    <t>=IF(COUNTIFS(IuranDSSebelumnya!$J$330:$J$772,$K29,IuranDSSebelumnya!$M$330:$M$772,AQ$11,IuranDSSebelumnya!$L$330:$L$772,$M$5)&gt;0,
        VLOOKUP(CONCATENATE($K29,"|",AQ$11,"|",$M$5),IuranDSSebelumnya!$I$330:$N$772,5,FALSE),
        IF(COUNTIFS(IuranDSSebelumnya!$J$330:$J$772,$K29,IuranDSSebelumnya!$M$330:$M$772,AQ$11,IuranDSSebelumnya!$L$330:$L$772,"&lt;&gt;"&amp;$M$5)&gt;0,
              "Iuran dari Lingkungan lain",
              ""))</t>
  </si>
  <si>
    <t>=IF(COUNTIFS(IuranDSSebelumnya!$J$330:$J$772,$K29,IuranDSSebelumnya!$M$330:$M$772,AR$11,IuranDSSebelumnya!$L$330:$L$772,$M$5)&gt;0,
        VLOOKUP(CONCATENATE($K29,"|",AR$11,"|",$M$5),IuranDSSebelumnya!$I$330:$N$772,5,FALSE),
        IF(COUNTIFS(IuranDSSebelumnya!$J$330:$J$772,$K29,IuranDSSebelumnya!$M$330:$M$772,AR$11,IuranDSSebelumnya!$L$330:$L$772,"&lt;&gt;"&amp;$M$5)&gt;0,
              "Iuran dari Lingkungan lain",
              ""))</t>
  </si>
  <si>
    <t>=IF(COUNTIFS(IuranDSSebelumnya!$J$330:$J$772,$K29,IuranDSSebelumnya!$M$330:$M$772,AS$11,IuranDSSebelumnya!$L$330:$L$772,$M$5)&gt;0,
        VLOOKUP(CONCATENATE($K29,"|",AS$11,"|",$M$5),IuranDSSebelumnya!$I$330:$N$772,5,FALSE),
        IF(COUNTIFS(IuranDSSebelumnya!$J$330:$J$772,$K29,IuranDSSebelumnya!$M$330:$M$772,AS$11,IuranDSSebelumnya!$L$330:$L$772,"&lt;&gt;"&amp;$M$5)&gt;0,
              "Iuran dari Lingkungan lain",
              ""))</t>
  </si>
  <si>
    <t>=IF(COUNTIFS(IuranDSSebelumnya!$J$330:$J$772,$K29,IuranDSSebelumnya!$M$330:$M$772,AT$11,IuranDSSebelumnya!$L$330:$L$772,$M$5)&gt;0,
        VLOOKUP(CONCATENATE($K29,"|",AT$11,"|",$M$5),IuranDSSebelumnya!$I$330:$N$772,5,FALSE),
        IF(COUNTIFS(IuranDSSebelumnya!$J$330:$J$772,$K29,IuranDSSebelumnya!$M$330:$M$772,AT$11,IuranDSSebelumnya!$L$330:$L$772,"&lt;&gt;"&amp;$M$5)&gt;0,
              "Iuran dari Lingkungan lain",
              ""))</t>
  </si>
  <si>
    <t>=IF(COUNTIFS(IuranDSSebelumnya!$J$330:$J$772,$K29,IuranDSSebelumnya!$M$330:$M$772,AU$11,IuranDSSebelumnya!$L$330:$L$772,$M$5)&gt;0,
        VLOOKUP(CONCATENATE($K29,"|",AU$11,"|",$M$5),IuranDSSebelumnya!$I$330:$N$772,5,FALSE),
        IF(COUNTIFS(IuranDSSebelumnya!$J$330:$J$772,$K29,IuranDSSebelumnya!$M$330:$M$772,AU$11,IuranDSSebelumnya!$L$330:$L$772,"&lt;&gt;"&amp;$M$5)&gt;0,
              "Iuran dari Lingkungan lain",
              ""))</t>
  </si>
  <si>
    <t>=IF(COUNTIFS(IuranDSSebelumnya!$J$330:$J$772,$K29,IuranDSSebelumnya!$M$330:$M$772,AV$11,IuranDSSebelumnya!$L$330:$L$772,$M$5)&gt;0,
        VLOOKUP(CONCATENATE($K29,"|",AV$11,"|",$M$5),IuranDSSebelumnya!$I$330:$N$772,5,FALSE),
        IF(COUNTIFS(IuranDSSebelumnya!$J$330:$J$772,$K29,IuranDSSebelumnya!$M$330:$M$772,AV$11,IuranDSSebelumnya!$L$330:$L$772,"&lt;&gt;"&amp;$M$5)&gt;0,
              "Iuran dari Lingkungan lain",
              ""))</t>
  </si>
  <si>
    <t>=IF(COUNTIFS(IuranDSSebelumnya!$J$330:$J$772,$K29,IuranDSSebelumnya!$M$330:$M$772,AW$11,IuranDSSebelumnya!$L$330:$L$772,$M$5)&gt;0,
        VLOOKUP(CONCATENATE($K29,"|",AW$11,"|",$M$5),IuranDSSebelumnya!$I$330:$N$772,5,FALSE),
        IF(COUNTIFS(IuranDSSebelumnya!$J$330:$J$772,$K29,IuranDSSebelumnya!$M$330:$M$772,AW$11,IuranDSSebelumnya!$L$330:$L$772,"&lt;&gt;"&amp;$M$5)&gt;0,
              "Iuran dari Lingkungan lain",
              ""))</t>
  </si>
  <si>
    <t>=IF(COUNTIFS(IuranDSSebelumnya!$J$330:$J$772,$K29,IuranDSSebelumnya!$M$330:$M$772,AX$11,IuranDSSebelumnya!$L$330:$L$772,$M$5)&gt;0,
        VLOOKUP(CONCATENATE($K29,"|",AX$11,"|",$M$5),IuranDSSebelumnya!$I$330:$N$772,5,FALSE),
        IF(COUNTIFS(IuranDSSebelumnya!$J$330:$J$772,$K29,IuranDSSebelumnya!$M$330:$M$772,AX$11,IuranDSSebelumnya!$L$330:$L$772,"&lt;&gt;"&amp;$M$5)&gt;0,
              "Iuran dari Lingkungan lain",
              ""))</t>
  </si>
  <si>
    <t>=IF(COUNTIFS(IuranDSSebelumnya!$J$330:$J$772,$K29,IuranDSSebelumnya!$M$330:$M$772,AY$11,IuranDSSebelumnya!$L$330:$L$772,$M$5)&gt;0,
        VLOOKUP(CONCATENATE($K29,"|",AY$11,"|",$M$5),IuranDSSebelumnya!$I$330:$N$772,5,FALSE),
        IF(COUNTIFS(IuranDSSebelumnya!$J$330:$J$772,$K29,IuranDSSebelumnya!$M$330:$M$772,AY$11,IuranDSSebelumnya!$L$330:$L$772,"&lt;&gt;"&amp;$M$5)&gt;0,
              "Iuran dari Lingkungan lain",
              ""))</t>
  </si>
  <si>
    <t>=IF(COUNTIFS(IuranDSSebelumnya!$J$330:$J$772,$K29,IuranDSSebelumnya!$M$330:$M$772,AZ$11,IuranDSSebelumnya!$L$330:$L$772,$M$5)&gt;0,
        VLOOKUP(CONCATENATE($K29,"|",AZ$11,"|",$M$5),IuranDSSebelumnya!$I$330:$N$772,5,FALSE),
        IF(COUNTIFS(IuranDSSebelumnya!$J$330:$J$772,$K29,IuranDSSebelumnya!$M$330:$M$772,AZ$11,IuranDSSebelumnya!$L$330:$L$772,"&lt;&gt;"&amp;$M$5)&gt;0,
              "Iuran dari Lingkungan lain",
              ""))</t>
  </si>
  <si>
    <t>=IF(COUNTIFS(IuranDSSebelumnya!$J$330:$J$772,$K29,IuranDSSebelumnya!$M$330:$M$772,BA$11,IuranDSSebelumnya!$L$330:$L$772,$M$5)&gt;0,
        VLOOKUP(CONCATENATE($K29,"|",BA$11,"|",$M$5),IuranDSSebelumnya!$I$330:$N$772,5,FALSE),
        IF(COUNTIFS(IuranDSSebelumnya!$J$330:$J$772,$K29,IuranDSSebelumnya!$M$330:$M$772,BA$11,IuranDSSebelumnya!$L$330:$L$772,"&lt;&gt;"&amp;$M$5)&gt;0,
              "Iuran dari Lingkungan lain",
              ""))</t>
  </si>
  <si>
    <t>=IF(COUNTIFS(IuranDSSebelumnya!$J$330:$J$772,$K29,IuranDSSebelumnya!$M$330:$M$772,BB$11,IuranDSSebelumnya!$L$330:$L$772,$M$5)&gt;0,
        VLOOKUP(CONCATENATE($K29,"|",BB$11,"|",$M$5),IuranDSSebelumnya!$I$330:$N$772,5,FALSE),
        IF(COUNTIFS(IuranDSSebelumnya!$J$330:$J$772,$K29,IuranDSSebelumnya!$M$330:$M$772,BB$11,IuranDSSebelumnya!$L$330:$L$772,"&lt;&gt;"&amp;$M$5)&gt;0,
              "Iuran dari Lingkungan lain",
              ""))</t>
  </si>
  <si>
    <t>=IF(COUNTIFS(IuranDSSebelumnya!$J$330:$J$772,$K29,IuranDSSebelumnya!$M$330:$M$772,BC$11,IuranDSSebelumnya!$L$330:$L$772,$M$5)&gt;0,
        VLOOKUP(CONCATENATE($K29,"|",BC$11,"|",$M$5),IuranDSSebelumnya!$I$330:$N$772,5,FALSE),
        IF(COUNTIFS(IuranDSSebelumnya!$J$330:$J$772,$K29,IuranDSSebelumnya!$M$330:$M$772,BC$11,IuranDSSebelumnya!$L$330:$L$772,"&lt;&gt;"&amp;$M$5)&gt;0,
              "Iuran dari Lingkungan lain",
              ""))</t>
  </si>
  <si>
    <t>=IF(COUNTIFS(IuranDSSebelumnya!$J$330:$J$772,$K29,IuranDSSebelumnya!$M$330:$M$772,BD$11,IuranDSSebelumnya!$L$330:$L$772,$M$5)&gt;0,
        VLOOKUP(CONCATENATE($K29,"|",BD$11,"|",$M$5),IuranDSSebelumnya!$I$330:$N$772,5,FALSE),
        IF(COUNTIFS(IuranDSSebelumnya!$J$330:$J$772,$K29,IuranDSSebelumnya!$M$330:$M$772,BD$11,IuranDSSebelumnya!$L$330:$L$772,"&lt;&gt;"&amp;$M$5)&gt;0,
              "Iuran dari Lingkungan lain",
              ""))</t>
  </si>
  <si>
    <t>=IF(COUNTIFS(IuranDSSebelumnya!$J$330:$J$772,$K29,IuranDSSebelumnya!$M$330:$M$772,BE$11,IuranDSSebelumnya!$L$330:$L$772,$M$5)&gt;0,
        VLOOKUP(CONCATENATE($K29,"|",BE$11,"|",$M$5),IuranDSSebelumnya!$I$330:$N$772,5,FALSE),
        IF(COUNTIFS(IuranDSSebelumnya!$J$330:$J$772,$K29,IuranDSSebelumnya!$M$330:$M$772,BE$11,IuranDSSebelumnya!$L$330:$L$772,"&lt;&gt;"&amp;$M$5)&gt;0,
              "Iuran dari Lingkungan lain",
              ""))</t>
  </si>
  <si>
    <t>=IF(COUNTIFS(IuranDSSebelumnya!$J$330:$J$772,$K29,IuranDSSebelumnya!$M$330:$M$772,BF$11,IuranDSSebelumnya!$L$330:$L$772,$M$5)&gt;0,
        VLOOKUP(CONCATENATE($K29,"|",BF$11,"|",$M$5),IuranDSSebelumnya!$I$330:$N$772,5,FALSE),
        IF(COUNTIFS(IuranDSSebelumnya!$J$330:$J$772,$K29,IuranDSSebelumnya!$M$330:$M$772,BF$11,IuranDSSebelumnya!$L$330:$L$772,"&lt;&gt;"&amp;$M$5)&gt;0,
              "Iuran dari Lingkungan lain",
              ""))</t>
  </si>
  <si>
    <t>=IF(COUNTIFS(IuranDSSebelumnya!$J$330:$J$772,$K29,IuranDSSebelumnya!$M$330:$M$772,BG$11,IuranDSSebelumnya!$L$330:$L$772,$M$5)&gt;0,
        VLOOKUP(CONCATENATE($K29,"|",BG$11,"|",$M$5),IuranDSSebelumnya!$I$330:$N$772,5,FALSE),
        IF(COUNTIFS(IuranDSSebelumnya!$J$330:$J$772,$K29,IuranDSSebelumnya!$M$330:$M$772,BG$11,IuranDSSebelumnya!$L$330:$L$772,"&lt;&gt;"&amp;$M$5)&gt;0,
              "Iuran dari Lingkungan lain",
              ""))</t>
  </si>
  <si>
    <t>=IF(COUNTIFS(IuranDSSebelumnya!$J$330:$J$772,$K29,IuranDSSebelumnya!$M$330:$M$772,BH$11,IuranDSSebelumnya!$L$330:$L$772,$M$5)&gt;0,
        VLOOKUP(CONCATENATE($K29,"|",BH$11,"|",$M$5),IuranDSSebelumnya!$I$330:$N$772,5,FALSE),
        IF(COUNTIFS(IuranDSSebelumnya!$J$330:$J$772,$K29,IuranDSSebelumnya!$M$330:$M$772,BH$11,IuranDSSebelumnya!$L$330:$L$772,"&lt;&gt;"&amp;$M$5)&gt;0,
              "Iuran dari Lingkungan lain",
              ""))</t>
  </si>
  <si>
    <t>=IF(COUNTIFS(IuranDSSebelumnya!$J$330:$J$772,$K29,IuranDSSebelumnya!$M$330:$M$772,BI$11,IuranDSSebelumnya!$L$330:$L$772,$M$5)&gt;0,
        VLOOKUP(CONCATENATE($K29,"|",BI$11,"|",$M$5),IuranDSSebelumnya!$I$330:$N$772,5,FALSE),
        IF(COUNTIFS(IuranDSSebelumnya!$J$330:$J$772,$K29,IuranDSSebelumnya!$M$330:$M$772,BI$11,IuranDSSebelumnya!$L$330:$L$772,"&lt;&gt;"&amp;$M$5)&gt;0,
              "Iuran dari Lingkungan lain",
              ""))</t>
  </si>
  <si>
    <t>=IF(COUNTIFS(IuranDSSebelumnya!$J$330:$J$772,$K29,IuranDSSebelumnya!$M$330:$M$772,BJ$11,IuranDSSebelumnya!$L$330:$L$772,$M$5)&gt;0,
        VLOOKUP(CONCATENATE($K29,"|",BJ$11,"|",$M$5),IuranDSSebelumnya!$I$330:$N$772,5,FALSE),
        IF(COUNTIFS(IuranDSSebelumnya!$J$330:$J$772,$K29,IuranDSSebelumnya!$M$330:$M$772,BJ$11,IuranDSSebelumnya!$L$330:$L$772,"&lt;&gt;"&amp;$M$5)&gt;0,
              "Iuran dari Lingkungan lain",
              ""))</t>
  </si>
  <si>
    <t>=IF(COUNTIFS(IuranDSSebelumnya!$J$330:$J$772,$K29,IuranDSSebelumnya!$M$330:$M$772,BK$11,IuranDSSebelumnya!$L$330:$L$772,$M$5)&gt;0,
        VLOOKUP(CONCATENATE($K29,"|",BK$11,"|",$M$5),IuranDSSebelumnya!$I$330:$N$772,5,FALSE),
        IF(COUNTIFS(IuranDSSebelumnya!$J$330:$J$772,$K29,IuranDSSebelumnya!$M$330:$M$772,BK$11,IuranDSSebelumnya!$L$330:$L$772,"&lt;&gt;"&amp;$M$5)&gt;0,
              "Iuran dari Lingkungan lain",
              ""))</t>
  </si>
  <si>
    <t>=IF(COUNTIFS(IuranDSSebelumnya!$J$330:$J$772,$K29,IuranDSSebelumnya!$M$330:$M$772,BL$11,IuranDSSebelumnya!$L$330:$L$772,$M$5)&gt;0,
        VLOOKUP(CONCATENATE($K29,"|",BL$11,"|",$M$5),IuranDSSebelumnya!$I$330:$N$772,5,FALSE),
        IF(COUNTIFS(IuranDSSebelumnya!$J$330:$J$772,$K29,IuranDSSebelumnya!$M$330:$M$772,BL$11,IuranDSSebelumnya!$L$330:$L$772,"&lt;&gt;"&amp;$M$5)&gt;0,
              "Iuran dari Lingkungan lain",
              ""))</t>
  </si>
  <si>
    <t>=CELL("row")=CELL("row",C30)</t>
  </si>
  <si>
    <t>="""TRUST Nav"",""HSPMTB2016"",""18"",""1"",""KK-05046"""</t>
  </si>
  <si>
    <t>=IF(AND($AL30=0,$J30=1)=TRUE,0,
        IF(AND($AL30&gt;0,$J30=1)=TRUE,1,
              IF(AND(H29=$H$12,$J30&gt;1)=TRUE,0,
                    IF(AND($AL30=0,$J30&gt;1),H29,
                         H29+1))))</t>
  </si>
  <si>
    <t>=IF(J29="No.",1,J29+1)</t>
  </si>
  <si>
    <t>=SUM(N30:AK30)</t>
  </si>
  <si>
    <t>=IF(COUNTIFS(IuranDSSebelumnya!$J$330:$J$772,$K30,IuranDSSebelumnya!$M$330:$M$772,AO$11,IuranDSSebelumnya!$L$330:$L$772,$M$5)&gt;0,
        VLOOKUP(CONCATENATE($K30,"|",AO$11,"|",$M$5),IuranDSSebelumnya!$I$330:$N$772,5,FALSE),
        IF(COUNTIFS(IuranDSSebelumnya!$J$330:$J$772,$K30,IuranDSSebelumnya!$M$330:$M$772,AO$11,IuranDSSebelumnya!$L$330:$L$772,"&lt;&gt;"&amp;$M$5)&gt;0,
              "Iuran dari Lingkungan lain",
              ""))</t>
  </si>
  <si>
    <t>=IF(COUNTIFS(IuranDSSebelumnya!$J$330:$J$772,$K30,IuranDSSebelumnya!$M$330:$M$772,AP$11,IuranDSSebelumnya!$L$330:$L$772,$M$5)&gt;0,
        VLOOKUP(CONCATENATE($K30,"|",AP$11,"|",$M$5),IuranDSSebelumnya!$I$330:$N$772,5,FALSE),
        IF(COUNTIFS(IuranDSSebelumnya!$J$330:$J$772,$K30,IuranDSSebelumnya!$M$330:$M$772,AP$11,IuranDSSebelumnya!$L$330:$L$772,"&lt;&gt;"&amp;$M$5)&gt;0,
              "Iuran dari Lingkungan lain",
              ""))</t>
  </si>
  <si>
    <t>=IF(COUNTIFS(IuranDSSebelumnya!$J$330:$J$772,$K30,IuranDSSebelumnya!$M$330:$M$772,AQ$11,IuranDSSebelumnya!$L$330:$L$772,$M$5)&gt;0,
        VLOOKUP(CONCATENATE($K30,"|",AQ$11,"|",$M$5),IuranDSSebelumnya!$I$330:$N$772,5,FALSE),
        IF(COUNTIFS(IuranDSSebelumnya!$J$330:$J$772,$K30,IuranDSSebelumnya!$M$330:$M$772,AQ$11,IuranDSSebelumnya!$L$330:$L$772,"&lt;&gt;"&amp;$M$5)&gt;0,
              "Iuran dari Lingkungan lain",
              ""))</t>
  </si>
  <si>
    <t>=IF(COUNTIFS(IuranDSSebelumnya!$J$330:$J$772,$K30,IuranDSSebelumnya!$M$330:$M$772,AR$11,IuranDSSebelumnya!$L$330:$L$772,$M$5)&gt;0,
        VLOOKUP(CONCATENATE($K30,"|",AR$11,"|",$M$5),IuranDSSebelumnya!$I$330:$N$772,5,FALSE),
        IF(COUNTIFS(IuranDSSebelumnya!$J$330:$J$772,$K30,IuranDSSebelumnya!$M$330:$M$772,AR$11,IuranDSSebelumnya!$L$330:$L$772,"&lt;&gt;"&amp;$M$5)&gt;0,
              "Iuran dari Lingkungan lain",
              ""))</t>
  </si>
  <si>
    <t>=IF(COUNTIFS(IuranDSSebelumnya!$J$330:$J$772,$K30,IuranDSSebelumnya!$M$330:$M$772,AS$11,IuranDSSebelumnya!$L$330:$L$772,$M$5)&gt;0,
        VLOOKUP(CONCATENATE($K30,"|",AS$11,"|",$M$5),IuranDSSebelumnya!$I$330:$N$772,5,FALSE),
        IF(COUNTIFS(IuranDSSebelumnya!$J$330:$J$772,$K30,IuranDSSebelumnya!$M$330:$M$772,AS$11,IuranDSSebelumnya!$L$330:$L$772,"&lt;&gt;"&amp;$M$5)&gt;0,
              "Iuran dari Lingkungan lain",
              ""))</t>
  </si>
  <si>
    <t>=IF(COUNTIFS(IuranDSSebelumnya!$J$330:$J$772,$K30,IuranDSSebelumnya!$M$330:$M$772,AT$11,IuranDSSebelumnya!$L$330:$L$772,$M$5)&gt;0,
        VLOOKUP(CONCATENATE($K30,"|",AT$11,"|",$M$5),IuranDSSebelumnya!$I$330:$N$772,5,FALSE),
        IF(COUNTIFS(IuranDSSebelumnya!$J$330:$J$772,$K30,IuranDSSebelumnya!$M$330:$M$772,AT$11,IuranDSSebelumnya!$L$330:$L$772,"&lt;&gt;"&amp;$M$5)&gt;0,
              "Iuran dari Lingkungan lain",
              ""))</t>
  </si>
  <si>
    <t>=IF(COUNTIFS(IuranDSSebelumnya!$J$330:$J$772,$K30,IuranDSSebelumnya!$M$330:$M$772,AU$11,IuranDSSebelumnya!$L$330:$L$772,$M$5)&gt;0,
        VLOOKUP(CONCATENATE($K30,"|",AU$11,"|",$M$5),IuranDSSebelumnya!$I$330:$N$772,5,FALSE),
        IF(COUNTIFS(IuranDSSebelumnya!$J$330:$J$772,$K30,IuranDSSebelumnya!$M$330:$M$772,AU$11,IuranDSSebelumnya!$L$330:$L$772,"&lt;&gt;"&amp;$M$5)&gt;0,
              "Iuran dari Lingkungan lain",
              ""))</t>
  </si>
  <si>
    <t>=IF(COUNTIFS(IuranDSSebelumnya!$J$330:$J$772,$K30,IuranDSSebelumnya!$M$330:$M$772,AV$11,IuranDSSebelumnya!$L$330:$L$772,$M$5)&gt;0,
        VLOOKUP(CONCATENATE($K30,"|",AV$11,"|",$M$5),IuranDSSebelumnya!$I$330:$N$772,5,FALSE),
        IF(COUNTIFS(IuranDSSebelumnya!$J$330:$J$772,$K30,IuranDSSebelumnya!$M$330:$M$772,AV$11,IuranDSSebelumnya!$L$330:$L$772,"&lt;&gt;"&amp;$M$5)&gt;0,
              "Iuran dari Lingkungan lain",
              ""))</t>
  </si>
  <si>
    <t>=IF(COUNTIFS(IuranDSSebelumnya!$J$330:$J$772,$K30,IuranDSSebelumnya!$M$330:$M$772,AW$11,IuranDSSebelumnya!$L$330:$L$772,$M$5)&gt;0,
        VLOOKUP(CONCATENATE($K30,"|",AW$11,"|",$M$5),IuranDSSebelumnya!$I$330:$N$772,5,FALSE),
        IF(COUNTIFS(IuranDSSebelumnya!$J$330:$J$772,$K30,IuranDSSebelumnya!$M$330:$M$772,AW$11,IuranDSSebelumnya!$L$330:$L$772,"&lt;&gt;"&amp;$M$5)&gt;0,
              "Iuran dari Lingkungan lain",
              ""))</t>
  </si>
  <si>
    <t>=IF(COUNTIFS(IuranDSSebelumnya!$J$330:$J$772,$K30,IuranDSSebelumnya!$M$330:$M$772,AX$11,IuranDSSebelumnya!$L$330:$L$772,$M$5)&gt;0,
        VLOOKUP(CONCATENATE($K30,"|",AX$11,"|",$M$5),IuranDSSebelumnya!$I$330:$N$772,5,FALSE),
        IF(COUNTIFS(IuranDSSebelumnya!$J$330:$J$772,$K30,IuranDSSebelumnya!$M$330:$M$772,AX$11,IuranDSSebelumnya!$L$330:$L$772,"&lt;&gt;"&amp;$M$5)&gt;0,
              "Iuran dari Lingkungan lain",
              ""))</t>
  </si>
  <si>
    <t>=IF(COUNTIFS(IuranDSSebelumnya!$J$330:$J$772,$K30,IuranDSSebelumnya!$M$330:$M$772,AY$11,IuranDSSebelumnya!$L$330:$L$772,$M$5)&gt;0,
        VLOOKUP(CONCATENATE($K30,"|",AY$11,"|",$M$5),IuranDSSebelumnya!$I$330:$N$772,5,FALSE),
        IF(COUNTIFS(IuranDSSebelumnya!$J$330:$J$772,$K30,IuranDSSebelumnya!$M$330:$M$772,AY$11,IuranDSSebelumnya!$L$330:$L$772,"&lt;&gt;"&amp;$M$5)&gt;0,
              "Iuran dari Lingkungan lain",
              ""))</t>
  </si>
  <si>
    <t>=IF(COUNTIFS(IuranDSSebelumnya!$J$330:$J$772,$K30,IuranDSSebelumnya!$M$330:$M$772,AZ$11,IuranDSSebelumnya!$L$330:$L$772,$M$5)&gt;0,
        VLOOKUP(CONCATENATE($K30,"|",AZ$11,"|",$M$5),IuranDSSebelumnya!$I$330:$N$772,5,FALSE),
        IF(COUNTIFS(IuranDSSebelumnya!$J$330:$J$772,$K30,IuranDSSebelumnya!$M$330:$M$772,AZ$11,IuranDSSebelumnya!$L$330:$L$772,"&lt;&gt;"&amp;$M$5)&gt;0,
              "Iuran dari Lingkungan lain",
              ""))</t>
  </si>
  <si>
    <t>=IF(COUNTIFS(IuranDSSebelumnya!$J$330:$J$772,$K30,IuranDSSebelumnya!$M$330:$M$772,BA$11,IuranDSSebelumnya!$L$330:$L$772,$M$5)&gt;0,
        VLOOKUP(CONCATENATE($K30,"|",BA$11,"|",$M$5),IuranDSSebelumnya!$I$330:$N$772,5,FALSE),
        IF(COUNTIFS(IuranDSSebelumnya!$J$330:$J$772,$K30,IuranDSSebelumnya!$M$330:$M$772,BA$11,IuranDSSebelumnya!$L$330:$L$772,"&lt;&gt;"&amp;$M$5)&gt;0,
              "Iuran dari Lingkungan lain",
              ""))</t>
  </si>
  <si>
    <t>=IF(COUNTIFS(IuranDSSebelumnya!$J$330:$J$772,$K30,IuranDSSebelumnya!$M$330:$M$772,BB$11,IuranDSSebelumnya!$L$330:$L$772,$M$5)&gt;0,
        VLOOKUP(CONCATENATE($K30,"|",BB$11,"|",$M$5),IuranDSSebelumnya!$I$330:$N$772,5,FALSE),
        IF(COUNTIFS(IuranDSSebelumnya!$J$330:$J$772,$K30,IuranDSSebelumnya!$M$330:$M$772,BB$11,IuranDSSebelumnya!$L$330:$L$772,"&lt;&gt;"&amp;$M$5)&gt;0,
              "Iuran dari Lingkungan lain",
              ""))</t>
  </si>
  <si>
    <t>=IF(COUNTIFS(IuranDSSebelumnya!$J$330:$J$772,$K30,IuranDSSebelumnya!$M$330:$M$772,BC$11,IuranDSSebelumnya!$L$330:$L$772,$M$5)&gt;0,
        VLOOKUP(CONCATENATE($K30,"|",BC$11,"|",$M$5),IuranDSSebelumnya!$I$330:$N$772,5,FALSE),
        IF(COUNTIFS(IuranDSSebelumnya!$J$330:$J$772,$K30,IuranDSSebelumnya!$M$330:$M$772,BC$11,IuranDSSebelumnya!$L$330:$L$772,"&lt;&gt;"&amp;$M$5)&gt;0,
              "Iuran dari Lingkungan lain",
              ""))</t>
  </si>
  <si>
    <t>=IF(COUNTIFS(IuranDSSebelumnya!$J$330:$J$772,$K30,IuranDSSebelumnya!$M$330:$M$772,BD$11,IuranDSSebelumnya!$L$330:$L$772,$M$5)&gt;0,
        VLOOKUP(CONCATENATE($K30,"|",BD$11,"|",$M$5),IuranDSSebelumnya!$I$330:$N$772,5,FALSE),
        IF(COUNTIFS(IuranDSSebelumnya!$J$330:$J$772,$K30,IuranDSSebelumnya!$M$330:$M$772,BD$11,IuranDSSebelumnya!$L$330:$L$772,"&lt;&gt;"&amp;$M$5)&gt;0,
              "Iuran dari Lingkungan lain",
              ""))</t>
  </si>
  <si>
    <t>=IF(COUNTIFS(IuranDSSebelumnya!$J$330:$J$772,$K30,IuranDSSebelumnya!$M$330:$M$772,BE$11,IuranDSSebelumnya!$L$330:$L$772,$M$5)&gt;0,
        VLOOKUP(CONCATENATE($K30,"|",BE$11,"|",$M$5),IuranDSSebelumnya!$I$330:$N$772,5,FALSE),
        IF(COUNTIFS(IuranDSSebelumnya!$J$330:$J$772,$K30,IuranDSSebelumnya!$M$330:$M$772,BE$11,IuranDSSebelumnya!$L$330:$L$772,"&lt;&gt;"&amp;$M$5)&gt;0,
              "Iuran dari Lingkungan lain",
              ""))</t>
  </si>
  <si>
    <t>=IF(COUNTIFS(IuranDSSebelumnya!$J$330:$J$772,$K30,IuranDSSebelumnya!$M$330:$M$772,BF$11,IuranDSSebelumnya!$L$330:$L$772,$M$5)&gt;0,
        VLOOKUP(CONCATENATE($K30,"|",BF$11,"|",$M$5),IuranDSSebelumnya!$I$330:$N$772,5,FALSE),
        IF(COUNTIFS(IuranDSSebelumnya!$J$330:$J$772,$K30,IuranDSSebelumnya!$M$330:$M$772,BF$11,IuranDSSebelumnya!$L$330:$L$772,"&lt;&gt;"&amp;$M$5)&gt;0,
              "Iuran dari Lingkungan lain",
              ""))</t>
  </si>
  <si>
    <t>=IF(COUNTIFS(IuranDSSebelumnya!$J$330:$J$772,$K30,IuranDSSebelumnya!$M$330:$M$772,BG$11,IuranDSSebelumnya!$L$330:$L$772,$M$5)&gt;0,
        VLOOKUP(CONCATENATE($K30,"|",BG$11,"|",$M$5),IuranDSSebelumnya!$I$330:$N$772,5,FALSE),
        IF(COUNTIFS(IuranDSSebelumnya!$J$330:$J$772,$K30,IuranDSSebelumnya!$M$330:$M$772,BG$11,IuranDSSebelumnya!$L$330:$L$772,"&lt;&gt;"&amp;$M$5)&gt;0,
              "Iuran dari Lingkungan lain",
              ""))</t>
  </si>
  <si>
    <t>=IF(COUNTIFS(IuranDSSebelumnya!$J$330:$J$772,$K30,IuranDSSebelumnya!$M$330:$M$772,BH$11,IuranDSSebelumnya!$L$330:$L$772,$M$5)&gt;0,
        VLOOKUP(CONCATENATE($K30,"|",BH$11,"|",$M$5),IuranDSSebelumnya!$I$330:$N$772,5,FALSE),
        IF(COUNTIFS(IuranDSSebelumnya!$J$330:$J$772,$K30,IuranDSSebelumnya!$M$330:$M$772,BH$11,IuranDSSebelumnya!$L$330:$L$772,"&lt;&gt;"&amp;$M$5)&gt;0,
              "Iuran dari Lingkungan lain",
              ""))</t>
  </si>
  <si>
    <t>=IF(COUNTIFS(IuranDSSebelumnya!$J$330:$J$772,$K30,IuranDSSebelumnya!$M$330:$M$772,BI$11,IuranDSSebelumnya!$L$330:$L$772,$M$5)&gt;0,
        VLOOKUP(CONCATENATE($K30,"|",BI$11,"|",$M$5),IuranDSSebelumnya!$I$330:$N$772,5,FALSE),
        IF(COUNTIFS(IuranDSSebelumnya!$J$330:$J$772,$K30,IuranDSSebelumnya!$M$330:$M$772,BI$11,IuranDSSebelumnya!$L$330:$L$772,"&lt;&gt;"&amp;$M$5)&gt;0,
              "Iuran dari Lingkungan lain",
              ""))</t>
  </si>
  <si>
    <t>=IF(COUNTIFS(IuranDSSebelumnya!$J$330:$J$772,$K30,IuranDSSebelumnya!$M$330:$M$772,BJ$11,IuranDSSebelumnya!$L$330:$L$772,$M$5)&gt;0,
        VLOOKUP(CONCATENATE($K30,"|",BJ$11,"|",$M$5),IuranDSSebelumnya!$I$330:$N$772,5,FALSE),
        IF(COUNTIFS(IuranDSSebelumnya!$J$330:$J$772,$K30,IuranDSSebelumnya!$M$330:$M$772,BJ$11,IuranDSSebelumnya!$L$330:$L$772,"&lt;&gt;"&amp;$M$5)&gt;0,
              "Iuran dari Lingkungan lain",
              ""))</t>
  </si>
  <si>
    <t>=IF(COUNTIFS(IuranDSSebelumnya!$J$330:$J$772,$K30,IuranDSSebelumnya!$M$330:$M$772,BK$11,IuranDSSebelumnya!$L$330:$L$772,$M$5)&gt;0,
        VLOOKUP(CONCATENATE($K30,"|",BK$11,"|",$M$5),IuranDSSebelumnya!$I$330:$N$772,5,FALSE),
        IF(COUNTIFS(IuranDSSebelumnya!$J$330:$J$772,$K30,IuranDSSebelumnya!$M$330:$M$772,BK$11,IuranDSSebelumnya!$L$330:$L$772,"&lt;&gt;"&amp;$M$5)&gt;0,
              "Iuran dari Lingkungan lain",
              ""))</t>
  </si>
  <si>
    <t>=IF(COUNTIFS(IuranDSSebelumnya!$J$330:$J$772,$K30,IuranDSSebelumnya!$M$330:$M$772,BL$11,IuranDSSebelumnya!$L$330:$L$772,$M$5)&gt;0,
        VLOOKUP(CONCATENATE($K30,"|",BL$11,"|",$M$5),IuranDSSebelumnya!$I$330:$N$772,5,FALSE),
        IF(COUNTIFS(IuranDSSebelumnya!$J$330:$J$772,$K30,IuranDSSebelumnya!$M$330:$M$772,BL$11,IuranDSSebelumnya!$L$330:$L$772,"&lt;&gt;"&amp;$M$5)&gt;0,
              "Iuran dari Lingkungan lain",
              ""))</t>
  </si>
  <si>
    <t>=CELL("row")=CELL("row",C31)</t>
  </si>
  <si>
    <t>="""TRUST Nav"",""HSPMTB2016"",""18"",""1"",""KK-04613"""</t>
  </si>
  <si>
    <t>=IF(AND($AL31=0,$J31=1)=TRUE,0,
        IF(AND($AL31&gt;0,$J31=1)=TRUE,1,
              IF(AND(H30=$H$12,$J31&gt;1)=TRUE,0,
                    IF(AND($AL31=0,$J31&gt;1),H30,
                         H30+1))))</t>
  </si>
  <si>
    <t>=IF(J30="No.",1,J30+1)</t>
  </si>
  <si>
    <t>=SUM(N31:AK31)</t>
  </si>
  <si>
    <t>=IF(COUNTIFS(IuranDSSebelumnya!$J$330:$J$772,$K31,IuranDSSebelumnya!$M$330:$M$772,AO$11,IuranDSSebelumnya!$L$330:$L$772,$M$5)&gt;0,
        VLOOKUP(CONCATENATE($K31,"|",AO$11,"|",$M$5),IuranDSSebelumnya!$I$330:$N$772,5,FALSE),
        IF(COUNTIFS(IuranDSSebelumnya!$J$330:$J$772,$K31,IuranDSSebelumnya!$M$330:$M$772,AO$11,IuranDSSebelumnya!$L$330:$L$772,"&lt;&gt;"&amp;$M$5)&gt;0,
              "Iuran dari Lingkungan lain",
              ""))</t>
  </si>
  <si>
    <t>=IF(COUNTIFS(IuranDSSebelumnya!$J$330:$J$772,$K31,IuranDSSebelumnya!$M$330:$M$772,AP$11,IuranDSSebelumnya!$L$330:$L$772,$M$5)&gt;0,
        VLOOKUP(CONCATENATE($K31,"|",AP$11,"|",$M$5),IuranDSSebelumnya!$I$330:$N$772,5,FALSE),
        IF(COUNTIFS(IuranDSSebelumnya!$J$330:$J$772,$K31,IuranDSSebelumnya!$M$330:$M$772,AP$11,IuranDSSebelumnya!$L$330:$L$772,"&lt;&gt;"&amp;$M$5)&gt;0,
              "Iuran dari Lingkungan lain",
              ""))</t>
  </si>
  <si>
    <t>=IF(COUNTIFS(IuranDSSebelumnya!$J$330:$J$772,$K31,IuranDSSebelumnya!$M$330:$M$772,AQ$11,IuranDSSebelumnya!$L$330:$L$772,$M$5)&gt;0,
        VLOOKUP(CONCATENATE($K31,"|",AQ$11,"|",$M$5),IuranDSSebelumnya!$I$330:$N$772,5,FALSE),
        IF(COUNTIFS(IuranDSSebelumnya!$J$330:$J$772,$K31,IuranDSSebelumnya!$M$330:$M$772,AQ$11,IuranDSSebelumnya!$L$330:$L$772,"&lt;&gt;"&amp;$M$5)&gt;0,
              "Iuran dari Lingkungan lain",
              ""))</t>
  </si>
  <si>
    <t>=IF(COUNTIFS(IuranDSSebelumnya!$J$330:$J$772,$K31,IuranDSSebelumnya!$M$330:$M$772,AR$11,IuranDSSebelumnya!$L$330:$L$772,$M$5)&gt;0,
        VLOOKUP(CONCATENATE($K31,"|",AR$11,"|",$M$5),IuranDSSebelumnya!$I$330:$N$772,5,FALSE),
        IF(COUNTIFS(IuranDSSebelumnya!$J$330:$J$772,$K31,IuranDSSebelumnya!$M$330:$M$772,AR$11,IuranDSSebelumnya!$L$330:$L$772,"&lt;&gt;"&amp;$M$5)&gt;0,
              "Iuran dari Lingkungan lain",
              ""))</t>
  </si>
  <si>
    <t>=IF(COUNTIFS(IuranDSSebelumnya!$J$330:$J$772,$K31,IuranDSSebelumnya!$M$330:$M$772,AS$11,IuranDSSebelumnya!$L$330:$L$772,$M$5)&gt;0,
        VLOOKUP(CONCATENATE($K31,"|",AS$11,"|",$M$5),IuranDSSebelumnya!$I$330:$N$772,5,FALSE),
        IF(COUNTIFS(IuranDSSebelumnya!$J$330:$J$772,$K31,IuranDSSebelumnya!$M$330:$M$772,AS$11,IuranDSSebelumnya!$L$330:$L$772,"&lt;&gt;"&amp;$M$5)&gt;0,
              "Iuran dari Lingkungan lain",
              ""))</t>
  </si>
  <si>
    <t>=IF(COUNTIFS(IuranDSSebelumnya!$J$330:$J$772,$K31,IuranDSSebelumnya!$M$330:$M$772,AT$11,IuranDSSebelumnya!$L$330:$L$772,$M$5)&gt;0,
        VLOOKUP(CONCATENATE($K31,"|",AT$11,"|",$M$5),IuranDSSebelumnya!$I$330:$N$772,5,FALSE),
        IF(COUNTIFS(IuranDSSebelumnya!$J$330:$J$772,$K31,IuranDSSebelumnya!$M$330:$M$772,AT$11,IuranDSSebelumnya!$L$330:$L$772,"&lt;&gt;"&amp;$M$5)&gt;0,
              "Iuran dari Lingkungan lain",
              ""))</t>
  </si>
  <si>
    <t>=IF(COUNTIFS(IuranDSSebelumnya!$J$330:$J$772,$K31,IuranDSSebelumnya!$M$330:$M$772,AU$11,IuranDSSebelumnya!$L$330:$L$772,$M$5)&gt;0,
        VLOOKUP(CONCATENATE($K31,"|",AU$11,"|",$M$5),IuranDSSebelumnya!$I$330:$N$772,5,FALSE),
        IF(COUNTIFS(IuranDSSebelumnya!$J$330:$J$772,$K31,IuranDSSebelumnya!$M$330:$M$772,AU$11,IuranDSSebelumnya!$L$330:$L$772,"&lt;&gt;"&amp;$M$5)&gt;0,
              "Iuran dari Lingkungan lain",
              ""))</t>
  </si>
  <si>
    <t>=IF(COUNTIFS(IuranDSSebelumnya!$J$330:$J$772,$K31,IuranDSSebelumnya!$M$330:$M$772,AV$11,IuranDSSebelumnya!$L$330:$L$772,$M$5)&gt;0,
        VLOOKUP(CONCATENATE($K31,"|",AV$11,"|",$M$5),IuranDSSebelumnya!$I$330:$N$772,5,FALSE),
        IF(COUNTIFS(IuranDSSebelumnya!$J$330:$J$772,$K31,IuranDSSebelumnya!$M$330:$M$772,AV$11,IuranDSSebelumnya!$L$330:$L$772,"&lt;&gt;"&amp;$M$5)&gt;0,
              "Iuran dari Lingkungan lain",
              ""))</t>
  </si>
  <si>
    <t>=IF(COUNTIFS(IuranDSSebelumnya!$J$330:$J$772,$K31,IuranDSSebelumnya!$M$330:$M$772,AW$11,IuranDSSebelumnya!$L$330:$L$772,$M$5)&gt;0,
        VLOOKUP(CONCATENATE($K31,"|",AW$11,"|",$M$5),IuranDSSebelumnya!$I$330:$N$772,5,FALSE),
        IF(COUNTIFS(IuranDSSebelumnya!$J$330:$J$772,$K31,IuranDSSebelumnya!$M$330:$M$772,AW$11,IuranDSSebelumnya!$L$330:$L$772,"&lt;&gt;"&amp;$M$5)&gt;0,
              "Iuran dari Lingkungan lain",
              ""))</t>
  </si>
  <si>
    <t>=IF(COUNTIFS(IuranDSSebelumnya!$J$330:$J$772,$K31,IuranDSSebelumnya!$M$330:$M$772,AX$11,IuranDSSebelumnya!$L$330:$L$772,$M$5)&gt;0,
        VLOOKUP(CONCATENATE($K31,"|",AX$11,"|",$M$5),IuranDSSebelumnya!$I$330:$N$772,5,FALSE),
        IF(COUNTIFS(IuranDSSebelumnya!$J$330:$J$772,$K31,IuranDSSebelumnya!$M$330:$M$772,AX$11,IuranDSSebelumnya!$L$330:$L$772,"&lt;&gt;"&amp;$M$5)&gt;0,
              "Iuran dari Lingkungan lain",
              ""))</t>
  </si>
  <si>
    <t>=IF(COUNTIFS(IuranDSSebelumnya!$J$330:$J$772,$K31,IuranDSSebelumnya!$M$330:$M$772,AY$11,IuranDSSebelumnya!$L$330:$L$772,$M$5)&gt;0,
        VLOOKUP(CONCATENATE($K31,"|",AY$11,"|",$M$5),IuranDSSebelumnya!$I$330:$N$772,5,FALSE),
        IF(COUNTIFS(IuranDSSebelumnya!$J$330:$J$772,$K31,IuranDSSebelumnya!$M$330:$M$772,AY$11,IuranDSSebelumnya!$L$330:$L$772,"&lt;&gt;"&amp;$M$5)&gt;0,
              "Iuran dari Lingkungan lain",
              ""))</t>
  </si>
  <si>
    <t>=IF(COUNTIFS(IuranDSSebelumnya!$J$330:$J$772,$K31,IuranDSSebelumnya!$M$330:$M$772,AZ$11,IuranDSSebelumnya!$L$330:$L$772,$M$5)&gt;0,
        VLOOKUP(CONCATENATE($K31,"|",AZ$11,"|",$M$5),IuranDSSebelumnya!$I$330:$N$772,5,FALSE),
        IF(COUNTIFS(IuranDSSebelumnya!$J$330:$J$772,$K31,IuranDSSebelumnya!$M$330:$M$772,AZ$11,IuranDSSebelumnya!$L$330:$L$772,"&lt;&gt;"&amp;$M$5)&gt;0,
              "Iuran dari Lingkungan lain",
              ""))</t>
  </si>
  <si>
    <t>=IF(COUNTIFS(IuranDSSebelumnya!$J$330:$J$772,$K31,IuranDSSebelumnya!$M$330:$M$772,BA$11,IuranDSSebelumnya!$L$330:$L$772,$M$5)&gt;0,
        VLOOKUP(CONCATENATE($K31,"|",BA$11,"|",$M$5),IuranDSSebelumnya!$I$330:$N$772,5,FALSE),
        IF(COUNTIFS(IuranDSSebelumnya!$J$330:$J$772,$K31,IuranDSSebelumnya!$M$330:$M$772,BA$11,IuranDSSebelumnya!$L$330:$L$772,"&lt;&gt;"&amp;$M$5)&gt;0,
              "Iuran dari Lingkungan lain",
              ""))</t>
  </si>
  <si>
    <t>=IF(COUNTIFS(IuranDSSebelumnya!$J$330:$J$772,$K31,IuranDSSebelumnya!$M$330:$M$772,BB$11,IuranDSSebelumnya!$L$330:$L$772,$M$5)&gt;0,
        VLOOKUP(CONCATENATE($K31,"|",BB$11,"|",$M$5),IuranDSSebelumnya!$I$330:$N$772,5,FALSE),
        IF(COUNTIFS(IuranDSSebelumnya!$J$330:$J$772,$K31,IuranDSSebelumnya!$M$330:$M$772,BB$11,IuranDSSebelumnya!$L$330:$L$772,"&lt;&gt;"&amp;$M$5)&gt;0,
              "Iuran dari Lingkungan lain",
              ""))</t>
  </si>
  <si>
    <t>=IF(COUNTIFS(IuranDSSebelumnya!$J$330:$J$772,$K31,IuranDSSebelumnya!$M$330:$M$772,BC$11,IuranDSSebelumnya!$L$330:$L$772,$M$5)&gt;0,
        VLOOKUP(CONCATENATE($K31,"|",BC$11,"|",$M$5),IuranDSSebelumnya!$I$330:$N$772,5,FALSE),
        IF(COUNTIFS(IuranDSSebelumnya!$J$330:$J$772,$K31,IuranDSSebelumnya!$M$330:$M$772,BC$11,IuranDSSebelumnya!$L$330:$L$772,"&lt;&gt;"&amp;$M$5)&gt;0,
              "Iuran dari Lingkungan lain",
              ""))</t>
  </si>
  <si>
    <t>=IF(COUNTIFS(IuranDSSebelumnya!$J$330:$J$772,$K31,IuranDSSebelumnya!$M$330:$M$772,BD$11,IuranDSSebelumnya!$L$330:$L$772,$M$5)&gt;0,
        VLOOKUP(CONCATENATE($K31,"|",BD$11,"|",$M$5),IuranDSSebelumnya!$I$330:$N$772,5,FALSE),
        IF(COUNTIFS(IuranDSSebelumnya!$J$330:$J$772,$K31,IuranDSSebelumnya!$M$330:$M$772,BD$11,IuranDSSebelumnya!$L$330:$L$772,"&lt;&gt;"&amp;$M$5)&gt;0,
              "Iuran dari Lingkungan lain",
              ""))</t>
  </si>
  <si>
    <t>=IF(COUNTIFS(IuranDSSebelumnya!$J$330:$J$772,$K31,IuranDSSebelumnya!$M$330:$M$772,BE$11,IuranDSSebelumnya!$L$330:$L$772,$M$5)&gt;0,
        VLOOKUP(CONCATENATE($K31,"|",BE$11,"|",$M$5),IuranDSSebelumnya!$I$330:$N$772,5,FALSE),
        IF(COUNTIFS(IuranDSSebelumnya!$J$330:$J$772,$K31,IuranDSSebelumnya!$M$330:$M$772,BE$11,IuranDSSebelumnya!$L$330:$L$772,"&lt;&gt;"&amp;$M$5)&gt;0,
              "Iuran dari Lingkungan lain",
              ""))</t>
  </si>
  <si>
    <t>=IF(COUNTIFS(IuranDSSebelumnya!$J$330:$J$772,$K31,IuranDSSebelumnya!$M$330:$M$772,BF$11,IuranDSSebelumnya!$L$330:$L$772,$M$5)&gt;0,
        VLOOKUP(CONCATENATE($K31,"|",BF$11,"|",$M$5),IuranDSSebelumnya!$I$330:$N$772,5,FALSE),
        IF(COUNTIFS(IuranDSSebelumnya!$J$330:$J$772,$K31,IuranDSSebelumnya!$M$330:$M$772,BF$11,IuranDSSebelumnya!$L$330:$L$772,"&lt;&gt;"&amp;$M$5)&gt;0,
              "Iuran dari Lingkungan lain",
              ""))</t>
  </si>
  <si>
    <t>=IF(COUNTIFS(IuranDSSebelumnya!$J$330:$J$772,$K31,IuranDSSebelumnya!$M$330:$M$772,BG$11,IuranDSSebelumnya!$L$330:$L$772,$M$5)&gt;0,
        VLOOKUP(CONCATENATE($K31,"|",BG$11,"|",$M$5),IuranDSSebelumnya!$I$330:$N$772,5,FALSE),
        IF(COUNTIFS(IuranDSSebelumnya!$J$330:$J$772,$K31,IuranDSSebelumnya!$M$330:$M$772,BG$11,IuranDSSebelumnya!$L$330:$L$772,"&lt;&gt;"&amp;$M$5)&gt;0,
              "Iuran dari Lingkungan lain",
              ""))</t>
  </si>
  <si>
    <t>=IF(COUNTIFS(IuranDSSebelumnya!$J$330:$J$772,$K31,IuranDSSebelumnya!$M$330:$M$772,BH$11,IuranDSSebelumnya!$L$330:$L$772,$M$5)&gt;0,
        VLOOKUP(CONCATENATE($K31,"|",BH$11,"|",$M$5),IuranDSSebelumnya!$I$330:$N$772,5,FALSE),
        IF(COUNTIFS(IuranDSSebelumnya!$J$330:$J$772,$K31,IuranDSSebelumnya!$M$330:$M$772,BH$11,IuranDSSebelumnya!$L$330:$L$772,"&lt;&gt;"&amp;$M$5)&gt;0,
              "Iuran dari Lingkungan lain",
              ""))</t>
  </si>
  <si>
    <t>=IF(COUNTIFS(IuranDSSebelumnya!$J$330:$J$772,$K31,IuranDSSebelumnya!$M$330:$M$772,BI$11,IuranDSSebelumnya!$L$330:$L$772,$M$5)&gt;0,
        VLOOKUP(CONCATENATE($K31,"|",BI$11,"|",$M$5),IuranDSSebelumnya!$I$330:$N$772,5,FALSE),
        IF(COUNTIFS(IuranDSSebelumnya!$J$330:$J$772,$K31,IuranDSSebelumnya!$M$330:$M$772,BI$11,IuranDSSebelumnya!$L$330:$L$772,"&lt;&gt;"&amp;$M$5)&gt;0,
              "Iuran dari Lingkungan lain",
              ""))</t>
  </si>
  <si>
    <t>=IF(COUNTIFS(IuranDSSebelumnya!$J$330:$J$772,$K31,IuranDSSebelumnya!$M$330:$M$772,BJ$11,IuranDSSebelumnya!$L$330:$L$772,$M$5)&gt;0,
        VLOOKUP(CONCATENATE($K31,"|",BJ$11,"|",$M$5),IuranDSSebelumnya!$I$330:$N$772,5,FALSE),
        IF(COUNTIFS(IuranDSSebelumnya!$J$330:$J$772,$K31,IuranDSSebelumnya!$M$330:$M$772,BJ$11,IuranDSSebelumnya!$L$330:$L$772,"&lt;&gt;"&amp;$M$5)&gt;0,
              "Iuran dari Lingkungan lain",
              ""))</t>
  </si>
  <si>
    <t>=IF(COUNTIFS(IuranDSSebelumnya!$J$330:$J$772,$K31,IuranDSSebelumnya!$M$330:$M$772,BK$11,IuranDSSebelumnya!$L$330:$L$772,$M$5)&gt;0,
        VLOOKUP(CONCATENATE($K31,"|",BK$11,"|",$M$5),IuranDSSebelumnya!$I$330:$N$772,5,FALSE),
        IF(COUNTIFS(IuranDSSebelumnya!$J$330:$J$772,$K31,IuranDSSebelumnya!$M$330:$M$772,BK$11,IuranDSSebelumnya!$L$330:$L$772,"&lt;&gt;"&amp;$M$5)&gt;0,
              "Iuran dari Lingkungan lain",
              ""))</t>
  </si>
  <si>
    <t>=IF(COUNTIFS(IuranDSSebelumnya!$J$330:$J$772,$K31,IuranDSSebelumnya!$M$330:$M$772,BL$11,IuranDSSebelumnya!$L$330:$L$772,$M$5)&gt;0,
        VLOOKUP(CONCATENATE($K31,"|",BL$11,"|",$M$5),IuranDSSebelumnya!$I$330:$N$772,5,FALSE),
        IF(COUNTIFS(IuranDSSebelumnya!$J$330:$J$772,$K31,IuranDSSebelumnya!$M$330:$M$772,BL$11,IuranDSSebelumnya!$L$330:$L$772,"&lt;&gt;"&amp;$M$5)&gt;0,
              "Iuran dari Lingkungan lain",
              ""))</t>
  </si>
  <si>
    <t>=CELL("row")=CELL("row",C32)</t>
  </si>
  <si>
    <t>="""TRUST Nav"",""HSPMTB2016"",""18"",""1"",""KK-04609"""</t>
  </si>
  <si>
    <t>=IF(AND($AL32=0,$J32=1)=TRUE,0,
        IF(AND($AL32&gt;0,$J32=1)=TRUE,1,
              IF(AND(H31=$H$12,$J32&gt;1)=TRUE,0,
                    IF(AND($AL32=0,$J32&gt;1),H31,
                         H31+1))))</t>
  </si>
  <si>
    <t>=IF(J31="No.",1,J31+1)</t>
  </si>
  <si>
    <t>=SUM(N32:AK32)</t>
  </si>
  <si>
    <t>=IF(COUNTIFS(IuranDSSebelumnya!$J$330:$J$772,$K32,IuranDSSebelumnya!$M$330:$M$772,AO$11,IuranDSSebelumnya!$L$330:$L$772,$M$5)&gt;0,
        VLOOKUP(CONCATENATE($K32,"|",AO$11,"|",$M$5),IuranDSSebelumnya!$I$330:$N$772,5,FALSE),
        IF(COUNTIFS(IuranDSSebelumnya!$J$330:$J$772,$K32,IuranDSSebelumnya!$M$330:$M$772,AO$11,IuranDSSebelumnya!$L$330:$L$772,"&lt;&gt;"&amp;$M$5)&gt;0,
              "Iuran dari Lingkungan lain",
              ""))</t>
  </si>
  <si>
    <t>=IF(COUNTIFS(IuranDSSebelumnya!$J$330:$J$772,$K32,IuranDSSebelumnya!$M$330:$M$772,AP$11,IuranDSSebelumnya!$L$330:$L$772,$M$5)&gt;0,
        VLOOKUP(CONCATENATE($K32,"|",AP$11,"|",$M$5),IuranDSSebelumnya!$I$330:$N$772,5,FALSE),
        IF(COUNTIFS(IuranDSSebelumnya!$J$330:$J$772,$K32,IuranDSSebelumnya!$M$330:$M$772,AP$11,IuranDSSebelumnya!$L$330:$L$772,"&lt;&gt;"&amp;$M$5)&gt;0,
              "Iuran dari Lingkungan lain",
              ""))</t>
  </si>
  <si>
    <t>=IF(COUNTIFS(IuranDSSebelumnya!$J$330:$J$772,$K32,IuranDSSebelumnya!$M$330:$M$772,AQ$11,IuranDSSebelumnya!$L$330:$L$772,$M$5)&gt;0,
        VLOOKUP(CONCATENATE($K32,"|",AQ$11,"|",$M$5),IuranDSSebelumnya!$I$330:$N$772,5,FALSE),
        IF(COUNTIFS(IuranDSSebelumnya!$J$330:$J$772,$K32,IuranDSSebelumnya!$M$330:$M$772,AQ$11,IuranDSSebelumnya!$L$330:$L$772,"&lt;&gt;"&amp;$M$5)&gt;0,
              "Iuran dari Lingkungan lain",
              ""))</t>
  </si>
  <si>
    <t>=IF(COUNTIFS(IuranDSSebelumnya!$J$330:$J$772,$K32,IuranDSSebelumnya!$M$330:$M$772,AR$11,IuranDSSebelumnya!$L$330:$L$772,$M$5)&gt;0,
        VLOOKUP(CONCATENATE($K32,"|",AR$11,"|",$M$5),IuranDSSebelumnya!$I$330:$N$772,5,FALSE),
        IF(COUNTIFS(IuranDSSebelumnya!$J$330:$J$772,$K32,IuranDSSebelumnya!$M$330:$M$772,AR$11,IuranDSSebelumnya!$L$330:$L$772,"&lt;&gt;"&amp;$M$5)&gt;0,
              "Iuran dari Lingkungan lain",
              ""))</t>
  </si>
  <si>
    <t>=IF(COUNTIFS(IuranDSSebelumnya!$J$330:$J$772,$K32,IuranDSSebelumnya!$M$330:$M$772,AS$11,IuranDSSebelumnya!$L$330:$L$772,$M$5)&gt;0,
        VLOOKUP(CONCATENATE($K32,"|",AS$11,"|",$M$5),IuranDSSebelumnya!$I$330:$N$772,5,FALSE),
        IF(COUNTIFS(IuranDSSebelumnya!$J$330:$J$772,$K32,IuranDSSebelumnya!$M$330:$M$772,AS$11,IuranDSSebelumnya!$L$330:$L$772,"&lt;&gt;"&amp;$M$5)&gt;0,
              "Iuran dari Lingkungan lain",
              ""))</t>
  </si>
  <si>
    <t>=IF(COUNTIFS(IuranDSSebelumnya!$J$330:$J$772,$K32,IuranDSSebelumnya!$M$330:$M$772,AT$11,IuranDSSebelumnya!$L$330:$L$772,$M$5)&gt;0,
        VLOOKUP(CONCATENATE($K32,"|",AT$11,"|",$M$5),IuranDSSebelumnya!$I$330:$N$772,5,FALSE),
        IF(COUNTIFS(IuranDSSebelumnya!$J$330:$J$772,$K32,IuranDSSebelumnya!$M$330:$M$772,AT$11,IuranDSSebelumnya!$L$330:$L$772,"&lt;&gt;"&amp;$M$5)&gt;0,
              "Iuran dari Lingkungan lain",
              ""))</t>
  </si>
  <si>
    <t>=IF(COUNTIFS(IuranDSSebelumnya!$J$330:$J$772,$K32,IuranDSSebelumnya!$M$330:$M$772,AU$11,IuranDSSebelumnya!$L$330:$L$772,$M$5)&gt;0,
        VLOOKUP(CONCATENATE($K32,"|",AU$11,"|",$M$5),IuranDSSebelumnya!$I$330:$N$772,5,FALSE),
        IF(COUNTIFS(IuranDSSebelumnya!$J$330:$J$772,$K32,IuranDSSebelumnya!$M$330:$M$772,AU$11,IuranDSSebelumnya!$L$330:$L$772,"&lt;&gt;"&amp;$M$5)&gt;0,
              "Iuran dari Lingkungan lain",
              ""))</t>
  </si>
  <si>
    <t>=IF(COUNTIFS(IuranDSSebelumnya!$J$330:$J$772,$K32,IuranDSSebelumnya!$M$330:$M$772,AV$11,IuranDSSebelumnya!$L$330:$L$772,$M$5)&gt;0,
        VLOOKUP(CONCATENATE($K32,"|",AV$11,"|",$M$5),IuranDSSebelumnya!$I$330:$N$772,5,FALSE),
        IF(COUNTIFS(IuranDSSebelumnya!$J$330:$J$772,$K32,IuranDSSebelumnya!$M$330:$M$772,AV$11,IuranDSSebelumnya!$L$330:$L$772,"&lt;&gt;"&amp;$M$5)&gt;0,
              "Iuran dari Lingkungan lain",
              ""))</t>
  </si>
  <si>
    <t>=IF(COUNTIFS(IuranDSSebelumnya!$J$330:$J$772,$K32,IuranDSSebelumnya!$M$330:$M$772,AW$11,IuranDSSebelumnya!$L$330:$L$772,$M$5)&gt;0,
        VLOOKUP(CONCATENATE($K32,"|",AW$11,"|",$M$5),IuranDSSebelumnya!$I$330:$N$772,5,FALSE),
        IF(COUNTIFS(IuranDSSebelumnya!$J$330:$J$772,$K32,IuranDSSebelumnya!$M$330:$M$772,AW$11,IuranDSSebelumnya!$L$330:$L$772,"&lt;&gt;"&amp;$M$5)&gt;0,
              "Iuran dari Lingkungan lain",
              ""))</t>
  </si>
  <si>
    <t>=IF(COUNTIFS(IuranDSSebelumnya!$J$330:$J$772,$K32,IuranDSSebelumnya!$M$330:$M$772,AX$11,IuranDSSebelumnya!$L$330:$L$772,$M$5)&gt;0,
        VLOOKUP(CONCATENATE($K32,"|",AX$11,"|",$M$5),IuranDSSebelumnya!$I$330:$N$772,5,FALSE),
        IF(COUNTIFS(IuranDSSebelumnya!$J$330:$J$772,$K32,IuranDSSebelumnya!$M$330:$M$772,AX$11,IuranDSSebelumnya!$L$330:$L$772,"&lt;&gt;"&amp;$M$5)&gt;0,
              "Iuran dari Lingkungan lain",
              ""))</t>
  </si>
  <si>
    <t>=IF(COUNTIFS(IuranDSSebelumnya!$J$330:$J$772,$K32,IuranDSSebelumnya!$M$330:$M$772,AY$11,IuranDSSebelumnya!$L$330:$L$772,$M$5)&gt;0,
        VLOOKUP(CONCATENATE($K32,"|",AY$11,"|",$M$5),IuranDSSebelumnya!$I$330:$N$772,5,FALSE),
        IF(COUNTIFS(IuranDSSebelumnya!$J$330:$J$772,$K32,IuranDSSebelumnya!$M$330:$M$772,AY$11,IuranDSSebelumnya!$L$330:$L$772,"&lt;&gt;"&amp;$M$5)&gt;0,
              "Iuran dari Lingkungan lain",
              ""))</t>
  </si>
  <si>
    <t>=IF(COUNTIFS(IuranDSSebelumnya!$J$330:$J$772,$K32,IuranDSSebelumnya!$M$330:$M$772,AZ$11,IuranDSSebelumnya!$L$330:$L$772,$M$5)&gt;0,
        VLOOKUP(CONCATENATE($K32,"|",AZ$11,"|",$M$5),IuranDSSebelumnya!$I$330:$N$772,5,FALSE),
        IF(COUNTIFS(IuranDSSebelumnya!$J$330:$J$772,$K32,IuranDSSebelumnya!$M$330:$M$772,AZ$11,IuranDSSebelumnya!$L$330:$L$772,"&lt;&gt;"&amp;$M$5)&gt;0,
              "Iuran dari Lingkungan lain",
              ""))</t>
  </si>
  <si>
    <t>=IF(COUNTIFS(IuranDSSebelumnya!$J$330:$J$772,$K32,IuranDSSebelumnya!$M$330:$M$772,BA$11,IuranDSSebelumnya!$L$330:$L$772,$M$5)&gt;0,
        VLOOKUP(CONCATENATE($K32,"|",BA$11,"|",$M$5),IuranDSSebelumnya!$I$330:$N$772,5,FALSE),
        IF(COUNTIFS(IuranDSSebelumnya!$J$330:$J$772,$K32,IuranDSSebelumnya!$M$330:$M$772,BA$11,IuranDSSebelumnya!$L$330:$L$772,"&lt;&gt;"&amp;$M$5)&gt;0,
              "Iuran dari Lingkungan lain",
              ""))</t>
  </si>
  <si>
    <t>=IF(COUNTIFS(IuranDSSebelumnya!$J$330:$J$772,$K32,IuranDSSebelumnya!$M$330:$M$772,BB$11,IuranDSSebelumnya!$L$330:$L$772,$M$5)&gt;0,
        VLOOKUP(CONCATENATE($K32,"|",BB$11,"|",$M$5),IuranDSSebelumnya!$I$330:$N$772,5,FALSE),
        IF(COUNTIFS(IuranDSSebelumnya!$J$330:$J$772,$K32,IuranDSSebelumnya!$M$330:$M$772,BB$11,IuranDSSebelumnya!$L$330:$L$772,"&lt;&gt;"&amp;$M$5)&gt;0,
              "Iuran dari Lingkungan lain",
              ""))</t>
  </si>
  <si>
    <t>=IF(COUNTIFS(IuranDSSebelumnya!$J$330:$J$772,$K32,IuranDSSebelumnya!$M$330:$M$772,BC$11,IuranDSSebelumnya!$L$330:$L$772,$M$5)&gt;0,
        VLOOKUP(CONCATENATE($K32,"|",BC$11,"|",$M$5),IuranDSSebelumnya!$I$330:$N$772,5,FALSE),
        IF(COUNTIFS(IuranDSSebelumnya!$J$330:$J$772,$K32,IuranDSSebelumnya!$M$330:$M$772,BC$11,IuranDSSebelumnya!$L$330:$L$772,"&lt;&gt;"&amp;$M$5)&gt;0,
              "Iuran dari Lingkungan lain",
              ""))</t>
  </si>
  <si>
    <t>=IF(COUNTIFS(IuranDSSebelumnya!$J$330:$J$772,$K32,IuranDSSebelumnya!$M$330:$M$772,BD$11,IuranDSSebelumnya!$L$330:$L$772,$M$5)&gt;0,
        VLOOKUP(CONCATENATE($K32,"|",BD$11,"|",$M$5),IuranDSSebelumnya!$I$330:$N$772,5,FALSE),
        IF(COUNTIFS(IuranDSSebelumnya!$J$330:$J$772,$K32,IuranDSSebelumnya!$M$330:$M$772,BD$11,IuranDSSebelumnya!$L$330:$L$772,"&lt;&gt;"&amp;$M$5)&gt;0,
              "Iuran dari Lingkungan lain",
              ""))</t>
  </si>
  <si>
    <t>=IF(COUNTIFS(IuranDSSebelumnya!$J$330:$J$772,$K32,IuranDSSebelumnya!$M$330:$M$772,BE$11,IuranDSSebelumnya!$L$330:$L$772,$M$5)&gt;0,
        VLOOKUP(CONCATENATE($K32,"|",BE$11,"|",$M$5),IuranDSSebelumnya!$I$330:$N$772,5,FALSE),
        IF(COUNTIFS(IuranDSSebelumnya!$J$330:$J$772,$K32,IuranDSSebelumnya!$M$330:$M$772,BE$11,IuranDSSebelumnya!$L$330:$L$772,"&lt;&gt;"&amp;$M$5)&gt;0,
              "Iuran dari Lingkungan lain",
              ""))</t>
  </si>
  <si>
    <t>=IF(COUNTIFS(IuranDSSebelumnya!$J$330:$J$772,$K32,IuranDSSebelumnya!$M$330:$M$772,BF$11,IuranDSSebelumnya!$L$330:$L$772,$M$5)&gt;0,
        VLOOKUP(CONCATENATE($K32,"|",BF$11,"|",$M$5),IuranDSSebelumnya!$I$330:$N$772,5,FALSE),
        IF(COUNTIFS(IuranDSSebelumnya!$J$330:$J$772,$K32,IuranDSSebelumnya!$M$330:$M$772,BF$11,IuranDSSebelumnya!$L$330:$L$772,"&lt;&gt;"&amp;$M$5)&gt;0,
              "Iuran dari Lingkungan lain",
              ""))</t>
  </si>
  <si>
    <t>=IF(COUNTIFS(IuranDSSebelumnya!$J$330:$J$772,$K32,IuranDSSebelumnya!$M$330:$M$772,BG$11,IuranDSSebelumnya!$L$330:$L$772,$M$5)&gt;0,
        VLOOKUP(CONCATENATE($K32,"|",BG$11,"|",$M$5),IuranDSSebelumnya!$I$330:$N$772,5,FALSE),
        IF(COUNTIFS(IuranDSSebelumnya!$J$330:$J$772,$K32,IuranDSSebelumnya!$M$330:$M$772,BG$11,IuranDSSebelumnya!$L$330:$L$772,"&lt;&gt;"&amp;$M$5)&gt;0,
              "Iuran dari Lingkungan lain",
              ""))</t>
  </si>
  <si>
    <t>=IF(COUNTIFS(IuranDSSebelumnya!$J$330:$J$772,$K32,IuranDSSebelumnya!$M$330:$M$772,BH$11,IuranDSSebelumnya!$L$330:$L$772,$M$5)&gt;0,
        VLOOKUP(CONCATENATE($K32,"|",BH$11,"|",$M$5),IuranDSSebelumnya!$I$330:$N$772,5,FALSE),
        IF(COUNTIFS(IuranDSSebelumnya!$J$330:$J$772,$K32,IuranDSSebelumnya!$M$330:$M$772,BH$11,IuranDSSebelumnya!$L$330:$L$772,"&lt;&gt;"&amp;$M$5)&gt;0,
              "Iuran dari Lingkungan lain",
              ""))</t>
  </si>
  <si>
    <t>=IF(COUNTIFS(IuranDSSebelumnya!$J$330:$J$772,$K32,IuranDSSebelumnya!$M$330:$M$772,BI$11,IuranDSSebelumnya!$L$330:$L$772,$M$5)&gt;0,
        VLOOKUP(CONCATENATE($K32,"|",BI$11,"|",$M$5),IuranDSSebelumnya!$I$330:$N$772,5,FALSE),
        IF(COUNTIFS(IuranDSSebelumnya!$J$330:$J$772,$K32,IuranDSSebelumnya!$M$330:$M$772,BI$11,IuranDSSebelumnya!$L$330:$L$772,"&lt;&gt;"&amp;$M$5)&gt;0,
              "Iuran dari Lingkungan lain",
              ""))</t>
  </si>
  <si>
    <t>=IF(COUNTIFS(IuranDSSebelumnya!$J$330:$J$772,$K32,IuranDSSebelumnya!$M$330:$M$772,BJ$11,IuranDSSebelumnya!$L$330:$L$772,$M$5)&gt;0,
        VLOOKUP(CONCATENATE($K32,"|",BJ$11,"|",$M$5),IuranDSSebelumnya!$I$330:$N$772,5,FALSE),
        IF(COUNTIFS(IuranDSSebelumnya!$J$330:$J$772,$K32,IuranDSSebelumnya!$M$330:$M$772,BJ$11,IuranDSSebelumnya!$L$330:$L$772,"&lt;&gt;"&amp;$M$5)&gt;0,
              "Iuran dari Lingkungan lain",
              ""))</t>
  </si>
  <si>
    <t>=IF(COUNTIFS(IuranDSSebelumnya!$J$330:$J$772,$K32,IuranDSSebelumnya!$M$330:$M$772,BK$11,IuranDSSebelumnya!$L$330:$L$772,$M$5)&gt;0,
        VLOOKUP(CONCATENATE($K32,"|",BK$11,"|",$M$5),IuranDSSebelumnya!$I$330:$N$772,5,FALSE),
        IF(COUNTIFS(IuranDSSebelumnya!$J$330:$J$772,$K32,IuranDSSebelumnya!$M$330:$M$772,BK$11,IuranDSSebelumnya!$L$330:$L$772,"&lt;&gt;"&amp;$M$5)&gt;0,
              "Iuran dari Lingkungan lain",
              ""))</t>
  </si>
  <si>
    <t>=IF(COUNTIFS(IuranDSSebelumnya!$J$330:$J$772,$K32,IuranDSSebelumnya!$M$330:$M$772,BL$11,IuranDSSebelumnya!$L$330:$L$772,$M$5)&gt;0,
        VLOOKUP(CONCATENATE($K32,"|",BL$11,"|",$M$5),IuranDSSebelumnya!$I$330:$N$772,5,FALSE),
        IF(COUNTIFS(IuranDSSebelumnya!$J$330:$J$772,$K32,IuranDSSebelumnya!$M$330:$M$772,BL$11,IuranDSSebelumnya!$L$330:$L$772,"&lt;&gt;"&amp;$M$5)&gt;0,
              "Iuran dari Lingkungan lain",
              ""))</t>
  </si>
  <si>
    <t>=CELL("row")=CELL("row",C33)</t>
  </si>
  <si>
    <t>="""TRUST Nav"",""HSPMTB2016"",""18"",""1"",""KK-05052"""</t>
  </si>
  <si>
    <t>=IF(AND($AL33=0,$J33=1)=TRUE,0,
        IF(AND($AL33&gt;0,$J33=1)=TRUE,1,
              IF(AND(H32=$H$12,$J33&gt;1)=TRUE,0,
                    IF(AND($AL33=0,$J33&gt;1),H32,
                         H32+1))))</t>
  </si>
  <si>
    <t>=IF(J32="No.",1,J32+1)</t>
  </si>
  <si>
    <t>=SUM(N33:AK33)</t>
  </si>
  <si>
    <t>=IF(COUNTIFS(IuranDSSebelumnya!$J$330:$J$772,$K33,IuranDSSebelumnya!$M$330:$M$772,AO$11,IuranDSSebelumnya!$L$330:$L$772,$M$5)&gt;0,
        VLOOKUP(CONCATENATE($K33,"|",AO$11,"|",$M$5),IuranDSSebelumnya!$I$330:$N$772,5,FALSE),
        IF(COUNTIFS(IuranDSSebelumnya!$J$330:$J$772,$K33,IuranDSSebelumnya!$M$330:$M$772,AO$11,IuranDSSebelumnya!$L$330:$L$772,"&lt;&gt;"&amp;$M$5)&gt;0,
              "Iuran dari Lingkungan lain",
              ""))</t>
  </si>
  <si>
    <t>=IF(COUNTIFS(IuranDSSebelumnya!$J$330:$J$772,$K33,IuranDSSebelumnya!$M$330:$M$772,AP$11,IuranDSSebelumnya!$L$330:$L$772,$M$5)&gt;0,
        VLOOKUP(CONCATENATE($K33,"|",AP$11,"|",$M$5),IuranDSSebelumnya!$I$330:$N$772,5,FALSE),
        IF(COUNTIFS(IuranDSSebelumnya!$J$330:$J$772,$K33,IuranDSSebelumnya!$M$330:$M$772,AP$11,IuranDSSebelumnya!$L$330:$L$772,"&lt;&gt;"&amp;$M$5)&gt;0,
              "Iuran dari Lingkungan lain",
              ""))</t>
  </si>
  <si>
    <t>=IF(COUNTIFS(IuranDSSebelumnya!$J$330:$J$772,$K33,IuranDSSebelumnya!$M$330:$M$772,AQ$11,IuranDSSebelumnya!$L$330:$L$772,$M$5)&gt;0,
        VLOOKUP(CONCATENATE($K33,"|",AQ$11,"|",$M$5),IuranDSSebelumnya!$I$330:$N$772,5,FALSE),
        IF(COUNTIFS(IuranDSSebelumnya!$J$330:$J$772,$K33,IuranDSSebelumnya!$M$330:$M$772,AQ$11,IuranDSSebelumnya!$L$330:$L$772,"&lt;&gt;"&amp;$M$5)&gt;0,
              "Iuran dari Lingkungan lain",
              ""))</t>
  </si>
  <si>
    <t>=IF(COUNTIFS(IuranDSSebelumnya!$J$330:$J$772,$K33,IuranDSSebelumnya!$M$330:$M$772,AR$11,IuranDSSebelumnya!$L$330:$L$772,$M$5)&gt;0,
        VLOOKUP(CONCATENATE($K33,"|",AR$11,"|",$M$5),IuranDSSebelumnya!$I$330:$N$772,5,FALSE),
        IF(COUNTIFS(IuranDSSebelumnya!$J$330:$J$772,$K33,IuranDSSebelumnya!$M$330:$M$772,AR$11,IuranDSSebelumnya!$L$330:$L$772,"&lt;&gt;"&amp;$M$5)&gt;0,
              "Iuran dari Lingkungan lain",
              ""))</t>
  </si>
  <si>
    <t>=IF(COUNTIFS(IuranDSSebelumnya!$J$330:$J$772,$K33,IuranDSSebelumnya!$M$330:$M$772,AS$11,IuranDSSebelumnya!$L$330:$L$772,$M$5)&gt;0,
        VLOOKUP(CONCATENATE($K33,"|",AS$11,"|",$M$5),IuranDSSebelumnya!$I$330:$N$772,5,FALSE),
        IF(COUNTIFS(IuranDSSebelumnya!$J$330:$J$772,$K33,IuranDSSebelumnya!$M$330:$M$772,AS$11,IuranDSSebelumnya!$L$330:$L$772,"&lt;&gt;"&amp;$M$5)&gt;0,
              "Iuran dari Lingkungan lain",
              ""))</t>
  </si>
  <si>
    <t>=IF(COUNTIFS(IuranDSSebelumnya!$J$330:$J$772,$K33,IuranDSSebelumnya!$M$330:$M$772,AT$11,IuranDSSebelumnya!$L$330:$L$772,$M$5)&gt;0,
        VLOOKUP(CONCATENATE($K33,"|",AT$11,"|",$M$5),IuranDSSebelumnya!$I$330:$N$772,5,FALSE),
        IF(COUNTIFS(IuranDSSebelumnya!$J$330:$J$772,$K33,IuranDSSebelumnya!$M$330:$M$772,AT$11,IuranDSSebelumnya!$L$330:$L$772,"&lt;&gt;"&amp;$M$5)&gt;0,
              "Iuran dari Lingkungan lain",
              ""))</t>
  </si>
  <si>
    <t>=IF(COUNTIFS(IuranDSSebelumnya!$J$330:$J$772,$K33,IuranDSSebelumnya!$M$330:$M$772,AU$11,IuranDSSebelumnya!$L$330:$L$772,$M$5)&gt;0,
        VLOOKUP(CONCATENATE($K33,"|",AU$11,"|",$M$5),IuranDSSebelumnya!$I$330:$N$772,5,FALSE),
        IF(COUNTIFS(IuranDSSebelumnya!$J$330:$J$772,$K33,IuranDSSebelumnya!$M$330:$M$772,AU$11,IuranDSSebelumnya!$L$330:$L$772,"&lt;&gt;"&amp;$M$5)&gt;0,
              "Iuran dari Lingkungan lain",
              ""))</t>
  </si>
  <si>
    <t>=IF(COUNTIFS(IuranDSSebelumnya!$J$330:$J$772,$K33,IuranDSSebelumnya!$M$330:$M$772,AV$11,IuranDSSebelumnya!$L$330:$L$772,$M$5)&gt;0,
        VLOOKUP(CONCATENATE($K33,"|",AV$11,"|",$M$5),IuranDSSebelumnya!$I$330:$N$772,5,FALSE),
        IF(COUNTIFS(IuranDSSebelumnya!$J$330:$J$772,$K33,IuranDSSebelumnya!$M$330:$M$772,AV$11,IuranDSSebelumnya!$L$330:$L$772,"&lt;&gt;"&amp;$M$5)&gt;0,
              "Iuran dari Lingkungan lain",
              ""))</t>
  </si>
  <si>
    <t>=IF(COUNTIFS(IuranDSSebelumnya!$J$330:$J$772,$K33,IuranDSSebelumnya!$M$330:$M$772,AW$11,IuranDSSebelumnya!$L$330:$L$772,$M$5)&gt;0,
        VLOOKUP(CONCATENATE($K33,"|",AW$11,"|",$M$5),IuranDSSebelumnya!$I$330:$N$772,5,FALSE),
        IF(COUNTIFS(IuranDSSebelumnya!$J$330:$J$772,$K33,IuranDSSebelumnya!$M$330:$M$772,AW$11,IuranDSSebelumnya!$L$330:$L$772,"&lt;&gt;"&amp;$M$5)&gt;0,
              "Iuran dari Lingkungan lain",
              ""))</t>
  </si>
  <si>
    <t>=IF(COUNTIFS(IuranDSSebelumnya!$J$330:$J$772,$K33,IuranDSSebelumnya!$M$330:$M$772,AX$11,IuranDSSebelumnya!$L$330:$L$772,$M$5)&gt;0,
        VLOOKUP(CONCATENATE($K33,"|",AX$11,"|",$M$5),IuranDSSebelumnya!$I$330:$N$772,5,FALSE),
        IF(COUNTIFS(IuranDSSebelumnya!$J$330:$J$772,$K33,IuranDSSebelumnya!$M$330:$M$772,AX$11,IuranDSSebelumnya!$L$330:$L$772,"&lt;&gt;"&amp;$M$5)&gt;0,
              "Iuran dari Lingkungan lain",
              ""))</t>
  </si>
  <si>
    <t>=IF(COUNTIFS(IuranDSSebelumnya!$J$330:$J$772,$K33,IuranDSSebelumnya!$M$330:$M$772,AY$11,IuranDSSebelumnya!$L$330:$L$772,$M$5)&gt;0,
        VLOOKUP(CONCATENATE($K33,"|",AY$11,"|",$M$5),IuranDSSebelumnya!$I$330:$N$772,5,FALSE),
        IF(COUNTIFS(IuranDSSebelumnya!$J$330:$J$772,$K33,IuranDSSebelumnya!$M$330:$M$772,AY$11,IuranDSSebelumnya!$L$330:$L$772,"&lt;&gt;"&amp;$M$5)&gt;0,
              "Iuran dari Lingkungan lain",
              ""))</t>
  </si>
  <si>
    <t>=IF(COUNTIFS(IuranDSSebelumnya!$J$330:$J$772,$K33,IuranDSSebelumnya!$M$330:$M$772,AZ$11,IuranDSSebelumnya!$L$330:$L$772,$M$5)&gt;0,
        VLOOKUP(CONCATENATE($K33,"|",AZ$11,"|",$M$5),IuranDSSebelumnya!$I$330:$N$772,5,FALSE),
        IF(COUNTIFS(IuranDSSebelumnya!$J$330:$J$772,$K33,IuranDSSebelumnya!$M$330:$M$772,AZ$11,IuranDSSebelumnya!$L$330:$L$772,"&lt;&gt;"&amp;$M$5)&gt;0,
              "Iuran dari Lingkungan lain",
              ""))</t>
  </si>
  <si>
    <t>=IF(COUNTIFS(IuranDSSebelumnya!$J$330:$J$772,$K33,IuranDSSebelumnya!$M$330:$M$772,BA$11,IuranDSSebelumnya!$L$330:$L$772,$M$5)&gt;0,
        VLOOKUP(CONCATENATE($K33,"|",BA$11,"|",$M$5),IuranDSSebelumnya!$I$330:$N$772,5,FALSE),
        IF(COUNTIFS(IuranDSSebelumnya!$J$330:$J$772,$K33,IuranDSSebelumnya!$M$330:$M$772,BA$11,IuranDSSebelumnya!$L$330:$L$772,"&lt;&gt;"&amp;$M$5)&gt;0,
              "Iuran dari Lingkungan lain",
              ""))</t>
  </si>
  <si>
    <t>=IF(COUNTIFS(IuranDSSebelumnya!$J$330:$J$772,$K33,IuranDSSebelumnya!$M$330:$M$772,BB$11,IuranDSSebelumnya!$L$330:$L$772,$M$5)&gt;0,
        VLOOKUP(CONCATENATE($K33,"|",BB$11,"|",$M$5),IuranDSSebelumnya!$I$330:$N$772,5,FALSE),
        IF(COUNTIFS(IuranDSSebelumnya!$J$330:$J$772,$K33,IuranDSSebelumnya!$M$330:$M$772,BB$11,IuranDSSebelumnya!$L$330:$L$772,"&lt;&gt;"&amp;$M$5)&gt;0,
              "Iuran dari Lingkungan lain",
              ""))</t>
  </si>
  <si>
    <t>=IF(COUNTIFS(IuranDSSebelumnya!$J$330:$J$772,$K33,IuranDSSebelumnya!$M$330:$M$772,BC$11,IuranDSSebelumnya!$L$330:$L$772,$M$5)&gt;0,
        VLOOKUP(CONCATENATE($K33,"|",BC$11,"|",$M$5),IuranDSSebelumnya!$I$330:$N$772,5,FALSE),
        IF(COUNTIFS(IuranDSSebelumnya!$J$330:$J$772,$K33,IuranDSSebelumnya!$M$330:$M$772,BC$11,IuranDSSebelumnya!$L$330:$L$772,"&lt;&gt;"&amp;$M$5)&gt;0,
              "Iuran dari Lingkungan lain",
              ""))</t>
  </si>
  <si>
    <t>=IF(COUNTIFS(IuranDSSebelumnya!$J$330:$J$772,$K33,IuranDSSebelumnya!$M$330:$M$772,BD$11,IuranDSSebelumnya!$L$330:$L$772,$M$5)&gt;0,
        VLOOKUP(CONCATENATE($K33,"|",BD$11,"|",$M$5),IuranDSSebelumnya!$I$330:$N$772,5,FALSE),
        IF(COUNTIFS(IuranDSSebelumnya!$J$330:$J$772,$K33,IuranDSSebelumnya!$M$330:$M$772,BD$11,IuranDSSebelumnya!$L$330:$L$772,"&lt;&gt;"&amp;$M$5)&gt;0,
              "Iuran dari Lingkungan lain",
              ""))</t>
  </si>
  <si>
    <t>=IF(COUNTIFS(IuranDSSebelumnya!$J$330:$J$772,$K33,IuranDSSebelumnya!$M$330:$M$772,BE$11,IuranDSSebelumnya!$L$330:$L$772,$M$5)&gt;0,
        VLOOKUP(CONCATENATE($K33,"|",BE$11,"|",$M$5),IuranDSSebelumnya!$I$330:$N$772,5,FALSE),
        IF(COUNTIFS(IuranDSSebelumnya!$J$330:$J$772,$K33,IuranDSSebelumnya!$M$330:$M$772,BE$11,IuranDSSebelumnya!$L$330:$L$772,"&lt;&gt;"&amp;$M$5)&gt;0,
              "Iuran dari Lingkungan lain",
              ""))</t>
  </si>
  <si>
    <t>=IF(COUNTIFS(IuranDSSebelumnya!$J$330:$J$772,$K33,IuranDSSebelumnya!$M$330:$M$772,BF$11,IuranDSSebelumnya!$L$330:$L$772,$M$5)&gt;0,
        VLOOKUP(CONCATENATE($K33,"|",BF$11,"|",$M$5),IuranDSSebelumnya!$I$330:$N$772,5,FALSE),
        IF(COUNTIFS(IuranDSSebelumnya!$J$330:$J$772,$K33,IuranDSSebelumnya!$M$330:$M$772,BF$11,IuranDSSebelumnya!$L$330:$L$772,"&lt;&gt;"&amp;$M$5)&gt;0,
              "Iuran dari Lingkungan lain",
              ""))</t>
  </si>
  <si>
    <t>=IF(COUNTIFS(IuranDSSebelumnya!$J$330:$J$772,$K33,IuranDSSebelumnya!$M$330:$M$772,BG$11,IuranDSSebelumnya!$L$330:$L$772,$M$5)&gt;0,
        VLOOKUP(CONCATENATE($K33,"|",BG$11,"|",$M$5),IuranDSSebelumnya!$I$330:$N$772,5,FALSE),
        IF(COUNTIFS(IuranDSSebelumnya!$J$330:$J$772,$K33,IuranDSSebelumnya!$M$330:$M$772,BG$11,IuranDSSebelumnya!$L$330:$L$772,"&lt;&gt;"&amp;$M$5)&gt;0,
              "Iuran dari Lingkungan lain",
              ""))</t>
  </si>
  <si>
    <t>=IF(COUNTIFS(IuranDSSebelumnya!$J$330:$J$772,$K33,IuranDSSebelumnya!$M$330:$M$772,BH$11,IuranDSSebelumnya!$L$330:$L$772,$M$5)&gt;0,
        VLOOKUP(CONCATENATE($K33,"|",BH$11,"|",$M$5),IuranDSSebelumnya!$I$330:$N$772,5,FALSE),
        IF(COUNTIFS(IuranDSSebelumnya!$J$330:$J$772,$K33,IuranDSSebelumnya!$M$330:$M$772,BH$11,IuranDSSebelumnya!$L$330:$L$772,"&lt;&gt;"&amp;$M$5)&gt;0,
              "Iuran dari Lingkungan lain",
              ""))</t>
  </si>
  <si>
    <t>=IF(COUNTIFS(IuranDSSebelumnya!$J$330:$J$772,$K33,IuranDSSebelumnya!$M$330:$M$772,BI$11,IuranDSSebelumnya!$L$330:$L$772,$M$5)&gt;0,
        VLOOKUP(CONCATENATE($K33,"|",BI$11,"|",$M$5),IuranDSSebelumnya!$I$330:$N$772,5,FALSE),
        IF(COUNTIFS(IuranDSSebelumnya!$J$330:$J$772,$K33,IuranDSSebelumnya!$M$330:$M$772,BI$11,IuranDSSebelumnya!$L$330:$L$772,"&lt;&gt;"&amp;$M$5)&gt;0,
              "Iuran dari Lingkungan lain",
              ""))</t>
  </si>
  <si>
    <t>=IF(COUNTIFS(IuranDSSebelumnya!$J$330:$J$772,$K33,IuranDSSebelumnya!$M$330:$M$772,BJ$11,IuranDSSebelumnya!$L$330:$L$772,$M$5)&gt;0,
        VLOOKUP(CONCATENATE($K33,"|",BJ$11,"|",$M$5),IuranDSSebelumnya!$I$330:$N$772,5,FALSE),
        IF(COUNTIFS(IuranDSSebelumnya!$J$330:$J$772,$K33,IuranDSSebelumnya!$M$330:$M$772,BJ$11,IuranDSSebelumnya!$L$330:$L$772,"&lt;&gt;"&amp;$M$5)&gt;0,
              "Iuran dari Lingkungan lain",
              ""))</t>
  </si>
  <si>
    <t>=IF(COUNTIFS(IuranDSSebelumnya!$J$330:$J$772,$K33,IuranDSSebelumnya!$M$330:$M$772,BK$11,IuranDSSebelumnya!$L$330:$L$772,$M$5)&gt;0,
        VLOOKUP(CONCATENATE($K33,"|",BK$11,"|",$M$5),IuranDSSebelumnya!$I$330:$N$772,5,FALSE),
        IF(COUNTIFS(IuranDSSebelumnya!$J$330:$J$772,$K33,IuranDSSebelumnya!$M$330:$M$772,BK$11,IuranDSSebelumnya!$L$330:$L$772,"&lt;&gt;"&amp;$M$5)&gt;0,
              "Iuran dari Lingkungan lain",
              ""))</t>
  </si>
  <si>
    <t>=IF(COUNTIFS(IuranDSSebelumnya!$J$330:$J$772,$K33,IuranDSSebelumnya!$M$330:$M$772,BL$11,IuranDSSebelumnya!$L$330:$L$772,$M$5)&gt;0,
        VLOOKUP(CONCATENATE($K33,"|",BL$11,"|",$M$5),IuranDSSebelumnya!$I$330:$N$772,5,FALSE),
        IF(COUNTIFS(IuranDSSebelumnya!$J$330:$J$772,$K33,IuranDSSebelumnya!$M$330:$M$772,BL$11,IuranDSSebelumnya!$L$330:$L$772,"&lt;&gt;"&amp;$M$5)&gt;0,
              "Iuran dari Lingkungan lain",
              ""))</t>
  </si>
  <si>
    <t>=CELL("row")=CELL("row",C34)</t>
  </si>
  <si>
    <t>="""TRUST Nav"",""HSPMTB2016"",""18"",""1"",""KK-04611"""</t>
  </si>
  <si>
    <t>=IF(AND($AL34=0,$J34=1)=TRUE,0,
        IF(AND($AL34&gt;0,$J34=1)=TRUE,1,
              IF(AND(H33=$H$12,$J34&gt;1)=TRUE,0,
                    IF(AND($AL34=0,$J34&gt;1),H33,
                         H33+1))))</t>
  </si>
  <si>
    <t>=IF(J33="No.",1,J33+1)</t>
  </si>
  <si>
    <t>=SUM(N34:AK34)</t>
  </si>
  <si>
    <t>=IF(COUNTIFS(IuranDSSebelumnya!$J$330:$J$772,$K34,IuranDSSebelumnya!$M$330:$M$772,AO$11,IuranDSSebelumnya!$L$330:$L$772,$M$5)&gt;0,
        VLOOKUP(CONCATENATE($K34,"|",AO$11,"|",$M$5),IuranDSSebelumnya!$I$330:$N$772,5,FALSE),
        IF(COUNTIFS(IuranDSSebelumnya!$J$330:$J$772,$K34,IuranDSSebelumnya!$M$330:$M$772,AO$11,IuranDSSebelumnya!$L$330:$L$772,"&lt;&gt;"&amp;$M$5)&gt;0,
              "Iuran dari Lingkungan lain",
              ""))</t>
  </si>
  <si>
    <t>=IF(COUNTIFS(IuranDSSebelumnya!$J$330:$J$772,$K34,IuranDSSebelumnya!$M$330:$M$772,AP$11,IuranDSSebelumnya!$L$330:$L$772,$M$5)&gt;0,
        VLOOKUP(CONCATENATE($K34,"|",AP$11,"|",$M$5),IuranDSSebelumnya!$I$330:$N$772,5,FALSE),
        IF(COUNTIFS(IuranDSSebelumnya!$J$330:$J$772,$K34,IuranDSSebelumnya!$M$330:$M$772,AP$11,IuranDSSebelumnya!$L$330:$L$772,"&lt;&gt;"&amp;$M$5)&gt;0,
              "Iuran dari Lingkungan lain",
              ""))</t>
  </si>
  <si>
    <t>=IF(COUNTIFS(IuranDSSebelumnya!$J$330:$J$772,$K34,IuranDSSebelumnya!$M$330:$M$772,AQ$11,IuranDSSebelumnya!$L$330:$L$772,$M$5)&gt;0,
        VLOOKUP(CONCATENATE($K34,"|",AQ$11,"|",$M$5),IuranDSSebelumnya!$I$330:$N$772,5,FALSE),
        IF(COUNTIFS(IuranDSSebelumnya!$J$330:$J$772,$K34,IuranDSSebelumnya!$M$330:$M$772,AQ$11,IuranDSSebelumnya!$L$330:$L$772,"&lt;&gt;"&amp;$M$5)&gt;0,
              "Iuran dari Lingkungan lain",
              ""))</t>
  </si>
  <si>
    <t>=IF(COUNTIFS(IuranDSSebelumnya!$J$330:$J$772,$K34,IuranDSSebelumnya!$M$330:$M$772,AR$11,IuranDSSebelumnya!$L$330:$L$772,$M$5)&gt;0,
        VLOOKUP(CONCATENATE($K34,"|",AR$11,"|",$M$5),IuranDSSebelumnya!$I$330:$N$772,5,FALSE),
        IF(COUNTIFS(IuranDSSebelumnya!$J$330:$J$772,$K34,IuranDSSebelumnya!$M$330:$M$772,AR$11,IuranDSSebelumnya!$L$330:$L$772,"&lt;&gt;"&amp;$M$5)&gt;0,
              "Iuran dari Lingkungan lain",
              ""))</t>
  </si>
  <si>
    <t>=IF(COUNTIFS(IuranDSSebelumnya!$J$330:$J$772,$K34,IuranDSSebelumnya!$M$330:$M$772,AS$11,IuranDSSebelumnya!$L$330:$L$772,$M$5)&gt;0,
        VLOOKUP(CONCATENATE($K34,"|",AS$11,"|",$M$5),IuranDSSebelumnya!$I$330:$N$772,5,FALSE),
        IF(COUNTIFS(IuranDSSebelumnya!$J$330:$J$772,$K34,IuranDSSebelumnya!$M$330:$M$772,AS$11,IuranDSSebelumnya!$L$330:$L$772,"&lt;&gt;"&amp;$M$5)&gt;0,
              "Iuran dari Lingkungan lain",
              ""))</t>
  </si>
  <si>
    <t>=IF(COUNTIFS(IuranDSSebelumnya!$J$330:$J$772,$K34,IuranDSSebelumnya!$M$330:$M$772,AT$11,IuranDSSebelumnya!$L$330:$L$772,$M$5)&gt;0,
        VLOOKUP(CONCATENATE($K34,"|",AT$11,"|",$M$5),IuranDSSebelumnya!$I$330:$N$772,5,FALSE),
        IF(COUNTIFS(IuranDSSebelumnya!$J$330:$J$772,$K34,IuranDSSebelumnya!$M$330:$M$772,AT$11,IuranDSSebelumnya!$L$330:$L$772,"&lt;&gt;"&amp;$M$5)&gt;0,
              "Iuran dari Lingkungan lain",
              ""))</t>
  </si>
  <si>
    <t>=IF(COUNTIFS(IuranDSSebelumnya!$J$330:$J$772,$K34,IuranDSSebelumnya!$M$330:$M$772,AU$11,IuranDSSebelumnya!$L$330:$L$772,$M$5)&gt;0,
        VLOOKUP(CONCATENATE($K34,"|",AU$11,"|",$M$5),IuranDSSebelumnya!$I$330:$N$772,5,FALSE),
        IF(COUNTIFS(IuranDSSebelumnya!$J$330:$J$772,$K34,IuranDSSebelumnya!$M$330:$M$772,AU$11,IuranDSSebelumnya!$L$330:$L$772,"&lt;&gt;"&amp;$M$5)&gt;0,
              "Iuran dari Lingkungan lain",
              ""))</t>
  </si>
  <si>
    <t>=IF(COUNTIFS(IuranDSSebelumnya!$J$330:$J$772,$K34,IuranDSSebelumnya!$M$330:$M$772,AV$11,IuranDSSebelumnya!$L$330:$L$772,$M$5)&gt;0,
        VLOOKUP(CONCATENATE($K34,"|",AV$11,"|",$M$5),IuranDSSebelumnya!$I$330:$N$772,5,FALSE),
        IF(COUNTIFS(IuranDSSebelumnya!$J$330:$J$772,$K34,IuranDSSebelumnya!$M$330:$M$772,AV$11,IuranDSSebelumnya!$L$330:$L$772,"&lt;&gt;"&amp;$M$5)&gt;0,
              "Iuran dari Lingkungan lain",
              ""))</t>
  </si>
  <si>
    <t>=IF(COUNTIFS(IuranDSSebelumnya!$J$330:$J$772,$K34,IuranDSSebelumnya!$M$330:$M$772,AW$11,IuranDSSebelumnya!$L$330:$L$772,$M$5)&gt;0,
        VLOOKUP(CONCATENATE($K34,"|",AW$11,"|",$M$5),IuranDSSebelumnya!$I$330:$N$772,5,FALSE),
        IF(COUNTIFS(IuranDSSebelumnya!$J$330:$J$772,$K34,IuranDSSebelumnya!$M$330:$M$772,AW$11,IuranDSSebelumnya!$L$330:$L$772,"&lt;&gt;"&amp;$M$5)&gt;0,
              "Iuran dari Lingkungan lain",
              ""))</t>
  </si>
  <si>
    <t>=IF(COUNTIFS(IuranDSSebelumnya!$J$330:$J$772,$K34,IuranDSSebelumnya!$M$330:$M$772,AX$11,IuranDSSebelumnya!$L$330:$L$772,$M$5)&gt;0,
        VLOOKUP(CONCATENATE($K34,"|",AX$11,"|",$M$5),IuranDSSebelumnya!$I$330:$N$772,5,FALSE),
        IF(COUNTIFS(IuranDSSebelumnya!$J$330:$J$772,$K34,IuranDSSebelumnya!$M$330:$M$772,AX$11,IuranDSSebelumnya!$L$330:$L$772,"&lt;&gt;"&amp;$M$5)&gt;0,
              "Iuran dari Lingkungan lain",
              ""))</t>
  </si>
  <si>
    <t>=IF(COUNTIFS(IuranDSSebelumnya!$J$330:$J$772,$K34,IuranDSSebelumnya!$M$330:$M$772,AY$11,IuranDSSebelumnya!$L$330:$L$772,$M$5)&gt;0,
        VLOOKUP(CONCATENATE($K34,"|",AY$11,"|",$M$5),IuranDSSebelumnya!$I$330:$N$772,5,FALSE),
        IF(COUNTIFS(IuranDSSebelumnya!$J$330:$J$772,$K34,IuranDSSebelumnya!$M$330:$M$772,AY$11,IuranDSSebelumnya!$L$330:$L$772,"&lt;&gt;"&amp;$M$5)&gt;0,
              "Iuran dari Lingkungan lain",
              ""))</t>
  </si>
  <si>
    <t>=IF(COUNTIFS(IuranDSSebelumnya!$J$330:$J$772,$K34,IuranDSSebelumnya!$M$330:$M$772,AZ$11,IuranDSSebelumnya!$L$330:$L$772,$M$5)&gt;0,
        VLOOKUP(CONCATENATE($K34,"|",AZ$11,"|",$M$5),IuranDSSebelumnya!$I$330:$N$772,5,FALSE),
        IF(COUNTIFS(IuranDSSebelumnya!$J$330:$J$772,$K34,IuranDSSebelumnya!$M$330:$M$772,AZ$11,IuranDSSebelumnya!$L$330:$L$772,"&lt;&gt;"&amp;$M$5)&gt;0,
              "Iuran dari Lingkungan lain",
              ""))</t>
  </si>
  <si>
    <t>=IF(COUNTIFS(IuranDSSebelumnya!$J$330:$J$772,$K34,IuranDSSebelumnya!$M$330:$M$772,BA$11,IuranDSSebelumnya!$L$330:$L$772,$M$5)&gt;0,
        VLOOKUP(CONCATENATE($K34,"|",BA$11,"|",$M$5),IuranDSSebelumnya!$I$330:$N$772,5,FALSE),
        IF(COUNTIFS(IuranDSSebelumnya!$J$330:$J$772,$K34,IuranDSSebelumnya!$M$330:$M$772,BA$11,IuranDSSebelumnya!$L$330:$L$772,"&lt;&gt;"&amp;$M$5)&gt;0,
              "Iuran dari Lingkungan lain",
              ""))</t>
  </si>
  <si>
    <t>=IF(COUNTIFS(IuranDSSebelumnya!$J$330:$J$772,$K34,IuranDSSebelumnya!$M$330:$M$772,BB$11,IuranDSSebelumnya!$L$330:$L$772,$M$5)&gt;0,
        VLOOKUP(CONCATENATE($K34,"|",BB$11,"|",$M$5),IuranDSSebelumnya!$I$330:$N$772,5,FALSE),
        IF(COUNTIFS(IuranDSSebelumnya!$J$330:$J$772,$K34,IuranDSSebelumnya!$M$330:$M$772,BB$11,IuranDSSebelumnya!$L$330:$L$772,"&lt;&gt;"&amp;$M$5)&gt;0,
              "Iuran dari Lingkungan lain",
              ""))</t>
  </si>
  <si>
    <t>=IF(COUNTIFS(IuranDSSebelumnya!$J$330:$J$772,$K34,IuranDSSebelumnya!$M$330:$M$772,BC$11,IuranDSSebelumnya!$L$330:$L$772,$M$5)&gt;0,
        VLOOKUP(CONCATENATE($K34,"|",BC$11,"|",$M$5),IuranDSSebelumnya!$I$330:$N$772,5,FALSE),
        IF(COUNTIFS(IuranDSSebelumnya!$J$330:$J$772,$K34,IuranDSSebelumnya!$M$330:$M$772,BC$11,IuranDSSebelumnya!$L$330:$L$772,"&lt;&gt;"&amp;$M$5)&gt;0,
              "Iuran dari Lingkungan lain",
              ""))</t>
  </si>
  <si>
    <t>=IF(COUNTIFS(IuranDSSebelumnya!$J$330:$J$772,$K34,IuranDSSebelumnya!$M$330:$M$772,BD$11,IuranDSSebelumnya!$L$330:$L$772,$M$5)&gt;0,
        VLOOKUP(CONCATENATE($K34,"|",BD$11,"|",$M$5),IuranDSSebelumnya!$I$330:$N$772,5,FALSE),
        IF(COUNTIFS(IuranDSSebelumnya!$J$330:$J$772,$K34,IuranDSSebelumnya!$M$330:$M$772,BD$11,IuranDSSebelumnya!$L$330:$L$772,"&lt;&gt;"&amp;$M$5)&gt;0,
              "Iuran dari Lingkungan lain",
              ""))</t>
  </si>
  <si>
    <t>=IF(COUNTIFS(IuranDSSebelumnya!$J$330:$J$772,$K34,IuranDSSebelumnya!$M$330:$M$772,BE$11,IuranDSSebelumnya!$L$330:$L$772,$M$5)&gt;0,
        VLOOKUP(CONCATENATE($K34,"|",BE$11,"|",$M$5),IuranDSSebelumnya!$I$330:$N$772,5,FALSE),
        IF(COUNTIFS(IuranDSSebelumnya!$J$330:$J$772,$K34,IuranDSSebelumnya!$M$330:$M$772,BE$11,IuranDSSebelumnya!$L$330:$L$772,"&lt;&gt;"&amp;$M$5)&gt;0,
              "Iuran dari Lingkungan lain",
              ""))</t>
  </si>
  <si>
    <t>=IF(COUNTIFS(IuranDSSebelumnya!$J$330:$J$772,$K34,IuranDSSebelumnya!$M$330:$M$772,BF$11,IuranDSSebelumnya!$L$330:$L$772,$M$5)&gt;0,
        VLOOKUP(CONCATENATE($K34,"|",BF$11,"|",$M$5),IuranDSSebelumnya!$I$330:$N$772,5,FALSE),
        IF(COUNTIFS(IuranDSSebelumnya!$J$330:$J$772,$K34,IuranDSSebelumnya!$M$330:$M$772,BF$11,IuranDSSebelumnya!$L$330:$L$772,"&lt;&gt;"&amp;$M$5)&gt;0,
              "Iuran dari Lingkungan lain",
              ""))</t>
  </si>
  <si>
    <t>=IF(COUNTIFS(IuranDSSebelumnya!$J$330:$J$772,$K34,IuranDSSebelumnya!$M$330:$M$772,BG$11,IuranDSSebelumnya!$L$330:$L$772,$M$5)&gt;0,
        VLOOKUP(CONCATENATE($K34,"|",BG$11,"|",$M$5),IuranDSSebelumnya!$I$330:$N$772,5,FALSE),
        IF(COUNTIFS(IuranDSSebelumnya!$J$330:$J$772,$K34,IuranDSSebelumnya!$M$330:$M$772,BG$11,IuranDSSebelumnya!$L$330:$L$772,"&lt;&gt;"&amp;$M$5)&gt;0,
              "Iuran dari Lingkungan lain",
              ""))</t>
  </si>
  <si>
    <t>=IF(COUNTIFS(IuranDSSebelumnya!$J$330:$J$772,$K34,IuranDSSebelumnya!$M$330:$M$772,BH$11,IuranDSSebelumnya!$L$330:$L$772,$M$5)&gt;0,
        VLOOKUP(CONCATENATE($K34,"|",BH$11,"|",$M$5),IuranDSSebelumnya!$I$330:$N$772,5,FALSE),
        IF(COUNTIFS(IuranDSSebelumnya!$J$330:$J$772,$K34,IuranDSSebelumnya!$M$330:$M$772,BH$11,IuranDSSebelumnya!$L$330:$L$772,"&lt;&gt;"&amp;$M$5)&gt;0,
              "Iuran dari Lingkungan lain",
              ""))</t>
  </si>
  <si>
    <t>=IF(COUNTIFS(IuranDSSebelumnya!$J$330:$J$772,$K34,IuranDSSebelumnya!$M$330:$M$772,BI$11,IuranDSSebelumnya!$L$330:$L$772,$M$5)&gt;0,
        VLOOKUP(CONCATENATE($K34,"|",BI$11,"|",$M$5),IuranDSSebelumnya!$I$330:$N$772,5,FALSE),
        IF(COUNTIFS(IuranDSSebelumnya!$J$330:$J$772,$K34,IuranDSSebelumnya!$M$330:$M$772,BI$11,IuranDSSebelumnya!$L$330:$L$772,"&lt;&gt;"&amp;$M$5)&gt;0,
              "Iuran dari Lingkungan lain",
              ""))</t>
  </si>
  <si>
    <t>=IF(COUNTIFS(IuranDSSebelumnya!$J$330:$J$772,$K34,IuranDSSebelumnya!$M$330:$M$772,BJ$11,IuranDSSebelumnya!$L$330:$L$772,$M$5)&gt;0,
        VLOOKUP(CONCATENATE($K34,"|",BJ$11,"|",$M$5),IuranDSSebelumnya!$I$330:$N$772,5,FALSE),
        IF(COUNTIFS(IuranDSSebelumnya!$J$330:$J$772,$K34,IuranDSSebelumnya!$M$330:$M$772,BJ$11,IuranDSSebelumnya!$L$330:$L$772,"&lt;&gt;"&amp;$M$5)&gt;0,
              "Iuran dari Lingkungan lain",
              ""))</t>
  </si>
  <si>
    <t>=IF(COUNTIFS(IuranDSSebelumnya!$J$330:$J$772,$K34,IuranDSSebelumnya!$M$330:$M$772,BK$11,IuranDSSebelumnya!$L$330:$L$772,$M$5)&gt;0,
        VLOOKUP(CONCATENATE($K34,"|",BK$11,"|",$M$5),IuranDSSebelumnya!$I$330:$N$772,5,FALSE),
        IF(COUNTIFS(IuranDSSebelumnya!$J$330:$J$772,$K34,IuranDSSebelumnya!$M$330:$M$772,BK$11,IuranDSSebelumnya!$L$330:$L$772,"&lt;&gt;"&amp;$M$5)&gt;0,
              "Iuran dari Lingkungan lain",
              ""))</t>
  </si>
  <si>
    <t>=IF(COUNTIFS(IuranDSSebelumnya!$J$330:$J$772,$K34,IuranDSSebelumnya!$M$330:$M$772,BL$11,IuranDSSebelumnya!$L$330:$L$772,$M$5)&gt;0,
        VLOOKUP(CONCATENATE($K34,"|",BL$11,"|",$M$5),IuranDSSebelumnya!$I$330:$N$772,5,FALSE),
        IF(COUNTIFS(IuranDSSebelumnya!$J$330:$J$772,$K34,IuranDSSebelumnya!$M$330:$M$772,BL$11,IuranDSSebelumnya!$L$330:$L$772,"&lt;&gt;"&amp;$M$5)&gt;0,
              "Iuran dari Lingkungan lain",
              ""))</t>
  </si>
  <si>
    <t>=CELL("row")=CELL("row",C35)</t>
  </si>
  <si>
    <t>="""TRUST Nav"",""HSPMTB2016"",""18"",""1"",""KK-04612"""</t>
  </si>
  <si>
    <t>=IF(AND($AL35=0,$J35=1)=TRUE,0,
        IF(AND($AL35&gt;0,$J35=1)=TRUE,1,
              IF(AND(H34=$H$12,$J35&gt;1)=TRUE,0,
                    IF(AND($AL35=0,$J35&gt;1),H34,
                         H34+1))))</t>
  </si>
  <si>
    <t>=IF(J34="No.",1,J34+1)</t>
  </si>
  <si>
    <t>=SUM(N35:AK35)</t>
  </si>
  <si>
    <t>=IF(COUNTIFS(IuranDSSebelumnya!$J$330:$J$772,$K35,IuranDSSebelumnya!$M$330:$M$772,AO$11,IuranDSSebelumnya!$L$330:$L$772,$M$5)&gt;0,
        VLOOKUP(CONCATENATE($K35,"|",AO$11,"|",$M$5),IuranDSSebelumnya!$I$330:$N$772,5,FALSE),
        IF(COUNTIFS(IuranDSSebelumnya!$J$330:$J$772,$K35,IuranDSSebelumnya!$M$330:$M$772,AO$11,IuranDSSebelumnya!$L$330:$L$772,"&lt;&gt;"&amp;$M$5)&gt;0,
              "Iuran dari Lingkungan lain",
              ""))</t>
  </si>
  <si>
    <t>=IF(COUNTIFS(IuranDSSebelumnya!$J$330:$J$772,$K35,IuranDSSebelumnya!$M$330:$M$772,AP$11,IuranDSSebelumnya!$L$330:$L$772,$M$5)&gt;0,
        VLOOKUP(CONCATENATE($K35,"|",AP$11,"|",$M$5),IuranDSSebelumnya!$I$330:$N$772,5,FALSE),
        IF(COUNTIFS(IuranDSSebelumnya!$J$330:$J$772,$K35,IuranDSSebelumnya!$M$330:$M$772,AP$11,IuranDSSebelumnya!$L$330:$L$772,"&lt;&gt;"&amp;$M$5)&gt;0,
              "Iuran dari Lingkungan lain",
              ""))</t>
  </si>
  <si>
    <t>=IF(COUNTIFS(IuranDSSebelumnya!$J$330:$J$772,$K35,IuranDSSebelumnya!$M$330:$M$772,AQ$11,IuranDSSebelumnya!$L$330:$L$772,$M$5)&gt;0,
        VLOOKUP(CONCATENATE($K35,"|",AQ$11,"|",$M$5),IuranDSSebelumnya!$I$330:$N$772,5,FALSE),
        IF(COUNTIFS(IuranDSSebelumnya!$J$330:$J$772,$K35,IuranDSSebelumnya!$M$330:$M$772,AQ$11,IuranDSSebelumnya!$L$330:$L$772,"&lt;&gt;"&amp;$M$5)&gt;0,
              "Iuran dari Lingkungan lain",
              ""))</t>
  </si>
  <si>
    <t>=IF(COUNTIFS(IuranDSSebelumnya!$J$330:$J$772,$K35,IuranDSSebelumnya!$M$330:$M$772,AR$11,IuranDSSebelumnya!$L$330:$L$772,$M$5)&gt;0,
        VLOOKUP(CONCATENATE($K35,"|",AR$11,"|",$M$5),IuranDSSebelumnya!$I$330:$N$772,5,FALSE),
        IF(COUNTIFS(IuranDSSebelumnya!$J$330:$J$772,$K35,IuranDSSebelumnya!$M$330:$M$772,AR$11,IuranDSSebelumnya!$L$330:$L$772,"&lt;&gt;"&amp;$M$5)&gt;0,
              "Iuran dari Lingkungan lain",
              ""))</t>
  </si>
  <si>
    <t>=IF(COUNTIFS(IuranDSSebelumnya!$J$330:$J$772,$K35,IuranDSSebelumnya!$M$330:$M$772,AS$11,IuranDSSebelumnya!$L$330:$L$772,$M$5)&gt;0,
        VLOOKUP(CONCATENATE($K35,"|",AS$11,"|",$M$5),IuranDSSebelumnya!$I$330:$N$772,5,FALSE),
        IF(COUNTIFS(IuranDSSebelumnya!$J$330:$J$772,$K35,IuranDSSebelumnya!$M$330:$M$772,AS$11,IuranDSSebelumnya!$L$330:$L$772,"&lt;&gt;"&amp;$M$5)&gt;0,
              "Iuran dari Lingkungan lain",
              ""))</t>
  </si>
  <si>
    <t>=IF(COUNTIFS(IuranDSSebelumnya!$J$330:$J$772,$K35,IuranDSSebelumnya!$M$330:$M$772,AT$11,IuranDSSebelumnya!$L$330:$L$772,$M$5)&gt;0,
        VLOOKUP(CONCATENATE($K35,"|",AT$11,"|",$M$5),IuranDSSebelumnya!$I$330:$N$772,5,FALSE),
        IF(COUNTIFS(IuranDSSebelumnya!$J$330:$J$772,$K35,IuranDSSebelumnya!$M$330:$M$772,AT$11,IuranDSSebelumnya!$L$330:$L$772,"&lt;&gt;"&amp;$M$5)&gt;0,
              "Iuran dari Lingkungan lain",
              ""))</t>
  </si>
  <si>
    <t>=IF(COUNTIFS(IuranDSSebelumnya!$J$330:$J$772,$K35,IuranDSSebelumnya!$M$330:$M$772,AU$11,IuranDSSebelumnya!$L$330:$L$772,$M$5)&gt;0,
        VLOOKUP(CONCATENATE($K35,"|",AU$11,"|",$M$5),IuranDSSebelumnya!$I$330:$N$772,5,FALSE),
        IF(COUNTIFS(IuranDSSebelumnya!$J$330:$J$772,$K35,IuranDSSebelumnya!$M$330:$M$772,AU$11,IuranDSSebelumnya!$L$330:$L$772,"&lt;&gt;"&amp;$M$5)&gt;0,
              "Iuran dari Lingkungan lain",
              ""))</t>
  </si>
  <si>
    <t>=IF(COUNTIFS(IuranDSSebelumnya!$J$330:$J$772,$K35,IuranDSSebelumnya!$M$330:$M$772,AV$11,IuranDSSebelumnya!$L$330:$L$772,$M$5)&gt;0,
        VLOOKUP(CONCATENATE($K35,"|",AV$11,"|",$M$5),IuranDSSebelumnya!$I$330:$N$772,5,FALSE),
        IF(COUNTIFS(IuranDSSebelumnya!$J$330:$J$772,$K35,IuranDSSebelumnya!$M$330:$M$772,AV$11,IuranDSSebelumnya!$L$330:$L$772,"&lt;&gt;"&amp;$M$5)&gt;0,
              "Iuran dari Lingkungan lain",
              ""))</t>
  </si>
  <si>
    <t>=IF(COUNTIFS(IuranDSSebelumnya!$J$330:$J$772,$K35,IuranDSSebelumnya!$M$330:$M$772,AW$11,IuranDSSebelumnya!$L$330:$L$772,$M$5)&gt;0,
        VLOOKUP(CONCATENATE($K35,"|",AW$11,"|",$M$5),IuranDSSebelumnya!$I$330:$N$772,5,FALSE),
        IF(COUNTIFS(IuranDSSebelumnya!$J$330:$J$772,$K35,IuranDSSebelumnya!$M$330:$M$772,AW$11,IuranDSSebelumnya!$L$330:$L$772,"&lt;&gt;"&amp;$M$5)&gt;0,
              "Iuran dari Lingkungan lain",
              ""))</t>
  </si>
  <si>
    <t>=IF(COUNTIFS(IuranDSSebelumnya!$J$330:$J$772,$K35,IuranDSSebelumnya!$M$330:$M$772,AX$11,IuranDSSebelumnya!$L$330:$L$772,$M$5)&gt;0,
        VLOOKUP(CONCATENATE($K35,"|",AX$11,"|",$M$5),IuranDSSebelumnya!$I$330:$N$772,5,FALSE),
        IF(COUNTIFS(IuranDSSebelumnya!$J$330:$J$772,$K35,IuranDSSebelumnya!$M$330:$M$772,AX$11,IuranDSSebelumnya!$L$330:$L$772,"&lt;&gt;"&amp;$M$5)&gt;0,
              "Iuran dari Lingkungan lain",
              ""))</t>
  </si>
  <si>
    <t>=IF(COUNTIFS(IuranDSSebelumnya!$J$330:$J$772,$K35,IuranDSSebelumnya!$M$330:$M$772,AY$11,IuranDSSebelumnya!$L$330:$L$772,$M$5)&gt;0,
        VLOOKUP(CONCATENATE($K35,"|",AY$11,"|",$M$5),IuranDSSebelumnya!$I$330:$N$772,5,FALSE),
        IF(COUNTIFS(IuranDSSebelumnya!$J$330:$J$772,$K35,IuranDSSebelumnya!$M$330:$M$772,AY$11,IuranDSSebelumnya!$L$330:$L$772,"&lt;&gt;"&amp;$M$5)&gt;0,
              "Iuran dari Lingkungan lain",
              ""))</t>
  </si>
  <si>
    <t>=IF(COUNTIFS(IuranDSSebelumnya!$J$330:$J$772,$K35,IuranDSSebelumnya!$M$330:$M$772,AZ$11,IuranDSSebelumnya!$L$330:$L$772,$M$5)&gt;0,
        VLOOKUP(CONCATENATE($K35,"|",AZ$11,"|",$M$5),IuranDSSebelumnya!$I$330:$N$772,5,FALSE),
        IF(COUNTIFS(IuranDSSebelumnya!$J$330:$J$772,$K35,IuranDSSebelumnya!$M$330:$M$772,AZ$11,IuranDSSebelumnya!$L$330:$L$772,"&lt;&gt;"&amp;$M$5)&gt;0,
              "Iuran dari Lingkungan lain",
              ""))</t>
  </si>
  <si>
    <t>=IF(COUNTIFS(IuranDSSebelumnya!$J$330:$J$772,$K35,IuranDSSebelumnya!$M$330:$M$772,BA$11,IuranDSSebelumnya!$L$330:$L$772,$M$5)&gt;0,
        VLOOKUP(CONCATENATE($K35,"|",BA$11,"|",$M$5),IuranDSSebelumnya!$I$330:$N$772,5,FALSE),
        IF(COUNTIFS(IuranDSSebelumnya!$J$330:$J$772,$K35,IuranDSSebelumnya!$M$330:$M$772,BA$11,IuranDSSebelumnya!$L$330:$L$772,"&lt;&gt;"&amp;$M$5)&gt;0,
              "Iuran dari Lingkungan lain",
              ""))</t>
  </si>
  <si>
    <t>=IF(COUNTIFS(IuranDSSebelumnya!$J$330:$J$772,$K35,IuranDSSebelumnya!$M$330:$M$772,BB$11,IuranDSSebelumnya!$L$330:$L$772,$M$5)&gt;0,
        VLOOKUP(CONCATENATE($K35,"|",BB$11,"|",$M$5),IuranDSSebelumnya!$I$330:$N$772,5,FALSE),
        IF(COUNTIFS(IuranDSSebelumnya!$J$330:$J$772,$K35,IuranDSSebelumnya!$M$330:$M$772,BB$11,IuranDSSebelumnya!$L$330:$L$772,"&lt;&gt;"&amp;$M$5)&gt;0,
              "Iuran dari Lingkungan lain",
              ""))</t>
  </si>
  <si>
    <t>=IF(COUNTIFS(IuranDSSebelumnya!$J$330:$J$772,$K35,IuranDSSebelumnya!$M$330:$M$772,BC$11,IuranDSSebelumnya!$L$330:$L$772,$M$5)&gt;0,
        VLOOKUP(CONCATENATE($K35,"|",BC$11,"|",$M$5),IuranDSSebelumnya!$I$330:$N$772,5,FALSE),
        IF(COUNTIFS(IuranDSSebelumnya!$J$330:$J$772,$K35,IuranDSSebelumnya!$M$330:$M$772,BC$11,IuranDSSebelumnya!$L$330:$L$772,"&lt;&gt;"&amp;$M$5)&gt;0,
              "Iuran dari Lingkungan lain",
              ""))</t>
  </si>
  <si>
    <t>=IF(COUNTIFS(IuranDSSebelumnya!$J$330:$J$772,$K35,IuranDSSebelumnya!$M$330:$M$772,BD$11,IuranDSSebelumnya!$L$330:$L$772,$M$5)&gt;0,
        VLOOKUP(CONCATENATE($K35,"|",BD$11,"|",$M$5),IuranDSSebelumnya!$I$330:$N$772,5,FALSE),
        IF(COUNTIFS(IuranDSSebelumnya!$J$330:$J$772,$K35,IuranDSSebelumnya!$M$330:$M$772,BD$11,IuranDSSebelumnya!$L$330:$L$772,"&lt;&gt;"&amp;$M$5)&gt;0,
              "Iuran dari Lingkungan lain",
              ""))</t>
  </si>
  <si>
    <t>=IF(COUNTIFS(IuranDSSebelumnya!$J$330:$J$772,$K35,IuranDSSebelumnya!$M$330:$M$772,BE$11,IuranDSSebelumnya!$L$330:$L$772,$M$5)&gt;0,
        VLOOKUP(CONCATENATE($K35,"|",BE$11,"|",$M$5),IuranDSSebelumnya!$I$330:$N$772,5,FALSE),
        IF(COUNTIFS(IuranDSSebelumnya!$J$330:$J$772,$K35,IuranDSSebelumnya!$M$330:$M$772,BE$11,IuranDSSebelumnya!$L$330:$L$772,"&lt;&gt;"&amp;$M$5)&gt;0,
              "Iuran dari Lingkungan lain",
              ""))</t>
  </si>
  <si>
    <t>=IF(COUNTIFS(IuranDSSebelumnya!$J$330:$J$772,$K35,IuranDSSebelumnya!$M$330:$M$772,BF$11,IuranDSSebelumnya!$L$330:$L$772,$M$5)&gt;0,
        VLOOKUP(CONCATENATE($K35,"|",BF$11,"|",$M$5),IuranDSSebelumnya!$I$330:$N$772,5,FALSE),
        IF(COUNTIFS(IuranDSSebelumnya!$J$330:$J$772,$K35,IuranDSSebelumnya!$M$330:$M$772,BF$11,IuranDSSebelumnya!$L$330:$L$772,"&lt;&gt;"&amp;$M$5)&gt;0,
              "Iuran dari Lingkungan lain",
              ""))</t>
  </si>
  <si>
    <t>=IF(COUNTIFS(IuranDSSebelumnya!$J$330:$J$772,$K35,IuranDSSebelumnya!$M$330:$M$772,BG$11,IuranDSSebelumnya!$L$330:$L$772,$M$5)&gt;0,
        VLOOKUP(CONCATENATE($K35,"|",BG$11,"|",$M$5),IuranDSSebelumnya!$I$330:$N$772,5,FALSE),
        IF(COUNTIFS(IuranDSSebelumnya!$J$330:$J$772,$K35,IuranDSSebelumnya!$M$330:$M$772,BG$11,IuranDSSebelumnya!$L$330:$L$772,"&lt;&gt;"&amp;$M$5)&gt;0,
              "Iuran dari Lingkungan lain",
              ""))</t>
  </si>
  <si>
    <t>=IF(COUNTIFS(IuranDSSebelumnya!$J$330:$J$772,$K35,IuranDSSebelumnya!$M$330:$M$772,BH$11,IuranDSSebelumnya!$L$330:$L$772,$M$5)&gt;0,
        VLOOKUP(CONCATENATE($K35,"|",BH$11,"|",$M$5),IuranDSSebelumnya!$I$330:$N$772,5,FALSE),
        IF(COUNTIFS(IuranDSSebelumnya!$J$330:$J$772,$K35,IuranDSSebelumnya!$M$330:$M$772,BH$11,IuranDSSebelumnya!$L$330:$L$772,"&lt;&gt;"&amp;$M$5)&gt;0,
              "Iuran dari Lingkungan lain",
              ""))</t>
  </si>
  <si>
    <t>=IF(COUNTIFS(IuranDSSebelumnya!$J$330:$J$772,$K35,IuranDSSebelumnya!$M$330:$M$772,BI$11,IuranDSSebelumnya!$L$330:$L$772,$M$5)&gt;0,
        VLOOKUP(CONCATENATE($K35,"|",BI$11,"|",$M$5),IuranDSSebelumnya!$I$330:$N$772,5,FALSE),
        IF(COUNTIFS(IuranDSSebelumnya!$J$330:$J$772,$K35,IuranDSSebelumnya!$M$330:$M$772,BI$11,IuranDSSebelumnya!$L$330:$L$772,"&lt;&gt;"&amp;$M$5)&gt;0,
              "Iuran dari Lingkungan lain",
              ""))</t>
  </si>
  <si>
    <t>=IF(COUNTIFS(IuranDSSebelumnya!$J$330:$J$772,$K35,IuranDSSebelumnya!$M$330:$M$772,BJ$11,IuranDSSebelumnya!$L$330:$L$772,$M$5)&gt;0,
        VLOOKUP(CONCATENATE($K35,"|",BJ$11,"|",$M$5),IuranDSSebelumnya!$I$330:$N$772,5,FALSE),
        IF(COUNTIFS(IuranDSSebelumnya!$J$330:$J$772,$K35,IuranDSSebelumnya!$M$330:$M$772,BJ$11,IuranDSSebelumnya!$L$330:$L$772,"&lt;&gt;"&amp;$M$5)&gt;0,
              "Iuran dari Lingkungan lain",
              ""))</t>
  </si>
  <si>
    <t>=IF(COUNTIFS(IuranDSSebelumnya!$J$330:$J$772,$K35,IuranDSSebelumnya!$M$330:$M$772,BK$11,IuranDSSebelumnya!$L$330:$L$772,$M$5)&gt;0,
        VLOOKUP(CONCATENATE($K35,"|",BK$11,"|",$M$5),IuranDSSebelumnya!$I$330:$N$772,5,FALSE),
        IF(COUNTIFS(IuranDSSebelumnya!$J$330:$J$772,$K35,IuranDSSebelumnya!$M$330:$M$772,BK$11,IuranDSSebelumnya!$L$330:$L$772,"&lt;&gt;"&amp;$M$5)&gt;0,
              "Iuran dari Lingkungan lain",
              ""))</t>
  </si>
  <si>
    <t>=IF(COUNTIFS(IuranDSSebelumnya!$J$330:$J$772,$K35,IuranDSSebelumnya!$M$330:$M$772,BL$11,IuranDSSebelumnya!$L$330:$L$772,$M$5)&gt;0,
        VLOOKUP(CONCATENATE($K35,"|",BL$11,"|",$M$5),IuranDSSebelumnya!$I$330:$N$772,5,FALSE),
        IF(COUNTIFS(IuranDSSebelumnya!$J$330:$J$772,$K35,IuranDSSebelumnya!$M$330:$M$772,BL$11,IuranDSSebelumnya!$L$330:$L$772,"&lt;&gt;"&amp;$M$5)&gt;0,
              "Iuran dari Lingkungan lain",
              ""))</t>
  </si>
  <si>
    <t>=CELL("row")=CELL("row",C36)</t>
  </si>
  <si>
    <t>="""TRUST Nav"",""HSPMTB2016"",""18"",""1"",""KK-04614"""</t>
  </si>
  <si>
    <t>=IF(AND($AL36=0,$J36=1)=TRUE,0,
        IF(AND($AL36&gt;0,$J36=1)=TRUE,1,
              IF(AND(H35=$H$12,$J36&gt;1)=TRUE,0,
                    IF(AND($AL36=0,$J36&gt;1),H35,
                         H35+1))))</t>
  </si>
  <si>
    <t>=IF(J35="No.",1,J35+1)</t>
  </si>
  <si>
    <t>=SUM(N36:AK36)</t>
  </si>
  <si>
    <t>=IF(COUNTIFS(IuranDSSebelumnya!$J$330:$J$772,$K36,IuranDSSebelumnya!$M$330:$M$772,AO$11,IuranDSSebelumnya!$L$330:$L$772,$M$5)&gt;0,
        VLOOKUP(CONCATENATE($K36,"|",AO$11,"|",$M$5),IuranDSSebelumnya!$I$330:$N$772,5,FALSE),
        IF(COUNTIFS(IuranDSSebelumnya!$J$330:$J$772,$K36,IuranDSSebelumnya!$M$330:$M$772,AO$11,IuranDSSebelumnya!$L$330:$L$772,"&lt;&gt;"&amp;$M$5)&gt;0,
              "Iuran dari Lingkungan lain",
              ""))</t>
  </si>
  <si>
    <t>=IF(COUNTIFS(IuranDSSebelumnya!$J$330:$J$772,$K36,IuranDSSebelumnya!$M$330:$M$772,AP$11,IuranDSSebelumnya!$L$330:$L$772,$M$5)&gt;0,
        VLOOKUP(CONCATENATE($K36,"|",AP$11,"|",$M$5),IuranDSSebelumnya!$I$330:$N$772,5,FALSE),
        IF(COUNTIFS(IuranDSSebelumnya!$J$330:$J$772,$K36,IuranDSSebelumnya!$M$330:$M$772,AP$11,IuranDSSebelumnya!$L$330:$L$772,"&lt;&gt;"&amp;$M$5)&gt;0,
              "Iuran dari Lingkungan lain",
              ""))</t>
  </si>
  <si>
    <t>=IF(COUNTIFS(IuranDSSebelumnya!$J$330:$J$772,$K36,IuranDSSebelumnya!$M$330:$M$772,AQ$11,IuranDSSebelumnya!$L$330:$L$772,$M$5)&gt;0,
        VLOOKUP(CONCATENATE($K36,"|",AQ$11,"|",$M$5),IuranDSSebelumnya!$I$330:$N$772,5,FALSE),
        IF(COUNTIFS(IuranDSSebelumnya!$J$330:$J$772,$K36,IuranDSSebelumnya!$M$330:$M$772,AQ$11,IuranDSSebelumnya!$L$330:$L$772,"&lt;&gt;"&amp;$M$5)&gt;0,
              "Iuran dari Lingkungan lain",
              ""))</t>
  </si>
  <si>
    <t>=IF(COUNTIFS(IuranDSSebelumnya!$J$330:$J$772,$K36,IuranDSSebelumnya!$M$330:$M$772,AR$11,IuranDSSebelumnya!$L$330:$L$772,$M$5)&gt;0,
        VLOOKUP(CONCATENATE($K36,"|",AR$11,"|",$M$5),IuranDSSebelumnya!$I$330:$N$772,5,FALSE),
        IF(COUNTIFS(IuranDSSebelumnya!$J$330:$J$772,$K36,IuranDSSebelumnya!$M$330:$M$772,AR$11,IuranDSSebelumnya!$L$330:$L$772,"&lt;&gt;"&amp;$M$5)&gt;0,
              "Iuran dari Lingkungan lain",
              ""))</t>
  </si>
  <si>
    <t>=IF(COUNTIFS(IuranDSSebelumnya!$J$330:$J$772,$K36,IuranDSSebelumnya!$M$330:$M$772,AS$11,IuranDSSebelumnya!$L$330:$L$772,$M$5)&gt;0,
        VLOOKUP(CONCATENATE($K36,"|",AS$11,"|",$M$5),IuranDSSebelumnya!$I$330:$N$772,5,FALSE),
        IF(COUNTIFS(IuranDSSebelumnya!$J$330:$J$772,$K36,IuranDSSebelumnya!$M$330:$M$772,AS$11,IuranDSSebelumnya!$L$330:$L$772,"&lt;&gt;"&amp;$M$5)&gt;0,
              "Iuran dari Lingkungan lain",
              ""))</t>
  </si>
  <si>
    <t>=IF(COUNTIFS(IuranDSSebelumnya!$J$330:$J$772,$K36,IuranDSSebelumnya!$M$330:$M$772,AT$11,IuranDSSebelumnya!$L$330:$L$772,$M$5)&gt;0,
        VLOOKUP(CONCATENATE($K36,"|",AT$11,"|",$M$5),IuranDSSebelumnya!$I$330:$N$772,5,FALSE),
        IF(COUNTIFS(IuranDSSebelumnya!$J$330:$J$772,$K36,IuranDSSebelumnya!$M$330:$M$772,AT$11,IuranDSSebelumnya!$L$330:$L$772,"&lt;&gt;"&amp;$M$5)&gt;0,
              "Iuran dari Lingkungan lain",
              ""))</t>
  </si>
  <si>
    <t>=IF(COUNTIFS(IuranDSSebelumnya!$J$330:$J$772,$K36,IuranDSSebelumnya!$M$330:$M$772,AU$11,IuranDSSebelumnya!$L$330:$L$772,$M$5)&gt;0,
        VLOOKUP(CONCATENATE($K36,"|",AU$11,"|",$M$5),IuranDSSebelumnya!$I$330:$N$772,5,FALSE),
        IF(COUNTIFS(IuranDSSebelumnya!$J$330:$J$772,$K36,IuranDSSebelumnya!$M$330:$M$772,AU$11,IuranDSSebelumnya!$L$330:$L$772,"&lt;&gt;"&amp;$M$5)&gt;0,
              "Iuran dari Lingkungan lain",
              ""))</t>
  </si>
  <si>
    <t>=IF(COUNTIFS(IuranDSSebelumnya!$J$330:$J$772,$K36,IuranDSSebelumnya!$M$330:$M$772,AV$11,IuranDSSebelumnya!$L$330:$L$772,$M$5)&gt;0,
        VLOOKUP(CONCATENATE($K36,"|",AV$11,"|",$M$5),IuranDSSebelumnya!$I$330:$N$772,5,FALSE),
        IF(COUNTIFS(IuranDSSebelumnya!$J$330:$J$772,$K36,IuranDSSebelumnya!$M$330:$M$772,AV$11,IuranDSSebelumnya!$L$330:$L$772,"&lt;&gt;"&amp;$M$5)&gt;0,
              "Iuran dari Lingkungan lain",
              ""))</t>
  </si>
  <si>
    <t>=IF(COUNTIFS(IuranDSSebelumnya!$J$330:$J$772,$K36,IuranDSSebelumnya!$M$330:$M$772,AW$11,IuranDSSebelumnya!$L$330:$L$772,$M$5)&gt;0,
        VLOOKUP(CONCATENATE($K36,"|",AW$11,"|",$M$5),IuranDSSebelumnya!$I$330:$N$772,5,FALSE),
        IF(COUNTIFS(IuranDSSebelumnya!$J$330:$J$772,$K36,IuranDSSebelumnya!$M$330:$M$772,AW$11,IuranDSSebelumnya!$L$330:$L$772,"&lt;&gt;"&amp;$M$5)&gt;0,
              "Iuran dari Lingkungan lain",
              ""))</t>
  </si>
  <si>
    <t>=IF(COUNTIFS(IuranDSSebelumnya!$J$330:$J$772,$K36,IuranDSSebelumnya!$M$330:$M$772,AX$11,IuranDSSebelumnya!$L$330:$L$772,$M$5)&gt;0,
        VLOOKUP(CONCATENATE($K36,"|",AX$11,"|",$M$5),IuranDSSebelumnya!$I$330:$N$772,5,FALSE),
        IF(COUNTIFS(IuranDSSebelumnya!$J$330:$J$772,$K36,IuranDSSebelumnya!$M$330:$M$772,AX$11,IuranDSSebelumnya!$L$330:$L$772,"&lt;&gt;"&amp;$M$5)&gt;0,
              "Iuran dari Lingkungan lain",
              ""))</t>
  </si>
  <si>
    <t>=IF(COUNTIFS(IuranDSSebelumnya!$J$330:$J$772,$K36,IuranDSSebelumnya!$M$330:$M$772,AY$11,IuranDSSebelumnya!$L$330:$L$772,$M$5)&gt;0,
        VLOOKUP(CONCATENATE($K36,"|",AY$11,"|",$M$5),IuranDSSebelumnya!$I$330:$N$772,5,FALSE),
        IF(COUNTIFS(IuranDSSebelumnya!$J$330:$J$772,$K36,IuranDSSebelumnya!$M$330:$M$772,AY$11,IuranDSSebelumnya!$L$330:$L$772,"&lt;&gt;"&amp;$M$5)&gt;0,
              "Iuran dari Lingkungan lain",
              ""))</t>
  </si>
  <si>
    <t>=IF(COUNTIFS(IuranDSSebelumnya!$J$330:$J$772,$K36,IuranDSSebelumnya!$M$330:$M$772,AZ$11,IuranDSSebelumnya!$L$330:$L$772,$M$5)&gt;0,
        VLOOKUP(CONCATENATE($K36,"|",AZ$11,"|",$M$5),IuranDSSebelumnya!$I$330:$N$772,5,FALSE),
        IF(COUNTIFS(IuranDSSebelumnya!$J$330:$J$772,$K36,IuranDSSebelumnya!$M$330:$M$772,AZ$11,IuranDSSebelumnya!$L$330:$L$772,"&lt;&gt;"&amp;$M$5)&gt;0,
              "Iuran dari Lingkungan lain",
              ""))</t>
  </si>
  <si>
    <t>=IF(COUNTIFS(IuranDSSebelumnya!$J$330:$J$772,$K36,IuranDSSebelumnya!$M$330:$M$772,BA$11,IuranDSSebelumnya!$L$330:$L$772,$M$5)&gt;0,
        VLOOKUP(CONCATENATE($K36,"|",BA$11,"|",$M$5),IuranDSSebelumnya!$I$330:$N$772,5,FALSE),
        IF(COUNTIFS(IuranDSSebelumnya!$J$330:$J$772,$K36,IuranDSSebelumnya!$M$330:$M$772,BA$11,IuranDSSebelumnya!$L$330:$L$772,"&lt;&gt;"&amp;$M$5)&gt;0,
              "Iuran dari Lingkungan lain",
              ""))</t>
  </si>
  <si>
    <t>=IF(COUNTIFS(IuranDSSebelumnya!$J$330:$J$772,$K36,IuranDSSebelumnya!$M$330:$M$772,BB$11,IuranDSSebelumnya!$L$330:$L$772,$M$5)&gt;0,
        VLOOKUP(CONCATENATE($K36,"|",BB$11,"|",$M$5),IuranDSSebelumnya!$I$330:$N$772,5,FALSE),
        IF(COUNTIFS(IuranDSSebelumnya!$J$330:$J$772,$K36,IuranDSSebelumnya!$M$330:$M$772,BB$11,IuranDSSebelumnya!$L$330:$L$772,"&lt;&gt;"&amp;$M$5)&gt;0,
              "Iuran dari Lingkungan lain",
              ""))</t>
  </si>
  <si>
    <t>=IF(COUNTIFS(IuranDSSebelumnya!$J$330:$J$772,$K36,IuranDSSebelumnya!$M$330:$M$772,BC$11,IuranDSSebelumnya!$L$330:$L$772,$M$5)&gt;0,
        VLOOKUP(CONCATENATE($K36,"|",BC$11,"|",$M$5),IuranDSSebelumnya!$I$330:$N$772,5,FALSE),
        IF(COUNTIFS(IuranDSSebelumnya!$J$330:$J$772,$K36,IuranDSSebelumnya!$M$330:$M$772,BC$11,IuranDSSebelumnya!$L$330:$L$772,"&lt;&gt;"&amp;$M$5)&gt;0,
              "Iuran dari Lingkungan lain",
              ""))</t>
  </si>
  <si>
    <t>=IF(COUNTIFS(IuranDSSebelumnya!$J$330:$J$772,$K36,IuranDSSebelumnya!$M$330:$M$772,BD$11,IuranDSSebelumnya!$L$330:$L$772,$M$5)&gt;0,
        VLOOKUP(CONCATENATE($K36,"|",BD$11,"|",$M$5),IuranDSSebelumnya!$I$330:$N$772,5,FALSE),
        IF(COUNTIFS(IuranDSSebelumnya!$J$330:$J$772,$K36,IuranDSSebelumnya!$M$330:$M$772,BD$11,IuranDSSebelumnya!$L$330:$L$772,"&lt;&gt;"&amp;$M$5)&gt;0,
              "Iuran dari Lingkungan lain",
              ""))</t>
  </si>
  <si>
    <t>=IF(COUNTIFS(IuranDSSebelumnya!$J$330:$J$772,$K36,IuranDSSebelumnya!$M$330:$M$772,BE$11,IuranDSSebelumnya!$L$330:$L$772,$M$5)&gt;0,
        VLOOKUP(CONCATENATE($K36,"|",BE$11,"|",$M$5),IuranDSSebelumnya!$I$330:$N$772,5,FALSE),
        IF(COUNTIFS(IuranDSSebelumnya!$J$330:$J$772,$K36,IuranDSSebelumnya!$M$330:$M$772,BE$11,IuranDSSebelumnya!$L$330:$L$772,"&lt;&gt;"&amp;$M$5)&gt;0,
              "Iuran dari Lingkungan lain",
              ""))</t>
  </si>
  <si>
    <t>=IF(COUNTIFS(IuranDSSebelumnya!$J$330:$J$772,$K36,IuranDSSebelumnya!$M$330:$M$772,BF$11,IuranDSSebelumnya!$L$330:$L$772,$M$5)&gt;0,
        VLOOKUP(CONCATENATE($K36,"|",BF$11,"|",$M$5),IuranDSSebelumnya!$I$330:$N$772,5,FALSE),
        IF(COUNTIFS(IuranDSSebelumnya!$J$330:$J$772,$K36,IuranDSSebelumnya!$M$330:$M$772,BF$11,IuranDSSebelumnya!$L$330:$L$772,"&lt;&gt;"&amp;$M$5)&gt;0,
              "Iuran dari Lingkungan lain",
              ""))</t>
  </si>
  <si>
    <t>=IF(COUNTIFS(IuranDSSebelumnya!$J$330:$J$772,$K36,IuranDSSebelumnya!$M$330:$M$772,BG$11,IuranDSSebelumnya!$L$330:$L$772,$M$5)&gt;0,
        VLOOKUP(CONCATENATE($K36,"|",BG$11,"|",$M$5),IuranDSSebelumnya!$I$330:$N$772,5,FALSE),
        IF(COUNTIFS(IuranDSSebelumnya!$J$330:$J$772,$K36,IuranDSSebelumnya!$M$330:$M$772,BG$11,IuranDSSebelumnya!$L$330:$L$772,"&lt;&gt;"&amp;$M$5)&gt;0,
              "Iuran dari Lingkungan lain",
              ""))</t>
  </si>
  <si>
    <t>=IF(COUNTIFS(IuranDSSebelumnya!$J$330:$J$772,$K36,IuranDSSebelumnya!$M$330:$M$772,BH$11,IuranDSSebelumnya!$L$330:$L$772,$M$5)&gt;0,
        VLOOKUP(CONCATENATE($K36,"|",BH$11,"|",$M$5),IuranDSSebelumnya!$I$330:$N$772,5,FALSE),
        IF(COUNTIFS(IuranDSSebelumnya!$J$330:$J$772,$K36,IuranDSSebelumnya!$M$330:$M$772,BH$11,IuranDSSebelumnya!$L$330:$L$772,"&lt;&gt;"&amp;$M$5)&gt;0,
              "Iuran dari Lingkungan lain",
              ""))</t>
  </si>
  <si>
    <t>=IF(COUNTIFS(IuranDSSebelumnya!$J$330:$J$772,$K36,IuranDSSebelumnya!$M$330:$M$772,BI$11,IuranDSSebelumnya!$L$330:$L$772,$M$5)&gt;0,
        VLOOKUP(CONCATENATE($K36,"|",BI$11,"|",$M$5),IuranDSSebelumnya!$I$330:$N$772,5,FALSE),
        IF(COUNTIFS(IuranDSSebelumnya!$J$330:$J$772,$K36,IuranDSSebelumnya!$M$330:$M$772,BI$11,IuranDSSebelumnya!$L$330:$L$772,"&lt;&gt;"&amp;$M$5)&gt;0,
              "Iuran dari Lingkungan lain",
              ""))</t>
  </si>
  <si>
    <t>=IF(COUNTIFS(IuranDSSebelumnya!$J$330:$J$772,$K36,IuranDSSebelumnya!$M$330:$M$772,BJ$11,IuranDSSebelumnya!$L$330:$L$772,$M$5)&gt;0,
        VLOOKUP(CONCATENATE($K36,"|",BJ$11,"|",$M$5),IuranDSSebelumnya!$I$330:$N$772,5,FALSE),
        IF(COUNTIFS(IuranDSSebelumnya!$J$330:$J$772,$K36,IuranDSSebelumnya!$M$330:$M$772,BJ$11,IuranDSSebelumnya!$L$330:$L$772,"&lt;&gt;"&amp;$M$5)&gt;0,
              "Iuran dari Lingkungan lain",
              ""))</t>
  </si>
  <si>
    <t>=IF(COUNTIFS(IuranDSSebelumnya!$J$330:$J$772,$K36,IuranDSSebelumnya!$M$330:$M$772,BK$11,IuranDSSebelumnya!$L$330:$L$772,$M$5)&gt;0,
        VLOOKUP(CONCATENATE($K36,"|",BK$11,"|",$M$5),IuranDSSebelumnya!$I$330:$N$772,5,FALSE),
        IF(COUNTIFS(IuranDSSebelumnya!$J$330:$J$772,$K36,IuranDSSebelumnya!$M$330:$M$772,BK$11,IuranDSSebelumnya!$L$330:$L$772,"&lt;&gt;"&amp;$M$5)&gt;0,
              "Iuran dari Lingkungan lain",
              ""))</t>
  </si>
  <si>
    <t>=IF(COUNTIFS(IuranDSSebelumnya!$J$330:$J$772,$K36,IuranDSSebelumnya!$M$330:$M$772,BL$11,IuranDSSebelumnya!$L$330:$L$772,$M$5)&gt;0,
        VLOOKUP(CONCATENATE($K36,"|",BL$11,"|",$M$5),IuranDSSebelumnya!$I$330:$N$772,5,FALSE),
        IF(COUNTIFS(IuranDSSebelumnya!$J$330:$J$772,$K36,IuranDSSebelumnya!$M$330:$M$772,BL$11,IuranDSSebelumnya!$L$330:$L$772,"&lt;&gt;"&amp;$M$5)&gt;0,
              "Iuran dari Lingkungan lain",
              ""))</t>
  </si>
  <si>
    <t>=CELL("row")=CELL("row",C37)</t>
  </si>
  <si>
    <t>="""TRUST Nav"",""HSPMTB2016"",""18"",""1"",""KK-05049"""</t>
  </si>
  <si>
    <t>=IF(AND($AL37=0,$J37=1)=TRUE,0,
        IF(AND($AL37&gt;0,$J37=1)=TRUE,1,
              IF(AND(H36=$H$12,$J37&gt;1)=TRUE,0,
                    IF(AND($AL37=0,$J37&gt;1),H36,
                         H36+1))))</t>
  </si>
  <si>
    <t>=IF(J36="No.",1,J36+1)</t>
  </si>
  <si>
    <t>=SUM(N37:AK37)</t>
  </si>
  <si>
    <t>=IF(COUNTIFS(IuranDSSebelumnya!$J$330:$J$772,$K37,IuranDSSebelumnya!$M$330:$M$772,AO$11,IuranDSSebelumnya!$L$330:$L$772,$M$5)&gt;0,
        VLOOKUP(CONCATENATE($K37,"|",AO$11,"|",$M$5),IuranDSSebelumnya!$I$330:$N$772,5,FALSE),
        IF(COUNTIFS(IuranDSSebelumnya!$J$330:$J$772,$K37,IuranDSSebelumnya!$M$330:$M$772,AO$11,IuranDSSebelumnya!$L$330:$L$772,"&lt;&gt;"&amp;$M$5)&gt;0,
              "Iuran dari Lingkungan lain",
              ""))</t>
  </si>
  <si>
    <t>=IF(COUNTIFS(IuranDSSebelumnya!$J$330:$J$772,$K37,IuranDSSebelumnya!$M$330:$M$772,AP$11,IuranDSSebelumnya!$L$330:$L$772,$M$5)&gt;0,
        VLOOKUP(CONCATENATE($K37,"|",AP$11,"|",$M$5),IuranDSSebelumnya!$I$330:$N$772,5,FALSE),
        IF(COUNTIFS(IuranDSSebelumnya!$J$330:$J$772,$K37,IuranDSSebelumnya!$M$330:$M$772,AP$11,IuranDSSebelumnya!$L$330:$L$772,"&lt;&gt;"&amp;$M$5)&gt;0,
              "Iuran dari Lingkungan lain",
              ""))</t>
  </si>
  <si>
    <t>=IF(COUNTIFS(IuranDSSebelumnya!$J$330:$J$772,$K37,IuranDSSebelumnya!$M$330:$M$772,AQ$11,IuranDSSebelumnya!$L$330:$L$772,$M$5)&gt;0,
        VLOOKUP(CONCATENATE($K37,"|",AQ$11,"|",$M$5),IuranDSSebelumnya!$I$330:$N$772,5,FALSE),
        IF(COUNTIFS(IuranDSSebelumnya!$J$330:$J$772,$K37,IuranDSSebelumnya!$M$330:$M$772,AQ$11,IuranDSSebelumnya!$L$330:$L$772,"&lt;&gt;"&amp;$M$5)&gt;0,
              "Iuran dari Lingkungan lain",
              ""))</t>
  </si>
  <si>
    <t>=IF(COUNTIFS(IuranDSSebelumnya!$J$330:$J$772,$K37,IuranDSSebelumnya!$M$330:$M$772,AR$11,IuranDSSebelumnya!$L$330:$L$772,$M$5)&gt;0,
        VLOOKUP(CONCATENATE($K37,"|",AR$11,"|",$M$5),IuranDSSebelumnya!$I$330:$N$772,5,FALSE),
        IF(COUNTIFS(IuranDSSebelumnya!$J$330:$J$772,$K37,IuranDSSebelumnya!$M$330:$M$772,AR$11,IuranDSSebelumnya!$L$330:$L$772,"&lt;&gt;"&amp;$M$5)&gt;0,
              "Iuran dari Lingkungan lain",
              ""))</t>
  </si>
  <si>
    <t>=IF(COUNTIFS(IuranDSSebelumnya!$J$330:$J$772,$K37,IuranDSSebelumnya!$M$330:$M$772,AS$11,IuranDSSebelumnya!$L$330:$L$772,$M$5)&gt;0,
        VLOOKUP(CONCATENATE($K37,"|",AS$11,"|",$M$5),IuranDSSebelumnya!$I$330:$N$772,5,FALSE),
        IF(COUNTIFS(IuranDSSebelumnya!$J$330:$J$772,$K37,IuranDSSebelumnya!$M$330:$M$772,AS$11,IuranDSSebelumnya!$L$330:$L$772,"&lt;&gt;"&amp;$M$5)&gt;0,
              "Iuran dari Lingkungan lain",
              ""))</t>
  </si>
  <si>
    <t>=IF(COUNTIFS(IuranDSSebelumnya!$J$330:$J$772,$K37,IuranDSSebelumnya!$M$330:$M$772,AT$11,IuranDSSebelumnya!$L$330:$L$772,$M$5)&gt;0,
        VLOOKUP(CONCATENATE($K37,"|",AT$11,"|",$M$5),IuranDSSebelumnya!$I$330:$N$772,5,FALSE),
        IF(COUNTIFS(IuranDSSebelumnya!$J$330:$J$772,$K37,IuranDSSebelumnya!$M$330:$M$772,AT$11,IuranDSSebelumnya!$L$330:$L$772,"&lt;&gt;"&amp;$M$5)&gt;0,
              "Iuran dari Lingkungan lain",
              ""))</t>
  </si>
  <si>
    <t>=IF(COUNTIFS(IuranDSSebelumnya!$J$330:$J$772,$K37,IuranDSSebelumnya!$M$330:$M$772,AU$11,IuranDSSebelumnya!$L$330:$L$772,$M$5)&gt;0,
        VLOOKUP(CONCATENATE($K37,"|",AU$11,"|",$M$5),IuranDSSebelumnya!$I$330:$N$772,5,FALSE),
        IF(COUNTIFS(IuranDSSebelumnya!$J$330:$J$772,$K37,IuranDSSebelumnya!$M$330:$M$772,AU$11,IuranDSSebelumnya!$L$330:$L$772,"&lt;&gt;"&amp;$M$5)&gt;0,
              "Iuran dari Lingkungan lain",
              ""))</t>
  </si>
  <si>
    <t>=IF(COUNTIFS(IuranDSSebelumnya!$J$330:$J$772,$K37,IuranDSSebelumnya!$M$330:$M$772,AV$11,IuranDSSebelumnya!$L$330:$L$772,$M$5)&gt;0,
        VLOOKUP(CONCATENATE($K37,"|",AV$11,"|",$M$5),IuranDSSebelumnya!$I$330:$N$772,5,FALSE),
        IF(COUNTIFS(IuranDSSebelumnya!$J$330:$J$772,$K37,IuranDSSebelumnya!$M$330:$M$772,AV$11,IuranDSSebelumnya!$L$330:$L$772,"&lt;&gt;"&amp;$M$5)&gt;0,
              "Iuran dari Lingkungan lain",
              ""))</t>
  </si>
  <si>
    <t>=IF(COUNTIFS(IuranDSSebelumnya!$J$330:$J$772,$K37,IuranDSSebelumnya!$M$330:$M$772,AW$11,IuranDSSebelumnya!$L$330:$L$772,$M$5)&gt;0,
        VLOOKUP(CONCATENATE($K37,"|",AW$11,"|",$M$5),IuranDSSebelumnya!$I$330:$N$772,5,FALSE),
        IF(COUNTIFS(IuranDSSebelumnya!$J$330:$J$772,$K37,IuranDSSebelumnya!$M$330:$M$772,AW$11,IuranDSSebelumnya!$L$330:$L$772,"&lt;&gt;"&amp;$M$5)&gt;0,
              "Iuran dari Lingkungan lain",
              ""))</t>
  </si>
  <si>
    <t>=IF(COUNTIFS(IuranDSSebelumnya!$J$330:$J$772,$K37,IuranDSSebelumnya!$M$330:$M$772,AX$11,IuranDSSebelumnya!$L$330:$L$772,$M$5)&gt;0,
        VLOOKUP(CONCATENATE($K37,"|",AX$11,"|",$M$5),IuranDSSebelumnya!$I$330:$N$772,5,FALSE),
        IF(COUNTIFS(IuranDSSebelumnya!$J$330:$J$772,$K37,IuranDSSebelumnya!$M$330:$M$772,AX$11,IuranDSSebelumnya!$L$330:$L$772,"&lt;&gt;"&amp;$M$5)&gt;0,
              "Iuran dari Lingkungan lain",
              ""))</t>
  </si>
  <si>
    <t>=IF(COUNTIFS(IuranDSSebelumnya!$J$330:$J$772,$K37,IuranDSSebelumnya!$M$330:$M$772,AY$11,IuranDSSebelumnya!$L$330:$L$772,$M$5)&gt;0,
        VLOOKUP(CONCATENATE($K37,"|",AY$11,"|",$M$5),IuranDSSebelumnya!$I$330:$N$772,5,FALSE),
        IF(COUNTIFS(IuranDSSebelumnya!$J$330:$J$772,$K37,IuranDSSebelumnya!$M$330:$M$772,AY$11,IuranDSSebelumnya!$L$330:$L$772,"&lt;&gt;"&amp;$M$5)&gt;0,
              "Iuran dari Lingkungan lain",
              ""))</t>
  </si>
  <si>
    <t>=IF(COUNTIFS(IuranDSSebelumnya!$J$330:$J$772,$K37,IuranDSSebelumnya!$M$330:$M$772,AZ$11,IuranDSSebelumnya!$L$330:$L$772,$M$5)&gt;0,
        VLOOKUP(CONCATENATE($K37,"|",AZ$11,"|",$M$5),IuranDSSebelumnya!$I$330:$N$772,5,FALSE),
        IF(COUNTIFS(IuranDSSebelumnya!$J$330:$J$772,$K37,IuranDSSebelumnya!$M$330:$M$772,AZ$11,IuranDSSebelumnya!$L$330:$L$772,"&lt;&gt;"&amp;$M$5)&gt;0,
              "Iuran dari Lingkungan lain",
              ""))</t>
  </si>
  <si>
    <t>=IF(COUNTIFS(IuranDSSebelumnya!$J$330:$J$772,$K37,IuranDSSebelumnya!$M$330:$M$772,BA$11,IuranDSSebelumnya!$L$330:$L$772,$M$5)&gt;0,
        VLOOKUP(CONCATENATE($K37,"|",BA$11,"|",$M$5),IuranDSSebelumnya!$I$330:$N$772,5,FALSE),
        IF(COUNTIFS(IuranDSSebelumnya!$J$330:$J$772,$K37,IuranDSSebelumnya!$M$330:$M$772,BA$11,IuranDSSebelumnya!$L$330:$L$772,"&lt;&gt;"&amp;$M$5)&gt;0,
              "Iuran dari Lingkungan lain",
              ""))</t>
  </si>
  <si>
    <t>=IF(COUNTIFS(IuranDSSebelumnya!$J$330:$J$772,$K37,IuranDSSebelumnya!$M$330:$M$772,BB$11,IuranDSSebelumnya!$L$330:$L$772,$M$5)&gt;0,
        VLOOKUP(CONCATENATE($K37,"|",BB$11,"|",$M$5),IuranDSSebelumnya!$I$330:$N$772,5,FALSE),
        IF(COUNTIFS(IuranDSSebelumnya!$J$330:$J$772,$K37,IuranDSSebelumnya!$M$330:$M$772,BB$11,IuranDSSebelumnya!$L$330:$L$772,"&lt;&gt;"&amp;$M$5)&gt;0,
              "Iuran dari Lingkungan lain",
              ""))</t>
  </si>
  <si>
    <t>=IF(COUNTIFS(IuranDSSebelumnya!$J$330:$J$772,$K37,IuranDSSebelumnya!$M$330:$M$772,BC$11,IuranDSSebelumnya!$L$330:$L$772,$M$5)&gt;0,
        VLOOKUP(CONCATENATE($K37,"|",BC$11,"|",$M$5),IuranDSSebelumnya!$I$330:$N$772,5,FALSE),
        IF(COUNTIFS(IuranDSSebelumnya!$J$330:$J$772,$K37,IuranDSSebelumnya!$M$330:$M$772,BC$11,IuranDSSebelumnya!$L$330:$L$772,"&lt;&gt;"&amp;$M$5)&gt;0,
              "Iuran dari Lingkungan lain",
              ""))</t>
  </si>
  <si>
    <t>=IF(COUNTIFS(IuranDSSebelumnya!$J$330:$J$772,$K37,IuranDSSebelumnya!$M$330:$M$772,BD$11,IuranDSSebelumnya!$L$330:$L$772,$M$5)&gt;0,
        VLOOKUP(CONCATENATE($K37,"|",BD$11,"|",$M$5),IuranDSSebelumnya!$I$330:$N$772,5,FALSE),
        IF(COUNTIFS(IuranDSSebelumnya!$J$330:$J$772,$K37,IuranDSSebelumnya!$M$330:$M$772,BD$11,IuranDSSebelumnya!$L$330:$L$772,"&lt;&gt;"&amp;$M$5)&gt;0,
              "Iuran dari Lingkungan lain",
              ""))</t>
  </si>
  <si>
    <t>=IF(COUNTIFS(IuranDSSebelumnya!$J$330:$J$772,$K37,IuranDSSebelumnya!$M$330:$M$772,BE$11,IuranDSSebelumnya!$L$330:$L$772,$M$5)&gt;0,
        VLOOKUP(CONCATENATE($K37,"|",BE$11,"|",$M$5),IuranDSSebelumnya!$I$330:$N$772,5,FALSE),
        IF(COUNTIFS(IuranDSSebelumnya!$J$330:$J$772,$K37,IuranDSSebelumnya!$M$330:$M$772,BE$11,IuranDSSebelumnya!$L$330:$L$772,"&lt;&gt;"&amp;$M$5)&gt;0,
              "Iuran dari Lingkungan lain",
              ""))</t>
  </si>
  <si>
    <t>=IF(COUNTIFS(IuranDSSebelumnya!$J$330:$J$772,$K37,IuranDSSebelumnya!$M$330:$M$772,BF$11,IuranDSSebelumnya!$L$330:$L$772,$M$5)&gt;0,
        VLOOKUP(CONCATENATE($K37,"|",BF$11,"|",$M$5),IuranDSSebelumnya!$I$330:$N$772,5,FALSE),
        IF(COUNTIFS(IuranDSSebelumnya!$J$330:$J$772,$K37,IuranDSSebelumnya!$M$330:$M$772,BF$11,IuranDSSebelumnya!$L$330:$L$772,"&lt;&gt;"&amp;$M$5)&gt;0,
              "Iuran dari Lingkungan lain",
              ""))</t>
  </si>
  <si>
    <t>=IF(COUNTIFS(IuranDSSebelumnya!$J$330:$J$772,$K37,IuranDSSebelumnya!$M$330:$M$772,BG$11,IuranDSSebelumnya!$L$330:$L$772,$M$5)&gt;0,
        VLOOKUP(CONCATENATE($K37,"|",BG$11,"|",$M$5),IuranDSSebelumnya!$I$330:$N$772,5,FALSE),
        IF(COUNTIFS(IuranDSSebelumnya!$J$330:$J$772,$K37,IuranDSSebelumnya!$M$330:$M$772,BG$11,IuranDSSebelumnya!$L$330:$L$772,"&lt;&gt;"&amp;$M$5)&gt;0,
              "Iuran dari Lingkungan lain",
              ""))</t>
  </si>
  <si>
    <t>=IF(COUNTIFS(IuranDSSebelumnya!$J$330:$J$772,$K37,IuranDSSebelumnya!$M$330:$M$772,BH$11,IuranDSSebelumnya!$L$330:$L$772,$M$5)&gt;0,
        VLOOKUP(CONCATENATE($K37,"|",BH$11,"|",$M$5),IuranDSSebelumnya!$I$330:$N$772,5,FALSE),
        IF(COUNTIFS(IuranDSSebelumnya!$J$330:$J$772,$K37,IuranDSSebelumnya!$M$330:$M$772,BH$11,IuranDSSebelumnya!$L$330:$L$772,"&lt;&gt;"&amp;$M$5)&gt;0,
              "Iuran dari Lingkungan lain",
              ""))</t>
  </si>
  <si>
    <t>=IF(COUNTIFS(IuranDSSebelumnya!$J$330:$J$772,$K37,IuranDSSebelumnya!$M$330:$M$772,BI$11,IuranDSSebelumnya!$L$330:$L$772,$M$5)&gt;0,
        VLOOKUP(CONCATENATE($K37,"|",BI$11,"|",$M$5),IuranDSSebelumnya!$I$330:$N$772,5,FALSE),
        IF(COUNTIFS(IuranDSSebelumnya!$J$330:$J$772,$K37,IuranDSSebelumnya!$M$330:$M$772,BI$11,IuranDSSebelumnya!$L$330:$L$772,"&lt;&gt;"&amp;$M$5)&gt;0,
              "Iuran dari Lingkungan lain",
              ""))</t>
  </si>
  <si>
    <t>=IF(COUNTIFS(IuranDSSebelumnya!$J$330:$J$772,$K37,IuranDSSebelumnya!$M$330:$M$772,BJ$11,IuranDSSebelumnya!$L$330:$L$772,$M$5)&gt;0,
        VLOOKUP(CONCATENATE($K37,"|",BJ$11,"|",$M$5),IuranDSSebelumnya!$I$330:$N$772,5,FALSE),
        IF(COUNTIFS(IuranDSSebelumnya!$J$330:$J$772,$K37,IuranDSSebelumnya!$M$330:$M$772,BJ$11,IuranDSSebelumnya!$L$330:$L$772,"&lt;&gt;"&amp;$M$5)&gt;0,
              "Iuran dari Lingkungan lain",
              ""))</t>
  </si>
  <si>
    <t>=IF(COUNTIFS(IuranDSSebelumnya!$J$330:$J$772,$K37,IuranDSSebelumnya!$M$330:$M$772,BK$11,IuranDSSebelumnya!$L$330:$L$772,$M$5)&gt;0,
        VLOOKUP(CONCATENATE($K37,"|",BK$11,"|",$M$5),IuranDSSebelumnya!$I$330:$N$772,5,FALSE),
        IF(COUNTIFS(IuranDSSebelumnya!$J$330:$J$772,$K37,IuranDSSebelumnya!$M$330:$M$772,BK$11,IuranDSSebelumnya!$L$330:$L$772,"&lt;&gt;"&amp;$M$5)&gt;0,
              "Iuran dari Lingkungan lain",
              ""))</t>
  </si>
  <si>
    <t>=IF(COUNTIFS(IuranDSSebelumnya!$J$330:$J$772,$K37,IuranDSSebelumnya!$M$330:$M$772,BL$11,IuranDSSebelumnya!$L$330:$L$772,$M$5)&gt;0,
        VLOOKUP(CONCATENATE($K37,"|",BL$11,"|",$M$5),IuranDSSebelumnya!$I$330:$N$772,5,FALSE),
        IF(COUNTIFS(IuranDSSebelumnya!$J$330:$J$772,$K37,IuranDSSebelumnya!$M$330:$M$772,BL$11,IuranDSSebelumnya!$L$330:$L$772,"&lt;&gt;"&amp;$M$5)&gt;0,
              "Iuran dari Lingkungan lain",
              ""))</t>
  </si>
  <si>
    <t>=CELL("row")=CELL("row",C38)</t>
  </si>
  <si>
    <t>="""TRUST Nav"",""HSPMTB2016"",""18"",""1"",""KK-05051"""</t>
  </si>
  <si>
    <t>=IF(AND($AL38=0,$J38=1)=TRUE,0,
        IF(AND($AL38&gt;0,$J38=1)=TRUE,1,
              IF(AND(H37=$H$12,$J38&gt;1)=TRUE,0,
                    IF(AND($AL38=0,$J38&gt;1),H37,
                         H37+1))))</t>
  </si>
  <si>
    <t>=IF(J37="No.",1,J37+1)</t>
  </si>
  <si>
    <t>=SUM(N38:AK38)</t>
  </si>
  <si>
    <t>=IF(COUNTIFS(IuranDSSebelumnya!$J$330:$J$772,$K38,IuranDSSebelumnya!$M$330:$M$772,AO$11,IuranDSSebelumnya!$L$330:$L$772,$M$5)&gt;0,
        VLOOKUP(CONCATENATE($K38,"|",AO$11,"|",$M$5),IuranDSSebelumnya!$I$330:$N$772,5,FALSE),
        IF(COUNTIFS(IuranDSSebelumnya!$J$330:$J$772,$K38,IuranDSSebelumnya!$M$330:$M$772,AO$11,IuranDSSebelumnya!$L$330:$L$772,"&lt;&gt;"&amp;$M$5)&gt;0,
              "Iuran dari Lingkungan lain",
              ""))</t>
  </si>
  <si>
    <t>=IF(COUNTIFS(IuranDSSebelumnya!$J$330:$J$772,$K38,IuranDSSebelumnya!$M$330:$M$772,AP$11,IuranDSSebelumnya!$L$330:$L$772,$M$5)&gt;0,
        VLOOKUP(CONCATENATE($K38,"|",AP$11,"|",$M$5),IuranDSSebelumnya!$I$330:$N$772,5,FALSE),
        IF(COUNTIFS(IuranDSSebelumnya!$J$330:$J$772,$K38,IuranDSSebelumnya!$M$330:$M$772,AP$11,IuranDSSebelumnya!$L$330:$L$772,"&lt;&gt;"&amp;$M$5)&gt;0,
              "Iuran dari Lingkungan lain",
              ""))</t>
  </si>
  <si>
    <t>=IF(COUNTIFS(IuranDSSebelumnya!$J$330:$J$772,$K38,IuranDSSebelumnya!$M$330:$M$772,AQ$11,IuranDSSebelumnya!$L$330:$L$772,$M$5)&gt;0,
        VLOOKUP(CONCATENATE($K38,"|",AQ$11,"|",$M$5),IuranDSSebelumnya!$I$330:$N$772,5,FALSE),
        IF(COUNTIFS(IuranDSSebelumnya!$J$330:$J$772,$K38,IuranDSSebelumnya!$M$330:$M$772,AQ$11,IuranDSSebelumnya!$L$330:$L$772,"&lt;&gt;"&amp;$M$5)&gt;0,
              "Iuran dari Lingkungan lain",
              ""))</t>
  </si>
  <si>
    <t>=IF(COUNTIFS(IuranDSSebelumnya!$J$330:$J$772,$K38,IuranDSSebelumnya!$M$330:$M$772,AR$11,IuranDSSebelumnya!$L$330:$L$772,$M$5)&gt;0,
        VLOOKUP(CONCATENATE($K38,"|",AR$11,"|",$M$5),IuranDSSebelumnya!$I$330:$N$772,5,FALSE),
        IF(COUNTIFS(IuranDSSebelumnya!$J$330:$J$772,$K38,IuranDSSebelumnya!$M$330:$M$772,AR$11,IuranDSSebelumnya!$L$330:$L$772,"&lt;&gt;"&amp;$M$5)&gt;0,
              "Iuran dari Lingkungan lain",
              ""))</t>
  </si>
  <si>
    <t>=IF(COUNTIFS(IuranDSSebelumnya!$J$330:$J$772,$K38,IuranDSSebelumnya!$M$330:$M$772,AS$11,IuranDSSebelumnya!$L$330:$L$772,$M$5)&gt;0,
        VLOOKUP(CONCATENATE($K38,"|",AS$11,"|",$M$5),IuranDSSebelumnya!$I$330:$N$772,5,FALSE),
        IF(COUNTIFS(IuranDSSebelumnya!$J$330:$J$772,$K38,IuranDSSebelumnya!$M$330:$M$772,AS$11,IuranDSSebelumnya!$L$330:$L$772,"&lt;&gt;"&amp;$M$5)&gt;0,
              "Iuran dari Lingkungan lain",
              ""))</t>
  </si>
  <si>
    <t>=IF(COUNTIFS(IuranDSSebelumnya!$J$330:$J$772,$K38,IuranDSSebelumnya!$M$330:$M$772,AT$11,IuranDSSebelumnya!$L$330:$L$772,$M$5)&gt;0,
        VLOOKUP(CONCATENATE($K38,"|",AT$11,"|",$M$5),IuranDSSebelumnya!$I$330:$N$772,5,FALSE),
        IF(COUNTIFS(IuranDSSebelumnya!$J$330:$J$772,$K38,IuranDSSebelumnya!$M$330:$M$772,AT$11,IuranDSSebelumnya!$L$330:$L$772,"&lt;&gt;"&amp;$M$5)&gt;0,
              "Iuran dari Lingkungan lain",
              ""))</t>
  </si>
  <si>
    <t>=IF(COUNTIFS(IuranDSSebelumnya!$J$330:$J$772,$K38,IuranDSSebelumnya!$M$330:$M$772,AU$11,IuranDSSebelumnya!$L$330:$L$772,$M$5)&gt;0,
        VLOOKUP(CONCATENATE($K38,"|",AU$11,"|",$M$5),IuranDSSebelumnya!$I$330:$N$772,5,FALSE),
        IF(COUNTIFS(IuranDSSebelumnya!$J$330:$J$772,$K38,IuranDSSebelumnya!$M$330:$M$772,AU$11,IuranDSSebelumnya!$L$330:$L$772,"&lt;&gt;"&amp;$M$5)&gt;0,
              "Iuran dari Lingkungan lain",
              ""))</t>
  </si>
  <si>
    <t>=IF(COUNTIFS(IuranDSSebelumnya!$J$330:$J$772,$K38,IuranDSSebelumnya!$M$330:$M$772,AV$11,IuranDSSebelumnya!$L$330:$L$772,$M$5)&gt;0,
        VLOOKUP(CONCATENATE($K38,"|",AV$11,"|",$M$5),IuranDSSebelumnya!$I$330:$N$772,5,FALSE),
        IF(COUNTIFS(IuranDSSebelumnya!$J$330:$J$772,$K38,IuranDSSebelumnya!$M$330:$M$772,AV$11,IuranDSSebelumnya!$L$330:$L$772,"&lt;&gt;"&amp;$M$5)&gt;0,
              "Iuran dari Lingkungan lain",
              ""))</t>
  </si>
  <si>
    <t>=IF(COUNTIFS(IuranDSSebelumnya!$J$330:$J$772,$K38,IuranDSSebelumnya!$M$330:$M$772,AW$11,IuranDSSebelumnya!$L$330:$L$772,$M$5)&gt;0,
        VLOOKUP(CONCATENATE($K38,"|",AW$11,"|",$M$5),IuranDSSebelumnya!$I$330:$N$772,5,FALSE),
        IF(COUNTIFS(IuranDSSebelumnya!$J$330:$J$772,$K38,IuranDSSebelumnya!$M$330:$M$772,AW$11,IuranDSSebelumnya!$L$330:$L$772,"&lt;&gt;"&amp;$M$5)&gt;0,
              "Iuran dari Lingkungan lain",
              ""))</t>
  </si>
  <si>
    <t>=IF(COUNTIFS(IuranDSSebelumnya!$J$330:$J$772,$K38,IuranDSSebelumnya!$M$330:$M$772,AX$11,IuranDSSebelumnya!$L$330:$L$772,$M$5)&gt;0,
        VLOOKUP(CONCATENATE($K38,"|",AX$11,"|",$M$5),IuranDSSebelumnya!$I$330:$N$772,5,FALSE),
        IF(COUNTIFS(IuranDSSebelumnya!$J$330:$J$772,$K38,IuranDSSebelumnya!$M$330:$M$772,AX$11,IuranDSSebelumnya!$L$330:$L$772,"&lt;&gt;"&amp;$M$5)&gt;0,
              "Iuran dari Lingkungan lain",
              ""))</t>
  </si>
  <si>
    <t>=IF(COUNTIFS(IuranDSSebelumnya!$J$330:$J$772,$K38,IuranDSSebelumnya!$M$330:$M$772,AY$11,IuranDSSebelumnya!$L$330:$L$772,$M$5)&gt;0,
        VLOOKUP(CONCATENATE($K38,"|",AY$11,"|",$M$5),IuranDSSebelumnya!$I$330:$N$772,5,FALSE),
        IF(COUNTIFS(IuranDSSebelumnya!$J$330:$J$772,$K38,IuranDSSebelumnya!$M$330:$M$772,AY$11,IuranDSSebelumnya!$L$330:$L$772,"&lt;&gt;"&amp;$M$5)&gt;0,
              "Iuran dari Lingkungan lain",
              ""))</t>
  </si>
  <si>
    <t>=IF(COUNTIFS(IuranDSSebelumnya!$J$330:$J$772,$K38,IuranDSSebelumnya!$M$330:$M$772,AZ$11,IuranDSSebelumnya!$L$330:$L$772,$M$5)&gt;0,
        VLOOKUP(CONCATENATE($K38,"|",AZ$11,"|",$M$5),IuranDSSebelumnya!$I$330:$N$772,5,FALSE),
        IF(COUNTIFS(IuranDSSebelumnya!$J$330:$J$772,$K38,IuranDSSebelumnya!$M$330:$M$772,AZ$11,IuranDSSebelumnya!$L$330:$L$772,"&lt;&gt;"&amp;$M$5)&gt;0,
              "Iuran dari Lingkungan lain",
              ""))</t>
  </si>
  <si>
    <t>=IF(COUNTIFS(IuranDSSebelumnya!$J$330:$J$772,$K38,IuranDSSebelumnya!$M$330:$M$772,BA$11,IuranDSSebelumnya!$L$330:$L$772,$M$5)&gt;0,
        VLOOKUP(CONCATENATE($K38,"|",BA$11,"|",$M$5),IuranDSSebelumnya!$I$330:$N$772,5,FALSE),
        IF(COUNTIFS(IuranDSSebelumnya!$J$330:$J$772,$K38,IuranDSSebelumnya!$M$330:$M$772,BA$11,IuranDSSebelumnya!$L$330:$L$772,"&lt;&gt;"&amp;$M$5)&gt;0,
              "Iuran dari Lingkungan lain",
              ""))</t>
  </si>
  <si>
    <t>=IF(COUNTIFS(IuranDSSebelumnya!$J$330:$J$772,$K38,IuranDSSebelumnya!$M$330:$M$772,BB$11,IuranDSSebelumnya!$L$330:$L$772,$M$5)&gt;0,
        VLOOKUP(CONCATENATE($K38,"|",BB$11,"|",$M$5),IuranDSSebelumnya!$I$330:$N$772,5,FALSE),
        IF(COUNTIFS(IuranDSSebelumnya!$J$330:$J$772,$K38,IuranDSSebelumnya!$M$330:$M$772,BB$11,IuranDSSebelumnya!$L$330:$L$772,"&lt;&gt;"&amp;$M$5)&gt;0,
              "Iuran dari Lingkungan lain",
              ""))</t>
  </si>
  <si>
    <t>=IF(COUNTIFS(IuranDSSebelumnya!$J$330:$J$772,$K38,IuranDSSebelumnya!$M$330:$M$772,BC$11,IuranDSSebelumnya!$L$330:$L$772,$M$5)&gt;0,
        VLOOKUP(CONCATENATE($K38,"|",BC$11,"|",$M$5),IuranDSSebelumnya!$I$330:$N$772,5,FALSE),
        IF(COUNTIFS(IuranDSSebelumnya!$J$330:$J$772,$K38,IuranDSSebelumnya!$M$330:$M$772,BC$11,IuranDSSebelumnya!$L$330:$L$772,"&lt;&gt;"&amp;$M$5)&gt;0,
              "Iuran dari Lingkungan lain",
              ""))</t>
  </si>
  <si>
    <t>=IF(COUNTIFS(IuranDSSebelumnya!$J$330:$J$772,$K38,IuranDSSebelumnya!$M$330:$M$772,BD$11,IuranDSSebelumnya!$L$330:$L$772,$M$5)&gt;0,
        VLOOKUP(CONCATENATE($K38,"|",BD$11,"|",$M$5),IuranDSSebelumnya!$I$330:$N$772,5,FALSE),
        IF(COUNTIFS(IuranDSSebelumnya!$J$330:$J$772,$K38,IuranDSSebelumnya!$M$330:$M$772,BD$11,IuranDSSebelumnya!$L$330:$L$772,"&lt;&gt;"&amp;$M$5)&gt;0,
              "Iuran dari Lingkungan lain",
              ""))</t>
  </si>
  <si>
    <t>=IF(COUNTIFS(IuranDSSebelumnya!$J$330:$J$772,$K38,IuranDSSebelumnya!$M$330:$M$772,BE$11,IuranDSSebelumnya!$L$330:$L$772,$M$5)&gt;0,
        VLOOKUP(CONCATENATE($K38,"|",BE$11,"|",$M$5),IuranDSSebelumnya!$I$330:$N$772,5,FALSE),
        IF(COUNTIFS(IuranDSSebelumnya!$J$330:$J$772,$K38,IuranDSSebelumnya!$M$330:$M$772,BE$11,IuranDSSebelumnya!$L$330:$L$772,"&lt;&gt;"&amp;$M$5)&gt;0,
              "Iuran dari Lingkungan lain",
              ""))</t>
  </si>
  <si>
    <t>=IF(COUNTIFS(IuranDSSebelumnya!$J$330:$J$772,$K38,IuranDSSebelumnya!$M$330:$M$772,BF$11,IuranDSSebelumnya!$L$330:$L$772,$M$5)&gt;0,
        VLOOKUP(CONCATENATE($K38,"|",BF$11,"|",$M$5),IuranDSSebelumnya!$I$330:$N$772,5,FALSE),
        IF(COUNTIFS(IuranDSSebelumnya!$J$330:$J$772,$K38,IuranDSSebelumnya!$M$330:$M$772,BF$11,IuranDSSebelumnya!$L$330:$L$772,"&lt;&gt;"&amp;$M$5)&gt;0,
              "Iuran dari Lingkungan lain",
              ""))</t>
  </si>
  <si>
    <t>=IF(COUNTIFS(IuranDSSebelumnya!$J$330:$J$772,$K38,IuranDSSebelumnya!$M$330:$M$772,BG$11,IuranDSSebelumnya!$L$330:$L$772,$M$5)&gt;0,
        VLOOKUP(CONCATENATE($K38,"|",BG$11,"|",$M$5),IuranDSSebelumnya!$I$330:$N$772,5,FALSE),
        IF(COUNTIFS(IuranDSSebelumnya!$J$330:$J$772,$K38,IuranDSSebelumnya!$M$330:$M$772,BG$11,IuranDSSebelumnya!$L$330:$L$772,"&lt;&gt;"&amp;$M$5)&gt;0,
              "Iuran dari Lingkungan lain",
              ""))</t>
  </si>
  <si>
    <t>=IF(COUNTIFS(IuranDSSebelumnya!$J$330:$J$772,$K38,IuranDSSebelumnya!$M$330:$M$772,BH$11,IuranDSSebelumnya!$L$330:$L$772,$M$5)&gt;0,
        VLOOKUP(CONCATENATE($K38,"|",BH$11,"|",$M$5),IuranDSSebelumnya!$I$330:$N$772,5,FALSE),
        IF(COUNTIFS(IuranDSSebelumnya!$J$330:$J$772,$K38,IuranDSSebelumnya!$M$330:$M$772,BH$11,IuranDSSebelumnya!$L$330:$L$772,"&lt;&gt;"&amp;$M$5)&gt;0,
              "Iuran dari Lingkungan lain",
              ""))</t>
  </si>
  <si>
    <t>=IF(COUNTIFS(IuranDSSebelumnya!$J$330:$J$772,$K38,IuranDSSebelumnya!$M$330:$M$772,BI$11,IuranDSSebelumnya!$L$330:$L$772,$M$5)&gt;0,
        VLOOKUP(CONCATENATE($K38,"|",BI$11,"|",$M$5),IuranDSSebelumnya!$I$330:$N$772,5,FALSE),
        IF(COUNTIFS(IuranDSSebelumnya!$J$330:$J$772,$K38,IuranDSSebelumnya!$M$330:$M$772,BI$11,IuranDSSebelumnya!$L$330:$L$772,"&lt;&gt;"&amp;$M$5)&gt;0,
              "Iuran dari Lingkungan lain",
              ""))</t>
  </si>
  <si>
    <t>=IF(COUNTIFS(IuranDSSebelumnya!$J$330:$J$772,$K38,IuranDSSebelumnya!$M$330:$M$772,BJ$11,IuranDSSebelumnya!$L$330:$L$772,$M$5)&gt;0,
        VLOOKUP(CONCATENATE($K38,"|",BJ$11,"|",$M$5),IuranDSSebelumnya!$I$330:$N$772,5,FALSE),
        IF(COUNTIFS(IuranDSSebelumnya!$J$330:$J$772,$K38,IuranDSSebelumnya!$M$330:$M$772,BJ$11,IuranDSSebelumnya!$L$330:$L$772,"&lt;&gt;"&amp;$M$5)&gt;0,
              "Iuran dari Lingkungan lain",
              ""))</t>
  </si>
  <si>
    <t>=IF(COUNTIFS(IuranDSSebelumnya!$J$330:$J$772,$K38,IuranDSSebelumnya!$M$330:$M$772,BK$11,IuranDSSebelumnya!$L$330:$L$772,$M$5)&gt;0,
        VLOOKUP(CONCATENATE($K38,"|",BK$11,"|",$M$5),IuranDSSebelumnya!$I$330:$N$772,5,FALSE),
        IF(COUNTIFS(IuranDSSebelumnya!$J$330:$J$772,$K38,IuranDSSebelumnya!$M$330:$M$772,BK$11,IuranDSSebelumnya!$L$330:$L$772,"&lt;&gt;"&amp;$M$5)&gt;0,
              "Iuran dari Lingkungan lain",
              ""))</t>
  </si>
  <si>
    <t>=IF(COUNTIFS(IuranDSSebelumnya!$J$330:$J$772,$K38,IuranDSSebelumnya!$M$330:$M$772,BL$11,IuranDSSebelumnya!$L$330:$L$772,$M$5)&gt;0,
        VLOOKUP(CONCATENATE($K38,"|",BL$11,"|",$M$5),IuranDSSebelumnya!$I$330:$N$772,5,FALSE),
        IF(COUNTIFS(IuranDSSebelumnya!$J$330:$J$772,$K38,IuranDSSebelumnya!$M$330:$M$772,BL$11,IuranDSSebelumnya!$L$330:$L$772,"&lt;&gt;"&amp;$M$5)&gt;0,
              "Iuran dari Lingkungan lain",
              ""))</t>
  </si>
  <si>
    <t>=CELL("row")=CELL("row",C39)</t>
  </si>
  <si>
    <t>="""TRUST Nav"",""HSPMTB2016"",""18"",""1"",""KK-04615"""</t>
  </si>
  <si>
    <t>=IF(AND($AL39=0,$J39=1)=TRUE,0,
        IF(AND($AL39&gt;0,$J39=1)=TRUE,1,
              IF(AND(H38=$H$12,$J39&gt;1)=TRUE,0,
                    IF(AND($AL39=0,$J39&gt;1),H38,
                         H38+1))))</t>
  </si>
  <si>
    <t>=IF(J38="No.",1,J38+1)</t>
  </si>
  <si>
    <t>=SUM(N39:AK39)</t>
  </si>
  <si>
    <t>=IF(COUNTIFS(IuranDSSebelumnya!$J$330:$J$772,$K39,IuranDSSebelumnya!$M$330:$M$772,AO$11,IuranDSSebelumnya!$L$330:$L$772,$M$5)&gt;0,
        VLOOKUP(CONCATENATE($K39,"|",AO$11,"|",$M$5),IuranDSSebelumnya!$I$330:$N$772,5,FALSE),
        IF(COUNTIFS(IuranDSSebelumnya!$J$330:$J$772,$K39,IuranDSSebelumnya!$M$330:$M$772,AO$11,IuranDSSebelumnya!$L$330:$L$772,"&lt;&gt;"&amp;$M$5)&gt;0,
              "Iuran dari Lingkungan lain",
              ""))</t>
  </si>
  <si>
    <t>=IF(COUNTIFS(IuranDSSebelumnya!$J$330:$J$772,$K39,IuranDSSebelumnya!$M$330:$M$772,AP$11,IuranDSSebelumnya!$L$330:$L$772,$M$5)&gt;0,
        VLOOKUP(CONCATENATE($K39,"|",AP$11,"|",$M$5),IuranDSSebelumnya!$I$330:$N$772,5,FALSE),
        IF(COUNTIFS(IuranDSSebelumnya!$J$330:$J$772,$K39,IuranDSSebelumnya!$M$330:$M$772,AP$11,IuranDSSebelumnya!$L$330:$L$772,"&lt;&gt;"&amp;$M$5)&gt;0,
              "Iuran dari Lingkungan lain",
              ""))</t>
  </si>
  <si>
    <t>=IF(COUNTIFS(IuranDSSebelumnya!$J$330:$J$772,$K39,IuranDSSebelumnya!$M$330:$M$772,AQ$11,IuranDSSebelumnya!$L$330:$L$772,$M$5)&gt;0,
        VLOOKUP(CONCATENATE($K39,"|",AQ$11,"|",$M$5),IuranDSSebelumnya!$I$330:$N$772,5,FALSE),
        IF(COUNTIFS(IuranDSSebelumnya!$J$330:$J$772,$K39,IuranDSSebelumnya!$M$330:$M$772,AQ$11,IuranDSSebelumnya!$L$330:$L$772,"&lt;&gt;"&amp;$M$5)&gt;0,
              "Iuran dari Lingkungan lain",
              ""))</t>
  </si>
  <si>
    <t>=IF(COUNTIFS(IuranDSSebelumnya!$J$330:$J$772,$K39,IuranDSSebelumnya!$M$330:$M$772,AR$11,IuranDSSebelumnya!$L$330:$L$772,$M$5)&gt;0,
        VLOOKUP(CONCATENATE($K39,"|",AR$11,"|",$M$5),IuranDSSebelumnya!$I$330:$N$772,5,FALSE),
        IF(COUNTIFS(IuranDSSebelumnya!$J$330:$J$772,$K39,IuranDSSebelumnya!$M$330:$M$772,AR$11,IuranDSSebelumnya!$L$330:$L$772,"&lt;&gt;"&amp;$M$5)&gt;0,
              "Iuran dari Lingkungan lain",
              ""))</t>
  </si>
  <si>
    <t>=IF(COUNTIFS(IuranDSSebelumnya!$J$330:$J$772,$K39,IuranDSSebelumnya!$M$330:$M$772,AS$11,IuranDSSebelumnya!$L$330:$L$772,$M$5)&gt;0,
        VLOOKUP(CONCATENATE($K39,"|",AS$11,"|",$M$5),IuranDSSebelumnya!$I$330:$N$772,5,FALSE),
        IF(COUNTIFS(IuranDSSebelumnya!$J$330:$J$772,$K39,IuranDSSebelumnya!$M$330:$M$772,AS$11,IuranDSSebelumnya!$L$330:$L$772,"&lt;&gt;"&amp;$M$5)&gt;0,
              "Iuran dari Lingkungan lain",
              ""))</t>
  </si>
  <si>
    <t>=IF(COUNTIFS(IuranDSSebelumnya!$J$330:$J$772,$K39,IuranDSSebelumnya!$M$330:$M$772,AT$11,IuranDSSebelumnya!$L$330:$L$772,$M$5)&gt;0,
        VLOOKUP(CONCATENATE($K39,"|",AT$11,"|",$M$5),IuranDSSebelumnya!$I$330:$N$772,5,FALSE),
        IF(COUNTIFS(IuranDSSebelumnya!$J$330:$J$772,$K39,IuranDSSebelumnya!$M$330:$M$772,AT$11,IuranDSSebelumnya!$L$330:$L$772,"&lt;&gt;"&amp;$M$5)&gt;0,
              "Iuran dari Lingkungan lain",
              ""))</t>
  </si>
  <si>
    <t>=IF(COUNTIFS(IuranDSSebelumnya!$J$330:$J$772,$K39,IuranDSSebelumnya!$M$330:$M$772,AU$11,IuranDSSebelumnya!$L$330:$L$772,$M$5)&gt;0,
        VLOOKUP(CONCATENATE($K39,"|",AU$11,"|",$M$5),IuranDSSebelumnya!$I$330:$N$772,5,FALSE),
        IF(COUNTIFS(IuranDSSebelumnya!$J$330:$J$772,$K39,IuranDSSebelumnya!$M$330:$M$772,AU$11,IuranDSSebelumnya!$L$330:$L$772,"&lt;&gt;"&amp;$M$5)&gt;0,
              "Iuran dari Lingkungan lain",
              ""))</t>
  </si>
  <si>
    <t>=IF(COUNTIFS(IuranDSSebelumnya!$J$330:$J$772,$K39,IuranDSSebelumnya!$M$330:$M$772,AV$11,IuranDSSebelumnya!$L$330:$L$772,$M$5)&gt;0,
        VLOOKUP(CONCATENATE($K39,"|",AV$11,"|",$M$5),IuranDSSebelumnya!$I$330:$N$772,5,FALSE),
        IF(COUNTIFS(IuranDSSebelumnya!$J$330:$J$772,$K39,IuranDSSebelumnya!$M$330:$M$772,AV$11,IuranDSSebelumnya!$L$330:$L$772,"&lt;&gt;"&amp;$M$5)&gt;0,
              "Iuran dari Lingkungan lain",
              ""))</t>
  </si>
  <si>
    <t>=IF(COUNTIFS(IuranDSSebelumnya!$J$330:$J$772,$K39,IuranDSSebelumnya!$M$330:$M$772,AW$11,IuranDSSebelumnya!$L$330:$L$772,$M$5)&gt;0,
        VLOOKUP(CONCATENATE($K39,"|",AW$11,"|",$M$5),IuranDSSebelumnya!$I$330:$N$772,5,FALSE),
        IF(COUNTIFS(IuranDSSebelumnya!$J$330:$J$772,$K39,IuranDSSebelumnya!$M$330:$M$772,AW$11,IuranDSSebelumnya!$L$330:$L$772,"&lt;&gt;"&amp;$M$5)&gt;0,
              "Iuran dari Lingkungan lain",
              ""))</t>
  </si>
  <si>
    <t>=IF(COUNTIFS(IuranDSSebelumnya!$J$330:$J$772,$K39,IuranDSSebelumnya!$M$330:$M$772,AX$11,IuranDSSebelumnya!$L$330:$L$772,$M$5)&gt;0,
        VLOOKUP(CONCATENATE($K39,"|",AX$11,"|",$M$5),IuranDSSebelumnya!$I$330:$N$772,5,FALSE),
        IF(COUNTIFS(IuranDSSebelumnya!$J$330:$J$772,$K39,IuranDSSebelumnya!$M$330:$M$772,AX$11,IuranDSSebelumnya!$L$330:$L$772,"&lt;&gt;"&amp;$M$5)&gt;0,
              "Iuran dari Lingkungan lain",
              ""))</t>
  </si>
  <si>
    <t>=IF(COUNTIFS(IuranDSSebelumnya!$J$330:$J$772,$K39,IuranDSSebelumnya!$M$330:$M$772,AY$11,IuranDSSebelumnya!$L$330:$L$772,$M$5)&gt;0,
        VLOOKUP(CONCATENATE($K39,"|",AY$11,"|",$M$5),IuranDSSebelumnya!$I$330:$N$772,5,FALSE),
        IF(COUNTIFS(IuranDSSebelumnya!$J$330:$J$772,$K39,IuranDSSebelumnya!$M$330:$M$772,AY$11,IuranDSSebelumnya!$L$330:$L$772,"&lt;&gt;"&amp;$M$5)&gt;0,
              "Iuran dari Lingkungan lain",
              ""))</t>
  </si>
  <si>
    <t>=IF(COUNTIFS(IuranDSSebelumnya!$J$330:$J$772,$K39,IuranDSSebelumnya!$M$330:$M$772,AZ$11,IuranDSSebelumnya!$L$330:$L$772,$M$5)&gt;0,
        VLOOKUP(CONCATENATE($K39,"|",AZ$11,"|",$M$5),IuranDSSebelumnya!$I$330:$N$772,5,FALSE),
        IF(COUNTIFS(IuranDSSebelumnya!$J$330:$J$772,$K39,IuranDSSebelumnya!$M$330:$M$772,AZ$11,IuranDSSebelumnya!$L$330:$L$772,"&lt;&gt;"&amp;$M$5)&gt;0,
              "Iuran dari Lingkungan lain",
              ""))</t>
  </si>
  <si>
    <t>=IF(COUNTIFS(IuranDSSebelumnya!$J$330:$J$772,$K39,IuranDSSebelumnya!$M$330:$M$772,BA$11,IuranDSSebelumnya!$L$330:$L$772,$M$5)&gt;0,
        VLOOKUP(CONCATENATE($K39,"|",BA$11,"|",$M$5),IuranDSSebelumnya!$I$330:$N$772,5,FALSE),
        IF(COUNTIFS(IuranDSSebelumnya!$J$330:$J$772,$K39,IuranDSSebelumnya!$M$330:$M$772,BA$11,IuranDSSebelumnya!$L$330:$L$772,"&lt;&gt;"&amp;$M$5)&gt;0,
              "Iuran dari Lingkungan lain",
              ""))</t>
  </si>
  <si>
    <t>=IF(COUNTIFS(IuranDSSebelumnya!$J$330:$J$772,$K39,IuranDSSebelumnya!$M$330:$M$772,BB$11,IuranDSSebelumnya!$L$330:$L$772,$M$5)&gt;0,
        VLOOKUP(CONCATENATE($K39,"|",BB$11,"|",$M$5),IuranDSSebelumnya!$I$330:$N$772,5,FALSE),
        IF(COUNTIFS(IuranDSSebelumnya!$J$330:$J$772,$K39,IuranDSSebelumnya!$M$330:$M$772,BB$11,IuranDSSebelumnya!$L$330:$L$772,"&lt;&gt;"&amp;$M$5)&gt;0,
              "Iuran dari Lingkungan lain",
              ""))</t>
  </si>
  <si>
    <t>=IF(COUNTIFS(IuranDSSebelumnya!$J$330:$J$772,$K39,IuranDSSebelumnya!$M$330:$M$772,BC$11,IuranDSSebelumnya!$L$330:$L$772,$M$5)&gt;0,
        VLOOKUP(CONCATENATE($K39,"|",BC$11,"|",$M$5),IuranDSSebelumnya!$I$330:$N$772,5,FALSE),
        IF(COUNTIFS(IuranDSSebelumnya!$J$330:$J$772,$K39,IuranDSSebelumnya!$M$330:$M$772,BC$11,IuranDSSebelumnya!$L$330:$L$772,"&lt;&gt;"&amp;$M$5)&gt;0,
              "Iuran dari Lingkungan lain",
              ""))</t>
  </si>
  <si>
    <t>=IF(COUNTIFS(IuranDSSebelumnya!$J$330:$J$772,$K39,IuranDSSebelumnya!$M$330:$M$772,BD$11,IuranDSSebelumnya!$L$330:$L$772,$M$5)&gt;0,
        VLOOKUP(CONCATENATE($K39,"|",BD$11,"|",$M$5),IuranDSSebelumnya!$I$330:$N$772,5,FALSE),
        IF(COUNTIFS(IuranDSSebelumnya!$J$330:$J$772,$K39,IuranDSSebelumnya!$M$330:$M$772,BD$11,IuranDSSebelumnya!$L$330:$L$772,"&lt;&gt;"&amp;$M$5)&gt;0,
              "Iuran dari Lingkungan lain",
              ""))</t>
  </si>
  <si>
    <t>=IF(COUNTIFS(IuranDSSebelumnya!$J$330:$J$772,$K39,IuranDSSebelumnya!$M$330:$M$772,BE$11,IuranDSSebelumnya!$L$330:$L$772,$M$5)&gt;0,
        VLOOKUP(CONCATENATE($K39,"|",BE$11,"|",$M$5),IuranDSSebelumnya!$I$330:$N$772,5,FALSE),
        IF(COUNTIFS(IuranDSSebelumnya!$J$330:$J$772,$K39,IuranDSSebelumnya!$M$330:$M$772,BE$11,IuranDSSebelumnya!$L$330:$L$772,"&lt;&gt;"&amp;$M$5)&gt;0,
              "Iuran dari Lingkungan lain",
              ""))</t>
  </si>
  <si>
    <t>=IF(COUNTIFS(IuranDSSebelumnya!$J$330:$J$772,$K39,IuranDSSebelumnya!$M$330:$M$772,BF$11,IuranDSSebelumnya!$L$330:$L$772,$M$5)&gt;0,
        VLOOKUP(CONCATENATE($K39,"|",BF$11,"|",$M$5),IuranDSSebelumnya!$I$330:$N$772,5,FALSE),
        IF(COUNTIFS(IuranDSSebelumnya!$J$330:$J$772,$K39,IuranDSSebelumnya!$M$330:$M$772,BF$11,IuranDSSebelumnya!$L$330:$L$772,"&lt;&gt;"&amp;$M$5)&gt;0,
              "Iuran dari Lingkungan lain",
              ""))</t>
  </si>
  <si>
    <t>=IF(COUNTIFS(IuranDSSebelumnya!$J$330:$J$772,$K39,IuranDSSebelumnya!$M$330:$M$772,BG$11,IuranDSSebelumnya!$L$330:$L$772,$M$5)&gt;0,
        VLOOKUP(CONCATENATE($K39,"|",BG$11,"|",$M$5),IuranDSSebelumnya!$I$330:$N$772,5,FALSE),
        IF(COUNTIFS(IuranDSSebelumnya!$J$330:$J$772,$K39,IuranDSSebelumnya!$M$330:$M$772,BG$11,IuranDSSebelumnya!$L$330:$L$772,"&lt;&gt;"&amp;$M$5)&gt;0,
              "Iuran dari Lingkungan lain",
              ""))</t>
  </si>
  <si>
    <t>=IF(COUNTIFS(IuranDSSebelumnya!$J$330:$J$772,$K39,IuranDSSebelumnya!$M$330:$M$772,BH$11,IuranDSSebelumnya!$L$330:$L$772,$M$5)&gt;0,
        VLOOKUP(CONCATENATE($K39,"|",BH$11,"|",$M$5),IuranDSSebelumnya!$I$330:$N$772,5,FALSE),
        IF(COUNTIFS(IuranDSSebelumnya!$J$330:$J$772,$K39,IuranDSSebelumnya!$M$330:$M$772,BH$11,IuranDSSebelumnya!$L$330:$L$772,"&lt;&gt;"&amp;$M$5)&gt;0,
              "Iuran dari Lingkungan lain",
              ""))</t>
  </si>
  <si>
    <t>=IF(COUNTIFS(IuranDSSebelumnya!$J$330:$J$772,$K39,IuranDSSebelumnya!$M$330:$M$772,BI$11,IuranDSSebelumnya!$L$330:$L$772,$M$5)&gt;0,
        VLOOKUP(CONCATENATE($K39,"|",BI$11,"|",$M$5),IuranDSSebelumnya!$I$330:$N$772,5,FALSE),
        IF(COUNTIFS(IuranDSSebelumnya!$J$330:$J$772,$K39,IuranDSSebelumnya!$M$330:$M$772,BI$11,IuranDSSebelumnya!$L$330:$L$772,"&lt;&gt;"&amp;$M$5)&gt;0,
              "Iuran dari Lingkungan lain",
              ""))</t>
  </si>
  <si>
    <t>=IF(COUNTIFS(IuranDSSebelumnya!$J$330:$J$772,$K39,IuranDSSebelumnya!$M$330:$M$772,BJ$11,IuranDSSebelumnya!$L$330:$L$772,$M$5)&gt;0,
        VLOOKUP(CONCATENATE($K39,"|",BJ$11,"|",$M$5),IuranDSSebelumnya!$I$330:$N$772,5,FALSE),
        IF(COUNTIFS(IuranDSSebelumnya!$J$330:$J$772,$K39,IuranDSSebelumnya!$M$330:$M$772,BJ$11,IuranDSSebelumnya!$L$330:$L$772,"&lt;&gt;"&amp;$M$5)&gt;0,
              "Iuran dari Lingkungan lain",
              ""))</t>
  </si>
  <si>
    <t>=IF(COUNTIFS(IuranDSSebelumnya!$J$330:$J$772,$K39,IuranDSSebelumnya!$M$330:$M$772,BK$11,IuranDSSebelumnya!$L$330:$L$772,$M$5)&gt;0,
        VLOOKUP(CONCATENATE($K39,"|",BK$11,"|",$M$5),IuranDSSebelumnya!$I$330:$N$772,5,FALSE),
        IF(COUNTIFS(IuranDSSebelumnya!$J$330:$J$772,$K39,IuranDSSebelumnya!$M$330:$M$772,BK$11,IuranDSSebelumnya!$L$330:$L$772,"&lt;&gt;"&amp;$M$5)&gt;0,
              "Iuran dari Lingkungan lain",
              ""))</t>
  </si>
  <si>
    <t>=IF(COUNTIFS(IuranDSSebelumnya!$J$330:$J$772,$K39,IuranDSSebelumnya!$M$330:$M$772,BL$11,IuranDSSebelumnya!$L$330:$L$772,$M$5)&gt;0,
        VLOOKUP(CONCATENATE($K39,"|",BL$11,"|",$M$5),IuranDSSebelumnya!$I$330:$N$772,5,FALSE),
        IF(COUNTIFS(IuranDSSebelumnya!$J$330:$J$772,$K39,IuranDSSebelumnya!$M$330:$M$772,BL$11,IuranDSSebelumnya!$L$330:$L$772,"&lt;&gt;"&amp;$M$5)&gt;0,
              "Iuran dari Lingkungan lain",
              ""))</t>
  </si>
  <si>
    <t>=CELL("row")=CELL("row",C40)</t>
  </si>
  <si>
    <t>="""TRUST Nav"",""HSPMTB2016"",""18"",""1"",""KK-05045"""</t>
  </si>
  <si>
    <t>=IF(AND($AL40=0,$J40=1)=TRUE,0,
        IF(AND($AL40&gt;0,$J40=1)=TRUE,1,
              IF(AND(H39=$H$12,$J40&gt;1)=TRUE,0,
                    IF(AND($AL40=0,$J40&gt;1),H39,
                         H39+1))))</t>
  </si>
  <si>
    <t>=IF(J39="No.",1,J39+1)</t>
  </si>
  <si>
    <t>=SUM(N40:AK40)</t>
  </si>
  <si>
    <t>=IF(COUNTIFS(IuranDSSebelumnya!$J$330:$J$772,$K40,IuranDSSebelumnya!$M$330:$M$772,AO$11,IuranDSSebelumnya!$L$330:$L$772,$M$5)&gt;0,
        VLOOKUP(CONCATENATE($K40,"|",AO$11,"|",$M$5),IuranDSSebelumnya!$I$330:$N$772,5,FALSE),
        IF(COUNTIFS(IuranDSSebelumnya!$J$330:$J$772,$K40,IuranDSSebelumnya!$M$330:$M$772,AO$11,IuranDSSebelumnya!$L$330:$L$772,"&lt;&gt;"&amp;$M$5)&gt;0,
              "Iuran dari Lingkungan lain",
              ""))</t>
  </si>
  <si>
    <t>=IF(COUNTIFS(IuranDSSebelumnya!$J$330:$J$772,$K40,IuranDSSebelumnya!$M$330:$M$772,AP$11,IuranDSSebelumnya!$L$330:$L$772,$M$5)&gt;0,
        VLOOKUP(CONCATENATE($K40,"|",AP$11,"|",$M$5),IuranDSSebelumnya!$I$330:$N$772,5,FALSE),
        IF(COUNTIFS(IuranDSSebelumnya!$J$330:$J$772,$K40,IuranDSSebelumnya!$M$330:$M$772,AP$11,IuranDSSebelumnya!$L$330:$L$772,"&lt;&gt;"&amp;$M$5)&gt;0,
              "Iuran dari Lingkungan lain",
              ""))</t>
  </si>
  <si>
    <t>=IF(COUNTIFS(IuranDSSebelumnya!$J$330:$J$772,$K40,IuranDSSebelumnya!$M$330:$M$772,AQ$11,IuranDSSebelumnya!$L$330:$L$772,$M$5)&gt;0,
        VLOOKUP(CONCATENATE($K40,"|",AQ$11,"|",$M$5),IuranDSSebelumnya!$I$330:$N$772,5,FALSE),
        IF(COUNTIFS(IuranDSSebelumnya!$J$330:$J$772,$K40,IuranDSSebelumnya!$M$330:$M$772,AQ$11,IuranDSSebelumnya!$L$330:$L$772,"&lt;&gt;"&amp;$M$5)&gt;0,
              "Iuran dari Lingkungan lain",
              ""))</t>
  </si>
  <si>
    <t>=IF(COUNTIFS(IuranDSSebelumnya!$J$330:$J$772,$K40,IuranDSSebelumnya!$M$330:$M$772,AR$11,IuranDSSebelumnya!$L$330:$L$772,$M$5)&gt;0,
        VLOOKUP(CONCATENATE($K40,"|",AR$11,"|",$M$5),IuranDSSebelumnya!$I$330:$N$772,5,FALSE),
        IF(COUNTIFS(IuranDSSebelumnya!$J$330:$J$772,$K40,IuranDSSebelumnya!$M$330:$M$772,AR$11,IuranDSSebelumnya!$L$330:$L$772,"&lt;&gt;"&amp;$M$5)&gt;0,
              "Iuran dari Lingkungan lain",
              ""))</t>
  </si>
  <si>
    <t>=IF(COUNTIFS(IuranDSSebelumnya!$J$330:$J$772,$K40,IuranDSSebelumnya!$M$330:$M$772,AS$11,IuranDSSebelumnya!$L$330:$L$772,$M$5)&gt;0,
        VLOOKUP(CONCATENATE($K40,"|",AS$11,"|",$M$5),IuranDSSebelumnya!$I$330:$N$772,5,FALSE),
        IF(COUNTIFS(IuranDSSebelumnya!$J$330:$J$772,$K40,IuranDSSebelumnya!$M$330:$M$772,AS$11,IuranDSSebelumnya!$L$330:$L$772,"&lt;&gt;"&amp;$M$5)&gt;0,
              "Iuran dari Lingkungan lain",
              ""))</t>
  </si>
  <si>
    <t>=IF(COUNTIFS(IuranDSSebelumnya!$J$330:$J$772,$K40,IuranDSSebelumnya!$M$330:$M$772,AT$11,IuranDSSebelumnya!$L$330:$L$772,$M$5)&gt;0,
        VLOOKUP(CONCATENATE($K40,"|",AT$11,"|",$M$5),IuranDSSebelumnya!$I$330:$N$772,5,FALSE),
        IF(COUNTIFS(IuranDSSebelumnya!$J$330:$J$772,$K40,IuranDSSebelumnya!$M$330:$M$772,AT$11,IuranDSSebelumnya!$L$330:$L$772,"&lt;&gt;"&amp;$M$5)&gt;0,
              "Iuran dari Lingkungan lain",
              ""))</t>
  </si>
  <si>
    <t>=IF(COUNTIFS(IuranDSSebelumnya!$J$330:$J$772,$K40,IuranDSSebelumnya!$M$330:$M$772,AU$11,IuranDSSebelumnya!$L$330:$L$772,$M$5)&gt;0,
        VLOOKUP(CONCATENATE($K40,"|",AU$11,"|",$M$5),IuranDSSebelumnya!$I$330:$N$772,5,FALSE),
        IF(COUNTIFS(IuranDSSebelumnya!$J$330:$J$772,$K40,IuranDSSebelumnya!$M$330:$M$772,AU$11,IuranDSSebelumnya!$L$330:$L$772,"&lt;&gt;"&amp;$M$5)&gt;0,
              "Iuran dari Lingkungan lain",
              ""))</t>
  </si>
  <si>
    <t>=IF(COUNTIFS(IuranDSSebelumnya!$J$330:$J$772,$K40,IuranDSSebelumnya!$M$330:$M$772,AV$11,IuranDSSebelumnya!$L$330:$L$772,$M$5)&gt;0,
        VLOOKUP(CONCATENATE($K40,"|",AV$11,"|",$M$5),IuranDSSebelumnya!$I$330:$N$772,5,FALSE),
        IF(COUNTIFS(IuranDSSebelumnya!$J$330:$J$772,$K40,IuranDSSebelumnya!$M$330:$M$772,AV$11,IuranDSSebelumnya!$L$330:$L$772,"&lt;&gt;"&amp;$M$5)&gt;0,
              "Iuran dari Lingkungan lain",
              ""))</t>
  </si>
  <si>
    <t>=IF(COUNTIFS(IuranDSSebelumnya!$J$330:$J$772,$K40,IuranDSSebelumnya!$M$330:$M$772,AW$11,IuranDSSebelumnya!$L$330:$L$772,$M$5)&gt;0,
        VLOOKUP(CONCATENATE($K40,"|",AW$11,"|",$M$5),IuranDSSebelumnya!$I$330:$N$772,5,FALSE),
        IF(COUNTIFS(IuranDSSebelumnya!$J$330:$J$772,$K40,IuranDSSebelumnya!$M$330:$M$772,AW$11,IuranDSSebelumnya!$L$330:$L$772,"&lt;&gt;"&amp;$M$5)&gt;0,
              "Iuran dari Lingkungan lain",
              ""))</t>
  </si>
  <si>
    <t>=IF(COUNTIFS(IuranDSSebelumnya!$J$330:$J$772,$K40,IuranDSSebelumnya!$M$330:$M$772,AX$11,IuranDSSebelumnya!$L$330:$L$772,$M$5)&gt;0,
        VLOOKUP(CONCATENATE($K40,"|",AX$11,"|",$M$5),IuranDSSebelumnya!$I$330:$N$772,5,FALSE),
        IF(COUNTIFS(IuranDSSebelumnya!$J$330:$J$772,$K40,IuranDSSebelumnya!$M$330:$M$772,AX$11,IuranDSSebelumnya!$L$330:$L$772,"&lt;&gt;"&amp;$M$5)&gt;0,
              "Iuran dari Lingkungan lain",
              ""))</t>
  </si>
  <si>
    <t>=IF(COUNTIFS(IuranDSSebelumnya!$J$330:$J$772,$K40,IuranDSSebelumnya!$M$330:$M$772,AY$11,IuranDSSebelumnya!$L$330:$L$772,$M$5)&gt;0,
        VLOOKUP(CONCATENATE($K40,"|",AY$11,"|",$M$5),IuranDSSebelumnya!$I$330:$N$772,5,FALSE),
        IF(COUNTIFS(IuranDSSebelumnya!$J$330:$J$772,$K40,IuranDSSebelumnya!$M$330:$M$772,AY$11,IuranDSSebelumnya!$L$330:$L$772,"&lt;&gt;"&amp;$M$5)&gt;0,
              "Iuran dari Lingkungan lain",
              ""))</t>
  </si>
  <si>
    <t>=IF(COUNTIFS(IuranDSSebelumnya!$J$330:$J$772,$K40,IuranDSSebelumnya!$M$330:$M$772,AZ$11,IuranDSSebelumnya!$L$330:$L$772,$M$5)&gt;0,
        VLOOKUP(CONCATENATE($K40,"|",AZ$11,"|",$M$5),IuranDSSebelumnya!$I$330:$N$772,5,FALSE),
        IF(COUNTIFS(IuranDSSebelumnya!$J$330:$J$772,$K40,IuranDSSebelumnya!$M$330:$M$772,AZ$11,IuranDSSebelumnya!$L$330:$L$772,"&lt;&gt;"&amp;$M$5)&gt;0,
              "Iuran dari Lingkungan lain",
              ""))</t>
  </si>
  <si>
    <t>=IF(COUNTIFS(IuranDSSebelumnya!$J$330:$J$772,$K40,IuranDSSebelumnya!$M$330:$M$772,BA$11,IuranDSSebelumnya!$L$330:$L$772,$M$5)&gt;0,
        VLOOKUP(CONCATENATE($K40,"|",BA$11,"|",$M$5),IuranDSSebelumnya!$I$330:$N$772,5,FALSE),
        IF(COUNTIFS(IuranDSSebelumnya!$J$330:$J$772,$K40,IuranDSSebelumnya!$M$330:$M$772,BA$11,IuranDSSebelumnya!$L$330:$L$772,"&lt;&gt;"&amp;$M$5)&gt;0,
              "Iuran dari Lingkungan lain",
              ""))</t>
  </si>
  <si>
    <t>=IF(COUNTIFS(IuranDSSebelumnya!$J$330:$J$772,$K40,IuranDSSebelumnya!$M$330:$M$772,BB$11,IuranDSSebelumnya!$L$330:$L$772,$M$5)&gt;0,
        VLOOKUP(CONCATENATE($K40,"|",BB$11,"|",$M$5),IuranDSSebelumnya!$I$330:$N$772,5,FALSE),
        IF(COUNTIFS(IuranDSSebelumnya!$J$330:$J$772,$K40,IuranDSSebelumnya!$M$330:$M$772,BB$11,IuranDSSebelumnya!$L$330:$L$772,"&lt;&gt;"&amp;$M$5)&gt;0,
              "Iuran dari Lingkungan lain",
              ""))</t>
  </si>
  <si>
    <t>=IF(COUNTIFS(IuranDSSebelumnya!$J$330:$J$772,$K40,IuranDSSebelumnya!$M$330:$M$772,BC$11,IuranDSSebelumnya!$L$330:$L$772,$M$5)&gt;0,
        VLOOKUP(CONCATENATE($K40,"|",BC$11,"|",$M$5),IuranDSSebelumnya!$I$330:$N$772,5,FALSE),
        IF(COUNTIFS(IuranDSSebelumnya!$J$330:$J$772,$K40,IuranDSSebelumnya!$M$330:$M$772,BC$11,IuranDSSebelumnya!$L$330:$L$772,"&lt;&gt;"&amp;$M$5)&gt;0,
              "Iuran dari Lingkungan lain",
              ""))</t>
  </si>
  <si>
    <t>=IF(COUNTIFS(IuranDSSebelumnya!$J$330:$J$772,$K40,IuranDSSebelumnya!$M$330:$M$772,BD$11,IuranDSSebelumnya!$L$330:$L$772,$M$5)&gt;0,
        VLOOKUP(CONCATENATE($K40,"|",BD$11,"|",$M$5),IuranDSSebelumnya!$I$330:$N$772,5,FALSE),
        IF(COUNTIFS(IuranDSSebelumnya!$J$330:$J$772,$K40,IuranDSSebelumnya!$M$330:$M$772,BD$11,IuranDSSebelumnya!$L$330:$L$772,"&lt;&gt;"&amp;$M$5)&gt;0,
              "Iuran dari Lingkungan lain",
              ""))</t>
  </si>
  <si>
    <t>=IF(COUNTIFS(IuranDSSebelumnya!$J$330:$J$772,$K40,IuranDSSebelumnya!$M$330:$M$772,BE$11,IuranDSSebelumnya!$L$330:$L$772,$M$5)&gt;0,
        VLOOKUP(CONCATENATE($K40,"|",BE$11,"|",$M$5),IuranDSSebelumnya!$I$330:$N$772,5,FALSE),
        IF(COUNTIFS(IuranDSSebelumnya!$J$330:$J$772,$K40,IuranDSSebelumnya!$M$330:$M$772,BE$11,IuranDSSebelumnya!$L$330:$L$772,"&lt;&gt;"&amp;$M$5)&gt;0,
              "Iuran dari Lingkungan lain",
              ""))</t>
  </si>
  <si>
    <t>=IF(COUNTIFS(IuranDSSebelumnya!$J$330:$J$772,$K40,IuranDSSebelumnya!$M$330:$M$772,BF$11,IuranDSSebelumnya!$L$330:$L$772,$M$5)&gt;0,
        VLOOKUP(CONCATENATE($K40,"|",BF$11,"|",$M$5),IuranDSSebelumnya!$I$330:$N$772,5,FALSE),
        IF(COUNTIFS(IuranDSSebelumnya!$J$330:$J$772,$K40,IuranDSSebelumnya!$M$330:$M$772,BF$11,IuranDSSebelumnya!$L$330:$L$772,"&lt;&gt;"&amp;$M$5)&gt;0,
              "Iuran dari Lingkungan lain",
              ""))</t>
  </si>
  <si>
    <t>=IF(COUNTIFS(IuranDSSebelumnya!$J$330:$J$772,$K40,IuranDSSebelumnya!$M$330:$M$772,BG$11,IuranDSSebelumnya!$L$330:$L$772,$M$5)&gt;0,
        VLOOKUP(CONCATENATE($K40,"|",BG$11,"|",$M$5),IuranDSSebelumnya!$I$330:$N$772,5,FALSE),
        IF(COUNTIFS(IuranDSSebelumnya!$J$330:$J$772,$K40,IuranDSSebelumnya!$M$330:$M$772,BG$11,IuranDSSebelumnya!$L$330:$L$772,"&lt;&gt;"&amp;$M$5)&gt;0,
              "Iuran dari Lingkungan lain",
              ""))</t>
  </si>
  <si>
    <t>=IF(COUNTIFS(IuranDSSebelumnya!$J$330:$J$772,$K40,IuranDSSebelumnya!$M$330:$M$772,BH$11,IuranDSSebelumnya!$L$330:$L$772,$M$5)&gt;0,
        VLOOKUP(CONCATENATE($K40,"|",BH$11,"|",$M$5),IuranDSSebelumnya!$I$330:$N$772,5,FALSE),
        IF(COUNTIFS(IuranDSSebelumnya!$J$330:$J$772,$K40,IuranDSSebelumnya!$M$330:$M$772,BH$11,IuranDSSebelumnya!$L$330:$L$772,"&lt;&gt;"&amp;$M$5)&gt;0,
              "Iuran dari Lingkungan lain",
              ""))</t>
  </si>
  <si>
    <t>=IF(COUNTIFS(IuranDSSebelumnya!$J$330:$J$772,$K40,IuranDSSebelumnya!$M$330:$M$772,BI$11,IuranDSSebelumnya!$L$330:$L$772,$M$5)&gt;0,
        VLOOKUP(CONCATENATE($K40,"|",BI$11,"|",$M$5),IuranDSSebelumnya!$I$330:$N$772,5,FALSE),
        IF(COUNTIFS(IuranDSSebelumnya!$J$330:$J$772,$K40,IuranDSSebelumnya!$M$330:$M$772,BI$11,IuranDSSebelumnya!$L$330:$L$772,"&lt;&gt;"&amp;$M$5)&gt;0,
              "Iuran dari Lingkungan lain",
              ""))</t>
  </si>
  <si>
    <t>=IF(COUNTIFS(IuranDSSebelumnya!$J$330:$J$772,$K40,IuranDSSebelumnya!$M$330:$M$772,BJ$11,IuranDSSebelumnya!$L$330:$L$772,$M$5)&gt;0,
        VLOOKUP(CONCATENATE($K40,"|",BJ$11,"|",$M$5),IuranDSSebelumnya!$I$330:$N$772,5,FALSE),
        IF(COUNTIFS(IuranDSSebelumnya!$J$330:$J$772,$K40,IuranDSSebelumnya!$M$330:$M$772,BJ$11,IuranDSSebelumnya!$L$330:$L$772,"&lt;&gt;"&amp;$M$5)&gt;0,
              "Iuran dari Lingkungan lain",
              ""))</t>
  </si>
  <si>
    <t>=IF(COUNTIFS(IuranDSSebelumnya!$J$330:$J$772,$K40,IuranDSSebelumnya!$M$330:$M$772,BK$11,IuranDSSebelumnya!$L$330:$L$772,$M$5)&gt;0,
        VLOOKUP(CONCATENATE($K40,"|",BK$11,"|",$M$5),IuranDSSebelumnya!$I$330:$N$772,5,FALSE),
        IF(COUNTIFS(IuranDSSebelumnya!$J$330:$J$772,$K40,IuranDSSebelumnya!$M$330:$M$772,BK$11,IuranDSSebelumnya!$L$330:$L$772,"&lt;&gt;"&amp;$M$5)&gt;0,
              "Iuran dari Lingkungan lain",
              ""))</t>
  </si>
  <si>
    <t>=IF(COUNTIFS(IuranDSSebelumnya!$J$330:$J$772,$K40,IuranDSSebelumnya!$M$330:$M$772,BL$11,IuranDSSebelumnya!$L$330:$L$772,$M$5)&gt;0,
        VLOOKUP(CONCATENATE($K40,"|",BL$11,"|",$M$5),IuranDSSebelumnya!$I$330:$N$772,5,FALSE),
        IF(COUNTIFS(IuranDSSebelumnya!$J$330:$J$772,$K40,IuranDSSebelumnya!$M$330:$M$772,BL$11,IuranDSSebelumnya!$L$330:$L$772,"&lt;&gt;"&amp;$M$5)&gt;0,
              "Iuran dari Lingkungan lain",
              ""))</t>
  </si>
  <si>
    <t>=CELL("row")=CELL("row",C41)</t>
  </si>
  <si>
    <t>="""TRUST Nav"",""HSPMTB2016"",""18"",""1"",""KK-05053"""</t>
  </si>
  <si>
    <t>=IF(AND($AL41=0,$J41=1)=TRUE,0,
        IF(AND($AL41&gt;0,$J41=1)=TRUE,1,
              IF(AND(H40=$H$12,$J41&gt;1)=TRUE,0,
                    IF(AND($AL41=0,$J41&gt;1),H40,
                         H40+1))))</t>
  </si>
  <si>
    <t>=IF(J40="No.",1,J40+1)</t>
  </si>
  <si>
    <t>=SUM(N41:AK41)</t>
  </si>
  <si>
    <t>=IF(COUNTIFS(IuranDSSebelumnya!$J$330:$J$772,$K41,IuranDSSebelumnya!$M$330:$M$772,AO$11,IuranDSSebelumnya!$L$330:$L$772,$M$5)&gt;0,
        VLOOKUP(CONCATENATE($K41,"|",AO$11,"|",$M$5),IuranDSSebelumnya!$I$330:$N$772,5,FALSE),
        IF(COUNTIFS(IuranDSSebelumnya!$J$330:$J$772,$K41,IuranDSSebelumnya!$M$330:$M$772,AO$11,IuranDSSebelumnya!$L$330:$L$772,"&lt;&gt;"&amp;$M$5)&gt;0,
              "Iuran dari Lingkungan lain",
              ""))</t>
  </si>
  <si>
    <t>=IF(COUNTIFS(IuranDSSebelumnya!$J$330:$J$772,$K41,IuranDSSebelumnya!$M$330:$M$772,AP$11,IuranDSSebelumnya!$L$330:$L$772,$M$5)&gt;0,
        VLOOKUP(CONCATENATE($K41,"|",AP$11,"|",$M$5),IuranDSSebelumnya!$I$330:$N$772,5,FALSE),
        IF(COUNTIFS(IuranDSSebelumnya!$J$330:$J$772,$K41,IuranDSSebelumnya!$M$330:$M$772,AP$11,IuranDSSebelumnya!$L$330:$L$772,"&lt;&gt;"&amp;$M$5)&gt;0,
              "Iuran dari Lingkungan lain",
              ""))</t>
  </si>
  <si>
    <t>=IF(COUNTIFS(IuranDSSebelumnya!$J$330:$J$772,$K41,IuranDSSebelumnya!$M$330:$M$772,AQ$11,IuranDSSebelumnya!$L$330:$L$772,$M$5)&gt;0,
        VLOOKUP(CONCATENATE($K41,"|",AQ$11,"|",$M$5),IuranDSSebelumnya!$I$330:$N$772,5,FALSE),
        IF(COUNTIFS(IuranDSSebelumnya!$J$330:$J$772,$K41,IuranDSSebelumnya!$M$330:$M$772,AQ$11,IuranDSSebelumnya!$L$330:$L$772,"&lt;&gt;"&amp;$M$5)&gt;0,
              "Iuran dari Lingkungan lain",
              ""))</t>
  </si>
  <si>
    <t>=IF(COUNTIFS(IuranDSSebelumnya!$J$330:$J$772,$K41,IuranDSSebelumnya!$M$330:$M$772,AR$11,IuranDSSebelumnya!$L$330:$L$772,$M$5)&gt;0,
        VLOOKUP(CONCATENATE($K41,"|",AR$11,"|",$M$5),IuranDSSebelumnya!$I$330:$N$772,5,FALSE),
        IF(COUNTIFS(IuranDSSebelumnya!$J$330:$J$772,$K41,IuranDSSebelumnya!$M$330:$M$772,AR$11,IuranDSSebelumnya!$L$330:$L$772,"&lt;&gt;"&amp;$M$5)&gt;0,
              "Iuran dari Lingkungan lain",
              ""))</t>
  </si>
  <si>
    <t>=IF(COUNTIFS(IuranDSSebelumnya!$J$330:$J$772,$K41,IuranDSSebelumnya!$M$330:$M$772,AS$11,IuranDSSebelumnya!$L$330:$L$772,$M$5)&gt;0,
        VLOOKUP(CONCATENATE($K41,"|",AS$11,"|",$M$5),IuranDSSebelumnya!$I$330:$N$772,5,FALSE),
        IF(COUNTIFS(IuranDSSebelumnya!$J$330:$J$772,$K41,IuranDSSebelumnya!$M$330:$M$772,AS$11,IuranDSSebelumnya!$L$330:$L$772,"&lt;&gt;"&amp;$M$5)&gt;0,
              "Iuran dari Lingkungan lain",
              ""))</t>
  </si>
  <si>
    <t>=IF(COUNTIFS(IuranDSSebelumnya!$J$330:$J$772,$K41,IuranDSSebelumnya!$M$330:$M$772,AT$11,IuranDSSebelumnya!$L$330:$L$772,$M$5)&gt;0,
        VLOOKUP(CONCATENATE($K41,"|",AT$11,"|",$M$5),IuranDSSebelumnya!$I$330:$N$772,5,FALSE),
        IF(COUNTIFS(IuranDSSebelumnya!$J$330:$J$772,$K41,IuranDSSebelumnya!$M$330:$M$772,AT$11,IuranDSSebelumnya!$L$330:$L$772,"&lt;&gt;"&amp;$M$5)&gt;0,
              "Iuran dari Lingkungan lain",
              ""))</t>
  </si>
  <si>
    <t>=IF(COUNTIFS(IuranDSSebelumnya!$J$330:$J$772,$K41,IuranDSSebelumnya!$M$330:$M$772,AU$11,IuranDSSebelumnya!$L$330:$L$772,$M$5)&gt;0,
        VLOOKUP(CONCATENATE($K41,"|",AU$11,"|",$M$5),IuranDSSebelumnya!$I$330:$N$772,5,FALSE),
        IF(COUNTIFS(IuranDSSebelumnya!$J$330:$J$772,$K41,IuranDSSebelumnya!$M$330:$M$772,AU$11,IuranDSSebelumnya!$L$330:$L$772,"&lt;&gt;"&amp;$M$5)&gt;0,
              "Iuran dari Lingkungan lain",
              ""))</t>
  </si>
  <si>
    <t>=IF(COUNTIFS(IuranDSSebelumnya!$J$330:$J$772,$K41,IuranDSSebelumnya!$M$330:$M$772,AV$11,IuranDSSebelumnya!$L$330:$L$772,$M$5)&gt;0,
        VLOOKUP(CONCATENATE($K41,"|",AV$11,"|",$M$5),IuranDSSebelumnya!$I$330:$N$772,5,FALSE),
        IF(COUNTIFS(IuranDSSebelumnya!$J$330:$J$772,$K41,IuranDSSebelumnya!$M$330:$M$772,AV$11,IuranDSSebelumnya!$L$330:$L$772,"&lt;&gt;"&amp;$M$5)&gt;0,
              "Iuran dari Lingkungan lain",
              ""))</t>
  </si>
  <si>
    <t>=IF(COUNTIFS(IuranDSSebelumnya!$J$330:$J$772,$K41,IuranDSSebelumnya!$M$330:$M$772,AW$11,IuranDSSebelumnya!$L$330:$L$772,$M$5)&gt;0,
        VLOOKUP(CONCATENATE($K41,"|",AW$11,"|",$M$5),IuranDSSebelumnya!$I$330:$N$772,5,FALSE),
        IF(COUNTIFS(IuranDSSebelumnya!$J$330:$J$772,$K41,IuranDSSebelumnya!$M$330:$M$772,AW$11,IuranDSSebelumnya!$L$330:$L$772,"&lt;&gt;"&amp;$M$5)&gt;0,
              "Iuran dari Lingkungan lain",
              ""))</t>
  </si>
  <si>
    <t>=IF(COUNTIFS(IuranDSSebelumnya!$J$330:$J$772,$K41,IuranDSSebelumnya!$M$330:$M$772,AX$11,IuranDSSebelumnya!$L$330:$L$772,$M$5)&gt;0,
        VLOOKUP(CONCATENATE($K41,"|",AX$11,"|",$M$5),IuranDSSebelumnya!$I$330:$N$772,5,FALSE),
        IF(COUNTIFS(IuranDSSebelumnya!$J$330:$J$772,$K41,IuranDSSebelumnya!$M$330:$M$772,AX$11,IuranDSSebelumnya!$L$330:$L$772,"&lt;&gt;"&amp;$M$5)&gt;0,
              "Iuran dari Lingkungan lain",
              ""))</t>
  </si>
  <si>
    <t>=IF(COUNTIFS(IuranDSSebelumnya!$J$330:$J$772,$K41,IuranDSSebelumnya!$M$330:$M$772,AY$11,IuranDSSebelumnya!$L$330:$L$772,$M$5)&gt;0,
        VLOOKUP(CONCATENATE($K41,"|",AY$11,"|",$M$5),IuranDSSebelumnya!$I$330:$N$772,5,FALSE),
        IF(COUNTIFS(IuranDSSebelumnya!$J$330:$J$772,$K41,IuranDSSebelumnya!$M$330:$M$772,AY$11,IuranDSSebelumnya!$L$330:$L$772,"&lt;&gt;"&amp;$M$5)&gt;0,
              "Iuran dari Lingkungan lain",
              ""))</t>
  </si>
  <si>
    <t>=IF(COUNTIFS(IuranDSSebelumnya!$J$330:$J$772,$K41,IuranDSSebelumnya!$M$330:$M$772,AZ$11,IuranDSSebelumnya!$L$330:$L$772,$M$5)&gt;0,
        VLOOKUP(CONCATENATE($K41,"|",AZ$11,"|",$M$5),IuranDSSebelumnya!$I$330:$N$772,5,FALSE),
        IF(COUNTIFS(IuranDSSebelumnya!$J$330:$J$772,$K41,IuranDSSebelumnya!$M$330:$M$772,AZ$11,IuranDSSebelumnya!$L$330:$L$772,"&lt;&gt;"&amp;$M$5)&gt;0,
              "Iuran dari Lingkungan lain",
              ""))</t>
  </si>
  <si>
    <t>=IF(COUNTIFS(IuranDSSebelumnya!$J$330:$J$772,$K41,IuranDSSebelumnya!$M$330:$M$772,BA$11,IuranDSSebelumnya!$L$330:$L$772,$M$5)&gt;0,
        VLOOKUP(CONCATENATE($K41,"|",BA$11,"|",$M$5),IuranDSSebelumnya!$I$330:$N$772,5,FALSE),
        IF(COUNTIFS(IuranDSSebelumnya!$J$330:$J$772,$K41,IuranDSSebelumnya!$M$330:$M$772,BA$11,IuranDSSebelumnya!$L$330:$L$772,"&lt;&gt;"&amp;$M$5)&gt;0,
              "Iuran dari Lingkungan lain",
              ""))</t>
  </si>
  <si>
    <t>=IF(COUNTIFS(IuranDSSebelumnya!$J$330:$J$772,$K41,IuranDSSebelumnya!$M$330:$M$772,BB$11,IuranDSSebelumnya!$L$330:$L$772,$M$5)&gt;0,
        VLOOKUP(CONCATENATE($K41,"|",BB$11,"|",$M$5),IuranDSSebelumnya!$I$330:$N$772,5,FALSE),
        IF(COUNTIFS(IuranDSSebelumnya!$J$330:$J$772,$K41,IuranDSSebelumnya!$M$330:$M$772,BB$11,IuranDSSebelumnya!$L$330:$L$772,"&lt;&gt;"&amp;$M$5)&gt;0,
              "Iuran dari Lingkungan lain",
              ""))</t>
  </si>
  <si>
    <t>=IF(COUNTIFS(IuranDSSebelumnya!$J$330:$J$772,$K41,IuranDSSebelumnya!$M$330:$M$772,BC$11,IuranDSSebelumnya!$L$330:$L$772,$M$5)&gt;0,
        VLOOKUP(CONCATENATE($K41,"|",BC$11,"|",$M$5),IuranDSSebelumnya!$I$330:$N$772,5,FALSE),
        IF(COUNTIFS(IuranDSSebelumnya!$J$330:$J$772,$K41,IuranDSSebelumnya!$M$330:$M$772,BC$11,IuranDSSebelumnya!$L$330:$L$772,"&lt;&gt;"&amp;$M$5)&gt;0,
              "Iuran dari Lingkungan lain",
              ""))</t>
  </si>
  <si>
    <t>=IF(COUNTIFS(IuranDSSebelumnya!$J$330:$J$772,$K41,IuranDSSebelumnya!$M$330:$M$772,BD$11,IuranDSSebelumnya!$L$330:$L$772,$M$5)&gt;0,
        VLOOKUP(CONCATENATE($K41,"|",BD$11,"|",$M$5),IuranDSSebelumnya!$I$330:$N$772,5,FALSE),
        IF(COUNTIFS(IuranDSSebelumnya!$J$330:$J$772,$K41,IuranDSSebelumnya!$M$330:$M$772,BD$11,IuranDSSebelumnya!$L$330:$L$772,"&lt;&gt;"&amp;$M$5)&gt;0,
              "Iuran dari Lingkungan lain",
              ""))</t>
  </si>
  <si>
    <t>=IF(COUNTIFS(IuranDSSebelumnya!$J$330:$J$772,$K41,IuranDSSebelumnya!$M$330:$M$772,BE$11,IuranDSSebelumnya!$L$330:$L$772,$M$5)&gt;0,
        VLOOKUP(CONCATENATE($K41,"|",BE$11,"|",$M$5),IuranDSSebelumnya!$I$330:$N$772,5,FALSE),
        IF(COUNTIFS(IuranDSSebelumnya!$J$330:$J$772,$K41,IuranDSSebelumnya!$M$330:$M$772,BE$11,IuranDSSebelumnya!$L$330:$L$772,"&lt;&gt;"&amp;$M$5)&gt;0,
              "Iuran dari Lingkungan lain",
              ""))</t>
  </si>
  <si>
    <t>=IF(COUNTIFS(IuranDSSebelumnya!$J$330:$J$772,$K41,IuranDSSebelumnya!$M$330:$M$772,BF$11,IuranDSSebelumnya!$L$330:$L$772,$M$5)&gt;0,
        VLOOKUP(CONCATENATE($K41,"|",BF$11,"|",$M$5),IuranDSSebelumnya!$I$330:$N$772,5,FALSE),
        IF(COUNTIFS(IuranDSSebelumnya!$J$330:$J$772,$K41,IuranDSSebelumnya!$M$330:$M$772,BF$11,IuranDSSebelumnya!$L$330:$L$772,"&lt;&gt;"&amp;$M$5)&gt;0,
              "Iuran dari Lingkungan lain",
              ""))</t>
  </si>
  <si>
    <t>=IF(COUNTIFS(IuranDSSebelumnya!$J$330:$J$772,$K41,IuranDSSebelumnya!$M$330:$M$772,BG$11,IuranDSSebelumnya!$L$330:$L$772,$M$5)&gt;0,
        VLOOKUP(CONCATENATE($K41,"|",BG$11,"|",$M$5),IuranDSSebelumnya!$I$330:$N$772,5,FALSE),
        IF(COUNTIFS(IuranDSSebelumnya!$J$330:$J$772,$K41,IuranDSSebelumnya!$M$330:$M$772,BG$11,IuranDSSebelumnya!$L$330:$L$772,"&lt;&gt;"&amp;$M$5)&gt;0,
              "Iuran dari Lingkungan lain",
              ""))</t>
  </si>
  <si>
    <t>=IF(COUNTIFS(IuranDSSebelumnya!$J$330:$J$772,$K41,IuranDSSebelumnya!$M$330:$M$772,BH$11,IuranDSSebelumnya!$L$330:$L$772,$M$5)&gt;0,
        VLOOKUP(CONCATENATE($K41,"|",BH$11,"|",$M$5),IuranDSSebelumnya!$I$330:$N$772,5,FALSE),
        IF(COUNTIFS(IuranDSSebelumnya!$J$330:$J$772,$K41,IuranDSSebelumnya!$M$330:$M$772,BH$11,IuranDSSebelumnya!$L$330:$L$772,"&lt;&gt;"&amp;$M$5)&gt;0,
              "Iuran dari Lingkungan lain",
              ""))</t>
  </si>
  <si>
    <t>=IF(COUNTIFS(IuranDSSebelumnya!$J$330:$J$772,$K41,IuranDSSebelumnya!$M$330:$M$772,BI$11,IuranDSSebelumnya!$L$330:$L$772,$M$5)&gt;0,
        VLOOKUP(CONCATENATE($K41,"|",BI$11,"|",$M$5),IuranDSSebelumnya!$I$330:$N$772,5,FALSE),
        IF(COUNTIFS(IuranDSSebelumnya!$J$330:$J$772,$K41,IuranDSSebelumnya!$M$330:$M$772,BI$11,IuranDSSebelumnya!$L$330:$L$772,"&lt;&gt;"&amp;$M$5)&gt;0,
              "Iuran dari Lingkungan lain",
              ""))</t>
  </si>
  <si>
    <t>=IF(COUNTIFS(IuranDSSebelumnya!$J$330:$J$772,$K41,IuranDSSebelumnya!$M$330:$M$772,BJ$11,IuranDSSebelumnya!$L$330:$L$772,$M$5)&gt;0,
        VLOOKUP(CONCATENATE($K41,"|",BJ$11,"|",$M$5),IuranDSSebelumnya!$I$330:$N$772,5,FALSE),
        IF(COUNTIFS(IuranDSSebelumnya!$J$330:$J$772,$K41,IuranDSSebelumnya!$M$330:$M$772,BJ$11,IuranDSSebelumnya!$L$330:$L$772,"&lt;&gt;"&amp;$M$5)&gt;0,
              "Iuran dari Lingkungan lain",
              ""))</t>
  </si>
  <si>
    <t>=IF(COUNTIFS(IuranDSSebelumnya!$J$330:$J$772,$K41,IuranDSSebelumnya!$M$330:$M$772,BK$11,IuranDSSebelumnya!$L$330:$L$772,$M$5)&gt;0,
        VLOOKUP(CONCATENATE($K41,"|",BK$11,"|",$M$5),IuranDSSebelumnya!$I$330:$N$772,5,FALSE),
        IF(COUNTIFS(IuranDSSebelumnya!$J$330:$J$772,$K41,IuranDSSebelumnya!$M$330:$M$772,BK$11,IuranDSSebelumnya!$L$330:$L$772,"&lt;&gt;"&amp;$M$5)&gt;0,
              "Iuran dari Lingkungan lain",
              ""))</t>
  </si>
  <si>
    <t>=IF(COUNTIFS(IuranDSSebelumnya!$J$330:$J$772,$K41,IuranDSSebelumnya!$M$330:$M$772,BL$11,IuranDSSebelumnya!$L$330:$L$772,$M$5)&gt;0,
        VLOOKUP(CONCATENATE($K41,"|",BL$11,"|",$M$5),IuranDSSebelumnya!$I$330:$N$772,5,FALSE),
        IF(COUNTIFS(IuranDSSebelumnya!$J$330:$J$772,$K41,IuranDSSebelumnya!$M$330:$M$772,BL$11,IuranDSSebelumnya!$L$330:$L$772,"&lt;&gt;"&amp;$M$5)&gt;0,
              "Iuran dari Lingkungan lain",
              ""))</t>
  </si>
  <si>
    <t>=CELL("row")=CELL("row",C42)</t>
  </si>
  <si>
    <t>="""TRUST Nav"",""HSPMTB2016"",""18"",""1"",""KK-04616"""</t>
  </si>
  <si>
    <t>=IF(AND($AL42=0,$J42=1)=TRUE,0,
        IF(AND($AL42&gt;0,$J42=1)=TRUE,1,
              IF(AND(H41=$H$12,$J42&gt;1)=TRUE,0,
                    IF(AND($AL42=0,$J42&gt;1),H41,
                         H41+1))))</t>
  </si>
  <si>
    <t>=IF(J41="No.",1,J41+1)</t>
  </si>
  <si>
    <t>=SUM(N42:AK42)</t>
  </si>
  <si>
    <t>=IF(COUNTIFS(IuranDSSebelumnya!$J$330:$J$772,$K42,IuranDSSebelumnya!$M$330:$M$772,AO$11,IuranDSSebelumnya!$L$330:$L$772,$M$5)&gt;0,
        VLOOKUP(CONCATENATE($K42,"|",AO$11,"|",$M$5),IuranDSSebelumnya!$I$330:$N$772,5,FALSE),
        IF(COUNTIFS(IuranDSSebelumnya!$J$330:$J$772,$K42,IuranDSSebelumnya!$M$330:$M$772,AO$11,IuranDSSebelumnya!$L$330:$L$772,"&lt;&gt;"&amp;$M$5)&gt;0,
              "Iuran dari Lingkungan lain",
              ""))</t>
  </si>
  <si>
    <t>=IF(COUNTIFS(IuranDSSebelumnya!$J$330:$J$772,$K42,IuranDSSebelumnya!$M$330:$M$772,AP$11,IuranDSSebelumnya!$L$330:$L$772,$M$5)&gt;0,
        VLOOKUP(CONCATENATE($K42,"|",AP$11,"|",$M$5),IuranDSSebelumnya!$I$330:$N$772,5,FALSE),
        IF(COUNTIFS(IuranDSSebelumnya!$J$330:$J$772,$K42,IuranDSSebelumnya!$M$330:$M$772,AP$11,IuranDSSebelumnya!$L$330:$L$772,"&lt;&gt;"&amp;$M$5)&gt;0,
              "Iuran dari Lingkungan lain",
              ""))</t>
  </si>
  <si>
    <t>=IF(COUNTIFS(IuranDSSebelumnya!$J$330:$J$772,$K42,IuranDSSebelumnya!$M$330:$M$772,AQ$11,IuranDSSebelumnya!$L$330:$L$772,$M$5)&gt;0,
        VLOOKUP(CONCATENATE($K42,"|",AQ$11,"|",$M$5),IuranDSSebelumnya!$I$330:$N$772,5,FALSE),
        IF(COUNTIFS(IuranDSSebelumnya!$J$330:$J$772,$K42,IuranDSSebelumnya!$M$330:$M$772,AQ$11,IuranDSSebelumnya!$L$330:$L$772,"&lt;&gt;"&amp;$M$5)&gt;0,
              "Iuran dari Lingkungan lain",
              ""))</t>
  </si>
  <si>
    <t>=IF(COUNTIFS(IuranDSSebelumnya!$J$330:$J$772,$K42,IuranDSSebelumnya!$M$330:$M$772,AR$11,IuranDSSebelumnya!$L$330:$L$772,$M$5)&gt;0,
        VLOOKUP(CONCATENATE($K42,"|",AR$11,"|",$M$5),IuranDSSebelumnya!$I$330:$N$772,5,FALSE),
        IF(COUNTIFS(IuranDSSebelumnya!$J$330:$J$772,$K42,IuranDSSebelumnya!$M$330:$M$772,AR$11,IuranDSSebelumnya!$L$330:$L$772,"&lt;&gt;"&amp;$M$5)&gt;0,
              "Iuran dari Lingkungan lain",
              ""))</t>
  </si>
  <si>
    <t>=IF(COUNTIFS(IuranDSSebelumnya!$J$330:$J$772,$K42,IuranDSSebelumnya!$M$330:$M$772,AS$11,IuranDSSebelumnya!$L$330:$L$772,$M$5)&gt;0,
        VLOOKUP(CONCATENATE($K42,"|",AS$11,"|",$M$5),IuranDSSebelumnya!$I$330:$N$772,5,FALSE),
        IF(COUNTIFS(IuranDSSebelumnya!$J$330:$J$772,$K42,IuranDSSebelumnya!$M$330:$M$772,AS$11,IuranDSSebelumnya!$L$330:$L$772,"&lt;&gt;"&amp;$M$5)&gt;0,
              "Iuran dari Lingkungan lain",
              ""))</t>
  </si>
  <si>
    <t>=IF(COUNTIFS(IuranDSSebelumnya!$J$330:$J$772,$K42,IuranDSSebelumnya!$M$330:$M$772,AT$11,IuranDSSebelumnya!$L$330:$L$772,$M$5)&gt;0,
        VLOOKUP(CONCATENATE($K42,"|",AT$11,"|",$M$5),IuranDSSebelumnya!$I$330:$N$772,5,FALSE),
        IF(COUNTIFS(IuranDSSebelumnya!$J$330:$J$772,$K42,IuranDSSebelumnya!$M$330:$M$772,AT$11,IuranDSSebelumnya!$L$330:$L$772,"&lt;&gt;"&amp;$M$5)&gt;0,
              "Iuran dari Lingkungan lain",
              ""))</t>
  </si>
  <si>
    <t>=IF(COUNTIFS(IuranDSSebelumnya!$J$330:$J$772,$K42,IuranDSSebelumnya!$M$330:$M$772,AU$11,IuranDSSebelumnya!$L$330:$L$772,$M$5)&gt;0,
        VLOOKUP(CONCATENATE($K42,"|",AU$11,"|",$M$5),IuranDSSebelumnya!$I$330:$N$772,5,FALSE),
        IF(COUNTIFS(IuranDSSebelumnya!$J$330:$J$772,$K42,IuranDSSebelumnya!$M$330:$M$772,AU$11,IuranDSSebelumnya!$L$330:$L$772,"&lt;&gt;"&amp;$M$5)&gt;0,
              "Iuran dari Lingkungan lain",
              ""))</t>
  </si>
  <si>
    <t>=IF(COUNTIFS(IuranDSSebelumnya!$J$330:$J$772,$K42,IuranDSSebelumnya!$M$330:$M$772,AV$11,IuranDSSebelumnya!$L$330:$L$772,$M$5)&gt;0,
        VLOOKUP(CONCATENATE($K42,"|",AV$11,"|",$M$5),IuranDSSebelumnya!$I$330:$N$772,5,FALSE),
        IF(COUNTIFS(IuranDSSebelumnya!$J$330:$J$772,$K42,IuranDSSebelumnya!$M$330:$M$772,AV$11,IuranDSSebelumnya!$L$330:$L$772,"&lt;&gt;"&amp;$M$5)&gt;0,
              "Iuran dari Lingkungan lain",
              ""))</t>
  </si>
  <si>
    <t>=IF(COUNTIFS(IuranDSSebelumnya!$J$330:$J$772,$K42,IuranDSSebelumnya!$M$330:$M$772,AW$11,IuranDSSebelumnya!$L$330:$L$772,$M$5)&gt;0,
        VLOOKUP(CONCATENATE($K42,"|",AW$11,"|",$M$5),IuranDSSebelumnya!$I$330:$N$772,5,FALSE),
        IF(COUNTIFS(IuranDSSebelumnya!$J$330:$J$772,$K42,IuranDSSebelumnya!$M$330:$M$772,AW$11,IuranDSSebelumnya!$L$330:$L$772,"&lt;&gt;"&amp;$M$5)&gt;0,
              "Iuran dari Lingkungan lain",
              ""))</t>
  </si>
  <si>
    <t>=IF(COUNTIFS(IuranDSSebelumnya!$J$330:$J$772,$K42,IuranDSSebelumnya!$M$330:$M$772,AX$11,IuranDSSebelumnya!$L$330:$L$772,$M$5)&gt;0,
        VLOOKUP(CONCATENATE($K42,"|",AX$11,"|",$M$5),IuranDSSebelumnya!$I$330:$N$772,5,FALSE),
        IF(COUNTIFS(IuranDSSebelumnya!$J$330:$J$772,$K42,IuranDSSebelumnya!$M$330:$M$772,AX$11,IuranDSSebelumnya!$L$330:$L$772,"&lt;&gt;"&amp;$M$5)&gt;0,
              "Iuran dari Lingkungan lain",
              ""))</t>
  </si>
  <si>
    <t>=IF(COUNTIFS(IuranDSSebelumnya!$J$330:$J$772,$K42,IuranDSSebelumnya!$M$330:$M$772,AY$11,IuranDSSebelumnya!$L$330:$L$772,$M$5)&gt;0,
        VLOOKUP(CONCATENATE($K42,"|",AY$11,"|",$M$5),IuranDSSebelumnya!$I$330:$N$772,5,FALSE),
        IF(COUNTIFS(IuranDSSebelumnya!$J$330:$J$772,$K42,IuranDSSebelumnya!$M$330:$M$772,AY$11,IuranDSSebelumnya!$L$330:$L$772,"&lt;&gt;"&amp;$M$5)&gt;0,
              "Iuran dari Lingkungan lain",
              ""))</t>
  </si>
  <si>
    <t>=IF(COUNTIFS(IuranDSSebelumnya!$J$330:$J$772,$K42,IuranDSSebelumnya!$M$330:$M$772,AZ$11,IuranDSSebelumnya!$L$330:$L$772,$M$5)&gt;0,
        VLOOKUP(CONCATENATE($K42,"|",AZ$11,"|",$M$5),IuranDSSebelumnya!$I$330:$N$772,5,FALSE),
        IF(COUNTIFS(IuranDSSebelumnya!$J$330:$J$772,$K42,IuranDSSebelumnya!$M$330:$M$772,AZ$11,IuranDSSebelumnya!$L$330:$L$772,"&lt;&gt;"&amp;$M$5)&gt;0,
              "Iuran dari Lingkungan lain",
              ""))</t>
  </si>
  <si>
    <t>=IF(COUNTIFS(IuranDSSebelumnya!$J$330:$J$772,$K42,IuranDSSebelumnya!$M$330:$M$772,BA$11,IuranDSSebelumnya!$L$330:$L$772,$M$5)&gt;0,
        VLOOKUP(CONCATENATE($K42,"|",BA$11,"|",$M$5),IuranDSSebelumnya!$I$330:$N$772,5,FALSE),
        IF(COUNTIFS(IuranDSSebelumnya!$J$330:$J$772,$K42,IuranDSSebelumnya!$M$330:$M$772,BA$11,IuranDSSebelumnya!$L$330:$L$772,"&lt;&gt;"&amp;$M$5)&gt;0,
              "Iuran dari Lingkungan lain",
              ""))</t>
  </si>
  <si>
    <t>=IF(COUNTIFS(IuranDSSebelumnya!$J$330:$J$772,$K42,IuranDSSebelumnya!$M$330:$M$772,BB$11,IuranDSSebelumnya!$L$330:$L$772,$M$5)&gt;0,
        VLOOKUP(CONCATENATE($K42,"|",BB$11,"|",$M$5),IuranDSSebelumnya!$I$330:$N$772,5,FALSE),
        IF(COUNTIFS(IuranDSSebelumnya!$J$330:$J$772,$K42,IuranDSSebelumnya!$M$330:$M$772,BB$11,IuranDSSebelumnya!$L$330:$L$772,"&lt;&gt;"&amp;$M$5)&gt;0,
              "Iuran dari Lingkungan lain",
              ""))</t>
  </si>
  <si>
    <t>=IF(COUNTIFS(IuranDSSebelumnya!$J$330:$J$772,$K42,IuranDSSebelumnya!$M$330:$M$772,BC$11,IuranDSSebelumnya!$L$330:$L$772,$M$5)&gt;0,
        VLOOKUP(CONCATENATE($K42,"|",BC$11,"|",$M$5),IuranDSSebelumnya!$I$330:$N$772,5,FALSE),
        IF(COUNTIFS(IuranDSSebelumnya!$J$330:$J$772,$K42,IuranDSSebelumnya!$M$330:$M$772,BC$11,IuranDSSebelumnya!$L$330:$L$772,"&lt;&gt;"&amp;$M$5)&gt;0,
              "Iuran dari Lingkungan lain",
              ""))</t>
  </si>
  <si>
    <t>=IF(COUNTIFS(IuranDSSebelumnya!$J$330:$J$772,$K42,IuranDSSebelumnya!$M$330:$M$772,BD$11,IuranDSSebelumnya!$L$330:$L$772,$M$5)&gt;0,
        VLOOKUP(CONCATENATE($K42,"|",BD$11,"|",$M$5),IuranDSSebelumnya!$I$330:$N$772,5,FALSE),
        IF(COUNTIFS(IuranDSSebelumnya!$J$330:$J$772,$K42,IuranDSSebelumnya!$M$330:$M$772,BD$11,IuranDSSebelumnya!$L$330:$L$772,"&lt;&gt;"&amp;$M$5)&gt;0,
              "Iuran dari Lingkungan lain",
              ""))</t>
  </si>
  <si>
    <t>=IF(COUNTIFS(IuranDSSebelumnya!$J$330:$J$772,$K42,IuranDSSebelumnya!$M$330:$M$772,BE$11,IuranDSSebelumnya!$L$330:$L$772,$M$5)&gt;0,
        VLOOKUP(CONCATENATE($K42,"|",BE$11,"|",$M$5),IuranDSSebelumnya!$I$330:$N$772,5,FALSE),
        IF(COUNTIFS(IuranDSSebelumnya!$J$330:$J$772,$K42,IuranDSSebelumnya!$M$330:$M$772,BE$11,IuranDSSebelumnya!$L$330:$L$772,"&lt;&gt;"&amp;$M$5)&gt;0,
              "Iuran dari Lingkungan lain",
              ""))</t>
  </si>
  <si>
    <t>=IF(COUNTIFS(IuranDSSebelumnya!$J$330:$J$772,$K42,IuranDSSebelumnya!$M$330:$M$772,BF$11,IuranDSSebelumnya!$L$330:$L$772,$M$5)&gt;0,
        VLOOKUP(CONCATENATE($K42,"|",BF$11,"|",$M$5),IuranDSSebelumnya!$I$330:$N$772,5,FALSE),
        IF(COUNTIFS(IuranDSSebelumnya!$J$330:$J$772,$K42,IuranDSSebelumnya!$M$330:$M$772,BF$11,IuranDSSebelumnya!$L$330:$L$772,"&lt;&gt;"&amp;$M$5)&gt;0,
              "Iuran dari Lingkungan lain",
              ""))</t>
  </si>
  <si>
    <t>=IF(COUNTIFS(IuranDSSebelumnya!$J$330:$J$772,$K42,IuranDSSebelumnya!$M$330:$M$772,BG$11,IuranDSSebelumnya!$L$330:$L$772,$M$5)&gt;0,
        VLOOKUP(CONCATENATE($K42,"|",BG$11,"|",$M$5),IuranDSSebelumnya!$I$330:$N$772,5,FALSE),
        IF(COUNTIFS(IuranDSSebelumnya!$J$330:$J$772,$K42,IuranDSSebelumnya!$M$330:$M$772,BG$11,IuranDSSebelumnya!$L$330:$L$772,"&lt;&gt;"&amp;$M$5)&gt;0,
              "Iuran dari Lingkungan lain",
              ""))</t>
  </si>
  <si>
    <t>=IF(COUNTIFS(IuranDSSebelumnya!$J$330:$J$772,$K42,IuranDSSebelumnya!$M$330:$M$772,BH$11,IuranDSSebelumnya!$L$330:$L$772,$M$5)&gt;0,
        VLOOKUP(CONCATENATE($K42,"|",BH$11,"|",$M$5),IuranDSSebelumnya!$I$330:$N$772,5,FALSE),
        IF(COUNTIFS(IuranDSSebelumnya!$J$330:$J$772,$K42,IuranDSSebelumnya!$M$330:$M$772,BH$11,IuranDSSebelumnya!$L$330:$L$772,"&lt;&gt;"&amp;$M$5)&gt;0,
              "Iuran dari Lingkungan lain",
              ""))</t>
  </si>
  <si>
    <t>=IF(COUNTIFS(IuranDSSebelumnya!$J$330:$J$772,$K42,IuranDSSebelumnya!$M$330:$M$772,BI$11,IuranDSSebelumnya!$L$330:$L$772,$M$5)&gt;0,
        VLOOKUP(CONCATENATE($K42,"|",BI$11,"|",$M$5),IuranDSSebelumnya!$I$330:$N$772,5,FALSE),
        IF(COUNTIFS(IuranDSSebelumnya!$J$330:$J$772,$K42,IuranDSSebelumnya!$M$330:$M$772,BI$11,IuranDSSebelumnya!$L$330:$L$772,"&lt;&gt;"&amp;$M$5)&gt;0,
              "Iuran dari Lingkungan lain",
              ""))</t>
  </si>
  <si>
    <t>=IF(COUNTIFS(IuranDSSebelumnya!$J$330:$J$772,$K42,IuranDSSebelumnya!$M$330:$M$772,BJ$11,IuranDSSebelumnya!$L$330:$L$772,$M$5)&gt;0,
        VLOOKUP(CONCATENATE($K42,"|",BJ$11,"|",$M$5),IuranDSSebelumnya!$I$330:$N$772,5,FALSE),
        IF(COUNTIFS(IuranDSSebelumnya!$J$330:$J$772,$K42,IuranDSSebelumnya!$M$330:$M$772,BJ$11,IuranDSSebelumnya!$L$330:$L$772,"&lt;&gt;"&amp;$M$5)&gt;0,
              "Iuran dari Lingkungan lain",
              ""))</t>
  </si>
  <si>
    <t>=IF(COUNTIFS(IuranDSSebelumnya!$J$330:$J$772,$K42,IuranDSSebelumnya!$M$330:$M$772,BK$11,IuranDSSebelumnya!$L$330:$L$772,$M$5)&gt;0,
        VLOOKUP(CONCATENATE($K42,"|",BK$11,"|",$M$5),IuranDSSebelumnya!$I$330:$N$772,5,FALSE),
        IF(COUNTIFS(IuranDSSebelumnya!$J$330:$J$772,$K42,IuranDSSebelumnya!$M$330:$M$772,BK$11,IuranDSSebelumnya!$L$330:$L$772,"&lt;&gt;"&amp;$M$5)&gt;0,
              "Iuran dari Lingkungan lain",
              ""))</t>
  </si>
  <si>
    <t>=IF(COUNTIFS(IuranDSSebelumnya!$J$330:$J$772,$K42,IuranDSSebelumnya!$M$330:$M$772,BL$11,IuranDSSebelumnya!$L$330:$L$772,$M$5)&gt;0,
        VLOOKUP(CONCATENATE($K42,"|",BL$11,"|",$M$5),IuranDSSebelumnya!$I$330:$N$772,5,FALSE),
        IF(COUNTIFS(IuranDSSebelumnya!$J$330:$J$772,$K42,IuranDSSebelumnya!$M$330:$M$772,BL$11,IuranDSSebelumnya!$L$330:$L$772,"&lt;&gt;"&amp;$M$5)&gt;0,
              "Iuran dari Lingkungan lain",
              ""))</t>
  </si>
  <si>
    <t>=CELL("row")=CELL("row",C43)</t>
  </si>
  <si>
    <t>="""TRUST Nav"",""HSPMTB2016"",""18"",""1"",""KK-05050"""</t>
  </si>
  <si>
    <t>=IF(AND($AL43=0,$J43=1)=TRUE,0,
        IF(AND($AL43&gt;0,$J43=1)=TRUE,1,
              IF(AND(H42=$H$12,$J43&gt;1)=TRUE,0,
                    IF(AND($AL43=0,$J43&gt;1),H42,
                         H42+1))))</t>
  </si>
  <si>
    <t>=IF(J42="No.",1,J42+1)</t>
  </si>
  <si>
    <t>=SUM(N43:AK43)</t>
  </si>
  <si>
    <t>=IF(COUNTIFS(IuranDSSebelumnya!$J$330:$J$772,$K43,IuranDSSebelumnya!$M$330:$M$772,AO$11,IuranDSSebelumnya!$L$330:$L$772,$M$5)&gt;0,
        VLOOKUP(CONCATENATE($K43,"|",AO$11,"|",$M$5),IuranDSSebelumnya!$I$330:$N$772,5,FALSE),
        IF(COUNTIFS(IuranDSSebelumnya!$J$330:$J$772,$K43,IuranDSSebelumnya!$M$330:$M$772,AO$11,IuranDSSebelumnya!$L$330:$L$772,"&lt;&gt;"&amp;$M$5)&gt;0,
              "Iuran dari Lingkungan lain",
              ""))</t>
  </si>
  <si>
    <t>=IF(COUNTIFS(IuranDSSebelumnya!$J$330:$J$772,$K43,IuranDSSebelumnya!$M$330:$M$772,AP$11,IuranDSSebelumnya!$L$330:$L$772,$M$5)&gt;0,
        VLOOKUP(CONCATENATE($K43,"|",AP$11,"|",$M$5),IuranDSSebelumnya!$I$330:$N$772,5,FALSE),
        IF(COUNTIFS(IuranDSSebelumnya!$J$330:$J$772,$K43,IuranDSSebelumnya!$M$330:$M$772,AP$11,IuranDSSebelumnya!$L$330:$L$772,"&lt;&gt;"&amp;$M$5)&gt;0,
              "Iuran dari Lingkungan lain",
              ""))</t>
  </si>
  <si>
    <t>=IF(COUNTIFS(IuranDSSebelumnya!$J$330:$J$772,$K43,IuranDSSebelumnya!$M$330:$M$772,AQ$11,IuranDSSebelumnya!$L$330:$L$772,$M$5)&gt;0,
        VLOOKUP(CONCATENATE($K43,"|",AQ$11,"|",$M$5),IuranDSSebelumnya!$I$330:$N$772,5,FALSE),
        IF(COUNTIFS(IuranDSSebelumnya!$J$330:$J$772,$K43,IuranDSSebelumnya!$M$330:$M$772,AQ$11,IuranDSSebelumnya!$L$330:$L$772,"&lt;&gt;"&amp;$M$5)&gt;0,
              "Iuran dari Lingkungan lain",
              ""))</t>
  </si>
  <si>
    <t>=IF(COUNTIFS(IuranDSSebelumnya!$J$330:$J$772,$K43,IuranDSSebelumnya!$M$330:$M$772,AR$11,IuranDSSebelumnya!$L$330:$L$772,$M$5)&gt;0,
        VLOOKUP(CONCATENATE($K43,"|",AR$11,"|",$M$5),IuranDSSebelumnya!$I$330:$N$772,5,FALSE),
        IF(COUNTIFS(IuranDSSebelumnya!$J$330:$J$772,$K43,IuranDSSebelumnya!$M$330:$M$772,AR$11,IuranDSSebelumnya!$L$330:$L$772,"&lt;&gt;"&amp;$M$5)&gt;0,
              "Iuran dari Lingkungan lain",
              ""))</t>
  </si>
  <si>
    <t>=IF(COUNTIFS(IuranDSSebelumnya!$J$330:$J$772,$K43,IuranDSSebelumnya!$M$330:$M$772,AS$11,IuranDSSebelumnya!$L$330:$L$772,$M$5)&gt;0,
        VLOOKUP(CONCATENATE($K43,"|",AS$11,"|",$M$5),IuranDSSebelumnya!$I$330:$N$772,5,FALSE),
        IF(COUNTIFS(IuranDSSebelumnya!$J$330:$J$772,$K43,IuranDSSebelumnya!$M$330:$M$772,AS$11,IuranDSSebelumnya!$L$330:$L$772,"&lt;&gt;"&amp;$M$5)&gt;0,
              "Iuran dari Lingkungan lain",
              ""))</t>
  </si>
  <si>
    <t>=IF(COUNTIFS(IuranDSSebelumnya!$J$330:$J$772,$K43,IuranDSSebelumnya!$M$330:$M$772,AT$11,IuranDSSebelumnya!$L$330:$L$772,$M$5)&gt;0,
        VLOOKUP(CONCATENATE($K43,"|",AT$11,"|",$M$5),IuranDSSebelumnya!$I$330:$N$772,5,FALSE),
        IF(COUNTIFS(IuranDSSebelumnya!$J$330:$J$772,$K43,IuranDSSebelumnya!$M$330:$M$772,AT$11,IuranDSSebelumnya!$L$330:$L$772,"&lt;&gt;"&amp;$M$5)&gt;0,
              "Iuran dari Lingkungan lain",
              ""))</t>
  </si>
  <si>
    <t>=IF(COUNTIFS(IuranDSSebelumnya!$J$330:$J$772,$K43,IuranDSSebelumnya!$M$330:$M$772,AU$11,IuranDSSebelumnya!$L$330:$L$772,$M$5)&gt;0,
        VLOOKUP(CONCATENATE($K43,"|",AU$11,"|",$M$5),IuranDSSebelumnya!$I$330:$N$772,5,FALSE),
        IF(COUNTIFS(IuranDSSebelumnya!$J$330:$J$772,$K43,IuranDSSebelumnya!$M$330:$M$772,AU$11,IuranDSSebelumnya!$L$330:$L$772,"&lt;&gt;"&amp;$M$5)&gt;0,
              "Iuran dari Lingkungan lain",
              ""))</t>
  </si>
  <si>
    <t>=IF(COUNTIFS(IuranDSSebelumnya!$J$330:$J$772,$K43,IuranDSSebelumnya!$M$330:$M$772,AV$11,IuranDSSebelumnya!$L$330:$L$772,$M$5)&gt;0,
        VLOOKUP(CONCATENATE($K43,"|",AV$11,"|",$M$5),IuranDSSebelumnya!$I$330:$N$772,5,FALSE),
        IF(COUNTIFS(IuranDSSebelumnya!$J$330:$J$772,$K43,IuranDSSebelumnya!$M$330:$M$772,AV$11,IuranDSSebelumnya!$L$330:$L$772,"&lt;&gt;"&amp;$M$5)&gt;0,
              "Iuran dari Lingkungan lain",
              ""))</t>
  </si>
  <si>
    <t>=IF(COUNTIFS(IuranDSSebelumnya!$J$330:$J$772,$K43,IuranDSSebelumnya!$M$330:$M$772,AW$11,IuranDSSebelumnya!$L$330:$L$772,$M$5)&gt;0,
        VLOOKUP(CONCATENATE($K43,"|",AW$11,"|",$M$5),IuranDSSebelumnya!$I$330:$N$772,5,FALSE),
        IF(COUNTIFS(IuranDSSebelumnya!$J$330:$J$772,$K43,IuranDSSebelumnya!$M$330:$M$772,AW$11,IuranDSSebelumnya!$L$330:$L$772,"&lt;&gt;"&amp;$M$5)&gt;0,
              "Iuran dari Lingkungan lain",
              ""))</t>
  </si>
  <si>
    <t>=IF(COUNTIFS(IuranDSSebelumnya!$J$330:$J$772,$K43,IuranDSSebelumnya!$M$330:$M$772,AX$11,IuranDSSebelumnya!$L$330:$L$772,$M$5)&gt;0,
        VLOOKUP(CONCATENATE($K43,"|",AX$11,"|",$M$5),IuranDSSebelumnya!$I$330:$N$772,5,FALSE),
        IF(COUNTIFS(IuranDSSebelumnya!$J$330:$J$772,$K43,IuranDSSebelumnya!$M$330:$M$772,AX$11,IuranDSSebelumnya!$L$330:$L$772,"&lt;&gt;"&amp;$M$5)&gt;0,
              "Iuran dari Lingkungan lain",
              ""))</t>
  </si>
  <si>
    <t>=IF(COUNTIFS(IuranDSSebelumnya!$J$330:$J$772,$K43,IuranDSSebelumnya!$M$330:$M$772,AY$11,IuranDSSebelumnya!$L$330:$L$772,$M$5)&gt;0,
        VLOOKUP(CONCATENATE($K43,"|",AY$11,"|",$M$5),IuranDSSebelumnya!$I$330:$N$772,5,FALSE),
        IF(COUNTIFS(IuranDSSebelumnya!$J$330:$J$772,$K43,IuranDSSebelumnya!$M$330:$M$772,AY$11,IuranDSSebelumnya!$L$330:$L$772,"&lt;&gt;"&amp;$M$5)&gt;0,
              "Iuran dari Lingkungan lain",
              ""))</t>
  </si>
  <si>
    <t>=IF(COUNTIFS(IuranDSSebelumnya!$J$330:$J$772,$K43,IuranDSSebelumnya!$M$330:$M$772,AZ$11,IuranDSSebelumnya!$L$330:$L$772,$M$5)&gt;0,
        VLOOKUP(CONCATENATE($K43,"|",AZ$11,"|",$M$5),IuranDSSebelumnya!$I$330:$N$772,5,FALSE),
        IF(COUNTIFS(IuranDSSebelumnya!$J$330:$J$772,$K43,IuranDSSebelumnya!$M$330:$M$772,AZ$11,IuranDSSebelumnya!$L$330:$L$772,"&lt;&gt;"&amp;$M$5)&gt;0,
              "Iuran dari Lingkungan lain",
              ""))</t>
  </si>
  <si>
    <t>=IF(COUNTIFS(IuranDSSebelumnya!$J$330:$J$772,$K43,IuranDSSebelumnya!$M$330:$M$772,BA$11,IuranDSSebelumnya!$L$330:$L$772,$M$5)&gt;0,
        VLOOKUP(CONCATENATE($K43,"|",BA$11,"|",$M$5),IuranDSSebelumnya!$I$330:$N$772,5,FALSE),
        IF(COUNTIFS(IuranDSSebelumnya!$J$330:$J$772,$K43,IuranDSSebelumnya!$M$330:$M$772,BA$11,IuranDSSebelumnya!$L$330:$L$772,"&lt;&gt;"&amp;$M$5)&gt;0,
              "Iuran dari Lingkungan lain",
              ""))</t>
  </si>
  <si>
    <t>=IF(COUNTIFS(IuranDSSebelumnya!$J$330:$J$772,$K43,IuranDSSebelumnya!$M$330:$M$772,BB$11,IuranDSSebelumnya!$L$330:$L$772,$M$5)&gt;0,
        VLOOKUP(CONCATENATE($K43,"|",BB$11,"|",$M$5),IuranDSSebelumnya!$I$330:$N$772,5,FALSE),
        IF(COUNTIFS(IuranDSSebelumnya!$J$330:$J$772,$K43,IuranDSSebelumnya!$M$330:$M$772,BB$11,IuranDSSebelumnya!$L$330:$L$772,"&lt;&gt;"&amp;$M$5)&gt;0,
              "Iuran dari Lingkungan lain",
              ""))</t>
  </si>
  <si>
    <t>=IF(COUNTIFS(IuranDSSebelumnya!$J$330:$J$772,$K43,IuranDSSebelumnya!$M$330:$M$772,BC$11,IuranDSSebelumnya!$L$330:$L$772,$M$5)&gt;0,
        VLOOKUP(CONCATENATE($K43,"|",BC$11,"|",$M$5),IuranDSSebelumnya!$I$330:$N$772,5,FALSE),
        IF(COUNTIFS(IuranDSSebelumnya!$J$330:$J$772,$K43,IuranDSSebelumnya!$M$330:$M$772,BC$11,IuranDSSebelumnya!$L$330:$L$772,"&lt;&gt;"&amp;$M$5)&gt;0,
              "Iuran dari Lingkungan lain",
              ""))</t>
  </si>
  <si>
    <t>=IF(COUNTIFS(IuranDSSebelumnya!$J$330:$J$772,$K43,IuranDSSebelumnya!$M$330:$M$772,BD$11,IuranDSSebelumnya!$L$330:$L$772,$M$5)&gt;0,
        VLOOKUP(CONCATENATE($K43,"|",BD$11,"|",$M$5),IuranDSSebelumnya!$I$330:$N$772,5,FALSE),
        IF(COUNTIFS(IuranDSSebelumnya!$J$330:$J$772,$K43,IuranDSSebelumnya!$M$330:$M$772,BD$11,IuranDSSebelumnya!$L$330:$L$772,"&lt;&gt;"&amp;$M$5)&gt;0,
              "Iuran dari Lingkungan lain",
              ""))</t>
  </si>
  <si>
    <t>=IF(COUNTIFS(IuranDSSebelumnya!$J$330:$J$772,$K43,IuranDSSebelumnya!$M$330:$M$772,BE$11,IuranDSSebelumnya!$L$330:$L$772,$M$5)&gt;0,
        VLOOKUP(CONCATENATE($K43,"|",BE$11,"|",$M$5),IuranDSSebelumnya!$I$330:$N$772,5,FALSE),
        IF(COUNTIFS(IuranDSSebelumnya!$J$330:$J$772,$K43,IuranDSSebelumnya!$M$330:$M$772,BE$11,IuranDSSebelumnya!$L$330:$L$772,"&lt;&gt;"&amp;$M$5)&gt;0,
              "Iuran dari Lingkungan lain",
              ""))</t>
  </si>
  <si>
    <t>=IF(COUNTIFS(IuranDSSebelumnya!$J$330:$J$772,$K43,IuranDSSebelumnya!$M$330:$M$772,BF$11,IuranDSSebelumnya!$L$330:$L$772,$M$5)&gt;0,
        VLOOKUP(CONCATENATE($K43,"|",BF$11,"|",$M$5),IuranDSSebelumnya!$I$330:$N$772,5,FALSE),
        IF(COUNTIFS(IuranDSSebelumnya!$J$330:$J$772,$K43,IuranDSSebelumnya!$M$330:$M$772,BF$11,IuranDSSebelumnya!$L$330:$L$772,"&lt;&gt;"&amp;$M$5)&gt;0,
              "Iuran dari Lingkungan lain",
              ""))</t>
  </si>
  <si>
    <t>=IF(COUNTIFS(IuranDSSebelumnya!$J$330:$J$772,$K43,IuranDSSebelumnya!$M$330:$M$772,BG$11,IuranDSSebelumnya!$L$330:$L$772,$M$5)&gt;0,
        VLOOKUP(CONCATENATE($K43,"|",BG$11,"|",$M$5),IuranDSSebelumnya!$I$330:$N$772,5,FALSE),
        IF(COUNTIFS(IuranDSSebelumnya!$J$330:$J$772,$K43,IuranDSSebelumnya!$M$330:$M$772,BG$11,IuranDSSebelumnya!$L$330:$L$772,"&lt;&gt;"&amp;$M$5)&gt;0,
              "Iuran dari Lingkungan lain",
              ""))</t>
  </si>
  <si>
    <t>=IF(COUNTIFS(IuranDSSebelumnya!$J$330:$J$772,$K43,IuranDSSebelumnya!$M$330:$M$772,BH$11,IuranDSSebelumnya!$L$330:$L$772,$M$5)&gt;0,
        VLOOKUP(CONCATENATE($K43,"|",BH$11,"|",$M$5),IuranDSSebelumnya!$I$330:$N$772,5,FALSE),
        IF(COUNTIFS(IuranDSSebelumnya!$J$330:$J$772,$K43,IuranDSSebelumnya!$M$330:$M$772,BH$11,IuranDSSebelumnya!$L$330:$L$772,"&lt;&gt;"&amp;$M$5)&gt;0,
              "Iuran dari Lingkungan lain",
              ""))</t>
  </si>
  <si>
    <t>=IF(COUNTIFS(IuranDSSebelumnya!$J$330:$J$772,$K43,IuranDSSebelumnya!$M$330:$M$772,BI$11,IuranDSSebelumnya!$L$330:$L$772,$M$5)&gt;0,
        VLOOKUP(CONCATENATE($K43,"|",BI$11,"|",$M$5),IuranDSSebelumnya!$I$330:$N$772,5,FALSE),
        IF(COUNTIFS(IuranDSSebelumnya!$J$330:$J$772,$K43,IuranDSSebelumnya!$M$330:$M$772,BI$11,IuranDSSebelumnya!$L$330:$L$772,"&lt;&gt;"&amp;$M$5)&gt;0,
              "Iuran dari Lingkungan lain",
              ""))</t>
  </si>
  <si>
    <t>=IF(COUNTIFS(IuranDSSebelumnya!$J$330:$J$772,$K43,IuranDSSebelumnya!$M$330:$M$772,BJ$11,IuranDSSebelumnya!$L$330:$L$772,$M$5)&gt;0,
        VLOOKUP(CONCATENATE($K43,"|",BJ$11,"|",$M$5),IuranDSSebelumnya!$I$330:$N$772,5,FALSE),
        IF(COUNTIFS(IuranDSSebelumnya!$J$330:$J$772,$K43,IuranDSSebelumnya!$M$330:$M$772,BJ$11,IuranDSSebelumnya!$L$330:$L$772,"&lt;&gt;"&amp;$M$5)&gt;0,
              "Iuran dari Lingkungan lain",
              ""))</t>
  </si>
  <si>
    <t>=IF(COUNTIFS(IuranDSSebelumnya!$J$330:$J$772,$K43,IuranDSSebelumnya!$M$330:$M$772,BK$11,IuranDSSebelumnya!$L$330:$L$772,$M$5)&gt;0,
        VLOOKUP(CONCATENATE($K43,"|",BK$11,"|",$M$5),IuranDSSebelumnya!$I$330:$N$772,5,FALSE),
        IF(COUNTIFS(IuranDSSebelumnya!$J$330:$J$772,$K43,IuranDSSebelumnya!$M$330:$M$772,BK$11,IuranDSSebelumnya!$L$330:$L$772,"&lt;&gt;"&amp;$M$5)&gt;0,
              "Iuran dari Lingkungan lain",
              ""))</t>
  </si>
  <si>
    <t>=IF(COUNTIFS(IuranDSSebelumnya!$J$330:$J$772,$K43,IuranDSSebelumnya!$M$330:$M$772,BL$11,IuranDSSebelumnya!$L$330:$L$772,$M$5)&gt;0,
        VLOOKUP(CONCATENATE($K43,"|",BL$11,"|",$M$5),IuranDSSebelumnya!$I$330:$N$772,5,FALSE),
        IF(COUNTIFS(IuranDSSebelumnya!$J$330:$J$772,$K43,IuranDSSebelumnya!$M$330:$M$772,BL$11,IuranDSSebelumnya!$L$330:$L$772,"&lt;&gt;"&amp;$M$5)&gt;0,
              "Iuran dari Lingkungan lain",
              ""))</t>
  </si>
  <si>
    <t>=CELL("row")=CELL("row",C44)</t>
  </si>
  <si>
    <t>="""TRUST Nav"",""HSPMTB2016"",""18"",""1"",""KK-04617"""</t>
  </si>
  <si>
    <t>=IF(AND($AL44=0,$J44=1)=TRUE,0,
        IF(AND($AL44&gt;0,$J44=1)=TRUE,1,
              IF(AND(H43=$H$12,$J44&gt;1)=TRUE,0,
                    IF(AND($AL44=0,$J44&gt;1),H43,
                         H43+1))))</t>
  </si>
  <si>
    <t>=IF(J43="No.",1,J43+1)</t>
  </si>
  <si>
    <t>=SUM(N44:AK44)</t>
  </si>
  <si>
    <t>=IF(COUNTIFS(IuranDSSebelumnya!$J$330:$J$772,$K44,IuranDSSebelumnya!$M$330:$M$772,AO$11,IuranDSSebelumnya!$L$330:$L$772,$M$5)&gt;0,
        VLOOKUP(CONCATENATE($K44,"|",AO$11,"|",$M$5),IuranDSSebelumnya!$I$330:$N$772,5,FALSE),
        IF(COUNTIFS(IuranDSSebelumnya!$J$330:$J$772,$K44,IuranDSSebelumnya!$M$330:$M$772,AO$11,IuranDSSebelumnya!$L$330:$L$772,"&lt;&gt;"&amp;$M$5)&gt;0,
              "Iuran dari Lingkungan lain",
              ""))</t>
  </si>
  <si>
    <t>=IF(COUNTIFS(IuranDSSebelumnya!$J$330:$J$772,$K44,IuranDSSebelumnya!$M$330:$M$772,AP$11,IuranDSSebelumnya!$L$330:$L$772,$M$5)&gt;0,
        VLOOKUP(CONCATENATE($K44,"|",AP$11,"|",$M$5),IuranDSSebelumnya!$I$330:$N$772,5,FALSE),
        IF(COUNTIFS(IuranDSSebelumnya!$J$330:$J$772,$K44,IuranDSSebelumnya!$M$330:$M$772,AP$11,IuranDSSebelumnya!$L$330:$L$772,"&lt;&gt;"&amp;$M$5)&gt;0,
              "Iuran dari Lingkungan lain",
              ""))</t>
  </si>
  <si>
    <t>=IF(COUNTIFS(IuranDSSebelumnya!$J$330:$J$772,$K44,IuranDSSebelumnya!$M$330:$M$772,AQ$11,IuranDSSebelumnya!$L$330:$L$772,$M$5)&gt;0,
        VLOOKUP(CONCATENATE($K44,"|",AQ$11,"|",$M$5),IuranDSSebelumnya!$I$330:$N$772,5,FALSE),
        IF(COUNTIFS(IuranDSSebelumnya!$J$330:$J$772,$K44,IuranDSSebelumnya!$M$330:$M$772,AQ$11,IuranDSSebelumnya!$L$330:$L$772,"&lt;&gt;"&amp;$M$5)&gt;0,
              "Iuran dari Lingkungan lain",
              ""))</t>
  </si>
  <si>
    <t>=IF(COUNTIFS(IuranDSSebelumnya!$J$330:$J$772,$K44,IuranDSSebelumnya!$M$330:$M$772,AR$11,IuranDSSebelumnya!$L$330:$L$772,$M$5)&gt;0,
        VLOOKUP(CONCATENATE($K44,"|",AR$11,"|",$M$5),IuranDSSebelumnya!$I$330:$N$772,5,FALSE),
        IF(COUNTIFS(IuranDSSebelumnya!$J$330:$J$772,$K44,IuranDSSebelumnya!$M$330:$M$772,AR$11,IuranDSSebelumnya!$L$330:$L$772,"&lt;&gt;"&amp;$M$5)&gt;0,
              "Iuran dari Lingkungan lain",
              ""))</t>
  </si>
  <si>
    <t>=IF(COUNTIFS(IuranDSSebelumnya!$J$330:$J$772,$K44,IuranDSSebelumnya!$M$330:$M$772,AS$11,IuranDSSebelumnya!$L$330:$L$772,$M$5)&gt;0,
        VLOOKUP(CONCATENATE($K44,"|",AS$11,"|",$M$5),IuranDSSebelumnya!$I$330:$N$772,5,FALSE),
        IF(COUNTIFS(IuranDSSebelumnya!$J$330:$J$772,$K44,IuranDSSebelumnya!$M$330:$M$772,AS$11,IuranDSSebelumnya!$L$330:$L$772,"&lt;&gt;"&amp;$M$5)&gt;0,
              "Iuran dari Lingkungan lain",
              ""))</t>
  </si>
  <si>
    <t>=IF(COUNTIFS(IuranDSSebelumnya!$J$330:$J$772,$K44,IuranDSSebelumnya!$M$330:$M$772,AT$11,IuranDSSebelumnya!$L$330:$L$772,$M$5)&gt;0,
        VLOOKUP(CONCATENATE($K44,"|",AT$11,"|",$M$5),IuranDSSebelumnya!$I$330:$N$772,5,FALSE),
        IF(COUNTIFS(IuranDSSebelumnya!$J$330:$J$772,$K44,IuranDSSebelumnya!$M$330:$M$772,AT$11,IuranDSSebelumnya!$L$330:$L$772,"&lt;&gt;"&amp;$M$5)&gt;0,
              "Iuran dari Lingkungan lain",
              ""))</t>
  </si>
  <si>
    <t>=IF(COUNTIFS(IuranDSSebelumnya!$J$330:$J$772,$K44,IuranDSSebelumnya!$M$330:$M$772,AU$11,IuranDSSebelumnya!$L$330:$L$772,$M$5)&gt;0,
        VLOOKUP(CONCATENATE($K44,"|",AU$11,"|",$M$5),IuranDSSebelumnya!$I$330:$N$772,5,FALSE),
        IF(COUNTIFS(IuranDSSebelumnya!$J$330:$J$772,$K44,IuranDSSebelumnya!$M$330:$M$772,AU$11,IuranDSSebelumnya!$L$330:$L$772,"&lt;&gt;"&amp;$M$5)&gt;0,
              "Iuran dari Lingkungan lain",
              ""))</t>
  </si>
  <si>
    <t>=IF(COUNTIFS(IuranDSSebelumnya!$J$330:$J$772,$K44,IuranDSSebelumnya!$M$330:$M$772,AV$11,IuranDSSebelumnya!$L$330:$L$772,$M$5)&gt;0,
        VLOOKUP(CONCATENATE($K44,"|",AV$11,"|",$M$5),IuranDSSebelumnya!$I$330:$N$772,5,FALSE),
        IF(COUNTIFS(IuranDSSebelumnya!$J$330:$J$772,$K44,IuranDSSebelumnya!$M$330:$M$772,AV$11,IuranDSSebelumnya!$L$330:$L$772,"&lt;&gt;"&amp;$M$5)&gt;0,
              "Iuran dari Lingkungan lain",
              ""))</t>
  </si>
  <si>
    <t>=IF(COUNTIFS(IuranDSSebelumnya!$J$330:$J$772,$K44,IuranDSSebelumnya!$M$330:$M$772,AW$11,IuranDSSebelumnya!$L$330:$L$772,$M$5)&gt;0,
        VLOOKUP(CONCATENATE($K44,"|",AW$11,"|",$M$5),IuranDSSebelumnya!$I$330:$N$772,5,FALSE),
        IF(COUNTIFS(IuranDSSebelumnya!$J$330:$J$772,$K44,IuranDSSebelumnya!$M$330:$M$772,AW$11,IuranDSSebelumnya!$L$330:$L$772,"&lt;&gt;"&amp;$M$5)&gt;0,
              "Iuran dari Lingkungan lain",
              ""))</t>
  </si>
  <si>
    <t>=IF(COUNTIFS(IuranDSSebelumnya!$J$330:$J$772,$K44,IuranDSSebelumnya!$M$330:$M$772,AX$11,IuranDSSebelumnya!$L$330:$L$772,$M$5)&gt;0,
        VLOOKUP(CONCATENATE($K44,"|",AX$11,"|",$M$5),IuranDSSebelumnya!$I$330:$N$772,5,FALSE),
        IF(COUNTIFS(IuranDSSebelumnya!$J$330:$J$772,$K44,IuranDSSebelumnya!$M$330:$M$772,AX$11,IuranDSSebelumnya!$L$330:$L$772,"&lt;&gt;"&amp;$M$5)&gt;0,
              "Iuran dari Lingkungan lain",
              ""))</t>
  </si>
  <si>
    <t>=IF(COUNTIFS(IuranDSSebelumnya!$J$330:$J$772,$K44,IuranDSSebelumnya!$M$330:$M$772,AY$11,IuranDSSebelumnya!$L$330:$L$772,$M$5)&gt;0,
        VLOOKUP(CONCATENATE($K44,"|",AY$11,"|",$M$5),IuranDSSebelumnya!$I$330:$N$772,5,FALSE),
        IF(COUNTIFS(IuranDSSebelumnya!$J$330:$J$772,$K44,IuranDSSebelumnya!$M$330:$M$772,AY$11,IuranDSSebelumnya!$L$330:$L$772,"&lt;&gt;"&amp;$M$5)&gt;0,
              "Iuran dari Lingkungan lain",
              ""))</t>
  </si>
  <si>
    <t>=IF(COUNTIFS(IuranDSSebelumnya!$J$330:$J$772,$K44,IuranDSSebelumnya!$M$330:$M$772,AZ$11,IuranDSSebelumnya!$L$330:$L$772,$M$5)&gt;0,
        VLOOKUP(CONCATENATE($K44,"|",AZ$11,"|",$M$5),IuranDSSebelumnya!$I$330:$N$772,5,FALSE),
        IF(COUNTIFS(IuranDSSebelumnya!$J$330:$J$772,$K44,IuranDSSebelumnya!$M$330:$M$772,AZ$11,IuranDSSebelumnya!$L$330:$L$772,"&lt;&gt;"&amp;$M$5)&gt;0,
              "Iuran dari Lingkungan lain",
              ""))</t>
  </si>
  <si>
    <t>=IF(COUNTIFS(IuranDSSebelumnya!$J$330:$J$772,$K44,IuranDSSebelumnya!$M$330:$M$772,BA$11,IuranDSSebelumnya!$L$330:$L$772,$M$5)&gt;0,
        VLOOKUP(CONCATENATE($K44,"|",BA$11,"|",$M$5),IuranDSSebelumnya!$I$330:$N$772,5,FALSE),
        IF(COUNTIFS(IuranDSSebelumnya!$J$330:$J$772,$K44,IuranDSSebelumnya!$M$330:$M$772,BA$11,IuranDSSebelumnya!$L$330:$L$772,"&lt;&gt;"&amp;$M$5)&gt;0,
              "Iuran dari Lingkungan lain",
              ""))</t>
  </si>
  <si>
    <t>=IF(COUNTIFS(IuranDSSebelumnya!$J$330:$J$772,$K44,IuranDSSebelumnya!$M$330:$M$772,BB$11,IuranDSSebelumnya!$L$330:$L$772,$M$5)&gt;0,
        VLOOKUP(CONCATENATE($K44,"|",BB$11,"|",$M$5),IuranDSSebelumnya!$I$330:$N$772,5,FALSE),
        IF(COUNTIFS(IuranDSSebelumnya!$J$330:$J$772,$K44,IuranDSSebelumnya!$M$330:$M$772,BB$11,IuranDSSebelumnya!$L$330:$L$772,"&lt;&gt;"&amp;$M$5)&gt;0,
              "Iuran dari Lingkungan lain",
              ""))</t>
  </si>
  <si>
    <t>=IF(COUNTIFS(IuranDSSebelumnya!$J$330:$J$772,$K44,IuranDSSebelumnya!$M$330:$M$772,BC$11,IuranDSSebelumnya!$L$330:$L$772,$M$5)&gt;0,
        VLOOKUP(CONCATENATE($K44,"|",BC$11,"|",$M$5),IuranDSSebelumnya!$I$330:$N$772,5,FALSE),
        IF(COUNTIFS(IuranDSSebelumnya!$J$330:$J$772,$K44,IuranDSSebelumnya!$M$330:$M$772,BC$11,IuranDSSebelumnya!$L$330:$L$772,"&lt;&gt;"&amp;$M$5)&gt;0,
              "Iuran dari Lingkungan lain",
              ""))</t>
  </si>
  <si>
    <t>=IF(COUNTIFS(IuranDSSebelumnya!$J$330:$J$772,$K44,IuranDSSebelumnya!$M$330:$M$772,BD$11,IuranDSSebelumnya!$L$330:$L$772,$M$5)&gt;0,
        VLOOKUP(CONCATENATE($K44,"|",BD$11,"|",$M$5),IuranDSSebelumnya!$I$330:$N$772,5,FALSE),
        IF(COUNTIFS(IuranDSSebelumnya!$J$330:$J$772,$K44,IuranDSSebelumnya!$M$330:$M$772,BD$11,IuranDSSebelumnya!$L$330:$L$772,"&lt;&gt;"&amp;$M$5)&gt;0,
              "Iuran dari Lingkungan lain",
              ""))</t>
  </si>
  <si>
    <t>=IF(COUNTIFS(IuranDSSebelumnya!$J$330:$J$772,$K44,IuranDSSebelumnya!$M$330:$M$772,BE$11,IuranDSSebelumnya!$L$330:$L$772,$M$5)&gt;0,
        VLOOKUP(CONCATENATE($K44,"|",BE$11,"|",$M$5),IuranDSSebelumnya!$I$330:$N$772,5,FALSE),
        IF(COUNTIFS(IuranDSSebelumnya!$J$330:$J$772,$K44,IuranDSSebelumnya!$M$330:$M$772,BE$11,IuranDSSebelumnya!$L$330:$L$772,"&lt;&gt;"&amp;$M$5)&gt;0,
              "Iuran dari Lingkungan lain",
              ""))</t>
  </si>
  <si>
    <t>=IF(COUNTIFS(IuranDSSebelumnya!$J$330:$J$772,$K44,IuranDSSebelumnya!$M$330:$M$772,BF$11,IuranDSSebelumnya!$L$330:$L$772,$M$5)&gt;0,
        VLOOKUP(CONCATENATE($K44,"|",BF$11,"|",$M$5),IuranDSSebelumnya!$I$330:$N$772,5,FALSE),
        IF(COUNTIFS(IuranDSSebelumnya!$J$330:$J$772,$K44,IuranDSSebelumnya!$M$330:$M$772,BF$11,IuranDSSebelumnya!$L$330:$L$772,"&lt;&gt;"&amp;$M$5)&gt;0,
              "Iuran dari Lingkungan lain",
              ""))</t>
  </si>
  <si>
    <t>=IF(COUNTIFS(IuranDSSebelumnya!$J$330:$J$772,$K44,IuranDSSebelumnya!$M$330:$M$772,BG$11,IuranDSSebelumnya!$L$330:$L$772,$M$5)&gt;0,
        VLOOKUP(CONCATENATE($K44,"|",BG$11,"|",$M$5),IuranDSSebelumnya!$I$330:$N$772,5,FALSE),
        IF(COUNTIFS(IuranDSSebelumnya!$J$330:$J$772,$K44,IuranDSSebelumnya!$M$330:$M$772,BG$11,IuranDSSebelumnya!$L$330:$L$772,"&lt;&gt;"&amp;$M$5)&gt;0,
              "Iuran dari Lingkungan lain",
              ""))</t>
  </si>
  <si>
    <t>=IF(COUNTIFS(IuranDSSebelumnya!$J$330:$J$772,$K44,IuranDSSebelumnya!$M$330:$M$772,BH$11,IuranDSSebelumnya!$L$330:$L$772,$M$5)&gt;0,
        VLOOKUP(CONCATENATE($K44,"|",BH$11,"|",$M$5),IuranDSSebelumnya!$I$330:$N$772,5,FALSE),
        IF(COUNTIFS(IuranDSSebelumnya!$J$330:$J$772,$K44,IuranDSSebelumnya!$M$330:$M$772,BH$11,IuranDSSebelumnya!$L$330:$L$772,"&lt;&gt;"&amp;$M$5)&gt;0,
              "Iuran dari Lingkungan lain",
              ""))</t>
  </si>
  <si>
    <t>=IF(COUNTIFS(IuranDSSebelumnya!$J$330:$J$772,$K44,IuranDSSebelumnya!$M$330:$M$772,BI$11,IuranDSSebelumnya!$L$330:$L$772,$M$5)&gt;0,
        VLOOKUP(CONCATENATE($K44,"|",BI$11,"|",$M$5),IuranDSSebelumnya!$I$330:$N$772,5,FALSE),
        IF(COUNTIFS(IuranDSSebelumnya!$J$330:$J$772,$K44,IuranDSSebelumnya!$M$330:$M$772,BI$11,IuranDSSebelumnya!$L$330:$L$772,"&lt;&gt;"&amp;$M$5)&gt;0,
              "Iuran dari Lingkungan lain",
              ""))</t>
  </si>
  <si>
    <t>=IF(COUNTIFS(IuranDSSebelumnya!$J$330:$J$772,$K44,IuranDSSebelumnya!$M$330:$M$772,BJ$11,IuranDSSebelumnya!$L$330:$L$772,$M$5)&gt;0,
        VLOOKUP(CONCATENATE($K44,"|",BJ$11,"|",$M$5),IuranDSSebelumnya!$I$330:$N$772,5,FALSE),
        IF(COUNTIFS(IuranDSSebelumnya!$J$330:$J$772,$K44,IuranDSSebelumnya!$M$330:$M$772,BJ$11,IuranDSSebelumnya!$L$330:$L$772,"&lt;&gt;"&amp;$M$5)&gt;0,
              "Iuran dari Lingkungan lain",
              ""))</t>
  </si>
  <si>
    <t>=IF(COUNTIFS(IuranDSSebelumnya!$J$330:$J$772,$K44,IuranDSSebelumnya!$M$330:$M$772,BK$11,IuranDSSebelumnya!$L$330:$L$772,$M$5)&gt;0,
        VLOOKUP(CONCATENATE($K44,"|",BK$11,"|",$M$5),IuranDSSebelumnya!$I$330:$N$772,5,FALSE),
        IF(COUNTIFS(IuranDSSebelumnya!$J$330:$J$772,$K44,IuranDSSebelumnya!$M$330:$M$772,BK$11,IuranDSSebelumnya!$L$330:$L$772,"&lt;&gt;"&amp;$M$5)&gt;0,
              "Iuran dari Lingkungan lain",
              ""))</t>
  </si>
  <si>
    <t>=IF(COUNTIFS(IuranDSSebelumnya!$J$330:$J$772,$K44,IuranDSSebelumnya!$M$330:$M$772,BL$11,IuranDSSebelumnya!$L$330:$L$772,$M$5)&gt;0,
        VLOOKUP(CONCATENATE($K44,"|",BL$11,"|",$M$5),IuranDSSebelumnya!$I$330:$N$772,5,FALSE),
        IF(COUNTIFS(IuranDSSebelumnya!$J$330:$J$772,$K44,IuranDSSebelumnya!$M$330:$M$772,BL$11,IuranDSSebelumnya!$L$330:$L$772,"&lt;&gt;"&amp;$M$5)&gt;0,
              "Iuran dari Lingkungan lain",
              ""))</t>
  </si>
  <si>
    <t>=CELL("row")=CELL("row",C45)</t>
  </si>
  <si>
    <t>="""TRUST Nav"",""HSPMTB2016"",""18"",""1"",""KK-04618"""</t>
  </si>
  <si>
    <t>=IF(AND($AL45=0,$J45=1)=TRUE,0,
        IF(AND($AL45&gt;0,$J45=1)=TRUE,1,
              IF(AND(H44=$H$12,$J45&gt;1)=TRUE,0,
                    IF(AND($AL45=0,$J45&gt;1),H44,
                         H44+1))))</t>
  </si>
  <si>
    <t>=IF(J44="No.",1,J44+1)</t>
  </si>
  <si>
    <t>=SUM(N45:AK45)</t>
  </si>
  <si>
    <t>=IF(COUNTIFS(IuranDSSebelumnya!$J$330:$J$772,$K45,IuranDSSebelumnya!$M$330:$M$772,AO$11,IuranDSSebelumnya!$L$330:$L$772,$M$5)&gt;0,
        VLOOKUP(CONCATENATE($K45,"|",AO$11,"|",$M$5),IuranDSSebelumnya!$I$330:$N$772,5,FALSE),
        IF(COUNTIFS(IuranDSSebelumnya!$J$330:$J$772,$K45,IuranDSSebelumnya!$M$330:$M$772,AO$11,IuranDSSebelumnya!$L$330:$L$772,"&lt;&gt;"&amp;$M$5)&gt;0,
              "Iuran dari Lingkungan lain",
              ""))</t>
  </si>
  <si>
    <t>=IF(COUNTIFS(IuranDSSebelumnya!$J$330:$J$772,$K45,IuranDSSebelumnya!$M$330:$M$772,AP$11,IuranDSSebelumnya!$L$330:$L$772,$M$5)&gt;0,
        VLOOKUP(CONCATENATE($K45,"|",AP$11,"|",$M$5),IuranDSSebelumnya!$I$330:$N$772,5,FALSE),
        IF(COUNTIFS(IuranDSSebelumnya!$J$330:$J$772,$K45,IuranDSSebelumnya!$M$330:$M$772,AP$11,IuranDSSebelumnya!$L$330:$L$772,"&lt;&gt;"&amp;$M$5)&gt;0,
              "Iuran dari Lingkungan lain",
              ""))</t>
  </si>
  <si>
    <t>=IF(COUNTIFS(IuranDSSebelumnya!$J$330:$J$772,$K45,IuranDSSebelumnya!$M$330:$M$772,AQ$11,IuranDSSebelumnya!$L$330:$L$772,$M$5)&gt;0,
        VLOOKUP(CONCATENATE($K45,"|",AQ$11,"|",$M$5),IuranDSSebelumnya!$I$330:$N$772,5,FALSE),
        IF(COUNTIFS(IuranDSSebelumnya!$J$330:$J$772,$K45,IuranDSSebelumnya!$M$330:$M$772,AQ$11,IuranDSSebelumnya!$L$330:$L$772,"&lt;&gt;"&amp;$M$5)&gt;0,
              "Iuran dari Lingkungan lain",
              ""))</t>
  </si>
  <si>
    <t>=IF(COUNTIFS(IuranDSSebelumnya!$J$330:$J$772,$K45,IuranDSSebelumnya!$M$330:$M$772,AR$11,IuranDSSebelumnya!$L$330:$L$772,$M$5)&gt;0,
        VLOOKUP(CONCATENATE($K45,"|",AR$11,"|",$M$5),IuranDSSebelumnya!$I$330:$N$772,5,FALSE),
        IF(COUNTIFS(IuranDSSebelumnya!$J$330:$J$772,$K45,IuranDSSebelumnya!$M$330:$M$772,AR$11,IuranDSSebelumnya!$L$330:$L$772,"&lt;&gt;"&amp;$M$5)&gt;0,
              "Iuran dari Lingkungan lain",
              ""))</t>
  </si>
  <si>
    <t>=IF(COUNTIFS(IuranDSSebelumnya!$J$330:$J$772,$K45,IuranDSSebelumnya!$M$330:$M$772,AS$11,IuranDSSebelumnya!$L$330:$L$772,$M$5)&gt;0,
        VLOOKUP(CONCATENATE($K45,"|",AS$11,"|",$M$5),IuranDSSebelumnya!$I$330:$N$772,5,FALSE),
        IF(COUNTIFS(IuranDSSebelumnya!$J$330:$J$772,$K45,IuranDSSebelumnya!$M$330:$M$772,AS$11,IuranDSSebelumnya!$L$330:$L$772,"&lt;&gt;"&amp;$M$5)&gt;0,
              "Iuran dari Lingkungan lain",
              ""))</t>
  </si>
  <si>
    <t>=IF(COUNTIFS(IuranDSSebelumnya!$J$330:$J$772,$K45,IuranDSSebelumnya!$M$330:$M$772,AT$11,IuranDSSebelumnya!$L$330:$L$772,$M$5)&gt;0,
        VLOOKUP(CONCATENATE($K45,"|",AT$11,"|",$M$5),IuranDSSebelumnya!$I$330:$N$772,5,FALSE),
        IF(COUNTIFS(IuranDSSebelumnya!$J$330:$J$772,$K45,IuranDSSebelumnya!$M$330:$M$772,AT$11,IuranDSSebelumnya!$L$330:$L$772,"&lt;&gt;"&amp;$M$5)&gt;0,
              "Iuran dari Lingkungan lain",
              ""))</t>
  </si>
  <si>
    <t>=IF(COUNTIFS(IuranDSSebelumnya!$J$330:$J$772,$K45,IuranDSSebelumnya!$M$330:$M$772,AU$11,IuranDSSebelumnya!$L$330:$L$772,$M$5)&gt;0,
        VLOOKUP(CONCATENATE($K45,"|",AU$11,"|",$M$5),IuranDSSebelumnya!$I$330:$N$772,5,FALSE),
        IF(COUNTIFS(IuranDSSebelumnya!$J$330:$J$772,$K45,IuranDSSebelumnya!$M$330:$M$772,AU$11,IuranDSSebelumnya!$L$330:$L$772,"&lt;&gt;"&amp;$M$5)&gt;0,
              "Iuran dari Lingkungan lain",
              ""))</t>
  </si>
  <si>
    <t>=IF(COUNTIFS(IuranDSSebelumnya!$J$330:$J$772,$K45,IuranDSSebelumnya!$M$330:$M$772,AV$11,IuranDSSebelumnya!$L$330:$L$772,$M$5)&gt;0,
        VLOOKUP(CONCATENATE($K45,"|",AV$11,"|",$M$5),IuranDSSebelumnya!$I$330:$N$772,5,FALSE),
        IF(COUNTIFS(IuranDSSebelumnya!$J$330:$J$772,$K45,IuranDSSebelumnya!$M$330:$M$772,AV$11,IuranDSSebelumnya!$L$330:$L$772,"&lt;&gt;"&amp;$M$5)&gt;0,
              "Iuran dari Lingkungan lain",
              ""))</t>
  </si>
  <si>
    <t>=IF(COUNTIFS(IuranDSSebelumnya!$J$330:$J$772,$K45,IuranDSSebelumnya!$M$330:$M$772,AW$11,IuranDSSebelumnya!$L$330:$L$772,$M$5)&gt;0,
        VLOOKUP(CONCATENATE($K45,"|",AW$11,"|",$M$5),IuranDSSebelumnya!$I$330:$N$772,5,FALSE),
        IF(COUNTIFS(IuranDSSebelumnya!$J$330:$J$772,$K45,IuranDSSebelumnya!$M$330:$M$772,AW$11,IuranDSSebelumnya!$L$330:$L$772,"&lt;&gt;"&amp;$M$5)&gt;0,
              "Iuran dari Lingkungan lain",
              ""))</t>
  </si>
  <si>
    <t>=IF(COUNTIFS(IuranDSSebelumnya!$J$330:$J$772,$K45,IuranDSSebelumnya!$M$330:$M$772,AX$11,IuranDSSebelumnya!$L$330:$L$772,$M$5)&gt;0,
        VLOOKUP(CONCATENATE($K45,"|",AX$11,"|",$M$5),IuranDSSebelumnya!$I$330:$N$772,5,FALSE),
        IF(COUNTIFS(IuranDSSebelumnya!$J$330:$J$772,$K45,IuranDSSebelumnya!$M$330:$M$772,AX$11,IuranDSSebelumnya!$L$330:$L$772,"&lt;&gt;"&amp;$M$5)&gt;0,
              "Iuran dari Lingkungan lain",
              ""))</t>
  </si>
  <si>
    <t>=IF(COUNTIFS(IuranDSSebelumnya!$J$330:$J$772,$K45,IuranDSSebelumnya!$M$330:$M$772,AY$11,IuranDSSebelumnya!$L$330:$L$772,$M$5)&gt;0,
        VLOOKUP(CONCATENATE($K45,"|",AY$11,"|",$M$5),IuranDSSebelumnya!$I$330:$N$772,5,FALSE),
        IF(COUNTIFS(IuranDSSebelumnya!$J$330:$J$772,$K45,IuranDSSebelumnya!$M$330:$M$772,AY$11,IuranDSSebelumnya!$L$330:$L$772,"&lt;&gt;"&amp;$M$5)&gt;0,
              "Iuran dari Lingkungan lain",
              ""))</t>
  </si>
  <si>
    <t>=IF(COUNTIFS(IuranDSSebelumnya!$J$330:$J$772,$K45,IuranDSSebelumnya!$M$330:$M$772,AZ$11,IuranDSSebelumnya!$L$330:$L$772,$M$5)&gt;0,
        VLOOKUP(CONCATENATE($K45,"|",AZ$11,"|",$M$5),IuranDSSebelumnya!$I$330:$N$772,5,FALSE),
        IF(COUNTIFS(IuranDSSebelumnya!$J$330:$J$772,$K45,IuranDSSebelumnya!$M$330:$M$772,AZ$11,IuranDSSebelumnya!$L$330:$L$772,"&lt;&gt;"&amp;$M$5)&gt;0,
              "Iuran dari Lingkungan lain",
              ""))</t>
  </si>
  <si>
    <t>=IF(COUNTIFS(IuranDSSebelumnya!$J$330:$J$772,$K45,IuranDSSebelumnya!$M$330:$M$772,BA$11,IuranDSSebelumnya!$L$330:$L$772,$M$5)&gt;0,
        VLOOKUP(CONCATENATE($K45,"|",BA$11,"|",$M$5),IuranDSSebelumnya!$I$330:$N$772,5,FALSE),
        IF(COUNTIFS(IuranDSSebelumnya!$J$330:$J$772,$K45,IuranDSSebelumnya!$M$330:$M$772,BA$11,IuranDSSebelumnya!$L$330:$L$772,"&lt;&gt;"&amp;$M$5)&gt;0,
              "Iuran dari Lingkungan lain",
              ""))</t>
  </si>
  <si>
    <t>=IF(COUNTIFS(IuranDSSebelumnya!$J$330:$J$772,$K45,IuranDSSebelumnya!$M$330:$M$772,BB$11,IuranDSSebelumnya!$L$330:$L$772,$M$5)&gt;0,
        VLOOKUP(CONCATENATE($K45,"|",BB$11,"|",$M$5),IuranDSSebelumnya!$I$330:$N$772,5,FALSE),
        IF(COUNTIFS(IuranDSSebelumnya!$J$330:$J$772,$K45,IuranDSSebelumnya!$M$330:$M$772,BB$11,IuranDSSebelumnya!$L$330:$L$772,"&lt;&gt;"&amp;$M$5)&gt;0,
              "Iuran dari Lingkungan lain",
              ""))</t>
  </si>
  <si>
    <t>=IF(COUNTIFS(IuranDSSebelumnya!$J$330:$J$772,$K45,IuranDSSebelumnya!$M$330:$M$772,BC$11,IuranDSSebelumnya!$L$330:$L$772,$M$5)&gt;0,
        VLOOKUP(CONCATENATE($K45,"|",BC$11,"|",$M$5),IuranDSSebelumnya!$I$330:$N$772,5,FALSE),
        IF(COUNTIFS(IuranDSSebelumnya!$J$330:$J$772,$K45,IuranDSSebelumnya!$M$330:$M$772,BC$11,IuranDSSebelumnya!$L$330:$L$772,"&lt;&gt;"&amp;$M$5)&gt;0,
              "Iuran dari Lingkungan lain",
              ""))</t>
  </si>
  <si>
    <t>=IF(COUNTIFS(IuranDSSebelumnya!$J$330:$J$772,$K45,IuranDSSebelumnya!$M$330:$M$772,BD$11,IuranDSSebelumnya!$L$330:$L$772,$M$5)&gt;0,
        VLOOKUP(CONCATENATE($K45,"|",BD$11,"|",$M$5),IuranDSSebelumnya!$I$330:$N$772,5,FALSE),
        IF(COUNTIFS(IuranDSSebelumnya!$J$330:$J$772,$K45,IuranDSSebelumnya!$M$330:$M$772,BD$11,IuranDSSebelumnya!$L$330:$L$772,"&lt;&gt;"&amp;$M$5)&gt;0,
              "Iuran dari Lingkungan lain",
              ""))</t>
  </si>
  <si>
    <t>=IF(COUNTIFS(IuranDSSebelumnya!$J$330:$J$772,$K45,IuranDSSebelumnya!$M$330:$M$772,BE$11,IuranDSSebelumnya!$L$330:$L$772,$M$5)&gt;0,
        VLOOKUP(CONCATENATE($K45,"|",BE$11,"|",$M$5),IuranDSSebelumnya!$I$330:$N$772,5,FALSE),
        IF(COUNTIFS(IuranDSSebelumnya!$J$330:$J$772,$K45,IuranDSSebelumnya!$M$330:$M$772,BE$11,IuranDSSebelumnya!$L$330:$L$772,"&lt;&gt;"&amp;$M$5)&gt;0,
              "Iuran dari Lingkungan lain",
              ""))</t>
  </si>
  <si>
    <t>=IF(COUNTIFS(IuranDSSebelumnya!$J$330:$J$772,$K45,IuranDSSebelumnya!$M$330:$M$772,BF$11,IuranDSSebelumnya!$L$330:$L$772,$M$5)&gt;0,
        VLOOKUP(CONCATENATE($K45,"|",BF$11,"|",$M$5),IuranDSSebelumnya!$I$330:$N$772,5,FALSE),
        IF(COUNTIFS(IuranDSSebelumnya!$J$330:$J$772,$K45,IuranDSSebelumnya!$M$330:$M$772,BF$11,IuranDSSebelumnya!$L$330:$L$772,"&lt;&gt;"&amp;$M$5)&gt;0,
              "Iuran dari Lingkungan lain",
              ""))</t>
  </si>
  <si>
    <t>=IF(COUNTIFS(IuranDSSebelumnya!$J$330:$J$772,$K45,IuranDSSebelumnya!$M$330:$M$772,BG$11,IuranDSSebelumnya!$L$330:$L$772,$M$5)&gt;0,
        VLOOKUP(CONCATENATE($K45,"|",BG$11,"|",$M$5),IuranDSSebelumnya!$I$330:$N$772,5,FALSE),
        IF(COUNTIFS(IuranDSSebelumnya!$J$330:$J$772,$K45,IuranDSSebelumnya!$M$330:$M$772,BG$11,IuranDSSebelumnya!$L$330:$L$772,"&lt;&gt;"&amp;$M$5)&gt;0,
              "Iuran dari Lingkungan lain",
              ""))</t>
  </si>
  <si>
    <t>=IF(COUNTIFS(IuranDSSebelumnya!$J$330:$J$772,$K45,IuranDSSebelumnya!$M$330:$M$772,BH$11,IuranDSSebelumnya!$L$330:$L$772,$M$5)&gt;0,
        VLOOKUP(CONCATENATE($K45,"|",BH$11,"|",$M$5),IuranDSSebelumnya!$I$330:$N$772,5,FALSE),
        IF(COUNTIFS(IuranDSSebelumnya!$J$330:$J$772,$K45,IuranDSSebelumnya!$M$330:$M$772,BH$11,IuranDSSebelumnya!$L$330:$L$772,"&lt;&gt;"&amp;$M$5)&gt;0,
              "Iuran dari Lingkungan lain",
              ""))</t>
  </si>
  <si>
    <t>=IF(COUNTIFS(IuranDSSebelumnya!$J$330:$J$772,$K45,IuranDSSebelumnya!$M$330:$M$772,BI$11,IuranDSSebelumnya!$L$330:$L$772,$M$5)&gt;0,
        VLOOKUP(CONCATENATE($K45,"|",BI$11,"|",$M$5),IuranDSSebelumnya!$I$330:$N$772,5,FALSE),
        IF(COUNTIFS(IuranDSSebelumnya!$J$330:$J$772,$K45,IuranDSSebelumnya!$M$330:$M$772,BI$11,IuranDSSebelumnya!$L$330:$L$772,"&lt;&gt;"&amp;$M$5)&gt;0,
              "Iuran dari Lingkungan lain",
              ""))</t>
  </si>
  <si>
    <t>=IF(COUNTIFS(IuranDSSebelumnya!$J$330:$J$772,$K45,IuranDSSebelumnya!$M$330:$M$772,BJ$11,IuranDSSebelumnya!$L$330:$L$772,$M$5)&gt;0,
        VLOOKUP(CONCATENATE($K45,"|",BJ$11,"|",$M$5),IuranDSSebelumnya!$I$330:$N$772,5,FALSE),
        IF(COUNTIFS(IuranDSSebelumnya!$J$330:$J$772,$K45,IuranDSSebelumnya!$M$330:$M$772,BJ$11,IuranDSSebelumnya!$L$330:$L$772,"&lt;&gt;"&amp;$M$5)&gt;0,
              "Iuran dari Lingkungan lain",
              ""))</t>
  </si>
  <si>
    <t>=IF(COUNTIFS(IuranDSSebelumnya!$J$330:$J$772,$K45,IuranDSSebelumnya!$M$330:$M$772,BK$11,IuranDSSebelumnya!$L$330:$L$772,$M$5)&gt;0,
        VLOOKUP(CONCATENATE($K45,"|",BK$11,"|",$M$5),IuranDSSebelumnya!$I$330:$N$772,5,FALSE),
        IF(COUNTIFS(IuranDSSebelumnya!$J$330:$J$772,$K45,IuranDSSebelumnya!$M$330:$M$772,BK$11,IuranDSSebelumnya!$L$330:$L$772,"&lt;&gt;"&amp;$M$5)&gt;0,
              "Iuran dari Lingkungan lain",
              ""))</t>
  </si>
  <si>
    <t>=IF(COUNTIFS(IuranDSSebelumnya!$J$330:$J$772,$K45,IuranDSSebelumnya!$M$330:$M$772,BL$11,IuranDSSebelumnya!$L$330:$L$772,$M$5)&gt;0,
        VLOOKUP(CONCATENATE($K45,"|",BL$11,"|",$M$5),IuranDSSebelumnya!$I$330:$N$772,5,FALSE),
        IF(COUNTIFS(IuranDSSebelumnya!$J$330:$J$772,$K45,IuranDSSebelumnya!$M$330:$M$772,BL$11,IuranDSSebelumnya!$L$330:$L$772,"&lt;&gt;"&amp;$M$5)&gt;0,
              "Iuran dari Lingkungan lain",
              ""))</t>
  </si>
  <si>
    <t>=CELL("row")=CELL("row",C46)</t>
  </si>
  <si>
    <t>="""TRUST Nav"",""HSPMTB2016"",""18"",""1"",""KK-04619"""</t>
  </si>
  <si>
    <t>=IF(AND($AL46=0,$J46=1)=TRUE,0,
        IF(AND($AL46&gt;0,$J46=1)=TRUE,1,
              IF(AND(H45=$H$12,$J46&gt;1)=TRUE,0,
                    IF(AND($AL46=0,$J46&gt;1),H45,
                         H45+1))))</t>
  </si>
  <si>
    <t>=IF(J45="No.",1,J45+1)</t>
  </si>
  <si>
    <t>=SUM(N46:AK46)</t>
  </si>
  <si>
    <t>=IF(COUNTIFS(IuranDSSebelumnya!$J$330:$J$772,$K46,IuranDSSebelumnya!$M$330:$M$772,AO$11,IuranDSSebelumnya!$L$330:$L$772,$M$5)&gt;0,
        VLOOKUP(CONCATENATE($K46,"|",AO$11,"|",$M$5),IuranDSSebelumnya!$I$330:$N$772,5,FALSE),
        IF(COUNTIFS(IuranDSSebelumnya!$J$330:$J$772,$K46,IuranDSSebelumnya!$M$330:$M$772,AO$11,IuranDSSebelumnya!$L$330:$L$772,"&lt;&gt;"&amp;$M$5)&gt;0,
              "Iuran dari Lingkungan lain",
              ""))</t>
  </si>
  <si>
    <t>=IF(COUNTIFS(IuranDSSebelumnya!$J$330:$J$772,$K46,IuranDSSebelumnya!$M$330:$M$772,AP$11,IuranDSSebelumnya!$L$330:$L$772,$M$5)&gt;0,
        VLOOKUP(CONCATENATE($K46,"|",AP$11,"|",$M$5),IuranDSSebelumnya!$I$330:$N$772,5,FALSE),
        IF(COUNTIFS(IuranDSSebelumnya!$J$330:$J$772,$K46,IuranDSSebelumnya!$M$330:$M$772,AP$11,IuranDSSebelumnya!$L$330:$L$772,"&lt;&gt;"&amp;$M$5)&gt;0,
              "Iuran dari Lingkungan lain",
              ""))</t>
  </si>
  <si>
    <t>=IF(COUNTIFS(IuranDSSebelumnya!$J$330:$J$772,$K46,IuranDSSebelumnya!$M$330:$M$772,AQ$11,IuranDSSebelumnya!$L$330:$L$772,$M$5)&gt;0,
        VLOOKUP(CONCATENATE($K46,"|",AQ$11,"|",$M$5),IuranDSSebelumnya!$I$330:$N$772,5,FALSE),
        IF(COUNTIFS(IuranDSSebelumnya!$J$330:$J$772,$K46,IuranDSSebelumnya!$M$330:$M$772,AQ$11,IuranDSSebelumnya!$L$330:$L$772,"&lt;&gt;"&amp;$M$5)&gt;0,
              "Iuran dari Lingkungan lain",
              ""))</t>
  </si>
  <si>
    <t>=IF(COUNTIFS(IuranDSSebelumnya!$J$330:$J$772,$K46,IuranDSSebelumnya!$M$330:$M$772,AR$11,IuranDSSebelumnya!$L$330:$L$772,$M$5)&gt;0,
        VLOOKUP(CONCATENATE($K46,"|",AR$11,"|",$M$5),IuranDSSebelumnya!$I$330:$N$772,5,FALSE),
        IF(COUNTIFS(IuranDSSebelumnya!$J$330:$J$772,$K46,IuranDSSebelumnya!$M$330:$M$772,AR$11,IuranDSSebelumnya!$L$330:$L$772,"&lt;&gt;"&amp;$M$5)&gt;0,
              "Iuran dari Lingkungan lain",
              ""))</t>
  </si>
  <si>
    <t>=IF(COUNTIFS(IuranDSSebelumnya!$J$330:$J$772,$K46,IuranDSSebelumnya!$M$330:$M$772,AS$11,IuranDSSebelumnya!$L$330:$L$772,$M$5)&gt;0,
        VLOOKUP(CONCATENATE($K46,"|",AS$11,"|",$M$5),IuranDSSebelumnya!$I$330:$N$772,5,FALSE),
        IF(COUNTIFS(IuranDSSebelumnya!$J$330:$J$772,$K46,IuranDSSebelumnya!$M$330:$M$772,AS$11,IuranDSSebelumnya!$L$330:$L$772,"&lt;&gt;"&amp;$M$5)&gt;0,
              "Iuran dari Lingkungan lain",
              ""))</t>
  </si>
  <si>
    <t>=IF(COUNTIFS(IuranDSSebelumnya!$J$330:$J$772,$K46,IuranDSSebelumnya!$M$330:$M$772,AT$11,IuranDSSebelumnya!$L$330:$L$772,$M$5)&gt;0,
        VLOOKUP(CONCATENATE($K46,"|",AT$11,"|",$M$5),IuranDSSebelumnya!$I$330:$N$772,5,FALSE),
        IF(COUNTIFS(IuranDSSebelumnya!$J$330:$J$772,$K46,IuranDSSebelumnya!$M$330:$M$772,AT$11,IuranDSSebelumnya!$L$330:$L$772,"&lt;&gt;"&amp;$M$5)&gt;0,
              "Iuran dari Lingkungan lain",
              ""))</t>
  </si>
  <si>
    <t>=IF(COUNTIFS(IuranDSSebelumnya!$J$330:$J$772,$K46,IuranDSSebelumnya!$M$330:$M$772,AU$11,IuranDSSebelumnya!$L$330:$L$772,$M$5)&gt;0,
        VLOOKUP(CONCATENATE($K46,"|",AU$11,"|",$M$5),IuranDSSebelumnya!$I$330:$N$772,5,FALSE),
        IF(COUNTIFS(IuranDSSebelumnya!$J$330:$J$772,$K46,IuranDSSebelumnya!$M$330:$M$772,AU$11,IuranDSSebelumnya!$L$330:$L$772,"&lt;&gt;"&amp;$M$5)&gt;0,
              "Iuran dari Lingkungan lain",
              ""))</t>
  </si>
  <si>
    <t>=IF(COUNTIFS(IuranDSSebelumnya!$J$330:$J$772,$K46,IuranDSSebelumnya!$M$330:$M$772,AV$11,IuranDSSebelumnya!$L$330:$L$772,$M$5)&gt;0,
        VLOOKUP(CONCATENATE($K46,"|",AV$11,"|",$M$5),IuranDSSebelumnya!$I$330:$N$772,5,FALSE),
        IF(COUNTIFS(IuranDSSebelumnya!$J$330:$J$772,$K46,IuranDSSebelumnya!$M$330:$M$772,AV$11,IuranDSSebelumnya!$L$330:$L$772,"&lt;&gt;"&amp;$M$5)&gt;0,
              "Iuran dari Lingkungan lain",
              ""))</t>
  </si>
  <si>
    <t>=IF(COUNTIFS(IuranDSSebelumnya!$J$330:$J$772,$K46,IuranDSSebelumnya!$M$330:$M$772,AW$11,IuranDSSebelumnya!$L$330:$L$772,$M$5)&gt;0,
        VLOOKUP(CONCATENATE($K46,"|",AW$11,"|",$M$5),IuranDSSebelumnya!$I$330:$N$772,5,FALSE),
        IF(COUNTIFS(IuranDSSebelumnya!$J$330:$J$772,$K46,IuranDSSebelumnya!$M$330:$M$772,AW$11,IuranDSSebelumnya!$L$330:$L$772,"&lt;&gt;"&amp;$M$5)&gt;0,
              "Iuran dari Lingkungan lain",
              ""))</t>
  </si>
  <si>
    <t>=IF(COUNTIFS(IuranDSSebelumnya!$J$330:$J$772,$K46,IuranDSSebelumnya!$M$330:$M$772,AX$11,IuranDSSebelumnya!$L$330:$L$772,$M$5)&gt;0,
        VLOOKUP(CONCATENATE($K46,"|",AX$11,"|",$M$5),IuranDSSebelumnya!$I$330:$N$772,5,FALSE),
        IF(COUNTIFS(IuranDSSebelumnya!$J$330:$J$772,$K46,IuranDSSebelumnya!$M$330:$M$772,AX$11,IuranDSSebelumnya!$L$330:$L$772,"&lt;&gt;"&amp;$M$5)&gt;0,
              "Iuran dari Lingkungan lain",
              ""))</t>
  </si>
  <si>
    <t>=IF(COUNTIFS(IuranDSSebelumnya!$J$330:$J$772,$K46,IuranDSSebelumnya!$M$330:$M$772,AY$11,IuranDSSebelumnya!$L$330:$L$772,$M$5)&gt;0,
        VLOOKUP(CONCATENATE($K46,"|",AY$11,"|",$M$5),IuranDSSebelumnya!$I$330:$N$772,5,FALSE),
        IF(COUNTIFS(IuranDSSebelumnya!$J$330:$J$772,$K46,IuranDSSebelumnya!$M$330:$M$772,AY$11,IuranDSSebelumnya!$L$330:$L$772,"&lt;&gt;"&amp;$M$5)&gt;0,
              "Iuran dari Lingkungan lain",
              ""))</t>
  </si>
  <si>
    <t>=IF(COUNTIFS(IuranDSSebelumnya!$J$330:$J$772,$K46,IuranDSSebelumnya!$M$330:$M$772,AZ$11,IuranDSSebelumnya!$L$330:$L$772,$M$5)&gt;0,
        VLOOKUP(CONCATENATE($K46,"|",AZ$11,"|",$M$5),IuranDSSebelumnya!$I$330:$N$772,5,FALSE),
        IF(COUNTIFS(IuranDSSebelumnya!$J$330:$J$772,$K46,IuranDSSebelumnya!$M$330:$M$772,AZ$11,IuranDSSebelumnya!$L$330:$L$772,"&lt;&gt;"&amp;$M$5)&gt;0,
              "Iuran dari Lingkungan lain",
              ""))</t>
  </si>
  <si>
    <t>=IF(COUNTIFS(IuranDSSebelumnya!$J$330:$J$772,$K46,IuranDSSebelumnya!$M$330:$M$772,BA$11,IuranDSSebelumnya!$L$330:$L$772,$M$5)&gt;0,
        VLOOKUP(CONCATENATE($K46,"|",BA$11,"|",$M$5),IuranDSSebelumnya!$I$330:$N$772,5,FALSE),
        IF(COUNTIFS(IuranDSSebelumnya!$J$330:$J$772,$K46,IuranDSSebelumnya!$M$330:$M$772,BA$11,IuranDSSebelumnya!$L$330:$L$772,"&lt;&gt;"&amp;$M$5)&gt;0,
              "Iuran dari Lingkungan lain",
              ""))</t>
  </si>
  <si>
    <t>=IF(COUNTIFS(IuranDSSebelumnya!$J$330:$J$772,$K46,IuranDSSebelumnya!$M$330:$M$772,BB$11,IuranDSSebelumnya!$L$330:$L$772,$M$5)&gt;0,
        VLOOKUP(CONCATENATE($K46,"|",BB$11,"|",$M$5),IuranDSSebelumnya!$I$330:$N$772,5,FALSE),
        IF(COUNTIFS(IuranDSSebelumnya!$J$330:$J$772,$K46,IuranDSSebelumnya!$M$330:$M$772,BB$11,IuranDSSebelumnya!$L$330:$L$772,"&lt;&gt;"&amp;$M$5)&gt;0,
              "Iuran dari Lingkungan lain",
              ""))</t>
  </si>
  <si>
    <t>=IF(COUNTIFS(IuranDSSebelumnya!$J$330:$J$772,$K46,IuranDSSebelumnya!$M$330:$M$772,BC$11,IuranDSSebelumnya!$L$330:$L$772,$M$5)&gt;0,
        VLOOKUP(CONCATENATE($K46,"|",BC$11,"|",$M$5),IuranDSSebelumnya!$I$330:$N$772,5,FALSE),
        IF(COUNTIFS(IuranDSSebelumnya!$J$330:$J$772,$K46,IuranDSSebelumnya!$M$330:$M$772,BC$11,IuranDSSebelumnya!$L$330:$L$772,"&lt;&gt;"&amp;$M$5)&gt;0,
              "Iuran dari Lingkungan lain",
              ""))</t>
  </si>
  <si>
    <t>=IF(COUNTIFS(IuranDSSebelumnya!$J$330:$J$772,$K46,IuranDSSebelumnya!$M$330:$M$772,BD$11,IuranDSSebelumnya!$L$330:$L$772,$M$5)&gt;0,
        VLOOKUP(CONCATENATE($K46,"|",BD$11,"|",$M$5),IuranDSSebelumnya!$I$330:$N$772,5,FALSE),
        IF(COUNTIFS(IuranDSSebelumnya!$J$330:$J$772,$K46,IuranDSSebelumnya!$M$330:$M$772,BD$11,IuranDSSebelumnya!$L$330:$L$772,"&lt;&gt;"&amp;$M$5)&gt;0,
              "Iuran dari Lingkungan lain",
              ""))</t>
  </si>
  <si>
    <t>=IF(COUNTIFS(IuranDSSebelumnya!$J$330:$J$772,$K46,IuranDSSebelumnya!$M$330:$M$772,BE$11,IuranDSSebelumnya!$L$330:$L$772,$M$5)&gt;0,
        VLOOKUP(CONCATENATE($K46,"|",BE$11,"|",$M$5),IuranDSSebelumnya!$I$330:$N$772,5,FALSE),
        IF(COUNTIFS(IuranDSSebelumnya!$J$330:$J$772,$K46,IuranDSSebelumnya!$M$330:$M$772,BE$11,IuranDSSebelumnya!$L$330:$L$772,"&lt;&gt;"&amp;$M$5)&gt;0,
              "Iuran dari Lingkungan lain",
              ""))</t>
  </si>
  <si>
    <t>=IF(COUNTIFS(IuranDSSebelumnya!$J$330:$J$772,$K46,IuranDSSebelumnya!$M$330:$M$772,BF$11,IuranDSSebelumnya!$L$330:$L$772,$M$5)&gt;0,
        VLOOKUP(CONCATENATE($K46,"|",BF$11,"|",$M$5),IuranDSSebelumnya!$I$330:$N$772,5,FALSE),
        IF(COUNTIFS(IuranDSSebelumnya!$J$330:$J$772,$K46,IuranDSSebelumnya!$M$330:$M$772,BF$11,IuranDSSebelumnya!$L$330:$L$772,"&lt;&gt;"&amp;$M$5)&gt;0,
              "Iuran dari Lingkungan lain",
              ""))</t>
  </si>
  <si>
    <t>=IF(COUNTIFS(IuranDSSebelumnya!$J$330:$J$772,$K46,IuranDSSebelumnya!$M$330:$M$772,BG$11,IuranDSSebelumnya!$L$330:$L$772,$M$5)&gt;0,
        VLOOKUP(CONCATENATE($K46,"|",BG$11,"|",$M$5),IuranDSSebelumnya!$I$330:$N$772,5,FALSE),
        IF(COUNTIFS(IuranDSSebelumnya!$J$330:$J$772,$K46,IuranDSSebelumnya!$M$330:$M$772,BG$11,IuranDSSebelumnya!$L$330:$L$772,"&lt;&gt;"&amp;$M$5)&gt;0,
              "Iuran dari Lingkungan lain",
              ""))</t>
  </si>
  <si>
    <t>=IF(COUNTIFS(IuranDSSebelumnya!$J$330:$J$772,$K46,IuranDSSebelumnya!$M$330:$M$772,BH$11,IuranDSSebelumnya!$L$330:$L$772,$M$5)&gt;0,
        VLOOKUP(CONCATENATE($K46,"|",BH$11,"|",$M$5),IuranDSSebelumnya!$I$330:$N$772,5,FALSE),
        IF(COUNTIFS(IuranDSSebelumnya!$J$330:$J$772,$K46,IuranDSSebelumnya!$M$330:$M$772,BH$11,IuranDSSebelumnya!$L$330:$L$772,"&lt;&gt;"&amp;$M$5)&gt;0,
              "Iuran dari Lingkungan lain",
              ""))</t>
  </si>
  <si>
    <t>=IF(COUNTIFS(IuranDSSebelumnya!$J$330:$J$772,$K46,IuranDSSebelumnya!$M$330:$M$772,BI$11,IuranDSSebelumnya!$L$330:$L$772,$M$5)&gt;0,
        VLOOKUP(CONCATENATE($K46,"|",BI$11,"|",$M$5),IuranDSSebelumnya!$I$330:$N$772,5,FALSE),
        IF(COUNTIFS(IuranDSSebelumnya!$J$330:$J$772,$K46,IuranDSSebelumnya!$M$330:$M$772,BI$11,IuranDSSebelumnya!$L$330:$L$772,"&lt;&gt;"&amp;$M$5)&gt;0,
              "Iuran dari Lingkungan lain",
              ""))</t>
  </si>
  <si>
    <t>=IF(COUNTIFS(IuranDSSebelumnya!$J$330:$J$772,$K46,IuranDSSebelumnya!$M$330:$M$772,BJ$11,IuranDSSebelumnya!$L$330:$L$772,$M$5)&gt;0,
        VLOOKUP(CONCATENATE($K46,"|",BJ$11,"|",$M$5),IuranDSSebelumnya!$I$330:$N$772,5,FALSE),
        IF(COUNTIFS(IuranDSSebelumnya!$J$330:$J$772,$K46,IuranDSSebelumnya!$M$330:$M$772,BJ$11,IuranDSSebelumnya!$L$330:$L$772,"&lt;&gt;"&amp;$M$5)&gt;0,
              "Iuran dari Lingkungan lain",
              ""))</t>
  </si>
  <si>
    <t>=IF(COUNTIFS(IuranDSSebelumnya!$J$330:$J$772,$K46,IuranDSSebelumnya!$M$330:$M$772,BK$11,IuranDSSebelumnya!$L$330:$L$772,$M$5)&gt;0,
        VLOOKUP(CONCATENATE($K46,"|",BK$11,"|",$M$5),IuranDSSebelumnya!$I$330:$N$772,5,FALSE),
        IF(COUNTIFS(IuranDSSebelumnya!$J$330:$J$772,$K46,IuranDSSebelumnya!$M$330:$M$772,BK$11,IuranDSSebelumnya!$L$330:$L$772,"&lt;&gt;"&amp;$M$5)&gt;0,
              "Iuran dari Lingkungan lain",
              ""))</t>
  </si>
  <si>
    <t>=IF(COUNTIFS(IuranDSSebelumnya!$J$330:$J$772,$K46,IuranDSSebelumnya!$M$330:$M$772,BL$11,IuranDSSebelumnya!$L$330:$L$772,$M$5)&gt;0,
        VLOOKUP(CONCATENATE($K46,"|",BL$11,"|",$M$5),IuranDSSebelumnya!$I$330:$N$772,5,FALSE),
        IF(COUNTIFS(IuranDSSebelumnya!$J$330:$J$772,$K46,IuranDSSebelumnya!$M$330:$M$772,BL$11,IuranDSSebelumnya!$L$330:$L$772,"&lt;&gt;"&amp;$M$5)&gt;0,
              "Iuran dari Lingkungan lain",
              ""))</t>
  </si>
  <si>
    <t>=CELL("row")=CELL("row",C47)</t>
  </si>
  <si>
    <t>="""TRUST Nav"",""HSPMTB2016"",""18"",""1"",""KK-05044"""</t>
  </si>
  <si>
    <t>=IF(AND($AL47=0,$J47=1)=TRUE,0,
        IF(AND($AL47&gt;0,$J47=1)=TRUE,1,
              IF(AND(H46=$H$12,$J47&gt;1)=TRUE,0,
                    IF(AND($AL47=0,$J47&gt;1),H46,
                         H46+1))))</t>
  </si>
  <si>
    <t>=IF(J46="No.",1,J46+1)</t>
  </si>
  <si>
    <t>=SUM(N47:AK47)</t>
  </si>
  <si>
    <t>=IF(COUNTIFS(IuranDSSebelumnya!$J$330:$J$772,$K47,IuranDSSebelumnya!$M$330:$M$772,AO$11,IuranDSSebelumnya!$L$330:$L$772,$M$5)&gt;0,
        VLOOKUP(CONCATENATE($K47,"|",AO$11,"|",$M$5),IuranDSSebelumnya!$I$330:$N$772,5,FALSE),
        IF(COUNTIFS(IuranDSSebelumnya!$J$330:$J$772,$K47,IuranDSSebelumnya!$M$330:$M$772,AO$11,IuranDSSebelumnya!$L$330:$L$772,"&lt;&gt;"&amp;$M$5)&gt;0,
              "Iuran dari Lingkungan lain",
              ""))</t>
  </si>
  <si>
    <t>=IF(COUNTIFS(IuranDSSebelumnya!$J$330:$J$772,$K47,IuranDSSebelumnya!$M$330:$M$772,AP$11,IuranDSSebelumnya!$L$330:$L$772,$M$5)&gt;0,
        VLOOKUP(CONCATENATE($K47,"|",AP$11,"|",$M$5),IuranDSSebelumnya!$I$330:$N$772,5,FALSE),
        IF(COUNTIFS(IuranDSSebelumnya!$J$330:$J$772,$K47,IuranDSSebelumnya!$M$330:$M$772,AP$11,IuranDSSebelumnya!$L$330:$L$772,"&lt;&gt;"&amp;$M$5)&gt;0,
              "Iuran dari Lingkungan lain",
              ""))</t>
  </si>
  <si>
    <t>=IF(COUNTIFS(IuranDSSebelumnya!$J$330:$J$772,$K47,IuranDSSebelumnya!$M$330:$M$772,AQ$11,IuranDSSebelumnya!$L$330:$L$772,$M$5)&gt;0,
        VLOOKUP(CONCATENATE($K47,"|",AQ$11,"|",$M$5),IuranDSSebelumnya!$I$330:$N$772,5,FALSE),
        IF(COUNTIFS(IuranDSSebelumnya!$J$330:$J$772,$K47,IuranDSSebelumnya!$M$330:$M$772,AQ$11,IuranDSSebelumnya!$L$330:$L$772,"&lt;&gt;"&amp;$M$5)&gt;0,
              "Iuran dari Lingkungan lain",
              ""))</t>
  </si>
  <si>
    <t>=IF(COUNTIFS(IuranDSSebelumnya!$J$330:$J$772,$K47,IuranDSSebelumnya!$M$330:$M$772,AR$11,IuranDSSebelumnya!$L$330:$L$772,$M$5)&gt;0,
        VLOOKUP(CONCATENATE($K47,"|",AR$11,"|",$M$5),IuranDSSebelumnya!$I$330:$N$772,5,FALSE),
        IF(COUNTIFS(IuranDSSebelumnya!$J$330:$J$772,$K47,IuranDSSebelumnya!$M$330:$M$772,AR$11,IuranDSSebelumnya!$L$330:$L$772,"&lt;&gt;"&amp;$M$5)&gt;0,
              "Iuran dari Lingkungan lain",
              ""))</t>
  </si>
  <si>
    <t>=IF(COUNTIFS(IuranDSSebelumnya!$J$330:$J$772,$K47,IuranDSSebelumnya!$M$330:$M$772,AS$11,IuranDSSebelumnya!$L$330:$L$772,$M$5)&gt;0,
        VLOOKUP(CONCATENATE($K47,"|",AS$11,"|",$M$5),IuranDSSebelumnya!$I$330:$N$772,5,FALSE),
        IF(COUNTIFS(IuranDSSebelumnya!$J$330:$J$772,$K47,IuranDSSebelumnya!$M$330:$M$772,AS$11,IuranDSSebelumnya!$L$330:$L$772,"&lt;&gt;"&amp;$M$5)&gt;0,
              "Iuran dari Lingkungan lain",
              ""))</t>
  </si>
  <si>
    <t>=IF(COUNTIFS(IuranDSSebelumnya!$J$330:$J$772,$K47,IuranDSSebelumnya!$M$330:$M$772,AT$11,IuranDSSebelumnya!$L$330:$L$772,$M$5)&gt;0,
        VLOOKUP(CONCATENATE($K47,"|",AT$11,"|",$M$5),IuranDSSebelumnya!$I$330:$N$772,5,FALSE),
        IF(COUNTIFS(IuranDSSebelumnya!$J$330:$J$772,$K47,IuranDSSebelumnya!$M$330:$M$772,AT$11,IuranDSSebelumnya!$L$330:$L$772,"&lt;&gt;"&amp;$M$5)&gt;0,
              "Iuran dari Lingkungan lain",
              ""))</t>
  </si>
  <si>
    <t>=IF(COUNTIFS(IuranDSSebelumnya!$J$330:$J$772,$K47,IuranDSSebelumnya!$M$330:$M$772,AU$11,IuranDSSebelumnya!$L$330:$L$772,$M$5)&gt;0,
        VLOOKUP(CONCATENATE($K47,"|",AU$11,"|",$M$5),IuranDSSebelumnya!$I$330:$N$772,5,FALSE),
        IF(COUNTIFS(IuranDSSebelumnya!$J$330:$J$772,$K47,IuranDSSebelumnya!$M$330:$M$772,AU$11,IuranDSSebelumnya!$L$330:$L$772,"&lt;&gt;"&amp;$M$5)&gt;0,
              "Iuran dari Lingkungan lain",
              ""))</t>
  </si>
  <si>
    <t>=IF(COUNTIFS(IuranDSSebelumnya!$J$330:$J$772,$K47,IuranDSSebelumnya!$M$330:$M$772,AV$11,IuranDSSebelumnya!$L$330:$L$772,$M$5)&gt;0,
        VLOOKUP(CONCATENATE($K47,"|",AV$11,"|",$M$5),IuranDSSebelumnya!$I$330:$N$772,5,FALSE),
        IF(COUNTIFS(IuranDSSebelumnya!$J$330:$J$772,$K47,IuranDSSebelumnya!$M$330:$M$772,AV$11,IuranDSSebelumnya!$L$330:$L$772,"&lt;&gt;"&amp;$M$5)&gt;0,
              "Iuran dari Lingkungan lain",
              ""))</t>
  </si>
  <si>
    <t>=IF(COUNTIFS(IuranDSSebelumnya!$J$330:$J$772,$K47,IuranDSSebelumnya!$M$330:$M$772,AW$11,IuranDSSebelumnya!$L$330:$L$772,$M$5)&gt;0,
        VLOOKUP(CONCATENATE($K47,"|",AW$11,"|",$M$5),IuranDSSebelumnya!$I$330:$N$772,5,FALSE),
        IF(COUNTIFS(IuranDSSebelumnya!$J$330:$J$772,$K47,IuranDSSebelumnya!$M$330:$M$772,AW$11,IuranDSSebelumnya!$L$330:$L$772,"&lt;&gt;"&amp;$M$5)&gt;0,
              "Iuran dari Lingkungan lain",
              ""))</t>
  </si>
  <si>
    <t>=IF(COUNTIFS(IuranDSSebelumnya!$J$330:$J$772,$K47,IuranDSSebelumnya!$M$330:$M$772,AX$11,IuranDSSebelumnya!$L$330:$L$772,$M$5)&gt;0,
        VLOOKUP(CONCATENATE($K47,"|",AX$11,"|",$M$5),IuranDSSebelumnya!$I$330:$N$772,5,FALSE),
        IF(COUNTIFS(IuranDSSebelumnya!$J$330:$J$772,$K47,IuranDSSebelumnya!$M$330:$M$772,AX$11,IuranDSSebelumnya!$L$330:$L$772,"&lt;&gt;"&amp;$M$5)&gt;0,
              "Iuran dari Lingkungan lain",
              ""))</t>
  </si>
  <si>
    <t>=IF(COUNTIFS(IuranDSSebelumnya!$J$330:$J$772,$K47,IuranDSSebelumnya!$M$330:$M$772,AY$11,IuranDSSebelumnya!$L$330:$L$772,$M$5)&gt;0,
        VLOOKUP(CONCATENATE($K47,"|",AY$11,"|",$M$5),IuranDSSebelumnya!$I$330:$N$772,5,FALSE),
        IF(COUNTIFS(IuranDSSebelumnya!$J$330:$J$772,$K47,IuranDSSebelumnya!$M$330:$M$772,AY$11,IuranDSSebelumnya!$L$330:$L$772,"&lt;&gt;"&amp;$M$5)&gt;0,
              "Iuran dari Lingkungan lain",
              ""))</t>
  </si>
  <si>
    <t>=IF(COUNTIFS(IuranDSSebelumnya!$J$330:$J$772,$K47,IuranDSSebelumnya!$M$330:$M$772,AZ$11,IuranDSSebelumnya!$L$330:$L$772,$M$5)&gt;0,
        VLOOKUP(CONCATENATE($K47,"|",AZ$11,"|",$M$5),IuranDSSebelumnya!$I$330:$N$772,5,FALSE),
        IF(COUNTIFS(IuranDSSebelumnya!$J$330:$J$772,$K47,IuranDSSebelumnya!$M$330:$M$772,AZ$11,IuranDSSebelumnya!$L$330:$L$772,"&lt;&gt;"&amp;$M$5)&gt;0,
              "Iuran dari Lingkungan lain",
              ""))</t>
  </si>
  <si>
    <t>=IF(COUNTIFS(IuranDSSebelumnya!$J$330:$J$772,$K47,IuranDSSebelumnya!$M$330:$M$772,BA$11,IuranDSSebelumnya!$L$330:$L$772,$M$5)&gt;0,
        VLOOKUP(CONCATENATE($K47,"|",BA$11,"|",$M$5),IuranDSSebelumnya!$I$330:$N$772,5,FALSE),
        IF(COUNTIFS(IuranDSSebelumnya!$J$330:$J$772,$K47,IuranDSSebelumnya!$M$330:$M$772,BA$11,IuranDSSebelumnya!$L$330:$L$772,"&lt;&gt;"&amp;$M$5)&gt;0,
              "Iuran dari Lingkungan lain",
              ""))</t>
  </si>
  <si>
    <t>=IF(COUNTIFS(IuranDSSebelumnya!$J$330:$J$772,$K47,IuranDSSebelumnya!$M$330:$M$772,BB$11,IuranDSSebelumnya!$L$330:$L$772,$M$5)&gt;0,
        VLOOKUP(CONCATENATE($K47,"|",BB$11,"|",$M$5),IuranDSSebelumnya!$I$330:$N$772,5,FALSE),
        IF(COUNTIFS(IuranDSSebelumnya!$J$330:$J$772,$K47,IuranDSSebelumnya!$M$330:$M$772,BB$11,IuranDSSebelumnya!$L$330:$L$772,"&lt;&gt;"&amp;$M$5)&gt;0,
              "Iuran dari Lingkungan lain",
              ""))</t>
  </si>
  <si>
    <t>=IF(COUNTIFS(IuranDSSebelumnya!$J$330:$J$772,$K47,IuranDSSebelumnya!$M$330:$M$772,BC$11,IuranDSSebelumnya!$L$330:$L$772,$M$5)&gt;0,
        VLOOKUP(CONCATENATE($K47,"|",BC$11,"|",$M$5),IuranDSSebelumnya!$I$330:$N$772,5,FALSE),
        IF(COUNTIFS(IuranDSSebelumnya!$J$330:$J$772,$K47,IuranDSSebelumnya!$M$330:$M$772,BC$11,IuranDSSebelumnya!$L$330:$L$772,"&lt;&gt;"&amp;$M$5)&gt;0,
              "Iuran dari Lingkungan lain",
              ""))</t>
  </si>
  <si>
    <t>=IF(COUNTIFS(IuranDSSebelumnya!$J$330:$J$772,$K47,IuranDSSebelumnya!$M$330:$M$772,BD$11,IuranDSSebelumnya!$L$330:$L$772,$M$5)&gt;0,
        VLOOKUP(CONCATENATE($K47,"|",BD$11,"|",$M$5),IuranDSSebelumnya!$I$330:$N$772,5,FALSE),
        IF(COUNTIFS(IuranDSSebelumnya!$J$330:$J$772,$K47,IuranDSSebelumnya!$M$330:$M$772,BD$11,IuranDSSebelumnya!$L$330:$L$772,"&lt;&gt;"&amp;$M$5)&gt;0,
              "Iuran dari Lingkungan lain",
              ""))</t>
  </si>
  <si>
    <t>=IF(COUNTIFS(IuranDSSebelumnya!$J$330:$J$772,$K47,IuranDSSebelumnya!$M$330:$M$772,BE$11,IuranDSSebelumnya!$L$330:$L$772,$M$5)&gt;0,
        VLOOKUP(CONCATENATE($K47,"|",BE$11,"|",$M$5),IuranDSSebelumnya!$I$330:$N$772,5,FALSE),
        IF(COUNTIFS(IuranDSSebelumnya!$J$330:$J$772,$K47,IuranDSSebelumnya!$M$330:$M$772,BE$11,IuranDSSebelumnya!$L$330:$L$772,"&lt;&gt;"&amp;$M$5)&gt;0,
              "Iuran dari Lingkungan lain",
              ""))</t>
  </si>
  <si>
    <t>=IF(COUNTIFS(IuranDSSebelumnya!$J$330:$J$772,$K47,IuranDSSebelumnya!$M$330:$M$772,BF$11,IuranDSSebelumnya!$L$330:$L$772,$M$5)&gt;0,
        VLOOKUP(CONCATENATE($K47,"|",BF$11,"|",$M$5),IuranDSSebelumnya!$I$330:$N$772,5,FALSE),
        IF(COUNTIFS(IuranDSSebelumnya!$J$330:$J$772,$K47,IuranDSSebelumnya!$M$330:$M$772,BF$11,IuranDSSebelumnya!$L$330:$L$772,"&lt;&gt;"&amp;$M$5)&gt;0,
              "Iuran dari Lingkungan lain",
              ""))</t>
  </si>
  <si>
    <t>=IF(COUNTIFS(IuranDSSebelumnya!$J$330:$J$772,$K47,IuranDSSebelumnya!$M$330:$M$772,BG$11,IuranDSSebelumnya!$L$330:$L$772,$M$5)&gt;0,
        VLOOKUP(CONCATENATE($K47,"|",BG$11,"|",$M$5),IuranDSSebelumnya!$I$330:$N$772,5,FALSE),
        IF(COUNTIFS(IuranDSSebelumnya!$J$330:$J$772,$K47,IuranDSSebelumnya!$M$330:$M$772,BG$11,IuranDSSebelumnya!$L$330:$L$772,"&lt;&gt;"&amp;$M$5)&gt;0,
              "Iuran dari Lingkungan lain",
              ""))</t>
  </si>
  <si>
    <t>=IF(COUNTIFS(IuranDSSebelumnya!$J$330:$J$772,$K47,IuranDSSebelumnya!$M$330:$M$772,BH$11,IuranDSSebelumnya!$L$330:$L$772,$M$5)&gt;0,
        VLOOKUP(CONCATENATE($K47,"|",BH$11,"|",$M$5),IuranDSSebelumnya!$I$330:$N$772,5,FALSE),
        IF(COUNTIFS(IuranDSSebelumnya!$J$330:$J$772,$K47,IuranDSSebelumnya!$M$330:$M$772,BH$11,IuranDSSebelumnya!$L$330:$L$772,"&lt;&gt;"&amp;$M$5)&gt;0,
              "Iuran dari Lingkungan lain",
              ""))</t>
  </si>
  <si>
    <t>=IF(COUNTIFS(IuranDSSebelumnya!$J$330:$J$772,$K47,IuranDSSebelumnya!$M$330:$M$772,BI$11,IuranDSSebelumnya!$L$330:$L$772,$M$5)&gt;0,
        VLOOKUP(CONCATENATE($K47,"|",BI$11,"|",$M$5),IuranDSSebelumnya!$I$330:$N$772,5,FALSE),
        IF(COUNTIFS(IuranDSSebelumnya!$J$330:$J$772,$K47,IuranDSSebelumnya!$M$330:$M$772,BI$11,IuranDSSebelumnya!$L$330:$L$772,"&lt;&gt;"&amp;$M$5)&gt;0,
              "Iuran dari Lingkungan lain",
              ""))</t>
  </si>
  <si>
    <t>=IF(COUNTIFS(IuranDSSebelumnya!$J$330:$J$772,$K47,IuranDSSebelumnya!$M$330:$M$772,BJ$11,IuranDSSebelumnya!$L$330:$L$772,$M$5)&gt;0,
        VLOOKUP(CONCATENATE($K47,"|",BJ$11,"|",$M$5),IuranDSSebelumnya!$I$330:$N$772,5,FALSE),
        IF(COUNTIFS(IuranDSSebelumnya!$J$330:$J$772,$K47,IuranDSSebelumnya!$M$330:$M$772,BJ$11,IuranDSSebelumnya!$L$330:$L$772,"&lt;&gt;"&amp;$M$5)&gt;0,
              "Iuran dari Lingkungan lain",
              ""))</t>
  </si>
  <si>
    <t>=IF(COUNTIFS(IuranDSSebelumnya!$J$330:$J$772,$K47,IuranDSSebelumnya!$M$330:$M$772,BK$11,IuranDSSebelumnya!$L$330:$L$772,$M$5)&gt;0,
        VLOOKUP(CONCATENATE($K47,"|",BK$11,"|",$M$5),IuranDSSebelumnya!$I$330:$N$772,5,FALSE),
        IF(COUNTIFS(IuranDSSebelumnya!$J$330:$J$772,$K47,IuranDSSebelumnya!$M$330:$M$772,BK$11,IuranDSSebelumnya!$L$330:$L$772,"&lt;&gt;"&amp;$M$5)&gt;0,
              "Iuran dari Lingkungan lain",
              ""))</t>
  </si>
  <si>
    <t>=IF(COUNTIFS(IuranDSSebelumnya!$J$330:$J$772,$K47,IuranDSSebelumnya!$M$330:$M$772,BL$11,IuranDSSebelumnya!$L$330:$L$772,$M$5)&gt;0,
        VLOOKUP(CONCATENATE($K47,"|",BL$11,"|",$M$5),IuranDSSebelumnya!$I$330:$N$772,5,FALSE),
        IF(COUNTIFS(IuranDSSebelumnya!$J$330:$J$772,$K47,IuranDSSebelumnya!$M$330:$M$772,BL$11,IuranDSSebelumnya!$L$330:$L$772,"&lt;&gt;"&amp;$M$5)&gt;0,
              "Iuran dari Lingkungan lain",
              ""))</t>
  </si>
  <si>
    <t>=CELL("row")=CELL("row",C48)</t>
  </si>
  <si>
    <t>="""TRUST Nav"",""HSPMTB2016"",""18"",""1"",""KK-04620"""</t>
  </si>
  <si>
    <t>=IF(AND($AL48=0,$J48=1)=TRUE,0,
        IF(AND($AL48&gt;0,$J48=1)=TRUE,1,
              IF(AND(H47=$H$12,$J48&gt;1)=TRUE,0,
                    IF(AND($AL48=0,$J48&gt;1),H47,
                         H47+1))))</t>
  </si>
  <si>
    <t>=IF(J47="No.",1,J47+1)</t>
  </si>
  <si>
    <t>=SUM(N48:AK48)</t>
  </si>
  <si>
    <t>=IF(COUNTIFS(IuranDSSebelumnya!$J$330:$J$772,$K48,IuranDSSebelumnya!$M$330:$M$772,AO$11,IuranDSSebelumnya!$L$330:$L$772,$M$5)&gt;0,
        VLOOKUP(CONCATENATE($K48,"|",AO$11,"|",$M$5),IuranDSSebelumnya!$I$330:$N$772,5,FALSE),
        IF(COUNTIFS(IuranDSSebelumnya!$J$330:$J$772,$K48,IuranDSSebelumnya!$M$330:$M$772,AO$11,IuranDSSebelumnya!$L$330:$L$772,"&lt;&gt;"&amp;$M$5)&gt;0,
              "Iuran dari Lingkungan lain",
              ""))</t>
  </si>
  <si>
    <t>=IF(COUNTIFS(IuranDSSebelumnya!$J$330:$J$772,$K48,IuranDSSebelumnya!$M$330:$M$772,AP$11,IuranDSSebelumnya!$L$330:$L$772,$M$5)&gt;0,
        VLOOKUP(CONCATENATE($K48,"|",AP$11,"|",$M$5),IuranDSSebelumnya!$I$330:$N$772,5,FALSE),
        IF(COUNTIFS(IuranDSSebelumnya!$J$330:$J$772,$K48,IuranDSSebelumnya!$M$330:$M$772,AP$11,IuranDSSebelumnya!$L$330:$L$772,"&lt;&gt;"&amp;$M$5)&gt;0,
              "Iuran dari Lingkungan lain",
              ""))</t>
  </si>
  <si>
    <t>=IF(COUNTIFS(IuranDSSebelumnya!$J$330:$J$772,$K48,IuranDSSebelumnya!$M$330:$M$772,AQ$11,IuranDSSebelumnya!$L$330:$L$772,$M$5)&gt;0,
        VLOOKUP(CONCATENATE($K48,"|",AQ$11,"|",$M$5),IuranDSSebelumnya!$I$330:$N$772,5,FALSE),
        IF(COUNTIFS(IuranDSSebelumnya!$J$330:$J$772,$K48,IuranDSSebelumnya!$M$330:$M$772,AQ$11,IuranDSSebelumnya!$L$330:$L$772,"&lt;&gt;"&amp;$M$5)&gt;0,
              "Iuran dari Lingkungan lain",
              ""))</t>
  </si>
  <si>
    <t>=IF(COUNTIFS(IuranDSSebelumnya!$J$330:$J$772,$K48,IuranDSSebelumnya!$M$330:$M$772,AR$11,IuranDSSebelumnya!$L$330:$L$772,$M$5)&gt;0,
        VLOOKUP(CONCATENATE($K48,"|",AR$11,"|",$M$5),IuranDSSebelumnya!$I$330:$N$772,5,FALSE),
        IF(COUNTIFS(IuranDSSebelumnya!$J$330:$J$772,$K48,IuranDSSebelumnya!$M$330:$M$772,AR$11,IuranDSSebelumnya!$L$330:$L$772,"&lt;&gt;"&amp;$M$5)&gt;0,
              "Iuran dari Lingkungan lain",
              ""))</t>
  </si>
  <si>
    <t>=IF(COUNTIFS(IuranDSSebelumnya!$J$330:$J$772,$K48,IuranDSSebelumnya!$M$330:$M$772,AS$11,IuranDSSebelumnya!$L$330:$L$772,$M$5)&gt;0,
        VLOOKUP(CONCATENATE($K48,"|",AS$11,"|",$M$5),IuranDSSebelumnya!$I$330:$N$772,5,FALSE),
        IF(COUNTIFS(IuranDSSebelumnya!$J$330:$J$772,$K48,IuranDSSebelumnya!$M$330:$M$772,AS$11,IuranDSSebelumnya!$L$330:$L$772,"&lt;&gt;"&amp;$M$5)&gt;0,
              "Iuran dari Lingkungan lain",
              ""))</t>
  </si>
  <si>
    <t>=IF(COUNTIFS(IuranDSSebelumnya!$J$330:$J$772,$K48,IuranDSSebelumnya!$M$330:$M$772,AT$11,IuranDSSebelumnya!$L$330:$L$772,$M$5)&gt;0,
        VLOOKUP(CONCATENATE($K48,"|",AT$11,"|",$M$5),IuranDSSebelumnya!$I$330:$N$772,5,FALSE),
        IF(COUNTIFS(IuranDSSebelumnya!$J$330:$J$772,$K48,IuranDSSebelumnya!$M$330:$M$772,AT$11,IuranDSSebelumnya!$L$330:$L$772,"&lt;&gt;"&amp;$M$5)&gt;0,
              "Iuran dari Lingkungan lain",
              ""))</t>
  </si>
  <si>
    <t>=IF(COUNTIFS(IuranDSSebelumnya!$J$330:$J$772,$K48,IuranDSSebelumnya!$M$330:$M$772,AU$11,IuranDSSebelumnya!$L$330:$L$772,$M$5)&gt;0,
        VLOOKUP(CONCATENATE($K48,"|",AU$11,"|",$M$5),IuranDSSebelumnya!$I$330:$N$772,5,FALSE),
        IF(COUNTIFS(IuranDSSebelumnya!$J$330:$J$772,$K48,IuranDSSebelumnya!$M$330:$M$772,AU$11,IuranDSSebelumnya!$L$330:$L$772,"&lt;&gt;"&amp;$M$5)&gt;0,
              "Iuran dari Lingkungan lain",
              ""))</t>
  </si>
  <si>
    <t>=IF(COUNTIFS(IuranDSSebelumnya!$J$330:$J$772,$K48,IuranDSSebelumnya!$M$330:$M$772,AV$11,IuranDSSebelumnya!$L$330:$L$772,$M$5)&gt;0,
        VLOOKUP(CONCATENATE($K48,"|",AV$11,"|",$M$5),IuranDSSebelumnya!$I$330:$N$772,5,FALSE),
        IF(COUNTIFS(IuranDSSebelumnya!$J$330:$J$772,$K48,IuranDSSebelumnya!$M$330:$M$772,AV$11,IuranDSSebelumnya!$L$330:$L$772,"&lt;&gt;"&amp;$M$5)&gt;0,
              "Iuran dari Lingkungan lain",
              ""))</t>
  </si>
  <si>
    <t>=IF(COUNTIFS(IuranDSSebelumnya!$J$330:$J$772,$K48,IuranDSSebelumnya!$M$330:$M$772,AW$11,IuranDSSebelumnya!$L$330:$L$772,$M$5)&gt;0,
        VLOOKUP(CONCATENATE($K48,"|",AW$11,"|",$M$5),IuranDSSebelumnya!$I$330:$N$772,5,FALSE),
        IF(COUNTIFS(IuranDSSebelumnya!$J$330:$J$772,$K48,IuranDSSebelumnya!$M$330:$M$772,AW$11,IuranDSSebelumnya!$L$330:$L$772,"&lt;&gt;"&amp;$M$5)&gt;0,
              "Iuran dari Lingkungan lain",
              ""))</t>
  </si>
  <si>
    <t>=IF(COUNTIFS(IuranDSSebelumnya!$J$330:$J$772,$K48,IuranDSSebelumnya!$M$330:$M$772,AX$11,IuranDSSebelumnya!$L$330:$L$772,$M$5)&gt;0,
        VLOOKUP(CONCATENATE($K48,"|",AX$11,"|",$M$5),IuranDSSebelumnya!$I$330:$N$772,5,FALSE),
        IF(COUNTIFS(IuranDSSebelumnya!$J$330:$J$772,$K48,IuranDSSebelumnya!$M$330:$M$772,AX$11,IuranDSSebelumnya!$L$330:$L$772,"&lt;&gt;"&amp;$M$5)&gt;0,
              "Iuran dari Lingkungan lain",
              ""))</t>
  </si>
  <si>
    <t>=IF(COUNTIFS(IuranDSSebelumnya!$J$330:$J$772,$K48,IuranDSSebelumnya!$M$330:$M$772,AY$11,IuranDSSebelumnya!$L$330:$L$772,$M$5)&gt;0,
        VLOOKUP(CONCATENATE($K48,"|",AY$11,"|",$M$5),IuranDSSebelumnya!$I$330:$N$772,5,FALSE),
        IF(COUNTIFS(IuranDSSebelumnya!$J$330:$J$772,$K48,IuranDSSebelumnya!$M$330:$M$772,AY$11,IuranDSSebelumnya!$L$330:$L$772,"&lt;&gt;"&amp;$M$5)&gt;0,
              "Iuran dari Lingkungan lain",
              ""))</t>
  </si>
  <si>
    <t>=IF(COUNTIFS(IuranDSSebelumnya!$J$330:$J$772,$K48,IuranDSSebelumnya!$M$330:$M$772,AZ$11,IuranDSSebelumnya!$L$330:$L$772,$M$5)&gt;0,
        VLOOKUP(CONCATENATE($K48,"|",AZ$11,"|",$M$5),IuranDSSebelumnya!$I$330:$N$772,5,FALSE),
        IF(COUNTIFS(IuranDSSebelumnya!$J$330:$J$772,$K48,IuranDSSebelumnya!$M$330:$M$772,AZ$11,IuranDSSebelumnya!$L$330:$L$772,"&lt;&gt;"&amp;$M$5)&gt;0,
              "Iuran dari Lingkungan lain",
              ""))</t>
  </si>
  <si>
    <t>=IF(COUNTIFS(IuranDSSebelumnya!$J$330:$J$772,$K48,IuranDSSebelumnya!$M$330:$M$772,BA$11,IuranDSSebelumnya!$L$330:$L$772,$M$5)&gt;0,
        VLOOKUP(CONCATENATE($K48,"|",BA$11,"|",$M$5),IuranDSSebelumnya!$I$330:$N$772,5,FALSE),
        IF(COUNTIFS(IuranDSSebelumnya!$J$330:$J$772,$K48,IuranDSSebelumnya!$M$330:$M$772,BA$11,IuranDSSebelumnya!$L$330:$L$772,"&lt;&gt;"&amp;$M$5)&gt;0,
              "Iuran dari Lingkungan lain",
              ""))</t>
  </si>
  <si>
    <t>=IF(COUNTIFS(IuranDSSebelumnya!$J$330:$J$772,$K48,IuranDSSebelumnya!$M$330:$M$772,BB$11,IuranDSSebelumnya!$L$330:$L$772,$M$5)&gt;0,
        VLOOKUP(CONCATENATE($K48,"|",BB$11,"|",$M$5),IuranDSSebelumnya!$I$330:$N$772,5,FALSE),
        IF(COUNTIFS(IuranDSSebelumnya!$J$330:$J$772,$K48,IuranDSSebelumnya!$M$330:$M$772,BB$11,IuranDSSebelumnya!$L$330:$L$772,"&lt;&gt;"&amp;$M$5)&gt;0,
              "Iuran dari Lingkungan lain",
              ""))</t>
  </si>
  <si>
    <t>=IF(COUNTIFS(IuranDSSebelumnya!$J$330:$J$772,$K48,IuranDSSebelumnya!$M$330:$M$772,BC$11,IuranDSSebelumnya!$L$330:$L$772,$M$5)&gt;0,
        VLOOKUP(CONCATENATE($K48,"|",BC$11,"|",$M$5),IuranDSSebelumnya!$I$330:$N$772,5,FALSE),
        IF(COUNTIFS(IuranDSSebelumnya!$J$330:$J$772,$K48,IuranDSSebelumnya!$M$330:$M$772,BC$11,IuranDSSebelumnya!$L$330:$L$772,"&lt;&gt;"&amp;$M$5)&gt;0,
              "Iuran dari Lingkungan lain",
              ""))</t>
  </si>
  <si>
    <t>=IF(COUNTIFS(IuranDSSebelumnya!$J$330:$J$772,$K48,IuranDSSebelumnya!$M$330:$M$772,BD$11,IuranDSSebelumnya!$L$330:$L$772,$M$5)&gt;0,
        VLOOKUP(CONCATENATE($K48,"|",BD$11,"|",$M$5),IuranDSSebelumnya!$I$330:$N$772,5,FALSE),
        IF(COUNTIFS(IuranDSSebelumnya!$J$330:$J$772,$K48,IuranDSSebelumnya!$M$330:$M$772,BD$11,IuranDSSebelumnya!$L$330:$L$772,"&lt;&gt;"&amp;$M$5)&gt;0,
              "Iuran dari Lingkungan lain",
              ""))</t>
  </si>
  <si>
    <t>=IF(COUNTIFS(IuranDSSebelumnya!$J$330:$J$772,$K48,IuranDSSebelumnya!$M$330:$M$772,BE$11,IuranDSSebelumnya!$L$330:$L$772,$M$5)&gt;0,
        VLOOKUP(CONCATENATE($K48,"|",BE$11,"|",$M$5),IuranDSSebelumnya!$I$330:$N$772,5,FALSE),
        IF(COUNTIFS(IuranDSSebelumnya!$J$330:$J$772,$K48,IuranDSSebelumnya!$M$330:$M$772,BE$11,IuranDSSebelumnya!$L$330:$L$772,"&lt;&gt;"&amp;$M$5)&gt;0,
              "Iuran dari Lingkungan lain",
              ""))</t>
  </si>
  <si>
    <t>=IF(COUNTIFS(IuranDSSebelumnya!$J$330:$J$772,$K48,IuranDSSebelumnya!$M$330:$M$772,BF$11,IuranDSSebelumnya!$L$330:$L$772,$M$5)&gt;0,
        VLOOKUP(CONCATENATE($K48,"|",BF$11,"|",$M$5),IuranDSSebelumnya!$I$330:$N$772,5,FALSE),
        IF(COUNTIFS(IuranDSSebelumnya!$J$330:$J$772,$K48,IuranDSSebelumnya!$M$330:$M$772,BF$11,IuranDSSebelumnya!$L$330:$L$772,"&lt;&gt;"&amp;$M$5)&gt;0,
              "Iuran dari Lingkungan lain",
              ""))</t>
  </si>
  <si>
    <t>=IF(COUNTIFS(IuranDSSebelumnya!$J$330:$J$772,$K48,IuranDSSebelumnya!$M$330:$M$772,BG$11,IuranDSSebelumnya!$L$330:$L$772,$M$5)&gt;0,
        VLOOKUP(CONCATENATE($K48,"|",BG$11,"|",$M$5),IuranDSSebelumnya!$I$330:$N$772,5,FALSE),
        IF(COUNTIFS(IuranDSSebelumnya!$J$330:$J$772,$K48,IuranDSSebelumnya!$M$330:$M$772,BG$11,IuranDSSebelumnya!$L$330:$L$772,"&lt;&gt;"&amp;$M$5)&gt;0,
              "Iuran dari Lingkungan lain",
              ""))</t>
  </si>
  <si>
    <t>=IF(COUNTIFS(IuranDSSebelumnya!$J$330:$J$772,$K48,IuranDSSebelumnya!$M$330:$M$772,BH$11,IuranDSSebelumnya!$L$330:$L$772,$M$5)&gt;0,
        VLOOKUP(CONCATENATE($K48,"|",BH$11,"|",$M$5),IuranDSSebelumnya!$I$330:$N$772,5,FALSE),
        IF(COUNTIFS(IuranDSSebelumnya!$J$330:$J$772,$K48,IuranDSSebelumnya!$M$330:$M$772,BH$11,IuranDSSebelumnya!$L$330:$L$772,"&lt;&gt;"&amp;$M$5)&gt;0,
              "Iuran dari Lingkungan lain",
              ""))</t>
  </si>
  <si>
    <t>=IF(COUNTIFS(IuranDSSebelumnya!$J$330:$J$772,$K48,IuranDSSebelumnya!$M$330:$M$772,BI$11,IuranDSSebelumnya!$L$330:$L$772,$M$5)&gt;0,
        VLOOKUP(CONCATENATE($K48,"|",BI$11,"|",$M$5),IuranDSSebelumnya!$I$330:$N$772,5,FALSE),
        IF(COUNTIFS(IuranDSSebelumnya!$J$330:$J$772,$K48,IuranDSSebelumnya!$M$330:$M$772,BI$11,IuranDSSebelumnya!$L$330:$L$772,"&lt;&gt;"&amp;$M$5)&gt;0,
              "Iuran dari Lingkungan lain",
              ""))</t>
  </si>
  <si>
    <t>=IF(COUNTIFS(IuranDSSebelumnya!$J$330:$J$772,$K48,IuranDSSebelumnya!$M$330:$M$772,BJ$11,IuranDSSebelumnya!$L$330:$L$772,$M$5)&gt;0,
        VLOOKUP(CONCATENATE($K48,"|",BJ$11,"|",$M$5),IuranDSSebelumnya!$I$330:$N$772,5,FALSE),
        IF(COUNTIFS(IuranDSSebelumnya!$J$330:$J$772,$K48,IuranDSSebelumnya!$M$330:$M$772,BJ$11,IuranDSSebelumnya!$L$330:$L$772,"&lt;&gt;"&amp;$M$5)&gt;0,
              "Iuran dari Lingkungan lain",
              ""))</t>
  </si>
  <si>
    <t>=IF(COUNTIFS(IuranDSSebelumnya!$J$330:$J$772,$K48,IuranDSSebelumnya!$M$330:$M$772,BK$11,IuranDSSebelumnya!$L$330:$L$772,$M$5)&gt;0,
        VLOOKUP(CONCATENATE($K48,"|",BK$11,"|",$M$5),IuranDSSebelumnya!$I$330:$N$772,5,FALSE),
        IF(COUNTIFS(IuranDSSebelumnya!$J$330:$J$772,$K48,IuranDSSebelumnya!$M$330:$M$772,BK$11,IuranDSSebelumnya!$L$330:$L$772,"&lt;&gt;"&amp;$M$5)&gt;0,
              "Iuran dari Lingkungan lain",
              ""))</t>
  </si>
  <si>
    <t>=IF(COUNTIFS(IuranDSSebelumnya!$J$330:$J$772,$K48,IuranDSSebelumnya!$M$330:$M$772,BL$11,IuranDSSebelumnya!$L$330:$L$772,$M$5)&gt;0,
        VLOOKUP(CONCATENATE($K48,"|",BL$11,"|",$M$5),IuranDSSebelumnya!$I$330:$N$772,5,FALSE),
        IF(COUNTIFS(IuranDSSebelumnya!$J$330:$J$772,$K48,IuranDSSebelumnya!$M$330:$M$772,BL$11,IuranDSSebelumnya!$L$330:$L$772,"&lt;&gt;"&amp;$M$5)&gt;0,
              "Iuran dari Lingkungan lain",
              ""))</t>
  </si>
  <si>
    <t>=CELL("row")=CELL("row",C49)</t>
  </si>
  <si>
    <t>="""TRUST Nav"",""HSPMTB2016"",""18"",""1"",""KK-04621"""</t>
  </si>
  <si>
    <t>=IF(AND($AL49=0,$J49=1)=TRUE,0,
        IF(AND($AL49&gt;0,$J49=1)=TRUE,1,
              IF(AND(H48=$H$12,$J49&gt;1)=TRUE,0,
                    IF(AND($AL49=0,$J49&gt;1),H48,
                         H48+1))))</t>
  </si>
  <si>
    <t>=IF(J48="No.",1,J48+1)</t>
  </si>
  <si>
    <t>=SUM(N49:AK49)</t>
  </si>
  <si>
    <t>=IF(COUNTIFS(IuranDSSebelumnya!$J$330:$J$772,$K49,IuranDSSebelumnya!$M$330:$M$772,AO$11,IuranDSSebelumnya!$L$330:$L$772,$M$5)&gt;0,
        VLOOKUP(CONCATENATE($K49,"|",AO$11,"|",$M$5),IuranDSSebelumnya!$I$330:$N$772,5,FALSE),
        IF(COUNTIFS(IuranDSSebelumnya!$J$330:$J$772,$K49,IuranDSSebelumnya!$M$330:$M$772,AO$11,IuranDSSebelumnya!$L$330:$L$772,"&lt;&gt;"&amp;$M$5)&gt;0,
              "Iuran dari Lingkungan lain",
              ""))</t>
  </si>
  <si>
    <t>=IF(COUNTIFS(IuranDSSebelumnya!$J$330:$J$772,$K49,IuranDSSebelumnya!$M$330:$M$772,AP$11,IuranDSSebelumnya!$L$330:$L$772,$M$5)&gt;0,
        VLOOKUP(CONCATENATE($K49,"|",AP$11,"|",$M$5),IuranDSSebelumnya!$I$330:$N$772,5,FALSE),
        IF(COUNTIFS(IuranDSSebelumnya!$J$330:$J$772,$K49,IuranDSSebelumnya!$M$330:$M$772,AP$11,IuranDSSebelumnya!$L$330:$L$772,"&lt;&gt;"&amp;$M$5)&gt;0,
              "Iuran dari Lingkungan lain",
              ""))</t>
  </si>
  <si>
    <t>=IF(COUNTIFS(IuranDSSebelumnya!$J$330:$J$772,$K49,IuranDSSebelumnya!$M$330:$M$772,AQ$11,IuranDSSebelumnya!$L$330:$L$772,$M$5)&gt;0,
        VLOOKUP(CONCATENATE($K49,"|",AQ$11,"|",$M$5),IuranDSSebelumnya!$I$330:$N$772,5,FALSE),
        IF(COUNTIFS(IuranDSSebelumnya!$J$330:$J$772,$K49,IuranDSSebelumnya!$M$330:$M$772,AQ$11,IuranDSSebelumnya!$L$330:$L$772,"&lt;&gt;"&amp;$M$5)&gt;0,
              "Iuran dari Lingkungan lain",
              ""))</t>
  </si>
  <si>
    <t>=IF(COUNTIFS(IuranDSSebelumnya!$J$330:$J$772,$K49,IuranDSSebelumnya!$M$330:$M$772,AR$11,IuranDSSebelumnya!$L$330:$L$772,$M$5)&gt;0,
        VLOOKUP(CONCATENATE($K49,"|",AR$11,"|",$M$5),IuranDSSebelumnya!$I$330:$N$772,5,FALSE),
        IF(COUNTIFS(IuranDSSebelumnya!$J$330:$J$772,$K49,IuranDSSebelumnya!$M$330:$M$772,AR$11,IuranDSSebelumnya!$L$330:$L$772,"&lt;&gt;"&amp;$M$5)&gt;0,
              "Iuran dari Lingkungan lain",
              ""))</t>
  </si>
  <si>
    <t>=IF(COUNTIFS(IuranDSSebelumnya!$J$330:$J$772,$K49,IuranDSSebelumnya!$M$330:$M$772,AS$11,IuranDSSebelumnya!$L$330:$L$772,$M$5)&gt;0,
        VLOOKUP(CONCATENATE($K49,"|",AS$11,"|",$M$5),IuranDSSebelumnya!$I$330:$N$772,5,FALSE),
        IF(COUNTIFS(IuranDSSebelumnya!$J$330:$J$772,$K49,IuranDSSebelumnya!$M$330:$M$772,AS$11,IuranDSSebelumnya!$L$330:$L$772,"&lt;&gt;"&amp;$M$5)&gt;0,
              "Iuran dari Lingkungan lain",
              ""))</t>
  </si>
  <si>
    <t>=IF(COUNTIFS(IuranDSSebelumnya!$J$330:$J$772,$K49,IuranDSSebelumnya!$M$330:$M$772,AT$11,IuranDSSebelumnya!$L$330:$L$772,$M$5)&gt;0,
        VLOOKUP(CONCATENATE($K49,"|",AT$11,"|",$M$5),IuranDSSebelumnya!$I$330:$N$772,5,FALSE),
        IF(COUNTIFS(IuranDSSebelumnya!$J$330:$J$772,$K49,IuranDSSebelumnya!$M$330:$M$772,AT$11,IuranDSSebelumnya!$L$330:$L$772,"&lt;&gt;"&amp;$M$5)&gt;0,
              "Iuran dari Lingkungan lain",
              ""))</t>
  </si>
  <si>
    <t>=IF(COUNTIFS(IuranDSSebelumnya!$J$330:$J$772,$K49,IuranDSSebelumnya!$M$330:$M$772,AU$11,IuranDSSebelumnya!$L$330:$L$772,$M$5)&gt;0,
        VLOOKUP(CONCATENATE($K49,"|",AU$11,"|",$M$5),IuranDSSebelumnya!$I$330:$N$772,5,FALSE),
        IF(COUNTIFS(IuranDSSebelumnya!$J$330:$J$772,$K49,IuranDSSebelumnya!$M$330:$M$772,AU$11,IuranDSSebelumnya!$L$330:$L$772,"&lt;&gt;"&amp;$M$5)&gt;0,
              "Iuran dari Lingkungan lain",
              ""))</t>
  </si>
  <si>
    <t>=IF(COUNTIFS(IuranDSSebelumnya!$J$330:$J$772,$K49,IuranDSSebelumnya!$M$330:$M$772,AV$11,IuranDSSebelumnya!$L$330:$L$772,$M$5)&gt;0,
        VLOOKUP(CONCATENATE($K49,"|",AV$11,"|",$M$5),IuranDSSebelumnya!$I$330:$N$772,5,FALSE),
        IF(COUNTIFS(IuranDSSebelumnya!$J$330:$J$772,$K49,IuranDSSebelumnya!$M$330:$M$772,AV$11,IuranDSSebelumnya!$L$330:$L$772,"&lt;&gt;"&amp;$M$5)&gt;0,
              "Iuran dari Lingkungan lain",
              ""))</t>
  </si>
  <si>
    <t>=IF(COUNTIFS(IuranDSSebelumnya!$J$330:$J$772,$K49,IuranDSSebelumnya!$M$330:$M$772,AW$11,IuranDSSebelumnya!$L$330:$L$772,$M$5)&gt;0,
        VLOOKUP(CONCATENATE($K49,"|",AW$11,"|",$M$5),IuranDSSebelumnya!$I$330:$N$772,5,FALSE),
        IF(COUNTIFS(IuranDSSebelumnya!$J$330:$J$772,$K49,IuranDSSebelumnya!$M$330:$M$772,AW$11,IuranDSSebelumnya!$L$330:$L$772,"&lt;&gt;"&amp;$M$5)&gt;0,
              "Iuran dari Lingkungan lain",
              ""))</t>
  </si>
  <si>
    <t>=IF(COUNTIFS(IuranDSSebelumnya!$J$330:$J$772,$K49,IuranDSSebelumnya!$M$330:$M$772,AX$11,IuranDSSebelumnya!$L$330:$L$772,$M$5)&gt;0,
        VLOOKUP(CONCATENATE($K49,"|",AX$11,"|",$M$5),IuranDSSebelumnya!$I$330:$N$772,5,FALSE),
        IF(COUNTIFS(IuranDSSebelumnya!$J$330:$J$772,$K49,IuranDSSebelumnya!$M$330:$M$772,AX$11,IuranDSSebelumnya!$L$330:$L$772,"&lt;&gt;"&amp;$M$5)&gt;0,
              "Iuran dari Lingkungan lain",
              ""))</t>
  </si>
  <si>
    <t>=IF(COUNTIFS(IuranDSSebelumnya!$J$330:$J$772,$K49,IuranDSSebelumnya!$M$330:$M$772,AY$11,IuranDSSebelumnya!$L$330:$L$772,$M$5)&gt;0,
        VLOOKUP(CONCATENATE($K49,"|",AY$11,"|",$M$5),IuranDSSebelumnya!$I$330:$N$772,5,FALSE),
        IF(COUNTIFS(IuranDSSebelumnya!$J$330:$J$772,$K49,IuranDSSebelumnya!$M$330:$M$772,AY$11,IuranDSSebelumnya!$L$330:$L$772,"&lt;&gt;"&amp;$M$5)&gt;0,
              "Iuran dari Lingkungan lain",
              ""))</t>
  </si>
  <si>
    <t>=IF(COUNTIFS(IuranDSSebelumnya!$J$330:$J$772,$K49,IuranDSSebelumnya!$M$330:$M$772,AZ$11,IuranDSSebelumnya!$L$330:$L$772,$M$5)&gt;0,
        VLOOKUP(CONCATENATE($K49,"|",AZ$11,"|",$M$5),IuranDSSebelumnya!$I$330:$N$772,5,FALSE),
        IF(COUNTIFS(IuranDSSebelumnya!$J$330:$J$772,$K49,IuranDSSebelumnya!$M$330:$M$772,AZ$11,IuranDSSebelumnya!$L$330:$L$772,"&lt;&gt;"&amp;$M$5)&gt;0,
              "Iuran dari Lingkungan lain",
              ""))</t>
  </si>
  <si>
    <t>=IF(COUNTIFS(IuranDSSebelumnya!$J$330:$J$772,$K49,IuranDSSebelumnya!$M$330:$M$772,BA$11,IuranDSSebelumnya!$L$330:$L$772,$M$5)&gt;0,
        VLOOKUP(CONCATENATE($K49,"|",BA$11,"|",$M$5),IuranDSSebelumnya!$I$330:$N$772,5,FALSE),
        IF(COUNTIFS(IuranDSSebelumnya!$J$330:$J$772,$K49,IuranDSSebelumnya!$M$330:$M$772,BA$11,IuranDSSebelumnya!$L$330:$L$772,"&lt;&gt;"&amp;$M$5)&gt;0,
              "Iuran dari Lingkungan lain",
              ""))</t>
  </si>
  <si>
    <t>=IF(COUNTIFS(IuranDSSebelumnya!$J$330:$J$772,$K49,IuranDSSebelumnya!$M$330:$M$772,BB$11,IuranDSSebelumnya!$L$330:$L$772,$M$5)&gt;0,
        VLOOKUP(CONCATENATE($K49,"|",BB$11,"|",$M$5),IuranDSSebelumnya!$I$330:$N$772,5,FALSE),
        IF(COUNTIFS(IuranDSSebelumnya!$J$330:$J$772,$K49,IuranDSSebelumnya!$M$330:$M$772,BB$11,IuranDSSebelumnya!$L$330:$L$772,"&lt;&gt;"&amp;$M$5)&gt;0,
              "Iuran dari Lingkungan lain",
              ""))</t>
  </si>
  <si>
    <t>=IF(COUNTIFS(IuranDSSebelumnya!$J$330:$J$772,$K49,IuranDSSebelumnya!$M$330:$M$772,BC$11,IuranDSSebelumnya!$L$330:$L$772,$M$5)&gt;0,
        VLOOKUP(CONCATENATE($K49,"|",BC$11,"|",$M$5),IuranDSSebelumnya!$I$330:$N$772,5,FALSE),
        IF(COUNTIFS(IuranDSSebelumnya!$J$330:$J$772,$K49,IuranDSSebelumnya!$M$330:$M$772,BC$11,IuranDSSebelumnya!$L$330:$L$772,"&lt;&gt;"&amp;$M$5)&gt;0,
              "Iuran dari Lingkungan lain",
              ""))</t>
  </si>
  <si>
    <t>=IF(COUNTIFS(IuranDSSebelumnya!$J$330:$J$772,$K49,IuranDSSebelumnya!$M$330:$M$772,BD$11,IuranDSSebelumnya!$L$330:$L$772,$M$5)&gt;0,
        VLOOKUP(CONCATENATE($K49,"|",BD$11,"|",$M$5),IuranDSSebelumnya!$I$330:$N$772,5,FALSE),
        IF(COUNTIFS(IuranDSSebelumnya!$J$330:$J$772,$K49,IuranDSSebelumnya!$M$330:$M$772,BD$11,IuranDSSebelumnya!$L$330:$L$772,"&lt;&gt;"&amp;$M$5)&gt;0,
              "Iuran dari Lingkungan lain",
              ""))</t>
  </si>
  <si>
    <t>=IF(COUNTIFS(IuranDSSebelumnya!$J$330:$J$772,$K49,IuranDSSebelumnya!$M$330:$M$772,BE$11,IuranDSSebelumnya!$L$330:$L$772,$M$5)&gt;0,
        VLOOKUP(CONCATENATE($K49,"|",BE$11,"|",$M$5),IuranDSSebelumnya!$I$330:$N$772,5,FALSE),
        IF(COUNTIFS(IuranDSSebelumnya!$J$330:$J$772,$K49,IuranDSSebelumnya!$M$330:$M$772,BE$11,IuranDSSebelumnya!$L$330:$L$772,"&lt;&gt;"&amp;$M$5)&gt;0,
              "Iuran dari Lingkungan lain",
              ""))</t>
  </si>
  <si>
    <t>=IF(COUNTIFS(IuranDSSebelumnya!$J$330:$J$772,$K49,IuranDSSebelumnya!$M$330:$M$772,BF$11,IuranDSSebelumnya!$L$330:$L$772,$M$5)&gt;0,
        VLOOKUP(CONCATENATE($K49,"|",BF$11,"|",$M$5),IuranDSSebelumnya!$I$330:$N$772,5,FALSE),
        IF(COUNTIFS(IuranDSSebelumnya!$J$330:$J$772,$K49,IuranDSSebelumnya!$M$330:$M$772,BF$11,IuranDSSebelumnya!$L$330:$L$772,"&lt;&gt;"&amp;$M$5)&gt;0,
              "Iuran dari Lingkungan lain",
              ""))</t>
  </si>
  <si>
    <t>=IF(COUNTIFS(IuranDSSebelumnya!$J$330:$J$772,$K49,IuranDSSebelumnya!$M$330:$M$772,BG$11,IuranDSSebelumnya!$L$330:$L$772,$M$5)&gt;0,
        VLOOKUP(CONCATENATE($K49,"|",BG$11,"|",$M$5),IuranDSSebelumnya!$I$330:$N$772,5,FALSE),
        IF(COUNTIFS(IuranDSSebelumnya!$J$330:$J$772,$K49,IuranDSSebelumnya!$M$330:$M$772,BG$11,IuranDSSebelumnya!$L$330:$L$772,"&lt;&gt;"&amp;$M$5)&gt;0,
              "Iuran dari Lingkungan lain",
              ""))</t>
  </si>
  <si>
    <t>=IF(COUNTIFS(IuranDSSebelumnya!$J$330:$J$772,$K49,IuranDSSebelumnya!$M$330:$M$772,BH$11,IuranDSSebelumnya!$L$330:$L$772,$M$5)&gt;0,
        VLOOKUP(CONCATENATE($K49,"|",BH$11,"|",$M$5),IuranDSSebelumnya!$I$330:$N$772,5,FALSE),
        IF(COUNTIFS(IuranDSSebelumnya!$J$330:$J$772,$K49,IuranDSSebelumnya!$M$330:$M$772,BH$11,IuranDSSebelumnya!$L$330:$L$772,"&lt;&gt;"&amp;$M$5)&gt;0,
              "Iuran dari Lingkungan lain",
              ""))</t>
  </si>
  <si>
    <t>=IF(COUNTIFS(IuranDSSebelumnya!$J$330:$J$772,$K49,IuranDSSebelumnya!$M$330:$M$772,BI$11,IuranDSSebelumnya!$L$330:$L$772,$M$5)&gt;0,
        VLOOKUP(CONCATENATE($K49,"|",BI$11,"|",$M$5),IuranDSSebelumnya!$I$330:$N$772,5,FALSE),
        IF(COUNTIFS(IuranDSSebelumnya!$J$330:$J$772,$K49,IuranDSSebelumnya!$M$330:$M$772,BI$11,IuranDSSebelumnya!$L$330:$L$772,"&lt;&gt;"&amp;$M$5)&gt;0,
              "Iuran dari Lingkungan lain",
              ""))</t>
  </si>
  <si>
    <t>=IF(COUNTIFS(IuranDSSebelumnya!$J$330:$J$772,$K49,IuranDSSebelumnya!$M$330:$M$772,BJ$11,IuranDSSebelumnya!$L$330:$L$772,$M$5)&gt;0,
        VLOOKUP(CONCATENATE($K49,"|",BJ$11,"|",$M$5),IuranDSSebelumnya!$I$330:$N$772,5,FALSE),
        IF(COUNTIFS(IuranDSSebelumnya!$J$330:$J$772,$K49,IuranDSSebelumnya!$M$330:$M$772,BJ$11,IuranDSSebelumnya!$L$330:$L$772,"&lt;&gt;"&amp;$M$5)&gt;0,
              "Iuran dari Lingkungan lain",
              ""))</t>
  </si>
  <si>
    <t>=IF(COUNTIFS(IuranDSSebelumnya!$J$330:$J$772,$K49,IuranDSSebelumnya!$M$330:$M$772,BK$11,IuranDSSebelumnya!$L$330:$L$772,$M$5)&gt;0,
        VLOOKUP(CONCATENATE($K49,"|",BK$11,"|",$M$5),IuranDSSebelumnya!$I$330:$N$772,5,FALSE),
        IF(COUNTIFS(IuranDSSebelumnya!$J$330:$J$772,$K49,IuranDSSebelumnya!$M$330:$M$772,BK$11,IuranDSSebelumnya!$L$330:$L$772,"&lt;&gt;"&amp;$M$5)&gt;0,
              "Iuran dari Lingkungan lain",
              ""))</t>
  </si>
  <si>
    <t>=IF(COUNTIFS(IuranDSSebelumnya!$J$330:$J$772,$K49,IuranDSSebelumnya!$M$330:$M$772,BL$11,IuranDSSebelumnya!$L$330:$L$772,$M$5)&gt;0,
        VLOOKUP(CONCATENATE($K49,"|",BL$11,"|",$M$5),IuranDSSebelumnya!$I$330:$N$772,5,FALSE),
        IF(COUNTIFS(IuranDSSebelumnya!$J$330:$J$772,$K49,IuranDSSebelumnya!$M$330:$M$772,BL$11,IuranDSSebelumnya!$L$330:$L$772,"&lt;&gt;"&amp;$M$5)&gt;0,
              "Iuran dari Lingkungan lain",
              ""))</t>
  </si>
  <si>
    <t>=CELL("row")=CELL("row",C50)</t>
  </si>
  <si>
    <t>="""TRUST Nav"",""HSPMTB2016"",""18"",""1"",""KK-04622"""</t>
  </si>
  <si>
    <t>=IF(AND($AL50=0,$J50=1)=TRUE,0,
        IF(AND($AL50&gt;0,$J50=1)=TRUE,1,
              IF(AND(H49=$H$12,$J50&gt;1)=TRUE,0,
                    IF(AND($AL50=0,$J50&gt;1),H49,
                         H49+1))))</t>
  </si>
  <si>
    <t>=IF(J49="No.",1,J49+1)</t>
  </si>
  <si>
    <t>=SUM(N50:AK50)</t>
  </si>
  <si>
    <t>=IF(COUNTIFS(IuranDSSebelumnya!$J$330:$J$772,$K50,IuranDSSebelumnya!$M$330:$M$772,AO$11,IuranDSSebelumnya!$L$330:$L$772,$M$5)&gt;0,
        VLOOKUP(CONCATENATE($K50,"|",AO$11,"|",$M$5),IuranDSSebelumnya!$I$330:$N$772,5,FALSE),
        IF(COUNTIFS(IuranDSSebelumnya!$J$330:$J$772,$K50,IuranDSSebelumnya!$M$330:$M$772,AO$11,IuranDSSebelumnya!$L$330:$L$772,"&lt;&gt;"&amp;$M$5)&gt;0,
              "Iuran dari Lingkungan lain",
              ""))</t>
  </si>
  <si>
    <t>=IF(COUNTIFS(IuranDSSebelumnya!$J$330:$J$772,$K50,IuranDSSebelumnya!$M$330:$M$772,AP$11,IuranDSSebelumnya!$L$330:$L$772,$M$5)&gt;0,
        VLOOKUP(CONCATENATE($K50,"|",AP$11,"|",$M$5),IuranDSSebelumnya!$I$330:$N$772,5,FALSE),
        IF(COUNTIFS(IuranDSSebelumnya!$J$330:$J$772,$K50,IuranDSSebelumnya!$M$330:$M$772,AP$11,IuranDSSebelumnya!$L$330:$L$772,"&lt;&gt;"&amp;$M$5)&gt;0,
              "Iuran dari Lingkungan lain",
              ""))</t>
  </si>
  <si>
    <t>=IF(COUNTIFS(IuranDSSebelumnya!$J$330:$J$772,$K50,IuranDSSebelumnya!$M$330:$M$772,AQ$11,IuranDSSebelumnya!$L$330:$L$772,$M$5)&gt;0,
        VLOOKUP(CONCATENATE($K50,"|",AQ$11,"|",$M$5),IuranDSSebelumnya!$I$330:$N$772,5,FALSE),
        IF(COUNTIFS(IuranDSSebelumnya!$J$330:$J$772,$K50,IuranDSSebelumnya!$M$330:$M$772,AQ$11,IuranDSSebelumnya!$L$330:$L$772,"&lt;&gt;"&amp;$M$5)&gt;0,
              "Iuran dari Lingkungan lain",
              ""))</t>
  </si>
  <si>
    <t>=IF(COUNTIFS(IuranDSSebelumnya!$J$330:$J$772,$K50,IuranDSSebelumnya!$M$330:$M$772,AR$11,IuranDSSebelumnya!$L$330:$L$772,$M$5)&gt;0,
        VLOOKUP(CONCATENATE($K50,"|",AR$11,"|",$M$5),IuranDSSebelumnya!$I$330:$N$772,5,FALSE),
        IF(COUNTIFS(IuranDSSebelumnya!$J$330:$J$772,$K50,IuranDSSebelumnya!$M$330:$M$772,AR$11,IuranDSSebelumnya!$L$330:$L$772,"&lt;&gt;"&amp;$M$5)&gt;0,
              "Iuran dari Lingkungan lain",
              ""))</t>
  </si>
  <si>
    <t>=IF(COUNTIFS(IuranDSSebelumnya!$J$330:$J$772,$K50,IuranDSSebelumnya!$M$330:$M$772,AS$11,IuranDSSebelumnya!$L$330:$L$772,$M$5)&gt;0,
        VLOOKUP(CONCATENATE($K50,"|",AS$11,"|",$M$5),IuranDSSebelumnya!$I$330:$N$772,5,FALSE),
        IF(COUNTIFS(IuranDSSebelumnya!$J$330:$J$772,$K50,IuranDSSebelumnya!$M$330:$M$772,AS$11,IuranDSSebelumnya!$L$330:$L$772,"&lt;&gt;"&amp;$M$5)&gt;0,
              "Iuran dari Lingkungan lain",
              ""))</t>
  </si>
  <si>
    <t>=IF(COUNTIFS(IuranDSSebelumnya!$J$330:$J$772,$K50,IuranDSSebelumnya!$M$330:$M$772,AT$11,IuranDSSebelumnya!$L$330:$L$772,$M$5)&gt;0,
        VLOOKUP(CONCATENATE($K50,"|",AT$11,"|",$M$5),IuranDSSebelumnya!$I$330:$N$772,5,FALSE),
        IF(COUNTIFS(IuranDSSebelumnya!$J$330:$J$772,$K50,IuranDSSebelumnya!$M$330:$M$772,AT$11,IuranDSSebelumnya!$L$330:$L$772,"&lt;&gt;"&amp;$M$5)&gt;0,
              "Iuran dari Lingkungan lain",
              ""))</t>
  </si>
  <si>
    <t>=IF(COUNTIFS(IuranDSSebelumnya!$J$330:$J$772,$K50,IuranDSSebelumnya!$M$330:$M$772,AU$11,IuranDSSebelumnya!$L$330:$L$772,$M$5)&gt;0,
        VLOOKUP(CONCATENATE($K50,"|",AU$11,"|",$M$5),IuranDSSebelumnya!$I$330:$N$772,5,FALSE),
        IF(COUNTIFS(IuranDSSebelumnya!$J$330:$J$772,$K50,IuranDSSebelumnya!$M$330:$M$772,AU$11,IuranDSSebelumnya!$L$330:$L$772,"&lt;&gt;"&amp;$M$5)&gt;0,
              "Iuran dari Lingkungan lain",
              ""))</t>
  </si>
  <si>
    <t>=IF(COUNTIFS(IuranDSSebelumnya!$J$330:$J$772,$K50,IuranDSSebelumnya!$M$330:$M$772,AV$11,IuranDSSebelumnya!$L$330:$L$772,$M$5)&gt;0,
        VLOOKUP(CONCATENATE($K50,"|",AV$11,"|",$M$5),IuranDSSebelumnya!$I$330:$N$772,5,FALSE),
        IF(COUNTIFS(IuranDSSebelumnya!$J$330:$J$772,$K50,IuranDSSebelumnya!$M$330:$M$772,AV$11,IuranDSSebelumnya!$L$330:$L$772,"&lt;&gt;"&amp;$M$5)&gt;0,
              "Iuran dari Lingkungan lain",
              ""))</t>
  </si>
  <si>
    <t>=IF(COUNTIFS(IuranDSSebelumnya!$J$330:$J$772,$K50,IuranDSSebelumnya!$M$330:$M$772,AW$11,IuranDSSebelumnya!$L$330:$L$772,$M$5)&gt;0,
        VLOOKUP(CONCATENATE($K50,"|",AW$11,"|",$M$5),IuranDSSebelumnya!$I$330:$N$772,5,FALSE),
        IF(COUNTIFS(IuranDSSebelumnya!$J$330:$J$772,$K50,IuranDSSebelumnya!$M$330:$M$772,AW$11,IuranDSSebelumnya!$L$330:$L$772,"&lt;&gt;"&amp;$M$5)&gt;0,
              "Iuran dari Lingkungan lain",
              ""))</t>
  </si>
  <si>
    <t>=IF(COUNTIFS(IuranDSSebelumnya!$J$330:$J$772,$K50,IuranDSSebelumnya!$M$330:$M$772,AX$11,IuranDSSebelumnya!$L$330:$L$772,$M$5)&gt;0,
        VLOOKUP(CONCATENATE($K50,"|",AX$11,"|",$M$5),IuranDSSebelumnya!$I$330:$N$772,5,FALSE),
        IF(COUNTIFS(IuranDSSebelumnya!$J$330:$J$772,$K50,IuranDSSebelumnya!$M$330:$M$772,AX$11,IuranDSSebelumnya!$L$330:$L$772,"&lt;&gt;"&amp;$M$5)&gt;0,
              "Iuran dari Lingkungan lain",
              ""))</t>
  </si>
  <si>
    <t>=IF(COUNTIFS(IuranDSSebelumnya!$J$330:$J$772,$K50,IuranDSSebelumnya!$M$330:$M$772,AY$11,IuranDSSebelumnya!$L$330:$L$772,$M$5)&gt;0,
        VLOOKUP(CONCATENATE($K50,"|",AY$11,"|",$M$5),IuranDSSebelumnya!$I$330:$N$772,5,FALSE),
        IF(COUNTIFS(IuranDSSebelumnya!$J$330:$J$772,$K50,IuranDSSebelumnya!$M$330:$M$772,AY$11,IuranDSSebelumnya!$L$330:$L$772,"&lt;&gt;"&amp;$M$5)&gt;0,
              "Iuran dari Lingkungan lain",
              ""))</t>
  </si>
  <si>
    <t>=IF(COUNTIFS(IuranDSSebelumnya!$J$330:$J$772,$K50,IuranDSSebelumnya!$M$330:$M$772,AZ$11,IuranDSSebelumnya!$L$330:$L$772,$M$5)&gt;0,
        VLOOKUP(CONCATENATE($K50,"|",AZ$11,"|",$M$5),IuranDSSebelumnya!$I$330:$N$772,5,FALSE),
        IF(COUNTIFS(IuranDSSebelumnya!$J$330:$J$772,$K50,IuranDSSebelumnya!$M$330:$M$772,AZ$11,IuranDSSebelumnya!$L$330:$L$772,"&lt;&gt;"&amp;$M$5)&gt;0,
              "Iuran dari Lingkungan lain",
              ""))</t>
  </si>
  <si>
    <t>=IF(COUNTIFS(IuranDSSebelumnya!$J$330:$J$772,$K50,IuranDSSebelumnya!$M$330:$M$772,BA$11,IuranDSSebelumnya!$L$330:$L$772,$M$5)&gt;0,
        VLOOKUP(CONCATENATE($K50,"|",BA$11,"|",$M$5),IuranDSSebelumnya!$I$330:$N$772,5,FALSE),
        IF(COUNTIFS(IuranDSSebelumnya!$J$330:$J$772,$K50,IuranDSSebelumnya!$M$330:$M$772,BA$11,IuranDSSebelumnya!$L$330:$L$772,"&lt;&gt;"&amp;$M$5)&gt;0,
              "Iuran dari Lingkungan lain",
              ""))</t>
  </si>
  <si>
    <t>=IF(COUNTIFS(IuranDSSebelumnya!$J$330:$J$772,$K50,IuranDSSebelumnya!$M$330:$M$772,BB$11,IuranDSSebelumnya!$L$330:$L$772,$M$5)&gt;0,
        VLOOKUP(CONCATENATE($K50,"|",BB$11,"|",$M$5),IuranDSSebelumnya!$I$330:$N$772,5,FALSE),
        IF(COUNTIFS(IuranDSSebelumnya!$J$330:$J$772,$K50,IuranDSSebelumnya!$M$330:$M$772,BB$11,IuranDSSebelumnya!$L$330:$L$772,"&lt;&gt;"&amp;$M$5)&gt;0,
              "Iuran dari Lingkungan lain",
              ""))</t>
  </si>
  <si>
    <t>=IF(COUNTIFS(IuranDSSebelumnya!$J$330:$J$772,$K50,IuranDSSebelumnya!$M$330:$M$772,BC$11,IuranDSSebelumnya!$L$330:$L$772,$M$5)&gt;0,
        VLOOKUP(CONCATENATE($K50,"|",BC$11,"|",$M$5),IuranDSSebelumnya!$I$330:$N$772,5,FALSE),
        IF(COUNTIFS(IuranDSSebelumnya!$J$330:$J$772,$K50,IuranDSSebelumnya!$M$330:$M$772,BC$11,IuranDSSebelumnya!$L$330:$L$772,"&lt;&gt;"&amp;$M$5)&gt;0,
              "Iuran dari Lingkungan lain",
              ""))</t>
  </si>
  <si>
    <t>=IF(COUNTIFS(IuranDSSebelumnya!$J$330:$J$772,$K50,IuranDSSebelumnya!$M$330:$M$772,BD$11,IuranDSSebelumnya!$L$330:$L$772,$M$5)&gt;0,
        VLOOKUP(CONCATENATE($K50,"|",BD$11,"|",$M$5),IuranDSSebelumnya!$I$330:$N$772,5,FALSE),
        IF(COUNTIFS(IuranDSSebelumnya!$J$330:$J$772,$K50,IuranDSSebelumnya!$M$330:$M$772,BD$11,IuranDSSebelumnya!$L$330:$L$772,"&lt;&gt;"&amp;$M$5)&gt;0,
              "Iuran dari Lingkungan lain",
              ""))</t>
  </si>
  <si>
    <t>=IF(COUNTIFS(IuranDSSebelumnya!$J$330:$J$772,$K50,IuranDSSebelumnya!$M$330:$M$772,BE$11,IuranDSSebelumnya!$L$330:$L$772,$M$5)&gt;0,
        VLOOKUP(CONCATENATE($K50,"|",BE$11,"|",$M$5),IuranDSSebelumnya!$I$330:$N$772,5,FALSE),
        IF(COUNTIFS(IuranDSSebelumnya!$J$330:$J$772,$K50,IuranDSSebelumnya!$M$330:$M$772,BE$11,IuranDSSebelumnya!$L$330:$L$772,"&lt;&gt;"&amp;$M$5)&gt;0,
              "Iuran dari Lingkungan lain",
              ""))</t>
  </si>
  <si>
    <t>=IF(COUNTIFS(IuranDSSebelumnya!$J$330:$J$772,$K50,IuranDSSebelumnya!$M$330:$M$772,BF$11,IuranDSSebelumnya!$L$330:$L$772,$M$5)&gt;0,
        VLOOKUP(CONCATENATE($K50,"|",BF$11,"|",$M$5),IuranDSSebelumnya!$I$330:$N$772,5,FALSE),
        IF(COUNTIFS(IuranDSSebelumnya!$J$330:$J$772,$K50,IuranDSSebelumnya!$M$330:$M$772,BF$11,IuranDSSebelumnya!$L$330:$L$772,"&lt;&gt;"&amp;$M$5)&gt;0,
              "Iuran dari Lingkungan lain",
              ""))</t>
  </si>
  <si>
    <t>=IF(COUNTIFS(IuranDSSebelumnya!$J$330:$J$772,$K50,IuranDSSebelumnya!$M$330:$M$772,BG$11,IuranDSSebelumnya!$L$330:$L$772,$M$5)&gt;0,
        VLOOKUP(CONCATENATE($K50,"|",BG$11,"|",$M$5),IuranDSSebelumnya!$I$330:$N$772,5,FALSE),
        IF(COUNTIFS(IuranDSSebelumnya!$J$330:$J$772,$K50,IuranDSSebelumnya!$M$330:$M$772,BG$11,IuranDSSebelumnya!$L$330:$L$772,"&lt;&gt;"&amp;$M$5)&gt;0,
              "Iuran dari Lingkungan lain",
              ""))</t>
  </si>
  <si>
    <t>=IF(COUNTIFS(IuranDSSebelumnya!$J$330:$J$772,$K50,IuranDSSebelumnya!$M$330:$M$772,BH$11,IuranDSSebelumnya!$L$330:$L$772,$M$5)&gt;0,
        VLOOKUP(CONCATENATE($K50,"|",BH$11,"|",$M$5),IuranDSSebelumnya!$I$330:$N$772,5,FALSE),
        IF(COUNTIFS(IuranDSSebelumnya!$J$330:$J$772,$K50,IuranDSSebelumnya!$M$330:$M$772,BH$11,IuranDSSebelumnya!$L$330:$L$772,"&lt;&gt;"&amp;$M$5)&gt;0,
              "Iuran dari Lingkungan lain",
              ""))</t>
  </si>
  <si>
    <t>=IF(COUNTIFS(IuranDSSebelumnya!$J$330:$J$772,$K50,IuranDSSebelumnya!$M$330:$M$772,BI$11,IuranDSSebelumnya!$L$330:$L$772,$M$5)&gt;0,
        VLOOKUP(CONCATENATE($K50,"|",BI$11,"|",$M$5),IuranDSSebelumnya!$I$330:$N$772,5,FALSE),
        IF(COUNTIFS(IuranDSSebelumnya!$J$330:$J$772,$K50,IuranDSSebelumnya!$M$330:$M$772,BI$11,IuranDSSebelumnya!$L$330:$L$772,"&lt;&gt;"&amp;$M$5)&gt;0,
              "Iuran dari Lingkungan lain",
              ""))</t>
  </si>
  <si>
    <t>=IF(COUNTIFS(IuranDSSebelumnya!$J$330:$J$772,$K50,IuranDSSebelumnya!$M$330:$M$772,BJ$11,IuranDSSebelumnya!$L$330:$L$772,$M$5)&gt;0,
        VLOOKUP(CONCATENATE($K50,"|",BJ$11,"|",$M$5),IuranDSSebelumnya!$I$330:$N$772,5,FALSE),
        IF(COUNTIFS(IuranDSSebelumnya!$J$330:$J$772,$K50,IuranDSSebelumnya!$M$330:$M$772,BJ$11,IuranDSSebelumnya!$L$330:$L$772,"&lt;&gt;"&amp;$M$5)&gt;0,
              "Iuran dari Lingkungan lain",
              ""))</t>
  </si>
  <si>
    <t>=IF(COUNTIFS(IuranDSSebelumnya!$J$330:$J$772,$K50,IuranDSSebelumnya!$M$330:$M$772,BK$11,IuranDSSebelumnya!$L$330:$L$772,$M$5)&gt;0,
        VLOOKUP(CONCATENATE($K50,"|",BK$11,"|",$M$5),IuranDSSebelumnya!$I$330:$N$772,5,FALSE),
        IF(COUNTIFS(IuranDSSebelumnya!$J$330:$J$772,$K50,IuranDSSebelumnya!$M$330:$M$772,BK$11,IuranDSSebelumnya!$L$330:$L$772,"&lt;&gt;"&amp;$M$5)&gt;0,
              "Iuran dari Lingkungan lain",
              ""))</t>
  </si>
  <si>
    <t>=IF(COUNTIFS(IuranDSSebelumnya!$J$330:$J$772,$K50,IuranDSSebelumnya!$M$330:$M$772,BL$11,IuranDSSebelumnya!$L$330:$L$772,$M$5)&gt;0,
        VLOOKUP(CONCATENATE($K50,"|",BL$11,"|",$M$5),IuranDSSebelumnya!$I$330:$N$772,5,FALSE),
        IF(COUNTIFS(IuranDSSebelumnya!$J$330:$J$772,$K50,IuranDSSebelumnya!$M$330:$M$772,BL$11,IuranDSSebelumnya!$L$330:$L$772,"&lt;&gt;"&amp;$M$5)&gt;0,
              "Iuran dari Lingkungan lain",
              ""))</t>
  </si>
  <si>
    <t>=CELL("row")=CELL("row",C51)</t>
  </si>
  <si>
    <t>="""TRUST Nav"",""HSPMTB2016"",""18"",""1"",""KK-05056"""</t>
  </si>
  <si>
    <t>=IF(AND($AL51=0,$J51=1)=TRUE,0,
        IF(AND($AL51&gt;0,$J51=1)=TRUE,1,
              IF(AND(H50=$H$12,$J51&gt;1)=TRUE,0,
                    IF(AND($AL51=0,$J51&gt;1),H50,
                         H50+1))))</t>
  </si>
  <si>
    <t>=IF(J50="No.",1,J50+1)</t>
  </si>
  <si>
    <t>=SUM(N51:AK51)</t>
  </si>
  <si>
    <t>=IF(COUNTIFS(IuranDSSebelumnya!$J$330:$J$772,$K51,IuranDSSebelumnya!$M$330:$M$772,AO$11,IuranDSSebelumnya!$L$330:$L$772,$M$5)&gt;0,
        VLOOKUP(CONCATENATE($K51,"|",AO$11,"|",$M$5),IuranDSSebelumnya!$I$330:$N$772,5,FALSE),
        IF(COUNTIFS(IuranDSSebelumnya!$J$330:$J$772,$K51,IuranDSSebelumnya!$M$330:$M$772,AO$11,IuranDSSebelumnya!$L$330:$L$772,"&lt;&gt;"&amp;$M$5)&gt;0,
              "Iuran dari Lingkungan lain",
              ""))</t>
  </si>
  <si>
    <t>=IF(COUNTIFS(IuranDSSebelumnya!$J$330:$J$772,$K51,IuranDSSebelumnya!$M$330:$M$772,AP$11,IuranDSSebelumnya!$L$330:$L$772,$M$5)&gt;0,
        VLOOKUP(CONCATENATE($K51,"|",AP$11,"|",$M$5),IuranDSSebelumnya!$I$330:$N$772,5,FALSE),
        IF(COUNTIFS(IuranDSSebelumnya!$J$330:$J$772,$K51,IuranDSSebelumnya!$M$330:$M$772,AP$11,IuranDSSebelumnya!$L$330:$L$772,"&lt;&gt;"&amp;$M$5)&gt;0,
              "Iuran dari Lingkungan lain",
              ""))</t>
  </si>
  <si>
    <t>=IF(COUNTIFS(IuranDSSebelumnya!$J$330:$J$772,$K51,IuranDSSebelumnya!$M$330:$M$772,AQ$11,IuranDSSebelumnya!$L$330:$L$772,$M$5)&gt;0,
        VLOOKUP(CONCATENATE($K51,"|",AQ$11,"|",$M$5),IuranDSSebelumnya!$I$330:$N$772,5,FALSE),
        IF(COUNTIFS(IuranDSSebelumnya!$J$330:$J$772,$K51,IuranDSSebelumnya!$M$330:$M$772,AQ$11,IuranDSSebelumnya!$L$330:$L$772,"&lt;&gt;"&amp;$M$5)&gt;0,
              "Iuran dari Lingkungan lain",
              ""))</t>
  </si>
  <si>
    <t>=IF(COUNTIFS(IuranDSSebelumnya!$J$330:$J$772,$K51,IuranDSSebelumnya!$M$330:$M$772,AR$11,IuranDSSebelumnya!$L$330:$L$772,$M$5)&gt;0,
        VLOOKUP(CONCATENATE($K51,"|",AR$11,"|",$M$5),IuranDSSebelumnya!$I$330:$N$772,5,FALSE),
        IF(COUNTIFS(IuranDSSebelumnya!$J$330:$J$772,$K51,IuranDSSebelumnya!$M$330:$M$772,AR$11,IuranDSSebelumnya!$L$330:$L$772,"&lt;&gt;"&amp;$M$5)&gt;0,
              "Iuran dari Lingkungan lain",
              ""))</t>
  </si>
  <si>
    <t>=IF(COUNTIFS(IuranDSSebelumnya!$J$330:$J$772,$K51,IuranDSSebelumnya!$M$330:$M$772,AS$11,IuranDSSebelumnya!$L$330:$L$772,$M$5)&gt;0,
        VLOOKUP(CONCATENATE($K51,"|",AS$11,"|",$M$5),IuranDSSebelumnya!$I$330:$N$772,5,FALSE),
        IF(COUNTIFS(IuranDSSebelumnya!$J$330:$J$772,$K51,IuranDSSebelumnya!$M$330:$M$772,AS$11,IuranDSSebelumnya!$L$330:$L$772,"&lt;&gt;"&amp;$M$5)&gt;0,
              "Iuran dari Lingkungan lain",
              ""))</t>
  </si>
  <si>
    <t>=IF(COUNTIFS(IuranDSSebelumnya!$J$330:$J$772,$K51,IuranDSSebelumnya!$M$330:$M$772,AT$11,IuranDSSebelumnya!$L$330:$L$772,$M$5)&gt;0,
        VLOOKUP(CONCATENATE($K51,"|",AT$11,"|",$M$5),IuranDSSebelumnya!$I$330:$N$772,5,FALSE),
        IF(COUNTIFS(IuranDSSebelumnya!$J$330:$J$772,$K51,IuranDSSebelumnya!$M$330:$M$772,AT$11,IuranDSSebelumnya!$L$330:$L$772,"&lt;&gt;"&amp;$M$5)&gt;0,
              "Iuran dari Lingkungan lain",
              ""))</t>
  </si>
  <si>
    <t>=IF(COUNTIFS(IuranDSSebelumnya!$J$330:$J$772,$K51,IuranDSSebelumnya!$M$330:$M$772,AU$11,IuranDSSebelumnya!$L$330:$L$772,$M$5)&gt;0,
        VLOOKUP(CONCATENATE($K51,"|",AU$11,"|",$M$5),IuranDSSebelumnya!$I$330:$N$772,5,FALSE),
        IF(COUNTIFS(IuranDSSebelumnya!$J$330:$J$772,$K51,IuranDSSebelumnya!$M$330:$M$772,AU$11,IuranDSSebelumnya!$L$330:$L$772,"&lt;&gt;"&amp;$M$5)&gt;0,
              "Iuran dari Lingkungan lain",
              ""))</t>
  </si>
  <si>
    <t>=IF(COUNTIFS(IuranDSSebelumnya!$J$330:$J$772,$K51,IuranDSSebelumnya!$M$330:$M$772,AV$11,IuranDSSebelumnya!$L$330:$L$772,$M$5)&gt;0,
        VLOOKUP(CONCATENATE($K51,"|",AV$11,"|",$M$5),IuranDSSebelumnya!$I$330:$N$772,5,FALSE),
        IF(COUNTIFS(IuranDSSebelumnya!$J$330:$J$772,$K51,IuranDSSebelumnya!$M$330:$M$772,AV$11,IuranDSSebelumnya!$L$330:$L$772,"&lt;&gt;"&amp;$M$5)&gt;0,
              "Iuran dari Lingkungan lain",
              ""))</t>
  </si>
  <si>
    <t>=IF(COUNTIFS(IuranDSSebelumnya!$J$330:$J$772,$K51,IuranDSSebelumnya!$M$330:$M$772,AW$11,IuranDSSebelumnya!$L$330:$L$772,$M$5)&gt;0,
        VLOOKUP(CONCATENATE($K51,"|",AW$11,"|",$M$5),IuranDSSebelumnya!$I$330:$N$772,5,FALSE),
        IF(COUNTIFS(IuranDSSebelumnya!$J$330:$J$772,$K51,IuranDSSebelumnya!$M$330:$M$772,AW$11,IuranDSSebelumnya!$L$330:$L$772,"&lt;&gt;"&amp;$M$5)&gt;0,
              "Iuran dari Lingkungan lain",
              ""))</t>
  </si>
  <si>
    <t>=IF(COUNTIFS(IuranDSSebelumnya!$J$330:$J$772,$K51,IuranDSSebelumnya!$M$330:$M$772,AX$11,IuranDSSebelumnya!$L$330:$L$772,$M$5)&gt;0,
        VLOOKUP(CONCATENATE($K51,"|",AX$11,"|",$M$5),IuranDSSebelumnya!$I$330:$N$772,5,FALSE),
        IF(COUNTIFS(IuranDSSebelumnya!$J$330:$J$772,$K51,IuranDSSebelumnya!$M$330:$M$772,AX$11,IuranDSSebelumnya!$L$330:$L$772,"&lt;&gt;"&amp;$M$5)&gt;0,
              "Iuran dari Lingkungan lain",
              ""))</t>
  </si>
  <si>
    <t>=IF(COUNTIFS(IuranDSSebelumnya!$J$330:$J$772,$K51,IuranDSSebelumnya!$M$330:$M$772,AY$11,IuranDSSebelumnya!$L$330:$L$772,$M$5)&gt;0,
        VLOOKUP(CONCATENATE($K51,"|",AY$11,"|",$M$5),IuranDSSebelumnya!$I$330:$N$772,5,FALSE),
        IF(COUNTIFS(IuranDSSebelumnya!$J$330:$J$772,$K51,IuranDSSebelumnya!$M$330:$M$772,AY$11,IuranDSSebelumnya!$L$330:$L$772,"&lt;&gt;"&amp;$M$5)&gt;0,
              "Iuran dari Lingkungan lain",
              ""))</t>
  </si>
  <si>
    <t>=IF(COUNTIFS(IuranDSSebelumnya!$J$330:$J$772,$K51,IuranDSSebelumnya!$M$330:$M$772,AZ$11,IuranDSSebelumnya!$L$330:$L$772,$M$5)&gt;0,
        VLOOKUP(CONCATENATE($K51,"|",AZ$11,"|",$M$5),IuranDSSebelumnya!$I$330:$N$772,5,FALSE),
        IF(COUNTIFS(IuranDSSebelumnya!$J$330:$J$772,$K51,IuranDSSebelumnya!$M$330:$M$772,AZ$11,IuranDSSebelumnya!$L$330:$L$772,"&lt;&gt;"&amp;$M$5)&gt;0,
              "Iuran dari Lingkungan lain",
              ""))</t>
  </si>
  <si>
    <t>=IF(COUNTIFS(IuranDSSebelumnya!$J$330:$J$772,$K51,IuranDSSebelumnya!$M$330:$M$772,BA$11,IuranDSSebelumnya!$L$330:$L$772,$M$5)&gt;0,
        VLOOKUP(CONCATENATE($K51,"|",BA$11,"|",$M$5),IuranDSSebelumnya!$I$330:$N$772,5,FALSE),
        IF(COUNTIFS(IuranDSSebelumnya!$J$330:$J$772,$K51,IuranDSSebelumnya!$M$330:$M$772,BA$11,IuranDSSebelumnya!$L$330:$L$772,"&lt;&gt;"&amp;$M$5)&gt;0,
              "Iuran dari Lingkungan lain",
              ""))</t>
  </si>
  <si>
    <t>=IF(COUNTIFS(IuranDSSebelumnya!$J$330:$J$772,$K51,IuranDSSebelumnya!$M$330:$M$772,BB$11,IuranDSSebelumnya!$L$330:$L$772,$M$5)&gt;0,
        VLOOKUP(CONCATENATE($K51,"|",BB$11,"|",$M$5),IuranDSSebelumnya!$I$330:$N$772,5,FALSE),
        IF(COUNTIFS(IuranDSSebelumnya!$J$330:$J$772,$K51,IuranDSSebelumnya!$M$330:$M$772,BB$11,IuranDSSebelumnya!$L$330:$L$772,"&lt;&gt;"&amp;$M$5)&gt;0,
              "Iuran dari Lingkungan lain",
              ""))</t>
  </si>
  <si>
    <t>=IF(COUNTIFS(IuranDSSebelumnya!$J$330:$J$772,$K51,IuranDSSebelumnya!$M$330:$M$772,BC$11,IuranDSSebelumnya!$L$330:$L$772,$M$5)&gt;0,
        VLOOKUP(CONCATENATE($K51,"|",BC$11,"|",$M$5),IuranDSSebelumnya!$I$330:$N$772,5,FALSE),
        IF(COUNTIFS(IuranDSSebelumnya!$J$330:$J$772,$K51,IuranDSSebelumnya!$M$330:$M$772,BC$11,IuranDSSebelumnya!$L$330:$L$772,"&lt;&gt;"&amp;$M$5)&gt;0,
              "Iuran dari Lingkungan lain",
              ""))</t>
  </si>
  <si>
    <t>=IF(COUNTIFS(IuranDSSebelumnya!$J$330:$J$772,$K51,IuranDSSebelumnya!$M$330:$M$772,BD$11,IuranDSSebelumnya!$L$330:$L$772,$M$5)&gt;0,
        VLOOKUP(CONCATENATE($K51,"|",BD$11,"|",$M$5),IuranDSSebelumnya!$I$330:$N$772,5,FALSE),
        IF(COUNTIFS(IuranDSSebelumnya!$J$330:$J$772,$K51,IuranDSSebelumnya!$M$330:$M$772,BD$11,IuranDSSebelumnya!$L$330:$L$772,"&lt;&gt;"&amp;$M$5)&gt;0,
              "Iuran dari Lingkungan lain",
              ""))</t>
  </si>
  <si>
    <t>=IF(COUNTIFS(IuranDSSebelumnya!$J$330:$J$772,$K51,IuranDSSebelumnya!$M$330:$M$772,BE$11,IuranDSSebelumnya!$L$330:$L$772,$M$5)&gt;0,
        VLOOKUP(CONCATENATE($K51,"|",BE$11,"|",$M$5),IuranDSSebelumnya!$I$330:$N$772,5,FALSE),
        IF(COUNTIFS(IuranDSSebelumnya!$J$330:$J$772,$K51,IuranDSSebelumnya!$M$330:$M$772,BE$11,IuranDSSebelumnya!$L$330:$L$772,"&lt;&gt;"&amp;$M$5)&gt;0,
              "Iuran dari Lingkungan lain",
              ""))</t>
  </si>
  <si>
    <t>=IF(COUNTIFS(IuranDSSebelumnya!$J$330:$J$772,$K51,IuranDSSebelumnya!$M$330:$M$772,BF$11,IuranDSSebelumnya!$L$330:$L$772,$M$5)&gt;0,
        VLOOKUP(CONCATENATE($K51,"|",BF$11,"|",$M$5),IuranDSSebelumnya!$I$330:$N$772,5,FALSE),
        IF(COUNTIFS(IuranDSSebelumnya!$J$330:$J$772,$K51,IuranDSSebelumnya!$M$330:$M$772,BF$11,IuranDSSebelumnya!$L$330:$L$772,"&lt;&gt;"&amp;$M$5)&gt;0,
              "Iuran dari Lingkungan lain",
              ""))</t>
  </si>
  <si>
    <t>=IF(COUNTIFS(IuranDSSebelumnya!$J$330:$J$772,$K51,IuranDSSebelumnya!$M$330:$M$772,BG$11,IuranDSSebelumnya!$L$330:$L$772,$M$5)&gt;0,
        VLOOKUP(CONCATENATE($K51,"|",BG$11,"|",$M$5),IuranDSSebelumnya!$I$330:$N$772,5,FALSE),
        IF(COUNTIFS(IuranDSSebelumnya!$J$330:$J$772,$K51,IuranDSSebelumnya!$M$330:$M$772,BG$11,IuranDSSebelumnya!$L$330:$L$772,"&lt;&gt;"&amp;$M$5)&gt;0,
              "Iuran dari Lingkungan lain",
              ""))</t>
  </si>
  <si>
    <t>=IF(COUNTIFS(IuranDSSebelumnya!$J$330:$J$772,$K51,IuranDSSebelumnya!$M$330:$M$772,BH$11,IuranDSSebelumnya!$L$330:$L$772,$M$5)&gt;0,
        VLOOKUP(CONCATENATE($K51,"|",BH$11,"|",$M$5),IuranDSSebelumnya!$I$330:$N$772,5,FALSE),
        IF(COUNTIFS(IuranDSSebelumnya!$J$330:$J$772,$K51,IuranDSSebelumnya!$M$330:$M$772,BH$11,IuranDSSebelumnya!$L$330:$L$772,"&lt;&gt;"&amp;$M$5)&gt;0,
              "Iuran dari Lingkungan lain",
              ""))</t>
  </si>
  <si>
    <t>=IF(COUNTIFS(IuranDSSebelumnya!$J$330:$J$772,$K51,IuranDSSebelumnya!$M$330:$M$772,BI$11,IuranDSSebelumnya!$L$330:$L$772,$M$5)&gt;0,
        VLOOKUP(CONCATENATE($K51,"|",BI$11,"|",$M$5),IuranDSSebelumnya!$I$330:$N$772,5,FALSE),
        IF(COUNTIFS(IuranDSSebelumnya!$J$330:$J$772,$K51,IuranDSSebelumnya!$M$330:$M$772,BI$11,IuranDSSebelumnya!$L$330:$L$772,"&lt;&gt;"&amp;$M$5)&gt;0,
              "Iuran dari Lingkungan lain",
              ""))</t>
  </si>
  <si>
    <t>=IF(COUNTIFS(IuranDSSebelumnya!$J$330:$J$772,$K51,IuranDSSebelumnya!$M$330:$M$772,BJ$11,IuranDSSebelumnya!$L$330:$L$772,$M$5)&gt;0,
        VLOOKUP(CONCATENATE($K51,"|",BJ$11,"|",$M$5),IuranDSSebelumnya!$I$330:$N$772,5,FALSE),
        IF(COUNTIFS(IuranDSSebelumnya!$J$330:$J$772,$K51,IuranDSSebelumnya!$M$330:$M$772,BJ$11,IuranDSSebelumnya!$L$330:$L$772,"&lt;&gt;"&amp;$M$5)&gt;0,
              "Iuran dari Lingkungan lain",
              ""))</t>
  </si>
  <si>
    <t>=IF(COUNTIFS(IuranDSSebelumnya!$J$330:$J$772,$K51,IuranDSSebelumnya!$M$330:$M$772,BK$11,IuranDSSebelumnya!$L$330:$L$772,$M$5)&gt;0,
        VLOOKUP(CONCATENATE($K51,"|",BK$11,"|",$M$5),IuranDSSebelumnya!$I$330:$N$772,5,FALSE),
        IF(COUNTIFS(IuranDSSebelumnya!$J$330:$J$772,$K51,IuranDSSebelumnya!$M$330:$M$772,BK$11,IuranDSSebelumnya!$L$330:$L$772,"&lt;&gt;"&amp;$M$5)&gt;0,
              "Iuran dari Lingkungan lain",
              ""))</t>
  </si>
  <si>
    <t>=IF(COUNTIFS(IuranDSSebelumnya!$J$330:$J$772,$K51,IuranDSSebelumnya!$M$330:$M$772,BL$11,IuranDSSebelumnya!$L$330:$L$772,$M$5)&gt;0,
        VLOOKUP(CONCATENATE($K51,"|",BL$11,"|",$M$5),IuranDSSebelumnya!$I$330:$N$772,5,FALSE),
        IF(COUNTIFS(IuranDSSebelumnya!$J$330:$J$772,$K51,IuranDSSebelumnya!$M$330:$M$772,BL$11,IuranDSSebelumnya!$L$330:$L$772,"&lt;&gt;"&amp;$M$5)&gt;0,
              "Iuran dari Lingkungan lain",
              ""))</t>
  </si>
  <si>
    <t>=CELL("row")=CELL("row",C52)</t>
  </si>
  <si>
    <t>="""TRUST Nav"",""HSPMTB2016"",""18"",""1"",""KK-04623"""</t>
  </si>
  <si>
    <t>=IF(AND($AL52=0,$J52=1)=TRUE,0,
        IF(AND($AL52&gt;0,$J52=1)=TRUE,1,
              IF(AND(H51=$H$12,$J52&gt;1)=TRUE,0,
                    IF(AND($AL52=0,$J52&gt;1),H51,
                         H51+1))))</t>
  </si>
  <si>
    <t>=IF(J51="No.",1,J51+1)</t>
  </si>
  <si>
    <t>=SUM(N52:AK52)</t>
  </si>
  <si>
    <t>=IF(COUNTIFS(IuranDSSebelumnya!$J$330:$J$772,$K52,IuranDSSebelumnya!$M$330:$M$772,AO$11,IuranDSSebelumnya!$L$330:$L$772,$M$5)&gt;0,
        VLOOKUP(CONCATENATE($K52,"|",AO$11,"|",$M$5),IuranDSSebelumnya!$I$330:$N$772,5,FALSE),
        IF(COUNTIFS(IuranDSSebelumnya!$J$330:$J$772,$K52,IuranDSSebelumnya!$M$330:$M$772,AO$11,IuranDSSebelumnya!$L$330:$L$772,"&lt;&gt;"&amp;$M$5)&gt;0,
              "Iuran dari Lingkungan lain",
              ""))</t>
  </si>
  <si>
    <t>=IF(COUNTIFS(IuranDSSebelumnya!$J$330:$J$772,$K52,IuranDSSebelumnya!$M$330:$M$772,AP$11,IuranDSSebelumnya!$L$330:$L$772,$M$5)&gt;0,
        VLOOKUP(CONCATENATE($K52,"|",AP$11,"|",$M$5),IuranDSSebelumnya!$I$330:$N$772,5,FALSE),
        IF(COUNTIFS(IuranDSSebelumnya!$J$330:$J$772,$K52,IuranDSSebelumnya!$M$330:$M$772,AP$11,IuranDSSebelumnya!$L$330:$L$772,"&lt;&gt;"&amp;$M$5)&gt;0,
              "Iuran dari Lingkungan lain",
              ""))</t>
  </si>
  <si>
    <t>=IF(COUNTIFS(IuranDSSebelumnya!$J$330:$J$772,$K52,IuranDSSebelumnya!$M$330:$M$772,AQ$11,IuranDSSebelumnya!$L$330:$L$772,$M$5)&gt;0,
        VLOOKUP(CONCATENATE($K52,"|",AQ$11,"|",$M$5),IuranDSSebelumnya!$I$330:$N$772,5,FALSE),
        IF(COUNTIFS(IuranDSSebelumnya!$J$330:$J$772,$K52,IuranDSSebelumnya!$M$330:$M$772,AQ$11,IuranDSSebelumnya!$L$330:$L$772,"&lt;&gt;"&amp;$M$5)&gt;0,
              "Iuran dari Lingkungan lain",
              ""))</t>
  </si>
  <si>
    <t>=IF(COUNTIFS(IuranDSSebelumnya!$J$330:$J$772,$K52,IuranDSSebelumnya!$M$330:$M$772,AR$11,IuranDSSebelumnya!$L$330:$L$772,$M$5)&gt;0,
        VLOOKUP(CONCATENATE($K52,"|",AR$11,"|",$M$5),IuranDSSebelumnya!$I$330:$N$772,5,FALSE),
        IF(COUNTIFS(IuranDSSebelumnya!$J$330:$J$772,$K52,IuranDSSebelumnya!$M$330:$M$772,AR$11,IuranDSSebelumnya!$L$330:$L$772,"&lt;&gt;"&amp;$M$5)&gt;0,
              "Iuran dari Lingkungan lain",
              ""))</t>
  </si>
  <si>
    <t>=IF(COUNTIFS(IuranDSSebelumnya!$J$330:$J$772,$K52,IuranDSSebelumnya!$M$330:$M$772,AS$11,IuranDSSebelumnya!$L$330:$L$772,$M$5)&gt;0,
        VLOOKUP(CONCATENATE($K52,"|",AS$11,"|",$M$5),IuranDSSebelumnya!$I$330:$N$772,5,FALSE),
        IF(COUNTIFS(IuranDSSebelumnya!$J$330:$J$772,$K52,IuranDSSebelumnya!$M$330:$M$772,AS$11,IuranDSSebelumnya!$L$330:$L$772,"&lt;&gt;"&amp;$M$5)&gt;0,
              "Iuran dari Lingkungan lain",
              ""))</t>
  </si>
  <si>
    <t>=IF(COUNTIFS(IuranDSSebelumnya!$J$330:$J$772,$K52,IuranDSSebelumnya!$M$330:$M$772,AT$11,IuranDSSebelumnya!$L$330:$L$772,$M$5)&gt;0,
        VLOOKUP(CONCATENATE($K52,"|",AT$11,"|",$M$5),IuranDSSebelumnya!$I$330:$N$772,5,FALSE),
        IF(COUNTIFS(IuranDSSebelumnya!$J$330:$J$772,$K52,IuranDSSebelumnya!$M$330:$M$772,AT$11,IuranDSSebelumnya!$L$330:$L$772,"&lt;&gt;"&amp;$M$5)&gt;0,
              "Iuran dari Lingkungan lain",
              ""))</t>
  </si>
  <si>
    <t>=IF(COUNTIFS(IuranDSSebelumnya!$J$330:$J$772,$K52,IuranDSSebelumnya!$M$330:$M$772,AU$11,IuranDSSebelumnya!$L$330:$L$772,$M$5)&gt;0,
        VLOOKUP(CONCATENATE($K52,"|",AU$11,"|",$M$5),IuranDSSebelumnya!$I$330:$N$772,5,FALSE),
        IF(COUNTIFS(IuranDSSebelumnya!$J$330:$J$772,$K52,IuranDSSebelumnya!$M$330:$M$772,AU$11,IuranDSSebelumnya!$L$330:$L$772,"&lt;&gt;"&amp;$M$5)&gt;0,
              "Iuran dari Lingkungan lain",
              ""))</t>
  </si>
  <si>
    <t>=IF(COUNTIFS(IuranDSSebelumnya!$J$330:$J$772,$K52,IuranDSSebelumnya!$M$330:$M$772,AV$11,IuranDSSebelumnya!$L$330:$L$772,$M$5)&gt;0,
        VLOOKUP(CONCATENATE($K52,"|",AV$11,"|",$M$5),IuranDSSebelumnya!$I$330:$N$772,5,FALSE),
        IF(COUNTIFS(IuranDSSebelumnya!$J$330:$J$772,$K52,IuranDSSebelumnya!$M$330:$M$772,AV$11,IuranDSSebelumnya!$L$330:$L$772,"&lt;&gt;"&amp;$M$5)&gt;0,
              "Iuran dari Lingkungan lain",
              ""))</t>
  </si>
  <si>
    <t>=IF(COUNTIFS(IuranDSSebelumnya!$J$330:$J$772,$K52,IuranDSSebelumnya!$M$330:$M$772,AW$11,IuranDSSebelumnya!$L$330:$L$772,$M$5)&gt;0,
        VLOOKUP(CONCATENATE($K52,"|",AW$11,"|",$M$5),IuranDSSebelumnya!$I$330:$N$772,5,FALSE),
        IF(COUNTIFS(IuranDSSebelumnya!$J$330:$J$772,$K52,IuranDSSebelumnya!$M$330:$M$772,AW$11,IuranDSSebelumnya!$L$330:$L$772,"&lt;&gt;"&amp;$M$5)&gt;0,
              "Iuran dari Lingkungan lain",
              ""))</t>
  </si>
  <si>
    <t>=IF(COUNTIFS(IuranDSSebelumnya!$J$330:$J$772,$K52,IuranDSSebelumnya!$M$330:$M$772,AX$11,IuranDSSebelumnya!$L$330:$L$772,$M$5)&gt;0,
        VLOOKUP(CONCATENATE($K52,"|",AX$11,"|",$M$5),IuranDSSebelumnya!$I$330:$N$772,5,FALSE),
        IF(COUNTIFS(IuranDSSebelumnya!$J$330:$J$772,$K52,IuranDSSebelumnya!$M$330:$M$772,AX$11,IuranDSSebelumnya!$L$330:$L$772,"&lt;&gt;"&amp;$M$5)&gt;0,
              "Iuran dari Lingkungan lain",
              ""))</t>
  </si>
  <si>
    <t>=IF(COUNTIFS(IuranDSSebelumnya!$J$330:$J$772,$K52,IuranDSSebelumnya!$M$330:$M$772,AY$11,IuranDSSebelumnya!$L$330:$L$772,$M$5)&gt;0,
        VLOOKUP(CONCATENATE($K52,"|",AY$11,"|",$M$5),IuranDSSebelumnya!$I$330:$N$772,5,FALSE),
        IF(COUNTIFS(IuranDSSebelumnya!$J$330:$J$772,$K52,IuranDSSebelumnya!$M$330:$M$772,AY$11,IuranDSSebelumnya!$L$330:$L$772,"&lt;&gt;"&amp;$M$5)&gt;0,
              "Iuran dari Lingkungan lain",
              ""))</t>
  </si>
  <si>
    <t>=IF(COUNTIFS(IuranDSSebelumnya!$J$330:$J$772,$K52,IuranDSSebelumnya!$M$330:$M$772,AZ$11,IuranDSSebelumnya!$L$330:$L$772,$M$5)&gt;0,
        VLOOKUP(CONCATENATE($K52,"|",AZ$11,"|",$M$5),IuranDSSebelumnya!$I$330:$N$772,5,FALSE),
        IF(COUNTIFS(IuranDSSebelumnya!$J$330:$J$772,$K52,IuranDSSebelumnya!$M$330:$M$772,AZ$11,IuranDSSebelumnya!$L$330:$L$772,"&lt;&gt;"&amp;$M$5)&gt;0,
              "Iuran dari Lingkungan lain",
              ""))</t>
  </si>
  <si>
    <t>=IF(COUNTIFS(IuranDSSebelumnya!$J$330:$J$772,$K52,IuranDSSebelumnya!$M$330:$M$772,BA$11,IuranDSSebelumnya!$L$330:$L$772,$M$5)&gt;0,
        VLOOKUP(CONCATENATE($K52,"|",BA$11,"|",$M$5),IuranDSSebelumnya!$I$330:$N$772,5,FALSE),
        IF(COUNTIFS(IuranDSSebelumnya!$J$330:$J$772,$K52,IuranDSSebelumnya!$M$330:$M$772,BA$11,IuranDSSebelumnya!$L$330:$L$772,"&lt;&gt;"&amp;$M$5)&gt;0,
              "Iuran dari Lingkungan lain",
              ""))</t>
  </si>
  <si>
    <t>=IF(COUNTIFS(IuranDSSebelumnya!$J$330:$J$772,$K52,IuranDSSebelumnya!$M$330:$M$772,BB$11,IuranDSSebelumnya!$L$330:$L$772,$M$5)&gt;0,
        VLOOKUP(CONCATENATE($K52,"|",BB$11,"|",$M$5),IuranDSSebelumnya!$I$330:$N$772,5,FALSE),
        IF(COUNTIFS(IuranDSSebelumnya!$J$330:$J$772,$K52,IuranDSSebelumnya!$M$330:$M$772,BB$11,IuranDSSebelumnya!$L$330:$L$772,"&lt;&gt;"&amp;$M$5)&gt;0,
              "Iuran dari Lingkungan lain",
              ""))</t>
  </si>
  <si>
    <t>=IF(COUNTIFS(IuranDSSebelumnya!$J$330:$J$772,$K52,IuranDSSebelumnya!$M$330:$M$772,BC$11,IuranDSSebelumnya!$L$330:$L$772,$M$5)&gt;0,
        VLOOKUP(CONCATENATE($K52,"|",BC$11,"|",$M$5),IuranDSSebelumnya!$I$330:$N$772,5,FALSE),
        IF(COUNTIFS(IuranDSSebelumnya!$J$330:$J$772,$K52,IuranDSSebelumnya!$M$330:$M$772,BC$11,IuranDSSebelumnya!$L$330:$L$772,"&lt;&gt;"&amp;$M$5)&gt;0,
              "Iuran dari Lingkungan lain",
              ""))</t>
  </si>
  <si>
    <t>=IF(COUNTIFS(IuranDSSebelumnya!$J$330:$J$772,$K52,IuranDSSebelumnya!$M$330:$M$772,BD$11,IuranDSSebelumnya!$L$330:$L$772,$M$5)&gt;0,
        VLOOKUP(CONCATENATE($K52,"|",BD$11,"|",$M$5),IuranDSSebelumnya!$I$330:$N$772,5,FALSE),
        IF(COUNTIFS(IuranDSSebelumnya!$J$330:$J$772,$K52,IuranDSSebelumnya!$M$330:$M$772,BD$11,IuranDSSebelumnya!$L$330:$L$772,"&lt;&gt;"&amp;$M$5)&gt;0,
              "Iuran dari Lingkungan lain",
              ""))</t>
  </si>
  <si>
    <t>=IF(COUNTIFS(IuranDSSebelumnya!$J$330:$J$772,$K52,IuranDSSebelumnya!$M$330:$M$772,BE$11,IuranDSSebelumnya!$L$330:$L$772,$M$5)&gt;0,
        VLOOKUP(CONCATENATE($K52,"|",BE$11,"|",$M$5),IuranDSSebelumnya!$I$330:$N$772,5,FALSE),
        IF(COUNTIFS(IuranDSSebelumnya!$J$330:$J$772,$K52,IuranDSSebelumnya!$M$330:$M$772,BE$11,IuranDSSebelumnya!$L$330:$L$772,"&lt;&gt;"&amp;$M$5)&gt;0,
              "Iuran dari Lingkungan lain",
              ""))</t>
  </si>
  <si>
    <t>=IF(COUNTIFS(IuranDSSebelumnya!$J$330:$J$772,$K52,IuranDSSebelumnya!$M$330:$M$772,BF$11,IuranDSSebelumnya!$L$330:$L$772,$M$5)&gt;0,
        VLOOKUP(CONCATENATE($K52,"|",BF$11,"|",$M$5),IuranDSSebelumnya!$I$330:$N$772,5,FALSE),
        IF(COUNTIFS(IuranDSSebelumnya!$J$330:$J$772,$K52,IuranDSSebelumnya!$M$330:$M$772,BF$11,IuranDSSebelumnya!$L$330:$L$772,"&lt;&gt;"&amp;$M$5)&gt;0,
              "Iuran dari Lingkungan lain",
              ""))</t>
  </si>
  <si>
    <t>=IF(COUNTIFS(IuranDSSebelumnya!$J$330:$J$772,$K52,IuranDSSebelumnya!$M$330:$M$772,BG$11,IuranDSSebelumnya!$L$330:$L$772,$M$5)&gt;0,
        VLOOKUP(CONCATENATE($K52,"|",BG$11,"|",$M$5),IuranDSSebelumnya!$I$330:$N$772,5,FALSE),
        IF(COUNTIFS(IuranDSSebelumnya!$J$330:$J$772,$K52,IuranDSSebelumnya!$M$330:$M$772,BG$11,IuranDSSebelumnya!$L$330:$L$772,"&lt;&gt;"&amp;$M$5)&gt;0,
              "Iuran dari Lingkungan lain",
              ""))</t>
  </si>
  <si>
    <t>=IF(COUNTIFS(IuranDSSebelumnya!$J$330:$J$772,$K52,IuranDSSebelumnya!$M$330:$M$772,BH$11,IuranDSSebelumnya!$L$330:$L$772,$M$5)&gt;0,
        VLOOKUP(CONCATENATE($K52,"|",BH$11,"|",$M$5),IuranDSSebelumnya!$I$330:$N$772,5,FALSE),
        IF(COUNTIFS(IuranDSSebelumnya!$J$330:$J$772,$K52,IuranDSSebelumnya!$M$330:$M$772,BH$11,IuranDSSebelumnya!$L$330:$L$772,"&lt;&gt;"&amp;$M$5)&gt;0,
              "Iuran dari Lingkungan lain",
              ""))</t>
  </si>
  <si>
    <t>=IF(COUNTIFS(IuranDSSebelumnya!$J$330:$J$772,$K52,IuranDSSebelumnya!$M$330:$M$772,BI$11,IuranDSSebelumnya!$L$330:$L$772,$M$5)&gt;0,
        VLOOKUP(CONCATENATE($K52,"|",BI$11,"|",$M$5),IuranDSSebelumnya!$I$330:$N$772,5,FALSE),
        IF(COUNTIFS(IuranDSSebelumnya!$J$330:$J$772,$K52,IuranDSSebelumnya!$M$330:$M$772,BI$11,IuranDSSebelumnya!$L$330:$L$772,"&lt;&gt;"&amp;$M$5)&gt;0,
              "Iuran dari Lingkungan lain",
              ""))</t>
  </si>
  <si>
    <t>=IF(COUNTIFS(IuranDSSebelumnya!$J$330:$J$772,$K52,IuranDSSebelumnya!$M$330:$M$772,BJ$11,IuranDSSebelumnya!$L$330:$L$772,$M$5)&gt;0,
        VLOOKUP(CONCATENATE($K52,"|",BJ$11,"|",$M$5),IuranDSSebelumnya!$I$330:$N$772,5,FALSE),
        IF(COUNTIFS(IuranDSSebelumnya!$J$330:$J$772,$K52,IuranDSSebelumnya!$M$330:$M$772,BJ$11,IuranDSSebelumnya!$L$330:$L$772,"&lt;&gt;"&amp;$M$5)&gt;0,
              "Iuran dari Lingkungan lain",
              ""))</t>
  </si>
  <si>
    <t>=IF(COUNTIFS(IuranDSSebelumnya!$J$330:$J$772,$K52,IuranDSSebelumnya!$M$330:$M$772,BK$11,IuranDSSebelumnya!$L$330:$L$772,$M$5)&gt;0,
        VLOOKUP(CONCATENATE($K52,"|",BK$11,"|",$M$5),IuranDSSebelumnya!$I$330:$N$772,5,FALSE),
        IF(COUNTIFS(IuranDSSebelumnya!$J$330:$J$772,$K52,IuranDSSebelumnya!$M$330:$M$772,BK$11,IuranDSSebelumnya!$L$330:$L$772,"&lt;&gt;"&amp;$M$5)&gt;0,
              "Iuran dari Lingkungan lain",
              ""))</t>
  </si>
  <si>
    <t>=IF(COUNTIFS(IuranDSSebelumnya!$J$330:$J$772,$K52,IuranDSSebelumnya!$M$330:$M$772,BL$11,IuranDSSebelumnya!$L$330:$L$772,$M$5)&gt;0,
        VLOOKUP(CONCATENATE($K52,"|",BL$11,"|",$M$5),IuranDSSebelumnya!$I$330:$N$772,5,FALSE),
        IF(COUNTIFS(IuranDSSebelumnya!$J$330:$J$772,$K52,IuranDSSebelumnya!$M$330:$M$772,BL$11,IuranDSSebelumnya!$L$330:$L$772,"&lt;&gt;"&amp;$M$5)&gt;0,
              "Iuran dari Lingkungan lain",
              ""))</t>
  </si>
  <si>
    <t>=CELL("row")=CELL("row",C53)</t>
  </si>
  <si>
    <t>="""TRUST Nav"",""HSPMTB2016"",""18"",""1"",""KK-04624"""</t>
  </si>
  <si>
    <t>=IF(AND($AL53=0,$J53=1)=TRUE,0,
        IF(AND($AL53&gt;0,$J53=1)=TRUE,1,
              IF(AND(H52=$H$12,$J53&gt;1)=TRUE,0,
                    IF(AND($AL53=0,$J53&gt;1),H52,
                         H52+1))))</t>
  </si>
  <si>
    <t>=IF(J52="No.",1,J52+1)</t>
  </si>
  <si>
    <t>=SUM(N53:AK53)</t>
  </si>
  <si>
    <t>=IF(COUNTIFS(IuranDSSebelumnya!$J$330:$J$772,$K53,IuranDSSebelumnya!$M$330:$M$772,AO$11,IuranDSSebelumnya!$L$330:$L$772,$M$5)&gt;0,
        VLOOKUP(CONCATENATE($K53,"|",AO$11,"|",$M$5),IuranDSSebelumnya!$I$330:$N$772,5,FALSE),
        IF(COUNTIFS(IuranDSSebelumnya!$J$330:$J$772,$K53,IuranDSSebelumnya!$M$330:$M$772,AO$11,IuranDSSebelumnya!$L$330:$L$772,"&lt;&gt;"&amp;$M$5)&gt;0,
              "Iuran dari Lingkungan lain",
              ""))</t>
  </si>
  <si>
    <t>=IF(COUNTIFS(IuranDSSebelumnya!$J$330:$J$772,$K53,IuranDSSebelumnya!$M$330:$M$772,AP$11,IuranDSSebelumnya!$L$330:$L$772,$M$5)&gt;0,
        VLOOKUP(CONCATENATE($K53,"|",AP$11,"|",$M$5),IuranDSSebelumnya!$I$330:$N$772,5,FALSE),
        IF(COUNTIFS(IuranDSSebelumnya!$J$330:$J$772,$K53,IuranDSSebelumnya!$M$330:$M$772,AP$11,IuranDSSebelumnya!$L$330:$L$772,"&lt;&gt;"&amp;$M$5)&gt;0,
              "Iuran dari Lingkungan lain",
              ""))</t>
  </si>
  <si>
    <t>=IF(COUNTIFS(IuranDSSebelumnya!$J$330:$J$772,$K53,IuranDSSebelumnya!$M$330:$M$772,AQ$11,IuranDSSebelumnya!$L$330:$L$772,$M$5)&gt;0,
        VLOOKUP(CONCATENATE($K53,"|",AQ$11,"|",$M$5),IuranDSSebelumnya!$I$330:$N$772,5,FALSE),
        IF(COUNTIFS(IuranDSSebelumnya!$J$330:$J$772,$K53,IuranDSSebelumnya!$M$330:$M$772,AQ$11,IuranDSSebelumnya!$L$330:$L$772,"&lt;&gt;"&amp;$M$5)&gt;0,
              "Iuran dari Lingkungan lain",
              ""))</t>
  </si>
  <si>
    <t>=IF(COUNTIFS(IuranDSSebelumnya!$J$330:$J$772,$K53,IuranDSSebelumnya!$M$330:$M$772,AR$11,IuranDSSebelumnya!$L$330:$L$772,$M$5)&gt;0,
        VLOOKUP(CONCATENATE($K53,"|",AR$11,"|",$M$5),IuranDSSebelumnya!$I$330:$N$772,5,FALSE),
        IF(COUNTIFS(IuranDSSebelumnya!$J$330:$J$772,$K53,IuranDSSebelumnya!$M$330:$M$772,AR$11,IuranDSSebelumnya!$L$330:$L$772,"&lt;&gt;"&amp;$M$5)&gt;0,
              "Iuran dari Lingkungan lain",
              ""))</t>
  </si>
  <si>
    <t>=IF(COUNTIFS(IuranDSSebelumnya!$J$330:$J$772,$K53,IuranDSSebelumnya!$M$330:$M$772,AS$11,IuranDSSebelumnya!$L$330:$L$772,$M$5)&gt;0,
        VLOOKUP(CONCATENATE($K53,"|",AS$11,"|",$M$5),IuranDSSebelumnya!$I$330:$N$772,5,FALSE),
        IF(COUNTIFS(IuranDSSebelumnya!$J$330:$J$772,$K53,IuranDSSebelumnya!$M$330:$M$772,AS$11,IuranDSSebelumnya!$L$330:$L$772,"&lt;&gt;"&amp;$M$5)&gt;0,
              "Iuran dari Lingkungan lain",
              ""))</t>
  </si>
  <si>
    <t>=IF(COUNTIFS(IuranDSSebelumnya!$J$330:$J$772,$K53,IuranDSSebelumnya!$M$330:$M$772,AT$11,IuranDSSebelumnya!$L$330:$L$772,$M$5)&gt;0,
        VLOOKUP(CONCATENATE($K53,"|",AT$11,"|",$M$5),IuranDSSebelumnya!$I$330:$N$772,5,FALSE),
        IF(COUNTIFS(IuranDSSebelumnya!$J$330:$J$772,$K53,IuranDSSebelumnya!$M$330:$M$772,AT$11,IuranDSSebelumnya!$L$330:$L$772,"&lt;&gt;"&amp;$M$5)&gt;0,
              "Iuran dari Lingkungan lain",
              ""))</t>
  </si>
  <si>
    <t>=IF(COUNTIFS(IuranDSSebelumnya!$J$330:$J$772,$K53,IuranDSSebelumnya!$M$330:$M$772,AU$11,IuranDSSebelumnya!$L$330:$L$772,$M$5)&gt;0,
        VLOOKUP(CONCATENATE($K53,"|",AU$11,"|",$M$5),IuranDSSebelumnya!$I$330:$N$772,5,FALSE),
        IF(COUNTIFS(IuranDSSebelumnya!$J$330:$J$772,$K53,IuranDSSebelumnya!$M$330:$M$772,AU$11,IuranDSSebelumnya!$L$330:$L$772,"&lt;&gt;"&amp;$M$5)&gt;0,
              "Iuran dari Lingkungan lain",
              ""))</t>
  </si>
  <si>
    <t>=IF(COUNTIFS(IuranDSSebelumnya!$J$330:$J$772,$K53,IuranDSSebelumnya!$M$330:$M$772,AV$11,IuranDSSebelumnya!$L$330:$L$772,$M$5)&gt;0,
        VLOOKUP(CONCATENATE($K53,"|",AV$11,"|",$M$5),IuranDSSebelumnya!$I$330:$N$772,5,FALSE),
        IF(COUNTIFS(IuranDSSebelumnya!$J$330:$J$772,$K53,IuranDSSebelumnya!$M$330:$M$772,AV$11,IuranDSSebelumnya!$L$330:$L$772,"&lt;&gt;"&amp;$M$5)&gt;0,
              "Iuran dari Lingkungan lain",
              ""))</t>
  </si>
  <si>
    <t>=IF(COUNTIFS(IuranDSSebelumnya!$J$330:$J$772,$K53,IuranDSSebelumnya!$M$330:$M$772,AW$11,IuranDSSebelumnya!$L$330:$L$772,$M$5)&gt;0,
        VLOOKUP(CONCATENATE($K53,"|",AW$11,"|",$M$5),IuranDSSebelumnya!$I$330:$N$772,5,FALSE),
        IF(COUNTIFS(IuranDSSebelumnya!$J$330:$J$772,$K53,IuranDSSebelumnya!$M$330:$M$772,AW$11,IuranDSSebelumnya!$L$330:$L$772,"&lt;&gt;"&amp;$M$5)&gt;0,
              "Iuran dari Lingkungan lain",
              ""))</t>
  </si>
  <si>
    <t>=IF(COUNTIFS(IuranDSSebelumnya!$J$330:$J$772,$K53,IuranDSSebelumnya!$M$330:$M$772,AX$11,IuranDSSebelumnya!$L$330:$L$772,$M$5)&gt;0,
        VLOOKUP(CONCATENATE($K53,"|",AX$11,"|",$M$5),IuranDSSebelumnya!$I$330:$N$772,5,FALSE),
        IF(COUNTIFS(IuranDSSebelumnya!$J$330:$J$772,$K53,IuranDSSebelumnya!$M$330:$M$772,AX$11,IuranDSSebelumnya!$L$330:$L$772,"&lt;&gt;"&amp;$M$5)&gt;0,
              "Iuran dari Lingkungan lain",
              ""))</t>
  </si>
  <si>
    <t>=IF(COUNTIFS(IuranDSSebelumnya!$J$330:$J$772,$K53,IuranDSSebelumnya!$M$330:$M$772,AY$11,IuranDSSebelumnya!$L$330:$L$772,$M$5)&gt;0,
        VLOOKUP(CONCATENATE($K53,"|",AY$11,"|",$M$5),IuranDSSebelumnya!$I$330:$N$772,5,FALSE),
        IF(COUNTIFS(IuranDSSebelumnya!$J$330:$J$772,$K53,IuranDSSebelumnya!$M$330:$M$772,AY$11,IuranDSSebelumnya!$L$330:$L$772,"&lt;&gt;"&amp;$M$5)&gt;0,
              "Iuran dari Lingkungan lain",
              ""))</t>
  </si>
  <si>
    <t>=IF(COUNTIFS(IuranDSSebelumnya!$J$330:$J$772,$K53,IuranDSSebelumnya!$M$330:$M$772,AZ$11,IuranDSSebelumnya!$L$330:$L$772,$M$5)&gt;0,
        VLOOKUP(CONCATENATE($K53,"|",AZ$11,"|",$M$5),IuranDSSebelumnya!$I$330:$N$772,5,FALSE),
        IF(COUNTIFS(IuranDSSebelumnya!$J$330:$J$772,$K53,IuranDSSebelumnya!$M$330:$M$772,AZ$11,IuranDSSebelumnya!$L$330:$L$772,"&lt;&gt;"&amp;$M$5)&gt;0,
              "Iuran dari Lingkungan lain",
              ""))</t>
  </si>
  <si>
    <t>=IF(COUNTIFS(IuranDSSebelumnya!$J$330:$J$772,$K53,IuranDSSebelumnya!$M$330:$M$772,BA$11,IuranDSSebelumnya!$L$330:$L$772,$M$5)&gt;0,
        VLOOKUP(CONCATENATE($K53,"|",BA$11,"|",$M$5),IuranDSSebelumnya!$I$330:$N$772,5,FALSE),
        IF(COUNTIFS(IuranDSSebelumnya!$J$330:$J$772,$K53,IuranDSSebelumnya!$M$330:$M$772,BA$11,IuranDSSebelumnya!$L$330:$L$772,"&lt;&gt;"&amp;$M$5)&gt;0,
              "Iuran dari Lingkungan lain",
              ""))</t>
  </si>
  <si>
    <t>=IF(COUNTIFS(IuranDSSebelumnya!$J$330:$J$772,$K53,IuranDSSebelumnya!$M$330:$M$772,BB$11,IuranDSSebelumnya!$L$330:$L$772,$M$5)&gt;0,
        VLOOKUP(CONCATENATE($K53,"|",BB$11,"|",$M$5),IuranDSSebelumnya!$I$330:$N$772,5,FALSE),
        IF(COUNTIFS(IuranDSSebelumnya!$J$330:$J$772,$K53,IuranDSSebelumnya!$M$330:$M$772,BB$11,IuranDSSebelumnya!$L$330:$L$772,"&lt;&gt;"&amp;$M$5)&gt;0,
              "Iuran dari Lingkungan lain",
              ""))</t>
  </si>
  <si>
    <t>=IF(COUNTIFS(IuranDSSebelumnya!$J$330:$J$772,$K53,IuranDSSebelumnya!$M$330:$M$772,BC$11,IuranDSSebelumnya!$L$330:$L$772,$M$5)&gt;0,
        VLOOKUP(CONCATENATE($K53,"|",BC$11,"|",$M$5),IuranDSSebelumnya!$I$330:$N$772,5,FALSE),
        IF(COUNTIFS(IuranDSSebelumnya!$J$330:$J$772,$K53,IuranDSSebelumnya!$M$330:$M$772,BC$11,IuranDSSebelumnya!$L$330:$L$772,"&lt;&gt;"&amp;$M$5)&gt;0,
              "Iuran dari Lingkungan lain",
              ""))</t>
  </si>
  <si>
    <t>=IF(COUNTIFS(IuranDSSebelumnya!$J$330:$J$772,$K53,IuranDSSebelumnya!$M$330:$M$772,BD$11,IuranDSSebelumnya!$L$330:$L$772,$M$5)&gt;0,
        VLOOKUP(CONCATENATE($K53,"|",BD$11,"|",$M$5),IuranDSSebelumnya!$I$330:$N$772,5,FALSE),
        IF(COUNTIFS(IuranDSSebelumnya!$J$330:$J$772,$K53,IuranDSSebelumnya!$M$330:$M$772,BD$11,IuranDSSebelumnya!$L$330:$L$772,"&lt;&gt;"&amp;$M$5)&gt;0,
              "Iuran dari Lingkungan lain",
              ""))</t>
  </si>
  <si>
    <t>=IF(COUNTIFS(IuranDSSebelumnya!$J$330:$J$772,$K53,IuranDSSebelumnya!$M$330:$M$772,BE$11,IuranDSSebelumnya!$L$330:$L$772,$M$5)&gt;0,
        VLOOKUP(CONCATENATE($K53,"|",BE$11,"|",$M$5),IuranDSSebelumnya!$I$330:$N$772,5,FALSE),
        IF(COUNTIFS(IuranDSSebelumnya!$J$330:$J$772,$K53,IuranDSSebelumnya!$M$330:$M$772,BE$11,IuranDSSebelumnya!$L$330:$L$772,"&lt;&gt;"&amp;$M$5)&gt;0,
              "Iuran dari Lingkungan lain",
              ""))</t>
  </si>
  <si>
    <t>=IF(COUNTIFS(IuranDSSebelumnya!$J$330:$J$772,$K53,IuranDSSebelumnya!$M$330:$M$772,BF$11,IuranDSSebelumnya!$L$330:$L$772,$M$5)&gt;0,
        VLOOKUP(CONCATENATE($K53,"|",BF$11,"|",$M$5),IuranDSSebelumnya!$I$330:$N$772,5,FALSE),
        IF(COUNTIFS(IuranDSSebelumnya!$J$330:$J$772,$K53,IuranDSSebelumnya!$M$330:$M$772,BF$11,IuranDSSebelumnya!$L$330:$L$772,"&lt;&gt;"&amp;$M$5)&gt;0,
              "Iuran dari Lingkungan lain",
              ""))</t>
  </si>
  <si>
    <t>=IF(COUNTIFS(IuranDSSebelumnya!$J$330:$J$772,$K53,IuranDSSebelumnya!$M$330:$M$772,BG$11,IuranDSSebelumnya!$L$330:$L$772,$M$5)&gt;0,
        VLOOKUP(CONCATENATE($K53,"|",BG$11,"|",$M$5),IuranDSSebelumnya!$I$330:$N$772,5,FALSE),
        IF(COUNTIFS(IuranDSSebelumnya!$J$330:$J$772,$K53,IuranDSSebelumnya!$M$330:$M$772,BG$11,IuranDSSebelumnya!$L$330:$L$772,"&lt;&gt;"&amp;$M$5)&gt;0,
              "Iuran dari Lingkungan lain",
              ""))</t>
  </si>
  <si>
    <t>=IF(COUNTIFS(IuranDSSebelumnya!$J$330:$J$772,$K53,IuranDSSebelumnya!$M$330:$M$772,BH$11,IuranDSSebelumnya!$L$330:$L$772,$M$5)&gt;0,
        VLOOKUP(CONCATENATE($K53,"|",BH$11,"|",$M$5),IuranDSSebelumnya!$I$330:$N$772,5,FALSE),
        IF(COUNTIFS(IuranDSSebelumnya!$J$330:$J$772,$K53,IuranDSSebelumnya!$M$330:$M$772,BH$11,IuranDSSebelumnya!$L$330:$L$772,"&lt;&gt;"&amp;$M$5)&gt;0,
              "Iuran dari Lingkungan lain",
              ""))</t>
  </si>
  <si>
    <t>=IF(COUNTIFS(IuranDSSebelumnya!$J$330:$J$772,$K53,IuranDSSebelumnya!$M$330:$M$772,BI$11,IuranDSSebelumnya!$L$330:$L$772,$M$5)&gt;0,
        VLOOKUP(CONCATENATE($K53,"|",BI$11,"|",$M$5),IuranDSSebelumnya!$I$330:$N$772,5,FALSE),
        IF(COUNTIFS(IuranDSSebelumnya!$J$330:$J$772,$K53,IuranDSSebelumnya!$M$330:$M$772,BI$11,IuranDSSebelumnya!$L$330:$L$772,"&lt;&gt;"&amp;$M$5)&gt;0,
              "Iuran dari Lingkungan lain",
              ""))</t>
  </si>
  <si>
    <t>=IF(COUNTIFS(IuranDSSebelumnya!$J$330:$J$772,$K53,IuranDSSebelumnya!$M$330:$M$772,BJ$11,IuranDSSebelumnya!$L$330:$L$772,$M$5)&gt;0,
        VLOOKUP(CONCATENATE($K53,"|",BJ$11,"|",$M$5),IuranDSSebelumnya!$I$330:$N$772,5,FALSE),
        IF(COUNTIFS(IuranDSSebelumnya!$J$330:$J$772,$K53,IuranDSSebelumnya!$M$330:$M$772,BJ$11,IuranDSSebelumnya!$L$330:$L$772,"&lt;&gt;"&amp;$M$5)&gt;0,
              "Iuran dari Lingkungan lain",
              ""))</t>
  </si>
  <si>
    <t>=IF(COUNTIFS(IuranDSSebelumnya!$J$330:$J$772,$K53,IuranDSSebelumnya!$M$330:$M$772,BK$11,IuranDSSebelumnya!$L$330:$L$772,$M$5)&gt;0,
        VLOOKUP(CONCATENATE($K53,"|",BK$11,"|",$M$5),IuranDSSebelumnya!$I$330:$N$772,5,FALSE),
        IF(COUNTIFS(IuranDSSebelumnya!$J$330:$J$772,$K53,IuranDSSebelumnya!$M$330:$M$772,BK$11,IuranDSSebelumnya!$L$330:$L$772,"&lt;&gt;"&amp;$M$5)&gt;0,
              "Iuran dari Lingkungan lain",
              ""))</t>
  </si>
  <si>
    <t>=IF(COUNTIFS(IuranDSSebelumnya!$J$330:$J$772,$K53,IuranDSSebelumnya!$M$330:$M$772,BL$11,IuranDSSebelumnya!$L$330:$L$772,$M$5)&gt;0,
        VLOOKUP(CONCATENATE($K53,"|",BL$11,"|",$M$5),IuranDSSebelumnya!$I$330:$N$772,5,FALSE),
        IF(COUNTIFS(IuranDSSebelumnya!$J$330:$J$772,$K53,IuranDSSebelumnya!$M$330:$M$772,BL$11,IuranDSSebelumnya!$L$330:$L$772,"&lt;&gt;"&amp;$M$5)&gt;0,
              "Iuran dari Lingkungan lain",
              ""))</t>
  </si>
  <si>
    <t>=CELL("row")=CELL("row",C54)</t>
  </si>
  <si>
    <t>="""TRUST Nav"",""HSPMTB2016"",""18"",""1"",""KK-05054"""</t>
  </si>
  <si>
    <t>=IF(AND($AL54=0,$J54=1)=TRUE,0,
        IF(AND($AL54&gt;0,$J54=1)=TRUE,1,
              IF(AND(H53=$H$12,$J54&gt;1)=TRUE,0,
                    IF(AND($AL54=0,$J54&gt;1),H53,
                         H53+1))))</t>
  </si>
  <si>
    <t>=IF(J53="No.",1,J53+1)</t>
  </si>
  <si>
    <t>=SUM(N54:AK54)</t>
  </si>
  <si>
    <t>=IF(COUNTIFS(IuranDSSebelumnya!$J$330:$J$772,$K54,IuranDSSebelumnya!$M$330:$M$772,AO$11,IuranDSSebelumnya!$L$330:$L$772,$M$5)&gt;0,
        VLOOKUP(CONCATENATE($K54,"|",AO$11,"|",$M$5),IuranDSSebelumnya!$I$330:$N$772,5,FALSE),
        IF(COUNTIFS(IuranDSSebelumnya!$J$330:$J$772,$K54,IuranDSSebelumnya!$M$330:$M$772,AO$11,IuranDSSebelumnya!$L$330:$L$772,"&lt;&gt;"&amp;$M$5)&gt;0,
              "Iuran dari Lingkungan lain",
              ""))</t>
  </si>
  <si>
    <t>=IF(COUNTIFS(IuranDSSebelumnya!$J$330:$J$772,$K54,IuranDSSebelumnya!$M$330:$M$772,AP$11,IuranDSSebelumnya!$L$330:$L$772,$M$5)&gt;0,
        VLOOKUP(CONCATENATE($K54,"|",AP$11,"|",$M$5),IuranDSSebelumnya!$I$330:$N$772,5,FALSE),
        IF(COUNTIFS(IuranDSSebelumnya!$J$330:$J$772,$K54,IuranDSSebelumnya!$M$330:$M$772,AP$11,IuranDSSebelumnya!$L$330:$L$772,"&lt;&gt;"&amp;$M$5)&gt;0,
              "Iuran dari Lingkungan lain",
              ""))</t>
  </si>
  <si>
    <t>=IF(COUNTIFS(IuranDSSebelumnya!$J$330:$J$772,$K54,IuranDSSebelumnya!$M$330:$M$772,AQ$11,IuranDSSebelumnya!$L$330:$L$772,$M$5)&gt;0,
        VLOOKUP(CONCATENATE($K54,"|",AQ$11,"|",$M$5),IuranDSSebelumnya!$I$330:$N$772,5,FALSE),
        IF(COUNTIFS(IuranDSSebelumnya!$J$330:$J$772,$K54,IuranDSSebelumnya!$M$330:$M$772,AQ$11,IuranDSSebelumnya!$L$330:$L$772,"&lt;&gt;"&amp;$M$5)&gt;0,
              "Iuran dari Lingkungan lain",
              ""))</t>
  </si>
  <si>
    <t>=IF(COUNTIFS(IuranDSSebelumnya!$J$330:$J$772,$K54,IuranDSSebelumnya!$M$330:$M$772,AR$11,IuranDSSebelumnya!$L$330:$L$772,$M$5)&gt;0,
        VLOOKUP(CONCATENATE($K54,"|",AR$11,"|",$M$5),IuranDSSebelumnya!$I$330:$N$772,5,FALSE),
        IF(COUNTIFS(IuranDSSebelumnya!$J$330:$J$772,$K54,IuranDSSebelumnya!$M$330:$M$772,AR$11,IuranDSSebelumnya!$L$330:$L$772,"&lt;&gt;"&amp;$M$5)&gt;0,
              "Iuran dari Lingkungan lain",
              ""))</t>
  </si>
  <si>
    <t>=IF(COUNTIFS(IuranDSSebelumnya!$J$330:$J$772,$K54,IuranDSSebelumnya!$M$330:$M$772,AS$11,IuranDSSebelumnya!$L$330:$L$772,$M$5)&gt;0,
        VLOOKUP(CONCATENATE($K54,"|",AS$11,"|",$M$5),IuranDSSebelumnya!$I$330:$N$772,5,FALSE),
        IF(COUNTIFS(IuranDSSebelumnya!$J$330:$J$772,$K54,IuranDSSebelumnya!$M$330:$M$772,AS$11,IuranDSSebelumnya!$L$330:$L$772,"&lt;&gt;"&amp;$M$5)&gt;0,
              "Iuran dari Lingkungan lain",
              ""))</t>
  </si>
  <si>
    <t>=IF(COUNTIFS(IuranDSSebelumnya!$J$330:$J$772,$K54,IuranDSSebelumnya!$M$330:$M$772,AT$11,IuranDSSebelumnya!$L$330:$L$772,$M$5)&gt;0,
        VLOOKUP(CONCATENATE($K54,"|",AT$11,"|",$M$5),IuranDSSebelumnya!$I$330:$N$772,5,FALSE),
        IF(COUNTIFS(IuranDSSebelumnya!$J$330:$J$772,$K54,IuranDSSebelumnya!$M$330:$M$772,AT$11,IuranDSSebelumnya!$L$330:$L$772,"&lt;&gt;"&amp;$M$5)&gt;0,
              "Iuran dari Lingkungan lain",
              ""))</t>
  </si>
  <si>
    <t>=IF(COUNTIFS(IuranDSSebelumnya!$J$330:$J$772,$K54,IuranDSSebelumnya!$M$330:$M$772,AU$11,IuranDSSebelumnya!$L$330:$L$772,$M$5)&gt;0,
        VLOOKUP(CONCATENATE($K54,"|",AU$11,"|",$M$5),IuranDSSebelumnya!$I$330:$N$772,5,FALSE),
        IF(COUNTIFS(IuranDSSebelumnya!$J$330:$J$772,$K54,IuranDSSebelumnya!$M$330:$M$772,AU$11,IuranDSSebelumnya!$L$330:$L$772,"&lt;&gt;"&amp;$M$5)&gt;0,
              "Iuran dari Lingkungan lain",
              ""))</t>
  </si>
  <si>
    <t>=IF(COUNTIFS(IuranDSSebelumnya!$J$330:$J$772,$K54,IuranDSSebelumnya!$M$330:$M$772,AV$11,IuranDSSebelumnya!$L$330:$L$772,$M$5)&gt;0,
        VLOOKUP(CONCATENATE($K54,"|",AV$11,"|",$M$5),IuranDSSebelumnya!$I$330:$N$772,5,FALSE),
        IF(COUNTIFS(IuranDSSebelumnya!$J$330:$J$772,$K54,IuranDSSebelumnya!$M$330:$M$772,AV$11,IuranDSSebelumnya!$L$330:$L$772,"&lt;&gt;"&amp;$M$5)&gt;0,
              "Iuran dari Lingkungan lain",
              ""))</t>
  </si>
  <si>
    <t>=IF(COUNTIFS(IuranDSSebelumnya!$J$330:$J$772,$K54,IuranDSSebelumnya!$M$330:$M$772,AW$11,IuranDSSebelumnya!$L$330:$L$772,$M$5)&gt;0,
        VLOOKUP(CONCATENATE($K54,"|",AW$11,"|",$M$5),IuranDSSebelumnya!$I$330:$N$772,5,FALSE),
        IF(COUNTIFS(IuranDSSebelumnya!$J$330:$J$772,$K54,IuranDSSebelumnya!$M$330:$M$772,AW$11,IuranDSSebelumnya!$L$330:$L$772,"&lt;&gt;"&amp;$M$5)&gt;0,
              "Iuran dari Lingkungan lain",
              ""))</t>
  </si>
  <si>
    <t>=IF(COUNTIFS(IuranDSSebelumnya!$J$330:$J$772,$K54,IuranDSSebelumnya!$M$330:$M$772,AX$11,IuranDSSebelumnya!$L$330:$L$772,$M$5)&gt;0,
        VLOOKUP(CONCATENATE($K54,"|",AX$11,"|",$M$5),IuranDSSebelumnya!$I$330:$N$772,5,FALSE),
        IF(COUNTIFS(IuranDSSebelumnya!$J$330:$J$772,$K54,IuranDSSebelumnya!$M$330:$M$772,AX$11,IuranDSSebelumnya!$L$330:$L$772,"&lt;&gt;"&amp;$M$5)&gt;0,
              "Iuran dari Lingkungan lain",
              ""))</t>
  </si>
  <si>
    <t>=IF(COUNTIFS(IuranDSSebelumnya!$J$330:$J$772,$K54,IuranDSSebelumnya!$M$330:$M$772,AY$11,IuranDSSebelumnya!$L$330:$L$772,$M$5)&gt;0,
        VLOOKUP(CONCATENATE($K54,"|",AY$11,"|",$M$5),IuranDSSebelumnya!$I$330:$N$772,5,FALSE),
        IF(COUNTIFS(IuranDSSebelumnya!$J$330:$J$772,$K54,IuranDSSebelumnya!$M$330:$M$772,AY$11,IuranDSSebelumnya!$L$330:$L$772,"&lt;&gt;"&amp;$M$5)&gt;0,
              "Iuran dari Lingkungan lain",
              ""))</t>
  </si>
  <si>
    <t>=IF(COUNTIFS(IuranDSSebelumnya!$J$330:$J$772,$K54,IuranDSSebelumnya!$M$330:$M$772,AZ$11,IuranDSSebelumnya!$L$330:$L$772,$M$5)&gt;0,
        VLOOKUP(CONCATENATE($K54,"|",AZ$11,"|",$M$5),IuranDSSebelumnya!$I$330:$N$772,5,FALSE),
        IF(COUNTIFS(IuranDSSebelumnya!$J$330:$J$772,$K54,IuranDSSebelumnya!$M$330:$M$772,AZ$11,IuranDSSebelumnya!$L$330:$L$772,"&lt;&gt;"&amp;$M$5)&gt;0,
              "Iuran dari Lingkungan lain",
              ""))</t>
  </si>
  <si>
    <t>=IF(COUNTIFS(IuranDSSebelumnya!$J$330:$J$772,$K54,IuranDSSebelumnya!$M$330:$M$772,BA$11,IuranDSSebelumnya!$L$330:$L$772,$M$5)&gt;0,
        VLOOKUP(CONCATENATE($K54,"|",BA$11,"|",$M$5),IuranDSSebelumnya!$I$330:$N$772,5,FALSE),
        IF(COUNTIFS(IuranDSSebelumnya!$J$330:$J$772,$K54,IuranDSSebelumnya!$M$330:$M$772,BA$11,IuranDSSebelumnya!$L$330:$L$772,"&lt;&gt;"&amp;$M$5)&gt;0,
              "Iuran dari Lingkungan lain",
              ""))</t>
  </si>
  <si>
    <t>=IF(COUNTIFS(IuranDSSebelumnya!$J$330:$J$772,$K54,IuranDSSebelumnya!$M$330:$M$772,BB$11,IuranDSSebelumnya!$L$330:$L$772,$M$5)&gt;0,
        VLOOKUP(CONCATENATE($K54,"|",BB$11,"|",$M$5),IuranDSSebelumnya!$I$330:$N$772,5,FALSE),
        IF(COUNTIFS(IuranDSSebelumnya!$J$330:$J$772,$K54,IuranDSSebelumnya!$M$330:$M$772,BB$11,IuranDSSebelumnya!$L$330:$L$772,"&lt;&gt;"&amp;$M$5)&gt;0,
              "Iuran dari Lingkungan lain",
              ""))</t>
  </si>
  <si>
    <t>=IF(COUNTIFS(IuranDSSebelumnya!$J$330:$J$772,$K54,IuranDSSebelumnya!$M$330:$M$772,BC$11,IuranDSSebelumnya!$L$330:$L$772,$M$5)&gt;0,
        VLOOKUP(CONCATENATE($K54,"|",BC$11,"|",$M$5),IuranDSSebelumnya!$I$330:$N$772,5,FALSE),
        IF(COUNTIFS(IuranDSSebelumnya!$J$330:$J$772,$K54,IuranDSSebelumnya!$M$330:$M$772,BC$11,IuranDSSebelumnya!$L$330:$L$772,"&lt;&gt;"&amp;$M$5)&gt;0,
              "Iuran dari Lingkungan lain",
              ""))</t>
  </si>
  <si>
    <t>=IF(COUNTIFS(IuranDSSebelumnya!$J$330:$J$772,$K54,IuranDSSebelumnya!$M$330:$M$772,BD$11,IuranDSSebelumnya!$L$330:$L$772,$M$5)&gt;0,
        VLOOKUP(CONCATENATE($K54,"|",BD$11,"|",$M$5),IuranDSSebelumnya!$I$330:$N$772,5,FALSE),
        IF(COUNTIFS(IuranDSSebelumnya!$J$330:$J$772,$K54,IuranDSSebelumnya!$M$330:$M$772,BD$11,IuranDSSebelumnya!$L$330:$L$772,"&lt;&gt;"&amp;$M$5)&gt;0,
              "Iuran dari Lingkungan lain",
              ""))</t>
  </si>
  <si>
    <t>=IF(COUNTIFS(IuranDSSebelumnya!$J$330:$J$772,$K54,IuranDSSebelumnya!$M$330:$M$772,BE$11,IuranDSSebelumnya!$L$330:$L$772,$M$5)&gt;0,
        VLOOKUP(CONCATENATE($K54,"|",BE$11,"|",$M$5),IuranDSSebelumnya!$I$330:$N$772,5,FALSE),
        IF(COUNTIFS(IuranDSSebelumnya!$J$330:$J$772,$K54,IuranDSSebelumnya!$M$330:$M$772,BE$11,IuranDSSebelumnya!$L$330:$L$772,"&lt;&gt;"&amp;$M$5)&gt;0,
              "Iuran dari Lingkungan lain",
              ""))</t>
  </si>
  <si>
    <t>=IF(COUNTIFS(IuranDSSebelumnya!$J$330:$J$772,$K54,IuranDSSebelumnya!$M$330:$M$772,BF$11,IuranDSSebelumnya!$L$330:$L$772,$M$5)&gt;0,
        VLOOKUP(CONCATENATE($K54,"|",BF$11,"|",$M$5),IuranDSSebelumnya!$I$330:$N$772,5,FALSE),
        IF(COUNTIFS(IuranDSSebelumnya!$J$330:$J$772,$K54,IuranDSSebelumnya!$M$330:$M$772,BF$11,IuranDSSebelumnya!$L$330:$L$772,"&lt;&gt;"&amp;$M$5)&gt;0,
              "Iuran dari Lingkungan lain",
              ""))</t>
  </si>
  <si>
    <t>=IF(COUNTIFS(IuranDSSebelumnya!$J$330:$J$772,$K54,IuranDSSebelumnya!$M$330:$M$772,BG$11,IuranDSSebelumnya!$L$330:$L$772,$M$5)&gt;0,
        VLOOKUP(CONCATENATE($K54,"|",BG$11,"|",$M$5),IuranDSSebelumnya!$I$330:$N$772,5,FALSE),
        IF(COUNTIFS(IuranDSSebelumnya!$J$330:$J$772,$K54,IuranDSSebelumnya!$M$330:$M$772,BG$11,IuranDSSebelumnya!$L$330:$L$772,"&lt;&gt;"&amp;$M$5)&gt;0,
              "Iuran dari Lingkungan lain",
              ""))</t>
  </si>
  <si>
    <t>=IF(COUNTIFS(IuranDSSebelumnya!$J$330:$J$772,$K54,IuranDSSebelumnya!$M$330:$M$772,BH$11,IuranDSSebelumnya!$L$330:$L$772,$M$5)&gt;0,
        VLOOKUP(CONCATENATE($K54,"|",BH$11,"|",$M$5),IuranDSSebelumnya!$I$330:$N$772,5,FALSE),
        IF(COUNTIFS(IuranDSSebelumnya!$J$330:$J$772,$K54,IuranDSSebelumnya!$M$330:$M$772,BH$11,IuranDSSebelumnya!$L$330:$L$772,"&lt;&gt;"&amp;$M$5)&gt;0,
              "Iuran dari Lingkungan lain",
              ""))</t>
  </si>
  <si>
    <t>=IF(COUNTIFS(IuranDSSebelumnya!$J$330:$J$772,$K54,IuranDSSebelumnya!$M$330:$M$772,BI$11,IuranDSSebelumnya!$L$330:$L$772,$M$5)&gt;0,
        VLOOKUP(CONCATENATE($K54,"|",BI$11,"|",$M$5),IuranDSSebelumnya!$I$330:$N$772,5,FALSE),
        IF(COUNTIFS(IuranDSSebelumnya!$J$330:$J$772,$K54,IuranDSSebelumnya!$M$330:$M$772,BI$11,IuranDSSebelumnya!$L$330:$L$772,"&lt;&gt;"&amp;$M$5)&gt;0,
              "Iuran dari Lingkungan lain",
              ""))</t>
  </si>
  <si>
    <t>=IF(COUNTIFS(IuranDSSebelumnya!$J$330:$J$772,$K54,IuranDSSebelumnya!$M$330:$M$772,BJ$11,IuranDSSebelumnya!$L$330:$L$772,$M$5)&gt;0,
        VLOOKUP(CONCATENATE($K54,"|",BJ$11,"|",$M$5),IuranDSSebelumnya!$I$330:$N$772,5,FALSE),
        IF(COUNTIFS(IuranDSSebelumnya!$J$330:$J$772,$K54,IuranDSSebelumnya!$M$330:$M$772,BJ$11,IuranDSSebelumnya!$L$330:$L$772,"&lt;&gt;"&amp;$M$5)&gt;0,
              "Iuran dari Lingkungan lain",
              ""))</t>
  </si>
  <si>
    <t>=IF(COUNTIFS(IuranDSSebelumnya!$J$330:$J$772,$K54,IuranDSSebelumnya!$M$330:$M$772,BK$11,IuranDSSebelumnya!$L$330:$L$772,$M$5)&gt;0,
        VLOOKUP(CONCATENATE($K54,"|",BK$11,"|",$M$5),IuranDSSebelumnya!$I$330:$N$772,5,FALSE),
        IF(COUNTIFS(IuranDSSebelumnya!$J$330:$J$772,$K54,IuranDSSebelumnya!$M$330:$M$772,BK$11,IuranDSSebelumnya!$L$330:$L$772,"&lt;&gt;"&amp;$M$5)&gt;0,
              "Iuran dari Lingkungan lain",
              ""))</t>
  </si>
  <si>
    <t>=IF(COUNTIFS(IuranDSSebelumnya!$J$330:$J$772,$K54,IuranDSSebelumnya!$M$330:$M$772,BL$11,IuranDSSebelumnya!$L$330:$L$772,$M$5)&gt;0,
        VLOOKUP(CONCATENATE($K54,"|",BL$11,"|",$M$5),IuranDSSebelumnya!$I$330:$N$772,5,FALSE),
        IF(COUNTIFS(IuranDSSebelumnya!$J$330:$J$772,$K54,IuranDSSebelumnya!$M$330:$M$772,BL$11,IuranDSSebelumnya!$L$330:$L$772,"&lt;&gt;"&amp;$M$5)&gt;0,
              "Iuran dari Lingkungan lain",
              ""))</t>
  </si>
  <si>
    <t>=CELL("row")=CELL("row",C55)</t>
  </si>
  <si>
    <t>="""TRUST Nav"",""HSPMTB2016"",""18"",""1"",""KK-04625"""</t>
  </si>
  <si>
    <t>=IF(AND($AL55=0,$J55=1)=TRUE,0,
        IF(AND($AL55&gt;0,$J55=1)=TRUE,1,
              IF(AND(H54=$H$12,$J55&gt;1)=TRUE,0,
                    IF(AND($AL55=0,$J55&gt;1),H54,
                         H54+1))))</t>
  </si>
  <si>
    <t>=IF(J54="No.",1,J54+1)</t>
  </si>
  <si>
    <t>=SUM(N55:AK55)</t>
  </si>
  <si>
    <t>=IF(COUNTIFS(IuranDSSebelumnya!$J$330:$J$772,$K55,IuranDSSebelumnya!$M$330:$M$772,AO$11,IuranDSSebelumnya!$L$330:$L$772,$M$5)&gt;0,
        VLOOKUP(CONCATENATE($K55,"|",AO$11,"|",$M$5),IuranDSSebelumnya!$I$330:$N$772,5,FALSE),
        IF(COUNTIFS(IuranDSSebelumnya!$J$330:$J$772,$K55,IuranDSSebelumnya!$M$330:$M$772,AO$11,IuranDSSebelumnya!$L$330:$L$772,"&lt;&gt;"&amp;$M$5)&gt;0,
              "Iuran dari Lingkungan lain",
              ""))</t>
  </si>
  <si>
    <t>=IF(COUNTIFS(IuranDSSebelumnya!$J$330:$J$772,$K55,IuranDSSebelumnya!$M$330:$M$772,AP$11,IuranDSSebelumnya!$L$330:$L$772,$M$5)&gt;0,
        VLOOKUP(CONCATENATE($K55,"|",AP$11,"|",$M$5),IuranDSSebelumnya!$I$330:$N$772,5,FALSE),
        IF(COUNTIFS(IuranDSSebelumnya!$J$330:$J$772,$K55,IuranDSSebelumnya!$M$330:$M$772,AP$11,IuranDSSebelumnya!$L$330:$L$772,"&lt;&gt;"&amp;$M$5)&gt;0,
              "Iuran dari Lingkungan lain",
              ""))</t>
  </si>
  <si>
    <t>=IF(COUNTIFS(IuranDSSebelumnya!$J$330:$J$772,$K55,IuranDSSebelumnya!$M$330:$M$772,AQ$11,IuranDSSebelumnya!$L$330:$L$772,$M$5)&gt;0,
        VLOOKUP(CONCATENATE($K55,"|",AQ$11,"|",$M$5),IuranDSSebelumnya!$I$330:$N$772,5,FALSE),
        IF(COUNTIFS(IuranDSSebelumnya!$J$330:$J$772,$K55,IuranDSSebelumnya!$M$330:$M$772,AQ$11,IuranDSSebelumnya!$L$330:$L$772,"&lt;&gt;"&amp;$M$5)&gt;0,
              "Iuran dari Lingkungan lain",
              ""))</t>
  </si>
  <si>
    <t>=IF(COUNTIFS(IuranDSSebelumnya!$J$330:$J$772,$K55,IuranDSSebelumnya!$M$330:$M$772,AR$11,IuranDSSebelumnya!$L$330:$L$772,$M$5)&gt;0,
        VLOOKUP(CONCATENATE($K55,"|",AR$11,"|",$M$5),IuranDSSebelumnya!$I$330:$N$772,5,FALSE),
        IF(COUNTIFS(IuranDSSebelumnya!$J$330:$J$772,$K55,IuranDSSebelumnya!$M$330:$M$772,AR$11,IuranDSSebelumnya!$L$330:$L$772,"&lt;&gt;"&amp;$M$5)&gt;0,
              "Iuran dari Lingkungan lain",
              ""))</t>
  </si>
  <si>
    <t>=IF(COUNTIFS(IuranDSSebelumnya!$J$330:$J$772,$K55,IuranDSSebelumnya!$M$330:$M$772,AS$11,IuranDSSebelumnya!$L$330:$L$772,$M$5)&gt;0,
        VLOOKUP(CONCATENATE($K55,"|",AS$11,"|",$M$5),IuranDSSebelumnya!$I$330:$N$772,5,FALSE),
        IF(COUNTIFS(IuranDSSebelumnya!$J$330:$J$772,$K55,IuranDSSebelumnya!$M$330:$M$772,AS$11,IuranDSSebelumnya!$L$330:$L$772,"&lt;&gt;"&amp;$M$5)&gt;0,
              "Iuran dari Lingkungan lain",
              ""))</t>
  </si>
  <si>
    <t>=IF(COUNTIFS(IuranDSSebelumnya!$J$330:$J$772,$K55,IuranDSSebelumnya!$M$330:$M$772,AT$11,IuranDSSebelumnya!$L$330:$L$772,$M$5)&gt;0,
        VLOOKUP(CONCATENATE($K55,"|",AT$11,"|",$M$5),IuranDSSebelumnya!$I$330:$N$772,5,FALSE),
        IF(COUNTIFS(IuranDSSebelumnya!$J$330:$J$772,$K55,IuranDSSebelumnya!$M$330:$M$772,AT$11,IuranDSSebelumnya!$L$330:$L$772,"&lt;&gt;"&amp;$M$5)&gt;0,
              "Iuran dari Lingkungan lain",
              ""))</t>
  </si>
  <si>
    <t>=IF(COUNTIFS(IuranDSSebelumnya!$J$330:$J$772,$K55,IuranDSSebelumnya!$M$330:$M$772,AU$11,IuranDSSebelumnya!$L$330:$L$772,$M$5)&gt;0,
        VLOOKUP(CONCATENATE($K55,"|",AU$11,"|",$M$5),IuranDSSebelumnya!$I$330:$N$772,5,FALSE),
        IF(COUNTIFS(IuranDSSebelumnya!$J$330:$J$772,$K55,IuranDSSebelumnya!$M$330:$M$772,AU$11,IuranDSSebelumnya!$L$330:$L$772,"&lt;&gt;"&amp;$M$5)&gt;0,
              "Iuran dari Lingkungan lain",
              ""))</t>
  </si>
  <si>
    <t>=IF(COUNTIFS(IuranDSSebelumnya!$J$330:$J$772,$K55,IuranDSSebelumnya!$M$330:$M$772,AV$11,IuranDSSebelumnya!$L$330:$L$772,$M$5)&gt;0,
        VLOOKUP(CONCATENATE($K55,"|",AV$11,"|",$M$5),IuranDSSebelumnya!$I$330:$N$772,5,FALSE),
        IF(COUNTIFS(IuranDSSebelumnya!$J$330:$J$772,$K55,IuranDSSebelumnya!$M$330:$M$772,AV$11,IuranDSSebelumnya!$L$330:$L$772,"&lt;&gt;"&amp;$M$5)&gt;0,
              "Iuran dari Lingkungan lain",
              ""))</t>
  </si>
  <si>
    <t>=IF(COUNTIFS(IuranDSSebelumnya!$J$330:$J$772,$K55,IuranDSSebelumnya!$M$330:$M$772,AW$11,IuranDSSebelumnya!$L$330:$L$772,$M$5)&gt;0,
        VLOOKUP(CONCATENATE($K55,"|",AW$11,"|",$M$5),IuranDSSebelumnya!$I$330:$N$772,5,FALSE),
        IF(COUNTIFS(IuranDSSebelumnya!$J$330:$J$772,$K55,IuranDSSebelumnya!$M$330:$M$772,AW$11,IuranDSSebelumnya!$L$330:$L$772,"&lt;&gt;"&amp;$M$5)&gt;0,
              "Iuran dari Lingkungan lain",
              ""))</t>
  </si>
  <si>
    <t>=IF(COUNTIFS(IuranDSSebelumnya!$J$330:$J$772,$K55,IuranDSSebelumnya!$M$330:$M$772,AX$11,IuranDSSebelumnya!$L$330:$L$772,$M$5)&gt;0,
        VLOOKUP(CONCATENATE($K55,"|",AX$11,"|",$M$5),IuranDSSebelumnya!$I$330:$N$772,5,FALSE),
        IF(COUNTIFS(IuranDSSebelumnya!$J$330:$J$772,$K55,IuranDSSebelumnya!$M$330:$M$772,AX$11,IuranDSSebelumnya!$L$330:$L$772,"&lt;&gt;"&amp;$M$5)&gt;0,
              "Iuran dari Lingkungan lain",
              ""))</t>
  </si>
  <si>
    <t>=IF(COUNTIFS(IuranDSSebelumnya!$J$330:$J$772,$K55,IuranDSSebelumnya!$M$330:$M$772,AY$11,IuranDSSebelumnya!$L$330:$L$772,$M$5)&gt;0,
        VLOOKUP(CONCATENATE($K55,"|",AY$11,"|",$M$5),IuranDSSebelumnya!$I$330:$N$772,5,FALSE),
        IF(COUNTIFS(IuranDSSebelumnya!$J$330:$J$772,$K55,IuranDSSebelumnya!$M$330:$M$772,AY$11,IuranDSSebelumnya!$L$330:$L$772,"&lt;&gt;"&amp;$M$5)&gt;0,
              "Iuran dari Lingkungan lain",
              ""))</t>
  </si>
  <si>
    <t>=IF(COUNTIFS(IuranDSSebelumnya!$J$330:$J$772,$K55,IuranDSSebelumnya!$M$330:$M$772,AZ$11,IuranDSSebelumnya!$L$330:$L$772,$M$5)&gt;0,
        VLOOKUP(CONCATENATE($K55,"|",AZ$11,"|",$M$5),IuranDSSebelumnya!$I$330:$N$772,5,FALSE),
        IF(COUNTIFS(IuranDSSebelumnya!$J$330:$J$772,$K55,IuranDSSebelumnya!$M$330:$M$772,AZ$11,IuranDSSebelumnya!$L$330:$L$772,"&lt;&gt;"&amp;$M$5)&gt;0,
              "Iuran dari Lingkungan lain",
              ""))</t>
  </si>
  <si>
    <t>=IF(COUNTIFS(IuranDSSebelumnya!$J$330:$J$772,$K55,IuranDSSebelumnya!$M$330:$M$772,BA$11,IuranDSSebelumnya!$L$330:$L$772,$M$5)&gt;0,
        VLOOKUP(CONCATENATE($K55,"|",BA$11,"|",$M$5),IuranDSSebelumnya!$I$330:$N$772,5,FALSE),
        IF(COUNTIFS(IuranDSSebelumnya!$J$330:$J$772,$K55,IuranDSSebelumnya!$M$330:$M$772,BA$11,IuranDSSebelumnya!$L$330:$L$772,"&lt;&gt;"&amp;$M$5)&gt;0,
              "Iuran dari Lingkungan lain",
              ""))</t>
  </si>
  <si>
    <t>=IF(COUNTIFS(IuranDSSebelumnya!$J$330:$J$772,$K55,IuranDSSebelumnya!$M$330:$M$772,BB$11,IuranDSSebelumnya!$L$330:$L$772,$M$5)&gt;0,
        VLOOKUP(CONCATENATE($K55,"|",BB$11,"|",$M$5),IuranDSSebelumnya!$I$330:$N$772,5,FALSE),
        IF(COUNTIFS(IuranDSSebelumnya!$J$330:$J$772,$K55,IuranDSSebelumnya!$M$330:$M$772,BB$11,IuranDSSebelumnya!$L$330:$L$772,"&lt;&gt;"&amp;$M$5)&gt;0,
              "Iuran dari Lingkungan lain",
              ""))</t>
  </si>
  <si>
    <t>=IF(COUNTIFS(IuranDSSebelumnya!$J$330:$J$772,$K55,IuranDSSebelumnya!$M$330:$M$772,BC$11,IuranDSSebelumnya!$L$330:$L$772,$M$5)&gt;0,
        VLOOKUP(CONCATENATE($K55,"|",BC$11,"|",$M$5),IuranDSSebelumnya!$I$330:$N$772,5,FALSE),
        IF(COUNTIFS(IuranDSSebelumnya!$J$330:$J$772,$K55,IuranDSSebelumnya!$M$330:$M$772,BC$11,IuranDSSebelumnya!$L$330:$L$772,"&lt;&gt;"&amp;$M$5)&gt;0,
              "Iuran dari Lingkungan lain",
              ""))</t>
  </si>
  <si>
    <t>=IF(COUNTIFS(IuranDSSebelumnya!$J$330:$J$772,$K55,IuranDSSebelumnya!$M$330:$M$772,BD$11,IuranDSSebelumnya!$L$330:$L$772,$M$5)&gt;0,
        VLOOKUP(CONCATENATE($K55,"|",BD$11,"|",$M$5),IuranDSSebelumnya!$I$330:$N$772,5,FALSE),
        IF(COUNTIFS(IuranDSSebelumnya!$J$330:$J$772,$K55,IuranDSSebelumnya!$M$330:$M$772,BD$11,IuranDSSebelumnya!$L$330:$L$772,"&lt;&gt;"&amp;$M$5)&gt;0,
              "Iuran dari Lingkungan lain",
              ""))</t>
  </si>
  <si>
    <t>=IF(COUNTIFS(IuranDSSebelumnya!$J$330:$J$772,$K55,IuranDSSebelumnya!$M$330:$M$772,BE$11,IuranDSSebelumnya!$L$330:$L$772,$M$5)&gt;0,
        VLOOKUP(CONCATENATE($K55,"|",BE$11,"|",$M$5),IuranDSSebelumnya!$I$330:$N$772,5,FALSE),
        IF(COUNTIFS(IuranDSSebelumnya!$J$330:$J$772,$K55,IuranDSSebelumnya!$M$330:$M$772,BE$11,IuranDSSebelumnya!$L$330:$L$772,"&lt;&gt;"&amp;$M$5)&gt;0,
              "Iuran dari Lingkungan lain",
              ""))</t>
  </si>
  <si>
    <t>=IF(COUNTIFS(IuranDSSebelumnya!$J$330:$J$772,$K55,IuranDSSebelumnya!$M$330:$M$772,BF$11,IuranDSSebelumnya!$L$330:$L$772,$M$5)&gt;0,
        VLOOKUP(CONCATENATE($K55,"|",BF$11,"|",$M$5),IuranDSSebelumnya!$I$330:$N$772,5,FALSE),
        IF(COUNTIFS(IuranDSSebelumnya!$J$330:$J$772,$K55,IuranDSSebelumnya!$M$330:$M$772,BF$11,IuranDSSebelumnya!$L$330:$L$772,"&lt;&gt;"&amp;$M$5)&gt;0,
              "Iuran dari Lingkungan lain",
              ""))</t>
  </si>
  <si>
    <t>=IF(COUNTIFS(IuranDSSebelumnya!$J$330:$J$772,$K55,IuranDSSebelumnya!$M$330:$M$772,BG$11,IuranDSSebelumnya!$L$330:$L$772,$M$5)&gt;0,
        VLOOKUP(CONCATENATE($K55,"|",BG$11,"|",$M$5),IuranDSSebelumnya!$I$330:$N$772,5,FALSE),
        IF(COUNTIFS(IuranDSSebelumnya!$J$330:$J$772,$K55,IuranDSSebelumnya!$M$330:$M$772,BG$11,IuranDSSebelumnya!$L$330:$L$772,"&lt;&gt;"&amp;$M$5)&gt;0,
              "Iuran dari Lingkungan lain",
              ""))</t>
  </si>
  <si>
    <t>=IF(COUNTIFS(IuranDSSebelumnya!$J$330:$J$772,$K55,IuranDSSebelumnya!$M$330:$M$772,BH$11,IuranDSSebelumnya!$L$330:$L$772,$M$5)&gt;0,
        VLOOKUP(CONCATENATE($K55,"|",BH$11,"|",$M$5),IuranDSSebelumnya!$I$330:$N$772,5,FALSE),
        IF(COUNTIFS(IuranDSSebelumnya!$J$330:$J$772,$K55,IuranDSSebelumnya!$M$330:$M$772,BH$11,IuranDSSebelumnya!$L$330:$L$772,"&lt;&gt;"&amp;$M$5)&gt;0,
              "Iuran dari Lingkungan lain",
              ""))</t>
  </si>
  <si>
    <t>=IF(COUNTIFS(IuranDSSebelumnya!$J$330:$J$772,$K55,IuranDSSebelumnya!$M$330:$M$772,BI$11,IuranDSSebelumnya!$L$330:$L$772,$M$5)&gt;0,
        VLOOKUP(CONCATENATE($K55,"|",BI$11,"|",$M$5),IuranDSSebelumnya!$I$330:$N$772,5,FALSE),
        IF(COUNTIFS(IuranDSSebelumnya!$J$330:$J$772,$K55,IuranDSSebelumnya!$M$330:$M$772,BI$11,IuranDSSebelumnya!$L$330:$L$772,"&lt;&gt;"&amp;$M$5)&gt;0,
              "Iuran dari Lingkungan lain",
              ""))</t>
  </si>
  <si>
    <t>=IF(COUNTIFS(IuranDSSebelumnya!$J$330:$J$772,$K55,IuranDSSebelumnya!$M$330:$M$772,BJ$11,IuranDSSebelumnya!$L$330:$L$772,$M$5)&gt;0,
        VLOOKUP(CONCATENATE($K55,"|",BJ$11,"|",$M$5),IuranDSSebelumnya!$I$330:$N$772,5,FALSE),
        IF(COUNTIFS(IuranDSSebelumnya!$J$330:$J$772,$K55,IuranDSSebelumnya!$M$330:$M$772,BJ$11,IuranDSSebelumnya!$L$330:$L$772,"&lt;&gt;"&amp;$M$5)&gt;0,
              "Iuran dari Lingkungan lain",
              ""))</t>
  </si>
  <si>
    <t>=IF(COUNTIFS(IuranDSSebelumnya!$J$330:$J$772,$K55,IuranDSSebelumnya!$M$330:$M$772,BK$11,IuranDSSebelumnya!$L$330:$L$772,$M$5)&gt;0,
        VLOOKUP(CONCATENATE($K55,"|",BK$11,"|",$M$5),IuranDSSebelumnya!$I$330:$N$772,5,FALSE),
        IF(COUNTIFS(IuranDSSebelumnya!$J$330:$J$772,$K55,IuranDSSebelumnya!$M$330:$M$772,BK$11,IuranDSSebelumnya!$L$330:$L$772,"&lt;&gt;"&amp;$M$5)&gt;0,
              "Iuran dari Lingkungan lain",
              ""))</t>
  </si>
  <si>
    <t>=IF(COUNTIFS(IuranDSSebelumnya!$J$330:$J$772,$K55,IuranDSSebelumnya!$M$330:$M$772,BL$11,IuranDSSebelumnya!$L$330:$L$772,$M$5)&gt;0,
        VLOOKUP(CONCATENATE($K55,"|",BL$11,"|",$M$5),IuranDSSebelumnya!$I$330:$N$772,5,FALSE),
        IF(COUNTIFS(IuranDSSebelumnya!$J$330:$J$772,$K55,IuranDSSebelumnya!$M$330:$M$772,BL$11,IuranDSSebelumnya!$L$330:$L$772,"&lt;&gt;"&amp;$M$5)&gt;0,
              "Iuran dari Lingkungan lain",
              ""))</t>
  </si>
  <si>
    <t>=NF($D14,"No.")</t>
  </si>
  <si>
    <t>=NF($D15,"No.")</t>
  </si>
  <si>
    <t>=NF($D16,"No.")</t>
  </si>
  <si>
    <t>=NF($D17,"No.")</t>
  </si>
  <si>
    <t>=NF($D18,"No.")</t>
  </si>
  <si>
    <t>=NF($D19,"No.")</t>
  </si>
  <si>
    <t>=NF($D20,"No.")</t>
  </si>
  <si>
    <t>=NF($D21,"No.")</t>
  </si>
  <si>
    <t>=NF($D22,"No.")</t>
  </si>
  <si>
    <t>=NF($D23,"No.")</t>
  </si>
  <si>
    <t>=NF($D24,"No.")</t>
  </si>
  <si>
    <t>=NF($D25,"No.")</t>
  </si>
  <si>
    <t>=NF($D26,"No.")</t>
  </si>
  <si>
    <t>=NF($D27,"No.")</t>
  </si>
  <si>
    <t>=NF($D28,"No.")</t>
  </si>
  <si>
    <t>=NF($D29,"No.")</t>
  </si>
  <si>
    <t>=NF($D30,"No.")</t>
  </si>
  <si>
    <t>=NF($D31,"No.")</t>
  </si>
  <si>
    <t>=NF($D32,"No.")</t>
  </si>
  <si>
    <t>=NF($D33,"No.")</t>
  </si>
  <si>
    <t>=NF($D34,"No.")</t>
  </si>
  <si>
    <t>=NF($D35,"No.")</t>
  </si>
  <si>
    <t>=NF($D36,"No.")</t>
  </si>
  <si>
    <t>=NF($D37,"No.")</t>
  </si>
  <si>
    <t>=NF($D38,"No.")</t>
  </si>
  <si>
    <t>=NF($D39,"No.")</t>
  </si>
  <si>
    <t>=NF($D40,"No.")</t>
  </si>
  <si>
    <t>=NF($D41,"No.")</t>
  </si>
  <si>
    <t>=NF($D42,"No.")</t>
  </si>
  <si>
    <t>=NF($D43,"No.")</t>
  </si>
  <si>
    <t>=NF($D44,"No.")</t>
  </si>
  <si>
    <t>=NF($D45,"No.")</t>
  </si>
  <si>
    <t>=NF($D46,"No.")</t>
  </si>
  <si>
    <t>=NF($D47,"No.")</t>
  </si>
  <si>
    <t>=NF($D48,"No.")</t>
  </si>
  <si>
    <t>=NF($D49,"No.")</t>
  </si>
  <si>
    <t>=NF($D50,"No.")</t>
  </si>
  <si>
    <t>=NF($D51,"No.")</t>
  </si>
  <si>
    <t>=NF($D52,"No.")</t>
  </si>
  <si>
    <t>=NF($D53,"No.")</t>
  </si>
  <si>
    <t>=NF($D54,"No.")</t>
  </si>
  <si>
    <t>=NF($D55,"No.")</t>
  </si>
  <si>
    <t>=NF($D14,"Name")</t>
  </si>
  <si>
    <t>=NF($D15,"Name")</t>
  </si>
  <si>
    <t>=NF($D16,"Name")</t>
  </si>
  <si>
    <t>=NF($D17,"Name")</t>
  </si>
  <si>
    <t>=NF($D18,"Name")</t>
  </si>
  <si>
    <t>=NF($D19,"Name")</t>
  </si>
  <si>
    <t>=NF($D20,"Name")</t>
  </si>
  <si>
    <t>=NF($D21,"Name")</t>
  </si>
  <si>
    <t>=NF($D22,"Name")</t>
  </si>
  <si>
    <t>=NF($D23,"Name")</t>
  </si>
  <si>
    <t>=NF($D24,"Name")</t>
  </si>
  <si>
    <t>=NF($D25,"Name")</t>
  </si>
  <si>
    <t>=NF($D26,"Name")</t>
  </si>
  <si>
    <t>=NF($D27,"Name")</t>
  </si>
  <si>
    <t>=NF($D28,"Name")</t>
  </si>
  <si>
    <t>=NF($D29,"Name")</t>
  </si>
  <si>
    <t>=NF($D30,"Name")</t>
  </si>
  <si>
    <t>=NF($D31,"Name")</t>
  </si>
  <si>
    <t>=NF($D32,"Name")</t>
  </si>
  <si>
    <t>=NF($D33,"Name")</t>
  </si>
  <si>
    <t>=NF($D34,"Name")</t>
  </si>
  <si>
    <t>=NF($D35,"Name")</t>
  </si>
  <si>
    <t>=NF($D36,"Name")</t>
  </si>
  <si>
    <t>=NF($D37,"Name")</t>
  </si>
  <si>
    <t>=NF($D38,"Name")</t>
  </si>
  <si>
    <t>=NF($D39,"Name")</t>
  </si>
  <si>
    <t>=NF($D40,"Name")</t>
  </si>
  <si>
    <t>=NF($D41,"Name")</t>
  </si>
  <si>
    <t>=NF($D42,"Name")</t>
  </si>
  <si>
    <t>=NF($D43,"Name")</t>
  </si>
  <si>
    <t>=NF($D44,"Name")</t>
  </si>
  <si>
    <t>=NF($D45,"Name")</t>
  </si>
  <si>
    <t>=NF($D46,"Name")</t>
  </si>
  <si>
    <t>=NF($D47,"Name")</t>
  </si>
  <si>
    <t>=NF($D48,"Name")</t>
  </si>
  <si>
    <t>=NF($D49,"Name")</t>
  </si>
  <si>
    <t>=NF($D50,"Name")</t>
  </si>
  <si>
    <t>=NF($D51,"Name")</t>
  </si>
  <si>
    <t>=NF($D52,"Name")</t>
  </si>
  <si>
    <t>=NF($D53,"Name")</t>
  </si>
  <si>
    <t>=NF($D54,"Name")</t>
  </si>
  <si>
    <t>=NF($D55,"Name")</t>
  </si>
  <si>
    <t>Auto+Hide+HideSheet+Values+Formulas=Sheet24,Sheet3,Sheet4+FormulasOnly</t>
  </si>
  <si>
    <t>Auto+Hide+Formulas=Sheet25,Sheet5,Sheet6</t>
  </si>
  <si>
    <t>=IF(ISNUMBER($L$6)=FALSE,"",
IF($C14=0,"",VLOOKUP($E14,DanaSehat!$H$13:$L$56,4,FALSE)))</t>
  </si>
  <si>
    <t>=IF(ISNUMBER($L$6)=FALSE,"",
IF($C14=0,"",VLOOKUP($E14,DanaSehat!$H$13:$L$56,5,FALSE)))</t>
  </si>
  <si>
    <t>=IF(ISNUMBER($L$6)=FALSE,"",
        IF(ISERROR(VLOOKUP($G14,DanaSehat!$L$13:$AK$56,I$4,FALSE))=TRUE,"",
              VLOOKUP($G14,DanaSehat!$L$13:$AK$56,I$4,FALSE)))</t>
  </si>
  <si>
    <t>=IF(ISNUMBER($L$6)=FALSE,"",
        IF(ISERROR(VLOOKUP($G14,DanaSehat!$L$13:$AK$56,J$4,FALSE))=TRUE,"",
              VLOOKUP($G14,DanaSehat!$L$13:$AK$56,J$4,FALSE)))</t>
  </si>
  <si>
    <t>=IF(ISNUMBER($L$6)=FALSE,"",
        IF(ISERROR(VLOOKUP($G14,DanaSehat!$L$13:$AK$56,K$4,FALSE))=TRUE,"",
              VLOOKUP($G14,DanaSehat!$L$13:$AK$56,K$4,FALSE)))</t>
  </si>
  <si>
    <t>=IF(ISNUMBER($L$6)=FALSE,"",
        IF(ISERROR(VLOOKUP($G14,DanaSehat!$L$13:$AK$56,L$4,FALSE))=TRUE,"",
              VLOOKUP($G14,DanaSehat!$L$13:$AK$56,L$4,FALSE)))</t>
  </si>
  <si>
    <t>=IF(ISNUMBER($L$6)=FALSE,"",
        IF(ISERROR(VLOOKUP($G14,DanaSehat!$L$13:$AK$56,M$4,FALSE))=TRUE,"",
              VLOOKUP($G14,DanaSehat!$L$13:$AK$56,M$4,FALSE)))</t>
  </si>
  <si>
    <t>=IF(ISNUMBER($L$6)=FALSE,"",
        IF(ISERROR(VLOOKUP($G14,DanaSehat!$L$13:$AK$56,N$4,FALSE))=TRUE,"",
              VLOOKUP($G14,DanaSehat!$L$13:$AK$56,N$4,FALSE)))</t>
  </si>
  <si>
    <t>=IF(ISNUMBER($L$6)=FALSE,"",
        IF(ISERROR(VLOOKUP($G14,DanaSehat!$L$13:$AK$56,O$4,FALSE))=TRUE,"",
              VLOOKUP($G14,DanaSehat!$L$13:$AK$56,O$4,FALSE)))</t>
  </si>
  <si>
    <t>=IF(ISNUMBER($L$6)=FALSE,"",
        IF(ISERROR(VLOOKUP($G14,DanaSehat!$L$13:$AK$56,P$4,FALSE))=TRUE,"",
              VLOOKUP($G14,DanaSehat!$L$13:$AK$56,P$4,FALSE)))</t>
  </si>
  <si>
    <t>=IF(ISNUMBER($L$6)=FALSE,"",
        IF(ISERROR(VLOOKUP($G14,DanaSehat!$L$13:$AK$56,Q$4,FALSE))=TRUE,"",
              VLOOKUP($G14,DanaSehat!$L$13:$AK$56,Q$4,FALSE)))</t>
  </si>
  <si>
    <t>=IF(ISNUMBER($L$6)=FALSE,"",
        IF(ISERROR(VLOOKUP($G14,DanaSehat!$L$13:$AK$56,R$4,FALSE))=TRUE,"",
              VLOOKUP($G14,DanaSehat!$L$13:$AK$56,R$4,FALSE)))</t>
  </si>
  <si>
    <t>=IF(ISNUMBER($L$6)=FALSE,"",
        IF(ISERROR(VLOOKUP($G14,DanaSehat!$L$13:$AK$56,S$4,FALSE))=TRUE,"",
              VLOOKUP($G14,DanaSehat!$L$13:$AK$56,S$4,FALSE)))</t>
  </si>
  <si>
    <t>=IF(ISNUMBER($L$6)=FALSE,"",
        IF(ISERROR(VLOOKUP($G14,DanaSehat!$L$13:$AK$56,T$4,FALSE))=TRUE,"",
              VLOOKUP($G14,DanaSehat!$L$13:$AK$56,T$4,FALSE)))</t>
  </si>
  <si>
    <t>=IF(ISNUMBER($L$6)=FALSE,"",
        IF(ISERROR(VLOOKUP($G14,DanaSehat!$L$13:$AK$56,U$4,FALSE))=TRUE,"",
              VLOOKUP($G14,DanaSehat!$L$13:$AK$56,U$4,FALSE)))</t>
  </si>
  <si>
    <t>=IF(ISNUMBER($L$6)=FALSE,"",
        IF(ISERROR(VLOOKUP($G14,DanaSehat!$L$13:$AK$56,V$4,FALSE))=TRUE,"",
              VLOOKUP($G14,DanaSehat!$L$13:$AK$56,V$4,FALSE)))</t>
  </si>
  <si>
    <t>=IF(ISNUMBER($L$6)=FALSE,"",
        IF(ISERROR(VLOOKUP($G14,DanaSehat!$L$13:$AK$56,W$4,FALSE))=TRUE,"",
              VLOOKUP($G14,DanaSehat!$L$13:$AK$56,W$4,FALSE)))</t>
  </si>
  <si>
    <t>=IF(ISNUMBER($L$6)=FALSE,"",
        IF(ISERROR(VLOOKUP($G14,DanaSehat!$L$13:$AK$56,X$4,FALSE))=TRUE,"",
              VLOOKUP($G14,DanaSehat!$L$13:$AK$56,X$4,FALSE)))</t>
  </si>
  <si>
    <t>=IF(ISNUMBER($L$6)=FALSE,"",
        IF(ISERROR(VLOOKUP($G14,DanaSehat!$L$13:$AK$56,Y$4,FALSE))=TRUE,"",
              VLOOKUP($G14,DanaSehat!$L$13:$AK$56,Y$4,FALSE)))</t>
  </si>
  <si>
    <t>=IF(ISNUMBER($L$6)=FALSE,"",
        IF(ISERROR(VLOOKUP($G14,DanaSehat!$L$13:$AK$56,Z$4,FALSE))=TRUE,"",
              VLOOKUP($G14,DanaSehat!$L$13:$AK$56,Z$4,FALSE)))</t>
  </si>
  <si>
    <t>=IF(ISNUMBER($L$6)=FALSE,"",
        IF(ISERROR(VLOOKUP($G14,DanaSehat!$L$13:$AK$56,AA$4,FALSE))=TRUE,"",
              VLOOKUP($G14,DanaSehat!$L$13:$AK$56,AA$4,FALSE)))</t>
  </si>
  <si>
    <t>=IF(ISNUMBER($L$6)=FALSE,"",
        IF(ISERROR(VLOOKUP($G14,DanaSehat!$L$13:$AK$56,AB$4,FALSE))=TRUE,"",
              VLOOKUP($G14,DanaSehat!$L$13:$AK$56,AB$4,FALSE)))</t>
  </si>
  <si>
    <t>=IF(ISNUMBER($L$6)=FALSE,"",
        IF(ISERROR(VLOOKUP($G14,DanaSehat!$L$13:$AK$56,AC$4,FALSE))=TRUE,"",
              VLOOKUP($G14,DanaSehat!$L$13:$AK$56,AC$4,FALSE)))</t>
  </si>
  <si>
    <t>=IF(ISNUMBER($L$6)=FALSE,"",
        IF(ISERROR(VLOOKUP($G14,DanaSehat!$L$13:$AK$56,AD$4,FALSE))=TRUE,"",
              VLOOKUP($G14,DanaSehat!$L$13:$AK$56,AD$4,FALSE)))</t>
  </si>
  <si>
    <t>=IF(ISNUMBER($L$6)=FALSE,"",
        IF(ISERROR(VLOOKUP($G14,DanaSehat!$L$13:$AK$56,AE$4,FALSE))=TRUE,"",
              VLOOKUP($G14,DanaSehat!$L$13:$AK$56,AE$4,FALSE)))</t>
  </si>
  <si>
    <t>=IF(ISNUMBER($L$6)=FALSE,"",
        IF(ISERROR(VLOOKUP($G14,DanaSehat!$L$13:$AK$56,AF$4,FALSE))=TRUE,"",
              VLOOKUP($G14,DanaSehat!$L$13:$AK$56,AF$4,FALSE)))</t>
  </si>
  <si>
    <t>=IF(ISNUMBER($L$6)=FALSE,"",
IF($C15=0,"",VLOOKUP($E15,DanaSehat!$H$13:$L$56,4,FALSE)))</t>
  </si>
  <si>
    <t>=IF(ISNUMBER($L$6)=FALSE,"",
IF($C15=0,"",VLOOKUP($E15,DanaSehat!$H$13:$L$56,5,FALSE)))</t>
  </si>
  <si>
    <t>=IF(ISNUMBER($L$6)=FALSE,"",
        IF(ISERROR(VLOOKUP($G15,DanaSehat!$L$13:$AK$56,I$4,FALSE))=TRUE,"",
              VLOOKUP($G15,DanaSehat!$L$13:$AK$56,I$4,FALSE)))</t>
  </si>
  <si>
    <t>=IF(ISNUMBER($L$6)=FALSE,"",
        IF(ISERROR(VLOOKUP($G15,DanaSehat!$L$13:$AK$56,J$4,FALSE))=TRUE,"",
              VLOOKUP($G15,DanaSehat!$L$13:$AK$56,J$4,FALSE)))</t>
  </si>
  <si>
    <t>=IF(ISNUMBER($L$6)=FALSE,"",
        IF(ISERROR(VLOOKUP($G15,DanaSehat!$L$13:$AK$56,K$4,FALSE))=TRUE,"",
              VLOOKUP($G15,DanaSehat!$L$13:$AK$56,K$4,FALSE)))</t>
  </si>
  <si>
    <t>=IF(ISNUMBER($L$6)=FALSE,"",
        IF(ISERROR(VLOOKUP($G15,DanaSehat!$L$13:$AK$56,L$4,FALSE))=TRUE,"",
              VLOOKUP($G15,DanaSehat!$L$13:$AK$56,L$4,FALSE)))</t>
  </si>
  <si>
    <t>=IF(ISNUMBER($L$6)=FALSE,"",
        IF(ISERROR(VLOOKUP($G15,DanaSehat!$L$13:$AK$56,M$4,FALSE))=TRUE,"",
              VLOOKUP($G15,DanaSehat!$L$13:$AK$56,M$4,FALSE)))</t>
  </si>
  <si>
    <t>=IF(ISNUMBER($L$6)=FALSE,"",
        IF(ISERROR(VLOOKUP($G15,DanaSehat!$L$13:$AK$56,N$4,FALSE))=TRUE,"",
              VLOOKUP($G15,DanaSehat!$L$13:$AK$56,N$4,FALSE)))</t>
  </si>
  <si>
    <t>=IF(ISNUMBER($L$6)=FALSE,"",
        IF(ISERROR(VLOOKUP($G15,DanaSehat!$L$13:$AK$56,O$4,FALSE))=TRUE,"",
              VLOOKUP($G15,DanaSehat!$L$13:$AK$56,O$4,FALSE)))</t>
  </si>
  <si>
    <t>=IF(ISNUMBER($L$6)=FALSE,"",
        IF(ISERROR(VLOOKUP($G15,DanaSehat!$L$13:$AK$56,P$4,FALSE))=TRUE,"",
              VLOOKUP($G15,DanaSehat!$L$13:$AK$56,P$4,FALSE)))</t>
  </si>
  <si>
    <t>=IF(ISNUMBER($L$6)=FALSE,"",
        IF(ISERROR(VLOOKUP($G15,DanaSehat!$L$13:$AK$56,Q$4,FALSE))=TRUE,"",
              VLOOKUP($G15,DanaSehat!$L$13:$AK$56,Q$4,FALSE)))</t>
  </si>
  <si>
    <t>=IF(ISNUMBER($L$6)=FALSE,"",
        IF(ISERROR(VLOOKUP($G15,DanaSehat!$L$13:$AK$56,R$4,FALSE))=TRUE,"",
              VLOOKUP($G15,DanaSehat!$L$13:$AK$56,R$4,FALSE)))</t>
  </si>
  <si>
    <t>=IF(ISNUMBER($L$6)=FALSE,"",
        IF(ISERROR(VLOOKUP($G15,DanaSehat!$L$13:$AK$56,S$4,FALSE))=TRUE,"",
              VLOOKUP($G15,DanaSehat!$L$13:$AK$56,S$4,FALSE)))</t>
  </si>
  <si>
    <t>=IF(ISNUMBER($L$6)=FALSE,"",
        IF(ISERROR(VLOOKUP($G15,DanaSehat!$L$13:$AK$56,T$4,FALSE))=TRUE,"",
              VLOOKUP($G15,DanaSehat!$L$13:$AK$56,T$4,FALSE)))</t>
  </si>
  <si>
    <t>=IF(ISNUMBER($L$6)=FALSE,"",
        IF(ISERROR(VLOOKUP($G15,DanaSehat!$L$13:$AK$56,U$4,FALSE))=TRUE,"",
              VLOOKUP($G15,DanaSehat!$L$13:$AK$56,U$4,FALSE)))</t>
  </si>
  <si>
    <t>=IF(ISNUMBER($L$6)=FALSE,"",
        IF(ISERROR(VLOOKUP($G15,DanaSehat!$L$13:$AK$56,V$4,FALSE))=TRUE,"",
              VLOOKUP($G15,DanaSehat!$L$13:$AK$56,V$4,FALSE)))</t>
  </si>
  <si>
    <t>=IF(ISNUMBER($L$6)=FALSE,"",
        IF(ISERROR(VLOOKUP($G15,DanaSehat!$L$13:$AK$56,W$4,FALSE))=TRUE,"",
              VLOOKUP($G15,DanaSehat!$L$13:$AK$56,W$4,FALSE)))</t>
  </si>
  <si>
    <t>=IF(ISNUMBER($L$6)=FALSE,"",
        IF(ISERROR(VLOOKUP($G15,DanaSehat!$L$13:$AK$56,X$4,FALSE))=TRUE,"",
              VLOOKUP($G15,DanaSehat!$L$13:$AK$56,X$4,FALSE)))</t>
  </si>
  <si>
    <t>=IF(ISNUMBER($L$6)=FALSE,"",
        IF(ISERROR(VLOOKUP($G15,DanaSehat!$L$13:$AK$56,Y$4,FALSE))=TRUE,"",
              VLOOKUP($G15,DanaSehat!$L$13:$AK$56,Y$4,FALSE)))</t>
  </si>
  <si>
    <t>=IF(ISNUMBER($L$6)=FALSE,"",
        IF(ISERROR(VLOOKUP($G15,DanaSehat!$L$13:$AK$56,Z$4,FALSE))=TRUE,"",
              VLOOKUP($G15,DanaSehat!$L$13:$AK$56,Z$4,FALSE)))</t>
  </si>
  <si>
    <t>=IF(ISNUMBER($L$6)=FALSE,"",
        IF(ISERROR(VLOOKUP($G15,DanaSehat!$L$13:$AK$56,AA$4,FALSE))=TRUE,"",
              VLOOKUP($G15,DanaSehat!$L$13:$AK$56,AA$4,FALSE)))</t>
  </si>
  <si>
    <t>=IF(ISNUMBER($L$6)=FALSE,"",
        IF(ISERROR(VLOOKUP($G15,DanaSehat!$L$13:$AK$56,AB$4,FALSE))=TRUE,"",
              VLOOKUP($G15,DanaSehat!$L$13:$AK$56,AB$4,FALSE)))</t>
  </si>
  <si>
    <t>=IF(ISNUMBER($L$6)=FALSE,"",
        IF(ISERROR(VLOOKUP($G15,DanaSehat!$L$13:$AK$56,AC$4,FALSE))=TRUE,"",
              VLOOKUP($G15,DanaSehat!$L$13:$AK$56,AC$4,FALSE)))</t>
  </si>
  <si>
    <t>=IF(ISNUMBER($L$6)=FALSE,"",
        IF(ISERROR(VLOOKUP($G15,DanaSehat!$L$13:$AK$56,AD$4,FALSE))=TRUE,"",
              VLOOKUP($G15,DanaSehat!$L$13:$AK$56,AD$4,FALSE)))</t>
  </si>
  <si>
    <t>=IF(ISNUMBER($L$6)=FALSE,"",
        IF(ISERROR(VLOOKUP($G15,DanaSehat!$L$13:$AK$56,AE$4,FALSE))=TRUE,"",
              VLOOKUP($G15,DanaSehat!$L$13:$AK$56,AE$4,FALSE)))</t>
  </si>
  <si>
    <t>=IF(ISNUMBER($L$6)=FALSE,"",
        IF(ISERROR(VLOOKUP($G15,DanaSehat!$L$13:$AK$56,AF$4,FALSE))=TRUE,"",
              VLOOKUP($G15,DanaSehat!$L$13:$AK$56,AF$4,FALSE)))</t>
  </si>
  <si>
    <t>=IF(ISNUMBER($L$6)=FALSE,"",
IF($C16=0,"",VLOOKUP($E16,DanaSehat!$H$13:$L$56,4,FALSE)))</t>
  </si>
  <si>
    <t>=IF(ISNUMBER($L$6)=FALSE,"",
IF($C16=0,"",VLOOKUP($E16,DanaSehat!$H$13:$L$56,5,FALSE)))</t>
  </si>
  <si>
    <t>=IF(ISNUMBER($L$6)=FALSE,"",
        IF(ISERROR(VLOOKUP($G16,DanaSehat!$L$13:$AK$56,I$4,FALSE))=TRUE,"",
              VLOOKUP($G16,DanaSehat!$L$13:$AK$56,I$4,FALSE)))</t>
  </si>
  <si>
    <t>=IF(ISNUMBER($L$6)=FALSE,"",
        IF(ISERROR(VLOOKUP($G16,DanaSehat!$L$13:$AK$56,J$4,FALSE))=TRUE,"",
              VLOOKUP($G16,DanaSehat!$L$13:$AK$56,J$4,FALSE)))</t>
  </si>
  <si>
    <t>=IF(ISNUMBER($L$6)=FALSE,"",
        IF(ISERROR(VLOOKUP($G16,DanaSehat!$L$13:$AK$56,K$4,FALSE))=TRUE,"",
              VLOOKUP($G16,DanaSehat!$L$13:$AK$56,K$4,FALSE)))</t>
  </si>
  <si>
    <t>=IF(ISNUMBER($L$6)=FALSE,"",
        IF(ISERROR(VLOOKUP($G16,DanaSehat!$L$13:$AK$56,L$4,FALSE))=TRUE,"",
              VLOOKUP($G16,DanaSehat!$L$13:$AK$56,L$4,FALSE)))</t>
  </si>
  <si>
    <t>=IF(ISNUMBER($L$6)=FALSE,"",
        IF(ISERROR(VLOOKUP($G16,DanaSehat!$L$13:$AK$56,M$4,FALSE))=TRUE,"",
              VLOOKUP($G16,DanaSehat!$L$13:$AK$56,M$4,FALSE)))</t>
  </si>
  <si>
    <t>=IF(ISNUMBER($L$6)=FALSE,"",
        IF(ISERROR(VLOOKUP($G16,DanaSehat!$L$13:$AK$56,N$4,FALSE))=TRUE,"",
              VLOOKUP($G16,DanaSehat!$L$13:$AK$56,N$4,FALSE)))</t>
  </si>
  <si>
    <t>=IF(ISNUMBER($L$6)=FALSE,"",
        IF(ISERROR(VLOOKUP($G16,DanaSehat!$L$13:$AK$56,O$4,FALSE))=TRUE,"",
              VLOOKUP($G16,DanaSehat!$L$13:$AK$56,O$4,FALSE)))</t>
  </si>
  <si>
    <t>=IF(ISNUMBER($L$6)=FALSE,"",
        IF(ISERROR(VLOOKUP($G16,DanaSehat!$L$13:$AK$56,P$4,FALSE))=TRUE,"",
              VLOOKUP($G16,DanaSehat!$L$13:$AK$56,P$4,FALSE)))</t>
  </si>
  <si>
    <t>=IF(ISNUMBER($L$6)=FALSE,"",
        IF(ISERROR(VLOOKUP($G16,DanaSehat!$L$13:$AK$56,Q$4,FALSE))=TRUE,"",
              VLOOKUP($G16,DanaSehat!$L$13:$AK$56,Q$4,FALSE)))</t>
  </si>
  <si>
    <t>=IF(ISNUMBER($L$6)=FALSE,"",
        IF(ISERROR(VLOOKUP($G16,DanaSehat!$L$13:$AK$56,R$4,FALSE))=TRUE,"",
              VLOOKUP($G16,DanaSehat!$L$13:$AK$56,R$4,FALSE)))</t>
  </si>
  <si>
    <t>=IF(ISNUMBER($L$6)=FALSE,"",
        IF(ISERROR(VLOOKUP($G16,DanaSehat!$L$13:$AK$56,S$4,FALSE))=TRUE,"",
              VLOOKUP($G16,DanaSehat!$L$13:$AK$56,S$4,FALSE)))</t>
  </si>
  <si>
    <t>=IF(ISNUMBER($L$6)=FALSE,"",
        IF(ISERROR(VLOOKUP($G16,DanaSehat!$L$13:$AK$56,T$4,FALSE))=TRUE,"",
              VLOOKUP($G16,DanaSehat!$L$13:$AK$56,T$4,FALSE)))</t>
  </si>
  <si>
    <t>=IF(ISNUMBER($L$6)=FALSE,"",
        IF(ISERROR(VLOOKUP($G16,DanaSehat!$L$13:$AK$56,U$4,FALSE))=TRUE,"",
              VLOOKUP($G16,DanaSehat!$L$13:$AK$56,U$4,FALSE)))</t>
  </si>
  <si>
    <t>=IF(ISNUMBER($L$6)=FALSE,"",
        IF(ISERROR(VLOOKUP($G16,DanaSehat!$L$13:$AK$56,V$4,FALSE))=TRUE,"",
              VLOOKUP($G16,DanaSehat!$L$13:$AK$56,V$4,FALSE)))</t>
  </si>
  <si>
    <t>=IF(ISNUMBER($L$6)=FALSE,"",
        IF(ISERROR(VLOOKUP($G16,DanaSehat!$L$13:$AK$56,W$4,FALSE))=TRUE,"",
              VLOOKUP($G16,DanaSehat!$L$13:$AK$56,W$4,FALSE)))</t>
  </si>
  <si>
    <t>=IF(ISNUMBER($L$6)=FALSE,"",
        IF(ISERROR(VLOOKUP($G16,DanaSehat!$L$13:$AK$56,X$4,FALSE))=TRUE,"",
              VLOOKUP($G16,DanaSehat!$L$13:$AK$56,X$4,FALSE)))</t>
  </si>
  <si>
    <t>=IF(ISNUMBER($L$6)=FALSE,"",
        IF(ISERROR(VLOOKUP($G16,DanaSehat!$L$13:$AK$56,Y$4,FALSE))=TRUE,"",
              VLOOKUP($G16,DanaSehat!$L$13:$AK$56,Y$4,FALSE)))</t>
  </si>
  <si>
    <t>=IF(ISNUMBER($L$6)=FALSE,"",
        IF(ISERROR(VLOOKUP($G16,DanaSehat!$L$13:$AK$56,Z$4,FALSE))=TRUE,"",
              VLOOKUP($G16,DanaSehat!$L$13:$AK$56,Z$4,FALSE)))</t>
  </si>
  <si>
    <t>=IF(ISNUMBER($L$6)=FALSE,"",
        IF(ISERROR(VLOOKUP($G16,DanaSehat!$L$13:$AK$56,AA$4,FALSE))=TRUE,"",
              VLOOKUP($G16,DanaSehat!$L$13:$AK$56,AA$4,FALSE)))</t>
  </si>
  <si>
    <t>=IF(ISNUMBER($L$6)=FALSE,"",
        IF(ISERROR(VLOOKUP($G16,DanaSehat!$L$13:$AK$56,AB$4,FALSE))=TRUE,"",
              VLOOKUP($G16,DanaSehat!$L$13:$AK$56,AB$4,FALSE)))</t>
  </si>
  <si>
    <t>=IF(ISNUMBER($L$6)=FALSE,"",
        IF(ISERROR(VLOOKUP($G16,DanaSehat!$L$13:$AK$56,AC$4,FALSE))=TRUE,"",
              VLOOKUP($G16,DanaSehat!$L$13:$AK$56,AC$4,FALSE)))</t>
  </si>
  <si>
    <t>=IF(ISNUMBER($L$6)=FALSE,"",
        IF(ISERROR(VLOOKUP($G16,DanaSehat!$L$13:$AK$56,AD$4,FALSE))=TRUE,"",
              VLOOKUP($G16,DanaSehat!$L$13:$AK$56,AD$4,FALSE)))</t>
  </si>
  <si>
    <t>=IF(ISNUMBER($L$6)=FALSE,"",
        IF(ISERROR(VLOOKUP($G16,DanaSehat!$L$13:$AK$56,AE$4,FALSE))=TRUE,"",
              VLOOKUP($G16,DanaSehat!$L$13:$AK$56,AE$4,FALSE)))</t>
  </si>
  <si>
    <t>=IF(ISNUMBER($L$6)=FALSE,"",
        IF(ISERROR(VLOOKUP($G16,DanaSehat!$L$13:$AK$56,AF$4,FALSE))=TRUE,"",
              VLOOKUP($G16,DanaSehat!$L$13:$AK$56,AF$4,FALSE)))</t>
  </si>
  <si>
    <t>=IF(ISNUMBER($L$6)=FALSE,"",
IF($C17=0,"",VLOOKUP($E17,DanaSehat!$H$13:$L$56,4,FALSE)))</t>
  </si>
  <si>
    <t>=IF(ISNUMBER($L$6)=FALSE,"",
IF($C17=0,"",VLOOKUP($E17,DanaSehat!$H$13:$L$56,5,FALSE)))</t>
  </si>
  <si>
    <t>=IF(ISNUMBER($L$6)=FALSE,"",
        IF(ISERROR(VLOOKUP($G17,DanaSehat!$L$13:$AK$56,I$4,FALSE))=TRUE,"",
              VLOOKUP($G17,DanaSehat!$L$13:$AK$56,I$4,FALSE)))</t>
  </si>
  <si>
    <t>=IF(ISNUMBER($L$6)=FALSE,"",
        IF(ISERROR(VLOOKUP($G17,DanaSehat!$L$13:$AK$56,J$4,FALSE))=TRUE,"",
              VLOOKUP($G17,DanaSehat!$L$13:$AK$56,J$4,FALSE)))</t>
  </si>
  <si>
    <t>=IF(ISNUMBER($L$6)=FALSE,"",
        IF(ISERROR(VLOOKUP($G17,DanaSehat!$L$13:$AK$56,K$4,FALSE))=TRUE,"",
              VLOOKUP($G17,DanaSehat!$L$13:$AK$56,K$4,FALSE)))</t>
  </si>
  <si>
    <t>=IF(ISNUMBER($L$6)=FALSE,"",
        IF(ISERROR(VLOOKUP($G17,DanaSehat!$L$13:$AK$56,L$4,FALSE))=TRUE,"",
              VLOOKUP($G17,DanaSehat!$L$13:$AK$56,L$4,FALSE)))</t>
  </si>
  <si>
    <t>=IF(ISNUMBER($L$6)=FALSE,"",
        IF(ISERROR(VLOOKUP($G17,DanaSehat!$L$13:$AK$56,M$4,FALSE))=TRUE,"",
              VLOOKUP($G17,DanaSehat!$L$13:$AK$56,M$4,FALSE)))</t>
  </si>
  <si>
    <t>=IF(ISNUMBER($L$6)=FALSE,"",
        IF(ISERROR(VLOOKUP($G17,DanaSehat!$L$13:$AK$56,N$4,FALSE))=TRUE,"",
              VLOOKUP($G17,DanaSehat!$L$13:$AK$56,N$4,FALSE)))</t>
  </si>
  <si>
    <t>=IF(ISNUMBER($L$6)=FALSE,"",
        IF(ISERROR(VLOOKUP($G17,DanaSehat!$L$13:$AK$56,O$4,FALSE))=TRUE,"",
              VLOOKUP($G17,DanaSehat!$L$13:$AK$56,O$4,FALSE)))</t>
  </si>
  <si>
    <t>=IF(ISNUMBER($L$6)=FALSE,"",
        IF(ISERROR(VLOOKUP($G17,DanaSehat!$L$13:$AK$56,P$4,FALSE))=TRUE,"",
              VLOOKUP($G17,DanaSehat!$L$13:$AK$56,P$4,FALSE)))</t>
  </si>
  <si>
    <t>=IF(ISNUMBER($L$6)=FALSE,"",
        IF(ISERROR(VLOOKUP($G17,DanaSehat!$L$13:$AK$56,Q$4,FALSE))=TRUE,"",
              VLOOKUP($G17,DanaSehat!$L$13:$AK$56,Q$4,FALSE)))</t>
  </si>
  <si>
    <t>=IF(ISNUMBER($L$6)=FALSE,"",
        IF(ISERROR(VLOOKUP($G17,DanaSehat!$L$13:$AK$56,R$4,FALSE))=TRUE,"",
              VLOOKUP($G17,DanaSehat!$L$13:$AK$56,R$4,FALSE)))</t>
  </si>
  <si>
    <t>=IF(ISNUMBER($L$6)=FALSE,"",
        IF(ISERROR(VLOOKUP($G17,DanaSehat!$L$13:$AK$56,S$4,FALSE))=TRUE,"",
              VLOOKUP($G17,DanaSehat!$L$13:$AK$56,S$4,FALSE)))</t>
  </si>
  <si>
    <t>=IF(ISNUMBER($L$6)=FALSE,"",
        IF(ISERROR(VLOOKUP($G17,DanaSehat!$L$13:$AK$56,T$4,FALSE))=TRUE,"",
              VLOOKUP($G17,DanaSehat!$L$13:$AK$56,T$4,FALSE)))</t>
  </si>
  <si>
    <t>=IF(ISNUMBER($L$6)=FALSE,"",
        IF(ISERROR(VLOOKUP($G17,DanaSehat!$L$13:$AK$56,U$4,FALSE))=TRUE,"",
              VLOOKUP($G17,DanaSehat!$L$13:$AK$56,U$4,FALSE)))</t>
  </si>
  <si>
    <t>=IF(ISNUMBER($L$6)=FALSE,"",
        IF(ISERROR(VLOOKUP($G17,DanaSehat!$L$13:$AK$56,V$4,FALSE))=TRUE,"",
              VLOOKUP($G17,DanaSehat!$L$13:$AK$56,V$4,FALSE)))</t>
  </si>
  <si>
    <t>=IF(ISNUMBER($L$6)=FALSE,"",
        IF(ISERROR(VLOOKUP($G17,DanaSehat!$L$13:$AK$56,W$4,FALSE))=TRUE,"",
              VLOOKUP($G17,DanaSehat!$L$13:$AK$56,W$4,FALSE)))</t>
  </si>
  <si>
    <t>=IF(ISNUMBER($L$6)=FALSE,"",
        IF(ISERROR(VLOOKUP($G17,DanaSehat!$L$13:$AK$56,X$4,FALSE))=TRUE,"",
              VLOOKUP($G17,DanaSehat!$L$13:$AK$56,X$4,FALSE)))</t>
  </si>
  <si>
    <t>=IF(ISNUMBER($L$6)=FALSE,"",
        IF(ISERROR(VLOOKUP($G17,DanaSehat!$L$13:$AK$56,Y$4,FALSE))=TRUE,"",
              VLOOKUP($G17,DanaSehat!$L$13:$AK$56,Y$4,FALSE)))</t>
  </si>
  <si>
    <t>=IF(ISNUMBER($L$6)=FALSE,"",
        IF(ISERROR(VLOOKUP($G17,DanaSehat!$L$13:$AK$56,Z$4,FALSE))=TRUE,"",
              VLOOKUP($G17,DanaSehat!$L$13:$AK$56,Z$4,FALSE)))</t>
  </si>
  <si>
    <t>=IF(ISNUMBER($L$6)=FALSE,"",
        IF(ISERROR(VLOOKUP($G17,DanaSehat!$L$13:$AK$56,AA$4,FALSE))=TRUE,"",
              VLOOKUP($G17,DanaSehat!$L$13:$AK$56,AA$4,FALSE)))</t>
  </si>
  <si>
    <t>=IF(ISNUMBER($L$6)=FALSE,"",
        IF(ISERROR(VLOOKUP($G17,DanaSehat!$L$13:$AK$56,AB$4,FALSE))=TRUE,"",
              VLOOKUP($G17,DanaSehat!$L$13:$AK$56,AB$4,FALSE)))</t>
  </si>
  <si>
    <t>=IF(ISNUMBER($L$6)=FALSE,"",
        IF(ISERROR(VLOOKUP($G17,DanaSehat!$L$13:$AK$56,AC$4,FALSE))=TRUE,"",
              VLOOKUP($G17,DanaSehat!$L$13:$AK$56,AC$4,FALSE)))</t>
  </si>
  <si>
    <t>=IF(ISNUMBER($L$6)=FALSE,"",
        IF(ISERROR(VLOOKUP($G17,DanaSehat!$L$13:$AK$56,AD$4,FALSE))=TRUE,"",
              VLOOKUP($G17,DanaSehat!$L$13:$AK$56,AD$4,FALSE)))</t>
  </si>
  <si>
    <t>=IF(ISNUMBER($L$6)=FALSE,"",
        IF(ISERROR(VLOOKUP($G17,DanaSehat!$L$13:$AK$56,AE$4,FALSE))=TRUE,"",
              VLOOKUP($G17,DanaSehat!$L$13:$AK$56,AE$4,FALSE)))</t>
  </si>
  <si>
    <t>=IF(ISNUMBER($L$6)=FALSE,"",
        IF(ISERROR(VLOOKUP($G17,DanaSehat!$L$13:$AK$56,AF$4,FALSE))=TRUE,"",
              VLOOKUP($G17,DanaSehat!$L$13:$AK$56,AF$4,FALSE)))</t>
  </si>
  <si>
    <t>=IF(ISNUMBER($L$6)=FALSE,"",
IF($C18=0,"",VLOOKUP($E18,DanaSehat!$H$13:$L$56,4,FALSE)))</t>
  </si>
  <si>
    <t>=IF(ISNUMBER($L$6)=FALSE,"",
IF($C18=0,"",VLOOKUP($E18,DanaSehat!$H$13:$L$56,5,FALSE)))</t>
  </si>
  <si>
    <t>=IF(ISNUMBER($L$6)=FALSE,"",
        IF(ISERROR(VLOOKUP($G18,DanaSehat!$L$13:$AK$56,I$4,FALSE))=TRUE,"",
              VLOOKUP($G18,DanaSehat!$L$13:$AK$56,I$4,FALSE)))</t>
  </si>
  <si>
    <t>=IF(ISNUMBER($L$6)=FALSE,"",
        IF(ISERROR(VLOOKUP($G18,DanaSehat!$L$13:$AK$56,J$4,FALSE))=TRUE,"",
              VLOOKUP($G18,DanaSehat!$L$13:$AK$56,J$4,FALSE)))</t>
  </si>
  <si>
    <t>=IF(ISNUMBER($L$6)=FALSE,"",
        IF(ISERROR(VLOOKUP($G18,DanaSehat!$L$13:$AK$56,K$4,FALSE))=TRUE,"",
              VLOOKUP($G18,DanaSehat!$L$13:$AK$56,K$4,FALSE)))</t>
  </si>
  <si>
    <t>=IF(ISNUMBER($L$6)=FALSE,"",
        IF(ISERROR(VLOOKUP($G18,DanaSehat!$L$13:$AK$56,L$4,FALSE))=TRUE,"",
              VLOOKUP($G18,DanaSehat!$L$13:$AK$56,L$4,FALSE)))</t>
  </si>
  <si>
    <t>=IF(ISNUMBER($L$6)=FALSE,"",
        IF(ISERROR(VLOOKUP($G18,DanaSehat!$L$13:$AK$56,M$4,FALSE))=TRUE,"",
              VLOOKUP($G18,DanaSehat!$L$13:$AK$56,M$4,FALSE)))</t>
  </si>
  <si>
    <t>=IF(ISNUMBER($L$6)=FALSE,"",
        IF(ISERROR(VLOOKUP($G18,DanaSehat!$L$13:$AK$56,N$4,FALSE))=TRUE,"",
              VLOOKUP($G18,DanaSehat!$L$13:$AK$56,N$4,FALSE)))</t>
  </si>
  <si>
    <t>=IF(ISNUMBER($L$6)=FALSE,"",
        IF(ISERROR(VLOOKUP($G18,DanaSehat!$L$13:$AK$56,O$4,FALSE))=TRUE,"",
              VLOOKUP($G18,DanaSehat!$L$13:$AK$56,O$4,FALSE)))</t>
  </si>
  <si>
    <t>=IF(ISNUMBER($L$6)=FALSE,"",
        IF(ISERROR(VLOOKUP($G18,DanaSehat!$L$13:$AK$56,P$4,FALSE))=TRUE,"",
              VLOOKUP($G18,DanaSehat!$L$13:$AK$56,P$4,FALSE)))</t>
  </si>
  <si>
    <t>=IF(ISNUMBER($L$6)=FALSE,"",
        IF(ISERROR(VLOOKUP($G18,DanaSehat!$L$13:$AK$56,Q$4,FALSE))=TRUE,"",
              VLOOKUP($G18,DanaSehat!$L$13:$AK$56,Q$4,FALSE)))</t>
  </si>
  <si>
    <t>=IF(ISNUMBER($L$6)=FALSE,"",
        IF(ISERROR(VLOOKUP($G18,DanaSehat!$L$13:$AK$56,R$4,FALSE))=TRUE,"",
              VLOOKUP($G18,DanaSehat!$L$13:$AK$56,R$4,FALSE)))</t>
  </si>
  <si>
    <t>=IF(ISNUMBER($L$6)=FALSE,"",
        IF(ISERROR(VLOOKUP($G18,DanaSehat!$L$13:$AK$56,S$4,FALSE))=TRUE,"",
              VLOOKUP($G18,DanaSehat!$L$13:$AK$56,S$4,FALSE)))</t>
  </si>
  <si>
    <t>=IF(ISNUMBER($L$6)=FALSE,"",
        IF(ISERROR(VLOOKUP($G18,DanaSehat!$L$13:$AK$56,T$4,FALSE))=TRUE,"",
              VLOOKUP($G18,DanaSehat!$L$13:$AK$56,T$4,FALSE)))</t>
  </si>
  <si>
    <t>=IF(ISNUMBER($L$6)=FALSE,"",
        IF(ISERROR(VLOOKUP($G18,DanaSehat!$L$13:$AK$56,U$4,FALSE))=TRUE,"",
              VLOOKUP($G18,DanaSehat!$L$13:$AK$56,U$4,FALSE)))</t>
  </si>
  <si>
    <t>=IF(ISNUMBER($L$6)=FALSE,"",
        IF(ISERROR(VLOOKUP($G18,DanaSehat!$L$13:$AK$56,V$4,FALSE))=TRUE,"",
              VLOOKUP($G18,DanaSehat!$L$13:$AK$56,V$4,FALSE)))</t>
  </si>
  <si>
    <t>=IF(ISNUMBER($L$6)=FALSE,"",
        IF(ISERROR(VLOOKUP($G18,DanaSehat!$L$13:$AK$56,W$4,FALSE))=TRUE,"",
              VLOOKUP($G18,DanaSehat!$L$13:$AK$56,W$4,FALSE)))</t>
  </si>
  <si>
    <t>=IF(ISNUMBER($L$6)=FALSE,"",
        IF(ISERROR(VLOOKUP($G18,DanaSehat!$L$13:$AK$56,X$4,FALSE))=TRUE,"",
              VLOOKUP($G18,DanaSehat!$L$13:$AK$56,X$4,FALSE)))</t>
  </si>
  <si>
    <t>=IF(ISNUMBER($L$6)=FALSE,"",
        IF(ISERROR(VLOOKUP($G18,DanaSehat!$L$13:$AK$56,Y$4,FALSE))=TRUE,"",
              VLOOKUP($G18,DanaSehat!$L$13:$AK$56,Y$4,FALSE)))</t>
  </si>
  <si>
    <t>=IF(ISNUMBER($L$6)=FALSE,"",
        IF(ISERROR(VLOOKUP($G18,DanaSehat!$L$13:$AK$56,Z$4,FALSE))=TRUE,"",
              VLOOKUP($G18,DanaSehat!$L$13:$AK$56,Z$4,FALSE)))</t>
  </si>
  <si>
    <t>=IF(ISNUMBER($L$6)=FALSE,"",
        IF(ISERROR(VLOOKUP($G18,DanaSehat!$L$13:$AK$56,AA$4,FALSE))=TRUE,"",
              VLOOKUP($G18,DanaSehat!$L$13:$AK$56,AA$4,FALSE)))</t>
  </si>
  <si>
    <t>=IF(ISNUMBER($L$6)=FALSE,"",
        IF(ISERROR(VLOOKUP($G18,DanaSehat!$L$13:$AK$56,AB$4,FALSE))=TRUE,"",
              VLOOKUP($G18,DanaSehat!$L$13:$AK$56,AB$4,FALSE)))</t>
  </si>
  <si>
    <t>=IF(ISNUMBER($L$6)=FALSE,"",
        IF(ISERROR(VLOOKUP($G18,DanaSehat!$L$13:$AK$56,AC$4,FALSE))=TRUE,"",
              VLOOKUP($G18,DanaSehat!$L$13:$AK$56,AC$4,FALSE)))</t>
  </si>
  <si>
    <t>=IF(ISNUMBER($L$6)=FALSE,"",
        IF(ISERROR(VLOOKUP($G18,DanaSehat!$L$13:$AK$56,AD$4,FALSE))=TRUE,"",
              VLOOKUP($G18,DanaSehat!$L$13:$AK$56,AD$4,FALSE)))</t>
  </si>
  <si>
    <t>=IF(ISNUMBER($L$6)=FALSE,"",
        IF(ISERROR(VLOOKUP($G18,DanaSehat!$L$13:$AK$56,AE$4,FALSE))=TRUE,"",
              VLOOKUP($G18,DanaSehat!$L$13:$AK$56,AE$4,FALSE)))</t>
  </si>
  <si>
    <t>=IF(ISNUMBER($L$6)=FALSE,"",
        IF(ISERROR(VLOOKUP($G18,DanaSehat!$L$13:$AK$56,AF$4,FALSE))=TRUE,"",
              VLOOKUP($G18,DanaSehat!$L$13:$AK$56,AF$4,FALSE)))</t>
  </si>
  <si>
    <t>=IF(ISNUMBER($L$6)=FALSE,"",
IF($C19=0,"",VLOOKUP($E19,DanaSehat!$H$13:$L$56,4,FALSE)))</t>
  </si>
  <si>
    <t>=IF(ISNUMBER($L$6)=FALSE,"",
IF($C19=0,"",VLOOKUP($E19,DanaSehat!$H$13:$L$56,5,FALSE)))</t>
  </si>
  <si>
    <t>=IF(ISNUMBER($L$6)=FALSE,"",
        IF(ISERROR(VLOOKUP($G19,DanaSehat!$L$13:$AK$56,I$4,FALSE))=TRUE,"",
              VLOOKUP($G19,DanaSehat!$L$13:$AK$56,I$4,FALSE)))</t>
  </si>
  <si>
    <t>=IF(ISNUMBER($L$6)=FALSE,"",
        IF(ISERROR(VLOOKUP($G19,DanaSehat!$L$13:$AK$56,J$4,FALSE))=TRUE,"",
              VLOOKUP($G19,DanaSehat!$L$13:$AK$56,J$4,FALSE)))</t>
  </si>
  <si>
    <t>=IF(ISNUMBER($L$6)=FALSE,"",
        IF(ISERROR(VLOOKUP($G19,DanaSehat!$L$13:$AK$56,K$4,FALSE))=TRUE,"",
              VLOOKUP($G19,DanaSehat!$L$13:$AK$56,K$4,FALSE)))</t>
  </si>
  <si>
    <t>=IF(ISNUMBER($L$6)=FALSE,"",
        IF(ISERROR(VLOOKUP($G19,DanaSehat!$L$13:$AK$56,L$4,FALSE))=TRUE,"",
              VLOOKUP($G19,DanaSehat!$L$13:$AK$56,L$4,FALSE)))</t>
  </si>
  <si>
    <t>=IF(ISNUMBER($L$6)=FALSE,"",
        IF(ISERROR(VLOOKUP($G19,DanaSehat!$L$13:$AK$56,M$4,FALSE))=TRUE,"",
              VLOOKUP($G19,DanaSehat!$L$13:$AK$56,M$4,FALSE)))</t>
  </si>
  <si>
    <t>=IF(ISNUMBER($L$6)=FALSE,"",
        IF(ISERROR(VLOOKUP($G19,DanaSehat!$L$13:$AK$56,N$4,FALSE))=TRUE,"",
              VLOOKUP($G19,DanaSehat!$L$13:$AK$56,N$4,FALSE)))</t>
  </si>
  <si>
    <t>=IF(ISNUMBER($L$6)=FALSE,"",
        IF(ISERROR(VLOOKUP($G19,DanaSehat!$L$13:$AK$56,O$4,FALSE))=TRUE,"",
              VLOOKUP($G19,DanaSehat!$L$13:$AK$56,O$4,FALSE)))</t>
  </si>
  <si>
    <t>=IF(ISNUMBER($L$6)=FALSE,"",
        IF(ISERROR(VLOOKUP($G19,DanaSehat!$L$13:$AK$56,P$4,FALSE))=TRUE,"",
              VLOOKUP($G19,DanaSehat!$L$13:$AK$56,P$4,FALSE)))</t>
  </si>
  <si>
    <t>=IF(ISNUMBER($L$6)=FALSE,"",
        IF(ISERROR(VLOOKUP($G19,DanaSehat!$L$13:$AK$56,Q$4,FALSE))=TRUE,"",
              VLOOKUP($G19,DanaSehat!$L$13:$AK$56,Q$4,FALSE)))</t>
  </si>
  <si>
    <t>=IF(ISNUMBER($L$6)=FALSE,"",
        IF(ISERROR(VLOOKUP($G19,DanaSehat!$L$13:$AK$56,R$4,FALSE))=TRUE,"",
              VLOOKUP($G19,DanaSehat!$L$13:$AK$56,R$4,FALSE)))</t>
  </si>
  <si>
    <t>=IF(ISNUMBER($L$6)=FALSE,"",
        IF(ISERROR(VLOOKUP($G19,DanaSehat!$L$13:$AK$56,S$4,FALSE))=TRUE,"",
              VLOOKUP($G19,DanaSehat!$L$13:$AK$56,S$4,FALSE)))</t>
  </si>
  <si>
    <t>=IF(ISNUMBER($L$6)=FALSE,"",
        IF(ISERROR(VLOOKUP($G19,DanaSehat!$L$13:$AK$56,T$4,FALSE))=TRUE,"",
              VLOOKUP($G19,DanaSehat!$L$13:$AK$56,T$4,FALSE)))</t>
  </si>
  <si>
    <t>=IF(ISNUMBER($L$6)=FALSE,"",
        IF(ISERROR(VLOOKUP($G19,DanaSehat!$L$13:$AK$56,U$4,FALSE))=TRUE,"",
              VLOOKUP($G19,DanaSehat!$L$13:$AK$56,U$4,FALSE)))</t>
  </si>
  <si>
    <t>=IF(ISNUMBER($L$6)=FALSE,"",
        IF(ISERROR(VLOOKUP($G19,DanaSehat!$L$13:$AK$56,V$4,FALSE))=TRUE,"",
              VLOOKUP($G19,DanaSehat!$L$13:$AK$56,V$4,FALSE)))</t>
  </si>
  <si>
    <t>=IF(ISNUMBER($L$6)=FALSE,"",
        IF(ISERROR(VLOOKUP($G19,DanaSehat!$L$13:$AK$56,W$4,FALSE))=TRUE,"",
              VLOOKUP($G19,DanaSehat!$L$13:$AK$56,W$4,FALSE)))</t>
  </si>
  <si>
    <t>=IF(ISNUMBER($L$6)=FALSE,"",
        IF(ISERROR(VLOOKUP($G19,DanaSehat!$L$13:$AK$56,X$4,FALSE))=TRUE,"",
              VLOOKUP($G19,DanaSehat!$L$13:$AK$56,X$4,FALSE)))</t>
  </si>
  <si>
    <t>=IF(ISNUMBER($L$6)=FALSE,"",
        IF(ISERROR(VLOOKUP($G19,DanaSehat!$L$13:$AK$56,Y$4,FALSE))=TRUE,"",
              VLOOKUP($G19,DanaSehat!$L$13:$AK$56,Y$4,FALSE)))</t>
  </si>
  <si>
    <t>=IF(ISNUMBER($L$6)=FALSE,"",
        IF(ISERROR(VLOOKUP($G19,DanaSehat!$L$13:$AK$56,Z$4,FALSE))=TRUE,"",
              VLOOKUP($G19,DanaSehat!$L$13:$AK$56,Z$4,FALSE)))</t>
  </si>
  <si>
    <t>=IF(ISNUMBER($L$6)=FALSE,"",
        IF(ISERROR(VLOOKUP($G19,DanaSehat!$L$13:$AK$56,AA$4,FALSE))=TRUE,"",
              VLOOKUP($G19,DanaSehat!$L$13:$AK$56,AA$4,FALSE)))</t>
  </si>
  <si>
    <t>=IF(ISNUMBER($L$6)=FALSE,"",
        IF(ISERROR(VLOOKUP($G19,DanaSehat!$L$13:$AK$56,AB$4,FALSE))=TRUE,"",
              VLOOKUP($G19,DanaSehat!$L$13:$AK$56,AB$4,FALSE)))</t>
  </si>
  <si>
    <t>=IF(ISNUMBER($L$6)=FALSE,"",
        IF(ISERROR(VLOOKUP($G19,DanaSehat!$L$13:$AK$56,AC$4,FALSE))=TRUE,"",
              VLOOKUP($G19,DanaSehat!$L$13:$AK$56,AC$4,FALSE)))</t>
  </si>
  <si>
    <t>=IF(ISNUMBER($L$6)=FALSE,"",
        IF(ISERROR(VLOOKUP($G19,DanaSehat!$L$13:$AK$56,AD$4,FALSE))=TRUE,"",
              VLOOKUP($G19,DanaSehat!$L$13:$AK$56,AD$4,FALSE)))</t>
  </si>
  <si>
    <t>=IF(ISNUMBER($L$6)=FALSE,"",
        IF(ISERROR(VLOOKUP($G19,DanaSehat!$L$13:$AK$56,AE$4,FALSE))=TRUE,"",
              VLOOKUP($G19,DanaSehat!$L$13:$AK$56,AE$4,FALSE)))</t>
  </si>
  <si>
    <t>=IF(ISNUMBER($L$6)=FALSE,"",
        IF(ISERROR(VLOOKUP($G19,DanaSehat!$L$13:$AK$56,AF$4,FALSE))=TRUE,"",
              VLOOKUP($G19,DanaSehat!$L$13:$AK$56,AF$4,FALSE)))</t>
  </si>
  <si>
    <t>=IF(ISNUMBER($L$6)=FALSE,"",
IF($C20=0,"",VLOOKUP($E20,DanaSehat!$H$13:$L$56,4,FALSE)))</t>
  </si>
  <si>
    <t>=IF(ISNUMBER($L$6)=FALSE,"",
IF($C20=0,"",VLOOKUP($E20,DanaSehat!$H$13:$L$56,5,FALSE)))</t>
  </si>
  <si>
    <t>=IF(ISNUMBER($L$6)=FALSE,"",
        IF(ISERROR(VLOOKUP($G20,DanaSehat!$L$13:$AK$56,I$4,FALSE))=TRUE,"",
              VLOOKUP($G20,DanaSehat!$L$13:$AK$56,I$4,FALSE)))</t>
  </si>
  <si>
    <t>=IF(ISNUMBER($L$6)=FALSE,"",
        IF(ISERROR(VLOOKUP($G20,DanaSehat!$L$13:$AK$56,J$4,FALSE))=TRUE,"",
              VLOOKUP($G20,DanaSehat!$L$13:$AK$56,J$4,FALSE)))</t>
  </si>
  <si>
    <t>=IF(ISNUMBER($L$6)=FALSE,"",
        IF(ISERROR(VLOOKUP($G20,DanaSehat!$L$13:$AK$56,K$4,FALSE))=TRUE,"",
              VLOOKUP($G20,DanaSehat!$L$13:$AK$56,K$4,FALSE)))</t>
  </si>
  <si>
    <t>=IF(ISNUMBER($L$6)=FALSE,"",
        IF(ISERROR(VLOOKUP($G20,DanaSehat!$L$13:$AK$56,L$4,FALSE))=TRUE,"",
              VLOOKUP($G20,DanaSehat!$L$13:$AK$56,L$4,FALSE)))</t>
  </si>
  <si>
    <t>=IF(ISNUMBER($L$6)=FALSE,"",
        IF(ISERROR(VLOOKUP($G20,DanaSehat!$L$13:$AK$56,M$4,FALSE))=TRUE,"",
              VLOOKUP($G20,DanaSehat!$L$13:$AK$56,M$4,FALSE)))</t>
  </si>
  <si>
    <t>=IF(ISNUMBER($L$6)=FALSE,"",
        IF(ISERROR(VLOOKUP($G20,DanaSehat!$L$13:$AK$56,N$4,FALSE))=TRUE,"",
              VLOOKUP($G20,DanaSehat!$L$13:$AK$56,N$4,FALSE)))</t>
  </si>
  <si>
    <t>=IF(ISNUMBER($L$6)=FALSE,"",
        IF(ISERROR(VLOOKUP($G20,DanaSehat!$L$13:$AK$56,O$4,FALSE))=TRUE,"",
              VLOOKUP($G20,DanaSehat!$L$13:$AK$56,O$4,FALSE)))</t>
  </si>
  <si>
    <t>=IF(ISNUMBER($L$6)=FALSE,"",
        IF(ISERROR(VLOOKUP($G20,DanaSehat!$L$13:$AK$56,P$4,FALSE))=TRUE,"",
              VLOOKUP($G20,DanaSehat!$L$13:$AK$56,P$4,FALSE)))</t>
  </si>
  <si>
    <t>=IF(ISNUMBER($L$6)=FALSE,"",
        IF(ISERROR(VLOOKUP($G20,DanaSehat!$L$13:$AK$56,Q$4,FALSE))=TRUE,"",
              VLOOKUP($G20,DanaSehat!$L$13:$AK$56,Q$4,FALSE)))</t>
  </si>
  <si>
    <t>=IF(ISNUMBER($L$6)=FALSE,"",
        IF(ISERROR(VLOOKUP($G20,DanaSehat!$L$13:$AK$56,R$4,FALSE))=TRUE,"",
              VLOOKUP($G20,DanaSehat!$L$13:$AK$56,R$4,FALSE)))</t>
  </si>
  <si>
    <t>=IF(ISNUMBER($L$6)=FALSE,"",
        IF(ISERROR(VLOOKUP($G20,DanaSehat!$L$13:$AK$56,S$4,FALSE))=TRUE,"",
              VLOOKUP($G20,DanaSehat!$L$13:$AK$56,S$4,FALSE)))</t>
  </si>
  <si>
    <t>=IF(ISNUMBER($L$6)=FALSE,"",
        IF(ISERROR(VLOOKUP($G20,DanaSehat!$L$13:$AK$56,T$4,FALSE))=TRUE,"",
              VLOOKUP($G20,DanaSehat!$L$13:$AK$56,T$4,FALSE)))</t>
  </si>
  <si>
    <t>=IF(ISNUMBER($L$6)=FALSE,"",
        IF(ISERROR(VLOOKUP($G20,DanaSehat!$L$13:$AK$56,U$4,FALSE))=TRUE,"",
              VLOOKUP($G20,DanaSehat!$L$13:$AK$56,U$4,FALSE)))</t>
  </si>
  <si>
    <t>=IF(ISNUMBER($L$6)=FALSE,"",
        IF(ISERROR(VLOOKUP($G20,DanaSehat!$L$13:$AK$56,V$4,FALSE))=TRUE,"",
              VLOOKUP($G20,DanaSehat!$L$13:$AK$56,V$4,FALSE)))</t>
  </si>
  <si>
    <t>=IF(ISNUMBER($L$6)=FALSE,"",
        IF(ISERROR(VLOOKUP($G20,DanaSehat!$L$13:$AK$56,W$4,FALSE))=TRUE,"",
              VLOOKUP($G20,DanaSehat!$L$13:$AK$56,W$4,FALSE)))</t>
  </si>
  <si>
    <t>=IF(ISNUMBER($L$6)=FALSE,"",
        IF(ISERROR(VLOOKUP($G20,DanaSehat!$L$13:$AK$56,X$4,FALSE))=TRUE,"",
              VLOOKUP($G20,DanaSehat!$L$13:$AK$56,X$4,FALSE)))</t>
  </si>
  <si>
    <t>=IF(ISNUMBER($L$6)=FALSE,"",
        IF(ISERROR(VLOOKUP($G20,DanaSehat!$L$13:$AK$56,Y$4,FALSE))=TRUE,"",
              VLOOKUP($G20,DanaSehat!$L$13:$AK$56,Y$4,FALSE)))</t>
  </si>
  <si>
    <t>=IF(ISNUMBER($L$6)=FALSE,"",
        IF(ISERROR(VLOOKUP($G20,DanaSehat!$L$13:$AK$56,Z$4,FALSE))=TRUE,"",
              VLOOKUP($G20,DanaSehat!$L$13:$AK$56,Z$4,FALSE)))</t>
  </si>
  <si>
    <t>=IF(ISNUMBER($L$6)=FALSE,"",
        IF(ISERROR(VLOOKUP($G20,DanaSehat!$L$13:$AK$56,AA$4,FALSE))=TRUE,"",
              VLOOKUP($G20,DanaSehat!$L$13:$AK$56,AA$4,FALSE)))</t>
  </si>
  <si>
    <t>=IF(ISNUMBER($L$6)=FALSE,"",
        IF(ISERROR(VLOOKUP($G20,DanaSehat!$L$13:$AK$56,AB$4,FALSE))=TRUE,"",
              VLOOKUP($G20,DanaSehat!$L$13:$AK$56,AB$4,FALSE)))</t>
  </si>
  <si>
    <t>=IF(ISNUMBER($L$6)=FALSE,"",
        IF(ISERROR(VLOOKUP($G20,DanaSehat!$L$13:$AK$56,AC$4,FALSE))=TRUE,"",
              VLOOKUP($G20,DanaSehat!$L$13:$AK$56,AC$4,FALSE)))</t>
  </si>
  <si>
    <t>=IF(ISNUMBER($L$6)=FALSE,"",
        IF(ISERROR(VLOOKUP($G20,DanaSehat!$L$13:$AK$56,AD$4,FALSE))=TRUE,"",
              VLOOKUP($G20,DanaSehat!$L$13:$AK$56,AD$4,FALSE)))</t>
  </si>
  <si>
    <t>=IF(ISNUMBER($L$6)=FALSE,"",
        IF(ISERROR(VLOOKUP($G20,DanaSehat!$L$13:$AK$56,AE$4,FALSE))=TRUE,"",
              VLOOKUP($G20,DanaSehat!$L$13:$AK$56,AE$4,FALSE)))</t>
  </si>
  <si>
    <t>=IF(ISNUMBER($L$6)=FALSE,"",
        IF(ISERROR(VLOOKUP($G20,DanaSehat!$L$13:$AK$56,AF$4,FALSE))=TRUE,"",
              VLOOKUP($G20,DanaSehat!$L$13:$AK$56,AF$4,FALSE)))</t>
  </si>
  <si>
    <t>=IF(ISNUMBER($L$6)=FALSE,"",
IF($C21=0,"",VLOOKUP($E21,DanaSehat!$H$13:$L$56,4,FALSE)))</t>
  </si>
  <si>
    <t>=IF(ISNUMBER($L$6)=FALSE,"",
IF($C21=0,"",VLOOKUP($E21,DanaSehat!$H$13:$L$56,5,FALSE)))</t>
  </si>
  <si>
    <t>=IF(ISNUMBER($L$6)=FALSE,"",
        IF(ISERROR(VLOOKUP($G21,DanaSehat!$L$13:$AK$56,I$4,FALSE))=TRUE,"",
              VLOOKUP($G21,DanaSehat!$L$13:$AK$56,I$4,FALSE)))</t>
  </si>
  <si>
    <t>=IF(ISNUMBER($L$6)=FALSE,"",
        IF(ISERROR(VLOOKUP($G21,DanaSehat!$L$13:$AK$56,J$4,FALSE))=TRUE,"",
              VLOOKUP($G21,DanaSehat!$L$13:$AK$56,J$4,FALSE)))</t>
  </si>
  <si>
    <t>=IF(ISNUMBER($L$6)=FALSE,"",
        IF(ISERROR(VLOOKUP($G21,DanaSehat!$L$13:$AK$56,K$4,FALSE))=TRUE,"",
              VLOOKUP($G21,DanaSehat!$L$13:$AK$56,K$4,FALSE)))</t>
  </si>
  <si>
    <t>=IF(ISNUMBER($L$6)=FALSE,"",
        IF(ISERROR(VLOOKUP($G21,DanaSehat!$L$13:$AK$56,L$4,FALSE))=TRUE,"",
              VLOOKUP($G21,DanaSehat!$L$13:$AK$56,L$4,FALSE)))</t>
  </si>
  <si>
    <t>=IF(ISNUMBER($L$6)=FALSE,"",
        IF(ISERROR(VLOOKUP($G21,DanaSehat!$L$13:$AK$56,M$4,FALSE))=TRUE,"",
              VLOOKUP($G21,DanaSehat!$L$13:$AK$56,M$4,FALSE)))</t>
  </si>
  <si>
    <t>=IF(ISNUMBER($L$6)=FALSE,"",
        IF(ISERROR(VLOOKUP($G21,DanaSehat!$L$13:$AK$56,N$4,FALSE))=TRUE,"",
              VLOOKUP($G21,DanaSehat!$L$13:$AK$56,N$4,FALSE)))</t>
  </si>
  <si>
    <t>=IF(ISNUMBER($L$6)=FALSE,"",
        IF(ISERROR(VLOOKUP($G21,DanaSehat!$L$13:$AK$56,O$4,FALSE))=TRUE,"",
              VLOOKUP($G21,DanaSehat!$L$13:$AK$56,O$4,FALSE)))</t>
  </si>
  <si>
    <t>=IF(ISNUMBER($L$6)=FALSE,"",
        IF(ISERROR(VLOOKUP($G21,DanaSehat!$L$13:$AK$56,P$4,FALSE))=TRUE,"",
              VLOOKUP($G21,DanaSehat!$L$13:$AK$56,P$4,FALSE)))</t>
  </si>
  <si>
    <t>=IF(ISNUMBER($L$6)=FALSE,"",
        IF(ISERROR(VLOOKUP($G21,DanaSehat!$L$13:$AK$56,Q$4,FALSE))=TRUE,"",
              VLOOKUP($G21,DanaSehat!$L$13:$AK$56,Q$4,FALSE)))</t>
  </si>
  <si>
    <t>=IF(ISNUMBER($L$6)=FALSE,"",
        IF(ISERROR(VLOOKUP($G21,DanaSehat!$L$13:$AK$56,R$4,FALSE))=TRUE,"",
              VLOOKUP($G21,DanaSehat!$L$13:$AK$56,R$4,FALSE)))</t>
  </si>
  <si>
    <t>=IF(ISNUMBER($L$6)=FALSE,"",
        IF(ISERROR(VLOOKUP($G21,DanaSehat!$L$13:$AK$56,S$4,FALSE))=TRUE,"",
              VLOOKUP($G21,DanaSehat!$L$13:$AK$56,S$4,FALSE)))</t>
  </si>
  <si>
    <t>=IF(ISNUMBER($L$6)=FALSE,"",
        IF(ISERROR(VLOOKUP($G21,DanaSehat!$L$13:$AK$56,T$4,FALSE))=TRUE,"",
              VLOOKUP($G21,DanaSehat!$L$13:$AK$56,T$4,FALSE)))</t>
  </si>
  <si>
    <t>=IF(ISNUMBER($L$6)=FALSE,"",
        IF(ISERROR(VLOOKUP($G21,DanaSehat!$L$13:$AK$56,U$4,FALSE))=TRUE,"",
              VLOOKUP($G21,DanaSehat!$L$13:$AK$56,U$4,FALSE)))</t>
  </si>
  <si>
    <t>=IF(ISNUMBER($L$6)=FALSE,"",
        IF(ISERROR(VLOOKUP($G21,DanaSehat!$L$13:$AK$56,V$4,FALSE))=TRUE,"",
              VLOOKUP($G21,DanaSehat!$L$13:$AK$56,V$4,FALSE)))</t>
  </si>
  <si>
    <t>=IF(ISNUMBER($L$6)=FALSE,"",
        IF(ISERROR(VLOOKUP($G21,DanaSehat!$L$13:$AK$56,W$4,FALSE))=TRUE,"",
              VLOOKUP($G21,DanaSehat!$L$13:$AK$56,W$4,FALSE)))</t>
  </si>
  <si>
    <t>=IF(ISNUMBER($L$6)=FALSE,"",
        IF(ISERROR(VLOOKUP($G21,DanaSehat!$L$13:$AK$56,X$4,FALSE))=TRUE,"",
              VLOOKUP($G21,DanaSehat!$L$13:$AK$56,X$4,FALSE)))</t>
  </si>
  <si>
    <t>=IF(ISNUMBER($L$6)=FALSE,"",
        IF(ISERROR(VLOOKUP($G21,DanaSehat!$L$13:$AK$56,Y$4,FALSE))=TRUE,"",
              VLOOKUP($G21,DanaSehat!$L$13:$AK$56,Y$4,FALSE)))</t>
  </si>
  <si>
    <t>=IF(ISNUMBER($L$6)=FALSE,"",
        IF(ISERROR(VLOOKUP($G21,DanaSehat!$L$13:$AK$56,Z$4,FALSE))=TRUE,"",
              VLOOKUP($G21,DanaSehat!$L$13:$AK$56,Z$4,FALSE)))</t>
  </si>
  <si>
    <t>=IF(ISNUMBER($L$6)=FALSE,"",
        IF(ISERROR(VLOOKUP($G21,DanaSehat!$L$13:$AK$56,AA$4,FALSE))=TRUE,"",
              VLOOKUP($G21,DanaSehat!$L$13:$AK$56,AA$4,FALSE)))</t>
  </si>
  <si>
    <t>=IF(ISNUMBER($L$6)=FALSE,"",
        IF(ISERROR(VLOOKUP($G21,DanaSehat!$L$13:$AK$56,AB$4,FALSE))=TRUE,"",
              VLOOKUP($G21,DanaSehat!$L$13:$AK$56,AB$4,FALSE)))</t>
  </si>
  <si>
    <t>=IF(ISNUMBER($L$6)=FALSE,"",
        IF(ISERROR(VLOOKUP($G21,DanaSehat!$L$13:$AK$56,AC$4,FALSE))=TRUE,"",
              VLOOKUP($G21,DanaSehat!$L$13:$AK$56,AC$4,FALSE)))</t>
  </si>
  <si>
    <t>=IF(ISNUMBER($L$6)=FALSE,"",
        IF(ISERROR(VLOOKUP($G21,DanaSehat!$L$13:$AK$56,AD$4,FALSE))=TRUE,"",
              VLOOKUP($G21,DanaSehat!$L$13:$AK$56,AD$4,FALSE)))</t>
  </si>
  <si>
    <t>=IF(ISNUMBER($L$6)=FALSE,"",
        IF(ISERROR(VLOOKUP($G21,DanaSehat!$L$13:$AK$56,AE$4,FALSE))=TRUE,"",
              VLOOKUP($G21,DanaSehat!$L$13:$AK$56,AE$4,FALSE)))</t>
  </si>
  <si>
    <t>=IF(ISNUMBER($L$6)=FALSE,"",
        IF(ISERROR(VLOOKUP($G21,DanaSehat!$L$13:$AK$56,AF$4,FALSE))=TRUE,"",
              VLOOKUP($G21,DanaSehat!$L$13:$AK$56,AF$4,FALSE)))</t>
  </si>
  <si>
    <t>=IF(ISNUMBER($L$6)=FALSE,"",
IF($C22=0,"",VLOOKUP($E22,DanaSehat!$H$13:$L$56,4,FALSE)))</t>
  </si>
  <si>
    <t>=IF(ISNUMBER($L$6)=FALSE,"",
IF($C22=0,"",VLOOKUP($E22,DanaSehat!$H$13:$L$56,5,FALSE)))</t>
  </si>
  <si>
    <t>=IF(ISNUMBER($L$6)=FALSE,"",
        IF(ISERROR(VLOOKUP($G22,DanaSehat!$L$13:$AK$56,I$4,FALSE))=TRUE,"",
              VLOOKUP($G22,DanaSehat!$L$13:$AK$56,I$4,FALSE)))</t>
  </si>
  <si>
    <t>=IF(ISNUMBER($L$6)=FALSE,"",
        IF(ISERROR(VLOOKUP($G22,DanaSehat!$L$13:$AK$56,J$4,FALSE))=TRUE,"",
              VLOOKUP($G22,DanaSehat!$L$13:$AK$56,J$4,FALSE)))</t>
  </si>
  <si>
    <t>=IF(ISNUMBER($L$6)=FALSE,"",
        IF(ISERROR(VLOOKUP($G22,DanaSehat!$L$13:$AK$56,K$4,FALSE))=TRUE,"",
              VLOOKUP($G22,DanaSehat!$L$13:$AK$56,K$4,FALSE)))</t>
  </si>
  <si>
    <t>=IF(ISNUMBER($L$6)=FALSE,"",
        IF(ISERROR(VLOOKUP($G22,DanaSehat!$L$13:$AK$56,L$4,FALSE))=TRUE,"",
              VLOOKUP($G22,DanaSehat!$L$13:$AK$56,L$4,FALSE)))</t>
  </si>
  <si>
    <t>=IF(ISNUMBER($L$6)=FALSE,"",
        IF(ISERROR(VLOOKUP($G22,DanaSehat!$L$13:$AK$56,M$4,FALSE))=TRUE,"",
              VLOOKUP($G22,DanaSehat!$L$13:$AK$56,M$4,FALSE)))</t>
  </si>
  <si>
    <t>=IF(ISNUMBER($L$6)=FALSE,"",
        IF(ISERROR(VLOOKUP($G22,DanaSehat!$L$13:$AK$56,N$4,FALSE))=TRUE,"",
              VLOOKUP($G22,DanaSehat!$L$13:$AK$56,N$4,FALSE)))</t>
  </si>
  <si>
    <t>=IF(ISNUMBER($L$6)=FALSE,"",
        IF(ISERROR(VLOOKUP($G22,DanaSehat!$L$13:$AK$56,O$4,FALSE))=TRUE,"",
              VLOOKUP($G22,DanaSehat!$L$13:$AK$56,O$4,FALSE)))</t>
  </si>
  <si>
    <t>=IF(ISNUMBER($L$6)=FALSE,"",
        IF(ISERROR(VLOOKUP($G22,DanaSehat!$L$13:$AK$56,P$4,FALSE))=TRUE,"",
              VLOOKUP($G22,DanaSehat!$L$13:$AK$56,P$4,FALSE)))</t>
  </si>
  <si>
    <t>=IF(ISNUMBER($L$6)=FALSE,"",
        IF(ISERROR(VLOOKUP($G22,DanaSehat!$L$13:$AK$56,Q$4,FALSE))=TRUE,"",
              VLOOKUP($G22,DanaSehat!$L$13:$AK$56,Q$4,FALSE)))</t>
  </si>
  <si>
    <t>=IF(ISNUMBER($L$6)=FALSE,"",
        IF(ISERROR(VLOOKUP($G22,DanaSehat!$L$13:$AK$56,R$4,FALSE))=TRUE,"",
              VLOOKUP($G22,DanaSehat!$L$13:$AK$56,R$4,FALSE)))</t>
  </si>
  <si>
    <t>=IF(ISNUMBER($L$6)=FALSE,"",
        IF(ISERROR(VLOOKUP($G22,DanaSehat!$L$13:$AK$56,S$4,FALSE))=TRUE,"",
              VLOOKUP($G22,DanaSehat!$L$13:$AK$56,S$4,FALSE)))</t>
  </si>
  <si>
    <t>=IF(ISNUMBER($L$6)=FALSE,"",
        IF(ISERROR(VLOOKUP($G22,DanaSehat!$L$13:$AK$56,T$4,FALSE))=TRUE,"",
              VLOOKUP($G22,DanaSehat!$L$13:$AK$56,T$4,FALSE)))</t>
  </si>
  <si>
    <t>=IF(ISNUMBER($L$6)=FALSE,"",
        IF(ISERROR(VLOOKUP($G22,DanaSehat!$L$13:$AK$56,U$4,FALSE))=TRUE,"",
              VLOOKUP($G22,DanaSehat!$L$13:$AK$56,U$4,FALSE)))</t>
  </si>
  <si>
    <t>=IF(ISNUMBER($L$6)=FALSE,"",
        IF(ISERROR(VLOOKUP($G22,DanaSehat!$L$13:$AK$56,V$4,FALSE))=TRUE,"",
              VLOOKUP($G22,DanaSehat!$L$13:$AK$56,V$4,FALSE)))</t>
  </si>
  <si>
    <t>=IF(ISNUMBER($L$6)=FALSE,"",
        IF(ISERROR(VLOOKUP($G22,DanaSehat!$L$13:$AK$56,W$4,FALSE))=TRUE,"",
              VLOOKUP($G22,DanaSehat!$L$13:$AK$56,W$4,FALSE)))</t>
  </si>
  <si>
    <t>=IF(ISNUMBER($L$6)=FALSE,"",
        IF(ISERROR(VLOOKUP($G22,DanaSehat!$L$13:$AK$56,X$4,FALSE))=TRUE,"",
              VLOOKUP($G22,DanaSehat!$L$13:$AK$56,X$4,FALSE)))</t>
  </si>
  <si>
    <t>=IF(ISNUMBER($L$6)=FALSE,"",
        IF(ISERROR(VLOOKUP($G22,DanaSehat!$L$13:$AK$56,Y$4,FALSE))=TRUE,"",
              VLOOKUP($G22,DanaSehat!$L$13:$AK$56,Y$4,FALSE)))</t>
  </si>
  <si>
    <t>=IF(ISNUMBER($L$6)=FALSE,"",
        IF(ISERROR(VLOOKUP($G22,DanaSehat!$L$13:$AK$56,Z$4,FALSE))=TRUE,"",
              VLOOKUP($G22,DanaSehat!$L$13:$AK$56,Z$4,FALSE)))</t>
  </si>
  <si>
    <t>=IF(ISNUMBER($L$6)=FALSE,"",
        IF(ISERROR(VLOOKUP($G22,DanaSehat!$L$13:$AK$56,AA$4,FALSE))=TRUE,"",
              VLOOKUP($G22,DanaSehat!$L$13:$AK$56,AA$4,FALSE)))</t>
  </si>
  <si>
    <t>=IF(ISNUMBER($L$6)=FALSE,"",
        IF(ISERROR(VLOOKUP($G22,DanaSehat!$L$13:$AK$56,AB$4,FALSE))=TRUE,"",
              VLOOKUP($G22,DanaSehat!$L$13:$AK$56,AB$4,FALSE)))</t>
  </si>
  <si>
    <t>=IF(ISNUMBER($L$6)=FALSE,"",
        IF(ISERROR(VLOOKUP($G22,DanaSehat!$L$13:$AK$56,AC$4,FALSE))=TRUE,"",
              VLOOKUP($G22,DanaSehat!$L$13:$AK$56,AC$4,FALSE)))</t>
  </si>
  <si>
    <t>=IF(ISNUMBER($L$6)=FALSE,"",
        IF(ISERROR(VLOOKUP($G22,DanaSehat!$L$13:$AK$56,AD$4,FALSE))=TRUE,"",
              VLOOKUP($G22,DanaSehat!$L$13:$AK$56,AD$4,FALSE)))</t>
  </si>
  <si>
    <t>=IF(ISNUMBER($L$6)=FALSE,"",
        IF(ISERROR(VLOOKUP($G22,DanaSehat!$L$13:$AK$56,AE$4,FALSE))=TRUE,"",
              VLOOKUP($G22,DanaSehat!$L$13:$AK$56,AE$4,FALSE)))</t>
  </si>
  <si>
    <t>=IF(ISNUMBER($L$6)=FALSE,"",
        IF(ISERROR(VLOOKUP($G22,DanaSehat!$L$13:$AK$56,AF$4,FALSE))=TRUE,"",
              VLOOKUP($G22,DanaSehat!$L$13:$AK$56,AF$4,FALSE)))</t>
  </si>
  <si>
    <t>=IF(ISNUMBER($L$6)=FALSE,"",
IF($C23=0,"",VLOOKUP($E23,DanaSehat!$H$13:$L$56,4,FALSE)))</t>
  </si>
  <si>
    <t>=IF(ISNUMBER($L$6)=FALSE,"",
IF($C23=0,"",VLOOKUP($E23,DanaSehat!$H$13:$L$56,5,FALSE)))</t>
  </si>
  <si>
    <t>=IF(ISNUMBER($L$6)=FALSE,"",
        IF(ISERROR(VLOOKUP($G23,DanaSehat!$L$13:$AK$56,I$4,FALSE))=TRUE,"",
              VLOOKUP($G23,DanaSehat!$L$13:$AK$56,I$4,FALSE)))</t>
  </si>
  <si>
    <t>=IF(ISNUMBER($L$6)=FALSE,"",
        IF(ISERROR(VLOOKUP($G23,DanaSehat!$L$13:$AK$56,J$4,FALSE))=TRUE,"",
              VLOOKUP($G23,DanaSehat!$L$13:$AK$56,J$4,FALSE)))</t>
  </si>
  <si>
    <t>=IF(ISNUMBER($L$6)=FALSE,"",
        IF(ISERROR(VLOOKUP($G23,DanaSehat!$L$13:$AK$56,K$4,FALSE))=TRUE,"",
              VLOOKUP($G23,DanaSehat!$L$13:$AK$56,K$4,FALSE)))</t>
  </si>
  <si>
    <t>=IF(ISNUMBER($L$6)=FALSE,"",
        IF(ISERROR(VLOOKUP($G23,DanaSehat!$L$13:$AK$56,L$4,FALSE))=TRUE,"",
              VLOOKUP($G23,DanaSehat!$L$13:$AK$56,L$4,FALSE)))</t>
  </si>
  <si>
    <t>=IF(ISNUMBER($L$6)=FALSE,"",
        IF(ISERROR(VLOOKUP($G23,DanaSehat!$L$13:$AK$56,M$4,FALSE))=TRUE,"",
              VLOOKUP($G23,DanaSehat!$L$13:$AK$56,M$4,FALSE)))</t>
  </si>
  <si>
    <t>=IF(ISNUMBER($L$6)=FALSE,"",
        IF(ISERROR(VLOOKUP($G23,DanaSehat!$L$13:$AK$56,N$4,FALSE))=TRUE,"",
              VLOOKUP($G23,DanaSehat!$L$13:$AK$56,N$4,FALSE)))</t>
  </si>
  <si>
    <t>=IF(ISNUMBER($L$6)=FALSE,"",
        IF(ISERROR(VLOOKUP($G23,DanaSehat!$L$13:$AK$56,O$4,FALSE))=TRUE,"",
              VLOOKUP($G23,DanaSehat!$L$13:$AK$56,O$4,FALSE)))</t>
  </si>
  <si>
    <t>=IF(ISNUMBER($L$6)=FALSE,"",
        IF(ISERROR(VLOOKUP($G23,DanaSehat!$L$13:$AK$56,P$4,FALSE))=TRUE,"",
              VLOOKUP($G23,DanaSehat!$L$13:$AK$56,P$4,FALSE)))</t>
  </si>
  <si>
    <t>=IF(ISNUMBER($L$6)=FALSE,"",
        IF(ISERROR(VLOOKUP($G23,DanaSehat!$L$13:$AK$56,Q$4,FALSE))=TRUE,"",
              VLOOKUP($G23,DanaSehat!$L$13:$AK$56,Q$4,FALSE)))</t>
  </si>
  <si>
    <t>=IF(ISNUMBER($L$6)=FALSE,"",
        IF(ISERROR(VLOOKUP($G23,DanaSehat!$L$13:$AK$56,R$4,FALSE))=TRUE,"",
              VLOOKUP($G23,DanaSehat!$L$13:$AK$56,R$4,FALSE)))</t>
  </si>
  <si>
    <t>=IF(ISNUMBER($L$6)=FALSE,"",
        IF(ISERROR(VLOOKUP($G23,DanaSehat!$L$13:$AK$56,S$4,FALSE))=TRUE,"",
              VLOOKUP($G23,DanaSehat!$L$13:$AK$56,S$4,FALSE)))</t>
  </si>
  <si>
    <t>=IF(ISNUMBER($L$6)=FALSE,"",
        IF(ISERROR(VLOOKUP($G23,DanaSehat!$L$13:$AK$56,T$4,FALSE))=TRUE,"",
              VLOOKUP($G23,DanaSehat!$L$13:$AK$56,T$4,FALSE)))</t>
  </si>
  <si>
    <t>=IF(ISNUMBER($L$6)=FALSE,"",
        IF(ISERROR(VLOOKUP($G23,DanaSehat!$L$13:$AK$56,U$4,FALSE))=TRUE,"",
              VLOOKUP($G23,DanaSehat!$L$13:$AK$56,U$4,FALSE)))</t>
  </si>
  <si>
    <t>=IF(ISNUMBER($L$6)=FALSE,"",
        IF(ISERROR(VLOOKUP($G23,DanaSehat!$L$13:$AK$56,V$4,FALSE))=TRUE,"",
              VLOOKUP($G23,DanaSehat!$L$13:$AK$56,V$4,FALSE)))</t>
  </si>
  <si>
    <t>=IF(ISNUMBER($L$6)=FALSE,"",
        IF(ISERROR(VLOOKUP($G23,DanaSehat!$L$13:$AK$56,W$4,FALSE))=TRUE,"",
              VLOOKUP($G23,DanaSehat!$L$13:$AK$56,W$4,FALSE)))</t>
  </si>
  <si>
    <t>=IF(ISNUMBER($L$6)=FALSE,"",
        IF(ISERROR(VLOOKUP($G23,DanaSehat!$L$13:$AK$56,X$4,FALSE))=TRUE,"",
              VLOOKUP($G23,DanaSehat!$L$13:$AK$56,X$4,FALSE)))</t>
  </si>
  <si>
    <t>=IF(ISNUMBER($L$6)=FALSE,"",
        IF(ISERROR(VLOOKUP($G23,DanaSehat!$L$13:$AK$56,Y$4,FALSE))=TRUE,"",
              VLOOKUP($G23,DanaSehat!$L$13:$AK$56,Y$4,FALSE)))</t>
  </si>
  <si>
    <t>=IF(ISNUMBER($L$6)=FALSE,"",
        IF(ISERROR(VLOOKUP($G23,DanaSehat!$L$13:$AK$56,Z$4,FALSE))=TRUE,"",
              VLOOKUP($G23,DanaSehat!$L$13:$AK$56,Z$4,FALSE)))</t>
  </si>
  <si>
    <t>=IF(ISNUMBER($L$6)=FALSE,"",
        IF(ISERROR(VLOOKUP($G23,DanaSehat!$L$13:$AK$56,AA$4,FALSE))=TRUE,"",
              VLOOKUP($G23,DanaSehat!$L$13:$AK$56,AA$4,FALSE)))</t>
  </si>
  <si>
    <t>=IF(ISNUMBER($L$6)=FALSE,"",
        IF(ISERROR(VLOOKUP($G23,DanaSehat!$L$13:$AK$56,AB$4,FALSE))=TRUE,"",
              VLOOKUP($G23,DanaSehat!$L$13:$AK$56,AB$4,FALSE)))</t>
  </si>
  <si>
    <t>=IF(ISNUMBER($L$6)=FALSE,"",
        IF(ISERROR(VLOOKUP($G23,DanaSehat!$L$13:$AK$56,AC$4,FALSE))=TRUE,"",
              VLOOKUP($G23,DanaSehat!$L$13:$AK$56,AC$4,FALSE)))</t>
  </si>
  <si>
    <t>=IF(ISNUMBER($L$6)=FALSE,"",
        IF(ISERROR(VLOOKUP($G23,DanaSehat!$L$13:$AK$56,AD$4,FALSE))=TRUE,"",
              VLOOKUP($G23,DanaSehat!$L$13:$AK$56,AD$4,FALSE)))</t>
  </si>
  <si>
    <t>=IF(ISNUMBER($L$6)=FALSE,"",
        IF(ISERROR(VLOOKUP($G23,DanaSehat!$L$13:$AK$56,AE$4,FALSE))=TRUE,"",
              VLOOKUP($G23,DanaSehat!$L$13:$AK$56,AE$4,FALSE)))</t>
  </si>
  <si>
    <t>=IF(ISNUMBER($L$6)=FALSE,"",
        IF(ISERROR(VLOOKUP($G23,DanaSehat!$L$13:$AK$56,AF$4,FALSE))=TRUE,"",
              VLOOKUP($G23,DanaSehat!$L$13:$AK$56,AF$4,FALSE)))</t>
  </si>
  <si>
    <t>=IF(ISNUMBER($L$6)=FALSE,"",
IF($C24=0,"",VLOOKUP($E24,DanaSehat!$H$13:$L$56,4,FALSE)))</t>
  </si>
  <si>
    <t>=IF(ISNUMBER($L$6)=FALSE,"",
IF($C24=0,"",VLOOKUP($E24,DanaSehat!$H$13:$L$56,5,FALSE)))</t>
  </si>
  <si>
    <t>=IF(ISNUMBER($L$6)=FALSE,"",
        IF(ISERROR(VLOOKUP($G24,DanaSehat!$L$13:$AK$56,I$4,FALSE))=TRUE,"",
              VLOOKUP($G24,DanaSehat!$L$13:$AK$56,I$4,FALSE)))</t>
  </si>
  <si>
    <t>=IF(ISNUMBER($L$6)=FALSE,"",
        IF(ISERROR(VLOOKUP($G24,DanaSehat!$L$13:$AK$56,J$4,FALSE))=TRUE,"",
              VLOOKUP($G24,DanaSehat!$L$13:$AK$56,J$4,FALSE)))</t>
  </si>
  <si>
    <t>=IF(ISNUMBER($L$6)=FALSE,"",
        IF(ISERROR(VLOOKUP($G24,DanaSehat!$L$13:$AK$56,K$4,FALSE))=TRUE,"",
              VLOOKUP($G24,DanaSehat!$L$13:$AK$56,K$4,FALSE)))</t>
  </si>
  <si>
    <t>=IF(ISNUMBER($L$6)=FALSE,"",
        IF(ISERROR(VLOOKUP($G24,DanaSehat!$L$13:$AK$56,L$4,FALSE))=TRUE,"",
              VLOOKUP($G24,DanaSehat!$L$13:$AK$56,L$4,FALSE)))</t>
  </si>
  <si>
    <t>=IF(ISNUMBER($L$6)=FALSE,"",
        IF(ISERROR(VLOOKUP($G24,DanaSehat!$L$13:$AK$56,M$4,FALSE))=TRUE,"",
              VLOOKUP($G24,DanaSehat!$L$13:$AK$56,M$4,FALSE)))</t>
  </si>
  <si>
    <t>=IF(ISNUMBER($L$6)=FALSE,"",
        IF(ISERROR(VLOOKUP($G24,DanaSehat!$L$13:$AK$56,N$4,FALSE))=TRUE,"",
              VLOOKUP($G24,DanaSehat!$L$13:$AK$56,N$4,FALSE)))</t>
  </si>
  <si>
    <t>=IF(ISNUMBER($L$6)=FALSE,"",
        IF(ISERROR(VLOOKUP($G24,DanaSehat!$L$13:$AK$56,O$4,FALSE))=TRUE,"",
              VLOOKUP($G24,DanaSehat!$L$13:$AK$56,O$4,FALSE)))</t>
  </si>
  <si>
    <t>=IF(ISNUMBER($L$6)=FALSE,"",
        IF(ISERROR(VLOOKUP($G24,DanaSehat!$L$13:$AK$56,P$4,FALSE))=TRUE,"",
              VLOOKUP($G24,DanaSehat!$L$13:$AK$56,P$4,FALSE)))</t>
  </si>
  <si>
    <t>=IF(ISNUMBER($L$6)=FALSE,"",
        IF(ISERROR(VLOOKUP($G24,DanaSehat!$L$13:$AK$56,Q$4,FALSE))=TRUE,"",
              VLOOKUP($G24,DanaSehat!$L$13:$AK$56,Q$4,FALSE)))</t>
  </si>
  <si>
    <t>=IF(ISNUMBER($L$6)=FALSE,"",
        IF(ISERROR(VLOOKUP($G24,DanaSehat!$L$13:$AK$56,R$4,FALSE))=TRUE,"",
              VLOOKUP($G24,DanaSehat!$L$13:$AK$56,R$4,FALSE)))</t>
  </si>
  <si>
    <t>=IF(ISNUMBER($L$6)=FALSE,"",
        IF(ISERROR(VLOOKUP($G24,DanaSehat!$L$13:$AK$56,S$4,FALSE))=TRUE,"",
              VLOOKUP($G24,DanaSehat!$L$13:$AK$56,S$4,FALSE)))</t>
  </si>
  <si>
    <t>=IF(ISNUMBER($L$6)=FALSE,"",
        IF(ISERROR(VLOOKUP($G24,DanaSehat!$L$13:$AK$56,T$4,FALSE))=TRUE,"",
              VLOOKUP($G24,DanaSehat!$L$13:$AK$56,T$4,FALSE)))</t>
  </si>
  <si>
    <t>=IF(ISNUMBER($L$6)=FALSE,"",
        IF(ISERROR(VLOOKUP($G24,DanaSehat!$L$13:$AK$56,U$4,FALSE))=TRUE,"",
              VLOOKUP($G24,DanaSehat!$L$13:$AK$56,U$4,FALSE)))</t>
  </si>
  <si>
    <t>=IF(ISNUMBER($L$6)=FALSE,"",
        IF(ISERROR(VLOOKUP($G24,DanaSehat!$L$13:$AK$56,V$4,FALSE))=TRUE,"",
              VLOOKUP($G24,DanaSehat!$L$13:$AK$56,V$4,FALSE)))</t>
  </si>
  <si>
    <t>=IF(ISNUMBER($L$6)=FALSE,"",
        IF(ISERROR(VLOOKUP($G24,DanaSehat!$L$13:$AK$56,W$4,FALSE))=TRUE,"",
              VLOOKUP($G24,DanaSehat!$L$13:$AK$56,W$4,FALSE)))</t>
  </si>
  <si>
    <t>=IF(ISNUMBER($L$6)=FALSE,"",
        IF(ISERROR(VLOOKUP($G24,DanaSehat!$L$13:$AK$56,X$4,FALSE))=TRUE,"",
              VLOOKUP($G24,DanaSehat!$L$13:$AK$56,X$4,FALSE)))</t>
  </si>
  <si>
    <t>=IF(ISNUMBER($L$6)=FALSE,"",
        IF(ISERROR(VLOOKUP($G24,DanaSehat!$L$13:$AK$56,Y$4,FALSE))=TRUE,"",
              VLOOKUP($G24,DanaSehat!$L$13:$AK$56,Y$4,FALSE)))</t>
  </si>
  <si>
    <t>=IF(ISNUMBER($L$6)=FALSE,"",
        IF(ISERROR(VLOOKUP($G24,DanaSehat!$L$13:$AK$56,Z$4,FALSE))=TRUE,"",
              VLOOKUP($G24,DanaSehat!$L$13:$AK$56,Z$4,FALSE)))</t>
  </si>
  <si>
    <t>=IF(ISNUMBER($L$6)=FALSE,"",
        IF(ISERROR(VLOOKUP($G24,DanaSehat!$L$13:$AK$56,AA$4,FALSE))=TRUE,"",
              VLOOKUP($G24,DanaSehat!$L$13:$AK$56,AA$4,FALSE)))</t>
  </si>
  <si>
    <t>=IF(ISNUMBER($L$6)=FALSE,"",
        IF(ISERROR(VLOOKUP($G24,DanaSehat!$L$13:$AK$56,AB$4,FALSE))=TRUE,"",
              VLOOKUP($G24,DanaSehat!$L$13:$AK$56,AB$4,FALSE)))</t>
  </si>
  <si>
    <t>=IF(ISNUMBER($L$6)=FALSE,"",
        IF(ISERROR(VLOOKUP($G24,DanaSehat!$L$13:$AK$56,AC$4,FALSE))=TRUE,"",
              VLOOKUP($G24,DanaSehat!$L$13:$AK$56,AC$4,FALSE)))</t>
  </si>
  <si>
    <t>=IF(ISNUMBER($L$6)=FALSE,"",
        IF(ISERROR(VLOOKUP($G24,DanaSehat!$L$13:$AK$56,AD$4,FALSE))=TRUE,"",
              VLOOKUP($G24,DanaSehat!$L$13:$AK$56,AD$4,FALSE)))</t>
  </si>
  <si>
    <t>=IF(ISNUMBER($L$6)=FALSE,"",
        IF(ISERROR(VLOOKUP($G24,DanaSehat!$L$13:$AK$56,AE$4,FALSE))=TRUE,"",
              VLOOKUP($G24,DanaSehat!$L$13:$AK$56,AE$4,FALSE)))</t>
  </si>
  <si>
    <t>=IF(ISNUMBER($L$6)=FALSE,"",
        IF(ISERROR(VLOOKUP($G24,DanaSehat!$L$13:$AK$56,AF$4,FALSE))=TRUE,"",
              VLOOKUP($G24,DanaSehat!$L$13:$AK$56,AF$4,FALSE)))</t>
  </si>
  <si>
    <t>=IF(ISNUMBER($L$6)=FALSE,"",
IF($C25=0,"",VLOOKUP($E25,DanaSehat!$H$13:$L$56,4,FALSE)))</t>
  </si>
  <si>
    <t>=IF(ISNUMBER($L$6)=FALSE,"",
IF($C25=0,"",VLOOKUP($E25,DanaSehat!$H$13:$L$56,5,FALSE)))</t>
  </si>
  <si>
    <t>=IF(ISNUMBER($L$6)=FALSE,"",
        IF(ISERROR(VLOOKUP($G25,DanaSehat!$L$13:$AK$56,I$4,FALSE))=TRUE,"",
              VLOOKUP($G25,DanaSehat!$L$13:$AK$56,I$4,FALSE)))</t>
  </si>
  <si>
    <t>=IF(ISNUMBER($L$6)=FALSE,"",
        IF(ISERROR(VLOOKUP($G25,DanaSehat!$L$13:$AK$56,J$4,FALSE))=TRUE,"",
              VLOOKUP($G25,DanaSehat!$L$13:$AK$56,J$4,FALSE)))</t>
  </si>
  <si>
    <t>=IF(ISNUMBER($L$6)=FALSE,"",
        IF(ISERROR(VLOOKUP($G25,DanaSehat!$L$13:$AK$56,K$4,FALSE))=TRUE,"",
              VLOOKUP($G25,DanaSehat!$L$13:$AK$56,K$4,FALSE)))</t>
  </si>
  <si>
    <t>=IF(ISNUMBER($L$6)=FALSE,"",
        IF(ISERROR(VLOOKUP($G25,DanaSehat!$L$13:$AK$56,L$4,FALSE))=TRUE,"",
              VLOOKUP($G25,DanaSehat!$L$13:$AK$56,L$4,FALSE)))</t>
  </si>
  <si>
    <t>=IF(ISNUMBER($L$6)=FALSE,"",
        IF(ISERROR(VLOOKUP($G25,DanaSehat!$L$13:$AK$56,M$4,FALSE))=TRUE,"",
              VLOOKUP($G25,DanaSehat!$L$13:$AK$56,M$4,FALSE)))</t>
  </si>
  <si>
    <t>=IF(ISNUMBER($L$6)=FALSE,"",
        IF(ISERROR(VLOOKUP($G25,DanaSehat!$L$13:$AK$56,N$4,FALSE))=TRUE,"",
              VLOOKUP($G25,DanaSehat!$L$13:$AK$56,N$4,FALSE)))</t>
  </si>
  <si>
    <t>=IF(ISNUMBER($L$6)=FALSE,"",
        IF(ISERROR(VLOOKUP($G25,DanaSehat!$L$13:$AK$56,O$4,FALSE))=TRUE,"",
              VLOOKUP($G25,DanaSehat!$L$13:$AK$56,O$4,FALSE)))</t>
  </si>
  <si>
    <t>=IF(ISNUMBER($L$6)=FALSE,"",
        IF(ISERROR(VLOOKUP($G25,DanaSehat!$L$13:$AK$56,P$4,FALSE))=TRUE,"",
              VLOOKUP($G25,DanaSehat!$L$13:$AK$56,P$4,FALSE)))</t>
  </si>
  <si>
    <t>=IF(ISNUMBER($L$6)=FALSE,"",
        IF(ISERROR(VLOOKUP($G25,DanaSehat!$L$13:$AK$56,Q$4,FALSE))=TRUE,"",
              VLOOKUP($G25,DanaSehat!$L$13:$AK$56,Q$4,FALSE)))</t>
  </si>
  <si>
    <t>=IF(ISNUMBER($L$6)=FALSE,"",
        IF(ISERROR(VLOOKUP($G25,DanaSehat!$L$13:$AK$56,R$4,FALSE))=TRUE,"",
              VLOOKUP($G25,DanaSehat!$L$13:$AK$56,R$4,FALSE)))</t>
  </si>
  <si>
    <t>=IF(ISNUMBER($L$6)=FALSE,"",
        IF(ISERROR(VLOOKUP($G25,DanaSehat!$L$13:$AK$56,S$4,FALSE))=TRUE,"",
              VLOOKUP($G25,DanaSehat!$L$13:$AK$56,S$4,FALSE)))</t>
  </si>
  <si>
    <t>=IF(ISNUMBER($L$6)=FALSE,"",
        IF(ISERROR(VLOOKUP($G25,DanaSehat!$L$13:$AK$56,T$4,FALSE))=TRUE,"",
              VLOOKUP($G25,DanaSehat!$L$13:$AK$56,T$4,FALSE)))</t>
  </si>
  <si>
    <t>=IF(ISNUMBER($L$6)=FALSE,"",
        IF(ISERROR(VLOOKUP($G25,DanaSehat!$L$13:$AK$56,U$4,FALSE))=TRUE,"",
              VLOOKUP($G25,DanaSehat!$L$13:$AK$56,U$4,FALSE)))</t>
  </si>
  <si>
    <t>=IF(ISNUMBER($L$6)=FALSE,"",
        IF(ISERROR(VLOOKUP($G25,DanaSehat!$L$13:$AK$56,V$4,FALSE))=TRUE,"",
              VLOOKUP($G25,DanaSehat!$L$13:$AK$56,V$4,FALSE)))</t>
  </si>
  <si>
    <t>=IF(ISNUMBER($L$6)=FALSE,"",
        IF(ISERROR(VLOOKUP($G25,DanaSehat!$L$13:$AK$56,W$4,FALSE))=TRUE,"",
              VLOOKUP($G25,DanaSehat!$L$13:$AK$56,W$4,FALSE)))</t>
  </si>
  <si>
    <t>=IF(ISNUMBER($L$6)=FALSE,"",
        IF(ISERROR(VLOOKUP($G25,DanaSehat!$L$13:$AK$56,X$4,FALSE))=TRUE,"",
              VLOOKUP($G25,DanaSehat!$L$13:$AK$56,X$4,FALSE)))</t>
  </si>
  <si>
    <t>=IF(ISNUMBER($L$6)=FALSE,"",
        IF(ISERROR(VLOOKUP($G25,DanaSehat!$L$13:$AK$56,Y$4,FALSE))=TRUE,"",
              VLOOKUP($G25,DanaSehat!$L$13:$AK$56,Y$4,FALSE)))</t>
  </si>
  <si>
    <t>=IF(ISNUMBER($L$6)=FALSE,"",
        IF(ISERROR(VLOOKUP($G25,DanaSehat!$L$13:$AK$56,Z$4,FALSE))=TRUE,"",
              VLOOKUP($G25,DanaSehat!$L$13:$AK$56,Z$4,FALSE)))</t>
  </si>
  <si>
    <t>=IF(ISNUMBER($L$6)=FALSE,"",
        IF(ISERROR(VLOOKUP($G25,DanaSehat!$L$13:$AK$56,AA$4,FALSE))=TRUE,"",
              VLOOKUP($G25,DanaSehat!$L$13:$AK$56,AA$4,FALSE)))</t>
  </si>
  <si>
    <t>=IF(ISNUMBER($L$6)=FALSE,"",
        IF(ISERROR(VLOOKUP($G25,DanaSehat!$L$13:$AK$56,AB$4,FALSE))=TRUE,"",
              VLOOKUP($G25,DanaSehat!$L$13:$AK$56,AB$4,FALSE)))</t>
  </si>
  <si>
    <t>=IF(ISNUMBER($L$6)=FALSE,"",
        IF(ISERROR(VLOOKUP($G25,DanaSehat!$L$13:$AK$56,AC$4,FALSE))=TRUE,"",
              VLOOKUP($G25,DanaSehat!$L$13:$AK$56,AC$4,FALSE)))</t>
  </si>
  <si>
    <t>=IF(ISNUMBER($L$6)=FALSE,"",
        IF(ISERROR(VLOOKUP($G25,DanaSehat!$L$13:$AK$56,AD$4,FALSE))=TRUE,"",
              VLOOKUP($G25,DanaSehat!$L$13:$AK$56,AD$4,FALSE)))</t>
  </si>
  <si>
    <t>=IF(ISNUMBER($L$6)=FALSE,"",
        IF(ISERROR(VLOOKUP($G25,DanaSehat!$L$13:$AK$56,AE$4,FALSE))=TRUE,"",
              VLOOKUP($G25,DanaSehat!$L$13:$AK$56,AE$4,FALSE)))</t>
  </si>
  <si>
    <t>=IF(ISNUMBER($L$6)=FALSE,"",
        IF(ISERROR(VLOOKUP($G25,DanaSehat!$L$13:$AK$56,AF$4,FALSE))=TRUE,"",
              VLOOKUP($G25,DanaSehat!$L$13:$AK$56,AF$4,FALSE)))</t>
  </si>
  <si>
    <t>=IF(ISNUMBER($L$6)=FALSE,"",
IF($C26=0,"",VLOOKUP($E26,DanaSehat!$H$13:$L$56,4,FALSE)))</t>
  </si>
  <si>
    <t>=IF(ISNUMBER($L$6)=FALSE,"",
IF($C26=0,"",VLOOKUP($E26,DanaSehat!$H$13:$L$56,5,FALSE)))</t>
  </si>
  <si>
    <t>=IF(ISNUMBER($L$6)=FALSE,"",
        IF(ISERROR(VLOOKUP($G26,DanaSehat!$L$13:$AK$56,I$4,FALSE))=TRUE,"",
              VLOOKUP($G26,DanaSehat!$L$13:$AK$56,I$4,FALSE)))</t>
  </si>
  <si>
    <t>=IF(ISNUMBER($L$6)=FALSE,"",
        IF(ISERROR(VLOOKUP($G26,DanaSehat!$L$13:$AK$56,J$4,FALSE))=TRUE,"",
              VLOOKUP($G26,DanaSehat!$L$13:$AK$56,J$4,FALSE)))</t>
  </si>
  <si>
    <t>=IF(ISNUMBER($L$6)=FALSE,"",
        IF(ISERROR(VLOOKUP($G26,DanaSehat!$L$13:$AK$56,K$4,FALSE))=TRUE,"",
              VLOOKUP($G26,DanaSehat!$L$13:$AK$56,K$4,FALSE)))</t>
  </si>
  <si>
    <t>=IF(ISNUMBER($L$6)=FALSE,"",
        IF(ISERROR(VLOOKUP($G26,DanaSehat!$L$13:$AK$56,L$4,FALSE))=TRUE,"",
              VLOOKUP($G26,DanaSehat!$L$13:$AK$56,L$4,FALSE)))</t>
  </si>
  <si>
    <t>=IF(ISNUMBER($L$6)=FALSE,"",
        IF(ISERROR(VLOOKUP($G26,DanaSehat!$L$13:$AK$56,M$4,FALSE))=TRUE,"",
              VLOOKUP($G26,DanaSehat!$L$13:$AK$56,M$4,FALSE)))</t>
  </si>
  <si>
    <t>=IF(ISNUMBER($L$6)=FALSE,"",
        IF(ISERROR(VLOOKUP($G26,DanaSehat!$L$13:$AK$56,N$4,FALSE))=TRUE,"",
              VLOOKUP($G26,DanaSehat!$L$13:$AK$56,N$4,FALSE)))</t>
  </si>
  <si>
    <t>=IF(ISNUMBER($L$6)=FALSE,"",
        IF(ISERROR(VLOOKUP($G26,DanaSehat!$L$13:$AK$56,O$4,FALSE))=TRUE,"",
              VLOOKUP($G26,DanaSehat!$L$13:$AK$56,O$4,FALSE)))</t>
  </si>
  <si>
    <t>=IF(ISNUMBER($L$6)=FALSE,"",
        IF(ISERROR(VLOOKUP($G26,DanaSehat!$L$13:$AK$56,P$4,FALSE))=TRUE,"",
              VLOOKUP($G26,DanaSehat!$L$13:$AK$56,P$4,FALSE)))</t>
  </si>
  <si>
    <t>=IF(ISNUMBER($L$6)=FALSE,"",
        IF(ISERROR(VLOOKUP($G26,DanaSehat!$L$13:$AK$56,Q$4,FALSE))=TRUE,"",
              VLOOKUP($G26,DanaSehat!$L$13:$AK$56,Q$4,FALSE)))</t>
  </si>
  <si>
    <t>=IF(ISNUMBER($L$6)=FALSE,"",
        IF(ISERROR(VLOOKUP($G26,DanaSehat!$L$13:$AK$56,R$4,FALSE))=TRUE,"",
              VLOOKUP($G26,DanaSehat!$L$13:$AK$56,R$4,FALSE)))</t>
  </si>
  <si>
    <t>=IF(ISNUMBER($L$6)=FALSE,"",
        IF(ISERROR(VLOOKUP($G26,DanaSehat!$L$13:$AK$56,S$4,FALSE))=TRUE,"",
              VLOOKUP($G26,DanaSehat!$L$13:$AK$56,S$4,FALSE)))</t>
  </si>
  <si>
    <t>=IF(ISNUMBER($L$6)=FALSE,"",
        IF(ISERROR(VLOOKUP($G26,DanaSehat!$L$13:$AK$56,T$4,FALSE))=TRUE,"",
              VLOOKUP($G26,DanaSehat!$L$13:$AK$56,T$4,FALSE)))</t>
  </si>
  <si>
    <t>=IF(ISNUMBER($L$6)=FALSE,"",
        IF(ISERROR(VLOOKUP($G26,DanaSehat!$L$13:$AK$56,U$4,FALSE))=TRUE,"",
              VLOOKUP($G26,DanaSehat!$L$13:$AK$56,U$4,FALSE)))</t>
  </si>
  <si>
    <t>=IF(ISNUMBER($L$6)=FALSE,"",
        IF(ISERROR(VLOOKUP($G26,DanaSehat!$L$13:$AK$56,V$4,FALSE))=TRUE,"",
              VLOOKUP($G26,DanaSehat!$L$13:$AK$56,V$4,FALSE)))</t>
  </si>
  <si>
    <t>=IF(ISNUMBER($L$6)=FALSE,"",
        IF(ISERROR(VLOOKUP($G26,DanaSehat!$L$13:$AK$56,W$4,FALSE))=TRUE,"",
              VLOOKUP($G26,DanaSehat!$L$13:$AK$56,W$4,FALSE)))</t>
  </si>
  <si>
    <t>=IF(ISNUMBER($L$6)=FALSE,"",
        IF(ISERROR(VLOOKUP($G26,DanaSehat!$L$13:$AK$56,X$4,FALSE))=TRUE,"",
              VLOOKUP($G26,DanaSehat!$L$13:$AK$56,X$4,FALSE)))</t>
  </si>
  <si>
    <t>=IF(ISNUMBER($L$6)=FALSE,"",
        IF(ISERROR(VLOOKUP($G26,DanaSehat!$L$13:$AK$56,Y$4,FALSE))=TRUE,"",
              VLOOKUP($G26,DanaSehat!$L$13:$AK$56,Y$4,FALSE)))</t>
  </si>
  <si>
    <t>=IF(ISNUMBER($L$6)=FALSE,"",
        IF(ISERROR(VLOOKUP($G26,DanaSehat!$L$13:$AK$56,Z$4,FALSE))=TRUE,"",
              VLOOKUP($G26,DanaSehat!$L$13:$AK$56,Z$4,FALSE)))</t>
  </si>
  <si>
    <t>=IF(ISNUMBER($L$6)=FALSE,"",
        IF(ISERROR(VLOOKUP($G26,DanaSehat!$L$13:$AK$56,AA$4,FALSE))=TRUE,"",
              VLOOKUP($G26,DanaSehat!$L$13:$AK$56,AA$4,FALSE)))</t>
  </si>
  <si>
    <t>=IF(ISNUMBER($L$6)=FALSE,"",
        IF(ISERROR(VLOOKUP($G26,DanaSehat!$L$13:$AK$56,AB$4,FALSE))=TRUE,"",
              VLOOKUP($G26,DanaSehat!$L$13:$AK$56,AB$4,FALSE)))</t>
  </si>
  <si>
    <t>=IF(ISNUMBER($L$6)=FALSE,"",
        IF(ISERROR(VLOOKUP($G26,DanaSehat!$L$13:$AK$56,AC$4,FALSE))=TRUE,"",
              VLOOKUP($G26,DanaSehat!$L$13:$AK$56,AC$4,FALSE)))</t>
  </si>
  <si>
    <t>=IF(ISNUMBER($L$6)=FALSE,"",
        IF(ISERROR(VLOOKUP($G26,DanaSehat!$L$13:$AK$56,AD$4,FALSE))=TRUE,"",
              VLOOKUP($G26,DanaSehat!$L$13:$AK$56,AD$4,FALSE)))</t>
  </si>
  <si>
    <t>=IF(ISNUMBER($L$6)=FALSE,"",
        IF(ISERROR(VLOOKUP($G26,DanaSehat!$L$13:$AK$56,AE$4,FALSE))=TRUE,"",
              VLOOKUP($G26,DanaSehat!$L$13:$AK$56,AE$4,FALSE)))</t>
  </si>
  <si>
    <t>=IF(ISNUMBER($L$6)=FALSE,"",
        IF(ISERROR(VLOOKUP($G26,DanaSehat!$L$13:$AK$56,AF$4,FALSE))=TRUE,"",
              VLOOKUP($G26,DanaSehat!$L$13:$AK$56,AF$4,FALSE)))</t>
  </si>
  <si>
    <t>=IF(ISNUMBER($L$6)=FALSE,"",
IF($C27=0,"",VLOOKUP($E27,DanaSehat!$H$13:$L$56,4,FALSE)))</t>
  </si>
  <si>
    <t>=IF(ISNUMBER($L$6)=FALSE,"",
IF($C27=0,"",VLOOKUP($E27,DanaSehat!$H$13:$L$56,5,FALSE)))</t>
  </si>
  <si>
    <t>=IF(ISNUMBER($L$6)=FALSE,"",
        IF(ISERROR(VLOOKUP($G27,DanaSehat!$L$13:$AK$56,I$4,FALSE))=TRUE,"",
              VLOOKUP($G27,DanaSehat!$L$13:$AK$56,I$4,FALSE)))</t>
  </si>
  <si>
    <t>=IF(ISNUMBER($L$6)=FALSE,"",
        IF(ISERROR(VLOOKUP($G27,DanaSehat!$L$13:$AK$56,J$4,FALSE))=TRUE,"",
              VLOOKUP($G27,DanaSehat!$L$13:$AK$56,J$4,FALSE)))</t>
  </si>
  <si>
    <t>=IF(ISNUMBER($L$6)=FALSE,"",
        IF(ISERROR(VLOOKUP($G27,DanaSehat!$L$13:$AK$56,K$4,FALSE))=TRUE,"",
              VLOOKUP($G27,DanaSehat!$L$13:$AK$56,K$4,FALSE)))</t>
  </si>
  <si>
    <t>=IF(ISNUMBER($L$6)=FALSE,"",
        IF(ISERROR(VLOOKUP($G27,DanaSehat!$L$13:$AK$56,L$4,FALSE))=TRUE,"",
              VLOOKUP($G27,DanaSehat!$L$13:$AK$56,L$4,FALSE)))</t>
  </si>
  <si>
    <t>=IF(ISNUMBER($L$6)=FALSE,"",
        IF(ISERROR(VLOOKUP($G27,DanaSehat!$L$13:$AK$56,M$4,FALSE))=TRUE,"",
              VLOOKUP($G27,DanaSehat!$L$13:$AK$56,M$4,FALSE)))</t>
  </si>
  <si>
    <t>=IF(ISNUMBER($L$6)=FALSE,"",
        IF(ISERROR(VLOOKUP($G27,DanaSehat!$L$13:$AK$56,N$4,FALSE))=TRUE,"",
              VLOOKUP($G27,DanaSehat!$L$13:$AK$56,N$4,FALSE)))</t>
  </si>
  <si>
    <t>=IF(ISNUMBER($L$6)=FALSE,"",
        IF(ISERROR(VLOOKUP($G27,DanaSehat!$L$13:$AK$56,O$4,FALSE))=TRUE,"",
              VLOOKUP($G27,DanaSehat!$L$13:$AK$56,O$4,FALSE)))</t>
  </si>
  <si>
    <t>=IF(ISNUMBER($L$6)=FALSE,"",
        IF(ISERROR(VLOOKUP($G27,DanaSehat!$L$13:$AK$56,P$4,FALSE))=TRUE,"",
              VLOOKUP($G27,DanaSehat!$L$13:$AK$56,P$4,FALSE)))</t>
  </si>
  <si>
    <t>=IF(ISNUMBER($L$6)=FALSE,"",
        IF(ISERROR(VLOOKUP($G27,DanaSehat!$L$13:$AK$56,Q$4,FALSE))=TRUE,"",
              VLOOKUP($G27,DanaSehat!$L$13:$AK$56,Q$4,FALSE)))</t>
  </si>
  <si>
    <t>=IF(ISNUMBER($L$6)=FALSE,"",
        IF(ISERROR(VLOOKUP($G27,DanaSehat!$L$13:$AK$56,R$4,FALSE))=TRUE,"",
              VLOOKUP($G27,DanaSehat!$L$13:$AK$56,R$4,FALSE)))</t>
  </si>
  <si>
    <t>=IF(ISNUMBER($L$6)=FALSE,"",
        IF(ISERROR(VLOOKUP($G27,DanaSehat!$L$13:$AK$56,S$4,FALSE))=TRUE,"",
              VLOOKUP($G27,DanaSehat!$L$13:$AK$56,S$4,FALSE)))</t>
  </si>
  <si>
    <t>=IF(ISNUMBER($L$6)=FALSE,"",
        IF(ISERROR(VLOOKUP($G27,DanaSehat!$L$13:$AK$56,T$4,FALSE))=TRUE,"",
              VLOOKUP($G27,DanaSehat!$L$13:$AK$56,T$4,FALSE)))</t>
  </si>
  <si>
    <t>=IF(ISNUMBER($L$6)=FALSE,"",
        IF(ISERROR(VLOOKUP($G27,DanaSehat!$L$13:$AK$56,U$4,FALSE))=TRUE,"",
              VLOOKUP($G27,DanaSehat!$L$13:$AK$56,U$4,FALSE)))</t>
  </si>
  <si>
    <t>=IF(ISNUMBER($L$6)=FALSE,"",
        IF(ISERROR(VLOOKUP($G27,DanaSehat!$L$13:$AK$56,V$4,FALSE))=TRUE,"",
              VLOOKUP($G27,DanaSehat!$L$13:$AK$56,V$4,FALSE)))</t>
  </si>
  <si>
    <t>=IF(ISNUMBER($L$6)=FALSE,"",
        IF(ISERROR(VLOOKUP($G27,DanaSehat!$L$13:$AK$56,W$4,FALSE))=TRUE,"",
              VLOOKUP($G27,DanaSehat!$L$13:$AK$56,W$4,FALSE)))</t>
  </si>
  <si>
    <t>=IF(ISNUMBER($L$6)=FALSE,"",
        IF(ISERROR(VLOOKUP($G27,DanaSehat!$L$13:$AK$56,X$4,FALSE))=TRUE,"",
              VLOOKUP($G27,DanaSehat!$L$13:$AK$56,X$4,FALSE)))</t>
  </si>
  <si>
    <t>=IF(ISNUMBER($L$6)=FALSE,"",
        IF(ISERROR(VLOOKUP($G27,DanaSehat!$L$13:$AK$56,Y$4,FALSE))=TRUE,"",
              VLOOKUP($G27,DanaSehat!$L$13:$AK$56,Y$4,FALSE)))</t>
  </si>
  <si>
    <t>=IF(ISNUMBER($L$6)=FALSE,"",
        IF(ISERROR(VLOOKUP($G27,DanaSehat!$L$13:$AK$56,Z$4,FALSE))=TRUE,"",
              VLOOKUP($G27,DanaSehat!$L$13:$AK$56,Z$4,FALSE)))</t>
  </si>
  <si>
    <t>=IF(ISNUMBER($L$6)=FALSE,"",
        IF(ISERROR(VLOOKUP($G27,DanaSehat!$L$13:$AK$56,AA$4,FALSE))=TRUE,"",
              VLOOKUP($G27,DanaSehat!$L$13:$AK$56,AA$4,FALSE)))</t>
  </si>
  <si>
    <t>=IF(ISNUMBER($L$6)=FALSE,"",
        IF(ISERROR(VLOOKUP($G27,DanaSehat!$L$13:$AK$56,AB$4,FALSE))=TRUE,"",
              VLOOKUP($G27,DanaSehat!$L$13:$AK$56,AB$4,FALSE)))</t>
  </si>
  <si>
    <t>=IF(ISNUMBER($L$6)=FALSE,"",
        IF(ISERROR(VLOOKUP($G27,DanaSehat!$L$13:$AK$56,AC$4,FALSE))=TRUE,"",
              VLOOKUP($G27,DanaSehat!$L$13:$AK$56,AC$4,FALSE)))</t>
  </si>
  <si>
    <t>=IF(ISNUMBER($L$6)=FALSE,"",
        IF(ISERROR(VLOOKUP($G27,DanaSehat!$L$13:$AK$56,AD$4,FALSE))=TRUE,"",
              VLOOKUP($G27,DanaSehat!$L$13:$AK$56,AD$4,FALSE)))</t>
  </si>
  <si>
    <t>=IF(ISNUMBER($L$6)=FALSE,"",
        IF(ISERROR(VLOOKUP($G27,DanaSehat!$L$13:$AK$56,AE$4,FALSE))=TRUE,"",
              VLOOKUP($G27,DanaSehat!$L$13:$AK$56,AE$4,FALSE)))</t>
  </si>
  <si>
    <t>=IF(ISNUMBER($L$6)=FALSE,"",
        IF(ISERROR(VLOOKUP($G27,DanaSehat!$L$13:$AK$56,AF$4,FALSE))=TRUE,"",
              VLOOKUP($G27,DanaSehat!$L$13:$AK$56,AF$4,FALSE)))</t>
  </si>
  <si>
    <t>=IF(ISNUMBER($L$6)=FALSE,"",
IF($C28=0,"",VLOOKUP($E28,DanaSehat!$H$13:$L$56,4,FALSE)))</t>
  </si>
  <si>
    <t>=IF(ISNUMBER($L$6)=FALSE,"",
IF($C28=0,"",VLOOKUP($E28,DanaSehat!$H$13:$L$56,5,FALSE)))</t>
  </si>
  <si>
    <t>=IF(ISNUMBER($L$6)=FALSE,"",
        IF(ISERROR(VLOOKUP($G28,DanaSehat!$L$13:$AK$56,I$4,FALSE))=TRUE,"",
              VLOOKUP($G28,DanaSehat!$L$13:$AK$56,I$4,FALSE)))</t>
  </si>
  <si>
    <t>=IF(ISNUMBER($L$6)=FALSE,"",
        IF(ISERROR(VLOOKUP($G28,DanaSehat!$L$13:$AK$56,J$4,FALSE))=TRUE,"",
              VLOOKUP($G28,DanaSehat!$L$13:$AK$56,J$4,FALSE)))</t>
  </si>
  <si>
    <t>=IF(ISNUMBER($L$6)=FALSE,"",
        IF(ISERROR(VLOOKUP($G28,DanaSehat!$L$13:$AK$56,K$4,FALSE))=TRUE,"",
              VLOOKUP($G28,DanaSehat!$L$13:$AK$56,K$4,FALSE)))</t>
  </si>
  <si>
    <t>=IF(ISNUMBER($L$6)=FALSE,"",
        IF(ISERROR(VLOOKUP($G28,DanaSehat!$L$13:$AK$56,L$4,FALSE))=TRUE,"",
              VLOOKUP($G28,DanaSehat!$L$13:$AK$56,L$4,FALSE)))</t>
  </si>
  <si>
    <t>=IF(ISNUMBER($L$6)=FALSE,"",
        IF(ISERROR(VLOOKUP($G28,DanaSehat!$L$13:$AK$56,M$4,FALSE))=TRUE,"",
              VLOOKUP($G28,DanaSehat!$L$13:$AK$56,M$4,FALSE)))</t>
  </si>
  <si>
    <t>=IF(ISNUMBER($L$6)=FALSE,"",
        IF(ISERROR(VLOOKUP($G28,DanaSehat!$L$13:$AK$56,N$4,FALSE))=TRUE,"",
              VLOOKUP($G28,DanaSehat!$L$13:$AK$56,N$4,FALSE)))</t>
  </si>
  <si>
    <t>=IF(ISNUMBER($L$6)=FALSE,"",
        IF(ISERROR(VLOOKUP($G28,DanaSehat!$L$13:$AK$56,O$4,FALSE))=TRUE,"",
              VLOOKUP($G28,DanaSehat!$L$13:$AK$56,O$4,FALSE)))</t>
  </si>
  <si>
    <t>=IF(ISNUMBER($L$6)=FALSE,"",
        IF(ISERROR(VLOOKUP($G28,DanaSehat!$L$13:$AK$56,P$4,FALSE))=TRUE,"",
              VLOOKUP($G28,DanaSehat!$L$13:$AK$56,P$4,FALSE)))</t>
  </si>
  <si>
    <t>=IF(ISNUMBER($L$6)=FALSE,"",
        IF(ISERROR(VLOOKUP($G28,DanaSehat!$L$13:$AK$56,Q$4,FALSE))=TRUE,"",
              VLOOKUP($G28,DanaSehat!$L$13:$AK$56,Q$4,FALSE)))</t>
  </si>
  <si>
    <t>=IF(ISNUMBER($L$6)=FALSE,"",
        IF(ISERROR(VLOOKUP($G28,DanaSehat!$L$13:$AK$56,R$4,FALSE))=TRUE,"",
              VLOOKUP($G28,DanaSehat!$L$13:$AK$56,R$4,FALSE)))</t>
  </si>
  <si>
    <t>=IF(ISNUMBER($L$6)=FALSE,"",
        IF(ISERROR(VLOOKUP($G28,DanaSehat!$L$13:$AK$56,S$4,FALSE))=TRUE,"",
              VLOOKUP($G28,DanaSehat!$L$13:$AK$56,S$4,FALSE)))</t>
  </si>
  <si>
    <t>=IF(ISNUMBER($L$6)=FALSE,"",
        IF(ISERROR(VLOOKUP($G28,DanaSehat!$L$13:$AK$56,T$4,FALSE))=TRUE,"",
              VLOOKUP($G28,DanaSehat!$L$13:$AK$56,T$4,FALSE)))</t>
  </si>
  <si>
    <t>=IF(ISNUMBER($L$6)=FALSE,"",
        IF(ISERROR(VLOOKUP($G28,DanaSehat!$L$13:$AK$56,U$4,FALSE))=TRUE,"",
              VLOOKUP($G28,DanaSehat!$L$13:$AK$56,U$4,FALSE)))</t>
  </si>
  <si>
    <t>=IF(ISNUMBER($L$6)=FALSE,"",
        IF(ISERROR(VLOOKUP($G28,DanaSehat!$L$13:$AK$56,V$4,FALSE))=TRUE,"",
              VLOOKUP($G28,DanaSehat!$L$13:$AK$56,V$4,FALSE)))</t>
  </si>
  <si>
    <t>=IF(ISNUMBER($L$6)=FALSE,"",
        IF(ISERROR(VLOOKUP($G28,DanaSehat!$L$13:$AK$56,W$4,FALSE))=TRUE,"",
              VLOOKUP($G28,DanaSehat!$L$13:$AK$56,W$4,FALSE)))</t>
  </si>
  <si>
    <t>=IF(ISNUMBER($L$6)=FALSE,"",
        IF(ISERROR(VLOOKUP($G28,DanaSehat!$L$13:$AK$56,X$4,FALSE))=TRUE,"",
              VLOOKUP($G28,DanaSehat!$L$13:$AK$56,X$4,FALSE)))</t>
  </si>
  <si>
    <t>=IF(ISNUMBER($L$6)=FALSE,"",
        IF(ISERROR(VLOOKUP($G28,DanaSehat!$L$13:$AK$56,Y$4,FALSE))=TRUE,"",
              VLOOKUP($G28,DanaSehat!$L$13:$AK$56,Y$4,FALSE)))</t>
  </si>
  <si>
    <t>=IF(ISNUMBER($L$6)=FALSE,"",
        IF(ISERROR(VLOOKUP($G28,DanaSehat!$L$13:$AK$56,Z$4,FALSE))=TRUE,"",
              VLOOKUP($G28,DanaSehat!$L$13:$AK$56,Z$4,FALSE)))</t>
  </si>
  <si>
    <t>=IF(ISNUMBER($L$6)=FALSE,"",
        IF(ISERROR(VLOOKUP($G28,DanaSehat!$L$13:$AK$56,AA$4,FALSE))=TRUE,"",
              VLOOKUP($G28,DanaSehat!$L$13:$AK$56,AA$4,FALSE)))</t>
  </si>
  <si>
    <t>=IF(ISNUMBER($L$6)=FALSE,"",
        IF(ISERROR(VLOOKUP($G28,DanaSehat!$L$13:$AK$56,AB$4,FALSE))=TRUE,"",
              VLOOKUP($G28,DanaSehat!$L$13:$AK$56,AB$4,FALSE)))</t>
  </si>
  <si>
    <t>=IF(ISNUMBER($L$6)=FALSE,"",
        IF(ISERROR(VLOOKUP($G28,DanaSehat!$L$13:$AK$56,AC$4,FALSE))=TRUE,"",
              VLOOKUP($G28,DanaSehat!$L$13:$AK$56,AC$4,FALSE)))</t>
  </si>
  <si>
    <t>=IF(ISNUMBER($L$6)=FALSE,"",
        IF(ISERROR(VLOOKUP($G28,DanaSehat!$L$13:$AK$56,AD$4,FALSE))=TRUE,"",
              VLOOKUP($G28,DanaSehat!$L$13:$AK$56,AD$4,FALSE)))</t>
  </si>
  <si>
    <t>=IF(ISNUMBER($L$6)=FALSE,"",
        IF(ISERROR(VLOOKUP($G28,DanaSehat!$L$13:$AK$56,AE$4,FALSE))=TRUE,"",
              VLOOKUP($G28,DanaSehat!$L$13:$AK$56,AE$4,FALSE)))</t>
  </si>
  <si>
    <t>=IF(ISNUMBER($L$6)=FALSE,"",
        IF(ISERROR(VLOOKUP($G28,DanaSehat!$L$13:$AK$56,AF$4,FALSE))=TRUE,"",
              VLOOKUP($G28,DanaSehat!$L$13:$AK$56,AF$4,FALSE)))</t>
  </si>
  <si>
    <t>=IF(ISNUMBER($L$6)=FALSE,"",
IF($C29=0,"",VLOOKUP($E29,DanaSehat!$H$13:$L$56,4,FALSE)))</t>
  </si>
  <si>
    <t>=IF(ISNUMBER($L$6)=FALSE,"",
IF($C29=0,"",VLOOKUP($E29,DanaSehat!$H$13:$L$56,5,FALSE)))</t>
  </si>
  <si>
    <t>=IF(ISNUMBER($L$6)=FALSE,"",
        IF(ISERROR(VLOOKUP($G29,DanaSehat!$L$13:$AK$56,I$4,FALSE))=TRUE,"",
              VLOOKUP($G29,DanaSehat!$L$13:$AK$56,I$4,FALSE)))</t>
  </si>
  <si>
    <t>=IF(ISNUMBER($L$6)=FALSE,"",
        IF(ISERROR(VLOOKUP($G29,DanaSehat!$L$13:$AK$56,J$4,FALSE))=TRUE,"",
              VLOOKUP($G29,DanaSehat!$L$13:$AK$56,J$4,FALSE)))</t>
  </si>
  <si>
    <t>=IF(ISNUMBER($L$6)=FALSE,"",
        IF(ISERROR(VLOOKUP($G29,DanaSehat!$L$13:$AK$56,K$4,FALSE))=TRUE,"",
              VLOOKUP($G29,DanaSehat!$L$13:$AK$56,K$4,FALSE)))</t>
  </si>
  <si>
    <t>=IF(ISNUMBER($L$6)=FALSE,"",
        IF(ISERROR(VLOOKUP($G29,DanaSehat!$L$13:$AK$56,L$4,FALSE))=TRUE,"",
              VLOOKUP($G29,DanaSehat!$L$13:$AK$56,L$4,FALSE)))</t>
  </si>
  <si>
    <t>=IF(ISNUMBER($L$6)=FALSE,"",
        IF(ISERROR(VLOOKUP($G29,DanaSehat!$L$13:$AK$56,M$4,FALSE))=TRUE,"",
              VLOOKUP($G29,DanaSehat!$L$13:$AK$56,M$4,FALSE)))</t>
  </si>
  <si>
    <t>=IF(ISNUMBER($L$6)=FALSE,"",
        IF(ISERROR(VLOOKUP($G29,DanaSehat!$L$13:$AK$56,N$4,FALSE))=TRUE,"",
              VLOOKUP($G29,DanaSehat!$L$13:$AK$56,N$4,FALSE)))</t>
  </si>
  <si>
    <t>=IF(ISNUMBER($L$6)=FALSE,"",
        IF(ISERROR(VLOOKUP($G29,DanaSehat!$L$13:$AK$56,O$4,FALSE))=TRUE,"",
              VLOOKUP($G29,DanaSehat!$L$13:$AK$56,O$4,FALSE)))</t>
  </si>
  <si>
    <t>=IF(ISNUMBER($L$6)=FALSE,"",
        IF(ISERROR(VLOOKUP($G29,DanaSehat!$L$13:$AK$56,P$4,FALSE))=TRUE,"",
              VLOOKUP($G29,DanaSehat!$L$13:$AK$56,P$4,FALSE)))</t>
  </si>
  <si>
    <t>=IF(ISNUMBER($L$6)=FALSE,"",
        IF(ISERROR(VLOOKUP($G29,DanaSehat!$L$13:$AK$56,Q$4,FALSE))=TRUE,"",
              VLOOKUP($G29,DanaSehat!$L$13:$AK$56,Q$4,FALSE)))</t>
  </si>
  <si>
    <t>=IF(ISNUMBER($L$6)=FALSE,"",
        IF(ISERROR(VLOOKUP($G29,DanaSehat!$L$13:$AK$56,R$4,FALSE))=TRUE,"",
              VLOOKUP($G29,DanaSehat!$L$13:$AK$56,R$4,FALSE)))</t>
  </si>
  <si>
    <t>=IF(ISNUMBER($L$6)=FALSE,"",
        IF(ISERROR(VLOOKUP($G29,DanaSehat!$L$13:$AK$56,S$4,FALSE))=TRUE,"",
              VLOOKUP($G29,DanaSehat!$L$13:$AK$56,S$4,FALSE)))</t>
  </si>
  <si>
    <t>=IF(ISNUMBER($L$6)=FALSE,"",
        IF(ISERROR(VLOOKUP($G29,DanaSehat!$L$13:$AK$56,T$4,FALSE))=TRUE,"",
              VLOOKUP($G29,DanaSehat!$L$13:$AK$56,T$4,FALSE)))</t>
  </si>
  <si>
    <t>=IF(ISNUMBER($L$6)=FALSE,"",
        IF(ISERROR(VLOOKUP($G29,DanaSehat!$L$13:$AK$56,U$4,FALSE))=TRUE,"",
              VLOOKUP($G29,DanaSehat!$L$13:$AK$56,U$4,FALSE)))</t>
  </si>
  <si>
    <t>=IF(ISNUMBER($L$6)=FALSE,"",
        IF(ISERROR(VLOOKUP($G29,DanaSehat!$L$13:$AK$56,V$4,FALSE))=TRUE,"",
              VLOOKUP($G29,DanaSehat!$L$13:$AK$56,V$4,FALSE)))</t>
  </si>
  <si>
    <t>=IF(ISNUMBER($L$6)=FALSE,"",
        IF(ISERROR(VLOOKUP($G29,DanaSehat!$L$13:$AK$56,W$4,FALSE))=TRUE,"",
              VLOOKUP($G29,DanaSehat!$L$13:$AK$56,W$4,FALSE)))</t>
  </si>
  <si>
    <t>=IF(ISNUMBER($L$6)=FALSE,"",
        IF(ISERROR(VLOOKUP($G29,DanaSehat!$L$13:$AK$56,X$4,FALSE))=TRUE,"",
              VLOOKUP($G29,DanaSehat!$L$13:$AK$56,X$4,FALSE)))</t>
  </si>
  <si>
    <t>=IF(ISNUMBER($L$6)=FALSE,"",
        IF(ISERROR(VLOOKUP($G29,DanaSehat!$L$13:$AK$56,Y$4,FALSE))=TRUE,"",
              VLOOKUP($G29,DanaSehat!$L$13:$AK$56,Y$4,FALSE)))</t>
  </si>
  <si>
    <t>=IF(ISNUMBER($L$6)=FALSE,"",
        IF(ISERROR(VLOOKUP($G29,DanaSehat!$L$13:$AK$56,Z$4,FALSE))=TRUE,"",
              VLOOKUP($G29,DanaSehat!$L$13:$AK$56,Z$4,FALSE)))</t>
  </si>
  <si>
    <t>=IF(ISNUMBER($L$6)=FALSE,"",
        IF(ISERROR(VLOOKUP($G29,DanaSehat!$L$13:$AK$56,AA$4,FALSE))=TRUE,"",
              VLOOKUP($G29,DanaSehat!$L$13:$AK$56,AA$4,FALSE)))</t>
  </si>
  <si>
    <t>=IF(ISNUMBER($L$6)=FALSE,"",
        IF(ISERROR(VLOOKUP($G29,DanaSehat!$L$13:$AK$56,AB$4,FALSE))=TRUE,"",
              VLOOKUP($G29,DanaSehat!$L$13:$AK$56,AB$4,FALSE)))</t>
  </si>
  <si>
    <t>=IF(ISNUMBER($L$6)=FALSE,"",
        IF(ISERROR(VLOOKUP($G29,DanaSehat!$L$13:$AK$56,AC$4,FALSE))=TRUE,"",
              VLOOKUP($G29,DanaSehat!$L$13:$AK$56,AC$4,FALSE)))</t>
  </si>
  <si>
    <t>=IF(ISNUMBER($L$6)=FALSE,"",
        IF(ISERROR(VLOOKUP($G29,DanaSehat!$L$13:$AK$56,AD$4,FALSE))=TRUE,"",
              VLOOKUP($G29,DanaSehat!$L$13:$AK$56,AD$4,FALSE)))</t>
  </si>
  <si>
    <t>=IF(ISNUMBER($L$6)=FALSE,"",
        IF(ISERROR(VLOOKUP($G29,DanaSehat!$L$13:$AK$56,AE$4,FALSE))=TRUE,"",
              VLOOKUP($G29,DanaSehat!$L$13:$AK$56,AE$4,FALSE)))</t>
  </si>
  <si>
    <t>=IF(ISNUMBER($L$6)=FALSE,"",
        IF(ISERROR(VLOOKUP($G29,DanaSehat!$L$13:$AK$56,AF$4,FALSE))=TRUE,"",
              VLOOKUP($G29,DanaSehat!$L$13:$AK$56,AF$4,FALSE)))</t>
  </si>
  <si>
    <t>=IF(ISNUMBER($L$6)=FALSE,"",
IF($C30=0,"",VLOOKUP($E30,DanaSehat!$H$13:$L$56,4,FALSE)))</t>
  </si>
  <si>
    <t>=IF(ISNUMBER($L$6)=FALSE,"",
IF($C30=0,"",VLOOKUP($E30,DanaSehat!$H$13:$L$56,5,FALSE)))</t>
  </si>
  <si>
    <t>=IF(ISNUMBER($L$6)=FALSE,"",
        IF(ISERROR(VLOOKUP($G30,DanaSehat!$L$13:$AK$56,I$4,FALSE))=TRUE,"",
              VLOOKUP($G30,DanaSehat!$L$13:$AK$56,I$4,FALSE)))</t>
  </si>
  <si>
    <t>=IF(ISNUMBER($L$6)=FALSE,"",
        IF(ISERROR(VLOOKUP($G30,DanaSehat!$L$13:$AK$56,J$4,FALSE))=TRUE,"",
              VLOOKUP($G30,DanaSehat!$L$13:$AK$56,J$4,FALSE)))</t>
  </si>
  <si>
    <t>=IF(ISNUMBER($L$6)=FALSE,"",
        IF(ISERROR(VLOOKUP($G30,DanaSehat!$L$13:$AK$56,K$4,FALSE))=TRUE,"",
              VLOOKUP($G30,DanaSehat!$L$13:$AK$56,K$4,FALSE)))</t>
  </si>
  <si>
    <t>=IF(ISNUMBER($L$6)=FALSE,"",
        IF(ISERROR(VLOOKUP($G30,DanaSehat!$L$13:$AK$56,L$4,FALSE))=TRUE,"",
              VLOOKUP($G30,DanaSehat!$L$13:$AK$56,L$4,FALSE)))</t>
  </si>
  <si>
    <t>=IF(ISNUMBER($L$6)=FALSE,"",
        IF(ISERROR(VLOOKUP($G30,DanaSehat!$L$13:$AK$56,M$4,FALSE))=TRUE,"",
              VLOOKUP($G30,DanaSehat!$L$13:$AK$56,M$4,FALSE)))</t>
  </si>
  <si>
    <t>=IF(ISNUMBER($L$6)=FALSE,"",
        IF(ISERROR(VLOOKUP($G30,DanaSehat!$L$13:$AK$56,N$4,FALSE))=TRUE,"",
              VLOOKUP($G30,DanaSehat!$L$13:$AK$56,N$4,FALSE)))</t>
  </si>
  <si>
    <t>=IF(ISNUMBER($L$6)=FALSE,"",
        IF(ISERROR(VLOOKUP($G30,DanaSehat!$L$13:$AK$56,O$4,FALSE))=TRUE,"",
              VLOOKUP($G30,DanaSehat!$L$13:$AK$56,O$4,FALSE)))</t>
  </si>
  <si>
    <t>=IF(ISNUMBER($L$6)=FALSE,"",
        IF(ISERROR(VLOOKUP($G30,DanaSehat!$L$13:$AK$56,P$4,FALSE))=TRUE,"",
              VLOOKUP($G30,DanaSehat!$L$13:$AK$56,P$4,FALSE)))</t>
  </si>
  <si>
    <t>=IF(ISNUMBER($L$6)=FALSE,"",
        IF(ISERROR(VLOOKUP($G30,DanaSehat!$L$13:$AK$56,Q$4,FALSE))=TRUE,"",
              VLOOKUP($G30,DanaSehat!$L$13:$AK$56,Q$4,FALSE)))</t>
  </si>
  <si>
    <t>=IF(ISNUMBER($L$6)=FALSE,"",
        IF(ISERROR(VLOOKUP($G30,DanaSehat!$L$13:$AK$56,R$4,FALSE))=TRUE,"",
              VLOOKUP($G30,DanaSehat!$L$13:$AK$56,R$4,FALSE)))</t>
  </si>
  <si>
    <t>=IF(ISNUMBER($L$6)=FALSE,"",
        IF(ISERROR(VLOOKUP($G30,DanaSehat!$L$13:$AK$56,S$4,FALSE))=TRUE,"",
              VLOOKUP($G30,DanaSehat!$L$13:$AK$56,S$4,FALSE)))</t>
  </si>
  <si>
    <t>=IF(ISNUMBER($L$6)=FALSE,"",
        IF(ISERROR(VLOOKUP($G30,DanaSehat!$L$13:$AK$56,T$4,FALSE))=TRUE,"",
              VLOOKUP($G30,DanaSehat!$L$13:$AK$56,T$4,FALSE)))</t>
  </si>
  <si>
    <t>=IF(ISNUMBER($L$6)=FALSE,"",
        IF(ISERROR(VLOOKUP($G30,DanaSehat!$L$13:$AK$56,U$4,FALSE))=TRUE,"",
              VLOOKUP($G30,DanaSehat!$L$13:$AK$56,U$4,FALSE)))</t>
  </si>
  <si>
    <t>=IF(ISNUMBER($L$6)=FALSE,"",
        IF(ISERROR(VLOOKUP($G30,DanaSehat!$L$13:$AK$56,V$4,FALSE))=TRUE,"",
              VLOOKUP($G30,DanaSehat!$L$13:$AK$56,V$4,FALSE)))</t>
  </si>
  <si>
    <t>=IF(ISNUMBER($L$6)=FALSE,"",
        IF(ISERROR(VLOOKUP($G30,DanaSehat!$L$13:$AK$56,W$4,FALSE))=TRUE,"",
              VLOOKUP($G30,DanaSehat!$L$13:$AK$56,W$4,FALSE)))</t>
  </si>
  <si>
    <t>=IF(ISNUMBER($L$6)=FALSE,"",
        IF(ISERROR(VLOOKUP($G30,DanaSehat!$L$13:$AK$56,X$4,FALSE))=TRUE,"",
              VLOOKUP($G30,DanaSehat!$L$13:$AK$56,X$4,FALSE)))</t>
  </si>
  <si>
    <t>=IF(ISNUMBER($L$6)=FALSE,"",
        IF(ISERROR(VLOOKUP($G30,DanaSehat!$L$13:$AK$56,Y$4,FALSE))=TRUE,"",
              VLOOKUP($G30,DanaSehat!$L$13:$AK$56,Y$4,FALSE)))</t>
  </si>
  <si>
    <t>=IF(ISNUMBER($L$6)=FALSE,"",
        IF(ISERROR(VLOOKUP($G30,DanaSehat!$L$13:$AK$56,Z$4,FALSE))=TRUE,"",
              VLOOKUP($G30,DanaSehat!$L$13:$AK$56,Z$4,FALSE)))</t>
  </si>
  <si>
    <t>=IF(ISNUMBER($L$6)=FALSE,"",
        IF(ISERROR(VLOOKUP($G30,DanaSehat!$L$13:$AK$56,AA$4,FALSE))=TRUE,"",
              VLOOKUP($G30,DanaSehat!$L$13:$AK$56,AA$4,FALSE)))</t>
  </si>
  <si>
    <t>=IF(ISNUMBER($L$6)=FALSE,"",
        IF(ISERROR(VLOOKUP($G30,DanaSehat!$L$13:$AK$56,AB$4,FALSE))=TRUE,"",
              VLOOKUP($G30,DanaSehat!$L$13:$AK$56,AB$4,FALSE)))</t>
  </si>
  <si>
    <t>=IF(ISNUMBER($L$6)=FALSE,"",
        IF(ISERROR(VLOOKUP($G30,DanaSehat!$L$13:$AK$56,AC$4,FALSE))=TRUE,"",
              VLOOKUP($G30,DanaSehat!$L$13:$AK$56,AC$4,FALSE)))</t>
  </si>
  <si>
    <t>=IF(ISNUMBER($L$6)=FALSE,"",
        IF(ISERROR(VLOOKUP($G30,DanaSehat!$L$13:$AK$56,AD$4,FALSE))=TRUE,"",
              VLOOKUP($G30,DanaSehat!$L$13:$AK$56,AD$4,FALSE)))</t>
  </si>
  <si>
    <t>=IF(ISNUMBER($L$6)=FALSE,"",
        IF(ISERROR(VLOOKUP($G30,DanaSehat!$L$13:$AK$56,AE$4,FALSE))=TRUE,"",
              VLOOKUP($G30,DanaSehat!$L$13:$AK$56,AE$4,FALSE)))</t>
  </si>
  <si>
    <t>=IF(ISNUMBER($L$6)=FALSE,"",
        IF(ISERROR(VLOOKUP($G30,DanaSehat!$L$13:$AK$56,AF$4,FALSE))=TRUE,"",
              VLOOKUP($G30,DanaSehat!$L$13:$AK$56,AF$4,FALSE)))</t>
  </si>
  <si>
    <t>=IF(ISNUMBER($L$6)=FALSE,"",
IF($C31=0,"",VLOOKUP($E31,DanaSehat!$H$13:$L$56,4,FALSE)))</t>
  </si>
  <si>
    <t>=IF(ISNUMBER($L$6)=FALSE,"",
IF($C31=0,"",VLOOKUP($E31,DanaSehat!$H$13:$L$56,5,FALSE)))</t>
  </si>
  <si>
    <t>=IF(ISNUMBER($L$6)=FALSE,"",
        IF(ISERROR(VLOOKUP($G31,DanaSehat!$L$13:$AK$56,I$4,FALSE))=TRUE,"",
              VLOOKUP($G31,DanaSehat!$L$13:$AK$56,I$4,FALSE)))</t>
  </si>
  <si>
    <t>=IF(ISNUMBER($L$6)=FALSE,"",
        IF(ISERROR(VLOOKUP($G31,DanaSehat!$L$13:$AK$56,J$4,FALSE))=TRUE,"",
              VLOOKUP($G31,DanaSehat!$L$13:$AK$56,J$4,FALSE)))</t>
  </si>
  <si>
    <t>=IF(ISNUMBER($L$6)=FALSE,"",
        IF(ISERROR(VLOOKUP($G31,DanaSehat!$L$13:$AK$56,K$4,FALSE))=TRUE,"",
              VLOOKUP($G31,DanaSehat!$L$13:$AK$56,K$4,FALSE)))</t>
  </si>
  <si>
    <t>=IF(ISNUMBER($L$6)=FALSE,"",
        IF(ISERROR(VLOOKUP($G31,DanaSehat!$L$13:$AK$56,L$4,FALSE))=TRUE,"",
              VLOOKUP($G31,DanaSehat!$L$13:$AK$56,L$4,FALSE)))</t>
  </si>
  <si>
    <t>=IF(ISNUMBER($L$6)=FALSE,"",
        IF(ISERROR(VLOOKUP($G31,DanaSehat!$L$13:$AK$56,M$4,FALSE))=TRUE,"",
              VLOOKUP($G31,DanaSehat!$L$13:$AK$56,M$4,FALSE)))</t>
  </si>
  <si>
    <t>=IF(ISNUMBER($L$6)=FALSE,"",
        IF(ISERROR(VLOOKUP($G31,DanaSehat!$L$13:$AK$56,N$4,FALSE))=TRUE,"",
              VLOOKUP($G31,DanaSehat!$L$13:$AK$56,N$4,FALSE)))</t>
  </si>
  <si>
    <t>=IF(ISNUMBER($L$6)=FALSE,"",
        IF(ISERROR(VLOOKUP($G31,DanaSehat!$L$13:$AK$56,O$4,FALSE))=TRUE,"",
              VLOOKUP($G31,DanaSehat!$L$13:$AK$56,O$4,FALSE)))</t>
  </si>
  <si>
    <t>=IF(ISNUMBER($L$6)=FALSE,"",
        IF(ISERROR(VLOOKUP($G31,DanaSehat!$L$13:$AK$56,P$4,FALSE))=TRUE,"",
              VLOOKUP($G31,DanaSehat!$L$13:$AK$56,P$4,FALSE)))</t>
  </si>
  <si>
    <t>=IF(ISNUMBER($L$6)=FALSE,"",
        IF(ISERROR(VLOOKUP($G31,DanaSehat!$L$13:$AK$56,Q$4,FALSE))=TRUE,"",
              VLOOKUP($G31,DanaSehat!$L$13:$AK$56,Q$4,FALSE)))</t>
  </si>
  <si>
    <t>=IF(ISNUMBER($L$6)=FALSE,"",
        IF(ISERROR(VLOOKUP($G31,DanaSehat!$L$13:$AK$56,R$4,FALSE))=TRUE,"",
              VLOOKUP($G31,DanaSehat!$L$13:$AK$56,R$4,FALSE)))</t>
  </si>
  <si>
    <t>=IF(ISNUMBER($L$6)=FALSE,"",
        IF(ISERROR(VLOOKUP($G31,DanaSehat!$L$13:$AK$56,S$4,FALSE))=TRUE,"",
              VLOOKUP($G31,DanaSehat!$L$13:$AK$56,S$4,FALSE)))</t>
  </si>
  <si>
    <t>=IF(ISNUMBER($L$6)=FALSE,"",
        IF(ISERROR(VLOOKUP($G31,DanaSehat!$L$13:$AK$56,T$4,FALSE))=TRUE,"",
              VLOOKUP($G31,DanaSehat!$L$13:$AK$56,T$4,FALSE)))</t>
  </si>
  <si>
    <t>=IF(ISNUMBER($L$6)=FALSE,"",
        IF(ISERROR(VLOOKUP($G31,DanaSehat!$L$13:$AK$56,U$4,FALSE))=TRUE,"",
              VLOOKUP($G31,DanaSehat!$L$13:$AK$56,U$4,FALSE)))</t>
  </si>
  <si>
    <t>=IF(ISNUMBER($L$6)=FALSE,"",
        IF(ISERROR(VLOOKUP($G31,DanaSehat!$L$13:$AK$56,V$4,FALSE))=TRUE,"",
              VLOOKUP($G31,DanaSehat!$L$13:$AK$56,V$4,FALSE)))</t>
  </si>
  <si>
    <t>=IF(ISNUMBER($L$6)=FALSE,"",
        IF(ISERROR(VLOOKUP($G31,DanaSehat!$L$13:$AK$56,W$4,FALSE))=TRUE,"",
              VLOOKUP($G31,DanaSehat!$L$13:$AK$56,W$4,FALSE)))</t>
  </si>
  <si>
    <t>=IF(ISNUMBER($L$6)=FALSE,"",
        IF(ISERROR(VLOOKUP($G31,DanaSehat!$L$13:$AK$56,X$4,FALSE))=TRUE,"",
              VLOOKUP($G31,DanaSehat!$L$13:$AK$56,X$4,FALSE)))</t>
  </si>
  <si>
    <t>=IF(ISNUMBER($L$6)=FALSE,"",
        IF(ISERROR(VLOOKUP($G31,DanaSehat!$L$13:$AK$56,Y$4,FALSE))=TRUE,"",
              VLOOKUP($G31,DanaSehat!$L$13:$AK$56,Y$4,FALSE)))</t>
  </si>
  <si>
    <t>=IF(ISNUMBER($L$6)=FALSE,"",
        IF(ISERROR(VLOOKUP($G31,DanaSehat!$L$13:$AK$56,Z$4,FALSE))=TRUE,"",
              VLOOKUP($G31,DanaSehat!$L$13:$AK$56,Z$4,FALSE)))</t>
  </si>
  <si>
    <t>=IF(ISNUMBER($L$6)=FALSE,"",
        IF(ISERROR(VLOOKUP($G31,DanaSehat!$L$13:$AK$56,AA$4,FALSE))=TRUE,"",
              VLOOKUP($G31,DanaSehat!$L$13:$AK$56,AA$4,FALSE)))</t>
  </si>
  <si>
    <t>=IF(ISNUMBER($L$6)=FALSE,"",
        IF(ISERROR(VLOOKUP($G31,DanaSehat!$L$13:$AK$56,AB$4,FALSE))=TRUE,"",
              VLOOKUP($G31,DanaSehat!$L$13:$AK$56,AB$4,FALSE)))</t>
  </si>
  <si>
    <t>=IF(ISNUMBER($L$6)=FALSE,"",
        IF(ISERROR(VLOOKUP($G31,DanaSehat!$L$13:$AK$56,AC$4,FALSE))=TRUE,"",
              VLOOKUP($G31,DanaSehat!$L$13:$AK$56,AC$4,FALSE)))</t>
  </si>
  <si>
    <t>=IF(ISNUMBER($L$6)=FALSE,"",
        IF(ISERROR(VLOOKUP($G31,DanaSehat!$L$13:$AK$56,AD$4,FALSE))=TRUE,"",
              VLOOKUP($G31,DanaSehat!$L$13:$AK$56,AD$4,FALSE)))</t>
  </si>
  <si>
    <t>=IF(ISNUMBER($L$6)=FALSE,"",
        IF(ISERROR(VLOOKUP($G31,DanaSehat!$L$13:$AK$56,AE$4,FALSE))=TRUE,"",
              VLOOKUP($G31,DanaSehat!$L$13:$AK$56,AE$4,FALSE)))</t>
  </si>
  <si>
    <t>=IF(ISNUMBER($L$6)=FALSE,"",
        IF(ISERROR(VLOOKUP($G31,DanaSehat!$L$13:$AK$56,AF$4,FALSE))=TRUE,"",
              VLOOKUP($G31,DanaSehat!$L$13:$AK$56,AF$4,FALSE)))</t>
  </si>
  <si>
    <t>=IF(ISNUMBER($L$6)=FALSE,"",
IF($C32=0,"",VLOOKUP($E32,DanaSehat!$H$13:$L$56,4,FALSE)))</t>
  </si>
  <si>
    <t>=IF(ISNUMBER($L$6)=FALSE,"",
IF($C32=0,"",VLOOKUP($E32,DanaSehat!$H$13:$L$56,5,FALSE)))</t>
  </si>
  <si>
    <t>=IF(ISNUMBER($L$6)=FALSE,"",
        IF(ISERROR(VLOOKUP($G32,DanaSehat!$L$13:$AK$56,I$4,FALSE))=TRUE,"",
              VLOOKUP($G32,DanaSehat!$L$13:$AK$56,I$4,FALSE)))</t>
  </si>
  <si>
    <t>=IF(ISNUMBER($L$6)=FALSE,"",
        IF(ISERROR(VLOOKUP($G32,DanaSehat!$L$13:$AK$56,J$4,FALSE))=TRUE,"",
              VLOOKUP($G32,DanaSehat!$L$13:$AK$56,J$4,FALSE)))</t>
  </si>
  <si>
    <t>=IF(ISNUMBER($L$6)=FALSE,"",
        IF(ISERROR(VLOOKUP($G32,DanaSehat!$L$13:$AK$56,K$4,FALSE))=TRUE,"",
              VLOOKUP($G32,DanaSehat!$L$13:$AK$56,K$4,FALSE)))</t>
  </si>
  <si>
    <t>=IF(ISNUMBER($L$6)=FALSE,"",
        IF(ISERROR(VLOOKUP($G32,DanaSehat!$L$13:$AK$56,L$4,FALSE))=TRUE,"",
              VLOOKUP($G32,DanaSehat!$L$13:$AK$56,L$4,FALSE)))</t>
  </si>
  <si>
    <t>=IF(ISNUMBER($L$6)=FALSE,"",
        IF(ISERROR(VLOOKUP($G32,DanaSehat!$L$13:$AK$56,M$4,FALSE))=TRUE,"",
              VLOOKUP($G32,DanaSehat!$L$13:$AK$56,M$4,FALSE)))</t>
  </si>
  <si>
    <t>=IF(ISNUMBER($L$6)=FALSE,"",
        IF(ISERROR(VLOOKUP($G32,DanaSehat!$L$13:$AK$56,N$4,FALSE))=TRUE,"",
              VLOOKUP($G32,DanaSehat!$L$13:$AK$56,N$4,FALSE)))</t>
  </si>
  <si>
    <t>=IF(ISNUMBER($L$6)=FALSE,"",
        IF(ISERROR(VLOOKUP($G32,DanaSehat!$L$13:$AK$56,O$4,FALSE))=TRUE,"",
              VLOOKUP($G32,DanaSehat!$L$13:$AK$56,O$4,FALSE)))</t>
  </si>
  <si>
    <t>=IF(ISNUMBER($L$6)=FALSE,"",
        IF(ISERROR(VLOOKUP($G32,DanaSehat!$L$13:$AK$56,P$4,FALSE))=TRUE,"",
              VLOOKUP($G32,DanaSehat!$L$13:$AK$56,P$4,FALSE)))</t>
  </si>
  <si>
    <t>=IF(ISNUMBER($L$6)=FALSE,"",
        IF(ISERROR(VLOOKUP($G32,DanaSehat!$L$13:$AK$56,Q$4,FALSE))=TRUE,"",
              VLOOKUP($G32,DanaSehat!$L$13:$AK$56,Q$4,FALSE)))</t>
  </si>
  <si>
    <t>=IF(ISNUMBER($L$6)=FALSE,"",
        IF(ISERROR(VLOOKUP($G32,DanaSehat!$L$13:$AK$56,R$4,FALSE))=TRUE,"",
              VLOOKUP($G32,DanaSehat!$L$13:$AK$56,R$4,FALSE)))</t>
  </si>
  <si>
    <t>=IF(ISNUMBER($L$6)=FALSE,"",
        IF(ISERROR(VLOOKUP($G32,DanaSehat!$L$13:$AK$56,S$4,FALSE))=TRUE,"",
              VLOOKUP($G32,DanaSehat!$L$13:$AK$56,S$4,FALSE)))</t>
  </si>
  <si>
    <t>=IF(ISNUMBER($L$6)=FALSE,"",
        IF(ISERROR(VLOOKUP($G32,DanaSehat!$L$13:$AK$56,T$4,FALSE))=TRUE,"",
              VLOOKUP($G32,DanaSehat!$L$13:$AK$56,T$4,FALSE)))</t>
  </si>
  <si>
    <t>=IF(ISNUMBER($L$6)=FALSE,"",
        IF(ISERROR(VLOOKUP($G32,DanaSehat!$L$13:$AK$56,U$4,FALSE))=TRUE,"",
              VLOOKUP($G32,DanaSehat!$L$13:$AK$56,U$4,FALSE)))</t>
  </si>
  <si>
    <t>=IF(ISNUMBER($L$6)=FALSE,"",
        IF(ISERROR(VLOOKUP($G32,DanaSehat!$L$13:$AK$56,V$4,FALSE))=TRUE,"",
              VLOOKUP($G32,DanaSehat!$L$13:$AK$56,V$4,FALSE)))</t>
  </si>
  <si>
    <t>=IF(ISNUMBER($L$6)=FALSE,"",
        IF(ISERROR(VLOOKUP($G32,DanaSehat!$L$13:$AK$56,W$4,FALSE))=TRUE,"",
              VLOOKUP($G32,DanaSehat!$L$13:$AK$56,W$4,FALSE)))</t>
  </si>
  <si>
    <t>=IF(ISNUMBER($L$6)=FALSE,"",
        IF(ISERROR(VLOOKUP($G32,DanaSehat!$L$13:$AK$56,X$4,FALSE))=TRUE,"",
              VLOOKUP($G32,DanaSehat!$L$13:$AK$56,X$4,FALSE)))</t>
  </si>
  <si>
    <t>=IF(ISNUMBER($L$6)=FALSE,"",
        IF(ISERROR(VLOOKUP($G32,DanaSehat!$L$13:$AK$56,Y$4,FALSE))=TRUE,"",
              VLOOKUP($G32,DanaSehat!$L$13:$AK$56,Y$4,FALSE)))</t>
  </si>
  <si>
    <t>=IF(ISNUMBER($L$6)=FALSE,"",
        IF(ISERROR(VLOOKUP($G32,DanaSehat!$L$13:$AK$56,Z$4,FALSE))=TRUE,"",
              VLOOKUP($G32,DanaSehat!$L$13:$AK$56,Z$4,FALSE)))</t>
  </si>
  <si>
    <t>=IF(ISNUMBER($L$6)=FALSE,"",
        IF(ISERROR(VLOOKUP($G32,DanaSehat!$L$13:$AK$56,AA$4,FALSE))=TRUE,"",
              VLOOKUP($G32,DanaSehat!$L$13:$AK$56,AA$4,FALSE)))</t>
  </si>
  <si>
    <t>=IF(ISNUMBER($L$6)=FALSE,"",
        IF(ISERROR(VLOOKUP($G32,DanaSehat!$L$13:$AK$56,AB$4,FALSE))=TRUE,"",
              VLOOKUP($G32,DanaSehat!$L$13:$AK$56,AB$4,FALSE)))</t>
  </si>
  <si>
    <t>=IF(ISNUMBER($L$6)=FALSE,"",
        IF(ISERROR(VLOOKUP($G32,DanaSehat!$L$13:$AK$56,AC$4,FALSE))=TRUE,"",
              VLOOKUP($G32,DanaSehat!$L$13:$AK$56,AC$4,FALSE)))</t>
  </si>
  <si>
    <t>=IF(ISNUMBER($L$6)=FALSE,"",
        IF(ISERROR(VLOOKUP($G32,DanaSehat!$L$13:$AK$56,AD$4,FALSE))=TRUE,"",
              VLOOKUP($G32,DanaSehat!$L$13:$AK$56,AD$4,FALSE)))</t>
  </si>
  <si>
    <t>=IF(ISNUMBER($L$6)=FALSE,"",
        IF(ISERROR(VLOOKUP($G32,DanaSehat!$L$13:$AK$56,AE$4,FALSE))=TRUE,"",
              VLOOKUP($G32,DanaSehat!$L$13:$AK$56,AE$4,FALSE)))</t>
  </si>
  <si>
    <t>=IF(ISNUMBER($L$6)=FALSE,"",
        IF(ISERROR(VLOOKUP($G32,DanaSehat!$L$13:$AK$56,AF$4,FALSE))=TRUE,"",
              VLOOKUP($G32,DanaSehat!$L$13:$AK$56,AF$4,FALSE)))</t>
  </si>
  <si>
    <t>=IF(ISNUMBER($L$6)=FALSE,"",
IF($C33=0,"",VLOOKUP($E33,DanaSehat!$H$13:$L$56,4,FALSE)))</t>
  </si>
  <si>
    <t>=IF(ISNUMBER($L$6)=FALSE,"",
IF($C33=0,"",VLOOKUP($E33,DanaSehat!$H$13:$L$56,5,FALSE)))</t>
  </si>
  <si>
    <t>=IF(ISNUMBER($L$6)=FALSE,"",
        IF(ISERROR(VLOOKUP($G33,DanaSehat!$L$13:$AK$56,I$4,FALSE))=TRUE,"",
              VLOOKUP($G33,DanaSehat!$L$13:$AK$56,I$4,FALSE)))</t>
  </si>
  <si>
    <t>=IF(ISNUMBER($L$6)=FALSE,"",
        IF(ISERROR(VLOOKUP($G33,DanaSehat!$L$13:$AK$56,J$4,FALSE))=TRUE,"",
              VLOOKUP($G33,DanaSehat!$L$13:$AK$56,J$4,FALSE)))</t>
  </si>
  <si>
    <t>=IF(ISNUMBER($L$6)=FALSE,"",
        IF(ISERROR(VLOOKUP($G33,DanaSehat!$L$13:$AK$56,K$4,FALSE))=TRUE,"",
              VLOOKUP($G33,DanaSehat!$L$13:$AK$56,K$4,FALSE)))</t>
  </si>
  <si>
    <t>=IF(ISNUMBER($L$6)=FALSE,"",
        IF(ISERROR(VLOOKUP($G33,DanaSehat!$L$13:$AK$56,L$4,FALSE))=TRUE,"",
              VLOOKUP($G33,DanaSehat!$L$13:$AK$56,L$4,FALSE)))</t>
  </si>
  <si>
    <t>=IF(ISNUMBER($L$6)=FALSE,"",
        IF(ISERROR(VLOOKUP($G33,DanaSehat!$L$13:$AK$56,M$4,FALSE))=TRUE,"",
              VLOOKUP($G33,DanaSehat!$L$13:$AK$56,M$4,FALSE)))</t>
  </si>
  <si>
    <t>=IF(ISNUMBER($L$6)=FALSE,"",
        IF(ISERROR(VLOOKUP($G33,DanaSehat!$L$13:$AK$56,N$4,FALSE))=TRUE,"",
              VLOOKUP($G33,DanaSehat!$L$13:$AK$56,N$4,FALSE)))</t>
  </si>
  <si>
    <t>=IF(ISNUMBER($L$6)=FALSE,"",
        IF(ISERROR(VLOOKUP($G33,DanaSehat!$L$13:$AK$56,O$4,FALSE))=TRUE,"",
              VLOOKUP($G33,DanaSehat!$L$13:$AK$56,O$4,FALSE)))</t>
  </si>
  <si>
    <t>=IF(ISNUMBER($L$6)=FALSE,"",
        IF(ISERROR(VLOOKUP($G33,DanaSehat!$L$13:$AK$56,P$4,FALSE))=TRUE,"",
              VLOOKUP($G33,DanaSehat!$L$13:$AK$56,P$4,FALSE)))</t>
  </si>
  <si>
    <t>=IF(ISNUMBER($L$6)=FALSE,"",
        IF(ISERROR(VLOOKUP($G33,DanaSehat!$L$13:$AK$56,Q$4,FALSE))=TRUE,"",
              VLOOKUP($G33,DanaSehat!$L$13:$AK$56,Q$4,FALSE)))</t>
  </si>
  <si>
    <t>=IF(ISNUMBER($L$6)=FALSE,"",
        IF(ISERROR(VLOOKUP($G33,DanaSehat!$L$13:$AK$56,R$4,FALSE))=TRUE,"",
              VLOOKUP($G33,DanaSehat!$L$13:$AK$56,R$4,FALSE)))</t>
  </si>
  <si>
    <t>=IF(ISNUMBER($L$6)=FALSE,"",
        IF(ISERROR(VLOOKUP($G33,DanaSehat!$L$13:$AK$56,S$4,FALSE))=TRUE,"",
              VLOOKUP($G33,DanaSehat!$L$13:$AK$56,S$4,FALSE)))</t>
  </si>
  <si>
    <t>=IF(ISNUMBER($L$6)=FALSE,"",
        IF(ISERROR(VLOOKUP($G33,DanaSehat!$L$13:$AK$56,T$4,FALSE))=TRUE,"",
              VLOOKUP($G33,DanaSehat!$L$13:$AK$56,T$4,FALSE)))</t>
  </si>
  <si>
    <t>=IF(ISNUMBER($L$6)=FALSE,"",
        IF(ISERROR(VLOOKUP($G33,DanaSehat!$L$13:$AK$56,U$4,FALSE))=TRUE,"",
              VLOOKUP($G33,DanaSehat!$L$13:$AK$56,U$4,FALSE)))</t>
  </si>
  <si>
    <t>=IF(ISNUMBER($L$6)=FALSE,"",
        IF(ISERROR(VLOOKUP($G33,DanaSehat!$L$13:$AK$56,V$4,FALSE))=TRUE,"",
              VLOOKUP($G33,DanaSehat!$L$13:$AK$56,V$4,FALSE)))</t>
  </si>
  <si>
    <t>=IF(ISNUMBER($L$6)=FALSE,"",
        IF(ISERROR(VLOOKUP($G33,DanaSehat!$L$13:$AK$56,W$4,FALSE))=TRUE,"",
              VLOOKUP($G33,DanaSehat!$L$13:$AK$56,W$4,FALSE)))</t>
  </si>
  <si>
    <t>=IF(ISNUMBER($L$6)=FALSE,"",
        IF(ISERROR(VLOOKUP($G33,DanaSehat!$L$13:$AK$56,X$4,FALSE))=TRUE,"",
              VLOOKUP($G33,DanaSehat!$L$13:$AK$56,X$4,FALSE)))</t>
  </si>
  <si>
    <t>=IF(ISNUMBER($L$6)=FALSE,"",
        IF(ISERROR(VLOOKUP($G33,DanaSehat!$L$13:$AK$56,Y$4,FALSE))=TRUE,"",
              VLOOKUP($G33,DanaSehat!$L$13:$AK$56,Y$4,FALSE)))</t>
  </si>
  <si>
    <t>=IF(ISNUMBER($L$6)=FALSE,"",
        IF(ISERROR(VLOOKUP($G33,DanaSehat!$L$13:$AK$56,Z$4,FALSE))=TRUE,"",
              VLOOKUP($G33,DanaSehat!$L$13:$AK$56,Z$4,FALSE)))</t>
  </si>
  <si>
    <t>=IF(ISNUMBER($L$6)=FALSE,"",
        IF(ISERROR(VLOOKUP($G33,DanaSehat!$L$13:$AK$56,AA$4,FALSE))=TRUE,"",
              VLOOKUP($G33,DanaSehat!$L$13:$AK$56,AA$4,FALSE)))</t>
  </si>
  <si>
    <t>=IF(ISNUMBER($L$6)=FALSE,"",
        IF(ISERROR(VLOOKUP($G33,DanaSehat!$L$13:$AK$56,AB$4,FALSE))=TRUE,"",
              VLOOKUP($G33,DanaSehat!$L$13:$AK$56,AB$4,FALSE)))</t>
  </si>
  <si>
    <t>=IF(ISNUMBER($L$6)=FALSE,"",
        IF(ISERROR(VLOOKUP($G33,DanaSehat!$L$13:$AK$56,AC$4,FALSE))=TRUE,"",
              VLOOKUP($G33,DanaSehat!$L$13:$AK$56,AC$4,FALSE)))</t>
  </si>
  <si>
    <t>=IF(ISNUMBER($L$6)=FALSE,"",
        IF(ISERROR(VLOOKUP($G33,DanaSehat!$L$13:$AK$56,AD$4,FALSE))=TRUE,"",
              VLOOKUP($G33,DanaSehat!$L$13:$AK$56,AD$4,FALSE)))</t>
  </si>
  <si>
    <t>=IF(ISNUMBER($L$6)=FALSE,"",
        IF(ISERROR(VLOOKUP($G33,DanaSehat!$L$13:$AK$56,AE$4,FALSE))=TRUE,"",
              VLOOKUP($G33,DanaSehat!$L$13:$AK$56,AE$4,FALSE)))</t>
  </si>
  <si>
    <t>=IF(ISNUMBER($L$6)=FALSE,"",
        IF(ISERROR(VLOOKUP($G33,DanaSehat!$L$13:$AK$56,AF$4,FALSE))=TRUE,"",
              VLOOKUP($G33,DanaSehat!$L$13:$AK$56,AF$4,FALSE)))</t>
  </si>
  <si>
    <t>=IF(ISNUMBER($L$6)=FALSE,"",
IF($C34=0,"",VLOOKUP($E34,DanaSehat!$H$13:$L$56,4,FALSE)))</t>
  </si>
  <si>
    <t>=IF(ISNUMBER($L$6)=FALSE,"",
IF($C34=0,"",VLOOKUP($E34,DanaSehat!$H$13:$L$56,5,FALSE)))</t>
  </si>
  <si>
    <t>=IF(ISNUMBER($L$6)=FALSE,"",
        IF(ISERROR(VLOOKUP($G34,DanaSehat!$L$13:$AK$56,I$4,FALSE))=TRUE,"",
              VLOOKUP($G34,DanaSehat!$L$13:$AK$56,I$4,FALSE)))</t>
  </si>
  <si>
    <t>=IF(ISNUMBER($L$6)=FALSE,"",
        IF(ISERROR(VLOOKUP($G34,DanaSehat!$L$13:$AK$56,J$4,FALSE))=TRUE,"",
              VLOOKUP($G34,DanaSehat!$L$13:$AK$56,J$4,FALSE)))</t>
  </si>
  <si>
    <t>=IF(ISNUMBER($L$6)=FALSE,"",
        IF(ISERROR(VLOOKUP($G34,DanaSehat!$L$13:$AK$56,K$4,FALSE))=TRUE,"",
              VLOOKUP($G34,DanaSehat!$L$13:$AK$56,K$4,FALSE)))</t>
  </si>
  <si>
    <t>=IF(ISNUMBER($L$6)=FALSE,"",
        IF(ISERROR(VLOOKUP($G34,DanaSehat!$L$13:$AK$56,L$4,FALSE))=TRUE,"",
              VLOOKUP($G34,DanaSehat!$L$13:$AK$56,L$4,FALSE)))</t>
  </si>
  <si>
    <t>=IF(ISNUMBER($L$6)=FALSE,"",
        IF(ISERROR(VLOOKUP($G34,DanaSehat!$L$13:$AK$56,M$4,FALSE))=TRUE,"",
              VLOOKUP($G34,DanaSehat!$L$13:$AK$56,M$4,FALSE)))</t>
  </si>
  <si>
    <t>=IF(ISNUMBER($L$6)=FALSE,"",
        IF(ISERROR(VLOOKUP($G34,DanaSehat!$L$13:$AK$56,N$4,FALSE))=TRUE,"",
              VLOOKUP($G34,DanaSehat!$L$13:$AK$56,N$4,FALSE)))</t>
  </si>
  <si>
    <t>=IF(ISNUMBER($L$6)=FALSE,"",
        IF(ISERROR(VLOOKUP($G34,DanaSehat!$L$13:$AK$56,O$4,FALSE))=TRUE,"",
              VLOOKUP($G34,DanaSehat!$L$13:$AK$56,O$4,FALSE)))</t>
  </si>
  <si>
    <t>=IF(ISNUMBER($L$6)=FALSE,"",
        IF(ISERROR(VLOOKUP($G34,DanaSehat!$L$13:$AK$56,P$4,FALSE))=TRUE,"",
              VLOOKUP($G34,DanaSehat!$L$13:$AK$56,P$4,FALSE)))</t>
  </si>
  <si>
    <t>=IF(ISNUMBER($L$6)=FALSE,"",
        IF(ISERROR(VLOOKUP($G34,DanaSehat!$L$13:$AK$56,Q$4,FALSE))=TRUE,"",
              VLOOKUP($G34,DanaSehat!$L$13:$AK$56,Q$4,FALSE)))</t>
  </si>
  <si>
    <t>=IF(ISNUMBER($L$6)=FALSE,"",
        IF(ISERROR(VLOOKUP($G34,DanaSehat!$L$13:$AK$56,R$4,FALSE))=TRUE,"",
              VLOOKUP($G34,DanaSehat!$L$13:$AK$56,R$4,FALSE)))</t>
  </si>
  <si>
    <t>=IF(ISNUMBER($L$6)=FALSE,"",
        IF(ISERROR(VLOOKUP($G34,DanaSehat!$L$13:$AK$56,S$4,FALSE))=TRUE,"",
              VLOOKUP($G34,DanaSehat!$L$13:$AK$56,S$4,FALSE)))</t>
  </si>
  <si>
    <t>=IF(ISNUMBER($L$6)=FALSE,"",
        IF(ISERROR(VLOOKUP($G34,DanaSehat!$L$13:$AK$56,T$4,FALSE))=TRUE,"",
              VLOOKUP($G34,DanaSehat!$L$13:$AK$56,T$4,FALSE)))</t>
  </si>
  <si>
    <t>=IF(ISNUMBER($L$6)=FALSE,"",
        IF(ISERROR(VLOOKUP($G34,DanaSehat!$L$13:$AK$56,U$4,FALSE))=TRUE,"",
              VLOOKUP($G34,DanaSehat!$L$13:$AK$56,U$4,FALSE)))</t>
  </si>
  <si>
    <t>=IF(ISNUMBER($L$6)=FALSE,"",
        IF(ISERROR(VLOOKUP($G34,DanaSehat!$L$13:$AK$56,V$4,FALSE))=TRUE,"",
              VLOOKUP($G34,DanaSehat!$L$13:$AK$56,V$4,FALSE)))</t>
  </si>
  <si>
    <t>=IF(ISNUMBER($L$6)=FALSE,"",
        IF(ISERROR(VLOOKUP($G34,DanaSehat!$L$13:$AK$56,W$4,FALSE))=TRUE,"",
              VLOOKUP($G34,DanaSehat!$L$13:$AK$56,W$4,FALSE)))</t>
  </si>
  <si>
    <t>=IF(ISNUMBER($L$6)=FALSE,"",
        IF(ISERROR(VLOOKUP($G34,DanaSehat!$L$13:$AK$56,X$4,FALSE))=TRUE,"",
              VLOOKUP($G34,DanaSehat!$L$13:$AK$56,X$4,FALSE)))</t>
  </si>
  <si>
    <t>=IF(ISNUMBER($L$6)=FALSE,"",
        IF(ISERROR(VLOOKUP($G34,DanaSehat!$L$13:$AK$56,Y$4,FALSE))=TRUE,"",
              VLOOKUP($G34,DanaSehat!$L$13:$AK$56,Y$4,FALSE)))</t>
  </si>
  <si>
    <t>=IF(ISNUMBER($L$6)=FALSE,"",
        IF(ISERROR(VLOOKUP($G34,DanaSehat!$L$13:$AK$56,Z$4,FALSE))=TRUE,"",
              VLOOKUP($G34,DanaSehat!$L$13:$AK$56,Z$4,FALSE)))</t>
  </si>
  <si>
    <t>=IF(ISNUMBER($L$6)=FALSE,"",
        IF(ISERROR(VLOOKUP($G34,DanaSehat!$L$13:$AK$56,AA$4,FALSE))=TRUE,"",
              VLOOKUP($G34,DanaSehat!$L$13:$AK$56,AA$4,FALSE)))</t>
  </si>
  <si>
    <t>=IF(ISNUMBER($L$6)=FALSE,"",
        IF(ISERROR(VLOOKUP($G34,DanaSehat!$L$13:$AK$56,AB$4,FALSE))=TRUE,"",
              VLOOKUP($G34,DanaSehat!$L$13:$AK$56,AB$4,FALSE)))</t>
  </si>
  <si>
    <t>=IF(ISNUMBER($L$6)=FALSE,"",
        IF(ISERROR(VLOOKUP($G34,DanaSehat!$L$13:$AK$56,AC$4,FALSE))=TRUE,"",
              VLOOKUP($G34,DanaSehat!$L$13:$AK$56,AC$4,FALSE)))</t>
  </si>
  <si>
    <t>=IF(ISNUMBER($L$6)=FALSE,"",
        IF(ISERROR(VLOOKUP($G34,DanaSehat!$L$13:$AK$56,AD$4,FALSE))=TRUE,"",
              VLOOKUP($G34,DanaSehat!$L$13:$AK$56,AD$4,FALSE)))</t>
  </si>
  <si>
    <t>=IF(ISNUMBER($L$6)=FALSE,"",
        IF(ISERROR(VLOOKUP($G34,DanaSehat!$L$13:$AK$56,AE$4,FALSE))=TRUE,"",
              VLOOKUP($G34,DanaSehat!$L$13:$AK$56,AE$4,FALSE)))</t>
  </si>
  <si>
    <t>=IF(ISNUMBER($L$6)=FALSE,"",
        IF(ISERROR(VLOOKUP($G34,DanaSehat!$L$13:$AK$56,AF$4,FALSE))=TRUE,"",
              VLOOKUP($G34,DanaSehat!$L$13:$AK$56,AF$4,FALSE)))</t>
  </si>
  <si>
    <t>=IF(ISNUMBER($L$6)=FALSE,"",
IF($C35=0,"",VLOOKUP($E35,DanaSehat!$H$13:$L$56,4,FALSE)))</t>
  </si>
  <si>
    <t>=IF(ISNUMBER($L$6)=FALSE,"",
IF($C35=0,"",VLOOKUP($E35,DanaSehat!$H$13:$L$56,5,FALSE)))</t>
  </si>
  <si>
    <t>=IF(ISNUMBER($L$6)=FALSE,"",
        IF(ISERROR(VLOOKUP($G35,DanaSehat!$L$13:$AK$56,I$4,FALSE))=TRUE,"",
              VLOOKUP($G35,DanaSehat!$L$13:$AK$56,I$4,FALSE)))</t>
  </si>
  <si>
    <t>=IF(ISNUMBER($L$6)=FALSE,"",
        IF(ISERROR(VLOOKUP($G35,DanaSehat!$L$13:$AK$56,J$4,FALSE))=TRUE,"",
              VLOOKUP($G35,DanaSehat!$L$13:$AK$56,J$4,FALSE)))</t>
  </si>
  <si>
    <t>=IF(ISNUMBER($L$6)=FALSE,"",
        IF(ISERROR(VLOOKUP($G35,DanaSehat!$L$13:$AK$56,K$4,FALSE))=TRUE,"",
              VLOOKUP($G35,DanaSehat!$L$13:$AK$56,K$4,FALSE)))</t>
  </si>
  <si>
    <t>=IF(ISNUMBER($L$6)=FALSE,"",
        IF(ISERROR(VLOOKUP($G35,DanaSehat!$L$13:$AK$56,L$4,FALSE))=TRUE,"",
              VLOOKUP($G35,DanaSehat!$L$13:$AK$56,L$4,FALSE)))</t>
  </si>
  <si>
    <t>=IF(ISNUMBER($L$6)=FALSE,"",
        IF(ISERROR(VLOOKUP($G35,DanaSehat!$L$13:$AK$56,M$4,FALSE))=TRUE,"",
              VLOOKUP($G35,DanaSehat!$L$13:$AK$56,M$4,FALSE)))</t>
  </si>
  <si>
    <t>=IF(ISNUMBER($L$6)=FALSE,"",
        IF(ISERROR(VLOOKUP($G35,DanaSehat!$L$13:$AK$56,N$4,FALSE))=TRUE,"",
              VLOOKUP($G35,DanaSehat!$L$13:$AK$56,N$4,FALSE)))</t>
  </si>
  <si>
    <t>=IF(ISNUMBER($L$6)=FALSE,"",
        IF(ISERROR(VLOOKUP($G35,DanaSehat!$L$13:$AK$56,O$4,FALSE))=TRUE,"",
              VLOOKUP($G35,DanaSehat!$L$13:$AK$56,O$4,FALSE)))</t>
  </si>
  <si>
    <t>=IF(ISNUMBER($L$6)=FALSE,"",
        IF(ISERROR(VLOOKUP($G35,DanaSehat!$L$13:$AK$56,P$4,FALSE))=TRUE,"",
              VLOOKUP($G35,DanaSehat!$L$13:$AK$56,P$4,FALSE)))</t>
  </si>
  <si>
    <t>=IF(ISNUMBER($L$6)=FALSE,"",
        IF(ISERROR(VLOOKUP($G35,DanaSehat!$L$13:$AK$56,Q$4,FALSE))=TRUE,"",
              VLOOKUP($G35,DanaSehat!$L$13:$AK$56,Q$4,FALSE)))</t>
  </si>
  <si>
    <t>=IF(ISNUMBER($L$6)=FALSE,"",
        IF(ISERROR(VLOOKUP($G35,DanaSehat!$L$13:$AK$56,R$4,FALSE))=TRUE,"",
              VLOOKUP($G35,DanaSehat!$L$13:$AK$56,R$4,FALSE)))</t>
  </si>
  <si>
    <t>=IF(ISNUMBER($L$6)=FALSE,"",
        IF(ISERROR(VLOOKUP($G35,DanaSehat!$L$13:$AK$56,S$4,FALSE))=TRUE,"",
              VLOOKUP($G35,DanaSehat!$L$13:$AK$56,S$4,FALSE)))</t>
  </si>
  <si>
    <t>=IF(ISNUMBER($L$6)=FALSE,"",
        IF(ISERROR(VLOOKUP($G35,DanaSehat!$L$13:$AK$56,T$4,FALSE))=TRUE,"",
              VLOOKUP($G35,DanaSehat!$L$13:$AK$56,T$4,FALSE)))</t>
  </si>
  <si>
    <t>=IF(ISNUMBER($L$6)=FALSE,"",
        IF(ISERROR(VLOOKUP($G35,DanaSehat!$L$13:$AK$56,U$4,FALSE))=TRUE,"",
              VLOOKUP($G35,DanaSehat!$L$13:$AK$56,U$4,FALSE)))</t>
  </si>
  <si>
    <t>=IF(ISNUMBER($L$6)=FALSE,"",
        IF(ISERROR(VLOOKUP($G35,DanaSehat!$L$13:$AK$56,V$4,FALSE))=TRUE,"",
              VLOOKUP($G35,DanaSehat!$L$13:$AK$56,V$4,FALSE)))</t>
  </si>
  <si>
    <t>=IF(ISNUMBER($L$6)=FALSE,"",
        IF(ISERROR(VLOOKUP($G35,DanaSehat!$L$13:$AK$56,W$4,FALSE))=TRUE,"",
              VLOOKUP($G35,DanaSehat!$L$13:$AK$56,W$4,FALSE)))</t>
  </si>
  <si>
    <t>=IF(ISNUMBER($L$6)=FALSE,"",
        IF(ISERROR(VLOOKUP($G35,DanaSehat!$L$13:$AK$56,X$4,FALSE))=TRUE,"",
              VLOOKUP($G35,DanaSehat!$L$13:$AK$56,X$4,FALSE)))</t>
  </si>
  <si>
    <t>=IF(ISNUMBER($L$6)=FALSE,"",
        IF(ISERROR(VLOOKUP($G35,DanaSehat!$L$13:$AK$56,Y$4,FALSE))=TRUE,"",
              VLOOKUP($G35,DanaSehat!$L$13:$AK$56,Y$4,FALSE)))</t>
  </si>
  <si>
    <t>=IF(ISNUMBER($L$6)=FALSE,"",
        IF(ISERROR(VLOOKUP($G35,DanaSehat!$L$13:$AK$56,Z$4,FALSE))=TRUE,"",
              VLOOKUP($G35,DanaSehat!$L$13:$AK$56,Z$4,FALSE)))</t>
  </si>
  <si>
    <t>=IF(ISNUMBER($L$6)=FALSE,"",
        IF(ISERROR(VLOOKUP($G35,DanaSehat!$L$13:$AK$56,AA$4,FALSE))=TRUE,"",
              VLOOKUP($G35,DanaSehat!$L$13:$AK$56,AA$4,FALSE)))</t>
  </si>
  <si>
    <t>=IF(ISNUMBER($L$6)=FALSE,"",
        IF(ISERROR(VLOOKUP($G35,DanaSehat!$L$13:$AK$56,AB$4,FALSE))=TRUE,"",
              VLOOKUP($G35,DanaSehat!$L$13:$AK$56,AB$4,FALSE)))</t>
  </si>
  <si>
    <t>=IF(ISNUMBER($L$6)=FALSE,"",
        IF(ISERROR(VLOOKUP($G35,DanaSehat!$L$13:$AK$56,AC$4,FALSE))=TRUE,"",
              VLOOKUP($G35,DanaSehat!$L$13:$AK$56,AC$4,FALSE)))</t>
  </si>
  <si>
    <t>=IF(ISNUMBER($L$6)=FALSE,"",
        IF(ISERROR(VLOOKUP($G35,DanaSehat!$L$13:$AK$56,AD$4,FALSE))=TRUE,"",
              VLOOKUP($G35,DanaSehat!$L$13:$AK$56,AD$4,FALSE)))</t>
  </si>
  <si>
    <t>=IF(ISNUMBER($L$6)=FALSE,"",
        IF(ISERROR(VLOOKUP($G35,DanaSehat!$L$13:$AK$56,AE$4,FALSE))=TRUE,"",
              VLOOKUP($G35,DanaSehat!$L$13:$AK$56,AE$4,FALSE)))</t>
  </si>
  <si>
    <t>=IF(ISNUMBER($L$6)=FALSE,"",
        IF(ISERROR(VLOOKUP($G35,DanaSehat!$L$13:$AK$56,AF$4,FALSE))=TRUE,"",
              VLOOKUP($G35,DanaSehat!$L$13:$AK$56,AF$4,FALSE)))</t>
  </si>
  <si>
    <t>=IF(ISNUMBER($L$6)=FALSE,"",
IF($C36=0,"",VLOOKUP($E36,DanaSehat!$H$13:$L$56,4,FALSE)))</t>
  </si>
  <si>
    <t>=IF(ISNUMBER($L$6)=FALSE,"",
IF($C36=0,"",VLOOKUP($E36,DanaSehat!$H$13:$L$56,5,FALSE)))</t>
  </si>
  <si>
    <t>=IF(ISNUMBER($L$6)=FALSE,"",
        IF(ISERROR(VLOOKUP($G36,DanaSehat!$L$13:$AK$56,I$4,FALSE))=TRUE,"",
              VLOOKUP($G36,DanaSehat!$L$13:$AK$56,I$4,FALSE)))</t>
  </si>
  <si>
    <t>=IF(ISNUMBER($L$6)=FALSE,"",
        IF(ISERROR(VLOOKUP($G36,DanaSehat!$L$13:$AK$56,J$4,FALSE))=TRUE,"",
              VLOOKUP($G36,DanaSehat!$L$13:$AK$56,J$4,FALSE)))</t>
  </si>
  <si>
    <t>=IF(ISNUMBER($L$6)=FALSE,"",
        IF(ISERROR(VLOOKUP($G36,DanaSehat!$L$13:$AK$56,K$4,FALSE))=TRUE,"",
              VLOOKUP($G36,DanaSehat!$L$13:$AK$56,K$4,FALSE)))</t>
  </si>
  <si>
    <t>=IF(ISNUMBER($L$6)=FALSE,"",
        IF(ISERROR(VLOOKUP($G36,DanaSehat!$L$13:$AK$56,L$4,FALSE))=TRUE,"",
              VLOOKUP($G36,DanaSehat!$L$13:$AK$56,L$4,FALSE)))</t>
  </si>
  <si>
    <t>=IF(ISNUMBER($L$6)=FALSE,"",
        IF(ISERROR(VLOOKUP($G36,DanaSehat!$L$13:$AK$56,M$4,FALSE))=TRUE,"",
              VLOOKUP($G36,DanaSehat!$L$13:$AK$56,M$4,FALSE)))</t>
  </si>
  <si>
    <t>=IF(ISNUMBER($L$6)=FALSE,"",
        IF(ISERROR(VLOOKUP($G36,DanaSehat!$L$13:$AK$56,N$4,FALSE))=TRUE,"",
              VLOOKUP($G36,DanaSehat!$L$13:$AK$56,N$4,FALSE)))</t>
  </si>
  <si>
    <t>=IF(ISNUMBER($L$6)=FALSE,"",
        IF(ISERROR(VLOOKUP($G36,DanaSehat!$L$13:$AK$56,O$4,FALSE))=TRUE,"",
              VLOOKUP($G36,DanaSehat!$L$13:$AK$56,O$4,FALSE)))</t>
  </si>
  <si>
    <t>=IF(ISNUMBER($L$6)=FALSE,"",
        IF(ISERROR(VLOOKUP($G36,DanaSehat!$L$13:$AK$56,P$4,FALSE))=TRUE,"",
              VLOOKUP($G36,DanaSehat!$L$13:$AK$56,P$4,FALSE)))</t>
  </si>
  <si>
    <t>=IF(ISNUMBER($L$6)=FALSE,"",
        IF(ISERROR(VLOOKUP($G36,DanaSehat!$L$13:$AK$56,Q$4,FALSE))=TRUE,"",
              VLOOKUP($G36,DanaSehat!$L$13:$AK$56,Q$4,FALSE)))</t>
  </si>
  <si>
    <t>=IF(ISNUMBER($L$6)=FALSE,"",
        IF(ISERROR(VLOOKUP($G36,DanaSehat!$L$13:$AK$56,R$4,FALSE))=TRUE,"",
              VLOOKUP($G36,DanaSehat!$L$13:$AK$56,R$4,FALSE)))</t>
  </si>
  <si>
    <t>=IF(ISNUMBER($L$6)=FALSE,"",
        IF(ISERROR(VLOOKUP($G36,DanaSehat!$L$13:$AK$56,S$4,FALSE))=TRUE,"",
              VLOOKUP($G36,DanaSehat!$L$13:$AK$56,S$4,FALSE)))</t>
  </si>
  <si>
    <t>=IF(ISNUMBER($L$6)=FALSE,"",
        IF(ISERROR(VLOOKUP($G36,DanaSehat!$L$13:$AK$56,T$4,FALSE))=TRUE,"",
              VLOOKUP($G36,DanaSehat!$L$13:$AK$56,T$4,FALSE)))</t>
  </si>
  <si>
    <t>=IF(ISNUMBER($L$6)=FALSE,"",
        IF(ISERROR(VLOOKUP($G36,DanaSehat!$L$13:$AK$56,U$4,FALSE))=TRUE,"",
              VLOOKUP($G36,DanaSehat!$L$13:$AK$56,U$4,FALSE)))</t>
  </si>
  <si>
    <t>=IF(ISNUMBER($L$6)=FALSE,"",
        IF(ISERROR(VLOOKUP($G36,DanaSehat!$L$13:$AK$56,V$4,FALSE))=TRUE,"",
              VLOOKUP($G36,DanaSehat!$L$13:$AK$56,V$4,FALSE)))</t>
  </si>
  <si>
    <t>=IF(ISNUMBER($L$6)=FALSE,"",
        IF(ISERROR(VLOOKUP($G36,DanaSehat!$L$13:$AK$56,W$4,FALSE))=TRUE,"",
              VLOOKUP($G36,DanaSehat!$L$13:$AK$56,W$4,FALSE)))</t>
  </si>
  <si>
    <t>=IF(ISNUMBER($L$6)=FALSE,"",
        IF(ISERROR(VLOOKUP($G36,DanaSehat!$L$13:$AK$56,X$4,FALSE))=TRUE,"",
              VLOOKUP($G36,DanaSehat!$L$13:$AK$56,X$4,FALSE)))</t>
  </si>
  <si>
    <t>=IF(ISNUMBER($L$6)=FALSE,"",
        IF(ISERROR(VLOOKUP($G36,DanaSehat!$L$13:$AK$56,Y$4,FALSE))=TRUE,"",
              VLOOKUP($G36,DanaSehat!$L$13:$AK$56,Y$4,FALSE)))</t>
  </si>
  <si>
    <t>=IF(ISNUMBER($L$6)=FALSE,"",
        IF(ISERROR(VLOOKUP($G36,DanaSehat!$L$13:$AK$56,Z$4,FALSE))=TRUE,"",
              VLOOKUP($G36,DanaSehat!$L$13:$AK$56,Z$4,FALSE)))</t>
  </si>
  <si>
    <t>=IF(ISNUMBER($L$6)=FALSE,"",
        IF(ISERROR(VLOOKUP($G36,DanaSehat!$L$13:$AK$56,AA$4,FALSE))=TRUE,"",
              VLOOKUP($G36,DanaSehat!$L$13:$AK$56,AA$4,FALSE)))</t>
  </si>
  <si>
    <t>=IF(ISNUMBER($L$6)=FALSE,"",
        IF(ISERROR(VLOOKUP($G36,DanaSehat!$L$13:$AK$56,AB$4,FALSE))=TRUE,"",
              VLOOKUP($G36,DanaSehat!$L$13:$AK$56,AB$4,FALSE)))</t>
  </si>
  <si>
    <t>=IF(ISNUMBER($L$6)=FALSE,"",
        IF(ISERROR(VLOOKUP($G36,DanaSehat!$L$13:$AK$56,AC$4,FALSE))=TRUE,"",
              VLOOKUP($G36,DanaSehat!$L$13:$AK$56,AC$4,FALSE)))</t>
  </si>
  <si>
    <t>=IF(ISNUMBER($L$6)=FALSE,"",
        IF(ISERROR(VLOOKUP($G36,DanaSehat!$L$13:$AK$56,AD$4,FALSE))=TRUE,"",
              VLOOKUP($G36,DanaSehat!$L$13:$AK$56,AD$4,FALSE)))</t>
  </si>
  <si>
    <t>=IF(ISNUMBER($L$6)=FALSE,"",
        IF(ISERROR(VLOOKUP($G36,DanaSehat!$L$13:$AK$56,AE$4,FALSE))=TRUE,"",
              VLOOKUP($G36,DanaSehat!$L$13:$AK$56,AE$4,FALSE)))</t>
  </si>
  <si>
    <t>=IF(ISNUMBER($L$6)=FALSE,"",
        IF(ISERROR(VLOOKUP($G36,DanaSehat!$L$13:$AK$56,AF$4,FALSE))=TRUE,"",
              VLOOKUP($G36,DanaSehat!$L$13:$AK$56,AF$4,FALSE)))</t>
  </si>
  <si>
    <t>=IF(ISNUMBER($L$6)=FALSE,"",
IF($C37=0,"",VLOOKUP($E37,DanaSehat!$H$13:$L$56,4,FALSE)))</t>
  </si>
  <si>
    <t>=IF(ISNUMBER($L$6)=FALSE,"",
IF($C37=0,"",VLOOKUP($E37,DanaSehat!$H$13:$L$56,5,FALSE)))</t>
  </si>
  <si>
    <t>=IF(ISNUMBER($L$6)=FALSE,"",
        IF(ISERROR(VLOOKUP($G37,DanaSehat!$L$13:$AK$56,I$4,FALSE))=TRUE,"",
              VLOOKUP($G37,DanaSehat!$L$13:$AK$56,I$4,FALSE)))</t>
  </si>
  <si>
    <t>=IF(ISNUMBER($L$6)=FALSE,"",
        IF(ISERROR(VLOOKUP($G37,DanaSehat!$L$13:$AK$56,J$4,FALSE))=TRUE,"",
              VLOOKUP($G37,DanaSehat!$L$13:$AK$56,J$4,FALSE)))</t>
  </si>
  <si>
    <t>=IF(ISNUMBER($L$6)=FALSE,"",
        IF(ISERROR(VLOOKUP($G37,DanaSehat!$L$13:$AK$56,K$4,FALSE))=TRUE,"",
              VLOOKUP($G37,DanaSehat!$L$13:$AK$56,K$4,FALSE)))</t>
  </si>
  <si>
    <t>=IF(ISNUMBER($L$6)=FALSE,"",
        IF(ISERROR(VLOOKUP($G37,DanaSehat!$L$13:$AK$56,L$4,FALSE))=TRUE,"",
              VLOOKUP($G37,DanaSehat!$L$13:$AK$56,L$4,FALSE)))</t>
  </si>
  <si>
    <t>=IF(ISNUMBER($L$6)=FALSE,"",
        IF(ISERROR(VLOOKUP($G37,DanaSehat!$L$13:$AK$56,M$4,FALSE))=TRUE,"",
              VLOOKUP($G37,DanaSehat!$L$13:$AK$56,M$4,FALSE)))</t>
  </si>
  <si>
    <t>=IF(ISNUMBER($L$6)=FALSE,"",
        IF(ISERROR(VLOOKUP($G37,DanaSehat!$L$13:$AK$56,N$4,FALSE))=TRUE,"",
              VLOOKUP($G37,DanaSehat!$L$13:$AK$56,N$4,FALSE)))</t>
  </si>
  <si>
    <t>=IF(ISNUMBER($L$6)=FALSE,"",
        IF(ISERROR(VLOOKUP($G37,DanaSehat!$L$13:$AK$56,O$4,FALSE))=TRUE,"",
              VLOOKUP($G37,DanaSehat!$L$13:$AK$56,O$4,FALSE)))</t>
  </si>
  <si>
    <t>=IF(ISNUMBER($L$6)=FALSE,"",
        IF(ISERROR(VLOOKUP($G37,DanaSehat!$L$13:$AK$56,P$4,FALSE))=TRUE,"",
              VLOOKUP($G37,DanaSehat!$L$13:$AK$56,P$4,FALSE)))</t>
  </si>
  <si>
    <t>=IF(ISNUMBER($L$6)=FALSE,"",
        IF(ISERROR(VLOOKUP($G37,DanaSehat!$L$13:$AK$56,Q$4,FALSE))=TRUE,"",
              VLOOKUP($G37,DanaSehat!$L$13:$AK$56,Q$4,FALSE)))</t>
  </si>
  <si>
    <t>=IF(ISNUMBER($L$6)=FALSE,"",
        IF(ISERROR(VLOOKUP($G37,DanaSehat!$L$13:$AK$56,R$4,FALSE))=TRUE,"",
              VLOOKUP($G37,DanaSehat!$L$13:$AK$56,R$4,FALSE)))</t>
  </si>
  <si>
    <t>=IF(ISNUMBER($L$6)=FALSE,"",
        IF(ISERROR(VLOOKUP($G37,DanaSehat!$L$13:$AK$56,S$4,FALSE))=TRUE,"",
              VLOOKUP($G37,DanaSehat!$L$13:$AK$56,S$4,FALSE)))</t>
  </si>
  <si>
    <t>=IF(ISNUMBER($L$6)=FALSE,"",
        IF(ISERROR(VLOOKUP($G37,DanaSehat!$L$13:$AK$56,T$4,FALSE))=TRUE,"",
              VLOOKUP($G37,DanaSehat!$L$13:$AK$56,T$4,FALSE)))</t>
  </si>
  <si>
    <t>=IF(ISNUMBER($L$6)=FALSE,"",
        IF(ISERROR(VLOOKUP($G37,DanaSehat!$L$13:$AK$56,U$4,FALSE))=TRUE,"",
              VLOOKUP($G37,DanaSehat!$L$13:$AK$56,U$4,FALSE)))</t>
  </si>
  <si>
    <t>=IF(ISNUMBER($L$6)=FALSE,"",
        IF(ISERROR(VLOOKUP($G37,DanaSehat!$L$13:$AK$56,V$4,FALSE))=TRUE,"",
              VLOOKUP($G37,DanaSehat!$L$13:$AK$56,V$4,FALSE)))</t>
  </si>
  <si>
    <t>=IF(ISNUMBER($L$6)=FALSE,"",
        IF(ISERROR(VLOOKUP($G37,DanaSehat!$L$13:$AK$56,W$4,FALSE))=TRUE,"",
              VLOOKUP($G37,DanaSehat!$L$13:$AK$56,W$4,FALSE)))</t>
  </si>
  <si>
    <t>=IF(ISNUMBER($L$6)=FALSE,"",
        IF(ISERROR(VLOOKUP($G37,DanaSehat!$L$13:$AK$56,X$4,FALSE))=TRUE,"",
              VLOOKUP($G37,DanaSehat!$L$13:$AK$56,X$4,FALSE)))</t>
  </si>
  <si>
    <t>=IF(ISNUMBER($L$6)=FALSE,"",
        IF(ISERROR(VLOOKUP($G37,DanaSehat!$L$13:$AK$56,Y$4,FALSE))=TRUE,"",
              VLOOKUP($G37,DanaSehat!$L$13:$AK$56,Y$4,FALSE)))</t>
  </si>
  <si>
    <t>=IF(ISNUMBER($L$6)=FALSE,"",
        IF(ISERROR(VLOOKUP($G37,DanaSehat!$L$13:$AK$56,Z$4,FALSE))=TRUE,"",
              VLOOKUP($G37,DanaSehat!$L$13:$AK$56,Z$4,FALSE)))</t>
  </si>
  <si>
    <t>=IF(ISNUMBER($L$6)=FALSE,"",
        IF(ISERROR(VLOOKUP($G37,DanaSehat!$L$13:$AK$56,AA$4,FALSE))=TRUE,"",
              VLOOKUP($G37,DanaSehat!$L$13:$AK$56,AA$4,FALSE)))</t>
  </si>
  <si>
    <t>=IF(ISNUMBER($L$6)=FALSE,"",
        IF(ISERROR(VLOOKUP($G37,DanaSehat!$L$13:$AK$56,AB$4,FALSE))=TRUE,"",
              VLOOKUP($G37,DanaSehat!$L$13:$AK$56,AB$4,FALSE)))</t>
  </si>
  <si>
    <t>=IF(ISNUMBER($L$6)=FALSE,"",
        IF(ISERROR(VLOOKUP($G37,DanaSehat!$L$13:$AK$56,AC$4,FALSE))=TRUE,"",
              VLOOKUP($G37,DanaSehat!$L$13:$AK$56,AC$4,FALSE)))</t>
  </si>
  <si>
    <t>=IF(ISNUMBER($L$6)=FALSE,"",
        IF(ISERROR(VLOOKUP($G37,DanaSehat!$L$13:$AK$56,AD$4,FALSE))=TRUE,"",
              VLOOKUP($G37,DanaSehat!$L$13:$AK$56,AD$4,FALSE)))</t>
  </si>
  <si>
    <t>=IF(ISNUMBER($L$6)=FALSE,"",
        IF(ISERROR(VLOOKUP($G37,DanaSehat!$L$13:$AK$56,AE$4,FALSE))=TRUE,"",
              VLOOKUP($G37,DanaSehat!$L$13:$AK$56,AE$4,FALSE)))</t>
  </si>
  <si>
    <t>=IF(ISNUMBER($L$6)=FALSE,"",
        IF(ISERROR(VLOOKUP($G37,DanaSehat!$L$13:$AK$56,AF$4,FALSE))=TRUE,"",
              VLOOKUP($G37,DanaSehat!$L$13:$AK$56,AF$4,FALSE)))</t>
  </si>
  <si>
    <t>=IF(ISNUMBER($L$6)=FALSE,"",
IF($C38=0,"",VLOOKUP($E38,DanaSehat!$H$13:$L$56,4,FALSE)))</t>
  </si>
  <si>
    <t>=IF(ISNUMBER($L$6)=FALSE,"",
IF($C38=0,"",VLOOKUP($E38,DanaSehat!$H$13:$L$56,5,FALSE)))</t>
  </si>
  <si>
    <t>=IF(ISNUMBER($L$6)=FALSE,"",
        IF(ISERROR(VLOOKUP($G38,DanaSehat!$L$13:$AK$56,I$4,FALSE))=TRUE,"",
              VLOOKUP($G38,DanaSehat!$L$13:$AK$56,I$4,FALSE)))</t>
  </si>
  <si>
    <t>=IF(ISNUMBER($L$6)=FALSE,"",
        IF(ISERROR(VLOOKUP($G38,DanaSehat!$L$13:$AK$56,J$4,FALSE))=TRUE,"",
              VLOOKUP($G38,DanaSehat!$L$13:$AK$56,J$4,FALSE)))</t>
  </si>
  <si>
    <t>=IF(ISNUMBER($L$6)=FALSE,"",
        IF(ISERROR(VLOOKUP($G38,DanaSehat!$L$13:$AK$56,K$4,FALSE))=TRUE,"",
              VLOOKUP($G38,DanaSehat!$L$13:$AK$56,K$4,FALSE)))</t>
  </si>
  <si>
    <t>=IF(ISNUMBER($L$6)=FALSE,"",
        IF(ISERROR(VLOOKUP($G38,DanaSehat!$L$13:$AK$56,L$4,FALSE))=TRUE,"",
              VLOOKUP($G38,DanaSehat!$L$13:$AK$56,L$4,FALSE)))</t>
  </si>
  <si>
    <t>=IF(ISNUMBER($L$6)=FALSE,"",
        IF(ISERROR(VLOOKUP($G38,DanaSehat!$L$13:$AK$56,M$4,FALSE))=TRUE,"",
              VLOOKUP($G38,DanaSehat!$L$13:$AK$56,M$4,FALSE)))</t>
  </si>
  <si>
    <t>=IF(ISNUMBER($L$6)=FALSE,"",
        IF(ISERROR(VLOOKUP($G38,DanaSehat!$L$13:$AK$56,N$4,FALSE))=TRUE,"",
              VLOOKUP($G38,DanaSehat!$L$13:$AK$56,N$4,FALSE)))</t>
  </si>
  <si>
    <t>=IF(ISNUMBER($L$6)=FALSE,"",
        IF(ISERROR(VLOOKUP($G38,DanaSehat!$L$13:$AK$56,O$4,FALSE))=TRUE,"",
              VLOOKUP($G38,DanaSehat!$L$13:$AK$56,O$4,FALSE)))</t>
  </si>
  <si>
    <t>=IF(ISNUMBER($L$6)=FALSE,"",
        IF(ISERROR(VLOOKUP($G38,DanaSehat!$L$13:$AK$56,P$4,FALSE))=TRUE,"",
              VLOOKUP($G38,DanaSehat!$L$13:$AK$56,P$4,FALSE)))</t>
  </si>
  <si>
    <t>=IF(ISNUMBER($L$6)=FALSE,"",
        IF(ISERROR(VLOOKUP($G38,DanaSehat!$L$13:$AK$56,Q$4,FALSE))=TRUE,"",
              VLOOKUP($G38,DanaSehat!$L$13:$AK$56,Q$4,FALSE)))</t>
  </si>
  <si>
    <t>=IF(ISNUMBER($L$6)=FALSE,"",
        IF(ISERROR(VLOOKUP($G38,DanaSehat!$L$13:$AK$56,R$4,FALSE))=TRUE,"",
              VLOOKUP($G38,DanaSehat!$L$13:$AK$56,R$4,FALSE)))</t>
  </si>
  <si>
    <t>=IF(ISNUMBER($L$6)=FALSE,"",
        IF(ISERROR(VLOOKUP($G38,DanaSehat!$L$13:$AK$56,S$4,FALSE))=TRUE,"",
              VLOOKUP($G38,DanaSehat!$L$13:$AK$56,S$4,FALSE)))</t>
  </si>
  <si>
    <t>=IF(ISNUMBER($L$6)=FALSE,"",
        IF(ISERROR(VLOOKUP($G38,DanaSehat!$L$13:$AK$56,T$4,FALSE))=TRUE,"",
              VLOOKUP($G38,DanaSehat!$L$13:$AK$56,T$4,FALSE)))</t>
  </si>
  <si>
    <t>=IF(ISNUMBER($L$6)=FALSE,"",
        IF(ISERROR(VLOOKUP($G38,DanaSehat!$L$13:$AK$56,U$4,FALSE))=TRUE,"",
              VLOOKUP($G38,DanaSehat!$L$13:$AK$56,U$4,FALSE)))</t>
  </si>
  <si>
    <t>=IF(ISNUMBER($L$6)=FALSE,"",
        IF(ISERROR(VLOOKUP($G38,DanaSehat!$L$13:$AK$56,V$4,FALSE))=TRUE,"",
              VLOOKUP($G38,DanaSehat!$L$13:$AK$56,V$4,FALSE)))</t>
  </si>
  <si>
    <t>=IF(ISNUMBER($L$6)=FALSE,"",
        IF(ISERROR(VLOOKUP($G38,DanaSehat!$L$13:$AK$56,W$4,FALSE))=TRUE,"",
              VLOOKUP($G38,DanaSehat!$L$13:$AK$56,W$4,FALSE)))</t>
  </si>
  <si>
    <t>=IF(ISNUMBER($L$6)=FALSE,"",
        IF(ISERROR(VLOOKUP($G38,DanaSehat!$L$13:$AK$56,X$4,FALSE))=TRUE,"",
              VLOOKUP($G38,DanaSehat!$L$13:$AK$56,X$4,FALSE)))</t>
  </si>
  <si>
    <t>=IF(ISNUMBER($L$6)=FALSE,"",
        IF(ISERROR(VLOOKUP($G38,DanaSehat!$L$13:$AK$56,Y$4,FALSE))=TRUE,"",
              VLOOKUP($G38,DanaSehat!$L$13:$AK$56,Y$4,FALSE)))</t>
  </si>
  <si>
    <t>=IF(ISNUMBER($L$6)=FALSE,"",
        IF(ISERROR(VLOOKUP($G38,DanaSehat!$L$13:$AK$56,Z$4,FALSE))=TRUE,"",
              VLOOKUP($G38,DanaSehat!$L$13:$AK$56,Z$4,FALSE)))</t>
  </si>
  <si>
    <t>=IF(ISNUMBER($L$6)=FALSE,"",
        IF(ISERROR(VLOOKUP($G38,DanaSehat!$L$13:$AK$56,AA$4,FALSE))=TRUE,"",
              VLOOKUP($G38,DanaSehat!$L$13:$AK$56,AA$4,FALSE)))</t>
  </si>
  <si>
    <t>=IF(ISNUMBER($L$6)=FALSE,"",
        IF(ISERROR(VLOOKUP($G38,DanaSehat!$L$13:$AK$56,AB$4,FALSE))=TRUE,"",
              VLOOKUP($G38,DanaSehat!$L$13:$AK$56,AB$4,FALSE)))</t>
  </si>
  <si>
    <t>=IF(ISNUMBER($L$6)=FALSE,"",
        IF(ISERROR(VLOOKUP($G38,DanaSehat!$L$13:$AK$56,AC$4,FALSE))=TRUE,"",
              VLOOKUP($G38,DanaSehat!$L$13:$AK$56,AC$4,FALSE)))</t>
  </si>
  <si>
    <t>=IF(ISNUMBER($L$6)=FALSE,"",
        IF(ISERROR(VLOOKUP($G38,DanaSehat!$L$13:$AK$56,AD$4,FALSE))=TRUE,"",
              VLOOKUP($G38,DanaSehat!$L$13:$AK$56,AD$4,FALSE)))</t>
  </si>
  <si>
    <t>=IF(ISNUMBER($L$6)=FALSE,"",
        IF(ISERROR(VLOOKUP($G38,DanaSehat!$L$13:$AK$56,AE$4,FALSE))=TRUE,"",
              VLOOKUP($G38,DanaSehat!$L$13:$AK$56,AE$4,FALSE)))</t>
  </si>
  <si>
    <t>=IF(ISNUMBER($L$6)=FALSE,"",
        IF(ISERROR(VLOOKUP($G38,DanaSehat!$L$13:$AK$56,AF$4,FALSE))=TRUE,"",
              VLOOKUP($G38,DanaSehat!$L$13:$AK$56,AF$4,FALSE)))</t>
  </si>
  <si>
    <t>=IF(ISNUMBER($L$6)=FALSE,"",
IF($C39=0,"",VLOOKUP($E39,DanaSehat!$H$13:$L$56,4,FALSE)))</t>
  </si>
  <si>
    <t>=IF(ISNUMBER($L$6)=FALSE,"",
IF($C39=0,"",VLOOKUP($E39,DanaSehat!$H$13:$L$56,5,FALSE)))</t>
  </si>
  <si>
    <t>=IF(ISNUMBER($L$6)=FALSE,"",
        IF(ISERROR(VLOOKUP($G39,DanaSehat!$L$13:$AK$56,I$4,FALSE))=TRUE,"",
              VLOOKUP($G39,DanaSehat!$L$13:$AK$56,I$4,FALSE)))</t>
  </si>
  <si>
    <t>=IF(ISNUMBER($L$6)=FALSE,"",
        IF(ISERROR(VLOOKUP($G39,DanaSehat!$L$13:$AK$56,J$4,FALSE))=TRUE,"",
              VLOOKUP($G39,DanaSehat!$L$13:$AK$56,J$4,FALSE)))</t>
  </si>
  <si>
    <t>=IF(ISNUMBER($L$6)=FALSE,"",
        IF(ISERROR(VLOOKUP($G39,DanaSehat!$L$13:$AK$56,K$4,FALSE))=TRUE,"",
              VLOOKUP($G39,DanaSehat!$L$13:$AK$56,K$4,FALSE)))</t>
  </si>
  <si>
    <t>=IF(ISNUMBER($L$6)=FALSE,"",
        IF(ISERROR(VLOOKUP($G39,DanaSehat!$L$13:$AK$56,L$4,FALSE))=TRUE,"",
              VLOOKUP($G39,DanaSehat!$L$13:$AK$56,L$4,FALSE)))</t>
  </si>
  <si>
    <t>=IF(ISNUMBER($L$6)=FALSE,"",
        IF(ISERROR(VLOOKUP($G39,DanaSehat!$L$13:$AK$56,M$4,FALSE))=TRUE,"",
              VLOOKUP($G39,DanaSehat!$L$13:$AK$56,M$4,FALSE)))</t>
  </si>
  <si>
    <t>=IF(ISNUMBER($L$6)=FALSE,"",
        IF(ISERROR(VLOOKUP($G39,DanaSehat!$L$13:$AK$56,N$4,FALSE))=TRUE,"",
              VLOOKUP($G39,DanaSehat!$L$13:$AK$56,N$4,FALSE)))</t>
  </si>
  <si>
    <t>=IF(ISNUMBER($L$6)=FALSE,"",
        IF(ISERROR(VLOOKUP($G39,DanaSehat!$L$13:$AK$56,O$4,FALSE))=TRUE,"",
              VLOOKUP($G39,DanaSehat!$L$13:$AK$56,O$4,FALSE)))</t>
  </si>
  <si>
    <t>=IF(ISNUMBER($L$6)=FALSE,"",
        IF(ISERROR(VLOOKUP($G39,DanaSehat!$L$13:$AK$56,P$4,FALSE))=TRUE,"",
              VLOOKUP($G39,DanaSehat!$L$13:$AK$56,P$4,FALSE)))</t>
  </si>
  <si>
    <t>=IF(ISNUMBER($L$6)=FALSE,"",
        IF(ISERROR(VLOOKUP($G39,DanaSehat!$L$13:$AK$56,Q$4,FALSE))=TRUE,"",
              VLOOKUP($G39,DanaSehat!$L$13:$AK$56,Q$4,FALSE)))</t>
  </si>
  <si>
    <t>=IF(ISNUMBER($L$6)=FALSE,"",
        IF(ISERROR(VLOOKUP($G39,DanaSehat!$L$13:$AK$56,R$4,FALSE))=TRUE,"",
              VLOOKUP($G39,DanaSehat!$L$13:$AK$56,R$4,FALSE)))</t>
  </si>
  <si>
    <t>=IF(ISNUMBER($L$6)=FALSE,"",
        IF(ISERROR(VLOOKUP($G39,DanaSehat!$L$13:$AK$56,S$4,FALSE))=TRUE,"",
              VLOOKUP($G39,DanaSehat!$L$13:$AK$56,S$4,FALSE)))</t>
  </si>
  <si>
    <t>=IF(ISNUMBER($L$6)=FALSE,"",
        IF(ISERROR(VLOOKUP($G39,DanaSehat!$L$13:$AK$56,T$4,FALSE))=TRUE,"",
              VLOOKUP($G39,DanaSehat!$L$13:$AK$56,T$4,FALSE)))</t>
  </si>
  <si>
    <t>=IF(ISNUMBER($L$6)=FALSE,"",
        IF(ISERROR(VLOOKUP($G39,DanaSehat!$L$13:$AK$56,U$4,FALSE))=TRUE,"",
              VLOOKUP($G39,DanaSehat!$L$13:$AK$56,U$4,FALSE)))</t>
  </si>
  <si>
    <t>=IF(ISNUMBER($L$6)=FALSE,"",
        IF(ISERROR(VLOOKUP($G39,DanaSehat!$L$13:$AK$56,V$4,FALSE))=TRUE,"",
              VLOOKUP($G39,DanaSehat!$L$13:$AK$56,V$4,FALSE)))</t>
  </si>
  <si>
    <t>=IF(ISNUMBER($L$6)=FALSE,"",
        IF(ISERROR(VLOOKUP($G39,DanaSehat!$L$13:$AK$56,W$4,FALSE))=TRUE,"",
              VLOOKUP($G39,DanaSehat!$L$13:$AK$56,W$4,FALSE)))</t>
  </si>
  <si>
    <t>=IF(ISNUMBER($L$6)=FALSE,"",
        IF(ISERROR(VLOOKUP($G39,DanaSehat!$L$13:$AK$56,X$4,FALSE))=TRUE,"",
              VLOOKUP($G39,DanaSehat!$L$13:$AK$56,X$4,FALSE)))</t>
  </si>
  <si>
    <t>=IF(ISNUMBER($L$6)=FALSE,"",
        IF(ISERROR(VLOOKUP($G39,DanaSehat!$L$13:$AK$56,Y$4,FALSE))=TRUE,"",
              VLOOKUP($G39,DanaSehat!$L$13:$AK$56,Y$4,FALSE)))</t>
  </si>
  <si>
    <t>=IF(ISNUMBER($L$6)=FALSE,"",
        IF(ISERROR(VLOOKUP($G39,DanaSehat!$L$13:$AK$56,Z$4,FALSE))=TRUE,"",
              VLOOKUP($G39,DanaSehat!$L$13:$AK$56,Z$4,FALSE)))</t>
  </si>
  <si>
    <t>=IF(ISNUMBER($L$6)=FALSE,"",
        IF(ISERROR(VLOOKUP($G39,DanaSehat!$L$13:$AK$56,AA$4,FALSE))=TRUE,"",
              VLOOKUP($G39,DanaSehat!$L$13:$AK$56,AA$4,FALSE)))</t>
  </si>
  <si>
    <t>=IF(ISNUMBER($L$6)=FALSE,"",
        IF(ISERROR(VLOOKUP($G39,DanaSehat!$L$13:$AK$56,AB$4,FALSE))=TRUE,"",
              VLOOKUP($G39,DanaSehat!$L$13:$AK$56,AB$4,FALSE)))</t>
  </si>
  <si>
    <t>=IF(ISNUMBER($L$6)=FALSE,"",
        IF(ISERROR(VLOOKUP($G39,DanaSehat!$L$13:$AK$56,AC$4,FALSE))=TRUE,"",
              VLOOKUP($G39,DanaSehat!$L$13:$AK$56,AC$4,FALSE)))</t>
  </si>
  <si>
    <t>=IF(ISNUMBER($L$6)=FALSE,"",
        IF(ISERROR(VLOOKUP($G39,DanaSehat!$L$13:$AK$56,AD$4,FALSE))=TRUE,"",
              VLOOKUP($G39,DanaSehat!$L$13:$AK$56,AD$4,FALSE)))</t>
  </si>
  <si>
    <t>=IF(ISNUMBER($L$6)=FALSE,"",
        IF(ISERROR(VLOOKUP($G39,DanaSehat!$L$13:$AK$56,AE$4,FALSE))=TRUE,"",
              VLOOKUP($G39,DanaSehat!$L$13:$AK$56,AE$4,FALSE)))</t>
  </si>
  <si>
    <t>=IF(ISNUMBER($L$6)=FALSE,"",
        IF(ISERROR(VLOOKUP($G39,DanaSehat!$L$13:$AK$56,AF$4,FALSE))=TRUE,"",
              VLOOKUP($G39,DanaSehat!$L$13:$AK$56,AF$4,FALSE)))</t>
  </si>
  <si>
    <t>=IF(ISNUMBER($L$6)=FALSE,"",
IF($C40=0,"",VLOOKUP($E40,DanaSehat!$H$13:$L$56,4,FALSE)))</t>
  </si>
  <si>
    <t>=IF(ISNUMBER($L$6)=FALSE,"",
IF($C40=0,"",VLOOKUP($E40,DanaSehat!$H$13:$L$56,5,FALSE)))</t>
  </si>
  <si>
    <t>=IF(ISNUMBER($L$6)=FALSE,"",
        IF(ISERROR(VLOOKUP($G40,DanaSehat!$L$13:$AK$56,I$4,FALSE))=TRUE,"",
              VLOOKUP($G40,DanaSehat!$L$13:$AK$56,I$4,FALSE)))</t>
  </si>
  <si>
    <t>=IF(ISNUMBER($L$6)=FALSE,"",
        IF(ISERROR(VLOOKUP($G40,DanaSehat!$L$13:$AK$56,J$4,FALSE))=TRUE,"",
              VLOOKUP($G40,DanaSehat!$L$13:$AK$56,J$4,FALSE)))</t>
  </si>
  <si>
    <t>=IF(ISNUMBER($L$6)=FALSE,"",
        IF(ISERROR(VLOOKUP($G40,DanaSehat!$L$13:$AK$56,K$4,FALSE))=TRUE,"",
              VLOOKUP($G40,DanaSehat!$L$13:$AK$56,K$4,FALSE)))</t>
  </si>
  <si>
    <t>=IF(ISNUMBER($L$6)=FALSE,"",
        IF(ISERROR(VLOOKUP($G40,DanaSehat!$L$13:$AK$56,L$4,FALSE))=TRUE,"",
              VLOOKUP($G40,DanaSehat!$L$13:$AK$56,L$4,FALSE)))</t>
  </si>
  <si>
    <t>=IF(ISNUMBER($L$6)=FALSE,"",
        IF(ISERROR(VLOOKUP($G40,DanaSehat!$L$13:$AK$56,M$4,FALSE))=TRUE,"",
              VLOOKUP($G40,DanaSehat!$L$13:$AK$56,M$4,FALSE)))</t>
  </si>
  <si>
    <t>=IF(ISNUMBER($L$6)=FALSE,"",
        IF(ISERROR(VLOOKUP($G40,DanaSehat!$L$13:$AK$56,N$4,FALSE))=TRUE,"",
              VLOOKUP($G40,DanaSehat!$L$13:$AK$56,N$4,FALSE)))</t>
  </si>
  <si>
    <t>=IF(ISNUMBER($L$6)=FALSE,"",
        IF(ISERROR(VLOOKUP($G40,DanaSehat!$L$13:$AK$56,O$4,FALSE))=TRUE,"",
              VLOOKUP($G40,DanaSehat!$L$13:$AK$56,O$4,FALSE)))</t>
  </si>
  <si>
    <t>=IF(ISNUMBER($L$6)=FALSE,"",
        IF(ISERROR(VLOOKUP($G40,DanaSehat!$L$13:$AK$56,P$4,FALSE))=TRUE,"",
              VLOOKUP($G40,DanaSehat!$L$13:$AK$56,P$4,FALSE)))</t>
  </si>
  <si>
    <t>=IF(ISNUMBER($L$6)=FALSE,"",
        IF(ISERROR(VLOOKUP($G40,DanaSehat!$L$13:$AK$56,Q$4,FALSE))=TRUE,"",
              VLOOKUP($G40,DanaSehat!$L$13:$AK$56,Q$4,FALSE)))</t>
  </si>
  <si>
    <t>=IF(ISNUMBER($L$6)=FALSE,"",
        IF(ISERROR(VLOOKUP($G40,DanaSehat!$L$13:$AK$56,R$4,FALSE))=TRUE,"",
              VLOOKUP($G40,DanaSehat!$L$13:$AK$56,R$4,FALSE)))</t>
  </si>
  <si>
    <t>=IF(ISNUMBER($L$6)=FALSE,"",
        IF(ISERROR(VLOOKUP($G40,DanaSehat!$L$13:$AK$56,S$4,FALSE))=TRUE,"",
              VLOOKUP($G40,DanaSehat!$L$13:$AK$56,S$4,FALSE)))</t>
  </si>
  <si>
    <t>=IF(ISNUMBER($L$6)=FALSE,"",
        IF(ISERROR(VLOOKUP($G40,DanaSehat!$L$13:$AK$56,T$4,FALSE))=TRUE,"",
              VLOOKUP($G40,DanaSehat!$L$13:$AK$56,T$4,FALSE)))</t>
  </si>
  <si>
    <t>=IF(ISNUMBER($L$6)=FALSE,"",
        IF(ISERROR(VLOOKUP($G40,DanaSehat!$L$13:$AK$56,U$4,FALSE))=TRUE,"",
              VLOOKUP($G40,DanaSehat!$L$13:$AK$56,U$4,FALSE)))</t>
  </si>
  <si>
    <t>=IF(ISNUMBER($L$6)=FALSE,"",
        IF(ISERROR(VLOOKUP($G40,DanaSehat!$L$13:$AK$56,V$4,FALSE))=TRUE,"",
              VLOOKUP($G40,DanaSehat!$L$13:$AK$56,V$4,FALSE)))</t>
  </si>
  <si>
    <t>=IF(ISNUMBER($L$6)=FALSE,"",
        IF(ISERROR(VLOOKUP($G40,DanaSehat!$L$13:$AK$56,W$4,FALSE))=TRUE,"",
              VLOOKUP($G40,DanaSehat!$L$13:$AK$56,W$4,FALSE)))</t>
  </si>
  <si>
    <t>=IF(ISNUMBER($L$6)=FALSE,"",
        IF(ISERROR(VLOOKUP($G40,DanaSehat!$L$13:$AK$56,X$4,FALSE))=TRUE,"",
              VLOOKUP($G40,DanaSehat!$L$13:$AK$56,X$4,FALSE)))</t>
  </si>
  <si>
    <t>=IF(ISNUMBER($L$6)=FALSE,"",
        IF(ISERROR(VLOOKUP($G40,DanaSehat!$L$13:$AK$56,Y$4,FALSE))=TRUE,"",
              VLOOKUP($G40,DanaSehat!$L$13:$AK$56,Y$4,FALSE)))</t>
  </si>
  <si>
    <t>=IF(ISNUMBER($L$6)=FALSE,"",
        IF(ISERROR(VLOOKUP($G40,DanaSehat!$L$13:$AK$56,Z$4,FALSE))=TRUE,"",
              VLOOKUP($G40,DanaSehat!$L$13:$AK$56,Z$4,FALSE)))</t>
  </si>
  <si>
    <t>=IF(ISNUMBER($L$6)=FALSE,"",
        IF(ISERROR(VLOOKUP($G40,DanaSehat!$L$13:$AK$56,AA$4,FALSE))=TRUE,"",
              VLOOKUP($G40,DanaSehat!$L$13:$AK$56,AA$4,FALSE)))</t>
  </si>
  <si>
    <t>=IF(ISNUMBER($L$6)=FALSE,"",
        IF(ISERROR(VLOOKUP($G40,DanaSehat!$L$13:$AK$56,AB$4,FALSE))=TRUE,"",
              VLOOKUP($G40,DanaSehat!$L$13:$AK$56,AB$4,FALSE)))</t>
  </si>
  <si>
    <t>=IF(ISNUMBER($L$6)=FALSE,"",
        IF(ISERROR(VLOOKUP($G40,DanaSehat!$L$13:$AK$56,AC$4,FALSE))=TRUE,"",
              VLOOKUP($G40,DanaSehat!$L$13:$AK$56,AC$4,FALSE)))</t>
  </si>
  <si>
    <t>=IF(ISNUMBER($L$6)=FALSE,"",
        IF(ISERROR(VLOOKUP($G40,DanaSehat!$L$13:$AK$56,AD$4,FALSE))=TRUE,"",
              VLOOKUP($G40,DanaSehat!$L$13:$AK$56,AD$4,FALSE)))</t>
  </si>
  <si>
    <t>=IF(ISNUMBER($L$6)=FALSE,"",
        IF(ISERROR(VLOOKUP($G40,DanaSehat!$L$13:$AK$56,AE$4,FALSE))=TRUE,"",
              VLOOKUP($G40,DanaSehat!$L$13:$AK$56,AE$4,FALSE)))</t>
  </si>
  <si>
    <t>=IF(ISNUMBER($L$6)=FALSE,"",
        IF(ISERROR(VLOOKUP($G40,DanaSehat!$L$13:$AK$56,AF$4,FALSE))=TRUE,"",
              VLOOKUP($G40,DanaSehat!$L$13:$AK$56,AF$4,FALSE)))</t>
  </si>
  <si>
    <t>=IF(ISNUMBER($L$6)=FALSE,"",
IF($C41=0,"",VLOOKUP($E41,DanaSehat!$H$13:$L$56,4,FALSE)))</t>
  </si>
  <si>
    <t>=IF(ISNUMBER($L$6)=FALSE,"",
IF($C41=0,"",VLOOKUP($E41,DanaSehat!$H$13:$L$56,5,FALSE)))</t>
  </si>
  <si>
    <t>=IF(ISNUMBER($L$6)=FALSE,"",
        IF(ISERROR(VLOOKUP($G41,DanaSehat!$L$13:$AK$56,I$4,FALSE))=TRUE,"",
              VLOOKUP($G41,DanaSehat!$L$13:$AK$56,I$4,FALSE)))</t>
  </si>
  <si>
    <t>=IF(ISNUMBER($L$6)=FALSE,"",
        IF(ISERROR(VLOOKUP($G41,DanaSehat!$L$13:$AK$56,J$4,FALSE))=TRUE,"",
              VLOOKUP($G41,DanaSehat!$L$13:$AK$56,J$4,FALSE)))</t>
  </si>
  <si>
    <t>=IF(ISNUMBER($L$6)=FALSE,"",
        IF(ISERROR(VLOOKUP($G41,DanaSehat!$L$13:$AK$56,K$4,FALSE))=TRUE,"",
              VLOOKUP($G41,DanaSehat!$L$13:$AK$56,K$4,FALSE)))</t>
  </si>
  <si>
    <t>=IF(ISNUMBER($L$6)=FALSE,"",
        IF(ISERROR(VLOOKUP($G41,DanaSehat!$L$13:$AK$56,L$4,FALSE))=TRUE,"",
              VLOOKUP($G41,DanaSehat!$L$13:$AK$56,L$4,FALSE)))</t>
  </si>
  <si>
    <t>=IF(ISNUMBER($L$6)=FALSE,"",
        IF(ISERROR(VLOOKUP($G41,DanaSehat!$L$13:$AK$56,M$4,FALSE))=TRUE,"",
              VLOOKUP($G41,DanaSehat!$L$13:$AK$56,M$4,FALSE)))</t>
  </si>
  <si>
    <t>=IF(ISNUMBER($L$6)=FALSE,"",
        IF(ISERROR(VLOOKUP($G41,DanaSehat!$L$13:$AK$56,N$4,FALSE))=TRUE,"",
              VLOOKUP($G41,DanaSehat!$L$13:$AK$56,N$4,FALSE)))</t>
  </si>
  <si>
    <t>=IF(ISNUMBER($L$6)=FALSE,"",
        IF(ISERROR(VLOOKUP($G41,DanaSehat!$L$13:$AK$56,O$4,FALSE))=TRUE,"",
              VLOOKUP($G41,DanaSehat!$L$13:$AK$56,O$4,FALSE)))</t>
  </si>
  <si>
    <t>=IF(ISNUMBER($L$6)=FALSE,"",
        IF(ISERROR(VLOOKUP($G41,DanaSehat!$L$13:$AK$56,P$4,FALSE))=TRUE,"",
              VLOOKUP($G41,DanaSehat!$L$13:$AK$56,P$4,FALSE)))</t>
  </si>
  <si>
    <t>=IF(ISNUMBER($L$6)=FALSE,"",
        IF(ISERROR(VLOOKUP($G41,DanaSehat!$L$13:$AK$56,Q$4,FALSE))=TRUE,"",
              VLOOKUP($G41,DanaSehat!$L$13:$AK$56,Q$4,FALSE)))</t>
  </si>
  <si>
    <t>=IF(ISNUMBER($L$6)=FALSE,"",
        IF(ISERROR(VLOOKUP($G41,DanaSehat!$L$13:$AK$56,R$4,FALSE))=TRUE,"",
              VLOOKUP($G41,DanaSehat!$L$13:$AK$56,R$4,FALSE)))</t>
  </si>
  <si>
    <t>=IF(ISNUMBER($L$6)=FALSE,"",
        IF(ISERROR(VLOOKUP($G41,DanaSehat!$L$13:$AK$56,S$4,FALSE))=TRUE,"",
              VLOOKUP($G41,DanaSehat!$L$13:$AK$56,S$4,FALSE)))</t>
  </si>
  <si>
    <t>=IF(ISNUMBER($L$6)=FALSE,"",
        IF(ISERROR(VLOOKUP($G41,DanaSehat!$L$13:$AK$56,T$4,FALSE))=TRUE,"",
              VLOOKUP($G41,DanaSehat!$L$13:$AK$56,T$4,FALSE)))</t>
  </si>
  <si>
    <t>=IF(ISNUMBER($L$6)=FALSE,"",
        IF(ISERROR(VLOOKUP($G41,DanaSehat!$L$13:$AK$56,U$4,FALSE))=TRUE,"",
              VLOOKUP($G41,DanaSehat!$L$13:$AK$56,U$4,FALSE)))</t>
  </si>
  <si>
    <t>=IF(ISNUMBER($L$6)=FALSE,"",
        IF(ISERROR(VLOOKUP($G41,DanaSehat!$L$13:$AK$56,V$4,FALSE))=TRUE,"",
              VLOOKUP($G41,DanaSehat!$L$13:$AK$56,V$4,FALSE)))</t>
  </si>
  <si>
    <t>=IF(ISNUMBER($L$6)=FALSE,"",
        IF(ISERROR(VLOOKUP($G41,DanaSehat!$L$13:$AK$56,W$4,FALSE))=TRUE,"",
              VLOOKUP($G41,DanaSehat!$L$13:$AK$56,W$4,FALSE)))</t>
  </si>
  <si>
    <t>=IF(ISNUMBER($L$6)=FALSE,"",
        IF(ISERROR(VLOOKUP($G41,DanaSehat!$L$13:$AK$56,X$4,FALSE))=TRUE,"",
              VLOOKUP($G41,DanaSehat!$L$13:$AK$56,X$4,FALSE)))</t>
  </si>
  <si>
    <t>=IF(ISNUMBER($L$6)=FALSE,"",
        IF(ISERROR(VLOOKUP($G41,DanaSehat!$L$13:$AK$56,Y$4,FALSE))=TRUE,"",
              VLOOKUP($G41,DanaSehat!$L$13:$AK$56,Y$4,FALSE)))</t>
  </si>
  <si>
    <t>=IF(ISNUMBER($L$6)=FALSE,"",
        IF(ISERROR(VLOOKUP($G41,DanaSehat!$L$13:$AK$56,Z$4,FALSE))=TRUE,"",
              VLOOKUP($G41,DanaSehat!$L$13:$AK$56,Z$4,FALSE)))</t>
  </si>
  <si>
    <t>=IF(ISNUMBER($L$6)=FALSE,"",
        IF(ISERROR(VLOOKUP($G41,DanaSehat!$L$13:$AK$56,AA$4,FALSE))=TRUE,"",
              VLOOKUP($G41,DanaSehat!$L$13:$AK$56,AA$4,FALSE)))</t>
  </si>
  <si>
    <t>=IF(ISNUMBER($L$6)=FALSE,"",
        IF(ISERROR(VLOOKUP($G41,DanaSehat!$L$13:$AK$56,AB$4,FALSE))=TRUE,"",
              VLOOKUP($G41,DanaSehat!$L$13:$AK$56,AB$4,FALSE)))</t>
  </si>
  <si>
    <t>=IF(ISNUMBER($L$6)=FALSE,"",
        IF(ISERROR(VLOOKUP($G41,DanaSehat!$L$13:$AK$56,AC$4,FALSE))=TRUE,"",
              VLOOKUP($G41,DanaSehat!$L$13:$AK$56,AC$4,FALSE)))</t>
  </si>
  <si>
    <t>=IF(ISNUMBER($L$6)=FALSE,"",
        IF(ISERROR(VLOOKUP($G41,DanaSehat!$L$13:$AK$56,AD$4,FALSE))=TRUE,"",
              VLOOKUP($G41,DanaSehat!$L$13:$AK$56,AD$4,FALSE)))</t>
  </si>
  <si>
    <t>=IF(ISNUMBER($L$6)=FALSE,"",
        IF(ISERROR(VLOOKUP($G41,DanaSehat!$L$13:$AK$56,AE$4,FALSE))=TRUE,"",
              VLOOKUP($G41,DanaSehat!$L$13:$AK$56,AE$4,FALSE)))</t>
  </si>
  <si>
    <t>=IF(ISNUMBER($L$6)=FALSE,"",
        IF(ISERROR(VLOOKUP($G41,DanaSehat!$L$13:$AK$56,AF$4,FALSE))=TRUE,"",
              VLOOKUP($G41,DanaSehat!$L$13:$AK$56,AF$4,FALSE)))</t>
  </si>
  <si>
    <t>=IF(ISNUMBER($L$6)=FALSE,"",
IF($C42=0,"",VLOOKUP($E42,DanaSehat!$H$13:$L$56,4,FALSE)))</t>
  </si>
  <si>
    <t>=IF(ISNUMBER($L$6)=FALSE,"",
IF($C42=0,"",VLOOKUP($E42,DanaSehat!$H$13:$L$56,5,FALSE)))</t>
  </si>
  <si>
    <t>=IF(ISNUMBER($L$6)=FALSE,"",
        IF(ISERROR(VLOOKUP($G42,DanaSehat!$L$13:$AK$56,I$4,FALSE))=TRUE,"",
              VLOOKUP($G42,DanaSehat!$L$13:$AK$56,I$4,FALSE)))</t>
  </si>
  <si>
    <t>=IF(ISNUMBER($L$6)=FALSE,"",
        IF(ISERROR(VLOOKUP($G42,DanaSehat!$L$13:$AK$56,J$4,FALSE))=TRUE,"",
              VLOOKUP($G42,DanaSehat!$L$13:$AK$56,J$4,FALSE)))</t>
  </si>
  <si>
    <t>=IF(ISNUMBER($L$6)=FALSE,"",
        IF(ISERROR(VLOOKUP($G42,DanaSehat!$L$13:$AK$56,K$4,FALSE))=TRUE,"",
              VLOOKUP($G42,DanaSehat!$L$13:$AK$56,K$4,FALSE)))</t>
  </si>
  <si>
    <t>=IF(ISNUMBER($L$6)=FALSE,"",
        IF(ISERROR(VLOOKUP($G42,DanaSehat!$L$13:$AK$56,L$4,FALSE))=TRUE,"",
              VLOOKUP($G42,DanaSehat!$L$13:$AK$56,L$4,FALSE)))</t>
  </si>
  <si>
    <t>=IF(ISNUMBER($L$6)=FALSE,"",
        IF(ISERROR(VLOOKUP($G42,DanaSehat!$L$13:$AK$56,M$4,FALSE))=TRUE,"",
              VLOOKUP($G42,DanaSehat!$L$13:$AK$56,M$4,FALSE)))</t>
  </si>
  <si>
    <t>=IF(ISNUMBER($L$6)=FALSE,"",
        IF(ISERROR(VLOOKUP($G42,DanaSehat!$L$13:$AK$56,N$4,FALSE))=TRUE,"",
              VLOOKUP($G42,DanaSehat!$L$13:$AK$56,N$4,FALSE)))</t>
  </si>
  <si>
    <t>=IF(ISNUMBER($L$6)=FALSE,"",
        IF(ISERROR(VLOOKUP($G42,DanaSehat!$L$13:$AK$56,O$4,FALSE))=TRUE,"",
              VLOOKUP($G42,DanaSehat!$L$13:$AK$56,O$4,FALSE)))</t>
  </si>
  <si>
    <t>=IF(ISNUMBER($L$6)=FALSE,"",
        IF(ISERROR(VLOOKUP($G42,DanaSehat!$L$13:$AK$56,P$4,FALSE))=TRUE,"",
              VLOOKUP($G42,DanaSehat!$L$13:$AK$56,P$4,FALSE)))</t>
  </si>
  <si>
    <t>=IF(ISNUMBER($L$6)=FALSE,"",
        IF(ISERROR(VLOOKUP($G42,DanaSehat!$L$13:$AK$56,Q$4,FALSE))=TRUE,"",
              VLOOKUP($G42,DanaSehat!$L$13:$AK$56,Q$4,FALSE)))</t>
  </si>
  <si>
    <t>=IF(ISNUMBER($L$6)=FALSE,"",
        IF(ISERROR(VLOOKUP($G42,DanaSehat!$L$13:$AK$56,R$4,FALSE))=TRUE,"",
              VLOOKUP($G42,DanaSehat!$L$13:$AK$56,R$4,FALSE)))</t>
  </si>
  <si>
    <t>=IF(ISNUMBER($L$6)=FALSE,"",
        IF(ISERROR(VLOOKUP($G42,DanaSehat!$L$13:$AK$56,S$4,FALSE))=TRUE,"",
              VLOOKUP($G42,DanaSehat!$L$13:$AK$56,S$4,FALSE)))</t>
  </si>
  <si>
    <t>=IF(ISNUMBER($L$6)=FALSE,"",
        IF(ISERROR(VLOOKUP($G42,DanaSehat!$L$13:$AK$56,T$4,FALSE))=TRUE,"",
              VLOOKUP($G42,DanaSehat!$L$13:$AK$56,T$4,FALSE)))</t>
  </si>
  <si>
    <t>=IF(ISNUMBER($L$6)=FALSE,"",
        IF(ISERROR(VLOOKUP($G42,DanaSehat!$L$13:$AK$56,U$4,FALSE))=TRUE,"",
              VLOOKUP($G42,DanaSehat!$L$13:$AK$56,U$4,FALSE)))</t>
  </si>
  <si>
    <t>=IF(ISNUMBER($L$6)=FALSE,"",
        IF(ISERROR(VLOOKUP($G42,DanaSehat!$L$13:$AK$56,V$4,FALSE))=TRUE,"",
              VLOOKUP($G42,DanaSehat!$L$13:$AK$56,V$4,FALSE)))</t>
  </si>
  <si>
    <t>=IF(ISNUMBER($L$6)=FALSE,"",
        IF(ISERROR(VLOOKUP($G42,DanaSehat!$L$13:$AK$56,W$4,FALSE))=TRUE,"",
              VLOOKUP($G42,DanaSehat!$L$13:$AK$56,W$4,FALSE)))</t>
  </si>
  <si>
    <t>=IF(ISNUMBER($L$6)=FALSE,"",
        IF(ISERROR(VLOOKUP($G42,DanaSehat!$L$13:$AK$56,X$4,FALSE))=TRUE,"",
              VLOOKUP($G42,DanaSehat!$L$13:$AK$56,X$4,FALSE)))</t>
  </si>
  <si>
    <t>=IF(ISNUMBER($L$6)=FALSE,"",
        IF(ISERROR(VLOOKUP($G42,DanaSehat!$L$13:$AK$56,Y$4,FALSE))=TRUE,"",
              VLOOKUP($G42,DanaSehat!$L$13:$AK$56,Y$4,FALSE)))</t>
  </si>
  <si>
    <t>=IF(ISNUMBER($L$6)=FALSE,"",
        IF(ISERROR(VLOOKUP($G42,DanaSehat!$L$13:$AK$56,Z$4,FALSE))=TRUE,"",
              VLOOKUP($G42,DanaSehat!$L$13:$AK$56,Z$4,FALSE)))</t>
  </si>
  <si>
    <t>=IF(ISNUMBER($L$6)=FALSE,"",
        IF(ISERROR(VLOOKUP($G42,DanaSehat!$L$13:$AK$56,AA$4,FALSE))=TRUE,"",
              VLOOKUP($G42,DanaSehat!$L$13:$AK$56,AA$4,FALSE)))</t>
  </si>
  <si>
    <t>=IF(ISNUMBER($L$6)=FALSE,"",
        IF(ISERROR(VLOOKUP($G42,DanaSehat!$L$13:$AK$56,AB$4,FALSE))=TRUE,"",
              VLOOKUP($G42,DanaSehat!$L$13:$AK$56,AB$4,FALSE)))</t>
  </si>
  <si>
    <t>=IF(ISNUMBER($L$6)=FALSE,"",
        IF(ISERROR(VLOOKUP($G42,DanaSehat!$L$13:$AK$56,AC$4,FALSE))=TRUE,"",
              VLOOKUP($G42,DanaSehat!$L$13:$AK$56,AC$4,FALSE)))</t>
  </si>
  <si>
    <t>=IF(ISNUMBER($L$6)=FALSE,"",
        IF(ISERROR(VLOOKUP($G42,DanaSehat!$L$13:$AK$56,AD$4,FALSE))=TRUE,"",
              VLOOKUP($G42,DanaSehat!$L$13:$AK$56,AD$4,FALSE)))</t>
  </si>
  <si>
    <t>=IF(ISNUMBER($L$6)=FALSE,"",
        IF(ISERROR(VLOOKUP($G42,DanaSehat!$L$13:$AK$56,AE$4,FALSE))=TRUE,"",
              VLOOKUP($G42,DanaSehat!$L$13:$AK$56,AE$4,FALSE)))</t>
  </si>
  <si>
    <t>=IF(ISNUMBER($L$6)=FALSE,"",
        IF(ISERROR(VLOOKUP($G42,DanaSehat!$L$13:$AK$56,AF$4,FALSE))=TRUE,"",
              VLOOKUP($G42,DanaSehat!$L$13:$AK$56,AF$4,FALSE)))</t>
  </si>
  <si>
    <t>=IF(ISNUMBER($L$6)=FALSE,"",
IF($C43=0,"",VLOOKUP($E43,DanaSehat!$H$13:$L$56,4,FALSE)))</t>
  </si>
  <si>
    <t>=IF(ISNUMBER($L$6)=FALSE,"",
IF($C43=0,"",VLOOKUP($E43,DanaSehat!$H$13:$L$56,5,FALSE)))</t>
  </si>
  <si>
    <t>=IF(ISNUMBER($L$6)=FALSE,"",
        IF(ISERROR(VLOOKUP($G43,DanaSehat!$L$13:$AK$56,I$4,FALSE))=TRUE,"",
              VLOOKUP($G43,DanaSehat!$L$13:$AK$56,I$4,FALSE)))</t>
  </si>
  <si>
    <t>=IF(ISNUMBER($L$6)=FALSE,"",
        IF(ISERROR(VLOOKUP($G43,DanaSehat!$L$13:$AK$56,J$4,FALSE))=TRUE,"",
              VLOOKUP($G43,DanaSehat!$L$13:$AK$56,J$4,FALSE)))</t>
  </si>
  <si>
    <t>=IF(ISNUMBER($L$6)=FALSE,"",
        IF(ISERROR(VLOOKUP($G43,DanaSehat!$L$13:$AK$56,K$4,FALSE))=TRUE,"",
              VLOOKUP($G43,DanaSehat!$L$13:$AK$56,K$4,FALSE)))</t>
  </si>
  <si>
    <t>=IF(ISNUMBER($L$6)=FALSE,"",
        IF(ISERROR(VLOOKUP($G43,DanaSehat!$L$13:$AK$56,L$4,FALSE))=TRUE,"",
              VLOOKUP($G43,DanaSehat!$L$13:$AK$56,L$4,FALSE)))</t>
  </si>
  <si>
    <t>=IF(ISNUMBER($L$6)=FALSE,"",
        IF(ISERROR(VLOOKUP($G43,DanaSehat!$L$13:$AK$56,M$4,FALSE))=TRUE,"",
              VLOOKUP($G43,DanaSehat!$L$13:$AK$56,M$4,FALSE)))</t>
  </si>
  <si>
    <t>=IF(ISNUMBER($L$6)=FALSE,"",
        IF(ISERROR(VLOOKUP($G43,DanaSehat!$L$13:$AK$56,N$4,FALSE))=TRUE,"",
              VLOOKUP($G43,DanaSehat!$L$13:$AK$56,N$4,FALSE)))</t>
  </si>
  <si>
    <t>=IF(ISNUMBER($L$6)=FALSE,"",
        IF(ISERROR(VLOOKUP($G43,DanaSehat!$L$13:$AK$56,O$4,FALSE))=TRUE,"",
              VLOOKUP($G43,DanaSehat!$L$13:$AK$56,O$4,FALSE)))</t>
  </si>
  <si>
    <t>=IF(ISNUMBER($L$6)=FALSE,"",
        IF(ISERROR(VLOOKUP($G43,DanaSehat!$L$13:$AK$56,P$4,FALSE))=TRUE,"",
              VLOOKUP($G43,DanaSehat!$L$13:$AK$56,P$4,FALSE)))</t>
  </si>
  <si>
    <t>=IF(ISNUMBER($L$6)=FALSE,"",
        IF(ISERROR(VLOOKUP($G43,DanaSehat!$L$13:$AK$56,Q$4,FALSE))=TRUE,"",
              VLOOKUP($G43,DanaSehat!$L$13:$AK$56,Q$4,FALSE)))</t>
  </si>
  <si>
    <t>=IF(ISNUMBER($L$6)=FALSE,"",
        IF(ISERROR(VLOOKUP($G43,DanaSehat!$L$13:$AK$56,R$4,FALSE))=TRUE,"",
              VLOOKUP($G43,DanaSehat!$L$13:$AK$56,R$4,FALSE)))</t>
  </si>
  <si>
    <t>=IF(ISNUMBER($L$6)=FALSE,"",
        IF(ISERROR(VLOOKUP($G43,DanaSehat!$L$13:$AK$56,S$4,FALSE))=TRUE,"",
              VLOOKUP($G43,DanaSehat!$L$13:$AK$56,S$4,FALSE)))</t>
  </si>
  <si>
    <t>=IF(ISNUMBER($L$6)=FALSE,"",
        IF(ISERROR(VLOOKUP($G43,DanaSehat!$L$13:$AK$56,T$4,FALSE))=TRUE,"",
              VLOOKUP($G43,DanaSehat!$L$13:$AK$56,T$4,FALSE)))</t>
  </si>
  <si>
    <t>=IF(ISNUMBER($L$6)=FALSE,"",
        IF(ISERROR(VLOOKUP($G43,DanaSehat!$L$13:$AK$56,U$4,FALSE))=TRUE,"",
              VLOOKUP($G43,DanaSehat!$L$13:$AK$56,U$4,FALSE)))</t>
  </si>
  <si>
    <t>=IF(ISNUMBER($L$6)=FALSE,"",
        IF(ISERROR(VLOOKUP($G43,DanaSehat!$L$13:$AK$56,V$4,FALSE))=TRUE,"",
              VLOOKUP($G43,DanaSehat!$L$13:$AK$56,V$4,FALSE)))</t>
  </si>
  <si>
    <t>=IF(ISNUMBER($L$6)=FALSE,"",
        IF(ISERROR(VLOOKUP($G43,DanaSehat!$L$13:$AK$56,W$4,FALSE))=TRUE,"",
              VLOOKUP($G43,DanaSehat!$L$13:$AK$56,W$4,FALSE)))</t>
  </si>
  <si>
    <t>=IF(ISNUMBER($L$6)=FALSE,"",
        IF(ISERROR(VLOOKUP($G43,DanaSehat!$L$13:$AK$56,X$4,FALSE))=TRUE,"",
              VLOOKUP($G43,DanaSehat!$L$13:$AK$56,X$4,FALSE)))</t>
  </si>
  <si>
    <t>=IF(ISNUMBER($L$6)=FALSE,"",
        IF(ISERROR(VLOOKUP($G43,DanaSehat!$L$13:$AK$56,Y$4,FALSE))=TRUE,"",
              VLOOKUP($G43,DanaSehat!$L$13:$AK$56,Y$4,FALSE)))</t>
  </si>
  <si>
    <t>=IF(ISNUMBER($L$6)=FALSE,"",
        IF(ISERROR(VLOOKUP($G43,DanaSehat!$L$13:$AK$56,Z$4,FALSE))=TRUE,"",
              VLOOKUP($G43,DanaSehat!$L$13:$AK$56,Z$4,FALSE)))</t>
  </si>
  <si>
    <t>=IF(ISNUMBER($L$6)=FALSE,"",
        IF(ISERROR(VLOOKUP($G43,DanaSehat!$L$13:$AK$56,AA$4,FALSE))=TRUE,"",
              VLOOKUP($G43,DanaSehat!$L$13:$AK$56,AA$4,FALSE)))</t>
  </si>
  <si>
    <t>=IF(ISNUMBER($L$6)=FALSE,"",
        IF(ISERROR(VLOOKUP($G43,DanaSehat!$L$13:$AK$56,AB$4,FALSE))=TRUE,"",
              VLOOKUP($G43,DanaSehat!$L$13:$AK$56,AB$4,FALSE)))</t>
  </si>
  <si>
    <t>=IF(ISNUMBER($L$6)=FALSE,"",
        IF(ISERROR(VLOOKUP($G43,DanaSehat!$L$13:$AK$56,AC$4,FALSE))=TRUE,"",
              VLOOKUP($G43,DanaSehat!$L$13:$AK$56,AC$4,FALSE)))</t>
  </si>
  <si>
    <t>=IF(ISNUMBER($L$6)=FALSE,"",
        IF(ISERROR(VLOOKUP($G43,DanaSehat!$L$13:$AK$56,AD$4,FALSE))=TRUE,"",
              VLOOKUP($G43,DanaSehat!$L$13:$AK$56,AD$4,FALSE)))</t>
  </si>
  <si>
    <t>=IF(ISNUMBER($L$6)=FALSE,"",
        IF(ISERROR(VLOOKUP($G43,DanaSehat!$L$13:$AK$56,AE$4,FALSE))=TRUE,"",
              VLOOKUP($G43,DanaSehat!$L$13:$AK$56,AE$4,FALSE)))</t>
  </si>
  <si>
    <t>=IF(ISNUMBER($L$6)=FALSE,"",
        IF(ISERROR(VLOOKUP($G43,DanaSehat!$L$13:$AK$56,AF$4,FALSE))=TRUE,"",
              VLOOKUP($G43,DanaSehat!$L$13:$AK$56,AF$4,FALSE)))</t>
  </si>
  <si>
    <t>=IF(ISNUMBER($L$6)=FALSE,"",
IF($C44=0,"",VLOOKUP($E44,DanaSehat!$H$13:$L$56,4,FALSE)))</t>
  </si>
  <si>
    <t>=IF(ISNUMBER($L$6)=FALSE,"",
IF($C44=0,"",VLOOKUP($E44,DanaSehat!$H$13:$L$56,5,FALSE)))</t>
  </si>
  <si>
    <t>=IF(ISNUMBER($L$6)=FALSE,"",
        IF(ISERROR(VLOOKUP($G44,DanaSehat!$L$13:$AK$56,I$4,FALSE))=TRUE,"",
              VLOOKUP($G44,DanaSehat!$L$13:$AK$56,I$4,FALSE)))</t>
  </si>
  <si>
    <t>=IF(ISNUMBER($L$6)=FALSE,"",
        IF(ISERROR(VLOOKUP($G44,DanaSehat!$L$13:$AK$56,J$4,FALSE))=TRUE,"",
              VLOOKUP($G44,DanaSehat!$L$13:$AK$56,J$4,FALSE)))</t>
  </si>
  <si>
    <t>=IF(ISNUMBER($L$6)=FALSE,"",
        IF(ISERROR(VLOOKUP($G44,DanaSehat!$L$13:$AK$56,K$4,FALSE))=TRUE,"",
              VLOOKUP($G44,DanaSehat!$L$13:$AK$56,K$4,FALSE)))</t>
  </si>
  <si>
    <t>=IF(ISNUMBER($L$6)=FALSE,"",
        IF(ISERROR(VLOOKUP($G44,DanaSehat!$L$13:$AK$56,L$4,FALSE))=TRUE,"",
              VLOOKUP($G44,DanaSehat!$L$13:$AK$56,L$4,FALSE)))</t>
  </si>
  <si>
    <t>=IF(ISNUMBER($L$6)=FALSE,"",
        IF(ISERROR(VLOOKUP($G44,DanaSehat!$L$13:$AK$56,M$4,FALSE))=TRUE,"",
              VLOOKUP($G44,DanaSehat!$L$13:$AK$56,M$4,FALSE)))</t>
  </si>
  <si>
    <t>=IF(ISNUMBER($L$6)=FALSE,"",
        IF(ISERROR(VLOOKUP($G44,DanaSehat!$L$13:$AK$56,N$4,FALSE))=TRUE,"",
              VLOOKUP($G44,DanaSehat!$L$13:$AK$56,N$4,FALSE)))</t>
  </si>
  <si>
    <t>=IF(ISNUMBER($L$6)=FALSE,"",
        IF(ISERROR(VLOOKUP($G44,DanaSehat!$L$13:$AK$56,O$4,FALSE))=TRUE,"",
              VLOOKUP($G44,DanaSehat!$L$13:$AK$56,O$4,FALSE)))</t>
  </si>
  <si>
    <t>=IF(ISNUMBER($L$6)=FALSE,"",
        IF(ISERROR(VLOOKUP($G44,DanaSehat!$L$13:$AK$56,P$4,FALSE))=TRUE,"",
              VLOOKUP($G44,DanaSehat!$L$13:$AK$56,P$4,FALSE)))</t>
  </si>
  <si>
    <t>=IF(ISNUMBER($L$6)=FALSE,"",
        IF(ISERROR(VLOOKUP($G44,DanaSehat!$L$13:$AK$56,Q$4,FALSE))=TRUE,"",
              VLOOKUP($G44,DanaSehat!$L$13:$AK$56,Q$4,FALSE)))</t>
  </si>
  <si>
    <t>=IF(ISNUMBER($L$6)=FALSE,"",
        IF(ISERROR(VLOOKUP($G44,DanaSehat!$L$13:$AK$56,R$4,FALSE))=TRUE,"",
              VLOOKUP($G44,DanaSehat!$L$13:$AK$56,R$4,FALSE)))</t>
  </si>
  <si>
    <t>=IF(ISNUMBER($L$6)=FALSE,"",
        IF(ISERROR(VLOOKUP($G44,DanaSehat!$L$13:$AK$56,S$4,FALSE))=TRUE,"",
              VLOOKUP($G44,DanaSehat!$L$13:$AK$56,S$4,FALSE)))</t>
  </si>
  <si>
    <t>=IF(ISNUMBER($L$6)=FALSE,"",
        IF(ISERROR(VLOOKUP($G44,DanaSehat!$L$13:$AK$56,T$4,FALSE))=TRUE,"",
              VLOOKUP($G44,DanaSehat!$L$13:$AK$56,T$4,FALSE)))</t>
  </si>
  <si>
    <t>=IF(ISNUMBER($L$6)=FALSE,"",
        IF(ISERROR(VLOOKUP($G44,DanaSehat!$L$13:$AK$56,U$4,FALSE))=TRUE,"",
              VLOOKUP($G44,DanaSehat!$L$13:$AK$56,U$4,FALSE)))</t>
  </si>
  <si>
    <t>=IF(ISNUMBER($L$6)=FALSE,"",
        IF(ISERROR(VLOOKUP($G44,DanaSehat!$L$13:$AK$56,V$4,FALSE))=TRUE,"",
              VLOOKUP($G44,DanaSehat!$L$13:$AK$56,V$4,FALSE)))</t>
  </si>
  <si>
    <t>=IF(ISNUMBER($L$6)=FALSE,"",
        IF(ISERROR(VLOOKUP($G44,DanaSehat!$L$13:$AK$56,W$4,FALSE))=TRUE,"",
              VLOOKUP($G44,DanaSehat!$L$13:$AK$56,W$4,FALSE)))</t>
  </si>
  <si>
    <t>=IF(ISNUMBER($L$6)=FALSE,"",
        IF(ISERROR(VLOOKUP($G44,DanaSehat!$L$13:$AK$56,X$4,FALSE))=TRUE,"",
              VLOOKUP($G44,DanaSehat!$L$13:$AK$56,X$4,FALSE)))</t>
  </si>
  <si>
    <t>=IF(ISNUMBER($L$6)=FALSE,"",
        IF(ISERROR(VLOOKUP($G44,DanaSehat!$L$13:$AK$56,Y$4,FALSE))=TRUE,"",
              VLOOKUP($G44,DanaSehat!$L$13:$AK$56,Y$4,FALSE)))</t>
  </si>
  <si>
    <t>=IF(ISNUMBER($L$6)=FALSE,"",
        IF(ISERROR(VLOOKUP($G44,DanaSehat!$L$13:$AK$56,Z$4,FALSE))=TRUE,"",
              VLOOKUP($G44,DanaSehat!$L$13:$AK$56,Z$4,FALSE)))</t>
  </si>
  <si>
    <t>=IF(ISNUMBER($L$6)=FALSE,"",
        IF(ISERROR(VLOOKUP($G44,DanaSehat!$L$13:$AK$56,AA$4,FALSE))=TRUE,"",
              VLOOKUP($G44,DanaSehat!$L$13:$AK$56,AA$4,FALSE)))</t>
  </si>
  <si>
    <t>=IF(ISNUMBER($L$6)=FALSE,"",
        IF(ISERROR(VLOOKUP($G44,DanaSehat!$L$13:$AK$56,AB$4,FALSE))=TRUE,"",
              VLOOKUP($G44,DanaSehat!$L$13:$AK$56,AB$4,FALSE)))</t>
  </si>
  <si>
    <t>=IF(ISNUMBER($L$6)=FALSE,"",
        IF(ISERROR(VLOOKUP($G44,DanaSehat!$L$13:$AK$56,AC$4,FALSE))=TRUE,"",
              VLOOKUP($G44,DanaSehat!$L$13:$AK$56,AC$4,FALSE)))</t>
  </si>
  <si>
    <t>=IF(ISNUMBER($L$6)=FALSE,"",
        IF(ISERROR(VLOOKUP($G44,DanaSehat!$L$13:$AK$56,AD$4,FALSE))=TRUE,"",
              VLOOKUP($G44,DanaSehat!$L$13:$AK$56,AD$4,FALSE)))</t>
  </si>
  <si>
    <t>=IF(ISNUMBER($L$6)=FALSE,"",
        IF(ISERROR(VLOOKUP($G44,DanaSehat!$L$13:$AK$56,AE$4,FALSE))=TRUE,"",
              VLOOKUP($G44,DanaSehat!$L$13:$AK$56,AE$4,FALSE)))</t>
  </si>
  <si>
    <t>=IF(ISNUMBER($L$6)=FALSE,"",
        IF(ISERROR(VLOOKUP($G44,DanaSehat!$L$13:$AK$56,AF$4,FALSE))=TRUE,"",
              VLOOKUP($G44,DanaSehat!$L$13:$AK$56,AF$4,FALSE)))</t>
  </si>
  <si>
    <t>=IF(ISNUMBER($L$6)=FALSE,"",
IF($C45=0,"",VLOOKUP($E45,DanaSehat!$H$13:$L$56,4,FALSE)))</t>
  </si>
  <si>
    <t>=IF(ISNUMBER($L$6)=FALSE,"",
IF($C45=0,"",VLOOKUP($E45,DanaSehat!$H$13:$L$56,5,FALSE)))</t>
  </si>
  <si>
    <t>=IF(ISNUMBER($L$6)=FALSE,"",
        IF(ISERROR(VLOOKUP($G45,DanaSehat!$L$13:$AK$56,I$4,FALSE))=TRUE,"",
              VLOOKUP($G45,DanaSehat!$L$13:$AK$56,I$4,FALSE)))</t>
  </si>
  <si>
    <t>=IF(ISNUMBER($L$6)=FALSE,"",
        IF(ISERROR(VLOOKUP($G45,DanaSehat!$L$13:$AK$56,J$4,FALSE))=TRUE,"",
              VLOOKUP($G45,DanaSehat!$L$13:$AK$56,J$4,FALSE)))</t>
  </si>
  <si>
    <t>=IF(ISNUMBER($L$6)=FALSE,"",
        IF(ISERROR(VLOOKUP($G45,DanaSehat!$L$13:$AK$56,K$4,FALSE))=TRUE,"",
              VLOOKUP($G45,DanaSehat!$L$13:$AK$56,K$4,FALSE)))</t>
  </si>
  <si>
    <t>=IF(ISNUMBER($L$6)=FALSE,"",
        IF(ISERROR(VLOOKUP($G45,DanaSehat!$L$13:$AK$56,L$4,FALSE))=TRUE,"",
              VLOOKUP($G45,DanaSehat!$L$13:$AK$56,L$4,FALSE)))</t>
  </si>
  <si>
    <t>=IF(ISNUMBER($L$6)=FALSE,"",
        IF(ISERROR(VLOOKUP($G45,DanaSehat!$L$13:$AK$56,M$4,FALSE))=TRUE,"",
              VLOOKUP($G45,DanaSehat!$L$13:$AK$56,M$4,FALSE)))</t>
  </si>
  <si>
    <t>=IF(ISNUMBER($L$6)=FALSE,"",
        IF(ISERROR(VLOOKUP($G45,DanaSehat!$L$13:$AK$56,N$4,FALSE))=TRUE,"",
              VLOOKUP($G45,DanaSehat!$L$13:$AK$56,N$4,FALSE)))</t>
  </si>
  <si>
    <t>=IF(ISNUMBER($L$6)=FALSE,"",
        IF(ISERROR(VLOOKUP($G45,DanaSehat!$L$13:$AK$56,O$4,FALSE))=TRUE,"",
              VLOOKUP($G45,DanaSehat!$L$13:$AK$56,O$4,FALSE)))</t>
  </si>
  <si>
    <t>=IF(ISNUMBER($L$6)=FALSE,"",
        IF(ISERROR(VLOOKUP($G45,DanaSehat!$L$13:$AK$56,P$4,FALSE))=TRUE,"",
              VLOOKUP($G45,DanaSehat!$L$13:$AK$56,P$4,FALSE)))</t>
  </si>
  <si>
    <t>=IF(ISNUMBER($L$6)=FALSE,"",
        IF(ISERROR(VLOOKUP($G45,DanaSehat!$L$13:$AK$56,Q$4,FALSE))=TRUE,"",
              VLOOKUP($G45,DanaSehat!$L$13:$AK$56,Q$4,FALSE)))</t>
  </si>
  <si>
    <t>=IF(ISNUMBER($L$6)=FALSE,"",
        IF(ISERROR(VLOOKUP($G45,DanaSehat!$L$13:$AK$56,R$4,FALSE))=TRUE,"",
              VLOOKUP($G45,DanaSehat!$L$13:$AK$56,R$4,FALSE)))</t>
  </si>
  <si>
    <t>=IF(ISNUMBER($L$6)=FALSE,"",
        IF(ISERROR(VLOOKUP($G45,DanaSehat!$L$13:$AK$56,S$4,FALSE))=TRUE,"",
              VLOOKUP($G45,DanaSehat!$L$13:$AK$56,S$4,FALSE)))</t>
  </si>
  <si>
    <t>=IF(ISNUMBER($L$6)=FALSE,"",
        IF(ISERROR(VLOOKUP($G45,DanaSehat!$L$13:$AK$56,T$4,FALSE))=TRUE,"",
              VLOOKUP($G45,DanaSehat!$L$13:$AK$56,T$4,FALSE)))</t>
  </si>
  <si>
    <t>=IF(ISNUMBER($L$6)=FALSE,"",
        IF(ISERROR(VLOOKUP($G45,DanaSehat!$L$13:$AK$56,U$4,FALSE))=TRUE,"",
              VLOOKUP($G45,DanaSehat!$L$13:$AK$56,U$4,FALSE)))</t>
  </si>
  <si>
    <t>=IF(ISNUMBER($L$6)=FALSE,"",
        IF(ISERROR(VLOOKUP($G45,DanaSehat!$L$13:$AK$56,V$4,FALSE))=TRUE,"",
              VLOOKUP($G45,DanaSehat!$L$13:$AK$56,V$4,FALSE)))</t>
  </si>
  <si>
    <t>=IF(ISNUMBER($L$6)=FALSE,"",
        IF(ISERROR(VLOOKUP($G45,DanaSehat!$L$13:$AK$56,W$4,FALSE))=TRUE,"",
              VLOOKUP($G45,DanaSehat!$L$13:$AK$56,W$4,FALSE)))</t>
  </si>
  <si>
    <t>=IF(ISNUMBER($L$6)=FALSE,"",
        IF(ISERROR(VLOOKUP($G45,DanaSehat!$L$13:$AK$56,X$4,FALSE))=TRUE,"",
              VLOOKUP($G45,DanaSehat!$L$13:$AK$56,X$4,FALSE)))</t>
  </si>
  <si>
    <t>=IF(ISNUMBER($L$6)=FALSE,"",
        IF(ISERROR(VLOOKUP($G45,DanaSehat!$L$13:$AK$56,Y$4,FALSE))=TRUE,"",
              VLOOKUP($G45,DanaSehat!$L$13:$AK$56,Y$4,FALSE)))</t>
  </si>
  <si>
    <t>=IF(ISNUMBER($L$6)=FALSE,"",
        IF(ISERROR(VLOOKUP($G45,DanaSehat!$L$13:$AK$56,Z$4,FALSE))=TRUE,"",
              VLOOKUP($G45,DanaSehat!$L$13:$AK$56,Z$4,FALSE)))</t>
  </si>
  <si>
    <t>=IF(ISNUMBER($L$6)=FALSE,"",
        IF(ISERROR(VLOOKUP($G45,DanaSehat!$L$13:$AK$56,AA$4,FALSE))=TRUE,"",
              VLOOKUP($G45,DanaSehat!$L$13:$AK$56,AA$4,FALSE)))</t>
  </si>
  <si>
    <t>=IF(ISNUMBER($L$6)=FALSE,"",
        IF(ISERROR(VLOOKUP($G45,DanaSehat!$L$13:$AK$56,AB$4,FALSE))=TRUE,"",
              VLOOKUP($G45,DanaSehat!$L$13:$AK$56,AB$4,FALSE)))</t>
  </si>
  <si>
    <t>=IF(ISNUMBER($L$6)=FALSE,"",
        IF(ISERROR(VLOOKUP($G45,DanaSehat!$L$13:$AK$56,AC$4,FALSE))=TRUE,"",
              VLOOKUP($G45,DanaSehat!$L$13:$AK$56,AC$4,FALSE)))</t>
  </si>
  <si>
    <t>=IF(ISNUMBER($L$6)=FALSE,"",
        IF(ISERROR(VLOOKUP($G45,DanaSehat!$L$13:$AK$56,AD$4,FALSE))=TRUE,"",
              VLOOKUP($G45,DanaSehat!$L$13:$AK$56,AD$4,FALSE)))</t>
  </si>
  <si>
    <t>=IF(ISNUMBER($L$6)=FALSE,"",
        IF(ISERROR(VLOOKUP($G45,DanaSehat!$L$13:$AK$56,AE$4,FALSE))=TRUE,"",
              VLOOKUP($G45,DanaSehat!$L$13:$AK$56,AE$4,FALSE)))</t>
  </si>
  <si>
    <t>=IF(ISNUMBER($L$6)=FALSE,"",
        IF(ISERROR(VLOOKUP($G45,DanaSehat!$L$13:$AK$56,AF$4,FALSE))=TRUE,"",
              VLOOKUP($G45,DanaSehat!$L$13:$AK$56,AF$4,FALSE)))</t>
  </si>
  <si>
    <t>=IF(ISNUMBER($L$6)=FALSE,"",
IF($C46=0,"",VLOOKUP($E46,DanaSehat!$H$13:$L$56,4,FALSE)))</t>
  </si>
  <si>
    <t>=IF(ISNUMBER($L$6)=FALSE,"",
IF($C46=0,"",VLOOKUP($E46,DanaSehat!$H$13:$L$56,5,FALSE)))</t>
  </si>
  <si>
    <t>=IF(ISNUMBER($L$6)=FALSE,"",
        IF(ISERROR(VLOOKUP($G46,DanaSehat!$L$13:$AK$56,I$4,FALSE))=TRUE,"",
              VLOOKUP($G46,DanaSehat!$L$13:$AK$56,I$4,FALSE)))</t>
  </si>
  <si>
    <t>=IF(ISNUMBER($L$6)=FALSE,"",
        IF(ISERROR(VLOOKUP($G46,DanaSehat!$L$13:$AK$56,J$4,FALSE))=TRUE,"",
              VLOOKUP($G46,DanaSehat!$L$13:$AK$56,J$4,FALSE)))</t>
  </si>
  <si>
    <t>=IF(ISNUMBER($L$6)=FALSE,"",
        IF(ISERROR(VLOOKUP($G46,DanaSehat!$L$13:$AK$56,K$4,FALSE))=TRUE,"",
              VLOOKUP($G46,DanaSehat!$L$13:$AK$56,K$4,FALSE)))</t>
  </si>
  <si>
    <t>=IF(ISNUMBER($L$6)=FALSE,"",
        IF(ISERROR(VLOOKUP($G46,DanaSehat!$L$13:$AK$56,L$4,FALSE))=TRUE,"",
              VLOOKUP($G46,DanaSehat!$L$13:$AK$56,L$4,FALSE)))</t>
  </si>
  <si>
    <t>=IF(ISNUMBER($L$6)=FALSE,"",
        IF(ISERROR(VLOOKUP($G46,DanaSehat!$L$13:$AK$56,M$4,FALSE))=TRUE,"",
              VLOOKUP($G46,DanaSehat!$L$13:$AK$56,M$4,FALSE)))</t>
  </si>
  <si>
    <t>=IF(ISNUMBER($L$6)=FALSE,"",
        IF(ISERROR(VLOOKUP($G46,DanaSehat!$L$13:$AK$56,N$4,FALSE))=TRUE,"",
              VLOOKUP($G46,DanaSehat!$L$13:$AK$56,N$4,FALSE)))</t>
  </si>
  <si>
    <t>=IF(ISNUMBER($L$6)=FALSE,"",
        IF(ISERROR(VLOOKUP($G46,DanaSehat!$L$13:$AK$56,O$4,FALSE))=TRUE,"",
              VLOOKUP($G46,DanaSehat!$L$13:$AK$56,O$4,FALSE)))</t>
  </si>
  <si>
    <t>=IF(ISNUMBER($L$6)=FALSE,"",
        IF(ISERROR(VLOOKUP($G46,DanaSehat!$L$13:$AK$56,P$4,FALSE))=TRUE,"",
              VLOOKUP($G46,DanaSehat!$L$13:$AK$56,P$4,FALSE)))</t>
  </si>
  <si>
    <t>=IF(ISNUMBER($L$6)=FALSE,"",
        IF(ISERROR(VLOOKUP($G46,DanaSehat!$L$13:$AK$56,Q$4,FALSE))=TRUE,"",
              VLOOKUP($G46,DanaSehat!$L$13:$AK$56,Q$4,FALSE)))</t>
  </si>
  <si>
    <t>=IF(ISNUMBER($L$6)=FALSE,"",
        IF(ISERROR(VLOOKUP($G46,DanaSehat!$L$13:$AK$56,R$4,FALSE))=TRUE,"",
              VLOOKUP($G46,DanaSehat!$L$13:$AK$56,R$4,FALSE)))</t>
  </si>
  <si>
    <t>=IF(ISNUMBER($L$6)=FALSE,"",
        IF(ISERROR(VLOOKUP($G46,DanaSehat!$L$13:$AK$56,S$4,FALSE))=TRUE,"",
              VLOOKUP($G46,DanaSehat!$L$13:$AK$56,S$4,FALSE)))</t>
  </si>
  <si>
    <t>=IF(ISNUMBER($L$6)=FALSE,"",
        IF(ISERROR(VLOOKUP($G46,DanaSehat!$L$13:$AK$56,T$4,FALSE))=TRUE,"",
              VLOOKUP($G46,DanaSehat!$L$13:$AK$56,T$4,FALSE)))</t>
  </si>
  <si>
    <t>=IF(ISNUMBER($L$6)=FALSE,"",
        IF(ISERROR(VLOOKUP($G46,DanaSehat!$L$13:$AK$56,U$4,FALSE))=TRUE,"",
              VLOOKUP($G46,DanaSehat!$L$13:$AK$56,U$4,FALSE)))</t>
  </si>
  <si>
    <t>=IF(ISNUMBER($L$6)=FALSE,"",
        IF(ISERROR(VLOOKUP($G46,DanaSehat!$L$13:$AK$56,V$4,FALSE))=TRUE,"",
              VLOOKUP($G46,DanaSehat!$L$13:$AK$56,V$4,FALSE)))</t>
  </si>
  <si>
    <t>=IF(ISNUMBER($L$6)=FALSE,"",
        IF(ISERROR(VLOOKUP($G46,DanaSehat!$L$13:$AK$56,W$4,FALSE))=TRUE,"",
              VLOOKUP($G46,DanaSehat!$L$13:$AK$56,W$4,FALSE)))</t>
  </si>
  <si>
    <t>=IF(ISNUMBER($L$6)=FALSE,"",
        IF(ISERROR(VLOOKUP($G46,DanaSehat!$L$13:$AK$56,X$4,FALSE))=TRUE,"",
              VLOOKUP($G46,DanaSehat!$L$13:$AK$56,X$4,FALSE)))</t>
  </si>
  <si>
    <t>=IF(ISNUMBER($L$6)=FALSE,"",
        IF(ISERROR(VLOOKUP($G46,DanaSehat!$L$13:$AK$56,Y$4,FALSE))=TRUE,"",
              VLOOKUP($G46,DanaSehat!$L$13:$AK$56,Y$4,FALSE)))</t>
  </si>
  <si>
    <t>=IF(ISNUMBER($L$6)=FALSE,"",
        IF(ISERROR(VLOOKUP($G46,DanaSehat!$L$13:$AK$56,Z$4,FALSE))=TRUE,"",
              VLOOKUP($G46,DanaSehat!$L$13:$AK$56,Z$4,FALSE)))</t>
  </si>
  <si>
    <t>=IF(ISNUMBER($L$6)=FALSE,"",
        IF(ISERROR(VLOOKUP($G46,DanaSehat!$L$13:$AK$56,AA$4,FALSE))=TRUE,"",
              VLOOKUP($G46,DanaSehat!$L$13:$AK$56,AA$4,FALSE)))</t>
  </si>
  <si>
    <t>=IF(ISNUMBER($L$6)=FALSE,"",
        IF(ISERROR(VLOOKUP($G46,DanaSehat!$L$13:$AK$56,AB$4,FALSE))=TRUE,"",
              VLOOKUP($G46,DanaSehat!$L$13:$AK$56,AB$4,FALSE)))</t>
  </si>
  <si>
    <t>=IF(ISNUMBER($L$6)=FALSE,"",
        IF(ISERROR(VLOOKUP($G46,DanaSehat!$L$13:$AK$56,AC$4,FALSE))=TRUE,"",
              VLOOKUP($G46,DanaSehat!$L$13:$AK$56,AC$4,FALSE)))</t>
  </si>
  <si>
    <t>=IF(ISNUMBER($L$6)=FALSE,"",
        IF(ISERROR(VLOOKUP($G46,DanaSehat!$L$13:$AK$56,AD$4,FALSE))=TRUE,"",
              VLOOKUP($G46,DanaSehat!$L$13:$AK$56,AD$4,FALSE)))</t>
  </si>
  <si>
    <t>=IF(ISNUMBER($L$6)=FALSE,"",
        IF(ISERROR(VLOOKUP($G46,DanaSehat!$L$13:$AK$56,AE$4,FALSE))=TRUE,"",
              VLOOKUP($G46,DanaSehat!$L$13:$AK$56,AE$4,FALSE)))</t>
  </si>
  <si>
    <t>=IF(ISNUMBER($L$6)=FALSE,"",
        IF(ISERROR(VLOOKUP($G46,DanaSehat!$L$13:$AK$56,AF$4,FALSE))=TRUE,"",
              VLOOKUP($G46,DanaSehat!$L$13:$AK$56,AF$4,FALSE)))</t>
  </si>
  <si>
    <t>=IF(ISNUMBER($L$6)=FALSE,"",
IF($C47=0,"",VLOOKUP($E47,DanaSehat!$H$13:$L$56,4,FALSE)))</t>
  </si>
  <si>
    <t>=IF(ISNUMBER($L$6)=FALSE,"",
IF($C47=0,"",VLOOKUP($E47,DanaSehat!$H$13:$L$56,5,FALSE)))</t>
  </si>
  <si>
    <t>=IF(ISNUMBER($L$6)=FALSE,"",
        IF(ISERROR(VLOOKUP($G47,DanaSehat!$L$13:$AK$56,I$4,FALSE))=TRUE,"",
              VLOOKUP($G47,DanaSehat!$L$13:$AK$56,I$4,FALSE)))</t>
  </si>
  <si>
    <t>=IF(ISNUMBER($L$6)=FALSE,"",
        IF(ISERROR(VLOOKUP($G47,DanaSehat!$L$13:$AK$56,J$4,FALSE))=TRUE,"",
              VLOOKUP($G47,DanaSehat!$L$13:$AK$56,J$4,FALSE)))</t>
  </si>
  <si>
    <t>=IF(ISNUMBER($L$6)=FALSE,"",
        IF(ISERROR(VLOOKUP($G47,DanaSehat!$L$13:$AK$56,K$4,FALSE))=TRUE,"",
              VLOOKUP($G47,DanaSehat!$L$13:$AK$56,K$4,FALSE)))</t>
  </si>
  <si>
    <t>=IF(ISNUMBER($L$6)=FALSE,"",
        IF(ISERROR(VLOOKUP($G47,DanaSehat!$L$13:$AK$56,L$4,FALSE))=TRUE,"",
              VLOOKUP($G47,DanaSehat!$L$13:$AK$56,L$4,FALSE)))</t>
  </si>
  <si>
    <t>=IF(ISNUMBER($L$6)=FALSE,"",
        IF(ISERROR(VLOOKUP($G47,DanaSehat!$L$13:$AK$56,M$4,FALSE))=TRUE,"",
              VLOOKUP($G47,DanaSehat!$L$13:$AK$56,M$4,FALSE)))</t>
  </si>
  <si>
    <t>=IF(ISNUMBER($L$6)=FALSE,"",
        IF(ISERROR(VLOOKUP($G47,DanaSehat!$L$13:$AK$56,N$4,FALSE))=TRUE,"",
              VLOOKUP($G47,DanaSehat!$L$13:$AK$56,N$4,FALSE)))</t>
  </si>
  <si>
    <t>=IF(ISNUMBER($L$6)=FALSE,"",
        IF(ISERROR(VLOOKUP($G47,DanaSehat!$L$13:$AK$56,O$4,FALSE))=TRUE,"",
              VLOOKUP($G47,DanaSehat!$L$13:$AK$56,O$4,FALSE)))</t>
  </si>
  <si>
    <t>=IF(ISNUMBER($L$6)=FALSE,"",
        IF(ISERROR(VLOOKUP($G47,DanaSehat!$L$13:$AK$56,P$4,FALSE))=TRUE,"",
              VLOOKUP($G47,DanaSehat!$L$13:$AK$56,P$4,FALSE)))</t>
  </si>
  <si>
    <t>=IF(ISNUMBER($L$6)=FALSE,"",
        IF(ISERROR(VLOOKUP($G47,DanaSehat!$L$13:$AK$56,Q$4,FALSE))=TRUE,"",
              VLOOKUP($G47,DanaSehat!$L$13:$AK$56,Q$4,FALSE)))</t>
  </si>
  <si>
    <t>=IF(ISNUMBER($L$6)=FALSE,"",
        IF(ISERROR(VLOOKUP($G47,DanaSehat!$L$13:$AK$56,R$4,FALSE))=TRUE,"",
              VLOOKUP($G47,DanaSehat!$L$13:$AK$56,R$4,FALSE)))</t>
  </si>
  <si>
    <t>=IF(ISNUMBER($L$6)=FALSE,"",
        IF(ISERROR(VLOOKUP($G47,DanaSehat!$L$13:$AK$56,S$4,FALSE))=TRUE,"",
              VLOOKUP($G47,DanaSehat!$L$13:$AK$56,S$4,FALSE)))</t>
  </si>
  <si>
    <t>=IF(ISNUMBER($L$6)=FALSE,"",
        IF(ISERROR(VLOOKUP($G47,DanaSehat!$L$13:$AK$56,T$4,FALSE))=TRUE,"",
              VLOOKUP($G47,DanaSehat!$L$13:$AK$56,T$4,FALSE)))</t>
  </si>
  <si>
    <t>=IF(ISNUMBER($L$6)=FALSE,"",
        IF(ISERROR(VLOOKUP($G47,DanaSehat!$L$13:$AK$56,U$4,FALSE))=TRUE,"",
              VLOOKUP($G47,DanaSehat!$L$13:$AK$56,U$4,FALSE)))</t>
  </si>
  <si>
    <t>=IF(ISNUMBER($L$6)=FALSE,"",
        IF(ISERROR(VLOOKUP($G47,DanaSehat!$L$13:$AK$56,V$4,FALSE))=TRUE,"",
              VLOOKUP($G47,DanaSehat!$L$13:$AK$56,V$4,FALSE)))</t>
  </si>
  <si>
    <t>=IF(ISNUMBER($L$6)=FALSE,"",
        IF(ISERROR(VLOOKUP($G47,DanaSehat!$L$13:$AK$56,W$4,FALSE))=TRUE,"",
              VLOOKUP($G47,DanaSehat!$L$13:$AK$56,W$4,FALSE)))</t>
  </si>
  <si>
    <t>=IF(ISNUMBER($L$6)=FALSE,"",
        IF(ISERROR(VLOOKUP($G47,DanaSehat!$L$13:$AK$56,X$4,FALSE))=TRUE,"",
              VLOOKUP($G47,DanaSehat!$L$13:$AK$56,X$4,FALSE)))</t>
  </si>
  <si>
    <t>=IF(ISNUMBER($L$6)=FALSE,"",
        IF(ISERROR(VLOOKUP($G47,DanaSehat!$L$13:$AK$56,Y$4,FALSE))=TRUE,"",
              VLOOKUP($G47,DanaSehat!$L$13:$AK$56,Y$4,FALSE)))</t>
  </si>
  <si>
    <t>=IF(ISNUMBER($L$6)=FALSE,"",
        IF(ISERROR(VLOOKUP($G47,DanaSehat!$L$13:$AK$56,Z$4,FALSE))=TRUE,"",
              VLOOKUP($G47,DanaSehat!$L$13:$AK$56,Z$4,FALSE)))</t>
  </si>
  <si>
    <t>=IF(ISNUMBER($L$6)=FALSE,"",
        IF(ISERROR(VLOOKUP($G47,DanaSehat!$L$13:$AK$56,AA$4,FALSE))=TRUE,"",
              VLOOKUP($G47,DanaSehat!$L$13:$AK$56,AA$4,FALSE)))</t>
  </si>
  <si>
    <t>=IF(ISNUMBER($L$6)=FALSE,"",
        IF(ISERROR(VLOOKUP($G47,DanaSehat!$L$13:$AK$56,AB$4,FALSE))=TRUE,"",
              VLOOKUP($G47,DanaSehat!$L$13:$AK$56,AB$4,FALSE)))</t>
  </si>
  <si>
    <t>=IF(ISNUMBER($L$6)=FALSE,"",
        IF(ISERROR(VLOOKUP($G47,DanaSehat!$L$13:$AK$56,AC$4,FALSE))=TRUE,"",
              VLOOKUP($G47,DanaSehat!$L$13:$AK$56,AC$4,FALSE)))</t>
  </si>
  <si>
    <t>=IF(ISNUMBER($L$6)=FALSE,"",
        IF(ISERROR(VLOOKUP($G47,DanaSehat!$L$13:$AK$56,AD$4,FALSE))=TRUE,"",
              VLOOKUP($G47,DanaSehat!$L$13:$AK$56,AD$4,FALSE)))</t>
  </si>
  <si>
    <t>=IF(ISNUMBER($L$6)=FALSE,"",
        IF(ISERROR(VLOOKUP($G47,DanaSehat!$L$13:$AK$56,AE$4,FALSE))=TRUE,"",
              VLOOKUP($G47,DanaSehat!$L$13:$AK$56,AE$4,FALSE)))</t>
  </si>
  <si>
    <t>=IF(ISNUMBER($L$6)=FALSE,"",
        IF(ISERROR(VLOOKUP($G47,DanaSehat!$L$13:$AK$56,AF$4,FALSE))=TRUE,"",
              VLOOKUP($G47,DanaSehat!$L$13:$AK$56,AF$4,FALSE)))</t>
  </si>
  <si>
    <t>=IF(ISNUMBER($L$6)=FALSE,"",
IF($C48=0,"",VLOOKUP($E48,DanaSehat!$H$13:$L$56,4,FALSE)))</t>
  </si>
  <si>
    <t>=IF(ISNUMBER($L$6)=FALSE,"",
IF($C48=0,"",VLOOKUP($E48,DanaSehat!$H$13:$L$56,5,FALSE)))</t>
  </si>
  <si>
    <t>=IF(ISNUMBER($L$6)=FALSE,"",
        IF(ISERROR(VLOOKUP($G48,DanaSehat!$L$13:$AK$56,I$4,FALSE))=TRUE,"",
              VLOOKUP($G48,DanaSehat!$L$13:$AK$56,I$4,FALSE)))</t>
  </si>
  <si>
    <t>=IF(ISNUMBER($L$6)=FALSE,"",
        IF(ISERROR(VLOOKUP($G48,DanaSehat!$L$13:$AK$56,J$4,FALSE))=TRUE,"",
              VLOOKUP($G48,DanaSehat!$L$13:$AK$56,J$4,FALSE)))</t>
  </si>
  <si>
    <t>=IF(ISNUMBER($L$6)=FALSE,"",
        IF(ISERROR(VLOOKUP($G48,DanaSehat!$L$13:$AK$56,K$4,FALSE))=TRUE,"",
              VLOOKUP($G48,DanaSehat!$L$13:$AK$56,K$4,FALSE)))</t>
  </si>
  <si>
    <t>=IF(ISNUMBER($L$6)=FALSE,"",
        IF(ISERROR(VLOOKUP($G48,DanaSehat!$L$13:$AK$56,L$4,FALSE))=TRUE,"",
              VLOOKUP($G48,DanaSehat!$L$13:$AK$56,L$4,FALSE)))</t>
  </si>
  <si>
    <t>=IF(ISNUMBER($L$6)=FALSE,"",
        IF(ISERROR(VLOOKUP($G48,DanaSehat!$L$13:$AK$56,M$4,FALSE))=TRUE,"",
              VLOOKUP($G48,DanaSehat!$L$13:$AK$56,M$4,FALSE)))</t>
  </si>
  <si>
    <t>=IF(ISNUMBER($L$6)=FALSE,"",
        IF(ISERROR(VLOOKUP($G48,DanaSehat!$L$13:$AK$56,N$4,FALSE))=TRUE,"",
              VLOOKUP($G48,DanaSehat!$L$13:$AK$56,N$4,FALSE)))</t>
  </si>
  <si>
    <t>=IF(ISNUMBER($L$6)=FALSE,"",
        IF(ISERROR(VLOOKUP($G48,DanaSehat!$L$13:$AK$56,O$4,FALSE))=TRUE,"",
              VLOOKUP($G48,DanaSehat!$L$13:$AK$56,O$4,FALSE)))</t>
  </si>
  <si>
    <t>=IF(ISNUMBER($L$6)=FALSE,"",
        IF(ISERROR(VLOOKUP($G48,DanaSehat!$L$13:$AK$56,P$4,FALSE))=TRUE,"",
              VLOOKUP($G48,DanaSehat!$L$13:$AK$56,P$4,FALSE)))</t>
  </si>
  <si>
    <t>=IF(ISNUMBER($L$6)=FALSE,"",
        IF(ISERROR(VLOOKUP($G48,DanaSehat!$L$13:$AK$56,Q$4,FALSE))=TRUE,"",
              VLOOKUP($G48,DanaSehat!$L$13:$AK$56,Q$4,FALSE)))</t>
  </si>
  <si>
    <t>=IF(ISNUMBER($L$6)=FALSE,"",
        IF(ISERROR(VLOOKUP($G48,DanaSehat!$L$13:$AK$56,R$4,FALSE))=TRUE,"",
              VLOOKUP($G48,DanaSehat!$L$13:$AK$56,R$4,FALSE)))</t>
  </si>
  <si>
    <t>=IF(ISNUMBER($L$6)=FALSE,"",
        IF(ISERROR(VLOOKUP($G48,DanaSehat!$L$13:$AK$56,S$4,FALSE))=TRUE,"",
              VLOOKUP($G48,DanaSehat!$L$13:$AK$56,S$4,FALSE)))</t>
  </si>
  <si>
    <t>=IF(ISNUMBER($L$6)=FALSE,"",
        IF(ISERROR(VLOOKUP($G48,DanaSehat!$L$13:$AK$56,T$4,FALSE))=TRUE,"",
              VLOOKUP($G48,DanaSehat!$L$13:$AK$56,T$4,FALSE)))</t>
  </si>
  <si>
    <t>=IF(ISNUMBER($L$6)=FALSE,"",
        IF(ISERROR(VLOOKUP($G48,DanaSehat!$L$13:$AK$56,U$4,FALSE))=TRUE,"",
              VLOOKUP($G48,DanaSehat!$L$13:$AK$56,U$4,FALSE)))</t>
  </si>
  <si>
    <t>=IF(ISNUMBER($L$6)=FALSE,"",
        IF(ISERROR(VLOOKUP($G48,DanaSehat!$L$13:$AK$56,V$4,FALSE))=TRUE,"",
              VLOOKUP($G48,DanaSehat!$L$13:$AK$56,V$4,FALSE)))</t>
  </si>
  <si>
    <t>=IF(ISNUMBER($L$6)=FALSE,"",
        IF(ISERROR(VLOOKUP($G48,DanaSehat!$L$13:$AK$56,W$4,FALSE))=TRUE,"",
              VLOOKUP($G48,DanaSehat!$L$13:$AK$56,W$4,FALSE)))</t>
  </si>
  <si>
    <t>=IF(ISNUMBER($L$6)=FALSE,"",
        IF(ISERROR(VLOOKUP($G48,DanaSehat!$L$13:$AK$56,X$4,FALSE))=TRUE,"",
              VLOOKUP($G48,DanaSehat!$L$13:$AK$56,X$4,FALSE)))</t>
  </si>
  <si>
    <t>=IF(ISNUMBER($L$6)=FALSE,"",
        IF(ISERROR(VLOOKUP($G48,DanaSehat!$L$13:$AK$56,Y$4,FALSE))=TRUE,"",
              VLOOKUP($G48,DanaSehat!$L$13:$AK$56,Y$4,FALSE)))</t>
  </si>
  <si>
    <t>=IF(ISNUMBER($L$6)=FALSE,"",
        IF(ISERROR(VLOOKUP($G48,DanaSehat!$L$13:$AK$56,Z$4,FALSE))=TRUE,"",
              VLOOKUP($G48,DanaSehat!$L$13:$AK$56,Z$4,FALSE)))</t>
  </si>
  <si>
    <t>=IF(ISNUMBER($L$6)=FALSE,"",
        IF(ISERROR(VLOOKUP($G48,DanaSehat!$L$13:$AK$56,AA$4,FALSE))=TRUE,"",
              VLOOKUP($G48,DanaSehat!$L$13:$AK$56,AA$4,FALSE)))</t>
  </si>
  <si>
    <t>=IF(ISNUMBER($L$6)=FALSE,"",
        IF(ISERROR(VLOOKUP($G48,DanaSehat!$L$13:$AK$56,AB$4,FALSE))=TRUE,"",
              VLOOKUP($G48,DanaSehat!$L$13:$AK$56,AB$4,FALSE)))</t>
  </si>
  <si>
    <t>=IF(ISNUMBER($L$6)=FALSE,"",
        IF(ISERROR(VLOOKUP($G48,DanaSehat!$L$13:$AK$56,AC$4,FALSE))=TRUE,"",
              VLOOKUP($G48,DanaSehat!$L$13:$AK$56,AC$4,FALSE)))</t>
  </si>
  <si>
    <t>=IF(ISNUMBER($L$6)=FALSE,"",
        IF(ISERROR(VLOOKUP($G48,DanaSehat!$L$13:$AK$56,AD$4,FALSE))=TRUE,"",
              VLOOKUP($G48,DanaSehat!$L$13:$AK$56,AD$4,FALSE)))</t>
  </si>
  <si>
    <t>=IF(ISNUMBER($L$6)=FALSE,"",
        IF(ISERROR(VLOOKUP($G48,DanaSehat!$L$13:$AK$56,AE$4,FALSE))=TRUE,"",
              VLOOKUP($G48,DanaSehat!$L$13:$AK$56,AE$4,FALSE)))</t>
  </si>
  <si>
    <t>=IF(ISNUMBER($L$6)=FALSE,"",
        IF(ISERROR(VLOOKUP($G48,DanaSehat!$L$13:$AK$56,AF$4,FALSE))=TRUE,"",
              VLOOKUP($G48,DanaSehat!$L$13:$AK$56,AF$4,FALSE)))</t>
  </si>
  <si>
    <t>=IF(ISNUMBER($L$6)=FALSE,"",
IF($C49=0,"",VLOOKUP($E49,DanaSehat!$H$13:$L$56,4,FALSE)))</t>
  </si>
  <si>
    <t>=IF(ISNUMBER($L$6)=FALSE,"",
IF($C49=0,"",VLOOKUP($E49,DanaSehat!$H$13:$L$56,5,FALSE)))</t>
  </si>
  <si>
    <t>=IF(ISNUMBER($L$6)=FALSE,"",
        IF(ISERROR(VLOOKUP($G49,DanaSehat!$L$13:$AK$56,I$4,FALSE))=TRUE,"",
              VLOOKUP($G49,DanaSehat!$L$13:$AK$56,I$4,FALSE)))</t>
  </si>
  <si>
    <t>=IF(ISNUMBER($L$6)=FALSE,"",
        IF(ISERROR(VLOOKUP($G49,DanaSehat!$L$13:$AK$56,J$4,FALSE))=TRUE,"",
              VLOOKUP($G49,DanaSehat!$L$13:$AK$56,J$4,FALSE)))</t>
  </si>
  <si>
    <t>=IF(ISNUMBER($L$6)=FALSE,"",
        IF(ISERROR(VLOOKUP($G49,DanaSehat!$L$13:$AK$56,K$4,FALSE))=TRUE,"",
              VLOOKUP($G49,DanaSehat!$L$13:$AK$56,K$4,FALSE)))</t>
  </si>
  <si>
    <t>=IF(ISNUMBER($L$6)=FALSE,"",
        IF(ISERROR(VLOOKUP($G49,DanaSehat!$L$13:$AK$56,L$4,FALSE))=TRUE,"",
              VLOOKUP($G49,DanaSehat!$L$13:$AK$56,L$4,FALSE)))</t>
  </si>
  <si>
    <t>=IF(ISNUMBER($L$6)=FALSE,"",
        IF(ISERROR(VLOOKUP($G49,DanaSehat!$L$13:$AK$56,M$4,FALSE))=TRUE,"",
              VLOOKUP($G49,DanaSehat!$L$13:$AK$56,M$4,FALSE)))</t>
  </si>
  <si>
    <t>=IF(ISNUMBER($L$6)=FALSE,"",
        IF(ISERROR(VLOOKUP($G49,DanaSehat!$L$13:$AK$56,N$4,FALSE))=TRUE,"",
              VLOOKUP($G49,DanaSehat!$L$13:$AK$56,N$4,FALSE)))</t>
  </si>
  <si>
    <t>=IF(ISNUMBER($L$6)=FALSE,"",
        IF(ISERROR(VLOOKUP($G49,DanaSehat!$L$13:$AK$56,O$4,FALSE))=TRUE,"",
              VLOOKUP($G49,DanaSehat!$L$13:$AK$56,O$4,FALSE)))</t>
  </si>
  <si>
    <t>=IF(ISNUMBER($L$6)=FALSE,"",
        IF(ISERROR(VLOOKUP($G49,DanaSehat!$L$13:$AK$56,P$4,FALSE))=TRUE,"",
              VLOOKUP($G49,DanaSehat!$L$13:$AK$56,P$4,FALSE)))</t>
  </si>
  <si>
    <t>=IF(ISNUMBER($L$6)=FALSE,"",
        IF(ISERROR(VLOOKUP($G49,DanaSehat!$L$13:$AK$56,Q$4,FALSE))=TRUE,"",
              VLOOKUP($G49,DanaSehat!$L$13:$AK$56,Q$4,FALSE)))</t>
  </si>
  <si>
    <t>=IF(ISNUMBER($L$6)=FALSE,"",
        IF(ISERROR(VLOOKUP($G49,DanaSehat!$L$13:$AK$56,R$4,FALSE))=TRUE,"",
              VLOOKUP($G49,DanaSehat!$L$13:$AK$56,R$4,FALSE)))</t>
  </si>
  <si>
    <t>=IF(ISNUMBER($L$6)=FALSE,"",
        IF(ISERROR(VLOOKUP($G49,DanaSehat!$L$13:$AK$56,S$4,FALSE))=TRUE,"",
              VLOOKUP($G49,DanaSehat!$L$13:$AK$56,S$4,FALSE)))</t>
  </si>
  <si>
    <t>=IF(ISNUMBER($L$6)=FALSE,"",
        IF(ISERROR(VLOOKUP($G49,DanaSehat!$L$13:$AK$56,T$4,FALSE))=TRUE,"",
              VLOOKUP($G49,DanaSehat!$L$13:$AK$56,T$4,FALSE)))</t>
  </si>
  <si>
    <t>=IF(ISNUMBER($L$6)=FALSE,"",
        IF(ISERROR(VLOOKUP($G49,DanaSehat!$L$13:$AK$56,U$4,FALSE))=TRUE,"",
              VLOOKUP($G49,DanaSehat!$L$13:$AK$56,U$4,FALSE)))</t>
  </si>
  <si>
    <t>=IF(ISNUMBER($L$6)=FALSE,"",
        IF(ISERROR(VLOOKUP($G49,DanaSehat!$L$13:$AK$56,V$4,FALSE))=TRUE,"",
              VLOOKUP($G49,DanaSehat!$L$13:$AK$56,V$4,FALSE)))</t>
  </si>
  <si>
    <t>=IF(ISNUMBER($L$6)=FALSE,"",
        IF(ISERROR(VLOOKUP($G49,DanaSehat!$L$13:$AK$56,W$4,FALSE))=TRUE,"",
              VLOOKUP($G49,DanaSehat!$L$13:$AK$56,W$4,FALSE)))</t>
  </si>
  <si>
    <t>=IF(ISNUMBER($L$6)=FALSE,"",
        IF(ISERROR(VLOOKUP($G49,DanaSehat!$L$13:$AK$56,X$4,FALSE))=TRUE,"",
              VLOOKUP($G49,DanaSehat!$L$13:$AK$56,X$4,FALSE)))</t>
  </si>
  <si>
    <t>=IF(ISNUMBER($L$6)=FALSE,"",
        IF(ISERROR(VLOOKUP($G49,DanaSehat!$L$13:$AK$56,Y$4,FALSE))=TRUE,"",
              VLOOKUP($G49,DanaSehat!$L$13:$AK$56,Y$4,FALSE)))</t>
  </si>
  <si>
    <t>=IF(ISNUMBER($L$6)=FALSE,"",
        IF(ISERROR(VLOOKUP($G49,DanaSehat!$L$13:$AK$56,Z$4,FALSE))=TRUE,"",
              VLOOKUP($G49,DanaSehat!$L$13:$AK$56,Z$4,FALSE)))</t>
  </si>
  <si>
    <t>=IF(ISNUMBER($L$6)=FALSE,"",
        IF(ISERROR(VLOOKUP($G49,DanaSehat!$L$13:$AK$56,AA$4,FALSE))=TRUE,"",
              VLOOKUP($G49,DanaSehat!$L$13:$AK$56,AA$4,FALSE)))</t>
  </si>
  <si>
    <t>=IF(ISNUMBER($L$6)=FALSE,"",
        IF(ISERROR(VLOOKUP($G49,DanaSehat!$L$13:$AK$56,AB$4,FALSE))=TRUE,"",
              VLOOKUP($G49,DanaSehat!$L$13:$AK$56,AB$4,FALSE)))</t>
  </si>
  <si>
    <t>=IF(ISNUMBER($L$6)=FALSE,"",
        IF(ISERROR(VLOOKUP($G49,DanaSehat!$L$13:$AK$56,AC$4,FALSE))=TRUE,"",
              VLOOKUP($G49,DanaSehat!$L$13:$AK$56,AC$4,FALSE)))</t>
  </si>
  <si>
    <t>=IF(ISNUMBER($L$6)=FALSE,"",
        IF(ISERROR(VLOOKUP($G49,DanaSehat!$L$13:$AK$56,AD$4,FALSE))=TRUE,"",
              VLOOKUP($G49,DanaSehat!$L$13:$AK$56,AD$4,FALSE)))</t>
  </si>
  <si>
    <t>=IF(ISNUMBER($L$6)=FALSE,"",
        IF(ISERROR(VLOOKUP($G49,DanaSehat!$L$13:$AK$56,AE$4,FALSE))=TRUE,"",
              VLOOKUP($G49,DanaSehat!$L$13:$AK$56,AE$4,FALSE)))</t>
  </si>
  <si>
    <t>=IF(ISNUMBER($L$6)=FALSE,"",
        IF(ISERROR(VLOOKUP($G49,DanaSehat!$L$13:$AK$56,AF$4,FALSE))=TRUE,"",
              VLOOKUP($G49,DanaSehat!$L$13:$AK$56,AF$4,FALSE)))</t>
  </si>
  <si>
    <t>=IF(ISNUMBER($L$6)=FALSE,"",
IF($C50=0,"",VLOOKUP($E50,DanaSehat!$H$13:$L$56,4,FALSE)))</t>
  </si>
  <si>
    <t>=IF(ISNUMBER($L$6)=FALSE,"",
IF($C50=0,"",VLOOKUP($E50,DanaSehat!$H$13:$L$56,5,FALSE)))</t>
  </si>
  <si>
    <t>=IF(ISNUMBER($L$6)=FALSE,"",
        IF(ISERROR(VLOOKUP($G50,DanaSehat!$L$13:$AK$56,I$4,FALSE))=TRUE,"",
              VLOOKUP($G50,DanaSehat!$L$13:$AK$56,I$4,FALSE)))</t>
  </si>
  <si>
    <t>=IF(ISNUMBER($L$6)=FALSE,"",
        IF(ISERROR(VLOOKUP($G50,DanaSehat!$L$13:$AK$56,J$4,FALSE))=TRUE,"",
              VLOOKUP($G50,DanaSehat!$L$13:$AK$56,J$4,FALSE)))</t>
  </si>
  <si>
    <t>=IF(ISNUMBER($L$6)=FALSE,"",
        IF(ISERROR(VLOOKUP($G50,DanaSehat!$L$13:$AK$56,K$4,FALSE))=TRUE,"",
              VLOOKUP($G50,DanaSehat!$L$13:$AK$56,K$4,FALSE)))</t>
  </si>
  <si>
    <t>=IF(ISNUMBER($L$6)=FALSE,"",
        IF(ISERROR(VLOOKUP($G50,DanaSehat!$L$13:$AK$56,L$4,FALSE))=TRUE,"",
              VLOOKUP($G50,DanaSehat!$L$13:$AK$56,L$4,FALSE)))</t>
  </si>
  <si>
    <t>=IF(ISNUMBER($L$6)=FALSE,"",
        IF(ISERROR(VLOOKUP($G50,DanaSehat!$L$13:$AK$56,M$4,FALSE))=TRUE,"",
              VLOOKUP($G50,DanaSehat!$L$13:$AK$56,M$4,FALSE)))</t>
  </si>
  <si>
    <t>=IF(ISNUMBER($L$6)=FALSE,"",
        IF(ISERROR(VLOOKUP($G50,DanaSehat!$L$13:$AK$56,N$4,FALSE))=TRUE,"",
              VLOOKUP($G50,DanaSehat!$L$13:$AK$56,N$4,FALSE)))</t>
  </si>
  <si>
    <t>=IF(ISNUMBER($L$6)=FALSE,"",
        IF(ISERROR(VLOOKUP($G50,DanaSehat!$L$13:$AK$56,O$4,FALSE))=TRUE,"",
              VLOOKUP($G50,DanaSehat!$L$13:$AK$56,O$4,FALSE)))</t>
  </si>
  <si>
    <t>=IF(ISNUMBER($L$6)=FALSE,"",
        IF(ISERROR(VLOOKUP($G50,DanaSehat!$L$13:$AK$56,P$4,FALSE))=TRUE,"",
              VLOOKUP($G50,DanaSehat!$L$13:$AK$56,P$4,FALSE)))</t>
  </si>
  <si>
    <t>=IF(ISNUMBER($L$6)=FALSE,"",
        IF(ISERROR(VLOOKUP($G50,DanaSehat!$L$13:$AK$56,Q$4,FALSE))=TRUE,"",
              VLOOKUP($G50,DanaSehat!$L$13:$AK$56,Q$4,FALSE)))</t>
  </si>
  <si>
    <t>=IF(ISNUMBER($L$6)=FALSE,"",
        IF(ISERROR(VLOOKUP($G50,DanaSehat!$L$13:$AK$56,R$4,FALSE))=TRUE,"",
              VLOOKUP($G50,DanaSehat!$L$13:$AK$56,R$4,FALSE)))</t>
  </si>
  <si>
    <t>=IF(ISNUMBER($L$6)=FALSE,"",
        IF(ISERROR(VLOOKUP($G50,DanaSehat!$L$13:$AK$56,S$4,FALSE))=TRUE,"",
              VLOOKUP($G50,DanaSehat!$L$13:$AK$56,S$4,FALSE)))</t>
  </si>
  <si>
    <t>=IF(ISNUMBER($L$6)=FALSE,"",
        IF(ISERROR(VLOOKUP($G50,DanaSehat!$L$13:$AK$56,T$4,FALSE))=TRUE,"",
              VLOOKUP($G50,DanaSehat!$L$13:$AK$56,T$4,FALSE)))</t>
  </si>
  <si>
    <t>=IF(ISNUMBER($L$6)=FALSE,"",
        IF(ISERROR(VLOOKUP($G50,DanaSehat!$L$13:$AK$56,U$4,FALSE))=TRUE,"",
              VLOOKUP($G50,DanaSehat!$L$13:$AK$56,U$4,FALSE)))</t>
  </si>
  <si>
    <t>=IF(ISNUMBER($L$6)=FALSE,"",
        IF(ISERROR(VLOOKUP($G50,DanaSehat!$L$13:$AK$56,V$4,FALSE))=TRUE,"",
              VLOOKUP($G50,DanaSehat!$L$13:$AK$56,V$4,FALSE)))</t>
  </si>
  <si>
    <t>=IF(ISNUMBER($L$6)=FALSE,"",
        IF(ISERROR(VLOOKUP($G50,DanaSehat!$L$13:$AK$56,W$4,FALSE))=TRUE,"",
              VLOOKUP($G50,DanaSehat!$L$13:$AK$56,W$4,FALSE)))</t>
  </si>
  <si>
    <t>=IF(ISNUMBER($L$6)=FALSE,"",
        IF(ISERROR(VLOOKUP($G50,DanaSehat!$L$13:$AK$56,X$4,FALSE))=TRUE,"",
              VLOOKUP($G50,DanaSehat!$L$13:$AK$56,X$4,FALSE)))</t>
  </si>
  <si>
    <t>=IF(ISNUMBER($L$6)=FALSE,"",
        IF(ISERROR(VLOOKUP($G50,DanaSehat!$L$13:$AK$56,Y$4,FALSE))=TRUE,"",
              VLOOKUP($G50,DanaSehat!$L$13:$AK$56,Y$4,FALSE)))</t>
  </si>
  <si>
    <t>=IF(ISNUMBER($L$6)=FALSE,"",
        IF(ISERROR(VLOOKUP($G50,DanaSehat!$L$13:$AK$56,Z$4,FALSE))=TRUE,"",
              VLOOKUP($G50,DanaSehat!$L$13:$AK$56,Z$4,FALSE)))</t>
  </si>
  <si>
    <t>=IF(ISNUMBER($L$6)=FALSE,"",
        IF(ISERROR(VLOOKUP($G50,DanaSehat!$L$13:$AK$56,AA$4,FALSE))=TRUE,"",
              VLOOKUP($G50,DanaSehat!$L$13:$AK$56,AA$4,FALSE)))</t>
  </si>
  <si>
    <t>=IF(ISNUMBER($L$6)=FALSE,"",
        IF(ISERROR(VLOOKUP($G50,DanaSehat!$L$13:$AK$56,AB$4,FALSE))=TRUE,"",
              VLOOKUP($G50,DanaSehat!$L$13:$AK$56,AB$4,FALSE)))</t>
  </si>
  <si>
    <t>=IF(ISNUMBER($L$6)=FALSE,"",
        IF(ISERROR(VLOOKUP($G50,DanaSehat!$L$13:$AK$56,AC$4,FALSE))=TRUE,"",
              VLOOKUP($G50,DanaSehat!$L$13:$AK$56,AC$4,FALSE)))</t>
  </si>
  <si>
    <t>=IF(ISNUMBER($L$6)=FALSE,"",
        IF(ISERROR(VLOOKUP($G50,DanaSehat!$L$13:$AK$56,AD$4,FALSE))=TRUE,"",
              VLOOKUP($G50,DanaSehat!$L$13:$AK$56,AD$4,FALSE)))</t>
  </si>
  <si>
    <t>=IF(ISNUMBER($L$6)=FALSE,"",
        IF(ISERROR(VLOOKUP($G50,DanaSehat!$L$13:$AK$56,AE$4,FALSE))=TRUE,"",
              VLOOKUP($G50,DanaSehat!$L$13:$AK$56,AE$4,FALSE)))</t>
  </si>
  <si>
    <t>=IF(ISNUMBER($L$6)=FALSE,"",
        IF(ISERROR(VLOOKUP($G50,DanaSehat!$L$13:$AK$56,AF$4,FALSE))=TRUE,"",
              VLOOKUP($G50,DanaSehat!$L$13:$AK$56,AF$4,FALSE)))</t>
  </si>
  <si>
    <t>=IF(ISNUMBER($L$6)=FALSE,"",
IF($C51=0,"",VLOOKUP($E51,DanaSehat!$H$13:$L$56,4,FALSE)))</t>
  </si>
  <si>
    <t>=IF(ISNUMBER($L$6)=FALSE,"",
IF($C51=0,"",VLOOKUP($E51,DanaSehat!$H$13:$L$56,5,FALSE)))</t>
  </si>
  <si>
    <t>=IF(ISNUMBER($L$6)=FALSE,"",
        IF(ISERROR(VLOOKUP($G51,DanaSehat!$L$13:$AK$56,I$4,FALSE))=TRUE,"",
              VLOOKUP($G51,DanaSehat!$L$13:$AK$56,I$4,FALSE)))</t>
  </si>
  <si>
    <t>=IF(ISNUMBER($L$6)=FALSE,"",
        IF(ISERROR(VLOOKUP($G51,DanaSehat!$L$13:$AK$56,J$4,FALSE))=TRUE,"",
              VLOOKUP($G51,DanaSehat!$L$13:$AK$56,J$4,FALSE)))</t>
  </si>
  <si>
    <t>=IF(ISNUMBER($L$6)=FALSE,"",
        IF(ISERROR(VLOOKUP($G51,DanaSehat!$L$13:$AK$56,K$4,FALSE))=TRUE,"",
              VLOOKUP($G51,DanaSehat!$L$13:$AK$56,K$4,FALSE)))</t>
  </si>
  <si>
    <t>=IF(ISNUMBER($L$6)=FALSE,"",
        IF(ISERROR(VLOOKUP($G51,DanaSehat!$L$13:$AK$56,L$4,FALSE))=TRUE,"",
              VLOOKUP($G51,DanaSehat!$L$13:$AK$56,L$4,FALSE)))</t>
  </si>
  <si>
    <t>=IF(ISNUMBER($L$6)=FALSE,"",
        IF(ISERROR(VLOOKUP($G51,DanaSehat!$L$13:$AK$56,M$4,FALSE))=TRUE,"",
              VLOOKUP($G51,DanaSehat!$L$13:$AK$56,M$4,FALSE)))</t>
  </si>
  <si>
    <t>=IF(ISNUMBER($L$6)=FALSE,"",
        IF(ISERROR(VLOOKUP($G51,DanaSehat!$L$13:$AK$56,N$4,FALSE))=TRUE,"",
              VLOOKUP($G51,DanaSehat!$L$13:$AK$56,N$4,FALSE)))</t>
  </si>
  <si>
    <t>=IF(ISNUMBER($L$6)=FALSE,"",
        IF(ISERROR(VLOOKUP($G51,DanaSehat!$L$13:$AK$56,O$4,FALSE))=TRUE,"",
              VLOOKUP($G51,DanaSehat!$L$13:$AK$56,O$4,FALSE)))</t>
  </si>
  <si>
    <t>=IF(ISNUMBER($L$6)=FALSE,"",
        IF(ISERROR(VLOOKUP($G51,DanaSehat!$L$13:$AK$56,P$4,FALSE))=TRUE,"",
              VLOOKUP($G51,DanaSehat!$L$13:$AK$56,P$4,FALSE)))</t>
  </si>
  <si>
    <t>=IF(ISNUMBER($L$6)=FALSE,"",
        IF(ISERROR(VLOOKUP($G51,DanaSehat!$L$13:$AK$56,Q$4,FALSE))=TRUE,"",
              VLOOKUP($G51,DanaSehat!$L$13:$AK$56,Q$4,FALSE)))</t>
  </si>
  <si>
    <t>=IF(ISNUMBER($L$6)=FALSE,"",
        IF(ISERROR(VLOOKUP($G51,DanaSehat!$L$13:$AK$56,R$4,FALSE))=TRUE,"",
              VLOOKUP($G51,DanaSehat!$L$13:$AK$56,R$4,FALSE)))</t>
  </si>
  <si>
    <t>=IF(ISNUMBER($L$6)=FALSE,"",
        IF(ISERROR(VLOOKUP($G51,DanaSehat!$L$13:$AK$56,S$4,FALSE))=TRUE,"",
              VLOOKUP($G51,DanaSehat!$L$13:$AK$56,S$4,FALSE)))</t>
  </si>
  <si>
    <t>=IF(ISNUMBER($L$6)=FALSE,"",
        IF(ISERROR(VLOOKUP($G51,DanaSehat!$L$13:$AK$56,T$4,FALSE))=TRUE,"",
              VLOOKUP($G51,DanaSehat!$L$13:$AK$56,T$4,FALSE)))</t>
  </si>
  <si>
    <t>=IF(ISNUMBER($L$6)=FALSE,"",
        IF(ISERROR(VLOOKUP($G51,DanaSehat!$L$13:$AK$56,U$4,FALSE))=TRUE,"",
              VLOOKUP($G51,DanaSehat!$L$13:$AK$56,U$4,FALSE)))</t>
  </si>
  <si>
    <t>=IF(ISNUMBER($L$6)=FALSE,"",
        IF(ISERROR(VLOOKUP($G51,DanaSehat!$L$13:$AK$56,V$4,FALSE))=TRUE,"",
              VLOOKUP($G51,DanaSehat!$L$13:$AK$56,V$4,FALSE)))</t>
  </si>
  <si>
    <t>=IF(ISNUMBER($L$6)=FALSE,"",
        IF(ISERROR(VLOOKUP($G51,DanaSehat!$L$13:$AK$56,W$4,FALSE))=TRUE,"",
              VLOOKUP($G51,DanaSehat!$L$13:$AK$56,W$4,FALSE)))</t>
  </si>
  <si>
    <t>=IF(ISNUMBER($L$6)=FALSE,"",
        IF(ISERROR(VLOOKUP($G51,DanaSehat!$L$13:$AK$56,X$4,FALSE))=TRUE,"",
              VLOOKUP($G51,DanaSehat!$L$13:$AK$56,X$4,FALSE)))</t>
  </si>
  <si>
    <t>=IF(ISNUMBER($L$6)=FALSE,"",
        IF(ISERROR(VLOOKUP($G51,DanaSehat!$L$13:$AK$56,Y$4,FALSE))=TRUE,"",
              VLOOKUP($G51,DanaSehat!$L$13:$AK$56,Y$4,FALSE)))</t>
  </si>
  <si>
    <t>=IF(ISNUMBER($L$6)=FALSE,"",
        IF(ISERROR(VLOOKUP($G51,DanaSehat!$L$13:$AK$56,Z$4,FALSE))=TRUE,"",
              VLOOKUP($G51,DanaSehat!$L$13:$AK$56,Z$4,FALSE)))</t>
  </si>
  <si>
    <t>=IF(ISNUMBER($L$6)=FALSE,"",
        IF(ISERROR(VLOOKUP($G51,DanaSehat!$L$13:$AK$56,AA$4,FALSE))=TRUE,"",
              VLOOKUP($G51,DanaSehat!$L$13:$AK$56,AA$4,FALSE)))</t>
  </si>
  <si>
    <t>=IF(ISNUMBER($L$6)=FALSE,"",
        IF(ISERROR(VLOOKUP($G51,DanaSehat!$L$13:$AK$56,AB$4,FALSE))=TRUE,"",
              VLOOKUP($G51,DanaSehat!$L$13:$AK$56,AB$4,FALSE)))</t>
  </si>
  <si>
    <t>=IF(ISNUMBER($L$6)=FALSE,"",
        IF(ISERROR(VLOOKUP($G51,DanaSehat!$L$13:$AK$56,AC$4,FALSE))=TRUE,"",
              VLOOKUP($G51,DanaSehat!$L$13:$AK$56,AC$4,FALSE)))</t>
  </si>
  <si>
    <t>=IF(ISNUMBER($L$6)=FALSE,"",
        IF(ISERROR(VLOOKUP($G51,DanaSehat!$L$13:$AK$56,AD$4,FALSE))=TRUE,"",
              VLOOKUP($G51,DanaSehat!$L$13:$AK$56,AD$4,FALSE)))</t>
  </si>
  <si>
    <t>=IF(ISNUMBER($L$6)=FALSE,"",
        IF(ISERROR(VLOOKUP($G51,DanaSehat!$L$13:$AK$56,AE$4,FALSE))=TRUE,"",
              VLOOKUP($G51,DanaSehat!$L$13:$AK$56,AE$4,FALSE)))</t>
  </si>
  <si>
    <t>=IF(ISNUMBER($L$6)=FALSE,"",
        IF(ISERROR(VLOOKUP($G51,DanaSehat!$L$13:$AK$56,AF$4,FALSE))=TRUE,"",
              VLOOKUP($G51,DanaSehat!$L$13:$AK$56,AF$4,FALSE)))</t>
  </si>
  <si>
    <t>=IF(ISNUMBER($L$6)=FALSE,"",
IF($C52=0,"",VLOOKUP($E52,DanaSehat!$H$13:$L$56,4,FALSE)))</t>
  </si>
  <si>
    <t>=IF(ISNUMBER($L$6)=FALSE,"",
IF($C52=0,"",VLOOKUP($E52,DanaSehat!$H$13:$L$56,5,FALSE)))</t>
  </si>
  <si>
    <t>=IF(ISNUMBER($L$6)=FALSE,"",
        IF(ISERROR(VLOOKUP($G52,DanaSehat!$L$13:$AK$56,I$4,FALSE))=TRUE,"",
              VLOOKUP($G52,DanaSehat!$L$13:$AK$56,I$4,FALSE)))</t>
  </si>
  <si>
    <t>=IF(ISNUMBER($L$6)=FALSE,"",
        IF(ISERROR(VLOOKUP($G52,DanaSehat!$L$13:$AK$56,J$4,FALSE))=TRUE,"",
              VLOOKUP($G52,DanaSehat!$L$13:$AK$56,J$4,FALSE)))</t>
  </si>
  <si>
    <t>=IF(ISNUMBER($L$6)=FALSE,"",
        IF(ISERROR(VLOOKUP($G52,DanaSehat!$L$13:$AK$56,K$4,FALSE))=TRUE,"",
              VLOOKUP($G52,DanaSehat!$L$13:$AK$56,K$4,FALSE)))</t>
  </si>
  <si>
    <t>=IF(ISNUMBER($L$6)=FALSE,"",
        IF(ISERROR(VLOOKUP($G52,DanaSehat!$L$13:$AK$56,L$4,FALSE))=TRUE,"",
              VLOOKUP($G52,DanaSehat!$L$13:$AK$56,L$4,FALSE)))</t>
  </si>
  <si>
    <t>=IF(ISNUMBER($L$6)=FALSE,"",
        IF(ISERROR(VLOOKUP($G52,DanaSehat!$L$13:$AK$56,M$4,FALSE))=TRUE,"",
              VLOOKUP($G52,DanaSehat!$L$13:$AK$56,M$4,FALSE)))</t>
  </si>
  <si>
    <t>=IF(ISNUMBER($L$6)=FALSE,"",
        IF(ISERROR(VLOOKUP($G52,DanaSehat!$L$13:$AK$56,N$4,FALSE))=TRUE,"",
              VLOOKUP($G52,DanaSehat!$L$13:$AK$56,N$4,FALSE)))</t>
  </si>
  <si>
    <t>=IF(ISNUMBER($L$6)=FALSE,"",
        IF(ISERROR(VLOOKUP($G52,DanaSehat!$L$13:$AK$56,O$4,FALSE))=TRUE,"",
              VLOOKUP($G52,DanaSehat!$L$13:$AK$56,O$4,FALSE)))</t>
  </si>
  <si>
    <t>=IF(ISNUMBER($L$6)=FALSE,"",
        IF(ISERROR(VLOOKUP($G52,DanaSehat!$L$13:$AK$56,P$4,FALSE))=TRUE,"",
              VLOOKUP($G52,DanaSehat!$L$13:$AK$56,P$4,FALSE)))</t>
  </si>
  <si>
    <t>=IF(ISNUMBER($L$6)=FALSE,"",
        IF(ISERROR(VLOOKUP($G52,DanaSehat!$L$13:$AK$56,Q$4,FALSE))=TRUE,"",
              VLOOKUP($G52,DanaSehat!$L$13:$AK$56,Q$4,FALSE)))</t>
  </si>
  <si>
    <t>=IF(ISNUMBER($L$6)=FALSE,"",
        IF(ISERROR(VLOOKUP($G52,DanaSehat!$L$13:$AK$56,R$4,FALSE))=TRUE,"",
              VLOOKUP($G52,DanaSehat!$L$13:$AK$56,R$4,FALSE)))</t>
  </si>
  <si>
    <t>=IF(ISNUMBER($L$6)=FALSE,"",
        IF(ISERROR(VLOOKUP($G52,DanaSehat!$L$13:$AK$56,S$4,FALSE))=TRUE,"",
              VLOOKUP($G52,DanaSehat!$L$13:$AK$56,S$4,FALSE)))</t>
  </si>
  <si>
    <t>=IF(ISNUMBER($L$6)=FALSE,"",
        IF(ISERROR(VLOOKUP($G52,DanaSehat!$L$13:$AK$56,T$4,FALSE))=TRUE,"",
              VLOOKUP($G52,DanaSehat!$L$13:$AK$56,T$4,FALSE)))</t>
  </si>
  <si>
    <t>=IF(ISNUMBER($L$6)=FALSE,"",
        IF(ISERROR(VLOOKUP($G52,DanaSehat!$L$13:$AK$56,U$4,FALSE))=TRUE,"",
              VLOOKUP($G52,DanaSehat!$L$13:$AK$56,U$4,FALSE)))</t>
  </si>
  <si>
    <t>=IF(ISNUMBER($L$6)=FALSE,"",
        IF(ISERROR(VLOOKUP($G52,DanaSehat!$L$13:$AK$56,V$4,FALSE))=TRUE,"",
              VLOOKUP($G52,DanaSehat!$L$13:$AK$56,V$4,FALSE)))</t>
  </si>
  <si>
    <t>=IF(ISNUMBER($L$6)=FALSE,"",
        IF(ISERROR(VLOOKUP($G52,DanaSehat!$L$13:$AK$56,W$4,FALSE))=TRUE,"",
              VLOOKUP($G52,DanaSehat!$L$13:$AK$56,W$4,FALSE)))</t>
  </si>
  <si>
    <t>=IF(ISNUMBER($L$6)=FALSE,"",
        IF(ISERROR(VLOOKUP($G52,DanaSehat!$L$13:$AK$56,X$4,FALSE))=TRUE,"",
              VLOOKUP($G52,DanaSehat!$L$13:$AK$56,X$4,FALSE)))</t>
  </si>
  <si>
    <t>=IF(ISNUMBER($L$6)=FALSE,"",
        IF(ISERROR(VLOOKUP($G52,DanaSehat!$L$13:$AK$56,Y$4,FALSE))=TRUE,"",
              VLOOKUP($G52,DanaSehat!$L$13:$AK$56,Y$4,FALSE)))</t>
  </si>
  <si>
    <t>=IF(ISNUMBER($L$6)=FALSE,"",
        IF(ISERROR(VLOOKUP($G52,DanaSehat!$L$13:$AK$56,Z$4,FALSE))=TRUE,"",
              VLOOKUP($G52,DanaSehat!$L$13:$AK$56,Z$4,FALSE)))</t>
  </si>
  <si>
    <t>=IF(ISNUMBER($L$6)=FALSE,"",
        IF(ISERROR(VLOOKUP($G52,DanaSehat!$L$13:$AK$56,AA$4,FALSE))=TRUE,"",
              VLOOKUP($G52,DanaSehat!$L$13:$AK$56,AA$4,FALSE)))</t>
  </si>
  <si>
    <t>=IF(ISNUMBER($L$6)=FALSE,"",
        IF(ISERROR(VLOOKUP($G52,DanaSehat!$L$13:$AK$56,AB$4,FALSE))=TRUE,"",
              VLOOKUP($G52,DanaSehat!$L$13:$AK$56,AB$4,FALSE)))</t>
  </si>
  <si>
    <t>=IF(ISNUMBER($L$6)=FALSE,"",
        IF(ISERROR(VLOOKUP($G52,DanaSehat!$L$13:$AK$56,AC$4,FALSE))=TRUE,"",
              VLOOKUP($G52,DanaSehat!$L$13:$AK$56,AC$4,FALSE)))</t>
  </si>
  <si>
    <t>=IF(ISNUMBER($L$6)=FALSE,"",
        IF(ISERROR(VLOOKUP($G52,DanaSehat!$L$13:$AK$56,AD$4,FALSE))=TRUE,"",
              VLOOKUP($G52,DanaSehat!$L$13:$AK$56,AD$4,FALSE)))</t>
  </si>
  <si>
    <t>=IF(ISNUMBER($L$6)=FALSE,"",
        IF(ISERROR(VLOOKUP($G52,DanaSehat!$L$13:$AK$56,AE$4,FALSE))=TRUE,"",
              VLOOKUP($G52,DanaSehat!$L$13:$AK$56,AE$4,FALSE)))</t>
  </si>
  <si>
    <t>=IF(ISNUMBER($L$6)=FALSE,"",
        IF(ISERROR(VLOOKUP($G52,DanaSehat!$L$13:$AK$56,AF$4,FALSE))=TRUE,"",
              VLOOKUP($G52,DanaSehat!$L$13:$AK$56,AF$4,FALSE)))</t>
  </si>
  <si>
    <t>=IF(ISNUMBER($L$6)=FALSE,"",
IF($C53=0,"",VLOOKUP($E53,DanaSehat!$H$13:$L$56,4,FALSE)))</t>
  </si>
  <si>
    <t>=IF(ISNUMBER($L$6)=FALSE,"",
IF($C53=0,"",VLOOKUP($E53,DanaSehat!$H$13:$L$56,5,FALSE)))</t>
  </si>
  <si>
    <t>=IF(ISNUMBER($L$6)=FALSE,"",
        IF(ISERROR(VLOOKUP($G53,DanaSehat!$L$13:$AK$56,I$4,FALSE))=TRUE,"",
              VLOOKUP($G53,DanaSehat!$L$13:$AK$56,I$4,FALSE)))</t>
  </si>
  <si>
    <t>=IF(ISNUMBER($L$6)=FALSE,"",
        IF(ISERROR(VLOOKUP($G53,DanaSehat!$L$13:$AK$56,J$4,FALSE))=TRUE,"",
              VLOOKUP($G53,DanaSehat!$L$13:$AK$56,J$4,FALSE)))</t>
  </si>
  <si>
    <t>=IF(ISNUMBER($L$6)=FALSE,"",
        IF(ISERROR(VLOOKUP($G53,DanaSehat!$L$13:$AK$56,K$4,FALSE))=TRUE,"",
              VLOOKUP($G53,DanaSehat!$L$13:$AK$56,K$4,FALSE)))</t>
  </si>
  <si>
    <t>=IF(ISNUMBER($L$6)=FALSE,"",
        IF(ISERROR(VLOOKUP($G53,DanaSehat!$L$13:$AK$56,L$4,FALSE))=TRUE,"",
              VLOOKUP($G53,DanaSehat!$L$13:$AK$56,L$4,FALSE)))</t>
  </si>
  <si>
    <t>=IF(ISNUMBER($L$6)=FALSE,"",
        IF(ISERROR(VLOOKUP($G53,DanaSehat!$L$13:$AK$56,M$4,FALSE))=TRUE,"",
              VLOOKUP($G53,DanaSehat!$L$13:$AK$56,M$4,FALSE)))</t>
  </si>
  <si>
    <t>=IF(ISNUMBER($L$6)=FALSE,"",
        IF(ISERROR(VLOOKUP($G53,DanaSehat!$L$13:$AK$56,N$4,FALSE))=TRUE,"",
              VLOOKUP($G53,DanaSehat!$L$13:$AK$56,N$4,FALSE)))</t>
  </si>
  <si>
    <t>=IF(ISNUMBER($L$6)=FALSE,"",
        IF(ISERROR(VLOOKUP($G53,DanaSehat!$L$13:$AK$56,O$4,FALSE))=TRUE,"",
              VLOOKUP($G53,DanaSehat!$L$13:$AK$56,O$4,FALSE)))</t>
  </si>
  <si>
    <t>=IF(ISNUMBER($L$6)=FALSE,"",
        IF(ISERROR(VLOOKUP($G53,DanaSehat!$L$13:$AK$56,P$4,FALSE))=TRUE,"",
              VLOOKUP($G53,DanaSehat!$L$13:$AK$56,P$4,FALSE)))</t>
  </si>
  <si>
    <t>=IF(ISNUMBER($L$6)=FALSE,"",
        IF(ISERROR(VLOOKUP($G53,DanaSehat!$L$13:$AK$56,Q$4,FALSE))=TRUE,"",
              VLOOKUP($G53,DanaSehat!$L$13:$AK$56,Q$4,FALSE)))</t>
  </si>
  <si>
    <t>=IF(ISNUMBER($L$6)=FALSE,"",
        IF(ISERROR(VLOOKUP($G53,DanaSehat!$L$13:$AK$56,R$4,FALSE))=TRUE,"",
              VLOOKUP($G53,DanaSehat!$L$13:$AK$56,R$4,FALSE)))</t>
  </si>
  <si>
    <t>=IF(ISNUMBER($L$6)=FALSE,"",
        IF(ISERROR(VLOOKUP($G53,DanaSehat!$L$13:$AK$56,S$4,FALSE))=TRUE,"",
              VLOOKUP($G53,DanaSehat!$L$13:$AK$56,S$4,FALSE)))</t>
  </si>
  <si>
    <t>=IF(ISNUMBER($L$6)=FALSE,"",
        IF(ISERROR(VLOOKUP($G53,DanaSehat!$L$13:$AK$56,T$4,FALSE))=TRUE,"",
              VLOOKUP($G53,DanaSehat!$L$13:$AK$56,T$4,FALSE)))</t>
  </si>
  <si>
    <t>=IF(ISNUMBER($L$6)=FALSE,"",
        IF(ISERROR(VLOOKUP($G53,DanaSehat!$L$13:$AK$56,U$4,FALSE))=TRUE,"",
              VLOOKUP($G53,DanaSehat!$L$13:$AK$56,U$4,FALSE)))</t>
  </si>
  <si>
    <t>=IF(ISNUMBER($L$6)=FALSE,"",
        IF(ISERROR(VLOOKUP($G53,DanaSehat!$L$13:$AK$56,V$4,FALSE))=TRUE,"",
              VLOOKUP($G53,DanaSehat!$L$13:$AK$56,V$4,FALSE)))</t>
  </si>
  <si>
    <t>=IF(ISNUMBER($L$6)=FALSE,"",
        IF(ISERROR(VLOOKUP($G53,DanaSehat!$L$13:$AK$56,W$4,FALSE))=TRUE,"",
              VLOOKUP($G53,DanaSehat!$L$13:$AK$56,W$4,FALSE)))</t>
  </si>
  <si>
    <t>=IF(ISNUMBER($L$6)=FALSE,"",
        IF(ISERROR(VLOOKUP($G53,DanaSehat!$L$13:$AK$56,X$4,FALSE))=TRUE,"",
              VLOOKUP($G53,DanaSehat!$L$13:$AK$56,X$4,FALSE)))</t>
  </si>
  <si>
    <t>=IF(ISNUMBER($L$6)=FALSE,"",
        IF(ISERROR(VLOOKUP($G53,DanaSehat!$L$13:$AK$56,Y$4,FALSE))=TRUE,"",
              VLOOKUP($G53,DanaSehat!$L$13:$AK$56,Y$4,FALSE)))</t>
  </si>
  <si>
    <t>=IF(ISNUMBER($L$6)=FALSE,"",
        IF(ISERROR(VLOOKUP($G53,DanaSehat!$L$13:$AK$56,Z$4,FALSE))=TRUE,"",
              VLOOKUP($G53,DanaSehat!$L$13:$AK$56,Z$4,FALSE)))</t>
  </si>
  <si>
    <t>=IF(ISNUMBER($L$6)=FALSE,"",
        IF(ISERROR(VLOOKUP($G53,DanaSehat!$L$13:$AK$56,AA$4,FALSE))=TRUE,"",
              VLOOKUP($G53,DanaSehat!$L$13:$AK$56,AA$4,FALSE)))</t>
  </si>
  <si>
    <t>=IF(ISNUMBER($L$6)=FALSE,"",
        IF(ISERROR(VLOOKUP($G53,DanaSehat!$L$13:$AK$56,AB$4,FALSE))=TRUE,"",
              VLOOKUP($G53,DanaSehat!$L$13:$AK$56,AB$4,FALSE)))</t>
  </si>
  <si>
    <t>=IF(ISNUMBER($L$6)=FALSE,"",
        IF(ISERROR(VLOOKUP($G53,DanaSehat!$L$13:$AK$56,AC$4,FALSE))=TRUE,"",
              VLOOKUP($G53,DanaSehat!$L$13:$AK$56,AC$4,FALSE)))</t>
  </si>
  <si>
    <t>=IF(ISNUMBER($L$6)=FALSE,"",
        IF(ISERROR(VLOOKUP($G53,DanaSehat!$L$13:$AK$56,AD$4,FALSE))=TRUE,"",
              VLOOKUP($G53,DanaSehat!$L$13:$AK$56,AD$4,FALSE)))</t>
  </si>
  <si>
    <t>=IF(ISNUMBER($L$6)=FALSE,"",
        IF(ISERROR(VLOOKUP($G53,DanaSehat!$L$13:$AK$56,AE$4,FALSE))=TRUE,"",
              VLOOKUP($G53,DanaSehat!$L$13:$AK$56,AE$4,FALSE)))</t>
  </si>
  <si>
    <t>=IF(ISNUMBER($L$6)=FALSE,"",
        IF(ISERROR(VLOOKUP($G53,DanaSehat!$L$13:$AK$56,AF$4,FALSE))=TRUE,"",
              VLOOKUP($G53,DanaSehat!$L$13:$AK$56,AF$4,FALSE)))</t>
  </si>
  <si>
    <t>=IF(ISNUMBER($L$6)=FALSE,"",
IF($C54=0,"",VLOOKUP($E54,DanaSehat!$H$13:$L$56,4,FALSE)))</t>
  </si>
  <si>
    <t>=IF(ISNUMBER($L$6)=FALSE,"",
IF($C54=0,"",VLOOKUP($E54,DanaSehat!$H$13:$L$56,5,FALSE)))</t>
  </si>
  <si>
    <t>=IF(ISNUMBER($L$6)=FALSE,"",
        IF(ISERROR(VLOOKUP($G54,DanaSehat!$L$13:$AK$56,I$4,FALSE))=TRUE,"",
              VLOOKUP($G54,DanaSehat!$L$13:$AK$56,I$4,FALSE)))</t>
  </si>
  <si>
    <t>=IF(ISNUMBER($L$6)=FALSE,"",
        IF(ISERROR(VLOOKUP($G54,DanaSehat!$L$13:$AK$56,J$4,FALSE))=TRUE,"",
              VLOOKUP($G54,DanaSehat!$L$13:$AK$56,J$4,FALSE)))</t>
  </si>
  <si>
    <t>=IF(ISNUMBER($L$6)=FALSE,"",
        IF(ISERROR(VLOOKUP($G54,DanaSehat!$L$13:$AK$56,K$4,FALSE))=TRUE,"",
              VLOOKUP($G54,DanaSehat!$L$13:$AK$56,K$4,FALSE)))</t>
  </si>
  <si>
    <t>=IF(ISNUMBER($L$6)=FALSE,"",
        IF(ISERROR(VLOOKUP($G54,DanaSehat!$L$13:$AK$56,L$4,FALSE))=TRUE,"",
              VLOOKUP($G54,DanaSehat!$L$13:$AK$56,L$4,FALSE)))</t>
  </si>
  <si>
    <t>=IF(ISNUMBER($L$6)=FALSE,"",
        IF(ISERROR(VLOOKUP($G54,DanaSehat!$L$13:$AK$56,M$4,FALSE))=TRUE,"",
              VLOOKUP($G54,DanaSehat!$L$13:$AK$56,M$4,FALSE)))</t>
  </si>
  <si>
    <t>=IF(ISNUMBER($L$6)=FALSE,"",
        IF(ISERROR(VLOOKUP($G54,DanaSehat!$L$13:$AK$56,N$4,FALSE))=TRUE,"",
              VLOOKUP($G54,DanaSehat!$L$13:$AK$56,N$4,FALSE)))</t>
  </si>
  <si>
    <t>=IF(ISNUMBER($L$6)=FALSE,"",
        IF(ISERROR(VLOOKUP($G54,DanaSehat!$L$13:$AK$56,O$4,FALSE))=TRUE,"",
              VLOOKUP($G54,DanaSehat!$L$13:$AK$56,O$4,FALSE)))</t>
  </si>
  <si>
    <t>=IF(ISNUMBER($L$6)=FALSE,"",
        IF(ISERROR(VLOOKUP($G54,DanaSehat!$L$13:$AK$56,P$4,FALSE))=TRUE,"",
              VLOOKUP($G54,DanaSehat!$L$13:$AK$56,P$4,FALSE)))</t>
  </si>
  <si>
    <t>=IF(ISNUMBER($L$6)=FALSE,"",
        IF(ISERROR(VLOOKUP($G54,DanaSehat!$L$13:$AK$56,Q$4,FALSE))=TRUE,"",
              VLOOKUP($G54,DanaSehat!$L$13:$AK$56,Q$4,FALSE)))</t>
  </si>
  <si>
    <t>=IF(ISNUMBER($L$6)=FALSE,"",
        IF(ISERROR(VLOOKUP($G54,DanaSehat!$L$13:$AK$56,R$4,FALSE))=TRUE,"",
              VLOOKUP($G54,DanaSehat!$L$13:$AK$56,R$4,FALSE)))</t>
  </si>
  <si>
    <t>=IF(ISNUMBER($L$6)=FALSE,"",
        IF(ISERROR(VLOOKUP($G54,DanaSehat!$L$13:$AK$56,S$4,FALSE))=TRUE,"",
              VLOOKUP($G54,DanaSehat!$L$13:$AK$56,S$4,FALSE)))</t>
  </si>
  <si>
    <t>=IF(ISNUMBER($L$6)=FALSE,"",
        IF(ISERROR(VLOOKUP($G54,DanaSehat!$L$13:$AK$56,T$4,FALSE))=TRUE,"",
              VLOOKUP($G54,DanaSehat!$L$13:$AK$56,T$4,FALSE)))</t>
  </si>
  <si>
    <t>=IF(ISNUMBER($L$6)=FALSE,"",
        IF(ISERROR(VLOOKUP($G54,DanaSehat!$L$13:$AK$56,U$4,FALSE))=TRUE,"",
              VLOOKUP($G54,DanaSehat!$L$13:$AK$56,U$4,FALSE)))</t>
  </si>
  <si>
    <t>=IF(ISNUMBER($L$6)=FALSE,"",
        IF(ISERROR(VLOOKUP($G54,DanaSehat!$L$13:$AK$56,V$4,FALSE))=TRUE,"",
              VLOOKUP($G54,DanaSehat!$L$13:$AK$56,V$4,FALSE)))</t>
  </si>
  <si>
    <t>=IF(ISNUMBER($L$6)=FALSE,"",
        IF(ISERROR(VLOOKUP($G54,DanaSehat!$L$13:$AK$56,W$4,FALSE))=TRUE,"",
              VLOOKUP($G54,DanaSehat!$L$13:$AK$56,W$4,FALSE)))</t>
  </si>
  <si>
    <t>=IF(ISNUMBER($L$6)=FALSE,"",
        IF(ISERROR(VLOOKUP($G54,DanaSehat!$L$13:$AK$56,X$4,FALSE))=TRUE,"",
              VLOOKUP($G54,DanaSehat!$L$13:$AK$56,X$4,FALSE)))</t>
  </si>
  <si>
    <t>=IF(ISNUMBER($L$6)=FALSE,"",
        IF(ISERROR(VLOOKUP($G54,DanaSehat!$L$13:$AK$56,Y$4,FALSE))=TRUE,"",
              VLOOKUP($G54,DanaSehat!$L$13:$AK$56,Y$4,FALSE)))</t>
  </si>
  <si>
    <t>=IF(ISNUMBER($L$6)=FALSE,"",
        IF(ISERROR(VLOOKUP($G54,DanaSehat!$L$13:$AK$56,Z$4,FALSE))=TRUE,"",
              VLOOKUP($G54,DanaSehat!$L$13:$AK$56,Z$4,FALSE)))</t>
  </si>
  <si>
    <t>=IF(ISNUMBER($L$6)=FALSE,"",
        IF(ISERROR(VLOOKUP($G54,DanaSehat!$L$13:$AK$56,AA$4,FALSE))=TRUE,"",
              VLOOKUP($G54,DanaSehat!$L$13:$AK$56,AA$4,FALSE)))</t>
  </si>
  <si>
    <t>=IF(ISNUMBER($L$6)=FALSE,"",
        IF(ISERROR(VLOOKUP($G54,DanaSehat!$L$13:$AK$56,AB$4,FALSE))=TRUE,"",
              VLOOKUP($G54,DanaSehat!$L$13:$AK$56,AB$4,FALSE)))</t>
  </si>
  <si>
    <t>=IF(ISNUMBER($L$6)=FALSE,"",
        IF(ISERROR(VLOOKUP($G54,DanaSehat!$L$13:$AK$56,AC$4,FALSE))=TRUE,"",
              VLOOKUP($G54,DanaSehat!$L$13:$AK$56,AC$4,FALSE)))</t>
  </si>
  <si>
    <t>=IF(ISNUMBER($L$6)=FALSE,"",
        IF(ISERROR(VLOOKUP($G54,DanaSehat!$L$13:$AK$56,AD$4,FALSE))=TRUE,"",
              VLOOKUP($G54,DanaSehat!$L$13:$AK$56,AD$4,FALSE)))</t>
  </si>
  <si>
    <t>=IF(ISNUMBER($L$6)=FALSE,"",
        IF(ISERROR(VLOOKUP($G54,DanaSehat!$L$13:$AK$56,AE$4,FALSE))=TRUE,"",
              VLOOKUP($G54,DanaSehat!$L$13:$AK$56,AE$4,FALSE)))</t>
  </si>
  <si>
    <t>=IF(ISNUMBER($L$6)=FALSE,"",
        IF(ISERROR(VLOOKUP($G54,DanaSehat!$L$13:$AK$56,AF$4,FALSE))=TRUE,"",
              VLOOKUP($G54,DanaSehat!$L$13:$AK$56,AF$4,FALSE)))</t>
  </si>
  <si>
    <t>=IF(ISNUMBER($L$6)=FALSE,"",
IF($C55=0,"",VLOOKUP($E55,DanaSehat!$H$13:$L$56,4,FALSE)))</t>
  </si>
  <si>
    <t>=IF(ISNUMBER($L$6)=FALSE,"",
IF($C55=0,"",VLOOKUP($E55,DanaSehat!$H$13:$L$56,5,FALSE)))</t>
  </si>
  <si>
    <t>=IF(ISNUMBER($L$6)=FALSE,"",
        IF(ISERROR(VLOOKUP($G55,DanaSehat!$L$13:$AK$56,I$4,FALSE))=TRUE,"",
              VLOOKUP($G55,DanaSehat!$L$13:$AK$56,I$4,FALSE)))</t>
  </si>
  <si>
    <t>=IF(ISNUMBER($L$6)=FALSE,"",
        IF(ISERROR(VLOOKUP($G55,DanaSehat!$L$13:$AK$56,J$4,FALSE))=TRUE,"",
              VLOOKUP($G55,DanaSehat!$L$13:$AK$56,J$4,FALSE)))</t>
  </si>
  <si>
    <t>=IF(ISNUMBER($L$6)=FALSE,"",
        IF(ISERROR(VLOOKUP($G55,DanaSehat!$L$13:$AK$56,K$4,FALSE))=TRUE,"",
              VLOOKUP($G55,DanaSehat!$L$13:$AK$56,K$4,FALSE)))</t>
  </si>
  <si>
    <t>=IF(ISNUMBER($L$6)=FALSE,"",
        IF(ISERROR(VLOOKUP($G55,DanaSehat!$L$13:$AK$56,L$4,FALSE))=TRUE,"",
              VLOOKUP($G55,DanaSehat!$L$13:$AK$56,L$4,FALSE)))</t>
  </si>
  <si>
    <t>=IF(ISNUMBER($L$6)=FALSE,"",
        IF(ISERROR(VLOOKUP($G55,DanaSehat!$L$13:$AK$56,M$4,FALSE))=TRUE,"",
              VLOOKUP($G55,DanaSehat!$L$13:$AK$56,M$4,FALSE)))</t>
  </si>
  <si>
    <t>=IF(ISNUMBER($L$6)=FALSE,"",
        IF(ISERROR(VLOOKUP($G55,DanaSehat!$L$13:$AK$56,N$4,FALSE))=TRUE,"",
              VLOOKUP($G55,DanaSehat!$L$13:$AK$56,N$4,FALSE)))</t>
  </si>
  <si>
    <t>=IF(ISNUMBER($L$6)=FALSE,"",
        IF(ISERROR(VLOOKUP($G55,DanaSehat!$L$13:$AK$56,O$4,FALSE))=TRUE,"",
              VLOOKUP($G55,DanaSehat!$L$13:$AK$56,O$4,FALSE)))</t>
  </si>
  <si>
    <t>=IF(ISNUMBER($L$6)=FALSE,"",
        IF(ISERROR(VLOOKUP($G55,DanaSehat!$L$13:$AK$56,P$4,FALSE))=TRUE,"",
              VLOOKUP($G55,DanaSehat!$L$13:$AK$56,P$4,FALSE)))</t>
  </si>
  <si>
    <t>=IF(ISNUMBER($L$6)=FALSE,"",
        IF(ISERROR(VLOOKUP($G55,DanaSehat!$L$13:$AK$56,Q$4,FALSE))=TRUE,"",
              VLOOKUP($G55,DanaSehat!$L$13:$AK$56,Q$4,FALSE)))</t>
  </si>
  <si>
    <t>=IF(ISNUMBER($L$6)=FALSE,"",
        IF(ISERROR(VLOOKUP($G55,DanaSehat!$L$13:$AK$56,R$4,FALSE))=TRUE,"",
              VLOOKUP($G55,DanaSehat!$L$13:$AK$56,R$4,FALSE)))</t>
  </si>
  <si>
    <t>=IF(ISNUMBER($L$6)=FALSE,"",
        IF(ISERROR(VLOOKUP($G55,DanaSehat!$L$13:$AK$56,S$4,FALSE))=TRUE,"",
              VLOOKUP($G55,DanaSehat!$L$13:$AK$56,S$4,FALSE)))</t>
  </si>
  <si>
    <t>=IF(ISNUMBER($L$6)=FALSE,"",
        IF(ISERROR(VLOOKUP($G55,DanaSehat!$L$13:$AK$56,T$4,FALSE))=TRUE,"",
              VLOOKUP($G55,DanaSehat!$L$13:$AK$56,T$4,FALSE)))</t>
  </si>
  <si>
    <t>=IF(ISNUMBER($L$6)=FALSE,"",
        IF(ISERROR(VLOOKUP($G55,DanaSehat!$L$13:$AK$56,U$4,FALSE))=TRUE,"",
              VLOOKUP($G55,DanaSehat!$L$13:$AK$56,U$4,FALSE)))</t>
  </si>
  <si>
    <t>=IF(ISNUMBER($L$6)=FALSE,"",
        IF(ISERROR(VLOOKUP($G55,DanaSehat!$L$13:$AK$56,V$4,FALSE))=TRUE,"",
              VLOOKUP($G55,DanaSehat!$L$13:$AK$56,V$4,FALSE)))</t>
  </si>
  <si>
    <t>=IF(ISNUMBER($L$6)=FALSE,"",
        IF(ISERROR(VLOOKUP($G55,DanaSehat!$L$13:$AK$56,W$4,FALSE))=TRUE,"",
              VLOOKUP($G55,DanaSehat!$L$13:$AK$56,W$4,FALSE)))</t>
  </si>
  <si>
    <t>=IF(ISNUMBER($L$6)=FALSE,"",
        IF(ISERROR(VLOOKUP($G55,DanaSehat!$L$13:$AK$56,X$4,FALSE))=TRUE,"",
              VLOOKUP($G55,DanaSehat!$L$13:$AK$56,X$4,FALSE)))</t>
  </si>
  <si>
    <t>=IF(ISNUMBER($L$6)=FALSE,"",
        IF(ISERROR(VLOOKUP($G55,DanaSehat!$L$13:$AK$56,Y$4,FALSE))=TRUE,"",
              VLOOKUP($G55,DanaSehat!$L$13:$AK$56,Y$4,FALSE)))</t>
  </si>
  <si>
    <t>=IF(ISNUMBER($L$6)=FALSE,"",
        IF(ISERROR(VLOOKUP($G55,DanaSehat!$L$13:$AK$56,Z$4,FALSE))=TRUE,"",
              VLOOKUP($G55,DanaSehat!$L$13:$AK$56,Z$4,FALSE)))</t>
  </si>
  <si>
    <t>=IF(ISNUMBER($L$6)=FALSE,"",
        IF(ISERROR(VLOOKUP($G55,DanaSehat!$L$13:$AK$56,AA$4,FALSE))=TRUE,"",
              VLOOKUP($G55,DanaSehat!$L$13:$AK$56,AA$4,FALSE)))</t>
  </si>
  <si>
    <t>=IF(ISNUMBER($L$6)=FALSE,"",
        IF(ISERROR(VLOOKUP($G55,DanaSehat!$L$13:$AK$56,AB$4,FALSE))=TRUE,"",
              VLOOKUP($G55,DanaSehat!$L$13:$AK$56,AB$4,FALSE)))</t>
  </si>
  <si>
    <t>=IF(ISNUMBER($L$6)=FALSE,"",
        IF(ISERROR(VLOOKUP($G55,DanaSehat!$L$13:$AK$56,AC$4,FALSE))=TRUE,"",
              VLOOKUP($G55,DanaSehat!$L$13:$AK$56,AC$4,FALSE)))</t>
  </si>
  <si>
    <t>=IF(ISNUMBER($L$6)=FALSE,"",
        IF(ISERROR(VLOOKUP($G55,DanaSehat!$L$13:$AK$56,AD$4,FALSE))=TRUE,"",
              VLOOKUP($G55,DanaSehat!$L$13:$AK$56,AD$4,FALSE)))</t>
  </si>
  <si>
    <t>=IF(ISNUMBER($L$6)=FALSE,"",
        IF(ISERROR(VLOOKUP($G55,DanaSehat!$L$13:$AK$56,AE$4,FALSE))=TRUE,"",
              VLOOKUP($G55,DanaSehat!$L$13:$AK$56,AE$4,FALSE)))</t>
  </si>
  <si>
    <t>=IF(ISNUMBER($L$6)=FALSE,"",
        IF(ISERROR(VLOOKUP($G55,DanaSehat!$L$13:$AK$56,AF$4,FALSE))=TRUE,"",
              VLOOKUP($G55,DanaSehat!$L$13:$AK$56,AF$4,FALSE)))</t>
  </si>
  <si>
    <t>=IF(ISNUMBER($L$6)=FALSE,"",
IF($C56=0,"",VLOOKUP($E56,DanaSehat!$H$13:$L$56,4,FALSE)))</t>
  </si>
  <si>
    <t>=IF(ISNUMBER($L$6)=FALSE,"",
IF($C56=0,"",VLOOKUP($E56,DanaSehat!$H$13:$L$56,5,FALSE)))</t>
  </si>
  <si>
    <t>=IF(ISNUMBER($L$6)=FALSE,"",
        IF(ISERROR(VLOOKUP($G56,DanaSehat!$L$13:$AK$56,I$4,FALSE))=TRUE,"",
              VLOOKUP($G56,DanaSehat!$L$13:$AK$56,I$4,FALSE)))</t>
  </si>
  <si>
    <t>=IF(ISNUMBER($L$6)=FALSE,"",
        IF(ISERROR(VLOOKUP($G56,DanaSehat!$L$13:$AK$56,J$4,FALSE))=TRUE,"",
              VLOOKUP($G56,DanaSehat!$L$13:$AK$56,J$4,FALSE)))</t>
  </si>
  <si>
    <t>=IF(ISNUMBER($L$6)=FALSE,"",
        IF(ISERROR(VLOOKUP($G56,DanaSehat!$L$13:$AK$56,K$4,FALSE))=TRUE,"",
              VLOOKUP($G56,DanaSehat!$L$13:$AK$56,K$4,FALSE)))</t>
  </si>
  <si>
    <t>=IF(ISNUMBER($L$6)=FALSE,"",
        IF(ISERROR(VLOOKUP($G56,DanaSehat!$L$13:$AK$56,L$4,FALSE))=TRUE,"",
              VLOOKUP($G56,DanaSehat!$L$13:$AK$56,L$4,FALSE)))</t>
  </si>
  <si>
    <t>=IF(ISNUMBER($L$6)=FALSE,"",
        IF(ISERROR(VLOOKUP($G56,DanaSehat!$L$13:$AK$56,M$4,FALSE))=TRUE,"",
              VLOOKUP($G56,DanaSehat!$L$13:$AK$56,M$4,FALSE)))</t>
  </si>
  <si>
    <t>=IF(ISNUMBER($L$6)=FALSE,"",
        IF(ISERROR(VLOOKUP($G56,DanaSehat!$L$13:$AK$56,N$4,FALSE))=TRUE,"",
              VLOOKUP($G56,DanaSehat!$L$13:$AK$56,N$4,FALSE)))</t>
  </si>
  <si>
    <t>=IF(ISNUMBER($L$6)=FALSE,"",
        IF(ISERROR(VLOOKUP($G56,DanaSehat!$L$13:$AK$56,O$4,FALSE))=TRUE,"",
              VLOOKUP($G56,DanaSehat!$L$13:$AK$56,O$4,FALSE)))</t>
  </si>
  <si>
    <t>=IF(ISNUMBER($L$6)=FALSE,"",
        IF(ISERROR(VLOOKUP($G56,DanaSehat!$L$13:$AK$56,P$4,FALSE))=TRUE,"",
              VLOOKUP($G56,DanaSehat!$L$13:$AK$56,P$4,FALSE)))</t>
  </si>
  <si>
    <t>=IF(ISNUMBER($L$6)=FALSE,"",
        IF(ISERROR(VLOOKUP($G56,DanaSehat!$L$13:$AK$56,Q$4,FALSE))=TRUE,"",
              VLOOKUP($G56,DanaSehat!$L$13:$AK$56,Q$4,FALSE)))</t>
  </si>
  <si>
    <t>=IF(ISNUMBER($L$6)=FALSE,"",
        IF(ISERROR(VLOOKUP($G56,DanaSehat!$L$13:$AK$56,R$4,FALSE))=TRUE,"",
              VLOOKUP($G56,DanaSehat!$L$13:$AK$56,R$4,FALSE)))</t>
  </si>
  <si>
    <t>=IF(ISNUMBER($L$6)=FALSE,"",
        IF(ISERROR(VLOOKUP($G56,DanaSehat!$L$13:$AK$56,S$4,FALSE))=TRUE,"",
              VLOOKUP($G56,DanaSehat!$L$13:$AK$56,S$4,FALSE)))</t>
  </si>
  <si>
    <t>=IF(ISNUMBER($L$6)=FALSE,"",
        IF(ISERROR(VLOOKUP($G56,DanaSehat!$L$13:$AK$56,T$4,FALSE))=TRUE,"",
              VLOOKUP($G56,DanaSehat!$L$13:$AK$56,T$4,FALSE)))</t>
  </si>
  <si>
    <t>=IF(ISNUMBER($L$6)=FALSE,"",
        IF(ISERROR(VLOOKUP($G56,DanaSehat!$L$13:$AK$56,U$4,FALSE))=TRUE,"",
              VLOOKUP($G56,DanaSehat!$L$13:$AK$56,U$4,FALSE)))</t>
  </si>
  <si>
    <t>=IF(ISNUMBER($L$6)=FALSE,"",
        IF(ISERROR(VLOOKUP($G56,DanaSehat!$L$13:$AK$56,V$4,FALSE))=TRUE,"",
              VLOOKUP($G56,DanaSehat!$L$13:$AK$56,V$4,FALSE)))</t>
  </si>
  <si>
    <t>=IF(ISNUMBER($L$6)=FALSE,"",
        IF(ISERROR(VLOOKUP($G56,DanaSehat!$L$13:$AK$56,W$4,FALSE))=TRUE,"",
              VLOOKUP($G56,DanaSehat!$L$13:$AK$56,W$4,FALSE)))</t>
  </si>
  <si>
    <t>=IF(ISNUMBER($L$6)=FALSE,"",
        IF(ISERROR(VLOOKUP($G56,DanaSehat!$L$13:$AK$56,X$4,FALSE))=TRUE,"",
              VLOOKUP($G56,DanaSehat!$L$13:$AK$56,X$4,FALSE)))</t>
  </si>
  <si>
    <t>=IF(ISNUMBER($L$6)=FALSE,"",
        IF(ISERROR(VLOOKUP($G56,DanaSehat!$L$13:$AK$56,Y$4,FALSE))=TRUE,"",
              VLOOKUP($G56,DanaSehat!$L$13:$AK$56,Y$4,FALSE)))</t>
  </si>
  <si>
    <t>=IF(ISNUMBER($L$6)=FALSE,"",
        IF(ISERROR(VLOOKUP($G56,DanaSehat!$L$13:$AK$56,Z$4,FALSE))=TRUE,"",
              VLOOKUP($G56,DanaSehat!$L$13:$AK$56,Z$4,FALSE)))</t>
  </si>
  <si>
    <t>=IF(ISNUMBER($L$6)=FALSE,"",
        IF(ISERROR(VLOOKUP($G56,DanaSehat!$L$13:$AK$56,AA$4,FALSE))=TRUE,"",
              VLOOKUP($G56,DanaSehat!$L$13:$AK$56,AA$4,FALSE)))</t>
  </si>
  <si>
    <t>=IF(ISNUMBER($L$6)=FALSE,"",
        IF(ISERROR(VLOOKUP($G56,DanaSehat!$L$13:$AK$56,AB$4,FALSE))=TRUE,"",
              VLOOKUP($G56,DanaSehat!$L$13:$AK$56,AB$4,FALSE)))</t>
  </si>
  <si>
    <t>=IF(ISNUMBER($L$6)=FALSE,"",
        IF(ISERROR(VLOOKUP($G56,DanaSehat!$L$13:$AK$56,AC$4,FALSE))=TRUE,"",
              VLOOKUP($G56,DanaSehat!$L$13:$AK$56,AC$4,FALSE)))</t>
  </si>
  <si>
    <t>=IF(ISNUMBER($L$6)=FALSE,"",
        IF(ISERROR(VLOOKUP($G56,DanaSehat!$L$13:$AK$56,AD$4,FALSE))=TRUE,"",
              VLOOKUP($G56,DanaSehat!$L$13:$AK$56,AD$4,FALSE)))</t>
  </si>
  <si>
    <t>=IF(ISNUMBER($L$6)=FALSE,"",
        IF(ISERROR(VLOOKUP($G56,DanaSehat!$L$13:$AK$56,AE$4,FALSE))=TRUE,"",
              VLOOKUP($G56,DanaSehat!$L$13:$AK$56,AE$4,FALSE)))</t>
  </si>
  <si>
    <t>=IF(ISNUMBER($L$6)=FALSE,"",
        IF(ISERROR(VLOOKUP($G56,DanaSehat!$L$13:$AK$56,AF$4,FALSE))=TRUE,"",
              VLOOKUP($G56,DanaSehat!$L$13:$AK$56,AF$4,FALSE)))</t>
  </si>
  <si>
    <t>=IF(ISNUMBER($L$6)=FALSE,"",
IF($C57=0,"",VLOOKUP($E57,DanaSehat!$H$13:$L$56,4,FALSE)))</t>
  </si>
  <si>
    <t>=IF(ISNUMBER($L$6)=FALSE,"",
IF($C57=0,"",VLOOKUP($E57,DanaSehat!$H$13:$L$56,5,FALSE)))</t>
  </si>
  <si>
    <t>=IF(ISNUMBER($L$6)=FALSE,"",
        IF(ISERROR(VLOOKUP($G57,DanaSehat!$L$13:$AK$56,I$4,FALSE))=TRUE,"",
              VLOOKUP($G57,DanaSehat!$L$13:$AK$56,I$4,FALSE)))</t>
  </si>
  <si>
    <t>=IF(ISNUMBER($L$6)=FALSE,"",
        IF(ISERROR(VLOOKUP($G57,DanaSehat!$L$13:$AK$56,J$4,FALSE))=TRUE,"",
              VLOOKUP($G57,DanaSehat!$L$13:$AK$56,J$4,FALSE)))</t>
  </si>
  <si>
    <t>=IF(ISNUMBER($L$6)=FALSE,"",
        IF(ISERROR(VLOOKUP($G57,DanaSehat!$L$13:$AK$56,K$4,FALSE))=TRUE,"",
              VLOOKUP($G57,DanaSehat!$L$13:$AK$56,K$4,FALSE)))</t>
  </si>
  <si>
    <t>=IF(ISNUMBER($L$6)=FALSE,"",
        IF(ISERROR(VLOOKUP($G57,DanaSehat!$L$13:$AK$56,L$4,FALSE))=TRUE,"",
              VLOOKUP($G57,DanaSehat!$L$13:$AK$56,L$4,FALSE)))</t>
  </si>
  <si>
    <t>=IF(ISNUMBER($L$6)=FALSE,"",
        IF(ISERROR(VLOOKUP($G57,DanaSehat!$L$13:$AK$56,M$4,FALSE))=TRUE,"",
              VLOOKUP($G57,DanaSehat!$L$13:$AK$56,M$4,FALSE)))</t>
  </si>
  <si>
    <t>=IF(ISNUMBER($L$6)=FALSE,"",
        IF(ISERROR(VLOOKUP($G57,DanaSehat!$L$13:$AK$56,N$4,FALSE))=TRUE,"",
              VLOOKUP($G57,DanaSehat!$L$13:$AK$56,N$4,FALSE)))</t>
  </si>
  <si>
    <t>=IF(ISNUMBER($L$6)=FALSE,"",
        IF(ISERROR(VLOOKUP($G57,DanaSehat!$L$13:$AK$56,O$4,FALSE))=TRUE,"",
              VLOOKUP($G57,DanaSehat!$L$13:$AK$56,O$4,FALSE)))</t>
  </si>
  <si>
    <t>=IF(ISNUMBER($L$6)=FALSE,"",
        IF(ISERROR(VLOOKUP($G57,DanaSehat!$L$13:$AK$56,P$4,FALSE))=TRUE,"",
              VLOOKUP($G57,DanaSehat!$L$13:$AK$56,P$4,FALSE)))</t>
  </si>
  <si>
    <t>=IF(ISNUMBER($L$6)=FALSE,"",
        IF(ISERROR(VLOOKUP($G57,DanaSehat!$L$13:$AK$56,Q$4,FALSE))=TRUE,"",
              VLOOKUP($G57,DanaSehat!$L$13:$AK$56,Q$4,FALSE)))</t>
  </si>
  <si>
    <t>=IF(ISNUMBER($L$6)=FALSE,"",
        IF(ISERROR(VLOOKUP($G57,DanaSehat!$L$13:$AK$56,R$4,FALSE))=TRUE,"",
              VLOOKUP($G57,DanaSehat!$L$13:$AK$56,R$4,FALSE)))</t>
  </si>
  <si>
    <t>=IF(ISNUMBER($L$6)=FALSE,"",
        IF(ISERROR(VLOOKUP($G57,DanaSehat!$L$13:$AK$56,S$4,FALSE))=TRUE,"",
              VLOOKUP($G57,DanaSehat!$L$13:$AK$56,S$4,FALSE)))</t>
  </si>
  <si>
    <t>=IF(ISNUMBER($L$6)=FALSE,"",
        IF(ISERROR(VLOOKUP($G57,DanaSehat!$L$13:$AK$56,T$4,FALSE))=TRUE,"",
              VLOOKUP($G57,DanaSehat!$L$13:$AK$56,T$4,FALSE)))</t>
  </si>
  <si>
    <t>=IF(ISNUMBER($L$6)=FALSE,"",
        IF(ISERROR(VLOOKUP($G57,DanaSehat!$L$13:$AK$56,U$4,FALSE))=TRUE,"",
              VLOOKUP($G57,DanaSehat!$L$13:$AK$56,U$4,FALSE)))</t>
  </si>
  <si>
    <t>=IF(ISNUMBER($L$6)=FALSE,"",
        IF(ISERROR(VLOOKUP($G57,DanaSehat!$L$13:$AK$56,V$4,FALSE))=TRUE,"",
              VLOOKUP($G57,DanaSehat!$L$13:$AK$56,V$4,FALSE)))</t>
  </si>
  <si>
    <t>=IF(ISNUMBER($L$6)=FALSE,"",
        IF(ISERROR(VLOOKUP($G57,DanaSehat!$L$13:$AK$56,W$4,FALSE))=TRUE,"",
              VLOOKUP($G57,DanaSehat!$L$13:$AK$56,W$4,FALSE)))</t>
  </si>
  <si>
    <t>=IF(ISNUMBER($L$6)=FALSE,"",
        IF(ISERROR(VLOOKUP($G57,DanaSehat!$L$13:$AK$56,X$4,FALSE))=TRUE,"",
              VLOOKUP($G57,DanaSehat!$L$13:$AK$56,X$4,FALSE)))</t>
  </si>
  <si>
    <t>=IF(ISNUMBER($L$6)=FALSE,"",
        IF(ISERROR(VLOOKUP($G57,DanaSehat!$L$13:$AK$56,Y$4,FALSE))=TRUE,"",
              VLOOKUP($G57,DanaSehat!$L$13:$AK$56,Y$4,FALSE)))</t>
  </si>
  <si>
    <t>=IF(ISNUMBER($L$6)=FALSE,"",
        IF(ISERROR(VLOOKUP($G57,DanaSehat!$L$13:$AK$56,Z$4,FALSE))=TRUE,"",
              VLOOKUP($G57,DanaSehat!$L$13:$AK$56,Z$4,FALSE)))</t>
  </si>
  <si>
    <t>=IF(ISNUMBER($L$6)=FALSE,"",
        IF(ISERROR(VLOOKUP($G57,DanaSehat!$L$13:$AK$56,AA$4,FALSE))=TRUE,"",
              VLOOKUP($G57,DanaSehat!$L$13:$AK$56,AA$4,FALSE)))</t>
  </si>
  <si>
    <t>=IF(ISNUMBER($L$6)=FALSE,"",
        IF(ISERROR(VLOOKUP($G57,DanaSehat!$L$13:$AK$56,AB$4,FALSE))=TRUE,"",
              VLOOKUP($G57,DanaSehat!$L$13:$AK$56,AB$4,FALSE)))</t>
  </si>
  <si>
    <t>=IF(ISNUMBER($L$6)=FALSE,"",
        IF(ISERROR(VLOOKUP($G57,DanaSehat!$L$13:$AK$56,AC$4,FALSE))=TRUE,"",
              VLOOKUP($G57,DanaSehat!$L$13:$AK$56,AC$4,FALSE)))</t>
  </si>
  <si>
    <t>=IF(ISNUMBER($L$6)=FALSE,"",
        IF(ISERROR(VLOOKUP($G57,DanaSehat!$L$13:$AK$56,AD$4,FALSE))=TRUE,"",
              VLOOKUP($G57,DanaSehat!$L$13:$AK$56,AD$4,FALSE)))</t>
  </si>
  <si>
    <t>=IF(ISNUMBER($L$6)=FALSE,"",
        IF(ISERROR(VLOOKUP($G57,DanaSehat!$L$13:$AK$56,AE$4,FALSE))=TRUE,"",
              VLOOKUP($G57,DanaSehat!$L$13:$AK$56,AE$4,FALSE)))</t>
  </si>
  <si>
    <t>=IF(ISNUMBER($L$6)=FALSE,"",
        IF(ISERROR(VLOOKUP($G57,DanaSehat!$L$13:$AK$56,AF$4,FALSE))=TRUE,"",
              VLOOKUP($G57,DanaSehat!$L$13:$AK$56,AF$4,FALSE)))</t>
  </si>
  <si>
    <t>=IF(ISNUMBER($L$6)=FALSE,"",
IF($C58=0,"",VLOOKUP($E58,DanaSehat!$H$13:$L$56,4,FALSE)))</t>
  </si>
  <si>
    <t>=IF(ISNUMBER($L$6)=FALSE,"",
IF($C58=0,"",VLOOKUP($E58,DanaSehat!$H$13:$L$56,5,FALSE)))</t>
  </si>
  <si>
    <t>=IF(ISNUMBER($L$6)=FALSE,"",
        IF(ISERROR(VLOOKUP($G58,DanaSehat!$L$13:$AK$56,I$4,FALSE))=TRUE,"",
              VLOOKUP($G58,DanaSehat!$L$13:$AK$56,I$4,FALSE)))</t>
  </si>
  <si>
    <t>=IF(ISNUMBER($L$6)=FALSE,"",
        IF(ISERROR(VLOOKUP($G58,DanaSehat!$L$13:$AK$56,J$4,FALSE))=TRUE,"",
              VLOOKUP($G58,DanaSehat!$L$13:$AK$56,J$4,FALSE)))</t>
  </si>
  <si>
    <t>=IF(ISNUMBER($L$6)=FALSE,"",
        IF(ISERROR(VLOOKUP($G58,DanaSehat!$L$13:$AK$56,K$4,FALSE))=TRUE,"",
              VLOOKUP($G58,DanaSehat!$L$13:$AK$56,K$4,FALSE)))</t>
  </si>
  <si>
    <t>=IF(ISNUMBER($L$6)=FALSE,"",
        IF(ISERROR(VLOOKUP($G58,DanaSehat!$L$13:$AK$56,L$4,FALSE))=TRUE,"",
              VLOOKUP($G58,DanaSehat!$L$13:$AK$56,L$4,FALSE)))</t>
  </si>
  <si>
    <t>=IF(ISNUMBER($L$6)=FALSE,"",
        IF(ISERROR(VLOOKUP($G58,DanaSehat!$L$13:$AK$56,M$4,FALSE))=TRUE,"",
              VLOOKUP($G58,DanaSehat!$L$13:$AK$56,M$4,FALSE)))</t>
  </si>
  <si>
    <t>=IF(ISNUMBER($L$6)=FALSE,"",
        IF(ISERROR(VLOOKUP($G58,DanaSehat!$L$13:$AK$56,N$4,FALSE))=TRUE,"",
              VLOOKUP($G58,DanaSehat!$L$13:$AK$56,N$4,FALSE)))</t>
  </si>
  <si>
    <t>=IF(ISNUMBER($L$6)=FALSE,"",
        IF(ISERROR(VLOOKUP($G58,DanaSehat!$L$13:$AK$56,O$4,FALSE))=TRUE,"",
              VLOOKUP($G58,DanaSehat!$L$13:$AK$56,O$4,FALSE)))</t>
  </si>
  <si>
    <t>=IF(ISNUMBER($L$6)=FALSE,"",
        IF(ISERROR(VLOOKUP($G58,DanaSehat!$L$13:$AK$56,P$4,FALSE))=TRUE,"",
              VLOOKUP($G58,DanaSehat!$L$13:$AK$56,P$4,FALSE)))</t>
  </si>
  <si>
    <t>=IF(ISNUMBER($L$6)=FALSE,"",
        IF(ISERROR(VLOOKUP($G58,DanaSehat!$L$13:$AK$56,Q$4,FALSE))=TRUE,"",
              VLOOKUP($G58,DanaSehat!$L$13:$AK$56,Q$4,FALSE)))</t>
  </si>
  <si>
    <t>=IF(ISNUMBER($L$6)=FALSE,"",
        IF(ISERROR(VLOOKUP($G58,DanaSehat!$L$13:$AK$56,R$4,FALSE))=TRUE,"",
              VLOOKUP($G58,DanaSehat!$L$13:$AK$56,R$4,FALSE)))</t>
  </si>
  <si>
    <t>=IF(ISNUMBER($L$6)=FALSE,"",
        IF(ISERROR(VLOOKUP($G58,DanaSehat!$L$13:$AK$56,S$4,FALSE))=TRUE,"",
              VLOOKUP($G58,DanaSehat!$L$13:$AK$56,S$4,FALSE)))</t>
  </si>
  <si>
    <t>=IF(ISNUMBER($L$6)=FALSE,"",
        IF(ISERROR(VLOOKUP($G58,DanaSehat!$L$13:$AK$56,T$4,FALSE))=TRUE,"",
              VLOOKUP($G58,DanaSehat!$L$13:$AK$56,T$4,FALSE)))</t>
  </si>
  <si>
    <t>=IF(ISNUMBER($L$6)=FALSE,"",
        IF(ISERROR(VLOOKUP($G58,DanaSehat!$L$13:$AK$56,U$4,FALSE))=TRUE,"",
              VLOOKUP($G58,DanaSehat!$L$13:$AK$56,U$4,FALSE)))</t>
  </si>
  <si>
    <t>=IF(ISNUMBER($L$6)=FALSE,"",
        IF(ISERROR(VLOOKUP($G58,DanaSehat!$L$13:$AK$56,V$4,FALSE))=TRUE,"",
              VLOOKUP($G58,DanaSehat!$L$13:$AK$56,V$4,FALSE)))</t>
  </si>
  <si>
    <t>=IF(ISNUMBER($L$6)=FALSE,"",
        IF(ISERROR(VLOOKUP($G58,DanaSehat!$L$13:$AK$56,W$4,FALSE))=TRUE,"",
              VLOOKUP($G58,DanaSehat!$L$13:$AK$56,W$4,FALSE)))</t>
  </si>
  <si>
    <t>=IF(ISNUMBER($L$6)=FALSE,"",
        IF(ISERROR(VLOOKUP($G58,DanaSehat!$L$13:$AK$56,X$4,FALSE))=TRUE,"",
              VLOOKUP($G58,DanaSehat!$L$13:$AK$56,X$4,FALSE)))</t>
  </si>
  <si>
    <t>=IF(ISNUMBER($L$6)=FALSE,"",
        IF(ISERROR(VLOOKUP($G58,DanaSehat!$L$13:$AK$56,Y$4,FALSE))=TRUE,"",
              VLOOKUP($G58,DanaSehat!$L$13:$AK$56,Y$4,FALSE)))</t>
  </si>
  <si>
    <t>=IF(ISNUMBER($L$6)=FALSE,"",
        IF(ISERROR(VLOOKUP($G58,DanaSehat!$L$13:$AK$56,Z$4,FALSE))=TRUE,"",
              VLOOKUP($G58,DanaSehat!$L$13:$AK$56,Z$4,FALSE)))</t>
  </si>
  <si>
    <t>=IF(ISNUMBER($L$6)=FALSE,"",
        IF(ISERROR(VLOOKUP($G58,DanaSehat!$L$13:$AK$56,AA$4,FALSE))=TRUE,"",
              VLOOKUP($G58,DanaSehat!$L$13:$AK$56,AA$4,FALSE)))</t>
  </si>
  <si>
    <t>=IF(ISNUMBER($L$6)=FALSE,"",
        IF(ISERROR(VLOOKUP($G58,DanaSehat!$L$13:$AK$56,AB$4,FALSE))=TRUE,"",
              VLOOKUP($G58,DanaSehat!$L$13:$AK$56,AB$4,FALSE)))</t>
  </si>
  <si>
    <t>=IF(ISNUMBER($L$6)=FALSE,"",
        IF(ISERROR(VLOOKUP($G58,DanaSehat!$L$13:$AK$56,AC$4,FALSE))=TRUE,"",
              VLOOKUP($G58,DanaSehat!$L$13:$AK$56,AC$4,FALSE)))</t>
  </si>
  <si>
    <t>=IF(ISNUMBER($L$6)=FALSE,"",
        IF(ISERROR(VLOOKUP($G58,DanaSehat!$L$13:$AK$56,AD$4,FALSE))=TRUE,"",
              VLOOKUP($G58,DanaSehat!$L$13:$AK$56,AD$4,FALSE)))</t>
  </si>
  <si>
    <t>=IF(ISNUMBER($L$6)=FALSE,"",
        IF(ISERROR(VLOOKUP($G58,DanaSehat!$L$13:$AK$56,AE$4,FALSE))=TRUE,"",
              VLOOKUP($G58,DanaSehat!$L$13:$AK$56,AE$4,FALSE)))</t>
  </si>
  <si>
    <t>=IF(ISNUMBER($L$6)=FALSE,"",
        IF(ISERROR(VLOOKUP($G58,DanaSehat!$L$13:$AK$56,AF$4,FALSE))=TRUE,"",
              VLOOKUP($G58,DanaSehat!$L$13:$AK$56,AF$4,FALSE)))</t>
  </si>
  <si>
    <t>=IF(ISNUMBER($L$6)=FALSE,"",
IF($C59=0,"",VLOOKUP($E59,DanaSehat!$H$13:$L$56,4,FALSE)))</t>
  </si>
  <si>
    <t>=IF(ISNUMBER($L$6)=FALSE,"",
IF($C59=0,"",VLOOKUP($E59,DanaSehat!$H$13:$L$56,5,FALSE)))</t>
  </si>
  <si>
    <t>=IF(ISNUMBER($L$6)=FALSE,"",
        IF(ISERROR(VLOOKUP($G59,DanaSehat!$L$13:$AK$56,I$4,FALSE))=TRUE,"",
              VLOOKUP($G59,DanaSehat!$L$13:$AK$56,I$4,FALSE)))</t>
  </si>
  <si>
    <t>=IF(ISNUMBER($L$6)=FALSE,"",
        IF(ISERROR(VLOOKUP($G59,DanaSehat!$L$13:$AK$56,J$4,FALSE))=TRUE,"",
              VLOOKUP($G59,DanaSehat!$L$13:$AK$56,J$4,FALSE)))</t>
  </si>
  <si>
    <t>=IF(ISNUMBER($L$6)=FALSE,"",
        IF(ISERROR(VLOOKUP($G59,DanaSehat!$L$13:$AK$56,K$4,FALSE))=TRUE,"",
              VLOOKUP($G59,DanaSehat!$L$13:$AK$56,K$4,FALSE)))</t>
  </si>
  <si>
    <t>=IF(ISNUMBER($L$6)=FALSE,"",
        IF(ISERROR(VLOOKUP($G59,DanaSehat!$L$13:$AK$56,L$4,FALSE))=TRUE,"",
              VLOOKUP($G59,DanaSehat!$L$13:$AK$56,L$4,FALSE)))</t>
  </si>
  <si>
    <t>=IF(ISNUMBER($L$6)=FALSE,"",
        IF(ISERROR(VLOOKUP($G59,DanaSehat!$L$13:$AK$56,M$4,FALSE))=TRUE,"",
              VLOOKUP($G59,DanaSehat!$L$13:$AK$56,M$4,FALSE)))</t>
  </si>
  <si>
    <t>=IF(ISNUMBER($L$6)=FALSE,"",
        IF(ISERROR(VLOOKUP($G59,DanaSehat!$L$13:$AK$56,N$4,FALSE))=TRUE,"",
              VLOOKUP($G59,DanaSehat!$L$13:$AK$56,N$4,FALSE)))</t>
  </si>
  <si>
    <t>=IF(ISNUMBER($L$6)=FALSE,"",
        IF(ISERROR(VLOOKUP($G59,DanaSehat!$L$13:$AK$56,O$4,FALSE))=TRUE,"",
              VLOOKUP($G59,DanaSehat!$L$13:$AK$56,O$4,FALSE)))</t>
  </si>
  <si>
    <t>=IF(ISNUMBER($L$6)=FALSE,"",
        IF(ISERROR(VLOOKUP($G59,DanaSehat!$L$13:$AK$56,P$4,FALSE))=TRUE,"",
              VLOOKUP($G59,DanaSehat!$L$13:$AK$56,P$4,FALSE)))</t>
  </si>
  <si>
    <t>=IF(ISNUMBER($L$6)=FALSE,"",
        IF(ISERROR(VLOOKUP($G59,DanaSehat!$L$13:$AK$56,Q$4,FALSE))=TRUE,"",
              VLOOKUP($G59,DanaSehat!$L$13:$AK$56,Q$4,FALSE)))</t>
  </si>
  <si>
    <t>=IF(ISNUMBER($L$6)=FALSE,"",
        IF(ISERROR(VLOOKUP($G59,DanaSehat!$L$13:$AK$56,R$4,FALSE))=TRUE,"",
              VLOOKUP($G59,DanaSehat!$L$13:$AK$56,R$4,FALSE)))</t>
  </si>
  <si>
    <t>=IF(ISNUMBER($L$6)=FALSE,"",
        IF(ISERROR(VLOOKUP($G59,DanaSehat!$L$13:$AK$56,S$4,FALSE))=TRUE,"",
              VLOOKUP($G59,DanaSehat!$L$13:$AK$56,S$4,FALSE)))</t>
  </si>
  <si>
    <t>=IF(ISNUMBER($L$6)=FALSE,"",
        IF(ISERROR(VLOOKUP($G59,DanaSehat!$L$13:$AK$56,T$4,FALSE))=TRUE,"",
              VLOOKUP($G59,DanaSehat!$L$13:$AK$56,T$4,FALSE)))</t>
  </si>
  <si>
    <t>=IF(ISNUMBER($L$6)=FALSE,"",
        IF(ISERROR(VLOOKUP($G59,DanaSehat!$L$13:$AK$56,U$4,FALSE))=TRUE,"",
              VLOOKUP($G59,DanaSehat!$L$13:$AK$56,U$4,FALSE)))</t>
  </si>
  <si>
    <t>=IF(ISNUMBER($L$6)=FALSE,"",
        IF(ISERROR(VLOOKUP($G59,DanaSehat!$L$13:$AK$56,V$4,FALSE))=TRUE,"",
              VLOOKUP($G59,DanaSehat!$L$13:$AK$56,V$4,FALSE)))</t>
  </si>
  <si>
    <t>=IF(ISNUMBER($L$6)=FALSE,"",
        IF(ISERROR(VLOOKUP($G59,DanaSehat!$L$13:$AK$56,W$4,FALSE))=TRUE,"",
              VLOOKUP($G59,DanaSehat!$L$13:$AK$56,W$4,FALSE)))</t>
  </si>
  <si>
    <t>=IF(ISNUMBER($L$6)=FALSE,"",
        IF(ISERROR(VLOOKUP($G59,DanaSehat!$L$13:$AK$56,X$4,FALSE))=TRUE,"",
              VLOOKUP($G59,DanaSehat!$L$13:$AK$56,X$4,FALSE)))</t>
  </si>
  <si>
    <t>=IF(ISNUMBER($L$6)=FALSE,"",
        IF(ISERROR(VLOOKUP($G59,DanaSehat!$L$13:$AK$56,Y$4,FALSE))=TRUE,"",
              VLOOKUP($G59,DanaSehat!$L$13:$AK$56,Y$4,FALSE)))</t>
  </si>
  <si>
    <t>=IF(ISNUMBER($L$6)=FALSE,"",
        IF(ISERROR(VLOOKUP($G59,DanaSehat!$L$13:$AK$56,Z$4,FALSE))=TRUE,"",
              VLOOKUP($G59,DanaSehat!$L$13:$AK$56,Z$4,FALSE)))</t>
  </si>
  <si>
    <t>=IF(ISNUMBER($L$6)=FALSE,"",
        IF(ISERROR(VLOOKUP($G59,DanaSehat!$L$13:$AK$56,AA$4,FALSE))=TRUE,"",
              VLOOKUP($G59,DanaSehat!$L$13:$AK$56,AA$4,FALSE)))</t>
  </si>
  <si>
    <t>=IF(ISNUMBER($L$6)=FALSE,"",
        IF(ISERROR(VLOOKUP($G59,DanaSehat!$L$13:$AK$56,AB$4,FALSE))=TRUE,"",
              VLOOKUP($G59,DanaSehat!$L$13:$AK$56,AB$4,FALSE)))</t>
  </si>
  <si>
    <t>=IF(ISNUMBER($L$6)=FALSE,"",
        IF(ISERROR(VLOOKUP($G59,DanaSehat!$L$13:$AK$56,AC$4,FALSE))=TRUE,"",
              VLOOKUP($G59,DanaSehat!$L$13:$AK$56,AC$4,FALSE)))</t>
  </si>
  <si>
    <t>=IF(ISNUMBER($L$6)=FALSE,"",
        IF(ISERROR(VLOOKUP($G59,DanaSehat!$L$13:$AK$56,AD$4,FALSE))=TRUE,"",
              VLOOKUP($G59,DanaSehat!$L$13:$AK$56,AD$4,FALSE)))</t>
  </si>
  <si>
    <t>=IF(ISNUMBER($L$6)=FALSE,"",
        IF(ISERROR(VLOOKUP($G59,DanaSehat!$L$13:$AK$56,AE$4,FALSE))=TRUE,"",
              VLOOKUP($G59,DanaSehat!$L$13:$AK$56,AE$4,FALSE)))</t>
  </si>
  <si>
    <t>=IF(ISNUMBER($L$6)=FALSE,"",
        IF(ISERROR(VLOOKUP($G59,DanaSehat!$L$13:$AK$56,AF$4,FALSE))=TRUE,"",
              VLOOKUP($G59,DanaSehat!$L$13:$AK$56,AF$4,FALSE)))</t>
  </si>
  <si>
    <t>=IF(ISNUMBER($L$6)=FALSE,"",
IF($C60=0,"",VLOOKUP($E60,DanaSehat!$H$13:$L$56,4,FALSE)))</t>
  </si>
  <si>
    <t>=IF(ISNUMBER($L$6)=FALSE,"",
IF($C60=0,"",VLOOKUP($E60,DanaSehat!$H$13:$L$56,5,FALSE)))</t>
  </si>
  <si>
    <t>=IF(ISNUMBER($L$6)=FALSE,"",
        IF(ISERROR(VLOOKUP($G60,DanaSehat!$L$13:$AK$56,I$4,FALSE))=TRUE,"",
              VLOOKUP($G60,DanaSehat!$L$13:$AK$56,I$4,FALSE)))</t>
  </si>
  <si>
    <t>=IF(ISNUMBER($L$6)=FALSE,"",
        IF(ISERROR(VLOOKUP($G60,DanaSehat!$L$13:$AK$56,J$4,FALSE))=TRUE,"",
              VLOOKUP($G60,DanaSehat!$L$13:$AK$56,J$4,FALSE)))</t>
  </si>
  <si>
    <t>=IF(ISNUMBER($L$6)=FALSE,"",
        IF(ISERROR(VLOOKUP($G60,DanaSehat!$L$13:$AK$56,K$4,FALSE))=TRUE,"",
              VLOOKUP($G60,DanaSehat!$L$13:$AK$56,K$4,FALSE)))</t>
  </si>
  <si>
    <t>=IF(ISNUMBER($L$6)=FALSE,"",
        IF(ISERROR(VLOOKUP($G60,DanaSehat!$L$13:$AK$56,L$4,FALSE))=TRUE,"",
              VLOOKUP($G60,DanaSehat!$L$13:$AK$56,L$4,FALSE)))</t>
  </si>
  <si>
    <t>=IF(ISNUMBER($L$6)=FALSE,"",
        IF(ISERROR(VLOOKUP($G60,DanaSehat!$L$13:$AK$56,M$4,FALSE))=TRUE,"",
              VLOOKUP($G60,DanaSehat!$L$13:$AK$56,M$4,FALSE)))</t>
  </si>
  <si>
    <t>=IF(ISNUMBER($L$6)=FALSE,"",
        IF(ISERROR(VLOOKUP($G60,DanaSehat!$L$13:$AK$56,N$4,FALSE))=TRUE,"",
              VLOOKUP($G60,DanaSehat!$L$13:$AK$56,N$4,FALSE)))</t>
  </si>
  <si>
    <t>=IF(ISNUMBER($L$6)=FALSE,"",
        IF(ISERROR(VLOOKUP($G60,DanaSehat!$L$13:$AK$56,O$4,FALSE))=TRUE,"",
              VLOOKUP($G60,DanaSehat!$L$13:$AK$56,O$4,FALSE)))</t>
  </si>
  <si>
    <t>=IF(ISNUMBER($L$6)=FALSE,"",
        IF(ISERROR(VLOOKUP($G60,DanaSehat!$L$13:$AK$56,P$4,FALSE))=TRUE,"",
              VLOOKUP($G60,DanaSehat!$L$13:$AK$56,P$4,FALSE)))</t>
  </si>
  <si>
    <t>=IF(ISNUMBER($L$6)=FALSE,"",
        IF(ISERROR(VLOOKUP($G60,DanaSehat!$L$13:$AK$56,Q$4,FALSE))=TRUE,"",
              VLOOKUP($G60,DanaSehat!$L$13:$AK$56,Q$4,FALSE)))</t>
  </si>
  <si>
    <t>=IF(ISNUMBER($L$6)=FALSE,"",
        IF(ISERROR(VLOOKUP($G60,DanaSehat!$L$13:$AK$56,R$4,FALSE))=TRUE,"",
              VLOOKUP($G60,DanaSehat!$L$13:$AK$56,R$4,FALSE)))</t>
  </si>
  <si>
    <t>=IF(ISNUMBER($L$6)=FALSE,"",
        IF(ISERROR(VLOOKUP($G60,DanaSehat!$L$13:$AK$56,S$4,FALSE))=TRUE,"",
              VLOOKUP($G60,DanaSehat!$L$13:$AK$56,S$4,FALSE)))</t>
  </si>
  <si>
    <t>=IF(ISNUMBER($L$6)=FALSE,"",
        IF(ISERROR(VLOOKUP($G60,DanaSehat!$L$13:$AK$56,T$4,FALSE))=TRUE,"",
              VLOOKUP($G60,DanaSehat!$L$13:$AK$56,T$4,FALSE)))</t>
  </si>
  <si>
    <t>=IF(ISNUMBER($L$6)=FALSE,"",
        IF(ISERROR(VLOOKUP($G60,DanaSehat!$L$13:$AK$56,U$4,FALSE))=TRUE,"",
              VLOOKUP($G60,DanaSehat!$L$13:$AK$56,U$4,FALSE)))</t>
  </si>
  <si>
    <t>=IF(ISNUMBER($L$6)=FALSE,"",
        IF(ISERROR(VLOOKUP($G60,DanaSehat!$L$13:$AK$56,V$4,FALSE))=TRUE,"",
              VLOOKUP($G60,DanaSehat!$L$13:$AK$56,V$4,FALSE)))</t>
  </si>
  <si>
    <t>=IF(ISNUMBER($L$6)=FALSE,"",
        IF(ISERROR(VLOOKUP($G60,DanaSehat!$L$13:$AK$56,W$4,FALSE))=TRUE,"",
              VLOOKUP($G60,DanaSehat!$L$13:$AK$56,W$4,FALSE)))</t>
  </si>
  <si>
    <t>=IF(ISNUMBER($L$6)=FALSE,"",
        IF(ISERROR(VLOOKUP($G60,DanaSehat!$L$13:$AK$56,X$4,FALSE))=TRUE,"",
              VLOOKUP($G60,DanaSehat!$L$13:$AK$56,X$4,FALSE)))</t>
  </si>
  <si>
    <t>=IF(ISNUMBER($L$6)=FALSE,"",
        IF(ISERROR(VLOOKUP($G60,DanaSehat!$L$13:$AK$56,Y$4,FALSE))=TRUE,"",
              VLOOKUP($G60,DanaSehat!$L$13:$AK$56,Y$4,FALSE)))</t>
  </si>
  <si>
    <t>=IF(ISNUMBER($L$6)=FALSE,"",
        IF(ISERROR(VLOOKUP($G60,DanaSehat!$L$13:$AK$56,Z$4,FALSE))=TRUE,"",
              VLOOKUP($G60,DanaSehat!$L$13:$AK$56,Z$4,FALSE)))</t>
  </si>
  <si>
    <t>=IF(ISNUMBER($L$6)=FALSE,"",
        IF(ISERROR(VLOOKUP($G60,DanaSehat!$L$13:$AK$56,AA$4,FALSE))=TRUE,"",
              VLOOKUP($G60,DanaSehat!$L$13:$AK$56,AA$4,FALSE)))</t>
  </si>
  <si>
    <t>=IF(ISNUMBER($L$6)=FALSE,"",
        IF(ISERROR(VLOOKUP($G60,DanaSehat!$L$13:$AK$56,AB$4,FALSE))=TRUE,"",
              VLOOKUP($G60,DanaSehat!$L$13:$AK$56,AB$4,FALSE)))</t>
  </si>
  <si>
    <t>=IF(ISNUMBER($L$6)=FALSE,"",
        IF(ISERROR(VLOOKUP($G60,DanaSehat!$L$13:$AK$56,AC$4,FALSE))=TRUE,"",
              VLOOKUP($G60,DanaSehat!$L$13:$AK$56,AC$4,FALSE)))</t>
  </si>
  <si>
    <t>=IF(ISNUMBER($L$6)=FALSE,"",
        IF(ISERROR(VLOOKUP($G60,DanaSehat!$L$13:$AK$56,AD$4,FALSE))=TRUE,"",
              VLOOKUP($G60,DanaSehat!$L$13:$AK$56,AD$4,FALSE)))</t>
  </si>
  <si>
    <t>=IF(ISNUMBER($L$6)=FALSE,"",
        IF(ISERROR(VLOOKUP($G60,DanaSehat!$L$13:$AK$56,AE$4,FALSE))=TRUE,"",
              VLOOKUP($G60,DanaSehat!$L$13:$AK$56,AE$4,FALSE)))</t>
  </si>
  <si>
    <t>=IF(ISNUMBER($L$6)=FALSE,"",
        IF(ISERROR(VLOOKUP($G60,DanaSehat!$L$13:$AK$56,AF$4,FALSE))=TRUE,"",
              VLOOKUP($G60,DanaSehat!$L$13:$AK$56,AF$4,FALSE)))</t>
  </si>
  <si>
    <t>=IF(ISNUMBER($L$6)=FALSE,"",
IF($C61=0,"",VLOOKUP($E61,DanaSehat!$H$13:$L$56,4,FALSE)))</t>
  </si>
  <si>
    <t>=IF(ISNUMBER($L$6)=FALSE,"",
IF($C61=0,"",VLOOKUP($E61,DanaSehat!$H$13:$L$56,5,FALSE)))</t>
  </si>
  <si>
    <t>=IF(ISNUMBER($L$6)=FALSE,"",
        IF(ISERROR(VLOOKUP($G61,DanaSehat!$L$13:$AK$56,I$4,FALSE))=TRUE,"",
              VLOOKUP($G61,DanaSehat!$L$13:$AK$56,I$4,FALSE)))</t>
  </si>
  <si>
    <t>=IF(ISNUMBER($L$6)=FALSE,"",
        IF(ISERROR(VLOOKUP($G61,DanaSehat!$L$13:$AK$56,J$4,FALSE))=TRUE,"",
              VLOOKUP($G61,DanaSehat!$L$13:$AK$56,J$4,FALSE)))</t>
  </si>
  <si>
    <t>=IF(ISNUMBER($L$6)=FALSE,"",
        IF(ISERROR(VLOOKUP($G61,DanaSehat!$L$13:$AK$56,K$4,FALSE))=TRUE,"",
              VLOOKUP($G61,DanaSehat!$L$13:$AK$56,K$4,FALSE)))</t>
  </si>
  <si>
    <t>=IF(ISNUMBER($L$6)=FALSE,"",
        IF(ISERROR(VLOOKUP($G61,DanaSehat!$L$13:$AK$56,L$4,FALSE))=TRUE,"",
              VLOOKUP($G61,DanaSehat!$L$13:$AK$56,L$4,FALSE)))</t>
  </si>
  <si>
    <t>=IF(ISNUMBER($L$6)=FALSE,"",
        IF(ISERROR(VLOOKUP($G61,DanaSehat!$L$13:$AK$56,M$4,FALSE))=TRUE,"",
              VLOOKUP($G61,DanaSehat!$L$13:$AK$56,M$4,FALSE)))</t>
  </si>
  <si>
    <t>=IF(ISNUMBER($L$6)=FALSE,"",
        IF(ISERROR(VLOOKUP($G61,DanaSehat!$L$13:$AK$56,N$4,FALSE))=TRUE,"",
              VLOOKUP($G61,DanaSehat!$L$13:$AK$56,N$4,FALSE)))</t>
  </si>
  <si>
    <t>=IF(ISNUMBER($L$6)=FALSE,"",
        IF(ISERROR(VLOOKUP($G61,DanaSehat!$L$13:$AK$56,O$4,FALSE))=TRUE,"",
              VLOOKUP($G61,DanaSehat!$L$13:$AK$56,O$4,FALSE)))</t>
  </si>
  <si>
    <t>=IF(ISNUMBER($L$6)=FALSE,"",
        IF(ISERROR(VLOOKUP($G61,DanaSehat!$L$13:$AK$56,P$4,FALSE))=TRUE,"",
              VLOOKUP($G61,DanaSehat!$L$13:$AK$56,P$4,FALSE)))</t>
  </si>
  <si>
    <t>=IF(ISNUMBER($L$6)=FALSE,"",
        IF(ISERROR(VLOOKUP($G61,DanaSehat!$L$13:$AK$56,Q$4,FALSE))=TRUE,"",
              VLOOKUP($G61,DanaSehat!$L$13:$AK$56,Q$4,FALSE)))</t>
  </si>
  <si>
    <t>=IF(ISNUMBER($L$6)=FALSE,"",
        IF(ISERROR(VLOOKUP($G61,DanaSehat!$L$13:$AK$56,R$4,FALSE))=TRUE,"",
              VLOOKUP($G61,DanaSehat!$L$13:$AK$56,R$4,FALSE)))</t>
  </si>
  <si>
    <t>=IF(ISNUMBER($L$6)=FALSE,"",
        IF(ISERROR(VLOOKUP($G61,DanaSehat!$L$13:$AK$56,S$4,FALSE))=TRUE,"",
              VLOOKUP($G61,DanaSehat!$L$13:$AK$56,S$4,FALSE)))</t>
  </si>
  <si>
    <t>=IF(ISNUMBER($L$6)=FALSE,"",
        IF(ISERROR(VLOOKUP($G61,DanaSehat!$L$13:$AK$56,T$4,FALSE))=TRUE,"",
              VLOOKUP($G61,DanaSehat!$L$13:$AK$56,T$4,FALSE)))</t>
  </si>
  <si>
    <t>=IF(ISNUMBER($L$6)=FALSE,"",
        IF(ISERROR(VLOOKUP($G61,DanaSehat!$L$13:$AK$56,U$4,FALSE))=TRUE,"",
              VLOOKUP($G61,DanaSehat!$L$13:$AK$56,U$4,FALSE)))</t>
  </si>
  <si>
    <t>=IF(ISNUMBER($L$6)=FALSE,"",
        IF(ISERROR(VLOOKUP($G61,DanaSehat!$L$13:$AK$56,V$4,FALSE))=TRUE,"",
              VLOOKUP($G61,DanaSehat!$L$13:$AK$56,V$4,FALSE)))</t>
  </si>
  <si>
    <t>=IF(ISNUMBER($L$6)=FALSE,"",
        IF(ISERROR(VLOOKUP($G61,DanaSehat!$L$13:$AK$56,W$4,FALSE))=TRUE,"",
              VLOOKUP($G61,DanaSehat!$L$13:$AK$56,W$4,FALSE)))</t>
  </si>
  <si>
    <t>=IF(ISNUMBER($L$6)=FALSE,"",
        IF(ISERROR(VLOOKUP($G61,DanaSehat!$L$13:$AK$56,X$4,FALSE))=TRUE,"",
              VLOOKUP($G61,DanaSehat!$L$13:$AK$56,X$4,FALSE)))</t>
  </si>
  <si>
    <t>=IF(ISNUMBER($L$6)=FALSE,"",
        IF(ISERROR(VLOOKUP($G61,DanaSehat!$L$13:$AK$56,Y$4,FALSE))=TRUE,"",
              VLOOKUP($G61,DanaSehat!$L$13:$AK$56,Y$4,FALSE)))</t>
  </si>
  <si>
    <t>=IF(ISNUMBER($L$6)=FALSE,"",
        IF(ISERROR(VLOOKUP($G61,DanaSehat!$L$13:$AK$56,Z$4,FALSE))=TRUE,"",
              VLOOKUP($G61,DanaSehat!$L$13:$AK$56,Z$4,FALSE)))</t>
  </si>
  <si>
    <t>=IF(ISNUMBER($L$6)=FALSE,"",
        IF(ISERROR(VLOOKUP($G61,DanaSehat!$L$13:$AK$56,AA$4,FALSE))=TRUE,"",
              VLOOKUP($G61,DanaSehat!$L$13:$AK$56,AA$4,FALSE)))</t>
  </si>
  <si>
    <t>=IF(ISNUMBER($L$6)=FALSE,"",
        IF(ISERROR(VLOOKUP($G61,DanaSehat!$L$13:$AK$56,AB$4,FALSE))=TRUE,"",
              VLOOKUP($G61,DanaSehat!$L$13:$AK$56,AB$4,FALSE)))</t>
  </si>
  <si>
    <t>=IF(ISNUMBER($L$6)=FALSE,"",
        IF(ISERROR(VLOOKUP($G61,DanaSehat!$L$13:$AK$56,AC$4,FALSE))=TRUE,"",
              VLOOKUP($G61,DanaSehat!$L$13:$AK$56,AC$4,FALSE)))</t>
  </si>
  <si>
    <t>=IF(ISNUMBER($L$6)=FALSE,"",
        IF(ISERROR(VLOOKUP($G61,DanaSehat!$L$13:$AK$56,AD$4,FALSE))=TRUE,"",
              VLOOKUP($G61,DanaSehat!$L$13:$AK$56,AD$4,FALSE)))</t>
  </si>
  <si>
    <t>=IF(ISNUMBER($L$6)=FALSE,"",
        IF(ISERROR(VLOOKUP($G61,DanaSehat!$L$13:$AK$56,AE$4,FALSE))=TRUE,"",
              VLOOKUP($G61,DanaSehat!$L$13:$AK$56,AE$4,FALSE)))</t>
  </si>
  <si>
    <t>=IF(ISNUMBER($L$6)=FALSE,"",
        IF(ISERROR(VLOOKUP($G61,DanaSehat!$L$13:$AK$56,AF$4,FALSE))=TRUE,"",
              VLOOKUP($G61,DanaSehat!$L$13:$AK$56,AF$4,FALSE)))</t>
  </si>
  <si>
    <t>=IF(ISNUMBER($L$6)=FALSE,"",
IF($C62=0,"",VLOOKUP($E62,DanaSehat!$H$13:$L$56,4,FALSE)))</t>
  </si>
  <si>
    <t>=IF(ISNUMBER($L$6)=FALSE,"",
IF($C62=0,"",VLOOKUP($E62,DanaSehat!$H$13:$L$56,5,FALSE)))</t>
  </si>
  <si>
    <t>=IF(ISNUMBER($L$6)=FALSE,"",
        IF(ISERROR(VLOOKUP($G62,DanaSehat!$L$13:$AK$56,I$4,FALSE))=TRUE,"",
              VLOOKUP($G62,DanaSehat!$L$13:$AK$56,I$4,FALSE)))</t>
  </si>
  <si>
    <t>=IF(ISNUMBER($L$6)=FALSE,"",
        IF(ISERROR(VLOOKUP($G62,DanaSehat!$L$13:$AK$56,J$4,FALSE))=TRUE,"",
              VLOOKUP($G62,DanaSehat!$L$13:$AK$56,J$4,FALSE)))</t>
  </si>
  <si>
    <t>=IF(ISNUMBER($L$6)=FALSE,"",
        IF(ISERROR(VLOOKUP($G62,DanaSehat!$L$13:$AK$56,K$4,FALSE))=TRUE,"",
              VLOOKUP($G62,DanaSehat!$L$13:$AK$56,K$4,FALSE)))</t>
  </si>
  <si>
    <t>=IF(ISNUMBER($L$6)=FALSE,"",
        IF(ISERROR(VLOOKUP($G62,DanaSehat!$L$13:$AK$56,L$4,FALSE))=TRUE,"",
              VLOOKUP($G62,DanaSehat!$L$13:$AK$56,L$4,FALSE)))</t>
  </si>
  <si>
    <t>=IF(ISNUMBER($L$6)=FALSE,"",
        IF(ISERROR(VLOOKUP($G62,DanaSehat!$L$13:$AK$56,M$4,FALSE))=TRUE,"",
              VLOOKUP($G62,DanaSehat!$L$13:$AK$56,M$4,FALSE)))</t>
  </si>
  <si>
    <t>=IF(ISNUMBER($L$6)=FALSE,"",
        IF(ISERROR(VLOOKUP($G62,DanaSehat!$L$13:$AK$56,N$4,FALSE))=TRUE,"",
              VLOOKUP($G62,DanaSehat!$L$13:$AK$56,N$4,FALSE)))</t>
  </si>
  <si>
    <t>=IF(ISNUMBER($L$6)=FALSE,"",
        IF(ISERROR(VLOOKUP($G62,DanaSehat!$L$13:$AK$56,O$4,FALSE))=TRUE,"",
              VLOOKUP($G62,DanaSehat!$L$13:$AK$56,O$4,FALSE)))</t>
  </si>
  <si>
    <t>=IF(ISNUMBER($L$6)=FALSE,"",
        IF(ISERROR(VLOOKUP($G62,DanaSehat!$L$13:$AK$56,P$4,FALSE))=TRUE,"",
              VLOOKUP($G62,DanaSehat!$L$13:$AK$56,P$4,FALSE)))</t>
  </si>
  <si>
    <t>=IF(ISNUMBER($L$6)=FALSE,"",
        IF(ISERROR(VLOOKUP($G62,DanaSehat!$L$13:$AK$56,Q$4,FALSE))=TRUE,"",
              VLOOKUP($G62,DanaSehat!$L$13:$AK$56,Q$4,FALSE)))</t>
  </si>
  <si>
    <t>=IF(ISNUMBER($L$6)=FALSE,"",
        IF(ISERROR(VLOOKUP($G62,DanaSehat!$L$13:$AK$56,R$4,FALSE))=TRUE,"",
              VLOOKUP($G62,DanaSehat!$L$13:$AK$56,R$4,FALSE)))</t>
  </si>
  <si>
    <t>=IF(ISNUMBER($L$6)=FALSE,"",
        IF(ISERROR(VLOOKUP($G62,DanaSehat!$L$13:$AK$56,S$4,FALSE))=TRUE,"",
              VLOOKUP($G62,DanaSehat!$L$13:$AK$56,S$4,FALSE)))</t>
  </si>
  <si>
    <t>=IF(ISNUMBER($L$6)=FALSE,"",
        IF(ISERROR(VLOOKUP($G62,DanaSehat!$L$13:$AK$56,T$4,FALSE))=TRUE,"",
              VLOOKUP($G62,DanaSehat!$L$13:$AK$56,T$4,FALSE)))</t>
  </si>
  <si>
    <t>=IF(ISNUMBER($L$6)=FALSE,"",
        IF(ISERROR(VLOOKUP($G62,DanaSehat!$L$13:$AK$56,U$4,FALSE))=TRUE,"",
              VLOOKUP($G62,DanaSehat!$L$13:$AK$56,U$4,FALSE)))</t>
  </si>
  <si>
    <t>=IF(ISNUMBER($L$6)=FALSE,"",
        IF(ISERROR(VLOOKUP($G62,DanaSehat!$L$13:$AK$56,V$4,FALSE))=TRUE,"",
              VLOOKUP($G62,DanaSehat!$L$13:$AK$56,V$4,FALSE)))</t>
  </si>
  <si>
    <t>=IF(ISNUMBER($L$6)=FALSE,"",
        IF(ISERROR(VLOOKUP($G62,DanaSehat!$L$13:$AK$56,W$4,FALSE))=TRUE,"",
              VLOOKUP($G62,DanaSehat!$L$13:$AK$56,W$4,FALSE)))</t>
  </si>
  <si>
    <t>=IF(ISNUMBER($L$6)=FALSE,"",
        IF(ISERROR(VLOOKUP($G62,DanaSehat!$L$13:$AK$56,X$4,FALSE))=TRUE,"",
              VLOOKUP($G62,DanaSehat!$L$13:$AK$56,X$4,FALSE)))</t>
  </si>
  <si>
    <t>=IF(ISNUMBER($L$6)=FALSE,"",
        IF(ISERROR(VLOOKUP($G62,DanaSehat!$L$13:$AK$56,Y$4,FALSE))=TRUE,"",
              VLOOKUP($G62,DanaSehat!$L$13:$AK$56,Y$4,FALSE)))</t>
  </si>
  <si>
    <t>=IF(ISNUMBER($L$6)=FALSE,"",
        IF(ISERROR(VLOOKUP($G62,DanaSehat!$L$13:$AK$56,Z$4,FALSE))=TRUE,"",
              VLOOKUP($G62,DanaSehat!$L$13:$AK$56,Z$4,FALSE)))</t>
  </si>
  <si>
    <t>=IF(ISNUMBER($L$6)=FALSE,"",
        IF(ISERROR(VLOOKUP($G62,DanaSehat!$L$13:$AK$56,AA$4,FALSE))=TRUE,"",
              VLOOKUP($G62,DanaSehat!$L$13:$AK$56,AA$4,FALSE)))</t>
  </si>
  <si>
    <t>=IF(ISNUMBER($L$6)=FALSE,"",
        IF(ISERROR(VLOOKUP($G62,DanaSehat!$L$13:$AK$56,AB$4,FALSE))=TRUE,"",
              VLOOKUP($G62,DanaSehat!$L$13:$AK$56,AB$4,FALSE)))</t>
  </si>
  <si>
    <t>=IF(ISNUMBER($L$6)=FALSE,"",
        IF(ISERROR(VLOOKUP($G62,DanaSehat!$L$13:$AK$56,AC$4,FALSE))=TRUE,"",
              VLOOKUP($G62,DanaSehat!$L$13:$AK$56,AC$4,FALSE)))</t>
  </si>
  <si>
    <t>=IF(ISNUMBER($L$6)=FALSE,"",
        IF(ISERROR(VLOOKUP($G62,DanaSehat!$L$13:$AK$56,AD$4,FALSE))=TRUE,"",
              VLOOKUP($G62,DanaSehat!$L$13:$AK$56,AD$4,FALSE)))</t>
  </si>
  <si>
    <t>=IF(ISNUMBER($L$6)=FALSE,"",
        IF(ISERROR(VLOOKUP($G62,DanaSehat!$L$13:$AK$56,AE$4,FALSE))=TRUE,"",
              VLOOKUP($G62,DanaSehat!$L$13:$AK$56,AE$4,FALSE)))</t>
  </si>
  <si>
    <t>=IF(ISNUMBER($L$6)=FALSE,"",
        IF(ISERROR(VLOOKUP($G62,DanaSehat!$L$13:$AK$56,AF$4,FALSE))=TRUE,"",
              VLOOKUP($G62,DanaSehat!$L$13:$AK$56,AF$4,FALSE)))</t>
  </si>
  <si>
    <t>=IF(ISNUMBER($L$6)=FALSE,"",
IF($C63=0,"",VLOOKUP($E63,DanaSehat!$H$13:$L$56,4,FALSE)))</t>
  </si>
  <si>
    <t>=IF(ISNUMBER($L$6)=FALSE,"",
IF($C63=0,"",VLOOKUP($E63,DanaSehat!$H$13:$L$56,5,FALSE)))</t>
  </si>
  <si>
    <t>=IF(ISNUMBER($L$6)=FALSE,"",
        IF(ISERROR(VLOOKUP($G63,DanaSehat!$L$13:$AK$56,I$4,FALSE))=TRUE,"",
              VLOOKUP($G63,DanaSehat!$L$13:$AK$56,I$4,FALSE)))</t>
  </si>
  <si>
    <t>=IF(ISNUMBER($L$6)=FALSE,"",
        IF(ISERROR(VLOOKUP($G63,DanaSehat!$L$13:$AK$56,J$4,FALSE))=TRUE,"",
              VLOOKUP($G63,DanaSehat!$L$13:$AK$56,J$4,FALSE)))</t>
  </si>
  <si>
    <t>=IF(ISNUMBER($L$6)=FALSE,"",
        IF(ISERROR(VLOOKUP($G63,DanaSehat!$L$13:$AK$56,K$4,FALSE))=TRUE,"",
              VLOOKUP($G63,DanaSehat!$L$13:$AK$56,K$4,FALSE)))</t>
  </si>
  <si>
    <t>=IF(ISNUMBER($L$6)=FALSE,"",
        IF(ISERROR(VLOOKUP($G63,DanaSehat!$L$13:$AK$56,L$4,FALSE))=TRUE,"",
              VLOOKUP($G63,DanaSehat!$L$13:$AK$56,L$4,FALSE)))</t>
  </si>
  <si>
    <t>=IF(ISNUMBER($L$6)=FALSE,"",
        IF(ISERROR(VLOOKUP($G63,DanaSehat!$L$13:$AK$56,M$4,FALSE))=TRUE,"",
              VLOOKUP($G63,DanaSehat!$L$13:$AK$56,M$4,FALSE)))</t>
  </si>
  <si>
    <t>=IF(ISNUMBER($L$6)=FALSE,"",
        IF(ISERROR(VLOOKUP($G63,DanaSehat!$L$13:$AK$56,N$4,FALSE))=TRUE,"",
              VLOOKUP($G63,DanaSehat!$L$13:$AK$56,N$4,FALSE)))</t>
  </si>
  <si>
    <t>=IF(ISNUMBER($L$6)=FALSE,"",
        IF(ISERROR(VLOOKUP($G63,DanaSehat!$L$13:$AK$56,O$4,FALSE))=TRUE,"",
              VLOOKUP($G63,DanaSehat!$L$13:$AK$56,O$4,FALSE)))</t>
  </si>
  <si>
    <t>=IF(ISNUMBER($L$6)=FALSE,"",
        IF(ISERROR(VLOOKUP($G63,DanaSehat!$L$13:$AK$56,P$4,FALSE))=TRUE,"",
              VLOOKUP($G63,DanaSehat!$L$13:$AK$56,P$4,FALSE)))</t>
  </si>
  <si>
    <t>=IF(ISNUMBER($L$6)=FALSE,"",
        IF(ISERROR(VLOOKUP($G63,DanaSehat!$L$13:$AK$56,Q$4,FALSE))=TRUE,"",
              VLOOKUP($G63,DanaSehat!$L$13:$AK$56,Q$4,FALSE)))</t>
  </si>
  <si>
    <t>=IF(ISNUMBER($L$6)=FALSE,"",
        IF(ISERROR(VLOOKUP($G63,DanaSehat!$L$13:$AK$56,R$4,FALSE))=TRUE,"",
              VLOOKUP($G63,DanaSehat!$L$13:$AK$56,R$4,FALSE)))</t>
  </si>
  <si>
    <t>=IF(ISNUMBER($L$6)=FALSE,"",
        IF(ISERROR(VLOOKUP($G63,DanaSehat!$L$13:$AK$56,S$4,FALSE))=TRUE,"",
              VLOOKUP($G63,DanaSehat!$L$13:$AK$56,S$4,FALSE)))</t>
  </si>
  <si>
    <t>=IF(ISNUMBER($L$6)=FALSE,"",
        IF(ISERROR(VLOOKUP($G63,DanaSehat!$L$13:$AK$56,T$4,FALSE))=TRUE,"",
              VLOOKUP($G63,DanaSehat!$L$13:$AK$56,T$4,FALSE)))</t>
  </si>
  <si>
    <t>=IF(ISNUMBER($L$6)=FALSE,"",
        IF(ISERROR(VLOOKUP($G63,DanaSehat!$L$13:$AK$56,U$4,FALSE))=TRUE,"",
              VLOOKUP($G63,DanaSehat!$L$13:$AK$56,U$4,FALSE)))</t>
  </si>
  <si>
    <t>=IF(ISNUMBER($L$6)=FALSE,"",
        IF(ISERROR(VLOOKUP($G63,DanaSehat!$L$13:$AK$56,V$4,FALSE))=TRUE,"",
              VLOOKUP($G63,DanaSehat!$L$13:$AK$56,V$4,FALSE)))</t>
  </si>
  <si>
    <t>=IF(ISNUMBER($L$6)=FALSE,"",
        IF(ISERROR(VLOOKUP($G63,DanaSehat!$L$13:$AK$56,W$4,FALSE))=TRUE,"",
              VLOOKUP($G63,DanaSehat!$L$13:$AK$56,W$4,FALSE)))</t>
  </si>
  <si>
    <t>=IF(ISNUMBER($L$6)=FALSE,"",
        IF(ISERROR(VLOOKUP($G63,DanaSehat!$L$13:$AK$56,X$4,FALSE))=TRUE,"",
              VLOOKUP($G63,DanaSehat!$L$13:$AK$56,X$4,FALSE)))</t>
  </si>
  <si>
    <t>=IF(ISNUMBER($L$6)=FALSE,"",
        IF(ISERROR(VLOOKUP($G63,DanaSehat!$L$13:$AK$56,Y$4,FALSE))=TRUE,"",
              VLOOKUP($G63,DanaSehat!$L$13:$AK$56,Y$4,FALSE)))</t>
  </si>
  <si>
    <t>=IF(ISNUMBER($L$6)=FALSE,"",
        IF(ISERROR(VLOOKUP($G63,DanaSehat!$L$13:$AK$56,Z$4,FALSE))=TRUE,"",
              VLOOKUP($G63,DanaSehat!$L$13:$AK$56,Z$4,FALSE)))</t>
  </si>
  <si>
    <t>=IF(ISNUMBER($L$6)=FALSE,"",
        IF(ISERROR(VLOOKUP($G63,DanaSehat!$L$13:$AK$56,AA$4,FALSE))=TRUE,"",
              VLOOKUP($G63,DanaSehat!$L$13:$AK$56,AA$4,FALSE)))</t>
  </si>
  <si>
    <t>=IF(ISNUMBER($L$6)=FALSE,"",
        IF(ISERROR(VLOOKUP($G63,DanaSehat!$L$13:$AK$56,AB$4,FALSE))=TRUE,"",
              VLOOKUP($G63,DanaSehat!$L$13:$AK$56,AB$4,FALSE)))</t>
  </si>
  <si>
    <t>=IF(ISNUMBER($L$6)=FALSE,"",
        IF(ISERROR(VLOOKUP($G63,DanaSehat!$L$13:$AK$56,AC$4,FALSE))=TRUE,"",
              VLOOKUP($G63,DanaSehat!$L$13:$AK$56,AC$4,FALSE)))</t>
  </si>
  <si>
    <t>=IF(ISNUMBER($L$6)=FALSE,"",
        IF(ISERROR(VLOOKUP($G63,DanaSehat!$L$13:$AK$56,AD$4,FALSE))=TRUE,"",
              VLOOKUP($G63,DanaSehat!$L$13:$AK$56,AD$4,FALSE)))</t>
  </si>
  <si>
    <t>=IF(ISNUMBER($L$6)=FALSE,"",
        IF(ISERROR(VLOOKUP($G63,DanaSehat!$L$13:$AK$56,AE$4,FALSE))=TRUE,"",
              VLOOKUP($G63,DanaSehat!$L$13:$AK$56,AE$4,FALSE)))</t>
  </si>
  <si>
    <t>=IF(ISNUMBER($L$6)=FALSE,"",
        IF(ISERROR(VLOOKUP($G63,DanaSehat!$L$13:$AK$56,AF$4,FALSE))=TRUE,"",
              VLOOKUP($G63,DanaSehat!$L$13:$AK$56,AF$4,FALSE)))</t>
  </si>
  <si>
    <t>=IF(ISNUMBER($L$6)=FALSE,"",
IF($C64=0,"",VLOOKUP($E64,DanaSehat!$H$13:$L$56,4,FALSE)))</t>
  </si>
  <si>
    <t>=IF(ISNUMBER($L$6)=FALSE,"",
IF($C64=0,"",VLOOKUP($E64,DanaSehat!$H$13:$L$56,5,FALSE)))</t>
  </si>
  <si>
    <t>=IF(ISNUMBER($L$6)=FALSE,"",
        IF(ISERROR(VLOOKUP($G64,DanaSehat!$L$13:$AK$56,I$4,FALSE))=TRUE,"",
              VLOOKUP($G64,DanaSehat!$L$13:$AK$56,I$4,FALSE)))</t>
  </si>
  <si>
    <t>=IF(ISNUMBER($L$6)=FALSE,"",
        IF(ISERROR(VLOOKUP($G64,DanaSehat!$L$13:$AK$56,J$4,FALSE))=TRUE,"",
              VLOOKUP($G64,DanaSehat!$L$13:$AK$56,J$4,FALSE)))</t>
  </si>
  <si>
    <t>=IF(ISNUMBER($L$6)=FALSE,"",
        IF(ISERROR(VLOOKUP($G64,DanaSehat!$L$13:$AK$56,K$4,FALSE))=TRUE,"",
              VLOOKUP($G64,DanaSehat!$L$13:$AK$56,K$4,FALSE)))</t>
  </si>
  <si>
    <t>=IF(ISNUMBER($L$6)=FALSE,"",
        IF(ISERROR(VLOOKUP($G64,DanaSehat!$L$13:$AK$56,L$4,FALSE))=TRUE,"",
              VLOOKUP($G64,DanaSehat!$L$13:$AK$56,L$4,FALSE)))</t>
  </si>
  <si>
    <t>=IF(ISNUMBER($L$6)=FALSE,"",
        IF(ISERROR(VLOOKUP($G64,DanaSehat!$L$13:$AK$56,M$4,FALSE))=TRUE,"",
              VLOOKUP($G64,DanaSehat!$L$13:$AK$56,M$4,FALSE)))</t>
  </si>
  <si>
    <t>=IF(ISNUMBER($L$6)=FALSE,"",
        IF(ISERROR(VLOOKUP($G64,DanaSehat!$L$13:$AK$56,N$4,FALSE))=TRUE,"",
              VLOOKUP($G64,DanaSehat!$L$13:$AK$56,N$4,FALSE)))</t>
  </si>
  <si>
    <t>=IF(ISNUMBER($L$6)=FALSE,"",
        IF(ISERROR(VLOOKUP($G64,DanaSehat!$L$13:$AK$56,O$4,FALSE))=TRUE,"",
              VLOOKUP($G64,DanaSehat!$L$13:$AK$56,O$4,FALSE)))</t>
  </si>
  <si>
    <t>=IF(ISNUMBER($L$6)=FALSE,"",
        IF(ISERROR(VLOOKUP($G64,DanaSehat!$L$13:$AK$56,P$4,FALSE))=TRUE,"",
              VLOOKUP($G64,DanaSehat!$L$13:$AK$56,P$4,FALSE)))</t>
  </si>
  <si>
    <t>=IF(ISNUMBER($L$6)=FALSE,"",
        IF(ISERROR(VLOOKUP($G64,DanaSehat!$L$13:$AK$56,Q$4,FALSE))=TRUE,"",
              VLOOKUP($G64,DanaSehat!$L$13:$AK$56,Q$4,FALSE)))</t>
  </si>
  <si>
    <t>=IF(ISNUMBER($L$6)=FALSE,"",
        IF(ISERROR(VLOOKUP($G64,DanaSehat!$L$13:$AK$56,R$4,FALSE))=TRUE,"",
              VLOOKUP($G64,DanaSehat!$L$13:$AK$56,R$4,FALSE)))</t>
  </si>
  <si>
    <t>=IF(ISNUMBER($L$6)=FALSE,"",
        IF(ISERROR(VLOOKUP($G64,DanaSehat!$L$13:$AK$56,S$4,FALSE))=TRUE,"",
              VLOOKUP($G64,DanaSehat!$L$13:$AK$56,S$4,FALSE)))</t>
  </si>
  <si>
    <t>=IF(ISNUMBER($L$6)=FALSE,"",
        IF(ISERROR(VLOOKUP($G64,DanaSehat!$L$13:$AK$56,T$4,FALSE))=TRUE,"",
              VLOOKUP($G64,DanaSehat!$L$13:$AK$56,T$4,FALSE)))</t>
  </si>
  <si>
    <t>=IF(ISNUMBER($L$6)=FALSE,"",
        IF(ISERROR(VLOOKUP($G64,DanaSehat!$L$13:$AK$56,U$4,FALSE))=TRUE,"",
              VLOOKUP($G64,DanaSehat!$L$13:$AK$56,U$4,FALSE)))</t>
  </si>
  <si>
    <t>=IF(ISNUMBER($L$6)=FALSE,"",
        IF(ISERROR(VLOOKUP($G64,DanaSehat!$L$13:$AK$56,V$4,FALSE))=TRUE,"",
              VLOOKUP($G64,DanaSehat!$L$13:$AK$56,V$4,FALSE)))</t>
  </si>
  <si>
    <t>=IF(ISNUMBER($L$6)=FALSE,"",
        IF(ISERROR(VLOOKUP($G64,DanaSehat!$L$13:$AK$56,W$4,FALSE))=TRUE,"",
              VLOOKUP($G64,DanaSehat!$L$13:$AK$56,W$4,FALSE)))</t>
  </si>
  <si>
    <t>=IF(ISNUMBER($L$6)=FALSE,"",
        IF(ISERROR(VLOOKUP($G64,DanaSehat!$L$13:$AK$56,X$4,FALSE))=TRUE,"",
              VLOOKUP($G64,DanaSehat!$L$13:$AK$56,X$4,FALSE)))</t>
  </si>
  <si>
    <t>=IF(ISNUMBER($L$6)=FALSE,"",
        IF(ISERROR(VLOOKUP($G64,DanaSehat!$L$13:$AK$56,Y$4,FALSE))=TRUE,"",
              VLOOKUP($G64,DanaSehat!$L$13:$AK$56,Y$4,FALSE)))</t>
  </si>
  <si>
    <t>=IF(ISNUMBER($L$6)=FALSE,"",
        IF(ISERROR(VLOOKUP($G64,DanaSehat!$L$13:$AK$56,Z$4,FALSE))=TRUE,"",
              VLOOKUP($G64,DanaSehat!$L$13:$AK$56,Z$4,FALSE)))</t>
  </si>
  <si>
    <t>=IF(ISNUMBER($L$6)=FALSE,"",
        IF(ISERROR(VLOOKUP($G64,DanaSehat!$L$13:$AK$56,AA$4,FALSE))=TRUE,"",
              VLOOKUP($G64,DanaSehat!$L$13:$AK$56,AA$4,FALSE)))</t>
  </si>
  <si>
    <t>=IF(ISNUMBER($L$6)=FALSE,"",
        IF(ISERROR(VLOOKUP($G64,DanaSehat!$L$13:$AK$56,AB$4,FALSE))=TRUE,"",
              VLOOKUP($G64,DanaSehat!$L$13:$AK$56,AB$4,FALSE)))</t>
  </si>
  <si>
    <t>=IF(ISNUMBER($L$6)=FALSE,"",
        IF(ISERROR(VLOOKUP($G64,DanaSehat!$L$13:$AK$56,AC$4,FALSE))=TRUE,"",
              VLOOKUP($G64,DanaSehat!$L$13:$AK$56,AC$4,FALSE)))</t>
  </si>
  <si>
    <t>=IF(ISNUMBER($L$6)=FALSE,"",
        IF(ISERROR(VLOOKUP($G64,DanaSehat!$L$13:$AK$56,AD$4,FALSE))=TRUE,"",
              VLOOKUP($G64,DanaSehat!$L$13:$AK$56,AD$4,FALSE)))</t>
  </si>
  <si>
    <t>=IF(ISNUMBER($L$6)=FALSE,"",
        IF(ISERROR(VLOOKUP($G64,DanaSehat!$L$13:$AK$56,AE$4,FALSE))=TRUE,"",
              VLOOKUP($G64,DanaSehat!$L$13:$AK$56,AE$4,FALSE)))</t>
  </si>
  <si>
    <t>=IF(ISNUMBER($L$6)=FALSE,"",
        IF(ISERROR(VLOOKUP($G64,DanaSehat!$L$13:$AK$56,AF$4,FALSE))=TRUE,"",
              VLOOKUP($G64,DanaSehat!$L$13:$AK$56,AF$4,FALSE)))</t>
  </si>
  <si>
    <t>=IF(ISNUMBER($L$6)=FALSE,"",
IF($C65=0,"",VLOOKUP($E65,DanaSehat!$H$13:$L$56,4,FALSE)))</t>
  </si>
  <si>
    <t>=IF(ISNUMBER($L$6)=FALSE,"",
IF($C65=0,"",VLOOKUP($E65,DanaSehat!$H$13:$L$56,5,FALSE)))</t>
  </si>
  <si>
    <t>=IF(ISNUMBER($L$6)=FALSE,"",
        IF(ISERROR(VLOOKUP($G65,DanaSehat!$L$13:$AK$56,I$4,FALSE))=TRUE,"",
              VLOOKUP($G65,DanaSehat!$L$13:$AK$56,I$4,FALSE)))</t>
  </si>
  <si>
    <t>=IF(ISNUMBER($L$6)=FALSE,"",
        IF(ISERROR(VLOOKUP($G65,DanaSehat!$L$13:$AK$56,J$4,FALSE))=TRUE,"",
              VLOOKUP($G65,DanaSehat!$L$13:$AK$56,J$4,FALSE)))</t>
  </si>
  <si>
    <t>=IF(ISNUMBER($L$6)=FALSE,"",
        IF(ISERROR(VLOOKUP($G65,DanaSehat!$L$13:$AK$56,K$4,FALSE))=TRUE,"",
              VLOOKUP($G65,DanaSehat!$L$13:$AK$56,K$4,FALSE)))</t>
  </si>
  <si>
    <t>=IF(ISNUMBER($L$6)=FALSE,"",
        IF(ISERROR(VLOOKUP($G65,DanaSehat!$L$13:$AK$56,L$4,FALSE))=TRUE,"",
              VLOOKUP($G65,DanaSehat!$L$13:$AK$56,L$4,FALSE)))</t>
  </si>
  <si>
    <t>=IF(ISNUMBER($L$6)=FALSE,"",
        IF(ISERROR(VLOOKUP($G65,DanaSehat!$L$13:$AK$56,M$4,FALSE))=TRUE,"",
              VLOOKUP($G65,DanaSehat!$L$13:$AK$56,M$4,FALSE)))</t>
  </si>
  <si>
    <t>=IF(ISNUMBER($L$6)=FALSE,"",
        IF(ISERROR(VLOOKUP($G65,DanaSehat!$L$13:$AK$56,N$4,FALSE))=TRUE,"",
              VLOOKUP($G65,DanaSehat!$L$13:$AK$56,N$4,FALSE)))</t>
  </si>
  <si>
    <t>=IF(ISNUMBER($L$6)=FALSE,"",
        IF(ISERROR(VLOOKUP($G65,DanaSehat!$L$13:$AK$56,O$4,FALSE))=TRUE,"",
              VLOOKUP($G65,DanaSehat!$L$13:$AK$56,O$4,FALSE)))</t>
  </si>
  <si>
    <t>=IF(ISNUMBER($L$6)=FALSE,"",
        IF(ISERROR(VLOOKUP($G65,DanaSehat!$L$13:$AK$56,P$4,FALSE))=TRUE,"",
              VLOOKUP($G65,DanaSehat!$L$13:$AK$56,P$4,FALSE)))</t>
  </si>
  <si>
    <t>=IF(ISNUMBER($L$6)=FALSE,"",
        IF(ISERROR(VLOOKUP($G65,DanaSehat!$L$13:$AK$56,Q$4,FALSE))=TRUE,"",
              VLOOKUP($G65,DanaSehat!$L$13:$AK$56,Q$4,FALSE)))</t>
  </si>
  <si>
    <t>=IF(ISNUMBER($L$6)=FALSE,"",
        IF(ISERROR(VLOOKUP($G65,DanaSehat!$L$13:$AK$56,R$4,FALSE))=TRUE,"",
              VLOOKUP($G65,DanaSehat!$L$13:$AK$56,R$4,FALSE)))</t>
  </si>
  <si>
    <t>=IF(ISNUMBER($L$6)=FALSE,"",
        IF(ISERROR(VLOOKUP($G65,DanaSehat!$L$13:$AK$56,S$4,FALSE))=TRUE,"",
              VLOOKUP($G65,DanaSehat!$L$13:$AK$56,S$4,FALSE)))</t>
  </si>
  <si>
    <t>=IF(ISNUMBER($L$6)=FALSE,"",
        IF(ISERROR(VLOOKUP($G65,DanaSehat!$L$13:$AK$56,T$4,FALSE))=TRUE,"",
              VLOOKUP($G65,DanaSehat!$L$13:$AK$56,T$4,FALSE)))</t>
  </si>
  <si>
    <t>=IF(ISNUMBER($L$6)=FALSE,"",
        IF(ISERROR(VLOOKUP($G65,DanaSehat!$L$13:$AK$56,U$4,FALSE))=TRUE,"",
              VLOOKUP($G65,DanaSehat!$L$13:$AK$56,U$4,FALSE)))</t>
  </si>
  <si>
    <t>=IF(ISNUMBER($L$6)=FALSE,"",
        IF(ISERROR(VLOOKUP($G65,DanaSehat!$L$13:$AK$56,V$4,FALSE))=TRUE,"",
              VLOOKUP($G65,DanaSehat!$L$13:$AK$56,V$4,FALSE)))</t>
  </si>
  <si>
    <t>=IF(ISNUMBER($L$6)=FALSE,"",
        IF(ISERROR(VLOOKUP($G65,DanaSehat!$L$13:$AK$56,W$4,FALSE))=TRUE,"",
              VLOOKUP($G65,DanaSehat!$L$13:$AK$56,W$4,FALSE)))</t>
  </si>
  <si>
    <t>=IF(ISNUMBER($L$6)=FALSE,"",
        IF(ISERROR(VLOOKUP($G65,DanaSehat!$L$13:$AK$56,X$4,FALSE))=TRUE,"",
              VLOOKUP($G65,DanaSehat!$L$13:$AK$56,X$4,FALSE)))</t>
  </si>
  <si>
    <t>=IF(ISNUMBER($L$6)=FALSE,"",
        IF(ISERROR(VLOOKUP($G65,DanaSehat!$L$13:$AK$56,Y$4,FALSE))=TRUE,"",
              VLOOKUP($G65,DanaSehat!$L$13:$AK$56,Y$4,FALSE)))</t>
  </si>
  <si>
    <t>=IF(ISNUMBER($L$6)=FALSE,"",
        IF(ISERROR(VLOOKUP($G65,DanaSehat!$L$13:$AK$56,Z$4,FALSE))=TRUE,"",
              VLOOKUP($G65,DanaSehat!$L$13:$AK$56,Z$4,FALSE)))</t>
  </si>
  <si>
    <t>=IF(ISNUMBER($L$6)=FALSE,"",
        IF(ISERROR(VLOOKUP($G65,DanaSehat!$L$13:$AK$56,AA$4,FALSE))=TRUE,"",
              VLOOKUP($G65,DanaSehat!$L$13:$AK$56,AA$4,FALSE)))</t>
  </si>
  <si>
    <t>=IF(ISNUMBER($L$6)=FALSE,"",
        IF(ISERROR(VLOOKUP($G65,DanaSehat!$L$13:$AK$56,AB$4,FALSE))=TRUE,"",
              VLOOKUP($G65,DanaSehat!$L$13:$AK$56,AB$4,FALSE)))</t>
  </si>
  <si>
    <t>=IF(ISNUMBER($L$6)=FALSE,"",
        IF(ISERROR(VLOOKUP($G65,DanaSehat!$L$13:$AK$56,AC$4,FALSE))=TRUE,"",
              VLOOKUP($G65,DanaSehat!$L$13:$AK$56,AC$4,FALSE)))</t>
  </si>
  <si>
    <t>=IF(ISNUMBER($L$6)=FALSE,"",
        IF(ISERROR(VLOOKUP($G65,DanaSehat!$L$13:$AK$56,AD$4,FALSE))=TRUE,"",
              VLOOKUP($G65,DanaSehat!$L$13:$AK$56,AD$4,FALSE)))</t>
  </si>
  <si>
    <t>=IF(ISNUMBER($L$6)=FALSE,"",
        IF(ISERROR(VLOOKUP($G65,DanaSehat!$L$13:$AK$56,AE$4,FALSE))=TRUE,"",
              VLOOKUP($G65,DanaSehat!$L$13:$AK$56,AE$4,FALSE)))</t>
  </si>
  <si>
    <t>=IF(ISNUMBER($L$6)=FALSE,"",
        IF(ISERROR(VLOOKUP($G65,DanaSehat!$L$13:$AK$56,AF$4,FALSE))=TRUE,"",
              VLOOKUP($G65,DanaSehat!$L$13:$AK$56,AF$4,FALSE)))</t>
  </si>
  <si>
    <t>=IF(ISNUMBER($L$6)=FALSE,"",
IF($C66=0,"",VLOOKUP($E66,DanaSehat!$H$13:$L$56,4,FALSE)))</t>
  </si>
  <si>
    <t>=IF(ISNUMBER($L$6)=FALSE,"",
IF($C66=0,"",VLOOKUP($E66,DanaSehat!$H$13:$L$56,5,FALSE)))</t>
  </si>
  <si>
    <t>=IF(ISNUMBER($L$6)=FALSE,"",
        IF(ISERROR(VLOOKUP($G66,DanaSehat!$L$13:$AK$56,I$4,FALSE))=TRUE,"",
              VLOOKUP($G66,DanaSehat!$L$13:$AK$56,I$4,FALSE)))</t>
  </si>
  <si>
    <t>=IF(ISNUMBER($L$6)=FALSE,"",
        IF(ISERROR(VLOOKUP($G66,DanaSehat!$L$13:$AK$56,J$4,FALSE))=TRUE,"",
              VLOOKUP($G66,DanaSehat!$L$13:$AK$56,J$4,FALSE)))</t>
  </si>
  <si>
    <t>=IF(ISNUMBER($L$6)=FALSE,"",
        IF(ISERROR(VLOOKUP($G66,DanaSehat!$L$13:$AK$56,K$4,FALSE))=TRUE,"",
              VLOOKUP($G66,DanaSehat!$L$13:$AK$56,K$4,FALSE)))</t>
  </si>
  <si>
    <t>=IF(ISNUMBER($L$6)=FALSE,"",
        IF(ISERROR(VLOOKUP($G66,DanaSehat!$L$13:$AK$56,L$4,FALSE))=TRUE,"",
              VLOOKUP($G66,DanaSehat!$L$13:$AK$56,L$4,FALSE)))</t>
  </si>
  <si>
    <t>=IF(ISNUMBER($L$6)=FALSE,"",
        IF(ISERROR(VLOOKUP($G66,DanaSehat!$L$13:$AK$56,M$4,FALSE))=TRUE,"",
              VLOOKUP($G66,DanaSehat!$L$13:$AK$56,M$4,FALSE)))</t>
  </si>
  <si>
    <t>=IF(ISNUMBER($L$6)=FALSE,"",
        IF(ISERROR(VLOOKUP($G66,DanaSehat!$L$13:$AK$56,N$4,FALSE))=TRUE,"",
              VLOOKUP($G66,DanaSehat!$L$13:$AK$56,N$4,FALSE)))</t>
  </si>
  <si>
    <t>=IF(ISNUMBER($L$6)=FALSE,"",
        IF(ISERROR(VLOOKUP($G66,DanaSehat!$L$13:$AK$56,O$4,FALSE))=TRUE,"",
              VLOOKUP($G66,DanaSehat!$L$13:$AK$56,O$4,FALSE)))</t>
  </si>
  <si>
    <t>=IF(ISNUMBER($L$6)=FALSE,"",
        IF(ISERROR(VLOOKUP($G66,DanaSehat!$L$13:$AK$56,P$4,FALSE))=TRUE,"",
              VLOOKUP($G66,DanaSehat!$L$13:$AK$56,P$4,FALSE)))</t>
  </si>
  <si>
    <t>=IF(ISNUMBER($L$6)=FALSE,"",
        IF(ISERROR(VLOOKUP($G66,DanaSehat!$L$13:$AK$56,Q$4,FALSE))=TRUE,"",
              VLOOKUP($G66,DanaSehat!$L$13:$AK$56,Q$4,FALSE)))</t>
  </si>
  <si>
    <t>=IF(ISNUMBER($L$6)=FALSE,"",
        IF(ISERROR(VLOOKUP($G66,DanaSehat!$L$13:$AK$56,R$4,FALSE))=TRUE,"",
              VLOOKUP($G66,DanaSehat!$L$13:$AK$56,R$4,FALSE)))</t>
  </si>
  <si>
    <t>=IF(ISNUMBER($L$6)=FALSE,"",
        IF(ISERROR(VLOOKUP($G66,DanaSehat!$L$13:$AK$56,S$4,FALSE))=TRUE,"",
              VLOOKUP($G66,DanaSehat!$L$13:$AK$56,S$4,FALSE)))</t>
  </si>
  <si>
    <t>=IF(ISNUMBER($L$6)=FALSE,"",
        IF(ISERROR(VLOOKUP($G66,DanaSehat!$L$13:$AK$56,T$4,FALSE))=TRUE,"",
              VLOOKUP($G66,DanaSehat!$L$13:$AK$56,T$4,FALSE)))</t>
  </si>
  <si>
    <t>=IF(ISNUMBER($L$6)=FALSE,"",
        IF(ISERROR(VLOOKUP($G66,DanaSehat!$L$13:$AK$56,U$4,FALSE))=TRUE,"",
              VLOOKUP($G66,DanaSehat!$L$13:$AK$56,U$4,FALSE)))</t>
  </si>
  <si>
    <t>=IF(ISNUMBER($L$6)=FALSE,"",
        IF(ISERROR(VLOOKUP($G66,DanaSehat!$L$13:$AK$56,V$4,FALSE))=TRUE,"",
              VLOOKUP($G66,DanaSehat!$L$13:$AK$56,V$4,FALSE)))</t>
  </si>
  <si>
    <t>=IF(ISNUMBER($L$6)=FALSE,"",
        IF(ISERROR(VLOOKUP($G66,DanaSehat!$L$13:$AK$56,W$4,FALSE))=TRUE,"",
              VLOOKUP($G66,DanaSehat!$L$13:$AK$56,W$4,FALSE)))</t>
  </si>
  <si>
    <t>=IF(ISNUMBER($L$6)=FALSE,"",
        IF(ISERROR(VLOOKUP($G66,DanaSehat!$L$13:$AK$56,X$4,FALSE))=TRUE,"",
              VLOOKUP($G66,DanaSehat!$L$13:$AK$56,X$4,FALSE)))</t>
  </si>
  <si>
    <t>=IF(ISNUMBER($L$6)=FALSE,"",
        IF(ISERROR(VLOOKUP($G66,DanaSehat!$L$13:$AK$56,Y$4,FALSE))=TRUE,"",
              VLOOKUP($G66,DanaSehat!$L$13:$AK$56,Y$4,FALSE)))</t>
  </si>
  <si>
    <t>=IF(ISNUMBER($L$6)=FALSE,"",
        IF(ISERROR(VLOOKUP($G66,DanaSehat!$L$13:$AK$56,Z$4,FALSE))=TRUE,"",
              VLOOKUP($G66,DanaSehat!$L$13:$AK$56,Z$4,FALSE)))</t>
  </si>
  <si>
    <t>=IF(ISNUMBER($L$6)=FALSE,"",
        IF(ISERROR(VLOOKUP($G66,DanaSehat!$L$13:$AK$56,AA$4,FALSE))=TRUE,"",
              VLOOKUP($G66,DanaSehat!$L$13:$AK$56,AA$4,FALSE)))</t>
  </si>
  <si>
    <t>=IF(ISNUMBER($L$6)=FALSE,"",
        IF(ISERROR(VLOOKUP($G66,DanaSehat!$L$13:$AK$56,AB$4,FALSE))=TRUE,"",
              VLOOKUP($G66,DanaSehat!$L$13:$AK$56,AB$4,FALSE)))</t>
  </si>
  <si>
    <t>=IF(ISNUMBER($L$6)=FALSE,"",
        IF(ISERROR(VLOOKUP($G66,DanaSehat!$L$13:$AK$56,AC$4,FALSE))=TRUE,"",
              VLOOKUP($G66,DanaSehat!$L$13:$AK$56,AC$4,FALSE)))</t>
  </si>
  <si>
    <t>=IF(ISNUMBER($L$6)=FALSE,"",
        IF(ISERROR(VLOOKUP($G66,DanaSehat!$L$13:$AK$56,AD$4,FALSE))=TRUE,"",
              VLOOKUP($G66,DanaSehat!$L$13:$AK$56,AD$4,FALSE)))</t>
  </si>
  <si>
    <t>=IF(ISNUMBER($L$6)=FALSE,"",
        IF(ISERROR(VLOOKUP($G66,DanaSehat!$L$13:$AK$56,AE$4,FALSE))=TRUE,"",
              VLOOKUP($G66,DanaSehat!$L$13:$AK$56,AE$4,FALSE)))</t>
  </si>
  <si>
    <t>=IF(ISNUMBER($L$6)=FALSE,"",
        IF(ISERROR(VLOOKUP($G66,DanaSehat!$L$13:$AK$56,AF$4,FALSE))=TRUE,"",
              VLOOKUP($G66,DanaSehat!$L$13:$AK$56,AF$4,FALSE)))</t>
  </si>
  <si>
    <t>=IF(ISNUMBER($L$6)=FALSE,"",
IF($C67=0,"",VLOOKUP($E67,DanaSehat!$H$13:$L$56,4,FALSE)))</t>
  </si>
  <si>
    <t>=IF(ISNUMBER($L$6)=FALSE,"",
IF($C67=0,"",VLOOKUP($E67,DanaSehat!$H$13:$L$56,5,FALSE)))</t>
  </si>
  <si>
    <t>=IF(ISNUMBER($L$6)=FALSE,"",
        IF(ISERROR(VLOOKUP($G67,DanaSehat!$L$13:$AK$56,I$4,FALSE))=TRUE,"",
              VLOOKUP($G67,DanaSehat!$L$13:$AK$56,I$4,FALSE)))</t>
  </si>
  <si>
    <t>=IF(ISNUMBER($L$6)=FALSE,"",
        IF(ISERROR(VLOOKUP($G67,DanaSehat!$L$13:$AK$56,J$4,FALSE))=TRUE,"",
              VLOOKUP($G67,DanaSehat!$L$13:$AK$56,J$4,FALSE)))</t>
  </si>
  <si>
    <t>=IF(ISNUMBER($L$6)=FALSE,"",
        IF(ISERROR(VLOOKUP($G67,DanaSehat!$L$13:$AK$56,K$4,FALSE))=TRUE,"",
              VLOOKUP($G67,DanaSehat!$L$13:$AK$56,K$4,FALSE)))</t>
  </si>
  <si>
    <t>=IF(ISNUMBER($L$6)=FALSE,"",
        IF(ISERROR(VLOOKUP($G67,DanaSehat!$L$13:$AK$56,L$4,FALSE))=TRUE,"",
              VLOOKUP($G67,DanaSehat!$L$13:$AK$56,L$4,FALSE)))</t>
  </si>
  <si>
    <t>=IF(ISNUMBER($L$6)=FALSE,"",
        IF(ISERROR(VLOOKUP($G67,DanaSehat!$L$13:$AK$56,M$4,FALSE))=TRUE,"",
              VLOOKUP($G67,DanaSehat!$L$13:$AK$56,M$4,FALSE)))</t>
  </si>
  <si>
    <t>=IF(ISNUMBER($L$6)=FALSE,"",
        IF(ISERROR(VLOOKUP($G67,DanaSehat!$L$13:$AK$56,N$4,FALSE))=TRUE,"",
              VLOOKUP($G67,DanaSehat!$L$13:$AK$56,N$4,FALSE)))</t>
  </si>
  <si>
    <t>=IF(ISNUMBER($L$6)=FALSE,"",
        IF(ISERROR(VLOOKUP($G67,DanaSehat!$L$13:$AK$56,O$4,FALSE))=TRUE,"",
              VLOOKUP($G67,DanaSehat!$L$13:$AK$56,O$4,FALSE)))</t>
  </si>
  <si>
    <t>=IF(ISNUMBER($L$6)=FALSE,"",
        IF(ISERROR(VLOOKUP($G67,DanaSehat!$L$13:$AK$56,P$4,FALSE))=TRUE,"",
              VLOOKUP($G67,DanaSehat!$L$13:$AK$56,P$4,FALSE)))</t>
  </si>
  <si>
    <t>=IF(ISNUMBER($L$6)=FALSE,"",
        IF(ISERROR(VLOOKUP($G67,DanaSehat!$L$13:$AK$56,Q$4,FALSE))=TRUE,"",
              VLOOKUP($G67,DanaSehat!$L$13:$AK$56,Q$4,FALSE)))</t>
  </si>
  <si>
    <t>=IF(ISNUMBER($L$6)=FALSE,"",
        IF(ISERROR(VLOOKUP($G67,DanaSehat!$L$13:$AK$56,R$4,FALSE))=TRUE,"",
              VLOOKUP($G67,DanaSehat!$L$13:$AK$56,R$4,FALSE)))</t>
  </si>
  <si>
    <t>=IF(ISNUMBER($L$6)=FALSE,"",
        IF(ISERROR(VLOOKUP($G67,DanaSehat!$L$13:$AK$56,S$4,FALSE))=TRUE,"",
              VLOOKUP($G67,DanaSehat!$L$13:$AK$56,S$4,FALSE)))</t>
  </si>
  <si>
    <t>=IF(ISNUMBER($L$6)=FALSE,"",
        IF(ISERROR(VLOOKUP($G67,DanaSehat!$L$13:$AK$56,T$4,FALSE))=TRUE,"",
              VLOOKUP($G67,DanaSehat!$L$13:$AK$56,T$4,FALSE)))</t>
  </si>
  <si>
    <t>=IF(ISNUMBER($L$6)=FALSE,"",
        IF(ISERROR(VLOOKUP($G67,DanaSehat!$L$13:$AK$56,U$4,FALSE))=TRUE,"",
              VLOOKUP($G67,DanaSehat!$L$13:$AK$56,U$4,FALSE)))</t>
  </si>
  <si>
    <t>=IF(ISNUMBER($L$6)=FALSE,"",
        IF(ISERROR(VLOOKUP($G67,DanaSehat!$L$13:$AK$56,V$4,FALSE))=TRUE,"",
              VLOOKUP($G67,DanaSehat!$L$13:$AK$56,V$4,FALSE)))</t>
  </si>
  <si>
    <t>=IF(ISNUMBER($L$6)=FALSE,"",
        IF(ISERROR(VLOOKUP($G67,DanaSehat!$L$13:$AK$56,W$4,FALSE))=TRUE,"",
              VLOOKUP($G67,DanaSehat!$L$13:$AK$56,W$4,FALSE)))</t>
  </si>
  <si>
    <t>=IF(ISNUMBER($L$6)=FALSE,"",
        IF(ISERROR(VLOOKUP($G67,DanaSehat!$L$13:$AK$56,X$4,FALSE))=TRUE,"",
              VLOOKUP($G67,DanaSehat!$L$13:$AK$56,X$4,FALSE)))</t>
  </si>
  <si>
    <t>=IF(ISNUMBER($L$6)=FALSE,"",
        IF(ISERROR(VLOOKUP($G67,DanaSehat!$L$13:$AK$56,Y$4,FALSE))=TRUE,"",
              VLOOKUP($G67,DanaSehat!$L$13:$AK$56,Y$4,FALSE)))</t>
  </si>
  <si>
    <t>=IF(ISNUMBER($L$6)=FALSE,"",
        IF(ISERROR(VLOOKUP($G67,DanaSehat!$L$13:$AK$56,Z$4,FALSE))=TRUE,"",
              VLOOKUP($G67,DanaSehat!$L$13:$AK$56,Z$4,FALSE)))</t>
  </si>
  <si>
    <t>=IF(ISNUMBER($L$6)=FALSE,"",
        IF(ISERROR(VLOOKUP($G67,DanaSehat!$L$13:$AK$56,AA$4,FALSE))=TRUE,"",
              VLOOKUP($G67,DanaSehat!$L$13:$AK$56,AA$4,FALSE)))</t>
  </si>
  <si>
    <t>=IF(ISNUMBER($L$6)=FALSE,"",
        IF(ISERROR(VLOOKUP($G67,DanaSehat!$L$13:$AK$56,AB$4,FALSE))=TRUE,"",
              VLOOKUP($G67,DanaSehat!$L$13:$AK$56,AB$4,FALSE)))</t>
  </si>
  <si>
    <t>=IF(ISNUMBER($L$6)=FALSE,"",
        IF(ISERROR(VLOOKUP($G67,DanaSehat!$L$13:$AK$56,AC$4,FALSE))=TRUE,"",
              VLOOKUP($G67,DanaSehat!$L$13:$AK$56,AC$4,FALSE)))</t>
  </si>
  <si>
    <t>=IF(ISNUMBER($L$6)=FALSE,"",
        IF(ISERROR(VLOOKUP($G67,DanaSehat!$L$13:$AK$56,AD$4,FALSE))=TRUE,"",
              VLOOKUP($G67,DanaSehat!$L$13:$AK$56,AD$4,FALSE)))</t>
  </si>
  <si>
    <t>=IF(ISNUMBER($L$6)=FALSE,"",
        IF(ISERROR(VLOOKUP($G67,DanaSehat!$L$13:$AK$56,AE$4,FALSE))=TRUE,"",
              VLOOKUP($G67,DanaSehat!$L$13:$AK$56,AE$4,FALSE)))</t>
  </si>
  <si>
    <t>=IF(ISNUMBER($L$6)=FALSE,"",
        IF(ISERROR(VLOOKUP($G67,DanaSehat!$L$13:$AK$56,AF$4,FALSE))=TRUE,"",
              VLOOKUP($G67,DanaSehat!$L$13:$AK$56,AF$4,FALSE)))</t>
  </si>
  <si>
    <t>=IF(ISNUMBER($L$6)=FALSE,"",
IF($C68=0,"",VLOOKUP($E68,DanaSehat!$H$13:$L$56,4,FALSE)))</t>
  </si>
  <si>
    <t>=IF(ISNUMBER($L$6)=FALSE,"",
IF($C68=0,"",VLOOKUP($E68,DanaSehat!$H$13:$L$56,5,FALSE)))</t>
  </si>
  <si>
    <t>=IF(ISNUMBER($L$6)=FALSE,"",
        IF(ISERROR(VLOOKUP($G68,DanaSehat!$L$13:$AK$56,I$4,FALSE))=TRUE,"",
              VLOOKUP($G68,DanaSehat!$L$13:$AK$56,I$4,FALSE)))</t>
  </si>
  <si>
    <t>=IF(ISNUMBER($L$6)=FALSE,"",
        IF(ISERROR(VLOOKUP($G68,DanaSehat!$L$13:$AK$56,J$4,FALSE))=TRUE,"",
              VLOOKUP($G68,DanaSehat!$L$13:$AK$56,J$4,FALSE)))</t>
  </si>
  <si>
    <t>=IF(ISNUMBER($L$6)=FALSE,"",
        IF(ISERROR(VLOOKUP($G68,DanaSehat!$L$13:$AK$56,K$4,FALSE))=TRUE,"",
              VLOOKUP($G68,DanaSehat!$L$13:$AK$56,K$4,FALSE)))</t>
  </si>
  <si>
    <t>=IF(ISNUMBER($L$6)=FALSE,"",
        IF(ISERROR(VLOOKUP($G68,DanaSehat!$L$13:$AK$56,L$4,FALSE))=TRUE,"",
              VLOOKUP($G68,DanaSehat!$L$13:$AK$56,L$4,FALSE)))</t>
  </si>
  <si>
    <t>=IF(ISNUMBER($L$6)=FALSE,"",
        IF(ISERROR(VLOOKUP($G68,DanaSehat!$L$13:$AK$56,M$4,FALSE))=TRUE,"",
              VLOOKUP($G68,DanaSehat!$L$13:$AK$56,M$4,FALSE)))</t>
  </si>
  <si>
    <t>=IF(ISNUMBER($L$6)=FALSE,"",
        IF(ISERROR(VLOOKUP($G68,DanaSehat!$L$13:$AK$56,N$4,FALSE))=TRUE,"",
              VLOOKUP($G68,DanaSehat!$L$13:$AK$56,N$4,FALSE)))</t>
  </si>
  <si>
    <t>=IF(ISNUMBER($L$6)=FALSE,"",
        IF(ISERROR(VLOOKUP($G68,DanaSehat!$L$13:$AK$56,O$4,FALSE))=TRUE,"",
              VLOOKUP($G68,DanaSehat!$L$13:$AK$56,O$4,FALSE)))</t>
  </si>
  <si>
    <t>=IF(ISNUMBER($L$6)=FALSE,"",
        IF(ISERROR(VLOOKUP($G68,DanaSehat!$L$13:$AK$56,P$4,FALSE))=TRUE,"",
              VLOOKUP($G68,DanaSehat!$L$13:$AK$56,P$4,FALSE)))</t>
  </si>
  <si>
    <t>=IF(ISNUMBER($L$6)=FALSE,"",
        IF(ISERROR(VLOOKUP($G68,DanaSehat!$L$13:$AK$56,Q$4,FALSE))=TRUE,"",
              VLOOKUP($G68,DanaSehat!$L$13:$AK$56,Q$4,FALSE)))</t>
  </si>
  <si>
    <t>=IF(ISNUMBER($L$6)=FALSE,"",
        IF(ISERROR(VLOOKUP($G68,DanaSehat!$L$13:$AK$56,R$4,FALSE))=TRUE,"",
              VLOOKUP($G68,DanaSehat!$L$13:$AK$56,R$4,FALSE)))</t>
  </si>
  <si>
    <t>=IF(ISNUMBER($L$6)=FALSE,"",
        IF(ISERROR(VLOOKUP($G68,DanaSehat!$L$13:$AK$56,S$4,FALSE))=TRUE,"",
              VLOOKUP($G68,DanaSehat!$L$13:$AK$56,S$4,FALSE)))</t>
  </si>
  <si>
    <t>=IF(ISNUMBER($L$6)=FALSE,"",
        IF(ISERROR(VLOOKUP($G68,DanaSehat!$L$13:$AK$56,T$4,FALSE))=TRUE,"",
              VLOOKUP($G68,DanaSehat!$L$13:$AK$56,T$4,FALSE)))</t>
  </si>
  <si>
    <t>=IF(ISNUMBER($L$6)=FALSE,"",
        IF(ISERROR(VLOOKUP($G68,DanaSehat!$L$13:$AK$56,U$4,FALSE))=TRUE,"",
              VLOOKUP($G68,DanaSehat!$L$13:$AK$56,U$4,FALSE)))</t>
  </si>
  <si>
    <t>=IF(ISNUMBER($L$6)=FALSE,"",
        IF(ISERROR(VLOOKUP($G68,DanaSehat!$L$13:$AK$56,V$4,FALSE))=TRUE,"",
              VLOOKUP($G68,DanaSehat!$L$13:$AK$56,V$4,FALSE)))</t>
  </si>
  <si>
    <t>=IF(ISNUMBER($L$6)=FALSE,"",
        IF(ISERROR(VLOOKUP($G68,DanaSehat!$L$13:$AK$56,W$4,FALSE))=TRUE,"",
              VLOOKUP($G68,DanaSehat!$L$13:$AK$56,W$4,FALSE)))</t>
  </si>
  <si>
    <t>=IF(ISNUMBER($L$6)=FALSE,"",
        IF(ISERROR(VLOOKUP($G68,DanaSehat!$L$13:$AK$56,X$4,FALSE))=TRUE,"",
              VLOOKUP($G68,DanaSehat!$L$13:$AK$56,X$4,FALSE)))</t>
  </si>
  <si>
    <t>=IF(ISNUMBER($L$6)=FALSE,"",
        IF(ISERROR(VLOOKUP($G68,DanaSehat!$L$13:$AK$56,Y$4,FALSE))=TRUE,"",
              VLOOKUP($G68,DanaSehat!$L$13:$AK$56,Y$4,FALSE)))</t>
  </si>
  <si>
    <t>=IF(ISNUMBER($L$6)=FALSE,"",
        IF(ISERROR(VLOOKUP($G68,DanaSehat!$L$13:$AK$56,Z$4,FALSE))=TRUE,"",
              VLOOKUP($G68,DanaSehat!$L$13:$AK$56,Z$4,FALSE)))</t>
  </si>
  <si>
    <t>=IF(ISNUMBER($L$6)=FALSE,"",
        IF(ISERROR(VLOOKUP($G68,DanaSehat!$L$13:$AK$56,AA$4,FALSE))=TRUE,"",
              VLOOKUP($G68,DanaSehat!$L$13:$AK$56,AA$4,FALSE)))</t>
  </si>
  <si>
    <t>=IF(ISNUMBER($L$6)=FALSE,"",
        IF(ISERROR(VLOOKUP($G68,DanaSehat!$L$13:$AK$56,AB$4,FALSE))=TRUE,"",
              VLOOKUP($G68,DanaSehat!$L$13:$AK$56,AB$4,FALSE)))</t>
  </si>
  <si>
    <t>=IF(ISNUMBER($L$6)=FALSE,"",
        IF(ISERROR(VLOOKUP($G68,DanaSehat!$L$13:$AK$56,AC$4,FALSE))=TRUE,"",
              VLOOKUP($G68,DanaSehat!$L$13:$AK$56,AC$4,FALSE)))</t>
  </si>
  <si>
    <t>=IF(ISNUMBER($L$6)=FALSE,"",
        IF(ISERROR(VLOOKUP($G68,DanaSehat!$L$13:$AK$56,AD$4,FALSE))=TRUE,"",
              VLOOKUP($G68,DanaSehat!$L$13:$AK$56,AD$4,FALSE)))</t>
  </si>
  <si>
    <t>=IF(ISNUMBER($L$6)=FALSE,"",
        IF(ISERROR(VLOOKUP($G68,DanaSehat!$L$13:$AK$56,AE$4,FALSE))=TRUE,"",
              VLOOKUP($G68,DanaSehat!$L$13:$AK$56,AE$4,FALSE)))</t>
  </si>
  <si>
    <t>=IF(ISNUMBER($L$6)=FALSE,"",
        IF(ISERROR(VLOOKUP($G68,DanaSehat!$L$13:$AK$56,AF$4,FALSE))=TRUE,"",
              VLOOKUP($G68,DanaSehat!$L$13:$AK$56,AF$4,FALSE)))</t>
  </si>
  <si>
    <t>=IF(ISNUMBER($L$6)=FALSE,"",
IF($C69=0,"",VLOOKUP($E69,DanaSehat!$H$13:$L$56,4,FALSE)))</t>
  </si>
  <si>
    <t>=IF(ISNUMBER($L$6)=FALSE,"",
IF($C69=0,"",VLOOKUP($E69,DanaSehat!$H$13:$L$56,5,FALSE)))</t>
  </si>
  <si>
    <t>=IF(ISNUMBER($L$6)=FALSE,"",
        IF(ISERROR(VLOOKUP($G69,DanaSehat!$L$13:$AK$56,I$4,FALSE))=TRUE,"",
              VLOOKUP($G69,DanaSehat!$L$13:$AK$56,I$4,FALSE)))</t>
  </si>
  <si>
    <t>=IF(ISNUMBER($L$6)=FALSE,"",
        IF(ISERROR(VLOOKUP($G69,DanaSehat!$L$13:$AK$56,J$4,FALSE))=TRUE,"",
              VLOOKUP($G69,DanaSehat!$L$13:$AK$56,J$4,FALSE)))</t>
  </si>
  <si>
    <t>=IF(ISNUMBER($L$6)=FALSE,"",
        IF(ISERROR(VLOOKUP($G69,DanaSehat!$L$13:$AK$56,K$4,FALSE))=TRUE,"",
              VLOOKUP($G69,DanaSehat!$L$13:$AK$56,K$4,FALSE)))</t>
  </si>
  <si>
    <t>=IF(ISNUMBER($L$6)=FALSE,"",
        IF(ISERROR(VLOOKUP($G69,DanaSehat!$L$13:$AK$56,L$4,FALSE))=TRUE,"",
              VLOOKUP($G69,DanaSehat!$L$13:$AK$56,L$4,FALSE)))</t>
  </si>
  <si>
    <t>=IF(ISNUMBER($L$6)=FALSE,"",
        IF(ISERROR(VLOOKUP($G69,DanaSehat!$L$13:$AK$56,M$4,FALSE))=TRUE,"",
              VLOOKUP($G69,DanaSehat!$L$13:$AK$56,M$4,FALSE)))</t>
  </si>
  <si>
    <t>=IF(ISNUMBER($L$6)=FALSE,"",
        IF(ISERROR(VLOOKUP($G69,DanaSehat!$L$13:$AK$56,N$4,FALSE))=TRUE,"",
              VLOOKUP($G69,DanaSehat!$L$13:$AK$56,N$4,FALSE)))</t>
  </si>
  <si>
    <t>=IF(ISNUMBER($L$6)=FALSE,"",
        IF(ISERROR(VLOOKUP($G69,DanaSehat!$L$13:$AK$56,O$4,FALSE))=TRUE,"",
              VLOOKUP($G69,DanaSehat!$L$13:$AK$56,O$4,FALSE)))</t>
  </si>
  <si>
    <t>=IF(ISNUMBER($L$6)=FALSE,"",
        IF(ISERROR(VLOOKUP($G69,DanaSehat!$L$13:$AK$56,P$4,FALSE))=TRUE,"",
              VLOOKUP($G69,DanaSehat!$L$13:$AK$56,P$4,FALSE)))</t>
  </si>
  <si>
    <t>=IF(ISNUMBER($L$6)=FALSE,"",
        IF(ISERROR(VLOOKUP($G69,DanaSehat!$L$13:$AK$56,Q$4,FALSE))=TRUE,"",
              VLOOKUP($G69,DanaSehat!$L$13:$AK$56,Q$4,FALSE)))</t>
  </si>
  <si>
    <t>=IF(ISNUMBER($L$6)=FALSE,"",
        IF(ISERROR(VLOOKUP($G69,DanaSehat!$L$13:$AK$56,R$4,FALSE))=TRUE,"",
              VLOOKUP($G69,DanaSehat!$L$13:$AK$56,R$4,FALSE)))</t>
  </si>
  <si>
    <t>=IF(ISNUMBER($L$6)=FALSE,"",
        IF(ISERROR(VLOOKUP($G69,DanaSehat!$L$13:$AK$56,S$4,FALSE))=TRUE,"",
              VLOOKUP($G69,DanaSehat!$L$13:$AK$56,S$4,FALSE)))</t>
  </si>
  <si>
    <t>=IF(ISNUMBER($L$6)=FALSE,"",
        IF(ISERROR(VLOOKUP($G69,DanaSehat!$L$13:$AK$56,T$4,FALSE))=TRUE,"",
              VLOOKUP($G69,DanaSehat!$L$13:$AK$56,T$4,FALSE)))</t>
  </si>
  <si>
    <t>=IF(ISNUMBER($L$6)=FALSE,"",
        IF(ISERROR(VLOOKUP($G69,DanaSehat!$L$13:$AK$56,U$4,FALSE))=TRUE,"",
              VLOOKUP($G69,DanaSehat!$L$13:$AK$56,U$4,FALSE)))</t>
  </si>
  <si>
    <t>=IF(ISNUMBER($L$6)=FALSE,"",
        IF(ISERROR(VLOOKUP($G69,DanaSehat!$L$13:$AK$56,V$4,FALSE))=TRUE,"",
              VLOOKUP($G69,DanaSehat!$L$13:$AK$56,V$4,FALSE)))</t>
  </si>
  <si>
    <t>=IF(ISNUMBER($L$6)=FALSE,"",
        IF(ISERROR(VLOOKUP($G69,DanaSehat!$L$13:$AK$56,W$4,FALSE))=TRUE,"",
              VLOOKUP($G69,DanaSehat!$L$13:$AK$56,W$4,FALSE)))</t>
  </si>
  <si>
    <t>=IF(ISNUMBER($L$6)=FALSE,"",
        IF(ISERROR(VLOOKUP($G69,DanaSehat!$L$13:$AK$56,X$4,FALSE))=TRUE,"",
              VLOOKUP($G69,DanaSehat!$L$13:$AK$56,X$4,FALSE)))</t>
  </si>
  <si>
    <t>=IF(ISNUMBER($L$6)=FALSE,"",
        IF(ISERROR(VLOOKUP($G69,DanaSehat!$L$13:$AK$56,Y$4,FALSE))=TRUE,"",
              VLOOKUP($G69,DanaSehat!$L$13:$AK$56,Y$4,FALSE)))</t>
  </si>
  <si>
    <t>=IF(ISNUMBER($L$6)=FALSE,"",
        IF(ISERROR(VLOOKUP($G69,DanaSehat!$L$13:$AK$56,Z$4,FALSE))=TRUE,"",
              VLOOKUP($G69,DanaSehat!$L$13:$AK$56,Z$4,FALSE)))</t>
  </si>
  <si>
    <t>=IF(ISNUMBER($L$6)=FALSE,"",
        IF(ISERROR(VLOOKUP($G69,DanaSehat!$L$13:$AK$56,AA$4,FALSE))=TRUE,"",
              VLOOKUP($G69,DanaSehat!$L$13:$AK$56,AA$4,FALSE)))</t>
  </si>
  <si>
    <t>=IF(ISNUMBER($L$6)=FALSE,"",
        IF(ISERROR(VLOOKUP($G69,DanaSehat!$L$13:$AK$56,AB$4,FALSE))=TRUE,"",
              VLOOKUP($G69,DanaSehat!$L$13:$AK$56,AB$4,FALSE)))</t>
  </si>
  <si>
    <t>=IF(ISNUMBER($L$6)=FALSE,"",
        IF(ISERROR(VLOOKUP($G69,DanaSehat!$L$13:$AK$56,AC$4,FALSE))=TRUE,"",
              VLOOKUP($G69,DanaSehat!$L$13:$AK$56,AC$4,FALSE)))</t>
  </si>
  <si>
    <t>=IF(ISNUMBER($L$6)=FALSE,"",
        IF(ISERROR(VLOOKUP($G69,DanaSehat!$L$13:$AK$56,AD$4,FALSE))=TRUE,"",
              VLOOKUP($G69,DanaSehat!$L$13:$AK$56,AD$4,FALSE)))</t>
  </si>
  <si>
    <t>=IF(ISNUMBER($L$6)=FALSE,"",
        IF(ISERROR(VLOOKUP($G69,DanaSehat!$L$13:$AK$56,AE$4,FALSE))=TRUE,"",
              VLOOKUP($G69,DanaSehat!$L$13:$AK$56,AE$4,FALSE)))</t>
  </si>
  <si>
    <t>=IF(ISNUMBER($L$6)=FALSE,"",
        IF(ISERROR(VLOOKUP($G69,DanaSehat!$L$13:$AK$56,AF$4,FALSE))=TRUE,"",
              VLOOKUP($G69,DanaSehat!$L$13:$AK$56,AF$4,FALSE)))</t>
  </si>
  <si>
    <t>=IF(ISNUMBER($L$6)=FALSE,"",
IF($C70=0,"",VLOOKUP($E70,DanaSehat!$H$13:$L$56,4,FALSE)))</t>
  </si>
  <si>
    <t>=IF(ISNUMBER($L$6)=FALSE,"",
IF($C70=0,"",VLOOKUP($E70,DanaSehat!$H$13:$L$56,5,FALSE)))</t>
  </si>
  <si>
    <t>=IF(ISNUMBER($L$6)=FALSE,"",
        IF(ISERROR(VLOOKUP($G70,DanaSehat!$L$13:$AK$56,I$4,FALSE))=TRUE,"",
              VLOOKUP($G70,DanaSehat!$L$13:$AK$56,I$4,FALSE)))</t>
  </si>
  <si>
    <t>=IF(ISNUMBER($L$6)=FALSE,"",
        IF(ISERROR(VLOOKUP($G70,DanaSehat!$L$13:$AK$56,J$4,FALSE))=TRUE,"",
              VLOOKUP($G70,DanaSehat!$L$13:$AK$56,J$4,FALSE)))</t>
  </si>
  <si>
    <t>=IF(ISNUMBER($L$6)=FALSE,"",
        IF(ISERROR(VLOOKUP($G70,DanaSehat!$L$13:$AK$56,K$4,FALSE))=TRUE,"",
              VLOOKUP($G70,DanaSehat!$L$13:$AK$56,K$4,FALSE)))</t>
  </si>
  <si>
    <t>=IF(ISNUMBER($L$6)=FALSE,"",
        IF(ISERROR(VLOOKUP($G70,DanaSehat!$L$13:$AK$56,L$4,FALSE))=TRUE,"",
              VLOOKUP($G70,DanaSehat!$L$13:$AK$56,L$4,FALSE)))</t>
  </si>
  <si>
    <t>=IF(ISNUMBER($L$6)=FALSE,"",
        IF(ISERROR(VLOOKUP($G70,DanaSehat!$L$13:$AK$56,M$4,FALSE))=TRUE,"",
              VLOOKUP($G70,DanaSehat!$L$13:$AK$56,M$4,FALSE)))</t>
  </si>
  <si>
    <t>=IF(ISNUMBER($L$6)=FALSE,"",
        IF(ISERROR(VLOOKUP($G70,DanaSehat!$L$13:$AK$56,N$4,FALSE))=TRUE,"",
              VLOOKUP($G70,DanaSehat!$L$13:$AK$56,N$4,FALSE)))</t>
  </si>
  <si>
    <t>=IF(ISNUMBER($L$6)=FALSE,"",
        IF(ISERROR(VLOOKUP($G70,DanaSehat!$L$13:$AK$56,O$4,FALSE))=TRUE,"",
              VLOOKUP($G70,DanaSehat!$L$13:$AK$56,O$4,FALSE)))</t>
  </si>
  <si>
    <t>=IF(ISNUMBER($L$6)=FALSE,"",
        IF(ISERROR(VLOOKUP($G70,DanaSehat!$L$13:$AK$56,P$4,FALSE))=TRUE,"",
              VLOOKUP($G70,DanaSehat!$L$13:$AK$56,P$4,FALSE)))</t>
  </si>
  <si>
    <t>=IF(ISNUMBER($L$6)=FALSE,"",
        IF(ISERROR(VLOOKUP($G70,DanaSehat!$L$13:$AK$56,Q$4,FALSE))=TRUE,"",
              VLOOKUP($G70,DanaSehat!$L$13:$AK$56,Q$4,FALSE)))</t>
  </si>
  <si>
    <t>=IF(ISNUMBER($L$6)=FALSE,"",
        IF(ISERROR(VLOOKUP($G70,DanaSehat!$L$13:$AK$56,R$4,FALSE))=TRUE,"",
              VLOOKUP($G70,DanaSehat!$L$13:$AK$56,R$4,FALSE)))</t>
  </si>
  <si>
    <t>=IF(ISNUMBER($L$6)=FALSE,"",
        IF(ISERROR(VLOOKUP($G70,DanaSehat!$L$13:$AK$56,S$4,FALSE))=TRUE,"",
              VLOOKUP($G70,DanaSehat!$L$13:$AK$56,S$4,FALSE)))</t>
  </si>
  <si>
    <t>=IF(ISNUMBER($L$6)=FALSE,"",
        IF(ISERROR(VLOOKUP($G70,DanaSehat!$L$13:$AK$56,T$4,FALSE))=TRUE,"",
              VLOOKUP($G70,DanaSehat!$L$13:$AK$56,T$4,FALSE)))</t>
  </si>
  <si>
    <t>=IF(ISNUMBER($L$6)=FALSE,"",
        IF(ISERROR(VLOOKUP($G70,DanaSehat!$L$13:$AK$56,U$4,FALSE))=TRUE,"",
              VLOOKUP($G70,DanaSehat!$L$13:$AK$56,U$4,FALSE)))</t>
  </si>
  <si>
    <t>=IF(ISNUMBER($L$6)=FALSE,"",
        IF(ISERROR(VLOOKUP($G70,DanaSehat!$L$13:$AK$56,V$4,FALSE))=TRUE,"",
              VLOOKUP($G70,DanaSehat!$L$13:$AK$56,V$4,FALSE)))</t>
  </si>
  <si>
    <t>=IF(ISNUMBER($L$6)=FALSE,"",
        IF(ISERROR(VLOOKUP($G70,DanaSehat!$L$13:$AK$56,W$4,FALSE))=TRUE,"",
              VLOOKUP($G70,DanaSehat!$L$13:$AK$56,W$4,FALSE)))</t>
  </si>
  <si>
    <t>=IF(ISNUMBER($L$6)=FALSE,"",
        IF(ISERROR(VLOOKUP($G70,DanaSehat!$L$13:$AK$56,X$4,FALSE))=TRUE,"",
              VLOOKUP($G70,DanaSehat!$L$13:$AK$56,X$4,FALSE)))</t>
  </si>
  <si>
    <t>=IF(ISNUMBER($L$6)=FALSE,"",
        IF(ISERROR(VLOOKUP($G70,DanaSehat!$L$13:$AK$56,Y$4,FALSE))=TRUE,"",
              VLOOKUP($G70,DanaSehat!$L$13:$AK$56,Y$4,FALSE)))</t>
  </si>
  <si>
    <t>=IF(ISNUMBER($L$6)=FALSE,"",
        IF(ISERROR(VLOOKUP($G70,DanaSehat!$L$13:$AK$56,Z$4,FALSE))=TRUE,"",
              VLOOKUP($G70,DanaSehat!$L$13:$AK$56,Z$4,FALSE)))</t>
  </si>
  <si>
    <t>=IF(ISNUMBER($L$6)=FALSE,"",
        IF(ISERROR(VLOOKUP($G70,DanaSehat!$L$13:$AK$56,AA$4,FALSE))=TRUE,"",
              VLOOKUP($G70,DanaSehat!$L$13:$AK$56,AA$4,FALSE)))</t>
  </si>
  <si>
    <t>=IF(ISNUMBER($L$6)=FALSE,"",
        IF(ISERROR(VLOOKUP($G70,DanaSehat!$L$13:$AK$56,AB$4,FALSE))=TRUE,"",
              VLOOKUP($G70,DanaSehat!$L$13:$AK$56,AB$4,FALSE)))</t>
  </si>
  <si>
    <t>=IF(ISNUMBER($L$6)=FALSE,"",
        IF(ISERROR(VLOOKUP($G70,DanaSehat!$L$13:$AK$56,AC$4,FALSE))=TRUE,"",
              VLOOKUP($G70,DanaSehat!$L$13:$AK$56,AC$4,FALSE)))</t>
  </si>
  <si>
    <t>=IF(ISNUMBER($L$6)=FALSE,"",
        IF(ISERROR(VLOOKUP($G70,DanaSehat!$L$13:$AK$56,AD$4,FALSE))=TRUE,"",
              VLOOKUP($G70,DanaSehat!$L$13:$AK$56,AD$4,FALSE)))</t>
  </si>
  <si>
    <t>=IF(ISNUMBER($L$6)=FALSE,"",
        IF(ISERROR(VLOOKUP($G70,DanaSehat!$L$13:$AK$56,AE$4,FALSE))=TRUE,"",
              VLOOKUP($G70,DanaSehat!$L$13:$AK$56,AE$4,FALSE)))</t>
  </si>
  <si>
    <t>=IF(ISNUMBER($L$6)=FALSE,"",
        IF(ISERROR(VLOOKUP($G70,DanaSehat!$L$13:$AK$56,AF$4,FALSE))=TRUE,"",
              VLOOKUP($G70,DanaSehat!$L$13:$AK$56,AF$4,FALSE)))</t>
  </si>
  <si>
    <t>=IF(ISNUMBER($L$6)=FALSE,"",
IF($C71=0,"",VLOOKUP($E71,DanaSehat!$H$13:$L$56,4,FALSE)))</t>
  </si>
  <si>
    <t>=IF(ISNUMBER($L$6)=FALSE,"",
IF($C71=0,"",VLOOKUP($E71,DanaSehat!$H$13:$L$56,5,FALSE)))</t>
  </si>
  <si>
    <t>=IF(ISNUMBER($L$6)=FALSE,"",
        IF(ISERROR(VLOOKUP($G71,DanaSehat!$L$13:$AK$56,I$4,FALSE))=TRUE,"",
              VLOOKUP($G71,DanaSehat!$L$13:$AK$56,I$4,FALSE)))</t>
  </si>
  <si>
    <t>=IF(ISNUMBER($L$6)=FALSE,"",
        IF(ISERROR(VLOOKUP($G71,DanaSehat!$L$13:$AK$56,J$4,FALSE))=TRUE,"",
              VLOOKUP($G71,DanaSehat!$L$13:$AK$56,J$4,FALSE)))</t>
  </si>
  <si>
    <t>=IF(ISNUMBER($L$6)=FALSE,"",
        IF(ISERROR(VLOOKUP($G71,DanaSehat!$L$13:$AK$56,K$4,FALSE))=TRUE,"",
              VLOOKUP($G71,DanaSehat!$L$13:$AK$56,K$4,FALSE)))</t>
  </si>
  <si>
    <t>=IF(ISNUMBER($L$6)=FALSE,"",
        IF(ISERROR(VLOOKUP($G71,DanaSehat!$L$13:$AK$56,L$4,FALSE))=TRUE,"",
              VLOOKUP($G71,DanaSehat!$L$13:$AK$56,L$4,FALSE)))</t>
  </si>
  <si>
    <t>=IF(ISNUMBER($L$6)=FALSE,"",
        IF(ISERROR(VLOOKUP($G71,DanaSehat!$L$13:$AK$56,M$4,FALSE))=TRUE,"",
              VLOOKUP($G71,DanaSehat!$L$13:$AK$56,M$4,FALSE)))</t>
  </si>
  <si>
    <t>=IF(ISNUMBER($L$6)=FALSE,"",
        IF(ISERROR(VLOOKUP($G71,DanaSehat!$L$13:$AK$56,N$4,FALSE))=TRUE,"",
              VLOOKUP($G71,DanaSehat!$L$13:$AK$56,N$4,FALSE)))</t>
  </si>
  <si>
    <t>=IF(ISNUMBER($L$6)=FALSE,"",
        IF(ISERROR(VLOOKUP($G71,DanaSehat!$L$13:$AK$56,O$4,FALSE))=TRUE,"",
              VLOOKUP($G71,DanaSehat!$L$13:$AK$56,O$4,FALSE)))</t>
  </si>
  <si>
    <t>=IF(ISNUMBER($L$6)=FALSE,"",
        IF(ISERROR(VLOOKUP($G71,DanaSehat!$L$13:$AK$56,P$4,FALSE))=TRUE,"",
              VLOOKUP($G71,DanaSehat!$L$13:$AK$56,P$4,FALSE)))</t>
  </si>
  <si>
    <t>=IF(ISNUMBER($L$6)=FALSE,"",
        IF(ISERROR(VLOOKUP($G71,DanaSehat!$L$13:$AK$56,Q$4,FALSE))=TRUE,"",
              VLOOKUP($G71,DanaSehat!$L$13:$AK$56,Q$4,FALSE)))</t>
  </si>
  <si>
    <t>=IF(ISNUMBER($L$6)=FALSE,"",
        IF(ISERROR(VLOOKUP($G71,DanaSehat!$L$13:$AK$56,R$4,FALSE))=TRUE,"",
              VLOOKUP($G71,DanaSehat!$L$13:$AK$56,R$4,FALSE)))</t>
  </si>
  <si>
    <t>=IF(ISNUMBER($L$6)=FALSE,"",
        IF(ISERROR(VLOOKUP($G71,DanaSehat!$L$13:$AK$56,S$4,FALSE))=TRUE,"",
              VLOOKUP($G71,DanaSehat!$L$13:$AK$56,S$4,FALSE)))</t>
  </si>
  <si>
    <t>=IF(ISNUMBER($L$6)=FALSE,"",
        IF(ISERROR(VLOOKUP($G71,DanaSehat!$L$13:$AK$56,T$4,FALSE))=TRUE,"",
              VLOOKUP($G71,DanaSehat!$L$13:$AK$56,T$4,FALSE)))</t>
  </si>
  <si>
    <t>=IF(ISNUMBER($L$6)=FALSE,"",
        IF(ISERROR(VLOOKUP($G71,DanaSehat!$L$13:$AK$56,U$4,FALSE))=TRUE,"",
              VLOOKUP($G71,DanaSehat!$L$13:$AK$56,U$4,FALSE)))</t>
  </si>
  <si>
    <t>=IF(ISNUMBER($L$6)=FALSE,"",
        IF(ISERROR(VLOOKUP($G71,DanaSehat!$L$13:$AK$56,V$4,FALSE))=TRUE,"",
              VLOOKUP($G71,DanaSehat!$L$13:$AK$56,V$4,FALSE)))</t>
  </si>
  <si>
    <t>=IF(ISNUMBER($L$6)=FALSE,"",
        IF(ISERROR(VLOOKUP($G71,DanaSehat!$L$13:$AK$56,W$4,FALSE))=TRUE,"",
              VLOOKUP($G71,DanaSehat!$L$13:$AK$56,W$4,FALSE)))</t>
  </si>
  <si>
    <t>=IF(ISNUMBER($L$6)=FALSE,"",
        IF(ISERROR(VLOOKUP($G71,DanaSehat!$L$13:$AK$56,X$4,FALSE))=TRUE,"",
              VLOOKUP($G71,DanaSehat!$L$13:$AK$56,X$4,FALSE)))</t>
  </si>
  <si>
    <t>=IF(ISNUMBER($L$6)=FALSE,"",
        IF(ISERROR(VLOOKUP($G71,DanaSehat!$L$13:$AK$56,Y$4,FALSE))=TRUE,"",
              VLOOKUP($G71,DanaSehat!$L$13:$AK$56,Y$4,FALSE)))</t>
  </si>
  <si>
    <t>=IF(ISNUMBER($L$6)=FALSE,"",
        IF(ISERROR(VLOOKUP($G71,DanaSehat!$L$13:$AK$56,Z$4,FALSE))=TRUE,"",
              VLOOKUP($G71,DanaSehat!$L$13:$AK$56,Z$4,FALSE)))</t>
  </si>
  <si>
    <t>=IF(ISNUMBER($L$6)=FALSE,"",
        IF(ISERROR(VLOOKUP($G71,DanaSehat!$L$13:$AK$56,AA$4,FALSE))=TRUE,"",
              VLOOKUP($G71,DanaSehat!$L$13:$AK$56,AA$4,FALSE)))</t>
  </si>
  <si>
    <t>=IF(ISNUMBER($L$6)=FALSE,"",
        IF(ISERROR(VLOOKUP($G71,DanaSehat!$L$13:$AK$56,AB$4,FALSE))=TRUE,"",
              VLOOKUP($G71,DanaSehat!$L$13:$AK$56,AB$4,FALSE)))</t>
  </si>
  <si>
    <t>=IF(ISNUMBER($L$6)=FALSE,"",
        IF(ISERROR(VLOOKUP($G71,DanaSehat!$L$13:$AK$56,AC$4,FALSE))=TRUE,"",
              VLOOKUP($G71,DanaSehat!$L$13:$AK$56,AC$4,FALSE)))</t>
  </si>
  <si>
    <t>=IF(ISNUMBER($L$6)=FALSE,"",
        IF(ISERROR(VLOOKUP($G71,DanaSehat!$L$13:$AK$56,AD$4,FALSE))=TRUE,"",
              VLOOKUP($G71,DanaSehat!$L$13:$AK$56,AD$4,FALSE)))</t>
  </si>
  <si>
    <t>=IF(ISNUMBER($L$6)=FALSE,"",
        IF(ISERROR(VLOOKUP($G71,DanaSehat!$L$13:$AK$56,AE$4,FALSE))=TRUE,"",
              VLOOKUP($G71,DanaSehat!$L$13:$AK$56,AE$4,FALSE)))</t>
  </si>
  <si>
    <t>=IF(ISNUMBER($L$6)=FALSE,"",
        IF(ISERROR(VLOOKUP($G71,DanaSehat!$L$13:$AK$56,AF$4,FALSE))=TRUE,"",
              VLOOKUP($G71,DanaSehat!$L$13:$AK$56,AF$4,FALSE)))</t>
  </si>
  <si>
    <t>=IF(ISNUMBER($L$6)=FALSE,"",
IF($C72=0,"",VLOOKUP($E72,DanaSehat!$H$13:$L$56,4,FALSE)))</t>
  </si>
  <si>
    <t>=IF(ISNUMBER($L$6)=FALSE,"",
IF($C72=0,"",VLOOKUP($E72,DanaSehat!$H$13:$L$56,5,FALSE)))</t>
  </si>
  <si>
    <t>=IF(ISNUMBER($L$6)=FALSE,"",
        IF(ISERROR(VLOOKUP($G72,DanaSehat!$L$13:$AK$56,I$4,FALSE))=TRUE,"",
              VLOOKUP($G72,DanaSehat!$L$13:$AK$56,I$4,FALSE)))</t>
  </si>
  <si>
    <t>=IF(ISNUMBER($L$6)=FALSE,"",
        IF(ISERROR(VLOOKUP($G72,DanaSehat!$L$13:$AK$56,J$4,FALSE))=TRUE,"",
              VLOOKUP($G72,DanaSehat!$L$13:$AK$56,J$4,FALSE)))</t>
  </si>
  <si>
    <t>=IF(ISNUMBER($L$6)=FALSE,"",
        IF(ISERROR(VLOOKUP($G72,DanaSehat!$L$13:$AK$56,K$4,FALSE))=TRUE,"",
              VLOOKUP($G72,DanaSehat!$L$13:$AK$56,K$4,FALSE)))</t>
  </si>
  <si>
    <t>=IF(ISNUMBER($L$6)=FALSE,"",
        IF(ISERROR(VLOOKUP($G72,DanaSehat!$L$13:$AK$56,L$4,FALSE))=TRUE,"",
              VLOOKUP($G72,DanaSehat!$L$13:$AK$56,L$4,FALSE)))</t>
  </si>
  <si>
    <t>=IF(ISNUMBER($L$6)=FALSE,"",
        IF(ISERROR(VLOOKUP($G72,DanaSehat!$L$13:$AK$56,M$4,FALSE))=TRUE,"",
              VLOOKUP($G72,DanaSehat!$L$13:$AK$56,M$4,FALSE)))</t>
  </si>
  <si>
    <t>=IF(ISNUMBER($L$6)=FALSE,"",
        IF(ISERROR(VLOOKUP($G72,DanaSehat!$L$13:$AK$56,N$4,FALSE))=TRUE,"",
              VLOOKUP($G72,DanaSehat!$L$13:$AK$56,N$4,FALSE)))</t>
  </si>
  <si>
    <t>=IF(ISNUMBER($L$6)=FALSE,"",
        IF(ISERROR(VLOOKUP($G72,DanaSehat!$L$13:$AK$56,O$4,FALSE))=TRUE,"",
              VLOOKUP($G72,DanaSehat!$L$13:$AK$56,O$4,FALSE)))</t>
  </si>
  <si>
    <t>=IF(ISNUMBER($L$6)=FALSE,"",
        IF(ISERROR(VLOOKUP($G72,DanaSehat!$L$13:$AK$56,P$4,FALSE))=TRUE,"",
              VLOOKUP($G72,DanaSehat!$L$13:$AK$56,P$4,FALSE)))</t>
  </si>
  <si>
    <t>=IF(ISNUMBER($L$6)=FALSE,"",
        IF(ISERROR(VLOOKUP($G72,DanaSehat!$L$13:$AK$56,Q$4,FALSE))=TRUE,"",
              VLOOKUP($G72,DanaSehat!$L$13:$AK$56,Q$4,FALSE)))</t>
  </si>
  <si>
    <t>=IF(ISNUMBER($L$6)=FALSE,"",
        IF(ISERROR(VLOOKUP($G72,DanaSehat!$L$13:$AK$56,R$4,FALSE))=TRUE,"",
              VLOOKUP($G72,DanaSehat!$L$13:$AK$56,R$4,FALSE)))</t>
  </si>
  <si>
    <t>=IF(ISNUMBER($L$6)=FALSE,"",
        IF(ISERROR(VLOOKUP($G72,DanaSehat!$L$13:$AK$56,S$4,FALSE))=TRUE,"",
              VLOOKUP($G72,DanaSehat!$L$13:$AK$56,S$4,FALSE)))</t>
  </si>
  <si>
    <t>=IF(ISNUMBER($L$6)=FALSE,"",
        IF(ISERROR(VLOOKUP($G72,DanaSehat!$L$13:$AK$56,T$4,FALSE))=TRUE,"",
              VLOOKUP($G72,DanaSehat!$L$13:$AK$56,T$4,FALSE)))</t>
  </si>
  <si>
    <t>=IF(ISNUMBER($L$6)=FALSE,"",
        IF(ISERROR(VLOOKUP($G72,DanaSehat!$L$13:$AK$56,U$4,FALSE))=TRUE,"",
              VLOOKUP($G72,DanaSehat!$L$13:$AK$56,U$4,FALSE)))</t>
  </si>
  <si>
    <t>=IF(ISNUMBER($L$6)=FALSE,"",
        IF(ISERROR(VLOOKUP($G72,DanaSehat!$L$13:$AK$56,V$4,FALSE))=TRUE,"",
              VLOOKUP($G72,DanaSehat!$L$13:$AK$56,V$4,FALSE)))</t>
  </si>
  <si>
    <t>=IF(ISNUMBER($L$6)=FALSE,"",
        IF(ISERROR(VLOOKUP($G72,DanaSehat!$L$13:$AK$56,W$4,FALSE))=TRUE,"",
              VLOOKUP($G72,DanaSehat!$L$13:$AK$56,W$4,FALSE)))</t>
  </si>
  <si>
    <t>=IF(ISNUMBER($L$6)=FALSE,"",
        IF(ISERROR(VLOOKUP($G72,DanaSehat!$L$13:$AK$56,X$4,FALSE))=TRUE,"",
              VLOOKUP($G72,DanaSehat!$L$13:$AK$56,X$4,FALSE)))</t>
  </si>
  <si>
    <t>=IF(ISNUMBER($L$6)=FALSE,"",
        IF(ISERROR(VLOOKUP($G72,DanaSehat!$L$13:$AK$56,Y$4,FALSE))=TRUE,"",
              VLOOKUP($G72,DanaSehat!$L$13:$AK$56,Y$4,FALSE)))</t>
  </si>
  <si>
    <t>=IF(ISNUMBER($L$6)=FALSE,"",
        IF(ISERROR(VLOOKUP($G72,DanaSehat!$L$13:$AK$56,Z$4,FALSE))=TRUE,"",
              VLOOKUP($G72,DanaSehat!$L$13:$AK$56,Z$4,FALSE)))</t>
  </si>
  <si>
    <t>=IF(ISNUMBER($L$6)=FALSE,"",
        IF(ISERROR(VLOOKUP($G72,DanaSehat!$L$13:$AK$56,AA$4,FALSE))=TRUE,"",
              VLOOKUP($G72,DanaSehat!$L$13:$AK$56,AA$4,FALSE)))</t>
  </si>
  <si>
    <t>=IF(ISNUMBER($L$6)=FALSE,"",
        IF(ISERROR(VLOOKUP($G72,DanaSehat!$L$13:$AK$56,AB$4,FALSE))=TRUE,"",
              VLOOKUP($G72,DanaSehat!$L$13:$AK$56,AB$4,FALSE)))</t>
  </si>
  <si>
    <t>=IF(ISNUMBER($L$6)=FALSE,"",
        IF(ISERROR(VLOOKUP($G72,DanaSehat!$L$13:$AK$56,AC$4,FALSE))=TRUE,"",
              VLOOKUP($G72,DanaSehat!$L$13:$AK$56,AC$4,FALSE)))</t>
  </si>
  <si>
    <t>=IF(ISNUMBER($L$6)=FALSE,"",
        IF(ISERROR(VLOOKUP($G72,DanaSehat!$L$13:$AK$56,AD$4,FALSE))=TRUE,"",
              VLOOKUP($G72,DanaSehat!$L$13:$AK$56,AD$4,FALSE)))</t>
  </si>
  <si>
    <t>=IF(ISNUMBER($L$6)=FALSE,"",
        IF(ISERROR(VLOOKUP($G72,DanaSehat!$L$13:$AK$56,AE$4,FALSE))=TRUE,"",
              VLOOKUP($G72,DanaSehat!$L$13:$AK$56,AE$4,FALSE)))</t>
  </si>
  <si>
    <t>=IF(ISNUMBER($L$6)=FALSE,"",
        IF(ISERROR(VLOOKUP($G72,DanaSehat!$L$13:$AK$56,AF$4,FALSE))=TRUE,"",
              VLOOKUP($G72,DanaSehat!$L$13:$AK$56,AF$4,FALSE)))</t>
  </si>
  <si>
    <t>=IF(ISNUMBER($L$6)=FALSE,"",
IF($C73=0,"",VLOOKUP($E73,DanaSehat!$H$13:$L$56,4,FALSE)))</t>
  </si>
  <si>
    <t>=IF(ISNUMBER($L$6)=FALSE,"",
IF($C73=0,"",VLOOKUP($E73,DanaSehat!$H$13:$L$56,5,FALSE)))</t>
  </si>
  <si>
    <t>=IF(ISNUMBER($L$6)=FALSE,"",
        IF(ISERROR(VLOOKUP($G73,DanaSehat!$L$13:$AK$56,I$4,FALSE))=TRUE,"",
              VLOOKUP($G73,DanaSehat!$L$13:$AK$56,I$4,FALSE)))</t>
  </si>
  <si>
    <t>=IF(ISNUMBER($L$6)=FALSE,"",
        IF(ISERROR(VLOOKUP($G73,DanaSehat!$L$13:$AK$56,J$4,FALSE))=TRUE,"",
              VLOOKUP($G73,DanaSehat!$L$13:$AK$56,J$4,FALSE)))</t>
  </si>
  <si>
    <t>=IF(ISNUMBER($L$6)=FALSE,"",
        IF(ISERROR(VLOOKUP($G73,DanaSehat!$L$13:$AK$56,K$4,FALSE))=TRUE,"",
              VLOOKUP($G73,DanaSehat!$L$13:$AK$56,K$4,FALSE)))</t>
  </si>
  <si>
    <t>=IF(ISNUMBER($L$6)=FALSE,"",
        IF(ISERROR(VLOOKUP($G73,DanaSehat!$L$13:$AK$56,L$4,FALSE))=TRUE,"",
              VLOOKUP($G73,DanaSehat!$L$13:$AK$56,L$4,FALSE)))</t>
  </si>
  <si>
    <t>=IF(ISNUMBER($L$6)=FALSE,"",
        IF(ISERROR(VLOOKUP($G73,DanaSehat!$L$13:$AK$56,M$4,FALSE))=TRUE,"",
              VLOOKUP($G73,DanaSehat!$L$13:$AK$56,M$4,FALSE)))</t>
  </si>
  <si>
    <t>=IF(ISNUMBER($L$6)=FALSE,"",
        IF(ISERROR(VLOOKUP($G73,DanaSehat!$L$13:$AK$56,N$4,FALSE))=TRUE,"",
              VLOOKUP($G73,DanaSehat!$L$13:$AK$56,N$4,FALSE)))</t>
  </si>
  <si>
    <t>=IF(ISNUMBER($L$6)=FALSE,"",
        IF(ISERROR(VLOOKUP($G73,DanaSehat!$L$13:$AK$56,O$4,FALSE))=TRUE,"",
              VLOOKUP($G73,DanaSehat!$L$13:$AK$56,O$4,FALSE)))</t>
  </si>
  <si>
    <t>=IF(ISNUMBER($L$6)=FALSE,"",
        IF(ISERROR(VLOOKUP($G73,DanaSehat!$L$13:$AK$56,P$4,FALSE))=TRUE,"",
              VLOOKUP($G73,DanaSehat!$L$13:$AK$56,P$4,FALSE)))</t>
  </si>
  <si>
    <t>=IF(ISNUMBER($L$6)=FALSE,"",
        IF(ISERROR(VLOOKUP($G73,DanaSehat!$L$13:$AK$56,Q$4,FALSE))=TRUE,"",
              VLOOKUP($G73,DanaSehat!$L$13:$AK$56,Q$4,FALSE)))</t>
  </si>
  <si>
    <t>=IF(ISNUMBER($L$6)=FALSE,"",
        IF(ISERROR(VLOOKUP($G73,DanaSehat!$L$13:$AK$56,R$4,FALSE))=TRUE,"",
              VLOOKUP($G73,DanaSehat!$L$13:$AK$56,R$4,FALSE)))</t>
  </si>
  <si>
    <t>=IF(ISNUMBER($L$6)=FALSE,"",
        IF(ISERROR(VLOOKUP($G73,DanaSehat!$L$13:$AK$56,S$4,FALSE))=TRUE,"",
              VLOOKUP($G73,DanaSehat!$L$13:$AK$56,S$4,FALSE)))</t>
  </si>
  <si>
    <t>=IF(ISNUMBER($L$6)=FALSE,"",
        IF(ISERROR(VLOOKUP($G73,DanaSehat!$L$13:$AK$56,T$4,FALSE))=TRUE,"",
              VLOOKUP($G73,DanaSehat!$L$13:$AK$56,T$4,FALSE)))</t>
  </si>
  <si>
    <t>=IF(ISNUMBER($L$6)=FALSE,"",
        IF(ISERROR(VLOOKUP($G73,DanaSehat!$L$13:$AK$56,U$4,FALSE))=TRUE,"",
              VLOOKUP($G73,DanaSehat!$L$13:$AK$56,U$4,FALSE)))</t>
  </si>
  <si>
    <t>=IF(ISNUMBER($L$6)=FALSE,"",
        IF(ISERROR(VLOOKUP($G73,DanaSehat!$L$13:$AK$56,V$4,FALSE))=TRUE,"",
              VLOOKUP($G73,DanaSehat!$L$13:$AK$56,V$4,FALSE)))</t>
  </si>
  <si>
    <t>=IF(ISNUMBER($L$6)=FALSE,"",
        IF(ISERROR(VLOOKUP($G73,DanaSehat!$L$13:$AK$56,W$4,FALSE))=TRUE,"",
              VLOOKUP($G73,DanaSehat!$L$13:$AK$56,W$4,FALSE)))</t>
  </si>
  <si>
    <t>=IF(ISNUMBER($L$6)=FALSE,"",
        IF(ISERROR(VLOOKUP($G73,DanaSehat!$L$13:$AK$56,X$4,FALSE))=TRUE,"",
              VLOOKUP($G73,DanaSehat!$L$13:$AK$56,X$4,FALSE)))</t>
  </si>
  <si>
    <t>=IF(ISNUMBER($L$6)=FALSE,"",
        IF(ISERROR(VLOOKUP($G73,DanaSehat!$L$13:$AK$56,Y$4,FALSE))=TRUE,"",
              VLOOKUP($G73,DanaSehat!$L$13:$AK$56,Y$4,FALSE)))</t>
  </si>
  <si>
    <t>=IF(ISNUMBER($L$6)=FALSE,"",
        IF(ISERROR(VLOOKUP($G73,DanaSehat!$L$13:$AK$56,Z$4,FALSE))=TRUE,"",
              VLOOKUP($G73,DanaSehat!$L$13:$AK$56,Z$4,FALSE)))</t>
  </si>
  <si>
    <t>=IF(ISNUMBER($L$6)=FALSE,"",
        IF(ISERROR(VLOOKUP($G73,DanaSehat!$L$13:$AK$56,AA$4,FALSE))=TRUE,"",
              VLOOKUP($G73,DanaSehat!$L$13:$AK$56,AA$4,FALSE)))</t>
  </si>
  <si>
    <t>=IF(ISNUMBER($L$6)=FALSE,"",
        IF(ISERROR(VLOOKUP($G73,DanaSehat!$L$13:$AK$56,AB$4,FALSE))=TRUE,"",
              VLOOKUP($G73,DanaSehat!$L$13:$AK$56,AB$4,FALSE)))</t>
  </si>
  <si>
    <t>=IF(ISNUMBER($L$6)=FALSE,"",
        IF(ISERROR(VLOOKUP($G73,DanaSehat!$L$13:$AK$56,AC$4,FALSE))=TRUE,"",
              VLOOKUP($G73,DanaSehat!$L$13:$AK$56,AC$4,FALSE)))</t>
  </si>
  <si>
    <t>=IF(ISNUMBER($L$6)=FALSE,"",
        IF(ISERROR(VLOOKUP($G73,DanaSehat!$L$13:$AK$56,AD$4,FALSE))=TRUE,"",
              VLOOKUP($G73,DanaSehat!$L$13:$AK$56,AD$4,FALSE)))</t>
  </si>
  <si>
    <t>=IF(ISNUMBER($L$6)=FALSE,"",
        IF(ISERROR(VLOOKUP($G73,DanaSehat!$L$13:$AK$56,AE$4,FALSE))=TRUE,"",
              VLOOKUP($G73,DanaSehat!$L$13:$AK$56,AE$4,FALSE)))</t>
  </si>
  <si>
    <t>=IF(ISNUMBER($L$6)=FALSE,"",
        IF(ISERROR(VLOOKUP($G73,DanaSehat!$L$13:$AK$56,AF$4,FALSE))=TRUE,"",
              VLOOKUP($G73,DanaSehat!$L$13:$AK$56,AF$4,FALSE)))</t>
  </si>
  <si>
    <t>=IF(ISNUMBER($L$6)=FALSE,"",
IF($C74=0,"",VLOOKUP($E74,DanaSehat!$H$13:$L$56,4,FALSE)))</t>
  </si>
  <si>
    <t>=IF(ISNUMBER($L$6)=FALSE,"",
IF($C74=0,"",VLOOKUP($E74,DanaSehat!$H$13:$L$56,5,FALSE)))</t>
  </si>
  <si>
    <t>=IF(ISNUMBER($L$6)=FALSE,"",
        IF(ISERROR(VLOOKUP($G74,DanaSehat!$L$13:$AK$56,I$4,FALSE))=TRUE,"",
              VLOOKUP($G74,DanaSehat!$L$13:$AK$56,I$4,FALSE)))</t>
  </si>
  <si>
    <t>=IF(ISNUMBER($L$6)=FALSE,"",
        IF(ISERROR(VLOOKUP($G74,DanaSehat!$L$13:$AK$56,J$4,FALSE))=TRUE,"",
              VLOOKUP($G74,DanaSehat!$L$13:$AK$56,J$4,FALSE)))</t>
  </si>
  <si>
    <t>=IF(ISNUMBER($L$6)=FALSE,"",
        IF(ISERROR(VLOOKUP($G74,DanaSehat!$L$13:$AK$56,K$4,FALSE))=TRUE,"",
              VLOOKUP($G74,DanaSehat!$L$13:$AK$56,K$4,FALSE)))</t>
  </si>
  <si>
    <t>=IF(ISNUMBER($L$6)=FALSE,"",
        IF(ISERROR(VLOOKUP($G74,DanaSehat!$L$13:$AK$56,L$4,FALSE))=TRUE,"",
              VLOOKUP($G74,DanaSehat!$L$13:$AK$56,L$4,FALSE)))</t>
  </si>
  <si>
    <t>=IF(ISNUMBER($L$6)=FALSE,"",
        IF(ISERROR(VLOOKUP($G74,DanaSehat!$L$13:$AK$56,M$4,FALSE))=TRUE,"",
              VLOOKUP($G74,DanaSehat!$L$13:$AK$56,M$4,FALSE)))</t>
  </si>
  <si>
    <t>=IF(ISNUMBER($L$6)=FALSE,"",
        IF(ISERROR(VLOOKUP($G74,DanaSehat!$L$13:$AK$56,N$4,FALSE))=TRUE,"",
              VLOOKUP($G74,DanaSehat!$L$13:$AK$56,N$4,FALSE)))</t>
  </si>
  <si>
    <t>=IF(ISNUMBER($L$6)=FALSE,"",
        IF(ISERROR(VLOOKUP($G74,DanaSehat!$L$13:$AK$56,O$4,FALSE))=TRUE,"",
              VLOOKUP($G74,DanaSehat!$L$13:$AK$56,O$4,FALSE)))</t>
  </si>
  <si>
    <t>=IF(ISNUMBER($L$6)=FALSE,"",
        IF(ISERROR(VLOOKUP($G74,DanaSehat!$L$13:$AK$56,P$4,FALSE))=TRUE,"",
              VLOOKUP($G74,DanaSehat!$L$13:$AK$56,P$4,FALSE)))</t>
  </si>
  <si>
    <t>=IF(ISNUMBER($L$6)=FALSE,"",
        IF(ISERROR(VLOOKUP($G74,DanaSehat!$L$13:$AK$56,Q$4,FALSE))=TRUE,"",
              VLOOKUP($G74,DanaSehat!$L$13:$AK$56,Q$4,FALSE)))</t>
  </si>
  <si>
    <t>=IF(ISNUMBER($L$6)=FALSE,"",
        IF(ISERROR(VLOOKUP($G74,DanaSehat!$L$13:$AK$56,R$4,FALSE))=TRUE,"",
              VLOOKUP($G74,DanaSehat!$L$13:$AK$56,R$4,FALSE)))</t>
  </si>
  <si>
    <t>=IF(ISNUMBER($L$6)=FALSE,"",
        IF(ISERROR(VLOOKUP($G74,DanaSehat!$L$13:$AK$56,S$4,FALSE))=TRUE,"",
              VLOOKUP($G74,DanaSehat!$L$13:$AK$56,S$4,FALSE)))</t>
  </si>
  <si>
    <t>=IF(ISNUMBER($L$6)=FALSE,"",
        IF(ISERROR(VLOOKUP($G74,DanaSehat!$L$13:$AK$56,T$4,FALSE))=TRUE,"",
              VLOOKUP($G74,DanaSehat!$L$13:$AK$56,T$4,FALSE)))</t>
  </si>
  <si>
    <t>=IF(ISNUMBER($L$6)=FALSE,"",
        IF(ISERROR(VLOOKUP($G74,DanaSehat!$L$13:$AK$56,U$4,FALSE))=TRUE,"",
              VLOOKUP($G74,DanaSehat!$L$13:$AK$56,U$4,FALSE)))</t>
  </si>
  <si>
    <t>=IF(ISNUMBER($L$6)=FALSE,"",
        IF(ISERROR(VLOOKUP($G74,DanaSehat!$L$13:$AK$56,V$4,FALSE))=TRUE,"",
              VLOOKUP($G74,DanaSehat!$L$13:$AK$56,V$4,FALSE)))</t>
  </si>
  <si>
    <t>=IF(ISNUMBER($L$6)=FALSE,"",
        IF(ISERROR(VLOOKUP($G74,DanaSehat!$L$13:$AK$56,W$4,FALSE))=TRUE,"",
              VLOOKUP($G74,DanaSehat!$L$13:$AK$56,W$4,FALSE)))</t>
  </si>
  <si>
    <t>=IF(ISNUMBER($L$6)=FALSE,"",
        IF(ISERROR(VLOOKUP($G74,DanaSehat!$L$13:$AK$56,X$4,FALSE))=TRUE,"",
              VLOOKUP($G74,DanaSehat!$L$13:$AK$56,X$4,FALSE)))</t>
  </si>
  <si>
    <t>=IF(ISNUMBER($L$6)=FALSE,"",
        IF(ISERROR(VLOOKUP($G74,DanaSehat!$L$13:$AK$56,Y$4,FALSE))=TRUE,"",
              VLOOKUP($G74,DanaSehat!$L$13:$AK$56,Y$4,FALSE)))</t>
  </si>
  <si>
    <t>=IF(ISNUMBER($L$6)=FALSE,"",
        IF(ISERROR(VLOOKUP($G74,DanaSehat!$L$13:$AK$56,Z$4,FALSE))=TRUE,"",
              VLOOKUP($G74,DanaSehat!$L$13:$AK$56,Z$4,FALSE)))</t>
  </si>
  <si>
    <t>=IF(ISNUMBER($L$6)=FALSE,"",
        IF(ISERROR(VLOOKUP($G74,DanaSehat!$L$13:$AK$56,AA$4,FALSE))=TRUE,"",
              VLOOKUP($G74,DanaSehat!$L$13:$AK$56,AA$4,FALSE)))</t>
  </si>
  <si>
    <t>=IF(ISNUMBER($L$6)=FALSE,"",
        IF(ISERROR(VLOOKUP($G74,DanaSehat!$L$13:$AK$56,AB$4,FALSE))=TRUE,"",
              VLOOKUP($G74,DanaSehat!$L$13:$AK$56,AB$4,FALSE)))</t>
  </si>
  <si>
    <t>=IF(ISNUMBER($L$6)=FALSE,"",
        IF(ISERROR(VLOOKUP($G74,DanaSehat!$L$13:$AK$56,AC$4,FALSE))=TRUE,"",
              VLOOKUP($G74,DanaSehat!$L$13:$AK$56,AC$4,FALSE)))</t>
  </si>
  <si>
    <t>=IF(ISNUMBER($L$6)=FALSE,"",
        IF(ISERROR(VLOOKUP($G74,DanaSehat!$L$13:$AK$56,AD$4,FALSE))=TRUE,"",
              VLOOKUP($G74,DanaSehat!$L$13:$AK$56,AD$4,FALSE)))</t>
  </si>
  <si>
    <t>=IF(ISNUMBER($L$6)=FALSE,"",
        IF(ISERROR(VLOOKUP($G74,DanaSehat!$L$13:$AK$56,AE$4,FALSE))=TRUE,"",
              VLOOKUP($G74,DanaSehat!$L$13:$AK$56,AE$4,FALSE)))</t>
  </si>
  <si>
    <t>=IF(ISNUMBER($L$6)=FALSE,"",
        IF(ISERROR(VLOOKUP($G74,DanaSehat!$L$13:$AK$56,AF$4,FALSE))=TRUE,"",
              VLOOKUP($G74,DanaSehat!$L$13:$AK$56,AF$4,FALSE)))</t>
  </si>
  <si>
    <t>=IF(ISNUMBER($L$6)=FALSE,"",
IF($C75=0,"",VLOOKUP($E75,DanaSehat!$H$13:$L$56,4,FALSE)))</t>
  </si>
  <si>
    <t>=IF(ISNUMBER($L$6)=FALSE,"",
IF($C75=0,"",VLOOKUP($E75,DanaSehat!$H$13:$L$56,5,FALSE)))</t>
  </si>
  <si>
    <t>=IF(ISNUMBER($L$6)=FALSE,"",
        IF(ISERROR(VLOOKUP($G75,DanaSehat!$L$13:$AK$56,I$4,FALSE))=TRUE,"",
              VLOOKUP($G75,DanaSehat!$L$13:$AK$56,I$4,FALSE)))</t>
  </si>
  <si>
    <t>=IF(ISNUMBER($L$6)=FALSE,"",
        IF(ISERROR(VLOOKUP($G75,DanaSehat!$L$13:$AK$56,J$4,FALSE))=TRUE,"",
              VLOOKUP($G75,DanaSehat!$L$13:$AK$56,J$4,FALSE)))</t>
  </si>
  <si>
    <t>=IF(ISNUMBER($L$6)=FALSE,"",
        IF(ISERROR(VLOOKUP($G75,DanaSehat!$L$13:$AK$56,K$4,FALSE))=TRUE,"",
              VLOOKUP($G75,DanaSehat!$L$13:$AK$56,K$4,FALSE)))</t>
  </si>
  <si>
    <t>=IF(ISNUMBER($L$6)=FALSE,"",
        IF(ISERROR(VLOOKUP($G75,DanaSehat!$L$13:$AK$56,L$4,FALSE))=TRUE,"",
              VLOOKUP($G75,DanaSehat!$L$13:$AK$56,L$4,FALSE)))</t>
  </si>
  <si>
    <t>=IF(ISNUMBER($L$6)=FALSE,"",
        IF(ISERROR(VLOOKUP($G75,DanaSehat!$L$13:$AK$56,M$4,FALSE))=TRUE,"",
              VLOOKUP($G75,DanaSehat!$L$13:$AK$56,M$4,FALSE)))</t>
  </si>
  <si>
    <t>=IF(ISNUMBER($L$6)=FALSE,"",
        IF(ISERROR(VLOOKUP($G75,DanaSehat!$L$13:$AK$56,N$4,FALSE))=TRUE,"",
              VLOOKUP($G75,DanaSehat!$L$13:$AK$56,N$4,FALSE)))</t>
  </si>
  <si>
    <t>=IF(ISNUMBER($L$6)=FALSE,"",
        IF(ISERROR(VLOOKUP($G75,DanaSehat!$L$13:$AK$56,O$4,FALSE))=TRUE,"",
              VLOOKUP($G75,DanaSehat!$L$13:$AK$56,O$4,FALSE)))</t>
  </si>
  <si>
    <t>=IF(ISNUMBER($L$6)=FALSE,"",
        IF(ISERROR(VLOOKUP($G75,DanaSehat!$L$13:$AK$56,P$4,FALSE))=TRUE,"",
              VLOOKUP($G75,DanaSehat!$L$13:$AK$56,P$4,FALSE)))</t>
  </si>
  <si>
    <t>=IF(ISNUMBER($L$6)=FALSE,"",
        IF(ISERROR(VLOOKUP($G75,DanaSehat!$L$13:$AK$56,Q$4,FALSE))=TRUE,"",
              VLOOKUP($G75,DanaSehat!$L$13:$AK$56,Q$4,FALSE)))</t>
  </si>
  <si>
    <t>=IF(ISNUMBER($L$6)=FALSE,"",
        IF(ISERROR(VLOOKUP($G75,DanaSehat!$L$13:$AK$56,R$4,FALSE))=TRUE,"",
              VLOOKUP($G75,DanaSehat!$L$13:$AK$56,R$4,FALSE)))</t>
  </si>
  <si>
    <t>=IF(ISNUMBER($L$6)=FALSE,"",
        IF(ISERROR(VLOOKUP($G75,DanaSehat!$L$13:$AK$56,S$4,FALSE))=TRUE,"",
              VLOOKUP($G75,DanaSehat!$L$13:$AK$56,S$4,FALSE)))</t>
  </si>
  <si>
    <t>=IF(ISNUMBER($L$6)=FALSE,"",
        IF(ISERROR(VLOOKUP($G75,DanaSehat!$L$13:$AK$56,T$4,FALSE))=TRUE,"",
              VLOOKUP($G75,DanaSehat!$L$13:$AK$56,T$4,FALSE)))</t>
  </si>
  <si>
    <t>=IF(ISNUMBER($L$6)=FALSE,"",
        IF(ISERROR(VLOOKUP($G75,DanaSehat!$L$13:$AK$56,U$4,FALSE))=TRUE,"",
              VLOOKUP($G75,DanaSehat!$L$13:$AK$56,U$4,FALSE)))</t>
  </si>
  <si>
    <t>=IF(ISNUMBER($L$6)=FALSE,"",
        IF(ISERROR(VLOOKUP($G75,DanaSehat!$L$13:$AK$56,V$4,FALSE))=TRUE,"",
              VLOOKUP($G75,DanaSehat!$L$13:$AK$56,V$4,FALSE)))</t>
  </si>
  <si>
    <t>=IF(ISNUMBER($L$6)=FALSE,"",
        IF(ISERROR(VLOOKUP($G75,DanaSehat!$L$13:$AK$56,W$4,FALSE))=TRUE,"",
              VLOOKUP($G75,DanaSehat!$L$13:$AK$56,W$4,FALSE)))</t>
  </si>
  <si>
    <t>=IF(ISNUMBER($L$6)=FALSE,"",
        IF(ISERROR(VLOOKUP($G75,DanaSehat!$L$13:$AK$56,X$4,FALSE))=TRUE,"",
              VLOOKUP($G75,DanaSehat!$L$13:$AK$56,X$4,FALSE)))</t>
  </si>
  <si>
    <t>=IF(ISNUMBER($L$6)=FALSE,"",
        IF(ISERROR(VLOOKUP($G75,DanaSehat!$L$13:$AK$56,Y$4,FALSE))=TRUE,"",
              VLOOKUP($G75,DanaSehat!$L$13:$AK$56,Y$4,FALSE)))</t>
  </si>
  <si>
    <t>=IF(ISNUMBER($L$6)=FALSE,"",
        IF(ISERROR(VLOOKUP($G75,DanaSehat!$L$13:$AK$56,Z$4,FALSE))=TRUE,"",
              VLOOKUP($G75,DanaSehat!$L$13:$AK$56,Z$4,FALSE)))</t>
  </si>
  <si>
    <t>=IF(ISNUMBER($L$6)=FALSE,"",
        IF(ISERROR(VLOOKUP($G75,DanaSehat!$L$13:$AK$56,AA$4,FALSE))=TRUE,"",
              VLOOKUP($G75,DanaSehat!$L$13:$AK$56,AA$4,FALSE)))</t>
  </si>
  <si>
    <t>=IF(ISNUMBER($L$6)=FALSE,"",
        IF(ISERROR(VLOOKUP($G75,DanaSehat!$L$13:$AK$56,AB$4,FALSE))=TRUE,"",
              VLOOKUP($G75,DanaSehat!$L$13:$AK$56,AB$4,FALSE)))</t>
  </si>
  <si>
    <t>=IF(ISNUMBER($L$6)=FALSE,"",
        IF(ISERROR(VLOOKUP($G75,DanaSehat!$L$13:$AK$56,AC$4,FALSE))=TRUE,"",
              VLOOKUP($G75,DanaSehat!$L$13:$AK$56,AC$4,FALSE)))</t>
  </si>
  <si>
    <t>=IF(ISNUMBER($L$6)=FALSE,"",
        IF(ISERROR(VLOOKUP($G75,DanaSehat!$L$13:$AK$56,AD$4,FALSE))=TRUE,"",
              VLOOKUP($G75,DanaSehat!$L$13:$AK$56,AD$4,FALSE)))</t>
  </si>
  <si>
    <t>=IF(ISNUMBER($L$6)=FALSE,"",
        IF(ISERROR(VLOOKUP($G75,DanaSehat!$L$13:$AK$56,AE$4,FALSE))=TRUE,"",
              VLOOKUP($G75,DanaSehat!$L$13:$AK$56,AE$4,FALSE)))</t>
  </si>
  <si>
    <t>=IF(ISNUMBER($L$6)=FALSE,"",
        IF(ISERROR(VLOOKUP($G75,DanaSehat!$L$13:$AK$56,AF$4,FALSE))=TRUE,"",
              VLOOKUP($G75,DanaSehat!$L$13:$AK$56,AF$4,FALSE)))</t>
  </si>
  <si>
    <t>=IF(ISNUMBER($L$6)=FALSE,"",
IF($C76=0,"",VLOOKUP($E76,DanaSehat!$H$13:$L$56,4,FALSE)))</t>
  </si>
  <si>
    <t>=IF(ISNUMBER($L$6)=FALSE,"",
IF($C76=0,"",VLOOKUP($E76,DanaSehat!$H$13:$L$56,5,FALSE)))</t>
  </si>
  <si>
    <t>=IF(ISNUMBER($L$6)=FALSE,"",
        IF(ISERROR(VLOOKUP($G76,DanaSehat!$L$13:$AK$56,I$4,FALSE))=TRUE,"",
              VLOOKUP($G76,DanaSehat!$L$13:$AK$56,I$4,FALSE)))</t>
  </si>
  <si>
    <t>=IF(ISNUMBER($L$6)=FALSE,"",
        IF(ISERROR(VLOOKUP($G76,DanaSehat!$L$13:$AK$56,J$4,FALSE))=TRUE,"",
              VLOOKUP($G76,DanaSehat!$L$13:$AK$56,J$4,FALSE)))</t>
  </si>
  <si>
    <t>=IF(ISNUMBER($L$6)=FALSE,"",
        IF(ISERROR(VLOOKUP($G76,DanaSehat!$L$13:$AK$56,K$4,FALSE))=TRUE,"",
              VLOOKUP($G76,DanaSehat!$L$13:$AK$56,K$4,FALSE)))</t>
  </si>
  <si>
    <t>=IF(ISNUMBER($L$6)=FALSE,"",
        IF(ISERROR(VLOOKUP($G76,DanaSehat!$L$13:$AK$56,L$4,FALSE))=TRUE,"",
              VLOOKUP($G76,DanaSehat!$L$13:$AK$56,L$4,FALSE)))</t>
  </si>
  <si>
    <t>=IF(ISNUMBER($L$6)=FALSE,"",
        IF(ISERROR(VLOOKUP($G76,DanaSehat!$L$13:$AK$56,M$4,FALSE))=TRUE,"",
              VLOOKUP($G76,DanaSehat!$L$13:$AK$56,M$4,FALSE)))</t>
  </si>
  <si>
    <t>=IF(ISNUMBER($L$6)=FALSE,"",
        IF(ISERROR(VLOOKUP($G76,DanaSehat!$L$13:$AK$56,N$4,FALSE))=TRUE,"",
              VLOOKUP($G76,DanaSehat!$L$13:$AK$56,N$4,FALSE)))</t>
  </si>
  <si>
    <t>=IF(ISNUMBER($L$6)=FALSE,"",
        IF(ISERROR(VLOOKUP($G76,DanaSehat!$L$13:$AK$56,O$4,FALSE))=TRUE,"",
              VLOOKUP($G76,DanaSehat!$L$13:$AK$56,O$4,FALSE)))</t>
  </si>
  <si>
    <t>=IF(ISNUMBER($L$6)=FALSE,"",
        IF(ISERROR(VLOOKUP($G76,DanaSehat!$L$13:$AK$56,P$4,FALSE))=TRUE,"",
              VLOOKUP($G76,DanaSehat!$L$13:$AK$56,P$4,FALSE)))</t>
  </si>
  <si>
    <t>=IF(ISNUMBER($L$6)=FALSE,"",
        IF(ISERROR(VLOOKUP($G76,DanaSehat!$L$13:$AK$56,Q$4,FALSE))=TRUE,"",
              VLOOKUP($G76,DanaSehat!$L$13:$AK$56,Q$4,FALSE)))</t>
  </si>
  <si>
    <t>=IF(ISNUMBER($L$6)=FALSE,"",
        IF(ISERROR(VLOOKUP($G76,DanaSehat!$L$13:$AK$56,R$4,FALSE))=TRUE,"",
              VLOOKUP($G76,DanaSehat!$L$13:$AK$56,R$4,FALSE)))</t>
  </si>
  <si>
    <t>=IF(ISNUMBER($L$6)=FALSE,"",
        IF(ISERROR(VLOOKUP($G76,DanaSehat!$L$13:$AK$56,S$4,FALSE))=TRUE,"",
              VLOOKUP($G76,DanaSehat!$L$13:$AK$56,S$4,FALSE)))</t>
  </si>
  <si>
    <t>=IF(ISNUMBER($L$6)=FALSE,"",
        IF(ISERROR(VLOOKUP($G76,DanaSehat!$L$13:$AK$56,T$4,FALSE))=TRUE,"",
              VLOOKUP($G76,DanaSehat!$L$13:$AK$56,T$4,FALSE)))</t>
  </si>
  <si>
    <t>=IF(ISNUMBER($L$6)=FALSE,"",
        IF(ISERROR(VLOOKUP($G76,DanaSehat!$L$13:$AK$56,U$4,FALSE))=TRUE,"",
              VLOOKUP($G76,DanaSehat!$L$13:$AK$56,U$4,FALSE)))</t>
  </si>
  <si>
    <t>=IF(ISNUMBER($L$6)=FALSE,"",
        IF(ISERROR(VLOOKUP($G76,DanaSehat!$L$13:$AK$56,V$4,FALSE))=TRUE,"",
              VLOOKUP($G76,DanaSehat!$L$13:$AK$56,V$4,FALSE)))</t>
  </si>
  <si>
    <t>=IF(ISNUMBER($L$6)=FALSE,"",
        IF(ISERROR(VLOOKUP($G76,DanaSehat!$L$13:$AK$56,W$4,FALSE))=TRUE,"",
              VLOOKUP($G76,DanaSehat!$L$13:$AK$56,W$4,FALSE)))</t>
  </si>
  <si>
    <t>=IF(ISNUMBER($L$6)=FALSE,"",
        IF(ISERROR(VLOOKUP($G76,DanaSehat!$L$13:$AK$56,X$4,FALSE))=TRUE,"",
              VLOOKUP($G76,DanaSehat!$L$13:$AK$56,X$4,FALSE)))</t>
  </si>
  <si>
    <t>=IF(ISNUMBER($L$6)=FALSE,"",
        IF(ISERROR(VLOOKUP($G76,DanaSehat!$L$13:$AK$56,Y$4,FALSE))=TRUE,"",
              VLOOKUP($G76,DanaSehat!$L$13:$AK$56,Y$4,FALSE)))</t>
  </si>
  <si>
    <t>=IF(ISNUMBER($L$6)=FALSE,"",
        IF(ISERROR(VLOOKUP($G76,DanaSehat!$L$13:$AK$56,Z$4,FALSE))=TRUE,"",
              VLOOKUP($G76,DanaSehat!$L$13:$AK$56,Z$4,FALSE)))</t>
  </si>
  <si>
    <t>=IF(ISNUMBER($L$6)=FALSE,"",
        IF(ISERROR(VLOOKUP($G76,DanaSehat!$L$13:$AK$56,AA$4,FALSE))=TRUE,"",
              VLOOKUP($G76,DanaSehat!$L$13:$AK$56,AA$4,FALSE)))</t>
  </si>
  <si>
    <t>=IF(ISNUMBER($L$6)=FALSE,"",
        IF(ISERROR(VLOOKUP($G76,DanaSehat!$L$13:$AK$56,AB$4,FALSE))=TRUE,"",
              VLOOKUP($G76,DanaSehat!$L$13:$AK$56,AB$4,FALSE)))</t>
  </si>
  <si>
    <t>=IF(ISNUMBER($L$6)=FALSE,"",
        IF(ISERROR(VLOOKUP($G76,DanaSehat!$L$13:$AK$56,AC$4,FALSE))=TRUE,"",
              VLOOKUP($G76,DanaSehat!$L$13:$AK$56,AC$4,FALSE)))</t>
  </si>
  <si>
    <t>=IF(ISNUMBER($L$6)=FALSE,"",
        IF(ISERROR(VLOOKUP($G76,DanaSehat!$L$13:$AK$56,AD$4,FALSE))=TRUE,"",
              VLOOKUP($G76,DanaSehat!$L$13:$AK$56,AD$4,FALSE)))</t>
  </si>
  <si>
    <t>=IF(ISNUMBER($L$6)=FALSE,"",
        IF(ISERROR(VLOOKUP($G76,DanaSehat!$L$13:$AK$56,AE$4,FALSE))=TRUE,"",
              VLOOKUP($G76,DanaSehat!$L$13:$AK$56,AE$4,FALSE)))</t>
  </si>
  <si>
    <t>=IF(ISNUMBER($L$6)=FALSE,"",
        IF(ISERROR(VLOOKUP($G76,DanaSehat!$L$13:$AK$56,AF$4,FALSE))=TRUE,"",
              VLOOKUP($G76,DanaSehat!$L$13:$AK$56,AF$4,FALSE)))</t>
  </si>
  <si>
    <t>=IF(ISNUMBER($L$6)=FALSE,"",
IF($C77=0,"",VLOOKUP($E77,DanaSehat!$H$13:$L$56,4,FALSE)))</t>
  </si>
  <si>
    <t>=IF(ISNUMBER($L$6)=FALSE,"",
IF($C77=0,"",VLOOKUP($E77,DanaSehat!$H$13:$L$56,5,FALSE)))</t>
  </si>
  <si>
    <t>=IF(ISNUMBER($L$6)=FALSE,"",
        IF(ISERROR(VLOOKUP($G77,DanaSehat!$L$13:$AK$56,I$4,FALSE))=TRUE,"",
              VLOOKUP($G77,DanaSehat!$L$13:$AK$56,I$4,FALSE)))</t>
  </si>
  <si>
    <t>=IF(ISNUMBER($L$6)=FALSE,"",
        IF(ISERROR(VLOOKUP($G77,DanaSehat!$L$13:$AK$56,J$4,FALSE))=TRUE,"",
              VLOOKUP($G77,DanaSehat!$L$13:$AK$56,J$4,FALSE)))</t>
  </si>
  <si>
    <t>=IF(ISNUMBER($L$6)=FALSE,"",
        IF(ISERROR(VLOOKUP($G77,DanaSehat!$L$13:$AK$56,K$4,FALSE))=TRUE,"",
              VLOOKUP($G77,DanaSehat!$L$13:$AK$56,K$4,FALSE)))</t>
  </si>
  <si>
    <t>=IF(ISNUMBER($L$6)=FALSE,"",
        IF(ISERROR(VLOOKUP($G77,DanaSehat!$L$13:$AK$56,L$4,FALSE))=TRUE,"",
              VLOOKUP($G77,DanaSehat!$L$13:$AK$56,L$4,FALSE)))</t>
  </si>
  <si>
    <t>=IF(ISNUMBER($L$6)=FALSE,"",
        IF(ISERROR(VLOOKUP($G77,DanaSehat!$L$13:$AK$56,M$4,FALSE))=TRUE,"",
              VLOOKUP($G77,DanaSehat!$L$13:$AK$56,M$4,FALSE)))</t>
  </si>
  <si>
    <t>=IF(ISNUMBER($L$6)=FALSE,"",
        IF(ISERROR(VLOOKUP($G77,DanaSehat!$L$13:$AK$56,N$4,FALSE))=TRUE,"",
              VLOOKUP($G77,DanaSehat!$L$13:$AK$56,N$4,FALSE)))</t>
  </si>
  <si>
    <t>=IF(ISNUMBER($L$6)=FALSE,"",
        IF(ISERROR(VLOOKUP($G77,DanaSehat!$L$13:$AK$56,O$4,FALSE))=TRUE,"",
              VLOOKUP($G77,DanaSehat!$L$13:$AK$56,O$4,FALSE)))</t>
  </si>
  <si>
    <t>=IF(ISNUMBER($L$6)=FALSE,"",
        IF(ISERROR(VLOOKUP($G77,DanaSehat!$L$13:$AK$56,P$4,FALSE))=TRUE,"",
              VLOOKUP($G77,DanaSehat!$L$13:$AK$56,P$4,FALSE)))</t>
  </si>
  <si>
    <t>=IF(ISNUMBER($L$6)=FALSE,"",
        IF(ISERROR(VLOOKUP($G77,DanaSehat!$L$13:$AK$56,Q$4,FALSE))=TRUE,"",
              VLOOKUP($G77,DanaSehat!$L$13:$AK$56,Q$4,FALSE)))</t>
  </si>
  <si>
    <t>=IF(ISNUMBER($L$6)=FALSE,"",
        IF(ISERROR(VLOOKUP($G77,DanaSehat!$L$13:$AK$56,R$4,FALSE))=TRUE,"",
              VLOOKUP($G77,DanaSehat!$L$13:$AK$56,R$4,FALSE)))</t>
  </si>
  <si>
    <t>=IF(ISNUMBER($L$6)=FALSE,"",
        IF(ISERROR(VLOOKUP($G77,DanaSehat!$L$13:$AK$56,S$4,FALSE))=TRUE,"",
              VLOOKUP($G77,DanaSehat!$L$13:$AK$56,S$4,FALSE)))</t>
  </si>
  <si>
    <t>=IF(ISNUMBER($L$6)=FALSE,"",
        IF(ISERROR(VLOOKUP($G77,DanaSehat!$L$13:$AK$56,T$4,FALSE))=TRUE,"",
              VLOOKUP($G77,DanaSehat!$L$13:$AK$56,T$4,FALSE)))</t>
  </si>
  <si>
    <t>=IF(ISNUMBER($L$6)=FALSE,"",
        IF(ISERROR(VLOOKUP($G77,DanaSehat!$L$13:$AK$56,U$4,FALSE))=TRUE,"",
              VLOOKUP($G77,DanaSehat!$L$13:$AK$56,U$4,FALSE)))</t>
  </si>
  <si>
    <t>=IF(ISNUMBER($L$6)=FALSE,"",
        IF(ISERROR(VLOOKUP($G77,DanaSehat!$L$13:$AK$56,V$4,FALSE))=TRUE,"",
              VLOOKUP($G77,DanaSehat!$L$13:$AK$56,V$4,FALSE)))</t>
  </si>
  <si>
    <t>=IF(ISNUMBER($L$6)=FALSE,"",
        IF(ISERROR(VLOOKUP($G77,DanaSehat!$L$13:$AK$56,W$4,FALSE))=TRUE,"",
              VLOOKUP($G77,DanaSehat!$L$13:$AK$56,W$4,FALSE)))</t>
  </si>
  <si>
    <t>=IF(ISNUMBER($L$6)=FALSE,"",
        IF(ISERROR(VLOOKUP($G77,DanaSehat!$L$13:$AK$56,X$4,FALSE))=TRUE,"",
              VLOOKUP($G77,DanaSehat!$L$13:$AK$56,X$4,FALSE)))</t>
  </si>
  <si>
    <t>=IF(ISNUMBER($L$6)=FALSE,"",
        IF(ISERROR(VLOOKUP($G77,DanaSehat!$L$13:$AK$56,Y$4,FALSE))=TRUE,"",
              VLOOKUP($G77,DanaSehat!$L$13:$AK$56,Y$4,FALSE)))</t>
  </si>
  <si>
    <t>=IF(ISNUMBER($L$6)=FALSE,"",
        IF(ISERROR(VLOOKUP($G77,DanaSehat!$L$13:$AK$56,Z$4,FALSE))=TRUE,"",
              VLOOKUP($G77,DanaSehat!$L$13:$AK$56,Z$4,FALSE)))</t>
  </si>
  <si>
    <t>=IF(ISNUMBER($L$6)=FALSE,"",
        IF(ISERROR(VLOOKUP($G77,DanaSehat!$L$13:$AK$56,AA$4,FALSE))=TRUE,"",
              VLOOKUP($G77,DanaSehat!$L$13:$AK$56,AA$4,FALSE)))</t>
  </si>
  <si>
    <t>=IF(ISNUMBER($L$6)=FALSE,"",
        IF(ISERROR(VLOOKUP($G77,DanaSehat!$L$13:$AK$56,AB$4,FALSE))=TRUE,"",
              VLOOKUP($G77,DanaSehat!$L$13:$AK$56,AB$4,FALSE)))</t>
  </si>
  <si>
    <t>=IF(ISNUMBER($L$6)=FALSE,"",
        IF(ISERROR(VLOOKUP($G77,DanaSehat!$L$13:$AK$56,AC$4,FALSE))=TRUE,"",
              VLOOKUP($G77,DanaSehat!$L$13:$AK$56,AC$4,FALSE)))</t>
  </si>
  <si>
    <t>=IF(ISNUMBER($L$6)=FALSE,"",
        IF(ISERROR(VLOOKUP($G77,DanaSehat!$L$13:$AK$56,AD$4,FALSE))=TRUE,"",
              VLOOKUP($G77,DanaSehat!$L$13:$AK$56,AD$4,FALSE)))</t>
  </si>
  <si>
    <t>=IF(ISNUMBER($L$6)=FALSE,"",
        IF(ISERROR(VLOOKUP($G77,DanaSehat!$L$13:$AK$56,AE$4,FALSE))=TRUE,"",
              VLOOKUP($G77,DanaSehat!$L$13:$AK$56,AE$4,FALSE)))</t>
  </si>
  <si>
    <t>=IF(ISNUMBER($L$6)=FALSE,"",
        IF(ISERROR(VLOOKUP($G77,DanaSehat!$L$13:$AK$56,AF$4,FALSE))=TRUE,"",
              VLOOKUP($G77,DanaSehat!$L$13:$AK$56,AF$4,FALSE)))</t>
  </si>
  <si>
    <t>=IF(ISNUMBER($L$6)=FALSE,"",
IF($C78=0,"",VLOOKUP($E78,DanaSehat!$H$13:$L$56,4,FALSE)))</t>
  </si>
  <si>
    <t>=IF(ISNUMBER($L$6)=FALSE,"",
IF($C78=0,"",VLOOKUP($E78,DanaSehat!$H$13:$L$56,5,FALSE)))</t>
  </si>
  <si>
    <t>=IF(ISNUMBER($L$6)=FALSE,"",
        IF(ISERROR(VLOOKUP($G78,DanaSehat!$L$13:$AK$56,I$4,FALSE))=TRUE,"",
              VLOOKUP($G78,DanaSehat!$L$13:$AK$56,I$4,FALSE)))</t>
  </si>
  <si>
    <t>=IF(ISNUMBER($L$6)=FALSE,"",
        IF(ISERROR(VLOOKUP($G78,DanaSehat!$L$13:$AK$56,J$4,FALSE))=TRUE,"",
              VLOOKUP($G78,DanaSehat!$L$13:$AK$56,J$4,FALSE)))</t>
  </si>
  <si>
    <t>=IF(ISNUMBER($L$6)=FALSE,"",
        IF(ISERROR(VLOOKUP($G78,DanaSehat!$L$13:$AK$56,K$4,FALSE))=TRUE,"",
              VLOOKUP($G78,DanaSehat!$L$13:$AK$56,K$4,FALSE)))</t>
  </si>
  <si>
    <t>=IF(ISNUMBER($L$6)=FALSE,"",
        IF(ISERROR(VLOOKUP($G78,DanaSehat!$L$13:$AK$56,L$4,FALSE))=TRUE,"",
              VLOOKUP($G78,DanaSehat!$L$13:$AK$56,L$4,FALSE)))</t>
  </si>
  <si>
    <t>=IF(ISNUMBER($L$6)=FALSE,"",
        IF(ISERROR(VLOOKUP($G78,DanaSehat!$L$13:$AK$56,M$4,FALSE))=TRUE,"",
              VLOOKUP($G78,DanaSehat!$L$13:$AK$56,M$4,FALSE)))</t>
  </si>
  <si>
    <t>=IF(ISNUMBER($L$6)=FALSE,"",
        IF(ISERROR(VLOOKUP($G78,DanaSehat!$L$13:$AK$56,N$4,FALSE))=TRUE,"",
              VLOOKUP($G78,DanaSehat!$L$13:$AK$56,N$4,FALSE)))</t>
  </si>
  <si>
    <t>=IF(ISNUMBER($L$6)=FALSE,"",
        IF(ISERROR(VLOOKUP($G78,DanaSehat!$L$13:$AK$56,O$4,FALSE))=TRUE,"",
              VLOOKUP($G78,DanaSehat!$L$13:$AK$56,O$4,FALSE)))</t>
  </si>
  <si>
    <t>=IF(ISNUMBER($L$6)=FALSE,"",
        IF(ISERROR(VLOOKUP($G78,DanaSehat!$L$13:$AK$56,P$4,FALSE))=TRUE,"",
              VLOOKUP($G78,DanaSehat!$L$13:$AK$56,P$4,FALSE)))</t>
  </si>
  <si>
    <t>=IF(ISNUMBER($L$6)=FALSE,"",
        IF(ISERROR(VLOOKUP($G78,DanaSehat!$L$13:$AK$56,Q$4,FALSE))=TRUE,"",
              VLOOKUP($G78,DanaSehat!$L$13:$AK$56,Q$4,FALSE)))</t>
  </si>
  <si>
    <t>=IF(ISNUMBER($L$6)=FALSE,"",
        IF(ISERROR(VLOOKUP($G78,DanaSehat!$L$13:$AK$56,R$4,FALSE))=TRUE,"",
              VLOOKUP($G78,DanaSehat!$L$13:$AK$56,R$4,FALSE)))</t>
  </si>
  <si>
    <t>=IF(ISNUMBER($L$6)=FALSE,"",
        IF(ISERROR(VLOOKUP($G78,DanaSehat!$L$13:$AK$56,S$4,FALSE))=TRUE,"",
              VLOOKUP($G78,DanaSehat!$L$13:$AK$56,S$4,FALSE)))</t>
  </si>
  <si>
    <t>=IF(ISNUMBER($L$6)=FALSE,"",
        IF(ISERROR(VLOOKUP($G78,DanaSehat!$L$13:$AK$56,T$4,FALSE))=TRUE,"",
              VLOOKUP($G78,DanaSehat!$L$13:$AK$56,T$4,FALSE)))</t>
  </si>
  <si>
    <t>=IF(ISNUMBER($L$6)=FALSE,"",
        IF(ISERROR(VLOOKUP($G78,DanaSehat!$L$13:$AK$56,U$4,FALSE))=TRUE,"",
              VLOOKUP($G78,DanaSehat!$L$13:$AK$56,U$4,FALSE)))</t>
  </si>
  <si>
    <t>=IF(ISNUMBER($L$6)=FALSE,"",
        IF(ISERROR(VLOOKUP($G78,DanaSehat!$L$13:$AK$56,V$4,FALSE))=TRUE,"",
              VLOOKUP($G78,DanaSehat!$L$13:$AK$56,V$4,FALSE)))</t>
  </si>
  <si>
    <t>=IF(ISNUMBER($L$6)=FALSE,"",
        IF(ISERROR(VLOOKUP($G78,DanaSehat!$L$13:$AK$56,W$4,FALSE))=TRUE,"",
              VLOOKUP($G78,DanaSehat!$L$13:$AK$56,W$4,FALSE)))</t>
  </si>
  <si>
    <t>=IF(ISNUMBER($L$6)=FALSE,"",
        IF(ISERROR(VLOOKUP($G78,DanaSehat!$L$13:$AK$56,X$4,FALSE))=TRUE,"",
              VLOOKUP($G78,DanaSehat!$L$13:$AK$56,X$4,FALSE)))</t>
  </si>
  <si>
    <t>=IF(ISNUMBER($L$6)=FALSE,"",
        IF(ISERROR(VLOOKUP($G78,DanaSehat!$L$13:$AK$56,Y$4,FALSE))=TRUE,"",
              VLOOKUP($G78,DanaSehat!$L$13:$AK$56,Y$4,FALSE)))</t>
  </si>
  <si>
    <t>=IF(ISNUMBER($L$6)=FALSE,"",
        IF(ISERROR(VLOOKUP($G78,DanaSehat!$L$13:$AK$56,Z$4,FALSE))=TRUE,"",
              VLOOKUP($G78,DanaSehat!$L$13:$AK$56,Z$4,FALSE)))</t>
  </si>
  <si>
    <t>=IF(ISNUMBER($L$6)=FALSE,"",
        IF(ISERROR(VLOOKUP($G78,DanaSehat!$L$13:$AK$56,AA$4,FALSE))=TRUE,"",
              VLOOKUP($G78,DanaSehat!$L$13:$AK$56,AA$4,FALSE)))</t>
  </si>
  <si>
    <t>=IF(ISNUMBER($L$6)=FALSE,"",
        IF(ISERROR(VLOOKUP($G78,DanaSehat!$L$13:$AK$56,AB$4,FALSE))=TRUE,"",
              VLOOKUP($G78,DanaSehat!$L$13:$AK$56,AB$4,FALSE)))</t>
  </si>
  <si>
    <t>=IF(ISNUMBER($L$6)=FALSE,"",
        IF(ISERROR(VLOOKUP($G78,DanaSehat!$L$13:$AK$56,AC$4,FALSE))=TRUE,"",
              VLOOKUP($G78,DanaSehat!$L$13:$AK$56,AC$4,FALSE)))</t>
  </si>
  <si>
    <t>=IF(ISNUMBER($L$6)=FALSE,"",
        IF(ISERROR(VLOOKUP($G78,DanaSehat!$L$13:$AK$56,AD$4,FALSE))=TRUE,"",
              VLOOKUP($G78,DanaSehat!$L$13:$AK$56,AD$4,FALSE)))</t>
  </si>
  <si>
    <t>=IF(ISNUMBER($L$6)=FALSE,"",
        IF(ISERROR(VLOOKUP($G78,DanaSehat!$L$13:$AK$56,AE$4,FALSE))=TRUE,"",
              VLOOKUP($G78,DanaSehat!$L$13:$AK$56,AE$4,FALSE)))</t>
  </si>
  <si>
    <t>=IF(ISNUMBER($L$6)=FALSE,"",
        IF(ISERROR(VLOOKUP($G78,DanaSehat!$L$13:$AK$56,AF$4,FALSE))=TRUE,"",
              VLOOKUP($G78,DanaSehat!$L$13:$AK$56,AF$4,FALSE)))</t>
  </si>
  <si>
    <t>=IF(ISNUMBER($L$6)=FALSE,"",
IF($C79=0,"",VLOOKUP($E79,DanaSehat!$H$13:$L$56,4,FALSE)))</t>
  </si>
  <si>
    <t>=IF(ISNUMBER($L$6)=FALSE,"",
IF($C79=0,"",VLOOKUP($E79,DanaSehat!$H$13:$L$56,5,FALSE)))</t>
  </si>
  <si>
    <t>=IF(ISNUMBER($L$6)=FALSE,"",
        IF(ISERROR(VLOOKUP($G79,DanaSehat!$L$13:$AK$56,I$4,FALSE))=TRUE,"",
              VLOOKUP($G79,DanaSehat!$L$13:$AK$56,I$4,FALSE)))</t>
  </si>
  <si>
    <t>=IF(ISNUMBER($L$6)=FALSE,"",
        IF(ISERROR(VLOOKUP($G79,DanaSehat!$L$13:$AK$56,J$4,FALSE))=TRUE,"",
              VLOOKUP($G79,DanaSehat!$L$13:$AK$56,J$4,FALSE)))</t>
  </si>
  <si>
    <t>=IF(ISNUMBER($L$6)=FALSE,"",
        IF(ISERROR(VLOOKUP($G79,DanaSehat!$L$13:$AK$56,K$4,FALSE))=TRUE,"",
              VLOOKUP($G79,DanaSehat!$L$13:$AK$56,K$4,FALSE)))</t>
  </si>
  <si>
    <t>=IF(ISNUMBER($L$6)=FALSE,"",
        IF(ISERROR(VLOOKUP($G79,DanaSehat!$L$13:$AK$56,L$4,FALSE))=TRUE,"",
              VLOOKUP($G79,DanaSehat!$L$13:$AK$56,L$4,FALSE)))</t>
  </si>
  <si>
    <t>=IF(ISNUMBER($L$6)=FALSE,"",
        IF(ISERROR(VLOOKUP($G79,DanaSehat!$L$13:$AK$56,M$4,FALSE))=TRUE,"",
              VLOOKUP($G79,DanaSehat!$L$13:$AK$56,M$4,FALSE)))</t>
  </si>
  <si>
    <t>=IF(ISNUMBER($L$6)=FALSE,"",
        IF(ISERROR(VLOOKUP($G79,DanaSehat!$L$13:$AK$56,N$4,FALSE))=TRUE,"",
              VLOOKUP($G79,DanaSehat!$L$13:$AK$56,N$4,FALSE)))</t>
  </si>
  <si>
    <t>=IF(ISNUMBER($L$6)=FALSE,"",
        IF(ISERROR(VLOOKUP($G79,DanaSehat!$L$13:$AK$56,O$4,FALSE))=TRUE,"",
              VLOOKUP($G79,DanaSehat!$L$13:$AK$56,O$4,FALSE)))</t>
  </si>
  <si>
    <t>=IF(ISNUMBER($L$6)=FALSE,"",
        IF(ISERROR(VLOOKUP($G79,DanaSehat!$L$13:$AK$56,P$4,FALSE))=TRUE,"",
              VLOOKUP($G79,DanaSehat!$L$13:$AK$56,P$4,FALSE)))</t>
  </si>
  <si>
    <t>=IF(ISNUMBER($L$6)=FALSE,"",
        IF(ISERROR(VLOOKUP($G79,DanaSehat!$L$13:$AK$56,Q$4,FALSE))=TRUE,"",
              VLOOKUP($G79,DanaSehat!$L$13:$AK$56,Q$4,FALSE)))</t>
  </si>
  <si>
    <t>=IF(ISNUMBER($L$6)=FALSE,"",
        IF(ISERROR(VLOOKUP($G79,DanaSehat!$L$13:$AK$56,R$4,FALSE))=TRUE,"",
              VLOOKUP($G79,DanaSehat!$L$13:$AK$56,R$4,FALSE)))</t>
  </si>
  <si>
    <t>=IF(ISNUMBER($L$6)=FALSE,"",
        IF(ISERROR(VLOOKUP($G79,DanaSehat!$L$13:$AK$56,S$4,FALSE))=TRUE,"",
              VLOOKUP($G79,DanaSehat!$L$13:$AK$56,S$4,FALSE)))</t>
  </si>
  <si>
    <t>=IF(ISNUMBER($L$6)=FALSE,"",
        IF(ISERROR(VLOOKUP($G79,DanaSehat!$L$13:$AK$56,T$4,FALSE))=TRUE,"",
              VLOOKUP($G79,DanaSehat!$L$13:$AK$56,T$4,FALSE)))</t>
  </si>
  <si>
    <t>=IF(ISNUMBER($L$6)=FALSE,"",
        IF(ISERROR(VLOOKUP($G79,DanaSehat!$L$13:$AK$56,U$4,FALSE))=TRUE,"",
              VLOOKUP($G79,DanaSehat!$L$13:$AK$56,U$4,FALSE)))</t>
  </si>
  <si>
    <t>=IF(ISNUMBER($L$6)=FALSE,"",
        IF(ISERROR(VLOOKUP($G79,DanaSehat!$L$13:$AK$56,V$4,FALSE))=TRUE,"",
              VLOOKUP($G79,DanaSehat!$L$13:$AK$56,V$4,FALSE)))</t>
  </si>
  <si>
    <t>=IF(ISNUMBER($L$6)=FALSE,"",
        IF(ISERROR(VLOOKUP($G79,DanaSehat!$L$13:$AK$56,W$4,FALSE))=TRUE,"",
              VLOOKUP($G79,DanaSehat!$L$13:$AK$56,W$4,FALSE)))</t>
  </si>
  <si>
    <t>=IF(ISNUMBER($L$6)=FALSE,"",
        IF(ISERROR(VLOOKUP($G79,DanaSehat!$L$13:$AK$56,X$4,FALSE))=TRUE,"",
              VLOOKUP($G79,DanaSehat!$L$13:$AK$56,X$4,FALSE)))</t>
  </si>
  <si>
    <t>=IF(ISNUMBER($L$6)=FALSE,"",
        IF(ISERROR(VLOOKUP($G79,DanaSehat!$L$13:$AK$56,Y$4,FALSE))=TRUE,"",
              VLOOKUP($G79,DanaSehat!$L$13:$AK$56,Y$4,FALSE)))</t>
  </si>
  <si>
    <t>=IF(ISNUMBER($L$6)=FALSE,"",
        IF(ISERROR(VLOOKUP($G79,DanaSehat!$L$13:$AK$56,Z$4,FALSE))=TRUE,"",
              VLOOKUP($G79,DanaSehat!$L$13:$AK$56,Z$4,FALSE)))</t>
  </si>
  <si>
    <t>=IF(ISNUMBER($L$6)=FALSE,"",
        IF(ISERROR(VLOOKUP($G79,DanaSehat!$L$13:$AK$56,AA$4,FALSE))=TRUE,"",
              VLOOKUP($G79,DanaSehat!$L$13:$AK$56,AA$4,FALSE)))</t>
  </si>
  <si>
    <t>=IF(ISNUMBER($L$6)=FALSE,"",
        IF(ISERROR(VLOOKUP($G79,DanaSehat!$L$13:$AK$56,AB$4,FALSE))=TRUE,"",
              VLOOKUP($G79,DanaSehat!$L$13:$AK$56,AB$4,FALSE)))</t>
  </si>
  <si>
    <t>=IF(ISNUMBER($L$6)=FALSE,"",
        IF(ISERROR(VLOOKUP($G79,DanaSehat!$L$13:$AK$56,AC$4,FALSE))=TRUE,"",
              VLOOKUP($G79,DanaSehat!$L$13:$AK$56,AC$4,FALSE)))</t>
  </si>
  <si>
    <t>=IF(ISNUMBER($L$6)=FALSE,"",
        IF(ISERROR(VLOOKUP($G79,DanaSehat!$L$13:$AK$56,AD$4,FALSE))=TRUE,"",
              VLOOKUP($G79,DanaSehat!$L$13:$AK$56,AD$4,FALSE)))</t>
  </si>
  <si>
    <t>=IF(ISNUMBER($L$6)=FALSE,"",
        IF(ISERROR(VLOOKUP($G79,DanaSehat!$L$13:$AK$56,AE$4,FALSE))=TRUE,"",
              VLOOKUP($G79,DanaSehat!$L$13:$AK$56,AE$4,FALSE)))</t>
  </si>
  <si>
    <t>=IF(ISNUMBER($L$6)=FALSE,"",
        IF(ISERROR(VLOOKUP($G79,DanaSehat!$L$13:$AK$56,AF$4,FALSE))=TRUE,"",
              VLOOKUP($G79,DanaSehat!$L$13:$AK$56,AF$4,FALSE)))</t>
  </si>
  <si>
    <t>=IF(ISNUMBER($L$6)=FALSE,"",
IF($C80=0,"",VLOOKUP($E80,DanaSehat!$H$13:$L$56,4,FALSE)))</t>
  </si>
  <si>
    <t>=IF(ISNUMBER($L$6)=FALSE,"",
IF($C80=0,"",VLOOKUP($E80,DanaSehat!$H$13:$L$56,5,FALSE)))</t>
  </si>
  <si>
    <t>=IF(ISNUMBER($L$6)=FALSE,"",
        IF(ISERROR(VLOOKUP($G80,DanaSehat!$L$13:$AK$56,I$4,FALSE))=TRUE,"",
              VLOOKUP($G80,DanaSehat!$L$13:$AK$56,I$4,FALSE)))</t>
  </si>
  <si>
    <t>=IF(ISNUMBER($L$6)=FALSE,"",
        IF(ISERROR(VLOOKUP($G80,DanaSehat!$L$13:$AK$56,J$4,FALSE))=TRUE,"",
              VLOOKUP($G80,DanaSehat!$L$13:$AK$56,J$4,FALSE)))</t>
  </si>
  <si>
    <t>=IF(ISNUMBER($L$6)=FALSE,"",
        IF(ISERROR(VLOOKUP($G80,DanaSehat!$L$13:$AK$56,K$4,FALSE))=TRUE,"",
              VLOOKUP($G80,DanaSehat!$L$13:$AK$56,K$4,FALSE)))</t>
  </si>
  <si>
    <t>=IF(ISNUMBER($L$6)=FALSE,"",
        IF(ISERROR(VLOOKUP($G80,DanaSehat!$L$13:$AK$56,L$4,FALSE))=TRUE,"",
              VLOOKUP($G80,DanaSehat!$L$13:$AK$56,L$4,FALSE)))</t>
  </si>
  <si>
    <t>=IF(ISNUMBER($L$6)=FALSE,"",
        IF(ISERROR(VLOOKUP($G80,DanaSehat!$L$13:$AK$56,M$4,FALSE))=TRUE,"",
              VLOOKUP($G80,DanaSehat!$L$13:$AK$56,M$4,FALSE)))</t>
  </si>
  <si>
    <t>=IF(ISNUMBER($L$6)=FALSE,"",
        IF(ISERROR(VLOOKUP($G80,DanaSehat!$L$13:$AK$56,N$4,FALSE))=TRUE,"",
              VLOOKUP($G80,DanaSehat!$L$13:$AK$56,N$4,FALSE)))</t>
  </si>
  <si>
    <t>=IF(ISNUMBER($L$6)=FALSE,"",
        IF(ISERROR(VLOOKUP($G80,DanaSehat!$L$13:$AK$56,O$4,FALSE))=TRUE,"",
              VLOOKUP($G80,DanaSehat!$L$13:$AK$56,O$4,FALSE)))</t>
  </si>
  <si>
    <t>=IF(ISNUMBER($L$6)=FALSE,"",
        IF(ISERROR(VLOOKUP($G80,DanaSehat!$L$13:$AK$56,P$4,FALSE))=TRUE,"",
              VLOOKUP($G80,DanaSehat!$L$13:$AK$56,P$4,FALSE)))</t>
  </si>
  <si>
    <t>=IF(ISNUMBER($L$6)=FALSE,"",
        IF(ISERROR(VLOOKUP($G80,DanaSehat!$L$13:$AK$56,Q$4,FALSE))=TRUE,"",
              VLOOKUP($G80,DanaSehat!$L$13:$AK$56,Q$4,FALSE)))</t>
  </si>
  <si>
    <t>=IF(ISNUMBER($L$6)=FALSE,"",
        IF(ISERROR(VLOOKUP($G80,DanaSehat!$L$13:$AK$56,R$4,FALSE))=TRUE,"",
              VLOOKUP($G80,DanaSehat!$L$13:$AK$56,R$4,FALSE)))</t>
  </si>
  <si>
    <t>=IF(ISNUMBER($L$6)=FALSE,"",
        IF(ISERROR(VLOOKUP($G80,DanaSehat!$L$13:$AK$56,S$4,FALSE))=TRUE,"",
              VLOOKUP($G80,DanaSehat!$L$13:$AK$56,S$4,FALSE)))</t>
  </si>
  <si>
    <t>=IF(ISNUMBER($L$6)=FALSE,"",
        IF(ISERROR(VLOOKUP($G80,DanaSehat!$L$13:$AK$56,T$4,FALSE))=TRUE,"",
              VLOOKUP($G80,DanaSehat!$L$13:$AK$56,T$4,FALSE)))</t>
  </si>
  <si>
    <t>=IF(ISNUMBER($L$6)=FALSE,"",
        IF(ISERROR(VLOOKUP($G80,DanaSehat!$L$13:$AK$56,U$4,FALSE))=TRUE,"",
              VLOOKUP($G80,DanaSehat!$L$13:$AK$56,U$4,FALSE)))</t>
  </si>
  <si>
    <t>=IF(ISNUMBER($L$6)=FALSE,"",
        IF(ISERROR(VLOOKUP($G80,DanaSehat!$L$13:$AK$56,V$4,FALSE))=TRUE,"",
              VLOOKUP($G80,DanaSehat!$L$13:$AK$56,V$4,FALSE)))</t>
  </si>
  <si>
    <t>=IF(ISNUMBER($L$6)=FALSE,"",
        IF(ISERROR(VLOOKUP($G80,DanaSehat!$L$13:$AK$56,W$4,FALSE))=TRUE,"",
              VLOOKUP($G80,DanaSehat!$L$13:$AK$56,W$4,FALSE)))</t>
  </si>
  <si>
    <t>=IF(ISNUMBER($L$6)=FALSE,"",
        IF(ISERROR(VLOOKUP($G80,DanaSehat!$L$13:$AK$56,X$4,FALSE))=TRUE,"",
              VLOOKUP($G80,DanaSehat!$L$13:$AK$56,X$4,FALSE)))</t>
  </si>
  <si>
    <t>=IF(ISNUMBER($L$6)=FALSE,"",
        IF(ISERROR(VLOOKUP($G80,DanaSehat!$L$13:$AK$56,Y$4,FALSE))=TRUE,"",
              VLOOKUP($G80,DanaSehat!$L$13:$AK$56,Y$4,FALSE)))</t>
  </si>
  <si>
    <t>=IF(ISNUMBER($L$6)=FALSE,"",
        IF(ISERROR(VLOOKUP($G80,DanaSehat!$L$13:$AK$56,Z$4,FALSE))=TRUE,"",
              VLOOKUP($G80,DanaSehat!$L$13:$AK$56,Z$4,FALSE)))</t>
  </si>
  <si>
    <t>=IF(ISNUMBER($L$6)=FALSE,"",
        IF(ISERROR(VLOOKUP($G80,DanaSehat!$L$13:$AK$56,AA$4,FALSE))=TRUE,"",
              VLOOKUP($G80,DanaSehat!$L$13:$AK$56,AA$4,FALSE)))</t>
  </si>
  <si>
    <t>=IF(ISNUMBER($L$6)=FALSE,"",
        IF(ISERROR(VLOOKUP($G80,DanaSehat!$L$13:$AK$56,AB$4,FALSE))=TRUE,"",
              VLOOKUP($G80,DanaSehat!$L$13:$AK$56,AB$4,FALSE)))</t>
  </si>
  <si>
    <t>=IF(ISNUMBER($L$6)=FALSE,"",
        IF(ISERROR(VLOOKUP($G80,DanaSehat!$L$13:$AK$56,AC$4,FALSE))=TRUE,"",
              VLOOKUP($G80,DanaSehat!$L$13:$AK$56,AC$4,FALSE)))</t>
  </si>
  <si>
    <t>=IF(ISNUMBER($L$6)=FALSE,"",
        IF(ISERROR(VLOOKUP($G80,DanaSehat!$L$13:$AK$56,AD$4,FALSE))=TRUE,"",
              VLOOKUP($G80,DanaSehat!$L$13:$AK$56,AD$4,FALSE)))</t>
  </si>
  <si>
    <t>=IF(ISNUMBER($L$6)=FALSE,"",
        IF(ISERROR(VLOOKUP($G80,DanaSehat!$L$13:$AK$56,AE$4,FALSE))=TRUE,"",
              VLOOKUP($G80,DanaSehat!$L$13:$AK$56,AE$4,FALSE)))</t>
  </si>
  <si>
    <t>=IF(ISNUMBER($L$6)=FALSE,"",
        IF(ISERROR(VLOOKUP($G80,DanaSehat!$L$13:$AK$56,AF$4,FALSE))=TRUE,"",
              VLOOKUP($G80,DanaSehat!$L$13:$AK$56,AF$4,FALSE)))</t>
  </si>
  <si>
    <t>=IF(ISNUMBER($L$6)=FALSE,"",
IF($C81=0,"",VLOOKUP($E81,DanaSehat!$H$13:$L$56,4,FALSE)))</t>
  </si>
  <si>
    <t>=IF(ISNUMBER($L$6)=FALSE,"",
IF($C81=0,"",VLOOKUP($E81,DanaSehat!$H$13:$L$56,5,FALSE)))</t>
  </si>
  <si>
    <t>=IF(ISNUMBER($L$6)=FALSE,"",
        IF(ISERROR(VLOOKUP($G81,DanaSehat!$L$13:$AK$56,I$4,FALSE))=TRUE,"",
              VLOOKUP($G81,DanaSehat!$L$13:$AK$56,I$4,FALSE)))</t>
  </si>
  <si>
    <t>=IF(ISNUMBER($L$6)=FALSE,"",
        IF(ISERROR(VLOOKUP($G81,DanaSehat!$L$13:$AK$56,J$4,FALSE))=TRUE,"",
              VLOOKUP($G81,DanaSehat!$L$13:$AK$56,J$4,FALSE)))</t>
  </si>
  <si>
    <t>=IF(ISNUMBER($L$6)=FALSE,"",
        IF(ISERROR(VLOOKUP($G81,DanaSehat!$L$13:$AK$56,K$4,FALSE))=TRUE,"",
              VLOOKUP($G81,DanaSehat!$L$13:$AK$56,K$4,FALSE)))</t>
  </si>
  <si>
    <t>=IF(ISNUMBER($L$6)=FALSE,"",
        IF(ISERROR(VLOOKUP($G81,DanaSehat!$L$13:$AK$56,L$4,FALSE))=TRUE,"",
              VLOOKUP($G81,DanaSehat!$L$13:$AK$56,L$4,FALSE)))</t>
  </si>
  <si>
    <t>=IF(ISNUMBER($L$6)=FALSE,"",
        IF(ISERROR(VLOOKUP($G81,DanaSehat!$L$13:$AK$56,M$4,FALSE))=TRUE,"",
              VLOOKUP($G81,DanaSehat!$L$13:$AK$56,M$4,FALSE)))</t>
  </si>
  <si>
    <t>=IF(ISNUMBER($L$6)=FALSE,"",
        IF(ISERROR(VLOOKUP($G81,DanaSehat!$L$13:$AK$56,N$4,FALSE))=TRUE,"",
              VLOOKUP($G81,DanaSehat!$L$13:$AK$56,N$4,FALSE)))</t>
  </si>
  <si>
    <t>=IF(ISNUMBER($L$6)=FALSE,"",
        IF(ISERROR(VLOOKUP($G81,DanaSehat!$L$13:$AK$56,O$4,FALSE))=TRUE,"",
              VLOOKUP($G81,DanaSehat!$L$13:$AK$56,O$4,FALSE)))</t>
  </si>
  <si>
    <t>=IF(ISNUMBER($L$6)=FALSE,"",
        IF(ISERROR(VLOOKUP($G81,DanaSehat!$L$13:$AK$56,P$4,FALSE))=TRUE,"",
              VLOOKUP($G81,DanaSehat!$L$13:$AK$56,P$4,FALSE)))</t>
  </si>
  <si>
    <t>=IF(ISNUMBER($L$6)=FALSE,"",
        IF(ISERROR(VLOOKUP($G81,DanaSehat!$L$13:$AK$56,Q$4,FALSE))=TRUE,"",
              VLOOKUP($G81,DanaSehat!$L$13:$AK$56,Q$4,FALSE)))</t>
  </si>
  <si>
    <t>=IF(ISNUMBER($L$6)=FALSE,"",
        IF(ISERROR(VLOOKUP($G81,DanaSehat!$L$13:$AK$56,R$4,FALSE))=TRUE,"",
              VLOOKUP($G81,DanaSehat!$L$13:$AK$56,R$4,FALSE)))</t>
  </si>
  <si>
    <t>=IF(ISNUMBER($L$6)=FALSE,"",
        IF(ISERROR(VLOOKUP($G81,DanaSehat!$L$13:$AK$56,S$4,FALSE))=TRUE,"",
              VLOOKUP($G81,DanaSehat!$L$13:$AK$56,S$4,FALSE)))</t>
  </si>
  <si>
    <t>=IF(ISNUMBER($L$6)=FALSE,"",
        IF(ISERROR(VLOOKUP($G81,DanaSehat!$L$13:$AK$56,T$4,FALSE))=TRUE,"",
              VLOOKUP($G81,DanaSehat!$L$13:$AK$56,T$4,FALSE)))</t>
  </si>
  <si>
    <t>=IF(ISNUMBER($L$6)=FALSE,"",
        IF(ISERROR(VLOOKUP($G81,DanaSehat!$L$13:$AK$56,U$4,FALSE))=TRUE,"",
              VLOOKUP($G81,DanaSehat!$L$13:$AK$56,U$4,FALSE)))</t>
  </si>
  <si>
    <t>=IF(ISNUMBER($L$6)=FALSE,"",
        IF(ISERROR(VLOOKUP($G81,DanaSehat!$L$13:$AK$56,V$4,FALSE))=TRUE,"",
              VLOOKUP($G81,DanaSehat!$L$13:$AK$56,V$4,FALSE)))</t>
  </si>
  <si>
    <t>=IF(ISNUMBER($L$6)=FALSE,"",
        IF(ISERROR(VLOOKUP($G81,DanaSehat!$L$13:$AK$56,W$4,FALSE))=TRUE,"",
              VLOOKUP($G81,DanaSehat!$L$13:$AK$56,W$4,FALSE)))</t>
  </si>
  <si>
    <t>=IF(ISNUMBER($L$6)=FALSE,"",
        IF(ISERROR(VLOOKUP($G81,DanaSehat!$L$13:$AK$56,X$4,FALSE))=TRUE,"",
              VLOOKUP($G81,DanaSehat!$L$13:$AK$56,X$4,FALSE)))</t>
  </si>
  <si>
    <t>=IF(ISNUMBER($L$6)=FALSE,"",
        IF(ISERROR(VLOOKUP($G81,DanaSehat!$L$13:$AK$56,Y$4,FALSE))=TRUE,"",
              VLOOKUP($G81,DanaSehat!$L$13:$AK$56,Y$4,FALSE)))</t>
  </si>
  <si>
    <t>=IF(ISNUMBER($L$6)=FALSE,"",
        IF(ISERROR(VLOOKUP($G81,DanaSehat!$L$13:$AK$56,Z$4,FALSE))=TRUE,"",
              VLOOKUP($G81,DanaSehat!$L$13:$AK$56,Z$4,FALSE)))</t>
  </si>
  <si>
    <t>=IF(ISNUMBER($L$6)=FALSE,"",
        IF(ISERROR(VLOOKUP($G81,DanaSehat!$L$13:$AK$56,AA$4,FALSE))=TRUE,"",
              VLOOKUP($G81,DanaSehat!$L$13:$AK$56,AA$4,FALSE)))</t>
  </si>
  <si>
    <t>=IF(ISNUMBER($L$6)=FALSE,"",
        IF(ISERROR(VLOOKUP($G81,DanaSehat!$L$13:$AK$56,AB$4,FALSE))=TRUE,"",
              VLOOKUP($G81,DanaSehat!$L$13:$AK$56,AB$4,FALSE)))</t>
  </si>
  <si>
    <t>=IF(ISNUMBER($L$6)=FALSE,"",
        IF(ISERROR(VLOOKUP($G81,DanaSehat!$L$13:$AK$56,AC$4,FALSE))=TRUE,"",
              VLOOKUP($G81,DanaSehat!$L$13:$AK$56,AC$4,FALSE)))</t>
  </si>
  <si>
    <t>=IF(ISNUMBER($L$6)=FALSE,"",
        IF(ISERROR(VLOOKUP($G81,DanaSehat!$L$13:$AK$56,AD$4,FALSE))=TRUE,"",
              VLOOKUP($G81,DanaSehat!$L$13:$AK$56,AD$4,FALSE)))</t>
  </si>
  <si>
    <t>=IF(ISNUMBER($L$6)=FALSE,"",
        IF(ISERROR(VLOOKUP($G81,DanaSehat!$L$13:$AK$56,AE$4,FALSE))=TRUE,"",
              VLOOKUP($G81,DanaSehat!$L$13:$AK$56,AE$4,FALSE)))</t>
  </si>
  <si>
    <t>=IF(ISNUMBER($L$6)=FALSE,"",
        IF(ISERROR(VLOOKUP($G81,DanaSehat!$L$13:$AK$56,AF$4,FALSE))=TRUE,"",
              VLOOKUP($G81,DanaSehat!$L$13:$AK$56,AF$4,FALSE)))</t>
  </si>
  <si>
    <t>=IF(ISNUMBER($L$6)=FALSE,"",
IF($C82=0,"",VLOOKUP($E82,DanaSehat!$H$13:$L$56,4,FALSE)))</t>
  </si>
  <si>
    <t>=IF(ISNUMBER($L$6)=FALSE,"",
IF($C82=0,"",VLOOKUP($E82,DanaSehat!$H$13:$L$56,5,FALSE)))</t>
  </si>
  <si>
    <t>=IF(ISNUMBER($L$6)=FALSE,"",
        IF(ISERROR(VLOOKUP($G82,DanaSehat!$L$13:$AK$56,I$4,FALSE))=TRUE,"",
              VLOOKUP($G82,DanaSehat!$L$13:$AK$56,I$4,FALSE)))</t>
  </si>
  <si>
    <t>=IF(ISNUMBER($L$6)=FALSE,"",
        IF(ISERROR(VLOOKUP($G82,DanaSehat!$L$13:$AK$56,J$4,FALSE))=TRUE,"",
              VLOOKUP($G82,DanaSehat!$L$13:$AK$56,J$4,FALSE)))</t>
  </si>
  <si>
    <t>=IF(ISNUMBER($L$6)=FALSE,"",
        IF(ISERROR(VLOOKUP($G82,DanaSehat!$L$13:$AK$56,K$4,FALSE))=TRUE,"",
              VLOOKUP($G82,DanaSehat!$L$13:$AK$56,K$4,FALSE)))</t>
  </si>
  <si>
    <t>=IF(ISNUMBER($L$6)=FALSE,"",
        IF(ISERROR(VLOOKUP($G82,DanaSehat!$L$13:$AK$56,L$4,FALSE))=TRUE,"",
              VLOOKUP($G82,DanaSehat!$L$13:$AK$56,L$4,FALSE)))</t>
  </si>
  <si>
    <t>=IF(ISNUMBER($L$6)=FALSE,"",
        IF(ISERROR(VLOOKUP($G82,DanaSehat!$L$13:$AK$56,M$4,FALSE))=TRUE,"",
              VLOOKUP($G82,DanaSehat!$L$13:$AK$56,M$4,FALSE)))</t>
  </si>
  <si>
    <t>=IF(ISNUMBER($L$6)=FALSE,"",
        IF(ISERROR(VLOOKUP($G82,DanaSehat!$L$13:$AK$56,N$4,FALSE))=TRUE,"",
              VLOOKUP($G82,DanaSehat!$L$13:$AK$56,N$4,FALSE)))</t>
  </si>
  <si>
    <t>=IF(ISNUMBER($L$6)=FALSE,"",
        IF(ISERROR(VLOOKUP($G82,DanaSehat!$L$13:$AK$56,O$4,FALSE))=TRUE,"",
              VLOOKUP($G82,DanaSehat!$L$13:$AK$56,O$4,FALSE)))</t>
  </si>
  <si>
    <t>=IF(ISNUMBER($L$6)=FALSE,"",
        IF(ISERROR(VLOOKUP($G82,DanaSehat!$L$13:$AK$56,P$4,FALSE))=TRUE,"",
              VLOOKUP($G82,DanaSehat!$L$13:$AK$56,P$4,FALSE)))</t>
  </si>
  <si>
    <t>=IF(ISNUMBER($L$6)=FALSE,"",
        IF(ISERROR(VLOOKUP($G82,DanaSehat!$L$13:$AK$56,Q$4,FALSE))=TRUE,"",
              VLOOKUP($G82,DanaSehat!$L$13:$AK$56,Q$4,FALSE)))</t>
  </si>
  <si>
    <t>=IF(ISNUMBER($L$6)=FALSE,"",
        IF(ISERROR(VLOOKUP($G82,DanaSehat!$L$13:$AK$56,R$4,FALSE))=TRUE,"",
              VLOOKUP($G82,DanaSehat!$L$13:$AK$56,R$4,FALSE)))</t>
  </si>
  <si>
    <t>=IF(ISNUMBER($L$6)=FALSE,"",
        IF(ISERROR(VLOOKUP($G82,DanaSehat!$L$13:$AK$56,S$4,FALSE))=TRUE,"",
              VLOOKUP($G82,DanaSehat!$L$13:$AK$56,S$4,FALSE)))</t>
  </si>
  <si>
    <t>=IF(ISNUMBER($L$6)=FALSE,"",
        IF(ISERROR(VLOOKUP($G82,DanaSehat!$L$13:$AK$56,T$4,FALSE))=TRUE,"",
              VLOOKUP($G82,DanaSehat!$L$13:$AK$56,T$4,FALSE)))</t>
  </si>
  <si>
    <t>=IF(ISNUMBER($L$6)=FALSE,"",
        IF(ISERROR(VLOOKUP($G82,DanaSehat!$L$13:$AK$56,U$4,FALSE))=TRUE,"",
              VLOOKUP($G82,DanaSehat!$L$13:$AK$56,U$4,FALSE)))</t>
  </si>
  <si>
    <t>=IF(ISNUMBER($L$6)=FALSE,"",
        IF(ISERROR(VLOOKUP($G82,DanaSehat!$L$13:$AK$56,V$4,FALSE))=TRUE,"",
              VLOOKUP($G82,DanaSehat!$L$13:$AK$56,V$4,FALSE)))</t>
  </si>
  <si>
    <t>=IF(ISNUMBER($L$6)=FALSE,"",
        IF(ISERROR(VLOOKUP($G82,DanaSehat!$L$13:$AK$56,W$4,FALSE))=TRUE,"",
              VLOOKUP($G82,DanaSehat!$L$13:$AK$56,W$4,FALSE)))</t>
  </si>
  <si>
    <t>=IF(ISNUMBER($L$6)=FALSE,"",
        IF(ISERROR(VLOOKUP($G82,DanaSehat!$L$13:$AK$56,X$4,FALSE))=TRUE,"",
              VLOOKUP($G82,DanaSehat!$L$13:$AK$56,X$4,FALSE)))</t>
  </si>
  <si>
    <t>=IF(ISNUMBER($L$6)=FALSE,"",
        IF(ISERROR(VLOOKUP($G82,DanaSehat!$L$13:$AK$56,Y$4,FALSE))=TRUE,"",
              VLOOKUP($G82,DanaSehat!$L$13:$AK$56,Y$4,FALSE)))</t>
  </si>
  <si>
    <t>=IF(ISNUMBER($L$6)=FALSE,"",
        IF(ISERROR(VLOOKUP($G82,DanaSehat!$L$13:$AK$56,Z$4,FALSE))=TRUE,"",
              VLOOKUP($G82,DanaSehat!$L$13:$AK$56,Z$4,FALSE)))</t>
  </si>
  <si>
    <t>=IF(ISNUMBER($L$6)=FALSE,"",
        IF(ISERROR(VLOOKUP($G82,DanaSehat!$L$13:$AK$56,AA$4,FALSE))=TRUE,"",
              VLOOKUP($G82,DanaSehat!$L$13:$AK$56,AA$4,FALSE)))</t>
  </si>
  <si>
    <t>=IF(ISNUMBER($L$6)=FALSE,"",
        IF(ISERROR(VLOOKUP($G82,DanaSehat!$L$13:$AK$56,AB$4,FALSE))=TRUE,"",
              VLOOKUP($G82,DanaSehat!$L$13:$AK$56,AB$4,FALSE)))</t>
  </si>
  <si>
    <t>=IF(ISNUMBER($L$6)=FALSE,"",
        IF(ISERROR(VLOOKUP($G82,DanaSehat!$L$13:$AK$56,AC$4,FALSE))=TRUE,"",
              VLOOKUP($G82,DanaSehat!$L$13:$AK$56,AC$4,FALSE)))</t>
  </si>
  <si>
    <t>=IF(ISNUMBER($L$6)=FALSE,"",
        IF(ISERROR(VLOOKUP($G82,DanaSehat!$L$13:$AK$56,AD$4,FALSE))=TRUE,"",
              VLOOKUP($G82,DanaSehat!$L$13:$AK$56,AD$4,FALSE)))</t>
  </si>
  <si>
    <t>=IF(ISNUMBER($L$6)=FALSE,"",
        IF(ISERROR(VLOOKUP($G82,DanaSehat!$L$13:$AK$56,AE$4,FALSE))=TRUE,"",
              VLOOKUP($G82,DanaSehat!$L$13:$AK$56,AE$4,FALSE)))</t>
  </si>
  <si>
    <t>=IF(ISNUMBER($L$6)=FALSE,"",
        IF(ISERROR(VLOOKUP($G82,DanaSehat!$L$13:$AK$56,AF$4,FALSE))=TRUE,"",
              VLOOKUP($G82,DanaSehat!$L$13:$AK$56,AF$4,FALSE)))</t>
  </si>
  <si>
    <t>=IF(ISNUMBER($L$6)=FALSE,"",
IF($C83=0,"",VLOOKUP($E83,DanaSehat!$H$13:$L$56,4,FALSE)))</t>
  </si>
  <si>
    <t>=IF(ISNUMBER($L$6)=FALSE,"",
IF($C83=0,"",VLOOKUP($E83,DanaSehat!$H$13:$L$56,5,FALSE)))</t>
  </si>
  <si>
    <t>=IF(ISNUMBER($L$6)=FALSE,"",
        IF(ISERROR(VLOOKUP($G83,DanaSehat!$L$13:$AK$56,I$4,FALSE))=TRUE,"",
              VLOOKUP($G83,DanaSehat!$L$13:$AK$56,I$4,FALSE)))</t>
  </si>
  <si>
    <t>=IF(ISNUMBER($L$6)=FALSE,"",
        IF(ISERROR(VLOOKUP($G83,DanaSehat!$L$13:$AK$56,J$4,FALSE))=TRUE,"",
              VLOOKUP($G83,DanaSehat!$L$13:$AK$56,J$4,FALSE)))</t>
  </si>
  <si>
    <t>=IF(ISNUMBER($L$6)=FALSE,"",
        IF(ISERROR(VLOOKUP($G83,DanaSehat!$L$13:$AK$56,K$4,FALSE))=TRUE,"",
              VLOOKUP($G83,DanaSehat!$L$13:$AK$56,K$4,FALSE)))</t>
  </si>
  <si>
    <t>=IF(ISNUMBER($L$6)=FALSE,"",
        IF(ISERROR(VLOOKUP($G83,DanaSehat!$L$13:$AK$56,L$4,FALSE))=TRUE,"",
              VLOOKUP($G83,DanaSehat!$L$13:$AK$56,L$4,FALSE)))</t>
  </si>
  <si>
    <t>=IF(ISNUMBER($L$6)=FALSE,"",
        IF(ISERROR(VLOOKUP($G83,DanaSehat!$L$13:$AK$56,M$4,FALSE))=TRUE,"",
              VLOOKUP($G83,DanaSehat!$L$13:$AK$56,M$4,FALSE)))</t>
  </si>
  <si>
    <t>=IF(ISNUMBER($L$6)=FALSE,"",
        IF(ISERROR(VLOOKUP($G83,DanaSehat!$L$13:$AK$56,N$4,FALSE))=TRUE,"",
              VLOOKUP($G83,DanaSehat!$L$13:$AK$56,N$4,FALSE)))</t>
  </si>
  <si>
    <t>=IF(ISNUMBER($L$6)=FALSE,"",
        IF(ISERROR(VLOOKUP($G83,DanaSehat!$L$13:$AK$56,O$4,FALSE))=TRUE,"",
              VLOOKUP($G83,DanaSehat!$L$13:$AK$56,O$4,FALSE)))</t>
  </si>
  <si>
    <t>=IF(ISNUMBER($L$6)=FALSE,"",
        IF(ISERROR(VLOOKUP($G83,DanaSehat!$L$13:$AK$56,P$4,FALSE))=TRUE,"",
              VLOOKUP($G83,DanaSehat!$L$13:$AK$56,P$4,FALSE)))</t>
  </si>
  <si>
    <t>=IF(ISNUMBER($L$6)=FALSE,"",
        IF(ISERROR(VLOOKUP($G83,DanaSehat!$L$13:$AK$56,Q$4,FALSE))=TRUE,"",
              VLOOKUP($G83,DanaSehat!$L$13:$AK$56,Q$4,FALSE)))</t>
  </si>
  <si>
    <t>=IF(ISNUMBER($L$6)=FALSE,"",
        IF(ISERROR(VLOOKUP($G83,DanaSehat!$L$13:$AK$56,R$4,FALSE))=TRUE,"",
              VLOOKUP($G83,DanaSehat!$L$13:$AK$56,R$4,FALSE)))</t>
  </si>
  <si>
    <t>=IF(ISNUMBER($L$6)=FALSE,"",
        IF(ISERROR(VLOOKUP($G83,DanaSehat!$L$13:$AK$56,S$4,FALSE))=TRUE,"",
              VLOOKUP($G83,DanaSehat!$L$13:$AK$56,S$4,FALSE)))</t>
  </si>
  <si>
    <t>=IF(ISNUMBER($L$6)=FALSE,"",
        IF(ISERROR(VLOOKUP($G83,DanaSehat!$L$13:$AK$56,T$4,FALSE))=TRUE,"",
              VLOOKUP($G83,DanaSehat!$L$13:$AK$56,T$4,FALSE)))</t>
  </si>
  <si>
    <t>=IF(ISNUMBER($L$6)=FALSE,"",
        IF(ISERROR(VLOOKUP($G83,DanaSehat!$L$13:$AK$56,U$4,FALSE))=TRUE,"",
              VLOOKUP($G83,DanaSehat!$L$13:$AK$56,U$4,FALSE)))</t>
  </si>
  <si>
    <t>=IF(ISNUMBER($L$6)=FALSE,"",
        IF(ISERROR(VLOOKUP($G83,DanaSehat!$L$13:$AK$56,V$4,FALSE))=TRUE,"",
              VLOOKUP($G83,DanaSehat!$L$13:$AK$56,V$4,FALSE)))</t>
  </si>
  <si>
    <t>=IF(ISNUMBER($L$6)=FALSE,"",
        IF(ISERROR(VLOOKUP($G83,DanaSehat!$L$13:$AK$56,W$4,FALSE))=TRUE,"",
              VLOOKUP($G83,DanaSehat!$L$13:$AK$56,W$4,FALSE)))</t>
  </si>
  <si>
    <t>=IF(ISNUMBER($L$6)=FALSE,"",
        IF(ISERROR(VLOOKUP($G83,DanaSehat!$L$13:$AK$56,X$4,FALSE))=TRUE,"",
              VLOOKUP($G83,DanaSehat!$L$13:$AK$56,X$4,FALSE)))</t>
  </si>
  <si>
    <t>=IF(ISNUMBER($L$6)=FALSE,"",
        IF(ISERROR(VLOOKUP($G83,DanaSehat!$L$13:$AK$56,Y$4,FALSE))=TRUE,"",
              VLOOKUP($G83,DanaSehat!$L$13:$AK$56,Y$4,FALSE)))</t>
  </si>
  <si>
    <t>=IF(ISNUMBER($L$6)=FALSE,"",
        IF(ISERROR(VLOOKUP($G83,DanaSehat!$L$13:$AK$56,Z$4,FALSE))=TRUE,"",
              VLOOKUP($G83,DanaSehat!$L$13:$AK$56,Z$4,FALSE)))</t>
  </si>
  <si>
    <t>=IF(ISNUMBER($L$6)=FALSE,"",
        IF(ISERROR(VLOOKUP($G83,DanaSehat!$L$13:$AK$56,AA$4,FALSE))=TRUE,"",
              VLOOKUP($G83,DanaSehat!$L$13:$AK$56,AA$4,FALSE)))</t>
  </si>
  <si>
    <t>=IF(ISNUMBER($L$6)=FALSE,"",
        IF(ISERROR(VLOOKUP($G83,DanaSehat!$L$13:$AK$56,AB$4,FALSE))=TRUE,"",
              VLOOKUP($G83,DanaSehat!$L$13:$AK$56,AB$4,FALSE)))</t>
  </si>
  <si>
    <t>=IF(ISNUMBER($L$6)=FALSE,"",
        IF(ISERROR(VLOOKUP($G83,DanaSehat!$L$13:$AK$56,AC$4,FALSE))=TRUE,"",
              VLOOKUP($G83,DanaSehat!$L$13:$AK$56,AC$4,FALSE)))</t>
  </si>
  <si>
    <t>=IF(ISNUMBER($L$6)=FALSE,"",
        IF(ISERROR(VLOOKUP($G83,DanaSehat!$L$13:$AK$56,AD$4,FALSE))=TRUE,"",
              VLOOKUP($G83,DanaSehat!$L$13:$AK$56,AD$4,FALSE)))</t>
  </si>
  <si>
    <t>=IF(ISNUMBER($L$6)=FALSE,"",
        IF(ISERROR(VLOOKUP($G83,DanaSehat!$L$13:$AK$56,AE$4,FALSE))=TRUE,"",
              VLOOKUP($G83,DanaSehat!$L$13:$AK$56,AE$4,FALSE)))</t>
  </si>
  <si>
    <t>=IF(ISNUMBER($L$6)=FALSE,"",
        IF(ISERROR(VLOOKUP($G83,DanaSehat!$L$13:$AK$56,AF$4,FALSE))=TRUE,"",
              VLOOKUP($G83,DanaSehat!$L$13:$AK$56,AF$4,FALSE)))</t>
  </si>
  <si>
    <t>=IF(ISNUMBER($L$6)=FALSE,"",
IF($C84=0,"",VLOOKUP($E84,DanaSehat!$H$13:$L$56,4,FALSE)))</t>
  </si>
  <si>
    <t>=IF(ISNUMBER($L$6)=FALSE,"",
IF($C84=0,"",VLOOKUP($E84,DanaSehat!$H$13:$L$56,5,FALSE)))</t>
  </si>
  <si>
    <t>=IF(ISNUMBER($L$6)=FALSE,"",
        IF(ISERROR(VLOOKUP($G84,DanaSehat!$L$13:$AK$56,I$4,FALSE))=TRUE,"",
              VLOOKUP($G84,DanaSehat!$L$13:$AK$56,I$4,FALSE)))</t>
  </si>
  <si>
    <t>=IF(ISNUMBER($L$6)=FALSE,"",
        IF(ISERROR(VLOOKUP($G84,DanaSehat!$L$13:$AK$56,J$4,FALSE))=TRUE,"",
              VLOOKUP($G84,DanaSehat!$L$13:$AK$56,J$4,FALSE)))</t>
  </si>
  <si>
    <t>=IF(ISNUMBER($L$6)=FALSE,"",
        IF(ISERROR(VLOOKUP($G84,DanaSehat!$L$13:$AK$56,K$4,FALSE))=TRUE,"",
              VLOOKUP($G84,DanaSehat!$L$13:$AK$56,K$4,FALSE)))</t>
  </si>
  <si>
    <t>=IF(ISNUMBER($L$6)=FALSE,"",
        IF(ISERROR(VLOOKUP($G84,DanaSehat!$L$13:$AK$56,L$4,FALSE))=TRUE,"",
              VLOOKUP($G84,DanaSehat!$L$13:$AK$56,L$4,FALSE)))</t>
  </si>
  <si>
    <t>=IF(ISNUMBER($L$6)=FALSE,"",
        IF(ISERROR(VLOOKUP($G84,DanaSehat!$L$13:$AK$56,M$4,FALSE))=TRUE,"",
              VLOOKUP($G84,DanaSehat!$L$13:$AK$56,M$4,FALSE)))</t>
  </si>
  <si>
    <t>=IF(ISNUMBER($L$6)=FALSE,"",
        IF(ISERROR(VLOOKUP($G84,DanaSehat!$L$13:$AK$56,N$4,FALSE))=TRUE,"",
              VLOOKUP($G84,DanaSehat!$L$13:$AK$56,N$4,FALSE)))</t>
  </si>
  <si>
    <t>=IF(ISNUMBER($L$6)=FALSE,"",
        IF(ISERROR(VLOOKUP($G84,DanaSehat!$L$13:$AK$56,O$4,FALSE))=TRUE,"",
              VLOOKUP($G84,DanaSehat!$L$13:$AK$56,O$4,FALSE)))</t>
  </si>
  <si>
    <t>=IF(ISNUMBER($L$6)=FALSE,"",
        IF(ISERROR(VLOOKUP($G84,DanaSehat!$L$13:$AK$56,P$4,FALSE))=TRUE,"",
              VLOOKUP($G84,DanaSehat!$L$13:$AK$56,P$4,FALSE)))</t>
  </si>
  <si>
    <t>=IF(ISNUMBER($L$6)=FALSE,"",
        IF(ISERROR(VLOOKUP($G84,DanaSehat!$L$13:$AK$56,Q$4,FALSE))=TRUE,"",
              VLOOKUP($G84,DanaSehat!$L$13:$AK$56,Q$4,FALSE)))</t>
  </si>
  <si>
    <t>=IF(ISNUMBER($L$6)=FALSE,"",
        IF(ISERROR(VLOOKUP($G84,DanaSehat!$L$13:$AK$56,R$4,FALSE))=TRUE,"",
              VLOOKUP($G84,DanaSehat!$L$13:$AK$56,R$4,FALSE)))</t>
  </si>
  <si>
    <t>=IF(ISNUMBER($L$6)=FALSE,"",
        IF(ISERROR(VLOOKUP($G84,DanaSehat!$L$13:$AK$56,S$4,FALSE))=TRUE,"",
              VLOOKUP($G84,DanaSehat!$L$13:$AK$56,S$4,FALSE)))</t>
  </si>
  <si>
    <t>=IF(ISNUMBER($L$6)=FALSE,"",
        IF(ISERROR(VLOOKUP($G84,DanaSehat!$L$13:$AK$56,T$4,FALSE))=TRUE,"",
              VLOOKUP($G84,DanaSehat!$L$13:$AK$56,T$4,FALSE)))</t>
  </si>
  <si>
    <t>=IF(ISNUMBER($L$6)=FALSE,"",
        IF(ISERROR(VLOOKUP($G84,DanaSehat!$L$13:$AK$56,U$4,FALSE))=TRUE,"",
              VLOOKUP($G84,DanaSehat!$L$13:$AK$56,U$4,FALSE)))</t>
  </si>
  <si>
    <t>=IF(ISNUMBER($L$6)=FALSE,"",
        IF(ISERROR(VLOOKUP($G84,DanaSehat!$L$13:$AK$56,V$4,FALSE))=TRUE,"",
              VLOOKUP($G84,DanaSehat!$L$13:$AK$56,V$4,FALSE)))</t>
  </si>
  <si>
    <t>=IF(ISNUMBER($L$6)=FALSE,"",
        IF(ISERROR(VLOOKUP($G84,DanaSehat!$L$13:$AK$56,W$4,FALSE))=TRUE,"",
              VLOOKUP($G84,DanaSehat!$L$13:$AK$56,W$4,FALSE)))</t>
  </si>
  <si>
    <t>=IF(ISNUMBER($L$6)=FALSE,"",
        IF(ISERROR(VLOOKUP($G84,DanaSehat!$L$13:$AK$56,X$4,FALSE))=TRUE,"",
              VLOOKUP($G84,DanaSehat!$L$13:$AK$56,X$4,FALSE)))</t>
  </si>
  <si>
    <t>=IF(ISNUMBER($L$6)=FALSE,"",
        IF(ISERROR(VLOOKUP($G84,DanaSehat!$L$13:$AK$56,Y$4,FALSE))=TRUE,"",
              VLOOKUP($G84,DanaSehat!$L$13:$AK$56,Y$4,FALSE)))</t>
  </si>
  <si>
    <t>=IF(ISNUMBER($L$6)=FALSE,"",
        IF(ISERROR(VLOOKUP($G84,DanaSehat!$L$13:$AK$56,Z$4,FALSE))=TRUE,"",
              VLOOKUP($G84,DanaSehat!$L$13:$AK$56,Z$4,FALSE)))</t>
  </si>
  <si>
    <t>=IF(ISNUMBER($L$6)=FALSE,"",
        IF(ISERROR(VLOOKUP($G84,DanaSehat!$L$13:$AK$56,AA$4,FALSE))=TRUE,"",
              VLOOKUP($G84,DanaSehat!$L$13:$AK$56,AA$4,FALSE)))</t>
  </si>
  <si>
    <t>=IF(ISNUMBER($L$6)=FALSE,"",
        IF(ISERROR(VLOOKUP($G84,DanaSehat!$L$13:$AK$56,AB$4,FALSE))=TRUE,"",
              VLOOKUP($G84,DanaSehat!$L$13:$AK$56,AB$4,FALSE)))</t>
  </si>
  <si>
    <t>=IF(ISNUMBER($L$6)=FALSE,"",
        IF(ISERROR(VLOOKUP($G84,DanaSehat!$L$13:$AK$56,AC$4,FALSE))=TRUE,"",
              VLOOKUP($G84,DanaSehat!$L$13:$AK$56,AC$4,FALSE)))</t>
  </si>
  <si>
    <t>=IF(ISNUMBER($L$6)=FALSE,"",
        IF(ISERROR(VLOOKUP($G84,DanaSehat!$L$13:$AK$56,AD$4,FALSE))=TRUE,"",
              VLOOKUP($G84,DanaSehat!$L$13:$AK$56,AD$4,FALSE)))</t>
  </si>
  <si>
    <t>=IF(ISNUMBER($L$6)=FALSE,"",
        IF(ISERROR(VLOOKUP($G84,DanaSehat!$L$13:$AK$56,AE$4,FALSE))=TRUE,"",
              VLOOKUP($G84,DanaSehat!$L$13:$AK$56,AE$4,FALSE)))</t>
  </si>
  <si>
    <t>=IF(ISNUMBER($L$6)=FALSE,"",
        IF(ISERROR(VLOOKUP($G84,DanaSehat!$L$13:$AK$56,AF$4,FALSE))=TRUE,"",
              VLOOKUP($G84,DanaSehat!$L$13:$AK$56,AF$4,FALSE)))</t>
  </si>
  <si>
    <t>=IF(ISNUMBER($L$6)=FALSE,"",
IF($C85=0,"",VLOOKUP($E85,DanaSehat!$H$13:$L$56,4,FALSE)))</t>
  </si>
  <si>
    <t>=IF(ISNUMBER($L$6)=FALSE,"",
IF($C85=0,"",VLOOKUP($E85,DanaSehat!$H$13:$L$56,5,FALSE)))</t>
  </si>
  <si>
    <t>=IF(ISNUMBER($L$6)=FALSE,"",
        IF(ISERROR(VLOOKUP($G85,DanaSehat!$L$13:$AK$56,I$4,FALSE))=TRUE,"",
              VLOOKUP($G85,DanaSehat!$L$13:$AK$56,I$4,FALSE)))</t>
  </si>
  <si>
    <t>=IF(ISNUMBER($L$6)=FALSE,"",
        IF(ISERROR(VLOOKUP($G85,DanaSehat!$L$13:$AK$56,J$4,FALSE))=TRUE,"",
              VLOOKUP($G85,DanaSehat!$L$13:$AK$56,J$4,FALSE)))</t>
  </si>
  <si>
    <t>=IF(ISNUMBER($L$6)=FALSE,"",
        IF(ISERROR(VLOOKUP($G85,DanaSehat!$L$13:$AK$56,K$4,FALSE))=TRUE,"",
              VLOOKUP($G85,DanaSehat!$L$13:$AK$56,K$4,FALSE)))</t>
  </si>
  <si>
    <t>=IF(ISNUMBER($L$6)=FALSE,"",
        IF(ISERROR(VLOOKUP($G85,DanaSehat!$L$13:$AK$56,L$4,FALSE))=TRUE,"",
              VLOOKUP($G85,DanaSehat!$L$13:$AK$56,L$4,FALSE)))</t>
  </si>
  <si>
    <t>=IF(ISNUMBER($L$6)=FALSE,"",
        IF(ISERROR(VLOOKUP($G85,DanaSehat!$L$13:$AK$56,M$4,FALSE))=TRUE,"",
              VLOOKUP($G85,DanaSehat!$L$13:$AK$56,M$4,FALSE)))</t>
  </si>
  <si>
    <t>=IF(ISNUMBER($L$6)=FALSE,"",
        IF(ISERROR(VLOOKUP($G85,DanaSehat!$L$13:$AK$56,N$4,FALSE))=TRUE,"",
              VLOOKUP($G85,DanaSehat!$L$13:$AK$56,N$4,FALSE)))</t>
  </si>
  <si>
    <t>=IF(ISNUMBER($L$6)=FALSE,"",
        IF(ISERROR(VLOOKUP($G85,DanaSehat!$L$13:$AK$56,O$4,FALSE))=TRUE,"",
              VLOOKUP($G85,DanaSehat!$L$13:$AK$56,O$4,FALSE)))</t>
  </si>
  <si>
    <t>=IF(ISNUMBER($L$6)=FALSE,"",
        IF(ISERROR(VLOOKUP($G85,DanaSehat!$L$13:$AK$56,P$4,FALSE))=TRUE,"",
              VLOOKUP($G85,DanaSehat!$L$13:$AK$56,P$4,FALSE)))</t>
  </si>
  <si>
    <t>=IF(ISNUMBER($L$6)=FALSE,"",
        IF(ISERROR(VLOOKUP($G85,DanaSehat!$L$13:$AK$56,Q$4,FALSE))=TRUE,"",
              VLOOKUP($G85,DanaSehat!$L$13:$AK$56,Q$4,FALSE)))</t>
  </si>
  <si>
    <t>=IF(ISNUMBER($L$6)=FALSE,"",
        IF(ISERROR(VLOOKUP($G85,DanaSehat!$L$13:$AK$56,R$4,FALSE))=TRUE,"",
              VLOOKUP($G85,DanaSehat!$L$13:$AK$56,R$4,FALSE)))</t>
  </si>
  <si>
    <t>=IF(ISNUMBER($L$6)=FALSE,"",
        IF(ISERROR(VLOOKUP($G85,DanaSehat!$L$13:$AK$56,S$4,FALSE))=TRUE,"",
              VLOOKUP($G85,DanaSehat!$L$13:$AK$56,S$4,FALSE)))</t>
  </si>
  <si>
    <t>=IF(ISNUMBER($L$6)=FALSE,"",
        IF(ISERROR(VLOOKUP($G85,DanaSehat!$L$13:$AK$56,T$4,FALSE))=TRUE,"",
              VLOOKUP($G85,DanaSehat!$L$13:$AK$56,T$4,FALSE)))</t>
  </si>
  <si>
    <t>=IF(ISNUMBER($L$6)=FALSE,"",
        IF(ISERROR(VLOOKUP($G85,DanaSehat!$L$13:$AK$56,U$4,FALSE))=TRUE,"",
              VLOOKUP($G85,DanaSehat!$L$13:$AK$56,U$4,FALSE)))</t>
  </si>
  <si>
    <t>=IF(ISNUMBER($L$6)=FALSE,"",
        IF(ISERROR(VLOOKUP($G85,DanaSehat!$L$13:$AK$56,V$4,FALSE))=TRUE,"",
              VLOOKUP($G85,DanaSehat!$L$13:$AK$56,V$4,FALSE)))</t>
  </si>
  <si>
    <t>=IF(ISNUMBER($L$6)=FALSE,"",
        IF(ISERROR(VLOOKUP($G85,DanaSehat!$L$13:$AK$56,W$4,FALSE))=TRUE,"",
              VLOOKUP($G85,DanaSehat!$L$13:$AK$56,W$4,FALSE)))</t>
  </si>
  <si>
    <t>=IF(ISNUMBER($L$6)=FALSE,"",
        IF(ISERROR(VLOOKUP($G85,DanaSehat!$L$13:$AK$56,X$4,FALSE))=TRUE,"",
              VLOOKUP($G85,DanaSehat!$L$13:$AK$56,X$4,FALSE)))</t>
  </si>
  <si>
    <t>=IF(ISNUMBER($L$6)=FALSE,"",
        IF(ISERROR(VLOOKUP($G85,DanaSehat!$L$13:$AK$56,Y$4,FALSE))=TRUE,"",
              VLOOKUP($G85,DanaSehat!$L$13:$AK$56,Y$4,FALSE)))</t>
  </si>
  <si>
    <t>=IF(ISNUMBER($L$6)=FALSE,"",
        IF(ISERROR(VLOOKUP($G85,DanaSehat!$L$13:$AK$56,Z$4,FALSE))=TRUE,"",
              VLOOKUP($G85,DanaSehat!$L$13:$AK$56,Z$4,FALSE)))</t>
  </si>
  <si>
    <t>=IF(ISNUMBER($L$6)=FALSE,"",
        IF(ISERROR(VLOOKUP($G85,DanaSehat!$L$13:$AK$56,AA$4,FALSE))=TRUE,"",
              VLOOKUP($G85,DanaSehat!$L$13:$AK$56,AA$4,FALSE)))</t>
  </si>
  <si>
    <t>=IF(ISNUMBER($L$6)=FALSE,"",
        IF(ISERROR(VLOOKUP($G85,DanaSehat!$L$13:$AK$56,AB$4,FALSE))=TRUE,"",
              VLOOKUP($G85,DanaSehat!$L$13:$AK$56,AB$4,FALSE)))</t>
  </si>
  <si>
    <t>=IF(ISNUMBER($L$6)=FALSE,"",
        IF(ISERROR(VLOOKUP($G85,DanaSehat!$L$13:$AK$56,AC$4,FALSE))=TRUE,"",
              VLOOKUP($G85,DanaSehat!$L$13:$AK$56,AC$4,FALSE)))</t>
  </si>
  <si>
    <t>=IF(ISNUMBER($L$6)=FALSE,"",
        IF(ISERROR(VLOOKUP($G85,DanaSehat!$L$13:$AK$56,AD$4,FALSE))=TRUE,"",
              VLOOKUP($G85,DanaSehat!$L$13:$AK$56,AD$4,FALSE)))</t>
  </si>
  <si>
    <t>=IF(ISNUMBER($L$6)=FALSE,"",
        IF(ISERROR(VLOOKUP($G85,DanaSehat!$L$13:$AK$56,AE$4,FALSE))=TRUE,"",
              VLOOKUP($G85,DanaSehat!$L$13:$AK$56,AE$4,FALSE)))</t>
  </si>
  <si>
    <t>=IF(ISNUMBER($L$6)=FALSE,"",
        IF(ISERROR(VLOOKUP($G85,DanaSehat!$L$13:$AK$56,AF$4,FALSE))=TRUE,"",
              VLOOKUP($G85,DanaSehat!$L$13:$AK$56,AF$4,FALSE)))</t>
  </si>
  <si>
    <t>=IF(ISNUMBER($L$6)=FALSE,"",
IF($C86=0,"",VLOOKUP($E86,DanaSehat!$H$13:$L$56,4,FALSE)))</t>
  </si>
  <si>
    <t>=IF(ISNUMBER($L$6)=FALSE,"",
IF($C86=0,"",VLOOKUP($E86,DanaSehat!$H$13:$L$56,5,FALSE)))</t>
  </si>
  <si>
    <t>=IF(ISNUMBER($L$6)=FALSE,"",
        IF(ISERROR(VLOOKUP($G86,DanaSehat!$L$13:$AK$56,I$4,FALSE))=TRUE,"",
              VLOOKUP($G86,DanaSehat!$L$13:$AK$56,I$4,FALSE)))</t>
  </si>
  <si>
    <t>=IF(ISNUMBER($L$6)=FALSE,"",
        IF(ISERROR(VLOOKUP($G86,DanaSehat!$L$13:$AK$56,J$4,FALSE))=TRUE,"",
              VLOOKUP($G86,DanaSehat!$L$13:$AK$56,J$4,FALSE)))</t>
  </si>
  <si>
    <t>=IF(ISNUMBER($L$6)=FALSE,"",
        IF(ISERROR(VLOOKUP($G86,DanaSehat!$L$13:$AK$56,K$4,FALSE))=TRUE,"",
              VLOOKUP($G86,DanaSehat!$L$13:$AK$56,K$4,FALSE)))</t>
  </si>
  <si>
    <t>=IF(ISNUMBER($L$6)=FALSE,"",
        IF(ISERROR(VLOOKUP($G86,DanaSehat!$L$13:$AK$56,L$4,FALSE))=TRUE,"",
              VLOOKUP($G86,DanaSehat!$L$13:$AK$56,L$4,FALSE)))</t>
  </si>
  <si>
    <t>=IF(ISNUMBER($L$6)=FALSE,"",
        IF(ISERROR(VLOOKUP($G86,DanaSehat!$L$13:$AK$56,M$4,FALSE))=TRUE,"",
              VLOOKUP($G86,DanaSehat!$L$13:$AK$56,M$4,FALSE)))</t>
  </si>
  <si>
    <t>=IF(ISNUMBER($L$6)=FALSE,"",
        IF(ISERROR(VLOOKUP($G86,DanaSehat!$L$13:$AK$56,N$4,FALSE))=TRUE,"",
              VLOOKUP($G86,DanaSehat!$L$13:$AK$56,N$4,FALSE)))</t>
  </si>
  <si>
    <t>=IF(ISNUMBER($L$6)=FALSE,"",
        IF(ISERROR(VLOOKUP($G86,DanaSehat!$L$13:$AK$56,O$4,FALSE))=TRUE,"",
              VLOOKUP($G86,DanaSehat!$L$13:$AK$56,O$4,FALSE)))</t>
  </si>
  <si>
    <t>=IF(ISNUMBER($L$6)=FALSE,"",
        IF(ISERROR(VLOOKUP($G86,DanaSehat!$L$13:$AK$56,P$4,FALSE))=TRUE,"",
              VLOOKUP($G86,DanaSehat!$L$13:$AK$56,P$4,FALSE)))</t>
  </si>
  <si>
    <t>=IF(ISNUMBER($L$6)=FALSE,"",
        IF(ISERROR(VLOOKUP($G86,DanaSehat!$L$13:$AK$56,Q$4,FALSE))=TRUE,"",
              VLOOKUP($G86,DanaSehat!$L$13:$AK$56,Q$4,FALSE)))</t>
  </si>
  <si>
    <t>=IF(ISNUMBER($L$6)=FALSE,"",
        IF(ISERROR(VLOOKUP($G86,DanaSehat!$L$13:$AK$56,R$4,FALSE))=TRUE,"",
              VLOOKUP($G86,DanaSehat!$L$13:$AK$56,R$4,FALSE)))</t>
  </si>
  <si>
    <t>=IF(ISNUMBER($L$6)=FALSE,"",
        IF(ISERROR(VLOOKUP($G86,DanaSehat!$L$13:$AK$56,S$4,FALSE))=TRUE,"",
              VLOOKUP($G86,DanaSehat!$L$13:$AK$56,S$4,FALSE)))</t>
  </si>
  <si>
    <t>=IF(ISNUMBER($L$6)=FALSE,"",
        IF(ISERROR(VLOOKUP($G86,DanaSehat!$L$13:$AK$56,T$4,FALSE))=TRUE,"",
              VLOOKUP($G86,DanaSehat!$L$13:$AK$56,T$4,FALSE)))</t>
  </si>
  <si>
    <t>=IF(ISNUMBER($L$6)=FALSE,"",
        IF(ISERROR(VLOOKUP($G86,DanaSehat!$L$13:$AK$56,U$4,FALSE))=TRUE,"",
              VLOOKUP($G86,DanaSehat!$L$13:$AK$56,U$4,FALSE)))</t>
  </si>
  <si>
    <t>=IF(ISNUMBER($L$6)=FALSE,"",
        IF(ISERROR(VLOOKUP($G86,DanaSehat!$L$13:$AK$56,V$4,FALSE))=TRUE,"",
              VLOOKUP($G86,DanaSehat!$L$13:$AK$56,V$4,FALSE)))</t>
  </si>
  <si>
    <t>=IF(ISNUMBER($L$6)=FALSE,"",
        IF(ISERROR(VLOOKUP($G86,DanaSehat!$L$13:$AK$56,W$4,FALSE))=TRUE,"",
              VLOOKUP($G86,DanaSehat!$L$13:$AK$56,W$4,FALSE)))</t>
  </si>
  <si>
    <t>=IF(ISNUMBER($L$6)=FALSE,"",
        IF(ISERROR(VLOOKUP($G86,DanaSehat!$L$13:$AK$56,X$4,FALSE))=TRUE,"",
              VLOOKUP($G86,DanaSehat!$L$13:$AK$56,X$4,FALSE)))</t>
  </si>
  <si>
    <t>=IF(ISNUMBER($L$6)=FALSE,"",
        IF(ISERROR(VLOOKUP($G86,DanaSehat!$L$13:$AK$56,Y$4,FALSE))=TRUE,"",
              VLOOKUP($G86,DanaSehat!$L$13:$AK$56,Y$4,FALSE)))</t>
  </si>
  <si>
    <t>=IF(ISNUMBER($L$6)=FALSE,"",
        IF(ISERROR(VLOOKUP($G86,DanaSehat!$L$13:$AK$56,Z$4,FALSE))=TRUE,"",
              VLOOKUP($G86,DanaSehat!$L$13:$AK$56,Z$4,FALSE)))</t>
  </si>
  <si>
    <t>=IF(ISNUMBER($L$6)=FALSE,"",
        IF(ISERROR(VLOOKUP($G86,DanaSehat!$L$13:$AK$56,AA$4,FALSE))=TRUE,"",
              VLOOKUP($G86,DanaSehat!$L$13:$AK$56,AA$4,FALSE)))</t>
  </si>
  <si>
    <t>=IF(ISNUMBER($L$6)=FALSE,"",
        IF(ISERROR(VLOOKUP($G86,DanaSehat!$L$13:$AK$56,AB$4,FALSE))=TRUE,"",
              VLOOKUP($G86,DanaSehat!$L$13:$AK$56,AB$4,FALSE)))</t>
  </si>
  <si>
    <t>=IF(ISNUMBER($L$6)=FALSE,"",
        IF(ISERROR(VLOOKUP($G86,DanaSehat!$L$13:$AK$56,AC$4,FALSE))=TRUE,"",
              VLOOKUP($G86,DanaSehat!$L$13:$AK$56,AC$4,FALSE)))</t>
  </si>
  <si>
    <t>=IF(ISNUMBER($L$6)=FALSE,"",
        IF(ISERROR(VLOOKUP($G86,DanaSehat!$L$13:$AK$56,AD$4,FALSE))=TRUE,"",
              VLOOKUP($G86,DanaSehat!$L$13:$AK$56,AD$4,FALSE)))</t>
  </si>
  <si>
    <t>=IF(ISNUMBER($L$6)=FALSE,"",
        IF(ISERROR(VLOOKUP($G86,DanaSehat!$L$13:$AK$56,AE$4,FALSE))=TRUE,"",
              VLOOKUP($G86,DanaSehat!$L$13:$AK$56,AE$4,FALSE)))</t>
  </si>
  <si>
    <t>=IF(ISNUMBER($L$6)=FALSE,"",
        IF(ISERROR(VLOOKUP($G86,DanaSehat!$L$13:$AK$56,AF$4,FALSE))=TRUE,"",
              VLOOKUP($G86,DanaSehat!$L$13:$AK$56,AF$4,FALSE)))</t>
  </si>
  <si>
    <t>=IF(ISNUMBER($L$6)=FALSE,"",
IF($C87=0,"",VLOOKUP($E87,DanaSehat!$H$13:$L$56,4,FALSE)))</t>
  </si>
  <si>
    <t>=IF(ISNUMBER($L$6)=FALSE,"",
IF($C87=0,"",VLOOKUP($E87,DanaSehat!$H$13:$L$56,5,FALSE)))</t>
  </si>
  <si>
    <t>=IF(ISNUMBER($L$6)=FALSE,"",
        IF(ISERROR(VLOOKUP($G87,DanaSehat!$L$13:$AK$56,I$4,FALSE))=TRUE,"",
              VLOOKUP($G87,DanaSehat!$L$13:$AK$56,I$4,FALSE)))</t>
  </si>
  <si>
    <t>=IF(ISNUMBER($L$6)=FALSE,"",
        IF(ISERROR(VLOOKUP($G87,DanaSehat!$L$13:$AK$56,J$4,FALSE))=TRUE,"",
              VLOOKUP($G87,DanaSehat!$L$13:$AK$56,J$4,FALSE)))</t>
  </si>
  <si>
    <t>=IF(ISNUMBER($L$6)=FALSE,"",
        IF(ISERROR(VLOOKUP($G87,DanaSehat!$L$13:$AK$56,K$4,FALSE))=TRUE,"",
              VLOOKUP($G87,DanaSehat!$L$13:$AK$56,K$4,FALSE)))</t>
  </si>
  <si>
    <t>=IF(ISNUMBER($L$6)=FALSE,"",
        IF(ISERROR(VLOOKUP($G87,DanaSehat!$L$13:$AK$56,L$4,FALSE))=TRUE,"",
              VLOOKUP($G87,DanaSehat!$L$13:$AK$56,L$4,FALSE)))</t>
  </si>
  <si>
    <t>=IF(ISNUMBER($L$6)=FALSE,"",
        IF(ISERROR(VLOOKUP($G87,DanaSehat!$L$13:$AK$56,M$4,FALSE))=TRUE,"",
              VLOOKUP($G87,DanaSehat!$L$13:$AK$56,M$4,FALSE)))</t>
  </si>
  <si>
    <t>=IF(ISNUMBER($L$6)=FALSE,"",
        IF(ISERROR(VLOOKUP($G87,DanaSehat!$L$13:$AK$56,N$4,FALSE))=TRUE,"",
              VLOOKUP($G87,DanaSehat!$L$13:$AK$56,N$4,FALSE)))</t>
  </si>
  <si>
    <t>=IF(ISNUMBER($L$6)=FALSE,"",
        IF(ISERROR(VLOOKUP($G87,DanaSehat!$L$13:$AK$56,O$4,FALSE))=TRUE,"",
              VLOOKUP($G87,DanaSehat!$L$13:$AK$56,O$4,FALSE)))</t>
  </si>
  <si>
    <t>=IF(ISNUMBER($L$6)=FALSE,"",
        IF(ISERROR(VLOOKUP($G87,DanaSehat!$L$13:$AK$56,P$4,FALSE))=TRUE,"",
              VLOOKUP($G87,DanaSehat!$L$13:$AK$56,P$4,FALSE)))</t>
  </si>
  <si>
    <t>=IF(ISNUMBER($L$6)=FALSE,"",
        IF(ISERROR(VLOOKUP($G87,DanaSehat!$L$13:$AK$56,Q$4,FALSE))=TRUE,"",
              VLOOKUP($G87,DanaSehat!$L$13:$AK$56,Q$4,FALSE)))</t>
  </si>
  <si>
    <t>=IF(ISNUMBER($L$6)=FALSE,"",
        IF(ISERROR(VLOOKUP($G87,DanaSehat!$L$13:$AK$56,R$4,FALSE))=TRUE,"",
              VLOOKUP($G87,DanaSehat!$L$13:$AK$56,R$4,FALSE)))</t>
  </si>
  <si>
    <t>=IF(ISNUMBER($L$6)=FALSE,"",
        IF(ISERROR(VLOOKUP($G87,DanaSehat!$L$13:$AK$56,S$4,FALSE))=TRUE,"",
              VLOOKUP($G87,DanaSehat!$L$13:$AK$56,S$4,FALSE)))</t>
  </si>
  <si>
    <t>=IF(ISNUMBER($L$6)=FALSE,"",
        IF(ISERROR(VLOOKUP($G87,DanaSehat!$L$13:$AK$56,T$4,FALSE))=TRUE,"",
              VLOOKUP($G87,DanaSehat!$L$13:$AK$56,T$4,FALSE)))</t>
  </si>
  <si>
    <t>=IF(ISNUMBER($L$6)=FALSE,"",
        IF(ISERROR(VLOOKUP($G87,DanaSehat!$L$13:$AK$56,U$4,FALSE))=TRUE,"",
              VLOOKUP($G87,DanaSehat!$L$13:$AK$56,U$4,FALSE)))</t>
  </si>
  <si>
    <t>=IF(ISNUMBER($L$6)=FALSE,"",
        IF(ISERROR(VLOOKUP($G87,DanaSehat!$L$13:$AK$56,V$4,FALSE))=TRUE,"",
              VLOOKUP($G87,DanaSehat!$L$13:$AK$56,V$4,FALSE)))</t>
  </si>
  <si>
    <t>=IF(ISNUMBER($L$6)=FALSE,"",
        IF(ISERROR(VLOOKUP($G87,DanaSehat!$L$13:$AK$56,W$4,FALSE))=TRUE,"",
              VLOOKUP($G87,DanaSehat!$L$13:$AK$56,W$4,FALSE)))</t>
  </si>
  <si>
    <t>=IF(ISNUMBER($L$6)=FALSE,"",
        IF(ISERROR(VLOOKUP($G87,DanaSehat!$L$13:$AK$56,X$4,FALSE))=TRUE,"",
              VLOOKUP($G87,DanaSehat!$L$13:$AK$56,X$4,FALSE)))</t>
  </si>
  <si>
    <t>=IF(ISNUMBER($L$6)=FALSE,"",
        IF(ISERROR(VLOOKUP($G87,DanaSehat!$L$13:$AK$56,Y$4,FALSE))=TRUE,"",
              VLOOKUP($G87,DanaSehat!$L$13:$AK$56,Y$4,FALSE)))</t>
  </si>
  <si>
    <t>=IF(ISNUMBER($L$6)=FALSE,"",
        IF(ISERROR(VLOOKUP($G87,DanaSehat!$L$13:$AK$56,Z$4,FALSE))=TRUE,"",
              VLOOKUP($G87,DanaSehat!$L$13:$AK$56,Z$4,FALSE)))</t>
  </si>
  <si>
    <t>=IF(ISNUMBER($L$6)=FALSE,"",
        IF(ISERROR(VLOOKUP($G87,DanaSehat!$L$13:$AK$56,AA$4,FALSE))=TRUE,"",
              VLOOKUP($G87,DanaSehat!$L$13:$AK$56,AA$4,FALSE)))</t>
  </si>
  <si>
    <t>=IF(ISNUMBER($L$6)=FALSE,"",
        IF(ISERROR(VLOOKUP($G87,DanaSehat!$L$13:$AK$56,AB$4,FALSE))=TRUE,"",
              VLOOKUP($G87,DanaSehat!$L$13:$AK$56,AB$4,FALSE)))</t>
  </si>
  <si>
    <t>=IF(ISNUMBER($L$6)=FALSE,"",
        IF(ISERROR(VLOOKUP($G87,DanaSehat!$L$13:$AK$56,AC$4,FALSE))=TRUE,"",
              VLOOKUP($G87,DanaSehat!$L$13:$AK$56,AC$4,FALSE)))</t>
  </si>
  <si>
    <t>=IF(ISNUMBER($L$6)=FALSE,"",
        IF(ISERROR(VLOOKUP($G87,DanaSehat!$L$13:$AK$56,AD$4,FALSE))=TRUE,"",
              VLOOKUP($G87,DanaSehat!$L$13:$AK$56,AD$4,FALSE)))</t>
  </si>
  <si>
    <t>=IF(ISNUMBER($L$6)=FALSE,"",
        IF(ISERROR(VLOOKUP($G87,DanaSehat!$L$13:$AK$56,AE$4,FALSE))=TRUE,"",
              VLOOKUP($G87,DanaSehat!$L$13:$AK$56,AE$4,FALSE)))</t>
  </si>
  <si>
    <t>=IF(ISNUMBER($L$6)=FALSE,"",
        IF(ISERROR(VLOOKUP($G87,DanaSehat!$L$13:$AK$56,AF$4,FALSE))=TRUE,"",
              VLOOKUP($G87,DanaSehat!$L$13:$AK$56,AF$4,FALSE)))</t>
  </si>
  <si>
    <t>=IF(ISNUMBER($L$6)=FALSE,"",
IF($C88=0,"",VLOOKUP($E88,DanaSehat!$H$13:$L$56,4,FALSE)))</t>
  </si>
  <si>
    <t>=IF(ISNUMBER($L$6)=FALSE,"",
IF($C88=0,"",VLOOKUP($E88,DanaSehat!$H$13:$L$56,5,FALSE)))</t>
  </si>
  <si>
    <t>=IF(ISNUMBER($L$6)=FALSE,"",
        IF(ISERROR(VLOOKUP($G88,DanaSehat!$L$13:$AK$56,I$4,FALSE))=TRUE,"",
              VLOOKUP($G88,DanaSehat!$L$13:$AK$56,I$4,FALSE)))</t>
  </si>
  <si>
    <t>=IF(ISNUMBER($L$6)=FALSE,"",
        IF(ISERROR(VLOOKUP($G88,DanaSehat!$L$13:$AK$56,J$4,FALSE))=TRUE,"",
              VLOOKUP($G88,DanaSehat!$L$13:$AK$56,J$4,FALSE)))</t>
  </si>
  <si>
    <t>=IF(ISNUMBER($L$6)=FALSE,"",
        IF(ISERROR(VLOOKUP($G88,DanaSehat!$L$13:$AK$56,K$4,FALSE))=TRUE,"",
              VLOOKUP($G88,DanaSehat!$L$13:$AK$56,K$4,FALSE)))</t>
  </si>
  <si>
    <t>=IF(ISNUMBER($L$6)=FALSE,"",
        IF(ISERROR(VLOOKUP($G88,DanaSehat!$L$13:$AK$56,L$4,FALSE))=TRUE,"",
              VLOOKUP($G88,DanaSehat!$L$13:$AK$56,L$4,FALSE)))</t>
  </si>
  <si>
    <t>=IF(ISNUMBER($L$6)=FALSE,"",
        IF(ISERROR(VLOOKUP($G88,DanaSehat!$L$13:$AK$56,M$4,FALSE))=TRUE,"",
              VLOOKUP($G88,DanaSehat!$L$13:$AK$56,M$4,FALSE)))</t>
  </si>
  <si>
    <t>=IF(ISNUMBER($L$6)=FALSE,"",
        IF(ISERROR(VLOOKUP($G88,DanaSehat!$L$13:$AK$56,N$4,FALSE))=TRUE,"",
              VLOOKUP($G88,DanaSehat!$L$13:$AK$56,N$4,FALSE)))</t>
  </si>
  <si>
    <t>=IF(ISNUMBER($L$6)=FALSE,"",
        IF(ISERROR(VLOOKUP($G88,DanaSehat!$L$13:$AK$56,O$4,FALSE))=TRUE,"",
              VLOOKUP($G88,DanaSehat!$L$13:$AK$56,O$4,FALSE)))</t>
  </si>
  <si>
    <t>=IF(ISNUMBER($L$6)=FALSE,"",
        IF(ISERROR(VLOOKUP($G88,DanaSehat!$L$13:$AK$56,P$4,FALSE))=TRUE,"",
              VLOOKUP($G88,DanaSehat!$L$13:$AK$56,P$4,FALSE)))</t>
  </si>
  <si>
    <t>=IF(ISNUMBER($L$6)=FALSE,"",
        IF(ISERROR(VLOOKUP($G88,DanaSehat!$L$13:$AK$56,Q$4,FALSE))=TRUE,"",
              VLOOKUP($G88,DanaSehat!$L$13:$AK$56,Q$4,FALSE)))</t>
  </si>
  <si>
    <t>=IF(ISNUMBER($L$6)=FALSE,"",
        IF(ISERROR(VLOOKUP($G88,DanaSehat!$L$13:$AK$56,R$4,FALSE))=TRUE,"",
              VLOOKUP($G88,DanaSehat!$L$13:$AK$56,R$4,FALSE)))</t>
  </si>
  <si>
    <t>=IF(ISNUMBER($L$6)=FALSE,"",
        IF(ISERROR(VLOOKUP($G88,DanaSehat!$L$13:$AK$56,S$4,FALSE))=TRUE,"",
              VLOOKUP($G88,DanaSehat!$L$13:$AK$56,S$4,FALSE)))</t>
  </si>
  <si>
    <t>=IF(ISNUMBER($L$6)=FALSE,"",
        IF(ISERROR(VLOOKUP($G88,DanaSehat!$L$13:$AK$56,T$4,FALSE))=TRUE,"",
              VLOOKUP($G88,DanaSehat!$L$13:$AK$56,T$4,FALSE)))</t>
  </si>
  <si>
    <t>=IF(ISNUMBER($L$6)=FALSE,"",
        IF(ISERROR(VLOOKUP($G88,DanaSehat!$L$13:$AK$56,U$4,FALSE))=TRUE,"",
              VLOOKUP($G88,DanaSehat!$L$13:$AK$56,U$4,FALSE)))</t>
  </si>
  <si>
    <t>=IF(ISNUMBER($L$6)=FALSE,"",
        IF(ISERROR(VLOOKUP($G88,DanaSehat!$L$13:$AK$56,V$4,FALSE))=TRUE,"",
              VLOOKUP($G88,DanaSehat!$L$13:$AK$56,V$4,FALSE)))</t>
  </si>
  <si>
    <t>=IF(ISNUMBER($L$6)=FALSE,"",
        IF(ISERROR(VLOOKUP($G88,DanaSehat!$L$13:$AK$56,W$4,FALSE))=TRUE,"",
              VLOOKUP($G88,DanaSehat!$L$13:$AK$56,W$4,FALSE)))</t>
  </si>
  <si>
    <t>=IF(ISNUMBER($L$6)=FALSE,"",
        IF(ISERROR(VLOOKUP($G88,DanaSehat!$L$13:$AK$56,X$4,FALSE))=TRUE,"",
              VLOOKUP($G88,DanaSehat!$L$13:$AK$56,X$4,FALSE)))</t>
  </si>
  <si>
    <t>=IF(ISNUMBER($L$6)=FALSE,"",
        IF(ISERROR(VLOOKUP($G88,DanaSehat!$L$13:$AK$56,Y$4,FALSE))=TRUE,"",
              VLOOKUP($G88,DanaSehat!$L$13:$AK$56,Y$4,FALSE)))</t>
  </si>
  <si>
    <t>=IF(ISNUMBER($L$6)=FALSE,"",
        IF(ISERROR(VLOOKUP($G88,DanaSehat!$L$13:$AK$56,Z$4,FALSE))=TRUE,"",
              VLOOKUP($G88,DanaSehat!$L$13:$AK$56,Z$4,FALSE)))</t>
  </si>
  <si>
    <t>=IF(ISNUMBER($L$6)=FALSE,"",
        IF(ISERROR(VLOOKUP($G88,DanaSehat!$L$13:$AK$56,AA$4,FALSE))=TRUE,"",
              VLOOKUP($G88,DanaSehat!$L$13:$AK$56,AA$4,FALSE)))</t>
  </si>
  <si>
    <t>=IF(ISNUMBER($L$6)=FALSE,"",
        IF(ISERROR(VLOOKUP($G88,DanaSehat!$L$13:$AK$56,AB$4,FALSE))=TRUE,"",
              VLOOKUP($G88,DanaSehat!$L$13:$AK$56,AB$4,FALSE)))</t>
  </si>
  <si>
    <t>=IF(ISNUMBER($L$6)=FALSE,"",
        IF(ISERROR(VLOOKUP($G88,DanaSehat!$L$13:$AK$56,AC$4,FALSE))=TRUE,"",
              VLOOKUP($G88,DanaSehat!$L$13:$AK$56,AC$4,FALSE)))</t>
  </si>
  <si>
    <t>=IF(ISNUMBER($L$6)=FALSE,"",
        IF(ISERROR(VLOOKUP($G88,DanaSehat!$L$13:$AK$56,AD$4,FALSE))=TRUE,"",
              VLOOKUP($G88,DanaSehat!$L$13:$AK$56,AD$4,FALSE)))</t>
  </si>
  <si>
    <t>=IF(ISNUMBER($L$6)=FALSE,"",
        IF(ISERROR(VLOOKUP($G88,DanaSehat!$L$13:$AK$56,AE$4,FALSE))=TRUE,"",
              VLOOKUP($G88,DanaSehat!$L$13:$AK$56,AE$4,FALSE)))</t>
  </si>
  <si>
    <t>=IF(ISNUMBER($L$6)=FALSE,"",
        IF(ISERROR(VLOOKUP($G88,DanaSehat!$L$13:$AK$56,AF$4,FALSE))=TRUE,"",
              VLOOKUP($G88,DanaSehat!$L$13:$AK$56,AF$4,FALSE)))</t>
  </si>
  <si>
    <t>=IF(ISNUMBER($L$6)=FALSE,"",
IF($C89=0,"",VLOOKUP($E89,DanaSehat!$H$13:$L$56,4,FALSE)))</t>
  </si>
  <si>
    <t>=IF(ISNUMBER($L$6)=FALSE,"",
IF($C89=0,"",VLOOKUP($E89,DanaSehat!$H$13:$L$56,5,FALSE)))</t>
  </si>
  <si>
    <t>=IF(ISNUMBER($L$6)=FALSE,"",
        IF(ISERROR(VLOOKUP($G89,DanaSehat!$L$13:$AK$56,I$4,FALSE))=TRUE,"",
              VLOOKUP($G89,DanaSehat!$L$13:$AK$56,I$4,FALSE)))</t>
  </si>
  <si>
    <t>=IF(ISNUMBER($L$6)=FALSE,"",
        IF(ISERROR(VLOOKUP($G89,DanaSehat!$L$13:$AK$56,J$4,FALSE))=TRUE,"",
              VLOOKUP($G89,DanaSehat!$L$13:$AK$56,J$4,FALSE)))</t>
  </si>
  <si>
    <t>=IF(ISNUMBER($L$6)=FALSE,"",
        IF(ISERROR(VLOOKUP($G89,DanaSehat!$L$13:$AK$56,K$4,FALSE))=TRUE,"",
              VLOOKUP($G89,DanaSehat!$L$13:$AK$56,K$4,FALSE)))</t>
  </si>
  <si>
    <t>=IF(ISNUMBER($L$6)=FALSE,"",
        IF(ISERROR(VLOOKUP($G89,DanaSehat!$L$13:$AK$56,L$4,FALSE))=TRUE,"",
              VLOOKUP($G89,DanaSehat!$L$13:$AK$56,L$4,FALSE)))</t>
  </si>
  <si>
    <t>=IF(ISNUMBER($L$6)=FALSE,"",
        IF(ISERROR(VLOOKUP($G89,DanaSehat!$L$13:$AK$56,M$4,FALSE))=TRUE,"",
              VLOOKUP($G89,DanaSehat!$L$13:$AK$56,M$4,FALSE)))</t>
  </si>
  <si>
    <t>=IF(ISNUMBER($L$6)=FALSE,"",
        IF(ISERROR(VLOOKUP($G89,DanaSehat!$L$13:$AK$56,N$4,FALSE))=TRUE,"",
              VLOOKUP($G89,DanaSehat!$L$13:$AK$56,N$4,FALSE)))</t>
  </si>
  <si>
    <t>=IF(ISNUMBER($L$6)=FALSE,"",
        IF(ISERROR(VLOOKUP($G89,DanaSehat!$L$13:$AK$56,O$4,FALSE))=TRUE,"",
              VLOOKUP($G89,DanaSehat!$L$13:$AK$56,O$4,FALSE)))</t>
  </si>
  <si>
    <t>=IF(ISNUMBER($L$6)=FALSE,"",
        IF(ISERROR(VLOOKUP($G89,DanaSehat!$L$13:$AK$56,P$4,FALSE))=TRUE,"",
              VLOOKUP($G89,DanaSehat!$L$13:$AK$56,P$4,FALSE)))</t>
  </si>
  <si>
    <t>=IF(ISNUMBER($L$6)=FALSE,"",
        IF(ISERROR(VLOOKUP($G89,DanaSehat!$L$13:$AK$56,Q$4,FALSE))=TRUE,"",
              VLOOKUP($G89,DanaSehat!$L$13:$AK$56,Q$4,FALSE)))</t>
  </si>
  <si>
    <t>=IF(ISNUMBER($L$6)=FALSE,"",
        IF(ISERROR(VLOOKUP($G89,DanaSehat!$L$13:$AK$56,R$4,FALSE))=TRUE,"",
              VLOOKUP($G89,DanaSehat!$L$13:$AK$56,R$4,FALSE)))</t>
  </si>
  <si>
    <t>=IF(ISNUMBER($L$6)=FALSE,"",
        IF(ISERROR(VLOOKUP($G89,DanaSehat!$L$13:$AK$56,S$4,FALSE))=TRUE,"",
              VLOOKUP($G89,DanaSehat!$L$13:$AK$56,S$4,FALSE)))</t>
  </si>
  <si>
    <t>=IF(ISNUMBER($L$6)=FALSE,"",
        IF(ISERROR(VLOOKUP($G89,DanaSehat!$L$13:$AK$56,T$4,FALSE))=TRUE,"",
              VLOOKUP($G89,DanaSehat!$L$13:$AK$56,T$4,FALSE)))</t>
  </si>
  <si>
    <t>=IF(ISNUMBER($L$6)=FALSE,"",
        IF(ISERROR(VLOOKUP($G89,DanaSehat!$L$13:$AK$56,U$4,FALSE))=TRUE,"",
              VLOOKUP($G89,DanaSehat!$L$13:$AK$56,U$4,FALSE)))</t>
  </si>
  <si>
    <t>=IF(ISNUMBER($L$6)=FALSE,"",
        IF(ISERROR(VLOOKUP($G89,DanaSehat!$L$13:$AK$56,V$4,FALSE))=TRUE,"",
              VLOOKUP($G89,DanaSehat!$L$13:$AK$56,V$4,FALSE)))</t>
  </si>
  <si>
    <t>=IF(ISNUMBER($L$6)=FALSE,"",
        IF(ISERROR(VLOOKUP($G89,DanaSehat!$L$13:$AK$56,W$4,FALSE))=TRUE,"",
              VLOOKUP($G89,DanaSehat!$L$13:$AK$56,W$4,FALSE)))</t>
  </si>
  <si>
    <t>=IF(ISNUMBER($L$6)=FALSE,"",
        IF(ISERROR(VLOOKUP($G89,DanaSehat!$L$13:$AK$56,X$4,FALSE))=TRUE,"",
              VLOOKUP($G89,DanaSehat!$L$13:$AK$56,X$4,FALSE)))</t>
  </si>
  <si>
    <t>=IF(ISNUMBER($L$6)=FALSE,"",
        IF(ISERROR(VLOOKUP($G89,DanaSehat!$L$13:$AK$56,Y$4,FALSE))=TRUE,"",
              VLOOKUP($G89,DanaSehat!$L$13:$AK$56,Y$4,FALSE)))</t>
  </si>
  <si>
    <t>=IF(ISNUMBER($L$6)=FALSE,"",
        IF(ISERROR(VLOOKUP($G89,DanaSehat!$L$13:$AK$56,Z$4,FALSE))=TRUE,"",
              VLOOKUP($G89,DanaSehat!$L$13:$AK$56,Z$4,FALSE)))</t>
  </si>
  <si>
    <t>=IF(ISNUMBER($L$6)=FALSE,"",
        IF(ISERROR(VLOOKUP($G89,DanaSehat!$L$13:$AK$56,AA$4,FALSE))=TRUE,"",
              VLOOKUP($G89,DanaSehat!$L$13:$AK$56,AA$4,FALSE)))</t>
  </si>
  <si>
    <t>=IF(ISNUMBER($L$6)=FALSE,"",
        IF(ISERROR(VLOOKUP($G89,DanaSehat!$L$13:$AK$56,AB$4,FALSE))=TRUE,"",
              VLOOKUP($G89,DanaSehat!$L$13:$AK$56,AB$4,FALSE)))</t>
  </si>
  <si>
    <t>=IF(ISNUMBER($L$6)=FALSE,"",
        IF(ISERROR(VLOOKUP($G89,DanaSehat!$L$13:$AK$56,AC$4,FALSE))=TRUE,"",
              VLOOKUP($G89,DanaSehat!$L$13:$AK$56,AC$4,FALSE)))</t>
  </si>
  <si>
    <t>=IF(ISNUMBER($L$6)=FALSE,"",
        IF(ISERROR(VLOOKUP($G89,DanaSehat!$L$13:$AK$56,AD$4,FALSE))=TRUE,"",
              VLOOKUP($G89,DanaSehat!$L$13:$AK$56,AD$4,FALSE)))</t>
  </si>
  <si>
    <t>=IF(ISNUMBER($L$6)=FALSE,"",
        IF(ISERROR(VLOOKUP($G89,DanaSehat!$L$13:$AK$56,AE$4,FALSE))=TRUE,"",
              VLOOKUP($G89,DanaSehat!$L$13:$AK$56,AE$4,FALSE)))</t>
  </si>
  <si>
    <t>=IF(ISNUMBER($L$6)=FALSE,"",
        IF(ISERROR(VLOOKUP($G89,DanaSehat!$L$13:$AK$56,AF$4,FALSE))=TRUE,"",
              VLOOKUP($G89,DanaSehat!$L$13:$AK$56,AF$4,FALSE)))</t>
  </si>
  <si>
    <t>=IF(ISNUMBER($L$6)=FALSE,"",
IF($C90=0,"",VLOOKUP($E90,DanaSehat!$H$13:$L$56,4,FALSE)))</t>
  </si>
  <si>
    <t>=IF(ISNUMBER($L$6)=FALSE,"",
IF($C90=0,"",VLOOKUP($E90,DanaSehat!$H$13:$L$56,5,FALSE)))</t>
  </si>
  <si>
    <t>=IF(ISNUMBER($L$6)=FALSE,"",
        IF(ISERROR(VLOOKUP($G90,DanaSehat!$L$13:$AK$56,I$4,FALSE))=TRUE,"",
              VLOOKUP($G90,DanaSehat!$L$13:$AK$56,I$4,FALSE)))</t>
  </si>
  <si>
    <t>=IF(ISNUMBER($L$6)=FALSE,"",
        IF(ISERROR(VLOOKUP($G90,DanaSehat!$L$13:$AK$56,J$4,FALSE))=TRUE,"",
              VLOOKUP($G90,DanaSehat!$L$13:$AK$56,J$4,FALSE)))</t>
  </si>
  <si>
    <t>=IF(ISNUMBER($L$6)=FALSE,"",
        IF(ISERROR(VLOOKUP($G90,DanaSehat!$L$13:$AK$56,K$4,FALSE))=TRUE,"",
              VLOOKUP($G90,DanaSehat!$L$13:$AK$56,K$4,FALSE)))</t>
  </si>
  <si>
    <t>=IF(ISNUMBER($L$6)=FALSE,"",
        IF(ISERROR(VLOOKUP($G90,DanaSehat!$L$13:$AK$56,L$4,FALSE))=TRUE,"",
              VLOOKUP($G90,DanaSehat!$L$13:$AK$56,L$4,FALSE)))</t>
  </si>
  <si>
    <t>=IF(ISNUMBER($L$6)=FALSE,"",
        IF(ISERROR(VLOOKUP($G90,DanaSehat!$L$13:$AK$56,M$4,FALSE))=TRUE,"",
              VLOOKUP($G90,DanaSehat!$L$13:$AK$56,M$4,FALSE)))</t>
  </si>
  <si>
    <t>=IF(ISNUMBER($L$6)=FALSE,"",
        IF(ISERROR(VLOOKUP($G90,DanaSehat!$L$13:$AK$56,N$4,FALSE))=TRUE,"",
              VLOOKUP($G90,DanaSehat!$L$13:$AK$56,N$4,FALSE)))</t>
  </si>
  <si>
    <t>=IF(ISNUMBER($L$6)=FALSE,"",
        IF(ISERROR(VLOOKUP($G90,DanaSehat!$L$13:$AK$56,O$4,FALSE))=TRUE,"",
              VLOOKUP($G90,DanaSehat!$L$13:$AK$56,O$4,FALSE)))</t>
  </si>
  <si>
    <t>=IF(ISNUMBER($L$6)=FALSE,"",
        IF(ISERROR(VLOOKUP($G90,DanaSehat!$L$13:$AK$56,P$4,FALSE))=TRUE,"",
              VLOOKUP($G90,DanaSehat!$L$13:$AK$56,P$4,FALSE)))</t>
  </si>
  <si>
    <t>=IF(ISNUMBER($L$6)=FALSE,"",
        IF(ISERROR(VLOOKUP($G90,DanaSehat!$L$13:$AK$56,Q$4,FALSE))=TRUE,"",
              VLOOKUP($G90,DanaSehat!$L$13:$AK$56,Q$4,FALSE)))</t>
  </si>
  <si>
    <t>=IF(ISNUMBER($L$6)=FALSE,"",
        IF(ISERROR(VLOOKUP($G90,DanaSehat!$L$13:$AK$56,R$4,FALSE))=TRUE,"",
              VLOOKUP($G90,DanaSehat!$L$13:$AK$56,R$4,FALSE)))</t>
  </si>
  <si>
    <t>=IF(ISNUMBER($L$6)=FALSE,"",
        IF(ISERROR(VLOOKUP($G90,DanaSehat!$L$13:$AK$56,S$4,FALSE))=TRUE,"",
              VLOOKUP($G90,DanaSehat!$L$13:$AK$56,S$4,FALSE)))</t>
  </si>
  <si>
    <t>=IF(ISNUMBER($L$6)=FALSE,"",
        IF(ISERROR(VLOOKUP($G90,DanaSehat!$L$13:$AK$56,T$4,FALSE))=TRUE,"",
              VLOOKUP($G90,DanaSehat!$L$13:$AK$56,T$4,FALSE)))</t>
  </si>
  <si>
    <t>=IF(ISNUMBER($L$6)=FALSE,"",
        IF(ISERROR(VLOOKUP($G90,DanaSehat!$L$13:$AK$56,U$4,FALSE))=TRUE,"",
              VLOOKUP($G90,DanaSehat!$L$13:$AK$56,U$4,FALSE)))</t>
  </si>
  <si>
    <t>=IF(ISNUMBER($L$6)=FALSE,"",
        IF(ISERROR(VLOOKUP($G90,DanaSehat!$L$13:$AK$56,V$4,FALSE))=TRUE,"",
              VLOOKUP($G90,DanaSehat!$L$13:$AK$56,V$4,FALSE)))</t>
  </si>
  <si>
    <t>=IF(ISNUMBER($L$6)=FALSE,"",
        IF(ISERROR(VLOOKUP($G90,DanaSehat!$L$13:$AK$56,W$4,FALSE))=TRUE,"",
              VLOOKUP($G90,DanaSehat!$L$13:$AK$56,W$4,FALSE)))</t>
  </si>
  <si>
    <t>=IF(ISNUMBER($L$6)=FALSE,"",
        IF(ISERROR(VLOOKUP($G90,DanaSehat!$L$13:$AK$56,X$4,FALSE))=TRUE,"",
              VLOOKUP($G90,DanaSehat!$L$13:$AK$56,X$4,FALSE)))</t>
  </si>
  <si>
    <t>=IF(ISNUMBER($L$6)=FALSE,"",
        IF(ISERROR(VLOOKUP($G90,DanaSehat!$L$13:$AK$56,Y$4,FALSE))=TRUE,"",
              VLOOKUP($G90,DanaSehat!$L$13:$AK$56,Y$4,FALSE)))</t>
  </si>
  <si>
    <t>=IF(ISNUMBER($L$6)=FALSE,"",
        IF(ISERROR(VLOOKUP($G90,DanaSehat!$L$13:$AK$56,Z$4,FALSE))=TRUE,"",
              VLOOKUP($G90,DanaSehat!$L$13:$AK$56,Z$4,FALSE)))</t>
  </si>
  <si>
    <t>=IF(ISNUMBER($L$6)=FALSE,"",
        IF(ISERROR(VLOOKUP($G90,DanaSehat!$L$13:$AK$56,AA$4,FALSE))=TRUE,"",
              VLOOKUP($G90,DanaSehat!$L$13:$AK$56,AA$4,FALSE)))</t>
  </si>
  <si>
    <t>=IF(ISNUMBER($L$6)=FALSE,"",
        IF(ISERROR(VLOOKUP($G90,DanaSehat!$L$13:$AK$56,AB$4,FALSE))=TRUE,"",
              VLOOKUP($G90,DanaSehat!$L$13:$AK$56,AB$4,FALSE)))</t>
  </si>
  <si>
    <t>=IF(ISNUMBER($L$6)=FALSE,"",
        IF(ISERROR(VLOOKUP($G90,DanaSehat!$L$13:$AK$56,AC$4,FALSE))=TRUE,"",
              VLOOKUP($G90,DanaSehat!$L$13:$AK$56,AC$4,FALSE)))</t>
  </si>
  <si>
    <t>=IF(ISNUMBER($L$6)=FALSE,"",
        IF(ISERROR(VLOOKUP($G90,DanaSehat!$L$13:$AK$56,AD$4,FALSE))=TRUE,"",
              VLOOKUP($G90,DanaSehat!$L$13:$AK$56,AD$4,FALSE)))</t>
  </si>
  <si>
    <t>=IF(ISNUMBER($L$6)=FALSE,"",
        IF(ISERROR(VLOOKUP($G90,DanaSehat!$L$13:$AK$56,AE$4,FALSE))=TRUE,"",
              VLOOKUP($G90,DanaSehat!$L$13:$AK$56,AE$4,FALSE)))</t>
  </si>
  <si>
    <t>=IF(ISNUMBER($L$6)=FALSE,"",
        IF(ISERROR(VLOOKUP($G90,DanaSehat!$L$13:$AK$56,AF$4,FALSE))=TRUE,"",
              VLOOKUP($G90,DanaSehat!$L$13:$AK$56,AF$4,FALSE)))</t>
  </si>
  <si>
    <t>=IF(ISNUMBER($L$6)=FALSE,"",
IF($C91=0,"",VLOOKUP($E91,DanaSehat!$H$13:$L$56,4,FALSE)))</t>
  </si>
  <si>
    <t>=IF(ISNUMBER($L$6)=FALSE,"",
IF($C91=0,"",VLOOKUP($E91,DanaSehat!$H$13:$L$56,5,FALSE)))</t>
  </si>
  <si>
    <t>=IF(ISNUMBER($L$6)=FALSE,"",
        IF(ISERROR(VLOOKUP($G91,DanaSehat!$L$13:$AK$56,I$4,FALSE))=TRUE,"",
              VLOOKUP($G91,DanaSehat!$L$13:$AK$56,I$4,FALSE)))</t>
  </si>
  <si>
    <t>=IF(ISNUMBER($L$6)=FALSE,"",
        IF(ISERROR(VLOOKUP($G91,DanaSehat!$L$13:$AK$56,J$4,FALSE))=TRUE,"",
              VLOOKUP($G91,DanaSehat!$L$13:$AK$56,J$4,FALSE)))</t>
  </si>
  <si>
    <t>=IF(ISNUMBER($L$6)=FALSE,"",
        IF(ISERROR(VLOOKUP($G91,DanaSehat!$L$13:$AK$56,K$4,FALSE))=TRUE,"",
              VLOOKUP($G91,DanaSehat!$L$13:$AK$56,K$4,FALSE)))</t>
  </si>
  <si>
    <t>=IF(ISNUMBER($L$6)=FALSE,"",
        IF(ISERROR(VLOOKUP($G91,DanaSehat!$L$13:$AK$56,L$4,FALSE))=TRUE,"",
              VLOOKUP($G91,DanaSehat!$L$13:$AK$56,L$4,FALSE)))</t>
  </si>
  <si>
    <t>=IF(ISNUMBER($L$6)=FALSE,"",
        IF(ISERROR(VLOOKUP($G91,DanaSehat!$L$13:$AK$56,M$4,FALSE))=TRUE,"",
              VLOOKUP($G91,DanaSehat!$L$13:$AK$56,M$4,FALSE)))</t>
  </si>
  <si>
    <t>=IF(ISNUMBER($L$6)=FALSE,"",
        IF(ISERROR(VLOOKUP($G91,DanaSehat!$L$13:$AK$56,N$4,FALSE))=TRUE,"",
              VLOOKUP($G91,DanaSehat!$L$13:$AK$56,N$4,FALSE)))</t>
  </si>
  <si>
    <t>=IF(ISNUMBER($L$6)=FALSE,"",
        IF(ISERROR(VLOOKUP($G91,DanaSehat!$L$13:$AK$56,O$4,FALSE))=TRUE,"",
              VLOOKUP($G91,DanaSehat!$L$13:$AK$56,O$4,FALSE)))</t>
  </si>
  <si>
    <t>=IF(ISNUMBER($L$6)=FALSE,"",
        IF(ISERROR(VLOOKUP($G91,DanaSehat!$L$13:$AK$56,P$4,FALSE))=TRUE,"",
              VLOOKUP($G91,DanaSehat!$L$13:$AK$56,P$4,FALSE)))</t>
  </si>
  <si>
    <t>=IF(ISNUMBER($L$6)=FALSE,"",
        IF(ISERROR(VLOOKUP($G91,DanaSehat!$L$13:$AK$56,Q$4,FALSE))=TRUE,"",
              VLOOKUP($G91,DanaSehat!$L$13:$AK$56,Q$4,FALSE)))</t>
  </si>
  <si>
    <t>=IF(ISNUMBER($L$6)=FALSE,"",
        IF(ISERROR(VLOOKUP($G91,DanaSehat!$L$13:$AK$56,R$4,FALSE))=TRUE,"",
              VLOOKUP($G91,DanaSehat!$L$13:$AK$56,R$4,FALSE)))</t>
  </si>
  <si>
    <t>=IF(ISNUMBER($L$6)=FALSE,"",
        IF(ISERROR(VLOOKUP($G91,DanaSehat!$L$13:$AK$56,S$4,FALSE))=TRUE,"",
              VLOOKUP($G91,DanaSehat!$L$13:$AK$56,S$4,FALSE)))</t>
  </si>
  <si>
    <t>=IF(ISNUMBER($L$6)=FALSE,"",
        IF(ISERROR(VLOOKUP($G91,DanaSehat!$L$13:$AK$56,T$4,FALSE))=TRUE,"",
              VLOOKUP($G91,DanaSehat!$L$13:$AK$56,T$4,FALSE)))</t>
  </si>
  <si>
    <t>=IF(ISNUMBER($L$6)=FALSE,"",
        IF(ISERROR(VLOOKUP($G91,DanaSehat!$L$13:$AK$56,U$4,FALSE))=TRUE,"",
              VLOOKUP($G91,DanaSehat!$L$13:$AK$56,U$4,FALSE)))</t>
  </si>
  <si>
    <t>=IF(ISNUMBER($L$6)=FALSE,"",
        IF(ISERROR(VLOOKUP($G91,DanaSehat!$L$13:$AK$56,V$4,FALSE))=TRUE,"",
              VLOOKUP($G91,DanaSehat!$L$13:$AK$56,V$4,FALSE)))</t>
  </si>
  <si>
    <t>=IF(ISNUMBER($L$6)=FALSE,"",
        IF(ISERROR(VLOOKUP($G91,DanaSehat!$L$13:$AK$56,W$4,FALSE))=TRUE,"",
              VLOOKUP($G91,DanaSehat!$L$13:$AK$56,W$4,FALSE)))</t>
  </si>
  <si>
    <t>=IF(ISNUMBER($L$6)=FALSE,"",
        IF(ISERROR(VLOOKUP($G91,DanaSehat!$L$13:$AK$56,X$4,FALSE))=TRUE,"",
              VLOOKUP($G91,DanaSehat!$L$13:$AK$56,X$4,FALSE)))</t>
  </si>
  <si>
    <t>=IF(ISNUMBER($L$6)=FALSE,"",
        IF(ISERROR(VLOOKUP($G91,DanaSehat!$L$13:$AK$56,Y$4,FALSE))=TRUE,"",
              VLOOKUP($G91,DanaSehat!$L$13:$AK$56,Y$4,FALSE)))</t>
  </si>
  <si>
    <t>=IF(ISNUMBER($L$6)=FALSE,"",
        IF(ISERROR(VLOOKUP($G91,DanaSehat!$L$13:$AK$56,Z$4,FALSE))=TRUE,"",
              VLOOKUP($G91,DanaSehat!$L$13:$AK$56,Z$4,FALSE)))</t>
  </si>
  <si>
    <t>=IF(ISNUMBER($L$6)=FALSE,"",
        IF(ISERROR(VLOOKUP($G91,DanaSehat!$L$13:$AK$56,AA$4,FALSE))=TRUE,"",
              VLOOKUP($G91,DanaSehat!$L$13:$AK$56,AA$4,FALSE)))</t>
  </si>
  <si>
    <t>=IF(ISNUMBER($L$6)=FALSE,"",
        IF(ISERROR(VLOOKUP($G91,DanaSehat!$L$13:$AK$56,AB$4,FALSE))=TRUE,"",
              VLOOKUP($G91,DanaSehat!$L$13:$AK$56,AB$4,FALSE)))</t>
  </si>
  <si>
    <t>=IF(ISNUMBER($L$6)=FALSE,"",
        IF(ISERROR(VLOOKUP($G91,DanaSehat!$L$13:$AK$56,AC$4,FALSE))=TRUE,"",
              VLOOKUP($G91,DanaSehat!$L$13:$AK$56,AC$4,FALSE)))</t>
  </si>
  <si>
    <t>=IF(ISNUMBER($L$6)=FALSE,"",
        IF(ISERROR(VLOOKUP($G91,DanaSehat!$L$13:$AK$56,AD$4,FALSE))=TRUE,"",
              VLOOKUP($G91,DanaSehat!$L$13:$AK$56,AD$4,FALSE)))</t>
  </si>
  <si>
    <t>=IF(ISNUMBER($L$6)=FALSE,"",
        IF(ISERROR(VLOOKUP($G91,DanaSehat!$L$13:$AK$56,AE$4,FALSE))=TRUE,"",
              VLOOKUP($G91,DanaSehat!$L$13:$AK$56,AE$4,FALSE)))</t>
  </si>
  <si>
    <t>=IF(ISNUMBER($L$6)=FALSE,"",
        IF(ISERROR(VLOOKUP($G91,DanaSehat!$L$13:$AK$56,AF$4,FALSE))=TRUE,"",
              VLOOKUP($G91,DanaSehat!$L$13:$AK$56,AF$4,FALSE)))</t>
  </si>
  <si>
    <t>=IF(ISNUMBER($L$6)=FALSE,"",
IF($C92=0,"",VLOOKUP($E92,DanaSehat!$H$13:$L$56,4,FALSE)))</t>
  </si>
  <si>
    <t>=IF(ISNUMBER($L$6)=FALSE,"",
IF($C92=0,"",VLOOKUP($E92,DanaSehat!$H$13:$L$56,5,FALSE)))</t>
  </si>
  <si>
    <t>=IF(ISNUMBER($L$6)=FALSE,"",
        IF(ISERROR(VLOOKUP($G92,DanaSehat!$L$13:$AK$56,I$4,FALSE))=TRUE,"",
              VLOOKUP($G92,DanaSehat!$L$13:$AK$56,I$4,FALSE)))</t>
  </si>
  <si>
    <t>=IF(ISNUMBER($L$6)=FALSE,"",
        IF(ISERROR(VLOOKUP($G92,DanaSehat!$L$13:$AK$56,J$4,FALSE))=TRUE,"",
              VLOOKUP($G92,DanaSehat!$L$13:$AK$56,J$4,FALSE)))</t>
  </si>
  <si>
    <t>=IF(ISNUMBER($L$6)=FALSE,"",
        IF(ISERROR(VLOOKUP($G92,DanaSehat!$L$13:$AK$56,K$4,FALSE))=TRUE,"",
              VLOOKUP($G92,DanaSehat!$L$13:$AK$56,K$4,FALSE)))</t>
  </si>
  <si>
    <t>=IF(ISNUMBER($L$6)=FALSE,"",
        IF(ISERROR(VLOOKUP($G92,DanaSehat!$L$13:$AK$56,L$4,FALSE))=TRUE,"",
              VLOOKUP($G92,DanaSehat!$L$13:$AK$56,L$4,FALSE)))</t>
  </si>
  <si>
    <t>=IF(ISNUMBER($L$6)=FALSE,"",
        IF(ISERROR(VLOOKUP($G92,DanaSehat!$L$13:$AK$56,M$4,FALSE))=TRUE,"",
              VLOOKUP($G92,DanaSehat!$L$13:$AK$56,M$4,FALSE)))</t>
  </si>
  <si>
    <t>=IF(ISNUMBER($L$6)=FALSE,"",
        IF(ISERROR(VLOOKUP($G92,DanaSehat!$L$13:$AK$56,N$4,FALSE))=TRUE,"",
              VLOOKUP($G92,DanaSehat!$L$13:$AK$56,N$4,FALSE)))</t>
  </si>
  <si>
    <t>=IF(ISNUMBER($L$6)=FALSE,"",
        IF(ISERROR(VLOOKUP($G92,DanaSehat!$L$13:$AK$56,O$4,FALSE))=TRUE,"",
              VLOOKUP($G92,DanaSehat!$L$13:$AK$56,O$4,FALSE)))</t>
  </si>
  <si>
    <t>=IF(ISNUMBER($L$6)=FALSE,"",
        IF(ISERROR(VLOOKUP($G92,DanaSehat!$L$13:$AK$56,P$4,FALSE))=TRUE,"",
              VLOOKUP($G92,DanaSehat!$L$13:$AK$56,P$4,FALSE)))</t>
  </si>
  <si>
    <t>=IF(ISNUMBER($L$6)=FALSE,"",
        IF(ISERROR(VLOOKUP($G92,DanaSehat!$L$13:$AK$56,Q$4,FALSE))=TRUE,"",
              VLOOKUP($G92,DanaSehat!$L$13:$AK$56,Q$4,FALSE)))</t>
  </si>
  <si>
    <t>=IF(ISNUMBER($L$6)=FALSE,"",
        IF(ISERROR(VLOOKUP($G92,DanaSehat!$L$13:$AK$56,R$4,FALSE))=TRUE,"",
              VLOOKUP($G92,DanaSehat!$L$13:$AK$56,R$4,FALSE)))</t>
  </si>
  <si>
    <t>=IF(ISNUMBER($L$6)=FALSE,"",
        IF(ISERROR(VLOOKUP($G92,DanaSehat!$L$13:$AK$56,S$4,FALSE))=TRUE,"",
              VLOOKUP($G92,DanaSehat!$L$13:$AK$56,S$4,FALSE)))</t>
  </si>
  <si>
    <t>=IF(ISNUMBER($L$6)=FALSE,"",
        IF(ISERROR(VLOOKUP($G92,DanaSehat!$L$13:$AK$56,T$4,FALSE))=TRUE,"",
              VLOOKUP($G92,DanaSehat!$L$13:$AK$56,T$4,FALSE)))</t>
  </si>
  <si>
    <t>=IF(ISNUMBER($L$6)=FALSE,"",
        IF(ISERROR(VLOOKUP($G92,DanaSehat!$L$13:$AK$56,U$4,FALSE))=TRUE,"",
              VLOOKUP($G92,DanaSehat!$L$13:$AK$56,U$4,FALSE)))</t>
  </si>
  <si>
    <t>=IF(ISNUMBER($L$6)=FALSE,"",
        IF(ISERROR(VLOOKUP($G92,DanaSehat!$L$13:$AK$56,V$4,FALSE))=TRUE,"",
              VLOOKUP($G92,DanaSehat!$L$13:$AK$56,V$4,FALSE)))</t>
  </si>
  <si>
    <t>=IF(ISNUMBER($L$6)=FALSE,"",
        IF(ISERROR(VLOOKUP($G92,DanaSehat!$L$13:$AK$56,W$4,FALSE))=TRUE,"",
              VLOOKUP($G92,DanaSehat!$L$13:$AK$56,W$4,FALSE)))</t>
  </si>
  <si>
    <t>=IF(ISNUMBER($L$6)=FALSE,"",
        IF(ISERROR(VLOOKUP($G92,DanaSehat!$L$13:$AK$56,X$4,FALSE))=TRUE,"",
              VLOOKUP($G92,DanaSehat!$L$13:$AK$56,X$4,FALSE)))</t>
  </si>
  <si>
    <t>=IF(ISNUMBER($L$6)=FALSE,"",
        IF(ISERROR(VLOOKUP($G92,DanaSehat!$L$13:$AK$56,Y$4,FALSE))=TRUE,"",
              VLOOKUP($G92,DanaSehat!$L$13:$AK$56,Y$4,FALSE)))</t>
  </si>
  <si>
    <t>=IF(ISNUMBER($L$6)=FALSE,"",
        IF(ISERROR(VLOOKUP($G92,DanaSehat!$L$13:$AK$56,Z$4,FALSE))=TRUE,"",
              VLOOKUP($G92,DanaSehat!$L$13:$AK$56,Z$4,FALSE)))</t>
  </si>
  <si>
    <t>=IF(ISNUMBER($L$6)=FALSE,"",
        IF(ISERROR(VLOOKUP($G92,DanaSehat!$L$13:$AK$56,AA$4,FALSE))=TRUE,"",
              VLOOKUP($G92,DanaSehat!$L$13:$AK$56,AA$4,FALSE)))</t>
  </si>
  <si>
    <t>=IF(ISNUMBER($L$6)=FALSE,"",
        IF(ISERROR(VLOOKUP($G92,DanaSehat!$L$13:$AK$56,AB$4,FALSE))=TRUE,"",
              VLOOKUP($G92,DanaSehat!$L$13:$AK$56,AB$4,FALSE)))</t>
  </si>
  <si>
    <t>=IF(ISNUMBER($L$6)=FALSE,"",
        IF(ISERROR(VLOOKUP($G92,DanaSehat!$L$13:$AK$56,AC$4,FALSE))=TRUE,"",
              VLOOKUP($G92,DanaSehat!$L$13:$AK$56,AC$4,FALSE)))</t>
  </si>
  <si>
    <t>=IF(ISNUMBER($L$6)=FALSE,"",
        IF(ISERROR(VLOOKUP($G92,DanaSehat!$L$13:$AK$56,AD$4,FALSE))=TRUE,"",
              VLOOKUP($G92,DanaSehat!$L$13:$AK$56,AD$4,FALSE)))</t>
  </si>
  <si>
    <t>=IF(ISNUMBER($L$6)=FALSE,"",
        IF(ISERROR(VLOOKUP($G92,DanaSehat!$L$13:$AK$56,AE$4,FALSE))=TRUE,"",
              VLOOKUP($G92,DanaSehat!$L$13:$AK$56,AE$4,FALSE)))</t>
  </si>
  <si>
    <t>=IF(ISNUMBER($L$6)=FALSE,"",
        IF(ISERROR(VLOOKUP($G92,DanaSehat!$L$13:$AK$56,AF$4,FALSE))=TRUE,"",
              VLOOKUP($G92,DanaSehat!$L$13:$AK$56,AF$4,FALSE)))</t>
  </si>
  <si>
    <t>=IF(ISNUMBER($L$6)=FALSE,"",
IF($C93=0,"",VLOOKUP($E93,DanaSehat!$H$13:$L$56,4,FALSE)))</t>
  </si>
  <si>
    <t>=IF(ISNUMBER($L$6)=FALSE,"",
IF($C93=0,"",VLOOKUP($E93,DanaSehat!$H$13:$L$56,5,FALSE)))</t>
  </si>
  <si>
    <t>=IF(ISNUMBER($L$6)=FALSE,"",
        IF(ISERROR(VLOOKUP($G93,DanaSehat!$L$13:$AK$56,I$4,FALSE))=TRUE,"",
              VLOOKUP($G93,DanaSehat!$L$13:$AK$56,I$4,FALSE)))</t>
  </si>
  <si>
    <t>=IF(ISNUMBER($L$6)=FALSE,"",
        IF(ISERROR(VLOOKUP($G93,DanaSehat!$L$13:$AK$56,J$4,FALSE))=TRUE,"",
              VLOOKUP($G93,DanaSehat!$L$13:$AK$56,J$4,FALSE)))</t>
  </si>
  <si>
    <t>=IF(ISNUMBER($L$6)=FALSE,"",
        IF(ISERROR(VLOOKUP($G93,DanaSehat!$L$13:$AK$56,K$4,FALSE))=TRUE,"",
              VLOOKUP($G93,DanaSehat!$L$13:$AK$56,K$4,FALSE)))</t>
  </si>
  <si>
    <t>=IF(ISNUMBER($L$6)=FALSE,"",
        IF(ISERROR(VLOOKUP($G93,DanaSehat!$L$13:$AK$56,L$4,FALSE))=TRUE,"",
              VLOOKUP($G93,DanaSehat!$L$13:$AK$56,L$4,FALSE)))</t>
  </si>
  <si>
    <t>=IF(ISNUMBER($L$6)=FALSE,"",
        IF(ISERROR(VLOOKUP($G93,DanaSehat!$L$13:$AK$56,M$4,FALSE))=TRUE,"",
              VLOOKUP($G93,DanaSehat!$L$13:$AK$56,M$4,FALSE)))</t>
  </si>
  <si>
    <t>=IF(ISNUMBER($L$6)=FALSE,"",
        IF(ISERROR(VLOOKUP($G93,DanaSehat!$L$13:$AK$56,N$4,FALSE))=TRUE,"",
              VLOOKUP($G93,DanaSehat!$L$13:$AK$56,N$4,FALSE)))</t>
  </si>
  <si>
    <t>=IF(ISNUMBER($L$6)=FALSE,"",
        IF(ISERROR(VLOOKUP($G93,DanaSehat!$L$13:$AK$56,O$4,FALSE))=TRUE,"",
              VLOOKUP($G93,DanaSehat!$L$13:$AK$56,O$4,FALSE)))</t>
  </si>
  <si>
    <t>=IF(ISNUMBER($L$6)=FALSE,"",
        IF(ISERROR(VLOOKUP($G93,DanaSehat!$L$13:$AK$56,P$4,FALSE))=TRUE,"",
              VLOOKUP($G93,DanaSehat!$L$13:$AK$56,P$4,FALSE)))</t>
  </si>
  <si>
    <t>=IF(ISNUMBER($L$6)=FALSE,"",
        IF(ISERROR(VLOOKUP($G93,DanaSehat!$L$13:$AK$56,Q$4,FALSE))=TRUE,"",
              VLOOKUP($G93,DanaSehat!$L$13:$AK$56,Q$4,FALSE)))</t>
  </si>
  <si>
    <t>=IF(ISNUMBER($L$6)=FALSE,"",
        IF(ISERROR(VLOOKUP($G93,DanaSehat!$L$13:$AK$56,R$4,FALSE))=TRUE,"",
              VLOOKUP($G93,DanaSehat!$L$13:$AK$56,R$4,FALSE)))</t>
  </si>
  <si>
    <t>=IF(ISNUMBER($L$6)=FALSE,"",
        IF(ISERROR(VLOOKUP($G93,DanaSehat!$L$13:$AK$56,S$4,FALSE))=TRUE,"",
              VLOOKUP($G93,DanaSehat!$L$13:$AK$56,S$4,FALSE)))</t>
  </si>
  <si>
    <t>=IF(ISNUMBER($L$6)=FALSE,"",
        IF(ISERROR(VLOOKUP($G93,DanaSehat!$L$13:$AK$56,T$4,FALSE))=TRUE,"",
              VLOOKUP($G93,DanaSehat!$L$13:$AK$56,T$4,FALSE)))</t>
  </si>
  <si>
    <t>=IF(ISNUMBER($L$6)=FALSE,"",
        IF(ISERROR(VLOOKUP($G93,DanaSehat!$L$13:$AK$56,U$4,FALSE))=TRUE,"",
              VLOOKUP($G93,DanaSehat!$L$13:$AK$56,U$4,FALSE)))</t>
  </si>
  <si>
    <t>=IF(ISNUMBER($L$6)=FALSE,"",
        IF(ISERROR(VLOOKUP($G93,DanaSehat!$L$13:$AK$56,V$4,FALSE))=TRUE,"",
              VLOOKUP($G93,DanaSehat!$L$13:$AK$56,V$4,FALSE)))</t>
  </si>
  <si>
    <t>=IF(ISNUMBER($L$6)=FALSE,"",
        IF(ISERROR(VLOOKUP($G93,DanaSehat!$L$13:$AK$56,W$4,FALSE))=TRUE,"",
              VLOOKUP($G93,DanaSehat!$L$13:$AK$56,W$4,FALSE)))</t>
  </si>
  <si>
    <t>=IF(ISNUMBER($L$6)=FALSE,"",
        IF(ISERROR(VLOOKUP($G93,DanaSehat!$L$13:$AK$56,X$4,FALSE))=TRUE,"",
              VLOOKUP($G93,DanaSehat!$L$13:$AK$56,X$4,FALSE)))</t>
  </si>
  <si>
    <t>=IF(ISNUMBER($L$6)=FALSE,"",
        IF(ISERROR(VLOOKUP($G93,DanaSehat!$L$13:$AK$56,Y$4,FALSE))=TRUE,"",
              VLOOKUP($G93,DanaSehat!$L$13:$AK$56,Y$4,FALSE)))</t>
  </si>
  <si>
    <t>=IF(ISNUMBER($L$6)=FALSE,"",
        IF(ISERROR(VLOOKUP($G93,DanaSehat!$L$13:$AK$56,Z$4,FALSE))=TRUE,"",
              VLOOKUP($G93,DanaSehat!$L$13:$AK$56,Z$4,FALSE)))</t>
  </si>
  <si>
    <t>=IF(ISNUMBER($L$6)=FALSE,"",
        IF(ISERROR(VLOOKUP($G93,DanaSehat!$L$13:$AK$56,AA$4,FALSE))=TRUE,"",
              VLOOKUP($G93,DanaSehat!$L$13:$AK$56,AA$4,FALSE)))</t>
  </si>
  <si>
    <t>=IF(ISNUMBER($L$6)=FALSE,"",
        IF(ISERROR(VLOOKUP($G93,DanaSehat!$L$13:$AK$56,AB$4,FALSE))=TRUE,"",
              VLOOKUP($G93,DanaSehat!$L$13:$AK$56,AB$4,FALSE)))</t>
  </si>
  <si>
    <t>=IF(ISNUMBER($L$6)=FALSE,"",
        IF(ISERROR(VLOOKUP($G93,DanaSehat!$L$13:$AK$56,AC$4,FALSE))=TRUE,"",
              VLOOKUP($G93,DanaSehat!$L$13:$AK$56,AC$4,FALSE)))</t>
  </si>
  <si>
    <t>=IF(ISNUMBER($L$6)=FALSE,"",
        IF(ISERROR(VLOOKUP($G93,DanaSehat!$L$13:$AK$56,AD$4,FALSE))=TRUE,"",
              VLOOKUP($G93,DanaSehat!$L$13:$AK$56,AD$4,FALSE)))</t>
  </si>
  <si>
    <t>=IF(ISNUMBER($L$6)=FALSE,"",
        IF(ISERROR(VLOOKUP($G93,DanaSehat!$L$13:$AK$56,AE$4,FALSE))=TRUE,"",
              VLOOKUP($G93,DanaSehat!$L$13:$AK$56,AE$4,FALSE)))</t>
  </si>
  <si>
    <t>=IF(ISNUMBER($L$6)=FALSE,"",
        IF(ISERROR(VLOOKUP($G93,DanaSehat!$L$13:$AK$56,AF$4,FALSE))=TRUE,"",
              VLOOKUP($G93,DanaSehat!$L$13:$AK$56,AF$4,FALSE)))</t>
  </si>
  <si>
    <t>=IF(ISNUMBER($L$6)=FALSE,"",
IF($C94=0,"",VLOOKUP($E94,DanaSehat!$H$13:$L$56,4,FALSE)))</t>
  </si>
  <si>
    <t>=IF(ISNUMBER($L$6)=FALSE,"",
IF($C94=0,"",VLOOKUP($E94,DanaSehat!$H$13:$L$56,5,FALSE)))</t>
  </si>
  <si>
    <t>=IF(ISNUMBER($L$6)=FALSE,"",
        IF(ISERROR(VLOOKUP($G94,DanaSehat!$L$13:$AK$56,I$4,FALSE))=TRUE,"",
              VLOOKUP($G94,DanaSehat!$L$13:$AK$56,I$4,FALSE)))</t>
  </si>
  <si>
    <t>=IF(ISNUMBER($L$6)=FALSE,"",
        IF(ISERROR(VLOOKUP($G94,DanaSehat!$L$13:$AK$56,J$4,FALSE))=TRUE,"",
              VLOOKUP($G94,DanaSehat!$L$13:$AK$56,J$4,FALSE)))</t>
  </si>
  <si>
    <t>=IF(ISNUMBER($L$6)=FALSE,"",
        IF(ISERROR(VLOOKUP($G94,DanaSehat!$L$13:$AK$56,K$4,FALSE))=TRUE,"",
              VLOOKUP($G94,DanaSehat!$L$13:$AK$56,K$4,FALSE)))</t>
  </si>
  <si>
    <t>=IF(ISNUMBER($L$6)=FALSE,"",
        IF(ISERROR(VLOOKUP($G94,DanaSehat!$L$13:$AK$56,L$4,FALSE))=TRUE,"",
              VLOOKUP($G94,DanaSehat!$L$13:$AK$56,L$4,FALSE)))</t>
  </si>
  <si>
    <t>=IF(ISNUMBER($L$6)=FALSE,"",
        IF(ISERROR(VLOOKUP($G94,DanaSehat!$L$13:$AK$56,M$4,FALSE))=TRUE,"",
              VLOOKUP($G94,DanaSehat!$L$13:$AK$56,M$4,FALSE)))</t>
  </si>
  <si>
    <t>=IF(ISNUMBER($L$6)=FALSE,"",
        IF(ISERROR(VLOOKUP($G94,DanaSehat!$L$13:$AK$56,N$4,FALSE))=TRUE,"",
              VLOOKUP($G94,DanaSehat!$L$13:$AK$56,N$4,FALSE)))</t>
  </si>
  <si>
    <t>=IF(ISNUMBER($L$6)=FALSE,"",
        IF(ISERROR(VLOOKUP($G94,DanaSehat!$L$13:$AK$56,O$4,FALSE))=TRUE,"",
              VLOOKUP($G94,DanaSehat!$L$13:$AK$56,O$4,FALSE)))</t>
  </si>
  <si>
    <t>=IF(ISNUMBER($L$6)=FALSE,"",
        IF(ISERROR(VLOOKUP($G94,DanaSehat!$L$13:$AK$56,P$4,FALSE))=TRUE,"",
              VLOOKUP($G94,DanaSehat!$L$13:$AK$56,P$4,FALSE)))</t>
  </si>
  <si>
    <t>=IF(ISNUMBER($L$6)=FALSE,"",
        IF(ISERROR(VLOOKUP($G94,DanaSehat!$L$13:$AK$56,Q$4,FALSE))=TRUE,"",
              VLOOKUP($G94,DanaSehat!$L$13:$AK$56,Q$4,FALSE)))</t>
  </si>
  <si>
    <t>=IF(ISNUMBER($L$6)=FALSE,"",
        IF(ISERROR(VLOOKUP($G94,DanaSehat!$L$13:$AK$56,R$4,FALSE))=TRUE,"",
              VLOOKUP($G94,DanaSehat!$L$13:$AK$56,R$4,FALSE)))</t>
  </si>
  <si>
    <t>=IF(ISNUMBER($L$6)=FALSE,"",
        IF(ISERROR(VLOOKUP($G94,DanaSehat!$L$13:$AK$56,S$4,FALSE))=TRUE,"",
              VLOOKUP($G94,DanaSehat!$L$13:$AK$56,S$4,FALSE)))</t>
  </si>
  <si>
    <t>=IF(ISNUMBER($L$6)=FALSE,"",
        IF(ISERROR(VLOOKUP($G94,DanaSehat!$L$13:$AK$56,T$4,FALSE))=TRUE,"",
              VLOOKUP($G94,DanaSehat!$L$13:$AK$56,T$4,FALSE)))</t>
  </si>
  <si>
    <t>=IF(ISNUMBER($L$6)=FALSE,"",
        IF(ISERROR(VLOOKUP($G94,DanaSehat!$L$13:$AK$56,U$4,FALSE))=TRUE,"",
              VLOOKUP($G94,DanaSehat!$L$13:$AK$56,U$4,FALSE)))</t>
  </si>
  <si>
    <t>=IF(ISNUMBER($L$6)=FALSE,"",
        IF(ISERROR(VLOOKUP($G94,DanaSehat!$L$13:$AK$56,V$4,FALSE))=TRUE,"",
              VLOOKUP($G94,DanaSehat!$L$13:$AK$56,V$4,FALSE)))</t>
  </si>
  <si>
    <t>=IF(ISNUMBER($L$6)=FALSE,"",
        IF(ISERROR(VLOOKUP($G94,DanaSehat!$L$13:$AK$56,W$4,FALSE))=TRUE,"",
              VLOOKUP($G94,DanaSehat!$L$13:$AK$56,W$4,FALSE)))</t>
  </si>
  <si>
    <t>=IF(ISNUMBER($L$6)=FALSE,"",
        IF(ISERROR(VLOOKUP($G94,DanaSehat!$L$13:$AK$56,X$4,FALSE))=TRUE,"",
              VLOOKUP($G94,DanaSehat!$L$13:$AK$56,X$4,FALSE)))</t>
  </si>
  <si>
    <t>=IF(ISNUMBER($L$6)=FALSE,"",
        IF(ISERROR(VLOOKUP($G94,DanaSehat!$L$13:$AK$56,Y$4,FALSE))=TRUE,"",
              VLOOKUP($G94,DanaSehat!$L$13:$AK$56,Y$4,FALSE)))</t>
  </si>
  <si>
    <t>=IF(ISNUMBER($L$6)=FALSE,"",
        IF(ISERROR(VLOOKUP($G94,DanaSehat!$L$13:$AK$56,Z$4,FALSE))=TRUE,"",
              VLOOKUP($G94,DanaSehat!$L$13:$AK$56,Z$4,FALSE)))</t>
  </si>
  <si>
    <t>=IF(ISNUMBER($L$6)=FALSE,"",
        IF(ISERROR(VLOOKUP($G94,DanaSehat!$L$13:$AK$56,AA$4,FALSE))=TRUE,"",
              VLOOKUP($G94,DanaSehat!$L$13:$AK$56,AA$4,FALSE)))</t>
  </si>
  <si>
    <t>=IF(ISNUMBER($L$6)=FALSE,"",
        IF(ISERROR(VLOOKUP($G94,DanaSehat!$L$13:$AK$56,AB$4,FALSE))=TRUE,"",
              VLOOKUP($G94,DanaSehat!$L$13:$AK$56,AB$4,FALSE)))</t>
  </si>
  <si>
    <t>=IF(ISNUMBER($L$6)=FALSE,"",
        IF(ISERROR(VLOOKUP($G94,DanaSehat!$L$13:$AK$56,AC$4,FALSE))=TRUE,"",
              VLOOKUP($G94,DanaSehat!$L$13:$AK$56,AC$4,FALSE)))</t>
  </si>
  <si>
    <t>=IF(ISNUMBER($L$6)=FALSE,"",
        IF(ISERROR(VLOOKUP($G94,DanaSehat!$L$13:$AK$56,AD$4,FALSE))=TRUE,"",
              VLOOKUP($G94,DanaSehat!$L$13:$AK$56,AD$4,FALSE)))</t>
  </si>
  <si>
    <t>=IF(ISNUMBER($L$6)=FALSE,"",
        IF(ISERROR(VLOOKUP($G94,DanaSehat!$L$13:$AK$56,AE$4,FALSE))=TRUE,"",
              VLOOKUP($G94,DanaSehat!$L$13:$AK$56,AE$4,FALSE)))</t>
  </si>
  <si>
    <t>=IF(ISNUMBER($L$6)=FALSE,"",
        IF(ISERROR(VLOOKUP($G94,DanaSehat!$L$13:$AK$56,AF$4,FALSE))=TRUE,"",
              VLOOKUP($G94,DanaSehat!$L$13:$AK$56,AF$4,FALSE)))</t>
  </si>
  <si>
    <t>=IF(ISNUMBER($L$6)=FALSE,"",
IF($C95=0,"",VLOOKUP($E95,DanaSehat!$H$13:$L$56,4,FALSE)))</t>
  </si>
  <si>
    <t>=IF(ISNUMBER($L$6)=FALSE,"",
IF($C95=0,"",VLOOKUP($E95,DanaSehat!$H$13:$L$56,5,FALSE)))</t>
  </si>
  <si>
    <t>=IF(ISNUMBER($L$6)=FALSE,"",
        IF(ISERROR(VLOOKUP($G95,DanaSehat!$L$13:$AK$56,I$4,FALSE))=TRUE,"",
              VLOOKUP($G95,DanaSehat!$L$13:$AK$56,I$4,FALSE)))</t>
  </si>
  <si>
    <t>=IF(ISNUMBER($L$6)=FALSE,"",
        IF(ISERROR(VLOOKUP($G95,DanaSehat!$L$13:$AK$56,J$4,FALSE))=TRUE,"",
              VLOOKUP($G95,DanaSehat!$L$13:$AK$56,J$4,FALSE)))</t>
  </si>
  <si>
    <t>=IF(ISNUMBER($L$6)=FALSE,"",
        IF(ISERROR(VLOOKUP($G95,DanaSehat!$L$13:$AK$56,K$4,FALSE))=TRUE,"",
              VLOOKUP($G95,DanaSehat!$L$13:$AK$56,K$4,FALSE)))</t>
  </si>
  <si>
    <t>=IF(ISNUMBER($L$6)=FALSE,"",
        IF(ISERROR(VLOOKUP($G95,DanaSehat!$L$13:$AK$56,L$4,FALSE))=TRUE,"",
              VLOOKUP($G95,DanaSehat!$L$13:$AK$56,L$4,FALSE)))</t>
  </si>
  <si>
    <t>=IF(ISNUMBER($L$6)=FALSE,"",
        IF(ISERROR(VLOOKUP($G95,DanaSehat!$L$13:$AK$56,M$4,FALSE))=TRUE,"",
              VLOOKUP($G95,DanaSehat!$L$13:$AK$56,M$4,FALSE)))</t>
  </si>
  <si>
    <t>=IF(ISNUMBER($L$6)=FALSE,"",
        IF(ISERROR(VLOOKUP($G95,DanaSehat!$L$13:$AK$56,N$4,FALSE))=TRUE,"",
              VLOOKUP($G95,DanaSehat!$L$13:$AK$56,N$4,FALSE)))</t>
  </si>
  <si>
    <t>=IF(ISNUMBER($L$6)=FALSE,"",
        IF(ISERROR(VLOOKUP($G95,DanaSehat!$L$13:$AK$56,O$4,FALSE))=TRUE,"",
              VLOOKUP($G95,DanaSehat!$L$13:$AK$56,O$4,FALSE)))</t>
  </si>
  <si>
    <t>=IF(ISNUMBER($L$6)=FALSE,"",
        IF(ISERROR(VLOOKUP($G95,DanaSehat!$L$13:$AK$56,P$4,FALSE))=TRUE,"",
              VLOOKUP($G95,DanaSehat!$L$13:$AK$56,P$4,FALSE)))</t>
  </si>
  <si>
    <t>=IF(ISNUMBER($L$6)=FALSE,"",
        IF(ISERROR(VLOOKUP($G95,DanaSehat!$L$13:$AK$56,Q$4,FALSE))=TRUE,"",
              VLOOKUP($G95,DanaSehat!$L$13:$AK$56,Q$4,FALSE)))</t>
  </si>
  <si>
    <t>=IF(ISNUMBER($L$6)=FALSE,"",
        IF(ISERROR(VLOOKUP($G95,DanaSehat!$L$13:$AK$56,R$4,FALSE))=TRUE,"",
              VLOOKUP($G95,DanaSehat!$L$13:$AK$56,R$4,FALSE)))</t>
  </si>
  <si>
    <t>=IF(ISNUMBER($L$6)=FALSE,"",
        IF(ISERROR(VLOOKUP($G95,DanaSehat!$L$13:$AK$56,S$4,FALSE))=TRUE,"",
              VLOOKUP($G95,DanaSehat!$L$13:$AK$56,S$4,FALSE)))</t>
  </si>
  <si>
    <t>=IF(ISNUMBER($L$6)=FALSE,"",
        IF(ISERROR(VLOOKUP($G95,DanaSehat!$L$13:$AK$56,T$4,FALSE))=TRUE,"",
              VLOOKUP($G95,DanaSehat!$L$13:$AK$56,T$4,FALSE)))</t>
  </si>
  <si>
    <t>=IF(ISNUMBER($L$6)=FALSE,"",
        IF(ISERROR(VLOOKUP($G95,DanaSehat!$L$13:$AK$56,U$4,FALSE))=TRUE,"",
              VLOOKUP($G95,DanaSehat!$L$13:$AK$56,U$4,FALSE)))</t>
  </si>
  <si>
    <t>=IF(ISNUMBER($L$6)=FALSE,"",
        IF(ISERROR(VLOOKUP($G95,DanaSehat!$L$13:$AK$56,V$4,FALSE))=TRUE,"",
              VLOOKUP($G95,DanaSehat!$L$13:$AK$56,V$4,FALSE)))</t>
  </si>
  <si>
    <t>=IF(ISNUMBER($L$6)=FALSE,"",
        IF(ISERROR(VLOOKUP($G95,DanaSehat!$L$13:$AK$56,W$4,FALSE))=TRUE,"",
              VLOOKUP($G95,DanaSehat!$L$13:$AK$56,W$4,FALSE)))</t>
  </si>
  <si>
    <t>=IF(ISNUMBER($L$6)=FALSE,"",
        IF(ISERROR(VLOOKUP($G95,DanaSehat!$L$13:$AK$56,X$4,FALSE))=TRUE,"",
              VLOOKUP($G95,DanaSehat!$L$13:$AK$56,X$4,FALSE)))</t>
  </si>
  <si>
    <t>=IF(ISNUMBER($L$6)=FALSE,"",
        IF(ISERROR(VLOOKUP($G95,DanaSehat!$L$13:$AK$56,Y$4,FALSE))=TRUE,"",
              VLOOKUP($G95,DanaSehat!$L$13:$AK$56,Y$4,FALSE)))</t>
  </si>
  <si>
    <t>=IF(ISNUMBER($L$6)=FALSE,"",
        IF(ISERROR(VLOOKUP($G95,DanaSehat!$L$13:$AK$56,Z$4,FALSE))=TRUE,"",
              VLOOKUP($G95,DanaSehat!$L$13:$AK$56,Z$4,FALSE)))</t>
  </si>
  <si>
    <t>=IF(ISNUMBER($L$6)=FALSE,"",
        IF(ISERROR(VLOOKUP($G95,DanaSehat!$L$13:$AK$56,AA$4,FALSE))=TRUE,"",
              VLOOKUP($G95,DanaSehat!$L$13:$AK$56,AA$4,FALSE)))</t>
  </si>
  <si>
    <t>=IF(ISNUMBER($L$6)=FALSE,"",
        IF(ISERROR(VLOOKUP($G95,DanaSehat!$L$13:$AK$56,AB$4,FALSE))=TRUE,"",
              VLOOKUP($G95,DanaSehat!$L$13:$AK$56,AB$4,FALSE)))</t>
  </si>
  <si>
    <t>=IF(ISNUMBER($L$6)=FALSE,"",
        IF(ISERROR(VLOOKUP($G95,DanaSehat!$L$13:$AK$56,AC$4,FALSE))=TRUE,"",
              VLOOKUP($G95,DanaSehat!$L$13:$AK$56,AC$4,FALSE)))</t>
  </si>
  <si>
    <t>=IF(ISNUMBER($L$6)=FALSE,"",
        IF(ISERROR(VLOOKUP($G95,DanaSehat!$L$13:$AK$56,AD$4,FALSE))=TRUE,"",
              VLOOKUP($G95,DanaSehat!$L$13:$AK$56,AD$4,FALSE)))</t>
  </si>
  <si>
    <t>=IF(ISNUMBER($L$6)=FALSE,"",
        IF(ISERROR(VLOOKUP($G95,DanaSehat!$L$13:$AK$56,AE$4,FALSE))=TRUE,"",
              VLOOKUP($G95,DanaSehat!$L$13:$AK$56,AE$4,FALSE)))</t>
  </si>
  <si>
    <t>=IF(ISNUMBER($L$6)=FALSE,"",
        IF(ISERROR(VLOOKUP($G95,DanaSehat!$L$13:$AK$56,AF$4,FALSE))=TRUE,"",
              VLOOKUP($G95,DanaSehat!$L$13:$AK$56,AF$4,FALSE)))</t>
  </si>
  <si>
    <t>=IF(ISNUMBER($L$6)=FALSE,"",
IF($C96=0,"",VLOOKUP($E96,DanaSehat!$H$13:$L$56,4,FALSE)))</t>
  </si>
  <si>
    <t>=IF(ISNUMBER($L$6)=FALSE,"",
IF($C96=0,"",VLOOKUP($E96,DanaSehat!$H$13:$L$56,5,FALSE)))</t>
  </si>
  <si>
    <t>=IF(ISNUMBER($L$6)=FALSE,"",
        IF(ISERROR(VLOOKUP($G96,DanaSehat!$L$13:$AK$56,I$4,FALSE))=TRUE,"",
              VLOOKUP($G96,DanaSehat!$L$13:$AK$56,I$4,FALSE)))</t>
  </si>
  <si>
    <t>=IF(ISNUMBER($L$6)=FALSE,"",
        IF(ISERROR(VLOOKUP($G96,DanaSehat!$L$13:$AK$56,J$4,FALSE))=TRUE,"",
              VLOOKUP($G96,DanaSehat!$L$13:$AK$56,J$4,FALSE)))</t>
  </si>
  <si>
    <t>=IF(ISNUMBER($L$6)=FALSE,"",
        IF(ISERROR(VLOOKUP($G96,DanaSehat!$L$13:$AK$56,K$4,FALSE))=TRUE,"",
              VLOOKUP($G96,DanaSehat!$L$13:$AK$56,K$4,FALSE)))</t>
  </si>
  <si>
    <t>=IF(ISNUMBER($L$6)=FALSE,"",
        IF(ISERROR(VLOOKUP($G96,DanaSehat!$L$13:$AK$56,L$4,FALSE))=TRUE,"",
              VLOOKUP($G96,DanaSehat!$L$13:$AK$56,L$4,FALSE)))</t>
  </si>
  <si>
    <t>=IF(ISNUMBER($L$6)=FALSE,"",
        IF(ISERROR(VLOOKUP($G96,DanaSehat!$L$13:$AK$56,M$4,FALSE))=TRUE,"",
              VLOOKUP($G96,DanaSehat!$L$13:$AK$56,M$4,FALSE)))</t>
  </si>
  <si>
    <t>=IF(ISNUMBER($L$6)=FALSE,"",
        IF(ISERROR(VLOOKUP($G96,DanaSehat!$L$13:$AK$56,N$4,FALSE))=TRUE,"",
              VLOOKUP($G96,DanaSehat!$L$13:$AK$56,N$4,FALSE)))</t>
  </si>
  <si>
    <t>=IF(ISNUMBER($L$6)=FALSE,"",
        IF(ISERROR(VLOOKUP($G96,DanaSehat!$L$13:$AK$56,O$4,FALSE))=TRUE,"",
              VLOOKUP($G96,DanaSehat!$L$13:$AK$56,O$4,FALSE)))</t>
  </si>
  <si>
    <t>=IF(ISNUMBER($L$6)=FALSE,"",
        IF(ISERROR(VLOOKUP($G96,DanaSehat!$L$13:$AK$56,P$4,FALSE))=TRUE,"",
              VLOOKUP($G96,DanaSehat!$L$13:$AK$56,P$4,FALSE)))</t>
  </si>
  <si>
    <t>=IF(ISNUMBER($L$6)=FALSE,"",
        IF(ISERROR(VLOOKUP($G96,DanaSehat!$L$13:$AK$56,Q$4,FALSE))=TRUE,"",
              VLOOKUP($G96,DanaSehat!$L$13:$AK$56,Q$4,FALSE)))</t>
  </si>
  <si>
    <t>=IF(ISNUMBER($L$6)=FALSE,"",
        IF(ISERROR(VLOOKUP($G96,DanaSehat!$L$13:$AK$56,R$4,FALSE))=TRUE,"",
              VLOOKUP($G96,DanaSehat!$L$13:$AK$56,R$4,FALSE)))</t>
  </si>
  <si>
    <t>=IF(ISNUMBER($L$6)=FALSE,"",
        IF(ISERROR(VLOOKUP($G96,DanaSehat!$L$13:$AK$56,S$4,FALSE))=TRUE,"",
              VLOOKUP($G96,DanaSehat!$L$13:$AK$56,S$4,FALSE)))</t>
  </si>
  <si>
    <t>=IF(ISNUMBER($L$6)=FALSE,"",
        IF(ISERROR(VLOOKUP($G96,DanaSehat!$L$13:$AK$56,T$4,FALSE))=TRUE,"",
              VLOOKUP($G96,DanaSehat!$L$13:$AK$56,T$4,FALSE)))</t>
  </si>
  <si>
    <t>=IF(ISNUMBER($L$6)=FALSE,"",
        IF(ISERROR(VLOOKUP($G96,DanaSehat!$L$13:$AK$56,U$4,FALSE))=TRUE,"",
              VLOOKUP($G96,DanaSehat!$L$13:$AK$56,U$4,FALSE)))</t>
  </si>
  <si>
    <t>=IF(ISNUMBER($L$6)=FALSE,"",
        IF(ISERROR(VLOOKUP($G96,DanaSehat!$L$13:$AK$56,V$4,FALSE))=TRUE,"",
              VLOOKUP($G96,DanaSehat!$L$13:$AK$56,V$4,FALSE)))</t>
  </si>
  <si>
    <t>=IF(ISNUMBER($L$6)=FALSE,"",
        IF(ISERROR(VLOOKUP($G96,DanaSehat!$L$13:$AK$56,W$4,FALSE))=TRUE,"",
              VLOOKUP($G96,DanaSehat!$L$13:$AK$56,W$4,FALSE)))</t>
  </si>
  <si>
    <t>=IF(ISNUMBER($L$6)=FALSE,"",
        IF(ISERROR(VLOOKUP($G96,DanaSehat!$L$13:$AK$56,X$4,FALSE))=TRUE,"",
              VLOOKUP($G96,DanaSehat!$L$13:$AK$56,X$4,FALSE)))</t>
  </si>
  <si>
    <t>=IF(ISNUMBER($L$6)=FALSE,"",
        IF(ISERROR(VLOOKUP($G96,DanaSehat!$L$13:$AK$56,Y$4,FALSE))=TRUE,"",
              VLOOKUP($G96,DanaSehat!$L$13:$AK$56,Y$4,FALSE)))</t>
  </si>
  <si>
    <t>=IF(ISNUMBER($L$6)=FALSE,"",
        IF(ISERROR(VLOOKUP($G96,DanaSehat!$L$13:$AK$56,Z$4,FALSE))=TRUE,"",
              VLOOKUP($G96,DanaSehat!$L$13:$AK$56,Z$4,FALSE)))</t>
  </si>
  <si>
    <t>=IF(ISNUMBER($L$6)=FALSE,"",
        IF(ISERROR(VLOOKUP($G96,DanaSehat!$L$13:$AK$56,AA$4,FALSE))=TRUE,"",
              VLOOKUP($G96,DanaSehat!$L$13:$AK$56,AA$4,FALSE)))</t>
  </si>
  <si>
    <t>=IF(ISNUMBER($L$6)=FALSE,"",
        IF(ISERROR(VLOOKUP($G96,DanaSehat!$L$13:$AK$56,AB$4,FALSE))=TRUE,"",
              VLOOKUP($G96,DanaSehat!$L$13:$AK$56,AB$4,FALSE)))</t>
  </si>
  <si>
    <t>=IF(ISNUMBER($L$6)=FALSE,"",
        IF(ISERROR(VLOOKUP($G96,DanaSehat!$L$13:$AK$56,AC$4,FALSE))=TRUE,"",
              VLOOKUP($G96,DanaSehat!$L$13:$AK$56,AC$4,FALSE)))</t>
  </si>
  <si>
    <t>=IF(ISNUMBER($L$6)=FALSE,"",
        IF(ISERROR(VLOOKUP($G96,DanaSehat!$L$13:$AK$56,AD$4,FALSE))=TRUE,"",
              VLOOKUP($G96,DanaSehat!$L$13:$AK$56,AD$4,FALSE)))</t>
  </si>
  <si>
    <t>=IF(ISNUMBER($L$6)=FALSE,"",
        IF(ISERROR(VLOOKUP($G96,DanaSehat!$L$13:$AK$56,AE$4,FALSE))=TRUE,"",
              VLOOKUP($G96,DanaSehat!$L$13:$AK$56,AE$4,FALSE)))</t>
  </si>
  <si>
    <t>=IF(ISNUMBER($L$6)=FALSE,"",
        IF(ISERROR(VLOOKUP($G96,DanaSehat!$L$13:$AK$56,AF$4,FALSE))=TRUE,"",
              VLOOKUP($G96,DanaSehat!$L$13:$AK$56,AF$4,FALSE)))</t>
  </si>
  <si>
    <t>=IF(ISNUMBER($L$6)=FALSE,"",
IF($C97=0,"",VLOOKUP($E97,DanaSehat!$H$13:$L$56,4,FALSE)))</t>
  </si>
  <si>
    <t>=IF(ISNUMBER($L$6)=FALSE,"",
IF($C97=0,"",VLOOKUP($E97,DanaSehat!$H$13:$L$56,5,FALSE)))</t>
  </si>
  <si>
    <t>=IF(ISNUMBER($L$6)=FALSE,"",
        IF(ISERROR(VLOOKUP($G97,DanaSehat!$L$13:$AK$56,I$4,FALSE))=TRUE,"",
              VLOOKUP($G97,DanaSehat!$L$13:$AK$56,I$4,FALSE)))</t>
  </si>
  <si>
    <t>=IF(ISNUMBER($L$6)=FALSE,"",
        IF(ISERROR(VLOOKUP($G97,DanaSehat!$L$13:$AK$56,J$4,FALSE))=TRUE,"",
              VLOOKUP($G97,DanaSehat!$L$13:$AK$56,J$4,FALSE)))</t>
  </si>
  <si>
    <t>=IF(ISNUMBER($L$6)=FALSE,"",
        IF(ISERROR(VLOOKUP($G97,DanaSehat!$L$13:$AK$56,K$4,FALSE))=TRUE,"",
              VLOOKUP($G97,DanaSehat!$L$13:$AK$56,K$4,FALSE)))</t>
  </si>
  <si>
    <t>=IF(ISNUMBER($L$6)=FALSE,"",
        IF(ISERROR(VLOOKUP($G97,DanaSehat!$L$13:$AK$56,L$4,FALSE))=TRUE,"",
              VLOOKUP($G97,DanaSehat!$L$13:$AK$56,L$4,FALSE)))</t>
  </si>
  <si>
    <t>=IF(ISNUMBER($L$6)=FALSE,"",
        IF(ISERROR(VLOOKUP($G97,DanaSehat!$L$13:$AK$56,M$4,FALSE))=TRUE,"",
              VLOOKUP($G97,DanaSehat!$L$13:$AK$56,M$4,FALSE)))</t>
  </si>
  <si>
    <t>=IF(ISNUMBER($L$6)=FALSE,"",
        IF(ISERROR(VLOOKUP($G97,DanaSehat!$L$13:$AK$56,N$4,FALSE))=TRUE,"",
              VLOOKUP($G97,DanaSehat!$L$13:$AK$56,N$4,FALSE)))</t>
  </si>
  <si>
    <t>=IF(ISNUMBER($L$6)=FALSE,"",
        IF(ISERROR(VLOOKUP($G97,DanaSehat!$L$13:$AK$56,O$4,FALSE))=TRUE,"",
              VLOOKUP($G97,DanaSehat!$L$13:$AK$56,O$4,FALSE)))</t>
  </si>
  <si>
    <t>=IF(ISNUMBER($L$6)=FALSE,"",
        IF(ISERROR(VLOOKUP($G97,DanaSehat!$L$13:$AK$56,P$4,FALSE))=TRUE,"",
              VLOOKUP($G97,DanaSehat!$L$13:$AK$56,P$4,FALSE)))</t>
  </si>
  <si>
    <t>=IF(ISNUMBER($L$6)=FALSE,"",
        IF(ISERROR(VLOOKUP($G97,DanaSehat!$L$13:$AK$56,Q$4,FALSE))=TRUE,"",
              VLOOKUP($G97,DanaSehat!$L$13:$AK$56,Q$4,FALSE)))</t>
  </si>
  <si>
    <t>=IF(ISNUMBER($L$6)=FALSE,"",
        IF(ISERROR(VLOOKUP($G97,DanaSehat!$L$13:$AK$56,R$4,FALSE))=TRUE,"",
              VLOOKUP($G97,DanaSehat!$L$13:$AK$56,R$4,FALSE)))</t>
  </si>
  <si>
    <t>=IF(ISNUMBER($L$6)=FALSE,"",
        IF(ISERROR(VLOOKUP($G97,DanaSehat!$L$13:$AK$56,S$4,FALSE))=TRUE,"",
              VLOOKUP($G97,DanaSehat!$L$13:$AK$56,S$4,FALSE)))</t>
  </si>
  <si>
    <t>=IF(ISNUMBER($L$6)=FALSE,"",
        IF(ISERROR(VLOOKUP($G97,DanaSehat!$L$13:$AK$56,T$4,FALSE))=TRUE,"",
              VLOOKUP($G97,DanaSehat!$L$13:$AK$56,T$4,FALSE)))</t>
  </si>
  <si>
    <t>=IF(ISNUMBER($L$6)=FALSE,"",
        IF(ISERROR(VLOOKUP($G97,DanaSehat!$L$13:$AK$56,U$4,FALSE))=TRUE,"",
              VLOOKUP($G97,DanaSehat!$L$13:$AK$56,U$4,FALSE)))</t>
  </si>
  <si>
    <t>=IF(ISNUMBER($L$6)=FALSE,"",
        IF(ISERROR(VLOOKUP($G97,DanaSehat!$L$13:$AK$56,V$4,FALSE))=TRUE,"",
              VLOOKUP($G97,DanaSehat!$L$13:$AK$56,V$4,FALSE)))</t>
  </si>
  <si>
    <t>=IF(ISNUMBER($L$6)=FALSE,"",
        IF(ISERROR(VLOOKUP($G97,DanaSehat!$L$13:$AK$56,W$4,FALSE))=TRUE,"",
              VLOOKUP($G97,DanaSehat!$L$13:$AK$56,W$4,FALSE)))</t>
  </si>
  <si>
    <t>=IF(ISNUMBER($L$6)=FALSE,"",
        IF(ISERROR(VLOOKUP($G97,DanaSehat!$L$13:$AK$56,X$4,FALSE))=TRUE,"",
              VLOOKUP($G97,DanaSehat!$L$13:$AK$56,X$4,FALSE)))</t>
  </si>
  <si>
    <t>=IF(ISNUMBER($L$6)=FALSE,"",
        IF(ISERROR(VLOOKUP($G97,DanaSehat!$L$13:$AK$56,Y$4,FALSE))=TRUE,"",
              VLOOKUP($G97,DanaSehat!$L$13:$AK$56,Y$4,FALSE)))</t>
  </si>
  <si>
    <t>=IF(ISNUMBER($L$6)=FALSE,"",
        IF(ISERROR(VLOOKUP($G97,DanaSehat!$L$13:$AK$56,Z$4,FALSE))=TRUE,"",
              VLOOKUP($G97,DanaSehat!$L$13:$AK$56,Z$4,FALSE)))</t>
  </si>
  <si>
    <t>=IF(ISNUMBER($L$6)=FALSE,"",
        IF(ISERROR(VLOOKUP($G97,DanaSehat!$L$13:$AK$56,AA$4,FALSE))=TRUE,"",
              VLOOKUP($G97,DanaSehat!$L$13:$AK$56,AA$4,FALSE)))</t>
  </si>
  <si>
    <t>=IF(ISNUMBER($L$6)=FALSE,"",
        IF(ISERROR(VLOOKUP($G97,DanaSehat!$L$13:$AK$56,AB$4,FALSE))=TRUE,"",
              VLOOKUP($G97,DanaSehat!$L$13:$AK$56,AB$4,FALSE)))</t>
  </si>
  <si>
    <t>=IF(ISNUMBER($L$6)=FALSE,"",
        IF(ISERROR(VLOOKUP($G97,DanaSehat!$L$13:$AK$56,AC$4,FALSE))=TRUE,"",
              VLOOKUP($G97,DanaSehat!$L$13:$AK$56,AC$4,FALSE)))</t>
  </si>
  <si>
    <t>=IF(ISNUMBER($L$6)=FALSE,"",
        IF(ISERROR(VLOOKUP($G97,DanaSehat!$L$13:$AK$56,AD$4,FALSE))=TRUE,"",
              VLOOKUP($G97,DanaSehat!$L$13:$AK$56,AD$4,FALSE)))</t>
  </si>
  <si>
    <t>=IF(ISNUMBER($L$6)=FALSE,"",
        IF(ISERROR(VLOOKUP($G97,DanaSehat!$L$13:$AK$56,AE$4,FALSE))=TRUE,"",
              VLOOKUP($G97,DanaSehat!$L$13:$AK$56,AE$4,FALSE)))</t>
  </si>
  <si>
    <t>=IF(ISNUMBER($L$6)=FALSE,"",
        IF(ISERROR(VLOOKUP($G97,DanaSehat!$L$13:$AK$56,AF$4,FALSE))=TRUE,"",
              VLOOKUP($G97,DanaSehat!$L$13:$AK$56,AF$4,FALSE)))</t>
  </si>
  <si>
    <t>=IF(ISNUMBER($L$6)=FALSE,"",
IF($C98=0,"",VLOOKUP($E98,DanaSehat!$H$13:$L$56,4,FALSE)))</t>
  </si>
  <si>
    <t>=IF(ISNUMBER($L$6)=FALSE,"",
IF($C98=0,"",VLOOKUP($E98,DanaSehat!$H$13:$L$56,5,FALSE)))</t>
  </si>
  <si>
    <t>=IF(ISNUMBER($L$6)=FALSE,"",
        IF(ISERROR(VLOOKUP($G98,DanaSehat!$L$13:$AK$56,I$4,FALSE))=TRUE,"",
              VLOOKUP($G98,DanaSehat!$L$13:$AK$56,I$4,FALSE)))</t>
  </si>
  <si>
    <t>=IF(ISNUMBER($L$6)=FALSE,"",
        IF(ISERROR(VLOOKUP($G98,DanaSehat!$L$13:$AK$56,J$4,FALSE))=TRUE,"",
              VLOOKUP($G98,DanaSehat!$L$13:$AK$56,J$4,FALSE)))</t>
  </si>
  <si>
    <t>=IF(ISNUMBER($L$6)=FALSE,"",
        IF(ISERROR(VLOOKUP($G98,DanaSehat!$L$13:$AK$56,K$4,FALSE))=TRUE,"",
              VLOOKUP($G98,DanaSehat!$L$13:$AK$56,K$4,FALSE)))</t>
  </si>
  <si>
    <t>=IF(ISNUMBER($L$6)=FALSE,"",
        IF(ISERROR(VLOOKUP($G98,DanaSehat!$L$13:$AK$56,L$4,FALSE))=TRUE,"",
              VLOOKUP($G98,DanaSehat!$L$13:$AK$56,L$4,FALSE)))</t>
  </si>
  <si>
    <t>=IF(ISNUMBER($L$6)=FALSE,"",
        IF(ISERROR(VLOOKUP($G98,DanaSehat!$L$13:$AK$56,M$4,FALSE))=TRUE,"",
              VLOOKUP($G98,DanaSehat!$L$13:$AK$56,M$4,FALSE)))</t>
  </si>
  <si>
    <t>=IF(ISNUMBER($L$6)=FALSE,"",
        IF(ISERROR(VLOOKUP($G98,DanaSehat!$L$13:$AK$56,N$4,FALSE))=TRUE,"",
              VLOOKUP($G98,DanaSehat!$L$13:$AK$56,N$4,FALSE)))</t>
  </si>
  <si>
    <t>=IF(ISNUMBER($L$6)=FALSE,"",
        IF(ISERROR(VLOOKUP($G98,DanaSehat!$L$13:$AK$56,O$4,FALSE))=TRUE,"",
              VLOOKUP($G98,DanaSehat!$L$13:$AK$56,O$4,FALSE)))</t>
  </si>
  <si>
    <t>=IF(ISNUMBER($L$6)=FALSE,"",
        IF(ISERROR(VLOOKUP($G98,DanaSehat!$L$13:$AK$56,P$4,FALSE))=TRUE,"",
              VLOOKUP($G98,DanaSehat!$L$13:$AK$56,P$4,FALSE)))</t>
  </si>
  <si>
    <t>=IF(ISNUMBER($L$6)=FALSE,"",
        IF(ISERROR(VLOOKUP($G98,DanaSehat!$L$13:$AK$56,Q$4,FALSE))=TRUE,"",
              VLOOKUP($G98,DanaSehat!$L$13:$AK$56,Q$4,FALSE)))</t>
  </si>
  <si>
    <t>=IF(ISNUMBER($L$6)=FALSE,"",
        IF(ISERROR(VLOOKUP($G98,DanaSehat!$L$13:$AK$56,R$4,FALSE))=TRUE,"",
              VLOOKUP($G98,DanaSehat!$L$13:$AK$56,R$4,FALSE)))</t>
  </si>
  <si>
    <t>=IF(ISNUMBER($L$6)=FALSE,"",
        IF(ISERROR(VLOOKUP($G98,DanaSehat!$L$13:$AK$56,S$4,FALSE))=TRUE,"",
              VLOOKUP($G98,DanaSehat!$L$13:$AK$56,S$4,FALSE)))</t>
  </si>
  <si>
    <t>=IF(ISNUMBER($L$6)=FALSE,"",
        IF(ISERROR(VLOOKUP($G98,DanaSehat!$L$13:$AK$56,T$4,FALSE))=TRUE,"",
              VLOOKUP($G98,DanaSehat!$L$13:$AK$56,T$4,FALSE)))</t>
  </si>
  <si>
    <t>=IF(ISNUMBER($L$6)=FALSE,"",
        IF(ISERROR(VLOOKUP($G98,DanaSehat!$L$13:$AK$56,U$4,FALSE))=TRUE,"",
              VLOOKUP($G98,DanaSehat!$L$13:$AK$56,U$4,FALSE)))</t>
  </si>
  <si>
    <t>=IF(ISNUMBER($L$6)=FALSE,"",
        IF(ISERROR(VLOOKUP($G98,DanaSehat!$L$13:$AK$56,V$4,FALSE))=TRUE,"",
              VLOOKUP($G98,DanaSehat!$L$13:$AK$56,V$4,FALSE)))</t>
  </si>
  <si>
    <t>=IF(ISNUMBER($L$6)=FALSE,"",
        IF(ISERROR(VLOOKUP($G98,DanaSehat!$L$13:$AK$56,W$4,FALSE))=TRUE,"",
              VLOOKUP($G98,DanaSehat!$L$13:$AK$56,W$4,FALSE)))</t>
  </si>
  <si>
    <t>=IF(ISNUMBER($L$6)=FALSE,"",
        IF(ISERROR(VLOOKUP($G98,DanaSehat!$L$13:$AK$56,X$4,FALSE))=TRUE,"",
              VLOOKUP($G98,DanaSehat!$L$13:$AK$56,X$4,FALSE)))</t>
  </si>
  <si>
    <t>=IF(ISNUMBER($L$6)=FALSE,"",
        IF(ISERROR(VLOOKUP($G98,DanaSehat!$L$13:$AK$56,Y$4,FALSE))=TRUE,"",
              VLOOKUP($G98,DanaSehat!$L$13:$AK$56,Y$4,FALSE)))</t>
  </si>
  <si>
    <t>=IF(ISNUMBER($L$6)=FALSE,"",
        IF(ISERROR(VLOOKUP($G98,DanaSehat!$L$13:$AK$56,Z$4,FALSE))=TRUE,"",
              VLOOKUP($G98,DanaSehat!$L$13:$AK$56,Z$4,FALSE)))</t>
  </si>
  <si>
    <t>=IF(ISNUMBER($L$6)=FALSE,"",
        IF(ISERROR(VLOOKUP($G98,DanaSehat!$L$13:$AK$56,AA$4,FALSE))=TRUE,"",
              VLOOKUP($G98,DanaSehat!$L$13:$AK$56,AA$4,FALSE)))</t>
  </si>
  <si>
    <t>=IF(ISNUMBER($L$6)=FALSE,"",
        IF(ISERROR(VLOOKUP($G98,DanaSehat!$L$13:$AK$56,AB$4,FALSE))=TRUE,"",
              VLOOKUP($G98,DanaSehat!$L$13:$AK$56,AB$4,FALSE)))</t>
  </si>
  <si>
    <t>=IF(ISNUMBER($L$6)=FALSE,"",
        IF(ISERROR(VLOOKUP($G98,DanaSehat!$L$13:$AK$56,AC$4,FALSE))=TRUE,"",
              VLOOKUP($G98,DanaSehat!$L$13:$AK$56,AC$4,FALSE)))</t>
  </si>
  <si>
    <t>=IF(ISNUMBER($L$6)=FALSE,"",
        IF(ISERROR(VLOOKUP($G98,DanaSehat!$L$13:$AK$56,AD$4,FALSE))=TRUE,"",
              VLOOKUP($G98,DanaSehat!$L$13:$AK$56,AD$4,FALSE)))</t>
  </si>
  <si>
    <t>=IF(ISNUMBER($L$6)=FALSE,"",
        IF(ISERROR(VLOOKUP($G98,DanaSehat!$L$13:$AK$56,AE$4,FALSE))=TRUE,"",
              VLOOKUP($G98,DanaSehat!$L$13:$AK$56,AE$4,FALSE)))</t>
  </si>
  <si>
    <t>=IF(ISNUMBER($L$6)=FALSE,"",
        IF(ISERROR(VLOOKUP($G98,DanaSehat!$L$13:$AK$56,AF$4,FALSE))=TRUE,"",
              VLOOKUP($G98,DanaSehat!$L$13:$AK$56,AF$4,FALSE)))</t>
  </si>
  <si>
    <t>=IF(ISNUMBER($L$6)=FALSE,"",
IF($C99=0,"",VLOOKUP($E99,DanaSehat!$H$13:$L$56,4,FALSE)))</t>
  </si>
  <si>
    <t>=IF(ISNUMBER($L$6)=FALSE,"",
IF($C99=0,"",VLOOKUP($E99,DanaSehat!$H$13:$L$56,5,FALSE)))</t>
  </si>
  <si>
    <t>=IF(ISNUMBER($L$6)=FALSE,"",
        IF(ISERROR(VLOOKUP($G99,DanaSehat!$L$13:$AK$56,I$4,FALSE))=TRUE,"",
              VLOOKUP($G99,DanaSehat!$L$13:$AK$56,I$4,FALSE)))</t>
  </si>
  <si>
    <t>=IF(ISNUMBER($L$6)=FALSE,"",
        IF(ISERROR(VLOOKUP($G99,DanaSehat!$L$13:$AK$56,J$4,FALSE))=TRUE,"",
              VLOOKUP($G99,DanaSehat!$L$13:$AK$56,J$4,FALSE)))</t>
  </si>
  <si>
    <t>=IF(ISNUMBER($L$6)=FALSE,"",
        IF(ISERROR(VLOOKUP($G99,DanaSehat!$L$13:$AK$56,K$4,FALSE))=TRUE,"",
              VLOOKUP($G99,DanaSehat!$L$13:$AK$56,K$4,FALSE)))</t>
  </si>
  <si>
    <t>=IF(ISNUMBER($L$6)=FALSE,"",
        IF(ISERROR(VLOOKUP($G99,DanaSehat!$L$13:$AK$56,L$4,FALSE))=TRUE,"",
              VLOOKUP($G99,DanaSehat!$L$13:$AK$56,L$4,FALSE)))</t>
  </si>
  <si>
    <t>=IF(ISNUMBER($L$6)=FALSE,"",
        IF(ISERROR(VLOOKUP($G99,DanaSehat!$L$13:$AK$56,M$4,FALSE))=TRUE,"",
              VLOOKUP($G99,DanaSehat!$L$13:$AK$56,M$4,FALSE)))</t>
  </si>
  <si>
    <t>=IF(ISNUMBER($L$6)=FALSE,"",
        IF(ISERROR(VLOOKUP($G99,DanaSehat!$L$13:$AK$56,N$4,FALSE))=TRUE,"",
              VLOOKUP($G99,DanaSehat!$L$13:$AK$56,N$4,FALSE)))</t>
  </si>
  <si>
    <t>=IF(ISNUMBER($L$6)=FALSE,"",
        IF(ISERROR(VLOOKUP($G99,DanaSehat!$L$13:$AK$56,O$4,FALSE))=TRUE,"",
              VLOOKUP($G99,DanaSehat!$L$13:$AK$56,O$4,FALSE)))</t>
  </si>
  <si>
    <t>=IF(ISNUMBER($L$6)=FALSE,"",
        IF(ISERROR(VLOOKUP($G99,DanaSehat!$L$13:$AK$56,P$4,FALSE))=TRUE,"",
              VLOOKUP($G99,DanaSehat!$L$13:$AK$56,P$4,FALSE)))</t>
  </si>
  <si>
    <t>=IF(ISNUMBER($L$6)=FALSE,"",
        IF(ISERROR(VLOOKUP($G99,DanaSehat!$L$13:$AK$56,Q$4,FALSE))=TRUE,"",
              VLOOKUP($G99,DanaSehat!$L$13:$AK$56,Q$4,FALSE)))</t>
  </si>
  <si>
    <t>=IF(ISNUMBER($L$6)=FALSE,"",
        IF(ISERROR(VLOOKUP($G99,DanaSehat!$L$13:$AK$56,R$4,FALSE))=TRUE,"",
              VLOOKUP($G99,DanaSehat!$L$13:$AK$56,R$4,FALSE)))</t>
  </si>
  <si>
    <t>=IF(ISNUMBER($L$6)=FALSE,"",
        IF(ISERROR(VLOOKUP($G99,DanaSehat!$L$13:$AK$56,S$4,FALSE))=TRUE,"",
              VLOOKUP($G99,DanaSehat!$L$13:$AK$56,S$4,FALSE)))</t>
  </si>
  <si>
    <t>=IF(ISNUMBER($L$6)=FALSE,"",
        IF(ISERROR(VLOOKUP($G99,DanaSehat!$L$13:$AK$56,T$4,FALSE))=TRUE,"",
              VLOOKUP($G99,DanaSehat!$L$13:$AK$56,T$4,FALSE)))</t>
  </si>
  <si>
    <t>=IF(ISNUMBER($L$6)=FALSE,"",
        IF(ISERROR(VLOOKUP($G99,DanaSehat!$L$13:$AK$56,U$4,FALSE))=TRUE,"",
              VLOOKUP($G99,DanaSehat!$L$13:$AK$56,U$4,FALSE)))</t>
  </si>
  <si>
    <t>=IF(ISNUMBER($L$6)=FALSE,"",
        IF(ISERROR(VLOOKUP($G99,DanaSehat!$L$13:$AK$56,V$4,FALSE))=TRUE,"",
              VLOOKUP($G99,DanaSehat!$L$13:$AK$56,V$4,FALSE)))</t>
  </si>
  <si>
    <t>=IF(ISNUMBER($L$6)=FALSE,"",
        IF(ISERROR(VLOOKUP($G99,DanaSehat!$L$13:$AK$56,W$4,FALSE))=TRUE,"",
              VLOOKUP($G99,DanaSehat!$L$13:$AK$56,W$4,FALSE)))</t>
  </si>
  <si>
    <t>=IF(ISNUMBER($L$6)=FALSE,"",
        IF(ISERROR(VLOOKUP($G99,DanaSehat!$L$13:$AK$56,X$4,FALSE))=TRUE,"",
              VLOOKUP($G99,DanaSehat!$L$13:$AK$56,X$4,FALSE)))</t>
  </si>
  <si>
    <t>=IF(ISNUMBER($L$6)=FALSE,"",
        IF(ISERROR(VLOOKUP($G99,DanaSehat!$L$13:$AK$56,Y$4,FALSE))=TRUE,"",
              VLOOKUP($G99,DanaSehat!$L$13:$AK$56,Y$4,FALSE)))</t>
  </si>
  <si>
    <t>=IF(ISNUMBER($L$6)=FALSE,"",
        IF(ISERROR(VLOOKUP($G99,DanaSehat!$L$13:$AK$56,Z$4,FALSE))=TRUE,"",
              VLOOKUP($G99,DanaSehat!$L$13:$AK$56,Z$4,FALSE)))</t>
  </si>
  <si>
    <t>=IF(ISNUMBER($L$6)=FALSE,"",
        IF(ISERROR(VLOOKUP($G99,DanaSehat!$L$13:$AK$56,AA$4,FALSE))=TRUE,"",
              VLOOKUP($G99,DanaSehat!$L$13:$AK$56,AA$4,FALSE)))</t>
  </si>
  <si>
    <t>=IF(ISNUMBER($L$6)=FALSE,"",
        IF(ISERROR(VLOOKUP($G99,DanaSehat!$L$13:$AK$56,AB$4,FALSE))=TRUE,"",
              VLOOKUP($G99,DanaSehat!$L$13:$AK$56,AB$4,FALSE)))</t>
  </si>
  <si>
    <t>=IF(ISNUMBER($L$6)=FALSE,"",
        IF(ISERROR(VLOOKUP($G99,DanaSehat!$L$13:$AK$56,AC$4,FALSE))=TRUE,"",
              VLOOKUP($G99,DanaSehat!$L$13:$AK$56,AC$4,FALSE)))</t>
  </si>
  <si>
    <t>=IF(ISNUMBER($L$6)=FALSE,"",
        IF(ISERROR(VLOOKUP($G99,DanaSehat!$L$13:$AK$56,AD$4,FALSE))=TRUE,"",
              VLOOKUP($G99,DanaSehat!$L$13:$AK$56,AD$4,FALSE)))</t>
  </si>
  <si>
    <t>=IF(ISNUMBER($L$6)=FALSE,"",
        IF(ISERROR(VLOOKUP($G99,DanaSehat!$L$13:$AK$56,AE$4,FALSE))=TRUE,"",
              VLOOKUP($G99,DanaSehat!$L$13:$AK$56,AE$4,FALSE)))</t>
  </si>
  <si>
    <t>=IF(ISNUMBER($L$6)=FALSE,"",
        IF(ISERROR(VLOOKUP($G99,DanaSehat!$L$13:$AK$56,AF$4,FALSE))=TRUE,"",
              VLOOKUP($G99,DanaSehat!$L$13:$AK$56,AF$4,FALSE)))</t>
  </si>
  <si>
    <t>=IF(ISNUMBER($L$6)=FALSE,"",
IF($C100=0,"",VLOOKUP($E100,DanaSehat!$H$13:$L$56,4,FALSE)))</t>
  </si>
  <si>
    <t>=IF(ISNUMBER($L$6)=FALSE,"",
IF($C100=0,"",VLOOKUP($E100,DanaSehat!$H$13:$L$56,5,FALSE)))</t>
  </si>
  <si>
    <t>=IF(ISNUMBER($L$6)=FALSE,"",
        IF(ISERROR(VLOOKUP($G100,DanaSehat!$L$13:$AK$56,I$4,FALSE))=TRUE,"",
              VLOOKUP($G100,DanaSehat!$L$13:$AK$56,I$4,FALSE)))</t>
  </si>
  <si>
    <t>=IF(ISNUMBER($L$6)=FALSE,"",
        IF(ISERROR(VLOOKUP($G100,DanaSehat!$L$13:$AK$56,J$4,FALSE))=TRUE,"",
              VLOOKUP($G100,DanaSehat!$L$13:$AK$56,J$4,FALSE)))</t>
  </si>
  <si>
    <t>=IF(ISNUMBER($L$6)=FALSE,"",
        IF(ISERROR(VLOOKUP($G100,DanaSehat!$L$13:$AK$56,K$4,FALSE))=TRUE,"",
              VLOOKUP($G100,DanaSehat!$L$13:$AK$56,K$4,FALSE)))</t>
  </si>
  <si>
    <t>=IF(ISNUMBER($L$6)=FALSE,"",
        IF(ISERROR(VLOOKUP($G100,DanaSehat!$L$13:$AK$56,L$4,FALSE))=TRUE,"",
              VLOOKUP($G100,DanaSehat!$L$13:$AK$56,L$4,FALSE)))</t>
  </si>
  <si>
    <t>=IF(ISNUMBER($L$6)=FALSE,"",
        IF(ISERROR(VLOOKUP($G100,DanaSehat!$L$13:$AK$56,M$4,FALSE))=TRUE,"",
              VLOOKUP($G100,DanaSehat!$L$13:$AK$56,M$4,FALSE)))</t>
  </si>
  <si>
    <t>=IF(ISNUMBER($L$6)=FALSE,"",
        IF(ISERROR(VLOOKUP($G100,DanaSehat!$L$13:$AK$56,N$4,FALSE))=TRUE,"",
              VLOOKUP($G100,DanaSehat!$L$13:$AK$56,N$4,FALSE)))</t>
  </si>
  <si>
    <t>=IF(ISNUMBER($L$6)=FALSE,"",
        IF(ISERROR(VLOOKUP($G100,DanaSehat!$L$13:$AK$56,O$4,FALSE))=TRUE,"",
              VLOOKUP($G100,DanaSehat!$L$13:$AK$56,O$4,FALSE)))</t>
  </si>
  <si>
    <t>=IF(ISNUMBER($L$6)=FALSE,"",
        IF(ISERROR(VLOOKUP($G100,DanaSehat!$L$13:$AK$56,P$4,FALSE))=TRUE,"",
              VLOOKUP($G100,DanaSehat!$L$13:$AK$56,P$4,FALSE)))</t>
  </si>
  <si>
    <t>=IF(ISNUMBER($L$6)=FALSE,"",
        IF(ISERROR(VLOOKUP($G100,DanaSehat!$L$13:$AK$56,Q$4,FALSE))=TRUE,"",
              VLOOKUP($G100,DanaSehat!$L$13:$AK$56,Q$4,FALSE)))</t>
  </si>
  <si>
    <t>=IF(ISNUMBER($L$6)=FALSE,"",
        IF(ISERROR(VLOOKUP($G100,DanaSehat!$L$13:$AK$56,R$4,FALSE))=TRUE,"",
              VLOOKUP($G100,DanaSehat!$L$13:$AK$56,R$4,FALSE)))</t>
  </si>
  <si>
    <t>=IF(ISNUMBER($L$6)=FALSE,"",
        IF(ISERROR(VLOOKUP($G100,DanaSehat!$L$13:$AK$56,S$4,FALSE))=TRUE,"",
              VLOOKUP($G100,DanaSehat!$L$13:$AK$56,S$4,FALSE)))</t>
  </si>
  <si>
    <t>=IF(ISNUMBER($L$6)=FALSE,"",
        IF(ISERROR(VLOOKUP($G100,DanaSehat!$L$13:$AK$56,T$4,FALSE))=TRUE,"",
              VLOOKUP($G100,DanaSehat!$L$13:$AK$56,T$4,FALSE)))</t>
  </si>
  <si>
    <t>=IF(ISNUMBER($L$6)=FALSE,"",
        IF(ISERROR(VLOOKUP($G100,DanaSehat!$L$13:$AK$56,U$4,FALSE))=TRUE,"",
              VLOOKUP($G100,DanaSehat!$L$13:$AK$56,U$4,FALSE)))</t>
  </si>
  <si>
    <t>=IF(ISNUMBER($L$6)=FALSE,"",
        IF(ISERROR(VLOOKUP($G100,DanaSehat!$L$13:$AK$56,V$4,FALSE))=TRUE,"",
              VLOOKUP($G100,DanaSehat!$L$13:$AK$56,V$4,FALSE)))</t>
  </si>
  <si>
    <t>=IF(ISNUMBER($L$6)=FALSE,"",
        IF(ISERROR(VLOOKUP($G100,DanaSehat!$L$13:$AK$56,W$4,FALSE))=TRUE,"",
              VLOOKUP($G100,DanaSehat!$L$13:$AK$56,W$4,FALSE)))</t>
  </si>
  <si>
    <t>=IF(ISNUMBER($L$6)=FALSE,"",
        IF(ISERROR(VLOOKUP($G100,DanaSehat!$L$13:$AK$56,X$4,FALSE))=TRUE,"",
              VLOOKUP($G100,DanaSehat!$L$13:$AK$56,X$4,FALSE)))</t>
  </si>
  <si>
    <t>=IF(ISNUMBER($L$6)=FALSE,"",
        IF(ISERROR(VLOOKUP($G100,DanaSehat!$L$13:$AK$56,Y$4,FALSE))=TRUE,"",
              VLOOKUP($G100,DanaSehat!$L$13:$AK$56,Y$4,FALSE)))</t>
  </si>
  <si>
    <t>=IF(ISNUMBER($L$6)=FALSE,"",
        IF(ISERROR(VLOOKUP($G100,DanaSehat!$L$13:$AK$56,Z$4,FALSE))=TRUE,"",
              VLOOKUP($G100,DanaSehat!$L$13:$AK$56,Z$4,FALSE)))</t>
  </si>
  <si>
    <t>=IF(ISNUMBER($L$6)=FALSE,"",
        IF(ISERROR(VLOOKUP($G100,DanaSehat!$L$13:$AK$56,AA$4,FALSE))=TRUE,"",
              VLOOKUP($G100,DanaSehat!$L$13:$AK$56,AA$4,FALSE)))</t>
  </si>
  <si>
    <t>=IF(ISNUMBER($L$6)=FALSE,"",
        IF(ISERROR(VLOOKUP($G100,DanaSehat!$L$13:$AK$56,AB$4,FALSE))=TRUE,"",
              VLOOKUP($G100,DanaSehat!$L$13:$AK$56,AB$4,FALSE)))</t>
  </si>
  <si>
    <t>=IF(ISNUMBER($L$6)=FALSE,"",
        IF(ISERROR(VLOOKUP($G100,DanaSehat!$L$13:$AK$56,AC$4,FALSE))=TRUE,"",
              VLOOKUP($G100,DanaSehat!$L$13:$AK$56,AC$4,FALSE)))</t>
  </si>
  <si>
    <t>=IF(ISNUMBER($L$6)=FALSE,"",
        IF(ISERROR(VLOOKUP($G100,DanaSehat!$L$13:$AK$56,AD$4,FALSE))=TRUE,"",
              VLOOKUP($G100,DanaSehat!$L$13:$AK$56,AD$4,FALSE)))</t>
  </si>
  <si>
    <t>=IF(ISNUMBER($L$6)=FALSE,"",
        IF(ISERROR(VLOOKUP($G100,DanaSehat!$L$13:$AK$56,AE$4,FALSE))=TRUE,"",
              VLOOKUP($G100,DanaSehat!$L$13:$AK$56,AE$4,FALSE)))</t>
  </si>
  <si>
    <t>=IF(ISNUMBER($L$6)=FALSE,"",
        IF(ISERROR(VLOOKUP($G100,DanaSehat!$L$13:$AK$56,AF$4,FALSE))=TRUE,"",
              VLOOKUP($G100,DanaSehat!$L$13:$AK$56,AF$4,FALSE)))</t>
  </si>
  <si>
    <t>=IF(ISNUMBER($L$6)=FALSE,"",
IF($C101=0,"",VLOOKUP($E101,DanaSehat!$H$13:$L$56,4,FALSE)))</t>
  </si>
  <si>
    <t>=IF(ISNUMBER($L$6)=FALSE,"",
IF($C101=0,"",VLOOKUP($E101,DanaSehat!$H$13:$L$56,5,FALSE)))</t>
  </si>
  <si>
    <t>=IF(ISNUMBER($L$6)=FALSE,"",
        IF(ISERROR(VLOOKUP($G101,DanaSehat!$L$13:$AK$56,I$4,FALSE))=TRUE,"",
              VLOOKUP($G101,DanaSehat!$L$13:$AK$56,I$4,FALSE)))</t>
  </si>
  <si>
    <t>=IF(ISNUMBER($L$6)=FALSE,"",
        IF(ISERROR(VLOOKUP($G101,DanaSehat!$L$13:$AK$56,J$4,FALSE))=TRUE,"",
              VLOOKUP($G101,DanaSehat!$L$13:$AK$56,J$4,FALSE)))</t>
  </si>
  <si>
    <t>=IF(ISNUMBER($L$6)=FALSE,"",
        IF(ISERROR(VLOOKUP($G101,DanaSehat!$L$13:$AK$56,K$4,FALSE))=TRUE,"",
              VLOOKUP($G101,DanaSehat!$L$13:$AK$56,K$4,FALSE)))</t>
  </si>
  <si>
    <t>=IF(ISNUMBER($L$6)=FALSE,"",
        IF(ISERROR(VLOOKUP($G101,DanaSehat!$L$13:$AK$56,L$4,FALSE))=TRUE,"",
              VLOOKUP($G101,DanaSehat!$L$13:$AK$56,L$4,FALSE)))</t>
  </si>
  <si>
    <t>=IF(ISNUMBER($L$6)=FALSE,"",
        IF(ISERROR(VLOOKUP($G101,DanaSehat!$L$13:$AK$56,M$4,FALSE))=TRUE,"",
              VLOOKUP($G101,DanaSehat!$L$13:$AK$56,M$4,FALSE)))</t>
  </si>
  <si>
    <t>=IF(ISNUMBER($L$6)=FALSE,"",
        IF(ISERROR(VLOOKUP($G101,DanaSehat!$L$13:$AK$56,N$4,FALSE))=TRUE,"",
              VLOOKUP($G101,DanaSehat!$L$13:$AK$56,N$4,FALSE)))</t>
  </si>
  <si>
    <t>=IF(ISNUMBER($L$6)=FALSE,"",
        IF(ISERROR(VLOOKUP($G101,DanaSehat!$L$13:$AK$56,O$4,FALSE))=TRUE,"",
              VLOOKUP($G101,DanaSehat!$L$13:$AK$56,O$4,FALSE)))</t>
  </si>
  <si>
    <t>=IF(ISNUMBER($L$6)=FALSE,"",
        IF(ISERROR(VLOOKUP($G101,DanaSehat!$L$13:$AK$56,P$4,FALSE))=TRUE,"",
              VLOOKUP($G101,DanaSehat!$L$13:$AK$56,P$4,FALSE)))</t>
  </si>
  <si>
    <t>=IF(ISNUMBER($L$6)=FALSE,"",
        IF(ISERROR(VLOOKUP($G101,DanaSehat!$L$13:$AK$56,Q$4,FALSE))=TRUE,"",
              VLOOKUP($G101,DanaSehat!$L$13:$AK$56,Q$4,FALSE)))</t>
  </si>
  <si>
    <t>=IF(ISNUMBER($L$6)=FALSE,"",
        IF(ISERROR(VLOOKUP($G101,DanaSehat!$L$13:$AK$56,R$4,FALSE))=TRUE,"",
              VLOOKUP($G101,DanaSehat!$L$13:$AK$56,R$4,FALSE)))</t>
  </si>
  <si>
    <t>=IF(ISNUMBER($L$6)=FALSE,"",
        IF(ISERROR(VLOOKUP($G101,DanaSehat!$L$13:$AK$56,S$4,FALSE))=TRUE,"",
              VLOOKUP($G101,DanaSehat!$L$13:$AK$56,S$4,FALSE)))</t>
  </si>
  <si>
    <t>=IF(ISNUMBER($L$6)=FALSE,"",
        IF(ISERROR(VLOOKUP($G101,DanaSehat!$L$13:$AK$56,T$4,FALSE))=TRUE,"",
              VLOOKUP($G101,DanaSehat!$L$13:$AK$56,T$4,FALSE)))</t>
  </si>
  <si>
    <t>=IF(ISNUMBER($L$6)=FALSE,"",
        IF(ISERROR(VLOOKUP($G101,DanaSehat!$L$13:$AK$56,U$4,FALSE))=TRUE,"",
              VLOOKUP($G101,DanaSehat!$L$13:$AK$56,U$4,FALSE)))</t>
  </si>
  <si>
    <t>=IF(ISNUMBER($L$6)=FALSE,"",
        IF(ISERROR(VLOOKUP($G101,DanaSehat!$L$13:$AK$56,V$4,FALSE))=TRUE,"",
              VLOOKUP($G101,DanaSehat!$L$13:$AK$56,V$4,FALSE)))</t>
  </si>
  <si>
    <t>=IF(ISNUMBER($L$6)=FALSE,"",
        IF(ISERROR(VLOOKUP($G101,DanaSehat!$L$13:$AK$56,W$4,FALSE))=TRUE,"",
              VLOOKUP($G101,DanaSehat!$L$13:$AK$56,W$4,FALSE)))</t>
  </si>
  <si>
    <t>=IF(ISNUMBER($L$6)=FALSE,"",
        IF(ISERROR(VLOOKUP($G101,DanaSehat!$L$13:$AK$56,X$4,FALSE))=TRUE,"",
              VLOOKUP($G101,DanaSehat!$L$13:$AK$56,X$4,FALSE)))</t>
  </si>
  <si>
    <t>=IF(ISNUMBER($L$6)=FALSE,"",
        IF(ISERROR(VLOOKUP($G101,DanaSehat!$L$13:$AK$56,Y$4,FALSE))=TRUE,"",
              VLOOKUP($G101,DanaSehat!$L$13:$AK$56,Y$4,FALSE)))</t>
  </si>
  <si>
    <t>=IF(ISNUMBER($L$6)=FALSE,"",
        IF(ISERROR(VLOOKUP($G101,DanaSehat!$L$13:$AK$56,Z$4,FALSE))=TRUE,"",
              VLOOKUP($G101,DanaSehat!$L$13:$AK$56,Z$4,FALSE)))</t>
  </si>
  <si>
    <t>=IF(ISNUMBER($L$6)=FALSE,"",
        IF(ISERROR(VLOOKUP($G101,DanaSehat!$L$13:$AK$56,AA$4,FALSE))=TRUE,"",
              VLOOKUP($G101,DanaSehat!$L$13:$AK$56,AA$4,FALSE)))</t>
  </si>
  <si>
    <t>=IF(ISNUMBER($L$6)=FALSE,"",
        IF(ISERROR(VLOOKUP($G101,DanaSehat!$L$13:$AK$56,AB$4,FALSE))=TRUE,"",
              VLOOKUP($G101,DanaSehat!$L$13:$AK$56,AB$4,FALSE)))</t>
  </si>
  <si>
    <t>=IF(ISNUMBER($L$6)=FALSE,"",
        IF(ISERROR(VLOOKUP($G101,DanaSehat!$L$13:$AK$56,AC$4,FALSE))=TRUE,"",
              VLOOKUP($G101,DanaSehat!$L$13:$AK$56,AC$4,FALSE)))</t>
  </si>
  <si>
    <t>=IF(ISNUMBER($L$6)=FALSE,"",
        IF(ISERROR(VLOOKUP($G101,DanaSehat!$L$13:$AK$56,AD$4,FALSE))=TRUE,"",
              VLOOKUP($G101,DanaSehat!$L$13:$AK$56,AD$4,FALSE)))</t>
  </si>
  <si>
    <t>=IF(ISNUMBER($L$6)=FALSE,"",
        IF(ISERROR(VLOOKUP($G101,DanaSehat!$L$13:$AK$56,AE$4,FALSE))=TRUE,"",
              VLOOKUP($G101,DanaSehat!$L$13:$AK$56,AE$4,FALSE)))</t>
  </si>
  <si>
    <t>=IF(ISNUMBER($L$6)=FALSE,"",
        IF(ISERROR(VLOOKUP($G101,DanaSehat!$L$13:$AK$56,AF$4,FALSE))=TRUE,"",
              VLOOKUP($G101,DanaSehat!$L$13:$AK$56,AF$4,FALSE)))</t>
  </si>
  <si>
    <t>=IF(ISNUMBER($L$6)=FALSE,"",
IF($C102=0,"",VLOOKUP($E102,DanaSehat!$H$13:$L$56,4,FALSE)))</t>
  </si>
  <si>
    <t>=IF(ISNUMBER($L$6)=FALSE,"",
IF($C102=0,"",VLOOKUP($E102,DanaSehat!$H$13:$L$56,5,FALSE)))</t>
  </si>
  <si>
    <t>=IF(ISNUMBER($L$6)=FALSE,"",
        IF(ISERROR(VLOOKUP($G102,DanaSehat!$L$13:$AK$56,I$4,FALSE))=TRUE,"",
              VLOOKUP($G102,DanaSehat!$L$13:$AK$56,I$4,FALSE)))</t>
  </si>
  <si>
    <t>=IF(ISNUMBER($L$6)=FALSE,"",
        IF(ISERROR(VLOOKUP($G102,DanaSehat!$L$13:$AK$56,J$4,FALSE))=TRUE,"",
              VLOOKUP($G102,DanaSehat!$L$13:$AK$56,J$4,FALSE)))</t>
  </si>
  <si>
    <t>=IF(ISNUMBER($L$6)=FALSE,"",
        IF(ISERROR(VLOOKUP($G102,DanaSehat!$L$13:$AK$56,K$4,FALSE))=TRUE,"",
              VLOOKUP($G102,DanaSehat!$L$13:$AK$56,K$4,FALSE)))</t>
  </si>
  <si>
    <t>=IF(ISNUMBER($L$6)=FALSE,"",
        IF(ISERROR(VLOOKUP($G102,DanaSehat!$L$13:$AK$56,L$4,FALSE))=TRUE,"",
              VLOOKUP($G102,DanaSehat!$L$13:$AK$56,L$4,FALSE)))</t>
  </si>
  <si>
    <t>=IF(ISNUMBER($L$6)=FALSE,"",
        IF(ISERROR(VLOOKUP($G102,DanaSehat!$L$13:$AK$56,M$4,FALSE))=TRUE,"",
              VLOOKUP($G102,DanaSehat!$L$13:$AK$56,M$4,FALSE)))</t>
  </si>
  <si>
    <t>=IF(ISNUMBER($L$6)=FALSE,"",
        IF(ISERROR(VLOOKUP($G102,DanaSehat!$L$13:$AK$56,N$4,FALSE))=TRUE,"",
              VLOOKUP($G102,DanaSehat!$L$13:$AK$56,N$4,FALSE)))</t>
  </si>
  <si>
    <t>=IF(ISNUMBER($L$6)=FALSE,"",
        IF(ISERROR(VLOOKUP($G102,DanaSehat!$L$13:$AK$56,O$4,FALSE))=TRUE,"",
              VLOOKUP($G102,DanaSehat!$L$13:$AK$56,O$4,FALSE)))</t>
  </si>
  <si>
    <t>=IF(ISNUMBER($L$6)=FALSE,"",
        IF(ISERROR(VLOOKUP($G102,DanaSehat!$L$13:$AK$56,P$4,FALSE))=TRUE,"",
              VLOOKUP($G102,DanaSehat!$L$13:$AK$56,P$4,FALSE)))</t>
  </si>
  <si>
    <t>=IF(ISNUMBER($L$6)=FALSE,"",
        IF(ISERROR(VLOOKUP($G102,DanaSehat!$L$13:$AK$56,Q$4,FALSE))=TRUE,"",
              VLOOKUP($G102,DanaSehat!$L$13:$AK$56,Q$4,FALSE)))</t>
  </si>
  <si>
    <t>=IF(ISNUMBER($L$6)=FALSE,"",
        IF(ISERROR(VLOOKUP($G102,DanaSehat!$L$13:$AK$56,R$4,FALSE))=TRUE,"",
              VLOOKUP($G102,DanaSehat!$L$13:$AK$56,R$4,FALSE)))</t>
  </si>
  <si>
    <t>=IF(ISNUMBER($L$6)=FALSE,"",
        IF(ISERROR(VLOOKUP($G102,DanaSehat!$L$13:$AK$56,S$4,FALSE))=TRUE,"",
              VLOOKUP($G102,DanaSehat!$L$13:$AK$56,S$4,FALSE)))</t>
  </si>
  <si>
    <t>=IF(ISNUMBER($L$6)=FALSE,"",
        IF(ISERROR(VLOOKUP($G102,DanaSehat!$L$13:$AK$56,T$4,FALSE))=TRUE,"",
              VLOOKUP($G102,DanaSehat!$L$13:$AK$56,T$4,FALSE)))</t>
  </si>
  <si>
    <t>=IF(ISNUMBER($L$6)=FALSE,"",
        IF(ISERROR(VLOOKUP($G102,DanaSehat!$L$13:$AK$56,U$4,FALSE))=TRUE,"",
              VLOOKUP($G102,DanaSehat!$L$13:$AK$56,U$4,FALSE)))</t>
  </si>
  <si>
    <t>=IF(ISNUMBER($L$6)=FALSE,"",
        IF(ISERROR(VLOOKUP($G102,DanaSehat!$L$13:$AK$56,V$4,FALSE))=TRUE,"",
              VLOOKUP($G102,DanaSehat!$L$13:$AK$56,V$4,FALSE)))</t>
  </si>
  <si>
    <t>=IF(ISNUMBER($L$6)=FALSE,"",
        IF(ISERROR(VLOOKUP($G102,DanaSehat!$L$13:$AK$56,W$4,FALSE))=TRUE,"",
              VLOOKUP($G102,DanaSehat!$L$13:$AK$56,W$4,FALSE)))</t>
  </si>
  <si>
    <t>=IF(ISNUMBER($L$6)=FALSE,"",
        IF(ISERROR(VLOOKUP($G102,DanaSehat!$L$13:$AK$56,X$4,FALSE))=TRUE,"",
              VLOOKUP($G102,DanaSehat!$L$13:$AK$56,X$4,FALSE)))</t>
  </si>
  <si>
    <t>=IF(ISNUMBER($L$6)=FALSE,"",
        IF(ISERROR(VLOOKUP($G102,DanaSehat!$L$13:$AK$56,Y$4,FALSE))=TRUE,"",
              VLOOKUP($G102,DanaSehat!$L$13:$AK$56,Y$4,FALSE)))</t>
  </si>
  <si>
    <t>=IF(ISNUMBER($L$6)=FALSE,"",
        IF(ISERROR(VLOOKUP($G102,DanaSehat!$L$13:$AK$56,Z$4,FALSE))=TRUE,"",
              VLOOKUP($G102,DanaSehat!$L$13:$AK$56,Z$4,FALSE)))</t>
  </si>
  <si>
    <t>=IF(ISNUMBER($L$6)=FALSE,"",
        IF(ISERROR(VLOOKUP($G102,DanaSehat!$L$13:$AK$56,AA$4,FALSE))=TRUE,"",
              VLOOKUP($G102,DanaSehat!$L$13:$AK$56,AA$4,FALSE)))</t>
  </si>
  <si>
    <t>=IF(ISNUMBER($L$6)=FALSE,"",
        IF(ISERROR(VLOOKUP($G102,DanaSehat!$L$13:$AK$56,AB$4,FALSE))=TRUE,"",
              VLOOKUP($G102,DanaSehat!$L$13:$AK$56,AB$4,FALSE)))</t>
  </si>
  <si>
    <t>=IF(ISNUMBER($L$6)=FALSE,"",
        IF(ISERROR(VLOOKUP($G102,DanaSehat!$L$13:$AK$56,AC$4,FALSE))=TRUE,"",
              VLOOKUP($G102,DanaSehat!$L$13:$AK$56,AC$4,FALSE)))</t>
  </si>
  <si>
    <t>=IF(ISNUMBER($L$6)=FALSE,"",
        IF(ISERROR(VLOOKUP($G102,DanaSehat!$L$13:$AK$56,AD$4,FALSE))=TRUE,"",
              VLOOKUP($G102,DanaSehat!$L$13:$AK$56,AD$4,FALSE)))</t>
  </si>
  <si>
    <t>=IF(ISNUMBER($L$6)=FALSE,"",
        IF(ISERROR(VLOOKUP($G102,DanaSehat!$L$13:$AK$56,AE$4,FALSE))=TRUE,"",
              VLOOKUP($G102,DanaSehat!$L$13:$AK$56,AE$4,FALSE)))</t>
  </si>
  <si>
    <t>=IF(ISNUMBER($L$6)=FALSE,"",
        IF(ISERROR(VLOOKUP($G102,DanaSehat!$L$13:$AK$56,AF$4,FALSE))=TRUE,"",
              VLOOKUP($G102,DanaSehat!$L$13:$AK$56,AF$4,FALSE)))</t>
  </si>
  <si>
    <t>=IF(ISNUMBER($L$6)=FALSE,"",
IF($C103=0,"",VLOOKUP($E103,DanaSehat!$H$13:$L$56,4,FALSE)))</t>
  </si>
  <si>
    <t>=IF(ISNUMBER($L$6)=FALSE,"",
IF($C103=0,"",VLOOKUP($E103,DanaSehat!$H$13:$L$56,5,FALSE)))</t>
  </si>
  <si>
    <t>=IF(ISNUMBER($L$6)=FALSE,"",
        IF(ISERROR(VLOOKUP($G103,DanaSehat!$L$13:$AK$56,I$4,FALSE))=TRUE,"",
              VLOOKUP($G103,DanaSehat!$L$13:$AK$56,I$4,FALSE)))</t>
  </si>
  <si>
    <t>=IF(ISNUMBER($L$6)=FALSE,"",
        IF(ISERROR(VLOOKUP($G103,DanaSehat!$L$13:$AK$56,J$4,FALSE))=TRUE,"",
              VLOOKUP($G103,DanaSehat!$L$13:$AK$56,J$4,FALSE)))</t>
  </si>
  <si>
    <t>=IF(ISNUMBER($L$6)=FALSE,"",
        IF(ISERROR(VLOOKUP($G103,DanaSehat!$L$13:$AK$56,K$4,FALSE))=TRUE,"",
              VLOOKUP($G103,DanaSehat!$L$13:$AK$56,K$4,FALSE)))</t>
  </si>
  <si>
    <t>=IF(ISNUMBER($L$6)=FALSE,"",
        IF(ISERROR(VLOOKUP($G103,DanaSehat!$L$13:$AK$56,L$4,FALSE))=TRUE,"",
              VLOOKUP($G103,DanaSehat!$L$13:$AK$56,L$4,FALSE)))</t>
  </si>
  <si>
    <t>=IF(ISNUMBER($L$6)=FALSE,"",
        IF(ISERROR(VLOOKUP($G103,DanaSehat!$L$13:$AK$56,M$4,FALSE))=TRUE,"",
              VLOOKUP($G103,DanaSehat!$L$13:$AK$56,M$4,FALSE)))</t>
  </si>
  <si>
    <t>=IF(ISNUMBER($L$6)=FALSE,"",
        IF(ISERROR(VLOOKUP($G103,DanaSehat!$L$13:$AK$56,N$4,FALSE))=TRUE,"",
              VLOOKUP($G103,DanaSehat!$L$13:$AK$56,N$4,FALSE)))</t>
  </si>
  <si>
    <t>=IF(ISNUMBER($L$6)=FALSE,"",
        IF(ISERROR(VLOOKUP($G103,DanaSehat!$L$13:$AK$56,O$4,FALSE))=TRUE,"",
              VLOOKUP($G103,DanaSehat!$L$13:$AK$56,O$4,FALSE)))</t>
  </si>
  <si>
    <t>=IF(ISNUMBER($L$6)=FALSE,"",
        IF(ISERROR(VLOOKUP($G103,DanaSehat!$L$13:$AK$56,P$4,FALSE))=TRUE,"",
              VLOOKUP($G103,DanaSehat!$L$13:$AK$56,P$4,FALSE)))</t>
  </si>
  <si>
    <t>=IF(ISNUMBER($L$6)=FALSE,"",
        IF(ISERROR(VLOOKUP($G103,DanaSehat!$L$13:$AK$56,Q$4,FALSE))=TRUE,"",
              VLOOKUP($G103,DanaSehat!$L$13:$AK$56,Q$4,FALSE)))</t>
  </si>
  <si>
    <t>=IF(ISNUMBER($L$6)=FALSE,"",
        IF(ISERROR(VLOOKUP($G103,DanaSehat!$L$13:$AK$56,R$4,FALSE))=TRUE,"",
              VLOOKUP($G103,DanaSehat!$L$13:$AK$56,R$4,FALSE)))</t>
  </si>
  <si>
    <t>=IF(ISNUMBER($L$6)=FALSE,"",
        IF(ISERROR(VLOOKUP($G103,DanaSehat!$L$13:$AK$56,S$4,FALSE))=TRUE,"",
              VLOOKUP($G103,DanaSehat!$L$13:$AK$56,S$4,FALSE)))</t>
  </si>
  <si>
    <t>=IF(ISNUMBER($L$6)=FALSE,"",
        IF(ISERROR(VLOOKUP($G103,DanaSehat!$L$13:$AK$56,T$4,FALSE))=TRUE,"",
              VLOOKUP($G103,DanaSehat!$L$13:$AK$56,T$4,FALSE)))</t>
  </si>
  <si>
    <t>=IF(ISNUMBER($L$6)=FALSE,"",
        IF(ISERROR(VLOOKUP($G103,DanaSehat!$L$13:$AK$56,U$4,FALSE))=TRUE,"",
              VLOOKUP($G103,DanaSehat!$L$13:$AK$56,U$4,FALSE)))</t>
  </si>
  <si>
    <t>=IF(ISNUMBER($L$6)=FALSE,"",
        IF(ISERROR(VLOOKUP($G103,DanaSehat!$L$13:$AK$56,V$4,FALSE))=TRUE,"",
              VLOOKUP($G103,DanaSehat!$L$13:$AK$56,V$4,FALSE)))</t>
  </si>
  <si>
    <t>=IF(ISNUMBER($L$6)=FALSE,"",
        IF(ISERROR(VLOOKUP($G103,DanaSehat!$L$13:$AK$56,W$4,FALSE))=TRUE,"",
              VLOOKUP($G103,DanaSehat!$L$13:$AK$56,W$4,FALSE)))</t>
  </si>
  <si>
    <t>=IF(ISNUMBER($L$6)=FALSE,"",
        IF(ISERROR(VLOOKUP($G103,DanaSehat!$L$13:$AK$56,X$4,FALSE))=TRUE,"",
              VLOOKUP($G103,DanaSehat!$L$13:$AK$56,X$4,FALSE)))</t>
  </si>
  <si>
    <t>=IF(ISNUMBER($L$6)=FALSE,"",
        IF(ISERROR(VLOOKUP($G103,DanaSehat!$L$13:$AK$56,Y$4,FALSE))=TRUE,"",
              VLOOKUP($G103,DanaSehat!$L$13:$AK$56,Y$4,FALSE)))</t>
  </si>
  <si>
    <t>=IF(ISNUMBER($L$6)=FALSE,"",
        IF(ISERROR(VLOOKUP($G103,DanaSehat!$L$13:$AK$56,Z$4,FALSE))=TRUE,"",
              VLOOKUP($G103,DanaSehat!$L$13:$AK$56,Z$4,FALSE)))</t>
  </si>
  <si>
    <t>=IF(ISNUMBER($L$6)=FALSE,"",
        IF(ISERROR(VLOOKUP($G103,DanaSehat!$L$13:$AK$56,AA$4,FALSE))=TRUE,"",
              VLOOKUP($G103,DanaSehat!$L$13:$AK$56,AA$4,FALSE)))</t>
  </si>
  <si>
    <t>=IF(ISNUMBER($L$6)=FALSE,"",
        IF(ISERROR(VLOOKUP($G103,DanaSehat!$L$13:$AK$56,AB$4,FALSE))=TRUE,"",
              VLOOKUP($G103,DanaSehat!$L$13:$AK$56,AB$4,FALSE)))</t>
  </si>
  <si>
    <t>=IF(ISNUMBER($L$6)=FALSE,"",
        IF(ISERROR(VLOOKUP($G103,DanaSehat!$L$13:$AK$56,AC$4,FALSE))=TRUE,"",
              VLOOKUP($G103,DanaSehat!$L$13:$AK$56,AC$4,FALSE)))</t>
  </si>
  <si>
    <t>=IF(ISNUMBER($L$6)=FALSE,"",
        IF(ISERROR(VLOOKUP($G103,DanaSehat!$L$13:$AK$56,AD$4,FALSE))=TRUE,"",
              VLOOKUP($G103,DanaSehat!$L$13:$AK$56,AD$4,FALSE)))</t>
  </si>
  <si>
    <t>=IF(ISNUMBER($L$6)=FALSE,"",
        IF(ISERROR(VLOOKUP($G103,DanaSehat!$L$13:$AK$56,AE$4,FALSE))=TRUE,"",
              VLOOKUP($G103,DanaSehat!$L$13:$AK$56,AE$4,FALSE)))</t>
  </si>
  <si>
    <t>=IF(ISNUMBER($L$6)=FALSE,"",
        IF(ISERROR(VLOOKUP($G103,DanaSehat!$L$13:$AK$56,AF$4,FALSE))=TRUE,"",
              VLOOKUP($G103,DanaSehat!$L$13:$AK$56,AF$4,FALSE)))</t>
  </si>
  <si>
    <t>=IF(ISNUMBER($L$6)=FALSE,"",
IF($C104=0,"",VLOOKUP($E104,DanaSehat!$H$13:$L$56,4,FALSE)))</t>
  </si>
  <si>
    <t>=IF(ISNUMBER($L$6)=FALSE,"",
IF($C104=0,"",VLOOKUP($E104,DanaSehat!$H$13:$L$56,5,FALSE)))</t>
  </si>
  <si>
    <t>=IF(ISNUMBER($L$6)=FALSE,"",
        IF(ISERROR(VLOOKUP($G104,DanaSehat!$L$13:$AK$56,I$4,FALSE))=TRUE,"",
              VLOOKUP($G104,DanaSehat!$L$13:$AK$56,I$4,FALSE)))</t>
  </si>
  <si>
    <t>=IF(ISNUMBER($L$6)=FALSE,"",
        IF(ISERROR(VLOOKUP($G104,DanaSehat!$L$13:$AK$56,J$4,FALSE))=TRUE,"",
              VLOOKUP($G104,DanaSehat!$L$13:$AK$56,J$4,FALSE)))</t>
  </si>
  <si>
    <t>=IF(ISNUMBER($L$6)=FALSE,"",
        IF(ISERROR(VLOOKUP($G104,DanaSehat!$L$13:$AK$56,K$4,FALSE))=TRUE,"",
              VLOOKUP($G104,DanaSehat!$L$13:$AK$56,K$4,FALSE)))</t>
  </si>
  <si>
    <t>=IF(ISNUMBER($L$6)=FALSE,"",
        IF(ISERROR(VLOOKUP($G104,DanaSehat!$L$13:$AK$56,L$4,FALSE))=TRUE,"",
              VLOOKUP($G104,DanaSehat!$L$13:$AK$56,L$4,FALSE)))</t>
  </si>
  <si>
    <t>=IF(ISNUMBER($L$6)=FALSE,"",
        IF(ISERROR(VLOOKUP($G104,DanaSehat!$L$13:$AK$56,M$4,FALSE))=TRUE,"",
              VLOOKUP($G104,DanaSehat!$L$13:$AK$56,M$4,FALSE)))</t>
  </si>
  <si>
    <t>=IF(ISNUMBER($L$6)=FALSE,"",
        IF(ISERROR(VLOOKUP($G104,DanaSehat!$L$13:$AK$56,N$4,FALSE))=TRUE,"",
              VLOOKUP($G104,DanaSehat!$L$13:$AK$56,N$4,FALSE)))</t>
  </si>
  <si>
    <t>=IF(ISNUMBER($L$6)=FALSE,"",
        IF(ISERROR(VLOOKUP($G104,DanaSehat!$L$13:$AK$56,O$4,FALSE))=TRUE,"",
              VLOOKUP($G104,DanaSehat!$L$13:$AK$56,O$4,FALSE)))</t>
  </si>
  <si>
    <t>=IF(ISNUMBER($L$6)=FALSE,"",
        IF(ISERROR(VLOOKUP($G104,DanaSehat!$L$13:$AK$56,P$4,FALSE))=TRUE,"",
              VLOOKUP($G104,DanaSehat!$L$13:$AK$56,P$4,FALSE)))</t>
  </si>
  <si>
    <t>=IF(ISNUMBER($L$6)=FALSE,"",
        IF(ISERROR(VLOOKUP($G104,DanaSehat!$L$13:$AK$56,Q$4,FALSE))=TRUE,"",
              VLOOKUP($G104,DanaSehat!$L$13:$AK$56,Q$4,FALSE)))</t>
  </si>
  <si>
    <t>=IF(ISNUMBER($L$6)=FALSE,"",
        IF(ISERROR(VLOOKUP($G104,DanaSehat!$L$13:$AK$56,R$4,FALSE))=TRUE,"",
              VLOOKUP($G104,DanaSehat!$L$13:$AK$56,R$4,FALSE)))</t>
  </si>
  <si>
    <t>=IF(ISNUMBER($L$6)=FALSE,"",
        IF(ISERROR(VLOOKUP($G104,DanaSehat!$L$13:$AK$56,S$4,FALSE))=TRUE,"",
              VLOOKUP($G104,DanaSehat!$L$13:$AK$56,S$4,FALSE)))</t>
  </si>
  <si>
    <t>=IF(ISNUMBER($L$6)=FALSE,"",
        IF(ISERROR(VLOOKUP($G104,DanaSehat!$L$13:$AK$56,T$4,FALSE))=TRUE,"",
              VLOOKUP($G104,DanaSehat!$L$13:$AK$56,T$4,FALSE)))</t>
  </si>
  <si>
    <t>=IF(ISNUMBER($L$6)=FALSE,"",
        IF(ISERROR(VLOOKUP($G104,DanaSehat!$L$13:$AK$56,U$4,FALSE))=TRUE,"",
              VLOOKUP($G104,DanaSehat!$L$13:$AK$56,U$4,FALSE)))</t>
  </si>
  <si>
    <t>=IF(ISNUMBER($L$6)=FALSE,"",
        IF(ISERROR(VLOOKUP($G104,DanaSehat!$L$13:$AK$56,V$4,FALSE))=TRUE,"",
              VLOOKUP($G104,DanaSehat!$L$13:$AK$56,V$4,FALSE)))</t>
  </si>
  <si>
    <t>=IF(ISNUMBER($L$6)=FALSE,"",
        IF(ISERROR(VLOOKUP($G104,DanaSehat!$L$13:$AK$56,W$4,FALSE))=TRUE,"",
              VLOOKUP($G104,DanaSehat!$L$13:$AK$56,W$4,FALSE)))</t>
  </si>
  <si>
    <t>=IF(ISNUMBER($L$6)=FALSE,"",
        IF(ISERROR(VLOOKUP($G104,DanaSehat!$L$13:$AK$56,X$4,FALSE))=TRUE,"",
              VLOOKUP($G104,DanaSehat!$L$13:$AK$56,X$4,FALSE)))</t>
  </si>
  <si>
    <t>=IF(ISNUMBER($L$6)=FALSE,"",
        IF(ISERROR(VLOOKUP($G104,DanaSehat!$L$13:$AK$56,Y$4,FALSE))=TRUE,"",
              VLOOKUP($G104,DanaSehat!$L$13:$AK$56,Y$4,FALSE)))</t>
  </si>
  <si>
    <t>=IF(ISNUMBER($L$6)=FALSE,"",
        IF(ISERROR(VLOOKUP($G104,DanaSehat!$L$13:$AK$56,Z$4,FALSE))=TRUE,"",
              VLOOKUP($G104,DanaSehat!$L$13:$AK$56,Z$4,FALSE)))</t>
  </si>
  <si>
    <t>=IF(ISNUMBER($L$6)=FALSE,"",
        IF(ISERROR(VLOOKUP($G104,DanaSehat!$L$13:$AK$56,AA$4,FALSE))=TRUE,"",
              VLOOKUP($G104,DanaSehat!$L$13:$AK$56,AA$4,FALSE)))</t>
  </si>
  <si>
    <t>=IF(ISNUMBER($L$6)=FALSE,"",
        IF(ISERROR(VLOOKUP($G104,DanaSehat!$L$13:$AK$56,AB$4,FALSE))=TRUE,"",
              VLOOKUP($G104,DanaSehat!$L$13:$AK$56,AB$4,FALSE)))</t>
  </si>
  <si>
    <t>=IF(ISNUMBER($L$6)=FALSE,"",
        IF(ISERROR(VLOOKUP($G104,DanaSehat!$L$13:$AK$56,AC$4,FALSE))=TRUE,"",
              VLOOKUP($G104,DanaSehat!$L$13:$AK$56,AC$4,FALSE)))</t>
  </si>
  <si>
    <t>=IF(ISNUMBER($L$6)=FALSE,"",
        IF(ISERROR(VLOOKUP($G104,DanaSehat!$L$13:$AK$56,AD$4,FALSE))=TRUE,"",
              VLOOKUP($G104,DanaSehat!$L$13:$AK$56,AD$4,FALSE)))</t>
  </si>
  <si>
    <t>=IF(ISNUMBER($L$6)=FALSE,"",
        IF(ISERROR(VLOOKUP($G104,DanaSehat!$L$13:$AK$56,AE$4,FALSE))=TRUE,"",
              VLOOKUP($G104,DanaSehat!$L$13:$AK$56,AE$4,FALSE)))</t>
  </si>
  <si>
    <t>=IF(ISNUMBER($L$6)=FALSE,"",
        IF(ISERROR(VLOOKUP($G104,DanaSehat!$L$13:$AK$56,AF$4,FALSE))=TRUE,"",
              VLOOKUP($G104,DanaSehat!$L$13:$AK$56,AF$4,FALSE)))</t>
  </si>
  <si>
    <t>=IF(ISNUMBER($L$6)=FALSE,"",
IF($C105=0,"",VLOOKUP($E105,DanaSehat!$H$13:$L$56,4,FALSE)))</t>
  </si>
  <si>
    <t>=IF(ISNUMBER($L$6)=FALSE,"",
IF($C105=0,"",VLOOKUP($E105,DanaSehat!$H$13:$L$56,5,FALSE)))</t>
  </si>
  <si>
    <t>=IF(ISNUMBER($L$6)=FALSE,"",
        IF(ISERROR(VLOOKUP($G105,DanaSehat!$L$13:$AK$56,I$4,FALSE))=TRUE,"",
              VLOOKUP($G105,DanaSehat!$L$13:$AK$56,I$4,FALSE)))</t>
  </si>
  <si>
    <t>=IF(ISNUMBER($L$6)=FALSE,"",
        IF(ISERROR(VLOOKUP($G105,DanaSehat!$L$13:$AK$56,J$4,FALSE))=TRUE,"",
              VLOOKUP($G105,DanaSehat!$L$13:$AK$56,J$4,FALSE)))</t>
  </si>
  <si>
    <t>=IF(ISNUMBER($L$6)=FALSE,"",
        IF(ISERROR(VLOOKUP($G105,DanaSehat!$L$13:$AK$56,K$4,FALSE))=TRUE,"",
              VLOOKUP($G105,DanaSehat!$L$13:$AK$56,K$4,FALSE)))</t>
  </si>
  <si>
    <t>=IF(ISNUMBER($L$6)=FALSE,"",
        IF(ISERROR(VLOOKUP($G105,DanaSehat!$L$13:$AK$56,L$4,FALSE))=TRUE,"",
              VLOOKUP($G105,DanaSehat!$L$13:$AK$56,L$4,FALSE)))</t>
  </si>
  <si>
    <t>=IF(ISNUMBER($L$6)=FALSE,"",
        IF(ISERROR(VLOOKUP($G105,DanaSehat!$L$13:$AK$56,M$4,FALSE))=TRUE,"",
              VLOOKUP($G105,DanaSehat!$L$13:$AK$56,M$4,FALSE)))</t>
  </si>
  <si>
    <t>=IF(ISNUMBER($L$6)=FALSE,"",
        IF(ISERROR(VLOOKUP($G105,DanaSehat!$L$13:$AK$56,N$4,FALSE))=TRUE,"",
              VLOOKUP($G105,DanaSehat!$L$13:$AK$56,N$4,FALSE)))</t>
  </si>
  <si>
    <t>=IF(ISNUMBER($L$6)=FALSE,"",
        IF(ISERROR(VLOOKUP($G105,DanaSehat!$L$13:$AK$56,O$4,FALSE))=TRUE,"",
              VLOOKUP($G105,DanaSehat!$L$13:$AK$56,O$4,FALSE)))</t>
  </si>
  <si>
    <t>=IF(ISNUMBER($L$6)=FALSE,"",
        IF(ISERROR(VLOOKUP($G105,DanaSehat!$L$13:$AK$56,P$4,FALSE))=TRUE,"",
              VLOOKUP($G105,DanaSehat!$L$13:$AK$56,P$4,FALSE)))</t>
  </si>
  <si>
    <t>=IF(ISNUMBER($L$6)=FALSE,"",
        IF(ISERROR(VLOOKUP($G105,DanaSehat!$L$13:$AK$56,Q$4,FALSE))=TRUE,"",
              VLOOKUP($G105,DanaSehat!$L$13:$AK$56,Q$4,FALSE)))</t>
  </si>
  <si>
    <t>=IF(ISNUMBER($L$6)=FALSE,"",
        IF(ISERROR(VLOOKUP($G105,DanaSehat!$L$13:$AK$56,R$4,FALSE))=TRUE,"",
              VLOOKUP($G105,DanaSehat!$L$13:$AK$56,R$4,FALSE)))</t>
  </si>
  <si>
    <t>=IF(ISNUMBER($L$6)=FALSE,"",
        IF(ISERROR(VLOOKUP($G105,DanaSehat!$L$13:$AK$56,S$4,FALSE))=TRUE,"",
              VLOOKUP($G105,DanaSehat!$L$13:$AK$56,S$4,FALSE)))</t>
  </si>
  <si>
    <t>=IF(ISNUMBER($L$6)=FALSE,"",
        IF(ISERROR(VLOOKUP($G105,DanaSehat!$L$13:$AK$56,T$4,FALSE))=TRUE,"",
              VLOOKUP($G105,DanaSehat!$L$13:$AK$56,T$4,FALSE)))</t>
  </si>
  <si>
    <t>=IF(ISNUMBER($L$6)=FALSE,"",
        IF(ISERROR(VLOOKUP($G105,DanaSehat!$L$13:$AK$56,U$4,FALSE))=TRUE,"",
              VLOOKUP($G105,DanaSehat!$L$13:$AK$56,U$4,FALSE)))</t>
  </si>
  <si>
    <t>=IF(ISNUMBER($L$6)=FALSE,"",
        IF(ISERROR(VLOOKUP($G105,DanaSehat!$L$13:$AK$56,V$4,FALSE))=TRUE,"",
              VLOOKUP($G105,DanaSehat!$L$13:$AK$56,V$4,FALSE)))</t>
  </si>
  <si>
    <t>=IF(ISNUMBER($L$6)=FALSE,"",
        IF(ISERROR(VLOOKUP($G105,DanaSehat!$L$13:$AK$56,W$4,FALSE))=TRUE,"",
              VLOOKUP($G105,DanaSehat!$L$13:$AK$56,W$4,FALSE)))</t>
  </si>
  <si>
    <t>=IF(ISNUMBER($L$6)=FALSE,"",
        IF(ISERROR(VLOOKUP($G105,DanaSehat!$L$13:$AK$56,X$4,FALSE))=TRUE,"",
              VLOOKUP($G105,DanaSehat!$L$13:$AK$56,X$4,FALSE)))</t>
  </si>
  <si>
    <t>=IF(ISNUMBER($L$6)=FALSE,"",
        IF(ISERROR(VLOOKUP($G105,DanaSehat!$L$13:$AK$56,Y$4,FALSE))=TRUE,"",
              VLOOKUP($G105,DanaSehat!$L$13:$AK$56,Y$4,FALSE)))</t>
  </si>
  <si>
    <t>=IF(ISNUMBER($L$6)=FALSE,"",
        IF(ISERROR(VLOOKUP($G105,DanaSehat!$L$13:$AK$56,Z$4,FALSE))=TRUE,"",
              VLOOKUP($G105,DanaSehat!$L$13:$AK$56,Z$4,FALSE)))</t>
  </si>
  <si>
    <t>=IF(ISNUMBER($L$6)=FALSE,"",
        IF(ISERROR(VLOOKUP($G105,DanaSehat!$L$13:$AK$56,AA$4,FALSE))=TRUE,"",
              VLOOKUP($G105,DanaSehat!$L$13:$AK$56,AA$4,FALSE)))</t>
  </si>
  <si>
    <t>=IF(ISNUMBER($L$6)=FALSE,"",
        IF(ISERROR(VLOOKUP($G105,DanaSehat!$L$13:$AK$56,AB$4,FALSE))=TRUE,"",
              VLOOKUP($G105,DanaSehat!$L$13:$AK$56,AB$4,FALSE)))</t>
  </si>
  <si>
    <t>=IF(ISNUMBER($L$6)=FALSE,"",
        IF(ISERROR(VLOOKUP($G105,DanaSehat!$L$13:$AK$56,AC$4,FALSE))=TRUE,"",
              VLOOKUP($G105,DanaSehat!$L$13:$AK$56,AC$4,FALSE)))</t>
  </si>
  <si>
    <t>=IF(ISNUMBER($L$6)=FALSE,"",
        IF(ISERROR(VLOOKUP($G105,DanaSehat!$L$13:$AK$56,AD$4,FALSE))=TRUE,"",
              VLOOKUP($G105,DanaSehat!$L$13:$AK$56,AD$4,FALSE)))</t>
  </si>
  <si>
    <t>=IF(ISNUMBER($L$6)=FALSE,"",
        IF(ISERROR(VLOOKUP($G105,DanaSehat!$L$13:$AK$56,AE$4,FALSE))=TRUE,"",
              VLOOKUP($G105,DanaSehat!$L$13:$AK$56,AE$4,FALSE)))</t>
  </si>
  <si>
    <t>=IF(ISNUMBER($L$6)=FALSE,"",
        IF(ISERROR(VLOOKUP($G105,DanaSehat!$L$13:$AK$56,AF$4,FALSE))=TRUE,"",
              VLOOKUP($G105,DanaSehat!$L$13:$AK$56,AF$4,FALSE)))</t>
  </si>
  <si>
    <t>=IF(ISNUMBER($L$6)=FALSE,"",
IF($C106=0,"",VLOOKUP($E106,DanaSehat!$H$13:$L$56,4,FALSE)))</t>
  </si>
  <si>
    <t>=IF(ISNUMBER($L$6)=FALSE,"",
IF($C106=0,"",VLOOKUP($E106,DanaSehat!$H$13:$L$56,5,FALSE)))</t>
  </si>
  <si>
    <t>=IF(ISNUMBER($L$6)=FALSE,"",
        IF(ISERROR(VLOOKUP($G106,DanaSehat!$L$13:$AK$56,I$4,FALSE))=TRUE,"",
              VLOOKUP($G106,DanaSehat!$L$13:$AK$56,I$4,FALSE)))</t>
  </si>
  <si>
    <t>=IF(ISNUMBER($L$6)=FALSE,"",
        IF(ISERROR(VLOOKUP($G106,DanaSehat!$L$13:$AK$56,J$4,FALSE))=TRUE,"",
              VLOOKUP($G106,DanaSehat!$L$13:$AK$56,J$4,FALSE)))</t>
  </si>
  <si>
    <t>=IF(ISNUMBER($L$6)=FALSE,"",
        IF(ISERROR(VLOOKUP($G106,DanaSehat!$L$13:$AK$56,K$4,FALSE))=TRUE,"",
              VLOOKUP($G106,DanaSehat!$L$13:$AK$56,K$4,FALSE)))</t>
  </si>
  <si>
    <t>=IF(ISNUMBER($L$6)=FALSE,"",
        IF(ISERROR(VLOOKUP($G106,DanaSehat!$L$13:$AK$56,L$4,FALSE))=TRUE,"",
              VLOOKUP($G106,DanaSehat!$L$13:$AK$56,L$4,FALSE)))</t>
  </si>
  <si>
    <t>=IF(ISNUMBER($L$6)=FALSE,"",
        IF(ISERROR(VLOOKUP($G106,DanaSehat!$L$13:$AK$56,M$4,FALSE))=TRUE,"",
              VLOOKUP($G106,DanaSehat!$L$13:$AK$56,M$4,FALSE)))</t>
  </si>
  <si>
    <t>=IF(ISNUMBER($L$6)=FALSE,"",
        IF(ISERROR(VLOOKUP($G106,DanaSehat!$L$13:$AK$56,N$4,FALSE))=TRUE,"",
              VLOOKUP($G106,DanaSehat!$L$13:$AK$56,N$4,FALSE)))</t>
  </si>
  <si>
    <t>=IF(ISNUMBER($L$6)=FALSE,"",
        IF(ISERROR(VLOOKUP($G106,DanaSehat!$L$13:$AK$56,O$4,FALSE))=TRUE,"",
              VLOOKUP($G106,DanaSehat!$L$13:$AK$56,O$4,FALSE)))</t>
  </si>
  <si>
    <t>=IF(ISNUMBER($L$6)=FALSE,"",
        IF(ISERROR(VLOOKUP($G106,DanaSehat!$L$13:$AK$56,P$4,FALSE))=TRUE,"",
              VLOOKUP($G106,DanaSehat!$L$13:$AK$56,P$4,FALSE)))</t>
  </si>
  <si>
    <t>=IF(ISNUMBER($L$6)=FALSE,"",
        IF(ISERROR(VLOOKUP($G106,DanaSehat!$L$13:$AK$56,Q$4,FALSE))=TRUE,"",
              VLOOKUP($G106,DanaSehat!$L$13:$AK$56,Q$4,FALSE)))</t>
  </si>
  <si>
    <t>=IF(ISNUMBER($L$6)=FALSE,"",
        IF(ISERROR(VLOOKUP($G106,DanaSehat!$L$13:$AK$56,R$4,FALSE))=TRUE,"",
              VLOOKUP($G106,DanaSehat!$L$13:$AK$56,R$4,FALSE)))</t>
  </si>
  <si>
    <t>=IF(ISNUMBER($L$6)=FALSE,"",
        IF(ISERROR(VLOOKUP($G106,DanaSehat!$L$13:$AK$56,S$4,FALSE))=TRUE,"",
              VLOOKUP($G106,DanaSehat!$L$13:$AK$56,S$4,FALSE)))</t>
  </si>
  <si>
    <t>=IF(ISNUMBER($L$6)=FALSE,"",
        IF(ISERROR(VLOOKUP($G106,DanaSehat!$L$13:$AK$56,T$4,FALSE))=TRUE,"",
              VLOOKUP($G106,DanaSehat!$L$13:$AK$56,T$4,FALSE)))</t>
  </si>
  <si>
    <t>=IF(ISNUMBER($L$6)=FALSE,"",
        IF(ISERROR(VLOOKUP($G106,DanaSehat!$L$13:$AK$56,U$4,FALSE))=TRUE,"",
              VLOOKUP($G106,DanaSehat!$L$13:$AK$56,U$4,FALSE)))</t>
  </si>
  <si>
    <t>=IF(ISNUMBER($L$6)=FALSE,"",
        IF(ISERROR(VLOOKUP($G106,DanaSehat!$L$13:$AK$56,V$4,FALSE))=TRUE,"",
              VLOOKUP($G106,DanaSehat!$L$13:$AK$56,V$4,FALSE)))</t>
  </si>
  <si>
    <t>=IF(ISNUMBER($L$6)=FALSE,"",
        IF(ISERROR(VLOOKUP($G106,DanaSehat!$L$13:$AK$56,W$4,FALSE))=TRUE,"",
              VLOOKUP($G106,DanaSehat!$L$13:$AK$56,W$4,FALSE)))</t>
  </si>
  <si>
    <t>=IF(ISNUMBER($L$6)=FALSE,"",
        IF(ISERROR(VLOOKUP($G106,DanaSehat!$L$13:$AK$56,X$4,FALSE))=TRUE,"",
              VLOOKUP($G106,DanaSehat!$L$13:$AK$56,X$4,FALSE)))</t>
  </si>
  <si>
    <t>=IF(ISNUMBER($L$6)=FALSE,"",
        IF(ISERROR(VLOOKUP($G106,DanaSehat!$L$13:$AK$56,Y$4,FALSE))=TRUE,"",
              VLOOKUP($G106,DanaSehat!$L$13:$AK$56,Y$4,FALSE)))</t>
  </si>
  <si>
    <t>=IF(ISNUMBER($L$6)=FALSE,"",
        IF(ISERROR(VLOOKUP($G106,DanaSehat!$L$13:$AK$56,Z$4,FALSE))=TRUE,"",
              VLOOKUP($G106,DanaSehat!$L$13:$AK$56,Z$4,FALSE)))</t>
  </si>
  <si>
    <t>=IF(ISNUMBER($L$6)=FALSE,"",
        IF(ISERROR(VLOOKUP($G106,DanaSehat!$L$13:$AK$56,AA$4,FALSE))=TRUE,"",
              VLOOKUP($G106,DanaSehat!$L$13:$AK$56,AA$4,FALSE)))</t>
  </si>
  <si>
    <t>=IF(ISNUMBER($L$6)=FALSE,"",
        IF(ISERROR(VLOOKUP($G106,DanaSehat!$L$13:$AK$56,AB$4,FALSE))=TRUE,"",
              VLOOKUP($G106,DanaSehat!$L$13:$AK$56,AB$4,FALSE)))</t>
  </si>
  <si>
    <t>=IF(ISNUMBER($L$6)=FALSE,"",
        IF(ISERROR(VLOOKUP($G106,DanaSehat!$L$13:$AK$56,AC$4,FALSE))=TRUE,"",
              VLOOKUP($G106,DanaSehat!$L$13:$AK$56,AC$4,FALSE)))</t>
  </si>
  <si>
    <t>=IF(ISNUMBER($L$6)=FALSE,"",
        IF(ISERROR(VLOOKUP($G106,DanaSehat!$L$13:$AK$56,AD$4,FALSE))=TRUE,"",
              VLOOKUP($G106,DanaSehat!$L$13:$AK$56,AD$4,FALSE)))</t>
  </si>
  <si>
    <t>=IF(ISNUMBER($L$6)=FALSE,"",
        IF(ISERROR(VLOOKUP($G106,DanaSehat!$L$13:$AK$56,AE$4,FALSE))=TRUE,"",
              VLOOKUP($G106,DanaSehat!$L$13:$AK$56,AE$4,FALSE)))</t>
  </si>
  <si>
    <t>=IF(ISNUMBER($L$6)=FALSE,"",
        IF(ISERROR(VLOOKUP($G106,DanaSehat!$L$13:$AK$56,AF$4,FALSE))=TRUE,"",
              VLOOKUP($G106,DanaSehat!$L$13:$AK$56,AF$4,FALSE)))</t>
  </si>
  <si>
    <t>=IF(ISNUMBER($L$6)=FALSE,"",
IF($C107=0,"",VLOOKUP($E107,DanaSehat!$H$13:$L$56,4,FALSE)))</t>
  </si>
  <si>
    <t>=IF(ISNUMBER($L$6)=FALSE,"",
IF($C107=0,"",VLOOKUP($E107,DanaSehat!$H$13:$L$56,5,FALSE)))</t>
  </si>
  <si>
    <t>=IF(ISNUMBER($L$6)=FALSE,"",
        IF(ISERROR(VLOOKUP($G107,DanaSehat!$L$13:$AK$56,I$4,FALSE))=TRUE,"",
              VLOOKUP($G107,DanaSehat!$L$13:$AK$56,I$4,FALSE)))</t>
  </si>
  <si>
    <t>=IF(ISNUMBER($L$6)=FALSE,"",
        IF(ISERROR(VLOOKUP($G107,DanaSehat!$L$13:$AK$56,J$4,FALSE))=TRUE,"",
              VLOOKUP($G107,DanaSehat!$L$13:$AK$56,J$4,FALSE)))</t>
  </si>
  <si>
    <t>=IF(ISNUMBER($L$6)=FALSE,"",
        IF(ISERROR(VLOOKUP($G107,DanaSehat!$L$13:$AK$56,K$4,FALSE))=TRUE,"",
              VLOOKUP($G107,DanaSehat!$L$13:$AK$56,K$4,FALSE)))</t>
  </si>
  <si>
    <t>=IF(ISNUMBER($L$6)=FALSE,"",
        IF(ISERROR(VLOOKUP($G107,DanaSehat!$L$13:$AK$56,L$4,FALSE))=TRUE,"",
              VLOOKUP($G107,DanaSehat!$L$13:$AK$56,L$4,FALSE)))</t>
  </si>
  <si>
    <t>=IF(ISNUMBER($L$6)=FALSE,"",
        IF(ISERROR(VLOOKUP($G107,DanaSehat!$L$13:$AK$56,M$4,FALSE))=TRUE,"",
              VLOOKUP($G107,DanaSehat!$L$13:$AK$56,M$4,FALSE)))</t>
  </si>
  <si>
    <t>=IF(ISNUMBER($L$6)=FALSE,"",
        IF(ISERROR(VLOOKUP($G107,DanaSehat!$L$13:$AK$56,N$4,FALSE))=TRUE,"",
              VLOOKUP($G107,DanaSehat!$L$13:$AK$56,N$4,FALSE)))</t>
  </si>
  <si>
    <t>=IF(ISNUMBER($L$6)=FALSE,"",
        IF(ISERROR(VLOOKUP($G107,DanaSehat!$L$13:$AK$56,O$4,FALSE))=TRUE,"",
              VLOOKUP($G107,DanaSehat!$L$13:$AK$56,O$4,FALSE)))</t>
  </si>
  <si>
    <t>=IF(ISNUMBER($L$6)=FALSE,"",
        IF(ISERROR(VLOOKUP($G107,DanaSehat!$L$13:$AK$56,P$4,FALSE))=TRUE,"",
              VLOOKUP($G107,DanaSehat!$L$13:$AK$56,P$4,FALSE)))</t>
  </si>
  <si>
    <t>=IF(ISNUMBER($L$6)=FALSE,"",
        IF(ISERROR(VLOOKUP($G107,DanaSehat!$L$13:$AK$56,Q$4,FALSE))=TRUE,"",
              VLOOKUP($G107,DanaSehat!$L$13:$AK$56,Q$4,FALSE)))</t>
  </si>
  <si>
    <t>=IF(ISNUMBER($L$6)=FALSE,"",
        IF(ISERROR(VLOOKUP($G107,DanaSehat!$L$13:$AK$56,R$4,FALSE))=TRUE,"",
              VLOOKUP($G107,DanaSehat!$L$13:$AK$56,R$4,FALSE)))</t>
  </si>
  <si>
    <t>=IF(ISNUMBER($L$6)=FALSE,"",
        IF(ISERROR(VLOOKUP($G107,DanaSehat!$L$13:$AK$56,S$4,FALSE))=TRUE,"",
              VLOOKUP($G107,DanaSehat!$L$13:$AK$56,S$4,FALSE)))</t>
  </si>
  <si>
    <t>=IF(ISNUMBER($L$6)=FALSE,"",
        IF(ISERROR(VLOOKUP($G107,DanaSehat!$L$13:$AK$56,T$4,FALSE))=TRUE,"",
              VLOOKUP($G107,DanaSehat!$L$13:$AK$56,T$4,FALSE)))</t>
  </si>
  <si>
    <t>=IF(ISNUMBER($L$6)=FALSE,"",
        IF(ISERROR(VLOOKUP($G107,DanaSehat!$L$13:$AK$56,U$4,FALSE))=TRUE,"",
              VLOOKUP($G107,DanaSehat!$L$13:$AK$56,U$4,FALSE)))</t>
  </si>
  <si>
    <t>=IF(ISNUMBER($L$6)=FALSE,"",
        IF(ISERROR(VLOOKUP($G107,DanaSehat!$L$13:$AK$56,V$4,FALSE))=TRUE,"",
              VLOOKUP($G107,DanaSehat!$L$13:$AK$56,V$4,FALSE)))</t>
  </si>
  <si>
    <t>=IF(ISNUMBER($L$6)=FALSE,"",
        IF(ISERROR(VLOOKUP($G107,DanaSehat!$L$13:$AK$56,W$4,FALSE))=TRUE,"",
              VLOOKUP($G107,DanaSehat!$L$13:$AK$56,W$4,FALSE)))</t>
  </si>
  <si>
    <t>=IF(ISNUMBER($L$6)=FALSE,"",
        IF(ISERROR(VLOOKUP($G107,DanaSehat!$L$13:$AK$56,X$4,FALSE))=TRUE,"",
              VLOOKUP($G107,DanaSehat!$L$13:$AK$56,X$4,FALSE)))</t>
  </si>
  <si>
    <t>=IF(ISNUMBER($L$6)=FALSE,"",
        IF(ISERROR(VLOOKUP($G107,DanaSehat!$L$13:$AK$56,Y$4,FALSE))=TRUE,"",
              VLOOKUP($G107,DanaSehat!$L$13:$AK$56,Y$4,FALSE)))</t>
  </si>
  <si>
    <t>=IF(ISNUMBER($L$6)=FALSE,"",
        IF(ISERROR(VLOOKUP($G107,DanaSehat!$L$13:$AK$56,Z$4,FALSE))=TRUE,"",
              VLOOKUP($G107,DanaSehat!$L$13:$AK$56,Z$4,FALSE)))</t>
  </si>
  <si>
    <t>=IF(ISNUMBER($L$6)=FALSE,"",
        IF(ISERROR(VLOOKUP($G107,DanaSehat!$L$13:$AK$56,AA$4,FALSE))=TRUE,"",
              VLOOKUP($G107,DanaSehat!$L$13:$AK$56,AA$4,FALSE)))</t>
  </si>
  <si>
    <t>=IF(ISNUMBER($L$6)=FALSE,"",
        IF(ISERROR(VLOOKUP($G107,DanaSehat!$L$13:$AK$56,AB$4,FALSE))=TRUE,"",
              VLOOKUP($G107,DanaSehat!$L$13:$AK$56,AB$4,FALSE)))</t>
  </si>
  <si>
    <t>=IF(ISNUMBER($L$6)=FALSE,"",
        IF(ISERROR(VLOOKUP($G107,DanaSehat!$L$13:$AK$56,AC$4,FALSE))=TRUE,"",
              VLOOKUP($G107,DanaSehat!$L$13:$AK$56,AC$4,FALSE)))</t>
  </si>
  <si>
    <t>=IF(ISNUMBER($L$6)=FALSE,"",
        IF(ISERROR(VLOOKUP($G107,DanaSehat!$L$13:$AK$56,AD$4,FALSE))=TRUE,"",
              VLOOKUP($G107,DanaSehat!$L$13:$AK$56,AD$4,FALSE)))</t>
  </si>
  <si>
    <t>=IF(ISNUMBER($L$6)=FALSE,"",
        IF(ISERROR(VLOOKUP($G107,DanaSehat!$L$13:$AK$56,AE$4,FALSE))=TRUE,"",
              VLOOKUP($G107,DanaSehat!$L$13:$AK$56,AE$4,FALSE)))</t>
  </si>
  <si>
    <t>=IF(ISNUMBER($L$6)=FALSE,"",
        IF(ISERROR(VLOOKUP($G107,DanaSehat!$L$13:$AK$56,AF$4,FALSE))=TRUE,"",
              VLOOKUP($G107,DanaSehat!$L$13:$AK$56,AF$4,FALSE)))</t>
  </si>
  <si>
    <t>=IF(ISNUMBER($L$6)=FALSE,"",
IF($C108=0,"",VLOOKUP($E108,DanaSehat!$H$13:$L$56,4,FALSE)))</t>
  </si>
  <si>
    <t>=IF(ISNUMBER($L$6)=FALSE,"",
IF($C108=0,"",VLOOKUP($E108,DanaSehat!$H$13:$L$56,5,FALSE)))</t>
  </si>
  <si>
    <t>=IF(ISNUMBER($L$6)=FALSE,"",
        IF(ISERROR(VLOOKUP($G108,DanaSehat!$L$13:$AK$56,I$4,FALSE))=TRUE,"",
              VLOOKUP($G108,DanaSehat!$L$13:$AK$56,I$4,FALSE)))</t>
  </si>
  <si>
    <t>=IF(ISNUMBER($L$6)=FALSE,"",
        IF(ISERROR(VLOOKUP($G108,DanaSehat!$L$13:$AK$56,J$4,FALSE))=TRUE,"",
              VLOOKUP($G108,DanaSehat!$L$13:$AK$56,J$4,FALSE)))</t>
  </si>
  <si>
    <t>=IF(ISNUMBER($L$6)=FALSE,"",
        IF(ISERROR(VLOOKUP($G108,DanaSehat!$L$13:$AK$56,K$4,FALSE))=TRUE,"",
              VLOOKUP($G108,DanaSehat!$L$13:$AK$56,K$4,FALSE)))</t>
  </si>
  <si>
    <t>=IF(ISNUMBER($L$6)=FALSE,"",
        IF(ISERROR(VLOOKUP($G108,DanaSehat!$L$13:$AK$56,L$4,FALSE))=TRUE,"",
              VLOOKUP($G108,DanaSehat!$L$13:$AK$56,L$4,FALSE)))</t>
  </si>
  <si>
    <t>=IF(ISNUMBER($L$6)=FALSE,"",
        IF(ISERROR(VLOOKUP($G108,DanaSehat!$L$13:$AK$56,M$4,FALSE))=TRUE,"",
              VLOOKUP($G108,DanaSehat!$L$13:$AK$56,M$4,FALSE)))</t>
  </si>
  <si>
    <t>=IF(ISNUMBER($L$6)=FALSE,"",
        IF(ISERROR(VLOOKUP($G108,DanaSehat!$L$13:$AK$56,N$4,FALSE))=TRUE,"",
              VLOOKUP($G108,DanaSehat!$L$13:$AK$56,N$4,FALSE)))</t>
  </si>
  <si>
    <t>=IF(ISNUMBER($L$6)=FALSE,"",
        IF(ISERROR(VLOOKUP($G108,DanaSehat!$L$13:$AK$56,O$4,FALSE))=TRUE,"",
              VLOOKUP($G108,DanaSehat!$L$13:$AK$56,O$4,FALSE)))</t>
  </si>
  <si>
    <t>=IF(ISNUMBER($L$6)=FALSE,"",
        IF(ISERROR(VLOOKUP($G108,DanaSehat!$L$13:$AK$56,P$4,FALSE))=TRUE,"",
              VLOOKUP($G108,DanaSehat!$L$13:$AK$56,P$4,FALSE)))</t>
  </si>
  <si>
    <t>=IF(ISNUMBER($L$6)=FALSE,"",
        IF(ISERROR(VLOOKUP($G108,DanaSehat!$L$13:$AK$56,Q$4,FALSE))=TRUE,"",
              VLOOKUP($G108,DanaSehat!$L$13:$AK$56,Q$4,FALSE)))</t>
  </si>
  <si>
    <t>=IF(ISNUMBER($L$6)=FALSE,"",
        IF(ISERROR(VLOOKUP($G108,DanaSehat!$L$13:$AK$56,R$4,FALSE))=TRUE,"",
              VLOOKUP($G108,DanaSehat!$L$13:$AK$56,R$4,FALSE)))</t>
  </si>
  <si>
    <t>=IF(ISNUMBER($L$6)=FALSE,"",
        IF(ISERROR(VLOOKUP($G108,DanaSehat!$L$13:$AK$56,S$4,FALSE))=TRUE,"",
              VLOOKUP($G108,DanaSehat!$L$13:$AK$56,S$4,FALSE)))</t>
  </si>
  <si>
    <t>=IF(ISNUMBER($L$6)=FALSE,"",
        IF(ISERROR(VLOOKUP($G108,DanaSehat!$L$13:$AK$56,T$4,FALSE))=TRUE,"",
              VLOOKUP($G108,DanaSehat!$L$13:$AK$56,T$4,FALSE)))</t>
  </si>
  <si>
    <t>=IF(ISNUMBER($L$6)=FALSE,"",
        IF(ISERROR(VLOOKUP($G108,DanaSehat!$L$13:$AK$56,U$4,FALSE))=TRUE,"",
              VLOOKUP($G108,DanaSehat!$L$13:$AK$56,U$4,FALSE)))</t>
  </si>
  <si>
    <t>=IF(ISNUMBER($L$6)=FALSE,"",
        IF(ISERROR(VLOOKUP($G108,DanaSehat!$L$13:$AK$56,V$4,FALSE))=TRUE,"",
              VLOOKUP($G108,DanaSehat!$L$13:$AK$56,V$4,FALSE)))</t>
  </si>
  <si>
    <t>=IF(ISNUMBER($L$6)=FALSE,"",
        IF(ISERROR(VLOOKUP($G108,DanaSehat!$L$13:$AK$56,W$4,FALSE))=TRUE,"",
              VLOOKUP($G108,DanaSehat!$L$13:$AK$56,W$4,FALSE)))</t>
  </si>
  <si>
    <t>=IF(ISNUMBER($L$6)=FALSE,"",
        IF(ISERROR(VLOOKUP($G108,DanaSehat!$L$13:$AK$56,X$4,FALSE))=TRUE,"",
              VLOOKUP($G108,DanaSehat!$L$13:$AK$56,X$4,FALSE)))</t>
  </si>
  <si>
    <t>=IF(ISNUMBER($L$6)=FALSE,"",
        IF(ISERROR(VLOOKUP($G108,DanaSehat!$L$13:$AK$56,Y$4,FALSE))=TRUE,"",
              VLOOKUP($G108,DanaSehat!$L$13:$AK$56,Y$4,FALSE)))</t>
  </si>
  <si>
    <t>=IF(ISNUMBER($L$6)=FALSE,"",
        IF(ISERROR(VLOOKUP($G108,DanaSehat!$L$13:$AK$56,Z$4,FALSE))=TRUE,"",
              VLOOKUP($G108,DanaSehat!$L$13:$AK$56,Z$4,FALSE)))</t>
  </si>
  <si>
    <t>=IF(ISNUMBER($L$6)=FALSE,"",
        IF(ISERROR(VLOOKUP($G108,DanaSehat!$L$13:$AK$56,AA$4,FALSE))=TRUE,"",
              VLOOKUP($G108,DanaSehat!$L$13:$AK$56,AA$4,FALSE)))</t>
  </si>
  <si>
    <t>=IF(ISNUMBER($L$6)=FALSE,"",
        IF(ISERROR(VLOOKUP($G108,DanaSehat!$L$13:$AK$56,AB$4,FALSE))=TRUE,"",
              VLOOKUP($G108,DanaSehat!$L$13:$AK$56,AB$4,FALSE)))</t>
  </si>
  <si>
    <t>=IF(ISNUMBER($L$6)=FALSE,"",
        IF(ISERROR(VLOOKUP($G108,DanaSehat!$L$13:$AK$56,AC$4,FALSE))=TRUE,"",
              VLOOKUP($G108,DanaSehat!$L$13:$AK$56,AC$4,FALSE)))</t>
  </si>
  <si>
    <t>=IF(ISNUMBER($L$6)=FALSE,"",
        IF(ISERROR(VLOOKUP($G108,DanaSehat!$L$13:$AK$56,AD$4,FALSE))=TRUE,"",
              VLOOKUP($G108,DanaSehat!$L$13:$AK$56,AD$4,FALSE)))</t>
  </si>
  <si>
    <t>=IF(ISNUMBER($L$6)=FALSE,"",
        IF(ISERROR(VLOOKUP($G108,DanaSehat!$L$13:$AK$56,AE$4,FALSE))=TRUE,"",
              VLOOKUP($G108,DanaSehat!$L$13:$AK$56,AE$4,FALSE)))</t>
  </si>
  <si>
    <t>=IF(ISNUMBER($L$6)=FALSE,"",
        IF(ISERROR(VLOOKUP($G108,DanaSehat!$L$13:$AK$56,AF$4,FALSE))=TRUE,"",
              VLOOKUP($G108,DanaSehat!$L$13:$AK$56,AF$4,FALSE)))</t>
  </si>
  <si>
    <t>=IF(ISNUMBER($L$6)=FALSE,"",
IF($C109=0,"",VLOOKUP($E109,DanaSehat!$H$13:$L$56,4,FALSE)))</t>
  </si>
  <si>
    <t>=IF(ISNUMBER($L$6)=FALSE,"",
IF($C109=0,"",VLOOKUP($E109,DanaSehat!$H$13:$L$56,5,FALSE)))</t>
  </si>
  <si>
    <t>=IF(ISNUMBER($L$6)=FALSE,"",
        IF(ISERROR(VLOOKUP($G109,DanaSehat!$L$13:$AK$56,I$4,FALSE))=TRUE,"",
              VLOOKUP($G109,DanaSehat!$L$13:$AK$56,I$4,FALSE)))</t>
  </si>
  <si>
    <t>=IF(ISNUMBER($L$6)=FALSE,"",
        IF(ISERROR(VLOOKUP($G109,DanaSehat!$L$13:$AK$56,J$4,FALSE))=TRUE,"",
              VLOOKUP($G109,DanaSehat!$L$13:$AK$56,J$4,FALSE)))</t>
  </si>
  <si>
    <t>=IF(ISNUMBER($L$6)=FALSE,"",
        IF(ISERROR(VLOOKUP($G109,DanaSehat!$L$13:$AK$56,K$4,FALSE))=TRUE,"",
              VLOOKUP($G109,DanaSehat!$L$13:$AK$56,K$4,FALSE)))</t>
  </si>
  <si>
    <t>=IF(ISNUMBER($L$6)=FALSE,"",
        IF(ISERROR(VLOOKUP($G109,DanaSehat!$L$13:$AK$56,L$4,FALSE))=TRUE,"",
              VLOOKUP($G109,DanaSehat!$L$13:$AK$56,L$4,FALSE)))</t>
  </si>
  <si>
    <t>=IF(ISNUMBER($L$6)=FALSE,"",
        IF(ISERROR(VLOOKUP($G109,DanaSehat!$L$13:$AK$56,M$4,FALSE))=TRUE,"",
              VLOOKUP($G109,DanaSehat!$L$13:$AK$56,M$4,FALSE)))</t>
  </si>
  <si>
    <t>=IF(ISNUMBER($L$6)=FALSE,"",
        IF(ISERROR(VLOOKUP($G109,DanaSehat!$L$13:$AK$56,N$4,FALSE))=TRUE,"",
              VLOOKUP($G109,DanaSehat!$L$13:$AK$56,N$4,FALSE)))</t>
  </si>
  <si>
    <t>=IF(ISNUMBER($L$6)=FALSE,"",
        IF(ISERROR(VLOOKUP($G109,DanaSehat!$L$13:$AK$56,O$4,FALSE))=TRUE,"",
              VLOOKUP($G109,DanaSehat!$L$13:$AK$56,O$4,FALSE)))</t>
  </si>
  <si>
    <t>=IF(ISNUMBER($L$6)=FALSE,"",
        IF(ISERROR(VLOOKUP($G109,DanaSehat!$L$13:$AK$56,P$4,FALSE))=TRUE,"",
              VLOOKUP($G109,DanaSehat!$L$13:$AK$56,P$4,FALSE)))</t>
  </si>
  <si>
    <t>=IF(ISNUMBER($L$6)=FALSE,"",
        IF(ISERROR(VLOOKUP($G109,DanaSehat!$L$13:$AK$56,Q$4,FALSE))=TRUE,"",
              VLOOKUP($G109,DanaSehat!$L$13:$AK$56,Q$4,FALSE)))</t>
  </si>
  <si>
    <t>=IF(ISNUMBER($L$6)=FALSE,"",
        IF(ISERROR(VLOOKUP($G109,DanaSehat!$L$13:$AK$56,R$4,FALSE))=TRUE,"",
              VLOOKUP($G109,DanaSehat!$L$13:$AK$56,R$4,FALSE)))</t>
  </si>
  <si>
    <t>=IF(ISNUMBER($L$6)=FALSE,"",
        IF(ISERROR(VLOOKUP($G109,DanaSehat!$L$13:$AK$56,S$4,FALSE))=TRUE,"",
              VLOOKUP($G109,DanaSehat!$L$13:$AK$56,S$4,FALSE)))</t>
  </si>
  <si>
    <t>=IF(ISNUMBER($L$6)=FALSE,"",
        IF(ISERROR(VLOOKUP($G109,DanaSehat!$L$13:$AK$56,T$4,FALSE))=TRUE,"",
              VLOOKUP($G109,DanaSehat!$L$13:$AK$56,T$4,FALSE)))</t>
  </si>
  <si>
    <t>=IF(ISNUMBER($L$6)=FALSE,"",
        IF(ISERROR(VLOOKUP($G109,DanaSehat!$L$13:$AK$56,U$4,FALSE))=TRUE,"",
              VLOOKUP($G109,DanaSehat!$L$13:$AK$56,U$4,FALSE)))</t>
  </si>
  <si>
    <t>=IF(ISNUMBER($L$6)=FALSE,"",
        IF(ISERROR(VLOOKUP($G109,DanaSehat!$L$13:$AK$56,V$4,FALSE))=TRUE,"",
              VLOOKUP($G109,DanaSehat!$L$13:$AK$56,V$4,FALSE)))</t>
  </si>
  <si>
    <t>=IF(ISNUMBER($L$6)=FALSE,"",
        IF(ISERROR(VLOOKUP($G109,DanaSehat!$L$13:$AK$56,W$4,FALSE))=TRUE,"",
              VLOOKUP($G109,DanaSehat!$L$13:$AK$56,W$4,FALSE)))</t>
  </si>
  <si>
    <t>=IF(ISNUMBER($L$6)=FALSE,"",
        IF(ISERROR(VLOOKUP($G109,DanaSehat!$L$13:$AK$56,X$4,FALSE))=TRUE,"",
              VLOOKUP($G109,DanaSehat!$L$13:$AK$56,X$4,FALSE)))</t>
  </si>
  <si>
    <t>=IF(ISNUMBER($L$6)=FALSE,"",
        IF(ISERROR(VLOOKUP($G109,DanaSehat!$L$13:$AK$56,Y$4,FALSE))=TRUE,"",
              VLOOKUP($G109,DanaSehat!$L$13:$AK$56,Y$4,FALSE)))</t>
  </si>
  <si>
    <t>=IF(ISNUMBER($L$6)=FALSE,"",
        IF(ISERROR(VLOOKUP($G109,DanaSehat!$L$13:$AK$56,Z$4,FALSE))=TRUE,"",
              VLOOKUP($G109,DanaSehat!$L$13:$AK$56,Z$4,FALSE)))</t>
  </si>
  <si>
    <t>=IF(ISNUMBER($L$6)=FALSE,"",
        IF(ISERROR(VLOOKUP($G109,DanaSehat!$L$13:$AK$56,AA$4,FALSE))=TRUE,"",
              VLOOKUP($G109,DanaSehat!$L$13:$AK$56,AA$4,FALSE)))</t>
  </si>
  <si>
    <t>=IF(ISNUMBER($L$6)=FALSE,"",
        IF(ISERROR(VLOOKUP($G109,DanaSehat!$L$13:$AK$56,AB$4,FALSE))=TRUE,"",
              VLOOKUP($G109,DanaSehat!$L$13:$AK$56,AB$4,FALSE)))</t>
  </si>
  <si>
    <t>=IF(ISNUMBER($L$6)=FALSE,"",
        IF(ISERROR(VLOOKUP($G109,DanaSehat!$L$13:$AK$56,AC$4,FALSE))=TRUE,"",
              VLOOKUP($G109,DanaSehat!$L$13:$AK$56,AC$4,FALSE)))</t>
  </si>
  <si>
    <t>=IF(ISNUMBER($L$6)=FALSE,"",
        IF(ISERROR(VLOOKUP($G109,DanaSehat!$L$13:$AK$56,AD$4,FALSE))=TRUE,"",
              VLOOKUP($G109,DanaSehat!$L$13:$AK$56,AD$4,FALSE)))</t>
  </si>
  <si>
    <t>=IF(ISNUMBER($L$6)=FALSE,"",
        IF(ISERROR(VLOOKUP($G109,DanaSehat!$L$13:$AK$56,AE$4,FALSE))=TRUE,"",
              VLOOKUP($G109,DanaSehat!$L$13:$AK$56,AE$4,FALSE)))</t>
  </si>
  <si>
    <t>=IF(ISNUMBER($L$6)=FALSE,"",
        IF(ISERROR(VLOOKUP($G109,DanaSehat!$L$13:$AK$56,AF$4,FALSE))=TRUE,"",
              VLOOKUP($G109,DanaSehat!$L$13:$AK$56,AF$4,FALSE)))</t>
  </si>
  <si>
    <t>=IF(ISNUMBER($L$6)=FALSE,"",
IF($C110=0,"",VLOOKUP($E110,DanaSehat!$H$13:$L$56,4,FALSE)))</t>
  </si>
  <si>
    <t>=IF(ISNUMBER($L$6)=FALSE,"",
IF($C110=0,"",VLOOKUP($E110,DanaSehat!$H$13:$L$56,5,FALSE)))</t>
  </si>
  <si>
    <t>=IF(ISNUMBER($L$6)=FALSE,"",
        IF(ISERROR(VLOOKUP($G110,DanaSehat!$L$13:$AK$56,I$4,FALSE))=TRUE,"",
              VLOOKUP($G110,DanaSehat!$L$13:$AK$56,I$4,FALSE)))</t>
  </si>
  <si>
    <t>=IF(ISNUMBER($L$6)=FALSE,"",
        IF(ISERROR(VLOOKUP($G110,DanaSehat!$L$13:$AK$56,J$4,FALSE))=TRUE,"",
              VLOOKUP($G110,DanaSehat!$L$13:$AK$56,J$4,FALSE)))</t>
  </si>
  <si>
    <t>=IF(ISNUMBER($L$6)=FALSE,"",
        IF(ISERROR(VLOOKUP($G110,DanaSehat!$L$13:$AK$56,K$4,FALSE))=TRUE,"",
              VLOOKUP($G110,DanaSehat!$L$13:$AK$56,K$4,FALSE)))</t>
  </si>
  <si>
    <t>=IF(ISNUMBER($L$6)=FALSE,"",
        IF(ISERROR(VLOOKUP($G110,DanaSehat!$L$13:$AK$56,L$4,FALSE))=TRUE,"",
              VLOOKUP($G110,DanaSehat!$L$13:$AK$56,L$4,FALSE)))</t>
  </si>
  <si>
    <t>=IF(ISNUMBER($L$6)=FALSE,"",
        IF(ISERROR(VLOOKUP($G110,DanaSehat!$L$13:$AK$56,M$4,FALSE))=TRUE,"",
              VLOOKUP($G110,DanaSehat!$L$13:$AK$56,M$4,FALSE)))</t>
  </si>
  <si>
    <t>=IF(ISNUMBER($L$6)=FALSE,"",
        IF(ISERROR(VLOOKUP($G110,DanaSehat!$L$13:$AK$56,N$4,FALSE))=TRUE,"",
              VLOOKUP($G110,DanaSehat!$L$13:$AK$56,N$4,FALSE)))</t>
  </si>
  <si>
    <t>=IF(ISNUMBER($L$6)=FALSE,"",
        IF(ISERROR(VLOOKUP($G110,DanaSehat!$L$13:$AK$56,O$4,FALSE))=TRUE,"",
              VLOOKUP($G110,DanaSehat!$L$13:$AK$56,O$4,FALSE)))</t>
  </si>
  <si>
    <t>=IF(ISNUMBER($L$6)=FALSE,"",
        IF(ISERROR(VLOOKUP($G110,DanaSehat!$L$13:$AK$56,P$4,FALSE))=TRUE,"",
              VLOOKUP($G110,DanaSehat!$L$13:$AK$56,P$4,FALSE)))</t>
  </si>
  <si>
    <t>=IF(ISNUMBER($L$6)=FALSE,"",
        IF(ISERROR(VLOOKUP($G110,DanaSehat!$L$13:$AK$56,Q$4,FALSE))=TRUE,"",
              VLOOKUP($G110,DanaSehat!$L$13:$AK$56,Q$4,FALSE)))</t>
  </si>
  <si>
    <t>=IF(ISNUMBER($L$6)=FALSE,"",
        IF(ISERROR(VLOOKUP($G110,DanaSehat!$L$13:$AK$56,R$4,FALSE))=TRUE,"",
              VLOOKUP($G110,DanaSehat!$L$13:$AK$56,R$4,FALSE)))</t>
  </si>
  <si>
    <t>=IF(ISNUMBER($L$6)=FALSE,"",
        IF(ISERROR(VLOOKUP($G110,DanaSehat!$L$13:$AK$56,S$4,FALSE))=TRUE,"",
              VLOOKUP($G110,DanaSehat!$L$13:$AK$56,S$4,FALSE)))</t>
  </si>
  <si>
    <t>=IF(ISNUMBER($L$6)=FALSE,"",
        IF(ISERROR(VLOOKUP($G110,DanaSehat!$L$13:$AK$56,T$4,FALSE))=TRUE,"",
              VLOOKUP($G110,DanaSehat!$L$13:$AK$56,T$4,FALSE)))</t>
  </si>
  <si>
    <t>=IF(ISNUMBER($L$6)=FALSE,"",
        IF(ISERROR(VLOOKUP($G110,DanaSehat!$L$13:$AK$56,U$4,FALSE))=TRUE,"",
              VLOOKUP($G110,DanaSehat!$L$13:$AK$56,U$4,FALSE)))</t>
  </si>
  <si>
    <t>=IF(ISNUMBER($L$6)=FALSE,"",
        IF(ISERROR(VLOOKUP($G110,DanaSehat!$L$13:$AK$56,V$4,FALSE))=TRUE,"",
              VLOOKUP($G110,DanaSehat!$L$13:$AK$56,V$4,FALSE)))</t>
  </si>
  <si>
    <t>=IF(ISNUMBER($L$6)=FALSE,"",
        IF(ISERROR(VLOOKUP($G110,DanaSehat!$L$13:$AK$56,W$4,FALSE))=TRUE,"",
              VLOOKUP($G110,DanaSehat!$L$13:$AK$56,W$4,FALSE)))</t>
  </si>
  <si>
    <t>=IF(ISNUMBER($L$6)=FALSE,"",
        IF(ISERROR(VLOOKUP($G110,DanaSehat!$L$13:$AK$56,X$4,FALSE))=TRUE,"",
              VLOOKUP($G110,DanaSehat!$L$13:$AK$56,X$4,FALSE)))</t>
  </si>
  <si>
    <t>=IF(ISNUMBER($L$6)=FALSE,"",
        IF(ISERROR(VLOOKUP($G110,DanaSehat!$L$13:$AK$56,Y$4,FALSE))=TRUE,"",
              VLOOKUP($G110,DanaSehat!$L$13:$AK$56,Y$4,FALSE)))</t>
  </si>
  <si>
    <t>=IF(ISNUMBER($L$6)=FALSE,"",
        IF(ISERROR(VLOOKUP($G110,DanaSehat!$L$13:$AK$56,Z$4,FALSE))=TRUE,"",
              VLOOKUP($G110,DanaSehat!$L$13:$AK$56,Z$4,FALSE)))</t>
  </si>
  <si>
    <t>=IF(ISNUMBER($L$6)=FALSE,"",
        IF(ISERROR(VLOOKUP($G110,DanaSehat!$L$13:$AK$56,AA$4,FALSE))=TRUE,"",
              VLOOKUP($G110,DanaSehat!$L$13:$AK$56,AA$4,FALSE)))</t>
  </si>
  <si>
    <t>=IF(ISNUMBER($L$6)=FALSE,"",
        IF(ISERROR(VLOOKUP($G110,DanaSehat!$L$13:$AK$56,AB$4,FALSE))=TRUE,"",
              VLOOKUP($G110,DanaSehat!$L$13:$AK$56,AB$4,FALSE)))</t>
  </si>
  <si>
    <t>=IF(ISNUMBER($L$6)=FALSE,"",
        IF(ISERROR(VLOOKUP($G110,DanaSehat!$L$13:$AK$56,AC$4,FALSE))=TRUE,"",
              VLOOKUP($G110,DanaSehat!$L$13:$AK$56,AC$4,FALSE)))</t>
  </si>
  <si>
    <t>=IF(ISNUMBER($L$6)=FALSE,"",
        IF(ISERROR(VLOOKUP($G110,DanaSehat!$L$13:$AK$56,AD$4,FALSE))=TRUE,"",
              VLOOKUP($G110,DanaSehat!$L$13:$AK$56,AD$4,FALSE)))</t>
  </si>
  <si>
    <t>=IF(ISNUMBER($L$6)=FALSE,"",
        IF(ISERROR(VLOOKUP($G110,DanaSehat!$L$13:$AK$56,AE$4,FALSE))=TRUE,"",
              VLOOKUP($G110,DanaSehat!$L$13:$AK$56,AE$4,FALSE)))</t>
  </si>
  <si>
    <t>=IF(ISNUMBER($L$6)=FALSE,"",
        IF(ISERROR(VLOOKUP($G110,DanaSehat!$L$13:$AK$56,AF$4,FALSE))=TRUE,"",
              VLOOKUP($G110,DanaSehat!$L$13:$AK$56,AF$4,FALSE)))</t>
  </si>
  <si>
    <t>=IF(ISNUMBER($L$6)=FALSE,"",
IF($C111=0,"",VLOOKUP($E111,DanaSehat!$H$13:$L$56,4,FALSE)))</t>
  </si>
  <si>
    <t>=IF(ISNUMBER($L$6)=FALSE,"",
IF($C111=0,"",VLOOKUP($E111,DanaSehat!$H$13:$L$56,5,FALSE)))</t>
  </si>
  <si>
    <t>=IF(ISNUMBER($L$6)=FALSE,"",
        IF(ISERROR(VLOOKUP($G111,DanaSehat!$L$13:$AK$56,I$4,FALSE))=TRUE,"",
              VLOOKUP($G111,DanaSehat!$L$13:$AK$56,I$4,FALSE)))</t>
  </si>
  <si>
    <t>=IF(ISNUMBER($L$6)=FALSE,"",
        IF(ISERROR(VLOOKUP($G111,DanaSehat!$L$13:$AK$56,J$4,FALSE))=TRUE,"",
              VLOOKUP($G111,DanaSehat!$L$13:$AK$56,J$4,FALSE)))</t>
  </si>
  <si>
    <t>=IF(ISNUMBER($L$6)=FALSE,"",
        IF(ISERROR(VLOOKUP($G111,DanaSehat!$L$13:$AK$56,K$4,FALSE))=TRUE,"",
              VLOOKUP($G111,DanaSehat!$L$13:$AK$56,K$4,FALSE)))</t>
  </si>
  <si>
    <t>=IF(ISNUMBER($L$6)=FALSE,"",
        IF(ISERROR(VLOOKUP($G111,DanaSehat!$L$13:$AK$56,L$4,FALSE))=TRUE,"",
              VLOOKUP($G111,DanaSehat!$L$13:$AK$56,L$4,FALSE)))</t>
  </si>
  <si>
    <t>=IF(ISNUMBER($L$6)=FALSE,"",
        IF(ISERROR(VLOOKUP($G111,DanaSehat!$L$13:$AK$56,M$4,FALSE))=TRUE,"",
              VLOOKUP($G111,DanaSehat!$L$13:$AK$56,M$4,FALSE)))</t>
  </si>
  <si>
    <t>=IF(ISNUMBER($L$6)=FALSE,"",
        IF(ISERROR(VLOOKUP($G111,DanaSehat!$L$13:$AK$56,N$4,FALSE))=TRUE,"",
              VLOOKUP($G111,DanaSehat!$L$13:$AK$56,N$4,FALSE)))</t>
  </si>
  <si>
    <t>=IF(ISNUMBER($L$6)=FALSE,"",
        IF(ISERROR(VLOOKUP($G111,DanaSehat!$L$13:$AK$56,O$4,FALSE))=TRUE,"",
              VLOOKUP($G111,DanaSehat!$L$13:$AK$56,O$4,FALSE)))</t>
  </si>
  <si>
    <t>=IF(ISNUMBER($L$6)=FALSE,"",
        IF(ISERROR(VLOOKUP($G111,DanaSehat!$L$13:$AK$56,P$4,FALSE))=TRUE,"",
              VLOOKUP($G111,DanaSehat!$L$13:$AK$56,P$4,FALSE)))</t>
  </si>
  <si>
    <t>=IF(ISNUMBER($L$6)=FALSE,"",
        IF(ISERROR(VLOOKUP($G111,DanaSehat!$L$13:$AK$56,Q$4,FALSE))=TRUE,"",
              VLOOKUP($G111,DanaSehat!$L$13:$AK$56,Q$4,FALSE)))</t>
  </si>
  <si>
    <t>=IF(ISNUMBER($L$6)=FALSE,"",
        IF(ISERROR(VLOOKUP($G111,DanaSehat!$L$13:$AK$56,R$4,FALSE))=TRUE,"",
              VLOOKUP($G111,DanaSehat!$L$13:$AK$56,R$4,FALSE)))</t>
  </si>
  <si>
    <t>=IF(ISNUMBER($L$6)=FALSE,"",
        IF(ISERROR(VLOOKUP($G111,DanaSehat!$L$13:$AK$56,S$4,FALSE))=TRUE,"",
              VLOOKUP($G111,DanaSehat!$L$13:$AK$56,S$4,FALSE)))</t>
  </si>
  <si>
    <t>=IF(ISNUMBER($L$6)=FALSE,"",
        IF(ISERROR(VLOOKUP($G111,DanaSehat!$L$13:$AK$56,T$4,FALSE))=TRUE,"",
              VLOOKUP($G111,DanaSehat!$L$13:$AK$56,T$4,FALSE)))</t>
  </si>
  <si>
    <t>=IF(ISNUMBER($L$6)=FALSE,"",
        IF(ISERROR(VLOOKUP($G111,DanaSehat!$L$13:$AK$56,U$4,FALSE))=TRUE,"",
              VLOOKUP($G111,DanaSehat!$L$13:$AK$56,U$4,FALSE)))</t>
  </si>
  <si>
    <t>=IF(ISNUMBER($L$6)=FALSE,"",
        IF(ISERROR(VLOOKUP($G111,DanaSehat!$L$13:$AK$56,V$4,FALSE))=TRUE,"",
              VLOOKUP($G111,DanaSehat!$L$13:$AK$56,V$4,FALSE)))</t>
  </si>
  <si>
    <t>=IF(ISNUMBER($L$6)=FALSE,"",
        IF(ISERROR(VLOOKUP($G111,DanaSehat!$L$13:$AK$56,W$4,FALSE))=TRUE,"",
              VLOOKUP($G111,DanaSehat!$L$13:$AK$56,W$4,FALSE)))</t>
  </si>
  <si>
    <t>=IF(ISNUMBER($L$6)=FALSE,"",
        IF(ISERROR(VLOOKUP($G111,DanaSehat!$L$13:$AK$56,X$4,FALSE))=TRUE,"",
              VLOOKUP($G111,DanaSehat!$L$13:$AK$56,X$4,FALSE)))</t>
  </si>
  <si>
    <t>=IF(ISNUMBER($L$6)=FALSE,"",
        IF(ISERROR(VLOOKUP($G111,DanaSehat!$L$13:$AK$56,Y$4,FALSE))=TRUE,"",
              VLOOKUP($G111,DanaSehat!$L$13:$AK$56,Y$4,FALSE)))</t>
  </si>
  <si>
    <t>=IF(ISNUMBER($L$6)=FALSE,"",
        IF(ISERROR(VLOOKUP($G111,DanaSehat!$L$13:$AK$56,Z$4,FALSE))=TRUE,"",
              VLOOKUP($G111,DanaSehat!$L$13:$AK$56,Z$4,FALSE)))</t>
  </si>
  <si>
    <t>=IF(ISNUMBER($L$6)=FALSE,"",
        IF(ISERROR(VLOOKUP($G111,DanaSehat!$L$13:$AK$56,AA$4,FALSE))=TRUE,"",
              VLOOKUP($G111,DanaSehat!$L$13:$AK$56,AA$4,FALSE)))</t>
  </si>
  <si>
    <t>=IF(ISNUMBER($L$6)=FALSE,"",
        IF(ISERROR(VLOOKUP($G111,DanaSehat!$L$13:$AK$56,AB$4,FALSE))=TRUE,"",
              VLOOKUP($G111,DanaSehat!$L$13:$AK$56,AB$4,FALSE)))</t>
  </si>
  <si>
    <t>=IF(ISNUMBER($L$6)=FALSE,"",
        IF(ISERROR(VLOOKUP($G111,DanaSehat!$L$13:$AK$56,AC$4,FALSE))=TRUE,"",
              VLOOKUP($G111,DanaSehat!$L$13:$AK$56,AC$4,FALSE)))</t>
  </si>
  <si>
    <t>=IF(ISNUMBER($L$6)=FALSE,"",
        IF(ISERROR(VLOOKUP($G111,DanaSehat!$L$13:$AK$56,AD$4,FALSE))=TRUE,"",
              VLOOKUP($G111,DanaSehat!$L$13:$AK$56,AD$4,FALSE)))</t>
  </si>
  <si>
    <t>=IF(ISNUMBER($L$6)=FALSE,"",
        IF(ISERROR(VLOOKUP($G111,DanaSehat!$L$13:$AK$56,AE$4,FALSE))=TRUE,"",
              VLOOKUP($G111,DanaSehat!$L$13:$AK$56,AE$4,FALSE)))</t>
  </si>
  <si>
    <t>=IF(ISNUMBER($L$6)=FALSE,"",
        IF(ISERROR(VLOOKUP($G111,DanaSehat!$L$13:$AK$56,AF$4,FALSE))=TRUE,"",
              VLOOKUP($G111,DanaSehat!$L$13:$AK$56,AF$4,FALSE)))</t>
  </si>
  <si>
    <t>=IF(ISNUMBER($L$6)=FALSE,"",
IF($C112=0,"",VLOOKUP($E112,DanaSehat!$H$13:$L$56,4,FALSE)))</t>
  </si>
  <si>
    <t>=IF(ISNUMBER($L$6)=FALSE,"",
IF($C112=0,"",VLOOKUP($E112,DanaSehat!$H$13:$L$56,5,FALSE)))</t>
  </si>
  <si>
    <t>=IF(ISNUMBER($L$6)=FALSE,"",
        IF(ISERROR(VLOOKUP($G112,DanaSehat!$L$13:$AK$56,I$4,FALSE))=TRUE,"",
              VLOOKUP($G112,DanaSehat!$L$13:$AK$56,I$4,FALSE)))</t>
  </si>
  <si>
    <t>=IF(ISNUMBER($L$6)=FALSE,"",
        IF(ISERROR(VLOOKUP($G112,DanaSehat!$L$13:$AK$56,J$4,FALSE))=TRUE,"",
              VLOOKUP($G112,DanaSehat!$L$13:$AK$56,J$4,FALSE)))</t>
  </si>
  <si>
    <t>=IF(ISNUMBER($L$6)=FALSE,"",
        IF(ISERROR(VLOOKUP($G112,DanaSehat!$L$13:$AK$56,K$4,FALSE))=TRUE,"",
              VLOOKUP($G112,DanaSehat!$L$13:$AK$56,K$4,FALSE)))</t>
  </si>
  <si>
    <t>=IF(ISNUMBER($L$6)=FALSE,"",
        IF(ISERROR(VLOOKUP($G112,DanaSehat!$L$13:$AK$56,L$4,FALSE))=TRUE,"",
              VLOOKUP($G112,DanaSehat!$L$13:$AK$56,L$4,FALSE)))</t>
  </si>
  <si>
    <t>=IF(ISNUMBER($L$6)=FALSE,"",
        IF(ISERROR(VLOOKUP($G112,DanaSehat!$L$13:$AK$56,M$4,FALSE))=TRUE,"",
              VLOOKUP($G112,DanaSehat!$L$13:$AK$56,M$4,FALSE)))</t>
  </si>
  <si>
    <t>=IF(ISNUMBER($L$6)=FALSE,"",
        IF(ISERROR(VLOOKUP($G112,DanaSehat!$L$13:$AK$56,N$4,FALSE))=TRUE,"",
              VLOOKUP($G112,DanaSehat!$L$13:$AK$56,N$4,FALSE)))</t>
  </si>
  <si>
    <t>=IF(ISNUMBER($L$6)=FALSE,"",
        IF(ISERROR(VLOOKUP($G112,DanaSehat!$L$13:$AK$56,O$4,FALSE))=TRUE,"",
              VLOOKUP($G112,DanaSehat!$L$13:$AK$56,O$4,FALSE)))</t>
  </si>
  <si>
    <t>=IF(ISNUMBER($L$6)=FALSE,"",
        IF(ISERROR(VLOOKUP($G112,DanaSehat!$L$13:$AK$56,P$4,FALSE))=TRUE,"",
              VLOOKUP($G112,DanaSehat!$L$13:$AK$56,P$4,FALSE)))</t>
  </si>
  <si>
    <t>=IF(ISNUMBER($L$6)=FALSE,"",
        IF(ISERROR(VLOOKUP($G112,DanaSehat!$L$13:$AK$56,Q$4,FALSE))=TRUE,"",
              VLOOKUP($G112,DanaSehat!$L$13:$AK$56,Q$4,FALSE)))</t>
  </si>
  <si>
    <t>=IF(ISNUMBER($L$6)=FALSE,"",
        IF(ISERROR(VLOOKUP($G112,DanaSehat!$L$13:$AK$56,R$4,FALSE))=TRUE,"",
              VLOOKUP($G112,DanaSehat!$L$13:$AK$56,R$4,FALSE)))</t>
  </si>
  <si>
    <t>=IF(ISNUMBER($L$6)=FALSE,"",
        IF(ISERROR(VLOOKUP($G112,DanaSehat!$L$13:$AK$56,S$4,FALSE))=TRUE,"",
              VLOOKUP($G112,DanaSehat!$L$13:$AK$56,S$4,FALSE)))</t>
  </si>
  <si>
    <t>=IF(ISNUMBER($L$6)=FALSE,"",
        IF(ISERROR(VLOOKUP($G112,DanaSehat!$L$13:$AK$56,T$4,FALSE))=TRUE,"",
              VLOOKUP($G112,DanaSehat!$L$13:$AK$56,T$4,FALSE)))</t>
  </si>
  <si>
    <t>=IF(ISNUMBER($L$6)=FALSE,"",
        IF(ISERROR(VLOOKUP($G112,DanaSehat!$L$13:$AK$56,U$4,FALSE))=TRUE,"",
              VLOOKUP($G112,DanaSehat!$L$13:$AK$56,U$4,FALSE)))</t>
  </si>
  <si>
    <t>=IF(ISNUMBER($L$6)=FALSE,"",
        IF(ISERROR(VLOOKUP($G112,DanaSehat!$L$13:$AK$56,V$4,FALSE))=TRUE,"",
              VLOOKUP($G112,DanaSehat!$L$13:$AK$56,V$4,FALSE)))</t>
  </si>
  <si>
    <t>=IF(ISNUMBER($L$6)=FALSE,"",
        IF(ISERROR(VLOOKUP($G112,DanaSehat!$L$13:$AK$56,W$4,FALSE))=TRUE,"",
              VLOOKUP($G112,DanaSehat!$L$13:$AK$56,W$4,FALSE)))</t>
  </si>
  <si>
    <t>=IF(ISNUMBER($L$6)=FALSE,"",
        IF(ISERROR(VLOOKUP($G112,DanaSehat!$L$13:$AK$56,X$4,FALSE))=TRUE,"",
              VLOOKUP($G112,DanaSehat!$L$13:$AK$56,X$4,FALSE)))</t>
  </si>
  <si>
    <t>=IF(ISNUMBER($L$6)=FALSE,"",
        IF(ISERROR(VLOOKUP($G112,DanaSehat!$L$13:$AK$56,Y$4,FALSE))=TRUE,"",
              VLOOKUP($G112,DanaSehat!$L$13:$AK$56,Y$4,FALSE)))</t>
  </si>
  <si>
    <t>=IF(ISNUMBER($L$6)=FALSE,"",
        IF(ISERROR(VLOOKUP($G112,DanaSehat!$L$13:$AK$56,Z$4,FALSE))=TRUE,"",
              VLOOKUP($G112,DanaSehat!$L$13:$AK$56,Z$4,FALSE)))</t>
  </si>
  <si>
    <t>=IF(ISNUMBER($L$6)=FALSE,"",
        IF(ISERROR(VLOOKUP($G112,DanaSehat!$L$13:$AK$56,AA$4,FALSE))=TRUE,"",
              VLOOKUP($G112,DanaSehat!$L$13:$AK$56,AA$4,FALSE)))</t>
  </si>
  <si>
    <t>=IF(ISNUMBER($L$6)=FALSE,"",
        IF(ISERROR(VLOOKUP($G112,DanaSehat!$L$13:$AK$56,AB$4,FALSE))=TRUE,"",
              VLOOKUP($G112,DanaSehat!$L$13:$AK$56,AB$4,FALSE)))</t>
  </si>
  <si>
    <t>=IF(ISNUMBER($L$6)=FALSE,"",
        IF(ISERROR(VLOOKUP($G112,DanaSehat!$L$13:$AK$56,AC$4,FALSE))=TRUE,"",
              VLOOKUP($G112,DanaSehat!$L$13:$AK$56,AC$4,FALSE)))</t>
  </si>
  <si>
    <t>=IF(ISNUMBER($L$6)=FALSE,"",
        IF(ISERROR(VLOOKUP($G112,DanaSehat!$L$13:$AK$56,AD$4,FALSE))=TRUE,"",
              VLOOKUP($G112,DanaSehat!$L$13:$AK$56,AD$4,FALSE)))</t>
  </si>
  <si>
    <t>=IF(ISNUMBER($L$6)=FALSE,"",
        IF(ISERROR(VLOOKUP($G112,DanaSehat!$L$13:$AK$56,AE$4,FALSE))=TRUE,"",
              VLOOKUP($G112,DanaSehat!$L$13:$AK$56,AE$4,FALSE)))</t>
  </si>
  <si>
    <t>=IF(ISNUMBER($L$6)=FALSE,"",
        IF(ISERROR(VLOOKUP($G112,DanaSehat!$L$13:$AK$56,AF$4,FALSE))=TRUE,"",
              VLOOKUP($G112,DanaSehat!$L$13:$AK$56,AF$4,FALSE)))</t>
  </si>
  <si>
    <t>=IF(ISNUMBER($L$6)=FALSE,"",
IF($C113=0,"",VLOOKUP($E113,DanaSehat!$H$13:$L$56,4,FALSE)))</t>
  </si>
  <si>
    <t>=IF(ISNUMBER($L$6)=FALSE,"",
IF($C113=0,"",VLOOKUP($E113,DanaSehat!$H$13:$L$56,5,FALSE)))</t>
  </si>
  <si>
    <t>=IF(ISNUMBER($L$6)=FALSE,"",
        IF(ISERROR(VLOOKUP($G113,DanaSehat!$L$13:$AK$56,I$4,FALSE))=TRUE,"",
              VLOOKUP($G113,DanaSehat!$L$13:$AK$56,I$4,FALSE)))</t>
  </si>
  <si>
    <t>=IF(ISNUMBER($L$6)=FALSE,"",
        IF(ISERROR(VLOOKUP($G113,DanaSehat!$L$13:$AK$56,J$4,FALSE))=TRUE,"",
              VLOOKUP($G113,DanaSehat!$L$13:$AK$56,J$4,FALSE)))</t>
  </si>
  <si>
    <t>=IF(ISNUMBER($L$6)=FALSE,"",
        IF(ISERROR(VLOOKUP($G113,DanaSehat!$L$13:$AK$56,K$4,FALSE))=TRUE,"",
              VLOOKUP($G113,DanaSehat!$L$13:$AK$56,K$4,FALSE)))</t>
  </si>
  <si>
    <t>=IF(ISNUMBER($L$6)=FALSE,"",
        IF(ISERROR(VLOOKUP($G113,DanaSehat!$L$13:$AK$56,L$4,FALSE))=TRUE,"",
              VLOOKUP($G113,DanaSehat!$L$13:$AK$56,L$4,FALSE)))</t>
  </si>
  <si>
    <t>=IF(ISNUMBER($L$6)=FALSE,"",
        IF(ISERROR(VLOOKUP($G113,DanaSehat!$L$13:$AK$56,M$4,FALSE))=TRUE,"",
              VLOOKUP($G113,DanaSehat!$L$13:$AK$56,M$4,FALSE)))</t>
  </si>
  <si>
    <t>=IF(ISNUMBER($L$6)=FALSE,"",
        IF(ISERROR(VLOOKUP($G113,DanaSehat!$L$13:$AK$56,N$4,FALSE))=TRUE,"",
              VLOOKUP($G113,DanaSehat!$L$13:$AK$56,N$4,FALSE)))</t>
  </si>
  <si>
    <t>=IF(ISNUMBER($L$6)=FALSE,"",
        IF(ISERROR(VLOOKUP($G113,DanaSehat!$L$13:$AK$56,O$4,FALSE))=TRUE,"",
              VLOOKUP($G113,DanaSehat!$L$13:$AK$56,O$4,FALSE)))</t>
  </si>
  <si>
    <t>=IF(ISNUMBER($L$6)=FALSE,"",
        IF(ISERROR(VLOOKUP($G113,DanaSehat!$L$13:$AK$56,P$4,FALSE))=TRUE,"",
              VLOOKUP($G113,DanaSehat!$L$13:$AK$56,P$4,FALSE)))</t>
  </si>
  <si>
    <t>=IF(ISNUMBER($L$6)=FALSE,"",
        IF(ISERROR(VLOOKUP($G113,DanaSehat!$L$13:$AK$56,Q$4,FALSE))=TRUE,"",
              VLOOKUP($G113,DanaSehat!$L$13:$AK$56,Q$4,FALSE)))</t>
  </si>
  <si>
    <t>=IF(ISNUMBER($L$6)=FALSE,"",
        IF(ISERROR(VLOOKUP($G113,DanaSehat!$L$13:$AK$56,R$4,FALSE))=TRUE,"",
              VLOOKUP($G113,DanaSehat!$L$13:$AK$56,R$4,FALSE)))</t>
  </si>
  <si>
    <t>=IF(ISNUMBER($L$6)=FALSE,"",
        IF(ISERROR(VLOOKUP($G113,DanaSehat!$L$13:$AK$56,S$4,FALSE))=TRUE,"",
              VLOOKUP($G113,DanaSehat!$L$13:$AK$56,S$4,FALSE)))</t>
  </si>
  <si>
    <t>=IF(ISNUMBER($L$6)=FALSE,"",
        IF(ISERROR(VLOOKUP($G113,DanaSehat!$L$13:$AK$56,T$4,FALSE))=TRUE,"",
              VLOOKUP($G113,DanaSehat!$L$13:$AK$56,T$4,FALSE)))</t>
  </si>
  <si>
    <t>=IF(ISNUMBER($L$6)=FALSE,"",
        IF(ISERROR(VLOOKUP($G113,DanaSehat!$L$13:$AK$56,U$4,FALSE))=TRUE,"",
              VLOOKUP($G113,DanaSehat!$L$13:$AK$56,U$4,FALSE)))</t>
  </si>
  <si>
    <t>=IF(ISNUMBER($L$6)=FALSE,"",
        IF(ISERROR(VLOOKUP($G113,DanaSehat!$L$13:$AK$56,V$4,FALSE))=TRUE,"",
              VLOOKUP($G113,DanaSehat!$L$13:$AK$56,V$4,FALSE)))</t>
  </si>
  <si>
    <t>=IF(ISNUMBER($L$6)=FALSE,"",
        IF(ISERROR(VLOOKUP($G113,DanaSehat!$L$13:$AK$56,W$4,FALSE))=TRUE,"",
              VLOOKUP($G113,DanaSehat!$L$13:$AK$56,W$4,FALSE)))</t>
  </si>
  <si>
    <t>=IF(ISNUMBER($L$6)=FALSE,"",
        IF(ISERROR(VLOOKUP($G113,DanaSehat!$L$13:$AK$56,X$4,FALSE))=TRUE,"",
              VLOOKUP($G113,DanaSehat!$L$13:$AK$56,X$4,FALSE)))</t>
  </si>
  <si>
    <t>=IF(ISNUMBER($L$6)=FALSE,"",
        IF(ISERROR(VLOOKUP($G113,DanaSehat!$L$13:$AK$56,Y$4,FALSE))=TRUE,"",
              VLOOKUP($G113,DanaSehat!$L$13:$AK$56,Y$4,FALSE)))</t>
  </si>
  <si>
    <t>=IF(ISNUMBER($L$6)=FALSE,"",
        IF(ISERROR(VLOOKUP($G113,DanaSehat!$L$13:$AK$56,Z$4,FALSE))=TRUE,"",
              VLOOKUP($G113,DanaSehat!$L$13:$AK$56,Z$4,FALSE)))</t>
  </si>
  <si>
    <t>=IF(ISNUMBER($L$6)=FALSE,"",
        IF(ISERROR(VLOOKUP($G113,DanaSehat!$L$13:$AK$56,AA$4,FALSE))=TRUE,"",
              VLOOKUP($G113,DanaSehat!$L$13:$AK$56,AA$4,FALSE)))</t>
  </si>
  <si>
    <t>=IF(ISNUMBER($L$6)=FALSE,"",
        IF(ISERROR(VLOOKUP($G113,DanaSehat!$L$13:$AK$56,AB$4,FALSE))=TRUE,"",
              VLOOKUP($G113,DanaSehat!$L$13:$AK$56,AB$4,FALSE)))</t>
  </si>
  <si>
    <t>=IF(ISNUMBER($L$6)=FALSE,"",
        IF(ISERROR(VLOOKUP($G113,DanaSehat!$L$13:$AK$56,AC$4,FALSE))=TRUE,"",
              VLOOKUP($G113,DanaSehat!$L$13:$AK$56,AC$4,FALSE)))</t>
  </si>
  <si>
    <t>=IF(ISNUMBER($L$6)=FALSE,"",
        IF(ISERROR(VLOOKUP($G113,DanaSehat!$L$13:$AK$56,AD$4,FALSE))=TRUE,"",
              VLOOKUP($G113,DanaSehat!$L$13:$AK$56,AD$4,FALSE)))</t>
  </si>
  <si>
    <t>=IF(ISNUMBER($L$6)=FALSE,"",
        IF(ISERROR(VLOOKUP($G113,DanaSehat!$L$13:$AK$56,AE$4,FALSE))=TRUE,"",
              VLOOKUP($G113,DanaSehat!$L$13:$AK$56,AE$4,FALSE)))</t>
  </si>
  <si>
    <t>=IF(ISNUMBER($L$6)=FALSE,"",
        IF(ISERROR(VLOOKUP($G113,DanaSehat!$L$13:$AK$56,AF$4,FALSE))=TRUE,"",
              VLOOKUP($G113,DanaSehat!$L$13:$AK$56,AF$4,FALSE)))</t>
  </si>
  <si>
    <t>Auto+Hide+Formulas=Sheet25,Sheet5,Sheet6+FormulasOnly</t>
  </si>
  <si>
    <t>Auto+Hide+HideSheet+Formulas=Sheet26,Sheet7,Sheet8</t>
  </si>
  <si>
    <t>="""TRUST Nav"",""HSPMTB2016"",""17"",""1"",""3441"""</t>
  </si>
  <si>
    <t>=CONCATENATE(L14,"|",O14)</t>
  </si>
  <si>
    <t>=IF($D14="Customer",$D14,"G/L")</t>
  </si>
  <si>
    <t>=NL("First","Customer","Name","No.",IF($D14="Customer",$L14,"@@"))</t>
  </si>
  <si>
    <t>=ABS(NF($C14,"Amount"))</t>
  </si>
  <si>
    <t>="""TRUST Nav"",""HSPMTB2016"",""17"",""1"",""3442"""</t>
  </si>
  <si>
    <t>=CONCATENATE(L15,"|",O15)</t>
  </si>
  <si>
    <t>=IF($D15="Customer",$D15,"G/L")</t>
  </si>
  <si>
    <t>=NL("First","Customer","Name","No.",IF($D15="Customer",$L15,"@@"))</t>
  </si>
  <si>
    <t>=ABS(NF($C15,"Amount"))</t>
  </si>
  <si>
    <t>="""TRUST Nav"",""HSPMTB2016"",""17"",""1"",""3443"""</t>
  </si>
  <si>
    <t>=CONCATENATE(L16,"|",O16)</t>
  </si>
  <si>
    <t>=IF($D16="Customer",$D16,"G/L")</t>
  </si>
  <si>
    <t>=NL("First","Customer","Name","No.",IF($D16="Customer",$L16,"@@"))</t>
  </si>
  <si>
    <t>=ABS(NF($C16,"Amount"))</t>
  </si>
  <si>
    <t>="""TRUST Nav"",""HSPMTB2016"",""17"",""1"",""3444"""</t>
  </si>
  <si>
    <t>=CONCATENATE(L17,"|",O17)</t>
  </si>
  <si>
    <t>=IF($D17="Customer",$D17,"G/L")</t>
  </si>
  <si>
    <t>=NL("First","Customer","Name","No.",IF($D17="Customer",$L17,"@@"))</t>
  </si>
  <si>
    <t>=ABS(NF($C17,"Amount"))</t>
  </si>
  <si>
    <t>="""TRUST Nav"",""HSPMTB2016"",""17"",""1"",""3445"""</t>
  </si>
  <si>
    <t>=CONCATENATE(L18,"|",O18)</t>
  </si>
  <si>
    <t>=IF($D18="Customer",$D18,"G/L")</t>
  </si>
  <si>
    <t>=NL("First","Customer","Name","No.",IF($D18="Customer",$L18,"@@"))</t>
  </si>
  <si>
    <t>=ABS(NF($C18,"Amount"))</t>
  </si>
  <si>
    <t>="""TRUST Nav"",""HSPMTB2016"",""17"",""1"",""3446"""</t>
  </si>
  <si>
    <t>=CONCATENATE(L19,"|",O19)</t>
  </si>
  <si>
    <t>=IF($D19="Customer",$D19,"G/L")</t>
  </si>
  <si>
    <t>=NL("First","Customer","Name","No.",IF($D19="Customer",$L19,"@@"))</t>
  </si>
  <si>
    <t>=ABS(NF($C19,"Amount"))</t>
  </si>
  <si>
    <t>="""TRUST Nav"",""HSPMTB2016"",""17"",""1"",""3447"""</t>
  </si>
  <si>
    <t>=CONCATENATE(L20,"|",O20)</t>
  </si>
  <si>
    <t>=IF($D20="Customer",$D20,"G/L")</t>
  </si>
  <si>
    <t>=NL("First","Customer","Name","No.",IF($D20="Customer",$L20,"@@"))</t>
  </si>
  <si>
    <t>=ABS(NF($C20,"Amount"))</t>
  </si>
  <si>
    <t>="""TRUST Nav"",""HSPMTB2016"",""17"",""1"",""3448"""</t>
  </si>
  <si>
    <t>=CONCATENATE(L21,"|",O21)</t>
  </si>
  <si>
    <t>=IF($D21="Customer",$D21,"G/L")</t>
  </si>
  <si>
    <t>=NL("First","Customer","Name","No.",IF($D21="Customer",$L21,"@@"))</t>
  </si>
  <si>
    <t>=ABS(NF($C21,"Amount"))</t>
  </si>
  <si>
    <t>="""TRUST Nav"",""HSPMTB2016"",""17"",""1"",""3449"""</t>
  </si>
  <si>
    <t>=CONCATENATE(L22,"|",O22)</t>
  </si>
  <si>
    <t>=IF($D22="Customer",$D22,"G/L")</t>
  </si>
  <si>
    <t>=NL("First","Customer","Name","No.",IF($D22="Customer",$L22,"@@"))</t>
  </si>
  <si>
    <t>=ABS(NF($C22,"Amount"))</t>
  </si>
  <si>
    <t>="""TRUST Nav"",""HSPMTB2016"",""17"",""1"",""3450"""</t>
  </si>
  <si>
    <t>=CONCATENATE(L23,"|",O23)</t>
  </si>
  <si>
    <t>=IF($D23="Customer",$D23,"G/L")</t>
  </si>
  <si>
    <t>=NL("First","Customer","Name","No.",IF($D23="Customer",$L23,"@@"))</t>
  </si>
  <si>
    <t>=ABS(NF($C23,"Amount"))</t>
  </si>
  <si>
    <t>="""TRUST Nav"",""HSPMTB2016"",""17"",""1"",""3451"""</t>
  </si>
  <si>
    <t>=CONCATENATE(L24,"|",O24)</t>
  </si>
  <si>
    <t>=IF($D24="Customer",$D24,"G/L")</t>
  </si>
  <si>
    <t>=NL("First","Customer","Name","No.",IF($D24="Customer",$L24,"@@"))</t>
  </si>
  <si>
    <t>=ABS(NF($C24,"Amount"))</t>
  </si>
  <si>
    <t>="""TRUST Nav"",""HSPMTB2016"",""17"",""1"",""3452"""</t>
  </si>
  <si>
    <t>=CONCATENATE(L25,"|",O25)</t>
  </si>
  <si>
    <t>=IF($D25="Customer",$D25,"G/L")</t>
  </si>
  <si>
    <t>=NL("First","Customer","Name","No.",IF($D25="Customer",$L25,"@@"))</t>
  </si>
  <si>
    <t>=ABS(NF($C25,"Amount"))</t>
  </si>
  <si>
    <t>="""TRUST Nav"",""HSPMTB2016"",""17"",""1"",""3453"""</t>
  </si>
  <si>
    <t>=CONCATENATE(L26,"|",O26)</t>
  </si>
  <si>
    <t>=IF($D26="Customer",$D26,"G/L")</t>
  </si>
  <si>
    <t>=NL("First","Customer","Name","No.",IF($D26="Customer",$L26,"@@"))</t>
  </si>
  <si>
    <t>=ABS(NF($C26,"Amount"))</t>
  </si>
  <si>
    <t>="""TRUST Nav"",""HSPMTB2016"",""17"",""1"",""3454"""</t>
  </si>
  <si>
    <t>=CONCATENATE(L27,"|",O27)</t>
  </si>
  <si>
    <t>=IF($D27="Customer",$D27,"G/L")</t>
  </si>
  <si>
    <t>=NL("First","Customer","Name","No.",IF($D27="Customer",$L27,"@@"))</t>
  </si>
  <si>
    <t>=ABS(NF($C27,"Amount"))</t>
  </si>
  <si>
    <t>="""TRUST Nav"",""HSPMTB2016"",""17"",""1"",""3455"""</t>
  </si>
  <si>
    <t>=CONCATENATE(L28,"|",O28)</t>
  </si>
  <si>
    <t>=IF($D28="Customer",$D28,"G/L")</t>
  </si>
  <si>
    <t>=NL("First","Customer","Name","No.",IF($D28="Customer",$L28,"@@"))</t>
  </si>
  <si>
    <t>=ABS(NF($C28,"Amount"))</t>
  </si>
  <si>
    <t>="""TRUST Nav"",""HSPMTB2016"",""17"",""1"",""3456"""</t>
  </si>
  <si>
    <t>=CONCATENATE(L29,"|",O29)</t>
  </si>
  <si>
    <t>=IF($D29="Customer",$D29,"G/L")</t>
  </si>
  <si>
    <t>=NL("First","Customer","Name","No.",IF($D29="Customer",$L29,"@@"))</t>
  </si>
  <si>
    <t>=ABS(NF($C29,"Amount"))</t>
  </si>
  <si>
    <t>="""TRUST Nav"",""HSPMTB2016"",""17"",""1"",""3457"""</t>
  </si>
  <si>
    <t>=CONCATENATE(L30,"|",O30)</t>
  </si>
  <si>
    <t>=IF($D30="Customer",$D30,"G/L")</t>
  </si>
  <si>
    <t>=NL("First","Customer","Name","No.",IF($D30="Customer",$L30,"@@"))</t>
  </si>
  <si>
    <t>=ABS(NF($C30,"Amount"))</t>
  </si>
  <si>
    <t>="""TRUST Nav"",""HSPMTB2016"",""17"",""1"",""3458"""</t>
  </si>
  <si>
    <t>=CONCATENATE(L31,"|",O31)</t>
  </si>
  <si>
    <t>=IF($D31="Customer",$D31,"G/L")</t>
  </si>
  <si>
    <t>=NL("First","Customer","Name","No.",IF($D31="Customer",$L31,"@@"))</t>
  </si>
  <si>
    <t>=ABS(NF($C31,"Amount"))</t>
  </si>
  <si>
    <t>="""TRUST Nav"",""HSPMTB2016"",""17"",""1"",""3459"""</t>
  </si>
  <si>
    <t>=CONCATENATE(L32,"|",O32)</t>
  </si>
  <si>
    <t>=IF($D32="Customer",$D32,"G/L")</t>
  </si>
  <si>
    <t>=NL("First","Customer","Name","No.",IF($D32="Customer",$L32,"@@"))</t>
  </si>
  <si>
    <t>=ABS(NF($C32,"Amount"))</t>
  </si>
  <si>
    <t>="""TRUST Nav"",""HSPMTB2016"",""17"",""1"",""3460"""</t>
  </si>
  <si>
    <t>=CONCATENATE(L33,"|",O33)</t>
  </si>
  <si>
    <t>=IF($D33="Customer",$D33,"G/L")</t>
  </si>
  <si>
    <t>=NL("First","Customer","Name","No.",IF($D33="Customer",$L33,"@@"))</t>
  </si>
  <si>
    <t>=ABS(NF($C33,"Amount"))</t>
  </si>
  <si>
    <t>="""TRUST Nav"",""HSPMTB2016"",""17"",""1"",""3461"""</t>
  </si>
  <si>
    <t>=CONCATENATE(L34,"|",O34)</t>
  </si>
  <si>
    <t>=IF($D34="Customer",$D34,"G/L")</t>
  </si>
  <si>
    <t>=NL("First","Customer","Name","No.",IF($D34="Customer",$L34,"@@"))</t>
  </si>
  <si>
    <t>=ABS(NF($C34,"Amount"))</t>
  </si>
  <si>
    <t>="""TRUST Nav"",""HSPMTB2016"",""17"",""1"",""3462"""</t>
  </si>
  <si>
    <t>=CONCATENATE(L35,"|",O35)</t>
  </si>
  <si>
    <t>=IF($D35="Customer",$D35,"G/L")</t>
  </si>
  <si>
    <t>=NL("First","Customer","Name","No.",IF($D35="Customer",$L35,"@@"))</t>
  </si>
  <si>
    <t>=ABS(NF($C35,"Amount"))</t>
  </si>
  <si>
    <t>="""TRUST Nav"",""HSPMTB2016"",""17"",""1"",""3463"""</t>
  </si>
  <si>
    <t>=CONCATENATE(L36,"|",O36)</t>
  </si>
  <si>
    <t>=IF($D36="Customer",$D36,"G/L")</t>
  </si>
  <si>
    <t>=NL("First","Customer","Name","No.",IF($D36="Customer",$L36,"@@"))</t>
  </si>
  <si>
    <t>=ABS(NF($C36,"Amount"))</t>
  </si>
  <si>
    <t>="""TRUST Nav"",""HSPMTB2016"",""17"",""1"",""3464"""</t>
  </si>
  <si>
    <t>=CONCATENATE(L37,"|",O37)</t>
  </si>
  <si>
    <t>=IF($D37="Customer",$D37,"G/L")</t>
  </si>
  <si>
    <t>=NL("First","Customer","Name","No.",IF($D37="Customer",$L37,"@@"))</t>
  </si>
  <si>
    <t>=ABS(NF($C37,"Amount"))</t>
  </si>
  <si>
    <t>="""TRUST Nav"",""HSPMTB2016"",""17"",""1"",""3465"""</t>
  </si>
  <si>
    <t>=CONCATENATE(L38,"|",O38)</t>
  </si>
  <si>
    <t>=IF($D38="Customer",$D38,"G/L")</t>
  </si>
  <si>
    <t>=NL("First","Customer","Name","No.",IF($D38="Customer",$L38,"@@"))</t>
  </si>
  <si>
    <t>=ABS(NF($C38,"Amount"))</t>
  </si>
  <si>
    <t>="""TRUST Nav"",""HSPMTB2016"",""17"",""1"",""3466"""</t>
  </si>
  <si>
    <t>=CONCATENATE(L39,"|",O39)</t>
  </si>
  <si>
    <t>=IF($D39="Customer",$D39,"G/L")</t>
  </si>
  <si>
    <t>=NL("First","Customer","Name","No.",IF($D39="Customer",$L39,"@@"))</t>
  </si>
  <si>
    <t>=ABS(NF($C39,"Amount"))</t>
  </si>
  <si>
    <t>="""TRUST Nav"",""HSPMTB2016"",""17"",""1"",""3467"""</t>
  </si>
  <si>
    <t>=CONCATENATE(L40,"|",O40)</t>
  </si>
  <si>
    <t>=IF($D40="Customer",$D40,"G/L")</t>
  </si>
  <si>
    <t>=NL("First","Customer","Name","No.",IF($D40="Customer",$L40,"@@"))</t>
  </si>
  <si>
    <t>=ABS(NF($C40,"Amount"))</t>
  </si>
  <si>
    <t>="""TRUST Nav"",""HSPMTB2016"",""17"",""1"",""3468"""</t>
  </si>
  <si>
    <t>=CONCATENATE(L41,"|",O41)</t>
  </si>
  <si>
    <t>=IF($D41="Customer",$D41,"G/L")</t>
  </si>
  <si>
    <t>=NL("First","Customer","Name","No.",IF($D41="Customer",$L41,"@@"))</t>
  </si>
  <si>
    <t>=ABS(NF($C41,"Amount"))</t>
  </si>
  <si>
    <t>="""TRUST Nav"",""HSPMTB2016"",""17"",""1"",""3469"""</t>
  </si>
  <si>
    <t>=CONCATENATE(L42,"|",O42)</t>
  </si>
  <si>
    <t>=IF($D42="Customer",$D42,"G/L")</t>
  </si>
  <si>
    <t>=NL("First","Customer","Name","No.",IF($D42="Customer",$L42,"@@"))</t>
  </si>
  <si>
    <t>=ABS(NF($C42,"Amount"))</t>
  </si>
  <si>
    <t>="""TRUST Nav"",""HSPMTB2016"",""17"",""1"",""3470"""</t>
  </si>
  <si>
    <t>=CONCATENATE(L43,"|",O43)</t>
  </si>
  <si>
    <t>=IF($D43="Customer",$D43,"G/L")</t>
  </si>
  <si>
    <t>=NL("First","Customer","Name","No.",IF($D43="Customer",$L43,"@@"))</t>
  </si>
  <si>
    <t>=ABS(NF($C43,"Amount"))</t>
  </si>
  <si>
    <t>="""TRUST Nav"",""HSPMTB2016"",""17"",""1"",""3471"""</t>
  </si>
  <si>
    <t>=CONCATENATE(L44,"|",O44)</t>
  </si>
  <si>
    <t>=IF($D44="Customer",$D44,"G/L")</t>
  </si>
  <si>
    <t>=NL("First","Customer","Name","No.",IF($D44="Customer",$L44,"@@"))</t>
  </si>
  <si>
    <t>=ABS(NF($C44,"Amount"))</t>
  </si>
  <si>
    <t>="""TRUST Nav"",""HSPMTB2016"",""17"",""1"",""3472"""</t>
  </si>
  <si>
    <t>=CONCATENATE(L45,"|",O45)</t>
  </si>
  <si>
    <t>=IF($D45="Customer",$D45,"G/L")</t>
  </si>
  <si>
    <t>=NL("First","Customer","Name","No.",IF($D45="Customer",$L45,"@@"))</t>
  </si>
  <si>
    <t>=ABS(NF($C45,"Amount"))</t>
  </si>
  <si>
    <t>="""TRUST Nav"",""HSPMTB2016"",""17"",""1"",""3473"""</t>
  </si>
  <si>
    <t>=CONCATENATE(L46,"|",O46)</t>
  </si>
  <si>
    <t>=IF($D46="Customer",$D46,"G/L")</t>
  </si>
  <si>
    <t>=NL("First","Customer","Name","No.",IF($D46="Customer",$L46,"@@"))</t>
  </si>
  <si>
    <t>=ABS(NF($C46,"Amount"))</t>
  </si>
  <si>
    <t>="""TRUST Nav"",""HSPMTB2016"",""17"",""1"",""3474"""</t>
  </si>
  <si>
    <t>=CONCATENATE(L47,"|",O47)</t>
  </si>
  <si>
    <t>=IF($D47="Customer",$D47,"G/L")</t>
  </si>
  <si>
    <t>=NL("First","Customer","Name","No.",IF($D47="Customer",$L47,"@@"))</t>
  </si>
  <si>
    <t>=ABS(NF($C47,"Amount"))</t>
  </si>
  <si>
    <t>="""TRUST Nav"",""HSPMTB2016"",""17"",""1"",""3475"""</t>
  </si>
  <si>
    <t>=CONCATENATE(L48,"|",O48)</t>
  </si>
  <si>
    <t>=IF($D48="Customer",$D48,"G/L")</t>
  </si>
  <si>
    <t>=NL("First","Customer","Name","No.",IF($D48="Customer",$L48,"@@"))</t>
  </si>
  <si>
    <t>=ABS(NF($C48,"Amount"))</t>
  </si>
  <si>
    <t>="""TRUST Nav"",""HSPMTB2016"",""17"",""1"",""3476"""</t>
  </si>
  <si>
    <t>=CONCATENATE(L49,"|",O49)</t>
  </si>
  <si>
    <t>=IF($D49="Customer",$D49,"G/L")</t>
  </si>
  <si>
    <t>=NL("First","Customer","Name","No.",IF($D49="Customer",$L49,"@@"))</t>
  </si>
  <si>
    <t>=ABS(NF($C49,"Amount"))</t>
  </si>
  <si>
    <t>="""TRUST Nav"",""HSPMTB2016"",""17"",""1"",""3477"""</t>
  </si>
  <si>
    <t>=CONCATENATE(L50,"|",O50)</t>
  </si>
  <si>
    <t>=IF($D50="Customer",$D50,"G/L")</t>
  </si>
  <si>
    <t>=NL("First","Customer","Name","No.",IF($D50="Customer",$L50,"@@"))</t>
  </si>
  <si>
    <t>=ABS(NF($C50,"Amount"))</t>
  </si>
  <si>
    <t>="""TRUST Nav"",""HSPMTB2016"",""17"",""1"",""3478"""</t>
  </si>
  <si>
    <t>=CONCATENATE(L51,"|",O51)</t>
  </si>
  <si>
    <t>=IF($D51="Customer",$D51,"G/L")</t>
  </si>
  <si>
    <t>=NL("First","Customer","Name","No.",IF($D51="Customer",$L51,"@@"))</t>
  </si>
  <si>
    <t>=ABS(NF($C51,"Amount"))</t>
  </si>
  <si>
    <t>="""TRUST Nav"",""HSPMTB2016"",""17"",""1"",""3479"""</t>
  </si>
  <si>
    <t>=CONCATENATE(L52,"|",O52)</t>
  </si>
  <si>
    <t>=IF($D52="Customer",$D52,"G/L")</t>
  </si>
  <si>
    <t>=NL("First","Customer","Name","No.",IF($D52="Customer",$L52,"@@"))</t>
  </si>
  <si>
    <t>=ABS(NF($C52,"Amount"))</t>
  </si>
  <si>
    <t>="""TRUST Nav"",""HSPMTB2016"",""17"",""1"",""3480"""</t>
  </si>
  <si>
    <t>=CONCATENATE(L53,"|",O53)</t>
  </si>
  <si>
    <t>=IF($D53="Customer",$D53,"G/L")</t>
  </si>
  <si>
    <t>=NL("First","Customer","Name","No.",IF($D53="Customer",$L53,"@@"))</t>
  </si>
  <si>
    <t>=ABS(NF($C53,"Amount"))</t>
  </si>
  <si>
    <t>="""TRUST Nav"",""HSPMTB2016"",""17"",""1"",""3481"""</t>
  </si>
  <si>
    <t>=CONCATENATE(L54,"|",O54)</t>
  </si>
  <si>
    <t>=IF($D54="Customer",$D54,"G/L")</t>
  </si>
  <si>
    <t>=NL("First","Customer","Name","No.",IF($D54="Customer",$L54,"@@"))</t>
  </si>
  <si>
    <t>=ABS(NF($C54,"Amount"))</t>
  </si>
  <si>
    <t>="""TRUST Nav"",""HSPMTB2016"",""17"",""1"",""3482"""</t>
  </si>
  <si>
    <t>=CONCATENATE(L55,"|",O55)</t>
  </si>
  <si>
    <t>=IF($D55="Customer",$D55,"G/L")</t>
  </si>
  <si>
    <t>=NL("First","Customer","Name","No.",IF($D55="Customer",$L55,"@@"))</t>
  </si>
  <si>
    <t>=ABS(NF($C55,"Amount"))</t>
  </si>
  <si>
    <t>="""TRUST Nav"",""HSPMTB2016"",""17"",""1"",""3483"""</t>
  </si>
  <si>
    <t>=CONCATENATE(L56,"|",O56)</t>
  </si>
  <si>
    <t>=IF($D56="Customer",$D56,"G/L")</t>
  </si>
  <si>
    <t>=NL("First","Customer","Name","No.",IF($D56="Customer",$L56,"@@"))</t>
  </si>
  <si>
    <t>=ABS(NF($C56,"Amount"))</t>
  </si>
  <si>
    <t>="""TRUST Nav"",""HSPMTB2016"",""17"",""1"",""3484"""</t>
  </si>
  <si>
    <t>=CONCATENATE(L57,"|",O57)</t>
  </si>
  <si>
    <t>=IF($D57="Customer",$D57,"G/L")</t>
  </si>
  <si>
    <t>=NL("First","Customer","Name","No.",IF($D57="Customer",$L57,"@@"))</t>
  </si>
  <si>
    <t>=ABS(NF($C57,"Amount"))</t>
  </si>
  <si>
    <t>="""TRUST Nav"",""HSPMTB2016"",""17"",""1"",""3485"""</t>
  </si>
  <si>
    <t>=CONCATENATE(L58,"|",O58)</t>
  </si>
  <si>
    <t>=IF($D58="Customer",$D58,"G/L")</t>
  </si>
  <si>
    <t>=NL("First","Customer","Name","No.",IF($D58="Customer",$L58,"@@"))</t>
  </si>
  <si>
    <t>=ABS(NF($C58,"Amount"))</t>
  </si>
  <si>
    <t>="""TRUST Nav"",""HSPMTB2016"",""17"",""1"",""3486"""</t>
  </si>
  <si>
    <t>=CONCATENATE(L59,"|",O59)</t>
  </si>
  <si>
    <t>=IF($D59="Customer",$D59,"G/L")</t>
  </si>
  <si>
    <t>=NL("First","Customer","Name","No.",IF($D59="Customer",$L59,"@@"))</t>
  </si>
  <si>
    <t>=ABS(NF($C59,"Amount"))</t>
  </si>
  <si>
    <t>="""TRUST Nav"",""HSPMTB2016"",""17"",""1"",""3487"""</t>
  </si>
  <si>
    <t>=CONCATENATE(L60,"|",O60)</t>
  </si>
  <si>
    <t>=IF($D60="Customer",$D60,"G/L")</t>
  </si>
  <si>
    <t>=NL("First","Customer","Name","No.",IF($D60="Customer",$L60,"@@"))</t>
  </si>
  <si>
    <t>=ABS(NF($C60,"Amount"))</t>
  </si>
  <si>
    <t>="""TRUST Nav"",""HSPMTB2016"",""17"",""1"",""3488"""</t>
  </si>
  <si>
    <t>=CONCATENATE(L61,"|",O61)</t>
  </si>
  <si>
    <t>=IF($D61="Customer",$D61,"G/L")</t>
  </si>
  <si>
    <t>=NL("First","Customer","Name","No.",IF($D61="Customer",$L61,"@@"))</t>
  </si>
  <si>
    <t>=ABS(NF($C61,"Amount"))</t>
  </si>
  <si>
    <t>="""TRUST Nav"",""HSPMTB2016"",""17"",""1"",""3489"""</t>
  </si>
  <si>
    <t>=CONCATENATE(L62,"|",O62)</t>
  </si>
  <si>
    <t>=IF($D62="Customer",$D62,"G/L")</t>
  </si>
  <si>
    <t>=NL("First","Customer","Name","No.",IF($D62="Customer",$L62,"@@"))</t>
  </si>
  <si>
    <t>=ABS(NF($C62,"Amount"))</t>
  </si>
  <si>
    <t>="""TRUST Nav"",""HSPMTB2016"",""17"",""1"",""3490"""</t>
  </si>
  <si>
    <t>=CONCATENATE(L63,"|",O63)</t>
  </si>
  <si>
    <t>=IF($D63="Customer",$D63,"G/L")</t>
  </si>
  <si>
    <t>=NL("First","Customer","Name","No.",IF($D63="Customer",$L63,"@@"))</t>
  </si>
  <si>
    <t>=ABS(NF($C63,"Amount"))</t>
  </si>
  <si>
    <t>="""TRUST Nav"",""HSPMTB2016"",""17"",""1"",""3491"""</t>
  </si>
  <si>
    <t>=CONCATENATE(L64,"|",O64)</t>
  </si>
  <si>
    <t>=IF($D64="Customer",$D64,"G/L")</t>
  </si>
  <si>
    <t>=NL("First","Customer","Name","No.",IF($D64="Customer",$L64,"@@"))</t>
  </si>
  <si>
    <t>=ABS(NF($C64,"Amount"))</t>
  </si>
  <si>
    <t>="""TRUST Nav"",""HSPMTB2016"",""17"",""1"",""3492"""</t>
  </si>
  <si>
    <t>=CONCATENATE(L65,"|",O65)</t>
  </si>
  <si>
    <t>=IF($D65="Customer",$D65,"G/L")</t>
  </si>
  <si>
    <t>=NL("First","Customer","Name","No.",IF($D65="Customer",$L65,"@@"))</t>
  </si>
  <si>
    <t>=ABS(NF($C65,"Amount"))</t>
  </si>
  <si>
    <t>="""TRUST Nav"",""HSPMTB2016"",""17"",""1"",""3493"""</t>
  </si>
  <si>
    <t>=CONCATENATE(L66,"|",O66)</t>
  </si>
  <si>
    <t>=IF($D66="Customer",$D66,"G/L")</t>
  </si>
  <si>
    <t>=NL("First","Customer","Name","No.",IF($D66="Customer",$L66,"@@"))</t>
  </si>
  <si>
    <t>=ABS(NF($C66,"Amount"))</t>
  </si>
  <si>
    <t>="""TRUST Nav"",""HSPMTB2016"",""17"",""1"",""3494"""</t>
  </si>
  <si>
    <t>=CONCATENATE(L67,"|",O67)</t>
  </si>
  <si>
    <t>=IF($D67="Customer",$D67,"G/L")</t>
  </si>
  <si>
    <t>=NL("First","Customer","Name","No.",IF($D67="Customer",$L67,"@@"))</t>
  </si>
  <si>
    <t>=ABS(NF($C67,"Amount"))</t>
  </si>
  <si>
    <t>="""TRUST Nav"",""HSPMTB2016"",""17"",""1"",""3495"""</t>
  </si>
  <si>
    <t>=CONCATENATE(L68,"|",O68)</t>
  </si>
  <si>
    <t>=IF($D68="Customer",$D68,"G/L")</t>
  </si>
  <si>
    <t>=NL("First","Customer","Name","No.",IF($D68="Customer",$L68,"@@"))</t>
  </si>
  <si>
    <t>=ABS(NF($C68,"Amount"))</t>
  </si>
  <si>
    <t>="""TRUST Nav"",""HSPMTB2016"",""17"",""1"",""3496"""</t>
  </si>
  <si>
    <t>=CONCATENATE(L69,"|",O69)</t>
  </si>
  <si>
    <t>=IF($D69="Customer",$D69,"G/L")</t>
  </si>
  <si>
    <t>=NL("First","Customer","Name","No.",IF($D69="Customer",$L69,"@@"))</t>
  </si>
  <si>
    <t>=ABS(NF($C69,"Amount"))</t>
  </si>
  <si>
    <t>="""TRUST Nav"",""HSPMTB2016"",""17"",""1"",""3497"""</t>
  </si>
  <si>
    <t>=CONCATENATE(L70,"|",O70)</t>
  </si>
  <si>
    <t>=IF($D70="Customer",$D70,"G/L")</t>
  </si>
  <si>
    <t>=NL("First","Customer","Name","No.",IF($D70="Customer",$L70,"@@"))</t>
  </si>
  <si>
    <t>=ABS(NF($C70,"Amount"))</t>
  </si>
  <si>
    <t>="""TRUST Nav"",""HSPMTB2016"",""17"",""1"",""3498"""</t>
  </si>
  <si>
    <t>=CONCATENATE(L71,"|",O71)</t>
  </si>
  <si>
    <t>=IF($D71="Customer",$D71,"G/L")</t>
  </si>
  <si>
    <t>=NL("First","Customer","Name","No.",IF($D71="Customer",$L71,"@@"))</t>
  </si>
  <si>
    <t>=ABS(NF($C71,"Amount"))</t>
  </si>
  <si>
    <t>="""TRUST Nav"",""HSPMTB2016"",""17"",""1"",""3499"""</t>
  </si>
  <si>
    <t>=CONCATENATE(L72,"|",O72)</t>
  </si>
  <si>
    <t>=IF($D72="Customer",$D72,"G/L")</t>
  </si>
  <si>
    <t>=NL("First","Customer","Name","No.",IF($D72="Customer",$L72,"@@"))</t>
  </si>
  <si>
    <t>=ABS(NF($C72,"Amount"))</t>
  </si>
  <si>
    <t>="""TRUST Nav"",""HSPMTB2016"",""17"",""1"",""3500"""</t>
  </si>
  <si>
    <t>=CONCATENATE(L73,"|",O73)</t>
  </si>
  <si>
    <t>=IF($D73="Customer",$D73,"G/L")</t>
  </si>
  <si>
    <t>=NL("First","Customer","Name","No.",IF($D73="Customer",$L73,"@@"))</t>
  </si>
  <si>
    <t>=ABS(NF($C73,"Amount"))</t>
  </si>
  <si>
    <t>="""TRUST Nav"",""HSPMTB2016"",""17"",""1"",""3501"""</t>
  </si>
  <si>
    <t>=CONCATENATE(L74,"|",O74)</t>
  </si>
  <si>
    <t>=IF($D74="Customer",$D74,"G/L")</t>
  </si>
  <si>
    <t>=NL("First","Customer","Name","No.",IF($D74="Customer",$L74,"@@"))</t>
  </si>
  <si>
    <t>=ABS(NF($C74,"Amount"))</t>
  </si>
  <si>
    <t>="""TRUST Nav"",""HSPMTB2016"",""17"",""1"",""3502"""</t>
  </si>
  <si>
    <t>=CONCATENATE(L75,"|",O75)</t>
  </si>
  <si>
    <t>=IF($D75="Customer",$D75,"G/L")</t>
  </si>
  <si>
    <t>=NL("First","Customer","Name","No.",IF($D75="Customer",$L75,"@@"))</t>
  </si>
  <si>
    <t>=ABS(NF($C75,"Amount"))</t>
  </si>
  <si>
    <t>="""TRUST Nav"",""HSPMTB2016"",""17"",""1"",""3503"""</t>
  </si>
  <si>
    <t>=CONCATENATE(L76,"|",O76)</t>
  </si>
  <si>
    <t>=IF($D76="Customer",$D76,"G/L")</t>
  </si>
  <si>
    <t>=NL("First","Customer","Name","No.",IF($D76="Customer",$L76,"@@"))</t>
  </si>
  <si>
    <t>=ABS(NF($C76,"Amount"))</t>
  </si>
  <si>
    <t>="""TRUST Nav"",""HSPMTB2016"",""17"",""1"",""3504"""</t>
  </si>
  <si>
    <t>=CONCATENATE(L77,"|",O77)</t>
  </si>
  <si>
    <t>=IF($D77="Customer",$D77,"G/L")</t>
  </si>
  <si>
    <t>=NL("First","Customer","Name","No.",IF($D77="Customer",$L77,"@@"))</t>
  </si>
  <si>
    <t>=ABS(NF($C77,"Amount"))</t>
  </si>
  <si>
    <t>="""TRUST Nav"",""HSPMTB2016"",""17"",""1"",""3505"""</t>
  </si>
  <si>
    <t>=CONCATENATE(L78,"|",O78)</t>
  </si>
  <si>
    <t>=IF($D78="Customer",$D78,"G/L")</t>
  </si>
  <si>
    <t>=NL("First","Customer","Name","No.",IF($D78="Customer",$L78,"@@"))</t>
  </si>
  <si>
    <t>=ABS(NF($C78,"Amount"))</t>
  </si>
  <si>
    <t>="""TRUST Nav"",""HSPMTB2016"",""17"",""1"",""3506"""</t>
  </si>
  <si>
    <t>=CONCATENATE(L79,"|",O79)</t>
  </si>
  <si>
    <t>=IF($D79="Customer",$D79,"G/L")</t>
  </si>
  <si>
    <t>=NL("First","Customer","Name","No.",IF($D79="Customer",$L79,"@@"))</t>
  </si>
  <si>
    <t>=ABS(NF($C79,"Amount"))</t>
  </si>
  <si>
    <t>="""TRUST Nav"",""HSPMTB2016"",""17"",""1"",""3507"""</t>
  </si>
  <si>
    <t>=CONCATENATE(L80,"|",O80)</t>
  </si>
  <si>
    <t>=IF($D80="Customer",$D80,"G/L")</t>
  </si>
  <si>
    <t>=NL("First","Customer","Name","No.",IF($D80="Customer",$L80,"@@"))</t>
  </si>
  <si>
    <t>=ABS(NF($C80,"Amount"))</t>
  </si>
  <si>
    <t>="""TRUST Nav"",""HSPMTB2016"",""17"",""1"",""3508"""</t>
  </si>
  <si>
    <t>=CONCATENATE(L81,"|",O81)</t>
  </si>
  <si>
    <t>=IF($D81="Customer",$D81,"G/L")</t>
  </si>
  <si>
    <t>=NL("First","Customer","Name","No.",IF($D81="Customer",$L81,"@@"))</t>
  </si>
  <si>
    <t>=ABS(NF($C81,"Amount"))</t>
  </si>
  <si>
    <t>="""TRUST Nav"",""HSPMTB2016"",""17"",""1"",""3509"""</t>
  </si>
  <si>
    <t>=CONCATENATE(L82,"|",O82)</t>
  </si>
  <si>
    <t>=IF($D82="Customer",$D82,"G/L")</t>
  </si>
  <si>
    <t>=NL("First","Customer","Name","No.",IF($D82="Customer",$L82,"@@"))</t>
  </si>
  <si>
    <t>=ABS(NF($C82,"Amount"))</t>
  </si>
  <si>
    <t>="""TRUST Nav"",""HSPMTB2016"",""17"",""1"",""3510"""</t>
  </si>
  <si>
    <t>=CONCATENATE(L83,"|",O83)</t>
  </si>
  <si>
    <t>=IF($D83="Customer",$D83,"G/L")</t>
  </si>
  <si>
    <t>=NL("First","Customer","Name","No.",IF($D83="Customer",$L83,"@@"))</t>
  </si>
  <si>
    <t>=ABS(NF($C83,"Amount"))</t>
  </si>
  <si>
    <t>="""TRUST Nav"",""HSPMTB2016"",""17"",""1"",""3511"""</t>
  </si>
  <si>
    <t>=CONCATENATE(L84,"|",O84)</t>
  </si>
  <si>
    <t>=IF($D84="Customer",$D84,"G/L")</t>
  </si>
  <si>
    <t>=NL("First","Customer","Name","No.",IF($D84="Customer",$L84,"@@"))</t>
  </si>
  <si>
    <t>=ABS(NF($C84,"Amount"))</t>
  </si>
  <si>
    <t>="""TRUST Nav"",""HSPMTB2016"",""17"",""1"",""3512"""</t>
  </si>
  <si>
    <t>=CONCATENATE(L85,"|",O85)</t>
  </si>
  <si>
    <t>=IF($D85="Customer",$D85,"G/L")</t>
  </si>
  <si>
    <t>=NL("First","Customer","Name","No.",IF($D85="Customer",$L85,"@@"))</t>
  </si>
  <si>
    <t>=ABS(NF($C85,"Amount"))</t>
  </si>
  <si>
    <t>="""TRUST Nav"",""HSPMTB2016"",""17"",""1"",""3513"""</t>
  </si>
  <si>
    <t>=CONCATENATE(L86,"|",O86)</t>
  </si>
  <si>
    <t>=IF($D86="Customer",$D86,"G/L")</t>
  </si>
  <si>
    <t>=NL("First","Customer","Name","No.",IF($D86="Customer",$L86,"@@"))</t>
  </si>
  <si>
    <t>=ABS(NF($C86,"Amount"))</t>
  </si>
  <si>
    <t>="""TRUST Nav"",""HSPMTB2016"",""17"",""1"",""3514"""</t>
  </si>
  <si>
    <t>=CONCATENATE(L87,"|",O87)</t>
  </si>
  <si>
    <t>=IF($D87="Customer",$D87,"G/L")</t>
  </si>
  <si>
    <t>=NL("First","Customer","Name","No.",IF($D87="Customer",$L87,"@@"))</t>
  </si>
  <si>
    <t>=ABS(NF($C87,"Amount"))</t>
  </si>
  <si>
    <t>="""TRUST Nav"",""HSPMTB2016"",""17"",""1"",""3515"""</t>
  </si>
  <si>
    <t>=CONCATENATE(L88,"|",O88)</t>
  </si>
  <si>
    <t>=IF($D88="Customer",$D88,"G/L")</t>
  </si>
  <si>
    <t>=NL("First","Customer","Name","No.",IF($D88="Customer",$L88,"@@"))</t>
  </si>
  <si>
    <t>=ABS(NF($C88,"Amount"))</t>
  </si>
  <si>
    <t>="""TRUST Nav"",""HSPMTB2016"",""17"",""1"",""3516"""</t>
  </si>
  <si>
    <t>=CONCATENATE(L89,"|",O89)</t>
  </si>
  <si>
    <t>=IF($D89="Customer",$D89,"G/L")</t>
  </si>
  <si>
    <t>=NL("First","Customer","Name","No.",IF($D89="Customer",$L89,"@@"))</t>
  </si>
  <si>
    <t>=ABS(NF($C89,"Amount"))</t>
  </si>
  <si>
    <t>="""TRUST Nav"",""HSPMTB2016"",""17"",""1"",""3517"""</t>
  </si>
  <si>
    <t>=CONCATENATE(L90,"|",O90)</t>
  </si>
  <si>
    <t>=IF($D90="Customer",$D90,"G/L")</t>
  </si>
  <si>
    <t>=NL("First","Customer","Name","No.",IF($D90="Customer",$L90,"@@"))</t>
  </si>
  <si>
    <t>=ABS(NF($C90,"Amount"))</t>
  </si>
  <si>
    <t>="""TRUST Nav"",""HSPMTB2016"",""17"",""1"",""3518"""</t>
  </si>
  <si>
    <t>=CONCATENATE(L91,"|",O91)</t>
  </si>
  <si>
    <t>=IF($D91="Customer",$D91,"G/L")</t>
  </si>
  <si>
    <t>=NL("First","Customer","Name","No.",IF($D91="Customer",$L91,"@@"))</t>
  </si>
  <si>
    <t>=ABS(NF($C91,"Amount"))</t>
  </si>
  <si>
    <t>="""TRUST Nav"",""HSPMTB2016"",""17"",""1"",""3519"""</t>
  </si>
  <si>
    <t>=CONCATENATE(L92,"|",O92)</t>
  </si>
  <si>
    <t>=IF($D92="Customer",$D92,"G/L")</t>
  </si>
  <si>
    <t>=NL("First","Customer","Name","No.",IF($D92="Customer",$L92,"@@"))</t>
  </si>
  <si>
    <t>=ABS(NF($C92,"Amount"))</t>
  </si>
  <si>
    <t>="""TRUST Nav"",""HSPMTB2016"",""17"",""1"",""3520"""</t>
  </si>
  <si>
    <t>=CONCATENATE(L93,"|",O93)</t>
  </si>
  <si>
    <t>=IF($D93="Customer",$D93,"G/L")</t>
  </si>
  <si>
    <t>=NL("First","Customer","Name","No.",IF($D93="Customer",$L93,"@@"))</t>
  </si>
  <si>
    <t>=ABS(NF($C93,"Amount"))</t>
  </si>
  <si>
    <t>="""TRUST Nav"",""HSPMTB2016"",""17"",""1"",""3521"""</t>
  </si>
  <si>
    <t>=CONCATENATE(L94,"|",O94)</t>
  </si>
  <si>
    <t>=IF($D94="Customer",$D94,"G/L")</t>
  </si>
  <si>
    <t>=NL("First","Customer","Name","No.",IF($D94="Customer",$L94,"@@"))</t>
  </si>
  <si>
    <t>=ABS(NF($C94,"Amount"))</t>
  </si>
  <si>
    <t>="""TRUST Nav"",""HSPMTB2016"",""17"",""1"",""3522"""</t>
  </si>
  <si>
    <t>=CONCATENATE(L95,"|",O95)</t>
  </si>
  <si>
    <t>=IF($D95="Customer",$D95,"G/L")</t>
  </si>
  <si>
    <t>=NL("First","Customer","Name","No.",IF($D95="Customer",$L95,"@@"))</t>
  </si>
  <si>
    <t>=ABS(NF($C95,"Amount"))</t>
  </si>
  <si>
    <t>="""TRUST Nav"",""HSPMTB2016"",""17"",""1"",""3523"""</t>
  </si>
  <si>
    <t>=CONCATENATE(L96,"|",O96)</t>
  </si>
  <si>
    <t>=IF($D96="Customer",$D96,"G/L")</t>
  </si>
  <si>
    <t>=NL("First","Customer","Name","No.",IF($D96="Customer",$L96,"@@"))</t>
  </si>
  <si>
    <t>=ABS(NF($C96,"Amount"))</t>
  </si>
  <si>
    <t>="""TRUST Nav"",""HSPMTB2016"",""17"",""1"",""3524"""</t>
  </si>
  <si>
    <t>=CONCATENATE(L97,"|",O97)</t>
  </si>
  <si>
    <t>=IF($D97="Customer",$D97,"G/L")</t>
  </si>
  <si>
    <t>=NL("First","Customer","Name","No.",IF($D97="Customer",$L97,"@@"))</t>
  </si>
  <si>
    <t>=ABS(NF($C97,"Amount"))</t>
  </si>
  <si>
    <t>="""TRUST Nav"",""HSPMTB2016"",""17"",""1"",""3525"""</t>
  </si>
  <si>
    <t>=CONCATENATE(L98,"|",O98)</t>
  </si>
  <si>
    <t>=IF($D98="Customer",$D98,"G/L")</t>
  </si>
  <si>
    <t>=NL("First","Customer","Name","No.",IF($D98="Customer",$L98,"@@"))</t>
  </si>
  <si>
    <t>=ABS(NF($C98,"Amount"))</t>
  </si>
  <si>
    <t>="""TRUST Nav"",""HSPMTB2016"",""17"",""1"",""3526"""</t>
  </si>
  <si>
    <t>=CONCATENATE(L99,"|",O99)</t>
  </si>
  <si>
    <t>=IF($D99="Customer",$D99,"G/L")</t>
  </si>
  <si>
    <t>=NL("First","Customer","Name","No.",IF($D99="Customer",$L99,"@@"))</t>
  </si>
  <si>
    <t>=ABS(NF($C99,"Amount"))</t>
  </si>
  <si>
    <t>="""TRUST Nav"",""HSPMTB2016"",""17"",""1"",""3527"""</t>
  </si>
  <si>
    <t>=CONCATENATE(L100,"|",O100)</t>
  </si>
  <si>
    <t>=IF($D100="Customer",$D100,"G/L")</t>
  </si>
  <si>
    <t>=NL("First","Customer","Name","No.",IF($D100="Customer",$L100,"@@"))</t>
  </si>
  <si>
    <t>=ABS(NF($C100,"Amount"))</t>
  </si>
  <si>
    <t>="""TRUST Nav"",""HSPMTB2016"",""17"",""1"",""3528"""</t>
  </si>
  <si>
    <t>=CONCATENATE(L101,"|",O101)</t>
  </si>
  <si>
    <t>=IF($D101="Customer",$D101,"G/L")</t>
  </si>
  <si>
    <t>=NL("First","Customer","Name","No.",IF($D101="Customer",$L101,"@@"))</t>
  </si>
  <si>
    <t>=ABS(NF($C101,"Amount"))</t>
  </si>
  <si>
    <t>="""TRUST Nav"",""HSPMTB2016"",""17"",""1"",""3529"""</t>
  </si>
  <si>
    <t>=CONCATENATE(L102,"|",O102)</t>
  </si>
  <si>
    <t>=IF($D102="Customer",$D102,"G/L")</t>
  </si>
  <si>
    <t>=NL("First","Customer","Name","No.",IF($D102="Customer",$L102,"@@"))</t>
  </si>
  <si>
    <t>=ABS(NF($C102,"Amount"))</t>
  </si>
  <si>
    <t>="""TRUST Nav"",""HSPMTB2016"",""17"",""1"",""3530"""</t>
  </si>
  <si>
    <t>=CONCATENATE(L103,"|",O103)</t>
  </si>
  <si>
    <t>=IF($D103="Customer",$D103,"G/L")</t>
  </si>
  <si>
    <t>=NL("First","Customer","Name","No.",IF($D103="Customer",$L103,"@@"))</t>
  </si>
  <si>
    <t>=ABS(NF($C103,"Amount"))</t>
  </si>
  <si>
    <t>="""TRUST Nav"",""HSPMTB2016"",""17"",""1"",""3531"""</t>
  </si>
  <si>
    <t>=CONCATENATE(L104,"|",O104)</t>
  </si>
  <si>
    <t>=IF($D104="Customer",$D104,"G/L")</t>
  </si>
  <si>
    <t>=NL("First","Customer","Name","No.",IF($D104="Customer",$L104,"@@"))</t>
  </si>
  <si>
    <t>=ABS(NF($C104,"Amount"))</t>
  </si>
  <si>
    <t>="""TRUST Nav"",""HSPMTB2016"",""17"",""1"",""3532"""</t>
  </si>
  <si>
    <t>=CONCATENATE(L105,"|",O105)</t>
  </si>
  <si>
    <t>=IF($D105="Customer",$D105,"G/L")</t>
  </si>
  <si>
    <t>=NL("First","Customer","Name","No.",IF($D105="Customer",$L105,"@@"))</t>
  </si>
  <si>
    <t>=ABS(NF($C105,"Amount"))</t>
  </si>
  <si>
    <t>="""TRUST Nav"",""HSPMTB2016"",""17"",""1"",""3533"""</t>
  </si>
  <si>
    <t>=CONCATENATE(L106,"|",O106)</t>
  </si>
  <si>
    <t>=IF($D106="Customer",$D106,"G/L")</t>
  </si>
  <si>
    <t>=NL("First","Customer","Name","No.",IF($D106="Customer",$L106,"@@"))</t>
  </si>
  <si>
    <t>=ABS(NF($C106,"Amount"))</t>
  </si>
  <si>
    <t>="""TRUST Nav"",""HSPMTB2016"",""17"",""1"",""3534"""</t>
  </si>
  <si>
    <t>=CONCATENATE(L107,"|",O107)</t>
  </si>
  <si>
    <t>=IF($D107="Customer",$D107,"G/L")</t>
  </si>
  <si>
    <t>=NL("First","Customer","Name","No.",IF($D107="Customer",$L107,"@@"))</t>
  </si>
  <si>
    <t>=ABS(NF($C107,"Amount"))</t>
  </si>
  <si>
    <t>="""TRUST Nav"",""HSPMTB2016"",""17"",""1"",""3535"""</t>
  </si>
  <si>
    <t>=CONCATENATE(L108,"|",O108)</t>
  </si>
  <si>
    <t>=IF($D108="Customer",$D108,"G/L")</t>
  </si>
  <si>
    <t>=NL("First","Customer","Name","No.",IF($D108="Customer",$L108,"@@"))</t>
  </si>
  <si>
    <t>=ABS(NF($C108,"Amount"))</t>
  </si>
  <si>
    <t>="""TRUST Nav"",""HSPMTB2016"",""17"",""1"",""3536"""</t>
  </si>
  <si>
    <t>=CONCATENATE(L109,"|",O109)</t>
  </si>
  <si>
    <t>=IF($D109="Customer",$D109,"G/L")</t>
  </si>
  <si>
    <t>=NL("First","Customer","Name","No.",IF($D109="Customer",$L109,"@@"))</t>
  </si>
  <si>
    <t>=ABS(NF($C109,"Amount"))</t>
  </si>
  <si>
    <t>="""TRUST Nav"",""HSPMTB2016"",""17"",""1"",""3537"""</t>
  </si>
  <si>
    <t>=CONCATENATE(L110,"|",O110)</t>
  </si>
  <si>
    <t>=IF($D110="Customer",$D110,"G/L")</t>
  </si>
  <si>
    <t>=NL("First","Customer","Name","No.",IF($D110="Customer",$L110,"@@"))</t>
  </si>
  <si>
    <t>=ABS(NF($C110,"Amount"))</t>
  </si>
  <si>
    <t>="""TRUST Nav"",""HSPMTB2016"",""17"",""1"",""3538"""</t>
  </si>
  <si>
    <t>=CONCATENATE(L111,"|",O111)</t>
  </si>
  <si>
    <t>=IF($D111="Customer",$D111,"G/L")</t>
  </si>
  <si>
    <t>=NL("First","Customer","Name","No.",IF($D111="Customer",$L111,"@@"))</t>
  </si>
  <si>
    <t>=ABS(NF($C111,"Amount"))</t>
  </si>
  <si>
    <t>="""TRUST Nav"",""HSPMTB2016"",""17"",""1"",""3539"""</t>
  </si>
  <si>
    <t>=CONCATENATE(L112,"|",O112)</t>
  </si>
  <si>
    <t>=IF($D112="Customer",$D112,"G/L")</t>
  </si>
  <si>
    <t>=NL("First","Customer","Name","No.",IF($D112="Customer",$L112,"@@"))</t>
  </si>
  <si>
    <t>=ABS(NF($C112,"Amount"))</t>
  </si>
  <si>
    <t>="""TRUST Nav"",""HSPMTB2016"",""17"",""1"",""3540"""</t>
  </si>
  <si>
    <t>=CONCATENATE(L113,"|",O113)</t>
  </si>
  <si>
    <t>=IF($D113="Customer",$D113,"G/L")</t>
  </si>
  <si>
    <t>=NL("First","Customer","Name","No.",IF($D113="Customer",$L113,"@@"))</t>
  </si>
  <si>
    <t>=ABS(NF($C113,"Amount"))</t>
  </si>
  <si>
    <t>="""TRUST Nav"",""HSPMTB2016"",""17"",""1"",""3541"""</t>
  </si>
  <si>
    <t>=CONCATENATE(L114,"|",O114)</t>
  </si>
  <si>
    <t>=IF($D114="Customer",$D114,"G/L")</t>
  </si>
  <si>
    <t>=NL("First","Customer","Name","No.",IF($D114="Customer",$L114,"@@"))</t>
  </si>
  <si>
    <t>=ABS(NF($C114,"Amount"))</t>
  </si>
  <si>
    <t>="""TRUST Nav"",""HSPMTB2016"",""17"",""1"",""3542"""</t>
  </si>
  <si>
    <t>=CONCATENATE(L115,"|",O115)</t>
  </si>
  <si>
    <t>=IF($D115="Customer",$D115,"G/L")</t>
  </si>
  <si>
    <t>=NL("First","Customer","Name","No.",IF($D115="Customer",$L115,"@@"))</t>
  </si>
  <si>
    <t>=ABS(NF($C115,"Amount"))</t>
  </si>
  <si>
    <t>="""TRUST Nav"",""HSPMTB2016"",""17"",""1"",""3543"""</t>
  </si>
  <si>
    <t>=CONCATENATE(L116,"|",O116)</t>
  </si>
  <si>
    <t>=IF($D116="Customer",$D116,"G/L")</t>
  </si>
  <si>
    <t>=NL("First","Customer","Name","No.",IF($D116="Customer",$L116,"@@"))</t>
  </si>
  <si>
    <t>=ABS(NF($C116,"Amount"))</t>
  </si>
  <si>
    <t>="""TRUST Nav"",""HSPMTB2016"",""17"",""1"",""3544"""</t>
  </si>
  <si>
    <t>=CONCATENATE(L117,"|",O117)</t>
  </si>
  <si>
    <t>=IF($D117="Customer",$D117,"G/L")</t>
  </si>
  <si>
    <t>=NL("First","Customer","Name","No.",IF($D117="Customer",$L117,"@@"))</t>
  </si>
  <si>
    <t>=ABS(NF($C117,"Amount"))</t>
  </si>
  <si>
    <t>="""TRUST Nav"",""HSPMTB2016"",""17"",""1"",""3545"""</t>
  </si>
  <si>
    <t>=CONCATENATE(L118,"|",O118)</t>
  </si>
  <si>
    <t>=IF($D118="Customer",$D118,"G/L")</t>
  </si>
  <si>
    <t>=NL("First","Customer","Name","No.",IF($D118="Customer",$L118,"@@"))</t>
  </si>
  <si>
    <t>=ABS(NF($C118,"Amount"))</t>
  </si>
  <si>
    <t>="""TRUST Nav"",""HSPMTB2016"",""17"",""1"",""3546"""</t>
  </si>
  <si>
    <t>=CONCATENATE(L119,"|",O119)</t>
  </si>
  <si>
    <t>=IF($D119="Customer",$D119,"G/L")</t>
  </si>
  <si>
    <t>=NL("First","Customer","Name","No.",IF($D119="Customer",$L119,"@@"))</t>
  </si>
  <si>
    <t>=ABS(NF($C119,"Amount"))</t>
  </si>
  <si>
    <t>="""TRUST Nav"",""HSPMTB2016"",""17"",""1"",""3547"""</t>
  </si>
  <si>
    <t>=CONCATENATE(L120,"|",O120)</t>
  </si>
  <si>
    <t>=IF($D120="Customer",$D120,"G/L")</t>
  </si>
  <si>
    <t>=NL("First","Customer","Name","No.",IF($D120="Customer",$L120,"@@"))</t>
  </si>
  <si>
    <t>=ABS(NF($C120,"Amount"))</t>
  </si>
  <si>
    <t>="""TRUST Nav"",""HSPMTB2016"",""17"",""1"",""3548"""</t>
  </si>
  <si>
    <t>=CONCATENATE(L121,"|",O121)</t>
  </si>
  <si>
    <t>=IF($D121="Customer",$D121,"G/L")</t>
  </si>
  <si>
    <t>=NL("First","Customer","Name","No.",IF($D121="Customer",$L121,"@@"))</t>
  </si>
  <si>
    <t>=ABS(NF($C121,"Amount"))</t>
  </si>
  <si>
    <t>="""TRUST Nav"",""HSPMTB2016"",""17"",""1"",""3549"""</t>
  </si>
  <si>
    <t>=CONCATENATE(L122,"|",O122)</t>
  </si>
  <si>
    <t>=IF($D122="Customer",$D122,"G/L")</t>
  </si>
  <si>
    <t>=NL("First","Customer","Name","No.",IF($D122="Customer",$L122,"@@"))</t>
  </si>
  <si>
    <t>=ABS(NF($C122,"Amount"))</t>
  </si>
  <si>
    <t>="""TRUST Nav"",""HSPMTB2016"",""17"",""1"",""3550"""</t>
  </si>
  <si>
    <t>=CONCATENATE(L123,"|",O123)</t>
  </si>
  <si>
    <t>=IF($D123="Customer",$D123,"G/L")</t>
  </si>
  <si>
    <t>=NL("First","Customer","Name","No.",IF($D123="Customer",$L123,"@@"))</t>
  </si>
  <si>
    <t>=ABS(NF($C123,"Amount"))</t>
  </si>
  <si>
    <t>="""TRUST Nav"",""HSPMTB2016"",""17"",""1"",""3551"""</t>
  </si>
  <si>
    <t>=CONCATENATE(L124,"|",O124)</t>
  </si>
  <si>
    <t>=IF($D124="Customer",$D124,"G/L")</t>
  </si>
  <si>
    <t>=NL("First","Customer","Name","No.",IF($D124="Customer",$L124,"@@"))</t>
  </si>
  <si>
    <t>=ABS(NF($C124,"Amount"))</t>
  </si>
  <si>
    <t>="""TRUST Nav"",""HSPMTB2016"",""17"",""1"",""3552"""</t>
  </si>
  <si>
    <t>=CONCATENATE(L125,"|",O125)</t>
  </si>
  <si>
    <t>=IF($D125="Customer",$D125,"G/L")</t>
  </si>
  <si>
    <t>=NL("First","Customer","Name","No.",IF($D125="Customer",$L125,"@@"))</t>
  </si>
  <si>
    <t>=ABS(NF($C125,"Amount"))</t>
  </si>
  <si>
    <t>="""TRUST Nav"",""HSPMTB2016"",""17"",""1"",""3553"""</t>
  </si>
  <si>
    <t>=CONCATENATE(L126,"|",O126)</t>
  </si>
  <si>
    <t>=IF($D126="Customer",$D126,"G/L")</t>
  </si>
  <si>
    <t>=NL("First","Customer","Name","No.",IF($D126="Customer",$L126,"@@"))</t>
  </si>
  <si>
    <t>=ABS(NF($C126,"Amount"))</t>
  </si>
  <si>
    <t>="""TRUST Nav"",""HSPMTB2016"",""17"",""1"",""3554"""</t>
  </si>
  <si>
    <t>=CONCATENATE(L127,"|",O127)</t>
  </si>
  <si>
    <t>=IF($D127="Customer",$D127,"G/L")</t>
  </si>
  <si>
    <t>=NL("First","Customer","Name","No.",IF($D127="Customer",$L127,"@@"))</t>
  </si>
  <si>
    <t>=ABS(NF($C127,"Amount"))</t>
  </si>
  <si>
    <t>="""TRUST Nav"",""HSPMTB2016"",""17"",""1"",""3555"""</t>
  </si>
  <si>
    <t>=CONCATENATE(L128,"|",O128)</t>
  </si>
  <si>
    <t>=IF($D128="Customer",$D128,"G/L")</t>
  </si>
  <si>
    <t>=NL("First","Customer","Name","No.",IF($D128="Customer",$L128,"@@"))</t>
  </si>
  <si>
    <t>=ABS(NF($C128,"Amount"))</t>
  </si>
  <si>
    <t>="""TRUST Nav"",""HSPMTB2016"",""17"",""1"",""3556"""</t>
  </si>
  <si>
    <t>=CONCATENATE(L129,"|",O129)</t>
  </si>
  <si>
    <t>=IF($D129="Customer",$D129,"G/L")</t>
  </si>
  <si>
    <t>=NL("First","Customer","Name","No.",IF($D129="Customer",$L129,"@@"))</t>
  </si>
  <si>
    <t>=ABS(NF($C129,"Amount"))</t>
  </si>
  <si>
    <t>="""TRUST Nav"",""HSPMTB2016"",""17"",""1"",""3557"""</t>
  </si>
  <si>
    <t>=CONCATENATE(L130,"|",O130)</t>
  </si>
  <si>
    <t>=IF($D130="Customer",$D130,"G/L")</t>
  </si>
  <si>
    <t>=NL("First","Customer","Name","No.",IF($D130="Customer",$L130,"@@"))</t>
  </si>
  <si>
    <t>=ABS(NF($C130,"Amount"))</t>
  </si>
  <si>
    <t>="""TRUST Nav"",""HSPMTB2016"",""17"",""1"",""3558"""</t>
  </si>
  <si>
    <t>=CONCATENATE(L131,"|",O131)</t>
  </si>
  <si>
    <t>=IF($D131="Customer",$D131,"G/L")</t>
  </si>
  <si>
    <t>=NL("First","Customer","Name","No.",IF($D131="Customer",$L131,"@@"))</t>
  </si>
  <si>
    <t>=ABS(NF($C131,"Amount"))</t>
  </si>
  <si>
    <t>="""TRUST Nav"",""HSPMTB2016"",""17"",""1"",""3559"""</t>
  </si>
  <si>
    <t>=CONCATENATE(L132,"|",O132)</t>
  </si>
  <si>
    <t>=IF($D132="Customer",$D132,"G/L")</t>
  </si>
  <si>
    <t>=NL("First","Customer","Name","No.",IF($D132="Customer",$L132,"@@"))</t>
  </si>
  <si>
    <t>=ABS(NF($C132,"Amount"))</t>
  </si>
  <si>
    <t>="""TRUST Nav"",""HSPMTB2016"",""17"",""1"",""3560"""</t>
  </si>
  <si>
    <t>=CONCATENATE(L133,"|",O133)</t>
  </si>
  <si>
    <t>=IF($D133="Customer",$D133,"G/L")</t>
  </si>
  <si>
    <t>=NL("First","Customer","Name","No.",IF($D133="Customer",$L133,"@@"))</t>
  </si>
  <si>
    <t>=ABS(NF($C133,"Amount"))</t>
  </si>
  <si>
    <t>="""TRUST Nav"",""HSPMTB2016"",""17"",""1"",""3561"""</t>
  </si>
  <si>
    <t>=CONCATENATE(L134,"|",O134)</t>
  </si>
  <si>
    <t>=IF($D134="Customer",$D134,"G/L")</t>
  </si>
  <si>
    <t>=NL("First","Customer","Name","No.",IF($D134="Customer",$L134,"@@"))</t>
  </si>
  <si>
    <t>=ABS(NF($C134,"Amount"))</t>
  </si>
  <si>
    <t>="""TRUST Nav"",""HSPMTB2016"",""17"",""1"",""3562"""</t>
  </si>
  <si>
    <t>=CONCATENATE(L135,"|",O135)</t>
  </si>
  <si>
    <t>=IF($D135="Customer",$D135,"G/L")</t>
  </si>
  <si>
    <t>=NL("First","Customer","Name","No.",IF($D135="Customer",$L135,"@@"))</t>
  </si>
  <si>
    <t>=ABS(NF($C135,"Amount"))</t>
  </si>
  <si>
    <t>="""TRUST Nav"",""HSPMTB2016"",""17"",""1"",""3563"""</t>
  </si>
  <si>
    <t>=CONCATENATE(L136,"|",O136)</t>
  </si>
  <si>
    <t>=IF($D136="Customer",$D136,"G/L")</t>
  </si>
  <si>
    <t>=NL("First","Customer","Name","No.",IF($D136="Customer",$L136,"@@"))</t>
  </si>
  <si>
    <t>=ABS(NF($C136,"Amount"))</t>
  </si>
  <si>
    <t>="""TRUST Nav"",""HSPMTB2016"",""17"",""1"",""3564"""</t>
  </si>
  <si>
    <t>=CONCATENATE(L137,"|",O137)</t>
  </si>
  <si>
    <t>=IF($D137="Customer",$D137,"G/L")</t>
  </si>
  <si>
    <t>=NL("First","Customer","Name","No.",IF($D137="Customer",$L137,"@@"))</t>
  </si>
  <si>
    <t>=ABS(NF($C137,"Amount"))</t>
  </si>
  <si>
    <t>="""TRUST Nav"",""HSPMTB2016"",""17"",""1"",""3565"""</t>
  </si>
  <si>
    <t>=CONCATENATE(L138,"|",O138)</t>
  </si>
  <si>
    <t>=IF($D138="Customer",$D138,"G/L")</t>
  </si>
  <si>
    <t>=NL("First","Customer","Name","No.",IF($D138="Customer",$L138,"@@"))</t>
  </si>
  <si>
    <t>=ABS(NF($C138,"Amount"))</t>
  </si>
  <si>
    <t>="""TRUST Nav"",""HSPMTB2016"",""17"",""1"",""3566"""</t>
  </si>
  <si>
    <t>=CONCATENATE(L139,"|",O139)</t>
  </si>
  <si>
    <t>=IF($D139="Customer",$D139,"G/L")</t>
  </si>
  <si>
    <t>=NL("First","Customer","Name","No.",IF($D139="Customer",$L139,"@@"))</t>
  </si>
  <si>
    <t>=ABS(NF($C139,"Amount"))</t>
  </si>
  <si>
    <t>="""TRUST Nav"",""HSPMTB2016"",""17"",""1"",""3567"""</t>
  </si>
  <si>
    <t>=CONCATENATE(L140,"|",O140)</t>
  </si>
  <si>
    <t>=IF($D140="Customer",$D140,"G/L")</t>
  </si>
  <si>
    <t>=NL("First","Customer","Name","No.",IF($D140="Customer",$L140,"@@"))</t>
  </si>
  <si>
    <t>=ABS(NF($C140,"Amount"))</t>
  </si>
  <si>
    <t>="""TRUST Nav"",""HSPMTB2016"",""17"",""1"",""3568"""</t>
  </si>
  <si>
    <t>=CONCATENATE(L141,"|",O141)</t>
  </si>
  <si>
    <t>=IF($D141="Customer",$D141,"G/L")</t>
  </si>
  <si>
    <t>=NL("First","Customer","Name","No.",IF($D141="Customer",$L141,"@@"))</t>
  </si>
  <si>
    <t>=ABS(NF($C141,"Amount"))</t>
  </si>
  <si>
    <t>="""TRUST Nav"",""HSPMTB2016"",""17"",""1"",""3569"""</t>
  </si>
  <si>
    <t>=CONCATENATE(L142,"|",O142)</t>
  </si>
  <si>
    <t>=IF($D142="Customer",$D142,"G/L")</t>
  </si>
  <si>
    <t>=NL("First","Customer","Name","No.",IF($D142="Customer",$L142,"@@"))</t>
  </si>
  <si>
    <t>=ABS(NF($C142,"Amount"))</t>
  </si>
  <si>
    <t>="""TRUST Nav"",""HSPMTB2016"",""17"",""1"",""3570"""</t>
  </si>
  <si>
    <t>=CONCATENATE(L143,"|",O143)</t>
  </si>
  <si>
    <t>=IF($D143="Customer",$D143,"G/L")</t>
  </si>
  <si>
    <t>=NL("First","Customer","Name","No.",IF($D143="Customer",$L143,"@@"))</t>
  </si>
  <si>
    <t>=ABS(NF($C143,"Amount"))</t>
  </si>
  <si>
    <t>="""TRUST Nav"",""HSPMTB2016"",""17"",""1"",""3571"""</t>
  </si>
  <si>
    <t>=CONCATENATE(L144,"|",O144)</t>
  </si>
  <si>
    <t>=IF($D144="Customer",$D144,"G/L")</t>
  </si>
  <si>
    <t>=NL("First","Customer","Name","No.",IF($D144="Customer",$L144,"@@"))</t>
  </si>
  <si>
    <t>=ABS(NF($C144,"Amount"))</t>
  </si>
  <si>
    <t>="""TRUST Nav"",""HSPMTB2016"",""17"",""1"",""3572"""</t>
  </si>
  <si>
    <t>=CONCATENATE(L145,"|",O145)</t>
  </si>
  <si>
    <t>=IF($D145="Customer",$D145,"G/L")</t>
  </si>
  <si>
    <t>=NL("First","Customer","Name","No.",IF($D145="Customer",$L145,"@@"))</t>
  </si>
  <si>
    <t>=ABS(NF($C145,"Amount"))</t>
  </si>
  <si>
    <t>="""TRUST Nav"",""HSPMTB2016"",""17"",""1"",""3573"""</t>
  </si>
  <si>
    <t>=CONCATENATE(L146,"|",O146)</t>
  </si>
  <si>
    <t>=IF($D146="Customer",$D146,"G/L")</t>
  </si>
  <si>
    <t>=NL("First","Customer","Name","No.",IF($D146="Customer",$L146,"@@"))</t>
  </si>
  <si>
    <t>=ABS(NF($C146,"Amount"))</t>
  </si>
  <si>
    <t>="""TRUST Nav"",""HSPMTB2016"",""17"",""1"",""73436"""</t>
  </si>
  <si>
    <t>=CONCATENATE(L147,"|",O147)</t>
  </si>
  <si>
    <t>=IF($D147="Customer",$D147,"G/L")</t>
  </si>
  <si>
    <t>=NL("First","Customer","Name","No.",IF($D147="Customer",$L147,"@@"))</t>
  </si>
  <si>
    <t>=ABS(NF($C147,"Amount"))</t>
  </si>
  <si>
    <t>="""TRUST Nav"",""HSPMTB2016"",""17"",""1"",""73417"""</t>
  </si>
  <si>
    <t>=CONCATENATE(L148,"|",O148)</t>
  </si>
  <si>
    <t>=IF($D148="Customer",$D148,"G/L")</t>
  </si>
  <si>
    <t>=NL("First","Customer","Name","No.",IF($D148="Customer",$L148,"@@"))</t>
  </si>
  <si>
    <t>=ABS(NF($C148,"Amount"))</t>
  </si>
  <si>
    <t>="""TRUST Nav"",""HSPMTB2016"",""17"",""1"",""73418"""</t>
  </si>
  <si>
    <t>=CONCATENATE(L149,"|",O149)</t>
  </si>
  <si>
    <t>=IF($D149="Customer",$D149,"G/L")</t>
  </si>
  <si>
    <t>=NL("First","Customer","Name","No.",IF($D149="Customer",$L149,"@@"))</t>
  </si>
  <si>
    <t>=ABS(NF($C149,"Amount"))</t>
  </si>
  <si>
    <t>="""TRUST Nav"",""HSPMTB2016"",""17"",""1"",""73419"""</t>
  </si>
  <si>
    <t>=CONCATENATE(L150,"|",O150)</t>
  </si>
  <si>
    <t>=IF($D150="Customer",$D150,"G/L")</t>
  </si>
  <si>
    <t>=NL("First","Customer","Name","No.",IF($D150="Customer",$L150,"@@"))</t>
  </si>
  <si>
    <t>=ABS(NF($C150,"Amount"))</t>
  </si>
  <si>
    <t>="""TRUST Nav"",""HSPMTB2016"",""17"",""1"",""73420"""</t>
  </si>
  <si>
    <t>=CONCATENATE(L151,"|",O151)</t>
  </si>
  <si>
    <t>=IF($D151="Customer",$D151,"G/L")</t>
  </si>
  <si>
    <t>=NL("First","Customer","Name","No.",IF($D151="Customer",$L151,"@@"))</t>
  </si>
  <si>
    <t>=ABS(NF($C151,"Amount"))</t>
  </si>
  <si>
    <t>="""TRUST Nav"",""HSPMTB2016"",""17"",""1"",""73421"""</t>
  </si>
  <si>
    <t>=CONCATENATE(L152,"|",O152)</t>
  </si>
  <si>
    <t>=IF($D152="Customer",$D152,"G/L")</t>
  </si>
  <si>
    <t>=NL("First","Customer","Name","No.",IF($D152="Customer",$L152,"@@"))</t>
  </si>
  <si>
    <t>=ABS(NF($C152,"Amount"))</t>
  </si>
  <si>
    <t>="""TRUST Nav"",""HSPMTB2016"",""17"",""1"",""73422"""</t>
  </si>
  <si>
    <t>=CONCATENATE(L153,"|",O153)</t>
  </si>
  <si>
    <t>=IF($D153="Customer",$D153,"G/L")</t>
  </si>
  <si>
    <t>=NL("First","Customer","Name","No.",IF($D153="Customer",$L153,"@@"))</t>
  </si>
  <si>
    <t>=ABS(NF($C153,"Amount"))</t>
  </si>
  <si>
    <t>="""TRUST Nav"",""HSPMTB2016"",""17"",""1"",""73423"""</t>
  </si>
  <si>
    <t>=CONCATENATE(L154,"|",O154)</t>
  </si>
  <si>
    <t>=IF($D154="Customer",$D154,"G/L")</t>
  </si>
  <si>
    <t>=NL("First","Customer","Name","No.",IF($D154="Customer",$L154,"@@"))</t>
  </si>
  <si>
    <t>=ABS(NF($C154,"Amount"))</t>
  </si>
  <si>
    <t>="""TRUST Nav"",""HSPMTB2016"",""17"",""1"",""73424"""</t>
  </si>
  <si>
    <t>=CONCATENATE(L155,"|",O155)</t>
  </si>
  <si>
    <t>=IF($D155="Customer",$D155,"G/L")</t>
  </si>
  <si>
    <t>=NL("First","Customer","Name","No.",IF($D155="Customer",$L155,"@@"))</t>
  </si>
  <si>
    <t>=ABS(NF($C155,"Amount"))</t>
  </si>
  <si>
    <t>="""TRUST Nav"",""HSPMTB2016"",""17"",""1"",""73425"""</t>
  </si>
  <si>
    <t>=CONCATENATE(L156,"|",O156)</t>
  </si>
  <si>
    <t>=IF($D156="Customer",$D156,"G/L")</t>
  </si>
  <si>
    <t>=NL("First","Customer","Name","No.",IF($D156="Customer",$L156,"@@"))</t>
  </si>
  <si>
    <t>=ABS(NF($C156,"Amount"))</t>
  </si>
  <si>
    <t>="""TRUST Nav"",""HSPMTB2016"",""17"",""1"",""73426"""</t>
  </si>
  <si>
    <t>=CONCATENATE(L157,"|",O157)</t>
  </si>
  <si>
    <t>=IF($D157="Customer",$D157,"G/L")</t>
  </si>
  <si>
    <t>=NL("First","Customer","Name","No.",IF($D157="Customer",$L157,"@@"))</t>
  </si>
  <si>
    <t>=ABS(NF($C157,"Amount"))</t>
  </si>
  <si>
    <t>="""TRUST Nav"",""HSPMTB2016"",""17"",""1"",""73427"""</t>
  </si>
  <si>
    <t>=CONCATENATE(L158,"|",O158)</t>
  </si>
  <si>
    <t>=IF($D158="Customer",$D158,"G/L")</t>
  </si>
  <si>
    <t>=NL("First","Customer","Name","No.",IF($D158="Customer",$L158,"@@"))</t>
  </si>
  <si>
    <t>=ABS(NF($C158,"Amount"))</t>
  </si>
  <si>
    <t>="""TRUST Nav"",""HSPMTB2016"",""17"",""1"",""73428"""</t>
  </si>
  <si>
    <t>=CONCATENATE(L159,"|",O159)</t>
  </si>
  <si>
    <t>=IF($D159="Customer",$D159,"G/L")</t>
  </si>
  <si>
    <t>=NL("First","Customer","Name","No.",IF($D159="Customer",$L159,"@@"))</t>
  </si>
  <si>
    <t>=ABS(NF($C159,"Amount"))</t>
  </si>
  <si>
    <t>="""TRUST Nav"",""HSPMTB2016"",""17"",""1"",""73429"""</t>
  </si>
  <si>
    <t>=CONCATENATE(L160,"|",O160)</t>
  </si>
  <si>
    <t>=IF($D160="Customer",$D160,"G/L")</t>
  </si>
  <si>
    <t>=NL("First","Customer","Name","No.",IF($D160="Customer",$L160,"@@"))</t>
  </si>
  <si>
    <t>=ABS(NF($C160,"Amount"))</t>
  </si>
  <si>
    <t>="""TRUST Nav"",""HSPMTB2016"",""17"",""1"",""73430"""</t>
  </si>
  <si>
    <t>=CONCATENATE(L161,"|",O161)</t>
  </si>
  <si>
    <t>=IF($D161="Customer",$D161,"G/L")</t>
  </si>
  <si>
    <t>=NL("First","Customer","Name","No.",IF($D161="Customer",$L161,"@@"))</t>
  </si>
  <si>
    <t>=ABS(NF($C161,"Amount"))</t>
  </si>
  <si>
    <t>="""TRUST Nav"",""HSPMTB2016"",""17"",""1"",""73431"""</t>
  </si>
  <si>
    <t>=CONCATENATE(L162,"|",O162)</t>
  </si>
  <si>
    <t>=IF($D162="Customer",$D162,"G/L")</t>
  </si>
  <si>
    <t>=NL("First","Customer","Name","No.",IF($D162="Customer",$L162,"@@"))</t>
  </si>
  <si>
    <t>=ABS(NF($C162,"Amount"))</t>
  </si>
  <si>
    <t>="""TRUST Nav"",""HSPMTB2016"",""17"",""1"",""73432"""</t>
  </si>
  <si>
    <t>=CONCATENATE(L163,"|",O163)</t>
  </si>
  <si>
    <t>=IF($D163="Customer",$D163,"G/L")</t>
  </si>
  <si>
    <t>=NL("First","Customer","Name","No.",IF($D163="Customer",$L163,"@@"))</t>
  </si>
  <si>
    <t>=ABS(NF($C163,"Amount"))</t>
  </si>
  <si>
    <t>="""TRUST Nav"",""HSPMTB2016"",""17"",""1"",""73433"""</t>
  </si>
  <si>
    <t>=CONCATENATE(L164,"|",O164)</t>
  </si>
  <si>
    <t>=IF($D164="Customer",$D164,"G/L")</t>
  </si>
  <si>
    <t>=NL("First","Customer","Name","No.",IF($D164="Customer",$L164,"@@"))</t>
  </si>
  <si>
    <t>=ABS(NF($C164,"Amount"))</t>
  </si>
  <si>
    <t>="""TRUST Nav"",""HSPMTB2016"",""17"",""1"",""73434"""</t>
  </si>
  <si>
    <t>=CONCATENATE(L165,"|",O165)</t>
  </si>
  <si>
    <t>=IF($D165="Customer",$D165,"G/L")</t>
  </si>
  <si>
    <t>=NL("First","Customer","Name","No.",IF($D165="Customer",$L165,"@@"))</t>
  </si>
  <si>
    <t>=ABS(NF($C165,"Amount"))</t>
  </si>
  <si>
    <t>="""TRUST Nav"",""HSPMTB2016"",""17"",""1"",""73435"""</t>
  </si>
  <si>
    <t>=CONCATENATE(L166,"|",O166)</t>
  </si>
  <si>
    <t>=IF($D166="Customer",$D166,"G/L")</t>
  </si>
  <si>
    <t>=NL("First","Customer","Name","No.",IF($D166="Customer",$L166,"@@"))</t>
  </si>
  <si>
    <t>=ABS(NF($C166,"Amount"))</t>
  </si>
  <si>
    <t>="""TRUST Nav"",""HSPMTB2016"",""17"",""1"",""85202"""</t>
  </si>
  <si>
    <t>=CONCATENATE(L167,"|",O167)</t>
  </si>
  <si>
    <t>=IF($D167="Customer",$D167,"G/L")</t>
  </si>
  <si>
    <t>=NL("First","Customer","Name","No.",IF($D167="Customer",$L167,"@@"))</t>
  </si>
  <si>
    <t>=ABS(NF($C167,"Amount"))</t>
  </si>
  <si>
    <t>="""TRUST Nav"",""HSPMTB2016"",""17"",""1"",""85203"""</t>
  </si>
  <si>
    <t>=CONCATENATE(L168,"|",O168)</t>
  </si>
  <si>
    <t>=IF($D168="Customer",$D168,"G/L")</t>
  </si>
  <si>
    <t>=NL("First","Customer","Name","No.",IF($D168="Customer",$L168,"@@"))</t>
  </si>
  <si>
    <t>=ABS(NF($C168,"Amount"))</t>
  </si>
  <si>
    <t>="""TRUST Nav"",""HSPMTB2016"",""17"",""1"",""85204"""</t>
  </si>
  <si>
    <t>=CONCATENATE(L169,"|",O169)</t>
  </si>
  <si>
    <t>=IF($D169="Customer",$D169,"G/L")</t>
  </si>
  <si>
    <t>=NL("First","Customer","Name","No.",IF($D169="Customer",$L169,"@@"))</t>
  </si>
  <si>
    <t>=ABS(NF($C169,"Amount"))</t>
  </si>
  <si>
    <t>="""TRUST Nav"",""HSPMTB2016"",""17"",""1"",""85205"""</t>
  </si>
  <si>
    <t>=CONCATENATE(L170,"|",O170)</t>
  </si>
  <si>
    <t>=IF($D170="Customer",$D170,"G/L")</t>
  </si>
  <si>
    <t>=NL("First","Customer","Name","No.",IF($D170="Customer",$L170,"@@"))</t>
  </si>
  <si>
    <t>=ABS(NF($C170,"Amount"))</t>
  </si>
  <si>
    <t>="""TRUST Nav"",""HSPMTB2016"",""17"",""1"",""85206"""</t>
  </si>
  <si>
    <t>=CONCATENATE(L171,"|",O171)</t>
  </si>
  <si>
    <t>=IF($D171="Customer",$D171,"G/L")</t>
  </si>
  <si>
    <t>=NL("First","Customer","Name","No.",IF($D171="Customer",$L171,"@@"))</t>
  </si>
  <si>
    <t>=ABS(NF($C171,"Amount"))</t>
  </si>
  <si>
    <t>="""TRUST Nav"",""HSPMTB2016"",""17"",""1"",""85207"""</t>
  </si>
  <si>
    <t>=CONCATENATE(L172,"|",O172)</t>
  </si>
  <si>
    <t>=IF($D172="Customer",$D172,"G/L")</t>
  </si>
  <si>
    <t>=NL("First","Customer","Name","No.",IF($D172="Customer",$L172,"@@"))</t>
  </si>
  <si>
    <t>=ABS(NF($C172,"Amount"))</t>
  </si>
  <si>
    <t>="""TRUST Nav"",""HSPMTB2016"",""17"",""1"",""85208"""</t>
  </si>
  <si>
    <t>=CONCATENATE(L173,"|",O173)</t>
  </si>
  <si>
    <t>=IF($D173="Customer",$D173,"G/L")</t>
  </si>
  <si>
    <t>=NL("First","Customer","Name","No.",IF($D173="Customer",$L173,"@@"))</t>
  </si>
  <si>
    <t>=ABS(NF($C173,"Amount"))</t>
  </si>
  <si>
    <t>="""TRUST Nav"",""HSPMTB2016"",""17"",""1"",""85209"""</t>
  </si>
  <si>
    <t>=CONCATENATE(L174,"|",O174)</t>
  </si>
  <si>
    <t>=IF($D174="Customer",$D174,"G/L")</t>
  </si>
  <si>
    <t>=NL("First","Customer","Name","No.",IF($D174="Customer",$L174,"@@"))</t>
  </si>
  <si>
    <t>=ABS(NF($C174,"Amount"))</t>
  </si>
  <si>
    <t>="""TRUST Nav"",""HSPMTB2016"",""17"",""1"",""85210"""</t>
  </si>
  <si>
    <t>=CONCATENATE(L175,"|",O175)</t>
  </si>
  <si>
    <t>=IF($D175="Customer",$D175,"G/L")</t>
  </si>
  <si>
    <t>=NL("First","Customer","Name","No.",IF($D175="Customer",$L175,"@@"))</t>
  </si>
  <si>
    <t>=ABS(NF($C175,"Amount"))</t>
  </si>
  <si>
    <t>="""TRUST Nav"",""HSPMTB2016"",""17"",""1"",""85211"""</t>
  </si>
  <si>
    <t>=CONCATENATE(L176,"|",O176)</t>
  </si>
  <si>
    <t>=IF($D176="Customer",$D176,"G/L")</t>
  </si>
  <si>
    <t>=NL("First","Customer","Name","No.",IF($D176="Customer",$L176,"@@"))</t>
  </si>
  <si>
    <t>=ABS(NF($C176,"Amount"))</t>
  </si>
  <si>
    <t>="""TRUST Nav"",""HSPMTB2016"",""17"",""1"",""85212"""</t>
  </si>
  <si>
    <t>=CONCATENATE(L177,"|",O177)</t>
  </si>
  <si>
    <t>=IF($D177="Customer",$D177,"G/L")</t>
  </si>
  <si>
    <t>=NL("First","Customer","Name","No.",IF($D177="Customer",$L177,"@@"))</t>
  </si>
  <si>
    <t>=ABS(NF($C177,"Amount"))</t>
  </si>
  <si>
    <t>="""TRUST Nav"",""HSPMTB2016"",""17"",""1"",""85213"""</t>
  </si>
  <si>
    <t>=CONCATENATE(L178,"|",O178)</t>
  </si>
  <si>
    <t>=IF($D178="Customer",$D178,"G/L")</t>
  </si>
  <si>
    <t>=NL("First","Customer","Name","No.",IF($D178="Customer",$L178,"@@"))</t>
  </si>
  <si>
    <t>=ABS(NF($C178,"Amount"))</t>
  </si>
  <si>
    <t>="""TRUST Nav"",""HSPMTB2016"",""17"",""1"",""85214"""</t>
  </si>
  <si>
    <t>=CONCATENATE(L179,"|",O179)</t>
  </si>
  <si>
    <t>=IF($D179="Customer",$D179,"G/L")</t>
  </si>
  <si>
    <t>=NL("First","Customer","Name","No.",IF($D179="Customer",$L179,"@@"))</t>
  </si>
  <si>
    <t>=ABS(NF($C179,"Amount"))</t>
  </si>
  <si>
    <t>="""TRUST Nav"",""HSPMTB2016"",""17"",""1"",""85215"""</t>
  </si>
  <si>
    <t>=CONCATENATE(L180,"|",O180)</t>
  </si>
  <si>
    <t>=IF($D180="Customer",$D180,"G/L")</t>
  </si>
  <si>
    <t>=NL("First","Customer","Name","No.",IF($D180="Customer",$L180,"@@"))</t>
  </si>
  <si>
    <t>=ABS(NF($C180,"Amount"))</t>
  </si>
  <si>
    <t>="""TRUST Nav"",""HSPMTB2016"",""17"",""1"",""85216"""</t>
  </si>
  <si>
    <t>=CONCATENATE(L181,"|",O181)</t>
  </si>
  <si>
    <t>=IF($D181="Customer",$D181,"G/L")</t>
  </si>
  <si>
    <t>=NL("First","Customer","Name","No.",IF($D181="Customer",$L181,"@@"))</t>
  </si>
  <si>
    <t>=ABS(NF($C181,"Amount"))</t>
  </si>
  <si>
    <t>="""TRUST Nav"",""HSPMTB2016"",""17"",""1"",""85217"""</t>
  </si>
  <si>
    <t>=CONCATENATE(L182,"|",O182)</t>
  </si>
  <si>
    <t>=IF($D182="Customer",$D182,"G/L")</t>
  </si>
  <si>
    <t>=NL("First","Customer","Name","No.",IF($D182="Customer",$L182,"@@"))</t>
  </si>
  <si>
    <t>=ABS(NF($C182,"Amount"))</t>
  </si>
  <si>
    <t>="""TRUST Nav"",""HSPMTB2016"",""17"",""1"",""85218"""</t>
  </si>
  <si>
    <t>=CONCATENATE(L183,"|",O183)</t>
  </si>
  <si>
    <t>=IF($D183="Customer",$D183,"G/L")</t>
  </si>
  <si>
    <t>=NL("First","Customer","Name","No.",IF($D183="Customer",$L183,"@@"))</t>
  </si>
  <si>
    <t>=ABS(NF($C183,"Amount"))</t>
  </si>
  <si>
    <t>="""TRUST Nav"",""HSPMTB2016"",""17"",""1"",""85219"""</t>
  </si>
  <si>
    <t>=CONCATENATE(L184,"|",O184)</t>
  </si>
  <si>
    <t>=IF($D184="Customer",$D184,"G/L")</t>
  </si>
  <si>
    <t>=NL("First","Customer","Name","No.",IF($D184="Customer",$L184,"@@"))</t>
  </si>
  <si>
    <t>=ABS(NF($C184,"Amount"))</t>
  </si>
  <si>
    <t>="""TRUST Nav"",""HSPMTB2016"",""17"",""1"",""85220"""</t>
  </si>
  <si>
    <t>=CONCATENATE(L185,"|",O185)</t>
  </si>
  <si>
    <t>=IF($D185="Customer",$D185,"G/L")</t>
  </si>
  <si>
    <t>=NL("First","Customer","Name","No.",IF($D185="Customer",$L185,"@@"))</t>
  </si>
  <si>
    <t>=ABS(NF($C185,"Amount"))</t>
  </si>
  <si>
    <t>="""TRUST Nav"",""HSPMTB2016"",""17"",""1"",""85221"""</t>
  </si>
  <si>
    <t>=CONCATENATE(L186,"|",O186)</t>
  </si>
  <si>
    <t>=IF($D186="Customer",$D186,"G/L")</t>
  </si>
  <si>
    <t>=NL("First","Customer","Name","No.",IF($D186="Customer",$L186,"@@"))</t>
  </si>
  <si>
    <t>=ABS(NF($C186,"Amount"))</t>
  </si>
  <si>
    <t>="""TRUST Nav"",""HSPMTB2016"",""17"",""1"",""85222"""</t>
  </si>
  <si>
    <t>=CONCATENATE(L187,"|",O187)</t>
  </si>
  <si>
    <t>=IF($D187="Customer",$D187,"G/L")</t>
  </si>
  <si>
    <t>=NL("First","Customer","Name","No.",IF($D187="Customer",$L187,"@@"))</t>
  </si>
  <si>
    <t>=ABS(NF($C187,"Amount"))</t>
  </si>
  <si>
    <t>="""TRUST Nav"",""HSPMTB2016"",""17"",""1"",""85223"""</t>
  </si>
  <si>
    <t>=CONCATENATE(L188,"|",O188)</t>
  </si>
  <si>
    <t>=IF($D188="Customer",$D188,"G/L")</t>
  </si>
  <si>
    <t>=NL("First","Customer","Name","No.",IF($D188="Customer",$L188,"@@"))</t>
  </si>
  <si>
    <t>=ABS(NF($C188,"Amount"))</t>
  </si>
  <si>
    <t>="""TRUST Nav"",""HSPMTB2016"",""17"",""1"",""85224"""</t>
  </si>
  <si>
    <t>=CONCATENATE(L189,"|",O189)</t>
  </si>
  <si>
    <t>=IF($D189="Customer",$D189,"G/L")</t>
  </si>
  <si>
    <t>=NL("First","Customer","Name","No.",IF($D189="Customer",$L189,"@@"))</t>
  </si>
  <si>
    <t>=ABS(NF($C189,"Amount"))</t>
  </si>
  <si>
    <t>="""TRUST Nav"",""HSPMTB2016"",""17"",""1"",""85225"""</t>
  </si>
  <si>
    <t>=CONCATENATE(L190,"|",O190)</t>
  </si>
  <si>
    <t>=IF($D190="Customer",$D190,"G/L")</t>
  </si>
  <si>
    <t>=NL("First","Customer","Name","No.",IF($D190="Customer",$L190,"@@"))</t>
  </si>
  <si>
    <t>=ABS(NF($C190,"Amount"))</t>
  </si>
  <si>
    <t>="""TRUST Nav"",""HSPMTB2016"",""17"",""1"",""85226"""</t>
  </si>
  <si>
    <t>=CONCATENATE(L191,"|",O191)</t>
  </si>
  <si>
    <t>=IF($D191="Customer",$D191,"G/L")</t>
  </si>
  <si>
    <t>=NL("First","Customer","Name","No.",IF($D191="Customer",$L191,"@@"))</t>
  </si>
  <si>
    <t>=ABS(NF($C191,"Amount"))</t>
  </si>
  <si>
    <t>="""TRUST Nav"",""HSPMTB2016"",""17"",""1"",""85227"""</t>
  </si>
  <si>
    <t>=CONCATENATE(L192,"|",O192)</t>
  </si>
  <si>
    <t>=IF($D192="Customer",$D192,"G/L")</t>
  </si>
  <si>
    <t>=NL("First","Customer","Name","No.",IF($D192="Customer",$L192,"@@"))</t>
  </si>
  <si>
    <t>=ABS(NF($C192,"Amount"))</t>
  </si>
  <si>
    <t>="""TRUST Nav"",""HSPMTB2016"",""17"",""1"",""85228"""</t>
  </si>
  <si>
    <t>=CONCATENATE(L193,"|",O193)</t>
  </si>
  <si>
    <t>=IF($D193="Customer",$D193,"G/L")</t>
  </si>
  <si>
    <t>=NL("First","Customer","Name","No.",IF($D193="Customer",$L193,"@@"))</t>
  </si>
  <si>
    <t>=ABS(NF($C193,"Amount"))</t>
  </si>
  <si>
    <t>="""TRUST Nav"",""HSPMTB2016"",""17"",""1"",""85229"""</t>
  </si>
  <si>
    <t>=CONCATENATE(L194,"|",O194)</t>
  </si>
  <si>
    <t>=IF($D194="Customer",$D194,"G/L")</t>
  </si>
  <si>
    <t>=NL("First","Customer","Name","No.",IF($D194="Customer",$L194,"@@"))</t>
  </si>
  <si>
    <t>=ABS(NF($C194,"Amount"))</t>
  </si>
  <si>
    <t>="""TRUST Nav"",""HSPMTB2016"",""17"",""1"",""85230"""</t>
  </si>
  <si>
    <t>=CONCATENATE(L195,"|",O195)</t>
  </si>
  <si>
    <t>=IF($D195="Customer",$D195,"G/L")</t>
  </si>
  <si>
    <t>=NL("First","Customer","Name","No.",IF($D195="Customer",$L195,"@@"))</t>
  </si>
  <si>
    <t>=ABS(NF($C195,"Amount"))</t>
  </si>
  <si>
    <t>="""TRUST Nav"",""HSPMTB2016"",""17"",""1"",""85231"""</t>
  </si>
  <si>
    <t>=CONCATENATE(L196,"|",O196)</t>
  </si>
  <si>
    <t>=IF($D196="Customer",$D196,"G/L")</t>
  </si>
  <si>
    <t>=NL("First","Customer","Name","No.",IF($D196="Customer",$L196,"@@"))</t>
  </si>
  <si>
    <t>=ABS(NF($C196,"Amount"))</t>
  </si>
  <si>
    <t>="""TRUST Nav"",""HSPMTB2016"",""17"",""1"",""85232"""</t>
  </si>
  <si>
    <t>=CONCATENATE(L197,"|",O197)</t>
  </si>
  <si>
    <t>=IF($D197="Customer",$D197,"G/L")</t>
  </si>
  <si>
    <t>=NL("First","Customer","Name","No.",IF($D197="Customer",$L197,"@@"))</t>
  </si>
  <si>
    <t>=ABS(NF($C197,"Amount"))</t>
  </si>
  <si>
    <t>="""TRUST Nav"",""HSPMTB2016"",""17"",""1"",""85233"""</t>
  </si>
  <si>
    <t>=CONCATENATE(L198,"|",O198)</t>
  </si>
  <si>
    <t>=IF($D198="Customer",$D198,"G/L")</t>
  </si>
  <si>
    <t>=NL("First","Customer","Name","No.",IF($D198="Customer",$L198,"@@"))</t>
  </si>
  <si>
    <t>=ABS(NF($C198,"Amount"))</t>
  </si>
  <si>
    <t>="""TRUST Nav"",""HSPMTB2016"",""17"",""1"",""102548"""</t>
  </si>
  <si>
    <t>=CONCATENATE(L199,"|",O199)</t>
  </si>
  <si>
    <t>=IF($D199="Customer",$D199,"G/L")</t>
  </si>
  <si>
    <t>=NL("First","Customer","Name","No.",IF($D199="Customer",$L199,"@@"))</t>
  </si>
  <si>
    <t>=ABS(NF($C199,"Amount"))</t>
  </si>
  <si>
    <t>="""TRUST Nav"",""HSPMTB2016"",""17"",""1"",""102549"""</t>
  </si>
  <si>
    <t>=CONCATENATE(L200,"|",O200)</t>
  </si>
  <si>
    <t>=IF($D200="Customer",$D200,"G/L")</t>
  </si>
  <si>
    <t>=NL("First","Customer","Name","No.",IF($D200="Customer",$L200,"@@"))</t>
  </si>
  <si>
    <t>=ABS(NF($C200,"Amount"))</t>
  </si>
  <si>
    <t>="""TRUST Nav"",""HSPMTB2016"",""17"",""1"",""102550"""</t>
  </si>
  <si>
    <t>=CONCATENATE(L201,"|",O201)</t>
  </si>
  <si>
    <t>=IF($D201="Customer",$D201,"G/L")</t>
  </si>
  <si>
    <t>=NL("First","Customer","Name","No.",IF($D201="Customer",$L201,"@@"))</t>
  </si>
  <si>
    <t>=ABS(NF($C201,"Amount"))</t>
  </si>
  <si>
    <t>="""TRUST Nav"",""HSPMTB2016"",""17"",""1"",""102551"""</t>
  </si>
  <si>
    <t>=CONCATENATE(L202,"|",O202)</t>
  </si>
  <si>
    <t>=IF($D202="Customer",$D202,"G/L")</t>
  </si>
  <si>
    <t>=NL("First","Customer","Name","No.",IF($D202="Customer",$L202,"@@"))</t>
  </si>
  <si>
    <t>=ABS(NF($C202,"Amount"))</t>
  </si>
  <si>
    <t>="""TRUST Nav"",""HSPMTB2016"",""17"",""1"",""102552"""</t>
  </si>
  <si>
    <t>=CONCATENATE(L203,"|",O203)</t>
  </si>
  <si>
    <t>=IF($D203="Customer",$D203,"G/L")</t>
  </si>
  <si>
    <t>=NL("First","Customer","Name","No.",IF($D203="Customer",$L203,"@@"))</t>
  </si>
  <si>
    <t>=ABS(NF($C203,"Amount"))</t>
  </si>
  <si>
    <t>="""TRUST Nav"",""HSPMTB2016"",""17"",""1"",""102553"""</t>
  </si>
  <si>
    <t>=CONCATENATE(L204,"|",O204)</t>
  </si>
  <si>
    <t>=IF($D204="Customer",$D204,"G/L")</t>
  </si>
  <si>
    <t>=NL("First","Customer","Name","No.",IF($D204="Customer",$L204,"@@"))</t>
  </si>
  <si>
    <t>=ABS(NF($C204,"Amount"))</t>
  </si>
  <si>
    <t>="""TRUST Nav"",""HSPMTB2016"",""17"",""1"",""102554"""</t>
  </si>
  <si>
    <t>=CONCATENATE(L205,"|",O205)</t>
  </si>
  <si>
    <t>=IF($D205="Customer",$D205,"G/L")</t>
  </si>
  <si>
    <t>=NL("First","Customer","Name","No.",IF($D205="Customer",$L205,"@@"))</t>
  </si>
  <si>
    <t>=ABS(NF($C205,"Amount"))</t>
  </si>
  <si>
    <t>="""TRUST Nav"",""HSPMTB2016"",""17"",""1"",""102555"""</t>
  </si>
  <si>
    <t>=CONCATENATE(L206,"|",O206)</t>
  </si>
  <si>
    <t>=IF($D206="Customer",$D206,"G/L")</t>
  </si>
  <si>
    <t>=NL("First","Customer","Name","No.",IF($D206="Customer",$L206,"@@"))</t>
  </si>
  <si>
    <t>=ABS(NF($C206,"Amount"))</t>
  </si>
  <si>
    <t>="""TRUST Nav"",""HSPMTB2016"",""17"",""1"",""102556"""</t>
  </si>
  <si>
    <t>=CONCATENATE(L207,"|",O207)</t>
  </si>
  <si>
    <t>=IF($D207="Customer",$D207,"G/L")</t>
  </si>
  <si>
    <t>=NL("First","Customer","Name","No.",IF($D207="Customer",$L207,"@@"))</t>
  </si>
  <si>
    <t>=ABS(NF($C207,"Amount"))</t>
  </si>
  <si>
    <t>="""TRUST Nav"",""HSPMTB2016"",""17"",""1"",""102557"""</t>
  </si>
  <si>
    <t>=CONCATENATE(L208,"|",O208)</t>
  </si>
  <si>
    <t>=IF($D208="Customer",$D208,"G/L")</t>
  </si>
  <si>
    <t>=NL("First","Customer","Name","No.",IF($D208="Customer",$L208,"@@"))</t>
  </si>
  <si>
    <t>=ABS(NF($C208,"Amount"))</t>
  </si>
  <si>
    <t>="""TRUST Nav"",""HSPMTB2016"",""17"",""1"",""102558"""</t>
  </si>
  <si>
    <t>=CONCATENATE(L209,"|",O209)</t>
  </si>
  <si>
    <t>=IF($D209="Customer",$D209,"G/L")</t>
  </si>
  <si>
    <t>=NL("First","Customer","Name","No.",IF($D209="Customer",$L209,"@@"))</t>
  </si>
  <si>
    <t>=ABS(NF($C209,"Amount"))</t>
  </si>
  <si>
    <t>="""TRUST Nav"",""HSPMTB2016"",""17"",""1"",""102559"""</t>
  </si>
  <si>
    <t>=CONCATENATE(L210,"|",O210)</t>
  </si>
  <si>
    <t>=IF($D210="Customer",$D210,"G/L")</t>
  </si>
  <si>
    <t>=NL("First","Customer","Name","No.",IF($D210="Customer",$L210,"@@"))</t>
  </si>
  <si>
    <t>=ABS(NF($C210,"Amount"))</t>
  </si>
  <si>
    <t>="""TRUST Nav"",""HSPMTB2016"",""17"",""1"",""102560"""</t>
  </si>
  <si>
    <t>=CONCATENATE(L211,"|",O211)</t>
  </si>
  <si>
    <t>=IF($D211="Customer",$D211,"G/L")</t>
  </si>
  <si>
    <t>=NL("First","Customer","Name","No.",IF($D211="Customer",$L211,"@@"))</t>
  </si>
  <si>
    <t>=ABS(NF($C211,"Amount"))</t>
  </si>
  <si>
    <t>="""TRUST Nav"",""HSPMTB2016"",""17"",""1"",""102561"""</t>
  </si>
  <si>
    <t>=CONCATENATE(L212,"|",O212)</t>
  </si>
  <si>
    <t>=IF($D212="Customer",$D212,"G/L")</t>
  </si>
  <si>
    <t>=NL("First","Customer","Name","No.",IF($D212="Customer",$L212,"@@"))</t>
  </si>
  <si>
    <t>=ABS(NF($C212,"Amount"))</t>
  </si>
  <si>
    <t>="""TRUST Nav"",""HSPMTB2016"",""17"",""1"",""102562"""</t>
  </si>
  <si>
    <t>=CONCATENATE(L213,"|",O213)</t>
  </si>
  <si>
    <t>=IF($D213="Customer",$D213,"G/L")</t>
  </si>
  <si>
    <t>=NL("First","Customer","Name","No.",IF($D213="Customer",$L213,"@@"))</t>
  </si>
  <si>
    <t>=ABS(NF($C213,"Amount"))</t>
  </si>
  <si>
    <t>="""TRUST Nav"",""HSPMTB2016"",""17"",""1"",""102563"""</t>
  </si>
  <si>
    <t>=CONCATENATE(L214,"|",O214)</t>
  </si>
  <si>
    <t>=IF($D214="Customer",$D214,"G/L")</t>
  </si>
  <si>
    <t>=NL("First","Customer","Name","No.",IF($D214="Customer",$L214,"@@"))</t>
  </si>
  <si>
    <t>=ABS(NF($C214,"Amount"))</t>
  </si>
  <si>
    <t>="""TRUST Nav"",""HSPMTB2016"",""17"",""1"",""102564"""</t>
  </si>
  <si>
    <t>=CONCATENATE(L215,"|",O215)</t>
  </si>
  <si>
    <t>=IF($D215="Customer",$D215,"G/L")</t>
  </si>
  <si>
    <t>=NL("First","Customer","Name","No.",IF($D215="Customer",$L215,"@@"))</t>
  </si>
  <si>
    <t>=ABS(NF($C215,"Amount"))</t>
  </si>
  <si>
    <t>="""TRUST Nav"",""HSPMTB2016"",""17"",""1"",""116848"""</t>
  </si>
  <si>
    <t>=CONCATENATE(L216,"|",O216)</t>
  </si>
  <si>
    <t>=IF($D216="Customer",$D216,"G/L")</t>
  </si>
  <si>
    <t>=NL("First","Customer","Name","No.",IF($D216="Customer",$L216,"@@"))</t>
  </si>
  <si>
    <t>=ABS(NF($C216,"Amount"))</t>
  </si>
  <si>
    <t>="""TRUST Nav"",""HSPMTB2016"",""17"",""1"",""116849"""</t>
  </si>
  <si>
    <t>=CONCATENATE(L217,"|",O217)</t>
  </si>
  <si>
    <t>=IF($D217="Customer",$D217,"G/L")</t>
  </si>
  <si>
    <t>=NL("First","Customer","Name","No.",IF($D217="Customer",$L217,"@@"))</t>
  </si>
  <si>
    <t>=ABS(NF($C217,"Amount"))</t>
  </si>
  <si>
    <t>="""TRUST Nav"",""HSPMTB2016"",""17"",""1"",""116850"""</t>
  </si>
  <si>
    <t>=CONCATENATE(L218,"|",O218)</t>
  </si>
  <si>
    <t>=IF($D218="Customer",$D218,"G/L")</t>
  </si>
  <si>
    <t>=NL("First","Customer","Name","No.",IF($D218="Customer",$L218,"@@"))</t>
  </si>
  <si>
    <t>=ABS(NF($C218,"Amount"))</t>
  </si>
  <si>
    <t>="""TRUST Nav"",""HSPMTB2016"",""17"",""1"",""116851"""</t>
  </si>
  <si>
    <t>=CONCATENATE(L219,"|",O219)</t>
  </si>
  <si>
    <t>=IF($D219="Customer",$D219,"G/L")</t>
  </si>
  <si>
    <t>=NL("First","Customer","Name","No.",IF($D219="Customer",$L219,"@@"))</t>
  </si>
  <si>
    <t>=ABS(NF($C219,"Amount"))</t>
  </si>
  <si>
    <t>="""TRUST Nav"",""HSPMTB2016"",""17"",""1"",""116852"""</t>
  </si>
  <si>
    <t>=CONCATENATE(L220,"|",O220)</t>
  </si>
  <si>
    <t>=IF($D220="Customer",$D220,"G/L")</t>
  </si>
  <si>
    <t>=NL("First","Customer","Name","No.",IF($D220="Customer",$L220,"@@"))</t>
  </si>
  <si>
    <t>=ABS(NF($C220,"Amount"))</t>
  </si>
  <si>
    <t>="""TRUST Nav"",""HSPMTB2016"",""17"",""1"",""116853"""</t>
  </si>
  <si>
    <t>=CONCATENATE(L221,"|",O221)</t>
  </si>
  <si>
    <t>=IF($D221="Customer",$D221,"G/L")</t>
  </si>
  <si>
    <t>=NL("First","Customer","Name","No.",IF($D221="Customer",$L221,"@@"))</t>
  </si>
  <si>
    <t>=ABS(NF($C221,"Amount"))</t>
  </si>
  <si>
    <t>="""TRUST Nav"",""HSPMTB2016"",""17"",""1"",""116854"""</t>
  </si>
  <si>
    <t>=CONCATENATE(L222,"|",O222)</t>
  </si>
  <si>
    <t>=IF($D222="Customer",$D222,"G/L")</t>
  </si>
  <si>
    <t>=NL("First","Customer","Name","No.",IF($D222="Customer",$L222,"@@"))</t>
  </si>
  <si>
    <t>=ABS(NF($C222,"Amount"))</t>
  </si>
  <si>
    <t>="""TRUST Nav"",""HSPMTB2016"",""17"",""1"",""116855"""</t>
  </si>
  <si>
    <t>=CONCATENATE(L223,"|",O223)</t>
  </si>
  <si>
    <t>=IF($D223="Customer",$D223,"G/L")</t>
  </si>
  <si>
    <t>=NL("First","Customer","Name","No.",IF($D223="Customer",$L223,"@@"))</t>
  </si>
  <si>
    <t>=ABS(NF($C223,"Amount"))</t>
  </si>
  <si>
    <t>="""TRUST Nav"",""HSPMTB2016"",""17"",""1"",""116856"""</t>
  </si>
  <si>
    <t>=CONCATENATE(L224,"|",O224)</t>
  </si>
  <si>
    <t>=IF($D224="Customer",$D224,"G/L")</t>
  </si>
  <si>
    <t>=NL("First","Customer","Name","No.",IF($D224="Customer",$L224,"@@"))</t>
  </si>
  <si>
    <t>=ABS(NF($C224,"Amount"))</t>
  </si>
  <si>
    <t>="""TRUST Nav"",""HSPMTB2016"",""17"",""1"",""116857"""</t>
  </si>
  <si>
    <t>=CONCATENATE(L225,"|",O225)</t>
  </si>
  <si>
    <t>=IF($D225="Customer",$D225,"G/L")</t>
  </si>
  <si>
    <t>=NL("First","Customer","Name","No.",IF($D225="Customer",$L225,"@@"))</t>
  </si>
  <si>
    <t>=ABS(NF($C225,"Amount"))</t>
  </si>
  <si>
    <t>="""TRUST Nav"",""HSPMTB2016"",""17"",""1"",""116858"""</t>
  </si>
  <si>
    <t>=CONCATENATE(L226,"|",O226)</t>
  </si>
  <si>
    <t>=IF($D226="Customer",$D226,"G/L")</t>
  </si>
  <si>
    <t>=NL("First","Customer","Name","No.",IF($D226="Customer",$L226,"@@"))</t>
  </si>
  <si>
    <t>=ABS(NF($C226,"Amount"))</t>
  </si>
  <si>
    <t>="""TRUST Nav"",""HSPMTB2016"",""17"",""1"",""116859"""</t>
  </si>
  <si>
    <t>=CONCATENATE(L227,"|",O227)</t>
  </si>
  <si>
    <t>=IF($D227="Customer",$D227,"G/L")</t>
  </si>
  <si>
    <t>=NL("First","Customer","Name","No.",IF($D227="Customer",$L227,"@@"))</t>
  </si>
  <si>
    <t>=ABS(NF($C227,"Amount"))</t>
  </si>
  <si>
    <t>="""TRUST Nav"",""HSPMTB2016"",""17"",""1"",""116860"""</t>
  </si>
  <si>
    <t>=CONCATENATE(L228,"|",O228)</t>
  </si>
  <si>
    <t>=IF($D228="Customer",$D228,"G/L")</t>
  </si>
  <si>
    <t>=NL("First","Customer","Name","No.",IF($D228="Customer",$L228,"@@"))</t>
  </si>
  <si>
    <t>=ABS(NF($C228,"Amount"))</t>
  </si>
  <si>
    <t>="""TRUST Nav"",""HSPMTB2016"",""17"",""1"",""116861"""</t>
  </si>
  <si>
    <t>=CONCATENATE(L229,"|",O229)</t>
  </si>
  <si>
    <t>=IF($D229="Customer",$D229,"G/L")</t>
  </si>
  <si>
    <t>=NL("First","Customer","Name","No.",IF($D229="Customer",$L229,"@@"))</t>
  </si>
  <si>
    <t>=ABS(NF($C229,"Amount"))</t>
  </si>
  <si>
    <t>="""TRUST Nav"",""HSPMTB2016"",""17"",""1"",""116862"""</t>
  </si>
  <si>
    <t>=CONCATENATE(L230,"|",O230)</t>
  </si>
  <si>
    <t>=IF($D230="Customer",$D230,"G/L")</t>
  </si>
  <si>
    <t>=NL("First","Customer","Name","No.",IF($D230="Customer",$L230,"@@"))</t>
  </si>
  <si>
    <t>=ABS(NF($C230,"Amount"))</t>
  </si>
  <si>
    <t>="""TRUST Nav"",""HSPMTB2016"",""17"",""1"",""116863"""</t>
  </si>
  <si>
    <t>=CONCATENATE(L231,"|",O231)</t>
  </si>
  <si>
    <t>=IF($D231="Customer",$D231,"G/L")</t>
  </si>
  <si>
    <t>=NL("First","Customer","Name","No.",IF($D231="Customer",$L231,"@@"))</t>
  </si>
  <si>
    <t>=ABS(NF($C231,"Amount"))</t>
  </si>
  <si>
    <t>="""TRUST Nav"",""HSPMTB2016"",""17"",""1"",""116864"""</t>
  </si>
  <si>
    <t>=CONCATENATE(L232,"|",O232)</t>
  </si>
  <si>
    <t>=IF($D232="Customer",$D232,"G/L")</t>
  </si>
  <si>
    <t>=NL("First","Customer","Name","No.",IF($D232="Customer",$L232,"@@"))</t>
  </si>
  <si>
    <t>=ABS(NF($C232,"Amount"))</t>
  </si>
  <si>
    <t>="""TRUST Nav"",""HSPMTB2016"",""17"",""1"",""116865"""</t>
  </si>
  <si>
    <t>=CONCATENATE(L233,"|",O233)</t>
  </si>
  <si>
    <t>=IF($D233="Customer",$D233,"G/L")</t>
  </si>
  <si>
    <t>=NL("First","Customer","Name","No.",IF($D233="Customer",$L233,"@@"))</t>
  </si>
  <si>
    <t>=ABS(NF($C233,"Amount"))</t>
  </si>
  <si>
    <t>="""TRUST Nav"",""HSPMTB2016"",""17"",""1"",""116866"""</t>
  </si>
  <si>
    <t>=CONCATENATE(L234,"|",O234)</t>
  </si>
  <si>
    <t>=IF($D234="Customer",$D234,"G/L")</t>
  </si>
  <si>
    <t>=NL("First","Customer","Name","No.",IF($D234="Customer",$L234,"@@"))</t>
  </si>
  <si>
    <t>=ABS(NF($C234,"Amount"))</t>
  </si>
  <si>
    <t>="""TRUST Nav"",""HSPMTB2016"",""17"",""1"",""116867"""</t>
  </si>
  <si>
    <t>=CONCATENATE(L235,"|",O235)</t>
  </si>
  <si>
    <t>=IF($D235="Customer",$D235,"G/L")</t>
  </si>
  <si>
    <t>=NL("First","Customer","Name","No.",IF($D235="Customer",$L235,"@@"))</t>
  </si>
  <si>
    <t>=ABS(NF($C235,"Amount"))</t>
  </si>
  <si>
    <t>="""TRUST Nav"",""HSPMTB2016"",""17"",""1"",""116868"""</t>
  </si>
  <si>
    <t>=CONCATENATE(L236,"|",O236)</t>
  </si>
  <si>
    <t>=IF($D236="Customer",$D236,"G/L")</t>
  </si>
  <si>
    <t>=NL("First","Customer","Name","No.",IF($D236="Customer",$L236,"@@"))</t>
  </si>
  <si>
    <t>=ABS(NF($C236,"Amount"))</t>
  </si>
  <si>
    <t>="""TRUST Nav"",""HSPMTB2016"",""17"",""1"",""116869"""</t>
  </si>
  <si>
    <t>=CONCATENATE(L237,"|",O237)</t>
  </si>
  <si>
    <t>=IF($D237="Customer",$D237,"G/L")</t>
  </si>
  <si>
    <t>=NL("First","Customer","Name","No.",IF($D237="Customer",$L237,"@@"))</t>
  </si>
  <si>
    <t>=ABS(NF($C237,"Amount"))</t>
  </si>
  <si>
    <t>="""TRUST Nav"",""HSPMTB2016"",""17"",""1"",""116870"""</t>
  </si>
  <si>
    <t>=CONCATENATE(L238,"|",O238)</t>
  </si>
  <si>
    <t>=IF($D238="Customer",$D238,"G/L")</t>
  </si>
  <si>
    <t>=NL("First","Customer","Name","No.",IF($D238="Customer",$L238,"@@"))</t>
  </si>
  <si>
    <t>=ABS(NF($C238,"Amount"))</t>
  </si>
  <si>
    <t>="""TRUST Nav"",""HSPMTB2016"",""17"",""1"",""116871"""</t>
  </si>
  <si>
    <t>=CONCATENATE(L239,"|",O239)</t>
  </si>
  <si>
    <t>=IF($D239="Customer",$D239,"G/L")</t>
  </si>
  <si>
    <t>=NL("First","Customer","Name","No.",IF($D239="Customer",$L239,"@@"))</t>
  </si>
  <si>
    <t>=ABS(NF($C239,"Amount"))</t>
  </si>
  <si>
    <t>="""TRUST Nav"",""HSPMTB2016"",""17"",""1"",""116872"""</t>
  </si>
  <si>
    <t>=CONCATENATE(L240,"|",O240)</t>
  </si>
  <si>
    <t>=IF($D240="Customer",$D240,"G/L")</t>
  </si>
  <si>
    <t>=NL("First","Customer","Name","No.",IF($D240="Customer",$L240,"@@"))</t>
  </si>
  <si>
    <t>=ABS(NF($C240,"Amount"))</t>
  </si>
  <si>
    <t>="""TRUST Nav"",""HSPMTB2016"",""17"",""1"",""116873"""</t>
  </si>
  <si>
    <t>=CONCATENATE(L241,"|",O241)</t>
  </si>
  <si>
    <t>=IF($D241="Customer",$D241,"G/L")</t>
  </si>
  <si>
    <t>=NL("First","Customer","Name","No.",IF($D241="Customer",$L241,"@@"))</t>
  </si>
  <si>
    <t>=ABS(NF($C241,"Amount"))</t>
  </si>
  <si>
    <t>="""TRUST Nav"",""HSPMTB2016"",""17"",""1"",""116874"""</t>
  </si>
  <si>
    <t>=CONCATENATE(L242,"|",O242)</t>
  </si>
  <si>
    <t>=IF($D242="Customer",$D242,"G/L")</t>
  </si>
  <si>
    <t>=NL("First","Customer","Name","No.",IF($D242="Customer",$L242,"@@"))</t>
  </si>
  <si>
    <t>=ABS(NF($C242,"Amount"))</t>
  </si>
  <si>
    <t>="""TRUST Nav"",""HSPMTB2016"",""17"",""1"",""116875"""</t>
  </si>
  <si>
    <t>=CONCATENATE(L243,"|",O243)</t>
  </si>
  <si>
    <t>=IF($D243="Customer",$D243,"G/L")</t>
  </si>
  <si>
    <t>=NL("First","Customer","Name","No.",IF($D243="Customer",$L243,"@@"))</t>
  </si>
  <si>
    <t>=ABS(NF($C243,"Amount"))</t>
  </si>
  <si>
    <t>="""TRUST Nav"",""HSPMTB2016"",""17"",""1"",""116876"""</t>
  </si>
  <si>
    <t>=CONCATENATE(L244,"|",O244)</t>
  </si>
  <si>
    <t>=IF($D244="Customer",$D244,"G/L")</t>
  </si>
  <si>
    <t>=NL("First","Customer","Name","No.",IF($D244="Customer",$L244,"@@"))</t>
  </si>
  <si>
    <t>=ABS(NF($C244,"Amount"))</t>
  </si>
  <si>
    <t>="""TRUST Nav"",""HSPMTB2016"",""17"",""1"",""122009"""</t>
  </si>
  <si>
    <t>=CONCATENATE(L245,"|",O245)</t>
  </si>
  <si>
    <t>=IF($D245="Customer",$D245,"G/L")</t>
  </si>
  <si>
    <t>=NL("First","Customer","Name","No.",IF($D245="Customer",$L245,"@@"))</t>
  </si>
  <si>
    <t>=ABS(NF($C245,"Amount"))</t>
  </si>
  <si>
    <t>="""TRUST Nav"",""HSPMTB2016"",""17"",""1"",""122010"""</t>
  </si>
  <si>
    <t>=CONCATENATE(L246,"|",O246)</t>
  </si>
  <si>
    <t>=IF($D246="Customer",$D246,"G/L")</t>
  </si>
  <si>
    <t>=NL("First","Customer","Name","No.",IF($D246="Customer",$L246,"@@"))</t>
  </si>
  <si>
    <t>=ABS(NF($C246,"Amount"))</t>
  </si>
  <si>
    <t>="""TRUST Nav"",""HSPMTB2016"",""17"",""1"",""122011"""</t>
  </si>
  <si>
    <t>=CONCATENATE(L247,"|",O247)</t>
  </si>
  <si>
    <t>=IF($D247="Customer",$D247,"G/L")</t>
  </si>
  <si>
    <t>=NL("First","Customer","Name","No.",IF($D247="Customer",$L247,"@@"))</t>
  </si>
  <si>
    <t>=ABS(NF($C247,"Amount"))</t>
  </si>
  <si>
    <t>="""TRUST Nav"",""HSPMTB2016"",""17"",""1"",""122012"""</t>
  </si>
  <si>
    <t>=CONCATENATE(L248,"|",O248)</t>
  </si>
  <si>
    <t>=IF($D248="Customer",$D248,"G/L")</t>
  </si>
  <si>
    <t>=NL("First","Customer","Name","No.",IF($D248="Customer",$L248,"@@"))</t>
  </si>
  <si>
    <t>=ABS(NF($C248,"Amount"))</t>
  </si>
  <si>
    <t>="""TRUST Nav"",""HSPMTB2016"",""17"",""1"",""122013"""</t>
  </si>
  <si>
    <t>=CONCATENATE(L249,"|",O249)</t>
  </si>
  <si>
    <t>=IF($D249="Customer",$D249,"G/L")</t>
  </si>
  <si>
    <t>=NL("First","Customer","Name","No.",IF($D249="Customer",$L249,"@@"))</t>
  </si>
  <si>
    <t>=ABS(NF($C249,"Amount"))</t>
  </si>
  <si>
    <t>="""TRUST Nav"",""HSPMTB2016"",""17"",""1"",""122014"""</t>
  </si>
  <si>
    <t>=CONCATENATE(L250,"|",O250)</t>
  </si>
  <si>
    <t>=IF($D250="Customer",$D250,"G/L")</t>
  </si>
  <si>
    <t>=NL("First","Customer","Name","No.",IF($D250="Customer",$L250,"@@"))</t>
  </si>
  <si>
    <t>=ABS(NF($C250,"Amount"))</t>
  </si>
  <si>
    <t>="""TRUST Nav"",""HSPMTB2016"",""17"",""1"",""122015"""</t>
  </si>
  <si>
    <t>=CONCATENATE(L251,"|",O251)</t>
  </si>
  <si>
    <t>=IF($D251="Customer",$D251,"G/L")</t>
  </si>
  <si>
    <t>=NL("First","Customer","Name","No.",IF($D251="Customer",$L251,"@@"))</t>
  </si>
  <si>
    <t>=ABS(NF($C251,"Amount"))</t>
  </si>
  <si>
    <t>="""TRUST Nav"",""HSPMTB2016"",""17"",""1"",""122016"""</t>
  </si>
  <si>
    <t>=CONCATENATE(L252,"|",O252)</t>
  </si>
  <si>
    <t>=IF($D252="Customer",$D252,"G/L")</t>
  </si>
  <si>
    <t>=NL("First","Customer","Name","No.",IF($D252="Customer",$L252,"@@"))</t>
  </si>
  <si>
    <t>=ABS(NF($C252,"Amount"))</t>
  </si>
  <si>
    <t>="""TRUST Nav"",""HSPMTB2016"",""17"",""1"",""122017"""</t>
  </si>
  <si>
    <t>=CONCATENATE(L253,"|",O253)</t>
  </si>
  <si>
    <t>=IF($D253="Customer",$D253,"G/L")</t>
  </si>
  <si>
    <t>=NL("First","Customer","Name","No.",IF($D253="Customer",$L253,"@@"))</t>
  </si>
  <si>
    <t>=ABS(NF($C253,"Amount"))</t>
  </si>
  <si>
    <t>="""TRUST Nav"",""HSPMTB2016"",""17"",""1"",""122018"""</t>
  </si>
  <si>
    <t>=CONCATENATE(L254,"|",O254)</t>
  </si>
  <si>
    <t>=IF($D254="Customer",$D254,"G/L")</t>
  </si>
  <si>
    <t>=NL("First","Customer","Name","No.",IF($D254="Customer",$L254,"@@"))</t>
  </si>
  <si>
    <t>=ABS(NF($C254,"Amount"))</t>
  </si>
  <si>
    <t>="""TRUST Nav"",""HSPMTB2016"",""17"",""1"",""122019"""</t>
  </si>
  <si>
    <t>=CONCATENATE(L255,"|",O255)</t>
  </si>
  <si>
    <t>=IF($D255="Customer",$D255,"G/L")</t>
  </si>
  <si>
    <t>=NL("First","Customer","Name","No.",IF($D255="Customer",$L255,"@@"))</t>
  </si>
  <si>
    <t>=ABS(NF($C255,"Amount"))</t>
  </si>
  <si>
    <t>="""TRUST Nav"",""HSPMTB2016"",""17"",""1"",""122020"""</t>
  </si>
  <si>
    <t>=CONCATENATE(L256,"|",O256)</t>
  </si>
  <si>
    <t>=IF($D256="Customer",$D256,"G/L")</t>
  </si>
  <si>
    <t>=NL("First","Customer","Name","No.",IF($D256="Customer",$L256,"@@"))</t>
  </si>
  <si>
    <t>=ABS(NF($C256,"Amount"))</t>
  </si>
  <si>
    <t>="""TRUST Nav"",""HSPMTB2016"",""17"",""1"",""122021"""</t>
  </si>
  <si>
    <t>=CONCATENATE(L257,"|",O257)</t>
  </si>
  <si>
    <t>=IF($D257="Customer",$D257,"G/L")</t>
  </si>
  <si>
    <t>=NL("First","Customer","Name","No.",IF($D257="Customer",$L257,"@@"))</t>
  </si>
  <si>
    <t>=ABS(NF($C257,"Amount"))</t>
  </si>
  <si>
    <t>="""TRUST Nav"",""HSPMTB2016"",""17"",""1"",""122022"""</t>
  </si>
  <si>
    <t>=CONCATENATE(L258,"|",O258)</t>
  </si>
  <si>
    <t>=IF($D258="Customer",$D258,"G/L")</t>
  </si>
  <si>
    <t>=NL("First","Customer","Name","No.",IF($D258="Customer",$L258,"@@"))</t>
  </si>
  <si>
    <t>=ABS(NF($C258,"Amount"))</t>
  </si>
  <si>
    <t>="""TRUST Nav"",""HSPMTB2016"",""17"",""1"",""122023"""</t>
  </si>
  <si>
    <t>=CONCATENATE(L259,"|",O259)</t>
  </si>
  <si>
    <t>=IF($D259="Customer",$D259,"G/L")</t>
  </si>
  <si>
    <t>=NL("First","Customer","Name","No.",IF($D259="Customer",$L259,"@@"))</t>
  </si>
  <si>
    <t>=ABS(NF($C259,"Amount"))</t>
  </si>
  <si>
    <t>="""TRUST Nav"",""HSPMTB2016"",""17"",""1"",""122024"""</t>
  </si>
  <si>
    <t>=CONCATENATE(L260,"|",O260)</t>
  </si>
  <si>
    <t>=IF($D260="Customer",$D260,"G/L")</t>
  </si>
  <si>
    <t>=NL("First","Customer","Name","No.",IF($D260="Customer",$L260,"@@"))</t>
  </si>
  <si>
    <t>=ABS(NF($C260,"Amount"))</t>
  </si>
  <si>
    <t>="""TRUST Nav"",""HSPMTB2016"",""17"",""1"",""122025"""</t>
  </si>
  <si>
    <t>=CONCATENATE(L261,"|",O261)</t>
  </si>
  <si>
    <t>=IF($D261="Customer",$D261,"G/L")</t>
  </si>
  <si>
    <t>=NL("First","Customer","Name","No.",IF($D261="Customer",$L261,"@@"))</t>
  </si>
  <si>
    <t>=ABS(NF($C261,"Amount"))</t>
  </si>
  <si>
    <t>="""TRUST Nav"",""HSPMTB2016"",""17"",""1"",""122026"""</t>
  </si>
  <si>
    <t>=CONCATENATE(L262,"|",O262)</t>
  </si>
  <si>
    <t>=IF($D262="Customer",$D262,"G/L")</t>
  </si>
  <si>
    <t>=NL("First","Customer","Name","No.",IF($D262="Customer",$L262,"@@"))</t>
  </si>
  <si>
    <t>=ABS(NF($C262,"Amount"))</t>
  </si>
  <si>
    <t>="""TRUST Nav"",""HSPMTB2016"",""17"",""1"",""122027"""</t>
  </si>
  <si>
    <t>=CONCATENATE(L263,"|",O263)</t>
  </si>
  <si>
    <t>=IF($D263="Customer",$D263,"G/L")</t>
  </si>
  <si>
    <t>=NL("First","Customer","Name","No.",IF($D263="Customer",$L263,"@@"))</t>
  </si>
  <si>
    <t>=ABS(NF($C263,"Amount"))</t>
  </si>
  <si>
    <t>="""TRUST Nav"",""HSPMTB2016"",""17"",""1"",""122028"""</t>
  </si>
  <si>
    <t>=CONCATENATE(L264,"|",O264)</t>
  </si>
  <si>
    <t>=IF($D264="Customer",$D264,"G/L")</t>
  </si>
  <si>
    <t>=NL("First","Customer","Name","No.",IF($D264="Customer",$L264,"@@"))</t>
  </si>
  <si>
    <t>=ABS(NF($C264,"Amount"))</t>
  </si>
  <si>
    <t>="""TRUST Nav"",""HSPMTB2016"",""17"",""1"",""122029"""</t>
  </si>
  <si>
    <t>=CONCATENATE(L265,"|",O265)</t>
  </si>
  <si>
    <t>=IF($D265="Customer",$D265,"G/L")</t>
  </si>
  <si>
    <t>=NL("First","Customer","Name","No.",IF($D265="Customer",$L265,"@@"))</t>
  </si>
  <si>
    <t>=ABS(NF($C265,"Amount"))</t>
  </si>
  <si>
    <t>="""TRUST Nav"",""HSPMTB2016"",""17"",""1"",""122030"""</t>
  </si>
  <si>
    <t>=CONCATENATE(L266,"|",O266)</t>
  </si>
  <si>
    <t>=IF($D266="Customer",$D266,"G/L")</t>
  </si>
  <si>
    <t>=NL("First","Customer","Name","No.",IF($D266="Customer",$L266,"@@"))</t>
  </si>
  <si>
    <t>=ABS(NF($C266,"Amount"))</t>
  </si>
  <si>
    <t>="""TRUST Nav"",""HSPMTB2016"",""17"",""1"",""122031"""</t>
  </si>
  <si>
    <t>=CONCATENATE(L267,"|",O267)</t>
  </si>
  <si>
    <t>=IF($D267="Customer",$D267,"G/L")</t>
  </si>
  <si>
    <t>=NL("First","Customer","Name","No.",IF($D267="Customer",$L267,"@@"))</t>
  </si>
  <si>
    <t>=ABS(NF($C267,"Amount"))</t>
  </si>
  <si>
    <t>="""TRUST Nav"",""HSPMTB2016"",""17"",""1"",""122032"""</t>
  </si>
  <si>
    <t>=CONCATENATE(L268,"|",O268)</t>
  </si>
  <si>
    <t>=IF($D268="Customer",$D268,"G/L")</t>
  </si>
  <si>
    <t>=NL("First","Customer","Name","No.",IF($D268="Customer",$L268,"@@"))</t>
  </si>
  <si>
    <t>=ABS(NF($C268,"Amount"))</t>
  </si>
  <si>
    <t>="""TRUST Nav"",""HSPMTB2016"",""17"",""1"",""122033"""</t>
  </si>
  <si>
    <t>=CONCATENATE(L269,"|",O269)</t>
  </si>
  <si>
    <t>=IF($D269="Customer",$D269,"G/L")</t>
  </si>
  <si>
    <t>=NL("First","Customer","Name","No.",IF($D269="Customer",$L269,"@@"))</t>
  </si>
  <si>
    <t>=ABS(NF($C269,"Amount"))</t>
  </si>
  <si>
    <t>="""TRUST Nav"",""HSPMTB2016"",""17"",""1"",""122034"""</t>
  </si>
  <si>
    <t>=CONCATENATE(L270,"|",O270)</t>
  </si>
  <si>
    <t>=IF($D270="Customer",$D270,"G/L")</t>
  </si>
  <si>
    <t>=NL("First","Customer","Name","No.",IF($D270="Customer",$L270,"@@"))</t>
  </si>
  <si>
    <t>=ABS(NF($C270,"Amount"))</t>
  </si>
  <si>
    <t>="""TRUST Nav"",""HSPMTB2016"",""17"",""1"",""122035"""</t>
  </si>
  <si>
    <t>=CONCATENATE(L271,"|",O271)</t>
  </si>
  <si>
    <t>=IF($D271="Customer",$D271,"G/L")</t>
  </si>
  <si>
    <t>=NL("First","Customer","Name","No.",IF($D271="Customer",$L271,"@@"))</t>
  </si>
  <si>
    <t>=ABS(NF($C271,"Amount"))</t>
  </si>
  <si>
    <t>="""TRUST Nav"",""HSPMTB2016"",""17"",""1"",""122036"""</t>
  </si>
  <si>
    <t>=CONCATENATE(L272,"|",O272)</t>
  </si>
  <si>
    <t>=IF($D272="Customer",$D272,"G/L")</t>
  </si>
  <si>
    <t>=NL("First","Customer","Name","No.",IF($D272="Customer",$L272,"@@"))</t>
  </si>
  <si>
    <t>=ABS(NF($C272,"Amount"))</t>
  </si>
  <si>
    <t>="""TRUST Nav"",""HSPMTB2016"",""17"",""1"",""122037"""</t>
  </si>
  <si>
    <t>=CONCATENATE(L273,"|",O273)</t>
  </si>
  <si>
    <t>=IF($D273="Customer",$D273,"G/L")</t>
  </si>
  <si>
    <t>=NL("First","Customer","Name","No.",IF($D273="Customer",$L273,"@@"))</t>
  </si>
  <si>
    <t>=ABS(NF($C273,"Amount"))</t>
  </si>
  <si>
    <t>="""TRUST Nav"",""HSPMTB2016"",""17"",""1"",""122038"""</t>
  </si>
  <si>
    <t>=CONCATENATE(L274,"|",O274)</t>
  </si>
  <si>
    <t>=IF($D274="Customer",$D274,"G/L")</t>
  </si>
  <si>
    <t>=NL("First","Customer","Name","No.",IF($D274="Customer",$L274,"@@"))</t>
  </si>
  <si>
    <t>=ABS(NF($C274,"Amount"))</t>
  </si>
  <si>
    <t>="""TRUST Nav"",""HSPMTB2016"",""17"",""1"",""122039"""</t>
  </si>
  <si>
    <t>=CONCATENATE(L275,"|",O275)</t>
  </si>
  <si>
    <t>=IF($D275="Customer",$D275,"G/L")</t>
  </si>
  <si>
    <t>=NL("First","Customer","Name","No.",IF($D275="Customer",$L275,"@@"))</t>
  </si>
  <si>
    <t>=ABS(NF($C275,"Amount"))</t>
  </si>
  <si>
    <t>="""TRUST Nav"",""HSPMTB2016"",""17"",""1"",""122040"""</t>
  </si>
  <si>
    <t>=CONCATENATE(L276,"|",O276)</t>
  </si>
  <si>
    <t>=IF($D276="Customer",$D276,"G/L")</t>
  </si>
  <si>
    <t>=NL("First","Customer","Name","No.",IF($D276="Customer",$L276,"@@"))</t>
  </si>
  <si>
    <t>=ABS(NF($C276,"Amount"))</t>
  </si>
  <si>
    <t>="""TRUST Nav"",""HSPMTB2016"",""17"",""1"",""122041"""</t>
  </si>
  <si>
    <t>=CONCATENATE(L277,"|",O277)</t>
  </si>
  <si>
    <t>=IF($D277="Customer",$D277,"G/L")</t>
  </si>
  <si>
    <t>=NL("First","Customer","Name","No.",IF($D277="Customer",$L277,"@@"))</t>
  </si>
  <si>
    <t>=ABS(NF($C277,"Amount"))</t>
  </si>
  <si>
    <t>="""TRUST Nav"",""HSPMTB2016"",""17"",""1"",""122042"""</t>
  </si>
  <si>
    <t>=CONCATENATE(L278,"|",O278)</t>
  </si>
  <si>
    <t>=IF($D278="Customer",$D278,"G/L")</t>
  </si>
  <si>
    <t>=NL("First","Customer","Name","No.",IF($D278="Customer",$L278,"@@"))</t>
  </si>
  <si>
    <t>=ABS(NF($C278,"Amount"))</t>
  </si>
  <si>
    <t>="""TRUST Nav"",""HSPMTB2016"",""17"",""1"",""122043"""</t>
  </si>
  <si>
    <t>=CONCATENATE(L279,"|",O279)</t>
  </si>
  <si>
    <t>=IF($D279="Customer",$D279,"G/L")</t>
  </si>
  <si>
    <t>=NL("First","Customer","Name","No.",IF($D279="Customer",$L279,"@@"))</t>
  </si>
  <si>
    <t>=ABS(NF($C279,"Amount"))</t>
  </si>
  <si>
    <t>="""TRUST Nav"",""HSPMTB2016"",""17"",""1"",""122044"""</t>
  </si>
  <si>
    <t>=CONCATENATE(L280,"|",O280)</t>
  </si>
  <si>
    <t>=IF($D280="Customer",$D280,"G/L")</t>
  </si>
  <si>
    <t>=NL("First","Customer","Name","No.",IF($D280="Customer",$L280,"@@"))</t>
  </si>
  <si>
    <t>=ABS(NF($C280,"Amount"))</t>
  </si>
  <si>
    <t>="""TRUST Nav"",""HSPMTB2016"",""17"",""1"",""122045"""</t>
  </si>
  <si>
    <t>=CONCATENATE(L281,"|",O281)</t>
  </si>
  <si>
    <t>=IF($D281="Customer",$D281,"G/L")</t>
  </si>
  <si>
    <t>=NL("First","Customer","Name","No.",IF($D281="Customer",$L281,"@@"))</t>
  </si>
  <si>
    <t>=ABS(NF($C281,"Amount"))</t>
  </si>
  <si>
    <t>="""TRUST Nav"",""HSPMTB2016"",""17"",""1"",""122046"""</t>
  </si>
  <si>
    <t>=CONCATENATE(L282,"|",O282)</t>
  </si>
  <si>
    <t>=IF($D282="Customer",$D282,"G/L")</t>
  </si>
  <si>
    <t>=NL("First","Customer","Name","No.",IF($D282="Customer",$L282,"@@"))</t>
  </si>
  <si>
    <t>=ABS(NF($C282,"Amount"))</t>
  </si>
  <si>
    <t>="""TRUST Nav"",""HSPMTB2016"",""17"",""1"",""122047"""</t>
  </si>
  <si>
    <t>=CONCATENATE(L283,"|",O283)</t>
  </si>
  <si>
    <t>=IF($D283="Customer",$D283,"G/L")</t>
  </si>
  <si>
    <t>=NL("First","Customer","Name","No.",IF($D283="Customer",$L283,"@@"))</t>
  </si>
  <si>
    <t>=ABS(NF($C283,"Amount"))</t>
  </si>
  <si>
    <t>="""TRUST Nav"",""HSPMTB2016"",""17"",""1"",""122048"""</t>
  </si>
  <si>
    <t>=CONCATENATE(L284,"|",O284)</t>
  </si>
  <si>
    <t>=IF($D284="Customer",$D284,"G/L")</t>
  </si>
  <si>
    <t>=NL("First","Customer","Name","No.",IF($D284="Customer",$L284,"@@"))</t>
  </si>
  <si>
    <t>=ABS(NF($C284,"Amount"))</t>
  </si>
  <si>
    <t>="""TRUST Nav"",""HSPMTB2016"",""17"",""1"",""122049"""</t>
  </si>
  <si>
    <t>=CONCATENATE(L285,"|",O285)</t>
  </si>
  <si>
    <t>=IF($D285="Customer",$D285,"G/L")</t>
  </si>
  <si>
    <t>=NL("First","Customer","Name","No.",IF($D285="Customer",$L285,"@@"))</t>
  </si>
  <si>
    <t>=ABS(NF($C285,"Amount"))</t>
  </si>
  <si>
    <t>="""TRUST Nav"",""HSPMTB2016"",""17"",""1"",""122050"""</t>
  </si>
  <si>
    <t>=CONCATENATE(L286,"|",O286)</t>
  </si>
  <si>
    <t>=IF($D286="Customer",$D286,"G/L")</t>
  </si>
  <si>
    <t>=NL("First","Customer","Name","No.",IF($D286="Customer",$L286,"@@"))</t>
  </si>
  <si>
    <t>=ABS(NF($C286,"Amount"))</t>
  </si>
  <si>
    <t>="""TRUST Nav"",""HSPMTB2016"",""17"",""1"",""122051"""</t>
  </si>
  <si>
    <t>=CONCATENATE(L287,"|",O287)</t>
  </si>
  <si>
    <t>=IF($D287="Customer",$D287,"G/L")</t>
  </si>
  <si>
    <t>=NL("First","Customer","Name","No.",IF($D287="Customer",$L287,"@@"))</t>
  </si>
  <si>
    <t>=ABS(NF($C287,"Amount"))</t>
  </si>
  <si>
    <t>="""TRUST Nav"",""HSPMTB2016"",""17"",""1"",""129693"""</t>
  </si>
  <si>
    <t>=CONCATENATE(L288,"|",O288)</t>
  </si>
  <si>
    <t>=IF($D288="Customer",$D288,"G/L")</t>
  </si>
  <si>
    <t>=NL("First","Customer","Name","No.",IF($D288="Customer",$L288,"@@"))</t>
  </si>
  <si>
    <t>=ABS(NF($C288,"Amount"))</t>
  </si>
  <si>
    <t>="""TRUST Nav"",""HSPMTB2016"",""17"",""1"",""129694"""</t>
  </si>
  <si>
    <t>=CONCATENATE(L289,"|",O289)</t>
  </si>
  <si>
    <t>=IF($D289="Customer",$D289,"G/L")</t>
  </si>
  <si>
    <t>=NL("First","Customer","Name","No.",IF($D289="Customer",$L289,"@@"))</t>
  </si>
  <si>
    <t>=ABS(NF($C289,"Amount"))</t>
  </si>
  <si>
    <t>="""TRUST Nav"",""HSPMTB2016"",""17"",""1"",""129695"""</t>
  </si>
  <si>
    <t>=CONCATENATE(L290,"|",O290)</t>
  </si>
  <si>
    <t>=IF($D290="Customer",$D290,"G/L")</t>
  </si>
  <si>
    <t>=NL("First","Customer","Name","No.",IF($D290="Customer",$L290,"@@"))</t>
  </si>
  <si>
    <t>=ABS(NF($C290,"Amount"))</t>
  </si>
  <si>
    <t>="""TRUST Nav"",""HSPMTB2016"",""17"",""1"",""129696"""</t>
  </si>
  <si>
    <t>=CONCATENATE(L291,"|",O291)</t>
  </si>
  <si>
    <t>=IF($D291="Customer",$D291,"G/L")</t>
  </si>
  <si>
    <t>=NL("First","Customer","Name","No.",IF($D291="Customer",$L291,"@@"))</t>
  </si>
  <si>
    <t>=ABS(NF($C291,"Amount"))</t>
  </si>
  <si>
    <t>="""TRUST Nav"",""HSPMTB2016"",""17"",""1"",""129697"""</t>
  </si>
  <si>
    <t>=CONCATENATE(L292,"|",O292)</t>
  </si>
  <si>
    <t>=IF($D292="Customer",$D292,"G/L")</t>
  </si>
  <si>
    <t>=NL("First","Customer","Name","No.",IF($D292="Customer",$L292,"@@"))</t>
  </si>
  <si>
    <t>=ABS(NF($C292,"Amount"))</t>
  </si>
  <si>
    <t>="""TRUST Nav"",""HSPMTB2016"",""17"",""1"",""129698"""</t>
  </si>
  <si>
    <t>=CONCATENATE(L293,"|",O293)</t>
  </si>
  <si>
    <t>=IF($D293="Customer",$D293,"G/L")</t>
  </si>
  <si>
    <t>=NL("First","Customer","Name","No.",IF($D293="Customer",$L293,"@@"))</t>
  </si>
  <si>
    <t>=ABS(NF($C293,"Amount"))</t>
  </si>
  <si>
    <t>="""TRUST Nav"",""HSPMTB2016"",""17"",""1"",""129699"""</t>
  </si>
  <si>
    <t>=CONCATENATE(L294,"|",O294)</t>
  </si>
  <si>
    <t>=IF($D294="Customer",$D294,"G/L")</t>
  </si>
  <si>
    <t>=NL("First","Customer","Name","No.",IF($D294="Customer",$L294,"@@"))</t>
  </si>
  <si>
    <t>=ABS(NF($C294,"Amount"))</t>
  </si>
  <si>
    <t>="""TRUST Nav"",""HSPMTB2016"",""17"",""1"",""129700"""</t>
  </si>
  <si>
    <t>=CONCATENATE(L295,"|",O295)</t>
  </si>
  <si>
    <t>=IF($D295="Customer",$D295,"G/L")</t>
  </si>
  <si>
    <t>=NL("First","Customer","Name","No.",IF($D295="Customer",$L295,"@@"))</t>
  </si>
  <si>
    <t>=ABS(NF($C295,"Amount"))</t>
  </si>
  <si>
    <t>="""TRUST Nav"",""HSPMTB2016"",""17"",""1"",""129701"""</t>
  </si>
  <si>
    <t>=CONCATENATE(L296,"|",O296)</t>
  </si>
  <si>
    <t>=IF($D296="Customer",$D296,"G/L")</t>
  </si>
  <si>
    <t>=NL("First","Customer","Name","No.",IF($D296="Customer",$L296,"@@"))</t>
  </si>
  <si>
    <t>=ABS(NF($C296,"Amount"))</t>
  </si>
  <si>
    <t>="""TRUST Nav"",""HSPMTB2016"",""17"",""1"",""129702"""</t>
  </si>
  <si>
    <t>=CONCATENATE(L297,"|",O297)</t>
  </si>
  <si>
    <t>=IF($D297="Customer",$D297,"G/L")</t>
  </si>
  <si>
    <t>=NL("First","Customer","Name","No.",IF($D297="Customer",$L297,"@@"))</t>
  </si>
  <si>
    <t>=ABS(NF($C297,"Amount"))</t>
  </si>
  <si>
    <t>="""TRUST Nav"",""HSPMTB2016"",""17"",""1"",""129703"""</t>
  </si>
  <si>
    <t>=CONCATENATE(L298,"|",O298)</t>
  </si>
  <si>
    <t>=IF($D298="Customer",$D298,"G/L")</t>
  </si>
  <si>
    <t>=NL("First","Customer","Name","No.",IF($D298="Customer",$L298,"@@"))</t>
  </si>
  <si>
    <t>=ABS(NF($C298,"Amount"))</t>
  </si>
  <si>
    <t>="""TRUST Nav"",""HSPMTB2016"",""17"",""1"",""129704"""</t>
  </si>
  <si>
    <t>=CONCATENATE(L299,"|",O299)</t>
  </si>
  <si>
    <t>=IF($D299="Customer",$D299,"G/L")</t>
  </si>
  <si>
    <t>=NL("First","Customer","Name","No.",IF($D299="Customer",$L299,"@@"))</t>
  </si>
  <si>
    <t>=ABS(NF($C299,"Amount"))</t>
  </si>
  <si>
    <t>="""TRUST Nav"",""HSPMTB2016"",""17"",""1"",""129705"""</t>
  </si>
  <si>
    <t>=CONCATENATE(L300,"|",O300)</t>
  </si>
  <si>
    <t>=IF($D300="Customer",$D300,"G/L")</t>
  </si>
  <si>
    <t>=NL("First","Customer","Name","No.",IF($D300="Customer",$L300,"@@"))</t>
  </si>
  <si>
    <t>=ABS(NF($C300,"Amount"))</t>
  </si>
  <si>
    <t>="""TRUST Nav"",""HSPMTB2016"",""17"",""1"",""129706"""</t>
  </si>
  <si>
    <t>=CONCATENATE(L301,"|",O301)</t>
  </si>
  <si>
    <t>=IF($D301="Customer",$D301,"G/L")</t>
  </si>
  <si>
    <t>=NL("First","Customer","Name","No.",IF($D301="Customer",$L301,"@@"))</t>
  </si>
  <si>
    <t>=ABS(NF($C301,"Amount"))</t>
  </si>
  <si>
    <t>="""TRUST Nav"",""HSPMTB2016"",""17"",""1"",""129707"""</t>
  </si>
  <si>
    <t>=CONCATENATE(L302,"|",O302)</t>
  </si>
  <si>
    <t>=IF($D302="Customer",$D302,"G/L")</t>
  </si>
  <si>
    <t>=NL("First","Customer","Name","No.",IF($D302="Customer",$L302,"@@"))</t>
  </si>
  <si>
    <t>=ABS(NF($C302,"Amount"))</t>
  </si>
  <si>
    <t>="""TRUST Nav"",""HSPMTB2016"",""17"",""1"",""129708"""</t>
  </si>
  <si>
    <t>=CONCATENATE(L303,"|",O303)</t>
  </si>
  <si>
    <t>=IF($D303="Customer",$D303,"G/L")</t>
  </si>
  <si>
    <t>=NL("First","Customer","Name","No.",IF($D303="Customer",$L303,"@@"))</t>
  </si>
  <si>
    <t>=ABS(NF($C303,"Amount"))</t>
  </si>
  <si>
    <t>="""TRUST Nav"",""HSPMTB2016"",""17"",""1"",""129709"""</t>
  </si>
  <si>
    <t>=CONCATENATE(L304,"|",O304)</t>
  </si>
  <si>
    <t>=IF($D304="Customer",$D304,"G/L")</t>
  </si>
  <si>
    <t>=NL("First","Customer","Name","No.",IF($D304="Customer",$L304,"@@"))</t>
  </si>
  <si>
    <t>=ABS(NF($C304,"Amount"))</t>
  </si>
  <si>
    <t>="""TRUST Nav"",""HSPMTB2016"",""17"",""1"",""129710"""</t>
  </si>
  <si>
    <t>=CONCATENATE(L305,"|",O305)</t>
  </si>
  <si>
    <t>=IF($D305="Customer",$D305,"G/L")</t>
  </si>
  <si>
    <t>=NL("First","Customer","Name","No.",IF($D305="Customer",$L305,"@@"))</t>
  </si>
  <si>
    <t>=ABS(NF($C305,"Amount"))</t>
  </si>
  <si>
    <t>="""TRUST Nav"",""HSPMTB2016"",""17"",""1"",""129711"""</t>
  </si>
  <si>
    <t>=CONCATENATE(L306,"|",O306)</t>
  </si>
  <si>
    <t>=IF($D306="Customer",$D306,"G/L")</t>
  </si>
  <si>
    <t>=NL("First","Customer","Name","No.",IF($D306="Customer",$L306,"@@"))</t>
  </si>
  <si>
    <t>=ABS(NF($C306,"Amount"))</t>
  </si>
  <si>
    <t>="""TRUST Nav"",""HSPMTB2016"",""17"",""1"",""129712"""</t>
  </si>
  <si>
    <t>=CONCATENATE(L307,"|",O307)</t>
  </si>
  <si>
    <t>=IF($D307="Customer",$D307,"G/L")</t>
  </si>
  <si>
    <t>=NL("First","Customer","Name","No.",IF($D307="Customer",$L307,"@@"))</t>
  </si>
  <si>
    <t>=ABS(NF($C307,"Amount"))</t>
  </si>
  <si>
    <t>="""TRUST Nav"",""HSPMTB2016"",""17"",""1"",""129713"""</t>
  </si>
  <si>
    <t>=CONCATENATE(L308,"|",O308)</t>
  </si>
  <si>
    <t>=IF($D308="Customer",$D308,"G/L")</t>
  </si>
  <si>
    <t>=NL("First","Customer","Name","No.",IF($D308="Customer",$L308,"@@"))</t>
  </si>
  <si>
    <t>=ABS(NF($C308,"Amount"))</t>
  </si>
  <si>
    <t>="""TRUST Nav"",""HSPMTB2016"",""17"",""1"",""129714"""</t>
  </si>
  <si>
    <t>=CONCATENATE(L309,"|",O309)</t>
  </si>
  <si>
    <t>=IF($D309="Customer",$D309,"G/L")</t>
  </si>
  <si>
    <t>=NL("First","Customer","Name","No.",IF($D309="Customer",$L309,"@@"))</t>
  </si>
  <si>
    <t>=ABS(NF($C309,"Amount"))</t>
  </si>
  <si>
    <t>="""TRUST Nav"",""HSPMTB2016"",""17"",""1"",""138821"""</t>
  </si>
  <si>
    <t>=CONCATENATE(L310,"|",O310)</t>
  </si>
  <si>
    <t>=IF($D310="Customer",$D310,"G/L")</t>
  </si>
  <si>
    <t>=NL("First","Customer","Name","No.",IF($D310="Customer",$L310,"@@"))</t>
  </si>
  <si>
    <t>=ABS(NF($C310,"Amount"))</t>
  </si>
  <si>
    <t>="""TRUST Nav"",""HSPMTB2016"",""17"",""1"",""138822"""</t>
  </si>
  <si>
    <t>=CONCATENATE(L311,"|",O311)</t>
  </si>
  <si>
    <t>=IF($D311="Customer",$D311,"G/L")</t>
  </si>
  <si>
    <t>=NL("First","Customer","Name","No.",IF($D311="Customer",$L311,"@@"))</t>
  </si>
  <si>
    <t>=ABS(NF($C311,"Amount"))</t>
  </si>
  <si>
    <t>="""TRUST Nav"",""HSPMTB2016"",""17"",""1"",""138823"""</t>
  </si>
  <si>
    <t>=CONCATENATE(L312,"|",O312)</t>
  </si>
  <si>
    <t>=IF($D312="Customer",$D312,"G/L")</t>
  </si>
  <si>
    <t>=NL("First","Customer","Name","No.",IF($D312="Customer",$L312,"@@"))</t>
  </si>
  <si>
    <t>=ABS(NF($C312,"Amount"))</t>
  </si>
  <si>
    <t>="""TRUST Nav"",""HSPMTB2016"",""17"",""1"",""138824"""</t>
  </si>
  <si>
    <t>=CONCATENATE(L313,"|",O313)</t>
  </si>
  <si>
    <t>=IF($D313="Customer",$D313,"G/L")</t>
  </si>
  <si>
    <t>=NL("First","Customer","Name","No.",IF($D313="Customer",$L313,"@@"))</t>
  </si>
  <si>
    <t>=ABS(NF($C313,"Amount"))</t>
  </si>
  <si>
    <t>="""TRUST Nav"",""HSPMTB2016"",""17"",""1"",""138825"""</t>
  </si>
  <si>
    <t>=CONCATENATE(L314,"|",O314)</t>
  </si>
  <si>
    <t>=IF($D314="Customer",$D314,"G/L")</t>
  </si>
  <si>
    <t>=NL("First","Customer","Name","No.",IF($D314="Customer",$L314,"@@"))</t>
  </si>
  <si>
    <t>=ABS(NF($C314,"Amount"))</t>
  </si>
  <si>
    <t>="""TRUST Nav"",""HSPMTB2016"",""17"",""1"",""138826"""</t>
  </si>
  <si>
    <t>=CONCATENATE(L315,"|",O315)</t>
  </si>
  <si>
    <t>=IF($D315="Customer",$D315,"G/L")</t>
  </si>
  <si>
    <t>=NL("First","Customer","Name","No.",IF($D315="Customer",$L315,"@@"))</t>
  </si>
  <si>
    <t>=ABS(NF($C315,"Amount"))</t>
  </si>
  <si>
    <t>="""TRUST Nav"",""HSPMTB2016"",""17"",""1"",""138827"""</t>
  </si>
  <si>
    <t>=CONCATENATE(L316,"|",O316)</t>
  </si>
  <si>
    <t>=IF($D316="Customer",$D316,"G/L")</t>
  </si>
  <si>
    <t>=NL("First","Customer","Name","No.",IF($D316="Customer",$L316,"@@"))</t>
  </si>
  <si>
    <t>=ABS(NF($C316,"Amount"))</t>
  </si>
  <si>
    <t>="""TRUST Nav"",""HSPMTB2016"",""17"",""1"",""138828"""</t>
  </si>
  <si>
    <t>=CONCATENATE(L317,"|",O317)</t>
  </si>
  <si>
    <t>=IF($D317="Customer",$D317,"G/L")</t>
  </si>
  <si>
    <t>=NL("First","Customer","Name","No.",IF($D317="Customer",$L317,"@@"))</t>
  </si>
  <si>
    <t>=ABS(NF($C317,"Amount"))</t>
  </si>
  <si>
    <t>="""TRUST Nav"",""HSPMTB2016"",""17"",""1"",""138829"""</t>
  </si>
  <si>
    <t>=CONCATENATE(L318,"|",O318)</t>
  </si>
  <si>
    <t>=IF($D318="Customer",$D318,"G/L")</t>
  </si>
  <si>
    <t>=NL("First","Customer","Name","No.",IF($D318="Customer",$L318,"@@"))</t>
  </si>
  <si>
    <t>=ABS(NF($C318,"Amount"))</t>
  </si>
  <si>
    <t>="""TRUST Nav"",""HSPMTB2016"",""17"",""1"",""138830"""</t>
  </si>
  <si>
    <t>=CONCATENATE(L319,"|",O319)</t>
  </si>
  <si>
    <t>=IF($D319="Customer",$D319,"G/L")</t>
  </si>
  <si>
    <t>=NL("First","Customer","Name","No.",IF($D319="Customer",$L319,"@@"))</t>
  </si>
  <si>
    <t>=ABS(NF($C319,"Amount"))</t>
  </si>
  <si>
    <t>="""TRUST Nav"",""HSPMTB2016"",""17"",""1"",""138831"""</t>
  </si>
  <si>
    <t>=CONCATENATE(L320,"|",O320)</t>
  </si>
  <si>
    <t>=IF($D320="Customer",$D320,"G/L")</t>
  </si>
  <si>
    <t>=NL("First","Customer","Name","No.",IF($D320="Customer",$L320,"@@"))</t>
  </si>
  <si>
    <t>=ABS(NF($C320,"Amount"))</t>
  </si>
  <si>
    <t>="""TRUST Nav"",""HSPMTB2016"",""17"",""1"",""138832"""</t>
  </si>
  <si>
    <t>=CONCATENATE(L321,"|",O321)</t>
  </si>
  <si>
    <t>=IF($D321="Customer",$D321,"G/L")</t>
  </si>
  <si>
    <t>=NL("First","Customer","Name","No.",IF($D321="Customer",$L321,"@@"))</t>
  </si>
  <si>
    <t>=ABS(NF($C321,"Amount"))</t>
  </si>
  <si>
    <t>="""TRUST Nav"",""HSPMTB2016"",""17"",""1"",""138833"""</t>
  </si>
  <si>
    <t>=CONCATENATE(L322,"|",O322)</t>
  </si>
  <si>
    <t>=IF($D322="Customer",$D322,"G/L")</t>
  </si>
  <si>
    <t>=NL("First","Customer","Name","No.",IF($D322="Customer",$L322,"@@"))</t>
  </si>
  <si>
    <t>=ABS(NF($C322,"Amount"))</t>
  </si>
  <si>
    <t>="""TRUST Nav"",""HSPMTB2016"",""17"",""1"",""138834"""</t>
  </si>
  <si>
    <t>=CONCATENATE(L323,"|",O323)</t>
  </si>
  <si>
    <t>=IF($D323="Customer",$D323,"G/L")</t>
  </si>
  <si>
    <t>=NL("First","Customer","Name","No.",IF($D323="Customer",$L323,"@@"))</t>
  </si>
  <si>
    <t>=ABS(NF($C323,"Amount"))</t>
  </si>
  <si>
    <t>=NL("Rows","Cust. Ledger Entry",,"Intensi Code",$K$6,"Posting Date",$J$8,"+Customer No.",$C330,"Reversed","False")</t>
  </si>
  <si>
    <t>=CONCATENATE(J330,"|",M330,"|",L330)</t>
  </si>
  <si>
    <t>=ABS(NF($D330,"Amount"))</t>
  </si>
  <si>
    <t>="""TRUST Nav"",""HSPMTB2016"",""21"",""1"",""3442"""</t>
  </si>
  <si>
    <t>=CONCATENATE(J331,"|",M331,"|",L331)</t>
  </si>
  <si>
    <t>=ABS(NF($D331,"Amount"))</t>
  </si>
  <si>
    <t>="""TRUST Nav"",""HSPMTB2016"",""21"",""1"",""3443"""</t>
  </si>
  <si>
    <t>=CONCATENATE(J332,"|",M332,"|",L332)</t>
  </si>
  <si>
    <t>=ABS(NF($D332,"Amount"))</t>
  </si>
  <si>
    <t>="""TRUST Nav"",""HSPMTB2016"",""21"",""1"",""3444"""</t>
  </si>
  <si>
    <t>=CONCATENATE(J333,"|",M333,"|",L333)</t>
  </si>
  <si>
    <t>=ABS(NF($D333,"Amount"))</t>
  </si>
  <si>
    <t>="""TRUST Nav"",""HSPMTB2016"",""21"",""1"",""3445"""</t>
  </si>
  <si>
    <t>=CONCATENATE(J334,"|",M334,"|",L334)</t>
  </si>
  <si>
    <t>=ABS(NF($D334,"Amount"))</t>
  </si>
  <si>
    <t>="""TRUST Nav"",""HSPMTB2016"",""21"",""1"",""3446"""</t>
  </si>
  <si>
    <t>=CONCATENATE(J335,"|",M335,"|",L335)</t>
  </si>
  <si>
    <t>=ABS(NF($D335,"Amount"))</t>
  </si>
  <si>
    <t>="""TRUST Nav"",""HSPMTB2016"",""21"",""1"",""37240"""</t>
  </si>
  <si>
    <t>=CONCATENATE(J336,"|",M336,"|",L336)</t>
  </si>
  <si>
    <t>=ABS(NF($D336,"Amount"))</t>
  </si>
  <si>
    <t>="""TRUST Nav"",""HSPMTB2016"",""21"",""1"",""37241"""</t>
  </si>
  <si>
    <t>=CONCATENATE(J337,"|",M337,"|",L337)</t>
  </si>
  <si>
    <t>=ABS(NF($D337,"Amount"))</t>
  </si>
  <si>
    <t>="""TRUST Nav"",""HSPMTB2016"",""21"",""1"",""37242"""</t>
  </si>
  <si>
    <t>=CONCATENATE(J338,"|",M338,"|",L338)</t>
  </si>
  <si>
    <t>=ABS(NF($D338,"Amount"))</t>
  </si>
  <si>
    <t>="""TRUST Nav"",""HSPMTB2016"",""21"",""1"",""37243"""</t>
  </si>
  <si>
    <t>=CONCATENATE(J339,"|",M339,"|",L339)</t>
  </si>
  <si>
    <t>=ABS(NF($D339,"Amount"))</t>
  </si>
  <si>
    <t>="""TRUST Nav"",""HSPMTB2016"",""21"",""1"",""37244"""</t>
  </si>
  <si>
    <t>=CONCATENATE(J340,"|",M340,"|",L340)</t>
  </si>
  <si>
    <t>=ABS(NF($D340,"Amount"))</t>
  </si>
  <si>
    <t>="""TRUST Nav"",""HSPMTB2016"",""21"",""1"",""37245"""</t>
  </si>
  <si>
    <t>=CONCATENATE(J341,"|",M341,"|",L341)</t>
  </si>
  <si>
    <t>=ABS(NF($D341,"Amount"))</t>
  </si>
  <si>
    <t>="""TRUST Nav"",""HSPMTB2016"",""21"",""1"",""85202"""</t>
  </si>
  <si>
    <t>=CONCATENATE(J342,"|",M342,"|",L342)</t>
  </si>
  <si>
    <t>=ABS(NF($D342,"Amount"))</t>
  </si>
  <si>
    <t>="""TRUST Nav"",""HSPMTB2016"",""21"",""1"",""85203"""</t>
  </si>
  <si>
    <t>=CONCATENATE(J343,"|",M343,"|",L343)</t>
  </si>
  <si>
    <t>=ABS(NF($D343,"Amount"))</t>
  </si>
  <si>
    <t>="""TRUST Nav"",""HSPMTB2016"",""21"",""1"",""85204"""</t>
  </si>
  <si>
    <t>=CONCATENATE(J344,"|",M344,"|",L344)</t>
  </si>
  <si>
    <t>=ABS(NF($D344,"Amount"))</t>
  </si>
  <si>
    <t>="""TRUST Nav"",""HSPMTB2016"",""21"",""1"",""122013"""</t>
  </si>
  <si>
    <t>=CONCATENATE(J345,"|",M345,"|",L345)</t>
  </si>
  <si>
    <t>=ABS(NF($D345,"Amount"))</t>
  </si>
  <si>
    <t>="""TRUST Nav"",""HSPMTB2016"",""21"",""1"",""122014"""</t>
  </si>
  <si>
    <t>=CONCATENATE(J346,"|",M346,"|",L346)</t>
  </si>
  <si>
    <t>=ABS(NF($D346,"Amount"))</t>
  </si>
  <si>
    <t>="""TRUST Nav"",""HSPMTB2016"",""21"",""1"",""122015"""</t>
  </si>
  <si>
    <t>=CONCATENATE(J347,"|",M347,"|",L347)</t>
  </si>
  <si>
    <t>=ABS(NF($D347,"Amount"))</t>
  </si>
  <si>
    <t>="""TRUST Nav"",""HSPMTB2016"",""21"",""1"",""138821"""</t>
  </si>
  <si>
    <t>=CONCATENATE(J348,"|",M348,"|",L348)</t>
  </si>
  <si>
    <t>=ABS(NF($D348,"Amount"))</t>
  </si>
  <si>
    <t>="""TRUST Nav"",""HSPMTB2016"",""21"",""1"",""138822"""</t>
  </si>
  <si>
    <t>=CONCATENATE(J349,"|",M349,"|",L349)</t>
  </si>
  <si>
    <t>=ABS(NF($D349,"Amount"))</t>
  </si>
  <si>
    <t>="""TRUST Nav"",""HSPMTB2016"",""21"",""1"",""138823"""</t>
  </si>
  <si>
    <t>=CONCATENATE(J350,"|",M350,"|",L350)</t>
  </si>
  <si>
    <t>=ABS(NF($D350,"Amount"))</t>
  </si>
  <si>
    <t>="""TRUST Nav"",""HSPMTB2016"",""21"",""1"",""3447"""</t>
  </si>
  <si>
    <t>=CONCATENATE(J351,"|",M351,"|",L351)</t>
  </si>
  <si>
    <t>=ABS(NF($D351,"Amount"))</t>
  </si>
  <si>
    <t>="""TRUST Nav"",""HSPMTB2016"",""21"",""1"",""3448"""</t>
  </si>
  <si>
    <t>=CONCATENATE(J352,"|",M352,"|",L352)</t>
  </si>
  <si>
    <t>=ABS(NF($D352,"Amount"))</t>
  </si>
  <si>
    <t>="""TRUST Nav"",""HSPMTB2016"",""21"",""1"",""3449"""</t>
  </si>
  <si>
    <t>=CONCATENATE(J353,"|",M353,"|",L353)</t>
  </si>
  <si>
    <t>=ABS(NF($D353,"Amount"))</t>
  </si>
  <si>
    <t>="""TRUST Nav"",""HSPMTB2016"",""21"",""1"",""3450"""</t>
  </si>
  <si>
    <t>=CONCATENATE(J354,"|",M354,"|",L354)</t>
  </si>
  <si>
    <t>=ABS(NF($D354,"Amount"))</t>
  </si>
  <si>
    <t>="""TRUST Nav"",""HSPMTB2016"",""21"",""1"",""3451"""</t>
  </si>
  <si>
    <t>=CONCATENATE(J355,"|",M355,"|",L355)</t>
  </si>
  <si>
    <t>=ABS(NF($D355,"Amount"))</t>
  </si>
  <si>
    <t>="""TRUST Nav"",""HSPMTB2016"",""21"",""1"",""3452"""</t>
  </si>
  <si>
    <t>=CONCATENATE(J356,"|",M356,"|",L356)</t>
  </si>
  <si>
    <t>=ABS(NF($D356,"Amount"))</t>
  </si>
  <si>
    <t>="""TRUST Nav"",""HSPMTB2016"",""21"",""1"",""37246"""</t>
  </si>
  <si>
    <t>=CONCATENATE(J357,"|",M357,"|",L357)</t>
  </si>
  <si>
    <t>=ABS(NF($D357,"Amount"))</t>
  </si>
  <si>
    <t>="""TRUST Nav"",""HSPMTB2016"",""21"",""1"",""37247"""</t>
  </si>
  <si>
    <t>=CONCATENATE(J358,"|",M358,"|",L358)</t>
  </si>
  <si>
    <t>=ABS(NF($D358,"Amount"))</t>
  </si>
  <si>
    <t>="""TRUST Nav"",""HSPMTB2016"",""21"",""1"",""37248"""</t>
  </si>
  <si>
    <t>=CONCATENATE(J359,"|",M359,"|",L359)</t>
  </si>
  <si>
    <t>=ABS(NF($D359,"Amount"))</t>
  </si>
  <si>
    <t>="""TRUST Nav"",""HSPMTB2016"",""21"",""1"",""37249"""</t>
  </si>
  <si>
    <t>=CONCATENATE(J360,"|",M360,"|",L360)</t>
  </si>
  <si>
    <t>=ABS(NF($D360,"Amount"))</t>
  </si>
  <si>
    <t>="""TRUST Nav"",""HSPMTB2016"",""21"",""1"",""37250"""</t>
  </si>
  <si>
    <t>=CONCATENATE(J361,"|",M361,"|",L361)</t>
  </si>
  <si>
    <t>=ABS(NF($D361,"Amount"))</t>
  </si>
  <si>
    <t>="""TRUST Nav"",""HSPMTB2016"",""21"",""1"",""37251"""</t>
  </si>
  <si>
    <t>=CONCATENATE(J362,"|",M362,"|",L362)</t>
  </si>
  <si>
    <t>=ABS(NF($D362,"Amount"))</t>
  </si>
  <si>
    <t>="""TRUST Nav"",""HSPMTB2016"",""21"",""1"",""116848"""</t>
  </si>
  <si>
    <t>=CONCATENATE(J363,"|",M363,"|",L363)</t>
  </si>
  <si>
    <t>=ABS(NF($D363,"Amount"))</t>
  </si>
  <si>
    <t>="""TRUST Nav"",""HSPMTB2016"",""21"",""1"",""116849"""</t>
  </si>
  <si>
    <t>=CONCATENATE(J364,"|",M364,"|",L364)</t>
  </si>
  <si>
    <t>=ABS(NF($D364,"Amount"))</t>
  </si>
  <si>
    <t>="""TRUST Nav"",""HSPMTB2016"",""21"",""1"",""116850"""</t>
  </si>
  <si>
    <t>=CONCATENATE(J365,"|",M365,"|",L365)</t>
  </si>
  <si>
    <t>=ABS(NF($D365,"Amount"))</t>
  </si>
  <si>
    <t>="""TRUST Nav"",""HSPMTB2016"",""21"",""1"",""116851"""</t>
  </si>
  <si>
    <t>=CONCATENATE(J366,"|",M366,"|",L366)</t>
  </si>
  <si>
    <t>=ABS(NF($D366,"Amount"))</t>
  </si>
  <si>
    <t>="""TRUST Nav"",""HSPMTB2016"",""21"",""1"",""3453"""</t>
  </si>
  <si>
    <t>=CONCATENATE(J367,"|",M367,"|",L367)</t>
  </si>
  <si>
    <t>=ABS(NF($D367,"Amount"))</t>
  </si>
  <si>
    <t>="""TRUST Nav"",""HSPMTB2016"",""21"",""1"",""3454"""</t>
  </si>
  <si>
    <t>=CONCATENATE(J368,"|",M368,"|",L368)</t>
  </si>
  <si>
    <t>=ABS(NF($D368,"Amount"))</t>
  </si>
  <si>
    <t>="""TRUST Nav"",""HSPMTB2016"",""21"",""1"",""3455"""</t>
  </si>
  <si>
    <t>=CONCATENATE(J369,"|",M369,"|",L369)</t>
  </si>
  <si>
    <t>=ABS(NF($D369,"Amount"))</t>
  </si>
  <si>
    <t>="""TRUST Nav"",""HSPMTB2016"",""21"",""1"",""3456"""</t>
  </si>
  <si>
    <t>=CONCATENATE(J370,"|",M370,"|",L370)</t>
  </si>
  <si>
    <t>=ABS(NF($D370,"Amount"))</t>
  </si>
  <si>
    <t>="""TRUST Nav"",""HSPMTB2016"",""21"",""1"",""3457"""</t>
  </si>
  <si>
    <t>=CONCATENATE(J371,"|",M371,"|",L371)</t>
  </si>
  <si>
    <t>=ABS(NF($D371,"Amount"))</t>
  </si>
  <si>
    <t>="""TRUST Nav"",""HSPMTB2016"",""21"",""1"",""3458"""</t>
  </si>
  <si>
    <t>=CONCATENATE(J372,"|",M372,"|",L372)</t>
  </si>
  <si>
    <t>=ABS(NF($D372,"Amount"))</t>
  </si>
  <si>
    <t>="""TRUST Nav"",""HSPMTB2016"",""21"",""1"",""37252"""</t>
  </si>
  <si>
    <t>=CONCATENATE(J373,"|",M373,"|",L373)</t>
  </si>
  <si>
    <t>=ABS(NF($D373,"Amount"))</t>
  </si>
  <si>
    <t>="""TRUST Nav"",""HSPMTB2016"",""21"",""1"",""37253"""</t>
  </si>
  <si>
    <t>=CONCATENATE(J374,"|",M374,"|",L374)</t>
  </si>
  <si>
    <t>=ABS(NF($D374,"Amount"))</t>
  </si>
  <si>
    <t>="""TRUST Nav"",""HSPMTB2016"",""21"",""1"",""37254"""</t>
  </si>
  <si>
    <t>=CONCATENATE(J375,"|",M375,"|",L375)</t>
  </si>
  <si>
    <t>=ABS(NF($D375,"Amount"))</t>
  </si>
  <si>
    <t>="""TRUST Nav"",""HSPMTB2016"",""21"",""1"",""37255"""</t>
  </si>
  <si>
    <t>=CONCATENATE(J376,"|",M376,"|",L376)</t>
  </si>
  <si>
    <t>=ABS(NF($D376,"Amount"))</t>
  </si>
  <si>
    <t>="""TRUST Nav"",""HSPMTB2016"",""21"",""1"",""37256"""</t>
  </si>
  <si>
    <t>=CONCATENATE(J377,"|",M377,"|",L377)</t>
  </si>
  <si>
    <t>=ABS(NF($D377,"Amount"))</t>
  </si>
  <si>
    <t>="""TRUST Nav"",""HSPMTB2016"",""21"",""1"",""37257"""</t>
  </si>
  <si>
    <t>=CONCATENATE(J378,"|",M378,"|",L378)</t>
  </si>
  <si>
    <t>=ABS(NF($D378,"Amount"))</t>
  </si>
  <si>
    <t>="""TRUST Nav"",""HSPMTB2016"",""21"",""1"",""73417"""</t>
  </si>
  <si>
    <t>=CONCATENATE(J379,"|",M379,"|",L379)</t>
  </si>
  <si>
    <t>=ABS(NF($D379,"Amount"))</t>
  </si>
  <si>
    <t>="""TRUST Nav"",""HSPMTB2016"",""21"",""1"",""73418"""</t>
  </si>
  <si>
    <t>=CONCATENATE(J380,"|",M380,"|",L380)</t>
  </si>
  <si>
    <t>=ABS(NF($D380,"Amount"))</t>
  </si>
  <si>
    <t>="""TRUST Nav"",""HSPMTB2016"",""21"",""1"",""122016"""</t>
  </si>
  <si>
    <t>=CONCATENATE(J381,"|",M381,"|",L381)</t>
  </si>
  <si>
    <t>=ABS(NF($D381,"Amount"))</t>
  </si>
  <si>
    <t>="""TRUST Nav"",""HSPMTB2016"",""21"",""1"",""122017"""</t>
  </si>
  <si>
    <t>=CONCATENATE(J382,"|",M382,"|",L382)</t>
  </si>
  <si>
    <t>=ABS(NF($D382,"Amount"))</t>
  </si>
  <si>
    <t>="""TRUST Nav"",""HSPMTB2016"",""21"",""1"",""122018"""</t>
  </si>
  <si>
    <t>=CONCATENATE(J383,"|",M383,"|",L383)</t>
  </si>
  <si>
    <t>=ABS(NF($D383,"Amount"))</t>
  </si>
  <si>
    <t>="""TRUST Nav"",""HSPMTB2016"",""21"",""1"",""122019"""</t>
  </si>
  <si>
    <t>=CONCATENATE(J384,"|",M384,"|",L384)</t>
  </si>
  <si>
    <t>=ABS(NF($D384,"Amount"))</t>
  </si>
  <si>
    <t>="""TRUST Nav"",""HSPMTB2016"",""21"",""1"",""129693"""</t>
  </si>
  <si>
    <t>=CONCATENATE(J385,"|",M385,"|",L385)</t>
  </si>
  <si>
    <t>=ABS(NF($D385,"Amount"))</t>
  </si>
  <si>
    <t>="""TRUST Nav"",""HSPMTB2016"",""21"",""1"",""129694"""</t>
  </si>
  <si>
    <t>=CONCATENATE(J386,"|",M386,"|",L386)</t>
  </si>
  <si>
    <t>=ABS(NF($D386,"Amount"))</t>
  </si>
  <si>
    <t>="""TRUST Nav"",""HSPMTB2016"",""21"",""1"",""129695"""</t>
  </si>
  <si>
    <t>=CONCATENATE(J387,"|",M387,"|",L387)</t>
  </si>
  <si>
    <t>=ABS(NF($D387,"Amount"))</t>
  </si>
  <si>
    <t>="""TRUST Nav"",""HSPMTB2016"",""21"",""1"",""3459"""</t>
  </si>
  <si>
    <t>=CONCATENATE(J388,"|",M388,"|",L388)</t>
  </si>
  <si>
    <t>=ABS(NF($D388,"Amount"))</t>
  </si>
  <si>
    <t>="""TRUST Nav"",""HSPMTB2016"",""21"",""1"",""3460"""</t>
  </si>
  <si>
    <t>=CONCATENATE(J389,"|",M389,"|",L389)</t>
  </si>
  <si>
    <t>=ABS(NF($D389,"Amount"))</t>
  </si>
  <si>
    <t>="""TRUST Nav"",""HSPMTB2016"",""21"",""1"",""3461"""</t>
  </si>
  <si>
    <t>=CONCATENATE(J390,"|",M390,"|",L390)</t>
  </si>
  <si>
    <t>=ABS(NF($D390,"Amount"))</t>
  </si>
  <si>
    <t>="""TRUST Nav"",""HSPMTB2016"",""21"",""1"",""3462"""</t>
  </si>
  <si>
    <t>=CONCATENATE(J391,"|",M391,"|",L391)</t>
  </si>
  <si>
    <t>=ABS(NF($D391,"Amount"))</t>
  </si>
  <si>
    <t>="""TRUST Nav"",""HSPMTB2016"",""21"",""1"",""3463"""</t>
  </si>
  <si>
    <t>=CONCATENATE(J392,"|",M392,"|",L392)</t>
  </si>
  <si>
    <t>=ABS(NF($D392,"Amount"))</t>
  </si>
  <si>
    <t>="""TRUST Nav"",""HSPMTB2016"",""21"",""1"",""3464"""</t>
  </si>
  <si>
    <t>=CONCATENATE(J393,"|",M393,"|",L393)</t>
  </si>
  <si>
    <t>=ABS(NF($D393,"Amount"))</t>
  </si>
  <si>
    <t>="""TRUST Nav"",""HSPMTB2016"",""21"",""1"",""37258"""</t>
  </si>
  <si>
    <t>=CONCATENATE(J394,"|",M394,"|",L394)</t>
  </si>
  <si>
    <t>=ABS(NF($D394,"Amount"))</t>
  </si>
  <si>
    <t>="""TRUST Nav"",""HSPMTB2016"",""21"",""1"",""37259"""</t>
  </si>
  <si>
    <t>=CONCATENATE(J395,"|",M395,"|",L395)</t>
  </si>
  <si>
    <t>=ABS(NF($D395,"Amount"))</t>
  </si>
  <si>
    <t>="""TRUST Nav"",""HSPMTB2016"",""21"",""1"",""37260"""</t>
  </si>
  <si>
    <t>=CONCATENATE(J396,"|",M396,"|",L396)</t>
  </si>
  <si>
    <t>=ABS(NF($D396,"Amount"))</t>
  </si>
  <si>
    <t>="""TRUST Nav"",""HSPMTB2016"",""21"",""1"",""37261"""</t>
  </si>
  <si>
    <t>=CONCATENATE(J397,"|",M397,"|",L397)</t>
  </si>
  <si>
    <t>=ABS(NF($D397,"Amount"))</t>
  </si>
  <si>
    <t>="""TRUST Nav"",""HSPMTB2016"",""21"",""1"",""37262"""</t>
  </si>
  <si>
    <t>=CONCATENATE(J398,"|",M398,"|",L398)</t>
  </si>
  <si>
    <t>=ABS(NF($D398,"Amount"))</t>
  </si>
  <si>
    <t>="""TRUST Nav"",""HSPMTB2016"",""21"",""1"",""37263"""</t>
  </si>
  <si>
    <t>=CONCATENATE(J399,"|",M399,"|",L399)</t>
  </si>
  <si>
    <t>=ABS(NF($D399,"Amount"))</t>
  </si>
  <si>
    <t>="""TRUST Nav"",""HSPMTB2016"",""21"",""1"",""3465"""</t>
  </si>
  <si>
    <t>=CONCATENATE(J400,"|",M400,"|",L400)</t>
  </si>
  <si>
    <t>=ABS(NF($D400,"Amount"))</t>
  </si>
  <si>
    <t>="""TRUST Nav"",""HSPMTB2016"",""21"",""1"",""3466"""</t>
  </si>
  <si>
    <t>=CONCATENATE(J401,"|",M401,"|",L401)</t>
  </si>
  <si>
    <t>=ABS(NF($D401,"Amount"))</t>
  </si>
  <si>
    <t>="""TRUST Nav"",""HSPMTB2016"",""21"",""1"",""3467"""</t>
  </si>
  <si>
    <t>=CONCATENATE(J402,"|",M402,"|",L402)</t>
  </si>
  <si>
    <t>=ABS(NF($D402,"Amount"))</t>
  </si>
  <si>
    <t>="""TRUST Nav"",""HSPMTB2016"",""21"",""1"",""3468"""</t>
  </si>
  <si>
    <t>=CONCATENATE(J403,"|",M403,"|",L403)</t>
  </si>
  <si>
    <t>=ABS(NF($D403,"Amount"))</t>
  </si>
  <si>
    <t>="""TRUST Nav"",""HSPMTB2016"",""21"",""1"",""3469"""</t>
  </si>
  <si>
    <t>=CONCATENATE(J404,"|",M404,"|",L404)</t>
  </si>
  <si>
    <t>=ABS(NF($D404,"Amount"))</t>
  </si>
  <si>
    <t>="""TRUST Nav"",""HSPMTB2016"",""21"",""1"",""3470"""</t>
  </si>
  <si>
    <t>=CONCATENATE(J405,"|",M405,"|",L405)</t>
  </si>
  <si>
    <t>=ABS(NF($D405,"Amount"))</t>
  </si>
  <si>
    <t>="""TRUST Nav"",""HSPMTB2016"",""21"",""1"",""37264"""</t>
  </si>
  <si>
    <t>=CONCATENATE(J406,"|",M406,"|",L406)</t>
  </si>
  <si>
    <t>=ABS(NF($D406,"Amount"))</t>
  </si>
  <si>
    <t>="""TRUST Nav"",""HSPMTB2016"",""21"",""1"",""37265"""</t>
  </si>
  <si>
    <t>=CONCATENATE(J407,"|",M407,"|",L407)</t>
  </si>
  <si>
    <t>=ABS(NF($D407,"Amount"))</t>
  </si>
  <si>
    <t>="""TRUST Nav"",""HSPMTB2016"",""21"",""1"",""37266"""</t>
  </si>
  <si>
    <t>=CONCATENATE(J408,"|",M408,"|",L408)</t>
  </si>
  <si>
    <t>=ABS(NF($D408,"Amount"))</t>
  </si>
  <si>
    <t>="""TRUST Nav"",""HSPMTB2016"",""21"",""1"",""37267"""</t>
  </si>
  <si>
    <t>=CONCATENATE(J409,"|",M409,"|",L409)</t>
  </si>
  <si>
    <t>=ABS(NF($D409,"Amount"))</t>
  </si>
  <si>
    <t>="""TRUST Nav"",""HSPMTB2016"",""21"",""1"",""37268"""</t>
  </si>
  <si>
    <t>=CONCATENATE(J410,"|",M410,"|",L410)</t>
  </si>
  <si>
    <t>=ABS(NF($D410,"Amount"))</t>
  </si>
  <si>
    <t>="""TRUST Nav"",""HSPMTB2016"",""21"",""1"",""37269"""</t>
  </si>
  <si>
    <t>=CONCATENATE(J411,"|",M411,"|",L411)</t>
  </si>
  <si>
    <t>=ABS(NF($D411,"Amount"))</t>
  </si>
  <si>
    <t>="""TRUST Nav"",""HSPMTB2016"",""21"",""1"",""102548"""</t>
  </si>
  <si>
    <t>=CONCATENATE(J412,"|",M412,"|",L412)</t>
  </si>
  <si>
    <t>=ABS(NF($D412,"Amount"))</t>
  </si>
  <si>
    <t>="""TRUST Nav"",""HSPMTB2016"",""21"",""1"",""102549"""</t>
  </si>
  <si>
    <t>=CONCATENATE(J413,"|",M413,"|",L413)</t>
  </si>
  <si>
    <t>=ABS(NF($D413,"Amount"))</t>
  </si>
  <si>
    <t>="""TRUST Nav"",""HSPMTB2016"",""21"",""1"",""102550"""</t>
  </si>
  <si>
    <t>=CONCATENATE(J414,"|",M414,"|",L414)</t>
  </si>
  <si>
    <t>=ABS(NF($D414,"Amount"))</t>
  </si>
  <si>
    <t>="""TRUST Nav"",""HSPMTB2016"",""21"",""1"",""102551"""</t>
  </si>
  <si>
    <t>=CONCATENATE(J415,"|",M415,"|",L415)</t>
  </si>
  <si>
    <t>=ABS(NF($D415,"Amount"))</t>
  </si>
  <si>
    <t>="""TRUST Nav"",""HSPMTB2016"",""21"",""1"",""129696"""</t>
  </si>
  <si>
    <t>=CONCATENATE(J416,"|",M416,"|",L416)</t>
  </si>
  <si>
    <t>=ABS(NF($D416,"Amount"))</t>
  </si>
  <si>
    <t>="""TRUST Nav"",""HSPMTB2016"",""21"",""1"",""129697"""</t>
  </si>
  <si>
    <t>=CONCATENATE(J417,"|",M417,"|",L417)</t>
  </si>
  <si>
    <t>=ABS(NF($D417,"Amount"))</t>
  </si>
  <si>
    <t>="""TRUST Nav"",""HSPMTB2016"",""21"",""1"",""129698"""</t>
  </si>
  <si>
    <t>=CONCATENATE(J418,"|",M418,"|",L418)</t>
  </si>
  <si>
    <t>=ABS(NF($D418,"Amount"))</t>
  </si>
  <si>
    <t>="""TRUST Nav"",""HSPMTB2016"",""21"",""1"",""3471"""</t>
  </si>
  <si>
    <t>=CONCATENATE(J419,"|",M419,"|",L419)</t>
  </si>
  <si>
    <t>=ABS(NF($D419,"Amount"))</t>
  </si>
  <si>
    <t>="""TRUST Nav"",""HSPMTB2016"",""21"",""1"",""3472"""</t>
  </si>
  <si>
    <t>=CONCATENATE(J420,"|",M420,"|",L420)</t>
  </si>
  <si>
    <t>=ABS(NF($D420,"Amount"))</t>
  </si>
  <si>
    <t>="""TRUST Nav"",""HSPMTB2016"",""21"",""1"",""3473"""</t>
  </si>
  <si>
    <t>=CONCATENATE(J421,"|",M421,"|",L421)</t>
  </si>
  <si>
    <t>=ABS(NF($D421,"Amount"))</t>
  </si>
  <si>
    <t>="""TRUST Nav"",""HSPMTB2016"",""21"",""1"",""3474"""</t>
  </si>
  <si>
    <t>=CONCATENATE(J422,"|",M422,"|",L422)</t>
  </si>
  <si>
    <t>=ABS(NF($D422,"Amount"))</t>
  </si>
  <si>
    <t>="""TRUST Nav"",""HSPMTB2016"",""21"",""1"",""3475"""</t>
  </si>
  <si>
    <t>=CONCATENATE(J423,"|",M423,"|",L423)</t>
  </si>
  <si>
    <t>=ABS(NF($D423,"Amount"))</t>
  </si>
  <si>
    <t>="""TRUST Nav"",""HSPMTB2016"",""21"",""1"",""3476"""</t>
  </si>
  <si>
    <t>=CONCATENATE(J424,"|",M424,"|",L424)</t>
  </si>
  <si>
    <t>=ABS(NF($D424,"Amount"))</t>
  </si>
  <si>
    <t>="""TRUST Nav"",""HSPMTB2016"",""21"",""1"",""37270"""</t>
  </si>
  <si>
    <t>=CONCATENATE(J425,"|",M425,"|",L425)</t>
  </si>
  <si>
    <t>=ABS(NF($D425,"Amount"))</t>
  </si>
  <si>
    <t>="""TRUST Nav"",""HSPMTB2016"",""21"",""1"",""37271"""</t>
  </si>
  <si>
    <t>=CONCATENATE(J426,"|",M426,"|",L426)</t>
  </si>
  <si>
    <t>=ABS(NF($D426,"Amount"))</t>
  </si>
  <si>
    <t>="""TRUST Nav"",""HSPMTB2016"",""21"",""1"",""37272"""</t>
  </si>
  <si>
    <t>=CONCATENATE(J427,"|",M427,"|",L427)</t>
  </si>
  <si>
    <t>=ABS(NF($D427,"Amount"))</t>
  </si>
  <si>
    <t>="""TRUST Nav"",""HSPMTB2016"",""21"",""1"",""37273"""</t>
  </si>
  <si>
    <t>=CONCATENATE(J428,"|",M428,"|",L428)</t>
  </si>
  <si>
    <t>=ABS(NF($D428,"Amount"))</t>
  </si>
  <si>
    <t>="""TRUST Nav"",""HSPMTB2016"",""21"",""1"",""37274"""</t>
  </si>
  <si>
    <t>=CONCATENATE(J429,"|",M429,"|",L429)</t>
  </si>
  <si>
    <t>=ABS(NF($D429,"Amount"))</t>
  </si>
  <si>
    <t>="""TRUST Nav"",""HSPMTB2016"",""21"",""1"",""37275"""</t>
  </si>
  <si>
    <t>=CONCATENATE(J430,"|",M430,"|",L430)</t>
  </si>
  <si>
    <t>=ABS(NF($D430,"Amount"))</t>
  </si>
  <si>
    <t>="""TRUST Nav"",""HSPMTB2016"",""21"",""1"",""116852"""</t>
  </si>
  <si>
    <t>=CONCATENATE(J431,"|",M431,"|",L431)</t>
  </si>
  <si>
    <t>=ABS(NF($D431,"Amount"))</t>
  </si>
  <si>
    <t>="""TRUST Nav"",""HSPMTB2016"",""21"",""1"",""116853"""</t>
  </si>
  <si>
    <t>=CONCATENATE(J432,"|",M432,"|",L432)</t>
  </si>
  <si>
    <t>=ABS(NF($D432,"Amount"))</t>
  </si>
  <si>
    <t>="""TRUST Nav"",""HSPMTB2016"",""21"",""1"",""116854"""</t>
  </si>
  <si>
    <t>=CONCATENATE(J433,"|",M433,"|",L433)</t>
  </si>
  <si>
    <t>=ABS(NF($D433,"Amount"))</t>
  </si>
  <si>
    <t>="""TRUST Nav"",""HSPMTB2016"",""21"",""1"",""116855"""</t>
  </si>
  <si>
    <t>=CONCATENATE(J434,"|",M434,"|",L434)</t>
  </si>
  <si>
    <t>=ABS(NF($D434,"Amount"))</t>
  </si>
  <si>
    <t>="""TRUST Nav"",""HSPMTB2016"",""21"",""1"",""116856"""</t>
  </si>
  <si>
    <t>=CONCATENATE(J435,"|",M435,"|",L435)</t>
  </si>
  <si>
    <t>=ABS(NF($D435,"Amount"))</t>
  </si>
  <si>
    <t>="""TRUST Nav"",""HSPMTB2016"",""21"",""1"",""116857"""</t>
  </si>
  <si>
    <t>=CONCATENATE(J436,"|",M436,"|",L436)</t>
  </si>
  <si>
    <t>=ABS(NF($D436,"Amount"))</t>
  </si>
  <si>
    <t>="""TRUST Nav"",""HSPMTB2016"",""21"",""1"",""116858"""</t>
  </si>
  <si>
    <t>=CONCATENATE(J437,"|",M437,"|",L437)</t>
  </si>
  <si>
    <t>=ABS(NF($D437,"Amount"))</t>
  </si>
  <si>
    <t>="""TRUST Nav"",""HSPMTB2016"",""21"",""1"",""116859"""</t>
  </si>
  <si>
    <t>=CONCATENATE(J438,"|",M438,"|",L438)</t>
  </si>
  <si>
    <t>=ABS(NF($D438,"Amount"))</t>
  </si>
  <si>
    <t>="""TRUST Nav"",""HSPMTB2016"",""21"",""1"",""116860"""</t>
  </si>
  <si>
    <t>=CONCATENATE(J439,"|",M439,"|",L439)</t>
  </si>
  <si>
    <t>=ABS(NF($D439,"Amount"))</t>
  </si>
  <si>
    <t>="""TRUST Nav"",""HSPMTB2016"",""21"",""1"",""116861"""</t>
  </si>
  <si>
    <t>=CONCATENATE(J440,"|",M440,"|",L440)</t>
  </si>
  <si>
    <t>=ABS(NF($D440,"Amount"))</t>
  </si>
  <si>
    <t>="""TRUST Nav"",""HSPMTB2016"",""21"",""1"",""116862"""</t>
  </si>
  <si>
    <t>=CONCATENATE(J441,"|",M441,"|",L441)</t>
  </si>
  <si>
    <t>=ABS(NF($D441,"Amount"))</t>
  </si>
  <si>
    <t>="""TRUST Nav"",""HSPMTB2016"",""21"",""1"",""116863"""</t>
  </si>
  <si>
    <t>=CONCATENATE(J442,"|",M442,"|",L442)</t>
  </si>
  <si>
    <t>=ABS(NF($D442,"Amount"))</t>
  </si>
  <si>
    <t>="""TRUST Nav"",""HSPMTB2016"",""21"",""1"",""85205"""</t>
  </si>
  <si>
    <t>=CONCATENATE(J443,"|",M443,"|",L443)</t>
  </si>
  <si>
    <t>=ABS(NF($D443,"Amount"))</t>
  </si>
  <si>
    <t>="""TRUST Nav"",""HSPMTB2016"",""21"",""1"",""85206"""</t>
  </si>
  <si>
    <t>=CONCATENATE(J444,"|",M444,"|",L444)</t>
  </si>
  <si>
    <t>=ABS(NF($D444,"Amount"))</t>
  </si>
  <si>
    <t>="""TRUST Nav"",""HSPMTB2016"",""21"",""1"",""85207"""</t>
  </si>
  <si>
    <t>=CONCATENATE(J445,"|",M445,"|",L445)</t>
  </si>
  <si>
    <t>=ABS(NF($D445,"Amount"))</t>
  </si>
  <si>
    <t>="""TRUST Nav"",""HSPMTB2016"",""21"",""1"",""85208"""</t>
  </si>
  <si>
    <t>=CONCATENATE(J446,"|",M446,"|",L446)</t>
  </si>
  <si>
    <t>=ABS(NF($D446,"Amount"))</t>
  </si>
  <si>
    <t>="""TRUST Nav"",""HSPMTB2016"",""21"",""1"",""85209"""</t>
  </si>
  <si>
    <t>=CONCATENATE(J447,"|",M447,"|",L447)</t>
  </si>
  <si>
    <t>=ABS(NF($D447,"Amount"))</t>
  </si>
  <si>
    <t>="""TRUST Nav"",""HSPMTB2016"",""21"",""1"",""85210"""</t>
  </si>
  <si>
    <t>=CONCATENATE(J448,"|",M448,"|",L448)</t>
  </si>
  <si>
    <t>=ABS(NF($D448,"Amount"))</t>
  </si>
  <si>
    <t>="""TRUST Nav"",""HSPMTB2016"",""21"",""1"",""3477"""</t>
  </si>
  <si>
    <t>=CONCATENATE(J449,"|",M449,"|",L449)</t>
  </si>
  <si>
    <t>=ABS(NF($D449,"Amount"))</t>
  </si>
  <si>
    <t>="""TRUST Nav"",""HSPMTB2016"",""21"",""1"",""3478"""</t>
  </si>
  <si>
    <t>=CONCATENATE(J450,"|",M450,"|",L450)</t>
  </si>
  <si>
    <t>=ABS(NF($D450,"Amount"))</t>
  </si>
  <si>
    <t>="""TRUST Nav"",""HSPMTB2016"",""21"",""1"",""3479"""</t>
  </si>
  <si>
    <t>=CONCATENATE(J451,"|",M451,"|",L451)</t>
  </si>
  <si>
    <t>=ABS(NF($D451,"Amount"))</t>
  </si>
  <si>
    <t>="""TRUST Nav"",""HSPMTB2016"",""21"",""1"",""3480"""</t>
  </si>
  <si>
    <t>=CONCATENATE(J452,"|",M452,"|",L452)</t>
  </si>
  <si>
    <t>=ABS(NF($D452,"Amount"))</t>
  </si>
  <si>
    <t>="""TRUST Nav"",""HSPMTB2016"",""21"",""1"",""3481"""</t>
  </si>
  <si>
    <t>=CONCATENATE(J453,"|",M453,"|",L453)</t>
  </si>
  <si>
    <t>=ABS(NF($D453,"Amount"))</t>
  </si>
  <si>
    <t>="""TRUST Nav"",""HSPMTB2016"",""21"",""1"",""3482"""</t>
  </si>
  <si>
    <t>=CONCATENATE(J454,"|",M454,"|",L454)</t>
  </si>
  <si>
    <t>=ABS(NF($D454,"Amount"))</t>
  </si>
  <si>
    <t>="""TRUST Nav"",""HSPMTB2016"",""21"",""1"",""37276"""</t>
  </si>
  <si>
    <t>=CONCATENATE(J455,"|",M455,"|",L455)</t>
  </si>
  <si>
    <t>=ABS(NF($D455,"Amount"))</t>
  </si>
  <si>
    <t>="""TRUST Nav"",""HSPMTB2016"",""21"",""1"",""37277"""</t>
  </si>
  <si>
    <t>=CONCATENATE(J456,"|",M456,"|",L456)</t>
  </si>
  <si>
    <t>=ABS(NF($D456,"Amount"))</t>
  </si>
  <si>
    <t>="""TRUST Nav"",""HSPMTB2016"",""21"",""1"",""37278"""</t>
  </si>
  <si>
    <t>=CONCATENATE(J457,"|",M457,"|",L457)</t>
  </si>
  <si>
    <t>=ABS(NF($D457,"Amount"))</t>
  </si>
  <si>
    <t>="""TRUST Nav"",""HSPMTB2016"",""21"",""1"",""37279"""</t>
  </si>
  <si>
    <t>=CONCATENATE(J458,"|",M458,"|",L458)</t>
  </si>
  <si>
    <t>=ABS(NF($D458,"Amount"))</t>
  </si>
  <si>
    <t>="""TRUST Nav"",""HSPMTB2016"",""21"",""1"",""37280"""</t>
  </si>
  <si>
    <t>=CONCATENATE(J459,"|",M459,"|",L459)</t>
  </si>
  <si>
    <t>=ABS(NF($D459,"Amount"))</t>
  </si>
  <si>
    <t>="""TRUST Nav"",""HSPMTB2016"",""21"",""1"",""37281"""</t>
  </si>
  <si>
    <t>=CONCATENATE(J460,"|",M460,"|",L460)</t>
  </si>
  <si>
    <t>=ABS(NF($D460,"Amount"))</t>
  </si>
  <si>
    <t>="""TRUST Nav"",""HSPMTB2016"",""21"",""1"",""102552"""</t>
  </si>
  <si>
    <t>=CONCATENATE(J461,"|",M461,"|",L461)</t>
  </si>
  <si>
    <t>=ABS(NF($D461,"Amount"))</t>
  </si>
  <si>
    <t>="""TRUST Nav"",""HSPMTB2016"",""21"",""1"",""102553"""</t>
  </si>
  <si>
    <t>=CONCATENATE(J462,"|",M462,"|",L462)</t>
  </si>
  <si>
    <t>=ABS(NF($D462,"Amount"))</t>
  </si>
  <si>
    <t>="""TRUST Nav"",""HSPMTB2016"",""21"",""1"",""102554"""</t>
  </si>
  <si>
    <t>=CONCATENATE(J463,"|",M463,"|",L463)</t>
  </si>
  <si>
    <t>=ABS(NF($D463,"Amount"))</t>
  </si>
  <si>
    <t>="""TRUST Nav"",""HSPMTB2016"",""21"",""1"",""3483"""</t>
  </si>
  <si>
    <t>=CONCATENATE(J464,"|",M464,"|",L464)</t>
  </si>
  <si>
    <t>=ABS(NF($D464,"Amount"))</t>
  </si>
  <si>
    <t>="""TRUST Nav"",""HSPMTB2016"",""21"",""1"",""3484"""</t>
  </si>
  <si>
    <t>=CONCATENATE(J465,"|",M465,"|",L465)</t>
  </si>
  <si>
    <t>=ABS(NF($D465,"Amount"))</t>
  </si>
  <si>
    <t>="""TRUST Nav"",""HSPMTB2016"",""21"",""1"",""3485"""</t>
  </si>
  <si>
    <t>=CONCATENATE(J466,"|",M466,"|",L466)</t>
  </si>
  <si>
    <t>=ABS(NF($D466,"Amount"))</t>
  </si>
  <si>
    <t>="""TRUST Nav"",""HSPMTB2016"",""21"",""1"",""3486"""</t>
  </si>
  <si>
    <t>=CONCATENATE(J467,"|",M467,"|",L467)</t>
  </si>
  <si>
    <t>=ABS(NF($D467,"Amount"))</t>
  </si>
  <si>
    <t>="""TRUST Nav"",""HSPMTB2016"",""21"",""1"",""3487"""</t>
  </si>
  <si>
    <t>=CONCATENATE(J468,"|",M468,"|",L468)</t>
  </si>
  <si>
    <t>=ABS(NF($D468,"Amount"))</t>
  </si>
  <si>
    <t>="""TRUST Nav"",""HSPMTB2016"",""21"",""1"",""3488"""</t>
  </si>
  <si>
    <t>=CONCATENATE(J469,"|",M469,"|",L469)</t>
  </si>
  <si>
    <t>=ABS(NF($D469,"Amount"))</t>
  </si>
  <si>
    <t>="""TRUST Nav"",""HSPMTB2016"",""21"",""1"",""37282"""</t>
  </si>
  <si>
    <t>=CONCATENATE(J470,"|",M470,"|",L470)</t>
  </si>
  <si>
    <t>=ABS(NF($D470,"Amount"))</t>
  </si>
  <si>
    <t>="""TRUST Nav"",""HSPMTB2016"",""21"",""1"",""37283"""</t>
  </si>
  <si>
    <t>=CONCATENATE(J471,"|",M471,"|",L471)</t>
  </si>
  <si>
    <t>=ABS(NF($D471,"Amount"))</t>
  </si>
  <si>
    <t>="""TRUST Nav"",""HSPMTB2016"",""21"",""1"",""37284"""</t>
  </si>
  <si>
    <t>=CONCATENATE(J472,"|",M472,"|",L472)</t>
  </si>
  <si>
    <t>=ABS(NF($D472,"Amount"))</t>
  </si>
  <si>
    <t>="""TRUST Nav"",""HSPMTB2016"",""21"",""1"",""37285"""</t>
  </si>
  <si>
    <t>=CONCATENATE(J473,"|",M473,"|",L473)</t>
  </si>
  <si>
    <t>=ABS(NF($D473,"Amount"))</t>
  </si>
  <si>
    <t>="""TRUST Nav"",""HSPMTB2016"",""21"",""1"",""37286"""</t>
  </si>
  <si>
    <t>=CONCATENATE(J474,"|",M474,"|",L474)</t>
  </si>
  <si>
    <t>=ABS(NF($D474,"Amount"))</t>
  </si>
  <si>
    <t>="""TRUST Nav"",""HSPMTB2016"",""21"",""1"",""37287"""</t>
  </si>
  <si>
    <t>=CONCATENATE(J475,"|",M475,"|",L475)</t>
  </si>
  <si>
    <t>=ABS(NF($D475,"Amount"))</t>
  </si>
  <si>
    <t>="""TRUST Nav"",""HSPMTB2016"",""21"",""1"",""85211"""</t>
  </si>
  <si>
    <t>=CONCATENATE(J476,"|",M476,"|",L476)</t>
  </si>
  <si>
    <t>=ABS(NF($D476,"Amount"))</t>
  </si>
  <si>
    <t>="""TRUST Nav"",""HSPMTB2016"",""21"",""1"",""85212"""</t>
  </si>
  <si>
    <t>=CONCATENATE(J477,"|",M477,"|",L477)</t>
  </si>
  <si>
    <t>=ABS(NF($D477,"Amount"))</t>
  </si>
  <si>
    <t>="""TRUST Nav"",""HSPMTB2016"",""21"",""1"",""85213"""</t>
  </si>
  <si>
    <t>=CONCATENATE(J478,"|",M478,"|",L478)</t>
  </si>
  <si>
    <t>=ABS(NF($D478,"Amount"))</t>
  </si>
  <si>
    <t>="""TRUST Nav"",""HSPMTB2016"",""21"",""1"",""116864"""</t>
  </si>
  <si>
    <t>=CONCATENATE(J479,"|",M479,"|",L479)</t>
  </si>
  <si>
    <t>=ABS(NF($D479,"Amount"))</t>
  </si>
  <si>
    <t>="""TRUST Nav"",""HSPMTB2016"",""21"",""1"",""116865"""</t>
  </si>
  <si>
    <t>=CONCATENATE(J480,"|",M480,"|",L480)</t>
  </si>
  <si>
    <t>=ABS(NF($D480,"Amount"))</t>
  </si>
  <si>
    <t>="""TRUST Nav"",""HSPMTB2016"",""21"",""1"",""116866"""</t>
  </si>
  <si>
    <t>=CONCATENATE(J481,"|",M481,"|",L481)</t>
  </si>
  <si>
    <t>=ABS(NF($D481,"Amount"))</t>
  </si>
  <si>
    <t>="""TRUST Nav"",""HSPMTB2016"",""21"",""1"",""3489"""</t>
  </si>
  <si>
    <t>=CONCATENATE(J482,"|",M482,"|",L482)</t>
  </si>
  <si>
    <t>=ABS(NF($D482,"Amount"))</t>
  </si>
  <si>
    <t>="""TRUST Nav"",""HSPMTB2016"",""21"",""1"",""3490"""</t>
  </si>
  <si>
    <t>=CONCATENATE(J483,"|",M483,"|",L483)</t>
  </si>
  <si>
    <t>=ABS(NF($D483,"Amount"))</t>
  </si>
  <si>
    <t>="""TRUST Nav"",""HSPMTB2016"",""21"",""1"",""3491"""</t>
  </si>
  <si>
    <t>=CONCATENATE(J484,"|",M484,"|",L484)</t>
  </si>
  <si>
    <t>=ABS(NF($D484,"Amount"))</t>
  </si>
  <si>
    <t>="""TRUST Nav"",""HSPMTB2016"",""21"",""1"",""3492"""</t>
  </si>
  <si>
    <t>=CONCATENATE(J485,"|",M485,"|",L485)</t>
  </si>
  <si>
    <t>=ABS(NF($D485,"Amount"))</t>
  </si>
  <si>
    <t>="""TRUST Nav"",""HSPMTB2016"",""21"",""1"",""3493"""</t>
  </si>
  <si>
    <t>=CONCATENATE(J486,"|",M486,"|",L486)</t>
  </si>
  <si>
    <t>=ABS(NF($D486,"Amount"))</t>
  </si>
  <si>
    <t>="""TRUST Nav"",""HSPMTB2016"",""21"",""1"",""3494"""</t>
  </si>
  <si>
    <t>=CONCATENATE(J487,"|",M487,"|",L487)</t>
  </si>
  <si>
    <t>=ABS(NF($D487,"Amount"))</t>
  </si>
  <si>
    <t>="""TRUST Nav"",""HSPMTB2016"",""21"",""1"",""37288"""</t>
  </si>
  <si>
    <t>=CONCATENATE(J488,"|",M488,"|",L488)</t>
  </si>
  <si>
    <t>=ABS(NF($D488,"Amount"))</t>
  </si>
  <si>
    <t>="""TRUST Nav"",""HSPMTB2016"",""21"",""1"",""37289"""</t>
  </si>
  <si>
    <t>=CONCATENATE(J489,"|",M489,"|",L489)</t>
  </si>
  <si>
    <t>=ABS(NF($D489,"Amount"))</t>
  </si>
  <si>
    <t>="""TRUST Nav"",""HSPMTB2016"",""21"",""1"",""37290"""</t>
  </si>
  <si>
    <t>=CONCATENATE(J490,"|",M490,"|",L490)</t>
  </si>
  <si>
    <t>=ABS(NF($D490,"Amount"))</t>
  </si>
  <si>
    <t>="""TRUST Nav"",""HSPMTB2016"",""21"",""1"",""37291"""</t>
  </si>
  <si>
    <t>=CONCATENATE(J491,"|",M491,"|",L491)</t>
  </si>
  <si>
    <t>=ABS(NF($D491,"Amount"))</t>
  </si>
  <si>
    <t>="""TRUST Nav"",""HSPMTB2016"",""21"",""1"",""37292"""</t>
  </si>
  <si>
    <t>=CONCATENATE(J492,"|",M492,"|",L492)</t>
  </si>
  <si>
    <t>=ABS(NF($D492,"Amount"))</t>
  </si>
  <si>
    <t>="""TRUST Nav"",""HSPMTB2016"",""21"",""1"",""37293"""</t>
  </si>
  <si>
    <t>=CONCATENATE(J493,"|",M493,"|",L493)</t>
  </si>
  <si>
    <t>=ABS(NF($D493,"Amount"))</t>
  </si>
  <si>
    <t>="""TRUST Nav"",""HSPMTB2016"",""21"",""1"",""73423"""</t>
  </si>
  <si>
    <t>=CONCATENATE(J494,"|",M494,"|",L494)</t>
  </si>
  <si>
    <t>=ABS(NF($D494,"Amount"))</t>
  </si>
  <si>
    <t>="""TRUST Nav"",""HSPMTB2016"",""21"",""1"",""102555"""</t>
  </si>
  <si>
    <t>=CONCATENATE(J495,"|",M495,"|",L495)</t>
  </si>
  <si>
    <t>=ABS(NF($D495,"Amount"))</t>
  </si>
  <si>
    <t>="""TRUST Nav"",""HSPMTB2016"",""21"",""1"",""122024"""</t>
  </si>
  <si>
    <t>=CONCATENATE(J496,"|",M496,"|",L496)</t>
  </si>
  <si>
    <t>=ABS(NF($D496,"Amount"))</t>
  </si>
  <si>
    <t>="""TRUST Nav"",""HSPMTB2016"",""21"",""1"",""122025"""</t>
  </si>
  <si>
    <t>=CONCATENATE(J497,"|",M497,"|",L497)</t>
  </si>
  <si>
    <t>=ABS(NF($D497,"Amount"))</t>
  </si>
  <si>
    <t>="""TRUST Nav"",""HSPMTB2016"",""21"",""1"",""122026"""</t>
  </si>
  <si>
    <t>=CONCATENATE(J498,"|",M498,"|",L498)</t>
  </si>
  <si>
    <t>=ABS(NF($D498,"Amount"))</t>
  </si>
  <si>
    <t>="""TRUST Nav"",""HSPMTB2016"",""21"",""1"",""138824"""</t>
  </si>
  <si>
    <t>=CONCATENATE(J499,"|",M499,"|",L499)</t>
  </si>
  <si>
    <t>=ABS(NF($D499,"Amount"))</t>
  </si>
  <si>
    <t>="""TRUST Nav"",""HSPMTB2016"",""21"",""1"",""138825"""</t>
  </si>
  <si>
    <t>=CONCATENATE(J500,"|",M500,"|",L500)</t>
  </si>
  <si>
    <t>=ABS(NF($D500,"Amount"))</t>
  </si>
  <si>
    <t>="""TRUST Nav"",""HSPMTB2016"",""21"",""1"",""3495"""</t>
  </si>
  <si>
    <t>=CONCATENATE(J501,"|",M501,"|",L501)</t>
  </si>
  <si>
    <t>=ABS(NF($D501,"Amount"))</t>
  </si>
  <si>
    <t>="""TRUST Nav"",""HSPMTB2016"",""21"",""1"",""3496"""</t>
  </si>
  <si>
    <t>=CONCATENATE(J502,"|",M502,"|",L502)</t>
  </si>
  <si>
    <t>=ABS(NF($D502,"Amount"))</t>
  </si>
  <si>
    <t>="""TRUST Nav"",""HSPMTB2016"",""21"",""1"",""3497"""</t>
  </si>
  <si>
    <t>=CONCATENATE(J503,"|",M503,"|",L503)</t>
  </si>
  <si>
    <t>=ABS(NF($D503,"Amount"))</t>
  </si>
  <si>
    <t>="""TRUST Nav"",""HSPMTB2016"",""21"",""1"",""3498"""</t>
  </si>
  <si>
    <t>=CONCATENATE(J504,"|",M504,"|",L504)</t>
  </si>
  <si>
    <t>=ABS(NF($D504,"Amount"))</t>
  </si>
  <si>
    <t>="""TRUST Nav"",""HSPMTB2016"",""21"",""1"",""3499"""</t>
  </si>
  <si>
    <t>=CONCATENATE(J505,"|",M505,"|",L505)</t>
  </si>
  <si>
    <t>=ABS(NF($D505,"Amount"))</t>
  </si>
  <si>
    <t>="""TRUST Nav"",""HSPMTB2016"",""21"",""1"",""3500"""</t>
  </si>
  <si>
    <t>=CONCATENATE(J506,"|",M506,"|",L506)</t>
  </si>
  <si>
    <t>=ABS(NF($D506,"Amount"))</t>
  </si>
  <si>
    <t>="""TRUST Nav"",""HSPMTB2016"",""21"",""1"",""37294"""</t>
  </si>
  <si>
    <t>=CONCATENATE(J507,"|",M507,"|",L507)</t>
  </si>
  <si>
    <t>=ABS(NF($D507,"Amount"))</t>
  </si>
  <si>
    <t>="""TRUST Nav"",""HSPMTB2016"",""21"",""1"",""37295"""</t>
  </si>
  <si>
    <t>=CONCATENATE(J508,"|",M508,"|",L508)</t>
  </si>
  <si>
    <t>=ABS(NF($D508,"Amount"))</t>
  </si>
  <si>
    <t>="""TRUST Nav"",""HSPMTB2016"",""21"",""1"",""37296"""</t>
  </si>
  <si>
    <t>=CONCATENATE(J509,"|",M509,"|",L509)</t>
  </si>
  <si>
    <t>=ABS(NF($D509,"Amount"))</t>
  </si>
  <si>
    <t>="""TRUST Nav"",""HSPMTB2016"",""21"",""1"",""37297"""</t>
  </si>
  <si>
    <t>=CONCATENATE(J510,"|",M510,"|",L510)</t>
  </si>
  <si>
    <t>=ABS(NF($D510,"Amount"))</t>
  </si>
  <si>
    <t>="""TRUST Nav"",""HSPMTB2016"",""21"",""1"",""37298"""</t>
  </si>
  <si>
    <t>=CONCATENATE(J511,"|",M511,"|",L511)</t>
  </si>
  <si>
    <t>=ABS(NF($D511,"Amount"))</t>
  </si>
  <si>
    <t>="""TRUST Nav"",""HSPMTB2016"",""21"",""1"",""37299"""</t>
  </si>
  <si>
    <t>=CONCATENATE(J512,"|",M512,"|",L512)</t>
  </si>
  <si>
    <t>=ABS(NF($D512,"Amount"))</t>
  </si>
  <si>
    <t>="""TRUST Nav"",""HSPMTB2016"",""21"",""1"",""73424"""</t>
  </si>
  <si>
    <t>=CONCATENATE(J513,"|",M513,"|",L513)</t>
  </si>
  <si>
    <t>=ABS(NF($D513,"Amount"))</t>
  </si>
  <si>
    <t>="""TRUST Nav"",""HSPMTB2016"",""21"",""1"",""85214"""</t>
  </si>
  <si>
    <t>=CONCATENATE(J514,"|",M514,"|",L514)</t>
  </si>
  <si>
    <t>=ABS(NF($D514,"Amount"))</t>
  </si>
  <si>
    <t>="""TRUST Nav"",""HSPMTB2016"",""21"",""1"",""102556"""</t>
  </si>
  <si>
    <t>=CONCATENATE(J515,"|",M515,"|",L515)</t>
  </si>
  <si>
    <t>=ABS(NF($D515,"Amount"))</t>
  </si>
  <si>
    <t>="""TRUST Nav"",""HSPMTB2016"",""21"",""1"",""102557"""</t>
  </si>
  <si>
    <t>=CONCATENATE(J516,"|",M516,"|",L516)</t>
  </si>
  <si>
    <t>=ABS(NF($D516,"Amount"))</t>
  </si>
  <si>
    <t>="""TRUST Nav"",""HSPMTB2016"",""21"",""1"",""116867"""</t>
  </si>
  <si>
    <t>=CONCATENATE(J517,"|",M517,"|",L517)</t>
  </si>
  <si>
    <t>=ABS(NF($D517,"Amount"))</t>
  </si>
  <si>
    <t>="""TRUST Nav"",""HSPMTB2016"",""21"",""1"",""122027"""</t>
  </si>
  <si>
    <t>=CONCATENATE(J518,"|",M518,"|",L518)</t>
  </si>
  <si>
    <t>=ABS(NF($D518,"Amount"))</t>
  </si>
  <si>
    <t>="""TRUST Nav"",""HSPMTB2016"",""21"",""1"",""129699"""</t>
  </si>
  <si>
    <t>=CONCATENATE(J519,"|",M519,"|",L519)</t>
  </si>
  <si>
    <t>=ABS(NF($D519,"Amount"))</t>
  </si>
  <si>
    <t>="""TRUST Nav"",""HSPMTB2016"",""21"",""1"",""138826"""</t>
  </si>
  <si>
    <t>=CONCATENATE(J520,"|",M520,"|",L520)</t>
  </si>
  <si>
    <t>=ABS(NF($D520,"Amount"))</t>
  </si>
  <si>
    <t>="""TRUST Nav"",""HSPMTB2016"",""21"",""1"",""3501"""</t>
  </si>
  <si>
    <t>=CONCATENATE(J521,"|",M521,"|",L521)</t>
  </si>
  <si>
    <t>=ABS(NF($D521,"Amount"))</t>
  </si>
  <si>
    <t>="""TRUST Nav"",""HSPMTB2016"",""21"",""1"",""3502"""</t>
  </si>
  <si>
    <t>=CONCATENATE(J522,"|",M522,"|",L522)</t>
  </si>
  <si>
    <t>=ABS(NF($D522,"Amount"))</t>
  </si>
  <si>
    <t>="""TRUST Nav"",""HSPMTB2016"",""21"",""1"",""3503"""</t>
  </si>
  <si>
    <t>=CONCATENATE(J523,"|",M523,"|",L523)</t>
  </si>
  <si>
    <t>=ABS(NF($D523,"Amount"))</t>
  </si>
  <si>
    <t>="""TRUST Nav"",""HSPMTB2016"",""21"",""1"",""3504"""</t>
  </si>
  <si>
    <t>=CONCATENATE(J524,"|",M524,"|",L524)</t>
  </si>
  <si>
    <t>=ABS(NF($D524,"Amount"))</t>
  </si>
  <si>
    <t>="""TRUST Nav"",""HSPMTB2016"",""21"",""1"",""3505"""</t>
  </si>
  <si>
    <t>=CONCATENATE(J525,"|",M525,"|",L525)</t>
  </si>
  <si>
    <t>=ABS(NF($D525,"Amount"))</t>
  </si>
  <si>
    <t>="""TRUST Nav"",""HSPMTB2016"",""21"",""1"",""3506"""</t>
  </si>
  <si>
    <t>=CONCATENATE(J526,"|",M526,"|",L526)</t>
  </si>
  <si>
    <t>=ABS(NF($D526,"Amount"))</t>
  </si>
  <si>
    <t>="""TRUST Nav"",""HSPMTB2016"",""21"",""1"",""37300"""</t>
  </si>
  <si>
    <t>=CONCATENATE(J527,"|",M527,"|",L527)</t>
  </si>
  <si>
    <t>=ABS(NF($D527,"Amount"))</t>
  </si>
  <si>
    <t>="""TRUST Nav"",""HSPMTB2016"",""21"",""1"",""37301"""</t>
  </si>
  <si>
    <t>=CONCATENATE(J528,"|",M528,"|",L528)</t>
  </si>
  <si>
    <t>=ABS(NF($D528,"Amount"))</t>
  </si>
  <si>
    <t>="""TRUST Nav"",""HSPMTB2016"",""21"",""1"",""37302"""</t>
  </si>
  <si>
    <t>=CONCATENATE(J529,"|",M529,"|",L529)</t>
  </si>
  <si>
    <t>=ABS(NF($D529,"Amount"))</t>
  </si>
  <si>
    <t>="""TRUST Nav"",""HSPMTB2016"",""21"",""1"",""37303"""</t>
  </si>
  <si>
    <t>=CONCATENATE(J530,"|",M530,"|",L530)</t>
  </si>
  <si>
    <t>=ABS(NF($D530,"Amount"))</t>
  </si>
  <si>
    <t>="""TRUST Nav"",""HSPMTB2016"",""21"",""1"",""37304"""</t>
  </si>
  <si>
    <t>=CONCATENATE(J531,"|",M531,"|",L531)</t>
  </si>
  <si>
    <t>=ABS(NF($D531,"Amount"))</t>
  </si>
  <si>
    <t>="""TRUST Nav"",""HSPMTB2016"",""21"",""1"",""37305"""</t>
  </si>
  <si>
    <t>=CONCATENATE(J532,"|",M532,"|",L532)</t>
  </si>
  <si>
    <t>=ABS(NF($D532,"Amount"))</t>
  </si>
  <si>
    <t>="""TRUST Nav"",""HSPMTB2016"",""21"",""1"",""85215"""</t>
  </si>
  <si>
    <t>=CONCATENATE(J533,"|",M533,"|",L533)</t>
  </si>
  <si>
    <t>=ABS(NF($D533,"Amount"))</t>
  </si>
  <si>
    <t>="""TRUST Nav"",""HSPMTB2016"",""21"",""1"",""85216"""</t>
  </si>
  <si>
    <t>=CONCATENATE(J534,"|",M534,"|",L534)</t>
  </si>
  <si>
    <t>=ABS(NF($D534,"Amount"))</t>
  </si>
  <si>
    <t>="""TRUST Nav"",""HSPMTB2016"",""21"",""1"",""116868"""</t>
  </si>
  <si>
    <t>=CONCATENATE(J535,"|",M535,"|",L535)</t>
  </si>
  <si>
    <t>=ABS(NF($D535,"Amount"))</t>
  </si>
  <si>
    <t>="""TRUST Nav"",""HSPMTB2016"",""21"",""1"",""116869"""</t>
  </si>
  <si>
    <t>=CONCATENATE(J536,"|",M536,"|",L536)</t>
  </si>
  <si>
    <t>=ABS(NF($D536,"Amount"))</t>
  </si>
  <si>
    <t>="""TRUST Nav"",""HSPMTB2016"",""21"",""1"",""3507"""</t>
  </si>
  <si>
    <t>=CONCATENATE(J537,"|",M537,"|",L537)</t>
  </si>
  <si>
    <t>=ABS(NF($D537,"Amount"))</t>
  </si>
  <si>
    <t>="""TRUST Nav"",""HSPMTB2016"",""21"",""1"",""3508"""</t>
  </si>
  <si>
    <t>=CONCATENATE(J538,"|",M538,"|",L538)</t>
  </si>
  <si>
    <t>=ABS(NF($D538,"Amount"))</t>
  </si>
  <si>
    <t>="""TRUST Nav"",""HSPMTB2016"",""21"",""1"",""3509"""</t>
  </si>
  <si>
    <t>=CONCATENATE(J539,"|",M539,"|",L539)</t>
  </si>
  <si>
    <t>=ABS(NF($D539,"Amount"))</t>
  </si>
  <si>
    <t>="""TRUST Nav"",""HSPMTB2016"",""21"",""1"",""3510"""</t>
  </si>
  <si>
    <t>=CONCATENATE(J540,"|",M540,"|",L540)</t>
  </si>
  <si>
    <t>=ABS(NF($D540,"Amount"))</t>
  </si>
  <si>
    <t>="""TRUST Nav"",""HSPMTB2016"",""21"",""1"",""3511"""</t>
  </si>
  <si>
    <t>=CONCATENATE(J541,"|",M541,"|",L541)</t>
  </si>
  <si>
    <t>=ABS(NF($D541,"Amount"))</t>
  </si>
  <si>
    <t>="""TRUST Nav"",""HSPMTB2016"",""21"",""1"",""3512"""</t>
  </si>
  <si>
    <t>=CONCATENATE(J542,"|",M542,"|",L542)</t>
  </si>
  <si>
    <t>=ABS(NF($D542,"Amount"))</t>
  </si>
  <si>
    <t>="""TRUST Nav"",""HSPMTB2016"",""21"",""1"",""37306"""</t>
  </si>
  <si>
    <t>=CONCATENATE(J543,"|",M543,"|",L543)</t>
  </si>
  <si>
    <t>=ABS(NF($D543,"Amount"))</t>
  </si>
  <si>
    <t>="""TRUST Nav"",""HSPMTB2016"",""21"",""1"",""37307"""</t>
  </si>
  <si>
    <t>=CONCATENATE(J544,"|",M544,"|",L544)</t>
  </si>
  <si>
    <t>=ABS(NF($D544,"Amount"))</t>
  </si>
  <si>
    <t>="""TRUST Nav"",""HSPMTB2016"",""21"",""1"",""37308"""</t>
  </si>
  <si>
    <t>=CONCATENATE(J545,"|",M545,"|",L545)</t>
  </si>
  <si>
    <t>=ABS(NF($D545,"Amount"))</t>
  </si>
  <si>
    <t>="""TRUST Nav"",""HSPMTB2016"",""21"",""1"",""37309"""</t>
  </si>
  <si>
    <t>=CONCATENATE(J546,"|",M546,"|",L546)</t>
  </si>
  <si>
    <t>=ABS(NF($D546,"Amount"))</t>
  </si>
  <si>
    <t>="""TRUST Nav"",""HSPMTB2016"",""21"",""1"",""37310"""</t>
  </si>
  <si>
    <t>=CONCATENATE(J547,"|",M547,"|",L547)</t>
  </si>
  <si>
    <t>=ABS(NF($D547,"Amount"))</t>
  </si>
  <si>
    <t>="""TRUST Nav"",""HSPMTB2016"",""21"",""1"",""37311"""</t>
  </si>
  <si>
    <t>=CONCATENATE(J548,"|",M548,"|",L548)</t>
  </si>
  <si>
    <t>=ABS(NF($D548,"Amount"))</t>
  </si>
  <si>
    <t>="""TRUST Nav"",""HSPMTB2016"",""21"",""1"",""73425"""</t>
  </si>
  <si>
    <t>=CONCATENATE(J549,"|",M549,"|",L549)</t>
  </si>
  <si>
    <t>=ABS(NF($D549,"Amount"))</t>
  </si>
  <si>
    <t>="""TRUST Nav"",""HSPMTB2016"",""21"",""1"",""73426"""</t>
  </si>
  <si>
    <t>=CONCATENATE(J550,"|",M550,"|",L550)</t>
  </si>
  <si>
    <t>=ABS(NF($D550,"Amount"))</t>
  </si>
  <si>
    <t>="""TRUST Nav"",""HSPMTB2016"",""21"",""1"",""73427"""</t>
  </si>
  <si>
    <t>=CONCATENATE(J551,"|",M551,"|",L551)</t>
  </si>
  <si>
    <t>=ABS(NF($D551,"Amount"))</t>
  </si>
  <si>
    <t>="""TRUST Nav"",""HSPMTB2016"",""21"",""1"",""116870"""</t>
  </si>
  <si>
    <t>=CONCATENATE(J552,"|",M552,"|",L552)</t>
  </si>
  <si>
    <t>=ABS(NF($D552,"Amount"))</t>
  </si>
  <si>
    <t>="""TRUST Nav"",""HSPMTB2016"",""21"",""1"",""116871"""</t>
  </si>
  <si>
    <t>=CONCATENATE(J553,"|",M553,"|",L553)</t>
  </si>
  <si>
    <t>=ABS(NF($D553,"Amount"))</t>
  </si>
  <si>
    <t>="""TRUST Nav"",""HSPMTB2016"",""21"",""1"",""116872"""</t>
  </si>
  <si>
    <t>=CONCATENATE(J554,"|",M554,"|",L554)</t>
  </si>
  <si>
    <t>=ABS(NF($D554,"Amount"))</t>
  </si>
  <si>
    <t>="""TRUST Nav"",""HSPMTB2016"",""21"",""1"",""129700"""</t>
  </si>
  <si>
    <t>=CONCATENATE(J555,"|",M555,"|",L555)</t>
  </si>
  <si>
    <t>=ABS(NF($D555,"Amount"))</t>
  </si>
  <si>
    <t>="""TRUST Nav"",""HSPMTB2016"",""21"",""1"",""129701"""</t>
  </si>
  <si>
    <t>=CONCATENATE(J556,"|",M556,"|",L556)</t>
  </si>
  <si>
    <t>=ABS(NF($D556,"Amount"))</t>
  </si>
  <si>
    <t>="""TRUST Nav"",""HSPMTB2016"",""21"",""1"",""129702"""</t>
  </si>
  <si>
    <t>=CONCATENATE(J557,"|",M557,"|",L557)</t>
  </si>
  <si>
    <t>=ABS(NF($D557,"Amount"))</t>
  </si>
  <si>
    <t>="""TRUST Nav"",""HSPMTB2016"",""21"",""1"",""3513"""</t>
  </si>
  <si>
    <t>=CONCATENATE(J558,"|",M558,"|",L558)</t>
  </si>
  <si>
    <t>=ABS(NF($D558,"Amount"))</t>
  </si>
  <si>
    <t>="""TRUST Nav"",""HSPMTB2016"",""21"",""1"",""3514"""</t>
  </si>
  <si>
    <t>=CONCATENATE(J559,"|",M559,"|",L559)</t>
  </si>
  <si>
    <t>=ABS(NF($D559,"Amount"))</t>
  </si>
  <si>
    <t>="""TRUST Nav"",""HSPMTB2016"",""21"",""1"",""3515"""</t>
  </si>
  <si>
    <t>=CONCATENATE(J560,"|",M560,"|",L560)</t>
  </si>
  <si>
    <t>=ABS(NF($D560,"Amount"))</t>
  </si>
  <si>
    <t>="""TRUST Nav"",""HSPMTB2016"",""21"",""1"",""3516"""</t>
  </si>
  <si>
    <t>=CONCATENATE(J561,"|",M561,"|",L561)</t>
  </si>
  <si>
    <t>=ABS(NF($D561,"Amount"))</t>
  </si>
  <si>
    <t>="""TRUST Nav"",""HSPMTB2016"",""21"",""1"",""3517"""</t>
  </si>
  <si>
    <t>=CONCATENATE(J562,"|",M562,"|",L562)</t>
  </si>
  <si>
    <t>=ABS(NF($D562,"Amount"))</t>
  </si>
  <si>
    <t>="""TRUST Nav"",""HSPMTB2016"",""21"",""1"",""3518"""</t>
  </si>
  <si>
    <t>=CONCATENATE(J563,"|",M563,"|",L563)</t>
  </si>
  <si>
    <t>=ABS(NF($D563,"Amount"))</t>
  </si>
  <si>
    <t>="""TRUST Nav"",""HSPMTB2016"",""21"",""1"",""37312"""</t>
  </si>
  <si>
    <t>=CONCATENATE(J564,"|",M564,"|",L564)</t>
  </si>
  <si>
    <t>=ABS(NF($D564,"Amount"))</t>
  </si>
  <si>
    <t>="""TRUST Nav"",""HSPMTB2016"",""21"",""1"",""37313"""</t>
  </si>
  <si>
    <t>=CONCATENATE(J565,"|",M565,"|",L565)</t>
  </si>
  <si>
    <t>=ABS(NF($D565,"Amount"))</t>
  </si>
  <si>
    <t>="""TRUST Nav"",""HSPMTB2016"",""21"",""1"",""37314"""</t>
  </si>
  <si>
    <t>=CONCATENATE(J566,"|",M566,"|",L566)</t>
  </si>
  <si>
    <t>=ABS(NF($D566,"Amount"))</t>
  </si>
  <si>
    <t>="""TRUST Nav"",""HSPMTB2016"",""21"",""1"",""37315"""</t>
  </si>
  <si>
    <t>=CONCATENATE(J567,"|",M567,"|",L567)</t>
  </si>
  <si>
    <t>=ABS(NF($D567,"Amount"))</t>
  </si>
  <si>
    <t>="""TRUST Nav"",""HSPMTB2016"",""21"",""1"",""37316"""</t>
  </si>
  <si>
    <t>=CONCATENATE(J568,"|",M568,"|",L568)</t>
  </si>
  <si>
    <t>=ABS(NF($D568,"Amount"))</t>
  </si>
  <si>
    <t>="""TRUST Nav"",""HSPMTB2016"",""21"",""1"",""37317"""</t>
  </si>
  <si>
    <t>=CONCATENATE(J569,"|",M569,"|",L569)</t>
  </si>
  <si>
    <t>=ABS(NF($D569,"Amount"))</t>
  </si>
  <si>
    <t>="""TRUST Nav"",""HSPMTB2016"",""21"",""1"",""3519"""</t>
  </si>
  <si>
    <t>=CONCATENATE(J570,"|",M570,"|",L570)</t>
  </si>
  <si>
    <t>=ABS(NF($D570,"Amount"))</t>
  </si>
  <si>
    <t>="""TRUST Nav"",""HSPMTB2016"",""21"",""1"",""3520"""</t>
  </si>
  <si>
    <t>=CONCATENATE(J571,"|",M571,"|",L571)</t>
  </si>
  <si>
    <t>=ABS(NF($D571,"Amount"))</t>
  </si>
  <si>
    <t>="""TRUST Nav"",""HSPMTB2016"",""21"",""1"",""3521"""</t>
  </si>
  <si>
    <t>=CONCATENATE(J572,"|",M572,"|",L572)</t>
  </si>
  <si>
    <t>=ABS(NF($D572,"Amount"))</t>
  </si>
  <si>
    <t>="""TRUST Nav"",""HSPMTB2016"",""21"",""1"",""3522"""</t>
  </si>
  <si>
    <t>=CONCATENATE(J573,"|",M573,"|",L573)</t>
  </si>
  <si>
    <t>=ABS(NF($D573,"Amount"))</t>
  </si>
  <si>
    <t>="""TRUST Nav"",""HSPMTB2016"",""21"",""1"",""3523"""</t>
  </si>
  <si>
    <t>=CONCATENATE(J574,"|",M574,"|",L574)</t>
  </si>
  <si>
    <t>=ABS(NF($D574,"Amount"))</t>
  </si>
  <si>
    <t>="""TRUST Nav"",""HSPMTB2016"",""21"",""1"",""3524"""</t>
  </si>
  <si>
    <t>=CONCATENATE(J575,"|",M575,"|",L575)</t>
  </si>
  <si>
    <t>=ABS(NF($D575,"Amount"))</t>
  </si>
  <si>
    <t>="""TRUST Nav"",""HSPMTB2016"",""21"",""1"",""37318"""</t>
  </si>
  <si>
    <t>=CONCATENATE(J576,"|",M576,"|",L576)</t>
  </si>
  <si>
    <t>=ABS(NF($D576,"Amount"))</t>
  </si>
  <si>
    <t>="""TRUST Nav"",""HSPMTB2016"",""21"",""1"",""37319"""</t>
  </si>
  <si>
    <t>=CONCATENATE(J577,"|",M577,"|",L577)</t>
  </si>
  <si>
    <t>=ABS(NF($D577,"Amount"))</t>
  </si>
  <si>
    <t>="""TRUST Nav"",""HSPMTB2016"",""21"",""1"",""37320"""</t>
  </si>
  <si>
    <t>=CONCATENATE(J578,"|",M578,"|",L578)</t>
  </si>
  <si>
    <t>=ABS(NF($D578,"Amount"))</t>
  </si>
  <si>
    <t>="""TRUST Nav"",""HSPMTB2016"",""21"",""1"",""37321"""</t>
  </si>
  <si>
    <t>=CONCATENATE(J579,"|",M579,"|",L579)</t>
  </si>
  <si>
    <t>=ABS(NF($D579,"Amount"))</t>
  </si>
  <si>
    <t>="""TRUST Nav"",""HSPMTB2016"",""21"",""1"",""37322"""</t>
  </si>
  <si>
    <t>=CONCATENATE(J580,"|",M580,"|",L580)</t>
  </si>
  <si>
    <t>=ABS(NF($D580,"Amount"))</t>
  </si>
  <si>
    <t>="""TRUST Nav"",""HSPMTB2016"",""21"",""1"",""37323"""</t>
  </si>
  <si>
    <t>=CONCATENATE(J581,"|",M581,"|",L581)</t>
  </si>
  <si>
    <t>=ABS(NF($D581,"Amount"))</t>
  </si>
  <si>
    <t>="""TRUST Nav"",""HSPMTB2016"",""21"",""1"",""85217"""</t>
  </si>
  <si>
    <t>=CONCATENATE(J582,"|",M582,"|",L582)</t>
  </si>
  <si>
    <t>=ABS(NF($D582,"Amount"))</t>
  </si>
  <si>
    <t>="""TRUST Nav"",""HSPMTB2016"",""21"",""1"",""85218"""</t>
  </si>
  <si>
    <t>=CONCATENATE(J583,"|",M583,"|",L583)</t>
  </si>
  <si>
    <t>=ABS(NF($D583,"Amount"))</t>
  </si>
  <si>
    <t>="""TRUST Nav"",""HSPMTB2016"",""21"",""1"",""85219"""</t>
  </si>
  <si>
    <t>=CONCATENATE(J584,"|",M584,"|",L584)</t>
  </si>
  <si>
    <t>=ABS(NF($D584,"Amount"))</t>
  </si>
  <si>
    <t>="""TRUST Nav"",""HSPMTB2016"",""21"",""1"",""85220"""</t>
  </si>
  <si>
    <t>=CONCATENATE(J585,"|",M585,"|",L585)</t>
  </si>
  <si>
    <t>=ABS(NF($D585,"Amount"))</t>
  </si>
  <si>
    <t>="""TRUST Nav"",""HSPMTB2016"",""21"",""1"",""138827"""</t>
  </si>
  <si>
    <t>=CONCATENATE(J586,"|",M586,"|",L586)</t>
  </si>
  <si>
    <t>=ABS(NF($D586,"Amount"))</t>
  </si>
  <si>
    <t>="""TRUST Nav"",""HSPMTB2016"",""21"",""1"",""138828"""</t>
  </si>
  <si>
    <t>=CONCATENATE(J587,"|",M587,"|",L587)</t>
  </si>
  <si>
    <t>=ABS(NF($D587,"Amount"))</t>
  </si>
  <si>
    <t>="""TRUST Nav"",""HSPMTB2016"",""21"",""1"",""138829"""</t>
  </si>
  <si>
    <t>=CONCATENATE(J588,"|",M588,"|",L588)</t>
  </si>
  <si>
    <t>=ABS(NF($D588,"Amount"))</t>
  </si>
  <si>
    <t>="""TRUST Nav"",""HSPMTB2016"",""21"",""1"",""138830"""</t>
  </si>
  <si>
    <t>=CONCATENATE(J589,"|",M589,"|",L589)</t>
  </si>
  <si>
    <t>=ABS(NF($D589,"Amount"))</t>
  </si>
  <si>
    <t>="""TRUST Nav"",""HSPMTB2016"",""21"",""1"",""3525"""</t>
  </si>
  <si>
    <t>=CONCATENATE(J590,"|",M590,"|",L590)</t>
  </si>
  <si>
    <t>=ABS(NF($D590,"Amount"))</t>
  </si>
  <si>
    <t>="""TRUST Nav"",""HSPMTB2016"",""21"",""1"",""3526"""</t>
  </si>
  <si>
    <t>=CONCATENATE(J591,"|",M591,"|",L591)</t>
  </si>
  <si>
    <t>=ABS(NF($D591,"Amount"))</t>
  </si>
  <si>
    <t>="""TRUST Nav"",""HSPMTB2016"",""21"",""1"",""3527"""</t>
  </si>
  <si>
    <t>=CONCATENATE(J592,"|",M592,"|",L592)</t>
  </si>
  <si>
    <t>=ABS(NF($D592,"Amount"))</t>
  </si>
  <si>
    <t>="""TRUST Nav"",""HSPMTB2016"",""21"",""1"",""3528"""</t>
  </si>
  <si>
    <t>=CONCATENATE(J593,"|",M593,"|",L593)</t>
  </si>
  <si>
    <t>=ABS(NF($D593,"Amount"))</t>
  </si>
  <si>
    <t>="""TRUST Nav"",""HSPMTB2016"",""21"",""1"",""3529"""</t>
  </si>
  <si>
    <t>=CONCATENATE(J594,"|",M594,"|",L594)</t>
  </si>
  <si>
    <t>=ABS(NF($D594,"Amount"))</t>
  </si>
  <si>
    <t>="""TRUST Nav"",""HSPMTB2016"",""21"",""1"",""3530"""</t>
  </si>
  <si>
    <t>=CONCATENATE(J595,"|",M595,"|",L595)</t>
  </si>
  <si>
    <t>=ABS(NF($D595,"Amount"))</t>
  </si>
  <si>
    <t>="""TRUST Nav"",""HSPMTB2016"",""21"",""1"",""37324"""</t>
  </si>
  <si>
    <t>=CONCATENATE(J596,"|",M596,"|",L596)</t>
  </si>
  <si>
    <t>=ABS(NF($D596,"Amount"))</t>
  </si>
  <si>
    <t>="""TRUST Nav"",""HSPMTB2016"",""21"",""1"",""37325"""</t>
  </si>
  <si>
    <t>=CONCATENATE(J597,"|",M597,"|",L597)</t>
  </si>
  <si>
    <t>=ABS(NF($D597,"Amount"))</t>
  </si>
  <si>
    <t>="""TRUST Nav"",""HSPMTB2016"",""21"",""1"",""37326"""</t>
  </si>
  <si>
    <t>=CONCATENATE(J598,"|",M598,"|",L598)</t>
  </si>
  <si>
    <t>=ABS(NF($D598,"Amount"))</t>
  </si>
  <si>
    <t>="""TRUST Nav"",""HSPMTB2016"",""21"",""1"",""37327"""</t>
  </si>
  <si>
    <t>=CONCATENATE(J599,"|",M599,"|",L599)</t>
  </si>
  <si>
    <t>=ABS(NF($D599,"Amount"))</t>
  </si>
  <si>
    <t>="""TRUST Nav"",""HSPMTB2016"",""21"",""1"",""37328"""</t>
  </si>
  <si>
    <t>=CONCATENATE(J600,"|",M600,"|",L600)</t>
  </si>
  <si>
    <t>=ABS(NF($D600,"Amount"))</t>
  </si>
  <si>
    <t>="""TRUST Nav"",""HSPMTB2016"",""21"",""1"",""37329"""</t>
  </si>
  <si>
    <t>=CONCATENATE(J601,"|",M601,"|",L601)</t>
  </si>
  <si>
    <t>=ABS(NF($D601,"Amount"))</t>
  </si>
  <si>
    <t>="""TRUST Nav"",""HSPMTB2016"",""21"",""1"",""102558"""</t>
  </si>
  <si>
    <t>=CONCATENATE(J602,"|",M602,"|",L602)</t>
  </si>
  <si>
    <t>=ABS(NF($D602,"Amount"))</t>
  </si>
  <si>
    <t>="""TRUST Nav"",""HSPMTB2016"",""21"",""1"",""102559"""</t>
  </si>
  <si>
    <t>=CONCATENATE(J603,"|",M603,"|",L603)</t>
  </si>
  <si>
    <t>=ABS(NF($D603,"Amount"))</t>
  </si>
  <si>
    <t>="""TRUST Nav"",""HSPMTB2016"",""21"",""1"",""102560"""</t>
  </si>
  <si>
    <t>=CONCATENATE(J604,"|",M604,"|",L604)</t>
  </si>
  <si>
    <t>=ABS(NF($D604,"Amount"))</t>
  </si>
  <si>
    <t>="""TRUST Nav"",""HSPMTB2016"",""21"",""1"",""102561"""</t>
  </si>
  <si>
    <t>=CONCATENATE(J605,"|",M605,"|",L605)</t>
  </si>
  <si>
    <t>=ABS(NF($D605,"Amount"))</t>
  </si>
  <si>
    <t>="""TRUST Nav"",""HSPMTB2016"",""21"",""1"",""138831"""</t>
  </si>
  <si>
    <t>=CONCATENATE(J606,"|",M606,"|",L606)</t>
  </si>
  <si>
    <t>=ABS(NF($D606,"Amount"))</t>
  </si>
  <si>
    <t>="""TRUST Nav"",""HSPMTB2016"",""21"",""1"",""138832"""</t>
  </si>
  <si>
    <t>=CONCATENATE(J607,"|",M607,"|",L607)</t>
  </si>
  <si>
    <t>=ABS(NF($D607,"Amount"))</t>
  </si>
  <si>
    <t>="""TRUST Nav"",""HSPMTB2016"",""21"",""1"",""138833"""</t>
  </si>
  <si>
    <t>=CONCATENATE(J608,"|",M608,"|",L608)</t>
  </si>
  <si>
    <t>=ABS(NF($D608,"Amount"))</t>
  </si>
  <si>
    <t>="""TRUST Nav"",""HSPMTB2016"",""21"",""1"",""138834"""</t>
  </si>
  <si>
    <t>=CONCATENATE(J609,"|",M609,"|",L609)</t>
  </si>
  <si>
    <t>=ABS(NF($D609,"Amount"))</t>
  </si>
  <si>
    <t>="""TRUST Nav"",""HSPMTB2016"",""21"",""1"",""3531"""</t>
  </si>
  <si>
    <t>=CONCATENATE(J610,"|",M610,"|",L610)</t>
  </si>
  <si>
    <t>=ABS(NF($D610,"Amount"))</t>
  </si>
  <si>
    <t>="""TRUST Nav"",""HSPMTB2016"",""21"",""1"",""37330"""</t>
  </si>
  <si>
    <t>=CONCATENATE(J611,"|",M611,"|",L611)</t>
  </si>
  <si>
    <t>=ABS(NF($D611,"Amount"))</t>
  </si>
  <si>
    <t>="""TRUST Nav"",""HSPMTB2016"",""21"",""1"",""85221"""</t>
  </si>
  <si>
    <t>=CONCATENATE(J612,"|",M612,"|",L612)</t>
  </si>
  <si>
    <t>=ABS(NF($D612,"Amount"))</t>
  </si>
  <si>
    <t>="""TRUST Nav"",""HSPMTB2016"",""21"",""1"",""85222"""</t>
  </si>
  <si>
    <t>=CONCATENATE(J613,"|",M613,"|",L613)</t>
  </si>
  <si>
    <t>=ABS(NF($D613,"Amount"))</t>
  </si>
  <si>
    <t>="""TRUST Nav"",""HSPMTB2016"",""21"",""1"",""85223"""</t>
  </si>
  <si>
    <t>=CONCATENATE(J614,"|",M614,"|",L614)</t>
  </si>
  <si>
    <t>=ABS(NF($D614,"Amount"))</t>
  </si>
  <si>
    <t>="""TRUST Nav"",""HSPMTB2016"",""21"",""1"",""85224"""</t>
  </si>
  <si>
    <t>=CONCATENATE(J615,"|",M615,"|",L615)</t>
  </si>
  <si>
    <t>=ABS(NF($D615,"Amount"))</t>
  </si>
  <si>
    <t>="""TRUST Nav"",""HSPMTB2016"",""21"",""1"",""85225"""</t>
  </si>
  <si>
    <t>=CONCATENATE(J616,"|",M616,"|",L616)</t>
  </si>
  <si>
    <t>=ABS(NF($D616,"Amount"))</t>
  </si>
  <si>
    <t>="""TRUST Nav"",""HSPMTB2016"",""21"",""1"",""3532"""</t>
  </si>
  <si>
    <t>=CONCATENATE(J617,"|",M617,"|",L617)</t>
  </si>
  <si>
    <t>=ABS(NF($D617,"Amount"))</t>
  </si>
  <si>
    <t>="""TRUST Nav"",""HSPMTB2016"",""21"",""1"",""3533"""</t>
  </si>
  <si>
    <t>=CONCATENATE(J618,"|",M618,"|",L618)</t>
  </si>
  <si>
    <t>=ABS(NF($D618,"Amount"))</t>
  </si>
  <si>
    <t>="""TRUST Nav"",""HSPMTB2016"",""21"",""1"",""3534"""</t>
  </si>
  <si>
    <t>=CONCATENATE(J619,"|",M619,"|",L619)</t>
  </si>
  <si>
    <t>=ABS(NF($D619,"Amount"))</t>
  </si>
  <si>
    <t>="""TRUST Nav"",""HSPMTB2016"",""21"",""1"",""3535"""</t>
  </si>
  <si>
    <t>=CONCATENATE(J620,"|",M620,"|",L620)</t>
  </si>
  <si>
    <t>=ABS(NF($D620,"Amount"))</t>
  </si>
  <si>
    <t>="""TRUST Nav"",""HSPMTB2016"",""21"",""1"",""3536"""</t>
  </si>
  <si>
    <t>=CONCATENATE(J621,"|",M621,"|",L621)</t>
  </si>
  <si>
    <t>=ABS(NF($D621,"Amount"))</t>
  </si>
  <si>
    <t>="""TRUST Nav"",""HSPMTB2016"",""21"",""1"",""3537"""</t>
  </si>
  <si>
    <t>=CONCATENATE(J622,"|",M622,"|",L622)</t>
  </si>
  <si>
    <t>=ABS(NF($D622,"Amount"))</t>
  </si>
  <si>
    <t>="""TRUST Nav"",""HSPMTB2016"",""21"",""1"",""37331"""</t>
  </si>
  <si>
    <t>=CONCATENATE(J623,"|",M623,"|",L623)</t>
  </si>
  <si>
    <t>=ABS(NF($D623,"Amount"))</t>
  </si>
  <si>
    <t>="""TRUST Nav"",""HSPMTB2016"",""21"",""1"",""37332"""</t>
  </si>
  <si>
    <t>=CONCATENATE(J624,"|",M624,"|",L624)</t>
  </si>
  <si>
    <t>=ABS(NF($D624,"Amount"))</t>
  </si>
  <si>
    <t>="""TRUST Nav"",""HSPMTB2016"",""21"",""1"",""37333"""</t>
  </si>
  <si>
    <t>=CONCATENATE(J625,"|",M625,"|",L625)</t>
  </si>
  <si>
    <t>=ABS(NF($D625,"Amount"))</t>
  </si>
  <si>
    <t>="""TRUST Nav"",""HSPMTB2016"",""21"",""1"",""37334"""</t>
  </si>
  <si>
    <t>=CONCATENATE(J626,"|",M626,"|",L626)</t>
  </si>
  <si>
    <t>=ABS(NF($D626,"Amount"))</t>
  </si>
  <si>
    <t>="""TRUST Nav"",""HSPMTB2016"",""21"",""1"",""37335"""</t>
  </si>
  <si>
    <t>=CONCATENATE(J627,"|",M627,"|",L627)</t>
  </si>
  <si>
    <t>=ABS(NF($D627,"Amount"))</t>
  </si>
  <si>
    <t>="""TRUST Nav"",""HSPMTB2016"",""21"",""1"",""37336"""</t>
  </si>
  <si>
    <t>=CONCATENATE(J628,"|",M628,"|",L628)</t>
  </si>
  <si>
    <t>=ABS(NF($D628,"Amount"))</t>
  </si>
  <si>
    <t>="""TRUST Nav"",""HSPMTB2016"",""21"",""1"",""3538"""</t>
  </si>
  <si>
    <t>=CONCATENATE(J629,"|",M629,"|",L629)</t>
  </si>
  <si>
    <t>=ABS(NF($D629,"Amount"))</t>
  </si>
  <si>
    <t>="""TRUST Nav"",""HSPMTB2016"",""21"",""1"",""3539"""</t>
  </si>
  <si>
    <t>=CONCATENATE(J630,"|",M630,"|",L630)</t>
  </si>
  <si>
    <t>=ABS(NF($D630,"Amount"))</t>
  </si>
  <si>
    <t>="""TRUST Nav"",""HSPMTB2016"",""21"",""1"",""3540"""</t>
  </si>
  <si>
    <t>=CONCATENATE(J631,"|",M631,"|",L631)</t>
  </si>
  <si>
    <t>=ABS(NF($D631,"Amount"))</t>
  </si>
  <si>
    <t>="""TRUST Nav"",""HSPMTB2016"",""21"",""1"",""3541"""</t>
  </si>
  <si>
    <t>=CONCATENATE(J632,"|",M632,"|",L632)</t>
  </si>
  <si>
    <t>=ABS(NF($D632,"Amount"))</t>
  </si>
  <si>
    <t>="""TRUST Nav"",""HSPMTB2016"",""21"",""1"",""3542"""</t>
  </si>
  <si>
    <t>=CONCATENATE(J633,"|",M633,"|",L633)</t>
  </si>
  <si>
    <t>=ABS(NF($D633,"Amount"))</t>
  </si>
  <si>
    <t>="""TRUST Nav"",""HSPMTB2016"",""21"",""1"",""3543"""</t>
  </si>
  <si>
    <t>=CONCATENATE(J634,"|",M634,"|",L634)</t>
  </si>
  <si>
    <t>=ABS(NF($D634,"Amount"))</t>
  </si>
  <si>
    <t>="""TRUST Nav"",""HSPMTB2016"",""21"",""1"",""37337"""</t>
  </si>
  <si>
    <t>=CONCATENATE(J635,"|",M635,"|",L635)</t>
  </si>
  <si>
    <t>=ABS(NF($D635,"Amount"))</t>
  </si>
  <si>
    <t>="""TRUST Nav"",""HSPMTB2016"",""21"",""1"",""37338"""</t>
  </si>
  <si>
    <t>=CONCATENATE(J636,"|",M636,"|",L636)</t>
  </si>
  <si>
    <t>=ABS(NF($D636,"Amount"))</t>
  </si>
  <si>
    <t>="""TRUST Nav"",""HSPMTB2016"",""21"",""1"",""37339"""</t>
  </si>
  <si>
    <t>=CONCATENATE(J637,"|",M637,"|",L637)</t>
  </si>
  <si>
    <t>=ABS(NF($D637,"Amount"))</t>
  </si>
  <si>
    <t>="""TRUST Nav"",""HSPMTB2016"",""21"",""1"",""37340"""</t>
  </si>
  <si>
    <t>=CONCATENATE(J638,"|",M638,"|",L638)</t>
  </si>
  <si>
    <t>=ABS(NF($D638,"Amount"))</t>
  </si>
  <si>
    <t>="""TRUST Nav"",""HSPMTB2016"",""21"",""1"",""37341"""</t>
  </si>
  <si>
    <t>=CONCATENATE(J639,"|",M639,"|",L639)</t>
  </si>
  <si>
    <t>=ABS(NF($D639,"Amount"))</t>
  </si>
  <si>
    <t>="""TRUST Nav"",""HSPMTB2016"",""21"",""1"",""37342"""</t>
  </si>
  <si>
    <t>=CONCATENATE(J640,"|",M640,"|",L640)</t>
  </si>
  <si>
    <t>=ABS(NF($D640,"Amount"))</t>
  </si>
  <si>
    <t>="""TRUST Nav"",""HSPMTB2016"",""21"",""1"",""73428"""</t>
  </si>
  <si>
    <t>=CONCATENATE(J641,"|",M641,"|",L641)</t>
  </si>
  <si>
    <t>=ABS(NF($D641,"Amount"))</t>
  </si>
  <si>
    <t>="""TRUST Nav"",""HSPMTB2016"",""21"",""1"",""73429"""</t>
  </si>
  <si>
    <t>=CONCATENATE(J642,"|",M642,"|",L642)</t>
  </si>
  <si>
    <t>=ABS(NF($D642,"Amount"))</t>
  </si>
  <si>
    <t>="""TRUST Nav"",""HSPMTB2016"",""21"",""1"",""73430"""</t>
  </si>
  <si>
    <t>=CONCATENATE(J643,"|",M643,"|",L643)</t>
  </si>
  <si>
    <t>=ABS(NF($D643,"Amount"))</t>
  </si>
  <si>
    <t>="""TRUST Nav"",""HSPMTB2016"",""21"",""1"",""73431"""</t>
  </si>
  <si>
    <t>=CONCATENATE(J644,"|",M644,"|",L644)</t>
  </si>
  <si>
    <t>=ABS(NF($D644,"Amount"))</t>
  </si>
  <si>
    <t>="""TRUST Nav"",""HSPMTB2016"",""21"",""1"",""73432"""</t>
  </si>
  <si>
    <t>=CONCATENATE(J645,"|",M645,"|",L645)</t>
  </si>
  <si>
    <t>=ABS(NF($D645,"Amount"))</t>
  </si>
  <si>
    <t>="""TRUST Nav"",""HSPMTB2016"",""21"",""1"",""73433"""</t>
  </si>
  <si>
    <t>=CONCATENATE(J646,"|",M646,"|",L646)</t>
  </si>
  <si>
    <t>=ABS(NF($D646,"Amount"))</t>
  </si>
  <si>
    <t>="""TRUST Nav"",""HSPMTB2016"",""21"",""1"",""3544"""</t>
  </si>
  <si>
    <t>=CONCATENATE(J647,"|",M647,"|",L647)</t>
  </si>
  <si>
    <t>=ABS(NF($D647,"Amount"))</t>
  </si>
  <si>
    <t>="""TRUST Nav"",""HSPMTB2016"",""21"",""1"",""3545"""</t>
  </si>
  <si>
    <t>=CONCATENATE(J648,"|",M648,"|",L648)</t>
  </si>
  <si>
    <t>=ABS(NF($D648,"Amount"))</t>
  </si>
  <si>
    <t>="""TRUST Nav"",""HSPMTB2016"",""21"",""1"",""3546"""</t>
  </si>
  <si>
    <t>=CONCATENATE(J649,"|",M649,"|",L649)</t>
  </si>
  <si>
    <t>=ABS(NF($D649,"Amount"))</t>
  </si>
  <si>
    <t>="""TRUST Nav"",""HSPMTB2016"",""21"",""1"",""3547"""</t>
  </si>
  <si>
    <t>=CONCATENATE(J650,"|",M650,"|",L650)</t>
  </si>
  <si>
    <t>=ABS(NF($D650,"Amount"))</t>
  </si>
  <si>
    <t>="""TRUST Nav"",""HSPMTB2016"",""21"",""1"",""3548"""</t>
  </si>
  <si>
    <t>=CONCATENATE(J651,"|",M651,"|",L651)</t>
  </si>
  <si>
    <t>=ABS(NF($D651,"Amount"))</t>
  </si>
  <si>
    <t>="""TRUST Nav"",""HSPMTB2016"",""21"",""1"",""3549"""</t>
  </si>
  <si>
    <t>=CONCATENATE(J652,"|",M652,"|",L652)</t>
  </si>
  <si>
    <t>=ABS(NF($D652,"Amount"))</t>
  </si>
  <si>
    <t>="""TRUST Nav"",""HSPMTB2016"",""21"",""1"",""37343"""</t>
  </si>
  <si>
    <t>=CONCATENATE(J653,"|",M653,"|",L653)</t>
  </si>
  <si>
    <t>=ABS(NF($D653,"Amount"))</t>
  </si>
  <si>
    <t>="""TRUST Nav"",""HSPMTB2016"",""21"",""1"",""37344"""</t>
  </si>
  <si>
    <t>=CONCATENATE(J654,"|",M654,"|",L654)</t>
  </si>
  <si>
    <t>=ABS(NF($D654,"Amount"))</t>
  </si>
  <si>
    <t>="""TRUST Nav"",""HSPMTB2016"",""21"",""1"",""37345"""</t>
  </si>
  <si>
    <t>=CONCATENATE(J655,"|",M655,"|",L655)</t>
  </si>
  <si>
    <t>=ABS(NF($D655,"Amount"))</t>
  </si>
  <si>
    <t>="""TRUST Nav"",""HSPMTB2016"",""21"",""1"",""37346"""</t>
  </si>
  <si>
    <t>=CONCATENATE(J656,"|",M656,"|",L656)</t>
  </si>
  <si>
    <t>=ABS(NF($D656,"Amount"))</t>
  </si>
  <si>
    <t>="""TRUST Nav"",""HSPMTB2016"",""21"",""1"",""37347"""</t>
  </si>
  <si>
    <t>=CONCATENATE(J657,"|",M657,"|",L657)</t>
  </si>
  <si>
    <t>=ABS(NF($D657,"Amount"))</t>
  </si>
  <si>
    <t>="""TRUST Nav"",""HSPMTB2016"",""21"",""1"",""37348"""</t>
  </si>
  <si>
    <t>=CONCATENATE(J658,"|",M658,"|",L658)</t>
  </si>
  <si>
    <t>=ABS(NF($D658,"Amount"))</t>
  </si>
  <si>
    <t>="""TRUST Nav"",""HSPMTB2016"",""21"",""1"",""73434"""</t>
  </si>
  <si>
    <t>=CONCATENATE(J659,"|",M659,"|",L659)</t>
  </si>
  <si>
    <t>=ABS(NF($D659,"Amount"))</t>
  </si>
  <si>
    <t>="""TRUST Nav"",""HSPMTB2016"",""21"",""1"",""85226"""</t>
  </si>
  <si>
    <t>=CONCATENATE(J660,"|",M660,"|",L660)</t>
  </si>
  <si>
    <t>=ABS(NF($D660,"Amount"))</t>
  </si>
  <si>
    <t>="""TRUST Nav"",""HSPMTB2016"",""21"",""1"",""122037"""</t>
  </si>
  <si>
    <t>=CONCATENATE(J661,"|",M661,"|",L661)</t>
  </si>
  <si>
    <t>=ABS(NF($D661,"Amount"))</t>
  </si>
  <si>
    <t>="""TRUST Nav"",""HSPMTB2016"",""21"",""1"",""122038"""</t>
  </si>
  <si>
    <t>=CONCATENATE(J662,"|",M662,"|",L662)</t>
  </si>
  <si>
    <t>=ABS(NF($D662,"Amount"))</t>
  </si>
  <si>
    <t>="""TRUST Nav"",""HSPMTB2016"",""21"",""1"",""122039"""</t>
  </si>
  <si>
    <t>=CONCATENATE(J663,"|",M663,"|",L663)</t>
  </si>
  <si>
    <t>=ABS(NF($D663,"Amount"))</t>
  </si>
  <si>
    <t>="""TRUST Nav"",""HSPMTB2016"",""21"",""1"",""122040"""</t>
  </si>
  <si>
    <t>=CONCATENATE(J664,"|",M664,"|",L664)</t>
  </si>
  <si>
    <t>=ABS(NF($D664,"Amount"))</t>
  </si>
  <si>
    <t>="""TRUST Nav"",""HSPMTB2016"",""21"",""1"",""3550"""</t>
  </si>
  <si>
    <t>=CONCATENATE(J665,"|",M665,"|",L665)</t>
  </si>
  <si>
    <t>=ABS(NF($D665,"Amount"))</t>
  </si>
  <si>
    <t>="""TRUST Nav"",""HSPMTB2016"",""21"",""1"",""3551"""</t>
  </si>
  <si>
    <t>=CONCATENATE(J666,"|",M666,"|",L666)</t>
  </si>
  <si>
    <t>=ABS(NF($D666,"Amount"))</t>
  </si>
  <si>
    <t>="""TRUST Nav"",""HSPMTB2016"",""21"",""1"",""3552"""</t>
  </si>
  <si>
    <t>=CONCATENATE(J667,"|",M667,"|",L667)</t>
  </si>
  <si>
    <t>=ABS(NF($D667,"Amount"))</t>
  </si>
  <si>
    <t>="""TRUST Nav"",""HSPMTB2016"",""21"",""1"",""3553"""</t>
  </si>
  <si>
    <t>=CONCATENATE(J668,"|",M668,"|",L668)</t>
  </si>
  <si>
    <t>=ABS(NF($D668,"Amount"))</t>
  </si>
  <si>
    <t>="""TRUST Nav"",""HSPMTB2016"",""21"",""1"",""3554"""</t>
  </si>
  <si>
    <t>=CONCATENATE(J669,"|",M669,"|",L669)</t>
  </si>
  <si>
    <t>=ABS(NF($D669,"Amount"))</t>
  </si>
  <si>
    <t>="""TRUST Nav"",""HSPMTB2016"",""21"",""1"",""3555"""</t>
  </si>
  <si>
    <t>=CONCATENATE(J670,"|",M670,"|",L670)</t>
  </si>
  <si>
    <t>=ABS(NF($D670,"Amount"))</t>
  </si>
  <si>
    <t>="""TRUST Nav"",""HSPMTB2016"",""21"",""1"",""37349"""</t>
  </si>
  <si>
    <t>=CONCATENATE(J671,"|",M671,"|",L671)</t>
  </si>
  <si>
    <t>=ABS(NF($D671,"Amount"))</t>
  </si>
  <si>
    <t>="""TRUST Nav"",""HSPMTB2016"",""21"",""1"",""37350"""</t>
  </si>
  <si>
    <t>=CONCATENATE(J672,"|",M672,"|",L672)</t>
  </si>
  <si>
    <t>=ABS(NF($D672,"Amount"))</t>
  </si>
  <si>
    <t>="""TRUST Nav"",""HSPMTB2016"",""21"",""1"",""37351"""</t>
  </si>
  <si>
    <t>=CONCATENATE(J673,"|",M673,"|",L673)</t>
  </si>
  <si>
    <t>=ABS(NF($D673,"Amount"))</t>
  </si>
  <si>
    <t>="""TRUST Nav"",""HSPMTB2016"",""21"",""1"",""37352"""</t>
  </si>
  <si>
    <t>=CONCATENATE(J674,"|",M674,"|",L674)</t>
  </si>
  <si>
    <t>=ABS(NF($D674,"Amount"))</t>
  </si>
  <si>
    <t>="""TRUST Nav"",""HSPMTB2016"",""21"",""1"",""37353"""</t>
  </si>
  <si>
    <t>=CONCATENATE(J675,"|",M675,"|",L675)</t>
  </si>
  <si>
    <t>=ABS(NF($D675,"Amount"))</t>
  </si>
  <si>
    <t>="""TRUST Nav"",""HSPMTB2016"",""21"",""1"",""37354"""</t>
  </si>
  <si>
    <t>=CONCATENATE(J676,"|",M676,"|",L676)</t>
  </si>
  <si>
    <t>=ABS(NF($D676,"Amount"))</t>
  </si>
  <si>
    <t>="""TRUST Nav"",""HSPMTB2016"",""21"",""1"",""85227"""</t>
  </si>
  <si>
    <t>=CONCATENATE(J677,"|",M677,"|",L677)</t>
  </si>
  <si>
    <t>=ABS(NF($D677,"Amount"))</t>
  </si>
  <si>
    <t>="""TRUST Nav"",""HSPMTB2016"",""21"",""1"",""116873"""</t>
  </si>
  <si>
    <t>=CONCATENATE(J678,"|",M678,"|",L678)</t>
  </si>
  <si>
    <t>=ABS(NF($D678,"Amount"))</t>
  </si>
  <si>
    <t>="""TRUST Nav"",""HSPMTB2016"",""21"",""1"",""116874"""</t>
  </si>
  <si>
    <t>=CONCATENATE(J679,"|",M679,"|",L679)</t>
  </si>
  <si>
    <t>=ABS(NF($D679,"Amount"))</t>
  </si>
  <si>
    <t>="""TRUST Nav"",""HSPMTB2016"",""21"",""1"",""116875"""</t>
  </si>
  <si>
    <t>=CONCATENATE(J680,"|",M680,"|",L680)</t>
  </si>
  <si>
    <t>=ABS(NF($D680,"Amount"))</t>
  </si>
  <si>
    <t>="""TRUST Nav"",""HSPMTB2016"",""21"",""1"",""116876"""</t>
  </si>
  <si>
    <t>=CONCATENATE(J681,"|",M681,"|",L681)</t>
  </si>
  <si>
    <t>=ABS(NF($D681,"Amount"))</t>
  </si>
  <si>
    <t>="""TRUST Nav"",""HSPMTB2016"",""21"",""1"",""122041"""</t>
  </si>
  <si>
    <t>=CONCATENATE(J682,"|",M682,"|",L682)</t>
  </si>
  <si>
    <t>=ABS(NF($D682,"Amount"))</t>
  </si>
  <si>
    <t>="""TRUST Nav"",""HSPMTB2016"",""21"",""1"",""122042"""</t>
  </si>
  <si>
    <t>=CONCATENATE(J683,"|",M683,"|",L683)</t>
  </si>
  <si>
    <t>=ABS(NF($D683,"Amount"))</t>
  </si>
  <si>
    <t>="""TRUST Nav"",""HSPMTB2016"",""21"",""1"",""3556"""</t>
  </si>
  <si>
    <t>=CONCATENATE(J684,"|",M684,"|",L684)</t>
  </si>
  <si>
    <t>=ABS(NF($D684,"Amount"))</t>
  </si>
  <si>
    <t>="""TRUST Nav"",""HSPMTB2016"",""21"",""1"",""3557"""</t>
  </si>
  <si>
    <t>=CONCATENATE(J685,"|",M685,"|",L685)</t>
  </si>
  <si>
    <t>=ABS(NF($D685,"Amount"))</t>
  </si>
  <si>
    <t>="""TRUST Nav"",""HSPMTB2016"",""21"",""1"",""3558"""</t>
  </si>
  <si>
    <t>=CONCATENATE(J686,"|",M686,"|",L686)</t>
  </si>
  <si>
    <t>=ABS(NF($D686,"Amount"))</t>
  </si>
  <si>
    <t>="""TRUST Nav"",""HSPMTB2016"",""21"",""1"",""3559"""</t>
  </si>
  <si>
    <t>=CONCATENATE(J687,"|",M687,"|",L687)</t>
  </si>
  <si>
    <t>=ABS(NF($D687,"Amount"))</t>
  </si>
  <si>
    <t>="""TRUST Nav"",""HSPMTB2016"",""21"",""1"",""3560"""</t>
  </si>
  <si>
    <t>=CONCATENATE(J688,"|",M688,"|",L688)</t>
  </si>
  <si>
    <t>=ABS(NF($D688,"Amount"))</t>
  </si>
  <si>
    <t>="""TRUST Nav"",""HSPMTB2016"",""21"",""1"",""3561"""</t>
  </si>
  <si>
    <t>=CONCATENATE(J689,"|",M689,"|",L689)</t>
  </si>
  <si>
    <t>=ABS(NF($D689,"Amount"))</t>
  </si>
  <si>
    <t>="""TRUST Nav"",""HSPMTB2016"",""21"",""1"",""37355"""</t>
  </si>
  <si>
    <t>=CONCATENATE(J690,"|",M690,"|",L690)</t>
  </si>
  <si>
    <t>=ABS(NF($D690,"Amount"))</t>
  </si>
  <si>
    <t>="""TRUST Nav"",""HSPMTB2016"",""21"",""1"",""37356"""</t>
  </si>
  <si>
    <t>=CONCATENATE(J691,"|",M691,"|",L691)</t>
  </si>
  <si>
    <t>=ABS(NF($D691,"Amount"))</t>
  </si>
  <si>
    <t>="""TRUST Nav"",""HSPMTB2016"",""21"",""1"",""37357"""</t>
  </si>
  <si>
    <t>=CONCATENATE(J692,"|",M692,"|",L692)</t>
  </si>
  <si>
    <t>=ABS(NF($D692,"Amount"))</t>
  </si>
  <si>
    <t>="""TRUST Nav"",""HSPMTB2016"",""21"",""1"",""37358"""</t>
  </si>
  <si>
    <t>=CONCATENATE(J693,"|",M693,"|",L693)</t>
  </si>
  <si>
    <t>=ABS(NF($D693,"Amount"))</t>
  </si>
  <si>
    <t>="""TRUST Nav"",""HSPMTB2016"",""21"",""1"",""37359"""</t>
  </si>
  <si>
    <t>=CONCATENATE(J694,"|",M694,"|",L694)</t>
  </si>
  <si>
    <t>=ABS(NF($D694,"Amount"))</t>
  </si>
  <si>
    <t>="""TRUST Nav"",""HSPMTB2016"",""21"",""1"",""37360"""</t>
  </si>
  <si>
    <t>=CONCATENATE(J695,"|",M695,"|",L695)</t>
  </si>
  <si>
    <t>=ABS(NF($D695,"Amount"))</t>
  </si>
  <si>
    <t>="""TRUST Nav"",""HSPMTB2016"",""21"",""1"",""85228"""</t>
  </si>
  <si>
    <t>=CONCATENATE(J696,"|",M696,"|",L696)</t>
  </si>
  <si>
    <t>=ABS(NF($D696,"Amount"))</t>
  </si>
  <si>
    <t>="""TRUST Nav"",""HSPMTB2016"",""21"",""1"",""85229"""</t>
  </si>
  <si>
    <t>=CONCATENATE(J697,"|",M697,"|",L697)</t>
  </si>
  <si>
    <t>=ABS(NF($D697,"Amount"))</t>
  </si>
  <si>
    <t>="""TRUST Nav"",""HSPMTB2016"",""21"",""1"",""85230"""</t>
  </si>
  <si>
    <t>=CONCATENATE(J698,"|",M698,"|",L698)</t>
  </si>
  <si>
    <t>=ABS(NF($D698,"Amount"))</t>
  </si>
  <si>
    <t>="""TRUST Nav"",""HSPMTB2016"",""21"",""1"",""85231"""</t>
  </si>
  <si>
    <t>=CONCATENATE(J699,"|",M699,"|",L699)</t>
  </si>
  <si>
    <t>=ABS(NF($D699,"Amount"))</t>
  </si>
  <si>
    <t>="""TRUST Nav"",""HSPMTB2016"",""21"",""1"",""85232"""</t>
  </si>
  <si>
    <t>=CONCATENATE(J700,"|",M700,"|",L700)</t>
  </si>
  <si>
    <t>=ABS(NF($D700,"Amount"))</t>
  </si>
  <si>
    <t>="""TRUST Nav"",""HSPMTB2016"",""21"",""1"",""85233"""</t>
  </si>
  <si>
    <t>=CONCATENATE(J701,"|",M701,"|",L701)</t>
  </si>
  <si>
    <t>=ABS(NF($D701,"Amount"))</t>
  </si>
  <si>
    <t>="""TRUST Nav"",""HSPMTB2016"",""21"",""1"",""122049"""</t>
  </si>
  <si>
    <t>=CONCATENATE(J702,"|",M702,"|",L702)</t>
  </si>
  <si>
    <t>=ABS(NF($D702,"Amount"))</t>
  </si>
  <si>
    <t>="""TRUST Nav"",""HSPMTB2016"",""21"",""1"",""122050"""</t>
  </si>
  <si>
    <t>=CONCATENATE(J703,"|",M703,"|",L703)</t>
  </si>
  <si>
    <t>=ABS(NF($D703,"Amount"))</t>
  </si>
  <si>
    <t>="""TRUST Nav"",""HSPMTB2016"",""21"",""1"",""122051"""</t>
  </si>
  <si>
    <t>=CONCATENATE(J704,"|",M704,"|",L704)</t>
  </si>
  <si>
    <t>=ABS(NF($D704,"Amount"))</t>
  </si>
  <si>
    <t>="""TRUST Nav"",""HSPMTB2016"",""21"",""1"",""3562"""</t>
  </si>
  <si>
    <t>=CONCATENATE(J705,"|",M705,"|",L705)</t>
  </si>
  <si>
    <t>=ABS(NF($D705,"Amount"))</t>
  </si>
  <si>
    <t>="""TRUST Nav"",""HSPMTB2016"",""21"",""1"",""3563"""</t>
  </si>
  <si>
    <t>=CONCATENATE(J706,"|",M706,"|",L706)</t>
  </si>
  <si>
    <t>=ABS(NF($D706,"Amount"))</t>
  </si>
  <si>
    <t>="""TRUST Nav"",""HSPMTB2016"",""21"",""1"",""3564"""</t>
  </si>
  <si>
    <t>=CONCATENATE(J707,"|",M707,"|",L707)</t>
  </si>
  <si>
    <t>=ABS(NF($D707,"Amount"))</t>
  </si>
  <si>
    <t>="""TRUST Nav"",""HSPMTB2016"",""21"",""1"",""3565"""</t>
  </si>
  <si>
    <t>=CONCATENATE(J708,"|",M708,"|",L708)</t>
  </si>
  <si>
    <t>=ABS(NF($D708,"Amount"))</t>
  </si>
  <si>
    <t>="""TRUST Nav"",""HSPMTB2016"",""21"",""1"",""3566"""</t>
  </si>
  <si>
    <t>=CONCATENATE(J709,"|",M709,"|",L709)</t>
  </si>
  <si>
    <t>=ABS(NF($D709,"Amount"))</t>
  </si>
  <si>
    <t>="""TRUST Nav"",""HSPMTB2016"",""21"",""1"",""3567"""</t>
  </si>
  <si>
    <t>=CONCATENATE(J710,"|",M710,"|",L710)</t>
  </si>
  <si>
    <t>=ABS(NF($D710,"Amount"))</t>
  </si>
  <si>
    <t>="""TRUST Nav"",""HSPMTB2016"",""21"",""1"",""37361"""</t>
  </si>
  <si>
    <t>=CONCATENATE(J711,"|",M711,"|",L711)</t>
  </si>
  <si>
    <t>=ABS(NF($D711,"Amount"))</t>
  </si>
  <si>
    <t>="""TRUST Nav"",""HSPMTB2016"",""21"",""1"",""37362"""</t>
  </si>
  <si>
    <t>=CONCATENATE(J712,"|",M712,"|",L712)</t>
  </si>
  <si>
    <t>=ABS(NF($D712,"Amount"))</t>
  </si>
  <si>
    <t>="""TRUST Nav"",""HSPMTB2016"",""21"",""1"",""37363"""</t>
  </si>
  <si>
    <t>=CONCATENATE(J713,"|",M713,"|",L713)</t>
  </si>
  <si>
    <t>=ABS(NF($D713,"Amount"))</t>
  </si>
  <si>
    <t>="""TRUST Nav"",""HSPMTB2016"",""21"",""1"",""37364"""</t>
  </si>
  <si>
    <t>=CONCATENATE(J714,"|",M714,"|",L714)</t>
  </si>
  <si>
    <t>=ABS(NF($D714,"Amount"))</t>
  </si>
  <si>
    <t>="""TRUST Nav"",""HSPMTB2016"",""21"",""1"",""37365"""</t>
  </si>
  <si>
    <t>=CONCATENATE(J715,"|",M715,"|",L715)</t>
  </si>
  <si>
    <t>=ABS(NF($D715,"Amount"))</t>
  </si>
  <si>
    <t>="""TRUST Nav"",""HSPMTB2016"",""21"",""1"",""37366"""</t>
  </si>
  <si>
    <t>=CONCATENATE(J716,"|",M716,"|",L716)</t>
  </si>
  <si>
    <t>=ABS(NF($D716,"Amount"))</t>
  </si>
  <si>
    <t>="""TRUST Nav"",""HSPMTB2016"",""21"",""1"",""73435"""</t>
  </si>
  <si>
    <t>=CONCATENATE(J717,"|",M717,"|",L717)</t>
  </si>
  <si>
    <t>=ABS(NF($D717,"Amount"))</t>
  </si>
  <si>
    <t>="""TRUST Nav"",""HSPMTB2016"",""21"",""1"",""102562"""</t>
  </si>
  <si>
    <t>=CONCATENATE(J718,"|",M718,"|",L718)</t>
  </si>
  <si>
    <t>=ABS(NF($D718,"Amount"))</t>
  </si>
  <si>
    <t>="""TRUST Nav"",""HSPMTB2016"",""21"",""1"",""102563"""</t>
  </si>
  <si>
    <t>=CONCATENATE(J719,"|",M719,"|",L719)</t>
  </si>
  <si>
    <t>=ABS(NF($D719,"Amount"))</t>
  </si>
  <si>
    <t>="""TRUST Nav"",""HSPMTB2016"",""21"",""1"",""102564"""</t>
  </si>
  <si>
    <t>=CONCATENATE(J720,"|",M720,"|",L720)</t>
  </si>
  <si>
    <t>=ABS(NF($D720,"Amount"))</t>
  </si>
  <si>
    <t>="""TRUST Nav"",""HSPMTB2016"",""21"",""1"",""3568"""</t>
  </si>
  <si>
    <t>=CONCATENATE(J721,"|",M721,"|",L721)</t>
  </si>
  <si>
    <t>=ABS(NF($D721,"Amount"))</t>
  </si>
  <si>
    <t>="""TRUST Nav"",""HSPMTB2016"",""21"",""1"",""3569"""</t>
  </si>
  <si>
    <t>=CONCATENATE(J722,"|",M722,"|",L722)</t>
  </si>
  <si>
    <t>=ABS(NF($D722,"Amount"))</t>
  </si>
  <si>
    <t>="""TRUST Nav"",""HSPMTB2016"",""21"",""1"",""3570"""</t>
  </si>
  <si>
    <t>=CONCATENATE(J723,"|",M723,"|",L723)</t>
  </si>
  <si>
    <t>=ABS(NF($D723,"Amount"))</t>
  </si>
  <si>
    <t>="""TRUST Nav"",""HSPMTB2016"",""21"",""1"",""3571"""</t>
  </si>
  <si>
    <t>=CONCATENATE(J724,"|",M724,"|",L724)</t>
  </si>
  <si>
    <t>=ABS(NF($D724,"Amount"))</t>
  </si>
  <si>
    <t>="""TRUST Nav"",""HSPMTB2016"",""21"",""1"",""3572"""</t>
  </si>
  <si>
    <t>=CONCATENATE(J725,"|",M725,"|",L725)</t>
  </si>
  <si>
    <t>=ABS(NF($D725,"Amount"))</t>
  </si>
  <si>
    <t>="""TRUST Nav"",""HSPMTB2016"",""21"",""1"",""3573"""</t>
  </si>
  <si>
    <t>=CONCATENATE(J726,"|",M726,"|",L726)</t>
  </si>
  <si>
    <t>=ABS(NF($D726,"Amount"))</t>
  </si>
  <si>
    <t>="""TRUST Nav"",""HSPMTB2016"",""21"",""1"",""37367"""</t>
  </si>
  <si>
    <t>=CONCATENATE(J727,"|",M727,"|",L727)</t>
  </si>
  <si>
    <t>=ABS(NF($D727,"Amount"))</t>
  </si>
  <si>
    <t>="""TRUST Nav"",""HSPMTB2016"",""21"",""1"",""37368"""</t>
  </si>
  <si>
    <t>=CONCATENATE(J728,"|",M728,"|",L728)</t>
  </si>
  <si>
    <t>=ABS(NF($D728,"Amount"))</t>
  </si>
  <si>
    <t>="""TRUST Nav"",""HSPMTB2016"",""21"",""1"",""37369"""</t>
  </si>
  <si>
    <t>=CONCATENATE(J729,"|",M729,"|",L729)</t>
  </si>
  <si>
    <t>=ABS(NF($D729,"Amount"))</t>
  </si>
  <si>
    <t>="""TRUST Nav"",""HSPMTB2016"",""21"",""1"",""37370"""</t>
  </si>
  <si>
    <t>=CONCATENATE(J730,"|",M730,"|",L730)</t>
  </si>
  <si>
    <t>=ABS(NF($D730,"Amount"))</t>
  </si>
  <si>
    <t>="""TRUST Nav"",""HSPMTB2016"",""21"",""1"",""37371"""</t>
  </si>
  <si>
    <t>=CONCATENATE(J731,"|",M731,"|",L731)</t>
  </si>
  <si>
    <t>=ABS(NF($D731,"Amount"))</t>
  </si>
  <si>
    <t>="""TRUST Nav"",""HSPMTB2016"",""21"",""1"",""37372"""</t>
  </si>
  <si>
    <t>=CONCATENATE(J732,"|",M732,"|",L732)</t>
  </si>
  <si>
    <t>=ABS(NF($D732,"Amount"))</t>
  </si>
  <si>
    <t>="""TRUST Nav"",""HSPMTB2016"",""21"",""1"",""73419"""</t>
  </si>
  <si>
    <t>=CONCATENATE(J733,"|",M733,"|",L733)</t>
  </si>
  <si>
    <t>=ABS(NF($D733,"Amount"))</t>
  </si>
  <si>
    <t>="""TRUST Nav"",""HSPMTB2016"",""21"",""1"",""73420"""</t>
  </si>
  <si>
    <t>=CONCATENATE(J734,"|",M734,"|",L734)</t>
  </si>
  <si>
    <t>=ABS(NF($D734,"Amount"))</t>
  </si>
  <si>
    <t>="""TRUST Nav"",""HSPMTB2016"",""21"",""1"",""73421"""</t>
  </si>
  <si>
    <t>=CONCATENATE(J735,"|",M735,"|",L735)</t>
  </si>
  <si>
    <t>=ABS(NF($D735,"Amount"))</t>
  </si>
  <si>
    <t>="""TRUST Nav"",""HSPMTB2016"",""21"",""1"",""73422"""</t>
  </si>
  <si>
    <t>=CONCATENATE(J736,"|",M736,"|",L736)</t>
  </si>
  <si>
    <t>=ABS(NF($D736,"Amount"))</t>
  </si>
  <si>
    <t>="""TRUST Nav"",""HSPMTB2016"",""21"",""1"",""122020"""</t>
  </si>
  <si>
    <t>=CONCATENATE(J737,"|",M737,"|",L737)</t>
  </si>
  <si>
    <t>=ABS(NF($D737,"Amount"))</t>
  </si>
  <si>
    <t>="""TRUST Nav"",""HSPMTB2016"",""21"",""1"",""122021"""</t>
  </si>
  <si>
    <t>=CONCATENATE(J738,"|",M738,"|",L738)</t>
  </si>
  <si>
    <t>=ABS(NF($D738,"Amount"))</t>
  </si>
  <si>
    <t>="""TRUST Nav"",""HSPMTB2016"",""21"",""1"",""122022"""</t>
  </si>
  <si>
    <t>=CONCATENATE(J739,"|",M739,"|",L739)</t>
  </si>
  <si>
    <t>=ABS(NF($D739,"Amount"))</t>
  </si>
  <si>
    <t>="""TRUST Nav"",""HSPMTB2016"",""21"",""1"",""122023"""</t>
  </si>
  <si>
    <t>=CONCATENATE(J740,"|",M740,"|",L740)</t>
  </si>
  <si>
    <t>=ABS(NF($D740,"Amount"))</t>
  </si>
  <si>
    <t>="""TRUST Nav"",""HSPMTB2016"",""21"",""1"",""122009"""</t>
  </si>
  <si>
    <t>=CONCATENATE(J741,"|",M741,"|",L741)</t>
  </si>
  <si>
    <t>=ABS(NF($D741,"Amount"))</t>
  </si>
  <si>
    <t>="""TRUST Nav"",""HSPMTB2016"",""21"",""1"",""122010"""</t>
  </si>
  <si>
    <t>=CONCATENATE(J742,"|",M742,"|",L742)</t>
  </si>
  <si>
    <t>=ABS(NF($D742,"Amount"))</t>
  </si>
  <si>
    <t>="""TRUST Nav"",""HSPMTB2016"",""21"",""1"",""122011"""</t>
  </si>
  <si>
    <t>=CONCATENATE(J743,"|",M743,"|",L743)</t>
  </si>
  <si>
    <t>=ABS(NF($D743,"Amount"))</t>
  </si>
  <si>
    <t>="""TRUST Nav"",""HSPMTB2016"",""21"",""1"",""122012"""</t>
  </si>
  <si>
    <t>=CONCATENATE(J744,"|",M744,"|",L744)</t>
  </si>
  <si>
    <t>=ABS(NF($D744,"Amount"))</t>
  </si>
  <si>
    <t>="""TRUST Nav"",""HSPMTB2016"",""21"",""1"",""122028"""</t>
  </si>
  <si>
    <t>=CONCATENATE(J745,"|",M745,"|",L745)</t>
  </si>
  <si>
    <t>=ABS(NF($D745,"Amount"))</t>
  </si>
  <si>
    <t>="""TRUST Nav"",""HSPMTB2016"",""21"",""1"",""122029"""</t>
  </si>
  <si>
    <t>=CONCATENATE(J746,"|",M746,"|",L746)</t>
  </si>
  <si>
    <t>=ABS(NF($D746,"Amount"))</t>
  </si>
  <si>
    <t>="""TRUST Nav"",""HSPMTB2016"",""21"",""1"",""122030"""</t>
  </si>
  <si>
    <t>=CONCATENATE(J747,"|",M747,"|",L747)</t>
  </si>
  <si>
    <t>=ABS(NF($D747,"Amount"))</t>
  </si>
  <si>
    <t>="""TRUST Nav"",""HSPMTB2016"",""21"",""1"",""122031"""</t>
  </si>
  <si>
    <t>=CONCATENATE(J748,"|",M748,"|",L748)</t>
  </si>
  <si>
    <t>=ABS(NF($D748,"Amount"))</t>
  </si>
  <si>
    <t>="""TRUST Nav"",""HSPMTB2016"",""21"",""1"",""122032"""</t>
  </si>
  <si>
    <t>=CONCATENATE(J749,"|",M749,"|",L749)</t>
  </si>
  <si>
    <t>=ABS(NF($D749,"Amount"))</t>
  </si>
  <si>
    <t>="""TRUST Nav"",""HSPMTB2016"",""21"",""1"",""122033"""</t>
  </si>
  <si>
    <t>=CONCATENATE(J750,"|",M750,"|",L750)</t>
  </si>
  <si>
    <t>=ABS(NF($D750,"Amount"))</t>
  </si>
  <si>
    <t>="""TRUST Nav"",""HSPMTB2016"",""21"",""1"",""122034"""</t>
  </si>
  <si>
    <t>=CONCATENATE(J751,"|",M751,"|",L751)</t>
  </si>
  <si>
    <t>=ABS(NF($D751,"Amount"))</t>
  </si>
  <si>
    <t>="""TRUST Nav"",""HSPMTB2016"",""21"",""1"",""122035"""</t>
  </si>
  <si>
    <t>=CONCATENATE(J752,"|",M752,"|",L752)</t>
  </si>
  <si>
    <t>=ABS(NF($D752,"Amount"))</t>
  </si>
  <si>
    <t>="""TRUST Nav"",""HSPMTB2016"",""21"",""1"",""122036"""</t>
  </si>
  <si>
    <t>=CONCATENATE(J753,"|",M753,"|",L753)</t>
  </si>
  <si>
    <t>=ABS(NF($D753,"Amount"))</t>
  </si>
  <si>
    <t>="""TRUST Nav"",""HSPMTB2016"",""21"",""1"",""129703"""</t>
  </si>
  <si>
    <t>=CONCATENATE(J754,"|",M754,"|",L754)</t>
  </si>
  <si>
    <t>=ABS(NF($D754,"Amount"))</t>
  </si>
  <si>
    <t>="""TRUST Nav"",""HSPMTB2016"",""21"",""1"",""129704"""</t>
  </si>
  <si>
    <t>=CONCATENATE(J755,"|",M755,"|",L755)</t>
  </si>
  <si>
    <t>=ABS(NF($D755,"Amount"))</t>
  </si>
  <si>
    <t>="""TRUST Nav"",""HSPMTB2016"",""21"",""1"",""129705"""</t>
  </si>
  <si>
    <t>=CONCATENATE(J756,"|",M756,"|",L756)</t>
  </si>
  <si>
    <t>=ABS(NF($D756,"Amount"))</t>
  </si>
  <si>
    <t>="""TRUST Nav"",""HSPMTB2016"",""21"",""1"",""129706"""</t>
  </si>
  <si>
    <t>=CONCATENATE(J757,"|",M757,"|",L757)</t>
  </si>
  <si>
    <t>=ABS(NF($D757,"Amount"))</t>
  </si>
  <si>
    <t>="""TRUST Nav"",""HSPMTB2016"",""21"",""1"",""129707"""</t>
  </si>
  <si>
    <t>=CONCATENATE(J758,"|",M758,"|",L758)</t>
  </si>
  <si>
    <t>=ABS(NF($D758,"Amount"))</t>
  </si>
  <si>
    <t>="""TRUST Nav"",""HSPMTB2016"",""21"",""1"",""129708"""</t>
  </si>
  <si>
    <t>=CONCATENATE(J759,"|",M759,"|",L759)</t>
  </si>
  <si>
    <t>=ABS(NF($D759,"Amount"))</t>
  </si>
  <si>
    <t>="""TRUST Nav"",""HSPMTB2016"",""21"",""1"",""129709"""</t>
  </si>
  <si>
    <t>=CONCATENATE(J760,"|",M760,"|",L760)</t>
  </si>
  <si>
    <t>=ABS(NF($D760,"Amount"))</t>
  </si>
  <si>
    <t>="""TRUST Nav"",""HSPMTB2016"",""21"",""1"",""129710"""</t>
  </si>
  <si>
    <t>=CONCATENATE(J761,"|",M761,"|",L761)</t>
  </si>
  <si>
    <t>=ABS(NF($D761,"Amount"))</t>
  </si>
  <si>
    <t>="""TRUST Nav"",""HSPMTB2016"",""21"",""1"",""129711"""</t>
  </si>
  <si>
    <t>=CONCATENATE(J762,"|",M762,"|",L762)</t>
  </si>
  <si>
    <t>=ABS(NF($D762,"Amount"))</t>
  </si>
  <si>
    <t>="""TRUST Nav"",""HSPMTB2016"",""21"",""1"",""129712"""</t>
  </si>
  <si>
    <t>=CONCATENATE(J763,"|",M763,"|",L763)</t>
  </si>
  <si>
    <t>=ABS(NF($D763,"Amount"))</t>
  </si>
  <si>
    <t>="""TRUST Nav"",""HSPMTB2016"",""21"",""1"",""129713"""</t>
  </si>
  <si>
    <t>=CONCATENATE(J764,"|",M764,"|",L764)</t>
  </si>
  <si>
    <t>=ABS(NF($D764,"Amount"))</t>
  </si>
  <si>
    <t>="""TRUST Nav"",""HSPMTB2016"",""21"",""1"",""129714"""</t>
  </si>
  <si>
    <t>=CONCATENATE(J765,"|",M765,"|",L765)</t>
  </si>
  <si>
    <t>=ABS(NF($D765,"Amount"))</t>
  </si>
  <si>
    <t>="""TRUST Nav"",""HSPMTB2016"",""21"",""1"",""122043"""</t>
  </si>
  <si>
    <t>=CONCATENATE(J766,"|",M766,"|",L766)</t>
  </si>
  <si>
    <t>=ABS(NF($D766,"Amount"))</t>
  </si>
  <si>
    <t>="""TRUST Nav"",""HSPMTB2016"",""21"",""1"",""122044"""</t>
  </si>
  <si>
    <t>=CONCATENATE(J767,"|",M767,"|",L767)</t>
  </si>
  <si>
    <t>=ABS(NF($D767,"Amount"))</t>
  </si>
  <si>
    <t>="""TRUST Nav"",""HSPMTB2016"",""21"",""1"",""122045"""</t>
  </si>
  <si>
    <t>=CONCATENATE(J768,"|",M768,"|",L768)</t>
  </si>
  <si>
    <t>=ABS(NF($D768,"Amount"))</t>
  </si>
  <si>
    <t>="""TRUST Nav"",""HSPMTB2016"",""21"",""1"",""122046"""</t>
  </si>
  <si>
    <t>=CONCATENATE(J769,"|",M769,"|",L769)</t>
  </si>
  <si>
    <t>=ABS(NF($D769,"Amount"))</t>
  </si>
  <si>
    <t>="""TRUST Nav"",""HSPMTB2016"",""21"",""1"",""122047"""</t>
  </si>
  <si>
    <t>=CONCATENATE(J770,"|",M770,"|",L770)</t>
  </si>
  <si>
    <t>=ABS(NF($D770,"Amount"))</t>
  </si>
  <si>
    <t>="""TRUST Nav"",""HSPMTB2016"",""21"",""1"",""122048"""</t>
  </si>
  <si>
    <t>=CONCATENATE(J771,"|",M771,"|",L771)</t>
  </si>
  <si>
    <t>=ABS(NF($D771,"Amount"))</t>
  </si>
  <si>
    <t>=NF($C14,"Source Type")</t>
  </si>
  <si>
    <t>=NF($C15,"Source Type")</t>
  </si>
  <si>
    <t>=NF($C16,"Source Type")</t>
  </si>
  <si>
    <t>=NF($C17,"Source Type")</t>
  </si>
  <si>
    <t>=NF($C18,"Source Type")</t>
  </si>
  <si>
    <t>=NF($C19,"Source Type")</t>
  </si>
  <si>
    <t>=NF($C20,"Source Type")</t>
  </si>
  <si>
    <t>=NF($C21,"Source Type")</t>
  </si>
  <si>
    <t>=NF($C22,"Source Type")</t>
  </si>
  <si>
    <t>=NF($C23,"Source Type")</t>
  </si>
  <si>
    <t>=NF($C24,"Source Type")</t>
  </si>
  <si>
    <t>=NF($C25,"Source Type")</t>
  </si>
  <si>
    <t>=NF($C26,"Source Type")</t>
  </si>
  <si>
    <t>=NF($C27,"Source Type")</t>
  </si>
  <si>
    <t>=NF($C28,"Source Type")</t>
  </si>
  <si>
    <t>=NF($C29,"Source Type")</t>
  </si>
  <si>
    <t>=NF($C30,"Source Type")</t>
  </si>
  <si>
    <t>=NF($C31,"Source Type")</t>
  </si>
  <si>
    <t>=NF($C32,"Source Type")</t>
  </si>
  <si>
    <t>=NF($C33,"Source Type")</t>
  </si>
  <si>
    <t>=NF($C34,"Source Type")</t>
  </si>
  <si>
    <t>=NF($C35,"Source Type")</t>
  </si>
  <si>
    <t>=NF($C36,"Source Type")</t>
  </si>
  <si>
    <t>=NF($C37,"Source Type")</t>
  </si>
  <si>
    <t>=NF($C38,"Source Type")</t>
  </si>
  <si>
    <t>=NF($C39,"Source Type")</t>
  </si>
  <si>
    <t>=NF($C40,"Source Type")</t>
  </si>
  <si>
    <t>=NF($C41,"Source Type")</t>
  </si>
  <si>
    <t>=NF($C42,"Source Type")</t>
  </si>
  <si>
    <t>=NF($C43,"Source Type")</t>
  </si>
  <si>
    <t>=NF($C44,"Source Type")</t>
  </si>
  <si>
    <t>=NF($C45,"Source Type")</t>
  </si>
  <si>
    <t>=NF($C46,"Source Type")</t>
  </si>
  <si>
    <t>=NF($C47,"Source Type")</t>
  </si>
  <si>
    <t>=NF($C48,"Source Type")</t>
  </si>
  <si>
    <t>=NF($C49,"Source Type")</t>
  </si>
  <si>
    <t>=NF($C50,"Source Type")</t>
  </si>
  <si>
    <t>=NF($C51,"Source Type")</t>
  </si>
  <si>
    <t>=NF($C52,"Source Type")</t>
  </si>
  <si>
    <t>=NF($C53,"Source Type")</t>
  </si>
  <si>
    <t>=NF($C54,"Source Type")</t>
  </si>
  <si>
    <t>=NF($C55,"Source Type")</t>
  </si>
  <si>
    <t>=NF($C56,"Source Type")</t>
  </si>
  <si>
    <t>=NF($C57,"Source Type")</t>
  </si>
  <si>
    <t>=NF($C58,"Source Type")</t>
  </si>
  <si>
    <t>=NF($C59,"Source Type")</t>
  </si>
  <si>
    <t>=NF($C60,"Source Type")</t>
  </si>
  <si>
    <t>=NF($C61,"Source Type")</t>
  </si>
  <si>
    <t>=NF($C62,"Source Type")</t>
  </si>
  <si>
    <t>=NF($C63,"Source Type")</t>
  </si>
  <si>
    <t>=NF($C64,"Source Type")</t>
  </si>
  <si>
    <t>=NF($C65,"Source Type")</t>
  </si>
  <si>
    <t>=NF($C66,"Source Type")</t>
  </si>
  <si>
    <t>=NF($C67,"Source Type")</t>
  </si>
  <si>
    <t>=NF($C68,"Source Type")</t>
  </si>
  <si>
    <t>=NF($C69,"Source Type")</t>
  </si>
  <si>
    <t>=NF($C70,"Source Type")</t>
  </si>
  <si>
    <t>=NF($C71,"Source Type")</t>
  </si>
  <si>
    <t>=NF($C72,"Source Type")</t>
  </si>
  <si>
    <t>=NF($C73,"Source Type")</t>
  </si>
  <si>
    <t>=NF($C74,"Source Type")</t>
  </si>
  <si>
    <t>=NF($C75,"Source Type")</t>
  </si>
  <si>
    <t>=NF($C76,"Source Type")</t>
  </si>
  <si>
    <t>=NF($C77,"Source Type")</t>
  </si>
  <si>
    <t>=NF($C78,"Source Type")</t>
  </si>
  <si>
    <t>=NF($C79,"Source Type")</t>
  </si>
  <si>
    <t>=NF($C80,"Source Type")</t>
  </si>
  <si>
    <t>=NF($C81,"Source Type")</t>
  </si>
  <si>
    <t>=NF($C82,"Source Type")</t>
  </si>
  <si>
    <t>=NF($C83,"Source Type")</t>
  </si>
  <si>
    <t>=NF($C84,"Source Type")</t>
  </si>
  <si>
    <t>=NF($C85,"Source Type")</t>
  </si>
  <si>
    <t>=NF($C86,"Source Type")</t>
  </si>
  <si>
    <t>=NF($C87,"Source Type")</t>
  </si>
  <si>
    <t>=NF($C88,"Source Type")</t>
  </si>
  <si>
    <t>=NF($C89,"Source Type")</t>
  </si>
  <si>
    <t>=NF($C90,"Source Type")</t>
  </si>
  <si>
    <t>=NF($C91,"Source Type")</t>
  </si>
  <si>
    <t>=NF($C92,"Source Type")</t>
  </si>
  <si>
    <t>=NF($C93,"Source Type")</t>
  </si>
  <si>
    <t>=NF($C94,"Source Type")</t>
  </si>
  <si>
    <t>=NF($C95,"Source Type")</t>
  </si>
  <si>
    <t>=NF($C96,"Source Type")</t>
  </si>
  <si>
    <t>=NF($C97,"Source Type")</t>
  </si>
  <si>
    <t>=NF($C98,"Source Type")</t>
  </si>
  <si>
    <t>=NF($C99,"Source Type")</t>
  </si>
  <si>
    <t>=NF($C100,"Source Type")</t>
  </si>
  <si>
    <t>=NF($C101,"Source Type")</t>
  </si>
  <si>
    <t>=NF($C102,"Source Type")</t>
  </si>
  <si>
    <t>=NF($C103,"Source Type")</t>
  </si>
  <si>
    <t>=NF($C104,"Source Type")</t>
  </si>
  <si>
    <t>=NF($C105,"Source Type")</t>
  </si>
  <si>
    <t>=NF($C106,"Source Type")</t>
  </si>
  <si>
    <t>=NF($C107,"Source Type")</t>
  </si>
  <si>
    <t>=NF($C108,"Source Type")</t>
  </si>
  <si>
    <t>=NF($C109,"Source Type")</t>
  </si>
  <si>
    <t>=NF($C110,"Source Type")</t>
  </si>
  <si>
    <t>=NF($C111,"Source Type")</t>
  </si>
  <si>
    <t>=NF($C112,"Source Type")</t>
  </si>
  <si>
    <t>=NF($C113,"Source Type")</t>
  </si>
  <si>
    <t>=NF($C114,"Source Type")</t>
  </si>
  <si>
    <t>=NF($C115,"Source Type")</t>
  </si>
  <si>
    <t>=NF($C116,"Source Type")</t>
  </si>
  <si>
    <t>=NF($C117,"Source Type")</t>
  </si>
  <si>
    <t>=NF($C118,"Source Type")</t>
  </si>
  <si>
    <t>=NF($C119,"Source Type")</t>
  </si>
  <si>
    <t>=NF($C120,"Source Type")</t>
  </si>
  <si>
    <t>=NF($C121,"Source Type")</t>
  </si>
  <si>
    <t>=NF($C122,"Source Type")</t>
  </si>
  <si>
    <t>=NF($C123,"Source Type")</t>
  </si>
  <si>
    <t>=NF($C124,"Source Type")</t>
  </si>
  <si>
    <t>=NF($C125,"Source Type")</t>
  </si>
  <si>
    <t>=NF($C126,"Source Type")</t>
  </si>
  <si>
    <t>=NF($C127,"Source Type")</t>
  </si>
  <si>
    <t>=NF($C128,"Source Type")</t>
  </si>
  <si>
    <t>=NF($C129,"Source Type")</t>
  </si>
  <si>
    <t>=NF($C130,"Source Type")</t>
  </si>
  <si>
    <t>=NF($C131,"Source Type")</t>
  </si>
  <si>
    <t>=NF($C132,"Source Type")</t>
  </si>
  <si>
    <t>=NF($C133,"Source Type")</t>
  </si>
  <si>
    <t>=NF($C134,"Source Type")</t>
  </si>
  <si>
    <t>=NF($C135,"Source Type")</t>
  </si>
  <si>
    <t>=NF($C136,"Source Type")</t>
  </si>
  <si>
    <t>=NF($C137,"Source Type")</t>
  </si>
  <si>
    <t>=NF($C138,"Source Type")</t>
  </si>
  <si>
    <t>=NF($C139,"Source Type")</t>
  </si>
  <si>
    <t>=NF($C140,"Source Type")</t>
  </si>
  <si>
    <t>=NF($C141,"Source Type")</t>
  </si>
  <si>
    <t>=NF($C142,"Source Type")</t>
  </si>
  <si>
    <t>=NF($C143,"Source Type")</t>
  </si>
  <si>
    <t>=NF($C144,"Source Type")</t>
  </si>
  <si>
    <t>=NF($C145,"Source Type")</t>
  </si>
  <si>
    <t>=NF($C146,"Source Type")</t>
  </si>
  <si>
    <t>=NF($C147,"Source Type")</t>
  </si>
  <si>
    <t>=NF($C148,"Source Type")</t>
  </si>
  <si>
    <t>=NF($C149,"Source Type")</t>
  </si>
  <si>
    <t>=NF($C150,"Source Type")</t>
  </si>
  <si>
    <t>=NF($C151,"Source Type")</t>
  </si>
  <si>
    <t>=NF($C152,"Source Type")</t>
  </si>
  <si>
    <t>=NF($C153,"Source Type")</t>
  </si>
  <si>
    <t>=NF($C154,"Source Type")</t>
  </si>
  <si>
    <t>=NF($C155,"Source Type")</t>
  </si>
  <si>
    <t>=NF($C156,"Source Type")</t>
  </si>
  <si>
    <t>=NF($C157,"Source Type")</t>
  </si>
  <si>
    <t>=NF($C158,"Source Type")</t>
  </si>
  <si>
    <t>=NF($C159,"Source Type")</t>
  </si>
  <si>
    <t>=NF($C160,"Source Type")</t>
  </si>
  <si>
    <t>=NF($C161,"Source Type")</t>
  </si>
  <si>
    <t>=NF($C162,"Source Type")</t>
  </si>
  <si>
    <t>=NF($C163,"Source Type")</t>
  </si>
  <si>
    <t>=NF($C164,"Source Type")</t>
  </si>
  <si>
    <t>=NF($C165,"Source Type")</t>
  </si>
  <si>
    <t>=NF($C166,"Source Type")</t>
  </si>
  <si>
    <t>=NF($C167,"Source Type")</t>
  </si>
  <si>
    <t>=NF($C168,"Source Type")</t>
  </si>
  <si>
    <t>=NF($C169,"Source Type")</t>
  </si>
  <si>
    <t>=NF($C170,"Source Type")</t>
  </si>
  <si>
    <t>=NF($C171,"Source Type")</t>
  </si>
  <si>
    <t>=NF($C172,"Source Type")</t>
  </si>
  <si>
    <t>=NF($C173,"Source Type")</t>
  </si>
  <si>
    <t>=NF($C174,"Source Type")</t>
  </si>
  <si>
    <t>=NF($C175,"Source Type")</t>
  </si>
  <si>
    <t>=NF($C176,"Source Type")</t>
  </si>
  <si>
    <t>=NF($C177,"Source Type")</t>
  </si>
  <si>
    <t>=NF($C178,"Source Type")</t>
  </si>
  <si>
    <t>=NF($C179,"Source Type")</t>
  </si>
  <si>
    <t>=NF($C180,"Source Type")</t>
  </si>
  <si>
    <t>=NF($C181,"Source Type")</t>
  </si>
  <si>
    <t>=NF($C182,"Source Type")</t>
  </si>
  <si>
    <t>=NF($C183,"Source Type")</t>
  </si>
  <si>
    <t>=NF($C184,"Source Type")</t>
  </si>
  <si>
    <t>=NF($C185,"Source Type")</t>
  </si>
  <si>
    <t>=NF($C186,"Source Type")</t>
  </si>
  <si>
    <t>=NF($C187,"Source Type")</t>
  </si>
  <si>
    <t>=NF($C188,"Source Type")</t>
  </si>
  <si>
    <t>=NF($C189,"Source Type")</t>
  </si>
  <si>
    <t>=NF($C190,"Source Type")</t>
  </si>
  <si>
    <t>=NF($C191,"Source Type")</t>
  </si>
  <si>
    <t>=NF($C192,"Source Type")</t>
  </si>
  <si>
    <t>=NF($C193,"Source Type")</t>
  </si>
  <si>
    <t>=NF($C194,"Source Type")</t>
  </si>
  <si>
    <t>=NF($C195,"Source Type")</t>
  </si>
  <si>
    <t>=NF($C196,"Source Type")</t>
  </si>
  <si>
    <t>=NF($C197,"Source Type")</t>
  </si>
  <si>
    <t>=NF($C198,"Source Type")</t>
  </si>
  <si>
    <t>=NF($C199,"Source Type")</t>
  </si>
  <si>
    <t>=NF($C200,"Source Type")</t>
  </si>
  <si>
    <t>=NF($C201,"Source Type")</t>
  </si>
  <si>
    <t>=NF($C202,"Source Type")</t>
  </si>
  <si>
    <t>=NF($C203,"Source Type")</t>
  </si>
  <si>
    <t>=NF($C204,"Source Type")</t>
  </si>
  <si>
    <t>=NF($C205,"Source Type")</t>
  </si>
  <si>
    <t>=NF($C206,"Source Type")</t>
  </si>
  <si>
    <t>=NF($C207,"Source Type")</t>
  </si>
  <si>
    <t>=NF($C208,"Source Type")</t>
  </si>
  <si>
    <t>=NF($C209,"Source Type")</t>
  </si>
  <si>
    <t>=NF($C210,"Source Type")</t>
  </si>
  <si>
    <t>=NF($C211,"Source Type")</t>
  </si>
  <si>
    <t>=NF($C212,"Source Type")</t>
  </si>
  <si>
    <t>=NF($C213,"Source Type")</t>
  </si>
  <si>
    <t>=NF($C214,"Source Type")</t>
  </si>
  <si>
    <t>=NF($C215,"Source Type")</t>
  </si>
  <si>
    <t>=NF($C216,"Source Type")</t>
  </si>
  <si>
    <t>=NF($C217,"Source Type")</t>
  </si>
  <si>
    <t>=NF($C218,"Source Type")</t>
  </si>
  <si>
    <t>=NF($C219,"Source Type")</t>
  </si>
  <si>
    <t>=NF($C220,"Source Type")</t>
  </si>
  <si>
    <t>=NF($C221,"Source Type")</t>
  </si>
  <si>
    <t>=NF($C222,"Source Type")</t>
  </si>
  <si>
    <t>=NF($C223,"Source Type")</t>
  </si>
  <si>
    <t>=NF($C224,"Source Type")</t>
  </si>
  <si>
    <t>=NF($C225,"Source Type")</t>
  </si>
  <si>
    <t>=NF($C226,"Source Type")</t>
  </si>
  <si>
    <t>=NF($C227,"Source Type")</t>
  </si>
  <si>
    <t>=NF($C228,"Source Type")</t>
  </si>
  <si>
    <t>=NF($C229,"Source Type")</t>
  </si>
  <si>
    <t>=NF($C230,"Source Type")</t>
  </si>
  <si>
    <t>=NF($C231,"Source Type")</t>
  </si>
  <si>
    <t>=NF($C232,"Source Type")</t>
  </si>
  <si>
    <t>=NF($C233,"Source Type")</t>
  </si>
  <si>
    <t>=NF($C234,"Source Type")</t>
  </si>
  <si>
    <t>=NF($C235,"Source Type")</t>
  </si>
  <si>
    <t>=NF($C236,"Source Type")</t>
  </si>
  <si>
    <t>=NF($C237,"Source Type")</t>
  </si>
  <si>
    <t>=NF($C238,"Source Type")</t>
  </si>
  <si>
    <t>=NF($C239,"Source Type")</t>
  </si>
  <si>
    <t>=NF($C240,"Source Type")</t>
  </si>
  <si>
    <t>=NF($C241,"Source Type")</t>
  </si>
  <si>
    <t>=NF($C242,"Source Type")</t>
  </si>
  <si>
    <t>=NF($C243,"Source Type")</t>
  </si>
  <si>
    <t>=NF($C244,"Source Type")</t>
  </si>
  <si>
    <t>=NF($C245,"Source Type")</t>
  </si>
  <si>
    <t>=NF($C246,"Source Type")</t>
  </si>
  <si>
    <t>=NF($C247,"Source Type")</t>
  </si>
  <si>
    <t>=NF($C248,"Source Type")</t>
  </si>
  <si>
    <t>=NF($C249,"Source Type")</t>
  </si>
  <si>
    <t>=NF($C250,"Source Type")</t>
  </si>
  <si>
    <t>=NF($C251,"Source Type")</t>
  </si>
  <si>
    <t>=NF($C252,"Source Type")</t>
  </si>
  <si>
    <t>=NF($C253,"Source Type")</t>
  </si>
  <si>
    <t>=NF($C254,"Source Type")</t>
  </si>
  <si>
    <t>=NF($C255,"Source Type")</t>
  </si>
  <si>
    <t>=NF($C256,"Source Type")</t>
  </si>
  <si>
    <t>=NF($C257,"Source Type")</t>
  </si>
  <si>
    <t>=NF($C258,"Source Type")</t>
  </si>
  <si>
    <t>=NF($C259,"Source Type")</t>
  </si>
  <si>
    <t>=NF($C260,"Source Type")</t>
  </si>
  <si>
    <t>=NF($C261,"Source Type")</t>
  </si>
  <si>
    <t>=NF($C262,"Source Type")</t>
  </si>
  <si>
    <t>=NF($C263,"Source Type")</t>
  </si>
  <si>
    <t>=NF($C264,"Source Type")</t>
  </si>
  <si>
    <t>=NF($C265,"Source Type")</t>
  </si>
  <si>
    <t>=NF($C266,"Source Type")</t>
  </si>
  <si>
    <t>=NF($C267,"Source Type")</t>
  </si>
  <si>
    <t>=NF($C268,"Source Type")</t>
  </si>
  <si>
    <t>=NF($C269,"Source Type")</t>
  </si>
  <si>
    <t>=NF($C270,"Source Type")</t>
  </si>
  <si>
    <t>=NF($C271,"Source Type")</t>
  </si>
  <si>
    <t>=NF($C272,"Source Type")</t>
  </si>
  <si>
    <t>=NF($C273,"Source Type")</t>
  </si>
  <si>
    <t>=NF($C274,"Source Type")</t>
  </si>
  <si>
    <t>=NF($C275,"Source Type")</t>
  </si>
  <si>
    <t>=NF($C276,"Source Type")</t>
  </si>
  <si>
    <t>=NF($C277,"Source Type")</t>
  </si>
  <si>
    <t>=NF($C278,"Source Type")</t>
  </si>
  <si>
    <t>=NF($C279,"Source Type")</t>
  </si>
  <si>
    <t>=NF($C280,"Source Type")</t>
  </si>
  <si>
    <t>=NF($C281,"Source Type")</t>
  </si>
  <si>
    <t>=NF($C282,"Source Type")</t>
  </si>
  <si>
    <t>=NF($C283,"Source Type")</t>
  </si>
  <si>
    <t>=NF($C284,"Source Type")</t>
  </si>
  <si>
    <t>=NF($C285,"Source Type")</t>
  </si>
  <si>
    <t>=NF($C286,"Source Type")</t>
  </si>
  <si>
    <t>=NF($C287,"Source Type")</t>
  </si>
  <si>
    <t>=NF($C288,"Source Type")</t>
  </si>
  <si>
    <t>=NF($C289,"Source Type")</t>
  </si>
  <si>
    <t>=NF($C290,"Source Type")</t>
  </si>
  <si>
    <t>=NF($C291,"Source Type")</t>
  </si>
  <si>
    <t>=NF($C292,"Source Type")</t>
  </si>
  <si>
    <t>=NF($C293,"Source Type")</t>
  </si>
  <si>
    <t>=NF($C294,"Source Type")</t>
  </si>
  <si>
    <t>=NF($C295,"Source Type")</t>
  </si>
  <si>
    <t>=NF($C296,"Source Type")</t>
  </si>
  <si>
    <t>=NF($C297,"Source Type")</t>
  </si>
  <si>
    <t>=NF($C298,"Source Type")</t>
  </si>
  <si>
    <t>=NF($C299,"Source Type")</t>
  </si>
  <si>
    <t>=NF($C300,"Source Type")</t>
  </si>
  <si>
    <t>=NF($C301,"Source Type")</t>
  </si>
  <si>
    <t>=NF($C302,"Source Type")</t>
  </si>
  <si>
    <t>=NF($C303,"Source Type")</t>
  </si>
  <si>
    <t>=NF($C304,"Source Type")</t>
  </si>
  <si>
    <t>=NF($C305,"Source Type")</t>
  </si>
  <si>
    <t>=NF($C306,"Source Type")</t>
  </si>
  <si>
    <t>=NF($C307,"Source Type")</t>
  </si>
  <si>
    <t>=NF($C308,"Source Type")</t>
  </si>
  <si>
    <t>=NF($C309,"Source Type")</t>
  </si>
  <si>
    <t>=NF($C310,"Source Type")</t>
  </si>
  <si>
    <t>=NF($C311,"Source Type")</t>
  </si>
  <si>
    <t>=NF($C312,"Source Type")</t>
  </si>
  <si>
    <t>=NF($C313,"Source Type")</t>
  </si>
  <si>
    <t>=NF($C314,"Source Type")</t>
  </si>
  <si>
    <t>=NF($C315,"Source Type")</t>
  </si>
  <si>
    <t>=NF($C316,"Source Type")</t>
  </si>
  <si>
    <t>=NF($C317,"Source Type")</t>
  </si>
  <si>
    <t>=NF($C318,"Source Type")</t>
  </si>
  <si>
    <t>=NF($C319,"Source Type")</t>
  </si>
  <si>
    <t>=NF($C320,"Source Type")</t>
  </si>
  <si>
    <t>=NF($C321,"Source Type")</t>
  </si>
  <si>
    <t>=NF($C322,"Source Type")</t>
  </si>
  <si>
    <t>=NF($C323,"Source Type")</t>
  </si>
  <si>
    <t>=NF($C14,"Posting Date")</t>
  </si>
  <si>
    <t>=NF($C15,"Posting Date")</t>
  </si>
  <si>
    <t>=NF($C16,"Posting Date")</t>
  </si>
  <si>
    <t>=NF($C17,"Posting Date")</t>
  </si>
  <si>
    <t>=NF($C18,"Posting Date")</t>
  </si>
  <si>
    <t>=NF($C19,"Posting Date")</t>
  </si>
  <si>
    <t>=NF($C20,"Posting Date")</t>
  </si>
  <si>
    <t>=NF($C21,"Posting Date")</t>
  </si>
  <si>
    <t>=NF($C22,"Posting Date")</t>
  </si>
  <si>
    <t>=NF($C23,"Posting Date")</t>
  </si>
  <si>
    <t>=NF($C24,"Posting Date")</t>
  </si>
  <si>
    <t>=NF($C25,"Posting Date")</t>
  </si>
  <si>
    <t>=NF($C26,"Posting Date")</t>
  </si>
  <si>
    <t>=NF($C27,"Posting Date")</t>
  </si>
  <si>
    <t>=NF($C28,"Posting Date")</t>
  </si>
  <si>
    <t>=NF($C29,"Posting Date")</t>
  </si>
  <si>
    <t>=NF($C30,"Posting Date")</t>
  </si>
  <si>
    <t>=NF($C31,"Posting Date")</t>
  </si>
  <si>
    <t>=NF($C32,"Posting Date")</t>
  </si>
  <si>
    <t>=NF($C33,"Posting Date")</t>
  </si>
  <si>
    <t>=NF($C34,"Posting Date")</t>
  </si>
  <si>
    <t>=NF($C35,"Posting Date")</t>
  </si>
  <si>
    <t>=NF($C36,"Posting Date")</t>
  </si>
  <si>
    <t>=NF($C37,"Posting Date")</t>
  </si>
  <si>
    <t>=NF($C38,"Posting Date")</t>
  </si>
  <si>
    <t>=NF($C39,"Posting Date")</t>
  </si>
  <si>
    <t>=NF($C40,"Posting Date")</t>
  </si>
  <si>
    <t>=NF($C41,"Posting Date")</t>
  </si>
  <si>
    <t>=NF($C42,"Posting Date")</t>
  </si>
  <si>
    <t>=NF($C43,"Posting Date")</t>
  </si>
  <si>
    <t>=NF($C44,"Posting Date")</t>
  </si>
  <si>
    <t>=NF($C45,"Posting Date")</t>
  </si>
  <si>
    <t>=NF($C46,"Posting Date")</t>
  </si>
  <si>
    <t>=NF($C47,"Posting Date")</t>
  </si>
  <si>
    <t>=NF($C48,"Posting Date")</t>
  </si>
  <si>
    <t>=NF($C49,"Posting Date")</t>
  </si>
  <si>
    <t>=NF($C50,"Posting Date")</t>
  </si>
  <si>
    <t>=NF($C51,"Posting Date")</t>
  </si>
  <si>
    <t>=NF($C52,"Posting Date")</t>
  </si>
  <si>
    <t>=NF($C53,"Posting Date")</t>
  </si>
  <si>
    <t>=NF($C54,"Posting Date")</t>
  </si>
  <si>
    <t>=NF($C55,"Posting Date")</t>
  </si>
  <si>
    <t>=NF($C56,"Posting Date")</t>
  </si>
  <si>
    <t>=NF($C57,"Posting Date")</t>
  </si>
  <si>
    <t>=NF($C58,"Posting Date")</t>
  </si>
  <si>
    <t>=NF($C59,"Posting Date")</t>
  </si>
  <si>
    <t>=NF($C60,"Posting Date")</t>
  </si>
  <si>
    <t>=NF($C61,"Posting Date")</t>
  </si>
  <si>
    <t>=NF($C62,"Posting Date")</t>
  </si>
  <si>
    <t>=NF($C63,"Posting Date")</t>
  </si>
  <si>
    <t>=NF($C64,"Posting Date")</t>
  </si>
  <si>
    <t>=NF($C65,"Posting Date")</t>
  </si>
  <si>
    <t>=NF($C66,"Posting Date")</t>
  </si>
  <si>
    <t>=NF($C67,"Posting Date")</t>
  </si>
  <si>
    <t>=NF($C68,"Posting Date")</t>
  </si>
  <si>
    <t>=NF($C69,"Posting Date")</t>
  </si>
  <si>
    <t>=NF($C70,"Posting Date")</t>
  </si>
  <si>
    <t>=NF($C71,"Posting Date")</t>
  </si>
  <si>
    <t>=NF($C72,"Posting Date")</t>
  </si>
  <si>
    <t>=NF($C73,"Posting Date")</t>
  </si>
  <si>
    <t>=NF($C74,"Posting Date")</t>
  </si>
  <si>
    <t>=NF($C75,"Posting Date")</t>
  </si>
  <si>
    <t>=NF($C76,"Posting Date")</t>
  </si>
  <si>
    <t>=NF($C77,"Posting Date")</t>
  </si>
  <si>
    <t>=NF($C78,"Posting Date")</t>
  </si>
  <si>
    <t>=NF($C79,"Posting Date")</t>
  </si>
  <si>
    <t>=NF($C80,"Posting Date")</t>
  </si>
  <si>
    <t>=NF($C81,"Posting Date")</t>
  </si>
  <si>
    <t>=NF($C82,"Posting Date")</t>
  </si>
  <si>
    <t>=NF($C83,"Posting Date")</t>
  </si>
  <si>
    <t>=NF($C84,"Posting Date")</t>
  </si>
  <si>
    <t>=NF($C85,"Posting Date")</t>
  </si>
  <si>
    <t>=NF($C86,"Posting Date")</t>
  </si>
  <si>
    <t>=NF($C87,"Posting Date")</t>
  </si>
  <si>
    <t>=NF($C88,"Posting Date")</t>
  </si>
  <si>
    <t>=NF($C89,"Posting Date")</t>
  </si>
  <si>
    <t>=NF($C90,"Posting Date")</t>
  </si>
  <si>
    <t>=NF($C91,"Posting Date")</t>
  </si>
  <si>
    <t>=NF($C92,"Posting Date")</t>
  </si>
  <si>
    <t>=NF($C93,"Posting Date")</t>
  </si>
  <si>
    <t>=NF($C94,"Posting Date")</t>
  </si>
  <si>
    <t>=NF($C95,"Posting Date")</t>
  </si>
  <si>
    <t>=NF($C96,"Posting Date")</t>
  </si>
  <si>
    <t>=NF($C97,"Posting Date")</t>
  </si>
  <si>
    <t>=NF($C98,"Posting Date")</t>
  </si>
  <si>
    <t>=NF($C99,"Posting Date")</t>
  </si>
  <si>
    <t>=NF($C100,"Posting Date")</t>
  </si>
  <si>
    <t>=NF($C101,"Posting Date")</t>
  </si>
  <si>
    <t>=NF($C102,"Posting Date")</t>
  </si>
  <si>
    <t>=NF($C103,"Posting Date")</t>
  </si>
  <si>
    <t>=NF($C104,"Posting Date")</t>
  </si>
  <si>
    <t>=NF($C105,"Posting Date")</t>
  </si>
  <si>
    <t>=NF($C106,"Posting Date")</t>
  </si>
  <si>
    <t>=NF($C107,"Posting Date")</t>
  </si>
  <si>
    <t>=NF($C108,"Posting Date")</t>
  </si>
  <si>
    <t>=NF($C109,"Posting Date")</t>
  </si>
  <si>
    <t>=NF($C110,"Posting Date")</t>
  </si>
  <si>
    <t>=NF($C111,"Posting Date")</t>
  </si>
  <si>
    <t>=NF($C112,"Posting Date")</t>
  </si>
  <si>
    <t>=NF($C113,"Posting Date")</t>
  </si>
  <si>
    <t>=NF($C114,"Posting Date")</t>
  </si>
  <si>
    <t>=NF($C115,"Posting Date")</t>
  </si>
  <si>
    <t>=NF($C116,"Posting Date")</t>
  </si>
  <si>
    <t>=NF($C117,"Posting Date")</t>
  </si>
  <si>
    <t>=NF($C118,"Posting Date")</t>
  </si>
  <si>
    <t>=NF($C119,"Posting Date")</t>
  </si>
  <si>
    <t>=NF($C120,"Posting Date")</t>
  </si>
  <si>
    <t>=NF($C121,"Posting Date")</t>
  </si>
  <si>
    <t>=NF($C122,"Posting Date")</t>
  </si>
  <si>
    <t>=NF($C123,"Posting Date")</t>
  </si>
  <si>
    <t>=NF($C124,"Posting Date")</t>
  </si>
  <si>
    <t>=NF($C125,"Posting Date")</t>
  </si>
  <si>
    <t>=NF($C126,"Posting Date")</t>
  </si>
  <si>
    <t>=NF($C127,"Posting Date")</t>
  </si>
  <si>
    <t>=NF($C128,"Posting Date")</t>
  </si>
  <si>
    <t>=NF($C129,"Posting Date")</t>
  </si>
  <si>
    <t>=NF($C130,"Posting Date")</t>
  </si>
  <si>
    <t>=NF($C131,"Posting Date")</t>
  </si>
  <si>
    <t>=NF($C132,"Posting Date")</t>
  </si>
  <si>
    <t>=NF($C133,"Posting Date")</t>
  </si>
  <si>
    <t>=NF($C134,"Posting Date")</t>
  </si>
  <si>
    <t>=NF($C135,"Posting Date")</t>
  </si>
  <si>
    <t>=NF($C136,"Posting Date")</t>
  </si>
  <si>
    <t>=NF($C137,"Posting Date")</t>
  </si>
  <si>
    <t>=NF($C138,"Posting Date")</t>
  </si>
  <si>
    <t>=NF($C139,"Posting Date")</t>
  </si>
  <si>
    <t>=NF($C140,"Posting Date")</t>
  </si>
  <si>
    <t>=NF($C141,"Posting Date")</t>
  </si>
  <si>
    <t>=NF($C142,"Posting Date")</t>
  </si>
  <si>
    <t>=NF($C143,"Posting Date")</t>
  </si>
  <si>
    <t>=NF($C144,"Posting Date")</t>
  </si>
  <si>
    <t>=NF($C145,"Posting Date")</t>
  </si>
  <si>
    <t>=NF($C146,"Posting Date")</t>
  </si>
  <si>
    <t>=NF($C147,"Posting Date")</t>
  </si>
  <si>
    <t>=NF($C148,"Posting Date")</t>
  </si>
  <si>
    <t>=NF($C149,"Posting Date")</t>
  </si>
  <si>
    <t>=NF($C150,"Posting Date")</t>
  </si>
  <si>
    <t>=NF($C151,"Posting Date")</t>
  </si>
  <si>
    <t>=NF($C152,"Posting Date")</t>
  </si>
  <si>
    <t>=NF($C153,"Posting Date")</t>
  </si>
  <si>
    <t>=NF($C154,"Posting Date")</t>
  </si>
  <si>
    <t>=NF($C155,"Posting Date")</t>
  </si>
  <si>
    <t>=NF($C156,"Posting Date")</t>
  </si>
  <si>
    <t>=NF($C157,"Posting Date")</t>
  </si>
  <si>
    <t>=NF($C158,"Posting Date")</t>
  </si>
  <si>
    <t>=NF($C159,"Posting Date")</t>
  </si>
  <si>
    <t>=NF($C160,"Posting Date")</t>
  </si>
  <si>
    <t>=NF($C161,"Posting Date")</t>
  </si>
  <si>
    <t>=NF($C162,"Posting Date")</t>
  </si>
  <si>
    <t>=NF($C163,"Posting Date")</t>
  </si>
  <si>
    <t>=NF($C164,"Posting Date")</t>
  </si>
  <si>
    <t>=NF($C165,"Posting Date")</t>
  </si>
  <si>
    <t>=NF($C166,"Posting Date")</t>
  </si>
  <si>
    <t>=NF($C167,"Posting Date")</t>
  </si>
  <si>
    <t>=NF($C168,"Posting Date")</t>
  </si>
  <si>
    <t>=NF($C169,"Posting Date")</t>
  </si>
  <si>
    <t>=NF($C170,"Posting Date")</t>
  </si>
  <si>
    <t>=NF($C171,"Posting Date")</t>
  </si>
  <si>
    <t>=NF($C172,"Posting Date")</t>
  </si>
  <si>
    <t>=NF($C173,"Posting Date")</t>
  </si>
  <si>
    <t>=NF($C174,"Posting Date")</t>
  </si>
  <si>
    <t>=NF($C175,"Posting Date")</t>
  </si>
  <si>
    <t>=NF($C176,"Posting Date")</t>
  </si>
  <si>
    <t>=NF($C177,"Posting Date")</t>
  </si>
  <si>
    <t>=NF($C178,"Posting Date")</t>
  </si>
  <si>
    <t>=NF($C179,"Posting Date")</t>
  </si>
  <si>
    <t>=NF($C180,"Posting Date")</t>
  </si>
  <si>
    <t>=NF($C181,"Posting Date")</t>
  </si>
  <si>
    <t>=NF($C182,"Posting Date")</t>
  </si>
  <si>
    <t>=NF($C183,"Posting Date")</t>
  </si>
  <si>
    <t>=NF($C184,"Posting Date")</t>
  </si>
  <si>
    <t>=NF($C185,"Posting Date")</t>
  </si>
  <si>
    <t>=NF($C186,"Posting Date")</t>
  </si>
  <si>
    <t>=NF($C187,"Posting Date")</t>
  </si>
  <si>
    <t>=NF($C188,"Posting Date")</t>
  </si>
  <si>
    <t>=NF($C189,"Posting Date")</t>
  </si>
  <si>
    <t>=NF($C190,"Posting Date")</t>
  </si>
  <si>
    <t>=NF($C191,"Posting Date")</t>
  </si>
  <si>
    <t>=NF($C192,"Posting Date")</t>
  </si>
  <si>
    <t>=NF($C193,"Posting Date")</t>
  </si>
  <si>
    <t>=NF($C194,"Posting Date")</t>
  </si>
  <si>
    <t>=NF($C195,"Posting Date")</t>
  </si>
  <si>
    <t>=NF($C196,"Posting Date")</t>
  </si>
  <si>
    <t>=NF($C197,"Posting Date")</t>
  </si>
  <si>
    <t>=NF($C198,"Posting Date")</t>
  </si>
  <si>
    <t>=NF($C199,"Posting Date")</t>
  </si>
  <si>
    <t>=NF($C200,"Posting Date")</t>
  </si>
  <si>
    <t>=NF($C201,"Posting Date")</t>
  </si>
  <si>
    <t>=NF($C202,"Posting Date")</t>
  </si>
  <si>
    <t>=NF($C203,"Posting Date")</t>
  </si>
  <si>
    <t>=NF($C204,"Posting Date")</t>
  </si>
  <si>
    <t>=NF($C205,"Posting Date")</t>
  </si>
  <si>
    <t>=NF($C206,"Posting Date")</t>
  </si>
  <si>
    <t>=NF($C207,"Posting Date")</t>
  </si>
  <si>
    <t>=NF($C208,"Posting Date")</t>
  </si>
  <si>
    <t>=NF($C209,"Posting Date")</t>
  </si>
  <si>
    <t>=NF($C210,"Posting Date")</t>
  </si>
  <si>
    <t>=NF($C211,"Posting Date")</t>
  </si>
  <si>
    <t>=NF($C212,"Posting Date")</t>
  </si>
  <si>
    <t>=NF($C213,"Posting Date")</t>
  </si>
  <si>
    <t>=NF($C214,"Posting Date")</t>
  </si>
  <si>
    <t>=NF($C215,"Posting Date")</t>
  </si>
  <si>
    <t>=NF($C216,"Posting Date")</t>
  </si>
  <si>
    <t>=NF($C217,"Posting Date")</t>
  </si>
  <si>
    <t>=NF($C218,"Posting Date")</t>
  </si>
  <si>
    <t>=NF($C219,"Posting Date")</t>
  </si>
  <si>
    <t>=NF($C220,"Posting Date")</t>
  </si>
  <si>
    <t>=NF($C221,"Posting Date")</t>
  </si>
  <si>
    <t>=NF($C222,"Posting Date")</t>
  </si>
  <si>
    <t>=NF($C223,"Posting Date")</t>
  </si>
  <si>
    <t>=NF($C224,"Posting Date")</t>
  </si>
  <si>
    <t>=NF($C225,"Posting Date")</t>
  </si>
  <si>
    <t>=NF($C226,"Posting Date")</t>
  </si>
  <si>
    <t>=NF($C227,"Posting Date")</t>
  </si>
  <si>
    <t>=NF($C228,"Posting Date")</t>
  </si>
  <si>
    <t>=NF($C229,"Posting Date")</t>
  </si>
  <si>
    <t>=NF($C230,"Posting Date")</t>
  </si>
  <si>
    <t>=NF($C231,"Posting Date")</t>
  </si>
  <si>
    <t>=NF($C232,"Posting Date")</t>
  </si>
  <si>
    <t>=NF($C233,"Posting Date")</t>
  </si>
  <si>
    <t>=NF($C234,"Posting Date")</t>
  </si>
  <si>
    <t>=NF($C235,"Posting Date")</t>
  </si>
  <si>
    <t>=NF($C236,"Posting Date")</t>
  </si>
  <si>
    <t>=NF($C237,"Posting Date")</t>
  </si>
  <si>
    <t>=NF($C238,"Posting Date")</t>
  </si>
  <si>
    <t>=NF($C239,"Posting Date")</t>
  </si>
  <si>
    <t>=NF($C240,"Posting Date")</t>
  </si>
  <si>
    <t>=NF($C241,"Posting Date")</t>
  </si>
  <si>
    <t>=NF($C242,"Posting Date")</t>
  </si>
  <si>
    <t>=NF($C243,"Posting Date")</t>
  </si>
  <si>
    <t>=NF($C244,"Posting Date")</t>
  </si>
  <si>
    <t>=NF($C245,"Posting Date")</t>
  </si>
  <si>
    <t>=NF($C246,"Posting Date")</t>
  </si>
  <si>
    <t>=NF($C247,"Posting Date")</t>
  </si>
  <si>
    <t>=NF($C248,"Posting Date")</t>
  </si>
  <si>
    <t>=NF($C249,"Posting Date")</t>
  </si>
  <si>
    <t>=NF($C250,"Posting Date")</t>
  </si>
  <si>
    <t>=NF($C251,"Posting Date")</t>
  </si>
  <si>
    <t>=NF($C252,"Posting Date")</t>
  </si>
  <si>
    <t>=NF($C253,"Posting Date")</t>
  </si>
  <si>
    <t>=NF($C254,"Posting Date")</t>
  </si>
  <si>
    <t>=NF($C255,"Posting Date")</t>
  </si>
  <si>
    <t>=NF($C256,"Posting Date")</t>
  </si>
  <si>
    <t>=NF($C257,"Posting Date")</t>
  </si>
  <si>
    <t>=NF($C258,"Posting Date")</t>
  </si>
  <si>
    <t>=NF($C259,"Posting Date")</t>
  </si>
  <si>
    <t>=NF($C260,"Posting Date")</t>
  </si>
  <si>
    <t>=NF($C261,"Posting Date")</t>
  </si>
  <si>
    <t>=NF($C262,"Posting Date")</t>
  </si>
  <si>
    <t>=NF($C263,"Posting Date")</t>
  </si>
  <si>
    <t>=NF($C264,"Posting Date")</t>
  </si>
  <si>
    <t>=NF($C265,"Posting Date")</t>
  </si>
  <si>
    <t>=NF($C266,"Posting Date")</t>
  </si>
  <si>
    <t>=NF($C267,"Posting Date")</t>
  </si>
  <si>
    <t>=NF($C268,"Posting Date")</t>
  </si>
  <si>
    <t>=NF($C269,"Posting Date")</t>
  </si>
  <si>
    <t>=NF($C270,"Posting Date")</t>
  </si>
  <si>
    <t>=NF($C271,"Posting Date")</t>
  </si>
  <si>
    <t>=NF($C272,"Posting Date")</t>
  </si>
  <si>
    <t>=NF($C273,"Posting Date")</t>
  </si>
  <si>
    <t>=NF($C274,"Posting Date")</t>
  </si>
  <si>
    <t>=NF($C275,"Posting Date")</t>
  </si>
  <si>
    <t>=NF($C276,"Posting Date")</t>
  </si>
  <si>
    <t>=NF($C277,"Posting Date")</t>
  </si>
  <si>
    <t>=NF($C278,"Posting Date")</t>
  </si>
  <si>
    <t>=NF($C279,"Posting Date")</t>
  </si>
  <si>
    <t>=NF($C280,"Posting Date")</t>
  </si>
  <si>
    <t>=NF($C281,"Posting Date")</t>
  </si>
  <si>
    <t>=NF($C282,"Posting Date")</t>
  </si>
  <si>
    <t>=NF($C283,"Posting Date")</t>
  </si>
  <si>
    <t>=NF($C284,"Posting Date")</t>
  </si>
  <si>
    <t>=NF($C285,"Posting Date")</t>
  </si>
  <si>
    <t>=NF($C286,"Posting Date")</t>
  </si>
  <si>
    <t>=NF($C287,"Posting Date")</t>
  </si>
  <si>
    <t>=NF($C288,"Posting Date")</t>
  </si>
  <si>
    <t>=NF($C289,"Posting Date")</t>
  </si>
  <si>
    <t>=NF($C290,"Posting Date")</t>
  </si>
  <si>
    <t>=NF($C291,"Posting Date")</t>
  </si>
  <si>
    <t>=NF($C292,"Posting Date")</t>
  </si>
  <si>
    <t>=NF($C293,"Posting Date")</t>
  </si>
  <si>
    <t>=NF($C294,"Posting Date")</t>
  </si>
  <si>
    <t>=NF($C295,"Posting Date")</t>
  </si>
  <si>
    <t>=NF($C296,"Posting Date")</t>
  </si>
  <si>
    <t>=NF($C297,"Posting Date")</t>
  </si>
  <si>
    <t>=NF($C298,"Posting Date")</t>
  </si>
  <si>
    <t>=NF($C299,"Posting Date")</t>
  </si>
  <si>
    <t>=NF($C300,"Posting Date")</t>
  </si>
  <si>
    <t>=NF($C301,"Posting Date")</t>
  </si>
  <si>
    <t>=NF($C302,"Posting Date")</t>
  </si>
  <si>
    <t>=NF($C303,"Posting Date")</t>
  </si>
  <si>
    <t>=NF($C304,"Posting Date")</t>
  </si>
  <si>
    <t>=NF($C305,"Posting Date")</t>
  </si>
  <si>
    <t>=NF($C306,"Posting Date")</t>
  </si>
  <si>
    <t>=NF($C307,"Posting Date")</t>
  </si>
  <si>
    <t>=NF($C308,"Posting Date")</t>
  </si>
  <si>
    <t>=NF($C309,"Posting Date")</t>
  </si>
  <si>
    <t>=NF($C310,"Posting Date")</t>
  </si>
  <si>
    <t>=NF($C311,"Posting Date")</t>
  </si>
  <si>
    <t>=NF($C312,"Posting Date")</t>
  </si>
  <si>
    <t>=NF($C313,"Posting Date")</t>
  </si>
  <si>
    <t>=NF($C314,"Posting Date")</t>
  </si>
  <si>
    <t>=NF($C315,"Posting Date")</t>
  </si>
  <si>
    <t>=NF($C316,"Posting Date")</t>
  </si>
  <si>
    <t>=NF($C317,"Posting Date")</t>
  </si>
  <si>
    <t>=NF($C318,"Posting Date")</t>
  </si>
  <si>
    <t>=NF($C319,"Posting Date")</t>
  </si>
  <si>
    <t>=NF($C320,"Posting Date")</t>
  </si>
  <si>
    <t>=NF($C321,"Posting Date")</t>
  </si>
  <si>
    <t>=NF($C322,"Posting Date")</t>
  </si>
  <si>
    <t>=NF($C323,"Posting Date")</t>
  </si>
  <si>
    <t>=NF($C14,"Source No.")</t>
  </si>
  <si>
    <t>=NF($C15,"Source No.")</t>
  </si>
  <si>
    <t>=NF($C16,"Source No.")</t>
  </si>
  <si>
    <t>=NF($C17,"Source No.")</t>
  </si>
  <si>
    <t>=NF($C18,"Source No.")</t>
  </si>
  <si>
    <t>=NF($C19,"Source No.")</t>
  </si>
  <si>
    <t>=NF($C20,"Source No.")</t>
  </si>
  <si>
    <t>=NF($C21,"Source No.")</t>
  </si>
  <si>
    <t>=NF($C22,"Source No.")</t>
  </si>
  <si>
    <t>=NF($C23,"Source No.")</t>
  </si>
  <si>
    <t>=NF($C24,"Source No.")</t>
  </si>
  <si>
    <t>=NF($C25,"Source No.")</t>
  </si>
  <si>
    <t>=NF($C26,"Source No.")</t>
  </si>
  <si>
    <t>=NF($C27,"Source No.")</t>
  </si>
  <si>
    <t>=NF($C28,"Source No.")</t>
  </si>
  <si>
    <t>=NF($C29,"Source No.")</t>
  </si>
  <si>
    <t>=NF($C30,"Source No.")</t>
  </si>
  <si>
    <t>=NF($C31,"Source No.")</t>
  </si>
  <si>
    <t>=NF($C32,"Source No.")</t>
  </si>
  <si>
    <t>=NF($C33,"Source No.")</t>
  </si>
  <si>
    <t>=NF($C34,"Source No.")</t>
  </si>
  <si>
    <t>=NF($C35,"Source No.")</t>
  </si>
  <si>
    <t>=NF($C36,"Source No.")</t>
  </si>
  <si>
    <t>=NF($C37,"Source No.")</t>
  </si>
  <si>
    <t>=NF($C38,"Source No.")</t>
  </si>
  <si>
    <t>=NF($C39,"Source No.")</t>
  </si>
  <si>
    <t>=NF($C40,"Source No.")</t>
  </si>
  <si>
    <t>=NF($C41,"Source No.")</t>
  </si>
  <si>
    <t>=NF($C42,"Source No.")</t>
  </si>
  <si>
    <t>=NF($C43,"Source No.")</t>
  </si>
  <si>
    <t>=NF($C44,"Source No.")</t>
  </si>
  <si>
    <t>=NF($C45,"Source No.")</t>
  </si>
  <si>
    <t>=NF($C46,"Source No.")</t>
  </si>
  <si>
    <t>=NF($C47,"Source No.")</t>
  </si>
  <si>
    <t>=NF($C48,"Source No.")</t>
  </si>
  <si>
    <t>=NF($C49,"Source No.")</t>
  </si>
  <si>
    <t>=NF($C50,"Source No.")</t>
  </si>
  <si>
    <t>=NF($C51,"Source No.")</t>
  </si>
  <si>
    <t>=NF($C52,"Source No.")</t>
  </si>
  <si>
    <t>=NF($C53,"Source No.")</t>
  </si>
  <si>
    <t>=NF($C54,"Source No.")</t>
  </si>
  <si>
    <t>=NF($C55,"Source No.")</t>
  </si>
  <si>
    <t>=NF($C56,"Source No.")</t>
  </si>
  <si>
    <t>=NF($C57,"Source No.")</t>
  </si>
  <si>
    <t>=NF($C58,"Source No.")</t>
  </si>
  <si>
    <t>=NF($C59,"Source No.")</t>
  </si>
  <si>
    <t>=NF($C60,"Source No.")</t>
  </si>
  <si>
    <t>=NF($C61,"Source No.")</t>
  </si>
  <si>
    <t>=NF($C62,"Source No.")</t>
  </si>
  <si>
    <t>=NF($C63,"Source No.")</t>
  </si>
  <si>
    <t>=NF($C64,"Source No.")</t>
  </si>
  <si>
    <t>=NF($C65,"Source No.")</t>
  </si>
  <si>
    <t>=NF($C66,"Source No.")</t>
  </si>
  <si>
    <t>=NF($C67,"Source No.")</t>
  </si>
  <si>
    <t>=NF($C68,"Source No.")</t>
  </si>
  <si>
    <t>=NF($C69,"Source No.")</t>
  </si>
  <si>
    <t>=NF($C70,"Source No.")</t>
  </si>
  <si>
    <t>=NF($C71,"Source No.")</t>
  </si>
  <si>
    <t>=NF($C72,"Source No.")</t>
  </si>
  <si>
    <t>=NF($C73,"Source No.")</t>
  </si>
  <si>
    <t>=NF($C74,"Source No.")</t>
  </si>
  <si>
    <t>=NF($C75,"Source No.")</t>
  </si>
  <si>
    <t>=NF($C76,"Source No.")</t>
  </si>
  <si>
    <t>=NF($C77,"Source No.")</t>
  </si>
  <si>
    <t>=NF($C78,"Source No.")</t>
  </si>
  <si>
    <t>=NF($C79,"Source No.")</t>
  </si>
  <si>
    <t>=NF($C80,"Source No.")</t>
  </si>
  <si>
    <t>=NF($C81,"Source No.")</t>
  </si>
  <si>
    <t>=NF($C82,"Source No.")</t>
  </si>
  <si>
    <t>=NF($C83,"Source No.")</t>
  </si>
  <si>
    <t>=NF($C84,"Source No.")</t>
  </si>
  <si>
    <t>=NF($C85,"Source No.")</t>
  </si>
  <si>
    <t>=NF($C86,"Source No.")</t>
  </si>
  <si>
    <t>=NF($C87,"Source No.")</t>
  </si>
  <si>
    <t>=NF($C88,"Source No.")</t>
  </si>
  <si>
    <t>=NF($C89,"Source No.")</t>
  </si>
  <si>
    <t>=NF($C90,"Source No.")</t>
  </si>
  <si>
    <t>=NF($C91,"Source No.")</t>
  </si>
  <si>
    <t>=NF($C92,"Source No.")</t>
  </si>
  <si>
    <t>=NF($C93,"Source No.")</t>
  </si>
  <si>
    <t>=NF($C94,"Source No.")</t>
  </si>
  <si>
    <t>=NF($C95,"Source No.")</t>
  </si>
  <si>
    <t>=NF($C96,"Source No.")</t>
  </si>
  <si>
    <t>=NF($C97,"Source No.")</t>
  </si>
  <si>
    <t>=NF($C98,"Source No.")</t>
  </si>
  <si>
    <t>=NF($C99,"Source No.")</t>
  </si>
  <si>
    <t>=NF($C100,"Source No.")</t>
  </si>
  <si>
    <t>=NF($C101,"Source No.")</t>
  </si>
  <si>
    <t>=NF($C102,"Source No.")</t>
  </si>
  <si>
    <t>=NF($C103,"Source No.")</t>
  </si>
  <si>
    <t>=NF($C104,"Source No.")</t>
  </si>
  <si>
    <t>=NF($C105,"Source No.")</t>
  </si>
  <si>
    <t>=NF($C106,"Source No.")</t>
  </si>
  <si>
    <t>=NF($C107,"Source No.")</t>
  </si>
  <si>
    <t>=NF($C108,"Source No.")</t>
  </si>
  <si>
    <t>=NF($C109,"Source No.")</t>
  </si>
  <si>
    <t>=NF($C110,"Source No.")</t>
  </si>
  <si>
    <t>=NF($C111,"Source No.")</t>
  </si>
  <si>
    <t>=NF($C112,"Source No.")</t>
  </si>
  <si>
    <t>=NF($C113,"Source No.")</t>
  </si>
  <si>
    <t>=NF($C114,"Source No.")</t>
  </si>
  <si>
    <t>=NF($C115,"Source No.")</t>
  </si>
  <si>
    <t>=NF($C116,"Source No.")</t>
  </si>
  <si>
    <t>=NF($C117,"Source No.")</t>
  </si>
  <si>
    <t>=NF($C118,"Source No.")</t>
  </si>
  <si>
    <t>=NF($C119,"Source No.")</t>
  </si>
  <si>
    <t>=NF($C120,"Source No.")</t>
  </si>
  <si>
    <t>=NF($C121,"Source No.")</t>
  </si>
  <si>
    <t>=NF($C122,"Source No.")</t>
  </si>
  <si>
    <t>=NF($C123,"Source No.")</t>
  </si>
  <si>
    <t>=NF($C124,"Source No.")</t>
  </si>
  <si>
    <t>=NF($C125,"Source No.")</t>
  </si>
  <si>
    <t>=NF($C126,"Source No.")</t>
  </si>
  <si>
    <t>=NF($C127,"Source No.")</t>
  </si>
  <si>
    <t>=NF($C128,"Source No.")</t>
  </si>
  <si>
    <t>=NF($C129,"Source No.")</t>
  </si>
  <si>
    <t>=NF($C130,"Source No.")</t>
  </si>
  <si>
    <t>=NF($C131,"Source No.")</t>
  </si>
  <si>
    <t>=NF($C132,"Source No.")</t>
  </si>
  <si>
    <t>=NF($C133,"Source No.")</t>
  </si>
  <si>
    <t>=NF($C134,"Source No.")</t>
  </si>
  <si>
    <t>=NF($C135,"Source No.")</t>
  </si>
  <si>
    <t>=NF($C136,"Source No.")</t>
  </si>
  <si>
    <t>=NF($C137,"Source No.")</t>
  </si>
  <si>
    <t>=NF($C138,"Source No.")</t>
  </si>
  <si>
    <t>=NF($C139,"Source No.")</t>
  </si>
  <si>
    <t>=NF($C140,"Source No.")</t>
  </si>
  <si>
    <t>=NF($C141,"Source No.")</t>
  </si>
  <si>
    <t>=NF($C142,"Source No.")</t>
  </si>
  <si>
    <t>=NF($C143,"Source No.")</t>
  </si>
  <si>
    <t>=NF($C144,"Source No.")</t>
  </si>
  <si>
    <t>=NF($C145,"Source No.")</t>
  </si>
  <si>
    <t>=NF($C146,"Source No.")</t>
  </si>
  <si>
    <t>=NF($C147,"Source No.")</t>
  </si>
  <si>
    <t>=NF($C148,"Source No.")</t>
  </si>
  <si>
    <t>=NF($C149,"Source No.")</t>
  </si>
  <si>
    <t>=NF($C150,"Source No.")</t>
  </si>
  <si>
    <t>=NF($C151,"Source No.")</t>
  </si>
  <si>
    <t>=NF($C152,"Source No.")</t>
  </si>
  <si>
    <t>=NF($C153,"Source No.")</t>
  </si>
  <si>
    <t>=NF($C154,"Source No.")</t>
  </si>
  <si>
    <t>=NF($C155,"Source No.")</t>
  </si>
  <si>
    <t>=NF($C156,"Source No.")</t>
  </si>
  <si>
    <t>=NF($C157,"Source No.")</t>
  </si>
  <si>
    <t>=NF($C158,"Source No.")</t>
  </si>
  <si>
    <t>=NF($C159,"Source No.")</t>
  </si>
  <si>
    <t>=NF($C160,"Source No.")</t>
  </si>
  <si>
    <t>=NF($C161,"Source No.")</t>
  </si>
  <si>
    <t>=NF($C162,"Source No.")</t>
  </si>
  <si>
    <t>=NF($C163,"Source No.")</t>
  </si>
  <si>
    <t>=NF($C164,"Source No.")</t>
  </si>
  <si>
    <t>=NF($C165,"Source No.")</t>
  </si>
  <si>
    <t>=NF($C166,"Source No.")</t>
  </si>
  <si>
    <t>=NF($C167,"Source No.")</t>
  </si>
  <si>
    <t>=NF($C168,"Source No.")</t>
  </si>
  <si>
    <t>=NF($C169,"Source No.")</t>
  </si>
  <si>
    <t>=NF($C170,"Source No.")</t>
  </si>
  <si>
    <t>=NF($C171,"Source No.")</t>
  </si>
  <si>
    <t>=NF($C172,"Source No.")</t>
  </si>
  <si>
    <t>=NF($C173,"Source No.")</t>
  </si>
  <si>
    <t>=NF($C174,"Source No.")</t>
  </si>
  <si>
    <t>=NF($C175,"Source No.")</t>
  </si>
  <si>
    <t>=NF($C176,"Source No.")</t>
  </si>
  <si>
    <t>=NF($C177,"Source No.")</t>
  </si>
  <si>
    <t>=NF($C178,"Source No.")</t>
  </si>
  <si>
    <t>=NF($C179,"Source No.")</t>
  </si>
  <si>
    <t>=NF($C180,"Source No.")</t>
  </si>
  <si>
    <t>=NF($C181,"Source No.")</t>
  </si>
  <si>
    <t>=NF($C182,"Source No.")</t>
  </si>
  <si>
    <t>=NF($C183,"Source No.")</t>
  </si>
  <si>
    <t>=NF($C184,"Source No.")</t>
  </si>
  <si>
    <t>=NF($C185,"Source No.")</t>
  </si>
  <si>
    <t>=NF($C186,"Source No.")</t>
  </si>
  <si>
    <t>=NF($C187,"Source No.")</t>
  </si>
  <si>
    <t>=NF($C188,"Source No.")</t>
  </si>
  <si>
    <t>=NF($C189,"Source No.")</t>
  </si>
  <si>
    <t>=NF($C190,"Source No.")</t>
  </si>
  <si>
    <t>=NF($C191,"Source No.")</t>
  </si>
  <si>
    <t>=NF($C192,"Source No.")</t>
  </si>
  <si>
    <t>=NF($C193,"Source No.")</t>
  </si>
  <si>
    <t>=NF($C194,"Source No.")</t>
  </si>
  <si>
    <t>=NF($C195,"Source No.")</t>
  </si>
  <si>
    <t>=NF($C196,"Source No.")</t>
  </si>
  <si>
    <t>=NF($C197,"Source No.")</t>
  </si>
  <si>
    <t>=NF($C198,"Source No.")</t>
  </si>
  <si>
    <t>=NF($C199,"Source No.")</t>
  </si>
  <si>
    <t>=NF($C200,"Source No.")</t>
  </si>
  <si>
    <t>=NF($C201,"Source No.")</t>
  </si>
  <si>
    <t>=NF($C202,"Source No.")</t>
  </si>
  <si>
    <t>=NF($C203,"Source No.")</t>
  </si>
  <si>
    <t>=NF($C204,"Source No.")</t>
  </si>
  <si>
    <t>=NF($C205,"Source No.")</t>
  </si>
  <si>
    <t>=NF($C206,"Source No.")</t>
  </si>
  <si>
    <t>=NF($C207,"Source No.")</t>
  </si>
  <si>
    <t>=NF($C208,"Source No.")</t>
  </si>
  <si>
    <t>=NF($C209,"Source No.")</t>
  </si>
  <si>
    <t>=NF($C210,"Source No.")</t>
  </si>
  <si>
    <t>=NF($C211,"Source No.")</t>
  </si>
  <si>
    <t>=NF($C212,"Source No.")</t>
  </si>
  <si>
    <t>=NF($C213,"Source No.")</t>
  </si>
  <si>
    <t>=NF($C214,"Source No.")</t>
  </si>
  <si>
    <t>=NF($C215,"Source No.")</t>
  </si>
  <si>
    <t>=NF($C216,"Source No.")</t>
  </si>
  <si>
    <t>=NF($C217,"Source No.")</t>
  </si>
  <si>
    <t>=NF($C218,"Source No.")</t>
  </si>
  <si>
    <t>=NF($C219,"Source No.")</t>
  </si>
  <si>
    <t>=NF($C220,"Source No.")</t>
  </si>
  <si>
    <t>=NF($C221,"Source No.")</t>
  </si>
  <si>
    <t>=NF($C222,"Source No.")</t>
  </si>
  <si>
    <t>=NF($C223,"Source No.")</t>
  </si>
  <si>
    <t>=NF($C224,"Source No.")</t>
  </si>
  <si>
    <t>=NF($C225,"Source No.")</t>
  </si>
  <si>
    <t>=NF($C226,"Source No.")</t>
  </si>
  <si>
    <t>=NF($C227,"Source No.")</t>
  </si>
  <si>
    <t>=NF($C228,"Source No.")</t>
  </si>
  <si>
    <t>=NF($C229,"Source No.")</t>
  </si>
  <si>
    <t>=NF($C230,"Source No.")</t>
  </si>
  <si>
    <t>=NF($C231,"Source No.")</t>
  </si>
  <si>
    <t>=NF($C232,"Source No.")</t>
  </si>
  <si>
    <t>=NF($C233,"Source No.")</t>
  </si>
  <si>
    <t>=NF($C234,"Source No.")</t>
  </si>
  <si>
    <t>=NF($C235,"Source No.")</t>
  </si>
  <si>
    <t>=NF($C236,"Source No.")</t>
  </si>
  <si>
    <t>=NF($C237,"Source No.")</t>
  </si>
  <si>
    <t>=NF($C238,"Source No.")</t>
  </si>
  <si>
    <t>=NF($C239,"Source No.")</t>
  </si>
  <si>
    <t>=NF($C240,"Source No.")</t>
  </si>
  <si>
    <t>=NF($C241,"Source No.")</t>
  </si>
  <si>
    <t>=NF($C242,"Source No.")</t>
  </si>
  <si>
    <t>=NF($C243,"Source No.")</t>
  </si>
  <si>
    <t>=NF($C244,"Source No.")</t>
  </si>
  <si>
    <t>=NF($C245,"Source No.")</t>
  </si>
  <si>
    <t>=NF($C246,"Source No.")</t>
  </si>
  <si>
    <t>=NF($C247,"Source No.")</t>
  </si>
  <si>
    <t>=NF($C248,"Source No.")</t>
  </si>
  <si>
    <t>=NF($C249,"Source No.")</t>
  </si>
  <si>
    <t>=NF($C250,"Source No.")</t>
  </si>
  <si>
    <t>=NF($C251,"Source No.")</t>
  </si>
  <si>
    <t>=NF($C252,"Source No.")</t>
  </si>
  <si>
    <t>=NF($C253,"Source No.")</t>
  </si>
  <si>
    <t>=NF($C254,"Source No.")</t>
  </si>
  <si>
    <t>=NF($C255,"Source No.")</t>
  </si>
  <si>
    <t>=NF($C256,"Source No.")</t>
  </si>
  <si>
    <t>=NF($C257,"Source No.")</t>
  </si>
  <si>
    <t>=NF($C258,"Source No.")</t>
  </si>
  <si>
    <t>=NF($C259,"Source No.")</t>
  </si>
  <si>
    <t>=NF($C260,"Source No.")</t>
  </si>
  <si>
    <t>=NF($C261,"Source No.")</t>
  </si>
  <si>
    <t>=NF($C262,"Source No.")</t>
  </si>
  <si>
    <t>=NF($C263,"Source No.")</t>
  </si>
  <si>
    <t>=NF($C264,"Source No.")</t>
  </si>
  <si>
    <t>=NF($C265,"Source No.")</t>
  </si>
  <si>
    <t>=NF($C266,"Source No.")</t>
  </si>
  <si>
    <t>=NF($C267,"Source No.")</t>
  </si>
  <si>
    <t>=NF($C268,"Source No.")</t>
  </si>
  <si>
    <t>=NF($C269,"Source No.")</t>
  </si>
  <si>
    <t>=NF($C270,"Source No.")</t>
  </si>
  <si>
    <t>=NF($C271,"Source No.")</t>
  </si>
  <si>
    <t>=NF($C272,"Source No.")</t>
  </si>
  <si>
    <t>=NF($C273,"Source No.")</t>
  </si>
  <si>
    <t>=NF($C274,"Source No.")</t>
  </si>
  <si>
    <t>=NF($C275,"Source No.")</t>
  </si>
  <si>
    <t>=NF($C276,"Source No.")</t>
  </si>
  <si>
    <t>=NF($C277,"Source No.")</t>
  </si>
  <si>
    <t>=NF($C278,"Source No.")</t>
  </si>
  <si>
    <t>=NF($C279,"Source No.")</t>
  </si>
  <si>
    <t>=NF($C280,"Source No.")</t>
  </si>
  <si>
    <t>=NF($C281,"Source No.")</t>
  </si>
  <si>
    <t>=NF($C282,"Source No.")</t>
  </si>
  <si>
    <t>=NF($C283,"Source No.")</t>
  </si>
  <si>
    <t>=NF($C284,"Source No.")</t>
  </si>
  <si>
    <t>=NF($C285,"Source No.")</t>
  </si>
  <si>
    <t>=NF($C286,"Source No.")</t>
  </si>
  <si>
    <t>=NF($C287,"Source No.")</t>
  </si>
  <si>
    <t>=NF($C288,"Source No.")</t>
  </si>
  <si>
    <t>=NF($C289,"Source No.")</t>
  </si>
  <si>
    <t>=NF($C290,"Source No.")</t>
  </si>
  <si>
    <t>=NF($C291,"Source No.")</t>
  </si>
  <si>
    <t>=NF($C292,"Source No.")</t>
  </si>
  <si>
    <t>=NF($C293,"Source No.")</t>
  </si>
  <si>
    <t>=NF($C294,"Source No.")</t>
  </si>
  <si>
    <t>=NF($C295,"Source No.")</t>
  </si>
  <si>
    <t>=NF($C296,"Source No.")</t>
  </si>
  <si>
    <t>=NF($C297,"Source No.")</t>
  </si>
  <si>
    <t>=NF($C298,"Source No.")</t>
  </si>
  <si>
    <t>=NF($C299,"Source No.")</t>
  </si>
  <si>
    <t>=NF($C300,"Source No.")</t>
  </si>
  <si>
    <t>=NF($C301,"Source No.")</t>
  </si>
  <si>
    <t>=NF($C302,"Source No.")</t>
  </si>
  <si>
    <t>=NF($C303,"Source No.")</t>
  </si>
  <si>
    <t>=NF($C304,"Source No.")</t>
  </si>
  <si>
    <t>=NF($C305,"Source No.")</t>
  </si>
  <si>
    <t>=NF($C306,"Source No.")</t>
  </si>
  <si>
    <t>=NF($C307,"Source No.")</t>
  </si>
  <si>
    <t>=NF($C308,"Source No.")</t>
  </si>
  <si>
    <t>=NF($C309,"Source No.")</t>
  </si>
  <si>
    <t>=NF($C310,"Source No.")</t>
  </si>
  <si>
    <t>=NF($C311,"Source No.")</t>
  </si>
  <si>
    <t>=NF($C312,"Source No.")</t>
  </si>
  <si>
    <t>=NF($C313,"Source No.")</t>
  </si>
  <si>
    <t>=NF($C314,"Source No.")</t>
  </si>
  <si>
    <t>=NF($C315,"Source No.")</t>
  </si>
  <si>
    <t>=NF($C316,"Source No.")</t>
  </si>
  <si>
    <t>=NF($C317,"Source No.")</t>
  </si>
  <si>
    <t>=NF($C318,"Source No.")</t>
  </si>
  <si>
    <t>=NF($C319,"Source No.")</t>
  </si>
  <si>
    <t>=NF($C320,"Source No.")</t>
  </si>
  <si>
    <t>=NF($C321,"Source No.")</t>
  </si>
  <si>
    <t>=NF($C322,"Source No.")</t>
  </si>
  <si>
    <t>=NF($C323,"Source No.")</t>
  </si>
  <si>
    <t>=NF($C14,"Document Date")</t>
  </si>
  <si>
    <t>=NF($C15,"Document Date")</t>
  </si>
  <si>
    <t>=NF($C16,"Document Date")</t>
  </si>
  <si>
    <t>=NF($C17,"Document Date")</t>
  </si>
  <si>
    <t>=NF($C18,"Document Date")</t>
  </si>
  <si>
    <t>=NF($C19,"Document Date")</t>
  </si>
  <si>
    <t>=NF($C20,"Document Date")</t>
  </si>
  <si>
    <t>=NF($C21,"Document Date")</t>
  </si>
  <si>
    <t>=NF($C22,"Document Date")</t>
  </si>
  <si>
    <t>=NF($C23,"Document Date")</t>
  </si>
  <si>
    <t>=NF($C24,"Document Date")</t>
  </si>
  <si>
    <t>=NF($C25,"Document Date")</t>
  </si>
  <si>
    <t>=NF($C26,"Document Date")</t>
  </si>
  <si>
    <t>=NF($C27,"Document Date")</t>
  </si>
  <si>
    <t>=NF($C28,"Document Date")</t>
  </si>
  <si>
    <t>=NF($C29,"Document Date")</t>
  </si>
  <si>
    <t>=NF($C30,"Document Date")</t>
  </si>
  <si>
    <t>=NF($C31,"Document Date")</t>
  </si>
  <si>
    <t>=NF($C32,"Document Date")</t>
  </si>
  <si>
    <t>=NF($C33,"Document Date")</t>
  </si>
  <si>
    <t>=NF($C34,"Document Date")</t>
  </si>
  <si>
    <t>=NF($C35,"Document Date")</t>
  </si>
  <si>
    <t>=NF($C36,"Document Date")</t>
  </si>
  <si>
    <t>=NF($C37,"Document Date")</t>
  </si>
  <si>
    <t>=NF($C38,"Document Date")</t>
  </si>
  <si>
    <t>=NF($C39,"Document Date")</t>
  </si>
  <si>
    <t>=NF($C40,"Document Date")</t>
  </si>
  <si>
    <t>=NF($C41,"Document Date")</t>
  </si>
  <si>
    <t>=NF($C42,"Document Date")</t>
  </si>
  <si>
    <t>=NF($C43,"Document Date")</t>
  </si>
  <si>
    <t>=NF($C44,"Document Date")</t>
  </si>
  <si>
    <t>=NF($C45,"Document Date")</t>
  </si>
  <si>
    <t>=NF($C46,"Document Date")</t>
  </si>
  <si>
    <t>=NF($C47,"Document Date")</t>
  </si>
  <si>
    <t>=NF($C48,"Document Date")</t>
  </si>
  <si>
    <t>=NF($C49,"Document Date")</t>
  </si>
  <si>
    <t>=NF($C50,"Document Date")</t>
  </si>
  <si>
    <t>=NF($C51,"Document Date")</t>
  </si>
  <si>
    <t>=NF($C52,"Document Date")</t>
  </si>
  <si>
    <t>=NF($C53,"Document Date")</t>
  </si>
  <si>
    <t>=NF($C54,"Document Date")</t>
  </si>
  <si>
    <t>=NF($C55,"Document Date")</t>
  </si>
  <si>
    <t>=NF($C56,"Document Date")</t>
  </si>
  <si>
    <t>=NF($C57,"Document Date")</t>
  </si>
  <si>
    <t>=NF($C58,"Document Date")</t>
  </si>
  <si>
    <t>=NF($C59,"Document Date")</t>
  </si>
  <si>
    <t>=NF($C60,"Document Date")</t>
  </si>
  <si>
    <t>=NF($C61,"Document Date")</t>
  </si>
  <si>
    <t>=NF($C62,"Document Date")</t>
  </si>
  <si>
    <t>=NF($C63,"Document Date")</t>
  </si>
  <si>
    <t>=NF($C64,"Document Date")</t>
  </si>
  <si>
    <t>=NF($C65,"Document Date")</t>
  </si>
  <si>
    <t>=NF($C66,"Document Date")</t>
  </si>
  <si>
    <t>=NF($C67,"Document Date")</t>
  </si>
  <si>
    <t>=NF($C68,"Document Date")</t>
  </si>
  <si>
    <t>=NF($C69,"Document Date")</t>
  </si>
  <si>
    <t>=NF($C70,"Document Date")</t>
  </si>
  <si>
    <t>=NF($C71,"Document Date")</t>
  </si>
  <si>
    <t>=NF($C72,"Document Date")</t>
  </si>
  <si>
    <t>=NF($C73,"Document Date")</t>
  </si>
  <si>
    <t>=NF($C74,"Document Date")</t>
  </si>
  <si>
    <t>=NF($C75,"Document Date")</t>
  </si>
  <si>
    <t>=NF($C76,"Document Date")</t>
  </si>
  <si>
    <t>=NF($C77,"Document Date")</t>
  </si>
  <si>
    <t>=NF($C78,"Document Date")</t>
  </si>
  <si>
    <t>=NF($C79,"Document Date")</t>
  </si>
  <si>
    <t>=NF($C80,"Document Date")</t>
  </si>
  <si>
    <t>=NF($C81,"Document Date")</t>
  </si>
  <si>
    <t>=NF($C82,"Document Date")</t>
  </si>
  <si>
    <t>=NF($C83,"Document Date")</t>
  </si>
  <si>
    <t>=NF($C84,"Document Date")</t>
  </si>
  <si>
    <t>=NF($C85,"Document Date")</t>
  </si>
  <si>
    <t>=NF($C86,"Document Date")</t>
  </si>
  <si>
    <t>=NF($C87,"Document Date")</t>
  </si>
  <si>
    <t>=NF($C88,"Document Date")</t>
  </si>
  <si>
    <t>=NF($C89,"Document Date")</t>
  </si>
  <si>
    <t>=NF($C90,"Document Date")</t>
  </si>
  <si>
    <t>=NF($C91,"Document Date")</t>
  </si>
  <si>
    <t>=NF($C92,"Document Date")</t>
  </si>
  <si>
    <t>=NF($C93,"Document Date")</t>
  </si>
  <si>
    <t>=NF($C94,"Document Date")</t>
  </si>
  <si>
    <t>=NF($C95,"Document Date")</t>
  </si>
  <si>
    <t>=NF($C96,"Document Date")</t>
  </si>
  <si>
    <t>=NF($C97,"Document Date")</t>
  </si>
  <si>
    <t>=NF($C98,"Document Date")</t>
  </si>
  <si>
    <t>=NF($C99,"Document Date")</t>
  </si>
  <si>
    <t>=NF($C100,"Document Date")</t>
  </si>
  <si>
    <t>=NF($C101,"Document Date")</t>
  </si>
  <si>
    <t>=NF($C102,"Document Date")</t>
  </si>
  <si>
    <t>=NF($C103,"Document Date")</t>
  </si>
  <si>
    <t>=NF($C104,"Document Date")</t>
  </si>
  <si>
    <t>=NF($C105,"Document Date")</t>
  </si>
  <si>
    <t>=NF($C106,"Document Date")</t>
  </si>
  <si>
    <t>=NF($C107,"Document Date")</t>
  </si>
  <si>
    <t>=NF($C108,"Document Date")</t>
  </si>
  <si>
    <t>=NF($C109,"Document Date")</t>
  </si>
  <si>
    <t>=NF($C110,"Document Date")</t>
  </si>
  <si>
    <t>=NF($C111,"Document Date")</t>
  </si>
  <si>
    <t>=NF($C112,"Document Date")</t>
  </si>
  <si>
    <t>=NF($C113,"Document Date")</t>
  </si>
  <si>
    <t>=NF($C114,"Document Date")</t>
  </si>
  <si>
    <t>=NF($C115,"Document Date")</t>
  </si>
  <si>
    <t>=NF($C116,"Document Date")</t>
  </si>
  <si>
    <t>=NF($C117,"Document Date")</t>
  </si>
  <si>
    <t>=NF($C118,"Document Date")</t>
  </si>
  <si>
    <t>=NF($C119,"Document Date")</t>
  </si>
  <si>
    <t>=NF($C120,"Document Date")</t>
  </si>
  <si>
    <t>=NF($C121,"Document Date")</t>
  </si>
  <si>
    <t>=NF($C122,"Document Date")</t>
  </si>
  <si>
    <t>=NF($C123,"Document Date")</t>
  </si>
  <si>
    <t>=NF($C124,"Document Date")</t>
  </si>
  <si>
    <t>=NF($C125,"Document Date")</t>
  </si>
  <si>
    <t>=NF($C126,"Document Date")</t>
  </si>
  <si>
    <t>=NF($C127,"Document Date")</t>
  </si>
  <si>
    <t>=NF($C128,"Document Date")</t>
  </si>
  <si>
    <t>=NF($C129,"Document Date")</t>
  </si>
  <si>
    <t>=NF($C130,"Document Date")</t>
  </si>
  <si>
    <t>=NF($C131,"Document Date")</t>
  </si>
  <si>
    <t>=NF($C132,"Document Date")</t>
  </si>
  <si>
    <t>=NF($C133,"Document Date")</t>
  </si>
  <si>
    <t>=NF($C134,"Document Date")</t>
  </si>
  <si>
    <t>=NF($C135,"Document Date")</t>
  </si>
  <si>
    <t>=NF($C136,"Document Date")</t>
  </si>
  <si>
    <t>=NF($C137,"Document Date")</t>
  </si>
  <si>
    <t>=NF($C138,"Document Date")</t>
  </si>
  <si>
    <t>=NF($C139,"Document Date")</t>
  </si>
  <si>
    <t>=NF($C140,"Document Date")</t>
  </si>
  <si>
    <t>=NF($C141,"Document Date")</t>
  </si>
  <si>
    <t>=NF($C142,"Document Date")</t>
  </si>
  <si>
    <t>=NF($C143,"Document Date")</t>
  </si>
  <si>
    <t>=NF($C144,"Document Date")</t>
  </si>
  <si>
    <t>=NF($C145,"Document Date")</t>
  </si>
  <si>
    <t>=NF($C146,"Document Date")</t>
  </si>
  <si>
    <t>=NF($C147,"Document Date")</t>
  </si>
  <si>
    <t>=NF($C148,"Document Date")</t>
  </si>
  <si>
    <t>=NF($C149,"Document Date")</t>
  </si>
  <si>
    <t>=NF($C150,"Document Date")</t>
  </si>
  <si>
    <t>=NF($C151,"Document Date")</t>
  </si>
  <si>
    <t>=NF($C152,"Document Date")</t>
  </si>
  <si>
    <t>=NF($C153,"Document Date")</t>
  </si>
  <si>
    <t>=NF($C154,"Document Date")</t>
  </si>
  <si>
    <t>=NF($C155,"Document Date")</t>
  </si>
  <si>
    <t>=NF($C156,"Document Date")</t>
  </si>
  <si>
    <t>=NF($C157,"Document Date")</t>
  </si>
  <si>
    <t>=NF($C158,"Document Date")</t>
  </si>
  <si>
    <t>=NF($C159,"Document Date")</t>
  </si>
  <si>
    <t>=NF($C160,"Document Date")</t>
  </si>
  <si>
    <t>=NF($C161,"Document Date")</t>
  </si>
  <si>
    <t>=NF($C162,"Document Date")</t>
  </si>
  <si>
    <t>=NF($C163,"Document Date")</t>
  </si>
  <si>
    <t>=NF($C164,"Document Date")</t>
  </si>
  <si>
    <t>=NF($C165,"Document Date")</t>
  </si>
  <si>
    <t>=NF($C166,"Document Date")</t>
  </si>
  <si>
    <t>=NF($C167,"Document Date")</t>
  </si>
  <si>
    <t>=NF($C168,"Document Date")</t>
  </si>
  <si>
    <t>=NF($C169,"Document Date")</t>
  </si>
  <si>
    <t>=NF($C170,"Document Date")</t>
  </si>
  <si>
    <t>=NF($C171,"Document Date")</t>
  </si>
  <si>
    <t>=NF($C172,"Document Date")</t>
  </si>
  <si>
    <t>=NF($C173,"Document Date")</t>
  </si>
  <si>
    <t>=NF($C174,"Document Date")</t>
  </si>
  <si>
    <t>=NF($C175,"Document Date")</t>
  </si>
  <si>
    <t>=NF($C176,"Document Date")</t>
  </si>
  <si>
    <t>=NF($C177,"Document Date")</t>
  </si>
  <si>
    <t>=NF($C178,"Document Date")</t>
  </si>
  <si>
    <t>=NF($C179,"Document Date")</t>
  </si>
  <si>
    <t>=NF($C180,"Document Date")</t>
  </si>
  <si>
    <t>=NF($C181,"Document Date")</t>
  </si>
  <si>
    <t>=NF($C182,"Document Date")</t>
  </si>
  <si>
    <t>=NF($C183,"Document Date")</t>
  </si>
  <si>
    <t>=NF($C184,"Document Date")</t>
  </si>
  <si>
    <t>=NF($C185,"Document Date")</t>
  </si>
  <si>
    <t>=NF($C186,"Document Date")</t>
  </si>
  <si>
    <t>=NF($C187,"Document Date")</t>
  </si>
  <si>
    <t>=NF($C188,"Document Date")</t>
  </si>
  <si>
    <t>=NF($C189,"Document Date")</t>
  </si>
  <si>
    <t>=NF($C190,"Document Date")</t>
  </si>
  <si>
    <t>=NF($C191,"Document Date")</t>
  </si>
  <si>
    <t>=NF($C192,"Document Date")</t>
  </si>
  <si>
    <t>=NF($C193,"Document Date")</t>
  </si>
  <si>
    <t>=NF($C194,"Document Date")</t>
  </si>
  <si>
    <t>=NF($C195,"Document Date")</t>
  </si>
  <si>
    <t>=NF($C196,"Document Date")</t>
  </si>
  <si>
    <t>=NF($C197,"Document Date")</t>
  </si>
  <si>
    <t>=NF($C198,"Document Date")</t>
  </si>
  <si>
    <t>=NF($C199,"Document Date")</t>
  </si>
  <si>
    <t>=NF($C200,"Document Date")</t>
  </si>
  <si>
    <t>=NF($C201,"Document Date")</t>
  </si>
  <si>
    <t>=NF($C202,"Document Date")</t>
  </si>
  <si>
    <t>=NF($C203,"Document Date")</t>
  </si>
  <si>
    <t>=NF($C204,"Document Date")</t>
  </si>
  <si>
    <t>=NF($C205,"Document Date")</t>
  </si>
  <si>
    <t>=NF($C206,"Document Date")</t>
  </si>
  <si>
    <t>=NF($C207,"Document Date")</t>
  </si>
  <si>
    <t>=NF($C208,"Document Date")</t>
  </si>
  <si>
    <t>=NF($C209,"Document Date")</t>
  </si>
  <si>
    <t>=NF($C210,"Document Date")</t>
  </si>
  <si>
    <t>=NF($C211,"Document Date")</t>
  </si>
  <si>
    <t>=NF($C212,"Document Date")</t>
  </si>
  <si>
    <t>=NF($C213,"Document Date")</t>
  </si>
  <si>
    <t>=NF($C214,"Document Date")</t>
  </si>
  <si>
    <t>=NF($C215,"Document Date")</t>
  </si>
  <si>
    <t>=NF($C216,"Document Date")</t>
  </si>
  <si>
    <t>=NF($C217,"Document Date")</t>
  </si>
  <si>
    <t>=NF($C218,"Document Date")</t>
  </si>
  <si>
    <t>=NF($C219,"Document Date")</t>
  </si>
  <si>
    <t>=NF($C220,"Document Date")</t>
  </si>
  <si>
    <t>=NF($C221,"Document Date")</t>
  </si>
  <si>
    <t>=NF($C222,"Document Date")</t>
  </si>
  <si>
    <t>=NF($C223,"Document Date")</t>
  </si>
  <si>
    <t>=NF($C224,"Document Date")</t>
  </si>
  <si>
    <t>=NF($C225,"Document Date")</t>
  </si>
  <si>
    <t>=NF($C226,"Document Date")</t>
  </si>
  <si>
    <t>=NF($C227,"Document Date")</t>
  </si>
  <si>
    <t>=NF($C228,"Document Date")</t>
  </si>
  <si>
    <t>=NF($C229,"Document Date")</t>
  </si>
  <si>
    <t>=NF($C230,"Document Date")</t>
  </si>
  <si>
    <t>=NF($C231,"Document Date")</t>
  </si>
  <si>
    <t>=NF($C232,"Document Date")</t>
  </si>
  <si>
    <t>=NF($C233,"Document Date")</t>
  </si>
  <si>
    <t>=NF($C234,"Document Date")</t>
  </si>
  <si>
    <t>=NF($C235,"Document Date")</t>
  </si>
  <si>
    <t>=NF($C236,"Document Date")</t>
  </si>
  <si>
    <t>=NF($C237,"Document Date")</t>
  </si>
  <si>
    <t>=NF($C238,"Document Date")</t>
  </si>
  <si>
    <t>=NF($C239,"Document Date")</t>
  </si>
  <si>
    <t>=NF($C240,"Document Date")</t>
  </si>
  <si>
    <t>=NF($C241,"Document Date")</t>
  </si>
  <si>
    <t>=NF($C242,"Document Date")</t>
  </si>
  <si>
    <t>=NF($C243,"Document Date")</t>
  </si>
  <si>
    <t>=NF($C244,"Document Date")</t>
  </si>
  <si>
    <t>=NF($C245,"Document Date")</t>
  </si>
  <si>
    <t>=NF($C246,"Document Date")</t>
  </si>
  <si>
    <t>=NF($C247,"Document Date")</t>
  </si>
  <si>
    <t>=NF($C248,"Document Date")</t>
  </si>
  <si>
    <t>=NF($C249,"Document Date")</t>
  </si>
  <si>
    <t>=NF($C250,"Document Date")</t>
  </si>
  <si>
    <t>=NF($C251,"Document Date")</t>
  </si>
  <si>
    <t>=NF($C252,"Document Date")</t>
  </si>
  <si>
    <t>=NF($C253,"Document Date")</t>
  </si>
  <si>
    <t>=NF($C254,"Document Date")</t>
  </si>
  <si>
    <t>=NF($C255,"Document Date")</t>
  </si>
  <si>
    <t>=NF($C256,"Document Date")</t>
  </si>
  <si>
    <t>=NF($C257,"Document Date")</t>
  </si>
  <si>
    <t>=NF($C258,"Document Date")</t>
  </si>
  <si>
    <t>=NF($C259,"Document Date")</t>
  </si>
  <si>
    <t>=NF($C260,"Document Date")</t>
  </si>
  <si>
    <t>=NF($C261,"Document Date")</t>
  </si>
  <si>
    <t>=NF($C262,"Document Date")</t>
  </si>
  <si>
    <t>=NF($C263,"Document Date")</t>
  </si>
  <si>
    <t>=NF($C264,"Document Date")</t>
  </si>
  <si>
    <t>=NF($C265,"Document Date")</t>
  </si>
  <si>
    <t>=NF($C266,"Document Date")</t>
  </si>
  <si>
    <t>=NF($C267,"Document Date")</t>
  </si>
  <si>
    <t>=NF($C268,"Document Date")</t>
  </si>
  <si>
    <t>=NF($C269,"Document Date")</t>
  </si>
  <si>
    <t>=NF($C270,"Document Date")</t>
  </si>
  <si>
    <t>=NF($C271,"Document Date")</t>
  </si>
  <si>
    <t>=NF($C272,"Document Date")</t>
  </si>
  <si>
    <t>=NF($C273,"Document Date")</t>
  </si>
  <si>
    <t>=NF($C274,"Document Date")</t>
  </si>
  <si>
    <t>=NF($C275,"Document Date")</t>
  </si>
  <si>
    <t>=NF($C276,"Document Date")</t>
  </si>
  <si>
    <t>=NF($C277,"Document Date")</t>
  </si>
  <si>
    <t>=NF($C278,"Document Date")</t>
  </si>
  <si>
    <t>=NF($C279,"Document Date")</t>
  </si>
  <si>
    <t>=NF($C280,"Document Date")</t>
  </si>
  <si>
    <t>=NF($C281,"Document Date")</t>
  </si>
  <si>
    <t>=NF($C282,"Document Date")</t>
  </si>
  <si>
    <t>=NF($C283,"Document Date")</t>
  </si>
  <si>
    <t>=NF($C284,"Document Date")</t>
  </si>
  <si>
    <t>=NF($C285,"Document Date")</t>
  </si>
  <si>
    <t>=NF($C286,"Document Date")</t>
  </si>
  <si>
    <t>=NF($C287,"Document Date")</t>
  </si>
  <si>
    <t>=NF($C288,"Document Date")</t>
  </si>
  <si>
    <t>=NF($C289,"Document Date")</t>
  </si>
  <si>
    <t>=NF($C290,"Document Date")</t>
  </si>
  <si>
    <t>=NF($C291,"Document Date")</t>
  </si>
  <si>
    <t>=NF($C292,"Document Date")</t>
  </si>
  <si>
    <t>=NF($C293,"Document Date")</t>
  </si>
  <si>
    <t>=NF($C294,"Document Date")</t>
  </si>
  <si>
    <t>=NF($C295,"Document Date")</t>
  </si>
  <si>
    <t>=NF($C296,"Document Date")</t>
  </si>
  <si>
    <t>=NF($C297,"Document Date")</t>
  </si>
  <si>
    <t>=NF($C298,"Document Date")</t>
  </si>
  <si>
    <t>=NF($C299,"Document Date")</t>
  </si>
  <si>
    <t>=NF($C300,"Document Date")</t>
  </si>
  <si>
    <t>=NF($C301,"Document Date")</t>
  </si>
  <si>
    <t>=NF($C302,"Document Date")</t>
  </si>
  <si>
    <t>=NF($C303,"Document Date")</t>
  </si>
  <si>
    <t>=NF($C304,"Document Date")</t>
  </si>
  <si>
    <t>=NF($C305,"Document Date")</t>
  </si>
  <si>
    <t>=NF($C306,"Document Date")</t>
  </si>
  <si>
    <t>=NF($C307,"Document Date")</t>
  </si>
  <si>
    <t>=NF($C308,"Document Date")</t>
  </si>
  <si>
    <t>=NF($C309,"Document Date")</t>
  </si>
  <si>
    <t>=NF($C310,"Document Date")</t>
  </si>
  <si>
    <t>=NF($C311,"Document Date")</t>
  </si>
  <si>
    <t>=NF($C312,"Document Date")</t>
  </si>
  <si>
    <t>=NF($C313,"Document Date")</t>
  </si>
  <si>
    <t>=NF($C314,"Document Date")</t>
  </si>
  <si>
    <t>=NF($C315,"Document Date")</t>
  </si>
  <si>
    <t>=NF($C316,"Document Date")</t>
  </si>
  <si>
    <t>=NF($C317,"Document Date")</t>
  </si>
  <si>
    <t>=NF($C318,"Document Date")</t>
  </si>
  <si>
    <t>=NF($C319,"Document Date")</t>
  </si>
  <si>
    <t>=NF($C320,"Document Date")</t>
  </si>
  <si>
    <t>=NF($C321,"Document Date")</t>
  </si>
  <si>
    <t>=NF($C322,"Document Date")</t>
  </si>
  <si>
    <t>=NF($C323,"Document Date")</t>
  </si>
  <si>
    <t>=NF($C14,"Description")</t>
  </si>
  <si>
    <t>=NF($C15,"Description")</t>
  </si>
  <si>
    <t>=NF($C16,"Description")</t>
  </si>
  <si>
    <t>=NF($C17,"Description")</t>
  </si>
  <si>
    <t>=NF($C18,"Description")</t>
  </si>
  <si>
    <t>=NF($C19,"Description")</t>
  </si>
  <si>
    <t>=NF($C20,"Description")</t>
  </si>
  <si>
    <t>=NF($C21,"Description")</t>
  </si>
  <si>
    <t>=NF($C22,"Description")</t>
  </si>
  <si>
    <t>=NF($C23,"Description")</t>
  </si>
  <si>
    <t>=NF($C24,"Description")</t>
  </si>
  <si>
    <t>=NF($C25,"Description")</t>
  </si>
  <si>
    <t>=NF($C26,"Description")</t>
  </si>
  <si>
    <t>=NF($C27,"Description")</t>
  </si>
  <si>
    <t>=NF($C28,"Description")</t>
  </si>
  <si>
    <t>=NF($C29,"Description")</t>
  </si>
  <si>
    <t>=NF($C30,"Description")</t>
  </si>
  <si>
    <t>=NF($C31,"Description")</t>
  </si>
  <si>
    <t>=NF($C32,"Description")</t>
  </si>
  <si>
    <t>=NF($C33,"Description")</t>
  </si>
  <si>
    <t>=NF($C34,"Description")</t>
  </si>
  <si>
    <t>=NF($C35,"Description")</t>
  </si>
  <si>
    <t>=NF($C36,"Description")</t>
  </si>
  <si>
    <t>=NF($C37,"Description")</t>
  </si>
  <si>
    <t>=NF($C38,"Description")</t>
  </si>
  <si>
    <t>=NF($C39,"Description")</t>
  </si>
  <si>
    <t>=NF($C40,"Description")</t>
  </si>
  <si>
    <t>=NF($C41,"Description")</t>
  </si>
  <si>
    <t>=NF($C42,"Description")</t>
  </si>
  <si>
    <t>=NF($C43,"Description")</t>
  </si>
  <si>
    <t>=NF($C44,"Description")</t>
  </si>
  <si>
    <t>=NF($C45,"Description")</t>
  </si>
  <si>
    <t>=NF($C46,"Description")</t>
  </si>
  <si>
    <t>=NF($C47,"Description")</t>
  </si>
  <si>
    <t>=NF($C48,"Description")</t>
  </si>
  <si>
    <t>=NF($C49,"Description")</t>
  </si>
  <si>
    <t>=NF($C50,"Description")</t>
  </si>
  <si>
    <t>=NF($C51,"Description")</t>
  </si>
  <si>
    <t>=NF($C52,"Description")</t>
  </si>
  <si>
    <t>=NF($C53,"Description")</t>
  </si>
  <si>
    <t>=NF($C54,"Description")</t>
  </si>
  <si>
    <t>=NF($C55,"Description")</t>
  </si>
  <si>
    <t>=NF($C56,"Description")</t>
  </si>
  <si>
    <t>=NF($C57,"Description")</t>
  </si>
  <si>
    <t>=NF($C58,"Description")</t>
  </si>
  <si>
    <t>=NF($C59,"Description")</t>
  </si>
  <si>
    <t>=NF($C60,"Description")</t>
  </si>
  <si>
    <t>=NF($C61,"Description")</t>
  </si>
  <si>
    <t>=NF($C62,"Description")</t>
  </si>
  <si>
    <t>=NF($C63,"Description")</t>
  </si>
  <si>
    <t>=NF($C64,"Description")</t>
  </si>
  <si>
    <t>=NF($C65,"Description")</t>
  </si>
  <si>
    <t>=NF($C66,"Description")</t>
  </si>
  <si>
    <t>=NF($C67,"Description")</t>
  </si>
  <si>
    <t>=NF($C68,"Description")</t>
  </si>
  <si>
    <t>=NF($C69,"Description")</t>
  </si>
  <si>
    <t>=NF($C70,"Description")</t>
  </si>
  <si>
    <t>=NF($C71,"Description")</t>
  </si>
  <si>
    <t>=NF($C72,"Description")</t>
  </si>
  <si>
    <t>=NF($C73,"Description")</t>
  </si>
  <si>
    <t>=NF($C74,"Description")</t>
  </si>
  <si>
    <t>=NF($C75,"Description")</t>
  </si>
  <si>
    <t>=NF($C76,"Description")</t>
  </si>
  <si>
    <t>=NF($C77,"Description")</t>
  </si>
  <si>
    <t>=NF($C78,"Description")</t>
  </si>
  <si>
    <t>=NF($C79,"Description")</t>
  </si>
  <si>
    <t>=NF($C80,"Description")</t>
  </si>
  <si>
    <t>=NF($C81,"Description")</t>
  </si>
  <si>
    <t>=NF($C82,"Description")</t>
  </si>
  <si>
    <t>=NF($C83,"Description")</t>
  </si>
  <si>
    <t>=NF($C84,"Description")</t>
  </si>
  <si>
    <t>=NF($C85,"Description")</t>
  </si>
  <si>
    <t>=NF($C86,"Description")</t>
  </si>
  <si>
    <t>=NF($C87,"Description")</t>
  </si>
  <si>
    <t>=NF($C88,"Description")</t>
  </si>
  <si>
    <t>=NF($C89,"Description")</t>
  </si>
  <si>
    <t>=NF($C90,"Description")</t>
  </si>
  <si>
    <t>=NF($C91,"Description")</t>
  </si>
  <si>
    <t>=NF($C92,"Description")</t>
  </si>
  <si>
    <t>=NF($C93,"Description")</t>
  </si>
  <si>
    <t>=NF($C94,"Description")</t>
  </si>
  <si>
    <t>=NF($C95,"Description")</t>
  </si>
  <si>
    <t>=NF($C96,"Description")</t>
  </si>
  <si>
    <t>=NF($C97,"Description")</t>
  </si>
  <si>
    <t>=NF($C98,"Description")</t>
  </si>
  <si>
    <t>=NF($C99,"Description")</t>
  </si>
  <si>
    <t>=NF($C100,"Description")</t>
  </si>
  <si>
    <t>=NF($C101,"Description")</t>
  </si>
  <si>
    <t>=NF($C102,"Description")</t>
  </si>
  <si>
    <t>=NF($C103,"Description")</t>
  </si>
  <si>
    <t>=NF($C104,"Description")</t>
  </si>
  <si>
    <t>=NF($C105,"Description")</t>
  </si>
  <si>
    <t>=NF($C106,"Description")</t>
  </si>
  <si>
    <t>=NF($C107,"Description")</t>
  </si>
  <si>
    <t>=NF($C108,"Description")</t>
  </si>
  <si>
    <t>=NF($C109,"Description")</t>
  </si>
  <si>
    <t>=NF($C110,"Description")</t>
  </si>
  <si>
    <t>=NF($C111,"Description")</t>
  </si>
  <si>
    <t>=NF($C112,"Description")</t>
  </si>
  <si>
    <t>=NF($C113,"Description")</t>
  </si>
  <si>
    <t>=NF($C114,"Description")</t>
  </si>
  <si>
    <t>=NF($C115,"Description")</t>
  </si>
  <si>
    <t>=NF($C116,"Description")</t>
  </si>
  <si>
    <t>=NF($C117,"Description")</t>
  </si>
  <si>
    <t>=NF($C118,"Description")</t>
  </si>
  <si>
    <t>=NF($C119,"Description")</t>
  </si>
  <si>
    <t>=NF($C120,"Description")</t>
  </si>
  <si>
    <t>=NF($C121,"Description")</t>
  </si>
  <si>
    <t>=NF($C122,"Description")</t>
  </si>
  <si>
    <t>=NF($C123,"Description")</t>
  </si>
  <si>
    <t>=NF($C124,"Description")</t>
  </si>
  <si>
    <t>=NF($C125,"Description")</t>
  </si>
  <si>
    <t>=NF($C126,"Description")</t>
  </si>
  <si>
    <t>=NF($C127,"Description")</t>
  </si>
  <si>
    <t>=NF($C128,"Description")</t>
  </si>
  <si>
    <t>=NF($C129,"Description")</t>
  </si>
  <si>
    <t>=NF($C130,"Description")</t>
  </si>
  <si>
    <t>=NF($C131,"Description")</t>
  </si>
  <si>
    <t>=NF($C132,"Description")</t>
  </si>
  <si>
    <t>=NF($C133,"Description")</t>
  </si>
  <si>
    <t>=NF($C134,"Description")</t>
  </si>
  <si>
    <t>=NF($C135,"Description")</t>
  </si>
  <si>
    <t>=NF($C136,"Description")</t>
  </si>
  <si>
    <t>=NF($C137,"Description")</t>
  </si>
  <si>
    <t>=NF($C138,"Description")</t>
  </si>
  <si>
    <t>=NF($C139,"Description")</t>
  </si>
  <si>
    <t>=NF($C140,"Description")</t>
  </si>
  <si>
    <t>=NF($C141,"Description")</t>
  </si>
  <si>
    <t>=NF($C142,"Description")</t>
  </si>
  <si>
    <t>=NF($C143,"Description")</t>
  </si>
  <si>
    <t>=NF($C144,"Description")</t>
  </si>
  <si>
    <t>=NF($C145,"Description")</t>
  </si>
  <si>
    <t>=NF($C146,"Description")</t>
  </si>
  <si>
    <t>=NF($C147,"Description")</t>
  </si>
  <si>
    <t>=NF($C148,"Description")</t>
  </si>
  <si>
    <t>=NF($C149,"Description")</t>
  </si>
  <si>
    <t>=NF($C150,"Description")</t>
  </si>
  <si>
    <t>=NF($C151,"Description")</t>
  </si>
  <si>
    <t>=NF($C152,"Description")</t>
  </si>
  <si>
    <t>=NF($C153,"Description")</t>
  </si>
  <si>
    <t>=NF($C154,"Description")</t>
  </si>
  <si>
    <t>=NF($C155,"Description")</t>
  </si>
  <si>
    <t>=NF($C156,"Description")</t>
  </si>
  <si>
    <t>=NF($C157,"Description")</t>
  </si>
  <si>
    <t>=NF($C158,"Description")</t>
  </si>
  <si>
    <t>=NF($C159,"Description")</t>
  </si>
  <si>
    <t>=NF($C160,"Description")</t>
  </si>
  <si>
    <t>=NF($C161,"Description")</t>
  </si>
  <si>
    <t>=NF($C162,"Description")</t>
  </si>
  <si>
    <t>=NF($C163,"Description")</t>
  </si>
  <si>
    <t>=NF($C164,"Description")</t>
  </si>
  <si>
    <t>=NF($C165,"Description")</t>
  </si>
  <si>
    <t>=NF($C166,"Description")</t>
  </si>
  <si>
    <t>=NF($C167,"Description")</t>
  </si>
  <si>
    <t>=NF($C168,"Description")</t>
  </si>
  <si>
    <t>=NF($C169,"Description")</t>
  </si>
  <si>
    <t>=NF($C170,"Description")</t>
  </si>
  <si>
    <t>=NF($C171,"Description")</t>
  </si>
  <si>
    <t>=NF($C172,"Description")</t>
  </si>
  <si>
    <t>=NF($C173,"Description")</t>
  </si>
  <si>
    <t>=NF($C174,"Description")</t>
  </si>
  <si>
    <t>=NF($C175,"Description")</t>
  </si>
  <si>
    <t>=NF($C176,"Description")</t>
  </si>
  <si>
    <t>=NF($C177,"Description")</t>
  </si>
  <si>
    <t>=NF($C178,"Description")</t>
  </si>
  <si>
    <t>=NF($C179,"Description")</t>
  </si>
  <si>
    <t>=NF($C180,"Description")</t>
  </si>
  <si>
    <t>=NF($C181,"Description")</t>
  </si>
  <si>
    <t>=NF($C182,"Description")</t>
  </si>
  <si>
    <t>=NF($C183,"Description")</t>
  </si>
  <si>
    <t>=NF($C184,"Description")</t>
  </si>
  <si>
    <t>=NF($C185,"Description")</t>
  </si>
  <si>
    <t>=NF($C186,"Description")</t>
  </si>
  <si>
    <t>=NF($C187,"Description")</t>
  </si>
  <si>
    <t>=NF($C188,"Description")</t>
  </si>
  <si>
    <t>=NF($C189,"Description")</t>
  </si>
  <si>
    <t>=NF($C190,"Description")</t>
  </si>
  <si>
    <t>=NF($C191,"Description")</t>
  </si>
  <si>
    <t>=NF($C192,"Description")</t>
  </si>
  <si>
    <t>=NF($C193,"Description")</t>
  </si>
  <si>
    <t>=NF($C194,"Description")</t>
  </si>
  <si>
    <t>=NF($C195,"Description")</t>
  </si>
  <si>
    <t>=NF($C196,"Description")</t>
  </si>
  <si>
    <t>=NF($C197,"Description")</t>
  </si>
  <si>
    <t>=NF($C198,"Description")</t>
  </si>
  <si>
    <t>=NF($C199,"Description")</t>
  </si>
  <si>
    <t>=NF($C200,"Description")</t>
  </si>
  <si>
    <t>=NF($C201,"Description")</t>
  </si>
  <si>
    <t>=NF($C202,"Description")</t>
  </si>
  <si>
    <t>=NF($C203,"Description")</t>
  </si>
  <si>
    <t>=NF($C204,"Description")</t>
  </si>
  <si>
    <t>=NF($C205,"Description")</t>
  </si>
  <si>
    <t>=NF($C206,"Description")</t>
  </si>
  <si>
    <t>=NF($C207,"Description")</t>
  </si>
  <si>
    <t>=NF($C208,"Description")</t>
  </si>
  <si>
    <t>=NF($C209,"Description")</t>
  </si>
  <si>
    <t>=NF($C210,"Description")</t>
  </si>
  <si>
    <t>=NF($C211,"Description")</t>
  </si>
  <si>
    <t>=NF($C212,"Description")</t>
  </si>
  <si>
    <t>=NF($C213,"Description")</t>
  </si>
  <si>
    <t>=NF($C214,"Description")</t>
  </si>
  <si>
    <t>=NF($C215,"Description")</t>
  </si>
  <si>
    <t>=NF($C216,"Description")</t>
  </si>
  <si>
    <t>=NF($C217,"Description")</t>
  </si>
  <si>
    <t>=NF($C218,"Description")</t>
  </si>
  <si>
    <t>=NF($C219,"Description")</t>
  </si>
  <si>
    <t>=NF($C220,"Description")</t>
  </si>
  <si>
    <t>=NF($C221,"Description")</t>
  </si>
  <si>
    <t>=NF($C222,"Description")</t>
  </si>
  <si>
    <t>=NF($C223,"Description")</t>
  </si>
  <si>
    <t>=NF($C224,"Description")</t>
  </si>
  <si>
    <t>=NF($C225,"Description")</t>
  </si>
  <si>
    <t>=NF($C226,"Description")</t>
  </si>
  <si>
    <t>=NF($C227,"Description")</t>
  </si>
  <si>
    <t>=NF($C228,"Description")</t>
  </si>
  <si>
    <t>=NF($C229,"Description")</t>
  </si>
  <si>
    <t>=NF($C230,"Description")</t>
  </si>
  <si>
    <t>=NF($C231,"Description")</t>
  </si>
  <si>
    <t>=NF($C232,"Description")</t>
  </si>
  <si>
    <t>=NF($C233,"Description")</t>
  </si>
  <si>
    <t>=NF($C234,"Description")</t>
  </si>
  <si>
    <t>=NF($C235,"Description")</t>
  </si>
  <si>
    <t>=NF($C236,"Description")</t>
  </si>
  <si>
    <t>=NF($C237,"Description")</t>
  </si>
  <si>
    <t>=NF($C238,"Description")</t>
  </si>
  <si>
    <t>=NF($C239,"Description")</t>
  </si>
  <si>
    <t>=NF($C240,"Description")</t>
  </si>
  <si>
    <t>=NF($C241,"Description")</t>
  </si>
  <si>
    <t>=NF($C242,"Description")</t>
  </si>
  <si>
    <t>=NF($C243,"Description")</t>
  </si>
  <si>
    <t>=NF($C244,"Description")</t>
  </si>
  <si>
    <t>=NF($C245,"Description")</t>
  </si>
  <si>
    <t>=NF($C246,"Description")</t>
  </si>
  <si>
    <t>=NF($C247,"Description")</t>
  </si>
  <si>
    <t>=NF($C248,"Description")</t>
  </si>
  <si>
    <t>=NF($C249,"Description")</t>
  </si>
  <si>
    <t>=NF($C250,"Description")</t>
  </si>
  <si>
    <t>=NF($C251,"Description")</t>
  </si>
  <si>
    <t>=NF($C252,"Description")</t>
  </si>
  <si>
    <t>=NF($C253,"Description")</t>
  </si>
  <si>
    <t>=NF($C254,"Description")</t>
  </si>
  <si>
    <t>=NF($C255,"Description")</t>
  </si>
  <si>
    <t>=NF($C256,"Description")</t>
  </si>
  <si>
    <t>=NF($C257,"Description")</t>
  </si>
  <si>
    <t>=NF($C258,"Description")</t>
  </si>
  <si>
    <t>=NF($C259,"Description")</t>
  </si>
  <si>
    <t>=NF($C260,"Description")</t>
  </si>
  <si>
    <t>=NF($C261,"Description")</t>
  </si>
  <si>
    <t>=NF($C262,"Description")</t>
  </si>
  <si>
    <t>=NF($C263,"Description")</t>
  </si>
  <si>
    <t>=NF($C264,"Description")</t>
  </si>
  <si>
    <t>=NF($C265,"Description")</t>
  </si>
  <si>
    <t>=NF($C266,"Description")</t>
  </si>
  <si>
    <t>=NF($C267,"Description")</t>
  </si>
  <si>
    <t>=NF($C268,"Description")</t>
  </si>
  <si>
    <t>=NF($C269,"Description")</t>
  </si>
  <si>
    <t>=NF($C270,"Description")</t>
  </si>
  <si>
    <t>=NF($C271,"Description")</t>
  </si>
  <si>
    <t>=NF($C272,"Description")</t>
  </si>
  <si>
    <t>=NF($C273,"Description")</t>
  </si>
  <si>
    <t>=NF($C274,"Description")</t>
  </si>
  <si>
    <t>=NF($C275,"Description")</t>
  </si>
  <si>
    <t>=NF($C276,"Description")</t>
  </si>
  <si>
    <t>=NF($C277,"Description")</t>
  </si>
  <si>
    <t>=NF($C278,"Description")</t>
  </si>
  <si>
    <t>=NF($C279,"Description")</t>
  </si>
  <si>
    <t>=NF($C280,"Description")</t>
  </si>
  <si>
    <t>=NF($C281,"Description")</t>
  </si>
  <si>
    <t>=NF($C282,"Description")</t>
  </si>
  <si>
    <t>=NF($C283,"Description")</t>
  </si>
  <si>
    <t>=NF($C284,"Description")</t>
  </si>
  <si>
    <t>=NF($C285,"Description")</t>
  </si>
  <si>
    <t>=NF($C286,"Description")</t>
  </si>
  <si>
    <t>=NF($C287,"Description")</t>
  </si>
  <si>
    <t>=NF($C288,"Description")</t>
  </si>
  <si>
    <t>=NF($C289,"Description")</t>
  </si>
  <si>
    <t>=NF($C290,"Description")</t>
  </si>
  <si>
    <t>=NF($C291,"Description")</t>
  </si>
  <si>
    <t>=NF($C292,"Description")</t>
  </si>
  <si>
    <t>=NF($C293,"Description")</t>
  </si>
  <si>
    <t>=NF($C294,"Description")</t>
  </si>
  <si>
    <t>=NF($C295,"Description")</t>
  </si>
  <si>
    <t>=NF($C296,"Description")</t>
  </si>
  <si>
    <t>=NF($C297,"Description")</t>
  </si>
  <si>
    <t>=NF($C298,"Description")</t>
  </si>
  <si>
    <t>=NF($C299,"Description")</t>
  </si>
  <si>
    <t>=NF($C300,"Description")</t>
  </si>
  <si>
    <t>=NF($C301,"Description")</t>
  </si>
  <si>
    <t>=NF($C302,"Description")</t>
  </si>
  <si>
    <t>=NF($C303,"Description")</t>
  </si>
  <si>
    <t>=NF($C304,"Description")</t>
  </si>
  <si>
    <t>=NF($C305,"Description")</t>
  </si>
  <si>
    <t>=NF($C306,"Description")</t>
  </si>
  <si>
    <t>=NF($C307,"Description")</t>
  </si>
  <si>
    <t>=NF($C308,"Description")</t>
  </si>
  <si>
    <t>=NF($C309,"Description")</t>
  </si>
  <si>
    <t>=NF($C310,"Description")</t>
  </si>
  <si>
    <t>=NF($C311,"Description")</t>
  </si>
  <si>
    <t>=NF($C312,"Description")</t>
  </si>
  <si>
    <t>=NF($C313,"Description")</t>
  </si>
  <si>
    <t>=NF($C314,"Description")</t>
  </si>
  <si>
    <t>=NF($C315,"Description")</t>
  </si>
  <si>
    <t>=NF($C316,"Description")</t>
  </si>
  <si>
    <t>=NF($C317,"Description")</t>
  </si>
  <si>
    <t>=NF($C318,"Description")</t>
  </si>
  <si>
    <t>=NF($C319,"Description")</t>
  </si>
  <si>
    <t>=NF($C320,"Description")</t>
  </si>
  <si>
    <t>=NF($C321,"Description")</t>
  </si>
  <si>
    <t>=NF($C322,"Description")</t>
  </si>
  <si>
    <t>=NF($C323,"Description")</t>
  </si>
  <si>
    <t>=NF($C14,"Intensi Code")</t>
  </si>
  <si>
    <t>=NF($C15,"Intensi Code")</t>
  </si>
  <si>
    <t>=NF($C16,"Intensi Code")</t>
  </si>
  <si>
    <t>=NF($C17,"Intensi Code")</t>
  </si>
  <si>
    <t>=NF($C18,"Intensi Code")</t>
  </si>
  <si>
    <t>=NF($C19,"Intensi Code")</t>
  </si>
  <si>
    <t>=NF($C20,"Intensi Code")</t>
  </si>
  <si>
    <t>=NF($C21,"Intensi Code")</t>
  </si>
  <si>
    <t>=NF($C22,"Intensi Code")</t>
  </si>
  <si>
    <t>=NF($C23,"Intensi Code")</t>
  </si>
  <si>
    <t>=NF($C24,"Intensi Code")</t>
  </si>
  <si>
    <t>=NF($C25,"Intensi Code")</t>
  </si>
  <si>
    <t>=NF($C26,"Intensi Code")</t>
  </si>
  <si>
    <t>=NF($C27,"Intensi Code")</t>
  </si>
  <si>
    <t>=NF($C28,"Intensi Code")</t>
  </si>
  <si>
    <t>=NF($C29,"Intensi Code")</t>
  </si>
  <si>
    <t>=NF($C30,"Intensi Code")</t>
  </si>
  <si>
    <t>=NF($C31,"Intensi Code")</t>
  </si>
  <si>
    <t>=NF($C32,"Intensi Code")</t>
  </si>
  <si>
    <t>=NF($C33,"Intensi Code")</t>
  </si>
  <si>
    <t>=NF($C34,"Intensi Code")</t>
  </si>
  <si>
    <t>=NF($C35,"Intensi Code")</t>
  </si>
  <si>
    <t>=NF($C36,"Intensi Code")</t>
  </si>
  <si>
    <t>=NF($C37,"Intensi Code")</t>
  </si>
  <si>
    <t>=NF($C38,"Intensi Code")</t>
  </si>
  <si>
    <t>=NF($C39,"Intensi Code")</t>
  </si>
  <si>
    <t>=NF($C40,"Intensi Code")</t>
  </si>
  <si>
    <t>=NF($C41,"Intensi Code")</t>
  </si>
  <si>
    <t>=NF($C42,"Intensi Code")</t>
  </si>
  <si>
    <t>=NF($C43,"Intensi Code")</t>
  </si>
  <si>
    <t>=NF($C44,"Intensi Code")</t>
  </si>
  <si>
    <t>=NF($C45,"Intensi Code")</t>
  </si>
  <si>
    <t>=NF($C46,"Intensi Code")</t>
  </si>
  <si>
    <t>=NF($C47,"Intensi Code")</t>
  </si>
  <si>
    <t>=NF($C48,"Intensi Code")</t>
  </si>
  <si>
    <t>=NF($C49,"Intensi Code")</t>
  </si>
  <si>
    <t>=NF($C50,"Intensi Code")</t>
  </si>
  <si>
    <t>=NF($C51,"Intensi Code")</t>
  </si>
  <si>
    <t>=NF($C52,"Intensi Code")</t>
  </si>
  <si>
    <t>=NF($C53,"Intensi Code")</t>
  </si>
  <si>
    <t>=NF($C54,"Intensi Code")</t>
  </si>
  <si>
    <t>=NF($C55,"Intensi Code")</t>
  </si>
  <si>
    <t>=NF($C56,"Intensi Code")</t>
  </si>
  <si>
    <t>=NF($C57,"Intensi Code")</t>
  </si>
  <si>
    <t>=NF($C58,"Intensi Code")</t>
  </si>
  <si>
    <t>=NF($C59,"Intensi Code")</t>
  </si>
  <si>
    <t>=NF($C60,"Intensi Code")</t>
  </si>
  <si>
    <t>=NF($C61,"Intensi Code")</t>
  </si>
  <si>
    <t>=NF($C62,"Intensi Code")</t>
  </si>
  <si>
    <t>=NF($C63,"Intensi Code")</t>
  </si>
  <si>
    <t>=NF($C64,"Intensi Code")</t>
  </si>
  <si>
    <t>=NF($C65,"Intensi Code")</t>
  </si>
  <si>
    <t>=NF($C66,"Intensi Code")</t>
  </si>
  <si>
    <t>=NF($C67,"Intensi Code")</t>
  </si>
  <si>
    <t>=NF($C68,"Intensi Code")</t>
  </si>
  <si>
    <t>=NF($C69,"Intensi Code")</t>
  </si>
  <si>
    <t>=NF($C70,"Intensi Code")</t>
  </si>
  <si>
    <t>=NF($C71,"Intensi Code")</t>
  </si>
  <si>
    <t>=NF($C72,"Intensi Code")</t>
  </si>
  <si>
    <t>=NF($C73,"Intensi Code")</t>
  </si>
  <si>
    <t>=NF($C74,"Intensi Code")</t>
  </si>
  <si>
    <t>=NF($C75,"Intensi Code")</t>
  </si>
  <si>
    <t>=NF($C76,"Intensi Code")</t>
  </si>
  <si>
    <t>=NF($C77,"Intensi Code")</t>
  </si>
  <si>
    <t>=NF($C78,"Intensi Code")</t>
  </si>
  <si>
    <t>=NF($C79,"Intensi Code")</t>
  </si>
  <si>
    <t>=NF($C80,"Intensi Code")</t>
  </si>
  <si>
    <t>=NF($C81,"Intensi Code")</t>
  </si>
  <si>
    <t>=NF($C82,"Intensi Code")</t>
  </si>
  <si>
    <t>=NF($C83,"Intensi Code")</t>
  </si>
  <si>
    <t>=NF($C84,"Intensi Code")</t>
  </si>
  <si>
    <t>=NF($C85,"Intensi Code")</t>
  </si>
  <si>
    <t>=NF($C86,"Intensi Code")</t>
  </si>
  <si>
    <t>=NF($C87,"Intensi Code")</t>
  </si>
  <si>
    <t>=NF($C88,"Intensi Code")</t>
  </si>
  <si>
    <t>=NF($C89,"Intensi Code")</t>
  </si>
  <si>
    <t>=NF($C90,"Intensi Code")</t>
  </si>
  <si>
    <t>=NF($C91,"Intensi Code")</t>
  </si>
  <si>
    <t>=NF($C92,"Intensi Code")</t>
  </si>
  <si>
    <t>=NF($C93,"Intensi Code")</t>
  </si>
  <si>
    <t>=NF($C94,"Intensi Code")</t>
  </si>
  <si>
    <t>=NF($C95,"Intensi Code")</t>
  </si>
  <si>
    <t>=NF($C96,"Intensi Code")</t>
  </si>
  <si>
    <t>=NF($C97,"Intensi Code")</t>
  </si>
  <si>
    <t>=NF($C98,"Intensi Code")</t>
  </si>
  <si>
    <t>=NF($C99,"Intensi Code")</t>
  </si>
  <si>
    <t>=NF($C100,"Intensi Code")</t>
  </si>
  <si>
    <t>=NF($C101,"Intensi Code")</t>
  </si>
  <si>
    <t>=NF($C102,"Intensi Code")</t>
  </si>
  <si>
    <t>=NF($C103,"Intensi Code")</t>
  </si>
  <si>
    <t>=NF($C104,"Intensi Code")</t>
  </si>
  <si>
    <t>=NF($C105,"Intensi Code")</t>
  </si>
  <si>
    <t>=NF($C106,"Intensi Code")</t>
  </si>
  <si>
    <t>=NF($C107,"Intensi Code")</t>
  </si>
  <si>
    <t>=NF($C108,"Intensi Code")</t>
  </si>
  <si>
    <t>=NF($C109,"Intensi Code")</t>
  </si>
  <si>
    <t>=NF($C110,"Intensi Code")</t>
  </si>
  <si>
    <t>=NF($C111,"Intensi Code")</t>
  </si>
  <si>
    <t>=NF($C112,"Intensi Code")</t>
  </si>
  <si>
    <t>=NF($C113,"Intensi Code")</t>
  </si>
  <si>
    <t>=NF($C114,"Intensi Code")</t>
  </si>
  <si>
    <t>=NF($C115,"Intensi Code")</t>
  </si>
  <si>
    <t>=NF($C116,"Intensi Code")</t>
  </si>
  <si>
    <t>=NF($C117,"Intensi Code")</t>
  </si>
  <si>
    <t>=NF($C118,"Intensi Code")</t>
  </si>
  <si>
    <t>=NF($C119,"Intensi Code")</t>
  </si>
  <si>
    <t>=NF($C120,"Intensi Code")</t>
  </si>
  <si>
    <t>=NF($C121,"Intensi Code")</t>
  </si>
  <si>
    <t>=NF($C122,"Intensi Code")</t>
  </si>
  <si>
    <t>=NF($C123,"Intensi Code")</t>
  </si>
  <si>
    <t>=NF($C124,"Intensi Code")</t>
  </si>
  <si>
    <t>=NF($C125,"Intensi Code")</t>
  </si>
  <si>
    <t>=NF($C126,"Intensi Code")</t>
  </si>
  <si>
    <t>=NF($C127,"Intensi Code")</t>
  </si>
  <si>
    <t>=NF($C128,"Intensi Code")</t>
  </si>
  <si>
    <t>=NF($C129,"Intensi Code")</t>
  </si>
  <si>
    <t>=NF($C130,"Intensi Code")</t>
  </si>
  <si>
    <t>=NF($C131,"Intensi Code")</t>
  </si>
  <si>
    <t>=NF($C132,"Intensi Code")</t>
  </si>
  <si>
    <t>=NF($C133,"Intensi Code")</t>
  </si>
  <si>
    <t>=NF($C134,"Intensi Code")</t>
  </si>
  <si>
    <t>=NF($C135,"Intensi Code")</t>
  </si>
  <si>
    <t>=NF($C136,"Intensi Code")</t>
  </si>
  <si>
    <t>=NF($C137,"Intensi Code")</t>
  </si>
  <si>
    <t>=NF($C138,"Intensi Code")</t>
  </si>
  <si>
    <t>=NF($C139,"Intensi Code")</t>
  </si>
  <si>
    <t>=NF($C140,"Intensi Code")</t>
  </si>
  <si>
    <t>=NF($C141,"Intensi Code")</t>
  </si>
  <si>
    <t>=NF($C142,"Intensi Code")</t>
  </si>
  <si>
    <t>=NF($C143,"Intensi Code")</t>
  </si>
  <si>
    <t>=NF($C144,"Intensi Code")</t>
  </si>
  <si>
    <t>=NF($C145,"Intensi Code")</t>
  </si>
  <si>
    <t>=NF($C146,"Intensi Code")</t>
  </si>
  <si>
    <t>=NF($C147,"Intensi Code")</t>
  </si>
  <si>
    <t>=NF($C148,"Intensi Code")</t>
  </si>
  <si>
    <t>=NF($C149,"Intensi Code")</t>
  </si>
  <si>
    <t>=NF($C150,"Intensi Code")</t>
  </si>
  <si>
    <t>=NF($C151,"Intensi Code")</t>
  </si>
  <si>
    <t>=NF($C152,"Intensi Code")</t>
  </si>
  <si>
    <t>=NF($C153,"Intensi Code")</t>
  </si>
  <si>
    <t>=NF($C154,"Intensi Code")</t>
  </si>
  <si>
    <t>=NF($C155,"Intensi Code")</t>
  </si>
  <si>
    <t>=NF($C156,"Intensi Code")</t>
  </si>
  <si>
    <t>=NF($C157,"Intensi Code")</t>
  </si>
  <si>
    <t>=NF($C158,"Intensi Code")</t>
  </si>
  <si>
    <t>=NF($C159,"Intensi Code")</t>
  </si>
  <si>
    <t>=NF($C160,"Intensi Code")</t>
  </si>
  <si>
    <t>=NF($C161,"Intensi Code")</t>
  </si>
  <si>
    <t>=NF($C162,"Intensi Code")</t>
  </si>
  <si>
    <t>=NF($C163,"Intensi Code")</t>
  </si>
  <si>
    <t>=NF($C164,"Intensi Code")</t>
  </si>
  <si>
    <t>=NF($C165,"Intensi Code")</t>
  </si>
  <si>
    <t>=NF($C166,"Intensi Code")</t>
  </si>
  <si>
    <t>=NF($C167,"Intensi Code")</t>
  </si>
  <si>
    <t>=NF($C168,"Intensi Code")</t>
  </si>
  <si>
    <t>=NF($C169,"Intensi Code")</t>
  </si>
  <si>
    <t>=NF($C170,"Intensi Code")</t>
  </si>
  <si>
    <t>=NF($C171,"Intensi Code")</t>
  </si>
  <si>
    <t>=NF($C172,"Intensi Code")</t>
  </si>
  <si>
    <t>=NF($C173,"Intensi Code")</t>
  </si>
  <si>
    <t>=NF($C174,"Intensi Code")</t>
  </si>
  <si>
    <t>=NF($C175,"Intensi Code")</t>
  </si>
  <si>
    <t>=NF($C176,"Intensi Code")</t>
  </si>
  <si>
    <t>=NF($C177,"Intensi Code")</t>
  </si>
  <si>
    <t>=NF($C178,"Intensi Code")</t>
  </si>
  <si>
    <t>=NF($C179,"Intensi Code")</t>
  </si>
  <si>
    <t>=NF($C180,"Intensi Code")</t>
  </si>
  <si>
    <t>=NF($C181,"Intensi Code")</t>
  </si>
  <si>
    <t>=NF($C182,"Intensi Code")</t>
  </si>
  <si>
    <t>=NF($C183,"Intensi Code")</t>
  </si>
  <si>
    <t>=NF($C184,"Intensi Code")</t>
  </si>
  <si>
    <t>=NF($C185,"Intensi Code")</t>
  </si>
  <si>
    <t>=NF($C186,"Intensi Code")</t>
  </si>
  <si>
    <t>=NF($C187,"Intensi Code")</t>
  </si>
  <si>
    <t>=NF($C188,"Intensi Code")</t>
  </si>
  <si>
    <t>=NF($C189,"Intensi Code")</t>
  </si>
  <si>
    <t>=NF($C190,"Intensi Code")</t>
  </si>
  <si>
    <t>=NF($C191,"Intensi Code")</t>
  </si>
  <si>
    <t>=NF($C192,"Intensi Code")</t>
  </si>
  <si>
    <t>=NF($C193,"Intensi Code")</t>
  </si>
  <si>
    <t>=NF($C194,"Intensi Code")</t>
  </si>
  <si>
    <t>=NF($C195,"Intensi Code")</t>
  </si>
  <si>
    <t>=NF($C196,"Intensi Code")</t>
  </si>
  <si>
    <t>=NF($C197,"Intensi Code")</t>
  </si>
  <si>
    <t>=NF($C198,"Intensi Code")</t>
  </si>
  <si>
    <t>=NF($C199,"Intensi Code")</t>
  </si>
  <si>
    <t>=NF($C200,"Intensi Code")</t>
  </si>
  <si>
    <t>=NF($C201,"Intensi Code")</t>
  </si>
  <si>
    <t>=NF($C202,"Intensi Code")</t>
  </si>
  <si>
    <t>=NF($C203,"Intensi Code")</t>
  </si>
  <si>
    <t>=NF($C204,"Intensi Code")</t>
  </si>
  <si>
    <t>=NF($C205,"Intensi Code")</t>
  </si>
  <si>
    <t>=NF($C206,"Intensi Code")</t>
  </si>
  <si>
    <t>=NF($C207,"Intensi Code")</t>
  </si>
  <si>
    <t>=NF($C208,"Intensi Code")</t>
  </si>
  <si>
    <t>=NF($C209,"Intensi Code")</t>
  </si>
  <si>
    <t>=NF($C210,"Intensi Code")</t>
  </si>
  <si>
    <t>=NF($C211,"Intensi Code")</t>
  </si>
  <si>
    <t>=NF($C212,"Intensi Code")</t>
  </si>
  <si>
    <t>=NF($C213,"Intensi Code")</t>
  </si>
  <si>
    <t>=NF($C214,"Intensi Code")</t>
  </si>
  <si>
    <t>=NF($C215,"Intensi Code")</t>
  </si>
  <si>
    <t>=NF($C216,"Intensi Code")</t>
  </si>
  <si>
    <t>=NF($C217,"Intensi Code")</t>
  </si>
  <si>
    <t>=NF($C218,"Intensi Code")</t>
  </si>
  <si>
    <t>=NF($C219,"Intensi Code")</t>
  </si>
  <si>
    <t>=NF($C220,"Intensi Code")</t>
  </si>
  <si>
    <t>=NF($C221,"Intensi Code")</t>
  </si>
  <si>
    <t>=NF($C222,"Intensi Code")</t>
  </si>
  <si>
    <t>=NF($C223,"Intensi Code")</t>
  </si>
  <si>
    <t>=NF($C224,"Intensi Code")</t>
  </si>
  <si>
    <t>=NF($C225,"Intensi Code")</t>
  </si>
  <si>
    <t>=NF($C226,"Intensi Code")</t>
  </si>
  <si>
    <t>=NF($C227,"Intensi Code")</t>
  </si>
  <si>
    <t>=NF($C228,"Intensi Code")</t>
  </si>
  <si>
    <t>=NF($C229,"Intensi Code")</t>
  </si>
  <si>
    <t>=NF($C230,"Intensi Code")</t>
  </si>
  <si>
    <t>=NF($C231,"Intensi Code")</t>
  </si>
  <si>
    <t>=NF($C232,"Intensi Code")</t>
  </si>
  <si>
    <t>=NF($C233,"Intensi Code")</t>
  </si>
  <si>
    <t>=NF($C234,"Intensi Code")</t>
  </si>
  <si>
    <t>=NF($C235,"Intensi Code")</t>
  </si>
  <si>
    <t>=NF($C236,"Intensi Code")</t>
  </si>
  <si>
    <t>=NF($C237,"Intensi Code")</t>
  </si>
  <si>
    <t>=NF($C238,"Intensi Code")</t>
  </si>
  <si>
    <t>=NF($C239,"Intensi Code")</t>
  </si>
  <si>
    <t>=NF($C240,"Intensi Code")</t>
  </si>
  <si>
    <t>=NF($C241,"Intensi Code")</t>
  </si>
  <si>
    <t>=NF($C242,"Intensi Code")</t>
  </si>
  <si>
    <t>=NF($C243,"Intensi Code")</t>
  </si>
  <si>
    <t>=NF($C244,"Intensi Code")</t>
  </si>
  <si>
    <t>=NF($C245,"Intensi Code")</t>
  </si>
  <si>
    <t>=NF($C246,"Intensi Code")</t>
  </si>
  <si>
    <t>=NF($C247,"Intensi Code")</t>
  </si>
  <si>
    <t>=NF($C248,"Intensi Code")</t>
  </si>
  <si>
    <t>=NF($C249,"Intensi Code")</t>
  </si>
  <si>
    <t>=NF($C250,"Intensi Code")</t>
  </si>
  <si>
    <t>=NF($C251,"Intensi Code")</t>
  </si>
  <si>
    <t>=NF($C252,"Intensi Code")</t>
  </si>
  <si>
    <t>=NF($C253,"Intensi Code")</t>
  </si>
  <si>
    <t>=NF($C254,"Intensi Code")</t>
  </si>
  <si>
    <t>=NF($C255,"Intensi Code")</t>
  </si>
  <si>
    <t>=NF($C256,"Intensi Code")</t>
  </si>
  <si>
    <t>=NF($C257,"Intensi Code")</t>
  </si>
  <si>
    <t>=NF($C258,"Intensi Code")</t>
  </si>
  <si>
    <t>=NF($C259,"Intensi Code")</t>
  </si>
  <si>
    <t>=NF($C260,"Intensi Code")</t>
  </si>
  <si>
    <t>=NF($C261,"Intensi Code")</t>
  </si>
  <si>
    <t>=NF($C262,"Intensi Code")</t>
  </si>
  <si>
    <t>=NF($C263,"Intensi Code")</t>
  </si>
  <si>
    <t>=NF($C264,"Intensi Code")</t>
  </si>
  <si>
    <t>=NF($C265,"Intensi Code")</t>
  </si>
  <si>
    <t>=NF($C266,"Intensi Code")</t>
  </si>
  <si>
    <t>=NF($C267,"Intensi Code")</t>
  </si>
  <si>
    <t>=NF($C268,"Intensi Code")</t>
  </si>
  <si>
    <t>=NF($C269,"Intensi Code")</t>
  </si>
  <si>
    <t>=NF($C270,"Intensi Code")</t>
  </si>
  <si>
    <t>=NF($C271,"Intensi Code")</t>
  </si>
  <si>
    <t>=NF($C272,"Intensi Code")</t>
  </si>
  <si>
    <t>=NF($C273,"Intensi Code")</t>
  </si>
  <si>
    <t>=NF($C274,"Intensi Code")</t>
  </si>
  <si>
    <t>=NF($C275,"Intensi Code")</t>
  </si>
  <si>
    <t>=NF($C276,"Intensi Code")</t>
  </si>
  <si>
    <t>=NF($C277,"Intensi Code")</t>
  </si>
  <si>
    <t>=NF($C278,"Intensi Code")</t>
  </si>
  <si>
    <t>=NF($C279,"Intensi Code")</t>
  </si>
  <si>
    <t>=NF($C280,"Intensi Code")</t>
  </si>
  <si>
    <t>=NF($C281,"Intensi Code")</t>
  </si>
  <si>
    <t>=NF($C282,"Intensi Code")</t>
  </si>
  <si>
    <t>=NF($C283,"Intensi Code")</t>
  </si>
  <si>
    <t>=NF($C284,"Intensi Code")</t>
  </si>
  <si>
    <t>=NF($C285,"Intensi Code")</t>
  </si>
  <si>
    <t>=NF($C286,"Intensi Code")</t>
  </si>
  <si>
    <t>=NF($C287,"Intensi Code")</t>
  </si>
  <si>
    <t>=NF($C288,"Intensi Code")</t>
  </si>
  <si>
    <t>=NF($C289,"Intensi Code")</t>
  </si>
  <si>
    <t>=NF($C290,"Intensi Code")</t>
  </si>
  <si>
    <t>=NF($C291,"Intensi Code")</t>
  </si>
  <si>
    <t>=NF($C292,"Intensi Code")</t>
  </si>
  <si>
    <t>=NF($C293,"Intensi Code")</t>
  </si>
  <si>
    <t>=NF($C294,"Intensi Code")</t>
  </si>
  <si>
    <t>=NF($C295,"Intensi Code")</t>
  </si>
  <si>
    <t>=NF($C296,"Intensi Code")</t>
  </si>
  <si>
    <t>=NF($C297,"Intensi Code")</t>
  </si>
  <si>
    <t>=NF($C298,"Intensi Code")</t>
  </si>
  <si>
    <t>=NF($C299,"Intensi Code")</t>
  </si>
  <si>
    <t>=NF($C300,"Intensi Code")</t>
  </si>
  <si>
    <t>=NF($C301,"Intensi Code")</t>
  </si>
  <si>
    <t>=NF($C302,"Intensi Code")</t>
  </si>
  <si>
    <t>=NF($C303,"Intensi Code")</t>
  </si>
  <si>
    <t>=NF($C304,"Intensi Code")</t>
  </si>
  <si>
    <t>=NF($C305,"Intensi Code")</t>
  </si>
  <si>
    <t>=NF($C306,"Intensi Code")</t>
  </si>
  <si>
    <t>=NF($C307,"Intensi Code")</t>
  </si>
  <si>
    <t>=NF($C308,"Intensi Code")</t>
  </si>
  <si>
    <t>=NF($C309,"Intensi Code")</t>
  </si>
  <si>
    <t>=NF($C310,"Intensi Code")</t>
  </si>
  <si>
    <t>=NF($C311,"Intensi Code")</t>
  </si>
  <si>
    <t>=NF($C312,"Intensi Code")</t>
  </si>
  <si>
    <t>=NF($C313,"Intensi Code")</t>
  </si>
  <si>
    <t>=NF($C314,"Intensi Code")</t>
  </si>
  <si>
    <t>=NF($C315,"Intensi Code")</t>
  </si>
  <si>
    <t>=NF($C316,"Intensi Code")</t>
  </si>
  <si>
    <t>=NF($C317,"Intensi Code")</t>
  </si>
  <si>
    <t>=NF($C318,"Intensi Code")</t>
  </si>
  <si>
    <t>=NF($C319,"Intensi Code")</t>
  </si>
  <si>
    <t>=NF($C320,"Intensi Code")</t>
  </si>
  <si>
    <t>=NF($C321,"Intensi Code")</t>
  </si>
  <si>
    <t>=NF($C322,"Intensi Code")</t>
  </si>
  <si>
    <t>=NF($C323,"Intensi Code")</t>
  </si>
  <si>
    <t>=NF($D330,"Customer No.")</t>
  </si>
  <si>
    <t>=NF($D331,"Customer No.")</t>
  </si>
  <si>
    <t>=NF($D332,"Customer No.")</t>
  </si>
  <si>
    <t>=NF($D333,"Customer No.")</t>
  </si>
  <si>
    <t>=NF($D334,"Customer No.")</t>
  </si>
  <si>
    <t>=NF($D335,"Customer No.")</t>
  </si>
  <si>
    <t>=NF($D336,"Customer No.")</t>
  </si>
  <si>
    <t>=NF($D337,"Customer No.")</t>
  </si>
  <si>
    <t>=NF($D338,"Customer No.")</t>
  </si>
  <si>
    <t>=NF($D339,"Customer No.")</t>
  </si>
  <si>
    <t>=NF($D340,"Customer No.")</t>
  </si>
  <si>
    <t>=NF($D341,"Customer No.")</t>
  </si>
  <si>
    <t>=NF($D342,"Customer No.")</t>
  </si>
  <si>
    <t>=NF($D343,"Customer No.")</t>
  </si>
  <si>
    <t>=NF($D344,"Customer No.")</t>
  </si>
  <si>
    <t>=NF($D345,"Customer No.")</t>
  </si>
  <si>
    <t>=NF($D346,"Customer No.")</t>
  </si>
  <si>
    <t>=NF($D347,"Customer No.")</t>
  </si>
  <si>
    <t>=NF($D348,"Customer No.")</t>
  </si>
  <si>
    <t>=NF($D349,"Customer No.")</t>
  </si>
  <si>
    <t>=NF($D350,"Customer No.")</t>
  </si>
  <si>
    <t>=NF($D351,"Customer No.")</t>
  </si>
  <si>
    <t>=NF($D352,"Customer No.")</t>
  </si>
  <si>
    <t>=NF($D353,"Customer No.")</t>
  </si>
  <si>
    <t>=NF($D354,"Customer No.")</t>
  </si>
  <si>
    <t>=NF($D355,"Customer No.")</t>
  </si>
  <si>
    <t>=NF($D356,"Customer No.")</t>
  </si>
  <si>
    <t>=NF($D357,"Customer No.")</t>
  </si>
  <si>
    <t>=NF($D358,"Customer No.")</t>
  </si>
  <si>
    <t>=NF($D359,"Customer No.")</t>
  </si>
  <si>
    <t>=NF($D360,"Customer No.")</t>
  </si>
  <si>
    <t>=NF($D361,"Customer No.")</t>
  </si>
  <si>
    <t>=NF($D362,"Customer No.")</t>
  </si>
  <si>
    <t>=NF($D363,"Customer No.")</t>
  </si>
  <si>
    <t>=NF($D364,"Customer No.")</t>
  </si>
  <si>
    <t>=NF($D365,"Customer No.")</t>
  </si>
  <si>
    <t>=NF($D366,"Customer No.")</t>
  </si>
  <si>
    <t>=NF($D367,"Customer No.")</t>
  </si>
  <si>
    <t>=NF($D368,"Customer No.")</t>
  </si>
  <si>
    <t>=NF($D369,"Customer No.")</t>
  </si>
  <si>
    <t>=NF($D370,"Customer No.")</t>
  </si>
  <si>
    <t>=NF($D371,"Customer No.")</t>
  </si>
  <si>
    <t>=NF($D372,"Customer No.")</t>
  </si>
  <si>
    <t>=NF($D373,"Customer No.")</t>
  </si>
  <si>
    <t>=NF($D374,"Customer No.")</t>
  </si>
  <si>
    <t>=NF($D375,"Customer No.")</t>
  </si>
  <si>
    <t>=NF($D376,"Customer No.")</t>
  </si>
  <si>
    <t>=NF($D377,"Customer No.")</t>
  </si>
  <si>
    <t>=NF($D378,"Customer No.")</t>
  </si>
  <si>
    <t>=NF($D379,"Customer No.")</t>
  </si>
  <si>
    <t>=NF($D380,"Customer No.")</t>
  </si>
  <si>
    <t>=NF($D381,"Customer No.")</t>
  </si>
  <si>
    <t>=NF($D382,"Customer No.")</t>
  </si>
  <si>
    <t>=NF($D383,"Customer No.")</t>
  </si>
  <si>
    <t>=NF($D384,"Customer No.")</t>
  </si>
  <si>
    <t>=NF($D385,"Customer No.")</t>
  </si>
  <si>
    <t>=NF($D386,"Customer No.")</t>
  </si>
  <si>
    <t>=NF($D387,"Customer No.")</t>
  </si>
  <si>
    <t>=NF($D388,"Customer No.")</t>
  </si>
  <si>
    <t>=NF($D389,"Customer No.")</t>
  </si>
  <si>
    <t>=NF($D390,"Customer No.")</t>
  </si>
  <si>
    <t>=NF($D391,"Customer No.")</t>
  </si>
  <si>
    <t>=NF($D392,"Customer No.")</t>
  </si>
  <si>
    <t>=NF($D393,"Customer No.")</t>
  </si>
  <si>
    <t>=NF($D394,"Customer No.")</t>
  </si>
  <si>
    <t>=NF($D395,"Customer No.")</t>
  </si>
  <si>
    <t>=NF($D396,"Customer No.")</t>
  </si>
  <si>
    <t>=NF($D397,"Customer No.")</t>
  </si>
  <si>
    <t>=NF($D398,"Customer No.")</t>
  </si>
  <si>
    <t>=NF($D399,"Customer No.")</t>
  </si>
  <si>
    <t>=NF($D400,"Customer No.")</t>
  </si>
  <si>
    <t>=NF($D401,"Customer No.")</t>
  </si>
  <si>
    <t>=NF($D402,"Customer No.")</t>
  </si>
  <si>
    <t>=NF($D403,"Customer No.")</t>
  </si>
  <si>
    <t>=NF($D404,"Customer No.")</t>
  </si>
  <si>
    <t>=NF($D405,"Customer No.")</t>
  </si>
  <si>
    <t>=NF($D406,"Customer No.")</t>
  </si>
  <si>
    <t>=NF($D407,"Customer No.")</t>
  </si>
  <si>
    <t>=NF($D408,"Customer No.")</t>
  </si>
  <si>
    <t>=NF($D409,"Customer No.")</t>
  </si>
  <si>
    <t>=NF($D410,"Customer No.")</t>
  </si>
  <si>
    <t>=NF($D411,"Customer No.")</t>
  </si>
  <si>
    <t>=NF($D412,"Customer No.")</t>
  </si>
  <si>
    <t>=NF($D413,"Customer No.")</t>
  </si>
  <si>
    <t>=NF($D414,"Customer No.")</t>
  </si>
  <si>
    <t>=NF($D415,"Customer No.")</t>
  </si>
  <si>
    <t>=NF($D416,"Customer No.")</t>
  </si>
  <si>
    <t>=NF($D417,"Customer No.")</t>
  </si>
  <si>
    <t>=NF($D418,"Customer No.")</t>
  </si>
  <si>
    <t>=NF($D419,"Customer No.")</t>
  </si>
  <si>
    <t>=NF($D420,"Customer No.")</t>
  </si>
  <si>
    <t>=NF($D421,"Customer No.")</t>
  </si>
  <si>
    <t>=NF($D422,"Customer No.")</t>
  </si>
  <si>
    <t>=NF($D423,"Customer No.")</t>
  </si>
  <si>
    <t>=NF($D424,"Customer No.")</t>
  </si>
  <si>
    <t>=NF($D425,"Customer No.")</t>
  </si>
  <si>
    <t>=NF($D426,"Customer No.")</t>
  </si>
  <si>
    <t>=NF($D427,"Customer No.")</t>
  </si>
  <si>
    <t>=NF($D428,"Customer No.")</t>
  </si>
  <si>
    <t>=NF($D429,"Customer No.")</t>
  </si>
  <si>
    <t>=NF($D430,"Customer No.")</t>
  </si>
  <si>
    <t>=NF($D431,"Customer No.")</t>
  </si>
  <si>
    <t>=NF($D432,"Customer No.")</t>
  </si>
  <si>
    <t>=NF($D433,"Customer No.")</t>
  </si>
  <si>
    <t>=NF($D434,"Customer No.")</t>
  </si>
  <si>
    <t>=NF($D435,"Customer No.")</t>
  </si>
  <si>
    <t>=NF($D436,"Customer No.")</t>
  </si>
  <si>
    <t>=NF($D437,"Customer No.")</t>
  </si>
  <si>
    <t>=NF($D438,"Customer No.")</t>
  </si>
  <si>
    <t>=NF($D439,"Customer No.")</t>
  </si>
  <si>
    <t>=NF($D440,"Customer No.")</t>
  </si>
  <si>
    <t>=NF($D441,"Customer No.")</t>
  </si>
  <si>
    <t>=NF($D442,"Customer No.")</t>
  </si>
  <si>
    <t>=NF($D443,"Customer No.")</t>
  </si>
  <si>
    <t>=NF($D444,"Customer No.")</t>
  </si>
  <si>
    <t>=NF($D445,"Customer No.")</t>
  </si>
  <si>
    <t>=NF($D446,"Customer No.")</t>
  </si>
  <si>
    <t>=NF($D447,"Customer No.")</t>
  </si>
  <si>
    <t>=NF($D448,"Customer No.")</t>
  </si>
  <si>
    <t>=NF($D449,"Customer No.")</t>
  </si>
  <si>
    <t>=NF($D450,"Customer No.")</t>
  </si>
  <si>
    <t>=NF($D451,"Customer No.")</t>
  </si>
  <si>
    <t>=NF($D452,"Customer No.")</t>
  </si>
  <si>
    <t>=NF($D453,"Customer No.")</t>
  </si>
  <si>
    <t>=NF($D454,"Customer No.")</t>
  </si>
  <si>
    <t>=NF($D455,"Customer No.")</t>
  </si>
  <si>
    <t>=NF($D456,"Customer No.")</t>
  </si>
  <si>
    <t>=NF($D457,"Customer No.")</t>
  </si>
  <si>
    <t>=NF($D458,"Customer No.")</t>
  </si>
  <si>
    <t>=NF($D459,"Customer No.")</t>
  </si>
  <si>
    <t>=NF($D460,"Customer No.")</t>
  </si>
  <si>
    <t>=NF($D461,"Customer No.")</t>
  </si>
  <si>
    <t>=NF($D462,"Customer No.")</t>
  </si>
  <si>
    <t>=NF($D463,"Customer No.")</t>
  </si>
  <si>
    <t>=NF($D464,"Customer No.")</t>
  </si>
  <si>
    <t>=NF($D465,"Customer No.")</t>
  </si>
  <si>
    <t>=NF($D466,"Customer No.")</t>
  </si>
  <si>
    <t>=NF($D467,"Customer No.")</t>
  </si>
  <si>
    <t>=NF($D468,"Customer No.")</t>
  </si>
  <si>
    <t>=NF($D469,"Customer No.")</t>
  </si>
  <si>
    <t>=NF($D470,"Customer No.")</t>
  </si>
  <si>
    <t>=NF($D471,"Customer No.")</t>
  </si>
  <si>
    <t>=NF($D472,"Customer No.")</t>
  </si>
  <si>
    <t>=NF($D473,"Customer No.")</t>
  </si>
  <si>
    <t>=NF($D474,"Customer No.")</t>
  </si>
  <si>
    <t>=NF($D475,"Customer No.")</t>
  </si>
  <si>
    <t>=NF($D476,"Customer No.")</t>
  </si>
  <si>
    <t>=NF($D477,"Customer No.")</t>
  </si>
  <si>
    <t>=NF($D478,"Customer No.")</t>
  </si>
  <si>
    <t>=NF($D479,"Customer No.")</t>
  </si>
  <si>
    <t>=NF($D480,"Customer No.")</t>
  </si>
  <si>
    <t>=NF($D481,"Customer No.")</t>
  </si>
  <si>
    <t>=NF($D482,"Customer No.")</t>
  </si>
  <si>
    <t>=NF($D483,"Customer No.")</t>
  </si>
  <si>
    <t>=NF($D484,"Customer No.")</t>
  </si>
  <si>
    <t>=NF($D485,"Customer No.")</t>
  </si>
  <si>
    <t>=NF($D486,"Customer No.")</t>
  </si>
  <si>
    <t>=NF($D487,"Customer No.")</t>
  </si>
  <si>
    <t>=NF($D488,"Customer No.")</t>
  </si>
  <si>
    <t>=NF($D489,"Customer No.")</t>
  </si>
  <si>
    <t>=NF($D490,"Customer No.")</t>
  </si>
  <si>
    <t>=NF($D491,"Customer No.")</t>
  </si>
  <si>
    <t>=NF($D492,"Customer No.")</t>
  </si>
  <si>
    <t>=NF($D493,"Customer No.")</t>
  </si>
  <si>
    <t>=NF($D494,"Customer No.")</t>
  </si>
  <si>
    <t>=NF($D495,"Customer No.")</t>
  </si>
  <si>
    <t>=NF($D496,"Customer No.")</t>
  </si>
  <si>
    <t>=NF($D497,"Customer No.")</t>
  </si>
  <si>
    <t>=NF($D498,"Customer No.")</t>
  </si>
  <si>
    <t>=NF($D499,"Customer No.")</t>
  </si>
  <si>
    <t>=NF($D500,"Customer No.")</t>
  </si>
  <si>
    <t>=NF($D501,"Customer No.")</t>
  </si>
  <si>
    <t>=NF($D502,"Customer No.")</t>
  </si>
  <si>
    <t>=NF($D503,"Customer No.")</t>
  </si>
  <si>
    <t>=NF($D504,"Customer No.")</t>
  </si>
  <si>
    <t>=NF($D505,"Customer No.")</t>
  </si>
  <si>
    <t>=NF($D506,"Customer No.")</t>
  </si>
  <si>
    <t>=NF($D507,"Customer No.")</t>
  </si>
  <si>
    <t>=NF($D508,"Customer No.")</t>
  </si>
  <si>
    <t>=NF($D509,"Customer No.")</t>
  </si>
  <si>
    <t>=NF($D510,"Customer No.")</t>
  </si>
  <si>
    <t>=NF($D511,"Customer No.")</t>
  </si>
  <si>
    <t>=NF($D512,"Customer No.")</t>
  </si>
  <si>
    <t>=NF($D513,"Customer No.")</t>
  </si>
  <si>
    <t>=NF($D514,"Customer No.")</t>
  </si>
  <si>
    <t>=NF($D515,"Customer No.")</t>
  </si>
  <si>
    <t>=NF($D516,"Customer No.")</t>
  </si>
  <si>
    <t>=NF($D517,"Customer No.")</t>
  </si>
  <si>
    <t>=NF($D518,"Customer No.")</t>
  </si>
  <si>
    <t>=NF($D519,"Customer No.")</t>
  </si>
  <si>
    <t>=NF($D520,"Customer No.")</t>
  </si>
  <si>
    <t>=NF($D521,"Customer No.")</t>
  </si>
  <si>
    <t>=NF($D522,"Customer No.")</t>
  </si>
  <si>
    <t>=NF($D523,"Customer No.")</t>
  </si>
  <si>
    <t>=NF($D524,"Customer No.")</t>
  </si>
  <si>
    <t>=NF($D525,"Customer No.")</t>
  </si>
  <si>
    <t>=NF($D526,"Customer No.")</t>
  </si>
  <si>
    <t>=NF($D527,"Customer No.")</t>
  </si>
  <si>
    <t>=NF($D528,"Customer No.")</t>
  </si>
  <si>
    <t>=NF($D529,"Customer No.")</t>
  </si>
  <si>
    <t>=NF($D530,"Customer No.")</t>
  </si>
  <si>
    <t>=NF($D531,"Customer No.")</t>
  </si>
  <si>
    <t>=NF($D532,"Customer No.")</t>
  </si>
  <si>
    <t>=NF($D533,"Customer No.")</t>
  </si>
  <si>
    <t>=NF($D534,"Customer No.")</t>
  </si>
  <si>
    <t>=NF($D535,"Customer No.")</t>
  </si>
  <si>
    <t>=NF($D536,"Customer No.")</t>
  </si>
  <si>
    <t>=NF($D537,"Customer No.")</t>
  </si>
  <si>
    <t>=NF($D538,"Customer No.")</t>
  </si>
  <si>
    <t>=NF($D539,"Customer No.")</t>
  </si>
  <si>
    <t>=NF($D540,"Customer No.")</t>
  </si>
  <si>
    <t>=NF($D541,"Customer No.")</t>
  </si>
  <si>
    <t>=NF($D542,"Customer No.")</t>
  </si>
  <si>
    <t>=NF($D543,"Customer No.")</t>
  </si>
  <si>
    <t>=NF($D544,"Customer No.")</t>
  </si>
  <si>
    <t>=NF($D545,"Customer No.")</t>
  </si>
  <si>
    <t>=NF($D546,"Customer No.")</t>
  </si>
  <si>
    <t>=NF($D547,"Customer No.")</t>
  </si>
  <si>
    <t>=NF($D548,"Customer No.")</t>
  </si>
  <si>
    <t>=NF($D549,"Customer No.")</t>
  </si>
  <si>
    <t>=NF($D550,"Customer No.")</t>
  </si>
  <si>
    <t>=NF($D551,"Customer No.")</t>
  </si>
  <si>
    <t>=NF($D552,"Customer No.")</t>
  </si>
  <si>
    <t>=NF($D553,"Customer No.")</t>
  </si>
  <si>
    <t>=NF($D554,"Customer No.")</t>
  </si>
  <si>
    <t>=NF($D555,"Customer No.")</t>
  </si>
  <si>
    <t>=NF($D556,"Customer No.")</t>
  </si>
  <si>
    <t>=NF($D557,"Customer No.")</t>
  </si>
  <si>
    <t>=NF($D558,"Customer No.")</t>
  </si>
  <si>
    <t>=NF($D559,"Customer No.")</t>
  </si>
  <si>
    <t>=NF($D560,"Customer No.")</t>
  </si>
  <si>
    <t>=NF($D561,"Customer No.")</t>
  </si>
  <si>
    <t>=NF($D562,"Customer No.")</t>
  </si>
  <si>
    <t>=NF($D563,"Customer No.")</t>
  </si>
  <si>
    <t>=NF($D564,"Customer No.")</t>
  </si>
  <si>
    <t>=NF($D565,"Customer No.")</t>
  </si>
  <si>
    <t>=NF($D566,"Customer No.")</t>
  </si>
  <si>
    <t>=NF($D567,"Customer No.")</t>
  </si>
  <si>
    <t>=NF($D568,"Customer No.")</t>
  </si>
  <si>
    <t>=NF($D569,"Customer No.")</t>
  </si>
  <si>
    <t>=NF($D570,"Customer No.")</t>
  </si>
  <si>
    <t>=NF($D571,"Customer No.")</t>
  </si>
  <si>
    <t>=NF($D572,"Customer No.")</t>
  </si>
  <si>
    <t>=NF($D573,"Customer No.")</t>
  </si>
  <si>
    <t>=NF($D574,"Customer No.")</t>
  </si>
  <si>
    <t>=NF($D575,"Customer No.")</t>
  </si>
  <si>
    <t>=NF($D576,"Customer No.")</t>
  </si>
  <si>
    <t>=NF($D577,"Customer No.")</t>
  </si>
  <si>
    <t>=NF($D578,"Customer No.")</t>
  </si>
  <si>
    <t>=NF($D579,"Customer No.")</t>
  </si>
  <si>
    <t>=NF($D580,"Customer No.")</t>
  </si>
  <si>
    <t>=NF($D581,"Customer No.")</t>
  </si>
  <si>
    <t>=NF($D582,"Customer No.")</t>
  </si>
  <si>
    <t>=NF($D583,"Customer No.")</t>
  </si>
  <si>
    <t>=NF($D584,"Customer No.")</t>
  </si>
  <si>
    <t>=NF($D585,"Customer No.")</t>
  </si>
  <si>
    <t>=NF($D586,"Customer No.")</t>
  </si>
  <si>
    <t>=NF($D587,"Customer No.")</t>
  </si>
  <si>
    <t>=NF($D588,"Customer No.")</t>
  </si>
  <si>
    <t>=NF($D589,"Customer No.")</t>
  </si>
  <si>
    <t>=NF($D590,"Customer No.")</t>
  </si>
  <si>
    <t>=NF($D591,"Customer No.")</t>
  </si>
  <si>
    <t>=NF($D592,"Customer No.")</t>
  </si>
  <si>
    <t>=NF($D593,"Customer No.")</t>
  </si>
  <si>
    <t>=NF($D594,"Customer No.")</t>
  </si>
  <si>
    <t>=NF($D595,"Customer No.")</t>
  </si>
  <si>
    <t>=NF($D596,"Customer No.")</t>
  </si>
  <si>
    <t>=NF($D597,"Customer No.")</t>
  </si>
  <si>
    <t>=NF($D598,"Customer No.")</t>
  </si>
  <si>
    <t>=NF($D599,"Customer No.")</t>
  </si>
  <si>
    <t>=NF($D600,"Customer No.")</t>
  </si>
  <si>
    <t>=NF($D601,"Customer No.")</t>
  </si>
  <si>
    <t>=NF($D602,"Customer No.")</t>
  </si>
  <si>
    <t>=NF($D603,"Customer No.")</t>
  </si>
  <si>
    <t>=NF($D604,"Customer No.")</t>
  </si>
  <si>
    <t>=NF($D605,"Customer No.")</t>
  </si>
  <si>
    <t>=NF($D606,"Customer No.")</t>
  </si>
  <si>
    <t>=NF($D607,"Customer No.")</t>
  </si>
  <si>
    <t>=NF($D608,"Customer No.")</t>
  </si>
  <si>
    <t>=NF($D609,"Customer No.")</t>
  </si>
  <si>
    <t>=NF($D610,"Customer No.")</t>
  </si>
  <si>
    <t>=NF($D611,"Customer No.")</t>
  </si>
  <si>
    <t>=NF($D612,"Customer No.")</t>
  </si>
  <si>
    <t>=NF($D613,"Customer No.")</t>
  </si>
  <si>
    <t>=NF($D614,"Customer No.")</t>
  </si>
  <si>
    <t>=NF($D615,"Customer No.")</t>
  </si>
  <si>
    <t>=NF($D616,"Customer No.")</t>
  </si>
  <si>
    <t>=NF($D617,"Customer No.")</t>
  </si>
  <si>
    <t>=NF($D618,"Customer No.")</t>
  </si>
  <si>
    <t>=NF($D619,"Customer No.")</t>
  </si>
  <si>
    <t>=NF($D620,"Customer No.")</t>
  </si>
  <si>
    <t>=NF($D621,"Customer No.")</t>
  </si>
  <si>
    <t>=NF($D622,"Customer No.")</t>
  </si>
  <si>
    <t>=NF($D623,"Customer No.")</t>
  </si>
  <si>
    <t>=NF($D624,"Customer No.")</t>
  </si>
  <si>
    <t>=NF($D625,"Customer No.")</t>
  </si>
  <si>
    <t>=NF($D626,"Customer No.")</t>
  </si>
  <si>
    <t>=NF($D627,"Customer No.")</t>
  </si>
  <si>
    <t>=NF($D628,"Customer No.")</t>
  </si>
  <si>
    <t>=NF($D629,"Customer No.")</t>
  </si>
  <si>
    <t>=NF($D630,"Customer No.")</t>
  </si>
  <si>
    <t>=NF($D631,"Customer No.")</t>
  </si>
  <si>
    <t>=NF($D632,"Customer No.")</t>
  </si>
  <si>
    <t>=NF($D633,"Customer No.")</t>
  </si>
  <si>
    <t>=NF($D634,"Customer No.")</t>
  </si>
  <si>
    <t>=NF($D635,"Customer No.")</t>
  </si>
  <si>
    <t>=NF($D636,"Customer No.")</t>
  </si>
  <si>
    <t>=NF($D637,"Customer No.")</t>
  </si>
  <si>
    <t>=NF($D638,"Customer No.")</t>
  </si>
  <si>
    <t>=NF($D639,"Customer No.")</t>
  </si>
  <si>
    <t>=NF($D640,"Customer No.")</t>
  </si>
  <si>
    <t>=NF($D641,"Customer No.")</t>
  </si>
  <si>
    <t>=NF($D642,"Customer No.")</t>
  </si>
  <si>
    <t>=NF($D643,"Customer No.")</t>
  </si>
  <si>
    <t>=NF($D644,"Customer No.")</t>
  </si>
  <si>
    <t>=NF($D645,"Customer No.")</t>
  </si>
  <si>
    <t>=NF($D646,"Customer No.")</t>
  </si>
  <si>
    <t>=NF($D647,"Customer No.")</t>
  </si>
  <si>
    <t>=NF($D648,"Customer No.")</t>
  </si>
  <si>
    <t>=NF($D649,"Customer No.")</t>
  </si>
  <si>
    <t>=NF($D650,"Customer No.")</t>
  </si>
  <si>
    <t>=NF($D651,"Customer No.")</t>
  </si>
  <si>
    <t>=NF($D652,"Customer No.")</t>
  </si>
  <si>
    <t>=NF($D653,"Customer No.")</t>
  </si>
  <si>
    <t>=NF($D654,"Customer No.")</t>
  </si>
  <si>
    <t>=NF($D655,"Customer No.")</t>
  </si>
  <si>
    <t>=NF($D656,"Customer No.")</t>
  </si>
  <si>
    <t>=NF($D657,"Customer No.")</t>
  </si>
  <si>
    <t>=NF($D658,"Customer No.")</t>
  </si>
  <si>
    <t>=NF($D659,"Customer No.")</t>
  </si>
  <si>
    <t>=NF($D660,"Customer No.")</t>
  </si>
  <si>
    <t>=NF($D661,"Customer No.")</t>
  </si>
  <si>
    <t>=NF($D662,"Customer No.")</t>
  </si>
  <si>
    <t>=NF($D663,"Customer No.")</t>
  </si>
  <si>
    <t>=NF($D664,"Customer No.")</t>
  </si>
  <si>
    <t>=NF($D665,"Customer No.")</t>
  </si>
  <si>
    <t>=NF($D666,"Customer No.")</t>
  </si>
  <si>
    <t>=NF($D667,"Customer No.")</t>
  </si>
  <si>
    <t>=NF($D668,"Customer No.")</t>
  </si>
  <si>
    <t>=NF($D669,"Customer No.")</t>
  </si>
  <si>
    <t>=NF($D670,"Customer No.")</t>
  </si>
  <si>
    <t>=NF($D671,"Customer No.")</t>
  </si>
  <si>
    <t>=NF($D672,"Customer No.")</t>
  </si>
  <si>
    <t>=NF($D673,"Customer No.")</t>
  </si>
  <si>
    <t>=NF($D674,"Customer No.")</t>
  </si>
  <si>
    <t>=NF($D675,"Customer No.")</t>
  </si>
  <si>
    <t>=NF($D676,"Customer No.")</t>
  </si>
  <si>
    <t>=NF($D677,"Customer No.")</t>
  </si>
  <si>
    <t>=NF($D678,"Customer No.")</t>
  </si>
  <si>
    <t>=NF($D679,"Customer No.")</t>
  </si>
  <si>
    <t>=NF($D680,"Customer No.")</t>
  </si>
  <si>
    <t>=NF($D681,"Customer No.")</t>
  </si>
  <si>
    <t>=NF($D682,"Customer No.")</t>
  </si>
  <si>
    <t>=NF($D683,"Customer No.")</t>
  </si>
  <si>
    <t>=NF($D684,"Customer No.")</t>
  </si>
  <si>
    <t>=NF($D685,"Customer No.")</t>
  </si>
  <si>
    <t>=NF($D686,"Customer No.")</t>
  </si>
  <si>
    <t>=NF($D687,"Customer No.")</t>
  </si>
  <si>
    <t>=NF($D688,"Customer No.")</t>
  </si>
  <si>
    <t>=NF($D689,"Customer No.")</t>
  </si>
  <si>
    <t>=NF($D690,"Customer No.")</t>
  </si>
  <si>
    <t>=NF($D691,"Customer No.")</t>
  </si>
  <si>
    <t>=NF($D692,"Customer No.")</t>
  </si>
  <si>
    <t>=NF($D693,"Customer No.")</t>
  </si>
  <si>
    <t>=NF($D694,"Customer No.")</t>
  </si>
  <si>
    <t>=NF($D695,"Customer No.")</t>
  </si>
  <si>
    <t>=NF($D696,"Customer No.")</t>
  </si>
  <si>
    <t>=NF($D697,"Customer No.")</t>
  </si>
  <si>
    <t>=NF($D698,"Customer No.")</t>
  </si>
  <si>
    <t>=NF($D699,"Customer No.")</t>
  </si>
  <si>
    <t>=NF($D700,"Customer No.")</t>
  </si>
  <si>
    <t>=NF($D701,"Customer No.")</t>
  </si>
  <si>
    <t>=NF($D702,"Customer No.")</t>
  </si>
  <si>
    <t>=NF($D703,"Customer No.")</t>
  </si>
  <si>
    <t>=NF($D704,"Customer No.")</t>
  </si>
  <si>
    <t>=NF($D705,"Customer No.")</t>
  </si>
  <si>
    <t>=NF($D706,"Customer No.")</t>
  </si>
  <si>
    <t>=NF($D707,"Customer No.")</t>
  </si>
  <si>
    <t>=NF($D708,"Customer No.")</t>
  </si>
  <si>
    <t>=NF($D709,"Customer No.")</t>
  </si>
  <si>
    <t>=NF($D710,"Customer No.")</t>
  </si>
  <si>
    <t>=NF($D711,"Customer No.")</t>
  </si>
  <si>
    <t>=NF($D712,"Customer No.")</t>
  </si>
  <si>
    <t>=NF($D713,"Customer No.")</t>
  </si>
  <si>
    <t>=NF($D714,"Customer No.")</t>
  </si>
  <si>
    <t>=NF($D715,"Customer No.")</t>
  </si>
  <si>
    <t>=NF($D716,"Customer No.")</t>
  </si>
  <si>
    <t>=NF($D717,"Customer No.")</t>
  </si>
  <si>
    <t>=NF($D718,"Customer No.")</t>
  </si>
  <si>
    <t>=NF($D719,"Customer No.")</t>
  </si>
  <si>
    <t>=NF($D720,"Customer No.")</t>
  </si>
  <si>
    <t>=NF($D721,"Customer No.")</t>
  </si>
  <si>
    <t>=NF($D722,"Customer No.")</t>
  </si>
  <si>
    <t>=NF($D723,"Customer No.")</t>
  </si>
  <si>
    <t>=NF($D724,"Customer No.")</t>
  </si>
  <si>
    <t>=NF($D725,"Customer No.")</t>
  </si>
  <si>
    <t>=NF($D726,"Customer No.")</t>
  </si>
  <si>
    <t>=NF($D727,"Customer No.")</t>
  </si>
  <si>
    <t>=NF($D728,"Customer No.")</t>
  </si>
  <si>
    <t>=NF($D729,"Customer No.")</t>
  </si>
  <si>
    <t>=NF($D730,"Customer No.")</t>
  </si>
  <si>
    <t>=NF($D731,"Customer No.")</t>
  </si>
  <si>
    <t>=NF($D732,"Customer No.")</t>
  </si>
  <si>
    <t>=NF($D733,"Customer No.")</t>
  </si>
  <si>
    <t>=NF($D734,"Customer No.")</t>
  </si>
  <si>
    <t>=NF($D735,"Customer No.")</t>
  </si>
  <si>
    <t>=NF($D736,"Customer No.")</t>
  </si>
  <si>
    <t>=NF($D737,"Customer No.")</t>
  </si>
  <si>
    <t>=NF($D738,"Customer No.")</t>
  </si>
  <si>
    <t>=NF($D739,"Customer No.")</t>
  </si>
  <si>
    <t>=NF($D740,"Customer No.")</t>
  </si>
  <si>
    <t>=NF($D741,"Customer No.")</t>
  </si>
  <si>
    <t>=NF($D742,"Customer No.")</t>
  </si>
  <si>
    <t>=NF($D743,"Customer No.")</t>
  </si>
  <si>
    <t>=NF($D744,"Customer No.")</t>
  </si>
  <si>
    <t>=NF($D745,"Customer No.")</t>
  </si>
  <si>
    <t>=NF($D746,"Customer No.")</t>
  </si>
  <si>
    <t>=NF($D747,"Customer No.")</t>
  </si>
  <si>
    <t>=NF($D748,"Customer No.")</t>
  </si>
  <si>
    <t>=NF($D749,"Customer No.")</t>
  </si>
  <si>
    <t>=NF($D750,"Customer No.")</t>
  </si>
  <si>
    <t>=NF($D751,"Customer No.")</t>
  </si>
  <si>
    <t>=NF($D752,"Customer No.")</t>
  </si>
  <si>
    <t>=NF($D753,"Customer No.")</t>
  </si>
  <si>
    <t>=NF($D754,"Customer No.")</t>
  </si>
  <si>
    <t>=NF($D755,"Customer No.")</t>
  </si>
  <si>
    <t>=NF($D756,"Customer No.")</t>
  </si>
  <si>
    <t>=NF($D757,"Customer No.")</t>
  </si>
  <si>
    <t>=NF($D758,"Customer No.")</t>
  </si>
  <si>
    <t>=NF($D759,"Customer No.")</t>
  </si>
  <si>
    <t>=NF($D760,"Customer No.")</t>
  </si>
  <si>
    <t>=NF($D761,"Customer No.")</t>
  </si>
  <si>
    <t>=NF($D762,"Customer No.")</t>
  </si>
  <si>
    <t>=NF($D763,"Customer No.")</t>
  </si>
  <si>
    <t>=NF($D764,"Customer No.")</t>
  </si>
  <si>
    <t>=NF($D765,"Customer No.")</t>
  </si>
  <si>
    <t>=NF($D766,"Customer No.")</t>
  </si>
  <si>
    <t>=NF($D767,"Customer No.")</t>
  </si>
  <si>
    <t>=NF($D768,"Customer No.")</t>
  </si>
  <si>
    <t>=NF($D769,"Customer No.")</t>
  </si>
  <si>
    <t>=NF($D770,"Customer No.")</t>
  </si>
  <si>
    <t>=NF($D771,"Customer No.")</t>
  </si>
  <si>
    <t>=NL("First","Customer","Name","No.",J330)</t>
  </si>
  <si>
    <t>=NL("First","Customer","Name","No.",J331)</t>
  </si>
  <si>
    <t>=NL("First","Customer","Name","No.",J332)</t>
  </si>
  <si>
    <t>=NL("First","Customer","Name","No.",J333)</t>
  </si>
  <si>
    <t>=NL("First","Customer","Name","No.",J334)</t>
  </si>
  <si>
    <t>=NL("First","Customer","Name","No.",J335)</t>
  </si>
  <si>
    <t>=NL("First","Customer","Name","No.",J336)</t>
  </si>
  <si>
    <t>=NL("First","Customer","Name","No.",J337)</t>
  </si>
  <si>
    <t>=NL("First","Customer","Name","No.",J338)</t>
  </si>
  <si>
    <t>=NL("First","Customer","Name","No.",J339)</t>
  </si>
  <si>
    <t>=NL("First","Customer","Name","No.",J340)</t>
  </si>
  <si>
    <t>=NL("First","Customer","Name","No.",J341)</t>
  </si>
  <si>
    <t>=NL("First","Customer","Name","No.",J342)</t>
  </si>
  <si>
    <t>=NL("First","Customer","Name","No.",J343)</t>
  </si>
  <si>
    <t>=NL("First","Customer","Name","No.",J344)</t>
  </si>
  <si>
    <t>=NL("First","Customer","Name","No.",J345)</t>
  </si>
  <si>
    <t>=NL("First","Customer","Name","No.",J346)</t>
  </si>
  <si>
    <t>=NL("First","Customer","Name","No.",J347)</t>
  </si>
  <si>
    <t>=NL("First","Customer","Name","No.",J348)</t>
  </si>
  <si>
    <t>=NL("First","Customer","Name","No.",J349)</t>
  </si>
  <si>
    <t>=NL("First","Customer","Name","No.",J350)</t>
  </si>
  <si>
    <t>=NL("First","Customer","Name","No.",J351)</t>
  </si>
  <si>
    <t>=NL("First","Customer","Name","No.",J352)</t>
  </si>
  <si>
    <t>=NL("First","Customer","Name","No.",J353)</t>
  </si>
  <si>
    <t>=NL("First","Customer","Name","No.",J354)</t>
  </si>
  <si>
    <t>=NL("First","Customer","Name","No.",J355)</t>
  </si>
  <si>
    <t>=NL("First","Customer","Name","No.",J356)</t>
  </si>
  <si>
    <t>=NL("First","Customer","Name","No.",J357)</t>
  </si>
  <si>
    <t>=NL("First","Customer","Name","No.",J358)</t>
  </si>
  <si>
    <t>=NL("First","Customer","Name","No.",J359)</t>
  </si>
  <si>
    <t>=NL("First","Customer","Name","No.",J360)</t>
  </si>
  <si>
    <t>=NL("First","Customer","Name","No.",J361)</t>
  </si>
  <si>
    <t>=NL("First","Customer","Name","No.",J362)</t>
  </si>
  <si>
    <t>=NL("First","Customer","Name","No.",J363)</t>
  </si>
  <si>
    <t>=NL("First","Customer","Name","No.",J364)</t>
  </si>
  <si>
    <t>=NL("First","Customer","Name","No.",J365)</t>
  </si>
  <si>
    <t>=NL("First","Customer","Name","No.",J366)</t>
  </si>
  <si>
    <t>=NL("First","Customer","Name","No.",J367)</t>
  </si>
  <si>
    <t>=NL("First","Customer","Name","No.",J368)</t>
  </si>
  <si>
    <t>=NL("First","Customer","Name","No.",J369)</t>
  </si>
  <si>
    <t>=NL("First","Customer","Name","No.",J370)</t>
  </si>
  <si>
    <t>=NL("First","Customer","Name","No.",J371)</t>
  </si>
  <si>
    <t>=NL("First","Customer","Name","No.",J372)</t>
  </si>
  <si>
    <t>=NL("First","Customer","Name","No.",J373)</t>
  </si>
  <si>
    <t>=NL("First","Customer","Name","No.",J374)</t>
  </si>
  <si>
    <t>=NL("First","Customer","Name","No.",J375)</t>
  </si>
  <si>
    <t>=NL("First","Customer","Name","No.",J376)</t>
  </si>
  <si>
    <t>=NL("First","Customer","Name","No.",J377)</t>
  </si>
  <si>
    <t>=NL("First","Customer","Name","No.",J378)</t>
  </si>
  <si>
    <t>=NL("First","Customer","Name","No.",J379)</t>
  </si>
  <si>
    <t>=NL("First","Customer","Name","No.",J380)</t>
  </si>
  <si>
    <t>=NL("First","Customer","Name","No.",J381)</t>
  </si>
  <si>
    <t>=NL("First","Customer","Name","No.",J382)</t>
  </si>
  <si>
    <t>=NL("First","Customer","Name","No.",J383)</t>
  </si>
  <si>
    <t>=NL("First","Customer","Name","No.",J384)</t>
  </si>
  <si>
    <t>=NL("First","Customer","Name","No.",J385)</t>
  </si>
  <si>
    <t>=NL("First","Customer","Name","No.",J386)</t>
  </si>
  <si>
    <t>=NL("First","Customer","Name","No.",J387)</t>
  </si>
  <si>
    <t>=NL("First","Customer","Name","No.",J388)</t>
  </si>
  <si>
    <t>=NL("First","Customer","Name","No.",J389)</t>
  </si>
  <si>
    <t>=NL("First","Customer","Name","No.",J390)</t>
  </si>
  <si>
    <t>=NL("First","Customer","Name","No.",J391)</t>
  </si>
  <si>
    <t>=NL("First","Customer","Name","No.",J392)</t>
  </si>
  <si>
    <t>=NL("First","Customer","Name","No.",J393)</t>
  </si>
  <si>
    <t>=NL("First","Customer","Name","No.",J394)</t>
  </si>
  <si>
    <t>=NL("First","Customer","Name","No.",J395)</t>
  </si>
  <si>
    <t>=NL("First","Customer","Name","No.",J396)</t>
  </si>
  <si>
    <t>=NL("First","Customer","Name","No.",J397)</t>
  </si>
  <si>
    <t>=NL("First","Customer","Name","No.",J398)</t>
  </si>
  <si>
    <t>=NL("First","Customer","Name","No.",J399)</t>
  </si>
  <si>
    <t>=NL("First","Customer","Name","No.",J400)</t>
  </si>
  <si>
    <t>=NL("First","Customer","Name","No.",J401)</t>
  </si>
  <si>
    <t>=NL("First","Customer","Name","No.",J402)</t>
  </si>
  <si>
    <t>=NL("First","Customer","Name","No.",J403)</t>
  </si>
  <si>
    <t>=NL("First","Customer","Name","No.",J404)</t>
  </si>
  <si>
    <t>=NL("First","Customer","Name","No.",J405)</t>
  </si>
  <si>
    <t>=NL("First","Customer","Name","No.",J406)</t>
  </si>
  <si>
    <t>=NL("First","Customer","Name","No.",J407)</t>
  </si>
  <si>
    <t>=NL("First","Customer","Name","No.",J408)</t>
  </si>
  <si>
    <t>=NL("First","Customer","Name","No.",J409)</t>
  </si>
  <si>
    <t>=NL("First","Customer","Name","No.",J410)</t>
  </si>
  <si>
    <t>=NL("First","Customer","Name","No.",J411)</t>
  </si>
  <si>
    <t>=NL("First","Customer","Name","No.",J412)</t>
  </si>
  <si>
    <t>=NL("First","Customer","Name","No.",J413)</t>
  </si>
  <si>
    <t>=NL("First","Customer","Name","No.",J414)</t>
  </si>
  <si>
    <t>=NL("First","Customer","Name","No.",J415)</t>
  </si>
  <si>
    <t>=NL("First","Customer","Name","No.",J416)</t>
  </si>
  <si>
    <t>=NL("First","Customer","Name","No.",J417)</t>
  </si>
  <si>
    <t>=NL("First","Customer","Name","No.",J418)</t>
  </si>
  <si>
    <t>=NL("First","Customer","Name","No.",J419)</t>
  </si>
  <si>
    <t>=NL("First","Customer","Name","No.",J420)</t>
  </si>
  <si>
    <t>=NL("First","Customer","Name","No.",J421)</t>
  </si>
  <si>
    <t>=NL("First","Customer","Name","No.",J422)</t>
  </si>
  <si>
    <t>=NL("First","Customer","Name","No.",J423)</t>
  </si>
  <si>
    <t>=NL("First","Customer","Name","No.",J424)</t>
  </si>
  <si>
    <t>=NL("First","Customer","Name","No.",J425)</t>
  </si>
  <si>
    <t>=NL("First","Customer","Name","No.",J426)</t>
  </si>
  <si>
    <t>=NL("First","Customer","Name","No.",J427)</t>
  </si>
  <si>
    <t>=NL("First","Customer","Name","No.",J428)</t>
  </si>
  <si>
    <t>=NL("First","Customer","Name","No.",J429)</t>
  </si>
  <si>
    <t>=NL("First","Customer","Name","No.",J430)</t>
  </si>
  <si>
    <t>=NL("First","Customer","Name","No.",J431)</t>
  </si>
  <si>
    <t>=NL("First","Customer","Name","No.",J432)</t>
  </si>
  <si>
    <t>=NL("First","Customer","Name","No.",J433)</t>
  </si>
  <si>
    <t>=NL("First","Customer","Name","No.",J434)</t>
  </si>
  <si>
    <t>=NL("First","Customer","Name","No.",J435)</t>
  </si>
  <si>
    <t>=NL("First","Customer","Name","No.",J436)</t>
  </si>
  <si>
    <t>=NL("First","Customer","Name","No.",J437)</t>
  </si>
  <si>
    <t>=NL("First","Customer","Name","No.",J438)</t>
  </si>
  <si>
    <t>=NL("First","Customer","Name","No.",J439)</t>
  </si>
  <si>
    <t>=NL("First","Customer","Name","No.",J440)</t>
  </si>
  <si>
    <t>=NL("First","Customer","Name","No.",J441)</t>
  </si>
  <si>
    <t>=NL("First","Customer","Name","No.",J442)</t>
  </si>
  <si>
    <t>=NL("First","Customer","Name","No.",J443)</t>
  </si>
  <si>
    <t>=NL("First","Customer","Name","No.",J444)</t>
  </si>
  <si>
    <t>=NL("First","Customer","Name","No.",J445)</t>
  </si>
  <si>
    <t>=NL("First","Customer","Name","No.",J446)</t>
  </si>
  <si>
    <t>=NL("First","Customer","Name","No.",J447)</t>
  </si>
  <si>
    <t>=NL("First","Customer","Name","No.",J448)</t>
  </si>
  <si>
    <t>=NL("First","Customer","Name","No.",J449)</t>
  </si>
  <si>
    <t>=NL("First","Customer","Name","No.",J450)</t>
  </si>
  <si>
    <t>=NL("First","Customer","Name","No.",J451)</t>
  </si>
  <si>
    <t>=NL("First","Customer","Name","No.",J452)</t>
  </si>
  <si>
    <t>=NL("First","Customer","Name","No.",J453)</t>
  </si>
  <si>
    <t>=NL("First","Customer","Name","No.",J454)</t>
  </si>
  <si>
    <t>=NL("First","Customer","Name","No.",J455)</t>
  </si>
  <si>
    <t>=NL("First","Customer","Name","No.",J456)</t>
  </si>
  <si>
    <t>=NL("First","Customer","Name","No.",J457)</t>
  </si>
  <si>
    <t>=NL("First","Customer","Name","No.",J458)</t>
  </si>
  <si>
    <t>=NL("First","Customer","Name","No.",J459)</t>
  </si>
  <si>
    <t>=NL("First","Customer","Name","No.",J460)</t>
  </si>
  <si>
    <t>=NL("First","Customer","Name","No.",J461)</t>
  </si>
  <si>
    <t>=NL("First","Customer","Name","No.",J462)</t>
  </si>
  <si>
    <t>=NL("First","Customer","Name","No.",J463)</t>
  </si>
  <si>
    <t>=NL("First","Customer","Name","No.",J464)</t>
  </si>
  <si>
    <t>=NL("First","Customer","Name","No.",J465)</t>
  </si>
  <si>
    <t>=NL("First","Customer","Name","No.",J466)</t>
  </si>
  <si>
    <t>=NL("First","Customer","Name","No.",J467)</t>
  </si>
  <si>
    <t>=NL("First","Customer","Name","No.",J468)</t>
  </si>
  <si>
    <t>=NL("First","Customer","Name","No.",J469)</t>
  </si>
  <si>
    <t>=NL("First","Customer","Name","No.",J470)</t>
  </si>
  <si>
    <t>=NL("First","Customer","Name","No.",J471)</t>
  </si>
  <si>
    <t>=NL("First","Customer","Name","No.",J472)</t>
  </si>
  <si>
    <t>=NL("First","Customer","Name","No.",J473)</t>
  </si>
  <si>
    <t>=NL("First","Customer","Name","No.",J474)</t>
  </si>
  <si>
    <t>=NL("First","Customer","Name","No.",J475)</t>
  </si>
  <si>
    <t>=NL("First","Customer","Name","No.",J476)</t>
  </si>
  <si>
    <t>=NL("First","Customer","Name","No.",J477)</t>
  </si>
  <si>
    <t>=NL("First","Customer","Name","No.",J478)</t>
  </si>
  <si>
    <t>=NL("First","Customer","Name","No.",J479)</t>
  </si>
  <si>
    <t>=NL("First","Customer","Name","No.",J480)</t>
  </si>
  <si>
    <t>=NL("First","Customer","Name","No.",J481)</t>
  </si>
  <si>
    <t>=NL("First","Customer","Name","No.",J482)</t>
  </si>
  <si>
    <t>=NL("First","Customer","Name","No.",J483)</t>
  </si>
  <si>
    <t>=NL("First","Customer","Name","No.",J484)</t>
  </si>
  <si>
    <t>=NL("First","Customer","Name","No.",J485)</t>
  </si>
  <si>
    <t>=NL("First","Customer","Name","No.",J486)</t>
  </si>
  <si>
    <t>=NL("First","Customer","Name","No.",J487)</t>
  </si>
  <si>
    <t>=NL("First","Customer","Name","No.",J488)</t>
  </si>
  <si>
    <t>=NL("First","Customer","Name","No.",J489)</t>
  </si>
  <si>
    <t>=NL("First","Customer","Name","No.",J490)</t>
  </si>
  <si>
    <t>=NL("First","Customer","Name","No.",J491)</t>
  </si>
  <si>
    <t>=NL("First","Customer","Name","No.",J492)</t>
  </si>
  <si>
    <t>=NL("First","Customer","Name","No.",J493)</t>
  </si>
  <si>
    <t>=NL("First","Customer","Name","No.",J494)</t>
  </si>
  <si>
    <t>=NL("First","Customer","Name","No.",J495)</t>
  </si>
  <si>
    <t>=NL("First","Customer","Name","No.",J496)</t>
  </si>
  <si>
    <t>=NL("First","Customer","Name","No.",J497)</t>
  </si>
  <si>
    <t>=NL("First","Customer","Name","No.",J498)</t>
  </si>
  <si>
    <t>=NL("First","Customer","Name","No.",J499)</t>
  </si>
  <si>
    <t>=NL("First","Customer","Name","No.",J500)</t>
  </si>
  <si>
    <t>=NL("First","Customer","Name","No.",J501)</t>
  </si>
  <si>
    <t>=NL("First","Customer","Name","No.",J502)</t>
  </si>
  <si>
    <t>=NL("First","Customer","Name","No.",J503)</t>
  </si>
  <si>
    <t>=NL("First","Customer","Name","No.",J504)</t>
  </si>
  <si>
    <t>=NL("First","Customer","Name","No.",J505)</t>
  </si>
  <si>
    <t>=NL("First","Customer","Name","No.",J506)</t>
  </si>
  <si>
    <t>=NL("First","Customer","Name","No.",J507)</t>
  </si>
  <si>
    <t>=NL("First","Customer","Name","No.",J508)</t>
  </si>
  <si>
    <t>=NL("First","Customer","Name","No.",J509)</t>
  </si>
  <si>
    <t>=NL("First","Customer","Name","No.",J510)</t>
  </si>
  <si>
    <t>=NL("First","Customer","Name","No.",J511)</t>
  </si>
  <si>
    <t>=NL("First","Customer","Name","No.",J512)</t>
  </si>
  <si>
    <t>=NL("First","Customer","Name","No.",J513)</t>
  </si>
  <si>
    <t>=NL("First","Customer","Name","No.",J514)</t>
  </si>
  <si>
    <t>=NL("First","Customer","Name","No.",J515)</t>
  </si>
  <si>
    <t>=NL("First","Customer","Name","No.",J516)</t>
  </si>
  <si>
    <t>=NL("First","Customer","Name","No.",J517)</t>
  </si>
  <si>
    <t>=NL("First","Customer","Name","No.",J518)</t>
  </si>
  <si>
    <t>=NL("First","Customer","Name","No.",J519)</t>
  </si>
  <si>
    <t>=NL("First","Customer","Name","No.",J520)</t>
  </si>
  <si>
    <t>=NL("First","Customer","Name","No.",J521)</t>
  </si>
  <si>
    <t>=NL("First","Customer","Name","No.",J522)</t>
  </si>
  <si>
    <t>=NL("First","Customer","Name","No.",J523)</t>
  </si>
  <si>
    <t>=NL("First","Customer","Name","No.",J524)</t>
  </si>
  <si>
    <t>=NL("First","Customer","Name","No.",J525)</t>
  </si>
  <si>
    <t>=NL("First","Customer","Name","No.",J526)</t>
  </si>
  <si>
    <t>=NL("First","Customer","Name","No.",J527)</t>
  </si>
  <si>
    <t>=NL("First","Customer","Name","No.",J528)</t>
  </si>
  <si>
    <t>=NL("First","Customer","Name","No.",J529)</t>
  </si>
  <si>
    <t>=NL("First","Customer","Name","No.",J530)</t>
  </si>
  <si>
    <t>=NL("First","Customer","Name","No.",J531)</t>
  </si>
  <si>
    <t>=NL("First","Customer","Name","No.",J532)</t>
  </si>
  <si>
    <t>=NL("First","Customer","Name","No.",J533)</t>
  </si>
  <si>
    <t>=NL("First","Customer","Name","No.",J534)</t>
  </si>
  <si>
    <t>=NL("First","Customer","Name","No.",J535)</t>
  </si>
  <si>
    <t>=NL("First","Customer","Name","No.",J536)</t>
  </si>
  <si>
    <t>=NL("First","Customer","Name","No.",J537)</t>
  </si>
  <si>
    <t>=NL("First","Customer","Name","No.",J538)</t>
  </si>
  <si>
    <t>=NL("First","Customer","Name","No.",J539)</t>
  </si>
  <si>
    <t>=NL("First","Customer","Name","No.",J540)</t>
  </si>
  <si>
    <t>=NL("First","Customer","Name","No.",J541)</t>
  </si>
  <si>
    <t>=NL("First","Customer","Name","No.",J542)</t>
  </si>
  <si>
    <t>=NL("First","Customer","Name","No.",J543)</t>
  </si>
  <si>
    <t>=NL("First","Customer","Name","No.",J544)</t>
  </si>
  <si>
    <t>=NL("First","Customer","Name","No.",J545)</t>
  </si>
  <si>
    <t>=NL("First","Customer","Name","No.",J546)</t>
  </si>
  <si>
    <t>=NL("First","Customer","Name","No.",J547)</t>
  </si>
  <si>
    <t>=NL("First","Customer","Name","No.",J548)</t>
  </si>
  <si>
    <t>=NL("First","Customer","Name","No.",J549)</t>
  </si>
  <si>
    <t>=NL("First","Customer","Name","No.",J550)</t>
  </si>
  <si>
    <t>=NL("First","Customer","Name","No.",J551)</t>
  </si>
  <si>
    <t>=NL("First","Customer","Name","No.",J552)</t>
  </si>
  <si>
    <t>=NL("First","Customer","Name","No.",J553)</t>
  </si>
  <si>
    <t>=NL("First","Customer","Name","No.",J554)</t>
  </si>
  <si>
    <t>=NL("First","Customer","Name","No.",J555)</t>
  </si>
  <si>
    <t>=NL("First","Customer","Name","No.",J556)</t>
  </si>
  <si>
    <t>=NL("First","Customer","Name","No.",J557)</t>
  </si>
  <si>
    <t>=NL("First","Customer","Name","No.",J558)</t>
  </si>
  <si>
    <t>=NL("First","Customer","Name","No.",J559)</t>
  </si>
  <si>
    <t>=NL("First","Customer","Name","No.",J560)</t>
  </si>
  <si>
    <t>=NL("First","Customer","Name","No.",J561)</t>
  </si>
  <si>
    <t>=NL("First","Customer","Name","No.",J562)</t>
  </si>
  <si>
    <t>=NL("First","Customer","Name","No.",J563)</t>
  </si>
  <si>
    <t>=NL("First","Customer","Name","No.",J564)</t>
  </si>
  <si>
    <t>=NL("First","Customer","Name","No.",J565)</t>
  </si>
  <si>
    <t>=NL("First","Customer","Name","No.",J566)</t>
  </si>
  <si>
    <t>=NL("First","Customer","Name","No.",J567)</t>
  </si>
  <si>
    <t>=NL("First","Customer","Name","No.",J568)</t>
  </si>
  <si>
    <t>=NL("First","Customer","Name","No.",J569)</t>
  </si>
  <si>
    <t>=NL("First","Customer","Name","No.",J570)</t>
  </si>
  <si>
    <t>=NL("First","Customer","Name","No.",J571)</t>
  </si>
  <si>
    <t>=NL("First","Customer","Name","No.",J572)</t>
  </si>
  <si>
    <t>=NL("First","Customer","Name","No.",J573)</t>
  </si>
  <si>
    <t>=NL("First","Customer","Name","No.",J574)</t>
  </si>
  <si>
    <t>=NL("First","Customer","Name","No.",J575)</t>
  </si>
  <si>
    <t>=NL("First","Customer","Name","No.",J576)</t>
  </si>
  <si>
    <t>=NL("First","Customer","Name","No.",J577)</t>
  </si>
  <si>
    <t>=NL("First","Customer","Name","No.",J578)</t>
  </si>
  <si>
    <t>=NL("First","Customer","Name","No.",J579)</t>
  </si>
  <si>
    <t>=NL("First","Customer","Name","No.",J580)</t>
  </si>
  <si>
    <t>=NL("First","Customer","Name","No.",J581)</t>
  </si>
  <si>
    <t>=NL("First","Customer","Name","No.",J582)</t>
  </si>
  <si>
    <t>=NL("First","Customer","Name","No.",J583)</t>
  </si>
  <si>
    <t>=NL("First","Customer","Name","No.",J584)</t>
  </si>
  <si>
    <t>=NL("First","Customer","Name","No.",J585)</t>
  </si>
  <si>
    <t>=NL("First","Customer","Name","No.",J586)</t>
  </si>
  <si>
    <t>=NL("First","Customer","Name","No.",J587)</t>
  </si>
  <si>
    <t>=NL("First","Customer","Name","No.",J588)</t>
  </si>
  <si>
    <t>=NL("First","Customer","Name","No.",J589)</t>
  </si>
  <si>
    <t>=NL("First","Customer","Name","No.",J590)</t>
  </si>
  <si>
    <t>=NL("First","Customer","Name","No.",J591)</t>
  </si>
  <si>
    <t>=NL("First","Customer","Name","No.",J592)</t>
  </si>
  <si>
    <t>=NL("First","Customer","Name","No.",J593)</t>
  </si>
  <si>
    <t>=NL("First","Customer","Name","No.",J594)</t>
  </si>
  <si>
    <t>=NL("First","Customer","Name","No.",J595)</t>
  </si>
  <si>
    <t>=NL("First","Customer","Name","No.",J596)</t>
  </si>
  <si>
    <t>=NL("First","Customer","Name","No.",J597)</t>
  </si>
  <si>
    <t>=NL("First","Customer","Name","No.",J598)</t>
  </si>
  <si>
    <t>=NL("First","Customer","Name","No.",J599)</t>
  </si>
  <si>
    <t>=NL("First","Customer","Name","No.",J600)</t>
  </si>
  <si>
    <t>=NL("First","Customer","Name","No.",J601)</t>
  </si>
  <si>
    <t>=NL("First","Customer","Name","No.",J602)</t>
  </si>
  <si>
    <t>=NL("First","Customer","Name","No.",J603)</t>
  </si>
  <si>
    <t>=NL("First","Customer","Name","No.",J604)</t>
  </si>
  <si>
    <t>=NL("First","Customer","Name","No.",J605)</t>
  </si>
  <si>
    <t>=NL("First","Customer","Name","No.",J606)</t>
  </si>
  <si>
    <t>=NL("First","Customer","Name","No.",J607)</t>
  </si>
  <si>
    <t>=NL("First","Customer","Name","No.",J608)</t>
  </si>
  <si>
    <t>=NL("First","Customer","Name","No.",J609)</t>
  </si>
  <si>
    <t>=NL("First","Customer","Name","No.",J610)</t>
  </si>
  <si>
    <t>=NL("First","Customer","Name","No.",J611)</t>
  </si>
  <si>
    <t>=NL("First","Customer","Name","No.",J612)</t>
  </si>
  <si>
    <t>=NL("First","Customer","Name","No.",J613)</t>
  </si>
  <si>
    <t>=NL("First","Customer","Name","No.",J614)</t>
  </si>
  <si>
    <t>=NL("First","Customer","Name","No.",J615)</t>
  </si>
  <si>
    <t>=NL("First","Customer","Name","No.",J616)</t>
  </si>
  <si>
    <t>=NL("First","Customer","Name","No.",J617)</t>
  </si>
  <si>
    <t>=NL("First","Customer","Name","No.",J618)</t>
  </si>
  <si>
    <t>=NL("First","Customer","Name","No.",J619)</t>
  </si>
  <si>
    <t>=NL("First","Customer","Name","No.",J620)</t>
  </si>
  <si>
    <t>=NL("First","Customer","Name","No.",J621)</t>
  </si>
  <si>
    <t>=NL("First","Customer","Name","No.",J622)</t>
  </si>
  <si>
    <t>=NL("First","Customer","Name","No.",J623)</t>
  </si>
  <si>
    <t>=NL("First","Customer","Name","No.",J624)</t>
  </si>
  <si>
    <t>=NL("First","Customer","Name","No.",J625)</t>
  </si>
  <si>
    <t>=NL("First","Customer","Name","No.",J626)</t>
  </si>
  <si>
    <t>=NL("First","Customer","Name","No.",J627)</t>
  </si>
  <si>
    <t>=NL("First","Customer","Name","No.",J628)</t>
  </si>
  <si>
    <t>=NL("First","Customer","Name","No.",J629)</t>
  </si>
  <si>
    <t>=NL("First","Customer","Name","No.",J630)</t>
  </si>
  <si>
    <t>=NL("First","Customer","Name","No.",J631)</t>
  </si>
  <si>
    <t>=NL("First","Customer","Name","No.",J632)</t>
  </si>
  <si>
    <t>=NL("First","Customer","Name","No.",J633)</t>
  </si>
  <si>
    <t>=NL("First","Customer","Name","No.",J634)</t>
  </si>
  <si>
    <t>=NL("First","Customer","Name","No.",J635)</t>
  </si>
  <si>
    <t>=NL("First","Customer","Name","No.",J636)</t>
  </si>
  <si>
    <t>=NL("First","Customer","Name","No.",J637)</t>
  </si>
  <si>
    <t>=NL("First","Customer","Name","No.",J638)</t>
  </si>
  <si>
    <t>=NL("First","Customer","Name","No.",J639)</t>
  </si>
  <si>
    <t>=NL("First","Customer","Name","No.",J640)</t>
  </si>
  <si>
    <t>=NL("First","Customer","Name","No.",J641)</t>
  </si>
  <si>
    <t>=NL("First","Customer","Name","No.",J642)</t>
  </si>
  <si>
    <t>=NL("First","Customer","Name","No.",J643)</t>
  </si>
  <si>
    <t>=NL("First","Customer","Name","No.",J644)</t>
  </si>
  <si>
    <t>=NL("First","Customer","Name","No.",J645)</t>
  </si>
  <si>
    <t>=NL("First","Customer","Name","No.",J646)</t>
  </si>
  <si>
    <t>=NL("First","Customer","Name","No.",J647)</t>
  </si>
  <si>
    <t>=NL("First","Customer","Name","No.",J648)</t>
  </si>
  <si>
    <t>=NL("First","Customer","Name","No.",J649)</t>
  </si>
  <si>
    <t>=NL("First","Customer","Name","No.",J650)</t>
  </si>
  <si>
    <t>=NL("First","Customer","Name","No.",J651)</t>
  </si>
  <si>
    <t>=NL("First","Customer","Name","No.",J652)</t>
  </si>
  <si>
    <t>=NL("First","Customer","Name","No.",J653)</t>
  </si>
  <si>
    <t>=NL("First","Customer","Name","No.",J654)</t>
  </si>
  <si>
    <t>=NL("First","Customer","Name","No.",J655)</t>
  </si>
  <si>
    <t>=NL("First","Customer","Name","No.",J656)</t>
  </si>
  <si>
    <t>=NL("First","Customer","Name","No.",J657)</t>
  </si>
  <si>
    <t>=NL("First","Customer","Name","No.",J658)</t>
  </si>
  <si>
    <t>=NL("First","Customer","Name","No.",J659)</t>
  </si>
  <si>
    <t>=NL("First","Customer","Name","No.",J660)</t>
  </si>
  <si>
    <t>=NL("First","Customer","Name","No.",J661)</t>
  </si>
  <si>
    <t>=NL("First","Customer","Name","No.",J662)</t>
  </si>
  <si>
    <t>=NL("First","Customer","Name","No.",J663)</t>
  </si>
  <si>
    <t>=NL("First","Customer","Name","No.",J664)</t>
  </si>
  <si>
    <t>=NL("First","Customer","Name","No.",J665)</t>
  </si>
  <si>
    <t>=NL("First","Customer","Name","No.",J666)</t>
  </si>
  <si>
    <t>=NL("First","Customer","Name","No.",J667)</t>
  </si>
  <si>
    <t>=NL("First","Customer","Name","No.",J668)</t>
  </si>
  <si>
    <t>=NL("First","Customer","Name","No.",J669)</t>
  </si>
  <si>
    <t>=NL("First","Customer","Name","No.",J670)</t>
  </si>
  <si>
    <t>=NL("First","Customer","Name","No.",J671)</t>
  </si>
  <si>
    <t>=NL("First","Customer","Name","No.",J672)</t>
  </si>
  <si>
    <t>=NL("First","Customer","Name","No.",J673)</t>
  </si>
  <si>
    <t>=NL("First","Customer","Name","No.",J674)</t>
  </si>
  <si>
    <t>=NL("First","Customer","Name","No.",J675)</t>
  </si>
  <si>
    <t>=NL("First","Customer","Name","No.",J676)</t>
  </si>
  <si>
    <t>=NL("First","Customer","Name","No.",J677)</t>
  </si>
  <si>
    <t>=NL("First","Customer","Name","No.",J678)</t>
  </si>
  <si>
    <t>=NL("First","Customer","Name","No.",J679)</t>
  </si>
  <si>
    <t>=NL("First","Customer","Name","No.",J680)</t>
  </si>
  <si>
    <t>=NL("First","Customer","Name","No.",J681)</t>
  </si>
  <si>
    <t>=NL("First","Customer","Name","No.",J682)</t>
  </si>
  <si>
    <t>=NL("First","Customer","Name","No.",J683)</t>
  </si>
  <si>
    <t>=NL("First","Customer","Name","No.",J684)</t>
  </si>
  <si>
    <t>=NL("First","Customer","Name","No.",J685)</t>
  </si>
  <si>
    <t>=NL("First","Customer","Name","No.",J686)</t>
  </si>
  <si>
    <t>=NL("First","Customer","Name","No.",J687)</t>
  </si>
  <si>
    <t>=NL("First","Customer","Name","No.",J688)</t>
  </si>
  <si>
    <t>=NL("First","Customer","Name","No.",J689)</t>
  </si>
  <si>
    <t>=NL("First","Customer","Name","No.",J690)</t>
  </si>
  <si>
    <t>=NL("First","Customer","Name","No.",J691)</t>
  </si>
  <si>
    <t>=NL("First","Customer","Name","No.",J692)</t>
  </si>
  <si>
    <t>=NL("First","Customer","Name","No.",J693)</t>
  </si>
  <si>
    <t>=NL("First","Customer","Name","No.",J694)</t>
  </si>
  <si>
    <t>=NL("First","Customer","Name","No.",J695)</t>
  </si>
  <si>
    <t>=NL("First","Customer","Name","No.",J696)</t>
  </si>
  <si>
    <t>=NL("First","Customer","Name","No.",J697)</t>
  </si>
  <si>
    <t>=NL("First","Customer","Name","No.",J698)</t>
  </si>
  <si>
    <t>=NL("First","Customer","Name","No.",J699)</t>
  </si>
  <si>
    <t>=NL("First","Customer","Name","No.",J700)</t>
  </si>
  <si>
    <t>=NL("First","Customer","Name","No.",J701)</t>
  </si>
  <si>
    <t>=NL("First","Customer","Name","No.",J702)</t>
  </si>
  <si>
    <t>=NL("First","Customer","Name","No.",J703)</t>
  </si>
  <si>
    <t>=NL("First","Customer","Name","No.",J704)</t>
  </si>
  <si>
    <t>=NL("First","Customer","Name","No.",J705)</t>
  </si>
  <si>
    <t>=NL("First","Customer","Name","No.",J706)</t>
  </si>
  <si>
    <t>=NL("First","Customer","Name","No.",J707)</t>
  </si>
  <si>
    <t>=NL("First","Customer","Name","No.",J708)</t>
  </si>
  <si>
    <t>=NL("First","Customer","Name","No.",J709)</t>
  </si>
  <si>
    <t>=NL("First","Customer","Name","No.",J710)</t>
  </si>
  <si>
    <t>=NL("First","Customer","Name","No.",J711)</t>
  </si>
  <si>
    <t>=NL("First","Customer","Name","No.",J712)</t>
  </si>
  <si>
    <t>=NL("First","Customer","Name","No.",J713)</t>
  </si>
  <si>
    <t>=NL("First","Customer","Name","No.",J714)</t>
  </si>
  <si>
    <t>=NL("First","Customer","Name","No.",J715)</t>
  </si>
  <si>
    <t>=NL("First","Customer","Name","No.",J716)</t>
  </si>
  <si>
    <t>=NL("First","Customer","Name","No.",J717)</t>
  </si>
  <si>
    <t>=NL("First","Customer","Name","No.",J718)</t>
  </si>
  <si>
    <t>=NL("First","Customer","Name","No.",J719)</t>
  </si>
  <si>
    <t>=NL("First","Customer","Name","No.",J720)</t>
  </si>
  <si>
    <t>=NL("First","Customer","Name","No.",J721)</t>
  </si>
  <si>
    <t>=NL("First","Customer","Name","No.",J722)</t>
  </si>
  <si>
    <t>=NL("First","Customer","Name","No.",J723)</t>
  </si>
  <si>
    <t>=NL("First","Customer","Name","No.",J724)</t>
  </si>
  <si>
    <t>=NL("First","Customer","Name","No.",J725)</t>
  </si>
  <si>
    <t>=NL("First","Customer","Name","No.",J726)</t>
  </si>
  <si>
    <t>=NL("First","Customer","Name","No.",J727)</t>
  </si>
  <si>
    <t>=NL("First","Customer","Name","No.",J728)</t>
  </si>
  <si>
    <t>=NL("First","Customer","Name","No.",J729)</t>
  </si>
  <si>
    <t>=NL("First","Customer","Name","No.",J730)</t>
  </si>
  <si>
    <t>=NL("First","Customer","Name","No.",J731)</t>
  </si>
  <si>
    <t>=NL("First","Customer","Name","No.",J732)</t>
  </si>
  <si>
    <t>=NL("First","Customer","Name","No.",J733)</t>
  </si>
  <si>
    <t>=NL("First","Customer","Name","No.",J734)</t>
  </si>
  <si>
    <t>=NL("First","Customer","Name","No.",J735)</t>
  </si>
  <si>
    <t>=NL("First","Customer","Name","No.",J736)</t>
  </si>
  <si>
    <t>=NL("First","Customer","Name","No.",J737)</t>
  </si>
  <si>
    <t>=NL("First","Customer","Name","No.",J738)</t>
  </si>
  <si>
    <t>=NL("First","Customer","Name","No.",J739)</t>
  </si>
  <si>
    <t>=NL("First","Customer","Name","No.",J740)</t>
  </si>
  <si>
    <t>=NL("First","Customer","Name","No.",J741)</t>
  </si>
  <si>
    <t>=NL("First","Customer","Name","No.",J742)</t>
  </si>
  <si>
    <t>=NL("First","Customer","Name","No.",J743)</t>
  </si>
  <si>
    <t>=NL("First","Customer","Name","No.",J744)</t>
  </si>
  <si>
    <t>=NL("First","Customer","Name","No.",J745)</t>
  </si>
  <si>
    <t>=NL("First","Customer","Name","No.",J746)</t>
  </si>
  <si>
    <t>=NL("First","Customer","Name","No.",J747)</t>
  </si>
  <si>
    <t>=NL("First","Customer","Name","No.",J748)</t>
  </si>
  <si>
    <t>=NL("First","Customer","Name","No.",J749)</t>
  </si>
  <si>
    <t>=NL("First","Customer","Name","No.",J750)</t>
  </si>
  <si>
    <t>=NL("First","Customer","Name","No.",J751)</t>
  </si>
  <si>
    <t>=NL("First","Customer","Name","No.",J752)</t>
  </si>
  <si>
    <t>=NL("First","Customer","Name","No.",J753)</t>
  </si>
  <si>
    <t>=NL("First","Customer","Name","No.",J754)</t>
  </si>
  <si>
    <t>=NL("First","Customer","Name","No.",J755)</t>
  </si>
  <si>
    <t>=NL("First","Customer","Name","No.",J756)</t>
  </si>
  <si>
    <t>=NL("First","Customer","Name","No.",J757)</t>
  </si>
  <si>
    <t>=NL("First","Customer","Name","No.",J758)</t>
  </si>
  <si>
    <t>=NL("First","Customer","Name","No.",J759)</t>
  </si>
  <si>
    <t>=NL("First","Customer","Name","No.",J760)</t>
  </si>
  <si>
    <t>=NL("First","Customer","Name","No.",J761)</t>
  </si>
  <si>
    <t>=NL("First","Customer","Name","No.",J762)</t>
  </si>
  <si>
    <t>=NL("First","Customer","Name","No.",J763)</t>
  </si>
  <si>
    <t>=NL("First","Customer","Name","No.",J764)</t>
  </si>
  <si>
    <t>=NL("First","Customer","Name","No.",J765)</t>
  </si>
  <si>
    <t>=NL("First","Customer","Name","No.",J766)</t>
  </si>
  <si>
    <t>=NL("First","Customer","Name","No.",J767)</t>
  </si>
  <si>
    <t>=NL("First","Customer","Name","No.",J768)</t>
  </si>
  <si>
    <t>=NL("First","Customer","Name","No.",J769)</t>
  </si>
  <si>
    <t>=NL("First","Customer","Name","No.",J770)</t>
  </si>
  <si>
    <t>=NL("First","Customer","Name","No.",J771)</t>
  </si>
  <si>
    <t>=NF($D330,"Departemen Code")</t>
  </si>
  <si>
    <t>=NF($D331,"Departemen Code")</t>
  </si>
  <si>
    <t>=NF($D332,"Departemen Code")</t>
  </si>
  <si>
    <t>=NF($D333,"Departemen Code")</t>
  </si>
  <si>
    <t>=NF($D334,"Departemen Code")</t>
  </si>
  <si>
    <t>=NF($D335,"Departemen Code")</t>
  </si>
  <si>
    <t>=NF($D336,"Departemen Code")</t>
  </si>
  <si>
    <t>=NF($D337,"Departemen Code")</t>
  </si>
  <si>
    <t>=NF($D338,"Departemen Code")</t>
  </si>
  <si>
    <t>=NF($D339,"Departemen Code")</t>
  </si>
  <si>
    <t>=NF($D340,"Departemen Code")</t>
  </si>
  <si>
    <t>=NF($D341,"Departemen Code")</t>
  </si>
  <si>
    <t>=NF($D342,"Departemen Code")</t>
  </si>
  <si>
    <t>=NF($D343,"Departemen Code")</t>
  </si>
  <si>
    <t>=NF($D344,"Departemen Code")</t>
  </si>
  <si>
    <t>=NF($D345,"Departemen Code")</t>
  </si>
  <si>
    <t>=NF($D346,"Departemen Code")</t>
  </si>
  <si>
    <t>=NF($D347,"Departemen Code")</t>
  </si>
  <si>
    <t>=NF($D348,"Departemen Code")</t>
  </si>
  <si>
    <t>=NF($D349,"Departemen Code")</t>
  </si>
  <si>
    <t>=NF($D350,"Departemen Code")</t>
  </si>
  <si>
    <t>=NF($D351,"Departemen Code")</t>
  </si>
  <si>
    <t>=NF($D352,"Departemen Code")</t>
  </si>
  <si>
    <t>=NF($D353,"Departemen Code")</t>
  </si>
  <si>
    <t>=NF($D354,"Departemen Code")</t>
  </si>
  <si>
    <t>=NF($D355,"Departemen Code")</t>
  </si>
  <si>
    <t>=NF($D356,"Departemen Code")</t>
  </si>
  <si>
    <t>=NF($D357,"Departemen Code")</t>
  </si>
  <si>
    <t>=NF($D358,"Departemen Code")</t>
  </si>
  <si>
    <t>=NF($D359,"Departemen Code")</t>
  </si>
  <si>
    <t>=NF($D360,"Departemen Code")</t>
  </si>
  <si>
    <t>=NF($D361,"Departemen Code")</t>
  </si>
  <si>
    <t>=NF($D362,"Departemen Code")</t>
  </si>
  <si>
    <t>=NF($D363,"Departemen Code")</t>
  </si>
  <si>
    <t>=NF($D364,"Departemen Code")</t>
  </si>
  <si>
    <t>=NF($D365,"Departemen Code")</t>
  </si>
  <si>
    <t>=NF($D366,"Departemen Code")</t>
  </si>
  <si>
    <t>=NF($D367,"Departemen Code")</t>
  </si>
  <si>
    <t>=NF($D368,"Departemen Code")</t>
  </si>
  <si>
    <t>=NF($D369,"Departemen Code")</t>
  </si>
  <si>
    <t>=NF($D370,"Departemen Code")</t>
  </si>
  <si>
    <t>=NF($D371,"Departemen Code")</t>
  </si>
  <si>
    <t>=NF($D372,"Departemen Code")</t>
  </si>
  <si>
    <t>=NF($D373,"Departemen Code")</t>
  </si>
  <si>
    <t>=NF($D374,"Departemen Code")</t>
  </si>
  <si>
    <t>=NF($D375,"Departemen Code")</t>
  </si>
  <si>
    <t>=NF($D376,"Departemen Code")</t>
  </si>
  <si>
    <t>=NF($D377,"Departemen Code")</t>
  </si>
  <si>
    <t>=NF($D378,"Departemen Code")</t>
  </si>
  <si>
    <t>=NF($D379,"Departemen Code")</t>
  </si>
  <si>
    <t>=NF($D380,"Departemen Code")</t>
  </si>
  <si>
    <t>=NF($D381,"Departemen Code")</t>
  </si>
  <si>
    <t>=NF($D382,"Departemen Code")</t>
  </si>
  <si>
    <t>=NF($D383,"Departemen Code")</t>
  </si>
  <si>
    <t>=NF($D384,"Departemen Code")</t>
  </si>
  <si>
    <t>=NF($D385,"Departemen Code")</t>
  </si>
  <si>
    <t>=NF($D386,"Departemen Code")</t>
  </si>
  <si>
    <t>=NF($D387,"Departemen Code")</t>
  </si>
  <si>
    <t>=NF($D388,"Departemen Code")</t>
  </si>
  <si>
    <t>=NF($D389,"Departemen Code")</t>
  </si>
  <si>
    <t>=NF($D390,"Departemen Code")</t>
  </si>
  <si>
    <t>=NF($D391,"Departemen Code")</t>
  </si>
  <si>
    <t>=NF($D392,"Departemen Code")</t>
  </si>
  <si>
    <t>=NF($D393,"Departemen Code")</t>
  </si>
  <si>
    <t>=NF($D394,"Departemen Code")</t>
  </si>
  <si>
    <t>=NF($D395,"Departemen Code")</t>
  </si>
  <si>
    <t>=NF($D396,"Departemen Code")</t>
  </si>
  <si>
    <t>=NF($D397,"Departemen Code")</t>
  </si>
  <si>
    <t>=NF($D398,"Departemen Code")</t>
  </si>
  <si>
    <t>=NF($D399,"Departemen Code")</t>
  </si>
  <si>
    <t>=NF($D400,"Departemen Code")</t>
  </si>
  <si>
    <t>=NF($D401,"Departemen Code")</t>
  </si>
  <si>
    <t>=NF($D402,"Departemen Code")</t>
  </si>
  <si>
    <t>=NF($D403,"Departemen Code")</t>
  </si>
  <si>
    <t>=NF($D404,"Departemen Code")</t>
  </si>
  <si>
    <t>=NF($D405,"Departemen Code")</t>
  </si>
  <si>
    <t>=NF($D406,"Departemen Code")</t>
  </si>
  <si>
    <t>=NF($D407,"Departemen Code")</t>
  </si>
  <si>
    <t>=NF($D408,"Departemen Code")</t>
  </si>
  <si>
    <t>=NF($D409,"Departemen Code")</t>
  </si>
  <si>
    <t>=NF($D410,"Departemen Code")</t>
  </si>
  <si>
    <t>=NF($D411,"Departemen Code")</t>
  </si>
  <si>
    <t>=NF($D412,"Departemen Code")</t>
  </si>
  <si>
    <t>=NF($D413,"Departemen Code")</t>
  </si>
  <si>
    <t>=NF($D414,"Departemen Code")</t>
  </si>
  <si>
    <t>=NF($D415,"Departemen Code")</t>
  </si>
  <si>
    <t>=NF($D416,"Departemen Code")</t>
  </si>
  <si>
    <t>=NF($D417,"Departemen Code")</t>
  </si>
  <si>
    <t>=NF($D418,"Departemen Code")</t>
  </si>
  <si>
    <t>=NF($D419,"Departemen Code")</t>
  </si>
  <si>
    <t>=NF($D420,"Departemen Code")</t>
  </si>
  <si>
    <t>=NF($D421,"Departemen Code")</t>
  </si>
  <si>
    <t>=NF($D422,"Departemen Code")</t>
  </si>
  <si>
    <t>=NF($D423,"Departemen Code")</t>
  </si>
  <si>
    <t>=NF($D424,"Departemen Code")</t>
  </si>
  <si>
    <t>=NF($D425,"Departemen Code")</t>
  </si>
  <si>
    <t>=NF($D426,"Departemen Code")</t>
  </si>
  <si>
    <t>=NF($D427,"Departemen Code")</t>
  </si>
  <si>
    <t>=NF($D428,"Departemen Code")</t>
  </si>
  <si>
    <t>=NF($D429,"Departemen Code")</t>
  </si>
  <si>
    <t>=NF($D430,"Departemen Code")</t>
  </si>
  <si>
    <t>=NF($D431,"Departemen Code")</t>
  </si>
  <si>
    <t>=NF($D432,"Departemen Code")</t>
  </si>
  <si>
    <t>=NF($D433,"Departemen Code")</t>
  </si>
  <si>
    <t>=NF($D434,"Departemen Code")</t>
  </si>
  <si>
    <t>=NF($D435,"Departemen Code")</t>
  </si>
  <si>
    <t>=NF($D436,"Departemen Code")</t>
  </si>
  <si>
    <t>=NF($D437,"Departemen Code")</t>
  </si>
  <si>
    <t>=NF($D438,"Departemen Code")</t>
  </si>
  <si>
    <t>=NF($D439,"Departemen Code")</t>
  </si>
  <si>
    <t>=NF($D440,"Departemen Code")</t>
  </si>
  <si>
    <t>=NF($D441,"Departemen Code")</t>
  </si>
  <si>
    <t>=NF($D442,"Departemen Code")</t>
  </si>
  <si>
    <t>=NF($D443,"Departemen Code")</t>
  </si>
  <si>
    <t>=NF($D444,"Departemen Code")</t>
  </si>
  <si>
    <t>=NF($D445,"Departemen Code")</t>
  </si>
  <si>
    <t>=NF($D446,"Departemen Code")</t>
  </si>
  <si>
    <t>=NF($D447,"Departemen Code")</t>
  </si>
  <si>
    <t>=NF($D448,"Departemen Code")</t>
  </si>
  <si>
    <t>=NF($D449,"Departemen Code")</t>
  </si>
  <si>
    <t>=NF($D450,"Departemen Code")</t>
  </si>
  <si>
    <t>=NF($D451,"Departemen Code")</t>
  </si>
  <si>
    <t>=NF($D452,"Departemen Code")</t>
  </si>
  <si>
    <t>=NF($D453,"Departemen Code")</t>
  </si>
  <si>
    <t>=NF($D454,"Departemen Code")</t>
  </si>
  <si>
    <t>=NF($D455,"Departemen Code")</t>
  </si>
  <si>
    <t>=NF($D456,"Departemen Code")</t>
  </si>
  <si>
    <t>=NF($D457,"Departemen Code")</t>
  </si>
  <si>
    <t>=NF($D458,"Departemen Code")</t>
  </si>
  <si>
    <t>=NF($D459,"Departemen Code")</t>
  </si>
  <si>
    <t>=NF($D460,"Departemen Code")</t>
  </si>
  <si>
    <t>=NF($D461,"Departemen Code")</t>
  </si>
  <si>
    <t>=NF($D462,"Departemen Code")</t>
  </si>
  <si>
    <t>=NF($D463,"Departemen Code")</t>
  </si>
  <si>
    <t>=NF($D464,"Departemen Code")</t>
  </si>
  <si>
    <t>=NF($D465,"Departemen Code")</t>
  </si>
  <si>
    <t>=NF($D466,"Departemen Code")</t>
  </si>
  <si>
    <t>=NF($D467,"Departemen Code")</t>
  </si>
  <si>
    <t>=NF($D468,"Departemen Code")</t>
  </si>
  <si>
    <t>=NF($D469,"Departemen Code")</t>
  </si>
  <si>
    <t>=NF($D470,"Departemen Code")</t>
  </si>
  <si>
    <t>=NF($D471,"Departemen Code")</t>
  </si>
  <si>
    <t>=NF($D472,"Departemen Code")</t>
  </si>
  <si>
    <t>=NF($D473,"Departemen Code")</t>
  </si>
  <si>
    <t>=NF($D474,"Departemen Code")</t>
  </si>
  <si>
    <t>=NF($D475,"Departemen Code")</t>
  </si>
  <si>
    <t>=NF($D476,"Departemen Code")</t>
  </si>
  <si>
    <t>=NF($D477,"Departemen Code")</t>
  </si>
  <si>
    <t>=NF($D478,"Departemen Code")</t>
  </si>
  <si>
    <t>=NF($D479,"Departemen Code")</t>
  </si>
  <si>
    <t>=NF($D480,"Departemen Code")</t>
  </si>
  <si>
    <t>=NF($D481,"Departemen Code")</t>
  </si>
  <si>
    <t>=NF($D482,"Departemen Code")</t>
  </si>
  <si>
    <t>=NF($D483,"Departemen Code")</t>
  </si>
  <si>
    <t>=NF($D484,"Departemen Code")</t>
  </si>
  <si>
    <t>=NF($D485,"Departemen Code")</t>
  </si>
  <si>
    <t>=NF($D486,"Departemen Code")</t>
  </si>
  <si>
    <t>=NF($D487,"Departemen Code")</t>
  </si>
  <si>
    <t>=NF($D488,"Departemen Code")</t>
  </si>
  <si>
    <t>=NF($D489,"Departemen Code")</t>
  </si>
  <si>
    <t>=NF($D490,"Departemen Code")</t>
  </si>
  <si>
    <t>=NF($D491,"Departemen Code")</t>
  </si>
  <si>
    <t>=NF($D492,"Departemen Code")</t>
  </si>
  <si>
    <t>=NF($D493,"Departemen Code")</t>
  </si>
  <si>
    <t>=NF($D494,"Departemen Code")</t>
  </si>
  <si>
    <t>=NF($D495,"Departemen Code")</t>
  </si>
  <si>
    <t>=NF($D496,"Departemen Code")</t>
  </si>
  <si>
    <t>=NF($D497,"Departemen Code")</t>
  </si>
  <si>
    <t>=NF($D498,"Departemen Code")</t>
  </si>
  <si>
    <t>=NF($D499,"Departemen Code")</t>
  </si>
  <si>
    <t>=NF($D500,"Departemen Code")</t>
  </si>
  <si>
    <t>=NF($D501,"Departemen Code")</t>
  </si>
  <si>
    <t>=NF($D502,"Departemen Code")</t>
  </si>
  <si>
    <t>=NF($D503,"Departemen Code")</t>
  </si>
  <si>
    <t>=NF($D504,"Departemen Code")</t>
  </si>
  <si>
    <t>=NF($D505,"Departemen Code")</t>
  </si>
  <si>
    <t>=NF($D506,"Departemen Code")</t>
  </si>
  <si>
    <t>=NF($D507,"Departemen Code")</t>
  </si>
  <si>
    <t>=NF($D508,"Departemen Code")</t>
  </si>
  <si>
    <t>=NF($D509,"Departemen Code")</t>
  </si>
  <si>
    <t>=NF($D510,"Departemen Code")</t>
  </si>
  <si>
    <t>=NF($D511,"Departemen Code")</t>
  </si>
  <si>
    <t>=NF($D512,"Departemen Code")</t>
  </si>
  <si>
    <t>=NF($D513,"Departemen Code")</t>
  </si>
  <si>
    <t>=NF($D514,"Departemen Code")</t>
  </si>
  <si>
    <t>=NF($D515,"Departemen Code")</t>
  </si>
  <si>
    <t>=NF($D516,"Departemen Code")</t>
  </si>
  <si>
    <t>=NF($D517,"Departemen Code")</t>
  </si>
  <si>
    <t>=NF($D518,"Departemen Code")</t>
  </si>
  <si>
    <t>=NF($D519,"Departemen Code")</t>
  </si>
  <si>
    <t>=NF($D520,"Departemen Code")</t>
  </si>
  <si>
    <t>=NF($D521,"Departemen Code")</t>
  </si>
  <si>
    <t>=NF($D522,"Departemen Code")</t>
  </si>
  <si>
    <t>=NF($D523,"Departemen Code")</t>
  </si>
  <si>
    <t>=NF($D524,"Departemen Code")</t>
  </si>
  <si>
    <t>=NF($D525,"Departemen Code")</t>
  </si>
  <si>
    <t>=NF($D526,"Departemen Code")</t>
  </si>
  <si>
    <t>=NF($D527,"Departemen Code")</t>
  </si>
  <si>
    <t>=NF($D528,"Departemen Code")</t>
  </si>
  <si>
    <t>=NF($D529,"Departemen Code")</t>
  </si>
  <si>
    <t>=NF($D530,"Departemen Code")</t>
  </si>
  <si>
    <t>=NF($D531,"Departemen Code")</t>
  </si>
  <si>
    <t>=NF($D532,"Departemen Code")</t>
  </si>
  <si>
    <t>=NF($D533,"Departemen Code")</t>
  </si>
  <si>
    <t>=NF($D534,"Departemen Code")</t>
  </si>
  <si>
    <t>=NF($D535,"Departemen Code")</t>
  </si>
  <si>
    <t>=NF($D536,"Departemen Code")</t>
  </si>
  <si>
    <t>=NF($D537,"Departemen Code")</t>
  </si>
  <si>
    <t>=NF($D538,"Departemen Code")</t>
  </si>
  <si>
    <t>=NF($D539,"Departemen Code")</t>
  </si>
  <si>
    <t>=NF($D540,"Departemen Code")</t>
  </si>
  <si>
    <t>=NF($D541,"Departemen Code")</t>
  </si>
  <si>
    <t>=NF($D542,"Departemen Code")</t>
  </si>
  <si>
    <t>=NF($D543,"Departemen Code")</t>
  </si>
  <si>
    <t>=NF($D544,"Departemen Code")</t>
  </si>
  <si>
    <t>=NF($D545,"Departemen Code")</t>
  </si>
  <si>
    <t>=NF($D546,"Departemen Code")</t>
  </si>
  <si>
    <t>=NF($D547,"Departemen Code")</t>
  </si>
  <si>
    <t>=NF($D548,"Departemen Code")</t>
  </si>
  <si>
    <t>=NF($D549,"Departemen Code")</t>
  </si>
  <si>
    <t>=NF($D550,"Departemen Code")</t>
  </si>
  <si>
    <t>=NF($D551,"Departemen Code")</t>
  </si>
  <si>
    <t>=NF($D552,"Departemen Code")</t>
  </si>
  <si>
    <t>=NF($D553,"Departemen Code")</t>
  </si>
  <si>
    <t>=NF($D554,"Departemen Code")</t>
  </si>
  <si>
    <t>=NF($D555,"Departemen Code")</t>
  </si>
  <si>
    <t>=NF($D556,"Departemen Code")</t>
  </si>
  <si>
    <t>=NF($D557,"Departemen Code")</t>
  </si>
  <si>
    <t>=NF($D558,"Departemen Code")</t>
  </si>
  <si>
    <t>=NF($D559,"Departemen Code")</t>
  </si>
  <si>
    <t>=NF($D560,"Departemen Code")</t>
  </si>
  <si>
    <t>=NF($D561,"Departemen Code")</t>
  </si>
  <si>
    <t>=NF($D562,"Departemen Code")</t>
  </si>
  <si>
    <t>=NF($D563,"Departemen Code")</t>
  </si>
  <si>
    <t>=NF($D564,"Departemen Code")</t>
  </si>
  <si>
    <t>=NF($D565,"Departemen Code")</t>
  </si>
  <si>
    <t>=NF($D566,"Departemen Code")</t>
  </si>
  <si>
    <t>=NF($D567,"Departemen Code")</t>
  </si>
  <si>
    <t>=NF($D568,"Departemen Code")</t>
  </si>
  <si>
    <t>=NF($D569,"Departemen Code")</t>
  </si>
  <si>
    <t>=NF($D570,"Departemen Code")</t>
  </si>
  <si>
    <t>=NF($D571,"Departemen Code")</t>
  </si>
  <si>
    <t>=NF($D572,"Departemen Code")</t>
  </si>
  <si>
    <t>=NF($D573,"Departemen Code")</t>
  </si>
  <si>
    <t>=NF($D574,"Departemen Code")</t>
  </si>
  <si>
    <t>=NF($D575,"Departemen Code")</t>
  </si>
  <si>
    <t>=NF($D576,"Departemen Code")</t>
  </si>
  <si>
    <t>=NF($D577,"Departemen Code")</t>
  </si>
  <si>
    <t>=NF($D578,"Departemen Code")</t>
  </si>
  <si>
    <t>=NF($D579,"Departemen Code")</t>
  </si>
  <si>
    <t>=NF($D580,"Departemen Code")</t>
  </si>
  <si>
    <t>=NF($D581,"Departemen Code")</t>
  </si>
  <si>
    <t>=NF($D582,"Departemen Code")</t>
  </si>
  <si>
    <t>=NF($D583,"Departemen Code")</t>
  </si>
  <si>
    <t>=NF($D584,"Departemen Code")</t>
  </si>
  <si>
    <t>=NF($D585,"Departemen Code")</t>
  </si>
  <si>
    <t>=NF($D586,"Departemen Code")</t>
  </si>
  <si>
    <t>=NF($D587,"Departemen Code")</t>
  </si>
  <si>
    <t>=NF($D588,"Departemen Code")</t>
  </si>
  <si>
    <t>=NF($D589,"Departemen Code")</t>
  </si>
  <si>
    <t>=NF($D590,"Departemen Code")</t>
  </si>
  <si>
    <t>=NF($D591,"Departemen Code")</t>
  </si>
  <si>
    <t>=NF($D592,"Departemen Code")</t>
  </si>
  <si>
    <t>=NF($D593,"Departemen Code")</t>
  </si>
  <si>
    <t>=NF($D594,"Departemen Code")</t>
  </si>
  <si>
    <t>=NF($D595,"Departemen Code")</t>
  </si>
  <si>
    <t>=NF($D596,"Departemen Code")</t>
  </si>
  <si>
    <t>=NF($D597,"Departemen Code")</t>
  </si>
  <si>
    <t>=NF($D598,"Departemen Code")</t>
  </si>
  <si>
    <t>=NF($D599,"Departemen Code")</t>
  </si>
  <si>
    <t>=NF($D600,"Departemen Code")</t>
  </si>
  <si>
    <t>=NF($D601,"Departemen Code")</t>
  </si>
  <si>
    <t>=NF($D602,"Departemen Code")</t>
  </si>
  <si>
    <t>=NF($D603,"Departemen Code")</t>
  </si>
  <si>
    <t>=NF($D604,"Departemen Code")</t>
  </si>
  <si>
    <t>=NF($D605,"Departemen Code")</t>
  </si>
  <si>
    <t>=NF($D606,"Departemen Code")</t>
  </si>
  <si>
    <t>=NF($D607,"Departemen Code")</t>
  </si>
  <si>
    <t>=NF($D608,"Departemen Code")</t>
  </si>
  <si>
    <t>=NF($D609,"Departemen Code")</t>
  </si>
  <si>
    <t>=NF($D610,"Departemen Code")</t>
  </si>
  <si>
    <t>=NF($D611,"Departemen Code")</t>
  </si>
  <si>
    <t>=NF($D612,"Departemen Code")</t>
  </si>
  <si>
    <t>=NF($D613,"Departemen Code")</t>
  </si>
  <si>
    <t>=NF($D614,"Departemen Code")</t>
  </si>
  <si>
    <t>=NF($D615,"Departemen Code")</t>
  </si>
  <si>
    <t>=NF($D616,"Departemen Code")</t>
  </si>
  <si>
    <t>=NF($D617,"Departemen Code")</t>
  </si>
  <si>
    <t>=NF($D618,"Departemen Code")</t>
  </si>
  <si>
    <t>=NF($D619,"Departemen Code")</t>
  </si>
  <si>
    <t>=NF($D620,"Departemen Code")</t>
  </si>
  <si>
    <t>=NF($D621,"Departemen Code")</t>
  </si>
  <si>
    <t>=NF($D622,"Departemen Code")</t>
  </si>
  <si>
    <t>=NF($D623,"Departemen Code")</t>
  </si>
  <si>
    <t>=NF($D624,"Departemen Code")</t>
  </si>
  <si>
    <t>=NF($D625,"Departemen Code")</t>
  </si>
  <si>
    <t>=NF($D626,"Departemen Code")</t>
  </si>
  <si>
    <t>=NF($D627,"Departemen Code")</t>
  </si>
  <si>
    <t>=NF($D628,"Departemen Code")</t>
  </si>
  <si>
    <t>=NF($D629,"Departemen Code")</t>
  </si>
  <si>
    <t>=NF($D630,"Departemen Code")</t>
  </si>
  <si>
    <t>=NF($D631,"Departemen Code")</t>
  </si>
  <si>
    <t>=NF($D632,"Departemen Code")</t>
  </si>
  <si>
    <t>=NF($D633,"Departemen Code")</t>
  </si>
  <si>
    <t>=NF($D634,"Departemen Code")</t>
  </si>
  <si>
    <t>=NF($D635,"Departemen Code")</t>
  </si>
  <si>
    <t>=NF($D636,"Departemen Code")</t>
  </si>
  <si>
    <t>=NF($D637,"Departemen Code")</t>
  </si>
  <si>
    <t>=NF($D638,"Departemen Code")</t>
  </si>
  <si>
    <t>=NF($D639,"Departemen Code")</t>
  </si>
  <si>
    <t>=NF($D640,"Departemen Code")</t>
  </si>
  <si>
    <t>=NF($D641,"Departemen Code")</t>
  </si>
  <si>
    <t>=NF($D642,"Departemen Code")</t>
  </si>
  <si>
    <t>=NF($D643,"Departemen Code")</t>
  </si>
  <si>
    <t>=NF($D644,"Departemen Code")</t>
  </si>
  <si>
    <t>=NF($D645,"Departemen Code")</t>
  </si>
  <si>
    <t>=NF($D646,"Departemen Code")</t>
  </si>
  <si>
    <t>=NF($D647,"Departemen Code")</t>
  </si>
  <si>
    <t>=NF($D648,"Departemen Code")</t>
  </si>
  <si>
    <t>=NF($D649,"Departemen Code")</t>
  </si>
  <si>
    <t>=NF($D650,"Departemen Code")</t>
  </si>
  <si>
    <t>=NF($D651,"Departemen Code")</t>
  </si>
  <si>
    <t>=NF($D652,"Departemen Code")</t>
  </si>
  <si>
    <t>=NF($D653,"Departemen Code")</t>
  </si>
  <si>
    <t>=NF($D654,"Departemen Code")</t>
  </si>
  <si>
    <t>=NF($D655,"Departemen Code")</t>
  </si>
  <si>
    <t>=NF($D656,"Departemen Code")</t>
  </si>
  <si>
    <t>=NF($D657,"Departemen Code")</t>
  </si>
  <si>
    <t>=NF($D658,"Departemen Code")</t>
  </si>
  <si>
    <t>=NF($D659,"Departemen Code")</t>
  </si>
  <si>
    <t>=NF($D660,"Departemen Code")</t>
  </si>
  <si>
    <t>=NF($D661,"Departemen Code")</t>
  </si>
  <si>
    <t>=NF($D662,"Departemen Code")</t>
  </si>
  <si>
    <t>=NF($D663,"Departemen Code")</t>
  </si>
  <si>
    <t>=NF($D664,"Departemen Code")</t>
  </si>
  <si>
    <t>=NF($D665,"Departemen Code")</t>
  </si>
  <si>
    <t>=NF($D666,"Departemen Code")</t>
  </si>
  <si>
    <t>=NF($D667,"Departemen Code")</t>
  </si>
  <si>
    <t>=NF($D668,"Departemen Code")</t>
  </si>
  <si>
    <t>=NF($D669,"Departemen Code")</t>
  </si>
  <si>
    <t>=NF($D670,"Departemen Code")</t>
  </si>
  <si>
    <t>=NF($D671,"Departemen Code")</t>
  </si>
  <si>
    <t>=NF($D672,"Departemen Code")</t>
  </si>
  <si>
    <t>=NF($D673,"Departemen Code")</t>
  </si>
  <si>
    <t>=NF($D674,"Departemen Code")</t>
  </si>
  <si>
    <t>=NF($D675,"Departemen Code")</t>
  </si>
  <si>
    <t>=NF($D676,"Departemen Code")</t>
  </si>
  <si>
    <t>=NF($D677,"Departemen Code")</t>
  </si>
  <si>
    <t>=NF($D678,"Departemen Code")</t>
  </si>
  <si>
    <t>=NF($D679,"Departemen Code")</t>
  </si>
  <si>
    <t>=NF($D680,"Departemen Code")</t>
  </si>
  <si>
    <t>=NF($D681,"Departemen Code")</t>
  </si>
  <si>
    <t>=NF($D682,"Departemen Code")</t>
  </si>
  <si>
    <t>=NF($D683,"Departemen Code")</t>
  </si>
  <si>
    <t>=NF($D684,"Departemen Code")</t>
  </si>
  <si>
    <t>=NF($D685,"Departemen Code")</t>
  </si>
  <si>
    <t>=NF($D686,"Departemen Code")</t>
  </si>
  <si>
    <t>=NF($D687,"Departemen Code")</t>
  </si>
  <si>
    <t>=NF($D688,"Departemen Code")</t>
  </si>
  <si>
    <t>=NF($D689,"Departemen Code")</t>
  </si>
  <si>
    <t>=NF($D690,"Departemen Code")</t>
  </si>
  <si>
    <t>=NF($D691,"Departemen Code")</t>
  </si>
  <si>
    <t>=NF($D692,"Departemen Code")</t>
  </si>
  <si>
    <t>=NF($D693,"Departemen Code")</t>
  </si>
  <si>
    <t>=NF($D694,"Departemen Code")</t>
  </si>
  <si>
    <t>=NF($D695,"Departemen Code")</t>
  </si>
  <si>
    <t>=NF($D696,"Departemen Code")</t>
  </si>
  <si>
    <t>=NF($D697,"Departemen Code")</t>
  </si>
  <si>
    <t>=NF($D698,"Departemen Code")</t>
  </si>
  <si>
    <t>=NF($D699,"Departemen Code")</t>
  </si>
  <si>
    <t>=NF($D700,"Departemen Code")</t>
  </si>
  <si>
    <t>=NF($D701,"Departemen Code")</t>
  </si>
  <si>
    <t>=NF($D702,"Departemen Code")</t>
  </si>
  <si>
    <t>=NF($D703,"Departemen Code")</t>
  </si>
  <si>
    <t>=NF($D704,"Departemen Code")</t>
  </si>
  <si>
    <t>=NF($D705,"Departemen Code")</t>
  </si>
  <si>
    <t>=NF($D706,"Departemen Code")</t>
  </si>
  <si>
    <t>=NF($D707,"Departemen Code")</t>
  </si>
  <si>
    <t>=NF($D708,"Departemen Code")</t>
  </si>
  <si>
    <t>=NF($D709,"Departemen Code")</t>
  </si>
  <si>
    <t>=NF($D710,"Departemen Code")</t>
  </si>
  <si>
    <t>=NF($D711,"Departemen Code")</t>
  </si>
  <si>
    <t>=NF($D712,"Departemen Code")</t>
  </si>
  <si>
    <t>=NF($D713,"Departemen Code")</t>
  </si>
  <si>
    <t>=NF($D714,"Departemen Code")</t>
  </si>
  <si>
    <t>=NF($D715,"Departemen Code")</t>
  </si>
  <si>
    <t>=NF($D716,"Departemen Code")</t>
  </si>
  <si>
    <t>=NF($D717,"Departemen Code")</t>
  </si>
  <si>
    <t>=NF($D718,"Departemen Code")</t>
  </si>
  <si>
    <t>=NF($D719,"Departemen Code")</t>
  </si>
  <si>
    <t>=NF($D720,"Departemen Code")</t>
  </si>
  <si>
    <t>=NF($D721,"Departemen Code")</t>
  </si>
  <si>
    <t>=NF($D722,"Departemen Code")</t>
  </si>
  <si>
    <t>=NF($D723,"Departemen Code")</t>
  </si>
  <si>
    <t>=NF($D724,"Departemen Code")</t>
  </si>
  <si>
    <t>=NF($D725,"Departemen Code")</t>
  </si>
  <si>
    <t>=NF($D726,"Departemen Code")</t>
  </si>
  <si>
    <t>=NF($D727,"Departemen Code")</t>
  </si>
  <si>
    <t>=NF($D728,"Departemen Code")</t>
  </si>
  <si>
    <t>=NF($D729,"Departemen Code")</t>
  </si>
  <si>
    <t>=NF($D730,"Departemen Code")</t>
  </si>
  <si>
    <t>=NF($D731,"Departemen Code")</t>
  </si>
  <si>
    <t>=NF($D732,"Departemen Code")</t>
  </si>
  <si>
    <t>=NF($D733,"Departemen Code")</t>
  </si>
  <si>
    <t>=NF($D734,"Departemen Code")</t>
  </si>
  <si>
    <t>=NF($D735,"Departemen Code")</t>
  </si>
  <si>
    <t>=NF($D736,"Departemen Code")</t>
  </si>
  <si>
    <t>=NF($D737,"Departemen Code")</t>
  </si>
  <si>
    <t>=NF($D738,"Departemen Code")</t>
  </si>
  <si>
    <t>=NF($D739,"Departemen Code")</t>
  </si>
  <si>
    <t>=NF($D740,"Departemen Code")</t>
  </si>
  <si>
    <t>=NF($D741,"Departemen Code")</t>
  </si>
  <si>
    <t>=NF($D742,"Departemen Code")</t>
  </si>
  <si>
    <t>=NF($D743,"Departemen Code")</t>
  </si>
  <si>
    <t>=NF($D744,"Departemen Code")</t>
  </si>
  <si>
    <t>=NF($D745,"Departemen Code")</t>
  </si>
  <si>
    <t>=NF($D746,"Departemen Code")</t>
  </si>
  <si>
    <t>=NF($D747,"Departemen Code")</t>
  </si>
  <si>
    <t>=NF($D748,"Departemen Code")</t>
  </si>
  <si>
    <t>=NF($D749,"Departemen Code")</t>
  </si>
  <si>
    <t>=NF($D750,"Departemen Code")</t>
  </si>
  <si>
    <t>=NF($D751,"Departemen Code")</t>
  </si>
  <si>
    <t>=NF($D752,"Departemen Code")</t>
  </si>
  <si>
    <t>=NF($D753,"Departemen Code")</t>
  </si>
  <si>
    <t>=NF($D754,"Departemen Code")</t>
  </si>
  <si>
    <t>=NF($D755,"Departemen Code")</t>
  </si>
  <si>
    <t>=NF($D756,"Departemen Code")</t>
  </si>
  <si>
    <t>=NF($D757,"Departemen Code")</t>
  </si>
  <si>
    <t>=NF($D758,"Departemen Code")</t>
  </si>
  <si>
    <t>=NF($D759,"Departemen Code")</t>
  </si>
  <si>
    <t>=NF($D760,"Departemen Code")</t>
  </si>
  <si>
    <t>=NF($D761,"Departemen Code")</t>
  </si>
  <si>
    <t>=NF($D762,"Departemen Code")</t>
  </si>
  <si>
    <t>=NF($D763,"Departemen Code")</t>
  </si>
  <si>
    <t>=NF($D764,"Departemen Code")</t>
  </si>
  <si>
    <t>=NF($D765,"Departemen Code")</t>
  </si>
  <si>
    <t>=NF($D766,"Departemen Code")</t>
  </si>
  <si>
    <t>=NF($D767,"Departemen Code")</t>
  </si>
  <si>
    <t>=NF($D768,"Departemen Code")</t>
  </si>
  <si>
    <t>=NF($D769,"Departemen Code")</t>
  </si>
  <si>
    <t>=NF($D770,"Departemen Code")</t>
  </si>
  <si>
    <t>=NF($D771,"Departemen Code")</t>
  </si>
  <si>
    <t>=NF($D330,"Document Date")</t>
  </si>
  <si>
    <t>=NF($D331,"Document Date")</t>
  </si>
  <si>
    <t>=NF($D332,"Document Date")</t>
  </si>
  <si>
    <t>=NF($D333,"Document Date")</t>
  </si>
  <si>
    <t>=NF($D334,"Document Date")</t>
  </si>
  <si>
    <t>=NF($D335,"Document Date")</t>
  </si>
  <si>
    <t>=NF($D336,"Document Date")</t>
  </si>
  <si>
    <t>=NF($D337,"Document Date")</t>
  </si>
  <si>
    <t>=NF($D338,"Document Date")</t>
  </si>
  <si>
    <t>=NF($D339,"Document Date")</t>
  </si>
  <si>
    <t>=NF($D340,"Document Date")</t>
  </si>
  <si>
    <t>=NF($D341,"Document Date")</t>
  </si>
  <si>
    <t>=NF($D342,"Document Date")</t>
  </si>
  <si>
    <t>=NF($D343,"Document Date")</t>
  </si>
  <si>
    <t>=NF($D344,"Document Date")</t>
  </si>
  <si>
    <t>=NF($D345,"Document Date")</t>
  </si>
  <si>
    <t>=NF($D346,"Document Date")</t>
  </si>
  <si>
    <t>=NF($D347,"Document Date")</t>
  </si>
  <si>
    <t>=NF($D348,"Document Date")</t>
  </si>
  <si>
    <t>=NF($D349,"Document Date")</t>
  </si>
  <si>
    <t>=NF($D350,"Document Date")</t>
  </si>
  <si>
    <t>=NF($D351,"Document Date")</t>
  </si>
  <si>
    <t>=NF($D352,"Document Date")</t>
  </si>
  <si>
    <t>=NF($D353,"Document Date")</t>
  </si>
  <si>
    <t>=NF($D354,"Document Date")</t>
  </si>
  <si>
    <t>=NF($D355,"Document Date")</t>
  </si>
  <si>
    <t>=NF($D356,"Document Date")</t>
  </si>
  <si>
    <t>=NF($D357,"Document Date")</t>
  </si>
  <si>
    <t>=NF($D358,"Document Date")</t>
  </si>
  <si>
    <t>=NF($D359,"Document Date")</t>
  </si>
  <si>
    <t>=NF($D360,"Document Date")</t>
  </si>
  <si>
    <t>=NF($D361,"Document Date")</t>
  </si>
  <si>
    <t>=NF($D362,"Document Date")</t>
  </si>
  <si>
    <t>=NF($D363,"Document Date")</t>
  </si>
  <si>
    <t>=NF($D364,"Document Date")</t>
  </si>
  <si>
    <t>=NF($D365,"Document Date")</t>
  </si>
  <si>
    <t>=NF($D366,"Document Date")</t>
  </si>
  <si>
    <t>=NF($D367,"Document Date")</t>
  </si>
  <si>
    <t>=NF($D368,"Document Date")</t>
  </si>
  <si>
    <t>=NF($D369,"Document Date")</t>
  </si>
  <si>
    <t>=NF($D370,"Document Date")</t>
  </si>
  <si>
    <t>=NF($D371,"Document Date")</t>
  </si>
  <si>
    <t>=NF($D372,"Document Date")</t>
  </si>
  <si>
    <t>=NF($D373,"Document Date")</t>
  </si>
  <si>
    <t>=NF($D374,"Document Date")</t>
  </si>
  <si>
    <t>=NF($D375,"Document Date")</t>
  </si>
  <si>
    <t>=NF($D376,"Document Date")</t>
  </si>
  <si>
    <t>=NF($D377,"Document Date")</t>
  </si>
  <si>
    <t>=NF($D378,"Document Date")</t>
  </si>
  <si>
    <t>=NF($D379,"Document Date")</t>
  </si>
  <si>
    <t>=NF($D380,"Document Date")</t>
  </si>
  <si>
    <t>=NF($D381,"Document Date")</t>
  </si>
  <si>
    <t>=NF($D382,"Document Date")</t>
  </si>
  <si>
    <t>=NF($D383,"Document Date")</t>
  </si>
  <si>
    <t>=NF($D384,"Document Date")</t>
  </si>
  <si>
    <t>=NF($D385,"Document Date")</t>
  </si>
  <si>
    <t>=NF($D386,"Document Date")</t>
  </si>
  <si>
    <t>=NF($D387,"Document Date")</t>
  </si>
  <si>
    <t>=NF($D388,"Document Date")</t>
  </si>
  <si>
    <t>=NF($D389,"Document Date")</t>
  </si>
  <si>
    <t>=NF($D390,"Document Date")</t>
  </si>
  <si>
    <t>=NF($D391,"Document Date")</t>
  </si>
  <si>
    <t>=NF($D392,"Document Date")</t>
  </si>
  <si>
    <t>=NF($D393,"Document Date")</t>
  </si>
  <si>
    <t>=NF($D394,"Document Date")</t>
  </si>
  <si>
    <t>=NF($D395,"Document Date")</t>
  </si>
  <si>
    <t>=NF($D396,"Document Date")</t>
  </si>
  <si>
    <t>=NF($D397,"Document Date")</t>
  </si>
  <si>
    <t>=NF($D398,"Document Date")</t>
  </si>
  <si>
    <t>=NF($D399,"Document Date")</t>
  </si>
  <si>
    <t>=NF($D400,"Document Date")</t>
  </si>
  <si>
    <t>=NF($D401,"Document Date")</t>
  </si>
  <si>
    <t>=NF($D402,"Document Date")</t>
  </si>
  <si>
    <t>=NF($D403,"Document Date")</t>
  </si>
  <si>
    <t>=NF($D404,"Document Date")</t>
  </si>
  <si>
    <t>=NF($D405,"Document Date")</t>
  </si>
  <si>
    <t>=NF($D406,"Document Date")</t>
  </si>
  <si>
    <t>=NF($D407,"Document Date")</t>
  </si>
  <si>
    <t>=NF($D408,"Document Date")</t>
  </si>
  <si>
    <t>=NF($D409,"Document Date")</t>
  </si>
  <si>
    <t>=NF($D410,"Document Date")</t>
  </si>
  <si>
    <t>=NF($D411,"Document Date")</t>
  </si>
  <si>
    <t>=NF($D412,"Document Date")</t>
  </si>
  <si>
    <t>=NF($D413,"Document Date")</t>
  </si>
  <si>
    <t>=NF($D414,"Document Date")</t>
  </si>
  <si>
    <t>=NF($D415,"Document Date")</t>
  </si>
  <si>
    <t>=NF($D416,"Document Date")</t>
  </si>
  <si>
    <t>=NF($D417,"Document Date")</t>
  </si>
  <si>
    <t>=NF($D418,"Document Date")</t>
  </si>
  <si>
    <t>=NF($D419,"Document Date")</t>
  </si>
  <si>
    <t>=NF($D420,"Document Date")</t>
  </si>
  <si>
    <t>=NF($D421,"Document Date")</t>
  </si>
  <si>
    <t>=NF($D422,"Document Date")</t>
  </si>
  <si>
    <t>=NF($D423,"Document Date")</t>
  </si>
  <si>
    <t>=NF($D424,"Document Date")</t>
  </si>
  <si>
    <t>=NF($D425,"Document Date")</t>
  </si>
  <si>
    <t>=NF($D426,"Document Date")</t>
  </si>
  <si>
    <t>=NF($D427,"Document Date")</t>
  </si>
  <si>
    <t>=NF($D428,"Document Date")</t>
  </si>
  <si>
    <t>=NF($D429,"Document Date")</t>
  </si>
  <si>
    <t>=NF($D430,"Document Date")</t>
  </si>
  <si>
    <t>=NF($D431,"Document Date")</t>
  </si>
  <si>
    <t>=NF($D432,"Document Date")</t>
  </si>
  <si>
    <t>=NF($D433,"Document Date")</t>
  </si>
  <si>
    <t>=NF($D434,"Document Date")</t>
  </si>
  <si>
    <t>=NF($D435,"Document Date")</t>
  </si>
  <si>
    <t>=NF($D436,"Document Date")</t>
  </si>
  <si>
    <t>=NF($D437,"Document Date")</t>
  </si>
  <si>
    <t>=NF($D438,"Document Date")</t>
  </si>
  <si>
    <t>=NF($D439,"Document Date")</t>
  </si>
  <si>
    <t>=NF($D440,"Document Date")</t>
  </si>
  <si>
    <t>=NF($D441,"Document Date")</t>
  </si>
  <si>
    <t>=NF($D442,"Document Date")</t>
  </si>
  <si>
    <t>=NF($D443,"Document Date")</t>
  </si>
  <si>
    <t>=NF($D444,"Document Date")</t>
  </si>
  <si>
    <t>=NF($D445,"Document Date")</t>
  </si>
  <si>
    <t>=NF($D446,"Document Date")</t>
  </si>
  <si>
    <t>=NF($D447,"Document Date")</t>
  </si>
  <si>
    <t>=NF($D448,"Document Date")</t>
  </si>
  <si>
    <t>=NF($D449,"Document Date")</t>
  </si>
  <si>
    <t>=NF($D450,"Document Date")</t>
  </si>
  <si>
    <t>=NF($D451,"Document Date")</t>
  </si>
  <si>
    <t>=NF($D452,"Document Date")</t>
  </si>
  <si>
    <t>=NF($D453,"Document Date")</t>
  </si>
  <si>
    <t>=NF($D454,"Document Date")</t>
  </si>
  <si>
    <t>=NF($D455,"Document Date")</t>
  </si>
  <si>
    <t>=NF($D456,"Document Date")</t>
  </si>
  <si>
    <t>=NF($D457,"Document Date")</t>
  </si>
  <si>
    <t>=NF($D458,"Document Date")</t>
  </si>
  <si>
    <t>=NF($D459,"Document Date")</t>
  </si>
  <si>
    <t>=NF($D460,"Document Date")</t>
  </si>
  <si>
    <t>=NF($D461,"Document Date")</t>
  </si>
  <si>
    <t>=NF($D462,"Document Date")</t>
  </si>
  <si>
    <t>=NF($D463,"Document Date")</t>
  </si>
  <si>
    <t>=NF($D464,"Document Date")</t>
  </si>
  <si>
    <t>=NF($D465,"Document Date")</t>
  </si>
  <si>
    <t>=NF($D466,"Document Date")</t>
  </si>
  <si>
    <t>=NF($D467,"Document Date")</t>
  </si>
  <si>
    <t>=NF($D468,"Document Date")</t>
  </si>
  <si>
    <t>=NF($D469,"Document Date")</t>
  </si>
  <si>
    <t>=NF($D470,"Document Date")</t>
  </si>
  <si>
    <t>=NF($D471,"Document Date")</t>
  </si>
  <si>
    <t>=NF($D472,"Document Date")</t>
  </si>
  <si>
    <t>=NF($D473,"Document Date")</t>
  </si>
  <si>
    <t>=NF($D474,"Document Date")</t>
  </si>
  <si>
    <t>=NF($D475,"Document Date")</t>
  </si>
  <si>
    <t>=NF($D476,"Document Date")</t>
  </si>
  <si>
    <t>=NF($D477,"Document Date")</t>
  </si>
  <si>
    <t>=NF($D478,"Document Date")</t>
  </si>
  <si>
    <t>=NF($D479,"Document Date")</t>
  </si>
  <si>
    <t>=NF($D480,"Document Date")</t>
  </si>
  <si>
    <t>=NF($D481,"Document Date")</t>
  </si>
  <si>
    <t>=NF($D482,"Document Date")</t>
  </si>
  <si>
    <t>=NF($D483,"Document Date")</t>
  </si>
  <si>
    <t>=NF($D484,"Document Date")</t>
  </si>
  <si>
    <t>=NF($D485,"Document Date")</t>
  </si>
  <si>
    <t>=NF($D486,"Document Date")</t>
  </si>
  <si>
    <t>=NF($D487,"Document Date")</t>
  </si>
  <si>
    <t>=NF($D488,"Document Date")</t>
  </si>
  <si>
    <t>=NF($D489,"Document Date")</t>
  </si>
  <si>
    <t>=NF($D490,"Document Date")</t>
  </si>
  <si>
    <t>=NF($D491,"Document Date")</t>
  </si>
  <si>
    <t>=NF($D492,"Document Date")</t>
  </si>
  <si>
    <t>=NF($D493,"Document Date")</t>
  </si>
  <si>
    <t>=NF($D494,"Document Date")</t>
  </si>
  <si>
    <t>=NF($D495,"Document Date")</t>
  </si>
  <si>
    <t>=NF($D496,"Document Date")</t>
  </si>
  <si>
    <t>=NF($D497,"Document Date")</t>
  </si>
  <si>
    <t>=NF($D498,"Document Date")</t>
  </si>
  <si>
    <t>=NF($D499,"Document Date")</t>
  </si>
  <si>
    <t>=NF($D500,"Document Date")</t>
  </si>
  <si>
    <t>=NF($D501,"Document Date")</t>
  </si>
  <si>
    <t>=NF($D502,"Document Date")</t>
  </si>
  <si>
    <t>=NF($D503,"Document Date")</t>
  </si>
  <si>
    <t>=NF($D504,"Document Date")</t>
  </si>
  <si>
    <t>=NF($D505,"Document Date")</t>
  </si>
  <si>
    <t>=NF($D506,"Document Date")</t>
  </si>
  <si>
    <t>=NF($D507,"Document Date")</t>
  </si>
  <si>
    <t>=NF($D508,"Document Date")</t>
  </si>
  <si>
    <t>=NF($D509,"Document Date")</t>
  </si>
  <si>
    <t>=NF($D510,"Document Date")</t>
  </si>
  <si>
    <t>=NF($D511,"Document Date")</t>
  </si>
  <si>
    <t>=NF($D512,"Document Date")</t>
  </si>
  <si>
    <t>=NF($D513,"Document Date")</t>
  </si>
  <si>
    <t>=NF($D514,"Document Date")</t>
  </si>
  <si>
    <t>=NF($D515,"Document Date")</t>
  </si>
  <si>
    <t>=NF($D516,"Document Date")</t>
  </si>
  <si>
    <t>=NF($D517,"Document Date")</t>
  </si>
  <si>
    <t>=NF($D518,"Document Date")</t>
  </si>
  <si>
    <t>=NF($D519,"Document Date")</t>
  </si>
  <si>
    <t>=NF($D520,"Document Date")</t>
  </si>
  <si>
    <t>=NF($D521,"Document Date")</t>
  </si>
  <si>
    <t>=NF($D522,"Document Date")</t>
  </si>
  <si>
    <t>=NF($D523,"Document Date")</t>
  </si>
  <si>
    <t>=NF($D524,"Document Date")</t>
  </si>
  <si>
    <t>=NF($D525,"Document Date")</t>
  </si>
  <si>
    <t>=NF($D526,"Document Date")</t>
  </si>
  <si>
    <t>=NF($D527,"Document Date")</t>
  </si>
  <si>
    <t>=NF($D528,"Document Date")</t>
  </si>
  <si>
    <t>=NF($D529,"Document Date")</t>
  </si>
  <si>
    <t>=NF($D530,"Document Date")</t>
  </si>
  <si>
    <t>=NF($D531,"Document Date")</t>
  </si>
  <si>
    <t>=NF($D532,"Document Date")</t>
  </si>
  <si>
    <t>=NF($D533,"Document Date")</t>
  </si>
  <si>
    <t>=NF($D534,"Document Date")</t>
  </si>
  <si>
    <t>=NF($D535,"Document Date")</t>
  </si>
  <si>
    <t>=NF($D536,"Document Date")</t>
  </si>
  <si>
    <t>=NF($D537,"Document Date")</t>
  </si>
  <si>
    <t>=NF($D538,"Document Date")</t>
  </si>
  <si>
    <t>=NF($D539,"Document Date")</t>
  </si>
  <si>
    <t>=NF($D540,"Document Date")</t>
  </si>
  <si>
    <t>=NF($D541,"Document Date")</t>
  </si>
  <si>
    <t>=NF($D542,"Document Date")</t>
  </si>
  <si>
    <t>=NF($D543,"Document Date")</t>
  </si>
  <si>
    <t>=NF($D544,"Document Date")</t>
  </si>
  <si>
    <t>=NF($D545,"Document Date")</t>
  </si>
  <si>
    <t>=NF($D546,"Document Date")</t>
  </si>
  <si>
    <t>=NF($D547,"Document Date")</t>
  </si>
  <si>
    <t>=NF($D548,"Document Date")</t>
  </si>
  <si>
    <t>=NF($D549,"Document Date")</t>
  </si>
  <si>
    <t>=NF($D550,"Document Date")</t>
  </si>
  <si>
    <t>=NF($D551,"Document Date")</t>
  </si>
  <si>
    <t>=NF($D552,"Document Date")</t>
  </si>
  <si>
    <t>=NF($D553,"Document Date")</t>
  </si>
  <si>
    <t>=NF($D554,"Document Date")</t>
  </si>
  <si>
    <t>=NF($D555,"Document Date")</t>
  </si>
  <si>
    <t>=NF($D556,"Document Date")</t>
  </si>
  <si>
    <t>=NF($D557,"Document Date")</t>
  </si>
  <si>
    <t>=NF($D558,"Document Date")</t>
  </si>
  <si>
    <t>=NF($D559,"Document Date")</t>
  </si>
  <si>
    <t>=NF($D560,"Document Date")</t>
  </si>
  <si>
    <t>=NF($D561,"Document Date")</t>
  </si>
  <si>
    <t>=NF($D562,"Document Date")</t>
  </si>
  <si>
    <t>=NF($D563,"Document Date")</t>
  </si>
  <si>
    <t>=NF($D564,"Document Date")</t>
  </si>
  <si>
    <t>=NF($D565,"Document Date")</t>
  </si>
  <si>
    <t>=NF($D566,"Document Date")</t>
  </si>
  <si>
    <t>=NF($D567,"Document Date")</t>
  </si>
  <si>
    <t>=NF($D568,"Document Date")</t>
  </si>
  <si>
    <t>=NF($D569,"Document Date")</t>
  </si>
  <si>
    <t>=NF($D570,"Document Date")</t>
  </si>
  <si>
    <t>=NF($D571,"Document Date")</t>
  </si>
  <si>
    <t>=NF($D572,"Document Date")</t>
  </si>
  <si>
    <t>=NF($D573,"Document Date")</t>
  </si>
  <si>
    <t>=NF($D574,"Document Date")</t>
  </si>
  <si>
    <t>=NF($D575,"Document Date")</t>
  </si>
  <si>
    <t>=NF($D576,"Document Date")</t>
  </si>
  <si>
    <t>=NF($D577,"Document Date")</t>
  </si>
  <si>
    <t>=NF($D578,"Document Date")</t>
  </si>
  <si>
    <t>=NF($D579,"Document Date")</t>
  </si>
  <si>
    <t>=NF($D580,"Document Date")</t>
  </si>
  <si>
    <t>=NF($D581,"Document Date")</t>
  </si>
  <si>
    <t>=NF($D582,"Document Date")</t>
  </si>
  <si>
    <t>=NF($D583,"Document Date")</t>
  </si>
  <si>
    <t>=NF($D584,"Document Date")</t>
  </si>
  <si>
    <t>=NF($D585,"Document Date")</t>
  </si>
  <si>
    <t>=NF($D586,"Document Date")</t>
  </si>
  <si>
    <t>=NF($D587,"Document Date")</t>
  </si>
  <si>
    <t>=NF($D588,"Document Date")</t>
  </si>
  <si>
    <t>=NF($D589,"Document Date")</t>
  </si>
  <si>
    <t>=NF($D590,"Document Date")</t>
  </si>
  <si>
    <t>=NF($D591,"Document Date")</t>
  </si>
  <si>
    <t>=NF($D592,"Document Date")</t>
  </si>
  <si>
    <t>=NF($D593,"Document Date")</t>
  </si>
  <si>
    <t>=NF($D594,"Document Date")</t>
  </si>
  <si>
    <t>=NF($D595,"Document Date")</t>
  </si>
  <si>
    <t>=NF($D596,"Document Date")</t>
  </si>
  <si>
    <t>=NF($D597,"Document Date")</t>
  </si>
  <si>
    <t>=NF($D598,"Document Date")</t>
  </si>
  <si>
    <t>=NF($D599,"Document Date")</t>
  </si>
  <si>
    <t>=NF($D600,"Document Date")</t>
  </si>
  <si>
    <t>=NF($D601,"Document Date")</t>
  </si>
  <si>
    <t>=NF($D602,"Document Date")</t>
  </si>
  <si>
    <t>=NF($D603,"Document Date")</t>
  </si>
  <si>
    <t>=NF($D604,"Document Date")</t>
  </si>
  <si>
    <t>=NF($D605,"Document Date")</t>
  </si>
  <si>
    <t>=NF($D606,"Document Date")</t>
  </si>
  <si>
    <t>=NF($D607,"Document Date")</t>
  </si>
  <si>
    <t>=NF($D608,"Document Date")</t>
  </si>
  <si>
    <t>=NF($D609,"Document Date")</t>
  </si>
  <si>
    <t>=NF($D610,"Document Date")</t>
  </si>
  <si>
    <t>=NF($D611,"Document Date")</t>
  </si>
  <si>
    <t>=NF($D612,"Document Date")</t>
  </si>
  <si>
    <t>=NF($D613,"Document Date")</t>
  </si>
  <si>
    <t>=NF($D614,"Document Date")</t>
  </si>
  <si>
    <t>=NF($D615,"Document Date")</t>
  </si>
  <si>
    <t>=NF($D616,"Document Date")</t>
  </si>
  <si>
    <t>=NF($D617,"Document Date")</t>
  </si>
  <si>
    <t>=NF($D618,"Document Date")</t>
  </si>
  <si>
    <t>=NF($D619,"Document Date")</t>
  </si>
  <si>
    <t>=NF($D620,"Document Date")</t>
  </si>
  <si>
    <t>=NF($D621,"Document Date")</t>
  </si>
  <si>
    <t>=NF($D622,"Document Date")</t>
  </si>
  <si>
    <t>=NF($D623,"Document Date")</t>
  </si>
  <si>
    <t>=NF($D624,"Document Date")</t>
  </si>
  <si>
    <t>=NF($D625,"Document Date")</t>
  </si>
  <si>
    <t>=NF($D626,"Document Date")</t>
  </si>
  <si>
    <t>=NF($D627,"Document Date")</t>
  </si>
  <si>
    <t>=NF($D628,"Document Date")</t>
  </si>
  <si>
    <t>=NF($D629,"Document Date")</t>
  </si>
  <si>
    <t>=NF($D630,"Document Date")</t>
  </si>
  <si>
    <t>=NF($D631,"Document Date")</t>
  </si>
  <si>
    <t>=NF($D632,"Document Date")</t>
  </si>
  <si>
    <t>=NF($D633,"Document Date")</t>
  </si>
  <si>
    <t>=NF($D634,"Document Date")</t>
  </si>
  <si>
    <t>=NF($D635,"Document Date")</t>
  </si>
  <si>
    <t>=NF($D636,"Document Date")</t>
  </si>
  <si>
    <t>=NF($D637,"Document Date")</t>
  </si>
  <si>
    <t>=NF($D638,"Document Date")</t>
  </si>
  <si>
    <t>=NF($D639,"Document Date")</t>
  </si>
  <si>
    <t>=NF($D640,"Document Date")</t>
  </si>
  <si>
    <t>=NF($D641,"Document Date")</t>
  </si>
  <si>
    <t>=NF($D642,"Document Date")</t>
  </si>
  <si>
    <t>=NF($D643,"Document Date")</t>
  </si>
  <si>
    <t>=NF($D644,"Document Date")</t>
  </si>
  <si>
    <t>=NF($D645,"Document Date")</t>
  </si>
  <si>
    <t>=NF($D646,"Document Date")</t>
  </si>
  <si>
    <t>=NF($D647,"Document Date")</t>
  </si>
  <si>
    <t>=NF($D648,"Document Date")</t>
  </si>
  <si>
    <t>=NF($D649,"Document Date")</t>
  </si>
  <si>
    <t>=NF($D650,"Document Date")</t>
  </si>
  <si>
    <t>=NF($D651,"Document Date")</t>
  </si>
  <si>
    <t>=NF($D652,"Document Date")</t>
  </si>
  <si>
    <t>=NF($D653,"Document Date")</t>
  </si>
  <si>
    <t>=NF($D654,"Document Date")</t>
  </si>
  <si>
    <t>=NF($D655,"Document Date")</t>
  </si>
  <si>
    <t>=NF($D656,"Document Date")</t>
  </si>
  <si>
    <t>=NF($D657,"Document Date")</t>
  </si>
  <si>
    <t>=NF($D658,"Document Date")</t>
  </si>
  <si>
    <t>=NF($D659,"Document Date")</t>
  </si>
  <si>
    <t>=NF($D660,"Document Date")</t>
  </si>
  <si>
    <t>=NF($D661,"Document Date")</t>
  </si>
  <si>
    <t>=NF($D662,"Document Date")</t>
  </si>
  <si>
    <t>=NF($D663,"Document Date")</t>
  </si>
  <si>
    <t>=NF($D664,"Document Date")</t>
  </si>
  <si>
    <t>=NF($D665,"Document Date")</t>
  </si>
  <si>
    <t>=NF($D666,"Document Date")</t>
  </si>
  <si>
    <t>=NF($D667,"Document Date")</t>
  </si>
  <si>
    <t>=NF($D668,"Document Date")</t>
  </si>
  <si>
    <t>=NF($D669,"Document Date")</t>
  </si>
  <si>
    <t>=NF($D670,"Document Date")</t>
  </si>
  <si>
    <t>=NF($D671,"Document Date")</t>
  </si>
  <si>
    <t>=NF($D672,"Document Date")</t>
  </si>
  <si>
    <t>=NF($D673,"Document Date")</t>
  </si>
  <si>
    <t>=NF($D674,"Document Date")</t>
  </si>
  <si>
    <t>=NF($D675,"Document Date")</t>
  </si>
  <si>
    <t>=NF($D676,"Document Date")</t>
  </si>
  <si>
    <t>=NF($D677,"Document Date")</t>
  </si>
  <si>
    <t>=NF($D678,"Document Date")</t>
  </si>
  <si>
    <t>=NF($D679,"Document Date")</t>
  </si>
  <si>
    <t>=NF($D680,"Document Date")</t>
  </si>
  <si>
    <t>=NF($D681,"Document Date")</t>
  </si>
  <si>
    <t>=NF($D682,"Document Date")</t>
  </si>
  <si>
    <t>=NF($D683,"Document Date")</t>
  </si>
  <si>
    <t>=NF($D684,"Document Date")</t>
  </si>
  <si>
    <t>=NF($D685,"Document Date")</t>
  </si>
  <si>
    <t>=NF($D686,"Document Date")</t>
  </si>
  <si>
    <t>=NF($D687,"Document Date")</t>
  </si>
  <si>
    <t>=NF($D688,"Document Date")</t>
  </si>
  <si>
    <t>=NF($D689,"Document Date")</t>
  </si>
  <si>
    <t>=NF($D690,"Document Date")</t>
  </si>
  <si>
    <t>=NF($D691,"Document Date")</t>
  </si>
  <si>
    <t>=NF($D692,"Document Date")</t>
  </si>
  <si>
    <t>=NF($D693,"Document Date")</t>
  </si>
  <si>
    <t>=NF($D694,"Document Date")</t>
  </si>
  <si>
    <t>=NF($D695,"Document Date")</t>
  </si>
  <si>
    <t>=NF($D696,"Document Date")</t>
  </si>
  <si>
    <t>=NF($D697,"Document Date")</t>
  </si>
  <si>
    <t>=NF($D698,"Document Date")</t>
  </si>
  <si>
    <t>=NF($D699,"Document Date")</t>
  </si>
  <si>
    <t>=NF($D700,"Document Date")</t>
  </si>
  <si>
    <t>=NF($D701,"Document Date")</t>
  </si>
  <si>
    <t>=NF($D702,"Document Date")</t>
  </si>
  <si>
    <t>=NF($D703,"Document Date")</t>
  </si>
  <si>
    <t>=NF($D704,"Document Date")</t>
  </si>
  <si>
    <t>=NF($D705,"Document Date")</t>
  </si>
  <si>
    <t>=NF($D706,"Document Date")</t>
  </si>
  <si>
    <t>=NF($D707,"Document Date")</t>
  </si>
  <si>
    <t>=NF($D708,"Document Date")</t>
  </si>
  <si>
    <t>=NF($D709,"Document Date")</t>
  </si>
  <si>
    <t>=NF($D710,"Document Date")</t>
  </si>
  <si>
    <t>=NF($D711,"Document Date")</t>
  </si>
  <si>
    <t>=NF($D712,"Document Date")</t>
  </si>
  <si>
    <t>=NF($D713,"Document Date")</t>
  </si>
  <si>
    <t>=NF($D714,"Document Date")</t>
  </si>
  <si>
    <t>=NF($D715,"Document Date")</t>
  </si>
  <si>
    <t>=NF($D716,"Document Date")</t>
  </si>
  <si>
    <t>=NF($D717,"Document Date")</t>
  </si>
  <si>
    <t>=NF($D718,"Document Date")</t>
  </si>
  <si>
    <t>=NF($D719,"Document Date")</t>
  </si>
  <si>
    <t>=NF($D720,"Document Date")</t>
  </si>
  <si>
    <t>=NF($D721,"Document Date")</t>
  </si>
  <si>
    <t>=NF($D722,"Document Date")</t>
  </si>
  <si>
    <t>=NF($D723,"Document Date")</t>
  </si>
  <si>
    <t>=NF($D724,"Document Date")</t>
  </si>
  <si>
    <t>=NF($D725,"Document Date")</t>
  </si>
  <si>
    <t>=NF($D726,"Document Date")</t>
  </si>
  <si>
    <t>=NF($D727,"Document Date")</t>
  </si>
  <si>
    <t>=NF($D728,"Document Date")</t>
  </si>
  <si>
    <t>=NF($D729,"Document Date")</t>
  </si>
  <si>
    <t>=NF($D730,"Document Date")</t>
  </si>
  <si>
    <t>=NF($D731,"Document Date")</t>
  </si>
  <si>
    <t>=NF($D732,"Document Date")</t>
  </si>
  <si>
    <t>=NF($D733,"Document Date")</t>
  </si>
  <si>
    <t>=NF($D734,"Document Date")</t>
  </si>
  <si>
    <t>=NF($D735,"Document Date")</t>
  </si>
  <si>
    <t>=NF($D736,"Document Date")</t>
  </si>
  <si>
    <t>=NF($D737,"Document Date")</t>
  </si>
  <si>
    <t>=NF($D738,"Document Date")</t>
  </si>
  <si>
    <t>=NF($D739,"Document Date")</t>
  </si>
  <si>
    <t>=NF($D740,"Document Date")</t>
  </si>
  <si>
    <t>=NF($D741,"Document Date")</t>
  </si>
  <si>
    <t>=NF($D742,"Document Date")</t>
  </si>
  <si>
    <t>=NF($D743,"Document Date")</t>
  </si>
  <si>
    <t>=NF($D744,"Document Date")</t>
  </si>
  <si>
    <t>=NF($D745,"Document Date")</t>
  </si>
  <si>
    <t>=NF($D746,"Document Date")</t>
  </si>
  <si>
    <t>=NF($D747,"Document Date")</t>
  </si>
  <si>
    <t>=NF($D748,"Document Date")</t>
  </si>
  <si>
    <t>=NF($D749,"Document Date")</t>
  </si>
  <si>
    <t>=NF($D750,"Document Date")</t>
  </si>
  <si>
    <t>=NF($D751,"Document Date")</t>
  </si>
  <si>
    <t>=NF($D752,"Document Date")</t>
  </si>
  <si>
    <t>=NF($D753,"Document Date")</t>
  </si>
  <si>
    <t>=NF($D754,"Document Date")</t>
  </si>
  <si>
    <t>=NF($D755,"Document Date")</t>
  </si>
  <si>
    <t>=NF($D756,"Document Date")</t>
  </si>
  <si>
    <t>=NF($D757,"Document Date")</t>
  </si>
  <si>
    <t>=NF($D758,"Document Date")</t>
  </si>
  <si>
    <t>=NF($D759,"Document Date")</t>
  </si>
  <si>
    <t>=NF($D760,"Document Date")</t>
  </si>
  <si>
    <t>=NF($D761,"Document Date")</t>
  </si>
  <si>
    <t>=NF($D762,"Document Date")</t>
  </si>
  <si>
    <t>=NF($D763,"Document Date")</t>
  </si>
  <si>
    <t>=NF($D764,"Document Date")</t>
  </si>
  <si>
    <t>=NF($D765,"Document Date")</t>
  </si>
  <si>
    <t>=NF($D766,"Document Date")</t>
  </si>
  <si>
    <t>=NF($D767,"Document Date")</t>
  </si>
  <si>
    <t>=NF($D768,"Document Date")</t>
  </si>
  <si>
    <t>=NF($D769,"Document Date")</t>
  </si>
  <si>
    <t>=NF($D770,"Document Date")</t>
  </si>
  <si>
    <t>=NF($D771,"Document Date")</t>
  </si>
  <si>
    <t>Auto+Hide+HideSheet+Formulas=Sheet26,Sheet7,Sheet8+FormulasOnly</t>
  </si>
  <si>
    <t>Auto+Hide+Formulas=Sheet27,Sheet9,Sheet10</t>
  </si>
  <si>
    <t>Auto+Hide+Formulas=Sheet27,Sheet9,Sheet10+FormulasOnly</t>
  </si>
  <si>
    <t>Auto+Hide+HideSheet+Values+Formulas=Sheet28,Sheet11,Sheet12</t>
  </si>
  <si>
    <t>=IF(COUNTIFS(IuranSYSebelumnya!$J$330:$J$772,$K13,IuranSYSebelumnya!$M$330:$M$772,AO$11,IuranSYSebelumnya!$L$330:$L$772,$M$5)&gt;0,
        VLOOKUP(CONCATENATE($K13,"|",AO$11,"|",$M$5),IuranSYSebelumnya!$I$330:$N$772,5,FALSE),
        IF(COUNTIFS(IuranSYSebelumnya!$J$330:$J$772,$K13,IuranSYSebelumnya!$M$330:$M$772,AO$11,IuranSYSebelumnya!$L$330:$L$772,"&lt;&gt;"&amp;$M$5)&gt;0,
              "Iuran dari Lingkungan lain",
              ""))</t>
  </si>
  <si>
    <t>=IF(COUNTIFS(IuranSYSebelumnya!$J$330:$J$772,$K13,IuranSYSebelumnya!$M$330:$M$772,AP$11,IuranSYSebelumnya!$L$330:$L$772,$M$5)&gt;0,
        VLOOKUP(CONCATENATE($K13,"|",AP$11,"|",$M$5),IuranSYSebelumnya!$I$330:$N$772,5,FALSE),
        IF(COUNTIFS(IuranSYSebelumnya!$J$330:$J$772,$K13,IuranSYSebelumnya!$M$330:$M$772,AP$11,IuranSYSebelumnya!$L$330:$L$772,"&lt;&gt;"&amp;$M$5)&gt;0,
              "Iuran dari Lingkungan lain",
              ""))</t>
  </si>
  <si>
    <t>=IF(COUNTIFS(IuranSYSebelumnya!$J$330:$J$772,$K13,IuranSYSebelumnya!$M$330:$M$772,AQ$11,IuranSYSebelumnya!$L$330:$L$772,$M$5)&gt;0,
        VLOOKUP(CONCATENATE($K13,"|",AQ$11,"|",$M$5),IuranSYSebelumnya!$I$330:$N$772,5,FALSE),
        IF(COUNTIFS(IuranSYSebelumnya!$J$330:$J$772,$K13,IuranSYSebelumnya!$M$330:$M$772,AQ$11,IuranSYSebelumnya!$L$330:$L$772,"&lt;&gt;"&amp;$M$5)&gt;0,
              "Iuran dari Lingkungan lain",
              ""))</t>
  </si>
  <si>
    <t>=IF(COUNTIFS(IuranSYSebelumnya!$J$330:$J$772,$K13,IuranSYSebelumnya!$M$330:$M$772,AR$11,IuranSYSebelumnya!$L$330:$L$772,$M$5)&gt;0,
        VLOOKUP(CONCATENATE($K13,"|",AR$11,"|",$M$5),IuranSYSebelumnya!$I$330:$N$772,5,FALSE),
        IF(COUNTIFS(IuranSYSebelumnya!$J$330:$J$772,$K13,IuranSYSebelumnya!$M$330:$M$772,AR$11,IuranSYSebelumnya!$L$330:$L$772,"&lt;&gt;"&amp;$M$5)&gt;0,
              "Iuran dari Lingkungan lain",
              ""))</t>
  </si>
  <si>
    <t>=IF(COUNTIFS(IuranSYSebelumnya!$J$330:$J$772,$K13,IuranSYSebelumnya!$M$330:$M$772,AS$11,IuranSYSebelumnya!$L$330:$L$772,$M$5)&gt;0,
        VLOOKUP(CONCATENATE($K13,"|",AS$11,"|",$M$5),IuranSYSebelumnya!$I$330:$N$772,5,FALSE),
        IF(COUNTIFS(IuranSYSebelumnya!$J$330:$J$772,$K13,IuranSYSebelumnya!$M$330:$M$772,AS$11,IuranSYSebelumnya!$L$330:$L$772,"&lt;&gt;"&amp;$M$5)&gt;0,
              "Iuran dari Lingkungan lain",
              ""))</t>
  </si>
  <si>
    <t>=IF(COUNTIFS(IuranSYSebelumnya!$J$330:$J$772,$K13,IuranSYSebelumnya!$M$330:$M$772,AT$11,IuranSYSebelumnya!$L$330:$L$772,$M$5)&gt;0,
        VLOOKUP(CONCATENATE($K13,"|",AT$11,"|",$M$5),IuranSYSebelumnya!$I$330:$N$772,5,FALSE),
        IF(COUNTIFS(IuranSYSebelumnya!$J$330:$J$772,$K13,IuranSYSebelumnya!$M$330:$M$772,AT$11,IuranSYSebelumnya!$L$330:$L$772,"&lt;&gt;"&amp;$M$5)&gt;0,
              "Iuran dari Lingkungan lain",
              ""))</t>
  </si>
  <si>
    <t>=IF(COUNTIFS(IuranSYSebelumnya!$J$330:$J$772,$K13,IuranSYSebelumnya!$M$330:$M$772,AU$11,IuranSYSebelumnya!$L$330:$L$772,$M$5)&gt;0,
        VLOOKUP(CONCATENATE($K13,"|",AU$11,"|",$M$5),IuranSYSebelumnya!$I$330:$N$772,5,FALSE),
        IF(COUNTIFS(IuranSYSebelumnya!$J$330:$J$772,$K13,IuranSYSebelumnya!$M$330:$M$772,AU$11,IuranSYSebelumnya!$L$330:$L$772,"&lt;&gt;"&amp;$M$5)&gt;0,
              "Iuran dari Lingkungan lain",
              ""))</t>
  </si>
  <si>
    <t>=IF(COUNTIFS(IuranSYSebelumnya!$J$330:$J$772,$K13,IuranSYSebelumnya!$M$330:$M$772,AV$11,IuranSYSebelumnya!$L$330:$L$772,$M$5)&gt;0,
        VLOOKUP(CONCATENATE($K13,"|",AV$11,"|",$M$5),IuranSYSebelumnya!$I$330:$N$772,5,FALSE),
        IF(COUNTIFS(IuranSYSebelumnya!$J$330:$J$772,$K13,IuranSYSebelumnya!$M$330:$M$772,AV$11,IuranSYSebelumnya!$L$330:$L$772,"&lt;&gt;"&amp;$M$5)&gt;0,
              "Iuran dari Lingkungan lain",
              ""))</t>
  </si>
  <si>
    <t>=IF(COUNTIFS(IuranSYSebelumnya!$J$330:$J$772,$K13,IuranSYSebelumnya!$M$330:$M$772,AW$11,IuranSYSebelumnya!$L$330:$L$772,$M$5)&gt;0,
        VLOOKUP(CONCATENATE($K13,"|",AW$11,"|",$M$5),IuranSYSebelumnya!$I$330:$N$772,5,FALSE),
        IF(COUNTIFS(IuranSYSebelumnya!$J$330:$J$772,$K13,IuranSYSebelumnya!$M$330:$M$772,AW$11,IuranSYSebelumnya!$L$330:$L$772,"&lt;&gt;"&amp;$M$5)&gt;0,
              "Iuran dari Lingkungan lain",
              ""))</t>
  </si>
  <si>
    <t>=IF(COUNTIFS(IuranSYSebelumnya!$J$330:$J$772,$K13,IuranSYSebelumnya!$M$330:$M$772,AX$11,IuranSYSebelumnya!$L$330:$L$772,$M$5)&gt;0,
        VLOOKUP(CONCATENATE($K13,"|",AX$11,"|",$M$5),IuranSYSebelumnya!$I$330:$N$772,5,FALSE),
        IF(COUNTIFS(IuranSYSebelumnya!$J$330:$J$772,$K13,IuranSYSebelumnya!$M$330:$M$772,AX$11,IuranSYSebelumnya!$L$330:$L$772,"&lt;&gt;"&amp;$M$5)&gt;0,
              "Iuran dari Lingkungan lain",
              ""))</t>
  </si>
  <si>
    <t>=IF(COUNTIFS(IuranSYSebelumnya!$J$330:$J$772,$K13,IuranSYSebelumnya!$M$330:$M$772,AY$11,IuranSYSebelumnya!$L$330:$L$772,$M$5)&gt;0,
        VLOOKUP(CONCATENATE($K13,"|",AY$11,"|",$M$5),IuranSYSebelumnya!$I$330:$N$772,5,FALSE),
        IF(COUNTIFS(IuranSYSebelumnya!$J$330:$J$772,$K13,IuranSYSebelumnya!$M$330:$M$772,AY$11,IuranSYSebelumnya!$L$330:$L$772,"&lt;&gt;"&amp;$M$5)&gt;0,
              "Iuran dari Lingkungan lain",
              ""))</t>
  </si>
  <si>
    <t>=IF(COUNTIFS(IuranSYSebelumnya!$J$330:$J$772,$K13,IuranSYSebelumnya!$M$330:$M$772,AZ$11,IuranSYSebelumnya!$L$330:$L$772,$M$5)&gt;0,
        VLOOKUP(CONCATENATE($K13,"|",AZ$11,"|",$M$5),IuranSYSebelumnya!$I$330:$N$772,5,FALSE),
        IF(COUNTIFS(IuranSYSebelumnya!$J$330:$J$772,$K13,IuranSYSebelumnya!$M$330:$M$772,AZ$11,IuranSYSebelumnya!$L$330:$L$772,"&lt;&gt;"&amp;$M$5)&gt;0,
              "Iuran dari Lingkungan lain",
              ""))</t>
  </si>
  <si>
    <t>=IF(COUNTIFS(IuranSYSebelumnya!$J$330:$J$772,$K13,IuranSYSebelumnya!$M$330:$M$772,BA$11,IuranSYSebelumnya!$L$330:$L$772,$M$5)&gt;0,
        VLOOKUP(CONCATENATE($K13,"|",BA$11,"|",$M$5),IuranSYSebelumnya!$I$330:$N$772,5,FALSE),
        IF(COUNTIFS(IuranSYSebelumnya!$J$330:$J$772,$K13,IuranSYSebelumnya!$M$330:$M$772,BA$11,IuranSYSebelumnya!$L$330:$L$772,"&lt;&gt;"&amp;$M$5)&gt;0,
              "Iuran dari Lingkungan lain",
              ""))</t>
  </si>
  <si>
    <t>=IF(COUNTIFS(IuranSYSebelumnya!$J$330:$J$772,$K13,IuranSYSebelumnya!$M$330:$M$772,BB$11,IuranSYSebelumnya!$L$330:$L$772,$M$5)&gt;0,
        VLOOKUP(CONCATENATE($K13,"|",BB$11,"|",$M$5),IuranSYSebelumnya!$I$330:$N$772,5,FALSE),
        IF(COUNTIFS(IuranSYSebelumnya!$J$330:$J$772,$K13,IuranSYSebelumnya!$M$330:$M$772,BB$11,IuranSYSebelumnya!$L$330:$L$772,"&lt;&gt;"&amp;$M$5)&gt;0,
              "Iuran dari Lingkungan lain",
              ""))</t>
  </si>
  <si>
    <t>=IF(COUNTIFS(IuranSYSebelumnya!$J$330:$J$772,$K13,IuranSYSebelumnya!$M$330:$M$772,BC$11,IuranSYSebelumnya!$L$330:$L$772,$M$5)&gt;0,
        VLOOKUP(CONCATENATE($K13,"|",BC$11,"|",$M$5),IuranSYSebelumnya!$I$330:$N$772,5,FALSE),
        IF(COUNTIFS(IuranSYSebelumnya!$J$330:$J$772,$K13,IuranSYSebelumnya!$M$330:$M$772,BC$11,IuranSYSebelumnya!$L$330:$L$772,"&lt;&gt;"&amp;$M$5)&gt;0,
              "Iuran dari Lingkungan lain",
              ""))</t>
  </si>
  <si>
    <t>=IF(COUNTIFS(IuranSYSebelumnya!$J$330:$J$772,$K13,IuranSYSebelumnya!$M$330:$M$772,BD$11,IuranSYSebelumnya!$L$330:$L$772,$M$5)&gt;0,
        VLOOKUP(CONCATENATE($K13,"|",BD$11,"|",$M$5),IuranSYSebelumnya!$I$330:$N$772,5,FALSE),
        IF(COUNTIFS(IuranSYSebelumnya!$J$330:$J$772,$K13,IuranSYSebelumnya!$M$330:$M$772,BD$11,IuranSYSebelumnya!$L$330:$L$772,"&lt;&gt;"&amp;$M$5)&gt;0,
              "Iuran dari Lingkungan lain",
              ""))</t>
  </si>
  <si>
    <t>=IF(COUNTIFS(IuranSYSebelumnya!$J$330:$J$772,$K13,IuranSYSebelumnya!$M$330:$M$772,BE$11,IuranSYSebelumnya!$L$330:$L$772,$M$5)&gt;0,
        VLOOKUP(CONCATENATE($K13,"|",BE$11,"|",$M$5),IuranSYSebelumnya!$I$330:$N$772,5,FALSE),
        IF(COUNTIFS(IuranSYSebelumnya!$J$330:$J$772,$K13,IuranSYSebelumnya!$M$330:$M$772,BE$11,IuranSYSebelumnya!$L$330:$L$772,"&lt;&gt;"&amp;$M$5)&gt;0,
              "Iuran dari Lingkungan lain",
              ""))</t>
  </si>
  <si>
    <t>=IF(COUNTIFS(IuranSYSebelumnya!$J$330:$J$772,$K13,IuranSYSebelumnya!$M$330:$M$772,BF$11,IuranSYSebelumnya!$L$330:$L$772,$M$5)&gt;0,
        VLOOKUP(CONCATENATE($K13,"|",BF$11,"|",$M$5),IuranSYSebelumnya!$I$330:$N$772,5,FALSE),
        IF(COUNTIFS(IuranSYSebelumnya!$J$330:$J$772,$K13,IuranSYSebelumnya!$M$330:$M$772,BF$11,IuranSYSebelumnya!$L$330:$L$772,"&lt;&gt;"&amp;$M$5)&gt;0,
              "Iuran dari Lingkungan lain",
              ""))</t>
  </si>
  <si>
    <t>=IF(COUNTIFS(IuranSYSebelumnya!$J$330:$J$772,$K13,IuranSYSebelumnya!$M$330:$M$772,BG$11,IuranSYSebelumnya!$L$330:$L$772,$M$5)&gt;0,
        VLOOKUP(CONCATENATE($K13,"|",BG$11,"|",$M$5),IuranSYSebelumnya!$I$330:$N$772,5,FALSE),
        IF(COUNTIFS(IuranSYSebelumnya!$J$330:$J$772,$K13,IuranSYSebelumnya!$M$330:$M$772,BG$11,IuranSYSebelumnya!$L$330:$L$772,"&lt;&gt;"&amp;$M$5)&gt;0,
              "Iuran dari Lingkungan lain",
              ""))</t>
  </si>
  <si>
    <t>=IF(COUNTIFS(IuranSYSebelumnya!$J$330:$J$772,$K13,IuranSYSebelumnya!$M$330:$M$772,BH$11,IuranSYSebelumnya!$L$330:$L$772,$M$5)&gt;0,
        VLOOKUP(CONCATENATE($K13,"|",BH$11,"|",$M$5),IuranSYSebelumnya!$I$330:$N$772,5,FALSE),
        IF(COUNTIFS(IuranSYSebelumnya!$J$330:$J$772,$K13,IuranSYSebelumnya!$M$330:$M$772,BH$11,IuranSYSebelumnya!$L$330:$L$772,"&lt;&gt;"&amp;$M$5)&gt;0,
              "Iuran dari Lingkungan lain",
              ""))</t>
  </si>
  <si>
    <t>=IF(COUNTIFS(IuranSYSebelumnya!$J$330:$J$772,$K13,IuranSYSebelumnya!$M$330:$M$772,BI$11,IuranSYSebelumnya!$L$330:$L$772,$M$5)&gt;0,
        VLOOKUP(CONCATENATE($K13,"|",BI$11,"|",$M$5),IuranSYSebelumnya!$I$330:$N$772,5,FALSE),
        IF(COUNTIFS(IuranSYSebelumnya!$J$330:$J$772,$K13,IuranSYSebelumnya!$M$330:$M$772,BI$11,IuranSYSebelumnya!$L$330:$L$772,"&lt;&gt;"&amp;$M$5)&gt;0,
              "Iuran dari Lingkungan lain",
              ""))</t>
  </si>
  <si>
    <t>=IF(COUNTIFS(IuranSYSebelumnya!$J$330:$J$772,$K13,IuranSYSebelumnya!$M$330:$M$772,BJ$11,IuranSYSebelumnya!$L$330:$L$772,$M$5)&gt;0,
        VLOOKUP(CONCATENATE($K13,"|",BJ$11,"|",$M$5),IuranSYSebelumnya!$I$330:$N$772,5,FALSE),
        IF(COUNTIFS(IuranSYSebelumnya!$J$330:$J$772,$K13,IuranSYSebelumnya!$M$330:$M$772,BJ$11,IuranSYSebelumnya!$L$330:$L$772,"&lt;&gt;"&amp;$M$5)&gt;0,
              "Iuran dari Lingkungan lain",
              ""))</t>
  </si>
  <si>
    <t>=IF(COUNTIFS(IuranSYSebelumnya!$J$330:$J$772,$K13,IuranSYSebelumnya!$M$330:$M$772,BK$11,IuranSYSebelumnya!$L$330:$L$772,$M$5)&gt;0,
        VLOOKUP(CONCATENATE($K13,"|",BK$11,"|",$M$5),IuranSYSebelumnya!$I$330:$N$772,5,FALSE),
        IF(COUNTIFS(IuranSYSebelumnya!$J$330:$J$772,$K13,IuranSYSebelumnya!$M$330:$M$772,BK$11,IuranSYSebelumnya!$L$330:$L$772,"&lt;&gt;"&amp;$M$5)&gt;0,
              "Iuran dari Lingkungan lain",
              ""))</t>
  </si>
  <si>
    <t>=IF(COUNTIFS(IuranSYSebelumnya!$J$330:$J$772,$K13,IuranSYSebelumnya!$M$330:$M$772,BL$11,IuranSYSebelumnya!$L$330:$L$772,$M$5)&gt;0,
        VLOOKUP(CONCATENATE($K13,"|",BL$11,"|",$M$5),IuranSYSebelumnya!$I$330:$N$772,5,FALSE),
        IF(COUNTIFS(IuranSYSebelumnya!$J$330:$J$772,$K13,IuranSYSebelumnya!$M$330:$M$772,BL$11,IuranSYSebelumnya!$L$330:$L$772,"&lt;&gt;"&amp;$M$5)&gt;0,
              "Iuran dari Lingkungan lain",
              ""))</t>
  </si>
  <si>
    <t>=IF(COUNTIFS(IuranSYSebelumnya!$J$330:$J$772,$K14,IuranSYSebelumnya!$M$330:$M$772,AO$11,IuranSYSebelumnya!$L$330:$L$772,$M$5)&gt;0,
        VLOOKUP(CONCATENATE($K14,"|",AO$11,"|",$M$5),IuranSYSebelumnya!$I$330:$N$772,5,FALSE),
        IF(COUNTIFS(IuranSYSebelumnya!$J$330:$J$772,$K14,IuranSYSebelumnya!$M$330:$M$772,AO$11,IuranSYSebelumnya!$L$330:$L$772,"&lt;&gt;"&amp;$M$5)&gt;0,
              "Iuran dari Lingkungan lain",
              ""))</t>
  </si>
  <si>
    <t>=IF(COUNTIFS(IuranSYSebelumnya!$J$330:$J$772,$K14,IuranSYSebelumnya!$M$330:$M$772,AP$11,IuranSYSebelumnya!$L$330:$L$772,$M$5)&gt;0,
        VLOOKUP(CONCATENATE($K14,"|",AP$11,"|",$M$5),IuranSYSebelumnya!$I$330:$N$772,5,FALSE),
        IF(COUNTIFS(IuranSYSebelumnya!$J$330:$J$772,$K14,IuranSYSebelumnya!$M$330:$M$772,AP$11,IuranSYSebelumnya!$L$330:$L$772,"&lt;&gt;"&amp;$M$5)&gt;0,
              "Iuran dari Lingkungan lain",
              ""))</t>
  </si>
  <si>
    <t>=IF(COUNTIFS(IuranSYSebelumnya!$J$330:$J$772,$K14,IuranSYSebelumnya!$M$330:$M$772,AQ$11,IuranSYSebelumnya!$L$330:$L$772,$M$5)&gt;0,
        VLOOKUP(CONCATENATE($K14,"|",AQ$11,"|",$M$5),IuranSYSebelumnya!$I$330:$N$772,5,FALSE),
        IF(COUNTIFS(IuranSYSebelumnya!$J$330:$J$772,$K14,IuranSYSebelumnya!$M$330:$M$772,AQ$11,IuranSYSebelumnya!$L$330:$L$772,"&lt;&gt;"&amp;$M$5)&gt;0,
              "Iuran dari Lingkungan lain",
              ""))</t>
  </si>
  <si>
    <t>=IF(COUNTIFS(IuranSYSebelumnya!$J$330:$J$772,$K14,IuranSYSebelumnya!$M$330:$M$772,AR$11,IuranSYSebelumnya!$L$330:$L$772,$M$5)&gt;0,
        VLOOKUP(CONCATENATE($K14,"|",AR$11,"|",$M$5),IuranSYSebelumnya!$I$330:$N$772,5,FALSE),
        IF(COUNTIFS(IuranSYSebelumnya!$J$330:$J$772,$K14,IuranSYSebelumnya!$M$330:$M$772,AR$11,IuranSYSebelumnya!$L$330:$L$772,"&lt;&gt;"&amp;$M$5)&gt;0,
              "Iuran dari Lingkungan lain",
              ""))</t>
  </si>
  <si>
    <t>=IF(COUNTIFS(IuranSYSebelumnya!$J$330:$J$772,$K14,IuranSYSebelumnya!$M$330:$M$772,AS$11,IuranSYSebelumnya!$L$330:$L$772,$M$5)&gt;0,
        VLOOKUP(CONCATENATE($K14,"|",AS$11,"|",$M$5),IuranSYSebelumnya!$I$330:$N$772,5,FALSE),
        IF(COUNTIFS(IuranSYSebelumnya!$J$330:$J$772,$K14,IuranSYSebelumnya!$M$330:$M$772,AS$11,IuranSYSebelumnya!$L$330:$L$772,"&lt;&gt;"&amp;$M$5)&gt;0,
              "Iuran dari Lingkungan lain",
              ""))</t>
  </si>
  <si>
    <t>=IF(COUNTIFS(IuranSYSebelumnya!$J$330:$J$772,$K14,IuranSYSebelumnya!$M$330:$M$772,AT$11,IuranSYSebelumnya!$L$330:$L$772,$M$5)&gt;0,
        VLOOKUP(CONCATENATE($K14,"|",AT$11,"|",$M$5),IuranSYSebelumnya!$I$330:$N$772,5,FALSE),
        IF(COUNTIFS(IuranSYSebelumnya!$J$330:$J$772,$K14,IuranSYSebelumnya!$M$330:$M$772,AT$11,IuranSYSebelumnya!$L$330:$L$772,"&lt;&gt;"&amp;$M$5)&gt;0,
              "Iuran dari Lingkungan lain",
              ""))</t>
  </si>
  <si>
    <t>=IF(COUNTIFS(IuranSYSebelumnya!$J$330:$J$772,$K14,IuranSYSebelumnya!$M$330:$M$772,AU$11,IuranSYSebelumnya!$L$330:$L$772,$M$5)&gt;0,
        VLOOKUP(CONCATENATE($K14,"|",AU$11,"|",$M$5),IuranSYSebelumnya!$I$330:$N$772,5,FALSE),
        IF(COUNTIFS(IuranSYSebelumnya!$J$330:$J$772,$K14,IuranSYSebelumnya!$M$330:$M$772,AU$11,IuranSYSebelumnya!$L$330:$L$772,"&lt;&gt;"&amp;$M$5)&gt;0,
              "Iuran dari Lingkungan lain",
              ""))</t>
  </si>
  <si>
    <t>=IF(COUNTIFS(IuranSYSebelumnya!$J$330:$J$772,$K14,IuranSYSebelumnya!$M$330:$M$772,AV$11,IuranSYSebelumnya!$L$330:$L$772,$M$5)&gt;0,
        VLOOKUP(CONCATENATE($K14,"|",AV$11,"|",$M$5),IuranSYSebelumnya!$I$330:$N$772,5,FALSE),
        IF(COUNTIFS(IuranSYSebelumnya!$J$330:$J$772,$K14,IuranSYSebelumnya!$M$330:$M$772,AV$11,IuranSYSebelumnya!$L$330:$L$772,"&lt;&gt;"&amp;$M$5)&gt;0,
              "Iuran dari Lingkungan lain",
              ""))</t>
  </si>
  <si>
    <t>=IF(COUNTIFS(IuranSYSebelumnya!$J$330:$J$772,$K14,IuranSYSebelumnya!$M$330:$M$772,AW$11,IuranSYSebelumnya!$L$330:$L$772,$M$5)&gt;0,
        VLOOKUP(CONCATENATE($K14,"|",AW$11,"|",$M$5),IuranSYSebelumnya!$I$330:$N$772,5,FALSE),
        IF(COUNTIFS(IuranSYSebelumnya!$J$330:$J$772,$K14,IuranSYSebelumnya!$M$330:$M$772,AW$11,IuranSYSebelumnya!$L$330:$L$772,"&lt;&gt;"&amp;$M$5)&gt;0,
              "Iuran dari Lingkungan lain",
              ""))</t>
  </si>
  <si>
    <t>=IF(COUNTIFS(IuranSYSebelumnya!$J$330:$J$772,$K14,IuranSYSebelumnya!$M$330:$M$772,AX$11,IuranSYSebelumnya!$L$330:$L$772,$M$5)&gt;0,
        VLOOKUP(CONCATENATE($K14,"|",AX$11,"|",$M$5),IuranSYSebelumnya!$I$330:$N$772,5,FALSE),
        IF(COUNTIFS(IuranSYSebelumnya!$J$330:$J$772,$K14,IuranSYSebelumnya!$M$330:$M$772,AX$11,IuranSYSebelumnya!$L$330:$L$772,"&lt;&gt;"&amp;$M$5)&gt;0,
              "Iuran dari Lingkungan lain",
              ""))</t>
  </si>
  <si>
    <t>=IF(COUNTIFS(IuranSYSebelumnya!$J$330:$J$772,$K14,IuranSYSebelumnya!$M$330:$M$772,AY$11,IuranSYSebelumnya!$L$330:$L$772,$M$5)&gt;0,
        VLOOKUP(CONCATENATE($K14,"|",AY$11,"|",$M$5),IuranSYSebelumnya!$I$330:$N$772,5,FALSE),
        IF(COUNTIFS(IuranSYSebelumnya!$J$330:$J$772,$K14,IuranSYSebelumnya!$M$330:$M$772,AY$11,IuranSYSebelumnya!$L$330:$L$772,"&lt;&gt;"&amp;$M$5)&gt;0,
              "Iuran dari Lingkungan lain",
              ""))</t>
  </si>
  <si>
    <t>=IF(COUNTIFS(IuranSYSebelumnya!$J$330:$J$772,$K14,IuranSYSebelumnya!$M$330:$M$772,AZ$11,IuranSYSebelumnya!$L$330:$L$772,$M$5)&gt;0,
        VLOOKUP(CONCATENATE($K14,"|",AZ$11,"|",$M$5),IuranSYSebelumnya!$I$330:$N$772,5,FALSE),
        IF(COUNTIFS(IuranSYSebelumnya!$J$330:$J$772,$K14,IuranSYSebelumnya!$M$330:$M$772,AZ$11,IuranSYSebelumnya!$L$330:$L$772,"&lt;&gt;"&amp;$M$5)&gt;0,
              "Iuran dari Lingkungan lain",
              ""))</t>
  </si>
  <si>
    <t>=IF(COUNTIFS(IuranSYSebelumnya!$J$330:$J$772,$K14,IuranSYSebelumnya!$M$330:$M$772,BA$11,IuranSYSebelumnya!$L$330:$L$772,$M$5)&gt;0,
        VLOOKUP(CONCATENATE($K14,"|",BA$11,"|",$M$5),IuranSYSebelumnya!$I$330:$N$772,5,FALSE),
        IF(COUNTIFS(IuranSYSebelumnya!$J$330:$J$772,$K14,IuranSYSebelumnya!$M$330:$M$772,BA$11,IuranSYSebelumnya!$L$330:$L$772,"&lt;&gt;"&amp;$M$5)&gt;0,
              "Iuran dari Lingkungan lain",
              ""))</t>
  </si>
  <si>
    <t>=IF(COUNTIFS(IuranSYSebelumnya!$J$330:$J$772,$K14,IuranSYSebelumnya!$M$330:$M$772,BB$11,IuranSYSebelumnya!$L$330:$L$772,$M$5)&gt;0,
        VLOOKUP(CONCATENATE($K14,"|",BB$11,"|",$M$5),IuranSYSebelumnya!$I$330:$N$772,5,FALSE),
        IF(COUNTIFS(IuranSYSebelumnya!$J$330:$J$772,$K14,IuranSYSebelumnya!$M$330:$M$772,BB$11,IuranSYSebelumnya!$L$330:$L$772,"&lt;&gt;"&amp;$M$5)&gt;0,
              "Iuran dari Lingkungan lain",
              ""))</t>
  </si>
  <si>
    <t>=IF(COUNTIFS(IuranSYSebelumnya!$J$330:$J$772,$K14,IuranSYSebelumnya!$M$330:$M$772,BC$11,IuranSYSebelumnya!$L$330:$L$772,$M$5)&gt;0,
        VLOOKUP(CONCATENATE($K14,"|",BC$11,"|",$M$5),IuranSYSebelumnya!$I$330:$N$772,5,FALSE),
        IF(COUNTIFS(IuranSYSebelumnya!$J$330:$J$772,$K14,IuranSYSebelumnya!$M$330:$M$772,BC$11,IuranSYSebelumnya!$L$330:$L$772,"&lt;&gt;"&amp;$M$5)&gt;0,
              "Iuran dari Lingkungan lain",
              ""))</t>
  </si>
  <si>
    <t>=IF(COUNTIFS(IuranSYSebelumnya!$J$330:$J$772,$K14,IuranSYSebelumnya!$M$330:$M$772,BD$11,IuranSYSebelumnya!$L$330:$L$772,$M$5)&gt;0,
        VLOOKUP(CONCATENATE($K14,"|",BD$11,"|",$M$5),IuranSYSebelumnya!$I$330:$N$772,5,FALSE),
        IF(COUNTIFS(IuranSYSebelumnya!$J$330:$J$772,$K14,IuranSYSebelumnya!$M$330:$M$772,BD$11,IuranSYSebelumnya!$L$330:$L$772,"&lt;&gt;"&amp;$M$5)&gt;0,
              "Iuran dari Lingkungan lain",
              ""))</t>
  </si>
  <si>
    <t>=IF(COUNTIFS(IuranSYSebelumnya!$J$330:$J$772,$K14,IuranSYSebelumnya!$M$330:$M$772,BE$11,IuranSYSebelumnya!$L$330:$L$772,$M$5)&gt;0,
        VLOOKUP(CONCATENATE($K14,"|",BE$11,"|",$M$5),IuranSYSebelumnya!$I$330:$N$772,5,FALSE),
        IF(COUNTIFS(IuranSYSebelumnya!$J$330:$J$772,$K14,IuranSYSebelumnya!$M$330:$M$772,BE$11,IuranSYSebelumnya!$L$330:$L$772,"&lt;&gt;"&amp;$M$5)&gt;0,
              "Iuran dari Lingkungan lain",
              ""))</t>
  </si>
  <si>
    <t>=IF(COUNTIFS(IuranSYSebelumnya!$J$330:$J$772,$K14,IuranSYSebelumnya!$M$330:$M$772,BF$11,IuranSYSebelumnya!$L$330:$L$772,$M$5)&gt;0,
        VLOOKUP(CONCATENATE($K14,"|",BF$11,"|",$M$5),IuranSYSebelumnya!$I$330:$N$772,5,FALSE),
        IF(COUNTIFS(IuranSYSebelumnya!$J$330:$J$772,$K14,IuranSYSebelumnya!$M$330:$M$772,BF$11,IuranSYSebelumnya!$L$330:$L$772,"&lt;&gt;"&amp;$M$5)&gt;0,
              "Iuran dari Lingkungan lain",
              ""))</t>
  </si>
  <si>
    <t>=IF(COUNTIFS(IuranSYSebelumnya!$J$330:$J$772,$K14,IuranSYSebelumnya!$M$330:$M$772,BG$11,IuranSYSebelumnya!$L$330:$L$772,$M$5)&gt;0,
        VLOOKUP(CONCATENATE($K14,"|",BG$11,"|",$M$5),IuranSYSebelumnya!$I$330:$N$772,5,FALSE),
        IF(COUNTIFS(IuranSYSebelumnya!$J$330:$J$772,$K14,IuranSYSebelumnya!$M$330:$M$772,BG$11,IuranSYSebelumnya!$L$330:$L$772,"&lt;&gt;"&amp;$M$5)&gt;0,
              "Iuran dari Lingkungan lain",
              ""))</t>
  </si>
  <si>
    <t>=IF(COUNTIFS(IuranSYSebelumnya!$J$330:$J$772,$K14,IuranSYSebelumnya!$M$330:$M$772,BH$11,IuranSYSebelumnya!$L$330:$L$772,$M$5)&gt;0,
        VLOOKUP(CONCATENATE($K14,"|",BH$11,"|",$M$5),IuranSYSebelumnya!$I$330:$N$772,5,FALSE),
        IF(COUNTIFS(IuranSYSebelumnya!$J$330:$J$772,$K14,IuranSYSebelumnya!$M$330:$M$772,BH$11,IuranSYSebelumnya!$L$330:$L$772,"&lt;&gt;"&amp;$M$5)&gt;0,
              "Iuran dari Lingkungan lain",
              ""))</t>
  </si>
  <si>
    <t>=IF(COUNTIFS(IuranSYSebelumnya!$J$330:$J$772,$K14,IuranSYSebelumnya!$M$330:$M$772,BI$11,IuranSYSebelumnya!$L$330:$L$772,$M$5)&gt;0,
        VLOOKUP(CONCATENATE($K14,"|",BI$11,"|",$M$5),IuranSYSebelumnya!$I$330:$N$772,5,FALSE),
        IF(COUNTIFS(IuranSYSebelumnya!$J$330:$J$772,$K14,IuranSYSebelumnya!$M$330:$M$772,BI$11,IuranSYSebelumnya!$L$330:$L$772,"&lt;&gt;"&amp;$M$5)&gt;0,
              "Iuran dari Lingkungan lain",
              ""))</t>
  </si>
  <si>
    <t>=IF(COUNTIFS(IuranSYSebelumnya!$J$330:$J$772,$K14,IuranSYSebelumnya!$M$330:$M$772,BJ$11,IuranSYSebelumnya!$L$330:$L$772,$M$5)&gt;0,
        VLOOKUP(CONCATENATE($K14,"|",BJ$11,"|",$M$5),IuranSYSebelumnya!$I$330:$N$772,5,FALSE),
        IF(COUNTIFS(IuranSYSebelumnya!$J$330:$J$772,$K14,IuranSYSebelumnya!$M$330:$M$772,BJ$11,IuranSYSebelumnya!$L$330:$L$772,"&lt;&gt;"&amp;$M$5)&gt;0,
              "Iuran dari Lingkungan lain",
              ""))</t>
  </si>
  <si>
    <t>=IF(COUNTIFS(IuranSYSebelumnya!$J$330:$J$772,$K14,IuranSYSebelumnya!$M$330:$M$772,BK$11,IuranSYSebelumnya!$L$330:$L$772,$M$5)&gt;0,
        VLOOKUP(CONCATENATE($K14,"|",BK$11,"|",$M$5),IuranSYSebelumnya!$I$330:$N$772,5,FALSE),
        IF(COUNTIFS(IuranSYSebelumnya!$J$330:$J$772,$K14,IuranSYSebelumnya!$M$330:$M$772,BK$11,IuranSYSebelumnya!$L$330:$L$772,"&lt;&gt;"&amp;$M$5)&gt;0,
              "Iuran dari Lingkungan lain",
              ""))</t>
  </si>
  <si>
    <t>=IF(COUNTIFS(IuranSYSebelumnya!$J$330:$J$772,$K14,IuranSYSebelumnya!$M$330:$M$772,BL$11,IuranSYSebelumnya!$L$330:$L$772,$M$5)&gt;0,
        VLOOKUP(CONCATENATE($K14,"|",BL$11,"|",$M$5),IuranSYSebelumnya!$I$330:$N$772,5,FALSE),
        IF(COUNTIFS(IuranSYSebelumnya!$J$330:$J$772,$K14,IuranSYSebelumnya!$M$330:$M$772,BL$11,IuranSYSebelumnya!$L$330:$L$772,"&lt;&gt;"&amp;$M$5)&gt;0,
              "Iuran dari Lingkungan lain",
              ""))</t>
  </si>
  <si>
    <t>=IF(COUNTIFS(IuranSYSebelumnya!$J$330:$J$772,$K15,IuranSYSebelumnya!$M$330:$M$772,AO$11,IuranSYSebelumnya!$L$330:$L$772,$M$5)&gt;0,
        VLOOKUP(CONCATENATE($K15,"|",AO$11,"|",$M$5),IuranSYSebelumnya!$I$330:$N$772,5,FALSE),
        IF(COUNTIFS(IuranSYSebelumnya!$J$330:$J$772,$K15,IuranSYSebelumnya!$M$330:$M$772,AO$11,IuranSYSebelumnya!$L$330:$L$772,"&lt;&gt;"&amp;$M$5)&gt;0,
              "Iuran dari Lingkungan lain",
              ""))</t>
  </si>
  <si>
    <t>=IF(COUNTIFS(IuranSYSebelumnya!$J$330:$J$772,$K15,IuranSYSebelumnya!$M$330:$M$772,AP$11,IuranSYSebelumnya!$L$330:$L$772,$M$5)&gt;0,
        VLOOKUP(CONCATENATE($K15,"|",AP$11,"|",$M$5),IuranSYSebelumnya!$I$330:$N$772,5,FALSE),
        IF(COUNTIFS(IuranSYSebelumnya!$J$330:$J$772,$K15,IuranSYSebelumnya!$M$330:$M$772,AP$11,IuranSYSebelumnya!$L$330:$L$772,"&lt;&gt;"&amp;$M$5)&gt;0,
              "Iuran dari Lingkungan lain",
              ""))</t>
  </si>
  <si>
    <t>=IF(COUNTIFS(IuranSYSebelumnya!$J$330:$J$772,$K15,IuranSYSebelumnya!$M$330:$M$772,AQ$11,IuranSYSebelumnya!$L$330:$L$772,$M$5)&gt;0,
        VLOOKUP(CONCATENATE($K15,"|",AQ$11,"|",$M$5),IuranSYSebelumnya!$I$330:$N$772,5,FALSE),
        IF(COUNTIFS(IuranSYSebelumnya!$J$330:$J$772,$K15,IuranSYSebelumnya!$M$330:$M$772,AQ$11,IuranSYSebelumnya!$L$330:$L$772,"&lt;&gt;"&amp;$M$5)&gt;0,
              "Iuran dari Lingkungan lain",
              ""))</t>
  </si>
  <si>
    <t>=IF(COUNTIFS(IuranSYSebelumnya!$J$330:$J$772,$K15,IuranSYSebelumnya!$M$330:$M$772,AR$11,IuranSYSebelumnya!$L$330:$L$772,$M$5)&gt;0,
        VLOOKUP(CONCATENATE($K15,"|",AR$11,"|",$M$5),IuranSYSebelumnya!$I$330:$N$772,5,FALSE),
        IF(COUNTIFS(IuranSYSebelumnya!$J$330:$J$772,$K15,IuranSYSebelumnya!$M$330:$M$772,AR$11,IuranSYSebelumnya!$L$330:$L$772,"&lt;&gt;"&amp;$M$5)&gt;0,
              "Iuran dari Lingkungan lain",
              ""))</t>
  </si>
  <si>
    <t>=IF(COUNTIFS(IuranSYSebelumnya!$J$330:$J$772,$K15,IuranSYSebelumnya!$M$330:$M$772,AS$11,IuranSYSebelumnya!$L$330:$L$772,$M$5)&gt;0,
        VLOOKUP(CONCATENATE($K15,"|",AS$11,"|",$M$5),IuranSYSebelumnya!$I$330:$N$772,5,FALSE),
        IF(COUNTIFS(IuranSYSebelumnya!$J$330:$J$772,$K15,IuranSYSebelumnya!$M$330:$M$772,AS$11,IuranSYSebelumnya!$L$330:$L$772,"&lt;&gt;"&amp;$M$5)&gt;0,
              "Iuran dari Lingkungan lain",
              ""))</t>
  </si>
  <si>
    <t>=IF(COUNTIFS(IuranSYSebelumnya!$J$330:$J$772,$K15,IuranSYSebelumnya!$M$330:$M$772,AT$11,IuranSYSebelumnya!$L$330:$L$772,$M$5)&gt;0,
        VLOOKUP(CONCATENATE($K15,"|",AT$11,"|",$M$5),IuranSYSebelumnya!$I$330:$N$772,5,FALSE),
        IF(COUNTIFS(IuranSYSebelumnya!$J$330:$J$772,$K15,IuranSYSebelumnya!$M$330:$M$772,AT$11,IuranSYSebelumnya!$L$330:$L$772,"&lt;&gt;"&amp;$M$5)&gt;0,
              "Iuran dari Lingkungan lain",
              ""))</t>
  </si>
  <si>
    <t>=IF(COUNTIFS(IuranSYSebelumnya!$J$330:$J$772,$K15,IuranSYSebelumnya!$M$330:$M$772,AU$11,IuranSYSebelumnya!$L$330:$L$772,$M$5)&gt;0,
        VLOOKUP(CONCATENATE($K15,"|",AU$11,"|",$M$5),IuranSYSebelumnya!$I$330:$N$772,5,FALSE),
        IF(COUNTIFS(IuranSYSebelumnya!$J$330:$J$772,$K15,IuranSYSebelumnya!$M$330:$M$772,AU$11,IuranSYSebelumnya!$L$330:$L$772,"&lt;&gt;"&amp;$M$5)&gt;0,
              "Iuran dari Lingkungan lain",
              ""))</t>
  </si>
  <si>
    <t>=IF(COUNTIFS(IuranSYSebelumnya!$J$330:$J$772,$K15,IuranSYSebelumnya!$M$330:$M$772,AV$11,IuranSYSebelumnya!$L$330:$L$772,$M$5)&gt;0,
        VLOOKUP(CONCATENATE($K15,"|",AV$11,"|",$M$5),IuranSYSebelumnya!$I$330:$N$772,5,FALSE),
        IF(COUNTIFS(IuranSYSebelumnya!$J$330:$J$772,$K15,IuranSYSebelumnya!$M$330:$M$772,AV$11,IuranSYSebelumnya!$L$330:$L$772,"&lt;&gt;"&amp;$M$5)&gt;0,
              "Iuran dari Lingkungan lain",
              ""))</t>
  </si>
  <si>
    <t>=IF(COUNTIFS(IuranSYSebelumnya!$J$330:$J$772,$K15,IuranSYSebelumnya!$M$330:$M$772,AW$11,IuranSYSebelumnya!$L$330:$L$772,$M$5)&gt;0,
        VLOOKUP(CONCATENATE($K15,"|",AW$11,"|",$M$5),IuranSYSebelumnya!$I$330:$N$772,5,FALSE),
        IF(COUNTIFS(IuranSYSebelumnya!$J$330:$J$772,$K15,IuranSYSebelumnya!$M$330:$M$772,AW$11,IuranSYSebelumnya!$L$330:$L$772,"&lt;&gt;"&amp;$M$5)&gt;0,
              "Iuran dari Lingkungan lain",
              ""))</t>
  </si>
  <si>
    <t>=IF(COUNTIFS(IuranSYSebelumnya!$J$330:$J$772,$K15,IuranSYSebelumnya!$M$330:$M$772,AX$11,IuranSYSebelumnya!$L$330:$L$772,$M$5)&gt;0,
        VLOOKUP(CONCATENATE($K15,"|",AX$11,"|",$M$5),IuranSYSebelumnya!$I$330:$N$772,5,FALSE),
        IF(COUNTIFS(IuranSYSebelumnya!$J$330:$J$772,$K15,IuranSYSebelumnya!$M$330:$M$772,AX$11,IuranSYSebelumnya!$L$330:$L$772,"&lt;&gt;"&amp;$M$5)&gt;0,
              "Iuran dari Lingkungan lain",
              ""))</t>
  </si>
  <si>
    <t>=IF(COUNTIFS(IuranSYSebelumnya!$J$330:$J$772,$K15,IuranSYSebelumnya!$M$330:$M$772,AY$11,IuranSYSebelumnya!$L$330:$L$772,$M$5)&gt;0,
        VLOOKUP(CONCATENATE($K15,"|",AY$11,"|",$M$5),IuranSYSebelumnya!$I$330:$N$772,5,FALSE),
        IF(COUNTIFS(IuranSYSebelumnya!$J$330:$J$772,$K15,IuranSYSebelumnya!$M$330:$M$772,AY$11,IuranSYSebelumnya!$L$330:$L$772,"&lt;&gt;"&amp;$M$5)&gt;0,
              "Iuran dari Lingkungan lain",
              ""))</t>
  </si>
  <si>
    <t>=IF(COUNTIFS(IuranSYSebelumnya!$J$330:$J$772,$K15,IuranSYSebelumnya!$M$330:$M$772,AZ$11,IuranSYSebelumnya!$L$330:$L$772,$M$5)&gt;0,
        VLOOKUP(CONCATENATE($K15,"|",AZ$11,"|",$M$5),IuranSYSebelumnya!$I$330:$N$772,5,FALSE),
        IF(COUNTIFS(IuranSYSebelumnya!$J$330:$J$772,$K15,IuranSYSebelumnya!$M$330:$M$772,AZ$11,IuranSYSebelumnya!$L$330:$L$772,"&lt;&gt;"&amp;$M$5)&gt;0,
              "Iuran dari Lingkungan lain",
              ""))</t>
  </si>
  <si>
    <t>=IF(COUNTIFS(IuranSYSebelumnya!$J$330:$J$772,$K15,IuranSYSebelumnya!$M$330:$M$772,BA$11,IuranSYSebelumnya!$L$330:$L$772,$M$5)&gt;0,
        VLOOKUP(CONCATENATE($K15,"|",BA$11,"|",$M$5),IuranSYSebelumnya!$I$330:$N$772,5,FALSE),
        IF(COUNTIFS(IuranSYSebelumnya!$J$330:$J$772,$K15,IuranSYSebelumnya!$M$330:$M$772,BA$11,IuranSYSebelumnya!$L$330:$L$772,"&lt;&gt;"&amp;$M$5)&gt;0,
              "Iuran dari Lingkungan lain",
              ""))</t>
  </si>
  <si>
    <t>=IF(COUNTIFS(IuranSYSebelumnya!$J$330:$J$772,$K15,IuranSYSebelumnya!$M$330:$M$772,BB$11,IuranSYSebelumnya!$L$330:$L$772,$M$5)&gt;0,
        VLOOKUP(CONCATENATE($K15,"|",BB$11,"|",$M$5),IuranSYSebelumnya!$I$330:$N$772,5,FALSE),
        IF(COUNTIFS(IuranSYSebelumnya!$J$330:$J$772,$K15,IuranSYSebelumnya!$M$330:$M$772,BB$11,IuranSYSebelumnya!$L$330:$L$772,"&lt;&gt;"&amp;$M$5)&gt;0,
              "Iuran dari Lingkungan lain",
              ""))</t>
  </si>
  <si>
    <t>=IF(COUNTIFS(IuranSYSebelumnya!$J$330:$J$772,$K15,IuranSYSebelumnya!$M$330:$M$772,BC$11,IuranSYSebelumnya!$L$330:$L$772,$M$5)&gt;0,
        VLOOKUP(CONCATENATE($K15,"|",BC$11,"|",$M$5),IuranSYSebelumnya!$I$330:$N$772,5,FALSE),
        IF(COUNTIFS(IuranSYSebelumnya!$J$330:$J$772,$K15,IuranSYSebelumnya!$M$330:$M$772,BC$11,IuranSYSebelumnya!$L$330:$L$772,"&lt;&gt;"&amp;$M$5)&gt;0,
              "Iuran dari Lingkungan lain",
              ""))</t>
  </si>
  <si>
    <t>=IF(COUNTIFS(IuranSYSebelumnya!$J$330:$J$772,$K15,IuranSYSebelumnya!$M$330:$M$772,BD$11,IuranSYSebelumnya!$L$330:$L$772,$M$5)&gt;0,
        VLOOKUP(CONCATENATE($K15,"|",BD$11,"|",$M$5),IuranSYSebelumnya!$I$330:$N$772,5,FALSE),
        IF(COUNTIFS(IuranSYSebelumnya!$J$330:$J$772,$K15,IuranSYSebelumnya!$M$330:$M$772,BD$11,IuranSYSebelumnya!$L$330:$L$772,"&lt;&gt;"&amp;$M$5)&gt;0,
              "Iuran dari Lingkungan lain",
              ""))</t>
  </si>
  <si>
    <t>=IF(COUNTIFS(IuranSYSebelumnya!$J$330:$J$772,$K15,IuranSYSebelumnya!$M$330:$M$772,BE$11,IuranSYSebelumnya!$L$330:$L$772,$M$5)&gt;0,
        VLOOKUP(CONCATENATE($K15,"|",BE$11,"|",$M$5),IuranSYSebelumnya!$I$330:$N$772,5,FALSE),
        IF(COUNTIFS(IuranSYSebelumnya!$J$330:$J$772,$K15,IuranSYSebelumnya!$M$330:$M$772,BE$11,IuranSYSebelumnya!$L$330:$L$772,"&lt;&gt;"&amp;$M$5)&gt;0,
              "Iuran dari Lingkungan lain",
              ""))</t>
  </si>
  <si>
    <t>=IF(COUNTIFS(IuranSYSebelumnya!$J$330:$J$772,$K15,IuranSYSebelumnya!$M$330:$M$772,BF$11,IuranSYSebelumnya!$L$330:$L$772,$M$5)&gt;0,
        VLOOKUP(CONCATENATE($K15,"|",BF$11,"|",$M$5),IuranSYSebelumnya!$I$330:$N$772,5,FALSE),
        IF(COUNTIFS(IuranSYSebelumnya!$J$330:$J$772,$K15,IuranSYSebelumnya!$M$330:$M$772,BF$11,IuranSYSebelumnya!$L$330:$L$772,"&lt;&gt;"&amp;$M$5)&gt;0,
              "Iuran dari Lingkungan lain",
              ""))</t>
  </si>
  <si>
    <t>=IF(COUNTIFS(IuranSYSebelumnya!$J$330:$J$772,$K15,IuranSYSebelumnya!$M$330:$M$772,BG$11,IuranSYSebelumnya!$L$330:$L$772,$M$5)&gt;0,
        VLOOKUP(CONCATENATE($K15,"|",BG$11,"|",$M$5),IuranSYSebelumnya!$I$330:$N$772,5,FALSE),
        IF(COUNTIFS(IuranSYSebelumnya!$J$330:$J$772,$K15,IuranSYSebelumnya!$M$330:$M$772,BG$11,IuranSYSebelumnya!$L$330:$L$772,"&lt;&gt;"&amp;$M$5)&gt;0,
              "Iuran dari Lingkungan lain",
              ""))</t>
  </si>
  <si>
    <t>=IF(COUNTIFS(IuranSYSebelumnya!$J$330:$J$772,$K15,IuranSYSebelumnya!$M$330:$M$772,BH$11,IuranSYSebelumnya!$L$330:$L$772,$M$5)&gt;0,
        VLOOKUP(CONCATENATE($K15,"|",BH$11,"|",$M$5),IuranSYSebelumnya!$I$330:$N$772,5,FALSE),
        IF(COUNTIFS(IuranSYSebelumnya!$J$330:$J$772,$K15,IuranSYSebelumnya!$M$330:$M$772,BH$11,IuranSYSebelumnya!$L$330:$L$772,"&lt;&gt;"&amp;$M$5)&gt;0,
              "Iuran dari Lingkungan lain",
              ""))</t>
  </si>
  <si>
    <t>=IF(COUNTIFS(IuranSYSebelumnya!$J$330:$J$772,$K15,IuranSYSebelumnya!$M$330:$M$772,BI$11,IuranSYSebelumnya!$L$330:$L$772,$M$5)&gt;0,
        VLOOKUP(CONCATENATE($K15,"|",BI$11,"|",$M$5),IuranSYSebelumnya!$I$330:$N$772,5,FALSE),
        IF(COUNTIFS(IuranSYSebelumnya!$J$330:$J$772,$K15,IuranSYSebelumnya!$M$330:$M$772,BI$11,IuranSYSebelumnya!$L$330:$L$772,"&lt;&gt;"&amp;$M$5)&gt;0,
              "Iuran dari Lingkungan lain",
              ""))</t>
  </si>
  <si>
    <t>=IF(COUNTIFS(IuranSYSebelumnya!$J$330:$J$772,$K15,IuranSYSebelumnya!$M$330:$M$772,BJ$11,IuranSYSebelumnya!$L$330:$L$772,$M$5)&gt;0,
        VLOOKUP(CONCATENATE($K15,"|",BJ$11,"|",$M$5),IuranSYSebelumnya!$I$330:$N$772,5,FALSE),
        IF(COUNTIFS(IuranSYSebelumnya!$J$330:$J$772,$K15,IuranSYSebelumnya!$M$330:$M$772,BJ$11,IuranSYSebelumnya!$L$330:$L$772,"&lt;&gt;"&amp;$M$5)&gt;0,
              "Iuran dari Lingkungan lain",
              ""))</t>
  </si>
  <si>
    <t>=IF(COUNTIFS(IuranSYSebelumnya!$J$330:$J$772,$K15,IuranSYSebelumnya!$M$330:$M$772,BK$11,IuranSYSebelumnya!$L$330:$L$772,$M$5)&gt;0,
        VLOOKUP(CONCATENATE($K15,"|",BK$11,"|",$M$5),IuranSYSebelumnya!$I$330:$N$772,5,FALSE),
        IF(COUNTIFS(IuranSYSebelumnya!$J$330:$J$772,$K15,IuranSYSebelumnya!$M$330:$M$772,BK$11,IuranSYSebelumnya!$L$330:$L$772,"&lt;&gt;"&amp;$M$5)&gt;0,
              "Iuran dari Lingkungan lain",
              ""))</t>
  </si>
  <si>
    <t>=IF(COUNTIFS(IuranSYSebelumnya!$J$330:$J$772,$K15,IuranSYSebelumnya!$M$330:$M$772,BL$11,IuranSYSebelumnya!$L$330:$L$772,$M$5)&gt;0,
        VLOOKUP(CONCATENATE($K15,"|",BL$11,"|",$M$5),IuranSYSebelumnya!$I$330:$N$772,5,FALSE),
        IF(COUNTIFS(IuranSYSebelumnya!$J$330:$J$772,$K15,IuranSYSebelumnya!$M$330:$M$772,BL$11,IuranSYSebelumnya!$L$330:$L$772,"&lt;&gt;"&amp;$M$5)&gt;0,
              "Iuran dari Lingkungan lain",
              ""))</t>
  </si>
  <si>
    <t>=IF(COUNTIFS(IuranSYSebelumnya!$J$330:$J$772,$K16,IuranSYSebelumnya!$M$330:$M$772,AO$11,IuranSYSebelumnya!$L$330:$L$772,$M$5)&gt;0,
        VLOOKUP(CONCATENATE($K16,"|",AO$11,"|",$M$5),IuranSYSebelumnya!$I$330:$N$772,5,FALSE),
        IF(COUNTIFS(IuranSYSebelumnya!$J$330:$J$772,$K16,IuranSYSebelumnya!$M$330:$M$772,AO$11,IuranSYSebelumnya!$L$330:$L$772,"&lt;&gt;"&amp;$M$5)&gt;0,
              "Iuran dari Lingkungan lain",
              ""))</t>
  </si>
  <si>
    <t>=IF(COUNTIFS(IuranSYSebelumnya!$J$330:$J$772,$K16,IuranSYSebelumnya!$M$330:$M$772,AP$11,IuranSYSebelumnya!$L$330:$L$772,$M$5)&gt;0,
        VLOOKUP(CONCATENATE($K16,"|",AP$11,"|",$M$5),IuranSYSebelumnya!$I$330:$N$772,5,FALSE),
        IF(COUNTIFS(IuranSYSebelumnya!$J$330:$J$772,$K16,IuranSYSebelumnya!$M$330:$M$772,AP$11,IuranSYSebelumnya!$L$330:$L$772,"&lt;&gt;"&amp;$M$5)&gt;0,
              "Iuran dari Lingkungan lain",
              ""))</t>
  </si>
  <si>
    <t>=IF(COUNTIFS(IuranSYSebelumnya!$J$330:$J$772,$K16,IuranSYSebelumnya!$M$330:$M$772,AQ$11,IuranSYSebelumnya!$L$330:$L$772,$M$5)&gt;0,
        VLOOKUP(CONCATENATE($K16,"|",AQ$11,"|",$M$5),IuranSYSebelumnya!$I$330:$N$772,5,FALSE),
        IF(COUNTIFS(IuranSYSebelumnya!$J$330:$J$772,$K16,IuranSYSebelumnya!$M$330:$M$772,AQ$11,IuranSYSebelumnya!$L$330:$L$772,"&lt;&gt;"&amp;$M$5)&gt;0,
              "Iuran dari Lingkungan lain",
              ""))</t>
  </si>
  <si>
    <t>=IF(COUNTIFS(IuranSYSebelumnya!$J$330:$J$772,$K16,IuranSYSebelumnya!$M$330:$M$772,AR$11,IuranSYSebelumnya!$L$330:$L$772,$M$5)&gt;0,
        VLOOKUP(CONCATENATE($K16,"|",AR$11,"|",$M$5),IuranSYSebelumnya!$I$330:$N$772,5,FALSE),
        IF(COUNTIFS(IuranSYSebelumnya!$J$330:$J$772,$K16,IuranSYSebelumnya!$M$330:$M$772,AR$11,IuranSYSebelumnya!$L$330:$L$772,"&lt;&gt;"&amp;$M$5)&gt;0,
              "Iuran dari Lingkungan lain",
              ""))</t>
  </si>
  <si>
    <t>=IF(COUNTIFS(IuranSYSebelumnya!$J$330:$J$772,$K16,IuranSYSebelumnya!$M$330:$M$772,AS$11,IuranSYSebelumnya!$L$330:$L$772,$M$5)&gt;0,
        VLOOKUP(CONCATENATE($K16,"|",AS$11,"|",$M$5),IuranSYSebelumnya!$I$330:$N$772,5,FALSE),
        IF(COUNTIFS(IuranSYSebelumnya!$J$330:$J$772,$K16,IuranSYSebelumnya!$M$330:$M$772,AS$11,IuranSYSebelumnya!$L$330:$L$772,"&lt;&gt;"&amp;$M$5)&gt;0,
              "Iuran dari Lingkungan lain",
              ""))</t>
  </si>
  <si>
    <t>=IF(COUNTIFS(IuranSYSebelumnya!$J$330:$J$772,$K16,IuranSYSebelumnya!$M$330:$M$772,AT$11,IuranSYSebelumnya!$L$330:$L$772,$M$5)&gt;0,
        VLOOKUP(CONCATENATE($K16,"|",AT$11,"|",$M$5),IuranSYSebelumnya!$I$330:$N$772,5,FALSE),
        IF(COUNTIFS(IuranSYSebelumnya!$J$330:$J$772,$K16,IuranSYSebelumnya!$M$330:$M$772,AT$11,IuranSYSebelumnya!$L$330:$L$772,"&lt;&gt;"&amp;$M$5)&gt;0,
              "Iuran dari Lingkungan lain",
              ""))</t>
  </si>
  <si>
    <t>=IF(COUNTIFS(IuranSYSebelumnya!$J$330:$J$772,$K16,IuranSYSebelumnya!$M$330:$M$772,AU$11,IuranSYSebelumnya!$L$330:$L$772,$M$5)&gt;0,
        VLOOKUP(CONCATENATE($K16,"|",AU$11,"|",$M$5),IuranSYSebelumnya!$I$330:$N$772,5,FALSE),
        IF(COUNTIFS(IuranSYSebelumnya!$J$330:$J$772,$K16,IuranSYSebelumnya!$M$330:$M$772,AU$11,IuranSYSebelumnya!$L$330:$L$772,"&lt;&gt;"&amp;$M$5)&gt;0,
              "Iuran dari Lingkungan lain",
              ""))</t>
  </si>
  <si>
    <t>=IF(COUNTIFS(IuranSYSebelumnya!$J$330:$J$772,$K16,IuranSYSebelumnya!$M$330:$M$772,AV$11,IuranSYSebelumnya!$L$330:$L$772,$M$5)&gt;0,
        VLOOKUP(CONCATENATE($K16,"|",AV$11,"|",$M$5),IuranSYSebelumnya!$I$330:$N$772,5,FALSE),
        IF(COUNTIFS(IuranSYSebelumnya!$J$330:$J$772,$K16,IuranSYSebelumnya!$M$330:$M$772,AV$11,IuranSYSebelumnya!$L$330:$L$772,"&lt;&gt;"&amp;$M$5)&gt;0,
              "Iuran dari Lingkungan lain",
              ""))</t>
  </si>
  <si>
    <t>=IF(COUNTIFS(IuranSYSebelumnya!$J$330:$J$772,$K16,IuranSYSebelumnya!$M$330:$M$772,AW$11,IuranSYSebelumnya!$L$330:$L$772,$M$5)&gt;0,
        VLOOKUP(CONCATENATE($K16,"|",AW$11,"|",$M$5),IuranSYSebelumnya!$I$330:$N$772,5,FALSE),
        IF(COUNTIFS(IuranSYSebelumnya!$J$330:$J$772,$K16,IuranSYSebelumnya!$M$330:$M$772,AW$11,IuranSYSebelumnya!$L$330:$L$772,"&lt;&gt;"&amp;$M$5)&gt;0,
              "Iuran dari Lingkungan lain",
              ""))</t>
  </si>
  <si>
    <t>=IF(COUNTIFS(IuranSYSebelumnya!$J$330:$J$772,$K16,IuranSYSebelumnya!$M$330:$M$772,AX$11,IuranSYSebelumnya!$L$330:$L$772,$M$5)&gt;0,
        VLOOKUP(CONCATENATE($K16,"|",AX$11,"|",$M$5),IuranSYSebelumnya!$I$330:$N$772,5,FALSE),
        IF(COUNTIFS(IuranSYSebelumnya!$J$330:$J$772,$K16,IuranSYSebelumnya!$M$330:$M$772,AX$11,IuranSYSebelumnya!$L$330:$L$772,"&lt;&gt;"&amp;$M$5)&gt;0,
              "Iuran dari Lingkungan lain",
              ""))</t>
  </si>
  <si>
    <t>=IF(COUNTIFS(IuranSYSebelumnya!$J$330:$J$772,$K16,IuranSYSebelumnya!$M$330:$M$772,AY$11,IuranSYSebelumnya!$L$330:$L$772,$M$5)&gt;0,
        VLOOKUP(CONCATENATE($K16,"|",AY$11,"|",$M$5),IuranSYSebelumnya!$I$330:$N$772,5,FALSE),
        IF(COUNTIFS(IuranSYSebelumnya!$J$330:$J$772,$K16,IuranSYSebelumnya!$M$330:$M$772,AY$11,IuranSYSebelumnya!$L$330:$L$772,"&lt;&gt;"&amp;$M$5)&gt;0,
              "Iuran dari Lingkungan lain",
              ""))</t>
  </si>
  <si>
    <t>=IF(COUNTIFS(IuranSYSebelumnya!$J$330:$J$772,$K16,IuranSYSebelumnya!$M$330:$M$772,AZ$11,IuranSYSebelumnya!$L$330:$L$772,$M$5)&gt;0,
        VLOOKUP(CONCATENATE($K16,"|",AZ$11,"|",$M$5),IuranSYSebelumnya!$I$330:$N$772,5,FALSE),
        IF(COUNTIFS(IuranSYSebelumnya!$J$330:$J$772,$K16,IuranSYSebelumnya!$M$330:$M$772,AZ$11,IuranSYSebelumnya!$L$330:$L$772,"&lt;&gt;"&amp;$M$5)&gt;0,
              "Iuran dari Lingkungan lain",
              ""))</t>
  </si>
  <si>
    <t>=IF(COUNTIFS(IuranSYSebelumnya!$J$330:$J$772,$K16,IuranSYSebelumnya!$M$330:$M$772,BA$11,IuranSYSebelumnya!$L$330:$L$772,$M$5)&gt;0,
        VLOOKUP(CONCATENATE($K16,"|",BA$11,"|",$M$5),IuranSYSebelumnya!$I$330:$N$772,5,FALSE),
        IF(COUNTIFS(IuranSYSebelumnya!$J$330:$J$772,$K16,IuranSYSebelumnya!$M$330:$M$772,BA$11,IuranSYSebelumnya!$L$330:$L$772,"&lt;&gt;"&amp;$M$5)&gt;0,
              "Iuran dari Lingkungan lain",
              ""))</t>
  </si>
  <si>
    <t>=IF(COUNTIFS(IuranSYSebelumnya!$J$330:$J$772,$K16,IuranSYSebelumnya!$M$330:$M$772,BB$11,IuranSYSebelumnya!$L$330:$L$772,$M$5)&gt;0,
        VLOOKUP(CONCATENATE($K16,"|",BB$11,"|",$M$5),IuranSYSebelumnya!$I$330:$N$772,5,FALSE),
        IF(COUNTIFS(IuranSYSebelumnya!$J$330:$J$772,$K16,IuranSYSebelumnya!$M$330:$M$772,BB$11,IuranSYSebelumnya!$L$330:$L$772,"&lt;&gt;"&amp;$M$5)&gt;0,
              "Iuran dari Lingkungan lain",
              ""))</t>
  </si>
  <si>
    <t>=IF(COUNTIFS(IuranSYSebelumnya!$J$330:$J$772,$K16,IuranSYSebelumnya!$M$330:$M$772,BC$11,IuranSYSebelumnya!$L$330:$L$772,$M$5)&gt;0,
        VLOOKUP(CONCATENATE($K16,"|",BC$11,"|",$M$5),IuranSYSebelumnya!$I$330:$N$772,5,FALSE),
        IF(COUNTIFS(IuranSYSebelumnya!$J$330:$J$772,$K16,IuranSYSebelumnya!$M$330:$M$772,BC$11,IuranSYSebelumnya!$L$330:$L$772,"&lt;&gt;"&amp;$M$5)&gt;0,
              "Iuran dari Lingkungan lain",
              ""))</t>
  </si>
  <si>
    <t>=IF(COUNTIFS(IuranSYSebelumnya!$J$330:$J$772,$K16,IuranSYSebelumnya!$M$330:$M$772,BD$11,IuranSYSebelumnya!$L$330:$L$772,$M$5)&gt;0,
        VLOOKUP(CONCATENATE($K16,"|",BD$11,"|",$M$5),IuranSYSebelumnya!$I$330:$N$772,5,FALSE),
        IF(COUNTIFS(IuranSYSebelumnya!$J$330:$J$772,$K16,IuranSYSebelumnya!$M$330:$M$772,BD$11,IuranSYSebelumnya!$L$330:$L$772,"&lt;&gt;"&amp;$M$5)&gt;0,
              "Iuran dari Lingkungan lain",
              ""))</t>
  </si>
  <si>
    <t>=IF(COUNTIFS(IuranSYSebelumnya!$J$330:$J$772,$K16,IuranSYSebelumnya!$M$330:$M$772,BE$11,IuranSYSebelumnya!$L$330:$L$772,$M$5)&gt;0,
        VLOOKUP(CONCATENATE($K16,"|",BE$11,"|",$M$5),IuranSYSebelumnya!$I$330:$N$772,5,FALSE),
        IF(COUNTIFS(IuranSYSebelumnya!$J$330:$J$772,$K16,IuranSYSebelumnya!$M$330:$M$772,BE$11,IuranSYSebelumnya!$L$330:$L$772,"&lt;&gt;"&amp;$M$5)&gt;0,
              "Iuran dari Lingkungan lain",
              ""))</t>
  </si>
  <si>
    <t>=IF(COUNTIFS(IuranSYSebelumnya!$J$330:$J$772,$K16,IuranSYSebelumnya!$M$330:$M$772,BF$11,IuranSYSebelumnya!$L$330:$L$772,$M$5)&gt;0,
        VLOOKUP(CONCATENATE($K16,"|",BF$11,"|",$M$5),IuranSYSebelumnya!$I$330:$N$772,5,FALSE),
        IF(COUNTIFS(IuranSYSebelumnya!$J$330:$J$772,$K16,IuranSYSebelumnya!$M$330:$M$772,BF$11,IuranSYSebelumnya!$L$330:$L$772,"&lt;&gt;"&amp;$M$5)&gt;0,
              "Iuran dari Lingkungan lain",
              ""))</t>
  </si>
  <si>
    <t>=IF(COUNTIFS(IuranSYSebelumnya!$J$330:$J$772,$K16,IuranSYSebelumnya!$M$330:$M$772,BG$11,IuranSYSebelumnya!$L$330:$L$772,$M$5)&gt;0,
        VLOOKUP(CONCATENATE($K16,"|",BG$11,"|",$M$5),IuranSYSebelumnya!$I$330:$N$772,5,FALSE),
        IF(COUNTIFS(IuranSYSebelumnya!$J$330:$J$772,$K16,IuranSYSebelumnya!$M$330:$M$772,BG$11,IuranSYSebelumnya!$L$330:$L$772,"&lt;&gt;"&amp;$M$5)&gt;0,
              "Iuran dari Lingkungan lain",
              ""))</t>
  </si>
  <si>
    <t>=IF(COUNTIFS(IuranSYSebelumnya!$J$330:$J$772,$K16,IuranSYSebelumnya!$M$330:$M$772,BH$11,IuranSYSebelumnya!$L$330:$L$772,$M$5)&gt;0,
        VLOOKUP(CONCATENATE($K16,"|",BH$11,"|",$M$5),IuranSYSebelumnya!$I$330:$N$772,5,FALSE),
        IF(COUNTIFS(IuranSYSebelumnya!$J$330:$J$772,$K16,IuranSYSebelumnya!$M$330:$M$772,BH$11,IuranSYSebelumnya!$L$330:$L$772,"&lt;&gt;"&amp;$M$5)&gt;0,
              "Iuran dari Lingkungan lain",
              ""))</t>
  </si>
  <si>
    <t>=IF(COUNTIFS(IuranSYSebelumnya!$J$330:$J$772,$K16,IuranSYSebelumnya!$M$330:$M$772,BI$11,IuranSYSebelumnya!$L$330:$L$772,$M$5)&gt;0,
        VLOOKUP(CONCATENATE($K16,"|",BI$11,"|",$M$5),IuranSYSebelumnya!$I$330:$N$772,5,FALSE),
        IF(COUNTIFS(IuranSYSebelumnya!$J$330:$J$772,$K16,IuranSYSebelumnya!$M$330:$M$772,BI$11,IuranSYSebelumnya!$L$330:$L$772,"&lt;&gt;"&amp;$M$5)&gt;0,
              "Iuran dari Lingkungan lain",
              ""))</t>
  </si>
  <si>
    <t>=IF(COUNTIFS(IuranSYSebelumnya!$J$330:$J$772,$K16,IuranSYSebelumnya!$M$330:$M$772,BJ$11,IuranSYSebelumnya!$L$330:$L$772,$M$5)&gt;0,
        VLOOKUP(CONCATENATE($K16,"|",BJ$11,"|",$M$5),IuranSYSebelumnya!$I$330:$N$772,5,FALSE),
        IF(COUNTIFS(IuranSYSebelumnya!$J$330:$J$772,$K16,IuranSYSebelumnya!$M$330:$M$772,BJ$11,IuranSYSebelumnya!$L$330:$L$772,"&lt;&gt;"&amp;$M$5)&gt;0,
              "Iuran dari Lingkungan lain",
              ""))</t>
  </si>
  <si>
    <t>=IF(COUNTIFS(IuranSYSebelumnya!$J$330:$J$772,$K16,IuranSYSebelumnya!$M$330:$M$772,BK$11,IuranSYSebelumnya!$L$330:$L$772,$M$5)&gt;0,
        VLOOKUP(CONCATENATE($K16,"|",BK$11,"|",$M$5),IuranSYSebelumnya!$I$330:$N$772,5,FALSE),
        IF(COUNTIFS(IuranSYSebelumnya!$J$330:$J$772,$K16,IuranSYSebelumnya!$M$330:$M$772,BK$11,IuranSYSebelumnya!$L$330:$L$772,"&lt;&gt;"&amp;$M$5)&gt;0,
              "Iuran dari Lingkungan lain",
              ""))</t>
  </si>
  <si>
    <t>=IF(COUNTIFS(IuranSYSebelumnya!$J$330:$J$772,$K16,IuranSYSebelumnya!$M$330:$M$772,BL$11,IuranSYSebelumnya!$L$330:$L$772,$M$5)&gt;0,
        VLOOKUP(CONCATENATE($K16,"|",BL$11,"|",$M$5),IuranSYSebelumnya!$I$330:$N$772,5,FALSE),
        IF(COUNTIFS(IuranSYSebelumnya!$J$330:$J$772,$K16,IuranSYSebelumnya!$M$330:$M$772,BL$11,IuranSYSebelumnya!$L$330:$L$772,"&lt;&gt;"&amp;$M$5)&gt;0,
              "Iuran dari Lingkungan lain",
              ""))</t>
  </si>
  <si>
    <t>=IF(COUNTIFS(IuranSYSebelumnya!$J$330:$J$772,$K17,IuranSYSebelumnya!$M$330:$M$772,AO$11,IuranSYSebelumnya!$L$330:$L$772,$M$5)&gt;0,
        VLOOKUP(CONCATENATE($K17,"|",AO$11,"|",$M$5),IuranSYSebelumnya!$I$330:$N$772,5,FALSE),
        IF(COUNTIFS(IuranSYSebelumnya!$J$330:$J$772,$K17,IuranSYSebelumnya!$M$330:$M$772,AO$11,IuranSYSebelumnya!$L$330:$L$772,"&lt;&gt;"&amp;$M$5)&gt;0,
              "Iuran dari Lingkungan lain",
              ""))</t>
  </si>
  <si>
    <t>=IF(COUNTIFS(IuranSYSebelumnya!$J$330:$J$772,$K17,IuranSYSebelumnya!$M$330:$M$772,AP$11,IuranSYSebelumnya!$L$330:$L$772,$M$5)&gt;0,
        VLOOKUP(CONCATENATE($K17,"|",AP$11,"|",$M$5),IuranSYSebelumnya!$I$330:$N$772,5,FALSE),
        IF(COUNTIFS(IuranSYSebelumnya!$J$330:$J$772,$K17,IuranSYSebelumnya!$M$330:$M$772,AP$11,IuranSYSebelumnya!$L$330:$L$772,"&lt;&gt;"&amp;$M$5)&gt;0,
              "Iuran dari Lingkungan lain",
              ""))</t>
  </si>
  <si>
    <t>=IF(COUNTIFS(IuranSYSebelumnya!$J$330:$J$772,$K17,IuranSYSebelumnya!$M$330:$M$772,AQ$11,IuranSYSebelumnya!$L$330:$L$772,$M$5)&gt;0,
        VLOOKUP(CONCATENATE($K17,"|",AQ$11,"|",$M$5),IuranSYSebelumnya!$I$330:$N$772,5,FALSE),
        IF(COUNTIFS(IuranSYSebelumnya!$J$330:$J$772,$K17,IuranSYSebelumnya!$M$330:$M$772,AQ$11,IuranSYSebelumnya!$L$330:$L$772,"&lt;&gt;"&amp;$M$5)&gt;0,
              "Iuran dari Lingkungan lain",
              ""))</t>
  </si>
  <si>
    <t>=IF(COUNTIFS(IuranSYSebelumnya!$J$330:$J$772,$K17,IuranSYSebelumnya!$M$330:$M$772,AR$11,IuranSYSebelumnya!$L$330:$L$772,$M$5)&gt;0,
        VLOOKUP(CONCATENATE($K17,"|",AR$11,"|",$M$5),IuranSYSebelumnya!$I$330:$N$772,5,FALSE),
        IF(COUNTIFS(IuranSYSebelumnya!$J$330:$J$772,$K17,IuranSYSebelumnya!$M$330:$M$772,AR$11,IuranSYSebelumnya!$L$330:$L$772,"&lt;&gt;"&amp;$M$5)&gt;0,
              "Iuran dari Lingkungan lain",
              ""))</t>
  </si>
  <si>
    <t>=IF(COUNTIFS(IuranSYSebelumnya!$J$330:$J$772,$K17,IuranSYSebelumnya!$M$330:$M$772,AS$11,IuranSYSebelumnya!$L$330:$L$772,$M$5)&gt;0,
        VLOOKUP(CONCATENATE($K17,"|",AS$11,"|",$M$5),IuranSYSebelumnya!$I$330:$N$772,5,FALSE),
        IF(COUNTIFS(IuranSYSebelumnya!$J$330:$J$772,$K17,IuranSYSebelumnya!$M$330:$M$772,AS$11,IuranSYSebelumnya!$L$330:$L$772,"&lt;&gt;"&amp;$M$5)&gt;0,
              "Iuran dari Lingkungan lain",
              ""))</t>
  </si>
  <si>
    <t>=IF(COUNTIFS(IuranSYSebelumnya!$J$330:$J$772,$K17,IuranSYSebelumnya!$M$330:$M$772,AT$11,IuranSYSebelumnya!$L$330:$L$772,$M$5)&gt;0,
        VLOOKUP(CONCATENATE($K17,"|",AT$11,"|",$M$5),IuranSYSebelumnya!$I$330:$N$772,5,FALSE),
        IF(COUNTIFS(IuranSYSebelumnya!$J$330:$J$772,$K17,IuranSYSebelumnya!$M$330:$M$772,AT$11,IuranSYSebelumnya!$L$330:$L$772,"&lt;&gt;"&amp;$M$5)&gt;0,
              "Iuran dari Lingkungan lain",
              ""))</t>
  </si>
  <si>
    <t>=IF(COUNTIFS(IuranSYSebelumnya!$J$330:$J$772,$K17,IuranSYSebelumnya!$M$330:$M$772,AU$11,IuranSYSebelumnya!$L$330:$L$772,$M$5)&gt;0,
        VLOOKUP(CONCATENATE($K17,"|",AU$11,"|",$M$5),IuranSYSebelumnya!$I$330:$N$772,5,FALSE),
        IF(COUNTIFS(IuranSYSebelumnya!$J$330:$J$772,$K17,IuranSYSebelumnya!$M$330:$M$772,AU$11,IuranSYSebelumnya!$L$330:$L$772,"&lt;&gt;"&amp;$M$5)&gt;0,
              "Iuran dari Lingkungan lain",
              ""))</t>
  </si>
  <si>
    <t>=IF(COUNTIFS(IuranSYSebelumnya!$J$330:$J$772,$K17,IuranSYSebelumnya!$M$330:$M$772,AV$11,IuranSYSebelumnya!$L$330:$L$772,$M$5)&gt;0,
        VLOOKUP(CONCATENATE($K17,"|",AV$11,"|",$M$5),IuranSYSebelumnya!$I$330:$N$772,5,FALSE),
        IF(COUNTIFS(IuranSYSebelumnya!$J$330:$J$772,$K17,IuranSYSebelumnya!$M$330:$M$772,AV$11,IuranSYSebelumnya!$L$330:$L$772,"&lt;&gt;"&amp;$M$5)&gt;0,
              "Iuran dari Lingkungan lain",
              ""))</t>
  </si>
  <si>
    <t>=IF(COUNTIFS(IuranSYSebelumnya!$J$330:$J$772,$K17,IuranSYSebelumnya!$M$330:$M$772,AW$11,IuranSYSebelumnya!$L$330:$L$772,$M$5)&gt;0,
        VLOOKUP(CONCATENATE($K17,"|",AW$11,"|",$M$5),IuranSYSebelumnya!$I$330:$N$772,5,FALSE),
        IF(COUNTIFS(IuranSYSebelumnya!$J$330:$J$772,$K17,IuranSYSebelumnya!$M$330:$M$772,AW$11,IuranSYSebelumnya!$L$330:$L$772,"&lt;&gt;"&amp;$M$5)&gt;0,
              "Iuran dari Lingkungan lain",
              ""))</t>
  </si>
  <si>
    <t>=IF(COUNTIFS(IuranSYSebelumnya!$J$330:$J$772,$K17,IuranSYSebelumnya!$M$330:$M$772,AX$11,IuranSYSebelumnya!$L$330:$L$772,$M$5)&gt;0,
        VLOOKUP(CONCATENATE($K17,"|",AX$11,"|",$M$5),IuranSYSebelumnya!$I$330:$N$772,5,FALSE),
        IF(COUNTIFS(IuranSYSebelumnya!$J$330:$J$772,$K17,IuranSYSebelumnya!$M$330:$M$772,AX$11,IuranSYSebelumnya!$L$330:$L$772,"&lt;&gt;"&amp;$M$5)&gt;0,
              "Iuran dari Lingkungan lain",
              ""))</t>
  </si>
  <si>
    <t>=IF(COUNTIFS(IuranSYSebelumnya!$J$330:$J$772,$K17,IuranSYSebelumnya!$M$330:$M$772,AY$11,IuranSYSebelumnya!$L$330:$L$772,$M$5)&gt;0,
        VLOOKUP(CONCATENATE($K17,"|",AY$11,"|",$M$5),IuranSYSebelumnya!$I$330:$N$772,5,FALSE),
        IF(COUNTIFS(IuranSYSebelumnya!$J$330:$J$772,$K17,IuranSYSebelumnya!$M$330:$M$772,AY$11,IuranSYSebelumnya!$L$330:$L$772,"&lt;&gt;"&amp;$M$5)&gt;0,
              "Iuran dari Lingkungan lain",
              ""))</t>
  </si>
  <si>
    <t>=IF(COUNTIFS(IuranSYSebelumnya!$J$330:$J$772,$K17,IuranSYSebelumnya!$M$330:$M$772,AZ$11,IuranSYSebelumnya!$L$330:$L$772,$M$5)&gt;0,
        VLOOKUP(CONCATENATE($K17,"|",AZ$11,"|",$M$5),IuranSYSebelumnya!$I$330:$N$772,5,FALSE),
        IF(COUNTIFS(IuranSYSebelumnya!$J$330:$J$772,$K17,IuranSYSebelumnya!$M$330:$M$772,AZ$11,IuranSYSebelumnya!$L$330:$L$772,"&lt;&gt;"&amp;$M$5)&gt;0,
              "Iuran dari Lingkungan lain",
              ""))</t>
  </si>
  <si>
    <t>=IF(COUNTIFS(IuranSYSebelumnya!$J$330:$J$772,$K17,IuranSYSebelumnya!$M$330:$M$772,BA$11,IuranSYSebelumnya!$L$330:$L$772,$M$5)&gt;0,
        VLOOKUP(CONCATENATE($K17,"|",BA$11,"|",$M$5),IuranSYSebelumnya!$I$330:$N$772,5,FALSE),
        IF(COUNTIFS(IuranSYSebelumnya!$J$330:$J$772,$K17,IuranSYSebelumnya!$M$330:$M$772,BA$11,IuranSYSebelumnya!$L$330:$L$772,"&lt;&gt;"&amp;$M$5)&gt;0,
              "Iuran dari Lingkungan lain",
              ""))</t>
  </si>
  <si>
    <t>=IF(COUNTIFS(IuranSYSebelumnya!$J$330:$J$772,$K17,IuranSYSebelumnya!$M$330:$M$772,BB$11,IuranSYSebelumnya!$L$330:$L$772,$M$5)&gt;0,
        VLOOKUP(CONCATENATE($K17,"|",BB$11,"|",$M$5),IuranSYSebelumnya!$I$330:$N$772,5,FALSE),
        IF(COUNTIFS(IuranSYSebelumnya!$J$330:$J$772,$K17,IuranSYSebelumnya!$M$330:$M$772,BB$11,IuranSYSebelumnya!$L$330:$L$772,"&lt;&gt;"&amp;$M$5)&gt;0,
              "Iuran dari Lingkungan lain",
              ""))</t>
  </si>
  <si>
    <t>=IF(COUNTIFS(IuranSYSebelumnya!$J$330:$J$772,$K17,IuranSYSebelumnya!$M$330:$M$772,BC$11,IuranSYSebelumnya!$L$330:$L$772,$M$5)&gt;0,
        VLOOKUP(CONCATENATE($K17,"|",BC$11,"|",$M$5),IuranSYSebelumnya!$I$330:$N$772,5,FALSE),
        IF(COUNTIFS(IuranSYSebelumnya!$J$330:$J$772,$K17,IuranSYSebelumnya!$M$330:$M$772,BC$11,IuranSYSebelumnya!$L$330:$L$772,"&lt;&gt;"&amp;$M$5)&gt;0,
              "Iuran dari Lingkungan lain",
              ""))</t>
  </si>
  <si>
    <t>=IF(COUNTIFS(IuranSYSebelumnya!$J$330:$J$772,$K17,IuranSYSebelumnya!$M$330:$M$772,BD$11,IuranSYSebelumnya!$L$330:$L$772,$M$5)&gt;0,
        VLOOKUP(CONCATENATE($K17,"|",BD$11,"|",$M$5),IuranSYSebelumnya!$I$330:$N$772,5,FALSE),
        IF(COUNTIFS(IuranSYSebelumnya!$J$330:$J$772,$K17,IuranSYSebelumnya!$M$330:$M$772,BD$11,IuranSYSebelumnya!$L$330:$L$772,"&lt;&gt;"&amp;$M$5)&gt;0,
              "Iuran dari Lingkungan lain",
              ""))</t>
  </si>
  <si>
    <t>=IF(COUNTIFS(IuranSYSebelumnya!$J$330:$J$772,$K17,IuranSYSebelumnya!$M$330:$M$772,BE$11,IuranSYSebelumnya!$L$330:$L$772,$M$5)&gt;0,
        VLOOKUP(CONCATENATE($K17,"|",BE$11,"|",$M$5),IuranSYSebelumnya!$I$330:$N$772,5,FALSE),
        IF(COUNTIFS(IuranSYSebelumnya!$J$330:$J$772,$K17,IuranSYSebelumnya!$M$330:$M$772,BE$11,IuranSYSebelumnya!$L$330:$L$772,"&lt;&gt;"&amp;$M$5)&gt;0,
              "Iuran dari Lingkungan lain",
              ""))</t>
  </si>
  <si>
    <t>=IF(COUNTIFS(IuranSYSebelumnya!$J$330:$J$772,$K17,IuranSYSebelumnya!$M$330:$M$772,BF$11,IuranSYSebelumnya!$L$330:$L$772,$M$5)&gt;0,
        VLOOKUP(CONCATENATE($K17,"|",BF$11,"|",$M$5),IuranSYSebelumnya!$I$330:$N$772,5,FALSE),
        IF(COUNTIFS(IuranSYSebelumnya!$J$330:$J$772,$K17,IuranSYSebelumnya!$M$330:$M$772,BF$11,IuranSYSebelumnya!$L$330:$L$772,"&lt;&gt;"&amp;$M$5)&gt;0,
              "Iuran dari Lingkungan lain",
              ""))</t>
  </si>
  <si>
    <t>=IF(COUNTIFS(IuranSYSebelumnya!$J$330:$J$772,$K17,IuranSYSebelumnya!$M$330:$M$772,BG$11,IuranSYSebelumnya!$L$330:$L$772,$M$5)&gt;0,
        VLOOKUP(CONCATENATE($K17,"|",BG$11,"|",$M$5),IuranSYSebelumnya!$I$330:$N$772,5,FALSE),
        IF(COUNTIFS(IuranSYSebelumnya!$J$330:$J$772,$K17,IuranSYSebelumnya!$M$330:$M$772,BG$11,IuranSYSebelumnya!$L$330:$L$772,"&lt;&gt;"&amp;$M$5)&gt;0,
              "Iuran dari Lingkungan lain",
              ""))</t>
  </si>
  <si>
    <t>=IF(COUNTIFS(IuranSYSebelumnya!$J$330:$J$772,$K17,IuranSYSebelumnya!$M$330:$M$772,BH$11,IuranSYSebelumnya!$L$330:$L$772,$M$5)&gt;0,
        VLOOKUP(CONCATENATE($K17,"|",BH$11,"|",$M$5),IuranSYSebelumnya!$I$330:$N$772,5,FALSE),
        IF(COUNTIFS(IuranSYSebelumnya!$J$330:$J$772,$K17,IuranSYSebelumnya!$M$330:$M$772,BH$11,IuranSYSebelumnya!$L$330:$L$772,"&lt;&gt;"&amp;$M$5)&gt;0,
              "Iuran dari Lingkungan lain",
              ""))</t>
  </si>
  <si>
    <t>=IF(COUNTIFS(IuranSYSebelumnya!$J$330:$J$772,$K17,IuranSYSebelumnya!$M$330:$M$772,BI$11,IuranSYSebelumnya!$L$330:$L$772,$M$5)&gt;0,
        VLOOKUP(CONCATENATE($K17,"|",BI$11,"|",$M$5),IuranSYSebelumnya!$I$330:$N$772,5,FALSE),
        IF(COUNTIFS(IuranSYSebelumnya!$J$330:$J$772,$K17,IuranSYSebelumnya!$M$330:$M$772,BI$11,IuranSYSebelumnya!$L$330:$L$772,"&lt;&gt;"&amp;$M$5)&gt;0,
              "Iuran dari Lingkungan lain",
              ""))</t>
  </si>
  <si>
    <t>=IF(COUNTIFS(IuranSYSebelumnya!$J$330:$J$772,$K17,IuranSYSebelumnya!$M$330:$M$772,BJ$11,IuranSYSebelumnya!$L$330:$L$772,$M$5)&gt;0,
        VLOOKUP(CONCATENATE($K17,"|",BJ$11,"|",$M$5),IuranSYSebelumnya!$I$330:$N$772,5,FALSE),
        IF(COUNTIFS(IuranSYSebelumnya!$J$330:$J$772,$K17,IuranSYSebelumnya!$M$330:$M$772,BJ$11,IuranSYSebelumnya!$L$330:$L$772,"&lt;&gt;"&amp;$M$5)&gt;0,
              "Iuran dari Lingkungan lain",
              ""))</t>
  </si>
  <si>
    <t>=IF(COUNTIFS(IuranSYSebelumnya!$J$330:$J$772,$K17,IuranSYSebelumnya!$M$330:$M$772,BK$11,IuranSYSebelumnya!$L$330:$L$772,$M$5)&gt;0,
        VLOOKUP(CONCATENATE($K17,"|",BK$11,"|",$M$5),IuranSYSebelumnya!$I$330:$N$772,5,FALSE),
        IF(COUNTIFS(IuranSYSebelumnya!$J$330:$J$772,$K17,IuranSYSebelumnya!$M$330:$M$772,BK$11,IuranSYSebelumnya!$L$330:$L$772,"&lt;&gt;"&amp;$M$5)&gt;0,
              "Iuran dari Lingkungan lain",
              ""))</t>
  </si>
  <si>
    <t>=IF(COUNTIFS(IuranSYSebelumnya!$J$330:$J$772,$K17,IuranSYSebelumnya!$M$330:$M$772,BL$11,IuranSYSebelumnya!$L$330:$L$772,$M$5)&gt;0,
        VLOOKUP(CONCATENATE($K17,"|",BL$11,"|",$M$5),IuranSYSebelumnya!$I$330:$N$772,5,FALSE),
        IF(COUNTIFS(IuranSYSebelumnya!$J$330:$J$772,$K17,IuranSYSebelumnya!$M$330:$M$772,BL$11,IuranSYSebelumnya!$L$330:$L$772,"&lt;&gt;"&amp;$M$5)&gt;0,
              "Iuran dari Lingkungan lain",
              ""))</t>
  </si>
  <si>
    <t>=IF(COUNTIFS(IuranSYSebelumnya!$J$330:$J$772,$K18,IuranSYSebelumnya!$M$330:$M$772,AO$11,IuranSYSebelumnya!$L$330:$L$772,$M$5)&gt;0,
        VLOOKUP(CONCATENATE($K18,"|",AO$11,"|",$M$5),IuranSYSebelumnya!$I$330:$N$772,5,FALSE),
        IF(COUNTIFS(IuranSYSebelumnya!$J$330:$J$772,$K18,IuranSYSebelumnya!$M$330:$M$772,AO$11,IuranSYSebelumnya!$L$330:$L$772,"&lt;&gt;"&amp;$M$5)&gt;0,
              "Iuran dari Lingkungan lain",
              ""))</t>
  </si>
  <si>
    <t>=IF(COUNTIFS(IuranSYSebelumnya!$J$330:$J$772,$K18,IuranSYSebelumnya!$M$330:$M$772,AP$11,IuranSYSebelumnya!$L$330:$L$772,$M$5)&gt;0,
        VLOOKUP(CONCATENATE($K18,"|",AP$11,"|",$M$5),IuranSYSebelumnya!$I$330:$N$772,5,FALSE),
        IF(COUNTIFS(IuranSYSebelumnya!$J$330:$J$772,$K18,IuranSYSebelumnya!$M$330:$M$772,AP$11,IuranSYSebelumnya!$L$330:$L$772,"&lt;&gt;"&amp;$M$5)&gt;0,
              "Iuran dari Lingkungan lain",
              ""))</t>
  </si>
  <si>
    <t>=IF(COUNTIFS(IuranSYSebelumnya!$J$330:$J$772,$K18,IuranSYSebelumnya!$M$330:$M$772,AQ$11,IuranSYSebelumnya!$L$330:$L$772,$M$5)&gt;0,
        VLOOKUP(CONCATENATE($K18,"|",AQ$11,"|",$M$5),IuranSYSebelumnya!$I$330:$N$772,5,FALSE),
        IF(COUNTIFS(IuranSYSebelumnya!$J$330:$J$772,$K18,IuranSYSebelumnya!$M$330:$M$772,AQ$11,IuranSYSebelumnya!$L$330:$L$772,"&lt;&gt;"&amp;$M$5)&gt;0,
              "Iuran dari Lingkungan lain",
              ""))</t>
  </si>
  <si>
    <t>=IF(COUNTIFS(IuranSYSebelumnya!$J$330:$J$772,$K18,IuranSYSebelumnya!$M$330:$M$772,AR$11,IuranSYSebelumnya!$L$330:$L$772,$M$5)&gt;0,
        VLOOKUP(CONCATENATE($K18,"|",AR$11,"|",$M$5),IuranSYSebelumnya!$I$330:$N$772,5,FALSE),
        IF(COUNTIFS(IuranSYSebelumnya!$J$330:$J$772,$K18,IuranSYSebelumnya!$M$330:$M$772,AR$11,IuranSYSebelumnya!$L$330:$L$772,"&lt;&gt;"&amp;$M$5)&gt;0,
              "Iuran dari Lingkungan lain",
              ""))</t>
  </si>
  <si>
    <t>=IF(COUNTIFS(IuranSYSebelumnya!$J$330:$J$772,$K18,IuranSYSebelumnya!$M$330:$M$772,AS$11,IuranSYSebelumnya!$L$330:$L$772,$M$5)&gt;0,
        VLOOKUP(CONCATENATE($K18,"|",AS$11,"|",$M$5),IuranSYSebelumnya!$I$330:$N$772,5,FALSE),
        IF(COUNTIFS(IuranSYSebelumnya!$J$330:$J$772,$K18,IuranSYSebelumnya!$M$330:$M$772,AS$11,IuranSYSebelumnya!$L$330:$L$772,"&lt;&gt;"&amp;$M$5)&gt;0,
              "Iuran dari Lingkungan lain",
              ""))</t>
  </si>
  <si>
    <t>=IF(COUNTIFS(IuranSYSebelumnya!$J$330:$J$772,$K18,IuranSYSebelumnya!$M$330:$M$772,AT$11,IuranSYSebelumnya!$L$330:$L$772,$M$5)&gt;0,
        VLOOKUP(CONCATENATE($K18,"|",AT$11,"|",$M$5),IuranSYSebelumnya!$I$330:$N$772,5,FALSE),
        IF(COUNTIFS(IuranSYSebelumnya!$J$330:$J$772,$K18,IuranSYSebelumnya!$M$330:$M$772,AT$11,IuranSYSebelumnya!$L$330:$L$772,"&lt;&gt;"&amp;$M$5)&gt;0,
              "Iuran dari Lingkungan lain",
              ""))</t>
  </si>
  <si>
    <t>=IF(COUNTIFS(IuranSYSebelumnya!$J$330:$J$772,$K18,IuranSYSebelumnya!$M$330:$M$772,AU$11,IuranSYSebelumnya!$L$330:$L$772,$M$5)&gt;0,
        VLOOKUP(CONCATENATE($K18,"|",AU$11,"|",$M$5),IuranSYSebelumnya!$I$330:$N$772,5,FALSE),
        IF(COUNTIFS(IuranSYSebelumnya!$J$330:$J$772,$K18,IuranSYSebelumnya!$M$330:$M$772,AU$11,IuranSYSebelumnya!$L$330:$L$772,"&lt;&gt;"&amp;$M$5)&gt;0,
              "Iuran dari Lingkungan lain",
              ""))</t>
  </si>
  <si>
    <t>=IF(COUNTIFS(IuranSYSebelumnya!$J$330:$J$772,$K18,IuranSYSebelumnya!$M$330:$M$772,AV$11,IuranSYSebelumnya!$L$330:$L$772,$M$5)&gt;0,
        VLOOKUP(CONCATENATE($K18,"|",AV$11,"|",$M$5),IuranSYSebelumnya!$I$330:$N$772,5,FALSE),
        IF(COUNTIFS(IuranSYSebelumnya!$J$330:$J$772,$K18,IuranSYSebelumnya!$M$330:$M$772,AV$11,IuranSYSebelumnya!$L$330:$L$772,"&lt;&gt;"&amp;$M$5)&gt;0,
              "Iuran dari Lingkungan lain",
              ""))</t>
  </si>
  <si>
    <t>=IF(COUNTIFS(IuranSYSebelumnya!$J$330:$J$772,$K18,IuranSYSebelumnya!$M$330:$M$772,AW$11,IuranSYSebelumnya!$L$330:$L$772,$M$5)&gt;0,
        VLOOKUP(CONCATENATE($K18,"|",AW$11,"|",$M$5),IuranSYSebelumnya!$I$330:$N$772,5,FALSE),
        IF(COUNTIFS(IuranSYSebelumnya!$J$330:$J$772,$K18,IuranSYSebelumnya!$M$330:$M$772,AW$11,IuranSYSebelumnya!$L$330:$L$772,"&lt;&gt;"&amp;$M$5)&gt;0,
              "Iuran dari Lingkungan lain",
              ""))</t>
  </si>
  <si>
    <t>=IF(COUNTIFS(IuranSYSebelumnya!$J$330:$J$772,$K18,IuranSYSebelumnya!$M$330:$M$772,AX$11,IuranSYSebelumnya!$L$330:$L$772,$M$5)&gt;0,
        VLOOKUP(CONCATENATE($K18,"|",AX$11,"|",$M$5),IuranSYSebelumnya!$I$330:$N$772,5,FALSE),
        IF(COUNTIFS(IuranSYSebelumnya!$J$330:$J$772,$K18,IuranSYSebelumnya!$M$330:$M$772,AX$11,IuranSYSebelumnya!$L$330:$L$772,"&lt;&gt;"&amp;$M$5)&gt;0,
              "Iuran dari Lingkungan lain",
              ""))</t>
  </si>
  <si>
    <t>=IF(COUNTIFS(IuranSYSebelumnya!$J$330:$J$772,$K18,IuranSYSebelumnya!$M$330:$M$772,AY$11,IuranSYSebelumnya!$L$330:$L$772,$M$5)&gt;0,
        VLOOKUP(CONCATENATE($K18,"|",AY$11,"|",$M$5),IuranSYSebelumnya!$I$330:$N$772,5,FALSE),
        IF(COUNTIFS(IuranSYSebelumnya!$J$330:$J$772,$K18,IuranSYSebelumnya!$M$330:$M$772,AY$11,IuranSYSebelumnya!$L$330:$L$772,"&lt;&gt;"&amp;$M$5)&gt;0,
              "Iuran dari Lingkungan lain",
              ""))</t>
  </si>
  <si>
    <t>=IF(COUNTIFS(IuranSYSebelumnya!$J$330:$J$772,$K18,IuranSYSebelumnya!$M$330:$M$772,AZ$11,IuranSYSebelumnya!$L$330:$L$772,$M$5)&gt;0,
        VLOOKUP(CONCATENATE($K18,"|",AZ$11,"|",$M$5),IuranSYSebelumnya!$I$330:$N$772,5,FALSE),
        IF(COUNTIFS(IuranSYSebelumnya!$J$330:$J$772,$K18,IuranSYSebelumnya!$M$330:$M$772,AZ$11,IuranSYSebelumnya!$L$330:$L$772,"&lt;&gt;"&amp;$M$5)&gt;0,
              "Iuran dari Lingkungan lain",
              ""))</t>
  </si>
  <si>
    <t>=IF(COUNTIFS(IuranSYSebelumnya!$J$330:$J$772,$K18,IuranSYSebelumnya!$M$330:$M$772,BA$11,IuranSYSebelumnya!$L$330:$L$772,$M$5)&gt;0,
        VLOOKUP(CONCATENATE($K18,"|",BA$11,"|",$M$5),IuranSYSebelumnya!$I$330:$N$772,5,FALSE),
        IF(COUNTIFS(IuranSYSebelumnya!$J$330:$J$772,$K18,IuranSYSebelumnya!$M$330:$M$772,BA$11,IuranSYSebelumnya!$L$330:$L$772,"&lt;&gt;"&amp;$M$5)&gt;0,
              "Iuran dari Lingkungan lain",
              ""))</t>
  </si>
  <si>
    <t>=IF(COUNTIFS(IuranSYSebelumnya!$J$330:$J$772,$K18,IuranSYSebelumnya!$M$330:$M$772,BB$11,IuranSYSebelumnya!$L$330:$L$772,$M$5)&gt;0,
        VLOOKUP(CONCATENATE($K18,"|",BB$11,"|",$M$5),IuranSYSebelumnya!$I$330:$N$772,5,FALSE),
        IF(COUNTIFS(IuranSYSebelumnya!$J$330:$J$772,$K18,IuranSYSebelumnya!$M$330:$M$772,BB$11,IuranSYSebelumnya!$L$330:$L$772,"&lt;&gt;"&amp;$M$5)&gt;0,
              "Iuran dari Lingkungan lain",
              ""))</t>
  </si>
  <si>
    <t>=IF(COUNTIFS(IuranSYSebelumnya!$J$330:$J$772,$K18,IuranSYSebelumnya!$M$330:$M$772,BC$11,IuranSYSebelumnya!$L$330:$L$772,$M$5)&gt;0,
        VLOOKUP(CONCATENATE($K18,"|",BC$11,"|",$M$5),IuranSYSebelumnya!$I$330:$N$772,5,FALSE),
        IF(COUNTIFS(IuranSYSebelumnya!$J$330:$J$772,$K18,IuranSYSebelumnya!$M$330:$M$772,BC$11,IuranSYSebelumnya!$L$330:$L$772,"&lt;&gt;"&amp;$M$5)&gt;0,
              "Iuran dari Lingkungan lain",
              ""))</t>
  </si>
  <si>
    <t>=IF(COUNTIFS(IuranSYSebelumnya!$J$330:$J$772,$K18,IuranSYSebelumnya!$M$330:$M$772,BD$11,IuranSYSebelumnya!$L$330:$L$772,$M$5)&gt;0,
        VLOOKUP(CONCATENATE($K18,"|",BD$11,"|",$M$5),IuranSYSebelumnya!$I$330:$N$772,5,FALSE),
        IF(COUNTIFS(IuranSYSebelumnya!$J$330:$J$772,$K18,IuranSYSebelumnya!$M$330:$M$772,BD$11,IuranSYSebelumnya!$L$330:$L$772,"&lt;&gt;"&amp;$M$5)&gt;0,
              "Iuran dari Lingkungan lain",
              ""))</t>
  </si>
  <si>
    <t>=IF(COUNTIFS(IuranSYSebelumnya!$J$330:$J$772,$K18,IuranSYSebelumnya!$M$330:$M$772,BE$11,IuranSYSebelumnya!$L$330:$L$772,$M$5)&gt;0,
        VLOOKUP(CONCATENATE($K18,"|",BE$11,"|",$M$5),IuranSYSebelumnya!$I$330:$N$772,5,FALSE),
        IF(COUNTIFS(IuranSYSebelumnya!$J$330:$J$772,$K18,IuranSYSebelumnya!$M$330:$M$772,BE$11,IuranSYSebelumnya!$L$330:$L$772,"&lt;&gt;"&amp;$M$5)&gt;0,
              "Iuran dari Lingkungan lain",
              ""))</t>
  </si>
  <si>
    <t>=IF(COUNTIFS(IuranSYSebelumnya!$J$330:$J$772,$K18,IuranSYSebelumnya!$M$330:$M$772,BF$11,IuranSYSebelumnya!$L$330:$L$772,$M$5)&gt;0,
        VLOOKUP(CONCATENATE($K18,"|",BF$11,"|",$M$5),IuranSYSebelumnya!$I$330:$N$772,5,FALSE),
        IF(COUNTIFS(IuranSYSebelumnya!$J$330:$J$772,$K18,IuranSYSebelumnya!$M$330:$M$772,BF$11,IuranSYSebelumnya!$L$330:$L$772,"&lt;&gt;"&amp;$M$5)&gt;0,
              "Iuran dari Lingkungan lain",
              ""))</t>
  </si>
  <si>
    <t>=IF(COUNTIFS(IuranSYSebelumnya!$J$330:$J$772,$K18,IuranSYSebelumnya!$M$330:$M$772,BG$11,IuranSYSebelumnya!$L$330:$L$772,$M$5)&gt;0,
        VLOOKUP(CONCATENATE($K18,"|",BG$11,"|",$M$5),IuranSYSebelumnya!$I$330:$N$772,5,FALSE),
        IF(COUNTIFS(IuranSYSebelumnya!$J$330:$J$772,$K18,IuranSYSebelumnya!$M$330:$M$772,BG$11,IuranSYSebelumnya!$L$330:$L$772,"&lt;&gt;"&amp;$M$5)&gt;0,
              "Iuran dari Lingkungan lain",
              ""))</t>
  </si>
  <si>
    <t>=IF(COUNTIFS(IuranSYSebelumnya!$J$330:$J$772,$K18,IuranSYSebelumnya!$M$330:$M$772,BH$11,IuranSYSebelumnya!$L$330:$L$772,$M$5)&gt;0,
        VLOOKUP(CONCATENATE($K18,"|",BH$11,"|",$M$5),IuranSYSebelumnya!$I$330:$N$772,5,FALSE),
        IF(COUNTIFS(IuranSYSebelumnya!$J$330:$J$772,$K18,IuranSYSebelumnya!$M$330:$M$772,BH$11,IuranSYSebelumnya!$L$330:$L$772,"&lt;&gt;"&amp;$M$5)&gt;0,
              "Iuran dari Lingkungan lain",
              ""))</t>
  </si>
  <si>
    <t>=IF(COUNTIFS(IuranSYSebelumnya!$J$330:$J$772,$K18,IuranSYSebelumnya!$M$330:$M$772,BI$11,IuranSYSebelumnya!$L$330:$L$772,$M$5)&gt;0,
        VLOOKUP(CONCATENATE($K18,"|",BI$11,"|",$M$5),IuranSYSebelumnya!$I$330:$N$772,5,FALSE),
        IF(COUNTIFS(IuranSYSebelumnya!$J$330:$J$772,$K18,IuranSYSebelumnya!$M$330:$M$772,BI$11,IuranSYSebelumnya!$L$330:$L$772,"&lt;&gt;"&amp;$M$5)&gt;0,
              "Iuran dari Lingkungan lain",
              ""))</t>
  </si>
  <si>
    <t>=IF(COUNTIFS(IuranSYSebelumnya!$J$330:$J$772,$K18,IuranSYSebelumnya!$M$330:$M$772,BJ$11,IuranSYSebelumnya!$L$330:$L$772,$M$5)&gt;0,
        VLOOKUP(CONCATENATE($K18,"|",BJ$11,"|",$M$5),IuranSYSebelumnya!$I$330:$N$772,5,FALSE),
        IF(COUNTIFS(IuranSYSebelumnya!$J$330:$J$772,$K18,IuranSYSebelumnya!$M$330:$M$772,BJ$11,IuranSYSebelumnya!$L$330:$L$772,"&lt;&gt;"&amp;$M$5)&gt;0,
              "Iuran dari Lingkungan lain",
              ""))</t>
  </si>
  <si>
    <t>=IF(COUNTIFS(IuranSYSebelumnya!$J$330:$J$772,$K18,IuranSYSebelumnya!$M$330:$M$772,BK$11,IuranSYSebelumnya!$L$330:$L$772,$M$5)&gt;0,
        VLOOKUP(CONCATENATE($K18,"|",BK$11,"|",$M$5),IuranSYSebelumnya!$I$330:$N$772,5,FALSE),
        IF(COUNTIFS(IuranSYSebelumnya!$J$330:$J$772,$K18,IuranSYSebelumnya!$M$330:$M$772,BK$11,IuranSYSebelumnya!$L$330:$L$772,"&lt;&gt;"&amp;$M$5)&gt;0,
              "Iuran dari Lingkungan lain",
              ""))</t>
  </si>
  <si>
    <t>=IF(COUNTIFS(IuranSYSebelumnya!$J$330:$J$772,$K18,IuranSYSebelumnya!$M$330:$M$772,BL$11,IuranSYSebelumnya!$L$330:$L$772,$M$5)&gt;0,
        VLOOKUP(CONCATENATE($K18,"|",BL$11,"|",$M$5),IuranSYSebelumnya!$I$330:$N$772,5,FALSE),
        IF(COUNTIFS(IuranSYSebelumnya!$J$330:$J$772,$K18,IuranSYSebelumnya!$M$330:$M$772,BL$11,IuranSYSebelumnya!$L$330:$L$772,"&lt;&gt;"&amp;$M$5)&gt;0,
              "Iuran dari Lingkungan lain",
              ""))</t>
  </si>
  <si>
    <t>=IF(COUNTIFS(IuranSYSebelumnya!$J$330:$J$772,$K19,IuranSYSebelumnya!$M$330:$M$772,AO$11,IuranSYSebelumnya!$L$330:$L$772,$M$5)&gt;0,
        VLOOKUP(CONCATENATE($K19,"|",AO$11,"|",$M$5),IuranSYSebelumnya!$I$330:$N$772,5,FALSE),
        IF(COUNTIFS(IuranSYSebelumnya!$J$330:$J$772,$K19,IuranSYSebelumnya!$M$330:$M$772,AO$11,IuranSYSebelumnya!$L$330:$L$772,"&lt;&gt;"&amp;$M$5)&gt;0,
              "Iuran dari Lingkungan lain",
              ""))</t>
  </si>
  <si>
    <t>=IF(COUNTIFS(IuranSYSebelumnya!$J$330:$J$772,$K19,IuranSYSebelumnya!$M$330:$M$772,AP$11,IuranSYSebelumnya!$L$330:$L$772,$M$5)&gt;0,
        VLOOKUP(CONCATENATE($K19,"|",AP$11,"|",$M$5),IuranSYSebelumnya!$I$330:$N$772,5,FALSE),
        IF(COUNTIFS(IuranSYSebelumnya!$J$330:$J$772,$K19,IuranSYSebelumnya!$M$330:$M$772,AP$11,IuranSYSebelumnya!$L$330:$L$772,"&lt;&gt;"&amp;$M$5)&gt;0,
              "Iuran dari Lingkungan lain",
              ""))</t>
  </si>
  <si>
    <t>=IF(COUNTIFS(IuranSYSebelumnya!$J$330:$J$772,$K19,IuranSYSebelumnya!$M$330:$M$772,AQ$11,IuranSYSebelumnya!$L$330:$L$772,$M$5)&gt;0,
        VLOOKUP(CONCATENATE($K19,"|",AQ$11,"|",$M$5),IuranSYSebelumnya!$I$330:$N$772,5,FALSE),
        IF(COUNTIFS(IuranSYSebelumnya!$J$330:$J$772,$K19,IuranSYSebelumnya!$M$330:$M$772,AQ$11,IuranSYSebelumnya!$L$330:$L$772,"&lt;&gt;"&amp;$M$5)&gt;0,
              "Iuran dari Lingkungan lain",
              ""))</t>
  </si>
  <si>
    <t>=IF(COUNTIFS(IuranSYSebelumnya!$J$330:$J$772,$K19,IuranSYSebelumnya!$M$330:$M$772,AR$11,IuranSYSebelumnya!$L$330:$L$772,$M$5)&gt;0,
        VLOOKUP(CONCATENATE($K19,"|",AR$11,"|",$M$5),IuranSYSebelumnya!$I$330:$N$772,5,FALSE),
        IF(COUNTIFS(IuranSYSebelumnya!$J$330:$J$772,$K19,IuranSYSebelumnya!$M$330:$M$772,AR$11,IuranSYSebelumnya!$L$330:$L$772,"&lt;&gt;"&amp;$M$5)&gt;0,
              "Iuran dari Lingkungan lain",
              ""))</t>
  </si>
  <si>
    <t>=IF(COUNTIFS(IuranSYSebelumnya!$J$330:$J$772,$K19,IuranSYSebelumnya!$M$330:$M$772,AS$11,IuranSYSebelumnya!$L$330:$L$772,$M$5)&gt;0,
        VLOOKUP(CONCATENATE($K19,"|",AS$11,"|",$M$5),IuranSYSebelumnya!$I$330:$N$772,5,FALSE),
        IF(COUNTIFS(IuranSYSebelumnya!$J$330:$J$772,$K19,IuranSYSebelumnya!$M$330:$M$772,AS$11,IuranSYSebelumnya!$L$330:$L$772,"&lt;&gt;"&amp;$M$5)&gt;0,
              "Iuran dari Lingkungan lain",
              ""))</t>
  </si>
  <si>
    <t>=IF(COUNTIFS(IuranSYSebelumnya!$J$330:$J$772,$K19,IuranSYSebelumnya!$M$330:$M$772,AT$11,IuranSYSebelumnya!$L$330:$L$772,$M$5)&gt;0,
        VLOOKUP(CONCATENATE($K19,"|",AT$11,"|",$M$5),IuranSYSebelumnya!$I$330:$N$772,5,FALSE),
        IF(COUNTIFS(IuranSYSebelumnya!$J$330:$J$772,$K19,IuranSYSebelumnya!$M$330:$M$772,AT$11,IuranSYSebelumnya!$L$330:$L$772,"&lt;&gt;"&amp;$M$5)&gt;0,
              "Iuran dari Lingkungan lain",
              ""))</t>
  </si>
  <si>
    <t>=IF(COUNTIFS(IuranSYSebelumnya!$J$330:$J$772,$K19,IuranSYSebelumnya!$M$330:$M$772,AU$11,IuranSYSebelumnya!$L$330:$L$772,$M$5)&gt;0,
        VLOOKUP(CONCATENATE($K19,"|",AU$11,"|",$M$5),IuranSYSebelumnya!$I$330:$N$772,5,FALSE),
        IF(COUNTIFS(IuranSYSebelumnya!$J$330:$J$772,$K19,IuranSYSebelumnya!$M$330:$M$772,AU$11,IuranSYSebelumnya!$L$330:$L$772,"&lt;&gt;"&amp;$M$5)&gt;0,
              "Iuran dari Lingkungan lain",
              ""))</t>
  </si>
  <si>
    <t>=IF(COUNTIFS(IuranSYSebelumnya!$J$330:$J$772,$K19,IuranSYSebelumnya!$M$330:$M$772,AV$11,IuranSYSebelumnya!$L$330:$L$772,$M$5)&gt;0,
        VLOOKUP(CONCATENATE($K19,"|",AV$11,"|",$M$5),IuranSYSebelumnya!$I$330:$N$772,5,FALSE),
        IF(COUNTIFS(IuranSYSebelumnya!$J$330:$J$772,$K19,IuranSYSebelumnya!$M$330:$M$772,AV$11,IuranSYSebelumnya!$L$330:$L$772,"&lt;&gt;"&amp;$M$5)&gt;0,
              "Iuran dari Lingkungan lain",
              ""))</t>
  </si>
  <si>
    <t>=IF(COUNTIFS(IuranSYSebelumnya!$J$330:$J$772,$K19,IuranSYSebelumnya!$M$330:$M$772,AW$11,IuranSYSebelumnya!$L$330:$L$772,$M$5)&gt;0,
        VLOOKUP(CONCATENATE($K19,"|",AW$11,"|",$M$5),IuranSYSebelumnya!$I$330:$N$772,5,FALSE),
        IF(COUNTIFS(IuranSYSebelumnya!$J$330:$J$772,$K19,IuranSYSebelumnya!$M$330:$M$772,AW$11,IuranSYSebelumnya!$L$330:$L$772,"&lt;&gt;"&amp;$M$5)&gt;0,
              "Iuran dari Lingkungan lain",
              ""))</t>
  </si>
  <si>
    <t>=IF(COUNTIFS(IuranSYSebelumnya!$J$330:$J$772,$K19,IuranSYSebelumnya!$M$330:$M$772,AX$11,IuranSYSebelumnya!$L$330:$L$772,$M$5)&gt;0,
        VLOOKUP(CONCATENATE($K19,"|",AX$11,"|",$M$5),IuranSYSebelumnya!$I$330:$N$772,5,FALSE),
        IF(COUNTIFS(IuranSYSebelumnya!$J$330:$J$772,$K19,IuranSYSebelumnya!$M$330:$M$772,AX$11,IuranSYSebelumnya!$L$330:$L$772,"&lt;&gt;"&amp;$M$5)&gt;0,
              "Iuran dari Lingkungan lain",
              ""))</t>
  </si>
  <si>
    <t>=IF(COUNTIFS(IuranSYSebelumnya!$J$330:$J$772,$K19,IuranSYSebelumnya!$M$330:$M$772,AY$11,IuranSYSebelumnya!$L$330:$L$772,$M$5)&gt;0,
        VLOOKUP(CONCATENATE($K19,"|",AY$11,"|",$M$5),IuranSYSebelumnya!$I$330:$N$772,5,FALSE),
        IF(COUNTIFS(IuranSYSebelumnya!$J$330:$J$772,$K19,IuranSYSebelumnya!$M$330:$M$772,AY$11,IuranSYSebelumnya!$L$330:$L$772,"&lt;&gt;"&amp;$M$5)&gt;0,
              "Iuran dari Lingkungan lain",
              ""))</t>
  </si>
  <si>
    <t>=IF(COUNTIFS(IuranSYSebelumnya!$J$330:$J$772,$K19,IuranSYSebelumnya!$M$330:$M$772,AZ$11,IuranSYSebelumnya!$L$330:$L$772,$M$5)&gt;0,
        VLOOKUP(CONCATENATE($K19,"|",AZ$11,"|",$M$5),IuranSYSebelumnya!$I$330:$N$772,5,FALSE),
        IF(COUNTIFS(IuranSYSebelumnya!$J$330:$J$772,$K19,IuranSYSebelumnya!$M$330:$M$772,AZ$11,IuranSYSebelumnya!$L$330:$L$772,"&lt;&gt;"&amp;$M$5)&gt;0,
              "Iuran dari Lingkungan lain",
              ""))</t>
  </si>
  <si>
    <t>=IF(COUNTIFS(IuranSYSebelumnya!$J$330:$J$772,$K19,IuranSYSebelumnya!$M$330:$M$772,BA$11,IuranSYSebelumnya!$L$330:$L$772,$M$5)&gt;0,
        VLOOKUP(CONCATENATE($K19,"|",BA$11,"|",$M$5),IuranSYSebelumnya!$I$330:$N$772,5,FALSE),
        IF(COUNTIFS(IuranSYSebelumnya!$J$330:$J$772,$K19,IuranSYSebelumnya!$M$330:$M$772,BA$11,IuranSYSebelumnya!$L$330:$L$772,"&lt;&gt;"&amp;$M$5)&gt;0,
              "Iuran dari Lingkungan lain",
              ""))</t>
  </si>
  <si>
    <t>=IF(COUNTIFS(IuranSYSebelumnya!$J$330:$J$772,$K19,IuranSYSebelumnya!$M$330:$M$772,BB$11,IuranSYSebelumnya!$L$330:$L$772,$M$5)&gt;0,
        VLOOKUP(CONCATENATE($K19,"|",BB$11,"|",$M$5),IuranSYSebelumnya!$I$330:$N$772,5,FALSE),
        IF(COUNTIFS(IuranSYSebelumnya!$J$330:$J$772,$K19,IuranSYSebelumnya!$M$330:$M$772,BB$11,IuranSYSebelumnya!$L$330:$L$772,"&lt;&gt;"&amp;$M$5)&gt;0,
              "Iuran dari Lingkungan lain",
              ""))</t>
  </si>
  <si>
    <t>=IF(COUNTIFS(IuranSYSebelumnya!$J$330:$J$772,$K19,IuranSYSebelumnya!$M$330:$M$772,BC$11,IuranSYSebelumnya!$L$330:$L$772,$M$5)&gt;0,
        VLOOKUP(CONCATENATE($K19,"|",BC$11,"|",$M$5),IuranSYSebelumnya!$I$330:$N$772,5,FALSE),
        IF(COUNTIFS(IuranSYSebelumnya!$J$330:$J$772,$K19,IuranSYSebelumnya!$M$330:$M$772,BC$11,IuranSYSebelumnya!$L$330:$L$772,"&lt;&gt;"&amp;$M$5)&gt;0,
              "Iuran dari Lingkungan lain",
              ""))</t>
  </si>
  <si>
    <t>=IF(COUNTIFS(IuranSYSebelumnya!$J$330:$J$772,$K19,IuranSYSebelumnya!$M$330:$M$772,BD$11,IuranSYSebelumnya!$L$330:$L$772,$M$5)&gt;0,
        VLOOKUP(CONCATENATE($K19,"|",BD$11,"|",$M$5),IuranSYSebelumnya!$I$330:$N$772,5,FALSE),
        IF(COUNTIFS(IuranSYSebelumnya!$J$330:$J$772,$K19,IuranSYSebelumnya!$M$330:$M$772,BD$11,IuranSYSebelumnya!$L$330:$L$772,"&lt;&gt;"&amp;$M$5)&gt;0,
              "Iuran dari Lingkungan lain",
              ""))</t>
  </si>
  <si>
    <t>=IF(COUNTIFS(IuranSYSebelumnya!$J$330:$J$772,$K19,IuranSYSebelumnya!$M$330:$M$772,BE$11,IuranSYSebelumnya!$L$330:$L$772,$M$5)&gt;0,
        VLOOKUP(CONCATENATE($K19,"|",BE$11,"|",$M$5),IuranSYSebelumnya!$I$330:$N$772,5,FALSE),
        IF(COUNTIFS(IuranSYSebelumnya!$J$330:$J$772,$K19,IuranSYSebelumnya!$M$330:$M$772,BE$11,IuranSYSebelumnya!$L$330:$L$772,"&lt;&gt;"&amp;$M$5)&gt;0,
              "Iuran dari Lingkungan lain",
              ""))</t>
  </si>
  <si>
    <t>=IF(COUNTIFS(IuranSYSebelumnya!$J$330:$J$772,$K19,IuranSYSebelumnya!$M$330:$M$772,BF$11,IuranSYSebelumnya!$L$330:$L$772,$M$5)&gt;0,
        VLOOKUP(CONCATENATE($K19,"|",BF$11,"|",$M$5),IuranSYSebelumnya!$I$330:$N$772,5,FALSE),
        IF(COUNTIFS(IuranSYSebelumnya!$J$330:$J$772,$K19,IuranSYSebelumnya!$M$330:$M$772,BF$11,IuranSYSebelumnya!$L$330:$L$772,"&lt;&gt;"&amp;$M$5)&gt;0,
              "Iuran dari Lingkungan lain",
              ""))</t>
  </si>
  <si>
    <t>=IF(COUNTIFS(IuranSYSebelumnya!$J$330:$J$772,$K19,IuranSYSebelumnya!$M$330:$M$772,BG$11,IuranSYSebelumnya!$L$330:$L$772,$M$5)&gt;0,
        VLOOKUP(CONCATENATE($K19,"|",BG$11,"|",$M$5),IuranSYSebelumnya!$I$330:$N$772,5,FALSE),
        IF(COUNTIFS(IuranSYSebelumnya!$J$330:$J$772,$K19,IuranSYSebelumnya!$M$330:$M$772,BG$11,IuranSYSebelumnya!$L$330:$L$772,"&lt;&gt;"&amp;$M$5)&gt;0,
              "Iuran dari Lingkungan lain",
              ""))</t>
  </si>
  <si>
    <t>=IF(COUNTIFS(IuranSYSebelumnya!$J$330:$J$772,$K19,IuranSYSebelumnya!$M$330:$M$772,BH$11,IuranSYSebelumnya!$L$330:$L$772,$M$5)&gt;0,
        VLOOKUP(CONCATENATE($K19,"|",BH$11,"|",$M$5),IuranSYSebelumnya!$I$330:$N$772,5,FALSE),
        IF(COUNTIFS(IuranSYSebelumnya!$J$330:$J$772,$K19,IuranSYSebelumnya!$M$330:$M$772,BH$11,IuranSYSebelumnya!$L$330:$L$772,"&lt;&gt;"&amp;$M$5)&gt;0,
              "Iuran dari Lingkungan lain",
              ""))</t>
  </si>
  <si>
    <t>=IF(COUNTIFS(IuranSYSebelumnya!$J$330:$J$772,$K19,IuranSYSebelumnya!$M$330:$M$772,BI$11,IuranSYSebelumnya!$L$330:$L$772,$M$5)&gt;0,
        VLOOKUP(CONCATENATE($K19,"|",BI$11,"|",$M$5),IuranSYSebelumnya!$I$330:$N$772,5,FALSE),
        IF(COUNTIFS(IuranSYSebelumnya!$J$330:$J$772,$K19,IuranSYSebelumnya!$M$330:$M$772,BI$11,IuranSYSebelumnya!$L$330:$L$772,"&lt;&gt;"&amp;$M$5)&gt;0,
              "Iuran dari Lingkungan lain",
              ""))</t>
  </si>
  <si>
    <t>=IF(COUNTIFS(IuranSYSebelumnya!$J$330:$J$772,$K19,IuranSYSebelumnya!$M$330:$M$772,BJ$11,IuranSYSebelumnya!$L$330:$L$772,$M$5)&gt;0,
        VLOOKUP(CONCATENATE($K19,"|",BJ$11,"|",$M$5),IuranSYSebelumnya!$I$330:$N$772,5,FALSE),
        IF(COUNTIFS(IuranSYSebelumnya!$J$330:$J$772,$K19,IuranSYSebelumnya!$M$330:$M$772,BJ$11,IuranSYSebelumnya!$L$330:$L$772,"&lt;&gt;"&amp;$M$5)&gt;0,
              "Iuran dari Lingkungan lain",
              ""))</t>
  </si>
  <si>
    <t>=IF(COUNTIFS(IuranSYSebelumnya!$J$330:$J$772,$K19,IuranSYSebelumnya!$M$330:$M$772,BK$11,IuranSYSebelumnya!$L$330:$L$772,$M$5)&gt;0,
        VLOOKUP(CONCATENATE($K19,"|",BK$11,"|",$M$5),IuranSYSebelumnya!$I$330:$N$772,5,FALSE),
        IF(COUNTIFS(IuranSYSebelumnya!$J$330:$J$772,$K19,IuranSYSebelumnya!$M$330:$M$772,BK$11,IuranSYSebelumnya!$L$330:$L$772,"&lt;&gt;"&amp;$M$5)&gt;0,
              "Iuran dari Lingkungan lain",
              ""))</t>
  </si>
  <si>
    <t>=IF(COUNTIFS(IuranSYSebelumnya!$J$330:$J$772,$K19,IuranSYSebelumnya!$M$330:$M$772,BL$11,IuranSYSebelumnya!$L$330:$L$772,$M$5)&gt;0,
        VLOOKUP(CONCATENATE($K19,"|",BL$11,"|",$M$5),IuranSYSebelumnya!$I$330:$N$772,5,FALSE),
        IF(COUNTIFS(IuranSYSebelumnya!$J$330:$J$772,$K19,IuranSYSebelumnya!$M$330:$M$772,BL$11,IuranSYSebelumnya!$L$330:$L$772,"&lt;&gt;"&amp;$M$5)&gt;0,
              "Iuran dari Lingkungan lain",
              ""))</t>
  </si>
  <si>
    <t>=IF(COUNTIFS(IuranSYSebelumnya!$J$330:$J$772,$K20,IuranSYSebelumnya!$M$330:$M$772,AO$11,IuranSYSebelumnya!$L$330:$L$772,$M$5)&gt;0,
        VLOOKUP(CONCATENATE($K20,"|",AO$11,"|",$M$5),IuranSYSebelumnya!$I$330:$N$772,5,FALSE),
        IF(COUNTIFS(IuranSYSebelumnya!$J$330:$J$772,$K20,IuranSYSebelumnya!$M$330:$M$772,AO$11,IuranSYSebelumnya!$L$330:$L$772,"&lt;&gt;"&amp;$M$5)&gt;0,
              "Iuran dari Lingkungan lain",
              ""))</t>
  </si>
  <si>
    <t>=IF(COUNTIFS(IuranSYSebelumnya!$J$330:$J$772,$K20,IuranSYSebelumnya!$M$330:$M$772,AP$11,IuranSYSebelumnya!$L$330:$L$772,$M$5)&gt;0,
        VLOOKUP(CONCATENATE($K20,"|",AP$11,"|",$M$5),IuranSYSebelumnya!$I$330:$N$772,5,FALSE),
        IF(COUNTIFS(IuranSYSebelumnya!$J$330:$J$772,$K20,IuranSYSebelumnya!$M$330:$M$772,AP$11,IuranSYSebelumnya!$L$330:$L$772,"&lt;&gt;"&amp;$M$5)&gt;0,
              "Iuran dari Lingkungan lain",
              ""))</t>
  </si>
  <si>
    <t>=IF(COUNTIFS(IuranSYSebelumnya!$J$330:$J$772,$K20,IuranSYSebelumnya!$M$330:$M$772,AQ$11,IuranSYSebelumnya!$L$330:$L$772,$M$5)&gt;0,
        VLOOKUP(CONCATENATE($K20,"|",AQ$11,"|",$M$5),IuranSYSebelumnya!$I$330:$N$772,5,FALSE),
        IF(COUNTIFS(IuranSYSebelumnya!$J$330:$J$772,$K20,IuranSYSebelumnya!$M$330:$M$772,AQ$11,IuranSYSebelumnya!$L$330:$L$772,"&lt;&gt;"&amp;$M$5)&gt;0,
              "Iuran dari Lingkungan lain",
              ""))</t>
  </si>
  <si>
    <t>=IF(COUNTIFS(IuranSYSebelumnya!$J$330:$J$772,$K20,IuranSYSebelumnya!$M$330:$M$772,AR$11,IuranSYSebelumnya!$L$330:$L$772,$M$5)&gt;0,
        VLOOKUP(CONCATENATE($K20,"|",AR$11,"|",$M$5),IuranSYSebelumnya!$I$330:$N$772,5,FALSE),
        IF(COUNTIFS(IuranSYSebelumnya!$J$330:$J$772,$K20,IuranSYSebelumnya!$M$330:$M$772,AR$11,IuranSYSebelumnya!$L$330:$L$772,"&lt;&gt;"&amp;$M$5)&gt;0,
              "Iuran dari Lingkungan lain",
              ""))</t>
  </si>
  <si>
    <t>=IF(COUNTIFS(IuranSYSebelumnya!$J$330:$J$772,$K20,IuranSYSebelumnya!$M$330:$M$772,AS$11,IuranSYSebelumnya!$L$330:$L$772,$M$5)&gt;0,
        VLOOKUP(CONCATENATE($K20,"|",AS$11,"|",$M$5),IuranSYSebelumnya!$I$330:$N$772,5,FALSE),
        IF(COUNTIFS(IuranSYSebelumnya!$J$330:$J$772,$K20,IuranSYSebelumnya!$M$330:$M$772,AS$11,IuranSYSebelumnya!$L$330:$L$772,"&lt;&gt;"&amp;$M$5)&gt;0,
              "Iuran dari Lingkungan lain",
              ""))</t>
  </si>
  <si>
    <t>=IF(COUNTIFS(IuranSYSebelumnya!$J$330:$J$772,$K20,IuranSYSebelumnya!$M$330:$M$772,AT$11,IuranSYSebelumnya!$L$330:$L$772,$M$5)&gt;0,
        VLOOKUP(CONCATENATE($K20,"|",AT$11,"|",$M$5),IuranSYSebelumnya!$I$330:$N$772,5,FALSE),
        IF(COUNTIFS(IuranSYSebelumnya!$J$330:$J$772,$K20,IuranSYSebelumnya!$M$330:$M$772,AT$11,IuranSYSebelumnya!$L$330:$L$772,"&lt;&gt;"&amp;$M$5)&gt;0,
              "Iuran dari Lingkungan lain",
              ""))</t>
  </si>
  <si>
    <t>=IF(COUNTIFS(IuranSYSebelumnya!$J$330:$J$772,$K20,IuranSYSebelumnya!$M$330:$M$772,AU$11,IuranSYSebelumnya!$L$330:$L$772,$M$5)&gt;0,
        VLOOKUP(CONCATENATE($K20,"|",AU$11,"|",$M$5),IuranSYSebelumnya!$I$330:$N$772,5,FALSE),
        IF(COUNTIFS(IuranSYSebelumnya!$J$330:$J$772,$K20,IuranSYSebelumnya!$M$330:$M$772,AU$11,IuranSYSebelumnya!$L$330:$L$772,"&lt;&gt;"&amp;$M$5)&gt;0,
              "Iuran dari Lingkungan lain",
              ""))</t>
  </si>
  <si>
    <t>=IF(COUNTIFS(IuranSYSebelumnya!$J$330:$J$772,$K20,IuranSYSebelumnya!$M$330:$M$772,AV$11,IuranSYSebelumnya!$L$330:$L$772,$M$5)&gt;0,
        VLOOKUP(CONCATENATE($K20,"|",AV$11,"|",$M$5),IuranSYSebelumnya!$I$330:$N$772,5,FALSE),
        IF(COUNTIFS(IuranSYSebelumnya!$J$330:$J$772,$K20,IuranSYSebelumnya!$M$330:$M$772,AV$11,IuranSYSebelumnya!$L$330:$L$772,"&lt;&gt;"&amp;$M$5)&gt;0,
              "Iuran dari Lingkungan lain",
              ""))</t>
  </si>
  <si>
    <t>=IF(COUNTIFS(IuranSYSebelumnya!$J$330:$J$772,$K20,IuranSYSebelumnya!$M$330:$M$772,AW$11,IuranSYSebelumnya!$L$330:$L$772,$M$5)&gt;0,
        VLOOKUP(CONCATENATE($K20,"|",AW$11,"|",$M$5),IuranSYSebelumnya!$I$330:$N$772,5,FALSE),
        IF(COUNTIFS(IuranSYSebelumnya!$J$330:$J$772,$K20,IuranSYSebelumnya!$M$330:$M$772,AW$11,IuranSYSebelumnya!$L$330:$L$772,"&lt;&gt;"&amp;$M$5)&gt;0,
              "Iuran dari Lingkungan lain",
              ""))</t>
  </si>
  <si>
    <t>=IF(COUNTIFS(IuranSYSebelumnya!$J$330:$J$772,$K20,IuranSYSebelumnya!$M$330:$M$772,AX$11,IuranSYSebelumnya!$L$330:$L$772,$M$5)&gt;0,
        VLOOKUP(CONCATENATE($K20,"|",AX$11,"|",$M$5),IuranSYSebelumnya!$I$330:$N$772,5,FALSE),
        IF(COUNTIFS(IuranSYSebelumnya!$J$330:$J$772,$K20,IuranSYSebelumnya!$M$330:$M$772,AX$11,IuranSYSebelumnya!$L$330:$L$772,"&lt;&gt;"&amp;$M$5)&gt;0,
              "Iuran dari Lingkungan lain",
              ""))</t>
  </si>
  <si>
    <t>=IF(COUNTIFS(IuranSYSebelumnya!$J$330:$J$772,$K20,IuranSYSebelumnya!$M$330:$M$772,AY$11,IuranSYSebelumnya!$L$330:$L$772,$M$5)&gt;0,
        VLOOKUP(CONCATENATE($K20,"|",AY$11,"|",$M$5),IuranSYSebelumnya!$I$330:$N$772,5,FALSE),
        IF(COUNTIFS(IuranSYSebelumnya!$J$330:$J$772,$K20,IuranSYSebelumnya!$M$330:$M$772,AY$11,IuranSYSebelumnya!$L$330:$L$772,"&lt;&gt;"&amp;$M$5)&gt;0,
              "Iuran dari Lingkungan lain",
              ""))</t>
  </si>
  <si>
    <t>=IF(COUNTIFS(IuranSYSebelumnya!$J$330:$J$772,$K20,IuranSYSebelumnya!$M$330:$M$772,AZ$11,IuranSYSebelumnya!$L$330:$L$772,$M$5)&gt;0,
        VLOOKUP(CONCATENATE($K20,"|",AZ$11,"|",$M$5),IuranSYSebelumnya!$I$330:$N$772,5,FALSE),
        IF(COUNTIFS(IuranSYSebelumnya!$J$330:$J$772,$K20,IuranSYSebelumnya!$M$330:$M$772,AZ$11,IuranSYSebelumnya!$L$330:$L$772,"&lt;&gt;"&amp;$M$5)&gt;0,
              "Iuran dari Lingkungan lain",
              ""))</t>
  </si>
  <si>
    <t>=IF(COUNTIFS(IuranSYSebelumnya!$J$330:$J$772,$K20,IuranSYSebelumnya!$M$330:$M$772,BA$11,IuranSYSebelumnya!$L$330:$L$772,$M$5)&gt;0,
        VLOOKUP(CONCATENATE($K20,"|",BA$11,"|",$M$5),IuranSYSebelumnya!$I$330:$N$772,5,FALSE),
        IF(COUNTIFS(IuranSYSebelumnya!$J$330:$J$772,$K20,IuranSYSebelumnya!$M$330:$M$772,BA$11,IuranSYSebelumnya!$L$330:$L$772,"&lt;&gt;"&amp;$M$5)&gt;0,
              "Iuran dari Lingkungan lain",
              ""))</t>
  </si>
  <si>
    <t>=IF(COUNTIFS(IuranSYSebelumnya!$J$330:$J$772,$K20,IuranSYSebelumnya!$M$330:$M$772,BB$11,IuranSYSebelumnya!$L$330:$L$772,$M$5)&gt;0,
        VLOOKUP(CONCATENATE($K20,"|",BB$11,"|",$M$5),IuranSYSebelumnya!$I$330:$N$772,5,FALSE),
        IF(COUNTIFS(IuranSYSebelumnya!$J$330:$J$772,$K20,IuranSYSebelumnya!$M$330:$M$772,BB$11,IuranSYSebelumnya!$L$330:$L$772,"&lt;&gt;"&amp;$M$5)&gt;0,
              "Iuran dari Lingkungan lain",
              ""))</t>
  </si>
  <si>
    <t>=IF(COUNTIFS(IuranSYSebelumnya!$J$330:$J$772,$K20,IuranSYSebelumnya!$M$330:$M$772,BC$11,IuranSYSebelumnya!$L$330:$L$772,$M$5)&gt;0,
        VLOOKUP(CONCATENATE($K20,"|",BC$11,"|",$M$5),IuranSYSebelumnya!$I$330:$N$772,5,FALSE),
        IF(COUNTIFS(IuranSYSebelumnya!$J$330:$J$772,$K20,IuranSYSebelumnya!$M$330:$M$772,BC$11,IuranSYSebelumnya!$L$330:$L$772,"&lt;&gt;"&amp;$M$5)&gt;0,
              "Iuran dari Lingkungan lain",
              ""))</t>
  </si>
  <si>
    <t>=IF(COUNTIFS(IuranSYSebelumnya!$J$330:$J$772,$K20,IuranSYSebelumnya!$M$330:$M$772,BD$11,IuranSYSebelumnya!$L$330:$L$772,$M$5)&gt;0,
        VLOOKUP(CONCATENATE($K20,"|",BD$11,"|",$M$5),IuranSYSebelumnya!$I$330:$N$772,5,FALSE),
        IF(COUNTIFS(IuranSYSebelumnya!$J$330:$J$772,$K20,IuranSYSebelumnya!$M$330:$M$772,BD$11,IuranSYSebelumnya!$L$330:$L$772,"&lt;&gt;"&amp;$M$5)&gt;0,
              "Iuran dari Lingkungan lain",
              ""))</t>
  </si>
  <si>
    <t>=IF(COUNTIFS(IuranSYSebelumnya!$J$330:$J$772,$K20,IuranSYSebelumnya!$M$330:$M$772,BE$11,IuranSYSebelumnya!$L$330:$L$772,$M$5)&gt;0,
        VLOOKUP(CONCATENATE($K20,"|",BE$11,"|",$M$5),IuranSYSebelumnya!$I$330:$N$772,5,FALSE),
        IF(COUNTIFS(IuranSYSebelumnya!$J$330:$J$772,$K20,IuranSYSebelumnya!$M$330:$M$772,BE$11,IuranSYSebelumnya!$L$330:$L$772,"&lt;&gt;"&amp;$M$5)&gt;0,
              "Iuran dari Lingkungan lain",
              ""))</t>
  </si>
  <si>
    <t>=IF(COUNTIFS(IuranSYSebelumnya!$J$330:$J$772,$K20,IuranSYSebelumnya!$M$330:$M$772,BF$11,IuranSYSebelumnya!$L$330:$L$772,$M$5)&gt;0,
        VLOOKUP(CONCATENATE($K20,"|",BF$11,"|",$M$5),IuranSYSebelumnya!$I$330:$N$772,5,FALSE),
        IF(COUNTIFS(IuranSYSebelumnya!$J$330:$J$772,$K20,IuranSYSebelumnya!$M$330:$M$772,BF$11,IuranSYSebelumnya!$L$330:$L$772,"&lt;&gt;"&amp;$M$5)&gt;0,
              "Iuran dari Lingkungan lain",
              ""))</t>
  </si>
  <si>
    <t>=IF(COUNTIFS(IuranSYSebelumnya!$J$330:$J$772,$K20,IuranSYSebelumnya!$M$330:$M$772,BG$11,IuranSYSebelumnya!$L$330:$L$772,$M$5)&gt;0,
        VLOOKUP(CONCATENATE($K20,"|",BG$11,"|",$M$5),IuranSYSebelumnya!$I$330:$N$772,5,FALSE),
        IF(COUNTIFS(IuranSYSebelumnya!$J$330:$J$772,$K20,IuranSYSebelumnya!$M$330:$M$772,BG$11,IuranSYSebelumnya!$L$330:$L$772,"&lt;&gt;"&amp;$M$5)&gt;0,
              "Iuran dari Lingkungan lain",
              ""))</t>
  </si>
  <si>
    <t>=IF(COUNTIFS(IuranSYSebelumnya!$J$330:$J$772,$K20,IuranSYSebelumnya!$M$330:$M$772,BH$11,IuranSYSebelumnya!$L$330:$L$772,$M$5)&gt;0,
        VLOOKUP(CONCATENATE($K20,"|",BH$11,"|",$M$5),IuranSYSebelumnya!$I$330:$N$772,5,FALSE),
        IF(COUNTIFS(IuranSYSebelumnya!$J$330:$J$772,$K20,IuranSYSebelumnya!$M$330:$M$772,BH$11,IuranSYSebelumnya!$L$330:$L$772,"&lt;&gt;"&amp;$M$5)&gt;0,
              "Iuran dari Lingkungan lain",
              ""))</t>
  </si>
  <si>
    <t>=IF(COUNTIFS(IuranSYSebelumnya!$J$330:$J$772,$K20,IuranSYSebelumnya!$M$330:$M$772,BI$11,IuranSYSebelumnya!$L$330:$L$772,$M$5)&gt;0,
        VLOOKUP(CONCATENATE($K20,"|",BI$11,"|",$M$5),IuranSYSebelumnya!$I$330:$N$772,5,FALSE),
        IF(COUNTIFS(IuranSYSebelumnya!$J$330:$J$772,$K20,IuranSYSebelumnya!$M$330:$M$772,BI$11,IuranSYSebelumnya!$L$330:$L$772,"&lt;&gt;"&amp;$M$5)&gt;0,
              "Iuran dari Lingkungan lain",
              ""))</t>
  </si>
  <si>
    <t>=IF(COUNTIFS(IuranSYSebelumnya!$J$330:$J$772,$K20,IuranSYSebelumnya!$M$330:$M$772,BJ$11,IuranSYSebelumnya!$L$330:$L$772,$M$5)&gt;0,
        VLOOKUP(CONCATENATE($K20,"|",BJ$11,"|",$M$5),IuranSYSebelumnya!$I$330:$N$772,5,FALSE),
        IF(COUNTIFS(IuranSYSebelumnya!$J$330:$J$772,$K20,IuranSYSebelumnya!$M$330:$M$772,BJ$11,IuranSYSebelumnya!$L$330:$L$772,"&lt;&gt;"&amp;$M$5)&gt;0,
              "Iuran dari Lingkungan lain",
              ""))</t>
  </si>
  <si>
    <t>=IF(COUNTIFS(IuranSYSebelumnya!$J$330:$J$772,$K20,IuranSYSebelumnya!$M$330:$M$772,BK$11,IuranSYSebelumnya!$L$330:$L$772,$M$5)&gt;0,
        VLOOKUP(CONCATENATE($K20,"|",BK$11,"|",$M$5),IuranSYSebelumnya!$I$330:$N$772,5,FALSE),
        IF(COUNTIFS(IuranSYSebelumnya!$J$330:$J$772,$K20,IuranSYSebelumnya!$M$330:$M$772,BK$11,IuranSYSebelumnya!$L$330:$L$772,"&lt;&gt;"&amp;$M$5)&gt;0,
              "Iuran dari Lingkungan lain",
              ""))</t>
  </si>
  <si>
    <t>=IF(COUNTIFS(IuranSYSebelumnya!$J$330:$J$772,$K20,IuranSYSebelumnya!$M$330:$M$772,BL$11,IuranSYSebelumnya!$L$330:$L$772,$M$5)&gt;0,
        VLOOKUP(CONCATENATE($K20,"|",BL$11,"|",$M$5),IuranSYSebelumnya!$I$330:$N$772,5,FALSE),
        IF(COUNTIFS(IuranSYSebelumnya!$J$330:$J$772,$K20,IuranSYSebelumnya!$M$330:$M$772,BL$11,IuranSYSebelumnya!$L$330:$L$772,"&lt;&gt;"&amp;$M$5)&gt;0,
              "Iuran dari Lingkungan lain",
              ""))</t>
  </si>
  <si>
    <t>=IF(COUNTIFS(IuranSYSebelumnya!$J$330:$J$772,$K21,IuranSYSebelumnya!$M$330:$M$772,AO$11,IuranSYSebelumnya!$L$330:$L$772,$M$5)&gt;0,
        VLOOKUP(CONCATENATE($K21,"|",AO$11,"|",$M$5),IuranSYSebelumnya!$I$330:$N$772,5,FALSE),
        IF(COUNTIFS(IuranSYSebelumnya!$J$330:$J$772,$K21,IuranSYSebelumnya!$M$330:$M$772,AO$11,IuranSYSebelumnya!$L$330:$L$772,"&lt;&gt;"&amp;$M$5)&gt;0,
              "Iuran dari Lingkungan lain",
              ""))</t>
  </si>
  <si>
    <t>=IF(COUNTIFS(IuranSYSebelumnya!$J$330:$J$772,$K21,IuranSYSebelumnya!$M$330:$M$772,AP$11,IuranSYSebelumnya!$L$330:$L$772,$M$5)&gt;0,
        VLOOKUP(CONCATENATE($K21,"|",AP$11,"|",$M$5),IuranSYSebelumnya!$I$330:$N$772,5,FALSE),
        IF(COUNTIFS(IuranSYSebelumnya!$J$330:$J$772,$K21,IuranSYSebelumnya!$M$330:$M$772,AP$11,IuranSYSebelumnya!$L$330:$L$772,"&lt;&gt;"&amp;$M$5)&gt;0,
              "Iuran dari Lingkungan lain",
              ""))</t>
  </si>
  <si>
    <t>=IF(COUNTIFS(IuranSYSebelumnya!$J$330:$J$772,$K21,IuranSYSebelumnya!$M$330:$M$772,AQ$11,IuranSYSebelumnya!$L$330:$L$772,$M$5)&gt;0,
        VLOOKUP(CONCATENATE($K21,"|",AQ$11,"|",$M$5),IuranSYSebelumnya!$I$330:$N$772,5,FALSE),
        IF(COUNTIFS(IuranSYSebelumnya!$J$330:$J$772,$K21,IuranSYSebelumnya!$M$330:$M$772,AQ$11,IuranSYSebelumnya!$L$330:$L$772,"&lt;&gt;"&amp;$M$5)&gt;0,
              "Iuran dari Lingkungan lain",
              ""))</t>
  </si>
  <si>
    <t>=IF(COUNTIFS(IuranSYSebelumnya!$J$330:$J$772,$K21,IuranSYSebelumnya!$M$330:$M$772,AR$11,IuranSYSebelumnya!$L$330:$L$772,$M$5)&gt;0,
        VLOOKUP(CONCATENATE($K21,"|",AR$11,"|",$M$5),IuranSYSebelumnya!$I$330:$N$772,5,FALSE),
        IF(COUNTIFS(IuranSYSebelumnya!$J$330:$J$772,$K21,IuranSYSebelumnya!$M$330:$M$772,AR$11,IuranSYSebelumnya!$L$330:$L$772,"&lt;&gt;"&amp;$M$5)&gt;0,
              "Iuran dari Lingkungan lain",
              ""))</t>
  </si>
  <si>
    <t>=IF(COUNTIFS(IuranSYSebelumnya!$J$330:$J$772,$K21,IuranSYSebelumnya!$M$330:$M$772,AS$11,IuranSYSebelumnya!$L$330:$L$772,$M$5)&gt;0,
        VLOOKUP(CONCATENATE($K21,"|",AS$11,"|",$M$5),IuranSYSebelumnya!$I$330:$N$772,5,FALSE),
        IF(COUNTIFS(IuranSYSebelumnya!$J$330:$J$772,$K21,IuranSYSebelumnya!$M$330:$M$772,AS$11,IuranSYSebelumnya!$L$330:$L$772,"&lt;&gt;"&amp;$M$5)&gt;0,
              "Iuran dari Lingkungan lain",
              ""))</t>
  </si>
  <si>
    <t>=IF(COUNTIFS(IuranSYSebelumnya!$J$330:$J$772,$K21,IuranSYSebelumnya!$M$330:$M$772,AT$11,IuranSYSebelumnya!$L$330:$L$772,$M$5)&gt;0,
        VLOOKUP(CONCATENATE($K21,"|",AT$11,"|",$M$5),IuranSYSebelumnya!$I$330:$N$772,5,FALSE),
        IF(COUNTIFS(IuranSYSebelumnya!$J$330:$J$772,$K21,IuranSYSebelumnya!$M$330:$M$772,AT$11,IuranSYSebelumnya!$L$330:$L$772,"&lt;&gt;"&amp;$M$5)&gt;0,
              "Iuran dari Lingkungan lain",
              ""))</t>
  </si>
  <si>
    <t>=IF(COUNTIFS(IuranSYSebelumnya!$J$330:$J$772,$K21,IuranSYSebelumnya!$M$330:$M$772,AU$11,IuranSYSebelumnya!$L$330:$L$772,$M$5)&gt;0,
        VLOOKUP(CONCATENATE($K21,"|",AU$11,"|",$M$5),IuranSYSebelumnya!$I$330:$N$772,5,FALSE),
        IF(COUNTIFS(IuranSYSebelumnya!$J$330:$J$772,$K21,IuranSYSebelumnya!$M$330:$M$772,AU$11,IuranSYSebelumnya!$L$330:$L$772,"&lt;&gt;"&amp;$M$5)&gt;0,
              "Iuran dari Lingkungan lain",
              ""))</t>
  </si>
  <si>
    <t>=IF(COUNTIFS(IuranSYSebelumnya!$J$330:$J$772,$K21,IuranSYSebelumnya!$M$330:$M$772,AV$11,IuranSYSebelumnya!$L$330:$L$772,$M$5)&gt;0,
        VLOOKUP(CONCATENATE($K21,"|",AV$11,"|",$M$5),IuranSYSebelumnya!$I$330:$N$772,5,FALSE),
        IF(COUNTIFS(IuranSYSebelumnya!$J$330:$J$772,$K21,IuranSYSebelumnya!$M$330:$M$772,AV$11,IuranSYSebelumnya!$L$330:$L$772,"&lt;&gt;"&amp;$M$5)&gt;0,
              "Iuran dari Lingkungan lain",
              ""))</t>
  </si>
  <si>
    <t>=IF(COUNTIFS(IuranSYSebelumnya!$J$330:$J$772,$K21,IuranSYSebelumnya!$M$330:$M$772,AW$11,IuranSYSebelumnya!$L$330:$L$772,$M$5)&gt;0,
        VLOOKUP(CONCATENATE($K21,"|",AW$11,"|",$M$5),IuranSYSebelumnya!$I$330:$N$772,5,FALSE),
        IF(COUNTIFS(IuranSYSebelumnya!$J$330:$J$772,$K21,IuranSYSebelumnya!$M$330:$M$772,AW$11,IuranSYSebelumnya!$L$330:$L$772,"&lt;&gt;"&amp;$M$5)&gt;0,
              "Iuran dari Lingkungan lain",
              ""))</t>
  </si>
  <si>
    <t>=IF(COUNTIFS(IuranSYSebelumnya!$J$330:$J$772,$K21,IuranSYSebelumnya!$M$330:$M$772,AX$11,IuranSYSebelumnya!$L$330:$L$772,$M$5)&gt;0,
        VLOOKUP(CONCATENATE($K21,"|",AX$11,"|",$M$5),IuranSYSebelumnya!$I$330:$N$772,5,FALSE),
        IF(COUNTIFS(IuranSYSebelumnya!$J$330:$J$772,$K21,IuranSYSebelumnya!$M$330:$M$772,AX$11,IuranSYSebelumnya!$L$330:$L$772,"&lt;&gt;"&amp;$M$5)&gt;0,
              "Iuran dari Lingkungan lain",
              ""))</t>
  </si>
  <si>
    <t>=IF(COUNTIFS(IuranSYSebelumnya!$J$330:$J$772,$K21,IuranSYSebelumnya!$M$330:$M$772,AY$11,IuranSYSebelumnya!$L$330:$L$772,$M$5)&gt;0,
        VLOOKUP(CONCATENATE($K21,"|",AY$11,"|",$M$5),IuranSYSebelumnya!$I$330:$N$772,5,FALSE),
        IF(COUNTIFS(IuranSYSebelumnya!$J$330:$J$772,$K21,IuranSYSebelumnya!$M$330:$M$772,AY$11,IuranSYSebelumnya!$L$330:$L$772,"&lt;&gt;"&amp;$M$5)&gt;0,
              "Iuran dari Lingkungan lain",
              ""))</t>
  </si>
  <si>
    <t>=IF(COUNTIFS(IuranSYSebelumnya!$J$330:$J$772,$K21,IuranSYSebelumnya!$M$330:$M$772,AZ$11,IuranSYSebelumnya!$L$330:$L$772,$M$5)&gt;0,
        VLOOKUP(CONCATENATE($K21,"|",AZ$11,"|",$M$5),IuranSYSebelumnya!$I$330:$N$772,5,FALSE),
        IF(COUNTIFS(IuranSYSebelumnya!$J$330:$J$772,$K21,IuranSYSebelumnya!$M$330:$M$772,AZ$11,IuranSYSebelumnya!$L$330:$L$772,"&lt;&gt;"&amp;$M$5)&gt;0,
              "Iuran dari Lingkungan lain",
              ""))</t>
  </si>
  <si>
    <t>=IF(COUNTIFS(IuranSYSebelumnya!$J$330:$J$772,$K21,IuranSYSebelumnya!$M$330:$M$772,BA$11,IuranSYSebelumnya!$L$330:$L$772,$M$5)&gt;0,
        VLOOKUP(CONCATENATE($K21,"|",BA$11,"|",$M$5),IuranSYSebelumnya!$I$330:$N$772,5,FALSE),
        IF(COUNTIFS(IuranSYSebelumnya!$J$330:$J$772,$K21,IuranSYSebelumnya!$M$330:$M$772,BA$11,IuranSYSebelumnya!$L$330:$L$772,"&lt;&gt;"&amp;$M$5)&gt;0,
              "Iuran dari Lingkungan lain",
              ""))</t>
  </si>
  <si>
    <t>=IF(COUNTIFS(IuranSYSebelumnya!$J$330:$J$772,$K21,IuranSYSebelumnya!$M$330:$M$772,BB$11,IuranSYSebelumnya!$L$330:$L$772,$M$5)&gt;0,
        VLOOKUP(CONCATENATE($K21,"|",BB$11,"|",$M$5),IuranSYSebelumnya!$I$330:$N$772,5,FALSE),
        IF(COUNTIFS(IuranSYSebelumnya!$J$330:$J$772,$K21,IuranSYSebelumnya!$M$330:$M$772,BB$11,IuranSYSebelumnya!$L$330:$L$772,"&lt;&gt;"&amp;$M$5)&gt;0,
              "Iuran dari Lingkungan lain",
              ""))</t>
  </si>
  <si>
    <t>=IF(COUNTIFS(IuranSYSebelumnya!$J$330:$J$772,$K21,IuranSYSebelumnya!$M$330:$M$772,BC$11,IuranSYSebelumnya!$L$330:$L$772,$M$5)&gt;0,
        VLOOKUP(CONCATENATE($K21,"|",BC$11,"|",$M$5),IuranSYSebelumnya!$I$330:$N$772,5,FALSE),
        IF(COUNTIFS(IuranSYSebelumnya!$J$330:$J$772,$K21,IuranSYSebelumnya!$M$330:$M$772,BC$11,IuranSYSebelumnya!$L$330:$L$772,"&lt;&gt;"&amp;$M$5)&gt;0,
              "Iuran dari Lingkungan lain",
              ""))</t>
  </si>
  <si>
    <t>=IF(COUNTIFS(IuranSYSebelumnya!$J$330:$J$772,$K21,IuranSYSebelumnya!$M$330:$M$772,BD$11,IuranSYSebelumnya!$L$330:$L$772,$M$5)&gt;0,
        VLOOKUP(CONCATENATE($K21,"|",BD$11,"|",$M$5),IuranSYSebelumnya!$I$330:$N$772,5,FALSE),
        IF(COUNTIFS(IuranSYSebelumnya!$J$330:$J$772,$K21,IuranSYSebelumnya!$M$330:$M$772,BD$11,IuranSYSebelumnya!$L$330:$L$772,"&lt;&gt;"&amp;$M$5)&gt;0,
              "Iuran dari Lingkungan lain",
              ""))</t>
  </si>
  <si>
    <t>=IF(COUNTIFS(IuranSYSebelumnya!$J$330:$J$772,$K21,IuranSYSebelumnya!$M$330:$M$772,BE$11,IuranSYSebelumnya!$L$330:$L$772,$M$5)&gt;0,
        VLOOKUP(CONCATENATE($K21,"|",BE$11,"|",$M$5),IuranSYSebelumnya!$I$330:$N$772,5,FALSE),
        IF(COUNTIFS(IuranSYSebelumnya!$J$330:$J$772,$K21,IuranSYSebelumnya!$M$330:$M$772,BE$11,IuranSYSebelumnya!$L$330:$L$772,"&lt;&gt;"&amp;$M$5)&gt;0,
              "Iuran dari Lingkungan lain",
              ""))</t>
  </si>
  <si>
    <t>=IF(COUNTIFS(IuranSYSebelumnya!$J$330:$J$772,$K21,IuranSYSebelumnya!$M$330:$M$772,BF$11,IuranSYSebelumnya!$L$330:$L$772,$M$5)&gt;0,
        VLOOKUP(CONCATENATE($K21,"|",BF$11,"|",$M$5),IuranSYSebelumnya!$I$330:$N$772,5,FALSE),
        IF(COUNTIFS(IuranSYSebelumnya!$J$330:$J$772,$K21,IuranSYSebelumnya!$M$330:$M$772,BF$11,IuranSYSebelumnya!$L$330:$L$772,"&lt;&gt;"&amp;$M$5)&gt;0,
              "Iuran dari Lingkungan lain",
              ""))</t>
  </si>
  <si>
    <t>=IF(COUNTIFS(IuranSYSebelumnya!$J$330:$J$772,$K21,IuranSYSebelumnya!$M$330:$M$772,BG$11,IuranSYSebelumnya!$L$330:$L$772,$M$5)&gt;0,
        VLOOKUP(CONCATENATE($K21,"|",BG$11,"|",$M$5),IuranSYSebelumnya!$I$330:$N$772,5,FALSE),
        IF(COUNTIFS(IuranSYSebelumnya!$J$330:$J$772,$K21,IuranSYSebelumnya!$M$330:$M$772,BG$11,IuranSYSebelumnya!$L$330:$L$772,"&lt;&gt;"&amp;$M$5)&gt;0,
              "Iuran dari Lingkungan lain",
              ""))</t>
  </si>
  <si>
    <t>=IF(COUNTIFS(IuranSYSebelumnya!$J$330:$J$772,$K21,IuranSYSebelumnya!$M$330:$M$772,BH$11,IuranSYSebelumnya!$L$330:$L$772,$M$5)&gt;0,
        VLOOKUP(CONCATENATE($K21,"|",BH$11,"|",$M$5),IuranSYSebelumnya!$I$330:$N$772,5,FALSE),
        IF(COUNTIFS(IuranSYSebelumnya!$J$330:$J$772,$K21,IuranSYSebelumnya!$M$330:$M$772,BH$11,IuranSYSebelumnya!$L$330:$L$772,"&lt;&gt;"&amp;$M$5)&gt;0,
              "Iuran dari Lingkungan lain",
              ""))</t>
  </si>
  <si>
    <t>=IF(COUNTIFS(IuranSYSebelumnya!$J$330:$J$772,$K21,IuranSYSebelumnya!$M$330:$M$772,BI$11,IuranSYSebelumnya!$L$330:$L$772,$M$5)&gt;0,
        VLOOKUP(CONCATENATE($K21,"|",BI$11,"|",$M$5),IuranSYSebelumnya!$I$330:$N$772,5,FALSE),
        IF(COUNTIFS(IuranSYSebelumnya!$J$330:$J$772,$K21,IuranSYSebelumnya!$M$330:$M$772,BI$11,IuranSYSebelumnya!$L$330:$L$772,"&lt;&gt;"&amp;$M$5)&gt;0,
              "Iuran dari Lingkungan lain",
              ""))</t>
  </si>
  <si>
    <t>=IF(COUNTIFS(IuranSYSebelumnya!$J$330:$J$772,$K21,IuranSYSebelumnya!$M$330:$M$772,BJ$11,IuranSYSebelumnya!$L$330:$L$772,$M$5)&gt;0,
        VLOOKUP(CONCATENATE($K21,"|",BJ$11,"|",$M$5),IuranSYSebelumnya!$I$330:$N$772,5,FALSE),
        IF(COUNTIFS(IuranSYSebelumnya!$J$330:$J$772,$K21,IuranSYSebelumnya!$M$330:$M$772,BJ$11,IuranSYSebelumnya!$L$330:$L$772,"&lt;&gt;"&amp;$M$5)&gt;0,
              "Iuran dari Lingkungan lain",
              ""))</t>
  </si>
  <si>
    <t>=IF(COUNTIFS(IuranSYSebelumnya!$J$330:$J$772,$K21,IuranSYSebelumnya!$M$330:$M$772,BK$11,IuranSYSebelumnya!$L$330:$L$772,$M$5)&gt;0,
        VLOOKUP(CONCATENATE($K21,"|",BK$11,"|",$M$5),IuranSYSebelumnya!$I$330:$N$772,5,FALSE),
        IF(COUNTIFS(IuranSYSebelumnya!$J$330:$J$772,$K21,IuranSYSebelumnya!$M$330:$M$772,BK$11,IuranSYSebelumnya!$L$330:$L$772,"&lt;&gt;"&amp;$M$5)&gt;0,
              "Iuran dari Lingkungan lain",
              ""))</t>
  </si>
  <si>
    <t>=IF(COUNTIFS(IuranSYSebelumnya!$J$330:$J$772,$K21,IuranSYSebelumnya!$M$330:$M$772,BL$11,IuranSYSebelumnya!$L$330:$L$772,$M$5)&gt;0,
        VLOOKUP(CONCATENATE($K21,"|",BL$11,"|",$M$5),IuranSYSebelumnya!$I$330:$N$772,5,FALSE),
        IF(COUNTIFS(IuranSYSebelumnya!$J$330:$J$772,$K21,IuranSYSebelumnya!$M$330:$M$772,BL$11,IuranSYSebelumnya!$L$330:$L$772,"&lt;&gt;"&amp;$M$5)&gt;0,
              "Iuran dari Lingkungan lain",
              ""))</t>
  </si>
  <si>
    <t>=IF(COUNTIFS(IuranSYSebelumnya!$J$330:$J$772,$K22,IuranSYSebelumnya!$M$330:$M$772,AO$11,IuranSYSebelumnya!$L$330:$L$772,$M$5)&gt;0,
        VLOOKUP(CONCATENATE($K22,"|",AO$11,"|",$M$5),IuranSYSebelumnya!$I$330:$N$772,5,FALSE),
        IF(COUNTIFS(IuranSYSebelumnya!$J$330:$J$772,$K22,IuranSYSebelumnya!$M$330:$M$772,AO$11,IuranSYSebelumnya!$L$330:$L$772,"&lt;&gt;"&amp;$M$5)&gt;0,
              "Iuran dari Lingkungan lain",
              ""))</t>
  </si>
  <si>
    <t>=IF(COUNTIFS(IuranSYSebelumnya!$J$330:$J$772,$K22,IuranSYSebelumnya!$M$330:$M$772,AP$11,IuranSYSebelumnya!$L$330:$L$772,$M$5)&gt;0,
        VLOOKUP(CONCATENATE($K22,"|",AP$11,"|",$M$5),IuranSYSebelumnya!$I$330:$N$772,5,FALSE),
        IF(COUNTIFS(IuranSYSebelumnya!$J$330:$J$772,$K22,IuranSYSebelumnya!$M$330:$M$772,AP$11,IuranSYSebelumnya!$L$330:$L$772,"&lt;&gt;"&amp;$M$5)&gt;0,
              "Iuran dari Lingkungan lain",
              ""))</t>
  </si>
  <si>
    <t>=IF(COUNTIFS(IuranSYSebelumnya!$J$330:$J$772,$K22,IuranSYSebelumnya!$M$330:$M$772,AQ$11,IuranSYSebelumnya!$L$330:$L$772,$M$5)&gt;0,
        VLOOKUP(CONCATENATE($K22,"|",AQ$11,"|",$M$5),IuranSYSebelumnya!$I$330:$N$772,5,FALSE),
        IF(COUNTIFS(IuranSYSebelumnya!$J$330:$J$772,$K22,IuranSYSebelumnya!$M$330:$M$772,AQ$11,IuranSYSebelumnya!$L$330:$L$772,"&lt;&gt;"&amp;$M$5)&gt;0,
              "Iuran dari Lingkungan lain",
              ""))</t>
  </si>
  <si>
    <t>=IF(COUNTIFS(IuranSYSebelumnya!$J$330:$J$772,$K22,IuranSYSebelumnya!$M$330:$M$772,AR$11,IuranSYSebelumnya!$L$330:$L$772,$M$5)&gt;0,
        VLOOKUP(CONCATENATE($K22,"|",AR$11,"|",$M$5),IuranSYSebelumnya!$I$330:$N$772,5,FALSE),
        IF(COUNTIFS(IuranSYSebelumnya!$J$330:$J$772,$K22,IuranSYSebelumnya!$M$330:$M$772,AR$11,IuranSYSebelumnya!$L$330:$L$772,"&lt;&gt;"&amp;$M$5)&gt;0,
              "Iuran dari Lingkungan lain",
              ""))</t>
  </si>
  <si>
    <t>=IF(COUNTIFS(IuranSYSebelumnya!$J$330:$J$772,$K22,IuranSYSebelumnya!$M$330:$M$772,AS$11,IuranSYSebelumnya!$L$330:$L$772,$M$5)&gt;0,
        VLOOKUP(CONCATENATE($K22,"|",AS$11,"|",$M$5),IuranSYSebelumnya!$I$330:$N$772,5,FALSE),
        IF(COUNTIFS(IuranSYSebelumnya!$J$330:$J$772,$K22,IuranSYSebelumnya!$M$330:$M$772,AS$11,IuranSYSebelumnya!$L$330:$L$772,"&lt;&gt;"&amp;$M$5)&gt;0,
              "Iuran dari Lingkungan lain",
              ""))</t>
  </si>
  <si>
    <t>=IF(COUNTIFS(IuranSYSebelumnya!$J$330:$J$772,$K22,IuranSYSebelumnya!$M$330:$M$772,AT$11,IuranSYSebelumnya!$L$330:$L$772,$M$5)&gt;0,
        VLOOKUP(CONCATENATE($K22,"|",AT$11,"|",$M$5),IuranSYSebelumnya!$I$330:$N$772,5,FALSE),
        IF(COUNTIFS(IuranSYSebelumnya!$J$330:$J$772,$K22,IuranSYSebelumnya!$M$330:$M$772,AT$11,IuranSYSebelumnya!$L$330:$L$772,"&lt;&gt;"&amp;$M$5)&gt;0,
              "Iuran dari Lingkungan lain",
              ""))</t>
  </si>
  <si>
    <t>=IF(COUNTIFS(IuranSYSebelumnya!$J$330:$J$772,$K22,IuranSYSebelumnya!$M$330:$M$772,AU$11,IuranSYSebelumnya!$L$330:$L$772,$M$5)&gt;0,
        VLOOKUP(CONCATENATE($K22,"|",AU$11,"|",$M$5),IuranSYSebelumnya!$I$330:$N$772,5,FALSE),
        IF(COUNTIFS(IuranSYSebelumnya!$J$330:$J$772,$K22,IuranSYSebelumnya!$M$330:$M$772,AU$11,IuranSYSebelumnya!$L$330:$L$772,"&lt;&gt;"&amp;$M$5)&gt;0,
              "Iuran dari Lingkungan lain",
              ""))</t>
  </si>
  <si>
    <t>=IF(COUNTIFS(IuranSYSebelumnya!$J$330:$J$772,$K22,IuranSYSebelumnya!$M$330:$M$772,AV$11,IuranSYSebelumnya!$L$330:$L$772,$M$5)&gt;0,
        VLOOKUP(CONCATENATE($K22,"|",AV$11,"|",$M$5),IuranSYSebelumnya!$I$330:$N$772,5,FALSE),
        IF(COUNTIFS(IuranSYSebelumnya!$J$330:$J$772,$K22,IuranSYSebelumnya!$M$330:$M$772,AV$11,IuranSYSebelumnya!$L$330:$L$772,"&lt;&gt;"&amp;$M$5)&gt;0,
              "Iuran dari Lingkungan lain",
              ""))</t>
  </si>
  <si>
    <t>=IF(COUNTIFS(IuranSYSebelumnya!$J$330:$J$772,$K22,IuranSYSebelumnya!$M$330:$M$772,AW$11,IuranSYSebelumnya!$L$330:$L$772,$M$5)&gt;0,
        VLOOKUP(CONCATENATE($K22,"|",AW$11,"|",$M$5),IuranSYSebelumnya!$I$330:$N$772,5,FALSE),
        IF(COUNTIFS(IuranSYSebelumnya!$J$330:$J$772,$K22,IuranSYSebelumnya!$M$330:$M$772,AW$11,IuranSYSebelumnya!$L$330:$L$772,"&lt;&gt;"&amp;$M$5)&gt;0,
              "Iuran dari Lingkungan lain",
              ""))</t>
  </si>
  <si>
    <t>=IF(COUNTIFS(IuranSYSebelumnya!$J$330:$J$772,$K22,IuranSYSebelumnya!$M$330:$M$772,AX$11,IuranSYSebelumnya!$L$330:$L$772,$M$5)&gt;0,
        VLOOKUP(CONCATENATE($K22,"|",AX$11,"|",$M$5),IuranSYSebelumnya!$I$330:$N$772,5,FALSE),
        IF(COUNTIFS(IuranSYSebelumnya!$J$330:$J$772,$K22,IuranSYSebelumnya!$M$330:$M$772,AX$11,IuranSYSebelumnya!$L$330:$L$772,"&lt;&gt;"&amp;$M$5)&gt;0,
              "Iuran dari Lingkungan lain",
              ""))</t>
  </si>
  <si>
    <t>=IF(COUNTIFS(IuranSYSebelumnya!$J$330:$J$772,$K22,IuranSYSebelumnya!$M$330:$M$772,AY$11,IuranSYSebelumnya!$L$330:$L$772,$M$5)&gt;0,
        VLOOKUP(CONCATENATE($K22,"|",AY$11,"|",$M$5),IuranSYSebelumnya!$I$330:$N$772,5,FALSE),
        IF(COUNTIFS(IuranSYSebelumnya!$J$330:$J$772,$K22,IuranSYSebelumnya!$M$330:$M$772,AY$11,IuranSYSebelumnya!$L$330:$L$772,"&lt;&gt;"&amp;$M$5)&gt;0,
              "Iuran dari Lingkungan lain",
              ""))</t>
  </si>
  <si>
    <t>=IF(COUNTIFS(IuranSYSebelumnya!$J$330:$J$772,$K22,IuranSYSebelumnya!$M$330:$M$772,AZ$11,IuranSYSebelumnya!$L$330:$L$772,$M$5)&gt;0,
        VLOOKUP(CONCATENATE($K22,"|",AZ$11,"|",$M$5),IuranSYSebelumnya!$I$330:$N$772,5,FALSE),
        IF(COUNTIFS(IuranSYSebelumnya!$J$330:$J$772,$K22,IuranSYSebelumnya!$M$330:$M$772,AZ$11,IuranSYSebelumnya!$L$330:$L$772,"&lt;&gt;"&amp;$M$5)&gt;0,
              "Iuran dari Lingkungan lain",
              ""))</t>
  </si>
  <si>
    <t>=IF(COUNTIFS(IuranSYSebelumnya!$J$330:$J$772,$K22,IuranSYSebelumnya!$M$330:$M$772,BA$11,IuranSYSebelumnya!$L$330:$L$772,$M$5)&gt;0,
        VLOOKUP(CONCATENATE($K22,"|",BA$11,"|",$M$5),IuranSYSebelumnya!$I$330:$N$772,5,FALSE),
        IF(COUNTIFS(IuranSYSebelumnya!$J$330:$J$772,$K22,IuranSYSebelumnya!$M$330:$M$772,BA$11,IuranSYSebelumnya!$L$330:$L$772,"&lt;&gt;"&amp;$M$5)&gt;0,
              "Iuran dari Lingkungan lain",
              ""))</t>
  </si>
  <si>
    <t>=IF(COUNTIFS(IuranSYSebelumnya!$J$330:$J$772,$K22,IuranSYSebelumnya!$M$330:$M$772,BB$11,IuranSYSebelumnya!$L$330:$L$772,$M$5)&gt;0,
        VLOOKUP(CONCATENATE($K22,"|",BB$11,"|",$M$5),IuranSYSebelumnya!$I$330:$N$772,5,FALSE),
        IF(COUNTIFS(IuranSYSebelumnya!$J$330:$J$772,$K22,IuranSYSebelumnya!$M$330:$M$772,BB$11,IuranSYSebelumnya!$L$330:$L$772,"&lt;&gt;"&amp;$M$5)&gt;0,
              "Iuran dari Lingkungan lain",
              ""))</t>
  </si>
  <si>
    <t>=IF(COUNTIFS(IuranSYSebelumnya!$J$330:$J$772,$K22,IuranSYSebelumnya!$M$330:$M$772,BC$11,IuranSYSebelumnya!$L$330:$L$772,$M$5)&gt;0,
        VLOOKUP(CONCATENATE($K22,"|",BC$11,"|",$M$5),IuranSYSebelumnya!$I$330:$N$772,5,FALSE),
        IF(COUNTIFS(IuranSYSebelumnya!$J$330:$J$772,$K22,IuranSYSebelumnya!$M$330:$M$772,BC$11,IuranSYSebelumnya!$L$330:$L$772,"&lt;&gt;"&amp;$M$5)&gt;0,
              "Iuran dari Lingkungan lain",
              ""))</t>
  </si>
  <si>
    <t>=IF(COUNTIFS(IuranSYSebelumnya!$J$330:$J$772,$K22,IuranSYSebelumnya!$M$330:$M$772,BD$11,IuranSYSebelumnya!$L$330:$L$772,$M$5)&gt;0,
        VLOOKUP(CONCATENATE($K22,"|",BD$11,"|",$M$5),IuranSYSebelumnya!$I$330:$N$772,5,FALSE),
        IF(COUNTIFS(IuranSYSebelumnya!$J$330:$J$772,$K22,IuranSYSebelumnya!$M$330:$M$772,BD$11,IuranSYSebelumnya!$L$330:$L$772,"&lt;&gt;"&amp;$M$5)&gt;0,
              "Iuran dari Lingkungan lain",
              ""))</t>
  </si>
  <si>
    <t>=IF(COUNTIFS(IuranSYSebelumnya!$J$330:$J$772,$K22,IuranSYSebelumnya!$M$330:$M$772,BE$11,IuranSYSebelumnya!$L$330:$L$772,$M$5)&gt;0,
        VLOOKUP(CONCATENATE($K22,"|",BE$11,"|",$M$5),IuranSYSebelumnya!$I$330:$N$772,5,FALSE),
        IF(COUNTIFS(IuranSYSebelumnya!$J$330:$J$772,$K22,IuranSYSebelumnya!$M$330:$M$772,BE$11,IuranSYSebelumnya!$L$330:$L$772,"&lt;&gt;"&amp;$M$5)&gt;0,
              "Iuran dari Lingkungan lain",
              ""))</t>
  </si>
  <si>
    <t>=IF(COUNTIFS(IuranSYSebelumnya!$J$330:$J$772,$K22,IuranSYSebelumnya!$M$330:$M$772,BF$11,IuranSYSebelumnya!$L$330:$L$772,$M$5)&gt;0,
        VLOOKUP(CONCATENATE($K22,"|",BF$11,"|",$M$5),IuranSYSebelumnya!$I$330:$N$772,5,FALSE),
        IF(COUNTIFS(IuranSYSebelumnya!$J$330:$J$772,$K22,IuranSYSebelumnya!$M$330:$M$772,BF$11,IuranSYSebelumnya!$L$330:$L$772,"&lt;&gt;"&amp;$M$5)&gt;0,
              "Iuran dari Lingkungan lain",
              ""))</t>
  </si>
  <si>
    <t>=IF(COUNTIFS(IuranSYSebelumnya!$J$330:$J$772,$K22,IuranSYSebelumnya!$M$330:$M$772,BG$11,IuranSYSebelumnya!$L$330:$L$772,$M$5)&gt;0,
        VLOOKUP(CONCATENATE($K22,"|",BG$11,"|",$M$5),IuranSYSebelumnya!$I$330:$N$772,5,FALSE),
        IF(COUNTIFS(IuranSYSebelumnya!$J$330:$J$772,$K22,IuranSYSebelumnya!$M$330:$M$772,BG$11,IuranSYSebelumnya!$L$330:$L$772,"&lt;&gt;"&amp;$M$5)&gt;0,
              "Iuran dari Lingkungan lain",
              ""))</t>
  </si>
  <si>
    <t>=IF(COUNTIFS(IuranSYSebelumnya!$J$330:$J$772,$K22,IuranSYSebelumnya!$M$330:$M$772,BH$11,IuranSYSebelumnya!$L$330:$L$772,$M$5)&gt;0,
        VLOOKUP(CONCATENATE($K22,"|",BH$11,"|",$M$5),IuranSYSebelumnya!$I$330:$N$772,5,FALSE),
        IF(COUNTIFS(IuranSYSebelumnya!$J$330:$J$772,$K22,IuranSYSebelumnya!$M$330:$M$772,BH$11,IuranSYSebelumnya!$L$330:$L$772,"&lt;&gt;"&amp;$M$5)&gt;0,
              "Iuran dari Lingkungan lain",
              ""))</t>
  </si>
  <si>
    <t>=IF(COUNTIFS(IuranSYSebelumnya!$J$330:$J$772,$K22,IuranSYSebelumnya!$M$330:$M$772,BI$11,IuranSYSebelumnya!$L$330:$L$772,$M$5)&gt;0,
        VLOOKUP(CONCATENATE($K22,"|",BI$11,"|",$M$5),IuranSYSebelumnya!$I$330:$N$772,5,FALSE),
        IF(COUNTIFS(IuranSYSebelumnya!$J$330:$J$772,$K22,IuranSYSebelumnya!$M$330:$M$772,BI$11,IuranSYSebelumnya!$L$330:$L$772,"&lt;&gt;"&amp;$M$5)&gt;0,
              "Iuran dari Lingkungan lain",
              ""))</t>
  </si>
  <si>
    <t>=IF(COUNTIFS(IuranSYSebelumnya!$J$330:$J$772,$K22,IuranSYSebelumnya!$M$330:$M$772,BJ$11,IuranSYSebelumnya!$L$330:$L$772,$M$5)&gt;0,
        VLOOKUP(CONCATENATE($K22,"|",BJ$11,"|",$M$5),IuranSYSebelumnya!$I$330:$N$772,5,FALSE),
        IF(COUNTIFS(IuranSYSebelumnya!$J$330:$J$772,$K22,IuranSYSebelumnya!$M$330:$M$772,BJ$11,IuranSYSebelumnya!$L$330:$L$772,"&lt;&gt;"&amp;$M$5)&gt;0,
              "Iuran dari Lingkungan lain",
              ""))</t>
  </si>
  <si>
    <t>=IF(COUNTIFS(IuranSYSebelumnya!$J$330:$J$772,$K22,IuranSYSebelumnya!$M$330:$M$772,BK$11,IuranSYSebelumnya!$L$330:$L$772,$M$5)&gt;0,
        VLOOKUP(CONCATENATE($K22,"|",BK$11,"|",$M$5),IuranSYSebelumnya!$I$330:$N$772,5,FALSE),
        IF(COUNTIFS(IuranSYSebelumnya!$J$330:$J$772,$K22,IuranSYSebelumnya!$M$330:$M$772,BK$11,IuranSYSebelumnya!$L$330:$L$772,"&lt;&gt;"&amp;$M$5)&gt;0,
              "Iuran dari Lingkungan lain",
              ""))</t>
  </si>
  <si>
    <t>=IF(COUNTIFS(IuranSYSebelumnya!$J$330:$J$772,$K22,IuranSYSebelumnya!$M$330:$M$772,BL$11,IuranSYSebelumnya!$L$330:$L$772,$M$5)&gt;0,
        VLOOKUP(CONCATENATE($K22,"|",BL$11,"|",$M$5),IuranSYSebelumnya!$I$330:$N$772,5,FALSE),
        IF(COUNTIFS(IuranSYSebelumnya!$J$330:$J$772,$K22,IuranSYSebelumnya!$M$330:$M$772,BL$11,IuranSYSebelumnya!$L$330:$L$772,"&lt;&gt;"&amp;$M$5)&gt;0,
              "Iuran dari Lingkungan lain",
              ""))</t>
  </si>
  <si>
    <t>=IF(COUNTIFS(IuranSYSebelumnya!$J$330:$J$772,$K23,IuranSYSebelumnya!$M$330:$M$772,AO$11,IuranSYSebelumnya!$L$330:$L$772,$M$5)&gt;0,
        VLOOKUP(CONCATENATE($K23,"|",AO$11,"|",$M$5),IuranSYSebelumnya!$I$330:$N$772,5,FALSE),
        IF(COUNTIFS(IuranSYSebelumnya!$J$330:$J$772,$K23,IuranSYSebelumnya!$M$330:$M$772,AO$11,IuranSYSebelumnya!$L$330:$L$772,"&lt;&gt;"&amp;$M$5)&gt;0,
              "Iuran dari Lingkungan lain",
              ""))</t>
  </si>
  <si>
    <t>=IF(COUNTIFS(IuranSYSebelumnya!$J$330:$J$772,$K23,IuranSYSebelumnya!$M$330:$M$772,AP$11,IuranSYSebelumnya!$L$330:$L$772,$M$5)&gt;0,
        VLOOKUP(CONCATENATE($K23,"|",AP$11,"|",$M$5),IuranSYSebelumnya!$I$330:$N$772,5,FALSE),
        IF(COUNTIFS(IuranSYSebelumnya!$J$330:$J$772,$K23,IuranSYSebelumnya!$M$330:$M$772,AP$11,IuranSYSebelumnya!$L$330:$L$772,"&lt;&gt;"&amp;$M$5)&gt;0,
              "Iuran dari Lingkungan lain",
              ""))</t>
  </si>
  <si>
    <t>=IF(COUNTIFS(IuranSYSebelumnya!$J$330:$J$772,$K23,IuranSYSebelumnya!$M$330:$M$772,AQ$11,IuranSYSebelumnya!$L$330:$L$772,$M$5)&gt;0,
        VLOOKUP(CONCATENATE($K23,"|",AQ$11,"|",$M$5),IuranSYSebelumnya!$I$330:$N$772,5,FALSE),
        IF(COUNTIFS(IuranSYSebelumnya!$J$330:$J$772,$K23,IuranSYSebelumnya!$M$330:$M$772,AQ$11,IuranSYSebelumnya!$L$330:$L$772,"&lt;&gt;"&amp;$M$5)&gt;0,
              "Iuran dari Lingkungan lain",
              ""))</t>
  </si>
  <si>
    <t>=IF(COUNTIFS(IuranSYSebelumnya!$J$330:$J$772,$K23,IuranSYSebelumnya!$M$330:$M$772,AR$11,IuranSYSebelumnya!$L$330:$L$772,$M$5)&gt;0,
        VLOOKUP(CONCATENATE($K23,"|",AR$11,"|",$M$5),IuranSYSebelumnya!$I$330:$N$772,5,FALSE),
        IF(COUNTIFS(IuranSYSebelumnya!$J$330:$J$772,$K23,IuranSYSebelumnya!$M$330:$M$772,AR$11,IuranSYSebelumnya!$L$330:$L$772,"&lt;&gt;"&amp;$M$5)&gt;0,
              "Iuran dari Lingkungan lain",
              ""))</t>
  </si>
  <si>
    <t>=IF(COUNTIFS(IuranSYSebelumnya!$J$330:$J$772,$K23,IuranSYSebelumnya!$M$330:$M$772,AS$11,IuranSYSebelumnya!$L$330:$L$772,$M$5)&gt;0,
        VLOOKUP(CONCATENATE($K23,"|",AS$11,"|",$M$5),IuranSYSebelumnya!$I$330:$N$772,5,FALSE),
        IF(COUNTIFS(IuranSYSebelumnya!$J$330:$J$772,$K23,IuranSYSebelumnya!$M$330:$M$772,AS$11,IuranSYSebelumnya!$L$330:$L$772,"&lt;&gt;"&amp;$M$5)&gt;0,
              "Iuran dari Lingkungan lain",
              ""))</t>
  </si>
  <si>
    <t>=IF(COUNTIFS(IuranSYSebelumnya!$J$330:$J$772,$K23,IuranSYSebelumnya!$M$330:$M$772,AT$11,IuranSYSebelumnya!$L$330:$L$772,$M$5)&gt;0,
        VLOOKUP(CONCATENATE($K23,"|",AT$11,"|",$M$5),IuranSYSebelumnya!$I$330:$N$772,5,FALSE),
        IF(COUNTIFS(IuranSYSebelumnya!$J$330:$J$772,$K23,IuranSYSebelumnya!$M$330:$M$772,AT$11,IuranSYSebelumnya!$L$330:$L$772,"&lt;&gt;"&amp;$M$5)&gt;0,
              "Iuran dari Lingkungan lain",
              ""))</t>
  </si>
  <si>
    <t>=IF(COUNTIFS(IuranSYSebelumnya!$J$330:$J$772,$K23,IuranSYSebelumnya!$M$330:$M$772,AU$11,IuranSYSebelumnya!$L$330:$L$772,$M$5)&gt;0,
        VLOOKUP(CONCATENATE($K23,"|",AU$11,"|",$M$5),IuranSYSebelumnya!$I$330:$N$772,5,FALSE),
        IF(COUNTIFS(IuranSYSebelumnya!$J$330:$J$772,$K23,IuranSYSebelumnya!$M$330:$M$772,AU$11,IuranSYSebelumnya!$L$330:$L$772,"&lt;&gt;"&amp;$M$5)&gt;0,
              "Iuran dari Lingkungan lain",
              ""))</t>
  </si>
  <si>
    <t>=IF(COUNTIFS(IuranSYSebelumnya!$J$330:$J$772,$K23,IuranSYSebelumnya!$M$330:$M$772,AV$11,IuranSYSebelumnya!$L$330:$L$772,$M$5)&gt;0,
        VLOOKUP(CONCATENATE($K23,"|",AV$11,"|",$M$5),IuranSYSebelumnya!$I$330:$N$772,5,FALSE),
        IF(COUNTIFS(IuranSYSebelumnya!$J$330:$J$772,$K23,IuranSYSebelumnya!$M$330:$M$772,AV$11,IuranSYSebelumnya!$L$330:$L$772,"&lt;&gt;"&amp;$M$5)&gt;0,
              "Iuran dari Lingkungan lain",
              ""))</t>
  </si>
  <si>
    <t>=IF(COUNTIFS(IuranSYSebelumnya!$J$330:$J$772,$K23,IuranSYSebelumnya!$M$330:$M$772,AW$11,IuranSYSebelumnya!$L$330:$L$772,$M$5)&gt;0,
        VLOOKUP(CONCATENATE($K23,"|",AW$11,"|",$M$5),IuranSYSebelumnya!$I$330:$N$772,5,FALSE),
        IF(COUNTIFS(IuranSYSebelumnya!$J$330:$J$772,$K23,IuranSYSebelumnya!$M$330:$M$772,AW$11,IuranSYSebelumnya!$L$330:$L$772,"&lt;&gt;"&amp;$M$5)&gt;0,
              "Iuran dari Lingkungan lain",
              ""))</t>
  </si>
  <si>
    <t>=IF(COUNTIFS(IuranSYSebelumnya!$J$330:$J$772,$K23,IuranSYSebelumnya!$M$330:$M$772,AX$11,IuranSYSebelumnya!$L$330:$L$772,$M$5)&gt;0,
        VLOOKUP(CONCATENATE($K23,"|",AX$11,"|",$M$5),IuranSYSebelumnya!$I$330:$N$772,5,FALSE),
        IF(COUNTIFS(IuranSYSebelumnya!$J$330:$J$772,$K23,IuranSYSebelumnya!$M$330:$M$772,AX$11,IuranSYSebelumnya!$L$330:$L$772,"&lt;&gt;"&amp;$M$5)&gt;0,
              "Iuran dari Lingkungan lain",
              ""))</t>
  </si>
  <si>
    <t>=IF(COUNTIFS(IuranSYSebelumnya!$J$330:$J$772,$K23,IuranSYSebelumnya!$M$330:$M$772,AY$11,IuranSYSebelumnya!$L$330:$L$772,$M$5)&gt;0,
        VLOOKUP(CONCATENATE($K23,"|",AY$11,"|",$M$5),IuranSYSebelumnya!$I$330:$N$772,5,FALSE),
        IF(COUNTIFS(IuranSYSebelumnya!$J$330:$J$772,$K23,IuranSYSebelumnya!$M$330:$M$772,AY$11,IuranSYSebelumnya!$L$330:$L$772,"&lt;&gt;"&amp;$M$5)&gt;0,
              "Iuran dari Lingkungan lain",
              ""))</t>
  </si>
  <si>
    <t>=IF(COUNTIFS(IuranSYSebelumnya!$J$330:$J$772,$K23,IuranSYSebelumnya!$M$330:$M$772,AZ$11,IuranSYSebelumnya!$L$330:$L$772,$M$5)&gt;0,
        VLOOKUP(CONCATENATE($K23,"|",AZ$11,"|",$M$5),IuranSYSebelumnya!$I$330:$N$772,5,FALSE),
        IF(COUNTIFS(IuranSYSebelumnya!$J$330:$J$772,$K23,IuranSYSebelumnya!$M$330:$M$772,AZ$11,IuranSYSebelumnya!$L$330:$L$772,"&lt;&gt;"&amp;$M$5)&gt;0,
              "Iuran dari Lingkungan lain",
              ""))</t>
  </si>
  <si>
    <t>=IF(COUNTIFS(IuranSYSebelumnya!$J$330:$J$772,$K23,IuranSYSebelumnya!$M$330:$M$772,BA$11,IuranSYSebelumnya!$L$330:$L$772,$M$5)&gt;0,
        VLOOKUP(CONCATENATE($K23,"|",BA$11,"|",$M$5),IuranSYSebelumnya!$I$330:$N$772,5,FALSE),
        IF(COUNTIFS(IuranSYSebelumnya!$J$330:$J$772,$K23,IuranSYSebelumnya!$M$330:$M$772,BA$11,IuranSYSebelumnya!$L$330:$L$772,"&lt;&gt;"&amp;$M$5)&gt;0,
              "Iuran dari Lingkungan lain",
              ""))</t>
  </si>
  <si>
    <t>=IF(COUNTIFS(IuranSYSebelumnya!$J$330:$J$772,$K23,IuranSYSebelumnya!$M$330:$M$772,BB$11,IuranSYSebelumnya!$L$330:$L$772,$M$5)&gt;0,
        VLOOKUP(CONCATENATE($K23,"|",BB$11,"|",$M$5),IuranSYSebelumnya!$I$330:$N$772,5,FALSE),
        IF(COUNTIFS(IuranSYSebelumnya!$J$330:$J$772,$K23,IuranSYSebelumnya!$M$330:$M$772,BB$11,IuranSYSebelumnya!$L$330:$L$772,"&lt;&gt;"&amp;$M$5)&gt;0,
              "Iuran dari Lingkungan lain",
              ""))</t>
  </si>
  <si>
    <t>=IF(COUNTIFS(IuranSYSebelumnya!$J$330:$J$772,$K23,IuranSYSebelumnya!$M$330:$M$772,BC$11,IuranSYSebelumnya!$L$330:$L$772,$M$5)&gt;0,
        VLOOKUP(CONCATENATE($K23,"|",BC$11,"|",$M$5),IuranSYSebelumnya!$I$330:$N$772,5,FALSE),
        IF(COUNTIFS(IuranSYSebelumnya!$J$330:$J$772,$K23,IuranSYSebelumnya!$M$330:$M$772,BC$11,IuranSYSebelumnya!$L$330:$L$772,"&lt;&gt;"&amp;$M$5)&gt;0,
              "Iuran dari Lingkungan lain",
              ""))</t>
  </si>
  <si>
    <t>=IF(COUNTIFS(IuranSYSebelumnya!$J$330:$J$772,$K23,IuranSYSebelumnya!$M$330:$M$772,BD$11,IuranSYSebelumnya!$L$330:$L$772,$M$5)&gt;0,
        VLOOKUP(CONCATENATE($K23,"|",BD$11,"|",$M$5),IuranSYSebelumnya!$I$330:$N$772,5,FALSE),
        IF(COUNTIFS(IuranSYSebelumnya!$J$330:$J$772,$K23,IuranSYSebelumnya!$M$330:$M$772,BD$11,IuranSYSebelumnya!$L$330:$L$772,"&lt;&gt;"&amp;$M$5)&gt;0,
              "Iuran dari Lingkungan lain",
              ""))</t>
  </si>
  <si>
    <t>=IF(COUNTIFS(IuranSYSebelumnya!$J$330:$J$772,$K23,IuranSYSebelumnya!$M$330:$M$772,BE$11,IuranSYSebelumnya!$L$330:$L$772,$M$5)&gt;0,
        VLOOKUP(CONCATENATE($K23,"|",BE$11,"|",$M$5),IuranSYSebelumnya!$I$330:$N$772,5,FALSE),
        IF(COUNTIFS(IuranSYSebelumnya!$J$330:$J$772,$K23,IuranSYSebelumnya!$M$330:$M$772,BE$11,IuranSYSebelumnya!$L$330:$L$772,"&lt;&gt;"&amp;$M$5)&gt;0,
              "Iuran dari Lingkungan lain",
              ""))</t>
  </si>
  <si>
    <t>=IF(COUNTIFS(IuranSYSebelumnya!$J$330:$J$772,$K23,IuranSYSebelumnya!$M$330:$M$772,BF$11,IuranSYSebelumnya!$L$330:$L$772,$M$5)&gt;0,
        VLOOKUP(CONCATENATE($K23,"|",BF$11,"|",$M$5),IuranSYSebelumnya!$I$330:$N$772,5,FALSE),
        IF(COUNTIFS(IuranSYSebelumnya!$J$330:$J$772,$K23,IuranSYSebelumnya!$M$330:$M$772,BF$11,IuranSYSebelumnya!$L$330:$L$772,"&lt;&gt;"&amp;$M$5)&gt;0,
              "Iuran dari Lingkungan lain",
              ""))</t>
  </si>
  <si>
    <t>=IF(COUNTIFS(IuranSYSebelumnya!$J$330:$J$772,$K23,IuranSYSebelumnya!$M$330:$M$772,BG$11,IuranSYSebelumnya!$L$330:$L$772,$M$5)&gt;0,
        VLOOKUP(CONCATENATE($K23,"|",BG$11,"|",$M$5),IuranSYSebelumnya!$I$330:$N$772,5,FALSE),
        IF(COUNTIFS(IuranSYSebelumnya!$J$330:$J$772,$K23,IuranSYSebelumnya!$M$330:$M$772,BG$11,IuranSYSebelumnya!$L$330:$L$772,"&lt;&gt;"&amp;$M$5)&gt;0,
              "Iuran dari Lingkungan lain",
              ""))</t>
  </si>
  <si>
    <t>=IF(COUNTIFS(IuranSYSebelumnya!$J$330:$J$772,$K23,IuranSYSebelumnya!$M$330:$M$772,BH$11,IuranSYSebelumnya!$L$330:$L$772,$M$5)&gt;0,
        VLOOKUP(CONCATENATE($K23,"|",BH$11,"|",$M$5),IuranSYSebelumnya!$I$330:$N$772,5,FALSE),
        IF(COUNTIFS(IuranSYSebelumnya!$J$330:$J$772,$K23,IuranSYSebelumnya!$M$330:$M$772,BH$11,IuranSYSebelumnya!$L$330:$L$772,"&lt;&gt;"&amp;$M$5)&gt;0,
              "Iuran dari Lingkungan lain",
              ""))</t>
  </si>
  <si>
    <t>=IF(COUNTIFS(IuranSYSebelumnya!$J$330:$J$772,$K23,IuranSYSebelumnya!$M$330:$M$772,BI$11,IuranSYSebelumnya!$L$330:$L$772,$M$5)&gt;0,
        VLOOKUP(CONCATENATE($K23,"|",BI$11,"|",$M$5),IuranSYSebelumnya!$I$330:$N$772,5,FALSE),
        IF(COUNTIFS(IuranSYSebelumnya!$J$330:$J$772,$K23,IuranSYSebelumnya!$M$330:$M$772,BI$11,IuranSYSebelumnya!$L$330:$L$772,"&lt;&gt;"&amp;$M$5)&gt;0,
              "Iuran dari Lingkungan lain",
              ""))</t>
  </si>
  <si>
    <t>=IF(COUNTIFS(IuranSYSebelumnya!$J$330:$J$772,$K23,IuranSYSebelumnya!$M$330:$M$772,BJ$11,IuranSYSebelumnya!$L$330:$L$772,$M$5)&gt;0,
        VLOOKUP(CONCATENATE($K23,"|",BJ$11,"|",$M$5),IuranSYSebelumnya!$I$330:$N$772,5,FALSE),
        IF(COUNTIFS(IuranSYSebelumnya!$J$330:$J$772,$K23,IuranSYSebelumnya!$M$330:$M$772,BJ$11,IuranSYSebelumnya!$L$330:$L$772,"&lt;&gt;"&amp;$M$5)&gt;0,
              "Iuran dari Lingkungan lain",
              ""))</t>
  </si>
  <si>
    <t>=IF(COUNTIFS(IuranSYSebelumnya!$J$330:$J$772,$K23,IuranSYSebelumnya!$M$330:$M$772,BK$11,IuranSYSebelumnya!$L$330:$L$772,$M$5)&gt;0,
        VLOOKUP(CONCATENATE($K23,"|",BK$11,"|",$M$5),IuranSYSebelumnya!$I$330:$N$772,5,FALSE),
        IF(COUNTIFS(IuranSYSebelumnya!$J$330:$J$772,$K23,IuranSYSebelumnya!$M$330:$M$772,BK$11,IuranSYSebelumnya!$L$330:$L$772,"&lt;&gt;"&amp;$M$5)&gt;0,
              "Iuran dari Lingkungan lain",
              ""))</t>
  </si>
  <si>
    <t>=IF(COUNTIFS(IuranSYSebelumnya!$J$330:$J$772,$K23,IuranSYSebelumnya!$M$330:$M$772,BL$11,IuranSYSebelumnya!$L$330:$L$772,$M$5)&gt;0,
        VLOOKUP(CONCATENATE($K23,"|",BL$11,"|",$M$5),IuranSYSebelumnya!$I$330:$N$772,5,FALSE),
        IF(COUNTIFS(IuranSYSebelumnya!$J$330:$J$772,$K23,IuranSYSebelumnya!$M$330:$M$772,BL$11,IuranSYSebelumnya!$L$330:$L$772,"&lt;&gt;"&amp;$M$5)&gt;0,
              "Iuran dari Lingkungan lain",
              ""))</t>
  </si>
  <si>
    <t>=IF(COUNTIFS(IuranSYSebelumnya!$J$330:$J$772,$K24,IuranSYSebelumnya!$M$330:$M$772,AO$11,IuranSYSebelumnya!$L$330:$L$772,$M$5)&gt;0,
        VLOOKUP(CONCATENATE($K24,"|",AO$11,"|",$M$5),IuranSYSebelumnya!$I$330:$N$772,5,FALSE),
        IF(COUNTIFS(IuranSYSebelumnya!$J$330:$J$772,$K24,IuranSYSebelumnya!$M$330:$M$772,AO$11,IuranSYSebelumnya!$L$330:$L$772,"&lt;&gt;"&amp;$M$5)&gt;0,
              "Iuran dari Lingkungan lain",
              ""))</t>
  </si>
  <si>
    <t>=IF(COUNTIFS(IuranSYSebelumnya!$J$330:$J$772,$K24,IuranSYSebelumnya!$M$330:$M$772,AP$11,IuranSYSebelumnya!$L$330:$L$772,$M$5)&gt;0,
        VLOOKUP(CONCATENATE($K24,"|",AP$11,"|",$M$5),IuranSYSebelumnya!$I$330:$N$772,5,FALSE),
        IF(COUNTIFS(IuranSYSebelumnya!$J$330:$J$772,$K24,IuranSYSebelumnya!$M$330:$M$772,AP$11,IuranSYSebelumnya!$L$330:$L$772,"&lt;&gt;"&amp;$M$5)&gt;0,
              "Iuran dari Lingkungan lain",
              ""))</t>
  </si>
  <si>
    <t>=IF(COUNTIFS(IuranSYSebelumnya!$J$330:$J$772,$K24,IuranSYSebelumnya!$M$330:$M$772,AQ$11,IuranSYSebelumnya!$L$330:$L$772,$M$5)&gt;0,
        VLOOKUP(CONCATENATE($K24,"|",AQ$11,"|",$M$5),IuranSYSebelumnya!$I$330:$N$772,5,FALSE),
        IF(COUNTIFS(IuranSYSebelumnya!$J$330:$J$772,$K24,IuranSYSebelumnya!$M$330:$M$772,AQ$11,IuranSYSebelumnya!$L$330:$L$772,"&lt;&gt;"&amp;$M$5)&gt;0,
              "Iuran dari Lingkungan lain",
              ""))</t>
  </si>
  <si>
    <t>=IF(COUNTIFS(IuranSYSebelumnya!$J$330:$J$772,$K24,IuranSYSebelumnya!$M$330:$M$772,AR$11,IuranSYSebelumnya!$L$330:$L$772,$M$5)&gt;0,
        VLOOKUP(CONCATENATE($K24,"|",AR$11,"|",$M$5),IuranSYSebelumnya!$I$330:$N$772,5,FALSE),
        IF(COUNTIFS(IuranSYSebelumnya!$J$330:$J$772,$K24,IuranSYSebelumnya!$M$330:$M$772,AR$11,IuranSYSebelumnya!$L$330:$L$772,"&lt;&gt;"&amp;$M$5)&gt;0,
              "Iuran dari Lingkungan lain",
              ""))</t>
  </si>
  <si>
    <t>=IF(COUNTIFS(IuranSYSebelumnya!$J$330:$J$772,$K24,IuranSYSebelumnya!$M$330:$M$772,AS$11,IuranSYSebelumnya!$L$330:$L$772,$M$5)&gt;0,
        VLOOKUP(CONCATENATE($K24,"|",AS$11,"|",$M$5),IuranSYSebelumnya!$I$330:$N$772,5,FALSE),
        IF(COUNTIFS(IuranSYSebelumnya!$J$330:$J$772,$K24,IuranSYSebelumnya!$M$330:$M$772,AS$11,IuranSYSebelumnya!$L$330:$L$772,"&lt;&gt;"&amp;$M$5)&gt;0,
              "Iuran dari Lingkungan lain",
              ""))</t>
  </si>
  <si>
    <t>=IF(COUNTIFS(IuranSYSebelumnya!$J$330:$J$772,$K24,IuranSYSebelumnya!$M$330:$M$772,AT$11,IuranSYSebelumnya!$L$330:$L$772,$M$5)&gt;0,
        VLOOKUP(CONCATENATE($K24,"|",AT$11,"|",$M$5),IuranSYSebelumnya!$I$330:$N$772,5,FALSE),
        IF(COUNTIFS(IuranSYSebelumnya!$J$330:$J$772,$K24,IuranSYSebelumnya!$M$330:$M$772,AT$11,IuranSYSebelumnya!$L$330:$L$772,"&lt;&gt;"&amp;$M$5)&gt;0,
              "Iuran dari Lingkungan lain",
              ""))</t>
  </si>
  <si>
    <t>=IF(COUNTIFS(IuranSYSebelumnya!$J$330:$J$772,$K24,IuranSYSebelumnya!$M$330:$M$772,AU$11,IuranSYSebelumnya!$L$330:$L$772,$M$5)&gt;0,
        VLOOKUP(CONCATENATE($K24,"|",AU$11,"|",$M$5),IuranSYSebelumnya!$I$330:$N$772,5,FALSE),
        IF(COUNTIFS(IuranSYSebelumnya!$J$330:$J$772,$K24,IuranSYSebelumnya!$M$330:$M$772,AU$11,IuranSYSebelumnya!$L$330:$L$772,"&lt;&gt;"&amp;$M$5)&gt;0,
              "Iuran dari Lingkungan lain",
              ""))</t>
  </si>
  <si>
    <t>=IF(COUNTIFS(IuranSYSebelumnya!$J$330:$J$772,$K24,IuranSYSebelumnya!$M$330:$M$772,AV$11,IuranSYSebelumnya!$L$330:$L$772,$M$5)&gt;0,
        VLOOKUP(CONCATENATE($K24,"|",AV$11,"|",$M$5),IuranSYSebelumnya!$I$330:$N$772,5,FALSE),
        IF(COUNTIFS(IuranSYSebelumnya!$J$330:$J$772,$K24,IuranSYSebelumnya!$M$330:$M$772,AV$11,IuranSYSebelumnya!$L$330:$L$772,"&lt;&gt;"&amp;$M$5)&gt;0,
              "Iuran dari Lingkungan lain",
              ""))</t>
  </si>
  <si>
    <t>=IF(COUNTIFS(IuranSYSebelumnya!$J$330:$J$772,$K24,IuranSYSebelumnya!$M$330:$M$772,AW$11,IuranSYSebelumnya!$L$330:$L$772,$M$5)&gt;0,
        VLOOKUP(CONCATENATE($K24,"|",AW$11,"|",$M$5),IuranSYSebelumnya!$I$330:$N$772,5,FALSE),
        IF(COUNTIFS(IuranSYSebelumnya!$J$330:$J$772,$K24,IuranSYSebelumnya!$M$330:$M$772,AW$11,IuranSYSebelumnya!$L$330:$L$772,"&lt;&gt;"&amp;$M$5)&gt;0,
              "Iuran dari Lingkungan lain",
              ""))</t>
  </si>
  <si>
    <t>=IF(COUNTIFS(IuranSYSebelumnya!$J$330:$J$772,$K24,IuranSYSebelumnya!$M$330:$M$772,AX$11,IuranSYSebelumnya!$L$330:$L$772,$M$5)&gt;0,
        VLOOKUP(CONCATENATE($K24,"|",AX$11,"|",$M$5),IuranSYSebelumnya!$I$330:$N$772,5,FALSE),
        IF(COUNTIFS(IuranSYSebelumnya!$J$330:$J$772,$K24,IuranSYSebelumnya!$M$330:$M$772,AX$11,IuranSYSebelumnya!$L$330:$L$772,"&lt;&gt;"&amp;$M$5)&gt;0,
              "Iuran dari Lingkungan lain",
              ""))</t>
  </si>
  <si>
    <t>=IF(COUNTIFS(IuranSYSebelumnya!$J$330:$J$772,$K24,IuranSYSebelumnya!$M$330:$M$772,AY$11,IuranSYSebelumnya!$L$330:$L$772,$M$5)&gt;0,
        VLOOKUP(CONCATENATE($K24,"|",AY$11,"|",$M$5),IuranSYSebelumnya!$I$330:$N$772,5,FALSE),
        IF(COUNTIFS(IuranSYSebelumnya!$J$330:$J$772,$K24,IuranSYSebelumnya!$M$330:$M$772,AY$11,IuranSYSebelumnya!$L$330:$L$772,"&lt;&gt;"&amp;$M$5)&gt;0,
              "Iuran dari Lingkungan lain",
              ""))</t>
  </si>
  <si>
    <t>=IF(COUNTIFS(IuranSYSebelumnya!$J$330:$J$772,$K24,IuranSYSebelumnya!$M$330:$M$772,AZ$11,IuranSYSebelumnya!$L$330:$L$772,$M$5)&gt;0,
        VLOOKUP(CONCATENATE($K24,"|",AZ$11,"|",$M$5),IuranSYSebelumnya!$I$330:$N$772,5,FALSE),
        IF(COUNTIFS(IuranSYSebelumnya!$J$330:$J$772,$K24,IuranSYSebelumnya!$M$330:$M$772,AZ$11,IuranSYSebelumnya!$L$330:$L$772,"&lt;&gt;"&amp;$M$5)&gt;0,
              "Iuran dari Lingkungan lain",
              ""))</t>
  </si>
  <si>
    <t>=IF(COUNTIFS(IuranSYSebelumnya!$J$330:$J$772,$K24,IuranSYSebelumnya!$M$330:$M$772,BA$11,IuranSYSebelumnya!$L$330:$L$772,$M$5)&gt;0,
        VLOOKUP(CONCATENATE($K24,"|",BA$11,"|",$M$5),IuranSYSebelumnya!$I$330:$N$772,5,FALSE),
        IF(COUNTIFS(IuranSYSebelumnya!$J$330:$J$772,$K24,IuranSYSebelumnya!$M$330:$M$772,BA$11,IuranSYSebelumnya!$L$330:$L$772,"&lt;&gt;"&amp;$M$5)&gt;0,
              "Iuran dari Lingkungan lain",
              ""))</t>
  </si>
  <si>
    <t>=IF(COUNTIFS(IuranSYSebelumnya!$J$330:$J$772,$K24,IuranSYSebelumnya!$M$330:$M$772,BB$11,IuranSYSebelumnya!$L$330:$L$772,$M$5)&gt;0,
        VLOOKUP(CONCATENATE($K24,"|",BB$11,"|",$M$5),IuranSYSebelumnya!$I$330:$N$772,5,FALSE),
        IF(COUNTIFS(IuranSYSebelumnya!$J$330:$J$772,$K24,IuranSYSebelumnya!$M$330:$M$772,BB$11,IuranSYSebelumnya!$L$330:$L$772,"&lt;&gt;"&amp;$M$5)&gt;0,
              "Iuran dari Lingkungan lain",
              ""))</t>
  </si>
  <si>
    <t>=IF(COUNTIFS(IuranSYSebelumnya!$J$330:$J$772,$K24,IuranSYSebelumnya!$M$330:$M$772,BC$11,IuranSYSebelumnya!$L$330:$L$772,$M$5)&gt;0,
        VLOOKUP(CONCATENATE($K24,"|",BC$11,"|",$M$5),IuranSYSebelumnya!$I$330:$N$772,5,FALSE),
        IF(COUNTIFS(IuranSYSebelumnya!$J$330:$J$772,$K24,IuranSYSebelumnya!$M$330:$M$772,BC$11,IuranSYSebelumnya!$L$330:$L$772,"&lt;&gt;"&amp;$M$5)&gt;0,
              "Iuran dari Lingkungan lain",
              ""))</t>
  </si>
  <si>
    <t>=IF(COUNTIFS(IuranSYSebelumnya!$J$330:$J$772,$K24,IuranSYSebelumnya!$M$330:$M$772,BD$11,IuranSYSebelumnya!$L$330:$L$772,$M$5)&gt;0,
        VLOOKUP(CONCATENATE($K24,"|",BD$11,"|",$M$5),IuranSYSebelumnya!$I$330:$N$772,5,FALSE),
        IF(COUNTIFS(IuranSYSebelumnya!$J$330:$J$772,$K24,IuranSYSebelumnya!$M$330:$M$772,BD$11,IuranSYSebelumnya!$L$330:$L$772,"&lt;&gt;"&amp;$M$5)&gt;0,
              "Iuran dari Lingkungan lain",
              ""))</t>
  </si>
  <si>
    <t>=IF(COUNTIFS(IuranSYSebelumnya!$J$330:$J$772,$K24,IuranSYSebelumnya!$M$330:$M$772,BE$11,IuranSYSebelumnya!$L$330:$L$772,$M$5)&gt;0,
        VLOOKUP(CONCATENATE($K24,"|",BE$11,"|",$M$5),IuranSYSebelumnya!$I$330:$N$772,5,FALSE),
        IF(COUNTIFS(IuranSYSebelumnya!$J$330:$J$772,$K24,IuranSYSebelumnya!$M$330:$M$772,BE$11,IuranSYSebelumnya!$L$330:$L$772,"&lt;&gt;"&amp;$M$5)&gt;0,
              "Iuran dari Lingkungan lain",
              ""))</t>
  </si>
  <si>
    <t>=IF(COUNTIFS(IuranSYSebelumnya!$J$330:$J$772,$K24,IuranSYSebelumnya!$M$330:$M$772,BF$11,IuranSYSebelumnya!$L$330:$L$772,$M$5)&gt;0,
        VLOOKUP(CONCATENATE($K24,"|",BF$11,"|",$M$5),IuranSYSebelumnya!$I$330:$N$772,5,FALSE),
        IF(COUNTIFS(IuranSYSebelumnya!$J$330:$J$772,$K24,IuranSYSebelumnya!$M$330:$M$772,BF$11,IuranSYSebelumnya!$L$330:$L$772,"&lt;&gt;"&amp;$M$5)&gt;0,
              "Iuran dari Lingkungan lain",
              ""))</t>
  </si>
  <si>
    <t>=IF(COUNTIFS(IuranSYSebelumnya!$J$330:$J$772,$K24,IuranSYSebelumnya!$M$330:$M$772,BG$11,IuranSYSebelumnya!$L$330:$L$772,$M$5)&gt;0,
        VLOOKUP(CONCATENATE($K24,"|",BG$11,"|",$M$5),IuranSYSebelumnya!$I$330:$N$772,5,FALSE),
        IF(COUNTIFS(IuranSYSebelumnya!$J$330:$J$772,$K24,IuranSYSebelumnya!$M$330:$M$772,BG$11,IuranSYSebelumnya!$L$330:$L$772,"&lt;&gt;"&amp;$M$5)&gt;0,
              "Iuran dari Lingkungan lain",
              ""))</t>
  </si>
  <si>
    <t>=IF(COUNTIFS(IuranSYSebelumnya!$J$330:$J$772,$K24,IuranSYSebelumnya!$M$330:$M$772,BH$11,IuranSYSebelumnya!$L$330:$L$772,$M$5)&gt;0,
        VLOOKUP(CONCATENATE($K24,"|",BH$11,"|",$M$5),IuranSYSebelumnya!$I$330:$N$772,5,FALSE),
        IF(COUNTIFS(IuranSYSebelumnya!$J$330:$J$772,$K24,IuranSYSebelumnya!$M$330:$M$772,BH$11,IuranSYSebelumnya!$L$330:$L$772,"&lt;&gt;"&amp;$M$5)&gt;0,
              "Iuran dari Lingkungan lain",
              ""))</t>
  </si>
  <si>
    <t>=IF(COUNTIFS(IuranSYSebelumnya!$J$330:$J$772,$K24,IuranSYSebelumnya!$M$330:$M$772,BI$11,IuranSYSebelumnya!$L$330:$L$772,$M$5)&gt;0,
        VLOOKUP(CONCATENATE($K24,"|",BI$11,"|",$M$5),IuranSYSebelumnya!$I$330:$N$772,5,FALSE),
        IF(COUNTIFS(IuranSYSebelumnya!$J$330:$J$772,$K24,IuranSYSebelumnya!$M$330:$M$772,BI$11,IuranSYSebelumnya!$L$330:$L$772,"&lt;&gt;"&amp;$M$5)&gt;0,
              "Iuran dari Lingkungan lain",
              ""))</t>
  </si>
  <si>
    <t>=IF(COUNTIFS(IuranSYSebelumnya!$J$330:$J$772,$K24,IuranSYSebelumnya!$M$330:$M$772,BJ$11,IuranSYSebelumnya!$L$330:$L$772,$M$5)&gt;0,
        VLOOKUP(CONCATENATE($K24,"|",BJ$11,"|",$M$5),IuranSYSebelumnya!$I$330:$N$772,5,FALSE),
        IF(COUNTIFS(IuranSYSebelumnya!$J$330:$J$772,$K24,IuranSYSebelumnya!$M$330:$M$772,BJ$11,IuranSYSebelumnya!$L$330:$L$772,"&lt;&gt;"&amp;$M$5)&gt;0,
              "Iuran dari Lingkungan lain",
              ""))</t>
  </si>
  <si>
    <t>=IF(COUNTIFS(IuranSYSebelumnya!$J$330:$J$772,$K24,IuranSYSebelumnya!$M$330:$M$772,BK$11,IuranSYSebelumnya!$L$330:$L$772,$M$5)&gt;0,
        VLOOKUP(CONCATENATE($K24,"|",BK$11,"|",$M$5),IuranSYSebelumnya!$I$330:$N$772,5,FALSE),
        IF(COUNTIFS(IuranSYSebelumnya!$J$330:$J$772,$K24,IuranSYSebelumnya!$M$330:$M$772,BK$11,IuranSYSebelumnya!$L$330:$L$772,"&lt;&gt;"&amp;$M$5)&gt;0,
              "Iuran dari Lingkungan lain",
              ""))</t>
  </si>
  <si>
    <t>=IF(COUNTIFS(IuranSYSebelumnya!$J$330:$J$772,$K24,IuranSYSebelumnya!$M$330:$M$772,BL$11,IuranSYSebelumnya!$L$330:$L$772,$M$5)&gt;0,
        VLOOKUP(CONCATENATE($K24,"|",BL$11,"|",$M$5),IuranSYSebelumnya!$I$330:$N$772,5,FALSE),
        IF(COUNTIFS(IuranSYSebelumnya!$J$330:$J$772,$K24,IuranSYSebelumnya!$M$330:$M$772,BL$11,IuranSYSebelumnya!$L$330:$L$772,"&lt;&gt;"&amp;$M$5)&gt;0,
              "Iuran dari Lingkungan lain",
              ""))</t>
  </si>
  <si>
    <t>=IF(COUNTIFS(IuranSYSebelumnya!$J$330:$J$772,$K25,IuranSYSebelumnya!$M$330:$M$772,AO$11,IuranSYSebelumnya!$L$330:$L$772,$M$5)&gt;0,
        VLOOKUP(CONCATENATE($K25,"|",AO$11,"|",$M$5),IuranSYSebelumnya!$I$330:$N$772,5,FALSE),
        IF(COUNTIFS(IuranSYSebelumnya!$J$330:$J$772,$K25,IuranSYSebelumnya!$M$330:$M$772,AO$11,IuranSYSebelumnya!$L$330:$L$772,"&lt;&gt;"&amp;$M$5)&gt;0,
              "Iuran dari Lingkungan lain",
              ""))</t>
  </si>
  <si>
    <t>=IF(COUNTIFS(IuranSYSebelumnya!$J$330:$J$772,$K25,IuranSYSebelumnya!$M$330:$M$772,AP$11,IuranSYSebelumnya!$L$330:$L$772,$M$5)&gt;0,
        VLOOKUP(CONCATENATE($K25,"|",AP$11,"|",$M$5),IuranSYSebelumnya!$I$330:$N$772,5,FALSE),
        IF(COUNTIFS(IuranSYSebelumnya!$J$330:$J$772,$K25,IuranSYSebelumnya!$M$330:$M$772,AP$11,IuranSYSebelumnya!$L$330:$L$772,"&lt;&gt;"&amp;$M$5)&gt;0,
              "Iuran dari Lingkungan lain",
              ""))</t>
  </si>
  <si>
    <t>=IF(COUNTIFS(IuranSYSebelumnya!$J$330:$J$772,$K25,IuranSYSebelumnya!$M$330:$M$772,AQ$11,IuranSYSebelumnya!$L$330:$L$772,$M$5)&gt;0,
        VLOOKUP(CONCATENATE($K25,"|",AQ$11,"|",$M$5),IuranSYSebelumnya!$I$330:$N$772,5,FALSE),
        IF(COUNTIFS(IuranSYSebelumnya!$J$330:$J$772,$K25,IuranSYSebelumnya!$M$330:$M$772,AQ$11,IuranSYSebelumnya!$L$330:$L$772,"&lt;&gt;"&amp;$M$5)&gt;0,
              "Iuran dari Lingkungan lain",
              ""))</t>
  </si>
  <si>
    <t>=IF(COUNTIFS(IuranSYSebelumnya!$J$330:$J$772,$K25,IuranSYSebelumnya!$M$330:$M$772,AR$11,IuranSYSebelumnya!$L$330:$L$772,$M$5)&gt;0,
        VLOOKUP(CONCATENATE($K25,"|",AR$11,"|",$M$5),IuranSYSebelumnya!$I$330:$N$772,5,FALSE),
        IF(COUNTIFS(IuranSYSebelumnya!$J$330:$J$772,$K25,IuranSYSebelumnya!$M$330:$M$772,AR$11,IuranSYSebelumnya!$L$330:$L$772,"&lt;&gt;"&amp;$M$5)&gt;0,
              "Iuran dari Lingkungan lain",
              ""))</t>
  </si>
  <si>
    <t>=IF(COUNTIFS(IuranSYSebelumnya!$J$330:$J$772,$K25,IuranSYSebelumnya!$M$330:$M$772,AS$11,IuranSYSebelumnya!$L$330:$L$772,$M$5)&gt;0,
        VLOOKUP(CONCATENATE($K25,"|",AS$11,"|",$M$5),IuranSYSebelumnya!$I$330:$N$772,5,FALSE),
        IF(COUNTIFS(IuranSYSebelumnya!$J$330:$J$772,$K25,IuranSYSebelumnya!$M$330:$M$772,AS$11,IuranSYSebelumnya!$L$330:$L$772,"&lt;&gt;"&amp;$M$5)&gt;0,
              "Iuran dari Lingkungan lain",
              ""))</t>
  </si>
  <si>
    <t>=IF(COUNTIFS(IuranSYSebelumnya!$J$330:$J$772,$K25,IuranSYSebelumnya!$M$330:$M$772,AT$11,IuranSYSebelumnya!$L$330:$L$772,$M$5)&gt;0,
        VLOOKUP(CONCATENATE($K25,"|",AT$11,"|",$M$5),IuranSYSebelumnya!$I$330:$N$772,5,FALSE),
        IF(COUNTIFS(IuranSYSebelumnya!$J$330:$J$772,$K25,IuranSYSebelumnya!$M$330:$M$772,AT$11,IuranSYSebelumnya!$L$330:$L$772,"&lt;&gt;"&amp;$M$5)&gt;0,
              "Iuran dari Lingkungan lain",
              ""))</t>
  </si>
  <si>
    <t>=IF(COUNTIFS(IuranSYSebelumnya!$J$330:$J$772,$K25,IuranSYSebelumnya!$M$330:$M$772,AU$11,IuranSYSebelumnya!$L$330:$L$772,$M$5)&gt;0,
        VLOOKUP(CONCATENATE($K25,"|",AU$11,"|",$M$5),IuranSYSebelumnya!$I$330:$N$772,5,FALSE),
        IF(COUNTIFS(IuranSYSebelumnya!$J$330:$J$772,$K25,IuranSYSebelumnya!$M$330:$M$772,AU$11,IuranSYSebelumnya!$L$330:$L$772,"&lt;&gt;"&amp;$M$5)&gt;0,
              "Iuran dari Lingkungan lain",
              ""))</t>
  </si>
  <si>
    <t>=IF(COUNTIFS(IuranSYSebelumnya!$J$330:$J$772,$K25,IuranSYSebelumnya!$M$330:$M$772,AV$11,IuranSYSebelumnya!$L$330:$L$772,$M$5)&gt;0,
        VLOOKUP(CONCATENATE($K25,"|",AV$11,"|",$M$5),IuranSYSebelumnya!$I$330:$N$772,5,FALSE),
        IF(COUNTIFS(IuranSYSebelumnya!$J$330:$J$772,$K25,IuranSYSebelumnya!$M$330:$M$772,AV$11,IuranSYSebelumnya!$L$330:$L$772,"&lt;&gt;"&amp;$M$5)&gt;0,
              "Iuran dari Lingkungan lain",
              ""))</t>
  </si>
  <si>
    <t>=IF(COUNTIFS(IuranSYSebelumnya!$J$330:$J$772,$K25,IuranSYSebelumnya!$M$330:$M$772,AW$11,IuranSYSebelumnya!$L$330:$L$772,$M$5)&gt;0,
        VLOOKUP(CONCATENATE($K25,"|",AW$11,"|",$M$5),IuranSYSebelumnya!$I$330:$N$772,5,FALSE),
        IF(COUNTIFS(IuranSYSebelumnya!$J$330:$J$772,$K25,IuranSYSebelumnya!$M$330:$M$772,AW$11,IuranSYSebelumnya!$L$330:$L$772,"&lt;&gt;"&amp;$M$5)&gt;0,
              "Iuran dari Lingkungan lain",
              ""))</t>
  </si>
  <si>
    <t>=IF(COUNTIFS(IuranSYSebelumnya!$J$330:$J$772,$K25,IuranSYSebelumnya!$M$330:$M$772,AX$11,IuranSYSebelumnya!$L$330:$L$772,$M$5)&gt;0,
        VLOOKUP(CONCATENATE($K25,"|",AX$11,"|",$M$5),IuranSYSebelumnya!$I$330:$N$772,5,FALSE),
        IF(COUNTIFS(IuranSYSebelumnya!$J$330:$J$772,$K25,IuranSYSebelumnya!$M$330:$M$772,AX$11,IuranSYSebelumnya!$L$330:$L$772,"&lt;&gt;"&amp;$M$5)&gt;0,
              "Iuran dari Lingkungan lain",
              ""))</t>
  </si>
  <si>
    <t>=IF(COUNTIFS(IuranSYSebelumnya!$J$330:$J$772,$K25,IuranSYSebelumnya!$M$330:$M$772,AY$11,IuranSYSebelumnya!$L$330:$L$772,$M$5)&gt;0,
        VLOOKUP(CONCATENATE($K25,"|",AY$11,"|",$M$5),IuranSYSebelumnya!$I$330:$N$772,5,FALSE),
        IF(COUNTIFS(IuranSYSebelumnya!$J$330:$J$772,$K25,IuranSYSebelumnya!$M$330:$M$772,AY$11,IuranSYSebelumnya!$L$330:$L$772,"&lt;&gt;"&amp;$M$5)&gt;0,
              "Iuran dari Lingkungan lain",
              ""))</t>
  </si>
  <si>
    <t>=IF(COUNTIFS(IuranSYSebelumnya!$J$330:$J$772,$K25,IuranSYSebelumnya!$M$330:$M$772,AZ$11,IuranSYSebelumnya!$L$330:$L$772,$M$5)&gt;0,
        VLOOKUP(CONCATENATE($K25,"|",AZ$11,"|",$M$5),IuranSYSebelumnya!$I$330:$N$772,5,FALSE),
        IF(COUNTIFS(IuranSYSebelumnya!$J$330:$J$772,$K25,IuranSYSebelumnya!$M$330:$M$772,AZ$11,IuranSYSebelumnya!$L$330:$L$772,"&lt;&gt;"&amp;$M$5)&gt;0,
              "Iuran dari Lingkungan lain",
              ""))</t>
  </si>
  <si>
    <t>=IF(COUNTIFS(IuranSYSebelumnya!$J$330:$J$772,$K25,IuranSYSebelumnya!$M$330:$M$772,BA$11,IuranSYSebelumnya!$L$330:$L$772,$M$5)&gt;0,
        VLOOKUP(CONCATENATE($K25,"|",BA$11,"|",$M$5),IuranSYSebelumnya!$I$330:$N$772,5,FALSE),
        IF(COUNTIFS(IuranSYSebelumnya!$J$330:$J$772,$K25,IuranSYSebelumnya!$M$330:$M$772,BA$11,IuranSYSebelumnya!$L$330:$L$772,"&lt;&gt;"&amp;$M$5)&gt;0,
              "Iuran dari Lingkungan lain",
              ""))</t>
  </si>
  <si>
    <t>=IF(COUNTIFS(IuranSYSebelumnya!$J$330:$J$772,$K25,IuranSYSebelumnya!$M$330:$M$772,BB$11,IuranSYSebelumnya!$L$330:$L$772,$M$5)&gt;0,
        VLOOKUP(CONCATENATE($K25,"|",BB$11,"|",$M$5),IuranSYSebelumnya!$I$330:$N$772,5,FALSE),
        IF(COUNTIFS(IuranSYSebelumnya!$J$330:$J$772,$K25,IuranSYSebelumnya!$M$330:$M$772,BB$11,IuranSYSebelumnya!$L$330:$L$772,"&lt;&gt;"&amp;$M$5)&gt;0,
              "Iuran dari Lingkungan lain",
              ""))</t>
  </si>
  <si>
    <t>=IF(COUNTIFS(IuranSYSebelumnya!$J$330:$J$772,$K25,IuranSYSebelumnya!$M$330:$M$772,BC$11,IuranSYSebelumnya!$L$330:$L$772,$M$5)&gt;0,
        VLOOKUP(CONCATENATE($K25,"|",BC$11,"|",$M$5),IuranSYSebelumnya!$I$330:$N$772,5,FALSE),
        IF(COUNTIFS(IuranSYSebelumnya!$J$330:$J$772,$K25,IuranSYSebelumnya!$M$330:$M$772,BC$11,IuranSYSebelumnya!$L$330:$L$772,"&lt;&gt;"&amp;$M$5)&gt;0,
              "Iuran dari Lingkungan lain",
              ""))</t>
  </si>
  <si>
    <t>=IF(COUNTIFS(IuranSYSebelumnya!$J$330:$J$772,$K25,IuranSYSebelumnya!$M$330:$M$772,BD$11,IuranSYSebelumnya!$L$330:$L$772,$M$5)&gt;0,
        VLOOKUP(CONCATENATE($K25,"|",BD$11,"|",$M$5),IuranSYSebelumnya!$I$330:$N$772,5,FALSE),
        IF(COUNTIFS(IuranSYSebelumnya!$J$330:$J$772,$K25,IuranSYSebelumnya!$M$330:$M$772,BD$11,IuranSYSebelumnya!$L$330:$L$772,"&lt;&gt;"&amp;$M$5)&gt;0,
              "Iuran dari Lingkungan lain",
              ""))</t>
  </si>
  <si>
    <t>=IF(COUNTIFS(IuranSYSebelumnya!$J$330:$J$772,$K25,IuranSYSebelumnya!$M$330:$M$772,BE$11,IuranSYSebelumnya!$L$330:$L$772,$M$5)&gt;0,
        VLOOKUP(CONCATENATE($K25,"|",BE$11,"|",$M$5),IuranSYSebelumnya!$I$330:$N$772,5,FALSE),
        IF(COUNTIFS(IuranSYSebelumnya!$J$330:$J$772,$K25,IuranSYSebelumnya!$M$330:$M$772,BE$11,IuranSYSebelumnya!$L$330:$L$772,"&lt;&gt;"&amp;$M$5)&gt;0,
              "Iuran dari Lingkungan lain",
              ""))</t>
  </si>
  <si>
    <t>=IF(COUNTIFS(IuranSYSebelumnya!$J$330:$J$772,$K25,IuranSYSebelumnya!$M$330:$M$772,BF$11,IuranSYSebelumnya!$L$330:$L$772,$M$5)&gt;0,
        VLOOKUP(CONCATENATE($K25,"|",BF$11,"|",$M$5),IuranSYSebelumnya!$I$330:$N$772,5,FALSE),
        IF(COUNTIFS(IuranSYSebelumnya!$J$330:$J$772,$K25,IuranSYSebelumnya!$M$330:$M$772,BF$11,IuranSYSebelumnya!$L$330:$L$772,"&lt;&gt;"&amp;$M$5)&gt;0,
              "Iuran dari Lingkungan lain",
              ""))</t>
  </si>
  <si>
    <t>=IF(COUNTIFS(IuranSYSebelumnya!$J$330:$J$772,$K25,IuranSYSebelumnya!$M$330:$M$772,BG$11,IuranSYSebelumnya!$L$330:$L$772,$M$5)&gt;0,
        VLOOKUP(CONCATENATE($K25,"|",BG$11,"|",$M$5),IuranSYSebelumnya!$I$330:$N$772,5,FALSE),
        IF(COUNTIFS(IuranSYSebelumnya!$J$330:$J$772,$K25,IuranSYSebelumnya!$M$330:$M$772,BG$11,IuranSYSebelumnya!$L$330:$L$772,"&lt;&gt;"&amp;$M$5)&gt;0,
              "Iuran dari Lingkungan lain",
              ""))</t>
  </si>
  <si>
    <t>=IF(COUNTIFS(IuranSYSebelumnya!$J$330:$J$772,$K25,IuranSYSebelumnya!$M$330:$M$772,BH$11,IuranSYSebelumnya!$L$330:$L$772,$M$5)&gt;0,
        VLOOKUP(CONCATENATE($K25,"|",BH$11,"|",$M$5),IuranSYSebelumnya!$I$330:$N$772,5,FALSE),
        IF(COUNTIFS(IuranSYSebelumnya!$J$330:$J$772,$K25,IuranSYSebelumnya!$M$330:$M$772,BH$11,IuranSYSebelumnya!$L$330:$L$772,"&lt;&gt;"&amp;$M$5)&gt;0,
              "Iuran dari Lingkungan lain",
              ""))</t>
  </si>
  <si>
    <t>=IF(COUNTIFS(IuranSYSebelumnya!$J$330:$J$772,$K25,IuranSYSebelumnya!$M$330:$M$772,BI$11,IuranSYSebelumnya!$L$330:$L$772,$M$5)&gt;0,
        VLOOKUP(CONCATENATE($K25,"|",BI$11,"|",$M$5),IuranSYSebelumnya!$I$330:$N$772,5,FALSE),
        IF(COUNTIFS(IuranSYSebelumnya!$J$330:$J$772,$K25,IuranSYSebelumnya!$M$330:$M$772,BI$11,IuranSYSebelumnya!$L$330:$L$772,"&lt;&gt;"&amp;$M$5)&gt;0,
              "Iuran dari Lingkungan lain",
              ""))</t>
  </si>
  <si>
    <t>=IF(COUNTIFS(IuranSYSebelumnya!$J$330:$J$772,$K25,IuranSYSebelumnya!$M$330:$M$772,BJ$11,IuranSYSebelumnya!$L$330:$L$772,$M$5)&gt;0,
        VLOOKUP(CONCATENATE($K25,"|",BJ$11,"|",$M$5),IuranSYSebelumnya!$I$330:$N$772,5,FALSE),
        IF(COUNTIFS(IuranSYSebelumnya!$J$330:$J$772,$K25,IuranSYSebelumnya!$M$330:$M$772,BJ$11,IuranSYSebelumnya!$L$330:$L$772,"&lt;&gt;"&amp;$M$5)&gt;0,
              "Iuran dari Lingkungan lain",
              ""))</t>
  </si>
  <si>
    <t>=IF(COUNTIFS(IuranSYSebelumnya!$J$330:$J$772,$K25,IuranSYSebelumnya!$M$330:$M$772,BK$11,IuranSYSebelumnya!$L$330:$L$772,$M$5)&gt;0,
        VLOOKUP(CONCATENATE($K25,"|",BK$11,"|",$M$5),IuranSYSebelumnya!$I$330:$N$772,5,FALSE),
        IF(COUNTIFS(IuranSYSebelumnya!$J$330:$J$772,$K25,IuranSYSebelumnya!$M$330:$M$772,BK$11,IuranSYSebelumnya!$L$330:$L$772,"&lt;&gt;"&amp;$M$5)&gt;0,
              "Iuran dari Lingkungan lain",
              ""))</t>
  </si>
  <si>
    <t>=IF(COUNTIFS(IuranSYSebelumnya!$J$330:$J$772,$K25,IuranSYSebelumnya!$M$330:$M$772,BL$11,IuranSYSebelumnya!$L$330:$L$772,$M$5)&gt;0,
        VLOOKUP(CONCATENATE($K25,"|",BL$11,"|",$M$5),IuranSYSebelumnya!$I$330:$N$772,5,FALSE),
        IF(COUNTIFS(IuranSYSebelumnya!$J$330:$J$772,$K25,IuranSYSebelumnya!$M$330:$M$772,BL$11,IuranSYSebelumnya!$L$330:$L$772,"&lt;&gt;"&amp;$M$5)&gt;0,
              "Iuran dari Lingkungan lain",
              ""))</t>
  </si>
  <si>
    <t>=IF(COUNTIFS(IuranSYSebelumnya!$J$330:$J$772,$K26,IuranSYSebelumnya!$M$330:$M$772,AO$11,IuranSYSebelumnya!$L$330:$L$772,$M$5)&gt;0,
        VLOOKUP(CONCATENATE($K26,"|",AO$11,"|",$M$5),IuranSYSebelumnya!$I$330:$N$772,5,FALSE),
        IF(COUNTIFS(IuranSYSebelumnya!$J$330:$J$772,$K26,IuranSYSebelumnya!$M$330:$M$772,AO$11,IuranSYSebelumnya!$L$330:$L$772,"&lt;&gt;"&amp;$M$5)&gt;0,
              "Iuran dari Lingkungan lain",
              ""))</t>
  </si>
  <si>
    <t>=IF(COUNTIFS(IuranSYSebelumnya!$J$330:$J$772,$K26,IuranSYSebelumnya!$M$330:$M$772,AP$11,IuranSYSebelumnya!$L$330:$L$772,$M$5)&gt;0,
        VLOOKUP(CONCATENATE($K26,"|",AP$11,"|",$M$5),IuranSYSebelumnya!$I$330:$N$772,5,FALSE),
        IF(COUNTIFS(IuranSYSebelumnya!$J$330:$J$772,$K26,IuranSYSebelumnya!$M$330:$M$772,AP$11,IuranSYSebelumnya!$L$330:$L$772,"&lt;&gt;"&amp;$M$5)&gt;0,
              "Iuran dari Lingkungan lain",
              ""))</t>
  </si>
  <si>
    <t>=IF(COUNTIFS(IuranSYSebelumnya!$J$330:$J$772,$K26,IuranSYSebelumnya!$M$330:$M$772,AQ$11,IuranSYSebelumnya!$L$330:$L$772,$M$5)&gt;0,
        VLOOKUP(CONCATENATE($K26,"|",AQ$11,"|",$M$5),IuranSYSebelumnya!$I$330:$N$772,5,FALSE),
        IF(COUNTIFS(IuranSYSebelumnya!$J$330:$J$772,$K26,IuranSYSebelumnya!$M$330:$M$772,AQ$11,IuranSYSebelumnya!$L$330:$L$772,"&lt;&gt;"&amp;$M$5)&gt;0,
              "Iuran dari Lingkungan lain",
              ""))</t>
  </si>
  <si>
    <t>=IF(COUNTIFS(IuranSYSebelumnya!$J$330:$J$772,$K26,IuranSYSebelumnya!$M$330:$M$772,AR$11,IuranSYSebelumnya!$L$330:$L$772,$M$5)&gt;0,
        VLOOKUP(CONCATENATE($K26,"|",AR$11,"|",$M$5),IuranSYSebelumnya!$I$330:$N$772,5,FALSE),
        IF(COUNTIFS(IuranSYSebelumnya!$J$330:$J$772,$K26,IuranSYSebelumnya!$M$330:$M$772,AR$11,IuranSYSebelumnya!$L$330:$L$772,"&lt;&gt;"&amp;$M$5)&gt;0,
              "Iuran dari Lingkungan lain",
              ""))</t>
  </si>
  <si>
    <t>=IF(COUNTIFS(IuranSYSebelumnya!$J$330:$J$772,$K26,IuranSYSebelumnya!$M$330:$M$772,AS$11,IuranSYSebelumnya!$L$330:$L$772,$M$5)&gt;0,
        VLOOKUP(CONCATENATE($K26,"|",AS$11,"|",$M$5),IuranSYSebelumnya!$I$330:$N$772,5,FALSE),
        IF(COUNTIFS(IuranSYSebelumnya!$J$330:$J$772,$K26,IuranSYSebelumnya!$M$330:$M$772,AS$11,IuranSYSebelumnya!$L$330:$L$772,"&lt;&gt;"&amp;$M$5)&gt;0,
              "Iuran dari Lingkungan lain",
              ""))</t>
  </si>
  <si>
    <t>=IF(COUNTIFS(IuranSYSebelumnya!$J$330:$J$772,$K26,IuranSYSebelumnya!$M$330:$M$772,AT$11,IuranSYSebelumnya!$L$330:$L$772,$M$5)&gt;0,
        VLOOKUP(CONCATENATE($K26,"|",AT$11,"|",$M$5),IuranSYSebelumnya!$I$330:$N$772,5,FALSE),
        IF(COUNTIFS(IuranSYSebelumnya!$J$330:$J$772,$K26,IuranSYSebelumnya!$M$330:$M$772,AT$11,IuranSYSebelumnya!$L$330:$L$772,"&lt;&gt;"&amp;$M$5)&gt;0,
              "Iuran dari Lingkungan lain",
              ""))</t>
  </si>
  <si>
    <t>=IF(COUNTIFS(IuranSYSebelumnya!$J$330:$J$772,$K26,IuranSYSebelumnya!$M$330:$M$772,AU$11,IuranSYSebelumnya!$L$330:$L$772,$M$5)&gt;0,
        VLOOKUP(CONCATENATE($K26,"|",AU$11,"|",$M$5),IuranSYSebelumnya!$I$330:$N$772,5,FALSE),
        IF(COUNTIFS(IuranSYSebelumnya!$J$330:$J$772,$K26,IuranSYSebelumnya!$M$330:$M$772,AU$11,IuranSYSebelumnya!$L$330:$L$772,"&lt;&gt;"&amp;$M$5)&gt;0,
              "Iuran dari Lingkungan lain",
              ""))</t>
  </si>
  <si>
    <t>=IF(COUNTIFS(IuranSYSebelumnya!$J$330:$J$772,$K26,IuranSYSebelumnya!$M$330:$M$772,AV$11,IuranSYSebelumnya!$L$330:$L$772,$M$5)&gt;0,
        VLOOKUP(CONCATENATE($K26,"|",AV$11,"|",$M$5),IuranSYSebelumnya!$I$330:$N$772,5,FALSE),
        IF(COUNTIFS(IuranSYSebelumnya!$J$330:$J$772,$K26,IuranSYSebelumnya!$M$330:$M$772,AV$11,IuranSYSebelumnya!$L$330:$L$772,"&lt;&gt;"&amp;$M$5)&gt;0,
              "Iuran dari Lingkungan lain",
              ""))</t>
  </si>
  <si>
    <t>=IF(COUNTIFS(IuranSYSebelumnya!$J$330:$J$772,$K26,IuranSYSebelumnya!$M$330:$M$772,AW$11,IuranSYSebelumnya!$L$330:$L$772,$M$5)&gt;0,
        VLOOKUP(CONCATENATE($K26,"|",AW$11,"|",$M$5),IuranSYSebelumnya!$I$330:$N$772,5,FALSE),
        IF(COUNTIFS(IuranSYSebelumnya!$J$330:$J$772,$K26,IuranSYSebelumnya!$M$330:$M$772,AW$11,IuranSYSebelumnya!$L$330:$L$772,"&lt;&gt;"&amp;$M$5)&gt;0,
              "Iuran dari Lingkungan lain",
              ""))</t>
  </si>
  <si>
    <t>=IF(COUNTIFS(IuranSYSebelumnya!$J$330:$J$772,$K26,IuranSYSebelumnya!$M$330:$M$772,AX$11,IuranSYSebelumnya!$L$330:$L$772,$M$5)&gt;0,
        VLOOKUP(CONCATENATE($K26,"|",AX$11,"|",$M$5),IuranSYSebelumnya!$I$330:$N$772,5,FALSE),
        IF(COUNTIFS(IuranSYSebelumnya!$J$330:$J$772,$K26,IuranSYSebelumnya!$M$330:$M$772,AX$11,IuranSYSebelumnya!$L$330:$L$772,"&lt;&gt;"&amp;$M$5)&gt;0,
              "Iuran dari Lingkungan lain",
              ""))</t>
  </si>
  <si>
    <t>=IF(COUNTIFS(IuranSYSebelumnya!$J$330:$J$772,$K26,IuranSYSebelumnya!$M$330:$M$772,AY$11,IuranSYSebelumnya!$L$330:$L$772,$M$5)&gt;0,
        VLOOKUP(CONCATENATE($K26,"|",AY$11,"|",$M$5),IuranSYSebelumnya!$I$330:$N$772,5,FALSE),
        IF(COUNTIFS(IuranSYSebelumnya!$J$330:$J$772,$K26,IuranSYSebelumnya!$M$330:$M$772,AY$11,IuranSYSebelumnya!$L$330:$L$772,"&lt;&gt;"&amp;$M$5)&gt;0,
              "Iuran dari Lingkungan lain",
              ""))</t>
  </si>
  <si>
    <t>=IF(COUNTIFS(IuranSYSebelumnya!$J$330:$J$772,$K26,IuranSYSebelumnya!$M$330:$M$772,AZ$11,IuranSYSebelumnya!$L$330:$L$772,$M$5)&gt;0,
        VLOOKUP(CONCATENATE($K26,"|",AZ$11,"|",$M$5),IuranSYSebelumnya!$I$330:$N$772,5,FALSE),
        IF(COUNTIFS(IuranSYSebelumnya!$J$330:$J$772,$K26,IuranSYSebelumnya!$M$330:$M$772,AZ$11,IuranSYSebelumnya!$L$330:$L$772,"&lt;&gt;"&amp;$M$5)&gt;0,
              "Iuran dari Lingkungan lain",
              ""))</t>
  </si>
  <si>
    <t>=IF(COUNTIFS(IuranSYSebelumnya!$J$330:$J$772,$K26,IuranSYSebelumnya!$M$330:$M$772,BA$11,IuranSYSebelumnya!$L$330:$L$772,$M$5)&gt;0,
        VLOOKUP(CONCATENATE($K26,"|",BA$11,"|",$M$5),IuranSYSebelumnya!$I$330:$N$772,5,FALSE),
        IF(COUNTIFS(IuranSYSebelumnya!$J$330:$J$772,$K26,IuranSYSebelumnya!$M$330:$M$772,BA$11,IuranSYSebelumnya!$L$330:$L$772,"&lt;&gt;"&amp;$M$5)&gt;0,
              "Iuran dari Lingkungan lain",
              ""))</t>
  </si>
  <si>
    <t>=IF(COUNTIFS(IuranSYSebelumnya!$J$330:$J$772,$K26,IuranSYSebelumnya!$M$330:$M$772,BB$11,IuranSYSebelumnya!$L$330:$L$772,$M$5)&gt;0,
        VLOOKUP(CONCATENATE($K26,"|",BB$11,"|",$M$5),IuranSYSebelumnya!$I$330:$N$772,5,FALSE),
        IF(COUNTIFS(IuranSYSebelumnya!$J$330:$J$772,$K26,IuranSYSebelumnya!$M$330:$M$772,BB$11,IuranSYSebelumnya!$L$330:$L$772,"&lt;&gt;"&amp;$M$5)&gt;0,
              "Iuran dari Lingkungan lain",
              ""))</t>
  </si>
  <si>
    <t>=IF(COUNTIFS(IuranSYSebelumnya!$J$330:$J$772,$K26,IuranSYSebelumnya!$M$330:$M$772,BC$11,IuranSYSebelumnya!$L$330:$L$772,$M$5)&gt;0,
        VLOOKUP(CONCATENATE($K26,"|",BC$11,"|",$M$5),IuranSYSebelumnya!$I$330:$N$772,5,FALSE),
        IF(COUNTIFS(IuranSYSebelumnya!$J$330:$J$772,$K26,IuranSYSebelumnya!$M$330:$M$772,BC$11,IuranSYSebelumnya!$L$330:$L$772,"&lt;&gt;"&amp;$M$5)&gt;0,
              "Iuran dari Lingkungan lain",
              ""))</t>
  </si>
  <si>
    <t>=IF(COUNTIFS(IuranSYSebelumnya!$J$330:$J$772,$K26,IuranSYSebelumnya!$M$330:$M$772,BD$11,IuranSYSebelumnya!$L$330:$L$772,$M$5)&gt;0,
        VLOOKUP(CONCATENATE($K26,"|",BD$11,"|",$M$5),IuranSYSebelumnya!$I$330:$N$772,5,FALSE),
        IF(COUNTIFS(IuranSYSebelumnya!$J$330:$J$772,$K26,IuranSYSebelumnya!$M$330:$M$772,BD$11,IuranSYSebelumnya!$L$330:$L$772,"&lt;&gt;"&amp;$M$5)&gt;0,
              "Iuran dari Lingkungan lain",
              ""))</t>
  </si>
  <si>
    <t>=IF(COUNTIFS(IuranSYSebelumnya!$J$330:$J$772,$K26,IuranSYSebelumnya!$M$330:$M$772,BE$11,IuranSYSebelumnya!$L$330:$L$772,$M$5)&gt;0,
        VLOOKUP(CONCATENATE($K26,"|",BE$11,"|",$M$5),IuranSYSebelumnya!$I$330:$N$772,5,FALSE),
        IF(COUNTIFS(IuranSYSebelumnya!$J$330:$J$772,$K26,IuranSYSebelumnya!$M$330:$M$772,BE$11,IuranSYSebelumnya!$L$330:$L$772,"&lt;&gt;"&amp;$M$5)&gt;0,
              "Iuran dari Lingkungan lain",
              ""))</t>
  </si>
  <si>
    <t>=IF(COUNTIFS(IuranSYSebelumnya!$J$330:$J$772,$K26,IuranSYSebelumnya!$M$330:$M$772,BF$11,IuranSYSebelumnya!$L$330:$L$772,$M$5)&gt;0,
        VLOOKUP(CONCATENATE($K26,"|",BF$11,"|",$M$5),IuranSYSebelumnya!$I$330:$N$772,5,FALSE),
        IF(COUNTIFS(IuranSYSebelumnya!$J$330:$J$772,$K26,IuranSYSebelumnya!$M$330:$M$772,BF$11,IuranSYSebelumnya!$L$330:$L$772,"&lt;&gt;"&amp;$M$5)&gt;0,
              "Iuran dari Lingkungan lain",
              ""))</t>
  </si>
  <si>
    <t>=IF(COUNTIFS(IuranSYSebelumnya!$J$330:$J$772,$K26,IuranSYSebelumnya!$M$330:$M$772,BG$11,IuranSYSebelumnya!$L$330:$L$772,$M$5)&gt;0,
        VLOOKUP(CONCATENATE($K26,"|",BG$11,"|",$M$5),IuranSYSebelumnya!$I$330:$N$772,5,FALSE),
        IF(COUNTIFS(IuranSYSebelumnya!$J$330:$J$772,$K26,IuranSYSebelumnya!$M$330:$M$772,BG$11,IuranSYSebelumnya!$L$330:$L$772,"&lt;&gt;"&amp;$M$5)&gt;0,
              "Iuran dari Lingkungan lain",
              ""))</t>
  </si>
  <si>
    <t>=IF(COUNTIFS(IuranSYSebelumnya!$J$330:$J$772,$K26,IuranSYSebelumnya!$M$330:$M$772,BH$11,IuranSYSebelumnya!$L$330:$L$772,$M$5)&gt;0,
        VLOOKUP(CONCATENATE($K26,"|",BH$11,"|",$M$5),IuranSYSebelumnya!$I$330:$N$772,5,FALSE),
        IF(COUNTIFS(IuranSYSebelumnya!$J$330:$J$772,$K26,IuranSYSebelumnya!$M$330:$M$772,BH$11,IuranSYSebelumnya!$L$330:$L$772,"&lt;&gt;"&amp;$M$5)&gt;0,
              "Iuran dari Lingkungan lain",
              ""))</t>
  </si>
  <si>
    <t>=IF(COUNTIFS(IuranSYSebelumnya!$J$330:$J$772,$K26,IuranSYSebelumnya!$M$330:$M$772,BI$11,IuranSYSebelumnya!$L$330:$L$772,$M$5)&gt;0,
        VLOOKUP(CONCATENATE($K26,"|",BI$11,"|",$M$5),IuranSYSebelumnya!$I$330:$N$772,5,FALSE),
        IF(COUNTIFS(IuranSYSebelumnya!$J$330:$J$772,$K26,IuranSYSebelumnya!$M$330:$M$772,BI$11,IuranSYSebelumnya!$L$330:$L$772,"&lt;&gt;"&amp;$M$5)&gt;0,
              "Iuran dari Lingkungan lain",
              ""))</t>
  </si>
  <si>
    <t>=IF(COUNTIFS(IuranSYSebelumnya!$J$330:$J$772,$K26,IuranSYSebelumnya!$M$330:$M$772,BJ$11,IuranSYSebelumnya!$L$330:$L$772,$M$5)&gt;0,
        VLOOKUP(CONCATENATE($K26,"|",BJ$11,"|",$M$5),IuranSYSebelumnya!$I$330:$N$772,5,FALSE),
        IF(COUNTIFS(IuranSYSebelumnya!$J$330:$J$772,$K26,IuranSYSebelumnya!$M$330:$M$772,BJ$11,IuranSYSebelumnya!$L$330:$L$772,"&lt;&gt;"&amp;$M$5)&gt;0,
              "Iuran dari Lingkungan lain",
              ""))</t>
  </si>
  <si>
    <t>=IF(COUNTIFS(IuranSYSebelumnya!$J$330:$J$772,$K26,IuranSYSebelumnya!$M$330:$M$772,BK$11,IuranSYSebelumnya!$L$330:$L$772,$M$5)&gt;0,
        VLOOKUP(CONCATENATE($K26,"|",BK$11,"|",$M$5),IuranSYSebelumnya!$I$330:$N$772,5,FALSE),
        IF(COUNTIFS(IuranSYSebelumnya!$J$330:$J$772,$K26,IuranSYSebelumnya!$M$330:$M$772,BK$11,IuranSYSebelumnya!$L$330:$L$772,"&lt;&gt;"&amp;$M$5)&gt;0,
              "Iuran dari Lingkungan lain",
              ""))</t>
  </si>
  <si>
    <t>=IF(COUNTIFS(IuranSYSebelumnya!$J$330:$J$772,$K26,IuranSYSebelumnya!$M$330:$M$772,BL$11,IuranSYSebelumnya!$L$330:$L$772,$M$5)&gt;0,
        VLOOKUP(CONCATENATE($K26,"|",BL$11,"|",$M$5),IuranSYSebelumnya!$I$330:$N$772,5,FALSE),
        IF(COUNTIFS(IuranSYSebelumnya!$J$330:$J$772,$K26,IuranSYSebelumnya!$M$330:$M$772,BL$11,IuranSYSebelumnya!$L$330:$L$772,"&lt;&gt;"&amp;$M$5)&gt;0,
              "Iuran dari Lingkungan lain",
              ""))</t>
  </si>
  <si>
    <t>=IF(COUNTIFS(IuranSYSebelumnya!$J$330:$J$772,$K27,IuranSYSebelumnya!$M$330:$M$772,AO$11,IuranSYSebelumnya!$L$330:$L$772,$M$5)&gt;0,
        VLOOKUP(CONCATENATE($K27,"|",AO$11,"|",$M$5),IuranSYSebelumnya!$I$330:$N$772,5,FALSE),
        IF(COUNTIFS(IuranSYSebelumnya!$J$330:$J$772,$K27,IuranSYSebelumnya!$M$330:$M$772,AO$11,IuranSYSebelumnya!$L$330:$L$772,"&lt;&gt;"&amp;$M$5)&gt;0,
              "Iuran dari Lingkungan lain",
              ""))</t>
  </si>
  <si>
    <t>=IF(COUNTIFS(IuranSYSebelumnya!$J$330:$J$772,$K27,IuranSYSebelumnya!$M$330:$M$772,AP$11,IuranSYSebelumnya!$L$330:$L$772,$M$5)&gt;0,
        VLOOKUP(CONCATENATE($K27,"|",AP$11,"|",$M$5),IuranSYSebelumnya!$I$330:$N$772,5,FALSE),
        IF(COUNTIFS(IuranSYSebelumnya!$J$330:$J$772,$K27,IuranSYSebelumnya!$M$330:$M$772,AP$11,IuranSYSebelumnya!$L$330:$L$772,"&lt;&gt;"&amp;$M$5)&gt;0,
              "Iuran dari Lingkungan lain",
              ""))</t>
  </si>
  <si>
    <t>=IF(COUNTIFS(IuranSYSebelumnya!$J$330:$J$772,$K27,IuranSYSebelumnya!$M$330:$M$772,AQ$11,IuranSYSebelumnya!$L$330:$L$772,$M$5)&gt;0,
        VLOOKUP(CONCATENATE($K27,"|",AQ$11,"|",$M$5),IuranSYSebelumnya!$I$330:$N$772,5,FALSE),
        IF(COUNTIFS(IuranSYSebelumnya!$J$330:$J$772,$K27,IuranSYSebelumnya!$M$330:$M$772,AQ$11,IuranSYSebelumnya!$L$330:$L$772,"&lt;&gt;"&amp;$M$5)&gt;0,
              "Iuran dari Lingkungan lain",
              ""))</t>
  </si>
  <si>
    <t>=IF(COUNTIFS(IuranSYSebelumnya!$J$330:$J$772,$K27,IuranSYSebelumnya!$M$330:$M$772,AR$11,IuranSYSebelumnya!$L$330:$L$772,$M$5)&gt;0,
        VLOOKUP(CONCATENATE($K27,"|",AR$11,"|",$M$5),IuranSYSebelumnya!$I$330:$N$772,5,FALSE),
        IF(COUNTIFS(IuranSYSebelumnya!$J$330:$J$772,$K27,IuranSYSebelumnya!$M$330:$M$772,AR$11,IuranSYSebelumnya!$L$330:$L$772,"&lt;&gt;"&amp;$M$5)&gt;0,
              "Iuran dari Lingkungan lain",
              ""))</t>
  </si>
  <si>
    <t>=IF(COUNTIFS(IuranSYSebelumnya!$J$330:$J$772,$K27,IuranSYSebelumnya!$M$330:$M$772,AS$11,IuranSYSebelumnya!$L$330:$L$772,$M$5)&gt;0,
        VLOOKUP(CONCATENATE($K27,"|",AS$11,"|",$M$5),IuranSYSebelumnya!$I$330:$N$772,5,FALSE),
        IF(COUNTIFS(IuranSYSebelumnya!$J$330:$J$772,$K27,IuranSYSebelumnya!$M$330:$M$772,AS$11,IuranSYSebelumnya!$L$330:$L$772,"&lt;&gt;"&amp;$M$5)&gt;0,
              "Iuran dari Lingkungan lain",
              ""))</t>
  </si>
  <si>
    <t>=IF(COUNTIFS(IuranSYSebelumnya!$J$330:$J$772,$K27,IuranSYSebelumnya!$M$330:$M$772,AT$11,IuranSYSebelumnya!$L$330:$L$772,$M$5)&gt;0,
        VLOOKUP(CONCATENATE($K27,"|",AT$11,"|",$M$5),IuranSYSebelumnya!$I$330:$N$772,5,FALSE),
        IF(COUNTIFS(IuranSYSebelumnya!$J$330:$J$772,$K27,IuranSYSebelumnya!$M$330:$M$772,AT$11,IuranSYSebelumnya!$L$330:$L$772,"&lt;&gt;"&amp;$M$5)&gt;0,
              "Iuran dari Lingkungan lain",
              ""))</t>
  </si>
  <si>
    <t>=IF(COUNTIFS(IuranSYSebelumnya!$J$330:$J$772,$K27,IuranSYSebelumnya!$M$330:$M$772,AU$11,IuranSYSebelumnya!$L$330:$L$772,$M$5)&gt;0,
        VLOOKUP(CONCATENATE($K27,"|",AU$11,"|",$M$5),IuranSYSebelumnya!$I$330:$N$772,5,FALSE),
        IF(COUNTIFS(IuranSYSebelumnya!$J$330:$J$772,$K27,IuranSYSebelumnya!$M$330:$M$772,AU$11,IuranSYSebelumnya!$L$330:$L$772,"&lt;&gt;"&amp;$M$5)&gt;0,
              "Iuran dari Lingkungan lain",
              ""))</t>
  </si>
  <si>
    <t>=IF(COUNTIFS(IuranSYSebelumnya!$J$330:$J$772,$K27,IuranSYSebelumnya!$M$330:$M$772,AV$11,IuranSYSebelumnya!$L$330:$L$772,$M$5)&gt;0,
        VLOOKUP(CONCATENATE($K27,"|",AV$11,"|",$M$5),IuranSYSebelumnya!$I$330:$N$772,5,FALSE),
        IF(COUNTIFS(IuranSYSebelumnya!$J$330:$J$772,$K27,IuranSYSebelumnya!$M$330:$M$772,AV$11,IuranSYSebelumnya!$L$330:$L$772,"&lt;&gt;"&amp;$M$5)&gt;0,
              "Iuran dari Lingkungan lain",
              ""))</t>
  </si>
  <si>
    <t>=IF(COUNTIFS(IuranSYSebelumnya!$J$330:$J$772,$K27,IuranSYSebelumnya!$M$330:$M$772,AW$11,IuranSYSebelumnya!$L$330:$L$772,$M$5)&gt;0,
        VLOOKUP(CONCATENATE($K27,"|",AW$11,"|",$M$5),IuranSYSebelumnya!$I$330:$N$772,5,FALSE),
        IF(COUNTIFS(IuranSYSebelumnya!$J$330:$J$772,$K27,IuranSYSebelumnya!$M$330:$M$772,AW$11,IuranSYSebelumnya!$L$330:$L$772,"&lt;&gt;"&amp;$M$5)&gt;0,
              "Iuran dari Lingkungan lain",
              ""))</t>
  </si>
  <si>
    <t>=IF(COUNTIFS(IuranSYSebelumnya!$J$330:$J$772,$K27,IuranSYSebelumnya!$M$330:$M$772,AX$11,IuranSYSebelumnya!$L$330:$L$772,$M$5)&gt;0,
        VLOOKUP(CONCATENATE($K27,"|",AX$11,"|",$M$5),IuranSYSebelumnya!$I$330:$N$772,5,FALSE),
        IF(COUNTIFS(IuranSYSebelumnya!$J$330:$J$772,$K27,IuranSYSebelumnya!$M$330:$M$772,AX$11,IuranSYSebelumnya!$L$330:$L$772,"&lt;&gt;"&amp;$M$5)&gt;0,
              "Iuran dari Lingkungan lain",
              ""))</t>
  </si>
  <si>
    <t>=IF(COUNTIFS(IuranSYSebelumnya!$J$330:$J$772,$K27,IuranSYSebelumnya!$M$330:$M$772,AY$11,IuranSYSebelumnya!$L$330:$L$772,$M$5)&gt;0,
        VLOOKUP(CONCATENATE($K27,"|",AY$11,"|",$M$5),IuranSYSebelumnya!$I$330:$N$772,5,FALSE),
        IF(COUNTIFS(IuranSYSebelumnya!$J$330:$J$772,$K27,IuranSYSebelumnya!$M$330:$M$772,AY$11,IuranSYSebelumnya!$L$330:$L$772,"&lt;&gt;"&amp;$M$5)&gt;0,
              "Iuran dari Lingkungan lain",
              ""))</t>
  </si>
  <si>
    <t>=IF(COUNTIFS(IuranSYSebelumnya!$J$330:$J$772,$K27,IuranSYSebelumnya!$M$330:$M$772,AZ$11,IuranSYSebelumnya!$L$330:$L$772,$M$5)&gt;0,
        VLOOKUP(CONCATENATE($K27,"|",AZ$11,"|",$M$5),IuranSYSebelumnya!$I$330:$N$772,5,FALSE),
        IF(COUNTIFS(IuranSYSebelumnya!$J$330:$J$772,$K27,IuranSYSebelumnya!$M$330:$M$772,AZ$11,IuranSYSebelumnya!$L$330:$L$772,"&lt;&gt;"&amp;$M$5)&gt;0,
              "Iuran dari Lingkungan lain",
              ""))</t>
  </si>
  <si>
    <t>=IF(COUNTIFS(IuranSYSebelumnya!$J$330:$J$772,$K27,IuranSYSebelumnya!$M$330:$M$772,BA$11,IuranSYSebelumnya!$L$330:$L$772,$M$5)&gt;0,
        VLOOKUP(CONCATENATE($K27,"|",BA$11,"|",$M$5),IuranSYSebelumnya!$I$330:$N$772,5,FALSE),
        IF(COUNTIFS(IuranSYSebelumnya!$J$330:$J$772,$K27,IuranSYSebelumnya!$M$330:$M$772,BA$11,IuranSYSebelumnya!$L$330:$L$772,"&lt;&gt;"&amp;$M$5)&gt;0,
              "Iuran dari Lingkungan lain",
              ""))</t>
  </si>
  <si>
    <t>=IF(COUNTIFS(IuranSYSebelumnya!$J$330:$J$772,$K27,IuranSYSebelumnya!$M$330:$M$772,BB$11,IuranSYSebelumnya!$L$330:$L$772,$M$5)&gt;0,
        VLOOKUP(CONCATENATE($K27,"|",BB$11,"|",$M$5),IuranSYSebelumnya!$I$330:$N$772,5,FALSE),
        IF(COUNTIFS(IuranSYSebelumnya!$J$330:$J$772,$K27,IuranSYSebelumnya!$M$330:$M$772,BB$11,IuranSYSebelumnya!$L$330:$L$772,"&lt;&gt;"&amp;$M$5)&gt;0,
              "Iuran dari Lingkungan lain",
              ""))</t>
  </si>
  <si>
    <t>=IF(COUNTIFS(IuranSYSebelumnya!$J$330:$J$772,$K27,IuranSYSebelumnya!$M$330:$M$772,BC$11,IuranSYSebelumnya!$L$330:$L$772,$M$5)&gt;0,
        VLOOKUP(CONCATENATE($K27,"|",BC$11,"|",$M$5),IuranSYSebelumnya!$I$330:$N$772,5,FALSE),
        IF(COUNTIFS(IuranSYSebelumnya!$J$330:$J$772,$K27,IuranSYSebelumnya!$M$330:$M$772,BC$11,IuranSYSebelumnya!$L$330:$L$772,"&lt;&gt;"&amp;$M$5)&gt;0,
              "Iuran dari Lingkungan lain",
              ""))</t>
  </si>
  <si>
    <t>=IF(COUNTIFS(IuranSYSebelumnya!$J$330:$J$772,$K27,IuranSYSebelumnya!$M$330:$M$772,BD$11,IuranSYSebelumnya!$L$330:$L$772,$M$5)&gt;0,
        VLOOKUP(CONCATENATE($K27,"|",BD$11,"|",$M$5),IuranSYSebelumnya!$I$330:$N$772,5,FALSE),
        IF(COUNTIFS(IuranSYSebelumnya!$J$330:$J$772,$K27,IuranSYSebelumnya!$M$330:$M$772,BD$11,IuranSYSebelumnya!$L$330:$L$772,"&lt;&gt;"&amp;$M$5)&gt;0,
              "Iuran dari Lingkungan lain",
              ""))</t>
  </si>
  <si>
    <t>=IF(COUNTIFS(IuranSYSebelumnya!$J$330:$J$772,$K27,IuranSYSebelumnya!$M$330:$M$772,BE$11,IuranSYSebelumnya!$L$330:$L$772,$M$5)&gt;0,
        VLOOKUP(CONCATENATE($K27,"|",BE$11,"|",$M$5),IuranSYSebelumnya!$I$330:$N$772,5,FALSE),
        IF(COUNTIFS(IuranSYSebelumnya!$J$330:$J$772,$K27,IuranSYSebelumnya!$M$330:$M$772,BE$11,IuranSYSebelumnya!$L$330:$L$772,"&lt;&gt;"&amp;$M$5)&gt;0,
              "Iuran dari Lingkungan lain",
              ""))</t>
  </si>
  <si>
    <t>=IF(COUNTIFS(IuranSYSebelumnya!$J$330:$J$772,$K27,IuranSYSebelumnya!$M$330:$M$772,BF$11,IuranSYSebelumnya!$L$330:$L$772,$M$5)&gt;0,
        VLOOKUP(CONCATENATE($K27,"|",BF$11,"|",$M$5),IuranSYSebelumnya!$I$330:$N$772,5,FALSE),
        IF(COUNTIFS(IuranSYSebelumnya!$J$330:$J$772,$K27,IuranSYSebelumnya!$M$330:$M$772,BF$11,IuranSYSebelumnya!$L$330:$L$772,"&lt;&gt;"&amp;$M$5)&gt;0,
              "Iuran dari Lingkungan lain",
              ""))</t>
  </si>
  <si>
    <t>=IF(COUNTIFS(IuranSYSebelumnya!$J$330:$J$772,$K27,IuranSYSebelumnya!$M$330:$M$772,BG$11,IuranSYSebelumnya!$L$330:$L$772,$M$5)&gt;0,
        VLOOKUP(CONCATENATE($K27,"|",BG$11,"|",$M$5),IuranSYSebelumnya!$I$330:$N$772,5,FALSE),
        IF(COUNTIFS(IuranSYSebelumnya!$J$330:$J$772,$K27,IuranSYSebelumnya!$M$330:$M$772,BG$11,IuranSYSebelumnya!$L$330:$L$772,"&lt;&gt;"&amp;$M$5)&gt;0,
              "Iuran dari Lingkungan lain",
              ""))</t>
  </si>
  <si>
    <t>=IF(COUNTIFS(IuranSYSebelumnya!$J$330:$J$772,$K27,IuranSYSebelumnya!$M$330:$M$772,BH$11,IuranSYSebelumnya!$L$330:$L$772,$M$5)&gt;0,
        VLOOKUP(CONCATENATE($K27,"|",BH$11,"|",$M$5),IuranSYSebelumnya!$I$330:$N$772,5,FALSE),
        IF(COUNTIFS(IuranSYSebelumnya!$J$330:$J$772,$K27,IuranSYSebelumnya!$M$330:$M$772,BH$11,IuranSYSebelumnya!$L$330:$L$772,"&lt;&gt;"&amp;$M$5)&gt;0,
              "Iuran dari Lingkungan lain",
              ""))</t>
  </si>
  <si>
    <t>=IF(COUNTIFS(IuranSYSebelumnya!$J$330:$J$772,$K27,IuranSYSebelumnya!$M$330:$M$772,BI$11,IuranSYSebelumnya!$L$330:$L$772,$M$5)&gt;0,
        VLOOKUP(CONCATENATE($K27,"|",BI$11,"|",$M$5),IuranSYSebelumnya!$I$330:$N$772,5,FALSE),
        IF(COUNTIFS(IuranSYSebelumnya!$J$330:$J$772,$K27,IuranSYSebelumnya!$M$330:$M$772,BI$11,IuranSYSebelumnya!$L$330:$L$772,"&lt;&gt;"&amp;$M$5)&gt;0,
              "Iuran dari Lingkungan lain",
              ""))</t>
  </si>
  <si>
    <t>=IF(COUNTIFS(IuranSYSebelumnya!$J$330:$J$772,$K27,IuranSYSebelumnya!$M$330:$M$772,BJ$11,IuranSYSebelumnya!$L$330:$L$772,$M$5)&gt;0,
        VLOOKUP(CONCATENATE($K27,"|",BJ$11,"|",$M$5),IuranSYSebelumnya!$I$330:$N$772,5,FALSE),
        IF(COUNTIFS(IuranSYSebelumnya!$J$330:$J$772,$K27,IuranSYSebelumnya!$M$330:$M$772,BJ$11,IuranSYSebelumnya!$L$330:$L$772,"&lt;&gt;"&amp;$M$5)&gt;0,
              "Iuran dari Lingkungan lain",
              ""))</t>
  </si>
  <si>
    <t>=IF(COUNTIFS(IuranSYSebelumnya!$J$330:$J$772,$K27,IuranSYSebelumnya!$M$330:$M$772,BK$11,IuranSYSebelumnya!$L$330:$L$772,$M$5)&gt;0,
        VLOOKUP(CONCATENATE($K27,"|",BK$11,"|",$M$5),IuranSYSebelumnya!$I$330:$N$772,5,FALSE),
        IF(COUNTIFS(IuranSYSebelumnya!$J$330:$J$772,$K27,IuranSYSebelumnya!$M$330:$M$772,BK$11,IuranSYSebelumnya!$L$330:$L$772,"&lt;&gt;"&amp;$M$5)&gt;0,
              "Iuran dari Lingkungan lain",
              ""))</t>
  </si>
  <si>
    <t>=IF(COUNTIFS(IuranSYSebelumnya!$J$330:$J$772,$K27,IuranSYSebelumnya!$M$330:$M$772,BL$11,IuranSYSebelumnya!$L$330:$L$772,$M$5)&gt;0,
        VLOOKUP(CONCATENATE($K27,"|",BL$11,"|",$M$5),IuranSYSebelumnya!$I$330:$N$772,5,FALSE),
        IF(COUNTIFS(IuranSYSebelumnya!$J$330:$J$772,$K27,IuranSYSebelumnya!$M$330:$M$772,BL$11,IuranSYSebelumnya!$L$330:$L$772,"&lt;&gt;"&amp;$M$5)&gt;0,
              "Iuran dari Lingkungan lain",
              ""))</t>
  </si>
  <si>
    <t>=IF(COUNTIFS(IuranSYSebelumnya!$J$330:$J$772,$K28,IuranSYSebelumnya!$M$330:$M$772,AO$11,IuranSYSebelumnya!$L$330:$L$772,$M$5)&gt;0,
        VLOOKUP(CONCATENATE($K28,"|",AO$11,"|",$M$5),IuranSYSebelumnya!$I$330:$N$772,5,FALSE),
        IF(COUNTIFS(IuranSYSebelumnya!$J$330:$J$772,$K28,IuranSYSebelumnya!$M$330:$M$772,AO$11,IuranSYSebelumnya!$L$330:$L$772,"&lt;&gt;"&amp;$M$5)&gt;0,
              "Iuran dari Lingkungan lain",
              ""))</t>
  </si>
  <si>
    <t>=IF(COUNTIFS(IuranSYSebelumnya!$J$330:$J$772,$K28,IuranSYSebelumnya!$M$330:$M$772,AP$11,IuranSYSebelumnya!$L$330:$L$772,$M$5)&gt;0,
        VLOOKUP(CONCATENATE($K28,"|",AP$11,"|",$M$5),IuranSYSebelumnya!$I$330:$N$772,5,FALSE),
        IF(COUNTIFS(IuranSYSebelumnya!$J$330:$J$772,$K28,IuranSYSebelumnya!$M$330:$M$772,AP$11,IuranSYSebelumnya!$L$330:$L$772,"&lt;&gt;"&amp;$M$5)&gt;0,
              "Iuran dari Lingkungan lain",
              ""))</t>
  </si>
  <si>
    <t>=IF(COUNTIFS(IuranSYSebelumnya!$J$330:$J$772,$K28,IuranSYSebelumnya!$M$330:$M$772,AQ$11,IuranSYSebelumnya!$L$330:$L$772,$M$5)&gt;0,
        VLOOKUP(CONCATENATE($K28,"|",AQ$11,"|",$M$5),IuranSYSebelumnya!$I$330:$N$772,5,FALSE),
        IF(COUNTIFS(IuranSYSebelumnya!$J$330:$J$772,$K28,IuranSYSebelumnya!$M$330:$M$772,AQ$11,IuranSYSebelumnya!$L$330:$L$772,"&lt;&gt;"&amp;$M$5)&gt;0,
              "Iuran dari Lingkungan lain",
              ""))</t>
  </si>
  <si>
    <t>=IF(COUNTIFS(IuranSYSebelumnya!$J$330:$J$772,$K28,IuranSYSebelumnya!$M$330:$M$772,AR$11,IuranSYSebelumnya!$L$330:$L$772,$M$5)&gt;0,
        VLOOKUP(CONCATENATE($K28,"|",AR$11,"|",$M$5),IuranSYSebelumnya!$I$330:$N$772,5,FALSE),
        IF(COUNTIFS(IuranSYSebelumnya!$J$330:$J$772,$K28,IuranSYSebelumnya!$M$330:$M$772,AR$11,IuranSYSebelumnya!$L$330:$L$772,"&lt;&gt;"&amp;$M$5)&gt;0,
              "Iuran dari Lingkungan lain",
              ""))</t>
  </si>
  <si>
    <t>=IF(COUNTIFS(IuranSYSebelumnya!$J$330:$J$772,$K28,IuranSYSebelumnya!$M$330:$M$772,AS$11,IuranSYSebelumnya!$L$330:$L$772,$M$5)&gt;0,
        VLOOKUP(CONCATENATE($K28,"|",AS$11,"|",$M$5),IuranSYSebelumnya!$I$330:$N$772,5,FALSE),
        IF(COUNTIFS(IuranSYSebelumnya!$J$330:$J$772,$K28,IuranSYSebelumnya!$M$330:$M$772,AS$11,IuranSYSebelumnya!$L$330:$L$772,"&lt;&gt;"&amp;$M$5)&gt;0,
              "Iuran dari Lingkungan lain",
              ""))</t>
  </si>
  <si>
    <t>=IF(COUNTIFS(IuranSYSebelumnya!$J$330:$J$772,$K28,IuranSYSebelumnya!$M$330:$M$772,AT$11,IuranSYSebelumnya!$L$330:$L$772,$M$5)&gt;0,
        VLOOKUP(CONCATENATE($K28,"|",AT$11,"|",$M$5),IuranSYSebelumnya!$I$330:$N$772,5,FALSE),
        IF(COUNTIFS(IuranSYSebelumnya!$J$330:$J$772,$K28,IuranSYSebelumnya!$M$330:$M$772,AT$11,IuranSYSebelumnya!$L$330:$L$772,"&lt;&gt;"&amp;$M$5)&gt;0,
              "Iuran dari Lingkungan lain",
              ""))</t>
  </si>
  <si>
    <t>=IF(COUNTIFS(IuranSYSebelumnya!$J$330:$J$772,$K28,IuranSYSebelumnya!$M$330:$M$772,AU$11,IuranSYSebelumnya!$L$330:$L$772,$M$5)&gt;0,
        VLOOKUP(CONCATENATE($K28,"|",AU$11,"|",$M$5),IuranSYSebelumnya!$I$330:$N$772,5,FALSE),
        IF(COUNTIFS(IuranSYSebelumnya!$J$330:$J$772,$K28,IuranSYSebelumnya!$M$330:$M$772,AU$11,IuranSYSebelumnya!$L$330:$L$772,"&lt;&gt;"&amp;$M$5)&gt;0,
              "Iuran dari Lingkungan lain",
              ""))</t>
  </si>
  <si>
    <t>=IF(COUNTIFS(IuranSYSebelumnya!$J$330:$J$772,$K28,IuranSYSebelumnya!$M$330:$M$772,AV$11,IuranSYSebelumnya!$L$330:$L$772,$M$5)&gt;0,
        VLOOKUP(CONCATENATE($K28,"|",AV$11,"|",$M$5),IuranSYSebelumnya!$I$330:$N$772,5,FALSE),
        IF(COUNTIFS(IuranSYSebelumnya!$J$330:$J$772,$K28,IuranSYSebelumnya!$M$330:$M$772,AV$11,IuranSYSebelumnya!$L$330:$L$772,"&lt;&gt;"&amp;$M$5)&gt;0,
              "Iuran dari Lingkungan lain",
              ""))</t>
  </si>
  <si>
    <t>=IF(COUNTIFS(IuranSYSebelumnya!$J$330:$J$772,$K28,IuranSYSebelumnya!$M$330:$M$772,AW$11,IuranSYSebelumnya!$L$330:$L$772,$M$5)&gt;0,
        VLOOKUP(CONCATENATE($K28,"|",AW$11,"|",$M$5),IuranSYSebelumnya!$I$330:$N$772,5,FALSE),
        IF(COUNTIFS(IuranSYSebelumnya!$J$330:$J$772,$K28,IuranSYSebelumnya!$M$330:$M$772,AW$11,IuranSYSebelumnya!$L$330:$L$772,"&lt;&gt;"&amp;$M$5)&gt;0,
              "Iuran dari Lingkungan lain",
              ""))</t>
  </si>
  <si>
    <t>=IF(COUNTIFS(IuranSYSebelumnya!$J$330:$J$772,$K28,IuranSYSebelumnya!$M$330:$M$772,AX$11,IuranSYSebelumnya!$L$330:$L$772,$M$5)&gt;0,
        VLOOKUP(CONCATENATE($K28,"|",AX$11,"|",$M$5),IuranSYSebelumnya!$I$330:$N$772,5,FALSE),
        IF(COUNTIFS(IuranSYSebelumnya!$J$330:$J$772,$K28,IuranSYSebelumnya!$M$330:$M$772,AX$11,IuranSYSebelumnya!$L$330:$L$772,"&lt;&gt;"&amp;$M$5)&gt;0,
              "Iuran dari Lingkungan lain",
              ""))</t>
  </si>
  <si>
    <t>=IF(COUNTIFS(IuranSYSebelumnya!$J$330:$J$772,$K28,IuranSYSebelumnya!$M$330:$M$772,AY$11,IuranSYSebelumnya!$L$330:$L$772,$M$5)&gt;0,
        VLOOKUP(CONCATENATE($K28,"|",AY$11,"|",$M$5),IuranSYSebelumnya!$I$330:$N$772,5,FALSE),
        IF(COUNTIFS(IuranSYSebelumnya!$J$330:$J$772,$K28,IuranSYSebelumnya!$M$330:$M$772,AY$11,IuranSYSebelumnya!$L$330:$L$772,"&lt;&gt;"&amp;$M$5)&gt;0,
              "Iuran dari Lingkungan lain",
              ""))</t>
  </si>
  <si>
    <t>=IF(COUNTIFS(IuranSYSebelumnya!$J$330:$J$772,$K28,IuranSYSebelumnya!$M$330:$M$772,AZ$11,IuranSYSebelumnya!$L$330:$L$772,$M$5)&gt;0,
        VLOOKUP(CONCATENATE($K28,"|",AZ$11,"|",$M$5),IuranSYSebelumnya!$I$330:$N$772,5,FALSE),
        IF(COUNTIFS(IuranSYSebelumnya!$J$330:$J$772,$K28,IuranSYSebelumnya!$M$330:$M$772,AZ$11,IuranSYSebelumnya!$L$330:$L$772,"&lt;&gt;"&amp;$M$5)&gt;0,
              "Iuran dari Lingkungan lain",
              ""))</t>
  </si>
  <si>
    <t>=IF(COUNTIFS(IuranSYSebelumnya!$J$330:$J$772,$K28,IuranSYSebelumnya!$M$330:$M$772,BA$11,IuranSYSebelumnya!$L$330:$L$772,$M$5)&gt;0,
        VLOOKUP(CONCATENATE($K28,"|",BA$11,"|",$M$5),IuranSYSebelumnya!$I$330:$N$772,5,FALSE),
        IF(COUNTIFS(IuranSYSebelumnya!$J$330:$J$772,$K28,IuranSYSebelumnya!$M$330:$M$772,BA$11,IuranSYSebelumnya!$L$330:$L$772,"&lt;&gt;"&amp;$M$5)&gt;0,
              "Iuran dari Lingkungan lain",
              ""))</t>
  </si>
  <si>
    <t>=IF(COUNTIFS(IuranSYSebelumnya!$J$330:$J$772,$K28,IuranSYSebelumnya!$M$330:$M$772,BB$11,IuranSYSebelumnya!$L$330:$L$772,$M$5)&gt;0,
        VLOOKUP(CONCATENATE($K28,"|",BB$11,"|",$M$5),IuranSYSebelumnya!$I$330:$N$772,5,FALSE),
        IF(COUNTIFS(IuranSYSebelumnya!$J$330:$J$772,$K28,IuranSYSebelumnya!$M$330:$M$772,BB$11,IuranSYSebelumnya!$L$330:$L$772,"&lt;&gt;"&amp;$M$5)&gt;0,
              "Iuran dari Lingkungan lain",
              ""))</t>
  </si>
  <si>
    <t>=IF(COUNTIFS(IuranSYSebelumnya!$J$330:$J$772,$K28,IuranSYSebelumnya!$M$330:$M$772,BC$11,IuranSYSebelumnya!$L$330:$L$772,$M$5)&gt;0,
        VLOOKUP(CONCATENATE($K28,"|",BC$11,"|",$M$5),IuranSYSebelumnya!$I$330:$N$772,5,FALSE),
        IF(COUNTIFS(IuranSYSebelumnya!$J$330:$J$772,$K28,IuranSYSebelumnya!$M$330:$M$772,BC$11,IuranSYSebelumnya!$L$330:$L$772,"&lt;&gt;"&amp;$M$5)&gt;0,
              "Iuran dari Lingkungan lain",
              ""))</t>
  </si>
  <si>
    <t>=IF(COUNTIFS(IuranSYSebelumnya!$J$330:$J$772,$K28,IuranSYSebelumnya!$M$330:$M$772,BD$11,IuranSYSebelumnya!$L$330:$L$772,$M$5)&gt;0,
        VLOOKUP(CONCATENATE($K28,"|",BD$11,"|",$M$5),IuranSYSebelumnya!$I$330:$N$772,5,FALSE),
        IF(COUNTIFS(IuranSYSebelumnya!$J$330:$J$772,$K28,IuranSYSebelumnya!$M$330:$M$772,BD$11,IuranSYSebelumnya!$L$330:$L$772,"&lt;&gt;"&amp;$M$5)&gt;0,
              "Iuran dari Lingkungan lain",
              ""))</t>
  </si>
  <si>
    <t>=IF(COUNTIFS(IuranSYSebelumnya!$J$330:$J$772,$K28,IuranSYSebelumnya!$M$330:$M$772,BE$11,IuranSYSebelumnya!$L$330:$L$772,$M$5)&gt;0,
        VLOOKUP(CONCATENATE($K28,"|",BE$11,"|",$M$5),IuranSYSebelumnya!$I$330:$N$772,5,FALSE),
        IF(COUNTIFS(IuranSYSebelumnya!$J$330:$J$772,$K28,IuranSYSebelumnya!$M$330:$M$772,BE$11,IuranSYSebelumnya!$L$330:$L$772,"&lt;&gt;"&amp;$M$5)&gt;0,
              "Iuran dari Lingkungan lain",
              ""))</t>
  </si>
  <si>
    <t>=IF(COUNTIFS(IuranSYSebelumnya!$J$330:$J$772,$K28,IuranSYSebelumnya!$M$330:$M$772,BF$11,IuranSYSebelumnya!$L$330:$L$772,$M$5)&gt;0,
        VLOOKUP(CONCATENATE($K28,"|",BF$11,"|",$M$5),IuranSYSebelumnya!$I$330:$N$772,5,FALSE),
        IF(COUNTIFS(IuranSYSebelumnya!$J$330:$J$772,$K28,IuranSYSebelumnya!$M$330:$M$772,BF$11,IuranSYSebelumnya!$L$330:$L$772,"&lt;&gt;"&amp;$M$5)&gt;0,
              "Iuran dari Lingkungan lain",
              ""))</t>
  </si>
  <si>
    <t>=IF(COUNTIFS(IuranSYSebelumnya!$J$330:$J$772,$K28,IuranSYSebelumnya!$M$330:$M$772,BG$11,IuranSYSebelumnya!$L$330:$L$772,$M$5)&gt;0,
        VLOOKUP(CONCATENATE($K28,"|",BG$11,"|",$M$5),IuranSYSebelumnya!$I$330:$N$772,5,FALSE),
        IF(COUNTIFS(IuranSYSebelumnya!$J$330:$J$772,$K28,IuranSYSebelumnya!$M$330:$M$772,BG$11,IuranSYSebelumnya!$L$330:$L$772,"&lt;&gt;"&amp;$M$5)&gt;0,
              "Iuran dari Lingkungan lain",
              ""))</t>
  </si>
  <si>
    <t>=IF(COUNTIFS(IuranSYSebelumnya!$J$330:$J$772,$K28,IuranSYSebelumnya!$M$330:$M$772,BH$11,IuranSYSebelumnya!$L$330:$L$772,$M$5)&gt;0,
        VLOOKUP(CONCATENATE($K28,"|",BH$11,"|",$M$5),IuranSYSebelumnya!$I$330:$N$772,5,FALSE),
        IF(COUNTIFS(IuranSYSebelumnya!$J$330:$J$772,$K28,IuranSYSebelumnya!$M$330:$M$772,BH$11,IuranSYSebelumnya!$L$330:$L$772,"&lt;&gt;"&amp;$M$5)&gt;0,
              "Iuran dari Lingkungan lain",
              ""))</t>
  </si>
  <si>
    <t>=IF(COUNTIFS(IuranSYSebelumnya!$J$330:$J$772,$K28,IuranSYSebelumnya!$M$330:$M$772,BI$11,IuranSYSebelumnya!$L$330:$L$772,$M$5)&gt;0,
        VLOOKUP(CONCATENATE($K28,"|",BI$11,"|",$M$5),IuranSYSebelumnya!$I$330:$N$772,5,FALSE),
        IF(COUNTIFS(IuranSYSebelumnya!$J$330:$J$772,$K28,IuranSYSebelumnya!$M$330:$M$772,BI$11,IuranSYSebelumnya!$L$330:$L$772,"&lt;&gt;"&amp;$M$5)&gt;0,
              "Iuran dari Lingkungan lain",
              ""))</t>
  </si>
  <si>
    <t>=IF(COUNTIFS(IuranSYSebelumnya!$J$330:$J$772,$K28,IuranSYSebelumnya!$M$330:$M$772,BJ$11,IuranSYSebelumnya!$L$330:$L$772,$M$5)&gt;0,
        VLOOKUP(CONCATENATE($K28,"|",BJ$11,"|",$M$5),IuranSYSebelumnya!$I$330:$N$772,5,FALSE),
        IF(COUNTIFS(IuranSYSebelumnya!$J$330:$J$772,$K28,IuranSYSebelumnya!$M$330:$M$772,BJ$11,IuranSYSebelumnya!$L$330:$L$772,"&lt;&gt;"&amp;$M$5)&gt;0,
              "Iuran dari Lingkungan lain",
              ""))</t>
  </si>
  <si>
    <t>=IF(COUNTIFS(IuranSYSebelumnya!$J$330:$J$772,$K28,IuranSYSebelumnya!$M$330:$M$772,BK$11,IuranSYSebelumnya!$L$330:$L$772,$M$5)&gt;0,
        VLOOKUP(CONCATENATE($K28,"|",BK$11,"|",$M$5),IuranSYSebelumnya!$I$330:$N$772,5,FALSE),
        IF(COUNTIFS(IuranSYSebelumnya!$J$330:$J$772,$K28,IuranSYSebelumnya!$M$330:$M$772,BK$11,IuranSYSebelumnya!$L$330:$L$772,"&lt;&gt;"&amp;$M$5)&gt;0,
              "Iuran dari Lingkungan lain",
              ""))</t>
  </si>
  <si>
    <t>=IF(COUNTIFS(IuranSYSebelumnya!$J$330:$J$772,$K28,IuranSYSebelumnya!$M$330:$M$772,BL$11,IuranSYSebelumnya!$L$330:$L$772,$M$5)&gt;0,
        VLOOKUP(CONCATENATE($K28,"|",BL$11,"|",$M$5),IuranSYSebelumnya!$I$330:$N$772,5,FALSE),
        IF(COUNTIFS(IuranSYSebelumnya!$J$330:$J$772,$K28,IuranSYSebelumnya!$M$330:$M$772,BL$11,IuranSYSebelumnya!$L$330:$L$772,"&lt;&gt;"&amp;$M$5)&gt;0,
              "Iuran dari Lingkungan lain",
              ""))</t>
  </si>
  <si>
    <t>=IF(COUNTIFS(IuranSYSebelumnya!$J$330:$J$772,$K29,IuranSYSebelumnya!$M$330:$M$772,AO$11,IuranSYSebelumnya!$L$330:$L$772,$M$5)&gt;0,
        VLOOKUP(CONCATENATE($K29,"|",AO$11,"|",$M$5),IuranSYSebelumnya!$I$330:$N$772,5,FALSE),
        IF(COUNTIFS(IuranSYSebelumnya!$J$330:$J$772,$K29,IuranSYSebelumnya!$M$330:$M$772,AO$11,IuranSYSebelumnya!$L$330:$L$772,"&lt;&gt;"&amp;$M$5)&gt;0,
              "Iuran dari Lingkungan lain",
              ""))</t>
  </si>
  <si>
    <t>=IF(COUNTIFS(IuranSYSebelumnya!$J$330:$J$772,$K29,IuranSYSebelumnya!$M$330:$M$772,AP$11,IuranSYSebelumnya!$L$330:$L$772,$M$5)&gt;0,
        VLOOKUP(CONCATENATE($K29,"|",AP$11,"|",$M$5),IuranSYSebelumnya!$I$330:$N$772,5,FALSE),
        IF(COUNTIFS(IuranSYSebelumnya!$J$330:$J$772,$K29,IuranSYSebelumnya!$M$330:$M$772,AP$11,IuranSYSebelumnya!$L$330:$L$772,"&lt;&gt;"&amp;$M$5)&gt;0,
              "Iuran dari Lingkungan lain",
              ""))</t>
  </si>
  <si>
    <t>=IF(COUNTIFS(IuranSYSebelumnya!$J$330:$J$772,$K29,IuranSYSebelumnya!$M$330:$M$772,AQ$11,IuranSYSebelumnya!$L$330:$L$772,$M$5)&gt;0,
        VLOOKUP(CONCATENATE($K29,"|",AQ$11,"|",$M$5),IuranSYSebelumnya!$I$330:$N$772,5,FALSE),
        IF(COUNTIFS(IuranSYSebelumnya!$J$330:$J$772,$K29,IuranSYSebelumnya!$M$330:$M$772,AQ$11,IuranSYSebelumnya!$L$330:$L$772,"&lt;&gt;"&amp;$M$5)&gt;0,
              "Iuran dari Lingkungan lain",
              ""))</t>
  </si>
  <si>
    <t>=IF(COUNTIFS(IuranSYSebelumnya!$J$330:$J$772,$K29,IuranSYSebelumnya!$M$330:$M$772,AR$11,IuranSYSebelumnya!$L$330:$L$772,$M$5)&gt;0,
        VLOOKUP(CONCATENATE($K29,"|",AR$11,"|",$M$5),IuranSYSebelumnya!$I$330:$N$772,5,FALSE),
        IF(COUNTIFS(IuranSYSebelumnya!$J$330:$J$772,$K29,IuranSYSebelumnya!$M$330:$M$772,AR$11,IuranSYSebelumnya!$L$330:$L$772,"&lt;&gt;"&amp;$M$5)&gt;0,
              "Iuran dari Lingkungan lain",
              ""))</t>
  </si>
  <si>
    <t>=IF(COUNTIFS(IuranSYSebelumnya!$J$330:$J$772,$K29,IuranSYSebelumnya!$M$330:$M$772,AS$11,IuranSYSebelumnya!$L$330:$L$772,$M$5)&gt;0,
        VLOOKUP(CONCATENATE($K29,"|",AS$11,"|",$M$5),IuranSYSebelumnya!$I$330:$N$772,5,FALSE),
        IF(COUNTIFS(IuranSYSebelumnya!$J$330:$J$772,$K29,IuranSYSebelumnya!$M$330:$M$772,AS$11,IuranSYSebelumnya!$L$330:$L$772,"&lt;&gt;"&amp;$M$5)&gt;0,
              "Iuran dari Lingkungan lain",
              ""))</t>
  </si>
  <si>
    <t>=IF(COUNTIFS(IuranSYSebelumnya!$J$330:$J$772,$K29,IuranSYSebelumnya!$M$330:$M$772,AT$11,IuranSYSebelumnya!$L$330:$L$772,$M$5)&gt;0,
        VLOOKUP(CONCATENATE($K29,"|",AT$11,"|",$M$5),IuranSYSebelumnya!$I$330:$N$772,5,FALSE),
        IF(COUNTIFS(IuranSYSebelumnya!$J$330:$J$772,$K29,IuranSYSebelumnya!$M$330:$M$772,AT$11,IuranSYSebelumnya!$L$330:$L$772,"&lt;&gt;"&amp;$M$5)&gt;0,
              "Iuran dari Lingkungan lain",
              ""))</t>
  </si>
  <si>
    <t>=IF(COUNTIFS(IuranSYSebelumnya!$J$330:$J$772,$K29,IuranSYSebelumnya!$M$330:$M$772,AU$11,IuranSYSebelumnya!$L$330:$L$772,$M$5)&gt;0,
        VLOOKUP(CONCATENATE($K29,"|",AU$11,"|",$M$5),IuranSYSebelumnya!$I$330:$N$772,5,FALSE),
        IF(COUNTIFS(IuranSYSebelumnya!$J$330:$J$772,$K29,IuranSYSebelumnya!$M$330:$M$772,AU$11,IuranSYSebelumnya!$L$330:$L$772,"&lt;&gt;"&amp;$M$5)&gt;0,
              "Iuran dari Lingkungan lain",
              ""))</t>
  </si>
  <si>
    <t>=IF(COUNTIFS(IuranSYSebelumnya!$J$330:$J$772,$K29,IuranSYSebelumnya!$M$330:$M$772,AV$11,IuranSYSebelumnya!$L$330:$L$772,$M$5)&gt;0,
        VLOOKUP(CONCATENATE($K29,"|",AV$11,"|",$M$5),IuranSYSebelumnya!$I$330:$N$772,5,FALSE),
        IF(COUNTIFS(IuranSYSebelumnya!$J$330:$J$772,$K29,IuranSYSebelumnya!$M$330:$M$772,AV$11,IuranSYSebelumnya!$L$330:$L$772,"&lt;&gt;"&amp;$M$5)&gt;0,
              "Iuran dari Lingkungan lain",
              ""))</t>
  </si>
  <si>
    <t>=IF(COUNTIFS(IuranSYSebelumnya!$J$330:$J$772,$K29,IuranSYSebelumnya!$M$330:$M$772,AW$11,IuranSYSebelumnya!$L$330:$L$772,$M$5)&gt;0,
        VLOOKUP(CONCATENATE($K29,"|",AW$11,"|",$M$5),IuranSYSebelumnya!$I$330:$N$772,5,FALSE),
        IF(COUNTIFS(IuranSYSebelumnya!$J$330:$J$772,$K29,IuranSYSebelumnya!$M$330:$M$772,AW$11,IuranSYSebelumnya!$L$330:$L$772,"&lt;&gt;"&amp;$M$5)&gt;0,
              "Iuran dari Lingkungan lain",
              ""))</t>
  </si>
  <si>
    <t>=IF(COUNTIFS(IuranSYSebelumnya!$J$330:$J$772,$K29,IuranSYSebelumnya!$M$330:$M$772,AX$11,IuranSYSebelumnya!$L$330:$L$772,$M$5)&gt;0,
        VLOOKUP(CONCATENATE($K29,"|",AX$11,"|",$M$5),IuranSYSebelumnya!$I$330:$N$772,5,FALSE),
        IF(COUNTIFS(IuranSYSebelumnya!$J$330:$J$772,$K29,IuranSYSebelumnya!$M$330:$M$772,AX$11,IuranSYSebelumnya!$L$330:$L$772,"&lt;&gt;"&amp;$M$5)&gt;0,
              "Iuran dari Lingkungan lain",
              ""))</t>
  </si>
  <si>
    <t>=IF(COUNTIFS(IuranSYSebelumnya!$J$330:$J$772,$K29,IuranSYSebelumnya!$M$330:$M$772,AY$11,IuranSYSebelumnya!$L$330:$L$772,$M$5)&gt;0,
        VLOOKUP(CONCATENATE($K29,"|",AY$11,"|",$M$5),IuranSYSebelumnya!$I$330:$N$772,5,FALSE),
        IF(COUNTIFS(IuranSYSebelumnya!$J$330:$J$772,$K29,IuranSYSebelumnya!$M$330:$M$772,AY$11,IuranSYSebelumnya!$L$330:$L$772,"&lt;&gt;"&amp;$M$5)&gt;0,
              "Iuran dari Lingkungan lain",
              ""))</t>
  </si>
  <si>
    <t>=IF(COUNTIFS(IuranSYSebelumnya!$J$330:$J$772,$K29,IuranSYSebelumnya!$M$330:$M$772,AZ$11,IuranSYSebelumnya!$L$330:$L$772,$M$5)&gt;0,
        VLOOKUP(CONCATENATE($K29,"|",AZ$11,"|",$M$5),IuranSYSebelumnya!$I$330:$N$772,5,FALSE),
        IF(COUNTIFS(IuranSYSebelumnya!$J$330:$J$772,$K29,IuranSYSebelumnya!$M$330:$M$772,AZ$11,IuranSYSebelumnya!$L$330:$L$772,"&lt;&gt;"&amp;$M$5)&gt;0,
              "Iuran dari Lingkungan lain",
              ""))</t>
  </si>
  <si>
    <t>=IF(COUNTIFS(IuranSYSebelumnya!$J$330:$J$772,$K29,IuranSYSebelumnya!$M$330:$M$772,BA$11,IuranSYSebelumnya!$L$330:$L$772,$M$5)&gt;0,
        VLOOKUP(CONCATENATE($K29,"|",BA$11,"|",$M$5),IuranSYSebelumnya!$I$330:$N$772,5,FALSE),
        IF(COUNTIFS(IuranSYSebelumnya!$J$330:$J$772,$K29,IuranSYSebelumnya!$M$330:$M$772,BA$11,IuranSYSebelumnya!$L$330:$L$772,"&lt;&gt;"&amp;$M$5)&gt;0,
              "Iuran dari Lingkungan lain",
              ""))</t>
  </si>
  <si>
    <t>=IF(COUNTIFS(IuranSYSebelumnya!$J$330:$J$772,$K29,IuranSYSebelumnya!$M$330:$M$772,BB$11,IuranSYSebelumnya!$L$330:$L$772,$M$5)&gt;0,
        VLOOKUP(CONCATENATE($K29,"|",BB$11,"|",$M$5),IuranSYSebelumnya!$I$330:$N$772,5,FALSE),
        IF(COUNTIFS(IuranSYSebelumnya!$J$330:$J$772,$K29,IuranSYSebelumnya!$M$330:$M$772,BB$11,IuranSYSebelumnya!$L$330:$L$772,"&lt;&gt;"&amp;$M$5)&gt;0,
              "Iuran dari Lingkungan lain",
              ""))</t>
  </si>
  <si>
    <t>=IF(COUNTIFS(IuranSYSebelumnya!$J$330:$J$772,$K29,IuranSYSebelumnya!$M$330:$M$772,BC$11,IuranSYSebelumnya!$L$330:$L$772,$M$5)&gt;0,
        VLOOKUP(CONCATENATE($K29,"|",BC$11,"|",$M$5),IuranSYSebelumnya!$I$330:$N$772,5,FALSE),
        IF(COUNTIFS(IuranSYSebelumnya!$J$330:$J$772,$K29,IuranSYSebelumnya!$M$330:$M$772,BC$11,IuranSYSebelumnya!$L$330:$L$772,"&lt;&gt;"&amp;$M$5)&gt;0,
              "Iuran dari Lingkungan lain",
              ""))</t>
  </si>
  <si>
    <t>=IF(COUNTIFS(IuranSYSebelumnya!$J$330:$J$772,$K29,IuranSYSebelumnya!$M$330:$M$772,BD$11,IuranSYSebelumnya!$L$330:$L$772,$M$5)&gt;0,
        VLOOKUP(CONCATENATE($K29,"|",BD$11,"|",$M$5),IuranSYSebelumnya!$I$330:$N$772,5,FALSE),
        IF(COUNTIFS(IuranSYSebelumnya!$J$330:$J$772,$K29,IuranSYSebelumnya!$M$330:$M$772,BD$11,IuranSYSebelumnya!$L$330:$L$772,"&lt;&gt;"&amp;$M$5)&gt;0,
              "Iuran dari Lingkungan lain",
              ""))</t>
  </si>
  <si>
    <t>=IF(COUNTIFS(IuranSYSebelumnya!$J$330:$J$772,$K29,IuranSYSebelumnya!$M$330:$M$772,BE$11,IuranSYSebelumnya!$L$330:$L$772,$M$5)&gt;0,
        VLOOKUP(CONCATENATE($K29,"|",BE$11,"|",$M$5),IuranSYSebelumnya!$I$330:$N$772,5,FALSE),
        IF(COUNTIFS(IuranSYSebelumnya!$J$330:$J$772,$K29,IuranSYSebelumnya!$M$330:$M$772,BE$11,IuranSYSebelumnya!$L$330:$L$772,"&lt;&gt;"&amp;$M$5)&gt;0,
              "Iuran dari Lingkungan lain",
              ""))</t>
  </si>
  <si>
    <t>=IF(COUNTIFS(IuranSYSebelumnya!$J$330:$J$772,$K29,IuranSYSebelumnya!$M$330:$M$772,BF$11,IuranSYSebelumnya!$L$330:$L$772,$M$5)&gt;0,
        VLOOKUP(CONCATENATE($K29,"|",BF$11,"|",$M$5),IuranSYSebelumnya!$I$330:$N$772,5,FALSE),
        IF(COUNTIFS(IuranSYSebelumnya!$J$330:$J$772,$K29,IuranSYSebelumnya!$M$330:$M$772,BF$11,IuranSYSebelumnya!$L$330:$L$772,"&lt;&gt;"&amp;$M$5)&gt;0,
              "Iuran dari Lingkungan lain",
              ""))</t>
  </si>
  <si>
    <t>=IF(COUNTIFS(IuranSYSebelumnya!$J$330:$J$772,$K29,IuranSYSebelumnya!$M$330:$M$772,BG$11,IuranSYSebelumnya!$L$330:$L$772,$M$5)&gt;0,
        VLOOKUP(CONCATENATE($K29,"|",BG$11,"|",$M$5),IuranSYSebelumnya!$I$330:$N$772,5,FALSE),
        IF(COUNTIFS(IuranSYSebelumnya!$J$330:$J$772,$K29,IuranSYSebelumnya!$M$330:$M$772,BG$11,IuranSYSebelumnya!$L$330:$L$772,"&lt;&gt;"&amp;$M$5)&gt;0,
              "Iuran dari Lingkungan lain",
              ""))</t>
  </si>
  <si>
    <t>=IF(COUNTIFS(IuranSYSebelumnya!$J$330:$J$772,$K29,IuranSYSebelumnya!$M$330:$M$772,BH$11,IuranSYSebelumnya!$L$330:$L$772,$M$5)&gt;0,
        VLOOKUP(CONCATENATE($K29,"|",BH$11,"|",$M$5),IuranSYSebelumnya!$I$330:$N$772,5,FALSE),
        IF(COUNTIFS(IuranSYSebelumnya!$J$330:$J$772,$K29,IuranSYSebelumnya!$M$330:$M$772,BH$11,IuranSYSebelumnya!$L$330:$L$772,"&lt;&gt;"&amp;$M$5)&gt;0,
              "Iuran dari Lingkungan lain",
              ""))</t>
  </si>
  <si>
    <t>=IF(COUNTIFS(IuranSYSebelumnya!$J$330:$J$772,$K29,IuranSYSebelumnya!$M$330:$M$772,BI$11,IuranSYSebelumnya!$L$330:$L$772,$M$5)&gt;0,
        VLOOKUP(CONCATENATE($K29,"|",BI$11,"|",$M$5),IuranSYSebelumnya!$I$330:$N$772,5,FALSE),
        IF(COUNTIFS(IuranSYSebelumnya!$J$330:$J$772,$K29,IuranSYSebelumnya!$M$330:$M$772,BI$11,IuranSYSebelumnya!$L$330:$L$772,"&lt;&gt;"&amp;$M$5)&gt;0,
              "Iuran dari Lingkungan lain",
              ""))</t>
  </si>
  <si>
    <t>=IF(COUNTIFS(IuranSYSebelumnya!$J$330:$J$772,$K29,IuranSYSebelumnya!$M$330:$M$772,BJ$11,IuranSYSebelumnya!$L$330:$L$772,$M$5)&gt;0,
        VLOOKUP(CONCATENATE($K29,"|",BJ$11,"|",$M$5),IuranSYSebelumnya!$I$330:$N$772,5,FALSE),
        IF(COUNTIFS(IuranSYSebelumnya!$J$330:$J$772,$K29,IuranSYSebelumnya!$M$330:$M$772,BJ$11,IuranSYSebelumnya!$L$330:$L$772,"&lt;&gt;"&amp;$M$5)&gt;0,
              "Iuran dari Lingkungan lain",
              ""))</t>
  </si>
  <si>
    <t>=IF(COUNTIFS(IuranSYSebelumnya!$J$330:$J$772,$K29,IuranSYSebelumnya!$M$330:$M$772,BK$11,IuranSYSebelumnya!$L$330:$L$772,$M$5)&gt;0,
        VLOOKUP(CONCATENATE($K29,"|",BK$11,"|",$M$5),IuranSYSebelumnya!$I$330:$N$772,5,FALSE),
        IF(COUNTIFS(IuranSYSebelumnya!$J$330:$J$772,$K29,IuranSYSebelumnya!$M$330:$M$772,BK$11,IuranSYSebelumnya!$L$330:$L$772,"&lt;&gt;"&amp;$M$5)&gt;0,
              "Iuran dari Lingkungan lain",
              ""))</t>
  </si>
  <si>
    <t>=IF(COUNTIFS(IuranSYSebelumnya!$J$330:$J$772,$K29,IuranSYSebelumnya!$M$330:$M$772,BL$11,IuranSYSebelumnya!$L$330:$L$772,$M$5)&gt;0,
        VLOOKUP(CONCATENATE($K29,"|",BL$11,"|",$M$5),IuranSYSebelumnya!$I$330:$N$772,5,FALSE),
        IF(COUNTIFS(IuranSYSebelumnya!$J$330:$J$772,$K29,IuranSYSebelumnya!$M$330:$M$772,BL$11,IuranSYSebelumnya!$L$330:$L$772,"&lt;&gt;"&amp;$M$5)&gt;0,
              "Iuran dari Lingkungan lain",
              ""))</t>
  </si>
  <si>
    <t>=IF(COUNTIFS(IuranSYSebelumnya!$J$330:$J$772,$K30,IuranSYSebelumnya!$M$330:$M$772,AO$11,IuranSYSebelumnya!$L$330:$L$772,$M$5)&gt;0,
        VLOOKUP(CONCATENATE($K30,"|",AO$11,"|",$M$5),IuranSYSebelumnya!$I$330:$N$772,5,FALSE),
        IF(COUNTIFS(IuranSYSebelumnya!$J$330:$J$772,$K30,IuranSYSebelumnya!$M$330:$M$772,AO$11,IuranSYSebelumnya!$L$330:$L$772,"&lt;&gt;"&amp;$M$5)&gt;0,
              "Iuran dari Lingkungan lain",
              ""))</t>
  </si>
  <si>
    <t>=IF(COUNTIFS(IuranSYSebelumnya!$J$330:$J$772,$K30,IuranSYSebelumnya!$M$330:$M$772,AP$11,IuranSYSebelumnya!$L$330:$L$772,$M$5)&gt;0,
        VLOOKUP(CONCATENATE($K30,"|",AP$11,"|",$M$5),IuranSYSebelumnya!$I$330:$N$772,5,FALSE),
        IF(COUNTIFS(IuranSYSebelumnya!$J$330:$J$772,$K30,IuranSYSebelumnya!$M$330:$M$772,AP$11,IuranSYSebelumnya!$L$330:$L$772,"&lt;&gt;"&amp;$M$5)&gt;0,
              "Iuran dari Lingkungan lain",
              ""))</t>
  </si>
  <si>
    <t>=IF(COUNTIFS(IuranSYSebelumnya!$J$330:$J$772,$K30,IuranSYSebelumnya!$M$330:$M$772,AQ$11,IuranSYSebelumnya!$L$330:$L$772,$M$5)&gt;0,
        VLOOKUP(CONCATENATE($K30,"|",AQ$11,"|",$M$5),IuranSYSebelumnya!$I$330:$N$772,5,FALSE),
        IF(COUNTIFS(IuranSYSebelumnya!$J$330:$J$772,$K30,IuranSYSebelumnya!$M$330:$M$772,AQ$11,IuranSYSebelumnya!$L$330:$L$772,"&lt;&gt;"&amp;$M$5)&gt;0,
              "Iuran dari Lingkungan lain",
              ""))</t>
  </si>
  <si>
    <t>=IF(COUNTIFS(IuranSYSebelumnya!$J$330:$J$772,$K30,IuranSYSebelumnya!$M$330:$M$772,AR$11,IuranSYSebelumnya!$L$330:$L$772,$M$5)&gt;0,
        VLOOKUP(CONCATENATE($K30,"|",AR$11,"|",$M$5),IuranSYSebelumnya!$I$330:$N$772,5,FALSE),
        IF(COUNTIFS(IuranSYSebelumnya!$J$330:$J$772,$K30,IuranSYSebelumnya!$M$330:$M$772,AR$11,IuranSYSebelumnya!$L$330:$L$772,"&lt;&gt;"&amp;$M$5)&gt;0,
              "Iuran dari Lingkungan lain",
              ""))</t>
  </si>
  <si>
    <t>=IF(COUNTIFS(IuranSYSebelumnya!$J$330:$J$772,$K30,IuranSYSebelumnya!$M$330:$M$772,AS$11,IuranSYSebelumnya!$L$330:$L$772,$M$5)&gt;0,
        VLOOKUP(CONCATENATE($K30,"|",AS$11,"|",$M$5),IuranSYSebelumnya!$I$330:$N$772,5,FALSE),
        IF(COUNTIFS(IuranSYSebelumnya!$J$330:$J$772,$K30,IuranSYSebelumnya!$M$330:$M$772,AS$11,IuranSYSebelumnya!$L$330:$L$772,"&lt;&gt;"&amp;$M$5)&gt;0,
              "Iuran dari Lingkungan lain",
              ""))</t>
  </si>
  <si>
    <t>=IF(COUNTIFS(IuranSYSebelumnya!$J$330:$J$772,$K30,IuranSYSebelumnya!$M$330:$M$772,AT$11,IuranSYSebelumnya!$L$330:$L$772,$M$5)&gt;0,
        VLOOKUP(CONCATENATE($K30,"|",AT$11,"|",$M$5),IuranSYSebelumnya!$I$330:$N$772,5,FALSE),
        IF(COUNTIFS(IuranSYSebelumnya!$J$330:$J$772,$K30,IuranSYSebelumnya!$M$330:$M$772,AT$11,IuranSYSebelumnya!$L$330:$L$772,"&lt;&gt;"&amp;$M$5)&gt;0,
              "Iuran dari Lingkungan lain",
              ""))</t>
  </si>
  <si>
    <t>=IF(COUNTIFS(IuranSYSebelumnya!$J$330:$J$772,$K30,IuranSYSebelumnya!$M$330:$M$772,AU$11,IuranSYSebelumnya!$L$330:$L$772,$M$5)&gt;0,
        VLOOKUP(CONCATENATE($K30,"|",AU$11,"|",$M$5),IuranSYSebelumnya!$I$330:$N$772,5,FALSE),
        IF(COUNTIFS(IuranSYSebelumnya!$J$330:$J$772,$K30,IuranSYSebelumnya!$M$330:$M$772,AU$11,IuranSYSebelumnya!$L$330:$L$772,"&lt;&gt;"&amp;$M$5)&gt;0,
              "Iuran dari Lingkungan lain",
              ""))</t>
  </si>
  <si>
    <t>=IF(COUNTIFS(IuranSYSebelumnya!$J$330:$J$772,$K30,IuranSYSebelumnya!$M$330:$M$772,AV$11,IuranSYSebelumnya!$L$330:$L$772,$M$5)&gt;0,
        VLOOKUP(CONCATENATE($K30,"|",AV$11,"|",$M$5),IuranSYSebelumnya!$I$330:$N$772,5,FALSE),
        IF(COUNTIFS(IuranSYSebelumnya!$J$330:$J$772,$K30,IuranSYSebelumnya!$M$330:$M$772,AV$11,IuranSYSebelumnya!$L$330:$L$772,"&lt;&gt;"&amp;$M$5)&gt;0,
              "Iuran dari Lingkungan lain",
              ""))</t>
  </si>
  <si>
    <t>=IF(COUNTIFS(IuranSYSebelumnya!$J$330:$J$772,$K30,IuranSYSebelumnya!$M$330:$M$772,AW$11,IuranSYSebelumnya!$L$330:$L$772,$M$5)&gt;0,
        VLOOKUP(CONCATENATE($K30,"|",AW$11,"|",$M$5),IuranSYSebelumnya!$I$330:$N$772,5,FALSE),
        IF(COUNTIFS(IuranSYSebelumnya!$J$330:$J$772,$K30,IuranSYSebelumnya!$M$330:$M$772,AW$11,IuranSYSebelumnya!$L$330:$L$772,"&lt;&gt;"&amp;$M$5)&gt;0,
              "Iuran dari Lingkungan lain",
              ""))</t>
  </si>
  <si>
    <t>=IF(COUNTIFS(IuranSYSebelumnya!$J$330:$J$772,$K30,IuranSYSebelumnya!$M$330:$M$772,AX$11,IuranSYSebelumnya!$L$330:$L$772,$M$5)&gt;0,
        VLOOKUP(CONCATENATE($K30,"|",AX$11,"|",$M$5),IuranSYSebelumnya!$I$330:$N$772,5,FALSE),
        IF(COUNTIFS(IuranSYSebelumnya!$J$330:$J$772,$K30,IuranSYSebelumnya!$M$330:$M$772,AX$11,IuranSYSebelumnya!$L$330:$L$772,"&lt;&gt;"&amp;$M$5)&gt;0,
              "Iuran dari Lingkungan lain",
              ""))</t>
  </si>
  <si>
    <t>=IF(COUNTIFS(IuranSYSebelumnya!$J$330:$J$772,$K30,IuranSYSebelumnya!$M$330:$M$772,AY$11,IuranSYSebelumnya!$L$330:$L$772,$M$5)&gt;0,
        VLOOKUP(CONCATENATE($K30,"|",AY$11,"|",$M$5),IuranSYSebelumnya!$I$330:$N$772,5,FALSE),
        IF(COUNTIFS(IuranSYSebelumnya!$J$330:$J$772,$K30,IuranSYSebelumnya!$M$330:$M$772,AY$11,IuranSYSebelumnya!$L$330:$L$772,"&lt;&gt;"&amp;$M$5)&gt;0,
              "Iuran dari Lingkungan lain",
              ""))</t>
  </si>
  <si>
    <t>=IF(COUNTIFS(IuranSYSebelumnya!$J$330:$J$772,$K30,IuranSYSebelumnya!$M$330:$M$772,AZ$11,IuranSYSebelumnya!$L$330:$L$772,$M$5)&gt;0,
        VLOOKUP(CONCATENATE($K30,"|",AZ$11,"|",$M$5),IuranSYSebelumnya!$I$330:$N$772,5,FALSE),
        IF(COUNTIFS(IuranSYSebelumnya!$J$330:$J$772,$K30,IuranSYSebelumnya!$M$330:$M$772,AZ$11,IuranSYSebelumnya!$L$330:$L$772,"&lt;&gt;"&amp;$M$5)&gt;0,
              "Iuran dari Lingkungan lain",
              ""))</t>
  </si>
  <si>
    <t>=IF(COUNTIFS(IuranSYSebelumnya!$J$330:$J$772,$K30,IuranSYSebelumnya!$M$330:$M$772,BA$11,IuranSYSebelumnya!$L$330:$L$772,$M$5)&gt;0,
        VLOOKUP(CONCATENATE($K30,"|",BA$11,"|",$M$5),IuranSYSebelumnya!$I$330:$N$772,5,FALSE),
        IF(COUNTIFS(IuranSYSebelumnya!$J$330:$J$772,$K30,IuranSYSebelumnya!$M$330:$M$772,BA$11,IuranSYSebelumnya!$L$330:$L$772,"&lt;&gt;"&amp;$M$5)&gt;0,
              "Iuran dari Lingkungan lain",
              ""))</t>
  </si>
  <si>
    <t>=IF(COUNTIFS(IuranSYSebelumnya!$J$330:$J$772,$K30,IuranSYSebelumnya!$M$330:$M$772,BB$11,IuranSYSebelumnya!$L$330:$L$772,$M$5)&gt;0,
        VLOOKUP(CONCATENATE($K30,"|",BB$11,"|",$M$5),IuranSYSebelumnya!$I$330:$N$772,5,FALSE),
        IF(COUNTIFS(IuranSYSebelumnya!$J$330:$J$772,$K30,IuranSYSebelumnya!$M$330:$M$772,BB$11,IuranSYSebelumnya!$L$330:$L$772,"&lt;&gt;"&amp;$M$5)&gt;0,
              "Iuran dari Lingkungan lain",
              ""))</t>
  </si>
  <si>
    <t>=IF(COUNTIFS(IuranSYSebelumnya!$J$330:$J$772,$K30,IuranSYSebelumnya!$M$330:$M$772,BC$11,IuranSYSebelumnya!$L$330:$L$772,$M$5)&gt;0,
        VLOOKUP(CONCATENATE($K30,"|",BC$11,"|",$M$5),IuranSYSebelumnya!$I$330:$N$772,5,FALSE),
        IF(COUNTIFS(IuranSYSebelumnya!$J$330:$J$772,$K30,IuranSYSebelumnya!$M$330:$M$772,BC$11,IuranSYSebelumnya!$L$330:$L$772,"&lt;&gt;"&amp;$M$5)&gt;0,
              "Iuran dari Lingkungan lain",
              ""))</t>
  </si>
  <si>
    <t>=IF(COUNTIFS(IuranSYSebelumnya!$J$330:$J$772,$K30,IuranSYSebelumnya!$M$330:$M$772,BD$11,IuranSYSebelumnya!$L$330:$L$772,$M$5)&gt;0,
        VLOOKUP(CONCATENATE($K30,"|",BD$11,"|",$M$5),IuranSYSebelumnya!$I$330:$N$772,5,FALSE),
        IF(COUNTIFS(IuranSYSebelumnya!$J$330:$J$772,$K30,IuranSYSebelumnya!$M$330:$M$772,BD$11,IuranSYSebelumnya!$L$330:$L$772,"&lt;&gt;"&amp;$M$5)&gt;0,
              "Iuran dari Lingkungan lain",
              ""))</t>
  </si>
  <si>
    <t>=IF(COUNTIFS(IuranSYSebelumnya!$J$330:$J$772,$K30,IuranSYSebelumnya!$M$330:$M$772,BE$11,IuranSYSebelumnya!$L$330:$L$772,$M$5)&gt;0,
        VLOOKUP(CONCATENATE($K30,"|",BE$11,"|",$M$5),IuranSYSebelumnya!$I$330:$N$772,5,FALSE),
        IF(COUNTIFS(IuranSYSebelumnya!$J$330:$J$772,$K30,IuranSYSebelumnya!$M$330:$M$772,BE$11,IuranSYSebelumnya!$L$330:$L$772,"&lt;&gt;"&amp;$M$5)&gt;0,
              "Iuran dari Lingkungan lain",
              ""))</t>
  </si>
  <si>
    <t>=IF(COUNTIFS(IuranSYSebelumnya!$J$330:$J$772,$K30,IuranSYSebelumnya!$M$330:$M$772,BF$11,IuranSYSebelumnya!$L$330:$L$772,$M$5)&gt;0,
        VLOOKUP(CONCATENATE($K30,"|",BF$11,"|",$M$5),IuranSYSebelumnya!$I$330:$N$772,5,FALSE),
        IF(COUNTIFS(IuranSYSebelumnya!$J$330:$J$772,$K30,IuranSYSebelumnya!$M$330:$M$772,BF$11,IuranSYSebelumnya!$L$330:$L$772,"&lt;&gt;"&amp;$M$5)&gt;0,
              "Iuran dari Lingkungan lain",
              ""))</t>
  </si>
  <si>
    <t>=IF(COUNTIFS(IuranSYSebelumnya!$J$330:$J$772,$K30,IuranSYSebelumnya!$M$330:$M$772,BG$11,IuranSYSebelumnya!$L$330:$L$772,$M$5)&gt;0,
        VLOOKUP(CONCATENATE($K30,"|",BG$11,"|",$M$5),IuranSYSebelumnya!$I$330:$N$772,5,FALSE),
        IF(COUNTIFS(IuranSYSebelumnya!$J$330:$J$772,$K30,IuranSYSebelumnya!$M$330:$M$772,BG$11,IuranSYSebelumnya!$L$330:$L$772,"&lt;&gt;"&amp;$M$5)&gt;0,
              "Iuran dari Lingkungan lain",
              ""))</t>
  </si>
  <si>
    <t>=IF(COUNTIFS(IuranSYSebelumnya!$J$330:$J$772,$K30,IuranSYSebelumnya!$M$330:$M$772,BH$11,IuranSYSebelumnya!$L$330:$L$772,$M$5)&gt;0,
        VLOOKUP(CONCATENATE($K30,"|",BH$11,"|",$M$5),IuranSYSebelumnya!$I$330:$N$772,5,FALSE),
        IF(COUNTIFS(IuranSYSebelumnya!$J$330:$J$772,$K30,IuranSYSebelumnya!$M$330:$M$772,BH$11,IuranSYSebelumnya!$L$330:$L$772,"&lt;&gt;"&amp;$M$5)&gt;0,
              "Iuran dari Lingkungan lain",
              ""))</t>
  </si>
  <si>
    <t>=IF(COUNTIFS(IuranSYSebelumnya!$J$330:$J$772,$K30,IuranSYSebelumnya!$M$330:$M$772,BI$11,IuranSYSebelumnya!$L$330:$L$772,$M$5)&gt;0,
        VLOOKUP(CONCATENATE($K30,"|",BI$11,"|",$M$5),IuranSYSebelumnya!$I$330:$N$772,5,FALSE),
        IF(COUNTIFS(IuranSYSebelumnya!$J$330:$J$772,$K30,IuranSYSebelumnya!$M$330:$M$772,BI$11,IuranSYSebelumnya!$L$330:$L$772,"&lt;&gt;"&amp;$M$5)&gt;0,
              "Iuran dari Lingkungan lain",
              ""))</t>
  </si>
  <si>
    <t>=IF(COUNTIFS(IuranSYSebelumnya!$J$330:$J$772,$K30,IuranSYSebelumnya!$M$330:$M$772,BJ$11,IuranSYSebelumnya!$L$330:$L$772,$M$5)&gt;0,
        VLOOKUP(CONCATENATE($K30,"|",BJ$11,"|",$M$5),IuranSYSebelumnya!$I$330:$N$772,5,FALSE),
        IF(COUNTIFS(IuranSYSebelumnya!$J$330:$J$772,$K30,IuranSYSebelumnya!$M$330:$M$772,BJ$11,IuranSYSebelumnya!$L$330:$L$772,"&lt;&gt;"&amp;$M$5)&gt;0,
              "Iuran dari Lingkungan lain",
              ""))</t>
  </si>
  <si>
    <t>=IF(COUNTIFS(IuranSYSebelumnya!$J$330:$J$772,$K30,IuranSYSebelumnya!$M$330:$M$772,BK$11,IuranSYSebelumnya!$L$330:$L$772,$M$5)&gt;0,
        VLOOKUP(CONCATENATE($K30,"|",BK$11,"|",$M$5),IuranSYSebelumnya!$I$330:$N$772,5,FALSE),
        IF(COUNTIFS(IuranSYSebelumnya!$J$330:$J$772,$K30,IuranSYSebelumnya!$M$330:$M$772,BK$11,IuranSYSebelumnya!$L$330:$L$772,"&lt;&gt;"&amp;$M$5)&gt;0,
              "Iuran dari Lingkungan lain",
              ""))</t>
  </si>
  <si>
    <t>=IF(COUNTIFS(IuranSYSebelumnya!$J$330:$J$772,$K30,IuranSYSebelumnya!$M$330:$M$772,BL$11,IuranSYSebelumnya!$L$330:$L$772,$M$5)&gt;0,
        VLOOKUP(CONCATENATE($K30,"|",BL$11,"|",$M$5),IuranSYSebelumnya!$I$330:$N$772,5,FALSE),
        IF(COUNTIFS(IuranSYSebelumnya!$J$330:$J$772,$K30,IuranSYSebelumnya!$M$330:$M$772,BL$11,IuranSYSebelumnya!$L$330:$L$772,"&lt;&gt;"&amp;$M$5)&gt;0,
              "Iuran dari Lingkungan lain",
              ""))</t>
  </si>
  <si>
    <t>=IF(COUNTIFS(IuranSYSebelumnya!$J$330:$J$772,$K31,IuranSYSebelumnya!$M$330:$M$772,AO$11,IuranSYSebelumnya!$L$330:$L$772,$M$5)&gt;0,
        VLOOKUP(CONCATENATE($K31,"|",AO$11,"|",$M$5),IuranSYSebelumnya!$I$330:$N$772,5,FALSE),
        IF(COUNTIFS(IuranSYSebelumnya!$J$330:$J$772,$K31,IuranSYSebelumnya!$M$330:$M$772,AO$11,IuranSYSebelumnya!$L$330:$L$772,"&lt;&gt;"&amp;$M$5)&gt;0,
              "Iuran dari Lingkungan lain",
              ""))</t>
  </si>
  <si>
    <t>=IF(COUNTIFS(IuranSYSebelumnya!$J$330:$J$772,$K31,IuranSYSebelumnya!$M$330:$M$772,AP$11,IuranSYSebelumnya!$L$330:$L$772,$M$5)&gt;0,
        VLOOKUP(CONCATENATE($K31,"|",AP$11,"|",$M$5),IuranSYSebelumnya!$I$330:$N$772,5,FALSE),
        IF(COUNTIFS(IuranSYSebelumnya!$J$330:$J$772,$K31,IuranSYSebelumnya!$M$330:$M$772,AP$11,IuranSYSebelumnya!$L$330:$L$772,"&lt;&gt;"&amp;$M$5)&gt;0,
              "Iuran dari Lingkungan lain",
              ""))</t>
  </si>
  <si>
    <t>=IF(COUNTIFS(IuranSYSebelumnya!$J$330:$J$772,$K31,IuranSYSebelumnya!$M$330:$M$772,AQ$11,IuranSYSebelumnya!$L$330:$L$772,$M$5)&gt;0,
        VLOOKUP(CONCATENATE($K31,"|",AQ$11,"|",$M$5),IuranSYSebelumnya!$I$330:$N$772,5,FALSE),
        IF(COUNTIFS(IuranSYSebelumnya!$J$330:$J$772,$K31,IuranSYSebelumnya!$M$330:$M$772,AQ$11,IuranSYSebelumnya!$L$330:$L$772,"&lt;&gt;"&amp;$M$5)&gt;0,
              "Iuran dari Lingkungan lain",
              ""))</t>
  </si>
  <si>
    <t>=IF(COUNTIFS(IuranSYSebelumnya!$J$330:$J$772,$K31,IuranSYSebelumnya!$M$330:$M$772,AR$11,IuranSYSebelumnya!$L$330:$L$772,$M$5)&gt;0,
        VLOOKUP(CONCATENATE($K31,"|",AR$11,"|",$M$5),IuranSYSebelumnya!$I$330:$N$772,5,FALSE),
        IF(COUNTIFS(IuranSYSebelumnya!$J$330:$J$772,$K31,IuranSYSebelumnya!$M$330:$M$772,AR$11,IuranSYSebelumnya!$L$330:$L$772,"&lt;&gt;"&amp;$M$5)&gt;0,
              "Iuran dari Lingkungan lain",
              ""))</t>
  </si>
  <si>
    <t>=IF(COUNTIFS(IuranSYSebelumnya!$J$330:$J$772,$K31,IuranSYSebelumnya!$M$330:$M$772,AS$11,IuranSYSebelumnya!$L$330:$L$772,$M$5)&gt;0,
        VLOOKUP(CONCATENATE($K31,"|",AS$11,"|",$M$5),IuranSYSebelumnya!$I$330:$N$772,5,FALSE),
        IF(COUNTIFS(IuranSYSebelumnya!$J$330:$J$772,$K31,IuranSYSebelumnya!$M$330:$M$772,AS$11,IuranSYSebelumnya!$L$330:$L$772,"&lt;&gt;"&amp;$M$5)&gt;0,
              "Iuran dari Lingkungan lain",
              ""))</t>
  </si>
  <si>
    <t>=IF(COUNTIFS(IuranSYSebelumnya!$J$330:$J$772,$K31,IuranSYSebelumnya!$M$330:$M$772,AT$11,IuranSYSebelumnya!$L$330:$L$772,$M$5)&gt;0,
        VLOOKUP(CONCATENATE($K31,"|",AT$11,"|",$M$5),IuranSYSebelumnya!$I$330:$N$772,5,FALSE),
        IF(COUNTIFS(IuranSYSebelumnya!$J$330:$J$772,$K31,IuranSYSebelumnya!$M$330:$M$772,AT$11,IuranSYSebelumnya!$L$330:$L$772,"&lt;&gt;"&amp;$M$5)&gt;0,
              "Iuran dari Lingkungan lain",
              ""))</t>
  </si>
  <si>
    <t>=IF(COUNTIFS(IuranSYSebelumnya!$J$330:$J$772,$K31,IuranSYSebelumnya!$M$330:$M$772,AU$11,IuranSYSebelumnya!$L$330:$L$772,$M$5)&gt;0,
        VLOOKUP(CONCATENATE($K31,"|",AU$11,"|",$M$5),IuranSYSebelumnya!$I$330:$N$772,5,FALSE),
        IF(COUNTIFS(IuranSYSebelumnya!$J$330:$J$772,$K31,IuranSYSebelumnya!$M$330:$M$772,AU$11,IuranSYSebelumnya!$L$330:$L$772,"&lt;&gt;"&amp;$M$5)&gt;0,
              "Iuran dari Lingkungan lain",
              ""))</t>
  </si>
  <si>
    <t>=IF(COUNTIFS(IuranSYSebelumnya!$J$330:$J$772,$K31,IuranSYSebelumnya!$M$330:$M$772,AV$11,IuranSYSebelumnya!$L$330:$L$772,$M$5)&gt;0,
        VLOOKUP(CONCATENATE($K31,"|",AV$11,"|",$M$5),IuranSYSebelumnya!$I$330:$N$772,5,FALSE),
        IF(COUNTIFS(IuranSYSebelumnya!$J$330:$J$772,$K31,IuranSYSebelumnya!$M$330:$M$772,AV$11,IuranSYSebelumnya!$L$330:$L$772,"&lt;&gt;"&amp;$M$5)&gt;0,
              "Iuran dari Lingkungan lain",
              ""))</t>
  </si>
  <si>
    <t>=IF(COUNTIFS(IuranSYSebelumnya!$J$330:$J$772,$K31,IuranSYSebelumnya!$M$330:$M$772,AW$11,IuranSYSebelumnya!$L$330:$L$772,$M$5)&gt;0,
        VLOOKUP(CONCATENATE($K31,"|",AW$11,"|",$M$5),IuranSYSebelumnya!$I$330:$N$772,5,FALSE),
        IF(COUNTIFS(IuranSYSebelumnya!$J$330:$J$772,$K31,IuranSYSebelumnya!$M$330:$M$772,AW$11,IuranSYSebelumnya!$L$330:$L$772,"&lt;&gt;"&amp;$M$5)&gt;0,
              "Iuran dari Lingkungan lain",
              ""))</t>
  </si>
  <si>
    <t>=IF(COUNTIFS(IuranSYSebelumnya!$J$330:$J$772,$K31,IuranSYSebelumnya!$M$330:$M$772,AX$11,IuranSYSebelumnya!$L$330:$L$772,$M$5)&gt;0,
        VLOOKUP(CONCATENATE($K31,"|",AX$11,"|",$M$5),IuranSYSebelumnya!$I$330:$N$772,5,FALSE),
        IF(COUNTIFS(IuranSYSebelumnya!$J$330:$J$772,$K31,IuranSYSebelumnya!$M$330:$M$772,AX$11,IuranSYSebelumnya!$L$330:$L$772,"&lt;&gt;"&amp;$M$5)&gt;0,
              "Iuran dari Lingkungan lain",
              ""))</t>
  </si>
  <si>
    <t>=IF(COUNTIFS(IuranSYSebelumnya!$J$330:$J$772,$K31,IuranSYSebelumnya!$M$330:$M$772,AY$11,IuranSYSebelumnya!$L$330:$L$772,$M$5)&gt;0,
        VLOOKUP(CONCATENATE($K31,"|",AY$11,"|",$M$5),IuranSYSebelumnya!$I$330:$N$772,5,FALSE),
        IF(COUNTIFS(IuranSYSebelumnya!$J$330:$J$772,$K31,IuranSYSebelumnya!$M$330:$M$772,AY$11,IuranSYSebelumnya!$L$330:$L$772,"&lt;&gt;"&amp;$M$5)&gt;0,
              "Iuran dari Lingkungan lain",
              ""))</t>
  </si>
  <si>
    <t>=IF(COUNTIFS(IuranSYSebelumnya!$J$330:$J$772,$K31,IuranSYSebelumnya!$M$330:$M$772,AZ$11,IuranSYSebelumnya!$L$330:$L$772,$M$5)&gt;0,
        VLOOKUP(CONCATENATE($K31,"|",AZ$11,"|",$M$5),IuranSYSebelumnya!$I$330:$N$772,5,FALSE),
        IF(COUNTIFS(IuranSYSebelumnya!$J$330:$J$772,$K31,IuranSYSebelumnya!$M$330:$M$772,AZ$11,IuranSYSebelumnya!$L$330:$L$772,"&lt;&gt;"&amp;$M$5)&gt;0,
              "Iuran dari Lingkungan lain",
              ""))</t>
  </si>
  <si>
    <t>=IF(COUNTIFS(IuranSYSebelumnya!$J$330:$J$772,$K31,IuranSYSebelumnya!$M$330:$M$772,BA$11,IuranSYSebelumnya!$L$330:$L$772,$M$5)&gt;0,
        VLOOKUP(CONCATENATE($K31,"|",BA$11,"|",$M$5),IuranSYSebelumnya!$I$330:$N$772,5,FALSE),
        IF(COUNTIFS(IuranSYSebelumnya!$J$330:$J$772,$K31,IuranSYSebelumnya!$M$330:$M$772,BA$11,IuranSYSebelumnya!$L$330:$L$772,"&lt;&gt;"&amp;$M$5)&gt;0,
              "Iuran dari Lingkungan lain",
              ""))</t>
  </si>
  <si>
    <t>=IF(COUNTIFS(IuranSYSebelumnya!$J$330:$J$772,$K31,IuranSYSebelumnya!$M$330:$M$772,BB$11,IuranSYSebelumnya!$L$330:$L$772,$M$5)&gt;0,
        VLOOKUP(CONCATENATE($K31,"|",BB$11,"|",$M$5),IuranSYSebelumnya!$I$330:$N$772,5,FALSE),
        IF(COUNTIFS(IuranSYSebelumnya!$J$330:$J$772,$K31,IuranSYSebelumnya!$M$330:$M$772,BB$11,IuranSYSebelumnya!$L$330:$L$772,"&lt;&gt;"&amp;$M$5)&gt;0,
              "Iuran dari Lingkungan lain",
              ""))</t>
  </si>
  <si>
    <t>=IF(COUNTIFS(IuranSYSebelumnya!$J$330:$J$772,$K31,IuranSYSebelumnya!$M$330:$M$772,BC$11,IuranSYSebelumnya!$L$330:$L$772,$M$5)&gt;0,
        VLOOKUP(CONCATENATE($K31,"|",BC$11,"|",$M$5),IuranSYSebelumnya!$I$330:$N$772,5,FALSE),
        IF(COUNTIFS(IuranSYSebelumnya!$J$330:$J$772,$K31,IuranSYSebelumnya!$M$330:$M$772,BC$11,IuranSYSebelumnya!$L$330:$L$772,"&lt;&gt;"&amp;$M$5)&gt;0,
              "Iuran dari Lingkungan lain",
              ""))</t>
  </si>
  <si>
    <t>=IF(COUNTIFS(IuranSYSebelumnya!$J$330:$J$772,$K31,IuranSYSebelumnya!$M$330:$M$772,BD$11,IuranSYSebelumnya!$L$330:$L$772,$M$5)&gt;0,
        VLOOKUP(CONCATENATE($K31,"|",BD$11,"|",$M$5),IuranSYSebelumnya!$I$330:$N$772,5,FALSE),
        IF(COUNTIFS(IuranSYSebelumnya!$J$330:$J$772,$K31,IuranSYSebelumnya!$M$330:$M$772,BD$11,IuranSYSebelumnya!$L$330:$L$772,"&lt;&gt;"&amp;$M$5)&gt;0,
              "Iuran dari Lingkungan lain",
              ""))</t>
  </si>
  <si>
    <t>=IF(COUNTIFS(IuranSYSebelumnya!$J$330:$J$772,$K31,IuranSYSebelumnya!$M$330:$M$772,BE$11,IuranSYSebelumnya!$L$330:$L$772,$M$5)&gt;0,
        VLOOKUP(CONCATENATE($K31,"|",BE$11,"|",$M$5),IuranSYSebelumnya!$I$330:$N$772,5,FALSE),
        IF(COUNTIFS(IuranSYSebelumnya!$J$330:$J$772,$K31,IuranSYSebelumnya!$M$330:$M$772,BE$11,IuranSYSebelumnya!$L$330:$L$772,"&lt;&gt;"&amp;$M$5)&gt;0,
              "Iuran dari Lingkungan lain",
              ""))</t>
  </si>
  <si>
    <t>=IF(COUNTIFS(IuranSYSebelumnya!$J$330:$J$772,$K31,IuranSYSebelumnya!$M$330:$M$772,BF$11,IuranSYSebelumnya!$L$330:$L$772,$M$5)&gt;0,
        VLOOKUP(CONCATENATE($K31,"|",BF$11,"|",$M$5),IuranSYSebelumnya!$I$330:$N$772,5,FALSE),
        IF(COUNTIFS(IuranSYSebelumnya!$J$330:$J$772,$K31,IuranSYSebelumnya!$M$330:$M$772,BF$11,IuranSYSebelumnya!$L$330:$L$772,"&lt;&gt;"&amp;$M$5)&gt;0,
              "Iuran dari Lingkungan lain",
              ""))</t>
  </si>
  <si>
    <t>=IF(COUNTIFS(IuranSYSebelumnya!$J$330:$J$772,$K31,IuranSYSebelumnya!$M$330:$M$772,BG$11,IuranSYSebelumnya!$L$330:$L$772,$M$5)&gt;0,
        VLOOKUP(CONCATENATE($K31,"|",BG$11,"|",$M$5),IuranSYSebelumnya!$I$330:$N$772,5,FALSE),
        IF(COUNTIFS(IuranSYSebelumnya!$J$330:$J$772,$K31,IuranSYSebelumnya!$M$330:$M$772,BG$11,IuranSYSebelumnya!$L$330:$L$772,"&lt;&gt;"&amp;$M$5)&gt;0,
              "Iuran dari Lingkungan lain",
              ""))</t>
  </si>
  <si>
    <t>=IF(COUNTIFS(IuranSYSebelumnya!$J$330:$J$772,$K31,IuranSYSebelumnya!$M$330:$M$772,BH$11,IuranSYSebelumnya!$L$330:$L$772,$M$5)&gt;0,
        VLOOKUP(CONCATENATE($K31,"|",BH$11,"|",$M$5),IuranSYSebelumnya!$I$330:$N$772,5,FALSE),
        IF(COUNTIFS(IuranSYSebelumnya!$J$330:$J$772,$K31,IuranSYSebelumnya!$M$330:$M$772,BH$11,IuranSYSebelumnya!$L$330:$L$772,"&lt;&gt;"&amp;$M$5)&gt;0,
              "Iuran dari Lingkungan lain",
              ""))</t>
  </si>
  <si>
    <t>=IF(COUNTIFS(IuranSYSebelumnya!$J$330:$J$772,$K31,IuranSYSebelumnya!$M$330:$M$772,BI$11,IuranSYSebelumnya!$L$330:$L$772,$M$5)&gt;0,
        VLOOKUP(CONCATENATE($K31,"|",BI$11,"|",$M$5),IuranSYSebelumnya!$I$330:$N$772,5,FALSE),
        IF(COUNTIFS(IuranSYSebelumnya!$J$330:$J$772,$K31,IuranSYSebelumnya!$M$330:$M$772,BI$11,IuranSYSebelumnya!$L$330:$L$772,"&lt;&gt;"&amp;$M$5)&gt;0,
              "Iuran dari Lingkungan lain",
              ""))</t>
  </si>
  <si>
    <t>=IF(COUNTIFS(IuranSYSebelumnya!$J$330:$J$772,$K31,IuranSYSebelumnya!$M$330:$M$772,BJ$11,IuranSYSebelumnya!$L$330:$L$772,$M$5)&gt;0,
        VLOOKUP(CONCATENATE($K31,"|",BJ$11,"|",$M$5),IuranSYSebelumnya!$I$330:$N$772,5,FALSE),
        IF(COUNTIFS(IuranSYSebelumnya!$J$330:$J$772,$K31,IuranSYSebelumnya!$M$330:$M$772,BJ$11,IuranSYSebelumnya!$L$330:$L$772,"&lt;&gt;"&amp;$M$5)&gt;0,
              "Iuran dari Lingkungan lain",
              ""))</t>
  </si>
  <si>
    <t>=IF(COUNTIFS(IuranSYSebelumnya!$J$330:$J$772,$K31,IuranSYSebelumnya!$M$330:$M$772,BK$11,IuranSYSebelumnya!$L$330:$L$772,$M$5)&gt;0,
        VLOOKUP(CONCATENATE($K31,"|",BK$11,"|",$M$5),IuranSYSebelumnya!$I$330:$N$772,5,FALSE),
        IF(COUNTIFS(IuranSYSebelumnya!$J$330:$J$772,$K31,IuranSYSebelumnya!$M$330:$M$772,BK$11,IuranSYSebelumnya!$L$330:$L$772,"&lt;&gt;"&amp;$M$5)&gt;0,
              "Iuran dari Lingkungan lain",
              ""))</t>
  </si>
  <si>
    <t>=IF(COUNTIFS(IuranSYSebelumnya!$J$330:$J$772,$K31,IuranSYSebelumnya!$M$330:$M$772,BL$11,IuranSYSebelumnya!$L$330:$L$772,$M$5)&gt;0,
        VLOOKUP(CONCATENATE($K31,"|",BL$11,"|",$M$5),IuranSYSebelumnya!$I$330:$N$772,5,FALSE),
        IF(COUNTIFS(IuranSYSebelumnya!$J$330:$J$772,$K31,IuranSYSebelumnya!$M$330:$M$772,BL$11,IuranSYSebelumnya!$L$330:$L$772,"&lt;&gt;"&amp;$M$5)&gt;0,
              "Iuran dari Lingkungan lain",
              ""))</t>
  </si>
  <si>
    <t>=IF(COUNTIFS(IuranSYSebelumnya!$J$330:$J$772,$K32,IuranSYSebelumnya!$M$330:$M$772,AO$11,IuranSYSebelumnya!$L$330:$L$772,$M$5)&gt;0,
        VLOOKUP(CONCATENATE($K32,"|",AO$11,"|",$M$5),IuranSYSebelumnya!$I$330:$N$772,5,FALSE),
        IF(COUNTIFS(IuranSYSebelumnya!$J$330:$J$772,$K32,IuranSYSebelumnya!$M$330:$M$772,AO$11,IuranSYSebelumnya!$L$330:$L$772,"&lt;&gt;"&amp;$M$5)&gt;0,
              "Iuran dari Lingkungan lain",
              ""))</t>
  </si>
  <si>
    <t>=IF(COUNTIFS(IuranSYSebelumnya!$J$330:$J$772,$K32,IuranSYSebelumnya!$M$330:$M$772,AP$11,IuranSYSebelumnya!$L$330:$L$772,$M$5)&gt;0,
        VLOOKUP(CONCATENATE($K32,"|",AP$11,"|",$M$5),IuranSYSebelumnya!$I$330:$N$772,5,FALSE),
        IF(COUNTIFS(IuranSYSebelumnya!$J$330:$J$772,$K32,IuranSYSebelumnya!$M$330:$M$772,AP$11,IuranSYSebelumnya!$L$330:$L$772,"&lt;&gt;"&amp;$M$5)&gt;0,
              "Iuran dari Lingkungan lain",
              ""))</t>
  </si>
  <si>
    <t>=IF(COUNTIFS(IuranSYSebelumnya!$J$330:$J$772,$K32,IuranSYSebelumnya!$M$330:$M$772,AQ$11,IuranSYSebelumnya!$L$330:$L$772,$M$5)&gt;0,
        VLOOKUP(CONCATENATE($K32,"|",AQ$11,"|",$M$5),IuranSYSebelumnya!$I$330:$N$772,5,FALSE),
        IF(COUNTIFS(IuranSYSebelumnya!$J$330:$J$772,$K32,IuranSYSebelumnya!$M$330:$M$772,AQ$11,IuranSYSebelumnya!$L$330:$L$772,"&lt;&gt;"&amp;$M$5)&gt;0,
              "Iuran dari Lingkungan lain",
              ""))</t>
  </si>
  <si>
    <t>=IF(COUNTIFS(IuranSYSebelumnya!$J$330:$J$772,$K32,IuranSYSebelumnya!$M$330:$M$772,AR$11,IuranSYSebelumnya!$L$330:$L$772,$M$5)&gt;0,
        VLOOKUP(CONCATENATE($K32,"|",AR$11,"|",$M$5),IuranSYSebelumnya!$I$330:$N$772,5,FALSE),
        IF(COUNTIFS(IuranSYSebelumnya!$J$330:$J$772,$K32,IuranSYSebelumnya!$M$330:$M$772,AR$11,IuranSYSebelumnya!$L$330:$L$772,"&lt;&gt;"&amp;$M$5)&gt;0,
              "Iuran dari Lingkungan lain",
              ""))</t>
  </si>
  <si>
    <t>=IF(COUNTIFS(IuranSYSebelumnya!$J$330:$J$772,$K32,IuranSYSebelumnya!$M$330:$M$772,AS$11,IuranSYSebelumnya!$L$330:$L$772,$M$5)&gt;0,
        VLOOKUP(CONCATENATE($K32,"|",AS$11,"|",$M$5),IuranSYSebelumnya!$I$330:$N$772,5,FALSE),
        IF(COUNTIFS(IuranSYSebelumnya!$J$330:$J$772,$K32,IuranSYSebelumnya!$M$330:$M$772,AS$11,IuranSYSebelumnya!$L$330:$L$772,"&lt;&gt;"&amp;$M$5)&gt;0,
              "Iuran dari Lingkungan lain",
              ""))</t>
  </si>
  <si>
    <t>=IF(COUNTIFS(IuranSYSebelumnya!$J$330:$J$772,$K32,IuranSYSebelumnya!$M$330:$M$772,AT$11,IuranSYSebelumnya!$L$330:$L$772,$M$5)&gt;0,
        VLOOKUP(CONCATENATE($K32,"|",AT$11,"|",$M$5),IuranSYSebelumnya!$I$330:$N$772,5,FALSE),
        IF(COUNTIFS(IuranSYSebelumnya!$J$330:$J$772,$K32,IuranSYSebelumnya!$M$330:$M$772,AT$11,IuranSYSebelumnya!$L$330:$L$772,"&lt;&gt;"&amp;$M$5)&gt;0,
              "Iuran dari Lingkungan lain",
              ""))</t>
  </si>
  <si>
    <t>=IF(COUNTIFS(IuranSYSebelumnya!$J$330:$J$772,$K32,IuranSYSebelumnya!$M$330:$M$772,AU$11,IuranSYSebelumnya!$L$330:$L$772,$M$5)&gt;0,
        VLOOKUP(CONCATENATE($K32,"|",AU$11,"|",$M$5),IuranSYSebelumnya!$I$330:$N$772,5,FALSE),
        IF(COUNTIFS(IuranSYSebelumnya!$J$330:$J$772,$K32,IuranSYSebelumnya!$M$330:$M$772,AU$11,IuranSYSebelumnya!$L$330:$L$772,"&lt;&gt;"&amp;$M$5)&gt;0,
              "Iuran dari Lingkungan lain",
              ""))</t>
  </si>
  <si>
    <t>=IF(COUNTIFS(IuranSYSebelumnya!$J$330:$J$772,$K32,IuranSYSebelumnya!$M$330:$M$772,AV$11,IuranSYSebelumnya!$L$330:$L$772,$M$5)&gt;0,
        VLOOKUP(CONCATENATE($K32,"|",AV$11,"|",$M$5),IuranSYSebelumnya!$I$330:$N$772,5,FALSE),
        IF(COUNTIFS(IuranSYSebelumnya!$J$330:$J$772,$K32,IuranSYSebelumnya!$M$330:$M$772,AV$11,IuranSYSebelumnya!$L$330:$L$772,"&lt;&gt;"&amp;$M$5)&gt;0,
              "Iuran dari Lingkungan lain",
              ""))</t>
  </si>
  <si>
    <t>=IF(COUNTIFS(IuranSYSebelumnya!$J$330:$J$772,$K32,IuranSYSebelumnya!$M$330:$M$772,AW$11,IuranSYSebelumnya!$L$330:$L$772,$M$5)&gt;0,
        VLOOKUP(CONCATENATE($K32,"|",AW$11,"|",$M$5),IuranSYSebelumnya!$I$330:$N$772,5,FALSE),
        IF(COUNTIFS(IuranSYSebelumnya!$J$330:$J$772,$K32,IuranSYSebelumnya!$M$330:$M$772,AW$11,IuranSYSebelumnya!$L$330:$L$772,"&lt;&gt;"&amp;$M$5)&gt;0,
              "Iuran dari Lingkungan lain",
              ""))</t>
  </si>
  <si>
    <t>=IF(COUNTIFS(IuranSYSebelumnya!$J$330:$J$772,$K32,IuranSYSebelumnya!$M$330:$M$772,AX$11,IuranSYSebelumnya!$L$330:$L$772,$M$5)&gt;0,
        VLOOKUP(CONCATENATE($K32,"|",AX$11,"|",$M$5),IuranSYSebelumnya!$I$330:$N$772,5,FALSE),
        IF(COUNTIFS(IuranSYSebelumnya!$J$330:$J$772,$K32,IuranSYSebelumnya!$M$330:$M$772,AX$11,IuranSYSebelumnya!$L$330:$L$772,"&lt;&gt;"&amp;$M$5)&gt;0,
              "Iuran dari Lingkungan lain",
              ""))</t>
  </si>
  <si>
    <t>=IF(COUNTIFS(IuranSYSebelumnya!$J$330:$J$772,$K32,IuranSYSebelumnya!$M$330:$M$772,AY$11,IuranSYSebelumnya!$L$330:$L$772,$M$5)&gt;0,
        VLOOKUP(CONCATENATE($K32,"|",AY$11,"|",$M$5),IuranSYSebelumnya!$I$330:$N$772,5,FALSE),
        IF(COUNTIFS(IuranSYSebelumnya!$J$330:$J$772,$K32,IuranSYSebelumnya!$M$330:$M$772,AY$11,IuranSYSebelumnya!$L$330:$L$772,"&lt;&gt;"&amp;$M$5)&gt;0,
              "Iuran dari Lingkungan lain",
              ""))</t>
  </si>
  <si>
    <t>=IF(COUNTIFS(IuranSYSebelumnya!$J$330:$J$772,$K32,IuranSYSebelumnya!$M$330:$M$772,AZ$11,IuranSYSebelumnya!$L$330:$L$772,$M$5)&gt;0,
        VLOOKUP(CONCATENATE($K32,"|",AZ$11,"|",$M$5),IuranSYSebelumnya!$I$330:$N$772,5,FALSE),
        IF(COUNTIFS(IuranSYSebelumnya!$J$330:$J$772,$K32,IuranSYSebelumnya!$M$330:$M$772,AZ$11,IuranSYSebelumnya!$L$330:$L$772,"&lt;&gt;"&amp;$M$5)&gt;0,
              "Iuran dari Lingkungan lain",
              ""))</t>
  </si>
  <si>
    <t>=IF(COUNTIFS(IuranSYSebelumnya!$J$330:$J$772,$K32,IuranSYSebelumnya!$M$330:$M$772,BA$11,IuranSYSebelumnya!$L$330:$L$772,$M$5)&gt;0,
        VLOOKUP(CONCATENATE($K32,"|",BA$11,"|",$M$5),IuranSYSebelumnya!$I$330:$N$772,5,FALSE),
        IF(COUNTIFS(IuranSYSebelumnya!$J$330:$J$772,$K32,IuranSYSebelumnya!$M$330:$M$772,BA$11,IuranSYSebelumnya!$L$330:$L$772,"&lt;&gt;"&amp;$M$5)&gt;0,
              "Iuran dari Lingkungan lain",
              ""))</t>
  </si>
  <si>
    <t>=IF(COUNTIFS(IuranSYSebelumnya!$J$330:$J$772,$K32,IuranSYSebelumnya!$M$330:$M$772,BB$11,IuranSYSebelumnya!$L$330:$L$772,$M$5)&gt;0,
        VLOOKUP(CONCATENATE($K32,"|",BB$11,"|",$M$5),IuranSYSebelumnya!$I$330:$N$772,5,FALSE),
        IF(COUNTIFS(IuranSYSebelumnya!$J$330:$J$772,$K32,IuranSYSebelumnya!$M$330:$M$772,BB$11,IuranSYSebelumnya!$L$330:$L$772,"&lt;&gt;"&amp;$M$5)&gt;0,
              "Iuran dari Lingkungan lain",
              ""))</t>
  </si>
  <si>
    <t>=IF(COUNTIFS(IuranSYSebelumnya!$J$330:$J$772,$K32,IuranSYSebelumnya!$M$330:$M$772,BC$11,IuranSYSebelumnya!$L$330:$L$772,$M$5)&gt;0,
        VLOOKUP(CONCATENATE($K32,"|",BC$11,"|",$M$5),IuranSYSebelumnya!$I$330:$N$772,5,FALSE),
        IF(COUNTIFS(IuranSYSebelumnya!$J$330:$J$772,$K32,IuranSYSebelumnya!$M$330:$M$772,BC$11,IuranSYSebelumnya!$L$330:$L$772,"&lt;&gt;"&amp;$M$5)&gt;0,
              "Iuran dari Lingkungan lain",
              ""))</t>
  </si>
  <si>
    <t>=IF(COUNTIFS(IuranSYSebelumnya!$J$330:$J$772,$K32,IuranSYSebelumnya!$M$330:$M$772,BD$11,IuranSYSebelumnya!$L$330:$L$772,$M$5)&gt;0,
        VLOOKUP(CONCATENATE($K32,"|",BD$11,"|",$M$5),IuranSYSebelumnya!$I$330:$N$772,5,FALSE),
        IF(COUNTIFS(IuranSYSebelumnya!$J$330:$J$772,$K32,IuranSYSebelumnya!$M$330:$M$772,BD$11,IuranSYSebelumnya!$L$330:$L$772,"&lt;&gt;"&amp;$M$5)&gt;0,
              "Iuran dari Lingkungan lain",
              ""))</t>
  </si>
  <si>
    <t>=IF(COUNTIFS(IuranSYSebelumnya!$J$330:$J$772,$K32,IuranSYSebelumnya!$M$330:$M$772,BE$11,IuranSYSebelumnya!$L$330:$L$772,$M$5)&gt;0,
        VLOOKUP(CONCATENATE($K32,"|",BE$11,"|",$M$5),IuranSYSebelumnya!$I$330:$N$772,5,FALSE),
        IF(COUNTIFS(IuranSYSebelumnya!$J$330:$J$772,$K32,IuranSYSebelumnya!$M$330:$M$772,BE$11,IuranSYSebelumnya!$L$330:$L$772,"&lt;&gt;"&amp;$M$5)&gt;0,
              "Iuran dari Lingkungan lain",
              ""))</t>
  </si>
  <si>
    <t>=IF(COUNTIFS(IuranSYSebelumnya!$J$330:$J$772,$K32,IuranSYSebelumnya!$M$330:$M$772,BF$11,IuranSYSebelumnya!$L$330:$L$772,$M$5)&gt;0,
        VLOOKUP(CONCATENATE($K32,"|",BF$11,"|",$M$5),IuranSYSebelumnya!$I$330:$N$772,5,FALSE),
        IF(COUNTIFS(IuranSYSebelumnya!$J$330:$J$772,$K32,IuranSYSebelumnya!$M$330:$M$772,BF$11,IuranSYSebelumnya!$L$330:$L$772,"&lt;&gt;"&amp;$M$5)&gt;0,
              "Iuran dari Lingkungan lain",
              ""))</t>
  </si>
  <si>
    <t>=IF(COUNTIFS(IuranSYSebelumnya!$J$330:$J$772,$K32,IuranSYSebelumnya!$M$330:$M$772,BG$11,IuranSYSebelumnya!$L$330:$L$772,$M$5)&gt;0,
        VLOOKUP(CONCATENATE($K32,"|",BG$11,"|",$M$5),IuranSYSebelumnya!$I$330:$N$772,5,FALSE),
        IF(COUNTIFS(IuranSYSebelumnya!$J$330:$J$772,$K32,IuranSYSebelumnya!$M$330:$M$772,BG$11,IuranSYSebelumnya!$L$330:$L$772,"&lt;&gt;"&amp;$M$5)&gt;0,
              "Iuran dari Lingkungan lain",
              ""))</t>
  </si>
  <si>
    <t>=IF(COUNTIFS(IuranSYSebelumnya!$J$330:$J$772,$K32,IuranSYSebelumnya!$M$330:$M$772,BH$11,IuranSYSebelumnya!$L$330:$L$772,$M$5)&gt;0,
        VLOOKUP(CONCATENATE($K32,"|",BH$11,"|",$M$5),IuranSYSebelumnya!$I$330:$N$772,5,FALSE),
        IF(COUNTIFS(IuranSYSebelumnya!$J$330:$J$772,$K32,IuranSYSebelumnya!$M$330:$M$772,BH$11,IuranSYSebelumnya!$L$330:$L$772,"&lt;&gt;"&amp;$M$5)&gt;0,
              "Iuran dari Lingkungan lain",
              ""))</t>
  </si>
  <si>
    <t>=IF(COUNTIFS(IuranSYSebelumnya!$J$330:$J$772,$K32,IuranSYSebelumnya!$M$330:$M$772,BI$11,IuranSYSebelumnya!$L$330:$L$772,$M$5)&gt;0,
        VLOOKUP(CONCATENATE($K32,"|",BI$11,"|",$M$5),IuranSYSebelumnya!$I$330:$N$772,5,FALSE),
        IF(COUNTIFS(IuranSYSebelumnya!$J$330:$J$772,$K32,IuranSYSebelumnya!$M$330:$M$772,BI$11,IuranSYSebelumnya!$L$330:$L$772,"&lt;&gt;"&amp;$M$5)&gt;0,
              "Iuran dari Lingkungan lain",
              ""))</t>
  </si>
  <si>
    <t>=IF(COUNTIFS(IuranSYSebelumnya!$J$330:$J$772,$K32,IuranSYSebelumnya!$M$330:$M$772,BJ$11,IuranSYSebelumnya!$L$330:$L$772,$M$5)&gt;0,
        VLOOKUP(CONCATENATE($K32,"|",BJ$11,"|",$M$5),IuranSYSebelumnya!$I$330:$N$772,5,FALSE),
        IF(COUNTIFS(IuranSYSebelumnya!$J$330:$J$772,$K32,IuranSYSebelumnya!$M$330:$M$772,BJ$11,IuranSYSebelumnya!$L$330:$L$772,"&lt;&gt;"&amp;$M$5)&gt;0,
              "Iuran dari Lingkungan lain",
              ""))</t>
  </si>
  <si>
    <t>=IF(COUNTIFS(IuranSYSebelumnya!$J$330:$J$772,$K32,IuranSYSebelumnya!$M$330:$M$772,BK$11,IuranSYSebelumnya!$L$330:$L$772,$M$5)&gt;0,
        VLOOKUP(CONCATENATE($K32,"|",BK$11,"|",$M$5),IuranSYSebelumnya!$I$330:$N$772,5,FALSE),
        IF(COUNTIFS(IuranSYSebelumnya!$J$330:$J$772,$K32,IuranSYSebelumnya!$M$330:$M$772,BK$11,IuranSYSebelumnya!$L$330:$L$772,"&lt;&gt;"&amp;$M$5)&gt;0,
              "Iuran dari Lingkungan lain",
              ""))</t>
  </si>
  <si>
    <t>=IF(COUNTIFS(IuranSYSebelumnya!$J$330:$J$772,$K32,IuranSYSebelumnya!$M$330:$M$772,BL$11,IuranSYSebelumnya!$L$330:$L$772,$M$5)&gt;0,
        VLOOKUP(CONCATENATE($K32,"|",BL$11,"|",$M$5),IuranSYSebelumnya!$I$330:$N$772,5,FALSE),
        IF(COUNTIFS(IuranSYSebelumnya!$J$330:$J$772,$K32,IuranSYSebelumnya!$M$330:$M$772,BL$11,IuranSYSebelumnya!$L$330:$L$772,"&lt;&gt;"&amp;$M$5)&gt;0,
              "Iuran dari Lingkungan lain",
              ""))</t>
  </si>
  <si>
    <t>=IF(COUNTIFS(IuranSYSebelumnya!$J$330:$J$772,$K33,IuranSYSebelumnya!$M$330:$M$772,AO$11,IuranSYSebelumnya!$L$330:$L$772,$M$5)&gt;0,
        VLOOKUP(CONCATENATE($K33,"|",AO$11,"|",$M$5),IuranSYSebelumnya!$I$330:$N$772,5,FALSE),
        IF(COUNTIFS(IuranSYSebelumnya!$J$330:$J$772,$K33,IuranSYSebelumnya!$M$330:$M$772,AO$11,IuranSYSebelumnya!$L$330:$L$772,"&lt;&gt;"&amp;$M$5)&gt;0,
              "Iuran dari Lingkungan lain",
              ""))</t>
  </si>
  <si>
    <t>=IF(COUNTIFS(IuranSYSebelumnya!$J$330:$J$772,$K33,IuranSYSebelumnya!$M$330:$M$772,AP$11,IuranSYSebelumnya!$L$330:$L$772,$M$5)&gt;0,
        VLOOKUP(CONCATENATE($K33,"|",AP$11,"|",$M$5),IuranSYSebelumnya!$I$330:$N$772,5,FALSE),
        IF(COUNTIFS(IuranSYSebelumnya!$J$330:$J$772,$K33,IuranSYSebelumnya!$M$330:$M$772,AP$11,IuranSYSebelumnya!$L$330:$L$772,"&lt;&gt;"&amp;$M$5)&gt;0,
              "Iuran dari Lingkungan lain",
              ""))</t>
  </si>
  <si>
    <t>=IF(COUNTIFS(IuranSYSebelumnya!$J$330:$J$772,$K33,IuranSYSebelumnya!$M$330:$M$772,AQ$11,IuranSYSebelumnya!$L$330:$L$772,$M$5)&gt;0,
        VLOOKUP(CONCATENATE($K33,"|",AQ$11,"|",$M$5),IuranSYSebelumnya!$I$330:$N$772,5,FALSE),
        IF(COUNTIFS(IuranSYSebelumnya!$J$330:$J$772,$K33,IuranSYSebelumnya!$M$330:$M$772,AQ$11,IuranSYSebelumnya!$L$330:$L$772,"&lt;&gt;"&amp;$M$5)&gt;0,
              "Iuran dari Lingkungan lain",
              ""))</t>
  </si>
  <si>
    <t>=IF(COUNTIFS(IuranSYSebelumnya!$J$330:$J$772,$K33,IuranSYSebelumnya!$M$330:$M$772,AR$11,IuranSYSebelumnya!$L$330:$L$772,$M$5)&gt;0,
        VLOOKUP(CONCATENATE($K33,"|",AR$11,"|",$M$5),IuranSYSebelumnya!$I$330:$N$772,5,FALSE),
        IF(COUNTIFS(IuranSYSebelumnya!$J$330:$J$772,$K33,IuranSYSebelumnya!$M$330:$M$772,AR$11,IuranSYSebelumnya!$L$330:$L$772,"&lt;&gt;"&amp;$M$5)&gt;0,
              "Iuran dari Lingkungan lain",
              ""))</t>
  </si>
  <si>
    <t>=IF(COUNTIFS(IuranSYSebelumnya!$J$330:$J$772,$K33,IuranSYSebelumnya!$M$330:$M$772,AS$11,IuranSYSebelumnya!$L$330:$L$772,$M$5)&gt;0,
        VLOOKUP(CONCATENATE($K33,"|",AS$11,"|",$M$5),IuranSYSebelumnya!$I$330:$N$772,5,FALSE),
        IF(COUNTIFS(IuranSYSebelumnya!$J$330:$J$772,$K33,IuranSYSebelumnya!$M$330:$M$772,AS$11,IuranSYSebelumnya!$L$330:$L$772,"&lt;&gt;"&amp;$M$5)&gt;0,
              "Iuran dari Lingkungan lain",
              ""))</t>
  </si>
  <si>
    <t>=IF(COUNTIFS(IuranSYSebelumnya!$J$330:$J$772,$K33,IuranSYSebelumnya!$M$330:$M$772,AT$11,IuranSYSebelumnya!$L$330:$L$772,$M$5)&gt;0,
        VLOOKUP(CONCATENATE($K33,"|",AT$11,"|",$M$5),IuranSYSebelumnya!$I$330:$N$772,5,FALSE),
        IF(COUNTIFS(IuranSYSebelumnya!$J$330:$J$772,$K33,IuranSYSebelumnya!$M$330:$M$772,AT$11,IuranSYSebelumnya!$L$330:$L$772,"&lt;&gt;"&amp;$M$5)&gt;0,
              "Iuran dari Lingkungan lain",
              ""))</t>
  </si>
  <si>
    <t>=IF(COUNTIFS(IuranSYSebelumnya!$J$330:$J$772,$K33,IuranSYSebelumnya!$M$330:$M$772,AU$11,IuranSYSebelumnya!$L$330:$L$772,$M$5)&gt;0,
        VLOOKUP(CONCATENATE($K33,"|",AU$11,"|",$M$5),IuranSYSebelumnya!$I$330:$N$772,5,FALSE),
        IF(COUNTIFS(IuranSYSebelumnya!$J$330:$J$772,$K33,IuranSYSebelumnya!$M$330:$M$772,AU$11,IuranSYSebelumnya!$L$330:$L$772,"&lt;&gt;"&amp;$M$5)&gt;0,
              "Iuran dari Lingkungan lain",
              ""))</t>
  </si>
  <si>
    <t>=IF(COUNTIFS(IuranSYSebelumnya!$J$330:$J$772,$K33,IuranSYSebelumnya!$M$330:$M$772,AV$11,IuranSYSebelumnya!$L$330:$L$772,$M$5)&gt;0,
        VLOOKUP(CONCATENATE($K33,"|",AV$11,"|",$M$5),IuranSYSebelumnya!$I$330:$N$772,5,FALSE),
        IF(COUNTIFS(IuranSYSebelumnya!$J$330:$J$772,$K33,IuranSYSebelumnya!$M$330:$M$772,AV$11,IuranSYSebelumnya!$L$330:$L$772,"&lt;&gt;"&amp;$M$5)&gt;0,
              "Iuran dari Lingkungan lain",
              ""))</t>
  </si>
  <si>
    <t>=IF(COUNTIFS(IuranSYSebelumnya!$J$330:$J$772,$K33,IuranSYSebelumnya!$M$330:$M$772,AW$11,IuranSYSebelumnya!$L$330:$L$772,$M$5)&gt;0,
        VLOOKUP(CONCATENATE($K33,"|",AW$11,"|",$M$5),IuranSYSebelumnya!$I$330:$N$772,5,FALSE),
        IF(COUNTIFS(IuranSYSebelumnya!$J$330:$J$772,$K33,IuranSYSebelumnya!$M$330:$M$772,AW$11,IuranSYSebelumnya!$L$330:$L$772,"&lt;&gt;"&amp;$M$5)&gt;0,
              "Iuran dari Lingkungan lain",
              ""))</t>
  </si>
  <si>
    <t>=IF(COUNTIFS(IuranSYSebelumnya!$J$330:$J$772,$K33,IuranSYSebelumnya!$M$330:$M$772,AX$11,IuranSYSebelumnya!$L$330:$L$772,$M$5)&gt;0,
        VLOOKUP(CONCATENATE($K33,"|",AX$11,"|",$M$5),IuranSYSebelumnya!$I$330:$N$772,5,FALSE),
        IF(COUNTIFS(IuranSYSebelumnya!$J$330:$J$772,$K33,IuranSYSebelumnya!$M$330:$M$772,AX$11,IuranSYSebelumnya!$L$330:$L$772,"&lt;&gt;"&amp;$M$5)&gt;0,
              "Iuran dari Lingkungan lain",
              ""))</t>
  </si>
  <si>
    <t>=IF(COUNTIFS(IuranSYSebelumnya!$J$330:$J$772,$K33,IuranSYSebelumnya!$M$330:$M$772,AY$11,IuranSYSebelumnya!$L$330:$L$772,$M$5)&gt;0,
        VLOOKUP(CONCATENATE($K33,"|",AY$11,"|",$M$5),IuranSYSebelumnya!$I$330:$N$772,5,FALSE),
        IF(COUNTIFS(IuranSYSebelumnya!$J$330:$J$772,$K33,IuranSYSebelumnya!$M$330:$M$772,AY$11,IuranSYSebelumnya!$L$330:$L$772,"&lt;&gt;"&amp;$M$5)&gt;0,
              "Iuran dari Lingkungan lain",
              ""))</t>
  </si>
  <si>
    <t>=IF(COUNTIFS(IuranSYSebelumnya!$J$330:$J$772,$K33,IuranSYSebelumnya!$M$330:$M$772,AZ$11,IuranSYSebelumnya!$L$330:$L$772,$M$5)&gt;0,
        VLOOKUP(CONCATENATE($K33,"|",AZ$11,"|",$M$5),IuranSYSebelumnya!$I$330:$N$772,5,FALSE),
        IF(COUNTIFS(IuranSYSebelumnya!$J$330:$J$772,$K33,IuranSYSebelumnya!$M$330:$M$772,AZ$11,IuranSYSebelumnya!$L$330:$L$772,"&lt;&gt;"&amp;$M$5)&gt;0,
              "Iuran dari Lingkungan lain",
              ""))</t>
  </si>
  <si>
    <t>=IF(COUNTIFS(IuranSYSebelumnya!$J$330:$J$772,$K33,IuranSYSebelumnya!$M$330:$M$772,BA$11,IuranSYSebelumnya!$L$330:$L$772,$M$5)&gt;0,
        VLOOKUP(CONCATENATE($K33,"|",BA$11,"|",$M$5),IuranSYSebelumnya!$I$330:$N$772,5,FALSE),
        IF(COUNTIFS(IuranSYSebelumnya!$J$330:$J$772,$K33,IuranSYSebelumnya!$M$330:$M$772,BA$11,IuranSYSebelumnya!$L$330:$L$772,"&lt;&gt;"&amp;$M$5)&gt;0,
              "Iuran dari Lingkungan lain",
              ""))</t>
  </si>
  <si>
    <t>=IF(COUNTIFS(IuranSYSebelumnya!$J$330:$J$772,$K33,IuranSYSebelumnya!$M$330:$M$772,BB$11,IuranSYSebelumnya!$L$330:$L$772,$M$5)&gt;0,
        VLOOKUP(CONCATENATE($K33,"|",BB$11,"|",$M$5),IuranSYSebelumnya!$I$330:$N$772,5,FALSE),
        IF(COUNTIFS(IuranSYSebelumnya!$J$330:$J$772,$K33,IuranSYSebelumnya!$M$330:$M$772,BB$11,IuranSYSebelumnya!$L$330:$L$772,"&lt;&gt;"&amp;$M$5)&gt;0,
              "Iuran dari Lingkungan lain",
              ""))</t>
  </si>
  <si>
    <t>=IF(COUNTIFS(IuranSYSebelumnya!$J$330:$J$772,$K33,IuranSYSebelumnya!$M$330:$M$772,BC$11,IuranSYSebelumnya!$L$330:$L$772,$M$5)&gt;0,
        VLOOKUP(CONCATENATE($K33,"|",BC$11,"|",$M$5),IuranSYSebelumnya!$I$330:$N$772,5,FALSE),
        IF(COUNTIFS(IuranSYSebelumnya!$J$330:$J$772,$K33,IuranSYSebelumnya!$M$330:$M$772,BC$11,IuranSYSebelumnya!$L$330:$L$772,"&lt;&gt;"&amp;$M$5)&gt;0,
              "Iuran dari Lingkungan lain",
              ""))</t>
  </si>
  <si>
    <t>=IF(COUNTIFS(IuranSYSebelumnya!$J$330:$J$772,$K33,IuranSYSebelumnya!$M$330:$M$772,BD$11,IuranSYSebelumnya!$L$330:$L$772,$M$5)&gt;0,
        VLOOKUP(CONCATENATE($K33,"|",BD$11,"|",$M$5),IuranSYSebelumnya!$I$330:$N$772,5,FALSE),
        IF(COUNTIFS(IuranSYSebelumnya!$J$330:$J$772,$K33,IuranSYSebelumnya!$M$330:$M$772,BD$11,IuranSYSebelumnya!$L$330:$L$772,"&lt;&gt;"&amp;$M$5)&gt;0,
              "Iuran dari Lingkungan lain",
              ""))</t>
  </si>
  <si>
    <t>=IF(COUNTIFS(IuranSYSebelumnya!$J$330:$J$772,$K33,IuranSYSebelumnya!$M$330:$M$772,BE$11,IuranSYSebelumnya!$L$330:$L$772,$M$5)&gt;0,
        VLOOKUP(CONCATENATE($K33,"|",BE$11,"|",$M$5),IuranSYSebelumnya!$I$330:$N$772,5,FALSE),
        IF(COUNTIFS(IuranSYSebelumnya!$J$330:$J$772,$K33,IuranSYSebelumnya!$M$330:$M$772,BE$11,IuranSYSebelumnya!$L$330:$L$772,"&lt;&gt;"&amp;$M$5)&gt;0,
              "Iuran dari Lingkungan lain",
              ""))</t>
  </si>
  <si>
    <t>=IF(COUNTIFS(IuranSYSebelumnya!$J$330:$J$772,$K33,IuranSYSebelumnya!$M$330:$M$772,BF$11,IuranSYSebelumnya!$L$330:$L$772,$M$5)&gt;0,
        VLOOKUP(CONCATENATE($K33,"|",BF$11,"|",$M$5),IuranSYSebelumnya!$I$330:$N$772,5,FALSE),
        IF(COUNTIFS(IuranSYSebelumnya!$J$330:$J$772,$K33,IuranSYSebelumnya!$M$330:$M$772,BF$11,IuranSYSebelumnya!$L$330:$L$772,"&lt;&gt;"&amp;$M$5)&gt;0,
              "Iuran dari Lingkungan lain",
              ""))</t>
  </si>
  <si>
    <t>=IF(COUNTIFS(IuranSYSebelumnya!$J$330:$J$772,$K33,IuranSYSebelumnya!$M$330:$M$772,BG$11,IuranSYSebelumnya!$L$330:$L$772,$M$5)&gt;0,
        VLOOKUP(CONCATENATE($K33,"|",BG$11,"|",$M$5),IuranSYSebelumnya!$I$330:$N$772,5,FALSE),
        IF(COUNTIFS(IuranSYSebelumnya!$J$330:$J$772,$K33,IuranSYSebelumnya!$M$330:$M$772,BG$11,IuranSYSebelumnya!$L$330:$L$772,"&lt;&gt;"&amp;$M$5)&gt;0,
              "Iuran dari Lingkungan lain",
              ""))</t>
  </si>
  <si>
    <t>=IF(COUNTIFS(IuranSYSebelumnya!$J$330:$J$772,$K33,IuranSYSebelumnya!$M$330:$M$772,BH$11,IuranSYSebelumnya!$L$330:$L$772,$M$5)&gt;0,
        VLOOKUP(CONCATENATE($K33,"|",BH$11,"|",$M$5),IuranSYSebelumnya!$I$330:$N$772,5,FALSE),
        IF(COUNTIFS(IuranSYSebelumnya!$J$330:$J$772,$K33,IuranSYSebelumnya!$M$330:$M$772,BH$11,IuranSYSebelumnya!$L$330:$L$772,"&lt;&gt;"&amp;$M$5)&gt;0,
              "Iuran dari Lingkungan lain",
              ""))</t>
  </si>
  <si>
    <t>=IF(COUNTIFS(IuranSYSebelumnya!$J$330:$J$772,$K33,IuranSYSebelumnya!$M$330:$M$772,BI$11,IuranSYSebelumnya!$L$330:$L$772,$M$5)&gt;0,
        VLOOKUP(CONCATENATE($K33,"|",BI$11,"|",$M$5),IuranSYSebelumnya!$I$330:$N$772,5,FALSE),
        IF(COUNTIFS(IuranSYSebelumnya!$J$330:$J$772,$K33,IuranSYSebelumnya!$M$330:$M$772,BI$11,IuranSYSebelumnya!$L$330:$L$772,"&lt;&gt;"&amp;$M$5)&gt;0,
              "Iuran dari Lingkungan lain",
              ""))</t>
  </si>
  <si>
    <t>=IF(COUNTIFS(IuranSYSebelumnya!$J$330:$J$772,$K33,IuranSYSebelumnya!$M$330:$M$772,BJ$11,IuranSYSebelumnya!$L$330:$L$772,$M$5)&gt;0,
        VLOOKUP(CONCATENATE($K33,"|",BJ$11,"|",$M$5),IuranSYSebelumnya!$I$330:$N$772,5,FALSE),
        IF(COUNTIFS(IuranSYSebelumnya!$J$330:$J$772,$K33,IuranSYSebelumnya!$M$330:$M$772,BJ$11,IuranSYSebelumnya!$L$330:$L$772,"&lt;&gt;"&amp;$M$5)&gt;0,
              "Iuran dari Lingkungan lain",
              ""))</t>
  </si>
  <si>
    <t>=IF(COUNTIFS(IuranSYSebelumnya!$J$330:$J$772,$K33,IuranSYSebelumnya!$M$330:$M$772,BK$11,IuranSYSebelumnya!$L$330:$L$772,$M$5)&gt;0,
        VLOOKUP(CONCATENATE($K33,"|",BK$11,"|",$M$5),IuranSYSebelumnya!$I$330:$N$772,5,FALSE),
        IF(COUNTIFS(IuranSYSebelumnya!$J$330:$J$772,$K33,IuranSYSebelumnya!$M$330:$M$772,BK$11,IuranSYSebelumnya!$L$330:$L$772,"&lt;&gt;"&amp;$M$5)&gt;0,
              "Iuran dari Lingkungan lain",
              ""))</t>
  </si>
  <si>
    <t>=IF(COUNTIFS(IuranSYSebelumnya!$J$330:$J$772,$K33,IuranSYSebelumnya!$M$330:$M$772,BL$11,IuranSYSebelumnya!$L$330:$L$772,$M$5)&gt;0,
        VLOOKUP(CONCATENATE($K33,"|",BL$11,"|",$M$5),IuranSYSebelumnya!$I$330:$N$772,5,FALSE),
        IF(COUNTIFS(IuranSYSebelumnya!$J$330:$J$772,$K33,IuranSYSebelumnya!$M$330:$M$772,BL$11,IuranSYSebelumnya!$L$330:$L$772,"&lt;&gt;"&amp;$M$5)&gt;0,
              "Iuran dari Lingkungan lain",
              ""))</t>
  </si>
  <si>
    <t>=IF(COUNTIFS(IuranSYSebelumnya!$J$330:$J$772,$K34,IuranSYSebelumnya!$M$330:$M$772,AO$11,IuranSYSebelumnya!$L$330:$L$772,$M$5)&gt;0,
        VLOOKUP(CONCATENATE($K34,"|",AO$11,"|",$M$5),IuranSYSebelumnya!$I$330:$N$772,5,FALSE),
        IF(COUNTIFS(IuranSYSebelumnya!$J$330:$J$772,$K34,IuranSYSebelumnya!$M$330:$M$772,AO$11,IuranSYSebelumnya!$L$330:$L$772,"&lt;&gt;"&amp;$M$5)&gt;0,
              "Iuran dari Lingkungan lain",
              ""))</t>
  </si>
  <si>
    <t>=IF(COUNTIFS(IuranSYSebelumnya!$J$330:$J$772,$K34,IuranSYSebelumnya!$M$330:$M$772,AP$11,IuranSYSebelumnya!$L$330:$L$772,$M$5)&gt;0,
        VLOOKUP(CONCATENATE($K34,"|",AP$11,"|",$M$5),IuranSYSebelumnya!$I$330:$N$772,5,FALSE),
        IF(COUNTIFS(IuranSYSebelumnya!$J$330:$J$772,$K34,IuranSYSebelumnya!$M$330:$M$772,AP$11,IuranSYSebelumnya!$L$330:$L$772,"&lt;&gt;"&amp;$M$5)&gt;0,
              "Iuran dari Lingkungan lain",
              ""))</t>
  </si>
  <si>
    <t>=IF(COUNTIFS(IuranSYSebelumnya!$J$330:$J$772,$K34,IuranSYSebelumnya!$M$330:$M$772,AQ$11,IuranSYSebelumnya!$L$330:$L$772,$M$5)&gt;0,
        VLOOKUP(CONCATENATE($K34,"|",AQ$11,"|",$M$5),IuranSYSebelumnya!$I$330:$N$772,5,FALSE),
        IF(COUNTIFS(IuranSYSebelumnya!$J$330:$J$772,$K34,IuranSYSebelumnya!$M$330:$M$772,AQ$11,IuranSYSebelumnya!$L$330:$L$772,"&lt;&gt;"&amp;$M$5)&gt;0,
              "Iuran dari Lingkungan lain",
              ""))</t>
  </si>
  <si>
    <t>=IF(COUNTIFS(IuranSYSebelumnya!$J$330:$J$772,$K34,IuranSYSebelumnya!$M$330:$M$772,AR$11,IuranSYSebelumnya!$L$330:$L$772,$M$5)&gt;0,
        VLOOKUP(CONCATENATE($K34,"|",AR$11,"|",$M$5),IuranSYSebelumnya!$I$330:$N$772,5,FALSE),
        IF(COUNTIFS(IuranSYSebelumnya!$J$330:$J$772,$K34,IuranSYSebelumnya!$M$330:$M$772,AR$11,IuranSYSebelumnya!$L$330:$L$772,"&lt;&gt;"&amp;$M$5)&gt;0,
              "Iuran dari Lingkungan lain",
              ""))</t>
  </si>
  <si>
    <t>=IF(COUNTIFS(IuranSYSebelumnya!$J$330:$J$772,$K34,IuranSYSebelumnya!$M$330:$M$772,AS$11,IuranSYSebelumnya!$L$330:$L$772,$M$5)&gt;0,
        VLOOKUP(CONCATENATE($K34,"|",AS$11,"|",$M$5),IuranSYSebelumnya!$I$330:$N$772,5,FALSE),
        IF(COUNTIFS(IuranSYSebelumnya!$J$330:$J$772,$K34,IuranSYSebelumnya!$M$330:$M$772,AS$11,IuranSYSebelumnya!$L$330:$L$772,"&lt;&gt;"&amp;$M$5)&gt;0,
              "Iuran dari Lingkungan lain",
              ""))</t>
  </si>
  <si>
    <t>=IF(COUNTIFS(IuranSYSebelumnya!$J$330:$J$772,$K34,IuranSYSebelumnya!$M$330:$M$772,AT$11,IuranSYSebelumnya!$L$330:$L$772,$M$5)&gt;0,
        VLOOKUP(CONCATENATE($K34,"|",AT$11,"|",$M$5),IuranSYSebelumnya!$I$330:$N$772,5,FALSE),
        IF(COUNTIFS(IuranSYSebelumnya!$J$330:$J$772,$K34,IuranSYSebelumnya!$M$330:$M$772,AT$11,IuranSYSebelumnya!$L$330:$L$772,"&lt;&gt;"&amp;$M$5)&gt;0,
              "Iuran dari Lingkungan lain",
              ""))</t>
  </si>
  <si>
    <t>=IF(COUNTIFS(IuranSYSebelumnya!$J$330:$J$772,$K34,IuranSYSebelumnya!$M$330:$M$772,AU$11,IuranSYSebelumnya!$L$330:$L$772,$M$5)&gt;0,
        VLOOKUP(CONCATENATE($K34,"|",AU$11,"|",$M$5),IuranSYSebelumnya!$I$330:$N$772,5,FALSE),
        IF(COUNTIFS(IuranSYSebelumnya!$J$330:$J$772,$K34,IuranSYSebelumnya!$M$330:$M$772,AU$11,IuranSYSebelumnya!$L$330:$L$772,"&lt;&gt;"&amp;$M$5)&gt;0,
              "Iuran dari Lingkungan lain",
              ""))</t>
  </si>
  <si>
    <t>=IF(COUNTIFS(IuranSYSebelumnya!$J$330:$J$772,$K34,IuranSYSebelumnya!$M$330:$M$772,AV$11,IuranSYSebelumnya!$L$330:$L$772,$M$5)&gt;0,
        VLOOKUP(CONCATENATE($K34,"|",AV$11,"|",$M$5),IuranSYSebelumnya!$I$330:$N$772,5,FALSE),
        IF(COUNTIFS(IuranSYSebelumnya!$J$330:$J$772,$K34,IuranSYSebelumnya!$M$330:$M$772,AV$11,IuranSYSebelumnya!$L$330:$L$772,"&lt;&gt;"&amp;$M$5)&gt;0,
              "Iuran dari Lingkungan lain",
              ""))</t>
  </si>
  <si>
    <t>=IF(COUNTIFS(IuranSYSebelumnya!$J$330:$J$772,$K34,IuranSYSebelumnya!$M$330:$M$772,AW$11,IuranSYSebelumnya!$L$330:$L$772,$M$5)&gt;0,
        VLOOKUP(CONCATENATE($K34,"|",AW$11,"|",$M$5),IuranSYSebelumnya!$I$330:$N$772,5,FALSE),
        IF(COUNTIFS(IuranSYSebelumnya!$J$330:$J$772,$K34,IuranSYSebelumnya!$M$330:$M$772,AW$11,IuranSYSebelumnya!$L$330:$L$772,"&lt;&gt;"&amp;$M$5)&gt;0,
              "Iuran dari Lingkungan lain",
              ""))</t>
  </si>
  <si>
    <t>=IF(COUNTIFS(IuranSYSebelumnya!$J$330:$J$772,$K34,IuranSYSebelumnya!$M$330:$M$772,AX$11,IuranSYSebelumnya!$L$330:$L$772,$M$5)&gt;0,
        VLOOKUP(CONCATENATE($K34,"|",AX$11,"|",$M$5),IuranSYSebelumnya!$I$330:$N$772,5,FALSE),
        IF(COUNTIFS(IuranSYSebelumnya!$J$330:$J$772,$K34,IuranSYSebelumnya!$M$330:$M$772,AX$11,IuranSYSebelumnya!$L$330:$L$772,"&lt;&gt;"&amp;$M$5)&gt;0,
              "Iuran dari Lingkungan lain",
              ""))</t>
  </si>
  <si>
    <t>=IF(COUNTIFS(IuranSYSebelumnya!$J$330:$J$772,$K34,IuranSYSebelumnya!$M$330:$M$772,AY$11,IuranSYSebelumnya!$L$330:$L$772,$M$5)&gt;0,
        VLOOKUP(CONCATENATE($K34,"|",AY$11,"|",$M$5),IuranSYSebelumnya!$I$330:$N$772,5,FALSE),
        IF(COUNTIFS(IuranSYSebelumnya!$J$330:$J$772,$K34,IuranSYSebelumnya!$M$330:$M$772,AY$11,IuranSYSebelumnya!$L$330:$L$772,"&lt;&gt;"&amp;$M$5)&gt;0,
              "Iuran dari Lingkungan lain",
              ""))</t>
  </si>
  <si>
    <t>=IF(COUNTIFS(IuranSYSebelumnya!$J$330:$J$772,$K34,IuranSYSebelumnya!$M$330:$M$772,AZ$11,IuranSYSebelumnya!$L$330:$L$772,$M$5)&gt;0,
        VLOOKUP(CONCATENATE($K34,"|",AZ$11,"|",$M$5),IuranSYSebelumnya!$I$330:$N$772,5,FALSE),
        IF(COUNTIFS(IuranSYSebelumnya!$J$330:$J$772,$K34,IuranSYSebelumnya!$M$330:$M$772,AZ$11,IuranSYSebelumnya!$L$330:$L$772,"&lt;&gt;"&amp;$M$5)&gt;0,
              "Iuran dari Lingkungan lain",
              ""))</t>
  </si>
  <si>
    <t>=IF(COUNTIFS(IuranSYSebelumnya!$J$330:$J$772,$K34,IuranSYSebelumnya!$M$330:$M$772,BA$11,IuranSYSebelumnya!$L$330:$L$772,$M$5)&gt;0,
        VLOOKUP(CONCATENATE($K34,"|",BA$11,"|",$M$5),IuranSYSebelumnya!$I$330:$N$772,5,FALSE),
        IF(COUNTIFS(IuranSYSebelumnya!$J$330:$J$772,$K34,IuranSYSebelumnya!$M$330:$M$772,BA$11,IuranSYSebelumnya!$L$330:$L$772,"&lt;&gt;"&amp;$M$5)&gt;0,
              "Iuran dari Lingkungan lain",
              ""))</t>
  </si>
  <si>
    <t>=IF(COUNTIFS(IuranSYSebelumnya!$J$330:$J$772,$K34,IuranSYSebelumnya!$M$330:$M$772,BB$11,IuranSYSebelumnya!$L$330:$L$772,$M$5)&gt;0,
        VLOOKUP(CONCATENATE($K34,"|",BB$11,"|",$M$5),IuranSYSebelumnya!$I$330:$N$772,5,FALSE),
        IF(COUNTIFS(IuranSYSebelumnya!$J$330:$J$772,$K34,IuranSYSebelumnya!$M$330:$M$772,BB$11,IuranSYSebelumnya!$L$330:$L$772,"&lt;&gt;"&amp;$M$5)&gt;0,
              "Iuran dari Lingkungan lain",
              ""))</t>
  </si>
  <si>
    <t>=IF(COUNTIFS(IuranSYSebelumnya!$J$330:$J$772,$K34,IuranSYSebelumnya!$M$330:$M$772,BC$11,IuranSYSebelumnya!$L$330:$L$772,$M$5)&gt;0,
        VLOOKUP(CONCATENATE($K34,"|",BC$11,"|",$M$5),IuranSYSebelumnya!$I$330:$N$772,5,FALSE),
        IF(COUNTIFS(IuranSYSebelumnya!$J$330:$J$772,$K34,IuranSYSebelumnya!$M$330:$M$772,BC$11,IuranSYSebelumnya!$L$330:$L$772,"&lt;&gt;"&amp;$M$5)&gt;0,
              "Iuran dari Lingkungan lain",
              ""))</t>
  </si>
  <si>
    <t>=IF(COUNTIFS(IuranSYSebelumnya!$J$330:$J$772,$K34,IuranSYSebelumnya!$M$330:$M$772,BD$11,IuranSYSebelumnya!$L$330:$L$772,$M$5)&gt;0,
        VLOOKUP(CONCATENATE($K34,"|",BD$11,"|",$M$5),IuranSYSebelumnya!$I$330:$N$772,5,FALSE),
        IF(COUNTIFS(IuranSYSebelumnya!$J$330:$J$772,$K34,IuranSYSebelumnya!$M$330:$M$772,BD$11,IuranSYSebelumnya!$L$330:$L$772,"&lt;&gt;"&amp;$M$5)&gt;0,
              "Iuran dari Lingkungan lain",
              ""))</t>
  </si>
  <si>
    <t>=IF(COUNTIFS(IuranSYSebelumnya!$J$330:$J$772,$K34,IuranSYSebelumnya!$M$330:$M$772,BE$11,IuranSYSebelumnya!$L$330:$L$772,$M$5)&gt;0,
        VLOOKUP(CONCATENATE($K34,"|",BE$11,"|",$M$5),IuranSYSebelumnya!$I$330:$N$772,5,FALSE),
        IF(COUNTIFS(IuranSYSebelumnya!$J$330:$J$772,$K34,IuranSYSebelumnya!$M$330:$M$772,BE$11,IuranSYSebelumnya!$L$330:$L$772,"&lt;&gt;"&amp;$M$5)&gt;0,
              "Iuran dari Lingkungan lain",
              ""))</t>
  </si>
  <si>
    <t>=IF(COUNTIFS(IuranSYSebelumnya!$J$330:$J$772,$K34,IuranSYSebelumnya!$M$330:$M$772,BF$11,IuranSYSebelumnya!$L$330:$L$772,$M$5)&gt;0,
        VLOOKUP(CONCATENATE($K34,"|",BF$11,"|",$M$5),IuranSYSebelumnya!$I$330:$N$772,5,FALSE),
        IF(COUNTIFS(IuranSYSebelumnya!$J$330:$J$772,$K34,IuranSYSebelumnya!$M$330:$M$772,BF$11,IuranSYSebelumnya!$L$330:$L$772,"&lt;&gt;"&amp;$M$5)&gt;0,
              "Iuran dari Lingkungan lain",
              ""))</t>
  </si>
  <si>
    <t>=IF(COUNTIFS(IuranSYSebelumnya!$J$330:$J$772,$K34,IuranSYSebelumnya!$M$330:$M$772,BG$11,IuranSYSebelumnya!$L$330:$L$772,$M$5)&gt;0,
        VLOOKUP(CONCATENATE($K34,"|",BG$11,"|",$M$5),IuranSYSebelumnya!$I$330:$N$772,5,FALSE),
        IF(COUNTIFS(IuranSYSebelumnya!$J$330:$J$772,$K34,IuranSYSebelumnya!$M$330:$M$772,BG$11,IuranSYSebelumnya!$L$330:$L$772,"&lt;&gt;"&amp;$M$5)&gt;0,
              "Iuran dari Lingkungan lain",
              ""))</t>
  </si>
  <si>
    <t>=IF(COUNTIFS(IuranSYSebelumnya!$J$330:$J$772,$K34,IuranSYSebelumnya!$M$330:$M$772,BH$11,IuranSYSebelumnya!$L$330:$L$772,$M$5)&gt;0,
        VLOOKUP(CONCATENATE($K34,"|",BH$11,"|",$M$5),IuranSYSebelumnya!$I$330:$N$772,5,FALSE),
        IF(COUNTIFS(IuranSYSebelumnya!$J$330:$J$772,$K34,IuranSYSebelumnya!$M$330:$M$772,BH$11,IuranSYSebelumnya!$L$330:$L$772,"&lt;&gt;"&amp;$M$5)&gt;0,
              "Iuran dari Lingkungan lain",
              ""))</t>
  </si>
  <si>
    <t>=IF(COUNTIFS(IuranSYSebelumnya!$J$330:$J$772,$K34,IuranSYSebelumnya!$M$330:$M$772,BI$11,IuranSYSebelumnya!$L$330:$L$772,$M$5)&gt;0,
        VLOOKUP(CONCATENATE($K34,"|",BI$11,"|",$M$5),IuranSYSebelumnya!$I$330:$N$772,5,FALSE),
        IF(COUNTIFS(IuranSYSebelumnya!$J$330:$J$772,$K34,IuranSYSebelumnya!$M$330:$M$772,BI$11,IuranSYSebelumnya!$L$330:$L$772,"&lt;&gt;"&amp;$M$5)&gt;0,
              "Iuran dari Lingkungan lain",
              ""))</t>
  </si>
  <si>
    <t>=IF(COUNTIFS(IuranSYSebelumnya!$J$330:$J$772,$K34,IuranSYSebelumnya!$M$330:$M$772,BJ$11,IuranSYSebelumnya!$L$330:$L$772,$M$5)&gt;0,
        VLOOKUP(CONCATENATE($K34,"|",BJ$11,"|",$M$5),IuranSYSebelumnya!$I$330:$N$772,5,FALSE),
        IF(COUNTIFS(IuranSYSebelumnya!$J$330:$J$772,$K34,IuranSYSebelumnya!$M$330:$M$772,BJ$11,IuranSYSebelumnya!$L$330:$L$772,"&lt;&gt;"&amp;$M$5)&gt;0,
              "Iuran dari Lingkungan lain",
              ""))</t>
  </si>
  <si>
    <t>=IF(COUNTIFS(IuranSYSebelumnya!$J$330:$J$772,$K34,IuranSYSebelumnya!$M$330:$M$772,BK$11,IuranSYSebelumnya!$L$330:$L$772,$M$5)&gt;0,
        VLOOKUP(CONCATENATE($K34,"|",BK$11,"|",$M$5),IuranSYSebelumnya!$I$330:$N$772,5,FALSE),
        IF(COUNTIFS(IuranSYSebelumnya!$J$330:$J$772,$K34,IuranSYSebelumnya!$M$330:$M$772,BK$11,IuranSYSebelumnya!$L$330:$L$772,"&lt;&gt;"&amp;$M$5)&gt;0,
              "Iuran dari Lingkungan lain",
              ""))</t>
  </si>
  <si>
    <t>=IF(COUNTIFS(IuranSYSebelumnya!$J$330:$J$772,$K34,IuranSYSebelumnya!$M$330:$M$772,BL$11,IuranSYSebelumnya!$L$330:$L$772,$M$5)&gt;0,
        VLOOKUP(CONCATENATE($K34,"|",BL$11,"|",$M$5),IuranSYSebelumnya!$I$330:$N$772,5,FALSE),
        IF(COUNTIFS(IuranSYSebelumnya!$J$330:$J$772,$K34,IuranSYSebelumnya!$M$330:$M$772,BL$11,IuranSYSebelumnya!$L$330:$L$772,"&lt;&gt;"&amp;$M$5)&gt;0,
              "Iuran dari Lingkungan lain",
              ""))</t>
  </si>
  <si>
    <t>=IF(COUNTIFS(IuranSYSebelumnya!$J$330:$J$772,$K35,IuranSYSebelumnya!$M$330:$M$772,AO$11,IuranSYSebelumnya!$L$330:$L$772,$M$5)&gt;0,
        VLOOKUP(CONCATENATE($K35,"|",AO$11,"|",$M$5),IuranSYSebelumnya!$I$330:$N$772,5,FALSE),
        IF(COUNTIFS(IuranSYSebelumnya!$J$330:$J$772,$K35,IuranSYSebelumnya!$M$330:$M$772,AO$11,IuranSYSebelumnya!$L$330:$L$772,"&lt;&gt;"&amp;$M$5)&gt;0,
              "Iuran dari Lingkungan lain",
              ""))</t>
  </si>
  <si>
    <t>=IF(COUNTIFS(IuranSYSebelumnya!$J$330:$J$772,$K35,IuranSYSebelumnya!$M$330:$M$772,AP$11,IuranSYSebelumnya!$L$330:$L$772,$M$5)&gt;0,
        VLOOKUP(CONCATENATE($K35,"|",AP$11,"|",$M$5),IuranSYSebelumnya!$I$330:$N$772,5,FALSE),
        IF(COUNTIFS(IuranSYSebelumnya!$J$330:$J$772,$K35,IuranSYSebelumnya!$M$330:$M$772,AP$11,IuranSYSebelumnya!$L$330:$L$772,"&lt;&gt;"&amp;$M$5)&gt;0,
              "Iuran dari Lingkungan lain",
              ""))</t>
  </si>
  <si>
    <t>=IF(COUNTIFS(IuranSYSebelumnya!$J$330:$J$772,$K35,IuranSYSebelumnya!$M$330:$M$772,AQ$11,IuranSYSebelumnya!$L$330:$L$772,$M$5)&gt;0,
        VLOOKUP(CONCATENATE($K35,"|",AQ$11,"|",$M$5),IuranSYSebelumnya!$I$330:$N$772,5,FALSE),
        IF(COUNTIFS(IuranSYSebelumnya!$J$330:$J$772,$K35,IuranSYSebelumnya!$M$330:$M$772,AQ$11,IuranSYSebelumnya!$L$330:$L$772,"&lt;&gt;"&amp;$M$5)&gt;0,
              "Iuran dari Lingkungan lain",
              ""))</t>
  </si>
  <si>
    <t>=IF(COUNTIFS(IuranSYSebelumnya!$J$330:$J$772,$K35,IuranSYSebelumnya!$M$330:$M$772,AR$11,IuranSYSebelumnya!$L$330:$L$772,$M$5)&gt;0,
        VLOOKUP(CONCATENATE($K35,"|",AR$11,"|",$M$5),IuranSYSebelumnya!$I$330:$N$772,5,FALSE),
        IF(COUNTIFS(IuranSYSebelumnya!$J$330:$J$772,$K35,IuranSYSebelumnya!$M$330:$M$772,AR$11,IuranSYSebelumnya!$L$330:$L$772,"&lt;&gt;"&amp;$M$5)&gt;0,
              "Iuran dari Lingkungan lain",
              ""))</t>
  </si>
  <si>
    <t>=IF(COUNTIFS(IuranSYSebelumnya!$J$330:$J$772,$K35,IuranSYSebelumnya!$M$330:$M$772,AS$11,IuranSYSebelumnya!$L$330:$L$772,$M$5)&gt;0,
        VLOOKUP(CONCATENATE($K35,"|",AS$11,"|",$M$5),IuranSYSebelumnya!$I$330:$N$772,5,FALSE),
        IF(COUNTIFS(IuranSYSebelumnya!$J$330:$J$772,$K35,IuranSYSebelumnya!$M$330:$M$772,AS$11,IuranSYSebelumnya!$L$330:$L$772,"&lt;&gt;"&amp;$M$5)&gt;0,
              "Iuran dari Lingkungan lain",
              ""))</t>
  </si>
  <si>
    <t>=IF(COUNTIFS(IuranSYSebelumnya!$J$330:$J$772,$K35,IuranSYSebelumnya!$M$330:$M$772,AT$11,IuranSYSebelumnya!$L$330:$L$772,$M$5)&gt;0,
        VLOOKUP(CONCATENATE($K35,"|",AT$11,"|",$M$5),IuranSYSebelumnya!$I$330:$N$772,5,FALSE),
        IF(COUNTIFS(IuranSYSebelumnya!$J$330:$J$772,$K35,IuranSYSebelumnya!$M$330:$M$772,AT$11,IuranSYSebelumnya!$L$330:$L$772,"&lt;&gt;"&amp;$M$5)&gt;0,
              "Iuran dari Lingkungan lain",
              ""))</t>
  </si>
  <si>
    <t>=IF(COUNTIFS(IuranSYSebelumnya!$J$330:$J$772,$K35,IuranSYSebelumnya!$M$330:$M$772,AU$11,IuranSYSebelumnya!$L$330:$L$772,$M$5)&gt;0,
        VLOOKUP(CONCATENATE($K35,"|",AU$11,"|",$M$5),IuranSYSebelumnya!$I$330:$N$772,5,FALSE),
        IF(COUNTIFS(IuranSYSebelumnya!$J$330:$J$772,$K35,IuranSYSebelumnya!$M$330:$M$772,AU$11,IuranSYSebelumnya!$L$330:$L$772,"&lt;&gt;"&amp;$M$5)&gt;0,
              "Iuran dari Lingkungan lain",
              ""))</t>
  </si>
  <si>
    <t>=IF(COUNTIFS(IuranSYSebelumnya!$J$330:$J$772,$K35,IuranSYSebelumnya!$M$330:$M$772,AV$11,IuranSYSebelumnya!$L$330:$L$772,$M$5)&gt;0,
        VLOOKUP(CONCATENATE($K35,"|",AV$11,"|",$M$5),IuranSYSebelumnya!$I$330:$N$772,5,FALSE),
        IF(COUNTIFS(IuranSYSebelumnya!$J$330:$J$772,$K35,IuranSYSebelumnya!$M$330:$M$772,AV$11,IuranSYSebelumnya!$L$330:$L$772,"&lt;&gt;"&amp;$M$5)&gt;0,
              "Iuran dari Lingkungan lain",
              ""))</t>
  </si>
  <si>
    <t>=IF(COUNTIFS(IuranSYSebelumnya!$J$330:$J$772,$K35,IuranSYSebelumnya!$M$330:$M$772,AW$11,IuranSYSebelumnya!$L$330:$L$772,$M$5)&gt;0,
        VLOOKUP(CONCATENATE($K35,"|",AW$11,"|",$M$5),IuranSYSebelumnya!$I$330:$N$772,5,FALSE),
        IF(COUNTIFS(IuranSYSebelumnya!$J$330:$J$772,$K35,IuranSYSebelumnya!$M$330:$M$772,AW$11,IuranSYSebelumnya!$L$330:$L$772,"&lt;&gt;"&amp;$M$5)&gt;0,
              "Iuran dari Lingkungan lain",
              ""))</t>
  </si>
  <si>
    <t>=IF(COUNTIFS(IuranSYSebelumnya!$J$330:$J$772,$K35,IuranSYSebelumnya!$M$330:$M$772,AX$11,IuranSYSebelumnya!$L$330:$L$772,$M$5)&gt;0,
        VLOOKUP(CONCATENATE($K35,"|",AX$11,"|",$M$5),IuranSYSebelumnya!$I$330:$N$772,5,FALSE),
        IF(COUNTIFS(IuranSYSebelumnya!$J$330:$J$772,$K35,IuranSYSebelumnya!$M$330:$M$772,AX$11,IuranSYSebelumnya!$L$330:$L$772,"&lt;&gt;"&amp;$M$5)&gt;0,
              "Iuran dari Lingkungan lain",
              ""))</t>
  </si>
  <si>
    <t>=IF(COUNTIFS(IuranSYSebelumnya!$J$330:$J$772,$K35,IuranSYSebelumnya!$M$330:$M$772,AY$11,IuranSYSebelumnya!$L$330:$L$772,$M$5)&gt;0,
        VLOOKUP(CONCATENATE($K35,"|",AY$11,"|",$M$5),IuranSYSebelumnya!$I$330:$N$772,5,FALSE),
        IF(COUNTIFS(IuranSYSebelumnya!$J$330:$J$772,$K35,IuranSYSebelumnya!$M$330:$M$772,AY$11,IuranSYSebelumnya!$L$330:$L$772,"&lt;&gt;"&amp;$M$5)&gt;0,
              "Iuran dari Lingkungan lain",
              ""))</t>
  </si>
  <si>
    <t>=IF(COUNTIFS(IuranSYSebelumnya!$J$330:$J$772,$K35,IuranSYSebelumnya!$M$330:$M$772,AZ$11,IuranSYSebelumnya!$L$330:$L$772,$M$5)&gt;0,
        VLOOKUP(CONCATENATE($K35,"|",AZ$11,"|",$M$5),IuranSYSebelumnya!$I$330:$N$772,5,FALSE),
        IF(COUNTIFS(IuranSYSebelumnya!$J$330:$J$772,$K35,IuranSYSebelumnya!$M$330:$M$772,AZ$11,IuranSYSebelumnya!$L$330:$L$772,"&lt;&gt;"&amp;$M$5)&gt;0,
              "Iuran dari Lingkungan lain",
              ""))</t>
  </si>
  <si>
    <t>=IF(COUNTIFS(IuranSYSebelumnya!$J$330:$J$772,$K35,IuranSYSebelumnya!$M$330:$M$772,BA$11,IuranSYSebelumnya!$L$330:$L$772,$M$5)&gt;0,
        VLOOKUP(CONCATENATE($K35,"|",BA$11,"|",$M$5),IuranSYSebelumnya!$I$330:$N$772,5,FALSE),
        IF(COUNTIFS(IuranSYSebelumnya!$J$330:$J$772,$K35,IuranSYSebelumnya!$M$330:$M$772,BA$11,IuranSYSebelumnya!$L$330:$L$772,"&lt;&gt;"&amp;$M$5)&gt;0,
              "Iuran dari Lingkungan lain",
              ""))</t>
  </si>
  <si>
    <t>=IF(COUNTIFS(IuranSYSebelumnya!$J$330:$J$772,$K35,IuranSYSebelumnya!$M$330:$M$772,BB$11,IuranSYSebelumnya!$L$330:$L$772,$M$5)&gt;0,
        VLOOKUP(CONCATENATE($K35,"|",BB$11,"|",$M$5),IuranSYSebelumnya!$I$330:$N$772,5,FALSE),
        IF(COUNTIFS(IuranSYSebelumnya!$J$330:$J$772,$K35,IuranSYSebelumnya!$M$330:$M$772,BB$11,IuranSYSebelumnya!$L$330:$L$772,"&lt;&gt;"&amp;$M$5)&gt;0,
              "Iuran dari Lingkungan lain",
              ""))</t>
  </si>
  <si>
    <t>=IF(COUNTIFS(IuranSYSebelumnya!$J$330:$J$772,$K35,IuranSYSebelumnya!$M$330:$M$772,BC$11,IuranSYSebelumnya!$L$330:$L$772,$M$5)&gt;0,
        VLOOKUP(CONCATENATE($K35,"|",BC$11,"|",$M$5),IuranSYSebelumnya!$I$330:$N$772,5,FALSE),
        IF(COUNTIFS(IuranSYSebelumnya!$J$330:$J$772,$K35,IuranSYSebelumnya!$M$330:$M$772,BC$11,IuranSYSebelumnya!$L$330:$L$772,"&lt;&gt;"&amp;$M$5)&gt;0,
              "Iuran dari Lingkungan lain",
              ""))</t>
  </si>
  <si>
    <t>=IF(COUNTIFS(IuranSYSebelumnya!$J$330:$J$772,$K35,IuranSYSebelumnya!$M$330:$M$772,BD$11,IuranSYSebelumnya!$L$330:$L$772,$M$5)&gt;0,
        VLOOKUP(CONCATENATE($K35,"|",BD$11,"|",$M$5),IuranSYSebelumnya!$I$330:$N$772,5,FALSE),
        IF(COUNTIFS(IuranSYSebelumnya!$J$330:$J$772,$K35,IuranSYSebelumnya!$M$330:$M$772,BD$11,IuranSYSebelumnya!$L$330:$L$772,"&lt;&gt;"&amp;$M$5)&gt;0,
              "Iuran dari Lingkungan lain",
              ""))</t>
  </si>
  <si>
    <t>=IF(COUNTIFS(IuranSYSebelumnya!$J$330:$J$772,$K35,IuranSYSebelumnya!$M$330:$M$772,BE$11,IuranSYSebelumnya!$L$330:$L$772,$M$5)&gt;0,
        VLOOKUP(CONCATENATE($K35,"|",BE$11,"|",$M$5),IuranSYSebelumnya!$I$330:$N$772,5,FALSE),
        IF(COUNTIFS(IuranSYSebelumnya!$J$330:$J$772,$K35,IuranSYSebelumnya!$M$330:$M$772,BE$11,IuranSYSebelumnya!$L$330:$L$772,"&lt;&gt;"&amp;$M$5)&gt;0,
              "Iuran dari Lingkungan lain",
              ""))</t>
  </si>
  <si>
    <t>=IF(COUNTIFS(IuranSYSebelumnya!$J$330:$J$772,$K35,IuranSYSebelumnya!$M$330:$M$772,BF$11,IuranSYSebelumnya!$L$330:$L$772,$M$5)&gt;0,
        VLOOKUP(CONCATENATE($K35,"|",BF$11,"|",$M$5),IuranSYSebelumnya!$I$330:$N$772,5,FALSE),
        IF(COUNTIFS(IuranSYSebelumnya!$J$330:$J$772,$K35,IuranSYSebelumnya!$M$330:$M$772,BF$11,IuranSYSebelumnya!$L$330:$L$772,"&lt;&gt;"&amp;$M$5)&gt;0,
              "Iuran dari Lingkungan lain",
              ""))</t>
  </si>
  <si>
    <t>=IF(COUNTIFS(IuranSYSebelumnya!$J$330:$J$772,$K35,IuranSYSebelumnya!$M$330:$M$772,BG$11,IuranSYSebelumnya!$L$330:$L$772,$M$5)&gt;0,
        VLOOKUP(CONCATENATE($K35,"|",BG$11,"|",$M$5),IuranSYSebelumnya!$I$330:$N$772,5,FALSE),
        IF(COUNTIFS(IuranSYSebelumnya!$J$330:$J$772,$K35,IuranSYSebelumnya!$M$330:$M$772,BG$11,IuranSYSebelumnya!$L$330:$L$772,"&lt;&gt;"&amp;$M$5)&gt;0,
              "Iuran dari Lingkungan lain",
              ""))</t>
  </si>
  <si>
    <t>=IF(COUNTIFS(IuranSYSebelumnya!$J$330:$J$772,$K35,IuranSYSebelumnya!$M$330:$M$772,BH$11,IuranSYSebelumnya!$L$330:$L$772,$M$5)&gt;0,
        VLOOKUP(CONCATENATE($K35,"|",BH$11,"|",$M$5),IuranSYSebelumnya!$I$330:$N$772,5,FALSE),
        IF(COUNTIFS(IuranSYSebelumnya!$J$330:$J$772,$K35,IuranSYSebelumnya!$M$330:$M$772,BH$11,IuranSYSebelumnya!$L$330:$L$772,"&lt;&gt;"&amp;$M$5)&gt;0,
              "Iuran dari Lingkungan lain",
              ""))</t>
  </si>
  <si>
    <t>=IF(COUNTIFS(IuranSYSebelumnya!$J$330:$J$772,$K35,IuranSYSebelumnya!$M$330:$M$772,BI$11,IuranSYSebelumnya!$L$330:$L$772,$M$5)&gt;0,
        VLOOKUP(CONCATENATE($K35,"|",BI$11,"|",$M$5),IuranSYSebelumnya!$I$330:$N$772,5,FALSE),
        IF(COUNTIFS(IuranSYSebelumnya!$J$330:$J$772,$K35,IuranSYSebelumnya!$M$330:$M$772,BI$11,IuranSYSebelumnya!$L$330:$L$772,"&lt;&gt;"&amp;$M$5)&gt;0,
              "Iuran dari Lingkungan lain",
              ""))</t>
  </si>
  <si>
    <t>=IF(COUNTIFS(IuranSYSebelumnya!$J$330:$J$772,$K35,IuranSYSebelumnya!$M$330:$M$772,BJ$11,IuranSYSebelumnya!$L$330:$L$772,$M$5)&gt;0,
        VLOOKUP(CONCATENATE($K35,"|",BJ$11,"|",$M$5),IuranSYSebelumnya!$I$330:$N$772,5,FALSE),
        IF(COUNTIFS(IuranSYSebelumnya!$J$330:$J$772,$K35,IuranSYSebelumnya!$M$330:$M$772,BJ$11,IuranSYSebelumnya!$L$330:$L$772,"&lt;&gt;"&amp;$M$5)&gt;0,
              "Iuran dari Lingkungan lain",
              ""))</t>
  </si>
  <si>
    <t>=IF(COUNTIFS(IuranSYSebelumnya!$J$330:$J$772,$K35,IuranSYSebelumnya!$M$330:$M$772,BK$11,IuranSYSebelumnya!$L$330:$L$772,$M$5)&gt;0,
        VLOOKUP(CONCATENATE($K35,"|",BK$11,"|",$M$5),IuranSYSebelumnya!$I$330:$N$772,5,FALSE),
        IF(COUNTIFS(IuranSYSebelumnya!$J$330:$J$772,$K35,IuranSYSebelumnya!$M$330:$M$772,BK$11,IuranSYSebelumnya!$L$330:$L$772,"&lt;&gt;"&amp;$M$5)&gt;0,
              "Iuran dari Lingkungan lain",
              ""))</t>
  </si>
  <si>
    <t>=IF(COUNTIFS(IuranSYSebelumnya!$J$330:$J$772,$K35,IuranSYSebelumnya!$M$330:$M$772,BL$11,IuranSYSebelumnya!$L$330:$L$772,$M$5)&gt;0,
        VLOOKUP(CONCATENATE($K35,"|",BL$11,"|",$M$5),IuranSYSebelumnya!$I$330:$N$772,5,FALSE),
        IF(COUNTIFS(IuranSYSebelumnya!$J$330:$J$772,$K35,IuranSYSebelumnya!$M$330:$M$772,BL$11,IuranSYSebelumnya!$L$330:$L$772,"&lt;&gt;"&amp;$M$5)&gt;0,
              "Iuran dari Lingkungan lain",
              ""))</t>
  </si>
  <si>
    <t>=IF(COUNTIFS(IuranSYSebelumnya!$J$330:$J$772,$K36,IuranSYSebelumnya!$M$330:$M$772,AO$11,IuranSYSebelumnya!$L$330:$L$772,$M$5)&gt;0,
        VLOOKUP(CONCATENATE($K36,"|",AO$11,"|",$M$5),IuranSYSebelumnya!$I$330:$N$772,5,FALSE),
        IF(COUNTIFS(IuranSYSebelumnya!$J$330:$J$772,$K36,IuranSYSebelumnya!$M$330:$M$772,AO$11,IuranSYSebelumnya!$L$330:$L$772,"&lt;&gt;"&amp;$M$5)&gt;0,
              "Iuran dari Lingkungan lain",
              ""))</t>
  </si>
  <si>
    <t>=IF(COUNTIFS(IuranSYSebelumnya!$J$330:$J$772,$K36,IuranSYSebelumnya!$M$330:$M$772,AP$11,IuranSYSebelumnya!$L$330:$L$772,$M$5)&gt;0,
        VLOOKUP(CONCATENATE($K36,"|",AP$11,"|",$M$5),IuranSYSebelumnya!$I$330:$N$772,5,FALSE),
        IF(COUNTIFS(IuranSYSebelumnya!$J$330:$J$772,$K36,IuranSYSebelumnya!$M$330:$M$772,AP$11,IuranSYSebelumnya!$L$330:$L$772,"&lt;&gt;"&amp;$M$5)&gt;0,
              "Iuran dari Lingkungan lain",
              ""))</t>
  </si>
  <si>
    <t>=IF(COUNTIFS(IuranSYSebelumnya!$J$330:$J$772,$K36,IuranSYSebelumnya!$M$330:$M$772,AQ$11,IuranSYSebelumnya!$L$330:$L$772,$M$5)&gt;0,
        VLOOKUP(CONCATENATE($K36,"|",AQ$11,"|",$M$5),IuranSYSebelumnya!$I$330:$N$772,5,FALSE),
        IF(COUNTIFS(IuranSYSebelumnya!$J$330:$J$772,$K36,IuranSYSebelumnya!$M$330:$M$772,AQ$11,IuranSYSebelumnya!$L$330:$L$772,"&lt;&gt;"&amp;$M$5)&gt;0,
              "Iuran dari Lingkungan lain",
              ""))</t>
  </si>
  <si>
    <t>=IF(COUNTIFS(IuranSYSebelumnya!$J$330:$J$772,$K36,IuranSYSebelumnya!$M$330:$M$772,AR$11,IuranSYSebelumnya!$L$330:$L$772,$M$5)&gt;0,
        VLOOKUP(CONCATENATE($K36,"|",AR$11,"|",$M$5),IuranSYSebelumnya!$I$330:$N$772,5,FALSE),
        IF(COUNTIFS(IuranSYSebelumnya!$J$330:$J$772,$K36,IuranSYSebelumnya!$M$330:$M$772,AR$11,IuranSYSebelumnya!$L$330:$L$772,"&lt;&gt;"&amp;$M$5)&gt;0,
              "Iuran dari Lingkungan lain",
              ""))</t>
  </si>
  <si>
    <t>=IF(COUNTIFS(IuranSYSebelumnya!$J$330:$J$772,$K36,IuranSYSebelumnya!$M$330:$M$772,AS$11,IuranSYSebelumnya!$L$330:$L$772,$M$5)&gt;0,
        VLOOKUP(CONCATENATE($K36,"|",AS$11,"|",$M$5),IuranSYSebelumnya!$I$330:$N$772,5,FALSE),
        IF(COUNTIFS(IuranSYSebelumnya!$J$330:$J$772,$K36,IuranSYSebelumnya!$M$330:$M$772,AS$11,IuranSYSebelumnya!$L$330:$L$772,"&lt;&gt;"&amp;$M$5)&gt;0,
              "Iuran dari Lingkungan lain",
              ""))</t>
  </si>
  <si>
    <t>=IF(COUNTIFS(IuranSYSebelumnya!$J$330:$J$772,$K36,IuranSYSebelumnya!$M$330:$M$772,AT$11,IuranSYSebelumnya!$L$330:$L$772,$M$5)&gt;0,
        VLOOKUP(CONCATENATE($K36,"|",AT$11,"|",$M$5),IuranSYSebelumnya!$I$330:$N$772,5,FALSE),
        IF(COUNTIFS(IuranSYSebelumnya!$J$330:$J$772,$K36,IuranSYSebelumnya!$M$330:$M$772,AT$11,IuranSYSebelumnya!$L$330:$L$772,"&lt;&gt;"&amp;$M$5)&gt;0,
              "Iuran dari Lingkungan lain",
              ""))</t>
  </si>
  <si>
    <t>=IF(COUNTIFS(IuranSYSebelumnya!$J$330:$J$772,$K36,IuranSYSebelumnya!$M$330:$M$772,AU$11,IuranSYSebelumnya!$L$330:$L$772,$M$5)&gt;0,
        VLOOKUP(CONCATENATE($K36,"|",AU$11,"|",$M$5),IuranSYSebelumnya!$I$330:$N$772,5,FALSE),
        IF(COUNTIFS(IuranSYSebelumnya!$J$330:$J$772,$K36,IuranSYSebelumnya!$M$330:$M$772,AU$11,IuranSYSebelumnya!$L$330:$L$772,"&lt;&gt;"&amp;$M$5)&gt;0,
              "Iuran dari Lingkungan lain",
              ""))</t>
  </si>
  <si>
    <t>=IF(COUNTIFS(IuranSYSebelumnya!$J$330:$J$772,$K36,IuranSYSebelumnya!$M$330:$M$772,AV$11,IuranSYSebelumnya!$L$330:$L$772,$M$5)&gt;0,
        VLOOKUP(CONCATENATE($K36,"|",AV$11,"|",$M$5),IuranSYSebelumnya!$I$330:$N$772,5,FALSE),
        IF(COUNTIFS(IuranSYSebelumnya!$J$330:$J$772,$K36,IuranSYSebelumnya!$M$330:$M$772,AV$11,IuranSYSebelumnya!$L$330:$L$772,"&lt;&gt;"&amp;$M$5)&gt;0,
              "Iuran dari Lingkungan lain",
              ""))</t>
  </si>
  <si>
    <t>=IF(COUNTIFS(IuranSYSebelumnya!$J$330:$J$772,$K36,IuranSYSebelumnya!$M$330:$M$772,AW$11,IuranSYSebelumnya!$L$330:$L$772,$M$5)&gt;0,
        VLOOKUP(CONCATENATE($K36,"|",AW$11,"|",$M$5),IuranSYSebelumnya!$I$330:$N$772,5,FALSE),
        IF(COUNTIFS(IuranSYSebelumnya!$J$330:$J$772,$K36,IuranSYSebelumnya!$M$330:$M$772,AW$11,IuranSYSebelumnya!$L$330:$L$772,"&lt;&gt;"&amp;$M$5)&gt;0,
              "Iuran dari Lingkungan lain",
              ""))</t>
  </si>
  <si>
    <t>=IF(COUNTIFS(IuranSYSebelumnya!$J$330:$J$772,$K36,IuranSYSebelumnya!$M$330:$M$772,AX$11,IuranSYSebelumnya!$L$330:$L$772,$M$5)&gt;0,
        VLOOKUP(CONCATENATE($K36,"|",AX$11,"|",$M$5),IuranSYSebelumnya!$I$330:$N$772,5,FALSE),
        IF(COUNTIFS(IuranSYSebelumnya!$J$330:$J$772,$K36,IuranSYSebelumnya!$M$330:$M$772,AX$11,IuranSYSebelumnya!$L$330:$L$772,"&lt;&gt;"&amp;$M$5)&gt;0,
              "Iuran dari Lingkungan lain",
              ""))</t>
  </si>
  <si>
    <t>=IF(COUNTIFS(IuranSYSebelumnya!$J$330:$J$772,$K36,IuranSYSebelumnya!$M$330:$M$772,AY$11,IuranSYSebelumnya!$L$330:$L$772,$M$5)&gt;0,
        VLOOKUP(CONCATENATE($K36,"|",AY$11,"|",$M$5),IuranSYSebelumnya!$I$330:$N$772,5,FALSE),
        IF(COUNTIFS(IuranSYSebelumnya!$J$330:$J$772,$K36,IuranSYSebelumnya!$M$330:$M$772,AY$11,IuranSYSebelumnya!$L$330:$L$772,"&lt;&gt;"&amp;$M$5)&gt;0,
              "Iuran dari Lingkungan lain",
              ""))</t>
  </si>
  <si>
    <t>=IF(COUNTIFS(IuranSYSebelumnya!$J$330:$J$772,$K36,IuranSYSebelumnya!$M$330:$M$772,AZ$11,IuranSYSebelumnya!$L$330:$L$772,$M$5)&gt;0,
        VLOOKUP(CONCATENATE($K36,"|",AZ$11,"|",$M$5),IuranSYSebelumnya!$I$330:$N$772,5,FALSE),
        IF(COUNTIFS(IuranSYSebelumnya!$J$330:$J$772,$K36,IuranSYSebelumnya!$M$330:$M$772,AZ$11,IuranSYSebelumnya!$L$330:$L$772,"&lt;&gt;"&amp;$M$5)&gt;0,
              "Iuran dari Lingkungan lain",
              ""))</t>
  </si>
  <si>
    <t>=IF(COUNTIFS(IuranSYSebelumnya!$J$330:$J$772,$K36,IuranSYSebelumnya!$M$330:$M$772,BA$11,IuranSYSebelumnya!$L$330:$L$772,$M$5)&gt;0,
        VLOOKUP(CONCATENATE($K36,"|",BA$11,"|",$M$5),IuranSYSebelumnya!$I$330:$N$772,5,FALSE),
        IF(COUNTIFS(IuranSYSebelumnya!$J$330:$J$772,$K36,IuranSYSebelumnya!$M$330:$M$772,BA$11,IuranSYSebelumnya!$L$330:$L$772,"&lt;&gt;"&amp;$M$5)&gt;0,
              "Iuran dari Lingkungan lain",
              ""))</t>
  </si>
  <si>
    <t>=IF(COUNTIFS(IuranSYSebelumnya!$J$330:$J$772,$K36,IuranSYSebelumnya!$M$330:$M$772,BB$11,IuranSYSebelumnya!$L$330:$L$772,$M$5)&gt;0,
        VLOOKUP(CONCATENATE($K36,"|",BB$11,"|",$M$5),IuranSYSebelumnya!$I$330:$N$772,5,FALSE),
        IF(COUNTIFS(IuranSYSebelumnya!$J$330:$J$772,$K36,IuranSYSebelumnya!$M$330:$M$772,BB$11,IuranSYSebelumnya!$L$330:$L$772,"&lt;&gt;"&amp;$M$5)&gt;0,
              "Iuran dari Lingkungan lain",
              ""))</t>
  </si>
  <si>
    <t>=IF(COUNTIFS(IuranSYSebelumnya!$J$330:$J$772,$K36,IuranSYSebelumnya!$M$330:$M$772,BC$11,IuranSYSebelumnya!$L$330:$L$772,$M$5)&gt;0,
        VLOOKUP(CONCATENATE($K36,"|",BC$11,"|",$M$5),IuranSYSebelumnya!$I$330:$N$772,5,FALSE),
        IF(COUNTIFS(IuranSYSebelumnya!$J$330:$J$772,$K36,IuranSYSebelumnya!$M$330:$M$772,BC$11,IuranSYSebelumnya!$L$330:$L$772,"&lt;&gt;"&amp;$M$5)&gt;0,
              "Iuran dari Lingkungan lain",
              ""))</t>
  </si>
  <si>
    <t>=IF(COUNTIFS(IuranSYSebelumnya!$J$330:$J$772,$K36,IuranSYSebelumnya!$M$330:$M$772,BD$11,IuranSYSebelumnya!$L$330:$L$772,$M$5)&gt;0,
        VLOOKUP(CONCATENATE($K36,"|",BD$11,"|",$M$5),IuranSYSebelumnya!$I$330:$N$772,5,FALSE),
        IF(COUNTIFS(IuranSYSebelumnya!$J$330:$J$772,$K36,IuranSYSebelumnya!$M$330:$M$772,BD$11,IuranSYSebelumnya!$L$330:$L$772,"&lt;&gt;"&amp;$M$5)&gt;0,
              "Iuran dari Lingkungan lain",
              ""))</t>
  </si>
  <si>
    <t>=IF(COUNTIFS(IuranSYSebelumnya!$J$330:$J$772,$K36,IuranSYSebelumnya!$M$330:$M$772,BE$11,IuranSYSebelumnya!$L$330:$L$772,$M$5)&gt;0,
        VLOOKUP(CONCATENATE($K36,"|",BE$11,"|",$M$5),IuranSYSebelumnya!$I$330:$N$772,5,FALSE),
        IF(COUNTIFS(IuranSYSebelumnya!$J$330:$J$772,$K36,IuranSYSebelumnya!$M$330:$M$772,BE$11,IuranSYSebelumnya!$L$330:$L$772,"&lt;&gt;"&amp;$M$5)&gt;0,
              "Iuran dari Lingkungan lain",
              ""))</t>
  </si>
  <si>
    <t>=IF(COUNTIFS(IuranSYSebelumnya!$J$330:$J$772,$K36,IuranSYSebelumnya!$M$330:$M$772,BF$11,IuranSYSebelumnya!$L$330:$L$772,$M$5)&gt;0,
        VLOOKUP(CONCATENATE($K36,"|",BF$11,"|",$M$5),IuranSYSebelumnya!$I$330:$N$772,5,FALSE),
        IF(COUNTIFS(IuranSYSebelumnya!$J$330:$J$772,$K36,IuranSYSebelumnya!$M$330:$M$772,BF$11,IuranSYSebelumnya!$L$330:$L$772,"&lt;&gt;"&amp;$M$5)&gt;0,
              "Iuran dari Lingkungan lain",
              ""))</t>
  </si>
  <si>
    <t>=IF(COUNTIFS(IuranSYSebelumnya!$J$330:$J$772,$K36,IuranSYSebelumnya!$M$330:$M$772,BG$11,IuranSYSebelumnya!$L$330:$L$772,$M$5)&gt;0,
        VLOOKUP(CONCATENATE($K36,"|",BG$11,"|",$M$5),IuranSYSebelumnya!$I$330:$N$772,5,FALSE),
        IF(COUNTIFS(IuranSYSebelumnya!$J$330:$J$772,$K36,IuranSYSebelumnya!$M$330:$M$772,BG$11,IuranSYSebelumnya!$L$330:$L$772,"&lt;&gt;"&amp;$M$5)&gt;0,
              "Iuran dari Lingkungan lain",
              ""))</t>
  </si>
  <si>
    <t>=IF(COUNTIFS(IuranSYSebelumnya!$J$330:$J$772,$K36,IuranSYSebelumnya!$M$330:$M$772,BH$11,IuranSYSebelumnya!$L$330:$L$772,$M$5)&gt;0,
        VLOOKUP(CONCATENATE($K36,"|",BH$11,"|",$M$5),IuranSYSebelumnya!$I$330:$N$772,5,FALSE),
        IF(COUNTIFS(IuranSYSebelumnya!$J$330:$J$772,$K36,IuranSYSebelumnya!$M$330:$M$772,BH$11,IuranSYSebelumnya!$L$330:$L$772,"&lt;&gt;"&amp;$M$5)&gt;0,
              "Iuran dari Lingkungan lain",
              ""))</t>
  </si>
  <si>
    <t>=IF(COUNTIFS(IuranSYSebelumnya!$J$330:$J$772,$K36,IuranSYSebelumnya!$M$330:$M$772,BI$11,IuranSYSebelumnya!$L$330:$L$772,$M$5)&gt;0,
        VLOOKUP(CONCATENATE($K36,"|",BI$11,"|",$M$5),IuranSYSebelumnya!$I$330:$N$772,5,FALSE),
        IF(COUNTIFS(IuranSYSebelumnya!$J$330:$J$772,$K36,IuranSYSebelumnya!$M$330:$M$772,BI$11,IuranSYSebelumnya!$L$330:$L$772,"&lt;&gt;"&amp;$M$5)&gt;0,
              "Iuran dari Lingkungan lain",
              ""))</t>
  </si>
  <si>
    <t>=IF(COUNTIFS(IuranSYSebelumnya!$J$330:$J$772,$K36,IuranSYSebelumnya!$M$330:$M$772,BJ$11,IuranSYSebelumnya!$L$330:$L$772,$M$5)&gt;0,
        VLOOKUP(CONCATENATE($K36,"|",BJ$11,"|",$M$5),IuranSYSebelumnya!$I$330:$N$772,5,FALSE),
        IF(COUNTIFS(IuranSYSebelumnya!$J$330:$J$772,$K36,IuranSYSebelumnya!$M$330:$M$772,BJ$11,IuranSYSebelumnya!$L$330:$L$772,"&lt;&gt;"&amp;$M$5)&gt;0,
              "Iuran dari Lingkungan lain",
              ""))</t>
  </si>
  <si>
    <t>=IF(COUNTIFS(IuranSYSebelumnya!$J$330:$J$772,$K36,IuranSYSebelumnya!$M$330:$M$772,BK$11,IuranSYSebelumnya!$L$330:$L$772,$M$5)&gt;0,
        VLOOKUP(CONCATENATE($K36,"|",BK$11,"|",$M$5),IuranSYSebelumnya!$I$330:$N$772,5,FALSE),
        IF(COUNTIFS(IuranSYSebelumnya!$J$330:$J$772,$K36,IuranSYSebelumnya!$M$330:$M$772,BK$11,IuranSYSebelumnya!$L$330:$L$772,"&lt;&gt;"&amp;$M$5)&gt;0,
              "Iuran dari Lingkungan lain",
              ""))</t>
  </si>
  <si>
    <t>=IF(COUNTIFS(IuranSYSebelumnya!$J$330:$J$772,$K36,IuranSYSebelumnya!$M$330:$M$772,BL$11,IuranSYSebelumnya!$L$330:$L$772,$M$5)&gt;0,
        VLOOKUP(CONCATENATE($K36,"|",BL$11,"|",$M$5),IuranSYSebelumnya!$I$330:$N$772,5,FALSE),
        IF(COUNTIFS(IuranSYSebelumnya!$J$330:$J$772,$K36,IuranSYSebelumnya!$M$330:$M$772,BL$11,IuranSYSebelumnya!$L$330:$L$772,"&lt;&gt;"&amp;$M$5)&gt;0,
              "Iuran dari Lingkungan lain",
              ""))</t>
  </si>
  <si>
    <t>=IF(COUNTIFS(IuranSYSebelumnya!$J$330:$J$772,$K37,IuranSYSebelumnya!$M$330:$M$772,AO$11,IuranSYSebelumnya!$L$330:$L$772,$M$5)&gt;0,
        VLOOKUP(CONCATENATE($K37,"|",AO$11,"|",$M$5),IuranSYSebelumnya!$I$330:$N$772,5,FALSE),
        IF(COUNTIFS(IuranSYSebelumnya!$J$330:$J$772,$K37,IuranSYSebelumnya!$M$330:$M$772,AO$11,IuranSYSebelumnya!$L$330:$L$772,"&lt;&gt;"&amp;$M$5)&gt;0,
              "Iuran dari Lingkungan lain",
              ""))</t>
  </si>
  <si>
    <t>=IF(COUNTIFS(IuranSYSebelumnya!$J$330:$J$772,$K37,IuranSYSebelumnya!$M$330:$M$772,AP$11,IuranSYSebelumnya!$L$330:$L$772,$M$5)&gt;0,
        VLOOKUP(CONCATENATE($K37,"|",AP$11,"|",$M$5),IuranSYSebelumnya!$I$330:$N$772,5,FALSE),
        IF(COUNTIFS(IuranSYSebelumnya!$J$330:$J$772,$K37,IuranSYSebelumnya!$M$330:$M$772,AP$11,IuranSYSebelumnya!$L$330:$L$772,"&lt;&gt;"&amp;$M$5)&gt;0,
              "Iuran dari Lingkungan lain",
              ""))</t>
  </si>
  <si>
    <t>=IF(COUNTIFS(IuranSYSebelumnya!$J$330:$J$772,$K37,IuranSYSebelumnya!$M$330:$M$772,AQ$11,IuranSYSebelumnya!$L$330:$L$772,$M$5)&gt;0,
        VLOOKUP(CONCATENATE($K37,"|",AQ$11,"|",$M$5),IuranSYSebelumnya!$I$330:$N$772,5,FALSE),
        IF(COUNTIFS(IuranSYSebelumnya!$J$330:$J$772,$K37,IuranSYSebelumnya!$M$330:$M$772,AQ$11,IuranSYSebelumnya!$L$330:$L$772,"&lt;&gt;"&amp;$M$5)&gt;0,
              "Iuran dari Lingkungan lain",
              ""))</t>
  </si>
  <si>
    <t>=IF(COUNTIFS(IuranSYSebelumnya!$J$330:$J$772,$K37,IuranSYSebelumnya!$M$330:$M$772,AR$11,IuranSYSebelumnya!$L$330:$L$772,$M$5)&gt;0,
        VLOOKUP(CONCATENATE($K37,"|",AR$11,"|",$M$5),IuranSYSebelumnya!$I$330:$N$772,5,FALSE),
        IF(COUNTIFS(IuranSYSebelumnya!$J$330:$J$772,$K37,IuranSYSebelumnya!$M$330:$M$772,AR$11,IuranSYSebelumnya!$L$330:$L$772,"&lt;&gt;"&amp;$M$5)&gt;0,
              "Iuran dari Lingkungan lain",
              ""))</t>
  </si>
  <si>
    <t>=IF(COUNTIFS(IuranSYSebelumnya!$J$330:$J$772,$K37,IuranSYSebelumnya!$M$330:$M$772,AS$11,IuranSYSebelumnya!$L$330:$L$772,$M$5)&gt;0,
        VLOOKUP(CONCATENATE($K37,"|",AS$11,"|",$M$5),IuranSYSebelumnya!$I$330:$N$772,5,FALSE),
        IF(COUNTIFS(IuranSYSebelumnya!$J$330:$J$772,$K37,IuranSYSebelumnya!$M$330:$M$772,AS$11,IuranSYSebelumnya!$L$330:$L$772,"&lt;&gt;"&amp;$M$5)&gt;0,
              "Iuran dari Lingkungan lain",
              ""))</t>
  </si>
  <si>
    <t>=IF(COUNTIFS(IuranSYSebelumnya!$J$330:$J$772,$K37,IuranSYSebelumnya!$M$330:$M$772,AT$11,IuranSYSebelumnya!$L$330:$L$772,$M$5)&gt;0,
        VLOOKUP(CONCATENATE($K37,"|",AT$11,"|",$M$5),IuranSYSebelumnya!$I$330:$N$772,5,FALSE),
        IF(COUNTIFS(IuranSYSebelumnya!$J$330:$J$772,$K37,IuranSYSebelumnya!$M$330:$M$772,AT$11,IuranSYSebelumnya!$L$330:$L$772,"&lt;&gt;"&amp;$M$5)&gt;0,
              "Iuran dari Lingkungan lain",
              ""))</t>
  </si>
  <si>
    <t>=IF(COUNTIFS(IuranSYSebelumnya!$J$330:$J$772,$K37,IuranSYSebelumnya!$M$330:$M$772,AU$11,IuranSYSebelumnya!$L$330:$L$772,$M$5)&gt;0,
        VLOOKUP(CONCATENATE($K37,"|",AU$11,"|",$M$5),IuranSYSebelumnya!$I$330:$N$772,5,FALSE),
        IF(COUNTIFS(IuranSYSebelumnya!$J$330:$J$772,$K37,IuranSYSebelumnya!$M$330:$M$772,AU$11,IuranSYSebelumnya!$L$330:$L$772,"&lt;&gt;"&amp;$M$5)&gt;0,
              "Iuran dari Lingkungan lain",
              ""))</t>
  </si>
  <si>
    <t>=IF(COUNTIFS(IuranSYSebelumnya!$J$330:$J$772,$K37,IuranSYSebelumnya!$M$330:$M$772,AV$11,IuranSYSebelumnya!$L$330:$L$772,$M$5)&gt;0,
        VLOOKUP(CONCATENATE($K37,"|",AV$11,"|",$M$5),IuranSYSebelumnya!$I$330:$N$772,5,FALSE),
        IF(COUNTIFS(IuranSYSebelumnya!$J$330:$J$772,$K37,IuranSYSebelumnya!$M$330:$M$772,AV$11,IuranSYSebelumnya!$L$330:$L$772,"&lt;&gt;"&amp;$M$5)&gt;0,
              "Iuran dari Lingkungan lain",
              ""))</t>
  </si>
  <si>
    <t>=IF(COUNTIFS(IuranSYSebelumnya!$J$330:$J$772,$K37,IuranSYSebelumnya!$M$330:$M$772,AW$11,IuranSYSebelumnya!$L$330:$L$772,$M$5)&gt;0,
        VLOOKUP(CONCATENATE($K37,"|",AW$11,"|",$M$5),IuranSYSebelumnya!$I$330:$N$772,5,FALSE),
        IF(COUNTIFS(IuranSYSebelumnya!$J$330:$J$772,$K37,IuranSYSebelumnya!$M$330:$M$772,AW$11,IuranSYSebelumnya!$L$330:$L$772,"&lt;&gt;"&amp;$M$5)&gt;0,
              "Iuran dari Lingkungan lain",
              ""))</t>
  </si>
  <si>
    <t>=IF(COUNTIFS(IuranSYSebelumnya!$J$330:$J$772,$K37,IuranSYSebelumnya!$M$330:$M$772,AX$11,IuranSYSebelumnya!$L$330:$L$772,$M$5)&gt;0,
        VLOOKUP(CONCATENATE($K37,"|",AX$11,"|",$M$5),IuranSYSebelumnya!$I$330:$N$772,5,FALSE),
        IF(COUNTIFS(IuranSYSebelumnya!$J$330:$J$772,$K37,IuranSYSebelumnya!$M$330:$M$772,AX$11,IuranSYSebelumnya!$L$330:$L$772,"&lt;&gt;"&amp;$M$5)&gt;0,
              "Iuran dari Lingkungan lain",
              ""))</t>
  </si>
  <si>
    <t>=IF(COUNTIFS(IuranSYSebelumnya!$J$330:$J$772,$K37,IuranSYSebelumnya!$M$330:$M$772,AY$11,IuranSYSebelumnya!$L$330:$L$772,$M$5)&gt;0,
        VLOOKUP(CONCATENATE($K37,"|",AY$11,"|",$M$5),IuranSYSebelumnya!$I$330:$N$772,5,FALSE),
        IF(COUNTIFS(IuranSYSebelumnya!$J$330:$J$772,$K37,IuranSYSebelumnya!$M$330:$M$772,AY$11,IuranSYSebelumnya!$L$330:$L$772,"&lt;&gt;"&amp;$M$5)&gt;0,
              "Iuran dari Lingkungan lain",
              ""))</t>
  </si>
  <si>
    <t>=IF(COUNTIFS(IuranSYSebelumnya!$J$330:$J$772,$K37,IuranSYSebelumnya!$M$330:$M$772,AZ$11,IuranSYSebelumnya!$L$330:$L$772,$M$5)&gt;0,
        VLOOKUP(CONCATENATE($K37,"|",AZ$11,"|",$M$5),IuranSYSebelumnya!$I$330:$N$772,5,FALSE),
        IF(COUNTIFS(IuranSYSebelumnya!$J$330:$J$772,$K37,IuranSYSebelumnya!$M$330:$M$772,AZ$11,IuranSYSebelumnya!$L$330:$L$772,"&lt;&gt;"&amp;$M$5)&gt;0,
              "Iuran dari Lingkungan lain",
              ""))</t>
  </si>
  <si>
    <t>=IF(COUNTIFS(IuranSYSebelumnya!$J$330:$J$772,$K37,IuranSYSebelumnya!$M$330:$M$772,BA$11,IuranSYSebelumnya!$L$330:$L$772,$M$5)&gt;0,
        VLOOKUP(CONCATENATE($K37,"|",BA$11,"|",$M$5),IuranSYSebelumnya!$I$330:$N$772,5,FALSE),
        IF(COUNTIFS(IuranSYSebelumnya!$J$330:$J$772,$K37,IuranSYSebelumnya!$M$330:$M$772,BA$11,IuranSYSebelumnya!$L$330:$L$772,"&lt;&gt;"&amp;$M$5)&gt;0,
              "Iuran dari Lingkungan lain",
              ""))</t>
  </si>
  <si>
    <t>=IF(COUNTIFS(IuranSYSebelumnya!$J$330:$J$772,$K37,IuranSYSebelumnya!$M$330:$M$772,BB$11,IuranSYSebelumnya!$L$330:$L$772,$M$5)&gt;0,
        VLOOKUP(CONCATENATE($K37,"|",BB$11,"|",$M$5),IuranSYSebelumnya!$I$330:$N$772,5,FALSE),
        IF(COUNTIFS(IuranSYSebelumnya!$J$330:$J$772,$K37,IuranSYSebelumnya!$M$330:$M$772,BB$11,IuranSYSebelumnya!$L$330:$L$772,"&lt;&gt;"&amp;$M$5)&gt;0,
              "Iuran dari Lingkungan lain",
              ""))</t>
  </si>
  <si>
    <t>=IF(COUNTIFS(IuranSYSebelumnya!$J$330:$J$772,$K37,IuranSYSebelumnya!$M$330:$M$772,BC$11,IuranSYSebelumnya!$L$330:$L$772,$M$5)&gt;0,
        VLOOKUP(CONCATENATE($K37,"|",BC$11,"|",$M$5),IuranSYSebelumnya!$I$330:$N$772,5,FALSE),
        IF(COUNTIFS(IuranSYSebelumnya!$J$330:$J$772,$K37,IuranSYSebelumnya!$M$330:$M$772,BC$11,IuranSYSebelumnya!$L$330:$L$772,"&lt;&gt;"&amp;$M$5)&gt;0,
              "Iuran dari Lingkungan lain",
              ""))</t>
  </si>
  <si>
    <t>=IF(COUNTIFS(IuranSYSebelumnya!$J$330:$J$772,$K37,IuranSYSebelumnya!$M$330:$M$772,BD$11,IuranSYSebelumnya!$L$330:$L$772,$M$5)&gt;0,
        VLOOKUP(CONCATENATE($K37,"|",BD$11,"|",$M$5),IuranSYSebelumnya!$I$330:$N$772,5,FALSE),
        IF(COUNTIFS(IuranSYSebelumnya!$J$330:$J$772,$K37,IuranSYSebelumnya!$M$330:$M$772,BD$11,IuranSYSebelumnya!$L$330:$L$772,"&lt;&gt;"&amp;$M$5)&gt;0,
              "Iuran dari Lingkungan lain",
              ""))</t>
  </si>
  <si>
    <t>=IF(COUNTIFS(IuranSYSebelumnya!$J$330:$J$772,$K37,IuranSYSebelumnya!$M$330:$M$772,BE$11,IuranSYSebelumnya!$L$330:$L$772,$M$5)&gt;0,
        VLOOKUP(CONCATENATE($K37,"|",BE$11,"|",$M$5),IuranSYSebelumnya!$I$330:$N$772,5,FALSE),
        IF(COUNTIFS(IuranSYSebelumnya!$J$330:$J$772,$K37,IuranSYSebelumnya!$M$330:$M$772,BE$11,IuranSYSebelumnya!$L$330:$L$772,"&lt;&gt;"&amp;$M$5)&gt;0,
              "Iuran dari Lingkungan lain",
              ""))</t>
  </si>
  <si>
    <t>=IF(COUNTIFS(IuranSYSebelumnya!$J$330:$J$772,$K37,IuranSYSebelumnya!$M$330:$M$772,BF$11,IuranSYSebelumnya!$L$330:$L$772,$M$5)&gt;0,
        VLOOKUP(CONCATENATE($K37,"|",BF$11,"|",$M$5),IuranSYSebelumnya!$I$330:$N$772,5,FALSE),
        IF(COUNTIFS(IuranSYSebelumnya!$J$330:$J$772,$K37,IuranSYSebelumnya!$M$330:$M$772,BF$11,IuranSYSebelumnya!$L$330:$L$772,"&lt;&gt;"&amp;$M$5)&gt;0,
              "Iuran dari Lingkungan lain",
              ""))</t>
  </si>
  <si>
    <t>=IF(COUNTIFS(IuranSYSebelumnya!$J$330:$J$772,$K37,IuranSYSebelumnya!$M$330:$M$772,BG$11,IuranSYSebelumnya!$L$330:$L$772,$M$5)&gt;0,
        VLOOKUP(CONCATENATE($K37,"|",BG$11,"|",$M$5),IuranSYSebelumnya!$I$330:$N$772,5,FALSE),
        IF(COUNTIFS(IuranSYSebelumnya!$J$330:$J$772,$K37,IuranSYSebelumnya!$M$330:$M$772,BG$11,IuranSYSebelumnya!$L$330:$L$772,"&lt;&gt;"&amp;$M$5)&gt;0,
              "Iuran dari Lingkungan lain",
              ""))</t>
  </si>
  <si>
    <t>=IF(COUNTIFS(IuranSYSebelumnya!$J$330:$J$772,$K37,IuranSYSebelumnya!$M$330:$M$772,BH$11,IuranSYSebelumnya!$L$330:$L$772,$M$5)&gt;0,
        VLOOKUP(CONCATENATE($K37,"|",BH$11,"|",$M$5),IuranSYSebelumnya!$I$330:$N$772,5,FALSE),
        IF(COUNTIFS(IuranSYSebelumnya!$J$330:$J$772,$K37,IuranSYSebelumnya!$M$330:$M$772,BH$11,IuranSYSebelumnya!$L$330:$L$772,"&lt;&gt;"&amp;$M$5)&gt;0,
              "Iuran dari Lingkungan lain",
              ""))</t>
  </si>
  <si>
    <t>=IF(COUNTIFS(IuranSYSebelumnya!$J$330:$J$772,$K37,IuranSYSebelumnya!$M$330:$M$772,BI$11,IuranSYSebelumnya!$L$330:$L$772,$M$5)&gt;0,
        VLOOKUP(CONCATENATE($K37,"|",BI$11,"|",$M$5),IuranSYSebelumnya!$I$330:$N$772,5,FALSE),
        IF(COUNTIFS(IuranSYSebelumnya!$J$330:$J$772,$K37,IuranSYSebelumnya!$M$330:$M$772,BI$11,IuranSYSebelumnya!$L$330:$L$772,"&lt;&gt;"&amp;$M$5)&gt;0,
              "Iuran dari Lingkungan lain",
              ""))</t>
  </si>
  <si>
    <t>=IF(COUNTIFS(IuranSYSebelumnya!$J$330:$J$772,$K37,IuranSYSebelumnya!$M$330:$M$772,BJ$11,IuranSYSebelumnya!$L$330:$L$772,$M$5)&gt;0,
        VLOOKUP(CONCATENATE($K37,"|",BJ$11,"|",$M$5),IuranSYSebelumnya!$I$330:$N$772,5,FALSE),
        IF(COUNTIFS(IuranSYSebelumnya!$J$330:$J$772,$K37,IuranSYSebelumnya!$M$330:$M$772,BJ$11,IuranSYSebelumnya!$L$330:$L$772,"&lt;&gt;"&amp;$M$5)&gt;0,
              "Iuran dari Lingkungan lain",
              ""))</t>
  </si>
  <si>
    <t>=IF(COUNTIFS(IuranSYSebelumnya!$J$330:$J$772,$K37,IuranSYSebelumnya!$M$330:$M$772,BK$11,IuranSYSebelumnya!$L$330:$L$772,$M$5)&gt;0,
        VLOOKUP(CONCATENATE($K37,"|",BK$11,"|",$M$5),IuranSYSebelumnya!$I$330:$N$772,5,FALSE),
        IF(COUNTIFS(IuranSYSebelumnya!$J$330:$J$772,$K37,IuranSYSebelumnya!$M$330:$M$772,BK$11,IuranSYSebelumnya!$L$330:$L$772,"&lt;&gt;"&amp;$M$5)&gt;0,
              "Iuran dari Lingkungan lain",
              ""))</t>
  </si>
  <si>
    <t>=IF(COUNTIFS(IuranSYSebelumnya!$J$330:$J$772,$K37,IuranSYSebelumnya!$M$330:$M$772,BL$11,IuranSYSebelumnya!$L$330:$L$772,$M$5)&gt;0,
        VLOOKUP(CONCATENATE($K37,"|",BL$11,"|",$M$5),IuranSYSebelumnya!$I$330:$N$772,5,FALSE),
        IF(COUNTIFS(IuranSYSebelumnya!$J$330:$J$772,$K37,IuranSYSebelumnya!$M$330:$M$772,BL$11,IuranSYSebelumnya!$L$330:$L$772,"&lt;&gt;"&amp;$M$5)&gt;0,
              "Iuran dari Lingkungan lain",
              ""))</t>
  </si>
  <si>
    <t>=IF(COUNTIFS(IuranSYSebelumnya!$J$330:$J$772,$K38,IuranSYSebelumnya!$M$330:$M$772,AO$11,IuranSYSebelumnya!$L$330:$L$772,$M$5)&gt;0,
        VLOOKUP(CONCATENATE($K38,"|",AO$11,"|",$M$5),IuranSYSebelumnya!$I$330:$N$772,5,FALSE),
        IF(COUNTIFS(IuranSYSebelumnya!$J$330:$J$772,$K38,IuranSYSebelumnya!$M$330:$M$772,AO$11,IuranSYSebelumnya!$L$330:$L$772,"&lt;&gt;"&amp;$M$5)&gt;0,
              "Iuran dari Lingkungan lain",
              ""))</t>
  </si>
  <si>
    <t>=IF(COUNTIFS(IuranSYSebelumnya!$J$330:$J$772,$K38,IuranSYSebelumnya!$M$330:$M$772,AP$11,IuranSYSebelumnya!$L$330:$L$772,$M$5)&gt;0,
        VLOOKUP(CONCATENATE($K38,"|",AP$11,"|",$M$5),IuranSYSebelumnya!$I$330:$N$772,5,FALSE),
        IF(COUNTIFS(IuranSYSebelumnya!$J$330:$J$772,$K38,IuranSYSebelumnya!$M$330:$M$772,AP$11,IuranSYSebelumnya!$L$330:$L$772,"&lt;&gt;"&amp;$M$5)&gt;0,
              "Iuran dari Lingkungan lain",
              ""))</t>
  </si>
  <si>
    <t>=IF(COUNTIFS(IuranSYSebelumnya!$J$330:$J$772,$K38,IuranSYSebelumnya!$M$330:$M$772,AQ$11,IuranSYSebelumnya!$L$330:$L$772,$M$5)&gt;0,
        VLOOKUP(CONCATENATE($K38,"|",AQ$11,"|",$M$5),IuranSYSebelumnya!$I$330:$N$772,5,FALSE),
        IF(COUNTIFS(IuranSYSebelumnya!$J$330:$J$772,$K38,IuranSYSebelumnya!$M$330:$M$772,AQ$11,IuranSYSebelumnya!$L$330:$L$772,"&lt;&gt;"&amp;$M$5)&gt;0,
              "Iuran dari Lingkungan lain",
              ""))</t>
  </si>
  <si>
    <t>=IF(COUNTIFS(IuranSYSebelumnya!$J$330:$J$772,$K38,IuranSYSebelumnya!$M$330:$M$772,AR$11,IuranSYSebelumnya!$L$330:$L$772,$M$5)&gt;0,
        VLOOKUP(CONCATENATE($K38,"|",AR$11,"|",$M$5),IuranSYSebelumnya!$I$330:$N$772,5,FALSE),
        IF(COUNTIFS(IuranSYSebelumnya!$J$330:$J$772,$K38,IuranSYSebelumnya!$M$330:$M$772,AR$11,IuranSYSebelumnya!$L$330:$L$772,"&lt;&gt;"&amp;$M$5)&gt;0,
              "Iuran dari Lingkungan lain",
              ""))</t>
  </si>
  <si>
    <t>=IF(COUNTIFS(IuranSYSebelumnya!$J$330:$J$772,$K38,IuranSYSebelumnya!$M$330:$M$772,AS$11,IuranSYSebelumnya!$L$330:$L$772,$M$5)&gt;0,
        VLOOKUP(CONCATENATE($K38,"|",AS$11,"|",$M$5),IuranSYSebelumnya!$I$330:$N$772,5,FALSE),
        IF(COUNTIFS(IuranSYSebelumnya!$J$330:$J$772,$K38,IuranSYSebelumnya!$M$330:$M$772,AS$11,IuranSYSebelumnya!$L$330:$L$772,"&lt;&gt;"&amp;$M$5)&gt;0,
              "Iuran dari Lingkungan lain",
              ""))</t>
  </si>
  <si>
    <t>=IF(COUNTIFS(IuranSYSebelumnya!$J$330:$J$772,$K38,IuranSYSebelumnya!$M$330:$M$772,AT$11,IuranSYSebelumnya!$L$330:$L$772,$M$5)&gt;0,
        VLOOKUP(CONCATENATE($K38,"|",AT$11,"|",$M$5),IuranSYSebelumnya!$I$330:$N$772,5,FALSE),
        IF(COUNTIFS(IuranSYSebelumnya!$J$330:$J$772,$K38,IuranSYSebelumnya!$M$330:$M$772,AT$11,IuranSYSebelumnya!$L$330:$L$772,"&lt;&gt;"&amp;$M$5)&gt;0,
              "Iuran dari Lingkungan lain",
              ""))</t>
  </si>
  <si>
    <t>=IF(COUNTIFS(IuranSYSebelumnya!$J$330:$J$772,$K38,IuranSYSebelumnya!$M$330:$M$772,AU$11,IuranSYSebelumnya!$L$330:$L$772,$M$5)&gt;0,
        VLOOKUP(CONCATENATE($K38,"|",AU$11,"|",$M$5),IuranSYSebelumnya!$I$330:$N$772,5,FALSE),
        IF(COUNTIFS(IuranSYSebelumnya!$J$330:$J$772,$K38,IuranSYSebelumnya!$M$330:$M$772,AU$11,IuranSYSebelumnya!$L$330:$L$772,"&lt;&gt;"&amp;$M$5)&gt;0,
              "Iuran dari Lingkungan lain",
              ""))</t>
  </si>
  <si>
    <t>=IF(COUNTIFS(IuranSYSebelumnya!$J$330:$J$772,$K38,IuranSYSebelumnya!$M$330:$M$772,AV$11,IuranSYSebelumnya!$L$330:$L$772,$M$5)&gt;0,
        VLOOKUP(CONCATENATE($K38,"|",AV$11,"|",$M$5),IuranSYSebelumnya!$I$330:$N$772,5,FALSE),
        IF(COUNTIFS(IuranSYSebelumnya!$J$330:$J$772,$K38,IuranSYSebelumnya!$M$330:$M$772,AV$11,IuranSYSebelumnya!$L$330:$L$772,"&lt;&gt;"&amp;$M$5)&gt;0,
              "Iuran dari Lingkungan lain",
              ""))</t>
  </si>
  <si>
    <t>=IF(COUNTIFS(IuranSYSebelumnya!$J$330:$J$772,$K38,IuranSYSebelumnya!$M$330:$M$772,AW$11,IuranSYSebelumnya!$L$330:$L$772,$M$5)&gt;0,
        VLOOKUP(CONCATENATE($K38,"|",AW$11,"|",$M$5),IuranSYSebelumnya!$I$330:$N$772,5,FALSE),
        IF(COUNTIFS(IuranSYSebelumnya!$J$330:$J$772,$K38,IuranSYSebelumnya!$M$330:$M$772,AW$11,IuranSYSebelumnya!$L$330:$L$772,"&lt;&gt;"&amp;$M$5)&gt;0,
              "Iuran dari Lingkungan lain",
              ""))</t>
  </si>
  <si>
    <t>=IF(COUNTIFS(IuranSYSebelumnya!$J$330:$J$772,$K38,IuranSYSebelumnya!$M$330:$M$772,AX$11,IuranSYSebelumnya!$L$330:$L$772,$M$5)&gt;0,
        VLOOKUP(CONCATENATE($K38,"|",AX$11,"|",$M$5),IuranSYSebelumnya!$I$330:$N$772,5,FALSE),
        IF(COUNTIFS(IuranSYSebelumnya!$J$330:$J$772,$K38,IuranSYSebelumnya!$M$330:$M$772,AX$11,IuranSYSebelumnya!$L$330:$L$772,"&lt;&gt;"&amp;$M$5)&gt;0,
              "Iuran dari Lingkungan lain",
              ""))</t>
  </si>
  <si>
    <t>=IF(COUNTIFS(IuranSYSebelumnya!$J$330:$J$772,$K38,IuranSYSebelumnya!$M$330:$M$772,AY$11,IuranSYSebelumnya!$L$330:$L$772,$M$5)&gt;0,
        VLOOKUP(CONCATENATE($K38,"|",AY$11,"|",$M$5),IuranSYSebelumnya!$I$330:$N$772,5,FALSE),
        IF(COUNTIFS(IuranSYSebelumnya!$J$330:$J$772,$K38,IuranSYSebelumnya!$M$330:$M$772,AY$11,IuranSYSebelumnya!$L$330:$L$772,"&lt;&gt;"&amp;$M$5)&gt;0,
              "Iuran dari Lingkungan lain",
              ""))</t>
  </si>
  <si>
    <t>=IF(COUNTIFS(IuranSYSebelumnya!$J$330:$J$772,$K38,IuranSYSebelumnya!$M$330:$M$772,AZ$11,IuranSYSebelumnya!$L$330:$L$772,$M$5)&gt;0,
        VLOOKUP(CONCATENATE($K38,"|",AZ$11,"|",$M$5),IuranSYSebelumnya!$I$330:$N$772,5,FALSE),
        IF(COUNTIFS(IuranSYSebelumnya!$J$330:$J$772,$K38,IuranSYSebelumnya!$M$330:$M$772,AZ$11,IuranSYSebelumnya!$L$330:$L$772,"&lt;&gt;"&amp;$M$5)&gt;0,
              "Iuran dari Lingkungan lain",
              ""))</t>
  </si>
  <si>
    <t>=IF(COUNTIFS(IuranSYSebelumnya!$J$330:$J$772,$K38,IuranSYSebelumnya!$M$330:$M$772,BA$11,IuranSYSebelumnya!$L$330:$L$772,$M$5)&gt;0,
        VLOOKUP(CONCATENATE($K38,"|",BA$11,"|",$M$5),IuranSYSebelumnya!$I$330:$N$772,5,FALSE),
        IF(COUNTIFS(IuranSYSebelumnya!$J$330:$J$772,$K38,IuranSYSebelumnya!$M$330:$M$772,BA$11,IuranSYSebelumnya!$L$330:$L$772,"&lt;&gt;"&amp;$M$5)&gt;0,
              "Iuran dari Lingkungan lain",
              ""))</t>
  </si>
  <si>
    <t>=IF(COUNTIFS(IuranSYSebelumnya!$J$330:$J$772,$K38,IuranSYSebelumnya!$M$330:$M$772,BB$11,IuranSYSebelumnya!$L$330:$L$772,$M$5)&gt;0,
        VLOOKUP(CONCATENATE($K38,"|",BB$11,"|",$M$5),IuranSYSebelumnya!$I$330:$N$772,5,FALSE),
        IF(COUNTIFS(IuranSYSebelumnya!$J$330:$J$772,$K38,IuranSYSebelumnya!$M$330:$M$772,BB$11,IuranSYSebelumnya!$L$330:$L$772,"&lt;&gt;"&amp;$M$5)&gt;0,
              "Iuran dari Lingkungan lain",
              ""))</t>
  </si>
  <si>
    <t>=IF(COUNTIFS(IuranSYSebelumnya!$J$330:$J$772,$K38,IuranSYSebelumnya!$M$330:$M$772,BC$11,IuranSYSebelumnya!$L$330:$L$772,$M$5)&gt;0,
        VLOOKUP(CONCATENATE($K38,"|",BC$11,"|",$M$5),IuranSYSebelumnya!$I$330:$N$772,5,FALSE),
        IF(COUNTIFS(IuranSYSebelumnya!$J$330:$J$772,$K38,IuranSYSebelumnya!$M$330:$M$772,BC$11,IuranSYSebelumnya!$L$330:$L$772,"&lt;&gt;"&amp;$M$5)&gt;0,
              "Iuran dari Lingkungan lain",
              ""))</t>
  </si>
  <si>
    <t>=IF(COUNTIFS(IuranSYSebelumnya!$J$330:$J$772,$K38,IuranSYSebelumnya!$M$330:$M$772,BD$11,IuranSYSebelumnya!$L$330:$L$772,$M$5)&gt;0,
        VLOOKUP(CONCATENATE($K38,"|",BD$11,"|",$M$5),IuranSYSebelumnya!$I$330:$N$772,5,FALSE),
        IF(COUNTIFS(IuranSYSebelumnya!$J$330:$J$772,$K38,IuranSYSebelumnya!$M$330:$M$772,BD$11,IuranSYSebelumnya!$L$330:$L$772,"&lt;&gt;"&amp;$M$5)&gt;0,
              "Iuran dari Lingkungan lain",
              ""))</t>
  </si>
  <si>
    <t>=IF(COUNTIFS(IuranSYSebelumnya!$J$330:$J$772,$K38,IuranSYSebelumnya!$M$330:$M$772,BE$11,IuranSYSebelumnya!$L$330:$L$772,$M$5)&gt;0,
        VLOOKUP(CONCATENATE($K38,"|",BE$11,"|",$M$5),IuranSYSebelumnya!$I$330:$N$772,5,FALSE),
        IF(COUNTIFS(IuranSYSebelumnya!$J$330:$J$772,$K38,IuranSYSebelumnya!$M$330:$M$772,BE$11,IuranSYSebelumnya!$L$330:$L$772,"&lt;&gt;"&amp;$M$5)&gt;0,
              "Iuran dari Lingkungan lain",
              ""))</t>
  </si>
  <si>
    <t>=IF(COUNTIFS(IuranSYSebelumnya!$J$330:$J$772,$K38,IuranSYSebelumnya!$M$330:$M$772,BF$11,IuranSYSebelumnya!$L$330:$L$772,$M$5)&gt;0,
        VLOOKUP(CONCATENATE($K38,"|",BF$11,"|",$M$5),IuranSYSebelumnya!$I$330:$N$772,5,FALSE),
        IF(COUNTIFS(IuranSYSebelumnya!$J$330:$J$772,$K38,IuranSYSebelumnya!$M$330:$M$772,BF$11,IuranSYSebelumnya!$L$330:$L$772,"&lt;&gt;"&amp;$M$5)&gt;0,
              "Iuran dari Lingkungan lain",
              ""))</t>
  </si>
  <si>
    <t>=IF(COUNTIFS(IuranSYSebelumnya!$J$330:$J$772,$K38,IuranSYSebelumnya!$M$330:$M$772,BG$11,IuranSYSebelumnya!$L$330:$L$772,$M$5)&gt;0,
        VLOOKUP(CONCATENATE($K38,"|",BG$11,"|",$M$5),IuranSYSebelumnya!$I$330:$N$772,5,FALSE),
        IF(COUNTIFS(IuranSYSebelumnya!$J$330:$J$772,$K38,IuranSYSebelumnya!$M$330:$M$772,BG$11,IuranSYSebelumnya!$L$330:$L$772,"&lt;&gt;"&amp;$M$5)&gt;0,
              "Iuran dari Lingkungan lain",
              ""))</t>
  </si>
  <si>
    <t>=IF(COUNTIFS(IuranSYSebelumnya!$J$330:$J$772,$K38,IuranSYSebelumnya!$M$330:$M$772,BH$11,IuranSYSebelumnya!$L$330:$L$772,$M$5)&gt;0,
        VLOOKUP(CONCATENATE($K38,"|",BH$11,"|",$M$5),IuranSYSebelumnya!$I$330:$N$772,5,FALSE),
        IF(COUNTIFS(IuranSYSebelumnya!$J$330:$J$772,$K38,IuranSYSebelumnya!$M$330:$M$772,BH$11,IuranSYSebelumnya!$L$330:$L$772,"&lt;&gt;"&amp;$M$5)&gt;0,
              "Iuran dari Lingkungan lain",
              ""))</t>
  </si>
  <si>
    <t>=IF(COUNTIFS(IuranSYSebelumnya!$J$330:$J$772,$K38,IuranSYSebelumnya!$M$330:$M$772,BI$11,IuranSYSebelumnya!$L$330:$L$772,$M$5)&gt;0,
        VLOOKUP(CONCATENATE($K38,"|",BI$11,"|",$M$5),IuranSYSebelumnya!$I$330:$N$772,5,FALSE),
        IF(COUNTIFS(IuranSYSebelumnya!$J$330:$J$772,$K38,IuranSYSebelumnya!$M$330:$M$772,BI$11,IuranSYSebelumnya!$L$330:$L$772,"&lt;&gt;"&amp;$M$5)&gt;0,
              "Iuran dari Lingkungan lain",
              ""))</t>
  </si>
  <si>
    <t>=IF(COUNTIFS(IuranSYSebelumnya!$J$330:$J$772,$K38,IuranSYSebelumnya!$M$330:$M$772,BJ$11,IuranSYSebelumnya!$L$330:$L$772,$M$5)&gt;0,
        VLOOKUP(CONCATENATE($K38,"|",BJ$11,"|",$M$5),IuranSYSebelumnya!$I$330:$N$772,5,FALSE),
        IF(COUNTIFS(IuranSYSebelumnya!$J$330:$J$772,$K38,IuranSYSebelumnya!$M$330:$M$772,BJ$11,IuranSYSebelumnya!$L$330:$L$772,"&lt;&gt;"&amp;$M$5)&gt;0,
              "Iuran dari Lingkungan lain",
              ""))</t>
  </si>
  <si>
    <t>=IF(COUNTIFS(IuranSYSebelumnya!$J$330:$J$772,$K38,IuranSYSebelumnya!$M$330:$M$772,BK$11,IuranSYSebelumnya!$L$330:$L$772,$M$5)&gt;0,
        VLOOKUP(CONCATENATE($K38,"|",BK$11,"|",$M$5),IuranSYSebelumnya!$I$330:$N$772,5,FALSE),
        IF(COUNTIFS(IuranSYSebelumnya!$J$330:$J$772,$K38,IuranSYSebelumnya!$M$330:$M$772,BK$11,IuranSYSebelumnya!$L$330:$L$772,"&lt;&gt;"&amp;$M$5)&gt;0,
              "Iuran dari Lingkungan lain",
              ""))</t>
  </si>
  <si>
    <t>=IF(COUNTIFS(IuranSYSebelumnya!$J$330:$J$772,$K38,IuranSYSebelumnya!$M$330:$M$772,BL$11,IuranSYSebelumnya!$L$330:$L$772,$M$5)&gt;0,
        VLOOKUP(CONCATENATE($K38,"|",BL$11,"|",$M$5),IuranSYSebelumnya!$I$330:$N$772,5,FALSE),
        IF(COUNTIFS(IuranSYSebelumnya!$J$330:$J$772,$K38,IuranSYSebelumnya!$M$330:$M$772,BL$11,IuranSYSebelumnya!$L$330:$L$772,"&lt;&gt;"&amp;$M$5)&gt;0,
              "Iuran dari Lingkungan lain",
              ""))</t>
  </si>
  <si>
    <t>=IF(COUNTIFS(IuranSYSebelumnya!$J$330:$J$772,$K39,IuranSYSebelumnya!$M$330:$M$772,AO$11,IuranSYSebelumnya!$L$330:$L$772,$M$5)&gt;0,
        VLOOKUP(CONCATENATE($K39,"|",AO$11,"|",$M$5),IuranSYSebelumnya!$I$330:$N$772,5,FALSE),
        IF(COUNTIFS(IuranSYSebelumnya!$J$330:$J$772,$K39,IuranSYSebelumnya!$M$330:$M$772,AO$11,IuranSYSebelumnya!$L$330:$L$772,"&lt;&gt;"&amp;$M$5)&gt;0,
              "Iuran dari Lingkungan lain",
              ""))</t>
  </si>
  <si>
    <t>=IF(COUNTIFS(IuranSYSebelumnya!$J$330:$J$772,$K39,IuranSYSebelumnya!$M$330:$M$772,AP$11,IuranSYSebelumnya!$L$330:$L$772,$M$5)&gt;0,
        VLOOKUP(CONCATENATE($K39,"|",AP$11,"|",$M$5),IuranSYSebelumnya!$I$330:$N$772,5,FALSE),
        IF(COUNTIFS(IuranSYSebelumnya!$J$330:$J$772,$K39,IuranSYSebelumnya!$M$330:$M$772,AP$11,IuranSYSebelumnya!$L$330:$L$772,"&lt;&gt;"&amp;$M$5)&gt;0,
              "Iuran dari Lingkungan lain",
              ""))</t>
  </si>
  <si>
    <t>=IF(COUNTIFS(IuranSYSebelumnya!$J$330:$J$772,$K39,IuranSYSebelumnya!$M$330:$M$772,AQ$11,IuranSYSebelumnya!$L$330:$L$772,$M$5)&gt;0,
        VLOOKUP(CONCATENATE($K39,"|",AQ$11,"|",$M$5),IuranSYSebelumnya!$I$330:$N$772,5,FALSE),
        IF(COUNTIFS(IuranSYSebelumnya!$J$330:$J$772,$K39,IuranSYSebelumnya!$M$330:$M$772,AQ$11,IuranSYSebelumnya!$L$330:$L$772,"&lt;&gt;"&amp;$M$5)&gt;0,
              "Iuran dari Lingkungan lain",
              ""))</t>
  </si>
  <si>
    <t>=IF(COUNTIFS(IuranSYSebelumnya!$J$330:$J$772,$K39,IuranSYSebelumnya!$M$330:$M$772,AR$11,IuranSYSebelumnya!$L$330:$L$772,$M$5)&gt;0,
        VLOOKUP(CONCATENATE($K39,"|",AR$11,"|",$M$5),IuranSYSebelumnya!$I$330:$N$772,5,FALSE),
        IF(COUNTIFS(IuranSYSebelumnya!$J$330:$J$772,$K39,IuranSYSebelumnya!$M$330:$M$772,AR$11,IuranSYSebelumnya!$L$330:$L$772,"&lt;&gt;"&amp;$M$5)&gt;0,
              "Iuran dari Lingkungan lain",
              ""))</t>
  </si>
  <si>
    <t>=IF(COUNTIFS(IuranSYSebelumnya!$J$330:$J$772,$K39,IuranSYSebelumnya!$M$330:$M$772,AS$11,IuranSYSebelumnya!$L$330:$L$772,$M$5)&gt;0,
        VLOOKUP(CONCATENATE($K39,"|",AS$11,"|",$M$5),IuranSYSebelumnya!$I$330:$N$772,5,FALSE),
        IF(COUNTIFS(IuranSYSebelumnya!$J$330:$J$772,$K39,IuranSYSebelumnya!$M$330:$M$772,AS$11,IuranSYSebelumnya!$L$330:$L$772,"&lt;&gt;"&amp;$M$5)&gt;0,
              "Iuran dari Lingkungan lain",
              ""))</t>
  </si>
  <si>
    <t>=IF(COUNTIFS(IuranSYSebelumnya!$J$330:$J$772,$K39,IuranSYSebelumnya!$M$330:$M$772,AT$11,IuranSYSebelumnya!$L$330:$L$772,$M$5)&gt;0,
        VLOOKUP(CONCATENATE($K39,"|",AT$11,"|",$M$5),IuranSYSebelumnya!$I$330:$N$772,5,FALSE),
        IF(COUNTIFS(IuranSYSebelumnya!$J$330:$J$772,$K39,IuranSYSebelumnya!$M$330:$M$772,AT$11,IuranSYSebelumnya!$L$330:$L$772,"&lt;&gt;"&amp;$M$5)&gt;0,
              "Iuran dari Lingkungan lain",
              ""))</t>
  </si>
  <si>
    <t>=IF(COUNTIFS(IuranSYSebelumnya!$J$330:$J$772,$K39,IuranSYSebelumnya!$M$330:$M$772,AU$11,IuranSYSebelumnya!$L$330:$L$772,$M$5)&gt;0,
        VLOOKUP(CONCATENATE($K39,"|",AU$11,"|",$M$5),IuranSYSebelumnya!$I$330:$N$772,5,FALSE),
        IF(COUNTIFS(IuranSYSebelumnya!$J$330:$J$772,$K39,IuranSYSebelumnya!$M$330:$M$772,AU$11,IuranSYSebelumnya!$L$330:$L$772,"&lt;&gt;"&amp;$M$5)&gt;0,
              "Iuran dari Lingkungan lain",
              ""))</t>
  </si>
  <si>
    <t>=IF(COUNTIFS(IuranSYSebelumnya!$J$330:$J$772,$K39,IuranSYSebelumnya!$M$330:$M$772,AV$11,IuranSYSebelumnya!$L$330:$L$772,$M$5)&gt;0,
        VLOOKUP(CONCATENATE($K39,"|",AV$11,"|",$M$5),IuranSYSebelumnya!$I$330:$N$772,5,FALSE),
        IF(COUNTIFS(IuranSYSebelumnya!$J$330:$J$772,$K39,IuranSYSebelumnya!$M$330:$M$772,AV$11,IuranSYSebelumnya!$L$330:$L$772,"&lt;&gt;"&amp;$M$5)&gt;0,
              "Iuran dari Lingkungan lain",
              ""))</t>
  </si>
  <si>
    <t>=IF(COUNTIFS(IuranSYSebelumnya!$J$330:$J$772,$K39,IuranSYSebelumnya!$M$330:$M$772,AW$11,IuranSYSebelumnya!$L$330:$L$772,$M$5)&gt;0,
        VLOOKUP(CONCATENATE($K39,"|",AW$11,"|",$M$5),IuranSYSebelumnya!$I$330:$N$772,5,FALSE),
        IF(COUNTIFS(IuranSYSebelumnya!$J$330:$J$772,$K39,IuranSYSebelumnya!$M$330:$M$772,AW$11,IuranSYSebelumnya!$L$330:$L$772,"&lt;&gt;"&amp;$M$5)&gt;0,
              "Iuran dari Lingkungan lain",
              ""))</t>
  </si>
  <si>
    <t>=IF(COUNTIFS(IuranSYSebelumnya!$J$330:$J$772,$K39,IuranSYSebelumnya!$M$330:$M$772,AX$11,IuranSYSebelumnya!$L$330:$L$772,$M$5)&gt;0,
        VLOOKUP(CONCATENATE($K39,"|",AX$11,"|",$M$5),IuranSYSebelumnya!$I$330:$N$772,5,FALSE),
        IF(COUNTIFS(IuranSYSebelumnya!$J$330:$J$772,$K39,IuranSYSebelumnya!$M$330:$M$772,AX$11,IuranSYSebelumnya!$L$330:$L$772,"&lt;&gt;"&amp;$M$5)&gt;0,
              "Iuran dari Lingkungan lain",
              ""))</t>
  </si>
  <si>
    <t>=IF(COUNTIFS(IuranSYSebelumnya!$J$330:$J$772,$K39,IuranSYSebelumnya!$M$330:$M$772,AY$11,IuranSYSebelumnya!$L$330:$L$772,$M$5)&gt;0,
        VLOOKUP(CONCATENATE($K39,"|",AY$11,"|",$M$5),IuranSYSebelumnya!$I$330:$N$772,5,FALSE),
        IF(COUNTIFS(IuranSYSebelumnya!$J$330:$J$772,$K39,IuranSYSebelumnya!$M$330:$M$772,AY$11,IuranSYSebelumnya!$L$330:$L$772,"&lt;&gt;"&amp;$M$5)&gt;0,
              "Iuran dari Lingkungan lain",
              ""))</t>
  </si>
  <si>
    <t>=IF(COUNTIFS(IuranSYSebelumnya!$J$330:$J$772,$K39,IuranSYSebelumnya!$M$330:$M$772,AZ$11,IuranSYSebelumnya!$L$330:$L$772,$M$5)&gt;0,
        VLOOKUP(CONCATENATE($K39,"|",AZ$11,"|",$M$5),IuranSYSebelumnya!$I$330:$N$772,5,FALSE),
        IF(COUNTIFS(IuranSYSebelumnya!$J$330:$J$772,$K39,IuranSYSebelumnya!$M$330:$M$772,AZ$11,IuranSYSebelumnya!$L$330:$L$772,"&lt;&gt;"&amp;$M$5)&gt;0,
              "Iuran dari Lingkungan lain",
              ""))</t>
  </si>
  <si>
    <t>=IF(COUNTIFS(IuranSYSebelumnya!$J$330:$J$772,$K39,IuranSYSebelumnya!$M$330:$M$772,BA$11,IuranSYSebelumnya!$L$330:$L$772,$M$5)&gt;0,
        VLOOKUP(CONCATENATE($K39,"|",BA$11,"|",$M$5),IuranSYSebelumnya!$I$330:$N$772,5,FALSE),
        IF(COUNTIFS(IuranSYSebelumnya!$J$330:$J$772,$K39,IuranSYSebelumnya!$M$330:$M$772,BA$11,IuranSYSebelumnya!$L$330:$L$772,"&lt;&gt;"&amp;$M$5)&gt;0,
              "Iuran dari Lingkungan lain",
              ""))</t>
  </si>
  <si>
    <t>=IF(COUNTIFS(IuranSYSebelumnya!$J$330:$J$772,$K39,IuranSYSebelumnya!$M$330:$M$772,BB$11,IuranSYSebelumnya!$L$330:$L$772,$M$5)&gt;0,
        VLOOKUP(CONCATENATE($K39,"|",BB$11,"|",$M$5),IuranSYSebelumnya!$I$330:$N$772,5,FALSE),
        IF(COUNTIFS(IuranSYSebelumnya!$J$330:$J$772,$K39,IuranSYSebelumnya!$M$330:$M$772,BB$11,IuranSYSebelumnya!$L$330:$L$772,"&lt;&gt;"&amp;$M$5)&gt;0,
              "Iuran dari Lingkungan lain",
              ""))</t>
  </si>
  <si>
    <t>=IF(COUNTIFS(IuranSYSebelumnya!$J$330:$J$772,$K39,IuranSYSebelumnya!$M$330:$M$772,BC$11,IuranSYSebelumnya!$L$330:$L$772,$M$5)&gt;0,
        VLOOKUP(CONCATENATE($K39,"|",BC$11,"|",$M$5),IuranSYSebelumnya!$I$330:$N$772,5,FALSE),
        IF(COUNTIFS(IuranSYSebelumnya!$J$330:$J$772,$K39,IuranSYSebelumnya!$M$330:$M$772,BC$11,IuranSYSebelumnya!$L$330:$L$772,"&lt;&gt;"&amp;$M$5)&gt;0,
              "Iuran dari Lingkungan lain",
              ""))</t>
  </si>
  <si>
    <t>=IF(COUNTIFS(IuranSYSebelumnya!$J$330:$J$772,$K39,IuranSYSebelumnya!$M$330:$M$772,BD$11,IuranSYSebelumnya!$L$330:$L$772,$M$5)&gt;0,
        VLOOKUP(CONCATENATE($K39,"|",BD$11,"|",$M$5),IuranSYSebelumnya!$I$330:$N$772,5,FALSE),
        IF(COUNTIFS(IuranSYSebelumnya!$J$330:$J$772,$K39,IuranSYSebelumnya!$M$330:$M$772,BD$11,IuranSYSebelumnya!$L$330:$L$772,"&lt;&gt;"&amp;$M$5)&gt;0,
              "Iuran dari Lingkungan lain",
              ""))</t>
  </si>
  <si>
    <t>=IF(COUNTIFS(IuranSYSebelumnya!$J$330:$J$772,$K39,IuranSYSebelumnya!$M$330:$M$772,BE$11,IuranSYSebelumnya!$L$330:$L$772,$M$5)&gt;0,
        VLOOKUP(CONCATENATE($K39,"|",BE$11,"|",$M$5),IuranSYSebelumnya!$I$330:$N$772,5,FALSE),
        IF(COUNTIFS(IuranSYSebelumnya!$J$330:$J$772,$K39,IuranSYSebelumnya!$M$330:$M$772,BE$11,IuranSYSebelumnya!$L$330:$L$772,"&lt;&gt;"&amp;$M$5)&gt;0,
              "Iuran dari Lingkungan lain",
              ""))</t>
  </si>
  <si>
    <t>=IF(COUNTIFS(IuranSYSebelumnya!$J$330:$J$772,$K39,IuranSYSebelumnya!$M$330:$M$772,BF$11,IuranSYSebelumnya!$L$330:$L$772,$M$5)&gt;0,
        VLOOKUP(CONCATENATE($K39,"|",BF$11,"|",$M$5),IuranSYSebelumnya!$I$330:$N$772,5,FALSE),
        IF(COUNTIFS(IuranSYSebelumnya!$J$330:$J$772,$K39,IuranSYSebelumnya!$M$330:$M$772,BF$11,IuranSYSebelumnya!$L$330:$L$772,"&lt;&gt;"&amp;$M$5)&gt;0,
              "Iuran dari Lingkungan lain",
              ""))</t>
  </si>
  <si>
    <t>=IF(COUNTIFS(IuranSYSebelumnya!$J$330:$J$772,$K39,IuranSYSebelumnya!$M$330:$M$772,BG$11,IuranSYSebelumnya!$L$330:$L$772,$M$5)&gt;0,
        VLOOKUP(CONCATENATE($K39,"|",BG$11,"|",$M$5),IuranSYSebelumnya!$I$330:$N$772,5,FALSE),
        IF(COUNTIFS(IuranSYSebelumnya!$J$330:$J$772,$K39,IuranSYSebelumnya!$M$330:$M$772,BG$11,IuranSYSebelumnya!$L$330:$L$772,"&lt;&gt;"&amp;$M$5)&gt;0,
              "Iuran dari Lingkungan lain",
              ""))</t>
  </si>
  <si>
    <t>=IF(COUNTIFS(IuranSYSebelumnya!$J$330:$J$772,$K39,IuranSYSebelumnya!$M$330:$M$772,BH$11,IuranSYSebelumnya!$L$330:$L$772,$M$5)&gt;0,
        VLOOKUP(CONCATENATE($K39,"|",BH$11,"|",$M$5),IuranSYSebelumnya!$I$330:$N$772,5,FALSE),
        IF(COUNTIFS(IuranSYSebelumnya!$J$330:$J$772,$K39,IuranSYSebelumnya!$M$330:$M$772,BH$11,IuranSYSebelumnya!$L$330:$L$772,"&lt;&gt;"&amp;$M$5)&gt;0,
              "Iuran dari Lingkungan lain",
              ""))</t>
  </si>
  <si>
    <t>=IF(COUNTIFS(IuranSYSebelumnya!$J$330:$J$772,$K39,IuranSYSebelumnya!$M$330:$M$772,BI$11,IuranSYSebelumnya!$L$330:$L$772,$M$5)&gt;0,
        VLOOKUP(CONCATENATE($K39,"|",BI$11,"|",$M$5),IuranSYSebelumnya!$I$330:$N$772,5,FALSE),
        IF(COUNTIFS(IuranSYSebelumnya!$J$330:$J$772,$K39,IuranSYSebelumnya!$M$330:$M$772,BI$11,IuranSYSebelumnya!$L$330:$L$772,"&lt;&gt;"&amp;$M$5)&gt;0,
              "Iuran dari Lingkungan lain",
              ""))</t>
  </si>
  <si>
    <t>=IF(COUNTIFS(IuranSYSebelumnya!$J$330:$J$772,$K39,IuranSYSebelumnya!$M$330:$M$772,BJ$11,IuranSYSebelumnya!$L$330:$L$772,$M$5)&gt;0,
        VLOOKUP(CONCATENATE($K39,"|",BJ$11,"|",$M$5),IuranSYSebelumnya!$I$330:$N$772,5,FALSE),
        IF(COUNTIFS(IuranSYSebelumnya!$J$330:$J$772,$K39,IuranSYSebelumnya!$M$330:$M$772,BJ$11,IuranSYSebelumnya!$L$330:$L$772,"&lt;&gt;"&amp;$M$5)&gt;0,
              "Iuran dari Lingkungan lain",
              ""))</t>
  </si>
  <si>
    <t>=IF(COUNTIFS(IuranSYSebelumnya!$J$330:$J$772,$K39,IuranSYSebelumnya!$M$330:$M$772,BK$11,IuranSYSebelumnya!$L$330:$L$772,$M$5)&gt;0,
        VLOOKUP(CONCATENATE($K39,"|",BK$11,"|",$M$5),IuranSYSebelumnya!$I$330:$N$772,5,FALSE),
        IF(COUNTIFS(IuranSYSebelumnya!$J$330:$J$772,$K39,IuranSYSebelumnya!$M$330:$M$772,BK$11,IuranSYSebelumnya!$L$330:$L$772,"&lt;&gt;"&amp;$M$5)&gt;0,
              "Iuran dari Lingkungan lain",
              ""))</t>
  </si>
  <si>
    <t>=IF(COUNTIFS(IuranSYSebelumnya!$J$330:$J$772,$K39,IuranSYSebelumnya!$M$330:$M$772,BL$11,IuranSYSebelumnya!$L$330:$L$772,$M$5)&gt;0,
        VLOOKUP(CONCATENATE($K39,"|",BL$11,"|",$M$5),IuranSYSebelumnya!$I$330:$N$772,5,FALSE),
        IF(COUNTIFS(IuranSYSebelumnya!$J$330:$J$772,$K39,IuranSYSebelumnya!$M$330:$M$772,BL$11,IuranSYSebelumnya!$L$330:$L$772,"&lt;&gt;"&amp;$M$5)&gt;0,
              "Iuran dari Lingkungan lain",
              ""))</t>
  </si>
  <si>
    <t>=IF(COUNTIFS(IuranSYSebelumnya!$J$330:$J$772,$K40,IuranSYSebelumnya!$M$330:$M$772,AO$11,IuranSYSebelumnya!$L$330:$L$772,$M$5)&gt;0,
        VLOOKUP(CONCATENATE($K40,"|",AO$11,"|",$M$5),IuranSYSebelumnya!$I$330:$N$772,5,FALSE),
        IF(COUNTIFS(IuranSYSebelumnya!$J$330:$J$772,$K40,IuranSYSebelumnya!$M$330:$M$772,AO$11,IuranSYSebelumnya!$L$330:$L$772,"&lt;&gt;"&amp;$M$5)&gt;0,
              "Iuran dari Lingkungan lain",
              ""))</t>
  </si>
  <si>
    <t>=IF(COUNTIFS(IuranSYSebelumnya!$J$330:$J$772,$K40,IuranSYSebelumnya!$M$330:$M$772,AP$11,IuranSYSebelumnya!$L$330:$L$772,$M$5)&gt;0,
        VLOOKUP(CONCATENATE($K40,"|",AP$11,"|",$M$5),IuranSYSebelumnya!$I$330:$N$772,5,FALSE),
        IF(COUNTIFS(IuranSYSebelumnya!$J$330:$J$772,$K40,IuranSYSebelumnya!$M$330:$M$772,AP$11,IuranSYSebelumnya!$L$330:$L$772,"&lt;&gt;"&amp;$M$5)&gt;0,
              "Iuran dari Lingkungan lain",
              ""))</t>
  </si>
  <si>
    <t>=IF(COUNTIFS(IuranSYSebelumnya!$J$330:$J$772,$K40,IuranSYSebelumnya!$M$330:$M$772,AQ$11,IuranSYSebelumnya!$L$330:$L$772,$M$5)&gt;0,
        VLOOKUP(CONCATENATE($K40,"|",AQ$11,"|",$M$5),IuranSYSebelumnya!$I$330:$N$772,5,FALSE),
        IF(COUNTIFS(IuranSYSebelumnya!$J$330:$J$772,$K40,IuranSYSebelumnya!$M$330:$M$772,AQ$11,IuranSYSebelumnya!$L$330:$L$772,"&lt;&gt;"&amp;$M$5)&gt;0,
              "Iuran dari Lingkungan lain",
              ""))</t>
  </si>
  <si>
    <t>=IF(COUNTIFS(IuranSYSebelumnya!$J$330:$J$772,$K40,IuranSYSebelumnya!$M$330:$M$772,AR$11,IuranSYSebelumnya!$L$330:$L$772,$M$5)&gt;0,
        VLOOKUP(CONCATENATE($K40,"|",AR$11,"|",$M$5),IuranSYSebelumnya!$I$330:$N$772,5,FALSE),
        IF(COUNTIFS(IuranSYSebelumnya!$J$330:$J$772,$K40,IuranSYSebelumnya!$M$330:$M$772,AR$11,IuranSYSebelumnya!$L$330:$L$772,"&lt;&gt;"&amp;$M$5)&gt;0,
              "Iuran dari Lingkungan lain",
              ""))</t>
  </si>
  <si>
    <t>=IF(COUNTIFS(IuranSYSebelumnya!$J$330:$J$772,$K40,IuranSYSebelumnya!$M$330:$M$772,AS$11,IuranSYSebelumnya!$L$330:$L$772,$M$5)&gt;0,
        VLOOKUP(CONCATENATE($K40,"|",AS$11,"|",$M$5),IuranSYSebelumnya!$I$330:$N$772,5,FALSE),
        IF(COUNTIFS(IuranSYSebelumnya!$J$330:$J$772,$K40,IuranSYSebelumnya!$M$330:$M$772,AS$11,IuranSYSebelumnya!$L$330:$L$772,"&lt;&gt;"&amp;$M$5)&gt;0,
              "Iuran dari Lingkungan lain",
              ""))</t>
  </si>
  <si>
    <t>=IF(COUNTIFS(IuranSYSebelumnya!$J$330:$J$772,$K40,IuranSYSebelumnya!$M$330:$M$772,AT$11,IuranSYSebelumnya!$L$330:$L$772,$M$5)&gt;0,
        VLOOKUP(CONCATENATE($K40,"|",AT$11,"|",$M$5),IuranSYSebelumnya!$I$330:$N$772,5,FALSE),
        IF(COUNTIFS(IuranSYSebelumnya!$J$330:$J$772,$K40,IuranSYSebelumnya!$M$330:$M$772,AT$11,IuranSYSebelumnya!$L$330:$L$772,"&lt;&gt;"&amp;$M$5)&gt;0,
              "Iuran dari Lingkungan lain",
              ""))</t>
  </si>
  <si>
    <t>=IF(COUNTIFS(IuranSYSebelumnya!$J$330:$J$772,$K40,IuranSYSebelumnya!$M$330:$M$772,AU$11,IuranSYSebelumnya!$L$330:$L$772,$M$5)&gt;0,
        VLOOKUP(CONCATENATE($K40,"|",AU$11,"|",$M$5),IuranSYSebelumnya!$I$330:$N$772,5,FALSE),
        IF(COUNTIFS(IuranSYSebelumnya!$J$330:$J$772,$K40,IuranSYSebelumnya!$M$330:$M$772,AU$11,IuranSYSebelumnya!$L$330:$L$772,"&lt;&gt;"&amp;$M$5)&gt;0,
              "Iuran dari Lingkungan lain",
              ""))</t>
  </si>
  <si>
    <t>=IF(COUNTIFS(IuranSYSebelumnya!$J$330:$J$772,$K40,IuranSYSebelumnya!$M$330:$M$772,AV$11,IuranSYSebelumnya!$L$330:$L$772,$M$5)&gt;0,
        VLOOKUP(CONCATENATE($K40,"|",AV$11,"|",$M$5),IuranSYSebelumnya!$I$330:$N$772,5,FALSE),
        IF(COUNTIFS(IuranSYSebelumnya!$J$330:$J$772,$K40,IuranSYSebelumnya!$M$330:$M$772,AV$11,IuranSYSebelumnya!$L$330:$L$772,"&lt;&gt;"&amp;$M$5)&gt;0,
              "Iuran dari Lingkungan lain",
              ""))</t>
  </si>
  <si>
    <t>=IF(COUNTIFS(IuranSYSebelumnya!$J$330:$J$772,$K40,IuranSYSebelumnya!$M$330:$M$772,AW$11,IuranSYSebelumnya!$L$330:$L$772,$M$5)&gt;0,
        VLOOKUP(CONCATENATE($K40,"|",AW$11,"|",$M$5),IuranSYSebelumnya!$I$330:$N$772,5,FALSE),
        IF(COUNTIFS(IuranSYSebelumnya!$J$330:$J$772,$K40,IuranSYSebelumnya!$M$330:$M$772,AW$11,IuranSYSebelumnya!$L$330:$L$772,"&lt;&gt;"&amp;$M$5)&gt;0,
              "Iuran dari Lingkungan lain",
              ""))</t>
  </si>
  <si>
    <t>=IF(COUNTIFS(IuranSYSebelumnya!$J$330:$J$772,$K40,IuranSYSebelumnya!$M$330:$M$772,AX$11,IuranSYSebelumnya!$L$330:$L$772,$M$5)&gt;0,
        VLOOKUP(CONCATENATE($K40,"|",AX$11,"|",$M$5),IuranSYSebelumnya!$I$330:$N$772,5,FALSE),
        IF(COUNTIFS(IuranSYSebelumnya!$J$330:$J$772,$K40,IuranSYSebelumnya!$M$330:$M$772,AX$11,IuranSYSebelumnya!$L$330:$L$772,"&lt;&gt;"&amp;$M$5)&gt;0,
              "Iuran dari Lingkungan lain",
              ""))</t>
  </si>
  <si>
    <t>=IF(COUNTIFS(IuranSYSebelumnya!$J$330:$J$772,$K40,IuranSYSebelumnya!$M$330:$M$772,AY$11,IuranSYSebelumnya!$L$330:$L$772,$M$5)&gt;0,
        VLOOKUP(CONCATENATE($K40,"|",AY$11,"|",$M$5),IuranSYSebelumnya!$I$330:$N$772,5,FALSE),
        IF(COUNTIFS(IuranSYSebelumnya!$J$330:$J$772,$K40,IuranSYSebelumnya!$M$330:$M$772,AY$11,IuranSYSebelumnya!$L$330:$L$772,"&lt;&gt;"&amp;$M$5)&gt;0,
              "Iuran dari Lingkungan lain",
              ""))</t>
  </si>
  <si>
    <t>=IF(COUNTIFS(IuranSYSebelumnya!$J$330:$J$772,$K40,IuranSYSebelumnya!$M$330:$M$772,AZ$11,IuranSYSebelumnya!$L$330:$L$772,$M$5)&gt;0,
        VLOOKUP(CONCATENATE($K40,"|",AZ$11,"|",$M$5),IuranSYSebelumnya!$I$330:$N$772,5,FALSE),
        IF(COUNTIFS(IuranSYSebelumnya!$J$330:$J$772,$K40,IuranSYSebelumnya!$M$330:$M$772,AZ$11,IuranSYSebelumnya!$L$330:$L$772,"&lt;&gt;"&amp;$M$5)&gt;0,
              "Iuran dari Lingkungan lain",
              ""))</t>
  </si>
  <si>
    <t>=IF(COUNTIFS(IuranSYSebelumnya!$J$330:$J$772,$K40,IuranSYSebelumnya!$M$330:$M$772,BA$11,IuranSYSebelumnya!$L$330:$L$772,$M$5)&gt;0,
        VLOOKUP(CONCATENATE($K40,"|",BA$11,"|",$M$5),IuranSYSebelumnya!$I$330:$N$772,5,FALSE),
        IF(COUNTIFS(IuranSYSebelumnya!$J$330:$J$772,$K40,IuranSYSebelumnya!$M$330:$M$772,BA$11,IuranSYSebelumnya!$L$330:$L$772,"&lt;&gt;"&amp;$M$5)&gt;0,
              "Iuran dari Lingkungan lain",
              ""))</t>
  </si>
  <si>
    <t>=IF(COUNTIFS(IuranSYSebelumnya!$J$330:$J$772,$K40,IuranSYSebelumnya!$M$330:$M$772,BB$11,IuranSYSebelumnya!$L$330:$L$772,$M$5)&gt;0,
        VLOOKUP(CONCATENATE($K40,"|",BB$11,"|",$M$5),IuranSYSebelumnya!$I$330:$N$772,5,FALSE),
        IF(COUNTIFS(IuranSYSebelumnya!$J$330:$J$772,$K40,IuranSYSebelumnya!$M$330:$M$772,BB$11,IuranSYSebelumnya!$L$330:$L$772,"&lt;&gt;"&amp;$M$5)&gt;0,
              "Iuran dari Lingkungan lain",
              ""))</t>
  </si>
  <si>
    <t>=IF(COUNTIFS(IuranSYSebelumnya!$J$330:$J$772,$K40,IuranSYSebelumnya!$M$330:$M$772,BC$11,IuranSYSebelumnya!$L$330:$L$772,$M$5)&gt;0,
        VLOOKUP(CONCATENATE($K40,"|",BC$11,"|",$M$5),IuranSYSebelumnya!$I$330:$N$772,5,FALSE),
        IF(COUNTIFS(IuranSYSebelumnya!$J$330:$J$772,$K40,IuranSYSebelumnya!$M$330:$M$772,BC$11,IuranSYSebelumnya!$L$330:$L$772,"&lt;&gt;"&amp;$M$5)&gt;0,
              "Iuran dari Lingkungan lain",
              ""))</t>
  </si>
  <si>
    <t>=IF(COUNTIFS(IuranSYSebelumnya!$J$330:$J$772,$K40,IuranSYSebelumnya!$M$330:$M$772,BD$11,IuranSYSebelumnya!$L$330:$L$772,$M$5)&gt;0,
        VLOOKUP(CONCATENATE($K40,"|",BD$11,"|",$M$5),IuranSYSebelumnya!$I$330:$N$772,5,FALSE),
        IF(COUNTIFS(IuranSYSebelumnya!$J$330:$J$772,$K40,IuranSYSebelumnya!$M$330:$M$772,BD$11,IuranSYSebelumnya!$L$330:$L$772,"&lt;&gt;"&amp;$M$5)&gt;0,
              "Iuran dari Lingkungan lain",
              ""))</t>
  </si>
  <si>
    <t>=IF(COUNTIFS(IuranSYSebelumnya!$J$330:$J$772,$K40,IuranSYSebelumnya!$M$330:$M$772,BE$11,IuranSYSebelumnya!$L$330:$L$772,$M$5)&gt;0,
        VLOOKUP(CONCATENATE($K40,"|",BE$11,"|",$M$5),IuranSYSebelumnya!$I$330:$N$772,5,FALSE),
        IF(COUNTIFS(IuranSYSebelumnya!$J$330:$J$772,$K40,IuranSYSebelumnya!$M$330:$M$772,BE$11,IuranSYSebelumnya!$L$330:$L$772,"&lt;&gt;"&amp;$M$5)&gt;0,
              "Iuran dari Lingkungan lain",
              ""))</t>
  </si>
  <si>
    <t>=IF(COUNTIFS(IuranSYSebelumnya!$J$330:$J$772,$K40,IuranSYSebelumnya!$M$330:$M$772,BF$11,IuranSYSebelumnya!$L$330:$L$772,$M$5)&gt;0,
        VLOOKUP(CONCATENATE($K40,"|",BF$11,"|",$M$5),IuranSYSebelumnya!$I$330:$N$772,5,FALSE),
        IF(COUNTIFS(IuranSYSebelumnya!$J$330:$J$772,$K40,IuranSYSebelumnya!$M$330:$M$772,BF$11,IuranSYSebelumnya!$L$330:$L$772,"&lt;&gt;"&amp;$M$5)&gt;0,
              "Iuran dari Lingkungan lain",
              ""))</t>
  </si>
  <si>
    <t>=IF(COUNTIFS(IuranSYSebelumnya!$J$330:$J$772,$K40,IuranSYSebelumnya!$M$330:$M$772,BG$11,IuranSYSebelumnya!$L$330:$L$772,$M$5)&gt;0,
        VLOOKUP(CONCATENATE($K40,"|",BG$11,"|",$M$5),IuranSYSebelumnya!$I$330:$N$772,5,FALSE),
        IF(COUNTIFS(IuranSYSebelumnya!$J$330:$J$772,$K40,IuranSYSebelumnya!$M$330:$M$772,BG$11,IuranSYSebelumnya!$L$330:$L$772,"&lt;&gt;"&amp;$M$5)&gt;0,
              "Iuran dari Lingkungan lain",
              ""))</t>
  </si>
  <si>
    <t>=IF(COUNTIFS(IuranSYSebelumnya!$J$330:$J$772,$K40,IuranSYSebelumnya!$M$330:$M$772,BH$11,IuranSYSebelumnya!$L$330:$L$772,$M$5)&gt;0,
        VLOOKUP(CONCATENATE($K40,"|",BH$11,"|",$M$5),IuranSYSebelumnya!$I$330:$N$772,5,FALSE),
        IF(COUNTIFS(IuranSYSebelumnya!$J$330:$J$772,$K40,IuranSYSebelumnya!$M$330:$M$772,BH$11,IuranSYSebelumnya!$L$330:$L$772,"&lt;&gt;"&amp;$M$5)&gt;0,
              "Iuran dari Lingkungan lain",
              ""))</t>
  </si>
  <si>
    <t>=IF(COUNTIFS(IuranSYSebelumnya!$J$330:$J$772,$K40,IuranSYSebelumnya!$M$330:$M$772,BI$11,IuranSYSebelumnya!$L$330:$L$772,$M$5)&gt;0,
        VLOOKUP(CONCATENATE($K40,"|",BI$11,"|",$M$5),IuranSYSebelumnya!$I$330:$N$772,5,FALSE),
        IF(COUNTIFS(IuranSYSebelumnya!$J$330:$J$772,$K40,IuranSYSebelumnya!$M$330:$M$772,BI$11,IuranSYSebelumnya!$L$330:$L$772,"&lt;&gt;"&amp;$M$5)&gt;0,
              "Iuran dari Lingkungan lain",
              ""))</t>
  </si>
  <si>
    <t>=IF(COUNTIFS(IuranSYSebelumnya!$J$330:$J$772,$K40,IuranSYSebelumnya!$M$330:$M$772,BJ$11,IuranSYSebelumnya!$L$330:$L$772,$M$5)&gt;0,
        VLOOKUP(CONCATENATE($K40,"|",BJ$11,"|",$M$5),IuranSYSebelumnya!$I$330:$N$772,5,FALSE),
        IF(COUNTIFS(IuranSYSebelumnya!$J$330:$J$772,$K40,IuranSYSebelumnya!$M$330:$M$772,BJ$11,IuranSYSebelumnya!$L$330:$L$772,"&lt;&gt;"&amp;$M$5)&gt;0,
              "Iuran dari Lingkungan lain",
              ""))</t>
  </si>
  <si>
    <t>=IF(COUNTIFS(IuranSYSebelumnya!$J$330:$J$772,$K40,IuranSYSebelumnya!$M$330:$M$772,BK$11,IuranSYSebelumnya!$L$330:$L$772,$M$5)&gt;0,
        VLOOKUP(CONCATENATE($K40,"|",BK$11,"|",$M$5),IuranSYSebelumnya!$I$330:$N$772,5,FALSE),
        IF(COUNTIFS(IuranSYSebelumnya!$J$330:$J$772,$K40,IuranSYSebelumnya!$M$330:$M$772,BK$11,IuranSYSebelumnya!$L$330:$L$772,"&lt;&gt;"&amp;$M$5)&gt;0,
              "Iuran dari Lingkungan lain",
              ""))</t>
  </si>
  <si>
    <t>=IF(COUNTIFS(IuranSYSebelumnya!$J$330:$J$772,$K40,IuranSYSebelumnya!$M$330:$M$772,BL$11,IuranSYSebelumnya!$L$330:$L$772,$M$5)&gt;0,
        VLOOKUP(CONCATENATE($K40,"|",BL$11,"|",$M$5),IuranSYSebelumnya!$I$330:$N$772,5,FALSE),
        IF(COUNTIFS(IuranSYSebelumnya!$J$330:$J$772,$K40,IuranSYSebelumnya!$M$330:$M$772,BL$11,IuranSYSebelumnya!$L$330:$L$772,"&lt;&gt;"&amp;$M$5)&gt;0,
              "Iuran dari Lingkungan lain",
              ""))</t>
  </si>
  <si>
    <t>=IF(COUNTIFS(IuranSYSebelumnya!$J$330:$J$772,$K41,IuranSYSebelumnya!$M$330:$M$772,AO$11,IuranSYSebelumnya!$L$330:$L$772,$M$5)&gt;0,
        VLOOKUP(CONCATENATE($K41,"|",AO$11,"|",$M$5),IuranSYSebelumnya!$I$330:$N$772,5,FALSE),
        IF(COUNTIFS(IuranSYSebelumnya!$J$330:$J$772,$K41,IuranSYSebelumnya!$M$330:$M$772,AO$11,IuranSYSebelumnya!$L$330:$L$772,"&lt;&gt;"&amp;$M$5)&gt;0,
              "Iuran dari Lingkungan lain",
              ""))</t>
  </si>
  <si>
    <t>=IF(COUNTIFS(IuranSYSebelumnya!$J$330:$J$772,$K41,IuranSYSebelumnya!$M$330:$M$772,AP$11,IuranSYSebelumnya!$L$330:$L$772,$M$5)&gt;0,
        VLOOKUP(CONCATENATE($K41,"|",AP$11,"|",$M$5),IuranSYSebelumnya!$I$330:$N$772,5,FALSE),
        IF(COUNTIFS(IuranSYSebelumnya!$J$330:$J$772,$K41,IuranSYSebelumnya!$M$330:$M$772,AP$11,IuranSYSebelumnya!$L$330:$L$772,"&lt;&gt;"&amp;$M$5)&gt;0,
              "Iuran dari Lingkungan lain",
              ""))</t>
  </si>
  <si>
    <t>=IF(COUNTIFS(IuranSYSebelumnya!$J$330:$J$772,$K41,IuranSYSebelumnya!$M$330:$M$772,AQ$11,IuranSYSebelumnya!$L$330:$L$772,$M$5)&gt;0,
        VLOOKUP(CONCATENATE($K41,"|",AQ$11,"|",$M$5),IuranSYSebelumnya!$I$330:$N$772,5,FALSE),
        IF(COUNTIFS(IuranSYSebelumnya!$J$330:$J$772,$K41,IuranSYSebelumnya!$M$330:$M$772,AQ$11,IuranSYSebelumnya!$L$330:$L$772,"&lt;&gt;"&amp;$M$5)&gt;0,
              "Iuran dari Lingkungan lain",
              ""))</t>
  </si>
  <si>
    <t>=IF(COUNTIFS(IuranSYSebelumnya!$J$330:$J$772,$K41,IuranSYSebelumnya!$M$330:$M$772,AR$11,IuranSYSebelumnya!$L$330:$L$772,$M$5)&gt;0,
        VLOOKUP(CONCATENATE($K41,"|",AR$11,"|",$M$5),IuranSYSebelumnya!$I$330:$N$772,5,FALSE),
        IF(COUNTIFS(IuranSYSebelumnya!$J$330:$J$772,$K41,IuranSYSebelumnya!$M$330:$M$772,AR$11,IuranSYSebelumnya!$L$330:$L$772,"&lt;&gt;"&amp;$M$5)&gt;0,
              "Iuran dari Lingkungan lain",
              ""))</t>
  </si>
  <si>
    <t>=IF(COUNTIFS(IuranSYSebelumnya!$J$330:$J$772,$K41,IuranSYSebelumnya!$M$330:$M$772,AS$11,IuranSYSebelumnya!$L$330:$L$772,$M$5)&gt;0,
        VLOOKUP(CONCATENATE($K41,"|",AS$11,"|",$M$5),IuranSYSebelumnya!$I$330:$N$772,5,FALSE),
        IF(COUNTIFS(IuranSYSebelumnya!$J$330:$J$772,$K41,IuranSYSebelumnya!$M$330:$M$772,AS$11,IuranSYSebelumnya!$L$330:$L$772,"&lt;&gt;"&amp;$M$5)&gt;0,
              "Iuran dari Lingkungan lain",
              ""))</t>
  </si>
  <si>
    <t>=IF(COUNTIFS(IuranSYSebelumnya!$J$330:$J$772,$K41,IuranSYSebelumnya!$M$330:$M$772,AT$11,IuranSYSebelumnya!$L$330:$L$772,$M$5)&gt;0,
        VLOOKUP(CONCATENATE($K41,"|",AT$11,"|",$M$5),IuranSYSebelumnya!$I$330:$N$772,5,FALSE),
        IF(COUNTIFS(IuranSYSebelumnya!$J$330:$J$772,$K41,IuranSYSebelumnya!$M$330:$M$772,AT$11,IuranSYSebelumnya!$L$330:$L$772,"&lt;&gt;"&amp;$M$5)&gt;0,
              "Iuran dari Lingkungan lain",
              ""))</t>
  </si>
  <si>
    <t>=IF(COUNTIFS(IuranSYSebelumnya!$J$330:$J$772,$K41,IuranSYSebelumnya!$M$330:$M$772,AU$11,IuranSYSebelumnya!$L$330:$L$772,$M$5)&gt;0,
        VLOOKUP(CONCATENATE($K41,"|",AU$11,"|",$M$5),IuranSYSebelumnya!$I$330:$N$772,5,FALSE),
        IF(COUNTIFS(IuranSYSebelumnya!$J$330:$J$772,$K41,IuranSYSebelumnya!$M$330:$M$772,AU$11,IuranSYSebelumnya!$L$330:$L$772,"&lt;&gt;"&amp;$M$5)&gt;0,
              "Iuran dari Lingkungan lain",
              ""))</t>
  </si>
  <si>
    <t>=IF(COUNTIFS(IuranSYSebelumnya!$J$330:$J$772,$K41,IuranSYSebelumnya!$M$330:$M$772,AV$11,IuranSYSebelumnya!$L$330:$L$772,$M$5)&gt;0,
        VLOOKUP(CONCATENATE($K41,"|",AV$11,"|",$M$5),IuranSYSebelumnya!$I$330:$N$772,5,FALSE),
        IF(COUNTIFS(IuranSYSebelumnya!$J$330:$J$772,$K41,IuranSYSebelumnya!$M$330:$M$772,AV$11,IuranSYSebelumnya!$L$330:$L$772,"&lt;&gt;"&amp;$M$5)&gt;0,
              "Iuran dari Lingkungan lain",
              ""))</t>
  </si>
  <si>
    <t>=IF(COUNTIFS(IuranSYSebelumnya!$J$330:$J$772,$K41,IuranSYSebelumnya!$M$330:$M$772,AW$11,IuranSYSebelumnya!$L$330:$L$772,$M$5)&gt;0,
        VLOOKUP(CONCATENATE($K41,"|",AW$11,"|",$M$5),IuranSYSebelumnya!$I$330:$N$772,5,FALSE),
        IF(COUNTIFS(IuranSYSebelumnya!$J$330:$J$772,$K41,IuranSYSebelumnya!$M$330:$M$772,AW$11,IuranSYSebelumnya!$L$330:$L$772,"&lt;&gt;"&amp;$M$5)&gt;0,
              "Iuran dari Lingkungan lain",
              ""))</t>
  </si>
  <si>
    <t>=IF(COUNTIFS(IuranSYSebelumnya!$J$330:$J$772,$K41,IuranSYSebelumnya!$M$330:$M$772,AX$11,IuranSYSebelumnya!$L$330:$L$772,$M$5)&gt;0,
        VLOOKUP(CONCATENATE($K41,"|",AX$11,"|",$M$5),IuranSYSebelumnya!$I$330:$N$772,5,FALSE),
        IF(COUNTIFS(IuranSYSebelumnya!$J$330:$J$772,$K41,IuranSYSebelumnya!$M$330:$M$772,AX$11,IuranSYSebelumnya!$L$330:$L$772,"&lt;&gt;"&amp;$M$5)&gt;0,
              "Iuran dari Lingkungan lain",
              ""))</t>
  </si>
  <si>
    <t>=IF(COUNTIFS(IuranSYSebelumnya!$J$330:$J$772,$K41,IuranSYSebelumnya!$M$330:$M$772,AY$11,IuranSYSebelumnya!$L$330:$L$772,$M$5)&gt;0,
        VLOOKUP(CONCATENATE($K41,"|",AY$11,"|",$M$5),IuranSYSebelumnya!$I$330:$N$772,5,FALSE),
        IF(COUNTIFS(IuranSYSebelumnya!$J$330:$J$772,$K41,IuranSYSebelumnya!$M$330:$M$772,AY$11,IuranSYSebelumnya!$L$330:$L$772,"&lt;&gt;"&amp;$M$5)&gt;0,
              "Iuran dari Lingkungan lain",
              ""))</t>
  </si>
  <si>
    <t>=IF(COUNTIFS(IuranSYSebelumnya!$J$330:$J$772,$K41,IuranSYSebelumnya!$M$330:$M$772,AZ$11,IuranSYSebelumnya!$L$330:$L$772,$M$5)&gt;0,
        VLOOKUP(CONCATENATE($K41,"|",AZ$11,"|",$M$5),IuranSYSebelumnya!$I$330:$N$772,5,FALSE),
        IF(COUNTIFS(IuranSYSebelumnya!$J$330:$J$772,$K41,IuranSYSebelumnya!$M$330:$M$772,AZ$11,IuranSYSebelumnya!$L$330:$L$772,"&lt;&gt;"&amp;$M$5)&gt;0,
              "Iuran dari Lingkungan lain",
              ""))</t>
  </si>
  <si>
    <t>=IF(COUNTIFS(IuranSYSebelumnya!$J$330:$J$772,$K41,IuranSYSebelumnya!$M$330:$M$772,BA$11,IuranSYSebelumnya!$L$330:$L$772,$M$5)&gt;0,
        VLOOKUP(CONCATENATE($K41,"|",BA$11,"|",$M$5),IuranSYSebelumnya!$I$330:$N$772,5,FALSE),
        IF(COUNTIFS(IuranSYSebelumnya!$J$330:$J$772,$K41,IuranSYSebelumnya!$M$330:$M$772,BA$11,IuranSYSebelumnya!$L$330:$L$772,"&lt;&gt;"&amp;$M$5)&gt;0,
              "Iuran dari Lingkungan lain",
              ""))</t>
  </si>
  <si>
    <t>=IF(COUNTIFS(IuranSYSebelumnya!$J$330:$J$772,$K41,IuranSYSebelumnya!$M$330:$M$772,BB$11,IuranSYSebelumnya!$L$330:$L$772,$M$5)&gt;0,
        VLOOKUP(CONCATENATE($K41,"|",BB$11,"|",$M$5),IuranSYSebelumnya!$I$330:$N$772,5,FALSE),
        IF(COUNTIFS(IuranSYSebelumnya!$J$330:$J$772,$K41,IuranSYSebelumnya!$M$330:$M$772,BB$11,IuranSYSebelumnya!$L$330:$L$772,"&lt;&gt;"&amp;$M$5)&gt;0,
              "Iuran dari Lingkungan lain",
              ""))</t>
  </si>
  <si>
    <t>=IF(COUNTIFS(IuranSYSebelumnya!$J$330:$J$772,$K41,IuranSYSebelumnya!$M$330:$M$772,BC$11,IuranSYSebelumnya!$L$330:$L$772,$M$5)&gt;0,
        VLOOKUP(CONCATENATE($K41,"|",BC$11,"|",$M$5),IuranSYSebelumnya!$I$330:$N$772,5,FALSE),
        IF(COUNTIFS(IuranSYSebelumnya!$J$330:$J$772,$K41,IuranSYSebelumnya!$M$330:$M$772,BC$11,IuranSYSebelumnya!$L$330:$L$772,"&lt;&gt;"&amp;$M$5)&gt;0,
              "Iuran dari Lingkungan lain",
              ""))</t>
  </si>
  <si>
    <t>=IF(COUNTIFS(IuranSYSebelumnya!$J$330:$J$772,$K41,IuranSYSebelumnya!$M$330:$M$772,BD$11,IuranSYSebelumnya!$L$330:$L$772,$M$5)&gt;0,
        VLOOKUP(CONCATENATE($K41,"|",BD$11,"|",$M$5),IuranSYSebelumnya!$I$330:$N$772,5,FALSE),
        IF(COUNTIFS(IuranSYSebelumnya!$J$330:$J$772,$K41,IuranSYSebelumnya!$M$330:$M$772,BD$11,IuranSYSebelumnya!$L$330:$L$772,"&lt;&gt;"&amp;$M$5)&gt;0,
              "Iuran dari Lingkungan lain",
              ""))</t>
  </si>
  <si>
    <t>=IF(COUNTIFS(IuranSYSebelumnya!$J$330:$J$772,$K41,IuranSYSebelumnya!$M$330:$M$772,BE$11,IuranSYSebelumnya!$L$330:$L$772,$M$5)&gt;0,
        VLOOKUP(CONCATENATE($K41,"|",BE$11,"|",$M$5),IuranSYSebelumnya!$I$330:$N$772,5,FALSE),
        IF(COUNTIFS(IuranSYSebelumnya!$J$330:$J$772,$K41,IuranSYSebelumnya!$M$330:$M$772,BE$11,IuranSYSebelumnya!$L$330:$L$772,"&lt;&gt;"&amp;$M$5)&gt;0,
              "Iuran dari Lingkungan lain",
              ""))</t>
  </si>
  <si>
    <t>=IF(COUNTIFS(IuranSYSebelumnya!$J$330:$J$772,$K41,IuranSYSebelumnya!$M$330:$M$772,BF$11,IuranSYSebelumnya!$L$330:$L$772,$M$5)&gt;0,
        VLOOKUP(CONCATENATE($K41,"|",BF$11,"|",$M$5),IuranSYSebelumnya!$I$330:$N$772,5,FALSE),
        IF(COUNTIFS(IuranSYSebelumnya!$J$330:$J$772,$K41,IuranSYSebelumnya!$M$330:$M$772,BF$11,IuranSYSebelumnya!$L$330:$L$772,"&lt;&gt;"&amp;$M$5)&gt;0,
              "Iuran dari Lingkungan lain",
              ""))</t>
  </si>
  <si>
    <t>=IF(COUNTIFS(IuranSYSebelumnya!$J$330:$J$772,$K41,IuranSYSebelumnya!$M$330:$M$772,BG$11,IuranSYSebelumnya!$L$330:$L$772,$M$5)&gt;0,
        VLOOKUP(CONCATENATE($K41,"|",BG$11,"|",$M$5),IuranSYSebelumnya!$I$330:$N$772,5,FALSE),
        IF(COUNTIFS(IuranSYSebelumnya!$J$330:$J$772,$K41,IuranSYSebelumnya!$M$330:$M$772,BG$11,IuranSYSebelumnya!$L$330:$L$772,"&lt;&gt;"&amp;$M$5)&gt;0,
              "Iuran dari Lingkungan lain",
              ""))</t>
  </si>
  <si>
    <t>=IF(COUNTIFS(IuranSYSebelumnya!$J$330:$J$772,$K41,IuranSYSebelumnya!$M$330:$M$772,BH$11,IuranSYSebelumnya!$L$330:$L$772,$M$5)&gt;0,
        VLOOKUP(CONCATENATE($K41,"|",BH$11,"|",$M$5),IuranSYSebelumnya!$I$330:$N$772,5,FALSE),
        IF(COUNTIFS(IuranSYSebelumnya!$J$330:$J$772,$K41,IuranSYSebelumnya!$M$330:$M$772,BH$11,IuranSYSebelumnya!$L$330:$L$772,"&lt;&gt;"&amp;$M$5)&gt;0,
              "Iuran dari Lingkungan lain",
              ""))</t>
  </si>
  <si>
    <t>=IF(COUNTIFS(IuranSYSebelumnya!$J$330:$J$772,$K41,IuranSYSebelumnya!$M$330:$M$772,BI$11,IuranSYSebelumnya!$L$330:$L$772,$M$5)&gt;0,
        VLOOKUP(CONCATENATE($K41,"|",BI$11,"|",$M$5),IuranSYSebelumnya!$I$330:$N$772,5,FALSE),
        IF(COUNTIFS(IuranSYSebelumnya!$J$330:$J$772,$K41,IuranSYSebelumnya!$M$330:$M$772,BI$11,IuranSYSebelumnya!$L$330:$L$772,"&lt;&gt;"&amp;$M$5)&gt;0,
              "Iuran dari Lingkungan lain",
              ""))</t>
  </si>
  <si>
    <t>=IF(COUNTIFS(IuranSYSebelumnya!$J$330:$J$772,$K41,IuranSYSebelumnya!$M$330:$M$772,BJ$11,IuranSYSebelumnya!$L$330:$L$772,$M$5)&gt;0,
        VLOOKUP(CONCATENATE($K41,"|",BJ$11,"|",$M$5),IuranSYSebelumnya!$I$330:$N$772,5,FALSE),
        IF(COUNTIFS(IuranSYSebelumnya!$J$330:$J$772,$K41,IuranSYSebelumnya!$M$330:$M$772,BJ$11,IuranSYSebelumnya!$L$330:$L$772,"&lt;&gt;"&amp;$M$5)&gt;0,
              "Iuran dari Lingkungan lain",
              ""))</t>
  </si>
  <si>
    <t>=IF(COUNTIFS(IuranSYSebelumnya!$J$330:$J$772,$K41,IuranSYSebelumnya!$M$330:$M$772,BK$11,IuranSYSebelumnya!$L$330:$L$772,$M$5)&gt;0,
        VLOOKUP(CONCATENATE($K41,"|",BK$11,"|",$M$5),IuranSYSebelumnya!$I$330:$N$772,5,FALSE),
        IF(COUNTIFS(IuranSYSebelumnya!$J$330:$J$772,$K41,IuranSYSebelumnya!$M$330:$M$772,BK$11,IuranSYSebelumnya!$L$330:$L$772,"&lt;&gt;"&amp;$M$5)&gt;0,
              "Iuran dari Lingkungan lain",
              ""))</t>
  </si>
  <si>
    <t>=IF(COUNTIFS(IuranSYSebelumnya!$J$330:$J$772,$K41,IuranSYSebelumnya!$M$330:$M$772,BL$11,IuranSYSebelumnya!$L$330:$L$772,$M$5)&gt;0,
        VLOOKUP(CONCATENATE($K41,"|",BL$11,"|",$M$5),IuranSYSebelumnya!$I$330:$N$772,5,FALSE),
        IF(COUNTIFS(IuranSYSebelumnya!$J$330:$J$772,$K41,IuranSYSebelumnya!$M$330:$M$772,BL$11,IuranSYSebelumnya!$L$330:$L$772,"&lt;&gt;"&amp;$M$5)&gt;0,
              "Iuran dari Lingkungan lain",
              ""))</t>
  </si>
  <si>
    <t>=IF(COUNTIFS(IuranSYSebelumnya!$J$330:$J$772,$K42,IuranSYSebelumnya!$M$330:$M$772,AO$11,IuranSYSebelumnya!$L$330:$L$772,$M$5)&gt;0,
        VLOOKUP(CONCATENATE($K42,"|",AO$11,"|",$M$5),IuranSYSebelumnya!$I$330:$N$772,5,FALSE),
        IF(COUNTIFS(IuranSYSebelumnya!$J$330:$J$772,$K42,IuranSYSebelumnya!$M$330:$M$772,AO$11,IuranSYSebelumnya!$L$330:$L$772,"&lt;&gt;"&amp;$M$5)&gt;0,
              "Iuran dari Lingkungan lain",
              ""))</t>
  </si>
  <si>
    <t>=IF(COUNTIFS(IuranSYSebelumnya!$J$330:$J$772,$K42,IuranSYSebelumnya!$M$330:$M$772,AP$11,IuranSYSebelumnya!$L$330:$L$772,$M$5)&gt;0,
        VLOOKUP(CONCATENATE($K42,"|",AP$11,"|",$M$5),IuranSYSebelumnya!$I$330:$N$772,5,FALSE),
        IF(COUNTIFS(IuranSYSebelumnya!$J$330:$J$772,$K42,IuranSYSebelumnya!$M$330:$M$772,AP$11,IuranSYSebelumnya!$L$330:$L$772,"&lt;&gt;"&amp;$M$5)&gt;0,
              "Iuran dari Lingkungan lain",
              ""))</t>
  </si>
  <si>
    <t>=IF(COUNTIFS(IuranSYSebelumnya!$J$330:$J$772,$K42,IuranSYSebelumnya!$M$330:$M$772,AQ$11,IuranSYSebelumnya!$L$330:$L$772,$M$5)&gt;0,
        VLOOKUP(CONCATENATE($K42,"|",AQ$11,"|",$M$5),IuranSYSebelumnya!$I$330:$N$772,5,FALSE),
        IF(COUNTIFS(IuranSYSebelumnya!$J$330:$J$772,$K42,IuranSYSebelumnya!$M$330:$M$772,AQ$11,IuranSYSebelumnya!$L$330:$L$772,"&lt;&gt;"&amp;$M$5)&gt;0,
              "Iuran dari Lingkungan lain",
              ""))</t>
  </si>
  <si>
    <t>=IF(COUNTIFS(IuranSYSebelumnya!$J$330:$J$772,$K42,IuranSYSebelumnya!$M$330:$M$772,AR$11,IuranSYSebelumnya!$L$330:$L$772,$M$5)&gt;0,
        VLOOKUP(CONCATENATE($K42,"|",AR$11,"|",$M$5),IuranSYSebelumnya!$I$330:$N$772,5,FALSE),
        IF(COUNTIFS(IuranSYSebelumnya!$J$330:$J$772,$K42,IuranSYSebelumnya!$M$330:$M$772,AR$11,IuranSYSebelumnya!$L$330:$L$772,"&lt;&gt;"&amp;$M$5)&gt;0,
              "Iuran dari Lingkungan lain",
              ""))</t>
  </si>
  <si>
    <t>=IF(COUNTIFS(IuranSYSebelumnya!$J$330:$J$772,$K42,IuranSYSebelumnya!$M$330:$M$772,AS$11,IuranSYSebelumnya!$L$330:$L$772,$M$5)&gt;0,
        VLOOKUP(CONCATENATE($K42,"|",AS$11,"|",$M$5),IuranSYSebelumnya!$I$330:$N$772,5,FALSE),
        IF(COUNTIFS(IuranSYSebelumnya!$J$330:$J$772,$K42,IuranSYSebelumnya!$M$330:$M$772,AS$11,IuranSYSebelumnya!$L$330:$L$772,"&lt;&gt;"&amp;$M$5)&gt;0,
              "Iuran dari Lingkungan lain",
              ""))</t>
  </si>
  <si>
    <t>=IF(COUNTIFS(IuranSYSebelumnya!$J$330:$J$772,$K42,IuranSYSebelumnya!$M$330:$M$772,AT$11,IuranSYSebelumnya!$L$330:$L$772,$M$5)&gt;0,
        VLOOKUP(CONCATENATE($K42,"|",AT$11,"|",$M$5),IuranSYSebelumnya!$I$330:$N$772,5,FALSE),
        IF(COUNTIFS(IuranSYSebelumnya!$J$330:$J$772,$K42,IuranSYSebelumnya!$M$330:$M$772,AT$11,IuranSYSebelumnya!$L$330:$L$772,"&lt;&gt;"&amp;$M$5)&gt;0,
              "Iuran dari Lingkungan lain",
              ""))</t>
  </si>
  <si>
    <t>=IF(COUNTIFS(IuranSYSebelumnya!$J$330:$J$772,$K42,IuranSYSebelumnya!$M$330:$M$772,AU$11,IuranSYSebelumnya!$L$330:$L$772,$M$5)&gt;0,
        VLOOKUP(CONCATENATE($K42,"|",AU$11,"|",$M$5),IuranSYSebelumnya!$I$330:$N$772,5,FALSE),
        IF(COUNTIFS(IuranSYSebelumnya!$J$330:$J$772,$K42,IuranSYSebelumnya!$M$330:$M$772,AU$11,IuranSYSebelumnya!$L$330:$L$772,"&lt;&gt;"&amp;$M$5)&gt;0,
              "Iuran dari Lingkungan lain",
              ""))</t>
  </si>
  <si>
    <t>=IF(COUNTIFS(IuranSYSebelumnya!$J$330:$J$772,$K42,IuranSYSebelumnya!$M$330:$M$772,AV$11,IuranSYSebelumnya!$L$330:$L$772,$M$5)&gt;0,
        VLOOKUP(CONCATENATE($K42,"|",AV$11,"|",$M$5),IuranSYSebelumnya!$I$330:$N$772,5,FALSE),
        IF(COUNTIFS(IuranSYSebelumnya!$J$330:$J$772,$K42,IuranSYSebelumnya!$M$330:$M$772,AV$11,IuranSYSebelumnya!$L$330:$L$772,"&lt;&gt;"&amp;$M$5)&gt;0,
              "Iuran dari Lingkungan lain",
              ""))</t>
  </si>
  <si>
    <t>=IF(COUNTIFS(IuranSYSebelumnya!$J$330:$J$772,$K42,IuranSYSebelumnya!$M$330:$M$772,AW$11,IuranSYSebelumnya!$L$330:$L$772,$M$5)&gt;0,
        VLOOKUP(CONCATENATE($K42,"|",AW$11,"|",$M$5),IuranSYSebelumnya!$I$330:$N$772,5,FALSE),
        IF(COUNTIFS(IuranSYSebelumnya!$J$330:$J$772,$K42,IuranSYSebelumnya!$M$330:$M$772,AW$11,IuranSYSebelumnya!$L$330:$L$772,"&lt;&gt;"&amp;$M$5)&gt;0,
              "Iuran dari Lingkungan lain",
              ""))</t>
  </si>
  <si>
    <t>=IF(COUNTIFS(IuranSYSebelumnya!$J$330:$J$772,$K42,IuranSYSebelumnya!$M$330:$M$772,AX$11,IuranSYSebelumnya!$L$330:$L$772,$M$5)&gt;0,
        VLOOKUP(CONCATENATE($K42,"|",AX$11,"|",$M$5),IuranSYSebelumnya!$I$330:$N$772,5,FALSE),
        IF(COUNTIFS(IuranSYSebelumnya!$J$330:$J$772,$K42,IuranSYSebelumnya!$M$330:$M$772,AX$11,IuranSYSebelumnya!$L$330:$L$772,"&lt;&gt;"&amp;$M$5)&gt;0,
              "Iuran dari Lingkungan lain",
              ""))</t>
  </si>
  <si>
    <t>=IF(COUNTIFS(IuranSYSebelumnya!$J$330:$J$772,$K42,IuranSYSebelumnya!$M$330:$M$772,AY$11,IuranSYSebelumnya!$L$330:$L$772,$M$5)&gt;0,
        VLOOKUP(CONCATENATE($K42,"|",AY$11,"|",$M$5),IuranSYSebelumnya!$I$330:$N$772,5,FALSE),
        IF(COUNTIFS(IuranSYSebelumnya!$J$330:$J$772,$K42,IuranSYSebelumnya!$M$330:$M$772,AY$11,IuranSYSebelumnya!$L$330:$L$772,"&lt;&gt;"&amp;$M$5)&gt;0,
              "Iuran dari Lingkungan lain",
              ""))</t>
  </si>
  <si>
    <t>=IF(COUNTIFS(IuranSYSebelumnya!$J$330:$J$772,$K42,IuranSYSebelumnya!$M$330:$M$772,AZ$11,IuranSYSebelumnya!$L$330:$L$772,$M$5)&gt;0,
        VLOOKUP(CONCATENATE($K42,"|",AZ$11,"|",$M$5),IuranSYSebelumnya!$I$330:$N$772,5,FALSE),
        IF(COUNTIFS(IuranSYSebelumnya!$J$330:$J$772,$K42,IuranSYSebelumnya!$M$330:$M$772,AZ$11,IuranSYSebelumnya!$L$330:$L$772,"&lt;&gt;"&amp;$M$5)&gt;0,
              "Iuran dari Lingkungan lain",
              ""))</t>
  </si>
  <si>
    <t>=IF(COUNTIFS(IuranSYSebelumnya!$J$330:$J$772,$K42,IuranSYSebelumnya!$M$330:$M$772,BA$11,IuranSYSebelumnya!$L$330:$L$772,$M$5)&gt;0,
        VLOOKUP(CONCATENATE($K42,"|",BA$11,"|",$M$5),IuranSYSebelumnya!$I$330:$N$772,5,FALSE),
        IF(COUNTIFS(IuranSYSebelumnya!$J$330:$J$772,$K42,IuranSYSebelumnya!$M$330:$M$772,BA$11,IuranSYSebelumnya!$L$330:$L$772,"&lt;&gt;"&amp;$M$5)&gt;0,
              "Iuran dari Lingkungan lain",
              ""))</t>
  </si>
  <si>
    <t>=IF(COUNTIFS(IuranSYSebelumnya!$J$330:$J$772,$K42,IuranSYSebelumnya!$M$330:$M$772,BB$11,IuranSYSebelumnya!$L$330:$L$772,$M$5)&gt;0,
        VLOOKUP(CONCATENATE($K42,"|",BB$11,"|",$M$5),IuranSYSebelumnya!$I$330:$N$772,5,FALSE),
        IF(COUNTIFS(IuranSYSebelumnya!$J$330:$J$772,$K42,IuranSYSebelumnya!$M$330:$M$772,BB$11,IuranSYSebelumnya!$L$330:$L$772,"&lt;&gt;"&amp;$M$5)&gt;0,
              "Iuran dari Lingkungan lain",
              ""))</t>
  </si>
  <si>
    <t>=IF(COUNTIFS(IuranSYSebelumnya!$J$330:$J$772,$K42,IuranSYSebelumnya!$M$330:$M$772,BC$11,IuranSYSebelumnya!$L$330:$L$772,$M$5)&gt;0,
        VLOOKUP(CONCATENATE($K42,"|",BC$11,"|",$M$5),IuranSYSebelumnya!$I$330:$N$772,5,FALSE),
        IF(COUNTIFS(IuranSYSebelumnya!$J$330:$J$772,$K42,IuranSYSebelumnya!$M$330:$M$772,BC$11,IuranSYSebelumnya!$L$330:$L$772,"&lt;&gt;"&amp;$M$5)&gt;0,
              "Iuran dari Lingkungan lain",
              ""))</t>
  </si>
  <si>
    <t>=IF(COUNTIFS(IuranSYSebelumnya!$J$330:$J$772,$K42,IuranSYSebelumnya!$M$330:$M$772,BD$11,IuranSYSebelumnya!$L$330:$L$772,$M$5)&gt;0,
        VLOOKUP(CONCATENATE($K42,"|",BD$11,"|",$M$5),IuranSYSebelumnya!$I$330:$N$772,5,FALSE),
        IF(COUNTIFS(IuranSYSebelumnya!$J$330:$J$772,$K42,IuranSYSebelumnya!$M$330:$M$772,BD$11,IuranSYSebelumnya!$L$330:$L$772,"&lt;&gt;"&amp;$M$5)&gt;0,
              "Iuran dari Lingkungan lain",
              ""))</t>
  </si>
  <si>
    <t>=IF(COUNTIFS(IuranSYSebelumnya!$J$330:$J$772,$K42,IuranSYSebelumnya!$M$330:$M$772,BE$11,IuranSYSebelumnya!$L$330:$L$772,$M$5)&gt;0,
        VLOOKUP(CONCATENATE($K42,"|",BE$11,"|",$M$5),IuranSYSebelumnya!$I$330:$N$772,5,FALSE),
        IF(COUNTIFS(IuranSYSebelumnya!$J$330:$J$772,$K42,IuranSYSebelumnya!$M$330:$M$772,BE$11,IuranSYSebelumnya!$L$330:$L$772,"&lt;&gt;"&amp;$M$5)&gt;0,
              "Iuran dari Lingkungan lain",
              ""))</t>
  </si>
  <si>
    <t>=IF(COUNTIFS(IuranSYSebelumnya!$J$330:$J$772,$K42,IuranSYSebelumnya!$M$330:$M$772,BF$11,IuranSYSebelumnya!$L$330:$L$772,$M$5)&gt;0,
        VLOOKUP(CONCATENATE($K42,"|",BF$11,"|",$M$5),IuranSYSebelumnya!$I$330:$N$772,5,FALSE),
        IF(COUNTIFS(IuranSYSebelumnya!$J$330:$J$772,$K42,IuranSYSebelumnya!$M$330:$M$772,BF$11,IuranSYSebelumnya!$L$330:$L$772,"&lt;&gt;"&amp;$M$5)&gt;0,
              "Iuran dari Lingkungan lain",
              ""))</t>
  </si>
  <si>
    <t>=IF(COUNTIFS(IuranSYSebelumnya!$J$330:$J$772,$K42,IuranSYSebelumnya!$M$330:$M$772,BG$11,IuranSYSebelumnya!$L$330:$L$772,$M$5)&gt;0,
        VLOOKUP(CONCATENATE($K42,"|",BG$11,"|",$M$5),IuranSYSebelumnya!$I$330:$N$772,5,FALSE),
        IF(COUNTIFS(IuranSYSebelumnya!$J$330:$J$772,$K42,IuranSYSebelumnya!$M$330:$M$772,BG$11,IuranSYSebelumnya!$L$330:$L$772,"&lt;&gt;"&amp;$M$5)&gt;0,
              "Iuran dari Lingkungan lain",
              ""))</t>
  </si>
  <si>
    <t>=IF(COUNTIFS(IuranSYSebelumnya!$J$330:$J$772,$K42,IuranSYSebelumnya!$M$330:$M$772,BH$11,IuranSYSebelumnya!$L$330:$L$772,$M$5)&gt;0,
        VLOOKUP(CONCATENATE($K42,"|",BH$11,"|",$M$5),IuranSYSebelumnya!$I$330:$N$772,5,FALSE),
        IF(COUNTIFS(IuranSYSebelumnya!$J$330:$J$772,$K42,IuranSYSebelumnya!$M$330:$M$772,BH$11,IuranSYSebelumnya!$L$330:$L$772,"&lt;&gt;"&amp;$M$5)&gt;0,
              "Iuran dari Lingkungan lain",
              ""))</t>
  </si>
  <si>
    <t>=IF(COUNTIFS(IuranSYSebelumnya!$J$330:$J$772,$K42,IuranSYSebelumnya!$M$330:$M$772,BI$11,IuranSYSebelumnya!$L$330:$L$772,$M$5)&gt;0,
        VLOOKUP(CONCATENATE($K42,"|",BI$11,"|",$M$5),IuranSYSebelumnya!$I$330:$N$772,5,FALSE),
        IF(COUNTIFS(IuranSYSebelumnya!$J$330:$J$772,$K42,IuranSYSebelumnya!$M$330:$M$772,BI$11,IuranSYSebelumnya!$L$330:$L$772,"&lt;&gt;"&amp;$M$5)&gt;0,
              "Iuran dari Lingkungan lain",
              ""))</t>
  </si>
  <si>
    <t>=IF(COUNTIFS(IuranSYSebelumnya!$J$330:$J$772,$K42,IuranSYSebelumnya!$M$330:$M$772,BJ$11,IuranSYSebelumnya!$L$330:$L$772,$M$5)&gt;0,
        VLOOKUP(CONCATENATE($K42,"|",BJ$11,"|",$M$5),IuranSYSebelumnya!$I$330:$N$772,5,FALSE),
        IF(COUNTIFS(IuranSYSebelumnya!$J$330:$J$772,$K42,IuranSYSebelumnya!$M$330:$M$772,BJ$11,IuranSYSebelumnya!$L$330:$L$772,"&lt;&gt;"&amp;$M$5)&gt;0,
              "Iuran dari Lingkungan lain",
              ""))</t>
  </si>
  <si>
    <t>=IF(COUNTIFS(IuranSYSebelumnya!$J$330:$J$772,$K42,IuranSYSebelumnya!$M$330:$M$772,BK$11,IuranSYSebelumnya!$L$330:$L$772,$M$5)&gt;0,
        VLOOKUP(CONCATENATE($K42,"|",BK$11,"|",$M$5),IuranSYSebelumnya!$I$330:$N$772,5,FALSE),
        IF(COUNTIFS(IuranSYSebelumnya!$J$330:$J$772,$K42,IuranSYSebelumnya!$M$330:$M$772,BK$11,IuranSYSebelumnya!$L$330:$L$772,"&lt;&gt;"&amp;$M$5)&gt;0,
              "Iuran dari Lingkungan lain",
              ""))</t>
  </si>
  <si>
    <t>=IF(COUNTIFS(IuranSYSebelumnya!$J$330:$J$772,$K42,IuranSYSebelumnya!$M$330:$M$772,BL$11,IuranSYSebelumnya!$L$330:$L$772,$M$5)&gt;0,
        VLOOKUP(CONCATENATE($K42,"|",BL$11,"|",$M$5),IuranSYSebelumnya!$I$330:$N$772,5,FALSE),
        IF(COUNTIFS(IuranSYSebelumnya!$J$330:$J$772,$K42,IuranSYSebelumnya!$M$330:$M$772,BL$11,IuranSYSebelumnya!$L$330:$L$772,"&lt;&gt;"&amp;$M$5)&gt;0,
              "Iuran dari Lingkungan lain",
              ""))</t>
  </si>
  <si>
    <t>=IF(COUNTIFS(IuranSYSebelumnya!$J$330:$J$772,$K43,IuranSYSebelumnya!$M$330:$M$772,AO$11,IuranSYSebelumnya!$L$330:$L$772,$M$5)&gt;0,
        VLOOKUP(CONCATENATE($K43,"|",AO$11,"|",$M$5),IuranSYSebelumnya!$I$330:$N$772,5,FALSE),
        IF(COUNTIFS(IuranSYSebelumnya!$J$330:$J$772,$K43,IuranSYSebelumnya!$M$330:$M$772,AO$11,IuranSYSebelumnya!$L$330:$L$772,"&lt;&gt;"&amp;$M$5)&gt;0,
              "Iuran dari Lingkungan lain",
              ""))</t>
  </si>
  <si>
    <t>=IF(COUNTIFS(IuranSYSebelumnya!$J$330:$J$772,$K43,IuranSYSebelumnya!$M$330:$M$772,AP$11,IuranSYSebelumnya!$L$330:$L$772,$M$5)&gt;0,
        VLOOKUP(CONCATENATE($K43,"|",AP$11,"|",$M$5),IuranSYSebelumnya!$I$330:$N$772,5,FALSE),
        IF(COUNTIFS(IuranSYSebelumnya!$J$330:$J$772,$K43,IuranSYSebelumnya!$M$330:$M$772,AP$11,IuranSYSebelumnya!$L$330:$L$772,"&lt;&gt;"&amp;$M$5)&gt;0,
              "Iuran dari Lingkungan lain",
              ""))</t>
  </si>
  <si>
    <t>=IF(COUNTIFS(IuranSYSebelumnya!$J$330:$J$772,$K43,IuranSYSebelumnya!$M$330:$M$772,AQ$11,IuranSYSebelumnya!$L$330:$L$772,$M$5)&gt;0,
        VLOOKUP(CONCATENATE($K43,"|",AQ$11,"|",$M$5),IuranSYSebelumnya!$I$330:$N$772,5,FALSE),
        IF(COUNTIFS(IuranSYSebelumnya!$J$330:$J$772,$K43,IuranSYSebelumnya!$M$330:$M$772,AQ$11,IuranSYSebelumnya!$L$330:$L$772,"&lt;&gt;"&amp;$M$5)&gt;0,
              "Iuran dari Lingkungan lain",
              ""))</t>
  </si>
  <si>
    <t>=IF(COUNTIFS(IuranSYSebelumnya!$J$330:$J$772,$K43,IuranSYSebelumnya!$M$330:$M$772,AR$11,IuranSYSebelumnya!$L$330:$L$772,$M$5)&gt;0,
        VLOOKUP(CONCATENATE($K43,"|",AR$11,"|",$M$5),IuranSYSebelumnya!$I$330:$N$772,5,FALSE),
        IF(COUNTIFS(IuranSYSebelumnya!$J$330:$J$772,$K43,IuranSYSebelumnya!$M$330:$M$772,AR$11,IuranSYSebelumnya!$L$330:$L$772,"&lt;&gt;"&amp;$M$5)&gt;0,
              "Iuran dari Lingkungan lain",
              ""))</t>
  </si>
  <si>
    <t>=IF(COUNTIFS(IuranSYSebelumnya!$J$330:$J$772,$K43,IuranSYSebelumnya!$M$330:$M$772,AS$11,IuranSYSebelumnya!$L$330:$L$772,$M$5)&gt;0,
        VLOOKUP(CONCATENATE($K43,"|",AS$11,"|",$M$5),IuranSYSebelumnya!$I$330:$N$772,5,FALSE),
        IF(COUNTIFS(IuranSYSebelumnya!$J$330:$J$772,$K43,IuranSYSebelumnya!$M$330:$M$772,AS$11,IuranSYSebelumnya!$L$330:$L$772,"&lt;&gt;"&amp;$M$5)&gt;0,
              "Iuran dari Lingkungan lain",
              ""))</t>
  </si>
  <si>
    <t>=IF(COUNTIFS(IuranSYSebelumnya!$J$330:$J$772,$K43,IuranSYSebelumnya!$M$330:$M$772,AT$11,IuranSYSebelumnya!$L$330:$L$772,$M$5)&gt;0,
        VLOOKUP(CONCATENATE($K43,"|",AT$11,"|",$M$5),IuranSYSebelumnya!$I$330:$N$772,5,FALSE),
        IF(COUNTIFS(IuranSYSebelumnya!$J$330:$J$772,$K43,IuranSYSebelumnya!$M$330:$M$772,AT$11,IuranSYSebelumnya!$L$330:$L$772,"&lt;&gt;"&amp;$M$5)&gt;0,
              "Iuran dari Lingkungan lain",
              ""))</t>
  </si>
  <si>
    <t>=IF(COUNTIFS(IuranSYSebelumnya!$J$330:$J$772,$K43,IuranSYSebelumnya!$M$330:$M$772,AU$11,IuranSYSebelumnya!$L$330:$L$772,$M$5)&gt;0,
        VLOOKUP(CONCATENATE($K43,"|",AU$11,"|",$M$5),IuranSYSebelumnya!$I$330:$N$772,5,FALSE),
        IF(COUNTIFS(IuranSYSebelumnya!$J$330:$J$772,$K43,IuranSYSebelumnya!$M$330:$M$772,AU$11,IuranSYSebelumnya!$L$330:$L$772,"&lt;&gt;"&amp;$M$5)&gt;0,
              "Iuran dari Lingkungan lain",
              ""))</t>
  </si>
  <si>
    <t>=IF(COUNTIFS(IuranSYSebelumnya!$J$330:$J$772,$K43,IuranSYSebelumnya!$M$330:$M$772,AV$11,IuranSYSebelumnya!$L$330:$L$772,$M$5)&gt;0,
        VLOOKUP(CONCATENATE($K43,"|",AV$11,"|",$M$5),IuranSYSebelumnya!$I$330:$N$772,5,FALSE),
        IF(COUNTIFS(IuranSYSebelumnya!$J$330:$J$772,$K43,IuranSYSebelumnya!$M$330:$M$772,AV$11,IuranSYSebelumnya!$L$330:$L$772,"&lt;&gt;"&amp;$M$5)&gt;0,
              "Iuran dari Lingkungan lain",
              ""))</t>
  </si>
  <si>
    <t>=IF(COUNTIFS(IuranSYSebelumnya!$J$330:$J$772,$K43,IuranSYSebelumnya!$M$330:$M$772,AW$11,IuranSYSebelumnya!$L$330:$L$772,$M$5)&gt;0,
        VLOOKUP(CONCATENATE($K43,"|",AW$11,"|",$M$5),IuranSYSebelumnya!$I$330:$N$772,5,FALSE),
        IF(COUNTIFS(IuranSYSebelumnya!$J$330:$J$772,$K43,IuranSYSebelumnya!$M$330:$M$772,AW$11,IuranSYSebelumnya!$L$330:$L$772,"&lt;&gt;"&amp;$M$5)&gt;0,
              "Iuran dari Lingkungan lain",
              ""))</t>
  </si>
  <si>
    <t>=IF(COUNTIFS(IuranSYSebelumnya!$J$330:$J$772,$K43,IuranSYSebelumnya!$M$330:$M$772,AX$11,IuranSYSebelumnya!$L$330:$L$772,$M$5)&gt;0,
        VLOOKUP(CONCATENATE($K43,"|",AX$11,"|",$M$5),IuranSYSebelumnya!$I$330:$N$772,5,FALSE),
        IF(COUNTIFS(IuranSYSebelumnya!$J$330:$J$772,$K43,IuranSYSebelumnya!$M$330:$M$772,AX$11,IuranSYSebelumnya!$L$330:$L$772,"&lt;&gt;"&amp;$M$5)&gt;0,
              "Iuran dari Lingkungan lain",
              ""))</t>
  </si>
  <si>
    <t>=IF(COUNTIFS(IuranSYSebelumnya!$J$330:$J$772,$K43,IuranSYSebelumnya!$M$330:$M$772,AY$11,IuranSYSebelumnya!$L$330:$L$772,$M$5)&gt;0,
        VLOOKUP(CONCATENATE($K43,"|",AY$11,"|",$M$5),IuranSYSebelumnya!$I$330:$N$772,5,FALSE),
        IF(COUNTIFS(IuranSYSebelumnya!$J$330:$J$772,$K43,IuranSYSebelumnya!$M$330:$M$772,AY$11,IuranSYSebelumnya!$L$330:$L$772,"&lt;&gt;"&amp;$M$5)&gt;0,
              "Iuran dari Lingkungan lain",
              ""))</t>
  </si>
  <si>
    <t>=IF(COUNTIFS(IuranSYSebelumnya!$J$330:$J$772,$K43,IuranSYSebelumnya!$M$330:$M$772,AZ$11,IuranSYSebelumnya!$L$330:$L$772,$M$5)&gt;0,
        VLOOKUP(CONCATENATE($K43,"|",AZ$11,"|",$M$5),IuranSYSebelumnya!$I$330:$N$772,5,FALSE),
        IF(COUNTIFS(IuranSYSebelumnya!$J$330:$J$772,$K43,IuranSYSebelumnya!$M$330:$M$772,AZ$11,IuranSYSebelumnya!$L$330:$L$772,"&lt;&gt;"&amp;$M$5)&gt;0,
              "Iuran dari Lingkungan lain",
              ""))</t>
  </si>
  <si>
    <t>=IF(COUNTIFS(IuranSYSebelumnya!$J$330:$J$772,$K43,IuranSYSebelumnya!$M$330:$M$772,BA$11,IuranSYSebelumnya!$L$330:$L$772,$M$5)&gt;0,
        VLOOKUP(CONCATENATE($K43,"|",BA$11,"|",$M$5),IuranSYSebelumnya!$I$330:$N$772,5,FALSE),
        IF(COUNTIFS(IuranSYSebelumnya!$J$330:$J$772,$K43,IuranSYSebelumnya!$M$330:$M$772,BA$11,IuranSYSebelumnya!$L$330:$L$772,"&lt;&gt;"&amp;$M$5)&gt;0,
              "Iuran dari Lingkungan lain",
              ""))</t>
  </si>
  <si>
    <t>=IF(COUNTIFS(IuranSYSebelumnya!$J$330:$J$772,$K43,IuranSYSebelumnya!$M$330:$M$772,BB$11,IuranSYSebelumnya!$L$330:$L$772,$M$5)&gt;0,
        VLOOKUP(CONCATENATE($K43,"|",BB$11,"|",$M$5),IuranSYSebelumnya!$I$330:$N$772,5,FALSE),
        IF(COUNTIFS(IuranSYSebelumnya!$J$330:$J$772,$K43,IuranSYSebelumnya!$M$330:$M$772,BB$11,IuranSYSebelumnya!$L$330:$L$772,"&lt;&gt;"&amp;$M$5)&gt;0,
              "Iuran dari Lingkungan lain",
              ""))</t>
  </si>
  <si>
    <t>=IF(COUNTIFS(IuranSYSebelumnya!$J$330:$J$772,$K43,IuranSYSebelumnya!$M$330:$M$772,BC$11,IuranSYSebelumnya!$L$330:$L$772,$M$5)&gt;0,
        VLOOKUP(CONCATENATE($K43,"|",BC$11,"|",$M$5),IuranSYSebelumnya!$I$330:$N$772,5,FALSE),
        IF(COUNTIFS(IuranSYSebelumnya!$J$330:$J$772,$K43,IuranSYSebelumnya!$M$330:$M$772,BC$11,IuranSYSebelumnya!$L$330:$L$772,"&lt;&gt;"&amp;$M$5)&gt;0,
              "Iuran dari Lingkungan lain",
              ""))</t>
  </si>
  <si>
    <t>=IF(COUNTIFS(IuranSYSebelumnya!$J$330:$J$772,$K43,IuranSYSebelumnya!$M$330:$M$772,BD$11,IuranSYSebelumnya!$L$330:$L$772,$M$5)&gt;0,
        VLOOKUP(CONCATENATE($K43,"|",BD$11,"|",$M$5),IuranSYSebelumnya!$I$330:$N$772,5,FALSE),
        IF(COUNTIFS(IuranSYSebelumnya!$J$330:$J$772,$K43,IuranSYSebelumnya!$M$330:$M$772,BD$11,IuranSYSebelumnya!$L$330:$L$772,"&lt;&gt;"&amp;$M$5)&gt;0,
              "Iuran dari Lingkungan lain",
              ""))</t>
  </si>
  <si>
    <t>=IF(COUNTIFS(IuranSYSebelumnya!$J$330:$J$772,$K43,IuranSYSebelumnya!$M$330:$M$772,BE$11,IuranSYSebelumnya!$L$330:$L$772,$M$5)&gt;0,
        VLOOKUP(CONCATENATE($K43,"|",BE$11,"|",$M$5),IuranSYSebelumnya!$I$330:$N$772,5,FALSE),
        IF(COUNTIFS(IuranSYSebelumnya!$J$330:$J$772,$K43,IuranSYSebelumnya!$M$330:$M$772,BE$11,IuranSYSebelumnya!$L$330:$L$772,"&lt;&gt;"&amp;$M$5)&gt;0,
              "Iuran dari Lingkungan lain",
              ""))</t>
  </si>
  <si>
    <t>=IF(COUNTIFS(IuranSYSebelumnya!$J$330:$J$772,$K43,IuranSYSebelumnya!$M$330:$M$772,BF$11,IuranSYSebelumnya!$L$330:$L$772,$M$5)&gt;0,
        VLOOKUP(CONCATENATE($K43,"|",BF$11,"|",$M$5),IuranSYSebelumnya!$I$330:$N$772,5,FALSE),
        IF(COUNTIFS(IuranSYSebelumnya!$J$330:$J$772,$K43,IuranSYSebelumnya!$M$330:$M$772,BF$11,IuranSYSebelumnya!$L$330:$L$772,"&lt;&gt;"&amp;$M$5)&gt;0,
              "Iuran dari Lingkungan lain",
              ""))</t>
  </si>
  <si>
    <t>=IF(COUNTIFS(IuranSYSebelumnya!$J$330:$J$772,$K43,IuranSYSebelumnya!$M$330:$M$772,BG$11,IuranSYSebelumnya!$L$330:$L$772,$M$5)&gt;0,
        VLOOKUP(CONCATENATE($K43,"|",BG$11,"|",$M$5),IuranSYSebelumnya!$I$330:$N$772,5,FALSE),
        IF(COUNTIFS(IuranSYSebelumnya!$J$330:$J$772,$K43,IuranSYSebelumnya!$M$330:$M$772,BG$11,IuranSYSebelumnya!$L$330:$L$772,"&lt;&gt;"&amp;$M$5)&gt;0,
              "Iuran dari Lingkungan lain",
              ""))</t>
  </si>
  <si>
    <t>=IF(COUNTIFS(IuranSYSebelumnya!$J$330:$J$772,$K43,IuranSYSebelumnya!$M$330:$M$772,BH$11,IuranSYSebelumnya!$L$330:$L$772,$M$5)&gt;0,
        VLOOKUP(CONCATENATE($K43,"|",BH$11,"|",$M$5),IuranSYSebelumnya!$I$330:$N$772,5,FALSE),
        IF(COUNTIFS(IuranSYSebelumnya!$J$330:$J$772,$K43,IuranSYSebelumnya!$M$330:$M$772,BH$11,IuranSYSebelumnya!$L$330:$L$772,"&lt;&gt;"&amp;$M$5)&gt;0,
              "Iuran dari Lingkungan lain",
              ""))</t>
  </si>
  <si>
    <t>=IF(COUNTIFS(IuranSYSebelumnya!$J$330:$J$772,$K43,IuranSYSebelumnya!$M$330:$M$772,BI$11,IuranSYSebelumnya!$L$330:$L$772,$M$5)&gt;0,
        VLOOKUP(CONCATENATE($K43,"|",BI$11,"|",$M$5),IuranSYSebelumnya!$I$330:$N$772,5,FALSE),
        IF(COUNTIFS(IuranSYSebelumnya!$J$330:$J$772,$K43,IuranSYSebelumnya!$M$330:$M$772,BI$11,IuranSYSebelumnya!$L$330:$L$772,"&lt;&gt;"&amp;$M$5)&gt;0,
              "Iuran dari Lingkungan lain",
              ""))</t>
  </si>
  <si>
    <t>=IF(COUNTIFS(IuranSYSebelumnya!$J$330:$J$772,$K43,IuranSYSebelumnya!$M$330:$M$772,BJ$11,IuranSYSebelumnya!$L$330:$L$772,$M$5)&gt;0,
        VLOOKUP(CONCATENATE($K43,"|",BJ$11,"|",$M$5),IuranSYSebelumnya!$I$330:$N$772,5,FALSE),
        IF(COUNTIFS(IuranSYSebelumnya!$J$330:$J$772,$K43,IuranSYSebelumnya!$M$330:$M$772,BJ$11,IuranSYSebelumnya!$L$330:$L$772,"&lt;&gt;"&amp;$M$5)&gt;0,
              "Iuran dari Lingkungan lain",
              ""))</t>
  </si>
  <si>
    <t>=IF(COUNTIFS(IuranSYSebelumnya!$J$330:$J$772,$K43,IuranSYSebelumnya!$M$330:$M$772,BK$11,IuranSYSebelumnya!$L$330:$L$772,$M$5)&gt;0,
        VLOOKUP(CONCATENATE($K43,"|",BK$11,"|",$M$5),IuranSYSebelumnya!$I$330:$N$772,5,FALSE),
        IF(COUNTIFS(IuranSYSebelumnya!$J$330:$J$772,$K43,IuranSYSebelumnya!$M$330:$M$772,BK$11,IuranSYSebelumnya!$L$330:$L$772,"&lt;&gt;"&amp;$M$5)&gt;0,
              "Iuran dari Lingkungan lain",
              ""))</t>
  </si>
  <si>
    <t>=IF(COUNTIFS(IuranSYSebelumnya!$J$330:$J$772,$K43,IuranSYSebelumnya!$M$330:$M$772,BL$11,IuranSYSebelumnya!$L$330:$L$772,$M$5)&gt;0,
        VLOOKUP(CONCATENATE($K43,"|",BL$11,"|",$M$5),IuranSYSebelumnya!$I$330:$N$772,5,FALSE),
        IF(COUNTIFS(IuranSYSebelumnya!$J$330:$J$772,$K43,IuranSYSebelumnya!$M$330:$M$772,BL$11,IuranSYSebelumnya!$L$330:$L$772,"&lt;&gt;"&amp;$M$5)&gt;0,
              "Iuran dari Lingkungan lain",
              ""))</t>
  </si>
  <si>
    <t>=IF(COUNTIFS(IuranSYSebelumnya!$J$330:$J$772,$K44,IuranSYSebelumnya!$M$330:$M$772,AO$11,IuranSYSebelumnya!$L$330:$L$772,$M$5)&gt;0,
        VLOOKUP(CONCATENATE($K44,"|",AO$11,"|",$M$5),IuranSYSebelumnya!$I$330:$N$772,5,FALSE),
        IF(COUNTIFS(IuranSYSebelumnya!$J$330:$J$772,$K44,IuranSYSebelumnya!$M$330:$M$772,AO$11,IuranSYSebelumnya!$L$330:$L$772,"&lt;&gt;"&amp;$M$5)&gt;0,
              "Iuran dari Lingkungan lain",
              ""))</t>
  </si>
  <si>
    <t>=IF(COUNTIFS(IuranSYSebelumnya!$J$330:$J$772,$K44,IuranSYSebelumnya!$M$330:$M$772,AP$11,IuranSYSebelumnya!$L$330:$L$772,$M$5)&gt;0,
        VLOOKUP(CONCATENATE($K44,"|",AP$11,"|",$M$5),IuranSYSebelumnya!$I$330:$N$772,5,FALSE),
        IF(COUNTIFS(IuranSYSebelumnya!$J$330:$J$772,$K44,IuranSYSebelumnya!$M$330:$M$772,AP$11,IuranSYSebelumnya!$L$330:$L$772,"&lt;&gt;"&amp;$M$5)&gt;0,
              "Iuran dari Lingkungan lain",
              ""))</t>
  </si>
  <si>
    <t>=IF(COUNTIFS(IuranSYSebelumnya!$J$330:$J$772,$K44,IuranSYSebelumnya!$M$330:$M$772,AQ$11,IuranSYSebelumnya!$L$330:$L$772,$M$5)&gt;0,
        VLOOKUP(CONCATENATE($K44,"|",AQ$11,"|",$M$5),IuranSYSebelumnya!$I$330:$N$772,5,FALSE),
        IF(COUNTIFS(IuranSYSebelumnya!$J$330:$J$772,$K44,IuranSYSebelumnya!$M$330:$M$772,AQ$11,IuranSYSebelumnya!$L$330:$L$772,"&lt;&gt;"&amp;$M$5)&gt;0,
              "Iuran dari Lingkungan lain",
              ""))</t>
  </si>
  <si>
    <t>=IF(COUNTIFS(IuranSYSebelumnya!$J$330:$J$772,$K44,IuranSYSebelumnya!$M$330:$M$772,AR$11,IuranSYSebelumnya!$L$330:$L$772,$M$5)&gt;0,
        VLOOKUP(CONCATENATE($K44,"|",AR$11,"|",$M$5),IuranSYSebelumnya!$I$330:$N$772,5,FALSE),
        IF(COUNTIFS(IuranSYSebelumnya!$J$330:$J$772,$K44,IuranSYSebelumnya!$M$330:$M$772,AR$11,IuranSYSebelumnya!$L$330:$L$772,"&lt;&gt;"&amp;$M$5)&gt;0,
              "Iuran dari Lingkungan lain",
              ""))</t>
  </si>
  <si>
    <t>=IF(COUNTIFS(IuranSYSebelumnya!$J$330:$J$772,$K44,IuranSYSebelumnya!$M$330:$M$772,AS$11,IuranSYSebelumnya!$L$330:$L$772,$M$5)&gt;0,
        VLOOKUP(CONCATENATE($K44,"|",AS$11,"|",$M$5),IuranSYSebelumnya!$I$330:$N$772,5,FALSE),
        IF(COUNTIFS(IuranSYSebelumnya!$J$330:$J$772,$K44,IuranSYSebelumnya!$M$330:$M$772,AS$11,IuranSYSebelumnya!$L$330:$L$772,"&lt;&gt;"&amp;$M$5)&gt;0,
              "Iuran dari Lingkungan lain",
              ""))</t>
  </si>
  <si>
    <t>=IF(COUNTIFS(IuranSYSebelumnya!$J$330:$J$772,$K44,IuranSYSebelumnya!$M$330:$M$772,AT$11,IuranSYSebelumnya!$L$330:$L$772,$M$5)&gt;0,
        VLOOKUP(CONCATENATE($K44,"|",AT$11,"|",$M$5),IuranSYSebelumnya!$I$330:$N$772,5,FALSE),
        IF(COUNTIFS(IuranSYSebelumnya!$J$330:$J$772,$K44,IuranSYSebelumnya!$M$330:$M$772,AT$11,IuranSYSebelumnya!$L$330:$L$772,"&lt;&gt;"&amp;$M$5)&gt;0,
              "Iuran dari Lingkungan lain",
              ""))</t>
  </si>
  <si>
    <t>=IF(COUNTIFS(IuranSYSebelumnya!$J$330:$J$772,$K44,IuranSYSebelumnya!$M$330:$M$772,AU$11,IuranSYSebelumnya!$L$330:$L$772,$M$5)&gt;0,
        VLOOKUP(CONCATENATE($K44,"|",AU$11,"|",$M$5),IuranSYSebelumnya!$I$330:$N$772,5,FALSE),
        IF(COUNTIFS(IuranSYSebelumnya!$J$330:$J$772,$K44,IuranSYSebelumnya!$M$330:$M$772,AU$11,IuranSYSebelumnya!$L$330:$L$772,"&lt;&gt;"&amp;$M$5)&gt;0,
              "Iuran dari Lingkungan lain",
              ""))</t>
  </si>
  <si>
    <t>=IF(COUNTIFS(IuranSYSebelumnya!$J$330:$J$772,$K44,IuranSYSebelumnya!$M$330:$M$772,AV$11,IuranSYSebelumnya!$L$330:$L$772,$M$5)&gt;0,
        VLOOKUP(CONCATENATE($K44,"|",AV$11,"|",$M$5),IuranSYSebelumnya!$I$330:$N$772,5,FALSE),
        IF(COUNTIFS(IuranSYSebelumnya!$J$330:$J$772,$K44,IuranSYSebelumnya!$M$330:$M$772,AV$11,IuranSYSebelumnya!$L$330:$L$772,"&lt;&gt;"&amp;$M$5)&gt;0,
              "Iuran dari Lingkungan lain",
              ""))</t>
  </si>
  <si>
    <t>=IF(COUNTIFS(IuranSYSebelumnya!$J$330:$J$772,$K44,IuranSYSebelumnya!$M$330:$M$772,AW$11,IuranSYSebelumnya!$L$330:$L$772,$M$5)&gt;0,
        VLOOKUP(CONCATENATE($K44,"|",AW$11,"|",$M$5),IuranSYSebelumnya!$I$330:$N$772,5,FALSE),
        IF(COUNTIFS(IuranSYSebelumnya!$J$330:$J$772,$K44,IuranSYSebelumnya!$M$330:$M$772,AW$11,IuranSYSebelumnya!$L$330:$L$772,"&lt;&gt;"&amp;$M$5)&gt;0,
              "Iuran dari Lingkungan lain",
              ""))</t>
  </si>
  <si>
    <t>=IF(COUNTIFS(IuranSYSebelumnya!$J$330:$J$772,$K44,IuranSYSebelumnya!$M$330:$M$772,AX$11,IuranSYSebelumnya!$L$330:$L$772,$M$5)&gt;0,
        VLOOKUP(CONCATENATE($K44,"|",AX$11,"|",$M$5),IuranSYSebelumnya!$I$330:$N$772,5,FALSE),
        IF(COUNTIFS(IuranSYSebelumnya!$J$330:$J$772,$K44,IuranSYSebelumnya!$M$330:$M$772,AX$11,IuranSYSebelumnya!$L$330:$L$772,"&lt;&gt;"&amp;$M$5)&gt;0,
              "Iuran dari Lingkungan lain",
              ""))</t>
  </si>
  <si>
    <t>=IF(COUNTIFS(IuranSYSebelumnya!$J$330:$J$772,$K44,IuranSYSebelumnya!$M$330:$M$772,AY$11,IuranSYSebelumnya!$L$330:$L$772,$M$5)&gt;0,
        VLOOKUP(CONCATENATE($K44,"|",AY$11,"|",$M$5),IuranSYSebelumnya!$I$330:$N$772,5,FALSE),
        IF(COUNTIFS(IuranSYSebelumnya!$J$330:$J$772,$K44,IuranSYSebelumnya!$M$330:$M$772,AY$11,IuranSYSebelumnya!$L$330:$L$772,"&lt;&gt;"&amp;$M$5)&gt;0,
              "Iuran dari Lingkungan lain",
              ""))</t>
  </si>
  <si>
    <t>=IF(COUNTIFS(IuranSYSebelumnya!$J$330:$J$772,$K44,IuranSYSebelumnya!$M$330:$M$772,AZ$11,IuranSYSebelumnya!$L$330:$L$772,$M$5)&gt;0,
        VLOOKUP(CONCATENATE($K44,"|",AZ$11,"|",$M$5),IuranSYSebelumnya!$I$330:$N$772,5,FALSE),
        IF(COUNTIFS(IuranSYSebelumnya!$J$330:$J$772,$K44,IuranSYSebelumnya!$M$330:$M$772,AZ$11,IuranSYSebelumnya!$L$330:$L$772,"&lt;&gt;"&amp;$M$5)&gt;0,
              "Iuran dari Lingkungan lain",
              ""))</t>
  </si>
  <si>
    <t>=IF(COUNTIFS(IuranSYSebelumnya!$J$330:$J$772,$K44,IuranSYSebelumnya!$M$330:$M$772,BA$11,IuranSYSebelumnya!$L$330:$L$772,$M$5)&gt;0,
        VLOOKUP(CONCATENATE($K44,"|",BA$11,"|",$M$5),IuranSYSebelumnya!$I$330:$N$772,5,FALSE),
        IF(COUNTIFS(IuranSYSebelumnya!$J$330:$J$772,$K44,IuranSYSebelumnya!$M$330:$M$772,BA$11,IuranSYSebelumnya!$L$330:$L$772,"&lt;&gt;"&amp;$M$5)&gt;0,
              "Iuran dari Lingkungan lain",
              ""))</t>
  </si>
  <si>
    <t>=IF(COUNTIFS(IuranSYSebelumnya!$J$330:$J$772,$K44,IuranSYSebelumnya!$M$330:$M$772,BB$11,IuranSYSebelumnya!$L$330:$L$772,$M$5)&gt;0,
        VLOOKUP(CONCATENATE($K44,"|",BB$11,"|",$M$5),IuranSYSebelumnya!$I$330:$N$772,5,FALSE),
        IF(COUNTIFS(IuranSYSebelumnya!$J$330:$J$772,$K44,IuranSYSebelumnya!$M$330:$M$772,BB$11,IuranSYSebelumnya!$L$330:$L$772,"&lt;&gt;"&amp;$M$5)&gt;0,
              "Iuran dari Lingkungan lain",
              ""))</t>
  </si>
  <si>
    <t>=IF(COUNTIFS(IuranSYSebelumnya!$J$330:$J$772,$K44,IuranSYSebelumnya!$M$330:$M$772,BC$11,IuranSYSebelumnya!$L$330:$L$772,$M$5)&gt;0,
        VLOOKUP(CONCATENATE($K44,"|",BC$11,"|",$M$5),IuranSYSebelumnya!$I$330:$N$772,5,FALSE),
        IF(COUNTIFS(IuranSYSebelumnya!$J$330:$J$772,$K44,IuranSYSebelumnya!$M$330:$M$772,BC$11,IuranSYSebelumnya!$L$330:$L$772,"&lt;&gt;"&amp;$M$5)&gt;0,
              "Iuran dari Lingkungan lain",
              ""))</t>
  </si>
  <si>
    <t>=IF(COUNTIFS(IuranSYSebelumnya!$J$330:$J$772,$K44,IuranSYSebelumnya!$M$330:$M$772,BD$11,IuranSYSebelumnya!$L$330:$L$772,$M$5)&gt;0,
        VLOOKUP(CONCATENATE($K44,"|",BD$11,"|",$M$5),IuranSYSebelumnya!$I$330:$N$772,5,FALSE),
        IF(COUNTIFS(IuranSYSebelumnya!$J$330:$J$772,$K44,IuranSYSebelumnya!$M$330:$M$772,BD$11,IuranSYSebelumnya!$L$330:$L$772,"&lt;&gt;"&amp;$M$5)&gt;0,
              "Iuran dari Lingkungan lain",
              ""))</t>
  </si>
  <si>
    <t>=IF(COUNTIFS(IuranSYSebelumnya!$J$330:$J$772,$K44,IuranSYSebelumnya!$M$330:$M$772,BE$11,IuranSYSebelumnya!$L$330:$L$772,$M$5)&gt;0,
        VLOOKUP(CONCATENATE($K44,"|",BE$11,"|",$M$5),IuranSYSebelumnya!$I$330:$N$772,5,FALSE),
        IF(COUNTIFS(IuranSYSebelumnya!$J$330:$J$772,$K44,IuranSYSebelumnya!$M$330:$M$772,BE$11,IuranSYSebelumnya!$L$330:$L$772,"&lt;&gt;"&amp;$M$5)&gt;0,
              "Iuran dari Lingkungan lain",
              ""))</t>
  </si>
  <si>
    <t>=IF(COUNTIFS(IuranSYSebelumnya!$J$330:$J$772,$K44,IuranSYSebelumnya!$M$330:$M$772,BF$11,IuranSYSebelumnya!$L$330:$L$772,$M$5)&gt;0,
        VLOOKUP(CONCATENATE($K44,"|",BF$11,"|",$M$5),IuranSYSebelumnya!$I$330:$N$772,5,FALSE),
        IF(COUNTIFS(IuranSYSebelumnya!$J$330:$J$772,$K44,IuranSYSebelumnya!$M$330:$M$772,BF$11,IuranSYSebelumnya!$L$330:$L$772,"&lt;&gt;"&amp;$M$5)&gt;0,
              "Iuran dari Lingkungan lain",
              ""))</t>
  </si>
  <si>
    <t>=IF(COUNTIFS(IuranSYSebelumnya!$J$330:$J$772,$K44,IuranSYSebelumnya!$M$330:$M$772,BG$11,IuranSYSebelumnya!$L$330:$L$772,$M$5)&gt;0,
        VLOOKUP(CONCATENATE($K44,"|",BG$11,"|",$M$5),IuranSYSebelumnya!$I$330:$N$772,5,FALSE),
        IF(COUNTIFS(IuranSYSebelumnya!$J$330:$J$772,$K44,IuranSYSebelumnya!$M$330:$M$772,BG$11,IuranSYSebelumnya!$L$330:$L$772,"&lt;&gt;"&amp;$M$5)&gt;0,
              "Iuran dari Lingkungan lain",
              ""))</t>
  </si>
  <si>
    <t>=IF(COUNTIFS(IuranSYSebelumnya!$J$330:$J$772,$K44,IuranSYSebelumnya!$M$330:$M$772,BH$11,IuranSYSebelumnya!$L$330:$L$772,$M$5)&gt;0,
        VLOOKUP(CONCATENATE($K44,"|",BH$11,"|",$M$5),IuranSYSebelumnya!$I$330:$N$772,5,FALSE),
        IF(COUNTIFS(IuranSYSebelumnya!$J$330:$J$772,$K44,IuranSYSebelumnya!$M$330:$M$772,BH$11,IuranSYSebelumnya!$L$330:$L$772,"&lt;&gt;"&amp;$M$5)&gt;0,
              "Iuran dari Lingkungan lain",
              ""))</t>
  </si>
  <si>
    <t>=IF(COUNTIFS(IuranSYSebelumnya!$J$330:$J$772,$K44,IuranSYSebelumnya!$M$330:$M$772,BI$11,IuranSYSebelumnya!$L$330:$L$772,$M$5)&gt;0,
        VLOOKUP(CONCATENATE($K44,"|",BI$11,"|",$M$5),IuranSYSebelumnya!$I$330:$N$772,5,FALSE),
        IF(COUNTIFS(IuranSYSebelumnya!$J$330:$J$772,$K44,IuranSYSebelumnya!$M$330:$M$772,BI$11,IuranSYSebelumnya!$L$330:$L$772,"&lt;&gt;"&amp;$M$5)&gt;0,
              "Iuran dari Lingkungan lain",
              ""))</t>
  </si>
  <si>
    <t>=IF(COUNTIFS(IuranSYSebelumnya!$J$330:$J$772,$K44,IuranSYSebelumnya!$M$330:$M$772,BJ$11,IuranSYSebelumnya!$L$330:$L$772,$M$5)&gt;0,
        VLOOKUP(CONCATENATE($K44,"|",BJ$11,"|",$M$5),IuranSYSebelumnya!$I$330:$N$772,5,FALSE),
        IF(COUNTIFS(IuranSYSebelumnya!$J$330:$J$772,$K44,IuranSYSebelumnya!$M$330:$M$772,BJ$11,IuranSYSebelumnya!$L$330:$L$772,"&lt;&gt;"&amp;$M$5)&gt;0,
              "Iuran dari Lingkungan lain",
              ""))</t>
  </si>
  <si>
    <t>=IF(COUNTIFS(IuranSYSebelumnya!$J$330:$J$772,$K44,IuranSYSebelumnya!$M$330:$M$772,BK$11,IuranSYSebelumnya!$L$330:$L$772,$M$5)&gt;0,
        VLOOKUP(CONCATENATE($K44,"|",BK$11,"|",$M$5),IuranSYSebelumnya!$I$330:$N$772,5,FALSE),
        IF(COUNTIFS(IuranSYSebelumnya!$J$330:$J$772,$K44,IuranSYSebelumnya!$M$330:$M$772,BK$11,IuranSYSebelumnya!$L$330:$L$772,"&lt;&gt;"&amp;$M$5)&gt;0,
              "Iuran dari Lingkungan lain",
              ""))</t>
  </si>
  <si>
    <t>=IF(COUNTIFS(IuranSYSebelumnya!$J$330:$J$772,$K44,IuranSYSebelumnya!$M$330:$M$772,BL$11,IuranSYSebelumnya!$L$330:$L$772,$M$5)&gt;0,
        VLOOKUP(CONCATENATE($K44,"|",BL$11,"|",$M$5),IuranSYSebelumnya!$I$330:$N$772,5,FALSE),
        IF(COUNTIFS(IuranSYSebelumnya!$J$330:$J$772,$K44,IuranSYSebelumnya!$M$330:$M$772,BL$11,IuranSYSebelumnya!$L$330:$L$772,"&lt;&gt;"&amp;$M$5)&gt;0,
              "Iuran dari Lingkungan lain",
              ""))</t>
  </si>
  <si>
    <t>=IF(COUNTIFS(IuranSYSebelumnya!$J$330:$J$772,$K45,IuranSYSebelumnya!$M$330:$M$772,AO$11,IuranSYSebelumnya!$L$330:$L$772,$M$5)&gt;0,
        VLOOKUP(CONCATENATE($K45,"|",AO$11,"|",$M$5),IuranSYSebelumnya!$I$330:$N$772,5,FALSE),
        IF(COUNTIFS(IuranSYSebelumnya!$J$330:$J$772,$K45,IuranSYSebelumnya!$M$330:$M$772,AO$11,IuranSYSebelumnya!$L$330:$L$772,"&lt;&gt;"&amp;$M$5)&gt;0,
              "Iuran dari Lingkungan lain",
              ""))</t>
  </si>
  <si>
    <t>=IF(COUNTIFS(IuranSYSebelumnya!$J$330:$J$772,$K45,IuranSYSebelumnya!$M$330:$M$772,AP$11,IuranSYSebelumnya!$L$330:$L$772,$M$5)&gt;0,
        VLOOKUP(CONCATENATE($K45,"|",AP$11,"|",$M$5),IuranSYSebelumnya!$I$330:$N$772,5,FALSE),
        IF(COUNTIFS(IuranSYSebelumnya!$J$330:$J$772,$K45,IuranSYSebelumnya!$M$330:$M$772,AP$11,IuranSYSebelumnya!$L$330:$L$772,"&lt;&gt;"&amp;$M$5)&gt;0,
              "Iuran dari Lingkungan lain",
              ""))</t>
  </si>
  <si>
    <t>=IF(COUNTIFS(IuranSYSebelumnya!$J$330:$J$772,$K45,IuranSYSebelumnya!$M$330:$M$772,AQ$11,IuranSYSebelumnya!$L$330:$L$772,$M$5)&gt;0,
        VLOOKUP(CONCATENATE($K45,"|",AQ$11,"|",$M$5),IuranSYSebelumnya!$I$330:$N$772,5,FALSE),
        IF(COUNTIFS(IuranSYSebelumnya!$J$330:$J$772,$K45,IuranSYSebelumnya!$M$330:$M$772,AQ$11,IuranSYSebelumnya!$L$330:$L$772,"&lt;&gt;"&amp;$M$5)&gt;0,
              "Iuran dari Lingkungan lain",
              ""))</t>
  </si>
  <si>
    <t>=IF(COUNTIFS(IuranSYSebelumnya!$J$330:$J$772,$K45,IuranSYSebelumnya!$M$330:$M$772,AR$11,IuranSYSebelumnya!$L$330:$L$772,$M$5)&gt;0,
        VLOOKUP(CONCATENATE($K45,"|",AR$11,"|",$M$5),IuranSYSebelumnya!$I$330:$N$772,5,FALSE),
        IF(COUNTIFS(IuranSYSebelumnya!$J$330:$J$772,$K45,IuranSYSebelumnya!$M$330:$M$772,AR$11,IuranSYSebelumnya!$L$330:$L$772,"&lt;&gt;"&amp;$M$5)&gt;0,
              "Iuran dari Lingkungan lain",
              ""))</t>
  </si>
  <si>
    <t>=IF(COUNTIFS(IuranSYSebelumnya!$J$330:$J$772,$K45,IuranSYSebelumnya!$M$330:$M$772,AS$11,IuranSYSebelumnya!$L$330:$L$772,$M$5)&gt;0,
        VLOOKUP(CONCATENATE($K45,"|",AS$11,"|",$M$5),IuranSYSebelumnya!$I$330:$N$772,5,FALSE),
        IF(COUNTIFS(IuranSYSebelumnya!$J$330:$J$772,$K45,IuranSYSebelumnya!$M$330:$M$772,AS$11,IuranSYSebelumnya!$L$330:$L$772,"&lt;&gt;"&amp;$M$5)&gt;0,
              "Iuran dari Lingkungan lain",
              ""))</t>
  </si>
  <si>
    <t>=IF(COUNTIFS(IuranSYSebelumnya!$J$330:$J$772,$K45,IuranSYSebelumnya!$M$330:$M$772,AT$11,IuranSYSebelumnya!$L$330:$L$772,$M$5)&gt;0,
        VLOOKUP(CONCATENATE($K45,"|",AT$11,"|",$M$5),IuranSYSebelumnya!$I$330:$N$772,5,FALSE),
        IF(COUNTIFS(IuranSYSebelumnya!$J$330:$J$772,$K45,IuranSYSebelumnya!$M$330:$M$772,AT$11,IuranSYSebelumnya!$L$330:$L$772,"&lt;&gt;"&amp;$M$5)&gt;0,
              "Iuran dari Lingkungan lain",
              ""))</t>
  </si>
  <si>
    <t>=IF(COUNTIFS(IuranSYSebelumnya!$J$330:$J$772,$K45,IuranSYSebelumnya!$M$330:$M$772,AU$11,IuranSYSebelumnya!$L$330:$L$772,$M$5)&gt;0,
        VLOOKUP(CONCATENATE($K45,"|",AU$11,"|",$M$5),IuranSYSebelumnya!$I$330:$N$772,5,FALSE),
        IF(COUNTIFS(IuranSYSebelumnya!$J$330:$J$772,$K45,IuranSYSebelumnya!$M$330:$M$772,AU$11,IuranSYSebelumnya!$L$330:$L$772,"&lt;&gt;"&amp;$M$5)&gt;0,
              "Iuran dari Lingkungan lain",
              ""))</t>
  </si>
  <si>
    <t>=IF(COUNTIFS(IuranSYSebelumnya!$J$330:$J$772,$K45,IuranSYSebelumnya!$M$330:$M$772,AV$11,IuranSYSebelumnya!$L$330:$L$772,$M$5)&gt;0,
        VLOOKUP(CONCATENATE($K45,"|",AV$11,"|",$M$5),IuranSYSebelumnya!$I$330:$N$772,5,FALSE),
        IF(COUNTIFS(IuranSYSebelumnya!$J$330:$J$772,$K45,IuranSYSebelumnya!$M$330:$M$772,AV$11,IuranSYSebelumnya!$L$330:$L$772,"&lt;&gt;"&amp;$M$5)&gt;0,
              "Iuran dari Lingkungan lain",
              ""))</t>
  </si>
  <si>
    <t>=IF(COUNTIFS(IuranSYSebelumnya!$J$330:$J$772,$K45,IuranSYSebelumnya!$M$330:$M$772,AW$11,IuranSYSebelumnya!$L$330:$L$772,$M$5)&gt;0,
        VLOOKUP(CONCATENATE($K45,"|",AW$11,"|",$M$5),IuranSYSebelumnya!$I$330:$N$772,5,FALSE),
        IF(COUNTIFS(IuranSYSebelumnya!$J$330:$J$772,$K45,IuranSYSebelumnya!$M$330:$M$772,AW$11,IuranSYSebelumnya!$L$330:$L$772,"&lt;&gt;"&amp;$M$5)&gt;0,
              "Iuran dari Lingkungan lain",
              ""))</t>
  </si>
  <si>
    <t>=IF(COUNTIFS(IuranSYSebelumnya!$J$330:$J$772,$K45,IuranSYSebelumnya!$M$330:$M$772,AX$11,IuranSYSebelumnya!$L$330:$L$772,$M$5)&gt;0,
        VLOOKUP(CONCATENATE($K45,"|",AX$11,"|",$M$5),IuranSYSebelumnya!$I$330:$N$772,5,FALSE),
        IF(COUNTIFS(IuranSYSebelumnya!$J$330:$J$772,$K45,IuranSYSebelumnya!$M$330:$M$772,AX$11,IuranSYSebelumnya!$L$330:$L$772,"&lt;&gt;"&amp;$M$5)&gt;0,
              "Iuran dari Lingkungan lain",
              ""))</t>
  </si>
  <si>
    <t>=IF(COUNTIFS(IuranSYSebelumnya!$J$330:$J$772,$K45,IuranSYSebelumnya!$M$330:$M$772,AY$11,IuranSYSebelumnya!$L$330:$L$772,$M$5)&gt;0,
        VLOOKUP(CONCATENATE($K45,"|",AY$11,"|",$M$5),IuranSYSebelumnya!$I$330:$N$772,5,FALSE),
        IF(COUNTIFS(IuranSYSebelumnya!$J$330:$J$772,$K45,IuranSYSebelumnya!$M$330:$M$772,AY$11,IuranSYSebelumnya!$L$330:$L$772,"&lt;&gt;"&amp;$M$5)&gt;0,
              "Iuran dari Lingkungan lain",
              ""))</t>
  </si>
  <si>
    <t>=IF(COUNTIFS(IuranSYSebelumnya!$J$330:$J$772,$K45,IuranSYSebelumnya!$M$330:$M$772,AZ$11,IuranSYSebelumnya!$L$330:$L$772,$M$5)&gt;0,
        VLOOKUP(CONCATENATE($K45,"|",AZ$11,"|",$M$5),IuranSYSebelumnya!$I$330:$N$772,5,FALSE),
        IF(COUNTIFS(IuranSYSebelumnya!$J$330:$J$772,$K45,IuranSYSebelumnya!$M$330:$M$772,AZ$11,IuranSYSebelumnya!$L$330:$L$772,"&lt;&gt;"&amp;$M$5)&gt;0,
              "Iuran dari Lingkungan lain",
              ""))</t>
  </si>
  <si>
    <t>=IF(COUNTIFS(IuranSYSebelumnya!$J$330:$J$772,$K45,IuranSYSebelumnya!$M$330:$M$772,BA$11,IuranSYSebelumnya!$L$330:$L$772,$M$5)&gt;0,
        VLOOKUP(CONCATENATE($K45,"|",BA$11,"|",$M$5),IuranSYSebelumnya!$I$330:$N$772,5,FALSE),
        IF(COUNTIFS(IuranSYSebelumnya!$J$330:$J$772,$K45,IuranSYSebelumnya!$M$330:$M$772,BA$11,IuranSYSebelumnya!$L$330:$L$772,"&lt;&gt;"&amp;$M$5)&gt;0,
              "Iuran dari Lingkungan lain",
              ""))</t>
  </si>
  <si>
    <t>=IF(COUNTIFS(IuranSYSebelumnya!$J$330:$J$772,$K45,IuranSYSebelumnya!$M$330:$M$772,BB$11,IuranSYSebelumnya!$L$330:$L$772,$M$5)&gt;0,
        VLOOKUP(CONCATENATE($K45,"|",BB$11,"|",$M$5),IuranSYSebelumnya!$I$330:$N$772,5,FALSE),
        IF(COUNTIFS(IuranSYSebelumnya!$J$330:$J$772,$K45,IuranSYSebelumnya!$M$330:$M$772,BB$11,IuranSYSebelumnya!$L$330:$L$772,"&lt;&gt;"&amp;$M$5)&gt;0,
              "Iuran dari Lingkungan lain",
              ""))</t>
  </si>
  <si>
    <t>=IF(COUNTIFS(IuranSYSebelumnya!$J$330:$J$772,$K45,IuranSYSebelumnya!$M$330:$M$772,BC$11,IuranSYSebelumnya!$L$330:$L$772,$M$5)&gt;0,
        VLOOKUP(CONCATENATE($K45,"|",BC$11,"|",$M$5),IuranSYSebelumnya!$I$330:$N$772,5,FALSE),
        IF(COUNTIFS(IuranSYSebelumnya!$J$330:$J$772,$K45,IuranSYSebelumnya!$M$330:$M$772,BC$11,IuranSYSebelumnya!$L$330:$L$772,"&lt;&gt;"&amp;$M$5)&gt;0,
              "Iuran dari Lingkungan lain",
              ""))</t>
  </si>
  <si>
    <t>=IF(COUNTIFS(IuranSYSebelumnya!$J$330:$J$772,$K45,IuranSYSebelumnya!$M$330:$M$772,BD$11,IuranSYSebelumnya!$L$330:$L$772,$M$5)&gt;0,
        VLOOKUP(CONCATENATE($K45,"|",BD$11,"|",$M$5),IuranSYSebelumnya!$I$330:$N$772,5,FALSE),
        IF(COUNTIFS(IuranSYSebelumnya!$J$330:$J$772,$K45,IuranSYSebelumnya!$M$330:$M$772,BD$11,IuranSYSebelumnya!$L$330:$L$772,"&lt;&gt;"&amp;$M$5)&gt;0,
              "Iuran dari Lingkungan lain",
              ""))</t>
  </si>
  <si>
    <t>=IF(COUNTIFS(IuranSYSebelumnya!$J$330:$J$772,$K45,IuranSYSebelumnya!$M$330:$M$772,BE$11,IuranSYSebelumnya!$L$330:$L$772,$M$5)&gt;0,
        VLOOKUP(CONCATENATE($K45,"|",BE$11,"|",$M$5),IuranSYSebelumnya!$I$330:$N$772,5,FALSE),
        IF(COUNTIFS(IuranSYSebelumnya!$J$330:$J$772,$K45,IuranSYSebelumnya!$M$330:$M$772,BE$11,IuranSYSebelumnya!$L$330:$L$772,"&lt;&gt;"&amp;$M$5)&gt;0,
              "Iuran dari Lingkungan lain",
              ""))</t>
  </si>
  <si>
    <t>=IF(COUNTIFS(IuranSYSebelumnya!$J$330:$J$772,$K45,IuranSYSebelumnya!$M$330:$M$772,BF$11,IuranSYSebelumnya!$L$330:$L$772,$M$5)&gt;0,
        VLOOKUP(CONCATENATE($K45,"|",BF$11,"|",$M$5),IuranSYSebelumnya!$I$330:$N$772,5,FALSE),
        IF(COUNTIFS(IuranSYSebelumnya!$J$330:$J$772,$K45,IuranSYSebelumnya!$M$330:$M$772,BF$11,IuranSYSebelumnya!$L$330:$L$772,"&lt;&gt;"&amp;$M$5)&gt;0,
              "Iuran dari Lingkungan lain",
              ""))</t>
  </si>
  <si>
    <t>=IF(COUNTIFS(IuranSYSebelumnya!$J$330:$J$772,$K45,IuranSYSebelumnya!$M$330:$M$772,BG$11,IuranSYSebelumnya!$L$330:$L$772,$M$5)&gt;0,
        VLOOKUP(CONCATENATE($K45,"|",BG$11,"|",$M$5),IuranSYSebelumnya!$I$330:$N$772,5,FALSE),
        IF(COUNTIFS(IuranSYSebelumnya!$J$330:$J$772,$K45,IuranSYSebelumnya!$M$330:$M$772,BG$11,IuranSYSebelumnya!$L$330:$L$772,"&lt;&gt;"&amp;$M$5)&gt;0,
              "Iuran dari Lingkungan lain",
              ""))</t>
  </si>
  <si>
    <t>=IF(COUNTIFS(IuranSYSebelumnya!$J$330:$J$772,$K45,IuranSYSebelumnya!$M$330:$M$772,BH$11,IuranSYSebelumnya!$L$330:$L$772,$M$5)&gt;0,
        VLOOKUP(CONCATENATE($K45,"|",BH$11,"|",$M$5),IuranSYSebelumnya!$I$330:$N$772,5,FALSE),
        IF(COUNTIFS(IuranSYSebelumnya!$J$330:$J$772,$K45,IuranSYSebelumnya!$M$330:$M$772,BH$11,IuranSYSebelumnya!$L$330:$L$772,"&lt;&gt;"&amp;$M$5)&gt;0,
              "Iuran dari Lingkungan lain",
              ""))</t>
  </si>
  <si>
    <t>=IF(COUNTIFS(IuranSYSebelumnya!$J$330:$J$772,$K45,IuranSYSebelumnya!$M$330:$M$772,BI$11,IuranSYSebelumnya!$L$330:$L$772,$M$5)&gt;0,
        VLOOKUP(CONCATENATE($K45,"|",BI$11,"|",$M$5),IuranSYSebelumnya!$I$330:$N$772,5,FALSE),
        IF(COUNTIFS(IuranSYSebelumnya!$J$330:$J$772,$K45,IuranSYSebelumnya!$M$330:$M$772,BI$11,IuranSYSebelumnya!$L$330:$L$772,"&lt;&gt;"&amp;$M$5)&gt;0,
              "Iuran dari Lingkungan lain",
              ""))</t>
  </si>
  <si>
    <t>=IF(COUNTIFS(IuranSYSebelumnya!$J$330:$J$772,$K45,IuranSYSebelumnya!$M$330:$M$772,BJ$11,IuranSYSebelumnya!$L$330:$L$772,$M$5)&gt;0,
        VLOOKUP(CONCATENATE($K45,"|",BJ$11,"|",$M$5),IuranSYSebelumnya!$I$330:$N$772,5,FALSE),
        IF(COUNTIFS(IuranSYSebelumnya!$J$330:$J$772,$K45,IuranSYSebelumnya!$M$330:$M$772,BJ$11,IuranSYSebelumnya!$L$330:$L$772,"&lt;&gt;"&amp;$M$5)&gt;0,
              "Iuran dari Lingkungan lain",
              ""))</t>
  </si>
  <si>
    <t>=IF(COUNTIFS(IuranSYSebelumnya!$J$330:$J$772,$K45,IuranSYSebelumnya!$M$330:$M$772,BK$11,IuranSYSebelumnya!$L$330:$L$772,$M$5)&gt;0,
        VLOOKUP(CONCATENATE($K45,"|",BK$11,"|",$M$5),IuranSYSebelumnya!$I$330:$N$772,5,FALSE),
        IF(COUNTIFS(IuranSYSebelumnya!$J$330:$J$772,$K45,IuranSYSebelumnya!$M$330:$M$772,BK$11,IuranSYSebelumnya!$L$330:$L$772,"&lt;&gt;"&amp;$M$5)&gt;0,
              "Iuran dari Lingkungan lain",
              ""))</t>
  </si>
  <si>
    <t>=IF(COUNTIFS(IuranSYSebelumnya!$J$330:$J$772,$K45,IuranSYSebelumnya!$M$330:$M$772,BL$11,IuranSYSebelumnya!$L$330:$L$772,$M$5)&gt;0,
        VLOOKUP(CONCATENATE($K45,"|",BL$11,"|",$M$5),IuranSYSebelumnya!$I$330:$N$772,5,FALSE),
        IF(COUNTIFS(IuranSYSebelumnya!$J$330:$J$772,$K45,IuranSYSebelumnya!$M$330:$M$772,BL$11,IuranSYSebelumnya!$L$330:$L$772,"&lt;&gt;"&amp;$M$5)&gt;0,
              "Iuran dari Lingkungan lain",
              ""))</t>
  </si>
  <si>
    <t>=IF(COUNTIFS(IuranSYSebelumnya!$J$330:$J$772,$K46,IuranSYSebelumnya!$M$330:$M$772,AO$11,IuranSYSebelumnya!$L$330:$L$772,$M$5)&gt;0,
        VLOOKUP(CONCATENATE($K46,"|",AO$11,"|",$M$5),IuranSYSebelumnya!$I$330:$N$772,5,FALSE),
        IF(COUNTIFS(IuranSYSebelumnya!$J$330:$J$772,$K46,IuranSYSebelumnya!$M$330:$M$772,AO$11,IuranSYSebelumnya!$L$330:$L$772,"&lt;&gt;"&amp;$M$5)&gt;0,
              "Iuran dari Lingkungan lain",
              ""))</t>
  </si>
  <si>
    <t>=IF(COUNTIFS(IuranSYSebelumnya!$J$330:$J$772,$K46,IuranSYSebelumnya!$M$330:$M$772,AP$11,IuranSYSebelumnya!$L$330:$L$772,$M$5)&gt;0,
        VLOOKUP(CONCATENATE($K46,"|",AP$11,"|",$M$5),IuranSYSebelumnya!$I$330:$N$772,5,FALSE),
        IF(COUNTIFS(IuranSYSebelumnya!$J$330:$J$772,$K46,IuranSYSebelumnya!$M$330:$M$772,AP$11,IuranSYSebelumnya!$L$330:$L$772,"&lt;&gt;"&amp;$M$5)&gt;0,
              "Iuran dari Lingkungan lain",
              ""))</t>
  </si>
  <si>
    <t>=IF(COUNTIFS(IuranSYSebelumnya!$J$330:$J$772,$K46,IuranSYSebelumnya!$M$330:$M$772,AQ$11,IuranSYSebelumnya!$L$330:$L$772,$M$5)&gt;0,
        VLOOKUP(CONCATENATE($K46,"|",AQ$11,"|",$M$5),IuranSYSebelumnya!$I$330:$N$772,5,FALSE),
        IF(COUNTIFS(IuranSYSebelumnya!$J$330:$J$772,$K46,IuranSYSebelumnya!$M$330:$M$772,AQ$11,IuranSYSebelumnya!$L$330:$L$772,"&lt;&gt;"&amp;$M$5)&gt;0,
              "Iuran dari Lingkungan lain",
              ""))</t>
  </si>
  <si>
    <t>=IF(COUNTIFS(IuranSYSebelumnya!$J$330:$J$772,$K46,IuranSYSebelumnya!$M$330:$M$772,AR$11,IuranSYSebelumnya!$L$330:$L$772,$M$5)&gt;0,
        VLOOKUP(CONCATENATE($K46,"|",AR$11,"|",$M$5),IuranSYSebelumnya!$I$330:$N$772,5,FALSE),
        IF(COUNTIFS(IuranSYSebelumnya!$J$330:$J$772,$K46,IuranSYSebelumnya!$M$330:$M$772,AR$11,IuranSYSebelumnya!$L$330:$L$772,"&lt;&gt;"&amp;$M$5)&gt;0,
              "Iuran dari Lingkungan lain",
              ""))</t>
  </si>
  <si>
    <t>=IF(COUNTIFS(IuranSYSebelumnya!$J$330:$J$772,$K46,IuranSYSebelumnya!$M$330:$M$772,AS$11,IuranSYSebelumnya!$L$330:$L$772,$M$5)&gt;0,
        VLOOKUP(CONCATENATE($K46,"|",AS$11,"|",$M$5),IuranSYSebelumnya!$I$330:$N$772,5,FALSE),
        IF(COUNTIFS(IuranSYSebelumnya!$J$330:$J$772,$K46,IuranSYSebelumnya!$M$330:$M$772,AS$11,IuranSYSebelumnya!$L$330:$L$772,"&lt;&gt;"&amp;$M$5)&gt;0,
              "Iuran dari Lingkungan lain",
              ""))</t>
  </si>
  <si>
    <t>=IF(COUNTIFS(IuranSYSebelumnya!$J$330:$J$772,$K46,IuranSYSebelumnya!$M$330:$M$772,AT$11,IuranSYSebelumnya!$L$330:$L$772,$M$5)&gt;0,
        VLOOKUP(CONCATENATE($K46,"|",AT$11,"|",$M$5),IuranSYSebelumnya!$I$330:$N$772,5,FALSE),
        IF(COUNTIFS(IuranSYSebelumnya!$J$330:$J$772,$K46,IuranSYSebelumnya!$M$330:$M$772,AT$11,IuranSYSebelumnya!$L$330:$L$772,"&lt;&gt;"&amp;$M$5)&gt;0,
              "Iuran dari Lingkungan lain",
              ""))</t>
  </si>
  <si>
    <t>=IF(COUNTIFS(IuranSYSebelumnya!$J$330:$J$772,$K46,IuranSYSebelumnya!$M$330:$M$772,AU$11,IuranSYSebelumnya!$L$330:$L$772,$M$5)&gt;0,
        VLOOKUP(CONCATENATE($K46,"|",AU$11,"|",$M$5),IuranSYSebelumnya!$I$330:$N$772,5,FALSE),
        IF(COUNTIFS(IuranSYSebelumnya!$J$330:$J$772,$K46,IuranSYSebelumnya!$M$330:$M$772,AU$11,IuranSYSebelumnya!$L$330:$L$772,"&lt;&gt;"&amp;$M$5)&gt;0,
              "Iuran dari Lingkungan lain",
              ""))</t>
  </si>
  <si>
    <t>=IF(COUNTIFS(IuranSYSebelumnya!$J$330:$J$772,$K46,IuranSYSebelumnya!$M$330:$M$772,AV$11,IuranSYSebelumnya!$L$330:$L$772,$M$5)&gt;0,
        VLOOKUP(CONCATENATE($K46,"|",AV$11,"|",$M$5),IuranSYSebelumnya!$I$330:$N$772,5,FALSE),
        IF(COUNTIFS(IuranSYSebelumnya!$J$330:$J$772,$K46,IuranSYSebelumnya!$M$330:$M$772,AV$11,IuranSYSebelumnya!$L$330:$L$772,"&lt;&gt;"&amp;$M$5)&gt;0,
              "Iuran dari Lingkungan lain",
              ""))</t>
  </si>
  <si>
    <t>=IF(COUNTIFS(IuranSYSebelumnya!$J$330:$J$772,$K46,IuranSYSebelumnya!$M$330:$M$772,AW$11,IuranSYSebelumnya!$L$330:$L$772,$M$5)&gt;0,
        VLOOKUP(CONCATENATE($K46,"|",AW$11,"|",$M$5),IuranSYSebelumnya!$I$330:$N$772,5,FALSE),
        IF(COUNTIFS(IuranSYSebelumnya!$J$330:$J$772,$K46,IuranSYSebelumnya!$M$330:$M$772,AW$11,IuranSYSebelumnya!$L$330:$L$772,"&lt;&gt;"&amp;$M$5)&gt;0,
              "Iuran dari Lingkungan lain",
              ""))</t>
  </si>
  <si>
    <t>=IF(COUNTIFS(IuranSYSebelumnya!$J$330:$J$772,$K46,IuranSYSebelumnya!$M$330:$M$772,AX$11,IuranSYSebelumnya!$L$330:$L$772,$M$5)&gt;0,
        VLOOKUP(CONCATENATE($K46,"|",AX$11,"|",$M$5),IuranSYSebelumnya!$I$330:$N$772,5,FALSE),
        IF(COUNTIFS(IuranSYSebelumnya!$J$330:$J$772,$K46,IuranSYSebelumnya!$M$330:$M$772,AX$11,IuranSYSebelumnya!$L$330:$L$772,"&lt;&gt;"&amp;$M$5)&gt;0,
              "Iuran dari Lingkungan lain",
              ""))</t>
  </si>
  <si>
    <t>=IF(COUNTIFS(IuranSYSebelumnya!$J$330:$J$772,$K46,IuranSYSebelumnya!$M$330:$M$772,AY$11,IuranSYSebelumnya!$L$330:$L$772,$M$5)&gt;0,
        VLOOKUP(CONCATENATE($K46,"|",AY$11,"|",$M$5),IuranSYSebelumnya!$I$330:$N$772,5,FALSE),
        IF(COUNTIFS(IuranSYSebelumnya!$J$330:$J$772,$K46,IuranSYSebelumnya!$M$330:$M$772,AY$11,IuranSYSebelumnya!$L$330:$L$772,"&lt;&gt;"&amp;$M$5)&gt;0,
              "Iuran dari Lingkungan lain",
              ""))</t>
  </si>
  <si>
    <t>=IF(COUNTIFS(IuranSYSebelumnya!$J$330:$J$772,$K46,IuranSYSebelumnya!$M$330:$M$772,AZ$11,IuranSYSebelumnya!$L$330:$L$772,$M$5)&gt;0,
        VLOOKUP(CONCATENATE($K46,"|",AZ$11,"|",$M$5),IuranSYSebelumnya!$I$330:$N$772,5,FALSE),
        IF(COUNTIFS(IuranSYSebelumnya!$J$330:$J$772,$K46,IuranSYSebelumnya!$M$330:$M$772,AZ$11,IuranSYSebelumnya!$L$330:$L$772,"&lt;&gt;"&amp;$M$5)&gt;0,
              "Iuran dari Lingkungan lain",
              ""))</t>
  </si>
  <si>
    <t>=IF(COUNTIFS(IuranSYSebelumnya!$J$330:$J$772,$K46,IuranSYSebelumnya!$M$330:$M$772,BA$11,IuranSYSebelumnya!$L$330:$L$772,$M$5)&gt;0,
        VLOOKUP(CONCATENATE($K46,"|",BA$11,"|",$M$5),IuranSYSebelumnya!$I$330:$N$772,5,FALSE),
        IF(COUNTIFS(IuranSYSebelumnya!$J$330:$J$772,$K46,IuranSYSebelumnya!$M$330:$M$772,BA$11,IuranSYSebelumnya!$L$330:$L$772,"&lt;&gt;"&amp;$M$5)&gt;0,
              "Iuran dari Lingkungan lain",
              ""))</t>
  </si>
  <si>
    <t>=IF(COUNTIFS(IuranSYSebelumnya!$J$330:$J$772,$K46,IuranSYSebelumnya!$M$330:$M$772,BB$11,IuranSYSebelumnya!$L$330:$L$772,$M$5)&gt;0,
        VLOOKUP(CONCATENATE($K46,"|",BB$11,"|",$M$5),IuranSYSebelumnya!$I$330:$N$772,5,FALSE),
        IF(COUNTIFS(IuranSYSebelumnya!$J$330:$J$772,$K46,IuranSYSebelumnya!$M$330:$M$772,BB$11,IuranSYSebelumnya!$L$330:$L$772,"&lt;&gt;"&amp;$M$5)&gt;0,
              "Iuran dari Lingkungan lain",
              ""))</t>
  </si>
  <si>
    <t>=IF(COUNTIFS(IuranSYSebelumnya!$J$330:$J$772,$K46,IuranSYSebelumnya!$M$330:$M$772,BC$11,IuranSYSebelumnya!$L$330:$L$772,$M$5)&gt;0,
        VLOOKUP(CONCATENATE($K46,"|",BC$11,"|",$M$5),IuranSYSebelumnya!$I$330:$N$772,5,FALSE),
        IF(COUNTIFS(IuranSYSebelumnya!$J$330:$J$772,$K46,IuranSYSebelumnya!$M$330:$M$772,BC$11,IuranSYSebelumnya!$L$330:$L$772,"&lt;&gt;"&amp;$M$5)&gt;0,
              "Iuran dari Lingkungan lain",
              ""))</t>
  </si>
  <si>
    <t>=IF(COUNTIFS(IuranSYSebelumnya!$J$330:$J$772,$K46,IuranSYSebelumnya!$M$330:$M$772,BD$11,IuranSYSebelumnya!$L$330:$L$772,$M$5)&gt;0,
        VLOOKUP(CONCATENATE($K46,"|",BD$11,"|",$M$5),IuranSYSebelumnya!$I$330:$N$772,5,FALSE),
        IF(COUNTIFS(IuranSYSebelumnya!$J$330:$J$772,$K46,IuranSYSebelumnya!$M$330:$M$772,BD$11,IuranSYSebelumnya!$L$330:$L$772,"&lt;&gt;"&amp;$M$5)&gt;0,
              "Iuran dari Lingkungan lain",
              ""))</t>
  </si>
  <si>
    <t>=IF(COUNTIFS(IuranSYSebelumnya!$J$330:$J$772,$K46,IuranSYSebelumnya!$M$330:$M$772,BE$11,IuranSYSebelumnya!$L$330:$L$772,$M$5)&gt;0,
        VLOOKUP(CONCATENATE($K46,"|",BE$11,"|",$M$5),IuranSYSebelumnya!$I$330:$N$772,5,FALSE),
        IF(COUNTIFS(IuranSYSebelumnya!$J$330:$J$772,$K46,IuranSYSebelumnya!$M$330:$M$772,BE$11,IuranSYSebelumnya!$L$330:$L$772,"&lt;&gt;"&amp;$M$5)&gt;0,
              "Iuran dari Lingkungan lain",
              ""))</t>
  </si>
  <si>
    <t>=IF(COUNTIFS(IuranSYSebelumnya!$J$330:$J$772,$K46,IuranSYSebelumnya!$M$330:$M$772,BF$11,IuranSYSebelumnya!$L$330:$L$772,$M$5)&gt;0,
        VLOOKUP(CONCATENATE($K46,"|",BF$11,"|",$M$5),IuranSYSebelumnya!$I$330:$N$772,5,FALSE),
        IF(COUNTIFS(IuranSYSebelumnya!$J$330:$J$772,$K46,IuranSYSebelumnya!$M$330:$M$772,BF$11,IuranSYSebelumnya!$L$330:$L$772,"&lt;&gt;"&amp;$M$5)&gt;0,
              "Iuran dari Lingkungan lain",
              ""))</t>
  </si>
  <si>
    <t>=IF(COUNTIFS(IuranSYSebelumnya!$J$330:$J$772,$K46,IuranSYSebelumnya!$M$330:$M$772,BG$11,IuranSYSebelumnya!$L$330:$L$772,$M$5)&gt;0,
        VLOOKUP(CONCATENATE($K46,"|",BG$11,"|",$M$5),IuranSYSebelumnya!$I$330:$N$772,5,FALSE),
        IF(COUNTIFS(IuranSYSebelumnya!$J$330:$J$772,$K46,IuranSYSebelumnya!$M$330:$M$772,BG$11,IuranSYSebelumnya!$L$330:$L$772,"&lt;&gt;"&amp;$M$5)&gt;0,
              "Iuran dari Lingkungan lain",
              ""))</t>
  </si>
  <si>
    <t>=IF(COUNTIFS(IuranSYSebelumnya!$J$330:$J$772,$K46,IuranSYSebelumnya!$M$330:$M$772,BH$11,IuranSYSebelumnya!$L$330:$L$772,$M$5)&gt;0,
        VLOOKUP(CONCATENATE($K46,"|",BH$11,"|",$M$5),IuranSYSebelumnya!$I$330:$N$772,5,FALSE),
        IF(COUNTIFS(IuranSYSebelumnya!$J$330:$J$772,$K46,IuranSYSebelumnya!$M$330:$M$772,BH$11,IuranSYSebelumnya!$L$330:$L$772,"&lt;&gt;"&amp;$M$5)&gt;0,
              "Iuran dari Lingkungan lain",
              ""))</t>
  </si>
  <si>
    <t>=IF(COUNTIFS(IuranSYSebelumnya!$J$330:$J$772,$K46,IuranSYSebelumnya!$M$330:$M$772,BI$11,IuranSYSebelumnya!$L$330:$L$772,$M$5)&gt;0,
        VLOOKUP(CONCATENATE($K46,"|",BI$11,"|",$M$5),IuranSYSebelumnya!$I$330:$N$772,5,FALSE),
        IF(COUNTIFS(IuranSYSebelumnya!$J$330:$J$772,$K46,IuranSYSebelumnya!$M$330:$M$772,BI$11,IuranSYSebelumnya!$L$330:$L$772,"&lt;&gt;"&amp;$M$5)&gt;0,
              "Iuran dari Lingkungan lain",
              ""))</t>
  </si>
  <si>
    <t>=IF(COUNTIFS(IuranSYSebelumnya!$J$330:$J$772,$K46,IuranSYSebelumnya!$M$330:$M$772,BJ$11,IuranSYSebelumnya!$L$330:$L$772,$M$5)&gt;0,
        VLOOKUP(CONCATENATE($K46,"|",BJ$11,"|",$M$5),IuranSYSebelumnya!$I$330:$N$772,5,FALSE),
        IF(COUNTIFS(IuranSYSebelumnya!$J$330:$J$772,$K46,IuranSYSebelumnya!$M$330:$M$772,BJ$11,IuranSYSebelumnya!$L$330:$L$772,"&lt;&gt;"&amp;$M$5)&gt;0,
              "Iuran dari Lingkungan lain",
              ""))</t>
  </si>
  <si>
    <t>=IF(COUNTIFS(IuranSYSebelumnya!$J$330:$J$772,$K46,IuranSYSebelumnya!$M$330:$M$772,BK$11,IuranSYSebelumnya!$L$330:$L$772,$M$5)&gt;0,
        VLOOKUP(CONCATENATE($K46,"|",BK$11,"|",$M$5),IuranSYSebelumnya!$I$330:$N$772,5,FALSE),
        IF(COUNTIFS(IuranSYSebelumnya!$J$330:$J$772,$K46,IuranSYSebelumnya!$M$330:$M$772,BK$11,IuranSYSebelumnya!$L$330:$L$772,"&lt;&gt;"&amp;$M$5)&gt;0,
              "Iuran dari Lingkungan lain",
              ""))</t>
  </si>
  <si>
    <t>=IF(COUNTIFS(IuranSYSebelumnya!$J$330:$J$772,$K46,IuranSYSebelumnya!$M$330:$M$772,BL$11,IuranSYSebelumnya!$L$330:$L$772,$M$5)&gt;0,
        VLOOKUP(CONCATENATE($K46,"|",BL$11,"|",$M$5),IuranSYSebelumnya!$I$330:$N$772,5,FALSE),
        IF(COUNTIFS(IuranSYSebelumnya!$J$330:$J$772,$K46,IuranSYSebelumnya!$M$330:$M$772,BL$11,IuranSYSebelumnya!$L$330:$L$772,"&lt;&gt;"&amp;$M$5)&gt;0,
              "Iuran dari Lingkungan lain",
              ""))</t>
  </si>
  <si>
    <t>=IF(COUNTIFS(IuranSYSebelumnya!$J$330:$J$772,$K47,IuranSYSebelumnya!$M$330:$M$772,AO$11,IuranSYSebelumnya!$L$330:$L$772,$M$5)&gt;0,
        VLOOKUP(CONCATENATE($K47,"|",AO$11,"|",$M$5),IuranSYSebelumnya!$I$330:$N$772,5,FALSE),
        IF(COUNTIFS(IuranSYSebelumnya!$J$330:$J$772,$K47,IuranSYSebelumnya!$M$330:$M$772,AO$11,IuranSYSebelumnya!$L$330:$L$772,"&lt;&gt;"&amp;$M$5)&gt;0,
              "Iuran dari Lingkungan lain",
              ""))</t>
  </si>
  <si>
    <t>=IF(COUNTIFS(IuranSYSebelumnya!$J$330:$J$772,$K47,IuranSYSebelumnya!$M$330:$M$772,AP$11,IuranSYSebelumnya!$L$330:$L$772,$M$5)&gt;0,
        VLOOKUP(CONCATENATE($K47,"|",AP$11,"|",$M$5),IuranSYSebelumnya!$I$330:$N$772,5,FALSE),
        IF(COUNTIFS(IuranSYSebelumnya!$J$330:$J$772,$K47,IuranSYSebelumnya!$M$330:$M$772,AP$11,IuranSYSebelumnya!$L$330:$L$772,"&lt;&gt;"&amp;$M$5)&gt;0,
              "Iuran dari Lingkungan lain",
              ""))</t>
  </si>
  <si>
    <t>=IF(COUNTIFS(IuranSYSebelumnya!$J$330:$J$772,$K47,IuranSYSebelumnya!$M$330:$M$772,AQ$11,IuranSYSebelumnya!$L$330:$L$772,$M$5)&gt;0,
        VLOOKUP(CONCATENATE($K47,"|",AQ$11,"|",$M$5),IuranSYSebelumnya!$I$330:$N$772,5,FALSE),
        IF(COUNTIFS(IuranSYSebelumnya!$J$330:$J$772,$K47,IuranSYSebelumnya!$M$330:$M$772,AQ$11,IuranSYSebelumnya!$L$330:$L$772,"&lt;&gt;"&amp;$M$5)&gt;0,
              "Iuran dari Lingkungan lain",
              ""))</t>
  </si>
  <si>
    <t>=IF(COUNTIFS(IuranSYSebelumnya!$J$330:$J$772,$K47,IuranSYSebelumnya!$M$330:$M$772,AR$11,IuranSYSebelumnya!$L$330:$L$772,$M$5)&gt;0,
        VLOOKUP(CONCATENATE($K47,"|",AR$11,"|",$M$5),IuranSYSebelumnya!$I$330:$N$772,5,FALSE),
        IF(COUNTIFS(IuranSYSebelumnya!$J$330:$J$772,$K47,IuranSYSebelumnya!$M$330:$M$772,AR$11,IuranSYSebelumnya!$L$330:$L$772,"&lt;&gt;"&amp;$M$5)&gt;0,
              "Iuran dari Lingkungan lain",
              ""))</t>
  </si>
  <si>
    <t>=IF(COUNTIFS(IuranSYSebelumnya!$J$330:$J$772,$K47,IuranSYSebelumnya!$M$330:$M$772,AS$11,IuranSYSebelumnya!$L$330:$L$772,$M$5)&gt;0,
        VLOOKUP(CONCATENATE($K47,"|",AS$11,"|",$M$5),IuranSYSebelumnya!$I$330:$N$772,5,FALSE),
        IF(COUNTIFS(IuranSYSebelumnya!$J$330:$J$772,$K47,IuranSYSebelumnya!$M$330:$M$772,AS$11,IuranSYSebelumnya!$L$330:$L$772,"&lt;&gt;"&amp;$M$5)&gt;0,
              "Iuran dari Lingkungan lain",
              ""))</t>
  </si>
  <si>
    <t>=IF(COUNTIFS(IuranSYSebelumnya!$J$330:$J$772,$K47,IuranSYSebelumnya!$M$330:$M$772,AT$11,IuranSYSebelumnya!$L$330:$L$772,$M$5)&gt;0,
        VLOOKUP(CONCATENATE($K47,"|",AT$11,"|",$M$5),IuranSYSebelumnya!$I$330:$N$772,5,FALSE),
        IF(COUNTIFS(IuranSYSebelumnya!$J$330:$J$772,$K47,IuranSYSebelumnya!$M$330:$M$772,AT$11,IuranSYSebelumnya!$L$330:$L$772,"&lt;&gt;"&amp;$M$5)&gt;0,
              "Iuran dari Lingkungan lain",
              ""))</t>
  </si>
  <si>
    <t>=IF(COUNTIFS(IuranSYSebelumnya!$J$330:$J$772,$K47,IuranSYSebelumnya!$M$330:$M$772,AU$11,IuranSYSebelumnya!$L$330:$L$772,$M$5)&gt;0,
        VLOOKUP(CONCATENATE($K47,"|",AU$11,"|",$M$5),IuranSYSebelumnya!$I$330:$N$772,5,FALSE),
        IF(COUNTIFS(IuranSYSebelumnya!$J$330:$J$772,$K47,IuranSYSebelumnya!$M$330:$M$772,AU$11,IuranSYSebelumnya!$L$330:$L$772,"&lt;&gt;"&amp;$M$5)&gt;0,
              "Iuran dari Lingkungan lain",
              ""))</t>
  </si>
  <si>
    <t>=IF(COUNTIFS(IuranSYSebelumnya!$J$330:$J$772,$K47,IuranSYSebelumnya!$M$330:$M$772,AV$11,IuranSYSebelumnya!$L$330:$L$772,$M$5)&gt;0,
        VLOOKUP(CONCATENATE($K47,"|",AV$11,"|",$M$5),IuranSYSebelumnya!$I$330:$N$772,5,FALSE),
        IF(COUNTIFS(IuranSYSebelumnya!$J$330:$J$772,$K47,IuranSYSebelumnya!$M$330:$M$772,AV$11,IuranSYSebelumnya!$L$330:$L$772,"&lt;&gt;"&amp;$M$5)&gt;0,
              "Iuran dari Lingkungan lain",
              ""))</t>
  </si>
  <si>
    <t>=IF(COUNTIFS(IuranSYSebelumnya!$J$330:$J$772,$K47,IuranSYSebelumnya!$M$330:$M$772,AW$11,IuranSYSebelumnya!$L$330:$L$772,$M$5)&gt;0,
        VLOOKUP(CONCATENATE($K47,"|",AW$11,"|",$M$5),IuranSYSebelumnya!$I$330:$N$772,5,FALSE),
        IF(COUNTIFS(IuranSYSebelumnya!$J$330:$J$772,$K47,IuranSYSebelumnya!$M$330:$M$772,AW$11,IuranSYSebelumnya!$L$330:$L$772,"&lt;&gt;"&amp;$M$5)&gt;0,
              "Iuran dari Lingkungan lain",
              ""))</t>
  </si>
  <si>
    <t>=IF(COUNTIFS(IuranSYSebelumnya!$J$330:$J$772,$K47,IuranSYSebelumnya!$M$330:$M$772,AX$11,IuranSYSebelumnya!$L$330:$L$772,$M$5)&gt;0,
        VLOOKUP(CONCATENATE($K47,"|",AX$11,"|",$M$5),IuranSYSebelumnya!$I$330:$N$772,5,FALSE),
        IF(COUNTIFS(IuranSYSebelumnya!$J$330:$J$772,$K47,IuranSYSebelumnya!$M$330:$M$772,AX$11,IuranSYSebelumnya!$L$330:$L$772,"&lt;&gt;"&amp;$M$5)&gt;0,
              "Iuran dari Lingkungan lain",
              ""))</t>
  </si>
  <si>
    <t>=IF(COUNTIFS(IuranSYSebelumnya!$J$330:$J$772,$K47,IuranSYSebelumnya!$M$330:$M$772,AY$11,IuranSYSebelumnya!$L$330:$L$772,$M$5)&gt;0,
        VLOOKUP(CONCATENATE($K47,"|",AY$11,"|",$M$5),IuranSYSebelumnya!$I$330:$N$772,5,FALSE),
        IF(COUNTIFS(IuranSYSebelumnya!$J$330:$J$772,$K47,IuranSYSebelumnya!$M$330:$M$772,AY$11,IuranSYSebelumnya!$L$330:$L$772,"&lt;&gt;"&amp;$M$5)&gt;0,
              "Iuran dari Lingkungan lain",
              ""))</t>
  </si>
  <si>
    <t>=IF(COUNTIFS(IuranSYSebelumnya!$J$330:$J$772,$K47,IuranSYSebelumnya!$M$330:$M$772,AZ$11,IuranSYSebelumnya!$L$330:$L$772,$M$5)&gt;0,
        VLOOKUP(CONCATENATE($K47,"|",AZ$11,"|",$M$5),IuranSYSebelumnya!$I$330:$N$772,5,FALSE),
        IF(COUNTIFS(IuranSYSebelumnya!$J$330:$J$772,$K47,IuranSYSebelumnya!$M$330:$M$772,AZ$11,IuranSYSebelumnya!$L$330:$L$772,"&lt;&gt;"&amp;$M$5)&gt;0,
              "Iuran dari Lingkungan lain",
              ""))</t>
  </si>
  <si>
    <t>=IF(COUNTIFS(IuranSYSebelumnya!$J$330:$J$772,$K47,IuranSYSebelumnya!$M$330:$M$772,BA$11,IuranSYSebelumnya!$L$330:$L$772,$M$5)&gt;0,
        VLOOKUP(CONCATENATE($K47,"|",BA$11,"|",$M$5),IuranSYSebelumnya!$I$330:$N$772,5,FALSE),
        IF(COUNTIFS(IuranSYSebelumnya!$J$330:$J$772,$K47,IuranSYSebelumnya!$M$330:$M$772,BA$11,IuranSYSebelumnya!$L$330:$L$772,"&lt;&gt;"&amp;$M$5)&gt;0,
              "Iuran dari Lingkungan lain",
              ""))</t>
  </si>
  <si>
    <t>=IF(COUNTIFS(IuranSYSebelumnya!$J$330:$J$772,$K47,IuranSYSebelumnya!$M$330:$M$772,BB$11,IuranSYSebelumnya!$L$330:$L$772,$M$5)&gt;0,
        VLOOKUP(CONCATENATE($K47,"|",BB$11,"|",$M$5),IuranSYSebelumnya!$I$330:$N$772,5,FALSE),
        IF(COUNTIFS(IuranSYSebelumnya!$J$330:$J$772,$K47,IuranSYSebelumnya!$M$330:$M$772,BB$11,IuranSYSebelumnya!$L$330:$L$772,"&lt;&gt;"&amp;$M$5)&gt;0,
              "Iuran dari Lingkungan lain",
              ""))</t>
  </si>
  <si>
    <t>=IF(COUNTIFS(IuranSYSebelumnya!$J$330:$J$772,$K47,IuranSYSebelumnya!$M$330:$M$772,BC$11,IuranSYSebelumnya!$L$330:$L$772,$M$5)&gt;0,
        VLOOKUP(CONCATENATE($K47,"|",BC$11,"|",$M$5),IuranSYSebelumnya!$I$330:$N$772,5,FALSE),
        IF(COUNTIFS(IuranSYSebelumnya!$J$330:$J$772,$K47,IuranSYSebelumnya!$M$330:$M$772,BC$11,IuranSYSebelumnya!$L$330:$L$772,"&lt;&gt;"&amp;$M$5)&gt;0,
              "Iuran dari Lingkungan lain",
              ""))</t>
  </si>
  <si>
    <t>=IF(COUNTIFS(IuranSYSebelumnya!$J$330:$J$772,$K47,IuranSYSebelumnya!$M$330:$M$772,BD$11,IuranSYSebelumnya!$L$330:$L$772,$M$5)&gt;0,
        VLOOKUP(CONCATENATE($K47,"|",BD$11,"|",$M$5),IuranSYSebelumnya!$I$330:$N$772,5,FALSE),
        IF(COUNTIFS(IuranSYSebelumnya!$J$330:$J$772,$K47,IuranSYSebelumnya!$M$330:$M$772,BD$11,IuranSYSebelumnya!$L$330:$L$772,"&lt;&gt;"&amp;$M$5)&gt;0,
              "Iuran dari Lingkungan lain",
              ""))</t>
  </si>
  <si>
    <t>=IF(COUNTIFS(IuranSYSebelumnya!$J$330:$J$772,$K47,IuranSYSebelumnya!$M$330:$M$772,BE$11,IuranSYSebelumnya!$L$330:$L$772,$M$5)&gt;0,
        VLOOKUP(CONCATENATE($K47,"|",BE$11,"|",$M$5),IuranSYSebelumnya!$I$330:$N$772,5,FALSE),
        IF(COUNTIFS(IuranSYSebelumnya!$J$330:$J$772,$K47,IuranSYSebelumnya!$M$330:$M$772,BE$11,IuranSYSebelumnya!$L$330:$L$772,"&lt;&gt;"&amp;$M$5)&gt;0,
              "Iuran dari Lingkungan lain",
              ""))</t>
  </si>
  <si>
    <t>=IF(COUNTIFS(IuranSYSebelumnya!$J$330:$J$772,$K47,IuranSYSebelumnya!$M$330:$M$772,BF$11,IuranSYSebelumnya!$L$330:$L$772,$M$5)&gt;0,
        VLOOKUP(CONCATENATE($K47,"|",BF$11,"|",$M$5),IuranSYSebelumnya!$I$330:$N$772,5,FALSE),
        IF(COUNTIFS(IuranSYSebelumnya!$J$330:$J$772,$K47,IuranSYSebelumnya!$M$330:$M$772,BF$11,IuranSYSebelumnya!$L$330:$L$772,"&lt;&gt;"&amp;$M$5)&gt;0,
              "Iuran dari Lingkungan lain",
              ""))</t>
  </si>
  <si>
    <t>=IF(COUNTIFS(IuranSYSebelumnya!$J$330:$J$772,$K47,IuranSYSebelumnya!$M$330:$M$772,BG$11,IuranSYSebelumnya!$L$330:$L$772,$M$5)&gt;0,
        VLOOKUP(CONCATENATE($K47,"|",BG$11,"|",$M$5),IuranSYSebelumnya!$I$330:$N$772,5,FALSE),
        IF(COUNTIFS(IuranSYSebelumnya!$J$330:$J$772,$K47,IuranSYSebelumnya!$M$330:$M$772,BG$11,IuranSYSebelumnya!$L$330:$L$772,"&lt;&gt;"&amp;$M$5)&gt;0,
              "Iuran dari Lingkungan lain",
              ""))</t>
  </si>
  <si>
    <t>=IF(COUNTIFS(IuranSYSebelumnya!$J$330:$J$772,$K47,IuranSYSebelumnya!$M$330:$M$772,BH$11,IuranSYSebelumnya!$L$330:$L$772,$M$5)&gt;0,
        VLOOKUP(CONCATENATE($K47,"|",BH$11,"|",$M$5),IuranSYSebelumnya!$I$330:$N$772,5,FALSE),
        IF(COUNTIFS(IuranSYSebelumnya!$J$330:$J$772,$K47,IuranSYSebelumnya!$M$330:$M$772,BH$11,IuranSYSebelumnya!$L$330:$L$772,"&lt;&gt;"&amp;$M$5)&gt;0,
              "Iuran dari Lingkungan lain",
              ""))</t>
  </si>
  <si>
    <t>=IF(COUNTIFS(IuranSYSebelumnya!$J$330:$J$772,$K47,IuranSYSebelumnya!$M$330:$M$772,BI$11,IuranSYSebelumnya!$L$330:$L$772,$M$5)&gt;0,
        VLOOKUP(CONCATENATE($K47,"|",BI$11,"|",$M$5),IuranSYSebelumnya!$I$330:$N$772,5,FALSE),
        IF(COUNTIFS(IuranSYSebelumnya!$J$330:$J$772,$K47,IuranSYSebelumnya!$M$330:$M$772,BI$11,IuranSYSebelumnya!$L$330:$L$772,"&lt;&gt;"&amp;$M$5)&gt;0,
              "Iuran dari Lingkungan lain",
              ""))</t>
  </si>
  <si>
    <t>=IF(COUNTIFS(IuranSYSebelumnya!$J$330:$J$772,$K47,IuranSYSebelumnya!$M$330:$M$772,BJ$11,IuranSYSebelumnya!$L$330:$L$772,$M$5)&gt;0,
        VLOOKUP(CONCATENATE($K47,"|",BJ$11,"|",$M$5),IuranSYSebelumnya!$I$330:$N$772,5,FALSE),
        IF(COUNTIFS(IuranSYSebelumnya!$J$330:$J$772,$K47,IuranSYSebelumnya!$M$330:$M$772,BJ$11,IuranSYSebelumnya!$L$330:$L$772,"&lt;&gt;"&amp;$M$5)&gt;0,
              "Iuran dari Lingkungan lain",
              ""))</t>
  </si>
  <si>
    <t>=IF(COUNTIFS(IuranSYSebelumnya!$J$330:$J$772,$K47,IuranSYSebelumnya!$M$330:$M$772,BK$11,IuranSYSebelumnya!$L$330:$L$772,$M$5)&gt;0,
        VLOOKUP(CONCATENATE($K47,"|",BK$11,"|",$M$5),IuranSYSebelumnya!$I$330:$N$772,5,FALSE),
        IF(COUNTIFS(IuranSYSebelumnya!$J$330:$J$772,$K47,IuranSYSebelumnya!$M$330:$M$772,BK$11,IuranSYSebelumnya!$L$330:$L$772,"&lt;&gt;"&amp;$M$5)&gt;0,
              "Iuran dari Lingkungan lain",
              ""))</t>
  </si>
  <si>
    <t>=IF(COUNTIFS(IuranSYSebelumnya!$J$330:$J$772,$K47,IuranSYSebelumnya!$M$330:$M$772,BL$11,IuranSYSebelumnya!$L$330:$L$772,$M$5)&gt;0,
        VLOOKUP(CONCATENATE($K47,"|",BL$11,"|",$M$5),IuranSYSebelumnya!$I$330:$N$772,5,FALSE),
        IF(COUNTIFS(IuranSYSebelumnya!$J$330:$J$772,$K47,IuranSYSebelumnya!$M$330:$M$772,BL$11,IuranSYSebelumnya!$L$330:$L$772,"&lt;&gt;"&amp;$M$5)&gt;0,
              "Iuran dari Lingkungan lain",
              ""))</t>
  </si>
  <si>
    <t>=IF(COUNTIFS(IuranSYSebelumnya!$J$330:$J$772,$K48,IuranSYSebelumnya!$M$330:$M$772,AO$11,IuranSYSebelumnya!$L$330:$L$772,$M$5)&gt;0,
        VLOOKUP(CONCATENATE($K48,"|",AO$11,"|",$M$5),IuranSYSebelumnya!$I$330:$N$772,5,FALSE),
        IF(COUNTIFS(IuranSYSebelumnya!$J$330:$J$772,$K48,IuranSYSebelumnya!$M$330:$M$772,AO$11,IuranSYSebelumnya!$L$330:$L$772,"&lt;&gt;"&amp;$M$5)&gt;0,
              "Iuran dari Lingkungan lain",
              ""))</t>
  </si>
  <si>
    <t>=IF(COUNTIFS(IuranSYSebelumnya!$J$330:$J$772,$K48,IuranSYSebelumnya!$M$330:$M$772,AP$11,IuranSYSebelumnya!$L$330:$L$772,$M$5)&gt;0,
        VLOOKUP(CONCATENATE($K48,"|",AP$11,"|",$M$5),IuranSYSebelumnya!$I$330:$N$772,5,FALSE),
        IF(COUNTIFS(IuranSYSebelumnya!$J$330:$J$772,$K48,IuranSYSebelumnya!$M$330:$M$772,AP$11,IuranSYSebelumnya!$L$330:$L$772,"&lt;&gt;"&amp;$M$5)&gt;0,
              "Iuran dari Lingkungan lain",
              ""))</t>
  </si>
  <si>
    <t>=IF(COUNTIFS(IuranSYSebelumnya!$J$330:$J$772,$K48,IuranSYSebelumnya!$M$330:$M$772,AQ$11,IuranSYSebelumnya!$L$330:$L$772,$M$5)&gt;0,
        VLOOKUP(CONCATENATE($K48,"|",AQ$11,"|",$M$5),IuranSYSebelumnya!$I$330:$N$772,5,FALSE),
        IF(COUNTIFS(IuranSYSebelumnya!$J$330:$J$772,$K48,IuranSYSebelumnya!$M$330:$M$772,AQ$11,IuranSYSebelumnya!$L$330:$L$772,"&lt;&gt;"&amp;$M$5)&gt;0,
              "Iuran dari Lingkungan lain",
              ""))</t>
  </si>
  <si>
    <t>=IF(COUNTIFS(IuranSYSebelumnya!$J$330:$J$772,$K48,IuranSYSebelumnya!$M$330:$M$772,AR$11,IuranSYSebelumnya!$L$330:$L$772,$M$5)&gt;0,
        VLOOKUP(CONCATENATE($K48,"|",AR$11,"|",$M$5),IuranSYSebelumnya!$I$330:$N$772,5,FALSE),
        IF(COUNTIFS(IuranSYSebelumnya!$J$330:$J$772,$K48,IuranSYSebelumnya!$M$330:$M$772,AR$11,IuranSYSebelumnya!$L$330:$L$772,"&lt;&gt;"&amp;$M$5)&gt;0,
              "Iuran dari Lingkungan lain",
              ""))</t>
  </si>
  <si>
    <t>=IF(COUNTIFS(IuranSYSebelumnya!$J$330:$J$772,$K48,IuranSYSebelumnya!$M$330:$M$772,AS$11,IuranSYSebelumnya!$L$330:$L$772,$M$5)&gt;0,
        VLOOKUP(CONCATENATE($K48,"|",AS$11,"|",$M$5),IuranSYSebelumnya!$I$330:$N$772,5,FALSE),
        IF(COUNTIFS(IuranSYSebelumnya!$J$330:$J$772,$K48,IuranSYSebelumnya!$M$330:$M$772,AS$11,IuranSYSebelumnya!$L$330:$L$772,"&lt;&gt;"&amp;$M$5)&gt;0,
              "Iuran dari Lingkungan lain",
              ""))</t>
  </si>
  <si>
    <t>=IF(COUNTIFS(IuranSYSebelumnya!$J$330:$J$772,$K48,IuranSYSebelumnya!$M$330:$M$772,AT$11,IuranSYSebelumnya!$L$330:$L$772,$M$5)&gt;0,
        VLOOKUP(CONCATENATE($K48,"|",AT$11,"|",$M$5),IuranSYSebelumnya!$I$330:$N$772,5,FALSE),
        IF(COUNTIFS(IuranSYSebelumnya!$J$330:$J$772,$K48,IuranSYSebelumnya!$M$330:$M$772,AT$11,IuranSYSebelumnya!$L$330:$L$772,"&lt;&gt;"&amp;$M$5)&gt;0,
              "Iuran dari Lingkungan lain",
              ""))</t>
  </si>
  <si>
    <t>=IF(COUNTIFS(IuranSYSebelumnya!$J$330:$J$772,$K48,IuranSYSebelumnya!$M$330:$M$772,AU$11,IuranSYSebelumnya!$L$330:$L$772,$M$5)&gt;0,
        VLOOKUP(CONCATENATE($K48,"|",AU$11,"|",$M$5),IuranSYSebelumnya!$I$330:$N$772,5,FALSE),
        IF(COUNTIFS(IuranSYSebelumnya!$J$330:$J$772,$K48,IuranSYSebelumnya!$M$330:$M$772,AU$11,IuranSYSebelumnya!$L$330:$L$772,"&lt;&gt;"&amp;$M$5)&gt;0,
              "Iuran dari Lingkungan lain",
              ""))</t>
  </si>
  <si>
    <t>=IF(COUNTIFS(IuranSYSebelumnya!$J$330:$J$772,$K48,IuranSYSebelumnya!$M$330:$M$772,AV$11,IuranSYSebelumnya!$L$330:$L$772,$M$5)&gt;0,
        VLOOKUP(CONCATENATE($K48,"|",AV$11,"|",$M$5),IuranSYSebelumnya!$I$330:$N$772,5,FALSE),
        IF(COUNTIFS(IuranSYSebelumnya!$J$330:$J$772,$K48,IuranSYSebelumnya!$M$330:$M$772,AV$11,IuranSYSebelumnya!$L$330:$L$772,"&lt;&gt;"&amp;$M$5)&gt;0,
              "Iuran dari Lingkungan lain",
              ""))</t>
  </si>
  <si>
    <t>=IF(COUNTIFS(IuranSYSebelumnya!$J$330:$J$772,$K48,IuranSYSebelumnya!$M$330:$M$772,AW$11,IuranSYSebelumnya!$L$330:$L$772,$M$5)&gt;0,
        VLOOKUP(CONCATENATE($K48,"|",AW$11,"|",$M$5),IuranSYSebelumnya!$I$330:$N$772,5,FALSE),
        IF(COUNTIFS(IuranSYSebelumnya!$J$330:$J$772,$K48,IuranSYSebelumnya!$M$330:$M$772,AW$11,IuranSYSebelumnya!$L$330:$L$772,"&lt;&gt;"&amp;$M$5)&gt;0,
              "Iuran dari Lingkungan lain",
              ""))</t>
  </si>
  <si>
    <t>=IF(COUNTIFS(IuranSYSebelumnya!$J$330:$J$772,$K48,IuranSYSebelumnya!$M$330:$M$772,AX$11,IuranSYSebelumnya!$L$330:$L$772,$M$5)&gt;0,
        VLOOKUP(CONCATENATE($K48,"|",AX$11,"|",$M$5),IuranSYSebelumnya!$I$330:$N$772,5,FALSE),
        IF(COUNTIFS(IuranSYSebelumnya!$J$330:$J$772,$K48,IuranSYSebelumnya!$M$330:$M$772,AX$11,IuranSYSebelumnya!$L$330:$L$772,"&lt;&gt;"&amp;$M$5)&gt;0,
              "Iuran dari Lingkungan lain",
              ""))</t>
  </si>
  <si>
    <t>=IF(COUNTIFS(IuranSYSebelumnya!$J$330:$J$772,$K48,IuranSYSebelumnya!$M$330:$M$772,AY$11,IuranSYSebelumnya!$L$330:$L$772,$M$5)&gt;0,
        VLOOKUP(CONCATENATE($K48,"|",AY$11,"|",$M$5),IuranSYSebelumnya!$I$330:$N$772,5,FALSE),
        IF(COUNTIFS(IuranSYSebelumnya!$J$330:$J$772,$K48,IuranSYSebelumnya!$M$330:$M$772,AY$11,IuranSYSebelumnya!$L$330:$L$772,"&lt;&gt;"&amp;$M$5)&gt;0,
              "Iuran dari Lingkungan lain",
              ""))</t>
  </si>
  <si>
    <t>=IF(COUNTIFS(IuranSYSebelumnya!$J$330:$J$772,$K48,IuranSYSebelumnya!$M$330:$M$772,AZ$11,IuranSYSebelumnya!$L$330:$L$772,$M$5)&gt;0,
        VLOOKUP(CONCATENATE($K48,"|",AZ$11,"|",$M$5),IuranSYSebelumnya!$I$330:$N$772,5,FALSE),
        IF(COUNTIFS(IuranSYSebelumnya!$J$330:$J$772,$K48,IuranSYSebelumnya!$M$330:$M$772,AZ$11,IuranSYSebelumnya!$L$330:$L$772,"&lt;&gt;"&amp;$M$5)&gt;0,
              "Iuran dari Lingkungan lain",
              ""))</t>
  </si>
  <si>
    <t>=IF(COUNTIFS(IuranSYSebelumnya!$J$330:$J$772,$K48,IuranSYSebelumnya!$M$330:$M$772,BA$11,IuranSYSebelumnya!$L$330:$L$772,$M$5)&gt;0,
        VLOOKUP(CONCATENATE($K48,"|",BA$11,"|",$M$5),IuranSYSebelumnya!$I$330:$N$772,5,FALSE),
        IF(COUNTIFS(IuranSYSebelumnya!$J$330:$J$772,$K48,IuranSYSebelumnya!$M$330:$M$772,BA$11,IuranSYSebelumnya!$L$330:$L$772,"&lt;&gt;"&amp;$M$5)&gt;0,
              "Iuran dari Lingkungan lain",
              ""))</t>
  </si>
  <si>
    <t>=IF(COUNTIFS(IuranSYSebelumnya!$J$330:$J$772,$K48,IuranSYSebelumnya!$M$330:$M$772,BB$11,IuranSYSebelumnya!$L$330:$L$772,$M$5)&gt;0,
        VLOOKUP(CONCATENATE($K48,"|",BB$11,"|",$M$5),IuranSYSebelumnya!$I$330:$N$772,5,FALSE),
        IF(COUNTIFS(IuranSYSebelumnya!$J$330:$J$772,$K48,IuranSYSebelumnya!$M$330:$M$772,BB$11,IuranSYSebelumnya!$L$330:$L$772,"&lt;&gt;"&amp;$M$5)&gt;0,
              "Iuran dari Lingkungan lain",
              ""))</t>
  </si>
  <si>
    <t>=IF(COUNTIFS(IuranSYSebelumnya!$J$330:$J$772,$K48,IuranSYSebelumnya!$M$330:$M$772,BC$11,IuranSYSebelumnya!$L$330:$L$772,$M$5)&gt;0,
        VLOOKUP(CONCATENATE($K48,"|",BC$11,"|",$M$5),IuranSYSebelumnya!$I$330:$N$772,5,FALSE),
        IF(COUNTIFS(IuranSYSebelumnya!$J$330:$J$772,$K48,IuranSYSebelumnya!$M$330:$M$772,BC$11,IuranSYSebelumnya!$L$330:$L$772,"&lt;&gt;"&amp;$M$5)&gt;0,
              "Iuran dari Lingkungan lain",
              ""))</t>
  </si>
  <si>
    <t>=IF(COUNTIFS(IuranSYSebelumnya!$J$330:$J$772,$K48,IuranSYSebelumnya!$M$330:$M$772,BD$11,IuranSYSebelumnya!$L$330:$L$772,$M$5)&gt;0,
        VLOOKUP(CONCATENATE($K48,"|",BD$11,"|",$M$5),IuranSYSebelumnya!$I$330:$N$772,5,FALSE),
        IF(COUNTIFS(IuranSYSebelumnya!$J$330:$J$772,$K48,IuranSYSebelumnya!$M$330:$M$772,BD$11,IuranSYSebelumnya!$L$330:$L$772,"&lt;&gt;"&amp;$M$5)&gt;0,
              "Iuran dari Lingkungan lain",
              ""))</t>
  </si>
  <si>
    <t>=IF(COUNTIFS(IuranSYSebelumnya!$J$330:$J$772,$K48,IuranSYSebelumnya!$M$330:$M$772,BE$11,IuranSYSebelumnya!$L$330:$L$772,$M$5)&gt;0,
        VLOOKUP(CONCATENATE($K48,"|",BE$11,"|",$M$5),IuranSYSebelumnya!$I$330:$N$772,5,FALSE),
        IF(COUNTIFS(IuranSYSebelumnya!$J$330:$J$772,$K48,IuranSYSebelumnya!$M$330:$M$772,BE$11,IuranSYSebelumnya!$L$330:$L$772,"&lt;&gt;"&amp;$M$5)&gt;0,
              "Iuran dari Lingkungan lain",
              ""))</t>
  </si>
  <si>
    <t>=IF(COUNTIFS(IuranSYSebelumnya!$J$330:$J$772,$K48,IuranSYSebelumnya!$M$330:$M$772,BF$11,IuranSYSebelumnya!$L$330:$L$772,$M$5)&gt;0,
        VLOOKUP(CONCATENATE($K48,"|",BF$11,"|",$M$5),IuranSYSebelumnya!$I$330:$N$772,5,FALSE),
        IF(COUNTIFS(IuranSYSebelumnya!$J$330:$J$772,$K48,IuranSYSebelumnya!$M$330:$M$772,BF$11,IuranSYSebelumnya!$L$330:$L$772,"&lt;&gt;"&amp;$M$5)&gt;0,
              "Iuran dari Lingkungan lain",
              ""))</t>
  </si>
  <si>
    <t>=IF(COUNTIFS(IuranSYSebelumnya!$J$330:$J$772,$K48,IuranSYSebelumnya!$M$330:$M$772,BG$11,IuranSYSebelumnya!$L$330:$L$772,$M$5)&gt;0,
        VLOOKUP(CONCATENATE($K48,"|",BG$11,"|",$M$5),IuranSYSebelumnya!$I$330:$N$772,5,FALSE),
        IF(COUNTIFS(IuranSYSebelumnya!$J$330:$J$772,$K48,IuranSYSebelumnya!$M$330:$M$772,BG$11,IuranSYSebelumnya!$L$330:$L$772,"&lt;&gt;"&amp;$M$5)&gt;0,
              "Iuran dari Lingkungan lain",
              ""))</t>
  </si>
  <si>
    <t>=IF(COUNTIFS(IuranSYSebelumnya!$J$330:$J$772,$K48,IuranSYSebelumnya!$M$330:$M$772,BH$11,IuranSYSebelumnya!$L$330:$L$772,$M$5)&gt;0,
        VLOOKUP(CONCATENATE($K48,"|",BH$11,"|",$M$5),IuranSYSebelumnya!$I$330:$N$772,5,FALSE),
        IF(COUNTIFS(IuranSYSebelumnya!$J$330:$J$772,$K48,IuranSYSebelumnya!$M$330:$M$772,BH$11,IuranSYSebelumnya!$L$330:$L$772,"&lt;&gt;"&amp;$M$5)&gt;0,
              "Iuran dari Lingkungan lain",
              ""))</t>
  </si>
  <si>
    <t>=IF(COUNTIFS(IuranSYSebelumnya!$J$330:$J$772,$K48,IuranSYSebelumnya!$M$330:$M$772,BI$11,IuranSYSebelumnya!$L$330:$L$772,$M$5)&gt;0,
        VLOOKUP(CONCATENATE($K48,"|",BI$11,"|",$M$5),IuranSYSebelumnya!$I$330:$N$772,5,FALSE),
        IF(COUNTIFS(IuranSYSebelumnya!$J$330:$J$772,$K48,IuranSYSebelumnya!$M$330:$M$772,BI$11,IuranSYSebelumnya!$L$330:$L$772,"&lt;&gt;"&amp;$M$5)&gt;0,
              "Iuran dari Lingkungan lain",
              ""))</t>
  </si>
  <si>
    <t>=IF(COUNTIFS(IuranSYSebelumnya!$J$330:$J$772,$K48,IuranSYSebelumnya!$M$330:$M$772,BJ$11,IuranSYSebelumnya!$L$330:$L$772,$M$5)&gt;0,
        VLOOKUP(CONCATENATE($K48,"|",BJ$11,"|",$M$5),IuranSYSebelumnya!$I$330:$N$772,5,FALSE),
        IF(COUNTIFS(IuranSYSebelumnya!$J$330:$J$772,$K48,IuranSYSebelumnya!$M$330:$M$772,BJ$11,IuranSYSebelumnya!$L$330:$L$772,"&lt;&gt;"&amp;$M$5)&gt;0,
              "Iuran dari Lingkungan lain",
              ""))</t>
  </si>
  <si>
    <t>=IF(COUNTIFS(IuranSYSebelumnya!$J$330:$J$772,$K48,IuranSYSebelumnya!$M$330:$M$772,BK$11,IuranSYSebelumnya!$L$330:$L$772,$M$5)&gt;0,
        VLOOKUP(CONCATENATE($K48,"|",BK$11,"|",$M$5),IuranSYSebelumnya!$I$330:$N$772,5,FALSE),
        IF(COUNTIFS(IuranSYSebelumnya!$J$330:$J$772,$K48,IuranSYSebelumnya!$M$330:$M$772,BK$11,IuranSYSebelumnya!$L$330:$L$772,"&lt;&gt;"&amp;$M$5)&gt;0,
              "Iuran dari Lingkungan lain",
              ""))</t>
  </si>
  <si>
    <t>=IF(COUNTIFS(IuranSYSebelumnya!$J$330:$J$772,$K48,IuranSYSebelumnya!$M$330:$M$772,BL$11,IuranSYSebelumnya!$L$330:$L$772,$M$5)&gt;0,
        VLOOKUP(CONCATENATE($K48,"|",BL$11,"|",$M$5),IuranSYSebelumnya!$I$330:$N$772,5,FALSE),
        IF(COUNTIFS(IuranSYSebelumnya!$J$330:$J$772,$K48,IuranSYSebelumnya!$M$330:$M$772,BL$11,IuranSYSebelumnya!$L$330:$L$772,"&lt;&gt;"&amp;$M$5)&gt;0,
              "Iuran dari Lingkungan lain",
              ""))</t>
  </si>
  <si>
    <t>=IF(COUNTIFS(IuranSYSebelumnya!$J$330:$J$772,$K49,IuranSYSebelumnya!$M$330:$M$772,AO$11,IuranSYSebelumnya!$L$330:$L$772,$M$5)&gt;0,
        VLOOKUP(CONCATENATE($K49,"|",AO$11,"|",$M$5),IuranSYSebelumnya!$I$330:$N$772,5,FALSE),
        IF(COUNTIFS(IuranSYSebelumnya!$J$330:$J$772,$K49,IuranSYSebelumnya!$M$330:$M$772,AO$11,IuranSYSebelumnya!$L$330:$L$772,"&lt;&gt;"&amp;$M$5)&gt;0,
              "Iuran dari Lingkungan lain",
              ""))</t>
  </si>
  <si>
    <t>=IF(COUNTIFS(IuranSYSebelumnya!$J$330:$J$772,$K49,IuranSYSebelumnya!$M$330:$M$772,AP$11,IuranSYSebelumnya!$L$330:$L$772,$M$5)&gt;0,
        VLOOKUP(CONCATENATE($K49,"|",AP$11,"|",$M$5),IuranSYSebelumnya!$I$330:$N$772,5,FALSE),
        IF(COUNTIFS(IuranSYSebelumnya!$J$330:$J$772,$K49,IuranSYSebelumnya!$M$330:$M$772,AP$11,IuranSYSebelumnya!$L$330:$L$772,"&lt;&gt;"&amp;$M$5)&gt;0,
              "Iuran dari Lingkungan lain",
              ""))</t>
  </si>
  <si>
    <t>=IF(COUNTIFS(IuranSYSebelumnya!$J$330:$J$772,$K49,IuranSYSebelumnya!$M$330:$M$772,AQ$11,IuranSYSebelumnya!$L$330:$L$772,$M$5)&gt;0,
        VLOOKUP(CONCATENATE($K49,"|",AQ$11,"|",$M$5),IuranSYSebelumnya!$I$330:$N$772,5,FALSE),
        IF(COUNTIFS(IuranSYSebelumnya!$J$330:$J$772,$K49,IuranSYSebelumnya!$M$330:$M$772,AQ$11,IuranSYSebelumnya!$L$330:$L$772,"&lt;&gt;"&amp;$M$5)&gt;0,
              "Iuran dari Lingkungan lain",
              ""))</t>
  </si>
  <si>
    <t>=IF(COUNTIFS(IuranSYSebelumnya!$J$330:$J$772,$K49,IuranSYSebelumnya!$M$330:$M$772,AR$11,IuranSYSebelumnya!$L$330:$L$772,$M$5)&gt;0,
        VLOOKUP(CONCATENATE($K49,"|",AR$11,"|",$M$5),IuranSYSebelumnya!$I$330:$N$772,5,FALSE),
        IF(COUNTIFS(IuranSYSebelumnya!$J$330:$J$772,$K49,IuranSYSebelumnya!$M$330:$M$772,AR$11,IuranSYSebelumnya!$L$330:$L$772,"&lt;&gt;"&amp;$M$5)&gt;0,
              "Iuran dari Lingkungan lain",
              ""))</t>
  </si>
  <si>
    <t>=IF(COUNTIFS(IuranSYSebelumnya!$J$330:$J$772,$K49,IuranSYSebelumnya!$M$330:$M$772,AS$11,IuranSYSebelumnya!$L$330:$L$772,$M$5)&gt;0,
        VLOOKUP(CONCATENATE($K49,"|",AS$11,"|",$M$5),IuranSYSebelumnya!$I$330:$N$772,5,FALSE),
        IF(COUNTIFS(IuranSYSebelumnya!$J$330:$J$772,$K49,IuranSYSebelumnya!$M$330:$M$772,AS$11,IuranSYSebelumnya!$L$330:$L$772,"&lt;&gt;"&amp;$M$5)&gt;0,
              "Iuran dari Lingkungan lain",
              ""))</t>
  </si>
  <si>
    <t>=IF(COUNTIFS(IuranSYSebelumnya!$J$330:$J$772,$K49,IuranSYSebelumnya!$M$330:$M$772,AT$11,IuranSYSebelumnya!$L$330:$L$772,$M$5)&gt;0,
        VLOOKUP(CONCATENATE($K49,"|",AT$11,"|",$M$5),IuranSYSebelumnya!$I$330:$N$772,5,FALSE),
        IF(COUNTIFS(IuranSYSebelumnya!$J$330:$J$772,$K49,IuranSYSebelumnya!$M$330:$M$772,AT$11,IuranSYSebelumnya!$L$330:$L$772,"&lt;&gt;"&amp;$M$5)&gt;0,
              "Iuran dari Lingkungan lain",
              ""))</t>
  </si>
  <si>
    <t>=IF(COUNTIFS(IuranSYSebelumnya!$J$330:$J$772,$K49,IuranSYSebelumnya!$M$330:$M$772,AU$11,IuranSYSebelumnya!$L$330:$L$772,$M$5)&gt;0,
        VLOOKUP(CONCATENATE($K49,"|",AU$11,"|",$M$5),IuranSYSebelumnya!$I$330:$N$772,5,FALSE),
        IF(COUNTIFS(IuranSYSebelumnya!$J$330:$J$772,$K49,IuranSYSebelumnya!$M$330:$M$772,AU$11,IuranSYSebelumnya!$L$330:$L$772,"&lt;&gt;"&amp;$M$5)&gt;0,
              "Iuran dari Lingkungan lain",
              ""))</t>
  </si>
  <si>
    <t>=IF(COUNTIFS(IuranSYSebelumnya!$J$330:$J$772,$K49,IuranSYSebelumnya!$M$330:$M$772,AV$11,IuranSYSebelumnya!$L$330:$L$772,$M$5)&gt;0,
        VLOOKUP(CONCATENATE($K49,"|",AV$11,"|",$M$5),IuranSYSebelumnya!$I$330:$N$772,5,FALSE),
        IF(COUNTIFS(IuranSYSebelumnya!$J$330:$J$772,$K49,IuranSYSebelumnya!$M$330:$M$772,AV$11,IuranSYSebelumnya!$L$330:$L$772,"&lt;&gt;"&amp;$M$5)&gt;0,
              "Iuran dari Lingkungan lain",
              ""))</t>
  </si>
  <si>
    <t>=IF(COUNTIFS(IuranSYSebelumnya!$J$330:$J$772,$K49,IuranSYSebelumnya!$M$330:$M$772,AW$11,IuranSYSebelumnya!$L$330:$L$772,$M$5)&gt;0,
        VLOOKUP(CONCATENATE($K49,"|",AW$11,"|",$M$5),IuranSYSebelumnya!$I$330:$N$772,5,FALSE),
        IF(COUNTIFS(IuranSYSebelumnya!$J$330:$J$772,$K49,IuranSYSebelumnya!$M$330:$M$772,AW$11,IuranSYSebelumnya!$L$330:$L$772,"&lt;&gt;"&amp;$M$5)&gt;0,
              "Iuran dari Lingkungan lain",
              ""))</t>
  </si>
  <si>
    <t>=IF(COUNTIFS(IuranSYSebelumnya!$J$330:$J$772,$K49,IuranSYSebelumnya!$M$330:$M$772,AX$11,IuranSYSebelumnya!$L$330:$L$772,$M$5)&gt;0,
        VLOOKUP(CONCATENATE($K49,"|",AX$11,"|",$M$5),IuranSYSebelumnya!$I$330:$N$772,5,FALSE),
        IF(COUNTIFS(IuranSYSebelumnya!$J$330:$J$772,$K49,IuranSYSebelumnya!$M$330:$M$772,AX$11,IuranSYSebelumnya!$L$330:$L$772,"&lt;&gt;"&amp;$M$5)&gt;0,
              "Iuran dari Lingkungan lain",
              ""))</t>
  </si>
  <si>
    <t>=IF(COUNTIFS(IuranSYSebelumnya!$J$330:$J$772,$K49,IuranSYSebelumnya!$M$330:$M$772,AY$11,IuranSYSebelumnya!$L$330:$L$772,$M$5)&gt;0,
        VLOOKUP(CONCATENATE($K49,"|",AY$11,"|",$M$5),IuranSYSebelumnya!$I$330:$N$772,5,FALSE),
        IF(COUNTIFS(IuranSYSebelumnya!$J$330:$J$772,$K49,IuranSYSebelumnya!$M$330:$M$772,AY$11,IuranSYSebelumnya!$L$330:$L$772,"&lt;&gt;"&amp;$M$5)&gt;0,
              "Iuran dari Lingkungan lain",
              ""))</t>
  </si>
  <si>
    <t>=IF(COUNTIFS(IuranSYSebelumnya!$J$330:$J$772,$K49,IuranSYSebelumnya!$M$330:$M$772,AZ$11,IuranSYSebelumnya!$L$330:$L$772,$M$5)&gt;0,
        VLOOKUP(CONCATENATE($K49,"|",AZ$11,"|",$M$5),IuranSYSebelumnya!$I$330:$N$772,5,FALSE),
        IF(COUNTIFS(IuranSYSebelumnya!$J$330:$J$772,$K49,IuranSYSebelumnya!$M$330:$M$772,AZ$11,IuranSYSebelumnya!$L$330:$L$772,"&lt;&gt;"&amp;$M$5)&gt;0,
              "Iuran dari Lingkungan lain",
              ""))</t>
  </si>
  <si>
    <t>=IF(COUNTIFS(IuranSYSebelumnya!$J$330:$J$772,$K49,IuranSYSebelumnya!$M$330:$M$772,BA$11,IuranSYSebelumnya!$L$330:$L$772,$M$5)&gt;0,
        VLOOKUP(CONCATENATE($K49,"|",BA$11,"|",$M$5),IuranSYSebelumnya!$I$330:$N$772,5,FALSE),
        IF(COUNTIFS(IuranSYSebelumnya!$J$330:$J$772,$K49,IuranSYSebelumnya!$M$330:$M$772,BA$11,IuranSYSebelumnya!$L$330:$L$772,"&lt;&gt;"&amp;$M$5)&gt;0,
              "Iuran dari Lingkungan lain",
              ""))</t>
  </si>
  <si>
    <t>=IF(COUNTIFS(IuranSYSebelumnya!$J$330:$J$772,$K49,IuranSYSebelumnya!$M$330:$M$772,BB$11,IuranSYSebelumnya!$L$330:$L$772,$M$5)&gt;0,
        VLOOKUP(CONCATENATE($K49,"|",BB$11,"|",$M$5),IuranSYSebelumnya!$I$330:$N$772,5,FALSE),
        IF(COUNTIFS(IuranSYSebelumnya!$J$330:$J$772,$K49,IuranSYSebelumnya!$M$330:$M$772,BB$11,IuranSYSebelumnya!$L$330:$L$772,"&lt;&gt;"&amp;$M$5)&gt;0,
              "Iuran dari Lingkungan lain",
              ""))</t>
  </si>
  <si>
    <t>=IF(COUNTIFS(IuranSYSebelumnya!$J$330:$J$772,$K49,IuranSYSebelumnya!$M$330:$M$772,BC$11,IuranSYSebelumnya!$L$330:$L$772,$M$5)&gt;0,
        VLOOKUP(CONCATENATE($K49,"|",BC$11,"|",$M$5),IuranSYSebelumnya!$I$330:$N$772,5,FALSE),
        IF(COUNTIFS(IuranSYSebelumnya!$J$330:$J$772,$K49,IuranSYSebelumnya!$M$330:$M$772,BC$11,IuranSYSebelumnya!$L$330:$L$772,"&lt;&gt;"&amp;$M$5)&gt;0,
              "Iuran dari Lingkungan lain",
              ""))</t>
  </si>
  <si>
    <t>=IF(COUNTIFS(IuranSYSebelumnya!$J$330:$J$772,$K49,IuranSYSebelumnya!$M$330:$M$772,BD$11,IuranSYSebelumnya!$L$330:$L$772,$M$5)&gt;0,
        VLOOKUP(CONCATENATE($K49,"|",BD$11,"|",$M$5),IuranSYSebelumnya!$I$330:$N$772,5,FALSE),
        IF(COUNTIFS(IuranSYSebelumnya!$J$330:$J$772,$K49,IuranSYSebelumnya!$M$330:$M$772,BD$11,IuranSYSebelumnya!$L$330:$L$772,"&lt;&gt;"&amp;$M$5)&gt;0,
              "Iuran dari Lingkungan lain",
              ""))</t>
  </si>
  <si>
    <t>=IF(COUNTIFS(IuranSYSebelumnya!$J$330:$J$772,$K49,IuranSYSebelumnya!$M$330:$M$772,BE$11,IuranSYSebelumnya!$L$330:$L$772,$M$5)&gt;0,
        VLOOKUP(CONCATENATE($K49,"|",BE$11,"|",$M$5),IuranSYSebelumnya!$I$330:$N$772,5,FALSE),
        IF(COUNTIFS(IuranSYSebelumnya!$J$330:$J$772,$K49,IuranSYSebelumnya!$M$330:$M$772,BE$11,IuranSYSebelumnya!$L$330:$L$772,"&lt;&gt;"&amp;$M$5)&gt;0,
              "Iuran dari Lingkungan lain",
              ""))</t>
  </si>
  <si>
    <t>=IF(COUNTIFS(IuranSYSebelumnya!$J$330:$J$772,$K49,IuranSYSebelumnya!$M$330:$M$772,BF$11,IuranSYSebelumnya!$L$330:$L$772,$M$5)&gt;0,
        VLOOKUP(CONCATENATE($K49,"|",BF$11,"|",$M$5),IuranSYSebelumnya!$I$330:$N$772,5,FALSE),
        IF(COUNTIFS(IuranSYSebelumnya!$J$330:$J$772,$K49,IuranSYSebelumnya!$M$330:$M$772,BF$11,IuranSYSebelumnya!$L$330:$L$772,"&lt;&gt;"&amp;$M$5)&gt;0,
              "Iuran dari Lingkungan lain",
              ""))</t>
  </si>
  <si>
    <t>=IF(COUNTIFS(IuranSYSebelumnya!$J$330:$J$772,$K49,IuranSYSebelumnya!$M$330:$M$772,BG$11,IuranSYSebelumnya!$L$330:$L$772,$M$5)&gt;0,
        VLOOKUP(CONCATENATE($K49,"|",BG$11,"|",$M$5),IuranSYSebelumnya!$I$330:$N$772,5,FALSE),
        IF(COUNTIFS(IuranSYSebelumnya!$J$330:$J$772,$K49,IuranSYSebelumnya!$M$330:$M$772,BG$11,IuranSYSebelumnya!$L$330:$L$772,"&lt;&gt;"&amp;$M$5)&gt;0,
              "Iuran dari Lingkungan lain",
              ""))</t>
  </si>
  <si>
    <t>=IF(COUNTIFS(IuranSYSebelumnya!$J$330:$J$772,$K49,IuranSYSebelumnya!$M$330:$M$772,BH$11,IuranSYSebelumnya!$L$330:$L$772,$M$5)&gt;0,
        VLOOKUP(CONCATENATE($K49,"|",BH$11,"|",$M$5),IuranSYSebelumnya!$I$330:$N$772,5,FALSE),
        IF(COUNTIFS(IuranSYSebelumnya!$J$330:$J$772,$K49,IuranSYSebelumnya!$M$330:$M$772,BH$11,IuranSYSebelumnya!$L$330:$L$772,"&lt;&gt;"&amp;$M$5)&gt;0,
              "Iuran dari Lingkungan lain",
              ""))</t>
  </si>
  <si>
    <t>=IF(COUNTIFS(IuranSYSebelumnya!$J$330:$J$772,$K49,IuranSYSebelumnya!$M$330:$M$772,BI$11,IuranSYSebelumnya!$L$330:$L$772,$M$5)&gt;0,
        VLOOKUP(CONCATENATE($K49,"|",BI$11,"|",$M$5),IuranSYSebelumnya!$I$330:$N$772,5,FALSE),
        IF(COUNTIFS(IuranSYSebelumnya!$J$330:$J$772,$K49,IuranSYSebelumnya!$M$330:$M$772,BI$11,IuranSYSebelumnya!$L$330:$L$772,"&lt;&gt;"&amp;$M$5)&gt;0,
              "Iuran dari Lingkungan lain",
              ""))</t>
  </si>
  <si>
    <t>=IF(COUNTIFS(IuranSYSebelumnya!$J$330:$J$772,$K49,IuranSYSebelumnya!$M$330:$M$772,BJ$11,IuranSYSebelumnya!$L$330:$L$772,$M$5)&gt;0,
        VLOOKUP(CONCATENATE($K49,"|",BJ$11,"|",$M$5),IuranSYSebelumnya!$I$330:$N$772,5,FALSE),
        IF(COUNTIFS(IuranSYSebelumnya!$J$330:$J$772,$K49,IuranSYSebelumnya!$M$330:$M$772,BJ$11,IuranSYSebelumnya!$L$330:$L$772,"&lt;&gt;"&amp;$M$5)&gt;0,
              "Iuran dari Lingkungan lain",
              ""))</t>
  </si>
  <si>
    <t>=IF(COUNTIFS(IuranSYSebelumnya!$J$330:$J$772,$K49,IuranSYSebelumnya!$M$330:$M$772,BK$11,IuranSYSebelumnya!$L$330:$L$772,$M$5)&gt;0,
        VLOOKUP(CONCATENATE($K49,"|",BK$11,"|",$M$5),IuranSYSebelumnya!$I$330:$N$772,5,FALSE),
        IF(COUNTIFS(IuranSYSebelumnya!$J$330:$J$772,$K49,IuranSYSebelumnya!$M$330:$M$772,BK$11,IuranSYSebelumnya!$L$330:$L$772,"&lt;&gt;"&amp;$M$5)&gt;0,
              "Iuran dari Lingkungan lain",
              ""))</t>
  </si>
  <si>
    <t>=IF(COUNTIFS(IuranSYSebelumnya!$J$330:$J$772,$K49,IuranSYSebelumnya!$M$330:$M$772,BL$11,IuranSYSebelumnya!$L$330:$L$772,$M$5)&gt;0,
        VLOOKUP(CONCATENATE($K49,"|",BL$11,"|",$M$5),IuranSYSebelumnya!$I$330:$N$772,5,FALSE),
        IF(COUNTIFS(IuranSYSebelumnya!$J$330:$J$772,$K49,IuranSYSebelumnya!$M$330:$M$772,BL$11,IuranSYSebelumnya!$L$330:$L$772,"&lt;&gt;"&amp;$M$5)&gt;0,
              "Iuran dari Lingkungan lain",
              ""))</t>
  </si>
  <si>
    <t>=IF(COUNTIFS(IuranSYSebelumnya!$J$330:$J$772,$K50,IuranSYSebelumnya!$M$330:$M$772,AO$11,IuranSYSebelumnya!$L$330:$L$772,$M$5)&gt;0,
        VLOOKUP(CONCATENATE($K50,"|",AO$11,"|",$M$5),IuranSYSebelumnya!$I$330:$N$772,5,FALSE),
        IF(COUNTIFS(IuranSYSebelumnya!$J$330:$J$772,$K50,IuranSYSebelumnya!$M$330:$M$772,AO$11,IuranSYSebelumnya!$L$330:$L$772,"&lt;&gt;"&amp;$M$5)&gt;0,
              "Iuran dari Lingkungan lain",
              ""))</t>
  </si>
  <si>
    <t>=IF(COUNTIFS(IuranSYSebelumnya!$J$330:$J$772,$K50,IuranSYSebelumnya!$M$330:$M$772,AP$11,IuranSYSebelumnya!$L$330:$L$772,$M$5)&gt;0,
        VLOOKUP(CONCATENATE($K50,"|",AP$11,"|",$M$5),IuranSYSebelumnya!$I$330:$N$772,5,FALSE),
        IF(COUNTIFS(IuranSYSebelumnya!$J$330:$J$772,$K50,IuranSYSebelumnya!$M$330:$M$772,AP$11,IuranSYSebelumnya!$L$330:$L$772,"&lt;&gt;"&amp;$M$5)&gt;0,
              "Iuran dari Lingkungan lain",
              ""))</t>
  </si>
  <si>
    <t>=IF(COUNTIFS(IuranSYSebelumnya!$J$330:$J$772,$K50,IuranSYSebelumnya!$M$330:$M$772,AQ$11,IuranSYSebelumnya!$L$330:$L$772,$M$5)&gt;0,
        VLOOKUP(CONCATENATE($K50,"|",AQ$11,"|",$M$5),IuranSYSebelumnya!$I$330:$N$772,5,FALSE),
        IF(COUNTIFS(IuranSYSebelumnya!$J$330:$J$772,$K50,IuranSYSebelumnya!$M$330:$M$772,AQ$11,IuranSYSebelumnya!$L$330:$L$772,"&lt;&gt;"&amp;$M$5)&gt;0,
              "Iuran dari Lingkungan lain",
              ""))</t>
  </si>
  <si>
    <t>=IF(COUNTIFS(IuranSYSebelumnya!$J$330:$J$772,$K50,IuranSYSebelumnya!$M$330:$M$772,AR$11,IuranSYSebelumnya!$L$330:$L$772,$M$5)&gt;0,
        VLOOKUP(CONCATENATE($K50,"|",AR$11,"|",$M$5),IuranSYSebelumnya!$I$330:$N$772,5,FALSE),
        IF(COUNTIFS(IuranSYSebelumnya!$J$330:$J$772,$K50,IuranSYSebelumnya!$M$330:$M$772,AR$11,IuranSYSebelumnya!$L$330:$L$772,"&lt;&gt;"&amp;$M$5)&gt;0,
              "Iuran dari Lingkungan lain",
              ""))</t>
  </si>
  <si>
    <t>=IF(COUNTIFS(IuranSYSebelumnya!$J$330:$J$772,$K50,IuranSYSebelumnya!$M$330:$M$772,AS$11,IuranSYSebelumnya!$L$330:$L$772,$M$5)&gt;0,
        VLOOKUP(CONCATENATE($K50,"|",AS$11,"|",$M$5),IuranSYSebelumnya!$I$330:$N$772,5,FALSE),
        IF(COUNTIFS(IuranSYSebelumnya!$J$330:$J$772,$K50,IuranSYSebelumnya!$M$330:$M$772,AS$11,IuranSYSebelumnya!$L$330:$L$772,"&lt;&gt;"&amp;$M$5)&gt;0,
              "Iuran dari Lingkungan lain",
              ""))</t>
  </si>
  <si>
    <t>=IF(COUNTIFS(IuranSYSebelumnya!$J$330:$J$772,$K50,IuranSYSebelumnya!$M$330:$M$772,AT$11,IuranSYSebelumnya!$L$330:$L$772,$M$5)&gt;0,
        VLOOKUP(CONCATENATE($K50,"|",AT$11,"|",$M$5),IuranSYSebelumnya!$I$330:$N$772,5,FALSE),
        IF(COUNTIFS(IuranSYSebelumnya!$J$330:$J$772,$K50,IuranSYSebelumnya!$M$330:$M$772,AT$11,IuranSYSebelumnya!$L$330:$L$772,"&lt;&gt;"&amp;$M$5)&gt;0,
              "Iuran dari Lingkungan lain",
              ""))</t>
  </si>
  <si>
    <t>=IF(COUNTIFS(IuranSYSebelumnya!$J$330:$J$772,$K50,IuranSYSebelumnya!$M$330:$M$772,AU$11,IuranSYSebelumnya!$L$330:$L$772,$M$5)&gt;0,
        VLOOKUP(CONCATENATE($K50,"|",AU$11,"|",$M$5),IuranSYSebelumnya!$I$330:$N$772,5,FALSE),
        IF(COUNTIFS(IuranSYSebelumnya!$J$330:$J$772,$K50,IuranSYSebelumnya!$M$330:$M$772,AU$11,IuranSYSebelumnya!$L$330:$L$772,"&lt;&gt;"&amp;$M$5)&gt;0,
              "Iuran dari Lingkungan lain",
              ""))</t>
  </si>
  <si>
    <t>=IF(COUNTIFS(IuranSYSebelumnya!$J$330:$J$772,$K50,IuranSYSebelumnya!$M$330:$M$772,AV$11,IuranSYSebelumnya!$L$330:$L$772,$M$5)&gt;0,
        VLOOKUP(CONCATENATE($K50,"|",AV$11,"|",$M$5),IuranSYSebelumnya!$I$330:$N$772,5,FALSE),
        IF(COUNTIFS(IuranSYSebelumnya!$J$330:$J$772,$K50,IuranSYSebelumnya!$M$330:$M$772,AV$11,IuranSYSebelumnya!$L$330:$L$772,"&lt;&gt;"&amp;$M$5)&gt;0,
              "Iuran dari Lingkungan lain",
              ""))</t>
  </si>
  <si>
    <t>=IF(COUNTIFS(IuranSYSebelumnya!$J$330:$J$772,$K50,IuranSYSebelumnya!$M$330:$M$772,AW$11,IuranSYSebelumnya!$L$330:$L$772,$M$5)&gt;0,
        VLOOKUP(CONCATENATE($K50,"|",AW$11,"|",$M$5),IuranSYSebelumnya!$I$330:$N$772,5,FALSE),
        IF(COUNTIFS(IuranSYSebelumnya!$J$330:$J$772,$K50,IuranSYSebelumnya!$M$330:$M$772,AW$11,IuranSYSebelumnya!$L$330:$L$772,"&lt;&gt;"&amp;$M$5)&gt;0,
              "Iuran dari Lingkungan lain",
              ""))</t>
  </si>
  <si>
    <t>=IF(COUNTIFS(IuranSYSebelumnya!$J$330:$J$772,$K50,IuranSYSebelumnya!$M$330:$M$772,AX$11,IuranSYSebelumnya!$L$330:$L$772,$M$5)&gt;0,
        VLOOKUP(CONCATENATE($K50,"|",AX$11,"|",$M$5),IuranSYSebelumnya!$I$330:$N$772,5,FALSE),
        IF(COUNTIFS(IuranSYSebelumnya!$J$330:$J$772,$K50,IuranSYSebelumnya!$M$330:$M$772,AX$11,IuranSYSebelumnya!$L$330:$L$772,"&lt;&gt;"&amp;$M$5)&gt;0,
              "Iuran dari Lingkungan lain",
              ""))</t>
  </si>
  <si>
    <t>=IF(COUNTIFS(IuranSYSebelumnya!$J$330:$J$772,$K50,IuranSYSebelumnya!$M$330:$M$772,AY$11,IuranSYSebelumnya!$L$330:$L$772,$M$5)&gt;0,
        VLOOKUP(CONCATENATE($K50,"|",AY$11,"|",$M$5),IuranSYSebelumnya!$I$330:$N$772,5,FALSE),
        IF(COUNTIFS(IuranSYSebelumnya!$J$330:$J$772,$K50,IuranSYSebelumnya!$M$330:$M$772,AY$11,IuranSYSebelumnya!$L$330:$L$772,"&lt;&gt;"&amp;$M$5)&gt;0,
              "Iuran dari Lingkungan lain",
              ""))</t>
  </si>
  <si>
    <t>=IF(COUNTIFS(IuranSYSebelumnya!$J$330:$J$772,$K50,IuranSYSebelumnya!$M$330:$M$772,AZ$11,IuranSYSebelumnya!$L$330:$L$772,$M$5)&gt;0,
        VLOOKUP(CONCATENATE($K50,"|",AZ$11,"|",$M$5),IuranSYSebelumnya!$I$330:$N$772,5,FALSE),
        IF(COUNTIFS(IuranSYSebelumnya!$J$330:$J$772,$K50,IuranSYSebelumnya!$M$330:$M$772,AZ$11,IuranSYSebelumnya!$L$330:$L$772,"&lt;&gt;"&amp;$M$5)&gt;0,
              "Iuran dari Lingkungan lain",
              ""))</t>
  </si>
  <si>
    <t>=IF(COUNTIFS(IuranSYSebelumnya!$J$330:$J$772,$K50,IuranSYSebelumnya!$M$330:$M$772,BA$11,IuranSYSebelumnya!$L$330:$L$772,$M$5)&gt;0,
        VLOOKUP(CONCATENATE($K50,"|",BA$11,"|",$M$5),IuranSYSebelumnya!$I$330:$N$772,5,FALSE),
        IF(COUNTIFS(IuranSYSebelumnya!$J$330:$J$772,$K50,IuranSYSebelumnya!$M$330:$M$772,BA$11,IuranSYSebelumnya!$L$330:$L$772,"&lt;&gt;"&amp;$M$5)&gt;0,
              "Iuran dari Lingkungan lain",
              ""))</t>
  </si>
  <si>
    <t>=IF(COUNTIFS(IuranSYSebelumnya!$J$330:$J$772,$K50,IuranSYSebelumnya!$M$330:$M$772,BB$11,IuranSYSebelumnya!$L$330:$L$772,$M$5)&gt;0,
        VLOOKUP(CONCATENATE($K50,"|",BB$11,"|",$M$5),IuranSYSebelumnya!$I$330:$N$772,5,FALSE),
        IF(COUNTIFS(IuranSYSebelumnya!$J$330:$J$772,$K50,IuranSYSebelumnya!$M$330:$M$772,BB$11,IuranSYSebelumnya!$L$330:$L$772,"&lt;&gt;"&amp;$M$5)&gt;0,
              "Iuran dari Lingkungan lain",
              ""))</t>
  </si>
  <si>
    <t>=IF(COUNTIFS(IuranSYSebelumnya!$J$330:$J$772,$K50,IuranSYSebelumnya!$M$330:$M$772,BC$11,IuranSYSebelumnya!$L$330:$L$772,$M$5)&gt;0,
        VLOOKUP(CONCATENATE($K50,"|",BC$11,"|",$M$5),IuranSYSebelumnya!$I$330:$N$772,5,FALSE),
        IF(COUNTIFS(IuranSYSebelumnya!$J$330:$J$772,$K50,IuranSYSebelumnya!$M$330:$M$772,BC$11,IuranSYSebelumnya!$L$330:$L$772,"&lt;&gt;"&amp;$M$5)&gt;0,
              "Iuran dari Lingkungan lain",
              ""))</t>
  </si>
  <si>
    <t>=IF(COUNTIFS(IuranSYSebelumnya!$J$330:$J$772,$K50,IuranSYSebelumnya!$M$330:$M$772,BD$11,IuranSYSebelumnya!$L$330:$L$772,$M$5)&gt;0,
        VLOOKUP(CONCATENATE($K50,"|",BD$11,"|",$M$5),IuranSYSebelumnya!$I$330:$N$772,5,FALSE),
        IF(COUNTIFS(IuranSYSebelumnya!$J$330:$J$772,$K50,IuranSYSebelumnya!$M$330:$M$772,BD$11,IuranSYSebelumnya!$L$330:$L$772,"&lt;&gt;"&amp;$M$5)&gt;0,
              "Iuran dari Lingkungan lain",
              ""))</t>
  </si>
  <si>
    <t>=IF(COUNTIFS(IuranSYSebelumnya!$J$330:$J$772,$K50,IuranSYSebelumnya!$M$330:$M$772,BE$11,IuranSYSebelumnya!$L$330:$L$772,$M$5)&gt;0,
        VLOOKUP(CONCATENATE($K50,"|",BE$11,"|",$M$5),IuranSYSebelumnya!$I$330:$N$772,5,FALSE),
        IF(COUNTIFS(IuranSYSebelumnya!$J$330:$J$772,$K50,IuranSYSebelumnya!$M$330:$M$772,BE$11,IuranSYSebelumnya!$L$330:$L$772,"&lt;&gt;"&amp;$M$5)&gt;0,
              "Iuran dari Lingkungan lain",
              ""))</t>
  </si>
  <si>
    <t>=IF(COUNTIFS(IuranSYSebelumnya!$J$330:$J$772,$K50,IuranSYSebelumnya!$M$330:$M$772,BF$11,IuranSYSebelumnya!$L$330:$L$772,$M$5)&gt;0,
        VLOOKUP(CONCATENATE($K50,"|",BF$11,"|",$M$5),IuranSYSebelumnya!$I$330:$N$772,5,FALSE),
        IF(COUNTIFS(IuranSYSebelumnya!$J$330:$J$772,$K50,IuranSYSebelumnya!$M$330:$M$772,BF$11,IuranSYSebelumnya!$L$330:$L$772,"&lt;&gt;"&amp;$M$5)&gt;0,
              "Iuran dari Lingkungan lain",
              ""))</t>
  </si>
  <si>
    <t>=IF(COUNTIFS(IuranSYSebelumnya!$J$330:$J$772,$K50,IuranSYSebelumnya!$M$330:$M$772,BG$11,IuranSYSebelumnya!$L$330:$L$772,$M$5)&gt;0,
        VLOOKUP(CONCATENATE($K50,"|",BG$11,"|",$M$5),IuranSYSebelumnya!$I$330:$N$772,5,FALSE),
        IF(COUNTIFS(IuranSYSebelumnya!$J$330:$J$772,$K50,IuranSYSebelumnya!$M$330:$M$772,BG$11,IuranSYSebelumnya!$L$330:$L$772,"&lt;&gt;"&amp;$M$5)&gt;0,
              "Iuran dari Lingkungan lain",
              ""))</t>
  </si>
  <si>
    <t>=IF(COUNTIFS(IuranSYSebelumnya!$J$330:$J$772,$K50,IuranSYSebelumnya!$M$330:$M$772,BH$11,IuranSYSebelumnya!$L$330:$L$772,$M$5)&gt;0,
        VLOOKUP(CONCATENATE($K50,"|",BH$11,"|",$M$5),IuranSYSebelumnya!$I$330:$N$772,5,FALSE),
        IF(COUNTIFS(IuranSYSebelumnya!$J$330:$J$772,$K50,IuranSYSebelumnya!$M$330:$M$772,BH$11,IuranSYSebelumnya!$L$330:$L$772,"&lt;&gt;"&amp;$M$5)&gt;0,
              "Iuran dari Lingkungan lain",
              ""))</t>
  </si>
  <si>
    <t>=IF(COUNTIFS(IuranSYSebelumnya!$J$330:$J$772,$K50,IuranSYSebelumnya!$M$330:$M$772,BI$11,IuranSYSebelumnya!$L$330:$L$772,$M$5)&gt;0,
        VLOOKUP(CONCATENATE($K50,"|",BI$11,"|",$M$5),IuranSYSebelumnya!$I$330:$N$772,5,FALSE),
        IF(COUNTIFS(IuranSYSebelumnya!$J$330:$J$772,$K50,IuranSYSebelumnya!$M$330:$M$772,BI$11,IuranSYSebelumnya!$L$330:$L$772,"&lt;&gt;"&amp;$M$5)&gt;0,
              "Iuran dari Lingkungan lain",
              ""))</t>
  </si>
  <si>
    <t>=IF(COUNTIFS(IuranSYSebelumnya!$J$330:$J$772,$K50,IuranSYSebelumnya!$M$330:$M$772,BJ$11,IuranSYSebelumnya!$L$330:$L$772,$M$5)&gt;0,
        VLOOKUP(CONCATENATE($K50,"|",BJ$11,"|",$M$5),IuranSYSebelumnya!$I$330:$N$772,5,FALSE),
        IF(COUNTIFS(IuranSYSebelumnya!$J$330:$J$772,$K50,IuranSYSebelumnya!$M$330:$M$772,BJ$11,IuranSYSebelumnya!$L$330:$L$772,"&lt;&gt;"&amp;$M$5)&gt;0,
              "Iuran dari Lingkungan lain",
              ""))</t>
  </si>
  <si>
    <t>=IF(COUNTIFS(IuranSYSebelumnya!$J$330:$J$772,$K50,IuranSYSebelumnya!$M$330:$M$772,BK$11,IuranSYSebelumnya!$L$330:$L$772,$M$5)&gt;0,
        VLOOKUP(CONCATENATE($K50,"|",BK$11,"|",$M$5),IuranSYSebelumnya!$I$330:$N$772,5,FALSE),
        IF(COUNTIFS(IuranSYSebelumnya!$J$330:$J$772,$K50,IuranSYSebelumnya!$M$330:$M$772,BK$11,IuranSYSebelumnya!$L$330:$L$772,"&lt;&gt;"&amp;$M$5)&gt;0,
              "Iuran dari Lingkungan lain",
              ""))</t>
  </si>
  <si>
    <t>=IF(COUNTIFS(IuranSYSebelumnya!$J$330:$J$772,$K50,IuranSYSebelumnya!$M$330:$M$772,BL$11,IuranSYSebelumnya!$L$330:$L$772,$M$5)&gt;0,
        VLOOKUP(CONCATENATE($K50,"|",BL$11,"|",$M$5),IuranSYSebelumnya!$I$330:$N$772,5,FALSE),
        IF(COUNTIFS(IuranSYSebelumnya!$J$330:$J$772,$K50,IuranSYSebelumnya!$M$330:$M$772,BL$11,IuranSYSebelumnya!$L$330:$L$772,"&lt;&gt;"&amp;$M$5)&gt;0,
              "Iuran dari Lingkungan lain",
              ""))</t>
  </si>
  <si>
    <t>=IF(COUNTIFS(IuranSYSebelumnya!$J$330:$J$772,$K51,IuranSYSebelumnya!$M$330:$M$772,AO$11,IuranSYSebelumnya!$L$330:$L$772,$M$5)&gt;0,
        VLOOKUP(CONCATENATE($K51,"|",AO$11,"|",$M$5),IuranSYSebelumnya!$I$330:$N$772,5,FALSE),
        IF(COUNTIFS(IuranSYSebelumnya!$J$330:$J$772,$K51,IuranSYSebelumnya!$M$330:$M$772,AO$11,IuranSYSebelumnya!$L$330:$L$772,"&lt;&gt;"&amp;$M$5)&gt;0,
              "Iuran dari Lingkungan lain",
              ""))</t>
  </si>
  <si>
    <t>=IF(COUNTIFS(IuranSYSebelumnya!$J$330:$J$772,$K51,IuranSYSebelumnya!$M$330:$M$772,AP$11,IuranSYSebelumnya!$L$330:$L$772,$M$5)&gt;0,
        VLOOKUP(CONCATENATE($K51,"|",AP$11,"|",$M$5),IuranSYSebelumnya!$I$330:$N$772,5,FALSE),
        IF(COUNTIFS(IuranSYSebelumnya!$J$330:$J$772,$K51,IuranSYSebelumnya!$M$330:$M$772,AP$11,IuranSYSebelumnya!$L$330:$L$772,"&lt;&gt;"&amp;$M$5)&gt;0,
              "Iuran dari Lingkungan lain",
              ""))</t>
  </si>
  <si>
    <t>=IF(COUNTIFS(IuranSYSebelumnya!$J$330:$J$772,$K51,IuranSYSebelumnya!$M$330:$M$772,AQ$11,IuranSYSebelumnya!$L$330:$L$772,$M$5)&gt;0,
        VLOOKUP(CONCATENATE($K51,"|",AQ$11,"|",$M$5),IuranSYSebelumnya!$I$330:$N$772,5,FALSE),
        IF(COUNTIFS(IuranSYSebelumnya!$J$330:$J$772,$K51,IuranSYSebelumnya!$M$330:$M$772,AQ$11,IuranSYSebelumnya!$L$330:$L$772,"&lt;&gt;"&amp;$M$5)&gt;0,
              "Iuran dari Lingkungan lain",
              ""))</t>
  </si>
  <si>
    <t>=IF(COUNTIFS(IuranSYSebelumnya!$J$330:$J$772,$K51,IuranSYSebelumnya!$M$330:$M$772,AR$11,IuranSYSebelumnya!$L$330:$L$772,$M$5)&gt;0,
        VLOOKUP(CONCATENATE($K51,"|",AR$11,"|",$M$5),IuranSYSebelumnya!$I$330:$N$772,5,FALSE),
        IF(COUNTIFS(IuranSYSebelumnya!$J$330:$J$772,$K51,IuranSYSebelumnya!$M$330:$M$772,AR$11,IuranSYSebelumnya!$L$330:$L$772,"&lt;&gt;"&amp;$M$5)&gt;0,
              "Iuran dari Lingkungan lain",
              ""))</t>
  </si>
  <si>
    <t>=IF(COUNTIFS(IuranSYSebelumnya!$J$330:$J$772,$K51,IuranSYSebelumnya!$M$330:$M$772,AS$11,IuranSYSebelumnya!$L$330:$L$772,$M$5)&gt;0,
        VLOOKUP(CONCATENATE($K51,"|",AS$11,"|",$M$5),IuranSYSebelumnya!$I$330:$N$772,5,FALSE),
        IF(COUNTIFS(IuranSYSebelumnya!$J$330:$J$772,$K51,IuranSYSebelumnya!$M$330:$M$772,AS$11,IuranSYSebelumnya!$L$330:$L$772,"&lt;&gt;"&amp;$M$5)&gt;0,
              "Iuran dari Lingkungan lain",
              ""))</t>
  </si>
  <si>
    <t>=IF(COUNTIFS(IuranSYSebelumnya!$J$330:$J$772,$K51,IuranSYSebelumnya!$M$330:$M$772,AT$11,IuranSYSebelumnya!$L$330:$L$772,$M$5)&gt;0,
        VLOOKUP(CONCATENATE($K51,"|",AT$11,"|",$M$5),IuranSYSebelumnya!$I$330:$N$772,5,FALSE),
        IF(COUNTIFS(IuranSYSebelumnya!$J$330:$J$772,$K51,IuranSYSebelumnya!$M$330:$M$772,AT$11,IuranSYSebelumnya!$L$330:$L$772,"&lt;&gt;"&amp;$M$5)&gt;0,
              "Iuran dari Lingkungan lain",
              ""))</t>
  </si>
  <si>
    <t>=IF(COUNTIFS(IuranSYSebelumnya!$J$330:$J$772,$K51,IuranSYSebelumnya!$M$330:$M$772,AU$11,IuranSYSebelumnya!$L$330:$L$772,$M$5)&gt;0,
        VLOOKUP(CONCATENATE($K51,"|",AU$11,"|",$M$5),IuranSYSebelumnya!$I$330:$N$772,5,FALSE),
        IF(COUNTIFS(IuranSYSebelumnya!$J$330:$J$772,$K51,IuranSYSebelumnya!$M$330:$M$772,AU$11,IuranSYSebelumnya!$L$330:$L$772,"&lt;&gt;"&amp;$M$5)&gt;0,
              "Iuran dari Lingkungan lain",
              ""))</t>
  </si>
  <si>
    <t>=IF(COUNTIFS(IuranSYSebelumnya!$J$330:$J$772,$K51,IuranSYSebelumnya!$M$330:$M$772,AV$11,IuranSYSebelumnya!$L$330:$L$772,$M$5)&gt;0,
        VLOOKUP(CONCATENATE($K51,"|",AV$11,"|",$M$5),IuranSYSebelumnya!$I$330:$N$772,5,FALSE),
        IF(COUNTIFS(IuranSYSebelumnya!$J$330:$J$772,$K51,IuranSYSebelumnya!$M$330:$M$772,AV$11,IuranSYSebelumnya!$L$330:$L$772,"&lt;&gt;"&amp;$M$5)&gt;0,
              "Iuran dari Lingkungan lain",
              ""))</t>
  </si>
  <si>
    <t>=IF(COUNTIFS(IuranSYSebelumnya!$J$330:$J$772,$K51,IuranSYSebelumnya!$M$330:$M$772,AW$11,IuranSYSebelumnya!$L$330:$L$772,$M$5)&gt;0,
        VLOOKUP(CONCATENATE($K51,"|",AW$11,"|",$M$5),IuranSYSebelumnya!$I$330:$N$772,5,FALSE),
        IF(COUNTIFS(IuranSYSebelumnya!$J$330:$J$772,$K51,IuranSYSebelumnya!$M$330:$M$772,AW$11,IuranSYSebelumnya!$L$330:$L$772,"&lt;&gt;"&amp;$M$5)&gt;0,
              "Iuran dari Lingkungan lain",
              ""))</t>
  </si>
  <si>
    <t>=IF(COUNTIFS(IuranSYSebelumnya!$J$330:$J$772,$K51,IuranSYSebelumnya!$M$330:$M$772,AX$11,IuranSYSebelumnya!$L$330:$L$772,$M$5)&gt;0,
        VLOOKUP(CONCATENATE($K51,"|",AX$11,"|",$M$5),IuranSYSebelumnya!$I$330:$N$772,5,FALSE),
        IF(COUNTIFS(IuranSYSebelumnya!$J$330:$J$772,$K51,IuranSYSebelumnya!$M$330:$M$772,AX$11,IuranSYSebelumnya!$L$330:$L$772,"&lt;&gt;"&amp;$M$5)&gt;0,
              "Iuran dari Lingkungan lain",
              ""))</t>
  </si>
  <si>
    <t>=IF(COUNTIFS(IuranSYSebelumnya!$J$330:$J$772,$K51,IuranSYSebelumnya!$M$330:$M$772,AY$11,IuranSYSebelumnya!$L$330:$L$772,$M$5)&gt;0,
        VLOOKUP(CONCATENATE($K51,"|",AY$11,"|",$M$5),IuranSYSebelumnya!$I$330:$N$772,5,FALSE),
        IF(COUNTIFS(IuranSYSebelumnya!$J$330:$J$772,$K51,IuranSYSebelumnya!$M$330:$M$772,AY$11,IuranSYSebelumnya!$L$330:$L$772,"&lt;&gt;"&amp;$M$5)&gt;0,
              "Iuran dari Lingkungan lain",
              ""))</t>
  </si>
  <si>
    <t>=IF(COUNTIFS(IuranSYSebelumnya!$J$330:$J$772,$K51,IuranSYSebelumnya!$M$330:$M$772,AZ$11,IuranSYSebelumnya!$L$330:$L$772,$M$5)&gt;0,
        VLOOKUP(CONCATENATE($K51,"|",AZ$11,"|",$M$5),IuranSYSebelumnya!$I$330:$N$772,5,FALSE),
        IF(COUNTIFS(IuranSYSebelumnya!$J$330:$J$772,$K51,IuranSYSebelumnya!$M$330:$M$772,AZ$11,IuranSYSebelumnya!$L$330:$L$772,"&lt;&gt;"&amp;$M$5)&gt;0,
              "Iuran dari Lingkungan lain",
              ""))</t>
  </si>
  <si>
    <t>=IF(COUNTIFS(IuranSYSebelumnya!$J$330:$J$772,$K51,IuranSYSebelumnya!$M$330:$M$772,BA$11,IuranSYSebelumnya!$L$330:$L$772,$M$5)&gt;0,
        VLOOKUP(CONCATENATE($K51,"|",BA$11,"|",$M$5),IuranSYSebelumnya!$I$330:$N$772,5,FALSE),
        IF(COUNTIFS(IuranSYSebelumnya!$J$330:$J$772,$K51,IuranSYSebelumnya!$M$330:$M$772,BA$11,IuranSYSebelumnya!$L$330:$L$772,"&lt;&gt;"&amp;$M$5)&gt;0,
              "Iuran dari Lingkungan lain",
              ""))</t>
  </si>
  <si>
    <t>=IF(COUNTIFS(IuranSYSebelumnya!$J$330:$J$772,$K51,IuranSYSebelumnya!$M$330:$M$772,BB$11,IuranSYSebelumnya!$L$330:$L$772,$M$5)&gt;0,
        VLOOKUP(CONCATENATE($K51,"|",BB$11,"|",$M$5),IuranSYSebelumnya!$I$330:$N$772,5,FALSE),
        IF(COUNTIFS(IuranSYSebelumnya!$J$330:$J$772,$K51,IuranSYSebelumnya!$M$330:$M$772,BB$11,IuranSYSebelumnya!$L$330:$L$772,"&lt;&gt;"&amp;$M$5)&gt;0,
              "Iuran dari Lingkungan lain",
              ""))</t>
  </si>
  <si>
    <t>=IF(COUNTIFS(IuranSYSebelumnya!$J$330:$J$772,$K51,IuranSYSebelumnya!$M$330:$M$772,BC$11,IuranSYSebelumnya!$L$330:$L$772,$M$5)&gt;0,
        VLOOKUP(CONCATENATE($K51,"|",BC$11,"|",$M$5),IuranSYSebelumnya!$I$330:$N$772,5,FALSE),
        IF(COUNTIFS(IuranSYSebelumnya!$J$330:$J$772,$K51,IuranSYSebelumnya!$M$330:$M$772,BC$11,IuranSYSebelumnya!$L$330:$L$772,"&lt;&gt;"&amp;$M$5)&gt;0,
              "Iuran dari Lingkungan lain",
              ""))</t>
  </si>
  <si>
    <t>=IF(COUNTIFS(IuranSYSebelumnya!$J$330:$J$772,$K51,IuranSYSebelumnya!$M$330:$M$772,BD$11,IuranSYSebelumnya!$L$330:$L$772,$M$5)&gt;0,
        VLOOKUP(CONCATENATE($K51,"|",BD$11,"|",$M$5),IuranSYSebelumnya!$I$330:$N$772,5,FALSE),
        IF(COUNTIFS(IuranSYSebelumnya!$J$330:$J$772,$K51,IuranSYSebelumnya!$M$330:$M$772,BD$11,IuranSYSebelumnya!$L$330:$L$772,"&lt;&gt;"&amp;$M$5)&gt;0,
              "Iuran dari Lingkungan lain",
              ""))</t>
  </si>
  <si>
    <t>=IF(COUNTIFS(IuranSYSebelumnya!$J$330:$J$772,$K51,IuranSYSebelumnya!$M$330:$M$772,BE$11,IuranSYSebelumnya!$L$330:$L$772,$M$5)&gt;0,
        VLOOKUP(CONCATENATE($K51,"|",BE$11,"|",$M$5),IuranSYSebelumnya!$I$330:$N$772,5,FALSE),
        IF(COUNTIFS(IuranSYSebelumnya!$J$330:$J$772,$K51,IuranSYSebelumnya!$M$330:$M$772,BE$11,IuranSYSebelumnya!$L$330:$L$772,"&lt;&gt;"&amp;$M$5)&gt;0,
              "Iuran dari Lingkungan lain",
              ""))</t>
  </si>
  <si>
    <t>=IF(COUNTIFS(IuranSYSebelumnya!$J$330:$J$772,$K51,IuranSYSebelumnya!$M$330:$M$772,BF$11,IuranSYSebelumnya!$L$330:$L$772,$M$5)&gt;0,
        VLOOKUP(CONCATENATE($K51,"|",BF$11,"|",$M$5),IuranSYSebelumnya!$I$330:$N$772,5,FALSE),
        IF(COUNTIFS(IuranSYSebelumnya!$J$330:$J$772,$K51,IuranSYSebelumnya!$M$330:$M$772,BF$11,IuranSYSebelumnya!$L$330:$L$772,"&lt;&gt;"&amp;$M$5)&gt;0,
              "Iuran dari Lingkungan lain",
              ""))</t>
  </si>
  <si>
    <t>=IF(COUNTIFS(IuranSYSebelumnya!$J$330:$J$772,$K51,IuranSYSebelumnya!$M$330:$M$772,BG$11,IuranSYSebelumnya!$L$330:$L$772,$M$5)&gt;0,
        VLOOKUP(CONCATENATE($K51,"|",BG$11,"|",$M$5),IuranSYSebelumnya!$I$330:$N$772,5,FALSE),
        IF(COUNTIFS(IuranSYSebelumnya!$J$330:$J$772,$K51,IuranSYSebelumnya!$M$330:$M$772,BG$11,IuranSYSebelumnya!$L$330:$L$772,"&lt;&gt;"&amp;$M$5)&gt;0,
              "Iuran dari Lingkungan lain",
              ""))</t>
  </si>
  <si>
    <t>=IF(COUNTIFS(IuranSYSebelumnya!$J$330:$J$772,$K51,IuranSYSebelumnya!$M$330:$M$772,BH$11,IuranSYSebelumnya!$L$330:$L$772,$M$5)&gt;0,
        VLOOKUP(CONCATENATE($K51,"|",BH$11,"|",$M$5),IuranSYSebelumnya!$I$330:$N$772,5,FALSE),
        IF(COUNTIFS(IuranSYSebelumnya!$J$330:$J$772,$K51,IuranSYSebelumnya!$M$330:$M$772,BH$11,IuranSYSebelumnya!$L$330:$L$772,"&lt;&gt;"&amp;$M$5)&gt;0,
              "Iuran dari Lingkungan lain",
              ""))</t>
  </si>
  <si>
    <t>=IF(COUNTIFS(IuranSYSebelumnya!$J$330:$J$772,$K51,IuranSYSebelumnya!$M$330:$M$772,BI$11,IuranSYSebelumnya!$L$330:$L$772,$M$5)&gt;0,
        VLOOKUP(CONCATENATE($K51,"|",BI$11,"|",$M$5),IuranSYSebelumnya!$I$330:$N$772,5,FALSE),
        IF(COUNTIFS(IuranSYSebelumnya!$J$330:$J$772,$K51,IuranSYSebelumnya!$M$330:$M$772,BI$11,IuranSYSebelumnya!$L$330:$L$772,"&lt;&gt;"&amp;$M$5)&gt;0,
              "Iuran dari Lingkungan lain",
              ""))</t>
  </si>
  <si>
    <t>=IF(COUNTIFS(IuranSYSebelumnya!$J$330:$J$772,$K51,IuranSYSebelumnya!$M$330:$M$772,BJ$11,IuranSYSebelumnya!$L$330:$L$772,$M$5)&gt;0,
        VLOOKUP(CONCATENATE($K51,"|",BJ$11,"|",$M$5),IuranSYSebelumnya!$I$330:$N$772,5,FALSE),
        IF(COUNTIFS(IuranSYSebelumnya!$J$330:$J$772,$K51,IuranSYSebelumnya!$M$330:$M$772,BJ$11,IuranSYSebelumnya!$L$330:$L$772,"&lt;&gt;"&amp;$M$5)&gt;0,
              "Iuran dari Lingkungan lain",
              ""))</t>
  </si>
  <si>
    <t>=IF(COUNTIFS(IuranSYSebelumnya!$J$330:$J$772,$K51,IuranSYSebelumnya!$M$330:$M$772,BK$11,IuranSYSebelumnya!$L$330:$L$772,$M$5)&gt;0,
        VLOOKUP(CONCATENATE($K51,"|",BK$11,"|",$M$5),IuranSYSebelumnya!$I$330:$N$772,5,FALSE),
        IF(COUNTIFS(IuranSYSebelumnya!$J$330:$J$772,$K51,IuranSYSebelumnya!$M$330:$M$772,BK$11,IuranSYSebelumnya!$L$330:$L$772,"&lt;&gt;"&amp;$M$5)&gt;0,
              "Iuran dari Lingkungan lain",
              ""))</t>
  </si>
  <si>
    <t>=IF(COUNTIFS(IuranSYSebelumnya!$J$330:$J$772,$K51,IuranSYSebelumnya!$M$330:$M$772,BL$11,IuranSYSebelumnya!$L$330:$L$772,$M$5)&gt;0,
        VLOOKUP(CONCATENATE($K51,"|",BL$11,"|",$M$5),IuranSYSebelumnya!$I$330:$N$772,5,FALSE),
        IF(COUNTIFS(IuranSYSebelumnya!$J$330:$J$772,$K51,IuranSYSebelumnya!$M$330:$M$772,BL$11,IuranSYSebelumnya!$L$330:$L$772,"&lt;&gt;"&amp;$M$5)&gt;0,
              "Iuran dari Lingkungan lain",
              ""))</t>
  </si>
  <si>
    <t>=IF(COUNTIFS(IuranSYSebelumnya!$J$330:$J$772,$K52,IuranSYSebelumnya!$M$330:$M$772,AO$11,IuranSYSebelumnya!$L$330:$L$772,$M$5)&gt;0,
        VLOOKUP(CONCATENATE($K52,"|",AO$11,"|",$M$5),IuranSYSebelumnya!$I$330:$N$772,5,FALSE),
        IF(COUNTIFS(IuranSYSebelumnya!$J$330:$J$772,$K52,IuranSYSebelumnya!$M$330:$M$772,AO$11,IuranSYSebelumnya!$L$330:$L$772,"&lt;&gt;"&amp;$M$5)&gt;0,
              "Iuran dari Lingkungan lain",
              ""))</t>
  </si>
  <si>
    <t>=IF(COUNTIFS(IuranSYSebelumnya!$J$330:$J$772,$K52,IuranSYSebelumnya!$M$330:$M$772,AP$11,IuranSYSebelumnya!$L$330:$L$772,$M$5)&gt;0,
        VLOOKUP(CONCATENATE($K52,"|",AP$11,"|",$M$5),IuranSYSebelumnya!$I$330:$N$772,5,FALSE),
        IF(COUNTIFS(IuranSYSebelumnya!$J$330:$J$772,$K52,IuranSYSebelumnya!$M$330:$M$772,AP$11,IuranSYSebelumnya!$L$330:$L$772,"&lt;&gt;"&amp;$M$5)&gt;0,
              "Iuran dari Lingkungan lain",
              ""))</t>
  </si>
  <si>
    <t>=IF(COUNTIFS(IuranSYSebelumnya!$J$330:$J$772,$K52,IuranSYSebelumnya!$M$330:$M$772,AQ$11,IuranSYSebelumnya!$L$330:$L$772,$M$5)&gt;0,
        VLOOKUP(CONCATENATE($K52,"|",AQ$11,"|",$M$5),IuranSYSebelumnya!$I$330:$N$772,5,FALSE),
        IF(COUNTIFS(IuranSYSebelumnya!$J$330:$J$772,$K52,IuranSYSebelumnya!$M$330:$M$772,AQ$11,IuranSYSebelumnya!$L$330:$L$772,"&lt;&gt;"&amp;$M$5)&gt;0,
              "Iuran dari Lingkungan lain",
              ""))</t>
  </si>
  <si>
    <t>=IF(COUNTIFS(IuranSYSebelumnya!$J$330:$J$772,$K52,IuranSYSebelumnya!$M$330:$M$772,AR$11,IuranSYSebelumnya!$L$330:$L$772,$M$5)&gt;0,
        VLOOKUP(CONCATENATE($K52,"|",AR$11,"|",$M$5),IuranSYSebelumnya!$I$330:$N$772,5,FALSE),
        IF(COUNTIFS(IuranSYSebelumnya!$J$330:$J$772,$K52,IuranSYSebelumnya!$M$330:$M$772,AR$11,IuranSYSebelumnya!$L$330:$L$772,"&lt;&gt;"&amp;$M$5)&gt;0,
              "Iuran dari Lingkungan lain",
              ""))</t>
  </si>
  <si>
    <t>=IF(COUNTIFS(IuranSYSebelumnya!$J$330:$J$772,$K52,IuranSYSebelumnya!$M$330:$M$772,AS$11,IuranSYSebelumnya!$L$330:$L$772,$M$5)&gt;0,
        VLOOKUP(CONCATENATE($K52,"|",AS$11,"|",$M$5),IuranSYSebelumnya!$I$330:$N$772,5,FALSE),
        IF(COUNTIFS(IuranSYSebelumnya!$J$330:$J$772,$K52,IuranSYSebelumnya!$M$330:$M$772,AS$11,IuranSYSebelumnya!$L$330:$L$772,"&lt;&gt;"&amp;$M$5)&gt;0,
              "Iuran dari Lingkungan lain",
              ""))</t>
  </si>
  <si>
    <t>=IF(COUNTIFS(IuranSYSebelumnya!$J$330:$J$772,$K52,IuranSYSebelumnya!$M$330:$M$772,AT$11,IuranSYSebelumnya!$L$330:$L$772,$M$5)&gt;0,
        VLOOKUP(CONCATENATE($K52,"|",AT$11,"|",$M$5),IuranSYSebelumnya!$I$330:$N$772,5,FALSE),
        IF(COUNTIFS(IuranSYSebelumnya!$J$330:$J$772,$K52,IuranSYSebelumnya!$M$330:$M$772,AT$11,IuranSYSebelumnya!$L$330:$L$772,"&lt;&gt;"&amp;$M$5)&gt;0,
              "Iuran dari Lingkungan lain",
              ""))</t>
  </si>
  <si>
    <t>=IF(COUNTIFS(IuranSYSebelumnya!$J$330:$J$772,$K52,IuranSYSebelumnya!$M$330:$M$772,AU$11,IuranSYSebelumnya!$L$330:$L$772,$M$5)&gt;0,
        VLOOKUP(CONCATENATE($K52,"|",AU$11,"|",$M$5),IuranSYSebelumnya!$I$330:$N$772,5,FALSE),
        IF(COUNTIFS(IuranSYSebelumnya!$J$330:$J$772,$K52,IuranSYSebelumnya!$M$330:$M$772,AU$11,IuranSYSebelumnya!$L$330:$L$772,"&lt;&gt;"&amp;$M$5)&gt;0,
              "Iuran dari Lingkungan lain",
              ""))</t>
  </si>
  <si>
    <t>=IF(COUNTIFS(IuranSYSebelumnya!$J$330:$J$772,$K52,IuranSYSebelumnya!$M$330:$M$772,AV$11,IuranSYSebelumnya!$L$330:$L$772,$M$5)&gt;0,
        VLOOKUP(CONCATENATE($K52,"|",AV$11,"|",$M$5),IuranSYSebelumnya!$I$330:$N$772,5,FALSE),
        IF(COUNTIFS(IuranSYSebelumnya!$J$330:$J$772,$K52,IuranSYSebelumnya!$M$330:$M$772,AV$11,IuranSYSebelumnya!$L$330:$L$772,"&lt;&gt;"&amp;$M$5)&gt;0,
              "Iuran dari Lingkungan lain",
              ""))</t>
  </si>
  <si>
    <t>=IF(COUNTIFS(IuranSYSebelumnya!$J$330:$J$772,$K52,IuranSYSebelumnya!$M$330:$M$772,AW$11,IuranSYSebelumnya!$L$330:$L$772,$M$5)&gt;0,
        VLOOKUP(CONCATENATE($K52,"|",AW$11,"|",$M$5),IuranSYSebelumnya!$I$330:$N$772,5,FALSE),
        IF(COUNTIFS(IuranSYSebelumnya!$J$330:$J$772,$K52,IuranSYSebelumnya!$M$330:$M$772,AW$11,IuranSYSebelumnya!$L$330:$L$772,"&lt;&gt;"&amp;$M$5)&gt;0,
              "Iuran dari Lingkungan lain",
              ""))</t>
  </si>
  <si>
    <t>=IF(COUNTIFS(IuranSYSebelumnya!$J$330:$J$772,$K52,IuranSYSebelumnya!$M$330:$M$772,AX$11,IuranSYSebelumnya!$L$330:$L$772,$M$5)&gt;0,
        VLOOKUP(CONCATENATE($K52,"|",AX$11,"|",$M$5),IuranSYSebelumnya!$I$330:$N$772,5,FALSE),
        IF(COUNTIFS(IuranSYSebelumnya!$J$330:$J$772,$K52,IuranSYSebelumnya!$M$330:$M$772,AX$11,IuranSYSebelumnya!$L$330:$L$772,"&lt;&gt;"&amp;$M$5)&gt;0,
              "Iuran dari Lingkungan lain",
              ""))</t>
  </si>
  <si>
    <t>=IF(COUNTIFS(IuranSYSebelumnya!$J$330:$J$772,$K52,IuranSYSebelumnya!$M$330:$M$772,AY$11,IuranSYSebelumnya!$L$330:$L$772,$M$5)&gt;0,
        VLOOKUP(CONCATENATE($K52,"|",AY$11,"|",$M$5),IuranSYSebelumnya!$I$330:$N$772,5,FALSE),
        IF(COUNTIFS(IuranSYSebelumnya!$J$330:$J$772,$K52,IuranSYSebelumnya!$M$330:$M$772,AY$11,IuranSYSebelumnya!$L$330:$L$772,"&lt;&gt;"&amp;$M$5)&gt;0,
              "Iuran dari Lingkungan lain",
              ""))</t>
  </si>
  <si>
    <t>=IF(COUNTIFS(IuranSYSebelumnya!$J$330:$J$772,$K52,IuranSYSebelumnya!$M$330:$M$772,AZ$11,IuranSYSebelumnya!$L$330:$L$772,$M$5)&gt;0,
        VLOOKUP(CONCATENATE($K52,"|",AZ$11,"|",$M$5),IuranSYSebelumnya!$I$330:$N$772,5,FALSE),
        IF(COUNTIFS(IuranSYSebelumnya!$J$330:$J$772,$K52,IuranSYSebelumnya!$M$330:$M$772,AZ$11,IuranSYSebelumnya!$L$330:$L$772,"&lt;&gt;"&amp;$M$5)&gt;0,
              "Iuran dari Lingkungan lain",
              ""))</t>
  </si>
  <si>
    <t>=IF(COUNTIFS(IuranSYSebelumnya!$J$330:$J$772,$K52,IuranSYSebelumnya!$M$330:$M$772,BA$11,IuranSYSebelumnya!$L$330:$L$772,$M$5)&gt;0,
        VLOOKUP(CONCATENATE($K52,"|",BA$11,"|",$M$5),IuranSYSebelumnya!$I$330:$N$772,5,FALSE),
        IF(COUNTIFS(IuranSYSebelumnya!$J$330:$J$772,$K52,IuranSYSebelumnya!$M$330:$M$772,BA$11,IuranSYSebelumnya!$L$330:$L$772,"&lt;&gt;"&amp;$M$5)&gt;0,
              "Iuran dari Lingkungan lain",
              ""))</t>
  </si>
  <si>
    <t>=IF(COUNTIFS(IuranSYSebelumnya!$J$330:$J$772,$K52,IuranSYSebelumnya!$M$330:$M$772,BB$11,IuranSYSebelumnya!$L$330:$L$772,$M$5)&gt;0,
        VLOOKUP(CONCATENATE($K52,"|",BB$11,"|",$M$5),IuranSYSebelumnya!$I$330:$N$772,5,FALSE),
        IF(COUNTIFS(IuranSYSebelumnya!$J$330:$J$772,$K52,IuranSYSebelumnya!$M$330:$M$772,BB$11,IuranSYSebelumnya!$L$330:$L$772,"&lt;&gt;"&amp;$M$5)&gt;0,
              "Iuran dari Lingkungan lain",
              ""))</t>
  </si>
  <si>
    <t>=IF(COUNTIFS(IuranSYSebelumnya!$J$330:$J$772,$K52,IuranSYSebelumnya!$M$330:$M$772,BC$11,IuranSYSebelumnya!$L$330:$L$772,$M$5)&gt;0,
        VLOOKUP(CONCATENATE($K52,"|",BC$11,"|",$M$5),IuranSYSebelumnya!$I$330:$N$772,5,FALSE),
        IF(COUNTIFS(IuranSYSebelumnya!$J$330:$J$772,$K52,IuranSYSebelumnya!$M$330:$M$772,BC$11,IuranSYSebelumnya!$L$330:$L$772,"&lt;&gt;"&amp;$M$5)&gt;0,
              "Iuran dari Lingkungan lain",
              ""))</t>
  </si>
  <si>
    <t>=IF(COUNTIFS(IuranSYSebelumnya!$J$330:$J$772,$K52,IuranSYSebelumnya!$M$330:$M$772,BD$11,IuranSYSebelumnya!$L$330:$L$772,$M$5)&gt;0,
        VLOOKUP(CONCATENATE($K52,"|",BD$11,"|",$M$5),IuranSYSebelumnya!$I$330:$N$772,5,FALSE),
        IF(COUNTIFS(IuranSYSebelumnya!$J$330:$J$772,$K52,IuranSYSebelumnya!$M$330:$M$772,BD$11,IuranSYSebelumnya!$L$330:$L$772,"&lt;&gt;"&amp;$M$5)&gt;0,
              "Iuran dari Lingkungan lain",
              ""))</t>
  </si>
  <si>
    <t>=IF(COUNTIFS(IuranSYSebelumnya!$J$330:$J$772,$K52,IuranSYSebelumnya!$M$330:$M$772,BE$11,IuranSYSebelumnya!$L$330:$L$772,$M$5)&gt;0,
        VLOOKUP(CONCATENATE($K52,"|",BE$11,"|",$M$5),IuranSYSebelumnya!$I$330:$N$772,5,FALSE),
        IF(COUNTIFS(IuranSYSebelumnya!$J$330:$J$772,$K52,IuranSYSebelumnya!$M$330:$M$772,BE$11,IuranSYSebelumnya!$L$330:$L$772,"&lt;&gt;"&amp;$M$5)&gt;0,
              "Iuran dari Lingkungan lain",
              ""))</t>
  </si>
  <si>
    <t>=IF(COUNTIFS(IuranSYSebelumnya!$J$330:$J$772,$K52,IuranSYSebelumnya!$M$330:$M$772,BF$11,IuranSYSebelumnya!$L$330:$L$772,$M$5)&gt;0,
        VLOOKUP(CONCATENATE($K52,"|",BF$11,"|",$M$5),IuranSYSebelumnya!$I$330:$N$772,5,FALSE),
        IF(COUNTIFS(IuranSYSebelumnya!$J$330:$J$772,$K52,IuranSYSebelumnya!$M$330:$M$772,BF$11,IuranSYSebelumnya!$L$330:$L$772,"&lt;&gt;"&amp;$M$5)&gt;0,
              "Iuran dari Lingkungan lain",
              ""))</t>
  </si>
  <si>
    <t>=IF(COUNTIFS(IuranSYSebelumnya!$J$330:$J$772,$K52,IuranSYSebelumnya!$M$330:$M$772,BG$11,IuranSYSebelumnya!$L$330:$L$772,$M$5)&gt;0,
        VLOOKUP(CONCATENATE($K52,"|",BG$11,"|",$M$5),IuranSYSebelumnya!$I$330:$N$772,5,FALSE),
        IF(COUNTIFS(IuranSYSebelumnya!$J$330:$J$772,$K52,IuranSYSebelumnya!$M$330:$M$772,BG$11,IuranSYSebelumnya!$L$330:$L$772,"&lt;&gt;"&amp;$M$5)&gt;0,
              "Iuran dari Lingkungan lain",
              ""))</t>
  </si>
  <si>
    <t>=IF(COUNTIFS(IuranSYSebelumnya!$J$330:$J$772,$K52,IuranSYSebelumnya!$M$330:$M$772,BH$11,IuranSYSebelumnya!$L$330:$L$772,$M$5)&gt;0,
        VLOOKUP(CONCATENATE($K52,"|",BH$11,"|",$M$5),IuranSYSebelumnya!$I$330:$N$772,5,FALSE),
        IF(COUNTIFS(IuranSYSebelumnya!$J$330:$J$772,$K52,IuranSYSebelumnya!$M$330:$M$772,BH$11,IuranSYSebelumnya!$L$330:$L$772,"&lt;&gt;"&amp;$M$5)&gt;0,
              "Iuran dari Lingkungan lain",
              ""))</t>
  </si>
  <si>
    <t>=IF(COUNTIFS(IuranSYSebelumnya!$J$330:$J$772,$K52,IuranSYSebelumnya!$M$330:$M$772,BI$11,IuranSYSebelumnya!$L$330:$L$772,$M$5)&gt;0,
        VLOOKUP(CONCATENATE($K52,"|",BI$11,"|",$M$5),IuranSYSebelumnya!$I$330:$N$772,5,FALSE),
        IF(COUNTIFS(IuranSYSebelumnya!$J$330:$J$772,$K52,IuranSYSebelumnya!$M$330:$M$772,BI$11,IuranSYSebelumnya!$L$330:$L$772,"&lt;&gt;"&amp;$M$5)&gt;0,
              "Iuran dari Lingkungan lain",
              ""))</t>
  </si>
  <si>
    <t>=IF(COUNTIFS(IuranSYSebelumnya!$J$330:$J$772,$K52,IuranSYSebelumnya!$M$330:$M$772,BJ$11,IuranSYSebelumnya!$L$330:$L$772,$M$5)&gt;0,
        VLOOKUP(CONCATENATE($K52,"|",BJ$11,"|",$M$5),IuranSYSebelumnya!$I$330:$N$772,5,FALSE),
        IF(COUNTIFS(IuranSYSebelumnya!$J$330:$J$772,$K52,IuranSYSebelumnya!$M$330:$M$772,BJ$11,IuranSYSebelumnya!$L$330:$L$772,"&lt;&gt;"&amp;$M$5)&gt;0,
              "Iuran dari Lingkungan lain",
              ""))</t>
  </si>
  <si>
    <t>=IF(COUNTIFS(IuranSYSebelumnya!$J$330:$J$772,$K52,IuranSYSebelumnya!$M$330:$M$772,BK$11,IuranSYSebelumnya!$L$330:$L$772,$M$5)&gt;0,
        VLOOKUP(CONCATENATE($K52,"|",BK$11,"|",$M$5),IuranSYSebelumnya!$I$330:$N$772,5,FALSE),
        IF(COUNTIFS(IuranSYSebelumnya!$J$330:$J$772,$K52,IuranSYSebelumnya!$M$330:$M$772,BK$11,IuranSYSebelumnya!$L$330:$L$772,"&lt;&gt;"&amp;$M$5)&gt;0,
              "Iuran dari Lingkungan lain",
              ""))</t>
  </si>
  <si>
    <t>=IF(COUNTIFS(IuranSYSebelumnya!$J$330:$J$772,$K52,IuranSYSebelumnya!$M$330:$M$772,BL$11,IuranSYSebelumnya!$L$330:$L$772,$M$5)&gt;0,
        VLOOKUP(CONCATENATE($K52,"|",BL$11,"|",$M$5),IuranSYSebelumnya!$I$330:$N$772,5,FALSE),
        IF(COUNTIFS(IuranSYSebelumnya!$J$330:$J$772,$K52,IuranSYSebelumnya!$M$330:$M$772,BL$11,IuranSYSebelumnya!$L$330:$L$772,"&lt;&gt;"&amp;$M$5)&gt;0,
              "Iuran dari Lingkungan lain",
              ""))</t>
  </si>
  <si>
    <t>=IF(COUNTIFS(IuranSYSebelumnya!$J$330:$J$772,$K53,IuranSYSebelumnya!$M$330:$M$772,AO$11,IuranSYSebelumnya!$L$330:$L$772,$M$5)&gt;0,
        VLOOKUP(CONCATENATE($K53,"|",AO$11,"|",$M$5),IuranSYSebelumnya!$I$330:$N$772,5,FALSE),
        IF(COUNTIFS(IuranSYSebelumnya!$J$330:$J$772,$K53,IuranSYSebelumnya!$M$330:$M$772,AO$11,IuranSYSebelumnya!$L$330:$L$772,"&lt;&gt;"&amp;$M$5)&gt;0,
              "Iuran dari Lingkungan lain",
              ""))</t>
  </si>
  <si>
    <t>=IF(COUNTIFS(IuranSYSebelumnya!$J$330:$J$772,$K53,IuranSYSebelumnya!$M$330:$M$772,AP$11,IuranSYSebelumnya!$L$330:$L$772,$M$5)&gt;0,
        VLOOKUP(CONCATENATE($K53,"|",AP$11,"|",$M$5),IuranSYSebelumnya!$I$330:$N$772,5,FALSE),
        IF(COUNTIFS(IuranSYSebelumnya!$J$330:$J$772,$K53,IuranSYSebelumnya!$M$330:$M$772,AP$11,IuranSYSebelumnya!$L$330:$L$772,"&lt;&gt;"&amp;$M$5)&gt;0,
              "Iuran dari Lingkungan lain",
              ""))</t>
  </si>
  <si>
    <t>=IF(COUNTIFS(IuranSYSebelumnya!$J$330:$J$772,$K53,IuranSYSebelumnya!$M$330:$M$772,AQ$11,IuranSYSebelumnya!$L$330:$L$772,$M$5)&gt;0,
        VLOOKUP(CONCATENATE($K53,"|",AQ$11,"|",$M$5),IuranSYSebelumnya!$I$330:$N$772,5,FALSE),
        IF(COUNTIFS(IuranSYSebelumnya!$J$330:$J$772,$K53,IuranSYSebelumnya!$M$330:$M$772,AQ$11,IuranSYSebelumnya!$L$330:$L$772,"&lt;&gt;"&amp;$M$5)&gt;0,
              "Iuran dari Lingkungan lain",
              ""))</t>
  </si>
  <si>
    <t>=IF(COUNTIFS(IuranSYSebelumnya!$J$330:$J$772,$K53,IuranSYSebelumnya!$M$330:$M$772,AR$11,IuranSYSebelumnya!$L$330:$L$772,$M$5)&gt;0,
        VLOOKUP(CONCATENATE($K53,"|",AR$11,"|",$M$5),IuranSYSebelumnya!$I$330:$N$772,5,FALSE),
        IF(COUNTIFS(IuranSYSebelumnya!$J$330:$J$772,$K53,IuranSYSebelumnya!$M$330:$M$772,AR$11,IuranSYSebelumnya!$L$330:$L$772,"&lt;&gt;"&amp;$M$5)&gt;0,
              "Iuran dari Lingkungan lain",
              ""))</t>
  </si>
  <si>
    <t>=IF(COUNTIFS(IuranSYSebelumnya!$J$330:$J$772,$K53,IuranSYSebelumnya!$M$330:$M$772,AS$11,IuranSYSebelumnya!$L$330:$L$772,$M$5)&gt;0,
        VLOOKUP(CONCATENATE($K53,"|",AS$11,"|",$M$5),IuranSYSebelumnya!$I$330:$N$772,5,FALSE),
        IF(COUNTIFS(IuranSYSebelumnya!$J$330:$J$772,$K53,IuranSYSebelumnya!$M$330:$M$772,AS$11,IuranSYSebelumnya!$L$330:$L$772,"&lt;&gt;"&amp;$M$5)&gt;0,
              "Iuran dari Lingkungan lain",
              ""))</t>
  </si>
  <si>
    <t>=IF(COUNTIFS(IuranSYSebelumnya!$J$330:$J$772,$K53,IuranSYSebelumnya!$M$330:$M$772,AT$11,IuranSYSebelumnya!$L$330:$L$772,$M$5)&gt;0,
        VLOOKUP(CONCATENATE($K53,"|",AT$11,"|",$M$5),IuranSYSebelumnya!$I$330:$N$772,5,FALSE),
        IF(COUNTIFS(IuranSYSebelumnya!$J$330:$J$772,$K53,IuranSYSebelumnya!$M$330:$M$772,AT$11,IuranSYSebelumnya!$L$330:$L$772,"&lt;&gt;"&amp;$M$5)&gt;0,
              "Iuran dari Lingkungan lain",
              ""))</t>
  </si>
  <si>
    <t>=IF(COUNTIFS(IuranSYSebelumnya!$J$330:$J$772,$K53,IuranSYSebelumnya!$M$330:$M$772,AU$11,IuranSYSebelumnya!$L$330:$L$772,$M$5)&gt;0,
        VLOOKUP(CONCATENATE($K53,"|",AU$11,"|",$M$5),IuranSYSebelumnya!$I$330:$N$772,5,FALSE),
        IF(COUNTIFS(IuranSYSebelumnya!$J$330:$J$772,$K53,IuranSYSebelumnya!$M$330:$M$772,AU$11,IuranSYSebelumnya!$L$330:$L$772,"&lt;&gt;"&amp;$M$5)&gt;0,
              "Iuran dari Lingkungan lain",
              ""))</t>
  </si>
  <si>
    <t>=IF(COUNTIFS(IuranSYSebelumnya!$J$330:$J$772,$K53,IuranSYSebelumnya!$M$330:$M$772,AV$11,IuranSYSebelumnya!$L$330:$L$772,$M$5)&gt;0,
        VLOOKUP(CONCATENATE($K53,"|",AV$11,"|",$M$5),IuranSYSebelumnya!$I$330:$N$772,5,FALSE),
        IF(COUNTIFS(IuranSYSebelumnya!$J$330:$J$772,$K53,IuranSYSebelumnya!$M$330:$M$772,AV$11,IuranSYSebelumnya!$L$330:$L$772,"&lt;&gt;"&amp;$M$5)&gt;0,
              "Iuran dari Lingkungan lain",
              ""))</t>
  </si>
  <si>
    <t>=IF(COUNTIFS(IuranSYSebelumnya!$J$330:$J$772,$K53,IuranSYSebelumnya!$M$330:$M$772,AW$11,IuranSYSebelumnya!$L$330:$L$772,$M$5)&gt;0,
        VLOOKUP(CONCATENATE($K53,"|",AW$11,"|",$M$5),IuranSYSebelumnya!$I$330:$N$772,5,FALSE),
        IF(COUNTIFS(IuranSYSebelumnya!$J$330:$J$772,$K53,IuranSYSebelumnya!$M$330:$M$772,AW$11,IuranSYSebelumnya!$L$330:$L$772,"&lt;&gt;"&amp;$M$5)&gt;0,
              "Iuran dari Lingkungan lain",
              ""))</t>
  </si>
  <si>
    <t>=IF(COUNTIFS(IuranSYSebelumnya!$J$330:$J$772,$K53,IuranSYSebelumnya!$M$330:$M$772,AX$11,IuranSYSebelumnya!$L$330:$L$772,$M$5)&gt;0,
        VLOOKUP(CONCATENATE($K53,"|",AX$11,"|",$M$5),IuranSYSebelumnya!$I$330:$N$772,5,FALSE),
        IF(COUNTIFS(IuranSYSebelumnya!$J$330:$J$772,$K53,IuranSYSebelumnya!$M$330:$M$772,AX$11,IuranSYSebelumnya!$L$330:$L$772,"&lt;&gt;"&amp;$M$5)&gt;0,
              "Iuran dari Lingkungan lain",
              ""))</t>
  </si>
  <si>
    <t>=IF(COUNTIFS(IuranSYSebelumnya!$J$330:$J$772,$K53,IuranSYSebelumnya!$M$330:$M$772,AY$11,IuranSYSebelumnya!$L$330:$L$772,$M$5)&gt;0,
        VLOOKUP(CONCATENATE($K53,"|",AY$11,"|",$M$5),IuranSYSebelumnya!$I$330:$N$772,5,FALSE),
        IF(COUNTIFS(IuranSYSebelumnya!$J$330:$J$772,$K53,IuranSYSebelumnya!$M$330:$M$772,AY$11,IuranSYSebelumnya!$L$330:$L$772,"&lt;&gt;"&amp;$M$5)&gt;0,
              "Iuran dari Lingkungan lain",
              ""))</t>
  </si>
  <si>
    <t>=IF(COUNTIFS(IuranSYSebelumnya!$J$330:$J$772,$K53,IuranSYSebelumnya!$M$330:$M$772,AZ$11,IuranSYSebelumnya!$L$330:$L$772,$M$5)&gt;0,
        VLOOKUP(CONCATENATE($K53,"|",AZ$11,"|",$M$5),IuranSYSebelumnya!$I$330:$N$772,5,FALSE),
        IF(COUNTIFS(IuranSYSebelumnya!$J$330:$J$772,$K53,IuranSYSebelumnya!$M$330:$M$772,AZ$11,IuranSYSebelumnya!$L$330:$L$772,"&lt;&gt;"&amp;$M$5)&gt;0,
              "Iuran dari Lingkungan lain",
              ""))</t>
  </si>
  <si>
    <t>=IF(COUNTIFS(IuranSYSebelumnya!$J$330:$J$772,$K53,IuranSYSebelumnya!$M$330:$M$772,BA$11,IuranSYSebelumnya!$L$330:$L$772,$M$5)&gt;0,
        VLOOKUP(CONCATENATE($K53,"|",BA$11,"|",$M$5),IuranSYSebelumnya!$I$330:$N$772,5,FALSE),
        IF(COUNTIFS(IuranSYSebelumnya!$J$330:$J$772,$K53,IuranSYSebelumnya!$M$330:$M$772,BA$11,IuranSYSebelumnya!$L$330:$L$772,"&lt;&gt;"&amp;$M$5)&gt;0,
              "Iuran dari Lingkungan lain",
              ""))</t>
  </si>
  <si>
    <t>=IF(COUNTIFS(IuranSYSebelumnya!$J$330:$J$772,$K53,IuranSYSebelumnya!$M$330:$M$772,BB$11,IuranSYSebelumnya!$L$330:$L$772,$M$5)&gt;0,
        VLOOKUP(CONCATENATE($K53,"|",BB$11,"|",$M$5),IuranSYSebelumnya!$I$330:$N$772,5,FALSE),
        IF(COUNTIFS(IuranSYSebelumnya!$J$330:$J$772,$K53,IuranSYSebelumnya!$M$330:$M$772,BB$11,IuranSYSebelumnya!$L$330:$L$772,"&lt;&gt;"&amp;$M$5)&gt;0,
              "Iuran dari Lingkungan lain",
              ""))</t>
  </si>
  <si>
    <t>=IF(COUNTIFS(IuranSYSebelumnya!$J$330:$J$772,$K53,IuranSYSebelumnya!$M$330:$M$772,BC$11,IuranSYSebelumnya!$L$330:$L$772,$M$5)&gt;0,
        VLOOKUP(CONCATENATE($K53,"|",BC$11,"|",$M$5),IuranSYSebelumnya!$I$330:$N$772,5,FALSE),
        IF(COUNTIFS(IuranSYSebelumnya!$J$330:$J$772,$K53,IuranSYSebelumnya!$M$330:$M$772,BC$11,IuranSYSebelumnya!$L$330:$L$772,"&lt;&gt;"&amp;$M$5)&gt;0,
              "Iuran dari Lingkungan lain",
              ""))</t>
  </si>
  <si>
    <t>=IF(COUNTIFS(IuranSYSebelumnya!$J$330:$J$772,$K53,IuranSYSebelumnya!$M$330:$M$772,BD$11,IuranSYSebelumnya!$L$330:$L$772,$M$5)&gt;0,
        VLOOKUP(CONCATENATE($K53,"|",BD$11,"|",$M$5),IuranSYSebelumnya!$I$330:$N$772,5,FALSE),
        IF(COUNTIFS(IuranSYSebelumnya!$J$330:$J$772,$K53,IuranSYSebelumnya!$M$330:$M$772,BD$11,IuranSYSebelumnya!$L$330:$L$772,"&lt;&gt;"&amp;$M$5)&gt;0,
              "Iuran dari Lingkungan lain",
              ""))</t>
  </si>
  <si>
    <t>=IF(COUNTIFS(IuranSYSebelumnya!$J$330:$J$772,$K53,IuranSYSebelumnya!$M$330:$M$772,BE$11,IuranSYSebelumnya!$L$330:$L$772,$M$5)&gt;0,
        VLOOKUP(CONCATENATE($K53,"|",BE$11,"|",$M$5),IuranSYSebelumnya!$I$330:$N$772,5,FALSE),
        IF(COUNTIFS(IuranSYSebelumnya!$J$330:$J$772,$K53,IuranSYSebelumnya!$M$330:$M$772,BE$11,IuranSYSebelumnya!$L$330:$L$772,"&lt;&gt;"&amp;$M$5)&gt;0,
              "Iuran dari Lingkungan lain",
              ""))</t>
  </si>
  <si>
    <t>=IF(COUNTIFS(IuranSYSebelumnya!$J$330:$J$772,$K53,IuranSYSebelumnya!$M$330:$M$772,BF$11,IuranSYSebelumnya!$L$330:$L$772,$M$5)&gt;0,
        VLOOKUP(CONCATENATE($K53,"|",BF$11,"|",$M$5),IuranSYSebelumnya!$I$330:$N$772,5,FALSE),
        IF(COUNTIFS(IuranSYSebelumnya!$J$330:$J$772,$K53,IuranSYSebelumnya!$M$330:$M$772,BF$11,IuranSYSebelumnya!$L$330:$L$772,"&lt;&gt;"&amp;$M$5)&gt;0,
              "Iuran dari Lingkungan lain",
              ""))</t>
  </si>
  <si>
    <t>=IF(COUNTIFS(IuranSYSebelumnya!$J$330:$J$772,$K53,IuranSYSebelumnya!$M$330:$M$772,BG$11,IuranSYSebelumnya!$L$330:$L$772,$M$5)&gt;0,
        VLOOKUP(CONCATENATE($K53,"|",BG$11,"|",$M$5),IuranSYSebelumnya!$I$330:$N$772,5,FALSE),
        IF(COUNTIFS(IuranSYSebelumnya!$J$330:$J$772,$K53,IuranSYSebelumnya!$M$330:$M$772,BG$11,IuranSYSebelumnya!$L$330:$L$772,"&lt;&gt;"&amp;$M$5)&gt;0,
              "Iuran dari Lingkungan lain",
              ""))</t>
  </si>
  <si>
    <t>=IF(COUNTIFS(IuranSYSebelumnya!$J$330:$J$772,$K53,IuranSYSebelumnya!$M$330:$M$772,BH$11,IuranSYSebelumnya!$L$330:$L$772,$M$5)&gt;0,
        VLOOKUP(CONCATENATE($K53,"|",BH$11,"|",$M$5),IuranSYSebelumnya!$I$330:$N$772,5,FALSE),
        IF(COUNTIFS(IuranSYSebelumnya!$J$330:$J$772,$K53,IuranSYSebelumnya!$M$330:$M$772,BH$11,IuranSYSebelumnya!$L$330:$L$772,"&lt;&gt;"&amp;$M$5)&gt;0,
              "Iuran dari Lingkungan lain",
              ""))</t>
  </si>
  <si>
    <t>=IF(COUNTIFS(IuranSYSebelumnya!$J$330:$J$772,$K53,IuranSYSebelumnya!$M$330:$M$772,BI$11,IuranSYSebelumnya!$L$330:$L$772,$M$5)&gt;0,
        VLOOKUP(CONCATENATE($K53,"|",BI$11,"|",$M$5),IuranSYSebelumnya!$I$330:$N$772,5,FALSE),
        IF(COUNTIFS(IuranSYSebelumnya!$J$330:$J$772,$K53,IuranSYSebelumnya!$M$330:$M$772,BI$11,IuranSYSebelumnya!$L$330:$L$772,"&lt;&gt;"&amp;$M$5)&gt;0,
              "Iuran dari Lingkungan lain",
              ""))</t>
  </si>
  <si>
    <t>=IF(COUNTIFS(IuranSYSebelumnya!$J$330:$J$772,$K53,IuranSYSebelumnya!$M$330:$M$772,BJ$11,IuranSYSebelumnya!$L$330:$L$772,$M$5)&gt;0,
        VLOOKUP(CONCATENATE($K53,"|",BJ$11,"|",$M$5),IuranSYSebelumnya!$I$330:$N$772,5,FALSE),
        IF(COUNTIFS(IuranSYSebelumnya!$J$330:$J$772,$K53,IuranSYSebelumnya!$M$330:$M$772,BJ$11,IuranSYSebelumnya!$L$330:$L$772,"&lt;&gt;"&amp;$M$5)&gt;0,
              "Iuran dari Lingkungan lain",
              ""))</t>
  </si>
  <si>
    <t>=IF(COUNTIFS(IuranSYSebelumnya!$J$330:$J$772,$K53,IuranSYSebelumnya!$M$330:$M$772,BK$11,IuranSYSebelumnya!$L$330:$L$772,$M$5)&gt;0,
        VLOOKUP(CONCATENATE($K53,"|",BK$11,"|",$M$5),IuranSYSebelumnya!$I$330:$N$772,5,FALSE),
        IF(COUNTIFS(IuranSYSebelumnya!$J$330:$J$772,$K53,IuranSYSebelumnya!$M$330:$M$772,BK$11,IuranSYSebelumnya!$L$330:$L$772,"&lt;&gt;"&amp;$M$5)&gt;0,
              "Iuran dari Lingkungan lain",
              ""))</t>
  </si>
  <si>
    <t>=IF(COUNTIFS(IuranSYSebelumnya!$J$330:$J$772,$K53,IuranSYSebelumnya!$M$330:$M$772,BL$11,IuranSYSebelumnya!$L$330:$L$772,$M$5)&gt;0,
        VLOOKUP(CONCATENATE($K53,"|",BL$11,"|",$M$5),IuranSYSebelumnya!$I$330:$N$772,5,FALSE),
        IF(COUNTIFS(IuranSYSebelumnya!$J$330:$J$772,$K53,IuranSYSebelumnya!$M$330:$M$772,BL$11,IuranSYSebelumnya!$L$330:$L$772,"&lt;&gt;"&amp;$M$5)&gt;0,
              "Iuran dari Lingkungan lain",
              ""))</t>
  </si>
  <si>
    <t>=IF(COUNTIFS(IuranSYSebelumnya!$J$330:$J$772,$K54,IuranSYSebelumnya!$M$330:$M$772,AO$11,IuranSYSebelumnya!$L$330:$L$772,$M$5)&gt;0,
        VLOOKUP(CONCATENATE($K54,"|",AO$11,"|",$M$5),IuranSYSebelumnya!$I$330:$N$772,5,FALSE),
        IF(COUNTIFS(IuranSYSebelumnya!$J$330:$J$772,$K54,IuranSYSebelumnya!$M$330:$M$772,AO$11,IuranSYSebelumnya!$L$330:$L$772,"&lt;&gt;"&amp;$M$5)&gt;0,
              "Iuran dari Lingkungan lain",
              ""))</t>
  </si>
  <si>
    <t>=IF(COUNTIFS(IuranSYSebelumnya!$J$330:$J$772,$K54,IuranSYSebelumnya!$M$330:$M$772,AP$11,IuranSYSebelumnya!$L$330:$L$772,$M$5)&gt;0,
        VLOOKUP(CONCATENATE($K54,"|",AP$11,"|",$M$5),IuranSYSebelumnya!$I$330:$N$772,5,FALSE),
        IF(COUNTIFS(IuranSYSebelumnya!$J$330:$J$772,$K54,IuranSYSebelumnya!$M$330:$M$772,AP$11,IuranSYSebelumnya!$L$330:$L$772,"&lt;&gt;"&amp;$M$5)&gt;0,
              "Iuran dari Lingkungan lain",
              ""))</t>
  </si>
  <si>
    <t>=IF(COUNTIFS(IuranSYSebelumnya!$J$330:$J$772,$K54,IuranSYSebelumnya!$M$330:$M$772,AQ$11,IuranSYSebelumnya!$L$330:$L$772,$M$5)&gt;0,
        VLOOKUP(CONCATENATE($K54,"|",AQ$11,"|",$M$5),IuranSYSebelumnya!$I$330:$N$772,5,FALSE),
        IF(COUNTIFS(IuranSYSebelumnya!$J$330:$J$772,$K54,IuranSYSebelumnya!$M$330:$M$772,AQ$11,IuranSYSebelumnya!$L$330:$L$772,"&lt;&gt;"&amp;$M$5)&gt;0,
              "Iuran dari Lingkungan lain",
              ""))</t>
  </si>
  <si>
    <t>=IF(COUNTIFS(IuranSYSebelumnya!$J$330:$J$772,$K54,IuranSYSebelumnya!$M$330:$M$772,AR$11,IuranSYSebelumnya!$L$330:$L$772,$M$5)&gt;0,
        VLOOKUP(CONCATENATE($K54,"|",AR$11,"|",$M$5),IuranSYSebelumnya!$I$330:$N$772,5,FALSE),
        IF(COUNTIFS(IuranSYSebelumnya!$J$330:$J$772,$K54,IuranSYSebelumnya!$M$330:$M$772,AR$11,IuranSYSebelumnya!$L$330:$L$772,"&lt;&gt;"&amp;$M$5)&gt;0,
              "Iuran dari Lingkungan lain",
              ""))</t>
  </si>
  <si>
    <t>=IF(COUNTIFS(IuranSYSebelumnya!$J$330:$J$772,$K54,IuranSYSebelumnya!$M$330:$M$772,AS$11,IuranSYSebelumnya!$L$330:$L$772,$M$5)&gt;0,
        VLOOKUP(CONCATENATE($K54,"|",AS$11,"|",$M$5),IuranSYSebelumnya!$I$330:$N$772,5,FALSE),
        IF(COUNTIFS(IuranSYSebelumnya!$J$330:$J$772,$K54,IuranSYSebelumnya!$M$330:$M$772,AS$11,IuranSYSebelumnya!$L$330:$L$772,"&lt;&gt;"&amp;$M$5)&gt;0,
              "Iuran dari Lingkungan lain",
              ""))</t>
  </si>
  <si>
    <t>=IF(COUNTIFS(IuranSYSebelumnya!$J$330:$J$772,$K54,IuranSYSebelumnya!$M$330:$M$772,AT$11,IuranSYSebelumnya!$L$330:$L$772,$M$5)&gt;0,
        VLOOKUP(CONCATENATE($K54,"|",AT$11,"|",$M$5),IuranSYSebelumnya!$I$330:$N$772,5,FALSE),
        IF(COUNTIFS(IuranSYSebelumnya!$J$330:$J$772,$K54,IuranSYSebelumnya!$M$330:$M$772,AT$11,IuranSYSebelumnya!$L$330:$L$772,"&lt;&gt;"&amp;$M$5)&gt;0,
              "Iuran dari Lingkungan lain",
              ""))</t>
  </si>
  <si>
    <t>=IF(COUNTIFS(IuranSYSebelumnya!$J$330:$J$772,$K54,IuranSYSebelumnya!$M$330:$M$772,AU$11,IuranSYSebelumnya!$L$330:$L$772,$M$5)&gt;0,
        VLOOKUP(CONCATENATE($K54,"|",AU$11,"|",$M$5),IuranSYSebelumnya!$I$330:$N$772,5,FALSE),
        IF(COUNTIFS(IuranSYSebelumnya!$J$330:$J$772,$K54,IuranSYSebelumnya!$M$330:$M$772,AU$11,IuranSYSebelumnya!$L$330:$L$772,"&lt;&gt;"&amp;$M$5)&gt;0,
              "Iuran dari Lingkungan lain",
              ""))</t>
  </si>
  <si>
    <t>=IF(COUNTIFS(IuranSYSebelumnya!$J$330:$J$772,$K54,IuranSYSebelumnya!$M$330:$M$772,AV$11,IuranSYSebelumnya!$L$330:$L$772,$M$5)&gt;0,
        VLOOKUP(CONCATENATE($K54,"|",AV$11,"|",$M$5),IuranSYSebelumnya!$I$330:$N$772,5,FALSE),
        IF(COUNTIFS(IuranSYSebelumnya!$J$330:$J$772,$K54,IuranSYSebelumnya!$M$330:$M$772,AV$11,IuranSYSebelumnya!$L$330:$L$772,"&lt;&gt;"&amp;$M$5)&gt;0,
              "Iuran dari Lingkungan lain",
              ""))</t>
  </si>
  <si>
    <t>=IF(COUNTIFS(IuranSYSebelumnya!$J$330:$J$772,$K54,IuranSYSebelumnya!$M$330:$M$772,AW$11,IuranSYSebelumnya!$L$330:$L$772,$M$5)&gt;0,
        VLOOKUP(CONCATENATE($K54,"|",AW$11,"|",$M$5),IuranSYSebelumnya!$I$330:$N$772,5,FALSE),
        IF(COUNTIFS(IuranSYSebelumnya!$J$330:$J$772,$K54,IuranSYSebelumnya!$M$330:$M$772,AW$11,IuranSYSebelumnya!$L$330:$L$772,"&lt;&gt;"&amp;$M$5)&gt;0,
              "Iuran dari Lingkungan lain",
              ""))</t>
  </si>
  <si>
    <t>=IF(COUNTIFS(IuranSYSebelumnya!$J$330:$J$772,$K54,IuranSYSebelumnya!$M$330:$M$772,AX$11,IuranSYSebelumnya!$L$330:$L$772,$M$5)&gt;0,
        VLOOKUP(CONCATENATE($K54,"|",AX$11,"|",$M$5),IuranSYSebelumnya!$I$330:$N$772,5,FALSE),
        IF(COUNTIFS(IuranSYSebelumnya!$J$330:$J$772,$K54,IuranSYSebelumnya!$M$330:$M$772,AX$11,IuranSYSebelumnya!$L$330:$L$772,"&lt;&gt;"&amp;$M$5)&gt;0,
              "Iuran dari Lingkungan lain",
              ""))</t>
  </si>
  <si>
    <t>=IF(COUNTIFS(IuranSYSebelumnya!$J$330:$J$772,$K54,IuranSYSebelumnya!$M$330:$M$772,AY$11,IuranSYSebelumnya!$L$330:$L$772,$M$5)&gt;0,
        VLOOKUP(CONCATENATE($K54,"|",AY$11,"|",$M$5),IuranSYSebelumnya!$I$330:$N$772,5,FALSE),
        IF(COUNTIFS(IuranSYSebelumnya!$J$330:$J$772,$K54,IuranSYSebelumnya!$M$330:$M$772,AY$11,IuranSYSebelumnya!$L$330:$L$772,"&lt;&gt;"&amp;$M$5)&gt;0,
              "Iuran dari Lingkungan lain",
              ""))</t>
  </si>
  <si>
    <t>=IF(COUNTIFS(IuranSYSebelumnya!$J$330:$J$772,$K54,IuranSYSebelumnya!$M$330:$M$772,AZ$11,IuranSYSebelumnya!$L$330:$L$772,$M$5)&gt;0,
        VLOOKUP(CONCATENATE($K54,"|",AZ$11,"|",$M$5),IuranSYSebelumnya!$I$330:$N$772,5,FALSE),
        IF(COUNTIFS(IuranSYSebelumnya!$J$330:$J$772,$K54,IuranSYSebelumnya!$M$330:$M$772,AZ$11,IuranSYSebelumnya!$L$330:$L$772,"&lt;&gt;"&amp;$M$5)&gt;0,
              "Iuran dari Lingkungan lain",
              ""))</t>
  </si>
  <si>
    <t>=IF(COUNTIFS(IuranSYSebelumnya!$J$330:$J$772,$K54,IuranSYSebelumnya!$M$330:$M$772,BA$11,IuranSYSebelumnya!$L$330:$L$772,$M$5)&gt;0,
        VLOOKUP(CONCATENATE($K54,"|",BA$11,"|",$M$5),IuranSYSebelumnya!$I$330:$N$772,5,FALSE),
        IF(COUNTIFS(IuranSYSebelumnya!$J$330:$J$772,$K54,IuranSYSebelumnya!$M$330:$M$772,BA$11,IuranSYSebelumnya!$L$330:$L$772,"&lt;&gt;"&amp;$M$5)&gt;0,
              "Iuran dari Lingkungan lain",
              ""))</t>
  </si>
  <si>
    <t>=IF(COUNTIFS(IuranSYSebelumnya!$J$330:$J$772,$K54,IuranSYSebelumnya!$M$330:$M$772,BB$11,IuranSYSebelumnya!$L$330:$L$772,$M$5)&gt;0,
        VLOOKUP(CONCATENATE($K54,"|",BB$11,"|",$M$5),IuranSYSebelumnya!$I$330:$N$772,5,FALSE),
        IF(COUNTIFS(IuranSYSebelumnya!$J$330:$J$772,$K54,IuranSYSebelumnya!$M$330:$M$772,BB$11,IuranSYSebelumnya!$L$330:$L$772,"&lt;&gt;"&amp;$M$5)&gt;0,
              "Iuran dari Lingkungan lain",
              ""))</t>
  </si>
  <si>
    <t>=IF(COUNTIFS(IuranSYSebelumnya!$J$330:$J$772,$K54,IuranSYSebelumnya!$M$330:$M$772,BC$11,IuranSYSebelumnya!$L$330:$L$772,$M$5)&gt;0,
        VLOOKUP(CONCATENATE($K54,"|",BC$11,"|",$M$5),IuranSYSebelumnya!$I$330:$N$772,5,FALSE),
        IF(COUNTIFS(IuranSYSebelumnya!$J$330:$J$772,$K54,IuranSYSebelumnya!$M$330:$M$772,BC$11,IuranSYSebelumnya!$L$330:$L$772,"&lt;&gt;"&amp;$M$5)&gt;0,
              "Iuran dari Lingkungan lain",
              ""))</t>
  </si>
  <si>
    <t>=IF(COUNTIFS(IuranSYSebelumnya!$J$330:$J$772,$K54,IuranSYSebelumnya!$M$330:$M$772,BD$11,IuranSYSebelumnya!$L$330:$L$772,$M$5)&gt;0,
        VLOOKUP(CONCATENATE($K54,"|",BD$11,"|",$M$5),IuranSYSebelumnya!$I$330:$N$772,5,FALSE),
        IF(COUNTIFS(IuranSYSebelumnya!$J$330:$J$772,$K54,IuranSYSebelumnya!$M$330:$M$772,BD$11,IuranSYSebelumnya!$L$330:$L$772,"&lt;&gt;"&amp;$M$5)&gt;0,
              "Iuran dari Lingkungan lain",
              ""))</t>
  </si>
  <si>
    <t>=IF(COUNTIFS(IuranSYSebelumnya!$J$330:$J$772,$K54,IuranSYSebelumnya!$M$330:$M$772,BE$11,IuranSYSebelumnya!$L$330:$L$772,$M$5)&gt;0,
        VLOOKUP(CONCATENATE($K54,"|",BE$11,"|",$M$5),IuranSYSebelumnya!$I$330:$N$772,5,FALSE),
        IF(COUNTIFS(IuranSYSebelumnya!$J$330:$J$772,$K54,IuranSYSebelumnya!$M$330:$M$772,BE$11,IuranSYSebelumnya!$L$330:$L$772,"&lt;&gt;"&amp;$M$5)&gt;0,
              "Iuran dari Lingkungan lain",
              ""))</t>
  </si>
  <si>
    <t>=IF(COUNTIFS(IuranSYSebelumnya!$J$330:$J$772,$K54,IuranSYSebelumnya!$M$330:$M$772,BF$11,IuranSYSebelumnya!$L$330:$L$772,$M$5)&gt;0,
        VLOOKUP(CONCATENATE($K54,"|",BF$11,"|",$M$5),IuranSYSebelumnya!$I$330:$N$772,5,FALSE),
        IF(COUNTIFS(IuranSYSebelumnya!$J$330:$J$772,$K54,IuranSYSebelumnya!$M$330:$M$772,BF$11,IuranSYSebelumnya!$L$330:$L$772,"&lt;&gt;"&amp;$M$5)&gt;0,
              "Iuran dari Lingkungan lain",
              ""))</t>
  </si>
  <si>
    <t>=IF(COUNTIFS(IuranSYSebelumnya!$J$330:$J$772,$K54,IuranSYSebelumnya!$M$330:$M$772,BG$11,IuranSYSebelumnya!$L$330:$L$772,$M$5)&gt;0,
        VLOOKUP(CONCATENATE($K54,"|",BG$11,"|",$M$5),IuranSYSebelumnya!$I$330:$N$772,5,FALSE),
        IF(COUNTIFS(IuranSYSebelumnya!$J$330:$J$772,$K54,IuranSYSebelumnya!$M$330:$M$772,BG$11,IuranSYSebelumnya!$L$330:$L$772,"&lt;&gt;"&amp;$M$5)&gt;0,
              "Iuran dari Lingkungan lain",
              ""))</t>
  </si>
  <si>
    <t>=IF(COUNTIFS(IuranSYSebelumnya!$J$330:$J$772,$K54,IuranSYSebelumnya!$M$330:$M$772,BH$11,IuranSYSebelumnya!$L$330:$L$772,$M$5)&gt;0,
        VLOOKUP(CONCATENATE($K54,"|",BH$11,"|",$M$5),IuranSYSebelumnya!$I$330:$N$772,5,FALSE),
        IF(COUNTIFS(IuranSYSebelumnya!$J$330:$J$772,$K54,IuranSYSebelumnya!$M$330:$M$772,BH$11,IuranSYSebelumnya!$L$330:$L$772,"&lt;&gt;"&amp;$M$5)&gt;0,
              "Iuran dari Lingkungan lain",
              ""))</t>
  </si>
  <si>
    <t>=IF(COUNTIFS(IuranSYSebelumnya!$J$330:$J$772,$K54,IuranSYSebelumnya!$M$330:$M$772,BI$11,IuranSYSebelumnya!$L$330:$L$772,$M$5)&gt;0,
        VLOOKUP(CONCATENATE($K54,"|",BI$11,"|",$M$5),IuranSYSebelumnya!$I$330:$N$772,5,FALSE),
        IF(COUNTIFS(IuranSYSebelumnya!$J$330:$J$772,$K54,IuranSYSebelumnya!$M$330:$M$772,BI$11,IuranSYSebelumnya!$L$330:$L$772,"&lt;&gt;"&amp;$M$5)&gt;0,
              "Iuran dari Lingkungan lain",
              ""))</t>
  </si>
  <si>
    <t>=IF(COUNTIFS(IuranSYSebelumnya!$J$330:$J$772,$K54,IuranSYSebelumnya!$M$330:$M$772,BJ$11,IuranSYSebelumnya!$L$330:$L$772,$M$5)&gt;0,
        VLOOKUP(CONCATENATE($K54,"|",BJ$11,"|",$M$5),IuranSYSebelumnya!$I$330:$N$772,5,FALSE),
        IF(COUNTIFS(IuranSYSebelumnya!$J$330:$J$772,$K54,IuranSYSebelumnya!$M$330:$M$772,BJ$11,IuranSYSebelumnya!$L$330:$L$772,"&lt;&gt;"&amp;$M$5)&gt;0,
              "Iuran dari Lingkungan lain",
              ""))</t>
  </si>
  <si>
    <t>=IF(COUNTIFS(IuranSYSebelumnya!$J$330:$J$772,$K54,IuranSYSebelumnya!$M$330:$M$772,BK$11,IuranSYSebelumnya!$L$330:$L$772,$M$5)&gt;0,
        VLOOKUP(CONCATENATE($K54,"|",BK$11,"|",$M$5),IuranSYSebelumnya!$I$330:$N$772,5,FALSE),
        IF(COUNTIFS(IuranSYSebelumnya!$J$330:$J$772,$K54,IuranSYSebelumnya!$M$330:$M$772,BK$11,IuranSYSebelumnya!$L$330:$L$772,"&lt;&gt;"&amp;$M$5)&gt;0,
              "Iuran dari Lingkungan lain",
              ""))</t>
  </si>
  <si>
    <t>=IF(COUNTIFS(IuranSYSebelumnya!$J$330:$J$772,$K54,IuranSYSebelumnya!$M$330:$M$772,BL$11,IuranSYSebelumnya!$L$330:$L$772,$M$5)&gt;0,
        VLOOKUP(CONCATENATE($K54,"|",BL$11,"|",$M$5),IuranSYSebelumnya!$I$330:$N$772,5,FALSE),
        IF(COUNTIFS(IuranSYSebelumnya!$J$330:$J$772,$K54,IuranSYSebelumnya!$M$330:$M$772,BL$11,IuranSYSebelumnya!$L$330:$L$772,"&lt;&gt;"&amp;$M$5)&gt;0,
              "Iuran dari Lingkungan lain",
              ""))</t>
  </si>
  <si>
    <t>=IF(COUNTIFS(IuranSYSebelumnya!$J$330:$J$772,$K55,IuranSYSebelumnya!$M$330:$M$772,AO$11,IuranSYSebelumnya!$L$330:$L$772,$M$5)&gt;0,
        VLOOKUP(CONCATENATE($K55,"|",AO$11,"|",$M$5),IuranSYSebelumnya!$I$330:$N$772,5,FALSE),
        IF(COUNTIFS(IuranSYSebelumnya!$J$330:$J$772,$K55,IuranSYSebelumnya!$M$330:$M$772,AO$11,IuranSYSebelumnya!$L$330:$L$772,"&lt;&gt;"&amp;$M$5)&gt;0,
              "Iuran dari Lingkungan lain",
              ""))</t>
  </si>
  <si>
    <t>=IF(COUNTIFS(IuranSYSebelumnya!$J$330:$J$772,$K55,IuranSYSebelumnya!$M$330:$M$772,AP$11,IuranSYSebelumnya!$L$330:$L$772,$M$5)&gt;0,
        VLOOKUP(CONCATENATE($K55,"|",AP$11,"|",$M$5),IuranSYSebelumnya!$I$330:$N$772,5,FALSE),
        IF(COUNTIFS(IuranSYSebelumnya!$J$330:$J$772,$K55,IuranSYSebelumnya!$M$330:$M$772,AP$11,IuranSYSebelumnya!$L$330:$L$772,"&lt;&gt;"&amp;$M$5)&gt;0,
              "Iuran dari Lingkungan lain",
              ""))</t>
  </si>
  <si>
    <t>=IF(COUNTIFS(IuranSYSebelumnya!$J$330:$J$772,$K55,IuranSYSebelumnya!$M$330:$M$772,AQ$11,IuranSYSebelumnya!$L$330:$L$772,$M$5)&gt;0,
        VLOOKUP(CONCATENATE($K55,"|",AQ$11,"|",$M$5),IuranSYSebelumnya!$I$330:$N$772,5,FALSE),
        IF(COUNTIFS(IuranSYSebelumnya!$J$330:$J$772,$K55,IuranSYSebelumnya!$M$330:$M$772,AQ$11,IuranSYSebelumnya!$L$330:$L$772,"&lt;&gt;"&amp;$M$5)&gt;0,
              "Iuran dari Lingkungan lain",
              ""))</t>
  </si>
  <si>
    <t>=IF(COUNTIFS(IuranSYSebelumnya!$J$330:$J$772,$K55,IuranSYSebelumnya!$M$330:$M$772,AR$11,IuranSYSebelumnya!$L$330:$L$772,$M$5)&gt;0,
        VLOOKUP(CONCATENATE($K55,"|",AR$11,"|",$M$5),IuranSYSebelumnya!$I$330:$N$772,5,FALSE),
        IF(COUNTIFS(IuranSYSebelumnya!$J$330:$J$772,$K55,IuranSYSebelumnya!$M$330:$M$772,AR$11,IuranSYSebelumnya!$L$330:$L$772,"&lt;&gt;"&amp;$M$5)&gt;0,
              "Iuran dari Lingkungan lain",
              ""))</t>
  </si>
  <si>
    <t>=IF(COUNTIFS(IuranSYSebelumnya!$J$330:$J$772,$K55,IuranSYSebelumnya!$M$330:$M$772,AS$11,IuranSYSebelumnya!$L$330:$L$772,$M$5)&gt;0,
        VLOOKUP(CONCATENATE($K55,"|",AS$11,"|",$M$5),IuranSYSebelumnya!$I$330:$N$772,5,FALSE),
        IF(COUNTIFS(IuranSYSebelumnya!$J$330:$J$772,$K55,IuranSYSebelumnya!$M$330:$M$772,AS$11,IuranSYSebelumnya!$L$330:$L$772,"&lt;&gt;"&amp;$M$5)&gt;0,
              "Iuran dari Lingkungan lain",
              ""))</t>
  </si>
  <si>
    <t>=IF(COUNTIFS(IuranSYSebelumnya!$J$330:$J$772,$K55,IuranSYSebelumnya!$M$330:$M$772,AT$11,IuranSYSebelumnya!$L$330:$L$772,$M$5)&gt;0,
        VLOOKUP(CONCATENATE($K55,"|",AT$11,"|",$M$5),IuranSYSebelumnya!$I$330:$N$772,5,FALSE),
        IF(COUNTIFS(IuranSYSebelumnya!$J$330:$J$772,$K55,IuranSYSebelumnya!$M$330:$M$772,AT$11,IuranSYSebelumnya!$L$330:$L$772,"&lt;&gt;"&amp;$M$5)&gt;0,
              "Iuran dari Lingkungan lain",
              ""))</t>
  </si>
  <si>
    <t>=IF(COUNTIFS(IuranSYSebelumnya!$J$330:$J$772,$K55,IuranSYSebelumnya!$M$330:$M$772,AU$11,IuranSYSebelumnya!$L$330:$L$772,$M$5)&gt;0,
        VLOOKUP(CONCATENATE($K55,"|",AU$11,"|",$M$5),IuranSYSebelumnya!$I$330:$N$772,5,FALSE),
        IF(COUNTIFS(IuranSYSebelumnya!$J$330:$J$772,$K55,IuranSYSebelumnya!$M$330:$M$772,AU$11,IuranSYSebelumnya!$L$330:$L$772,"&lt;&gt;"&amp;$M$5)&gt;0,
              "Iuran dari Lingkungan lain",
              ""))</t>
  </si>
  <si>
    <t>=IF(COUNTIFS(IuranSYSebelumnya!$J$330:$J$772,$K55,IuranSYSebelumnya!$M$330:$M$772,AV$11,IuranSYSebelumnya!$L$330:$L$772,$M$5)&gt;0,
        VLOOKUP(CONCATENATE($K55,"|",AV$11,"|",$M$5),IuranSYSebelumnya!$I$330:$N$772,5,FALSE),
        IF(COUNTIFS(IuranSYSebelumnya!$J$330:$J$772,$K55,IuranSYSebelumnya!$M$330:$M$772,AV$11,IuranSYSebelumnya!$L$330:$L$772,"&lt;&gt;"&amp;$M$5)&gt;0,
              "Iuran dari Lingkungan lain",
              ""))</t>
  </si>
  <si>
    <t>=IF(COUNTIFS(IuranSYSebelumnya!$J$330:$J$772,$K55,IuranSYSebelumnya!$M$330:$M$772,AW$11,IuranSYSebelumnya!$L$330:$L$772,$M$5)&gt;0,
        VLOOKUP(CONCATENATE($K55,"|",AW$11,"|",$M$5),IuranSYSebelumnya!$I$330:$N$772,5,FALSE),
        IF(COUNTIFS(IuranSYSebelumnya!$J$330:$J$772,$K55,IuranSYSebelumnya!$M$330:$M$772,AW$11,IuranSYSebelumnya!$L$330:$L$772,"&lt;&gt;"&amp;$M$5)&gt;0,
              "Iuran dari Lingkungan lain",
              ""))</t>
  </si>
  <si>
    <t>=IF(COUNTIFS(IuranSYSebelumnya!$J$330:$J$772,$K55,IuranSYSebelumnya!$M$330:$M$772,AX$11,IuranSYSebelumnya!$L$330:$L$772,$M$5)&gt;0,
        VLOOKUP(CONCATENATE($K55,"|",AX$11,"|",$M$5),IuranSYSebelumnya!$I$330:$N$772,5,FALSE),
        IF(COUNTIFS(IuranSYSebelumnya!$J$330:$J$772,$K55,IuranSYSebelumnya!$M$330:$M$772,AX$11,IuranSYSebelumnya!$L$330:$L$772,"&lt;&gt;"&amp;$M$5)&gt;0,
              "Iuran dari Lingkungan lain",
              ""))</t>
  </si>
  <si>
    <t>=IF(COUNTIFS(IuranSYSebelumnya!$J$330:$J$772,$K55,IuranSYSebelumnya!$M$330:$M$772,AY$11,IuranSYSebelumnya!$L$330:$L$772,$M$5)&gt;0,
        VLOOKUP(CONCATENATE($K55,"|",AY$11,"|",$M$5),IuranSYSebelumnya!$I$330:$N$772,5,FALSE),
        IF(COUNTIFS(IuranSYSebelumnya!$J$330:$J$772,$K55,IuranSYSebelumnya!$M$330:$M$772,AY$11,IuranSYSebelumnya!$L$330:$L$772,"&lt;&gt;"&amp;$M$5)&gt;0,
              "Iuran dari Lingkungan lain",
              ""))</t>
  </si>
  <si>
    <t>=IF(COUNTIFS(IuranSYSebelumnya!$J$330:$J$772,$K55,IuranSYSebelumnya!$M$330:$M$772,AZ$11,IuranSYSebelumnya!$L$330:$L$772,$M$5)&gt;0,
        VLOOKUP(CONCATENATE($K55,"|",AZ$11,"|",$M$5),IuranSYSebelumnya!$I$330:$N$772,5,FALSE),
        IF(COUNTIFS(IuranSYSebelumnya!$J$330:$J$772,$K55,IuranSYSebelumnya!$M$330:$M$772,AZ$11,IuranSYSebelumnya!$L$330:$L$772,"&lt;&gt;"&amp;$M$5)&gt;0,
              "Iuran dari Lingkungan lain",
              ""))</t>
  </si>
  <si>
    <t>=IF(COUNTIFS(IuranSYSebelumnya!$J$330:$J$772,$K55,IuranSYSebelumnya!$M$330:$M$772,BA$11,IuranSYSebelumnya!$L$330:$L$772,$M$5)&gt;0,
        VLOOKUP(CONCATENATE($K55,"|",BA$11,"|",$M$5),IuranSYSebelumnya!$I$330:$N$772,5,FALSE),
        IF(COUNTIFS(IuranSYSebelumnya!$J$330:$J$772,$K55,IuranSYSebelumnya!$M$330:$M$772,BA$11,IuranSYSebelumnya!$L$330:$L$772,"&lt;&gt;"&amp;$M$5)&gt;0,
              "Iuran dari Lingkungan lain",
              ""))</t>
  </si>
  <si>
    <t>=IF(COUNTIFS(IuranSYSebelumnya!$J$330:$J$772,$K55,IuranSYSebelumnya!$M$330:$M$772,BB$11,IuranSYSebelumnya!$L$330:$L$772,$M$5)&gt;0,
        VLOOKUP(CONCATENATE($K55,"|",BB$11,"|",$M$5),IuranSYSebelumnya!$I$330:$N$772,5,FALSE),
        IF(COUNTIFS(IuranSYSebelumnya!$J$330:$J$772,$K55,IuranSYSebelumnya!$M$330:$M$772,BB$11,IuranSYSebelumnya!$L$330:$L$772,"&lt;&gt;"&amp;$M$5)&gt;0,
              "Iuran dari Lingkungan lain",
              ""))</t>
  </si>
  <si>
    <t>=IF(COUNTIFS(IuranSYSebelumnya!$J$330:$J$772,$K55,IuranSYSebelumnya!$M$330:$M$772,BC$11,IuranSYSebelumnya!$L$330:$L$772,$M$5)&gt;0,
        VLOOKUP(CONCATENATE($K55,"|",BC$11,"|",$M$5),IuranSYSebelumnya!$I$330:$N$772,5,FALSE),
        IF(COUNTIFS(IuranSYSebelumnya!$J$330:$J$772,$K55,IuranSYSebelumnya!$M$330:$M$772,BC$11,IuranSYSebelumnya!$L$330:$L$772,"&lt;&gt;"&amp;$M$5)&gt;0,
              "Iuran dari Lingkungan lain",
              ""))</t>
  </si>
  <si>
    <t>=IF(COUNTIFS(IuranSYSebelumnya!$J$330:$J$772,$K55,IuranSYSebelumnya!$M$330:$M$772,BD$11,IuranSYSebelumnya!$L$330:$L$772,$M$5)&gt;0,
        VLOOKUP(CONCATENATE($K55,"|",BD$11,"|",$M$5),IuranSYSebelumnya!$I$330:$N$772,5,FALSE),
        IF(COUNTIFS(IuranSYSebelumnya!$J$330:$J$772,$K55,IuranSYSebelumnya!$M$330:$M$772,BD$11,IuranSYSebelumnya!$L$330:$L$772,"&lt;&gt;"&amp;$M$5)&gt;0,
              "Iuran dari Lingkungan lain",
              ""))</t>
  </si>
  <si>
    <t>=IF(COUNTIFS(IuranSYSebelumnya!$J$330:$J$772,$K55,IuranSYSebelumnya!$M$330:$M$772,BE$11,IuranSYSebelumnya!$L$330:$L$772,$M$5)&gt;0,
        VLOOKUP(CONCATENATE($K55,"|",BE$11,"|",$M$5),IuranSYSebelumnya!$I$330:$N$772,5,FALSE),
        IF(COUNTIFS(IuranSYSebelumnya!$J$330:$J$772,$K55,IuranSYSebelumnya!$M$330:$M$772,BE$11,IuranSYSebelumnya!$L$330:$L$772,"&lt;&gt;"&amp;$M$5)&gt;0,
              "Iuran dari Lingkungan lain",
              ""))</t>
  </si>
  <si>
    <t>=IF(COUNTIFS(IuranSYSebelumnya!$J$330:$J$772,$K55,IuranSYSebelumnya!$M$330:$M$772,BF$11,IuranSYSebelumnya!$L$330:$L$772,$M$5)&gt;0,
        VLOOKUP(CONCATENATE($K55,"|",BF$11,"|",$M$5),IuranSYSebelumnya!$I$330:$N$772,5,FALSE),
        IF(COUNTIFS(IuranSYSebelumnya!$J$330:$J$772,$K55,IuranSYSebelumnya!$M$330:$M$772,BF$11,IuranSYSebelumnya!$L$330:$L$772,"&lt;&gt;"&amp;$M$5)&gt;0,
              "Iuran dari Lingkungan lain",
              ""))</t>
  </si>
  <si>
    <t>=IF(COUNTIFS(IuranSYSebelumnya!$J$330:$J$772,$K55,IuranSYSebelumnya!$M$330:$M$772,BG$11,IuranSYSebelumnya!$L$330:$L$772,$M$5)&gt;0,
        VLOOKUP(CONCATENATE($K55,"|",BG$11,"|",$M$5),IuranSYSebelumnya!$I$330:$N$772,5,FALSE),
        IF(COUNTIFS(IuranSYSebelumnya!$J$330:$J$772,$K55,IuranSYSebelumnya!$M$330:$M$772,BG$11,IuranSYSebelumnya!$L$330:$L$772,"&lt;&gt;"&amp;$M$5)&gt;0,
              "Iuran dari Lingkungan lain",
              ""))</t>
  </si>
  <si>
    <t>=IF(COUNTIFS(IuranSYSebelumnya!$J$330:$J$772,$K55,IuranSYSebelumnya!$M$330:$M$772,BH$11,IuranSYSebelumnya!$L$330:$L$772,$M$5)&gt;0,
        VLOOKUP(CONCATENATE($K55,"|",BH$11,"|",$M$5),IuranSYSebelumnya!$I$330:$N$772,5,FALSE),
        IF(COUNTIFS(IuranSYSebelumnya!$J$330:$J$772,$K55,IuranSYSebelumnya!$M$330:$M$772,BH$11,IuranSYSebelumnya!$L$330:$L$772,"&lt;&gt;"&amp;$M$5)&gt;0,
              "Iuran dari Lingkungan lain",
              ""))</t>
  </si>
  <si>
    <t>=IF(COUNTIFS(IuranSYSebelumnya!$J$330:$J$772,$K55,IuranSYSebelumnya!$M$330:$M$772,BI$11,IuranSYSebelumnya!$L$330:$L$772,$M$5)&gt;0,
        VLOOKUP(CONCATENATE($K55,"|",BI$11,"|",$M$5),IuranSYSebelumnya!$I$330:$N$772,5,FALSE),
        IF(COUNTIFS(IuranSYSebelumnya!$J$330:$J$772,$K55,IuranSYSebelumnya!$M$330:$M$772,BI$11,IuranSYSebelumnya!$L$330:$L$772,"&lt;&gt;"&amp;$M$5)&gt;0,
              "Iuran dari Lingkungan lain",
              ""))</t>
  </si>
  <si>
    <t>=IF(COUNTIFS(IuranSYSebelumnya!$J$330:$J$772,$K55,IuranSYSebelumnya!$M$330:$M$772,BJ$11,IuranSYSebelumnya!$L$330:$L$772,$M$5)&gt;0,
        VLOOKUP(CONCATENATE($K55,"|",BJ$11,"|",$M$5),IuranSYSebelumnya!$I$330:$N$772,5,FALSE),
        IF(COUNTIFS(IuranSYSebelumnya!$J$330:$J$772,$K55,IuranSYSebelumnya!$M$330:$M$772,BJ$11,IuranSYSebelumnya!$L$330:$L$772,"&lt;&gt;"&amp;$M$5)&gt;0,
              "Iuran dari Lingkungan lain",
              ""))</t>
  </si>
  <si>
    <t>=IF(COUNTIFS(IuranSYSebelumnya!$J$330:$J$772,$K55,IuranSYSebelumnya!$M$330:$M$772,BK$11,IuranSYSebelumnya!$L$330:$L$772,$M$5)&gt;0,
        VLOOKUP(CONCATENATE($K55,"|",BK$11,"|",$M$5),IuranSYSebelumnya!$I$330:$N$772,5,FALSE),
        IF(COUNTIFS(IuranSYSebelumnya!$J$330:$J$772,$K55,IuranSYSebelumnya!$M$330:$M$772,BK$11,IuranSYSebelumnya!$L$330:$L$772,"&lt;&gt;"&amp;$M$5)&gt;0,
              "Iuran dari Lingkungan lain",
              ""))</t>
  </si>
  <si>
    <t>=IF(COUNTIFS(IuranSYSebelumnya!$J$330:$J$772,$K55,IuranSYSebelumnya!$M$330:$M$772,BL$11,IuranSYSebelumnya!$L$330:$L$772,$M$5)&gt;0,
        VLOOKUP(CONCATENATE($K55,"|",BL$11,"|",$M$5),IuranSYSebelumnya!$I$330:$N$772,5,FALSE),
        IF(COUNTIFS(IuranSYSebelumnya!$J$330:$J$772,$K55,IuranSYSebelumnya!$M$330:$M$772,BL$11,IuranSYSebelumnya!$L$330:$L$772,"&lt;&gt;"&amp;$M$5)&gt;0,
              "Iuran dari Lingkungan lain",
              ""))</t>
  </si>
  <si>
    <t>Auto+Hide+HideSheet+Values+Formulas=Sheet28,Sheet11,Sheet12+FormulasOnly</t>
  </si>
  <si>
    <t>Auto+Hide+Formulas=Sheet29,Sheet13,Sheet14</t>
  </si>
  <si>
    <t>=IF(ISNUMBER($L$6)=FALSE,"",
IF($C14=0,"",VLOOKUP($E14,SantoYusuf!$H$13:$L$56,4,FALSE)))</t>
  </si>
  <si>
    <t>=IF(ISNUMBER($L$6)=FALSE,"",
IF($C14=0,"",VLOOKUP($E14,SantoYusuf!$H$13:$L$56,5,FALSE)))</t>
  </si>
  <si>
    <t>=IF(ISNUMBER($L$6)=FALSE,"",
        IF(ISERROR(VLOOKUP($G14,SantoYusuf!$L$13:$AK$56,I$4,FALSE))=TRUE,"",
              VLOOKUP($G14,SantoYusuf!$L$13:$AK$56,I$4,FALSE)))</t>
  </si>
  <si>
    <t>=IF(ISNUMBER($L$6)=FALSE,"",
        IF(ISERROR(VLOOKUP($G14,SantoYusuf!$L$13:$AK$56,J$4,FALSE))=TRUE,"",
              VLOOKUP($G14,SantoYusuf!$L$13:$AK$56,J$4,FALSE)))</t>
  </si>
  <si>
    <t>=IF(ISNUMBER($L$6)=FALSE,"",
        IF(ISERROR(VLOOKUP($G14,SantoYusuf!$L$13:$AK$56,K$4,FALSE))=TRUE,"",
              VLOOKUP($G14,SantoYusuf!$L$13:$AK$56,K$4,FALSE)))</t>
  </si>
  <si>
    <t>=IF(ISNUMBER($L$6)=FALSE,"",
        IF(ISERROR(VLOOKUP($G14,SantoYusuf!$L$13:$AK$56,L$4,FALSE))=TRUE,"",
              VLOOKUP($G14,SantoYusuf!$L$13:$AK$56,L$4,FALSE)))</t>
  </si>
  <si>
    <t>=IF(ISNUMBER($L$6)=FALSE,"",
        IF(ISERROR(VLOOKUP($G14,SantoYusuf!$L$13:$AK$56,M$4,FALSE))=TRUE,"",
              VLOOKUP($G14,SantoYusuf!$L$13:$AK$56,M$4,FALSE)))</t>
  </si>
  <si>
    <t>=IF(ISNUMBER($L$6)=FALSE,"",
        IF(ISERROR(VLOOKUP($G14,SantoYusuf!$L$13:$AK$56,N$4,FALSE))=TRUE,"",
              VLOOKUP($G14,SantoYusuf!$L$13:$AK$56,N$4,FALSE)))</t>
  </si>
  <si>
    <t>=IF(ISNUMBER($L$6)=FALSE,"",
        IF(ISERROR(VLOOKUP($G14,SantoYusuf!$L$13:$AK$56,O$4,FALSE))=TRUE,"",
              VLOOKUP($G14,SantoYusuf!$L$13:$AK$56,O$4,FALSE)))</t>
  </si>
  <si>
    <t>=IF(ISNUMBER($L$6)=FALSE,"",
        IF(ISERROR(VLOOKUP($G14,SantoYusuf!$L$13:$AK$56,P$4,FALSE))=TRUE,"",
              VLOOKUP($G14,SantoYusuf!$L$13:$AK$56,P$4,FALSE)))</t>
  </si>
  <si>
    <t>=IF(ISNUMBER($L$6)=FALSE,"",
        IF(ISERROR(VLOOKUP($G14,SantoYusuf!$L$13:$AK$56,Q$4,FALSE))=TRUE,"",
              VLOOKUP($G14,SantoYusuf!$L$13:$AK$56,Q$4,FALSE)))</t>
  </si>
  <si>
    <t>=IF(ISNUMBER($L$6)=FALSE,"",
        IF(ISERROR(VLOOKUP($G14,SantoYusuf!$L$13:$AK$56,R$4,FALSE))=TRUE,"",
              VLOOKUP($G14,SantoYusuf!$L$13:$AK$56,R$4,FALSE)))</t>
  </si>
  <si>
    <t>=IF(ISNUMBER($L$6)=FALSE,"",
        IF(ISERROR(VLOOKUP($G14,SantoYusuf!$L$13:$AK$56,S$4,FALSE))=TRUE,"",
              VLOOKUP($G14,SantoYusuf!$L$13:$AK$56,S$4,FALSE)))</t>
  </si>
  <si>
    <t>=IF(ISNUMBER($L$6)=FALSE,"",
        IF(ISERROR(VLOOKUP($G14,SantoYusuf!$L$13:$AK$56,T$4,FALSE))=TRUE,"",
              VLOOKUP($G14,SantoYusuf!$L$13:$AK$56,T$4,FALSE)))</t>
  </si>
  <si>
    <t>=IF(ISNUMBER($L$6)=FALSE,"",
        IF(ISERROR(VLOOKUP($G14,SantoYusuf!$L$13:$AK$56,U$4,FALSE))=TRUE,"",
              VLOOKUP($G14,SantoYusuf!$L$13:$AK$56,U$4,FALSE)))</t>
  </si>
  <si>
    <t>=IF(ISNUMBER($L$6)=FALSE,"",
        IF(ISERROR(VLOOKUP($G14,SantoYusuf!$L$13:$AK$56,V$4,FALSE))=TRUE,"",
              VLOOKUP($G14,SantoYusuf!$L$13:$AK$56,V$4,FALSE)))</t>
  </si>
  <si>
    <t>=IF(ISNUMBER($L$6)=FALSE,"",
        IF(ISERROR(VLOOKUP($G14,SantoYusuf!$L$13:$AK$56,W$4,FALSE))=TRUE,"",
              VLOOKUP($G14,SantoYusuf!$L$13:$AK$56,W$4,FALSE)))</t>
  </si>
  <si>
    <t>=IF(ISNUMBER($L$6)=FALSE,"",
        IF(ISERROR(VLOOKUP($G14,SantoYusuf!$L$13:$AK$56,X$4,FALSE))=TRUE,"",
              VLOOKUP($G14,SantoYusuf!$L$13:$AK$56,X$4,FALSE)))</t>
  </si>
  <si>
    <t>=IF(ISNUMBER($L$6)=FALSE,"",
        IF(ISERROR(VLOOKUP($G14,SantoYusuf!$L$13:$AK$56,Y$4,FALSE))=TRUE,"",
              VLOOKUP($G14,SantoYusuf!$L$13:$AK$56,Y$4,FALSE)))</t>
  </si>
  <si>
    <t>=IF(ISNUMBER($L$6)=FALSE,"",
        IF(ISERROR(VLOOKUP($G14,SantoYusuf!$L$13:$AK$56,Z$4,FALSE))=TRUE,"",
              VLOOKUP($G14,SantoYusuf!$L$13:$AK$56,Z$4,FALSE)))</t>
  </si>
  <si>
    <t>=IF(ISNUMBER($L$6)=FALSE,"",
        IF(ISERROR(VLOOKUP($G14,SantoYusuf!$L$13:$AK$56,AA$4,FALSE))=TRUE,"",
              VLOOKUP($G14,SantoYusuf!$L$13:$AK$56,AA$4,FALSE)))</t>
  </si>
  <si>
    <t>=IF(ISNUMBER($L$6)=FALSE,"",
        IF(ISERROR(VLOOKUP($G14,SantoYusuf!$L$13:$AK$56,AB$4,FALSE))=TRUE,"",
              VLOOKUP($G14,SantoYusuf!$L$13:$AK$56,AB$4,FALSE)))</t>
  </si>
  <si>
    <t>=IF(ISNUMBER($L$6)=FALSE,"",
        IF(ISERROR(VLOOKUP($G14,SantoYusuf!$L$13:$AK$56,AC$4,FALSE))=TRUE,"",
              VLOOKUP($G14,SantoYusuf!$L$13:$AK$56,AC$4,FALSE)))</t>
  </si>
  <si>
    <t>=IF(ISNUMBER($L$6)=FALSE,"",
        IF(ISERROR(VLOOKUP($G14,SantoYusuf!$L$13:$AK$56,AD$4,FALSE))=TRUE,"",
              VLOOKUP($G14,SantoYusuf!$L$13:$AK$56,AD$4,FALSE)))</t>
  </si>
  <si>
    <t>=IF(ISNUMBER($L$6)=FALSE,"",
        IF(ISERROR(VLOOKUP($G14,SantoYusuf!$L$13:$AK$56,AE$4,FALSE))=TRUE,"",
              VLOOKUP($G14,SantoYusuf!$L$13:$AK$56,AE$4,FALSE)))</t>
  </si>
  <si>
    <t>=IF(ISNUMBER($L$6)=FALSE,"",
        IF(ISERROR(VLOOKUP($G14,SantoYusuf!$L$13:$AK$56,AF$4,FALSE))=TRUE,"",
              VLOOKUP($G14,SantoYusuf!$L$13:$AK$56,AF$4,FALSE)))</t>
  </si>
  <si>
    <t>=IF(ISNUMBER($L$6)=FALSE,"",
IF($C15=0,"",VLOOKUP($E15,SantoYusuf!$H$13:$L$56,4,FALSE)))</t>
  </si>
  <si>
    <t>=IF(ISNUMBER($L$6)=FALSE,"",
IF($C15=0,"",VLOOKUP($E15,SantoYusuf!$H$13:$L$56,5,FALSE)))</t>
  </si>
  <si>
    <t>=IF(ISNUMBER($L$6)=FALSE,"",
        IF(ISERROR(VLOOKUP($G15,SantoYusuf!$L$13:$AK$56,I$4,FALSE))=TRUE,"",
              VLOOKUP($G15,SantoYusuf!$L$13:$AK$56,I$4,FALSE)))</t>
  </si>
  <si>
    <t>=IF(ISNUMBER($L$6)=FALSE,"",
        IF(ISERROR(VLOOKUP($G15,SantoYusuf!$L$13:$AK$56,J$4,FALSE))=TRUE,"",
              VLOOKUP($G15,SantoYusuf!$L$13:$AK$56,J$4,FALSE)))</t>
  </si>
  <si>
    <t>=IF(ISNUMBER($L$6)=FALSE,"",
        IF(ISERROR(VLOOKUP($G15,SantoYusuf!$L$13:$AK$56,K$4,FALSE))=TRUE,"",
              VLOOKUP($G15,SantoYusuf!$L$13:$AK$56,K$4,FALSE)))</t>
  </si>
  <si>
    <t>=IF(ISNUMBER($L$6)=FALSE,"",
        IF(ISERROR(VLOOKUP($G15,SantoYusuf!$L$13:$AK$56,L$4,FALSE))=TRUE,"",
              VLOOKUP($G15,SantoYusuf!$L$13:$AK$56,L$4,FALSE)))</t>
  </si>
  <si>
    <t>=IF(ISNUMBER($L$6)=FALSE,"",
        IF(ISERROR(VLOOKUP($G15,SantoYusuf!$L$13:$AK$56,M$4,FALSE))=TRUE,"",
              VLOOKUP($G15,SantoYusuf!$L$13:$AK$56,M$4,FALSE)))</t>
  </si>
  <si>
    <t>=IF(ISNUMBER($L$6)=FALSE,"",
        IF(ISERROR(VLOOKUP($G15,SantoYusuf!$L$13:$AK$56,N$4,FALSE))=TRUE,"",
              VLOOKUP($G15,SantoYusuf!$L$13:$AK$56,N$4,FALSE)))</t>
  </si>
  <si>
    <t>=IF(ISNUMBER($L$6)=FALSE,"",
        IF(ISERROR(VLOOKUP($G15,SantoYusuf!$L$13:$AK$56,O$4,FALSE))=TRUE,"",
              VLOOKUP($G15,SantoYusuf!$L$13:$AK$56,O$4,FALSE)))</t>
  </si>
  <si>
    <t>=IF(ISNUMBER($L$6)=FALSE,"",
        IF(ISERROR(VLOOKUP($G15,SantoYusuf!$L$13:$AK$56,P$4,FALSE))=TRUE,"",
              VLOOKUP($G15,SantoYusuf!$L$13:$AK$56,P$4,FALSE)))</t>
  </si>
  <si>
    <t>=IF(ISNUMBER($L$6)=FALSE,"",
        IF(ISERROR(VLOOKUP($G15,SantoYusuf!$L$13:$AK$56,Q$4,FALSE))=TRUE,"",
              VLOOKUP($G15,SantoYusuf!$L$13:$AK$56,Q$4,FALSE)))</t>
  </si>
  <si>
    <t>=IF(ISNUMBER($L$6)=FALSE,"",
        IF(ISERROR(VLOOKUP($G15,SantoYusuf!$L$13:$AK$56,R$4,FALSE))=TRUE,"",
              VLOOKUP($G15,SantoYusuf!$L$13:$AK$56,R$4,FALSE)))</t>
  </si>
  <si>
    <t>=IF(ISNUMBER($L$6)=FALSE,"",
        IF(ISERROR(VLOOKUP($G15,SantoYusuf!$L$13:$AK$56,S$4,FALSE))=TRUE,"",
              VLOOKUP($G15,SantoYusuf!$L$13:$AK$56,S$4,FALSE)))</t>
  </si>
  <si>
    <t>=IF(ISNUMBER($L$6)=FALSE,"",
        IF(ISERROR(VLOOKUP($G15,SantoYusuf!$L$13:$AK$56,T$4,FALSE))=TRUE,"",
              VLOOKUP($G15,SantoYusuf!$L$13:$AK$56,T$4,FALSE)))</t>
  </si>
  <si>
    <t>=IF(ISNUMBER($L$6)=FALSE,"",
        IF(ISERROR(VLOOKUP($G15,SantoYusuf!$L$13:$AK$56,U$4,FALSE))=TRUE,"",
              VLOOKUP($G15,SantoYusuf!$L$13:$AK$56,U$4,FALSE)))</t>
  </si>
  <si>
    <t>=IF(ISNUMBER($L$6)=FALSE,"",
        IF(ISERROR(VLOOKUP($G15,SantoYusuf!$L$13:$AK$56,V$4,FALSE))=TRUE,"",
              VLOOKUP($G15,SantoYusuf!$L$13:$AK$56,V$4,FALSE)))</t>
  </si>
  <si>
    <t>=IF(ISNUMBER($L$6)=FALSE,"",
        IF(ISERROR(VLOOKUP($G15,SantoYusuf!$L$13:$AK$56,W$4,FALSE))=TRUE,"",
              VLOOKUP($G15,SantoYusuf!$L$13:$AK$56,W$4,FALSE)))</t>
  </si>
  <si>
    <t>=IF(ISNUMBER($L$6)=FALSE,"",
        IF(ISERROR(VLOOKUP($G15,SantoYusuf!$L$13:$AK$56,X$4,FALSE))=TRUE,"",
              VLOOKUP($G15,SantoYusuf!$L$13:$AK$56,X$4,FALSE)))</t>
  </si>
  <si>
    <t>=IF(ISNUMBER($L$6)=FALSE,"",
        IF(ISERROR(VLOOKUP($G15,SantoYusuf!$L$13:$AK$56,Y$4,FALSE))=TRUE,"",
              VLOOKUP($G15,SantoYusuf!$L$13:$AK$56,Y$4,FALSE)))</t>
  </si>
  <si>
    <t>=IF(ISNUMBER($L$6)=FALSE,"",
        IF(ISERROR(VLOOKUP($G15,SantoYusuf!$L$13:$AK$56,Z$4,FALSE))=TRUE,"",
              VLOOKUP($G15,SantoYusuf!$L$13:$AK$56,Z$4,FALSE)))</t>
  </si>
  <si>
    <t>=IF(ISNUMBER($L$6)=FALSE,"",
        IF(ISERROR(VLOOKUP($G15,SantoYusuf!$L$13:$AK$56,AA$4,FALSE))=TRUE,"",
              VLOOKUP($G15,SantoYusuf!$L$13:$AK$56,AA$4,FALSE)))</t>
  </si>
  <si>
    <t>=IF(ISNUMBER($L$6)=FALSE,"",
        IF(ISERROR(VLOOKUP($G15,SantoYusuf!$L$13:$AK$56,AB$4,FALSE))=TRUE,"",
              VLOOKUP($G15,SantoYusuf!$L$13:$AK$56,AB$4,FALSE)))</t>
  </si>
  <si>
    <t>=IF(ISNUMBER($L$6)=FALSE,"",
        IF(ISERROR(VLOOKUP($G15,SantoYusuf!$L$13:$AK$56,AC$4,FALSE))=TRUE,"",
              VLOOKUP($G15,SantoYusuf!$L$13:$AK$56,AC$4,FALSE)))</t>
  </si>
  <si>
    <t>=IF(ISNUMBER($L$6)=FALSE,"",
        IF(ISERROR(VLOOKUP($G15,SantoYusuf!$L$13:$AK$56,AD$4,FALSE))=TRUE,"",
              VLOOKUP($G15,SantoYusuf!$L$13:$AK$56,AD$4,FALSE)))</t>
  </si>
  <si>
    <t>=IF(ISNUMBER($L$6)=FALSE,"",
        IF(ISERROR(VLOOKUP($G15,SantoYusuf!$L$13:$AK$56,AE$4,FALSE))=TRUE,"",
              VLOOKUP($G15,SantoYusuf!$L$13:$AK$56,AE$4,FALSE)))</t>
  </si>
  <si>
    <t>=IF(ISNUMBER($L$6)=FALSE,"",
        IF(ISERROR(VLOOKUP($G15,SantoYusuf!$L$13:$AK$56,AF$4,FALSE))=TRUE,"",
              VLOOKUP($G15,SantoYusuf!$L$13:$AK$56,AF$4,FALSE)))</t>
  </si>
  <si>
    <t>=IF(ISNUMBER($L$6)=FALSE,"",
IF($C16=0,"",VLOOKUP($E16,SantoYusuf!$H$13:$L$56,4,FALSE)))</t>
  </si>
  <si>
    <t>=IF(ISNUMBER($L$6)=FALSE,"",
IF($C16=0,"",VLOOKUP($E16,SantoYusuf!$H$13:$L$56,5,FALSE)))</t>
  </si>
  <si>
    <t>=IF(ISNUMBER($L$6)=FALSE,"",
        IF(ISERROR(VLOOKUP($G16,SantoYusuf!$L$13:$AK$56,I$4,FALSE))=TRUE,"",
              VLOOKUP($G16,SantoYusuf!$L$13:$AK$56,I$4,FALSE)))</t>
  </si>
  <si>
    <t>=IF(ISNUMBER($L$6)=FALSE,"",
        IF(ISERROR(VLOOKUP($G16,SantoYusuf!$L$13:$AK$56,J$4,FALSE))=TRUE,"",
              VLOOKUP($G16,SantoYusuf!$L$13:$AK$56,J$4,FALSE)))</t>
  </si>
  <si>
    <t>=IF(ISNUMBER($L$6)=FALSE,"",
        IF(ISERROR(VLOOKUP($G16,SantoYusuf!$L$13:$AK$56,K$4,FALSE))=TRUE,"",
              VLOOKUP($G16,SantoYusuf!$L$13:$AK$56,K$4,FALSE)))</t>
  </si>
  <si>
    <t>=IF(ISNUMBER($L$6)=FALSE,"",
        IF(ISERROR(VLOOKUP($G16,SantoYusuf!$L$13:$AK$56,L$4,FALSE))=TRUE,"",
              VLOOKUP($G16,SantoYusuf!$L$13:$AK$56,L$4,FALSE)))</t>
  </si>
  <si>
    <t>=IF(ISNUMBER($L$6)=FALSE,"",
        IF(ISERROR(VLOOKUP($G16,SantoYusuf!$L$13:$AK$56,M$4,FALSE))=TRUE,"",
              VLOOKUP($G16,SantoYusuf!$L$13:$AK$56,M$4,FALSE)))</t>
  </si>
  <si>
    <t>=IF(ISNUMBER($L$6)=FALSE,"",
        IF(ISERROR(VLOOKUP($G16,SantoYusuf!$L$13:$AK$56,N$4,FALSE))=TRUE,"",
              VLOOKUP($G16,SantoYusuf!$L$13:$AK$56,N$4,FALSE)))</t>
  </si>
  <si>
    <t>=IF(ISNUMBER($L$6)=FALSE,"",
        IF(ISERROR(VLOOKUP($G16,SantoYusuf!$L$13:$AK$56,O$4,FALSE))=TRUE,"",
              VLOOKUP($G16,SantoYusuf!$L$13:$AK$56,O$4,FALSE)))</t>
  </si>
  <si>
    <t>=IF(ISNUMBER($L$6)=FALSE,"",
        IF(ISERROR(VLOOKUP($G16,SantoYusuf!$L$13:$AK$56,P$4,FALSE))=TRUE,"",
              VLOOKUP($G16,SantoYusuf!$L$13:$AK$56,P$4,FALSE)))</t>
  </si>
  <si>
    <t>=IF(ISNUMBER($L$6)=FALSE,"",
        IF(ISERROR(VLOOKUP($G16,SantoYusuf!$L$13:$AK$56,Q$4,FALSE))=TRUE,"",
              VLOOKUP($G16,SantoYusuf!$L$13:$AK$56,Q$4,FALSE)))</t>
  </si>
  <si>
    <t>=IF(ISNUMBER($L$6)=FALSE,"",
        IF(ISERROR(VLOOKUP($G16,SantoYusuf!$L$13:$AK$56,R$4,FALSE))=TRUE,"",
              VLOOKUP($G16,SantoYusuf!$L$13:$AK$56,R$4,FALSE)))</t>
  </si>
  <si>
    <t>=IF(ISNUMBER($L$6)=FALSE,"",
        IF(ISERROR(VLOOKUP($G16,SantoYusuf!$L$13:$AK$56,S$4,FALSE))=TRUE,"",
              VLOOKUP($G16,SantoYusuf!$L$13:$AK$56,S$4,FALSE)))</t>
  </si>
  <si>
    <t>=IF(ISNUMBER($L$6)=FALSE,"",
        IF(ISERROR(VLOOKUP($G16,SantoYusuf!$L$13:$AK$56,T$4,FALSE))=TRUE,"",
              VLOOKUP($G16,SantoYusuf!$L$13:$AK$56,T$4,FALSE)))</t>
  </si>
  <si>
    <t>=IF(ISNUMBER($L$6)=FALSE,"",
        IF(ISERROR(VLOOKUP($G16,SantoYusuf!$L$13:$AK$56,U$4,FALSE))=TRUE,"",
              VLOOKUP($G16,SantoYusuf!$L$13:$AK$56,U$4,FALSE)))</t>
  </si>
  <si>
    <t>=IF(ISNUMBER($L$6)=FALSE,"",
        IF(ISERROR(VLOOKUP($G16,SantoYusuf!$L$13:$AK$56,V$4,FALSE))=TRUE,"",
              VLOOKUP($G16,SantoYusuf!$L$13:$AK$56,V$4,FALSE)))</t>
  </si>
  <si>
    <t>=IF(ISNUMBER($L$6)=FALSE,"",
        IF(ISERROR(VLOOKUP($G16,SantoYusuf!$L$13:$AK$56,W$4,FALSE))=TRUE,"",
              VLOOKUP($G16,SantoYusuf!$L$13:$AK$56,W$4,FALSE)))</t>
  </si>
  <si>
    <t>=IF(ISNUMBER($L$6)=FALSE,"",
        IF(ISERROR(VLOOKUP($G16,SantoYusuf!$L$13:$AK$56,X$4,FALSE))=TRUE,"",
              VLOOKUP($G16,SantoYusuf!$L$13:$AK$56,X$4,FALSE)))</t>
  </si>
  <si>
    <t>=IF(ISNUMBER($L$6)=FALSE,"",
        IF(ISERROR(VLOOKUP($G16,SantoYusuf!$L$13:$AK$56,Y$4,FALSE))=TRUE,"",
              VLOOKUP($G16,SantoYusuf!$L$13:$AK$56,Y$4,FALSE)))</t>
  </si>
  <si>
    <t>=IF(ISNUMBER($L$6)=FALSE,"",
        IF(ISERROR(VLOOKUP($G16,SantoYusuf!$L$13:$AK$56,Z$4,FALSE))=TRUE,"",
              VLOOKUP($G16,SantoYusuf!$L$13:$AK$56,Z$4,FALSE)))</t>
  </si>
  <si>
    <t>=IF(ISNUMBER($L$6)=FALSE,"",
        IF(ISERROR(VLOOKUP($G16,SantoYusuf!$L$13:$AK$56,AA$4,FALSE))=TRUE,"",
              VLOOKUP($G16,SantoYusuf!$L$13:$AK$56,AA$4,FALSE)))</t>
  </si>
  <si>
    <t>=IF(ISNUMBER($L$6)=FALSE,"",
        IF(ISERROR(VLOOKUP($G16,SantoYusuf!$L$13:$AK$56,AB$4,FALSE))=TRUE,"",
              VLOOKUP($G16,SantoYusuf!$L$13:$AK$56,AB$4,FALSE)))</t>
  </si>
  <si>
    <t>=IF(ISNUMBER($L$6)=FALSE,"",
        IF(ISERROR(VLOOKUP($G16,SantoYusuf!$L$13:$AK$56,AC$4,FALSE))=TRUE,"",
              VLOOKUP($G16,SantoYusuf!$L$13:$AK$56,AC$4,FALSE)))</t>
  </si>
  <si>
    <t>=IF(ISNUMBER($L$6)=FALSE,"",
        IF(ISERROR(VLOOKUP($G16,SantoYusuf!$L$13:$AK$56,AD$4,FALSE))=TRUE,"",
              VLOOKUP($G16,SantoYusuf!$L$13:$AK$56,AD$4,FALSE)))</t>
  </si>
  <si>
    <t>=IF(ISNUMBER($L$6)=FALSE,"",
        IF(ISERROR(VLOOKUP($G16,SantoYusuf!$L$13:$AK$56,AE$4,FALSE))=TRUE,"",
              VLOOKUP($G16,SantoYusuf!$L$13:$AK$56,AE$4,FALSE)))</t>
  </si>
  <si>
    <t>=IF(ISNUMBER($L$6)=FALSE,"",
        IF(ISERROR(VLOOKUP($G16,SantoYusuf!$L$13:$AK$56,AF$4,FALSE))=TRUE,"",
              VLOOKUP($G16,SantoYusuf!$L$13:$AK$56,AF$4,FALSE)))</t>
  </si>
  <si>
    <t>=IF(ISNUMBER($L$6)=FALSE,"",
IF($C17=0,"",VLOOKUP($E17,SantoYusuf!$H$13:$L$56,4,FALSE)))</t>
  </si>
  <si>
    <t>=IF(ISNUMBER($L$6)=FALSE,"",
IF($C17=0,"",VLOOKUP($E17,SantoYusuf!$H$13:$L$56,5,FALSE)))</t>
  </si>
  <si>
    <t>=IF(ISNUMBER($L$6)=FALSE,"",
        IF(ISERROR(VLOOKUP($G17,SantoYusuf!$L$13:$AK$56,I$4,FALSE))=TRUE,"",
              VLOOKUP($G17,SantoYusuf!$L$13:$AK$56,I$4,FALSE)))</t>
  </si>
  <si>
    <t>=IF(ISNUMBER($L$6)=FALSE,"",
        IF(ISERROR(VLOOKUP($G17,SantoYusuf!$L$13:$AK$56,J$4,FALSE))=TRUE,"",
              VLOOKUP($G17,SantoYusuf!$L$13:$AK$56,J$4,FALSE)))</t>
  </si>
  <si>
    <t>=IF(ISNUMBER($L$6)=FALSE,"",
        IF(ISERROR(VLOOKUP($G17,SantoYusuf!$L$13:$AK$56,K$4,FALSE))=TRUE,"",
              VLOOKUP($G17,SantoYusuf!$L$13:$AK$56,K$4,FALSE)))</t>
  </si>
  <si>
    <t>=IF(ISNUMBER($L$6)=FALSE,"",
        IF(ISERROR(VLOOKUP($G17,SantoYusuf!$L$13:$AK$56,L$4,FALSE))=TRUE,"",
              VLOOKUP($G17,SantoYusuf!$L$13:$AK$56,L$4,FALSE)))</t>
  </si>
  <si>
    <t>=IF(ISNUMBER($L$6)=FALSE,"",
        IF(ISERROR(VLOOKUP($G17,SantoYusuf!$L$13:$AK$56,M$4,FALSE))=TRUE,"",
              VLOOKUP($G17,SantoYusuf!$L$13:$AK$56,M$4,FALSE)))</t>
  </si>
  <si>
    <t>=IF(ISNUMBER($L$6)=FALSE,"",
        IF(ISERROR(VLOOKUP($G17,SantoYusuf!$L$13:$AK$56,N$4,FALSE))=TRUE,"",
              VLOOKUP($G17,SantoYusuf!$L$13:$AK$56,N$4,FALSE)))</t>
  </si>
  <si>
    <t>=IF(ISNUMBER($L$6)=FALSE,"",
        IF(ISERROR(VLOOKUP($G17,SantoYusuf!$L$13:$AK$56,O$4,FALSE))=TRUE,"",
              VLOOKUP($G17,SantoYusuf!$L$13:$AK$56,O$4,FALSE)))</t>
  </si>
  <si>
    <t>=IF(ISNUMBER($L$6)=FALSE,"",
        IF(ISERROR(VLOOKUP($G17,SantoYusuf!$L$13:$AK$56,P$4,FALSE))=TRUE,"",
              VLOOKUP($G17,SantoYusuf!$L$13:$AK$56,P$4,FALSE)))</t>
  </si>
  <si>
    <t>=IF(ISNUMBER($L$6)=FALSE,"",
        IF(ISERROR(VLOOKUP($G17,SantoYusuf!$L$13:$AK$56,Q$4,FALSE))=TRUE,"",
              VLOOKUP($G17,SantoYusuf!$L$13:$AK$56,Q$4,FALSE)))</t>
  </si>
  <si>
    <t>=IF(ISNUMBER($L$6)=FALSE,"",
        IF(ISERROR(VLOOKUP($G17,SantoYusuf!$L$13:$AK$56,R$4,FALSE))=TRUE,"",
              VLOOKUP($G17,SantoYusuf!$L$13:$AK$56,R$4,FALSE)))</t>
  </si>
  <si>
    <t>=IF(ISNUMBER($L$6)=FALSE,"",
        IF(ISERROR(VLOOKUP($G17,SantoYusuf!$L$13:$AK$56,S$4,FALSE))=TRUE,"",
              VLOOKUP($G17,SantoYusuf!$L$13:$AK$56,S$4,FALSE)))</t>
  </si>
  <si>
    <t>=IF(ISNUMBER($L$6)=FALSE,"",
        IF(ISERROR(VLOOKUP($G17,SantoYusuf!$L$13:$AK$56,T$4,FALSE))=TRUE,"",
              VLOOKUP($G17,SantoYusuf!$L$13:$AK$56,T$4,FALSE)))</t>
  </si>
  <si>
    <t>=IF(ISNUMBER($L$6)=FALSE,"",
        IF(ISERROR(VLOOKUP($G17,SantoYusuf!$L$13:$AK$56,U$4,FALSE))=TRUE,"",
              VLOOKUP($G17,SantoYusuf!$L$13:$AK$56,U$4,FALSE)))</t>
  </si>
  <si>
    <t>=IF(ISNUMBER($L$6)=FALSE,"",
        IF(ISERROR(VLOOKUP($G17,SantoYusuf!$L$13:$AK$56,V$4,FALSE))=TRUE,"",
              VLOOKUP($G17,SantoYusuf!$L$13:$AK$56,V$4,FALSE)))</t>
  </si>
  <si>
    <t>=IF(ISNUMBER($L$6)=FALSE,"",
        IF(ISERROR(VLOOKUP($G17,SantoYusuf!$L$13:$AK$56,W$4,FALSE))=TRUE,"",
              VLOOKUP($G17,SantoYusuf!$L$13:$AK$56,W$4,FALSE)))</t>
  </si>
  <si>
    <t>=IF(ISNUMBER($L$6)=FALSE,"",
        IF(ISERROR(VLOOKUP($G17,SantoYusuf!$L$13:$AK$56,X$4,FALSE))=TRUE,"",
              VLOOKUP($G17,SantoYusuf!$L$13:$AK$56,X$4,FALSE)))</t>
  </si>
  <si>
    <t>=IF(ISNUMBER($L$6)=FALSE,"",
        IF(ISERROR(VLOOKUP($G17,SantoYusuf!$L$13:$AK$56,Y$4,FALSE))=TRUE,"",
              VLOOKUP($G17,SantoYusuf!$L$13:$AK$56,Y$4,FALSE)))</t>
  </si>
  <si>
    <t>=IF(ISNUMBER($L$6)=FALSE,"",
        IF(ISERROR(VLOOKUP($G17,SantoYusuf!$L$13:$AK$56,Z$4,FALSE))=TRUE,"",
              VLOOKUP($G17,SantoYusuf!$L$13:$AK$56,Z$4,FALSE)))</t>
  </si>
  <si>
    <t>=IF(ISNUMBER($L$6)=FALSE,"",
        IF(ISERROR(VLOOKUP($G17,SantoYusuf!$L$13:$AK$56,AA$4,FALSE))=TRUE,"",
              VLOOKUP($G17,SantoYusuf!$L$13:$AK$56,AA$4,FALSE)))</t>
  </si>
  <si>
    <t>=IF(ISNUMBER($L$6)=FALSE,"",
        IF(ISERROR(VLOOKUP($G17,SantoYusuf!$L$13:$AK$56,AB$4,FALSE))=TRUE,"",
              VLOOKUP($G17,SantoYusuf!$L$13:$AK$56,AB$4,FALSE)))</t>
  </si>
  <si>
    <t>=IF(ISNUMBER($L$6)=FALSE,"",
        IF(ISERROR(VLOOKUP($G17,SantoYusuf!$L$13:$AK$56,AC$4,FALSE))=TRUE,"",
              VLOOKUP($G17,SantoYusuf!$L$13:$AK$56,AC$4,FALSE)))</t>
  </si>
  <si>
    <t>=IF(ISNUMBER($L$6)=FALSE,"",
        IF(ISERROR(VLOOKUP($G17,SantoYusuf!$L$13:$AK$56,AD$4,FALSE))=TRUE,"",
              VLOOKUP($G17,SantoYusuf!$L$13:$AK$56,AD$4,FALSE)))</t>
  </si>
  <si>
    <t>=IF(ISNUMBER($L$6)=FALSE,"",
        IF(ISERROR(VLOOKUP($G17,SantoYusuf!$L$13:$AK$56,AE$4,FALSE))=TRUE,"",
              VLOOKUP($G17,SantoYusuf!$L$13:$AK$56,AE$4,FALSE)))</t>
  </si>
  <si>
    <t>=IF(ISNUMBER($L$6)=FALSE,"",
        IF(ISERROR(VLOOKUP($G17,SantoYusuf!$L$13:$AK$56,AF$4,FALSE))=TRUE,"",
              VLOOKUP($G17,SantoYusuf!$L$13:$AK$56,AF$4,FALSE)))</t>
  </si>
  <si>
    <t>=IF(ISNUMBER($L$6)=FALSE,"",
IF($C18=0,"",VLOOKUP($E18,SantoYusuf!$H$13:$L$56,4,FALSE)))</t>
  </si>
  <si>
    <t>=IF(ISNUMBER($L$6)=FALSE,"",
IF($C18=0,"",VLOOKUP($E18,SantoYusuf!$H$13:$L$56,5,FALSE)))</t>
  </si>
  <si>
    <t>=IF(ISNUMBER($L$6)=FALSE,"",
        IF(ISERROR(VLOOKUP($G18,SantoYusuf!$L$13:$AK$56,I$4,FALSE))=TRUE,"",
              VLOOKUP($G18,SantoYusuf!$L$13:$AK$56,I$4,FALSE)))</t>
  </si>
  <si>
    <t>=IF(ISNUMBER($L$6)=FALSE,"",
        IF(ISERROR(VLOOKUP($G18,SantoYusuf!$L$13:$AK$56,J$4,FALSE))=TRUE,"",
              VLOOKUP($G18,SantoYusuf!$L$13:$AK$56,J$4,FALSE)))</t>
  </si>
  <si>
    <t>=IF(ISNUMBER($L$6)=FALSE,"",
        IF(ISERROR(VLOOKUP($G18,SantoYusuf!$L$13:$AK$56,K$4,FALSE))=TRUE,"",
              VLOOKUP($G18,SantoYusuf!$L$13:$AK$56,K$4,FALSE)))</t>
  </si>
  <si>
    <t>=IF(ISNUMBER($L$6)=FALSE,"",
        IF(ISERROR(VLOOKUP($G18,SantoYusuf!$L$13:$AK$56,L$4,FALSE))=TRUE,"",
              VLOOKUP($G18,SantoYusuf!$L$13:$AK$56,L$4,FALSE)))</t>
  </si>
  <si>
    <t>=IF(ISNUMBER($L$6)=FALSE,"",
        IF(ISERROR(VLOOKUP($G18,SantoYusuf!$L$13:$AK$56,M$4,FALSE))=TRUE,"",
              VLOOKUP($G18,SantoYusuf!$L$13:$AK$56,M$4,FALSE)))</t>
  </si>
  <si>
    <t>=IF(ISNUMBER($L$6)=FALSE,"",
        IF(ISERROR(VLOOKUP($G18,SantoYusuf!$L$13:$AK$56,N$4,FALSE))=TRUE,"",
              VLOOKUP($G18,SantoYusuf!$L$13:$AK$56,N$4,FALSE)))</t>
  </si>
  <si>
    <t>=IF(ISNUMBER($L$6)=FALSE,"",
        IF(ISERROR(VLOOKUP($G18,SantoYusuf!$L$13:$AK$56,O$4,FALSE))=TRUE,"",
              VLOOKUP($G18,SantoYusuf!$L$13:$AK$56,O$4,FALSE)))</t>
  </si>
  <si>
    <t>=IF(ISNUMBER($L$6)=FALSE,"",
        IF(ISERROR(VLOOKUP($G18,SantoYusuf!$L$13:$AK$56,P$4,FALSE))=TRUE,"",
              VLOOKUP($G18,SantoYusuf!$L$13:$AK$56,P$4,FALSE)))</t>
  </si>
  <si>
    <t>=IF(ISNUMBER($L$6)=FALSE,"",
        IF(ISERROR(VLOOKUP($G18,SantoYusuf!$L$13:$AK$56,Q$4,FALSE))=TRUE,"",
              VLOOKUP($G18,SantoYusuf!$L$13:$AK$56,Q$4,FALSE)))</t>
  </si>
  <si>
    <t>=IF(ISNUMBER($L$6)=FALSE,"",
        IF(ISERROR(VLOOKUP($G18,SantoYusuf!$L$13:$AK$56,R$4,FALSE))=TRUE,"",
              VLOOKUP($G18,SantoYusuf!$L$13:$AK$56,R$4,FALSE)))</t>
  </si>
  <si>
    <t>=IF(ISNUMBER($L$6)=FALSE,"",
        IF(ISERROR(VLOOKUP($G18,SantoYusuf!$L$13:$AK$56,S$4,FALSE))=TRUE,"",
              VLOOKUP($G18,SantoYusuf!$L$13:$AK$56,S$4,FALSE)))</t>
  </si>
  <si>
    <t>=IF(ISNUMBER($L$6)=FALSE,"",
        IF(ISERROR(VLOOKUP($G18,SantoYusuf!$L$13:$AK$56,T$4,FALSE))=TRUE,"",
              VLOOKUP($G18,SantoYusuf!$L$13:$AK$56,T$4,FALSE)))</t>
  </si>
  <si>
    <t>=IF(ISNUMBER($L$6)=FALSE,"",
        IF(ISERROR(VLOOKUP($G18,SantoYusuf!$L$13:$AK$56,U$4,FALSE))=TRUE,"",
              VLOOKUP($G18,SantoYusuf!$L$13:$AK$56,U$4,FALSE)))</t>
  </si>
  <si>
    <t>=IF(ISNUMBER($L$6)=FALSE,"",
        IF(ISERROR(VLOOKUP($G18,SantoYusuf!$L$13:$AK$56,V$4,FALSE))=TRUE,"",
              VLOOKUP($G18,SantoYusuf!$L$13:$AK$56,V$4,FALSE)))</t>
  </si>
  <si>
    <t>=IF(ISNUMBER($L$6)=FALSE,"",
        IF(ISERROR(VLOOKUP($G18,SantoYusuf!$L$13:$AK$56,W$4,FALSE))=TRUE,"",
              VLOOKUP($G18,SantoYusuf!$L$13:$AK$56,W$4,FALSE)))</t>
  </si>
  <si>
    <t>=IF(ISNUMBER($L$6)=FALSE,"",
        IF(ISERROR(VLOOKUP($G18,SantoYusuf!$L$13:$AK$56,X$4,FALSE))=TRUE,"",
              VLOOKUP($G18,SantoYusuf!$L$13:$AK$56,X$4,FALSE)))</t>
  </si>
  <si>
    <t>=IF(ISNUMBER($L$6)=FALSE,"",
        IF(ISERROR(VLOOKUP($G18,SantoYusuf!$L$13:$AK$56,Y$4,FALSE))=TRUE,"",
              VLOOKUP($G18,SantoYusuf!$L$13:$AK$56,Y$4,FALSE)))</t>
  </si>
  <si>
    <t>=IF(ISNUMBER($L$6)=FALSE,"",
        IF(ISERROR(VLOOKUP($G18,SantoYusuf!$L$13:$AK$56,Z$4,FALSE))=TRUE,"",
              VLOOKUP($G18,SantoYusuf!$L$13:$AK$56,Z$4,FALSE)))</t>
  </si>
  <si>
    <t>=IF(ISNUMBER($L$6)=FALSE,"",
        IF(ISERROR(VLOOKUP($G18,SantoYusuf!$L$13:$AK$56,AA$4,FALSE))=TRUE,"",
              VLOOKUP($G18,SantoYusuf!$L$13:$AK$56,AA$4,FALSE)))</t>
  </si>
  <si>
    <t>=IF(ISNUMBER($L$6)=FALSE,"",
        IF(ISERROR(VLOOKUP($G18,SantoYusuf!$L$13:$AK$56,AB$4,FALSE))=TRUE,"",
              VLOOKUP($G18,SantoYusuf!$L$13:$AK$56,AB$4,FALSE)))</t>
  </si>
  <si>
    <t>=IF(ISNUMBER($L$6)=FALSE,"",
        IF(ISERROR(VLOOKUP($G18,SantoYusuf!$L$13:$AK$56,AC$4,FALSE))=TRUE,"",
              VLOOKUP($G18,SantoYusuf!$L$13:$AK$56,AC$4,FALSE)))</t>
  </si>
  <si>
    <t>=IF(ISNUMBER($L$6)=FALSE,"",
        IF(ISERROR(VLOOKUP($G18,SantoYusuf!$L$13:$AK$56,AD$4,FALSE))=TRUE,"",
              VLOOKUP($G18,SantoYusuf!$L$13:$AK$56,AD$4,FALSE)))</t>
  </si>
  <si>
    <t>=IF(ISNUMBER($L$6)=FALSE,"",
        IF(ISERROR(VLOOKUP($G18,SantoYusuf!$L$13:$AK$56,AE$4,FALSE))=TRUE,"",
              VLOOKUP($G18,SantoYusuf!$L$13:$AK$56,AE$4,FALSE)))</t>
  </si>
  <si>
    <t>=IF(ISNUMBER($L$6)=FALSE,"",
        IF(ISERROR(VLOOKUP($G18,SantoYusuf!$L$13:$AK$56,AF$4,FALSE))=TRUE,"",
              VLOOKUP($G18,SantoYusuf!$L$13:$AK$56,AF$4,FALSE)))</t>
  </si>
  <si>
    <t>=IF(ISNUMBER($L$6)=FALSE,"",
IF($C19=0,"",VLOOKUP($E19,SantoYusuf!$H$13:$L$56,4,FALSE)))</t>
  </si>
  <si>
    <t>=IF(ISNUMBER($L$6)=FALSE,"",
IF($C19=0,"",VLOOKUP($E19,SantoYusuf!$H$13:$L$56,5,FALSE)))</t>
  </si>
  <si>
    <t>=IF(ISNUMBER($L$6)=FALSE,"",
        IF(ISERROR(VLOOKUP($G19,SantoYusuf!$L$13:$AK$56,I$4,FALSE))=TRUE,"",
              VLOOKUP($G19,SantoYusuf!$L$13:$AK$56,I$4,FALSE)))</t>
  </si>
  <si>
    <t>=IF(ISNUMBER($L$6)=FALSE,"",
        IF(ISERROR(VLOOKUP($G19,SantoYusuf!$L$13:$AK$56,J$4,FALSE))=TRUE,"",
              VLOOKUP($G19,SantoYusuf!$L$13:$AK$56,J$4,FALSE)))</t>
  </si>
  <si>
    <t>=IF(ISNUMBER($L$6)=FALSE,"",
        IF(ISERROR(VLOOKUP($G19,SantoYusuf!$L$13:$AK$56,K$4,FALSE))=TRUE,"",
              VLOOKUP($G19,SantoYusuf!$L$13:$AK$56,K$4,FALSE)))</t>
  </si>
  <si>
    <t>=IF(ISNUMBER($L$6)=FALSE,"",
        IF(ISERROR(VLOOKUP($G19,SantoYusuf!$L$13:$AK$56,L$4,FALSE))=TRUE,"",
              VLOOKUP($G19,SantoYusuf!$L$13:$AK$56,L$4,FALSE)))</t>
  </si>
  <si>
    <t>=IF(ISNUMBER($L$6)=FALSE,"",
        IF(ISERROR(VLOOKUP($G19,SantoYusuf!$L$13:$AK$56,M$4,FALSE))=TRUE,"",
              VLOOKUP($G19,SantoYusuf!$L$13:$AK$56,M$4,FALSE)))</t>
  </si>
  <si>
    <t>=IF(ISNUMBER($L$6)=FALSE,"",
        IF(ISERROR(VLOOKUP($G19,SantoYusuf!$L$13:$AK$56,N$4,FALSE))=TRUE,"",
              VLOOKUP($G19,SantoYusuf!$L$13:$AK$56,N$4,FALSE)))</t>
  </si>
  <si>
    <t>=IF(ISNUMBER($L$6)=FALSE,"",
        IF(ISERROR(VLOOKUP($G19,SantoYusuf!$L$13:$AK$56,O$4,FALSE))=TRUE,"",
              VLOOKUP($G19,SantoYusuf!$L$13:$AK$56,O$4,FALSE)))</t>
  </si>
  <si>
    <t>=IF(ISNUMBER($L$6)=FALSE,"",
        IF(ISERROR(VLOOKUP($G19,SantoYusuf!$L$13:$AK$56,P$4,FALSE))=TRUE,"",
              VLOOKUP($G19,SantoYusuf!$L$13:$AK$56,P$4,FALSE)))</t>
  </si>
  <si>
    <t>=IF(ISNUMBER($L$6)=FALSE,"",
        IF(ISERROR(VLOOKUP($G19,SantoYusuf!$L$13:$AK$56,Q$4,FALSE))=TRUE,"",
              VLOOKUP($G19,SantoYusuf!$L$13:$AK$56,Q$4,FALSE)))</t>
  </si>
  <si>
    <t>=IF(ISNUMBER($L$6)=FALSE,"",
        IF(ISERROR(VLOOKUP($G19,SantoYusuf!$L$13:$AK$56,R$4,FALSE))=TRUE,"",
              VLOOKUP($G19,SantoYusuf!$L$13:$AK$56,R$4,FALSE)))</t>
  </si>
  <si>
    <t>=IF(ISNUMBER($L$6)=FALSE,"",
        IF(ISERROR(VLOOKUP($G19,SantoYusuf!$L$13:$AK$56,S$4,FALSE))=TRUE,"",
              VLOOKUP($G19,SantoYusuf!$L$13:$AK$56,S$4,FALSE)))</t>
  </si>
  <si>
    <t>=IF(ISNUMBER($L$6)=FALSE,"",
        IF(ISERROR(VLOOKUP($G19,SantoYusuf!$L$13:$AK$56,T$4,FALSE))=TRUE,"",
              VLOOKUP($G19,SantoYusuf!$L$13:$AK$56,T$4,FALSE)))</t>
  </si>
  <si>
    <t>=IF(ISNUMBER($L$6)=FALSE,"",
        IF(ISERROR(VLOOKUP($G19,SantoYusuf!$L$13:$AK$56,U$4,FALSE))=TRUE,"",
              VLOOKUP($G19,SantoYusuf!$L$13:$AK$56,U$4,FALSE)))</t>
  </si>
  <si>
    <t>=IF(ISNUMBER($L$6)=FALSE,"",
        IF(ISERROR(VLOOKUP($G19,SantoYusuf!$L$13:$AK$56,V$4,FALSE))=TRUE,"",
              VLOOKUP($G19,SantoYusuf!$L$13:$AK$56,V$4,FALSE)))</t>
  </si>
  <si>
    <t>=IF(ISNUMBER($L$6)=FALSE,"",
        IF(ISERROR(VLOOKUP($G19,SantoYusuf!$L$13:$AK$56,W$4,FALSE))=TRUE,"",
              VLOOKUP($G19,SantoYusuf!$L$13:$AK$56,W$4,FALSE)))</t>
  </si>
  <si>
    <t>=IF(ISNUMBER($L$6)=FALSE,"",
        IF(ISERROR(VLOOKUP($G19,SantoYusuf!$L$13:$AK$56,X$4,FALSE))=TRUE,"",
              VLOOKUP($G19,SantoYusuf!$L$13:$AK$56,X$4,FALSE)))</t>
  </si>
  <si>
    <t>=IF(ISNUMBER($L$6)=FALSE,"",
        IF(ISERROR(VLOOKUP($G19,SantoYusuf!$L$13:$AK$56,Y$4,FALSE))=TRUE,"",
              VLOOKUP($G19,SantoYusuf!$L$13:$AK$56,Y$4,FALSE)))</t>
  </si>
  <si>
    <t>=IF(ISNUMBER($L$6)=FALSE,"",
        IF(ISERROR(VLOOKUP($G19,SantoYusuf!$L$13:$AK$56,Z$4,FALSE))=TRUE,"",
              VLOOKUP($G19,SantoYusuf!$L$13:$AK$56,Z$4,FALSE)))</t>
  </si>
  <si>
    <t>=IF(ISNUMBER($L$6)=FALSE,"",
        IF(ISERROR(VLOOKUP($G19,SantoYusuf!$L$13:$AK$56,AA$4,FALSE))=TRUE,"",
              VLOOKUP($G19,SantoYusuf!$L$13:$AK$56,AA$4,FALSE)))</t>
  </si>
  <si>
    <t>=IF(ISNUMBER($L$6)=FALSE,"",
        IF(ISERROR(VLOOKUP($G19,SantoYusuf!$L$13:$AK$56,AB$4,FALSE))=TRUE,"",
              VLOOKUP($G19,SantoYusuf!$L$13:$AK$56,AB$4,FALSE)))</t>
  </si>
  <si>
    <t>=IF(ISNUMBER($L$6)=FALSE,"",
        IF(ISERROR(VLOOKUP($G19,SantoYusuf!$L$13:$AK$56,AC$4,FALSE))=TRUE,"",
              VLOOKUP($G19,SantoYusuf!$L$13:$AK$56,AC$4,FALSE)))</t>
  </si>
  <si>
    <t>=IF(ISNUMBER($L$6)=FALSE,"",
        IF(ISERROR(VLOOKUP($G19,SantoYusuf!$L$13:$AK$56,AD$4,FALSE))=TRUE,"",
              VLOOKUP($G19,SantoYusuf!$L$13:$AK$56,AD$4,FALSE)))</t>
  </si>
  <si>
    <t>=IF(ISNUMBER($L$6)=FALSE,"",
        IF(ISERROR(VLOOKUP($G19,SantoYusuf!$L$13:$AK$56,AE$4,FALSE))=TRUE,"",
              VLOOKUP($G19,SantoYusuf!$L$13:$AK$56,AE$4,FALSE)))</t>
  </si>
  <si>
    <t>=IF(ISNUMBER($L$6)=FALSE,"",
        IF(ISERROR(VLOOKUP($G19,SantoYusuf!$L$13:$AK$56,AF$4,FALSE))=TRUE,"",
              VLOOKUP($G19,SantoYusuf!$L$13:$AK$56,AF$4,FALSE)))</t>
  </si>
  <si>
    <t>=IF(ISNUMBER($L$6)=FALSE,"",
IF($C20=0,"",VLOOKUP($E20,SantoYusuf!$H$13:$L$56,4,FALSE)))</t>
  </si>
  <si>
    <t>=IF(ISNUMBER($L$6)=FALSE,"",
IF($C20=0,"",VLOOKUP($E20,SantoYusuf!$H$13:$L$56,5,FALSE)))</t>
  </si>
  <si>
    <t>=IF(ISNUMBER($L$6)=FALSE,"",
        IF(ISERROR(VLOOKUP($G20,SantoYusuf!$L$13:$AK$56,I$4,FALSE))=TRUE,"",
              VLOOKUP($G20,SantoYusuf!$L$13:$AK$56,I$4,FALSE)))</t>
  </si>
  <si>
    <t>=IF(ISNUMBER($L$6)=FALSE,"",
        IF(ISERROR(VLOOKUP($G20,SantoYusuf!$L$13:$AK$56,J$4,FALSE))=TRUE,"",
              VLOOKUP($G20,SantoYusuf!$L$13:$AK$56,J$4,FALSE)))</t>
  </si>
  <si>
    <t>=IF(ISNUMBER($L$6)=FALSE,"",
        IF(ISERROR(VLOOKUP($G20,SantoYusuf!$L$13:$AK$56,K$4,FALSE))=TRUE,"",
              VLOOKUP($G20,SantoYusuf!$L$13:$AK$56,K$4,FALSE)))</t>
  </si>
  <si>
    <t>=IF(ISNUMBER($L$6)=FALSE,"",
        IF(ISERROR(VLOOKUP($G20,SantoYusuf!$L$13:$AK$56,L$4,FALSE))=TRUE,"",
              VLOOKUP($G20,SantoYusuf!$L$13:$AK$56,L$4,FALSE)))</t>
  </si>
  <si>
    <t>=IF(ISNUMBER($L$6)=FALSE,"",
        IF(ISERROR(VLOOKUP($G20,SantoYusuf!$L$13:$AK$56,M$4,FALSE))=TRUE,"",
              VLOOKUP($G20,SantoYusuf!$L$13:$AK$56,M$4,FALSE)))</t>
  </si>
  <si>
    <t>=IF(ISNUMBER($L$6)=FALSE,"",
        IF(ISERROR(VLOOKUP($G20,SantoYusuf!$L$13:$AK$56,N$4,FALSE))=TRUE,"",
              VLOOKUP($G20,SantoYusuf!$L$13:$AK$56,N$4,FALSE)))</t>
  </si>
  <si>
    <t>=IF(ISNUMBER($L$6)=FALSE,"",
        IF(ISERROR(VLOOKUP($G20,SantoYusuf!$L$13:$AK$56,O$4,FALSE))=TRUE,"",
              VLOOKUP($G20,SantoYusuf!$L$13:$AK$56,O$4,FALSE)))</t>
  </si>
  <si>
    <t>=IF(ISNUMBER($L$6)=FALSE,"",
        IF(ISERROR(VLOOKUP($G20,SantoYusuf!$L$13:$AK$56,P$4,FALSE))=TRUE,"",
              VLOOKUP($G20,SantoYusuf!$L$13:$AK$56,P$4,FALSE)))</t>
  </si>
  <si>
    <t>=IF(ISNUMBER($L$6)=FALSE,"",
        IF(ISERROR(VLOOKUP($G20,SantoYusuf!$L$13:$AK$56,Q$4,FALSE))=TRUE,"",
              VLOOKUP($G20,SantoYusuf!$L$13:$AK$56,Q$4,FALSE)))</t>
  </si>
  <si>
    <t>=IF(ISNUMBER($L$6)=FALSE,"",
        IF(ISERROR(VLOOKUP($G20,SantoYusuf!$L$13:$AK$56,R$4,FALSE))=TRUE,"",
              VLOOKUP($G20,SantoYusuf!$L$13:$AK$56,R$4,FALSE)))</t>
  </si>
  <si>
    <t>=IF(ISNUMBER($L$6)=FALSE,"",
        IF(ISERROR(VLOOKUP($G20,SantoYusuf!$L$13:$AK$56,S$4,FALSE))=TRUE,"",
              VLOOKUP($G20,SantoYusuf!$L$13:$AK$56,S$4,FALSE)))</t>
  </si>
  <si>
    <t>=IF(ISNUMBER($L$6)=FALSE,"",
        IF(ISERROR(VLOOKUP($G20,SantoYusuf!$L$13:$AK$56,T$4,FALSE))=TRUE,"",
              VLOOKUP($G20,SantoYusuf!$L$13:$AK$56,T$4,FALSE)))</t>
  </si>
  <si>
    <t>=IF(ISNUMBER($L$6)=FALSE,"",
        IF(ISERROR(VLOOKUP($G20,SantoYusuf!$L$13:$AK$56,U$4,FALSE))=TRUE,"",
              VLOOKUP($G20,SantoYusuf!$L$13:$AK$56,U$4,FALSE)))</t>
  </si>
  <si>
    <t>=IF(ISNUMBER($L$6)=FALSE,"",
        IF(ISERROR(VLOOKUP($G20,SantoYusuf!$L$13:$AK$56,V$4,FALSE))=TRUE,"",
              VLOOKUP($G20,SantoYusuf!$L$13:$AK$56,V$4,FALSE)))</t>
  </si>
  <si>
    <t>=IF(ISNUMBER($L$6)=FALSE,"",
        IF(ISERROR(VLOOKUP($G20,SantoYusuf!$L$13:$AK$56,W$4,FALSE))=TRUE,"",
              VLOOKUP($G20,SantoYusuf!$L$13:$AK$56,W$4,FALSE)))</t>
  </si>
  <si>
    <t>=IF(ISNUMBER($L$6)=FALSE,"",
        IF(ISERROR(VLOOKUP($G20,SantoYusuf!$L$13:$AK$56,X$4,FALSE))=TRUE,"",
              VLOOKUP($G20,SantoYusuf!$L$13:$AK$56,X$4,FALSE)))</t>
  </si>
  <si>
    <t>=IF(ISNUMBER($L$6)=FALSE,"",
        IF(ISERROR(VLOOKUP($G20,SantoYusuf!$L$13:$AK$56,Y$4,FALSE))=TRUE,"",
              VLOOKUP($G20,SantoYusuf!$L$13:$AK$56,Y$4,FALSE)))</t>
  </si>
  <si>
    <t>=IF(ISNUMBER($L$6)=FALSE,"",
        IF(ISERROR(VLOOKUP($G20,SantoYusuf!$L$13:$AK$56,Z$4,FALSE))=TRUE,"",
              VLOOKUP($G20,SantoYusuf!$L$13:$AK$56,Z$4,FALSE)))</t>
  </si>
  <si>
    <t>=IF(ISNUMBER($L$6)=FALSE,"",
        IF(ISERROR(VLOOKUP($G20,SantoYusuf!$L$13:$AK$56,AA$4,FALSE))=TRUE,"",
              VLOOKUP($G20,SantoYusuf!$L$13:$AK$56,AA$4,FALSE)))</t>
  </si>
  <si>
    <t>=IF(ISNUMBER($L$6)=FALSE,"",
        IF(ISERROR(VLOOKUP($G20,SantoYusuf!$L$13:$AK$56,AB$4,FALSE))=TRUE,"",
              VLOOKUP($G20,SantoYusuf!$L$13:$AK$56,AB$4,FALSE)))</t>
  </si>
  <si>
    <t>=IF(ISNUMBER($L$6)=FALSE,"",
        IF(ISERROR(VLOOKUP($G20,SantoYusuf!$L$13:$AK$56,AC$4,FALSE))=TRUE,"",
              VLOOKUP($G20,SantoYusuf!$L$13:$AK$56,AC$4,FALSE)))</t>
  </si>
  <si>
    <t>=IF(ISNUMBER($L$6)=FALSE,"",
        IF(ISERROR(VLOOKUP($G20,SantoYusuf!$L$13:$AK$56,AD$4,FALSE))=TRUE,"",
              VLOOKUP($G20,SantoYusuf!$L$13:$AK$56,AD$4,FALSE)))</t>
  </si>
  <si>
    <t>=IF(ISNUMBER($L$6)=FALSE,"",
        IF(ISERROR(VLOOKUP($G20,SantoYusuf!$L$13:$AK$56,AE$4,FALSE))=TRUE,"",
              VLOOKUP($G20,SantoYusuf!$L$13:$AK$56,AE$4,FALSE)))</t>
  </si>
  <si>
    <t>=IF(ISNUMBER($L$6)=FALSE,"",
        IF(ISERROR(VLOOKUP($G20,SantoYusuf!$L$13:$AK$56,AF$4,FALSE))=TRUE,"",
              VLOOKUP($G20,SantoYusuf!$L$13:$AK$56,AF$4,FALSE)))</t>
  </si>
  <si>
    <t>=IF(ISNUMBER($L$6)=FALSE,"",
IF($C21=0,"",VLOOKUP($E21,SantoYusuf!$H$13:$L$56,4,FALSE)))</t>
  </si>
  <si>
    <t>=IF(ISNUMBER($L$6)=FALSE,"",
IF($C21=0,"",VLOOKUP($E21,SantoYusuf!$H$13:$L$56,5,FALSE)))</t>
  </si>
  <si>
    <t>=IF(ISNUMBER($L$6)=FALSE,"",
        IF(ISERROR(VLOOKUP($G21,SantoYusuf!$L$13:$AK$56,I$4,FALSE))=TRUE,"",
              VLOOKUP($G21,SantoYusuf!$L$13:$AK$56,I$4,FALSE)))</t>
  </si>
  <si>
    <t>=IF(ISNUMBER($L$6)=FALSE,"",
        IF(ISERROR(VLOOKUP($G21,SantoYusuf!$L$13:$AK$56,J$4,FALSE))=TRUE,"",
              VLOOKUP($G21,SantoYusuf!$L$13:$AK$56,J$4,FALSE)))</t>
  </si>
  <si>
    <t>=IF(ISNUMBER($L$6)=FALSE,"",
        IF(ISERROR(VLOOKUP($G21,SantoYusuf!$L$13:$AK$56,K$4,FALSE))=TRUE,"",
              VLOOKUP($G21,SantoYusuf!$L$13:$AK$56,K$4,FALSE)))</t>
  </si>
  <si>
    <t>=IF(ISNUMBER($L$6)=FALSE,"",
        IF(ISERROR(VLOOKUP($G21,SantoYusuf!$L$13:$AK$56,L$4,FALSE))=TRUE,"",
              VLOOKUP($G21,SantoYusuf!$L$13:$AK$56,L$4,FALSE)))</t>
  </si>
  <si>
    <t>=IF(ISNUMBER($L$6)=FALSE,"",
        IF(ISERROR(VLOOKUP($G21,SantoYusuf!$L$13:$AK$56,M$4,FALSE))=TRUE,"",
              VLOOKUP($G21,SantoYusuf!$L$13:$AK$56,M$4,FALSE)))</t>
  </si>
  <si>
    <t>=IF(ISNUMBER($L$6)=FALSE,"",
        IF(ISERROR(VLOOKUP($G21,SantoYusuf!$L$13:$AK$56,N$4,FALSE))=TRUE,"",
              VLOOKUP($G21,SantoYusuf!$L$13:$AK$56,N$4,FALSE)))</t>
  </si>
  <si>
    <t>=IF(ISNUMBER($L$6)=FALSE,"",
        IF(ISERROR(VLOOKUP($G21,SantoYusuf!$L$13:$AK$56,O$4,FALSE))=TRUE,"",
              VLOOKUP($G21,SantoYusuf!$L$13:$AK$56,O$4,FALSE)))</t>
  </si>
  <si>
    <t>=IF(ISNUMBER($L$6)=FALSE,"",
        IF(ISERROR(VLOOKUP($G21,SantoYusuf!$L$13:$AK$56,P$4,FALSE))=TRUE,"",
              VLOOKUP($G21,SantoYusuf!$L$13:$AK$56,P$4,FALSE)))</t>
  </si>
  <si>
    <t>=IF(ISNUMBER($L$6)=FALSE,"",
        IF(ISERROR(VLOOKUP($G21,SantoYusuf!$L$13:$AK$56,Q$4,FALSE))=TRUE,"",
              VLOOKUP($G21,SantoYusuf!$L$13:$AK$56,Q$4,FALSE)))</t>
  </si>
  <si>
    <t>=IF(ISNUMBER($L$6)=FALSE,"",
        IF(ISERROR(VLOOKUP($G21,SantoYusuf!$L$13:$AK$56,R$4,FALSE))=TRUE,"",
              VLOOKUP($G21,SantoYusuf!$L$13:$AK$56,R$4,FALSE)))</t>
  </si>
  <si>
    <t>=IF(ISNUMBER($L$6)=FALSE,"",
        IF(ISERROR(VLOOKUP($G21,SantoYusuf!$L$13:$AK$56,S$4,FALSE))=TRUE,"",
              VLOOKUP($G21,SantoYusuf!$L$13:$AK$56,S$4,FALSE)))</t>
  </si>
  <si>
    <t>=IF(ISNUMBER($L$6)=FALSE,"",
        IF(ISERROR(VLOOKUP($G21,SantoYusuf!$L$13:$AK$56,T$4,FALSE))=TRUE,"",
              VLOOKUP($G21,SantoYusuf!$L$13:$AK$56,T$4,FALSE)))</t>
  </si>
  <si>
    <t>=IF(ISNUMBER($L$6)=FALSE,"",
        IF(ISERROR(VLOOKUP($G21,SantoYusuf!$L$13:$AK$56,U$4,FALSE))=TRUE,"",
              VLOOKUP($G21,SantoYusuf!$L$13:$AK$56,U$4,FALSE)))</t>
  </si>
  <si>
    <t>=IF(ISNUMBER($L$6)=FALSE,"",
        IF(ISERROR(VLOOKUP($G21,SantoYusuf!$L$13:$AK$56,V$4,FALSE))=TRUE,"",
              VLOOKUP($G21,SantoYusuf!$L$13:$AK$56,V$4,FALSE)))</t>
  </si>
  <si>
    <t>=IF(ISNUMBER($L$6)=FALSE,"",
        IF(ISERROR(VLOOKUP($G21,SantoYusuf!$L$13:$AK$56,W$4,FALSE))=TRUE,"",
              VLOOKUP($G21,SantoYusuf!$L$13:$AK$56,W$4,FALSE)))</t>
  </si>
  <si>
    <t>=IF(ISNUMBER($L$6)=FALSE,"",
        IF(ISERROR(VLOOKUP($G21,SantoYusuf!$L$13:$AK$56,X$4,FALSE))=TRUE,"",
              VLOOKUP($G21,SantoYusuf!$L$13:$AK$56,X$4,FALSE)))</t>
  </si>
  <si>
    <t>=IF(ISNUMBER($L$6)=FALSE,"",
        IF(ISERROR(VLOOKUP($G21,SantoYusuf!$L$13:$AK$56,Y$4,FALSE))=TRUE,"",
              VLOOKUP($G21,SantoYusuf!$L$13:$AK$56,Y$4,FALSE)))</t>
  </si>
  <si>
    <t>=IF(ISNUMBER($L$6)=FALSE,"",
        IF(ISERROR(VLOOKUP($G21,SantoYusuf!$L$13:$AK$56,Z$4,FALSE))=TRUE,"",
              VLOOKUP($G21,SantoYusuf!$L$13:$AK$56,Z$4,FALSE)))</t>
  </si>
  <si>
    <t>=IF(ISNUMBER($L$6)=FALSE,"",
        IF(ISERROR(VLOOKUP($G21,SantoYusuf!$L$13:$AK$56,AA$4,FALSE))=TRUE,"",
              VLOOKUP($G21,SantoYusuf!$L$13:$AK$56,AA$4,FALSE)))</t>
  </si>
  <si>
    <t>=IF(ISNUMBER($L$6)=FALSE,"",
        IF(ISERROR(VLOOKUP($G21,SantoYusuf!$L$13:$AK$56,AB$4,FALSE))=TRUE,"",
              VLOOKUP($G21,SantoYusuf!$L$13:$AK$56,AB$4,FALSE)))</t>
  </si>
  <si>
    <t>=IF(ISNUMBER($L$6)=FALSE,"",
        IF(ISERROR(VLOOKUP($G21,SantoYusuf!$L$13:$AK$56,AC$4,FALSE))=TRUE,"",
              VLOOKUP($G21,SantoYusuf!$L$13:$AK$56,AC$4,FALSE)))</t>
  </si>
  <si>
    <t>=IF(ISNUMBER($L$6)=FALSE,"",
        IF(ISERROR(VLOOKUP($G21,SantoYusuf!$L$13:$AK$56,AD$4,FALSE))=TRUE,"",
              VLOOKUP($G21,SantoYusuf!$L$13:$AK$56,AD$4,FALSE)))</t>
  </si>
  <si>
    <t>=IF(ISNUMBER($L$6)=FALSE,"",
        IF(ISERROR(VLOOKUP($G21,SantoYusuf!$L$13:$AK$56,AE$4,FALSE))=TRUE,"",
              VLOOKUP($G21,SantoYusuf!$L$13:$AK$56,AE$4,FALSE)))</t>
  </si>
  <si>
    <t>=IF(ISNUMBER($L$6)=FALSE,"",
        IF(ISERROR(VLOOKUP($G21,SantoYusuf!$L$13:$AK$56,AF$4,FALSE))=TRUE,"",
              VLOOKUP($G21,SantoYusuf!$L$13:$AK$56,AF$4,FALSE)))</t>
  </si>
  <si>
    <t>=IF(ISNUMBER($L$6)=FALSE,"",
IF($C22=0,"",VLOOKUP($E22,SantoYusuf!$H$13:$L$56,4,FALSE)))</t>
  </si>
  <si>
    <t>=IF(ISNUMBER($L$6)=FALSE,"",
IF($C22=0,"",VLOOKUP($E22,SantoYusuf!$H$13:$L$56,5,FALSE)))</t>
  </si>
  <si>
    <t>=IF(ISNUMBER($L$6)=FALSE,"",
        IF(ISERROR(VLOOKUP($G22,SantoYusuf!$L$13:$AK$56,I$4,FALSE))=TRUE,"",
              VLOOKUP($G22,SantoYusuf!$L$13:$AK$56,I$4,FALSE)))</t>
  </si>
  <si>
    <t>=IF(ISNUMBER($L$6)=FALSE,"",
        IF(ISERROR(VLOOKUP($G22,SantoYusuf!$L$13:$AK$56,J$4,FALSE))=TRUE,"",
              VLOOKUP($G22,SantoYusuf!$L$13:$AK$56,J$4,FALSE)))</t>
  </si>
  <si>
    <t>=IF(ISNUMBER($L$6)=FALSE,"",
        IF(ISERROR(VLOOKUP($G22,SantoYusuf!$L$13:$AK$56,K$4,FALSE))=TRUE,"",
              VLOOKUP($G22,SantoYusuf!$L$13:$AK$56,K$4,FALSE)))</t>
  </si>
  <si>
    <t>=IF(ISNUMBER($L$6)=FALSE,"",
        IF(ISERROR(VLOOKUP($G22,SantoYusuf!$L$13:$AK$56,L$4,FALSE))=TRUE,"",
              VLOOKUP($G22,SantoYusuf!$L$13:$AK$56,L$4,FALSE)))</t>
  </si>
  <si>
    <t>=IF(ISNUMBER($L$6)=FALSE,"",
        IF(ISERROR(VLOOKUP($G22,SantoYusuf!$L$13:$AK$56,M$4,FALSE))=TRUE,"",
              VLOOKUP($G22,SantoYusuf!$L$13:$AK$56,M$4,FALSE)))</t>
  </si>
  <si>
    <t>=IF(ISNUMBER($L$6)=FALSE,"",
        IF(ISERROR(VLOOKUP($G22,SantoYusuf!$L$13:$AK$56,N$4,FALSE))=TRUE,"",
              VLOOKUP($G22,SantoYusuf!$L$13:$AK$56,N$4,FALSE)))</t>
  </si>
  <si>
    <t>=IF(ISNUMBER($L$6)=FALSE,"",
        IF(ISERROR(VLOOKUP($G22,SantoYusuf!$L$13:$AK$56,O$4,FALSE))=TRUE,"",
              VLOOKUP($G22,SantoYusuf!$L$13:$AK$56,O$4,FALSE)))</t>
  </si>
  <si>
    <t>=IF(ISNUMBER($L$6)=FALSE,"",
        IF(ISERROR(VLOOKUP($G22,SantoYusuf!$L$13:$AK$56,P$4,FALSE))=TRUE,"",
              VLOOKUP($G22,SantoYusuf!$L$13:$AK$56,P$4,FALSE)))</t>
  </si>
  <si>
    <t>=IF(ISNUMBER($L$6)=FALSE,"",
        IF(ISERROR(VLOOKUP($G22,SantoYusuf!$L$13:$AK$56,Q$4,FALSE))=TRUE,"",
              VLOOKUP($G22,SantoYusuf!$L$13:$AK$56,Q$4,FALSE)))</t>
  </si>
  <si>
    <t>=IF(ISNUMBER($L$6)=FALSE,"",
        IF(ISERROR(VLOOKUP($G22,SantoYusuf!$L$13:$AK$56,R$4,FALSE))=TRUE,"",
              VLOOKUP($G22,SantoYusuf!$L$13:$AK$56,R$4,FALSE)))</t>
  </si>
  <si>
    <t>=IF(ISNUMBER($L$6)=FALSE,"",
        IF(ISERROR(VLOOKUP($G22,SantoYusuf!$L$13:$AK$56,S$4,FALSE))=TRUE,"",
              VLOOKUP($G22,SantoYusuf!$L$13:$AK$56,S$4,FALSE)))</t>
  </si>
  <si>
    <t>=IF(ISNUMBER($L$6)=FALSE,"",
        IF(ISERROR(VLOOKUP($G22,SantoYusuf!$L$13:$AK$56,T$4,FALSE))=TRUE,"",
              VLOOKUP($G22,SantoYusuf!$L$13:$AK$56,T$4,FALSE)))</t>
  </si>
  <si>
    <t>=IF(ISNUMBER($L$6)=FALSE,"",
        IF(ISERROR(VLOOKUP($G22,SantoYusuf!$L$13:$AK$56,U$4,FALSE))=TRUE,"",
              VLOOKUP($G22,SantoYusuf!$L$13:$AK$56,U$4,FALSE)))</t>
  </si>
  <si>
    <t>=IF(ISNUMBER($L$6)=FALSE,"",
        IF(ISERROR(VLOOKUP($G22,SantoYusuf!$L$13:$AK$56,V$4,FALSE))=TRUE,"",
              VLOOKUP($G22,SantoYusuf!$L$13:$AK$56,V$4,FALSE)))</t>
  </si>
  <si>
    <t>=IF(ISNUMBER($L$6)=FALSE,"",
        IF(ISERROR(VLOOKUP($G22,SantoYusuf!$L$13:$AK$56,W$4,FALSE))=TRUE,"",
              VLOOKUP($G22,SantoYusuf!$L$13:$AK$56,W$4,FALSE)))</t>
  </si>
  <si>
    <t>=IF(ISNUMBER($L$6)=FALSE,"",
        IF(ISERROR(VLOOKUP($G22,SantoYusuf!$L$13:$AK$56,X$4,FALSE))=TRUE,"",
              VLOOKUP($G22,SantoYusuf!$L$13:$AK$56,X$4,FALSE)))</t>
  </si>
  <si>
    <t>=IF(ISNUMBER($L$6)=FALSE,"",
        IF(ISERROR(VLOOKUP($G22,SantoYusuf!$L$13:$AK$56,Y$4,FALSE))=TRUE,"",
              VLOOKUP($G22,SantoYusuf!$L$13:$AK$56,Y$4,FALSE)))</t>
  </si>
  <si>
    <t>=IF(ISNUMBER($L$6)=FALSE,"",
        IF(ISERROR(VLOOKUP($G22,SantoYusuf!$L$13:$AK$56,Z$4,FALSE))=TRUE,"",
              VLOOKUP($G22,SantoYusuf!$L$13:$AK$56,Z$4,FALSE)))</t>
  </si>
  <si>
    <t>=IF(ISNUMBER($L$6)=FALSE,"",
        IF(ISERROR(VLOOKUP($G22,SantoYusuf!$L$13:$AK$56,AA$4,FALSE))=TRUE,"",
              VLOOKUP($G22,SantoYusuf!$L$13:$AK$56,AA$4,FALSE)))</t>
  </si>
  <si>
    <t>=IF(ISNUMBER($L$6)=FALSE,"",
        IF(ISERROR(VLOOKUP($G22,SantoYusuf!$L$13:$AK$56,AB$4,FALSE))=TRUE,"",
              VLOOKUP($G22,SantoYusuf!$L$13:$AK$56,AB$4,FALSE)))</t>
  </si>
  <si>
    <t>=IF(ISNUMBER($L$6)=FALSE,"",
        IF(ISERROR(VLOOKUP($G22,SantoYusuf!$L$13:$AK$56,AC$4,FALSE))=TRUE,"",
              VLOOKUP($G22,SantoYusuf!$L$13:$AK$56,AC$4,FALSE)))</t>
  </si>
  <si>
    <t>=IF(ISNUMBER($L$6)=FALSE,"",
        IF(ISERROR(VLOOKUP($G22,SantoYusuf!$L$13:$AK$56,AD$4,FALSE))=TRUE,"",
              VLOOKUP($G22,SantoYusuf!$L$13:$AK$56,AD$4,FALSE)))</t>
  </si>
  <si>
    <t>=IF(ISNUMBER($L$6)=FALSE,"",
        IF(ISERROR(VLOOKUP($G22,SantoYusuf!$L$13:$AK$56,AE$4,FALSE))=TRUE,"",
              VLOOKUP($G22,SantoYusuf!$L$13:$AK$56,AE$4,FALSE)))</t>
  </si>
  <si>
    <t>=IF(ISNUMBER($L$6)=FALSE,"",
        IF(ISERROR(VLOOKUP($G22,SantoYusuf!$L$13:$AK$56,AF$4,FALSE))=TRUE,"",
              VLOOKUP($G22,SantoYusuf!$L$13:$AK$56,AF$4,FALSE)))</t>
  </si>
  <si>
    <t>=IF(ISNUMBER($L$6)=FALSE,"",
IF($C23=0,"",VLOOKUP($E23,SantoYusuf!$H$13:$L$56,4,FALSE)))</t>
  </si>
  <si>
    <t>=IF(ISNUMBER($L$6)=FALSE,"",
IF($C23=0,"",VLOOKUP($E23,SantoYusuf!$H$13:$L$56,5,FALSE)))</t>
  </si>
  <si>
    <t>=IF(ISNUMBER($L$6)=FALSE,"",
        IF(ISERROR(VLOOKUP($G23,SantoYusuf!$L$13:$AK$56,I$4,FALSE))=TRUE,"",
              VLOOKUP($G23,SantoYusuf!$L$13:$AK$56,I$4,FALSE)))</t>
  </si>
  <si>
    <t>=IF(ISNUMBER($L$6)=FALSE,"",
        IF(ISERROR(VLOOKUP($G23,SantoYusuf!$L$13:$AK$56,J$4,FALSE))=TRUE,"",
              VLOOKUP($G23,SantoYusuf!$L$13:$AK$56,J$4,FALSE)))</t>
  </si>
  <si>
    <t>=IF(ISNUMBER($L$6)=FALSE,"",
        IF(ISERROR(VLOOKUP($G23,SantoYusuf!$L$13:$AK$56,K$4,FALSE))=TRUE,"",
              VLOOKUP($G23,SantoYusuf!$L$13:$AK$56,K$4,FALSE)))</t>
  </si>
  <si>
    <t>=IF(ISNUMBER($L$6)=FALSE,"",
        IF(ISERROR(VLOOKUP($G23,SantoYusuf!$L$13:$AK$56,L$4,FALSE))=TRUE,"",
              VLOOKUP($G23,SantoYusuf!$L$13:$AK$56,L$4,FALSE)))</t>
  </si>
  <si>
    <t>=IF(ISNUMBER($L$6)=FALSE,"",
        IF(ISERROR(VLOOKUP($G23,SantoYusuf!$L$13:$AK$56,M$4,FALSE))=TRUE,"",
              VLOOKUP($G23,SantoYusuf!$L$13:$AK$56,M$4,FALSE)))</t>
  </si>
  <si>
    <t>=IF(ISNUMBER($L$6)=FALSE,"",
        IF(ISERROR(VLOOKUP($G23,SantoYusuf!$L$13:$AK$56,N$4,FALSE))=TRUE,"",
              VLOOKUP($G23,SantoYusuf!$L$13:$AK$56,N$4,FALSE)))</t>
  </si>
  <si>
    <t>=IF(ISNUMBER($L$6)=FALSE,"",
        IF(ISERROR(VLOOKUP($G23,SantoYusuf!$L$13:$AK$56,O$4,FALSE))=TRUE,"",
              VLOOKUP($G23,SantoYusuf!$L$13:$AK$56,O$4,FALSE)))</t>
  </si>
  <si>
    <t>=IF(ISNUMBER($L$6)=FALSE,"",
        IF(ISERROR(VLOOKUP($G23,SantoYusuf!$L$13:$AK$56,P$4,FALSE))=TRUE,"",
              VLOOKUP($G23,SantoYusuf!$L$13:$AK$56,P$4,FALSE)))</t>
  </si>
  <si>
    <t>=IF(ISNUMBER($L$6)=FALSE,"",
        IF(ISERROR(VLOOKUP($G23,SantoYusuf!$L$13:$AK$56,Q$4,FALSE))=TRUE,"",
              VLOOKUP($G23,SantoYusuf!$L$13:$AK$56,Q$4,FALSE)))</t>
  </si>
  <si>
    <t>=IF(ISNUMBER($L$6)=FALSE,"",
        IF(ISERROR(VLOOKUP($G23,SantoYusuf!$L$13:$AK$56,R$4,FALSE))=TRUE,"",
              VLOOKUP($G23,SantoYusuf!$L$13:$AK$56,R$4,FALSE)))</t>
  </si>
  <si>
    <t>=IF(ISNUMBER($L$6)=FALSE,"",
        IF(ISERROR(VLOOKUP($G23,SantoYusuf!$L$13:$AK$56,S$4,FALSE))=TRUE,"",
              VLOOKUP($G23,SantoYusuf!$L$13:$AK$56,S$4,FALSE)))</t>
  </si>
  <si>
    <t>=IF(ISNUMBER($L$6)=FALSE,"",
        IF(ISERROR(VLOOKUP($G23,SantoYusuf!$L$13:$AK$56,T$4,FALSE))=TRUE,"",
              VLOOKUP($G23,SantoYusuf!$L$13:$AK$56,T$4,FALSE)))</t>
  </si>
  <si>
    <t>=IF(ISNUMBER($L$6)=FALSE,"",
        IF(ISERROR(VLOOKUP($G23,SantoYusuf!$L$13:$AK$56,U$4,FALSE))=TRUE,"",
              VLOOKUP($G23,SantoYusuf!$L$13:$AK$56,U$4,FALSE)))</t>
  </si>
  <si>
    <t>=IF(ISNUMBER($L$6)=FALSE,"",
        IF(ISERROR(VLOOKUP($G23,SantoYusuf!$L$13:$AK$56,V$4,FALSE))=TRUE,"",
              VLOOKUP($G23,SantoYusuf!$L$13:$AK$56,V$4,FALSE)))</t>
  </si>
  <si>
    <t>=IF(ISNUMBER($L$6)=FALSE,"",
        IF(ISERROR(VLOOKUP($G23,SantoYusuf!$L$13:$AK$56,W$4,FALSE))=TRUE,"",
              VLOOKUP($G23,SantoYusuf!$L$13:$AK$56,W$4,FALSE)))</t>
  </si>
  <si>
    <t>=IF(ISNUMBER($L$6)=FALSE,"",
        IF(ISERROR(VLOOKUP($G23,SantoYusuf!$L$13:$AK$56,X$4,FALSE))=TRUE,"",
              VLOOKUP($G23,SantoYusuf!$L$13:$AK$56,X$4,FALSE)))</t>
  </si>
  <si>
    <t>=IF(ISNUMBER($L$6)=FALSE,"",
        IF(ISERROR(VLOOKUP($G23,SantoYusuf!$L$13:$AK$56,Y$4,FALSE))=TRUE,"",
              VLOOKUP($G23,SantoYusuf!$L$13:$AK$56,Y$4,FALSE)))</t>
  </si>
  <si>
    <t>=IF(ISNUMBER($L$6)=FALSE,"",
        IF(ISERROR(VLOOKUP($G23,SantoYusuf!$L$13:$AK$56,Z$4,FALSE))=TRUE,"",
              VLOOKUP($G23,SantoYusuf!$L$13:$AK$56,Z$4,FALSE)))</t>
  </si>
  <si>
    <t>=IF(ISNUMBER($L$6)=FALSE,"",
        IF(ISERROR(VLOOKUP($G23,SantoYusuf!$L$13:$AK$56,AA$4,FALSE))=TRUE,"",
              VLOOKUP($G23,SantoYusuf!$L$13:$AK$56,AA$4,FALSE)))</t>
  </si>
  <si>
    <t>=IF(ISNUMBER($L$6)=FALSE,"",
        IF(ISERROR(VLOOKUP($G23,SantoYusuf!$L$13:$AK$56,AB$4,FALSE))=TRUE,"",
              VLOOKUP($G23,SantoYusuf!$L$13:$AK$56,AB$4,FALSE)))</t>
  </si>
  <si>
    <t>=IF(ISNUMBER($L$6)=FALSE,"",
        IF(ISERROR(VLOOKUP($G23,SantoYusuf!$L$13:$AK$56,AC$4,FALSE))=TRUE,"",
              VLOOKUP($G23,SantoYusuf!$L$13:$AK$56,AC$4,FALSE)))</t>
  </si>
  <si>
    <t>=IF(ISNUMBER($L$6)=FALSE,"",
        IF(ISERROR(VLOOKUP($G23,SantoYusuf!$L$13:$AK$56,AD$4,FALSE))=TRUE,"",
              VLOOKUP($G23,SantoYusuf!$L$13:$AK$56,AD$4,FALSE)))</t>
  </si>
  <si>
    <t>=IF(ISNUMBER($L$6)=FALSE,"",
        IF(ISERROR(VLOOKUP($G23,SantoYusuf!$L$13:$AK$56,AE$4,FALSE))=TRUE,"",
              VLOOKUP($G23,SantoYusuf!$L$13:$AK$56,AE$4,FALSE)))</t>
  </si>
  <si>
    <t>=IF(ISNUMBER($L$6)=FALSE,"",
        IF(ISERROR(VLOOKUP($G23,SantoYusuf!$L$13:$AK$56,AF$4,FALSE))=TRUE,"",
              VLOOKUP($G23,SantoYusuf!$L$13:$AK$56,AF$4,FALSE)))</t>
  </si>
  <si>
    <t>=IF(ISNUMBER($L$6)=FALSE,"",
IF($C24=0,"",VLOOKUP($E24,SantoYusuf!$H$13:$L$56,4,FALSE)))</t>
  </si>
  <si>
    <t>=IF(ISNUMBER($L$6)=FALSE,"",
IF($C24=0,"",VLOOKUP($E24,SantoYusuf!$H$13:$L$56,5,FALSE)))</t>
  </si>
  <si>
    <t>=IF(ISNUMBER($L$6)=FALSE,"",
        IF(ISERROR(VLOOKUP($G24,SantoYusuf!$L$13:$AK$56,I$4,FALSE))=TRUE,"",
              VLOOKUP($G24,SantoYusuf!$L$13:$AK$56,I$4,FALSE)))</t>
  </si>
  <si>
    <t>=IF(ISNUMBER($L$6)=FALSE,"",
        IF(ISERROR(VLOOKUP($G24,SantoYusuf!$L$13:$AK$56,J$4,FALSE))=TRUE,"",
              VLOOKUP($G24,SantoYusuf!$L$13:$AK$56,J$4,FALSE)))</t>
  </si>
  <si>
    <t>=IF(ISNUMBER($L$6)=FALSE,"",
        IF(ISERROR(VLOOKUP($G24,SantoYusuf!$L$13:$AK$56,K$4,FALSE))=TRUE,"",
              VLOOKUP($G24,SantoYusuf!$L$13:$AK$56,K$4,FALSE)))</t>
  </si>
  <si>
    <t>=IF(ISNUMBER($L$6)=FALSE,"",
        IF(ISERROR(VLOOKUP($G24,SantoYusuf!$L$13:$AK$56,L$4,FALSE))=TRUE,"",
              VLOOKUP($G24,SantoYusuf!$L$13:$AK$56,L$4,FALSE)))</t>
  </si>
  <si>
    <t>=IF(ISNUMBER($L$6)=FALSE,"",
        IF(ISERROR(VLOOKUP($G24,SantoYusuf!$L$13:$AK$56,M$4,FALSE))=TRUE,"",
              VLOOKUP($G24,SantoYusuf!$L$13:$AK$56,M$4,FALSE)))</t>
  </si>
  <si>
    <t>=IF(ISNUMBER($L$6)=FALSE,"",
        IF(ISERROR(VLOOKUP($G24,SantoYusuf!$L$13:$AK$56,N$4,FALSE))=TRUE,"",
              VLOOKUP($G24,SantoYusuf!$L$13:$AK$56,N$4,FALSE)))</t>
  </si>
  <si>
    <t>=IF(ISNUMBER($L$6)=FALSE,"",
        IF(ISERROR(VLOOKUP($G24,SantoYusuf!$L$13:$AK$56,O$4,FALSE))=TRUE,"",
              VLOOKUP($G24,SantoYusuf!$L$13:$AK$56,O$4,FALSE)))</t>
  </si>
  <si>
    <t>=IF(ISNUMBER($L$6)=FALSE,"",
        IF(ISERROR(VLOOKUP($G24,SantoYusuf!$L$13:$AK$56,P$4,FALSE))=TRUE,"",
              VLOOKUP($G24,SantoYusuf!$L$13:$AK$56,P$4,FALSE)))</t>
  </si>
  <si>
    <t>=IF(ISNUMBER($L$6)=FALSE,"",
        IF(ISERROR(VLOOKUP($G24,SantoYusuf!$L$13:$AK$56,Q$4,FALSE))=TRUE,"",
              VLOOKUP($G24,SantoYusuf!$L$13:$AK$56,Q$4,FALSE)))</t>
  </si>
  <si>
    <t>=IF(ISNUMBER($L$6)=FALSE,"",
        IF(ISERROR(VLOOKUP($G24,SantoYusuf!$L$13:$AK$56,R$4,FALSE))=TRUE,"",
              VLOOKUP($G24,SantoYusuf!$L$13:$AK$56,R$4,FALSE)))</t>
  </si>
  <si>
    <t>=IF(ISNUMBER($L$6)=FALSE,"",
        IF(ISERROR(VLOOKUP($G24,SantoYusuf!$L$13:$AK$56,S$4,FALSE))=TRUE,"",
              VLOOKUP($G24,SantoYusuf!$L$13:$AK$56,S$4,FALSE)))</t>
  </si>
  <si>
    <t>=IF(ISNUMBER($L$6)=FALSE,"",
        IF(ISERROR(VLOOKUP($G24,SantoYusuf!$L$13:$AK$56,T$4,FALSE))=TRUE,"",
              VLOOKUP($G24,SantoYusuf!$L$13:$AK$56,T$4,FALSE)))</t>
  </si>
  <si>
    <t>=IF(ISNUMBER($L$6)=FALSE,"",
        IF(ISERROR(VLOOKUP($G24,SantoYusuf!$L$13:$AK$56,U$4,FALSE))=TRUE,"",
              VLOOKUP($G24,SantoYusuf!$L$13:$AK$56,U$4,FALSE)))</t>
  </si>
  <si>
    <t>=IF(ISNUMBER($L$6)=FALSE,"",
        IF(ISERROR(VLOOKUP($G24,SantoYusuf!$L$13:$AK$56,V$4,FALSE))=TRUE,"",
              VLOOKUP($G24,SantoYusuf!$L$13:$AK$56,V$4,FALSE)))</t>
  </si>
  <si>
    <t>=IF(ISNUMBER($L$6)=FALSE,"",
        IF(ISERROR(VLOOKUP($G24,SantoYusuf!$L$13:$AK$56,W$4,FALSE))=TRUE,"",
              VLOOKUP($G24,SantoYusuf!$L$13:$AK$56,W$4,FALSE)))</t>
  </si>
  <si>
    <t>=IF(ISNUMBER($L$6)=FALSE,"",
        IF(ISERROR(VLOOKUP($G24,SantoYusuf!$L$13:$AK$56,X$4,FALSE))=TRUE,"",
              VLOOKUP($G24,SantoYusuf!$L$13:$AK$56,X$4,FALSE)))</t>
  </si>
  <si>
    <t>=IF(ISNUMBER($L$6)=FALSE,"",
        IF(ISERROR(VLOOKUP($G24,SantoYusuf!$L$13:$AK$56,Y$4,FALSE))=TRUE,"",
              VLOOKUP($G24,SantoYusuf!$L$13:$AK$56,Y$4,FALSE)))</t>
  </si>
  <si>
    <t>=IF(ISNUMBER($L$6)=FALSE,"",
        IF(ISERROR(VLOOKUP($G24,SantoYusuf!$L$13:$AK$56,Z$4,FALSE))=TRUE,"",
              VLOOKUP($G24,SantoYusuf!$L$13:$AK$56,Z$4,FALSE)))</t>
  </si>
  <si>
    <t>=IF(ISNUMBER($L$6)=FALSE,"",
        IF(ISERROR(VLOOKUP($G24,SantoYusuf!$L$13:$AK$56,AA$4,FALSE))=TRUE,"",
              VLOOKUP($G24,SantoYusuf!$L$13:$AK$56,AA$4,FALSE)))</t>
  </si>
  <si>
    <t>=IF(ISNUMBER($L$6)=FALSE,"",
        IF(ISERROR(VLOOKUP($G24,SantoYusuf!$L$13:$AK$56,AB$4,FALSE))=TRUE,"",
              VLOOKUP($G24,SantoYusuf!$L$13:$AK$56,AB$4,FALSE)))</t>
  </si>
  <si>
    <t>=IF(ISNUMBER($L$6)=FALSE,"",
        IF(ISERROR(VLOOKUP($G24,SantoYusuf!$L$13:$AK$56,AC$4,FALSE))=TRUE,"",
              VLOOKUP($G24,SantoYusuf!$L$13:$AK$56,AC$4,FALSE)))</t>
  </si>
  <si>
    <t>=IF(ISNUMBER($L$6)=FALSE,"",
        IF(ISERROR(VLOOKUP($G24,SantoYusuf!$L$13:$AK$56,AD$4,FALSE))=TRUE,"",
              VLOOKUP($G24,SantoYusuf!$L$13:$AK$56,AD$4,FALSE)))</t>
  </si>
  <si>
    <t>=IF(ISNUMBER($L$6)=FALSE,"",
        IF(ISERROR(VLOOKUP($G24,SantoYusuf!$L$13:$AK$56,AE$4,FALSE))=TRUE,"",
              VLOOKUP($G24,SantoYusuf!$L$13:$AK$56,AE$4,FALSE)))</t>
  </si>
  <si>
    <t>=IF(ISNUMBER($L$6)=FALSE,"",
        IF(ISERROR(VLOOKUP($G24,SantoYusuf!$L$13:$AK$56,AF$4,FALSE))=TRUE,"",
              VLOOKUP($G24,SantoYusuf!$L$13:$AK$56,AF$4,FALSE)))</t>
  </si>
  <si>
    <t>=IF(ISNUMBER($L$6)=FALSE,"",
IF($C25=0,"",VLOOKUP($E25,SantoYusuf!$H$13:$L$56,4,FALSE)))</t>
  </si>
  <si>
    <t>=IF(ISNUMBER($L$6)=FALSE,"",
IF($C25=0,"",VLOOKUP($E25,SantoYusuf!$H$13:$L$56,5,FALSE)))</t>
  </si>
  <si>
    <t>=IF(ISNUMBER($L$6)=FALSE,"",
        IF(ISERROR(VLOOKUP($G25,SantoYusuf!$L$13:$AK$56,I$4,FALSE))=TRUE,"",
              VLOOKUP($G25,SantoYusuf!$L$13:$AK$56,I$4,FALSE)))</t>
  </si>
  <si>
    <t>=IF(ISNUMBER($L$6)=FALSE,"",
        IF(ISERROR(VLOOKUP($G25,SantoYusuf!$L$13:$AK$56,J$4,FALSE))=TRUE,"",
              VLOOKUP($G25,SantoYusuf!$L$13:$AK$56,J$4,FALSE)))</t>
  </si>
  <si>
    <t>=IF(ISNUMBER($L$6)=FALSE,"",
        IF(ISERROR(VLOOKUP($G25,SantoYusuf!$L$13:$AK$56,K$4,FALSE))=TRUE,"",
              VLOOKUP($G25,SantoYusuf!$L$13:$AK$56,K$4,FALSE)))</t>
  </si>
  <si>
    <t>=IF(ISNUMBER($L$6)=FALSE,"",
        IF(ISERROR(VLOOKUP($G25,SantoYusuf!$L$13:$AK$56,L$4,FALSE))=TRUE,"",
              VLOOKUP($G25,SantoYusuf!$L$13:$AK$56,L$4,FALSE)))</t>
  </si>
  <si>
    <t>=IF(ISNUMBER($L$6)=FALSE,"",
        IF(ISERROR(VLOOKUP($G25,SantoYusuf!$L$13:$AK$56,M$4,FALSE))=TRUE,"",
              VLOOKUP($G25,SantoYusuf!$L$13:$AK$56,M$4,FALSE)))</t>
  </si>
  <si>
    <t>=IF(ISNUMBER($L$6)=FALSE,"",
        IF(ISERROR(VLOOKUP($G25,SantoYusuf!$L$13:$AK$56,N$4,FALSE))=TRUE,"",
              VLOOKUP($G25,SantoYusuf!$L$13:$AK$56,N$4,FALSE)))</t>
  </si>
  <si>
    <t>=IF(ISNUMBER($L$6)=FALSE,"",
        IF(ISERROR(VLOOKUP($G25,SantoYusuf!$L$13:$AK$56,O$4,FALSE))=TRUE,"",
              VLOOKUP($G25,SantoYusuf!$L$13:$AK$56,O$4,FALSE)))</t>
  </si>
  <si>
    <t>=IF(ISNUMBER($L$6)=FALSE,"",
        IF(ISERROR(VLOOKUP($G25,SantoYusuf!$L$13:$AK$56,P$4,FALSE))=TRUE,"",
              VLOOKUP($G25,SantoYusuf!$L$13:$AK$56,P$4,FALSE)))</t>
  </si>
  <si>
    <t>=IF(ISNUMBER($L$6)=FALSE,"",
        IF(ISERROR(VLOOKUP($G25,SantoYusuf!$L$13:$AK$56,Q$4,FALSE))=TRUE,"",
              VLOOKUP($G25,SantoYusuf!$L$13:$AK$56,Q$4,FALSE)))</t>
  </si>
  <si>
    <t>=IF(ISNUMBER($L$6)=FALSE,"",
        IF(ISERROR(VLOOKUP($G25,SantoYusuf!$L$13:$AK$56,R$4,FALSE))=TRUE,"",
              VLOOKUP($G25,SantoYusuf!$L$13:$AK$56,R$4,FALSE)))</t>
  </si>
  <si>
    <t>=IF(ISNUMBER($L$6)=FALSE,"",
        IF(ISERROR(VLOOKUP($G25,SantoYusuf!$L$13:$AK$56,S$4,FALSE))=TRUE,"",
              VLOOKUP($G25,SantoYusuf!$L$13:$AK$56,S$4,FALSE)))</t>
  </si>
  <si>
    <t>=IF(ISNUMBER($L$6)=FALSE,"",
        IF(ISERROR(VLOOKUP($G25,SantoYusuf!$L$13:$AK$56,T$4,FALSE))=TRUE,"",
              VLOOKUP($G25,SantoYusuf!$L$13:$AK$56,T$4,FALSE)))</t>
  </si>
  <si>
    <t>=IF(ISNUMBER($L$6)=FALSE,"",
        IF(ISERROR(VLOOKUP($G25,SantoYusuf!$L$13:$AK$56,U$4,FALSE))=TRUE,"",
              VLOOKUP($G25,SantoYusuf!$L$13:$AK$56,U$4,FALSE)))</t>
  </si>
  <si>
    <t>=IF(ISNUMBER($L$6)=FALSE,"",
        IF(ISERROR(VLOOKUP($G25,SantoYusuf!$L$13:$AK$56,V$4,FALSE))=TRUE,"",
              VLOOKUP($G25,SantoYusuf!$L$13:$AK$56,V$4,FALSE)))</t>
  </si>
  <si>
    <t>=IF(ISNUMBER($L$6)=FALSE,"",
        IF(ISERROR(VLOOKUP($G25,SantoYusuf!$L$13:$AK$56,W$4,FALSE))=TRUE,"",
              VLOOKUP($G25,SantoYusuf!$L$13:$AK$56,W$4,FALSE)))</t>
  </si>
  <si>
    <t>=IF(ISNUMBER($L$6)=FALSE,"",
        IF(ISERROR(VLOOKUP($G25,SantoYusuf!$L$13:$AK$56,X$4,FALSE))=TRUE,"",
              VLOOKUP($G25,SantoYusuf!$L$13:$AK$56,X$4,FALSE)))</t>
  </si>
  <si>
    <t>=IF(ISNUMBER($L$6)=FALSE,"",
        IF(ISERROR(VLOOKUP($G25,SantoYusuf!$L$13:$AK$56,Y$4,FALSE))=TRUE,"",
              VLOOKUP($G25,SantoYusuf!$L$13:$AK$56,Y$4,FALSE)))</t>
  </si>
  <si>
    <t>=IF(ISNUMBER($L$6)=FALSE,"",
        IF(ISERROR(VLOOKUP($G25,SantoYusuf!$L$13:$AK$56,Z$4,FALSE))=TRUE,"",
              VLOOKUP($G25,SantoYusuf!$L$13:$AK$56,Z$4,FALSE)))</t>
  </si>
  <si>
    <t>=IF(ISNUMBER($L$6)=FALSE,"",
        IF(ISERROR(VLOOKUP($G25,SantoYusuf!$L$13:$AK$56,AA$4,FALSE))=TRUE,"",
              VLOOKUP($G25,SantoYusuf!$L$13:$AK$56,AA$4,FALSE)))</t>
  </si>
  <si>
    <t>=IF(ISNUMBER($L$6)=FALSE,"",
        IF(ISERROR(VLOOKUP($G25,SantoYusuf!$L$13:$AK$56,AB$4,FALSE))=TRUE,"",
              VLOOKUP($G25,SantoYusuf!$L$13:$AK$56,AB$4,FALSE)))</t>
  </si>
  <si>
    <t>=IF(ISNUMBER($L$6)=FALSE,"",
        IF(ISERROR(VLOOKUP($G25,SantoYusuf!$L$13:$AK$56,AC$4,FALSE))=TRUE,"",
              VLOOKUP($G25,SantoYusuf!$L$13:$AK$56,AC$4,FALSE)))</t>
  </si>
  <si>
    <t>=IF(ISNUMBER($L$6)=FALSE,"",
        IF(ISERROR(VLOOKUP($G25,SantoYusuf!$L$13:$AK$56,AD$4,FALSE))=TRUE,"",
              VLOOKUP($G25,SantoYusuf!$L$13:$AK$56,AD$4,FALSE)))</t>
  </si>
  <si>
    <t>=IF(ISNUMBER($L$6)=FALSE,"",
        IF(ISERROR(VLOOKUP($G25,SantoYusuf!$L$13:$AK$56,AE$4,FALSE))=TRUE,"",
              VLOOKUP($G25,SantoYusuf!$L$13:$AK$56,AE$4,FALSE)))</t>
  </si>
  <si>
    <t>=IF(ISNUMBER($L$6)=FALSE,"",
        IF(ISERROR(VLOOKUP($G25,SantoYusuf!$L$13:$AK$56,AF$4,FALSE))=TRUE,"",
              VLOOKUP($G25,SantoYusuf!$L$13:$AK$56,AF$4,FALSE)))</t>
  </si>
  <si>
    <t>=IF(ISNUMBER($L$6)=FALSE,"",
IF($C26=0,"",VLOOKUP($E26,SantoYusuf!$H$13:$L$56,4,FALSE)))</t>
  </si>
  <si>
    <t>=IF(ISNUMBER($L$6)=FALSE,"",
IF($C26=0,"",VLOOKUP($E26,SantoYusuf!$H$13:$L$56,5,FALSE)))</t>
  </si>
  <si>
    <t>=IF(ISNUMBER($L$6)=FALSE,"",
        IF(ISERROR(VLOOKUP($G26,SantoYusuf!$L$13:$AK$56,I$4,FALSE))=TRUE,"",
              VLOOKUP($G26,SantoYusuf!$L$13:$AK$56,I$4,FALSE)))</t>
  </si>
  <si>
    <t>=IF(ISNUMBER($L$6)=FALSE,"",
        IF(ISERROR(VLOOKUP($G26,SantoYusuf!$L$13:$AK$56,J$4,FALSE))=TRUE,"",
              VLOOKUP($G26,SantoYusuf!$L$13:$AK$56,J$4,FALSE)))</t>
  </si>
  <si>
    <t>=IF(ISNUMBER($L$6)=FALSE,"",
        IF(ISERROR(VLOOKUP($G26,SantoYusuf!$L$13:$AK$56,K$4,FALSE))=TRUE,"",
              VLOOKUP($G26,SantoYusuf!$L$13:$AK$56,K$4,FALSE)))</t>
  </si>
  <si>
    <t>=IF(ISNUMBER($L$6)=FALSE,"",
        IF(ISERROR(VLOOKUP($G26,SantoYusuf!$L$13:$AK$56,L$4,FALSE))=TRUE,"",
              VLOOKUP($G26,SantoYusuf!$L$13:$AK$56,L$4,FALSE)))</t>
  </si>
  <si>
    <t>=IF(ISNUMBER($L$6)=FALSE,"",
        IF(ISERROR(VLOOKUP($G26,SantoYusuf!$L$13:$AK$56,M$4,FALSE))=TRUE,"",
              VLOOKUP($G26,SantoYusuf!$L$13:$AK$56,M$4,FALSE)))</t>
  </si>
  <si>
    <t>=IF(ISNUMBER($L$6)=FALSE,"",
        IF(ISERROR(VLOOKUP($G26,SantoYusuf!$L$13:$AK$56,N$4,FALSE))=TRUE,"",
              VLOOKUP($G26,SantoYusuf!$L$13:$AK$56,N$4,FALSE)))</t>
  </si>
  <si>
    <t>=IF(ISNUMBER($L$6)=FALSE,"",
        IF(ISERROR(VLOOKUP($G26,SantoYusuf!$L$13:$AK$56,O$4,FALSE))=TRUE,"",
              VLOOKUP($G26,SantoYusuf!$L$13:$AK$56,O$4,FALSE)))</t>
  </si>
  <si>
    <t>=IF(ISNUMBER($L$6)=FALSE,"",
        IF(ISERROR(VLOOKUP($G26,SantoYusuf!$L$13:$AK$56,P$4,FALSE))=TRUE,"",
              VLOOKUP($G26,SantoYusuf!$L$13:$AK$56,P$4,FALSE)))</t>
  </si>
  <si>
    <t>=IF(ISNUMBER($L$6)=FALSE,"",
        IF(ISERROR(VLOOKUP($G26,SantoYusuf!$L$13:$AK$56,Q$4,FALSE))=TRUE,"",
              VLOOKUP($G26,SantoYusuf!$L$13:$AK$56,Q$4,FALSE)))</t>
  </si>
  <si>
    <t>=IF(ISNUMBER($L$6)=FALSE,"",
        IF(ISERROR(VLOOKUP($G26,SantoYusuf!$L$13:$AK$56,R$4,FALSE))=TRUE,"",
              VLOOKUP($G26,SantoYusuf!$L$13:$AK$56,R$4,FALSE)))</t>
  </si>
  <si>
    <t>=IF(ISNUMBER($L$6)=FALSE,"",
        IF(ISERROR(VLOOKUP($G26,SantoYusuf!$L$13:$AK$56,S$4,FALSE))=TRUE,"",
              VLOOKUP($G26,SantoYusuf!$L$13:$AK$56,S$4,FALSE)))</t>
  </si>
  <si>
    <t>=IF(ISNUMBER($L$6)=FALSE,"",
        IF(ISERROR(VLOOKUP($G26,SantoYusuf!$L$13:$AK$56,T$4,FALSE))=TRUE,"",
              VLOOKUP($G26,SantoYusuf!$L$13:$AK$56,T$4,FALSE)))</t>
  </si>
  <si>
    <t>=IF(ISNUMBER($L$6)=FALSE,"",
        IF(ISERROR(VLOOKUP($G26,SantoYusuf!$L$13:$AK$56,U$4,FALSE))=TRUE,"",
              VLOOKUP($G26,SantoYusuf!$L$13:$AK$56,U$4,FALSE)))</t>
  </si>
  <si>
    <t>=IF(ISNUMBER($L$6)=FALSE,"",
        IF(ISERROR(VLOOKUP($G26,SantoYusuf!$L$13:$AK$56,V$4,FALSE))=TRUE,"",
              VLOOKUP($G26,SantoYusuf!$L$13:$AK$56,V$4,FALSE)))</t>
  </si>
  <si>
    <t>=IF(ISNUMBER($L$6)=FALSE,"",
        IF(ISERROR(VLOOKUP($G26,SantoYusuf!$L$13:$AK$56,W$4,FALSE))=TRUE,"",
              VLOOKUP($G26,SantoYusuf!$L$13:$AK$56,W$4,FALSE)))</t>
  </si>
  <si>
    <t>=IF(ISNUMBER($L$6)=FALSE,"",
        IF(ISERROR(VLOOKUP($G26,SantoYusuf!$L$13:$AK$56,X$4,FALSE))=TRUE,"",
              VLOOKUP($G26,SantoYusuf!$L$13:$AK$56,X$4,FALSE)))</t>
  </si>
  <si>
    <t>=IF(ISNUMBER($L$6)=FALSE,"",
        IF(ISERROR(VLOOKUP($G26,SantoYusuf!$L$13:$AK$56,Y$4,FALSE))=TRUE,"",
              VLOOKUP($G26,SantoYusuf!$L$13:$AK$56,Y$4,FALSE)))</t>
  </si>
  <si>
    <t>=IF(ISNUMBER($L$6)=FALSE,"",
        IF(ISERROR(VLOOKUP($G26,SantoYusuf!$L$13:$AK$56,Z$4,FALSE))=TRUE,"",
              VLOOKUP($G26,SantoYusuf!$L$13:$AK$56,Z$4,FALSE)))</t>
  </si>
  <si>
    <t>=IF(ISNUMBER($L$6)=FALSE,"",
        IF(ISERROR(VLOOKUP($G26,SantoYusuf!$L$13:$AK$56,AA$4,FALSE))=TRUE,"",
              VLOOKUP($G26,SantoYusuf!$L$13:$AK$56,AA$4,FALSE)))</t>
  </si>
  <si>
    <t>=IF(ISNUMBER($L$6)=FALSE,"",
        IF(ISERROR(VLOOKUP($G26,SantoYusuf!$L$13:$AK$56,AB$4,FALSE))=TRUE,"",
              VLOOKUP($G26,SantoYusuf!$L$13:$AK$56,AB$4,FALSE)))</t>
  </si>
  <si>
    <t>=IF(ISNUMBER($L$6)=FALSE,"",
        IF(ISERROR(VLOOKUP($G26,SantoYusuf!$L$13:$AK$56,AC$4,FALSE))=TRUE,"",
              VLOOKUP($G26,SantoYusuf!$L$13:$AK$56,AC$4,FALSE)))</t>
  </si>
  <si>
    <t>=IF(ISNUMBER($L$6)=FALSE,"",
        IF(ISERROR(VLOOKUP($G26,SantoYusuf!$L$13:$AK$56,AD$4,FALSE))=TRUE,"",
              VLOOKUP($G26,SantoYusuf!$L$13:$AK$56,AD$4,FALSE)))</t>
  </si>
  <si>
    <t>=IF(ISNUMBER($L$6)=FALSE,"",
        IF(ISERROR(VLOOKUP($G26,SantoYusuf!$L$13:$AK$56,AE$4,FALSE))=TRUE,"",
              VLOOKUP($G26,SantoYusuf!$L$13:$AK$56,AE$4,FALSE)))</t>
  </si>
  <si>
    <t>=IF(ISNUMBER($L$6)=FALSE,"",
        IF(ISERROR(VLOOKUP($G26,SantoYusuf!$L$13:$AK$56,AF$4,FALSE))=TRUE,"",
              VLOOKUP($G26,SantoYusuf!$L$13:$AK$56,AF$4,FALSE)))</t>
  </si>
  <si>
    <t>=IF(ISNUMBER($L$6)=FALSE,"",
IF($C27=0,"",VLOOKUP($E27,SantoYusuf!$H$13:$L$56,4,FALSE)))</t>
  </si>
  <si>
    <t>=IF(ISNUMBER($L$6)=FALSE,"",
IF($C27=0,"",VLOOKUP($E27,SantoYusuf!$H$13:$L$56,5,FALSE)))</t>
  </si>
  <si>
    <t>=IF(ISNUMBER($L$6)=FALSE,"",
        IF(ISERROR(VLOOKUP($G27,SantoYusuf!$L$13:$AK$56,I$4,FALSE))=TRUE,"",
              VLOOKUP($G27,SantoYusuf!$L$13:$AK$56,I$4,FALSE)))</t>
  </si>
  <si>
    <t>=IF(ISNUMBER($L$6)=FALSE,"",
        IF(ISERROR(VLOOKUP($G27,SantoYusuf!$L$13:$AK$56,J$4,FALSE))=TRUE,"",
              VLOOKUP($G27,SantoYusuf!$L$13:$AK$56,J$4,FALSE)))</t>
  </si>
  <si>
    <t>=IF(ISNUMBER($L$6)=FALSE,"",
        IF(ISERROR(VLOOKUP($G27,SantoYusuf!$L$13:$AK$56,K$4,FALSE))=TRUE,"",
              VLOOKUP($G27,SantoYusuf!$L$13:$AK$56,K$4,FALSE)))</t>
  </si>
  <si>
    <t>=IF(ISNUMBER($L$6)=FALSE,"",
        IF(ISERROR(VLOOKUP($G27,SantoYusuf!$L$13:$AK$56,L$4,FALSE))=TRUE,"",
              VLOOKUP($G27,SantoYusuf!$L$13:$AK$56,L$4,FALSE)))</t>
  </si>
  <si>
    <t>=IF(ISNUMBER($L$6)=FALSE,"",
        IF(ISERROR(VLOOKUP($G27,SantoYusuf!$L$13:$AK$56,M$4,FALSE))=TRUE,"",
              VLOOKUP($G27,SantoYusuf!$L$13:$AK$56,M$4,FALSE)))</t>
  </si>
  <si>
    <t>=IF(ISNUMBER($L$6)=FALSE,"",
        IF(ISERROR(VLOOKUP($G27,SantoYusuf!$L$13:$AK$56,N$4,FALSE))=TRUE,"",
              VLOOKUP($G27,SantoYusuf!$L$13:$AK$56,N$4,FALSE)))</t>
  </si>
  <si>
    <t>=IF(ISNUMBER($L$6)=FALSE,"",
        IF(ISERROR(VLOOKUP($G27,SantoYusuf!$L$13:$AK$56,O$4,FALSE))=TRUE,"",
              VLOOKUP($G27,SantoYusuf!$L$13:$AK$56,O$4,FALSE)))</t>
  </si>
  <si>
    <t>=IF(ISNUMBER($L$6)=FALSE,"",
        IF(ISERROR(VLOOKUP($G27,SantoYusuf!$L$13:$AK$56,P$4,FALSE))=TRUE,"",
              VLOOKUP($G27,SantoYusuf!$L$13:$AK$56,P$4,FALSE)))</t>
  </si>
  <si>
    <t>=IF(ISNUMBER($L$6)=FALSE,"",
        IF(ISERROR(VLOOKUP($G27,SantoYusuf!$L$13:$AK$56,Q$4,FALSE))=TRUE,"",
              VLOOKUP($G27,SantoYusuf!$L$13:$AK$56,Q$4,FALSE)))</t>
  </si>
  <si>
    <t>=IF(ISNUMBER($L$6)=FALSE,"",
        IF(ISERROR(VLOOKUP($G27,SantoYusuf!$L$13:$AK$56,R$4,FALSE))=TRUE,"",
              VLOOKUP($G27,SantoYusuf!$L$13:$AK$56,R$4,FALSE)))</t>
  </si>
  <si>
    <t>=IF(ISNUMBER($L$6)=FALSE,"",
        IF(ISERROR(VLOOKUP($G27,SantoYusuf!$L$13:$AK$56,S$4,FALSE))=TRUE,"",
              VLOOKUP($G27,SantoYusuf!$L$13:$AK$56,S$4,FALSE)))</t>
  </si>
  <si>
    <t>=IF(ISNUMBER($L$6)=FALSE,"",
        IF(ISERROR(VLOOKUP($G27,SantoYusuf!$L$13:$AK$56,T$4,FALSE))=TRUE,"",
              VLOOKUP($G27,SantoYusuf!$L$13:$AK$56,T$4,FALSE)))</t>
  </si>
  <si>
    <t>=IF(ISNUMBER($L$6)=FALSE,"",
        IF(ISERROR(VLOOKUP($G27,SantoYusuf!$L$13:$AK$56,U$4,FALSE))=TRUE,"",
              VLOOKUP($G27,SantoYusuf!$L$13:$AK$56,U$4,FALSE)))</t>
  </si>
  <si>
    <t>=IF(ISNUMBER($L$6)=FALSE,"",
        IF(ISERROR(VLOOKUP($G27,SantoYusuf!$L$13:$AK$56,V$4,FALSE))=TRUE,"",
              VLOOKUP($G27,SantoYusuf!$L$13:$AK$56,V$4,FALSE)))</t>
  </si>
  <si>
    <t>=IF(ISNUMBER($L$6)=FALSE,"",
        IF(ISERROR(VLOOKUP($G27,SantoYusuf!$L$13:$AK$56,W$4,FALSE))=TRUE,"",
              VLOOKUP($G27,SantoYusuf!$L$13:$AK$56,W$4,FALSE)))</t>
  </si>
  <si>
    <t>=IF(ISNUMBER($L$6)=FALSE,"",
        IF(ISERROR(VLOOKUP($G27,SantoYusuf!$L$13:$AK$56,X$4,FALSE))=TRUE,"",
              VLOOKUP($G27,SantoYusuf!$L$13:$AK$56,X$4,FALSE)))</t>
  </si>
  <si>
    <t>=IF(ISNUMBER($L$6)=FALSE,"",
        IF(ISERROR(VLOOKUP($G27,SantoYusuf!$L$13:$AK$56,Y$4,FALSE))=TRUE,"",
              VLOOKUP($G27,SantoYusuf!$L$13:$AK$56,Y$4,FALSE)))</t>
  </si>
  <si>
    <t>=IF(ISNUMBER($L$6)=FALSE,"",
        IF(ISERROR(VLOOKUP($G27,SantoYusuf!$L$13:$AK$56,Z$4,FALSE))=TRUE,"",
              VLOOKUP($G27,SantoYusuf!$L$13:$AK$56,Z$4,FALSE)))</t>
  </si>
  <si>
    <t>=IF(ISNUMBER($L$6)=FALSE,"",
        IF(ISERROR(VLOOKUP($G27,SantoYusuf!$L$13:$AK$56,AA$4,FALSE))=TRUE,"",
              VLOOKUP($G27,SantoYusuf!$L$13:$AK$56,AA$4,FALSE)))</t>
  </si>
  <si>
    <t>=IF(ISNUMBER($L$6)=FALSE,"",
        IF(ISERROR(VLOOKUP($G27,SantoYusuf!$L$13:$AK$56,AB$4,FALSE))=TRUE,"",
              VLOOKUP($G27,SantoYusuf!$L$13:$AK$56,AB$4,FALSE)))</t>
  </si>
  <si>
    <t>=IF(ISNUMBER($L$6)=FALSE,"",
        IF(ISERROR(VLOOKUP($G27,SantoYusuf!$L$13:$AK$56,AC$4,FALSE))=TRUE,"",
              VLOOKUP($G27,SantoYusuf!$L$13:$AK$56,AC$4,FALSE)))</t>
  </si>
  <si>
    <t>=IF(ISNUMBER($L$6)=FALSE,"",
        IF(ISERROR(VLOOKUP($G27,SantoYusuf!$L$13:$AK$56,AD$4,FALSE))=TRUE,"",
              VLOOKUP($G27,SantoYusuf!$L$13:$AK$56,AD$4,FALSE)))</t>
  </si>
  <si>
    <t>=IF(ISNUMBER($L$6)=FALSE,"",
        IF(ISERROR(VLOOKUP($G27,SantoYusuf!$L$13:$AK$56,AE$4,FALSE))=TRUE,"",
              VLOOKUP($G27,SantoYusuf!$L$13:$AK$56,AE$4,FALSE)))</t>
  </si>
  <si>
    <t>=IF(ISNUMBER($L$6)=FALSE,"",
        IF(ISERROR(VLOOKUP($G27,SantoYusuf!$L$13:$AK$56,AF$4,FALSE))=TRUE,"",
              VLOOKUP($G27,SantoYusuf!$L$13:$AK$56,AF$4,FALSE)))</t>
  </si>
  <si>
    <t>=IF(ISNUMBER($L$6)=FALSE,"",
IF($C28=0,"",VLOOKUP($E28,SantoYusuf!$H$13:$L$56,4,FALSE)))</t>
  </si>
  <si>
    <t>=IF(ISNUMBER($L$6)=FALSE,"",
IF($C28=0,"",VLOOKUP($E28,SantoYusuf!$H$13:$L$56,5,FALSE)))</t>
  </si>
  <si>
    <t>=IF(ISNUMBER($L$6)=FALSE,"",
        IF(ISERROR(VLOOKUP($G28,SantoYusuf!$L$13:$AK$56,I$4,FALSE))=TRUE,"",
              VLOOKUP($G28,SantoYusuf!$L$13:$AK$56,I$4,FALSE)))</t>
  </si>
  <si>
    <t>=IF(ISNUMBER($L$6)=FALSE,"",
        IF(ISERROR(VLOOKUP($G28,SantoYusuf!$L$13:$AK$56,J$4,FALSE))=TRUE,"",
              VLOOKUP($G28,SantoYusuf!$L$13:$AK$56,J$4,FALSE)))</t>
  </si>
  <si>
    <t>=IF(ISNUMBER($L$6)=FALSE,"",
        IF(ISERROR(VLOOKUP($G28,SantoYusuf!$L$13:$AK$56,K$4,FALSE))=TRUE,"",
              VLOOKUP($G28,SantoYusuf!$L$13:$AK$56,K$4,FALSE)))</t>
  </si>
  <si>
    <t>=IF(ISNUMBER($L$6)=FALSE,"",
        IF(ISERROR(VLOOKUP($G28,SantoYusuf!$L$13:$AK$56,L$4,FALSE))=TRUE,"",
              VLOOKUP($G28,SantoYusuf!$L$13:$AK$56,L$4,FALSE)))</t>
  </si>
  <si>
    <t>=IF(ISNUMBER($L$6)=FALSE,"",
        IF(ISERROR(VLOOKUP($G28,SantoYusuf!$L$13:$AK$56,M$4,FALSE))=TRUE,"",
              VLOOKUP($G28,SantoYusuf!$L$13:$AK$56,M$4,FALSE)))</t>
  </si>
  <si>
    <t>=IF(ISNUMBER($L$6)=FALSE,"",
        IF(ISERROR(VLOOKUP($G28,SantoYusuf!$L$13:$AK$56,N$4,FALSE))=TRUE,"",
              VLOOKUP($G28,SantoYusuf!$L$13:$AK$56,N$4,FALSE)))</t>
  </si>
  <si>
    <t>=IF(ISNUMBER($L$6)=FALSE,"",
        IF(ISERROR(VLOOKUP($G28,SantoYusuf!$L$13:$AK$56,O$4,FALSE))=TRUE,"",
              VLOOKUP($G28,SantoYusuf!$L$13:$AK$56,O$4,FALSE)))</t>
  </si>
  <si>
    <t>=IF(ISNUMBER($L$6)=FALSE,"",
        IF(ISERROR(VLOOKUP($G28,SantoYusuf!$L$13:$AK$56,P$4,FALSE))=TRUE,"",
              VLOOKUP($G28,SantoYusuf!$L$13:$AK$56,P$4,FALSE)))</t>
  </si>
  <si>
    <t>=IF(ISNUMBER($L$6)=FALSE,"",
        IF(ISERROR(VLOOKUP($G28,SantoYusuf!$L$13:$AK$56,Q$4,FALSE))=TRUE,"",
              VLOOKUP($G28,SantoYusuf!$L$13:$AK$56,Q$4,FALSE)))</t>
  </si>
  <si>
    <t>=IF(ISNUMBER($L$6)=FALSE,"",
        IF(ISERROR(VLOOKUP($G28,SantoYusuf!$L$13:$AK$56,R$4,FALSE))=TRUE,"",
              VLOOKUP($G28,SantoYusuf!$L$13:$AK$56,R$4,FALSE)))</t>
  </si>
  <si>
    <t>=IF(ISNUMBER($L$6)=FALSE,"",
        IF(ISERROR(VLOOKUP($G28,SantoYusuf!$L$13:$AK$56,S$4,FALSE))=TRUE,"",
              VLOOKUP($G28,SantoYusuf!$L$13:$AK$56,S$4,FALSE)))</t>
  </si>
  <si>
    <t>=IF(ISNUMBER($L$6)=FALSE,"",
        IF(ISERROR(VLOOKUP($G28,SantoYusuf!$L$13:$AK$56,T$4,FALSE))=TRUE,"",
              VLOOKUP($G28,SantoYusuf!$L$13:$AK$56,T$4,FALSE)))</t>
  </si>
  <si>
    <t>=IF(ISNUMBER($L$6)=FALSE,"",
        IF(ISERROR(VLOOKUP($G28,SantoYusuf!$L$13:$AK$56,U$4,FALSE))=TRUE,"",
              VLOOKUP($G28,SantoYusuf!$L$13:$AK$56,U$4,FALSE)))</t>
  </si>
  <si>
    <t>=IF(ISNUMBER($L$6)=FALSE,"",
        IF(ISERROR(VLOOKUP($G28,SantoYusuf!$L$13:$AK$56,V$4,FALSE))=TRUE,"",
              VLOOKUP($G28,SantoYusuf!$L$13:$AK$56,V$4,FALSE)))</t>
  </si>
  <si>
    <t>=IF(ISNUMBER($L$6)=FALSE,"",
        IF(ISERROR(VLOOKUP($G28,SantoYusuf!$L$13:$AK$56,W$4,FALSE))=TRUE,"",
              VLOOKUP($G28,SantoYusuf!$L$13:$AK$56,W$4,FALSE)))</t>
  </si>
  <si>
    <t>=IF(ISNUMBER($L$6)=FALSE,"",
        IF(ISERROR(VLOOKUP($G28,SantoYusuf!$L$13:$AK$56,X$4,FALSE))=TRUE,"",
              VLOOKUP($G28,SantoYusuf!$L$13:$AK$56,X$4,FALSE)))</t>
  </si>
  <si>
    <t>=IF(ISNUMBER($L$6)=FALSE,"",
        IF(ISERROR(VLOOKUP($G28,SantoYusuf!$L$13:$AK$56,Y$4,FALSE))=TRUE,"",
              VLOOKUP($G28,SantoYusuf!$L$13:$AK$56,Y$4,FALSE)))</t>
  </si>
  <si>
    <t>=IF(ISNUMBER($L$6)=FALSE,"",
        IF(ISERROR(VLOOKUP($G28,SantoYusuf!$L$13:$AK$56,Z$4,FALSE))=TRUE,"",
              VLOOKUP($G28,SantoYusuf!$L$13:$AK$56,Z$4,FALSE)))</t>
  </si>
  <si>
    <t>=IF(ISNUMBER($L$6)=FALSE,"",
        IF(ISERROR(VLOOKUP($G28,SantoYusuf!$L$13:$AK$56,AA$4,FALSE))=TRUE,"",
              VLOOKUP($G28,SantoYusuf!$L$13:$AK$56,AA$4,FALSE)))</t>
  </si>
  <si>
    <t>=IF(ISNUMBER($L$6)=FALSE,"",
        IF(ISERROR(VLOOKUP($G28,SantoYusuf!$L$13:$AK$56,AB$4,FALSE))=TRUE,"",
              VLOOKUP($G28,SantoYusuf!$L$13:$AK$56,AB$4,FALSE)))</t>
  </si>
  <si>
    <t>=IF(ISNUMBER($L$6)=FALSE,"",
        IF(ISERROR(VLOOKUP($G28,SantoYusuf!$L$13:$AK$56,AC$4,FALSE))=TRUE,"",
              VLOOKUP($G28,SantoYusuf!$L$13:$AK$56,AC$4,FALSE)))</t>
  </si>
  <si>
    <t>=IF(ISNUMBER($L$6)=FALSE,"",
        IF(ISERROR(VLOOKUP($G28,SantoYusuf!$L$13:$AK$56,AD$4,FALSE))=TRUE,"",
              VLOOKUP($G28,SantoYusuf!$L$13:$AK$56,AD$4,FALSE)))</t>
  </si>
  <si>
    <t>=IF(ISNUMBER($L$6)=FALSE,"",
        IF(ISERROR(VLOOKUP($G28,SantoYusuf!$L$13:$AK$56,AE$4,FALSE))=TRUE,"",
              VLOOKUP($G28,SantoYusuf!$L$13:$AK$56,AE$4,FALSE)))</t>
  </si>
  <si>
    <t>=IF(ISNUMBER($L$6)=FALSE,"",
        IF(ISERROR(VLOOKUP($G28,SantoYusuf!$L$13:$AK$56,AF$4,FALSE))=TRUE,"",
              VLOOKUP($G28,SantoYusuf!$L$13:$AK$56,AF$4,FALSE)))</t>
  </si>
  <si>
    <t>=IF(ISNUMBER($L$6)=FALSE,"",
IF($C29=0,"",VLOOKUP($E29,SantoYusuf!$H$13:$L$56,4,FALSE)))</t>
  </si>
  <si>
    <t>=IF(ISNUMBER($L$6)=FALSE,"",
IF($C29=0,"",VLOOKUP($E29,SantoYusuf!$H$13:$L$56,5,FALSE)))</t>
  </si>
  <si>
    <t>=IF(ISNUMBER($L$6)=FALSE,"",
        IF(ISERROR(VLOOKUP($G29,SantoYusuf!$L$13:$AK$56,I$4,FALSE))=TRUE,"",
              VLOOKUP($G29,SantoYusuf!$L$13:$AK$56,I$4,FALSE)))</t>
  </si>
  <si>
    <t>=IF(ISNUMBER($L$6)=FALSE,"",
        IF(ISERROR(VLOOKUP($G29,SantoYusuf!$L$13:$AK$56,J$4,FALSE))=TRUE,"",
              VLOOKUP($G29,SantoYusuf!$L$13:$AK$56,J$4,FALSE)))</t>
  </si>
  <si>
    <t>=IF(ISNUMBER($L$6)=FALSE,"",
        IF(ISERROR(VLOOKUP($G29,SantoYusuf!$L$13:$AK$56,K$4,FALSE))=TRUE,"",
              VLOOKUP($G29,SantoYusuf!$L$13:$AK$56,K$4,FALSE)))</t>
  </si>
  <si>
    <t>=IF(ISNUMBER($L$6)=FALSE,"",
        IF(ISERROR(VLOOKUP($G29,SantoYusuf!$L$13:$AK$56,L$4,FALSE))=TRUE,"",
              VLOOKUP($G29,SantoYusuf!$L$13:$AK$56,L$4,FALSE)))</t>
  </si>
  <si>
    <t>=IF(ISNUMBER($L$6)=FALSE,"",
        IF(ISERROR(VLOOKUP($G29,SantoYusuf!$L$13:$AK$56,M$4,FALSE))=TRUE,"",
              VLOOKUP($G29,SantoYusuf!$L$13:$AK$56,M$4,FALSE)))</t>
  </si>
  <si>
    <t>=IF(ISNUMBER($L$6)=FALSE,"",
        IF(ISERROR(VLOOKUP($G29,SantoYusuf!$L$13:$AK$56,N$4,FALSE))=TRUE,"",
              VLOOKUP($G29,SantoYusuf!$L$13:$AK$56,N$4,FALSE)))</t>
  </si>
  <si>
    <t>=IF(ISNUMBER($L$6)=FALSE,"",
        IF(ISERROR(VLOOKUP($G29,SantoYusuf!$L$13:$AK$56,O$4,FALSE))=TRUE,"",
              VLOOKUP($G29,SantoYusuf!$L$13:$AK$56,O$4,FALSE)))</t>
  </si>
  <si>
    <t>=IF(ISNUMBER($L$6)=FALSE,"",
        IF(ISERROR(VLOOKUP($G29,SantoYusuf!$L$13:$AK$56,P$4,FALSE))=TRUE,"",
              VLOOKUP($G29,SantoYusuf!$L$13:$AK$56,P$4,FALSE)))</t>
  </si>
  <si>
    <t>=IF(ISNUMBER($L$6)=FALSE,"",
        IF(ISERROR(VLOOKUP($G29,SantoYusuf!$L$13:$AK$56,Q$4,FALSE))=TRUE,"",
              VLOOKUP($G29,SantoYusuf!$L$13:$AK$56,Q$4,FALSE)))</t>
  </si>
  <si>
    <t>=IF(ISNUMBER($L$6)=FALSE,"",
        IF(ISERROR(VLOOKUP($G29,SantoYusuf!$L$13:$AK$56,R$4,FALSE))=TRUE,"",
              VLOOKUP($G29,SantoYusuf!$L$13:$AK$56,R$4,FALSE)))</t>
  </si>
  <si>
    <t>=IF(ISNUMBER($L$6)=FALSE,"",
        IF(ISERROR(VLOOKUP($G29,SantoYusuf!$L$13:$AK$56,S$4,FALSE))=TRUE,"",
              VLOOKUP($G29,SantoYusuf!$L$13:$AK$56,S$4,FALSE)))</t>
  </si>
  <si>
    <t>=IF(ISNUMBER($L$6)=FALSE,"",
        IF(ISERROR(VLOOKUP($G29,SantoYusuf!$L$13:$AK$56,T$4,FALSE))=TRUE,"",
              VLOOKUP($G29,SantoYusuf!$L$13:$AK$56,T$4,FALSE)))</t>
  </si>
  <si>
    <t>=IF(ISNUMBER($L$6)=FALSE,"",
        IF(ISERROR(VLOOKUP($G29,SantoYusuf!$L$13:$AK$56,U$4,FALSE))=TRUE,"",
              VLOOKUP($G29,SantoYusuf!$L$13:$AK$56,U$4,FALSE)))</t>
  </si>
  <si>
    <t>=IF(ISNUMBER($L$6)=FALSE,"",
        IF(ISERROR(VLOOKUP($G29,SantoYusuf!$L$13:$AK$56,V$4,FALSE))=TRUE,"",
              VLOOKUP($G29,SantoYusuf!$L$13:$AK$56,V$4,FALSE)))</t>
  </si>
  <si>
    <t>=IF(ISNUMBER($L$6)=FALSE,"",
        IF(ISERROR(VLOOKUP($G29,SantoYusuf!$L$13:$AK$56,W$4,FALSE))=TRUE,"",
              VLOOKUP($G29,SantoYusuf!$L$13:$AK$56,W$4,FALSE)))</t>
  </si>
  <si>
    <t>=IF(ISNUMBER($L$6)=FALSE,"",
        IF(ISERROR(VLOOKUP($G29,SantoYusuf!$L$13:$AK$56,X$4,FALSE))=TRUE,"",
              VLOOKUP($G29,SantoYusuf!$L$13:$AK$56,X$4,FALSE)))</t>
  </si>
  <si>
    <t>=IF(ISNUMBER($L$6)=FALSE,"",
        IF(ISERROR(VLOOKUP($G29,SantoYusuf!$L$13:$AK$56,Y$4,FALSE))=TRUE,"",
              VLOOKUP($G29,SantoYusuf!$L$13:$AK$56,Y$4,FALSE)))</t>
  </si>
  <si>
    <t>=IF(ISNUMBER($L$6)=FALSE,"",
        IF(ISERROR(VLOOKUP($G29,SantoYusuf!$L$13:$AK$56,Z$4,FALSE))=TRUE,"",
              VLOOKUP($G29,SantoYusuf!$L$13:$AK$56,Z$4,FALSE)))</t>
  </si>
  <si>
    <t>=IF(ISNUMBER($L$6)=FALSE,"",
        IF(ISERROR(VLOOKUP($G29,SantoYusuf!$L$13:$AK$56,AA$4,FALSE))=TRUE,"",
              VLOOKUP($G29,SantoYusuf!$L$13:$AK$56,AA$4,FALSE)))</t>
  </si>
  <si>
    <t>=IF(ISNUMBER($L$6)=FALSE,"",
        IF(ISERROR(VLOOKUP($G29,SantoYusuf!$L$13:$AK$56,AB$4,FALSE))=TRUE,"",
              VLOOKUP($G29,SantoYusuf!$L$13:$AK$56,AB$4,FALSE)))</t>
  </si>
  <si>
    <t>=IF(ISNUMBER($L$6)=FALSE,"",
        IF(ISERROR(VLOOKUP($G29,SantoYusuf!$L$13:$AK$56,AC$4,FALSE))=TRUE,"",
              VLOOKUP($G29,SantoYusuf!$L$13:$AK$56,AC$4,FALSE)))</t>
  </si>
  <si>
    <t>=IF(ISNUMBER($L$6)=FALSE,"",
        IF(ISERROR(VLOOKUP($G29,SantoYusuf!$L$13:$AK$56,AD$4,FALSE))=TRUE,"",
              VLOOKUP($G29,SantoYusuf!$L$13:$AK$56,AD$4,FALSE)))</t>
  </si>
  <si>
    <t>=IF(ISNUMBER($L$6)=FALSE,"",
        IF(ISERROR(VLOOKUP($G29,SantoYusuf!$L$13:$AK$56,AE$4,FALSE))=TRUE,"",
              VLOOKUP($G29,SantoYusuf!$L$13:$AK$56,AE$4,FALSE)))</t>
  </si>
  <si>
    <t>=IF(ISNUMBER($L$6)=FALSE,"",
        IF(ISERROR(VLOOKUP($G29,SantoYusuf!$L$13:$AK$56,AF$4,FALSE))=TRUE,"",
              VLOOKUP($G29,SantoYusuf!$L$13:$AK$56,AF$4,FALSE)))</t>
  </si>
  <si>
    <t>=IF(ISNUMBER($L$6)=FALSE,"",
IF($C30=0,"",VLOOKUP($E30,SantoYusuf!$H$13:$L$56,4,FALSE)))</t>
  </si>
  <si>
    <t>=IF(ISNUMBER($L$6)=FALSE,"",
IF($C30=0,"",VLOOKUP($E30,SantoYusuf!$H$13:$L$56,5,FALSE)))</t>
  </si>
  <si>
    <t>=IF(ISNUMBER($L$6)=FALSE,"",
        IF(ISERROR(VLOOKUP($G30,SantoYusuf!$L$13:$AK$56,I$4,FALSE))=TRUE,"",
              VLOOKUP($G30,SantoYusuf!$L$13:$AK$56,I$4,FALSE)))</t>
  </si>
  <si>
    <t>=IF(ISNUMBER($L$6)=FALSE,"",
        IF(ISERROR(VLOOKUP($G30,SantoYusuf!$L$13:$AK$56,J$4,FALSE))=TRUE,"",
              VLOOKUP($G30,SantoYusuf!$L$13:$AK$56,J$4,FALSE)))</t>
  </si>
  <si>
    <t>=IF(ISNUMBER($L$6)=FALSE,"",
        IF(ISERROR(VLOOKUP($G30,SantoYusuf!$L$13:$AK$56,K$4,FALSE))=TRUE,"",
              VLOOKUP($G30,SantoYusuf!$L$13:$AK$56,K$4,FALSE)))</t>
  </si>
  <si>
    <t>=IF(ISNUMBER($L$6)=FALSE,"",
        IF(ISERROR(VLOOKUP($G30,SantoYusuf!$L$13:$AK$56,L$4,FALSE))=TRUE,"",
              VLOOKUP($G30,SantoYusuf!$L$13:$AK$56,L$4,FALSE)))</t>
  </si>
  <si>
    <t>=IF(ISNUMBER($L$6)=FALSE,"",
        IF(ISERROR(VLOOKUP($G30,SantoYusuf!$L$13:$AK$56,M$4,FALSE))=TRUE,"",
              VLOOKUP($G30,SantoYusuf!$L$13:$AK$56,M$4,FALSE)))</t>
  </si>
  <si>
    <t>=IF(ISNUMBER($L$6)=FALSE,"",
        IF(ISERROR(VLOOKUP($G30,SantoYusuf!$L$13:$AK$56,N$4,FALSE))=TRUE,"",
              VLOOKUP($G30,SantoYusuf!$L$13:$AK$56,N$4,FALSE)))</t>
  </si>
  <si>
    <t>=IF(ISNUMBER($L$6)=FALSE,"",
        IF(ISERROR(VLOOKUP($G30,SantoYusuf!$L$13:$AK$56,O$4,FALSE))=TRUE,"",
              VLOOKUP($G30,SantoYusuf!$L$13:$AK$56,O$4,FALSE)))</t>
  </si>
  <si>
    <t>=IF(ISNUMBER($L$6)=FALSE,"",
        IF(ISERROR(VLOOKUP($G30,SantoYusuf!$L$13:$AK$56,P$4,FALSE))=TRUE,"",
              VLOOKUP($G30,SantoYusuf!$L$13:$AK$56,P$4,FALSE)))</t>
  </si>
  <si>
    <t>=IF(ISNUMBER($L$6)=FALSE,"",
        IF(ISERROR(VLOOKUP($G30,SantoYusuf!$L$13:$AK$56,Q$4,FALSE))=TRUE,"",
              VLOOKUP($G30,SantoYusuf!$L$13:$AK$56,Q$4,FALSE)))</t>
  </si>
  <si>
    <t>=IF(ISNUMBER($L$6)=FALSE,"",
        IF(ISERROR(VLOOKUP($G30,SantoYusuf!$L$13:$AK$56,R$4,FALSE))=TRUE,"",
              VLOOKUP($G30,SantoYusuf!$L$13:$AK$56,R$4,FALSE)))</t>
  </si>
  <si>
    <t>=IF(ISNUMBER($L$6)=FALSE,"",
        IF(ISERROR(VLOOKUP($G30,SantoYusuf!$L$13:$AK$56,S$4,FALSE))=TRUE,"",
              VLOOKUP($G30,SantoYusuf!$L$13:$AK$56,S$4,FALSE)))</t>
  </si>
  <si>
    <t>=IF(ISNUMBER($L$6)=FALSE,"",
        IF(ISERROR(VLOOKUP($G30,SantoYusuf!$L$13:$AK$56,T$4,FALSE))=TRUE,"",
              VLOOKUP($G30,SantoYusuf!$L$13:$AK$56,T$4,FALSE)))</t>
  </si>
  <si>
    <t>=IF(ISNUMBER($L$6)=FALSE,"",
        IF(ISERROR(VLOOKUP($G30,SantoYusuf!$L$13:$AK$56,U$4,FALSE))=TRUE,"",
              VLOOKUP($G30,SantoYusuf!$L$13:$AK$56,U$4,FALSE)))</t>
  </si>
  <si>
    <t>=IF(ISNUMBER($L$6)=FALSE,"",
        IF(ISERROR(VLOOKUP($G30,SantoYusuf!$L$13:$AK$56,V$4,FALSE))=TRUE,"",
              VLOOKUP($G30,SantoYusuf!$L$13:$AK$56,V$4,FALSE)))</t>
  </si>
  <si>
    <t>=IF(ISNUMBER($L$6)=FALSE,"",
        IF(ISERROR(VLOOKUP($G30,SantoYusuf!$L$13:$AK$56,W$4,FALSE))=TRUE,"",
              VLOOKUP($G30,SantoYusuf!$L$13:$AK$56,W$4,FALSE)))</t>
  </si>
  <si>
    <t>=IF(ISNUMBER($L$6)=FALSE,"",
        IF(ISERROR(VLOOKUP($G30,SantoYusuf!$L$13:$AK$56,X$4,FALSE))=TRUE,"",
              VLOOKUP($G30,SantoYusuf!$L$13:$AK$56,X$4,FALSE)))</t>
  </si>
  <si>
    <t>=IF(ISNUMBER($L$6)=FALSE,"",
        IF(ISERROR(VLOOKUP($G30,SantoYusuf!$L$13:$AK$56,Y$4,FALSE))=TRUE,"",
              VLOOKUP($G30,SantoYusuf!$L$13:$AK$56,Y$4,FALSE)))</t>
  </si>
  <si>
    <t>=IF(ISNUMBER($L$6)=FALSE,"",
        IF(ISERROR(VLOOKUP($G30,SantoYusuf!$L$13:$AK$56,Z$4,FALSE))=TRUE,"",
              VLOOKUP($G30,SantoYusuf!$L$13:$AK$56,Z$4,FALSE)))</t>
  </si>
  <si>
    <t>=IF(ISNUMBER($L$6)=FALSE,"",
        IF(ISERROR(VLOOKUP($G30,SantoYusuf!$L$13:$AK$56,AA$4,FALSE))=TRUE,"",
              VLOOKUP($G30,SantoYusuf!$L$13:$AK$56,AA$4,FALSE)))</t>
  </si>
  <si>
    <t>=IF(ISNUMBER($L$6)=FALSE,"",
        IF(ISERROR(VLOOKUP($G30,SantoYusuf!$L$13:$AK$56,AB$4,FALSE))=TRUE,"",
              VLOOKUP($G30,SantoYusuf!$L$13:$AK$56,AB$4,FALSE)))</t>
  </si>
  <si>
    <t>=IF(ISNUMBER($L$6)=FALSE,"",
        IF(ISERROR(VLOOKUP($G30,SantoYusuf!$L$13:$AK$56,AC$4,FALSE))=TRUE,"",
              VLOOKUP($G30,SantoYusuf!$L$13:$AK$56,AC$4,FALSE)))</t>
  </si>
  <si>
    <t>=IF(ISNUMBER($L$6)=FALSE,"",
        IF(ISERROR(VLOOKUP($G30,SantoYusuf!$L$13:$AK$56,AD$4,FALSE))=TRUE,"",
              VLOOKUP($G30,SantoYusuf!$L$13:$AK$56,AD$4,FALSE)))</t>
  </si>
  <si>
    <t>=IF(ISNUMBER($L$6)=FALSE,"",
        IF(ISERROR(VLOOKUP($G30,SantoYusuf!$L$13:$AK$56,AE$4,FALSE))=TRUE,"",
              VLOOKUP($G30,SantoYusuf!$L$13:$AK$56,AE$4,FALSE)))</t>
  </si>
  <si>
    <t>=IF(ISNUMBER($L$6)=FALSE,"",
        IF(ISERROR(VLOOKUP($G30,SantoYusuf!$L$13:$AK$56,AF$4,FALSE))=TRUE,"",
              VLOOKUP($G30,SantoYusuf!$L$13:$AK$56,AF$4,FALSE)))</t>
  </si>
  <si>
    <t>=IF(ISNUMBER($L$6)=FALSE,"",
IF($C31=0,"",VLOOKUP($E31,SantoYusuf!$H$13:$L$56,4,FALSE)))</t>
  </si>
  <si>
    <t>=IF(ISNUMBER($L$6)=FALSE,"",
IF($C31=0,"",VLOOKUP($E31,SantoYusuf!$H$13:$L$56,5,FALSE)))</t>
  </si>
  <si>
    <t>=IF(ISNUMBER($L$6)=FALSE,"",
        IF(ISERROR(VLOOKUP($G31,SantoYusuf!$L$13:$AK$56,I$4,FALSE))=TRUE,"",
              VLOOKUP($G31,SantoYusuf!$L$13:$AK$56,I$4,FALSE)))</t>
  </si>
  <si>
    <t>=IF(ISNUMBER($L$6)=FALSE,"",
        IF(ISERROR(VLOOKUP($G31,SantoYusuf!$L$13:$AK$56,J$4,FALSE))=TRUE,"",
              VLOOKUP($G31,SantoYusuf!$L$13:$AK$56,J$4,FALSE)))</t>
  </si>
  <si>
    <t>=IF(ISNUMBER($L$6)=FALSE,"",
        IF(ISERROR(VLOOKUP($G31,SantoYusuf!$L$13:$AK$56,K$4,FALSE))=TRUE,"",
              VLOOKUP($G31,SantoYusuf!$L$13:$AK$56,K$4,FALSE)))</t>
  </si>
  <si>
    <t>=IF(ISNUMBER($L$6)=FALSE,"",
        IF(ISERROR(VLOOKUP($G31,SantoYusuf!$L$13:$AK$56,L$4,FALSE))=TRUE,"",
              VLOOKUP($G31,SantoYusuf!$L$13:$AK$56,L$4,FALSE)))</t>
  </si>
  <si>
    <t>=IF(ISNUMBER($L$6)=FALSE,"",
        IF(ISERROR(VLOOKUP($G31,SantoYusuf!$L$13:$AK$56,M$4,FALSE))=TRUE,"",
              VLOOKUP($G31,SantoYusuf!$L$13:$AK$56,M$4,FALSE)))</t>
  </si>
  <si>
    <t>=IF(ISNUMBER($L$6)=FALSE,"",
        IF(ISERROR(VLOOKUP($G31,SantoYusuf!$L$13:$AK$56,N$4,FALSE))=TRUE,"",
              VLOOKUP($G31,SantoYusuf!$L$13:$AK$56,N$4,FALSE)))</t>
  </si>
  <si>
    <t>=IF(ISNUMBER($L$6)=FALSE,"",
        IF(ISERROR(VLOOKUP($G31,SantoYusuf!$L$13:$AK$56,O$4,FALSE))=TRUE,"",
              VLOOKUP($G31,SantoYusuf!$L$13:$AK$56,O$4,FALSE)))</t>
  </si>
  <si>
    <t>=IF(ISNUMBER($L$6)=FALSE,"",
        IF(ISERROR(VLOOKUP($G31,SantoYusuf!$L$13:$AK$56,P$4,FALSE))=TRUE,"",
              VLOOKUP($G31,SantoYusuf!$L$13:$AK$56,P$4,FALSE)))</t>
  </si>
  <si>
    <t>=IF(ISNUMBER($L$6)=FALSE,"",
        IF(ISERROR(VLOOKUP($G31,SantoYusuf!$L$13:$AK$56,Q$4,FALSE))=TRUE,"",
              VLOOKUP($G31,SantoYusuf!$L$13:$AK$56,Q$4,FALSE)))</t>
  </si>
  <si>
    <t>=IF(ISNUMBER($L$6)=FALSE,"",
        IF(ISERROR(VLOOKUP($G31,SantoYusuf!$L$13:$AK$56,R$4,FALSE))=TRUE,"",
              VLOOKUP($G31,SantoYusuf!$L$13:$AK$56,R$4,FALSE)))</t>
  </si>
  <si>
    <t>=IF(ISNUMBER($L$6)=FALSE,"",
        IF(ISERROR(VLOOKUP($G31,SantoYusuf!$L$13:$AK$56,S$4,FALSE))=TRUE,"",
              VLOOKUP($G31,SantoYusuf!$L$13:$AK$56,S$4,FALSE)))</t>
  </si>
  <si>
    <t>=IF(ISNUMBER($L$6)=FALSE,"",
        IF(ISERROR(VLOOKUP($G31,SantoYusuf!$L$13:$AK$56,T$4,FALSE))=TRUE,"",
              VLOOKUP($G31,SantoYusuf!$L$13:$AK$56,T$4,FALSE)))</t>
  </si>
  <si>
    <t>=IF(ISNUMBER($L$6)=FALSE,"",
        IF(ISERROR(VLOOKUP($G31,SantoYusuf!$L$13:$AK$56,U$4,FALSE))=TRUE,"",
              VLOOKUP($G31,SantoYusuf!$L$13:$AK$56,U$4,FALSE)))</t>
  </si>
  <si>
    <t>=IF(ISNUMBER($L$6)=FALSE,"",
        IF(ISERROR(VLOOKUP($G31,SantoYusuf!$L$13:$AK$56,V$4,FALSE))=TRUE,"",
              VLOOKUP($G31,SantoYusuf!$L$13:$AK$56,V$4,FALSE)))</t>
  </si>
  <si>
    <t>=IF(ISNUMBER($L$6)=FALSE,"",
        IF(ISERROR(VLOOKUP($G31,SantoYusuf!$L$13:$AK$56,W$4,FALSE))=TRUE,"",
              VLOOKUP($G31,SantoYusuf!$L$13:$AK$56,W$4,FALSE)))</t>
  </si>
  <si>
    <t>=IF(ISNUMBER($L$6)=FALSE,"",
        IF(ISERROR(VLOOKUP($G31,SantoYusuf!$L$13:$AK$56,X$4,FALSE))=TRUE,"",
              VLOOKUP($G31,SantoYusuf!$L$13:$AK$56,X$4,FALSE)))</t>
  </si>
  <si>
    <t>=IF(ISNUMBER($L$6)=FALSE,"",
        IF(ISERROR(VLOOKUP($G31,SantoYusuf!$L$13:$AK$56,Y$4,FALSE))=TRUE,"",
              VLOOKUP($G31,SantoYusuf!$L$13:$AK$56,Y$4,FALSE)))</t>
  </si>
  <si>
    <t>=IF(ISNUMBER($L$6)=FALSE,"",
        IF(ISERROR(VLOOKUP($G31,SantoYusuf!$L$13:$AK$56,Z$4,FALSE))=TRUE,"",
              VLOOKUP($G31,SantoYusuf!$L$13:$AK$56,Z$4,FALSE)))</t>
  </si>
  <si>
    <t>=IF(ISNUMBER($L$6)=FALSE,"",
        IF(ISERROR(VLOOKUP($G31,SantoYusuf!$L$13:$AK$56,AA$4,FALSE))=TRUE,"",
              VLOOKUP($G31,SantoYusuf!$L$13:$AK$56,AA$4,FALSE)))</t>
  </si>
  <si>
    <t>=IF(ISNUMBER($L$6)=FALSE,"",
        IF(ISERROR(VLOOKUP($G31,SantoYusuf!$L$13:$AK$56,AB$4,FALSE))=TRUE,"",
              VLOOKUP($G31,SantoYusuf!$L$13:$AK$56,AB$4,FALSE)))</t>
  </si>
  <si>
    <t>=IF(ISNUMBER($L$6)=FALSE,"",
        IF(ISERROR(VLOOKUP($G31,SantoYusuf!$L$13:$AK$56,AC$4,FALSE))=TRUE,"",
              VLOOKUP($G31,SantoYusuf!$L$13:$AK$56,AC$4,FALSE)))</t>
  </si>
  <si>
    <t>=IF(ISNUMBER($L$6)=FALSE,"",
        IF(ISERROR(VLOOKUP($G31,SantoYusuf!$L$13:$AK$56,AD$4,FALSE))=TRUE,"",
              VLOOKUP($G31,SantoYusuf!$L$13:$AK$56,AD$4,FALSE)))</t>
  </si>
  <si>
    <t>=IF(ISNUMBER($L$6)=FALSE,"",
        IF(ISERROR(VLOOKUP($G31,SantoYusuf!$L$13:$AK$56,AE$4,FALSE))=TRUE,"",
              VLOOKUP($G31,SantoYusuf!$L$13:$AK$56,AE$4,FALSE)))</t>
  </si>
  <si>
    <t>=IF(ISNUMBER($L$6)=FALSE,"",
        IF(ISERROR(VLOOKUP($G31,SantoYusuf!$L$13:$AK$56,AF$4,FALSE))=TRUE,"",
              VLOOKUP($G31,SantoYusuf!$L$13:$AK$56,AF$4,FALSE)))</t>
  </si>
  <si>
    <t>=IF(ISNUMBER($L$6)=FALSE,"",
IF($C32=0,"",VLOOKUP($E32,SantoYusuf!$H$13:$L$56,4,FALSE)))</t>
  </si>
  <si>
    <t>=IF(ISNUMBER($L$6)=FALSE,"",
IF($C32=0,"",VLOOKUP($E32,SantoYusuf!$H$13:$L$56,5,FALSE)))</t>
  </si>
  <si>
    <t>=IF(ISNUMBER($L$6)=FALSE,"",
        IF(ISERROR(VLOOKUP($G32,SantoYusuf!$L$13:$AK$56,I$4,FALSE))=TRUE,"",
              VLOOKUP($G32,SantoYusuf!$L$13:$AK$56,I$4,FALSE)))</t>
  </si>
  <si>
    <t>=IF(ISNUMBER($L$6)=FALSE,"",
        IF(ISERROR(VLOOKUP($G32,SantoYusuf!$L$13:$AK$56,J$4,FALSE))=TRUE,"",
              VLOOKUP($G32,SantoYusuf!$L$13:$AK$56,J$4,FALSE)))</t>
  </si>
  <si>
    <t>=IF(ISNUMBER($L$6)=FALSE,"",
        IF(ISERROR(VLOOKUP($G32,SantoYusuf!$L$13:$AK$56,K$4,FALSE))=TRUE,"",
              VLOOKUP($G32,SantoYusuf!$L$13:$AK$56,K$4,FALSE)))</t>
  </si>
  <si>
    <t>=IF(ISNUMBER($L$6)=FALSE,"",
        IF(ISERROR(VLOOKUP($G32,SantoYusuf!$L$13:$AK$56,L$4,FALSE))=TRUE,"",
              VLOOKUP($G32,SantoYusuf!$L$13:$AK$56,L$4,FALSE)))</t>
  </si>
  <si>
    <t>=IF(ISNUMBER($L$6)=FALSE,"",
        IF(ISERROR(VLOOKUP($G32,SantoYusuf!$L$13:$AK$56,M$4,FALSE))=TRUE,"",
              VLOOKUP($G32,SantoYusuf!$L$13:$AK$56,M$4,FALSE)))</t>
  </si>
  <si>
    <t>=IF(ISNUMBER($L$6)=FALSE,"",
        IF(ISERROR(VLOOKUP($G32,SantoYusuf!$L$13:$AK$56,N$4,FALSE))=TRUE,"",
              VLOOKUP($G32,SantoYusuf!$L$13:$AK$56,N$4,FALSE)))</t>
  </si>
  <si>
    <t>=IF(ISNUMBER($L$6)=FALSE,"",
        IF(ISERROR(VLOOKUP($G32,SantoYusuf!$L$13:$AK$56,O$4,FALSE))=TRUE,"",
              VLOOKUP($G32,SantoYusuf!$L$13:$AK$56,O$4,FALSE)))</t>
  </si>
  <si>
    <t>=IF(ISNUMBER($L$6)=FALSE,"",
        IF(ISERROR(VLOOKUP($G32,SantoYusuf!$L$13:$AK$56,P$4,FALSE))=TRUE,"",
              VLOOKUP($G32,SantoYusuf!$L$13:$AK$56,P$4,FALSE)))</t>
  </si>
  <si>
    <t>=IF(ISNUMBER($L$6)=FALSE,"",
        IF(ISERROR(VLOOKUP($G32,SantoYusuf!$L$13:$AK$56,Q$4,FALSE))=TRUE,"",
              VLOOKUP($G32,SantoYusuf!$L$13:$AK$56,Q$4,FALSE)))</t>
  </si>
  <si>
    <t>=IF(ISNUMBER($L$6)=FALSE,"",
        IF(ISERROR(VLOOKUP($G32,SantoYusuf!$L$13:$AK$56,R$4,FALSE))=TRUE,"",
              VLOOKUP($G32,SantoYusuf!$L$13:$AK$56,R$4,FALSE)))</t>
  </si>
  <si>
    <t>=IF(ISNUMBER($L$6)=FALSE,"",
        IF(ISERROR(VLOOKUP($G32,SantoYusuf!$L$13:$AK$56,S$4,FALSE))=TRUE,"",
              VLOOKUP($G32,SantoYusuf!$L$13:$AK$56,S$4,FALSE)))</t>
  </si>
  <si>
    <t>=IF(ISNUMBER($L$6)=FALSE,"",
        IF(ISERROR(VLOOKUP($G32,SantoYusuf!$L$13:$AK$56,T$4,FALSE))=TRUE,"",
              VLOOKUP($G32,SantoYusuf!$L$13:$AK$56,T$4,FALSE)))</t>
  </si>
  <si>
    <t>=IF(ISNUMBER($L$6)=FALSE,"",
        IF(ISERROR(VLOOKUP($G32,SantoYusuf!$L$13:$AK$56,U$4,FALSE))=TRUE,"",
              VLOOKUP($G32,SantoYusuf!$L$13:$AK$56,U$4,FALSE)))</t>
  </si>
  <si>
    <t>=IF(ISNUMBER($L$6)=FALSE,"",
        IF(ISERROR(VLOOKUP($G32,SantoYusuf!$L$13:$AK$56,V$4,FALSE))=TRUE,"",
              VLOOKUP($G32,SantoYusuf!$L$13:$AK$56,V$4,FALSE)))</t>
  </si>
  <si>
    <t>=IF(ISNUMBER($L$6)=FALSE,"",
        IF(ISERROR(VLOOKUP($G32,SantoYusuf!$L$13:$AK$56,W$4,FALSE))=TRUE,"",
              VLOOKUP($G32,SantoYusuf!$L$13:$AK$56,W$4,FALSE)))</t>
  </si>
  <si>
    <t>=IF(ISNUMBER($L$6)=FALSE,"",
        IF(ISERROR(VLOOKUP($G32,SantoYusuf!$L$13:$AK$56,X$4,FALSE))=TRUE,"",
              VLOOKUP($G32,SantoYusuf!$L$13:$AK$56,X$4,FALSE)))</t>
  </si>
  <si>
    <t>=IF(ISNUMBER($L$6)=FALSE,"",
        IF(ISERROR(VLOOKUP($G32,SantoYusuf!$L$13:$AK$56,Y$4,FALSE))=TRUE,"",
              VLOOKUP($G32,SantoYusuf!$L$13:$AK$56,Y$4,FALSE)))</t>
  </si>
  <si>
    <t>=IF(ISNUMBER($L$6)=FALSE,"",
        IF(ISERROR(VLOOKUP($G32,SantoYusuf!$L$13:$AK$56,Z$4,FALSE))=TRUE,"",
              VLOOKUP($G32,SantoYusuf!$L$13:$AK$56,Z$4,FALSE)))</t>
  </si>
  <si>
    <t>=IF(ISNUMBER($L$6)=FALSE,"",
        IF(ISERROR(VLOOKUP($G32,SantoYusuf!$L$13:$AK$56,AA$4,FALSE))=TRUE,"",
              VLOOKUP($G32,SantoYusuf!$L$13:$AK$56,AA$4,FALSE)))</t>
  </si>
  <si>
    <t>=IF(ISNUMBER($L$6)=FALSE,"",
        IF(ISERROR(VLOOKUP($G32,SantoYusuf!$L$13:$AK$56,AB$4,FALSE))=TRUE,"",
              VLOOKUP($G32,SantoYusuf!$L$13:$AK$56,AB$4,FALSE)))</t>
  </si>
  <si>
    <t>=IF(ISNUMBER($L$6)=FALSE,"",
        IF(ISERROR(VLOOKUP($G32,SantoYusuf!$L$13:$AK$56,AC$4,FALSE))=TRUE,"",
              VLOOKUP($G32,SantoYusuf!$L$13:$AK$56,AC$4,FALSE)))</t>
  </si>
  <si>
    <t>=IF(ISNUMBER($L$6)=FALSE,"",
        IF(ISERROR(VLOOKUP($G32,SantoYusuf!$L$13:$AK$56,AD$4,FALSE))=TRUE,"",
              VLOOKUP($G32,SantoYusuf!$L$13:$AK$56,AD$4,FALSE)))</t>
  </si>
  <si>
    <t>=IF(ISNUMBER($L$6)=FALSE,"",
        IF(ISERROR(VLOOKUP($G32,SantoYusuf!$L$13:$AK$56,AE$4,FALSE))=TRUE,"",
              VLOOKUP($G32,SantoYusuf!$L$13:$AK$56,AE$4,FALSE)))</t>
  </si>
  <si>
    <t>=IF(ISNUMBER($L$6)=FALSE,"",
        IF(ISERROR(VLOOKUP($G32,SantoYusuf!$L$13:$AK$56,AF$4,FALSE))=TRUE,"",
              VLOOKUP($G32,SantoYusuf!$L$13:$AK$56,AF$4,FALSE)))</t>
  </si>
  <si>
    <t>=IF(ISNUMBER($L$6)=FALSE,"",
IF($C33=0,"",VLOOKUP($E33,SantoYusuf!$H$13:$L$56,4,FALSE)))</t>
  </si>
  <si>
    <t>=IF(ISNUMBER($L$6)=FALSE,"",
IF($C33=0,"",VLOOKUP($E33,SantoYusuf!$H$13:$L$56,5,FALSE)))</t>
  </si>
  <si>
    <t>=IF(ISNUMBER($L$6)=FALSE,"",
        IF(ISERROR(VLOOKUP($G33,SantoYusuf!$L$13:$AK$56,I$4,FALSE))=TRUE,"",
              VLOOKUP($G33,SantoYusuf!$L$13:$AK$56,I$4,FALSE)))</t>
  </si>
  <si>
    <t>=IF(ISNUMBER($L$6)=FALSE,"",
        IF(ISERROR(VLOOKUP($G33,SantoYusuf!$L$13:$AK$56,J$4,FALSE))=TRUE,"",
              VLOOKUP($G33,SantoYusuf!$L$13:$AK$56,J$4,FALSE)))</t>
  </si>
  <si>
    <t>=IF(ISNUMBER($L$6)=FALSE,"",
        IF(ISERROR(VLOOKUP($G33,SantoYusuf!$L$13:$AK$56,K$4,FALSE))=TRUE,"",
              VLOOKUP($G33,SantoYusuf!$L$13:$AK$56,K$4,FALSE)))</t>
  </si>
  <si>
    <t>=IF(ISNUMBER($L$6)=FALSE,"",
        IF(ISERROR(VLOOKUP($G33,SantoYusuf!$L$13:$AK$56,L$4,FALSE))=TRUE,"",
              VLOOKUP($G33,SantoYusuf!$L$13:$AK$56,L$4,FALSE)))</t>
  </si>
  <si>
    <t>=IF(ISNUMBER($L$6)=FALSE,"",
        IF(ISERROR(VLOOKUP($G33,SantoYusuf!$L$13:$AK$56,M$4,FALSE))=TRUE,"",
              VLOOKUP($G33,SantoYusuf!$L$13:$AK$56,M$4,FALSE)))</t>
  </si>
  <si>
    <t>=IF(ISNUMBER($L$6)=FALSE,"",
        IF(ISERROR(VLOOKUP($G33,SantoYusuf!$L$13:$AK$56,N$4,FALSE))=TRUE,"",
              VLOOKUP($G33,SantoYusuf!$L$13:$AK$56,N$4,FALSE)))</t>
  </si>
  <si>
    <t>=IF(ISNUMBER($L$6)=FALSE,"",
        IF(ISERROR(VLOOKUP($G33,SantoYusuf!$L$13:$AK$56,O$4,FALSE))=TRUE,"",
              VLOOKUP($G33,SantoYusuf!$L$13:$AK$56,O$4,FALSE)))</t>
  </si>
  <si>
    <t>=IF(ISNUMBER($L$6)=FALSE,"",
        IF(ISERROR(VLOOKUP($G33,SantoYusuf!$L$13:$AK$56,P$4,FALSE))=TRUE,"",
              VLOOKUP($G33,SantoYusuf!$L$13:$AK$56,P$4,FALSE)))</t>
  </si>
  <si>
    <t>=IF(ISNUMBER($L$6)=FALSE,"",
        IF(ISERROR(VLOOKUP($G33,SantoYusuf!$L$13:$AK$56,Q$4,FALSE))=TRUE,"",
              VLOOKUP($G33,SantoYusuf!$L$13:$AK$56,Q$4,FALSE)))</t>
  </si>
  <si>
    <t>=IF(ISNUMBER($L$6)=FALSE,"",
        IF(ISERROR(VLOOKUP($G33,SantoYusuf!$L$13:$AK$56,R$4,FALSE))=TRUE,"",
              VLOOKUP($G33,SantoYusuf!$L$13:$AK$56,R$4,FALSE)))</t>
  </si>
  <si>
    <t>=IF(ISNUMBER($L$6)=FALSE,"",
        IF(ISERROR(VLOOKUP($G33,SantoYusuf!$L$13:$AK$56,S$4,FALSE))=TRUE,"",
              VLOOKUP($G33,SantoYusuf!$L$13:$AK$56,S$4,FALSE)))</t>
  </si>
  <si>
    <t>=IF(ISNUMBER($L$6)=FALSE,"",
        IF(ISERROR(VLOOKUP($G33,SantoYusuf!$L$13:$AK$56,T$4,FALSE))=TRUE,"",
              VLOOKUP($G33,SantoYusuf!$L$13:$AK$56,T$4,FALSE)))</t>
  </si>
  <si>
    <t>=IF(ISNUMBER($L$6)=FALSE,"",
        IF(ISERROR(VLOOKUP($G33,SantoYusuf!$L$13:$AK$56,U$4,FALSE))=TRUE,"",
              VLOOKUP($G33,SantoYusuf!$L$13:$AK$56,U$4,FALSE)))</t>
  </si>
  <si>
    <t>=IF(ISNUMBER($L$6)=FALSE,"",
        IF(ISERROR(VLOOKUP($G33,SantoYusuf!$L$13:$AK$56,V$4,FALSE))=TRUE,"",
              VLOOKUP($G33,SantoYusuf!$L$13:$AK$56,V$4,FALSE)))</t>
  </si>
  <si>
    <t>=IF(ISNUMBER($L$6)=FALSE,"",
        IF(ISERROR(VLOOKUP($G33,SantoYusuf!$L$13:$AK$56,W$4,FALSE))=TRUE,"",
              VLOOKUP($G33,SantoYusuf!$L$13:$AK$56,W$4,FALSE)))</t>
  </si>
  <si>
    <t>=IF(ISNUMBER($L$6)=FALSE,"",
        IF(ISERROR(VLOOKUP($G33,SantoYusuf!$L$13:$AK$56,X$4,FALSE))=TRUE,"",
              VLOOKUP($G33,SantoYusuf!$L$13:$AK$56,X$4,FALSE)))</t>
  </si>
  <si>
    <t>=IF(ISNUMBER($L$6)=FALSE,"",
        IF(ISERROR(VLOOKUP($G33,SantoYusuf!$L$13:$AK$56,Y$4,FALSE))=TRUE,"",
              VLOOKUP($G33,SantoYusuf!$L$13:$AK$56,Y$4,FALSE)))</t>
  </si>
  <si>
    <t>=IF(ISNUMBER($L$6)=FALSE,"",
        IF(ISERROR(VLOOKUP($G33,SantoYusuf!$L$13:$AK$56,Z$4,FALSE))=TRUE,"",
              VLOOKUP($G33,SantoYusuf!$L$13:$AK$56,Z$4,FALSE)))</t>
  </si>
  <si>
    <t>=IF(ISNUMBER($L$6)=FALSE,"",
        IF(ISERROR(VLOOKUP($G33,SantoYusuf!$L$13:$AK$56,AA$4,FALSE))=TRUE,"",
              VLOOKUP($G33,SantoYusuf!$L$13:$AK$56,AA$4,FALSE)))</t>
  </si>
  <si>
    <t>=IF(ISNUMBER($L$6)=FALSE,"",
        IF(ISERROR(VLOOKUP($G33,SantoYusuf!$L$13:$AK$56,AB$4,FALSE))=TRUE,"",
              VLOOKUP($G33,SantoYusuf!$L$13:$AK$56,AB$4,FALSE)))</t>
  </si>
  <si>
    <t>=IF(ISNUMBER($L$6)=FALSE,"",
        IF(ISERROR(VLOOKUP($G33,SantoYusuf!$L$13:$AK$56,AC$4,FALSE))=TRUE,"",
              VLOOKUP($G33,SantoYusuf!$L$13:$AK$56,AC$4,FALSE)))</t>
  </si>
  <si>
    <t>=IF(ISNUMBER($L$6)=FALSE,"",
        IF(ISERROR(VLOOKUP($G33,SantoYusuf!$L$13:$AK$56,AD$4,FALSE))=TRUE,"",
              VLOOKUP($G33,SantoYusuf!$L$13:$AK$56,AD$4,FALSE)))</t>
  </si>
  <si>
    <t>=IF(ISNUMBER($L$6)=FALSE,"",
        IF(ISERROR(VLOOKUP($G33,SantoYusuf!$L$13:$AK$56,AE$4,FALSE))=TRUE,"",
              VLOOKUP($G33,SantoYusuf!$L$13:$AK$56,AE$4,FALSE)))</t>
  </si>
  <si>
    <t>=IF(ISNUMBER($L$6)=FALSE,"",
        IF(ISERROR(VLOOKUP($G33,SantoYusuf!$L$13:$AK$56,AF$4,FALSE))=TRUE,"",
              VLOOKUP($G33,SantoYusuf!$L$13:$AK$56,AF$4,FALSE)))</t>
  </si>
  <si>
    <t>=IF(ISNUMBER($L$6)=FALSE,"",
IF($C34=0,"",VLOOKUP($E34,SantoYusuf!$H$13:$L$56,4,FALSE)))</t>
  </si>
  <si>
    <t>=IF(ISNUMBER($L$6)=FALSE,"",
IF($C34=0,"",VLOOKUP($E34,SantoYusuf!$H$13:$L$56,5,FALSE)))</t>
  </si>
  <si>
    <t>=IF(ISNUMBER($L$6)=FALSE,"",
        IF(ISERROR(VLOOKUP($G34,SantoYusuf!$L$13:$AK$56,I$4,FALSE))=TRUE,"",
              VLOOKUP($G34,SantoYusuf!$L$13:$AK$56,I$4,FALSE)))</t>
  </si>
  <si>
    <t>=IF(ISNUMBER($L$6)=FALSE,"",
        IF(ISERROR(VLOOKUP($G34,SantoYusuf!$L$13:$AK$56,J$4,FALSE))=TRUE,"",
              VLOOKUP($G34,SantoYusuf!$L$13:$AK$56,J$4,FALSE)))</t>
  </si>
  <si>
    <t>=IF(ISNUMBER($L$6)=FALSE,"",
        IF(ISERROR(VLOOKUP($G34,SantoYusuf!$L$13:$AK$56,K$4,FALSE))=TRUE,"",
              VLOOKUP($G34,SantoYusuf!$L$13:$AK$56,K$4,FALSE)))</t>
  </si>
  <si>
    <t>=IF(ISNUMBER($L$6)=FALSE,"",
        IF(ISERROR(VLOOKUP($G34,SantoYusuf!$L$13:$AK$56,L$4,FALSE))=TRUE,"",
              VLOOKUP($G34,SantoYusuf!$L$13:$AK$56,L$4,FALSE)))</t>
  </si>
  <si>
    <t>=IF(ISNUMBER($L$6)=FALSE,"",
        IF(ISERROR(VLOOKUP($G34,SantoYusuf!$L$13:$AK$56,M$4,FALSE))=TRUE,"",
              VLOOKUP($G34,SantoYusuf!$L$13:$AK$56,M$4,FALSE)))</t>
  </si>
  <si>
    <t>=IF(ISNUMBER($L$6)=FALSE,"",
        IF(ISERROR(VLOOKUP($G34,SantoYusuf!$L$13:$AK$56,N$4,FALSE))=TRUE,"",
              VLOOKUP($G34,SantoYusuf!$L$13:$AK$56,N$4,FALSE)))</t>
  </si>
  <si>
    <t>=IF(ISNUMBER($L$6)=FALSE,"",
        IF(ISERROR(VLOOKUP($G34,SantoYusuf!$L$13:$AK$56,O$4,FALSE))=TRUE,"",
              VLOOKUP($G34,SantoYusuf!$L$13:$AK$56,O$4,FALSE)))</t>
  </si>
  <si>
    <t>=IF(ISNUMBER($L$6)=FALSE,"",
        IF(ISERROR(VLOOKUP($G34,SantoYusuf!$L$13:$AK$56,P$4,FALSE))=TRUE,"",
              VLOOKUP($G34,SantoYusuf!$L$13:$AK$56,P$4,FALSE)))</t>
  </si>
  <si>
    <t>=IF(ISNUMBER($L$6)=FALSE,"",
        IF(ISERROR(VLOOKUP($G34,SantoYusuf!$L$13:$AK$56,Q$4,FALSE))=TRUE,"",
              VLOOKUP($G34,SantoYusuf!$L$13:$AK$56,Q$4,FALSE)))</t>
  </si>
  <si>
    <t>=IF(ISNUMBER($L$6)=FALSE,"",
        IF(ISERROR(VLOOKUP($G34,SantoYusuf!$L$13:$AK$56,R$4,FALSE))=TRUE,"",
              VLOOKUP($G34,SantoYusuf!$L$13:$AK$56,R$4,FALSE)))</t>
  </si>
  <si>
    <t>=IF(ISNUMBER($L$6)=FALSE,"",
        IF(ISERROR(VLOOKUP($G34,SantoYusuf!$L$13:$AK$56,S$4,FALSE))=TRUE,"",
              VLOOKUP($G34,SantoYusuf!$L$13:$AK$56,S$4,FALSE)))</t>
  </si>
  <si>
    <t>=IF(ISNUMBER($L$6)=FALSE,"",
        IF(ISERROR(VLOOKUP($G34,SantoYusuf!$L$13:$AK$56,T$4,FALSE))=TRUE,"",
              VLOOKUP($G34,SantoYusuf!$L$13:$AK$56,T$4,FALSE)))</t>
  </si>
  <si>
    <t>=IF(ISNUMBER($L$6)=FALSE,"",
        IF(ISERROR(VLOOKUP($G34,SantoYusuf!$L$13:$AK$56,U$4,FALSE))=TRUE,"",
              VLOOKUP($G34,SantoYusuf!$L$13:$AK$56,U$4,FALSE)))</t>
  </si>
  <si>
    <t>=IF(ISNUMBER($L$6)=FALSE,"",
        IF(ISERROR(VLOOKUP($G34,SantoYusuf!$L$13:$AK$56,V$4,FALSE))=TRUE,"",
              VLOOKUP($G34,SantoYusuf!$L$13:$AK$56,V$4,FALSE)))</t>
  </si>
  <si>
    <t>=IF(ISNUMBER($L$6)=FALSE,"",
        IF(ISERROR(VLOOKUP($G34,SantoYusuf!$L$13:$AK$56,W$4,FALSE))=TRUE,"",
              VLOOKUP($G34,SantoYusuf!$L$13:$AK$56,W$4,FALSE)))</t>
  </si>
  <si>
    <t>=IF(ISNUMBER($L$6)=FALSE,"",
        IF(ISERROR(VLOOKUP($G34,SantoYusuf!$L$13:$AK$56,X$4,FALSE))=TRUE,"",
              VLOOKUP($G34,SantoYusuf!$L$13:$AK$56,X$4,FALSE)))</t>
  </si>
  <si>
    <t>=IF(ISNUMBER($L$6)=FALSE,"",
        IF(ISERROR(VLOOKUP($G34,SantoYusuf!$L$13:$AK$56,Y$4,FALSE))=TRUE,"",
              VLOOKUP($G34,SantoYusuf!$L$13:$AK$56,Y$4,FALSE)))</t>
  </si>
  <si>
    <t>=IF(ISNUMBER($L$6)=FALSE,"",
        IF(ISERROR(VLOOKUP($G34,SantoYusuf!$L$13:$AK$56,Z$4,FALSE))=TRUE,"",
              VLOOKUP($G34,SantoYusuf!$L$13:$AK$56,Z$4,FALSE)))</t>
  </si>
  <si>
    <t>=IF(ISNUMBER($L$6)=FALSE,"",
        IF(ISERROR(VLOOKUP($G34,SantoYusuf!$L$13:$AK$56,AA$4,FALSE))=TRUE,"",
              VLOOKUP($G34,SantoYusuf!$L$13:$AK$56,AA$4,FALSE)))</t>
  </si>
  <si>
    <t>=IF(ISNUMBER($L$6)=FALSE,"",
        IF(ISERROR(VLOOKUP($G34,SantoYusuf!$L$13:$AK$56,AB$4,FALSE))=TRUE,"",
              VLOOKUP($G34,SantoYusuf!$L$13:$AK$56,AB$4,FALSE)))</t>
  </si>
  <si>
    <t>=IF(ISNUMBER($L$6)=FALSE,"",
        IF(ISERROR(VLOOKUP($G34,SantoYusuf!$L$13:$AK$56,AC$4,FALSE))=TRUE,"",
              VLOOKUP($G34,SantoYusuf!$L$13:$AK$56,AC$4,FALSE)))</t>
  </si>
  <si>
    <t>=IF(ISNUMBER($L$6)=FALSE,"",
        IF(ISERROR(VLOOKUP($G34,SantoYusuf!$L$13:$AK$56,AD$4,FALSE))=TRUE,"",
              VLOOKUP($G34,SantoYusuf!$L$13:$AK$56,AD$4,FALSE)))</t>
  </si>
  <si>
    <t>=IF(ISNUMBER($L$6)=FALSE,"",
        IF(ISERROR(VLOOKUP($G34,SantoYusuf!$L$13:$AK$56,AE$4,FALSE))=TRUE,"",
              VLOOKUP($G34,SantoYusuf!$L$13:$AK$56,AE$4,FALSE)))</t>
  </si>
  <si>
    <t>=IF(ISNUMBER($L$6)=FALSE,"",
        IF(ISERROR(VLOOKUP($G34,SantoYusuf!$L$13:$AK$56,AF$4,FALSE))=TRUE,"",
              VLOOKUP($G34,SantoYusuf!$L$13:$AK$56,AF$4,FALSE)))</t>
  </si>
  <si>
    <t>=IF(ISNUMBER($L$6)=FALSE,"",
IF($C35=0,"",VLOOKUP($E35,SantoYusuf!$H$13:$L$56,4,FALSE)))</t>
  </si>
  <si>
    <t>=IF(ISNUMBER($L$6)=FALSE,"",
IF($C35=0,"",VLOOKUP($E35,SantoYusuf!$H$13:$L$56,5,FALSE)))</t>
  </si>
  <si>
    <t>=IF(ISNUMBER($L$6)=FALSE,"",
        IF(ISERROR(VLOOKUP($G35,SantoYusuf!$L$13:$AK$56,I$4,FALSE))=TRUE,"",
              VLOOKUP($G35,SantoYusuf!$L$13:$AK$56,I$4,FALSE)))</t>
  </si>
  <si>
    <t>=IF(ISNUMBER($L$6)=FALSE,"",
        IF(ISERROR(VLOOKUP($G35,SantoYusuf!$L$13:$AK$56,J$4,FALSE))=TRUE,"",
              VLOOKUP($G35,SantoYusuf!$L$13:$AK$56,J$4,FALSE)))</t>
  </si>
  <si>
    <t>=IF(ISNUMBER($L$6)=FALSE,"",
        IF(ISERROR(VLOOKUP($G35,SantoYusuf!$L$13:$AK$56,K$4,FALSE))=TRUE,"",
              VLOOKUP($G35,SantoYusuf!$L$13:$AK$56,K$4,FALSE)))</t>
  </si>
  <si>
    <t>=IF(ISNUMBER($L$6)=FALSE,"",
        IF(ISERROR(VLOOKUP($G35,SantoYusuf!$L$13:$AK$56,L$4,FALSE))=TRUE,"",
              VLOOKUP($G35,SantoYusuf!$L$13:$AK$56,L$4,FALSE)))</t>
  </si>
  <si>
    <t>=IF(ISNUMBER($L$6)=FALSE,"",
        IF(ISERROR(VLOOKUP($G35,SantoYusuf!$L$13:$AK$56,M$4,FALSE))=TRUE,"",
              VLOOKUP($G35,SantoYusuf!$L$13:$AK$56,M$4,FALSE)))</t>
  </si>
  <si>
    <t>=IF(ISNUMBER($L$6)=FALSE,"",
        IF(ISERROR(VLOOKUP($G35,SantoYusuf!$L$13:$AK$56,N$4,FALSE))=TRUE,"",
              VLOOKUP($G35,SantoYusuf!$L$13:$AK$56,N$4,FALSE)))</t>
  </si>
  <si>
    <t>=IF(ISNUMBER($L$6)=FALSE,"",
        IF(ISERROR(VLOOKUP($G35,SantoYusuf!$L$13:$AK$56,O$4,FALSE))=TRUE,"",
              VLOOKUP($G35,SantoYusuf!$L$13:$AK$56,O$4,FALSE)))</t>
  </si>
  <si>
    <t>=IF(ISNUMBER($L$6)=FALSE,"",
        IF(ISERROR(VLOOKUP($G35,SantoYusuf!$L$13:$AK$56,P$4,FALSE))=TRUE,"",
              VLOOKUP($G35,SantoYusuf!$L$13:$AK$56,P$4,FALSE)))</t>
  </si>
  <si>
    <t>=IF(ISNUMBER($L$6)=FALSE,"",
        IF(ISERROR(VLOOKUP($G35,SantoYusuf!$L$13:$AK$56,Q$4,FALSE))=TRUE,"",
              VLOOKUP($G35,SantoYusuf!$L$13:$AK$56,Q$4,FALSE)))</t>
  </si>
  <si>
    <t>=IF(ISNUMBER($L$6)=FALSE,"",
        IF(ISERROR(VLOOKUP($G35,SantoYusuf!$L$13:$AK$56,R$4,FALSE))=TRUE,"",
              VLOOKUP($G35,SantoYusuf!$L$13:$AK$56,R$4,FALSE)))</t>
  </si>
  <si>
    <t>=IF(ISNUMBER($L$6)=FALSE,"",
        IF(ISERROR(VLOOKUP($G35,SantoYusuf!$L$13:$AK$56,S$4,FALSE))=TRUE,"",
              VLOOKUP($G35,SantoYusuf!$L$13:$AK$56,S$4,FALSE)))</t>
  </si>
  <si>
    <t>=IF(ISNUMBER($L$6)=FALSE,"",
        IF(ISERROR(VLOOKUP($G35,SantoYusuf!$L$13:$AK$56,T$4,FALSE))=TRUE,"",
              VLOOKUP($G35,SantoYusuf!$L$13:$AK$56,T$4,FALSE)))</t>
  </si>
  <si>
    <t>=IF(ISNUMBER($L$6)=FALSE,"",
        IF(ISERROR(VLOOKUP($G35,SantoYusuf!$L$13:$AK$56,U$4,FALSE))=TRUE,"",
              VLOOKUP($G35,SantoYusuf!$L$13:$AK$56,U$4,FALSE)))</t>
  </si>
  <si>
    <t>=IF(ISNUMBER($L$6)=FALSE,"",
        IF(ISERROR(VLOOKUP($G35,SantoYusuf!$L$13:$AK$56,V$4,FALSE))=TRUE,"",
              VLOOKUP($G35,SantoYusuf!$L$13:$AK$56,V$4,FALSE)))</t>
  </si>
  <si>
    <t>=IF(ISNUMBER($L$6)=FALSE,"",
        IF(ISERROR(VLOOKUP($G35,SantoYusuf!$L$13:$AK$56,W$4,FALSE))=TRUE,"",
              VLOOKUP($G35,SantoYusuf!$L$13:$AK$56,W$4,FALSE)))</t>
  </si>
  <si>
    <t>=IF(ISNUMBER($L$6)=FALSE,"",
        IF(ISERROR(VLOOKUP($G35,SantoYusuf!$L$13:$AK$56,X$4,FALSE))=TRUE,"",
              VLOOKUP($G35,SantoYusuf!$L$13:$AK$56,X$4,FALSE)))</t>
  </si>
  <si>
    <t>=IF(ISNUMBER($L$6)=FALSE,"",
        IF(ISERROR(VLOOKUP($G35,SantoYusuf!$L$13:$AK$56,Y$4,FALSE))=TRUE,"",
              VLOOKUP($G35,SantoYusuf!$L$13:$AK$56,Y$4,FALSE)))</t>
  </si>
  <si>
    <t>=IF(ISNUMBER($L$6)=FALSE,"",
        IF(ISERROR(VLOOKUP($G35,SantoYusuf!$L$13:$AK$56,Z$4,FALSE))=TRUE,"",
              VLOOKUP($G35,SantoYusuf!$L$13:$AK$56,Z$4,FALSE)))</t>
  </si>
  <si>
    <t>=IF(ISNUMBER($L$6)=FALSE,"",
        IF(ISERROR(VLOOKUP($G35,SantoYusuf!$L$13:$AK$56,AA$4,FALSE))=TRUE,"",
              VLOOKUP($G35,SantoYusuf!$L$13:$AK$56,AA$4,FALSE)))</t>
  </si>
  <si>
    <t>=IF(ISNUMBER($L$6)=FALSE,"",
        IF(ISERROR(VLOOKUP($G35,SantoYusuf!$L$13:$AK$56,AB$4,FALSE))=TRUE,"",
              VLOOKUP($G35,SantoYusuf!$L$13:$AK$56,AB$4,FALSE)))</t>
  </si>
  <si>
    <t>=IF(ISNUMBER($L$6)=FALSE,"",
        IF(ISERROR(VLOOKUP($G35,SantoYusuf!$L$13:$AK$56,AC$4,FALSE))=TRUE,"",
              VLOOKUP($G35,SantoYusuf!$L$13:$AK$56,AC$4,FALSE)))</t>
  </si>
  <si>
    <t>=IF(ISNUMBER($L$6)=FALSE,"",
        IF(ISERROR(VLOOKUP($G35,SantoYusuf!$L$13:$AK$56,AD$4,FALSE))=TRUE,"",
              VLOOKUP($G35,SantoYusuf!$L$13:$AK$56,AD$4,FALSE)))</t>
  </si>
  <si>
    <t>=IF(ISNUMBER($L$6)=FALSE,"",
        IF(ISERROR(VLOOKUP($G35,SantoYusuf!$L$13:$AK$56,AE$4,FALSE))=TRUE,"",
              VLOOKUP($G35,SantoYusuf!$L$13:$AK$56,AE$4,FALSE)))</t>
  </si>
  <si>
    <t>=IF(ISNUMBER($L$6)=FALSE,"",
        IF(ISERROR(VLOOKUP($G35,SantoYusuf!$L$13:$AK$56,AF$4,FALSE))=TRUE,"",
              VLOOKUP($G35,SantoYusuf!$L$13:$AK$56,AF$4,FALSE)))</t>
  </si>
  <si>
    <t>=IF(ISNUMBER($L$6)=FALSE,"",
IF($C36=0,"",VLOOKUP($E36,SantoYusuf!$H$13:$L$56,4,FALSE)))</t>
  </si>
  <si>
    <t>=IF(ISNUMBER($L$6)=FALSE,"",
IF($C36=0,"",VLOOKUP($E36,SantoYusuf!$H$13:$L$56,5,FALSE)))</t>
  </si>
  <si>
    <t>=IF(ISNUMBER($L$6)=FALSE,"",
        IF(ISERROR(VLOOKUP($G36,SantoYusuf!$L$13:$AK$56,I$4,FALSE))=TRUE,"",
              VLOOKUP($G36,SantoYusuf!$L$13:$AK$56,I$4,FALSE)))</t>
  </si>
  <si>
    <t>=IF(ISNUMBER($L$6)=FALSE,"",
        IF(ISERROR(VLOOKUP($G36,SantoYusuf!$L$13:$AK$56,J$4,FALSE))=TRUE,"",
              VLOOKUP($G36,SantoYusuf!$L$13:$AK$56,J$4,FALSE)))</t>
  </si>
  <si>
    <t>=IF(ISNUMBER($L$6)=FALSE,"",
        IF(ISERROR(VLOOKUP($G36,SantoYusuf!$L$13:$AK$56,K$4,FALSE))=TRUE,"",
              VLOOKUP($G36,SantoYusuf!$L$13:$AK$56,K$4,FALSE)))</t>
  </si>
  <si>
    <t>=IF(ISNUMBER($L$6)=FALSE,"",
        IF(ISERROR(VLOOKUP($G36,SantoYusuf!$L$13:$AK$56,L$4,FALSE))=TRUE,"",
              VLOOKUP($G36,SantoYusuf!$L$13:$AK$56,L$4,FALSE)))</t>
  </si>
  <si>
    <t>=IF(ISNUMBER($L$6)=FALSE,"",
        IF(ISERROR(VLOOKUP($G36,SantoYusuf!$L$13:$AK$56,M$4,FALSE))=TRUE,"",
              VLOOKUP($G36,SantoYusuf!$L$13:$AK$56,M$4,FALSE)))</t>
  </si>
  <si>
    <t>=IF(ISNUMBER($L$6)=FALSE,"",
        IF(ISERROR(VLOOKUP($G36,SantoYusuf!$L$13:$AK$56,N$4,FALSE))=TRUE,"",
              VLOOKUP($G36,SantoYusuf!$L$13:$AK$56,N$4,FALSE)))</t>
  </si>
  <si>
    <t>=IF(ISNUMBER($L$6)=FALSE,"",
        IF(ISERROR(VLOOKUP($G36,SantoYusuf!$L$13:$AK$56,O$4,FALSE))=TRUE,"",
              VLOOKUP($G36,SantoYusuf!$L$13:$AK$56,O$4,FALSE)))</t>
  </si>
  <si>
    <t>=IF(ISNUMBER($L$6)=FALSE,"",
        IF(ISERROR(VLOOKUP($G36,SantoYusuf!$L$13:$AK$56,P$4,FALSE))=TRUE,"",
              VLOOKUP($G36,SantoYusuf!$L$13:$AK$56,P$4,FALSE)))</t>
  </si>
  <si>
    <t>=IF(ISNUMBER($L$6)=FALSE,"",
        IF(ISERROR(VLOOKUP($G36,SantoYusuf!$L$13:$AK$56,Q$4,FALSE))=TRUE,"",
              VLOOKUP($G36,SantoYusuf!$L$13:$AK$56,Q$4,FALSE)))</t>
  </si>
  <si>
    <t>=IF(ISNUMBER($L$6)=FALSE,"",
        IF(ISERROR(VLOOKUP($G36,SantoYusuf!$L$13:$AK$56,R$4,FALSE))=TRUE,"",
              VLOOKUP($G36,SantoYusuf!$L$13:$AK$56,R$4,FALSE)))</t>
  </si>
  <si>
    <t>=IF(ISNUMBER($L$6)=FALSE,"",
        IF(ISERROR(VLOOKUP($G36,SantoYusuf!$L$13:$AK$56,S$4,FALSE))=TRUE,"",
              VLOOKUP($G36,SantoYusuf!$L$13:$AK$56,S$4,FALSE)))</t>
  </si>
  <si>
    <t>=IF(ISNUMBER($L$6)=FALSE,"",
        IF(ISERROR(VLOOKUP($G36,SantoYusuf!$L$13:$AK$56,T$4,FALSE))=TRUE,"",
              VLOOKUP($G36,SantoYusuf!$L$13:$AK$56,T$4,FALSE)))</t>
  </si>
  <si>
    <t>=IF(ISNUMBER($L$6)=FALSE,"",
        IF(ISERROR(VLOOKUP($G36,SantoYusuf!$L$13:$AK$56,U$4,FALSE))=TRUE,"",
              VLOOKUP($G36,SantoYusuf!$L$13:$AK$56,U$4,FALSE)))</t>
  </si>
  <si>
    <t>=IF(ISNUMBER($L$6)=FALSE,"",
        IF(ISERROR(VLOOKUP($G36,SantoYusuf!$L$13:$AK$56,V$4,FALSE))=TRUE,"",
              VLOOKUP($G36,SantoYusuf!$L$13:$AK$56,V$4,FALSE)))</t>
  </si>
  <si>
    <t>=IF(ISNUMBER($L$6)=FALSE,"",
        IF(ISERROR(VLOOKUP($G36,SantoYusuf!$L$13:$AK$56,W$4,FALSE))=TRUE,"",
              VLOOKUP($G36,SantoYusuf!$L$13:$AK$56,W$4,FALSE)))</t>
  </si>
  <si>
    <t>=IF(ISNUMBER($L$6)=FALSE,"",
        IF(ISERROR(VLOOKUP($G36,SantoYusuf!$L$13:$AK$56,X$4,FALSE))=TRUE,"",
              VLOOKUP($G36,SantoYusuf!$L$13:$AK$56,X$4,FALSE)))</t>
  </si>
  <si>
    <t>=IF(ISNUMBER($L$6)=FALSE,"",
        IF(ISERROR(VLOOKUP($G36,SantoYusuf!$L$13:$AK$56,Y$4,FALSE))=TRUE,"",
              VLOOKUP($G36,SantoYusuf!$L$13:$AK$56,Y$4,FALSE)))</t>
  </si>
  <si>
    <t>=IF(ISNUMBER($L$6)=FALSE,"",
        IF(ISERROR(VLOOKUP($G36,SantoYusuf!$L$13:$AK$56,Z$4,FALSE))=TRUE,"",
              VLOOKUP($G36,SantoYusuf!$L$13:$AK$56,Z$4,FALSE)))</t>
  </si>
  <si>
    <t>=IF(ISNUMBER($L$6)=FALSE,"",
        IF(ISERROR(VLOOKUP($G36,SantoYusuf!$L$13:$AK$56,AA$4,FALSE))=TRUE,"",
              VLOOKUP($G36,SantoYusuf!$L$13:$AK$56,AA$4,FALSE)))</t>
  </si>
  <si>
    <t>=IF(ISNUMBER($L$6)=FALSE,"",
        IF(ISERROR(VLOOKUP($G36,SantoYusuf!$L$13:$AK$56,AB$4,FALSE))=TRUE,"",
              VLOOKUP($G36,SantoYusuf!$L$13:$AK$56,AB$4,FALSE)))</t>
  </si>
  <si>
    <t>=IF(ISNUMBER($L$6)=FALSE,"",
        IF(ISERROR(VLOOKUP($G36,SantoYusuf!$L$13:$AK$56,AC$4,FALSE))=TRUE,"",
              VLOOKUP($G36,SantoYusuf!$L$13:$AK$56,AC$4,FALSE)))</t>
  </si>
  <si>
    <t>=IF(ISNUMBER($L$6)=FALSE,"",
        IF(ISERROR(VLOOKUP($G36,SantoYusuf!$L$13:$AK$56,AD$4,FALSE))=TRUE,"",
              VLOOKUP($G36,SantoYusuf!$L$13:$AK$56,AD$4,FALSE)))</t>
  </si>
  <si>
    <t>=IF(ISNUMBER($L$6)=FALSE,"",
        IF(ISERROR(VLOOKUP($G36,SantoYusuf!$L$13:$AK$56,AE$4,FALSE))=TRUE,"",
              VLOOKUP($G36,SantoYusuf!$L$13:$AK$56,AE$4,FALSE)))</t>
  </si>
  <si>
    <t>=IF(ISNUMBER($L$6)=FALSE,"",
        IF(ISERROR(VLOOKUP($G36,SantoYusuf!$L$13:$AK$56,AF$4,FALSE))=TRUE,"",
              VLOOKUP($G36,SantoYusuf!$L$13:$AK$56,AF$4,FALSE)))</t>
  </si>
  <si>
    <t>=IF(ISNUMBER($L$6)=FALSE,"",
IF($C37=0,"",VLOOKUP($E37,SantoYusuf!$H$13:$L$56,4,FALSE)))</t>
  </si>
  <si>
    <t>=IF(ISNUMBER($L$6)=FALSE,"",
IF($C37=0,"",VLOOKUP($E37,SantoYusuf!$H$13:$L$56,5,FALSE)))</t>
  </si>
  <si>
    <t>=IF(ISNUMBER($L$6)=FALSE,"",
        IF(ISERROR(VLOOKUP($G37,SantoYusuf!$L$13:$AK$56,I$4,FALSE))=TRUE,"",
              VLOOKUP($G37,SantoYusuf!$L$13:$AK$56,I$4,FALSE)))</t>
  </si>
  <si>
    <t>=IF(ISNUMBER($L$6)=FALSE,"",
        IF(ISERROR(VLOOKUP($G37,SantoYusuf!$L$13:$AK$56,J$4,FALSE))=TRUE,"",
              VLOOKUP($G37,SantoYusuf!$L$13:$AK$56,J$4,FALSE)))</t>
  </si>
  <si>
    <t>=IF(ISNUMBER($L$6)=FALSE,"",
        IF(ISERROR(VLOOKUP($G37,SantoYusuf!$L$13:$AK$56,K$4,FALSE))=TRUE,"",
              VLOOKUP($G37,SantoYusuf!$L$13:$AK$56,K$4,FALSE)))</t>
  </si>
  <si>
    <t>=IF(ISNUMBER($L$6)=FALSE,"",
        IF(ISERROR(VLOOKUP($G37,SantoYusuf!$L$13:$AK$56,L$4,FALSE))=TRUE,"",
              VLOOKUP($G37,SantoYusuf!$L$13:$AK$56,L$4,FALSE)))</t>
  </si>
  <si>
    <t>=IF(ISNUMBER($L$6)=FALSE,"",
        IF(ISERROR(VLOOKUP($G37,SantoYusuf!$L$13:$AK$56,M$4,FALSE))=TRUE,"",
              VLOOKUP($G37,SantoYusuf!$L$13:$AK$56,M$4,FALSE)))</t>
  </si>
  <si>
    <t>=IF(ISNUMBER($L$6)=FALSE,"",
        IF(ISERROR(VLOOKUP($G37,SantoYusuf!$L$13:$AK$56,N$4,FALSE))=TRUE,"",
              VLOOKUP($G37,SantoYusuf!$L$13:$AK$56,N$4,FALSE)))</t>
  </si>
  <si>
    <t>=IF(ISNUMBER($L$6)=FALSE,"",
        IF(ISERROR(VLOOKUP($G37,SantoYusuf!$L$13:$AK$56,O$4,FALSE))=TRUE,"",
              VLOOKUP($G37,SantoYusuf!$L$13:$AK$56,O$4,FALSE)))</t>
  </si>
  <si>
    <t>=IF(ISNUMBER($L$6)=FALSE,"",
        IF(ISERROR(VLOOKUP($G37,SantoYusuf!$L$13:$AK$56,P$4,FALSE))=TRUE,"",
              VLOOKUP($G37,SantoYusuf!$L$13:$AK$56,P$4,FALSE)))</t>
  </si>
  <si>
    <t>=IF(ISNUMBER($L$6)=FALSE,"",
        IF(ISERROR(VLOOKUP($G37,SantoYusuf!$L$13:$AK$56,Q$4,FALSE))=TRUE,"",
              VLOOKUP($G37,SantoYusuf!$L$13:$AK$56,Q$4,FALSE)))</t>
  </si>
  <si>
    <t>=IF(ISNUMBER($L$6)=FALSE,"",
        IF(ISERROR(VLOOKUP($G37,SantoYusuf!$L$13:$AK$56,R$4,FALSE))=TRUE,"",
              VLOOKUP($G37,SantoYusuf!$L$13:$AK$56,R$4,FALSE)))</t>
  </si>
  <si>
    <t>=IF(ISNUMBER($L$6)=FALSE,"",
        IF(ISERROR(VLOOKUP($G37,SantoYusuf!$L$13:$AK$56,S$4,FALSE))=TRUE,"",
              VLOOKUP($G37,SantoYusuf!$L$13:$AK$56,S$4,FALSE)))</t>
  </si>
  <si>
    <t>=IF(ISNUMBER($L$6)=FALSE,"",
        IF(ISERROR(VLOOKUP($G37,SantoYusuf!$L$13:$AK$56,T$4,FALSE))=TRUE,"",
              VLOOKUP($G37,SantoYusuf!$L$13:$AK$56,T$4,FALSE)))</t>
  </si>
  <si>
    <t>=IF(ISNUMBER($L$6)=FALSE,"",
        IF(ISERROR(VLOOKUP($G37,SantoYusuf!$L$13:$AK$56,U$4,FALSE))=TRUE,"",
              VLOOKUP($G37,SantoYusuf!$L$13:$AK$56,U$4,FALSE)))</t>
  </si>
  <si>
    <t>=IF(ISNUMBER($L$6)=FALSE,"",
        IF(ISERROR(VLOOKUP($G37,SantoYusuf!$L$13:$AK$56,V$4,FALSE))=TRUE,"",
              VLOOKUP($G37,SantoYusuf!$L$13:$AK$56,V$4,FALSE)))</t>
  </si>
  <si>
    <t>=IF(ISNUMBER($L$6)=FALSE,"",
        IF(ISERROR(VLOOKUP($G37,SantoYusuf!$L$13:$AK$56,W$4,FALSE))=TRUE,"",
              VLOOKUP($G37,SantoYusuf!$L$13:$AK$56,W$4,FALSE)))</t>
  </si>
  <si>
    <t>=IF(ISNUMBER($L$6)=FALSE,"",
        IF(ISERROR(VLOOKUP($G37,SantoYusuf!$L$13:$AK$56,X$4,FALSE))=TRUE,"",
              VLOOKUP($G37,SantoYusuf!$L$13:$AK$56,X$4,FALSE)))</t>
  </si>
  <si>
    <t>=IF(ISNUMBER($L$6)=FALSE,"",
        IF(ISERROR(VLOOKUP($G37,SantoYusuf!$L$13:$AK$56,Y$4,FALSE))=TRUE,"",
              VLOOKUP($G37,SantoYusuf!$L$13:$AK$56,Y$4,FALSE)))</t>
  </si>
  <si>
    <t>=IF(ISNUMBER($L$6)=FALSE,"",
        IF(ISERROR(VLOOKUP($G37,SantoYusuf!$L$13:$AK$56,Z$4,FALSE))=TRUE,"",
              VLOOKUP($G37,SantoYusuf!$L$13:$AK$56,Z$4,FALSE)))</t>
  </si>
  <si>
    <t>=IF(ISNUMBER($L$6)=FALSE,"",
        IF(ISERROR(VLOOKUP($G37,SantoYusuf!$L$13:$AK$56,AA$4,FALSE))=TRUE,"",
              VLOOKUP($G37,SantoYusuf!$L$13:$AK$56,AA$4,FALSE)))</t>
  </si>
  <si>
    <t>=IF(ISNUMBER($L$6)=FALSE,"",
        IF(ISERROR(VLOOKUP($G37,SantoYusuf!$L$13:$AK$56,AB$4,FALSE))=TRUE,"",
              VLOOKUP($G37,SantoYusuf!$L$13:$AK$56,AB$4,FALSE)))</t>
  </si>
  <si>
    <t>=IF(ISNUMBER($L$6)=FALSE,"",
        IF(ISERROR(VLOOKUP($G37,SantoYusuf!$L$13:$AK$56,AC$4,FALSE))=TRUE,"",
              VLOOKUP($G37,SantoYusuf!$L$13:$AK$56,AC$4,FALSE)))</t>
  </si>
  <si>
    <t>=IF(ISNUMBER($L$6)=FALSE,"",
        IF(ISERROR(VLOOKUP($G37,SantoYusuf!$L$13:$AK$56,AD$4,FALSE))=TRUE,"",
              VLOOKUP($G37,SantoYusuf!$L$13:$AK$56,AD$4,FALSE)))</t>
  </si>
  <si>
    <t>=IF(ISNUMBER($L$6)=FALSE,"",
        IF(ISERROR(VLOOKUP($G37,SantoYusuf!$L$13:$AK$56,AE$4,FALSE))=TRUE,"",
              VLOOKUP($G37,SantoYusuf!$L$13:$AK$56,AE$4,FALSE)))</t>
  </si>
  <si>
    <t>=IF(ISNUMBER($L$6)=FALSE,"",
        IF(ISERROR(VLOOKUP($G37,SantoYusuf!$L$13:$AK$56,AF$4,FALSE))=TRUE,"",
              VLOOKUP($G37,SantoYusuf!$L$13:$AK$56,AF$4,FALSE)))</t>
  </si>
  <si>
    <t>=IF(ISNUMBER($L$6)=FALSE,"",
IF($C38=0,"",VLOOKUP($E38,SantoYusuf!$H$13:$L$56,4,FALSE)))</t>
  </si>
  <si>
    <t>=IF(ISNUMBER($L$6)=FALSE,"",
IF($C38=0,"",VLOOKUP($E38,SantoYusuf!$H$13:$L$56,5,FALSE)))</t>
  </si>
  <si>
    <t>=IF(ISNUMBER($L$6)=FALSE,"",
        IF(ISERROR(VLOOKUP($G38,SantoYusuf!$L$13:$AK$56,I$4,FALSE))=TRUE,"",
              VLOOKUP($G38,SantoYusuf!$L$13:$AK$56,I$4,FALSE)))</t>
  </si>
  <si>
    <t>=IF(ISNUMBER($L$6)=FALSE,"",
        IF(ISERROR(VLOOKUP($G38,SantoYusuf!$L$13:$AK$56,J$4,FALSE))=TRUE,"",
              VLOOKUP($G38,SantoYusuf!$L$13:$AK$56,J$4,FALSE)))</t>
  </si>
  <si>
    <t>=IF(ISNUMBER($L$6)=FALSE,"",
        IF(ISERROR(VLOOKUP($G38,SantoYusuf!$L$13:$AK$56,K$4,FALSE))=TRUE,"",
              VLOOKUP($G38,SantoYusuf!$L$13:$AK$56,K$4,FALSE)))</t>
  </si>
  <si>
    <t>=IF(ISNUMBER($L$6)=FALSE,"",
        IF(ISERROR(VLOOKUP($G38,SantoYusuf!$L$13:$AK$56,L$4,FALSE))=TRUE,"",
              VLOOKUP($G38,SantoYusuf!$L$13:$AK$56,L$4,FALSE)))</t>
  </si>
  <si>
    <t>=IF(ISNUMBER($L$6)=FALSE,"",
        IF(ISERROR(VLOOKUP($G38,SantoYusuf!$L$13:$AK$56,M$4,FALSE))=TRUE,"",
              VLOOKUP($G38,SantoYusuf!$L$13:$AK$56,M$4,FALSE)))</t>
  </si>
  <si>
    <t>=IF(ISNUMBER($L$6)=FALSE,"",
        IF(ISERROR(VLOOKUP($G38,SantoYusuf!$L$13:$AK$56,N$4,FALSE))=TRUE,"",
              VLOOKUP($G38,SantoYusuf!$L$13:$AK$56,N$4,FALSE)))</t>
  </si>
  <si>
    <t>=IF(ISNUMBER($L$6)=FALSE,"",
        IF(ISERROR(VLOOKUP($G38,SantoYusuf!$L$13:$AK$56,O$4,FALSE))=TRUE,"",
              VLOOKUP($G38,SantoYusuf!$L$13:$AK$56,O$4,FALSE)))</t>
  </si>
  <si>
    <t>=IF(ISNUMBER($L$6)=FALSE,"",
        IF(ISERROR(VLOOKUP($G38,SantoYusuf!$L$13:$AK$56,P$4,FALSE))=TRUE,"",
              VLOOKUP($G38,SantoYusuf!$L$13:$AK$56,P$4,FALSE)))</t>
  </si>
  <si>
    <t>=IF(ISNUMBER($L$6)=FALSE,"",
        IF(ISERROR(VLOOKUP($G38,SantoYusuf!$L$13:$AK$56,Q$4,FALSE))=TRUE,"",
              VLOOKUP($G38,SantoYusuf!$L$13:$AK$56,Q$4,FALSE)))</t>
  </si>
  <si>
    <t>=IF(ISNUMBER($L$6)=FALSE,"",
        IF(ISERROR(VLOOKUP($G38,SantoYusuf!$L$13:$AK$56,R$4,FALSE))=TRUE,"",
              VLOOKUP($G38,SantoYusuf!$L$13:$AK$56,R$4,FALSE)))</t>
  </si>
  <si>
    <t>=IF(ISNUMBER($L$6)=FALSE,"",
        IF(ISERROR(VLOOKUP($G38,SantoYusuf!$L$13:$AK$56,S$4,FALSE))=TRUE,"",
              VLOOKUP($G38,SantoYusuf!$L$13:$AK$56,S$4,FALSE)))</t>
  </si>
  <si>
    <t>=IF(ISNUMBER($L$6)=FALSE,"",
        IF(ISERROR(VLOOKUP($G38,SantoYusuf!$L$13:$AK$56,T$4,FALSE))=TRUE,"",
              VLOOKUP($G38,SantoYusuf!$L$13:$AK$56,T$4,FALSE)))</t>
  </si>
  <si>
    <t>=IF(ISNUMBER($L$6)=FALSE,"",
        IF(ISERROR(VLOOKUP($G38,SantoYusuf!$L$13:$AK$56,U$4,FALSE))=TRUE,"",
              VLOOKUP($G38,SantoYusuf!$L$13:$AK$56,U$4,FALSE)))</t>
  </si>
  <si>
    <t>=IF(ISNUMBER($L$6)=FALSE,"",
        IF(ISERROR(VLOOKUP($G38,SantoYusuf!$L$13:$AK$56,V$4,FALSE))=TRUE,"",
              VLOOKUP($G38,SantoYusuf!$L$13:$AK$56,V$4,FALSE)))</t>
  </si>
  <si>
    <t>=IF(ISNUMBER($L$6)=FALSE,"",
        IF(ISERROR(VLOOKUP($G38,SantoYusuf!$L$13:$AK$56,W$4,FALSE))=TRUE,"",
              VLOOKUP($G38,SantoYusuf!$L$13:$AK$56,W$4,FALSE)))</t>
  </si>
  <si>
    <t>=IF(ISNUMBER($L$6)=FALSE,"",
        IF(ISERROR(VLOOKUP($G38,SantoYusuf!$L$13:$AK$56,X$4,FALSE))=TRUE,"",
              VLOOKUP($G38,SantoYusuf!$L$13:$AK$56,X$4,FALSE)))</t>
  </si>
  <si>
    <t>=IF(ISNUMBER($L$6)=FALSE,"",
        IF(ISERROR(VLOOKUP($G38,SantoYusuf!$L$13:$AK$56,Y$4,FALSE))=TRUE,"",
              VLOOKUP($G38,SantoYusuf!$L$13:$AK$56,Y$4,FALSE)))</t>
  </si>
  <si>
    <t>=IF(ISNUMBER($L$6)=FALSE,"",
        IF(ISERROR(VLOOKUP($G38,SantoYusuf!$L$13:$AK$56,Z$4,FALSE))=TRUE,"",
              VLOOKUP($G38,SantoYusuf!$L$13:$AK$56,Z$4,FALSE)))</t>
  </si>
  <si>
    <t>=IF(ISNUMBER($L$6)=FALSE,"",
        IF(ISERROR(VLOOKUP($G38,SantoYusuf!$L$13:$AK$56,AA$4,FALSE))=TRUE,"",
              VLOOKUP($G38,SantoYusuf!$L$13:$AK$56,AA$4,FALSE)))</t>
  </si>
  <si>
    <t>=IF(ISNUMBER($L$6)=FALSE,"",
        IF(ISERROR(VLOOKUP($G38,SantoYusuf!$L$13:$AK$56,AB$4,FALSE))=TRUE,"",
              VLOOKUP($G38,SantoYusuf!$L$13:$AK$56,AB$4,FALSE)))</t>
  </si>
  <si>
    <t>=IF(ISNUMBER($L$6)=FALSE,"",
        IF(ISERROR(VLOOKUP($G38,SantoYusuf!$L$13:$AK$56,AC$4,FALSE))=TRUE,"",
              VLOOKUP($G38,SantoYusuf!$L$13:$AK$56,AC$4,FALSE)))</t>
  </si>
  <si>
    <t>=IF(ISNUMBER($L$6)=FALSE,"",
        IF(ISERROR(VLOOKUP($G38,SantoYusuf!$L$13:$AK$56,AD$4,FALSE))=TRUE,"",
              VLOOKUP($G38,SantoYusuf!$L$13:$AK$56,AD$4,FALSE)))</t>
  </si>
  <si>
    <t>=IF(ISNUMBER($L$6)=FALSE,"",
        IF(ISERROR(VLOOKUP($G38,SantoYusuf!$L$13:$AK$56,AE$4,FALSE))=TRUE,"",
              VLOOKUP($G38,SantoYusuf!$L$13:$AK$56,AE$4,FALSE)))</t>
  </si>
  <si>
    <t>=IF(ISNUMBER($L$6)=FALSE,"",
        IF(ISERROR(VLOOKUP($G38,SantoYusuf!$L$13:$AK$56,AF$4,FALSE))=TRUE,"",
              VLOOKUP($G38,SantoYusuf!$L$13:$AK$56,AF$4,FALSE)))</t>
  </si>
  <si>
    <t>=IF(ISNUMBER($L$6)=FALSE,"",
IF($C39=0,"",VLOOKUP($E39,SantoYusuf!$H$13:$L$56,4,FALSE)))</t>
  </si>
  <si>
    <t>=IF(ISNUMBER($L$6)=FALSE,"",
IF($C39=0,"",VLOOKUP($E39,SantoYusuf!$H$13:$L$56,5,FALSE)))</t>
  </si>
  <si>
    <t>=IF(ISNUMBER($L$6)=FALSE,"",
        IF(ISERROR(VLOOKUP($G39,SantoYusuf!$L$13:$AK$56,I$4,FALSE))=TRUE,"",
              VLOOKUP($G39,SantoYusuf!$L$13:$AK$56,I$4,FALSE)))</t>
  </si>
  <si>
    <t>=IF(ISNUMBER($L$6)=FALSE,"",
        IF(ISERROR(VLOOKUP($G39,SantoYusuf!$L$13:$AK$56,J$4,FALSE))=TRUE,"",
              VLOOKUP($G39,SantoYusuf!$L$13:$AK$56,J$4,FALSE)))</t>
  </si>
  <si>
    <t>=IF(ISNUMBER($L$6)=FALSE,"",
        IF(ISERROR(VLOOKUP($G39,SantoYusuf!$L$13:$AK$56,K$4,FALSE))=TRUE,"",
              VLOOKUP($G39,SantoYusuf!$L$13:$AK$56,K$4,FALSE)))</t>
  </si>
  <si>
    <t>=IF(ISNUMBER($L$6)=FALSE,"",
        IF(ISERROR(VLOOKUP($G39,SantoYusuf!$L$13:$AK$56,L$4,FALSE))=TRUE,"",
              VLOOKUP($G39,SantoYusuf!$L$13:$AK$56,L$4,FALSE)))</t>
  </si>
  <si>
    <t>=IF(ISNUMBER($L$6)=FALSE,"",
        IF(ISERROR(VLOOKUP($G39,SantoYusuf!$L$13:$AK$56,M$4,FALSE))=TRUE,"",
              VLOOKUP($G39,SantoYusuf!$L$13:$AK$56,M$4,FALSE)))</t>
  </si>
  <si>
    <t>=IF(ISNUMBER($L$6)=FALSE,"",
        IF(ISERROR(VLOOKUP($G39,SantoYusuf!$L$13:$AK$56,N$4,FALSE))=TRUE,"",
              VLOOKUP($G39,SantoYusuf!$L$13:$AK$56,N$4,FALSE)))</t>
  </si>
  <si>
    <t>=IF(ISNUMBER($L$6)=FALSE,"",
        IF(ISERROR(VLOOKUP($G39,SantoYusuf!$L$13:$AK$56,O$4,FALSE))=TRUE,"",
              VLOOKUP($G39,SantoYusuf!$L$13:$AK$56,O$4,FALSE)))</t>
  </si>
  <si>
    <t>=IF(ISNUMBER($L$6)=FALSE,"",
        IF(ISERROR(VLOOKUP($G39,SantoYusuf!$L$13:$AK$56,P$4,FALSE))=TRUE,"",
              VLOOKUP($G39,SantoYusuf!$L$13:$AK$56,P$4,FALSE)))</t>
  </si>
  <si>
    <t>=IF(ISNUMBER($L$6)=FALSE,"",
        IF(ISERROR(VLOOKUP($G39,SantoYusuf!$L$13:$AK$56,Q$4,FALSE))=TRUE,"",
              VLOOKUP($G39,SantoYusuf!$L$13:$AK$56,Q$4,FALSE)))</t>
  </si>
  <si>
    <t>=IF(ISNUMBER($L$6)=FALSE,"",
        IF(ISERROR(VLOOKUP($G39,SantoYusuf!$L$13:$AK$56,R$4,FALSE))=TRUE,"",
              VLOOKUP($G39,SantoYusuf!$L$13:$AK$56,R$4,FALSE)))</t>
  </si>
  <si>
    <t>=IF(ISNUMBER($L$6)=FALSE,"",
        IF(ISERROR(VLOOKUP($G39,SantoYusuf!$L$13:$AK$56,S$4,FALSE))=TRUE,"",
              VLOOKUP($G39,SantoYusuf!$L$13:$AK$56,S$4,FALSE)))</t>
  </si>
  <si>
    <t>=IF(ISNUMBER($L$6)=FALSE,"",
        IF(ISERROR(VLOOKUP($G39,SantoYusuf!$L$13:$AK$56,T$4,FALSE))=TRUE,"",
              VLOOKUP($G39,SantoYusuf!$L$13:$AK$56,T$4,FALSE)))</t>
  </si>
  <si>
    <t>=IF(ISNUMBER($L$6)=FALSE,"",
        IF(ISERROR(VLOOKUP($G39,SantoYusuf!$L$13:$AK$56,U$4,FALSE))=TRUE,"",
              VLOOKUP($G39,SantoYusuf!$L$13:$AK$56,U$4,FALSE)))</t>
  </si>
  <si>
    <t>=IF(ISNUMBER($L$6)=FALSE,"",
        IF(ISERROR(VLOOKUP($G39,SantoYusuf!$L$13:$AK$56,V$4,FALSE))=TRUE,"",
              VLOOKUP($G39,SantoYusuf!$L$13:$AK$56,V$4,FALSE)))</t>
  </si>
  <si>
    <t>=IF(ISNUMBER($L$6)=FALSE,"",
        IF(ISERROR(VLOOKUP($G39,SantoYusuf!$L$13:$AK$56,W$4,FALSE))=TRUE,"",
              VLOOKUP($G39,SantoYusuf!$L$13:$AK$56,W$4,FALSE)))</t>
  </si>
  <si>
    <t>=IF(ISNUMBER($L$6)=FALSE,"",
        IF(ISERROR(VLOOKUP($G39,SantoYusuf!$L$13:$AK$56,X$4,FALSE))=TRUE,"",
              VLOOKUP($G39,SantoYusuf!$L$13:$AK$56,X$4,FALSE)))</t>
  </si>
  <si>
    <t>=IF(ISNUMBER($L$6)=FALSE,"",
        IF(ISERROR(VLOOKUP($G39,SantoYusuf!$L$13:$AK$56,Y$4,FALSE))=TRUE,"",
              VLOOKUP($G39,SantoYusuf!$L$13:$AK$56,Y$4,FALSE)))</t>
  </si>
  <si>
    <t>=IF(ISNUMBER($L$6)=FALSE,"",
        IF(ISERROR(VLOOKUP($G39,SantoYusuf!$L$13:$AK$56,Z$4,FALSE))=TRUE,"",
              VLOOKUP($G39,SantoYusuf!$L$13:$AK$56,Z$4,FALSE)))</t>
  </si>
  <si>
    <t>=IF(ISNUMBER($L$6)=FALSE,"",
        IF(ISERROR(VLOOKUP($G39,SantoYusuf!$L$13:$AK$56,AA$4,FALSE))=TRUE,"",
              VLOOKUP($G39,SantoYusuf!$L$13:$AK$56,AA$4,FALSE)))</t>
  </si>
  <si>
    <t>=IF(ISNUMBER($L$6)=FALSE,"",
        IF(ISERROR(VLOOKUP($G39,SantoYusuf!$L$13:$AK$56,AB$4,FALSE))=TRUE,"",
              VLOOKUP($G39,SantoYusuf!$L$13:$AK$56,AB$4,FALSE)))</t>
  </si>
  <si>
    <t>=IF(ISNUMBER($L$6)=FALSE,"",
        IF(ISERROR(VLOOKUP($G39,SantoYusuf!$L$13:$AK$56,AC$4,FALSE))=TRUE,"",
              VLOOKUP($G39,SantoYusuf!$L$13:$AK$56,AC$4,FALSE)))</t>
  </si>
  <si>
    <t>=IF(ISNUMBER($L$6)=FALSE,"",
        IF(ISERROR(VLOOKUP($G39,SantoYusuf!$L$13:$AK$56,AD$4,FALSE))=TRUE,"",
              VLOOKUP($G39,SantoYusuf!$L$13:$AK$56,AD$4,FALSE)))</t>
  </si>
  <si>
    <t>=IF(ISNUMBER($L$6)=FALSE,"",
        IF(ISERROR(VLOOKUP($G39,SantoYusuf!$L$13:$AK$56,AE$4,FALSE))=TRUE,"",
              VLOOKUP($G39,SantoYusuf!$L$13:$AK$56,AE$4,FALSE)))</t>
  </si>
  <si>
    <t>=IF(ISNUMBER($L$6)=FALSE,"",
        IF(ISERROR(VLOOKUP($G39,SantoYusuf!$L$13:$AK$56,AF$4,FALSE))=TRUE,"",
              VLOOKUP($G39,SantoYusuf!$L$13:$AK$56,AF$4,FALSE)))</t>
  </si>
  <si>
    <t>=IF(ISNUMBER($L$6)=FALSE,"",
IF($C40=0,"",VLOOKUP($E40,SantoYusuf!$H$13:$L$56,4,FALSE)))</t>
  </si>
  <si>
    <t>=IF(ISNUMBER($L$6)=FALSE,"",
IF($C40=0,"",VLOOKUP($E40,SantoYusuf!$H$13:$L$56,5,FALSE)))</t>
  </si>
  <si>
    <t>=IF(ISNUMBER($L$6)=FALSE,"",
        IF(ISERROR(VLOOKUP($G40,SantoYusuf!$L$13:$AK$56,I$4,FALSE))=TRUE,"",
              VLOOKUP($G40,SantoYusuf!$L$13:$AK$56,I$4,FALSE)))</t>
  </si>
  <si>
    <t>=IF(ISNUMBER($L$6)=FALSE,"",
        IF(ISERROR(VLOOKUP($G40,SantoYusuf!$L$13:$AK$56,J$4,FALSE))=TRUE,"",
              VLOOKUP($G40,SantoYusuf!$L$13:$AK$56,J$4,FALSE)))</t>
  </si>
  <si>
    <t>=IF(ISNUMBER($L$6)=FALSE,"",
        IF(ISERROR(VLOOKUP($G40,SantoYusuf!$L$13:$AK$56,K$4,FALSE))=TRUE,"",
              VLOOKUP($G40,SantoYusuf!$L$13:$AK$56,K$4,FALSE)))</t>
  </si>
  <si>
    <t>=IF(ISNUMBER($L$6)=FALSE,"",
        IF(ISERROR(VLOOKUP($G40,SantoYusuf!$L$13:$AK$56,L$4,FALSE))=TRUE,"",
              VLOOKUP($G40,SantoYusuf!$L$13:$AK$56,L$4,FALSE)))</t>
  </si>
  <si>
    <t>=IF(ISNUMBER($L$6)=FALSE,"",
        IF(ISERROR(VLOOKUP($G40,SantoYusuf!$L$13:$AK$56,M$4,FALSE))=TRUE,"",
              VLOOKUP($G40,SantoYusuf!$L$13:$AK$56,M$4,FALSE)))</t>
  </si>
  <si>
    <t>=IF(ISNUMBER($L$6)=FALSE,"",
        IF(ISERROR(VLOOKUP($G40,SantoYusuf!$L$13:$AK$56,N$4,FALSE))=TRUE,"",
              VLOOKUP($G40,SantoYusuf!$L$13:$AK$56,N$4,FALSE)))</t>
  </si>
  <si>
    <t>=IF(ISNUMBER($L$6)=FALSE,"",
        IF(ISERROR(VLOOKUP($G40,SantoYusuf!$L$13:$AK$56,O$4,FALSE))=TRUE,"",
              VLOOKUP($G40,SantoYusuf!$L$13:$AK$56,O$4,FALSE)))</t>
  </si>
  <si>
    <t>=IF(ISNUMBER($L$6)=FALSE,"",
        IF(ISERROR(VLOOKUP($G40,SantoYusuf!$L$13:$AK$56,P$4,FALSE))=TRUE,"",
              VLOOKUP($G40,SantoYusuf!$L$13:$AK$56,P$4,FALSE)))</t>
  </si>
  <si>
    <t>=IF(ISNUMBER($L$6)=FALSE,"",
        IF(ISERROR(VLOOKUP($G40,SantoYusuf!$L$13:$AK$56,Q$4,FALSE))=TRUE,"",
              VLOOKUP($G40,SantoYusuf!$L$13:$AK$56,Q$4,FALSE)))</t>
  </si>
  <si>
    <t>=IF(ISNUMBER($L$6)=FALSE,"",
        IF(ISERROR(VLOOKUP($G40,SantoYusuf!$L$13:$AK$56,R$4,FALSE))=TRUE,"",
              VLOOKUP($G40,SantoYusuf!$L$13:$AK$56,R$4,FALSE)))</t>
  </si>
  <si>
    <t>=IF(ISNUMBER($L$6)=FALSE,"",
        IF(ISERROR(VLOOKUP($G40,SantoYusuf!$L$13:$AK$56,S$4,FALSE))=TRUE,"",
              VLOOKUP($G40,SantoYusuf!$L$13:$AK$56,S$4,FALSE)))</t>
  </si>
  <si>
    <t>=IF(ISNUMBER($L$6)=FALSE,"",
        IF(ISERROR(VLOOKUP($G40,SantoYusuf!$L$13:$AK$56,T$4,FALSE))=TRUE,"",
              VLOOKUP($G40,SantoYusuf!$L$13:$AK$56,T$4,FALSE)))</t>
  </si>
  <si>
    <t>=IF(ISNUMBER($L$6)=FALSE,"",
        IF(ISERROR(VLOOKUP($G40,SantoYusuf!$L$13:$AK$56,U$4,FALSE))=TRUE,"",
              VLOOKUP($G40,SantoYusuf!$L$13:$AK$56,U$4,FALSE)))</t>
  </si>
  <si>
    <t>=IF(ISNUMBER($L$6)=FALSE,"",
        IF(ISERROR(VLOOKUP($G40,SantoYusuf!$L$13:$AK$56,V$4,FALSE))=TRUE,"",
              VLOOKUP($G40,SantoYusuf!$L$13:$AK$56,V$4,FALSE)))</t>
  </si>
  <si>
    <t>=IF(ISNUMBER($L$6)=FALSE,"",
        IF(ISERROR(VLOOKUP($G40,SantoYusuf!$L$13:$AK$56,W$4,FALSE))=TRUE,"",
              VLOOKUP($G40,SantoYusuf!$L$13:$AK$56,W$4,FALSE)))</t>
  </si>
  <si>
    <t>=IF(ISNUMBER($L$6)=FALSE,"",
        IF(ISERROR(VLOOKUP($G40,SantoYusuf!$L$13:$AK$56,X$4,FALSE))=TRUE,"",
              VLOOKUP($G40,SantoYusuf!$L$13:$AK$56,X$4,FALSE)))</t>
  </si>
  <si>
    <t>=IF(ISNUMBER($L$6)=FALSE,"",
        IF(ISERROR(VLOOKUP($G40,SantoYusuf!$L$13:$AK$56,Y$4,FALSE))=TRUE,"",
              VLOOKUP($G40,SantoYusuf!$L$13:$AK$56,Y$4,FALSE)))</t>
  </si>
  <si>
    <t>=IF(ISNUMBER($L$6)=FALSE,"",
        IF(ISERROR(VLOOKUP($G40,SantoYusuf!$L$13:$AK$56,Z$4,FALSE))=TRUE,"",
              VLOOKUP($G40,SantoYusuf!$L$13:$AK$56,Z$4,FALSE)))</t>
  </si>
  <si>
    <t>=IF(ISNUMBER($L$6)=FALSE,"",
        IF(ISERROR(VLOOKUP($G40,SantoYusuf!$L$13:$AK$56,AA$4,FALSE))=TRUE,"",
              VLOOKUP($G40,SantoYusuf!$L$13:$AK$56,AA$4,FALSE)))</t>
  </si>
  <si>
    <t>=IF(ISNUMBER($L$6)=FALSE,"",
        IF(ISERROR(VLOOKUP($G40,SantoYusuf!$L$13:$AK$56,AB$4,FALSE))=TRUE,"",
              VLOOKUP($G40,SantoYusuf!$L$13:$AK$56,AB$4,FALSE)))</t>
  </si>
  <si>
    <t>=IF(ISNUMBER($L$6)=FALSE,"",
        IF(ISERROR(VLOOKUP($G40,SantoYusuf!$L$13:$AK$56,AC$4,FALSE))=TRUE,"",
              VLOOKUP($G40,SantoYusuf!$L$13:$AK$56,AC$4,FALSE)))</t>
  </si>
  <si>
    <t>=IF(ISNUMBER($L$6)=FALSE,"",
        IF(ISERROR(VLOOKUP($G40,SantoYusuf!$L$13:$AK$56,AD$4,FALSE))=TRUE,"",
              VLOOKUP($G40,SantoYusuf!$L$13:$AK$56,AD$4,FALSE)))</t>
  </si>
  <si>
    <t>=IF(ISNUMBER($L$6)=FALSE,"",
        IF(ISERROR(VLOOKUP($G40,SantoYusuf!$L$13:$AK$56,AE$4,FALSE))=TRUE,"",
              VLOOKUP($G40,SantoYusuf!$L$13:$AK$56,AE$4,FALSE)))</t>
  </si>
  <si>
    <t>=IF(ISNUMBER($L$6)=FALSE,"",
        IF(ISERROR(VLOOKUP($G40,SantoYusuf!$L$13:$AK$56,AF$4,FALSE))=TRUE,"",
              VLOOKUP($G40,SantoYusuf!$L$13:$AK$56,AF$4,FALSE)))</t>
  </si>
  <si>
    <t>=IF(ISNUMBER($L$6)=FALSE,"",
IF($C41=0,"",VLOOKUP($E41,SantoYusuf!$H$13:$L$56,4,FALSE)))</t>
  </si>
  <si>
    <t>=IF(ISNUMBER($L$6)=FALSE,"",
IF($C41=0,"",VLOOKUP($E41,SantoYusuf!$H$13:$L$56,5,FALSE)))</t>
  </si>
  <si>
    <t>=IF(ISNUMBER($L$6)=FALSE,"",
        IF(ISERROR(VLOOKUP($G41,SantoYusuf!$L$13:$AK$56,I$4,FALSE))=TRUE,"",
              VLOOKUP($G41,SantoYusuf!$L$13:$AK$56,I$4,FALSE)))</t>
  </si>
  <si>
    <t>=IF(ISNUMBER($L$6)=FALSE,"",
        IF(ISERROR(VLOOKUP($G41,SantoYusuf!$L$13:$AK$56,J$4,FALSE))=TRUE,"",
              VLOOKUP($G41,SantoYusuf!$L$13:$AK$56,J$4,FALSE)))</t>
  </si>
  <si>
    <t>=IF(ISNUMBER($L$6)=FALSE,"",
        IF(ISERROR(VLOOKUP($G41,SantoYusuf!$L$13:$AK$56,K$4,FALSE))=TRUE,"",
              VLOOKUP($G41,SantoYusuf!$L$13:$AK$56,K$4,FALSE)))</t>
  </si>
  <si>
    <t>=IF(ISNUMBER($L$6)=FALSE,"",
        IF(ISERROR(VLOOKUP($G41,SantoYusuf!$L$13:$AK$56,L$4,FALSE))=TRUE,"",
              VLOOKUP($G41,SantoYusuf!$L$13:$AK$56,L$4,FALSE)))</t>
  </si>
  <si>
    <t>=IF(ISNUMBER($L$6)=FALSE,"",
        IF(ISERROR(VLOOKUP($G41,SantoYusuf!$L$13:$AK$56,M$4,FALSE))=TRUE,"",
              VLOOKUP($G41,SantoYusuf!$L$13:$AK$56,M$4,FALSE)))</t>
  </si>
  <si>
    <t>=IF(ISNUMBER($L$6)=FALSE,"",
        IF(ISERROR(VLOOKUP($G41,SantoYusuf!$L$13:$AK$56,N$4,FALSE))=TRUE,"",
              VLOOKUP($G41,SantoYusuf!$L$13:$AK$56,N$4,FALSE)))</t>
  </si>
  <si>
    <t>=IF(ISNUMBER($L$6)=FALSE,"",
        IF(ISERROR(VLOOKUP($G41,SantoYusuf!$L$13:$AK$56,O$4,FALSE))=TRUE,"",
              VLOOKUP($G41,SantoYusuf!$L$13:$AK$56,O$4,FALSE)))</t>
  </si>
  <si>
    <t>=IF(ISNUMBER($L$6)=FALSE,"",
        IF(ISERROR(VLOOKUP($G41,SantoYusuf!$L$13:$AK$56,P$4,FALSE))=TRUE,"",
              VLOOKUP($G41,SantoYusuf!$L$13:$AK$56,P$4,FALSE)))</t>
  </si>
  <si>
    <t>=IF(ISNUMBER($L$6)=FALSE,"",
        IF(ISERROR(VLOOKUP($G41,SantoYusuf!$L$13:$AK$56,Q$4,FALSE))=TRUE,"",
              VLOOKUP($G41,SantoYusuf!$L$13:$AK$56,Q$4,FALSE)))</t>
  </si>
  <si>
    <t>=IF(ISNUMBER($L$6)=FALSE,"",
        IF(ISERROR(VLOOKUP($G41,SantoYusuf!$L$13:$AK$56,R$4,FALSE))=TRUE,"",
              VLOOKUP($G41,SantoYusuf!$L$13:$AK$56,R$4,FALSE)))</t>
  </si>
  <si>
    <t>=IF(ISNUMBER($L$6)=FALSE,"",
        IF(ISERROR(VLOOKUP($G41,SantoYusuf!$L$13:$AK$56,S$4,FALSE))=TRUE,"",
              VLOOKUP($G41,SantoYusuf!$L$13:$AK$56,S$4,FALSE)))</t>
  </si>
  <si>
    <t>=IF(ISNUMBER($L$6)=FALSE,"",
        IF(ISERROR(VLOOKUP($G41,SantoYusuf!$L$13:$AK$56,T$4,FALSE))=TRUE,"",
              VLOOKUP($G41,SantoYusuf!$L$13:$AK$56,T$4,FALSE)))</t>
  </si>
  <si>
    <t>=IF(ISNUMBER($L$6)=FALSE,"",
        IF(ISERROR(VLOOKUP($G41,SantoYusuf!$L$13:$AK$56,U$4,FALSE))=TRUE,"",
              VLOOKUP($G41,SantoYusuf!$L$13:$AK$56,U$4,FALSE)))</t>
  </si>
  <si>
    <t>=IF(ISNUMBER($L$6)=FALSE,"",
        IF(ISERROR(VLOOKUP($G41,SantoYusuf!$L$13:$AK$56,V$4,FALSE))=TRUE,"",
              VLOOKUP($G41,SantoYusuf!$L$13:$AK$56,V$4,FALSE)))</t>
  </si>
  <si>
    <t>=IF(ISNUMBER($L$6)=FALSE,"",
        IF(ISERROR(VLOOKUP($G41,SantoYusuf!$L$13:$AK$56,W$4,FALSE))=TRUE,"",
              VLOOKUP($G41,SantoYusuf!$L$13:$AK$56,W$4,FALSE)))</t>
  </si>
  <si>
    <t>=IF(ISNUMBER($L$6)=FALSE,"",
        IF(ISERROR(VLOOKUP($G41,SantoYusuf!$L$13:$AK$56,X$4,FALSE))=TRUE,"",
              VLOOKUP($G41,SantoYusuf!$L$13:$AK$56,X$4,FALSE)))</t>
  </si>
  <si>
    <t>=IF(ISNUMBER($L$6)=FALSE,"",
        IF(ISERROR(VLOOKUP($G41,SantoYusuf!$L$13:$AK$56,Y$4,FALSE))=TRUE,"",
              VLOOKUP($G41,SantoYusuf!$L$13:$AK$56,Y$4,FALSE)))</t>
  </si>
  <si>
    <t>=IF(ISNUMBER($L$6)=FALSE,"",
        IF(ISERROR(VLOOKUP($G41,SantoYusuf!$L$13:$AK$56,Z$4,FALSE))=TRUE,"",
              VLOOKUP($G41,SantoYusuf!$L$13:$AK$56,Z$4,FALSE)))</t>
  </si>
  <si>
    <t>=IF(ISNUMBER($L$6)=FALSE,"",
        IF(ISERROR(VLOOKUP($G41,SantoYusuf!$L$13:$AK$56,AA$4,FALSE))=TRUE,"",
              VLOOKUP($G41,SantoYusuf!$L$13:$AK$56,AA$4,FALSE)))</t>
  </si>
  <si>
    <t>=IF(ISNUMBER($L$6)=FALSE,"",
        IF(ISERROR(VLOOKUP($G41,SantoYusuf!$L$13:$AK$56,AB$4,FALSE))=TRUE,"",
              VLOOKUP($G41,SantoYusuf!$L$13:$AK$56,AB$4,FALSE)))</t>
  </si>
  <si>
    <t>=IF(ISNUMBER($L$6)=FALSE,"",
        IF(ISERROR(VLOOKUP($G41,SantoYusuf!$L$13:$AK$56,AC$4,FALSE))=TRUE,"",
              VLOOKUP($G41,SantoYusuf!$L$13:$AK$56,AC$4,FALSE)))</t>
  </si>
  <si>
    <t>=IF(ISNUMBER($L$6)=FALSE,"",
        IF(ISERROR(VLOOKUP($G41,SantoYusuf!$L$13:$AK$56,AD$4,FALSE))=TRUE,"",
              VLOOKUP($G41,SantoYusuf!$L$13:$AK$56,AD$4,FALSE)))</t>
  </si>
  <si>
    <t>=IF(ISNUMBER($L$6)=FALSE,"",
        IF(ISERROR(VLOOKUP($G41,SantoYusuf!$L$13:$AK$56,AE$4,FALSE))=TRUE,"",
              VLOOKUP($G41,SantoYusuf!$L$13:$AK$56,AE$4,FALSE)))</t>
  </si>
  <si>
    <t>=IF(ISNUMBER($L$6)=FALSE,"",
        IF(ISERROR(VLOOKUP($G41,SantoYusuf!$L$13:$AK$56,AF$4,FALSE))=TRUE,"",
              VLOOKUP($G41,SantoYusuf!$L$13:$AK$56,AF$4,FALSE)))</t>
  </si>
  <si>
    <t>=IF(ISNUMBER($L$6)=FALSE,"",
IF($C42=0,"",VLOOKUP($E42,SantoYusuf!$H$13:$L$56,4,FALSE)))</t>
  </si>
  <si>
    <t>=IF(ISNUMBER($L$6)=FALSE,"",
IF($C42=0,"",VLOOKUP($E42,SantoYusuf!$H$13:$L$56,5,FALSE)))</t>
  </si>
  <si>
    <t>=IF(ISNUMBER($L$6)=FALSE,"",
        IF(ISERROR(VLOOKUP($G42,SantoYusuf!$L$13:$AK$56,I$4,FALSE))=TRUE,"",
              VLOOKUP($G42,SantoYusuf!$L$13:$AK$56,I$4,FALSE)))</t>
  </si>
  <si>
    <t>=IF(ISNUMBER($L$6)=FALSE,"",
        IF(ISERROR(VLOOKUP($G42,SantoYusuf!$L$13:$AK$56,J$4,FALSE))=TRUE,"",
              VLOOKUP($G42,SantoYusuf!$L$13:$AK$56,J$4,FALSE)))</t>
  </si>
  <si>
    <t>=IF(ISNUMBER($L$6)=FALSE,"",
        IF(ISERROR(VLOOKUP($G42,SantoYusuf!$L$13:$AK$56,K$4,FALSE))=TRUE,"",
              VLOOKUP($G42,SantoYusuf!$L$13:$AK$56,K$4,FALSE)))</t>
  </si>
  <si>
    <t>=IF(ISNUMBER($L$6)=FALSE,"",
        IF(ISERROR(VLOOKUP($G42,SantoYusuf!$L$13:$AK$56,L$4,FALSE))=TRUE,"",
              VLOOKUP($G42,SantoYusuf!$L$13:$AK$56,L$4,FALSE)))</t>
  </si>
  <si>
    <t>=IF(ISNUMBER($L$6)=FALSE,"",
        IF(ISERROR(VLOOKUP($G42,SantoYusuf!$L$13:$AK$56,M$4,FALSE))=TRUE,"",
              VLOOKUP($G42,SantoYusuf!$L$13:$AK$56,M$4,FALSE)))</t>
  </si>
  <si>
    <t>=IF(ISNUMBER($L$6)=FALSE,"",
        IF(ISERROR(VLOOKUP($G42,SantoYusuf!$L$13:$AK$56,N$4,FALSE))=TRUE,"",
              VLOOKUP($G42,SantoYusuf!$L$13:$AK$56,N$4,FALSE)))</t>
  </si>
  <si>
    <t>=IF(ISNUMBER($L$6)=FALSE,"",
        IF(ISERROR(VLOOKUP($G42,SantoYusuf!$L$13:$AK$56,O$4,FALSE))=TRUE,"",
              VLOOKUP($G42,SantoYusuf!$L$13:$AK$56,O$4,FALSE)))</t>
  </si>
  <si>
    <t>=IF(ISNUMBER($L$6)=FALSE,"",
        IF(ISERROR(VLOOKUP($G42,SantoYusuf!$L$13:$AK$56,P$4,FALSE))=TRUE,"",
              VLOOKUP($G42,SantoYusuf!$L$13:$AK$56,P$4,FALSE)))</t>
  </si>
  <si>
    <t>=IF(ISNUMBER($L$6)=FALSE,"",
        IF(ISERROR(VLOOKUP($G42,SantoYusuf!$L$13:$AK$56,Q$4,FALSE))=TRUE,"",
              VLOOKUP($G42,SantoYusuf!$L$13:$AK$56,Q$4,FALSE)))</t>
  </si>
  <si>
    <t>=IF(ISNUMBER($L$6)=FALSE,"",
        IF(ISERROR(VLOOKUP($G42,SantoYusuf!$L$13:$AK$56,R$4,FALSE))=TRUE,"",
              VLOOKUP($G42,SantoYusuf!$L$13:$AK$56,R$4,FALSE)))</t>
  </si>
  <si>
    <t>=IF(ISNUMBER($L$6)=FALSE,"",
        IF(ISERROR(VLOOKUP($G42,SantoYusuf!$L$13:$AK$56,S$4,FALSE))=TRUE,"",
              VLOOKUP($G42,SantoYusuf!$L$13:$AK$56,S$4,FALSE)))</t>
  </si>
  <si>
    <t>=IF(ISNUMBER($L$6)=FALSE,"",
        IF(ISERROR(VLOOKUP($G42,SantoYusuf!$L$13:$AK$56,T$4,FALSE))=TRUE,"",
              VLOOKUP($G42,SantoYusuf!$L$13:$AK$56,T$4,FALSE)))</t>
  </si>
  <si>
    <t>=IF(ISNUMBER($L$6)=FALSE,"",
        IF(ISERROR(VLOOKUP($G42,SantoYusuf!$L$13:$AK$56,U$4,FALSE))=TRUE,"",
              VLOOKUP($G42,SantoYusuf!$L$13:$AK$56,U$4,FALSE)))</t>
  </si>
  <si>
    <t>=IF(ISNUMBER($L$6)=FALSE,"",
        IF(ISERROR(VLOOKUP($G42,SantoYusuf!$L$13:$AK$56,V$4,FALSE))=TRUE,"",
              VLOOKUP($G42,SantoYusuf!$L$13:$AK$56,V$4,FALSE)))</t>
  </si>
  <si>
    <t>=IF(ISNUMBER($L$6)=FALSE,"",
        IF(ISERROR(VLOOKUP($G42,SantoYusuf!$L$13:$AK$56,W$4,FALSE))=TRUE,"",
              VLOOKUP($G42,SantoYusuf!$L$13:$AK$56,W$4,FALSE)))</t>
  </si>
  <si>
    <t>=IF(ISNUMBER($L$6)=FALSE,"",
        IF(ISERROR(VLOOKUP($G42,SantoYusuf!$L$13:$AK$56,X$4,FALSE))=TRUE,"",
              VLOOKUP($G42,SantoYusuf!$L$13:$AK$56,X$4,FALSE)))</t>
  </si>
  <si>
    <t>=IF(ISNUMBER($L$6)=FALSE,"",
        IF(ISERROR(VLOOKUP($G42,SantoYusuf!$L$13:$AK$56,Y$4,FALSE))=TRUE,"",
              VLOOKUP($G42,SantoYusuf!$L$13:$AK$56,Y$4,FALSE)))</t>
  </si>
  <si>
    <t>=IF(ISNUMBER($L$6)=FALSE,"",
        IF(ISERROR(VLOOKUP($G42,SantoYusuf!$L$13:$AK$56,Z$4,FALSE))=TRUE,"",
              VLOOKUP($G42,SantoYusuf!$L$13:$AK$56,Z$4,FALSE)))</t>
  </si>
  <si>
    <t>=IF(ISNUMBER($L$6)=FALSE,"",
        IF(ISERROR(VLOOKUP($G42,SantoYusuf!$L$13:$AK$56,AA$4,FALSE))=TRUE,"",
              VLOOKUP($G42,SantoYusuf!$L$13:$AK$56,AA$4,FALSE)))</t>
  </si>
  <si>
    <t>=IF(ISNUMBER($L$6)=FALSE,"",
        IF(ISERROR(VLOOKUP($G42,SantoYusuf!$L$13:$AK$56,AB$4,FALSE))=TRUE,"",
              VLOOKUP($G42,SantoYusuf!$L$13:$AK$56,AB$4,FALSE)))</t>
  </si>
  <si>
    <t>=IF(ISNUMBER($L$6)=FALSE,"",
        IF(ISERROR(VLOOKUP($G42,SantoYusuf!$L$13:$AK$56,AC$4,FALSE))=TRUE,"",
              VLOOKUP($G42,SantoYusuf!$L$13:$AK$56,AC$4,FALSE)))</t>
  </si>
  <si>
    <t>=IF(ISNUMBER($L$6)=FALSE,"",
        IF(ISERROR(VLOOKUP($G42,SantoYusuf!$L$13:$AK$56,AD$4,FALSE))=TRUE,"",
              VLOOKUP($G42,SantoYusuf!$L$13:$AK$56,AD$4,FALSE)))</t>
  </si>
  <si>
    <t>=IF(ISNUMBER($L$6)=FALSE,"",
        IF(ISERROR(VLOOKUP($G42,SantoYusuf!$L$13:$AK$56,AE$4,FALSE))=TRUE,"",
              VLOOKUP($G42,SantoYusuf!$L$13:$AK$56,AE$4,FALSE)))</t>
  </si>
  <si>
    <t>=IF(ISNUMBER($L$6)=FALSE,"",
        IF(ISERROR(VLOOKUP($G42,SantoYusuf!$L$13:$AK$56,AF$4,FALSE))=TRUE,"",
              VLOOKUP($G42,SantoYusuf!$L$13:$AK$56,AF$4,FALSE)))</t>
  </si>
  <si>
    <t>=IF(ISNUMBER($L$6)=FALSE,"",
IF($C43=0,"",VLOOKUP($E43,SantoYusuf!$H$13:$L$56,4,FALSE)))</t>
  </si>
  <si>
    <t>=IF(ISNUMBER($L$6)=FALSE,"",
IF($C43=0,"",VLOOKUP($E43,SantoYusuf!$H$13:$L$56,5,FALSE)))</t>
  </si>
  <si>
    <t>=IF(ISNUMBER($L$6)=FALSE,"",
        IF(ISERROR(VLOOKUP($G43,SantoYusuf!$L$13:$AK$56,I$4,FALSE))=TRUE,"",
              VLOOKUP($G43,SantoYusuf!$L$13:$AK$56,I$4,FALSE)))</t>
  </si>
  <si>
    <t>=IF(ISNUMBER($L$6)=FALSE,"",
        IF(ISERROR(VLOOKUP($G43,SantoYusuf!$L$13:$AK$56,J$4,FALSE))=TRUE,"",
              VLOOKUP($G43,SantoYusuf!$L$13:$AK$56,J$4,FALSE)))</t>
  </si>
  <si>
    <t>=IF(ISNUMBER($L$6)=FALSE,"",
        IF(ISERROR(VLOOKUP($G43,SantoYusuf!$L$13:$AK$56,K$4,FALSE))=TRUE,"",
              VLOOKUP($G43,SantoYusuf!$L$13:$AK$56,K$4,FALSE)))</t>
  </si>
  <si>
    <t>=IF(ISNUMBER($L$6)=FALSE,"",
        IF(ISERROR(VLOOKUP($G43,SantoYusuf!$L$13:$AK$56,L$4,FALSE))=TRUE,"",
              VLOOKUP($G43,SantoYusuf!$L$13:$AK$56,L$4,FALSE)))</t>
  </si>
  <si>
    <t>=IF(ISNUMBER($L$6)=FALSE,"",
        IF(ISERROR(VLOOKUP($G43,SantoYusuf!$L$13:$AK$56,M$4,FALSE))=TRUE,"",
              VLOOKUP($G43,SantoYusuf!$L$13:$AK$56,M$4,FALSE)))</t>
  </si>
  <si>
    <t>=IF(ISNUMBER($L$6)=FALSE,"",
        IF(ISERROR(VLOOKUP($G43,SantoYusuf!$L$13:$AK$56,N$4,FALSE))=TRUE,"",
              VLOOKUP($G43,SantoYusuf!$L$13:$AK$56,N$4,FALSE)))</t>
  </si>
  <si>
    <t>=IF(ISNUMBER($L$6)=FALSE,"",
        IF(ISERROR(VLOOKUP($G43,SantoYusuf!$L$13:$AK$56,O$4,FALSE))=TRUE,"",
              VLOOKUP($G43,SantoYusuf!$L$13:$AK$56,O$4,FALSE)))</t>
  </si>
  <si>
    <t>=IF(ISNUMBER($L$6)=FALSE,"",
        IF(ISERROR(VLOOKUP($G43,SantoYusuf!$L$13:$AK$56,P$4,FALSE))=TRUE,"",
              VLOOKUP($G43,SantoYusuf!$L$13:$AK$56,P$4,FALSE)))</t>
  </si>
  <si>
    <t>=IF(ISNUMBER($L$6)=FALSE,"",
        IF(ISERROR(VLOOKUP($G43,SantoYusuf!$L$13:$AK$56,Q$4,FALSE))=TRUE,"",
              VLOOKUP($G43,SantoYusuf!$L$13:$AK$56,Q$4,FALSE)))</t>
  </si>
  <si>
    <t>=IF(ISNUMBER($L$6)=FALSE,"",
        IF(ISERROR(VLOOKUP($G43,SantoYusuf!$L$13:$AK$56,R$4,FALSE))=TRUE,"",
              VLOOKUP($G43,SantoYusuf!$L$13:$AK$56,R$4,FALSE)))</t>
  </si>
  <si>
    <t>=IF(ISNUMBER($L$6)=FALSE,"",
        IF(ISERROR(VLOOKUP($G43,SantoYusuf!$L$13:$AK$56,S$4,FALSE))=TRUE,"",
              VLOOKUP($G43,SantoYusuf!$L$13:$AK$56,S$4,FALSE)))</t>
  </si>
  <si>
    <t>=IF(ISNUMBER($L$6)=FALSE,"",
        IF(ISERROR(VLOOKUP($G43,SantoYusuf!$L$13:$AK$56,T$4,FALSE))=TRUE,"",
              VLOOKUP($G43,SantoYusuf!$L$13:$AK$56,T$4,FALSE)))</t>
  </si>
  <si>
    <t>=IF(ISNUMBER($L$6)=FALSE,"",
        IF(ISERROR(VLOOKUP($G43,SantoYusuf!$L$13:$AK$56,U$4,FALSE))=TRUE,"",
              VLOOKUP($G43,SantoYusuf!$L$13:$AK$56,U$4,FALSE)))</t>
  </si>
  <si>
    <t>=IF(ISNUMBER($L$6)=FALSE,"",
        IF(ISERROR(VLOOKUP($G43,SantoYusuf!$L$13:$AK$56,V$4,FALSE))=TRUE,"",
              VLOOKUP($G43,SantoYusuf!$L$13:$AK$56,V$4,FALSE)))</t>
  </si>
  <si>
    <t>=IF(ISNUMBER($L$6)=FALSE,"",
        IF(ISERROR(VLOOKUP($G43,SantoYusuf!$L$13:$AK$56,W$4,FALSE))=TRUE,"",
              VLOOKUP($G43,SantoYusuf!$L$13:$AK$56,W$4,FALSE)))</t>
  </si>
  <si>
    <t>=IF(ISNUMBER($L$6)=FALSE,"",
        IF(ISERROR(VLOOKUP($G43,SantoYusuf!$L$13:$AK$56,X$4,FALSE))=TRUE,"",
              VLOOKUP($G43,SantoYusuf!$L$13:$AK$56,X$4,FALSE)))</t>
  </si>
  <si>
    <t>=IF(ISNUMBER($L$6)=FALSE,"",
        IF(ISERROR(VLOOKUP($G43,SantoYusuf!$L$13:$AK$56,Y$4,FALSE))=TRUE,"",
              VLOOKUP($G43,SantoYusuf!$L$13:$AK$56,Y$4,FALSE)))</t>
  </si>
  <si>
    <t>=IF(ISNUMBER($L$6)=FALSE,"",
        IF(ISERROR(VLOOKUP($G43,SantoYusuf!$L$13:$AK$56,Z$4,FALSE))=TRUE,"",
              VLOOKUP($G43,SantoYusuf!$L$13:$AK$56,Z$4,FALSE)))</t>
  </si>
  <si>
    <t>=IF(ISNUMBER($L$6)=FALSE,"",
        IF(ISERROR(VLOOKUP($G43,SantoYusuf!$L$13:$AK$56,AA$4,FALSE))=TRUE,"",
              VLOOKUP($G43,SantoYusuf!$L$13:$AK$56,AA$4,FALSE)))</t>
  </si>
  <si>
    <t>=IF(ISNUMBER($L$6)=FALSE,"",
        IF(ISERROR(VLOOKUP($G43,SantoYusuf!$L$13:$AK$56,AB$4,FALSE))=TRUE,"",
              VLOOKUP($G43,SantoYusuf!$L$13:$AK$56,AB$4,FALSE)))</t>
  </si>
  <si>
    <t>=IF(ISNUMBER($L$6)=FALSE,"",
        IF(ISERROR(VLOOKUP($G43,SantoYusuf!$L$13:$AK$56,AC$4,FALSE))=TRUE,"",
              VLOOKUP($G43,SantoYusuf!$L$13:$AK$56,AC$4,FALSE)))</t>
  </si>
  <si>
    <t>=IF(ISNUMBER($L$6)=FALSE,"",
        IF(ISERROR(VLOOKUP($G43,SantoYusuf!$L$13:$AK$56,AD$4,FALSE))=TRUE,"",
              VLOOKUP($G43,SantoYusuf!$L$13:$AK$56,AD$4,FALSE)))</t>
  </si>
  <si>
    <t>=IF(ISNUMBER($L$6)=FALSE,"",
        IF(ISERROR(VLOOKUP($G43,SantoYusuf!$L$13:$AK$56,AE$4,FALSE))=TRUE,"",
              VLOOKUP($G43,SantoYusuf!$L$13:$AK$56,AE$4,FALSE)))</t>
  </si>
  <si>
    <t>=IF(ISNUMBER($L$6)=FALSE,"",
        IF(ISERROR(VLOOKUP($G43,SantoYusuf!$L$13:$AK$56,AF$4,FALSE))=TRUE,"",
              VLOOKUP($G43,SantoYusuf!$L$13:$AK$56,AF$4,FALSE)))</t>
  </si>
  <si>
    <t>=IF(ISNUMBER($L$6)=FALSE,"",
IF($C44=0,"",VLOOKUP($E44,SantoYusuf!$H$13:$L$56,4,FALSE)))</t>
  </si>
  <si>
    <t>=IF(ISNUMBER($L$6)=FALSE,"",
IF($C44=0,"",VLOOKUP($E44,SantoYusuf!$H$13:$L$56,5,FALSE)))</t>
  </si>
  <si>
    <t>=IF(ISNUMBER($L$6)=FALSE,"",
        IF(ISERROR(VLOOKUP($G44,SantoYusuf!$L$13:$AK$56,I$4,FALSE))=TRUE,"",
              VLOOKUP($G44,SantoYusuf!$L$13:$AK$56,I$4,FALSE)))</t>
  </si>
  <si>
    <t>=IF(ISNUMBER($L$6)=FALSE,"",
        IF(ISERROR(VLOOKUP($G44,SantoYusuf!$L$13:$AK$56,J$4,FALSE))=TRUE,"",
              VLOOKUP($G44,SantoYusuf!$L$13:$AK$56,J$4,FALSE)))</t>
  </si>
  <si>
    <t>=IF(ISNUMBER($L$6)=FALSE,"",
        IF(ISERROR(VLOOKUP($G44,SantoYusuf!$L$13:$AK$56,K$4,FALSE))=TRUE,"",
              VLOOKUP($G44,SantoYusuf!$L$13:$AK$56,K$4,FALSE)))</t>
  </si>
  <si>
    <t>=IF(ISNUMBER($L$6)=FALSE,"",
        IF(ISERROR(VLOOKUP($G44,SantoYusuf!$L$13:$AK$56,L$4,FALSE))=TRUE,"",
              VLOOKUP($G44,SantoYusuf!$L$13:$AK$56,L$4,FALSE)))</t>
  </si>
  <si>
    <t>=IF(ISNUMBER($L$6)=FALSE,"",
        IF(ISERROR(VLOOKUP($G44,SantoYusuf!$L$13:$AK$56,M$4,FALSE))=TRUE,"",
              VLOOKUP($G44,SantoYusuf!$L$13:$AK$56,M$4,FALSE)))</t>
  </si>
  <si>
    <t>=IF(ISNUMBER($L$6)=FALSE,"",
        IF(ISERROR(VLOOKUP($G44,SantoYusuf!$L$13:$AK$56,N$4,FALSE))=TRUE,"",
              VLOOKUP($G44,SantoYusuf!$L$13:$AK$56,N$4,FALSE)))</t>
  </si>
  <si>
    <t>=IF(ISNUMBER($L$6)=FALSE,"",
        IF(ISERROR(VLOOKUP($G44,SantoYusuf!$L$13:$AK$56,O$4,FALSE))=TRUE,"",
              VLOOKUP($G44,SantoYusuf!$L$13:$AK$56,O$4,FALSE)))</t>
  </si>
  <si>
    <t>=IF(ISNUMBER($L$6)=FALSE,"",
        IF(ISERROR(VLOOKUP($G44,SantoYusuf!$L$13:$AK$56,P$4,FALSE))=TRUE,"",
              VLOOKUP($G44,SantoYusuf!$L$13:$AK$56,P$4,FALSE)))</t>
  </si>
  <si>
    <t>=IF(ISNUMBER($L$6)=FALSE,"",
        IF(ISERROR(VLOOKUP($G44,SantoYusuf!$L$13:$AK$56,Q$4,FALSE))=TRUE,"",
              VLOOKUP($G44,SantoYusuf!$L$13:$AK$56,Q$4,FALSE)))</t>
  </si>
  <si>
    <t>=IF(ISNUMBER($L$6)=FALSE,"",
        IF(ISERROR(VLOOKUP($G44,SantoYusuf!$L$13:$AK$56,R$4,FALSE))=TRUE,"",
              VLOOKUP($G44,SantoYusuf!$L$13:$AK$56,R$4,FALSE)))</t>
  </si>
  <si>
    <t>=IF(ISNUMBER($L$6)=FALSE,"",
        IF(ISERROR(VLOOKUP($G44,SantoYusuf!$L$13:$AK$56,S$4,FALSE))=TRUE,"",
              VLOOKUP($G44,SantoYusuf!$L$13:$AK$56,S$4,FALSE)))</t>
  </si>
  <si>
    <t>=IF(ISNUMBER($L$6)=FALSE,"",
        IF(ISERROR(VLOOKUP($G44,SantoYusuf!$L$13:$AK$56,T$4,FALSE))=TRUE,"",
              VLOOKUP($G44,SantoYusuf!$L$13:$AK$56,T$4,FALSE)))</t>
  </si>
  <si>
    <t>=IF(ISNUMBER($L$6)=FALSE,"",
        IF(ISERROR(VLOOKUP($G44,SantoYusuf!$L$13:$AK$56,U$4,FALSE))=TRUE,"",
              VLOOKUP($G44,SantoYusuf!$L$13:$AK$56,U$4,FALSE)))</t>
  </si>
  <si>
    <t>=IF(ISNUMBER($L$6)=FALSE,"",
        IF(ISERROR(VLOOKUP($G44,SantoYusuf!$L$13:$AK$56,V$4,FALSE))=TRUE,"",
              VLOOKUP($G44,SantoYusuf!$L$13:$AK$56,V$4,FALSE)))</t>
  </si>
  <si>
    <t>=IF(ISNUMBER($L$6)=FALSE,"",
        IF(ISERROR(VLOOKUP($G44,SantoYusuf!$L$13:$AK$56,W$4,FALSE))=TRUE,"",
              VLOOKUP($G44,SantoYusuf!$L$13:$AK$56,W$4,FALSE)))</t>
  </si>
  <si>
    <t>=IF(ISNUMBER($L$6)=FALSE,"",
        IF(ISERROR(VLOOKUP($G44,SantoYusuf!$L$13:$AK$56,X$4,FALSE))=TRUE,"",
              VLOOKUP($G44,SantoYusuf!$L$13:$AK$56,X$4,FALSE)))</t>
  </si>
  <si>
    <t>=IF(ISNUMBER($L$6)=FALSE,"",
        IF(ISERROR(VLOOKUP($G44,SantoYusuf!$L$13:$AK$56,Y$4,FALSE))=TRUE,"",
              VLOOKUP($G44,SantoYusuf!$L$13:$AK$56,Y$4,FALSE)))</t>
  </si>
  <si>
    <t>=IF(ISNUMBER($L$6)=FALSE,"",
        IF(ISERROR(VLOOKUP($G44,SantoYusuf!$L$13:$AK$56,Z$4,FALSE))=TRUE,"",
              VLOOKUP($G44,SantoYusuf!$L$13:$AK$56,Z$4,FALSE)))</t>
  </si>
  <si>
    <t>=IF(ISNUMBER($L$6)=FALSE,"",
        IF(ISERROR(VLOOKUP($G44,SantoYusuf!$L$13:$AK$56,AA$4,FALSE))=TRUE,"",
              VLOOKUP($G44,SantoYusuf!$L$13:$AK$56,AA$4,FALSE)))</t>
  </si>
  <si>
    <t>=IF(ISNUMBER($L$6)=FALSE,"",
        IF(ISERROR(VLOOKUP($G44,SantoYusuf!$L$13:$AK$56,AB$4,FALSE))=TRUE,"",
              VLOOKUP($G44,SantoYusuf!$L$13:$AK$56,AB$4,FALSE)))</t>
  </si>
  <si>
    <t>=IF(ISNUMBER($L$6)=FALSE,"",
        IF(ISERROR(VLOOKUP($G44,SantoYusuf!$L$13:$AK$56,AC$4,FALSE))=TRUE,"",
              VLOOKUP($G44,SantoYusuf!$L$13:$AK$56,AC$4,FALSE)))</t>
  </si>
  <si>
    <t>=IF(ISNUMBER($L$6)=FALSE,"",
        IF(ISERROR(VLOOKUP($G44,SantoYusuf!$L$13:$AK$56,AD$4,FALSE))=TRUE,"",
              VLOOKUP($G44,SantoYusuf!$L$13:$AK$56,AD$4,FALSE)))</t>
  </si>
  <si>
    <t>=IF(ISNUMBER($L$6)=FALSE,"",
        IF(ISERROR(VLOOKUP($G44,SantoYusuf!$L$13:$AK$56,AE$4,FALSE))=TRUE,"",
              VLOOKUP($G44,SantoYusuf!$L$13:$AK$56,AE$4,FALSE)))</t>
  </si>
  <si>
    <t>=IF(ISNUMBER($L$6)=FALSE,"",
        IF(ISERROR(VLOOKUP($G44,SantoYusuf!$L$13:$AK$56,AF$4,FALSE))=TRUE,"",
              VLOOKUP($G44,SantoYusuf!$L$13:$AK$56,AF$4,FALSE)))</t>
  </si>
  <si>
    <t>=IF(ISNUMBER($L$6)=FALSE,"",
IF($C45=0,"",VLOOKUP($E45,SantoYusuf!$H$13:$L$56,4,FALSE)))</t>
  </si>
  <si>
    <t>=IF(ISNUMBER($L$6)=FALSE,"",
IF($C45=0,"",VLOOKUP($E45,SantoYusuf!$H$13:$L$56,5,FALSE)))</t>
  </si>
  <si>
    <t>=IF(ISNUMBER($L$6)=FALSE,"",
        IF(ISERROR(VLOOKUP($G45,SantoYusuf!$L$13:$AK$56,I$4,FALSE))=TRUE,"",
              VLOOKUP($G45,SantoYusuf!$L$13:$AK$56,I$4,FALSE)))</t>
  </si>
  <si>
    <t>=IF(ISNUMBER($L$6)=FALSE,"",
        IF(ISERROR(VLOOKUP($G45,SantoYusuf!$L$13:$AK$56,J$4,FALSE))=TRUE,"",
              VLOOKUP($G45,SantoYusuf!$L$13:$AK$56,J$4,FALSE)))</t>
  </si>
  <si>
    <t>=IF(ISNUMBER($L$6)=FALSE,"",
        IF(ISERROR(VLOOKUP($G45,SantoYusuf!$L$13:$AK$56,K$4,FALSE))=TRUE,"",
              VLOOKUP($G45,SantoYusuf!$L$13:$AK$56,K$4,FALSE)))</t>
  </si>
  <si>
    <t>=IF(ISNUMBER($L$6)=FALSE,"",
        IF(ISERROR(VLOOKUP($G45,SantoYusuf!$L$13:$AK$56,L$4,FALSE))=TRUE,"",
              VLOOKUP($G45,SantoYusuf!$L$13:$AK$56,L$4,FALSE)))</t>
  </si>
  <si>
    <t>=IF(ISNUMBER($L$6)=FALSE,"",
        IF(ISERROR(VLOOKUP($G45,SantoYusuf!$L$13:$AK$56,M$4,FALSE))=TRUE,"",
              VLOOKUP($G45,SantoYusuf!$L$13:$AK$56,M$4,FALSE)))</t>
  </si>
  <si>
    <t>=IF(ISNUMBER($L$6)=FALSE,"",
        IF(ISERROR(VLOOKUP($G45,SantoYusuf!$L$13:$AK$56,N$4,FALSE))=TRUE,"",
              VLOOKUP($G45,SantoYusuf!$L$13:$AK$56,N$4,FALSE)))</t>
  </si>
  <si>
    <t>=IF(ISNUMBER($L$6)=FALSE,"",
        IF(ISERROR(VLOOKUP($G45,SantoYusuf!$L$13:$AK$56,O$4,FALSE))=TRUE,"",
              VLOOKUP($G45,SantoYusuf!$L$13:$AK$56,O$4,FALSE)))</t>
  </si>
  <si>
    <t>=IF(ISNUMBER($L$6)=FALSE,"",
        IF(ISERROR(VLOOKUP($G45,SantoYusuf!$L$13:$AK$56,P$4,FALSE))=TRUE,"",
              VLOOKUP($G45,SantoYusuf!$L$13:$AK$56,P$4,FALSE)))</t>
  </si>
  <si>
    <t>=IF(ISNUMBER($L$6)=FALSE,"",
        IF(ISERROR(VLOOKUP($G45,SantoYusuf!$L$13:$AK$56,Q$4,FALSE))=TRUE,"",
              VLOOKUP($G45,SantoYusuf!$L$13:$AK$56,Q$4,FALSE)))</t>
  </si>
  <si>
    <t>=IF(ISNUMBER($L$6)=FALSE,"",
        IF(ISERROR(VLOOKUP($G45,SantoYusuf!$L$13:$AK$56,R$4,FALSE))=TRUE,"",
              VLOOKUP($G45,SantoYusuf!$L$13:$AK$56,R$4,FALSE)))</t>
  </si>
  <si>
    <t>=IF(ISNUMBER($L$6)=FALSE,"",
        IF(ISERROR(VLOOKUP($G45,SantoYusuf!$L$13:$AK$56,S$4,FALSE))=TRUE,"",
              VLOOKUP($G45,SantoYusuf!$L$13:$AK$56,S$4,FALSE)))</t>
  </si>
  <si>
    <t>=IF(ISNUMBER($L$6)=FALSE,"",
        IF(ISERROR(VLOOKUP($G45,SantoYusuf!$L$13:$AK$56,T$4,FALSE))=TRUE,"",
              VLOOKUP($G45,SantoYusuf!$L$13:$AK$56,T$4,FALSE)))</t>
  </si>
  <si>
    <t>=IF(ISNUMBER($L$6)=FALSE,"",
        IF(ISERROR(VLOOKUP($G45,SantoYusuf!$L$13:$AK$56,U$4,FALSE))=TRUE,"",
              VLOOKUP($G45,SantoYusuf!$L$13:$AK$56,U$4,FALSE)))</t>
  </si>
  <si>
    <t>=IF(ISNUMBER($L$6)=FALSE,"",
        IF(ISERROR(VLOOKUP($G45,SantoYusuf!$L$13:$AK$56,V$4,FALSE))=TRUE,"",
              VLOOKUP($G45,SantoYusuf!$L$13:$AK$56,V$4,FALSE)))</t>
  </si>
  <si>
    <t>=IF(ISNUMBER($L$6)=FALSE,"",
        IF(ISERROR(VLOOKUP($G45,SantoYusuf!$L$13:$AK$56,W$4,FALSE))=TRUE,"",
              VLOOKUP($G45,SantoYusuf!$L$13:$AK$56,W$4,FALSE)))</t>
  </si>
  <si>
    <t>=IF(ISNUMBER($L$6)=FALSE,"",
        IF(ISERROR(VLOOKUP($G45,SantoYusuf!$L$13:$AK$56,X$4,FALSE))=TRUE,"",
              VLOOKUP($G45,SantoYusuf!$L$13:$AK$56,X$4,FALSE)))</t>
  </si>
  <si>
    <t>=IF(ISNUMBER($L$6)=FALSE,"",
        IF(ISERROR(VLOOKUP($G45,SantoYusuf!$L$13:$AK$56,Y$4,FALSE))=TRUE,"",
              VLOOKUP($G45,SantoYusuf!$L$13:$AK$56,Y$4,FALSE)))</t>
  </si>
  <si>
    <t>=IF(ISNUMBER($L$6)=FALSE,"",
        IF(ISERROR(VLOOKUP($G45,SantoYusuf!$L$13:$AK$56,Z$4,FALSE))=TRUE,"",
              VLOOKUP($G45,SantoYusuf!$L$13:$AK$56,Z$4,FALSE)))</t>
  </si>
  <si>
    <t>=IF(ISNUMBER($L$6)=FALSE,"",
        IF(ISERROR(VLOOKUP($G45,SantoYusuf!$L$13:$AK$56,AA$4,FALSE))=TRUE,"",
              VLOOKUP($G45,SantoYusuf!$L$13:$AK$56,AA$4,FALSE)))</t>
  </si>
  <si>
    <t>=IF(ISNUMBER($L$6)=FALSE,"",
        IF(ISERROR(VLOOKUP($G45,SantoYusuf!$L$13:$AK$56,AB$4,FALSE))=TRUE,"",
              VLOOKUP($G45,SantoYusuf!$L$13:$AK$56,AB$4,FALSE)))</t>
  </si>
  <si>
    <t>=IF(ISNUMBER($L$6)=FALSE,"",
        IF(ISERROR(VLOOKUP($G45,SantoYusuf!$L$13:$AK$56,AC$4,FALSE))=TRUE,"",
              VLOOKUP($G45,SantoYusuf!$L$13:$AK$56,AC$4,FALSE)))</t>
  </si>
  <si>
    <t>=IF(ISNUMBER($L$6)=FALSE,"",
        IF(ISERROR(VLOOKUP($G45,SantoYusuf!$L$13:$AK$56,AD$4,FALSE))=TRUE,"",
              VLOOKUP($G45,SantoYusuf!$L$13:$AK$56,AD$4,FALSE)))</t>
  </si>
  <si>
    <t>=IF(ISNUMBER($L$6)=FALSE,"",
        IF(ISERROR(VLOOKUP($G45,SantoYusuf!$L$13:$AK$56,AE$4,FALSE))=TRUE,"",
              VLOOKUP($G45,SantoYusuf!$L$13:$AK$56,AE$4,FALSE)))</t>
  </si>
  <si>
    <t>=IF(ISNUMBER($L$6)=FALSE,"",
        IF(ISERROR(VLOOKUP($G45,SantoYusuf!$L$13:$AK$56,AF$4,FALSE))=TRUE,"",
              VLOOKUP($G45,SantoYusuf!$L$13:$AK$56,AF$4,FALSE)))</t>
  </si>
  <si>
    <t>=IF(ISNUMBER($L$6)=FALSE,"",
IF($C46=0,"",VLOOKUP($E46,SantoYusuf!$H$13:$L$56,4,FALSE)))</t>
  </si>
  <si>
    <t>=IF(ISNUMBER($L$6)=FALSE,"",
IF($C46=0,"",VLOOKUP($E46,SantoYusuf!$H$13:$L$56,5,FALSE)))</t>
  </si>
  <si>
    <t>=IF(ISNUMBER($L$6)=FALSE,"",
        IF(ISERROR(VLOOKUP($G46,SantoYusuf!$L$13:$AK$56,I$4,FALSE))=TRUE,"",
              VLOOKUP($G46,SantoYusuf!$L$13:$AK$56,I$4,FALSE)))</t>
  </si>
  <si>
    <t>=IF(ISNUMBER($L$6)=FALSE,"",
        IF(ISERROR(VLOOKUP($G46,SantoYusuf!$L$13:$AK$56,J$4,FALSE))=TRUE,"",
              VLOOKUP($G46,SantoYusuf!$L$13:$AK$56,J$4,FALSE)))</t>
  </si>
  <si>
    <t>=IF(ISNUMBER($L$6)=FALSE,"",
        IF(ISERROR(VLOOKUP($G46,SantoYusuf!$L$13:$AK$56,K$4,FALSE))=TRUE,"",
              VLOOKUP($G46,SantoYusuf!$L$13:$AK$56,K$4,FALSE)))</t>
  </si>
  <si>
    <t>=IF(ISNUMBER($L$6)=FALSE,"",
        IF(ISERROR(VLOOKUP($G46,SantoYusuf!$L$13:$AK$56,L$4,FALSE))=TRUE,"",
              VLOOKUP($G46,SantoYusuf!$L$13:$AK$56,L$4,FALSE)))</t>
  </si>
  <si>
    <t>=IF(ISNUMBER($L$6)=FALSE,"",
        IF(ISERROR(VLOOKUP($G46,SantoYusuf!$L$13:$AK$56,M$4,FALSE))=TRUE,"",
              VLOOKUP($G46,SantoYusuf!$L$13:$AK$56,M$4,FALSE)))</t>
  </si>
  <si>
    <t>=IF(ISNUMBER($L$6)=FALSE,"",
        IF(ISERROR(VLOOKUP($G46,SantoYusuf!$L$13:$AK$56,N$4,FALSE))=TRUE,"",
              VLOOKUP($G46,SantoYusuf!$L$13:$AK$56,N$4,FALSE)))</t>
  </si>
  <si>
    <t>=IF(ISNUMBER($L$6)=FALSE,"",
        IF(ISERROR(VLOOKUP($G46,SantoYusuf!$L$13:$AK$56,O$4,FALSE))=TRUE,"",
              VLOOKUP($G46,SantoYusuf!$L$13:$AK$56,O$4,FALSE)))</t>
  </si>
  <si>
    <t>=IF(ISNUMBER($L$6)=FALSE,"",
        IF(ISERROR(VLOOKUP($G46,SantoYusuf!$L$13:$AK$56,P$4,FALSE))=TRUE,"",
              VLOOKUP($G46,SantoYusuf!$L$13:$AK$56,P$4,FALSE)))</t>
  </si>
  <si>
    <t>=IF(ISNUMBER($L$6)=FALSE,"",
        IF(ISERROR(VLOOKUP($G46,SantoYusuf!$L$13:$AK$56,Q$4,FALSE))=TRUE,"",
              VLOOKUP($G46,SantoYusuf!$L$13:$AK$56,Q$4,FALSE)))</t>
  </si>
  <si>
    <t>=IF(ISNUMBER($L$6)=FALSE,"",
        IF(ISERROR(VLOOKUP($G46,SantoYusuf!$L$13:$AK$56,R$4,FALSE))=TRUE,"",
              VLOOKUP($G46,SantoYusuf!$L$13:$AK$56,R$4,FALSE)))</t>
  </si>
  <si>
    <t>=IF(ISNUMBER($L$6)=FALSE,"",
        IF(ISERROR(VLOOKUP($G46,SantoYusuf!$L$13:$AK$56,S$4,FALSE))=TRUE,"",
              VLOOKUP($G46,SantoYusuf!$L$13:$AK$56,S$4,FALSE)))</t>
  </si>
  <si>
    <t>=IF(ISNUMBER($L$6)=FALSE,"",
        IF(ISERROR(VLOOKUP($G46,SantoYusuf!$L$13:$AK$56,T$4,FALSE))=TRUE,"",
              VLOOKUP($G46,SantoYusuf!$L$13:$AK$56,T$4,FALSE)))</t>
  </si>
  <si>
    <t>=IF(ISNUMBER($L$6)=FALSE,"",
        IF(ISERROR(VLOOKUP($G46,SantoYusuf!$L$13:$AK$56,U$4,FALSE))=TRUE,"",
              VLOOKUP($G46,SantoYusuf!$L$13:$AK$56,U$4,FALSE)))</t>
  </si>
  <si>
    <t>=IF(ISNUMBER($L$6)=FALSE,"",
        IF(ISERROR(VLOOKUP($G46,SantoYusuf!$L$13:$AK$56,V$4,FALSE))=TRUE,"",
              VLOOKUP($G46,SantoYusuf!$L$13:$AK$56,V$4,FALSE)))</t>
  </si>
  <si>
    <t>=IF(ISNUMBER($L$6)=FALSE,"",
        IF(ISERROR(VLOOKUP($G46,SantoYusuf!$L$13:$AK$56,W$4,FALSE))=TRUE,"",
              VLOOKUP($G46,SantoYusuf!$L$13:$AK$56,W$4,FALSE)))</t>
  </si>
  <si>
    <t>=IF(ISNUMBER($L$6)=FALSE,"",
        IF(ISERROR(VLOOKUP($G46,SantoYusuf!$L$13:$AK$56,X$4,FALSE))=TRUE,"",
              VLOOKUP($G46,SantoYusuf!$L$13:$AK$56,X$4,FALSE)))</t>
  </si>
  <si>
    <t>=IF(ISNUMBER($L$6)=FALSE,"",
        IF(ISERROR(VLOOKUP($G46,SantoYusuf!$L$13:$AK$56,Y$4,FALSE))=TRUE,"",
              VLOOKUP($G46,SantoYusuf!$L$13:$AK$56,Y$4,FALSE)))</t>
  </si>
  <si>
    <t>=IF(ISNUMBER($L$6)=FALSE,"",
        IF(ISERROR(VLOOKUP($G46,SantoYusuf!$L$13:$AK$56,Z$4,FALSE))=TRUE,"",
              VLOOKUP($G46,SantoYusuf!$L$13:$AK$56,Z$4,FALSE)))</t>
  </si>
  <si>
    <t>=IF(ISNUMBER($L$6)=FALSE,"",
        IF(ISERROR(VLOOKUP($G46,SantoYusuf!$L$13:$AK$56,AA$4,FALSE))=TRUE,"",
              VLOOKUP($G46,SantoYusuf!$L$13:$AK$56,AA$4,FALSE)))</t>
  </si>
  <si>
    <t>=IF(ISNUMBER($L$6)=FALSE,"",
        IF(ISERROR(VLOOKUP($G46,SantoYusuf!$L$13:$AK$56,AB$4,FALSE))=TRUE,"",
              VLOOKUP($G46,SantoYusuf!$L$13:$AK$56,AB$4,FALSE)))</t>
  </si>
  <si>
    <t>=IF(ISNUMBER($L$6)=FALSE,"",
        IF(ISERROR(VLOOKUP($G46,SantoYusuf!$L$13:$AK$56,AC$4,FALSE))=TRUE,"",
              VLOOKUP($G46,SantoYusuf!$L$13:$AK$56,AC$4,FALSE)))</t>
  </si>
  <si>
    <t>=IF(ISNUMBER($L$6)=FALSE,"",
        IF(ISERROR(VLOOKUP($G46,SantoYusuf!$L$13:$AK$56,AD$4,FALSE))=TRUE,"",
              VLOOKUP($G46,SantoYusuf!$L$13:$AK$56,AD$4,FALSE)))</t>
  </si>
  <si>
    <t>=IF(ISNUMBER($L$6)=FALSE,"",
        IF(ISERROR(VLOOKUP($G46,SantoYusuf!$L$13:$AK$56,AE$4,FALSE))=TRUE,"",
              VLOOKUP($G46,SantoYusuf!$L$13:$AK$56,AE$4,FALSE)))</t>
  </si>
  <si>
    <t>=IF(ISNUMBER($L$6)=FALSE,"",
        IF(ISERROR(VLOOKUP($G46,SantoYusuf!$L$13:$AK$56,AF$4,FALSE))=TRUE,"",
              VLOOKUP($G46,SantoYusuf!$L$13:$AK$56,AF$4,FALSE)))</t>
  </si>
  <si>
    <t>=IF(ISNUMBER($L$6)=FALSE,"",
IF($C47=0,"",VLOOKUP($E47,SantoYusuf!$H$13:$L$56,4,FALSE)))</t>
  </si>
  <si>
    <t>=IF(ISNUMBER($L$6)=FALSE,"",
IF($C47=0,"",VLOOKUP($E47,SantoYusuf!$H$13:$L$56,5,FALSE)))</t>
  </si>
  <si>
    <t>=IF(ISNUMBER($L$6)=FALSE,"",
        IF(ISERROR(VLOOKUP($G47,SantoYusuf!$L$13:$AK$56,I$4,FALSE))=TRUE,"",
              VLOOKUP($G47,SantoYusuf!$L$13:$AK$56,I$4,FALSE)))</t>
  </si>
  <si>
    <t>=IF(ISNUMBER($L$6)=FALSE,"",
        IF(ISERROR(VLOOKUP($G47,SantoYusuf!$L$13:$AK$56,J$4,FALSE))=TRUE,"",
              VLOOKUP($G47,SantoYusuf!$L$13:$AK$56,J$4,FALSE)))</t>
  </si>
  <si>
    <t>=IF(ISNUMBER($L$6)=FALSE,"",
        IF(ISERROR(VLOOKUP($G47,SantoYusuf!$L$13:$AK$56,K$4,FALSE))=TRUE,"",
              VLOOKUP($G47,SantoYusuf!$L$13:$AK$56,K$4,FALSE)))</t>
  </si>
  <si>
    <t>=IF(ISNUMBER($L$6)=FALSE,"",
        IF(ISERROR(VLOOKUP($G47,SantoYusuf!$L$13:$AK$56,L$4,FALSE))=TRUE,"",
              VLOOKUP($G47,SantoYusuf!$L$13:$AK$56,L$4,FALSE)))</t>
  </si>
  <si>
    <t>=IF(ISNUMBER($L$6)=FALSE,"",
        IF(ISERROR(VLOOKUP($G47,SantoYusuf!$L$13:$AK$56,M$4,FALSE))=TRUE,"",
              VLOOKUP($G47,SantoYusuf!$L$13:$AK$56,M$4,FALSE)))</t>
  </si>
  <si>
    <t>=IF(ISNUMBER($L$6)=FALSE,"",
        IF(ISERROR(VLOOKUP($G47,SantoYusuf!$L$13:$AK$56,N$4,FALSE))=TRUE,"",
              VLOOKUP($G47,SantoYusuf!$L$13:$AK$56,N$4,FALSE)))</t>
  </si>
  <si>
    <t>=IF(ISNUMBER($L$6)=FALSE,"",
        IF(ISERROR(VLOOKUP($G47,SantoYusuf!$L$13:$AK$56,O$4,FALSE))=TRUE,"",
              VLOOKUP($G47,SantoYusuf!$L$13:$AK$56,O$4,FALSE)))</t>
  </si>
  <si>
    <t>=IF(ISNUMBER($L$6)=FALSE,"",
        IF(ISERROR(VLOOKUP($G47,SantoYusuf!$L$13:$AK$56,P$4,FALSE))=TRUE,"",
              VLOOKUP($G47,SantoYusuf!$L$13:$AK$56,P$4,FALSE)))</t>
  </si>
  <si>
    <t>=IF(ISNUMBER($L$6)=FALSE,"",
        IF(ISERROR(VLOOKUP($G47,SantoYusuf!$L$13:$AK$56,Q$4,FALSE))=TRUE,"",
              VLOOKUP($G47,SantoYusuf!$L$13:$AK$56,Q$4,FALSE)))</t>
  </si>
  <si>
    <t>=IF(ISNUMBER($L$6)=FALSE,"",
        IF(ISERROR(VLOOKUP($G47,SantoYusuf!$L$13:$AK$56,R$4,FALSE))=TRUE,"",
              VLOOKUP($G47,SantoYusuf!$L$13:$AK$56,R$4,FALSE)))</t>
  </si>
  <si>
    <t>=IF(ISNUMBER($L$6)=FALSE,"",
        IF(ISERROR(VLOOKUP($G47,SantoYusuf!$L$13:$AK$56,S$4,FALSE))=TRUE,"",
              VLOOKUP($G47,SantoYusuf!$L$13:$AK$56,S$4,FALSE)))</t>
  </si>
  <si>
    <t>=IF(ISNUMBER($L$6)=FALSE,"",
        IF(ISERROR(VLOOKUP($G47,SantoYusuf!$L$13:$AK$56,T$4,FALSE))=TRUE,"",
              VLOOKUP($G47,SantoYusuf!$L$13:$AK$56,T$4,FALSE)))</t>
  </si>
  <si>
    <t>=IF(ISNUMBER($L$6)=FALSE,"",
        IF(ISERROR(VLOOKUP($G47,SantoYusuf!$L$13:$AK$56,U$4,FALSE))=TRUE,"",
              VLOOKUP($G47,SantoYusuf!$L$13:$AK$56,U$4,FALSE)))</t>
  </si>
  <si>
    <t>=IF(ISNUMBER($L$6)=FALSE,"",
        IF(ISERROR(VLOOKUP($G47,SantoYusuf!$L$13:$AK$56,V$4,FALSE))=TRUE,"",
              VLOOKUP($G47,SantoYusuf!$L$13:$AK$56,V$4,FALSE)))</t>
  </si>
  <si>
    <t>=IF(ISNUMBER($L$6)=FALSE,"",
        IF(ISERROR(VLOOKUP($G47,SantoYusuf!$L$13:$AK$56,W$4,FALSE))=TRUE,"",
              VLOOKUP($G47,SantoYusuf!$L$13:$AK$56,W$4,FALSE)))</t>
  </si>
  <si>
    <t>=IF(ISNUMBER($L$6)=FALSE,"",
        IF(ISERROR(VLOOKUP($G47,SantoYusuf!$L$13:$AK$56,X$4,FALSE))=TRUE,"",
              VLOOKUP($G47,SantoYusuf!$L$13:$AK$56,X$4,FALSE)))</t>
  </si>
  <si>
    <t>=IF(ISNUMBER($L$6)=FALSE,"",
        IF(ISERROR(VLOOKUP($G47,SantoYusuf!$L$13:$AK$56,Y$4,FALSE))=TRUE,"",
              VLOOKUP($G47,SantoYusuf!$L$13:$AK$56,Y$4,FALSE)))</t>
  </si>
  <si>
    <t>=IF(ISNUMBER($L$6)=FALSE,"",
        IF(ISERROR(VLOOKUP($G47,SantoYusuf!$L$13:$AK$56,Z$4,FALSE))=TRUE,"",
              VLOOKUP($G47,SantoYusuf!$L$13:$AK$56,Z$4,FALSE)))</t>
  </si>
  <si>
    <t>=IF(ISNUMBER($L$6)=FALSE,"",
        IF(ISERROR(VLOOKUP($G47,SantoYusuf!$L$13:$AK$56,AA$4,FALSE))=TRUE,"",
              VLOOKUP($G47,SantoYusuf!$L$13:$AK$56,AA$4,FALSE)))</t>
  </si>
  <si>
    <t>=IF(ISNUMBER($L$6)=FALSE,"",
        IF(ISERROR(VLOOKUP($G47,SantoYusuf!$L$13:$AK$56,AB$4,FALSE))=TRUE,"",
              VLOOKUP($G47,SantoYusuf!$L$13:$AK$56,AB$4,FALSE)))</t>
  </si>
  <si>
    <t>=IF(ISNUMBER($L$6)=FALSE,"",
        IF(ISERROR(VLOOKUP($G47,SantoYusuf!$L$13:$AK$56,AC$4,FALSE))=TRUE,"",
              VLOOKUP($G47,SantoYusuf!$L$13:$AK$56,AC$4,FALSE)))</t>
  </si>
  <si>
    <t>=IF(ISNUMBER($L$6)=FALSE,"",
        IF(ISERROR(VLOOKUP($G47,SantoYusuf!$L$13:$AK$56,AD$4,FALSE))=TRUE,"",
              VLOOKUP($G47,SantoYusuf!$L$13:$AK$56,AD$4,FALSE)))</t>
  </si>
  <si>
    <t>=IF(ISNUMBER($L$6)=FALSE,"",
        IF(ISERROR(VLOOKUP($G47,SantoYusuf!$L$13:$AK$56,AE$4,FALSE))=TRUE,"",
              VLOOKUP($G47,SantoYusuf!$L$13:$AK$56,AE$4,FALSE)))</t>
  </si>
  <si>
    <t>=IF(ISNUMBER($L$6)=FALSE,"",
        IF(ISERROR(VLOOKUP($G47,SantoYusuf!$L$13:$AK$56,AF$4,FALSE))=TRUE,"",
              VLOOKUP($G47,SantoYusuf!$L$13:$AK$56,AF$4,FALSE)))</t>
  </si>
  <si>
    <t>=IF(ISNUMBER($L$6)=FALSE,"",
IF($C48=0,"",VLOOKUP($E48,SantoYusuf!$H$13:$L$56,4,FALSE)))</t>
  </si>
  <si>
    <t>=IF(ISNUMBER($L$6)=FALSE,"",
IF($C48=0,"",VLOOKUP($E48,SantoYusuf!$H$13:$L$56,5,FALSE)))</t>
  </si>
  <si>
    <t>=IF(ISNUMBER($L$6)=FALSE,"",
        IF(ISERROR(VLOOKUP($G48,SantoYusuf!$L$13:$AK$56,I$4,FALSE))=TRUE,"",
              VLOOKUP($G48,SantoYusuf!$L$13:$AK$56,I$4,FALSE)))</t>
  </si>
  <si>
    <t>=IF(ISNUMBER($L$6)=FALSE,"",
        IF(ISERROR(VLOOKUP($G48,SantoYusuf!$L$13:$AK$56,J$4,FALSE))=TRUE,"",
              VLOOKUP($G48,SantoYusuf!$L$13:$AK$56,J$4,FALSE)))</t>
  </si>
  <si>
    <t>=IF(ISNUMBER($L$6)=FALSE,"",
        IF(ISERROR(VLOOKUP($G48,SantoYusuf!$L$13:$AK$56,K$4,FALSE))=TRUE,"",
              VLOOKUP($G48,SantoYusuf!$L$13:$AK$56,K$4,FALSE)))</t>
  </si>
  <si>
    <t>=IF(ISNUMBER($L$6)=FALSE,"",
        IF(ISERROR(VLOOKUP($G48,SantoYusuf!$L$13:$AK$56,L$4,FALSE))=TRUE,"",
              VLOOKUP($G48,SantoYusuf!$L$13:$AK$56,L$4,FALSE)))</t>
  </si>
  <si>
    <t>=IF(ISNUMBER($L$6)=FALSE,"",
        IF(ISERROR(VLOOKUP($G48,SantoYusuf!$L$13:$AK$56,M$4,FALSE))=TRUE,"",
              VLOOKUP($G48,SantoYusuf!$L$13:$AK$56,M$4,FALSE)))</t>
  </si>
  <si>
    <t>=IF(ISNUMBER($L$6)=FALSE,"",
        IF(ISERROR(VLOOKUP($G48,SantoYusuf!$L$13:$AK$56,N$4,FALSE))=TRUE,"",
              VLOOKUP($G48,SantoYusuf!$L$13:$AK$56,N$4,FALSE)))</t>
  </si>
  <si>
    <t>=IF(ISNUMBER($L$6)=FALSE,"",
        IF(ISERROR(VLOOKUP($G48,SantoYusuf!$L$13:$AK$56,O$4,FALSE))=TRUE,"",
              VLOOKUP($G48,SantoYusuf!$L$13:$AK$56,O$4,FALSE)))</t>
  </si>
  <si>
    <t>=IF(ISNUMBER($L$6)=FALSE,"",
        IF(ISERROR(VLOOKUP($G48,SantoYusuf!$L$13:$AK$56,P$4,FALSE))=TRUE,"",
              VLOOKUP($G48,SantoYusuf!$L$13:$AK$56,P$4,FALSE)))</t>
  </si>
  <si>
    <t>=IF(ISNUMBER($L$6)=FALSE,"",
        IF(ISERROR(VLOOKUP($G48,SantoYusuf!$L$13:$AK$56,Q$4,FALSE))=TRUE,"",
              VLOOKUP($G48,SantoYusuf!$L$13:$AK$56,Q$4,FALSE)))</t>
  </si>
  <si>
    <t>=IF(ISNUMBER($L$6)=FALSE,"",
        IF(ISERROR(VLOOKUP($G48,SantoYusuf!$L$13:$AK$56,R$4,FALSE))=TRUE,"",
              VLOOKUP($G48,SantoYusuf!$L$13:$AK$56,R$4,FALSE)))</t>
  </si>
  <si>
    <t>=IF(ISNUMBER($L$6)=FALSE,"",
        IF(ISERROR(VLOOKUP($G48,SantoYusuf!$L$13:$AK$56,S$4,FALSE))=TRUE,"",
              VLOOKUP($G48,SantoYusuf!$L$13:$AK$56,S$4,FALSE)))</t>
  </si>
  <si>
    <t>=IF(ISNUMBER($L$6)=FALSE,"",
        IF(ISERROR(VLOOKUP($G48,SantoYusuf!$L$13:$AK$56,T$4,FALSE))=TRUE,"",
              VLOOKUP($G48,SantoYusuf!$L$13:$AK$56,T$4,FALSE)))</t>
  </si>
  <si>
    <t>=IF(ISNUMBER($L$6)=FALSE,"",
        IF(ISERROR(VLOOKUP($G48,SantoYusuf!$L$13:$AK$56,U$4,FALSE))=TRUE,"",
              VLOOKUP($G48,SantoYusuf!$L$13:$AK$56,U$4,FALSE)))</t>
  </si>
  <si>
    <t>=IF(ISNUMBER($L$6)=FALSE,"",
        IF(ISERROR(VLOOKUP($G48,SantoYusuf!$L$13:$AK$56,V$4,FALSE))=TRUE,"",
              VLOOKUP($G48,SantoYusuf!$L$13:$AK$56,V$4,FALSE)))</t>
  </si>
  <si>
    <t>=IF(ISNUMBER($L$6)=FALSE,"",
        IF(ISERROR(VLOOKUP($G48,SantoYusuf!$L$13:$AK$56,W$4,FALSE))=TRUE,"",
              VLOOKUP($G48,SantoYusuf!$L$13:$AK$56,W$4,FALSE)))</t>
  </si>
  <si>
    <t>=IF(ISNUMBER($L$6)=FALSE,"",
        IF(ISERROR(VLOOKUP($G48,SantoYusuf!$L$13:$AK$56,X$4,FALSE))=TRUE,"",
              VLOOKUP($G48,SantoYusuf!$L$13:$AK$56,X$4,FALSE)))</t>
  </si>
  <si>
    <t>=IF(ISNUMBER($L$6)=FALSE,"",
        IF(ISERROR(VLOOKUP($G48,SantoYusuf!$L$13:$AK$56,Y$4,FALSE))=TRUE,"",
              VLOOKUP($G48,SantoYusuf!$L$13:$AK$56,Y$4,FALSE)))</t>
  </si>
  <si>
    <t>=IF(ISNUMBER($L$6)=FALSE,"",
        IF(ISERROR(VLOOKUP($G48,SantoYusuf!$L$13:$AK$56,Z$4,FALSE))=TRUE,"",
              VLOOKUP($G48,SantoYusuf!$L$13:$AK$56,Z$4,FALSE)))</t>
  </si>
  <si>
    <t>=IF(ISNUMBER($L$6)=FALSE,"",
        IF(ISERROR(VLOOKUP($G48,SantoYusuf!$L$13:$AK$56,AA$4,FALSE))=TRUE,"",
              VLOOKUP($G48,SantoYusuf!$L$13:$AK$56,AA$4,FALSE)))</t>
  </si>
  <si>
    <t>=IF(ISNUMBER($L$6)=FALSE,"",
        IF(ISERROR(VLOOKUP($G48,SantoYusuf!$L$13:$AK$56,AB$4,FALSE))=TRUE,"",
              VLOOKUP($G48,SantoYusuf!$L$13:$AK$56,AB$4,FALSE)))</t>
  </si>
  <si>
    <t>=IF(ISNUMBER($L$6)=FALSE,"",
        IF(ISERROR(VLOOKUP($G48,SantoYusuf!$L$13:$AK$56,AC$4,FALSE))=TRUE,"",
              VLOOKUP($G48,SantoYusuf!$L$13:$AK$56,AC$4,FALSE)))</t>
  </si>
  <si>
    <t>=IF(ISNUMBER($L$6)=FALSE,"",
        IF(ISERROR(VLOOKUP($G48,SantoYusuf!$L$13:$AK$56,AD$4,FALSE))=TRUE,"",
              VLOOKUP($G48,SantoYusuf!$L$13:$AK$56,AD$4,FALSE)))</t>
  </si>
  <si>
    <t>=IF(ISNUMBER($L$6)=FALSE,"",
        IF(ISERROR(VLOOKUP($G48,SantoYusuf!$L$13:$AK$56,AE$4,FALSE))=TRUE,"",
              VLOOKUP($G48,SantoYusuf!$L$13:$AK$56,AE$4,FALSE)))</t>
  </si>
  <si>
    <t>=IF(ISNUMBER($L$6)=FALSE,"",
        IF(ISERROR(VLOOKUP($G48,SantoYusuf!$L$13:$AK$56,AF$4,FALSE))=TRUE,"",
              VLOOKUP($G48,SantoYusuf!$L$13:$AK$56,AF$4,FALSE)))</t>
  </si>
  <si>
    <t>=IF(ISNUMBER($L$6)=FALSE,"",
IF($C49=0,"",VLOOKUP($E49,SantoYusuf!$H$13:$L$56,4,FALSE)))</t>
  </si>
  <si>
    <t>=IF(ISNUMBER($L$6)=FALSE,"",
IF($C49=0,"",VLOOKUP($E49,SantoYusuf!$H$13:$L$56,5,FALSE)))</t>
  </si>
  <si>
    <t>=IF(ISNUMBER($L$6)=FALSE,"",
        IF(ISERROR(VLOOKUP($G49,SantoYusuf!$L$13:$AK$56,I$4,FALSE))=TRUE,"",
              VLOOKUP($G49,SantoYusuf!$L$13:$AK$56,I$4,FALSE)))</t>
  </si>
  <si>
    <t>=IF(ISNUMBER($L$6)=FALSE,"",
        IF(ISERROR(VLOOKUP($G49,SantoYusuf!$L$13:$AK$56,J$4,FALSE))=TRUE,"",
              VLOOKUP($G49,SantoYusuf!$L$13:$AK$56,J$4,FALSE)))</t>
  </si>
  <si>
    <t>=IF(ISNUMBER($L$6)=FALSE,"",
        IF(ISERROR(VLOOKUP($G49,SantoYusuf!$L$13:$AK$56,K$4,FALSE))=TRUE,"",
              VLOOKUP($G49,SantoYusuf!$L$13:$AK$56,K$4,FALSE)))</t>
  </si>
  <si>
    <t>=IF(ISNUMBER($L$6)=FALSE,"",
        IF(ISERROR(VLOOKUP($G49,SantoYusuf!$L$13:$AK$56,L$4,FALSE))=TRUE,"",
              VLOOKUP($G49,SantoYusuf!$L$13:$AK$56,L$4,FALSE)))</t>
  </si>
  <si>
    <t>=IF(ISNUMBER($L$6)=FALSE,"",
        IF(ISERROR(VLOOKUP($G49,SantoYusuf!$L$13:$AK$56,M$4,FALSE))=TRUE,"",
              VLOOKUP($G49,SantoYusuf!$L$13:$AK$56,M$4,FALSE)))</t>
  </si>
  <si>
    <t>=IF(ISNUMBER($L$6)=FALSE,"",
        IF(ISERROR(VLOOKUP($G49,SantoYusuf!$L$13:$AK$56,N$4,FALSE))=TRUE,"",
              VLOOKUP($G49,SantoYusuf!$L$13:$AK$56,N$4,FALSE)))</t>
  </si>
  <si>
    <t>=IF(ISNUMBER($L$6)=FALSE,"",
        IF(ISERROR(VLOOKUP($G49,SantoYusuf!$L$13:$AK$56,O$4,FALSE))=TRUE,"",
              VLOOKUP($G49,SantoYusuf!$L$13:$AK$56,O$4,FALSE)))</t>
  </si>
  <si>
    <t>=IF(ISNUMBER($L$6)=FALSE,"",
        IF(ISERROR(VLOOKUP($G49,SantoYusuf!$L$13:$AK$56,P$4,FALSE))=TRUE,"",
              VLOOKUP($G49,SantoYusuf!$L$13:$AK$56,P$4,FALSE)))</t>
  </si>
  <si>
    <t>=IF(ISNUMBER($L$6)=FALSE,"",
        IF(ISERROR(VLOOKUP($G49,SantoYusuf!$L$13:$AK$56,Q$4,FALSE))=TRUE,"",
              VLOOKUP($G49,SantoYusuf!$L$13:$AK$56,Q$4,FALSE)))</t>
  </si>
  <si>
    <t>=IF(ISNUMBER($L$6)=FALSE,"",
        IF(ISERROR(VLOOKUP($G49,SantoYusuf!$L$13:$AK$56,R$4,FALSE))=TRUE,"",
              VLOOKUP($G49,SantoYusuf!$L$13:$AK$56,R$4,FALSE)))</t>
  </si>
  <si>
    <t>=IF(ISNUMBER($L$6)=FALSE,"",
        IF(ISERROR(VLOOKUP($G49,SantoYusuf!$L$13:$AK$56,S$4,FALSE))=TRUE,"",
              VLOOKUP($G49,SantoYusuf!$L$13:$AK$56,S$4,FALSE)))</t>
  </si>
  <si>
    <t>=IF(ISNUMBER($L$6)=FALSE,"",
        IF(ISERROR(VLOOKUP($G49,SantoYusuf!$L$13:$AK$56,T$4,FALSE))=TRUE,"",
              VLOOKUP($G49,SantoYusuf!$L$13:$AK$56,T$4,FALSE)))</t>
  </si>
  <si>
    <t>=IF(ISNUMBER($L$6)=FALSE,"",
        IF(ISERROR(VLOOKUP($G49,SantoYusuf!$L$13:$AK$56,U$4,FALSE))=TRUE,"",
              VLOOKUP($G49,SantoYusuf!$L$13:$AK$56,U$4,FALSE)))</t>
  </si>
  <si>
    <t>=IF(ISNUMBER($L$6)=FALSE,"",
        IF(ISERROR(VLOOKUP($G49,SantoYusuf!$L$13:$AK$56,V$4,FALSE))=TRUE,"",
              VLOOKUP($G49,SantoYusuf!$L$13:$AK$56,V$4,FALSE)))</t>
  </si>
  <si>
    <t>=IF(ISNUMBER($L$6)=FALSE,"",
        IF(ISERROR(VLOOKUP($G49,SantoYusuf!$L$13:$AK$56,W$4,FALSE))=TRUE,"",
              VLOOKUP($G49,SantoYusuf!$L$13:$AK$56,W$4,FALSE)))</t>
  </si>
  <si>
    <t>=IF(ISNUMBER($L$6)=FALSE,"",
        IF(ISERROR(VLOOKUP($G49,SantoYusuf!$L$13:$AK$56,X$4,FALSE))=TRUE,"",
              VLOOKUP($G49,SantoYusuf!$L$13:$AK$56,X$4,FALSE)))</t>
  </si>
  <si>
    <t>=IF(ISNUMBER($L$6)=FALSE,"",
        IF(ISERROR(VLOOKUP($G49,SantoYusuf!$L$13:$AK$56,Y$4,FALSE))=TRUE,"",
              VLOOKUP($G49,SantoYusuf!$L$13:$AK$56,Y$4,FALSE)))</t>
  </si>
  <si>
    <t>=IF(ISNUMBER($L$6)=FALSE,"",
        IF(ISERROR(VLOOKUP($G49,SantoYusuf!$L$13:$AK$56,Z$4,FALSE))=TRUE,"",
              VLOOKUP($G49,SantoYusuf!$L$13:$AK$56,Z$4,FALSE)))</t>
  </si>
  <si>
    <t>=IF(ISNUMBER($L$6)=FALSE,"",
        IF(ISERROR(VLOOKUP($G49,SantoYusuf!$L$13:$AK$56,AA$4,FALSE))=TRUE,"",
              VLOOKUP($G49,SantoYusuf!$L$13:$AK$56,AA$4,FALSE)))</t>
  </si>
  <si>
    <t>=IF(ISNUMBER($L$6)=FALSE,"",
        IF(ISERROR(VLOOKUP($G49,SantoYusuf!$L$13:$AK$56,AB$4,FALSE))=TRUE,"",
              VLOOKUP($G49,SantoYusuf!$L$13:$AK$56,AB$4,FALSE)))</t>
  </si>
  <si>
    <t>=IF(ISNUMBER($L$6)=FALSE,"",
        IF(ISERROR(VLOOKUP($G49,SantoYusuf!$L$13:$AK$56,AC$4,FALSE))=TRUE,"",
              VLOOKUP($G49,SantoYusuf!$L$13:$AK$56,AC$4,FALSE)))</t>
  </si>
  <si>
    <t>=IF(ISNUMBER($L$6)=FALSE,"",
        IF(ISERROR(VLOOKUP($G49,SantoYusuf!$L$13:$AK$56,AD$4,FALSE))=TRUE,"",
              VLOOKUP($G49,SantoYusuf!$L$13:$AK$56,AD$4,FALSE)))</t>
  </si>
  <si>
    <t>=IF(ISNUMBER($L$6)=FALSE,"",
        IF(ISERROR(VLOOKUP($G49,SantoYusuf!$L$13:$AK$56,AE$4,FALSE))=TRUE,"",
              VLOOKUP($G49,SantoYusuf!$L$13:$AK$56,AE$4,FALSE)))</t>
  </si>
  <si>
    <t>=IF(ISNUMBER($L$6)=FALSE,"",
        IF(ISERROR(VLOOKUP($G49,SantoYusuf!$L$13:$AK$56,AF$4,FALSE))=TRUE,"",
              VLOOKUP($G49,SantoYusuf!$L$13:$AK$56,AF$4,FALSE)))</t>
  </si>
  <si>
    <t>=IF(ISNUMBER($L$6)=FALSE,"",
IF($C50=0,"",VLOOKUP($E50,SantoYusuf!$H$13:$L$56,4,FALSE)))</t>
  </si>
  <si>
    <t>=IF(ISNUMBER($L$6)=FALSE,"",
IF($C50=0,"",VLOOKUP($E50,SantoYusuf!$H$13:$L$56,5,FALSE)))</t>
  </si>
  <si>
    <t>=IF(ISNUMBER($L$6)=FALSE,"",
        IF(ISERROR(VLOOKUP($G50,SantoYusuf!$L$13:$AK$56,I$4,FALSE))=TRUE,"",
              VLOOKUP($G50,SantoYusuf!$L$13:$AK$56,I$4,FALSE)))</t>
  </si>
  <si>
    <t>=IF(ISNUMBER($L$6)=FALSE,"",
        IF(ISERROR(VLOOKUP($G50,SantoYusuf!$L$13:$AK$56,J$4,FALSE))=TRUE,"",
              VLOOKUP($G50,SantoYusuf!$L$13:$AK$56,J$4,FALSE)))</t>
  </si>
  <si>
    <t>=IF(ISNUMBER($L$6)=FALSE,"",
        IF(ISERROR(VLOOKUP($G50,SantoYusuf!$L$13:$AK$56,K$4,FALSE))=TRUE,"",
              VLOOKUP($G50,SantoYusuf!$L$13:$AK$56,K$4,FALSE)))</t>
  </si>
  <si>
    <t>=IF(ISNUMBER($L$6)=FALSE,"",
        IF(ISERROR(VLOOKUP($G50,SantoYusuf!$L$13:$AK$56,L$4,FALSE))=TRUE,"",
              VLOOKUP($G50,SantoYusuf!$L$13:$AK$56,L$4,FALSE)))</t>
  </si>
  <si>
    <t>=IF(ISNUMBER($L$6)=FALSE,"",
        IF(ISERROR(VLOOKUP($G50,SantoYusuf!$L$13:$AK$56,M$4,FALSE))=TRUE,"",
              VLOOKUP($G50,SantoYusuf!$L$13:$AK$56,M$4,FALSE)))</t>
  </si>
  <si>
    <t>=IF(ISNUMBER($L$6)=FALSE,"",
        IF(ISERROR(VLOOKUP($G50,SantoYusuf!$L$13:$AK$56,N$4,FALSE))=TRUE,"",
              VLOOKUP($G50,SantoYusuf!$L$13:$AK$56,N$4,FALSE)))</t>
  </si>
  <si>
    <t>=IF(ISNUMBER($L$6)=FALSE,"",
        IF(ISERROR(VLOOKUP($G50,SantoYusuf!$L$13:$AK$56,O$4,FALSE))=TRUE,"",
              VLOOKUP($G50,SantoYusuf!$L$13:$AK$56,O$4,FALSE)))</t>
  </si>
  <si>
    <t>=IF(ISNUMBER($L$6)=FALSE,"",
        IF(ISERROR(VLOOKUP($G50,SantoYusuf!$L$13:$AK$56,P$4,FALSE))=TRUE,"",
              VLOOKUP($G50,SantoYusuf!$L$13:$AK$56,P$4,FALSE)))</t>
  </si>
  <si>
    <t>=IF(ISNUMBER($L$6)=FALSE,"",
        IF(ISERROR(VLOOKUP($G50,SantoYusuf!$L$13:$AK$56,Q$4,FALSE))=TRUE,"",
              VLOOKUP($G50,SantoYusuf!$L$13:$AK$56,Q$4,FALSE)))</t>
  </si>
  <si>
    <t>=IF(ISNUMBER($L$6)=FALSE,"",
        IF(ISERROR(VLOOKUP($G50,SantoYusuf!$L$13:$AK$56,R$4,FALSE))=TRUE,"",
              VLOOKUP($G50,SantoYusuf!$L$13:$AK$56,R$4,FALSE)))</t>
  </si>
  <si>
    <t>=IF(ISNUMBER($L$6)=FALSE,"",
        IF(ISERROR(VLOOKUP($G50,SantoYusuf!$L$13:$AK$56,S$4,FALSE))=TRUE,"",
              VLOOKUP($G50,SantoYusuf!$L$13:$AK$56,S$4,FALSE)))</t>
  </si>
  <si>
    <t>=IF(ISNUMBER($L$6)=FALSE,"",
        IF(ISERROR(VLOOKUP($G50,SantoYusuf!$L$13:$AK$56,T$4,FALSE))=TRUE,"",
              VLOOKUP($G50,SantoYusuf!$L$13:$AK$56,T$4,FALSE)))</t>
  </si>
  <si>
    <t>=IF(ISNUMBER($L$6)=FALSE,"",
        IF(ISERROR(VLOOKUP($G50,SantoYusuf!$L$13:$AK$56,U$4,FALSE))=TRUE,"",
              VLOOKUP($G50,SantoYusuf!$L$13:$AK$56,U$4,FALSE)))</t>
  </si>
  <si>
    <t>=IF(ISNUMBER($L$6)=FALSE,"",
        IF(ISERROR(VLOOKUP($G50,SantoYusuf!$L$13:$AK$56,V$4,FALSE))=TRUE,"",
              VLOOKUP($G50,SantoYusuf!$L$13:$AK$56,V$4,FALSE)))</t>
  </si>
  <si>
    <t>=IF(ISNUMBER($L$6)=FALSE,"",
        IF(ISERROR(VLOOKUP($G50,SantoYusuf!$L$13:$AK$56,W$4,FALSE))=TRUE,"",
              VLOOKUP($G50,SantoYusuf!$L$13:$AK$56,W$4,FALSE)))</t>
  </si>
  <si>
    <t>=IF(ISNUMBER($L$6)=FALSE,"",
        IF(ISERROR(VLOOKUP($G50,SantoYusuf!$L$13:$AK$56,X$4,FALSE))=TRUE,"",
              VLOOKUP($G50,SantoYusuf!$L$13:$AK$56,X$4,FALSE)))</t>
  </si>
  <si>
    <t>=IF(ISNUMBER($L$6)=FALSE,"",
        IF(ISERROR(VLOOKUP($G50,SantoYusuf!$L$13:$AK$56,Y$4,FALSE))=TRUE,"",
              VLOOKUP($G50,SantoYusuf!$L$13:$AK$56,Y$4,FALSE)))</t>
  </si>
  <si>
    <t>=IF(ISNUMBER($L$6)=FALSE,"",
        IF(ISERROR(VLOOKUP($G50,SantoYusuf!$L$13:$AK$56,Z$4,FALSE))=TRUE,"",
              VLOOKUP($G50,SantoYusuf!$L$13:$AK$56,Z$4,FALSE)))</t>
  </si>
  <si>
    <t>=IF(ISNUMBER($L$6)=FALSE,"",
        IF(ISERROR(VLOOKUP($G50,SantoYusuf!$L$13:$AK$56,AA$4,FALSE))=TRUE,"",
              VLOOKUP($G50,SantoYusuf!$L$13:$AK$56,AA$4,FALSE)))</t>
  </si>
  <si>
    <t>=IF(ISNUMBER($L$6)=FALSE,"",
        IF(ISERROR(VLOOKUP($G50,SantoYusuf!$L$13:$AK$56,AB$4,FALSE))=TRUE,"",
              VLOOKUP($G50,SantoYusuf!$L$13:$AK$56,AB$4,FALSE)))</t>
  </si>
  <si>
    <t>=IF(ISNUMBER($L$6)=FALSE,"",
        IF(ISERROR(VLOOKUP($G50,SantoYusuf!$L$13:$AK$56,AC$4,FALSE))=TRUE,"",
              VLOOKUP($G50,SantoYusuf!$L$13:$AK$56,AC$4,FALSE)))</t>
  </si>
  <si>
    <t>=IF(ISNUMBER($L$6)=FALSE,"",
        IF(ISERROR(VLOOKUP($G50,SantoYusuf!$L$13:$AK$56,AD$4,FALSE))=TRUE,"",
              VLOOKUP($G50,SantoYusuf!$L$13:$AK$56,AD$4,FALSE)))</t>
  </si>
  <si>
    <t>=IF(ISNUMBER($L$6)=FALSE,"",
        IF(ISERROR(VLOOKUP($G50,SantoYusuf!$L$13:$AK$56,AE$4,FALSE))=TRUE,"",
              VLOOKUP($G50,SantoYusuf!$L$13:$AK$56,AE$4,FALSE)))</t>
  </si>
  <si>
    <t>=IF(ISNUMBER($L$6)=FALSE,"",
        IF(ISERROR(VLOOKUP($G50,SantoYusuf!$L$13:$AK$56,AF$4,FALSE))=TRUE,"",
              VLOOKUP($G50,SantoYusuf!$L$13:$AK$56,AF$4,FALSE)))</t>
  </si>
  <si>
    <t>=IF(ISNUMBER($L$6)=FALSE,"",
IF($C51=0,"",VLOOKUP($E51,SantoYusuf!$H$13:$L$56,4,FALSE)))</t>
  </si>
  <si>
    <t>=IF(ISNUMBER($L$6)=FALSE,"",
IF($C51=0,"",VLOOKUP($E51,SantoYusuf!$H$13:$L$56,5,FALSE)))</t>
  </si>
  <si>
    <t>=IF(ISNUMBER($L$6)=FALSE,"",
        IF(ISERROR(VLOOKUP($G51,SantoYusuf!$L$13:$AK$56,I$4,FALSE))=TRUE,"",
              VLOOKUP($G51,SantoYusuf!$L$13:$AK$56,I$4,FALSE)))</t>
  </si>
  <si>
    <t>=IF(ISNUMBER($L$6)=FALSE,"",
        IF(ISERROR(VLOOKUP($G51,SantoYusuf!$L$13:$AK$56,J$4,FALSE))=TRUE,"",
              VLOOKUP($G51,SantoYusuf!$L$13:$AK$56,J$4,FALSE)))</t>
  </si>
  <si>
    <t>=IF(ISNUMBER($L$6)=FALSE,"",
        IF(ISERROR(VLOOKUP($G51,SantoYusuf!$L$13:$AK$56,K$4,FALSE))=TRUE,"",
              VLOOKUP($G51,SantoYusuf!$L$13:$AK$56,K$4,FALSE)))</t>
  </si>
  <si>
    <t>=IF(ISNUMBER($L$6)=FALSE,"",
        IF(ISERROR(VLOOKUP($G51,SantoYusuf!$L$13:$AK$56,L$4,FALSE))=TRUE,"",
              VLOOKUP($G51,SantoYusuf!$L$13:$AK$56,L$4,FALSE)))</t>
  </si>
  <si>
    <t>=IF(ISNUMBER($L$6)=FALSE,"",
        IF(ISERROR(VLOOKUP($G51,SantoYusuf!$L$13:$AK$56,M$4,FALSE))=TRUE,"",
              VLOOKUP($G51,SantoYusuf!$L$13:$AK$56,M$4,FALSE)))</t>
  </si>
  <si>
    <t>=IF(ISNUMBER($L$6)=FALSE,"",
        IF(ISERROR(VLOOKUP($G51,SantoYusuf!$L$13:$AK$56,N$4,FALSE))=TRUE,"",
              VLOOKUP($G51,SantoYusuf!$L$13:$AK$56,N$4,FALSE)))</t>
  </si>
  <si>
    <t>=IF(ISNUMBER($L$6)=FALSE,"",
        IF(ISERROR(VLOOKUP($G51,SantoYusuf!$L$13:$AK$56,O$4,FALSE))=TRUE,"",
              VLOOKUP($G51,SantoYusuf!$L$13:$AK$56,O$4,FALSE)))</t>
  </si>
  <si>
    <t>=IF(ISNUMBER($L$6)=FALSE,"",
        IF(ISERROR(VLOOKUP($G51,SantoYusuf!$L$13:$AK$56,P$4,FALSE))=TRUE,"",
              VLOOKUP($G51,SantoYusuf!$L$13:$AK$56,P$4,FALSE)))</t>
  </si>
  <si>
    <t>=IF(ISNUMBER($L$6)=FALSE,"",
        IF(ISERROR(VLOOKUP($G51,SantoYusuf!$L$13:$AK$56,Q$4,FALSE))=TRUE,"",
              VLOOKUP($G51,SantoYusuf!$L$13:$AK$56,Q$4,FALSE)))</t>
  </si>
  <si>
    <t>=IF(ISNUMBER($L$6)=FALSE,"",
        IF(ISERROR(VLOOKUP($G51,SantoYusuf!$L$13:$AK$56,R$4,FALSE))=TRUE,"",
              VLOOKUP($G51,SantoYusuf!$L$13:$AK$56,R$4,FALSE)))</t>
  </si>
  <si>
    <t>=IF(ISNUMBER($L$6)=FALSE,"",
        IF(ISERROR(VLOOKUP($G51,SantoYusuf!$L$13:$AK$56,S$4,FALSE))=TRUE,"",
              VLOOKUP($G51,SantoYusuf!$L$13:$AK$56,S$4,FALSE)))</t>
  </si>
  <si>
    <t>=IF(ISNUMBER($L$6)=FALSE,"",
        IF(ISERROR(VLOOKUP($G51,SantoYusuf!$L$13:$AK$56,T$4,FALSE))=TRUE,"",
              VLOOKUP($G51,SantoYusuf!$L$13:$AK$56,T$4,FALSE)))</t>
  </si>
  <si>
    <t>=IF(ISNUMBER($L$6)=FALSE,"",
        IF(ISERROR(VLOOKUP($G51,SantoYusuf!$L$13:$AK$56,U$4,FALSE))=TRUE,"",
              VLOOKUP($G51,SantoYusuf!$L$13:$AK$56,U$4,FALSE)))</t>
  </si>
  <si>
    <t>=IF(ISNUMBER($L$6)=FALSE,"",
        IF(ISERROR(VLOOKUP($G51,SantoYusuf!$L$13:$AK$56,V$4,FALSE))=TRUE,"",
              VLOOKUP($G51,SantoYusuf!$L$13:$AK$56,V$4,FALSE)))</t>
  </si>
  <si>
    <t>=IF(ISNUMBER($L$6)=FALSE,"",
        IF(ISERROR(VLOOKUP($G51,SantoYusuf!$L$13:$AK$56,W$4,FALSE))=TRUE,"",
              VLOOKUP($G51,SantoYusuf!$L$13:$AK$56,W$4,FALSE)))</t>
  </si>
  <si>
    <t>=IF(ISNUMBER($L$6)=FALSE,"",
        IF(ISERROR(VLOOKUP($G51,SantoYusuf!$L$13:$AK$56,X$4,FALSE))=TRUE,"",
              VLOOKUP($G51,SantoYusuf!$L$13:$AK$56,X$4,FALSE)))</t>
  </si>
  <si>
    <t>=IF(ISNUMBER($L$6)=FALSE,"",
        IF(ISERROR(VLOOKUP($G51,SantoYusuf!$L$13:$AK$56,Y$4,FALSE))=TRUE,"",
              VLOOKUP($G51,SantoYusuf!$L$13:$AK$56,Y$4,FALSE)))</t>
  </si>
  <si>
    <t>=IF(ISNUMBER($L$6)=FALSE,"",
        IF(ISERROR(VLOOKUP($G51,SantoYusuf!$L$13:$AK$56,Z$4,FALSE))=TRUE,"",
              VLOOKUP($G51,SantoYusuf!$L$13:$AK$56,Z$4,FALSE)))</t>
  </si>
  <si>
    <t>=IF(ISNUMBER($L$6)=FALSE,"",
        IF(ISERROR(VLOOKUP($G51,SantoYusuf!$L$13:$AK$56,AA$4,FALSE))=TRUE,"",
              VLOOKUP($G51,SantoYusuf!$L$13:$AK$56,AA$4,FALSE)))</t>
  </si>
  <si>
    <t>=IF(ISNUMBER($L$6)=FALSE,"",
        IF(ISERROR(VLOOKUP($G51,SantoYusuf!$L$13:$AK$56,AB$4,FALSE))=TRUE,"",
              VLOOKUP($G51,SantoYusuf!$L$13:$AK$56,AB$4,FALSE)))</t>
  </si>
  <si>
    <t>=IF(ISNUMBER($L$6)=FALSE,"",
        IF(ISERROR(VLOOKUP($G51,SantoYusuf!$L$13:$AK$56,AC$4,FALSE))=TRUE,"",
              VLOOKUP($G51,SantoYusuf!$L$13:$AK$56,AC$4,FALSE)))</t>
  </si>
  <si>
    <t>=IF(ISNUMBER($L$6)=FALSE,"",
        IF(ISERROR(VLOOKUP($G51,SantoYusuf!$L$13:$AK$56,AD$4,FALSE))=TRUE,"",
              VLOOKUP($G51,SantoYusuf!$L$13:$AK$56,AD$4,FALSE)))</t>
  </si>
  <si>
    <t>=IF(ISNUMBER($L$6)=FALSE,"",
        IF(ISERROR(VLOOKUP($G51,SantoYusuf!$L$13:$AK$56,AE$4,FALSE))=TRUE,"",
              VLOOKUP($G51,SantoYusuf!$L$13:$AK$56,AE$4,FALSE)))</t>
  </si>
  <si>
    <t>=IF(ISNUMBER($L$6)=FALSE,"",
        IF(ISERROR(VLOOKUP($G51,SantoYusuf!$L$13:$AK$56,AF$4,FALSE))=TRUE,"",
              VLOOKUP($G51,SantoYusuf!$L$13:$AK$56,AF$4,FALSE)))</t>
  </si>
  <si>
    <t>=IF(ISNUMBER($L$6)=FALSE,"",
IF($C52=0,"",VLOOKUP($E52,SantoYusuf!$H$13:$L$56,4,FALSE)))</t>
  </si>
  <si>
    <t>=IF(ISNUMBER($L$6)=FALSE,"",
IF($C52=0,"",VLOOKUP($E52,SantoYusuf!$H$13:$L$56,5,FALSE)))</t>
  </si>
  <si>
    <t>=IF(ISNUMBER($L$6)=FALSE,"",
        IF(ISERROR(VLOOKUP($G52,SantoYusuf!$L$13:$AK$56,I$4,FALSE))=TRUE,"",
              VLOOKUP($G52,SantoYusuf!$L$13:$AK$56,I$4,FALSE)))</t>
  </si>
  <si>
    <t>=IF(ISNUMBER($L$6)=FALSE,"",
        IF(ISERROR(VLOOKUP($G52,SantoYusuf!$L$13:$AK$56,J$4,FALSE))=TRUE,"",
              VLOOKUP($G52,SantoYusuf!$L$13:$AK$56,J$4,FALSE)))</t>
  </si>
  <si>
    <t>=IF(ISNUMBER($L$6)=FALSE,"",
        IF(ISERROR(VLOOKUP($G52,SantoYusuf!$L$13:$AK$56,K$4,FALSE))=TRUE,"",
              VLOOKUP($G52,SantoYusuf!$L$13:$AK$56,K$4,FALSE)))</t>
  </si>
  <si>
    <t>=IF(ISNUMBER($L$6)=FALSE,"",
        IF(ISERROR(VLOOKUP($G52,SantoYusuf!$L$13:$AK$56,L$4,FALSE))=TRUE,"",
              VLOOKUP($G52,SantoYusuf!$L$13:$AK$56,L$4,FALSE)))</t>
  </si>
  <si>
    <t>=IF(ISNUMBER($L$6)=FALSE,"",
        IF(ISERROR(VLOOKUP($G52,SantoYusuf!$L$13:$AK$56,M$4,FALSE))=TRUE,"",
              VLOOKUP($G52,SantoYusuf!$L$13:$AK$56,M$4,FALSE)))</t>
  </si>
  <si>
    <t>=IF(ISNUMBER($L$6)=FALSE,"",
        IF(ISERROR(VLOOKUP($G52,SantoYusuf!$L$13:$AK$56,N$4,FALSE))=TRUE,"",
              VLOOKUP($G52,SantoYusuf!$L$13:$AK$56,N$4,FALSE)))</t>
  </si>
  <si>
    <t>=IF(ISNUMBER($L$6)=FALSE,"",
        IF(ISERROR(VLOOKUP($G52,SantoYusuf!$L$13:$AK$56,O$4,FALSE))=TRUE,"",
              VLOOKUP($G52,SantoYusuf!$L$13:$AK$56,O$4,FALSE)))</t>
  </si>
  <si>
    <t>=IF(ISNUMBER($L$6)=FALSE,"",
        IF(ISERROR(VLOOKUP($G52,SantoYusuf!$L$13:$AK$56,P$4,FALSE))=TRUE,"",
              VLOOKUP($G52,SantoYusuf!$L$13:$AK$56,P$4,FALSE)))</t>
  </si>
  <si>
    <t>=IF(ISNUMBER($L$6)=FALSE,"",
        IF(ISERROR(VLOOKUP($G52,SantoYusuf!$L$13:$AK$56,Q$4,FALSE))=TRUE,"",
              VLOOKUP($G52,SantoYusuf!$L$13:$AK$56,Q$4,FALSE)))</t>
  </si>
  <si>
    <t>=IF(ISNUMBER($L$6)=FALSE,"",
        IF(ISERROR(VLOOKUP($G52,SantoYusuf!$L$13:$AK$56,R$4,FALSE))=TRUE,"",
              VLOOKUP($G52,SantoYusuf!$L$13:$AK$56,R$4,FALSE)))</t>
  </si>
  <si>
    <t>=IF(ISNUMBER($L$6)=FALSE,"",
        IF(ISERROR(VLOOKUP($G52,SantoYusuf!$L$13:$AK$56,S$4,FALSE))=TRUE,"",
              VLOOKUP($G52,SantoYusuf!$L$13:$AK$56,S$4,FALSE)))</t>
  </si>
  <si>
    <t>=IF(ISNUMBER($L$6)=FALSE,"",
        IF(ISERROR(VLOOKUP($G52,SantoYusuf!$L$13:$AK$56,T$4,FALSE))=TRUE,"",
              VLOOKUP($G52,SantoYusuf!$L$13:$AK$56,T$4,FALSE)))</t>
  </si>
  <si>
    <t>=IF(ISNUMBER($L$6)=FALSE,"",
        IF(ISERROR(VLOOKUP($G52,SantoYusuf!$L$13:$AK$56,U$4,FALSE))=TRUE,"",
              VLOOKUP($G52,SantoYusuf!$L$13:$AK$56,U$4,FALSE)))</t>
  </si>
  <si>
    <t>=IF(ISNUMBER($L$6)=FALSE,"",
        IF(ISERROR(VLOOKUP($G52,SantoYusuf!$L$13:$AK$56,V$4,FALSE))=TRUE,"",
              VLOOKUP($G52,SantoYusuf!$L$13:$AK$56,V$4,FALSE)))</t>
  </si>
  <si>
    <t>=IF(ISNUMBER($L$6)=FALSE,"",
        IF(ISERROR(VLOOKUP($G52,SantoYusuf!$L$13:$AK$56,W$4,FALSE))=TRUE,"",
              VLOOKUP($G52,SantoYusuf!$L$13:$AK$56,W$4,FALSE)))</t>
  </si>
  <si>
    <t>=IF(ISNUMBER($L$6)=FALSE,"",
        IF(ISERROR(VLOOKUP($G52,SantoYusuf!$L$13:$AK$56,X$4,FALSE))=TRUE,"",
              VLOOKUP($G52,SantoYusuf!$L$13:$AK$56,X$4,FALSE)))</t>
  </si>
  <si>
    <t>=IF(ISNUMBER($L$6)=FALSE,"",
        IF(ISERROR(VLOOKUP($G52,SantoYusuf!$L$13:$AK$56,Y$4,FALSE))=TRUE,"",
              VLOOKUP($G52,SantoYusuf!$L$13:$AK$56,Y$4,FALSE)))</t>
  </si>
  <si>
    <t>=IF(ISNUMBER($L$6)=FALSE,"",
        IF(ISERROR(VLOOKUP($G52,SantoYusuf!$L$13:$AK$56,Z$4,FALSE))=TRUE,"",
              VLOOKUP($G52,SantoYusuf!$L$13:$AK$56,Z$4,FALSE)))</t>
  </si>
  <si>
    <t>=IF(ISNUMBER($L$6)=FALSE,"",
        IF(ISERROR(VLOOKUP($G52,SantoYusuf!$L$13:$AK$56,AA$4,FALSE))=TRUE,"",
              VLOOKUP($G52,SantoYusuf!$L$13:$AK$56,AA$4,FALSE)))</t>
  </si>
  <si>
    <t>=IF(ISNUMBER($L$6)=FALSE,"",
        IF(ISERROR(VLOOKUP($G52,SantoYusuf!$L$13:$AK$56,AB$4,FALSE))=TRUE,"",
              VLOOKUP($G52,SantoYusuf!$L$13:$AK$56,AB$4,FALSE)))</t>
  </si>
  <si>
    <t>=IF(ISNUMBER($L$6)=FALSE,"",
        IF(ISERROR(VLOOKUP($G52,SantoYusuf!$L$13:$AK$56,AC$4,FALSE))=TRUE,"",
              VLOOKUP($G52,SantoYusuf!$L$13:$AK$56,AC$4,FALSE)))</t>
  </si>
  <si>
    <t>=IF(ISNUMBER($L$6)=FALSE,"",
        IF(ISERROR(VLOOKUP($G52,SantoYusuf!$L$13:$AK$56,AD$4,FALSE))=TRUE,"",
              VLOOKUP($G52,SantoYusuf!$L$13:$AK$56,AD$4,FALSE)))</t>
  </si>
  <si>
    <t>=IF(ISNUMBER($L$6)=FALSE,"",
        IF(ISERROR(VLOOKUP($G52,SantoYusuf!$L$13:$AK$56,AE$4,FALSE))=TRUE,"",
              VLOOKUP($G52,SantoYusuf!$L$13:$AK$56,AE$4,FALSE)))</t>
  </si>
  <si>
    <t>=IF(ISNUMBER($L$6)=FALSE,"",
        IF(ISERROR(VLOOKUP($G52,SantoYusuf!$L$13:$AK$56,AF$4,FALSE))=TRUE,"",
              VLOOKUP($G52,SantoYusuf!$L$13:$AK$56,AF$4,FALSE)))</t>
  </si>
  <si>
    <t>=IF(ISNUMBER($L$6)=FALSE,"",
IF($C53=0,"",VLOOKUP($E53,SantoYusuf!$H$13:$L$56,4,FALSE)))</t>
  </si>
  <si>
    <t>=IF(ISNUMBER($L$6)=FALSE,"",
IF($C53=0,"",VLOOKUP($E53,SantoYusuf!$H$13:$L$56,5,FALSE)))</t>
  </si>
  <si>
    <t>=IF(ISNUMBER($L$6)=FALSE,"",
        IF(ISERROR(VLOOKUP($G53,SantoYusuf!$L$13:$AK$56,I$4,FALSE))=TRUE,"",
              VLOOKUP($G53,SantoYusuf!$L$13:$AK$56,I$4,FALSE)))</t>
  </si>
  <si>
    <t>=IF(ISNUMBER($L$6)=FALSE,"",
        IF(ISERROR(VLOOKUP($G53,SantoYusuf!$L$13:$AK$56,J$4,FALSE))=TRUE,"",
              VLOOKUP($G53,SantoYusuf!$L$13:$AK$56,J$4,FALSE)))</t>
  </si>
  <si>
    <t>=IF(ISNUMBER($L$6)=FALSE,"",
        IF(ISERROR(VLOOKUP($G53,SantoYusuf!$L$13:$AK$56,K$4,FALSE))=TRUE,"",
              VLOOKUP($G53,SantoYusuf!$L$13:$AK$56,K$4,FALSE)))</t>
  </si>
  <si>
    <t>=IF(ISNUMBER($L$6)=FALSE,"",
        IF(ISERROR(VLOOKUP($G53,SantoYusuf!$L$13:$AK$56,L$4,FALSE))=TRUE,"",
              VLOOKUP($G53,SantoYusuf!$L$13:$AK$56,L$4,FALSE)))</t>
  </si>
  <si>
    <t>=IF(ISNUMBER($L$6)=FALSE,"",
        IF(ISERROR(VLOOKUP($G53,SantoYusuf!$L$13:$AK$56,M$4,FALSE))=TRUE,"",
              VLOOKUP($G53,SantoYusuf!$L$13:$AK$56,M$4,FALSE)))</t>
  </si>
  <si>
    <t>=IF(ISNUMBER($L$6)=FALSE,"",
        IF(ISERROR(VLOOKUP($G53,SantoYusuf!$L$13:$AK$56,N$4,FALSE))=TRUE,"",
              VLOOKUP($G53,SantoYusuf!$L$13:$AK$56,N$4,FALSE)))</t>
  </si>
  <si>
    <t>=IF(ISNUMBER($L$6)=FALSE,"",
        IF(ISERROR(VLOOKUP($G53,SantoYusuf!$L$13:$AK$56,O$4,FALSE))=TRUE,"",
              VLOOKUP($G53,SantoYusuf!$L$13:$AK$56,O$4,FALSE)))</t>
  </si>
  <si>
    <t>=IF(ISNUMBER($L$6)=FALSE,"",
        IF(ISERROR(VLOOKUP($G53,SantoYusuf!$L$13:$AK$56,P$4,FALSE))=TRUE,"",
              VLOOKUP($G53,SantoYusuf!$L$13:$AK$56,P$4,FALSE)))</t>
  </si>
  <si>
    <t>=IF(ISNUMBER($L$6)=FALSE,"",
        IF(ISERROR(VLOOKUP($G53,SantoYusuf!$L$13:$AK$56,Q$4,FALSE))=TRUE,"",
              VLOOKUP($G53,SantoYusuf!$L$13:$AK$56,Q$4,FALSE)))</t>
  </si>
  <si>
    <t>=IF(ISNUMBER($L$6)=FALSE,"",
        IF(ISERROR(VLOOKUP($G53,SantoYusuf!$L$13:$AK$56,R$4,FALSE))=TRUE,"",
              VLOOKUP($G53,SantoYusuf!$L$13:$AK$56,R$4,FALSE)))</t>
  </si>
  <si>
    <t>=IF(ISNUMBER($L$6)=FALSE,"",
        IF(ISERROR(VLOOKUP($G53,SantoYusuf!$L$13:$AK$56,S$4,FALSE))=TRUE,"",
              VLOOKUP($G53,SantoYusuf!$L$13:$AK$56,S$4,FALSE)))</t>
  </si>
  <si>
    <t>=IF(ISNUMBER($L$6)=FALSE,"",
        IF(ISERROR(VLOOKUP($G53,SantoYusuf!$L$13:$AK$56,T$4,FALSE))=TRUE,"",
              VLOOKUP($G53,SantoYusuf!$L$13:$AK$56,T$4,FALSE)))</t>
  </si>
  <si>
    <t>=IF(ISNUMBER($L$6)=FALSE,"",
        IF(ISERROR(VLOOKUP($G53,SantoYusuf!$L$13:$AK$56,U$4,FALSE))=TRUE,"",
              VLOOKUP($G53,SantoYusuf!$L$13:$AK$56,U$4,FALSE)))</t>
  </si>
  <si>
    <t>=IF(ISNUMBER($L$6)=FALSE,"",
        IF(ISERROR(VLOOKUP($G53,SantoYusuf!$L$13:$AK$56,V$4,FALSE))=TRUE,"",
              VLOOKUP($G53,SantoYusuf!$L$13:$AK$56,V$4,FALSE)))</t>
  </si>
  <si>
    <t>=IF(ISNUMBER($L$6)=FALSE,"",
        IF(ISERROR(VLOOKUP($G53,SantoYusuf!$L$13:$AK$56,W$4,FALSE))=TRUE,"",
              VLOOKUP($G53,SantoYusuf!$L$13:$AK$56,W$4,FALSE)))</t>
  </si>
  <si>
    <t>=IF(ISNUMBER($L$6)=FALSE,"",
        IF(ISERROR(VLOOKUP($G53,SantoYusuf!$L$13:$AK$56,X$4,FALSE))=TRUE,"",
              VLOOKUP($G53,SantoYusuf!$L$13:$AK$56,X$4,FALSE)))</t>
  </si>
  <si>
    <t>=IF(ISNUMBER($L$6)=FALSE,"",
        IF(ISERROR(VLOOKUP($G53,SantoYusuf!$L$13:$AK$56,Y$4,FALSE))=TRUE,"",
              VLOOKUP($G53,SantoYusuf!$L$13:$AK$56,Y$4,FALSE)))</t>
  </si>
  <si>
    <t>=IF(ISNUMBER($L$6)=FALSE,"",
        IF(ISERROR(VLOOKUP($G53,SantoYusuf!$L$13:$AK$56,Z$4,FALSE))=TRUE,"",
              VLOOKUP($G53,SantoYusuf!$L$13:$AK$56,Z$4,FALSE)))</t>
  </si>
  <si>
    <t>=IF(ISNUMBER($L$6)=FALSE,"",
        IF(ISERROR(VLOOKUP($G53,SantoYusuf!$L$13:$AK$56,AA$4,FALSE))=TRUE,"",
              VLOOKUP($G53,SantoYusuf!$L$13:$AK$56,AA$4,FALSE)))</t>
  </si>
  <si>
    <t>=IF(ISNUMBER($L$6)=FALSE,"",
        IF(ISERROR(VLOOKUP($G53,SantoYusuf!$L$13:$AK$56,AB$4,FALSE))=TRUE,"",
              VLOOKUP($G53,SantoYusuf!$L$13:$AK$56,AB$4,FALSE)))</t>
  </si>
  <si>
    <t>=IF(ISNUMBER($L$6)=FALSE,"",
        IF(ISERROR(VLOOKUP($G53,SantoYusuf!$L$13:$AK$56,AC$4,FALSE))=TRUE,"",
              VLOOKUP($G53,SantoYusuf!$L$13:$AK$56,AC$4,FALSE)))</t>
  </si>
  <si>
    <t>=IF(ISNUMBER($L$6)=FALSE,"",
        IF(ISERROR(VLOOKUP($G53,SantoYusuf!$L$13:$AK$56,AD$4,FALSE))=TRUE,"",
              VLOOKUP($G53,SantoYusuf!$L$13:$AK$56,AD$4,FALSE)))</t>
  </si>
  <si>
    <t>=IF(ISNUMBER($L$6)=FALSE,"",
        IF(ISERROR(VLOOKUP($G53,SantoYusuf!$L$13:$AK$56,AE$4,FALSE))=TRUE,"",
              VLOOKUP($G53,SantoYusuf!$L$13:$AK$56,AE$4,FALSE)))</t>
  </si>
  <si>
    <t>=IF(ISNUMBER($L$6)=FALSE,"",
        IF(ISERROR(VLOOKUP($G53,SantoYusuf!$L$13:$AK$56,AF$4,FALSE))=TRUE,"",
              VLOOKUP($G53,SantoYusuf!$L$13:$AK$56,AF$4,FALSE)))</t>
  </si>
  <si>
    <t>=IF(ISNUMBER($L$6)=FALSE,"",
IF($C54=0,"",VLOOKUP($E54,SantoYusuf!$H$13:$L$56,4,FALSE)))</t>
  </si>
  <si>
    <t>=IF(ISNUMBER($L$6)=FALSE,"",
IF($C54=0,"",VLOOKUP($E54,SantoYusuf!$H$13:$L$56,5,FALSE)))</t>
  </si>
  <si>
    <t>=IF(ISNUMBER($L$6)=FALSE,"",
        IF(ISERROR(VLOOKUP($G54,SantoYusuf!$L$13:$AK$56,I$4,FALSE))=TRUE,"",
              VLOOKUP($G54,SantoYusuf!$L$13:$AK$56,I$4,FALSE)))</t>
  </si>
  <si>
    <t>=IF(ISNUMBER($L$6)=FALSE,"",
        IF(ISERROR(VLOOKUP($G54,SantoYusuf!$L$13:$AK$56,J$4,FALSE))=TRUE,"",
              VLOOKUP($G54,SantoYusuf!$L$13:$AK$56,J$4,FALSE)))</t>
  </si>
  <si>
    <t>=IF(ISNUMBER($L$6)=FALSE,"",
        IF(ISERROR(VLOOKUP($G54,SantoYusuf!$L$13:$AK$56,K$4,FALSE))=TRUE,"",
              VLOOKUP($G54,SantoYusuf!$L$13:$AK$56,K$4,FALSE)))</t>
  </si>
  <si>
    <t>=IF(ISNUMBER($L$6)=FALSE,"",
        IF(ISERROR(VLOOKUP($G54,SantoYusuf!$L$13:$AK$56,L$4,FALSE))=TRUE,"",
              VLOOKUP($G54,SantoYusuf!$L$13:$AK$56,L$4,FALSE)))</t>
  </si>
  <si>
    <t>=IF(ISNUMBER($L$6)=FALSE,"",
        IF(ISERROR(VLOOKUP($G54,SantoYusuf!$L$13:$AK$56,M$4,FALSE))=TRUE,"",
              VLOOKUP($G54,SantoYusuf!$L$13:$AK$56,M$4,FALSE)))</t>
  </si>
  <si>
    <t>=IF(ISNUMBER($L$6)=FALSE,"",
        IF(ISERROR(VLOOKUP($G54,SantoYusuf!$L$13:$AK$56,N$4,FALSE))=TRUE,"",
              VLOOKUP($G54,SantoYusuf!$L$13:$AK$56,N$4,FALSE)))</t>
  </si>
  <si>
    <t>=IF(ISNUMBER($L$6)=FALSE,"",
        IF(ISERROR(VLOOKUP($G54,SantoYusuf!$L$13:$AK$56,O$4,FALSE))=TRUE,"",
              VLOOKUP($G54,SantoYusuf!$L$13:$AK$56,O$4,FALSE)))</t>
  </si>
  <si>
    <t>=IF(ISNUMBER($L$6)=FALSE,"",
        IF(ISERROR(VLOOKUP($G54,SantoYusuf!$L$13:$AK$56,P$4,FALSE))=TRUE,"",
              VLOOKUP($G54,SantoYusuf!$L$13:$AK$56,P$4,FALSE)))</t>
  </si>
  <si>
    <t>=IF(ISNUMBER($L$6)=FALSE,"",
        IF(ISERROR(VLOOKUP($G54,SantoYusuf!$L$13:$AK$56,Q$4,FALSE))=TRUE,"",
              VLOOKUP($G54,SantoYusuf!$L$13:$AK$56,Q$4,FALSE)))</t>
  </si>
  <si>
    <t>=IF(ISNUMBER($L$6)=FALSE,"",
        IF(ISERROR(VLOOKUP($G54,SantoYusuf!$L$13:$AK$56,R$4,FALSE))=TRUE,"",
              VLOOKUP($G54,SantoYusuf!$L$13:$AK$56,R$4,FALSE)))</t>
  </si>
  <si>
    <t>=IF(ISNUMBER($L$6)=FALSE,"",
        IF(ISERROR(VLOOKUP($G54,SantoYusuf!$L$13:$AK$56,S$4,FALSE))=TRUE,"",
              VLOOKUP($G54,SantoYusuf!$L$13:$AK$56,S$4,FALSE)))</t>
  </si>
  <si>
    <t>=IF(ISNUMBER($L$6)=FALSE,"",
        IF(ISERROR(VLOOKUP($G54,SantoYusuf!$L$13:$AK$56,T$4,FALSE))=TRUE,"",
              VLOOKUP($G54,SantoYusuf!$L$13:$AK$56,T$4,FALSE)))</t>
  </si>
  <si>
    <t>=IF(ISNUMBER($L$6)=FALSE,"",
        IF(ISERROR(VLOOKUP($G54,SantoYusuf!$L$13:$AK$56,U$4,FALSE))=TRUE,"",
              VLOOKUP($G54,SantoYusuf!$L$13:$AK$56,U$4,FALSE)))</t>
  </si>
  <si>
    <t>=IF(ISNUMBER($L$6)=FALSE,"",
        IF(ISERROR(VLOOKUP($G54,SantoYusuf!$L$13:$AK$56,V$4,FALSE))=TRUE,"",
              VLOOKUP($G54,SantoYusuf!$L$13:$AK$56,V$4,FALSE)))</t>
  </si>
  <si>
    <t>=IF(ISNUMBER($L$6)=FALSE,"",
        IF(ISERROR(VLOOKUP($G54,SantoYusuf!$L$13:$AK$56,W$4,FALSE))=TRUE,"",
              VLOOKUP($G54,SantoYusuf!$L$13:$AK$56,W$4,FALSE)))</t>
  </si>
  <si>
    <t>=IF(ISNUMBER($L$6)=FALSE,"",
        IF(ISERROR(VLOOKUP($G54,SantoYusuf!$L$13:$AK$56,X$4,FALSE))=TRUE,"",
              VLOOKUP($G54,SantoYusuf!$L$13:$AK$56,X$4,FALSE)))</t>
  </si>
  <si>
    <t>=IF(ISNUMBER($L$6)=FALSE,"",
        IF(ISERROR(VLOOKUP($G54,SantoYusuf!$L$13:$AK$56,Y$4,FALSE))=TRUE,"",
              VLOOKUP($G54,SantoYusuf!$L$13:$AK$56,Y$4,FALSE)))</t>
  </si>
  <si>
    <t>=IF(ISNUMBER($L$6)=FALSE,"",
        IF(ISERROR(VLOOKUP($G54,SantoYusuf!$L$13:$AK$56,Z$4,FALSE))=TRUE,"",
              VLOOKUP($G54,SantoYusuf!$L$13:$AK$56,Z$4,FALSE)))</t>
  </si>
  <si>
    <t>=IF(ISNUMBER($L$6)=FALSE,"",
        IF(ISERROR(VLOOKUP($G54,SantoYusuf!$L$13:$AK$56,AA$4,FALSE))=TRUE,"",
              VLOOKUP($G54,SantoYusuf!$L$13:$AK$56,AA$4,FALSE)))</t>
  </si>
  <si>
    <t>=IF(ISNUMBER($L$6)=FALSE,"",
        IF(ISERROR(VLOOKUP($G54,SantoYusuf!$L$13:$AK$56,AB$4,FALSE))=TRUE,"",
              VLOOKUP($G54,SantoYusuf!$L$13:$AK$56,AB$4,FALSE)))</t>
  </si>
  <si>
    <t>=IF(ISNUMBER($L$6)=FALSE,"",
        IF(ISERROR(VLOOKUP($G54,SantoYusuf!$L$13:$AK$56,AC$4,FALSE))=TRUE,"",
              VLOOKUP($G54,SantoYusuf!$L$13:$AK$56,AC$4,FALSE)))</t>
  </si>
  <si>
    <t>=IF(ISNUMBER($L$6)=FALSE,"",
        IF(ISERROR(VLOOKUP($G54,SantoYusuf!$L$13:$AK$56,AD$4,FALSE))=TRUE,"",
              VLOOKUP($G54,SantoYusuf!$L$13:$AK$56,AD$4,FALSE)))</t>
  </si>
  <si>
    <t>=IF(ISNUMBER($L$6)=FALSE,"",
        IF(ISERROR(VLOOKUP($G54,SantoYusuf!$L$13:$AK$56,AE$4,FALSE))=TRUE,"",
              VLOOKUP($G54,SantoYusuf!$L$13:$AK$56,AE$4,FALSE)))</t>
  </si>
  <si>
    <t>=IF(ISNUMBER($L$6)=FALSE,"",
        IF(ISERROR(VLOOKUP($G54,SantoYusuf!$L$13:$AK$56,AF$4,FALSE))=TRUE,"",
              VLOOKUP($G54,SantoYusuf!$L$13:$AK$56,AF$4,FALSE)))</t>
  </si>
  <si>
    <t>=IF(ISNUMBER($L$6)=FALSE,"",
IF($C55=0,"",VLOOKUP($E55,SantoYusuf!$H$13:$L$56,4,FALSE)))</t>
  </si>
  <si>
    <t>=IF(ISNUMBER($L$6)=FALSE,"",
IF($C55=0,"",VLOOKUP($E55,SantoYusuf!$H$13:$L$56,5,FALSE)))</t>
  </si>
  <si>
    <t>=IF(ISNUMBER($L$6)=FALSE,"",
        IF(ISERROR(VLOOKUP($G55,SantoYusuf!$L$13:$AK$56,I$4,FALSE))=TRUE,"",
              VLOOKUP($G55,SantoYusuf!$L$13:$AK$56,I$4,FALSE)))</t>
  </si>
  <si>
    <t>=IF(ISNUMBER($L$6)=FALSE,"",
        IF(ISERROR(VLOOKUP($G55,SantoYusuf!$L$13:$AK$56,J$4,FALSE))=TRUE,"",
              VLOOKUP($G55,SantoYusuf!$L$13:$AK$56,J$4,FALSE)))</t>
  </si>
  <si>
    <t>=IF(ISNUMBER($L$6)=FALSE,"",
        IF(ISERROR(VLOOKUP($G55,SantoYusuf!$L$13:$AK$56,K$4,FALSE))=TRUE,"",
              VLOOKUP($G55,SantoYusuf!$L$13:$AK$56,K$4,FALSE)))</t>
  </si>
  <si>
    <t>=IF(ISNUMBER($L$6)=FALSE,"",
        IF(ISERROR(VLOOKUP($G55,SantoYusuf!$L$13:$AK$56,L$4,FALSE))=TRUE,"",
              VLOOKUP($G55,SantoYusuf!$L$13:$AK$56,L$4,FALSE)))</t>
  </si>
  <si>
    <t>=IF(ISNUMBER($L$6)=FALSE,"",
        IF(ISERROR(VLOOKUP($G55,SantoYusuf!$L$13:$AK$56,M$4,FALSE))=TRUE,"",
              VLOOKUP($G55,SantoYusuf!$L$13:$AK$56,M$4,FALSE)))</t>
  </si>
  <si>
    <t>=IF(ISNUMBER($L$6)=FALSE,"",
        IF(ISERROR(VLOOKUP($G55,SantoYusuf!$L$13:$AK$56,N$4,FALSE))=TRUE,"",
              VLOOKUP($G55,SantoYusuf!$L$13:$AK$56,N$4,FALSE)))</t>
  </si>
  <si>
    <t>=IF(ISNUMBER($L$6)=FALSE,"",
        IF(ISERROR(VLOOKUP($G55,SantoYusuf!$L$13:$AK$56,O$4,FALSE))=TRUE,"",
              VLOOKUP($G55,SantoYusuf!$L$13:$AK$56,O$4,FALSE)))</t>
  </si>
  <si>
    <t>=IF(ISNUMBER($L$6)=FALSE,"",
        IF(ISERROR(VLOOKUP($G55,SantoYusuf!$L$13:$AK$56,P$4,FALSE))=TRUE,"",
              VLOOKUP($G55,SantoYusuf!$L$13:$AK$56,P$4,FALSE)))</t>
  </si>
  <si>
    <t>=IF(ISNUMBER($L$6)=FALSE,"",
        IF(ISERROR(VLOOKUP($G55,SantoYusuf!$L$13:$AK$56,Q$4,FALSE))=TRUE,"",
              VLOOKUP($G55,SantoYusuf!$L$13:$AK$56,Q$4,FALSE)))</t>
  </si>
  <si>
    <t>=IF(ISNUMBER($L$6)=FALSE,"",
        IF(ISERROR(VLOOKUP($G55,SantoYusuf!$L$13:$AK$56,R$4,FALSE))=TRUE,"",
              VLOOKUP($G55,SantoYusuf!$L$13:$AK$56,R$4,FALSE)))</t>
  </si>
  <si>
    <t>=IF(ISNUMBER($L$6)=FALSE,"",
        IF(ISERROR(VLOOKUP($G55,SantoYusuf!$L$13:$AK$56,S$4,FALSE))=TRUE,"",
              VLOOKUP($G55,SantoYusuf!$L$13:$AK$56,S$4,FALSE)))</t>
  </si>
  <si>
    <t>=IF(ISNUMBER($L$6)=FALSE,"",
        IF(ISERROR(VLOOKUP($G55,SantoYusuf!$L$13:$AK$56,T$4,FALSE))=TRUE,"",
              VLOOKUP($G55,SantoYusuf!$L$13:$AK$56,T$4,FALSE)))</t>
  </si>
  <si>
    <t>=IF(ISNUMBER($L$6)=FALSE,"",
        IF(ISERROR(VLOOKUP($G55,SantoYusuf!$L$13:$AK$56,U$4,FALSE))=TRUE,"",
              VLOOKUP($G55,SantoYusuf!$L$13:$AK$56,U$4,FALSE)))</t>
  </si>
  <si>
    <t>=IF(ISNUMBER($L$6)=FALSE,"",
        IF(ISERROR(VLOOKUP($G55,SantoYusuf!$L$13:$AK$56,V$4,FALSE))=TRUE,"",
              VLOOKUP($G55,SantoYusuf!$L$13:$AK$56,V$4,FALSE)))</t>
  </si>
  <si>
    <t>=IF(ISNUMBER($L$6)=FALSE,"",
        IF(ISERROR(VLOOKUP($G55,SantoYusuf!$L$13:$AK$56,W$4,FALSE))=TRUE,"",
              VLOOKUP($G55,SantoYusuf!$L$13:$AK$56,W$4,FALSE)))</t>
  </si>
  <si>
    <t>=IF(ISNUMBER($L$6)=FALSE,"",
        IF(ISERROR(VLOOKUP($G55,SantoYusuf!$L$13:$AK$56,X$4,FALSE))=TRUE,"",
              VLOOKUP($G55,SantoYusuf!$L$13:$AK$56,X$4,FALSE)))</t>
  </si>
  <si>
    <t>=IF(ISNUMBER($L$6)=FALSE,"",
        IF(ISERROR(VLOOKUP($G55,SantoYusuf!$L$13:$AK$56,Y$4,FALSE))=TRUE,"",
              VLOOKUP($G55,SantoYusuf!$L$13:$AK$56,Y$4,FALSE)))</t>
  </si>
  <si>
    <t>=IF(ISNUMBER($L$6)=FALSE,"",
        IF(ISERROR(VLOOKUP($G55,SantoYusuf!$L$13:$AK$56,Z$4,FALSE))=TRUE,"",
              VLOOKUP($G55,SantoYusuf!$L$13:$AK$56,Z$4,FALSE)))</t>
  </si>
  <si>
    <t>=IF(ISNUMBER($L$6)=FALSE,"",
        IF(ISERROR(VLOOKUP($G55,SantoYusuf!$L$13:$AK$56,AA$4,FALSE))=TRUE,"",
              VLOOKUP($G55,SantoYusuf!$L$13:$AK$56,AA$4,FALSE)))</t>
  </si>
  <si>
    <t>=IF(ISNUMBER($L$6)=FALSE,"",
        IF(ISERROR(VLOOKUP($G55,SantoYusuf!$L$13:$AK$56,AB$4,FALSE))=TRUE,"",
              VLOOKUP($G55,SantoYusuf!$L$13:$AK$56,AB$4,FALSE)))</t>
  </si>
  <si>
    <t>=IF(ISNUMBER($L$6)=FALSE,"",
        IF(ISERROR(VLOOKUP($G55,SantoYusuf!$L$13:$AK$56,AC$4,FALSE))=TRUE,"",
              VLOOKUP($G55,SantoYusuf!$L$13:$AK$56,AC$4,FALSE)))</t>
  </si>
  <si>
    <t>=IF(ISNUMBER($L$6)=FALSE,"",
        IF(ISERROR(VLOOKUP($G55,SantoYusuf!$L$13:$AK$56,AD$4,FALSE))=TRUE,"",
              VLOOKUP($G55,SantoYusuf!$L$13:$AK$56,AD$4,FALSE)))</t>
  </si>
  <si>
    <t>=IF(ISNUMBER($L$6)=FALSE,"",
        IF(ISERROR(VLOOKUP($G55,SantoYusuf!$L$13:$AK$56,AE$4,FALSE))=TRUE,"",
              VLOOKUP($G55,SantoYusuf!$L$13:$AK$56,AE$4,FALSE)))</t>
  </si>
  <si>
    <t>=IF(ISNUMBER($L$6)=FALSE,"",
        IF(ISERROR(VLOOKUP($G55,SantoYusuf!$L$13:$AK$56,AF$4,FALSE))=TRUE,"",
              VLOOKUP($G55,SantoYusuf!$L$13:$AK$56,AF$4,FALSE)))</t>
  </si>
  <si>
    <t>=IF(ISNUMBER($L$6)=FALSE,"",
IF($C56=0,"",VLOOKUP($E56,SantoYusuf!$H$13:$L$56,4,FALSE)))</t>
  </si>
  <si>
    <t>=IF(ISNUMBER($L$6)=FALSE,"",
IF($C56=0,"",VLOOKUP($E56,SantoYusuf!$H$13:$L$56,5,FALSE)))</t>
  </si>
  <si>
    <t>=IF(ISNUMBER($L$6)=FALSE,"",
        IF(ISERROR(VLOOKUP($G56,SantoYusuf!$L$13:$AK$56,I$4,FALSE))=TRUE,"",
              VLOOKUP($G56,SantoYusuf!$L$13:$AK$56,I$4,FALSE)))</t>
  </si>
  <si>
    <t>=IF(ISNUMBER($L$6)=FALSE,"",
        IF(ISERROR(VLOOKUP($G56,SantoYusuf!$L$13:$AK$56,J$4,FALSE))=TRUE,"",
              VLOOKUP($G56,SantoYusuf!$L$13:$AK$56,J$4,FALSE)))</t>
  </si>
  <si>
    <t>=IF(ISNUMBER($L$6)=FALSE,"",
        IF(ISERROR(VLOOKUP($G56,SantoYusuf!$L$13:$AK$56,K$4,FALSE))=TRUE,"",
              VLOOKUP($G56,SantoYusuf!$L$13:$AK$56,K$4,FALSE)))</t>
  </si>
  <si>
    <t>=IF(ISNUMBER($L$6)=FALSE,"",
        IF(ISERROR(VLOOKUP($G56,SantoYusuf!$L$13:$AK$56,L$4,FALSE))=TRUE,"",
              VLOOKUP($G56,SantoYusuf!$L$13:$AK$56,L$4,FALSE)))</t>
  </si>
  <si>
    <t>=IF(ISNUMBER($L$6)=FALSE,"",
        IF(ISERROR(VLOOKUP($G56,SantoYusuf!$L$13:$AK$56,M$4,FALSE))=TRUE,"",
              VLOOKUP($G56,SantoYusuf!$L$13:$AK$56,M$4,FALSE)))</t>
  </si>
  <si>
    <t>=IF(ISNUMBER($L$6)=FALSE,"",
        IF(ISERROR(VLOOKUP($G56,SantoYusuf!$L$13:$AK$56,N$4,FALSE))=TRUE,"",
              VLOOKUP($G56,SantoYusuf!$L$13:$AK$56,N$4,FALSE)))</t>
  </si>
  <si>
    <t>=IF(ISNUMBER($L$6)=FALSE,"",
        IF(ISERROR(VLOOKUP($G56,SantoYusuf!$L$13:$AK$56,O$4,FALSE))=TRUE,"",
              VLOOKUP($G56,SantoYusuf!$L$13:$AK$56,O$4,FALSE)))</t>
  </si>
  <si>
    <t>=IF(ISNUMBER($L$6)=FALSE,"",
        IF(ISERROR(VLOOKUP($G56,SantoYusuf!$L$13:$AK$56,P$4,FALSE))=TRUE,"",
              VLOOKUP($G56,SantoYusuf!$L$13:$AK$56,P$4,FALSE)))</t>
  </si>
  <si>
    <t>=IF(ISNUMBER($L$6)=FALSE,"",
        IF(ISERROR(VLOOKUP($G56,SantoYusuf!$L$13:$AK$56,Q$4,FALSE))=TRUE,"",
              VLOOKUP($G56,SantoYusuf!$L$13:$AK$56,Q$4,FALSE)))</t>
  </si>
  <si>
    <t>=IF(ISNUMBER($L$6)=FALSE,"",
        IF(ISERROR(VLOOKUP($G56,SantoYusuf!$L$13:$AK$56,R$4,FALSE))=TRUE,"",
              VLOOKUP($G56,SantoYusuf!$L$13:$AK$56,R$4,FALSE)))</t>
  </si>
  <si>
    <t>=IF(ISNUMBER($L$6)=FALSE,"",
        IF(ISERROR(VLOOKUP($G56,SantoYusuf!$L$13:$AK$56,S$4,FALSE))=TRUE,"",
              VLOOKUP($G56,SantoYusuf!$L$13:$AK$56,S$4,FALSE)))</t>
  </si>
  <si>
    <t>=IF(ISNUMBER($L$6)=FALSE,"",
        IF(ISERROR(VLOOKUP($G56,SantoYusuf!$L$13:$AK$56,T$4,FALSE))=TRUE,"",
              VLOOKUP($G56,SantoYusuf!$L$13:$AK$56,T$4,FALSE)))</t>
  </si>
  <si>
    <t>=IF(ISNUMBER($L$6)=FALSE,"",
        IF(ISERROR(VLOOKUP($G56,SantoYusuf!$L$13:$AK$56,U$4,FALSE))=TRUE,"",
              VLOOKUP($G56,SantoYusuf!$L$13:$AK$56,U$4,FALSE)))</t>
  </si>
  <si>
    <t>=IF(ISNUMBER($L$6)=FALSE,"",
        IF(ISERROR(VLOOKUP($G56,SantoYusuf!$L$13:$AK$56,V$4,FALSE))=TRUE,"",
              VLOOKUP($G56,SantoYusuf!$L$13:$AK$56,V$4,FALSE)))</t>
  </si>
  <si>
    <t>=IF(ISNUMBER($L$6)=FALSE,"",
        IF(ISERROR(VLOOKUP($G56,SantoYusuf!$L$13:$AK$56,W$4,FALSE))=TRUE,"",
              VLOOKUP($G56,SantoYusuf!$L$13:$AK$56,W$4,FALSE)))</t>
  </si>
  <si>
    <t>=IF(ISNUMBER($L$6)=FALSE,"",
        IF(ISERROR(VLOOKUP($G56,SantoYusuf!$L$13:$AK$56,X$4,FALSE))=TRUE,"",
              VLOOKUP($G56,SantoYusuf!$L$13:$AK$56,X$4,FALSE)))</t>
  </si>
  <si>
    <t>=IF(ISNUMBER($L$6)=FALSE,"",
        IF(ISERROR(VLOOKUP($G56,SantoYusuf!$L$13:$AK$56,Y$4,FALSE))=TRUE,"",
              VLOOKUP($G56,SantoYusuf!$L$13:$AK$56,Y$4,FALSE)))</t>
  </si>
  <si>
    <t>=IF(ISNUMBER($L$6)=FALSE,"",
        IF(ISERROR(VLOOKUP($G56,SantoYusuf!$L$13:$AK$56,Z$4,FALSE))=TRUE,"",
              VLOOKUP($G56,SantoYusuf!$L$13:$AK$56,Z$4,FALSE)))</t>
  </si>
  <si>
    <t>=IF(ISNUMBER($L$6)=FALSE,"",
        IF(ISERROR(VLOOKUP($G56,SantoYusuf!$L$13:$AK$56,AA$4,FALSE))=TRUE,"",
              VLOOKUP($G56,SantoYusuf!$L$13:$AK$56,AA$4,FALSE)))</t>
  </si>
  <si>
    <t>=IF(ISNUMBER($L$6)=FALSE,"",
        IF(ISERROR(VLOOKUP($G56,SantoYusuf!$L$13:$AK$56,AB$4,FALSE))=TRUE,"",
              VLOOKUP($G56,SantoYusuf!$L$13:$AK$56,AB$4,FALSE)))</t>
  </si>
  <si>
    <t>=IF(ISNUMBER($L$6)=FALSE,"",
        IF(ISERROR(VLOOKUP($G56,SantoYusuf!$L$13:$AK$56,AC$4,FALSE))=TRUE,"",
              VLOOKUP($G56,SantoYusuf!$L$13:$AK$56,AC$4,FALSE)))</t>
  </si>
  <si>
    <t>=IF(ISNUMBER($L$6)=FALSE,"",
        IF(ISERROR(VLOOKUP($G56,SantoYusuf!$L$13:$AK$56,AD$4,FALSE))=TRUE,"",
              VLOOKUP($G56,SantoYusuf!$L$13:$AK$56,AD$4,FALSE)))</t>
  </si>
  <si>
    <t>=IF(ISNUMBER($L$6)=FALSE,"",
        IF(ISERROR(VLOOKUP($G56,SantoYusuf!$L$13:$AK$56,AE$4,FALSE))=TRUE,"",
              VLOOKUP($G56,SantoYusuf!$L$13:$AK$56,AE$4,FALSE)))</t>
  </si>
  <si>
    <t>=IF(ISNUMBER($L$6)=FALSE,"",
        IF(ISERROR(VLOOKUP($G56,SantoYusuf!$L$13:$AK$56,AF$4,FALSE))=TRUE,"",
              VLOOKUP($G56,SantoYusuf!$L$13:$AK$56,AF$4,FALSE)))</t>
  </si>
  <si>
    <t>=IF(ISNUMBER($L$6)=FALSE,"",
IF($C57=0,"",VLOOKUP($E57,SantoYusuf!$H$13:$L$56,4,FALSE)))</t>
  </si>
  <si>
    <t>=IF(ISNUMBER($L$6)=FALSE,"",
IF($C57=0,"",VLOOKUP($E57,SantoYusuf!$H$13:$L$56,5,FALSE)))</t>
  </si>
  <si>
    <t>=IF(ISNUMBER($L$6)=FALSE,"",
        IF(ISERROR(VLOOKUP($G57,SantoYusuf!$L$13:$AK$56,I$4,FALSE))=TRUE,"",
              VLOOKUP($G57,SantoYusuf!$L$13:$AK$56,I$4,FALSE)))</t>
  </si>
  <si>
    <t>=IF(ISNUMBER($L$6)=FALSE,"",
        IF(ISERROR(VLOOKUP($G57,SantoYusuf!$L$13:$AK$56,J$4,FALSE))=TRUE,"",
              VLOOKUP($G57,SantoYusuf!$L$13:$AK$56,J$4,FALSE)))</t>
  </si>
  <si>
    <t>=IF(ISNUMBER($L$6)=FALSE,"",
        IF(ISERROR(VLOOKUP($G57,SantoYusuf!$L$13:$AK$56,K$4,FALSE))=TRUE,"",
              VLOOKUP($G57,SantoYusuf!$L$13:$AK$56,K$4,FALSE)))</t>
  </si>
  <si>
    <t>=IF(ISNUMBER($L$6)=FALSE,"",
        IF(ISERROR(VLOOKUP($G57,SantoYusuf!$L$13:$AK$56,L$4,FALSE))=TRUE,"",
              VLOOKUP($G57,SantoYusuf!$L$13:$AK$56,L$4,FALSE)))</t>
  </si>
  <si>
    <t>=IF(ISNUMBER($L$6)=FALSE,"",
        IF(ISERROR(VLOOKUP($G57,SantoYusuf!$L$13:$AK$56,M$4,FALSE))=TRUE,"",
              VLOOKUP($G57,SantoYusuf!$L$13:$AK$56,M$4,FALSE)))</t>
  </si>
  <si>
    <t>=IF(ISNUMBER($L$6)=FALSE,"",
        IF(ISERROR(VLOOKUP($G57,SantoYusuf!$L$13:$AK$56,N$4,FALSE))=TRUE,"",
              VLOOKUP($G57,SantoYusuf!$L$13:$AK$56,N$4,FALSE)))</t>
  </si>
  <si>
    <t>=IF(ISNUMBER($L$6)=FALSE,"",
        IF(ISERROR(VLOOKUP($G57,SantoYusuf!$L$13:$AK$56,O$4,FALSE))=TRUE,"",
              VLOOKUP($G57,SantoYusuf!$L$13:$AK$56,O$4,FALSE)))</t>
  </si>
  <si>
    <t>=IF(ISNUMBER($L$6)=FALSE,"",
        IF(ISERROR(VLOOKUP($G57,SantoYusuf!$L$13:$AK$56,P$4,FALSE))=TRUE,"",
              VLOOKUP($G57,SantoYusuf!$L$13:$AK$56,P$4,FALSE)))</t>
  </si>
  <si>
    <t>=IF(ISNUMBER($L$6)=FALSE,"",
        IF(ISERROR(VLOOKUP($G57,SantoYusuf!$L$13:$AK$56,Q$4,FALSE))=TRUE,"",
              VLOOKUP($G57,SantoYusuf!$L$13:$AK$56,Q$4,FALSE)))</t>
  </si>
  <si>
    <t>=IF(ISNUMBER($L$6)=FALSE,"",
        IF(ISERROR(VLOOKUP($G57,SantoYusuf!$L$13:$AK$56,R$4,FALSE))=TRUE,"",
              VLOOKUP($G57,SantoYusuf!$L$13:$AK$56,R$4,FALSE)))</t>
  </si>
  <si>
    <t>=IF(ISNUMBER($L$6)=FALSE,"",
        IF(ISERROR(VLOOKUP($G57,SantoYusuf!$L$13:$AK$56,S$4,FALSE))=TRUE,"",
              VLOOKUP($G57,SantoYusuf!$L$13:$AK$56,S$4,FALSE)))</t>
  </si>
  <si>
    <t>=IF(ISNUMBER($L$6)=FALSE,"",
        IF(ISERROR(VLOOKUP($G57,SantoYusuf!$L$13:$AK$56,T$4,FALSE))=TRUE,"",
              VLOOKUP($G57,SantoYusuf!$L$13:$AK$56,T$4,FALSE)))</t>
  </si>
  <si>
    <t>=IF(ISNUMBER($L$6)=FALSE,"",
        IF(ISERROR(VLOOKUP($G57,SantoYusuf!$L$13:$AK$56,U$4,FALSE))=TRUE,"",
              VLOOKUP($G57,SantoYusuf!$L$13:$AK$56,U$4,FALSE)))</t>
  </si>
  <si>
    <t>=IF(ISNUMBER($L$6)=FALSE,"",
        IF(ISERROR(VLOOKUP($G57,SantoYusuf!$L$13:$AK$56,V$4,FALSE))=TRUE,"",
              VLOOKUP($G57,SantoYusuf!$L$13:$AK$56,V$4,FALSE)))</t>
  </si>
  <si>
    <t>=IF(ISNUMBER($L$6)=FALSE,"",
        IF(ISERROR(VLOOKUP($G57,SantoYusuf!$L$13:$AK$56,W$4,FALSE))=TRUE,"",
              VLOOKUP($G57,SantoYusuf!$L$13:$AK$56,W$4,FALSE)))</t>
  </si>
  <si>
    <t>=IF(ISNUMBER($L$6)=FALSE,"",
        IF(ISERROR(VLOOKUP($G57,SantoYusuf!$L$13:$AK$56,X$4,FALSE))=TRUE,"",
              VLOOKUP($G57,SantoYusuf!$L$13:$AK$56,X$4,FALSE)))</t>
  </si>
  <si>
    <t>=IF(ISNUMBER($L$6)=FALSE,"",
        IF(ISERROR(VLOOKUP($G57,SantoYusuf!$L$13:$AK$56,Y$4,FALSE))=TRUE,"",
              VLOOKUP($G57,SantoYusuf!$L$13:$AK$56,Y$4,FALSE)))</t>
  </si>
  <si>
    <t>=IF(ISNUMBER($L$6)=FALSE,"",
        IF(ISERROR(VLOOKUP($G57,SantoYusuf!$L$13:$AK$56,Z$4,FALSE))=TRUE,"",
              VLOOKUP($G57,SantoYusuf!$L$13:$AK$56,Z$4,FALSE)))</t>
  </si>
  <si>
    <t>=IF(ISNUMBER($L$6)=FALSE,"",
        IF(ISERROR(VLOOKUP($G57,SantoYusuf!$L$13:$AK$56,AA$4,FALSE))=TRUE,"",
              VLOOKUP($G57,SantoYusuf!$L$13:$AK$56,AA$4,FALSE)))</t>
  </si>
  <si>
    <t>=IF(ISNUMBER($L$6)=FALSE,"",
        IF(ISERROR(VLOOKUP($G57,SantoYusuf!$L$13:$AK$56,AB$4,FALSE))=TRUE,"",
              VLOOKUP($G57,SantoYusuf!$L$13:$AK$56,AB$4,FALSE)))</t>
  </si>
  <si>
    <t>=IF(ISNUMBER($L$6)=FALSE,"",
        IF(ISERROR(VLOOKUP($G57,SantoYusuf!$L$13:$AK$56,AC$4,FALSE))=TRUE,"",
              VLOOKUP($G57,SantoYusuf!$L$13:$AK$56,AC$4,FALSE)))</t>
  </si>
  <si>
    <t>=IF(ISNUMBER($L$6)=FALSE,"",
        IF(ISERROR(VLOOKUP($G57,SantoYusuf!$L$13:$AK$56,AD$4,FALSE))=TRUE,"",
              VLOOKUP($G57,SantoYusuf!$L$13:$AK$56,AD$4,FALSE)))</t>
  </si>
  <si>
    <t>=IF(ISNUMBER($L$6)=FALSE,"",
        IF(ISERROR(VLOOKUP($G57,SantoYusuf!$L$13:$AK$56,AE$4,FALSE))=TRUE,"",
              VLOOKUP($G57,SantoYusuf!$L$13:$AK$56,AE$4,FALSE)))</t>
  </si>
  <si>
    <t>=IF(ISNUMBER($L$6)=FALSE,"",
        IF(ISERROR(VLOOKUP($G57,SantoYusuf!$L$13:$AK$56,AF$4,FALSE))=TRUE,"",
              VLOOKUP($G57,SantoYusuf!$L$13:$AK$56,AF$4,FALSE)))</t>
  </si>
  <si>
    <t>=IF(ISNUMBER($L$6)=FALSE,"",
IF($C58=0,"",VLOOKUP($E58,SantoYusuf!$H$13:$L$56,4,FALSE)))</t>
  </si>
  <si>
    <t>=IF(ISNUMBER($L$6)=FALSE,"",
IF($C58=0,"",VLOOKUP($E58,SantoYusuf!$H$13:$L$56,5,FALSE)))</t>
  </si>
  <si>
    <t>=IF(ISNUMBER($L$6)=FALSE,"",
        IF(ISERROR(VLOOKUP($G58,SantoYusuf!$L$13:$AK$56,I$4,FALSE))=TRUE,"",
              VLOOKUP($G58,SantoYusuf!$L$13:$AK$56,I$4,FALSE)))</t>
  </si>
  <si>
    <t>=IF(ISNUMBER($L$6)=FALSE,"",
        IF(ISERROR(VLOOKUP($G58,SantoYusuf!$L$13:$AK$56,J$4,FALSE))=TRUE,"",
              VLOOKUP($G58,SantoYusuf!$L$13:$AK$56,J$4,FALSE)))</t>
  </si>
  <si>
    <t>=IF(ISNUMBER($L$6)=FALSE,"",
        IF(ISERROR(VLOOKUP($G58,SantoYusuf!$L$13:$AK$56,K$4,FALSE))=TRUE,"",
              VLOOKUP($G58,SantoYusuf!$L$13:$AK$56,K$4,FALSE)))</t>
  </si>
  <si>
    <t>=IF(ISNUMBER($L$6)=FALSE,"",
        IF(ISERROR(VLOOKUP($G58,SantoYusuf!$L$13:$AK$56,L$4,FALSE))=TRUE,"",
              VLOOKUP($G58,SantoYusuf!$L$13:$AK$56,L$4,FALSE)))</t>
  </si>
  <si>
    <t>=IF(ISNUMBER($L$6)=FALSE,"",
        IF(ISERROR(VLOOKUP($G58,SantoYusuf!$L$13:$AK$56,M$4,FALSE))=TRUE,"",
              VLOOKUP($G58,SantoYusuf!$L$13:$AK$56,M$4,FALSE)))</t>
  </si>
  <si>
    <t>=IF(ISNUMBER($L$6)=FALSE,"",
        IF(ISERROR(VLOOKUP($G58,SantoYusuf!$L$13:$AK$56,N$4,FALSE))=TRUE,"",
              VLOOKUP($G58,SantoYusuf!$L$13:$AK$56,N$4,FALSE)))</t>
  </si>
  <si>
    <t>=IF(ISNUMBER($L$6)=FALSE,"",
        IF(ISERROR(VLOOKUP($G58,SantoYusuf!$L$13:$AK$56,O$4,FALSE))=TRUE,"",
              VLOOKUP($G58,SantoYusuf!$L$13:$AK$56,O$4,FALSE)))</t>
  </si>
  <si>
    <t>=IF(ISNUMBER($L$6)=FALSE,"",
        IF(ISERROR(VLOOKUP($G58,SantoYusuf!$L$13:$AK$56,P$4,FALSE))=TRUE,"",
              VLOOKUP($G58,SantoYusuf!$L$13:$AK$56,P$4,FALSE)))</t>
  </si>
  <si>
    <t>=IF(ISNUMBER($L$6)=FALSE,"",
        IF(ISERROR(VLOOKUP($G58,SantoYusuf!$L$13:$AK$56,Q$4,FALSE))=TRUE,"",
              VLOOKUP($G58,SantoYusuf!$L$13:$AK$56,Q$4,FALSE)))</t>
  </si>
  <si>
    <t>=IF(ISNUMBER($L$6)=FALSE,"",
        IF(ISERROR(VLOOKUP($G58,SantoYusuf!$L$13:$AK$56,R$4,FALSE))=TRUE,"",
              VLOOKUP($G58,SantoYusuf!$L$13:$AK$56,R$4,FALSE)))</t>
  </si>
  <si>
    <t>=IF(ISNUMBER($L$6)=FALSE,"",
        IF(ISERROR(VLOOKUP($G58,SantoYusuf!$L$13:$AK$56,S$4,FALSE))=TRUE,"",
              VLOOKUP($G58,SantoYusuf!$L$13:$AK$56,S$4,FALSE)))</t>
  </si>
  <si>
    <t>=IF(ISNUMBER($L$6)=FALSE,"",
        IF(ISERROR(VLOOKUP($G58,SantoYusuf!$L$13:$AK$56,T$4,FALSE))=TRUE,"",
              VLOOKUP($G58,SantoYusuf!$L$13:$AK$56,T$4,FALSE)))</t>
  </si>
  <si>
    <t>=IF(ISNUMBER($L$6)=FALSE,"",
        IF(ISERROR(VLOOKUP($G58,SantoYusuf!$L$13:$AK$56,U$4,FALSE))=TRUE,"",
              VLOOKUP($G58,SantoYusuf!$L$13:$AK$56,U$4,FALSE)))</t>
  </si>
  <si>
    <t>=IF(ISNUMBER($L$6)=FALSE,"",
        IF(ISERROR(VLOOKUP($G58,SantoYusuf!$L$13:$AK$56,V$4,FALSE))=TRUE,"",
              VLOOKUP($G58,SantoYusuf!$L$13:$AK$56,V$4,FALSE)))</t>
  </si>
  <si>
    <t>=IF(ISNUMBER($L$6)=FALSE,"",
        IF(ISERROR(VLOOKUP($G58,SantoYusuf!$L$13:$AK$56,W$4,FALSE))=TRUE,"",
              VLOOKUP($G58,SantoYusuf!$L$13:$AK$56,W$4,FALSE)))</t>
  </si>
  <si>
    <t>=IF(ISNUMBER($L$6)=FALSE,"",
        IF(ISERROR(VLOOKUP($G58,SantoYusuf!$L$13:$AK$56,X$4,FALSE))=TRUE,"",
              VLOOKUP($G58,SantoYusuf!$L$13:$AK$56,X$4,FALSE)))</t>
  </si>
  <si>
    <t>=IF(ISNUMBER($L$6)=FALSE,"",
        IF(ISERROR(VLOOKUP($G58,SantoYusuf!$L$13:$AK$56,Y$4,FALSE))=TRUE,"",
              VLOOKUP($G58,SantoYusuf!$L$13:$AK$56,Y$4,FALSE)))</t>
  </si>
  <si>
    <t>=IF(ISNUMBER($L$6)=FALSE,"",
        IF(ISERROR(VLOOKUP($G58,SantoYusuf!$L$13:$AK$56,Z$4,FALSE))=TRUE,"",
              VLOOKUP($G58,SantoYusuf!$L$13:$AK$56,Z$4,FALSE)))</t>
  </si>
  <si>
    <t>=IF(ISNUMBER($L$6)=FALSE,"",
        IF(ISERROR(VLOOKUP($G58,SantoYusuf!$L$13:$AK$56,AA$4,FALSE))=TRUE,"",
              VLOOKUP($G58,SantoYusuf!$L$13:$AK$56,AA$4,FALSE)))</t>
  </si>
  <si>
    <t>=IF(ISNUMBER($L$6)=FALSE,"",
        IF(ISERROR(VLOOKUP($G58,SantoYusuf!$L$13:$AK$56,AB$4,FALSE))=TRUE,"",
              VLOOKUP($G58,SantoYusuf!$L$13:$AK$56,AB$4,FALSE)))</t>
  </si>
  <si>
    <t>=IF(ISNUMBER($L$6)=FALSE,"",
        IF(ISERROR(VLOOKUP($G58,SantoYusuf!$L$13:$AK$56,AC$4,FALSE))=TRUE,"",
              VLOOKUP($G58,SantoYusuf!$L$13:$AK$56,AC$4,FALSE)))</t>
  </si>
  <si>
    <t>=IF(ISNUMBER($L$6)=FALSE,"",
        IF(ISERROR(VLOOKUP($G58,SantoYusuf!$L$13:$AK$56,AD$4,FALSE))=TRUE,"",
              VLOOKUP($G58,SantoYusuf!$L$13:$AK$56,AD$4,FALSE)))</t>
  </si>
  <si>
    <t>=IF(ISNUMBER($L$6)=FALSE,"",
        IF(ISERROR(VLOOKUP($G58,SantoYusuf!$L$13:$AK$56,AE$4,FALSE))=TRUE,"",
              VLOOKUP($G58,SantoYusuf!$L$13:$AK$56,AE$4,FALSE)))</t>
  </si>
  <si>
    <t>=IF(ISNUMBER($L$6)=FALSE,"",
        IF(ISERROR(VLOOKUP($G58,SantoYusuf!$L$13:$AK$56,AF$4,FALSE))=TRUE,"",
              VLOOKUP($G58,SantoYusuf!$L$13:$AK$56,AF$4,FALSE)))</t>
  </si>
  <si>
    <t>=IF(ISNUMBER($L$6)=FALSE,"",
IF($C59=0,"",VLOOKUP($E59,SantoYusuf!$H$13:$L$56,4,FALSE)))</t>
  </si>
  <si>
    <t>=IF(ISNUMBER($L$6)=FALSE,"",
IF($C59=0,"",VLOOKUP($E59,SantoYusuf!$H$13:$L$56,5,FALSE)))</t>
  </si>
  <si>
    <t>=IF(ISNUMBER($L$6)=FALSE,"",
        IF(ISERROR(VLOOKUP($G59,SantoYusuf!$L$13:$AK$56,I$4,FALSE))=TRUE,"",
              VLOOKUP($G59,SantoYusuf!$L$13:$AK$56,I$4,FALSE)))</t>
  </si>
  <si>
    <t>=IF(ISNUMBER($L$6)=FALSE,"",
        IF(ISERROR(VLOOKUP($G59,SantoYusuf!$L$13:$AK$56,J$4,FALSE))=TRUE,"",
              VLOOKUP($G59,SantoYusuf!$L$13:$AK$56,J$4,FALSE)))</t>
  </si>
  <si>
    <t>=IF(ISNUMBER($L$6)=FALSE,"",
        IF(ISERROR(VLOOKUP($G59,SantoYusuf!$L$13:$AK$56,K$4,FALSE))=TRUE,"",
              VLOOKUP($G59,SantoYusuf!$L$13:$AK$56,K$4,FALSE)))</t>
  </si>
  <si>
    <t>=IF(ISNUMBER($L$6)=FALSE,"",
        IF(ISERROR(VLOOKUP($G59,SantoYusuf!$L$13:$AK$56,L$4,FALSE))=TRUE,"",
              VLOOKUP($G59,SantoYusuf!$L$13:$AK$56,L$4,FALSE)))</t>
  </si>
  <si>
    <t>=IF(ISNUMBER($L$6)=FALSE,"",
        IF(ISERROR(VLOOKUP($G59,SantoYusuf!$L$13:$AK$56,M$4,FALSE))=TRUE,"",
              VLOOKUP($G59,SantoYusuf!$L$13:$AK$56,M$4,FALSE)))</t>
  </si>
  <si>
    <t>=IF(ISNUMBER($L$6)=FALSE,"",
        IF(ISERROR(VLOOKUP($G59,SantoYusuf!$L$13:$AK$56,N$4,FALSE))=TRUE,"",
              VLOOKUP($G59,SantoYusuf!$L$13:$AK$56,N$4,FALSE)))</t>
  </si>
  <si>
    <t>=IF(ISNUMBER($L$6)=FALSE,"",
        IF(ISERROR(VLOOKUP($G59,SantoYusuf!$L$13:$AK$56,O$4,FALSE))=TRUE,"",
              VLOOKUP($G59,SantoYusuf!$L$13:$AK$56,O$4,FALSE)))</t>
  </si>
  <si>
    <t>=IF(ISNUMBER($L$6)=FALSE,"",
        IF(ISERROR(VLOOKUP($G59,SantoYusuf!$L$13:$AK$56,P$4,FALSE))=TRUE,"",
              VLOOKUP($G59,SantoYusuf!$L$13:$AK$56,P$4,FALSE)))</t>
  </si>
  <si>
    <t>=IF(ISNUMBER($L$6)=FALSE,"",
        IF(ISERROR(VLOOKUP($G59,SantoYusuf!$L$13:$AK$56,Q$4,FALSE))=TRUE,"",
              VLOOKUP($G59,SantoYusuf!$L$13:$AK$56,Q$4,FALSE)))</t>
  </si>
  <si>
    <t>=IF(ISNUMBER($L$6)=FALSE,"",
        IF(ISERROR(VLOOKUP($G59,SantoYusuf!$L$13:$AK$56,R$4,FALSE))=TRUE,"",
              VLOOKUP($G59,SantoYusuf!$L$13:$AK$56,R$4,FALSE)))</t>
  </si>
  <si>
    <t>=IF(ISNUMBER($L$6)=FALSE,"",
        IF(ISERROR(VLOOKUP($G59,SantoYusuf!$L$13:$AK$56,S$4,FALSE))=TRUE,"",
              VLOOKUP($G59,SantoYusuf!$L$13:$AK$56,S$4,FALSE)))</t>
  </si>
  <si>
    <t>=IF(ISNUMBER($L$6)=FALSE,"",
        IF(ISERROR(VLOOKUP($G59,SantoYusuf!$L$13:$AK$56,T$4,FALSE))=TRUE,"",
              VLOOKUP($G59,SantoYusuf!$L$13:$AK$56,T$4,FALSE)))</t>
  </si>
  <si>
    <t>=IF(ISNUMBER($L$6)=FALSE,"",
        IF(ISERROR(VLOOKUP($G59,SantoYusuf!$L$13:$AK$56,U$4,FALSE))=TRUE,"",
              VLOOKUP($G59,SantoYusuf!$L$13:$AK$56,U$4,FALSE)))</t>
  </si>
  <si>
    <t>=IF(ISNUMBER($L$6)=FALSE,"",
        IF(ISERROR(VLOOKUP($G59,SantoYusuf!$L$13:$AK$56,V$4,FALSE))=TRUE,"",
              VLOOKUP($G59,SantoYusuf!$L$13:$AK$56,V$4,FALSE)))</t>
  </si>
  <si>
    <t>=IF(ISNUMBER($L$6)=FALSE,"",
        IF(ISERROR(VLOOKUP($G59,SantoYusuf!$L$13:$AK$56,W$4,FALSE))=TRUE,"",
              VLOOKUP($G59,SantoYusuf!$L$13:$AK$56,W$4,FALSE)))</t>
  </si>
  <si>
    <t>=IF(ISNUMBER($L$6)=FALSE,"",
        IF(ISERROR(VLOOKUP($G59,SantoYusuf!$L$13:$AK$56,X$4,FALSE))=TRUE,"",
              VLOOKUP($G59,SantoYusuf!$L$13:$AK$56,X$4,FALSE)))</t>
  </si>
  <si>
    <t>=IF(ISNUMBER($L$6)=FALSE,"",
        IF(ISERROR(VLOOKUP($G59,SantoYusuf!$L$13:$AK$56,Y$4,FALSE))=TRUE,"",
              VLOOKUP($G59,SantoYusuf!$L$13:$AK$56,Y$4,FALSE)))</t>
  </si>
  <si>
    <t>=IF(ISNUMBER($L$6)=FALSE,"",
        IF(ISERROR(VLOOKUP($G59,SantoYusuf!$L$13:$AK$56,Z$4,FALSE))=TRUE,"",
              VLOOKUP($G59,SantoYusuf!$L$13:$AK$56,Z$4,FALSE)))</t>
  </si>
  <si>
    <t>=IF(ISNUMBER($L$6)=FALSE,"",
        IF(ISERROR(VLOOKUP($G59,SantoYusuf!$L$13:$AK$56,AA$4,FALSE))=TRUE,"",
              VLOOKUP($G59,SantoYusuf!$L$13:$AK$56,AA$4,FALSE)))</t>
  </si>
  <si>
    <t>=IF(ISNUMBER($L$6)=FALSE,"",
        IF(ISERROR(VLOOKUP($G59,SantoYusuf!$L$13:$AK$56,AB$4,FALSE))=TRUE,"",
              VLOOKUP($G59,SantoYusuf!$L$13:$AK$56,AB$4,FALSE)))</t>
  </si>
  <si>
    <t>=IF(ISNUMBER($L$6)=FALSE,"",
        IF(ISERROR(VLOOKUP($G59,SantoYusuf!$L$13:$AK$56,AC$4,FALSE))=TRUE,"",
              VLOOKUP($G59,SantoYusuf!$L$13:$AK$56,AC$4,FALSE)))</t>
  </si>
  <si>
    <t>=IF(ISNUMBER($L$6)=FALSE,"",
        IF(ISERROR(VLOOKUP($G59,SantoYusuf!$L$13:$AK$56,AD$4,FALSE))=TRUE,"",
              VLOOKUP($G59,SantoYusuf!$L$13:$AK$56,AD$4,FALSE)))</t>
  </si>
  <si>
    <t>=IF(ISNUMBER($L$6)=FALSE,"",
        IF(ISERROR(VLOOKUP($G59,SantoYusuf!$L$13:$AK$56,AE$4,FALSE))=TRUE,"",
              VLOOKUP($G59,SantoYusuf!$L$13:$AK$56,AE$4,FALSE)))</t>
  </si>
  <si>
    <t>=IF(ISNUMBER($L$6)=FALSE,"",
        IF(ISERROR(VLOOKUP($G59,SantoYusuf!$L$13:$AK$56,AF$4,FALSE))=TRUE,"",
              VLOOKUP($G59,SantoYusuf!$L$13:$AK$56,AF$4,FALSE)))</t>
  </si>
  <si>
    <t>=IF(ISNUMBER($L$6)=FALSE,"",
IF($C60=0,"",VLOOKUP($E60,SantoYusuf!$H$13:$L$56,4,FALSE)))</t>
  </si>
  <si>
    <t>=IF(ISNUMBER($L$6)=FALSE,"",
IF($C60=0,"",VLOOKUP($E60,SantoYusuf!$H$13:$L$56,5,FALSE)))</t>
  </si>
  <si>
    <t>=IF(ISNUMBER($L$6)=FALSE,"",
        IF(ISERROR(VLOOKUP($G60,SantoYusuf!$L$13:$AK$56,I$4,FALSE))=TRUE,"",
              VLOOKUP($G60,SantoYusuf!$L$13:$AK$56,I$4,FALSE)))</t>
  </si>
  <si>
    <t>=IF(ISNUMBER($L$6)=FALSE,"",
        IF(ISERROR(VLOOKUP($G60,SantoYusuf!$L$13:$AK$56,J$4,FALSE))=TRUE,"",
              VLOOKUP($G60,SantoYusuf!$L$13:$AK$56,J$4,FALSE)))</t>
  </si>
  <si>
    <t>=IF(ISNUMBER($L$6)=FALSE,"",
        IF(ISERROR(VLOOKUP($G60,SantoYusuf!$L$13:$AK$56,K$4,FALSE))=TRUE,"",
              VLOOKUP($G60,SantoYusuf!$L$13:$AK$56,K$4,FALSE)))</t>
  </si>
  <si>
    <t>=IF(ISNUMBER($L$6)=FALSE,"",
        IF(ISERROR(VLOOKUP($G60,SantoYusuf!$L$13:$AK$56,L$4,FALSE))=TRUE,"",
              VLOOKUP($G60,SantoYusuf!$L$13:$AK$56,L$4,FALSE)))</t>
  </si>
  <si>
    <t>=IF(ISNUMBER($L$6)=FALSE,"",
        IF(ISERROR(VLOOKUP($G60,SantoYusuf!$L$13:$AK$56,M$4,FALSE))=TRUE,"",
              VLOOKUP($G60,SantoYusuf!$L$13:$AK$56,M$4,FALSE)))</t>
  </si>
  <si>
    <t>=IF(ISNUMBER($L$6)=FALSE,"",
        IF(ISERROR(VLOOKUP($G60,SantoYusuf!$L$13:$AK$56,N$4,FALSE))=TRUE,"",
              VLOOKUP($G60,SantoYusuf!$L$13:$AK$56,N$4,FALSE)))</t>
  </si>
  <si>
    <t>=IF(ISNUMBER($L$6)=FALSE,"",
        IF(ISERROR(VLOOKUP($G60,SantoYusuf!$L$13:$AK$56,O$4,FALSE))=TRUE,"",
              VLOOKUP($G60,SantoYusuf!$L$13:$AK$56,O$4,FALSE)))</t>
  </si>
  <si>
    <t>=IF(ISNUMBER($L$6)=FALSE,"",
        IF(ISERROR(VLOOKUP($G60,SantoYusuf!$L$13:$AK$56,P$4,FALSE))=TRUE,"",
              VLOOKUP($G60,SantoYusuf!$L$13:$AK$56,P$4,FALSE)))</t>
  </si>
  <si>
    <t>=IF(ISNUMBER($L$6)=FALSE,"",
        IF(ISERROR(VLOOKUP($G60,SantoYusuf!$L$13:$AK$56,Q$4,FALSE))=TRUE,"",
              VLOOKUP($G60,SantoYusuf!$L$13:$AK$56,Q$4,FALSE)))</t>
  </si>
  <si>
    <t>=IF(ISNUMBER($L$6)=FALSE,"",
        IF(ISERROR(VLOOKUP($G60,SantoYusuf!$L$13:$AK$56,R$4,FALSE))=TRUE,"",
              VLOOKUP($G60,SantoYusuf!$L$13:$AK$56,R$4,FALSE)))</t>
  </si>
  <si>
    <t>=IF(ISNUMBER($L$6)=FALSE,"",
        IF(ISERROR(VLOOKUP($G60,SantoYusuf!$L$13:$AK$56,S$4,FALSE))=TRUE,"",
              VLOOKUP($G60,SantoYusuf!$L$13:$AK$56,S$4,FALSE)))</t>
  </si>
  <si>
    <t>=IF(ISNUMBER($L$6)=FALSE,"",
        IF(ISERROR(VLOOKUP($G60,SantoYusuf!$L$13:$AK$56,T$4,FALSE))=TRUE,"",
              VLOOKUP($G60,SantoYusuf!$L$13:$AK$56,T$4,FALSE)))</t>
  </si>
  <si>
    <t>=IF(ISNUMBER($L$6)=FALSE,"",
        IF(ISERROR(VLOOKUP($G60,SantoYusuf!$L$13:$AK$56,U$4,FALSE))=TRUE,"",
              VLOOKUP($G60,SantoYusuf!$L$13:$AK$56,U$4,FALSE)))</t>
  </si>
  <si>
    <t>=IF(ISNUMBER($L$6)=FALSE,"",
        IF(ISERROR(VLOOKUP($G60,SantoYusuf!$L$13:$AK$56,V$4,FALSE))=TRUE,"",
              VLOOKUP($G60,SantoYusuf!$L$13:$AK$56,V$4,FALSE)))</t>
  </si>
  <si>
    <t>=IF(ISNUMBER($L$6)=FALSE,"",
        IF(ISERROR(VLOOKUP($G60,SantoYusuf!$L$13:$AK$56,W$4,FALSE))=TRUE,"",
              VLOOKUP($G60,SantoYusuf!$L$13:$AK$56,W$4,FALSE)))</t>
  </si>
  <si>
    <t>=IF(ISNUMBER($L$6)=FALSE,"",
        IF(ISERROR(VLOOKUP($G60,SantoYusuf!$L$13:$AK$56,X$4,FALSE))=TRUE,"",
              VLOOKUP($G60,SantoYusuf!$L$13:$AK$56,X$4,FALSE)))</t>
  </si>
  <si>
    <t>=IF(ISNUMBER($L$6)=FALSE,"",
        IF(ISERROR(VLOOKUP($G60,SantoYusuf!$L$13:$AK$56,Y$4,FALSE))=TRUE,"",
              VLOOKUP($G60,SantoYusuf!$L$13:$AK$56,Y$4,FALSE)))</t>
  </si>
  <si>
    <t>=IF(ISNUMBER($L$6)=FALSE,"",
        IF(ISERROR(VLOOKUP($G60,SantoYusuf!$L$13:$AK$56,Z$4,FALSE))=TRUE,"",
              VLOOKUP($G60,SantoYusuf!$L$13:$AK$56,Z$4,FALSE)))</t>
  </si>
  <si>
    <t>=IF(ISNUMBER($L$6)=FALSE,"",
        IF(ISERROR(VLOOKUP($G60,SantoYusuf!$L$13:$AK$56,AA$4,FALSE))=TRUE,"",
              VLOOKUP($G60,SantoYusuf!$L$13:$AK$56,AA$4,FALSE)))</t>
  </si>
  <si>
    <t>=IF(ISNUMBER($L$6)=FALSE,"",
        IF(ISERROR(VLOOKUP($G60,SantoYusuf!$L$13:$AK$56,AB$4,FALSE))=TRUE,"",
              VLOOKUP($G60,SantoYusuf!$L$13:$AK$56,AB$4,FALSE)))</t>
  </si>
  <si>
    <t>=IF(ISNUMBER($L$6)=FALSE,"",
        IF(ISERROR(VLOOKUP($G60,SantoYusuf!$L$13:$AK$56,AC$4,FALSE))=TRUE,"",
              VLOOKUP($G60,SantoYusuf!$L$13:$AK$56,AC$4,FALSE)))</t>
  </si>
  <si>
    <t>=IF(ISNUMBER($L$6)=FALSE,"",
        IF(ISERROR(VLOOKUP($G60,SantoYusuf!$L$13:$AK$56,AD$4,FALSE))=TRUE,"",
              VLOOKUP($G60,SantoYusuf!$L$13:$AK$56,AD$4,FALSE)))</t>
  </si>
  <si>
    <t>=IF(ISNUMBER($L$6)=FALSE,"",
        IF(ISERROR(VLOOKUP($G60,SantoYusuf!$L$13:$AK$56,AE$4,FALSE))=TRUE,"",
              VLOOKUP($G60,SantoYusuf!$L$13:$AK$56,AE$4,FALSE)))</t>
  </si>
  <si>
    <t>=IF(ISNUMBER($L$6)=FALSE,"",
        IF(ISERROR(VLOOKUP($G60,SantoYusuf!$L$13:$AK$56,AF$4,FALSE))=TRUE,"",
              VLOOKUP($G60,SantoYusuf!$L$13:$AK$56,AF$4,FALSE)))</t>
  </si>
  <si>
    <t>=IF(ISNUMBER($L$6)=FALSE,"",
IF($C61=0,"",VLOOKUP($E61,SantoYusuf!$H$13:$L$56,4,FALSE)))</t>
  </si>
  <si>
    <t>=IF(ISNUMBER($L$6)=FALSE,"",
IF($C61=0,"",VLOOKUP($E61,SantoYusuf!$H$13:$L$56,5,FALSE)))</t>
  </si>
  <si>
    <t>=IF(ISNUMBER($L$6)=FALSE,"",
        IF(ISERROR(VLOOKUP($G61,SantoYusuf!$L$13:$AK$56,I$4,FALSE))=TRUE,"",
              VLOOKUP($G61,SantoYusuf!$L$13:$AK$56,I$4,FALSE)))</t>
  </si>
  <si>
    <t>=IF(ISNUMBER($L$6)=FALSE,"",
        IF(ISERROR(VLOOKUP($G61,SantoYusuf!$L$13:$AK$56,J$4,FALSE))=TRUE,"",
              VLOOKUP($G61,SantoYusuf!$L$13:$AK$56,J$4,FALSE)))</t>
  </si>
  <si>
    <t>=IF(ISNUMBER($L$6)=FALSE,"",
        IF(ISERROR(VLOOKUP($G61,SantoYusuf!$L$13:$AK$56,K$4,FALSE))=TRUE,"",
              VLOOKUP($G61,SantoYusuf!$L$13:$AK$56,K$4,FALSE)))</t>
  </si>
  <si>
    <t>=IF(ISNUMBER($L$6)=FALSE,"",
        IF(ISERROR(VLOOKUP($G61,SantoYusuf!$L$13:$AK$56,L$4,FALSE))=TRUE,"",
              VLOOKUP($G61,SantoYusuf!$L$13:$AK$56,L$4,FALSE)))</t>
  </si>
  <si>
    <t>=IF(ISNUMBER($L$6)=FALSE,"",
        IF(ISERROR(VLOOKUP($G61,SantoYusuf!$L$13:$AK$56,M$4,FALSE))=TRUE,"",
              VLOOKUP($G61,SantoYusuf!$L$13:$AK$56,M$4,FALSE)))</t>
  </si>
  <si>
    <t>=IF(ISNUMBER($L$6)=FALSE,"",
        IF(ISERROR(VLOOKUP($G61,SantoYusuf!$L$13:$AK$56,N$4,FALSE))=TRUE,"",
              VLOOKUP($G61,SantoYusuf!$L$13:$AK$56,N$4,FALSE)))</t>
  </si>
  <si>
    <t>=IF(ISNUMBER($L$6)=FALSE,"",
        IF(ISERROR(VLOOKUP($G61,SantoYusuf!$L$13:$AK$56,O$4,FALSE))=TRUE,"",
              VLOOKUP($G61,SantoYusuf!$L$13:$AK$56,O$4,FALSE)))</t>
  </si>
  <si>
    <t>=IF(ISNUMBER($L$6)=FALSE,"",
        IF(ISERROR(VLOOKUP($G61,SantoYusuf!$L$13:$AK$56,P$4,FALSE))=TRUE,"",
              VLOOKUP($G61,SantoYusuf!$L$13:$AK$56,P$4,FALSE)))</t>
  </si>
  <si>
    <t>=IF(ISNUMBER($L$6)=FALSE,"",
        IF(ISERROR(VLOOKUP($G61,SantoYusuf!$L$13:$AK$56,Q$4,FALSE))=TRUE,"",
              VLOOKUP($G61,SantoYusuf!$L$13:$AK$56,Q$4,FALSE)))</t>
  </si>
  <si>
    <t>=IF(ISNUMBER($L$6)=FALSE,"",
        IF(ISERROR(VLOOKUP($G61,SantoYusuf!$L$13:$AK$56,R$4,FALSE))=TRUE,"",
              VLOOKUP($G61,SantoYusuf!$L$13:$AK$56,R$4,FALSE)))</t>
  </si>
  <si>
    <t>=IF(ISNUMBER($L$6)=FALSE,"",
        IF(ISERROR(VLOOKUP($G61,SantoYusuf!$L$13:$AK$56,S$4,FALSE))=TRUE,"",
              VLOOKUP($G61,SantoYusuf!$L$13:$AK$56,S$4,FALSE)))</t>
  </si>
  <si>
    <t>=IF(ISNUMBER($L$6)=FALSE,"",
        IF(ISERROR(VLOOKUP($G61,SantoYusuf!$L$13:$AK$56,T$4,FALSE))=TRUE,"",
              VLOOKUP($G61,SantoYusuf!$L$13:$AK$56,T$4,FALSE)))</t>
  </si>
  <si>
    <t>=IF(ISNUMBER($L$6)=FALSE,"",
        IF(ISERROR(VLOOKUP($G61,SantoYusuf!$L$13:$AK$56,U$4,FALSE))=TRUE,"",
              VLOOKUP($G61,SantoYusuf!$L$13:$AK$56,U$4,FALSE)))</t>
  </si>
  <si>
    <t>=IF(ISNUMBER($L$6)=FALSE,"",
        IF(ISERROR(VLOOKUP($G61,SantoYusuf!$L$13:$AK$56,V$4,FALSE))=TRUE,"",
              VLOOKUP($G61,SantoYusuf!$L$13:$AK$56,V$4,FALSE)))</t>
  </si>
  <si>
    <t>=IF(ISNUMBER($L$6)=FALSE,"",
        IF(ISERROR(VLOOKUP($G61,SantoYusuf!$L$13:$AK$56,W$4,FALSE))=TRUE,"",
              VLOOKUP($G61,SantoYusuf!$L$13:$AK$56,W$4,FALSE)))</t>
  </si>
  <si>
    <t>=IF(ISNUMBER($L$6)=FALSE,"",
        IF(ISERROR(VLOOKUP($G61,SantoYusuf!$L$13:$AK$56,X$4,FALSE))=TRUE,"",
              VLOOKUP($G61,SantoYusuf!$L$13:$AK$56,X$4,FALSE)))</t>
  </si>
  <si>
    <t>=IF(ISNUMBER($L$6)=FALSE,"",
        IF(ISERROR(VLOOKUP($G61,SantoYusuf!$L$13:$AK$56,Y$4,FALSE))=TRUE,"",
              VLOOKUP($G61,SantoYusuf!$L$13:$AK$56,Y$4,FALSE)))</t>
  </si>
  <si>
    <t>=IF(ISNUMBER($L$6)=FALSE,"",
        IF(ISERROR(VLOOKUP($G61,SantoYusuf!$L$13:$AK$56,Z$4,FALSE))=TRUE,"",
              VLOOKUP($G61,SantoYusuf!$L$13:$AK$56,Z$4,FALSE)))</t>
  </si>
  <si>
    <t>=IF(ISNUMBER($L$6)=FALSE,"",
        IF(ISERROR(VLOOKUP($G61,SantoYusuf!$L$13:$AK$56,AA$4,FALSE))=TRUE,"",
              VLOOKUP($G61,SantoYusuf!$L$13:$AK$56,AA$4,FALSE)))</t>
  </si>
  <si>
    <t>=IF(ISNUMBER($L$6)=FALSE,"",
        IF(ISERROR(VLOOKUP($G61,SantoYusuf!$L$13:$AK$56,AB$4,FALSE))=TRUE,"",
              VLOOKUP($G61,SantoYusuf!$L$13:$AK$56,AB$4,FALSE)))</t>
  </si>
  <si>
    <t>=IF(ISNUMBER($L$6)=FALSE,"",
        IF(ISERROR(VLOOKUP($G61,SantoYusuf!$L$13:$AK$56,AC$4,FALSE))=TRUE,"",
              VLOOKUP($G61,SantoYusuf!$L$13:$AK$56,AC$4,FALSE)))</t>
  </si>
  <si>
    <t>=IF(ISNUMBER($L$6)=FALSE,"",
        IF(ISERROR(VLOOKUP($G61,SantoYusuf!$L$13:$AK$56,AD$4,FALSE))=TRUE,"",
              VLOOKUP($G61,SantoYusuf!$L$13:$AK$56,AD$4,FALSE)))</t>
  </si>
  <si>
    <t>=IF(ISNUMBER($L$6)=FALSE,"",
        IF(ISERROR(VLOOKUP($G61,SantoYusuf!$L$13:$AK$56,AE$4,FALSE))=TRUE,"",
              VLOOKUP($G61,SantoYusuf!$L$13:$AK$56,AE$4,FALSE)))</t>
  </si>
  <si>
    <t>=IF(ISNUMBER($L$6)=FALSE,"",
        IF(ISERROR(VLOOKUP($G61,SantoYusuf!$L$13:$AK$56,AF$4,FALSE))=TRUE,"",
              VLOOKUP($G61,SantoYusuf!$L$13:$AK$56,AF$4,FALSE)))</t>
  </si>
  <si>
    <t>=IF(ISNUMBER($L$6)=FALSE,"",
IF($C62=0,"",VLOOKUP($E62,SantoYusuf!$H$13:$L$56,4,FALSE)))</t>
  </si>
  <si>
    <t>=IF(ISNUMBER($L$6)=FALSE,"",
IF($C62=0,"",VLOOKUP($E62,SantoYusuf!$H$13:$L$56,5,FALSE)))</t>
  </si>
  <si>
    <t>=IF(ISNUMBER($L$6)=FALSE,"",
        IF(ISERROR(VLOOKUP($G62,SantoYusuf!$L$13:$AK$56,I$4,FALSE))=TRUE,"",
              VLOOKUP($G62,SantoYusuf!$L$13:$AK$56,I$4,FALSE)))</t>
  </si>
  <si>
    <t>=IF(ISNUMBER($L$6)=FALSE,"",
        IF(ISERROR(VLOOKUP($G62,SantoYusuf!$L$13:$AK$56,J$4,FALSE))=TRUE,"",
              VLOOKUP($G62,SantoYusuf!$L$13:$AK$56,J$4,FALSE)))</t>
  </si>
  <si>
    <t>=IF(ISNUMBER($L$6)=FALSE,"",
        IF(ISERROR(VLOOKUP($G62,SantoYusuf!$L$13:$AK$56,K$4,FALSE))=TRUE,"",
              VLOOKUP($G62,SantoYusuf!$L$13:$AK$56,K$4,FALSE)))</t>
  </si>
  <si>
    <t>=IF(ISNUMBER($L$6)=FALSE,"",
        IF(ISERROR(VLOOKUP($G62,SantoYusuf!$L$13:$AK$56,L$4,FALSE))=TRUE,"",
              VLOOKUP($G62,SantoYusuf!$L$13:$AK$56,L$4,FALSE)))</t>
  </si>
  <si>
    <t>=IF(ISNUMBER($L$6)=FALSE,"",
        IF(ISERROR(VLOOKUP($G62,SantoYusuf!$L$13:$AK$56,M$4,FALSE))=TRUE,"",
              VLOOKUP($G62,SantoYusuf!$L$13:$AK$56,M$4,FALSE)))</t>
  </si>
  <si>
    <t>=IF(ISNUMBER($L$6)=FALSE,"",
        IF(ISERROR(VLOOKUP($G62,SantoYusuf!$L$13:$AK$56,N$4,FALSE))=TRUE,"",
              VLOOKUP($G62,SantoYusuf!$L$13:$AK$56,N$4,FALSE)))</t>
  </si>
  <si>
    <t>=IF(ISNUMBER($L$6)=FALSE,"",
        IF(ISERROR(VLOOKUP($G62,SantoYusuf!$L$13:$AK$56,O$4,FALSE))=TRUE,"",
              VLOOKUP($G62,SantoYusuf!$L$13:$AK$56,O$4,FALSE)))</t>
  </si>
  <si>
    <t>=IF(ISNUMBER($L$6)=FALSE,"",
        IF(ISERROR(VLOOKUP($G62,SantoYusuf!$L$13:$AK$56,P$4,FALSE))=TRUE,"",
              VLOOKUP($G62,SantoYusuf!$L$13:$AK$56,P$4,FALSE)))</t>
  </si>
  <si>
    <t>=IF(ISNUMBER($L$6)=FALSE,"",
        IF(ISERROR(VLOOKUP($G62,SantoYusuf!$L$13:$AK$56,Q$4,FALSE))=TRUE,"",
              VLOOKUP($G62,SantoYusuf!$L$13:$AK$56,Q$4,FALSE)))</t>
  </si>
  <si>
    <t>=IF(ISNUMBER($L$6)=FALSE,"",
        IF(ISERROR(VLOOKUP($G62,SantoYusuf!$L$13:$AK$56,R$4,FALSE))=TRUE,"",
              VLOOKUP($G62,SantoYusuf!$L$13:$AK$56,R$4,FALSE)))</t>
  </si>
  <si>
    <t>=IF(ISNUMBER($L$6)=FALSE,"",
        IF(ISERROR(VLOOKUP($G62,SantoYusuf!$L$13:$AK$56,S$4,FALSE))=TRUE,"",
              VLOOKUP($G62,SantoYusuf!$L$13:$AK$56,S$4,FALSE)))</t>
  </si>
  <si>
    <t>=IF(ISNUMBER($L$6)=FALSE,"",
        IF(ISERROR(VLOOKUP($G62,SantoYusuf!$L$13:$AK$56,T$4,FALSE))=TRUE,"",
              VLOOKUP($G62,SantoYusuf!$L$13:$AK$56,T$4,FALSE)))</t>
  </si>
  <si>
    <t>=IF(ISNUMBER($L$6)=FALSE,"",
        IF(ISERROR(VLOOKUP($G62,SantoYusuf!$L$13:$AK$56,U$4,FALSE))=TRUE,"",
              VLOOKUP($G62,SantoYusuf!$L$13:$AK$56,U$4,FALSE)))</t>
  </si>
  <si>
    <t>=IF(ISNUMBER($L$6)=FALSE,"",
        IF(ISERROR(VLOOKUP($G62,SantoYusuf!$L$13:$AK$56,V$4,FALSE))=TRUE,"",
              VLOOKUP($G62,SantoYusuf!$L$13:$AK$56,V$4,FALSE)))</t>
  </si>
  <si>
    <t>=IF(ISNUMBER($L$6)=FALSE,"",
        IF(ISERROR(VLOOKUP($G62,SantoYusuf!$L$13:$AK$56,W$4,FALSE))=TRUE,"",
              VLOOKUP($G62,SantoYusuf!$L$13:$AK$56,W$4,FALSE)))</t>
  </si>
  <si>
    <t>=IF(ISNUMBER($L$6)=FALSE,"",
        IF(ISERROR(VLOOKUP($G62,SantoYusuf!$L$13:$AK$56,X$4,FALSE))=TRUE,"",
              VLOOKUP($G62,SantoYusuf!$L$13:$AK$56,X$4,FALSE)))</t>
  </si>
  <si>
    <t>=IF(ISNUMBER($L$6)=FALSE,"",
        IF(ISERROR(VLOOKUP($G62,SantoYusuf!$L$13:$AK$56,Y$4,FALSE))=TRUE,"",
              VLOOKUP($G62,SantoYusuf!$L$13:$AK$56,Y$4,FALSE)))</t>
  </si>
  <si>
    <t>=IF(ISNUMBER($L$6)=FALSE,"",
        IF(ISERROR(VLOOKUP($G62,SantoYusuf!$L$13:$AK$56,Z$4,FALSE))=TRUE,"",
              VLOOKUP($G62,SantoYusuf!$L$13:$AK$56,Z$4,FALSE)))</t>
  </si>
  <si>
    <t>=IF(ISNUMBER($L$6)=FALSE,"",
        IF(ISERROR(VLOOKUP($G62,SantoYusuf!$L$13:$AK$56,AA$4,FALSE))=TRUE,"",
              VLOOKUP($G62,SantoYusuf!$L$13:$AK$56,AA$4,FALSE)))</t>
  </si>
  <si>
    <t>=IF(ISNUMBER($L$6)=FALSE,"",
        IF(ISERROR(VLOOKUP($G62,SantoYusuf!$L$13:$AK$56,AB$4,FALSE))=TRUE,"",
              VLOOKUP($G62,SantoYusuf!$L$13:$AK$56,AB$4,FALSE)))</t>
  </si>
  <si>
    <t>=IF(ISNUMBER($L$6)=FALSE,"",
        IF(ISERROR(VLOOKUP($G62,SantoYusuf!$L$13:$AK$56,AC$4,FALSE))=TRUE,"",
              VLOOKUP($G62,SantoYusuf!$L$13:$AK$56,AC$4,FALSE)))</t>
  </si>
  <si>
    <t>=IF(ISNUMBER($L$6)=FALSE,"",
        IF(ISERROR(VLOOKUP($G62,SantoYusuf!$L$13:$AK$56,AD$4,FALSE))=TRUE,"",
              VLOOKUP($G62,SantoYusuf!$L$13:$AK$56,AD$4,FALSE)))</t>
  </si>
  <si>
    <t>=IF(ISNUMBER($L$6)=FALSE,"",
        IF(ISERROR(VLOOKUP($G62,SantoYusuf!$L$13:$AK$56,AE$4,FALSE))=TRUE,"",
              VLOOKUP($G62,SantoYusuf!$L$13:$AK$56,AE$4,FALSE)))</t>
  </si>
  <si>
    <t>=IF(ISNUMBER($L$6)=FALSE,"",
        IF(ISERROR(VLOOKUP($G62,SantoYusuf!$L$13:$AK$56,AF$4,FALSE))=TRUE,"",
              VLOOKUP($G62,SantoYusuf!$L$13:$AK$56,AF$4,FALSE)))</t>
  </si>
  <si>
    <t>=IF(ISNUMBER($L$6)=FALSE,"",
IF($C63=0,"",VLOOKUP($E63,SantoYusuf!$H$13:$L$56,4,FALSE)))</t>
  </si>
  <si>
    <t>=IF(ISNUMBER($L$6)=FALSE,"",
IF($C63=0,"",VLOOKUP($E63,SantoYusuf!$H$13:$L$56,5,FALSE)))</t>
  </si>
  <si>
    <t>=IF(ISNUMBER($L$6)=FALSE,"",
        IF(ISERROR(VLOOKUP($G63,SantoYusuf!$L$13:$AK$56,I$4,FALSE))=TRUE,"",
              VLOOKUP($G63,SantoYusuf!$L$13:$AK$56,I$4,FALSE)))</t>
  </si>
  <si>
    <t>=IF(ISNUMBER($L$6)=FALSE,"",
        IF(ISERROR(VLOOKUP($G63,SantoYusuf!$L$13:$AK$56,J$4,FALSE))=TRUE,"",
              VLOOKUP($G63,SantoYusuf!$L$13:$AK$56,J$4,FALSE)))</t>
  </si>
  <si>
    <t>=IF(ISNUMBER($L$6)=FALSE,"",
        IF(ISERROR(VLOOKUP($G63,SantoYusuf!$L$13:$AK$56,K$4,FALSE))=TRUE,"",
              VLOOKUP($G63,SantoYusuf!$L$13:$AK$56,K$4,FALSE)))</t>
  </si>
  <si>
    <t>=IF(ISNUMBER($L$6)=FALSE,"",
        IF(ISERROR(VLOOKUP($G63,SantoYusuf!$L$13:$AK$56,L$4,FALSE))=TRUE,"",
              VLOOKUP($G63,SantoYusuf!$L$13:$AK$56,L$4,FALSE)))</t>
  </si>
  <si>
    <t>=IF(ISNUMBER($L$6)=FALSE,"",
        IF(ISERROR(VLOOKUP($G63,SantoYusuf!$L$13:$AK$56,M$4,FALSE))=TRUE,"",
              VLOOKUP($G63,SantoYusuf!$L$13:$AK$56,M$4,FALSE)))</t>
  </si>
  <si>
    <t>=IF(ISNUMBER($L$6)=FALSE,"",
        IF(ISERROR(VLOOKUP($G63,SantoYusuf!$L$13:$AK$56,N$4,FALSE))=TRUE,"",
              VLOOKUP($G63,SantoYusuf!$L$13:$AK$56,N$4,FALSE)))</t>
  </si>
  <si>
    <t>=IF(ISNUMBER($L$6)=FALSE,"",
        IF(ISERROR(VLOOKUP($G63,SantoYusuf!$L$13:$AK$56,O$4,FALSE))=TRUE,"",
              VLOOKUP($G63,SantoYusuf!$L$13:$AK$56,O$4,FALSE)))</t>
  </si>
  <si>
    <t>=IF(ISNUMBER($L$6)=FALSE,"",
        IF(ISERROR(VLOOKUP($G63,SantoYusuf!$L$13:$AK$56,P$4,FALSE))=TRUE,"",
              VLOOKUP($G63,SantoYusuf!$L$13:$AK$56,P$4,FALSE)))</t>
  </si>
  <si>
    <t>=IF(ISNUMBER($L$6)=FALSE,"",
        IF(ISERROR(VLOOKUP($G63,SantoYusuf!$L$13:$AK$56,Q$4,FALSE))=TRUE,"",
              VLOOKUP($G63,SantoYusuf!$L$13:$AK$56,Q$4,FALSE)))</t>
  </si>
  <si>
    <t>=IF(ISNUMBER($L$6)=FALSE,"",
        IF(ISERROR(VLOOKUP($G63,SantoYusuf!$L$13:$AK$56,R$4,FALSE))=TRUE,"",
              VLOOKUP($G63,SantoYusuf!$L$13:$AK$56,R$4,FALSE)))</t>
  </si>
  <si>
    <t>=IF(ISNUMBER($L$6)=FALSE,"",
        IF(ISERROR(VLOOKUP($G63,SantoYusuf!$L$13:$AK$56,S$4,FALSE))=TRUE,"",
              VLOOKUP($G63,SantoYusuf!$L$13:$AK$56,S$4,FALSE)))</t>
  </si>
  <si>
    <t>=IF(ISNUMBER($L$6)=FALSE,"",
        IF(ISERROR(VLOOKUP($G63,SantoYusuf!$L$13:$AK$56,T$4,FALSE))=TRUE,"",
              VLOOKUP($G63,SantoYusuf!$L$13:$AK$56,T$4,FALSE)))</t>
  </si>
  <si>
    <t>=IF(ISNUMBER($L$6)=FALSE,"",
        IF(ISERROR(VLOOKUP($G63,SantoYusuf!$L$13:$AK$56,U$4,FALSE))=TRUE,"",
              VLOOKUP($G63,SantoYusuf!$L$13:$AK$56,U$4,FALSE)))</t>
  </si>
  <si>
    <t>=IF(ISNUMBER($L$6)=FALSE,"",
        IF(ISERROR(VLOOKUP($G63,SantoYusuf!$L$13:$AK$56,V$4,FALSE))=TRUE,"",
              VLOOKUP($G63,SantoYusuf!$L$13:$AK$56,V$4,FALSE)))</t>
  </si>
  <si>
    <t>=IF(ISNUMBER($L$6)=FALSE,"",
        IF(ISERROR(VLOOKUP($G63,SantoYusuf!$L$13:$AK$56,W$4,FALSE))=TRUE,"",
              VLOOKUP($G63,SantoYusuf!$L$13:$AK$56,W$4,FALSE)))</t>
  </si>
  <si>
    <t>=IF(ISNUMBER($L$6)=FALSE,"",
        IF(ISERROR(VLOOKUP($G63,SantoYusuf!$L$13:$AK$56,X$4,FALSE))=TRUE,"",
              VLOOKUP($G63,SantoYusuf!$L$13:$AK$56,X$4,FALSE)))</t>
  </si>
  <si>
    <t>=IF(ISNUMBER($L$6)=FALSE,"",
        IF(ISERROR(VLOOKUP($G63,SantoYusuf!$L$13:$AK$56,Y$4,FALSE))=TRUE,"",
              VLOOKUP($G63,SantoYusuf!$L$13:$AK$56,Y$4,FALSE)))</t>
  </si>
  <si>
    <t>=IF(ISNUMBER($L$6)=FALSE,"",
        IF(ISERROR(VLOOKUP($G63,SantoYusuf!$L$13:$AK$56,Z$4,FALSE))=TRUE,"",
              VLOOKUP($G63,SantoYusuf!$L$13:$AK$56,Z$4,FALSE)))</t>
  </si>
  <si>
    <t>=IF(ISNUMBER($L$6)=FALSE,"",
        IF(ISERROR(VLOOKUP($G63,SantoYusuf!$L$13:$AK$56,AA$4,FALSE))=TRUE,"",
              VLOOKUP($G63,SantoYusuf!$L$13:$AK$56,AA$4,FALSE)))</t>
  </si>
  <si>
    <t>=IF(ISNUMBER($L$6)=FALSE,"",
        IF(ISERROR(VLOOKUP($G63,SantoYusuf!$L$13:$AK$56,AB$4,FALSE))=TRUE,"",
              VLOOKUP($G63,SantoYusuf!$L$13:$AK$56,AB$4,FALSE)))</t>
  </si>
  <si>
    <t>=IF(ISNUMBER($L$6)=FALSE,"",
        IF(ISERROR(VLOOKUP($G63,SantoYusuf!$L$13:$AK$56,AC$4,FALSE))=TRUE,"",
              VLOOKUP($G63,SantoYusuf!$L$13:$AK$56,AC$4,FALSE)))</t>
  </si>
  <si>
    <t>=IF(ISNUMBER($L$6)=FALSE,"",
        IF(ISERROR(VLOOKUP($G63,SantoYusuf!$L$13:$AK$56,AD$4,FALSE))=TRUE,"",
              VLOOKUP($G63,SantoYusuf!$L$13:$AK$56,AD$4,FALSE)))</t>
  </si>
  <si>
    <t>=IF(ISNUMBER($L$6)=FALSE,"",
        IF(ISERROR(VLOOKUP($G63,SantoYusuf!$L$13:$AK$56,AE$4,FALSE))=TRUE,"",
              VLOOKUP($G63,SantoYusuf!$L$13:$AK$56,AE$4,FALSE)))</t>
  </si>
  <si>
    <t>=IF(ISNUMBER($L$6)=FALSE,"",
        IF(ISERROR(VLOOKUP($G63,SantoYusuf!$L$13:$AK$56,AF$4,FALSE))=TRUE,"",
              VLOOKUP($G63,SantoYusuf!$L$13:$AK$56,AF$4,FALSE)))</t>
  </si>
  <si>
    <t>=IF(ISNUMBER($L$6)=FALSE,"",
IF($C64=0,"",VLOOKUP($E64,SantoYusuf!$H$13:$L$56,4,FALSE)))</t>
  </si>
  <si>
    <t>=IF(ISNUMBER($L$6)=FALSE,"",
IF($C64=0,"",VLOOKUP($E64,SantoYusuf!$H$13:$L$56,5,FALSE)))</t>
  </si>
  <si>
    <t>=IF(ISNUMBER($L$6)=FALSE,"",
        IF(ISERROR(VLOOKUP($G64,SantoYusuf!$L$13:$AK$56,I$4,FALSE))=TRUE,"",
              VLOOKUP($G64,SantoYusuf!$L$13:$AK$56,I$4,FALSE)))</t>
  </si>
  <si>
    <t>=IF(ISNUMBER($L$6)=FALSE,"",
        IF(ISERROR(VLOOKUP($G64,SantoYusuf!$L$13:$AK$56,J$4,FALSE))=TRUE,"",
              VLOOKUP($G64,SantoYusuf!$L$13:$AK$56,J$4,FALSE)))</t>
  </si>
  <si>
    <t>=IF(ISNUMBER($L$6)=FALSE,"",
        IF(ISERROR(VLOOKUP($G64,SantoYusuf!$L$13:$AK$56,K$4,FALSE))=TRUE,"",
              VLOOKUP($G64,SantoYusuf!$L$13:$AK$56,K$4,FALSE)))</t>
  </si>
  <si>
    <t>=IF(ISNUMBER($L$6)=FALSE,"",
        IF(ISERROR(VLOOKUP($G64,SantoYusuf!$L$13:$AK$56,L$4,FALSE))=TRUE,"",
              VLOOKUP($G64,SantoYusuf!$L$13:$AK$56,L$4,FALSE)))</t>
  </si>
  <si>
    <t>=IF(ISNUMBER($L$6)=FALSE,"",
        IF(ISERROR(VLOOKUP($G64,SantoYusuf!$L$13:$AK$56,M$4,FALSE))=TRUE,"",
              VLOOKUP($G64,SantoYusuf!$L$13:$AK$56,M$4,FALSE)))</t>
  </si>
  <si>
    <t>=IF(ISNUMBER($L$6)=FALSE,"",
        IF(ISERROR(VLOOKUP($G64,SantoYusuf!$L$13:$AK$56,N$4,FALSE))=TRUE,"",
              VLOOKUP($G64,SantoYusuf!$L$13:$AK$56,N$4,FALSE)))</t>
  </si>
  <si>
    <t>=IF(ISNUMBER($L$6)=FALSE,"",
        IF(ISERROR(VLOOKUP($G64,SantoYusuf!$L$13:$AK$56,O$4,FALSE))=TRUE,"",
              VLOOKUP($G64,SantoYusuf!$L$13:$AK$56,O$4,FALSE)))</t>
  </si>
  <si>
    <t>=IF(ISNUMBER($L$6)=FALSE,"",
        IF(ISERROR(VLOOKUP($G64,SantoYusuf!$L$13:$AK$56,P$4,FALSE))=TRUE,"",
              VLOOKUP($G64,SantoYusuf!$L$13:$AK$56,P$4,FALSE)))</t>
  </si>
  <si>
    <t>=IF(ISNUMBER($L$6)=FALSE,"",
        IF(ISERROR(VLOOKUP($G64,SantoYusuf!$L$13:$AK$56,Q$4,FALSE))=TRUE,"",
              VLOOKUP($G64,SantoYusuf!$L$13:$AK$56,Q$4,FALSE)))</t>
  </si>
  <si>
    <t>=IF(ISNUMBER($L$6)=FALSE,"",
        IF(ISERROR(VLOOKUP($G64,SantoYusuf!$L$13:$AK$56,R$4,FALSE))=TRUE,"",
              VLOOKUP($G64,SantoYusuf!$L$13:$AK$56,R$4,FALSE)))</t>
  </si>
  <si>
    <t>=IF(ISNUMBER($L$6)=FALSE,"",
        IF(ISERROR(VLOOKUP($G64,SantoYusuf!$L$13:$AK$56,S$4,FALSE))=TRUE,"",
              VLOOKUP($G64,SantoYusuf!$L$13:$AK$56,S$4,FALSE)))</t>
  </si>
  <si>
    <t>=IF(ISNUMBER($L$6)=FALSE,"",
        IF(ISERROR(VLOOKUP($G64,SantoYusuf!$L$13:$AK$56,T$4,FALSE))=TRUE,"",
              VLOOKUP($G64,SantoYusuf!$L$13:$AK$56,T$4,FALSE)))</t>
  </si>
  <si>
    <t>=IF(ISNUMBER($L$6)=FALSE,"",
        IF(ISERROR(VLOOKUP($G64,SantoYusuf!$L$13:$AK$56,U$4,FALSE))=TRUE,"",
              VLOOKUP($G64,SantoYusuf!$L$13:$AK$56,U$4,FALSE)))</t>
  </si>
  <si>
    <t>=IF(ISNUMBER($L$6)=FALSE,"",
        IF(ISERROR(VLOOKUP($G64,SantoYusuf!$L$13:$AK$56,V$4,FALSE))=TRUE,"",
              VLOOKUP($G64,SantoYusuf!$L$13:$AK$56,V$4,FALSE)))</t>
  </si>
  <si>
    <t>=IF(ISNUMBER($L$6)=FALSE,"",
        IF(ISERROR(VLOOKUP($G64,SantoYusuf!$L$13:$AK$56,W$4,FALSE))=TRUE,"",
              VLOOKUP($G64,SantoYusuf!$L$13:$AK$56,W$4,FALSE)))</t>
  </si>
  <si>
    <t>=IF(ISNUMBER($L$6)=FALSE,"",
        IF(ISERROR(VLOOKUP($G64,SantoYusuf!$L$13:$AK$56,X$4,FALSE))=TRUE,"",
              VLOOKUP($G64,SantoYusuf!$L$13:$AK$56,X$4,FALSE)))</t>
  </si>
  <si>
    <t>=IF(ISNUMBER($L$6)=FALSE,"",
        IF(ISERROR(VLOOKUP($G64,SantoYusuf!$L$13:$AK$56,Y$4,FALSE))=TRUE,"",
              VLOOKUP($G64,SantoYusuf!$L$13:$AK$56,Y$4,FALSE)))</t>
  </si>
  <si>
    <t>=IF(ISNUMBER($L$6)=FALSE,"",
        IF(ISERROR(VLOOKUP($G64,SantoYusuf!$L$13:$AK$56,Z$4,FALSE))=TRUE,"",
              VLOOKUP($G64,SantoYusuf!$L$13:$AK$56,Z$4,FALSE)))</t>
  </si>
  <si>
    <t>=IF(ISNUMBER($L$6)=FALSE,"",
        IF(ISERROR(VLOOKUP($G64,SantoYusuf!$L$13:$AK$56,AA$4,FALSE))=TRUE,"",
              VLOOKUP($G64,SantoYusuf!$L$13:$AK$56,AA$4,FALSE)))</t>
  </si>
  <si>
    <t>=IF(ISNUMBER($L$6)=FALSE,"",
        IF(ISERROR(VLOOKUP($G64,SantoYusuf!$L$13:$AK$56,AB$4,FALSE))=TRUE,"",
              VLOOKUP($G64,SantoYusuf!$L$13:$AK$56,AB$4,FALSE)))</t>
  </si>
  <si>
    <t>=IF(ISNUMBER($L$6)=FALSE,"",
        IF(ISERROR(VLOOKUP($G64,SantoYusuf!$L$13:$AK$56,AC$4,FALSE))=TRUE,"",
              VLOOKUP($G64,SantoYusuf!$L$13:$AK$56,AC$4,FALSE)))</t>
  </si>
  <si>
    <t>=IF(ISNUMBER($L$6)=FALSE,"",
        IF(ISERROR(VLOOKUP($G64,SantoYusuf!$L$13:$AK$56,AD$4,FALSE))=TRUE,"",
              VLOOKUP($G64,SantoYusuf!$L$13:$AK$56,AD$4,FALSE)))</t>
  </si>
  <si>
    <t>=IF(ISNUMBER($L$6)=FALSE,"",
        IF(ISERROR(VLOOKUP($G64,SantoYusuf!$L$13:$AK$56,AE$4,FALSE))=TRUE,"",
              VLOOKUP($G64,SantoYusuf!$L$13:$AK$56,AE$4,FALSE)))</t>
  </si>
  <si>
    <t>=IF(ISNUMBER($L$6)=FALSE,"",
        IF(ISERROR(VLOOKUP($G64,SantoYusuf!$L$13:$AK$56,AF$4,FALSE))=TRUE,"",
              VLOOKUP($G64,SantoYusuf!$L$13:$AK$56,AF$4,FALSE)))</t>
  </si>
  <si>
    <t>=IF(ISNUMBER($L$6)=FALSE,"",
IF($C65=0,"",VLOOKUP($E65,SantoYusuf!$H$13:$L$56,4,FALSE)))</t>
  </si>
  <si>
    <t>=IF(ISNUMBER($L$6)=FALSE,"",
IF($C65=0,"",VLOOKUP($E65,SantoYusuf!$H$13:$L$56,5,FALSE)))</t>
  </si>
  <si>
    <t>=IF(ISNUMBER($L$6)=FALSE,"",
        IF(ISERROR(VLOOKUP($G65,SantoYusuf!$L$13:$AK$56,I$4,FALSE))=TRUE,"",
              VLOOKUP($G65,SantoYusuf!$L$13:$AK$56,I$4,FALSE)))</t>
  </si>
  <si>
    <t>=IF(ISNUMBER($L$6)=FALSE,"",
        IF(ISERROR(VLOOKUP($G65,SantoYusuf!$L$13:$AK$56,J$4,FALSE))=TRUE,"",
              VLOOKUP($G65,SantoYusuf!$L$13:$AK$56,J$4,FALSE)))</t>
  </si>
  <si>
    <t>=IF(ISNUMBER($L$6)=FALSE,"",
        IF(ISERROR(VLOOKUP($G65,SantoYusuf!$L$13:$AK$56,K$4,FALSE))=TRUE,"",
              VLOOKUP($G65,SantoYusuf!$L$13:$AK$56,K$4,FALSE)))</t>
  </si>
  <si>
    <t>=IF(ISNUMBER($L$6)=FALSE,"",
        IF(ISERROR(VLOOKUP($G65,SantoYusuf!$L$13:$AK$56,L$4,FALSE))=TRUE,"",
              VLOOKUP($G65,SantoYusuf!$L$13:$AK$56,L$4,FALSE)))</t>
  </si>
  <si>
    <t>=IF(ISNUMBER($L$6)=FALSE,"",
        IF(ISERROR(VLOOKUP($G65,SantoYusuf!$L$13:$AK$56,M$4,FALSE))=TRUE,"",
              VLOOKUP($G65,SantoYusuf!$L$13:$AK$56,M$4,FALSE)))</t>
  </si>
  <si>
    <t>=IF(ISNUMBER($L$6)=FALSE,"",
        IF(ISERROR(VLOOKUP($G65,SantoYusuf!$L$13:$AK$56,N$4,FALSE))=TRUE,"",
              VLOOKUP($G65,SantoYusuf!$L$13:$AK$56,N$4,FALSE)))</t>
  </si>
  <si>
    <t>=IF(ISNUMBER($L$6)=FALSE,"",
        IF(ISERROR(VLOOKUP($G65,SantoYusuf!$L$13:$AK$56,O$4,FALSE))=TRUE,"",
              VLOOKUP($G65,SantoYusuf!$L$13:$AK$56,O$4,FALSE)))</t>
  </si>
  <si>
    <t>=IF(ISNUMBER($L$6)=FALSE,"",
        IF(ISERROR(VLOOKUP($G65,SantoYusuf!$L$13:$AK$56,P$4,FALSE))=TRUE,"",
              VLOOKUP($G65,SantoYusuf!$L$13:$AK$56,P$4,FALSE)))</t>
  </si>
  <si>
    <t>=IF(ISNUMBER($L$6)=FALSE,"",
        IF(ISERROR(VLOOKUP($G65,SantoYusuf!$L$13:$AK$56,Q$4,FALSE))=TRUE,"",
              VLOOKUP($G65,SantoYusuf!$L$13:$AK$56,Q$4,FALSE)))</t>
  </si>
  <si>
    <t>=IF(ISNUMBER($L$6)=FALSE,"",
        IF(ISERROR(VLOOKUP($G65,SantoYusuf!$L$13:$AK$56,R$4,FALSE))=TRUE,"",
              VLOOKUP($G65,SantoYusuf!$L$13:$AK$56,R$4,FALSE)))</t>
  </si>
  <si>
    <t>=IF(ISNUMBER($L$6)=FALSE,"",
        IF(ISERROR(VLOOKUP($G65,SantoYusuf!$L$13:$AK$56,S$4,FALSE))=TRUE,"",
              VLOOKUP($G65,SantoYusuf!$L$13:$AK$56,S$4,FALSE)))</t>
  </si>
  <si>
    <t>=IF(ISNUMBER($L$6)=FALSE,"",
        IF(ISERROR(VLOOKUP($G65,SantoYusuf!$L$13:$AK$56,T$4,FALSE))=TRUE,"",
              VLOOKUP($G65,SantoYusuf!$L$13:$AK$56,T$4,FALSE)))</t>
  </si>
  <si>
    <t>=IF(ISNUMBER($L$6)=FALSE,"",
        IF(ISERROR(VLOOKUP($G65,SantoYusuf!$L$13:$AK$56,U$4,FALSE))=TRUE,"",
              VLOOKUP($G65,SantoYusuf!$L$13:$AK$56,U$4,FALSE)))</t>
  </si>
  <si>
    <t>=IF(ISNUMBER($L$6)=FALSE,"",
        IF(ISERROR(VLOOKUP($G65,SantoYusuf!$L$13:$AK$56,V$4,FALSE))=TRUE,"",
              VLOOKUP($G65,SantoYusuf!$L$13:$AK$56,V$4,FALSE)))</t>
  </si>
  <si>
    <t>=IF(ISNUMBER($L$6)=FALSE,"",
        IF(ISERROR(VLOOKUP($G65,SantoYusuf!$L$13:$AK$56,W$4,FALSE))=TRUE,"",
              VLOOKUP($G65,SantoYusuf!$L$13:$AK$56,W$4,FALSE)))</t>
  </si>
  <si>
    <t>=IF(ISNUMBER($L$6)=FALSE,"",
        IF(ISERROR(VLOOKUP($G65,SantoYusuf!$L$13:$AK$56,X$4,FALSE))=TRUE,"",
              VLOOKUP($G65,SantoYusuf!$L$13:$AK$56,X$4,FALSE)))</t>
  </si>
  <si>
    <t>=IF(ISNUMBER($L$6)=FALSE,"",
        IF(ISERROR(VLOOKUP($G65,SantoYusuf!$L$13:$AK$56,Y$4,FALSE))=TRUE,"",
              VLOOKUP($G65,SantoYusuf!$L$13:$AK$56,Y$4,FALSE)))</t>
  </si>
  <si>
    <t>=IF(ISNUMBER($L$6)=FALSE,"",
        IF(ISERROR(VLOOKUP($G65,SantoYusuf!$L$13:$AK$56,Z$4,FALSE))=TRUE,"",
              VLOOKUP($G65,SantoYusuf!$L$13:$AK$56,Z$4,FALSE)))</t>
  </si>
  <si>
    <t>=IF(ISNUMBER($L$6)=FALSE,"",
        IF(ISERROR(VLOOKUP($G65,SantoYusuf!$L$13:$AK$56,AA$4,FALSE))=TRUE,"",
              VLOOKUP($G65,SantoYusuf!$L$13:$AK$56,AA$4,FALSE)))</t>
  </si>
  <si>
    <t>=IF(ISNUMBER($L$6)=FALSE,"",
        IF(ISERROR(VLOOKUP($G65,SantoYusuf!$L$13:$AK$56,AB$4,FALSE))=TRUE,"",
              VLOOKUP($G65,SantoYusuf!$L$13:$AK$56,AB$4,FALSE)))</t>
  </si>
  <si>
    <t>=IF(ISNUMBER($L$6)=FALSE,"",
        IF(ISERROR(VLOOKUP($G65,SantoYusuf!$L$13:$AK$56,AC$4,FALSE))=TRUE,"",
              VLOOKUP($G65,SantoYusuf!$L$13:$AK$56,AC$4,FALSE)))</t>
  </si>
  <si>
    <t>=IF(ISNUMBER($L$6)=FALSE,"",
        IF(ISERROR(VLOOKUP($G65,SantoYusuf!$L$13:$AK$56,AD$4,FALSE))=TRUE,"",
              VLOOKUP($G65,SantoYusuf!$L$13:$AK$56,AD$4,FALSE)))</t>
  </si>
  <si>
    <t>=IF(ISNUMBER($L$6)=FALSE,"",
        IF(ISERROR(VLOOKUP($G65,SantoYusuf!$L$13:$AK$56,AE$4,FALSE))=TRUE,"",
              VLOOKUP($G65,SantoYusuf!$L$13:$AK$56,AE$4,FALSE)))</t>
  </si>
  <si>
    <t>=IF(ISNUMBER($L$6)=FALSE,"",
        IF(ISERROR(VLOOKUP($G65,SantoYusuf!$L$13:$AK$56,AF$4,FALSE))=TRUE,"",
              VLOOKUP($G65,SantoYusuf!$L$13:$AK$56,AF$4,FALSE)))</t>
  </si>
  <si>
    <t>=IF(ISNUMBER($L$6)=FALSE,"",
IF($C66=0,"",VLOOKUP($E66,SantoYusuf!$H$13:$L$56,4,FALSE)))</t>
  </si>
  <si>
    <t>=IF(ISNUMBER($L$6)=FALSE,"",
IF($C66=0,"",VLOOKUP($E66,SantoYusuf!$H$13:$L$56,5,FALSE)))</t>
  </si>
  <si>
    <t>=IF(ISNUMBER($L$6)=FALSE,"",
        IF(ISERROR(VLOOKUP($G66,SantoYusuf!$L$13:$AK$56,I$4,FALSE))=TRUE,"",
              VLOOKUP($G66,SantoYusuf!$L$13:$AK$56,I$4,FALSE)))</t>
  </si>
  <si>
    <t>=IF(ISNUMBER($L$6)=FALSE,"",
        IF(ISERROR(VLOOKUP($G66,SantoYusuf!$L$13:$AK$56,J$4,FALSE))=TRUE,"",
              VLOOKUP($G66,SantoYusuf!$L$13:$AK$56,J$4,FALSE)))</t>
  </si>
  <si>
    <t>=IF(ISNUMBER($L$6)=FALSE,"",
        IF(ISERROR(VLOOKUP($G66,SantoYusuf!$L$13:$AK$56,K$4,FALSE))=TRUE,"",
              VLOOKUP($G66,SantoYusuf!$L$13:$AK$56,K$4,FALSE)))</t>
  </si>
  <si>
    <t>=IF(ISNUMBER($L$6)=FALSE,"",
        IF(ISERROR(VLOOKUP($G66,SantoYusuf!$L$13:$AK$56,L$4,FALSE))=TRUE,"",
              VLOOKUP($G66,SantoYusuf!$L$13:$AK$56,L$4,FALSE)))</t>
  </si>
  <si>
    <t>=IF(ISNUMBER($L$6)=FALSE,"",
        IF(ISERROR(VLOOKUP($G66,SantoYusuf!$L$13:$AK$56,M$4,FALSE))=TRUE,"",
              VLOOKUP($G66,SantoYusuf!$L$13:$AK$56,M$4,FALSE)))</t>
  </si>
  <si>
    <t>=IF(ISNUMBER($L$6)=FALSE,"",
        IF(ISERROR(VLOOKUP($G66,SantoYusuf!$L$13:$AK$56,N$4,FALSE))=TRUE,"",
              VLOOKUP($G66,SantoYusuf!$L$13:$AK$56,N$4,FALSE)))</t>
  </si>
  <si>
    <t>=IF(ISNUMBER($L$6)=FALSE,"",
        IF(ISERROR(VLOOKUP($G66,SantoYusuf!$L$13:$AK$56,O$4,FALSE))=TRUE,"",
              VLOOKUP($G66,SantoYusuf!$L$13:$AK$56,O$4,FALSE)))</t>
  </si>
  <si>
    <t>=IF(ISNUMBER($L$6)=FALSE,"",
        IF(ISERROR(VLOOKUP($G66,SantoYusuf!$L$13:$AK$56,P$4,FALSE))=TRUE,"",
              VLOOKUP($G66,SantoYusuf!$L$13:$AK$56,P$4,FALSE)))</t>
  </si>
  <si>
    <t>=IF(ISNUMBER($L$6)=FALSE,"",
        IF(ISERROR(VLOOKUP($G66,SantoYusuf!$L$13:$AK$56,Q$4,FALSE))=TRUE,"",
              VLOOKUP($G66,SantoYusuf!$L$13:$AK$56,Q$4,FALSE)))</t>
  </si>
  <si>
    <t>=IF(ISNUMBER($L$6)=FALSE,"",
        IF(ISERROR(VLOOKUP($G66,SantoYusuf!$L$13:$AK$56,R$4,FALSE))=TRUE,"",
              VLOOKUP($G66,SantoYusuf!$L$13:$AK$56,R$4,FALSE)))</t>
  </si>
  <si>
    <t>=IF(ISNUMBER($L$6)=FALSE,"",
        IF(ISERROR(VLOOKUP($G66,SantoYusuf!$L$13:$AK$56,S$4,FALSE))=TRUE,"",
              VLOOKUP($G66,SantoYusuf!$L$13:$AK$56,S$4,FALSE)))</t>
  </si>
  <si>
    <t>=IF(ISNUMBER($L$6)=FALSE,"",
        IF(ISERROR(VLOOKUP($G66,SantoYusuf!$L$13:$AK$56,T$4,FALSE))=TRUE,"",
              VLOOKUP($G66,SantoYusuf!$L$13:$AK$56,T$4,FALSE)))</t>
  </si>
  <si>
    <t>=IF(ISNUMBER($L$6)=FALSE,"",
        IF(ISERROR(VLOOKUP($G66,SantoYusuf!$L$13:$AK$56,U$4,FALSE))=TRUE,"",
              VLOOKUP($G66,SantoYusuf!$L$13:$AK$56,U$4,FALSE)))</t>
  </si>
  <si>
    <t>=IF(ISNUMBER($L$6)=FALSE,"",
        IF(ISERROR(VLOOKUP($G66,SantoYusuf!$L$13:$AK$56,V$4,FALSE))=TRUE,"",
              VLOOKUP($G66,SantoYusuf!$L$13:$AK$56,V$4,FALSE)))</t>
  </si>
  <si>
    <t>=IF(ISNUMBER($L$6)=FALSE,"",
        IF(ISERROR(VLOOKUP($G66,SantoYusuf!$L$13:$AK$56,W$4,FALSE))=TRUE,"",
              VLOOKUP($G66,SantoYusuf!$L$13:$AK$56,W$4,FALSE)))</t>
  </si>
  <si>
    <t>=IF(ISNUMBER($L$6)=FALSE,"",
        IF(ISERROR(VLOOKUP($G66,SantoYusuf!$L$13:$AK$56,X$4,FALSE))=TRUE,"",
              VLOOKUP($G66,SantoYusuf!$L$13:$AK$56,X$4,FALSE)))</t>
  </si>
  <si>
    <t>=IF(ISNUMBER($L$6)=FALSE,"",
        IF(ISERROR(VLOOKUP($G66,SantoYusuf!$L$13:$AK$56,Y$4,FALSE))=TRUE,"",
              VLOOKUP($G66,SantoYusuf!$L$13:$AK$56,Y$4,FALSE)))</t>
  </si>
  <si>
    <t>=IF(ISNUMBER($L$6)=FALSE,"",
        IF(ISERROR(VLOOKUP($G66,SantoYusuf!$L$13:$AK$56,Z$4,FALSE))=TRUE,"",
              VLOOKUP($G66,SantoYusuf!$L$13:$AK$56,Z$4,FALSE)))</t>
  </si>
  <si>
    <t>=IF(ISNUMBER($L$6)=FALSE,"",
        IF(ISERROR(VLOOKUP($G66,SantoYusuf!$L$13:$AK$56,AA$4,FALSE))=TRUE,"",
              VLOOKUP($G66,SantoYusuf!$L$13:$AK$56,AA$4,FALSE)))</t>
  </si>
  <si>
    <t>=IF(ISNUMBER($L$6)=FALSE,"",
        IF(ISERROR(VLOOKUP($G66,SantoYusuf!$L$13:$AK$56,AB$4,FALSE))=TRUE,"",
              VLOOKUP($G66,SantoYusuf!$L$13:$AK$56,AB$4,FALSE)))</t>
  </si>
  <si>
    <t>=IF(ISNUMBER($L$6)=FALSE,"",
        IF(ISERROR(VLOOKUP($G66,SantoYusuf!$L$13:$AK$56,AC$4,FALSE))=TRUE,"",
              VLOOKUP($G66,SantoYusuf!$L$13:$AK$56,AC$4,FALSE)))</t>
  </si>
  <si>
    <t>=IF(ISNUMBER($L$6)=FALSE,"",
        IF(ISERROR(VLOOKUP($G66,SantoYusuf!$L$13:$AK$56,AD$4,FALSE))=TRUE,"",
              VLOOKUP($G66,SantoYusuf!$L$13:$AK$56,AD$4,FALSE)))</t>
  </si>
  <si>
    <t>=IF(ISNUMBER($L$6)=FALSE,"",
        IF(ISERROR(VLOOKUP($G66,SantoYusuf!$L$13:$AK$56,AE$4,FALSE))=TRUE,"",
              VLOOKUP($G66,SantoYusuf!$L$13:$AK$56,AE$4,FALSE)))</t>
  </si>
  <si>
    <t>=IF(ISNUMBER($L$6)=FALSE,"",
        IF(ISERROR(VLOOKUP($G66,SantoYusuf!$L$13:$AK$56,AF$4,FALSE))=TRUE,"",
              VLOOKUP($G66,SantoYusuf!$L$13:$AK$56,AF$4,FALSE)))</t>
  </si>
  <si>
    <t>=IF(ISNUMBER($L$6)=FALSE,"",
IF($C67=0,"",VLOOKUP($E67,SantoYusuf!$H$13:$L$56,4,FALSE)))</t>
  </si>
  <si>
    <t>=IF(ISNUMBER($L$6)=FALSE,"",
IF($C67=0,"",VLOOKUP($E67,SantoYusuf!$H$13:$L$56,5,FALSE)))</t>
  </si>
  <si>
    <t>=IF(ISNUMBER($L$6)=FALSE,"",
        IF(ISERROR(VLOOKUP($G67,SantoYusuf!$L$13:$AK$56,I$4,FALSE))=TRUE,"",
              VLOOKUP($G67,SantoYusuf!$L$13:$AK$56,I$4,FALSE)))</t>
  </si>
  <si>
    <t>=IF(ISNUMBER($L$6)=FALSE,"",
        IF(ISERROR(VLOOKUP($G67,SantoYusuf!$L$13:$AK$56,J$4,FALSE))=TRUE,"",
              VLOOKUP($G67,SantoYusuf!$L$13:$AK$56,J$4,FALSE)))</t>
  </si>
  <si>
    <t>=IF(ISNUMBER($L$6)=FALSE,"",
        IF(ISERROR(VLOOKUP($G67,SantoYusuf!$L$13:$AK$56,K$4,FALSE))=TRUE,"",
              VLOOKUP($G67,SantoYusuf!$L$13:$AK$56,K$4,FALSE)))</t>
  </si>
  <si>
    <t>=IF(ISNUMBER($L$6)=FALSE,"",
        IF(ISERROR(VLOOKUP($G67,SantoYusuf!$L$13:$AK$56,L$4,FALSE))=TRUE,"",
              VLOOKUP($G67,SantoYusuf!$L$13:$AK$56,L$4,FALSE)))</t>
  </si>
  <si>
    <t>=IF(ISNUMBER($L$6)=FALSE,"",
        IF(ISERROR(VLOOKUP($G67,SantoYusuf!$L$13:$AK$56,M$4,FALSE))=TRUE,"",
              VLOOKUP($G67,SantoYusuf!$L$13:$AK$56,M$4,FALSE)))</t>
  </si>
  <si>
    <t>=IF(ISNUMBER($L$6)=FALSE,"",
        IF(ISERROR(VLOOKUP($G67,SantoYusuf!$L$13:$AK$56,N$4,FALSE))=TRUE,"",
              VLOOKUP($G67,SantoYusuf!$L$13:$AK$56,N$4,FALSE)))</t>
  </si>
  <si>
    <t>=IF(ISNUMBER($L$6)=FALSE,"",
        IF(ISERROR(VLOOKUP($G67,SantoYusuf!$L$13:$AK$56,O$4,FALSE))=TRUE,"",
              VLOOKUP($G67,SantoYusuf!$L$13:$AK$56,O$4,FALSE)))</t>
  </si>
  <si>
    <t>=IF(ISNUMBER($L$6)=FALSE,"",
        IF(ISERROR(VLOOKUP($G67,SantoYusuf!$L$13:$AK$56,P$4,FALSE))=TRUE,"",
              VLOOKUP($G67,SantoYusuf!$L$13:$AK$56,P$4,FALSE)))</t>
  </si>
  <si>
    <t>=IF(ISNUMBER($L$6)=FALSE,"",
        IF(ISERROR(VLOOKUP($G67,SantoYusuf!$L$13:$AK$56,Q$4,FALSE))=TRUE,"",
              VLOOKUP($G67,SantoYusuf!$L$13:$AK$56,Q$4,FALSE)))</t>
  </si>
  <si>
    <t>=IF(ISNUMBER($L$6)=FALSE,"",
        IF(ISERROR(VLOOKUP($G67,SantoYusuf!$L$13:$AK$56,R$4,FALSE))=TRUE,"",
              VLOOKUP($G67,SantoYusuf!$L$13:$AK$56,R$4,FALSE)))</t>
  </si>
  <si>
    <t>=IF(ISNUMBER($L$6)=FALSE,"",
        IF(ISERROR(VLOOKUP($G67,SantoYusuf!$L$13:$AK$56,S$4,FALSE))=TRUE,"",
              VLOOKUP($G67,SantoYusuf!$L$13:$AK$56,S$4,FALSE)))</t>
  </si>
  <si>
    <t>=IF(ISNUMBER($L$6)=FALSE,"",
        IF(ISERROR(VLOOKUP($G67,SantoYusuf!$L$13:$AK$56,T$4,FALSE))=TRUE,"",
              VLOOKUP($G67,SantoYusuf!$L$13:$AK$56,T$4,FALSE)))</t>
  </si>
  <si>
    <t>=IF(ISNUMBER($L$6)=FALSE,"",
        IF(ISERROR(VLOOKUP($G67,SantoYusuf!$L$13:$AK$56,U$4,FALSE))=TRUE,"",
              VLOOKUP($G67,SantoYusuf!$L$13:$AK$56,U$4,FALSE)))</t>
  </si>
  <si>
    <t>=IF(ISNUMBER($L$6)=FALSE,"",
        IF(ISERROR(VLOOKUP($G67,SantoYusuf!$L$13:$AK$56,V$4,FALSE))=TRUE,"",
              VLOOKUP($G67,SantoYusuf!$L$13:$AK$56,V$4,FALSE)))</t>
  </si>
  <si>
    <t>=IF(ISNUMBER($L$6)=FALSE,"",
        IF(ISERROR(VLOOKUP($G67,SantoYusuf!$L$13:$AK$56,W$4,FALSE))=TRUE,"",
              VLOOKUP($G67,SantoYusuf!$L$13:$AK$56,W$4,FALSE)))</t>
  </si>
  <si>
    <t>=IF(ISNUMBER($L$6)=FALSE,"",
        IF(ISERROR(VLOOKUP($G67,SantoYusuf!$L$13:$AK$56,X$4,FALSE))=TRUE,"",
              VLOOKUP($G67,SantoYusuf!$L$13:$AK$56,X$4,FALSE)))</t>
  </si>
  <si>
    <t>=IF(ISNUMBER($L$6)=FALSE,"",
        IF(ISERROR(VLOOKUP($G67,SantoYusuf!$L$13:$AK$56,Y$4,FALSE))=TRUE,"",
              VLOOKUP($G67,SantoYusuf!$L$13:$AK$56,Y$4,FALSE)))</t>
  </si>
  <si>
    <t>=IF(ISNUMBER($L$6)=FALSE,"",
        IF(ISERROR(VLOOKUP($G67,SantoYusuf!$L$13:$AK$56,Z$4,FALSE))=TRUE,"",
              VLOOKUP($G67,SantoYusuf!$L$13:$AK$56,Z$4,FALSE)))</t>
  </si>
  <si>
    <t>=IF(ISNUMBER($L$6)=FALSE,"",
        IF(ISERROR(VLOOKUP($G67,SantoYusuf!$L$13:$AK$56,AA$4,FALSE))=TRUE,"",
              VLOOKUP($G67,SantoYusuf!$L$13:$AK$56,AA$4,FALSE)))</t>
  </si>
  <si>
    <t>=IF(ISNUMBER($L$6)=FALSE,"",
        IF(ISERROR(VLOOKUP($G67,SantoYusuf!$L$13:$AK$56,AB$4,FALSE))=TRUE,"",
              VLOOKUP($G67,SantoYusuf!$L$13:$AK$56,AB$4,FALSE)))</t>
  </si>
  <si>
    <t>=IF(ISNUMBER($L$6)=FALSE,"",
        IF(ISERROR(VLOOKUP($G67,SantoYusuf!$L$13:$AK$56,AC$4,FALSE))=TRUE,"",
              VLOOKUP($G67,SantoYusuf!$L$13:$AK$56,AC$4,FALSE)))</t>
  </si>
  <si>
    <t>=IF(ISNUMBER($L$6)=FALSE,"",
        IF(ISERROR(VLOOKUP($G67,SantoYusuf!$L$13:$AK$56,AD$4,FALSE))=TRUE,"",
              VLOOKUP($G67,SantoYusuf!$L$13:$AK$56,AD$4,FALSE)))</t>
  </si>
  <si>
    <t>=IF(ISNUMBER($L$6)=FALSE,"",
        IF(ISERROR(VLOOKUP($G67,SantoYusuf!$L$13:$AK$56,AE$4,FALSE))=TRUE,"",
              VLOOKUP($G67,SantoYusuf!$L$13:$AK$56,AE$4,FALSE)))</t>
  </si>
  <si>
    <t>=IF(ISNUMBER($L$6)=FALSE,"",
        IF(ISERROR(VLOOKUP($G67,SantoYusuf!$L$13:$AK$56,AF$4,FALSE))=TRUE,"",
              VLOOKUP($G67,SantoYusuf!$L$13:$AK$56,AF$4,FALSE)))</t>
  </si>
  <si>
    <t>=IF(ISNUMBER($L$6)=FALSE,"",
IF($C68=0,"",VLOOKUP($E68,SantoYusuf!$H$13:$L$56,4,FALSE)))</t>
  </si>
  <si>
    <t>=IF(ISNUMBER($L$6)=FALSE,"",
IF($C68=0,"",VLOOKUP($E68,SantoYusuf!$H$13:$L$56,5,FALSE)))</t>
  </si>
  <si>
    <t>=IF(ISNUMBER($L$6)=FALSE,"",
        IF(ISERROR(VLOOKUP($G68,SantoYusuf!$L$13:$AK$56,I$4,FALSE))=TRUE,"",
              VLOOKUP($G68,SantoYusuf!$L$13:$AK$56,I$4,FALSE)))</t>
  </si>
  <si>
    <t>=IF(ISNUMBER($L$6)=FALSE,"",
        IF(ISERROR(VLOOKUP($G68,SantoYusuf!$L$13:$AK$56,J$4,FALSE))=TRUE,"",
              VLOOKUP($G68,SantoYusuf!$L$13:$AK$56,J$4,FALSE)))</t>
  </si>
  <si>
    <t>=IF(ISNUMBER($L$6)=FALSE,"",
        IF(ISERROR(VLOOKUP($G68,SantoYusuf!$L$13:$AK$56,K$4,FALSE))=TRUE,"",
              VLOOKUP($G68,SantoYusuf!$L$13:$AK$56,K$4,FALSE)))</t>
  </si>
  <si>
    <t>=IF(ISNUMBER($L$6)=FALSE,"",
        IF(ISERROR(VLOOKUP($G68,SantoYusuf!$L$13:$AK$56,L$4,FALSE))=TRUE,"",
              VLOOKUP($G68,SantoYusuf!$L$13:$AK$56,L$4,FALSE)))</t>
  </si>
  <si>
    <t>=IF(ISNUMBER($L$6)=FALSE,"",
        IF(ISERROR(VLOOKUP($G68,SantoYusuf!$L$13:$AK$56,M$4,FALSE))=TRUE,"",
              VLOOKUP($G68,SantoYusuf!$L$13:$AK$56,M$4,FALSE)))</t>
  </si>
  <si>
    <t>=IF(ISNUMBER($L$6)=FALSE,"",
        IF(ISERROR(VLOOKUP($G68,SantoYusuf!$L$13:$AK$56,N$4,FALSE))=TRUE,"",
              VLOOKUP($G68,SantoYusuf!$L$13:$AK$56,N$4,FALSE)))</t>
  </si>
  <si>
    <t>=IF(ISNUMBER($L$6)=FALSE,"",
        IF(ISERROR(VLOOKUP($G68,SantoYusuf!$L$13:$AK$56,O$4,FALSE))=TRUE,"",
              VLOOKUP($G68,SantoYusuf!$L$13:$AK$56,O$4,FALSE)))</t>
  </si>
  <si>
    <t>=IF(ISNUMBER($L$6)=FALSE,"",
        IF(ISERROR(VLOOKUP($G68,SantoYusuf!$L$13:$AK$56,P$4,FALSE))=TRUE,"",
              VLOOKUP($G68,SantoYusuf!$L$13:$AK$56,P$4,FALSE)))</t>
  </si>
  <si>
    <t>=IF(ISNUMBER($L$6)=FALSE,"",
        IF(ISERROR(VLOOKUP($G68,SantoYusuf!$L$13:$AK$56,Q$4,FALSE))=TRUE,"",
              VLOOKUP($G68,SantoYusuf!$L$13:$AK$56,Q$4,FALSE)))</t>
  </si>
  <si>
    <t>=IF(ISNUMBER($L$6)=FALSE,"",
        IF(ISERROR(VLOOKUP($G68,SantoYusuf!$L$13:$AK$56,R$4,FALSE))=TRUE,"",
              VLOOKUP($G68,SantoYusuf!$L$13:$AK$56,R$4,FALSE)))</t>
  </si>
  <si>
    <t>=IF(ISNUMBER($L$6)=FALSE,"",
        IF(ISERROR(VLOOKUP($G68,SantoYusuf!$L$13:$AK$56,S$4,FALSE))=TRUE,"",
              VLOOKUP($G68,SantoYusuf!$L$13:$AK$56,S$4,FALSE)))</t>
  </si>
  <si>
    <t>=IF(ISNUMBER($L$6)=FALSE,"",
        IF(ISERROR(VLOOKUP($G68,SantoYusuf!$L$13:$AK$56,T$4,FALSE))=TRUE,"",
              VLOOKUP($G68,SantoYusuf!$L$13:$AK$56,T$4,FALSE)))</t>
  </si>
  <si>
    <t>=IF(ISNUMBER($L$6)=FALSE,"",
        IF(ISERROR(VLOOKUP($G68,SantoYusuf!$L$13:$AK$56,U$4,FALSE))=TRUE,"",
              VLOOKUP($G68,SantoYusuf!$L$13:$AK$56,U$4,FALSE)))</t>
  </si>
  <si>
    <t>=IF(ISNUMBER($L$6)=FALSE,"",
        IF(ISERROR(VLOOKUP($G68,SantoYusuf!$L$13:$AK$56,V$4,FALSE))=TRUE,"",
              VLOOKUP($G68,SantoYusuf!$L$13:$AK$56,V$4,FALSE)))</t>
  </si>
  <si>
    <t>=IF(ISNUMBER($L$6)=FALSE,"",
        IF(ISERROR(VLOOKUP($G68,SantoYusuf!$L$13:$AK$56,W$4,FALSE))=TRUE,"",
              VLOOKUP($G68,SantoYusuf!$L$13:$AK$56,W$4,FALSE)))</t>
  </si>
  <si>
    <t>=IF(ISNUMBER($L$6)=FALSE,"",
        IF(ISERROR(VLOOKUP($G68,SantoYusuf!$L$13:$AK$56,X$4,FALSE))=TRUE,"",
              VLOOKUP($G68,SantoYusuf!$L$13:$AK$56,X$4,FALSE)))</t>
  </si>
  <si>
    <t>=IF(ISNUMBER($L$6)=FALSE,"",
        IF(ISERROR(VLOOKUP($G68,SantoYusuf!$L$13:$AK$56,Y$4,FALSE))=TRUE,"",
              VLOOKUP($G68,SantoYusuf!$L$13:$AK$56,Y$4,FALSE)))</t>
  </si>
  <si>
    <t>=IF(ISNUMBER($L$6)=FALSE,"",
        IF(ISERROR(VLOOKUP($G68,SantoYusuf!$L$13:$AK$56,Z$4,FALSE))=TRUE,"",
              VLOOKUP($G68,SantoYusuf!$L$13:$AK$56,Z$4,FALSE)))</t>
  </si>
  <si>
    <t>=IF(ISNUMBER($L$6)=FALSE,"",
        IF(ISERROR(VLOOKUP($G68,SantoYusuf!$L$13:$AK$56,AA$4,FALSE))=TRUE,"",
              VLOOKUP($G68,SantoYusuf!$L$13:$AK$56,AA$4,FALSE)))</t>
  </si>
  <si>
    <t>=IF(ISNUMBER($L$6)=FALSE,"",
        IF(ISERROR(VLOOKUP($G68,SantoYusuf!$L$13:$AK$56,AB$4,FALSE))=TRUE,"",
              VLOOKUP($G68,SantoYusuf!$L$13:$AK$56,AB$4,FALSE)))</t>
  </si>
  <si>
    <t>=IF(ISNUMBER($L$6)=FALSE,"",
        IF(ISERROR(VLOOKUP($G68,SantoYusuf!$L$13:$AK$56,AC$4,FALSE))=TRUE,"",
              VLOOKUP($G68,SantoYusuf!$L$13:$AK$56,AC$4,FALSE)))</t>
  </si>
  <si>
    <t>=IF(ISNUMBER($L$6)=FALSE,"",
        IF(ISERROR(VLOOKUP($G68,SantoYusuf!$L$13:$AK$56,AD$4,FALSE))=TRUE,"",
              VLOOKUP($G68,SantoYusuf!$L$13:$AK$56,AD$4,FALSE)))</t>
  </si>
  <si>
    <t>=IF(ISNUMBER($L$6)=FALSE,"",
        IF(ISERROR(VLOOKUP($G68,SantoYusuf!$L$13:$AK$56,AE$4,FALSE))=TRUE,"",
              VLOOKUP($G68,SantoYusuf!$L$13:$AK$56,AE$4,FALSE)))</t>
  </si>
  <si>
    <t>=IF(ISNUMBER($L$6)=FALSE,"",
        IF(ISERROR(VLOOKUP($G68,SantoYusuf!$L$13:$AK$56,AF$4,FALSE))=TRUE,"",
              VLOOKUP($G68,SantoYusuf!$L$13:$AK$56,AF$4,FALSE)))</t>
  </si>
  <si>
    <t>=IF(ISNUMBER($L$6)=FALSE,"",
IF($C69=0,"",VLOOKUP($E69,SantoYusuf!$H$13:$L$56,4,FALSE)))</t>
  </si>
  <si>
    <t>=IF(ISNUMBER($L$6)=FALSE,"",
IF($C69=0,"",VLOOKUP($E69,SantoYusuf!$H$13:$L$56,5,FALSE)))</t>
  </si>
  <si>
    <t>=IF(ISNUMBER($L$6)=FALSE,"",
        IF(ISERROR(VLOOKUP($G69,SantoYusuf!$L$13:$AK$56,I$4,FALSE))=TRUE,"",
              VLOOKUP($G69,SantoYusuf!$L$13:$AK$56,I$4,FALSE)))</t>
  </si>
  <si>
    <t>=IF(ISNUMBER($L$6)=FALSE,"",
        IF(ISERROR(VLOOKUP($G69,SantoYusuf!$L$13:$AK$56,J$4,FALSE))=TRUE,"",
              VLOOKUP($G69,SantoYusuf!$L$13:$AK$56,J$4,FALSE)))</t>
  </si>
  <si>
    <t>=IF(ISNUMBER($L$6)=FALSE,"",
        IF(ISERROR(VLOOKUP($G69,SantoYusuf!$L$13:$AK$56,K$4,FALSE))=TRUE,"",
              VLOOKUP($G69,SantoYusuf!$L$13:$AK$56,K$4,FALSE)))</t>
  </si>
  <si>
    <t>=IF(ISNUMBER($L$6)=FALSE,"",
        IF(ISERROR(VLOOKUP($G69,SantoYusuf!$L$13:$AK$56,L$4,FALSE))=TRUE,"",
              VLOOKUP($G69,SantoYusuf!$L$13:$AK$56,L$4,FALSE)))</t>
  </si>
  <si>
    <t>=IF(ISNUMBER($L$6)=FALSE,"",
        IF(ISERROR(VLOOKUP($G69,SantoYusuf!$L$13:$AK$56,M$4,FALSE))=TRUE,"",
              VLOOKUP($G69,SantoYusuf!$L$13:$AK$56,M$4,FALSE)))</t>
  </si>
  <si>
    <t>=IF(ISNUMBER($L$6)=FALSE,"",
        IF(ISERROR(VLOOKUP($G69,SantoYusuf!$L$13:$AK$56,N$4,FALSE))=TRUE,"",
              VLOOKUP($G69,SantoYusuf!$L$13:$AK$56,N$4,FALSE)))</t>
  </si>
  <si>
    <t>=IF(ISNUMBER($L$6)=FALSE,"",
        IF(ISERROR(VLOOKUP($G69,SantoYusuf!$L$13:$AK$56,O$4,FALSE))=TRUE,"",
              VLOOKUP($G69,SantoYusuf!$L$13:$AK$56,O$4,FALSE)))</t>
  </si>
  <si>
    <t>=IF(ISNUMBER($L$6)=FALSE,"",
        IF(ISERROR(VLOOKUP($G69,SantoYusuf!$L$13:$AK$56,P$4,FALSE))=TRUE,"",
              VLOOKUP($G69,SantoYusuf!$L$13:$AK$56,P$4,FALSE)))</t>
  </si>
  <si>
    <t>=IF(ISNUMBER($L$6)=FALSE,"",
        IF(ISERROR(VLOOKUP($G69,SantoYusuf!$L$13:$AK$56,Q$4,FALSE))=TRUE,"",
              VLOOKUP($G69,SantoYusuf!$L$13:$AK$56,Q$4,FALSE)))</t>
  </si>
  <si>
    <t>=IF(ISNUMBER($L$6)=FALSE,"",
        IF(ISERROR(VLOOKUP($G69,SantoYusuf!$L$13:$AK$56,R$4,FALSE))=TRUE,"",
              VLOOKUP($G69,SantoYusuf!$L$13:$AK$56,R$4,FALSE)))</t>
  </si>
  <si>
    <t>=IF(ISNUMBER($L$6)=FALSE,"",
        IF(ISERROR(VLOOKUP($G69,SantoYusuf!$L$13:$AK$56,S$4,FALSE))=TRUE,"",
              VLOOKUP($G69,SantoYusuf!$L$13:$AK$56,S$4,FALSE)))</t>
  </si>
  <si>
    <t>=IF(ISNUMBER($L$6)=FALSE,"",
        IF(ISERROR(VLOOKUP($G69,SantoYusuf!$L$13:$AK$56,T$4,FALSE))=TRUE,"",
              VLOOKUP($G69,SantoYusuf!$L$13:$AK$56,T$4,FALSE)))</t>
  </si>
  <si>
    <t>=IF(ISNUMBER($L$6)=FALSE,"",
        IF(ISERROR(VLOOKUP($G69,SantoYusuf!$L$13:$AK$56,U$4,FALSE))=TRUE,"",
              VLOOKUP($G69,SantoYusuf!$L$13:$AK$56,U$4,FALSE)))</t>
  </si>
  <si>
    <t>=IF(ISNUMBER($L$6)=FALSE,"",
        IF(ISERROR(VLOOKUP($G69,SantoYusuf!$L$13:$AK$56,V$4,FALSE))=TRUE,"",
              VLOOKUP($G69,SantoYusuf!$L$13:$AK$56,V$4,FALSE)))</t>
  </si>
  <si>
    <t>=IF(ISNUMBER($L$6)=FALSE,"",
        IF(ISERROR(VLOOKUP($G69,SantoYusuf!$L$13:$AK$56,W$4,FALSE))=TRUE,"",
              VLOOKUP($G69,SantoYusuf!$L$13:$AK$56,W$4,FALSE)))</t>
  </si>
  <si>
    <t>=IF(ISNUMBER($L$6)=FALSE,"",
        IF(ISERROR(VLOOKUP($G69,SantoYusuf!$L$13:$AK$56,X$4,FALSE))=TRUE,"",
              VLOOKUP($G69,SantoYusuf!$L$13:$AK$56,X$4,FALSE)))</t>
  </si>
  <si>
    <t>=IF(ISNUMBER($L$6)=FALSE,"",
        IF(ISERROR(VLOOKUP($G69,SantoYusuf!$L$13:$AK$56,Y$4,FALSE))=TRUE,"",
              VLOOKUP($G69,SantoYusuf!$L$13:$AK$56,Y$4,FALSE)))</t>
  </si>
  <si>
    <t>=IF(ISNUMBER($L$6)=FALSE,"",
        IF(ISERROR(VLOOKUP($G69,SantoYusuf!$L$13:$AK$56,Z$4,FALSE))=TRUE,"",
              VLOOKUP($G69,SantoYusuf!$L$13:$AK$56,Z$4,FALSE)))</t>
  </si>
  <si>
    <t>=IF(ISNUMBER($L$6)=FALSE,"",
        IF(ISERROR(VLOOKUP($G69,SantoYusuf!$L$13:$AK$56,AA$4,FALSE))=TRUE,"",
              VLOOKUP($G69,SantoYusuf!$L$13:$AK$56,AA$4,FALSE)))</t>
  </si>
  <si>
    <t>=IF(ISNUMBER($L$6)=FALSE,"",
        IF(ISERROR(VLOOKUP($G69,SantoYusuf!$L$13:$AK$56,AB$4,FALSE))=TRUE,"",
              VLOOKUP($G69,SantoYusuf!$L$13:$AK$56,AB$4,FALSE)))</t>
  </si>
  <si>
    <t>=IF(ISNUMBER($L$6)=FALSE,"",
        IF(ISERROR(VLOOKUP($G69,SantoYusuf!$L$13:$AK$56,AC$4,FALSE))=TRUE,"",
              VLOOKUP($G69,SantoYusuf!$L$13:$AK$56,AC$4,FALSE)))</t>
  </si>
  <si>
    <t>=IF(ISNUMBER($L$6)=FALSE,"",
        IF(ISERROR(VLOOKUP($G69,SantoYusuf!$L$13:$AK$56,AD$4,FALSE))=TRUE,"",
              VLOOKUP($G69,SantoYusuf!$L$13:$AK$56,AD$4,FALSE)))</t>
  </si>
  <si>
    <t>=IF(ISNUMBER($L$6)=FALSE,"",
        IF(ISERROR(VLOOKUP($G69,SantoYusuf!$L$13:$AK$56,AE$4,FALSE))=TRUE,"",
              VLOOKUP($G69,SantoYusuf!$L$13:$AK$56,AE$4,FALSE)))</t>
  </si>
  <si>
    <t>=IF(ISNUMBER($L$6)=FALSE,"",
        IF(ISERROR(VLOOKUP($G69,SantoYusuf!$L$13:$AK$56,AF$4,FALSE))=TRUE,"",
              VLOOKUP($G69,SantoYusuf!$L$13:$AK$56,AF$4,FALSE)))</t>
  </si>
  <si>
    <t>=IF(ISNUMBER($L$6)=FALSE,"",
IF($C70=0,"",VLOOKUP($E70,SantoYusuf!$H$13:$L$56,4,FALSE)))</t>
  </si>
  <si>
    <t>=IF(ISNUMBER($L$6)=FALSE,"",
IF($C70=0,"",VLOOKUP($E70,SantoYusuf!$H$13:$L$56,5,FALSE)))</t>
  </si>
  <si>
    <t>=IF(ISNUMBER($L$6)=FALSE,"",
        IF(ISERROR(VLOOKUP($G70,SantoYusuf!$L$13:$AK$56,I$4,FALSE))=TRUE,"",
              VLOOKUP($G70,SantoYusuf!$L$13:$AK$56,I$4,FALSE)))</t>
  </si>
  <si>
    <t>=IF(ISNUMBER($L$6)=FALSE,"",
        IF(ISERROR(VLOOKUP($G70,SantoYusuf!$L$13:$AK$56,J$4,FALSE))=TRUE,"",
              VLOOKUP($G70,SantoYusuf!$L$13:$AK$56,J$4,FALSE)))</t>
  </si>
  <si>
    <t>=IF(ISNUMBER($L$6)=FALSE,"",
        IF(ISERROR(VLOOKUP($G70,SantoYusuf!$L$13:$AK$56,K$4,FALSE))=TRUE,"",
              VLOOKUP($G70,SantoYusuf!$L$13:$AK$56,K$4,FALSE)))</t>
  </si>
  <si>
    <t>=IF(ISNUMBER($L$6)=FALSE,"",
        IF(ISERROR(VLOOKUP($G70,SantoYusuf!$L$13:$AK$56,L$4,FALSE))=TRUE,"",
              VLOOKUP($G70,SantoYusuf!$L$13:$AK$56,L$4,FALSE)))</t>
  </si>
  <si>
    <t>=IF(ISNUMBER($L$6)=FALSE,"",
        IF(ISERROR(VLOOKUP($G70,SantoYusuf!$L$13:$AK$56,M$4,FALSE))=TRUE,"",
              VLOOKUP($G70,SantoYusuf!$L$13:$AK$56,M$4,FALSE)))</t>
  </si>
  <si>
    <t>=IF(ISNUMBER($L$6)=FALSE,"",
        IF(ISERROR(VLOOKUP($G70,SantoYusuf!$L$13:$AK$56,N$4,FALSE))=TRUE,"",
              VLOOKUP($G70,SantoYusuf!$L$13:$AK$56,N$4,FALSE)))</t>
  </si>
  <si>
    <t>=IF(ISNUMBER($L$6)=FALSE,"",
        IF(ISERROR(VLOOKUP($G70,SantoYusuf!$L$13:$AK$56,O$4,FALSE))=TRUE,"",
              VLOOKUP($G70,SantoYusuf!$L$13:$AK$56,O$4,FALSE)))</t>
  </si>
  <si>
    <t>=IF(ISNUMBER($L$6)=FALSE,"",
        IF(ISERROR(VLOOKUP($G70,SantoYusuf!$L$13:$AK$56,P$4,FALSE))=TRUE,"",
              VLOOKUP($G70,SantoYusuf!$L$13:$AK$56,P$4,FALSE)))</t>
  </si>
  <si>
    <t>=IF(ISNUMBER($L$6)=FALSE,"",
        IF(ISERROR(VLOOKUP($G70,SantoYusuf!$L$13:$AK$56,Q$4,FALSE))=TRUE,"",
              VLOOKUP($G70,SantoYusuf!$L$13:$AK$56,Q$4,FALSE)))</t>
  </si>
  <si>
    <t>=IF(ISNUMBER($L$6)=FALSE,"",
        IF(ISERROR(VLOOKUP($G70,SantoYusuf!$L$13:$AK$56,R$4,FALSE))=TRUE,"",
              VLOOKUP($G70,SantoYusuf!$L$13:$AK$56,R$4,FALSE)))</t>
  </si>
  <si>
    <t>=IF(ISNUMBER($L$6)=FALSE,"",
        IF(ISERROR(VLOOKUP($G70,SantoYusuf!$L$13:$AK$56,S$4,FALSE))=TRUE,"",
              VLOOKUP($G70,SantoYusuf!$L$13:$AK$56,S$4,FALSE)))</t>
  </si>
  <si>
    <t>=IF(ISNUMBER($L$6)=FALSE,"",
        IF(ISERROR(VLOOKUP($G70,SantoYusuf!$L$13:$AK$56,T$4,FALSE))=TRUE,"",
              VLOOKUP($G70,SantoYusuf!$L$13:$AK$56,T$4,FALSE)))</t>
  </si>
  <si>
    <t>=IF(ISNUMBER($L$6)=FALSE,"",
        IF(ISERROR(VLOOKUP($G70,SantoYusuf!$L$13:$AK$56,U$4,FALSE))=TRUE,"",
              VLOOKUP($G70,SantoYusuf!$L$13:$AK$56,U$4,FALSE)))</t>
  </si>
  <si>
    <t>=IF(ISNUMBER($L$6)=FALSE,"",
        IF(ISERROR(VLOOKUP($G70,SantoYusuf!$L$13:$AK$56,V$4,FALSE))=TRUE,"",
              VLOOKUP($G70,SantoYusuf!$L$13:$AK$56,V$4,FALSE)))</t>
  </si>
  <si>
    <t>=IF(ISNUMBER($L$6)=FALSE,"",
        IF(ISERROR(VLOOKUP($G70,SantoYusuf!$L$13:$AK$56,W$4,FALSE))=TRUE,"",
              VLOOKUP($G70,SantoYusuf!$L$13:$AK$56,W$4,FALSE)))</t>
  </si>
  <si>
    <t>=IF(ISNUMBER($L$6)=FALSE,"",
        IF(ISERROR(VLOOKUP($G70,SantoYusuf!$L$13:$AK$56,X$4,FALSE))=TRUE,"",
              VLOOKUP($G70,SantoYusuf!$L$13:$AK$56,X$4,FALSE)))</t>
  </si>
  <si>
    <t>=IF(ISNUMBER($L$6)=FALSE,"",
        IF(ISERROR(VLOOKUP($G70,SantoYusuf!$L$13:$AK$56,Y$4,FALSE))=TRUE,"",
              VLOOKUP($G70,SantoYusuf!$L$13:$AK$56,Y$4,FALSE)))</t>
  </si>
  <si>
    <t>=IF(ISNUMBER($L$6)=FALSE,"",
        IF(ISERROR(VLOOKUP($G70,SantoYusuf!$L$13:$AK$56,Z$4,FALSE))=TRUE,"",
              VLOOKUP($G70,SantoYusuf!$L$13:$AK$56,Z$4,FALSE)))</t>
  </si>
  <si>
    <t>=IF(ISNUMBER($L$6)=FALSE,"",
        IF(ISERROR(VLOOKUP($G70,SantoYusuf!$L$13:$AK$56,AA$4,FALSE))=TRUE,"",
              VLOOKUP($G70,SantoYusuf!$L$13:$AK$56,AA$4,FALSE)))</t>
  </si>
  <si>
    <t>=IF(ISNUMBER($L$6)=FALSE,"",
        IF(ISERROR(VLOOKUP($G70,SantoYusuf!$L$13:$AK$56,AB$4,FALSE))=TRUE,"",
              VLOOKUP($G70,SantoYusuf!$L$13:$AK$56,AB$4,FALSE)))</t>
  </si>
  <si>
    <t>=IF(ISNUMBER($L$6)=FALSE,"",
        IF(ISERROR(VLOOKUP($G70,SantoYusuf!$L$13:$AK$56,AC$4,FALSE))=TRUE,"",
              VLOOKUP($G70,SantoYusuf!$L$13:$AK$56,AC$4,FALSE)))</t>
  </si>
  <si>
    <t>=IF(ISNUMBER($L$6)=FALSE,"",
        IF(ISERROR(VLOOKUP($G70,SantoYusuf!$L$13:$AK$56,AD$4,FALSE))=TRUE,"",
              VLOOKUP($G70,SantoYusuf!$L$13:$AK$56,AD$4,FALSE)))</t>
  </si>
  <si>
    <t>=IF(ISNUMBER($L$6)=FALSE,"",
        IF(ISERROR(VLOOKUP($G70,SantoYusuf!$L$13:$AK$56,AE$4,FALSE))=TRUE,"",
              VLOOKUP($G70,SantoYusuf!$L$13:$AK$56,AE$4,FALSE)))</t>
  </si>
  <si>
    <t>=IF(ISNUMBER($L$6)=FALSE,"",
        IF(ISERROR(VLOOKUP($G70,SantoYusuf!$L$13:$AK$56,AF$4,FALSE))=TRUE,"",
              VLOOKUP($G70,SantoYusuf!$L$13:$AK$56,AF$4,FALSE)))</t>
  </si>
  <si>
    <t>=IF(ISNUMBER($L$6)=FALSE,"",
IF($C71=0,"",VLOOKUP($E71,SantoYusuf!$H$13:$L$56,4,FALSE)))</t>
  </si>
  <si>
    <t>=IF(ISNUMBER($L$6)=FALSE,"",
IF($C71=0,"",VLOOKUP($E71,SantoYusuf!$H$13:$L$56,5,FALSE)))</t>
  </si>
  <si>
    <t>=IF(ISNUMBER($L$6)=FALSE,"",
        IF(ISERROR(VLOOKUP($G71,SantoYusuf!$L$13:$AK$56,I$4,FALSE))=TRUE,"",
              VLOOKUP($G71,SantoYusuf!$L$13:$AK$56,I$4,FALSE)))</t>
  </si>
  <si>
    <t>=IF(ISNUMBER($L$6)=FALSE,"",
        IF(ISERROR(VLOOKUP($G71,SantoYusuf!$L$13:$AK$56,J$4,FALSE))=TRUE,"",
              VLOOKUP($G71,SantoYusuf!$L$13:$AK$56,J$4,FALSE)))</t>
  </si>
  <si>
    <t>=IF(ISNUMBER($L$6)=FALSE,"",
        IF(ISERROR(VLOOKUP($G71,SantoYusuf!$L$13:$AK$56,K$4,FALSE))=TRUE,"",
              VLOOKUP($G71,SantoYusuf!$L$13:$AK$56,K$4,FALSE)))</t>
  </si>
  <si>
    <t>=IF(ISNUMBER($L$6)=FALSE,"",
        IF(ISERROR(VLOOKUP($G71,SantoYusuf!$L$13:$AK$56,L$4,FALSE))=TRUE,"",
              VLOOKUP($G71,SantoYusuf!$L$13:$AK$56,L$4,FALSE)))</t>
  </si>
  <si>
    <t>=IF(ISNUMBER($L$6)=FALSE,"",
        IF(ISERROR(VLOOKUP($G71,SantoYusuf!$L$13:$AK$56,M$4,FALSE))=TRUE,"",
              VLOOKUP($G71,SantoYusuf!$L$13:$AK$56,M$4,FALSE)))</t>
  </si>
  <si>
    <t>=IF(ISNUMBER($L$6)=FALSE,"",
        IF(ISERROR(VLOOKUP($G71,SantoYusuf!$L$13:$AK$56,N$4,FALSE))=TRUE,"",
              VLOOKUP($G71,SantoYusuf!$L$13:$AK$56,N$4,FALSE)))</t>
  </si>
  <si>
    <t>=IF(ISNUMBER($L$6)=FALSE,"",
        IF(ISERROR(VLOOKUP($G71,SantoYusuf!$L$13:$AK$56,O$4,FALSE))=TRUE,"",
              VLOOKUP($G71,SantoYusuf!$L$13:$AK$56,O$4,FALSE)))</t>
  </si>
  <si>
    <t>=IF(ISNUMBER($L$6)=FALSE,"",
        IF(ISERROR(VLOOKUP($G71,SantoYusuf!$L$13:$AK$56,P$4,FALSE))=TRUE,"",
              VLOOKUP($G71,SantoYusuf!$L$13:$AK$56,P$4,FALSE)))</t>
  </si>
  <si>
    <t>=IF(ISNUMBER($L$6)=FALSE,"",
        IF(ISERROR(VLOOKUP($G71,SantoYusuf!$L$13:$AK$56,Q$4,FALSE))=TRUE,"",
              VLOOKUP($G71,SantoYusuf!$L$13:$AK$56,Q$4,FALSE)))</t>
  </si>
  <si>
    <t>=IF(ISNUMBER($L$6)=FALSE,"",
        IF(ISERROR(VLOOKUP($G71,SantoYusuf!$L$13:$AK$56,R$4,FALSE))=TRUE,"",
              VLOOKUP($G71,SantoYusuf!$L$13:$AK$56,R$4,FALSE)))</t>
  </si>
  <si>
    <t>=IF(ISNUMBER($L$6)=FALSE,"",
        IF(ISERROR(VLOOKUP($G71,SantoYusuf!$L$13:$AK$56,S$4,FALSE))=TRUE,"",
              VLOOKUP($G71,SantoYusuf!$L$13:$AK$56,S$4,FALSE)))</t>
  </si>
  <si>
    <t>=IF(ISNUMBER($L$6)=FALSE,"",
        IF(ISERROR(VLOOKUP($G71,SantoYusuf!$L$13:$AK$56,T$4,FALSE))=TRUE,"",
              VLOOKUP($G71,SantoYusuf!$L$13:$AK$56,T$4,FALSE)))</t>
  </si>
  <si>
    <t>=IF(ISNUMBER($L$6)=FALSE,"",
        IF(ISERROR(VLOOKUP($G71,SantoYusuf!$L$13:$AK$56,U$4,FALSE))=TRUE,"",
              VLOOKUP($G71,SantoYusuf!$L$13:$AK$56,U$4,FALSE)))</t>
  </si>
  <si>
    <t>=IF(ISNUMBER($L$6)=FALSE,"",
        IF(ISERROR(VLOOKUP($G71,SantoYusuf!$L$13:$AK$56,V$4,FALSE))=TRUE,"",
              VLOOKUP($G71,SantoYusuf!$L$13:$AK$56,V$4,FALSE)))</t>
  </si>
  <si>
    <t>=IF(ISNUMBER($L$6)=FALSE,"",
        IF(ISERROR(VLOOKUP($G71,SantoYusuf!$L$13:$AK$56,W$4,FALSE))=TRUE,"",
              VLOOKUP($G71,SantoYusuf!$L$13:$AK$56,W$4,FALSE)))</t>
  </si>
  <si>
    <t>=IF(ISNUMBER($L$6)=FALSE,"",
        IF(ISERROR(VLOOKUP($G71,SantoYusuf!$L$13:$AK$56,X$4,FALSE))=TRUE,"",
              VLOOKUP($G71,SantoYusuf!$L$13:$AK$56,X$4,FALSE)))</t>
  </si>
  <si>
    <t>=IF(ISNUMBER($L$6)=FALSE,"",
        IF(ISERROR(VLOOKUP($G71,SantoYusuf!$L$13:$AK$56,Y$4,FALSE))=TRUE,"",
              VLOOKUP($G71,SantoYusuf!$L$13:$AK$56,Y$4,FALSE)))</t>
  </si>
  <si>
    <t>=IF(ISNUMBER($L$6)=FALSE,"",
        IF(ISERROR(VLOOKUP($G71,SantoYusuf!$L$13:$AK$56,Z$4,FALSE))=TRUE,"",
              VLOOKUP($G71,SantoYusuf!$L$13:$AK$56,Z$4,FALSE)))</t>
  </si>
  <si>
    <t>=IF(ISNUMBER($L$6)=FALSE,"",
        IF(ISERROR(VLOOKUP($G71,SantoYusuf!$L$13:$AK$56,AA$4,FALSE))=TRUE,"",
              VLOOKUP($G71,SantoYusuf!$L$13:$AK$56,AA$4,FALSE)))</t>
  </si>
  <si>
    <t>=IF(ISNUMBER($L$6)=FALSE,"",
        IF(ISERROR(VLOOKUP($G71,SantoYusuf!$L$13:$AK$56,AB$4,FALSE))=TRUE,"",
              VLOOKUP($G71,SantoYusuf!$L$13:$AK$56,AB$4,FALSE)))</t>
  </si>
  <si>
    <t>=IF(ISNUMBER($L$6)=FALSE,"",
        IF(ISERROR(VLOOKUP($G71,SantoYusuf!$L$13:$AK$56,AC$4,FALSE))=TRUE,"",
              VLOOKUP($G71,SantoYusuf!$L$13:$AK$56,AC$4,FALSE)))</t>
  </si>
  <si>
    <t>=IF(ISNUMBER($L$6)=FALSE,"",
        IF(ISERROR(VLOOKUP($G71,SantoYusuf!$L$13:$AK$56,AD$4,FALSE))=TRUE,"",
              VLOOKUP($G71,SantoYusuf!$L$13:$AK$56,AD$4,FALSE)))</t>
  </si>
  <si>
    <t>=IF(ISNUMBER($L$6)=FALSE,"",
        IF(ISERROR(VLOOKUP($G71,SantoYusuf!$L$13:$AK$56,AE$4,FALSE))=TRUE,"",
              VLOOKUP($G71,SantoYusuf!$L$13:$AK$56,AE$4,FALSE)))</t>
  </si>
  <si>
    <t>=IF(ISNUMBER($L$6)=FALSE,"",
        IF(ISERROR(VLOOKUP($G71,SantoYusuf!$L$13:$AK$56,AF$4,FALSE))=TRUE,"",
              VLOOKUP($G71,SantoYusuf!$L$13:$AK$56,AF$4,FALSE)))</t>
  </si>
  <si>
    <t>=IF(ISNUMBER($L$6)=FALSE,"",
IF($C72=0,"",VLOOKUP($E72,SantoYusuf!$H$13:$L$56,4,FALSE)))</t>
  </si>
  <si>
    <t>=IF(ISNUMBER($L$6)=FALSE,"",
IF($C72=0,"",VLOOKUP($E72,SantoYusuf!$H$13:$L$56,5,FALSE)))</t>
  </si>
  <si>
    <t>=IF(ISNUMBER($L$6)=FALSE,"",
        IF(ISERROR(VLOOKUP($G72,SantoYusuf!$L$13:$AK$56,I$4,FALSE))=TRUE,"",
              VLOOKUP($G72,SantoYusuf!$L$13:$AK$56,I$4,FALSE)))</t>
  </si>
  <si>
    <t>=IF(ISNUMBER($L$6)=FALSE,"",
        IF(ISERROR(VLOOKUP($G72,SantoYusuf!$L$13:$AK$56,J$4,FALSE))=TRUE,"",
              VLOOKUP($G72,SantoYusuf!$L$13:$AK$56,J$4,FALSE)))</t>
  </si>
  <si>
    <t>=IF(ISNUMBER($L$6)=FALSE,"",
        IF(ISERROR(VLOOKUP($G72,SantoYusuf!$L$13:$AK$56,K$4,FALSE))=TRUE,"",
              VLOOKUP($G72,SantoYusuf!$L$13:$AK$56,K$4,FALSE)))</t>
  </si>
  <si>
    <t>=IF(ISNUMBER($L$6)=FALSE,"",
        IF(ISERROR(VLOOKUP($G72,SantoYusuf!$L$13:$AK$56,L$4,FALSE))=TRUE,"",
              VLOOKUP($G72,SantoYusuf!$L$13:$AK$56,L$4,FALSE)))</t>
  </si>
  <si>
    <t>=IF(ISNUMBER($L$6)=FALSE,"",
        IF(ISERROR(VLOOKUP($G72,SantoYusuf!$L$13:$AK$56,M$4,FALSE))=TRUE,"",
              VLOOKUP($G72,SantoYusuf!$L$13:$AK$56,M$4,FALSE)))</t>
  </si>
  <si>
    <t>=IF(ISNUMBER($L$6)=FALSE,"",
        IF(ISERROR(VLOOKUP($G72,SantoYusuf!$L$13:$AK$56,N$4,FALSE))=TRUE,"",
              VLOOKUP($G72,SantoYusuf!$L$13:$AK$56,N$4,FALSE)))</t>
  </si>
  <si>
    <t>=IF(ISNUMBER($L$6)=FALSE,"",
        IF(ISERROR(VLOOKUP($G72,SantoYusuf!$L$13:$AK$56,O$4,FALSE))=TRUE,"",
              VLOOKUP($G72,SantoYusuf!$L$13:$AK$56,O$4,FALSE)))</t>
  </si>
  <si>
    <t>=IF(ISNUMBER($L$6)=FALSE,"",
        IF(ISERROR(VLOOKUP($G72,SantoYusuf!$L$13:$AK$56,P$4,FALSE))=TRUE,"",
              VLOOKUP($G72,SantoYusuf!$L$13:$AK$56,P$4,FALSE)))</t>
  </si>
  <si>
    <t>=IF(ISNUMBER($L$6)=FALSE,"",
        IF(ISERROR(VLOOKUP($G72,SantoYusuf!$L$13:$AK$56,Q$4,FALSE))=TRUE,"",
              VLOOKUP($G72,SantoYusuf!$L$13:$AK$56,Q$4,FALSE)))</t>
  </si>
  <si>
    <t>=IF(ISNUMBER($L$6)=FALSE,"",
        IF(ISERROR(VLOOKUP($G72,SantoYusuf!$L$13:$AK$56,R$4,FALSE))=TRUE,"",
              VLOOKUP($G72,SantoYusuf!$L$13:$AK$56,R$4,FALSE)))</t>
  </si>
  <si>
    <t>=IF(ISNUMBER($L$6)=FALSE,"",
        IF(ISERROR(VLOOKUP($G72,SantoYusuf!$L$13:$AK$56,S$4,FALSE))=TRUE,"",
              VLOOKUP($G72,SantoYusuf!$L$13:$AK$56,S$4,FALSE)))</t>
  </si>
  <si>
    <t>=IF(ISNUMBER($L$6)=FALSE,"",
        IF(ISERROR(VLOOKUP($G72,SantoYusuf!$L$13:$AK$56,T$4,FALSE))=TRUE,"",
              VLOOKUP($G72,SantoYusuf!$L$13:$AK$56,T$4,FALSE)))</t>
  </si>
  <si>
    <t>=IF(ISNUMBER($L$6)=FALSE,"",
        IF(ISERROR(VLOOKUP($G72,SantoYusuf!$L$13:$AK$56,U$4,FALSE))=TRUE,"",
              VLOOKUP($G72,SantoYusuf!$L$13:$AK$56,U$4,FALSE)))</t>
  </si>
  <si>
    <t>=IF(ISNUMBER($L$6)=FALSE,"",
        IF(ISERROR(VLOOKUP($G72,SantoYusuf!$L$13:$AK$56,V$4,FALSE))=TRUE,"",
              VLOOKUP($G72,SantoYusuf!$L$13:$AK$56,V$4,FALSE)))</t>
  </si>
  <si>
    <t>=IF(ISNUMBER($L$6)=FALSE,"",
        IF(ISERROR(VLOOKUP($G72,SantoYusuf!$L$13:$AK$56,W$4,FALSE))=TRUE,"",
              VLOOKUP($G72,SantoYusuf!$L$13:$AK$56,W$4,FALSE)))</t>
  </si>
  <si>
    <t>=IF(ISNUMBER($L$6)=FALSE,"",
        IF(ISERROR(VLOOKUP($G72,SantoYusuf!$L$13:$AK$56,X$4,FALSE))=TRUE,"",
              VLOOKUP($G72,SantoYusuf!$L$13:$AK$56,X$4,FALSE)))</t>
  </si>
  <si>
    <t>=IF(ISNUMBER($L$6)=FALSE,"",
        IF(ISERROR(VLOOKUP($G72,SantoYusuf!$L$13:$AK$56,Y$4,FALSE))=TRUE,"",
              VLOOKUP($G72,SantoYusuf!$L$13:$AK$56,Y$4,FALSE)))</t>
  </si>
  <si>
    <t>=IF(ISNUMBER($L$6)=FALSE,"",
        IF(ISERROR(VLOOKUP($G72,SantoYusuf!$L$13:$AK$56,Z$4,FALSE))=TRUE,"",
              VLOOKUP($G72,SantoYusuf!$L$13:$AK$56,Z$4,FALSE)))</t>
  </si>
  <si>
    <t>=IF(ISNUMBER($L$6)=FALSE,"",
        IF(ISERROR(VLOOKUP($G72,SantoYusuf!$L$13:$AK$56,AA$4,FALSE))=TRUE,"",
              VLOOKUP($G72,SantoYusuf!$L$13:$AK$56,AA$4,FALSE)))</t>
  </si>
  <si>
    <t>=IF(ISNUMBER($L$6)=FALSE,"",
        IF(ISERROR(VLOOKUP($G72,SantoYusuf!$L$13:$AK$56,AB$4,FALSE))=TRUE,"",
              VLOOKUP($G72,SantoYusuf!$L$13:$AK$56,AB$4,FALSE)))</t>
  </si>
  <si>
    <t>=IF(ISNUMBER($L$6)=FALSE,"",
        IF(ISERROR(VLOOKUP($G72,SantoYusuf!$L$13:$AK$56,AC$4,FALSE))=TRUE,"",
              VLOOKUP($G72,SantoYusuf!$L$13:$AK$56,AC$4,FALSE)))</t>
  </si>
  <si>
    <t>=IF(ISNUMBER($L$6)=FALSE,"",
        IF(ISERROR(VLOOKUP($G72,SantoYusuf!$L$13:$AK$56,AD$4,FALSE))=TRUE,"",
              VLOOKUP($G72,SantoYusuf!$L$13:$AK$56,AD$4,FALSE)))</t>
  </si>
  <si>
    <t>=IF(ISNUMBER($L$6)=FALSE,"",
        IF(ISERROR(VLOOKUP($G72,SantoYusuf!$L$13:$AK$56,AE$4,FALSE))=TRUE,"",
              VLOOKUP($G72,SantoYusuf!$L$13:$AK$56,AE$4,FALSE)))</t>
  </si>
  <si>
    <t>=IF(ISNUMBER($L$6)=FALSE,"",
        IF(ISERROR(VLOOKUP($G72,SantoYusuf!$L$13:$AK$56,AF$4,FALSE))=TRUE,"",
              VLOOKUP($G72,SantoYusuf!$L$13:$AK$56,AF$4,FALSE)))</t>
  </si>
  <si>
    <t>=IF(ISNUMBER($L$6)=FALSE,"",
IF($C73=0,"",VLOOKUP($E73,SantoYusuf!$H$13:$L$56,4,FALSE)))</t>
  </si>
  <si>
    <t>=IF(ISNUMBER($L$6)=FALSE,"",
IF($C73=0,"",VLOOKUP($E73,SantoYusuf!$H$13:$L$56,5,FALSE)))</t>
  </si>
  <si>
    <t>=IF(ISNUMBER($L$6)=FALSE,"",
        IF(ISERROR(VLOOKUP($G73,SantoYusuf!$L$13:$AK$56,I$4,FALSE))=TRUE,"",
              VLOOKUP($G73,SantoYusuf!$L$13:$AK$56,I$4,FALSE)))</t>
  </si>
  <si>
    <t>=IF(ISNUMBER($L$6)=FALSE,"",
        IF(ISERROR(VLOOKUP($G73,SantoYusuf!$L$13:$AK$56,J$4,FALSE))=TRUE,"",
              VLOOKUP($G73,SantoYusuf!$L$13:$AK$56,J$4,FALSE)))</t>
  </si>
  <si>
    <t>=IF(ISNUMBER($L$6)=FALSE,"",
        IF(ISERROR(VLOOKUP($G73,SantoYusuf!$L$13:$AK$56,K$4,FALSE))=TRUE,"",
              VLOOKUP($G73,SantoYusuf!$L$13:$AK$56,K$4,FALSE)))</t>
  </si>
  <si>
    <t>=IF(ISNUMBER($L$6)=FALSE,"",
        IF(ISERROR(VLOOKUP($G73,SantoYusuf!$L$13:$AK$56,L$4,FALSE))=TRUE,"",
              VLOOKUP($G73,SantoYusuf!$L$13:$AK$56,L$4,FALSE)))</t>
  </si>
  <si>
    <t>=IF(ISNUMBER($L$6)=FALSE,"",
        IF(ISERROR(VLOOKUP($G73,SantoYusuf!$L$13:$AK$56,M$4,FALSE))=TRUE,"",
              VLOOKUP($G73,SantoYusuf!$L$13:$AK$56,M$4,FALSE)))</t>
  </si>
  <si>
    <t>=IF(ISNUMBER($L$6)=FALSE,"",
        IF(ISERROR(VLOOKUP($G73,SantoYusuf!$L$13:$AK$56,N$4,FALSE))=TRUE,"",
              VLOOKUP($G73,SantoYusuf!$L$13:$AK$56,N$4,FALSE)))</t>
  </si>
  <si>
    <t>=IF(ISNUMBER($L$6)=FALSE,"",
        IF(ISERROR(VLOOKUP($G73,SantoYusuf!$L$13:$AK$56,O$4,FALSE))=TRUE,"",
              VLOOKUP($G73,SantoYusuf!$L$13:$AK$56,O$4,FALSE)))</t>
  </si>
  <si>
    <t>=IF(ISNUMBER($L$6)=FALSE,"",
        IF(ISERROR(VLOOKUP($G73,SantoYusuf!$L$13:$AK$56,P$4,FALSE))=TRUE,"",
              VLOOKUP($G73,SantoYusuf!$L$13:$AK$56,P$4,FALSE)))</t>
  </si>
  <si>
    <t>=IF(ISNUMBER($L$6)=FALSE,"",
        IF(ISERROR(VLOOKUP($G73,SantoYusuf!$L$13:$AK$56,Q$4,FALSE))=TRUE,"",
              VLOOKUP($G73,SantoYusuf!$L$13:$AK$56,Q$4,FALSE)))</t>
  </si>
  <si>
    <t>=IF(ISNUMBER($L$6)=FALSE,"",
        IF(ISERROR(VLOOKUP($G73,SantoYusuf!$L$13:$AK$56,R$4,FALSE))=TRUE,"",
              VLOOKUP($G73,SantoYusuf!$L$13:$AK$56,R$4,FALSE)))</t>
  </si>
  <si>
    <t>=IF(ISNUMBER($L$6)=FALSE,"",
        IF(ISERROR(VLOOKUP($G73,SantoYusuf!$L$13:$AK$56,S$4,FALSE))=TRUE,"",
              VLOOKUP($G73,SantoYusuf!$L$13:$AK$56,S$4,FALSE)))</t>
  </si>
  <si>
    <t>=IF(ISNUMBER($L$6)=FALSE,"",
        IF(ISERROR(VLOOKUP($G73,SantoYusuf!$L$13:$AK$56,T$4,FALSE))=TRUE,"",
              VLOOKUP($G73,SantoYusuf!$L$13:$AK$56,T$4,FALSE)))</t>
  </si>
  <si>
    <t>=IF(ISNUMBER($L$6)=FALSE,"",
        IF(ISERROR(VLOOKUP($G73,SantoYusuf!$L$13:$AK$56,U$4,FALSE))=TRUE,"",
              VLOOKUP($G73,SantoYusuf!$L$13:$AK$56,U$4,FALSE)))</t>
  </si>
  <si>
    <t>=IF(ISNUMBER($L$6)=FALSE,"",
        IF(ISERROR(VLOOKUP($G73,SantoYusuf!$L$13:$AK$56,V$4,FALSE))=TRUE,"",
              VLOOKUP($G73,SantoYusuf!$L$13:$AK$56,V$4,FALSE)))</t>
  </si>
  <si>
    <t>=IF(ISNUMBER($L$6)=FALSE,"",
        IF(ISERROR(VLOOKUP($G73,SantoYusuf!$L$13:$AK$56,W$4,FALSE))=TRUE,"",
              VLOOKUP($G73,SantoYusuf!$L$13:$AK$56,W$4,FALSE)))</t>
  </si>
  <si>
    <t>=IF(ISNUMBER($L$6)=FALSE,"",
        IF(ISERROR(VLOOKUP($G73,SantoYusuf!$L$13:$AK$56,X$4,FALSE))=TRUE,"",
              VLOOKUP($G73,SantoYusuf!$L$13:$AK$56,X$4,FALSE)))</t>
  </si>
  <si>
    <t>=IF(ISNUMBER($L$6)=FALSE,"",
        IF(ISERROR(VLOOKUP($G73,SantoYusuf!$L$13:$AK$56,Y$4,FALSE))=TRUE,"",
              VLOOKUP($G73,SantoYusuf!$L$13:$AK$56,Y$4,FALSE)))</t>
  </si>
  <si>
    <t>=IF(ISNUMBER($L$6)=FALSE,"",
        IF(ISERROR(VLOOKUP($G73,SantoYusuf!$L$13:$AK$56,Z$4,FALSE))=TRUE,"",
              VLOOKUP($G73,SantoYusuf!$L$13:$AK$56,Z$4,FALSE)))</t>
  </si>
  <si>
    <t>=IF(ISNUMBER($L$6)=FALSE,"",
        IF(ISERROR(VLOOKUP($G73,SantoYusuf!$L$13:$AK$56,AA$4,FALSE))=TRUE,"",
              VLOOKUP($G73,SantoYusuf!$L$13:$AK$56,AA$4,FALSE)))</t>
  </si>
  <si>
    <t>=IF(ISNUMBER($L$6)=FALSE,"",
        IF(ISERROR(VLOOKUP($G73,SantoYusuf!$L$13:$AK$56,AB$4,FALSE))=TRUE,"",
              VLOOKUP($G73,SantoYusuf!$L$13:$AK$56,AB$4,FALSE)))</t>
  </si>
  <si>
    <t>=IF(ISNUMBER($L$6)=FALSE,"",
        IF(ISERROR(VLOOKUP($G73,SantoYusuf!$L$13:$AK$56,AC$4,FALSE))=TRUE,"",
              VLOOKUP($G73,SantoYusuf!$L$13:$AK$56,AC$4,FALSE)))</t>
  </si>
  <si>
    <t>=IF(ISNUMBER($L$6)=FALSE,"",
        IF(ISERROR(VLOOKUP($G73,SantoYusuf!$L$13:$AK$56,AD$4,FALSE))=TRUE,"",
              VLOOKUP($G73,SantoYusuf!$L$13:$AK$56,AD$4,FALSE)))</t>
  </si>
  <si>
    <t>=IF(ISNUMBER($L$6)=FALSE,"",
        IF(ISERROR(VLOOKUP($G73,SantoYusuf!$L$13:$AK$56,AE$4,FALSE))=TRUE,"",
              VLOOKUP($G73,SantoYusuf!$L$13:$AK$56,AE$4,FALSE)))</t>
  </si>
  <si>
    <t>=IF(ISNUMBER($L$6)=FALSE,"",
        IF(ISERROR(VLOOKUP($G73,SantoYusuf!$L$13:$AK$56,AF$4,FALSE))=TRUE,"",
              VLOOKUP($G73,SantoYusuf!$L$13:$AK$56,AF$4,FALSE)))</t>
  </si>
  <si>
    <t>=IF(ISNUMBER($L$6)=FALSE,"",
IF($C74=0,"",VLOOKUP($E74,SantoYusuf!$H$13:$L$56,4,FALSE)))</t>
  </si>
  <si>
    <t>=IF(ISNUMBER($L$6)=FALSE,"",
IF($C74=0,"",VLOOKUP($E74,SantoYusuf!$H$13:$L$56,5,FALSE)))</t>
  </si>
  <si>
    <t>=IF(ISNUMBER($L$6)=FALSE,"",
        IF(ISERROR(VLOOKUP($G74,SantoYusuf!$L$13:$AK$56,I$4,FALSE))=TRUE,"",
              VLOOKUP($G74,SantoYusuf!$L$13:$AK$56,I$4,FALSE)))</t>
  </si>
  <si>
    <t>=IF(ISNUMBER($L$6)=FALSE,"",
        IF(ISERROR(VLOOKUP($G74,SantoYusuf!$L$13:$AK$56,J$4,FALSE))=TRUE,"",
              VLOOKUP($G74,SantoYusuf!$L$13:$AK$56,J$4,FALSE)))</t>
  </si>
  <si>
    <t>=IF(ISNUMBER($L$6)=FALSE,"",
        IF(ISERROR(VLOOKUP($G74,SantoYusuf!$L$13:$AK$56,K$4,FALSE))=TRUE,"",
              VLOOKUP($G74,SantoYusuf!$L$13:$AK$56,K$4,FALSE)))</t>
  </si>
  <si>
    <t>=IF(ISNUMBER($L$6)=FALSE,"",
        IF(ISERROR(VLOOKUP($G74,SantoYusuf!$L$13:$AK$56,L$4,FALSE))=TRUE,"",
              VLOOKUP($G74,SantoYusuf!$L$13:$AK$56,L$4,FALSE)))</t>
  </si>
  <si>
    <t>=IF(ISNUMBER($L$6)=FALSE,"",
        IF(ISERROR(VLOOKUP($G74,SantoYusuf!$L$13:$AK$56,M$4,FALSE))=TRUE,"",
              VLOOKUP($G74,SantoYusuf!$L$13:$AK$56,M$4,FALSE)))</t>
  </si>
  <si>
    <t>=IF(ISNUMBER($L$6)=FALSE,"",
        IF(ISERROR(VLOOKUP($G74,SantoYusuf!$L$13:$AK$56,N$4,FALSE))=TRUE,"",
              VLOOKUP($G74,SantoYusuf!$L$13:$AK$56,N$4,FALSE)))</t>
  </si>
  <si>
    <t>=IF(ISNUMBER($L$6)=FALSE,"",
        IF(ISERROR(VLOOKUP($G74,SantoYusuf!$L$13:$AK$56,O$4,FALSE))=TRUE,"",
              VLOOKUP($G74,SantoYusuf!$L$13:$AK$56,O$4,FALSE)))</t>
  </si>
  <si>
    <t>=IF(ISNUMBER($L$6)=FALSE,"",
        IF(ISERROR(VLOOKUP($G74,SantoYusuf!$L$13:$AK$56,P$4,FALSE))=TRUE,"",
              VLOOKUP($G74,SantoYusuf!$L$13:$AK$56,P$4,FALSE)))</t>
  </si>
  <si>
    <t>=IF(ISNUMBER($L$6)=FALSE,"",
        IF(ISERROR(VLOOKUP($G74,SantoYusuf!$L$13:$AK$56,Q$4,FALSE))=TRUE,"",
              VLOOKUP($G74,SantoYusuf!$L$13:$AK$56,Q$4,FALSE)))</t>
  </si>
  <si>
    <t>=IF(ISNUMBER($L$6)=FALSE,"",
        IF(ISERROR(VLOOKUP($G74,SantoYusuf!$L$13:$AK$56,R$4,FALSE))=TRUE,"",
              VLOOKUP($G74,SantoYusuf!$L$13:$AK$56,R$4,FALSE)))</t>
  </si>
  <si>
    <t>=IF(ISNUMBER($L$6)=FALSE,"",
        IF(ISERROR(VLOOKUP($G74,SantoYusuf!$L$13:$AK$56,S$4,FALSE))=TRUE,"",
              VLOOKUP($G74,SantoYusuf!$L$13:$AK$56,S$4,FALSE)))</t>
  </si>
  <si>
    <t>=IF(ISNUMBER($L$6)=FALSE,"",
        IF(ISERROR(VLOOKUP($G74,SantoYusuf!$L$13:$AK$56,T$4,FALSE))=TRUE,"",
              VLOOKUP($G74,SantoYusuf!$L$13:$AK$56,T$4,FALSE)))</t>
  </si>
  <si>
    <t>=IF(ISNUMBER($L$6)=FALSE,"",
        IF(ISERROR(VLOOKUP($G74,SantoYusuf!$L$13:$AK$56,U$4,FALSE))=TRUE,"",
              VLOOKUP($G74,SantoYusuf!$L$13:$AK$56,U$4,FALSE)))</t>
  </si>
  <si>
    <t>=IF(ISNUMBER($L$6)=FALSE,"",
        IF(ISERROR(VLOOKUP($G74,SantoYusuf!$L$13:$AK$56,V$4,FALSE))=TRUE,"",
              VLOOKUP($G74,SantoYusuf!$L$13:$AK$56,V$4,FALSE)))</t>
  </si>
  <si>
    <t>=IF(ISNUMBER($L$6)=FALSE,"",
        IF(ISERROR(VLOOKUP($G74,SantoYusuf!$L$13:$AK$56,W$4,FALSE))=TRUE,"",
              VLOOKUP($G74,SantoYusuf!$L$13:$AK$56,W$4,FALSE)))</t>
  </si>
  <si>
    <t>=IF(ISNUMBER($L$6)=FALSE,"",
        IF(ISERROR(VLOOKUP($G74,SantoYusuf!$L$13:$AK$56,X$4,FALSE))=TRUE,"",
              VLOOKUP($G74,SantoYusuf!$L$13:$AK$56,X$4,FALSE)))</t>
  </si>
  <si>
    <t>=IF(ISNUMBER($L$6)=FALSE,"",
        IF(ISERROR(VLOOKUP($G74,SantoYusuf!$L$13:$AK$56,Y$4,FALSE))=TRUE,"",
              VLOOKUP($G74,SantoYusuf!$L$13:$AK$56,Y$4,FALSE)))</t>
  </si>
  <si>
    <t>=IF(ISNUMBER($L$6)=FALSE,"",
        IF(ISERROR(VLOOKUP($G74,SantoYusuf!$L$13:$AK$56,Z$4,FALSE))=TRUE,"",
              VLOOKUP($G74,SantoYusuf!$L$13:$AK$56,Z$4,FALSE)))</t>
  </si>
  <si>
    <t>=IF(ISNUMBER($L$6)=FALSE,"",
        IF(ISERROR(VLOOKUP($G74,SantoYusuf!$L$13:$AK$56,AA$4,FALSE))=TRUE,"",
              VLOOKUP($G74,SantoYusuf!$L$13:$AK$56,AA$4,FALSE)))</t>
  </si>
  <si>
    <t>=IF(ISNUMBER($L$6)=FALSE,"",
        IF(ISERROR(VLOOKUP($G74,SantoYusuf!$L$13:$AK$56,AB$4,FALSE))=TRUE,"",
              VLOOKUP($G74,SantoYusuf!$L$13:$AK$56,AB$4,FALSE)))</t>
  </si>
  <si>
    <t>=IF(ISNUMBER($L$6)=FALSE,"",
        IF(ISERROR(VLOOKUP($G74,SantoYusuf!$L$13:$AK$56,AC$4,FALSE))=TRUE,"",
              VLOOKUP($G74,SantoYusuf!$L$13:$AK$56,AC$4,FALSE)))</t>
  </si>
  <si>
    <t>=IF(ISNUMBER($L$6)=FALSE,"",
        IF(ISERROR(VLOOKUP($G74,SantoYusuf!$L$13:$AK$56,AD$4,FALSE))=TRUE,"",
              VLOOKUP($G74,SantoYusuf!$L$13:$AK$56,AD$4,FALSE)))</t>
  </si>
  <si>
    <t>=IF(ISNUMBER($L$6)=FALSE,"",
        IF(ISERROR(VLOOKUP($G74,SantoYusuf!$L$13:$AK$56,AE$4,FALSE))=TRUE,"",
              VLOOKUP($G74,SantoYusuf!$L$13:$AK$56,AE$4,FALSE)))</t>
  </si>
  <si>
    <t>=IF(ISNUMBER($L$6)=FALSE,"",
        IF(ISERROR(VLOOKUP($G74,SantoYusuf!$L$13:$AK$56,AF$4,FALSE))=TRUE,"",
              VLOOKUP($G74,SantoYusuf!$L$13:$AK$56,AF$4,FALSE)))</t>
  </si>
  <si>
    <t>=IF(ISNUMBER($L$6)=FALSE,"",
IF($C75=0,"",VLOOKUP($E75,SantoYusuf!$H$13:$L$56,4,FALSE)))</t>
  </si>
  <si>
    <t>=IF(ISNUMBER($L$6)=FALSE,"",
IF($C75=0,"",VLOOKUP($E75,SantoYusuf!$H$13:$L$56,5,FALSE)))</t>
  </si>
  <si>
    <t>=IF(ISNUMBER($L$6)=FALSE,"",
        IF(ISERROR(VLOOKUP($G75,SantoYusuf!$L$13:$AK$56,I$4,FALSE))=TRUE,"",
              VLOOKUP($G75,SantoYusuf!$L$13:$AK$56,I$4,FALSE)))</t>
  </si>
  <si>
    <t>=IF(ISNUMBER($L$6)=FALSE,"",
        IF(ISERROR(VLOOKUP($G75,SantoYusuf!$L$13:$AK$56,J$4,FALSE))=TRUE,"",
              VLOOKUP($G75,SantoYusuf!$L$13:$AK$56,J$4,FALSE)))</t>
  </si>
  <si>
    <t>=IF(ISNUMBER($L$6)=FALSE,"",
        IF(ISERROR(VLOOKUP($G75,SantoYusuf!$L$13:$AK$56,K$4,FALSE))=TRUE,"",
              VLOOKUP($G75,SantoYusuf!$L$13:$AK$56,K$4,FALSE)))</t>
  </si>
  <si>
    <t>=IF(ISNUMBER($L$6)=FALSE,"",
        IF(ISERROR(VLOOKUP($G75,SantoYusuf!$L$13:$AK$56,L$4,FALSE))=TRUE,"",
              VLOOKUP($G75,SantoYusuf!$L$13:$AK$56,L$4,FALSE)))</t>
  </si>
  <si>
    <t>=IF(ISNUMBER($L$6)=FALSE,"",
        IF(ISERROR(VLOOKUP($G75,SantoYusuf!$L$13:$AK$56,M$4,FALSE))=TRUE,"",
              VLOOKUP($G75,SantoYusuf!$L$13:$AK$56,M$4,FALSE)))</t>
  </si>
  <si>
    <t>=IF(ISNUMBER($L$6)=FALSE,"",
        IF(ISERROR(VLOOKUP($G75,SantoYusuf!$L$13:$AK$56,N$4,FALSE))=TRUE,"",
              VLOOKUP($G75,SantoYusuf!$L$13:$AK$56,N$4,FALSE)))</t>
  </si>
  <si>
    <t>=IF(ISNUMBER($L$6)=FALSE,"",
        IF(ISERROR(VLOOKUP($G75,SantoYusuf!$L$13:$AK$56,O$4,FALSE))=TRUE,"",
              VLOOKUP($G75,SantoYusuf!$L$13:$AK$56,O$4,FALSE)))</t>
  </si>
  <si>
    <t>=IF(ISNUMBER($L$6)=FALSE,"",
        IF(ISERROR(VLOOKUP($G75,SantoYusuf!$L$13:$AK$56,P$4,FALSE))=TRUE,"",
              VLOOKUP($G75,SantoYusuf!$L$13:$AK$56,P$4,FALSE)))</t>
  </si>
  <si>
    <t>=IF(ISNUMBER($L$6)=FALSE,"",
        IF(ISERROR(VLOOKUP($G75,SantoYusuf!$L$13:$AK$56,Q$4,FALSE))=TRUE,"",
              VLOOKUP($G75,SantoYusuf!$L$13:$AK$56,Q$4,FALSE)))</t>
  </si>
  <si>
    <t>=IF(ISNUMBER($L$6)=FALSE,"",
        IF(ISERROR(VLOOKUP($G75,SantoYusuf!$L$13:$AK$56,R$4,FALSE))=TRUE,"",
              VLOOKUP($G75,SantoYusuf!$L$13:$AK$56,R$4,FALSE)))</t>
  </si>
  <si>
    <t>=IF(ISNUMBER($L$6)=FALSE,"",
        IF(ISERROR(VLOOKUP($G75,SantoYusuf!$L$13:$AK$56,S$4,FALSE))=TRUE,"",
              VLOOKUP($G75,SantoYusuf!$L$13:$AK$56,S$4,FALSE)))</t>
  </si>
  <si>
    <t>=IF(ISNUMBER($L$6)=FALSE,"",
        IF(ISERROR(VLOOKUP($G75,SantoYusuf!$L$13:$AK$56,T$4,FALSE))=TRUE,"",
              VLOOKUP($G75,SantoYusuf!$L$13:$AK$56,T$4,FALSE)))</t>
  </si>
  <si>
    <t>=IF(ISNUMBER($L$6)=FALSE,"",
        IF(ISERROR(VLOOKUP($G75,SantoYusuf!$L$13:$AK$56,U$4,FALSE))=TRUE,"",
              VLOOKUP($G75,SantoYusuf!$L$13:$AK$56,U$4,FALSE)))</t>
  </si>
  <si>
    <t>=IF(ISNUMBER($L$6)=FALSE,"",
        IF(ISERROR(VLOOKUP($G75,SantoYusuf!$L$13:$AK$56,V$4,FALSE))=TRUE,"",
              VLOOKUP($G75,SantoYusuf!$L$13:$AK$56,V$4,FALSE)))</t>
  </si>
  <si>
    <t>=IF(ISNUMBER($L$6)=FALSE,"",
        IF(ISERROR(VLOOKUP($G75,SantoYusuf!$L$13:$AK$56,W$4,FALSE))=TRUE,"",
              VLOOKUP($G75,SantoYusuf!$L$13:$AK$56,W$4,FALSE)))</t>
  </si>
  <si>
    <t>=IF(ISNUMBER($L$6)=FALSE,"",
        IF(ISERROR(VLOOKUP($G75,SantoYusuf!$L$13:$AK$56,X$4,FALSE))=TRUE,"",
              VLOOKUP($G75,SantoYusuf!$L$13:$AK$56,X$4,FALSE)))</t>
  </si>
  <si>
    <t>=IF(ISNUMBER($L$6)=FALSE,"",
        IF(ISERROR(VLOOKUP($G75,SantoYusuf!$L$13:$AK$56,Y$4,FALSE))=TRUE,"",
              VLOOKUP($G75,SantoYusuf!$L$13:$AK$56,Y$4,FALSE)))</t>
  </si>
  <si>
    <t>=IF(ISNUMBER($L$6)=FALSE,"",
        IF(ISERROR(VLOOKUP($G75,SantoYusuf!$L$13:$AK$56,Z$4,FALSE))=TRUE,"",
              VLOOKUP($G75,SantoYusuf!$L$13:$AK$56,Z$4,FALSE)))</t>
  </si>
  <si>
    <t>=IF(ISNUMBER($L$6)=FALSE,"",
        IF(ISERROR(VLOOKUP($G75,SantoYusuf!$L$13:$AK$56,AA$4,FALSE))=TRUE,"",
              VLOOKUP($G75,SantoYusuf!$L$13:$AK$56,AA$4,FALSE)))</t>
  </si>
  <si>
    <t>=IF(ISNUMBER($L$6)=FALSE,"",
        IF(ISERROR(VLOOKUP($G75,SantoYusuf!$L$13:$AK$56,AB$4,FALSE))=TRUE,"",
              VLOOKUP($G75,SantoYusuf!$L$13:$AK$56,AB$4,FALSE)))</t>
  </si>
  <si>
    <t>=IF(ISNUMBER($L$6)=FALSE,"",
        IF(ISERROR(VLOOKUP($G75,SantoYusuf!$L$13:$AK$56,AC$4,FALSE))=TRUE,"",
              VLOOKUP($G75,SantoYusuf!$L$13:$AK$56,AC$4,FALSE)))</t>
  </si>
  <si>
    <t>=IF(ISNUMBER($L$6)=FALSE,"",
        IF(ISERROR(VLOOKUP($G75,SantoYusuf!$L$13:$AK$56,AD$4,FALSE))=TRUE,"",
              VLOOKUP($G75,SantoYusuf!$L$13:$AK$56,AD$4,FALSE)))</t>
  </si>
  <si>
    <t>=IF(ISNUMBER($L$6)=FALSE,"",
        IF(ISERROR(VLOOKUP($G75,SantoYusuf!$L$13:$AK$56,AE$4,FALSE))=TRUE,"",
              VLOOKUP($G75,SantoYusuf!$L$13:$AK$56,AE$4,FALSE)))</t>
  </si>
  <si>
    <t>=IF(ISNUMBER($L$6)=FALSE,"",
        IF(ISERROR(VLOOKUP($G75,SantoYusuf!$L$13:$AK$56,AF$4,FALSE))=TRUE,"",
              VLOOKUP($G75,SantoYusuf!$L$13:$AK$56,AF$4,FALSE)))</t>
  </si>
  <si>
    <t>=IF(ISNUMBER($L$6)=FALSE,"",
IF($C76=0,"",VLOOKUP($E76,SantoYusuf!$H$13:$L$56,4,FALSE)))</t>
  </si>
  <si>
    <t>=IF(ISNUMBER($L$6)=FALSE,"",
IF($C76=0,"",VLOOKUP($E76,SantoYusuf!$H$13:$L$56,5,FALSE)))</t>
  </si>
  <si>
    <t>=IF(ISNUMBER($L$6)=FALSE,"",
        IF(ISERROR(VLOOKUP($G76,SantoYusuf!$L$13:$AK$56,I$4,FALSE))=TRUE,"",
              VLOOKUP($G76,SantoYusuf!$L$13:$AK$56,I$4,FALSE)))</t>
  </si>
  <si>
    <t>=IF(ISNUMBER($L$6)=FALSE,"",
        IF(ISERROR(VLOOKUP($G76,SantoYusuf!$L$13:$AK$56,J$4,FALSE))=TRUE,"",
              VLOOKUP($G76,SantoYusuf!$L$13:$AK$56,J$4,FALSE)))</t>
  </si>
  <si>
    <t>=IF(ISNUMBER($L$6)=FALSE,"",
        IF(ISERROR(VLOOKUP($G76,SantoYusuf!$L$13:$AK$56,K$4,FALSE))=TRUE,"",
              VLOOKUP($G76,SantoYusuf!$L$13:$AK$56,K$4,FALSE)))</t>
  </si>
  <si>
    <t>=IF(ISNUMBER($L$6)=FALSE,"",
        IF(ISERROR(VLOOKUP($G76,SantoYusuf!$L$13:$AK$56,L$4,FALSE))=TRUE,"",
              VLOOKUP($G76,SantoYusuf!$L$13:$AK$56,L$4,FALSE)))</t>
  </si>
  <si>
    <t>=IF(ISNUMBER($L$6)=FALSE,"",
        IF(ISERROR(VLOOKUP($G76,SantoYusuf!$L$13:$AK$56,M$4,FALSE))=TRUE,"",
              VLOOKUP($G76,SantoYusuf!$L$13:$AK$56,M$4,FALSE)))</t>
  </si>
  <si>
    <t>=IF(ISNUMBER($L$6)=FALSE,"",
        IF(ISERROR(VLOOKUP($G76,SantoYusuf!$L$13:$AK$56,N$4,FALSE))=TRUE,"",
              VLOOKUP($G76,SantoYusuf!$L$13:$AK$56,N$4,FALSE)))</t>
  </si>
  <si>
    <t>=IF(ISNUMBER($L$6)=FALSE,"",
        IF(ISERROR(VLOOKUP($G76,SantoYusuf!$L$13:$AK$56,O$4,FALSE))=TRUE,"",
              VLOOKUP($G76,SantoYusuf!$L$13:$AK$56,O$4,FALSE)))</t>
  </si>
  <si>
    <t>=IF(ISNUMBER($L$6)=FALSE,"",
        IF(ISERROR(VLOOKUP($G76,SantoYusuf!$L$13:$AK$56,P$4,FALSE))=TRUE,"",
              VLOOKUP($G76,SantoYusuf!$L$13:$AK$56,P$4,FALSE)))</t>
  </si>
  <si>
    <t>=IF(ISNUMBER($L$6)=FALSE,"",
        IF(ISERROR(VLOOKUP($G76,SantoYusuf!$L$13:$AK$56,Q$4,FALSE))=TRUE,"",
              VLOOKUP($G76,SantoYusuf!$L$13:$AK$56,Q$4,FALSE)))</t>
  </si>
  <si>
    <t>=IF(ISNUMBER($L$6)=FALSE,"",
        IF(ISERROR(VLOOKUP($G76,SantoYusuf!$L$13:$AK$56,R$4,FALSE))=TRUE,"",
              VLOOKUP($G76,SantoYusuf!$L$13:$AK$56,R$4,FALSE)))</t>
  </si>
  <si>
    <t>=IF(ISNUMBER($L$6)=FALSE,"",
        IF(ISERROR(VLOOKUP($G76,SantoYusuf!$L$13:$AK$56,S$4,FALSE))=TRUE,"",
              VLOOKUP($G76,SantoYusuf!$L$13:$AK$56,S$4,FALSE)))</t>
  </si>
  <si>
    <t>=IF(ISNUMBER($L$6)=FALSE,"",
        IF(ISERROR(VLOOKUP($G76,SantoYusuf!$L$13:$AK$56,T$4,FALSE))=TRUE,"",
              VLOOKUP($G76,SantoYusuf!$L$13:$AK$56,T$4,FALSE)))</t>
  </si>
  <si>
    <t>=IF(ISNUMBER($L$6)=FALSE,"",
        IF(ISERROR(VLOOKUP($G76,SantoYusuf!$L$13:$AK$56,U$4,FALSE))=TRUE,"",
              VLOOKUP($G76,SantoYusuf!$L$13:$AK$56,U$4,FALSE)))</t>
  </si>
  <si>
    <t>=IF(ISNUMBER($L$6)=FALSE,"",
        IF(ISERROR(VLOOKUP($G76,SantoYusuf!$L$13:$AK$56,V$4,FALSE))=TRUE,"",
              VLOOKUP($G76,SantoYusuf!$L$13:$AK$56,V$4,FALSE)))</t>
  </si>
  <si>
    <t>=IF(ISNUMBER($L$6)=FALSE,"",
        IF(ISERROR(VLOOKUP($G76,SantoYusuf!$L$13:$AK$56,W$4,FALSE))=TRUE,"",
              VLOOKUP($G76,SantoYusuf!$L$13:$AK$56,W$4,FALSE)))</t>
  </si>
  <si>
    <t>=IF(ISNUMBER($L$6)=FALSE,"",
        IF(ISERROR(VLOOKUP($G76,SantoYusuf!$L$13:$AK$56,X$4,FALSE))=TRUE,"",
              VLOOKUP($G76,SantoYusuf!$L$13:$AK$56,X$4,FALSE)))</t>
  </si>
  <si>
    <t>=IF(ISNUMBER($L$6)=FALSE,"",
        IF(ISERROR(VLOOKUP($G76,SantoYusuf!$L$13:$AK$56,Y$4,FALSE))=TRUE,"",
              VLOOKUP($G76,SantoYusuf!$L$13:$AK$56,Y$4,FALSE)))</t>
  </si>
  <si>
    <t>=IF(ISNUMBER($L$6)=FALSE,"",
        IF(ISERROR(VLOOKUP($G76,SantoYusuf!$L$13:$AK$56,Z$4,FALSE))=TRUE,"",
              VLOOKUP($G76,SantoYusuf!$L$13:$AK$56,Z$4,FALSE)))</t>
  </si>
  <si>
    <t>=IF(ISNUMBER($L$6)=FALSE,"",
        IF(ISERROR(VLOOKUP($G76,SantoYusuf!$L$13:$AK$56,AA$4,FALSE))=TRUE,"",
              VLOOKUP($G76,SantoYusuf!$L$13:$AK$56,AA$4,FALSE)))</t>
  </si>
  <si>
    <t>=IF(ISNUMBER($L$6)=FALSE,"",
        IF(ISERROR(VLOOKUP($G76,SantoYusuf!$L$13:$AK$56,AB$4,FALSE))=TRUE,"",
              VLOOKUP($G76,SantoYusuf!$L$13:$AK$56,AB$4,FALSE)))</t>
  </si>
  <si>
    <t>=IF(ISNUMBER($L$6)=FALSE,"",
        IF(ISERROR(VLOOKUP($G76,SantoYusuf!$L$13:$AK$56,AC$4,FALSE))=TRUE,"",
              VLOOKUP($G76,SantoYusuf!$L$13:$AK$56,AC$4,FALSE)))</t>
  </si>
  <si>
    <t>=IF(ISNUMBER($L$6)=FALSE,"",
        IF(ISERROR(VLOOKUP($G76,SantoYusuf!$L$13:$AK$56,AD$4,FALSE))=TRUE,"",
              VLOOKUP($G76,SantoYusuf!$L$13:$AK$56,AD$4,FALSE)))</t>
  </si>
  <si>
    <t>=IF(ISNUMBER($L$6)=FALSE,"",
        IF(ISERROR(VLOOKUP($G76,SantoYusuf!$L$13:$AK$56,AE$4,FALSE))=TRUE,"",
              VLOOKUP($G76,SantoYusuf!$L$13:$AK$56,AE$4,FALSE)))</t>
  </si>
  <si>
    <t>=IF(ISNUMBER($L$6)=FALSE,"",
        IF(ISERROR(VLOOKUP($G76,SantoYusuf!$L$13:$AK$56,AF$4,FALSE))=TRUE,"",
              VLOOKUP($G76,SantoYusuf!$L$13:$AK$56,AF$4,FALSE)))</t>
  </si>
  <si>
    <t>=IF(ISNUMBER($L$6)=FALSE,"",
IF($C77=0,"",VLOOKUP($E77,SantoYusuf!$H$13:$L$56,4,FALSE)))</t>
  </si>
  <si>
    <t>=IF(ISNUMBER($L$6)=FALSE,"",
IF($C77=0,"",VLOOKUP($E77,SantoYusuf!$H$13:$L$56,5,FALSE)))</t>
  </si>
  <si>
    <t>=IF(ISNUMBER($L$6)=FALSE,"",
        IF(ISERROR(VLOOKUP($G77,SantoYusuf!$L$13:$AK$56,I$4,FALSE))=TRUE,"",
              VLOOKUP($G77,SantoYusuf!$L$13:$AK$56,I$4,FALSE)))</t>
  </si>
  <si>
    <t>=IF(ISNUMBER($L$6)=FALSE,"",
        IF(ISERROR(VLOOKUP($G77,SantoYusuf!$L$13:$AK$56,J$4,FALSE))=TRUE,"",
              VLOOKUP($G77,SantoYusuf!$L$13:$AK$56,J$4,FALSE)))</t>
  </si>
  <si>
    <t>=IF(ISNUMBER($L$6)=FALSE,"",
        IF(ISERROR(VLOOKUP($G77,SantoYusuf!$L$13:$AK$56,K$4,FALSE))=TRUE,"",
              VLOOKUP($G77,SantoYusuf!$L$13:$AK$56,K$4,FALSE)))</t>
  </si>
  <si>
    <t>=IF(ISNUMBER($L$6)=FALSE,"",
        IF(ISERROR(VLOOKUP($G77,SantoYusuf!$L$13:$AK$56,L$4,FALSE))=TRUE,"",
              VLOOKUP($G77,SantoYusuf!$L$13:$AK$56,L$4,FALSE)))</t>
  </si>
  <si>
    <t>=IF(ISNUMBER($L$6)=FALSE,"",
        IF(ISERROR(VLOOKUP($G77,SantoYusuf!$L$13:$AK$56,M$4,FALSE))=TRUE,"",
              VLOOKUP($G77,SantoYusuf!$L$13:$AK$56,M$4,FALSE)))</t>
  </si>
  <si>
    <t>=IF(ISNUMBER($L$6)=FALSE,"",
        IF(ISERROR(VLOOKUP($G77,SantoYusuf!$L$13:$AK$56,N$4,FALSE))=TRUE,"",
              VLOOKUP($G77,SantoYusuf!$L$13:$AK$56,N$4,FALSE)))</t>
  </si>
  <si>
    <t>=IF(ISNUMBER($L$6)=FALSE,"",
        IF(ISERROR(VLOOKUP($G77,SantoYusuf!$L$13:$AK$56,O$4,FALSE))=TRUE,"",
              VLOOKUP($G77,SantoYusuf!$L$13:$AK$56,O$4,FALSE)))</t>
  </si>
  <si>
    <t>=IF(ISNUMBER($L$6)=FALSE,"",
        IF(ISERROR(VLOOKUP($G77,SantoYusuf!$L$13:$AK$56,P$4,FALSE))=TRUE,"",
              VLOOKUP($G77,SantoYusuf!$L$13:$AK$56,P$4,FALSE)))</t>
  </si>
  <si>
    <t>=IF(ISNUMBER($L$6)=FALSE,"",
        IF(ISERROR(VLOOKUP($G77,SantoYusuf!$L$13:$AK$56,Q$4,FALSE))=TRUE,"",
              VLOOKUP($G77,SantoYusuf!$L$13:$AK$56,Q$4,FALSE)))</t>
  </si>
  <si>
    <t>=IF(ISNUMBER($L$6)=FALSE,"",
        IF(ISERROR(VLOOKUP($G77,SantoYusuf!$L$13:$AK$56,R$4,FALSE))=TRUE,"",
              VLOOKUP($G77,SantoYusuf!$L$13:$AK$56,R$4,FALSE)))</t>
  </si>
  <si>
    <t>=IF(ISNUMBER($L$6)=FALSE,"",
        IF(ISERROR(VLOOKUP($G77,SantoYusuf!$L$13:$AK$56,S$4,FALSE))=TRUE,"",
              VLOOKUP($G77,SantoYusuf!$L$13:$AK$56,S$4,FALSE)))</t>
  </si>
  <si>
    <t>=IF(ISNUMBER($L$6)=FALSE,"",
        IF(ISERROR(VLOOKUP($G77,SantoYusuf!$L$13:$AK$56,T$4,FALSE))=TRUE,"",
              VLOOKUP($G77,SantoYusuf!$L$13:$AK$56,T$4,FALSE)))</t>
  </si>
  <si>
    <t>=IF(ISNUMBER($L$6)=FALSE,"",
        IF(ISERROR(VLOOKUP($G77,SantoYusuf!$L$13:$AK$56,U$4,FALSE))=TRUE,"",
              VLOOKUP($G77,SantoYusuf!$L$13:$AK$56,U$4,FALSE)))</t>
  </si>
  <si>
    <t>=IF(ISNUMBER($L$6)=FALSE,"",
        IF(ISERROR(VLOOKUP($G77,SantoYusuf!$L$13:$AK$56,V$4,FALSE))=TRUE,"",
              VLOOKUP($G77,SantoYusuf!$L$13:$AK$56,V$4,FALSE)))</t>
  </si>
  <si>
    <t>=IF(ISNUMBER($L$6)=FALSE,"",
        IF(ISERROR(VLOOKUP($G77,SantoYusuf!$L$13:$AK$56,W$4,FALSE))=TRUE,"",
              VLOOKUP($G77,SantoYusuf!$L$13:$AK$56,W$4,FALSE)))</t>
  </si>
  <si>
    <t>=IF(ISNUMBER($L$6)=FALSE,"",
        IF(ISERROR(VLOOKUP($G77,SantoYusuf!$L$13:$AK$56,X$4,FALSE))=TRUE,"",
              VLOOKUP($G77,SantoYusuf!$L$13:$AK$56,X$4,FALSE)))</t>
  </si>
  <si>
    <t>=IF(ISNUMBER($L$6)=FALSE,"",
        IF(ISERROR(VLOOKUP($G77,SantoYusuf!$L$13:$AK$56,Y$4,FALSE))=TRUE,"",
              VLOOKUP($G77,SantoYusuf!$L$13:$AK$56,Y$4,FALSE)))</t>
  </si>
  <si>
    <t>=IF(ISNUMBER($L$6)=FALSE,"",
        IF(ISERROR(VLOOKUP($G77,SantoYusuf!$L$13:$AK$56,Z$4,FALSE))=TRUE,"",
              VLOOKUP($G77,SantoYusuf!$L$13:$AK$56,Z$4,FALSE)))</t>
  </si>
  <si>
    <t>=IF(ISNUMBER($L$6)=FALSE,"",
        IF(ISERROR(VLOOKUP($G77,SantoYusuf!$L$13:$AK$56,AA$4,FALSE))=TRUE,"",
              VLOOKUP($G77,SantoYusuf!$L$13:$AK$56,AA$4,FALSE)))</t>
  </si>
  <si>
    <t>=IF(ISNUMBER($L$6)=FALSE,"",
        IF(ISERROR(VLOOKUP($G77,SantoYusuf!$L$13:$AK$56,AB$4,FALSE))=TRUE,"",
              VLOOKUP($G77,SantoYusuf!$L$13:$AK$56,AB$4,FALSE)))</t>
  </si>
  <si>
    <t>=IF(ISNUMBER($L$6)=FALSE,"",
        IF(ISERROR(VLOOKUP($G77,SantoYusuf!$L$13:$AK$56,AC$4,FALSE))=TRUE,"",
              VLOOKUP($G77,SantoYusuf!$L$13:$AK$56,AC$4,FALSE)))</t>
  </si>
  <si>
    <t>=IF(ISNUMBER($L$6)=FALSE,"",
        IF(ISERROR(VLOOKUP($G77,SantoYusuf!$L$13:$AK$56,AD$4,FALSE))=TRUE,"",
              VLOOKUP($G77,SantoYusuf!$L$13:$AK$56,AD$4,FALSE)))</t>
  </si>
  <si>
    <t>=IF(ISNUMBER($L$6)=FALSE,"",
        IF(ISERROR(VLOOKUP($G77,SantoYusuf!$L$13:$AK$56,AE$4,FALSE))=TRUE,"",
              VLOOKUP($G77,SantoYusuf!$L$13:$AK$56,AE$4,FALSE)))</t>
  </si>
  <si>
    <t>=IF(ISNUMBER($L$6)=FALSE,"",
        IF(ISERROR(VLOOKUP($G77,SantoYusuf!$L$13:$AK$56,AF$4,FALSE))=TRUE,"",
              VLOOKUP($G77,SantoYusuf!$L$13:$AK$56,AF$4,FALSE)))</t>
  </si>
  <si>
    <t>=IF(ISNUMBER($L$6)=FALSE,"",
IF($C78=0,"",VLOOKUP($E78,SantoYusuf!$H$13:$L$56,4,FALSE)))</t>
  </si>
  <si>
    <t>=IF(ISNUMBER($L$6)=FALSE,"",
IF($C78=0,"",VLOOKUP($E78,SantoYusuf!$H$13:$L$56,5,FALSE)))</t>
  </si>
  <si>
    <t>=IF(ISNUMBER($L$6)=FALSE,"",
        IF(ISERROR(VLOOKUP($G78,SantoYusuf!$L$13:$AK$56,I$4,FALSE))=TRUE,"",
              VLOOKUP($G78,SantoYusuf!$L$13:$AK$56,I$4,FALSE)))</t>
  </si>
  <si>
    <t>=IF(ISNUMBER($L$6)=FALSE,"",
        IF(ISERROR(VLOOKUP($G78,SantoYusuf!$L$13:$AK$56,J$4,FALSE))=TRUE,"",
              VLOOKUP($G78,SantoYusuf!$L$13:$AK$56,J$4,FALSE)))</t>
  </si>
  <si>
    <t>=IF(ISNUMBER($L$6)=FALSE,"",
        IF(ISERROR(VLOOKUP($G78,SantoYusuf!$L$13:$AK$56,K$4,FALSE))=TRUE,"",
              VLOOKUP($G78,SantoYusuf!$L$13:$AK$56,K$4,FALSE)))</t>
  </si>
  <si>
    <t>=IF(ISNUMBER($L$6)=FALSE,"",
        IF(ISERROR(VLOOKUP($G78,SantoYusuf!$L$13:$AK$56,L$4,FALSE))=TRUE,"",
              VLOOKUP($G78,SantoYusuf!$L$13:$AK$56,L$4,FALSE)))</t>
  </si>
  <si>
    <t>=IF(ISNUMBER($L$6)=FALSE,"",
        IF(ISERROR(VLOOKUP($G78,SantoYusuf!$L$13:$AK$56,M$4,FALSE))=TRUE,"",
              VLOOKUP($G78,SantoYusuf!$L$13:$AK$56,M$4,FALSE)))</t>
  </si>
  <si>
    <t>=IF(ISNUMBER($L$6)=FALSE,"",
        IF(ISERROR(VLOOKUP($G78,SantoYusuf!$L$13:$AK$56,N$4,FALSE))=TRUE,"",
              VLOOKUP($G78,SantoYusuf!$L$13:$AK$56,N$4,FALSE)))</t>
  </si>
  <si>
    <t>=IF(ISNUMBER($L$6)=FALSE,"",
        IF(ISERROR(VLOOKUP($G78,SantoYusuf!$L$13:$AK$56,O$4,FALSE))=TRUE,"",
              VLOOKUP($G78,SantoYusuf!$L$13:$AK$56,O$4,FALSE)))</t>
  </si>
  <si>
    <t>=IF(ISNUMBER($L$6)=FALSE,"",
        IF(ISERROR(VLOOKUP($G78,SantoYusuf!$L$13:$AK$56,P$4,FALSE))=TRUE,"",
              VLOOKUP($G78,SantoYusuf!$L$13:$AK$56,P$4,FALSE)))</t>
  </si>
  <si>
    <t>=IF(ISNUMBER($L$6)=FALSE,"",
        IF(ISERROR(VLOOKUP($G78,SantoYusuf!$L$13:$AK$56,Q$4,FALSE))=TRUE,"",
              VLOOKUP($G78,SantoYusuf!$L$13:$AK$56,Q$4,FALSE)))</t>
  </si>
  <si>
    <t>=IF(ISNUMBER($L$6)=FALSE,"",
        IF(ISERROR(VLOOKUP($G78,SantoYusuf!$L$13:$AK$56,R$4,FALSE))=TRUE,"",
              VLOOKUP($G78,SantoYusuf!$L$13:$AK$56,R$4,FALSE)))</t>
  </si>
  <si>
    <t>=IF(ISNUMBER($L$6)=FALSE,"",
        IF(ISERROR(VLOOKUP($G78,SantoYusuf!$L$13:$AK$56,S$4,FALSE))=TRUE,"",
              VLOOKUP($G78,SantoYusuf!$L$13:$AK$56,S$4,FALSE)))</t>
  </si>
  <si>
    <t>=IF(ISNUMBER($L$6)=FALSE,"",
        IF(ISERROR(VLOOKUP($G78,SantoYusuf!$L$13:$AK$56,T$4,FALSE))=TRUE,"",
              VLOOKUP($G78,SantoYusuf!$L$13:$AK$56,T$4,FALSE)))</t>
  </si>
  <si>
    <t>=IF(ISNUMBER($L$6)=FALSE,"",
        IF(ISERROR(VLOOKUP($G78,SantoYusuf!$L$13:$AK$56,U$4,FALSE))=TRUE,"",
              VLOOKUP($G78,SantoYusuf!$L$13:$AK$56,U$4,FALSE)))</t>
  </si>
  <si>
    <t>=IF(ISNUMBER($L$6)=FALSE,"",
        IF(ISERROR(VLOOKUP($G78,SantoYusuf!$L$13:$AK$56,V$4,FALSE))=TRUE,"",
              VLOOKUP($G78,SantoYusuf!$L$13:$AK$56,V$4,FALSE)))</t>
  </si>
  <si>
    <t>=IF(ISNUMBER($L$6)=FALSE,"",
        IF(ISERROR(VLOOKUP($G78,SantoYusuf!$L$13:$AK$56,W$4,FALSE))=TRUE,"",
              VLOOKUP($G78,SantoYusuf!$L$13:$AK$56,W$4,FALSE)))</t>
  </si>
  <si>
    <t>=IF(ISNUMBER($L$6)=FALSE,"",
        IF(ISERROR(VLOOKUP($G78,SantoYusuf!$L$13:$AK$56,X$4,FALSE))=TRUE,"",
              VLOOKUP($G78,SantoYusuf!$L$13:$AK$56,X$4,FALSE)))</t>
  </si>
  <si>
    <t>=IF(ISNUMBER($L$6)=FALSE,"",
        IF(ISERROR(VLOOKUP($G78,SantoYusuf!$L$13:$AK$56,Y$4,FALSE))=TRUE,"",
              VLOOKUP($G78,SantoYusuf!$L$13:$AK$56,Y$4,FALSE)))</t>
  </si>
  <si>
    <t>=IF(ISNUMBER($L$6)=FALSE,"",
        IF(ISERROR(VLOOKUP($G78,SantoYusuf!$L$13:$AK$56,Z$4,FALSE))=TRUE,"",
              VLOOKUP($G78,SantoYusuf!$L$13:$AK$56,Z$4,FALSE)))</t>
  </si>
  <si>
    <t>=IF(ISNUMBER($L$6)=FALSE,"",
        IF(ISERROR(VLOOKUP($G78,SantoYusuf!$L$13:$AK$56,AA$4,FALSE))=TRUE,"",
              VLOOKUP($G78,SantoYusuf!$L$13:$AK$56,AA$4,FALSE)))</t>
  </si>
  <si>
    <t>=IF(ISNUMBER($L$6)=FALSE,"",
        IF(ISERROR(VLOOKUP($G78,SantoYusuf!$L$13:$AK$56,AB$4,FALSE))=TRUE,"",
              VLOOKUP($G78,SantoYusuf!$L$13:$AK$56,AB$4,FALSE)))</t>
  </si>
  <si>
    <t>=IF(ISNUMBER($L$6)=FALSE,"",
        IF(ISERROR(VLOOKUP($G78,SantoYusuf!$L$13:$AK$56,AC$4,FALSE))=TRUE,"",
              VLOOKUP($G78,SantoYusuf!$L$13:$AK$56,AC$4,FALSE)))</t>
  </si>
  <si>
    <t>=IF(ISNUMBER($L$6)=FALSE,"",
        IF(ISERROR(VLOOKUP($G78,SantoYusuf!$L$13:$AK$56,AD$4,FALSE))=TRUE,"",
              VLOOKUP($G78,SantoYusuf!$L$13:$AK$56,AD$4,FALSE)))</t>
  </si>
  <si>
    <t>=IF(ISNUMBER($L$6)=FALSE,"",
        IF(ISERROR(VLOOKUP($G78,SantoYusuf!$L$13:$AK$56,AE$4,FALSE))=TRUE,"",
              VLOOKUP($G78,SantoYusuf!$L$13:$AK$56,AE$4,FALSE)))</t>
  </si>
  <si>
    <t>=IF(ISNUMBER($L$6)=FALSE,"",
        IF(ISERROR(VLOOKUP($G78,SantoYusuf!$L$13:$AK$56,AF$4,FALSE))=TRUE,"",
              VLOOKUP($G78,SantoYusuf!$L$13:$AK$56,AF$4,FALSE)))</t>
  </si>
  <si>
    <t>=IF(ISNUMBER($L$6)=FALSE,"",
IF($C79=0,"",VLOOKUP($E79,SantoYusuf!$H$13:$L$56,4,FALSE)))</t>
  </si>
  <si>
    <t>=IF(ISNUMBER($L$6)=FALSE,"",
IF($C79=0,"",VLOOKUP($E79,SantoYusuf!$H$13:$L$56,5,FALSE)))</t>
  </si>
  <si>
    <t>=IF(ISNUMBER($L$6)=FALSE,"",
        IF(ISERROR(VLOOKUP($G79,SantoYusuf!$L$13:$AK$56,I$4,FALSE))=TRUE,"",
              VLOOKUP($G79,SantoYusuf!$L$13:$AK$56,I$4,FALSE)))</t>
  </si>
  <si>
    <t>=IF(ISNUMBER($L$6)=FALSE,"",
        IF(ISERROR(VLOOKUP($G79,SantoYusuf!$L$13:$AK$56,J$4,FALSE))=TRUE,"",
              VLOOKUP($G79,SantoYusuf!$L$13:$AK$56,J$4,FALSE)))</t>
  </si>
  <si>
    <t>=IF(ISNUMBER($L$6)=FALSE,"",
        IF(ISERROR(VLOOKUP($G79,SantoYusuf!$L$13:$AK$56,K$4,FALSE))=TRUE,"",
              VLOOKUP($G79,SantoYusuf!$L$13:$AK$56,K$4,FALSE)))</t>
  </si>
  <si>
    <t>=IF(ISNUMBER($L$6)=FALSE,"",
        IF(ISERROR(VLOOKUP($G79,SantoYusuf!$L$13:$AK$56,L$4,FALSE))=TRUE,"",
              VLOOKUP($G79,SantoYusuf!$L$13:$AK$56,L$4,FALSE)))</t>
  </si>
  <si>
    <t>=IF(ISNUMBER($L$6)=FALSE,"",
        IF(ISERROR(VLOOKUP($G79,SantoYusuf!$L$13:$AK$56,M$4,FALSE))=TRUE,"",
              VLOOKUP($G79,SantoYusuf!$L$13:$AK$56,M$4,FALSE)))</t>
  </si>
  <si>
    <t>=IF(ISNUMBER($L$6)=FALSE,"",
        IF(ISERROR(VLOOKUP($G79,SantoYusuf!$L$13:$AK$56,N$4,FALSE))=TRUE,"",
              VLOOKUP($G79,SantoYusuf!$L$13:$AK$56,N$4,FALSE)))</t>
  </si>
  <si>
    <t>=IF(ISNUMBER($L$6)=FALSE,"",
        IF(ISERROR(VLOOKUP($G79,SantoYusuf!$L$13:$AK$56,O$4,FALSE))=TRUE,"",
              VLOOKUP($G79,SantoYusuf!$L$13:$AK$56,O$4,FALSE)))</t>
  </si>
  <si>
    <t>=IF(ISNUMBER($L$6)=FALSE,"",
        IF(ISERROR(VLOOKUP($G79,SantoYusuf!$L$13:$AK$56,P$4,FALSE))=TRUE,"",
              VLOOKUP($G79,SantoYusuf!$L$13:$AK$56,P$4,FALSE)))</t>
  </si>
  <si>
    <t>=IF(ISNUMBER($L$6)=FALSE,"",
        IF(ISERROR(VLOOKUP($G79,SantoYusuf!$L$13:$AK$56,Q$4,FALSE))=TRUE,"",
              VLOOKUP($G79,SantoYusuf!$L$13:$AK$56,Q$4,FALSE)))</t>
  </si>
  <si>
    <t>=IF(ISNUMBER($L$6)=FALSE,"",
        IF(ISERROR(VLOOKUP($G79,SantoYusuf!$L$13:$AK$56,R$4,FALSE))=TRUE,"",
              VLOOKUP($G79,SantoYusuf!$L$13:$AK$56,R$4,FALSE)))</t>
  </si>
  <si>
    <t>=IF(ISNUMBER($L$6)=FALSE,"",
        IF(ISERROR(VLOOKUP($G79,SantoYusuf!$L$13:$AK$56,S$4,FALSE))=TRUE,"",
              VLOOKUP($G79,SantoYusuf!$L$13:$AK$56,S$4,FALSE)))</t>
  </si>
  <si>
    <t>=IF(ISNUMBER($L$6)=FALSE,"",
        IF(ISERROR(VLOOKUP($G79,SantoYusuf!$L$13:$AK$56,T$4,FALSE))=TRUE,"",
              VLOOKUP($G79,SantoYusuf!$L$13:$AK$56,T$4,FALSE)))</t>
  </si>
  <si>
    <t>=IF(ISNUMBER($L$6)=FALSE,"",
        IF(ISERROR(VLOOKUP($G79,SantoYusuf!$L$13:$AK$56,U$4,FALSE))=TRUE,"",
              VLOOKUP($G79,SantoYusuf!$L$13:$AK$56,U$4,FALSE)))</t>
  </si>
  <si>
    <t>=IF(ISNUMBER($L$6)=FALSE,"",
        IF(ISERROR(VLOOKUP($G79,SantoYusuf!$L$13:$AK$56,V$4,FALSE))=TRUE,"",
              VLOOKUP($G79,SantoYusuf!$L$13:$AK$56,V$4,FALSE)))</t>
  </si>
  <si>
    <t>=IF(ISNUMBER($L$6)=FALSE,"",
        IF(ISERROR(VLOOKUP($G79,SantoYusuf!$L$13:$AK$56,W$4,FALSE))=TRUE,"",
              VLOOKUP($G79,SantoYusuf!$L$13:$AK$56,W$4,FALSE)))</t>
  </si>
  <si>
    <t>=IF(ISNUMBER($L$6)=FALSE,"",
        IF(ISERROR(VLOOKUP($G79,SantoYusuf!$L$13:$AK$56,X$4,FALSE))=TRUE,"",
              VLOOKUP($G79,SantoYusuf!$L$13:$AK$56,X$4,FALSE)))</t>
  </si>
  <si>
    <t>=IF(ISNUMBER($L$6)=FALSE,"",
        IF(ISERROR(VLOOKUP($G79,SantoYusuf!$L$13:$AK$56,Y$4,FALSE))=TRUE,"",
              VLOOKUP($G79,SantoYusuf!$L$13:$AK$56,Y$4,FALSE)))</t>
  </si>
  <si>
    <t>=IF(ISNUMBER($L$6)=FALSE,"",
        IF(ISERROR(VLOOKUP($G79,SantoYusuf!$L$13:$AK$56,Z$4,FALSE))=TRUE,"",
              VLOOKUP($G79,SantoYusuf!$L$13:$AK$56,Z$4,FALSE)))</t>
  </si>
  <si>
    <t>=IF(ISNUMBER($L$6)=FALSE,"",
        IF(ISERROR(VLOOKUP($G79,SantoYusuf!$L$13:$AK$56,AA$4,FALSE))=TRUE,"",
              VLOOKUP($G79,SantoYusuf!$L$13:$AK$56,AA$4,FALSE)))</t>
  </si>
  <si>
    <t>=IF(ISNUMBER($L$6)=FALSE,"",
        IF(ISERROR(VLOOKUP($G79,SantoYusuf!$L$13:$AK$56,AB$4,FALSE))=TRUE,"",
              VLOOKUP($G79,SantoYusuf!$L$13:$AK$56,AB$4,FALSE)))</t>
  </si>
  <si>
    <t>=IF(ISNUMBER($L$6)=FALSE,"",
        IF(ISERROR(VLOOKUP($G79,SantoYusuf!$L$13:$AK$56,AC$4,FALSE))=TRUE,"",
              VLOOKUP($G79,SantoYusuf!$L$13:$AK$56,AC$4,FALSE)))</t>
  </si>
  <si>
    <t>=IF(ISNUMBER($L$6)=FALSE,"",
        IF(ISERROR(VLOOKUP($G79,SantoYusuf!$L$13:$AK$56,AD$4,FALSE))=TRUE,"",
              VLOOKUP($G79,SantoYusuf!$L$13:$AK$56,AD$4,FALSE)))</t>
  </si>
  <si>
    <t>=IF(ISNUMBER($L$6)=FALSE,"",
        IF(ISERROR(VLOOKUP($G79,SantoYusuf!$L$13:$AK$56,AE$4,FALSE))=TRUE,"",
              VLOOKUP($G79,SantoYusuf!$L$13:$AK$56,AE$4,FALSE)))</t>
  </si>
  <si>
    <t>=IF(ISNUMBER($L$6)=FALSE,"",
        IF(ISERROR(VLOOKUP($G79,SantoYusuf!$L$13:$AK$56,AF$4,FALSE))=TRUE,"",
              VLOOKUP($G79,SantoYusuf!$L$13:$AK$56,AF$4,FALSE)))</t>
  </si>
  <si>
    <t>=IF(ISNUMBER($L$6)=FALSE,"",
IF($C80=0,"",VLOOKUP($E80,SantoYusuf!$H$13:$L$56,4,FALSE)))</t>
  </si>
  <si>
    <t>=IF(ISNUMBER($L$6)=FALSE,"",
IF($C80=0,"",VLOOKUP($E80,SantoYusuf!$H$13:$L$56,5,FALSE)))</t>
  </si>
  <si>
    <t>=IF(ISNUMBER($L$6)=FALSE,"",
        IF(ISERROR(VLOOKUP($G80,SantoYusuf!$L$13:$AK$56,I$4,FALSE))=TRUE,"",
              VLOOKUP($G80,SantoYusuf!$L$13:$AK$56,I$4,FALSE)))</t>
  </si>
  <si>
    <t>=IF(ISNUMBER($L$6)=FALSE,"",
        IF(ISERROR(VLOOKUP($G80,SantoYusuf!$L$13:$AK$56,J$4,FALSE))=TRUE,"",
              VLOOKUP($G80,SantoYusuf!$L$13:$AK$56,J$4,FALSE)))</t>
  </si>
  <si>
    <t>=IF(ISNUMBER($L$6)=FALSE,"",
        IF(ISERROR(VLOOKUP($G80,SantoYusuf!$L$13:$AK$56,K$4,FALSE))=TRUE,"",
              VLOOKUP($G80,SantoYusuf!$L$13:$AK$56,K$4,FALSE)))</t>
  </si>
  <si>
    <t>=IF(ISNUMBER($L$6)=FALSE,"",
        IF(ISERROR(VLOOKUP($G80,SantoYusuf!$L$13:$AK$56,L$4,FALSE))=TRUE,"",
              VLOOKUP($G80,SantoYusuf!$L$13:$AK$56,L$4,FALSE)))</t>
  </si>
  <si>
    <t>=IF(ISNUMBER($L$6)=FALSE,"",
        IF(ISERROR(VLOOKUP($G80,SantoYusuf!$L$13:$AK$56,M$4,FALSE))=TRUE,"",
              VLOOKUP($G80,SantoYusuf!$L$13:$AK$56,M$4,FALSE)))</t>
  </si>
  <si>
    <t>=IF(ISNUMBER($L$6)=FALSE,"",
        IF(ISERROR(VLOOKUP($G80,SantoYusuf!$L$13:$AK$56,N$4,FALSE))=TRUE,"",
              VLOOKUP($G80,SantoYusuf!$L$13:$AK$56,N$4,FALSE)))</t>
  </si>
  <si>
    <t>=IF(ISNUMBER($L$6)=FALSE,"",
        IF(ISERROR(VLOOKUP($G80,SantoYusuf!$L$13:$AK$56,O$4,FALSE))=TRUE,"",
              VLOOKUP($G80,SantoYusuf!$L$13:$AK$56,O$4,FALSE)))</t>
  </si>
  <si>
    <t>=IF(ISNUMBER($L$6)=FALSE,"",
        IF(ISERROR(VLOOKUP($G80,SantoYusuf!$L$13:$AK$56,P$4,FALSE))=TRUE,"",
              VLOOKUP($G80,SantoYusuf!$L$13:$AK$56,P$4,FALSE)))</t>
  </si>
  <si>
    <t>=IF(ISNUMBER($L$6)=FALSE,"",
        IF(ISERROR(VLOOKUP($G80,SantoYusuf!$L$13:$AK$56,Q$4,FALSE))=TRUE,"",
              VLOOKUP($G80,SantoYusuf!$L$13:$AK$56,Q$4,FALSE)))</t>
  </si>
  <si>
    <t>=IF(ISNUMBER($L$6)=FALSE,"",
        IF(ISERROR(VLOOKUP($G80,SantoYusuf!$L$13:$AK$56,R$4,FALSE))=TRUE,"",
              VLOOKUP($G80,SantoYusuf!$L$13:$AK$56,R$4,FALSE)))</t>
  </si>
  <si>
    <t>=IF(ISNUMBER($L$6)=FALSE,"",
        IF(ISERROR(VLOOKUP($G80,SantoYusuf!$L$13:$AK$56,S$4,FALSE))=TRUE,"",
              VLOOKUP($G80,SantoYusuf!$L$13:$AK$56,S$4,FALSE)))</t>
  </si>
  <si>
    <t>=IF(ISNUMBER($L$6)=FALSE,"",
        IF(ISERROR(VLOOKUP($G80,SantoYusuf!$L$13:$AK$56,T$4,FALSE))=TRUE,"",
              VLOOKUP($G80,SantoYusuf!$L$13:$AK$56,T$4,FALSE)))</t>
  </si>
  <si>
    <t>=IF(ISNUMBER($L$6)=FALSE,"",
        IF(ISERROR(VLOOKUP($G80,SantoYusuf!$L$13:$AK$56,U$4,FALSE))=TRUE,"",
              VLOOKUP($G80,SantoYusuf!$L$13:$AK$56,U$4,FALSE)))</t>
  </si>
  <si>
    <t>=IF(ISNUMBER($L$6)=FALSE,"",
        IF(ISERROR(VLOOKUP($G80,SantoYusuf!$L$13:$AK$56,V$4,FALSE))=TRUE,"",
              VLOOKUP($G80,SantoYusuf!$L$13:$AK$56,V$4,FALSE)))</t>
  </si>
  <si>
    <t>=IF(ISNUMBER($L$6)=FALSE,"",
        IF(ISERROR(VLOOKUP($G80,SantoYusuf!$L$13:$AK$56,W$4,FALSE))=TRUE,"",
              VLOOKUP($G80,SantoYusuf!$L$13:$AK$56,W$4,FALSE)))</t>
  </si>
  <si>
    <t>=IF(ISNUMBER($L$6)=FALSE,"",
        IF(ISERROR(VLOOKUP($G80,SantoYusuf!$L$13:$AK$56,X$4,FALSE))=TRUE,"",
              VLOOKUP($G80,SantoYusuf!$L$13:$AK$56,X$4,FALSE)))</t>
  </si>
  <si>
    <t>=IF(ISNUMBER($L$6)=FALSE,"",
        IF(ISERROR(VLOOKUP($G80,SantoYusuf!$L$13:$AK$56,Y$4,FALSE))=TRUE,"",
              VLOOKUP($G80,SantoYusuf!$L$13:$AK$56,Y$4,FALSE)))</t>
  </si>
  <si>
    <t>=IF(ISNUMBER($L$6)=FALSE,"",
        IF(ISERROR(VLOOKUP($G80,SantoYusuf!$L$13:$AK$56,Z$4,FALSE))=TRUE,"",
              VLOOKUP($G80,SantoYusuf!$L$13:$AK$56,Z$4,FALSE)))</t>
  </si>
  <si>
    <t>=IF(ISNUMBER($L$6)=FALSE,"",
        IF(ISERROR(VLOOKUP($G80,SantoYusuf!$L$13:$AK$56,AA$4,FALSE))=TRUE,"",
              VLOOKUP($G80,SantoYusuf!$L$13:$AK$56,AA$4,FALSE)))</t>
  </si>
  <si>
    <t>=IF(ISNUMBER($L$6)=FALSE,"",
        IF(ISERROR(VLOOKUP($G80,SantoYusuf!$L$13:$AK$56,AB$4,FALSE))=TRUE,"",
              VLOOKUP($G80,SantoYusuf!$L$13:$AK$56,AB$4,FALSE)))</t>
  </si>
  <si>
    <t>=IF(ISNUMBER($L$6)=FALSE,"",
        IF(ISERROR(VLOOKUP($G80,SantoYusuf!$L$13:$AK$56,AC$4,FALSE))=TRUE,"",
              VLOOKUP($G80,SantoYusuf!$L$13:$AK$56,AC$4,FALSE)))</t>
  </si>
  <si>
    <t>=IF(ISNUMBER($L$6)=FALSE,"",
        IF(ISERROR(VLOOKUP($G80,SantoYusuf!$L$13:$AK$56,AD$4,FALSE))=TRUE,"",
              VLOOKUP($G80,SantoYusuf!$L$13:$AK$56,AD$4,FALSE)))</t>
  </si>
  <si>
    <t>=IF(ISNUMBER($L$6)=FALSE,"",
        IF(ISERROR(VLOOKUP($G80,SantoYusuf!$L$13:$AK$56,AE$4,FALSE))=TRUE,"",
              VLOOKUP($G80,SantoYusuf!$L$13:$AK$56,AE$4,FALSE)))</t>
  </si>
  <si>
    <t>=IF(ISNUMBER($L$6)=FALSE,"",
        IF(ISERROR(VLOOKUP($G80,SantoYusuf!$L$13:$AK$56,AF$4,FALSE))=TRUE,"",
              VLOOKUP($G80,SantoYusuf!$L$13:$AK$56,AF$4,FALSE)))</t>
  </si>
  <si>
    <t>=IF(ISNUMBER($L$6)=FALSE,"",
IF($C81=0,"",VLOOKUP($E81,SantoYusuf!$H$13:$L$56,4,FALSE)))</t>
  </si>
  <si>
    <t>=IF(ISNUMBER($L$6)=FALSE,"",
IF($C81=0,"",VLOOKUP($E81,SantoYusuf!$H$13:$L$56,5,FALSE)))</t>
  </si>
  <si>
    <t>=IF(ISNUMBER($L$6)=FALSE,"",
        IF(ISERROR(VLOOKUP($G81,SantoYusuf!$L$13:$AK$56,I$4,FALSE))=TRUE,"",
              VLOOKUP($G81,SantoYusuf!$L$13:$AK$56,I$4,FALSE)))</t>
  </si>
  <si>
    <t>=IF(ISNUMBER($L$6)=FALSE,"",
        IF(ISERROR(VLOOKUP($G81,SantoYusuf!$L$13:$AK$56,J$4,FALSE))=TRUE,"",
              VLOOKUP($G81,SantoYusuf!$L$13:$AK$56,J$4,FALSE)))</t>
  </si>
  <si>
    <t>=IF(ISNUMBER($L$6)=FALSE,"",
        IF(ISERROR(VLOOKUP($G81,SantoYusuf!$L$13:$AK$56,K$4,FALSE))=TRUE,"",
              VLOOKUP($G81,SantoYusuf!$L$13:$AK$56,K$4,FALSE)))</t>
  </si>
  <si>
    <t>=IF(ISNUMBER($L$6)=FALSE,"",
        IF(ISERROR(VLOOKUP($G81,SantoYusuf!$L$13:$AK$56,L$4,FALSE))=TRUE,"",
              VLOOKUP($G81,SantoYusuf!$L$13:$AK$56,L$4,FALSE)))</t>
  </si>
  <si>
    <t>=IF(ISNUMBER($L$6)=FALSE,"",
        IF(ISERROR(VLOOKUP($G81,SantoYusuf!$L$13:$AK$56,M$4,FALSE))=TRUE,"",
              VLOOKUP($G81,SantoYusuf!$L$13:$AK$56,M$4,FALSE)))</t>
  </si>
  <si>
    <t>=IF(ISNUMBER($L$6)=FALSE,"",
        IF(ISERROR(VLOOKUP($G81,SantoYusuf!$L$13:$AK$56,N$4,FALSE))=TRUE,"",
              VLOOKUP($G81,SantoYusuf!$L$13:$AK$56,N$4,FALSE)))</t>
  </si>
  <si>
    <t>=IF(ISNUMBER($L$6)=FALSE,"",
        IF(ISERROR(VLOOKUP($G81,SantoYusuf!$L$13:$AK$56,O$4,FALSE))=TRUE,"",
              VLOOKUP($G81,SantoYusuf!$L$13:$AK$56,O$4,FALSE)))</t>
  </si>
  <si>
    <t>=IF(ISNUMBER($L$6)=FALSE,"",
        IF(ISERROR(VLOOKUP($G81,SantoYusuf!$L$13:$AK$56,P$4,FALSE))=TRUE,"",
              VLOOKUP($G81,SantoYusuf!$L$13:$AK$56,P$4,FALSE)))</t>
  </si>
  <si>
    <t>=IF(ISNUMBER($L$6)=FALSE,"",
        IF(ISERROR(VLOOKUP($G81,SantoYusuf!$L$13:$AK$56,Q$4,FALSE))=TRUE,"",
              VLOOKUP($G81,SantoYusuf!$L$13:$AK$56,Q$4,FALSE)))</t>
  </si>
  <si>
    <t>=IF(ISNUMBER($L$6)=FALSE,"",
        IF(ISERROR(VLOOKUP($G81,SantoYusuf!$L$13:$AK$56,R$4,FALSE))=TRUE,"",
              VLOOKUP($G81,SantoYusuf!$L$13:$AK$56,R$4,FALSE)))</t>
  </si>
  <si>
    <t>=IF(ISNUMBER($L$6)=FALSE,"",
        IF(ISERROR(VLOOKUP($G81,SantoYusuf!$L$13:$AK$56,S$4,FALSE))=TRUE,"",
              VLOOKUP($G81,SantoYusuf!$L$13:$AK$56,S$4,FALSE)))</t>
  </si>
  <si>
    <t>=IF(ISNUMBER($L$6)=FALSE,"",
        IF(ISERROR(VLOOKUP($G81,SantoYusuf!$L$13:$AK$56,T$4,FALSE))=TRUE,"",
              VLOOKUP($G81,SantoYusuf!$L$13:$AK$56,T$4,FALSE)))</t>
  </si>
  <si>
    <t>=IF(ISNUMBER($L$6)=FALSE,"",
        IF(ISERROR(VLOOKUP($G81,SantoYusuf!$L$13:$AK$56,U$4,FALSE))=TRUE,"",
              VLOOKUP($G81,SantoYusuf!$L$13:$AK$56,U$4,FALSE)))</t>
  </si>
  <si>
    <t>=IF(ISNUMBER($L$6)=FALSE,"",
        IF(ISERROR(VLOOKUP($G81,SantoYusuf!$L$13:$AK$56,V$4,FALSE))=TRUE,"",
              VLOOKUP($G81,SantoYusuf!$L$13:$AK$56,V$4,FALSE)))</t>
  </si>
  <si>
    <t>=IF(ISNUMBER($L$6)=FALSE,"",
        IF(ISERROR(VLOOKUP($G81,SantoYusuf!$L$13:$AK$56,W$4,FALSE))=TRUE,"",
              VLOOKUP($G81,SantoYusuf!$L$13:$AK$56,W$4,FALSE)))</t>
  </si>
  <si>
    <t>=IF(ISNUMBER($L$6)=FALSE,"",
        IF(ISERROR(VLOOKUP($G81,SantoYusuf!$L$13:$AK$56,X$4,FALSE))=TRUE,"",
              VLOOKUP($G81,SantoYusuf!$L$13:$AK$56,X$4,FALSE)))</t>
  </si>
  <si>
    <t>=IF(ISNUMBER($L$6)=FALSE,"",
        IF(ISERROR(VLOOKUP($G81,SantoYusuf!$L$13:$AK$56,Y$4,FALSE))=TRUE,"",
              VLOOKUP($G81,SantoYusuf!$L$13:$AK$56,Y$4,FALSE)))</t>
  </si>
  <si>
    <t>=IF(ISNUMBER($L$6)=FALSE,"",
        IF(ISERROR(VLOOKUP($G81,SantoYusuf!$L$13:$AK$56,Z$4,FALSE))=TRUE,"",
              VLOOKUP($G81,SantoYusuf!$L$13:$AK$56,Z$4,FALSE)))</t>
  </si>
  <si>
    <t>=IF(ISNUMBER($L$6)=FALSE,"",
        IF(ISERROR(VLOOKUP($G81,SantoYusuf!$L$13:$AK$56,AA$4,FALSE))=TRUE,"",
              VLOOKUP($G81,SantoYusuf!$L$13:$AK$56,AA$4,FALSE)))</t>
  </si>
  <si>
    <t>=IF(ISNUMBER($L$6)=FALSE,"",
        IF(ISERROR(VLOOKUP($G81,SantoYusuf!$L$13:$AK$56,AB$4,FALSE))=TRUE,"",
              VLOOKUP($G81,SantoYusuf!$L$13:$AK$56,AB$4,FALSE)))</t>
  </si>
  <si>
    <t>=IF(ISNUMBER($L$6)=FALSE,"",
        IF(ISERROR(VLOOKUP($G81,SantoYusuf!$L$13:$AK$56,AC$4,FALSE))=TRUE,"",
              VLOOKUP($G81,SantoYusuf!$L$13:$AK$56,AC$4,FALSE)))</t>
  </si>
  <si>
    <t>=IF(ISNUMBER($L$6)=FALSE,"",
        IF(ISERROR(VLOOKUP($G81,SantoYusuf!$L$13:$AK$56,AD$4,FALSE))=TRUE,"",
              VLOOKUP($G81,SantoYusuf!$L$13:$AK$56,AD$4,FALSE)))</t>
  </si>
  <si>
    <t>=IF(ISNUMBER($L$6)=FALSE,"",
        IF(ISERROR(VLOOKUP($G81,SantoYusuf!$L$13:$AK$56,AE$4,FALSE))=TRUE,"",
              VLOOKUP($G81,SantoYusuf!$L$13:$AK$56,AE$4,FALSE)))</t>
  </si>
  <si>
    <t>=IF(ISNUMBER($L$6)=FALSE,"",
        IF(ISERROR(VLOOKUP($G81,SantoYusuf!$L$13:$AK$56,AF$4,FALSE))=TRUE,"",
              VLOOKUP($G81,SantoYusuf!$L$13:$AK$56,AF$4,FALSE)))</t>
  </si>
  <si>
    <t>=IF(ISNUMBER($L$6)=FALSE,"",
IF($C82=0,"",VLOOKUP($E82,SantoYusuf!$H$13:$L$56,4,FALSE)))</t>
  </si>
  <si>
    <t>=IF(ISNUMBER($L$6)=FALSE,"",
IF($C82=0,"",VLOOKUP($E82,SantoYusuf!$H$13:$L$56,5,FALSE)))</t>
  </si>
  <si>
    <t>=IF(ISNUMBER($L$6)=FALSE,"",
        IF(ISERROR(VLOOKUP($G82,SantoYusuf!$L$13:$AK$56,I$4,FALSE))=TRUE,"",
              VLOOKUP($G82,SantoYusuf!$L$13:$AK$56,I$4,FALSE)))</t>
  </si>
  <si>
    <t>=IF(ISNUMBER($L$6)=FALSE,"",
        IF(ISERROR(VLOOKUP($G82,SantoYusuf!$L$13:$AK$56,J$4,FALSE))=TRUE,"",
              VLOOKUP($G82,SantoYusuf!$L$13:$AK$56,J$4,FALSE)))</t>
  </si>
  <si>
    <t>=IF(ISNUMBER($L$6)=FALSE,"",
        IF(ISERROR(VLOOKUP($G82,SantoYusuf!$L$13:$AK$56,K$4,FALSE))=TRUE,"",
              VLOOKUP($G82,SantoYusuf!$L$13:$AK$56,K$4,FALSE)))</t>
  </si>
  <si>
    <t>=IF(ISNUMBER($L$6)=FALSE,"",
        IF(ISERROR(VLOOKUP($G82,SantoYusuf!$L$13:$AK$56,L$4,FALSE))=TRUE,"",
              VLOOKUP($G82,SantoYusuf!$L$13:$AK$56,L$4,FALSE)))</t>
  </si>
  <si>
    <t>=IF(ISNUMBER($L$6)=FALSE,"",
        IF(ISERROR(VLOOKUP($G82,SantoYusuf!$L$13:$AK$56,M$4,FALSE))=TRUE,"",
              VLOOKUP($G82,SantoYusuf!$L$13:$AK$56,M$4,FALSE)))</t>
  </si>
  <si>
    <t>=IF(ISNUMBER($L$6)=FALSE,"",
        IF(ISERROR(VLOOKUP($G82,SantoYusuf!$L$13:$AK$56,N$4,FALSE))=TRUE,"",
              VLOOKUP($G82,SantoYusuf!$L$13:$AK$56,N$4,FALSE)))</t>
  </si>
  <si>
    <t>=IF(ISNUMBER($L$6)=FALSE,"",
        IF(ISERROR(VLOOKUP($G82,SantoYusuf!$L$13:$AK$56,O$4,FALSE))=TRUE,"",
              VLOOKUP($G82,SantoYusuf!$L$13:$AK$56,O$4,FALSE)))</t>
  </si>
  <si>
    <t>=IF(ISNUMBER($L$6)=FALSE,"",
        IF(ISERROR(VLOOKUP($G82,SantoYusuf!$L$13:$AK$56,P$4,FALSE))=TRUE,"",
              VLOOKUP($G82,SantoYusuf!$L$13:$AK$56,P$4,FALSE)))</t>
  </si>
  <si>
    <t>=IF(ISNUMBER($L$6)=FALSE,"",
        IF(ISERROR(VLOOKUP($G82,SantoYusuf!$L$13:$AK$56,Q$4,FALSE))=TRUE,"",
              VLOOKUP($G82,SantoYusuf!$L$13:$AK$56,Q$4,FALSE)))</t>
  </si>
  <si>
    <t>=IF(ISNUMBER($L$6)=FALSE,"",
        IF(ISERROR(VLOOKUP($G82,SantoYusuf!$L$13:$AK$56,R$4,FALSE))=TRUE,"",
              VLOOKUP($G82,SantoYusuf!$L$13:$AK$56,R$4,FALSE)))</t>
  </si>
  <si>
    <t>=IF(ISNUMBER($L$6)=FALSE,"",
        IF(ISERROR(VLOOKUP($G82,SantoYusuf!$L$13:$AK$56,S$4,FALSE))=TRUE,"",
              VLOOKUP($G82,SantoYusuf!$L$13:$AK$56,S$4,FALSE)))</t>
  </si>
  <si>
    <t>=IF(ISNUMBER($L$6)=FALSE,"",
        IF(ISERROR(VLOOKUP($G82,SantoYusuf!$L$13:$AK$56,T$4,FALSE))=TRUE,"",
              VLOOKUP($G82,SantoYusuf!$L$13:$AK$56,T$4,FALSE)))</t>
  </si>
  <si>
    <t>=IF(ISNUMBER($L$6)=FALSE,"",
        IF(ISERROR(VLOOKUP($G82,SantoYusuf!$L$13:$AK$56,U$4,FALSE))=TRUE,"",
              VLOOKUP($G82,SantoYusuf!$L$13:$AK$56,U$4,FALSE)))</t>
  </si>
  <si>
    <t>=IF(ISNUMBER($L$6)=FALSE,"",
        IF(ISERROR(VLOOKUP($G82,SantoYusuf!$L$13:$AK$56,V$4,FALSE))=TRUE,"",
              VLOOKUP($G82,SantoYusuf!$L$13:$AK$56,V$4,FALSE)))</t>
  </si>
  <si>
    <t>=IF(ISNUMBER($L$6)=FALSE,"",
        IF(ISERROR(VLOOKUP($G82,SantoYusuf!$L$13:$AK$56,W$4,FALSE))=TRUE,"",
              VLOOKUP($G82,SantoYusuf!$L$13:$AK$56,W$4,FALSE)))</t>
  </si>
  <si>
    <t>=IF(ISNUMBER($L$6)=FALSE,"",
        IF(ISERROR(VLOOKUP($G82,SantoYusuf!$L$13:$AK$56,X$4,FALSE))=TRUE,"",
              VLOOKUP($G82,SantoYusuf!$L$13:$AK$56,X$4,FALSE)))</t>
  </si>
  <si>
    <t>=IF(ISNUMBER($L$6)=FALSE,"",
        IF(ISERROR(VLOOKUP($G82,SantoYusuf!$L$13:$AK$56,Y$4,FALSE))=TRUE,"",
              VLOOKUP($G82,SantoYusuf!$L$13:$AK$56,Y$4,FALSE)))</t>
  </si>
  <si>
    <t>=IF(ISNUMBER($L$6)=FALSE,"",
        IF(ISERROR(VLOOKUP($G82,SantoYusuf!$L$13:$AK$56,Z$4,FALSE))=TRUE,"",
              VLOOKUP($G82,SantoYusuf!$L$13:$AK$56,Z$4,FALSE)))</t>
  </si>
  <si>
    <t>=IF(ISNUMBER($L$6)=FALSE,"",
        IF(ISERROR(VLOOKUP($G82,SantoYusuf!$L$13:$AK$56,AA$4,FALSE))=TRUE,"",
              VLOOKUP($G82,SantoYusuf!$L$13:$AK$56,AA$4,FALSE)))</t>
  </si>
  <si>
    <t>=IF(ISNUMBER($L$6)=FALSE,"",
        IF(ISERROR(VLOOKUP($G82,SantoYusuf!$L$13:$AK$56,AB$4,FALSE))=TRUE,"",
              VLOOKUP($G82,SantoYusuf!$L$13:$AK$56,AB$4,FALSE)))</t>
  </si>
  <si>
    <t>=IF(ISNUMBER($L$6)=FALSE,"",
        IF(ISERROR(VLOOKUP($G82,SantoYusuf!$L$13:$AK$56,AC$4,FALSE))=TRUE,"",
              VLOOKUP($G82,SantoYusuf!$L$13:$AK$56,AC$4,FALSE)))</t>
  </si>
  <si>
    <t>=IF(ISNUMBER($L$6)=FALSE,"",
        IF(ISERROR(VLOOKUP($G82,SantoYusuf!$L$13:$AK$56,AD$4,FALSE))=TRUE,"",
              VLOOKUP($G82,SantoYusuf!$L$13:$AK$56,AD$4,FALSE)))</t>
  </si>
  <si>
    <t>=IF(ISNUMBER($L$6)=FALSE,"",
        IF(ISERROR(VLOOKUP($G82,SantoYusuf!$L$13:$AK$56,AE$4,FALSE))=TRUE,"",
              VLOOKUP($G82,SantoYusuf!$L$13:$AK$56,AE$4,FALSE)))</t>
  </si>
  <si>
    <t>=IF(ISNUMBER($L$6)=FALSE,"",
        IF(ISERROR(VLOOKUP($G82,SantoYusuf!$L$13:$AK$56,AF$4,FALSE))=TRUE,"",
              VLOOKUP($G82,SantoYusuf!$L$13:$AK$56,AF$4,FALSE)))</t>
  </si>
  <si>
    <t>=IF(ISNUMBER($L$6)=FALSE,"",
IF($C83=0,"",VLOOKUP($E83,SantoYusuf!$H$13:$L$56,4,FALSE)))</t>
  </si>
  <si>
    <t>=IF(ISNUMBER($L$6)=FALSE,"",
IF($C83=0,"",VLOOKUP($E83,SantoYusuf!$H$13:$L$56,5,FALSE)))</t>
  </si>
  <si>
    <t>=IF(ISNUMBER($L$6)=FALSE,"",
        IF(ISERROR(VLOOKUP($G83,SantoYusuf!$L$13:$AK$56,I$4,FALSE))=TRUE,"",
              VLOOKUP($G83,SantoYusuf!$L$13:$AK$56,I$4,FALSE)))</t>
  </si>
  <si>
    <t>=IF(ISNUMBER($L$6)=FALSE,"",
        IF(ISERROR(VLOOKUP($G83,SantoYusuf!$L$13:$AK$56,J$4,FALSE))=TRUE,"",
              VLOOKUP($G83,SantoYusuf!$L$13:$AK$56,J$4,FALSE)))</t>
  </si>
  <si>
    <t>=IF(ISNUMBER($L$6)=FALSE,"",
        IF(ISERROR(VLOOKUP($G83,SantoYusuf!$L$13:$AK$56,K$4,FALSE))=TRUE,"",
              VLOOKUP($G83,SantoYusuf!$L$13:$AK$56,K$4,FALSE)))</t>
  </si>
  <si>
    <t>=IF(ISNUMBER($L$6)=FALSE,"",
        IF(ISERROR(VLOOKUP($G83,SantoYusuf!$L$13:$AK$56,L$4,FALSE))=TRUE,"",
              VLOOKUP($G83,SantoYusuf!$L$13:$AK$56,L$4,FALSE)))</t>
  </si>
  <si>
    <t>=IF(ISNUMBER($L$6)=FALSE,"",
        IF(ISERROR(VLOOKUP($G83,SantoYusuf!$L$13:$AK$56,M$4,FALSE))=TRUE,"",
              VLOOKUP($G83,SantoYusuf!$L$13:$AK$56,M$4,FALSE)))</t>
  </si>
  <si>
    <t>=IF(ISNUMBER($L$6)=FALSE,"",
        IF(ISERROR(VLOOKUP($G83,SantoYusuf!$L$13:$AK$56,N$4,FALSE))=TRUE,"",
              VLOOKUP($G83,SantoYusuf!$L$13:$AK$56,N$4,FALSE)))</t>
  </si>
  <si>
    <t>=IF(ISNUMBER($L$6)=FALSE,"",
        IF(ISERROR(VLOOKUP($G83,SantoYusuf!$L$13:$AK$56,O$4,FALSE))=TRUE,"",
              VLOOKUP($G83,SantoYusuf!$L$13:$AK$56,O$4,FALSE)))</t>
  </si>
  <si>
    <t>=IF(ISNUMBER($L$6)=FALSE,"",
        IF(ISERROR(VLOOKUP($G83,SantoYusuf!$L$13:$AK$56,P$4,FALSE))=TRUE,"",
              VLOOKUP($G83,SantoYusuf!$L$13:$AK$56,P$4,FALSE)))</t>
  </si>
  <si>
    <t>=IF(ISNUMBER($L$6)=FALSE,"",
        IF(ISERROR(VLOOKUP($G83,SantoYusuf!$L$13:$AK$56,Q$4,FALSE))=TRUE,"",
              VLOOKUP($G83,SantoYusuf!$L$13:$AK$56,Q$4,FALSE)))</t>
  </si>
  <si>
    <t>=IF(ISNUMBER($L$6)=FALSE,"",
        IF(ISERROR(VLOOKUP($G83,SantoYusuf!$L$13:$AK$56,R$4,FALSE))=TRUE,"",
              VLOOKUP($G83,SantoYusuf!$L$13:$AK$56,R$4,FALSE)))</t>
  </si>
  <si>
    <t>=IF(ISNUMBER($L$6)=FALSE,"",
        IF(ISERROR(VLOOKUP($G83,SantoYusuf!$L$13:$AK$56,S$4,FALSE))=TRUE,"",
              VLOOKUP($G83,SantoYusuf!$L$13:$AK$56,S$4,FALSE)))</t>
  </si>
  <si>
    <t>=IF(ISNUMBER($L$6)=FALSE,"",
        IF(ISERROR(VLOOKUP($G83,SantoYusuf!$L$13:$AK$56,T$4,FALSE))=TRUE,"",
              VLOOKUP($G83,SantoYusuf!$L$13:$AK$56,T$4,FALSE)))</t>
  </si>
  <si>
    <t>=IF(ISNUMBER($L$6)=FALSE,"",
        IF(ISERROR(VLOOKUP($G83,SantoYusuf!$L$13:$AK$56,U$4,FALSE))=TRUE,"",
              VLOOKUP($G83,SantoYusuf!$L$13:$AK$56,U$4,FALSE)))</t>
  </si>
  <si>
    <t>=IF(ISNUMBER($L$6)=FALSE,"",
        IF(ISERROR(VLOOKUP($G83,SantoYusuf!$L$13:$AK$56,V$4,FALSE))=TRUE,"",
              VLOOKUP($G83,SantoYusuf!$L$13:$AK$56,V$4,FALSE)))</t>
  </si>
  <si>
    <t>=IF(ISNUMBER($L$6)=FALSE,"",
        IF(ISERROR(VLOOKUP($G83,SantoYusuf!$L$13:$AK$56,W$4,FALSE))=TRUE,"",
              VLOOKUP($G83,SantoYusuf!$L$13:$AK$56,W$4,FALSE)))</t>
  </si>
  <si>
    <t>=IF(ISNUMBER($L$6)=FALSE,"",
        IF(ISERROR(VLOOKUP($G83,SantoYusuf!$L$13:$AK$56,X$4,FALSE))=TRUE,"",
              VLOOKUP($G83,SantoYusuf!$L$13:$AK$56,X$4,FALSE)))</t>
  </si>
  <si>
    <t>=IF(ISNUMBER($L$6)=FALSE,"",
        IF(ISERROR(VLOOKUP($G83,SantoYusuf!$L$13:$AK$56,Y$4,FALSE))=TRUE,"",
              VLOOKUP($G83,SantoYusuf!$L$13:$AK$56,Y$4,FALSE)))</t>
  </si>
  <si>
    <t>=IF(ISNUMBER($L$6)=FALSE,"",
        IF(ISERROR(VLOOKUP($G83,SantoYusuf!$L$13:$AK$56,Z$4,FALSE))=TRUE,"",
              VLOOKUP($G83,SantoYusuf!$L$13:$AK$56,Z$4,FALSE)))</t>
  </si>
  <si>
    <t>=IF(ISNUMBER($L$6)=FALSE,"",
        IF(ISERROR(VLOOKUP($G83,SantoYusuf!$L$13:$AK$56,AA$4,FALSE))=TRUE,"",
              VLOOKUP($G83,SantoYusuf!$L$13:$AK$56,AA$4,FALSE)))</t>
  </si>
  <si>
    <t>=IF(ISNUMBER($L$6)=FALSE,"",
        IF(ISERROR(VLOOKUP($G83,SantoYusuf!$L$13:$AK$56,AB$4,FALSE))=TRUE,"",
              VLOOKUP($G83,SantoYusuf!$L$13:$AK$56,AB$4,FALSE)))</t>
  </si>
  <si>
    <t>=IF(ISNUMBER($L$6)=FALSE,"",
        IF(ISERROR(VLOOKUP($G83,SantoYusuf!$L$13:$AK$56,AC$4,FALSE))=TRUE,"",
              VLOOKUP($G83,SantoYusuf!$L$13:$AK$56,AC$4,FALSE)))</t>
  </si>
  <si>
    <t>=IF(ISNUMBER($L$6)=FALSE,"",
        IF(ISERROR(VLOOKUP($G83,SantoYusuf!$L$13:$AK$56,AD$4,FALSE))=TRUE,"",
              VLOOKUP($G83,SantoYusuf!$L$13:$AK$56,AD$4,FALSE)))</t>
  </si>
  <si>
    <t>=IF(ISNUMBER($L$6)=FALSE,"",
        IF(ISERROR(VLOOKUP($G83,SantoYusuf!$L$13:$AK$56,AE$4,FALSE))=TRUE,"",
              VLOOKUP($G83,SantoYusuf!$L$13:$AK$56,AE$4,FALSE)))</t>
  </si>
  <si>
    <t>=IF(ISNUMBER($L$6)=FALSE,"",
        IF(ISERROR(VLOOKUP($G83,SantoYusuf!$L$13:$AK$56,AF$4,FALSE))=TRUE,"",
              VLOOKUP($G83,SantoYusuf!$L$13:$AK$56,AF$4,FALSE)))</t>
  </si>
  <si>
    <t>=IF(ISNUMBER($L$6)=FALSE,"",
IF($C84=0,"",VLOOKUP($E84,SantoYusuf!$H$13:$L$56,4,FALSE)))</t>
  </si>
  <si>
    <t>=IF(ISNUMBER($L$6)=FALSE,"",
IF($C84=0,"",VLOOKUP($E84,SantoYusuf!$H$13:$L$56,5,FALSE)))</t>
  </si>
  <si>
    <t>=IF(ISNUMBER($L$6)=FALSE,"",
        IF(ISERROR(VLOOKUP($G84,SantoYusuf!$L$13:$AK$56,I$4,FALSE))=TRUE,"",
              VLOOKUP($G84,SantoYusuf!$L$13:$AK$56,I$4,FALSE)))</t>
  </si>
  <si>
    <t>=IF(ISNUMBER($L$6)=FALSE,"",
        IF(ISERROR(VLOOKUP($G84,SantoYusuf!$L$13:$AK$56,J$4,FALSE))=TRUE,"",
              VLOOKUP($G84,SantoYusuf!$L$13:$AK$56,J$4,FALSE)))</t>
  </si>
  <si>
    <t>=IF(ISNUMBER($L$6)=FALSE,"",
        IF(ISERROR(VLOOKUP($G84,SantoYusuf!$L$13:$AK$56,K$4,FALSE))=TRUE,"",
              VLOOKUP($G84,SantoYusuf!$L$13:$AK$56,K$4,FALSE)))</t>
  </si>
  <si>
    <t>=IF(ISNUMBER($L$6)=FALSE,"",
        IF(ISERROR(VLOOKUP($G84,SantoYusuf!$L$13:$AK$56,L$4,FALSE))=TRUE,"",
              VLOOKUP($G84,SantoYusuf!$L$13:$AK$56,L$4,FALSE)))</t>
  </si>
  <si>
    <t>=IF(ISNUMBER($L$6)=FALSE,"",
        IF(ISERROR(VLOOKUP($G84,SantoYusuf!$L$13:$AK$56,M$4,FALSE))=TRUE,"",
              VLOOKUP($G84,SantoYusuf!$L$13:$AK$56,M$4,FALSE)))</t>
  </si>
  <si>
    <t>=IF(ISNUMBER($L$6)=FALSE,"",
        IF(ISERROR(VLOOKUP($G84,SantoYusuf!$L$13:$AK$56,N$4,FALSE))=TRUE,"",
              VLOOKUP($G84,SantoYusuf!$L$13:$AK$56,N$4,FALSE)))</t>
  </si>
  <si>
    <t>=IF(ISNUMBER($L$6)=FALSE,"",
        IF(ISERROR(VLOOKUP($G84,SantoYusuf!$L$13:$AK$56,O$4,FALSE))=TRUE,"",
              VLOOKUP($G84,SantoYusuf!$L$13:$AK$56,O$4,FALSE)))</t>
  </si>
  <si>
    <t>=IF(ISNUMBER($L$6)=FALSE,"",
        IF(ISERROR(VLOOKUP($G84,SantoYusuf!$L$13:$AK$56,P$4,FALSE))=TRUE,"",
              VLOOKUP($G84,SantoYusuf!$L$13:$AK$56,P$4,FALSE)))</t>
  </si>
  <si>
    <t>=IF(ISNUMBER($L$6)=FALSE,"",
        IF(ISERROR(VLOOKUP($G84,SantoYusuf!$L$13:$AK$56,Q$4,FALSE))=TRUE,"",
              VLOOKUP($G84,SantoYusuf!$L$13:$AK$56,Q$4,FALSE)))</t>
  </si>
  <si>
    <t>=IF(ISNUMBER($L$6)=FALSE,"",
        IF(ISERROR(VLOOKUP($G84,SantoYusuf!$L$13:$AK$56,R$4,FALSE))=TRUE,"",
              VLOOKUP($G84,SantoYusuf!$L$13:$AK$56,R$4,FALSE)))</t>
  </si>
  <si>
    <t>=IF(ISNUMBER($L$6)=FALSE,"",
        IF(ISERROR(VLOOKUP($G84,SantoYusuf!$L$13:$AK$56,S$4,FALSE))=TRUE,"",
              VLOOKUP($G84,SantoYusuf!$L$13:$AK$56,S$4,FALSE)))</t>
  </si>
  <si>
    <t>=IF(ISNUMBER($L$6)=FALSE,"",
        IF(ISERROR(VLOOKUP($G84,SantoYusuf!$L$13:$AK$56,T$4,FALSE))=TRUE,"",
              VLOOKUP($G84,SantoYusuf!$L$13:$AK$56,T$4,FALSE)))</t>
  </si>
  <si>
    <t>=IF(ISNUMBER($L$6)=FALSE,"",
        IF(ISERROR(VLOOKUP($G84,SantoYusuf!$L$13:$AK$56,U$4,FALSE))=TRUE,"",
              VLOOKUP($G84,SantoYusuf!$L$13:$AK$56,U$4,FALSE)))</t>
  </si>
  <si>
    <t>=IF(ISNUMBER($L$6)=FALSE,"",
        IF(ISERROR(VLOOKUP($G84,SantoYusuf!$L$13:$AK$56,V$4,FALSE))=TRUE,"",
              VLOOKUP($G84,SantoYusuf!$L$13:$AK$56,V$4,FALSE)))</t>
  </si>
  <si>
    <t>=IF(ISNUMBER($L$6)=FALSE,"",
        IF(ISERROR(VLOOKUP($G84,SantoYusuf!$L$13:$AK$56,W$4,FALSE))=TRUE,"",
              VLOOKUP($G84,SantoYusuf!$L$13:$AK$56,W$4,FALSE)))</t>
  </si>
  <si>
    <t>=IF(ISNUMBER($L$6)=FALSE,"",
        IF(ISERROR(VLOOKUP($G84,SantoYusuf!$L$13:$AK$56,X$4,FALSE))=TRUE,"",
              VLOOKUP($G84,SantoYusuf!$L$13:$AK$56,X$4,FALSE)))</t>
  </si>
  <si>
    <t>=IF(ISNUMBER($L$6)=FALSE,"",
        IF(ISERROR(VLOOKUP($G84,SantoYusuf!$L$13:$AK$56,Y$4,FALSE))=TRUE,"",
              VLOOKUP($G84,SantoYusuf!$L$13:$AK$56,Y$4,FALSE)))</t>
  </si>
  <si>
    <t>=IF(ISNUMBER($L$6)=FALSE,"",
        IF(ISERROR(VLOOKUP($G84,SantoYusuf!$L$13:$AK$56,Z$4,FALSE))=TRUE,"",
              VLOOKUP($G84,SantoYusuf!$L$13:$AK$56,Z$4,FALSE)))</t>
  </si>
  <si>
    <t>=IF(ISNUMBER($L$6)=FALSE,"",
        IF(ISERROR(VLOOKUP($G84,SantoYusuf!$L$13:$AK$56,AA$4,FALSE))=TRUE,"",
              VLOOKUP($G84,SantoYusuf!$L$13:$AK$56,AA$4,FALSE)))</t>
  </si>
  <si>
    <t>=IF(ISNUMBER($L$6)=FALSE,"",
        IF(ISERROR(VLOOKUP($G84,SantoYusuf!$L$13:$AK$56,AB$4,FALSE))=TRUE,"",
              VLOOKUP($G84,SantoYusuf!$L$13:$AK$56,AB$4,FALSE)))</t>
  </si>
  <si>
    <t>=IF(ISNUMBER($L$6)=FALSE,"",
        IF(ISERROR(VLOOKUP($G84,SantoYusuf!$L$13:$AK$56,AC$4,FALSE))=TRUE,"",
              VLOOKUP($G84,SantoYusuf!$L$13:$AK$56,AC$4,FALSE)))</t>
  </si>
  <si>
    <t>=IF(ISNUMBER($L$6)=FALSE,"",
        IF(ISERROR(VLOOKUP($G84,SantoYusuf!$L$13:$AK$56,AD$4,FALSE))=TRUE,"",
              VLOOKUP($G84,SantoYusuf!$L$13:$AK$56,AD$4,FALSE)))</t>
  </si>
  <si>
    <t>=IF(ISNUMBER($L$6)=FALSE,"",
        IF(ISERROR(VLOOKUP($G84,SantoYusuf!$L$13:$AK$56,AE$4,FALSE))=TRUE,"",
              VLOOKUP($G84,SantoYusuf!$L$13:$AK$56,AE$4,FALSE)))</t>
  </si>
  <si>
    <t>=IF(ISNUMBER($L$6)=FALSE,"",
        IF(ISERROR(VLOOKUP($G84,SantoYusuf!$L$13:$AK$56,AF$4,FALSE))=TRUE,"",
              VLOOKUP($G84,SantoYusuf!$L$13:$AK$56,AF$4,FALSE)))</t>
  </si>
  <si>
    <t>=IF(ISNUMBER($L$6)=FALSE,"",
IF($C85=0,"",VLOOKUP($E85,SantoYusuf!$H$13:$L$56,4,FALSE)))</t>
  </si>
  <si>
    <t>=IF(ISNUMBER($L$6)=FALSE,"",
IF($C85=0,"",VLOOKUP($E85,SantoYusuf!$H$13:$L$56,5,FALSE)))</t>
  </si>
  <si>
    <t>=IF(ISNUMBER($L$6)=FALSE,"",
        IF(ISERROR(VLOOKUP($G85,SantoYusuf!$L$13:$AK$56,I$4,FALSE))=TRUE,"",
              VLOOKUP($G85,SantoYusuf!$L$13:$AK$56,I$4,FALSE)))</t>
  </si>
  <si>
    <t>=IF(ISNUMBER($L$6)=FALSE,"",
        IF(ISERROR(VLOOKUP($G85,SantoYusuf!$L$13:$AK$56,J$4,FALSE))=TRUE,"",
              VLOOKUP($G85,SantoYusuf!$L$13:$AK$56,J$4,FALSE)))</t>
  </si>
  <si>
    <t>=IF(ISNUMBER($L$6)=FALSE,"",
        IF(ISERROR(VLOOKUP($G85,SantoYusuf!$L$13:$AK$56,K$4,FALSE))=TRUE,"",
              VLOOKUP($G85,SantoYusuf!$L$13:$AK$56,K$4,FALSE)))</t>
  </si>
  <si>
    <t>=IF(ISNUMBER($L$6)=FALSE,"",
        IF(ISERROR(VLOOKUP($G85,SantoYusuf!$L$13:$AK$56,L$4,FALSE))=TRUE,"",
              VLOOKUP($G85,SantoYusuf!$L$13:$AK$56,L$4,FALSE)))</t>
  </si>
  <si>
    <t>=IF(ISNUMBER($L$6)=FALSE,"",
        IF(ISERROR(VLOOKUP($G85,SantoYusuf!$L$13:$AK$56,M$4,FALSE))=TRUE,"",
              VLOOKUP($G85,SantoYusuf!$L$13:$AK$56,M$4,FALSE)))</t>
  </si>
  <si>
    <t>=IF(ISNUMBER($L$6)=FALSE,"",
        IF(ISERROR(VLOOKUP($G85,SantoYusuf!$L$13:$AK$56,N$4,FALSE))=TRUE,"",
              VLOOKUP($G85,SantoYusuf!$L$13:$AK$56,N$4,FALSE)))</t>
  </si>
  <si>
    <t>=IF(ISNUMBER($L$6)=FALSE,"",
        IF(ISERROR(VLOOKUP($G85,SantoYusuf!$L$13:$AK$56,O$4,FALSE))=TRUE,"",
              VLOOKUP($G85,SantoYusuf!$L$13:$AK$56,O$4,FALSE)))</t>
  </si>
  <si>
    <t>=IF(ISNUMBER($L$6)=FALSE,"",
        IF(ISERROR(VLOOKUP($G85,SantoYusuf!$L$13:$AK$56,P$4,FALSE))=TRUE,"",
              VLOOKUP($G85,SantoYusuf!$L$13:$AK$56,P$4,FALSE)))</t>
  </si>
  <si>
    <t>=IF(ISNUMBER($L$6)=FALSE,"",
        IF(ISERROR(VLOOKUP($G85,SantoYusuf!$L$13:$AK$56,Q$4,FALSE))=TRUE,"",
              VLOOKUP($G85,SantoYusuf!$L$13:$AK$56,Q$4,FALSE)))</t>
  </si>
  <si>
    <t>=IF(ISNUMBER($L$6)=FALSE,"",
        IF(ISERROR(VLOOKUP($G85,SantoYusuf!$L$13:$AK$56,R$4,FALSE))=TRUE,"",
              VLOOKUP($G85,SantoYusuf!$L$13:$AK$56,R$4,FALSE)))</t>
  </si>
  <si>
    <t>=IF(ISNUMBER($L$6)=FALSE,"",
        IF(ISERROR(VLOOKUP($G85,SantoYusuf!$L$13:$AK$56,S$4,FALSE))=TRUE,"",
              VLOOKUP($G85,SantoYusuf!$L$13:$AK$56,S$4,FALSE)))</t>
  </si>
  <si>
    <t>=IF(ISNUMBER($L$6)=FALSE,"",
        IF(ISERROR(VLOOKUP($G85,SantoYusuf!$L$13:$AK$56,T$4,FALSE))=TRUE,"",
              VLOOKUP($G85,SantoYusuf!$L$13:$AK$56,T$4,FALSE)))</t>
  </si>
  <si>
    <t>=IF(ISNUMBER($L$6)=FALSE,"",
        IF(ISERROR(VLOOKUP($G85,SantoYusuf!$L$13:$AK$56,U$4,FALSE))=TRUE,"",
              VLOOKUP($G85,SantoYusuf!$L$13:$AK$56,U$4,FALSE)))</t>
  </si>
  <si>
    <t>=IF(ISNUMBER($L$6)=FALSE,"",
        IF(ISERROR(VLOOKUP($G85,SantoYusuf!$L$13:$AK$56,V$4,FALSE))=TRUE,"",
              VLOOKUP($G85,SantoYusuf!$L$13:$AK$56,V$4,FALSE)))</t>
  </si>
  <si>
    <t>=IF(ISNUMBER($L$6)=FALSE,"",
        IF(ISERROR(VLOOKUP($G85,SantoYusuf!$L$13:$AK$56,W$4,FALSE))=TRUE,"",
              VLOOKUP($G85,SantoYusuf!$L$13:$AK$56,W$4,FALSE)))</t>
  </si>
  <si>
    <t>=IF(ISNUMBER($L$6)=FALSE,"",
        IF(ISERROR(VLOOKUP($G85,SantoYusuf!$L$13:$AK$56,X$4,FALSE))=TRUE,"",
              VLOOKUP($G85,SantoYusuf!$L$13:$AK$56,X$4,FALSE)))</t>
  </si>
  <si>
    <t>=IF(ISNUMBER($L$6)=FALSE,"",
        IF(ISERROR(VLOOKUP($G85,SantoYusuf!$L$13:$AK$56,Y$4,FALSE))=TRUE,"",
              VLOOKUP($G85,SantoYusuf!$L$13:$AK$56,Y$4,FALSE)))</t>
  </si>
  <si>
    <t>=IF(ISNUMBER($L$6)=FALSE,"",
        IF(ISERROR(VLOOKUP($G85,SantoYusuf!$L$13:$AK$56,Z$4,FALSE))=TRUE,"",
              VLOOKUP($G85,SantoYusuf!$L$13:$AK$56,Z$4,FALSE)))</t>
  </si>
  <si>
    <t>=IF(ISNUMBER($L$6)=FALSE,"",
        IF(ISERROR(VLOOKUP($G85,SantoYusuf!$L$13:$AK$56,AA$4,FALSE))=TRUE,"",
              VLOOKUP($G85,SantoYusuf!$L$13:$AK$56,AA$4,FALSE)))</t>
  </si>
  <si>
    <t>=IF(ISNUMBER($L$6)=FALSE,"",
        IF(ISERROR(VLOOKUP($G85,SantoYusuf!$L$13:$AK$56,AB$4,FALSE))=TRUE,"",
              VLOOKUP($G85,SantoYusuf!$L$13:$AK$56,AB$4,FALSE)))</t>
  </si>
  <si>
    <t>=IF(ISNUMBER($L$6)=FALSE,"",
        IF(ISERROR(VLOOKUP($G85,SantoYusuf!$L$13:$AK$56,AC$4,FALSE))=TRUE,"",
              VLOOKUP($G85,SantoYusuf!$L$13:$AK$56,AC$4,FALSE)))</t>
  </si>
  <si>
    <t>=IF(ISNUMBER($L$6)=FALSE,"",
        IF(ISERROR(VLOOKUP($G85,SantoYusuf!$L$13:$AK$56,AD$4,FALSE))=TRUE,"",
              VLOOKUP($G85,SantoYusuf!$L$13:$AK$56,AD$4,FALSE)))</t>
  </si>
  <si>
    <t>=IF(ISNUMBER($L$6)=FALSE,"",
        IF(ISERROR(VLOOKUP($G85,SantoYusuf!$L$13:$AK$56,AE$4,FALSE))=TRUE,"",
              VLOOKUP($G85,SantoYusuf!$L$13:$AK$56,AE$4,FALSE)))</t>
  </si>
  <si>
    <t>=IF(ISNUMBER($L$6)=FALSE,"",
        IF(ISERROR(VLOOKUP($G85,SantoYusuf!$L$13:$AK$56,AF$4,FALSE))=TRUE,"",
              VLOOKUP($G85,SantoYusuf!$L$13:$AK$56,AF$4,FALSE)))</t>
  </si>
  <si>
    <t>=IF(ISNUMBER($L$6)=FALSE,"",
IF($C86=0,"",VLOOKUP($E86,SantoYusuf!$H$13:$L$56,4,FALSE)))</t>
  </si>
  <si>
    <t>=IF(ISNUMBER($L$6)=FALSE,"",
IF($C86=0,"",VLOOKUP($E86,SantoYusuf!$H$13:$L$56,5,FALSE)))</t>
  </si>
  <si>
    <t>=IF(ISNUMBER($L$6)=FALSE,"",
        IF(ISERROR(VLOOKUP($G86,SantoYusuf!$L$13:$AK$56,I$4,FALSE))=TRUE,"",
              VLOOKUP($G86,SantoYusuf!$L$13:$AK$56,I$4,FALSE)))</t>
  </si>
  <si>
    <t>=IF(ISNUMBER($L$6)=FALSE,"",
        IF(ISERROR(VLOOKUP($G86,SantoYusuf!$L$13:$AK$56,J$4,FALSE))=TRUE,"",
              VLOOKUP($G86,SantoYusuf!$L$13:$AK$56,J$4,FALSE)))</t>
  </si>
  <si>
    <t>=IF(ISNUMBER($L$6)=FALSE,"",
        IF(ISERROR(VLOOKUP($G86,SantoYusuf!$L$13:$AK$56,K$4,FALSE))=TRUE,"",
              VLOOKUP($G86,SantoYusuf!$L$13:$AK$56,K$4,FALSE)))</t>
  </si>
  <si>
    <t>=IF(ISNUMBER($L$6)=FALSE,"",
        IF(ISERROR(VLOOKUP($G86,SantoYusuf!$L$13:$AK$56,L$4,FALSE))=TRUE,"",
              VLOOKUP($G86,SantoYusuf!$L$13:$AK$56,L$4,FALSE)))</t>
  </si>
  <si>
    <t>=IF(ISNUMBER($L$6)=FALSE,"",
        IF(ISERROR(VLOOKUP($G86,SantoYusuf!$L$13:$AK$56,M$4,FALSE))=TRUE,"",
              VLOOKUP($G86,SantoYusuf!$L$13:$AK$56,M$4,FALSE)))</t>
  </si>
  <si>
    <t>=IF(ISNUMBER($L$6)=FALSE,"",
        IF(ISERROR(VLOOKUP($G86,SantoYusuf!$L$13:$AK$56,N$4,FALSE))=TRUE,"",
              VLOOKUP($G86,SantoYusuf!$L$13:$AK$56,N$4,FALSE)))</t>
  </si>
  <si>
    <t>=IF(ISNUMBER($L$6)=FALSE,"",
        IF(ISERROR(VLOOKUP($G86,SantoYusuf!$L$13:$AK$56,O$4,FALSE))=TRUE,"",
              VLOOKUP($G86,SantoYusuf!$L$13:$AK$56,O$4,FALSE)))</t>
  </si>
  <si>
    <t>=IF(ISNUMBER($L$6)=FALSE,"",
        IF(ISERROR(VLOOKUP($G86,SantoYusuf!$L$13:$AK$56,P$4,FALSE))=TRUE,"",
              VLOOKUP($G86,SantoYusuf!$L$13:$AK$56,P$4,FALSE)))</t>
  </si>
  <si>
    <t>=IF(ISNUMBER($L$6)=FALSE,"",
        IF(ISERROR(VLOOKUP($G86,SantoYusuf!$L$13:$AK$56,Q$4,FALSE))=TRUE,"",
              VLOOKUP($G86,SantoYusuf!$L$13:$AK$56,Q$4,FALSE)))</t>
  </si>
  <si>
    <t>=IF(ISNUMBER($L$6)=FALSE,"",
        IF(ISERROR(VLOOKUP($G86,SantoYusuf!$L$13:$AK$56,R$4,FALSE))=TRUE,"",
              VLOOKUP($G86,SantoYusuf!$L$13:$AK$56,R$4,FALSE)))</t>
  </si>
  <si>
    <t>=IF(ISNUMBER($L$6)=FALSE,"",
        IF(ISERROR(VLOOKUP($G86,SantoYusuf!$L$13:$AK$56,S$4,FALSE))=TRUE,"",
              VLOOKUP($G86,SantoYusuf!$L$13:$AK$56,S$4,FALSE)))</t>
  </si>
  <si>
    <t>=IF(ISNUMBER($L$6)=FALSE,"",
        IF(ISERROR(VLOOKUP($G86,SantoYusuf!$L$13:$AK$56,T$4,FALSE))=TRUE,"",
              VLOOKUP($G86,SantoYusuf!$L$13:$AK$56,T$4,FALSE)))</t>
  </si>
  <si>
    <t>=IF(ISNUMBER($L$6)=FALSE,"",
        IF(ISERROR(VLOOKUP($G86,SantoYusuf!$L$13:$AK$56,U$4,FALSE))=TRUE,"",
              VLOOKUP($G86,SantoYusuf!$L$13:$AK$56,U$4,FALSE)))</t>
  </si>
  <si>
    <t>=IF(ISNUMBER($L$6)=FALSE,"",
        IF(ISERROR(VLOOKUP($G86,SantoYusuf!$L$13:$AK$56,V$4,FALSE))=TRUE,"",
              VLOOKUP($G86,SantoYusuf!$L$13:$AK$56,V$4,FALSE)))</t>
  </si>
  <si>
    <t>=IF(ISNUMBER($L$6)=FALSE,"",
        IF(ISERROR(VLOOKUP($G86,SantoYusuf!$L$13:$AK$56,W$4,FALSE))=TRUE,"",
              VLOOKUP($G86,SantoYusuf!$L$13:$AK$56,W$4,FALSE)))</t>
  </si>
  <si>
    <t>=IF(ISNUMBER($L$6)=FALSE,"",
        IF(ISERROR(VLOOKUP($G86,SantoYusuf!$L$13:$AK$56,X$4,FALSE))=TRUE,"",
              VLOOKUP($G86,SantoYusuf!$L$13:$AK$56,X$4,FALSE)))</t>
  </si>
  <si>
    <t>=IF(ISNUMBER($L$6)=FALSE,"",
        IF(ISERROR(VLOOKUP($G86,SantoYusuf!$L$13:$AK$56,Y$4,FALSE))=TRUE,"",
              VLOOKUP($G86,SantoYusuf!$L$13:$AK$56,Y$4,FALSE)))</t>
  </si>
  <si>
    <t>=IF(ISNUMBER($L$6)=FALSE,"",
        IF(ISERROR(VLOOKUP($G86,SantoYusuf!$L$13:$AK$56,Z$4,FALSE))=TRUE,"",
              VLOOKUP($G86,SantoYusuf!$L$13:$AK$56,Z$4,FALSE)))</t>
  </si>
  <si>
    <t>=IF(ISNUMBER($L$6)=FALSE,"",
        IF(ISERROR(VLOOKUP($G86,SantoYusuf!$L$13:$AK$56,AA$4,FALSE))=TRUE,"",
              VLOOKUP($G86,SantoYusuf!$L$13:$AK$56,AA$4,FALSE)))</t>
  </si>
  <si>
    <t>=IF(ISNUMBER($L$6)=FALSE,"",
        IF(ISERROR(VLOOKUP($G86,SantoYusuf!$L$13:$AK$56,AB$4,FALSE))=TRUE,"",
              VLOOKUP($G86,SantoYusuf!$L$13:$AK$56,AB$4,FALSE)))</t>
  </si>
  <si>
    <t>=IF(ISNUMBER($L$6)=FALSE,"",
        IF(ISERROR(VLOOKUP($G86,SantoYusuf!$L$13:$AK$56,AC$4,FALSE))=TRUE,"",
              VLOOKUP($G86,SantoYusuf!$L$13:$AK$56,AC$4,FALSE)))</t>
  </si>
  <si>
    <t>=IF(ISNUMBER($L$6)=FALSE,"",
        IF(ISERROR(VLOOKUP($G86,SantoYusuf!$L$13:$AK$56,AD$4,FALSE))=TRUE,"",
              VLOOKUP($G86,SantoYusuf!$L$13:$AK$56,AD$4,FALSE)))</t>
  </si>
  <si>
    <t>=IF(ISNUMBER($L$6)=FALSE,"",
        IF(ISERROR(VLOOKUP($G86,SantoYusuf!$L$13:$AK$56,AE$4,FALSE))=TRUE,"",
              VLOOKUP($G86,SantoYusuf!$L$13:$AK$56,AE$4,FALSE)))</t>
  </si>
  <si>
    <t>=IF(ISNUMBER($L$6)=FALSE,"",
        IF(ISERROR(VLOOKUP($G86,SantoYusuf!$L$13:$AK$56,AF$4,FALSE))=TRUE,"",
              VLOOKUP($G86,SantoYusuf!$L$13:$AK$56,AF$4,FALSE)))</t>
  </si>
  <si>
    <t>=IF(ISNUMBER($L$6)=FALSE,"",
IF($C87=0,"",VLOOKUP($E87,SantoYusuf!$H$13:$L$56,4,FALSE)))</t>
  </si>
  <si>
    <t>=IF(ISNUMBER($L$6)=FALSE,"",
IF($C87=0,"",VLOOKUP($E87,SantoYusuf!$H$13:$L$56,5,FALSE)))</t>
  </si>
  <si>
    <t>=IF(ISNUMBER($L$6)=FALSE,"",
        IF(ISERROR(VLOOKUP($G87,SantoYusuf!$L$13:$AK$56,I$4,FALSE))=TRUE,"",
              VLOOKUP($G87,SantoYusuf!$L$13:$AK$56,I$4,FALSE)))</t>
  </si>
  <si>
    <t>=IF(ISNUMBER($L$6)=FALSE,"",
        IF(ISERROR(VLOOKUP($G87,SantoYusuf!$L$13:$AK$56,J$4,FALSE))=TRUE,"",
              VLOOKUP($G87,SantoYusuf!$L$13:$AK$56,J$4,FALSE)))</t>
  </si>
  <si>
    <t>=IF(ISNUMBER($L$6)=FALSE,"",
        IF(ISERROR(VLOOKUP($G87,SantoYusuf!$L$13:$AK$56,K$4,FALSE))=TRUE,"",
              VLOOKUP($G87,SantoYusuf!$L$13:$AK$56,K$4,FALSE)))</t>
  </si>
  <si>
    <t>=IF(ISNUMBER($L$6)=FALSE,"",
        IF(ISERROR(VLOOKUP($G87,SantoYusuf!$L$13:$AK$56,L$4,FALSE))=TRUE,"",
              VLOOKUP($G87,SantoYusuf!$L$13:$AK$56,L$4,FALSE)))</t>
  </si>
  <si>
    <t>=IF(ISNUMBER($L$6)=FALSE,"",
        IF(ISERROR(VLOOKUP($G87,SantoYusuf!$L$13:$AK$56,M$4,FALSE))=TRUE,"",
              VLOOKUP($G87,SantoYusuf!$L$13:$AK$56,M$4,FALSE)))</t>
  </si>
  <si>
    <t>=IF(ISNUMBER($L$6)=FALSE,"",
        IF(ISERROR(VLOOKUP($G87,SantoYusuf!$L$13:$AK$56,N$4,FALSE))=TRUE,"",
              VLOOKUP($G87,SantoYusuf!$L$13:$AK$56,N$4,FALSE)))</t>
  </si>
  <si>
    <t>=IF(ISNUMBER($L$6)=FALSE,"",
        IF(ISERROR(VLOOKUP($G87,SantoYusuf!$L$13:$AK$56,O$4,FALSE))=TRUE,"",
              VLOOKUP($G87,SantoYusuf!$L$13:$AK$56,O$4,FALSE)))</t>
  </si>
  <si>
    <t>=IF(ISNUMBER($L$6)=FALSE,"",
        IF(ISERROR(VLOOKUP($G87,SantoYusuf!$L$13:$AK$56,P$4,FALSE))=TRUE,"",
              VLOOKUP($G87,SantoYusuf!$L$13:$AK$56,P$4,FALSE)))</t>
  </si>
  <si>
    <t>=IF(ISNUMBER($L$6)=FALSE,"",
        IF(ISERROR(VLOOKUP($G87,SantoYusuf!$L$13:$AK$56,Q$4,FALSE))=TRUE,"",
              VLOOKUP($G87,SantoYusuf!$L$13:$AK$56,Q$4,FALSE)))</t>
  </si>
  <si>
    <t>=IF(ISNUMBER($L$6)=FALSE,"",
        IF(ISERROR(VLOOKUP($G87,SantoYusuf!$L$13:$AK$56,R$4,FALSE))=TRUE,"",
              VLOOKUP($G87,SantoYusuf!$L$13:$AK$56,R$4,FALSE)))</t>
  </si>
  <si>
    <t>=IF(ISNUMBER($L$6)=FALSE,"",
        IF(ISERROR(VLOOKUP($G87,SantoYusuf!$L$13:$AK$56,S$4,FALSE))=TRUE,"",
              VLOOKUP($G87,SantoYusuf!$L$13:$AK$56,S$4,FALSE)))</t>
  </si>
  <si>
    <t>=IF(ISNUMBER($L$6)=FALSE,"",
        IF(ISERROR(VLOOKUP($G87,SantoYusuf!$L$13:$AK$56,T$4,FALSE))=TRUE,"",
              VLOOKUP($G87,SantoYusuf!$L$13:$AK$56,T$4,FALSE)))</t>
  </si>
  <si>
    <t>=IF(ISNUMBER($L$6)=FALSE,"",
        IF(ISERROR(VLOOKUP($G87,SantoYusuf!$L$13:$AK$56,U$4,FALSE))=TRUE,"",
              VLOOKUP($G87,SantoYusuf!$L$13:$AK$56,U$4,FALSE)))</t>
  </si>
  <si>
    <t>=IF(ISNUMBER($L$6)=FALSE,"",
        IF(ISERROR(VLOOKUP($G87,SantoYusuf!$L$13:$AK$56,V$4,FALSE))=TRUE,"",
              VLOOKUP($G87,SantoYusuf!$L$13:$AK$56,V$4,FALSE)))</t>
  </si>
  <si>
    <t>=IF(ISNUMBER($L$6)=FALSE,"",
        IF(ISERROR(VLOOKUP($G87,SantoYusuf!$L$13:$AK$56,W$4,FALSE))=TRUE,"",
              VLOOKUP($G87,SantoYusuf!$L$13:$AK$56,W$4,FALSE)))</t>
  </si>
  <si>
    <t>=IF(ISNUMBER($L$6)=FALSE,"",
        IF(ISERROR(VLOOKUP($G87,SantoYusuf!$L$13:$AK$56,X$4,FALSE))=TRUE,"",
              VLOOKUP($G87,SantoYusuf!$L$13:$AK$56,X$4,FALSE)))</t>
  </si>
  <si>
    <t>=IF(ISNUMBER($L$6)=FALSE,"",
        IF(ISERROR(VLOOKUP($G87,SantoYusuf!$L$13:$AK$56,Y$4,FALSE))=TRUE,"",
              VLOOKUP($G87,SantoYusuf!$L$13:$AK$56,Y$4,FALSE)))</t>
  </si>
  <si>
    <t>=IF(ISNUMBER($L$6)=FALSE,"",
        IF(ISERROR(VLOOKUP($G87,SantoYusuf!$L$13:$AK$56,Z$4,FALSE))=TRUE,"",
              VLOOKUP($G87,SantoYusuf!$L$13:$AK$56,Z$4,FALSE)))</t>
  </si>
  <si>
    <t>=IF(ISNUMBER($L$6)=FALSE,"",
        IF(ISERROR(VLOOKUP($G87,SantoYusuf!$L$13:$AK$56,AA$4,FALSE))=TRUE,"",
              VLOOKUP($G87,SantoYusuf!$L$13:$AK$56,AA$4,FALSE)))</t>
  </si>
  <si>
    <t>=IF(ISNUMBER($L$6)=FALSE,"",
        IF(ISERROR(VLOOKUP($G87,SantoYusuf!$L$13:$AK$56,AB$4,FALSE))=TRUE,"",
              VLOOKUP($G87,SantoYusuf!$L$13:$AK$56,AB$4,FALSE)))</t>
  </si>
  <si>
    <t>=IF(ISNUMBER($L$6)=FALSE,"",
        IF(ISERROR(VLOOKUP($G87,SantoYusuf!$L$13:$AK$56,AC$4,FALSE))=TRUE,"",
              VLOOKUP($G87,SantoYusuf!$L$13:$AK$56,AC$4,FALSE)))</t>
  </si>
  <si>
    <t>=IF(ISNUMBER($L$6)=FALSE,"",
        IF(ISERROR(VLOOKUP($G87,SantoYusuf!$L$13:$AK$56,AD$4,FALSE))=TRUE,"",
              VLOOKUP($G87,SantoYusuf!$L$13:$AK$56,AD$4,FALSE)))</t>
  </si>
  <si>
    <t>=IF(ISNUMBER($L$6)=FALSE,"",
        IF(ISERROR(VLOOKUP($G87,SantoYusuf!$L$13:$AK$56,AE$4,FALSE))=TRUE,"",
              VLOOKUP($G87,SantoYusuf!$L$13:$AK$56,AE$4,FALSE)))</t>
  </si>
  <si>
    <t>=IF(ISNUMBER($L$6)=FALSE,"",
        IF(ISERROR(VLOOKUP($G87,SantoYusuf!$L$13:$AK$56,AF$4,FALSE))=TRUE,"",
              VLOOKUP($G87,SantoYusuf!$L$13:$AK$56,AF$4,FALSE)))</t>
  </si>
  <si>
    <t>=IF(ISNUMBER($L$6)=FALSE,"",
IF($C88=0,"",VLOOKUP($E88,SantoYusuf!$H$13:$L$56,4,FALSE)))</t>
  </si>
  <si>
    <t>=IF(ISNUMBER($L$6)=FALSE,"",
IF($C88=0,"",VLOOKUP($E88,SantoYusuf!$H$13:$L$56,5,FALSE)))</t>
  </si>
  <si>
    <t>=IF(ISNUMBER($L$6)=FALSE,"",
        IF(ISERROR(VLOOKUP($G88,SantoYusuf!$L$13:$AK$56,I$4,FALSE))=TRUE,"",
              VLOOKUP($G88,SantoYusuf!$L$13:$AK$56,I$4,FALSE)))</t>
  </si>
  <si>
    <t>=IF(ISNUMBER($L$6)=FALSE,"",
        IF(ISERROR(VLOOKUP($G88,SantoYusuf!$L$13:$AK$56,J$4,FALSE))=TRUE,"",
              VLOOKUP($G88,SantoYusuf!$L$13:$AK$56,J$4,FALSE)))</t>
  </si>
  <si>
    <t>=IF(ISNUMBER($L$6)=FALSE,"",
        IF(ISERROR(VLOOKUP($G88,SantoYusuf!$L$13:$AK$56,K$4,FALSE))=TRUE,"",
              VLOOKUP($G88,SantoYusuf!$L$13:$AK$56,K$4,FALSE)))</t>
  </si>
  <si>
    <t>=IF(ISNUMBER($L$6)=FALSE,"",
        IF(ISERROR(VLOOKUP($G88,SantoYusuf!$L$13:$AK$56,L$4,FALSE))=TRUE,"",
              VLOOKUP($G88,SantoYusuf!$L$13:$AK$56,L$4,FALSE)))</t>
  </si>
  <si>
    <t>=IF(ISNUMBER($L$6)=FALSE,"",
        IF(ISERROR(VLOOKUP($G88,SantoYusuf!$L$13:$AK$56,M$4,FALSE))=TRUE,"",
              VLOOKUP($G88,SantoYusuf!$L$13:$AK$56,M$4,FALSE)))</t>
  </si>
  <si>
    <t>=IF(ISNUMBER($L$6)=FALSE,"",
        IF(ISERROR(VLOOKUP($G88,SantoYusuf!$L$13:$AK$56,N$4,FALSE))=TRUE,"",
              VLOOKUP($G88,SantoYusuf!$L$13:$AK$56,N$4,FALSE)))</t>
  </si>
  <si>
    <t>=IF(ISNUMBER($L$6)=FALSE,"",
        IF(ISERROR(VLOOKUP($G88,SantoYusuf!$L$13:$AK$56,O$4,FALSE))=TRUE,"",
              VLOOKUP($G88,SantoYusuf!$L$13:$AK$56,O$4,FALSE)))</t>
  </si>
  <si>
    <t>=IF(ISNUMBER($L$6)=FALSE,"",
        IF(ISERROR(VLOOKUP($G88,SantoYusuf!$L$13:$AK$56,P$4,FALSE))=TRUE,"",
              VLOOKUP($G88,SantoYusuf!$L$13:$AK$56,P$4,FALSE)))</t>
  </si>
  <si>
    <t>=IF(ISNUMBER($L$6)=FALSE,"",
        IF(ISERROR(VLOOKUP($G88,SantoYusuf!$L$13:$AK$56,Q$4,FALSE))=TRUE,"",
              VLOOKUP($G88,SantoYusuf!$L$13:$AK$56,Q$4,FALSE)))</t>
  </si>
  <si>
    <t>=IF(ISNUMBER($L$6)=FALSE,"",
        IF(ISERROR(VLOOKUP($G88,SantoYusuf!$L$13:$AK$56,R$4,FALSE))=TRUE,"",
              VLOOKUP($G88,SantoYusuf!$L$13:$AK$56,R$4,FALSE)))</t>
  </si>
  <si>
    <t>=IF(ISNUMBER($L$6)=FALSE,"",
        IF(ISERROR(VLOOKUP($G88,SantoYusuf!$L$13:$AK$56,S$4,FALSE))=TRUE,"",
              VLOOKUP($G88,SantoYusuf!$L$13:$AK$56,S$4,FALSE)))</t>
  </si>
  <si>
    <t>=IF(ISNUMBER($L$6)=FALSE,"",
        IF(ISERROR(VLOOKUP($G88,SantoYusuf!$L$13:$AK$56,T$4,FALSE))=TRUE,"",
              VLOOKUP($G88,SantoYusuf!$L$13:$AK$56,T$4,FALSE)))</t>
  </si>
  <si>
    <t>=IF(ISNUMBER($L$6)=FALSE,"",
        IF(ISERROR(VLOOKUP($G88,SantoYusuf!$L$13:$AK$56,U$4,FALSE))=TRUE,"",
              VLOOKUP($G88,SantoYusuf!$L$13:$AK$56,U$4,FALSE)))</t>
  </si>
  <si>
    <t>=IF(ISNUMBER($L$6)=FALSE,"",
        IF(ISERROR(VLOOKUP($G88,SantoYusuf!$L$13:$AK$56,V$4,FALSE))=TRUE,"",
              VLOOKUP($G88,SantoYusuf!$L$13:$AK$56,V$4,FALSE)))</t>
  </si>
  <si>
    <t>=IF(ISNUMBER($L$6)=FALSE,"",
        IF(ISERROR(VLOOKUP($G88,SantoYusuf!$L$13:$AK$56,W$4,FALSE))=TRUE,"",
              VLOOKUP($G88,SantoYusuf!$L$13:$AK$56,W$4,FALSE)))</t>
  </si>
  <si>
    <t>=IF(ISNUMBER($L$6)=FALSE,"",
        IF(ISERROR(VLOOKUP($G88,SantoYusuf!$L$13:$AK$56,X$4,FALSE))=TRUE,"",
              VLOOKUP($G88,SantoYusuf!$L$13:$AK$56,X$4,FALSE)))</t>
  </si>
  <si>
    <t>=IF(ISNUMBER($L$6)=FALSE,"",
        IF(ISERROR(VLOOKUP($G88,SantoYusuf!$L$13:$AK$56,Y$4,FALSE))=TRUE,"",
              VLOOKUP($G88,SantoYusuf!$L$13:$AK$56,Y$4,FALSE)))</t>
  </si>
  <si>
    <t>=IF(ISNUMBER($L$6)=FALSE,"",
        IF(ISERROR(VLOOKUP($G88,SantoYusuf!$L$13:$AK$56,Z$4,FALSE))=TRUE,"",
              VLOOKUP($G88,SantoYusuf!$L$13:$AK$56,Z$4,FALSE)))</t>
  </si>
  <si>
    <t>=IF(ISNUMBER($L$6)=FALSE,"",
        IF(ISERROR(VLOOKUP($G88,SantoYusuf!$L$13:$AK$56,AA$4,FALSE))=TRUE,"",
              VLOOKUP($G88,SantoYusuf!$L$13:$AK$56,AA$4,FALSE)))</t>
  </si>
  <si>
    <t>=IF(ISNUMBER($L$6)=FALSE,"",
        IF(ISERROR(VLOOKUP($G88,SantoYusuf!$L$13:$AK$56,AB$4,FALSE))=TRUE,"",
              VLOOKUP($G88,SantoYusuf!$L$13:$AK$56,AB$4,FALSE)))</t>
  </si>
  <si>
    <t>=IF(ISNUMBER($L$6)=FALSE,"",
        IF(ISERROR(VLOOKUP($G88,SantoYusuf!$L$13:$AK$56,AC$4,FALSE))=TRUE,"",
              VLOOKUP($G88,SantoYusuf!$L$13:$AK$56,AC$4,FALSE)))</t>
  </si>
  <si>
    <t>=IF(ISNUMBER($L$6)=FALSE,"",
        IF(ISERROR(VLOOKUP($G88,SantoYusuf!$L$13:$AK$56,AD$4,FALSE))=TRUE,"",
              VLOOKUP($G88,SantoYusuf!$L$13:$AK$56,AD$4,FALSE)))</t>
  </si>
  <si>
    <t>=IF(ISNUMBER($L$6)=FALSE,"",
        IF(ISERROR(VLOOKUP($G88,SantoYusuf!$L$13:$AK$56,AE$4,FALSE))=TRUE,"",
              VLOOKUP($G88,SantoYusuf!$L$13:$AK$56,AE$4,FALSE)))</t>
  </si>
  <si>
    <t>=IF(ISNUMBER($L$6)=FALSE,"",
        IF(ISERROR(VLOOKUP($G88,SantoYusuf!$L$13:$AK$56,AF$4,FALSE))=TRUE,"",
              VLOOKUP($G88,SantoYusuf!$L$13:$AK$56,AF$4,FALSE)))</t>
  </si>
  <si>
    <t>=IF(ISNUMBER($L$6)=FALSE,"",
IF($C89=0,"",VLOOKUP($E89,SantoYusuf!$H$13:$L$56,4,FALSE)))</t>
  </si>
  <si>
    <t>=IF(ISNUMBER($L$6)=FALSE,"",
IF($C89=0,"",VLOOKUP($E89,SantoYusuf!$H$13:$L$56,5,FALSE)))</t>
  </si>
  <si>
    <t>=IF(ISNUMBER($L$6)=FALSE,"",
        IF(ISERROR(VLOOKUP($G89,SantoYusuf!$L$13:$AK$56,I$4,FALSE))=TRUE,"",
              VLOOKUP($G89,SantoYusuf!$L$13:$AK$56,I$4,FALSE)))</t>
  </si>
  <si>
    <t>=IF(ISNUMBER($L$6)=FALSE,"",
        IF(ISERROR(VLOOKUP($G89,SantoYusuf!$L$13:$AK$56,J$4,FALSE))=TRUE,"",
              VLOOKUP($G89,SantoYusuf!$L$13:$AK$56,J$4,FALSE)))</t>
  </si>
  <si>
    <t>=IF(ISNUMBER($L$6)=FALSE,"",
        IF(ISERROR(VLOOKUP($G89,SantoYusuf!$L$13:$AK$56,K$4,FALSE))=TRUE,"",
              VLOOKUP($G89,SantoYusuf!$L$13:$AK$56,K$4,FALSE)))</t>
  </si>
  <si>
    <t>=IF(ISNUMBER($L$6)=FALSE,"",
        IF(ISERROR(VLOOKUP($G89,SantoYusuf!$L$13:$AK$56,L$4,FALSE))=TRUE,"",
              VLOOKUP($G89,SantoYusuf!$L$13:$AK$56,L$4,FALSE)))</t>
  </si>
  <si>
    <t>=IF(ISNUMBER($L$6)=FALSE,"",
        IF(ISERROR(VLOOKUP($G89,SantoYusuf!$L$13:$AK$56,M$4,FALSE))=TRUE,"",
              VLOOKUP($G89,SantoYusuf!$L$13:$AK$56,M$4,FALSE)))</t>
  </si>
  <si>
    <t>=IF(ISNUMBER($L$6)=FALSE,"",
        IF(ISERROR(VLOOKUP($G89,SantoYusuf!$L$13:$AK$56,N$4,FALSE))=TRUE,"",
              VLOOKUP($G89,SantoYusuf!$L$13:$AK$56,N$4,FALSE)))</t>
  </si>
  <si>
    <t>=IF(ISNUMBER($L$6)=FALSE,"",
        IF(ISERROR(VLOOKUP($G89,SantoYusuf!$L$13:$AK$56,O$4,FALSE))=TRUE,"",
              VLOOKUP($G89,SantoYusuf!$L$13:$AK$56,O$4,FALSE)))</t>
  </si>
  <si>
    <t>=IF(ISNUMBER($L$6)=FALSE,"",
        IF(ISERROR(VLOOKUP($G89,SantoYusuf!$L$13:$AK$56,P$4,FALSE))=TRUE,"",
              VLOOKUP($G89,SantoYusuf!$L$13:$AK$56,P$4,FALSE)))</t>
  </si>
  <si>
    <t>=IF(ISNUMBER($L$6)=FALSE,"",
        IF(ISERROR(VLOOKUP($G89,SantoYusuf!$L$13:$AK$56,Q$4,FALSE))=TRUE,"",
              VLOOKUP($G89,SantoYusuf!$L$13:$AK$56,Q$4,FALSE)))</t>
  </si>
  <si>
    <t>=IF(ISNUMBER($L$6)=FALSE,"",
        IF(ISERROR(VLOOKUP($G89,SantoYusuf!$L$13:$AK$56,R$4,FALSE))=TRUE,"",
              VLOOKUP($G89,SantoYusuf!$L$13:$AK$56,R$4,FALSE)))</t>
  </si>
  <si>
    <t>=IF(ISNUMBER($L$6)=FALSE,"",
        IF(ISERROR(VLOOKUP($G89,SantoYusuf!$L$13:$AK$56,S$4,FALSE))=TRUE,"",
              VLOOKUP($G89,SantoYusuf!$L$13:$AK$56,S$4,FALSE)))</t>
  </si>
  <si>
    <t>=IF(ISNUMBER($L$6)=FALSE,"",
        IF(ISERROR(VLOOKUP($G89,SantoYusuf!$L$13:$AK$56,T$4,FALSE))=TRUE,"",
              VLOOKUP($G89,SantoYusuf!$L$13:$AK$56,T$4,FALSE)))</t>
  </si>
  <si>
    <t>=IF(ISNUMBER($L$6)=FALSE,"",
        IF(ISERROR(VLOOKUP($G89,SantoYusuf!$L$13:$AK$56,U$4,FALSE))=TRUE,"",
              VLOOKUP($G89,SantoYusuf!$L$13:$AK$56,U$4,FALSE)))</t>
  </si>
  <si>
    <t>=IF(ISNUMBER($L$6)=FALSE,"",
        IF(ISERROR(VLOOKUP($G89,SantoYusuf!$L$13:$AK$56,V$4,FALSE))=TRUE,"",
              VLOOKUP($G89,SantoYusuf!$L$13:$AK$56,V$4,FALSE)))</t>
  </si>
  <si>
    <t>=IF(ISNUMBER($L$6)=FALSE,"",
        IF(ISERROR(VLOOKUP($G89,SantoYusuf!$L$13:$AK$56,W$4,FALSE))=TRUE,"",
              VLOOKUP($G89,SantoYusuf!$L$13:$AK$56,W$4,FALSE)))</t>
  </si>
  <si>
    <t>=IF(ISNUMBER($L$6)=FALSE,"",
        IF(ISERROR(VLOOKUP($G89,SantoYusuf!$L$13:$AK$56,X$4,FALSE))=TRUE,"",
              VLOOKUP($G89,SantoYusuf!$L$13:$AK$56,X$4,FALSE)))</t>
  </si>
  <si>
    <t>=IF(ISNUMBER($L$6)=FALSE,"",
        IF(ISERROR(VLOOKUP($G89,SantoYusuf!$L$13:$AK$56,Y$4,FALSE))=TRUE,"",
              VLOOKUP($G89,SantoYusuf!$L$13:$AK$56,Y$4,FALSE)))</t>
  </si>
  <si>
    <t>=IF(ISNUMBER($L$6)=FALSE,"",
        IF(ISERROR(VLOOKUP($G89,SantoYusuf!$L$13:$AK$56,Z$4,FALSE))=TRUE,"",
              VLOOKUP($G89,SantoYusuf!$L$13:$AK$56,Z$4,FALSE)))</t>
  </si>
  <si>
    <t>=IF(ISNUMBER($L$6)=FALSE,"",
        IF(ISERROR(VLOOKUP($G89,SantoYusuf!$L$13:$AK$56,AA$4,FALSE))=TRUE,"",
              VLOOKUP($G89,SantoYusuf!$L$13:$AK$56,AA$4,FALSE)))</t>
  </si>
  <si>
    <t>=IF(ISNUMBER($L$6)=FALSE,"",
        IF(ISERROR(VLOOKUP($G89,SantoYusuf!$L$13:$AK$56,AB$4,FALSE))=TRUE,"",
              VLOOKUP($G89,SantoYusuf!$L$13:$AK$56,AB$4,FALSE)))</t>
  </si>
  <si>
    <t>=IF(ISNUMBER($L$6)=FALSE,"",
        IF(ISERROR(VLOOKUP($G89,SantoYusuf!$L$13:$AK$56,AC$4,FALSE))=TRUE,"",
              VLOOKUP($G89,SantoYusuf!$L$13:$AK$56,AC$4,FALSE)))</t>
  </si>
  <si>
    <t>=IF(ISNUMBER($L$6)=FALSE,"",
        IF(ISERROR(VLOOKUP($G89,SantoYusuf!$L$13:$AK$56,AD$4,FALSE))=TRUE,"",
              VLOOKUP($G89,SantoYusuf!$L$13:$AK$56,AD$4,FALSE)))</t>
  </si>
  <si>
    <t>=IF(ISNUMBER($L$6)=FALSE,"",
        IF(ISERROR(VLOOKUP($G89,SantoYusuf!$L$13:$AK$56,AE$4,FALSE))=TRUE,"",
              VLOOKUP($G89,SantoYusuf!$L$13:$AK$56,AE$4,FALSE)))</t>
  </si>
  <si>
    <t>=IF(ISNUMBER($L$6)=FALSE,"",
        IF(ISERROR(VLOOKUP($G89,SantoYusuf!$L$13:$AK$56,AF$4,FALSE))=TRUE,"",
              VLOOKUP($G89,SantoYusuf!$L$13:$AK$56,AF$4,FALSE)))</t>
  </si>
  <si>
    <t>=IF(ISNUMBER($L$6)=FALSE,"",
IF($C90=0,"",VLOOKUP($E90,SantoYusuf!$H$13:$L$56,4,FALSE)))</t>
  </si>
  <si>
    <t>=IF(ISNUMBER($L$6)=FALSE,"",
IF($C90=0,"",VLOOKUP($E90,SantoYusuf!$H$13:$L$56,5,FALSE)))</t>
  </si>
  <si>
    <t>=IF(ISNUMBER($L$6)=FALSE,"",
        IF(ISERROR(VLOOKUP($G90,SantoYusuf!$L$13:$AK$56,I$4,FALSE))=TRUE,"",
              VLOOKUP($G90,SantoYusuf!$L$13:$AK$56,I$4,FALSE)))</t>
  </si>
  <si>
    <t>=IF(ISNUMBER($L$6)=FALSE,"",
        IF(ISERROR(VLOOKUP($G90,SantoYusuf!$L$13:$AK$56,J$4,FALSE))=TRUE,"",
              VLOOKUP($G90,SantoYusuf!$L$13:$AK$56,J$4,FALSE)))</t>
  </si>
  <si>
    <t>=IF(ISNUMBER($L$6)=FALSE,"",
        IF(ISERROR(VLOOKUP($G90,SantoYusuf!$L$13:$AK$56,K$4,FALSE))=TRUE,"",
              VLOOKUP($G90,SantoYusuf!$L$13:$AK$56,K$4,FALSE)))</t>
  </si>
  <si>
    <t>=IF(ISNUMBER($L$6)=FALSE,"",
        IF(ISERROR(VLOOKUP($G90,SantoYusuf!$L$13:$AK$56,L$4,FALSE))=TRUE,"",
              VLOOKUP($G90,SantoYusuf!$L$13:$AK$56,L$4,FALSE)))</t>
  </si>
  <si>
    <t>=IF(ISNUMBER($L$6)=FALSE,"",
        IF(ISERROR(VLOOKUP($G90,SantoYusuf!$L$13:$AK$56,M$4,FALSE))=TRUE,"",
              VLOOKUP($G90,SantoYusuf!$L$13:$AK$56,M$4,FALSE)))</t>
  </si>
  <si>
    <t>=IF(ISNUMBER($L$6)=FALSE,"",
        IF(ISERROR(VLOOKUP($G90,SantoYusuf!$L$13:$AK$56,N$4,FALSE))=TRUE,"",
              VLOOKUP($G90,SantoYusuf!$L$13:$AK$56,N$4,FALSE)))</t>
  </si>
  <si>
    <t>=IF(ISNUMBER($L$6)=FALSE,"",
        IF(ISERROR(VLOOKUP($G90,SantoYusuf!$L$13:$AK$56,O$4,FALSE))=TRUE,"",
              VLOOKUP($G90,SantoYusuf!$L$13:$AK$56,O$4,FALSE)))</t>
  </si>
  <si>
    <t>=IF(ISNUMBER($L$6)=FALSE,"",
        IF(ISERROR(VLOOKUP($G90,SantoYusuf!$L$13:$AK$56,P$4,FALSE))=TRUE,"",
              VLOOKUP($G90,SantoYusuf!$L$13:$AK$56,P$4,FALSE)))</t>
  </si>
  <si>
    <t>=IF(ISNUMBER($L$6)=FALSE,"",
        IF(ISERROR(VLOOKUP($G90,SantoYusuf!$L$13:$AK$56,Q$4,FALSE))=TRUE,"",
              VLOOKUP($G90,SantoYusuf!$L$13:$AK$56,Q$4,FALSE)))</t>
  </si>
  <si>
    <t>=IF(ISNUMBER($L$6)=FALSE,"",
        IF(ISERROR(VLOOKUP($G90,SantoYusuf!$L$13:$AK$56,R$4,FALSE))=TRUE,"",
              VLOOKUP($G90,SantoYusuf!$L$13:$AK$56,R$4,FALSE)))</t>
  </si>
  <si>
    <t>=IF(ISNUMBER($L$6)=FALSE,"",
        IF(ISERROR(VLOOKUP($G90,SantoYusuf!$L$13:$AK$56,S$4,FALSE))=TRUE,"",
              VLOOKUP($G90,SantoYusuf!$L$13:$AK$56,S$4,FALSE)))</t>
  </si>
  <si>
    <t>=IF(ISNUMBER($L$6)=FALSE,"",
        IF(ISERROR(VLOOKUP($G90,SantoYusuf!$L$13:$AK$56,T$4,FALSE))=TRUE,"",
              VLOOKUP($G90,SantoYusuf!$L$13:$AK$56,T$4,FALSE)))</t>
  </si>
  <si>
    <t>=IF(ISNUMBER($L$6)=FALSE,"",
        IF(ISERROR(VLOOKUP($G90,SantoYusuf!$L$13:$AK$56,U$4,FALSE))=TRUE,"",
              VLOOKUP($G90,SantoYusuf!$L$13:$AK$56,U$4,FALSE)))</t>
  </si>
  <si>
    <t>=IF(ISNUMBER($L$6)=FALSE,"",
        IF(ISERROR(VLOOKUP($G90,SantoYusuf!$L$13:$AK$56,V$4,FALSE))=TRUE,"",
              VLOOKUP($G90,SantoYusuf!$L$13:$AK$56,V$4,FALSE)))</t>
  </si>
  <si>
    <t>=IF(ISNUMBER($L$6)=FALSE,"",
        IF(ISERROR(VLOOKUP($G90,SantoYusuf!$L$13:$AK$56,W$4,FALSE))=TRUE,"",
              VLOOKUP($G90,SantoYusuf!$L$13:$AK$56,W$4,FALSE)))</t>
  </si>
  <si>
    <t>=IF(ISNUMBER($L$6)=FALSE,"",
        IF(ISERROR(VLOOKUP($G90,SantoYusuf!$L$13:$AK$56,X$4,FALSE))=TRUE,"",
              VLOOKUP($G90,SantoYusuf!$L$13:$AK$56,X$4,FALSE)))</t>
  </si>
  <si>
    <t>=IF(ISNUMBER($L$6)=FALSE,"",
        IF(ISERROR(VLOOKUP($G90,SantoYusuf!$L$13:$AK$56,Y$4,FALSE))=TRUE,"",
              VLOOKUP($G90,SantoYusuf!$L$13:$AK$56,Y$4,FALSE)))</t>
  </si>
  <si>
    <t>=IF(ISNUMBER($L$6)=FALSE,"",
        IF(ISERROR(VLOOKUP($G90,SantoYusuf!$L$13:$AK$56,Z$4,FALSE))=TRUE,"",
              VLOOKUP($G90,SantoYusuf!$L$13:$AK$56,Z$4,FALSE)))</t>
  </si>
  <si>
    <t>=IF(ISNUMBER($L$6)=FALSE,"",
        IF(ISERROR(VLOOKUP($G90,SantoYusuf!$L$13:$AK$56,AA$4,FALSE))=TRUE,"",
              VLOOKUP($G90,SantoYusuf!$L$13:$AK$56,AA$4,FALSE)))</t>
  </si>
  <si>
    <t>=IF(ISNUMBER($L$6)=FALSE,"",
        IF(ISERROR(VLOOKUP($G90,SantoYusuf!$L$13:$AK$56,AB$4,FALSE))=TRUE,"",
              VLOOKUP($G90,SantoYusuf!$L$13:$AK$56,AB$4,FALSE)))</t>
  </si>
  <si>
    <t>=IF(ISNUMBER($L$6)=FALSE,"",
        IF(ISERROR(VLOOKUP($G90,SantoYusuf!$L$13:$AK$56,AC$4,FALSE))=TRUE,"",
              VLOOKUP($G90,SantoYusuf!$L$13:$AK$56,AC$4,FALSE)))</t>
  </si>
  <si>
    <t>=IF(ISNUMBER($L$6)=FALSE,"",
        IF(ISERROR(VLOOKUP($G90,SantoYusuf!$L$13:$AK$56,AD$4,FALSE))=TRUE,"",
              VLOOKUP($G90,SantoYusuf!$L$13:$AK$56,AD$4,FALSE)))</t>
  </si>
  <si>
    <t>=IF(ISNUMBER($L$6)=FALSE,"",
        IF(ISERROR(VLOOKUP($G90,SantoYusuf!$L$13:$AK$56,AE$4,FALSE))=TRUE,"",
              VLOOKUP($G90,SantoYusuf!$L$13:$AK$56,AE$4,FALSE)))</t>
  </si>
  <si>
    <t>=IF(ISNUMBER($L$6)=FALSE,"",
        IF(ISERROR(VLOOKUP($G90,SantoYusuf!$L$13:$AK$56,AF$4,FALSE))=TRUE,"",
              VLOOKUP($G90,SantoYusuf!$L$13:$AK$56,AF$4,FALSE)))</t>
  </si>
  <si>
    <t>=IF(ISNUMBER($L$6)=FALSE,"",
IF($C91=0,"",VLOOKUP($E91,SantoYusuf!$H$13:$L$56,4,FALSE)))</t>
  </si>
  <si>
    <t>=IF(ISNUMBER($L$6)=FALSE,"",
IF($C91=0,"",VLOOKUP($E91,SantoYusuf!$H$13:$L$56,5,FALSE)))</t>
  </si>
  <si>
    <t>=IF(ISNUMBER($L$6)=FALSE,"",
        IF(ISERROR(VLOOKUP($G91,SantoYusuf!$L$13:$AK$56,I$4,FALSE))=TRUE,"",
              VLOOKUP($G91,SantoYusuf!$L$13:$AK$56,I$4,FALSE)))</t>
  </si>
  <si>
    <t>=IF(ISNUMBER($L$6)=FALSE,"",
        IF(ISERROR(VLOOKUP($G91,SantoYusuf!$L$13:$AK$56,J$4,FALSE))=TRUE,"",
              VLOOKUP($G91,SantoYusuf!$L$13:$AK$56,J$4,FALSE)))</t>
  </si>
  <si>
    <t>=IF(ISNUMBER($L$6)=FALSE,"",
        IF(ISERROR(VLOOKUP($G91,SantoYusuf!$L$13:$AK$56,K$4,FALSE))=TRUE,"",
              VLOOKUP($G91,SantoYusuf!$L$13:$AK$56,K$4,FALSE)))</t>
  </si>
  <si>
    <t>=IF(ISNUMBER($L$6)=FALSE,"",
        IF(ISERROR(VLOOKUP($G91,SantoYusuf!$L$13:$AK$56,L$4,FALSE))=TRUE,"",
              VLOOKUP($G91,SantoYusuf!$L$13:$AK$56,L$4,FALSE)))</t>
  </si>
  <si>
    <t>=IF(ISNUMBER($L$6)=FALSE,"",
        IF(ISERROR(VLOOKUP($G91,SantoYusuf!$L$13:$AK$56,M$4,FALSE))=TRUE,"",
              VLOOKUP($G91,SantoYusuf!$L$13:$AK$56,M$4,FALSE)))</t>
  </si>
  <si>
    <t>=IF(ISNUMBER($L$6)=FALSE,"",
        IF(ISERROR(VLOOKUP($G91,SantoYusuf!$L$13:$AK$56,N$4,FALSE))=TRUE,"",
              VLOOKUP($G91,SantoYusuf!$L$13:$AK$56,N$4,FALSE)))</t>
  </si>
  <si>
    <t>=IF(ISNUMBER($L$6)=FALSE,"",
        IF(ISERROR(VLOOKUP($G91,SantoYusuf!$L$13:$AK$56,O$4,FALSE))=TRUE,"",
              VLOOKUP($G91,SantoYusuf!$L$13:$AK$56,O$4,FALSE)))</t>
  </si>
  <si>
    <t>=IF(ISNUMBER($L$6)=FALSE,"",
        IF(ISERROR(VLOOKUP($G91,SantoYusuf!$L$13:$AK$56,P$4,FALSE))=TRUE,"",
              VLOOKUP($G91,SantoYusuf!$L$13:$AK$56,P$4,FALSE)))</t>
  </si>
  <si>
    <t>=IF(ISNUMBER($L$6)=FALSE,"",
        IF(ISERROR(VLOOKUP($G91,SantoYusuf!$L$13:$AK$56,Q$4,FALSE))=TRUE,"",
              VLOOKUP($G91,SantoYusuf!$L$13:$AK$56,Q$4,FALSE)))</t>
  </si>
  <si>
    <t>=IF(ISNUMBER($L$6)=FALSE,"",
        IF(ISERROR(VLOOKUP($G91,SantoYusuf!$L$13:$AK$56,R$4,FALSE))=TRUE,"",
              VLOOKUP($G91,SantoYusuf!$L$13:$AK$56,R$4,FALSE)))</t>
  </si>
  <si>
    <t>=IF(ISNUMBER($L$6)=FALSE,"",
        IF(ISERROR(VLOOKUP($G91,SantoYusuf!$L$13:$AK$56,S$4,FALSE))=TRUE,"",
              VLOOKUP($G91,SantoYusuf!$L$13:$AK$56,S$4,FALSE)))</t>
  </si>
  <si>
    <t>=IF(ISNUMBER($L$6)=FALSE,"",
        IF(ISERROR(VLOOKUP($G91,SantoYusuf!$L$13:$AK$56,T$4,FALSE))=TRUE,"",
              VLOOKUP($G91,SantoYusuf!$L$13:$AK$56,T$4,FALSE)))</t>
  </si>
  <si>
    <t>=IF(ISNUMBER($L$6)=FALSE,"",
        IF(ISERROR(VLOOKUP($G91,SantoYusuf!$L$13:$AK$56,U$4,FALSE))=TRUE,"",
              VLOOKUP($G91,SantoYusuf!$L$13:$AK$56,U$4,FALSE)))</t>
  </si>
  <si>
    <t>=IF(ISNUMBER($L$6)=FALSE,"",
        IF(ISERROR(VLOOKUP($G91,SantoYusuf!$L$13:$AK$56,V$4,FALSE))=TRUE,"",
              VLOOKUP($G91,SantoYusuf!$L$13:$AK$56,V$4,FALSE)))</t>
  </si>
  <si>
    <t>=IF(ISNUMBER($L$6)=FALSE,"",
        IF(ISERROR(VLOOKUP($G91,SantoYusuf!$L$13:$AK$56,W$4,FALSE))=TRUE,"",
              VLOOKUP($G91,SantoYusuf!$L$13:$AK$56,W$4,FALSE)))</t>
  </si>
  <si>
    <t>=IF(ISNUMBER($L$6)=FALSE,"",
        IF(ISERROR(VLOOKUP($G91,SantoYusuf!$L$13:$AK$56,X$4,FALSE))=TRUE,"",
              VLOOKUP($G91,SantoYusuf!$L$13:$AK$56,X$4,FALSE)))</t>
  </si>
  <si>
    <t>=IF(ISNUMBER($L$6)=FALSE,"",
        IF(ISERROR(VLOOKUP($G91,SantoYusuf!$L$13:$AK$56,Y$4,FALSE))=TRUE,"",
              VLOOKUP($G91,SantoYusuf!$L$13:$AK$56,Y$4,FALSE)))</t>
  </si>
  <si>
    <t>=IF(ISNUMBER($L$6)=FALSE,"",
        IF(ISERROR(VLOOKUP($G91,SantoYusuf!$L$13:$AK$56,Z$4,FALSE))=TRUE,"",
              VLOOKUP($G91,SantoYusuf!$L$13:$AK$56,Z$4,FALSE)))</t>
  </si>
  <si>
    <t>=IF(ISNUMBER($L$6)=FALSE,"",
        IF(ISERROR(VLOOKUP($G91,SantoYusuf!$L$13:$AK$56,AA$4,FALSE))=TRUE,"",
              VLOOKUP($G91,SantoYusuf!$L$13:$AK$56,AA$4,FALSE)))</t>
  </si>
  <si>
    <t>=IF(ISNUMBER($L$6)=FALSE,"",
        IF(ISERROR(VLOOKUP($G91,SantoYusuf!$L$13:$AK$56,AB$4,FALSE))=TRUE,"",
              VLOOKUP($G91,SantoYusuf!$L$13:$AK$56,AB$4,FALSE)))</t>
  </si>
  <si>
    <t>=IF(ISNUMBER($L$6)=FALSE,"",
        IF(ISERROR(VLOOKUP($G91,SantoYusuf!$L$13:$AK$56,AC$4,FALSE))=TRUE,"",
              VLOOKUP($G91,SantoYusuf!$L$13:$AK$56,AC$4,FALSE)))</t>
  </si>
  <si>
    <t>=IF(ISNUMBER($L$6)=FALSE,"",
        IF(ISERROR(VLOOKUP($G91,SantoYusuf!$L$13:$AK$56,AD$4,FALSE))=TRUE,"",
              VLOOKUP($G91,SantoYusuf!$L$13:$AK$56,AD$4,FALSE)))</t>
  </si>
  <si>
    <t>=IF(ISNUMBER($L$6)=FALSE,"",
        IF(ISERROR(VLOOKUP($G91,SantoYusuf!$L$13:$AK$56,AE$4,FALSE))=TRUE,"",
              VLOOKUP($G91,SantoYusuf!$L$13:$AK$56,AE$4,FALSE)))</t>
  </si>
  <si>
    <t>=IF(ISNUMBER($L$6)=FALSE,"",
        IF(ISERROR(VLOOKUP($G91,SantoYusuf!$L$13:$AK$56,AF$4,FALSE))=TRUE,"",
              VLOOKUP($G91,SantoYusuf!$L$13:$AK$56,AF$4,FALSE)))</t>
  </si>
  <si>
    <t>=IF(ISNUMBER($L$6)=FALSE,"",
IF($C92=0,"",VLOOKUP($E92,SantoYusuf!$H$13:$L$56,4,FALSE)))</t>
  </si>
  <si>
    <t>=IF(ISNUMBER($L$6)=FALSE,"",
IF($C92=0,"",VLOOKUP($E92,SantoYusuf!$H$13:$L$56,5,FALSE)))</t>
  </si>
  <si>
    <t>=IF(ISNUMBER($L$6)=FALSE,"",
        IF(ISERROR(VLOOKUP($G92,SantoYusuf!$L$13:$AK$56,I$4,FALSE))=TRUE,"",
              VLOOKUP($G92,SantoYusuf!$L$13:$AK$56,I$4,FALSE)))</t>
  </si>
  <si>
    <t>=IF(ISNUMBER($L$6)=FALSE,"",
        IF(ISERROR(VLOOKUP($G92,SantoYusuf!$L$13:$AK$56,J$4,FALSE))=TRUE,"",
              VLOOKUP($G92,SantoYusuf!$L$13:$AK$56,J$4,FALSE)))</t>
  </si>
  <si>
    <t>=IF(ISNUMBER($L$6)=FALSE,"",
        IF(ISERROR(VLOOKUP($G92,SantoYusuf!$L$13:$AK$56,K$4,FALSE))=TRUE,"",
              VLOOKUP($G92,SantoYusuf!$L$13:$AK$56,K$4,FALSE)))</t>
  </si>
  <si>
    <t>=IF(ISNUMBER($L$6)=FALSE,"",
        IF(ISERROR(VLOOKUP($G92,SantoYusuf!$L$13:$AK$56,L$4,FALSE))=TRUE,"",
              VLOOKUP($G92,SantoYusuf!$L$13:$AK$56,L$4,FALSE)))</t>
  </si>
  <si>
    <t>=IF(ISNUMBER($L$6)=FALSE,"",
        IF(ISERROR(VLOOKUP($G92,SantoYusuf!$L$13:$AK$56,M$4,FALSE))=TRUE,"",
              VLOOKUP($G92,SantoYusuf!$L$13:$AK$56,M$4,FALSE)))</t>
  </si>
  <si>
    <t>=IF(ISNUMBER($L$6)=FALSE,"",
        IF(ISERROR(VLOOKUP($G92,SantoYusuf!$L$13:$AK$56,N$4,FALSE))=TRUE,"",
              VLOOKUP($G92,SantoYusuf!$L$13:$AK$56,N$4,FALSE)))</t>
  </si>
  <si>
    <t>=IF(ISNUMBER($L$6)=FALSE,"",
        IF(ISERROR(VLOOKUP($G92,SantoYusuf!$L$13:$AK$56,O$4,FALSE))=TRUE,"",
              VLOOKUP($G92,SantoYusuf!$L$13:$AK$56,O$4,FALSE)))</t>
  </si>
  <si>
    <t>=IF(ISNUMBER($L$6)=FALSE,"",
        IF(ISERROR(VLOOKUP($G92,SantoYusuf!$L$13:$AK$56,P$4,FALSE))=TRUE,"",
              VLOOKUP($G92,SantoYusuf!$L$13:$AK$56,P$4,FALSE)))</t>
  </si>
  <si>
    <t>=IF(ISNUMBER($L$6)=FALSE,"",
        IF(ISERROR(VLOOKUP($G92,SantoYusuf!$L$13:$AK$56,Q$4,FALSE))=TRUE,"",
              VLOOKUP($G92,SantoYusuf!$L$13:$AK$56,Q$4,FALSE)))</t>
  </si>
  <si>
    <t>=IF(ISNUMBER($L$6)=FALSE,"",
        IF(ISERROR(VLOOKUP($G92,SantoYusuf!$L$13:$AK$56,R$4,FALSE))=TRUE,"",
              VLOOKUP($G92,SantoYusuf!$L$13:$AK$56,R$4,FALSE)))</t>
  </si>
  <si>
    <t>=IF(ISNUMBER($L$6)=FALSE,"",
        IF(ISERROR(VLOOKUP($G92,SantoYusuf!$L$13:$AK$56,S$4,FALSE))=TRUE,"",
              VLOOKUP($G92,SantoYusuf!$L$13:$AK$56,S$4,FALSE)))</t>
  </si>
  <si>
    <t>=IF(ISNUMBER($L$6)=FALSE,"",
        IF(ISERROR(VLOOKUP($G92,SantoYusuf!$L$13:$AK$56,T$4,FALSE))=TRUE,"",
              VLOOKUP($G92,SantoYusuf!$L$13:$AK$56,T$4,FALSE)))</t>
  </si>
  <si>
    <t>=IF(ISNUMBER($L$6)=FALSE,"",
        IF(ISERROR(VLOOKUP($G92,SantoYusuf!$L$13:$AK$56,U$4,FALSE))=TRUE,"",
              VLOOKUP($G92,SantoYusuf!$L$13:$AK$56,U$4,FALSE)))</t>
  </si>
  <si>
    <t>=IF(ISNUMBER($L$6)=FALSE,"",
        IF(ISERROR(VLOOKUP($G92,SantoYusuf!$L$13:$AK$56,V$4,FALSE))=TRUE,"",
              VLOOKUP($G92,SantoYusuf!$L$13:$AK$56,V$4,FALSE)))</t>
  </si>
  <si>
    <t>=IF(ISNUMBER($L$6)=FALSE,"",
        IF(ISERROR(VLOOKUP($G92,SantoYusuf!$L$13:$AK$56,W$4,FALSE))=TRUE,"",
              VLOOKUP($G92,SantoYusuf!$L$13:$AK$56,W$4,FALSE)))</t>
  </si>
  <si>
    <t>=IF(ISNUMBER($L$6)=FALSE,"",
        IF(ISERROR(VLOOKUP($G92,SantoYusuf!$L$13:$AK$56,X$4,FALSE))=TRUE,"",
              VLOOKUP($G92,SantoYusuf!$L$13:$AK$56,X$4,FALSE)))</t>
  </si>
  <si>
    <t>=IF(ISNUMBER($L$6)=FALSE,"",
        IF(ISERROR(VLOOKUP($G92,SantoYusuf!$L$13:$AK$56,Y$4,FALSE))=TRUE,"",
              VLOOKUP($G92,SantoYusuf!$L$13:$AK$56,Y$4,FALSE)))</t>
  </si>
  <si>
    <t>=IF(ISNUMBER($L$6)=FALSE,"",
        IF(ISERROR(VLOOKUP($G92,SantoYusuf!$L$13:$AK$56,Z$4,FALSE))=TRUE,"",
              VLOOKUP($G92,SantoYusuf!$L$13:$AK$56,Z$4,FALSE)))</t>
  </si>
  <si>
    <t>=IF(ISNUMBER($L$6)=FALSE,"",
        IF(ISERROR(VLOOKUP($G92,SantoYusuf!$L$13:$AK$56,AA$4,FALSE))=TRUE,"",
              VLOOKUP($G92,SantoYusuf!$L$13:$AK$56,AA$4,FALSE)))</t>
  </si>
  <si>
    <t>=IF(ISNUMBER($L$6)=FALSE,"",
        IF(ISERROR(VLOOKUP($G92,SantoYusuf!$L$13:$AK$56,AB$4,FALSE))=TRUE,"",
              VLOOKUP($G92,SantoYusuf!$L$13:$AK$56,AB$4,FALSE)))</t>
  </si>
  <si>
    <t>=IF(ISNUMBER($L$6)=FALSE,"",
        IF(ISERROR(VLOOKUP($G92,SantoYusuf!$L$13:$AK$56,AC$4,FALSE))=TRUE,"",
              VLOOKUP($G92,SantoYusuf!$L$13:$AK$56,AC$4,FALSE)))</t>
  </si>
  <si>
    <t>=IF(ISNUMBER($L$6)=FALSE,"",
        IF(ISERROR(VLOOKUP($G92,SantoYusuf!$L$13:$AK$56,AD$4,FALSE))=TRUE,"",
              VLOOKUP($G92,SantoYusuf!$L$13:$AK$56,AD$4,FALSE)))</t>
  </si>
  <si>
    <t>=IF(ISNUMBER($L$6)=FALSE,"",
        IF(ISERROR(VLOOKUP($G92,SantoYusuf!$L$13:$AK$56,AE$4,FALSE))=TRUE,"",
              VLOOKUP($G92,SantoYusuf!$L$13:$AK$56,AE$4,FALSE)))</t>
  </si>
  <si>
    <t>=IF(ISNUMBER($L$6)=FALSE,"",
        IF(ISERROR(VLOOKUP($G92,SantoYusuf!$L$13:$AK$56,AF$4,FALSE))=TRUE,"",
              VLOOKUP($G92,SantoYusuf!$L$13:$AK$56,AF$4,FALSE)))</t>
  </si>
  <si>
    <t>=IF(ISNUMBER($L$6)=FALSE,"",
IF($C93=0,"",VLOOKUP($E93,SantoYusuf!$H$13:$L$56,4,FALSE)))</t>
  </si>
  <si>
    <t>=IF(ISNUMBER($L$6)=FALSE,"",
IF($C93=0,"",VLOOKUP($E93,SantoYusuf!$H$13:$L$56,5,FALSE)))</t>
  </si>
  <si>
    <t>=IF(ISNUMBER($L$6)=FALSE,"",
        IF(ISERROR(VLOOKUP($G93,SantoYusuf!$L$13:$AK$56,I$4,FALSE))=TRUE,"",
              VLOOKUP($G93,SantoYusuf!$L$13:$AK$56,I$4,FALSE)))</t>
  </si>
  <si>
    <t>=IF(ISNUMBER($L$6)=FALSE,"",
        IF(ISERROR(VLOOKUP($G93,SantoYusuf!$L$13:$AK$56,J$4,FALSE))=TRUE,"",
              VLOOKUP($G93,SantoYusuf!$L$13:$AK$56,J$4,FALSE)))</t>
  </si>
  <si>
    <t>=IF(ISNUMBER($L$6)=FALSE,"",
        IF(ISERROR(VLOOKUP($G93,SantoYusuf!$L$13:$AK$56,K$4,FALSE))=TRUE,"",
              VLOOKUP($G93,SantoYusuf!$L$13:$AK$56,K$4,FALSE)))</t>
  </si>
  <si>
    <t>=IF(ISNUMBER($L$6)=FALSE,"",
        IF(ISERROR(VLOOKUP($G93,SantoYusuf!$L$13:$AK$56,L$4,FALSE))=TRUE,"",
              VLOOKUP($G93,SantoYusuf!$L$13:$AK$56,L$4,FALSE)))</t>
  </si>
  <si>
    <t>=IF(ISNUMBER($L$6)=FALSE,"",
        IF(ISERROR(VLOOKUP($G93,SantoYusuf!$L$13:$AK$56,M$4,FALSE))=TRUE,"",
              VLOOKUP($G93,SantoYusuf!$L$13:$AK$56,M$4,FALSE)))</t>
  </si>
  <si>
    <t>=IF(ISNUMBER($L$6)=FALSE,"",
        IF(ISERROR(VLOOKUP($G93,SantoYusuf!$L$13:$AK$56,N$4,FALSE))=TRUE,"",
              VLOOKUP($G93,SantoYusuf!$L$13:$AK$56,N$4,FALSE)))</t>
  </si>
  <si>
    <t>=IF(ISNUMBER($L$6)=FALSE,"",
        IF(ISERROR(VLOOKUP($G93,SantoYusuf!$L$13:$AK$56,O$4,FALSE))=TRUE,"",
              VLOOKUP($G93,SantoYusuf!$L$13:$AK$56,O$4,FALSE)))</t>
  </si>
  <si>
    <t>=IF(ISNUMBER($L$6)=FALSE,"",
        IF(ISERROR(VLOOKUP($G93,SantoYusuf!$L$13:$AK$56,P$4,FALSE))=TRUE,"",
              VLOOKUP($G93,SantoYusuf!$L$13:$AK$56,P$4,FALSE)))</t>
  </si>
  <si>
    <t>=IF(ISNUMBER($L$6)=FALSE,"",
        IF(ISERROR(VLOOKUP($G93,SantoYusuf!$L$13:$AK$56,Q$4,FALSE))=TRUE,"",
              VLOOKUP($G93,SantoYusuf!$L$13:$AK$56,Q$4,FALSE)))</t>
  </si>
  <si>
    <t>=IF(ISNUMBER($L$6)=FALSE,"",
        IF(ISERROR(VLOOKUP($G93,SantoYusuf!$L$13:$AK$56,R$4,FALSE))=TRUE,"",
              VLOOKUP($G93,SantoYusuf!$L$13:$AK$56,R$4,FALSE)))</t>
  </si>
  <si>
    <t>=IF(ISNUMBER($L$6)=FALSE,"",
        IF(ISERROR(VLOOKUP($G93,SantoYusuf!$L$13:$AK$56,S$4,FALSE))=TRUE,"",
              VLOOKUP($G93,SantoYusuf!$L$13:$AK$56,S$4,FALSE)))</t>
  </si>
  <si>
    <t>=IF(ISNUMBER($L$6)=FALSE,"",
        IF(ISERROR(VLOOKUP($G93,SantoYusuf!$L$13:$AK$56,T$4,FALSE))=TRUE,"",
              VLOOKUP($G93,SantoYusuf!$L$13:$AK$56,T$4,FALSE)))</t>
  </si>
  <si>
    <t>=IF(ISNUMBER($L$6)=FALSE,"",
        IF(ISERROR(VLOOKUP($G93,SantoYusuf!$L$13:$AK$56,U$4,FALSE))=TRUE,"",
              VLOOKUP($G93,SantoYusuf!$L$13:$AK$56,U$4,FALSE)))</t>
  </si>
  <si>
    <t>=IF(ISNUMBER($L$6)=FALSE,"",
        IF(ISERROR(VLOOKUP($G93,SantoYusuf!$L$13:$AK$56,V$4,FALSE))=TRUE,"",
              VLOOKUP($G93,SantoYusuf!$L$13:$AK$56,V$4,FALSE)))</t>
  </si>
  <si>
    <t>=IF(ISNUMBER($L$6)=FALSE,"",
        IF(ISERROR(VLOOKUP($G93,SantoYusuf!$L$13:$AK$56,W$4,FALSE))=TRUE,"",
              VLOOKUP($G93,SantoYusuf!$L$13:$AK$56,W$4,FALSE)))</t>
  </si>
  <si>
    <t>=IF(ISNUMBER($L$6)=FALSE,"",
        IF(ISERROR(VLOOKUP($G93,SantoYusuf!$L$13:$AK$56,X$4,FALSE))=TRUE,"",
              VLOOKUP($G93,SantoYusuf!$L$13:$AK$56,X$4,FALSE)))</t>
  </si>
  <si>
    <t>=IF(ISNUMBER($L$6)=FALSE,"",
        IF(ISERROR(VLOOKUP($G93,SantoYusuf!$L$13:$AK$56,Y$4,FALSE))=TRUE,"",
              VLOOKUP($G93,SantoYusuf!$L$13:$AK$56,Y$4,FALSE)))</t>
  </si>
  <si>
    <t>=IF(ISNUMBER($L$6)=FALSE,"",
        IF(ISERROR(VLOOKUP($G93,SantoYusuf!$L$13:$AK$56,Z$4,FALSE))=TRUE,"",
              VLOOKUP($G93,SantoYusuf!$L$13:$AK$56,Z$4,FALSE)))</t>
  </si>
  <si>
    <t>=IF(ISNUMBER($L$6)=FALSE,"",
        IF(ISERROR(VLOOKUP($G93,SantoYusuf!$L$13:$AK$56,AA$4,FALSE))=TRUE,"",
              VLOOKUP($G93,SantoYusuf!$L$13:$AK$56,AA$4,FALSE)))</t>
  </si>
  <si>
    <t>=IF(ISNUMBER($L$6)=FALSE,"",
        IF(ISERROR(VLOOKUP($G93,SantoYusuf!$L$13:$AK$56,AB$4,FALSE))=TRUE,"",
              VLOOKUP($G93,SantoYusuf!$L$13:$AK$56,AB$4,FALSE)))</t>
  </si>
  <si>
    <t>=IF(ISNUMBER($L$6)=FALSE,"",
        IF(ISERROR(VLOOKUP($G93,SantoYusuf!$L$13:$AK$56,AC$4,FALSE))=TRUE,"",
              VLOOKUP($G93,SantoYusuf!$L$13:$AK$56,AC$4,FALSE)))</t>
  </si>
  <si>
    <t>=IF(ISNUMBER($L$6)=FALSE,"",
        IF(ISERROR(VLOOKUP($G93,SantoYusuf!$L$13:$AK$56,AD$4,FALSE))=TRUE,"",
              VLOOKUP($G93,SantoYusuf!$L$13:$AK$56,AD$4,FALSE)))</t>
  </si>
  <si>
    <t>=IF(ISNUMBER($L$6)=FALSE,"",
        IF(ISERROR(VLOOKUP($G93,SantoYusuf!$L$13:$AK$56,AE$4,FALSE))=TRUE,"",
              VLOOKUP($G93,SantoYusuf!$L$13:$AK$56,AE$4,FALSE)))</t>
  </si>
  <si>
    <t>=IF(ISNUMBER($L$6)=FALSE,"",
        IF(ISERROR(VLOOKUP($G93,SantoYusuf!$L$13:$AK$56,AF$4,FALSE))=TRUE,"",
              VLOOKUP($G93,SantoYusuf!$L$13:$AK$56,AF$4,FALSE)))</t>
  </si>
  <si>
    <t>=IF(ISNUMBER($L$6)=FALSE,"",
IF($C94=0,"",VLOOKUP($E94,SantoYusuf!$H$13:$L$56,4,FALSE)))</t>
  </si>
  <si>
    <t>=IF(ISNUMBER($L$6)=FALSE,"",
IF($C94=0,"",VLOOKUP($E94,SantoYusuf!$H$13:$L$56,5,FALSE)))</t>
  </si>
  <si>
    <t>=IF(ISNUMBER($L$6)=FALSE,"",
        IF(ISERROR(VLOOKUP($G94,SantoYusuf!$L$13:$AK$56,I$4,FALSE))=TRUE,"",
              VLOOKUP($G94,SantoYusuf!$L$13:$AK$56,I$4,FALSE)))</t>
  </si>
  <si>
    <t>=IF(ISNUMBER($L$6)=FALSE,"",
        IF(ISERROR(VLOOKUP($G94,SantoYusuf!$L$13:$AK$56,J$4,FALSE))=TRUE,"",
              VLOOKUP($G94,SantoYusuf!$L$13:$AK$56,J$4,FALSE)))</t>
  </si>
  <si>
    <t>=IF(ISNUMBER($L$6)=FALSE,"",
        IF(ISERROR(VLOOKUP($G94,SantoYusuf!$L$13:$AK$56,K$4,FALSE))=TRUE,"",
              VLOOKUP($G94,SantoYusuf!$L$13:$AK$56,K$4,FALSE)))</t>
  </si>
  <si>
    <t>=IF(ISNUMBER($L$6)=FALSE,"",
        IF(ISERROR(VLOOKUP($G94,SantoYusuf!$L$13:$AK$56,L$4,FALSE))=TRUE,"",
              VLOOKUP($G94,SantoYusuf!$L$13:$AK$56,L$4,FALSE)))</t>
  </si>
  <si>
    <t>=IF(ISNUMBER($L$6)=FALSE,"",
        IF(ISERROR(VLOOKUP($G94,SantoYusuf!$L$13:$AK$56,M$4,FALSE))=TRUE,"",
              VLOOKUP($G94,SantoYusuf!$L$13:$AK$56,M$4,FALSE)))</t>
  </si>
  <si>
    <t>=IF(ISNUMBER($L$6)=FALSE,"",
        IF(ISERROR(VLOOKUP($G94,SantoYusuf!$L$13:$AK$56,N$4,FALSE))=TRUE,"",
              VLOOKUP($G94,SantoYusuf!$L$13:$AK$56,N$4,FALSE)))</t>
  </si>
  <si>
    <t>=IF(ISNUMBER($L$6)=FALSE,"",
        IF(ISERROR(VLOOKUP($G94,SantoYusuf!$L$13:$AK$56,O$4,FALSE))=TRUE,"",
              VLOOKUP($G94,SantoYusuf!$L$13:$AK$56,O$4,FALSE)))</t>
  </si>
  <si>
    <t>=IF(ISNUMBER($L$6)=FALSE,"",
        IF(ISERROR(VLOOKUP($G94,SantoYusuf!$L$13:$AK$56,P$4,FALSE))=TRUE,"",
              VLOOKUP($G94,SantoYusuf!$L$13:$AK$56,P$4,FALSE)))</t>
  </si>
  <si>
    <t>=IF(ISNUMBER($L$6)=FALSE,"",
        IF(ISERROR(VLOOKUP($G94,SantoYusuf!$L$13:$AK$56,Q$4,FALSE))=TRUE,"",
              VLOOKUP($G94,SantoYusuf!$L$13:$AK$56,Q$4,FALSE)))</t>
  </si>
  <si>
    <t>=IF(ISNUMBER($L$6)=FALSE,"",
        IF(ISERROR(VLOOKUP($G94,SantoYusuf!$L$13:$AK$56,R$4,FALSE))=TRUE,"",
              VLOOKUP($G94,SantoYusuf!$L$13:$AK$56,R$4,FALSE)))</t>
  </si>
  <si>
    <t>=IF(ISNUMBER($L$6)=FALSE,"",
        IF(ISERROR(VLOOKUP($G94,SantoYusuf!$L$13:$AK$56,S$4,FALSE))=TRUE,"",
              VLOOKUP($G94,SantoYusuf!$L$13:$AK$56,S$4,FALSE)))</t>
  </si>
  <si>
    <t>=IF(ISNUMBER($L$6)=FALSE,"",
        IF(ISERROR(VLOOKUP($G94,SantoYusuf!$L$13:$AK$56,T$4,FALSE))=TRUE,"",
              VLOOKUP($G94,SantoYusuf!$L$13:$AK$56,T$4,FALSE)))</t>
  </si>
  <si>
    <t>=IF(ISNUMBER($L$6)=FALSE,"",
        IF(ISERROR(VLOOKUP($G94,SantoYusuf!$L$13:$AK$56,U$4,FALSE))=TRUE,"",
              VLOOKUP($G94,SantoYusuf!$L$13:$AK$56,U$4,FALSE)))</t>
  </si>
  <si>
    <t>=IF(ISNUMBER($L$6)=FALSE,"",
        IF(ISERROR(VLOOKUP($G94,SantoYusuf!$L$13:$AK$56,V$4,FALSE))=TRUE,"",
              VLOOKUP($G94,SantoYusuf!$L$13:$AK$56,V$4,FALSE)))</t>
  </si>
  <si>
    <t>=IF(ISNUMBER($L$6)=FALSE,"",
        IF(ISERROR(VLOOKUP($G94,SantoYusuf!$L$13:$AK$56,W$4,FALSE))=TRUE,"",
              VLOOKUP($G94,SantoYusuf!$L$13:$AK$56,W$4,FALSE)))</t>
  </si>
  <si>
    <t>=IF(ISNUMBER($L$6)=FALSE,"",
        IF(ISERROR(VLOOKUP($G94,SantoYusuf!$L$13:$AK$56,X$4,FALSE))=TRUE,"",
              VLOOKUP($G94,SantoYusuf!$L$13:$AK$56,X$4,FALSE)))</t>
  </si>
  <si>
    <t>=IF(ISNUMBER($L$6)=FALSE,"",
        IF(ISERROR(VLOOKUP($G94,SantoYusuf!$L$13:$AK$56,Y$4,FALSE))=TRUE,"",
              VLOOKUP($G94,SantoYusuf!$L$13:$AK$56,Y$4,FALSE)))</t>
  </si>
  <si>
    <t>=IF(ISNUMBER($L$6)=FALSE,"",
        IF(ISERROR(VLOOKUP($G94,SantoYusuf!$L$13:$AK$56,Z$4,FALSE))=TRUE,"",
              VLOOKUP($G94,SantoYusuf!$L$13:$AK$56,Z$4,FALSE)))</t>
  </si>
  <si>
    <t>=IF(ISNUMBER($L$6)=FALSE,"",
        IF(ISERROR(VLOOKUP($G94,SantoYusuf!$L$13:$AK$56,AA$4,FALSE))=TRUE,"",
              VLOOKUP($G94,SantoYusuf!$L$13:$AK$56,AA$4,FALSE)))</t>
  </si>
  <si>
    <t>=IF(ISNUMBER($L$6)=FALSE,"",
        IF(ISERROR(VLOOKUP($G94,SantoYusuf!$L$13:$AK$56,AB$4,FALSE))=TRUE,"",
              VLOOKUP($G94,SantoYusuf!$L$13:$AK$56,AB$4,FALSE)))</t>
  </si>
  <si>
    <t>=IF(ISNUMBER($L$6)=FALSE,"",
        IF(ISERROR(VLOOKUP($G94,SantoYusuf!$L$13:$AK$56,AC$4,FALSE))=TRUE,"",
              VLOOKUP($G94,SantoYusuf!$L$13:$AK$56,AC$4,FALSE)))</t>
  </si>
  <si>
    <t>=IF(ISNUMBER($L$6)=FALSE,"",
        IF(ISERROR(VLOOKUP($G94,SantoYusuf!$L$13:$AK$56,AD$4,FALSE))=TRUE,"",
              VLOOKUP($G94,SantoYusuf!$L$13:$AK$56,AD$4,FALSE)))</t>
  </si>
  <si>
    <t>=IF(ISNUMBER($L$6)=FALSE,"",
        IF(ISERROR(VLOOKUP($G94,SantoYusuf!$L$13:$AK$56,AE$4,FALSE))=TRUE,"",
              VLOOKUP($G94,SantoYusuf!$L$13:$AK$56,AE$4,FALSE)))</t>
  </si>
  <si>
    <t>=IF(ISNUMBER($L$6)=FALSE,"",
        IF(ISERROR(VLOOKUP($G94,SantoYusuf!$L$13:$AK$56,AF$4,FALSE))=TRUE,"",
              VLOOKUP($G94,SantoYusuf!$L$13:$AK$56,AF$4,FALSE)))</t>
  </si>
  <si>
    <t>=IF(ISNUMBER($L$6)=FALSE,"",
IF($C95=0,"",VLOOKUP($E95,SantoYusuf!$H$13:$L$56,4,FALSE)))</t>
  </si>
  <si>
    <t>=IF(ISNUMBER($L$6)=FALSE,"",
IF($C95=0,"",VLOOKUP($E95,SantoYusuf!$H$13:$L$56,5,FALSE)))</t>
  </si>
  <si>
    <t>=IF(ISNUMBER($L$6)=FALSE,"",
        IF(ISERROR(VLOOKUP($G95,SantoYusuf!$L$13:$AK$56,I$4,FALSE))=TRUE,"",
              VLOOKUP($G95,SantoYusuf!$L$13:$AK$56,I$4,FALSE)))</t>
  </si>
  <si>
    <t>=IF(ISNUMBER($L$6)=FALSE,"",
        IF(ISERROR(VLOOKUP($G95,SantoYusuf!$L$13:$AK$56,J$4,FALSE))=TRUE,"",
              VLOOKUP($G95,SantoYusuf!$L$13:$AK$56,J$4,FALSE)))</t>
  </si>
  <si>
    <t>=IF(ISNUMBER($L$6)=FALSE,"",
        IF(ISERROR(VLOOKUP($G95,SantoYusuf!$L$13:$AK$56,K$4,FALSE))=TRUE,"",
              VLOOKUP($G95,SantoYusuf!$L$13:$AK$56,K$4,FALSE)))</t>
  </si>
  <si>
    <t>=IF(ISNUMBER($L$6)=FALSE,"",
        IF(ISERROR(VLOOKUP($G95,SantoYusuf!$L$13:$AK$56,L$4,FALSE))=TRUE,"",
              VLOOKUP($G95,SantoYusuf!$L$13:$AK$56,L$4,FALSE)))</t>
  </si>
  <si>
    <t>=IF(ISNUMBER($L$6)=FALSE,"",
        IF(ISERROR(VLOOKUP($G95,SantoYusuf!$L$13:$AK$56,M$4,FALSE))=TRUE,"",
              VLOOKUP($G95,SantoYusuf!$L$13:$AK$56,M$4,FALSE)))</t>
  </si>
  <si>
    <t>=IF(ISNUMBER($L$6)=FALSE,"",
        IF(ISERROR(VLOOKUP($G95,SantoYusuf!$L$13:$AK$56,N$4,FALSE))=TRUE,"",
              VLOOKUP($G95,SantoYusuf!$L$13:$AK$56,N$4,FALSE)))</t>
  </si>
  <si>
    <t>=IF(ISNUMBER($L$6)=FALSE,"",
        IF(ISERROR(VLOOKUP($G95,SantoYusuf!$L$13:$AK$56,O$4,FALSE))=TRUE,"",
              VLOOKUP($G95,SantoYusuf!$L$13:$AK$56,O$4,FALSE)))</t>
  </si>
  <si>
    <t>=IF(ISNUMBER($L$6)=FALSE,"",
        IF(ISERROR(VLOOKUP($G95,SantoYusuf!$L$13:$AK$56,P$4,FALSE))=TRUE,"",
              VLOOKUP($G95,SantoYusuf!$L$13:$AK$56,P$4,FALSE)))</t>
  </si>
  <si>
    <t>=IF(ISNUMBER($L$6)=FALSE,"",
        IF(ISERROR(VLOOKUP($G95,SantoYusuf!$L$13:$AK$56,Q$4,FALSE))=TRUE,"",
              VLOOKUP($G95,SantoYusuf!$L$13:$AK$56,Q$4,FALSE)))</t>
  </si>
  <si>
    <t>=IF(ISNUMBER($L$6)=FALSE,"",
        IF(ISERROR(VLOOKUP($G95,SantoYusuf!$L$13:$AK$56,R$4,FALSE))=TRUE,"",
              VLOOKUP($G95,SantoYusuf!$L$13:$AK$56,R$4,FALSE)))</t>
  </si>
  <si>
    <t>=IF(ISNUMBER($L$6)=FALSE,"",
        IF(ISERROR(VLOOKUP($G95,SantoYusuf!$L$13:$AK$56,S$4,FALSE))=TRUE,"",
              VLOOKUP($G95,SantoYusuf!$L$13:$AK$56,S$4,FALSE)))</t>
  </si>
  <si>
    <t>=IF(ISNUMBER($L$6)=FALSE,"",
        IF(ISERROR(VLOOKUP($G95,SantoYusuf!$L$13:$AK$56,T$4,FALSE))=TRUE,"",
              VLOOKUP($G95,SantoYusuf!$L$13:$AK$56,T$4,FALSE)))</t>
  </si>
  <si>
    <t>=IF(ISNUMBER($L$6)=FALSE,"",
        IF(ISERROR(VLOOKUP($G95,SantoYusuf!$L$13:$AK$56,U$4,FALSE))=TRUE,"",
              VLOOKUP($G95,SantoYusuf!$L$13:$AK$56,U$4,FALSE)))</t>
  </si>
  <si>
    <t>=IF(ISNUMBER($L$6)=FALSE,"",
        IF(ISERROR(VLOOKUP($G95,SantoYusuf!$L$13:$AK$56,V$4,FALSE))=TRUE,"",
              VLOOKUP($G95,SantoYusuf!$L$13:$AK$56,V$4,FALSE)))</t>
  </si>
  <si>
    <t>=IF(ISNUMBER($L$6)=FALSE,"",
        IF(ISERROR(VLOOKUP($G95,SantoYusuf!$L$13:$AK$56,W$4,FALSE))=TRUE,"",
              VLOOKUP($G95,SantoYusuf!$L$13:$AK$56,W$4,FALSE)))</t>
  </si>
  <si>
    <t>=IF(ISNUMBER($L$6)=FALSE,"",
        IF(ISERROR(VLOOKUP($G95,SantoYusuf!$L$13:$AK$56,X$4,FALSE))=TRUE,"",
              VLOOKUP($G95,SantoYusuf!$L$13:$AK$56,X$4,FALSE)))</t>
  </si>
  <si>
    <t>=IF(ISNUMBER($L$6)=FALSE,"",
        IF(ISERROR(VLOOKUP($G95,SantoYusuf!$L$13:$AK$56,Y$4,FALSE))=TRUE,"",
              VLOOKUP($G95,SantoYusuf!$L$13:$AK$56,Y$4,FALSE)))</t>
  </si>
  <si>
    <t>=IF(ISNUMBER($L$6)=FALSE,"",
        IF(ISERROR(VLOOKUP($G95,SantoYusuf!$L$13:$AK$56,Z$4,FALSE))=TRUE,"",
              VLOOKUP($G95,SantoYusuf!$L$13:$AK$56,Z$4,FALSE)))</t>
  </si>
  <si>
    <t>=IF(ISNUMBER($L$6)=FALSE,"",
        IF(ISERROR(VLOOKUP($G95,SantoYusuf!$L$13:$AK$56,AA$4,FALSE))=TRUE,"",
              VLOOKUP($G95,SantoYusuf!$L$13:$AK$56,AA$4,FALSE)))</t>
  </si>
  <si>
    <t>=IF(ISNUMBER($L$6)=FALSE,"",
        IF(ISERROR(VLOOKUP($G95,SantoYusuf!$L$13:$AK$56,AB$4,FALSE))=TRUE,"",
              VLOOKUP($G95,SantoYusuf!$L$13:$AK$56,AB$4,FALSE)))</t>
  </si>
  <si>
    <t>=IF(ISNUMBER($L$6)=FALSE,"",
        IF(ISERROR(VLOOKUP($G95,SantoYusuf!$L$13:$AK$56,AC$4,FALSE))=TRUE,"",
              VLOOKUP($G95,SantoYusuf!$L$13:$AK$56,AC$4,FALSE)))</t>
  </si>
  <si>
    <t>=IF(ISNUMBER($L$6)=FALSE,"",
        IF(ISERROR(VLOOKUP($G95,SantoYusuf!$L$13:$AK$56,AD$4,FALSE))=TRUE,"",
              VLOOKUP($G95,SantoYusuf!$L$13:$AK$56,AD$4,FALSE)))</t>
  </si>
  <si>
    <t>=IF(ISNUMBER($L$6)=FALSE,"",
        IF(ISERROR(VLOOKUP($G95,SantoYusuf!$L$13:$AK$56,AE$4,FALSE))=TRUE,"",
              VLOOKUP($G95,SantoYusuf!$L$13:$AK$56,AE$4,FALSE)))</t>
  </si>
  <si>
    <t>=IF(ISNUMBER($L$6)=FALSE,"",
        IF(ISERROR(VLOOKUP($G95,SantoYusuf!$L$13:$AK$56,AF$4,FALSE))=TRUE,"",
              VLOOKUP($G95,SantoYusuf!$L$13:$AK$56,AF$4,FALSE)))</t>
  </si>
  <si>
    <t>=IF(ISNUMBER($L$6)=FALSE,"",
IF($C96=0,"",VLOOKUP($E96,SantoYusuf!$H$13:$L$56,4,FALSE)))</t>
  </si>
  <si>
    <t>=IF(ISNUMBER($L$6)=FALSE,"",
IF($C96=0,"",VLOOKUP($E96,SantoYusuf!$H$13:$L$56,5,FALSE)))</t>
  </si>
  <si>
    <t>=IF(ISNUMBER($L$6)=FALSE,"",
        IF(ISERROR(VLOOKUP($G96,SantoYusuf!$L$13:$AK$56,I$4,FALSE))=TRUE,"",
              VLOOKUP($G96,SantoYusuf!$L$13:$AK$56,I$4,FALSE)))</t>
  </si>
  <si>
    <t>=IF(ISNUMBER($L$6)=FALSE,"",
        IF(ISERROR(VLOOKUP($G96,SantoYusuf!$L$13:$AK$56,J$4,FALSE))=TRUE,"",
              VLOOKUP($G96,SantoYusuf!$L$13:$AK$56,J$4,FALSE)))</t>
  </si>
  <si>
    <t>=IF(ISNUMBER($L$6)=FALSE,"",
        IF(ISERROR(VLOOKUP($G96,SantoYusuf!$L$13:$AK$56,K$4,FALSE))=TRUE,"",
              VLOOKUP($G96,SantoYusuf!$L$13:$AK$56,K$4,FALSE)))</t>
  </si>
  <si>
    <t>=IF(ISNUMBER($L$6)=FALSE,"",
        IF(ISERROR(VLOOKUP($G96,SantoYusuf!$L$13:$AK$56,L$4,FALSE))=TRUE,"",
              VLOOKUP($G96,SantoYusuf!$L$13:$AK$56,L$4,FALSE)))</t>
  </si>
  <si>
    <t>=IF(ISNUMBER($L$6)=FALSE,"",
        IF(ISERROR(VLOOKUP($G96,SantoYusuf!$L$13:$AK$56,M$4,FALSE))=TRUE,"",
              VLOOKUP($G96,SantoYusuf!$L$13:$AK$56,M$4,FALSE)))</t>
  </si>
  <si>
    <t>=IF(ISNUMBER($L$6)=FALSE,"",
        IF(ISERROR(VLOOKUP($G96,SantoYusuf!$L$13:$AK$56,N$4,FALSE))=TRUE,"",
              VLOOKUP($G96,SantoYusuf!$L$13:$AK$56,N$4,FALSE)))</t>
  </si>
  <si>
    <t>=IF(ISNUMBER($L$6)=FALSE,"",
        IF(ISERROR(VLOOKUP($G96,SantoYusuf!$L$13:$AK$56,O$4,FALSE))=TRUE,"",
              VLOOKUP($G96,SantoYusuf!$L$13:$AK$56,O$4,FALSE)))</t>
  </si>
  <si>
    <t>=IF(ISNUMBER($L$6)=FALSE,"",
        IF(ISERROR(VLOOKUP($G96,SantoYusuf!$L$13:$AK$56,P$4,FALSE))=TRUE,"",
              VLOOKUP($G96,SantoYusuf!$L$13:$AK$56,P$4,FALSE)))</t>
  </si>
  <si>
    <t>=IF(ISNUMBER($L$6)=FALSE,"",
        IF(ISERROR(VLOOKUP($G96,SantoYusuf!$L$13:$AK$56,Q$4,FALSE))=TRUE,"",
              VLOOKUP($G96,SantoYusuf!$L$13:$AK$56,Q$4,FALSE)))</t>
  </si>
  <si>
    <t>=IF(ISNUMBER($L$6)=FALSE,"",
        IF(ISERROR(VLOOKUP($G96,SantoYusuf!$L$13:$AK$56,R$4,FALSE))=TRUE,"",
              VLOOKUP($G96,SantoYusuf!$L$13:$AK$56,R$4,FALSE)))</t>
  </si>
  <si>
    <t>=IF(ISNUMBER($L$6)=FALSE,"",
        IF(ISERROR(VLOOKUP($G96,SantoYusuf!$L$13:$AK$56,S$4,FALSE))=TRUE,"",
              VLOOKUP($G96,SantoYusuf!$L$13:$AK$56,S$4,FALSE)))</t>
  </si>
  <si>
    <t>=IF(ISNUMBER($L$6)=FALSE,"",
        IF(ISERROR(VLOOKUP($G96,SantoYusuf!$L$13:$AK$56,T$4,FALSE))=TRUE,"",
              VLOOKUP($G96,SantoYusuf!$L$13:$AK$56,T$4,FALSE)))</t>
  </si>
  <si>
    <t>=IF(ISNUMBER($L$6)=FALSE,"",
        IF(ISERROR(VLOOKUP($G96,SantoYusuf!$L$13:$AK$56,U$4,FALSE))=TRUE,"",
              VLOOKUP($G96,SantoYusuf!$L$13:$AK$56,U$4,FALSE)))</t>
  </si>
  <si>
    <t>=IF(ISNUMBER($L$6)=FALSE,"",
        IF(ISERROR(VLOOKUP($G96,SantoYusuf!$L$13:$AK$56,V$4,FALSE))=TRUE,"",
              VLOOKUP($G96,SantoYusuf!$L$13:$AK$56,V$4,FALSE)))</t>
  </si>
  <si>
    <t>=IF(ISNUMBER($L$6)=FALSE,"",
        IF(ISERROR(VLOOKUP($G96,SantoYusuf!$L$13:$AK$56,W$4,FALSE))=TRUE,"",
              VLOOKUP($G96,SantoYusuf!$L$13:$AK$56,W$4,FALSE)))</t>
  </si>
  <si>
    <t>=IF(ISNUMBER($L$6)=FALSE,"",
        IF(ISERROR(VLOOKUP($G96,SantoYusuf!$L$13:$AK$56,X$4,FALSE))=TRUE,"",
              VLOOKUP($G96,SantoYusuf!$L$13:$AK$56,X$4,FALSE)))</t>
  </si>
  <si>
    <t>=IF(ISNUMBER($L$6)=FALSE,"",
        IF(ISERROR(VLOOKUP($G96,SantoYusuf!$L$13:$AK$56,Y$4,FALSE))=TRUE,"",
              VLOOKUP($G96,SantoYusuf!$L$13:$AK$56,Y$4,FALSE)))</t>
  </si>
  <si>
    <t>=IF(ISNUMBER($L$6)=FALSE,"",
        IF(ISERROR(VLOOKUP($G96,SantoYusuf!$L$13:$AK$56,Z$4,FALSE))=TRUE,"",
              VLOOKUP($G96,SantoYusuf!$L$13:$AK$56,Z$4,FALSE)))</t>
  </si>
  <si>
    <t>=IF(ISNUMBER($L$6)=FALSE,"",
        IF(ISERROR(VLOOKUP($G96,SantoYusuf!$L$13:$AK$56,AA$4,FALSE))=TRUE,"",
              VLOOKUP($G96,SantoYusuf!$L$13:$AK$56,AA$4,FALSE)))</t>
  </si>
  <si>
    <t>=IF(ISNUMBER($L$6)=FALSE,"",
        IF(ISERROR(VLOOKUP($G96,SantoYusuf!$L$13:$AK$56,AB$4,FALSE))=TRUE,"",
              VLOOKUP($G96,SantoYusuf!$L$13:$AK$56,AB$4,FALSE)))</t>
  </si>
  <si>
    <t>=IF(ISNUMBER($L$6)=FALSE,"",
        IF(ISERROR(VLOOKUP($G96,SantoYusuf!$L$13:$AK$56,AC$4,FALSE))=TRUE,"",
              VLOOKUP($G96,SantoYusuf!$L$13:$AK$56,AC$4,FALSE)))</t>
  </si>
  <si>
    <t>=IF(ISNUMBER($L$6)=FALSE,"",
        IF(ISERROR(VLOOKUP($G96,SantoYusuf!$L$13:$AK$56,AD$4,FALSE))=TRUE,"",
              VLOOKUP($G96,SantoYusuf!$L$13:$AK$56,AD$4,FALSE)))</t>
  </si>
  <si>
    <t>=IF(ISNUMBER($L$6)=FALSE,"",
        IF(ISERROR(VLOOKUP($G96,SantoYusuf!$L$13:$AK$56,AE$4,FALSE))=TRUE,"",
              VLOOKUP($G96,SantoYusuf!$L$13:$AK$56,AE$4,FALSE)))</t>
  </si>
  <si>
    <t>=IF(ISNUMBER($L$6)=FALSE,"",
        IF(ISERROR(VLOOKUP($G96,SantoYusuf!$L$13:$AK$56,AF$4,FALSE))=TRUE,"",
              VLOOKUP($G96,SantoYusuf!$L$13:$AK$56,AF$4,FALSE)))</t>
  </si>
  <si>
    <t>=IF(ISNUMBER($L$6)=FALSE,"",
IF($C97=0,"",VLOOKUP($E97,SantoYusuf!$H$13:$L$56,4,FALSE)))</t>
  </si>
  <si>
    <t>=IF(ISNUMBER($L$6)=FALSE,"",
IF($C97=0,"",VLOOKUP($E97,SantoYusuf!$H$13:$L$56,5,FALSE)))</t>
  </si>
  <si>
    <t>=IF(ISNUMBER($L$6)=FALSE,"",
        IF(ISERROR(VLOOKUP($G97,SantoYusuf!$L$13:$AK$56,I$4,FALSE))=TRUE,"",
              VLOOKUP($G97,SantoYusuf!$L$13:$AK$56,I$4,FALSE)))</t>
  </si>
  <si>
    <t>=IF(ISNUMBER($L$6)=FALSE,"",
        IF(ISERROR(VLOOKUP($G97,SantoYusuf!$L$13:$AK$56,J$4,FALSE))=TRUE,"",
              VLOOKUP($G97,SantoYusuf!$L$13:$AK$56,J$4,FALSE)))</t>
  </si>
  <si>
    <t>=IF(ISNUMBER($L$6)=FALSE,"",
        IF(ISERROR(VLOOKUP($G97,SantoYusuf!$L$13:$AK$56,K$4,FALSE))=TRUE,"",
              VLOOKUP($G97,SantoYusuf!$L$13:$AK$56,K$4,FALSE)))</t>
  </si>
  <si>
    <t>=IF(ISNUMBER($L$6)=FALSE,"",
        IF(ISERROR(VLOOKUP($G97,SantoYusuf!$L$13:$AK$56,L$4,FALSE))=TRUE,"",
              VLOOKUP($G97,SantoYusuf!$L$13:$AK$56,L$4,FALSE)))</t>
  </si>
  <si>
    <t>=IF(ISNUMBER($L$6)=FALSE,"",
        IF(ISERROR(VLOOKUP($G97,SantoYusuf!$L$13:$AK$56,M$4,FALSE))=TRUE,"",
              VLOOKUP($G97,SantoYusuf!$L$13:$AK$56,M$4,FALSE)))</t>
  </si>
  <si>
    <t>=IF(ISNUMBER($L$6)=FALSE,"",
        IF(ISERROR(VLOOKUP($G97,SantoYusuf!$L$13:$AK$56,N$4,FALSE))=TRUE,"",
              VLOOKUP($G97,SantoYusuf!$L$13:$AK$56,N$4,FALSE)))</t>
  </si>
  <si>
    <t>=IF(ISNUMBER($L$6)=FALSE,"",
        IF(ISERROR(VLOOKUP($G97,SantoYusuf!$L$13:$AK$56,O$4,FALSE))=TRUE,"",
              VLOOKUP($G97,SantoYusuf!$L$13:$AK$56,O$4,FALSE)))</t>
  </si>
  <si>
    <t>=IF(ISNUMBER($L$6)=FALSE,"",
        IF(ISERROR(VLOOKUP($G97,SantoYusuf!$L$13:$AK$56,P$4,FALSE))=TRUE,"",
              VLOOKUP($G97,SantoYusuf!$L$13:$AK$56,P$4,FALSE)))</t>
  </si>
  <si>
    <t>=IF(ISNUMBER($L$6)=FALSE,"",
        IF(ISERROR(VLOOKUP($G97,SantoYusuf!$L$13:$AK$56,Q$4,FALSE))=TRUE,"",
              VLOOKUP($G97,SantoYusuf!$L$13:$AK$56,Q$4,FALSE)))</t>
  </si>
  <si>
    <t>=IF(ISNUMBER($L$6)=FALSE,"",
        IF(ISERROR(VLOOKUP($G97,SantoYusuf!$L$13:$AK$56,R$4,FALSE))=TRUE,"",
              VLOOKUP($G97,SantoYusuf!$L$13:$AK$56,R$4,FALSE)))</t>
  </si>
  <si>
    <t>=IF(ISNUMBER($L$6)=FALSE,"",
        IF(ISERROR(VLOOKUP($G97,SantoYusuf!$L$13:$AK$56,S$4,FALSE))=TRUE,"",
              VLOOKUP($G97,SantoYusuf!$L$13:$AK$56,S$4,FALSE)))</t>
  </si>
  <si>
    <t>=IF(ISNUMBER($L$6)=FALSE,"",
        IF(ISERROR(VLOOKUP($G97,SantoYusuf!$L$13:$AK$56,T$4,FALSE))=TRUE,"",
              VLOOKUP($G97,SantoYusuf!$L$13:$AK$56,T$4,FALSE)))</t>
  </si>
  <si>
    <t>=IF(ISNUMBER($L$6)=FALSE,"",
        IF(ISERROR(VLOOKUP($G97,SantoYusuf!$L$13:$AK$56,U$4,FALSE))=TRUE,"",
              VLOOKUP($G97,SantoYusuf!$L$13:$AK$56,U$4,FALSE)))</t>
  </si>
  <si>
    <t>=IF(ISNUMBER($L$6)=FALSE,"",
        IF(ISERROR(VLOOKUP($G97,SantoYusuf!$L$13:$AK$56,V$4,FALSE))=TRUE,"",
              VLOOKUP($G97,SantoYusuf!$L$13:$AK$56,V$4,FALSE)))</t>
  </si>
  <si>
    <t>=IF(ISNUMBER($L$6)=FALSE,"",
        IF(ISERROR(VLOOKUP($G97,SantoYusuf!$L$13:$AK$56,W$4,FALSE))=TRUE,"",
              VLOOKUP($G97,SantoYusuf!$L$13:$AK$56,W$4,FALSE)))</t>
  </si>
  <si>
    <t>=IF(ISNUMBER($L$6)=FALSE,"",
        IF(ISERROR(VLOOKUP($G97,SantoYusuf!$L$13:$AK$56,X$4,FALSE))=TRUE,"",
              VLOOKUP($G97,SantoYusuf!$L$13:$AK$56,X$4,FALSE)))</t>
  </si>
  <si>
    <t>=IF(ISNUMBER($L$6)=FALSE,"",
        IF(ISERROR(VLOOKUP($G97,SantoYusuf!$L$13:$AK$56,Y$4,FALSE))=TRUE,"",
              VLOOKUP($G97,SantoYusuf!$L$13:$AK$56,Y$4,FALSE)))</t>
  </si>
  <si>
    <t>=IF(ISNUMBER($L$6)=FALSE,"",
        IF(ISERROR(VLOOKUP($G97,SantoYusuf!$L$13:$AK$56,Z$4,FALSE))=TRUE,"",
              VLOOKUP($G97,SantoYusuf!$L$13:$AK$56,Z$4,FALSE)))</t>
  </si>
  <si>
    <t>=IF(ISNUMBER($L$6)=FALSE,"",
        IF(ISERROR(VLOOKUP($G97,SantoYusuf!$L$13:$AK$56,AA$4,FALSE))=TRUE,"",
              VLOOKUP($G97,SantoYusuf!$L$13:$AK$56,AA$4,FALSE)))</t>
  </si>
  <si>
    <t>=IF(ISNUMBER($L$6)=FALSE,"",
        IF(ISERROR(VLOOKUP($G97,SantoYusuf!$L$13:$AK$56,AB$4,FALSE))=TRUE,"",
              VLOOKUP($G97,SantoYusuf!$L$13:$AK$56,AB$4,FALSE)))</t>
  </si>
  <si>
    <t>=IF(ISNUMBER($L$6)=FALSE,"",
        IF(ISERROR(VLOOKUP($G97,SantoYusuf!$L$13:$AK$56,AC$4,FALSE))=TRUE,"",
              VLOOKUP($G97,SantoYusuf!$L$13:$AK$56,AC$4,FALSE)))</t>
  </si>
  <si>
    <t>=IF(ISNUMBER($L$6)=FALSE,"",
        IF(ISERROR(VLOOKUP($G97,SantoYusuf!$L$13:$AK$56,AD$4,FALSE))=TRUE,"",
              VLOOKUP($G97,SantoYusuf!$L$13:$AK$56,AD$4,FALSE)))</t>
  </si>
  <si>
    <t>=IF(ISNUMBER($L$6)=FALSE,"",
        IF(ISERROR(VLOOKUP($G97,SantoYusuf!$L$13:$AK$56,AE$4,FALSE))=TRUE,"",
              VLOOKUP($G97,SantoYusuf!$L$13:$AK$56,AE$4,FALSE)))</t>
  </si>
  <si>
    <t>=IF(ISNUMBER($L$6)=FALSE,"",
        IF(ISERROR(VLOOKUP($G97,SantoYusuf!$L$13:$AK$56,AF$4,FALSE))=TRUE,"",
              VLOOKUP($G97,SantoYusuf!$L$13:$AK$56,AF$4,FALSE)))</t>
  </si>
  <si>
    <t>=IF(ISNUMBER($L$6)=FALSE,"",
IF($C98=0,"",VLOOKUP($E98,SantoYusuf!$H$13:$L$56,4,FALSE)))</t>
  </si>
  <si>
    <t>=IF(ISNUMBER($L$6)=FALSE,"",
IF($C98=0,"",VLOOKUP($E98,SantoYusuf!$H$13:$L$56,5,FALSE)))</t>
  </si>
  <si>
    <t>=IF(ISNUMBER($L$6)=FALSE,"",
        IF(ISERROR(VLOOKUP($G98,SantoYusuf!$L$13:$AK$56,I$4,FALSE))=TRUE,"",
              VLOOKUP($G98,SantoYusuf!$L$13:$AK$56,I$4,FALSE)))</t>
  </si>
  <si>
    <t>=IF(ISNUMBER($L$6)=FALSE,"",
        IF(ISERROR(VLOOKUP($G98,SantoYusuf!$L$13:$AK$56,J$4,FALSE))=TRUE,"",
              VLOOKUP($G98,SantoYusuf!$L$13:$AK$56,J$4,FALSE)))</t>
  </si>
  <si>
    <t>=IF(ISNUMBER($L$6)=FALSE,"",
        IF(ISERROR(VLOOKUP($G98,SantoYusuf!$L$13:$AK$56,K$4,FALSE))=TRUE,"",
              VLOOKUP($G98,SantoYusuf!$L$13:$AK$56,K$4,FALSE)))</t>
  </si>
  <si>
    <t>=IF(ISNUMBER($L$6)=FALSE,"",
        IF(ISERROR(VLOOKUP($G98,SantoYusuf!$L$13:$AK$56,L$4,FALSE))=TRUE,"",
              VLOOKUP($G98,SantoYusuf!$L$13:$AK$56,L$4,FALSE)))</t>
  </si>
  <si>
    <t>=IF(ISNUMBER($L$6)=FALSE,"",
        IF(ISERROR(VLOOKUP($G98,SantoYusuf!$L$13:$AK$56,M$4,FALSE))=TRUE,"",
              VLOOKUP($G98,SantoYusuf!$L$13:$AK$56,M$4,FALSE)))</t>
  </si>
  <si>
    <t>=IF(ISNUMBER($L$6)=FALSE,"",
        IF(ISERROR(VLOOKUP($G98,SantoYusuf!$L$13:$AK$56,N$4,FALSE))=TRUE,"",
              VLOOKUP($G98,SantoYusuf!$L$13:$AK$56,N$4,FALSE)))</t>
  </si>
  <si>
    <t>=IF(ISNUMBER($L$6)=FALSE,"",
        IF(ISERROR(VLOOKUP($G98,SantoYusuf!$L$13:$AK$56,O$4,FALSE))=TRUE,"",
              VLOOKUP($G98,SantoYusuf!$L$13:$AK$56,O$4,FALSE)))</t>
  </si>
  <si>
    <t>=IF(ISNUMBER($L$6)=FALSE,"",
        IF(ISERROR(VLOOKUP($G98,SantoYusuf!$L$13:$AK$56,P$4,FALSE))=TRUE,"",
              VLOOKUP($G98,SantoYusuf!$L$13:$AK$56,P$4,FALSE)))</t>
  </si>
  <si>
    <t>=IF(ISNUMBER($L$6)=FALSE,"",
        IF(ISERROR(VLOOKUP($G98,SantoYusuf!$L$13:$AK$56,Q$4,FALSE))=TRUE,"",
              VLOOKUP($G98,SantoYusuf!$L$13:$AK$56,Q$4,FALSE)))</t>
  </si>
  <si>
    <t>=IF(ISNUMBER($L$6)=FALSE,"",
        IF(ISERROR(VLOOKUP($G98,SantoYusuf!$L$13:$AK$56,R$4,FALSE))=TRUE,"",
              VLOOKUP($G98,SantoYusuf!$L$13:$AK$56,R$4,FALSE)))</t>
  </si>
  <si>
    <t>=IF(ISNUMBER($L$6)=FALSE,"",
        IF(ISERROR(VLOOKUP($G98,SantoYusuf!$L$13:$AK$56,S$4,FALSE))=TRUE,"",
              VLOOKUP($G98,SantoYusuf!$L$13:$AK$56,S$4,FALSE)))</t>
  </si>
  <si>
    <t>=IF(ISNUMBER($L$6)=FALSE,"",
        IF(ISERROR(VLOOKUP($G98,SantoYusuf!$L$13:$AK$56,T$4,FALSE))=TRUE,"",
              VLOOKUP($G98,SantoYusuf!$L$13:$AK$56,T$4,FALSE)))</t>
  </si>
  <si>
    <t>=IF(ISNUMBER($L$6)=FALSE,"",
        IF(ISERROR(VLOOKUP($G98,SantoYusuf!$L$13:$AK$56,U$4,FALSE))=TRUE,"",
              VLOOKUP($G98,SantoYusuf!$L$13:$AK$56,U$4,FALSE)))</t>
  </si>
  <si>
    <t>=IF(ISNUMBER($L$6)=FALSE,"",
        IF(ISERROR(VLOOKUP($G98,SantoYusuf!$L$13:$AK$56,V$4,FALSE))=TRUE,"",
              VLOOKUP($G98,SantoYusuf!$L$13:$AK$56,V$4,FALSE)))</t>
  </si>
  <si>
    <t>=IF(ISNUMBER($L$6)=FALSE,"",
        IF(ISERROR(VLOOKUP($G98,SantoYusuf!$L$13:$AK$56,W$4,FALSE))=TRUE,"",
              VLOOKUP($G98,SantoYusuf!$L$13:$AK$56,W$4,FALSE)))</t>
  </si>
  <si>
    <t>=IF(ISNUMBER($L$6)=FALSE,"",
        IF(ISERROR(VLOOKUP($G98,SantoYusuf!$L$13:$AK$56,X$4,FALSE))=TRUE,"",
              VLOOKUP($G98,SantoYusuf!$L$13:$AK$56,X$4,FALSE)))</t>
  </si>
  <si>
    <t>=IF(ISNUMBER($L$6)=FALSE,"",
        IF(ISERROR(VLOOKUP($G98,SantoYusuf!$L$13:$AK$56,Y$4,FALSE))=TRUE,"",
              VLOOKUP($G98,SantoYusuf!$L$13:$AK$56,Y$4,FALSE)))</t>
  </si>
  <si>
    <t>=IF(ISNUMBER($L$6)=FALSE,"",
        IF(ISERROR(VLOOKUP($G98,SantoYusuf!$L$13:$AK$56,Z$4,FALSE))=TRUE,"",
              VLOOKUP($G98,SantoYusuf!$L$13:$AK$56,Z$4,FALSE)))</t>
  </si>
  <si>
    <t>=IF(ISNUMBER($L$6)=FALSE,"",
        IF(ISERROR(VLOOKUP($G98,SantoYusuf!$L$13:$AK$56,AA$4,FALSE))=TRUE,"",
              VLOOKUP($G98,SantoYusuf!$L$13:$AK$56,AA$4,FALSE)))</t>
  </si>
  <si>
    <t>=IF(ISNUMBER($L$6)=FALSE,"",
        IF(ISERROR(VLOOKUP($G98,SantoYusuf!$L$13:$AK$56,AB$4,FALSE))=TRUE,"",
              VLOOKUP($G98,SantoYusuf!$L$13:$AK$56,AB$4,FALSE)))</t>
  </si>
  <si>
    <t>=IF(ISNUMBER($L$6)=FALSE,"",
        IF(ISERROR(VLOOKUP($G98,SantoYusuf!$L$13:$AK$56,AC$4,FALSE))=TRUE,"",
              VLOOKUP($G98,SantoYusuf!$L$13:$AK$56,AC$4,FALSE)))</t>
  </si>
  <si>
    <t>=IF(ISNUMBER($L$6)=FALSE,"",
        IF(ISERROR(VLOOKUP($G98,SantoYusuf!$L$13:$AK$56,AD$4,FALSE))=TRUE,"",
              VLOOKUP($G98,SantoYusuf!$L$13:$AK$56,AD$4,FALSE)))</t>
  </si>
  <si>
    <t>=IF(ISNUMBER($L$6)=FALSE,"",
        IF(ISERROR(VLOOKUP($G98,SantoYusuf!$L$13:$AK$56,AE$4,FALSE))=TRUE,"",
              VLOOKUP($G98,SantoYusuf!$L$13:$AK$56,AE$4,FALSE)))</t>
  </si>
  <si>
    <t>=IF(ISNUMBER($L$6)=FALSE,"",
        IF(ISERROR(VLOOKUP($G98,SantoYusuf!$L$13:$AK$56,AF$4,FALSE))=TRUE,"",
              VLOOKUP($G98,SantoYusuf!$L$13:$AK$56,AF$4,FALSE)))</t>
  </si>
  <si>
    <t>=IF(ISNUMBER($L$6)=FALSE,"",
IF($C99=0,"",VLOOKUP($E99,SantoYusuf!$H$13:$L$56,4,FALSE)))</t>
  </si>
  <si>
    <t>=IF(ISNUMBER($L$6)=FALSE,"",
IF($C99=0,"",VLOOKUP($E99,SantoYusuf!$H$13:$L$56,5,FALSE)))</t>
  </si>
  <si>
    <t>=IF(ISNUMBER($L$6)=FALSE,"",
        IF(ISERROR(VLOOKUP($G99,SantoYusuf!$L$13:$AK$56,I$4,FALSE))=TRUE,"",
              VLOOKUP($G99,SantoYusuf!$L$13:$AK$56,I$4,FALSE)))</t>
  </si>
  <si>
    <t>=IF(ISNUMBER($L$6)=FALSE,"",
        IF(ISERROR(VLOOKUP($G99,SantoYusuf!$L$13:$AK$56,J$4,FALSE))=TRUE,"",
              VLOOKUP($G99,SantoYusuf!$L$13:$AK$56,J$4,FALSE)))</t>
  </si>
  <si>
    <t>=IF(ISNUMBER($L$6)=FALSE,"",
        IF(ISERROR(VLOOKUP($G99,SantoYusuf!$L$13:$AK$56,K$4,FALSE))=TRUE,"",
              VLOOKUP($G99,SantoYusuf!$L$13:$AK$56,K$4,FALSE)))</t>
  </si>
  <si>
    <t>=IF(ISNUMBER($L$6)=FALSE,"",
        IF(ISERROR(VLOOKUP($G99,SantoYusuf!$L$13:$AK$56,L$4,FALSE))=TRUE,"",
              VLOOKUP($G99,SantoYusuf!$L$13:$AK$56,L$4,FALSE)))</t>
  </si>
  <si>
    <t>=IF(ISNUMBER($L$6)=FALSE,"",
        IF(ISERROR(VLOOKUP($G99,SantoYusuf!$L$13:$AK$56,M$4,FALSE))=TRUE,"",
              VLOOKUP($G99,SantoYusuf!$L$13:$AK$56,M$4,FALSE)))</t>
  </si>
  <si>
    <t>=IF(ISNUMBER($L$6)=FALSE,"",
        IF(ISERROR(VLOOKUP($G99,SantoYusuf!$L$13:$AK$56,N$4,FALSE))=TRUE,"",
              VLOOKUP($G99,SantoYusuf!$L$13:$AK$56,N$4,FALSE)))</t>
  </si>
  <si>
    <t>=IF(ISNUMBER($L$6)=FALSE,"",
        IF(ISERROR(VLOOKUP($G99,SantoYusuf!$L$13:$AK$56,O$4,FALSE))=TRUE,"",
              VLOOKUP($G99,SantoYusuf!$L$13:$AK$56,O$4,FALSE)))</t>
  </si>
  <si>
    <t>=IF(ISNUMBER($L$6)=FALSE,"",
        IF(ISERROR(VLOOKUP($G99,SantoYusuf!$L$13:$AK$56,P$4,FALSE))=TRUE,"",
              VLOOKUP($G99,SantoYusuf!$L$13:$AK$56,P$4,FALSE)))</t>
  </si>
  <si>
    <t>=IF(ISNUMBER($L$6)=FALSE,"",
        IF(ISERROR(VLOOKUP($G99,SantoYusuf!$L$13:$AK$56,Q$4,FALSE))=TRUE,"",
              VLOOKUP($G99,SantoYusuf!$L$13:$AK$56,Q$4,FALSE)))</t>
  </si>
  <si>
    <t>=IF(ISNUMBER($L$6)=FALSE,"",
        IF(ISERROR(VLOOKUP($G99,SantoYusuf!$L$13:$AK$56,R$4,FALSE))=TRUE,"",
              VLOOKUP($G99,SantoYusuf!$L$13:$AK$56,R$4,FALSE)))</t>
  </si>
  <si>
    <t>=IF(ISNUMBER($L$6)=FALSE,"",
        IF(ISERROR(VLOOKUP($G99,SantoYusuf!$L$13:$AK$56,S$4,FALSE))=TRUE,"",
              VLOOKUP($G99,SantoYusuf!$L$13:$AK$56,S$4,FALSE)))</t>
  </si>
  <si>
    <t>=IF(ISNUMBER($L$6)=FALSE,"",
        IF(ISERROR(VLOOKUP($G99,SantoYusuf!$L$13:$AK$56,T$4,FALSE))=TRUE,"",
              VLOOKUP($G99,SantoYusuf!$L$13:$AK$56,T$4,FALSE)))</t>
  </si>
  <si>
    <t>=IF(ISNUMBER($L$6)=FALSE,"",
        IF(ISERROR(VLOOKUP($G99,SantoYusuf!$L$13:$AK$56,U$4,FALSE))=TRUE,"",
              VLOOKUP($G99,SantoYusuf!$L$13:$AK$56,U$4,FALSE)))</t>
  </si>
  <si>
    <t>=IF(ISNUMBER($L$6)=FALSE,"",
        IF(ISERROR(VLOOKUP($G99,SantoYusuf!$L$13:$AK$56,V$4,FALSE))=TRUE,"",
              VLOOKUP($G99,SantoYusuf!$L$13:$AK$56,V$4,FALSE)))</t>
  </si>
  <si>
    <t>=IF(ISNUMBER($L$6)=FALSE,"",
        IF(ISERROR(VLOOKUP($G99,SantoYusuf!$L$13:$AK$56,W$4,FALSE))=TRUE,"",
              VLOOKUP($G99,SantoYusuf!$L$13:$AK$56,W$4,FALSE)))</t>
  </si>
  <si>
    <t>=IF(ISNUMBER($L$6)=FALSE,"",
        IF(ISERROR(VLOOKUP($G99,SantoYusuf!$L$13:$AK$56,X$4,FALSE))=TRUE,"",
              VLOOKUP($G99,SantoYusuf!$L$13:$AK$56,X$4,FALSE)))</t>
  </si>
  <si>
    <t>=IF(ISNUMBER($L$6)=FALSE,"",
        IF(ISERROR(VLOOKUP($G99,SantoYusuf!$L$13:$AK$56,Y$4,FALSE))=TRUE,"",
              VLOOKUP($G99,SantoYusuf!$L$13:$AK$56,Y$4,FALSE)))</t>
  </si>
  <si>
    <t>=IF(ISNUMBER($L$6)=FALSE,"",
        IF(ISERROR(VLOOKUP($G99,SantoYusuf!$L$13:$AK$56,Z$4,FALSE))=TRUE,"",
              VLOOKUP($G99,SantoYusuf!$L$13:$AK$56,Z$4,FALSE)))</t>
  </si>
  <si>
    <t>=IF(ISNUMBER($L$6)=FALSE,"",
        IF(ISERROR(VLOOKUP($G99,SantoYusuf!$L$13:$AK$56,AA$4,FALSE))=TRUE,"",
              VLOOKUP($G99,SantoYusuf!$L$13:$AK$56,AA$4,FALSE)))</t>
  </si>
  <si>
    <t>=IF(ISNUMBER($L$6)=FALSE,"",
        IF(ISERROR(VLOOKUP($G99,SantoYusuf!$L$13:$AK$56,AB$4,FALSE))=TRUE,"",
              VLOOKUP($G99,SantoYusuf!$L$13:$AK$56,AB$4,FALSE)))</t>
  </si>
  <si>
    <t>=IF(ISNUMBER($L$6)=FALSE,"",
        IF(ISERROR(VLOOKUP($G99,SantoYusuf!$L$13:$AK$56,AC$4,FALSE))=TRUE,"",
              VLOOKUP($G99,SantoYusuf!$L$13:$AK$56,AC$4,FALSE)))</t>
  </si>
  <si>
    <t>=IF(ISNUMBER($L$6)=FALSE,"",
        IF(ISERROR(VLOOKUP($G99,SantoYusuf!$L$13:$AK$56,AD$4,FALSE))=TRUE,"",
              VLOOKUP($G99,SantoYusuf!$L$13:$AK$56,AD$4,FALSE)))</t>
  </si>
  <si>
    <t>=IF(ISNUMBER($L$6)=FALSE,"",
        IF(ISERROR(VLOOKUP($G99,SantoYusuf!$L$13:$AK$56,AE$4,FALSE))=TRUE,"",
              VLOOKUP($G99,SantoYusuf!$L$13:$AK$56,AE$4,FALSE)))</t>
  </si>
  <si>
    <t>=IF(ISNUMBER($L$6)=FALSE,"",
        IF(ISERROR(VLOOKUP($G99,SantoYusuf!$L$13:$AK$56,AF$4,FALSE))=TRUE,"",
              VLOOKUP($G99,SantoYusuf!$L$13:$AK$56,AF$4,FALSE)))</t>
  </si>
  <si>
    <t>=IF(ISNUMBER($L$6)=FALSE,"",
IF($C100=0,"",VLOOKUP($E100,SantoYusuf!$H$13:$L$56,4,FALSE)))</t>
  </si>
  <si>
    <t>=IF(ISNUMBER($L$6)=FALSE,"",
IF($C100=0,"",VLOOKUP($E100,SantoYusuf!$H$13:$L$56,5,FALSE)))</t>
  </si>
  <si>
    <t>=IF(ISNUMBER($L$6)=FALSE,"",
        IF(ISERROR(VLOOKUP($G100,SantoYusuf!$L$13:$AK$56,I$4,FALSE))=TRUE,"",
              VLOOKUP($G100,SantoYusuf!$L$13:$AK$56,I$4,FALSE)))</t>
  </si>
  <si>
    <t>=IF(ISNUMBER($L$6)=FALSE,"",
        IF(ISERROR(VLOOKUP($G100,SantoYusuf!$L$13:$AK$56,J$4,FALSE))=TRUE,"",
              VLOOKUP($G100,SantoYusuf!$L$13:$AK$56,J$4,FALSE)))</t>
  </si>
  <si>
    <t>=IF(ISNUMBER($L$6)=FALSE,"",
        IF(ISERROR(VLOOKUP($G100,SantoYusuf!$L$13:$AK$56,K$4,FALSE))=TRUE,"",
              VLOOKUP($G100,SantoYusuf!$L$13:$AK$56,K$4,FALSE)))</t>
  </si>
  <si>
    <t>=IF(ISNUMBER($L$6)=FALSE,"",
        IF(ISERROR(VLOOKUP($G100,SantoYusuf!$L$13:$AK$56,L$4,FALSE))=TRUE,"",
              VLOOKUP($G100,SantoYusuf!$L$13:$AK$56,L$4,FALSE)))</t>
  </si>
  <si>
    <t>=IF(ISNUMBER($L$6)=FALSE,"",
        IF(ISERROR(VLOOKUP($G100,SantoYusuf!$L$13:$AK$56,M$4,FALSE))=TRUE,"",
              VLOOKUP($G100,SantoYusuf!$L$13:$AK$56,M$4,FALSE)))</t>
  </si>
  <si>
    <t>=IF(ISNUMBER($L$6)=FALSE,"",
        IF(ISERROR(VLOOKUP($G100,SantoYusuf!$L$13:$AK$56,N$4,FALSE))=TRUE,"",
              VLOOKUP($G100,SantoYusuf!$L$13:$AK$56,N$4,FALSE)))</t>
  </si>
  <si>
    <t>=IF(ISNUMBER($L$6)=FALSE,"",
        IF(ISERROR(VLOOKUP($G100,SantoYusuf!$L$13:$AK$56,O$4,FALSE))=TRUE,"",
              VLOOKUP($G100,SantoYusuf!$L$13:$AK$56,O$4,FALSE)))</t>
  </si>
  <si>
    <t>=IF(ISNUMBER($L$6)=FALSE,"",
        IF(ISERROR(VLOOKUP($G100,SantoYusuf!$L$13:$AK$56,P$4,FALSE))=TRUE,"",
              VLOOKUP($G100,SantoYusuf!$L$13:$AK$56,P$4,FALSE)))</t>
  </si>
  <si>
    <t>=IF(ISNUMBER($L$6)=FALSE,"",
        IF(ISERROR(VLOOKUP($G100,SantoYusuf!$L$13:$AK$56,Q$4,FALSE))=TRUE,"",
              VLOOKUP($G100,SantoYusuf!$L$13:$AK$56,Q$4,FALSE)))</t>
  </si>
  <si>
    <t>=IF(ISNUMBER($L$6)=FALSE,"",
        IF(ISERROR(VLOOKUP($G100,SantoYusuf!$L$13:$AK$56,R$4,FALSE))=TRUE,"",
              VLOOKUP($G100,SantoYusuf!$L$13:$AK$56,R$4,FALSE)))</t>
  </si>
  <si>
    <t>=IF(ISNUMBER($L$6)=FALSE,"",
        IF(ISERROR(VLOOKUP($G100,SantoYusuf!$L$13:$AK$56,S$4,FALSE))=TRUE,"",
              VLOOKUP($G100,SantoYusuf!$L$13:$AK$56,S$4,FALSE)))</t>
  </si>
  <si>
    <t>=IF(ISNUMBER($L$6)=FALSE,"",
        IF(ISERROR(VLOOKUP($G100,SantoYusuf!$L$13:$AK$56,T$4,FALSE))=TRUE,"",
              VLOOKUP($G100,SantoYusuf!$L$13:$AK$56,T$4,FALSE)))</t>
  </si>
  <si>
    <t>=IF(ISNUMBER($L$6)=FALSE,"",
        IF(ISERROR(VLOOKUP($G100,SantoYusuf!$L$13:$AK$56,U$4,FALSE))=TRUE,"",
              VLOOKUP($G100,SantoYusuf!$L$13:$AK$56,U$4,FALSE)))</t>
  </si>
  <si>
    <t>=IF(ISNUMBER($L$6)=FALSE,"",
        IF(ISERROR(VLOOKUP($G100,SantoYusuf!$L$13:$AK$56,V$4,FALSE))=TRUE,"",
              VLOOKUP($G100,SantoYusuf!$L$13:$AK$56,V$4,FALSE)))</t>
  </si>
  <si>
    <t>=IF(ISNUMBER($L$6)=FALSE,"",
        IF(ISERROR(VLOOKUP($G100,SantoYusuf!$L$13:$AK$56,W$4,FALSE))=TRUE,"",
              VLOOKUP($G100,SantoYusuf!$L$13:$AK$56,W$4,FALSE)))</t>
  </si>
  <si>
    <t>=IF(ISNUMBER($L$6)=FALSE,"",
        IF(ISERROR(VLOOKUP($G100,SantoYusuf!$L$13:$AK$56,X$4,FALSE))=TRUE,"",
              VLOOKUP($G100,SantoYusuf!$L$13:$AK$56,X$4,FALSE)))</t>
  </si>
  <si>
    <t>=IF(ISNUMBER($L$6)=FALSE,"",
        IF(ISERROR(VLOOKUP($G100,SantoYusuf!$L$13:$AK$56,Y$4,FALSE))=TRUE,"",
              VLOOKUP($G100,SantoYusuf!$L$13:$AK$56,Y$4,FALSE)))</t>
  </si>
  <si>
    <t>=IF(ISNUMBER($L$6)=FALSE,"",
        IF(ISERROR(VLOOKUP($G100,SantoYusuf!$L$13:$AK$56,Z$4,FALSE))=TRUE,"",
              VLOOKUP($G100,SantoYusuf!$L$13:$AK$56,Z$4,FALSE)))</t>
  </si>
  <si>
    <t>=IF(ISNUMBER($L$6)=FALSE,"",
        IF(ISERROR(VLOOKUP($G100,SantoYusuf!$L$13:$AK$56,AA$4,FALSE))=TRUE,"",
              VLOOKUP($G100,SantoYusuf!$L$13:$AK$56,AA$4,FALSE)))</t>
  </si>
  <si>
    <t>=IF(ISNUMBER($L$6)=FALSE,"",
        IF(ISERROR(VLOOKUP($G100,SantoYusuf!$L$13:$AK$56,AB$4,FALSE))=TRUE,"",
              VLOOKUP($G100,SantoYusuf!$L$13:$AK$56,AB$4,FALSE)))</t>
  </si>
  <si>
    <t>=IF(ISNUMBER($L$6)=FALSE,"",
        IF(ISERROR(VLOOKUP($G100,SantoYusuf!$L$13:$AK$56,AC$4,FALSE))=TRUE,"",
              VLOOKUP($G100,SantoYusuf!$L$13:$AK$56,AC$4,FALSE)))</t>
  </si>
  <si>
    <t>=IF(ISNUMBER($L$6)=FALSE,"",
        IF(ISERROR(VLOOKUP($G100,SantoYusuf!$L$13:$AK$56,AD$4,FALSE))=TRUE,"",
              VLOOKUP($G100,SantoYusuf!$L$13:$AK$56,AD$4,FALSE)))</t>
  </si>
  <si>
    <t>=IF(ISNUMBER($L$6)=FALSE,"",
        IF(ISERROR(VLOOKUP($G100,SantoYusuf!$L$13:$AK$56,AE$4,FALSE))=TRUE,"",
              VLOOKUP($G100,SantoYusuf!$L$13:$AK$56,AE$4,FALSE)))</t>
  </si>
  <si>
    <t>=IF(ISNUMBER($L$6)=FALSE,"",
        IF(ISERROR(VLOOKUP($G100,SantoYusuf!$L$13:$AK$56,AF$4,FALSE))=TRUE,"",
              VLOOKUP($G100,SantoYusuf!$L$13:$AK$56,AF$4,FALSE)))</t>
  </si>
  <si>
    <t>=IF(ISNUMBER($L$6)=FALSE,"",
IF($C101=0,"",VLOOKUP($E101,SantoYusuf!$H$13:$L$56,4,FALSE)))</t>
  </si>
  <si>
    <t>=IF(ISNUMBER($L$6)=FALSE,"",
IF($C101=0,"",VLOOKUP($E101,SantoYusuf!$H$13:$L$56,5,FALSE)))</t>
  </si>
  <si>
    <t>=IF(ISNUMBER($L$6)=FALSE,"",
        IF(ISERROR(VLOOKUP($G101,SantoYusuf!$L$13:$AK$56,I$4,FALSE))=TRUE,"",
              VLOOKUP($G101,SantoYusuf!$L$13:$AK$56,I$4,FALSE)))</t>
  </si>
  <si>
    <t>=IF(ISNUMBER($L$6)=FALSE,"",
        IF(ISERROR(VLOOKUP($G101,SantoYusuf!$L$13:$AK$56,J$4,FALSE))=TRUE,"",
              VLOOKUP($G101,SantoYusuf!$L$13:$AK$56,J$4,FALSE)))</t>
  </si>
  <si>
    <t>=IF(ISNUMBER($L$6)=FALSE,"",
        IF(ISERROR(VLOOKUP($G101,SantoYusuf!$L$13:$AK$56,K$4,FALSE))=TRUE,"",
              VLOOKUP($G101,SantoYusuf!$L$13:$AK$56,K$4,FALSE)))</t>
  </si>
  <si>
    <t>=IF(ISNUMBER($L$6)=FALSE,"",
        IF(ISERROR(VLOOKUP($G101,SantoYusuf!$L$13:$AK$56,L$4,FALSE))=TRUE,"",
              VLOOKUP($G101,SantoYusuf!$L$13:$AK$56,L$4,FALSE)))</t>
  </si>
  <si>
    <t>=IF(ISNUMBER($L$6)=FALSE,"",
        IF(ISERROR(VLOOKUP($G101,SantoYusuf!$L$13:$AK$56,M$4,FALSE))=TRUE,"",
              VLOOKUP($G101,SantoYusuf!$L$13:$AK$56,M$4,FALSE)))</t>
  </si>
  <si>
    <t>=IF(ISNUMBER($L$6)=FALSE,"",
        IF(ISERROR(VLOOKUP($G101,SantoYusuf!$L$13:$AK$56,N$4,FALSE))=TRUE,"",
              VLOOKUP($G101,SantoYusuf!$L$13:$AK$56,N$4,FALSE)))</t>
  </si>
  <si>
    <t>=IF(ISNUMBER($L$6)=FALSE,"",
        IF(ISERROR(VLOOKUP($G101,SantoYusuf!$L$13:$AK$56,O$4,FALSE))=TRUE,"",
              VLOOKUP($G101,SantoYusuf!$L$13:$AK$56,O$4,FALSE)))</t>
  </si>
  <si>
    <t>=IF(ISNUMBER($L$6)=FALSE,"",
        IF(ISERROR(VLOOKUP($G101,SantoYusuf!$L$13:$AK$56,P$4,FALSE))=TRUE,"",
              VLOOKUP($G101,SantoYusuf!$L$13:$AK$56,P$4,FALSE)))</t>
  </si>
  <si>
    <t>=IF(ISNUMBER($L$6)=FALSE,"",
        IF(ISERROR(VLOOKUP($G101,SantoYusuf!$L$13:$AK$56,Q$4,FALSE))=TRUE,"",
              VLOOKUP($G101,SantoYusuf!$L$13:$AK$56,Q$4,FALSE)))</t>
  </si>
  <si>
    <t>=IF(ISNUMBER($L$6)=FALSE,"",
        IF(ISERROR(VLOOKUP($G101,SantoYusuf!$L$13:$AK$56,R$4,FALSE))=TRUE,"",
              VLOOKUP($G101,SantoYusuf!$L$13:$AK$56,R$4,FALSE)))</t>
  </si>
  <si>
    <t>=IF(ISNUMBER($L$6)=FALSE,"",
        IF(ISERROR(VLOOKUP($G101,SantoYusuf!$L$13:$AK$56,S$4,FALSE))=TRUE,"",
              VLOOKUP($G101,SantoYusuf!$L$13:$AK$56,S$4,FALSE)))</t>
  </si>
  <si>
    <t>=IF(ISNUMBER($L$6)=FALSE,"",
        IF(ISERROR(VLOOKUP($G101,SantoYusuf!$L$13:$AK$56,T$4,FALSE))=TRUE,"",
              VLOOKUP($G101,SantoYusuf!$L$13:$AK$56,T$4,FALSE)))</t>
  </si>
  <si>
    <t>=IF(ISNUMBER($L$6)=FALSE,"",
        IF(ISERROR(VLOOKUP($G101,SantoYusuf!$L$13:$AK$56,U$4,FALSE))=TRUE,"",
              VLOOKUP($G101,SantoYusuf!$L$13:$AK$56,U$4,FALSE)))</t>
  </si>
  <si>
    <t>=IF(ISNUMBER($L$6)=FALSE,"",
        IF(ISERROR(VLOOKUP($G101,SantoYusuf!$L$13:$AK$56,V$4,FALSE))=TRUE,"",
              VLOOKUP($G101,SantoYusuf!$L$13:$AK$56,V$4,FALSE)))</t>
  </si>
  <si>
    <t>=IF(ISNUMBER($L$6)=FALSE,"",
        IF(ISERROR(VLOOKUP($G101,SantoYusuf!$L$13:$AK$56,W$4,FALSE))=TRUE,"",
              VLOOKUP($G101,SantoYusuf!$L$13:$AK$56,W$4,FALSE)))</t>
  </si>
  <si>
    <t>=IF(ISNUMBER($L$6)=FALSE,"",
        IF(ISERROR(VLOOKUP($G101,SantoYusuf!$L$13:$AK$56,X$4,FALSE))=TRUE,"",
              VLOOKUP($G101,SantoYusuf!$L$13:$AK$56,X$4,FALSE)))</t>
  </si>
  <si>
    <t>=IF(ISNUMBER($L$6)=FALSE,"",
        IF(ISERROR(VLOOKUP($G101,SantoYusuf!$L$13:$AK$56,Y$4,FALSE))=TRUE,"",
              VLOOKUP($G101,SantoYusuf!$L$13:$AK$56,Y$4,FALSE)))</t>
  </si>
  <si>
    <t>=IF(ISNUMBER($L$6)=FALSE,"",
        IF(ISERROR(VLOOKUP($G101,SantoYusuf!$L$13:$AK$56,Z$4,FALSE))=TRUE,"",
              VLOOKUP($G101,SantoYusuf!$L$13:$AK$56,Z$4,FALSE)))</t>
  </si>
  <si>
    <t>=IF(ISNUMBER($L$6)=FALSE,"",
        IF(ISERROR(VLOOKUP($G101,SantoYusuf!$L$13:$AK$56,AA$4,FALSE))=TRUE,"",
              VLOOKUP($G101,SantoYusuf!$L$13:$AK$56,AA$4,FALSE)))</t>
  </si>
  <si>
    <t>=IF(ISNUMBER($L$6)=FALSE,"",
        IF(ISERROR(VLOOKUP($G101,SantoYusuf!$L$13:$AK$56,AB$4,FALSE))=TRUE,"",
              VLOOKUP($G101,SantoYusuf!$L$13:$AK$56,AB$4,FALSE)))</t>
  </si>
  <si>
    <t>=IF(ISNUMBER($L$6)=FALSE,"",
        IF(ISERROR(VLOOKUP($G101,SantoYusuf!$L$13:$AK$56,AC$4,FALSE))=TRUE,"",
              VLOOKUP($G101,SantoYusuf!$L$13:$AK$56,AC$4,FALSE)))</t>
  </si>
  <si>
    <t>=IF(ISNUMBER($L$6)=FALSE,"",
        IF(ISERROR(VLOOKUP($G101,SantoYusuf!$L$13:$AK$56,AD$4,FALSE))=TRUE,"",
              VLOOKUP($G101,SantoYusuf!$L$13:$AK$56,AD$4,FALSE)))</t>
  </si>
  <si>
    <t>=IF(ISNUMBER($L$6)=FALSE,"",
        IF(ISERROR(VLOOKUP($G101,SantoYusuf!$L$13:$AK$56,AE$4,FALSE))=TRUE,"",
              VLOOKUP($G101,SantoYusuf!$L$13:$AK$56,AE$4,FALSE)))</t>
  </si>
  <si>
    <t>=IF(ISNUMBER($L$6)=FALSE,"",
        IF(ISERROR(VLOOKUP($G101,SantoYusuf!$L$13:$AK$56,AF$4,FALSE))=TRUE,"",
              VLOOKUP($G101,SantoYusuf!$L$13:$AK$56,AF$4,FALSE)))</t>
  </si>
  <si>
    <t>=IF(ISNUMBER($L$6)=FALSE,"",
IF($C102=0,"",VLOOKUP($E102,SantoYusuf!$H$13:$L$56,4,FALSE)))</t>
  </si>
  <si>
    <t>=IF(ISNUMBER($L$6)=FALSE,"",
IF($C102=0,"",VLOOKUP($E102,SantoYusuf!$H$13:$L$56,5,FALSE)))</t>
  </si>
  <si>
    <t>=IF(ISNUMBER($L$6)=FALSE,"",
        IF(ISERROR(VLOOKUP($G102,SantoYusuf!$L$13:$AK$56,I$4,FALSE))=TRUE,"",
              VLOOKUP($G102,SantoYusuf!$L$13:$AK$56,I$4,FALSE)))</t>
  </si>
  <si>
    <t>=IF(ISNUMBER($L$6)=FALSE,"",
        IF(ISERROR(VLOOKUP($G102,SantoYusuf!$L$13:$AK$56,J$4,FALSE))=TRUE,"",
              VLOOKUP($G102,SantoYusuf!$L$13:$AK$56,J$4,FALSE)))</t>
  </si>
  <si>
    <t>=IF(ISNUMBER($L$6)=FALSE,"",
        IF(ISERROR(VLOOKUP($G102,SantoYusuf!$L$13:$AK$56,K$4,FALSE))=TRUE,"",
              VLOOKUP($G102,SantoYusuf!$L$13:$AK$56,K$4,FALSE)))</t>
  </si>
  <si>
    <t>=IF(ISNUMBER($L$6)=FALSE,"",
        IF(ISERROR(VLOOKUP($G102,SantoYusuf!$L$13:$AK$56,L$4,FALSE))=TRUE,"",
              VLOOKUP($G102,SantoYusuf!$L$13:$AK$56,L$4,FALSE)))</t>
  </si>
  <si>
    <t>=IF(ISNUMBER($L$6)=FALSE,"",
        IF(ISERROR(VLOOKUP($G102,SantoYusuf!$L$13:$AK$56,M$4,FALSE))=TRUE,"",
              VLOOKUP($G102,SantoYusuf!$L$13:$AK$56,M$4,FALSE)))</t>
  </si>
  <si>
    <t>=IF(ISNUMBER($L$6)=FALSE,"",
        IF(ISERROR(VLOOKUP($G102,SantoYusuf!$L$13:$AK$56,N$4,FALSE))=TRUE,"",
              VLOOKUP($G102,SantoYusuf!$L$13:$AK$56,N$4,FALSE)))</t>
  </si>
  <si>
    <t>=IF(ISNUMBER($L$6)=FALSE,"",
        IF(ISERROR(VLOOKUP($G102,SantoYusuf!$L$13:$AK$56,O$4,FALSE))=TRUE,"",
              VLOOKUP($G102,SantoYusuf!$L$13:$AK$56,O$4,FALSE)))</t>
  </si>
  <si>
    <t>=IF(ISNUMBER($L$6)=FALSE,"",
        IF(ISERROR(VLOOKUP($G102,SantoYusuf!$L$13:$AK$56,P$4,FALSE))=TRUE,"",
              VLOOKUP($G102,SantoYusuf!$L$13:$AK$56,P$4,FALSE)))</t>
  </si>
  <si>
    <t>=IF(ISNUMBER($L$6)=FALSE,"",
        IF(ISERROR(VLOOKUP($G102,SantoYusuf!$L$13:$AK$56,Q$4,FALSE))=TRUE,"",
              VLOOKUP($G102,SantoYusuf!$L$13:$AK$56,Q$4,FALSE)))</t>
  </si>
  <si>
    <t>=IF(ISNUMBER($L$6)=FALSE,"",
        IF(ISERROR(VLOOKUP($G102,SantoYusuf!$L$13:$AK$56,R$4,FALSE))=TRUE,"",
              VLOOKUP($G102,SantoYusuf!$L$13:$AK$56,R$4,FALSE)))</t>
  </si>
  <si>
    <t>=IF(ISNUMBER($L$6)=FALSE,"",
        IF(ISERROR(VLOOKUP($G102,SantoYusuf!$L$13:$AK$56,S$4,FALSE))=TRUE,"",
              VLOOKUP($G102,SantoYusuf!$L$13:$AK$56,S$4,FALSE)))</t>
  </si>
  <si>
    <t>=IF(ISNUMBER($L$6)=FALSE,"",
        IF(ISERROR(VLOOKUP($G102,SantoYusuf!$L$13:$AK$56,T$4,FALSE))=TRUE,"",
              VLOOKUP($G102,SantoYusuf!$L$13:$AK$56,T$4,FALSE)))</t>
  </si>
  <si>
    <t>=IF(ISNUMBER($L$6)=FALSE,"",
        IF(ISERROR(VLOOKUP($G102,SantoYusuf!$L$13:$AK$56,U$4,FALSE))=TRUE,"",
              VLOOKUP($G102,SantoYusuf!$L$13:$AK$56,U$4,FALSE)))</t>
  </si>
  <si>
    <t>=IF(ISNUMBER($L$6)=FALSE,"",
        IF(ISERROR(VLOOKUP($G102,SantoYusuf!$L$13:$AK$56,V$4,FALSE))=TRUE,"",
              VLOOKUP($G102,SantoYusuf!$L$13:$AK$56,V$4,FALSE)))</t>
  </si>
  <si>
    <t>=IF(ISNUMBER($L$6)=FALSE,"",
        IF(ISERROR(VLOOKUP($G102,SantoYusuf!$L$13:$AK$56,W$4,FALSE))=TRUE,"",
              VLOOKUP($G102,SantoYusuf!$L$13:$AK$56,W$4,FALSE)))</t>
  </si>
  <si>
    <t>=IF(ISNUMBER($L$6)=FALSE,"",
        IF(ISERROR(VLOOKUP($G102,SantoYusuf!$L$13:$AK$56,X$4,FALSE))=TRUE,"",
              VLOOKUP($G102,SantoYusuf!$L$13:$AK$56,X$4,FALSE)))</t>
  </si>
  <si>
    <t>=IF(ISNUMBER($L$6)=FALSE,"",
        IF(ISERROR(VLOOKUP($G102,SantoYusuf!$L$13:$AK$56,Y$4,FALSE))=TRUE,"",
              VLOOKUP($G102,SantoYusuf!$L$13:$AK$56,Y$4,FALSE)))</t>
  </si>
  <si>
    <t>=IF(ISNUMBER($L$6)=FALSE,"",
        IF(ISERROR(VLOOKUP($G102,SantoYusuf!$L$13:$AK$56,Z$4,FALSE))=TRUE,"",
              VLOOKUP($G102,SantoYusuf!$L$13:$AK$56,Z$4,FALSE)))</t>
  </si>
  <si>
    <t>=IF(ISNUMBER($L$6)=FALSE,"",
        IF(ISERROR(VLOOKUP($G102,SantoYusuf!$L$13:$AK$56,AA$4,FALSE))=TRUE,"",
              VLOOKUP($G102,SantoYusuf!$L$13:$AK$56,AA$4,FALSE)))</t>
  </si>
  <si>
    <t>=IF(ISNUMBER($L$6)=FALSE,"",
        IF(ISERROR(VLOOKUP($G102,SantoYusuf!$L$13:$AK$56,AB$4,FALSE))=TRUE,"",
              VLOOKUP($G102,SantoYusuf!$L$13:$AK$56,AB$4,FALSE)))</t>
  </si>
  <si>
    <t>=IF(ISNUMBER($L$6)=FALSE,"",
        IF(ISERROR(VLOOKUP($G102,SantoYusuf!$L$13:$AK$56,AC$4,FALSE))=TRUE,"",
              VLOOKUP($G102,SantoYusuf!$L$13:$AK$56,AC$4,FALSE)))</t>
  </si>
  <si>
    <t>=IF(ISNUMBER($L$6)=FALSE,"",
        IF(ISERROR(VLOOKUP($G102,SantoYusuf!$L$13:$AK$56,AD$4,FALSE))=TRUE,"",
              VLOOKUP($G102,SantoYusuf!$L$13:$AK$56,AD$4,FALSE)))</t>
  </si>
  <si>
    <t>=IF(ISNUMBER($L$6)=FALSE,"",
        IF(ISERROR(VLOOKUP($G102,SantoYusuf!$L$13:$AK$56,AE$4,FALSE))=TRUE,"",
              VLOOKUP($G102,SantoYusuf!$L$13:$AK$56,AE$4,FALSE)))</t>
  </si>
  <si>
    <t>=IF(ISNUMBER($L$6)=FALSE,"",
        IF(ISERROR(VLOOKUP($G102,SantoYusuf!$L$13:$AK$56,AF$4,FALSE))=TRUE,"",
              VLOOKUP($G102,SantoYusuf!$L$13:$AK$56,AF$4,FALSE)))</t>
  </si>
  <si>
    <t>=IF(ISNUMBER($L$6)=FALSE,"",
IF($C103=0,"",VLOOKUP($E103,SantoYusuf!$H$13:$L$56,4,FALSE)))</t>
  </si>
  <si>
    <t>=IF(ISNUMBER($L$6)=FALSE,"",
IF($C103=0,"",VLOOKUP($E103,SantoYusuf!$H$13:$L$56,5,FALSE)))</t>
  </si>
  <si>
    <t>=IF(ISNUMBER($L$6)=FALSE,"",
        IF(ISERROR(VLOOKUP($G103,SantoYusuf!$L$13:$AK$56,I$4,FALSE))=TRUE,"",
              VLOOKUP($G103,SantoYusuf!$L$13:$AK$56,I$4,FALSE)))</t>
  </si>
  <si>
    <t>=IF(ISNUMBER($L$6)=FALSE,"",
        IF(ISERROR(VLOOKUP($G103,SantoYusuf!$L$13:$AK$56,J$4,FALSE))=TRUE,"",
              VLOOKUP($G103,SantoYusuf!$L$13:$AK$56,J$4,FALSE)))</t>
  </si>
  <si>
    <t>=IF(ISNUMBER($L$6)=FALSE,"",
        IF(ISERROR(VLOOKUP($G103,SantoYusuf!$L$13:$AK$56,K$4,FALSE))=TRUE,"",
              VLOOKUP($G103,SantoYusuf!$L$13:$AK$56,K$4,FALSE)))</t>
  </si>
  <si>
    <t>=IF(ISNUMBER($L$6)=FALSE,"",
        IF(ISERROR(VLOOKUP($G103,SantoYusuf!$L$13:$AK$56,L$4,FALSE))=TRUE,"",
              VLOOKUP($G103,SantoYusuf!$L$13:$AK$56,L$4,FALSE)))</t>
  </si>
  <si>
    <t>=IF(ISNUMBER($L$6)=FALSE,"",
        IF(ISERROR(VLOOKUP($G103,SantoYusuf!$L$13:$AK$56,M$4,FALSE))=TRUE,"",
              VLOOKUP($G103,SantoYusuf!$L$13:$AK$56,M$4,FALSE)))</t>
  </si>
  <si>
    <t>=IF(ISNUMBER($L$6)=FALSE,"",
        IF(ISERROR(VLOOKUP($G103,SantoYusuf!$L$13:$AK$56,N$4,FALSE))=TRUE,"",
              VLOOKUP($G103,SantoYusuf!$L$13:$AK$56,N$4,FALSE)))</t>
  </si>
  <si>
    <t>=IF(ISNUMBER($L$6)=FALSE,"",
        IF(ISERROR(VLOOKUP($G103,SantoYusuf!$L$13:$AK$56,O$4,FALSE))=TRUE,"",
              VLOOKUP($G103,SantoYusuf!$L$13:$AK$56,O$4,FALSE)))</t>
  </si>
  <si>
    <t>=IF(ISNUMBER($L$6)=FALSE,"",
        IF(ISERROR(VLOOKUP($G103,SantoYusuf!$L$13:$AK$56,P$4,FALSE))=TRUE,"",
              VLOOKUP($G103,SantoYusuf!$L$13:$AK$56,P$4,FALSE)))</t>
  </si>
  <si>
    <t>=IF(ISNUMBER($L$6)=FALSE,"",
        IF(ISERROR(VLOOKUP($G103,SantoYusuf!$L$13:$AK$56,Q$4,FALSE))=TRUE,"",
              VLOOKUP($G103,SantoYusuf!$L$13:$AK$56,Q$4,FALSE)))</t>
  </si>
  <si>
    <t>=IF(ISNUMBER($L$6)=FALSE,"",
        IF(ISERROR(VLOOKUP($G103,SantoYusuf!$L$13:$AK$56,R$4,FALSE))=TRUE,"",
              VLOOKUP($G103,SantoYusuf!$L$13:$AK$56,R$4,FALSE)))</t>
  </si>
  <si>
    <t>=IF(ISNUMBER($L$6)=FALSE,"",
        IF(ISERROR(VLOOKUP($G103,SantoYusuf!$L$13:$AK$56,S$4,FALSE))=TRUE,"",
              VLOOKUP($G103,SantoYusuf!$L$13:$AK$56,S$4,FALSE)))</t>
  </si>
  <si>
    <t>=IF(ISNUMBER($L$6)=FALSE,"",
        IF(ISERROR(VLOOKUP($G103,SantoYusuf!$L$13:$AK$56,T$4,FALSE))=TRUE,"",
              VLOOKUP($G103,SantoYusuf!$L$13:$AK$56,T$4,FALSE)))</t>
  </si>
  <si>
    <t>=IF(ISNUMBER($L$6)=FALSE,"",
        IF(ISERROR(VLOOKUP($G103,SantoYusuf!$L$13:$AK$56,U$4,FALSE))=TRUE,"",
              VLOOKUP($G103,SantoYusuf!$L$13:$AK$56,U$4,FALSE)))</t>
  </si>
  <si>
    <t>=IF(ISNUMBER($L$6)=FALSE,"",
        IF(ISERROR(VLOOKUP($G103,SantoYusuf!$L$13:$AK$56,V$4,FALSE))=TRUE,"",
              VLOOKUP($G103,SantoYusuf!$L$13:$AK$56,V$4,FALSE)))</t>
  </si>
  <si>
    <t>=IF(ISNUMBER($L$6)=FALSE,"",
        IF(ISERROR(VLOOKUP($G103,SantoYusuf!$L$13:$AK$56,W$4,FALSE))=TRUE,"",
              VLOOKUP($G103,SantoYusuf!$L$13:$AK$56,W$4,FALSE)))</t>
  </si>
  <si>
    <t>=IF(ISNUMBER($L$6)=FALSE,"",
        IF(ISERROR(VLOOKUP($G103,SantoYusuf!$L$13:$AK$56,X$4,FALSE))=TRUE,"",
              VLOOKUP($G103,SantoYusuf!$L$13:$AK$56,X$4,FALSE)))</t>
  </si>
  <si>
    <t>=IF(ISNUMBER($L$6)=FALSE,"",
        IF(ISERROR(VLOOKUP($G103,SantoYusuf!$L$13:$AK$56,Y$4,FALSE))=TRUE,"",
              VLOOKUP($G103,SantoYusuf!$L$13:$AK$56,Y$4,FALSE)))</t>
  </si>
  <si>
    <t>=IF(ISNUMBER($L$6)=FALSE,"",
        IF(ISERROR(VLOOKUP($G103,SantoYusuf!$L$13:$AK$56,Z$4,FALSE))=TRUE,"",
              VLOOKUP($G103,SantoYusuf!$L$13:$AK$56,Z$4,FALSE)))</t>
  </si>
  <si>
    <t>=IF(ISNUMBER($L$6)=FALSE,"",
        IF(ISERROR(VLOOKUP($G103,SantoYusuf!$L$13:$AK$56,AA$4,FALSE))=TRUE,"",
              VLOOKUP($G103,SantoYusuf!$L$13:$AK$56,AA$4,FALSE)))</t>
  </si>
  <si>
    <t>=IF(ISNUMBER($L$6)=FALSE,"",
        IF(ISERROR(VLOOKUP($G103,SantoYusuf!$L$13:$AK$56,AB$4,FALSE))=TRUE,"",
              VLOOKUP($G103,SantoYusuf!$L$13:$AK$56,AB$4,FALSE)))</t>
  </si>
  <si>
    <t>=IF(ISNUMBER($L$6)=FALSE,"",
        IF(ISERROR(VLOOKUP($G103,SantoYusuf!$L$13:$AK$56,AC$4,FALSE))=TRUE,"",
              VLOOKUP($G103,SantoYusuf!$L$13:$AK$56,AC$4,FALSE)))</t>
  </si>
  <si>
    <t>=IF(ISNUMBER($L$6)=FALSE,"",
        IF(ISERROR(VLOOKUP($G103,SantoYusuf!$L$13:$AK$56,AD$4,FALSE))=TRUE,"",
              VLOOKUP($G103,SantoYusuf!$L$13:$AK$56,AD$4,FALSE)))</t>
  </si>
  <si>
    <t>=IF(ISNUMBER($L$6)=FALSE,"",
        IF(ISERROR(VLOOKUP($G103,SantoYusuf!$L$13:$AK$56,AE$4,FALSE))=TRUE,"",
              VLOOKUP($G103,SantoYusuf!$L$13:$AK$56,AE$4,FALSE)))</t>
  </si>
  <si>
    <t>=IF(ISNUMBER($L$6)=FALSE,"",
        IF(ISERROR(VLOOKUP($G103,SantoYusuf!$L$13:$AK$56,AF$4,FALSE))=TRUE,"",
              VLOOKUP($G103,SantoYusuf!$L$13:$AK$56,AF$4,FALSE)))</t>
  </si>
  <si>
    <t>=IF(ISNUMBER($L$6)=FALSE,"",
IF($C104=0,"",VLOOKUP($E104,SantoYusuf!$H$13:$L$56,4,FALSE)))</t>
  </si>
  <si>
    <t>=IF(ISNUMBER($L$6)=FALSE,"",
IF($C104=0,"",VLOOKUP($E104,SantoYusuf!$H$13:$L$56,5,FALSE)))</t>
  </si>
  <si>
    <t>=IF(ISNUMBER($L$6)=FALSE,"",
        IF(ISERROR(VLOOKUP($G104,SantoYusuf!$L$13:$AK$56,I$4,FALSE))=TRUE,"",
              VLOOKUP($G104,SantoYusuf!$L$13:$AK$56,I$4,FALSE)))</t>
  </si>
  <si>
    <t>=IF(ISNUMBER($L$6)=FALSE,"",
        IF(ISERROR(VLOOKUP($G104,SantoYusuf!$L$13:$AK$56,J$4,FALSE))=TRUE,"",
              VLOOKUP($G104,SantoYusuf!$L$13:$AK$56,J$4,FALSE)))</t>
  </si>
  <si>
    <t>=IF(ISNUMBER($L$6)=FALSE,"",
        IF(ISERROR(VLOOKUP($G104,SantoYusuf!$L$13:$AK$56,K$4,FALSE))=TRUE,"",
              VLOOKUP($G104,SantoYusuf!$L$13:$AK$56,K$4,FALSE)))</t>
  </si>
  <si>
    <t>=IF(ISNUMBER($L$6)=FALSE,"",
        IF(ISERROR(VLOOKUP($G104,SantoYusuf!$L$13:$AK$56,L$4,FALSE))=TRUE,"",
              VLOOKUP($G104,SantoYusuf!$L$13:$AK$56,L$4,FALSE)))</t>
  </si>
  <si>
    <t>=IF(ISNUMBER($L$6)=FALSE,"",
        IF(ISERROR(VLOOKUP($G104,SantoYusuf!$L$13:$AK$56,M$4,FALSE))=TRUE,"",
              VLOOKUP($G104,SantoYusuf!$L$13:$AK$56,M$4,FALSE)))</t>
  </si>
  <si>
    <t>=IF(ISNUMBER($L$6)=FALSE,"",
        IF(ISERROR(VLOOKUP($G104,SantoYusuf!$L$13:$AK$56,N$4,FALSE))=TRUE,"",
              VLOOKUP($G104,SantoYusuf!$L$13:$AK$56,N$4,FALSE)))</t>
  </si>
  <si>
    <t>=IF(ISNUMBER($L$6)=FALSE,"",
        IF(ISERROR(VLOOKUP($G104,SantoYusuf!$L$13:$AK$56,O$4,FALSE))=TRUE,"",
              VLOOKUP($G104,SantoYusuf!$L$13:$AK$56,O$4,FALSE)))</t>
  </si>
  <si>
    <t>=IF(ISNUMBER($L$6)=FALSE,"",
        IF(ISERROR(VLOOKUP($G104,SantoYusuf!$L$13:$AK$56,P$4,FALSE))=TRUE,"",
              VLOOKUP($G104,SantoYusuf!$L$13:$AK$56,P$4,FALSE)))</t>
  </si>
  <si>
    <t>=IF(ISNUMBER($L$6)=FALSE,"",
        IF(ISERROR(VLOOKUP($G104,SantoYusuf!$L$13:$AK$56,Q$4,FALSE))=TRUE,"",
              VLOOKUP($G104,SantoYusuf!$L$13:$AK$56,Q$4,FALSE)))</t>
  </si>
  <si>
    <t>=IF(ISNUMBER($L$6)=FALSE,"",
        IF(ISERROR(VLOOKUP($G104,SantoYusuf!$L$13:$AK$56,R$4,FALSE))=TRUE,"",
              VLOOKUP($G104,SantoYusuf!$L$13:$AK$56,R$4,FALSE)))</t>
  </si>
  <si>
    <t>=IF(ISNUMBER($L$6)=FALSE,"",
        IF(ISERROR(VLOOKUP($G104,SantoYusuf!$L$13:$AK$56,S$4,FALSE))=TRUE,"",
              VLOOKUP($G104,SantoYusuf!$L$13:$AK$56,S$4,FALSE)))</t>
  </si>
  <si>
    <t>=IF(ISNUMBER($L$6)=FALSE,"",
        IF(ISERROR(VLOOKUP($G104,SantoYusuf!$L$13:$AK$56,T$4,FALSE))=TRUE,"",
              VLOOKUP($G104,SantoYusuf!$L$13:$AK$56,T$4,FALSE)))</t>
  </si>
  <si>
    <t>=IF(ISNUMBER($L$6)=FALSE,"",
        IF(ISERROR(VLOOKUP($G104,SantoYusuf!$L$13:$AK$56,U$4,FALSE))=TRUE,"",
              VLOOKUP($G104,SantoYusuf!$L$13:$AK$56,U$4,FALSE)))</t>
  </si>
  <si>
    <t>=IF(ISNUMBER($L$6)=FALSE,"",
        IF(ISERROR(VLOOKUP($G104,SantoYusuf!$L$13:$AK$56,V$4,FALSE))=TRUE,"",
              VLOOKUP($G104,SantoYusuf!$L$13:$AK$56,V$4,FALSE)))</t>
  </si>
  <si>
    <t>=IF(ISNUMBER($L$6)=FALSE,"",
        IF(ISERROR(VLOOKUP($G104,SantoYusuf!$L$13:$AK$56,W$4,FALSE))=TRUE,"",
              VLOOKUP($G104,SantoYusuf!$L$13:$AK$56,W$4,FALSE)))</t>
  </si>
  <si>
    <t>=IF(ISNUMBER($L$6)=FALSE,"",
        IF(ISERROR(VLOOKUP($G104,SantoYusuf!$L$13:$AK$56,X$4,FALSE))=TRUE,"",
              VLOOKUP($G104,SantoYusuf!$L$13:$AK$56,X$4,FALSE)))</t>
  </si>
  <si>
    <t>=IF(ISNUMBER($L$6)=FALSE,"",
        IF(ISERROR(VLOOKUP($G104,SantoYusuf!$L$13:$AK$56,Y$4,FALSE))=TRUE,"",
              VLOOKUP($G104,SantoYusuf!$L$13:$AK$56,Y$4,FALSE)))</t>
  </si>
  <si>
    <t>=IF(ISNUMBER($L$6)=FALSE,"",
        IF(ISERROR(VLOOKUP($G104,SantoYusuf!$L$13:$AK$56,Z$4,FALSE))=TRUE,"",
              VLOOKUP($G104,SantoYusuf!$L$13:$AK$56,Z$4,FALSE)))</t>
  </si>
  <si>
    <t>=IF(ISNUMBER($L$6)=FALSE,"",
        IF(ISERROR(VLOOKUP($G104,SantoYusuf!$L$13:$AK$56,AA$4,FALSE))=TRUE,"",
              VLOOKUP($G104,SantoYusuf!$L$13:$AK$56,AA$4,FALSE)))</t>
  </si>
  <si>
    <t>=IF(ISNUMBER($L$6)=FALSE,"",
        IF(ISERROR(VLOOKUP($G104,SantoYusuf!$L$13:$AK$56,AB$4,FALSE))=TRUE,"",
              VLOOKUP($G104,SantoYusuf!$L$13:$AK$56,AB$4,FALSE)))</t>
  </si>
  <si>
    <t>=IF(ISNUMBER($L$6)=FALSE,"",
        IF(ISERROR(VLOOKUP($G104,SantoYusuf!$L$13:$AK$56,AC$4,FALSE))=TRUE,"",
              VLOOKUP($G104,SantoYusuf!$L$13:$AK$56,AC$4,FALSE)))</t>
  </si>
  <si>
    <t>=IF(ISNUMBER($L$6)=FALSE,"",
        IF(ISERROR(VLOOKUP($G104,SantoYusuf!$L$13:$AK$56,AD$4,FALSE))=TRUE,"",
              VLOOKUP($G104,SantoYusuf!$L$13:$AK$56,AD$4,FALSE)))</t>
  </si>
  <si>
    <t>=IF(ISNUMBER($L$6)=FALSE,"",
        IF(ISERROR(VLOOKUP($G104,SantoYusuf!$L$13:$AK$56,AE$4,FALSE))=TRUE,"",
              VLOOKUP($G104,SantoYusuf!$L$13:$AK$56,AE$4,FALSE)))</t>
  </si>
  <si>
    <t>=IF(ISNUMBER($L$6)=FALSE,"",
        IF(ISERROR(VLOOKUP($G104,SantoYusuf!$L$13:$AK$56,AF$4,FALSE))=TRUE,"",
              VLOOKUP($G104,SantoYusuf!$L$13:$AK$56,AF$4,FALSE)))</t>
  </si>
  <si>
    <t>=IF(ISNUMBER($L$6)=FALSE,"",
IF($C105=0,"",VLOOKUP($E105,SantoYusuf!$H$13:$L$56,4,FALSE)))</t>
  </si>
  <si>
    <t>=IF(ISNUMBER($L$6)=FALSE,"",
IF($C105=0,"",VLOOKUP($E105,SantoYusuf!$H$13:$L$56,5,FALSE)))</t>
  </si>
  <si>
    <t>=IF(ISNUMBER($L$6)=FALSE,"",
        IF(ISERROR(VLOOKUP($G105,SantoYusuf!$L$13:$AK$56,I$4,FALSE))=TRUE,"",
              VLOOKUP($G105,SantoYusuf!$L$13:$AK$56,I$4,FALSE)))</t>
  </si>
  <si>
    <t>=IF(ISNUMBER($L$6)=FALSE,"",
        IF(ISERROR(VLOOKUP($G105,SantoYusuf!$L$13:$AK$56,J$4,FALSE))=TRUE,"",
              VLOOKUP($G105,SantoYusuf!$L$13:$AK$56,J$4,FALSE)))</t>
  </si>
  <si>
    <t>=IF(ISNUMBER($L$6)=FALSE,"",
        IF(ISERROR(VLOOKUP($G105,SantoYusuf!$L$13:$AK$56,K$4,FALSE))=TRUE,"",
              VLOOKUP($G105,SantoYusuf!$L$13:$AK$56,K$4,FALSE)))</t>
  </si>
  <si>
    <t>=IF(ISNUMBER($L$6)=FALSE,"",
        IF(ISERROR(VLOOKUP($G105,SantoYusuf!$L$13:$AK$56,L$4,FALSE))=TRUE,"",
              VLOOKUP($G105,SantoYusuf!$L$13:$AK$56,L$4,FALSE)))</t>
  </si>
  <si>
    <t>=IF(ISNUMBER($L$6)=FALSE,"",
        IF(ISERROR(VLOOKUP($G105,SantoYusuf!$L$13:$AK$56,M$4,FALSE))=TRUE,"",
              VLOOKUP($G105,SantoYusuf!$L$13:$AK$56,M$4,FALSE)))</t>
  </si>
  <si>
    <t>=IF(ISNUMBER($L$6)=FALSE,"",
        IF(ISERROR(VLOOKUP($G105,SantoYusuf!$L$13:$AK$56,N$4,FALSE))=TRUE,"",
              VLOOKUP($G105,SantoYusuf!$L$13:$AK$56,N$4,FALSE)))</t>
  </si>
  <si>
    <t>=IF(ISNUMBER($L$6)=FALSE,"",
        IF(ISERROR(VLOOKUP($G105,SantoYusuf!$L$13:$AK$56,O$4,FALSE))=TRUE,"",
              VLOOKUP($G105,SantoYusuf!$L$13:$AK$56,O$4,FALSE)))</t>
  </si>
  <si>
    <t>=IF(ISNUMBER($L$6)=FALSE,"",
        IF(ISERROR(VLOOKUP($G105,SantoYusuf!$L$13:$AK$56,P$4,FALSE))=TRUE,"",
              VLOOKUP($G105,SantoYusuf!$L$13:$AK$56,P$4,FALSE)))</t>
  </si>
  <si>
    <t>=IF(ISNUMBER($L$6)=FALSE,"",
        IF(ISERROR(VLOOKUP($G105,SantoYusuf!$L$13:$AK$56,Q$4,FALSE))=TRUE,"",
              VLOOKUP($G105,SantoYusuf!$L$13:$AK$56,Q$4,FALSE)))</t>
  </si>
  <si>
    <t>=IF(ISNUMBER($L$6)=FALSE,"",
        IF(ISERROR(VLOOKUP($G105,SantoYusuf!$L$13:$AK$56,R$4,FALSE))=TRUE,"",
              VLOOKUP($G105,SantoYusuf!$L$13:$AK$56,R$4,FALSE)))</t>
  </si>
  <si>
    <t>=IF(ISNUMBER($L$6)=FALSE,"",
        IF(ISERROR(VLOOKUP($G105,SantoYusuf!$L$13:$AK$56,S$4,FALSE))=TRUE,"",
              VLOOKUP($G105,SantoYusuf!$L$13:$AK$56,S$4,FALSE)))</t>
  </si>
  <si>
    <t>=IF(ISNUMBER($L$6)=FALSE,"",
        IF(ISERROR(VLOOKUP($G105,SantoYusuf!$L$13:$AK$56,T$4,FALSE))=TRUE,"",
              VLOOKUP($G105,SantoYusuf!$L$13:$AK$56,T$4,FALSE)))</t>
  </si>
  <si>
    <t>=IF(ISNUMBER($L$6)=FALSE,"",
        IF(ISERROR(VLOOKUP($G105,SantoYusuf!$L$13:$AK$56,U$4,FALSE))=TRUE,"",
              VLOOKUP($G105,SantoYusuf!$L$13:$AK$56,U$4,FALSE)))</t>
  </si>
  <si>
    <t>=IF(ISNUMBER($L$6)=FALSE,"",
        IF(ISERROR(VLOOKUP($G105,SantoYusuf!$L$13:$AK$56,V$4,FALSE))=TRUE,"",
              VLOOKUP($G105,SantoYusuf!$L$13:$AK$56,V$4,FALSE)))</t>
  </si>
  <si>
    <t>=IF(ISNUMBER($L$6)=FALSE,"",
        IF(ISERROR(VLOOKUP($G105,SantoYusuf!$L$13:$AK$56,W$4,FALSE))=TRUE,"",
              VLOOKUP($G105,SantoYusuf!$L$13:$AK$56,W$4,FALSE)))</t>
  </si>
  <si>
    <t>=IF(ISNUMBER($L$6)=FALSE,"",
        IF(ISERROR(VLOOKUP($G105,SantoYusuf!$L$13:$AK$56,X$4,FALSE))=TRUE,"",
              VLOOKUP($G105,SantoYusuf!$L$13:$AK$56,X$4,FALSE)))</t>
  </si>
  <si>
    <t>=IF(ISNUMBER($L$6)=FALSE,"",
        IF(ISERROR(VLOOKUP($G105,SantoYusuf!$L$13:$AK$56,Y$4,FALSE))=TRUE,"",
              VLOOKUP($G105,SantoYusuf!$L$13:$AK$56,Y$4,FALSE)))</t>
  </si>
  <si>
    <t>=IF(ISNUMBER($L$6)=FALSE,"",
        IF(ISERROR(VLOOKUP($G105,SantoYusuf!$L$13:$AK$56,Z$4,FALSE))=TRUE,"",
              VLOOKUP($G105,SantoYusuf!$L$13:$AK$56,Z$4,FALSE)))</t>
  </si>
  <si>
    <t>=IF(ISNUMBER($L$6)=FALSE,"",
        IF(ISERROR(VLOOKUP($G105,SantoYusuf!$L$13:$AK$56,AA$4,FALSE))=TRUE,"",
              VLOOKUP($G105,SantoYusuf!$L$13:$AK$56,AA$4,FALSE)))</t>
  </si>
  <si>
    <t>=IF(ISNUMBER($L$6)=FALSE,"",
        IF(ISERROR(VLOOKUP($G105,SantoYusuf!$L$13:$AK$56,AB$4,FALSE))=TRUE,"",
              VLOOKUP($G105,SantoYusuf!$L$13:$AK$56,AB$4,FALSE)))</t>
  </si>
  <si>
    <t>=IF(ISNUMBER($L$6)=FALSE,"",
        IF(ISERROR(VLOOKUP($G105,SantoYusuf!$L$13:$AK$56,AC$4,FALSE))=TRUE,"",
              VLOOKUP($G105,SantoYusuf!$L$13:$AK$56,AC$4,FALSE)))</t>
  </si>
  <si>
    <t>=IF(ISNUMBER($L$6)=FALSE,"",
        IF(ISERROR(VLOOKUP($G105,SantoYusuf!$L$13:$AK$56,AD$4,FALSE))=TRUE,"",
              VLOOKUP($G105,SantoYusuf!$L$13:$AK$56,AD$4,FALSE)))</t>
  </si>
  <si>
    <t>=IF(ISNUMBER($L$6)=FALSE,"",
        IF(ISERROR(VLOOKUP($G105,SantoYusuf!$L$13:$AK$56,AE$4,FALSE))=TRUE,"",
              VLOOKUP($G105,SantoYusuf!$L$13:$AK$56,AE$4,FALSE)))</t>
  </si>
  <si>
    <t>=IF(ISNUMBER($L$6)=FALSE,"",
        IF(ISERROR(VLOOKUP($G105,SantoYusuf!$L$13:$AK$56,AF$4,FALSE))=TRUE,"",
              VLOOKUP($G105,SantoYusuf!$L$13:$AK$56,AF$4,FALSE)))</t>
  </si>
  <si>
    <t>=IF(ISNUMBER($L$6)=FALSE,"",
IF($C106=0,"",VLOOKUP($E106,SantoYusuf!$H$13:$L$56,4,FALSE)))</t>
  </si>
  <si>
    <t>=IF(ISNUMBER($L$6)=FALSE,"",
IF($C106=0,"",VLOOKUP($E106,SantoYusuf!$H$13:$L$56,5,FALSE)))</t>
  </si>
  <si>
    <t>=IF(ISNUMBER($L$6)=FALSE,"",
        IF(ISERROR(VLOOKUP($G106,SantoYusuf!$L$13:$AK$56,I$4,FALSE))=TRUE,"",
              VLOOKUP($G106,SantoYusuf!$L$13:$AK$56,I$4,FALSE)))</t>
  </si>
  <si>
    <t>=IF(ISNUMBER($L$6)=FALSE,"",
        IF(ISERROR(VLOOKUP($G106,SantoYusuf!$L$13:$AK$56,J$4,FALSE))=TRUE,"",
              VLOOKUP($G106,SantoYusuf!$L$13:$AK$56,J$4,FALSE)))</t>
  </si>
  <si>
    <t>=IF(ISNUMBER($L$6)=FALSE,"",
        IF(ISERROR(VLOOKUP($G106,SantoYusuf!$L$13:$AK$56,K$4,FALSE))=TRUE,"",
              VLOOKUP($G106,SantoYusuf!$L$13:$AK$56,K$4,FALSE)))</t>
  </si>
  <si>
    <t>=IF(ISNUMBER($L$6)=FALSE,"",
        IF(ISERROR(VLOOKUP($G106,SantoYusuf!$L$13:$AK$56,L$4,FALSE))=TRUE,"",
              VLOOKUP($G106,SantoYusuf!$L$13:$AK$56,L$4,FALSE)))</t>
  </si>
  <si>
    <t>=IF(ISNUMBER($L$6)=FALSE,"",
        IF(ISERROR(VLOOKUP($G106,SantoYusuf!$L$13:$AK$56,M$4,FALSE))=TRUE,"",
              VLOOKUP($G106,SantoYusuf!$L$13:$AK$56,M$4,FALSE)))</t>
  </si>
  <si>
    <t>=IF(ISNUMBER($L$6)=FALSE,"",
        IF(ISERROR(VLOOKUP($G106,SantoYusuf!$L$13:$AK$56,N$4,FALSE))=TRUE,"",
              VLOOKUP($G106,SantoYusuf!$L$13:$AK$56,N$4,FALSE)))</t>
  </si>
  <si>
    <t>=IF(ISNUMBER($L$6)=FALSE,"",
        IF(ISERROR(VLOOKUP($G106,SantoYusuf!$L$13:$AK$56,O$4,FALSE))=TRUE,"",
              VLOOKUP($G106,SantoYusuf!$L$13:$AK$56,O$4,FALSE)))</t>
  </si>
  <si>
    <t>=IF(ISNUMBER($L$6)=FALSE,"",
        IF(ISERROR(VLOOKUP($G106,SantoYusuf!$L$13:$AK$56,P$4,FALSE))=TRUE,"",
              VLOOKUP($G106,SantoYusuf!$L$13:$AK$56,P$4,FALSE)))</t>
  </si>
  <si>
    <t>=IF(ISNUMBER($L$6)=FALSE,"",
        IF(ISERROR(VLOOKUP($G106,SantoYusuf!$L$13:$AK$56,Q$4,FALSE))=TRUE,"",
              VLOOKUP($G106,SantoYusuf!$L$13:$AK$56,Q$4,FALSE)))</t>
  </si>
  <si>
    <t>=IF(ISNUMBER($L$6)=FALSE,"",
        IF(ISERROR(VLOOKUP($G106,SantoYusuf!$L$13:$AK$56,R$4,FALSE))=TRUE,"",
              VLOOKUP($G106,SantoYusuf!$L$13:$AK$56,R$4,FALSE)))</t>
  </si>
  <si>
    <t>=IF(ISNUMBER($L$6)=FALSE,"",
        IF(ISERROR(VLOOKUP($G106,SantoYusuf!$L$13:$AK$56,S$4,FALSE))=TRUE,"",
              VLOOKUP($G106,SantoYusuf!$L$13:$AK$56,S$4,FALSE)))</t>
  </si>
  <si>
    <t>=IF(ISNUMBER($L$6)=FALSE,"",
        IF(ISERROR(VLOOKUP($G106,SantoYusuf!$L$13:$AK$56,T$4,FALSE))=TRUE,"",
              VLOOKUP($G106,SantoYusuf!$L$13:$AK$56,T$4,FALSE)))</t>
  </si>
  <si>
    <t>=IF(ISNUMBER($L$6)=FALSE,"",
        IF(ISERROR(VLOOKUP($G106,SantoYusuf!$L$13:$AK$56,U$4,FALSE))=TRUE,"",
              VLOOKUP($G106,SantoYusuf!$L$13:$AK$56,U$4,FALSE)))</t>
  </si>
  <si>
    <t>=IF(ISNUMBER($L$6)=FALSE,"",
        IF(ISERROR(VLOOKUP($G106,SantoYusuf!$L$13:$AK$56,V$4,FALSE))=TRUE,"",
              VLOOKUP($G106,SantoYusuf!$L$13:$AK$56,V$4,FALSE)))</t>
  </si>
  <si>
    <t>=IF(ISNUMBER($L$6)=FALSE,"",
        IF(ISERROR(VLOOKUP($G106,SantoYusuf!$L$13:$AK$56,W$4,FALSE))=TRUE,"",
              VLOOKUP($G106,SantoYusuf!$L$13:$AK$56,W$4,FALSE)))</t>
  </si>
  <si>
    <t>=IF(ISNUMBER($L$6)=FALSE,"",
        IF(ISERROR(VLOOKUP($G106,SantoYusuf!$L$13:$AK$56,X$4,FALSE))=TRUE,"",
              VLOOKUP($G106,SantoYusuf!$L$13:$AK$56,X$4,FALSE)))</t>
  </si>
  <si>
    <t>=IF(ISNUMBER($L$6)=FALSE,"",
        IF(ISERROR(VLOOKUP($G106,SantoYusuf!$L$13:$AK$56,Y$4,FALSE))=TRUE,"",
              VLOOKUP($G106,SantoYusuf!$L$13:$AK$56,Y$4,FALSE)))</t>
  </si>
  <si>
    <t>=IF(ISNUMBER($L$6)=FALSE,"",
        IF(ISERROR(VLOOKUP($G106,SantoYusuf!$L$13:$AK$56,Z$4,FALSE))=TRUE,"",
              VLOOKUP($G106,SantoYusuf!$L$13:$AK$56,Z$4,FALSE)))</t>
  </si>
  <si>
    <t>=IF(ISNUMBER($L$6)=FALSE,"",
        IF(ISERROR(VLOOKUP($G106,SantoYusuf!$L$13:$AK$56,AA$4,FALSE))=TRUE,"",
              VLOOKUP($G106,SantoYusuf!$L$13:$AK$56,AA$4,FALSE)))</t>
  </si>
  <si>
    <t>=IF(ISNUMBER($L$6)=FALSE,"",
        IF(ISERROR(VLOOKUP($G106,SantoYusuf!$L$13:$AK$56,AB$4,FALSE))=TRUE,"",
              VLOOKUP($G106,SantoYusuf!$L$13:$AK$56,AB$4,FALSE)))</t>
  </si>
  <si>
    <t>=IF(ISNUMBER($L$6)=FALSE,"",
        IF(ISERROR(VLOOKUP($G106,SantoYusuf!$L$13:$AK$56,AC$4,FALSE))=TRUE,"",
              VLOOKUP($G106,SantoYusuf!$L$13:$AK$56,AC$4,FALSE)))</t>
  </si>
  <si>
    <t>=IF(ISNUMBER($L$6)=FALSE,"",
        IF(ISERROR(VLOOKUP($G106,SantoYusuf!$L$13:$AK$56,AD$4,FALSE))=TRUE,"",
              VLOOKUP($G106,SantoYusuf!$L$13:$AK$56,AD$4,FALSE)))</t>
  </si>
  <si>
    <t>=IF(ISNUMBER($L$6)=FALSE,"",
        IF(ISERROR(VLOOKUP($G106,SantoYusuf!$L$13:$AK$56,AE$4,FALSE))=TRUE,"",
              VLOOKUP($G106,SantoYusuf!$L$13:$AK$56,AE$4,FALSE)))</t>
  </si>
  <si>
    <t>=IF(ISNUMBER($L$6)=FALSE,"",
        IF(ISERROR(VLOOKUP($G106,SantoYusuf!$L$13:$AK$56,AF$4,FALSE))=TRUE,"",
              VLOOKUP($G106,SantoYusuf!$L$13:$AK$56,AF$4,FALSE)))</t>
  </si>
  <si>
    <t>=IF(ISNUMBER($L$6)=FALSE,"",
IF($C107=0,"",VLOOKUP($E107,SantoYusuf!$H$13:$L$56,4,FALSE)))</t>
  </si>
  <si>
    <t>=IF(ISNUMBER($L$6)=FALSE,"",
IF($C107=0,"",VLOOKUP($E107,SantoYusuf!$H$13:$L$56,5,FALSE)))</t>
  </si>
  <si>
    <t>=IF(ISNUMBER($L$6)=FALSE,"",
        IF(ISERROR(VLOOKUP($G107,SantoYusuf!$L$13:$AK$56,I$4,FALSE))=TRUE,"",
              VLOOKUP($G107,SantoYusuf!$L$13:$AK$56,I$4,FALSE)))</t>
  </si>
  <si>
    <t>=IF(ISNUMBER($L$6)=FALSE,"",
        IF(ISERROR(VLOOKUP($G107,SantoYusuf!$L$13:$AK$56,J$4,FALSE))=TRUE,"",
              VLOOKUP($G107,SantoYusuf!$L$13:$AK$56,J$4,FALSE)))</t>
  </si>
  <si>
    <t>=IF(ISNUMBER($L$6)=FALSE,"",
        IF(ISERROR(VLOOKUP($G107,SantoYusuf!$L$13:$AK$56,K$4,FALSE))=TRUE,"",
              VLOOKUP($G107,SantoYusuf!$L$13:$AK$56,K$4,FALSE)))</t>
  </si>
  <si>
    <t>=IF(ISNUMBER($L$6)=FALSE,"",
        IF(ISERROR(VLOOKUP($G107,SantoYusuf!$L$13:$AK$56,L$4,FALSE))=TRUE,"",
              VLOOKUP($G107,SantoYusuf!$L$13:$AK$56,L$4,FALSE)))</t>
  </si>
  <si>
    <t>=IF(ISNUMBER($L$6)=FALSE,"",
        IF(ISERROR(VLOOKUP($G107,SantoYusuf!$L$13:$AK$56,M$4,FALSE))=TRUE,"",
              VLOOKUP($G107,SantoYusuf!$L$13:$AK$56,M$4,FALSE)))</t>
  </si>
  <si>
    <t>=IF(ISNUMBER($L$6)=FALSE,"",
        IF(ISERROR(VLOOKUP($G107,SantoYusuf!$L$13:$AK$56,N$4,FALSE))=TRUE,"",
              VLOOKUP($G107,SantoYusuf!$L$13:$AK$56,N$4,FALSE)))</t>
  </si>
  <si>
    <t>=IF(ISNUMBER($L$6)=FALSE,"",
        IF(ISERROR(VLOOKUP($G107,SantoYusuf!$L$13:$AK$56,O$4,FALSE))=TRUE,"",
              VLOOKUP($G107,SantoYusuf!$L$13:$AK$56,O$4,FALSE)))</t>
  </si>
  <si>
    <t>=IF(ISNUMBER($L$6)=FALSE,"",
        IF(ISERROR(VLOOKUP($G107,SantoYusuf!$L$13:$AK$56,P$4,FALSE))=TRUE,"",
              VLOOKUP($G107,SantoYusuf!$L$13:$AK$56,P$4,FALSE)))</t>
  </si>
  <si>
    <t>=IF(ISNUMBER($L$6)=FALSE,"",
        IF(ISERROR(VLOOKUP($G107,SantoYusuf!$L$13:$AK$56,Q$4,FALSE))=TRUE,"",
              VLOOKUP($G107,SantoYusuf!$L$13:$AK$56,Q$4,FALSE)))</t>
  </si>
  <si>
    <t>=IF(ISNUMBER($L$6)=FALSE,"",
        IF(ISERROR(VLOOKUP($G107,SantoYusuf!$L$13:$AK$56,R$4,FALSE))=TRUE,"",
              VLOOKUP($G107,SantoYusuf!$L$13:$AK$56,R$4,FALSE)))</t>
  </si>
  <si>
    <t>=IF(ISNUMBER($L$6)=FALSE,"",
        IF(ISERROR(VLOOKUP($G107,SantoYusuf!$L$13:$AK$56,S$4,FALSE))=TRUE,"",
              VLOOKUP($G107,SantoYusuf!$L$13:$AK$56,S$4,FALSE)))</t>
  </si>
  <si>
    <t>=IF(ISNUMBER($L$6)=FALSE,"",
        IF(ISERROR(VLOOKUP($G107,SantoYusuf!$L$13:$AK$56,T$4,FALSE))=TRUE,"",
              VLOOKUP($G107,SantoYusuf!$L$13:$AK$56,T$4,FALSE)))</t>
  </si>
  <si>
    <t>=IF(ISNUMBER($L$6)=FALSE,"",
        IF(ISERROR(VLOOKUP($G107,SantoYusuf!$L$13:$AK$56,U$4,FALSE))=TRUE,"",
              VLOOKUP($G107,SantoYusuf!$L$13:$AK$56,U$4,FALSE)))</t>
  </si>
  <si>
    <t>=IF(ISNUMBER($L$6)=FALSE,"",
        IF(ISERROR(VLOOKUP($G107,SantoYusuf!$L$13:$AK$56,V$4,FALSE))=TRUE,"",
              VLOOKUP($G107,SantoYusuf!$L$13:$AK$56,V$4,FALSE)))</t>
  </si>
  <si>
    <t>=IF(ISNUMBER($L$6)=FALSE,"",
        IF(ISERROR(VLOOKUP($G107,SantoYusuf!$L$13:$AK$56,W$4,FALSE))=TRUE,"",
              VLOOKUP($G107,SantoYusuf!$L$13:$AK$56,W$4,FALSE)))</t>
  </si>
  <si>
    <t>=IF(ISNUMBER($L$6)=FALSE,"",
        IF(ISERROR(VLOOKUP($G107,SantoYusuf!$L$13:$AK$56,X$4,FALSE))=TRUE,"",
              VLOOKUP($G107,SantoYusuf!$L$13:$AK$56,X$4,FALSE)))</t>
  </si>
  <si>
    <t>=IF(ISNUMBER($L$6)=FALSE,"",
        IF(ISERROR(VLOOKUP($G107,SantoYusuf!$L$13:$AK$56,Y$4,FALSE))=TRUE,"",
              VLOOKUP($G107,SantoYusuf!$L$13:$AK$56,Y$4,FALSE)))</t>
  </si>
  <si>
    <t>=IF(ISNUMBER($L$6)=FALSE,"",
        IF(ISERROR(VLOOKUP($G107,SantoYusuf!$L$13:$AK$56,Z$4,FALSE))=TRUE,"",
              VLOOKUP($G107,SantoYusuf!$L$13:$AK$56,Z$4,FALSE)))</t>
  </si>
  <si>
    <t>=IF(ISNUMBER($L$6)=FALSE,"",
        IF(ISERROR(VLOOKUP($G107,SantoYusuf!$L$13:$AK$56,AA$4,FALSE))=TRUE,"",
              VLOOKUP($G107,SantoYusuf!$L$13:$AK$56,AA$4,FALSE)))</t>
  </si>
  <si>
    <t>=IF(ISNUMBER($L$6)=FALSE,"",
        IF(ISERROR(VLOOKUP($G107,SantoYusuf!$L$13:$AK$56,AB$4,FALSE))=TRUE,"",
              VLOOKUP($G107,SantoYusuf!$L$13:$AK$56,AB$4,FALSE)))</t>
  </si>
  <si>
    <t>=IF(ISNUMBER($L$6)=FALSE,"",
        IF(ISERROR(VLOOKUP($G107,SantoYusuf!$L$13:$AK$56,AC$4,FALSE))=TRUE,"",
              VLOOKUP($G107,SantoYusuf!$L$13:$AK$56,AC$4,FALSE)))</t>
  </si>
  <si>
    <t>=IF(ISNUMBER($L$6)=FALSE,"",
        IF(ISERROR(VLOOKUP($G107,SantoYusuf!$L$13:$AK$56,AD$4,FALSE))=TRUE,"",
              VLOOKUP($G107,SantoYusuf!$L$13:$AK$56,AD$4,FALSE)))</t>
  </si>
  <si>
    <t>=IF(ISNUMBER($L$6)=FALSE,"",
        IF(ISERROR(VLOOKUP($G107,SantoYusuf!$L$13:$AK$56,AE$4,FALSE))=TRUE,"",
              VLOOKUP($G107,SantoYusuf!$L$13:$AK$56,AE$4,FALSE)))</t>
  </si>
  <si>
    <t>=IF(ISNUMBER($L$6)=FALSE,"",
        IF(ISERROR(VLOOKUP($G107,SantoYusuf!$L$13:$AK$56,AF$4,FALSE))=TRUE,"",
              VLOOKUP($G107,SantoYusuf!$L$13:$AK$56,AF$4,FALSE)))</t>
  </si>
  <si>
    <t>=IF(ISNUMBER($L$6)=FALSE,"",
IF($C108=0,"",VLOOKUP($E108,SantoYusuf!$H$13:$L$56,4,FALSE)))</t>
  </si>
  <si>
    <t>=IF(ISNUMBER($L$6)=FALSE,"",
IF($C108=0,"",VLOOKUP($E108,SantoYusuf!$H$13:$L$56,5,FALSE)))</t>
  </si>
  <si>
    <t>=IF(ISNUMBER($L$6)=FALSE,"",
        IF(ISERROR(VLOOKUP($G108,SantoYusuf!$L$13:$AK$56,I$4,FALSE))=TRUE,"",
              VLOOKUP($G108,SantoYusuf!$L$13:$AK$56,I$4,FALSE)))</t>
  </si>
  <si>
    <t>=IF(ISNUMBER($L$6)=FALSE,"",
        IF(ISERROR(VLOOKUP($G108,SantoYusuf!$L$13:$AK$56,J$4,FALSE))=TRUE,"",
              VLOOKUP($G108,SantoYusuf!$L$13:$AK$56,J$4,FALSE)))</t>
  </si>
  <si>
    <t>=IF(ISNUMBER($L$6)=FALSE,"",
        IF(ISERROR(VLOOKUP($G108,SantoYusuf!$L$13:$AK$56,K$4,FALSE))=TRUE,"",
              VLOOKUP($G108,SantoYusuf!$L$13:$AK$56,K$4,FALSE)))</t>
  </si>
  <si>
    <t>=IF(ISNUMBER($L$6)=FALSE,"",
        IF(ISERROR(VLOOKUP($G108,SantoYusuf!$L$13:$AK$56,L$4,FALSE))=TRUE,"",
              VLOOKUP($G108,SantoYusuf!$L$13:$AK$56,L$4,FALSE)))</t>
  </si>
  <si>
    <t>=IF(ISNUMBER($L$6)=FALSE,"",
        IF(ISERROR(VLOOKUP($G108,SantoYusuf!$L$13:$AK$56,M$4,FALSE))=TRUE,"",
              VLOOKUP($G108,SantoYusuf!$L$13:$AK$56,M$4,FALSE)))</t>
  </si>
  <si>
    <t>=IF(ISNUMBER($L$6)=FALSE,"",
        IF(ISERROR(VLOOKUP($G108,SantoYusuf!$L$13:$AK$56,N$4,FALSE))=TRUE,"",
              VLOOKUP($G108,SantoYusuf!$L$13:$AK$56,N$4,FALSE)))</t>
  </si>
  <si>
    <t>=IF(ISNUMBER($L$6)=FALSE,"",
        IF(ISERROR(VLOOKUP($G108,SantoYusuf!$L$13:$AK$56,O$4,FALSE))=TRUE,"",
              VLOOKUP($G108,SantoYusuf!$L$13:$AK$56,O$4,FALSE)))</t>
  </si>
  <si>
    <t>=IF(ISNUMBER($L$6)=FALSE,"",
        IF(ISERROR(VLOOKUP($G108,SantoYusuf!$L$13:$AK$56,P$4,FALSE))=TRUE,"",
              VLOOKUP($G108,SantoYusuf!$L$13:$AK$56,P$4,FALSE)))</t>
  </si>
  <si>
    <t>=IF(ISNUMBER($L$6)=FALSE,"",
        IF(ISERROR(VLOOKUP($G108,SantoYusuf!$L$13:$AK$56,Q$4,FALSE))=TRUE,"",
              VLOOKUP($G108,SantoYusuf!$L$13:$AK$56,Q$4,FALSE)))</t>
  </si>
  <si>
    <t>=IF(ISNUMBER($L$6)=FALSE,"",
        IF(ISERROR(VLOOKUP($G108,SantoYusuf!$L$13:$AK$56,R$4,FALSE))=TRUE,"",
              VLOOKUP($G108,SantoYusuf!$L$13:$AK$56,R$4,FALSE)))</t>
  </si>
  <si>
    <t>=IF(ISNUMBER($L$6)=FALSE,"",
        IF(ISERROR(VLOOKUP($G108,SantoYusuf!$L$13:$AK$56,S$4,FALSE))=TRUE,"",
              VLOOKUP($G108,SantoYusuf!$L$13:$AK$56,S$4,FALSE)))</t>
  </si>
  <si>
    <t>=IF(ISNUMBER($L$6)=FALSE,"",
        IF(ISERROR(VLOOKUP($G108,SantoYusuf!$L$13:$AK$56,T$4,FALSE))=TRUE,"",
              VLOOKUP($G108,SantoYusuf!$L$13:$AK$56,T$4,FALSE)))</t>
  </si>
  <si>
    <t>=IF(ISNUMBER($L$6)=FALSE,"",
        IF(ISERROR(VLOOKUP($G108,SantoYusuf!$L$13:$AK$56,U$4,FALSE))=TRUE,"",
              VLOOKUP($G108,SantoYusuf!$L$13:$AK$56,U$4,FALSE)))</t>
  </si>
  <si>
    <t>=IF(ISNUMBER($L$6)=FALSE,"",
        IF(ISERROR(VLOOKUP($G108,SantoYusuf!$L$13:$AK$56,V$4,FALSE))=TRUE,"",
              VLOOKUP($G108,SantoYusuf!$L$13:$AK$56,V$4,FALSE)))</t>
  </si>
  <si>
    <t>=IF(ISNUMBER($L$6)=FALSE,"",
        IF(ISERROR(VLOOKUP($G108,SantoYusuf!$L$13:$AK$56,W$4,FALSE))=TRUE,"",
              VLOOKUP($G108,SantoYusuf!$L$13:$AK$56,W$4,FALSE)))</t>
  </si>
  <si>
    <t>=IF(ISNUMBER($L$6)=FALSE,"",
        IF(ISERROR(VLOOKUP($G108,SantoYusuf!$L$13:$AK$56,X$4,FALSE))=TRUE,"",
              VLOOKUP($G108,SantoYusuf!$L$13:$AK$56,X$4,FALSE)))</t>
  </si>
  <si>
    <t>=IF(ISNUMBER($L$6)=FALSE,"",
        IF(ISERROR(VLOOKUP($G108,SantoYusuf!$L$13:$AK$56,Y$4,FALSE))=TRUE,"",
              VLOOKUP($G108,SantoYusuf!$L$13:$AK$56,Y$4,FALSE)))</t>
  </si>
  <si>
    <t>=IF(ISNUMBER($L$6)=FALSE,"",
        IF(ISERROR(VLOOKUP($G108,SantoYusuf!$L$13:$AK$56,Z$4,FALSE))=TRUE,"",
              VLOOKUP($G108,SantoYusuf!$L$13:$AK$56,Z$4,FALSE)))</t>
  </si>
  <si>
    <t>=IF(ISNUMBER($L$6)=FALSE,"",
        IF(ISERROR(VLOOKUP($G108,SantoYusuf!$L$13:$AK$56,AA$4,FALSE))=TRUE,"",
              VLOOKUP($G108,SantoYusuf!$L$13:$AK$56,AA$4,FALSE)))</t>
  </si>
  <si>
    <t>=IF(ISNUMBER($L$6)=FALSE,"",
        IF(ISERROR(VLOOKUP($G108,SantoYusuf!$L$13:$AK$56,AB$4,FALSE))=TRUE,"",
              VLOOKUP($G108,SantoYusuf!$L$13:$AK$56,AB$4,FALSE)))</t>
  </si>
  <si>
    <t>=IF(ISNUMBER($L$6)=FALSE,"",
        IF(ISERROR(VLOOKUP($G108,SantoYusuf!$L$13:$AK$56,AC$4,FALSE))=TRUE,"",
              VLOOKUP($G108,SantoYusuf!$L$13:$AK$56,AC$4,FALSE)))</t>
  </si>
  <si>
    <t>=IF(ISNUMBER($L$6)=FALSE,"",
        IF(ISERROR(VLOOKUP($G108,SantoYusuf!$L$13:$AK$56,AD$4,FALSE))=TRUE,"",
              VLOOKUP($G108,SantoYusuf!$L$13:$AK$56,AD$4,FALSE)))</t>
  </si>
  <si>
    <t>=IF(ISNUMBER($L$6)=FALSE,"",
        IF(ISERROR(VLOOKUP($G108,SantoYusuf!$L$13:$AK$56,AE$4,FALSE))=TRUE,"",
              VLOOKUP($G108,SantoYusuf!$L$13:$AK$56,AE$4,FALSE)))</t>
  </si>
  <si>
    <t>=IF(ISNUMBER($L$6)=FALSE,"",
        IF(ISERROR(VLOOKUP($G108,SantoYusuf!$L$13:$AK$56,AF$4,FALSE))=TRUE,"",
              VLOOKUP($G108,SantoYusuf!$L$13:$AK$56,AF$4,FALSE)))</t>
  </si>
  <si>
    <t>=IF(ISNUMBER($L$6)=FALSE,"",
IF($C109=0,"",VLOOKUP($E109,SantoYusuf!$H$13:$L$56,4,FALSE)))</t>
  </si>
  <si>
    <t>=IF(ISNUMBER($L$6)=FALSE,"",
IF($C109=0,"",VLOOKUP($E109,SantoYusuf!$H$13:$L$56,5,FALSE)))</t>
  </si>
  <si>
    <t>=IF(ISNUMBER($L$6)=FALSE,"",
        IF(ISERROR(VLOOKUP($G109,SantoYusuf!$L$13:$AK$56,I$4,FALSE))=TRUE,"",
              VLOOKUP($G109,SantoYusuf!$L$13:$AK$56,I$4,FALSE)))</t>
  </si>
  <si>
    <t>=IF(ISNUMBER($L$6)=FALSE,"",
        IF(ISERROR(VLOOKUP($G109,SantoYusuf!$L$13:$AK$56,J$4,FALSE))=TRUE,"",
              VLOOKUP($G109,SantoYusuf!$L$13:$AK$56,J$4,FALSE)))</t>
  </si>
  <si>
    <t>=IF(ISNUMBER($L$6)=FALSE,"",
        IF(ISERROR(VLOOKUP($G109,SantoYusuf!$L$13:$AK$56,K$4,FALSE))=TRUE,"",
              VLOOKUP($G109,SantoYusuf!$L$13:$AK$56,K$4,FALSE)))</t>
  </si>
  <si>
    <t>=IF(ISNUMBER($L$6)=FALSE,"",
        IF(ISERROR(VLOOKUP($G109,SantoYusuf!$L$13:$AK$56,L$4,FALSE))=TRUE,"",
              VLOOKUP($G109,SantoYusuf!$L$13:$AK$56,L$4,FALSE)))</t>
  </si>
  <si>
    <t>=IF(ISNUMBER($L$6)=FALSE,"",
        IF(ISERROR(VLOOKUP($G109,SantoYusuf!$L$13:$AK$56,M$4,FALSE))=TRUE,"",
              VLOOKUP($G109,SantoYusuf!$L$13:$AK$56,M$4,FALSE)))</t>
  </si>
  <si>
    <t>=IF(ISNUMBER($L$6)=FALSE,"",
        IF(ISERROR(VLOOKUP($G109,SantoYusuf!$L$13:$AK$56,N$4,FALSE))=TRUE,"",
              VLOOKUP($G109,SantoYusuf!$L$13:$AK$56,N$4,FALSE)))</t>
  </si>
  <si>
    <t>=IF(ISNUMBER($L$6)=FALSE,"",
        IF(ISERROR(VLOOKUP($G109,SantoYusuf!$L$13:$AK$56,O$4,FALSE))=TRUE,"",
              VLOOKUP($G109,SantoYusuf!$L$13:$AK$56,O$4,FALSE)))</t>
  </si>
  <si>
    <t>=IF(ISNUMBER($L$6)=FALSE,"",
        IF(ISERROR(VLOOKUP($G109,SantoYusuf!$L$13:$AK$56,P$4,FALSE))=TRUE,"",
              VLOOKUP($G109,SantoYusuf!$L$13:$AK$56,P$4,FALSE)))</t>
  </si>
  <si>
    <t>=IF(ISNUMBER($L$6)=FALSE,"",
        IF(ISERROR(VLOOKUP($G109,SantoYusuf!$L$13:$AK$56,Q$4,FALSE))=TRUE,"",
              VLOOKUP($G109,SantoYusuf!$L$13:$AK$56,Q$4,FALSE)))</t>
  </si>
  <si>
    <t>=IF(ISNUMBER($L$6)=FALSE,"",
        IF(ISERROR(VLOOKUP($G109,SantoYusuf!$L$13:$AK$56,R$4,FALSE))=TRUE,"",
              VLOOKUP($G109,SantoYusuf!$L$13:$AK$56,R$4,FALSE)))</t>
  </si>
  <si>
    <t>=IF(ISNUMBER($L$6)=FALSE,"",
        IF(ISERROR(VLOOKUP($G109,SantoYusuf!$L$13:$AK$56,S$4,FALSE))=TRUE,"",
              VLOOKUP($G109,SantoYusuf!$L$13:$AK$56,S$4,FALSE)))</t>
  </si>
  <si>
    <t>=IF(ISNUMBER($L$6)=FALSE,"",
        IF(ISERROR(VLOOKUP($G109,SantoYusuf!$L$13:$AK$56,T$4,FALSE))=TRUE,"",
              VLOOKUP($G109,SantoYusuf!$L$13:$AK$56,T$4,FALSE)))</t>
  </si>
  <si>
    <t>=IF(ISNUMBER($L$6)=FALSE,"",
        IF(ISERROR(VLOOKUP($G109,SantoYusuf!$L$13:$AK$56,U$4,FALSE))=TRUE,"",
              VLOOKUP($G109,SantoYusuf!$L$13:$AK$56,U$4,FALSE)))</t>
  </si>
  <si>
    <t>=IF(ISNUMBER($L$6)=FALSE,"",
        IF(ISERROR(VLOOKUP($G109,SantoYusuf!$L$13:$AK$56,V$4,FALSE))=TRUE,"",
              VLOOKUP($G109,SantoYusuf!$L$13:$AK$56,V$4,FALSE)))</t>
  </si>
  <si>
    <t>=IF(ISNUMBER($L$6)=FALSE,"",
        IF(ISERROR(VLOOKUP($G109,SantoYusuf!$L$13:$AK$56,W$4,FALSE))=TRUE,"",
              VLOOKUP($G109,SantoYusuf!$L$13:$AK$56,W$4,FALSE)))</t>
  </si>
  <si>
    <t>=IF(ISNUMBER($L$6)=FALSE,"",
        IF(ISERROR(VLOOKUP($G109,SantoYusuf!$L$13:$AK$56,X$4,FALSE))=TRUE,"",
              VLOOKUP($G109,SantoYusuf!$L$13:$AK$56,X$4,FALSE)))</t>
  </si>
  <si>
    <t>=IF(ISNUMBER($L$6)=FALSE,"",
        IF(ISERROR(VLOOKUP($G109,SantoYusuf!$L$13:$AK$56,Y$4,FALSE))=TRUE,"",
              VLOOKUP($G109,SantoYusuf!$L$13:$AK$56,Y$4,FALSE)))</t>
  </si>
  <si>
    <t>=IF(ISNUMBER($L$6)=FALSE,"",
        IF(ISERROR(VLOOKUP($G109,SantoYusuf!$L$13:$AK$56,Z$4,FALSE))=TRUE,"",
              VLOOKUP($G109,SantoYusuf!$L$13:$AK$56,Z$4,FALSE)))</t>
  </si>
  <si>
    <t>=IF(ISNUMBER($L$6)=FALSE,"",
        IF(ISERROR(VLOOKUP($G109,SantoYusuf!$L$13:$AK$56,AA$4,FALSE))=TRUE,"",
              VLOOKUP($G109,SantoYusuf!$L$13:$AK$56,AA$4,FALSE)))</t>
  </si>
  <si>
    <t>=IF(ISNUMBER($L$6)=FALSE,"",
        IF(ISERROR(VLOOKUP($G109,SantoYusuf!$L$13:$AK$56,AB$4,FALSE))=TRUE,"",
              VLOOKUP($G109,SantoYusuf!$L$13:$AK$56,AB$4,FALSE)))</t>
  </si>
  <si>
    <t>=IF(ISNUMBER($L$6)=FALSE,"",
        IF(ISERROR(VLOOKUP($G109,SantoYusuf!$L$13:$AK$56,AC$4,FALSE))=TRUE,"",
              VLOOKUP($G109,SantoYusuf!$L$13:$AK$56,AC$4,FALSE)))</t>
  </si>
  <si>
    <t>=IF(ISNUMBER($L$6)=FALSE,"",
        IF(ISERROR(VLOOKUP($G109,SantoYusuf!$L$13:$AK$56,AD$4,FALSE))=TRUE,"",
              VLOOKUP($G109,SantoYusuf!$L$13:$AK$56,AD$4,FALSE)))</t>
  </si>
  <si>
    <t>=IF(ISNUMBER($L$6)=FALSE,"",
        IF(ISERROR(VLOOKUP($G109,SantoYusuf!$L$13:$AK$56,AE$4,FALSE))=TRUE,"",
              VLOOKUP($G109,SantoYusuf!$L$13:$AK$56,AE$4,FALSE)))</t>
  </si>
  <si>
    <t>=IF(ISNUMBER($L$6)=FALSE,"",
        IF(ISERROR(VLOOKUP($G109,SantoYusuf!$L$13:$AK$56,AF$4,FALSE))=TRUE,"",
              VLOOKUP($G109,SantoYusuf!$L$13:$AK$56,AF$4,FALSE)))</t>
  </si>
  <si>
    <t>=IF(ISNUMBER($L$6)=FALSE,"",
IF($C110=0,"",VLOOKUP($E110,SantoYusuf!$H$13:$L$56,4,FALSE)))</t>
  </si>
  <si>
    <t>=IF(ISNUMBER($L$6)=FALSE,"",
IF($C110=0,"",VLOOKUP($E110,SantoYusuf!$H$13:$L$56,5,FALSE)))</t>
  </si>
  <si>
    <t>=IF(ISNUMBER($L$6)=FALSE,"",
        IF(ISERROR(VLOOKUP($G110,SantoYusuf!$L$13:$AK$56,I$4,FALSE))=TRUE,"",
              VLOOKUP($G110,SantoYusuf!$L$13:$AK$56,I$4,FALSE)))</t>
  </si>
  <si>
    <t>=IF(ISNUMBER($L$6)=FALSE,"",
        IF(ISERROR(VLOOKUP($G110,SantoYusuf!$L$13:$AK$56,J$4,FALSE))=TRUE,"",
              VLOOKUP($G110,SantoYusuf!$L$13:$AK$56,J$4,FALSE)))</t>
  </si>
  <si>
    <t>=IF(ISNUMBER($L$6)=FALSE,"",
        IF(ISERROR(VLOOKUP($G110,SantoYusuf!$L$13:$AK$56,K$4,FALSE))=TRUE,"",
              VLOOKUP($G110,SantoYusuf!$L$13:$AK$56,K$4,FALSE)))</t>
  </si>
  <si>
    <t>=IF(ISNUMBER($L$6)=FALSE,"",
        IF(ISERROR(VLOOKUP($G110,SantoYusuf!$L$13:$AK$56,L$4,FALSE))=TRUE,"",
              VLOOKUP($G110,SantoYusuf!$L$13:$AK$56,L$4,FALSE)))</t>
  </si>
  <si>
    <t>=IF(ISNUMBER($L$6)=FALSE,"",
        IF(ISERROR(VLOOKUP($G110,SantoYusuf!$L$13:$AK$56,M$4,FALSE))=TRUE,"",
              VLOOKUP($G110,SantoYusuf!$L$13:$AK$56,M$4,FALSE)))</t>
  </si>
  <si>
    <t>=IF(ISNUMBER($L$6)=FALSE,"",
        IF(ISERROR(VLOOKUP($G110,SantoYusuf!$L$13:$AK$56,N$4,FALSE))=TRUE,"",
              VLOOKUP($G110,SantoYusuf!$L$13:$AK$56,N$4,FALSE)))</t>
  </si>
  <si>
    <t>=IF(ISNUMBER($L$6)=FALSE,"",
        IF(ISERROR(VLOOKUP($G110,SantoYusuf!$L$13:$AK$56,O$4,FALSE))=TRUE,"",
              VLOOKUP($G110,SantoYusuf!$L$13:$AK$56,O$4,FALSE)))</t>
  </si>
  <si>
    <t>=IF(ISNUMBER($L$6)=FALSE,"",
        IF(ISERROR(VLOOKUP($G110,SantoYusuf!$L$13:$AK$56,P$4,FALSE))=TRUE,"",
              VLOOKUP($G110,SantoYusuf!$L$13:$AK$56,P$4,FALSE)))</t>
  </si>
  <si>
    <t>=IF(ISNUMBER($L$6)=FALSE,"",
        IF(ISERROR(VLOOKUP($G110,SantoYusuf!$L$13:$AK$56,Q$4,FALSE))=TRUE,"",
              VLOOKUP($G110,SantoYusuf!$L$13:$AK$56,Q$4,FALSE)))</t>
  </si>
  <si>
    <t>=IF(ISNUMBER($L$6)=FALSE,"",
        IF(ISERROR(VLOOKUP($G110,SantoYusuf!$L$13:$AK$56,R$4,FALSE))=TRUE,"",
              VLOOKUP($G110,SantoYusuf!$L$13:$AK$56,R$4,FALSE)))</t>
  </si>
  <si>
    <t>=IF(ISNUMBER($L$6)=FALSE,"",
        IF(ISERROR(VLOOKUP($G110,SantoYusuf!$L$13:$AK$56,S$4,FALSE))=TRUE,"",
              VLOOKUP($G110,SantoYusuf!$L$13:$AK$56,S$4,FALSE)))</t>
  </si>
  <si>
    <t>=IF(ISNUMBER($L$6)=FALSE,"",
        IF(ISERROR(VLOOKUP($G110,SantoYusuf!$L$13:$AK$56,T$4,FALSE))=TRUE,"",
              VLOOKUP($G110,SantoYusuf!$L$13:$AK$56,T$4,FALSE)))</t>
  </si>
  <si>
    <t>=IF(ISNUMBER($L$6)=FALSE,"",
        IF(ISERROR(VLOOKUP($G110,SantoYusuf!$L$13:$AK$56,U$4,FALSE))=TRUE,"",
              VLOOKUP($G110,SantoYusuf!$L$13:$AK$56,U$4,FALSE)))</t>
  </si>
  <si>
    <t>=IF(ISNUMBER($L$6)=FALSE,"",
        IF(ISERROR(VLOOKUP($G110,SantoYusuf!$L$13:$AK$56,V$4,FALSE))=TRUE,"",
              VLOOKUP($G110,SantoYusuf!$L$13:$AK$56,V$4,FALSE)))</t>
  </si>
  <si>
    <t>=IF(ISNUMBER($L$6)=FALSE,"",
        IF(ISERROR(VLOOKUP($G110,SantoYusuf!$L$13:$AK$56,W$4,FALSE))=TRUE,"",
              VLOOKUP($G110,SantoYusuf!$L$13:$AK$56,W$4,FALSE)))</t>
  </si>
  <si>
    <t>=IF(ISNUMBER($L$6)=FALSE,"",
        IF(ISERROR(VLOOKUP($G110,SantoYusuf!$L$13:$AK$56,X$4,FALSE))=TRUE,"",
              VLOOKUP($G110,SantoYusuf!$L$13:$AK$56,X$4,FALSE)))</t>
  </si>
  <si>
    <t>=IF(ISNUMBER($L$6)=FALSE,"",
        IF(ISERROR(VLOOKUP($G110,SantoYusuf!$L$13:$AK$56,Y$4,FALSE))=TRUE,"",
              VLOOKUP($G110,SantoYusuf!$L$13:$AK$56,Y$4,FALSE)))</t>
  </si>
  <si>
    <t>=IF(ISNUMBER($L$6)=FALSE,"",
        IF(ISERROR(VLOOKUP($G110,SantoYusuf!$L$13:$AK$56,Z$4,FALSE))=TRUE,"",
              VLOOKUP($G110,SantoYusuf!$L$13:$AK$56,Z$4,FALSE)))</t>
  </si>
  <si>
    <t>=IF(ISNUMBER($L$6)=FALSE,"",
        IF(ISERROR(VLOOKUP($G110,SantoYusuf!$L$13:$AK$56,AA$4,FALSE))=TRUE,"",
              VLOOKUP($G110,SantoYusuf!$L$13:$AK$56,AA$4,FALSE)))</t>
  </si>
  <si>
    <t>=IF(ISNUMBER($L$6)=FALSE,"",
        IF(ISERROR(VLOOKUP($G110,SantoYusuf!$L$13:$AK$56,AB$4,FALSE))=TRUE,"",
              VLOOKUP($G110,SantoYusuf!$L$13:$AK$56,AB$4,FALSE)))</t>
  </si>
  <si>
    <t>=IF(ISNUMBER($L$6)=FALSE,"",
        IF(ISERROR(VLOOKUP($G110,SantoYusuf!$L$13:$AK$56,AC$4,FALSE))=TRUE,"",
              VLOOKUP($G110,SantoYusuf!$L$13:$AK$56,AC$4,FALSE)))</t>
  </si>
  <si>
    <t>=IF(ISNUMBER($L$6)=FALSE,"",
        IF(ISERROR(VLOOKUP($G110,SantoYusuf!$L$13:$AK$56,AD$4,FALSE))=TRUE,"",
              VLOOKUP($G110,SantoYusuf!$L$13:$AK$56,AD$4,FALSE)))</t>
  </si>
  <si>
    <t>=IF(ISNUMBER($L$6)=FALSE,"",
        IF(ISERROR(VLOOKUP($G110,SantoYusuf!$L$13:$AK$56,AE$4,FALSE))=TRUE,"",
              VLOOKUP($G110,SantoYusuf!$L$13:$AK$56,AE$4,FALSE)))</t>
  </si>
  <si>
    <t>=IF(ISNUMBER($L$6)=FALSE,"",
        IF(ISERROR(VLOOKUP($G110,SantoYusuf!$L$13:$AK$56,AF$4,FALSE))=TRUE,"",
              VLOOKUP($G110,SantoYusuf!$L$13:$AK$56,AF$4,FALSE)))</t>
  </si>
  <si>
    <t>=IF(ISNUMBER($L$6)=FALSE,"",
IF($C111=0,"",VLOOKUP($E111,SantoYusuf!$H$13:$L$56,4,FALSE)))</t>
  </si>
  <si>
    <t>=IF(ISNUMBER($L$6)=FALSE,"",
IF($C111=0,"",VLOOKUP($E111,SantoYusuf!$H$13:$L$56,5,FALSE)))</t>
  </si>
  <si>
    <t>=IF(ISNUMBER($L$6)=FALSE,"",
        IF(ISERROR(VLOOKUP($G111,SantoYusuf!$L$13:$AK$56,I$4,FALSE))=TRUE,"",
              VLOOKUP($G111,SantoYusuf!$L$13:$AK$56,I$4,FALSE)))</t>
  </si>
  <si>
    <t>=IF(ISNUMBER($L$6)=FALSE,"",
        IF(ISERROR(VLOOKUP($G111,SantoYusuf!$L$13:$AK$56,J$4,FALSE))=TRUE,"",
              VLOOKUP($G111,SantoYusuf!$L$13:$AK$56,J$4,FALSE)))</t>
  </si>
  <si>
    <t>=IF(ISNUMBER($L$6)=FALSE,"",
        IF(ISERROR(VLOOKUP($G111,SantoYusuf!$L$13:$AK$56,K$4,FALSE))=TRUE,"",
              VLOOKUP($G111,SantoYusuf!$L$13:$AK$56,K$4,FALSE)))</t>
  </si>
  <si>
    <t>=IF(ISNUMBER($L$6)=FALSE,"",
        IF(ISERROR(VLOOKUP($G111,SantoYusuf!$L$13:$AK$56,L$4,FALSE))=TRUE,"",
              VLOOKUP($G111,SantoYusuf!$L$13:$AK$56,L$4,FALSE)))</t>
  </si>
  <si>
    <t>=IF(ISNUMBER($L$6)=FALSE,"",
        IF(ISERROR(VLOOKUP($G111,SantoYusuf!$L$13:$AK$56,M$4,FALSE))=TRUE,"",
              VLOOKUP($G111,SantoYusuf!$L$13:$AK$56,M$4,FALSE)))</t>
  </si>
  <si>
    <t>=IF(ISNUMBER($L$6)=FALSE,"",
        IF(ISERROR(VLOOKUP($G111,SantoYusuf!$L$13:$AK$56,N$4,FALSE))=TRUE,"",
              VLOOKUP($G111,SantoYusuf!$L$13:$AK$56,N$4,FALSE)))</t>
  </si>
  <si>
    <t>=IF(ISNUMBER($L$6)=FALSE,"",
        IF(ISERROR(VLOOKUP($G111,SantoYusuf!$L$13:$AK$56,O$4,FALSE))=TRUE,"",
              VLOOKUP($G111,SantoYusuf!$L$13:$AK$56,O$4,FALSE)))</t>
  </si>
  <si>
    <t>=IF(ISNUMBER($L$6)=FALSE,"",
        IF(ISERROR(VLOOKUP($G111,SantoYusuf!$L$13:$AK$56,P$4,FALSE))=TRUE,"",
              VLOOKUP($G111,SantoYusuf!$L$13:$AK$56,P$4,FALSE)))</t>
  </si>
  <si>
    <t>=IF(ISNUMBER($L$6)=FALSE,"",
        IF(ISERROR(VLOOKUP($G111,SantoYusuf!$L$13:$AK$56,Q$4,FALSE))=TRUE,"",
              VLOOKUP($G111,SantoYusuf!$L$13:$AK$56,Q$4,FALSE)))</t>
  </si>
  <si>
    <t>=IF(ISNUMBER($L$6)=FALSE,"",
        IF(ISERROR(VLOOKUP($G111,SantoYusuf!$L$13:$AK$56,R$4,FALSE))=TRUE,"",
              VLOOKUP($G111,SantoYusuf!$L$13:$AK$56,R$4,FALSE)))</t>
  </si>
  <si>
    <t>=IF(ISNUMBER($L$6)=FALSE,"",
        IF(ISERROR(VLOOKUP($G111,SantoYusuf!$L$13:$AK$56,S$4,FALSE))=TRUE,"",
              VLOOKUP($G111,SantoYusuf!$L$13:$AK$56,S$4,FALSE)))</t>
  </si>
  <si>
    <t>=IF(ISNUMBER($L$6)=FALSE,"",
        IF(ISERROR(VLOOKUP($G111,SantoYusuf!$L$13:$AK$56,T$4,FALSE))=TRUE,"",
              VLOOKUP($G111,SantoYusuf!$L$13:$AK$56,T$4,FALSE)))</t>
  </si>
  <si>
    <t>=IF(ISNUMBER($L$6)=FALSE,"",
        IF(ISERROR(VLOOKUP($G111,SantoYusuf!$L$13:$AK$56,U$4,FALSE))=TRUE,"",
              VLOOKUP($G111,SantoYusuf!$L$13:$AK$56,U$4,FALSE)))</t>
  </si>
  <si>
    <t>=IF(ISNUMBER($L$6)=FALSE,"",
        IF(ISERROR(VLOOKUP($G111,SantoYusuf!$L$13:$AK$56,V$4,FALSE))=TRUE,"",
              VLOOKUP($G111,SantoYusuf!$L$13:$AK$56,V$4,FALSE)))</t>
  </si>
  <si>
    <t>=IF(ISNUMBER($L$6)=FALSE,"",
        IF(ISERROR(VLOOKUP($G111,SantoYusuf!$L$13:$AK$56,W$4,FALSE))=TRUE,"",
              VLOOKUP($G111,SantoYusuf!$L$13:$AK$56,W$4,FALSE)))</t>
  </si>
  <si>
    <t>=IF(ISNUMBER($L$6)=FALSE,"",
        IF(ISERROR(VLOOKUP($G111,SantoYusuf!$L$13:$AK$56,X$4,FALSE))=TRUE,"",
              VLOOKUP($G111,SantoYusuf!$L$13:$AK$56,X$4,FALSE)))</t>
  </si>
  <si>
    <t>=IF(ISNUMBER($L$6)=FALSE,"",
        IF(ISERROR(VLOOKUP($G111,SantoYusuf!$L$13:$AK$56,Y$4,FALSE))=TRUE,"",
              VLOOKUP($G111,SantoYusuf!$L$13:$AK$56,Y$4,FALSE)))</t>
  </si>
  <si>
    <t>=IF(ISNUMBER($L$6)=FALSE,"",
        IF(ISERROR(VLOOKUP($G111,SantoYusuf!$L$13:$AK$56,Z$4,FALSE))=TRUE,"",
              VLOOKUP($G111,SantoYusuf!$L$13:$AK$56,Z$4,FALSE)))</t>
  </si>
  <si>
    <t>=IF(ISNUMBER($L$6)=FALSE,"",
        IF(ISERROR(VLOOKUP($G111,SantoYusuf!$L$13:$AK$56,AA$4,FALSE))=TRUE,"",
              VLOOKUP($G111,SantoYusuf!$L$13:$AK$56,AA$4,FALSE)))</t>
  </si>
  <si>
    <t>=IF(ISNUMBER($L$6)=FALSE,"",
        IF(ISERROR(VLOOKUP($G111,SantoYusuf!$L$13:$AK$56,AB$4,FALSE))=TRUE,"",
              VLOOKUP($G111,SantoYusuf!$L$13:$AK$56,AB$4,FALSE)))</t>
  </si>
  <si>
    <t>=IF(ISNUMBER($L$6)=FALSE,"",
        IF(ISERROR(VLOOKUP($G111,SantoYusuf!$L$13:$AK$56,AC$4,FALSE))=TRUE,"",
              VLOOKUP($G111,SantoYusuf!$L$13:$AK$56,AC$4,FALSE)))</t>
  </si>
  <si>
    <t>=IF(ISNUMBER($L$6)=FALSE,"",
        IF(ISERROR(VLOOKUP($G111,SantoYusuf!$L$13:$AK$56,AD$4,FALSE))=TRUE,"",
              VLOOKUP($G111,SantoYusuf!$L$13:$AK$56,AD$4,FALSE)))</t>
  </si>
  <si>
    <t>=IF(ISNUMBER($L$6)=FALSE,"",
        IF(ISERROR(VLOOKUP($G111,SantoYusuf!$L$13:$AK$56,AE$4,FALSE))=TRUE,"",
              VLOOKUP($G111,SantoYusuf!$L$13:$AK$56,AE$4,FALSE)))</t>
  </si>
  <si>
    <t>=IF(ISNUMBER($L$6)=FALSE,"",
        IF(ISERROR(VLOOKUP($G111,SantoYusuf!$L$13:$AK$56,AF$4,FALSE))=TRUE,"",
              VLOOKUP($G111,SantoYusuf!$L$13:$AK$56,AF$4,FALSE)))</t>
  </si>
  <si>
    <t>=IF(ISNUMBER($L$6)=FALSE,"",
IF($C112=0,"",VLOOKUP($E112,SantoYusuf!$H$13:$L$56,4,FALSE)))</t>
  </si>
  <si>
    <t>=IF(ISNUMBER($L$6)=FALSE,"",
IF($C112=0,"",VLOOKUP($E112,SantoYusuf!$H$13:$L$56,5,FALSE)))</t>
  </si>
  <si>
    <t>=IF(ISNUMBER($L$6)=FALSE,"",
        IF(ISERROR(VLOOKUP($G112,SantoYusuf!$L$13:$AK$56,I$4,FALSE))=TRUE,"",
              VLOOKUP($G112,SantoYusuf!$L$13:$AK$56,I$4,FALSE)))</t>
  </si>
  <si>
    <t>=IF(ISNUMBER($L$6)=FALSE,"",
        IF(ISERROR(VLOOKUP($G112,SantoYusuf!$L$13:$AK$56,J$4,FALSE))=TRUE,"",
              VLOOKUP($G112,SantoYusuf!$L$13:$AK$56,J$4,FALSE)))</t>
  </si>
  <si>
    <t>=IF(ISNUMBER($L$6)=FALSE,"",
        IF(ISERROR(VLOOKUP($G112,SantoYusuf!$L$13:$AK$56,K$4,FALSE))=TRUE,"",
              VLOOKUP($G112,SantoYusuf!$L$13:$AK$56,K$4,FALSE)))</t>
  </si>
  <si>
    <t>=IF(ISNUMBER($L$6)=FALSE,"",
        IF(ISERROR(VLOOKUP($G112,SantoYusuf!$L$13:$AK$56,L$4,FALSE))=TRUE,"",
              VLOOKUP($G112,SantoYusuf!$L$13:$AK$56,L$4,FALSE)))</t>
  </si>
  <si>
    <t>=IF(ISNUMBER($L$6)=FALSE,"",
        IF(ISERROR(VLOOKUP($G112,SantoYusuf!$L$13:$AK$56,M$4,FALSE))=TRUE,"",
              VLOOKUP($G112,SantoYusuf!$L$13:$AK$56,M$4,FALSE)))</t>
  </si>
  <si>
    <t>=IF(ISNUMBER($L$6)=FALSE,"",
        IF(ISERROR(VLOOKUP($G112,SantoYusuf!$L$13:$AK$56,N$4,FALSE))=TRUE,"",
              VLOOKUP($G112,SantoYusuf!$L$13:$AK$56,N$4,FALSE)))</t>
  </si>
  <si>
    <t>=IF(ISNUMBER($L$6)=FALSE,"",
        IF(ISERROR(VLOOKUP($G112,SantoYusuf!$L$13:$AK$56,O$4,FALSE))=TRUE,"",
              VLOOKUP($G112,SantoYusuf!$L$13:$AK$56,O$4,FALSE)))</t>
  </si>
  <si>
    <t>=IF(ISNUMBER($L$6)=FALSE,"",
        IF(ISERROR(VLOOKUP($G112,SantoYusuf!$L$13:$AK$56,P$4,FALSE))=TRUE,"",
              VLOOKUP($G112,SantoYusuf!$L$13:$AK$56,P$4,FALSE)))</t>
  </si>
  <si>
    <t>=IF(ISNUMBER($L$6)=FALSE,"",
        IF(ISERROR(VLOOKUP($G112,SantoYusuf!$L$13:$AK$56,Q$4,FALSE))=TRUE,"",
              VLOOKUP($G112,SantoYusuf!$L$13:$AK$56,Q$4,FALSE)))</t>
  </si>
  <si>
    <t>=IF(ISNUMBER($L$6)=FALSE,"",
        IF(ISERROR(VLOOKUP($G112,SantoYusuf!$L$13:$AK$56,R$4,FALSE))=TRUE,"",
              VLOOKUP($G112,SantoYusuf!$L$13:$AK$56,R$4,FALSE)))</t>
  </si>
  <si>
    <t>=IF(ISNUMBER($L$6)=FALSE,"",
        IF(ISERROR(VLOOKUP($G112,SantoYusuf!$L$13:$AK$56,S$4,FALSE))=TRUE,"",
              VLOOKUP($G112,SantoYusuf!$L$13:$AK$56,S$4,FALSE)))</t>
  </si>
  <si>
    <t>=IF(ISNUMBER($L$6)=FALSE,"",
        IF(ISERROR(VLOOKUP($G112,SantoYusuf!$L$13:$AK$56,T$4,FALSE))=TRUE,"",
              VLOOKUP($G112,SantoYusuf!$L$13:$AK$56,T$4,FALSE)))</t>
  </si>
  <si>
    <t>=IF(ISNUMBER($L$6)=FALSE,"",
        IF(ISERROR(VLOOKUP($G112,SantoYusuf!$L$13:$AK$56,U$4,FALSE))=TRUE,"",
              VLOOKUP($G112,SantoYusuf!$L$13:$AK$56,U$4,FALSE)))</t>
  </si>
  <si>
    <t>=IF(ISNUMBER($L$6)=FALSE,"",
        IF(ISERROR(VLOOKUP($G112,SantoYusuf!$L$13:$AK$56,V$4,FALSE))=TRUE,"",
              VLOOKUP($G112,SantoYusuf!$L$13:$AK$56,V$4,FALSE)))</t>
  </si>
  <si>
    <t>=IF(ISNUMBER($L$6)=FALSE,"",
        IF(ISERROR(VLOOKUP($G112,SantoYusuf!$L$13:$AK$56,W$4,FALSE))=TRUE,"",
              VLOOKUP($G112,SantoYusuf!$L$13:$AK$56,W$4,FALSE)))</t>
  </si>
  <si>
    <t>=IF(ISNUMBER($L$6)=FALSE,"",
        IF(ISERROR(VLOOKUP($G112,SantoYusuf!$L$13:$AK$56,X$4,FALSE))=TRUE,"",
              VLOOKUP($G112,SantoYusuf!$L$13:$AK$56,X$4,FALSE)))</t>
  </si>
  <si>
    <t>=IF(ISNUMBER($L$6)=FALSE,"",
        IF(ISERROR(VLOOKUP($G112,SantoYusuf!$L$13:$AK$56,Y$4,FALSE))=TRUE,"",
              VLOOKUP($G112,SantoYusuf!$L$13:$AK$56,Y$4,FALSE)))</t>
  </si>
  <si>
    <t>=IF(ISNUMBER($L$6)=FALSE,"",
        IF(ISERROR(VLOOKUP($G112,SantoYusuf!$L$13:$AK$56,Z$4,FALSE))=TRUE,"",
              VLOOKUP($G112,SantoYusuf!$L$13:$AK$56,Z$4,FALSE)))</t>
  </si>
  <si>
    <t>=IF(ISNUMBER($L$6)=FALSE,"",
        IF(ISERROR(VLOOKUP($G112,SantoYusuf!$L$13:$AK$56,AA$4,FALSE))=TRUE,"",
              VLOOKUP($G112,SantoYusuf!$L$13:$AK$56,AA$4,FALSE)))</t>
  </si>
  <si>
    <t>=IF(ISNUMBER($L$6)=FALSE,"",
        IF(ISERROR(VLOOKUP($G112,SantoYusuf!$L$13:$AK$56,AB$4,FALSE))=TRUE,"",
              VLOOKUP($G112,SantoYusuf!$L$13:$AK$56,AB$4,FALSE)))</t>
  </si>
  <si>
    <t>=IF(ISNUMBER($L$6)=FALSE,"",
        IF(ISERROR(VLOOKUP($G112,SantoYusuf!$L$13:$AK$56,AC$4,FALSE))=TRUE,"",
              VLOOKUP($G112,SantoYusuf!$L$13:$AK$56,AC$4,FALSE)))</t>
  </si>
  <si>
    <t>=IF(ISNUMBER($L$6)=FALSE,"",
        IF(ISERROR(VLOOKUP($G112,SantoYusuf!$L$13:$AK$56,AD$4,FALSE))=TRUE,"",
              VLOOKUP($G112,SantoYusuf!$L$13:$AK$56,AD$4,FALSE)))</t>
  </si>
  <si>
    <t>=IF(ISNUMBER($L$6)=FALSE,"",
        IF(ISERROR(VLOOKUP($G112,SantoYusuf!$L$13:$AK$56,AE$4,FALSE))=TRUE,"",
              VLOOKUP($G112,SantoYusuf!$L$13:$AK$56,AE$4,FALSE)))</t>
  </si>
  <si>
    <t>=IF(ISNUMBER($L$6)=FALSE,"",
        IF(ISERROR(VLOOKUP($G112,SantoYusuf!$L$13:$AK$56,AF$4,FALSE))=TRUE,"",
              VLOOKUP($G112,SantoYusuf!$L$13:$AK$56,AF$4,FALSE)))</t>
  </si>
  <si>
    <t>=IF(ISNUMBER($L$6)=FALSE,"",
IF($C113=0,"",VLOOKUP($E113,SantoYusuf!$H$13:$L$56,4,FALSE)))</t>
  </si>
  <si>
    <t>=IF(ISNUMBER($L$6)=FALSE,"",
IF($C113=0,"",VLOOKUP($E113,SantoYusuf!$H$13:$L$56,5,FALSE)))</t>
  </si>
  <si>
    <t>=IF(ISNUMBER($L$6)=FALSE,"",
        IF(ISERROR(VLOOKUP($G113,SantoYusuf!$L$13:$AK$56,I$4,FALSE))=TRUE,"",
              VLOOKUP($G113,SantoYusuf!$L$13:$AK$56,I$4,FALSE)))</t>
  </si>
  <si>
    <t>=IF(ISNUMBER($L$6)=FALSE,"",
        IF(ISERROR(VLOOKUP($G113,SantoYusuf!$L$13:$AK$56,J$4,FALSE))=TRUE,"",
              VLOOKUP($G113,SantoYusuf!$L$13:$AK$56,J$4,FALSE)))</t>
  </si>
  <si>
    <t>=IF(ISNUMBER($L$6)=FALSE,"",
        IF(ISERROR(VLOOKUP($G113,SantoYusuf!$L$13:$AK$56,K$4,FALSE))=TRUE,"",
              VLOOKUP($G113,SantoYusuf!$L$13:$AK$56,K$4,FALSE)))</t>
  </si>
  <si>
    <t>=IF(ISNUMBER($L$6)=FALSE,"",
        IF(ISERROR(VLOOKUP($G113,SantoYusuf!$L$13:$AK$56,L$4,FALSE))=TRUE,"",
              VLOOKUP($G113,SantoYusuf!$L$13:$AK$56,L$4,FALSE)))</t>
  </si>
  <si>
    <t>=IF(ISNUMBER($L$6)=FALSE,"",
        IF(ISERROR(VLOOKUP($G113,SantoYusuf!$L$13:$AK$56,M$4,FALSE))=TRUE,"",
              VLOOKUP($G113,SantoYusuf!$L$13:$AK$56,M$4,FALSE)))</t>
  </si>
  <si>
    <t>=IF(ISNUMBER($L$6)=FALSE,"",
        IF(ISERROR(VLOOKUP($G113,SantoYusuf!$L$13:$AK$56,N$4,FALSE))=TRUE,"",
              VLOOKUP($G113,SantoYusuf!$L$13:$AK$56,N$4,FALSE)))</t>
  </si>
  <si>
    <t>=IF(ISNUMBER($L$6)=FALSE,"",
        IF(ISERROR(VLOOKUP($G113,SantoYusuf!$L$13:$AK$56,O$4,FALSE))=TRUE,"",
              VLOOKUP($G113,SantoYusuf!$L$13:$AK$56,O$4,FALSE)))</t>
  </si>
  <si>
    <t>=IF(ISNUMBER($L$6)=FALSE,"",
        IF(ISERROR(VLOOKUP($G113,SantoYusuf!$L$13:$AK$56,P$4,FALSE))=TRUE,"",
              VLOOKUP($G113,SantoYusuf!$L$13:$AK$56,P$4,FALSE)))</t>
  </si>
  <si>
    <t>=IF(ISNUMBER($L$6)=FALSE,"",
        IF(ISERROR(VLOOKUP($G113,SantoYusuf!$L$13:$AK$56,Q$4,FALSE))=TRUE,"",
              VLOOKUP($G113,SantoYusuf!$L$13:$AK$56,Q$4,FALSE)))</t>
  </si>
  <si>
    <t>=IF(ISNUMBER($L$6)=FALSE,"",
        IF(ISERROR(VLOOKUP($G113,SantoYusuf!$L$13:$AK$56,R$4,FALSE))=TRUE,"",
              VLOOKUP($G113,SantoYusuf!$L$13:$AK$56,R$4,FALSE)))</t>
  </si>
  <si>
    <t>=IF(ISNUMBER($L$6)=FALSE,"",
        IF(ISERROR(VLOOKUP($G113,SantoYusuf!$L$13:$AK$56,S$4,FALSE))=TRUE,"",
              VLOOKUP($G113,SantoYusuf!$L$13:$AK$56,S$4,FALSE)))</t>
  </si>
  <si>
    <t>=IF(ISNUMBER($L$6)=FALSE,"",
        IF(ISERROR(VLOOKUP($G113,SantoYusuf!$L$13:$AK$56,T$4,FALSE))=TRUE,"",
              VLOOKUP($G113,SantoYusuf!$L$13:$AK$56,T$4,FALSE)))</t>
  </si>
  <si>
    <t>=IF(ISNUMBER($L$6)=FALSE,"",
        IF(ISERROR(VLOOKUP($G113,SantoYusuf!$L$13:$AK$56,U$4,FALSE))=TRUE,"",
              VLOOKUP($G113,SantoYusuf!$L$13:$AK$56,U$4,FALSE)))</t>
  </si>
  <si>
    <t>=IF(ISNUMBER($L$6)=FALSE,"",
        IF(ISERROR(VLOOKUP($G113,SantoYusuf!$L$13:$AK$56,V$4,FALSE))=TRUE,"",
              VLOOKUP($G113,SantoYusuf!$L$13:$AK$56,V$4,FALSE)))</t>
  </si>
  <si>
    <t>=IF(ISNUMBER($L$6)=FALSE,"",
        IF(ISERROR(VLOOKUP($G113,SantoYusuf!$L$13:$AK$56,W$4,FALSE))=TRUE,"",
              VLOOKUP($G113,SantoYusuf!$L$13:$AK$56,W$4,FALSE)))</t>
  </si>
  <si>
    <t>=IF(ISNUMBER($L$6)=FALSE,"",
        IF(ISERROR(VLOOKUP($G113,SantoYusuf!$L$13:$AK$56,X$4,FALSE))=TRUE,"",
              VLOOKUP($G113,SantoYusuf!$L$13:$AK$56,X$4,FALSE)))</t>
  </si>
  <si>
    <t>=IF(ISNUMBER($L$6)=FALSE,"",
        IF(ISERROR(VLOOKUP($G113,SantoYusuf!$L$13:$AK$56,Y$4,FALSE))=TRUE,"",
              VLOOKUP($G113,SantoYusuf!$L$13:$AK$56,Y$4,FALSE)))</t>
  </si>
  <si>
    <t>=IF(ISNUMBER($L$6)=FALSE,"",
        IF(ISERROR(VLOOKUP($G113,SantoYusuf!$L$13:$AK$56,Z$4,FALSE))=TRUE,"",
              VLOOKUP($G113,SantoYusuf!$L$13:$AK$56,Z$4,FALSE)))</t>
  </si>
  <si>
    <t>=IF(ISNUMBER($L$6)=FALSE,"",
        IF(ISERROR(VLOOKUP($G113,SantoYusuf!$L$13:$AK$56,AA$4,FALSE))=TRUE,"",
              VLOOKUP($G113,SantoYusuf!$L$13:$AK$56,AA$4,FALSE)))</t>
  </si>
  <si>
    <t>=IF(ISNUMBER($L$6)=FALSE,"",
        IF(ISERROR(VLOOKUP($G113,SantoYusuf!$L$13:$AK$56,AB$4,FALSE))=TRUE,"",
              VLOOKUP($G113,SantoYusuf!$L$13:$AK$56,AB$4,FALSE)))</t>
  </si>
  <si>
    <t>=IF(ISNUMBER($L$6)=FALSE,"",
        IF(ISERROR(VLOOKUP($G113,SantoYusuf!$L$13:$AK$56,AC$4,FALSE))=TRUE,"",
              VLOOKUP($G113,SantoYusuf!$L$13:$AK$56,AC$4,FALSE)))</t>
  </si>
  <si>
    <t>=IF(ISNUMBER($L$6)=FALSE,"",
        IF(ISERROR(VLOOKUP($G113,SantoYusuf!$L$13:$AK$56,AD$4,FALSE))=TRUE,"",
              VLOOKUP($G113,SantoYusuf!$L$13:$AK$56,AD$4,FALSE)))</t>
  </si>
  <si>
    <t>=IF(ISNUMBER($L$6)=FALSE,"",
        IF(ISERROR(VLOOKUP($G113,SantoYusuf!$L$13:$AK$56,AE$4,FALSE))=TRUE,"",
              VLOOKUP($G113,SantoYusuf!$L$13:$AK$56,AE$4,FALSE)))</t>
  </si>
  <si>
    <t>=IF(ISNUMBER($L$6)=FALSE,"",
        IF(ISERROR(VLOOKUP($G113,SantoYusuf!$L$13:$AK$56,AF$4,FALSE))=TRUE,"",
              VLOOKUP($G113,SantoYusuf!$L$13:$AK$56,AF$4,FALSE)))</t>
  </si>
  <si>
    <t>Auto+Hide+Formulas=Sheet29,Sheet13,Sheet14+FormulasOnly</t>
  </si>
  <si>
    <t>Auto+Hide+HideSheet+Formulas=Sheet30,Sheet15,Sheet16</t>
  </si>
  <si>
    <t>="""TRUST Nav"",""HSPMTB2016"",""17"",""1"",""3575"""</t>
  </si>
  <si>
    <t>="""TRUST Nav"",""HSPMTB2016"",""17"",""1"",""3576"""</t>
  </si>
  <si>
    <t>="""TRUST Nav"",""HSPMTB2016"",""17"",""1"",""3577"""</t>
  </si>
  <si>
    <t>="""TRUST Nav"",""HSPMTB2016"",""17"",""1"",""3578"""</t>
  </si>
  <si>
    <t>="""TRUST Nav"",""HSPMTB2016"",""17"",""1"",""3579"""</t>
  </si>
  <si>
    <t>="""TRUST Nav"",""HSPMTB2016"",""17"",""1"",""3580"""</t>
  </si>
  <si>
    <t>="""TRUST Nav"",""HSPMTB2016"",""17"",""1"",""3581"""</t>
  </si>
  <si>
    <t>="""TRUST Nav"",""HSPMTB2016"",""17"",""1"",""3582"""</t>
  </si>
  <si>
    <t>="""TRUST Nav"",""HSPMTB2016"",""17"",""1"",""3583"""</t>
  </si>
  <si>
    <t>="""TRUST Nav"",""HSPMTB2016"",""17"",""1"",""3584"""</t>
  </si>
  <si>
    <t>="""TRUST Nav"",""HSPMTB2016"",""17"",""1"",""3585"""</t>
  </si>
  <si>
    <t>="""TRUST Nav"",""HSPMTB2016"",""17"",""1"",""3586"""</t>
  </si>
  <si>
    <t>="""TRUST Nav"",""HSPMTB2016"",""17"",""1"",""3587"""</t>
  </si>
  <si>
    <t>="""TRUST Nav"",""HSPMTB2016"",""17"",""1"",""3588"""</t>
  </si>
  <si>
    <t>="""TRUST Nav"",""HSPMTB2016"",""17"",""1"",""3589"""</t>
  </si>
  <si>
    <t>="""TRUST Nav"",""HSPMTB2016"",""17"",""1"",""3590"""</t>
  </si>
  <si>
    <t>="""TRUST Nav"",""HSPMTB2016"",""17"",""1"",""3591"""</t>
  </si>
  <si>
    <t>="""TRUST Nav"",""HSPMTB2016"",""17"",""1"",""3592"""</t>
  </si>
  <si>
    <t>="""TRUST Nav"",""HSPMTB2016"",""17"",""1"",""3593"""</t>
  </si>
  <si>
    <t>="""TRUST Nav"",""HSPMTB2016"",""17"",""1"",""3594"""</t>
  </si>
  <si>
    <t>="""TRUST Nav"",""HSPMTB2016"",""17"",""1"",""3595"""</t>
  </si>
  <si>
    <t>="""TRUST Nav"",""HSPMTB2016"",""17"",""1"",""3596"""</t>
  </si>
  <si>
    <t>="""TRUST Nav"",""HSPMTB2016"",""17"",""1"",""3597"""</t>
  </si>
  <si>
    <t>="""TRUST Nav"",""HSPMTB2016"",""17"",""1"",""3598"""</t>
  </si>
  <si>
    <t>="""TRUST Nav"",""HSPMTB2016"",""17"",""1"",""3599"""</t>
  </si>
  <si>
    <t>="""TRUST Nav"",""HSPMTB2016"",""17"",""1"",""3600"""</t>
  </si>
  <si>
    <t>="""TRUST Nav"",""HSPMTB2016"",""17"",""1"",""3601"""</t>
  </si>
  <si>
    <t>="""TRUST Nav"",""HSPMTB2016"",""17"",""1"",""3602"""</t>
  </si>
  <si>
    <t>="""TRUST Nav"",""HSPMTB2016"",""17"",""1"",""3603"""</t>
  </si>
  <si>
    <t>="""TRUST Nav"",""HSPMTB2016"",""17"",""1"",""3604"""</t>
  </si>
  <si>
    <t>="""TRUST Nav"",""HSPMTB2016"",""17"",""1"",""3605"""</t>
  </si>
  <si>
    <t>="""TRUST Nav"",""HSPMTB2016"",""17"",""1"",""3606"""</t>
  </si>
  <si>
    <t>="""TRUST Nav"",""HSPMTB2016"",""17"",""1"",""3607"""</t>
  </si>
  <si>
    <t>="""TRUST Nav"",""HSPMTB2016"",""17"",""1"",""3608"""</t>
  </si>
  <si>
    <t>="""TRUST Nav"",""HSPMTB2016"",""17"",""1"",""3609"""</t>
  </si>
  <si>
    <t>="""TRUST Nav"",""HSPMTB2016"",""17"",""1"",""3610"""</t>
  </si>
  <si>
    <t>="""TRUST Nav"",""HSPMTB2016"",""17"",""1"",""3611"""</t>
  </si>
  <si>
    <t>="""TRUST Nav"",""HSPMTB2016"",""17"",""1"",""3612"""</t>
  </si>
  <si>
    <t>="""TRUST Nav"",""HSPMTB2016"",""17"",""1"",""3613"""</t>
  </si>
  <si>
    <t>="""TRUST Nav"",""HSPMTB2016"",""17"",""1"",""3614"""</t>
  </si>
  <si>
    <t>="""TRUST Nav"",""HSPMTB2016"",""17"",""1"",""3615"""</t>
  </si>
  <si>
    <t>="""TRUST Nav"",""HSPMTB2016"",""17"",""1"",""3616"""</t>
  </si>
  <si>
    <t>="""TRUST Nav"",""HSPMTB2016"",""17"",""1"",""3617"""</t>
  </si>
  <si>
    <t>="""TRUST Nav"",""HSPMTB2016"",""17"",""1"",""3618"""</t>
  </si>
  <si>
    <t>="""TRUST Nav"",""HSPMTB2016"",""17"",""1"",""3619"""</t>
  </si>
  <si>
    <t>="""TRUST Nav"",""HSPMTB2016"",""17"",""1"",""3620"""</t>
  </si>
  <si>
    <t>="""TRUST Nav"",""HSPMTB2016"",""17"",""1"",""3621"""</t>
  </si>
  <si>
    <t>="""TRUST Nav"",""HSPMTB2016"",""17"",""1"",""3622"""</t>
  </si>
  <si>
    <t>="""TRUST Nav"",""HSPMTB2016"",""17"",""1"",""3623"""</t>
  </si>
  <si>
    <t>="""TRUST Nav"",""HSPMTB2016"",""17"",""1"",""3624"""</t>
  </si>
  <si>
    <t>="""TRUST Nav"",""HSPMTB2016"",""17"",""1"",""3625"""</t>
  </si>
  <si>
    <t>="""TRUST Nav"",""HSPMTB2016"",""17"",""1"",""3626"""</t>
  </si>
  <si>
    <t>="""TRUST Nav"",""HSPMTB2016"",""17"",""1"",""3627"""</t>
  </si>
  <si>
    <t>="""TRUST Nav"",""HSPMTB2016"",""17"",""1"",""3628"""</t>
  </si>
  <si>
    <t>="""TRUST Nav"",""HSPMTB2016"",""17"",""1"",""3629"""</t>
  </si>
  <si>
    <t>="""TRUST Nav"",""HSPMTB2016"",""17"",""1"",""3630"""</t>
  </si>
  <si>
    <t>="""TRUST Nav"",""HSPMTB2016"",""17"",""1"",""3631"""</t>
  </si>
  <si>
    <t>="""TRUST Nav"",""HSPMTB2016"",""17"",""1"",""3632"""</t>
  </si>
  <si>
    <t>="""TRUST Nav"",""HSPMTB2016"",""17"",""1"",""3633"""</t>
  </si>
  <si>
    <t>="""TRUST Nav"",""HSPMTB2016"",""17"",""1"",""3634"""</t>
  </si>
  <si>
    <t>="""TRUST Nav"",""HSPMTB2016"",""17"",""1"",""3635"""</t>
  </si>
  <si>
    <t>="""TRUST Nav"",""HSPMTB2016"",""17"",""1"",""3636"""</t>
  </si>
  <si>
    <t>="""TRUST Nav"",""HSPMTB2016"",""17"",""1"",""3637"""</t>
  </si>
  <si>
    <t>="""TRUST Nav"",""HSPMTB2016"",""17"",""1"",""3638"""</t>
  </si>
  <si>
    <t>="""TRUST Nav"",""HSPMTB2016"",""17"",""1"",""3639"""</t>
  </si>
  <si>
    <t>="""TRUST Nav"",""HSPMTB2016"",""17"",""1"",""3640"""</t>
  </si>
  <si>
    <t>="""TRUST Nav"",""HSPMTB2016"",""17"",""1"",""3641"""</t>
  </si>
  <si>
    <t>="""TRUST Nav"",""HSPMTB2016"",""17"",""1"",""3642"""</t>
  </si>
  <si>
    <t>="""TRUST Nav"",""HSPMTB2016"",""17"",""1"",""3643"""</t>
  </si>
  <si>
    <t>="""TRUST Nav"",""HSPMTB2016"",""17"",""1"",""3644"""</t>
  </si>
  <si>
    <t>="""TRUST Nav"",""HSPMTB2016"",""17"",""1"",""3645"""</t>
  </si>
  <si>
    <t>="""TRUST Nav"",""HSPMTB2016"",""17"",""1"",""3646"""</t>
  </si>
  <si>
    <t>="""TRUST Nav"",""HSPMTB2016"",""17"",""1"",""3647"""</t>
  </si>
  <si>
    <t>="""TRUST Nav"",""HSPMTB2016"",""17"",""1"",""3648"""</t>
  </si>
  <si>
    <t>="""TRUST Nav"",""HSPMTB2016"",""17"",""1"",""3649"""</t>
  </si>
  <si>
    <t>="""TRUST Nav"",""HSPMTB2016"",""17"",""1"",""3650"""</t>
  </si>
  <si>
    <t>="""TRUST Nav"",""HSPMTB2016"",""17"",""1"",""3651"""</t>
  </si>
  <si>
    <t>="""TRUST Nav"",""HSPMTB2016"",""17"",""1"",""3652"""</t>
  </si>
  <si>
    <t>="""TRUST Nav"",""HSPMTB2016"",""17"",""1"",""3653"""</t>
  </si>
  <si>
    <t>="""TRUST Nav"",""HSPMTB2016"",""17"",""1"",""3654"""</t>
  </si>
  <si>
    <t>="""TRUST Nav"",""HSPMTB2016"",""17"",""1"",""3655"""</t>
  </si>
  <si>
    <t>="""TRUST Nav"",""HSPMTB2016"",""17"",""1"",""3656"""</t>
  </si>
  <si>
    <t>="""TRUST Nav"",""HSPMTB2016"",""17"",""1"",""3657"""</t>
  </si>
  <si>
    <t>="""TRUST Nav"",""HSPMTB2016"",""17"",""1"",""3658"""</t>
  </si>
  <si>
    <t>="""TRUST Nav"",""HSPMTB2016"",""17"",""1"",""3659"""</t>
  </si>
  <si>
    <t>="""TRUST Nav"",""HSPMTB2016"",""17"",""1"",""3660"""</t>
  </si>
  <si>
    <t>="""TRUST Nav"",""HSPMTB2016"",""17"",""1"",""3661"""</t>
  </si>
  <si>
    <t>="""TRUST Nav"",""HSPMTB2016"",""17"",""1"",""3662"""</t>
  </si>
  <si>
    <t>="""TRUST Nav"",""HSPMTB2016"",""17"",""1"",""3663"""</t>
  </si>
  <si>
    <t>="""TRUST Nav"",""HSPMTB2016"",""17"",""1"",""3664"""</t>
  </si>
  <si>
    <t>="""TRUST Nav"",""HSPMTB2016"",""17"",""1"",""3665"""</t>
  </si>
  <si>
    <t>="""TRUST Nav"",""HSPMTB2016"",""17"",""1"",""3666"""</t>
  </si>
  <si>
    <t>="""TRUST Nav"",""HSPMTB2016"",""17"",""1"",""3667"""</t>
  </si>
  <si>
    <t>="""TRUST Nav"",""HSPMTB2016"",""17"",""1"",""3668"""</t>
  </si>
  <si>
    <t>="""TRUST Nav"",""HSPMTB2016"",""17"",""1"",""3669"""</t>
  </si>
  <si>
    <t>="""TRUST Nav"",""HSPMTB2016"",""17"",""1"",""3670"""</t>
  </si>
  <si>
    <t>="""TRUST Nav"",""HSPMTB2016"",""17"",""1"",""3671"""</t>
  </si>
  <si>
    <t>="""TRUST Nav"",""HSPMTB2016"",""17"",""1"",""3672"""</t>
  </si>
  <si>
    <t>="""TRUST Nav"",""HSPMTB2016"",""17"",""1"",""3673"""</t>
  </si>
  <si>
    <t>="""TRUST Nav"",""HSPMTB2016"",""17"",""1"",""3674"""</t>
  </si>
  <si>
    <t>="""TRUST Nav"",""HSPMTB2016"",""17"",""1"",""3675"""</t>
  </si>
  <si>
    <t>="""TRUST Nav"",""HSPMTB2016"",""17"",""1"",""3676"""</t>
  </si>
  <si>
    <t>="""TRUST Nav"",""HSPMTB2016"",""17"",""1"",""3677"""</t>
  </si>
  <si>
    <t>="""TRUST Nav"",""HSPMTB2016"",""17"",""1"",""3678"""</t>
  </si>
  <si>
    <t>="""TRUST Nav"",""HSPMTB2016"",""17"",""1"",""3679"""</t>
  </si>
  <si>
    <t>="""TRUST Nav"",""HSPMTB2016"",""17"",""1"",""3680"""</t>
  </si>
  <si>
    <t>="""TRUST Nav"",""HSPMTB2016"",""17"",""1"",""3681"""</t>
  </si>
  <si>
    <t>="""TRUST Nav"",""HSPMTB2016"",""17"",""1"",""3682"""</t>
  </si>
  <si>
    <t>="""TRUST Nav"",""HSPMTB2016"",""17"",""1"",""3683"""</t>
  </si>
  <si>
    <t>="""TRUST Nav"",""HSPMTB2016"",""17"",""1"",""3684"""</t>
  </si>
  <si>
    <t>="""TRUST Nav"",""HSPMTB2016"",""17"",""1"",""3685"""</t>
  </si>
  <si>
    <t>="""TRUST Nav"",""HSPMTB2016"",""17"",""1"",""3686"""</t>
  </si>
  <si>
    <t>="""TRUST Nav"",""HSPMTB2016"",""17"",""1"",""3687"""</t>
  </si>
  <si>
    <t>="""TRUST Nav"",""HSPMTB2016"",""17"",""1"",""3688"""</t>
  </si>
  <si>
    <t>="""TRUST Nav"",""HSPMTB2016"",""17"",""1"",""3689"""</t>
  </si>
  <si>
    <t>="""TRUST Nav"",""HSPMTB2016"",""17"",""1"",""3690"""</t>
  </si>
  <si>
    <t>="""TRUST Nav"",""HSPMTB2016"",""17"",""1"",""3691"""</t>
  </si>
  <si>
    <t>="""TRUST Nav"",""HSPMTB2016"",""17"",""1"",""3692"""</t>
  </si>
  <si>
    <t>="""TRUST Nav"",""HSPMTB2016"",""17"",""1"",""3693"""</t>
  </si>
  <si>
    <t>="""TRUST Nav"",""HSPMTB2016"",""17"",""1"",""3694"""</t>
  </si>
  <si>
    <t>="""TRUST Nav"",""HSPMTB2016"",""17"",""1"",""3695"""</t>
  </si>
  <si>
    <t>="""TRUST Nav"",""HSPMTB2016"",""17"",""1"",""3696"""</t>
  </si>
  <si>
    <t>="""TRUST Nav"",""HSPMTB2016"",""17"",""1"",""3697"""</t>
  </si>
  <si>
    <t>="""TRUST Nav"",""HSPMTB2016"",""17"",""1"",""3698"""</t>
  </si>
  <si>
    <t>="""TRUST Nav"",""HSPMTB2016"",""17"",""1"",""3699"""</t>
  </si>
  <si>
    <t>="""TRUST Nav"",""HSPMTB2016"",""17"",""1"",""3700"""</t>
  </si>
  <si>
    <t>="""TRUST Nav"",""HSPMTB2016"",""17"",""1"",""3701"""</t>
  </si>
  <si>
    <t>="""TRUST Nav"",""HSPMTB2016"",""17"",""1"",""3702"""</t>
  </si>
  <si>
    <t>="""TRUST Nav"",""HSPMTB2016"",""17"",""1"",""3703"""</t>
  </si>
  <si>
    <t>="""TRUST Nav"",""HSPMTB2016"",""17"",""1"",""3704"""</t>
  </si>
  <si>
    <t>="""TRUST Nav"",""HSPMTB2016"",""17"",""1"",""3705"""</t>
  </si>
  <si>
    <t>="""TRUST Nav"",""HSPMTB2016"",""17"",""1"",""3706"""</t>
  </si>
  <si>
    <t>="""TRUST Nav"",""HSPMTB2016"",""17"",""1"",""3707"""</t>
  </si>
  <si>
    <t>="""TRUST Nav"",""HSPMTB2016"",""17"",""1"",""73457"""</t>
  </si>
  <si>
    <t>="""TRUST Nav"",""HSPMTB2016"",""17"",""1"",""73438"""</t>
  </si>
  <si>
    <t>="""TRUST Nav"",""HSPMTB2016"",""17"",""1"",""73439"""</t>
  </si>
  <si>
    <t>="""TRUST Nav"",""HSPMTB2016"",""17"",""1"",""73440"""</t>
  </si>
  <si>
    <t>="""TRUST Nav"",""HSPMTB2016"",""17"",""1"",""73441"""</t>
  </si>
  <si>
    <t>="""TRUST Nav"",""HSPMTB2016"",""17"",""1"",""73442"""</t>
  </si>
  <si>
    <t>="""TRUST Nav"",""HSPMTB2016"",""17"",""1"",""73443"""</t>
  </si>
  <si>
    <t>="""TRUST Nav"",""HSPMTB2016"",""17"",""1"",""73444"""</t>
  </si>
  <si>
    <t>="""TRUST Nav"",""HSPMTB2016"",""17"",""1"",""73445"""</t>
  </si>
  <si>
    <t>="""TRUST Nav"",""HSPMTB2016"",""17"",""1"",""73446"""</t>
  </si>
  <si>
    <t>="""TRUST Nav"",""HSPMTB2016"",""17"",""1"",""73447"""</t>
  </si>
  <si>
    <t>="""TRUST Nav"",""HSPMTB2016"",""17"",""1"",""73448"""</t>
  </si>
  <si>
    <t>="""TRUST Nav"",""HSPMTB2016"",""17"",""1"",""73449"""</t>
  </si>
  <si>
    <t>="""TRUST Nav"",""HSPMTB2016"",""17"",""1"",""73450"""</t>
  </si>
  <si>
    <t>="""TRUST Nav"",""HSPMTB2016"",""17"",""1"",""73451"""</t>
  </si>
  <si>
    <t>="""TRUST Nav"",""HSPMTB2016"",""17"",""1"",""73452"""</t>
  </si>
  <si>
    <t>="""TRUST Nav"",""HSPMTB2016"",""17"",""1"",""73453"""</t>
  </si>
  <si>
    <t>="""TRUST Nav"",""HSPMTB2016"",""17"",""1"",""73454"""</t>
  </si>
  <si>
    <t>="""TRUST Nav"",""HSPMTB2016"",""17"",""1"",""73455"""</t>
  </si>
  <si>
    <t>="""TRUST Nav"",""HSPMTB2016"",""17"",""1"",""73456"""</t>
  </si>
  <si>
    <t>="""TRUST Nav"",""HSPMTB2016"",""17"",""1"",""85235"""</t>
  </si>
  <si>
    <t>="""TRUST Nav"",""HSPMTB2016"",""17"",""1"",""85236"""</t>
  </si>
  <si>
    <t>="""TRUST Nav"",""HSPMTB2016"",""17"",""1"",""85237"""</t>
  </si>
  <si>
    <t>="""TRUST Nav"",""HSPMTB2016"",""17"",""1"",""85238"""</t>
  </si>
  <si>
    <t>="""TRUST Nav"",""HSPMTB2016"",""17"",""1"",""85239"""</t>
  </si>
  <si>
    <t>="""TRUST Nav"",""HSPMTB2016"",""17"",""1"",""85240"""</t>
  </si>
  <si>
    <t>="""TRUST Nav"",""HSPMTB2016"",""17"",""1"",""85241"""</t>
  </si>
  <si>
    <t>="""TRUST Nav"",""HSPMTB2016"",""17"",""1"",""85242"""</t>
  </si>
  <si>
    <t>="""TRUST Nav"",""HSPMTB2016"",""17"",""1"",""85243"""</t>
  </si>
  <si>
    <t>="""TRUST Nav"",""HSPMTB2016"",""17"",""1"",""85244"""</t>
  </si>
  <si>
    <t>="""TRUST Nav"",""HSPMTB2016"",""17"",""1"",""85245"""</t>
  </si>
  <si>
    <t>="""TRUST Nav"",""HSPMTB2016"",""17"",""1"",""85246"""</t>
  </si>
  <si>
    <t>="""TRUST Nav"",""HSPMTB2016"",""17"",""1"",""85247"""</t>
  </si>
  <si>
    <t>="""TRUST Nav"",""HSPMTB2016"",""17"",""1"",""85248"""</t>
  </si>
  <si>
    <t>="""TRUST Nav"",""HSPMTB2016"",""17"",""1"",""85249"""</t>
  </si>
  <si>
    <t>="""TRUST Nav"",""HSPMTB2016"",""17"",""1"",""85250"""</t>
  </si>
  <si>
    <t>="""TRUST Nav"",""HSPMTB2016"",""17"",""1"",""85251"""</t>
  </si>
  <si>
    <t>="""TRUST Nav"",""HSPMTB2016"",""17"",""1"",""85252"""</t>
  </si>
  <si>
    <t>="""TRUST Nav"",""HSPMTB2016"",""17"",""1"",""85253"""</t>
  </si>
  <si>
    <t>="""TRUST Nav"",""HSPMTB2016"",""17"",""1"",""85254"""</t>
  </si>
  <si>
    <t>="""TRUST Nav"",""HSPMTB2016"",""17"",""1"",""85255"""</t>
  </si>
  <si>
    <t>="""TRUST Nav"",""HSPMTB2016"",""17"",""1"",""85256"""</t>
  </si>
  <si>
    <t>="""TRUST Nav"",""HSPMTB2016"",""17"",""1"",""85257"""</t>
  </si>
  <si>
    <t>="""TRUST Nav"",""HSPMTB2016"",""17"",""1"",""85258"""</t>
  </si>
  <si>
    <t>="""TRUST Nav"",""HSPMTB2016"",""17"",""1"",""85259"""</t>
  </si>
  <si>
    <t>="""TRUST Nav"",""HSPMTB2016"",""17"",""1"",""85260"""</t>
  </si>
  <si>
    <t>="""TRUST Nav"",""HSPMTB2016"",""17"",""1"",""85261"""</t>
  </si>
  <si>
    <t>="""TRUST Nav"",""HSPMTB2016"",""17"",""1"",""85262"""</t>
  </si>
  <si>
    <t>="""TRUST Nav"",""HSPMTB2016"",""17"",""1"",""85263"""</t>
  </si>
  <si>
    <t>="""TRUST Nav"",""HSPMTB2016"",""17"",""1"",""85264"""</t>
  </si>
  <si>
    <t>="""TRUST Nav"",""HSPMTB2016"",""17"",""1"",""85265"""</t>
  </si>
  <si>
    <t>="""TRUST Nav"",""HSPMTB2016"",""17"",""1"",""85266"""</t>
  </si>
  <si>
    <t>="""TRUST Nav"",""HSPMTB2016"",""17"",""1"",""102566"""</t>
  </si>
  <si>
    <t>="""TRUST Nav"",""HSPMTB2016"",""17"",""1"",""102567"""</t>
  </si>
  <si>
    <t>="""TRUST Nav"",""HSPMTB2016"",""17"",""1"",""102568"""</t>
  </si>
  <si>
    <t>="""TRUST Nav"",""HSPMTB2016"",""17"",""1"",""102569"""</t>
  </si>
  <si>
    <t>="""TRUST Nav"",""HSPMTB2016"",""17"",""1"",""102570"""</t>
  </si>
  <si>
    <t>="""TRUST Nav"",""HSPMTB2016"",""17"",""1"",""102571"""</t>
  </si>
  <si>
    <t>="""TRUST Nav"",""HSPMTB2016"",""17"",""1"",""102572"""</t>
  </si>
  <si>
    <t>="""TRUST Nav"",""HSPMTB2016"",""17"",""1"",""102573"""</t>
  </si>
  <si>
    <t>="""TRUST Nav"",""HSPMTB2016"",""17"",""1"",""102574"""</t>
  </si>
  <si>
    <t>="""TRUST Nav"",""HSPMTB2016"",""17"",""1"",""102575"""</t>
  </si>
  <si>
    <t>="""TRUST Nav"",""HSPMTB2016"",""17"",""1"",""102576"""</t>
  </si>
  <si>
    <t>="""TRUST Nav"",""HSPMTB2016"",""17"",""1"",""102577"""</t>
  </si>
  <si>
    <t>="""TRUST Nav"",""HSPMTB2016"",""17"",""1"",""102578"""</t>
  </si>
  <si>
    <t>="""TRUST Nav"",""HSPMTB2016"",""17"",""1"",""102579"""</t>
  </si>
  <si>
    <t>="""TRUST Nav"",""HSPMTB2016"",""17"",""1"",""102580"""</t>
  </si>
  <si>
    <t>="""TRUST Nav"",""HSPMTB2016"",""17"",""1"",""102581"""</t>
  </si>
  <si>
    <t>="""TRUST Nav"",""HSPMTB2016"",""17"",""1"",""102582"""</t>
  </si>
  <si>
    <t>="""TRUST Nav"",""HSPMTB2016"",""17"",""1"",""116878"""</t>
  </si>
  <si>
    <t>="""TRUST Nav"",""HSPMTB2016"",""17"",""1"",""116879"""</t>
  </si>
  <si>
    <t>="""TRUST Nav"",""HSPMTB2016"",""17"",""1"",""116880"""</t>
  </si>
  <si>
    <t>="""TRUST Nav"",""HSPMTB2016"",""17"",""1"",""116881"""</t>
  </si>
  <si>
    <t>="""TRUST Nav"",""HSPMTB2016"",""17"",""1"",""116882"""</t>
  </si>
  <si>
    <t>="""TRUST Nav"",""HSPMTB2016"",""17"",""1"",""116883"""</t>
  </si>
  <si>
    <t>="""TRUST Nav"",""HSPMTB2016"",""17"",""1"",""116884"""</t>
  </si>
  <si>
    <t>="""TRUST Nav"",""HSPMTB2016"",""17"",""1"",""116885"""</t>
  </si>
  <si>
    <t>="""TRUST Nav"",""HSPMTB2016"",""17"",""1"",""116886"""</t>
  </si>
  <si>
    <t>="""TRUST Nav"",""HSPMTB2016"",""17"",""1"",""116887"""</t>
  </si>
  <si>
    <t>="""TRUST Nav"",""HSPMTB2016"",""17"",""1"",""116888"""</t>
  </si>
  <si>
    <t>="""TRUST Nav"",""HSPMTB2016"",""17"",""1"",""116889"""</t>
  </si>
  <si>
    <t>="""TRUST Nav"",""HSPMTB2016"",""17"",""1"",""116890"""</t>
  </si>
  <si>
    <t>="""TRUST Nav"",""HSPMTB2016"",""17"",""1"",""116891"""</t>
  </si>
  <si>
    <t>="""TRUST Nav"",""HSPMTB2016"",""17"",""1"",""116892"""</t>
  </si>
  <si>
    <t>="""TRUST Nav"",""HSPMTB2016"",""17"",""1"",""116893"""</t>
  </si>
  <si>
    <t>="""TRUST Nav"",""HSPMTB2016"",""17"",""1"",""116894"""</t>
  </si>
  <si>
    <t>="""TRUST Nav"",""HSPMTB2016"",""17"",""1"",""116895"""</t>
  </si>
  <si>
    <t>="""TRUST Nav"",""HSPMTB2016"",""17"",""1"",""116896"""</t>
  </si>
  <si>
    <t>="""TRUST Nav"",""HSPMTB2016"",""17"",""1"",""116897"""</t>
  </si>
  <si>
    <t>="""TRUST Nav"",""HSPMTB2016"",""17"",""1"",""116898"""</t>
  </si>
  <si>
    <t>="""TRUST Nav"",""HSPMTB2016"",""17"",""1"",""116899"""</t>
  </si>
  <si>
    <t>="""TRUST Nav"",""HSPMTB2016"",""17"",""1"",""116900"""</t>
  </si>
  <si>
    <t>="""TRUST Nav"",""HSPMTB2016"",""17"",""1"",""116901"""</t>
  </si>
  <si>
    <t>="""TRUST Nav"",""HSPMTB2016"",""17"",""1"",""116902"""</t>
  </si>
  <si>
    <t>="""TRUST Nav"",""HSPMTB2016"",""17"",""1"",""116903"""</t>
  </si>
  <si>
    <t>="""TRUST Nav"",""HSPMTB2016"",""17"",""1"",""116904"""</t>
  </si>
  <si>
    <t>="""TRUST Nav"",""HSPMTB2016"",""17"",""1"",""116905"""</t>
  </si>
  <si>
    <t>="""TRUST Nav"",""HSPMTB2016"",""17"",""1"",""116906"""</t>
  </si>
  <si>
    <t>="""TRUST Nav"",""HSPMTB2016"",""17"",""1"",""122053"""</t>
  </si>
  <si>
    <t>="""TRUST Nav"",""HSPMTB2016"",""17"",""1"",""122054"""</t>
  </si>
  <si>
    <t>="""TRUST Nav"",""HSPMTB2016"",""17"",""1"",""122055"""</t>
  </si>
  <si>
    <t>="""TRUST Nav"",""HSPMTB2016"",""17"",""1"",""122056"""</t>
  </si>
  <si>
    <t>="""TRUST Nav"",""HSPMTB2016"",""17"",""1"",""122057"""</t>
  </si>
  <si>
    <t>="""TRUST Nav"",""HSPMTB2016"",""17"",""1"",""122058"""</t>
  </si>
  <si>
    <t>="""TRUST Nav"",""HSPMTB2016"",""17"",""1"",""122059"""</t>
  </si>
  <si>
    <t>="""TRUST Nav"",""HSPMTB2016"",""17"",""1"",""122060"""</t>
  </si>
  <si>
    <t>="""TRUST Nav"",""HSPMTB2016"",""17"",""1"",""122061"""</t>
  </si>
  <si>
    <t>="""TRUST Nav"",""HSPMTB2016"",""17"",""1"",""122062"""</t>
  </si>
  <si>
    <t>="""TRUST Nav"",""HSPMTB2016"",""17"",""1"",""122063"""</t>
  </si>
  <si>
    <t>="""TRUST Nav"",""HSPMTB2016"",""17"",""1"",""122064"""</t>
  </si>
  <si>
    <t>="""TRUST Nav"",""HSPMTB2016"",""17"",""1"",""122065"""</t>
  </si>
  <si>
    <t>="""TRUST Nav"",""HSPMTB2016"",""17"",""1"",""122066"""</t>
  </si>
  <si>
    <t>="""TRUST Nav"",""HSPMTB2016"",""17"",""1"",""122067"""</t>
  </si>
  <si>
    <t>="""TRUST Nav"",""HSPMTB2016"",""17"",""1"",""122068"""</t>
  </si>
  <si>
    <t>="""TRUST Nav"",""HSPMTB2016"",""17"",""1"",""122069"""</t>
  </si>
  <si>
    <t>="""TRUST Nav"",""HSPMTB2016"",""17"",""1"",""122070"""</t>
  </si>
  <si>
    <t>="""TRUST Nav"",""HSPMTB2016"",""17"",""1"",""122071"""</t>
  </si>
  <si>
    <t>="""TRUST Nav"",""HSPMTB2016"",""17"",""1"",""122072"""</t>
  </si>
  <si>
    <t>="""TRUST Nav"",""HSPMTB2016"",""17"",""1"",""122073"""</t>
  </si>
  <si>
    <t>="""TRUST Nav"",""HSPMTB2016"",""17"",""1"",""122074"""</t>
  </si>
  <si>
    <t>="""TRUST Nav"",""HSPMTB2016"",""17"",""1"",""122075"""</t>
  </si>
  <si>
    <t>="""TRUST Nav"",""HSPMTB2016"",""17"",""1"",""122076"""</t>
  </si>
  <si>
    <t>="""TRUST Nav"",""HSPMTB2016"",""17"",""1"",""122077"""</t>
  </si>
  <si>
    <t>="""TRUST Nav"",""HSPMTB2016"",""17"",""1"",""122078"""</t>
  </si>
  <si>
    <t>="""TRUST Nav"",""HSPMTB2016"",""17"",""1"",""122079"""</t>
  </si>
  <si>
    <t>="""TRUST Nav"",""HSPMTB2016"",""17"",""1"",""122080"""</t>
  </si>
  <si>
    <t>="""TRUST Nav"",""HSPMTB2016"",""17"",""1"",""122081"""</t>
  </si>
  <si>
    <t>="""TRUST Nav"",""HSPMTB2016"",""17"",""1"",""122082"""</t>
  </si>
  <si>
    <t>="""TRUST Nav"",""HSPMTB2016"",""17"",""1"",""122083"""</t>
  </si>
  <si>
    <t>="""TRUST Nav"",""HSPMTB2016"",""17"",""1"",""122084"""</t>
  </si>
  <si>
    <t>="""TRUST Nav"",""HSPMTB2016"",""17"",""1"",""122085"""</t>
  </si>
  <si>
    <t>="""TRUST Nav"",""HSPMTB2016"",""17"",""1"",""122086"""</t>
  </si>
  <si>
    <t>="""TRUST Nav"",""HSPMTB2016"",""17"",""1"",""122087"""</t>
  </si>
  <si>
    <t>="""TRUST Nav"",""HSPMTB2016"",""17"",""1"",""122088"""</t>
  </si>
  <si>
    <t>="""TRUST Nav"",""HSPMTB2016"",""17"",""1"",""122089"""</t>
  </si>
  <si>
    <t>="""TRUST Nav"",""HSPMTB2016"",""17"",""1"",""122090"""</t>
  </si>
  <si>
    <t>="""TRUST Nav"",""HSPMTB2016"",""17"",""1"",""122091"""</t>
  </si>
  <si>
    <t>="""TRUST Nav"",""HSPMTB2016"",""17"",""1"",""122092"""</t>
  </si>
  <si>
    <t>="""TRUST Nav"",""HSPMTB2016"",""17"",""1"",""122093"""</t>
  </si>
  <si>
    <t>="""TRUST Nav"",""HSPMTB2016"",""17"",""1"",""122094"""</t>
  </si>
  <si>
    <t>="""TRUST Nav"",""HSPMTB2016"",""17"",""1"",""122095"""</t>
  </si>
  <si>
    <t>="""TRUST Nav"",""HSPMTB2016"",""17"",""1"",""129716"""</t>
  </si>
  <si>
    <t>="""TRUST Nav"",""HSPMTB2016"",""17"",""1"",""129717"""</t>
  </si>
  <si>
    <t>="""TRUST Nav"",""HSPMTB2016"",""17"",""1"",""129718"""</t>
  </si>
  <si>
    <t>="""TRUST Nav"",""HSPMTB2016"",""17"",""1"",""129719"""</t>
  </si>
  <si>
    <t>="""TRUST Nav"",""HSPMTB2016"",""17"",""1"",""129720"""</t>
  </si>
  <si>
    <t>="""TRUST Nav"",""HSPMTB2016"",""17"",""1"",""129721"""</t>
  </si>
  <si>
    <t>="""TRUST Nav"",""HSPMTB2016"",""17"",""1"",""129722"""</t>
  </si>
  <si>
    <t>="""TRUST Nav"",""HSPMTB2016"",""17"",""1"",""129723"""</t>
  </si>
  <si>
    <t>="""TRUST Nav"",""HSPMTB2016"",""17"",""1"",""129724"""</t>
  </si>
  <si>
    <t>="""TRUST Nav"",""HSPMTB2016"",""17"",""1"",""129725"""</t>
  </si>
  <si>
    <t>="""TRUST Nav"",""HSPMTB2016"",""17"",""1"",""129726"""</t>
  </si>
  <si>
    <t>="""TRUST Nav"",""HSPMTB2016"",""17"",""1"",""129727"""</t>
  </si>
  <si>
    <t>="""TRUST Nav"",""HSPMTB2016"",""17"",""1"",""129728"""</t>
  </si>
  <si>
    <t>="""TRUST Nav"",""HSPMTB2016"",""17"",""1"",""129729"""</t>
  </si>
  <si>
    <t>="""TRUST Nav"",""HSPMTB2016"",""17"",""1"",""129730"""</t>
  </si>
  <si>
    <t>="""TRUST Nav"",""HSPMTB2016"",""17"",""1"",""129731"""</t>
  </si>
  <si>
    <t>="""TRUST Nav"",""HSPMTB2016"",""17"",""1"",""129732"""</t>
  </si>
  <si>
    <t>="""TRUST Nav"",""HSPMTB2016"",""17"",""1"",""129733"""</t>
  </si>
  <si>
    <t>="""TRUST Nav"",""HSPMTB2016"",""17"",""1"",""129734"""</t>
  </si>
  <si>
    <t>="""TRUST Nav"",""HSPMTB2016"",""17"",""1"",""129735"""</t>
  </si>
  <si>
    <t>="""TRUST Nav"",""HSPMTB2016"",""17"",""1"",""129736"""</t>
  </si>
  <si>
    <t>="""TRUST Nav"",""HSPMTB2016"",""17"",""1"",""129737"""</t>
  </si>
  <si>
    <t>="""TRUST Nav"",""HSPMTB2016"",""17"",""1"",""138836"""</t>
  </si>
  <si>
    <t>="""TRUST Nav"",""HSPMTB2016"",""17"",""1"",""138837"""</t>
  </si>
  <si>
    <t>="""TRUST Nav"",""HSPMTB2016"",""17"",""1"",""138838"""</t>
  </si>
  <si>
    <t>="""TRUST Nav"",""HSPMTB2016"",""17"",""1"",""138839"""</t>
  </si>
  <si>
    <t>="""TRUST Nav"",""HSPMTB2016"",""17"",""1"",""138840"""</t>
  </si>
  <si>
    <t>="""TRUST Nav"",""HSPMTB2016"",""17"",""1"",""138841"""</t>
  </si>
  <si>
    <t>="""TRUST Nav"",""HSPMTB2016"",""17"",""1"",""138842"""</t>
  </si>
  <si>
    <t>="""TRUST Nav"",""HSPMTB2016"",""17"",""1"",""138843"""</t>
  </si>
  <si>
    <t>="""TRUST Nav"",""HSPMTB2016"",""17"",""1"",""138844"""</t>
  </si>
  <si>
    <t>="""TRUST Nav"",""HSPMTB2016"",""17"",""1"",""138845"""</t>
  </si>
  <si>
    <t>="""TRUST Nav"",""HSPMTB2016"",""17"",""1"",""138846"""</t>
  </si>
  <si>
    <t>="""TRUST Nav"",""HSPMTB2016"",""17"",""1"",""138847"""</t>
  </si>
  <si>
    <t>="""TRUST Nav"",""HSPMTB2016"",""17"",""1"",""138848"""</t>
  </si>
  <si>
    <t>="""TRUST Nav"",""HSPMTB2016"",""17"",""1"",""138849"""</t>
  </si>
  <si>
    <t>="""TRUST Nav"",""HSPMTB2016"",""21"",""1"",""3576"""</t>
  </si>
  <si>
    <t>="""TRUST Nav"",""HSPMTB2016"",""21"",""1"",""3577"""</t>
  </si>
  <si>
    <t>="""TRUST Nav"",""HSPMTB2016"",""21"",""1"",""3578"""</t>
  </si>
  <si>
    <t>="""TRUST Nav"",""HSPMTB2016"",""21"",""1"",""3579"""</t>
  </si>
  <si>
    <t>="""TRUST Nav"",""HSPMTB2016"",""21"",""1"",""3580"""</t>
  </si>
  <si>
    <t>="""TRUST Nav"",""HSPMTB2016"",""21"",""1"",""37374"""</t>
  </si>
  <si>
    <t>="""TRUST Nav"",""HSPMTB2016"",""21"",""1"",""37375"""</t>
  </si>
  <si>
    <t>="""TRUST Nav"",""HSPMTB2016"",""21"",""1"",""37376"""</t>
  </si>
  <si>
    <t>="""TRUST Nav"",""HSPMTB2016"",""21"",""1"",""37377"""</t>
  </si>
  <si>
    <t>="""TRUST Nav"",""HSPMTB2016"",""21"",""1"",""37378"""</t>
  </si>
  <si>
    <t>="""TRUST Nav"",""HSPMTB2016"",""21"",""1"",""37379"""</t>
  </si>
  <si>
    <t>="""TRUST Nav"",""HSPMTB2016"",""21"",""1"",""85235"""</t>
  </si>
  <si>
    <t>="""TRUST Nav"",""HSPMTB2016"",""21"",""1"",""85236"""</t>
  </si>
  <si>
    <t>="""TRUST Nav"",""HSPMTB2016"",""21"",""1"",""85237"""</t>
  </si>
  <si>
    <t>="""TRUST Nav"",""HSPMTB2016"",""21"",""1"",""122057"""</t>
  </si>
  <si>
    <t>="""TRUST Nav"",""HSPMTB2016"",""21"",""1"",""122058"""</t>
  </si>
  <si>
    <t>="""TRUST Nav"",""HSPMTB2016"",""21"",""1"",""122059"""</t>
  </si>
  <si>
    <t>="""TRUST Nav"",""HSPMTB2016"",""21"",""1"",""138836"""</t>
  </si>
  <si>
    <t>="""TRUST Nav"",""HSPMTB2016"",""21"",""1"",""138837"""</t>
  </si>
  <si>
    <t>="""TRUST Nav"",""HSPMTB2016"",""21"",""1"",""138838"""</t>
  </si>
  <si>
    <t>="""TRUST Nav"",""HSPMTB2016"",""21"",""1"",""3581"""</t>
  </si>
  <si>
    <t>="""TRUST Nav"",""HSPMTB2016"",""21"",""1"",""3582"""</t>
  </si>
  <si>
    <t>="""TRUST Nav"",""HSPMTB2016"",""21"",""1"",""3583"""</t>
  </si>
  <si>
    <t>="""TRUST Nav"",""HSPMTB2016"",""21"",""1"",""3584"""</t>
  </si>
  <si>
    <t>="""TRUST Nav"",""HSPMTB2016"",""21"",""1"",""3585"""</t>
  </si>
  <si>
    <t>="""TRUST Nav"",""HSPMTB2016"",""21"",""1"",""3586"""</t>
  </si>
  <si>
    <t>="""TRUST Nav"",""HSPMTB2016"",""21"",""1"",""37380"""</t>
  </si>
  <si>
    <t>="""TRUST Nav"",""HSPMTB2016"",""21"",""1"",""37381"""</t>
  </si>
  <si>
    <t>="""TRUST Nav"",""HSPMTB2016"",""21"",""1"",""37382"""</t>
  </si>
  <si>
    <t>="""TRUST Nav"",""HSPMTB2016"",""21"",""1"",""37383"""</t>
  </si>
  <si>
    <t>="""TRUST Nav"",""HSPMTB2016"",""21"",""1"",""37384"""</t>
  </si>
  <si>
    <t>="""TRUST Nav"",""HSPMTB2016"",""21"",""1"",""37385"""</t>
  </si>
  <si>
    <t>="""TRUST Nav"",""HSPMTB2016"",""21"",""1"",""116878"""</t>
  </si>
  <si>
    <t>="""TRUST Nav"",""HSPMTB2016"",""21"",""1"",""116879"""</t>
  </si>
  <si>
    <t>="""TRUST Nav"",""HSPMTB2016"",""21"",""1"",""116880"""</t>
  </si>
  <si>
    <t>="""TRUST Nav"",""HSPMTB2016"",""21"",""1"",""116881"""</t>
  </si>
  <si>
    <t>="""TRUST Nav"",""HSPMTB2016"",""21"",""1"",""3587"""</t>
  </si>
  <si>
    <t>="""TRUST Nav"",""HSPMTB2016"",""21"",""1"",""3588"""</t>
  </si>
  <si>
    <t>="""TRUST Nav"",""HSPMTB2016"",""21"",""1"",""3589"""</t>
  </si>
  <si>
    <t>="""TRUST Nav"",""HSPMTB2016"",""21"",""1"",""3590"""</t>
  </si>
  <si>
    <t>="""TRUST Nav"",""HSPMTB2016"",""21"",""1"",""3591"""</t>
  </si>
  <si>
    <t>="""TRUST Nav"",""HSPMTB2016"",""21"",""1"",""3592"""</t>
  </si>
  <si>
    <t>="""TRUST Nav"",""HSPMTB2016"",""21"",""1"",""37386"""</t>
  </si>
  <si>
    <t>="""TRUST Nav"",""HSPMTB2016"",""21"",""1"",""37387"""</t>
  </si>
  <si>
    <t>="""TRUST Nav"",""HSPMTB2016"",""21"",""1"",""37388"""</t>
  </si>
  <si>
    <t>="""TRUST Nav"",""HSPMTB2016"",""21"",""1"",""37389"""</t>
  </si>
  <si>
    <t>="""TRUST Nav"",""HSPMTB2016"",""21"",""1"",""37390"""</t>
  </si>
  <si>
    <t>="""TRUST Nav"",""HSPMTB2016"",""21"",""1"",""37391"""</t>
  </si>
  <si>
    <t>="""TRUST Nav"",""HSPMTB2016"",""21"",""1"",""73438"""</t>
  </si>
  <si>
    <t>="""TRUST Nav"",""HSPMTB2016"",""21"",""1"",""73439"""</t>
  </si>
  <si>
    <t>="""TRUST Nav"",""HSPMTB2016"",""21"",""1"",""122060"""</t>
  </si>
  <si>
    <t>="""TRUST Nav"",""HSPMTB2016"",""21"",""1"",""122061"""</t>
  </si>
  <si>
    <t>="""TRUST Nav"",""HSPMTB2016"",""21"",""1"",""122062"""</t>
  </si>
  <si>
    <t>="""TRUST Nav"",""HSPMTB2016"",""21"",""1"",""122063"""</t>
  </si>
  <si>
    <t>="""TRUST Nav"",""HSPMTB2016"",""21"",""1"",""129716"""</t>
  </si>
  <si>
    <t>="""TRUST Nav"",""HSPMTB2016"",""21"",""1"",""129717"""</t>
  </si>
  <si>
    <t>="""TRUST Nav"",""HSPMTB2016"",""21"",""1"",""129718"""</t>
  </si>
  <si>
    <t>="""TRUST Nav"",""HSPMTB2016"",""21"",""1"",""3593"""</t>
  </si>
  <si>
    <t>="""TRUST Nav"",""HSPMTB2016"",""21"",""1"",""3594"""</t>
  </si>
  <si>
    <t>="""TRUST Nav"",""HSPMTB2016"",""21"",""1"",""3595"""</t>
  </si>
  <si>
    <t>="""TRUST Nav"",""HSPMTB2016"",""21"",""1"",""3596"""</t>
  </si>
  <si>
    <t>="""TRUST Nav"",""HSPMTB2016"",""21"",""1"",""3597"""</t>
  </si>
  <si>
    <t>="""TRUST Nav"",""HSPMTB2016"",""21"",""1"",""3598"""</t>
  </si>
  <si>
    <t>="""TRUST Nav"",""HSPMTB2016"",""21"",""1"",""37392"""</t>
  </si>
  <si>
    <t>="""TRUST Nav"",""HSPMTB2016"",""21"",""1"",""37393"""</t>
  </si>
  <si>
    <t>="""TRUST Nav"",""HSPMTB2016"",""21"",""1"",""37394"""</t>
  </si>
  <si>
    <t>="""TRUST Nav"",""HSPMTB2016"",""21"",""1"",""37395"""</t>
  </si>
  <si>
    <t>="""TRUST Nav"",""HSPMTB2016"",""21"",""1"",""37396"""</t>
  </si>
  <si>
    <t>="""TRUST Nav"",""HSPMTB2016"",""21"",""1"",""37397"""</t>
  </si>
  <si>
    <t>="""TRUST Nav"",""HSPMTB2016"",""21"",""1"",""3599"""</t>
  </si>
  <si>
    <t>="""TRUST Nav"",""HSPMTB2016"",""21"",""1"",""3600"""</t>
  </si>
  <si>
    <t>="""TRUST Nav"",""HSPMTB2016"",""21"",""1"",""3601"""</t>
  </si>
  <si>
    <t>="""TRUST Nav"",""HSPMTB2016"",""21"",""1"",""3602"""</t>
  </si>
  <si>
    <t>="""TRUST Nav"",""HSPMTB2016"",""21"",""1"",""3603"""</t>
  </si>
  <si>
    <t>="""TRUST Nav"",""HSPMTB2016"",""21"",""1"",""3604"""</t>
  </si>
  <si>
    <t>="""TRUST Nav"",""HSPMTB2016"",""21"",""1"",""37398"""</t>
  </si>
  <si>
    <t>="""TRUST Nav"",""HSPMTB2016"",""21"",""1"",""37399"""</t>
  </si>
  <si>
    <t>="""TRUST Nav"",""HSPMTB2016"",""21"",""1"",""37400"""</t>
  </si>
  <si>
    <t>="""TRUST Nav"",""HSPMTB2016"",""21"",""1"",""37401"""</t>
  </si>
  <si>
    <t>="""TRUST Nav"",""HSPMTB2016"",""21"",""1"",""37402"""</t>
  </si>
  <si>
    <t>="""TRUST Nav"",""HSPMTB2016"",""21"",""1"",""37403"""</t>
  </si>
  <si>
    <t>="""TRUST Nav"",""HSPMTB2016"",""21"",""1"",""102566"""</t>
  </si>
  <si>
    <t>="""TRUST Nav"",""HSPMTB2016"",""21"",""1"",""102567"""</t>
  </si>
  <si>
    <t>="""TRUST Nav"",""HSPMTB2016"",""21"",""1"",""102568"""</t>
  </si>
  <si>
    <t>="""TRUST Nav"",""HSPMTB2016"",""21"",""1"",""102569"""</t>
  </si>
  <si>
    <t>="""TRUST Nav"",""HSPMTB2016"",""21"",""1"",""129719"""</t>
  </si>
  <si>
    <t>="""TRUST Nav"",""HSPMTB2016"",""21"",""1"",""129720"""</t>
  </si>
  <si>
    <t>="""TRUST Nav"",""HSPMTB2016"",""21"",""1"",""129721"""</t>
  </si>
  <si>
    <t>="""TRUST Nav"",""HSPMTB2016"",""21"",""1"",""3605"""</t>
  </si>
  <si>
    <t>="""TRUST Nav"",""HSPMTB2016"",""21"",""1"",""3606"""</t>
  </si>
  <si>
    <t>="""TRUST Nav"",""HSPMTB2016"",""21"",""1"",""3607"""</t>
  </si>
  <si>
    <t>="""TRUST Nav"",""HSPMTB2016"",""21"",""1"",""3608"""</t>
  </si>
  <si>
    <t>="""TRUST Nav"",""HSPMTB2016"",""21"",""1"",""3609"""</t>
  </si>
  <si>
    <t>="""TRUST Nav"",""HSPMTB2016"",""21"",""1"",""3610"""</t>
  </si>
  <si>
    <t>="""TRUST Nav"",""HSPMTB2016"",""21"",""1"",""37404"""</t>
  </si>
  <si>
    <t>="""TRUST Nav"",""HSPMTB2016"",""21"",""1"",""37405"""</t>
  </si>
  <si>
    <t>="""TRUST Nav"",""HSPMTB2016"",""21"",""1"",""37406"""</t>
  </si>
  <si>
    <t>="""TRUST Nav"",""HSPMTB2016"",""21"",""1"",""37407"""</t>
  </si>
  <si>
    <t>="""TRUST Nav"",""HSPMTB2016"",""21"",""1"",""37408"""</t>
  </si>
  <si>
    <t>="""TRUST Nav"",""HSPMTB2016"",""21"",""1"",""37409"""</t>
  </si>
  <si>
    <t>="""TRUST Nav"",""HSPMTB2016"",""21"",""1"",""116882"""</t>
  </si>
  <si>
    <t>="""TRUST Nav"",""HSPMTB2016"",""21"",""1"",""116883"""</t>
  </si>
  <si>
    <t>="""TRUST Nav"",""HSPMTB2016"",""21"",""1"",""116884"""</t>
  </si>
  <si>
    <t>="""TRUST Nav"",""HSPMTB2016"",""21"",""1"",""116885"""</t>
  </si>
  <si>
    <t>="""TRUST Nav"",""HSPMTB2016"",""21"",""1"",""116886"""</t>
  </si>
  <si>
    <t>="""TRUST Nav"",""HSPMTB2016"",""21"",""1"",""116887"""</t>
  </si>
  <si>
    <t>="""TRUST Nav"",""HSPMTB2016"",""21"",""1"",""116888"""</t>
  </si>
  <si>
    <t>="""TRUST Nav"",""HSPMTB2016"",""21"",""1"",""116889"""</t>
  </si>
  <si>
    <t>="""TRUST Nav"",""HSPMTB2016"",""21"",""1"",""116890"""</t>
  </si>
  <si>
    <t>="""TRUST Nav"",""HSPMTB2016"",""21"",""1"",""116891"""</t>
  </si>
  <si>
    <t>="""TRUST Nav"",""HSPMTB2016"",""21"",""1"",""116892"""</t>
  </si>
  <si>
    <t>="""TRUST Nav"",""HSPMTB2016"",""21"",""1"",""116893"""</t>
  </si>
  <si>
    <t>="""TRUST Nav"",""HSPMTB2016"",""21"",""1"",""85238"""</t>
  </si>
  <si>
    <t>="""TRUST Nav"",""HSPMTB2016"",""21"",""1"",""85239"""</t>
  </si>
  <si>
    <t>="""TRUST Nav"",""HSPMTB2016"",""21"",""1"",""85240"""</t>
  </si>
  <si>
    <t>="""TRUST Nav"",""HSPMTB2016"",""21"",""1"",""85241"""</t>
  </si>
  <si>
    <t>="""TRUST Nav"",""HSPMTB2016"",""21"",""1"",""85242"""</t>
  </si>
  <si>
    <t>="""TRUST Nav"",""HSPMTB2016"",""21"",""1"",""85243"""</t>
  </si>
  <si>
    <t>="""TRUST Nav"",""HSPMTB2016"",""21"",""1"",""3611"""</t>
  </si>
  <si>
    <t>="""TRUST Nav"",""HSPMTB2016"",""21"",""1"",""3612"""</t>
  </si>
  <si>
    <t>="""TRUST Nav"",""HSPMTB2016"",""21"",""1"",""3613"""</t>
  </si>
  <si>
    <t>="""TRUST Nav"",""HSPMTB2016"",""21"",""1"",""3614"""</t>
  </si>
  <si>
    <t>="""TRUST Nav"",""HSPMTB2016"",""21"",""1"",""3615"""</t>
  </si>
  <si>
    <t>="""TRUST Nav"",""HSPMTB2016"",""21"",""1"",""3616"""</t>
  </si>
  <si>
    <t>="""TRUST Nav"",""HSPMTB2016"",""21"",""1"",""37410"""</t>
  </si>
  <si>
    <t>="""TRUST Nav"",""HSPMTB2016"",""21"",""1"",""37411"""</t>
  </si>
  <si>
    <t>="""TRUST Nav"",""HSPMTB2016"",""21"",""1"",""37412"""</t>
  </si>
  <si>
    <t>="""TRUST Nav"",""HSPMTB2016"",""21"",""1"",""37413"""</t>
  </si>
  <si>
    <t>="""TRUST Nav"",""HSPMTB2016"",""21"",""1"",""37414"""</t>
  </si>
  <si>
    <t>="""TRUST Nav"",""HSPMTB2016"",""21"",""1"",""37415"""</t>
  </si>
  <si>
    <t>="""TRUST Nav"",""HSPMTB2016"",""21"",""1"",""102570"""</t>
  </si>
  <si>
    <t>="""TRUST Nav"",""HSPMTB2016"",""21"",""1"",""102571"""</t>
  </si>
  <si>
    <t>="""TRUST Nav"",""HSPMTB2016"",""21"",""1"",""102572"""</t>
  </si>
  <si>
    <t>="""TRUST Nav"",""HSPMTB2016"",""21"",""1"",""3617"""</t>
  </si>
  <si>
    <t>="""TRUST Nav"",""HSPMTB2016"",""21"",""1"",""3618"""</t>
  </si>
  <si>
    <t>="""TRUST Nav"",""HSPMTB2016"",""21"",""1"",""3619"""</t>
  </si>
  <si>
    <t>="""TRUST Nav"",""HSPMTB2016"",""21"",""1"",""3620"""</t>
  </si>
  <si>
    <t>="""TRUST Nav"",""HSPMTB2016"",""21"",""1"",""3621"""</t>
  </si>
  <si>
    <t>="""TRUST Nav"",""HSPMTB2016"",""21"",""1"",""3622"""</t>
  </si>
  <si>
    <t>="""TRUST Nav"",""HSPMTB2016"",""21"",""1"",""37416"""</t>
  </si>
  <si>
    <t>="""TRUST Nav"",""HSPMTB2016"",""21"",""1"",""37417"""</t>
  </si>
  <si>
    <t>="""TRUST Nav"",""HSPMTB2016"",""21"",""1"",""37418"""</t>
  </si>
  <si>
    <t>="""TRUST Nav"",""HSPMTB2016"",""21"",""1"",""37419"""</t>
  </si>
  <si>
    <t>="""TRUST Nav"",""HSPMTB2016"",""21"",""1"",""37420"""</t>
  </si>
  <si>
    <t>="""TRUST Nav"",""HSPMTB2016"",""21"",""1"",""37421"""</t>
  </si>
  <si>
    <t>="""TRUST Nav"",""HSPMTB2016"",""21"",""1"",""85244"""</t>
  </si>
  <si>
    <t>="""TRUST Nav"",""HSPMTB2016"",""21"",""1"",""85245"""</t>
  </si>
  <si>
    <t>="""TRUST Nav"",""HSPMTB2016"",""21"",""1"",""85246"""</t>
  </si>
  <si>
    <t>="""TRUST Nav"",""HSPMTB2016"",""21"",""1"",""116894"""</t>
  </si>
  <si>
    <t>="""TRUST Nav"",""HSPMTB2016"",""21"",""1"",""116895"""</t>
  </si>
  <si>
    <t>="""TRUST Nav"",""HSPMTB2016"",""21"",""1"",""116896"""</t>
  </si>
  <si>
    <t>="""TRUST Nav"",""HSPMTB2016"",""21"",""1"",""3623"""</t>
  </si>
  <si>
    <t>="""TRUST Nav"",""HSPMTB2016"",""21"",""1"",""3624"""</t>
  </si>
  <si>
    <t>="""TRUST Nav"",""HSPMTB2016"",""21"",""1"",""3625"""</t>
  </si>
  <si>
    <t>="""TRUST Nav"",""HSPMTB2016"",""21"",""1"",""3626"""</t>
  </si>
  <si>
    <t>="""TRUST Nav"",""HSPMTB2016"",""21"",""1"",""3627"""</t>
  </si>
  <si>
    <t>="""TRUST Nav"",""HSPMTB2016"",""21"",""1"",""3628"""</t>
  </si>
  <si>
    <t>="""TRUST Nav"",""HSPMTB2016"",""21"",""1"",""37422"""</t>
  </si>
  <si>
    <t>="""TRUST Nav"",""HSPMTB2016"",""21"",""1"",""37423"""</t>
  </si>
  <si>
    <t>="""TRUST Nav"",""HSPMTB2016"",""21"",""1"",""37424"""</t>
  </si>
  <si>
    <t>="""TRUST Nav"",""HSPMTB2016"",""21"",""1"",""37425"""</t>
  </si>
  <si>
    <t>="""TRUST Nav"",""HSPMTB2016"",""21"",""1"",""37426"""</t>
  </si>
  <si>
    <t>="""TRUST Nav"",""HSPMTB2016"",""21"",""1"",""37427"""</t>
  </si>
  <si>
    <t>="""TRUST Nav"",""HSPMTB2016"",""21"",""1"",""73444"""</t>
  </si>
  <si>
    <t>="""TRUST Nav"",""HSPMTB2016"",""21"",""1"",""102573"""</t>
  </si>
  <si>
    <t>="""TRUST Nav"",""HSPMTB2016"",""21"",""1"",""122068"""</t>
  </si>
  <si>
    <t>="""TRUST Nav"",""HSPMTB2016"",""21"",""1"",""122069"""</t>
  </si>
  <si>
    <t>="""TRUST Nav"",""HSPMTB2016"",""21"",""1"",""122070"""</t>
  </si>
  <si>
    <t>="""TRUST Nav"",""HSPMTB2016"",""21"",""1"",""138839"""</t>
  </si>
  <si>
    <t>="""TRUST Nav"",""HSPMTB2016"",""21"",""1"",""138840"""</t>
  </si>
  <si>
    <t>="""TRUST Nav"",""HSPMTB2016"",""21"",""1"",""3629"""</t>
  </si>
  <si>
    <t>="""TRUST Nav"",""HSPMTB2016"",""21"",""1"",""3630"""</t>
  </si>
  <si>
    <t>="""TRUST Nav"",""HSPMTB2016"",""21"",""1"",""3631"""</t>
  </si>
  <si>
    <t>="""TRUST Nav"",""HSPMTB2016"",""21"",""1"",""3632"""</t>
  </si>
  <si>
    <t>="""TRUST Nav"",""HSPMTB2016"",""21"",""1"",""3633"""</t>
  </si>
  <si>
    <t>="""TRUST Nav"",""HSPMTB2016"",""21"",""1"",""3634"""</t>
  </si>
  <si>
    <t>="""TRUST Nav"",""HSPMTB2016"",""21"",""1"",""37428"""</t>
  </si>
  <si>
    <t>="""TRUST Nav"",""HSPMTB2016"",""21"",""1"",""37429"""</t>
  </si>
  <si>
    <t>="""TRUST Nav"",""HSPMTB2016"",""21"",""1"",""37430"""</t>
  </si>
  <si>
    <t>="""TRUST Nav"",""HSPMTB2016"",""21"",""1"",""37431"""</t>
  </si>
  <si>
    <t>="""TRUST Nav"",""HSPMTB2016"",""21"",""1"",""37432"""</t>
  </si>
  <si>
    <t>="""TRUST Nav"",""HSPMTB2016"",""21"",""1"",""37433"""</t>
  </si>
  <si>
    <t>="""TRUST Nav"",""HSPMTB2016"",""21"",""1"",""73445"""</t>
  </si>
  <si>
    <t>="""TRUST Nav"",""HSPMTB2016"",""21"",""1"",""85247"""</t>
  </si>
  <si>
    <t>="""TRUST Nav"",""HSPMTB2016"",""21"",""1"",""102574"""</t>
  </si>
  <si>
    <t>="""TRUST Nav"",""HSPMTB2016"",""21"",""1"",""102575"""</t>
  </si>
  <si>
    <t>="""TRUST Nav"",""HSPMTB2016"",""21"",""1"",""116897"""</t>
  </si>
  <si>
    <t>="""TRUST Nav"",""HSPMTB2016"",""21"",""1"",""122071"""</t>
  </si>
  <si>
    <t>="""TRUST Nav"",""HSPMTB2016"",""21"",""1"",""129722"""</t>
  </si>
  <si>
    <t>="""TRUST Nav"",""HSPMTB2016"",""21"",""1"",""138841"""</t>
  </si>
  <si>
    <t>="""TRUST Nav"",""HSPMTB2016"",""21"",""1"",""3635"""</t>
  </si>
  <si>
    <t>="""TRUST Nav"",""HSPMTB2016"",""21"",""1"",""3636"""</t>
  </si>
  <si>
    <t>="""TRUST Nav"",""HSPMTB2016"",""21"",""1"",""3637"""</t>
  </si>
  <si>
    <t>="""TRUST Nav"",""HSPMTB2016"",""21"",""1"",""3638"""</t>
  </si>
  <si>
    <t>="""TRUST Nav"",""HSPMTB2016"",""21"",""1"",""3639"""</t>
  </si>
  <si>
    <t>="""TRUST Nav"",""HSPMTB2016"",""21"",""1"",""3640"""</t>
  </si>
  <si>
    <t>="""TRUST Nav"",""HSPMTB2016"",""21"",""1"",""37434"""</t>
  </si>
  <si>
    <t>="""TRUST Nav"",""HSPMTB2016"",""21"",""1"",""37435"""</t>
  </si>
  <si>
    <t>="""TRUST Nav"",""HSPMTB2016"",""21"",""1"",""37436"""</t>
  </si>
  <si>
    <t>="""TRUST Nav"",""HSPMTB2016"",""21"",""1"",""37437"""</t>
  </si>
  <si>
    <t>="""TRUST Nav"",""HSPMTB2016"",""21"",""1"",""37438"""</t>
  </si>
  <si>
    <t>="""TRUST Nav"",""HSPMTB2016"",""21"",""1"",""37439"""</t>
  </si>
  <si>
    <t>="""TRUST Nav"",""HSPMTB2016"",""21"",""1"",""85248"""</t>
  </si>
  <si>
    <t>="""TRUST Nav"",""HSPMTB2016"",""21"",""1"",""85249"""</t>
  </si>
  <si>
    <t>="""TRUST Nav"",""HSPMTB2016"",""21"",""1"",""116898"""</t>
  </si>
  <si>
    <t>="""TRUST Nav"",""HSPMTB2016"",""21"",""1"",""116899"""</t>
  </si>
  <si>
    <t>="""TRUST Nav"",""HSPMTB2016"",""21"",""1"",""3641"""</t>
  </si>
  <si>
    <t>="""TRUST Nav"",""HSPMTB2016"",""21"",""1"",""3642"""</t>
  </si>
  <si>
    <t>="""TRUST Nav"",""HSPMTB2016"",""21"",""1"",""3643"""</t>
  </si>
  <si>
    <t>="""TRUST Nav"",""HSPMTB2016"",""21"",""1"",""3644"""</t>
  </si>
  <si>
    <t>="""TRUST Nav"",""HSPMTB2016"",""21"",""1"",""3645"""</t>
  </si>
  <si>
    <t>="""TRUST Nav"",""HSPMTB2016"",""21"",""1"",""3646"""</t>
  </si>
  <si>
    <t>="""TRUST Nav"",""HSPMTB2016"",""21"",""1"",""37440"""</t>
  </si>
  <si>
    <t>="""TRUST Nav"",""HSPMTB2016"",""21"",""1"",""37441"""</t>
  </si>
  <si>
    <t>="""TRUST Nav"",""HSPMTB2016"",""21"",""1"",""37442"""</t>
  </si>
  <si>
    <t>="""TRUST Nav"",""HSPMTB2016"",""21"",""1"",""37443"""</t>
  </si>
  <si>
    <t>="""TRUST Nav"",""HSPMTB2016"",""21"",""1"",""37444"""</t>
  </si>
  <si>
    <t>="""TRUST Nav"",""HSPMTB2016"",""21"",""1"",""37445"""</t>
  </si>
  <si>
    <t>="""TRUST Nav"",""HSPMTB2016"",""21"",""1"",""73446"""</t>
  </si>
  <si>
    <t>="""TRUST Nav"",""HSPMTB2016"",""21"",""1"",""73447"""</t>
  </si>
  <si>
    <t>="""TRUST Nav"",""HSPMTB2016"",""21"",""1"",""73448"""</t>
  </si>
  <si>
    <t>="""TRUST Nav"",""HSPMTB2016"",""21"",""1"",""116900"""</t>
  </si>
  <si>
    <t>="""TRUST Nav"",""HSPMTB2016"",""21"",""1"",""116901"""</t>
  </si>
  <si>
    <t>="""TRUST Nav"",""HSPMTB2016"",""21"",""1"",""116902"""</t>
  </si>
  <si>
    <t>="""TRUST Nav"",""HSPMTB2016"",""21"",""1"",""129723"""</t>
  </si>
  <si>
    <t>="""TRUST Nav"",""HSPMTB2016"",""21"",""1"",""129724"""</t>
  </si>
  <si>
    <t>="""TRUST Nav"",""HSPMTB2016"",""21"",""1"",""129725"""</t>
  </si>
  <si>
    <t>="""TRUST Nav"",""HSPMTB2016"",""21"",""1"",""3647"""</t>
  </si>
  <si>
    <t>="""TRUST Nav"",""HSPMTB2016"",""21"",""1"",""3648"""</t>
  </si>
  <si>
    <t>="""TRUST Nav"",""HSPMTB2016"",""21"",""1"",""3649"""</t>
  </si>
  <si>
    <t>="""TRUST Nav"",""HSPMTB2016"",""21"",""1"",""3650"""</t>
  </si>
  <si>
    <t>="""TRUST Nav"",""HSPMTB2016"",""21"",""1"",""3651"""</t>
  </si>
  <si>
    <t>="""TRUST Nav"",""HSPMTB2016"",""21"",""1"",""3652"""</t>
  </si>
  <si>
    <t>="""TRUST Nav"",""HSPMTB2016"",""21"",""1"",""37446"""</t>
  </si>
  <si>
    <t>="""TRUST Nav"",""HSPMTB2016"",""21"",""1"",""37447"""</t>
  </si>
  <si>
    <t>="""TRUST Nav"",""HSPMTB2016"",""21"",""1"",""37448"""</t>
  </si>
  <si>
    <t>="""TRUST Nav"",""HSPMTB2016"",""21"",""1"",""37449"""</t>
  </si>
  <si>
    <t>="""TRUST Nav"",""HSPMTB2016"",""21"",""1"",""37450"""</t>
  </si>
  <si>
    <t>="""TRUST Nav"",""HSPMTB2016"",""21"",""1"",""37451"""</t>
  </si>
  <si>
    <t>="""TRUST Nav"",""HSPMTB2016"",""21"",""1"",""3653"""</t>
  </si>
  <si>
    <t>="""TRUST Nav"",""HSPMTB2016"",""21"",""1"",""3654"""</t>
  </si>
  <si>
    <t>="""TRUST Nav"",""HSPMTB2016"",""21"",""1"",""3655"""</t>
  </si>
  <si>
    <t>="""TRUST Nav"",""HSPMTB2016"",""21"",""1"",""3656"""</t>
  </si>
  <si>
    <t>="""TRUST Nav"",""HSPMTB2016"",""21"",""1"",""3657"""</t>
  </si>
  <si>
    <t>="""TRUST Nav"",""HSPMTB2016"",""21"",""1"",""3658"""</t>
  </si>
  <si>
    <t>="""TRUST Nav"",""HSPMTB2016"",""21"",""1"",""37452"""</t>
  </si>
  <si>
    <t>="""TRUST Nav"",""HSPMTB2016"",""21"",""1"",""37453"""</t>
  </si>
  <si>
    <t>="""TRUST Nav"",""HSPMTB2016"",""21"",""1"",""37454"""</t>
  </si>
  <si>
    <t>="""TRUST Nav"",""HSPMTB2016"",""21"",""1"",""37455"""</t>
  </si>
  <si>
    <t>="""TRUST Nav"",""HSPMTB2016"",""21"",""1"",""37456"""</t>
  </si>
  <si>
    <t>="""TRUST Nav"",""HSPMTB2016"",""21"",""1"",""37457"""</t>
  </si>
  <si>
    <t>="""TRUST Nav"",""HSPMTB2016"",""21"",""1"",""85250"""</t>
  </si>
  <si>
    <t>="""TRUST Nav"",""HSPMTB2016"",""21"",""1"",""85251"""</t>
  </si>
  <si>
    <t>="""TRUST Nav"",""HSPMTB2016"",""21"",""1"",""85252"""</t>
  </si>
  <si>
    <t>="""TRUST Nav"",""HSPMTB2016"",""21"",""1"",""85253"""</t>
  </si>
  <si>
    <t>="""TRUST Nav"",""HSPMTB2016"",""21"",""1"",""138842"""</t>
  </si>
  <si>
    <t>="""TRUST Nav"",""HSPMTB2016"",""21"",""1"",""138843"""</t>
  </si>
  <si>
    <t>="""TRUST Nav"",""HSPMTB2016"",""21"",""1"",""138844"""</t>
  </si>
  <si>
    <t>="""TRUST Nav"",""HSPMTB2016"",""21"",""1"",""138845"""</t>
  </si>
  <si>
    <t>="""TRUST Nav"",""HSPMTB2016"",""21"",""1"",""3659"""</t>
  </si>
  <si>
    <t>="""TRUST Nav"",""HSPMTB2016"",""21"",""1"",""3660"""</t>
  </si>
  <si>
    <t>="""TRUST Nav"",""HSPMTB2016"",""21"",""1"",""3661"""</t>
  </si>
  <si>
    <t>="""TRUST Nav"",""HSPMTB2016"",""21"",""1"",""3662"""</t>
  </si>
  <si>
    <t>="""TRUST Nav"",""HSPMTB2016"",""21"",""1"",""3663"""</t>
  </si>
  <si>
    <t>="""TRUST Nav"",""HSPMTB2016"",""21"",""1"",""3664"""</t>
  </si>
  <si>
    <t>="""TRUST Nav"",""HSPMTB2016"",""21"",""1"",""37458"""</t>
  </si>
  <si>
    <t>="""TRUST Nav"",""HSPMTB2016"",""21"",""1"",""37459"""</t>
  </si>
  <si>
    <t>="""TRUST Nav"",""HSPMTB2016"",""21"",""1"",""37460"""</t>
  </si>
  <si>
    <t>="""TRUST Nav"",""HSPMTB2016"",""21"",""1"",""37461"""</t>
  </si>
  <si>
    <t>="""TRUST Nav"",""HSPMTB2016"",""21"",""1"",""37462"""</t>
  </si>
  <si>
    <t>="""TRUST Nav"",""HSPMTB2016"",""21"",""1"",""37463"""</t>
  </si>
  <si>
    <t>="""TRUST Nav"",""HSPMTB2016"",""21"",""1"",""102576"""</t>
  </si>
  <si>
    <t>="""TRUST Nav"",""HSPMTB2016"",""21"",""1"",""102577"""</t>
  </si>
  <si>
    <t>="""TRUST Nav"",""HSPMTB2016"",""21"",""1"",""102578"""</t>
  </si>
  <si>
    <t>="""TRUST Nav"",""HSPMTB2016"",""21"",""1"",""102579"""</t>
  </si>
  <si>
    <t>="""TRUST Nav"",""HSPMTB2016"",""21"",""1"",""138846"""</t>
  </si>
  <si>
    <t>="""TRUST Nav"",""HSPMTB2016"",""21"",""1"",""138847"""</t>
  </si>
  <si>
    <t>="""TRUST Nav"",""HSPMTB2016"",""21"",""1"",""138848"""</t>
  </si>
  <si>
    <t>="""TRUST Nav"",""HSPMTB2016"",""21"",""1"",""138849"""</t>
  </si>
  <si>
    <t>="""TRUST Nav"",""HSPMTB2016"",""21"",""1"",""3665"""</t>
  </si>
  <si>
    <t>="""TRUST Nav"",""HSPMTB2016"",""21"",""1"",""37464"""</t>
  </si>
  <si>
    <t>="""TRUST Nav"",""HSPMTB2016"",""21"",""1"",""85254"""</t>
  </si>
  <si>
    <t>="""TRUST Nav"",""HSPMTB2016"",""21"",""1"",""85255"""</t>
  </si>
  <si>
    <t>="""TRUST Nav"",""HSPMTB2016"",""21"",""1"",""85256"""</t>
  </si>
  <si>
    <t>="""TRUST Nav"",""HSPMTB2016"",""21"",""1"",""85257"""</t>
  </si>
  <si>
    <t>="""TRUST Nav"",""HSPMTB2016"",""21"",""1"",""85258"""</t>
  </si>
  <si>
    <t>="""TRUST Nav"",""HSPMTB2016"",""21"",""1"",""3666"""</t>
  </si>
  <si>
    <t>="""TRUST Nav"",""HSPMTB2016"",""21"",""1"",""3667"""</t>
  </si>
  <si>
    <t>="""TRUST Nav"",""HSPMTB2016"",""21"",""1"",""3668"""</t>
  </si>
  <si>
    <t>="""TRUST Nav"",""HSPMTB2016"",""21"",""1"",""3669"""</t>
  </si>
  <si>
    <t>="""TRUST Nav"",""HSPMTB2016"",""21"",""1"",""3670"""</t>
  </si>
  <si>
    <t>="""TRUST Nav"",""HSPMTB2016"",""21"",""1"",""3671"""</t>
  </si>
  <si>
    <t>="""TRUST Nav"",""HSPMTB2016"",""21"",""1"",""37465"""</t>
  </si>
  <si>
    <t>="""TRUST Nav"",""HSPMTB2016"",""21"",""1"",""37466"""</t>
  </si>
  <si>
    <t>="""TRUST Nav"",""HSPMTB2016"",""21"",""1"",""37467"""</t>
  </si>
  <si>
    <t>="""TRUST Nav"",""HSPMTB2016"",""21"",""1"",""37468"""</t>
  </si>
  <si>
    <t>="""TRUST Nav"",""HSPMTB2016"",""21"",""1"",""37469"""</t>
  </si>
  <si>
    <t>="""TRUST Nav"",""HSPMTB2016"",""21"",""1"",""37470"""</t>
  </si>
  <si>
    <t>="""TRUST Nav"",""HSPMTB2016"",""21"",""1"",""3672"""</t>
  </si>
  <si>
    <t>="""TRUST Nav"",""HSPMTB2016"",""21"",""1"",""3673"""</t>
  </si>
  <si>
    <t>="""TRUST Nav"",""HSPMTB2016"",""21"",""1"",""3674"""</t>
  </si>
  <si>
    <t>="""TRUST Nav"",""HSPMTB2016"",""21"",""1"",""3675"""</t>
  </si>
  <si>
    <t>="""TRUST Nav"",""HSPMTB2016"",""21"",""1"",""3676"""</t>
  </si>
  <si>
    <t>="""TRUST Nav"",""HSPMTB2016"",""21"",""1"",""3677"""</t>
  </si>
  <si>
    <t>="""TRUST Nav"",""HSPMTB2016"",""21"",""1"",""37471"""</t>
  </si>
  <si>
    <t>="""TRUST Nav"",""HSPMTB2016"",""21"",""1"",""37472"""</t>
  </si>
  <si>
    <t>="""TRUST Nav"",""HSPMTB2016"",""21"",""1"",""37473"""</t>
  </si>
  <si>
    <t>="""TRUST Nav"",""HSPMTB2016"",""21"",""1"",""37474"""</t>
  </si>
  <si>
    <t>="""TRUST Nav"",""HSPMTB2016"",""21"",""1"",""37475"""</t>
  </si>
  <si>
    <t>="""TRUST Nav"",""HSPMTB2016"",""21"",""1"",""37476"""</t>
  </si>
  <si>
    <t>="""TRUST Nav"",""HSPMTB2016"",""21"",""1"",""73449"""</t>
  </si>
  <si>
    <t>="""TRUST Nav"",""HSPMTB2016"",""21"",""1"",""73450"""</t>
  </si>
  <si>
    <t>="""TRUST Nav"",""HSPMTB2016"",""21"",""1"",""73451"""</t>
  </si>
  <si>
    <t>="""TRUST Nav"",""HSPMTB2016"",""21"",""1"",""73452"""</t>
  </si>
  <si>
    <t>="""TRUST Nav"",""HSPMTB2016"",""21"",""1"",""73453"""</t>
  </si>
  <si>
    <t>="""TRUST Nav"",""HSPMTB2016"",""21"",""1"",""73454"""</t>
  </si>
  <si>
    <t>="""TRUST Nav"",""HSPMTB2016"",""21"",""1"",""3678"""</t>
  </si>
  <si>
    <t>="""TRUST Nav"",""HSPMTB2016"",""21"",""1"",""3679"""</t>
  </si>
  <si>
    <t>="""TRUST Nav"",""HSPMTB2016"",""21"",""1"",""3680"""</t>
  </si>
  <si>
    <t>="""TRUST Nav"",""HSPMTB2016"",""21"",""1"",""3681"""</t>
  </si>
  <si>
    <t>="""TRUST Nav"",""HSPMTB2016"",""21"",""1"",""3682"""</t>
  </si>
  <si>
    <t>="""TRUST Nav"",""HSPMTB2016"",""21"",""1"",""3683"""</t>
  </si>
  <si>
    <t>="""TRUST Nav"",""HSPMTB2016"",""21"",""1"",""37477"""</t>
  </si>
  <si>
    <t>="""TRUST Nav"",""HSPMTB2016"",""21"",""1"",""37478"""</t>
  </si>
  <si>
    <t>="""TRUST Nav"",""HSPMTB2016"",""21"",""1"",""37479"""</t>
  </si>
  <si>
    <t>="""TRUST Nav"",""HSPMTB2016"",""21"",""1"",""37480"""</t>
  </si>
  <si>
    <t>="""TRUST Nav"",""HSPMTB2016"",""21"",""1"",""37481"""</t>
  </si>
  <si>
    <t>="""TRUST Nav"",""HSPMTB2016"",""21"",""1"",""37482"""</t>
  </si>
  <si>
    <t>="""TRUST Nav"",""HSPMTB2016"",""21"",""1"",""73455"""</t>
  </si>
  <si>
    <t>="""TRUST Nav"",""HSPMTB2016"",""21"",""1"",""85259"""</t>
  </si>
  <si>
    <t>="""TRUST Nav"",""HSPMTB2016"",""21"",""1"",""122081"""</t>
  </si>
  <si>
    <t>="""TRUST Nav"",""HSPMTB2016"",""21"",""1"",""122082"""</t>
  </si>
  <si>
    <t>="""TRUST Nav"",""HSPMTB2016"",""21"",""1"",""122083"""</t>
  </si>
  <si>
    <t>="""TRUST Nav"",""HSPMTB2016"",""21"",""1"",""122084"""</t>
  </si>
  <si>
    <t>="""TRUST Nav"",""HSPMTB2016"",""21"",""1"",""3684"""</t>
  </si>
  <si>
    <t>="""TRUST Nav"",""HSPMTB2016"",""21"",""1"",""3685"""</t>
  </si>
  <si>
    <t>="""TRUST Nav"",""HSPMTB2016"",""21"",""1"",""3686"""</t>
  </si>
  <si>
    <t>="""TRUST Nav"",""HSPMTB2016"",""21"",""1"",""3687"""</t>
  </si>
  <si>
    <t>="""TRUST Nav"",""HSPMTB2016"",""21"",""1"",""3688"""</t>
  </si>
  <si>
    <t>="""TRUST Nav"",""HSPMTB2016"",""21"",""1"",""3689"""</t>
  </si>
  <si>
    <t>="""TRUST Nav"",""HSPMTB2016"",""21"",""1"",""37483"""</t>
  </si>
  <si>
    <t>="""TRUST Nav"",""HSPMTB2016"",""21"",""1"",""37484"""</t>
  </si>
  <si>
    <t>="""TRUST Nav"",""HSPMTB2016"",""21"",""1"",""37485"""</t>
  </si>
  <si>
    <t>="""TRUST Nav"",""HSPMTB2016"",""21"",""1"",""37486"""</t>
  </si>
  <si>
    <t>="""TRUST Nav"",""HSPMTB2016"",""21"",""1"",""37487"""</t>
  </si>
  <si>
    <t>="""TRUST Nav"",""HSPMTB2016"",""21"",""1"",""37488"""</t>
  </si>
  <si>
    <t>="""TRUST Nav"",""HSPMTB2016"",""21"",""1"",""85260"""</t>
  </si>
  <si>
    <t>="""TRUST Nav"",""HSPMTB2016"",""21"",""1"",""116903"""</t>
  </si>
  <si>
    <t>="""TRUST Nav"",""HSPMTB2016"",""21"",""1"",""116904"""</t>
  </si>
  <si>
    <t>="""TRUST Nav"",""HSPMTB2016"",""21"",""1"",""116905"""</t>
  </si>
  <si>
    <t>="""TRUST Nav"",""HSPMTB2016"",""21"",""1"",""116906"""</t>
  </si>
  <si>
    <t>="""TRUST Nav"",""HSPMTB2016"",""21"",""1"",""122085"""</t>
  </si>
  <si>
    <t>="""TRUST Nav"",""HSPMTB2016"",""21"",""1"",""122086"""</t>
  </si>
  <si>
    <t>="""TRUST Nav"",""HSPMTB2016"",""21"",""1"",""3690"""</t>
  </si>
  <si>
    <t>="""TRUST Nav"",""HSPMTB2016"",""21"",""1"",""3691"""</t>
  </si>
  <si>
    <t>="""TRUST Nav"",""HSPMTB2016"",""21"",""1"",""3692"""</t>
  </si>
  <si>
    <t>="""TRUST Nav"",""HSPMTB2016"",""21"",""1"",""3693"""</t>
  </si>
  <si>
    <t>="""TRUST Nav"",""HSPMTB2016"",""21"",""1"",""3694"""</t>
  </si>
  <si>
    <t>="""TRUST Nav"",""HSPMTB2016"",""21"",""1"",""3695"""</t>
  </si>
  <si>
    <t>="""TRUST Nav"",""HSPMTB2016"",""21"",""1"",""37489"""</t>
  </si>
  <si>
    <t>="""TRUST Nav"",""HSPMTB2016"",""21"",""1"",""37490"""</t>
  </si>
  <si>
    <t>="""TRUST Nav"",""HSPMTB2016"",""21"",""1"",""37491"""</t>
  </si>
  <si>
    <t>="""TRUST Nav"",""HSPMTB2016"",""21"",""1"",""37492"""</t>
  </si>
  <si>
    <t>="""TRUST Nav"",""HSPMTB2016"",""21"",""1"",""37493"""</t>
  </si>
  <si>
    <t>="""TRUST Nav"",""HSPMTB2016"",""21"",""1"",""37494"""</t>
  </si>
  <si>
    <t>="""TRUST Nav"",""HSPMTB2016"",""21"",""1"",""85261"""</t>
  </si>
  <si>
    <t>="""TRUST Nav"",""HSPMTB2016"",""21"",""1"",""85262"""</t>
  </si>
  <si>
    <t>="""TRUST Nav"",""HSPMTB2016"",""21"",""1"",""85263"""</t>
  </si>
  <si>
    <t>="""TRUST Nav"",""HSPMTB2016"",""21"",""1"",""85264"""</t>
  </si>
  <si>
    <t>="""TRUST Nav"",""HSPMTB2016"",""21"",""1"",""85265"""</t>
  </si>
  <si>
    <t>="""TRUST Nav"",""HSPMTB2016"",""21"",""1"",""85266"""</t>
  </si>
  <si>
    <t>="""TRUST Nav"",""HSPMTB2016"",""21"",""1"",""122093"""</t>
  </si>
  <si>
    <t>="""TRUST Nav"",""HSPMTB2016"",""21"",""1"",""122094"""</t>
  </si>
  <si>
    <t>="""TRUST Nav"",""HSPMTB2016"",""21"",""1"",""122095"""</t>
  </si>
  <si>
    <t>="""TRUST Nav"",""HSPMTB2016"",""21"",""1"",""3696"""</t>
  </si>
  <si>
    <t>="""TRUST Nav"",""HSPMTB2016"",""21"",""1"",""3697"""</t>
  </si>
  <si>
    <t>="""TRUST Nav"",""HSPMTB2016"",""21"",""1"",""3698"""</t>
  </si>
  <si>
    <t>="""TRUST Nav"",""HSPMTB2016"",""21"",""1"",""3699"""</t>
  </si>
  <si>
    <t>="""TRUST Nav"",""HSPMTB2016"",""21"",""1"",""3700"""</t>
  </si>
  <si>
    <t>="""TRUST Nav"",""HSPMTB2016"",""21"",""1"",""3701"""</t>
  </si>
  <si>
    <t>="""TRUST Nav"",""HSPMTB2016"",""21"",""1"",""37495"""</t>
  </si>
  <si>
    <t>="""TRUST Nav"",""HSPMTB2016"",""21"",""1"",""37496"""</t>
  </si>
  <si>
    <t>="""TRUST Nav"",""HSPMTB2016"",""21"",""1"",""37497"""</t>
  </si>
  <si>
    <t>="""TRUST Nav"",""HSPMTB2016"",""21"",""1"",""37498"""</t>
  </si>
  <si>
    <t>="""TRUST Nav"",""HSPMTB2016"",""21"",""1"",""37499"""</t>
  </si>
  <si>
    <t>="""TRUST Nav"",""HSPMTB2016"",""21"",""1"",""37500"""</t>
  </si>
  <si>
    <t>="""TRUST Nav"",""HSPMTB2016"",""21"",""1"",""73456"""</t>
  </si>
  <si>
    <t>="""TRUST Nav"",""HSPMTB2016"",""21"",""1"",""102580"""</t>
  </si>
  <si>
    <t>="""TRUST Nav"",""HSPMTB2016"",""21"",""1"",""102581"""</t>
  </si>
  <si>
    <t>="""TRUST Nav"",""HSPMTB2016"",""21"",""1"",""102582"""</t>
  </si>
  <si>
    <t>="""TRUST Nav"",""HSPMTB2016"",""21"",""1"",""3702"""</t>
  </si>
  <si>
    <t>="""TRUST Nav"",""HSPMTB2016"",""21"",""1"",""3703"""</t>
  </si>
  <si>
    <t>="""TRUST Nav"",""HSPMTB2016"",""21"",""1"",""3704"""</t>
  </si>
  <si>
    <t>="""TRUST Nav"",""HSPMTB2016"",""21"",""1"",""3705"""</t>
  </si>
  <si>
    <t>="""TRUST Nav"",""HSPMTB2016"",""21"",""1"",""3706"""</t>
  </si>
  <si>
    <t>="""TRUST Nav"",""HSPMTB2016"",""21"",""1"",""3707"""</t>
  </si>
  <si>
    <t>="""TRUST Nav"",""HSPMTB2016"",""21"",""1"",""37501"""</t>
  </si>
  <si>
    <t>="""TRUST Nav"",""HSPMTB2016"",""21"",""1"",""37502"""</t>
  </si>
  <si>
    <t>="""TRUST Nav"",""HSPMTB2016"",""21"",""1"",""37503"""</t>
  </si>
  <si>
    <t>="""TRUST Nav"",""HSPMTB2016"",""21"",""1"",""37504"""</t>
  </si>
  <si>
    <t>="""TRUST Nav"",""HSPMTB2016"",""21"",""1"",""37505"""</t>
  </si>
  <si>
    <t>="""TRUST Nav"",""HSPMTB2016"",""21"",""1"",""37506"""</t>
  </si>
  <si>
    <t>="""TRUST Nav"",""HSPMTB2016"",""21"",""1"",""73440"""</t>
  </si>
  <si>
    <t>="""TRUST Nav"",""HSPMTB2016"",""21"",""1"",""73441"""</t>
  </si>
  <si>
    <t>="""TRUST Nav"",""HSPMTB2016"",""21"",""1"",""73442"""</t>
  </si>
  <si>
    <t>="""TRUST Nav"",""HSPMTB2016"",""21"",""1"",""73443"""</t>
  </si>
  <si>
    <t>="""TRUST Nav"",""HSPMTB2016"",""21"",""1"",""122064"""</t>
  </si>
  <si>
    <t>="""TRUST Nav"",""HSPMTB2016"",""21"",""1"",""122065"""</t>
  </si>
  <si>
    <t>="""TRUST Nav"",""HSPMTB2016"",""21"",""1"",""122066"""</t>
  </si>
  <si>
    <t>="""TRUST Nav"",""HSPMTB2016"",""21"",""1"",""122067"""</t>
  </si>
  <si>
    <t>="""TRUST Nav"",""HSPMTB2016"",""21"",""1"",""122053"""</t>
  </si>
  <si>
    <t>="""TRUST Nav"",""HSPMTB2016"",""21"",""1"",""122054"""</t>
  </si>
  <si>
    <t>="""TRUST Nav"",""HSPMTB2016"",""21"",""1"",""122055"""</t>
  </si>
  <si>
    <t>="""TRUST Nav"",""HSPMTB2016"",""21"",""1"",""122056"""</t>
  </si>
  <si>
    <t>="""TRUST Nav"",""HSPMTB2016"",""21"",""1"",""122072"""</t>
  </si>
  <si>
    <t>="""TRUST Nav"",""HSPMTB2016"",""21"",""1"",""122073"""</t>
  </si>
  <si>
    <t>="""TRUST Nav"",""HSPMTB2016"",""21"",""1"",""122074"""</t>
  </si>
  <si>
    <t>="""TRUST Nav"",""HSPMTB2016"",""21"",""1"",""122075"""</t>
  </si>
  <si>
    <t>="""TRUST Nav"",""HSPMTB2016"",""21"",""1"",""122076"""</t>
  </si>
  <si>
    <t>="""TRUST Nav"",""HSPMTB2016"",""21"",""1"",""122077"""</t>
  </si>
  <si>
    <t>="""TRUST Nav"",""HSPMTB2016"",""21"",""1"",""122078"""</t>
  </si>
  <si>
    <t>="""TRUST Nav"",""HSPMTB2016"",""21"",""1"",""122079"""</t>
  </si>
  <si>
    <t>="""TRUST Nav"",""HSPMTB2016"",""21"",""1"",""122080"""</t>
  </si>
  <si>
    <t>="""TRUST Nav"",""HSPMTB2016"",""21"",""1"",""129726"""</t>
  </si>
  <si>
    <t>="""TRUST Nav"",""HSPMTB2016"",""21"",""1"",""129727"""</t>
  </si>
  <si>
    <t>="""TRUST Nav"",""HSPMTB2016"",""21"",""1"",""129728"""</t>
  </si>
  <si>
    <t>="""TRUST Nav"",""HSPMTB2016"",""21"",""1"",""129729"""</t>
  </si>
  <si>
    <t>="""TRUST Nav"",""HSPMTB2016"",""21"",""1"",""129730"""</t>
  </si>
  <si>
    <t>="""TRUST Nav"",""HSPMTB2016"",""21"",""1"",""129731"""</t>
  </si>
  <si>
    <t>="""TRUST Nav"",""HSPMTB2016"",""21"",""1"",""129732"""</t>
  </si>
  <si>
    <t>="""TRUST Nav"",""HSPMTB2016"",""21"",""1"",""129733"""</t>
  </si>
  <si>
    <t>="""TRUST Nav"",""HSPMTB2016"",""21"",""1"",""129734"""</t>
  </si>
  <si>
    <t>="""TRUST Nav"",""HSPMTB2016"",""21"",""1"",""129735"""</t>
  </si>
  <si>
    <t>="""TRUST Nav"",""HSPMTB2016"",""21"",""1"",""129736"""</t>
  </si>
  <si>
    <t>="""TRUST Nav"",""HSPMTB2016"",""21"",""1"",""129737"""</t>
  </si>
  <si>
    <t>="""TRUST Nav"",""HSPMTB2016"",""21"",""1"",""122087"""</t>
  </si>
  <si>
    <t>="""TRUST Nav"",""HSPMTB2016"",""21"",""1"",""122088"""</t>
  </si>
  <si>
    <t>="""TRUST Nav"",""HSPMTB2016"",""21"",""1"",""122089"""</t>
  </si>
  <si>
    <t>="""TRUST Nav"",""HSPMTB2016"",""21"",""1"",""122090"""</t>
  </si>
  <si>
    <t>="""TRUST Nav"",""HSPMTB2016"",""21"",""1"",""122091"""</t>
  </si>
  <si>
    <t>="""TRUST Nav"",""HSPMTB2016"",""21"",""1"",""122092"""</t>
  </si>
  <si>
    <t>Auto+Hide+HideSheet+Formulas=Sheet30,Sheet15,Sheet16+FormulasOnly</t>
  </si>
  <si>
    <t>Auto+Hide+Formulas=Sheet31,Sheet17,Sheet18</t>
  </si>
  <si>
    <t>Auto+Hide+Formulas=Sheet31,Sheet17,Sheet18+FormulasOnly</t>
  </si>
  <si>
    <t>Auto+Hide+Formulas=Sheet32,Sheet19,Sheet20</t>
  </si>
  <si>
    <t>=INDEX(DanaSehat!$K$13:$K$56,MATCH($D$6,DanaSehat!$L$13:$L$56,0))</t>
  </si>
  <si>
    <t>=SUMIFS(IuranDSSebelumnya!$N$330:$N$772,IuranDSSebelumnya!$J$330:$J$772,$E$6,IuranDSSebelumnya!$M$330:$M$772,$C9)</t>
  </si>
  <si>
    <t>=SUMIFS(IuranSYSebelumnya!$N$330:$N$772,IuranSYSebelumnya!$J$330:$J$772,$E$6,IuranSYSebelumnya!$M$330:$M$772,$C9)</t>
  </si>
  <si>
    <t>=SUMIFS(IuranDSSebelumnya!$N$330:$N$772,IuranDSSebelumnya!$J$330:$J$772,$E$6,IuranDSSebelumnya!$M$330:$M$772,$C10)</t>
  </si>
  <si>
    <t>=SUMIFS(IuranSYSebelumnya!$N$330:$N$772,IuranSYSebelumnya!$J$330:$J$772,$E$6,IuranSYSebelumnya!$M$330:$M$772,$C10)</t>
  </si>
  <si>
    <t>=SUMIFS(IuranDSSebelumnya!$N$330:$N$772,IuranDSSebelumnya!$J$330:$J$772,$E$6,IuranDSSebelumnya!$M$330:$M$772,$C11)</t>
  </si>
  <si>
    <t>=SUMIFS(IuranSYSebelumnya!$N$330:$N$772,IuranSYSebelumnya!$J$330:$J$772,$E$6,IuranSYSebelumnya!$M$330:$M$772,$C11)</t>
  </si>
  <si>
    <t>=SUMIFS(IuranDSSebelumnya!$N$330:$N$772,IuranDSSebelumnya!$J$330:$J$772,$E$6,IuranDSSebelumnya!$M$330:$M$772,$C12)</t>
  </si>
  <si>
    <t>=SUMIFS(IuranSYSebelumnya!$N$330:$N$772,IuranSYSebelumnya!$J$330:$J$772,$E$6,IuranSYSebelumnya!$M$330:$M$772,$C12)</t>
  </si>
  <si>
    <t>=SUMIFS(IuranDSSebelumnya!$N$330:$N$772,IuranDSSebelumnya!$J$330:$J$772,$E$6,IuranDSSebelumnya!$M$330:$M$772,$C13)</t>
  </si>
  <si>
    <t>=SUMIFS(IuranSYSebelumnya!$N$330:$N$772,IuranSYSebelumnya!$J$330:$J$772,$E$6,IuranSYSebelumnya!$M$330:$M$772,$C13)</t>
  </si>
  <si>
    <t>=SUMIFS(IuranDSSebelumnya!$N$330:$N$772,IuranDSSebelumnya!$J$330:$J$772,$E$6,IuranDSSebelumnya!$M$330:$M$772,$C14)</t>
  </si>
  <si>
    <t>=SUMIFS(IuranSYSebelumnya!$N$330:$N$772,IuranSYSebelumnya!$J$330:$J$772,$E$6,IuranSYSebelumnya!$M$330:$M$772,$C14)</t>
  </si>
  <si>
    <t>=SUMIFS(IuranDSSebelumnya!$N$330:$N$772,IuranDSSebelumnya!$J$330:$J$772,$E$6,IuranDSSebelumnya!$M$330:$M$772,$C15)</t>
  </si>
  <si>
    <t>=SUMIFS(IuranSYSebelumnya!$N$330:$N$772,IuranSYSebelumnya!$J$330:$J$772,$E$6,IuranSYSebelumnya!$M$330:$M$772,$C15)</t>
  </si>
  <si>
    <t>=SUMIFS(IuranDSSebelumnya!$N$330:$N$772,IuranDSSebelumnya!$J$330:$J$772,$E$6,IuranDSSebelumnya!$M$330:$M$772,$C16)</t>
  </si>
  <si>
    <t>=SUMIFS(IuranSYSebelumnya!$N$330:$N$772,IuranSYSebelumnya!$J$330:$J$772,$E$6,IuranSYSebelumnya!$M$330:$M$772,$C16)</t>
  </si>
  <si>
    <t>=SUMIFS(IuranDSSebelumnya!$N$330:$N$772,IuranDSSebelumnya!$J$330:$J$772,$E$6,IuranDSSebelumnya!$M$330:$M$772,$C17)</t>
  </si>
  <si>
    <t>=SUMIFS(IuranSYSebelumnya!$N$330:$N$772,IuranSYSebelumnya!$J$330:$J$772,$E$6,IuranSYSebelumnya!$M$330:$M$772,$C17)</t>
  </si>
  <si>
    <t>=SUMIFS(IuranDSSebelumnya!$N$330:$N$772,IuranDSSebelumnya!$J$330:$J$772,$E$6,IuranDSSebelumnya!$M$330:$M$772,$C18)</t>
  </si>
  <si>
    <t>=SUMIFS(IuranSYSebelumnya!$N$330:$N$772,IuranSYSebelumnya!$J$330:$J$772,$E$6,IuranSYSebelumnya!$M$330:$M$772,$C18)</t>
  </si>
  <si>
    <t>=SUMIFS(IuranDSSebelumnya!$N$330:$N$772,IuranDSSebelumnya!$J$330:$J$772,$E$6,IuranDSSebelumnya!$M$330:$M$772,$C19)</t>
  </si>
  <si>
    <t>=SUMIFS(IuranSYSebelumnya!$N$330:$N$772,IuranSYSebelumnya!$J$330:$J$772,$E$6,IuranSYSebelumnya!$M$330:$M$772,$C19)</t>
  </si>
  <si>
    <t>=SUMIFS(IuranDSSebelumnya!$N$330:$N$772,IuranDSSebelumnya!$J$330:$J$772,$E$6,IuranDSSebelumnya!$M$330:$M$772,$C20)</t>
  </si>
  <si>
    <t>=SUMIFS(IuranSYSebelumnya!$N$330:$N$772,IuranSYSebelumnya!$J$330:$J$772,$E$6,IuranSYSebelumnya!$M$330:$M$772,$C20)</t>
  </si>
  <si>
    <t>=SUMIFS(IuranDSSebelumnya!$N$330:$N$772,IuranDSSebelumnya!$J$330:$J$772,$E$6,IuranDSSebelumnya!$M$330:$M$772,$C21)</t>
  </si>
  <si>
    <t>=SUMIFS(IuranSYSebelumnya!$N$330:$N$772,IuranSYSebelumnya!$J$330:$J$772,$E$6,IuranSYSebelumnya!$M$330:$M$772,$C21)</t>
  </si>
  <si>
    <t>=SUMIFS(IuranDSSebelumnya!$N$330:$N$772,IuranDSSebelumnya!$J$330:$J$772,$E$6,IuranDSSebelumnya!$M$330:$M$772,$C22)</t>
  </si>
  <si>
    <t>=SUMIFS(IuranSYSebelumnya!$N$330:$N$772,IuranSYSebelumnya!$J$330:$J$772,$E$6,IuranSYSebelumnya!$M$330:$M$772,$C22)</t>
  </si>
  <si>
    <t>=SUMIFS(IuranDSSebelumnya!$N$330:$N$772,IuranDSSebelumnya!$J$330:$J$772,$E$6,IuranDSSebelumnya!$M$330:$M$772,$C23)</t>
  </si>
  <si>
    <t>=SUMIFS(IuranSYSebelumnya!$N$330:$N$772,IuranSYSebelumnya!$J$330:$J$772,$E$6,IuranSYSebelumnya!$M$330:$M$772,$C23)</t>
  </si>
  <si>
    <t>=SUMIFS(IuranDSSebelumnya!$N$330:$N$772,IuranDSSebelumnya!$J$330:$J$772,$E$6,IuranDSSebelumnya!$M$330:$M$772,$C24)</t>
  </si>
  <si>
    <t>=SUMIFS(IuranSYSebelumnya!$N$330:$N$772,IuranSYSebelumnya!$J$330:$J$772,$E$6,IuranSYSebelumnya!$M$330:$M$772,$C24)</t>
  </si>
  <si>
    <t>=SUMIFS(IuranDSSebelumnya!$N$330:$N$772,IuranDSSebelumnya!$J$330:$J$772,$E$6,IuranDSSebelumnya!$M$330:$M$772,$C25)</t>
  </si>
  <si>
    <t>=SUMIFS(IuranSYSebelumnya!$N$330:$N$772,IuranSYSebelumnya!$J$330:$J$772,$E$6,IuranSYSebelumnya!$M$330:$M$772,$C25)</t>
  </si>
  <si>
    <t>=SUMIFS(IuranDSSebelumnya!$N$330:$N$772,IuranDSSebelumnya!$J$330:$J$772,$E$6,IuranDSSebelumnya!$M$330:$M$772,$C26)</t>
  </si>
  <si>
    <t>=SUMIFS(IuranSYSebelumnya!$N$330:$N$772,IuranSYSebelumnya!$J$330:$J$772,$E$6,IuranSYSebelumnya!$M$330:$M$772,$C26)</t>
  </si>
  <si>
    <t>=SUMIFS(IuranDSSebelumnya!$N$330:$N$772,IuranDSSebelumnya!$J$330:$J$772,$E$6,IuranDSSebelumnya!$M$330:$M$772,$C27)</t>
  </si>
  <si>
    <t>=SUMIFS(IuranSYSebelumnya!$N$330:$N$772,IuranSYSebelumnya!$J$330:$J$772,$E$6,IuranSYSebelumnya!$M$330:$M$772,$C27)</t>
  </si>
  <si>
    <t>=SUMIFS(IuranDSSebelumnya!$N$330:$N$772,IuranDSSebelumnya!$J$330:$J$772,$E$6,IuranDSSebelumnya!$M$330:$M$772,$C28)</t>
  </si>
  <si>
    <t>=SUMIFS(IuranSYSebelumnya!$N$330:$N$772,IuranSYSebelumnya!$J$330:$J$772,$E$6,IuranSYSebelumnya!$M$330:$M$772,$C28)</t>
  </si>
  <si>
    <t>=SUMIFS(IuranDSSebelumnya!$N$330:$N$772,IuranDSSebelumnya!$J$330:$J$772,$E$6,IuranDSSebelumnya!$M$330:$M$772,$C29)</t>
  </si>
  <si>
    <t>=SUMIFS(IuranSYSebelumnya!$N$330:$N$772,IuranSYSebelumnya!$J$330:$J$772,$E$6,IuranSYSebelumnya!$M$330:$M$772,$C29)</t>
  </si>
  <si>
    <t>=SUMIFS(IuranDSSebelumnya!$N$330:$N$772,IuranDSSebelumnya!$J$330:$J$772,$E$6,IuranDSSebelumnya!$M$330:$M$772,$C30)</t>
  </si>
  <si>
    <t>=SUMIFS(IuranSYSebelumnya!$N$330:$N$772,IuranSYSebelumnya!$J$330:$J$772,$E$6,IuranSYSebelumnya!$M$330:$M$772,$C30)</t>
  </si>
  <si>
    <t>=SUMIFS(IuranDSSebelumnya!$N$330:$N$772,IuranDSSebelumnya!$J$330:$J$772,$E$6,IuranDSSebelumnya!$M$330:$M$772,$C31)</t>
  </si>
  <si>
    <t>=SUMIFS(IuranSYSebelumnya!$N$330:$N$772,IuranSYSebelumnya!$J$330:$J$772,$E$6,IuranSYSebelumnya!$M$330:$M$772,$C31)</t>
  </si>
  <si>
    <t>=SUMIFS(IuranDSSebelumnya!$N$330:$N$772,IuranDSSebelumnya!$J$330:$J$772,$E$6,IuranDSSebelumnya!$M$330:$M$772,$C32)</t>
  </si>
  <si>
    <t>=SUMIFS(IuranSYSebelumnya!$N$330:$N$772,IuranSYSebelumnya!$J$330:$J$772,$E$6,IuranSYSebelumnya!$M$330:$M$772,$C32)</t>
  </si>
  <si>
    <t>Auto+Hide+Formulas=Sheet32,Sheet19,Sheet20+FormulasOnly</t>
  </si>
  <si>
    <t>Auto+Hide+Lock+Formulas=Sheet33,Sheet21,Sheet22</t>
  </si>
  <si>
    <t>Auto+Hide+Lock+Formulas=Sheet33,Sheet21,Sheet22+FormulasOnly</t>
  </si>
  <si>
    <t>Andreas Rasul</t>
  </si>
  <si>
    <t>TRT-80-10</t>
  </si>
  <si>
    <t>KPS-10-10</t>
  </si>
  <si>
    <t>"TRUST Nav","HSPMTB2016","18","1","KK-04598"</t>
  </si>
  <si>
    <t>7/1/2015..10/21/2016</t>
  </si>
  <si>
    <t>||"Filter","Customer","No.","Departemen Code","TRT-80-10","No.","KK*","Name","*","","","","","","","","","","","","","",""</t>
  </si>
  <si>
    <t/>
  </si>
  <si>
    <t>Arief Wibawa</t>
  </si>
  <si>
    <t>Alex Sudytio</t>
  </si>
  <si>
    <t>Bernardus Yogie Dirga Gunawan</t>
  </si>
  <si>
    <t>Boen Yoen Tet (Teddy)</t>
  </si>
  <si>
    <t>Budiarto</t>
  </si>
  <si>
    <t>Handoyo Krismanto</t>
  </si>
  <si>
    <t>Hendra Kurniawan</t>
  </si>
  <si>
    <t>Hendro Hartono</t>
  </si>
  <si>
    <t>Heru Prawono</t>
  </si>
  <si>
    <t>Jofenwali</t>
  </si>
  <si>
    <t>Leonardus Tjhin Tje Ming</t>
  </si>
  <si>
    <t>Lie Bui Tjung</t>
  </si>
  <si>
    <t>Ignatius Yanto Hardoyo</t>
  </si>
  <si>
    <t>Purnama Tanuseputra</t>
  </si>
  <si>
    <t>Rudolf Hendricus Poluan</t>
  </si>
  <si>
    <t>Sandy Wijaya</t>
  </si>
  <si>
    <t>Stefanus Tudy Luchman</t>
  </si>
  <si>
    <t>Tommy Prasetyo Utomo</t>
  </si>
  <si>
    <t xml:space="preserve">Tri Saptono Vinsentius </t>
  </si>
  <si>
    <t>Yohanes Hendy Setiawan</t>
  </si>
  <si>
    <t>Yunius Samara</t>
  </si>
  <si>
    <t>Hadi Suwana</t>
  </si>
  <si>
    <t>Edward</t>
  </si>
  <si>
    <t>Alfonsus Denny Martaguna</t>
  </si>
  <si>
    <t>Julius Margono Teguh Nugroho</t>
  </si>
  <si>
    <t>Yandi Setiawan</t>
  </si>
  <si>
    <t>Pieter Hiu Stanley Setiono</t>
  </si>
  <si>
    <t>"TRUST Nav","HSPMTB2016","17","1","37239"</t>
  </si>
  <si>
    <t>"TRUST Nav","HSPMTB2016","21","1","3441"</t>
  </si>
  <si>
    <t>KPS-10-05</t>
  </si>
  <si>
    <t>"TRUST Nav","HSPMTB2016","17","1","37373"</t>
  </si>
  <si>
    <t>"TRUST Nav","HSPMTB2016","21","1","3575"</t>
  </si>
  <si>
    <t>G/L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</si>
</sst>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_);_(* \(#,##0\);_(* \-_);_(@_)"/>
    <numFmt numFmtId="165" formatCode="[$-409]mmm\-yy;@"/>
    <numFmt numFmtId="166" formatCode="[$-409]d\-mmm\-yy;@"/>
  </numFmts>
  <fonts count="36" x14ac:knownFonts="1">
    <font>
      <sz val="11"/>
      <color theme="1"/>
      <name val="Calibri"/>
      <family val="2"/>
      <scheme val="minor"/>
    </font>
    <font>
      <b/>
      <sz val="11"/>
      <color theme="1"/>
      <name val="Calibri"/>
      <family val="2"/>
      <scheme val="minor"/>
    </font>
    <font>
      <b/>
      <sz val="14"/>
      <color theme="1"/>
      <name val="Calibri"/>
      <family val="2"/>
      <scheme val="minor"/>
    </font>
    <font>
      <sz val="10"/>
      <name val="Arial"/>
      <family val="2"/>
    </font>
    <font>
      <sz val="11"/>
      <color indexed="8"/>
      <name val="Calibri"/>
      <family val="2"/>
      <charset val="1"/>
    </font>
    <font>
      <sz val="11"/>
      <color theme="1"/>
      <name val="Calibri"/>
      <family val="2"/>
      <charset val="1"/>
      <scheme val="minor"/>
    </font>
    <font>
      <b/>
      <sz val="16"/>
      <color theme="1"/>
      <name val="Calibri"/>
      <family val="2"/>
      <scheme val="minor"/>
    </font>
    <font>
      <sz val="16"/>
      <color theme="1"/>
      <name val="Bernard MT Condensed"/>
      <family val="1"/>
    </font>
    <font>
      <sz val="12"/>
      <color theme="1"/>
      <name val="Calibri"/>
      <family val="2"/>
      <charset val="1"/>
      <scheme val="minor"/>
    </font>
    <font>
      <sz val="12"/>
      <name val="Calibri"/>
      <family val="2"/>
      <charset val="1"/>
      <scheme val="minor"/>
    </font>
    <font>
      <sz val="11"/>
      <color rgb="FFFF0000"/>
      <name val="Calibri"/>
      <family val="2"/>
      <scheme val="minor"/>
    </font>
    <font>
      <b/>
      <sz val="18"/>
      <color theme="1"/>
      <name val="Calibri"/>
      <family val="2"/>
      <scheme val="minor"/>
    </font>
    <font>
      <sz val="14"/>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name val="Arial"/>
      <family val="2"/>
    </font>
    <font>
      <sz val="8"/>
      <color theme="1"/>
      <name val="Calibri"/>
      <family val="2"/>
      <scheme val="minor"/>
    </font>
    <font>
      <b/>
      <sz val="8"/>
      <color theme="1"/>
      <name val="Calibri"/>
      <family val="2"/>
      <scheme val="minor"/>
    </font>
    <font>
      <b/>
      <sz val="12"/>
      <color theme="1"/>
      <name val="Calibri"/>
      <family val="2"/>
      <scheme val="minor"/>
    </font>
    <font>
      <sz val="12"/>
      <color theme="1"/>
      <name val="Calibri"/>
      <family val="2"/>
      <scheme val="minor"/>
    </font>
    <font>
      <b/>
      <sz val="16"/>
      <color rgb="FFFF0000"/>
      <name val="Calibri"/>
      <family val="2"/>
      <scheme val="minor"/>
    </font>
    <font>
      <b/>
      <sz val="12"/>
      <color rgb="FFFF0000"/>
      <name val="Calibri"/>
      <family val="2"/>
      <scheme val="minor"/>
    </font>
    <font>
      <sz val="8"/>
      <color theme="1"/>
      <name val="Calibri"/>
      <family val="2"/>
      <charset val="1"/>
      <scheme val="minor"/>
    </font>
  </fonts>
  <fills count="4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rgb="FFFFC000"/>
        <bgColor indexed="64"/>
      </patternFill>
    </fill>
    <fill>
      <patternFill patternType="solid">
        <fgColor theme="1"/>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theme="5" tint="0.59999389629810485"/>
        <bgColor indexed="64"/>
      </patternFill>
    </fill>
    <fill>
      <patternFill patternType="solid">
        <fgColor theme="7"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s>
  <cellStyleXfs count="48">
    <xf numFmtId="165" fontId="0" fillId="0" borderId="0"/>
    <xf numFmtId="165" fontId="3" fillId="0" borderId="0"/>
    <xf numFmtId="164" fontId="4" fillId="0" borderId="0"/>
    <xf numFmtId="165" fontId="4" fillId="0" borderId="0"/>
    <xf numFmtId="165" fontId="5" fillId="0" borderId="0"/>
    <xf numFmtId="165" fontId="14" fillId="0" borderId="0" applyNumberFormat="0" applyFill="0" applyBorder="0" applyAlignment="0" applyProtection="0"/>
    <xf numFmtId="165" fontId="15" fillId="0" borderId="7" applyNumberFormat="0" applyFill="0" applyAlignment="0" applyProtection="0"/>
    <xf numFmtId="165" fontId="16" fillId="0" borderId="8" applyNumberFormat="0" applyFill="0" applyAlignment="0" applyProtection="0"/>
    <xf numFmtId="165" fontId="17" fillId="0" borderId="9" applyNumberFormat="0" applyFill="0" applyAlignment="0" applyProtection="0"/>
    <xf numFmtId="165" fontId="17" fillId="0" borderId="0" applyNumberFormat="0" applyFill="0" applyBorder="0" applyAlignment="0" applyProtection="0"/>
    <xf numFmtId="165" fontId="18" fillId="7" borderId="0" applyNumberFormat="0" applyBorder="0" applyAlignment="0" applyProtection="0"/>
    <xf numFmtId="165" fontId="19" fillId="8" borderId="0" applyNumberFormat="0" applyBorder="0" applyAlignment="0" applyProtection="0"/>
    <xf numFmtId="165" fontId="20" fillId="9" borderId="0" applyNumberFormat="0" applyBorder="0" applyAlignment="0" applyProtection="0"/>
    <xf numFmtId="165" fontId="21" fillId="10" borderId="10" applyNumberFormat="0" applyAlignment="0" applyProtection="0"/>
    <xf numFmtId="165" fontId="22" fillId="11" borderId="11" applyNumberFormat="0" applyAlignment="0" applyProtection="0"/>
    <xf numFmtId="165" fontId="23" fillId="11" borderId="10" applyNumberFormat="0" applyAlignment="0" applyProtection="0"/>
    <xf numFmtId="165" fontId="24" fillId="0" borderId="12" applyNumberFormat="0" applyFill="0" applyAlignment="0" applyProtection="0"/>
    <xf numFmtId="165" fontId="25" fillId="12" borderId="13" applyNumberFormat="0" applyAlignment="0" applyProtection="0"/>
    <xf numFmtId="165" fontId="10" fillId="0" borderId="0" applyNumberFormat="0" applyFill="0" applyBorder="0" applyAlignment="0" applyProtection="0"/>
    <xf numFmtId="165" fontId="13" fillId="13" borderId="14" applyNumberFormat="0" applyFont="0" applyAlignment="0" applyProtection="0"/>
    <xf numFmtId="165" fontId="26" fillId="0" borderId="0" applyNumberFormat="0" applyFill="0" applyBorder="0" applyAlignment="0" applyProtection="0"/>
    <xf numFmtId="165" fontId="1" fillId="0" borderId="15" applyNumberFormat="0" applyFill="0" applyAlignment="0" applyProtection="0"/>
    <xf numFmtId="165" fontId="27" fillId="14" borderId="0" applyNumberFormat="0" applyBorder="0" applyAlignment="0" applyProtection="0"/>
    <xf numFmtId="165" fontId="13" fillId="15" borderId="0" applyNumberFormat="0" applyBorder="0" applyAlignment="0" applyProtection="0"/>
    <xf numFmtId="165" fontId="13" fillId="16" borderId="0" applyNumberFormat="0" applyBorder="0" applyAlignment="0" applyProtection="0"/>
    <xf numFmtId="165" fontId="27" fillId="17" borderId="0" applyNumberFormat="0" applyBorder="0" applyAlignment="0" applyProtection="0"/>
    <xf numFmtId="165" fontId="27" fillId="18" borderId="0" applyNumberFormat="0" applyBorder="0" applyAlignment="0" applyProtection="0"/>
    <xf numFmtId="165" fontId="13" fillId="19" borderId="0" applyNumberFormat="0" applyBorder="0" applyAlignment="0" applyProtection="0"/>
    <xf numFmtId="165" fontId="13" fillId="20" borderId="0" applyNumberFormat="0" applyBorder="0" applyAlignment="0" applyProtection="0"/>
    <xf numFmtId="165" fontId="27" fillId="21" borderId="0" applyNumberFormat="0" applyBorder="0" applyAlignment="0" applyProtection="0"/>
    <xf numFmtId="165" fontId="27" fillId="22" borderId="0" applyNumberFormat="0" applyBorder="0" applyAlignment="0" applyProtection="0"/>
    <xf numFmtId="165" fontId="13" fillId="23" borderId="0" applyNumberFormat="0" applyBorder="0" applyAlignment="0" applyProtection="0"/>
    <xf numFmtId="165" fontId="13" fillId="24" borderId="0" applyNumberFormat="0" applyBorder="0" applyAlignment="0" applyProtection="0"/>
    <xf numFmtId="165" fontId="27" fillId="25" borderId="0" applyNumberFormat="0" applyBorder="0" applyAlignment="0" applyProtection="0"/>
    <xf numFmtId="165" fontId="27" fillId="26" borderId="0" applyNumberFormat="0" applyBorder="0" applyAlignment="0" applyProtection="0"/>
    <xf numFmtId="165" fontId="13" fillId="27" borderId="0" applyNumberFormat="0" applyBorder="0" applyAlignment="0" applyProtection="0"/>
    <xf numFmtId="165" fontId="13" fillId="28" borderId="0" applyNumberFormat="0" applyBorder="0" applyAlignment="0" applyProtection="0"/>
    <xf numFmtId="165" fontId="27" fillId="29" borderId="0" applyNumberFormat="0" applyBorder="0" applyAlignment="0" applyProtection="0"/>
    <xf numFmtId="165" fontId="27" fillId="30" borderId="0" applyNumberFormat="0" applyBorder="0" applyAlignment="0" applyProtection="0"/>
    <xf numFmtId="165" fontId="13" fillId="31" borderId="0" applyNumberFormat="0" applyBorder="0" applyAlignment="0" applyProtection="0"/>
    <xf numFmtId="165" fontId="13" fillId="32" borderId="0" applyNumberFormat="0" applyBorder="0" applyAlignment="0" applyProtection="0"/>
    <xf numFmtId="165" fontId="27" fillId="33" borderId="0" applyNumberFormat="0" applyBorder="0" applyAlignment="0" applyProtection="0"/>
    <xf numFmtId="165" fontId="27" fillId="34" borderId="0" applyNumberFormat="0" applyBorder="0" applyAlignment="0" applyProtection="0"/>
    <xf numFmtId="165" fontId="13" fillId="35" borderId="0" applyNumberFormat="0" applyBorder="0" applyAlignment="0" applyProtection="0"/>
    <xf numFmtId="165" fontId="13" fillId="36" borderId="0" applyNumberFormat="0" applyBorder="0" applyAlignment="0" applyProtection="0"/>
    <xf numFmtId="165" fontId="27" fillId="37" borderId="0" applyNumberFormat="0" applyBorder="0" applyAlignment="0" applyProtection="0"/>
    <xf numFmtId="165" fontId="28" fillId="0" borderId="0"/>
    <xf numFmtId="165" fontId="3" fillId="0" borderId="0"/>
  </cellStyleXfs>
  <cellXfs count="155">
    <xf numFmtId="165" fontId="0" fillId="0" borderId="0" xfId="0"/>
    <xf numFmtId="3" fontId="0" fillId="0" borderId="0" xfId="0" applyNumberFormat="1"/>
    <xf numFmtId="3" fontId="0" fillId="0" borderId="1" xfId="0" applyNumberFormat="1" applyBorder="1"/>
    <xf numFmtId="3" fontId="0" fillId="4" borderId="1" xfId="0" applyNumberFormat="1" applyFill="1" applyBorder="1" applyProtection="1">
      <protection locked="0"/>
    </xf>
    <xf numFmtId="3" fontId="0" fillId="2" borderId="1" xfId="0" applyNumberFormat="1" applyFill="1" applyBorder="1" applyProtection="1">
      <protection locked="0"/>
    </xf>
    <xf numFmtId="165" fontId="1" fillId="3" borderId="1" xfId="0" applyNumberFormat="1" applyFont="1" applyFill="1" applyBorder="1" applyAlignment="1" applyProtection="1">
      <alignment horizontal="center"/>
    </xf>
    <xf numFmtId="165" fontId="1" fillId="3" borderId="3" xfId="0" applyNumberFormat="1" applyFont="1" applyFill="1" applyBorder="1" applyAlignment="1" applyProtection="1">
      <alignment horizontal="center"/>
    </xf>
    <xf numFmtId="3" fontId="1" fillId="0" borderId="1" xfId="0" applyNumberFormat="1" applyFont="1" applyFill="1" applyBorder="1" applyAlignment="1" applyProtection="1"/>
    <xf numFmtId="3" fontId="1" fillId="0" borderId="2" xfId="0" applyNumberFormat="1" applyFont="1" applyBorder="1" applyProtection="1"/>
    <xf numFmtId="3" fontId="0" fillId="0" borderId="1" xfId="0" applyNumberFormat="1" applyBorder="1" applyProtection="1"/>
    <xf numFmtId="3" fontId="1" fillId="0" borderId="2" xfId="0" applyNumberFormat="1" applyFont="1" applyFill="1" applyBorder="1" applyAlignment="1" applyProtection="1"/>
    <xf numFmtId="3" fontId="0" fillId="2" borderId="2" xfId="0" applyNumberFormat="1" applyFill="1" applyBorder="1" applyProtection="1">
      <protection locked="0"/>
    </xf>
    <xf numFmtId="3" fontId="1" fillId="0" borderId="3" xfId="0" applyNumberFormat="1" applyFont="1" applyFill="1" applyBorder="1" applyAlignment="1" applyProtection="1"/>
    <xf numFmtId="3" fontId="1" fillId="0" borderId="16" xfId="0" applyNumberFormat="1" applyFont="1" applyFill="1" applyBorder="1" applyAlignment="1" applyProtection="1"/>
    <xf numFmtId="165" fontId="1" fillId="3" borderId="4" xfId="0" applyNumberFormat="1" applyFont="1" applyFill="1" applyBorder="1" applyAlignment="1" applyProtection="1">
      <alignment horizontal="center"/>
    </xf>
    <xf numFmtId="3" fontId="0" fillId="2" borderId="5" xfId="0" applyNumberFormat="1" applyFill="1" applyBorder="1" applyProtection="1">
      <protection locked="0"/>
    </xf>
    <xf numFmtId="3" fontId="1" fillId="0" borderId="1" xfId="0" applyNumberFormat="1" applyFont="1" applyBorder="1" applyProtection="1"/>
    <xf numFmtId="3" fontId="30" fillId="0" borderId="0" xfId="0" applyNumberFormat="1" applyFont="1" applyFill="1" applyBorder="1"/>
    <xf numFmtId="3" fontId="29" fillId="0" borderId="0" xfId="0" applyNumberFormat="1" applyFont="1" applyFill="1" applyBorder="1"/>
    <xf numFmtId="165" fontId="0" fillId="0" borderId="1" xfId="0" applyNumberFormat="1" applyBorder="1"/>
    <xf numFmtId="165" fontId="0" fillId="0" borderId="1" xfId="0" applyNumberFormat="1" applyFill="1" applyBorder="1"/>
    <xf numFmtId="3" fontId="0" fillId="0" borderId="1" xfId="0" applyNumberFormat="1" applyFill="1" applyBorder="1"/>
    <xf numFmtId="165" fontId="0" fillId="0" borderId="5" xfId="0" applyNumberFormat="1" applyFill="1" applyBorder="1"/>
    <xf numFmtId="3" fontId="0" fillId="0" borderId="5" xfId="0" applyNumberFormat="1" applyFill="1" applyBorder="1"/>
    <xf numFmtId="165" fontId="0" fillId="0" borderId="20" xfId="0" applyNumberFormat="1" applyFill="1" applyBorder="1"/>
    <xf numFmtId="3" fontId="0" fillId="0" borderId="20" xfId="0" applyNumberFormat="1" applyFill="1" applyBorder="1"/>
    <xf numFmtId="165" fontId="0" fillId="0" borderId="5" xfId="0" applyNumberFormat="1" applyBorder="1"/>
    <xf numFmtId="165" fontId="0" fillId="0" borderId="20" xfId="0" applyNumberFormat="1" applyBorder="1"/>
    <xf numFmtId="165" fontId="0" fillId="0" borderId="0" xfId="0" applyNumberFormat="1"/>
    <xf numFmtId="165" fontId="1" fillId="3" borderId="2" xfId="0" applyNumberFormat="1" applyFont="1" applyFill="1" applyBorder="1" applyAlignment="1" applyProtection="1">
      <alignment horizontal="center"/>
    </xf>
    <xf numFmtId="0" fontId="0" fillId="0" borderId="1" xfId="0" applyNumberFormat="1" applyBorder="1" applyProtection="1"/>
    <xf numFmtId="0" fontId="0" fillId="0" borderId="5" xfId="0" applyNumberFormat="1" applyBorder="1" applyProtection="1"/>
    <xf numFmtId="0" fontId="0" fillId="0" borderId="0" xfId="0" applyNumberFormat="1" applyProtection="1"/>
    <xf numFmtId="0" fontId="0" fillId="5" borderId="0" xfId="0" applyNumberFormat="1" applyFill="1" applyProtection="1"/>
    <xf numFmtId="0" fontId="12" fillId="0" borderId="0" xfId="0" applyNumberFormat="1" applyFont="1" applyProtection="1"/>
    <xf numFmtId="0" fontId="11" fillId="0" borderId="0" xfId="0" applyNumberFormat="1" applyFont="1" applyProtection="1"/>
    <xf numFmtId="0" fontId="0" fillId="0" borderId="0" xfId="0" applyNumberFormat="1" applyBorder="1" applyProtection="1"/>
    <xf numFmtId="0" fontId="0" fillId="38" borderId="0" xfId="0" applyNumberFormat="1" applyFill="1" applyProtection="1"/>
    <xf numFmtId="0" fontId="0" fillId="0" borderId="0" xfId="0" quotePrefix="1" applyNumberFormat="1" applyProtection="1"/>
    <xf numFmtId="0" fontId="1" fillId="3" borderId="1" xfId="0" applyNumberFormat="1" applyFont="1" applyFill="1" applyBorder="1" applyAlignment="1" applyProtection="1">
      <alignment wrapText="1"/>
    </xf>
    <xf numFmtId="0" fontId="0" fillId="39" borderId="0" xfId="0" applyNumberFormat="1" applyFill="1" applyProtection="1"/>
    <xf numFmtId="0" fontId="0" fillId="0" borderId="3" xfId="0" applyNumberFormat="1" applyBorder="1" applyProtection="1"/>
    <xf numFmtId="0" fontId="0" fillId="0" borderId="2" xfId="0" applyNumberFormat="1" applyBorder="1" applyProtection="1"/>
    <xf numFmtId="0" fontId="1" fillId="3" borderId="1" xfId="0" applyNumberFormat="1" applyFont="1" applyFill="1" applyBorder="1" applyAlignment="1" applyProtection="1"/>
    <xf numFmtId="0" fontId="1" fillId="3" borderId="1" xfId="0" applyNumberFormat="1" applyFont="1" applyFill="1" applyBorder="1" applyAlignment="1" applyProtection="1">
      <alignment horizontal="center"/>
    </xf>
    <xf numFmtId="0" fontId="1" fillId="3" borderId="3" xfId="0" applyNumberFormat="1" applyFont="1" applyFill="1" applyBorder="1" applyAlignment="1" applyProtection="1">
      <alignment horizontal="center"/>
    </xf>
    <xf numFmtId="0" fontId="1" fillId="0" borderId="1" xfId="0" applyNumberFormat="1" applyFont="1" applyFill="1" applyBorder="1" applyAlignment="1" applyProtection="1"/>
    <xf numFmtId="0" fontId="0" fillId="0" borderId="2" xfId="0" applyNumberFormat="1" applyFill="1" applyBorder="1" applyProtection="1"/>
    <xf numFmtId="0" fontId="0" fillId="0" borderId="0" xfId="0" applyNumberFormat="1"/>
    <xf numFmtId="0" fontId="0" fillId="0" borderId="0" xfId="0" applyNumberFormat="1" applyFont="1"/>
    <xf numFmtId="0" fontId="1" fillId="6" borderId="1" xfId="0" applyNumberFormat="1" applyFont="1" applyFill="1" applyBorder="1"/>
    <xf numFmtId="0" fontId="1" fillId="0" borderId="1" xfId="0" applyNumberFormat="1" applyFont="1" applyBorder="1"/>
    <xf numFmtId="0" fontId="0" fillId="0" borderId="1" xfId="0" applyNumberFormat="1" applyBorder="1"/>
    <xf numFmtId="0" fontId="0" fillId="0" borderId="2" xfId="0" applyNumberFormat="1" applyBorder="1"/>
    <xf numFmtId="0" fontId="0" fillId="5" borderId="0" xfId="0" applyNumberFormat="1" applyFill="1"/>
    <xf numFmtId="0" fontId="0" fillId="40" borderId="0" xfId="0" applyNumberFormat="1" applyFill="1"/>
    <xf numFmtId="0" fontId="0" fillId="40" borderId="1" xfId="0" applyNumberFormat="1" applyFill="1" applyBorder="1"/>
    <xf numFmtId="0" fontId="0" fillId="41" borderId="0" xfId="0" applyNumberFormat="1" applyFill="1"/>
    <xf numFmtId="0" fontId="0" fillId="41" borderId="1" xfId="0" applyNumberFormat="1" applyFill="1" applyBorder="1"/>
    <xf numFmtId="0" fontId="29" fillId="0" borderId="1" xfId="0" applyNumberFormat="1" applyFont="1" applyBorder="1"/>
    <xf numFmtId="0" fontId="29" fillId="0" borderId="0" xfId="0" applyNumberFormat="1" applyFont="1"/>
    <xf numFmtId="0" fontId="29" fillId="5" borderId="0" xfId="0" applyNumberFormat="1" applyFont="1" applyFill="1"/>
    <xf numFmtId="0" fontId="30" fillId="0" borderId="0" xfId="0" applyNumberFormat="1" applyFont="1"/>
    <xf numFmtId="0" fontId="32" fillId="0" borderId="0" xfId="0" applyNumberFormat="1" applyFont="1"/>
    <xf numFmtId="0" fontId="32" fillId="0" borderId="21" xfId="0" applyNumberFormat="1" applyFont="1" applyBorder="1" applyAlignment="1"/>
    <xf numFmtId="0" fontId="31" fillId="0" borderId="0" xfId="0" applyNumberFormat="1" applyFont="1"/>
    <xf numFmtId="0" fontId="31" fillId="0" borderId="0" xfId="0" applyNumberFormat="1" applyFont="1" applyAlignment="1">
      <alignment horizontal="right"/>
    </xf>
    <xf numFmtId="0" fontId="33" fillId="0" borderId="22" xfId="0" applyNumberFormat="1" applyFont="1" applyBorder="1" applyAlignment="1"/>
    <xf numFmtId="0" fontId="29" fillId="0" borderId="23" xfId="0" applyNumberFormat="1" applyFont="1" applyBorder="1" applyAlignment="1"/>
    <xf numFmtId="0" fontId="29" fillId="0" borderId="24" xfId="0" applyNumberFormat="1" applyFont="1" applyBorder="1" applyAlignment="1"/>
    <xf numFmtId="0" fontId="29" fillId="0" borderId="22" xfId="0" applyNumberFormat="1" applyFont="1" applyBorder="1" applyAlignment="1"/>
    <xf numFmtId="0" fontId="31" fillId="0" borderId="0" xfId="0" applyNumberFormat="1" applyFont="1" applyAlignment="1">
      <alignment horizontal="right" vertical="top"/>
    </xf>
    <xf numFmtId="0" fontId="34" fillId="0" borderId="27" xfId="0" applyNumberFormat="1" applyFont="1" applyBorder="1" applyAlignment="1">
      <alignment vertical="top"/>
    </xf>
    <xf numFmtId="0" fontId="29" fillId="0" borderId="0" xfId="0" applyNumberFormat="1" applyFont="1" applyBorder="1" applyAlignment="1"/>
    <xf numFmtId="0" fontId="29" fillId="0" borderId="19" xfId="0" applyNumberFormat="1" applyFont="1" applyBorder="1" applyAlignment="1"/>
    <xf numFmtId="0" fontId="29" fillId="0" borderId="27" xfId="0" applyNumberFormat="1" applyFont="1" applyBorder="1" applyAlignment="1"/>
    <xf numFmtId="0" fontId="30" fillId="0" borderId="1" xfId="0" applyNumberFormat="1" applyFont="1" applyBorder="1"/>
    <xf numFmtId="0" fontId="29" fillId="0" borderId="0" xfId="0" applyNumberFormat="1" applyFont="1" applyFill="1" applyBorder="1"/>
    <xf numFmtId="0" fontId="0" fillId="0" borderId="5" xfId="0" applyNumberFormat="1" applyBorder="1"/>
    <xf numFmtId="0" fontId="11" fillId="0" borderId="0" xfId="0" applyNumberFormat="1" applyFont="1"/>
    <xf numFmtId="0" fontId="1" fillId="3" borderId="1" xfId="0" applyNumberFormat="1" applyFont="1" applyFill="1" applyBorder="1" applyAlignment="1"/>
    <xf numFmtId="0" fontId="0" fillId="0" borderId="0" xfId="0" quotePrefix="1" applyNumberFormat="1"/>
    <xf numFmtId="166" fontId="0" fillId="0" borderId="1" xfId="0" applyNumberFormat="1" applyBorder="1"/>
    <xf numFmtId="0" fontId="27" fillId="0" borderId="0" xfId="0" applyNumberFormat="1" applyFont="1" applyBorder="1" applyProtection="1"/>
    <xf numFmtId="0" fontId="0" fillId="0" borderId="0" xfId="0" applyNumberFormat="1" applyBorder="1"/>
    <xf numFmtId="0" fontId="0" fillId="0" borderId="0" xfId="0" pivotButton="1" applyNumberFormat="1"/>
    <xf numFmtId="0" fontId="0" fillId="0" borderId="0" xfId="0" pivotButton="1" applyNumberFormat="1" applyBorder="1"/>
    <xf numFmtId="0" fontId="0" fillId="0" borderId="0" xfId="0" applyNumberFormat="1" applyAlignment="1">
      <alignment horizontal="left"/>
    </xf>
    <xf numFmtId="0" fontId="0" fillId="0" borderId="0" xfId="0" applyNumberFormat="1" applyAlignment="1">
      <alignment horizontal="left" indent="1"/>
    </xf>
    <xf numFmtId="166" fontId="0" fillId="0" borderId="0" xfId="0" applyNumberFormat="1"/>
    <xf numFmtId="0" fontId="2" fillId="0" borderId="0" xfId="0" applyNumberFormat="1" applyFont="1"/>
    <xf numFmtId="0" fontId="32" fillId="2" borderId="1" xfId="0" applyNumberFormat="1" applyFont="1" applyFill="1" applyBorder="1" applyProtection="1">
      <protection locked="0"/>
    </xf>
    <xf numFmtId="0" fontId="32" fillId="0" borderId="1" xfId="0" quotePrefix="1" applyNumberFormat="1" applyFont="1" applyBorder="1"/>
    <xf numFmtId="0" fontId="1" fillId="0" borderId="1" xfId="0" applyNumberFormat="1" applyFont="1" applyBorder="1" applyAlignment="1">
      <alignment horizontal="center"/>
    </xf>
    <xf numFmtId="0" fontId="0" fillId="0" borderId="1" xfId="0" applyNumberFormat="1" applyFill="1" applyBorder="1"/>
    <xf numFmtId="0" fontId="0" fillId="0" borderId="1" xfId="0" applyNumberFormat="1" applyFill="1" applyBorder="1" applyProtection="1"/>
    <xf numFmtId="0" fontId="5" fillId="0" borderId="1" xfId="4" applyNumberFormat="1" applyFill="1" applyBorder="1"/>
    <xf numFmtId="0" fontId="5" fillId="5" borderId="1" xfId="4" applyNumberFormat="1" applyFill="1" applyBorder="1"/>
    <xf numFmtId="0" fontId="5" fillId="5" borderId="0" xfId="4" applyNumberFormat="1" applyFill="1" applyBorder="1"/>
    <xf numFmtId="0" fontId="5" fillId="5" borderId="0" xfId="4" applyNumberFormat="1" applyFill="1"/>
    <xf numFmtId="0" fontId="5" fillId="42" borderId="0" xfId="4" applyNumberFormat="1" applyFill="1" applyBorder="1"/>
    <xf numFmtId="0" fontId="5" fillId="0" borderId="0" xfId="4" applyNumberFormat="1" applyFill="1"/>
    <xf numFmtId="0" fontId="5" fillId="0" borderId="0" xfId="4" applyNumberFormat="1" applyFill="1" applyAlignment="1"/>
    <xf numFmtId="0" fontId="5" fillId="42" borderId="0" xfId="4" applyNumberFormat="1" applyFill="1"/>
    <xf numFmtId="0" fontId="6" fillId="0" borderId="0" xfId="4" applyNumberFormat="1" applyFont="1" applyFill="1" applyAlignment="1"/>
    <xf numFmtId="0" fontId="5" fillId="0" borderId="1" xfId="4" applyNumberFormat="1" applyFill="1" applyBorder="1" applyAlignment="1"/>
    <xf numFmtId="0" fontId="6" fillId="0" borderId="0" xfId="4" applyNumberFormat="1" applyFont="1" applyFill="1" applyAlignment="1">
      <alignment horizontal="center"/>
    </xf>
    <xf numFmtId="0" fontId="7" fillId="0" borderId="1" xfId="4" applyNumberFormat="1" applyFont="1" applyFill="1" applyBorder="1" applyAlignment="1">
      <alignment horizontal="center" vertical="center"/>
    </xf>
    <xf numFmtId="0" fontId="8" fillId="0" borderId="1" xfId="4" applyNumberFormat="1" applyFont="1" applyFill="1" applyBorder="1" applyAlignment="1">
      <alignment vertical="center" wrapText="1"/>
    </xf>
    <xf numFmtId="0" fontId="8" fillId="0" borderId="1" xfId="4" applyNumberFormat="1" applyFont="1" applyFill="1" applyBorder="1" applyAlignment="1" applyProtection="1">
      <alignment vertical="center" wrapText="1"/>
      <protection locked="0"/>
    </xf>
    <xf numFmtId="166" fontId="8" fillId="0" borderId="1" xfId="4" applyNumberFormat="1" applyFont="1" applyFill="1" applyBorder="1" applyAlignment="1" applyProtection="1">
      <alignment horizontal="center" vertical="center"/>
      <protection locked="0"/>
    </xf>
    <xf numFmtId="3" fontId="9" fillId="0" borderId="1" xfId="4" applyNumberFormat="1" applyFont="1" applyFill="1" applyBorder="1" applyAlignment="1">
      <alignment vertical="center" wrapText="1"/>
    </xf>
    <xf numFmtId="3" fontId="9" fillId="2" borderId="1" xfId="4" applyNumberFormat="1" applyFont="1" applyFill="1" applyBorder="1" applyAlignment="1" applyProtection="1">
      <alignment vertical="center" wrapText="1"/>
      <protection locked="0"/>
    </xf>
    <xf numFmtId="3" fontId="9" fillId="0" borderId="1" xfId="4" applyNumberFormat="1" applyFont="1" applyFill="1" applyBorder="1" applyAlignment="1" applyProtection="1">
      <alignment vertical="center" wrapText="1"/>
      <protection locked="0"/>
    </xf>
    <xf numFmtId="3" fontId="9" fillId="0" borderId="1" xfId="4" applyNumberFormat="1" applyFont="1" applyFill="1" applyBorder="1" applyAlignment="1">
      <alignment vertical="center"/>
    </xf>
    <xf numFmtId="0" fontId="0" fillId="0" borderId="0" xfId="0" applyNumberFormat="1" applyFill="1"/>
    <xf numFmtId="0" fontId="0" fillId="43" borderId="1" xfId="0" applyNumberFormat="1" applyFill="1" applyBorder="1"/>
    <xf numFmtId="0" fontId="1" fillId="0" borderId="0" xfId="0" applyNumberFormat="1" applyFont="1" applyFill="1"/>
    <xf numFmtId="0" fontId="1" fillId="43" borderId="0" xfId="0" applyNumberFormat="1" applyFont="1" applyFill="1"/>
    <xf numFmtId="0" fontId="0" fillId="43" borderId="0" xfId="0" applyNumberFormat="1" applyFill="1"/>
    <xf numFmtId="0" fontId="1" fillId="0" borderId="1" xfId="0" applyNumberFormat="1" applyFont="1" applyFill="1" applyBorder="1"/>
    <xf numFmtId="0" fontId="0" fillId="0" borderId="1" xfId="0" applyNumberFormat="1" applyFill="1" applyBorder="1" applyProtection="1">
      <protection locked="0"/>
    </xf>
    <xf numFmtId="0" fontId="0" fillId="44" borderId="1" xfId="0" applyNumberFormat="1" applyFill="1" applyBorder="1"/>
    <xf numFmtId="0" fontId="1" fillId="44" borderId="0" xfId="0" applyNumberFormat="1" applyFont="1" applyFill="1"/>
    <xf numFmtId="0" fontId="0" fillId="44" borderId="0" xfId="0" applyNumberFormat="1" applyFill="1"/>
    <xf numFmtId="0" fontId="1" fillId="3" borderId="2" xfId="0" applyNumberFormat="1" applyFont="1" applyFill="1" applyBorder="1" applyAlignment="1" applyProtection="1">
      <alignment horizontal="center"/>
    </xf>
    <xf numFmtId="0" fontId="1" fillId="3" borderId="1" xfId="0" applyNumberFormat="1" applyFont="1" applyFill="1" applyBorder="1" applyAlignment="1" applyProtection="1"/>
    <xf numFmtId="165" fontId="0" fillId="0" borderId="0" xfId="0" quotePrefix="1"/>
    <xf numFmtId="165" fontId="0" fillId="0" borderId="0" xfId="0" quotePrefix="1" applyAlignment="1">
      <alignment wrapText="1"/>
    </xf>
    <xf numFmtId="3" fontId="0" fillId="4" borderId="1" xfId="0" applyNumberFormat="1" applyFill="1" applyBorder="1" applyProtection="1"/>
    <xf numFmtId="3" fontId="0" fillId="2" borderId="2" xfId="0" applyNumberFormat="1" applyFill="1" applyBorder="1" applyProtection="1"/>
    <xf numFmtId="3" fontId="0" fillId="2" borderId="1" xfId="0" applyNumberFormat="1" applyFill="1" applyBorder="1" applyProtection="1"/>
    <xf numFmtId="3" fontId="0" fillId="2" borderId="5" xfId="0" applyNumberFormat="1" applyFill="1" applyBorder="1" applyProtection="1"/>
    <xf numFmtId="0" fontId="1" fillId="3" borderId="16" xfId="0" applyNumberFormat="1" applyFont="1" applyFill="1" applyBorder="1" applyAlignment="1" applyProtection="1">
      <alignment horizontal="center"/>
    </xf>
    <xf numFmtId="0" fontId="1" fillId="3" borderId="17" xfId="0" applyNumberFormat="1" applyFont="1" applyFill="1" applyBorder="1" applyAlignment="1" applyProtection="1">
      <alignment horizontal="center"/>
    </xf>
    <xf numFmtId="0" fontId="1" fillId="3" borderId="6" xfId="0" applyNumberFormat="1" applyFont="1" applyFill="1" applyBorder="1" applyAlignment="1" applyProtection="1">
      <alignment horizontal="center"/>
    </xf>
    <xf numFmtId="0" fontId="1" fillId="3" borderId="17" xfId="0" quotePrefix="1" applyNumberFormat="1" applyFont="1" applyFill="1" applyBorder="1" applyAlignment="1" applyProtection="1">
      <alignment horizontal="center"/>
    </xf>
    <xf numFmtId="0" fontId="1" fillId="3" borderId="6" xfId="0" quotePrefix="1" applyNumberFormat="1" applyFont="1" applyFill="1" applyBorder="1" applyAlignment="1" applyProtection="1">
      <alignment horizontal="center"/>
    </xf>
    <xf numFmtId="0" fontId="1" fillId="3" borderId="18" xfId="0" applyNumberFormat="1" applyFont="1" applyFill="1" applyBorder="1" applyAlignment="1" applyProtection="1">
      <alignment horizontal="center"/>
    </xf>
    <xf numFmtId="0" fontId="1" fillId="3" borderId="2" xfId="0" applyNumberFormat="1" applyFont="1" applyFill="1" applyBorder="1" applyAlignment="1" applyProtection="1">
      <alignment horizontal="center"/>
    </xf>
    <xf numFmtId="0" fontId="1" fillId="3" borderId="1" xfId="0" applyNumberFormat="1" applyFont="1" applyFill="1" applyBorder="1" applyAlignment="1" applyProtection="1"/>
    <xf numFmtId="0" fontId="1" fillId="3" borderId="4" xfId="0" applyNumberFormat="1" applyFont="1" applyFill="1" applyBorder="1" applyAlignment="1" applyProtection="1">
      <alignment horizontal="center"/>
    </xf>
    <xf numFmtId="0" fontId="1" fillId="3" borderId="5" xfId="0" applyNumberFormat="1" applyFont="1" applyFill="1" applyBorder="1" applyAlignment="1" applyProtection="1">
      <alignment horizontal="center"/>
    </xf>
    <xf numFmtId="166" fontId="32" fillId="2" borderId="21" xfId="0" applyNumberFormat="1" applyFont="1" applyFill="1" applyBorder="1" applyAlignment="1" applyProtection="1">
      <alignment horizontal="center"/>
      <protection locked="0"/>
    </xf>
    <xf numFmtId="165" fontId="30" fillId="0" borderId="0" xfId="0" applyNumberFormat="1" applyFont="1" applyFill="1" applyBorder="1" applyAlignment="1">
      <alignment horizontal="center"/>
    </xf>
    <xf numFmtId="0" fontId="29" fillId="0" borderId="4" xfId="0" applyNumberFormat="1" applyFont="1" applyBorder="1" applyAlignment="1">
      <alignment horizontal="center"/>
    </xf>
    <xf numFmtId="0" fontId="31" fillId="0" borderId="0" xfId="0" applyNumberFormat="1" applyFont="1" applyBorder="1" applyAlignment="1">
      <alignment wrapText="1"/>
    </xf>
    <xf numFmtId="3" fontId="31" fillId="0" borderId="0" xfId="0" applyNumberFormat="1" applyFont="1" applyBorder="1" applyAlignment="1">
      <alignment horizontal="left" vertical="top" wrapText="1"/>
    </xf>
    <xf numFmtId="0" fontId="29" fillId="0" borderId="25" xfId="0" applyNumberFormat="1" applyFont="1" applyBorder="1" applyAlignment="1">
      <alignment horizontal="center"/>
    </xf>
    <xf numFmtId="0" fontId="29" fillId="0" borderId="21" xfId="0" applyNumberFormat="1" applyFont="1" applyBorder="1" applyAlignment="1">
      <alignment horizontal="center"/>
    </xf>
    <xf numFmtId="0" fontId="29" fillId="0" borderId="26" xfId="0" applyNumberFormat="1" applyFont="1" applyBorder="1" applyAlignment="1">
      <alignment horizontal="center"/>
    </xf>
    <xf numFmtId="0" fontId="30" fillId="0" borderId="1" xfId="0" applyNumberFormat="1" applyFont="1" applyBorder="1" applyAlignment="1"/>
    <xf numFmtId="3" fontId="31" fillId="0" borderId="1" xfId="0" applyNumberFormat="1" applyFont="1" applyBorder="1" applyAlignment="1"/>
    <xf numFmtId="166" fontId="32" fillId="0" borderId="21" xfId="0" applyNumberFormat="1" applyFont="1" applyBorder="1" applyAlignment="1">
      <alignment horizontal="center"/>
    </xf>
    <xf numFmtId="0" fontId="35" fillId="0" borderId="1" xfId="4" applyNumberFormat="1" applyFont="1" applyFill="1" applyBorder="1" applyAlignment="1">
      <alignment horizontal="center"/>
    </xf>
  </cellXfs>
  <cellStyles count="48">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cel Built-in Comma [0]" xfId="2"/>
    <cellStyle name="Excel Built-in Normal" xfId="3"/>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4"/>
    <cellStyle name="Normal 3 2" xfId="47"/>
    <cellStyle name="Normal 3 3" xfId="46"/>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50">
    <dxf>
      <font>
        <b/>
        <i val="0"/>
        <color theme="0"/>
      </font>
      <fill>
        <patternFill>
          <bgColor rgb="FF00B050"/>
        </patternFill>
      </fill>
    </dxf>
    <dxf>
      <font>
        <b/>
        <i val="0"/>
        <color theme="0"/>
      </font>
      <fill>
        <patternFill>
          <bgColor rgb="FFFF0000"/>
        </patternFill>
      </fill>
    </dxf>
    <dxf>
      <fill>
        <patternFill>
          <bgColor rgb="FFFFFF00"/>
        </patternFill>
      </fill>
    </dxf>
    <dxf>
      <font>
        <b/>
        <i val="0"/>
        <color rgb="FFFF0000"/>
      </font>
    </dxf>
    <dxf>
      <numFmt numFmtId="3" formatCode="#,##0"/>
    </dxf>
    <dxf>
      <numFmt numFmtId="166" formatCode="[$-409]d\-mmm\-yy;@"/>
    </dxf>
    <dxf>
      <numFmt numFmtId="165" formatCode="[$-409]mmm\-yy;@"/>
    </dxf>
    <dxf>
      <numFmt numFmtId="165" formatCode="[$-409]mmm\-yy;@"/>
    </dxf>
    <dxf>
      <numFmt numFmtId="0" formatCode="General"/>
    </dxf>
    <dxf>
      <numFmt numFmtId="0" formatCode="General"/>
    </dxf>
    <dxf>
      <numFmt numFmtId="0" formatCode="General"/>
    </dxf>
    <dxf>
      <numFmt numFmtId="0" formatCode="General"/>
    </dxf>
    <dxf>
      <border>
        <left/>
        <right/>
        <top/>
        <bottom/>
      </border>
    </dxf>
    <dxf>
      <border>
        <vertical style="thin">
          <color auto="1"/>
        </vertical>
        <horizontal style="thin">
          <color auto="1"/>
        </horizontal>
      </border>
    </dxf>
    <dxf>
      <border>
        <left style="thin">
          <color auto="1"/>
        </left>
        <right style="thin">
          <color auto="1"/>
        </right>
        <top style="thin">
          <color auto="1"/>
        </top>
        <bottom style="thin">
          <color auto="1"/>
        </bottom>
      </border>
    </dxf>
    <dxf>
      <font>
        <color theme="0"/>
      </font>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lor theme="0" tint="-4.9989318521683403E-2"/>
      </font>
      <fill>
        <patternFill>
          <bgColor rgb="FFFF0000"/>
        </patternFill>
      </fill>
    </dxf>
    <dxf>
      <fill>
        <patternFill>
          <bgColor rgb="FF00B050"/>
        </patternFill>
      </fill>
      <border>
        <left style="thin">
          <color auto="1"/>
        </left>
        <right style="thin">
          <color auto="1"/>
        </right>
        <top style="thin">
          <color auto="1"/>
        </top>
        <bottom style="thin">
          <color auto="1"/>
        </bottom>
      </border>
    </dxf>
    <dxf>
      <fill>
        <patternFill>
          <bgColor rgb="FF00B0F0"/>
        </patternFill>
      </fill>
    </dxf>
    <dxf>
      <font>
        <b/>
        <i val="0"/>
        <color theme="0" tint="-4.9989318521683403E-2"/>
      </font>
      <fill>
        <patternFill>
          <bgColor rgb="FFFF0000"/>
        </patternFill>
      </fill>
    </dxf>
    <dxf>
      <font>
        <b/>
        <i val="0"/>
        <color theme="0" tint="-4.9989318521683403E-2"/>
      </font>
      <fill>
        <patternFill>
          <bgColor rgb="FFFF0000"/>
        </patternFill>
      </fill>
    </dxf>
    <dxf>
      <fill>
        <patternFill>
          <bgColor rgb="FF00B050"/>
        </patternFill>
      </fill>
      <border>
        <left style="thin">
          <color auto="1"/>
        </left>
        <right style="thin">
          <color auto="1"/>
        </right>
        <top style="thin">
          <color auto="1"/>
        </top>
        <bottom style="thin">
          <color auto="1"/>
        </bottom>
      </border>
    </dxf>
    <dxf>
      <fill>
        <patternFill>
          <bgColor rgb="FF00B0F0"/>
        </patternFill>
      </fill>
    </dxf>
    <dxf>
      <font>
        <color theme="0"/>
      </font>
      <fill>
        <patternFill>
          <bgColor rgb="FFFF0000"/>
        </patternFill>
      </fill>
    </dxf>
    <dxf>
      <numFmt numFmtId="166" formatCode="[$-409]d\-mmm\-yy;@"/>
    </dxf>
    <dxf>
      <numFmt numFmtId="165" formatCode="[$-409]mmm\-yy;@"/>
    </dxf>
    <dxf>
      <numFmt numFmtId="165" formatCode="[$-409]mmm\-yy;@"/>
    </dxf>
    <dxf>
      <numFmt numFmtId="3" formatCode="#,##0"/>
    </dxf>
    <dxf>
      <numFmt numFmtId="0" formatCode="General"/>
    </dxf>
    <dxf>
      <numFmt numFmtId="0" formatCode="General"/>
    </dxf>
    <dxf>
      <numFmt numFmtId="0" formatCode="General"/>
    </dxf>
    <dxf>
      <numFmt numFmtId="0" formatCode="General"/>
    </dxf>
    <dxf>
      <border>
        <left/>
        <right/>
        <top/>
        <bottom/>
      </border>
    </dxf>
    <dxf>
      <border>
        <vertical style="thin">
          <color auto="1"/>
        </vertical>
        <horizontal style="thin">
          <color auto="1"/>
        </horizontal>
      </border>
    </dxf>
    <dxf>
      <border>
        <left style="thin">
          <color auto="1"/>
        </left>
        <right style="thin">
          <color auto="1"/>
        </right>
        <top style="thin">
          <color auto="1"/>
        </top>
        <bottom style="thin">
          <color auto="1"/>
        </bottom>
      </border>
    </dxf>
    <dxf>
      <font>
        <color theme="0"/>
      </font>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lor theme="0" tint="-4.9989318521683403E-2"/>
      </font>
      <fill>
        <patternFill>
          <bgColor rgb="FFFF0000"/>
        </patternFill>
      </fill>
    </dxf>
    <dxf>
      <fill>
        <patternFill>
          <bgColor rgb="FF00B050"/>
        </patternFill>
      </fill>
      <border>
        <left style="thin">
          <color auto="1"/>
        </left>
        <right style="thin">
          <color auto="1"/>
        </right>
        <top style="thin">
          <color auto="1"/>
        </top>
        <bottom style="thin">
          <color auto="1"/>
        </bottom>
      </border>
    </dxf>
    <dxf>
      <fill>
        <patternFill>
          <bgColor rgb="FF00B0F0"/>
        </patternFill>
      </fill>
    </dxf>
    <dxf>
      <font>
        <b/>
        <i val="0"/>
        <color theme="0" tint="-4.9989318521683403E-2"/>
      </font>
      <fill>
        <patternFill>
          <bgColor rgb="FFFF0000"/>
        </patternFill>
      </fill>
    </dxf>
    <dxf>
      <font>
        <b/>
        <i val="0"/>
        <color theme="0"/>
      </font>
      <fill>
        <patternFill>
          <bgColor rgb="FFFF0000"/>
        </patternFill>
      </fill>
    </dxf>
    <dxf>
      <fill>
        <patternFill>
          <bgColor rgb="FF00B050"/>
        </patternFill>
      </fill>
      <border>
        <left style="thin">
          <color auto="1"/>
        </left>
        <right style="thin">
          <color auto="1"/>
        </right>
        <top style="thin">
          <color auto="1"/>
        </top>
        <bottom style="thin">
          <color auto="1"/>
        </bottom>
      </border>
    </dxf>
    <dxf>
      <fill>
        <patternFill>
          <bgColor rgb="FF00B0F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2.xml"/><Relationship Id="rId50" Type="http://schemas.openxmlformats.org/officeDocument/2006/relationships/theme" Target="theme/theme1.xml"/><Relationship Id="rId55"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7/relationships/slicerCache" Target="slicerCaches/slicerCach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4</xdr:col>
      <xdr:colOff>44196</xdr:colOff>
      <xdr:row>6</xdr:row>
      <xdr:rowOff>48387</xdr:rowOff>
    </xdr:from>
    <xdr:to>
      <xdr:col>5</xdr:col>
      <xdr:colOff>483216</xdr:colOff>
      <xdr:row>9</xdr:row>
      <xdr:rowOff>7112</xdr:rowOff>
    </xdr:to>
    <xdr:pic>
      <xdr:nvPicPr>
        <xdr:cNvPr id="2" name="Picture 8" descr="Logo HSPMTB-1 (new)"/>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453896" y="1124712"/>
          <a:ext cx="686670" cy="97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4</xdr:row>
      <xdr:rowOff>9525</xdr:rowOff>
    </xdr:from>
    <xdr:to>
      <xdr:col>1</xdr:col>
      <xdr:colOff>1285875</xdr:colOff>
      <xdr:row>32</xdr:row>
      <xdr:rowOff>9525</xdr:rowOff>
    </xdr:to>
    <mc:AlternateContent xmlns:mc="http://schemas.openxmlformats.org/markup-compatibility/2006" xmlns:a14="http://schemas.microsoft.com/office/drawing/2010/main">
      <mc:Choice Requires="a14">
        <xdr:graphicFrame macro="">
          <xdr:nvGraphicFramePr>
            <xdr:cNvPr id="2" name="Posting Date"/>
            <xdr:cNvGraphicFramePr/>
          </xdr:nvGraphicFramePr>
          <xdr:xfrm>
            <a:off x="0" y="0"/>
            <a:ext cx="0" cy="0"/>
          </xdr:xfrm>
          <a:graphic>
            <a:graphicData uri="http://schemas.microsoft.com/office/drawing/2010/slicer">
              <sle:slicer xmlns:sle="http://schemas.microsoft.com/office/drawing/2010/slicer" name="Posting Date"/>
            </a:graphicData>
          </a:graphic>
        </xdr:graphicFrame>
      </mc:Choice>
      <mc:Fallback xmlns="">
        <xdr:sp macro="" textlink="">
          <xdr:nvSpPr>
            <xdr:cNvPr id="0" name=""/>
            <xdr:cNvSpPr>
              <a:spLocks noTextEdit="1"/>
            </xdr:cNvSpPr>
          </xdr:nvSpPr>
          <xdr:spPr>
            <a:xfrm>
              <a:off x="619125" y="685800"/>
              <a:ext cx="1028700" cy="5334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44196</xdr:colOff>
      <xdr:row>6</xdr:row>
      <xdr:rowOff>48387</xdr:rowOff>
    </xdr:from>
    <xdr:to>
      <xdr:col>5</xdr:col>
      <xdr:colOff>483216</xdr:colOff>
      <xdr:row>9</xdr:row>
      <xdr:rowOff>7112</xdr:rowOff>
    </xdr:to>
    <xdr:pic>
      <xdr:nvPicPr>
        <xdr:cNvPr id="2" name="Picture 8" descr="Logo HSPMTB-1 (new)"/>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453896" y="1124712"/>
          <a:ext cx="686670" cy="97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9525</xdr:colOff>
      <xdr:row>4</xdr:row>
      <xdr:rowOff>9525</xdr:rowOff>
    </xdr:from>
    <xdr:to>
      <xdr:col>1</xdr:col>
      <xdr:colOff>1289685</xdr:colOff>
      <xdr:row>32</xdr:row>
      <xdr:rowOff>9525</xdr:rowOff>
    </xdr:to>
    <mc:AlternateContent xmlns:mc="http://schemas.openxmlformats.org/markup-compatibility/2006" xmlns:a14="http://schemas.microsoft.com/office/drawing/2010/main">
      <mc:Choice Requires="a14">
        <xdr:graphicFrame macro="">
          <xdr:nvGraphicFramePr>
            <xdr:cNvPr id="2" name="Posting Date 1"/>
            <xdr:cNvGraphicFramePr/>
          </xdr:nvGraphicFramePr>
          <xdr:xfrm>
            <a:off x="0" y="0"/>
            <a:ext cx="0" cy="0"/>
          </xdr:xfrm>
          <a:graphic>
            <a:graphicData uri="http://schemas.microsoft.com/office/drawing/2010/slicer">
              <sle:slicer xmlns:sle="http://schemas.microsoft.com/office/drawing/2010/slicer" name="Posting Date 1"/>
            </a:graphicData>
          </a:graphic>
        </xdr:graphicFrame>
      </mc:Choice>
      <mc:Fallback xmlns="">
        <xdr:sp macro="" textlink="">
          <xdr:nvSpPr>
            <xdr:cNvPr id="0" name=""/>
            <xdr:cNvSpPr>
              <a:spLocks noTextEdit="1"/>
            </xdr:cNvSpPr>
          </xdr:nvSpPr>
          <xdr:spPr>
            <a:xfrm>
              <a:off x="619125" y="923925"/>
              <a:ext cx="1280160" cy="5334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76200</xdr:colOff>
      <xdr:row>3</xdr:row>
      <xdr:rowOff>50800</xdr:rowOff>
    </xdr:from>
    <xdr:to>
      <xdr:col>2</xdr:col>
      <xdr:colOff>775570</xdr:colOff>
      <xdr:row>6</xdr:row>
      <xdr:rowOff>101600</xdr:rowOff>
    </xdr:to>
    <xdr:pic>
      <xdr:nvPicPr>
        <xdr:cNvPr id="2" name="Picture 8" descr="Logo HSPMTB-1 (new)"/>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327150" y="717550"/>
          <a:ext cx="699370" cy="97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190500</xdr:colOff>
      <xdr:row>3</xdr:row>
      <xdr:rowOff>57150</xdr:rowOff>
    </xdr:from>
    <xdr:to>
      <xdr:col>3</xdr:col>
      <xdr:colOff>885825</xdr:colOff>
      <xdr:row>8</xdr:row>
      <xdr:rowOff>18676</xdr:rowOff>
    </xdr:to>
    <xdr:pic>
      <xdr:nvPicPr>
        <xdr:cNvPr id="3" name="Picture 8" descr="Logo HSPMTB-1 (new)"/>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933575" y="628650"/>
          <a:ext cx="695325" cy="9902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Leonardo" refreshedDate="42664.69114224537" createdVersion="5" refreshedVersion="5" minRefreshableVersion="3" recordCount="312">
  <cacheSource type="worksheet">
    <worksheetSource ref="I12:Q324" sheet="IuranDSSebelumnya"/>
  </cacheSource>
  <cacheFields count="9">
    <cacheField name="Gabungan" numFmtId="0">
      <sharedItems containsBlank="1"/>
    </cacheField>
    <cacheField name="Posting Date" numFmtId="0">
      <sharedItems containsNonDate="0" containsDate="1" containsString="0" containsBlank="1" minDate="2015-01-04T00:00:00" maxDate="2016-08-29T00:00:00" count="38">
        <d v="2015-12-30T00:00:00"/>
        <d v="2016-01-31T00:00:00"/>
        <d v="2016-02-28T00:00:00"/>
        <d v="2016-04-17T00:00:00"/>
        <d v="2016-05-29T00:00:00"/>
        <d v="2016-06-26T00:00:00"/>
        <d v="2016-07-31T00:00:00"/>
        <d v="2016-08-28T00:00:00"/>
        <m/>
        <d v="2015-04-19T00:00:00" u="1"/>
        <d v="2015-09-06T00:00:00" u="1"/>
        <d v="2015-04-12T00:00:00" u="1"/>
        <d v="2015-05-17T00:00:00" u="1"/>
        <d v="2015-10-04T00:00:00" u="1"/>
        <d v="2015-07-01T00:00:00" u="1"/>
        <d v="2015-05-03T00:00:00" u="1"/>
        <d v="2015-08-30T00:00:00" u="1"/>
        <d v="2015-08-23T00:00:00" u="1"/>
        <d v="2015-03-22T00:00:00" u="1"/>
        <d v="2015-08-09T00:00:00" u="1"/>
        <d v="2015-04-01T00:00:00" u="1"/>
        <d v="2015-03-15T00:00:00" u="1"/>
        <d v="2015-03-08T00:00:00" u="1"/>
        <d v="2015-02-22T00:00:00" u="1"/>
        <d v="2015-03-01T00:00:00" u="1"/>
        <d v="2015-02-15T00:00:00" u="1"/>
        <d v="2015-02-08T00:00:00" u="1"/>
        <d v="2015-02-01T00:00:00" u="1"/>
        <d v="2015-07-26T00:00:00" u="1"/>
        <d v="2015-06-07T00:00:00" u="1"/>
        <d v="2015-07-05T00:00:00" u="1"/>
        <d v="2015-01-25T00:00:00" u="1"/>
        <d v="2015-01-18T00:00:00" u="1"/>
        <d v="2015-01-11T00:00:00" u="1"/>
        <d v="2015-09-20T00:00:00" u="1"/>
        <d v="2015-10-25T00:00:00" u="1"/>
        <d v="2015-01-04T00:00:00" u="1"/>
        <d v="2015-04-26T00:00:00" u="1"/>
      </sharedItems>
    </cacheField>
    <cacheField name="Source Type" numFmtId="0">
      <sharedItems containsBlank="1" count="3">
        <s v="G/L"/>
        <s v="Customer"/>
        <m/>
      </sharedItems>
    </cacheField>
    <cacheField name="No. KK" numFmtId="0">
      <sharedItems containsBlank="1"/>
    </cacheField>
    <cacheField name="Nama" numFmtId="0">
      <sharedItems containsBlank="1" count="459">
        <s v=""/>
        <s v="Arief Wibawa"/>
        <s v="Alex Sudytio"/>
        <s v="Bernardus Yogie Dirga Gunawan"/>
        <s v="Bing Subroto"/>
        <s v="Boen Yoen Tet (Teddy)"/>
        <s v="Budiarto"/>
        <s v="Handoyo Krismanto"/>
        <s v="Hendra Kurniawan"/>
        <s v="Hendro Hartono"/>
        <s v="Heru Prawono"/>
        <s v="Jofenwali"/>
        <s v="Leonardus Tjhin Tje Ming"/>
        <s v="Lie Bui Tjung"/>
        <s v="Ignatius Yanto Hardoyo"/>
        <s v="Purnama Tanuseputra"/>
        <s v="Rudolf Hendricus Poluan"/>
        <s v="Sandy Wijaya"/>
        <s v="Stefanus Tudy Luchman"/>
        <s v="Tommy Prasetyo Utomo"/>
        <s v="Tri Saptono Vinsentius "/>
        <s v="Yohanes Hendy Setiawan"/>
        <s v="Yunius Samara"/>
        <s v="Hadi Suwana"/>
        <s v="Edward"/>
        <s v="Alfonsus Denny Martaguna"/>
        <s v="Julius Margono Teguh Nugroho"/>
        <s v="Yandi Setiawan"/>
        <s v="Pieter Hiu Stanley Setiono"/>
        <m/>
        <s v="Sutarjo" u="1"/>
        <s v="Stefanus Darwin" u="1"/>
        <s v="Sugandi Halim L" u="1"/>
        <s v="Hap Tjoan Surjadi" u="1"/>
        <s v="Thomas Teddy Budiarto" u="1"/>
        <s v="Christina Gimah" u="1"/>
        <s v="Fx Lim Pik Khie" u="1"/>
        <s v="Tan Sian Nio" u="1"/>
        <s v="Musiyana" u="1"/>
        <s v="Ricky Susanto" u="1"/>
        <s v="Rusma Regina Br Pasaribu" u="1"/>
        <s v="Lukman Gunawan" u="1"/>
        <s v="Wakiyah" u="1"/>
        <s v="Suhardi" u="1"/>
        <s v="Jeffry Shanny" u="1"/>
        <s v="Stefani Fong Foeng Tjhie" u="1"/>
        <s v="Antonius Suwarno" u="1"/>
        <s v="Harjanto A. Halim" u="1"/>
        <s v="Yohanes Daryanta" u="1"/>
        <s v="Suhardjo" u="1"/>
        <s v="Limadimarta L" u="1"/>
        <s v="Nobertus Anto" u="1"/>
        <s v="Esriel Saruksuk" u="1"/>
        <s v="Jong Ta Fu" u="1"/>
        <s v="Jo Po Tjoan" u="1"/>
        <s v="Tjoe Tet Djie" u="1"/>
        <s v="Beso" u="1"/>
        <s v="Ignatius Kristanto" u="1"/>
        <s v="Richardus Hayadi Nurhalim" u="1"/>
        <s v="Amri Rambe" u="1"/>
        <s v="Irfansyah Suhalim" u="1"/>
        <s v="Leonilla Janita" u="1"/>
        <s v="Jimmi Kurniawan" u="1"/>
        <s v="Theodorus Yan Prasetyo" u="1"/>
        <s v="Bernardus Warten Sia Juni Simamora" u="1"/>
        <s v="Antonius Hosanto Ss" u="1"/>
        <s v="Lusia Lim Susi" u="1"/>
        <s v="Sung Li Cu" u="1"/>
        <s v="Vincentus Kiannes Wijaya" u="1"/>
        <s v="Ignatius D. Handoko" u="1"/>
        <s v="Margareta Christin Sinta" u="1"/>
        <s v="Ie Ling" u="1"/>
        <s v="Immaculata Herlie" u="1"/>
        <s v="Ignatius Sudiono" u="1"/>
        <s v="Rommel Eliseo Estaris Baclig" u="1"/>
        <s v="Monika Herlinda" u="1"/>
        <s v="Valentinus Xaverius Henky H. Jaya" u="1"/>
        <s v="Yohanes Willy Rochandi" u="1"/>
        <s v="Maria Maureen Kosasih Rusli" u="1"/>
        <s v="Elisabeth Iin Gunawan Lie" u="1"/>
        <s v="Paulus Lianto" u="1"/>
        <s v="Sutjipta Suwandi" u="1"/>
        <s v="Mangiring Situmorang" u="1"/>
        <s v="Netji Nuriah Sari Hidayat" u="1"/>
        <s v="Yulianus Ulik Dwiananto" u="1"/>
        <s v="Frederika Oktavianti" u="1"/>
        <s v="Yohanes Jhonedy Sitanggang" u="1"/>
        <s v="Margaretha Lin Nio" u="1"/>
        <s v="Agatha Precilia" u="1"/>
        <s v="Adam Bala" u="1"/>
        <s v="Liliana Lim Lie Nio" u="1"/>
        <s v="Teresa Lim Hian Nio" u="1"/>
        <s v="Maryanti" u="1"/>
        <s v="Mudjono" u="1"/>
        <s v="Stevanus Ho Se Hioeng" u="1"/>
        <s v="Alfonsus Edison Simanjorang" u="1"/>
        <s v="Paskalis Hosea Husein Kurnia" u="1"/>
        <s v="Peter Setiono Hartono" u="1"/>
        <s v="Johanes Sho" u="1"/>
        <s v="Jeremia Perangin Angin" u="1"/>
        <s v="Charles Pasaribu" u="1"/>
        <s v="Edwin Rivaldi Ngandiri" u="1"/>
        <s v="Aloysius Gonzaga Pantun Sitohang" u="1"/>
        <s v="Lina Susiana" u="1"/>
        <s v="Kamin Sihotang" u="1"/>
        <s v="Ipung Setyadi" u="1"/>
        <s v="Lina Widjaja" u="1"/>
        <s v="Yohanes Tan Yopie" u="1"/>
        <s v="Wina Muria" u="1"/>
        <s v="Ogi Edwardo" u="1"/>
        <s v="Jap Nai Khim" u="1"/>
        <s v="Harto Mulia" u="1"/>
        <s v="Hendrikus Suminta" u="1"/>
        <s v="Leo Budi S Ginting" u="1"/>
        <s v="Anna Maria Mudjinem" u="1"/>
        <s v="Bhudi Susanto" u="1"/>
        <s v="Emilianus Beda" u="1"/>
        <s v="Martinus Manullang" u="1"/>
        <s v="Kurnia Haryanto" u="1"/>
        <s v="Antonius Pujianto" u="1"/>
        <s v="Octavianus Indra Chandra" u="1"/>
        <s v="Kikie Yeo" u="1"/>
        <s v="Paulus Kim An" u="1"/>
        <s v="Dadang Halim" u="1"/>
        <s v="Buan Mukin" u="1"/>
        <s v="Ang Win Nio" u="1"/>
        <s v="Himawan Bustan" u="1"/>
        <s v="Margareta Adah" u="1"/>
        <s v="Noke Laurentius The" u="1"/>
        <s v="Eddy Salomon Ginting" u="1"/>
        <s v="Fransiskus Manik" u="1"/>
        <s v="Juwita Andriani" u="1"/>
        <s v="Maria Mariati" u="1"/>
        <s v="Mantro Simane-Mane" u="1"/>
        <s v="Joko Purwanto" u="1"/>
        <s v="Pius Wahin" u="1"/>
        <s v="Yohanes Sukma Wijaya" u="1"/>
        <s v="Nasib Rudy Pasaribu" u="1"/>
        <s v="Vincentius Endy Tirta Kencana" u="1"/>
        <s v="Bernadeth Muryani" u="1"/>
        <s v="Triyanto" u="1"/>
        <s v="Dominicus Yunanta H." u="1"/>
        <s v="Refanto Fajar Ilham" u="1"/>
        <s v="Albertus Sumardi. H" u="1"/>
        <s v="Herlinda Anggreni" u="1"/>
        <s v="R. Elisabeth Pakpahan" u="1"/>
        <s v="L. Agus Suyanto Prijatna" u="1"/>
        <s v="Yoso Suharto" u="1"/>
        <s v="Eduardus Nai" u="1"/>
        <s v="Tan Ngit Lon" u="1"/>
        <s v="Yohannes Sugiman" u="1"/>
        <s v="Alexander Rejeki Harapan Johar" u="1"/>
        <s v="Marcellinus Jurman" u="1"/>
        <s v="Hadi Aribowo" u="1"/>
        <s v="Ignatius Tjandra Sugiwa" u="1"/>
        <s v="Theresia Rohani" u="1"/>
        <s v="Winston Sudytio" u="1"/>
        <s v="Nikolaus Dora" u="1"/>
        <s v="Ignatius Wendy" u="1"/>
        <s v="Agustinus Sadikin" u="1"/>
        <s v="Khue Mei Ing" u="1"/>
        <s v="Menawati" u="1"/>
        <s v="Fx. Roy Pristian" u="1"/>
        <s v="Elizabeth Widyasari" u="1"/>
        <s v="Rasimah Tarigan" u="1"/>
        <s v="Karina Santy" u="1"/>
        <s v="Teddy Herawan" u="1"/>
        <s v="Sugiharto Budiono" u="1"/>
        <s v="Rika Sinurat" u="1"/>
        <s v="Yohanes Aan" u="1"/>
        <s v="Flavianus Mansuctus Da Gomez" u="1"/>
        <s v="Aloysius Nugroho Winadi" u="1"/>
        <s v="Maria Magdalena Yen Cui Cing" u="1"/>
        <s v="Eddy Setiono Hartono" u="1"/>
        <s v="Johanes Kustomo" u="1"/>
        <s v="Stephanus Yanto" u="1"/>
        <s v="Risa Br Ginting" u="1"/>
        <s v="Indrawati [ Iin ]" u="1"/>
        <s v="Alexius Namsi" u="1"/>
        <s v="Sumijati" u="1"/>
        <s v="Matheus Sumarno" u="1"/>
        <s v="Petrus Firman Lukman" u="1"/>
        <s v="Theresia Tetty Haryani" u="1"/>
        <s v="Antonio Hartoyo Yuwono" u="1"/>
        <s v="Tjahjani Suwita" u="1"/>
        <s v="Yulius Meriam Misno" u="1"/>
        <s v="Yohanes Bambang Mulyono" u="1"/>
        <s v="Ona" u="1"/>
        <s v="Fx  Ardhy ( Tjin Eng )" u="1"/>
        <s v="Martinus Mahi" u="1"/>
        <s v="Ambrosius Sinaga" u="1"/>
        <s v="Ignatius Subardi  " u="1"/>
        <s v="Rohana" u="1"/>
        <s v="Gabriela Aily" u="1"/>
        <s v="Suseno" u="1"/>
        <s v="Lai Kiong Lun" u="1"/>
        <s v="E. Abadi Darmawan" u="1"/>
        <s v="Marcellus Muhamad Arifin" u="1"/>
        <s v="Martinus Nugroho Bayu Alam" u="1"/>
        <s v="Nari Pittiony" u="1"/>
        <s v="Kardiman" u="1"/>
        <s v="Antonius Christian" u="1"/>
        <s v="Lucya" u="1"/>
        <s v="Bong Bunyamin" u="1"/>
        <s v="Yandra S." u="1"/>
        <s v="Liauw Lu Bing" u="1"/>
        <s v="Peter Paulus" u="1"/>
        <s v="Nikolas Ranti" u="1"/>
        <s v="Digdhoyo Andanira Ananda" u="1"/>
        <s v="Tjia Lan Tjen" u="1"/>
        <s v="Marijon Florus Sinaga" u="1"/>
        <s v="Yohanes Joko Dwi Nugroho" u="1"/>
        <s v="Ma Onde" u="1"/>
        <s v="Toni Hendro Abidin Sijabat" u="1"/>
        <s v="Meriyati Lim" u="1"/>
        <s v="Heru Kurnia Hermawan" u="1"/>
        <s v="Berry Fadilah" u="1"/>
        <s v="Yohanes Ngadiyo" u="1"/>
        <s v="Royke Wonggow" u="1"/>
        <s v="Cangling Purba" u="1"/>
        <s v="Teddy Subiantara" u="1"/>
        <s v="Anna Cynthia Wijaya" u="1"/>
        <s v="Sugeng" u="1"/>
        <s v="Filemon Sun Giok Liang" u="1"/>
        <s v="Andy Setiawan" u="1"/>
        <s v="Frans Kurniawan" u="1"/>
        <s v="Marcellinus Demu" u="1"/>
        <s v="Mikael Rahmat" u="1"/>
        <s v="Djani Setiadi" u="1"/>
        <s v="Risdianto Ginting" u="1"/>
        <s v="Agus Yulianto" u="1"/>
        <s v="Robertus Wijihadi" u="1"/>
        <s v="Vinsensius Pandi Adewidjaja" u="1"/>
        <s v="Alfonsus Rondi Idris" u="1"/>
        <s v="Irwan Stephanus Wong" u="1"/>
        <s v="Chasimirus Mudjiono" u="1"/>
        <s v="Bernadinus Andu" u="1"/>
        <s v="Thomas Firman" u="1"/>
        <s v="Bonifasius Marjono" u="1"/>
        <s v="Mulyadi Tjong" u="1"/>
        <s v="Agustinus" u="1"/>
        <s v="Galogat Simbolon" u="1"/>
        <s v="Timoteus Surdy" u="1"/>
        <s v="Yan Halim" u="1"/>
        <s v="Chrisia Iskandar" u="1"/>
        <s v="Fx Suyatno" u="1"/>
        <s v="Uripson Felix Matondang" u="1"/>
        <s v="Immanuel Basuki Wahyu Widodo" u="1"/>
        <s v="Antonius Erwin Handoko" u="1"/>
        <s v="Vinsensius Tjik Fendy" u="1"/>
        <s v="Wanto Limbong" u="1"/>
        <s v="Eddy Mulyanto" u="1"/>
        <s v="Jabeak Simarmata" u="1"/>
        <s v="Sejati Senjaya" u="1"/>
        <s v="Rappel Kornelius Sitepu" u="1"/>
        <s v="Martinus Erhan" u="1"/>
        <s v="Fransiska Ngadiyem" u="1"/>
        <s v="Herybertus Joseph Triwinarto" u="1"/>
        <s v="Edward Sumantri" u="1"/>
        <s v="Saki" u="1"/>
        <s v="Monica Siu Chen" u="1"/>
        <s v="Purwanto Chandra" u="1"/>
        <s v="Kiki Muljadi" u="1"/>
        <s v="Tjen Nie Nie" u="1"/>
        <s v="Hanna Maria Ma Sin Tjit" u="1"/>
        <s v="Heru Aningrat" u="1"/>
        <s v="Parulian Gultom" u="1"/>
        <s v="Henywati" u="1"/>
        <s v="Suryadi" u="1"/>
        <s v="Fidelis Leo" u="1"/>
        <s v="Uri Pratiwi" u="1"/>
        <s v="James Thin" u="1"/>
        <s v="Iskandariati Mulya" u="1"/>
        <s v="Sonny Harjanto" u="1"/>
        <s v="Jo E Pot" u="1"/>
        <s v="Edward Simanjuntak" u="1"/>
        <s v="Ch.J. Robert Chandra" u="1"/>
        <s v="Irwan Wiryadi" u="1"/>
        <s v="Martina Mariati Silalahi" u="1"/>
        <s v="Yati" u="1"/>
        <s v="Fx Hari Subroto" u="1"/>
        <s v="Atanasia Sulastri Velicia" u="1"/>
        <s v="Petrus Saikun Wijaya" u="1"/>
        <s v="Victor Yogie Dharmawan" u="1"/>
        <s v="Antonius Herman Johar Djap" u="1"/>
        <s v="Andreas Sidik" u="1"/>
        <s v="Heribertus Tri Sugiyatno" u="1"/>
        <s v="Maria Suharni Wijaya" u="1"/>
        <s v="Albertus Jimmy Soenanta" u="1"/>
        <s v="Tjoa Tjong Wie" u="1"/>
        <s v="Roman Romana Simarmata" u="1"/>
        <s v="Christoforus Santo" u="1"/>
        <s v="Roflin Sinaga" u="1"/>
        <s v="Hotua Martinus S." u="1"/>
        <s v="Rudy Siswanto" u="1"/>
        <s v="Lim Chun Tek" u="1"/>
        <s v="Eeng Supriadi" u="1"/>
        <s v="Onesimus Telaumbanua" u="1"/>
        <s v="Hengky Atmadja" u="1"/>
        <s v="Yoseph Pangalila" u="1"/>
        <s v="A. Herman Muljadi" u="1"/>
        <s v="Hargono" u="1"/>
        <s v="Stefanus Saruksuk" u="1"/>
        <s v="Thomas Surjadi  L." u="1"/>
        <s v="Lindani Y.T" u="1"/>
        <s v="Michael M E" u="1"/>
        <s v="Djody Surya Tenggara" u="1"/>
        <s v="Lensus Lewar" u="1"/>
        <s v="Alexander Tommy Setiawan" u="1"/>
        <s v="Bambang Halim" u="1"/>
        <s v="Daniel Sutanto" u="1"/>
        <s v="Eva Corona" u="1"/>
        <s v="A Peris Sinaga" u="1"/>
        <s v="Stefanus Oey Soe Djie" u="1"/>
        <s v="Dr. Sinsanta" u="1"/>
        <s v="Susanna Kastini" u="1"/>
        <s v="Agustinus Mangiring Sibarani" u="1"/>
        <s v="Rohfi Surianni" u="1"/>
        <s v="Fandy Aulus" u="1"/>
        <s v="Tm. Suryati / Eryanti" u="1"/>
        <s v="Maryoto" u="1"/>
        <s v="Santius Marbun" u="1"/>
        <s v="Lina" u="1"/>
        <s v="Cicilia Derisa Gustin" u="1"/>
        <s v="Thomas Lie Tje Liong" u="1"/>
        <s v="Suryono" u="1"/>
        <s v="Djohan Yoga" u="1"/>
        <s v="Arianto Zebua" u="1"/>
        <s v="Dionisius Suyatno Keromo" u="1"/>
        <s v=" Albertine Haryani" u="1"/>
        <s v="Brigitta Sian Ling" u="1"/>
        <s v="Yohanes Chrysostomus Hariyanto" u="1"/>
        <s v="Hartono Purwanggono" u="1"/>
        <s v="Antonius Rudi Hartono" u="1"/>
        <s v="Andrew" u="1"/>
        <s v="Djunaidi Hardja" u="1"/>
        <s v="Isidorus Arman Siregar" u="1"/>
        <s v="Indra Afriana" u="1"/>
        <s v="Hieronimus Tanzil Heromixca" u="1"/>
        <s v="Yohanes Hengki" u="1"/>
        <s v="Thomas Latief Sutarjadi" u="1"/>
        <s v="Monika Tjhang Mie Tjhin" u="1"/>
        <s v="Teddy Kristiono" u="1"/>
        <s v="Paulus Suhandi T." u="1"/>
        <s v="Petrus Susanto" u="1"/>
        <s v="Lidwina Luan Ing" u="1"/>
        <s v="Adi Nugroho" u="1"/>
        <s v="Rantiana" u="1"/>
        <s v="Lemba Livinus Ginting" u="1"/>
        <s v="Suhalim Edi" u="1"/>
        <s v="Fonderi" u="1"/>
        <s v="Agustinus Wahyu" u="1"/>
        <s v="Vincentius Tjan Tjahjadi    " u="1"/>
        <s v="Yulia Stephanie Hidayat" u="1"/>
        <s v="Stephanus Gerardus S.      " u="1"/>
        <s v="Aloysius Suharmin" u="1"/>
        <s v="Sihol Nainggolan" u="1"/>
        <s v="Hendrik Irawan" u="1"/>
        <s v="Teotimus Waris Wau" u="1"/>
        <s v="Laurensius Lau In Tjun" u="1"/>
        <s v="Simon Kelik Haryanto" u="1"/>
        <s v="Andy Setiono Hartono" u="1"/>
        <s v="Albertus Mujadi" u="1"/>
        <s v="Darwin Santoso" u="1"/>
        <s v="Surhan" u="1"/>
        <s v="Yohanes Hindarto" u="1"/>
        <s v="Kanaka Halim" u="1"/>
        <s v="Suharto Susilo" u="1"/>
        <s v="Elisabet Yuliani" u="1"/>
        <s v="Rita Layona" u="1"/>
        <s v="Adrianus Daniel Renaldy" u="1"/>
        <s v="Anna Melisa" u="1"/>
        <s v="Antonius Rabiyo" u="1"/>
        <s v="Budiardja Haliman" u="1"/>
        <s v="Lauw Sin Giok ( Hilda )" u="1"/>
        <s v="Rafael Ginting" u="1"/>
        <s v="Marsellus Sale" u="1"/>
        <s v="Suyono Tan" u="1"/>
        <s v="Yusuf Naberi Ginting" u="1"/>
        <s v="Narlin Sihombing" u="1"/>
        <s v="Dominikus Simarmata" u="1"/>
        <s v="Martina Sidebang" u="1"/>
        <s v="Hengky Subagio" u="1"/>
        <s v="Petrus K Natalis" u="1"/>
        <s v="Rickyu Kriswandaru" u="1"/>
        <s v="Joni Daniel" u="1"/>
        <s v="Edi" u="1"/>
        <s v="Ilyas Iskandar" u="1"/>
        <s v="Anselmus Sujianto" u="1"/>
        <s v="Sarinah" u="1"/>
        <s v="Budi Santoso" u="1"/>
        <s v="Herry Hermanto" u="1"/>
        <s v="Konstantinus Naldianus T" u="1"/>
        <s v="Rasman Simarmata" u="1"/>
        <s v="Yunus Efendi" u="1"/>
        <s v="Augustinus Mateus Surjana" u="1"/>
        <s v="Johnny Susanto" u="1"/>
        <s v="Redy Suhanra" u="1"/>
        <s v="Lina Tan Hok Lie" u="1"/>
        <s v="Walter Sinaga" u="1"/>
        <s v="Thomas Bunyamin" u="1"/>
        <s v="Renate Sriyanti" u="1"/>
        <s v="Paulus Dhanny Setiawan" u="1"/>
        <s v="Atari Sutedja" u="1"/>
        <s v="Hin Nio" u="1"/>
        <s v="Suwanto" u="1"/>
        <s v="Rendy Aditya" u="1"/>
        <s v="Irwan Pramasurya" u="1"/>
        <s v="Daniel Teng" u="1"/>
        <s v="Ferdy Supriadi" u="1"/>
        <s v="Alfonsus Popo Susanto" u="1"/>
        <s v="Tjan Suh Fu Paw San" u="1"/>
        <s v="Aristo Arifin" u="1"/>
        <s v="Fransiskus Supandi" u="1"/>
        <s v="Nicolas Kwee Ming Hie" u="1"/>
        <s v="Kwee Siu Ling" u="1"/>
        <s v="Andreas Lewa" u="1"/>
        <s v="Livensius F Baen G" u="1"/>
        <s v="Yoseph Candra Kusuma" u="1"/>
        <s v="Prisilla Liana Susatio" u="1"/>
        <s v="Elly Sutjiadi" u="1"/>
        <s v="Suharti" u="1"/>
        <s v="Adrianus Devin Sutarjadi" u="1"/>
        <s v="Julius Siauw Tjian Sun" u="1"/>
        <s v="Ig. Joh. Rusdy Wirahadi" u="1"/>
        <s v="Bong Min Fu" u="1"/>
        <s v="Antonius Sugi Susanto/Anto" u="1"/>
        <s v="Fx. Suyanta" u="1"/>
        <s v="Gabriel" u="1"/>
        <s v="Marihot Tua Marbun" u="1"/>
        <s v="Paulus Parianto Limas" u="1"/>
        <s v="Suparto" u="1"/>
        <s v="Kristoforus Chairil Sjahputra" u="1"/>
        <s v="Janyse Maria Rau" u="1"/>
        <s v=" Yo Tjoan Wie" u="1"/>
        <s v="Yohanes P.L." u="1"/>
        <s v="Felix Narimo" u="1"/>
        <s v="Hari" u="1"/>
        <s v="Irwan Ridwan" u="1"/>
        <s v="Gatot Sugianto" u="1"/>
        <s v="Antonius Sunarto" u="1"/>
        <s v="Pontas Poncius Situmorang" u="1"/>
        <s v="Edih Susanto" u="1"/>
        <s v="Fransiskus Vincensius Hanapi" u="1"/>
        <s v="Salvator David Aryanto" u="1"/>
        <s v="Ignatius Mujiono" u="1"/>
        <s v="Caroline Wanda" u="1"/>
        <s v="Fransiscus Xaverius Lilik D.M" u="1"/>
        <s v="Stephanie Widianto" u="1"/>
        <s v="Stefanus Cingwan Hidayat" u="1"/>
        <s v="Chrisna Chandra" u="1"/>
        <s v="Sudianto Sinaga" u="1"/>
        <s v="Daniel Wilfried Demu" u="1"/>
        <s v="Gregorius Jan" u="1"/>
        <s v="Yesica Ami Anggraini" u="1"/>
        <s v="Patrisius Marton" u="1"/>
        <s v="Yo Tjoan Wie" u="1"/>
        <s v="Widiawati" u="1"/>
        <s v="Wahyu Yulianto Putro" u="1"/>
      </sharedItems>
    </cacheField>
    <cacheField name="Amount" numFmtId="0">
      <sharedItems containsString="0" containsBlank="1" containsNumber="1" minValue="5000" maxValue="5520000"/>
    </cacheField>
    <cacheField name="Document Date" numFmtId="0">
      <sharedItems containsNonDate="0" containsDate="1" containsString="0" containsBlank="1" minDate="2015-01-01T00:00:00" maxDate="2016-12-02T00:00:00" count="30">
        <d v="2015-12-30T00:00:00"/>
        <d v="2015-07-01T00:00:00"/>
        <d v="2015-08-01T00:00:00"/>
        <d v="2015-09-01T00:00:00"/>
        <d v="2015-10-01T00:00:00"/>
        <d v="2015-11-01T00:00:00"/>
        <d v="2015-12-01T00:00:00"/>
        <d v="2016-01-01T00:00:00"/>
        <d v="2016-02-01T00:00:00"/>
        <d v="2016-03-01T00:00:00"/>
        <d v="2016-04-01T00:00:00"/>
        <d v="2016-05-01T00:00:00"/>
        <d v="2016-06-01T00:00:00"/>
        <d v="2016-07-01T00:00:00"/>
        <d v="2016-08-01T00:00:00"/>
        <d v="2016-09-01T00:00:00"/>
        <d v="2016-10-01T00:00:00"/>
        <d v="2016-11-01T00:00:00"/>
        <d v="2016-12-01T00:00:00"/>
        <m/>
        <d v="2015-01-02T00:00:00" u="1"/>
        <d v="2015-06-01T00:00:00" u="1"/>
        <d v="2015-05-01T00:00:00" u="1"/>
        <d v="2015-04-01T00:00:00" u="1"/>
        <d v="2015-03-15T00:00:00" u="1"/>
        <d v="2015-03-01T00:00:00" u="1"/>
        <d v="2015-02-15T00:00:00" u="1"/>
        <d v="2015-02-01T00:00:00" u="1"/>
        <d v="2015-01-01T00:00:00" u="1"/>
        <d v="2015-01-11T00:00:00" u="1"/>
      </sharedItems>
    </cacheField>
    <cacheField name="Description" numFmtId="0">
      <sharedItems containsBlank="1"/>
    </cacheField>
    <cacheField name="Intensi Code"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Leonardo" refreshedDate="42664.691142708332" createdVersion="5" refreshedVersion="5" minRefreshableVersion="3" recordCount="312">
  <cacheSource type="worksheet">
    <worksheetSource ref="I12:Q324" sheet="IuranSYSebelumnya"/>
  </cacheSource>
  <cacheFields count="9">
    <cacheField name="Gabungan" numFmtId="0">
      <sharedItems containsBlank="1"/>
    </cacheField>
    <cacheField name="Posting Date" numFmtId="0">
      <sharedItems containsNonDate="0" containsDate="1" containsString="0" containsBlank="1" minDate="2015-02-22T00:00:00" maxDate="2016-08-29T00:00:00" count="10">
        <d v="2015-12-30T00:00:00"/>
        <d v="2016-01-31T00:00:00"/>
        <d v="2016-02-28T00:00:00"/>
        <d v="2016-04-17T00:00:00"/>
        <d v="2016-05-29T00:00:00"/>
        <d v="2016-06-26T00:00:00"/>
        <d v="2016-07-31T00:00:00"/>
        <d v="2016-08-28T00:00:00"/>
        <m/>
        <d v="2015-02-22T00:00:00" u="1"/>
      </sharedItems>
    </cacheField>
    <cacheField name="Source Type" numFmtId="0">
      <sharedItems containsBlank="1" count="3">
        <s v="G/L"/>
        <s v="Customer"/>
        <m/>
      </sharedItems>
    </cacheField>
    <cacheField name="No. KK" numFmtId="0">
      <sharedItems containsBlank="1"/>
    </cacheField>
    <cacheField name="Nama" numFmtId="0">
      <sharedItems containsBlank="1" count="30">
        <s v=""/>
        <s v="Arief Wibawa"/>
        <s v="Alex Sudytio"/>
        <s v="Bernardus Yogie Dirga Gunawan"/>
        <s v="Bing Subroto"/>
        <s v="Boen Yoen Tet (Teddy)"/>
        <s v="Budiarto"/>
        <s v="Handoyo Krismanto"/>
        <s v="Hendra Kurniawan"/>
        <s v="Hendro Hartono"/>
        <s v="Heru Prawono"/>
        <s v="Jofenwali"/>
        <s v="Leonardus Tjhin Tje Ming"/>
        <s v="Lie Bui Tjung"/>
        <s v="Ignatius Yanto Hardoyo"/>
        <s v="Purnama Tanuseputra"/>
        <s v="Rudolf Hendricus Poluan"/>
        <s v="Sandy Wijaya"/>
        <s v="Stefanus Tudy Luchman"/>
        <s v="Tommy Prasetyo Utomo"/>
        <s v="Tri Saptono Vinsentius "/>
        <s v="Yohanes Hendy Setiawan"/>
        <s v="Yunius Samara"/>
        <s v="Hadi Suwana"/>
        <s v="Edward"/>
        <s v="Alfonsus Denny Martaguna"/>
        <s v="Julius Margono Teguh Nugroho"/>
        <s v="Yandi Setiawan"/>
        <s v="Pieter Hiu Stanley Setiono"/>
        <m/>
      </sharedItems>
    </cacheField>
    <cacheField name="Amount" numFmtId="0">
      <sharedItems containsString="0" containsBlank="1" containsNumber="1" minValue="5000" maxValue="4980000"/>
    </cacheField>
    <cacheField name="Document Date" numFmtId="0">
      <sharedItems containsNonDate="0" containsDate="1" containsString="0" containsBlank="1" minDate="2015-01-01T00:00:00" maxDate="2016-12-02T00:00:00" count="21">
        <d v="2015-12-30T00:00:00"/>
        <d v="2015-07-01T00:00:00"/>
        <d v="2015-08-01T00:00:00"/>
        <d v="2015-09-01T00:00:00"/>
        <d v="2015-10-01T00:00:00"/>
        <d v="2015-11-01T00:00:00"/>
        <d v="2015-12-01T00:00:00"/>
        <d v="2016-01-01T00:00:00"/>
        <d v="2016-02-01T00:00:00"/>
        <d v="2016-03-01T00:00:00"/>
        <d v="2016-04-01T00:00:00"/>
        <d v="2016-05-01T00:00:00"/>
        <d v="2016-06-01T00:00:00"/>
        <d v="2016-07-01T00:00:00"/>
        <d v="2016-08-01T00:00:00"/>
        <d v="2016-09-01T00:00:00"/>
        <d v="2016-10-01T00:00:00"/>
        <d v="2016-11-01T00:00:00"/>
        <d v="2016-12-01T00:00:00"/>
        <m/>
        <d v="2015-01-01T00:00:00" u="1"/>
      </sharedItems>
    </cacheField>
    <cacheField name="Description" numFmtId="0">
      <sharedItems containsBlank="1"/>
    </cacheField>
    <cacheField name="Intensi Code" numFmtId="0">
      <sharedItems containsBlank="1"/>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312">
  <r>
    <s v="|42368"/>
    <x v="0"/>
    <x v="0"/>
    <m/>
    <x v="0"/>
    <n v="5520000"/>
    <x v="0"/>
    <s v="KPDS - Andreas Rasul 2015"/>
    <s v="KPS-10-10"/>
  </r>
  <r>
    <s v="KK-04597|42186"/>
    <x v="0"/>
    <x v="1"/>
    <s v="KK-04597"/>
    <x v="1"/>
    <n v="20000"/>
    <x v="1"/>
    <s v="DS - Arief Wibawa"/>
    <s v="KPS-10-10"/>
  </r>
  <r>
    <s v="KK-04597|42217"/>
    <x v="0"/>
    <x v="1"/>
    <s v="KK-04597"/>
    <x v="1"/>
    <n v="20000"/>
    <x v="2"/>
    <s v="DS - Arief Wibawa"/>
    <s v="KPS-10-10"/>
  </r>
  <r>
    <s v="KK-04597|42248"/>
    <x v="0"/>
    <x v="1"/>
    <s v="KK-04597"/>
    <x v="1"/>
    <n v="20000"/>
    <x v="3"/>
    <s v="DS - Arief Wibawa"/>
    <s v="KPS-10-10"/>
  </r>
  <r>
    <s v="KK-04597|42278"/>
    <x v="0"/>
    <x v="1"/>
    <s v="KK-04597"/>
    <x v="1"/>
    <n v="20000"/>
    <x v="4"/>
    <s v="DS - Arief Wibawa"/>
    <s v="KPS-10-10"/>
  </r>
  <r>
    <s v="KK-04597|42309"/>
    <x v="0"/>
    <x v="1"/>
    <s v="KK-04597"/>
    <x v="1"/>
    <n v="20000"/>
    <x v="5"/>
    <s v="DS - Arief Wibawa"/>
    <s v="KPS-10-10"/>
  </r>
  <r>
    <s v="KK-04597|42339"/>
    <x v="0"/>
    <x v="1"/>
    <s v="KK-04597"/>
    <x v="1"/>
    <n v="20000"/>
    <x v="6"/>
    <s v="DS - Arief Wibawa"/>
    <s v="KPS-10-10"/>
  </r>
  <r>
    <s v="KK-04598|42186"/>
    <x v="0"/>
    <x v="1"/>
    <s v="KK-04598"/>
    <x v="2"/>
    <n v="25000.000000000004"/>
    <x v="1"/>
    <s v="DS - Alex Sudytio"/>
    <s v="KPS-10-10"/>
  </r>
  <r>
    <s v="KK-04598|42217"/>
    <x v="0"/>
    <x v="1"/>
    <s v="KK-04598"/>
    <x v="2"/>
    <n v="25000.000000000004"/>
    <x v="2"/>
    <s v="DS - Alex Sudytio"/>
    <s v="KPS-10-10"/>
  </r>
  <r>
    <s v="KK-04598|42248"/>
    <x v="0"/>
    <x v="1"/>
    <s v="KK-04598"/>
    <x v="2"/>
    <n v="25000.000000000004"/>
    <x v="3"/>
    <s v="DS - Alex Sudytio"/>
    <s v="KPS-10-10"/>
  </r>
  <r>
    <s v="KK-04598|42278"/>
    <x v="0"/>
    <x v="1"/>
    <s v="KK-04598"/>
    <x v="2"/>
    <n v="25000.000000000004"/>
    <x v="4"/>
    <s v="DS - Alex Sudytio"/>
    <s v="KPS-10-10"/>
  </r>
  <r>
    <s v="KK-04598|42309"/>
    <x v="0"/>
    <x v="1"/>
    <s v="KK-04598"/>
    <x v="2"/>
    <n v="25000.000000000004"/>
    <x v="5"/>
    <s v="DS - Alex Sudytio"/>
    <s v="KPS-10-10"/>
  </r>
  <r>
    <s v="KK-04598|42339"/>
    <x v="0"/>
    <x v="1"/>
    <s v="KK-04598"/>
    <x v="2"/>
    <n v="25000.000000000004"/>
    <x v="6"/>
    <s v="DS - Alex Sudytio"/>
    <s v="KPS-10-10"/>
  </r>
  <r>
    <s v="KK-04599|42186"/>
    <x v="0"/>
    <x v="1"/>
    <s v="KK-04599"/>
    <x v="3"/>
    <n v="50000.000000000007"/>
    <x v="1"/>
    <s v="DS - Bernardus Yogie Dirga Gunawan"/>
    <s v="KPS-10-10"/>
  </r>
  <r>
    <s v="KK-04599|42217"/>
    <x v="0"/>
    <x v="1"/>
    <s v="KK-04599"/>
    <x v="3"/>
    <n v="50000.000000000007"/>
    <x v="2"/>
    <s v="DS - Bernardus Yogie Dirga Gunawan"/>
    <s v="KPS-10-10"/>
  </r>
  <r>
    <s v="KK-04599|42248"/>
    <x v="0"/>
    <x v="1"/>
    <s v="KK-04599"/>
    <x v="3"/>
    <n v="50000.000000000007"/>
    <x v="3"/>
    <s v="DS - Bernardus Yogie Dirga Gunawan"/>
    <s v="KPS-10-10"/>
  </r>
  <r>
    <s v="KK-04599|42278"/>
    <x v="0"/>
    <x v="1"/>
    <s v="KK-04599"/>
    <x v="3"/>
    <n v="50000.000000000007"/>
    <x v="4"/>
    <s v="DS - Bernardus Yogie Dirga Gunawan"/>
    <s v="KPS-10-10"/>
  </r>
  <r>
    <s v="KK-04599|42309"/>
    <x v="0"/>
    <x v="1"/>
    <s v="KK-04599"/>
    <x v="3"/>
    <n v="50000.000000000007"/>
    <x v="5"/>
    <s v="DS - Bernardus Yogie Dirga Gunawan"/>
    <s v="KPS-10-10"/>
  </r>
  <r>
    <s v="KK-04599|42339"/>
    <x v="0"/>
    <x v="1"/>
    <s v="KK-04599"/>
    <x v="3"/>
    <n v="50000.000000000007"/>
    <x v="6"/>
    <s v="DS - Bernardus Yogie Dirga Gunawan"/>
    <s v="KPS-10-10"/>
  </r>
  <r>
    <s v="KK-04600|42186"/>
    <x v="0"/>
    <x v="1"/>
    <s v="KK-04600"/>
    <x v="4"/>
    <n v="15000"/>
    <x v="1"/>
    <s v="DS - Bing Subroto"/>
    <s v="KPS-10-10"/>
  </r>
  <r>
    <s v="KK-04600|42217"/>
    <x v="0"/>
    <x v="1"/>
    <s v="KK-04600"/>
    <x v="4"/>
    <n v="15000"/>
    <x v="2"/>
    <s v="DS - Bing Subroto"/>
    <s v="KPS-10-10"/>
  </r>
  <r>
    <s v="KK-04600|42248"/>
    <x v="0"/>
    <x v="1"/>
    <s v="KK-04600"/>
    <x v="4"/>
    <n v="15000"/>
    <x v="3"/>
    <s v="DS - Bing Subroto"/>
    <s v="KPS-10-10"/>
  </r>
  <r>
    <s v="KK-04600|42278"/>
    <x v="0"/>
    <x v="1"/>
    <s v="KK-04600"/>
    <x v="4"/>
    <n v="15000"/>
    <x v="4"/>
    <s v="DS - Bing Subroto"/>
    <s v="KPS-10-10"/>
  </r>
  <r>
    <s v="KK-04600|42309"/>
    <x v="0"/>
    <x v="1"/>
    <s v="KK-04600"/>
    <x v="4"/>
    <n v="15000"/>
    <x v="5"/>
    <s v="DS - Bing Subroto"/>
    <s v="KPS-10-10"/>
  </r>
  <r>
    <s v="KK-04600|42339"/>
    <x v="0"/>
    <x v="1"/>
    <s v="KK-04600"/>
    <x v="4"/>
    <n v="15000"/>
    <x v="6"/>
    <s v="DS - Bing Subroto"/>
    <s v="KPS-10-10"/>
  </r>
  <r>
    <s v="KK-04601|42186"/>
    <x v="0"/>
    <x v="1"/>
    <s v="KK-04601"/>
    <x v="5"/>
    <n v="20000"/>
    <x v="1"/>
    <s v="DS - Boen Yoen Tet (Teddy)"/>
    <s v="KPS-10-10"/>
  </r>
  <r>
    <s v="KK-04601|42217"/>
    <x v="0"/>
    <x v="1"/>
    <s v="KK-04601"/>
    <x v="5"/>
    <n v="20000"/>
    <x v="2"/>
    <s v="DS - Boen Yoen Tet (Teddy)"/>
    <s v="KPS-10-10"/>
  </r>
  <r>
    <s v="KK-04601|42248"/>
    <x v="0"/>
    <x v="1"/>
    <s v="KK-04601"/>
    <x v="5"/>
    <n v="20000"/>
    <x v="3"/>
    <s v="DS - Boen Yoen Tet (Teddy)"/>
    <s v="KPS-10-10"/>
  </r>
  <r>
    <s v="KK-04601|42278"/>
    <x v="0"/>
    <x v="1"/>
    <s v="KK-04601"/>
    <x v="5"/>
    <n v="20000"/>
    <x v="4"/>
    <s v="DS - Boen Yoen Tet (Teddy)"/>
    <s v="KPS-10-10"/>
  </r>
  <r>
    <s v="KK-04601|42309"/>
    <x v="0"/>
    <x v="1"/>
    <s v="KK-04601"/>
    <x v="5"/>
    <n v="20000"/>
    <x v="5"/>
    <s v="DS - Boen Yoen Tet (Teddy)"/>
    <s v="KPS-10-10"/>
  </r>
  <r>
    <s v="KK-04601|42339"/>
    <x v="0"/>
    <x v="1"/>
    <s v="KK-04601"/>
    <x v="5"/>
    <n v="20000"/>
    <x v="6"/>
    <s v="DS - Boen Yoen Tet (Teddy)"/>
    <s v="KPS-10-10"/>
  </r>
  <r>
    <s v="KK-04602|42186"/>
    <x v="0"/>
    <x v="1"/>
    <s v="KK-04602"/>
    <x v="6"/>
    <n v="10000"/>
    <x v="1"/>
    <s v="DS - Budiarto"/>
    <s v="KPS-10-10"/>
  </r>
  <r>
    <s v="KK-04602|42217"/>
    <x v="0"/>
    <x v="1"/>
    <s v="KK-04602"/>
    <x v="6"/>
    <n v="6000"/>
    <x v="2"/>
    <s v="DS - Budiarto"/>
    <s v="KPS-10-10"/>
  </r>
  <r>
    <s v="KK-04602|42248"/>
    <x v="0"/>
    <x v="1"/>
    <s v="KK-04602"/>
    <x v="6"/>
    <n v="6000"/>
    <x v="3"/>
    <s v="DS - Budiarto"/>
    <s v="KPS-10-10"/>
  </r>
  <r>
    <s v="KK-04602|42278"/>
    <x v="0"/>
    <x v="1"/>
    <s v="KK-04602"/>
    <x v="6"/>
    <n v="6000"/>
    <x v="4"/>
    <s v="DS - Budiarto"/>
    <s v="KPS-10-10"/>
  </r>
  <r>
    <s v="KK-04602|42309"/>
    <x v="0"/>
    <x v="1"/>
    <s v="KK-04602"/>
    <x v="6"/>
    <n v="6000"/>
    <x v="5"/>
    <s v="DS - Budiarto"/>
    <s v="KPS-10-10"/>
  </r>
  <r>
    <s v="KK-04602|42339"/>
    <x v="0"/>
    <x v="1"/>
    <s v="KK-04602"/>
    <x v="6"/>
    <n v="6000"/>
    <x v="6"/>
    <s v="DS - Budiarto"/>
    <s v="KPS-10-10"/>
  </r>
  <r>
    <s v="KK-04605|42186"/>
    <x v="0"/>
    <x v="1"/>
    <s v="KK-04605"/>
    <x v="7"/>
    <n v="50000.000000000007"/>
    <x v="1"/>
    <s v="DS - Handoyo Krismanto"/>
    <s v="KPS-10-10"/>
  </r>
  <r>
    <s v="KK-04605|42217"/>
    <x v="0"/>
    <x v="1"/>
    <s v="KK-04605"/>
    <x v="7"/>
    <n v="50000.000000000007"/>
    <x v="2"/>
    <s v="DS - Handoyo Krismanto"/>
    <s v="KPS-10-10"/>
  </r>
  <r>
    <s v="KK-04605|42248"/>
    <x v="0"/>
    <x v="1"/>
    <s v="KK-04605"/>
    <x v="7"/>
    <n v="50000.000000000007"/>
    <x v="3"/>
    <s v="DS - Handoyo Krismanto"/>
    <s v="KPS-10-10"/>
  </r>
  <r>
    <s v="KK-04605|42278"/>
    <x v="0"/>
    <x v="1"/>
    <s v="KK-04605"/>
    <x v="7"/>
    <n v="50000.000000000007"/>
    <x v="4"/>
    <s v="DS - Handoyo Krismanto"/>
    <s v="KPS-10-10"/>
  </r>
  <r>
    <s v="KK-04605|42309"/>
    <x v="0"/>
    <x v="1"/>
    <s v="KK-04605"/>
    <x v="7"/>
    <n v="50000.000000000007"/>
    <x v="5"/>
    <s v="DS - Handoyo Krismanto"/>
    <s v="KPS-10-10"/>
  </r>
  <r>
    <s v="KK-04605|42339"/>
    <x v="0"/>
    <x v="1"/>
    <s v="KK-04605"/>
    <x v="7"/>
    <n v="50000.000000000007"/>
    <x v="6"/>
    <s v="DS - Handoyo Krismanto"/>
    <s v="KPS-10-10"/>
  </r>
  <r>
    <s v="KK-04606|42186"/>
    <x v="0"/>
    <x v="1"/>
    <s v="KK-04606"/>
    <x v="8"/>
    <n v="50000.000000000007"/>
    <x v="1"/>
    <s v="DS - Hendra Kurniawan"/>
    <s v="KPS-10-10"/>
  </r>
  <r>
    <s v="KK-04606|42217"/>
    <x v="0"/>
    <x v="1"/>
    <s v="KK-04606"/>
    <x v="8"/>
    <n v="50000.000000000007"/>
    <x v="2"/>
    <s v="DS - Hendra Kurniawan"/>
    <s v="KPS-10-10"/>
  </r>
  <r>
    <s v="KK-04606|42248"/>
    <x v="0"/>
    <x v="1"/>
    <s v="KK-04606"/>
    <x v="8"/>
    <n v="50000.000000000007"/>
    <x v="3"/>
    <s v="DS - Hendra Kurniawan"/>
    <s v="KPS-10-10"/>
  </r>
  <r>
    <s v="KK-04606|42278"/>
    <x v="0"/>
    <x v="1"/>
    <s v="KK-04606"/>
    <x v="8"/>
    <n v="50000.000000000007"/>
    <x v="4"/>
    <s v="DS - Hendra Kurniawan"/>
    <s v="KPS-10-10"/>
  </r>
  <r>
    <s v="KK-04606|42309"/>
    <x v="0"/>
    <x v="1"/>
    <s v="KK-04606"/>
    <x v="8"/>
    <n v="50000.000000000007"/>
    <x v="5"/>
    <s v="DS - Hendra Kurniawan"/>
    <s v="KPS-10-10"/>
  </r>
  <r>
    <s v="KK-04606|42339"/>
    <x v="0"/>
    <x v="1"/>
    <s v="KK-04606"/>
    <x v="8"/>
    <n v="50000.000000000007"/>
    <x v="6"/>
    <s v="DS - Hendra Kurniawan"/>
    <s v="KPS-10-10"/>
  </r>
  <r>
    <s v="KK-04607|42186"/>
    <x v="0"/>
    <x v="1"/>
    <s v="KK-04607"/>
    <x v="9"/>
    <n v="150000"/>
    <x v="1"/>
    <s v="DS - Hendro Hartono"/>
    <s v="KPS-10-10"/>
  </r>
  <r>
    <s v="KK-04607|42217"/>
    <x v="0"/>
    <x v="1"/>
    <s v="KK-04607"/>
    <x v="9"/>
    <n v="150000"/>
    <x v="2"/>
    <s v="DS - Hendro Hartono"/>
    <s v="KPS-10-10"/>
  </r>
  <r>
    <s v="KK-04607|42248"/>
    <x v="0"/>
    <x v="1"/>
    <s v="KK-04607"/>
    <x v="9"/>
    <n v="150000"/>
    <x v="3"/>
    <s v="DS - Hendro Hartono"/>
    <s v="KPS-10-10"/>
  </r>
  <r>
    <s v="KK-04607|42278"/>
    <x v="0"/>
    <x v="1"/>
    <s v="KK-04607"/>
    <x v="9"/>
    <n v="150000"/>
    <x v="4"/>
    <s v="DS - Hendro Hartono"/>
    <s v="KPS-10-10"/>
  </r>
  <r>
    <s v="KK-04607|42309"/>
    <x v="0"/>
    <x v="1"/>
    <s v="KK-04607"/>
    <x v="9"/>
    <n v="150000"/>
    <x v="5"/>
    <s v="DS - Hendro Hartono"/>
    <s v="KPS-10-10"/>
  </r>
  <r>
    <s v="KK-04607|42339"/>
    <x v="0"/>
    <x v="1"/>
    <s v="KK-04607"/>
    <x v="9"/>
    <n v="150000"/>
    <x v="6"/>
    <s v="DS - Hendro Hartono"/>
    <s v="KPS-10-10"/>
  </r>
  <r>
    <s v="KK-04608|42186"/>
    <x v="0"/>
    <x v="1"/>
    <s v="KK-04608"/>
    <x v="10"/>
    <n v="30000"/>
    <x v="1"/>
    <s v="DS - Heru Prawono"/>
    <s v="KPS-10-10"/>
  </r>
  <r>
    <s v="KK-04608|42217"/>
    <x v="0"/>
    <x v="1"/>
    <s v="KK-04608"/>
    <x v="10"/>
    <n v="30000"/>
    <x v="2"/>
    <s v="DS - Heru Prawono"/>
    <s v="KPS-10-10"/>
  </r>
  <r>
    <s v="KK-04608|42248"/>
    <x v="0"/>
    <x v="1"/>
    <s v="KK-04608"/>
    <x v="10"/>
    <n v="30000"/>
    <x v="3"/>
    <s v="DS - Heru Prawono"/>
    <s v="KPS-10-10"/>
  </r>
  <r>
    <s v="KK-04608|42278"/>
    <x v="0"/>
    <x v="1"/>
    <s v="KK-04608"/>
    <x v="10"/>
    <n v="30000"/>
    <x v="4"/>
    <s v="DS - Heru Prawono"/>
    <s v="KPS-10-10"/>
  </r>
  <r>
    <s v="KK-04608|42309"/>
    <x v="0"/>
    <x v="1"/>
    <s v="KK-04608"/>
    <x v="10"/>
    <n v="30000"/>
    <x v="5"/>
    <s v="DS - Heru Prawono"/>
    <s v="KPS-10-10"/>
  </r>
  <r>
    <s v="KK-04608|42339"/>
    <x v="0"/>
    <x v="1"/>
    <s v="KK-04608"/>
    <x v="10"/>
    <n v="30000"/>
    <x v="6"/>
    <s v="DS - Heru Prawono"/>
    <s v="KPS-10-10"/>
  </r>
  <r>
    <s v="KK-04609|42186"/>
    <x v="0"/>
    <x v="1"/>
    <s v="KK-04609"/>
    <x v="11"/>
    <n v="25000.000000000004"/>
    <x v="1"/>
    <s v="DS - Jofenwali"/>
    <s v="KPS-10-10"/>
  </r>
  <r>
    <s v="KK-04609|42217"/>
    <x v="0"/>
    <x v="1"/>
    <s v="KK-04609"/>
    <x v="11"/>
    <n v="25000.000000000004"/>
    <x v="2"/>
    <s v="DS - Jofenwali"/>
    <s v="KPS-10-10"/>
  </r>
  <r>
    <s v="KK-04609|42248"/>
    <x v="0"/>
    <x v="1"/>
    <s v="KK-04609"/>
    <x v="11"/>
    <n v="25000.000000000004"/>
    <x v="3"/>
    <s v="DS - Jofenwali"/>
    <s v="KPS-10-10"/>
  </r>
  <r>
    <s v="KK-04609|42278"/>
    <x v="0"/>
    <x v="1"/>
    <s v="KK-04609"/>
    <x v="11"/>
    <n v="25000.000000000004"/>
    <x v="4"/>
    <s v="DS - Jofenwali"/>
    <s v="KPS-10-10"/>
  </r>
  <r>
    <s v="KK-04609|42309"/>
    <x v="0"/>
    <x v="1"/>
    <s v="KK-04609"/>
    <x v="11"/>
    <n v="25000.000000000004"/>
    <x v="5"/>
    <s v="DS - Jofenwali"/>
    <s v="KPS-10-10"/>
  </r>
  <r>
    <s v="KK-04609|42339"/>
    <x v="0"/>
    <x v="1"/>
    <s v="KK-04609"/>
    <x v="11"/>
    <n v="25000.000000000004"/>
    <x v="6"/>
    <s v="DS - Jofenwali"/>
    <s v="KPS-10-10"/>
  </r>
  <r>
    <s v="KK-04611|42186"/>
    <x v="0"/>
    <x v="1"/>
    <s v="KK-04611"/>
    <x v="12"/>
    <n v="10000"/>
    <x v="1"/>
    <s v="DS - Leonardus Tjhin Tje Ming"/>
    <s v="KPS-10-10"/>
  </r>
  <r>
    <s v="KK-04611|42217"/>
    <x v="0"/>
    <x v="1"/>
    <s v="KK-04611"/>
    <x v="12"/>
    <n v="10000"/>
    <x v="2"/>
    <s v="DS - Leonardus Tjhin Tje Ming"/>
    <s v="KPS-10-10"/>
  </r>
  <r>
    <s v="KK-04611|42248"/>
    <x v="0"/>
    <x v="1"/>
    <s v="KK-04611"/>
    <x v="12"/>
    <n v="10000"/>
    <x v="3"/>
    <s v="DS - Leonardus Tjhin Tje Ming"/>
    <s v="KPS-10-10"/>
  </r>
  <r>
    <s v="KK-04611|42278"/>
    <x v="0"/>
    <x v="1"/>
    <s v="KK-04611"/>
    <x v="12"/>
    <n v="10000"/>
    <x v="4"/>
    <s v="DS - Leonardus Tjhin Tje Ming"/>
    <s v="KPS-10-10"/>
  </r>
  <r>
    <s v="KK-04611|42309"/>
    <x v="0"/>
    <x v="1"/>
    <s v="KK-04611"/>
    <x v="12"/>
    <n v="10000"/>
    <x v="5"/>
    <s v="DS - Leonardus Tjhin Tje Ming"/>
    <s v="KPS-10-10"/>
  </r>
  <r>
    <s v="KK-04611|42339"/>
    <x v="0"/>
    <x v="1"/>
    <s v="KK-04611"/>
    <x v="12"/>
    <n v="10000"/>
    <x v="6"/>
    <s v="DS - Leonardus Tjhin Tje Ming"/>
    <s v="KPS-10-10"/>
  </r>
  <r>
    <s v="KK-04612|42186"/>
    <x v="0"/>
    <x v="1"/>
    <s v="KK-04612"/>
    <x v="13"/>
    <n v="5000"/>
    <x v="1"/>
    <s v="DS - Lie Bui Tjung"/>
    <s v="KPS-10-10"/>
  </r>
  <r>
    <s v="KK-04612|42217"/>
    <x v="0"/>
    <x v="1"/>
    <s v="KK-04612"/>
    <x v="13"/>
    <n v="5000"/>
    <x v="2"/>
    <s v="DS - Lie Bui Tjung"/>
    <s v="KPS-10-10"/>
  </r>
  <r>
    <s v="KK-04612|42248"/>
    <x v="0"/>
    <x v="1"/>
    <s v="KK-04612"/>
    <x v="13"/>
    <n v="5000"/>
    <x v="3"/>
    <s v="DS - Lie Bui Tjung"/>
    <s v="KPS-10-10"/>
  </r>
  <r>
    <s v="KK-04612|42278"/>
    <x v="0"/>
    <x v="1"/>
    <s v="KK-04612"/>
    <x v="13"/>
    <n v="5000"/>
    <x v="4"/>
    <s v="DS - Lie Bui Tjung"/>
    <s v="KPS-10-10"/>
  </r>
  <r>
    <s v="KK-04612|42309"/>
    <x v="0"/>
    <x v="1"/>
    <s v="KK-04612"/>
    <x v="13"/>
    <n v="5000"/>
    <x v="5"/>
    <s v="DS - Lie Bui Tjung"/>
    <s v="KPS-10-10"/>
  </r>
  <r>
    <s v="KK-04612|42339"/>
    <x v="0"/>
    <x v="1"/>
    <s v="KK-04612"/>
    <x v="13"/>
    <n v="5000"/>
    <x v="6"/>
    <s v="DS - Lie Bui Tjung"/>
    <s v="KPS-10-10"/>
  </r>
  <r>
    <s v="KK-04613|42186"/>
    <x v="0"/>
    <x v="1"/>
    <s v="KK-04613"/>
    <x v="14"/>
    <n v="20000"/>
    <x v="1"/>
    <s v="DS - Lucia Septiana.P"/>
    <s v="KPS-10-10"/>
  </r>
  <r>
    <s v="KK-04613|42217"/>
    <x v="0"/>
    <x v="1"/>
    <s v="KK-04613"/>
    <x v="14"/>
    <n v="20000"/>
    <x v="2"/>
    <s v="DS - Lucia Septiana.P"/>
    <s v="KPS-10-10"/>
  </r>
  <r>
    <s v="KK-04613|42248"/>
    <x v="0"/>
    <x v="1"/>
    <s v="KK-04613"/>
    <x v="14"/>
    <n v="20000"/>
    <x v="3"/>
    <s v="DS - Lucia Septiana.P"/>
    <s v="KPS-10-10"/>
  </r>
  <r>
    <s v="KK-04613|42278"/>
    <x v="0"/>
    <x v="1"/>
    <s v="KK-04613"/>
    <x v="14"/>
    <n v="20000"/>
    <x v="4"/>
    <s v="DS - Lucia Septiana.P"/>
    <s v="KPS-10-10"/>
  </r>
  <r>
    <s v="KK-04613|42309"/>
    <x v="0"/>
    <x v="1"/>
    <s v="KK-04613"/>
    <x v="14"/>
    <n v="20000"/>
    <x v="5"/>
    <s v="DS - Lucia Septiana.P"/>
    <s v="KPS-10-10"/>
  </r>
  <r>
    <s v="KK-04613|42339"/>
    <x v="0"/>
    <x v="1"/>
    <s v="KK-04613"/>
    <x v="14"/>
    <n v="20000"/>
    <x v="6"/>
    <s v="DS - Lucia Septiana.P"/>
    <s v="KPS-10-10"/>
  </r>
  <r>
    <s v="KK-04616|42186"/>
    <x v="0"/>
    <x v="1"/>
    <s v="KK-04616"/>
    <x v="15"/>
    <n v="50000.000000000007"/>
    <x v="1"/>
    <s v="DS - Purnama Tanuseputra"/>
    <s v="KPS-10-10"/>
  </r>
  <r>
    <s v="KK-04616|42217"/>
    <x v="0"/>
    <x v="1"/>
    <s v="KK-04616"/>
    <x v="15"/>
    <n v="50000.000000000007"/>
    <x v="2"/>
    <s v="DS - Purnama Tanuseputra"/>
    <s v="KPS-10-10"/>
  </r>
  <r>
    <s v="KK-04616|42248"/>
    <x v="0"/>
    <x v="1"/>
    <s v="KK-04616"/>
    <x v="15"/>
    <n v="50000.000000000007"/>
    <x v="3"/>
    <s v="DS - Purnama Tanuseputra"/>
    <s v="KPS-10-10"/>
  </r>
  <r>
    <s v="KK-04616|42278"/>
    <x v="0"/>
    <x v="1"/>
    <s v="KK-04616"/>
    <x v="15"/>
    <n v="50000.000000000007"/>
    <x v="4"/>
    <s v="DS - Purnama Tanuseputra"/>
    <s v="KPS-10-10"/>
  </r>
  <r>
    <s v="KK-04616|42309"/>
    <x v="0"/>
    <x v="1"/>
    <s v="KK-04616"/>
    <x v="15"/>
    <n v="50000.000000000007"/>
    <x v="5"/>
    <s v="DS - Purnama Tanuseputra"/>
    <s v="KPS-10-10"/>
  </r>
  <r>
    <s v="KK-04616|42339"/>
    <x v="0"/>
    <x v="1"/>
    <s v="KK-04616"/>
    <x v="15"/>
    <n v="50000.000000000007"/>
    <x v="6"/>
    <s v="DS - Purnama Tanuseputra"/>
    <s v="KPS-10-10"/>
  </r>
  <r>
    <s v="KK-04617|42186"/>
    <x v="0"/>
    <x v="1"/>
    <s v="KK-04617"/>
    <x v="16"/>
    <n v="20000"/>
    <x v="1"/>
    <s v="DS - Rudolf Hendricus Poluan"/>
    <s v="KPS-10-10"/>
  </r>
  <r>
    <s v="KK-04619|42186"/>
    <x v="0"/>
    <x v="1"/>
    <s v="KK-04619"/>
    <x v="17"/>
    <n v="25000.000000000004"/>
    <x v="1"/>
    <s v="DS - Sandy Wijaya"/>
    <s v="KPS-10-10"/>
  </r>
  <r>
    <s v="KK-04619|42217"/>
    <x v="0"/>
    <x v="1"/>
    <s v="KK-04619"/>
    <x v="17"/>
    <n v="25000.000000000004"/>
    <x v="2"/>
    <s v="DS - Sandy Wijaya"/>
    <s v="KPS-10-10"/>
  </r>
  <r>
    <s v="KK-04619|42248"/>
    <x v="0"/>
    <x v="1"/>
    <s v="KK-04619"/>
    <x v="17"/>
    <n v="25000.000000000004"/>
    <x v="3"/>
    <s v="DS - Sandy Wijaya"/>
    <s v="KPS-10-10"/>
  </r>
  <r>
    <s v="KK-04619|42278"/>
    <x v="0"/>
    <x v="1"/>
    <s v="KK-04619"/>
    <x v="17"/>
    <n v="25000.000000000004"/>
    <x v="4"/>
    <s v="DS - Sandy Wijaya"/>
    <s v="KPS-10-10"/>
  </r>
  <r>
    <s v="KK-04619|42309"/>
    <x v="0"/>
    <x v="1"/>
    <s v="KK-04619"/>
    <x v="17"/>
    <n v="25000.000000000004"/>
    <x v="5"/>
    <s v="DS - Sandy Wijaya"/>
    <s v="KPS-10-10"/>
  </r>
  <r>
    <s v="KK-04619|42339"/>
    <x v="0"/>
    <x v="1"/>
    <s v="KK-04619"/>
    <x v="17"/>
    <n v="25000.000000000004"/>
    <x v="6"/>
    <s v="DS - Sandy Wijaya"/>
    <s v="KPS-10-10"/>
  </r>
  <r>
    <s v="KK-04620|42186"/>
    <x v="0"/>
    <x v="1"/>
    <s v="KK-04620"/>
    <x v="18"/>
    <n v="150000"/>
    <x v="1"/>
    <s v="DS - Stefanus Tudy Luchman"/>
    <s v="KPS-10-10"/>
  </r>
  <r>
    <s v="KK-04620|42217"/>
    <x v="0"/>
    <x v="1"/>
    <s v="KK-04620"/>
    <x v="18"/>
    <n v="150000"/>
    <x v="2"/>
    <s v="DS - Stefanus Tudy Luchman"/>
    <s v="KPS-10-10"/>
  </r>
  <r>
    <s v="KK-04620|42248"/>
    <x v="0"/>
    <x v="1"/>
    <s v="KK-04620"/>
    <x v="18"/>
    <n v="150000"/>
    <x v="3"/>
    <s v="DS - Stefanus Tudy Luchman"/>
    <s v="KPS-10-10"/>
  </r>
  <r>
    <s v="KK-04620|42278"/>
    <x v="0"/>
    <x v="1"/>
    <s v="KK-04620"/>
    <x v="18"/>
    <n v="150000"/>
    <x v="4"/>
    <s v="DS - Stefanus Tudy Luchman"/>
    <s v="KPS-10-10"/>
  </r>
  <r>
    <s v="KK-04620|42309"/>
    <x v="0"/>
    <x v="1"/>
    <s v="KK-04620"/>
    <x v="18"/>
    <n v="150000"/>
    <x v="5"/>
    <s v="DS - Stefanus Tudy Luchman"/>
    <s v="KPS-10-10"/>
  </r>
  <r>
    <s v="KK-04620|42339"/>
    <x v="0"/>
    <x v="1"/>
    <s v="KK-04620"/>
    <x v="18"/>
    <n v="150000"/>
    <x v="6"/>
    <s v="DS - Stefanus Tudy Luchman"/>
    <s v="KPS-10-10"/>
  </r>
  <r>
    <s v="KK-04621|42186"/>
    <x v="0"/>
    <x v="1"/>
    <s v="KK-04621"/>
    <x v="19"/>
    <n v="25000.000000000004"/>
    <x v="1"/>
    <s v="DS - Tommy Prasetyo Utomo"/>
    <s v="KPS-10-10"/>
  </r>
  <r>
    <s v="KK-04621|42217"/>
    <x v="0"/>
    <x v="1"/>
    <s v="KK-04621"/>
    <x v="19"/>
    <n v="25000.000000000004"/>
    <x v="2"/>
    <s v="DS - Tommy Prasetyo Utomo"/>
    <s v="KPS-10-10"/>
  </r>
  <r>
    <s v="KK-04621|42248"/>
    <x v="0"/>
    <x v="1"/>
    <s v="KK-04621"/>
    <x v="19"/>
    <n v="25000.000000000004"/>
    <x v="3"/>
    <s v="DS - Tommy Prasetyo Utomo"/>
    <s v="KPS-10-10"/>
  </r>
  <r>
    <s v="KK-04621|42278"/>
    <x v="0"/>
    <x v="1"/>
    <s v="KK-04621"/>
    <x v="19"/>
    <n v="25000.000000000004"/>
    <x v="4"/>
    <s v="DS - Tommy Prasetyo Utomo"/>
    <s v="KPS-10-10"/>
  </r>
  <r>
    <s v="KK-04621|42309"/>
    <x v="0"/>
    <x v="1"/>
    <s v="KK-04621"/>
    <x v="19"/>
    <n v="25000.000000000004"/>
    <x v="5"/>
    <s v="DS - Tommy Prasetyo Utomo"/>
    <s v="KPS-10-10"/>
  </r>
  <r>
    <s v="KK-04621|42339"/>
    <x v="0"/>
    <x v="1"/>
    <s v="KK-04621"/>
    <x v="19"/>
    <n v="25000.000000000004"/>
    <x v="6"/>
    <s v="DS - Tommy Prasetyo Utomo"/>
    <s v="KPS-10-10"/>
  </r>
  <r>
    <s v="KK-04622|42186"/>
    <x v="0"/>
    <x v="1"/>
    <s v="KK-04622"/>
    <x v="20"/>
    <n v="25000.000000000004"/>
    <x v="1"/>
    <s v="DS - Tri Saptono Vinsentius "/>
    <s v="KPS-10-10"/>
  </r>
  <r>
    <s v="KK-04622|42217"/>
    <x v="0"/>
    <x v="1"/>
    <s v="KK-04622"/>
    <x v="20"/>
    <n v="25000.000000000004"/>
    <x v="2"/>
    <s v="DS - Tri Saptono Vinsentius "/>
    <s v="KPS-10-10"/>
  </r>
  <r>
    <s v="KK-04622|42248"/>
    <x v="0"/>
    <x v="1"/>
    <s v="KK-04622"/>
    <x v="20"/>
    <n v="25000.000000000004"/>
    <x v="3"/>
    <s v="DS - Tri Saptono Vinsentius "/>
    <s v="KPS-10-10"/>
  </r>
  <r>
    <s v="KK-04622|42278"/>
    <x v="0"/>
    <x v="1"/>
    <s v="KK-04622"/>
    <x v="20"/>
    <n v="25000.000000000004"/>
    <x v="4"/>
    <s v="DS - Tri Saptono Vinsentius "/>
    <s v="KPS-10-10"/>
  </r>
  <r>
    <s v="KK-04622|42309"/>
    <x v="0"/>
    <x v="1"/>
    <s v="KK-04622"/>
    <x v="20"/>
    <n v="25000.000000000004"/>
    <x v="5"/>
    <s v="DS - Tri Saptono Vinsentius "/>
    <s v="KPS-10-10"/>
  </r>
  <r>
    <s v="KK-04622|42339"/>
    <x v="0"/>
    <x v="1"/>
    <s v="KK-04622"/>
    <x v="20"/>
    <n v="25000.000000000004"/>
    <x v="6"/>
    <s v="DS - Tri Saptono Vinsentius "/>
    <s v="KPS-10-10"/>
  </r>
  <r>
    <s v="KK-04624|42186"/>
    <x v="0"/>
    <x v="1"/>
    <s v="KK-04624"/>
    <x v="21"/>
    <n v="40000"/>
    <x v="1"/>
    <s v="DS - Yohanes Hendy Setiawan"/>
    <s v="KPS-10-10"/>
  </r>
  <r>
    <s v="KK-04624|42217"/>
    <x v="0"/>
    <x v="1"/>
    <s v="KK-04624"/>
    <x v="21"/>
    <n v="40000"/>
    <x v="2"/>
    <s v="DS - Yohanes Hendy Setiawan"/>
    <s v="KPS-10-10"/>
  </r>
  <r>
    <s v="KK-04624|42248"/>
    <x v="0"/>
    <x v="1"/>
    <s v="KK-04624"/>
    <x v="21"/>
    <n v="40000"/>
    <x v="3"/>
    <s v="DS - Yohanes Hendy Setiawan"/>
    <s v="KPS-10-10"/>
  </r>
  <r>
    <s v="KK-04624|42278"/>
    <x v="0"/>
    <x v="1"/>
    <s v="KK-04624"/>
    <x v="21"/>
    <n v="40000"/>
    <x v="4"/>
    <s v="DS - Yohanes Hendy Setiawan"/>
    <s v="KPS-10-10"/>
  </r>
  <r>
    <s v="KK-04624|42309"/>
    <x v="0"/>
    <x v="1"/>
    <s v="KK-04624"/>
    <x v="21"/>
    <n v="40000"/>
    <x v="5"/>
    <s v="DS - Yohanes Hendy Setiawan"/>
    <s v="KPS-10-10"/>
  </r>
  <r>
    <s v="KK-04624|42339"/>
    <x v="0"/>
    <x v="1"/>
    <s v="KK-04624"/>
    <x v="21"/>
    <n v="40000"/>
    <x v="6"/>
    <s v="DS - Yohanes Hendy Setiawan"/>
    <s v="KPS-10-10"/>
  </r>
  <r>
    <s v="KK-04625|42186"/>
    <x v="0"/>
    <x v="1"/>
    <s v="KK-04625"/>
    <x v="22"/>
    <n v="100000.00000000001"/>
    <x v="1"/>
    <s v="DS - Yunius Samara"/>
    <s v="KPS-10-10"/>
  </r>
  <r>
    <s v="KK-04625|42217"/>
    <x v="0"/>
    <x v="1"/>
    <s v="KK-04625"/>
    <x v="22"/>
    <n v="100000.00000000001"/>
    <x v="2"/>
    <s v="DS - Yunius Samara"/>
    <s v="KPS-10-10"/>
  </r>
  <r>
    <s v="KK-04625|42248"/>
    <x v="0"/>
    <x v="1"/>
    <s v="KK-04625"/>
    <x v="22"/>
    <n v="100000.00000000001"/>
    <x v="3"/>
    <s v="DS - Yunius Samara"/>
    <s v="KPS-10-10"/>
  </r>
  <r>
    <s v="KK-04625|42278"/>
    <x v="0"/>
    <x v="1"/>
    <s v="KK-04625"/>
    <x v="22"/>
    <n v="100000.00000000001"/>
    <x v="4"/>
    <s v="DS - Yunius Samara"/>
    <s v="KPS-10-10"/>
  </r>
  <r>
    <s v="KK-04625|42309"/>
    <x v="0"/>
    <x v="1"/>
    <s v="KK-04625"/>
    <x v="22"/>
    <n v="100000.00000000001"/>
    <x v="5"/>
    <s v="DS - Yunius Samara"/>
    <s v="KPS-10-10"/>
  </r>
  <r>
    <s v="KK-04625|42339"/>
    <x v="0"/>
    <x v="1"/>
    <s v="KK-04625"/>
    <x v="22"/>
    <n v="100000.00000000001"/>
    <x v="6"/>
    <s v="DS - Yunius Samara"/>
    <s v="KPS-10-10"/>
  </r>
  <r>
    <s v="KK-04626|42186"/>
    <x v="0"/>
    <x v="1"/>
    <s v="KK-04626"/>
    <x v="23"/>
    <n v="25000.000000000004"/>
    <x v="1"/>
    <s v="DS - Hadi Suwana"/>
    <s v="KPS-10-10"/>
  </r>
  <r>
    <s v="KK-04626|42217"/>
    <x v="0"/>
    <x v="1"/>
    <s v="KK-04626"/>
    <x v="23"/>
    <n v="25000.000000000004"/>
    <x v="2"/>
    <s v="DS - Hadi Suwana"/>
    <s v="KPS-10-10"/>
  </r>
  <r>
    <s v="KK-04626|42248"/>
    <x v="0"/>
    <x v="1"/>
    <s v="KK-04626"/>
    <x v="23"/>
    <n v="25000.000000000004"/>
    <x v="3"/>
    <s v="DS - Hadi Suwana"/>
    <s v="KPS-10-10"/>
  </r>
  <r>
    <s v="KK-04626|42278"/>
    <x v="0"/>
    <x v="1"/>
    <s v="KK-04626"/>
    <x v="23"/>
    <n v="25000.000000000004"/>
    <x v="4"/>
    <s v="DS - Hadi Suwana"/>
    <s v="KPS-10-10"/>
  </r>
  <r>
    <s v="KK-04626|42309"/>
    <x v="0"/>
    <x v="1"/>
    <s v="KK-04626"/>
    <x v="23"/>
    <n v="25000.000000000004"/>
    <x v="5"/>
    <s v="DS - Hadi Suwana"/>
    <s v="KPS-10-10"/>
  </r>
  <r>
    <s v="KK-04626|42339"/>
    <x v="0"/>
    <x v="1"/>
    <s v="KK-04626"/>
    <x v="23"/>
    <n v="25000.000000000004"/>
    <x v="6"/>
    <s v="DS - Hadi Suwana"/>
    <s v="KPS-10-10"/>
  </r>
  <r>
    <s v="|42370"/>
    <x v="1"/>
    <x v="0"/>
    <m/>
    <x v="0"/>
    <n v="20000"/>
    <x v="7"/>
    <s v="DS - Andreas Rasul"/>
    <s v="KPS-10-10"/>
  </r>
  <r>
    <s v="KK-04599|42370"/>
    <x v="1"/>
    <x v="1"/>
    <s v="KK-04599"/>
    <x v="3"/>
    <n v="50000.000000000007"/>
    <x v="7"/>
    <s v="DS - Bernardus Yogie Dirga Gunawan"/>
    <s v="KPS-10-10"/>
  </r>
  <r>
    <s v="KK-04599|42401"/>
    <x v="1"/>
    <x v="1"/>
    <s v="KK-04599"/>
    <x v="3"/>
    <n v="50000.000000000007"/>
    <x v="8"/>
    <s v="DS - Bernardus Yogie Dirga Gunawan"/>
    <s v="KPS-10-10"/>
  </r>
  <r>
    <s v="KK-04626|42370"/>
    <x v="1"/>
    <x v="1"/>
    <s v="KK-04626"/>
    <x v="23"/>
    <n v="25000.000000000004"/>
    <x v="7"/>
    <s v="DS - Hadi Suwana"/>
    <s v="KPS-10-10"/>
  </r>
  <r>
    <s v="KK-04626|42401"/>
    <x v="1"/>
    <x v="1"/>
    <s v="KK-04626"/>
    <x v="23"/>
    <n v="25000.000000000004"/>
    <x v="8"/>
    <s v="DS - Hadi Suwana"/>
    <s v="KPS-10-10"/>
  </r>
  <r>
    <s v="KK-04626|42430"/>
    <x v="1"/>
    <x v="1"/>
    <s v="KK-04626"/>
    <x v="23"/>
    <n v="25000.000000000004"/>
    <x v="9"/>
    <s v="DS - Hadi Suwana"/>
    <s v="KPS-10-10"/>
  </r>
  <r>
    <s v="KK-04626|42461"/>
    <x v="1"/>
    <x v="1"/>
    <s v="KK-04626"/>
    <x v="23"/>
    <n v="25000.000000000004"/>
    <x v="10"/>
    <s v="DS - Hadi Suwana"/>
    <s v="KPS-10-10"/>
  </r>
  <r>
    <s v="KK-04607|42370"/>
    <x v="1"/>
    <x v="1"/>
    <s v="KK-04607"/>
    <x v="9"/>
    <n v="150000"/>
    <x v="7"/>
    <s v="DS - Hendro Hartono"/>
    <s v="KPS-10-10"/>
  </r>
  <r>
    <s v="KK-04608|42370"/>
    <x v="1"/>
    <x v="1"/>
    <s v="KK-04608"/>
    <x v="10"/>
    <n v="30000"/>
    <x v="7"/>
    <s v="DS - Heru Prawono"/>
    <s v="KPS-10-10"/>
  </r>
  <r>
    <s v="KK-04611|42370"/>
    <x v="1"/>
    <x v="1"/>
    <s v="KK-04611"/>
    <x v="12"/>
    <n v="10000"/>
    <x v="7"/>
    <s v="DS - Leonardus Tjhin Tje Ming"/>
    <s v="KPS-10-10"/>
  </r>
  <r>
    <s v="KK-04611|42401"/>
    <x v="1"/>
    <x v="1"/>
    <s v="KK-04611"/>
    <x v="12"/>
    <n v="10000"/>
    <x v="8"/>
    <s v="DS - Leonardus Tjhin Tje Ming"/>
    <s v="KPS-10-10"/>
  </r>
  <r>
    <s v="KK-04611|42430"/>
    <x v="1"/>
    <x v="1"/>
    <s v="KK-04611"/>
    <x v="12"/>
    <n v="10000"/>
    <x v="9"/>
    <s v="DS - Leonardus Tjhin Tje Ming"/>
    <s v="KPS-10-10"/>
  </r>
  <r>
    <s v="KK-04620|42370"/>
    <x v="1"/>
    <x v="1"/>
    <s v="KK-04620"/>
    <x v="18"/>
    <n v="150000"/>
    <x v="7"/>
    <s v="DS - Stefanus Tudy Luchman"/>
    <s v="KPS-10-10"/>
  </r>
  <r>
    <s v="KK-04620|42401"/>
    <x v="1"/>
    <x v="1"/>
    <s v="KK-04620"/>
    <x v="18"/>
    <n v="150000"/>
    <x v="8"/>
    <s v="DS - Stefanus Tudy Luchman"/>
    <s v="KPS-10-10"/>
  </r>
  <r>
    <s v="KK-04620|42430"/>
    <x v="1"/>
    <x v="1"/>
    <s v="KK-04620"/>
    <x v="18"/>
    <n v="150000"/>
    <x v="9"/>
    <s v="DS - Stefanus Tudy Luchman"/>
    <s v="KPS-10-10"/>
  </r>
  <r>
    <s v="KK-04620|42461"/>
    <x v="1"/>
    <x v="1"/>
    <s v="KK-04620"/>
    <x v="18"/>
    <n v="150000"/>
    <x v="10"/>
    <s v="DS - Stefanus Tudy Luchman"/>
    <s v="KPS-10-10"/>
  </r>
  <r>
    <s v="KK-04620|42491"/>
    <x v="1"/>
    <x v="1"/>
    <s v="KK-04620"/>
    <x v="18"/>
    <n v="150000"/>
    <x v="11"/>
    <s v="DS - Stefanus Tudy Luchman"/>
    <s v="KPS-10-10"/>
  </r>
  <r>
    <s v="KK-04620|42522"/>
    <x v="1"/>
    <x v="1"/>
    <s v="KK-04620"/>
    <x v="18"/>
    <n v="150000"/>
    <x v="12"/>
    <s v="DS - Stefanus Tudy Luchman"/>
    <s v="KPS-10-10"/>
  </r>
  <r>
    <s v="KK-04621|42370"/>
    <x v="1"/>
    <x v="1"/>
    <s v="KK-04621"/>
    <x v="19"/>
    <n v="25000.000000000004"/>
    <x v="7"/>
    <s v="DS - Tommy Prasetyo Utomo"/>
    <s v="KPS-10-10"/>
  </r>
  <r>
    <s v="KK-04625|42370"/>
    <x v="1"/>
    <x v="1"/>
    <s v="KK-04625"/>
    <x v="22"/>
    <n v="100000.00000000001"/>
    <x v="7"/>
    <s v="DS - Yunius Samara"/>
    <s v="KPS-10-10"/>
  </r>
  <r>
    <s v="KK-04597|42370"/>
    <x v="2"/>
    <x v="1"/>
    <s v="KK-04597"/>
    <x v="1"/>
    <n v="20000"/>
    <x v="7"/>
    <s v="DS - Arief Wibawa"/>
    <s v="KPS-10-10"/>
  </r>
  <r>
    <s v="KK-04597|42401"/>
    <x v="2"/>
    <x v="1"/>
    <s v="KK-04597"/>
    <x v="1"/>
    <n v="20000"/>
    <x v="8"/>
    <s v="DS - Arief Wibawa"/>
    <s v="KPS-10-10"/>
  </r>
  <r>
    <s v="KK-04597|42430"/>
    <x v="2"/>
    <x v="1"/>
    <s v="KK-04597"/>
    <x v="1"/>
    <n v="20000"/>
    <x v="9"/>
    <s v="DS - Arief Wibawa"/>
    <s v="KPS-10-10"/>
  </r>
  <r>
    <s v="KK-04604|42186"/>
    <x v="2"/>
    <x v="1"/>
    <s v="KK-04604"/>
    <x v="24"/>
    <n v="60000"/>
    <x v="1"/>
    <s v="DS - Dobbie Poniman"/>
    <s v="KPS-10-10"/>
  </r>
  <r>
    <s v="KK-04604|42217"/>
    <x v="2"/>
    <x v="1"/>
    <s v="KK-04604"/>
    <x v="24"/>
    <n v="15000"/>
    <x v="2"/>
    <s v="DS - Dobbie Poniman"/>
    <s v="KPS-10-10"/>
  </r>
  <r>
    <s v="KK-04604|42248"/>
    <x v="2"/>
    <x v="1"/>
    <s v="KK-04604"/>
    <x v="24"/>
    <n v="15000"/>
    <x v="3"/>
    <s v="DS - Dobbie Poniman"/>
    <s v="KPS-10-10"/>
  </r>
  <r>
    <s v="KK-04604|42278"/>
    <x v="2"/>
    <x v="1"/>
    <s v="KK-04604"/>
    <x v="24"/>
    <n v="15000"/>
    <x v="4"/>
    <s v="DS - Dobbie Poniman"/>
    <s v="KPS-10-10"/>
  </r>
  <r>
    <s v="KK-04604|42309"/>
    <x v="2"/>
    <x v="1"/>
    <s v="KK-04604"/>
    <x v="24"/>
    <n v="15000"/>
    <x v="5"/>
    <s v="DS - Dobbie Poniman"/>
    <s v="KPS-10-10"/>
  </r>
  <r>
    <s v="KK-04604|42339"/>
    <x v="2"/>
    <x v="1"/>
    <s v="KK-04604"/>
    <x v="24"/>
    <n v="15000"/>
    <x v="6"/>
    <s v="DS - Dobbie Poniman"/>
    <s v="KPS-10-10"/>
  </r>
  <r>
    <s v="KK-04606|42370"/>
    <x v="2"/>
    <x v="1"/>
    <s v="KK-04606"/>
    <x v="8"/>
    <n v="50000.000000000007"/>
    <x v="7"/>
    <s v="DS - Hendra Kurniawan"/>
    <s v="KPS-10-10"/>
  </r>
  <r>
    <s v="KK-04606|42401"/>
    <x v="2"/>
    <x v="1"/>
    <s v="KK-04606"/>
    <x v="8"/>
    <n v="50000.000000000007"/>
    <x v="8"/>
    <s v="DS - Hendra Kurniawan"/>
    <s v="KPS-10-10"/>
  </r>
  <r>
    <s v="KK-04606|42430"/>
    <x v="2"/>
    <x v="1"/>
    <s v="KK-04606"/>
    <x v="8"/>
    <n v="50000.000000000007"/>
    <x v="9"/>
    <s v="DS - Hendra Kurniawan"/>
    <s v="KPS-10-10"/>
  </r>
  <r>
    <s v="KK-04608|42401"/>
    <x v="2"/>
    <x v="1"/>
    <s v="KK-04608"/>
    <x v="10"/>
    <n v="30000"/>
    <x v="8"/>
    <s v="DS - Heru Prawono"/>
    <s v="KPS-10-10"/>
  </r>
  <r>
    <s v="KK-04609|42370"/>
    <x v="2"/>
    <x v="1"/>
    <s v="KK-04609"/>
    <x v="11"/>
    <n v="25000.000000000004"/>
    <x v="7"/>
    <s v="DS - Jofenwali"/>
    <s v="KPS-10-10"/>
  </r>
  <r>
    <s v="KK-04609|42401"/>
    <x v="2"/>
    <x v="1"/>
    <s v="KK-04609"/>
    <x v="11"/>
    <n v="25000.000000000004"/>
    <x v="8"/>
    <s v="DS - Jofenwali"/>
    <s v="KPS-10-10"/>
  </r>
  <r>
    <s v="KK-04613|42370"/>
    <x v="2"/>
    <x v="1"/>
    <s v="KK-04613"/>
    <x v="14"/>
    <n v="20000"/>
    <x v="7"/>
    <s v="DS - Lucia Septiana.P"/>
    <s v="KPS-10-10"/>
  </r>
  <r>
    <s v="KK-04613|42401"/>
    <x v="2"/>
    <x v="1"/>
    <s v="KK-04613"/>
    <x v="14"/>
    <n v="20000"/>
    <x v="8"/>
    <s v="DS - Lucia Septiana.P"/>
    <s v="KPS-10-10"/>
  </r>
  <r>
    <s v="KK-04613|42430"/>
    <x v="2"/>
    <x v="1"/>
    <s v="KK-04613"/>
    <x v="14"/>
    <n v="20000"/>
    <x v="9"/>
    <s v="DS - Lucia Septiana.P"/>
    <s v="KPS-10-10"/>
  </r>
  <r>
    <s v="KK-04613|42461"/>
    <x v="2"/>
    <x v="1"/>
    <s v="KK-04613"/>
    <x v="14"/>
    <n v="20000"/>
    <x v="10"/>
    <s v="DS - Lucia Septiana.P"/>
    <s v="KPS-10-10"/>
  </r>
  <r>
    <s v="KK-04617|42217"/>
    <x v="2"/>
    <x v="1"/>
    <s v="KK-04617"/>
    <x v="16"/>
    <n v="20000"/>
    <x v="2"/>
    <s v="DS - Rudolf Hendricus Poluan"/>
    <s v="KPS-10-10"/>
  </r>
  <r>
    <s v="KK-04617|42248"/>
    <x v="2"/>
    <x v="1"/>
    <s v="KK-04617"/>
    <x v="16"/>
    <n v="20000"/>
    <x v="3"/>
    <s v="DS - Rudolf Hendricus Poluan"/>
    <s v="KPS-10-10"/>
  </r>
  <r>
    <s v="KK-04617|42278"/>
    <x v="2"/>
    <x v="1"/>
    <s v="KK-04617"/>
    <x v="16"/>
    <n v="20000"/>
    <x v="4"/>
    <s v="DS - Rudolf Hendricus Poluan"/>
    <s v="KPS-10-10"/>
  </r>
  <r>
    <s v="KK-04617|42309"/>
    <x v="2"/>
    <x v="1"/>
    <s v="KK-04617"/>
    <x v="16"/>
    <n v="20000"/>
    <x v="5"/>
    <s v="DS - Rudolf Hendricus Poluan"/>
    <s v="KPS-10-10"/>
  </r>
  <r>
    <s v="KK-04617|42339"/>
    <x v="2"/>
    <x v="1"/>
    <s v="KK-04617"/>
    <x v="16"/>
    <n v="20000"/>
    <x v="6"/>
    <s v="DS - Rudolf Hendricus Poluan"/>
    <s v="KPS-10-10"/>
  </r>
  <r>
    <s v="KK-04621|42401"/>
    <x v="2"/>
    <x v="1"/>
    <s v="KK-04621"/>
    <x v="19"/>
    <n v="25000.000000000004"/>
    <x v="8"/>
    <s v="DS - Tommy Prasetyo Utomo"/>
    <s v="KPS-10-10"/>
  </r>
  <r>
    <s v="KK-04622|42370"/>
    <x v="2"/>
    <x v="1"/>
    <s v="KK-04622"/>
    <x v="20"/>
    <n v="35000"/>
    <x v="7"/>
    <s v="DS - Tri Saptono Vinsentius "/>
    <s v="KPS-10-10"/>
  </r>
  <r>
    <s v="KK-04624|42370"/>
    <x v="2"/>
    <x v="1"/>
    <s v="KK-04624"/>
    <x v="21"/>
    <n v="40000"/>
    <x v="7"/>
    <s v="DS - Yohanes Hendy Setiawan"/>
    <s v="KPS-10-10"/>
  </r>
  <r>
    <s v="KK-04624|42401"/>
    <x v="2"/>
    <x v="1"/>
    <s v="KK-04624"/>
    <x v="21"/>
    <n v="40000"/>
    <x v="8"/>
    <s v="DS - Yohanes Hendy Setiawan"/>
    <s v="KPS-10-10"/>
  </r>
  <r>
    <s v="KK-04624|42430"/>
    <x v="2"/>
    <x v="1"/>
    <s v="KK-04624"/>
    <x v="21"/>
    <n v="40000"/>
    <x v="9"/>
    <s v="DS - Yohanes Hendy Setiawan"/>
    <s v="KPS-10-10"/>
  </r>
  <r>
    <s v="KK-04624|42461"/>
    <x v="2"/>
    <x v="1"/>
    <s v="KK-04624"/>
    <x v="21"/>
    <n v="40000"/>
    <x v="10"/>
    <s v="DS - Yohanes Hendy Setiawan"/>
    <s v="KPS-10-10"/>
  </r>
  <r>
    <s v="KK-04624|42491"/>
    <x v="2"/>
    <x v="1"/>
    <s v="KK-04624"/>
    <x v="21"/>
    <n v="40000"/>
    <x v="11"/>
    <s v="DS - Yohanes Hendy Setiawan"/>
    <s v="KPS-10-10"/>
  </r>
  <r>
    <s v="KK-04624|42522"/>
    <x v="2"/>
    <x v="1"/>
    <s v="KK-04624"/>
    <x v="21"/>
    <n v="40000"/>
    <x v="12"/>
    <s v="DS - Yohanes Hendy Setiawan"/>
    <s v="KPS-10-10"/>
  </r>
  <r>
    <s v="KK-04601|42370"/>
    <x v="3"/>
    <x v="1"/>
    <s v="KK-04601"/>
    <x v="5"/>
    <n v="20000"/>
    <x v="7"/>
    <s v="DS - Boen Yoen Tet (Teddy)"/>
    <s v="KPS-10-10"/>
  </r>
  <r>
    <s v="KK-04601|42401"/>
    <x v="3"/>
    <x v="1"/>
    <s v="KK-04601"/>
    <x v="5"/>
    <n v="20000"/>
    <x v="8"/>
    <s v="DS - Boen Yoen Tet (Teddy)"/>
    <s v="KPS-10-10"/>
  </r>
  <r>
    <s v="KK-04601|42430"/>
    <x v="3"/>
    <x v="1"/>
    <s v="KK-04601"/>
    <x v="5"/>
    <n v="20000"/>
    <x v="9"/>
    <s v="DS - Boen Yoen Tet (Teddy)"/>
    <s v="KPS-10-10"/>
  </r>
  <r>
    <s v="KK-04601|42461"/>
    <x v="3"/>
    <x v="1"/>
    <s v="KK-04601"/>
    <x v="5"/>
    <n v="20000"/>
    <x v="10"/>
    <s v="DS - Boen Yoen Tet (Teddy)"/>
    <s v="KPS-10-10"/>
  </r>
  <r>
    <s v="KK-04605|42370"/>
    <x v="3"/>
    <x v="1"/>
    <s v="KK-04605"/>
    <x v="7"/>
    <n v="25000.000000000004"/>
    <x v="7"/>
    <s v="DS - Handoyo Krismanto"/>
    <s v="KPS-10-10"/>
  </r>
  <r>
    <s v="KK-04605|42401"/>
    <x v="3"/>
    <x v="1"/>
    <s v="KK-04605"/>
    <x v="7"/>
    <n v="25000.000000000004"/>
    <x v="8"/>
    <s v="DS - Handoyo Krismanto"/>
    <s v="KPS-10-10"/>
  </r>
  <r>
    <s v="KK-04605|42430"/>
    <x v="3"/>
    <x v="1"/>
    <s v="KK-04605"/>
    <x v="7"/>
    <n v="25000.000000000004"/>
    <x v="9"/>
    <s v="DS - Handoyo Krismanto"/>
    <s v="KPS-10-10"/>
  </r>
  <r>
    <s v="KK-04607|42401"/>
    <x v="3"/>
    <x v="1"/>
    <s v="KK-04607"/>
    <x v="9"/>
    <n v="150000"/>
    <x v="8"/>
    <s v="DS - Hendro Hartono"/>
    <s v="KPS-10-10"/>
  </r>
  <r>
    <s v="KK-04608|42430"/>
    <x v="3"/>
    <x v="1"/>
    <s v="KK-04608"/>
    <x v="10"/>
    <n v="30000"/>
    <x v="9"/>
    <s v="DS - Heru Prawono"/>
    <s v="KPS-10-10"/>
  </r>
  <r>
    <s v="KK-04608|42461"/>
    <x v="3"/>
    <x v="1"/>
    <s v="KK-04608"/>
    <x v="10"/>
    <n v="30000"/>
    <x v="10"/>
    <s v="DS - Heru Prawono"/>
    <s v="KPS-10-10"/>
  </r>
  <r>
    <s v="KK-04616|42370"/>
    <x v="3"/>
    <x v="1"/>
    <s v="KK-04616"/>
    <x v="15"/>
    <n v="50000.000000000007"/>
    <x v="7"/>
    <s v="DS - Purnama Tanuseputra"/>
    <s v="KPS-10-10"/>
  </r>
  <r>
    <s v="KK-04616|42401"/>
    <x v="3"/>
    <x v="1"/>
    <s v="KK-04616"/>
    <x v="15"/>
    <n v="50000.000000000007"/>
    <x v="8"/>
    <s v="DS - Purnama Tanuseputra"/>
    <s v="KPS-10-10"/>
  </r>
  <r>
    <s v="KK-04616|42430"/>
    <x v="3"/>
    <x v="1"/>
    <s v="KK-04616"/>
    <x v="15"/>
    <n v="50000.000000000007"/>
    <x v="9"/>
    <s v="DS - Purnama Tanuseputra"/>
    <s v="KPS-10-10"/>
  </r>
  <r>
    <s v="KK-04616|42461"/>
    <x v="3"/>
    <x v="1"/>
    <s v="KK-04616"/>
    <x v="15"/>
    <n v="50000.000000000007"/>
    <x v="10"/>
    <s v="DS - Purnama Tanuseputra"/>
    <s v="KPS-10-10"/>
  </r>
  <r>
    <s v="KK-04625|42401"/>
    <x v="3"/>
    <x v="1"/>
    <s v="KK-04625"/>
    <x v="22"/>
    <n v="100000.00000000001"/>
    <x v="8"/>
    <s v="DS - Yunius Samara"/>
    <s v="KPS-10-10"/>
  </r>
  <r>
    <s v="KK-04625|42430"/>
    <x v="3"/>
    <x v="1"/>
    <s v="KK-04625"/>
    <x v="22"/>
    <n v="100000.00000000001"/>
    <x v="9"/>
    <s v="DS - Yunius Samara"/>
    <s v="KPS-10-10"/>
  </r>
  <r>
    <s v="KK-04625|42461"/>
    <x v="3"/>
    <x v="1"/>
    <s v="KK-04625"/>
    <x v="22"/>
    <n v="100000.00000000001"/>
    <x v="10"/>
    <s v="DS - Yunius Samara"/>
    <s v="KPS-10-10"/>
  </r>
  <r>
    <s v="KK-04598|42370"/>
    <x v="4"/>
    <x v="1"/>
    <s v="KK-04598"/>
    <x v="2"/>
    <n v="25000.000000000004"/>
    <x v="7"/>
    <s v="DS - Alex Sudytio"/>
    <s v="KPS-10-10"/>
  </r>
  <r>
    <s v="KK-04598|42401"/>
    <x v="4"/>
    <x v="1"/>
    <s v="KK-04598"/>
    <x v="2"/>
    <n v="25000.000000000004"/>
    <x v="8"/>
    <s v="DS - Alex Sudytio"/>
    <s v="KPS-10-10"/>
  </r>
  <r>
    <s v="KK-04598|42430"/>
    <x v="4"/>
    <x v="1"/>
    <s v="KK-04598"/>
    <x v="2"/>
    <n v="25000.000000000004"/>
    <x v="9"/>
    <s v="DS - Alex Sudytio"/>
    <s v="KPS-10-10"/>
  </r>
  <r>
    <s v="KK-04598|42461"/>
    <x v="4"/>
    <x v="1"/>
    <s v="KK-04598"/>
    <x v="2"/>
    <n v="25000.000000000004"/>
    <x v="10"/>
    <s v="DS - Alex Sudytio"/>
    <s v="KPS-10-10"/>
  </r>
  <r>
    <s v="KK-04602|42370"/>
    <x v="4"/>
    <x v="1"/>
    <s v="KK-04602"/>
    <x v="6"/>
    <n v="5000"/>
    <x v="7"/>
    <s v="DS - Budiarto"/>
    <s v="KPS-10-10"/>
  </r>
  <r>
    <s v="KK-04602|42401"/>
    <x v="4"/>
    <x v="1"/>
    <s v="KK-04602"/>
    <x v="6"/>
    <n v="5000"/>
    <x v="8"/>
    <s v="DS - Budiarto"/>
    <s v="KPS-10-10"/>
  </r>
  <r>
    <s v="KK-04602|42430"/>
    <x v="4"/>
    <x v="1"/>
    <s v="KK-04602"/>
    <x v="6"/>
    <n v="5000"/>
    <x v="9"/>
    <s v="DS - Budiarto"/>
    <s v="KPS-10-10"/>
  </r>
  <r>
    <s v="KK-04602|42461"/>
    <x v="4"/>
    <x v="1"/>
    <s v="KK-04602"/>
    <x v="6"/>
    <n v="5000"/>
    <x v="10"/>
    <s v="DS - Budiarto"/>
    <s v="KPS-10-10"/>
  </r>
  <r>
    <s v="KK-04602|42491"/>
    <x v="4"/>
    <x v="1"/>
    <s v="KK-04602"/>
    <x v="6"/>
    <n v="5000"/>
    <x v="11"/>
    <s v="DS - Budiarto"/>
    <s v="KPS-10-10"/>
  </r>
  <r>
    <s v="KK-04602|42522"/>
    <x v="4"/>
    <x v="1"/>
    <s v="KK-04602"/>
    <x v="6"/>
    <n v="5000"/>
    <x v="12"/>
    <s v="DS - Budiarto"/>
    <s v="KPS-10-10"/>
  </r>
  <r>
    <s v="KK-04602|42552"/>
    <x v="4"/>
    <x v="1"/>
    <s v="KK-04602"/>
    <x v="6"/>
    <n v="5000"/>
    <x v="13"/>
    <s v="DS - Budiarto"/>
    <s v="KPS-10-10"/>
  </r>
  <r>
    <s v="KK-04602|42583"/>
    <x v="4"/>
    <x v="1"/>
    <s v="KK-04602"/>
    <x v="6"/>
    <n v="5000"/>
    <x v="14"/>
    <s v="DS - Budiarto"/>
    <s v="KPS-10-10"/>
  </r>
  <r>
    <s v="KK-04602|42614"/>
    <x v="4"/>
    <x v="1"/>
    <s v="KK-04602"/>
    <x v="6"/>
    <n v="5000"/>
    <x v="15"/>
    <s v="DS - Budiarto"/>
    <s v="KPS-10-10"/>
  </r>
  <r>
    <s v="KK-04602|42644"/>
    <x v="4"/>
    <x v="1"/>
    <s v="KK-04602"/>
    <x v="6"/>
    <n v="5000"/>
    <x v="16"/>
    <s v="DS - Budiarto"/>
    <s v="KPS-10-10"/>
  </r>
  <r>
    <s v="KK-04602|42675"/>
    <x v="4"/>
    <x v="1"/>
    <s v="KK-04602"/>
    <x v="6"/>
    <n v="5000"/>
    <x v="17"/>
    <s v="DS - Budiarto"/>
    <s v="KPS-10-10"/>
  </r>
  <r>
    <s v="KK-04602|42705"/>
    <x v="4"/>
    <x v="1"/>
    <s v="KK-04602"/>
    <x v="6"/>
    <n v="5000"/>
    <x v="18"/>
    <s v="DS - Budiarto"/>
    <s v="KPS-10-10"/>
  </r>
  <r>
    <s v="KK-04606|42461"/>
    <x v="4"/>
    <x v="1"/>
    <s v="KK-04606"/>
    <x v="8"/>
    <n v="50000.000000000007"/>
    <x v="10"/>
    <s v="DS - Hendra Kurniawan"/>
    <s v="KPS-10-10"/>
  </r>
  <r>
    <s v="KK-04606|42491"/>
    <x v="4"/>
    <x v="1"/>
    <s v="KK-04606"/>
    <x v="8"/>
    <n v="50000.000000000007"/>
    <x v="11"/>
    <s v="DS - Hendra Kurniawan"/>
    <s v="KPS-10-10"/>
  </r>
  <r>
    <s v="KK-04606|42522"/>
    <x v="4"/>
    <x v="1"/>
    <s v="KK-04606"/>
    <x v="8"/>
    <n v="50000.000000000007"/>
    <x v="12"/>
    <s v="DS - Hendra Kurniawan"/>
    <s v="KPS-10-10"/>
  </r>
  <r>
    <s v="KK-04608|42491"/>
    <x v="4"/>
    <x v="1"/>
    <s v="KK-04608"/>
    <x v="10"/>
    <n v="30000"/>
    <x v="11"/>
    <s v="DS - Heru Prawono"/>
    <s v="KPS-10-10"/>
  </r>
  <r>
    <s v="KK-04609|42430"/>
    <x v="4"/>
    <x v="1"/>
    <s v="KK-04609"/>
    <x v="11"/>
    <n v="25000.000000000004"/>
    <x v="9"/>
    <s v="DS - Jofenwali"/>
    <s v="KPS-10-10"/>
  </r>
  <r>
    <s v="KK-04609|42461"/>
    <x v="4"/>
    <x v="1"/>
    <s v="KK-04609"/>
    <x v="11"/>
    <n v="25000.000000000004"/>
    <x v="10"/>
    <s v="DS - Jofenwali"/>
    <s v="KPS-10-10"/>
  </r>
  <r>
    <s v="KK-04611|42461"/>
    <x v="4"/>
    <x v="1"/>
    <s v="KK-04611"/>
    <x v="12"/>
    <n v="10000"/>
    <x v="10"/>
    <s v="DS - Leonardus Tjhin Tje Ming"/>
    <s v="KPS-10-10"/>
  </r>
  <r>
    <s v="KK-04611|42491"/>
    <x v="4"/>
    <x v="1"/>
    <s v="KK-04611"/>
    <x v="12"/>
    <n v="10000"/>
    <x v="11"/>
    <s v="DS - Leonardus Tjhin Tje Ming"/>
    <s v="KPS-10-10"/>
  </r>
  <r>
    <s v="KK-04611|42522"/>
    <x v="4"/>
    <x v="1"/>
    <s v="KK-04611"/>
    <x v="12"/>
    <n v="10000"/>
    <x v="12"/>
    <s v="DS - Leonardus Tjhin Tje Ming"/>
    <s v="KPS-10-10"/>
  </r>
  <r>
    <s v="KK-04622|42401"/>
    <x v="4"/>
    <x v="1"/>
    <s v="KK-04622"/>
    <x v="20"/>
    <n v="35000"/>
    <x v="8"/>
    <s v="DS - Tri Saptono Vinsentius "/>
    <s v="KPS-10-10"/>
  </r>
  <r>
    <s v="KK-04622|42430"/>
    <x v="4"/>
    <x v="1"/>
    <s v="KK-04622"/>
    <x v="20"/>
    <n v="35000"/>
    <x v="9"/>
    <s v="DS - Tri Saptono Vinsentius "/>
    <s v="KPS-10-10"/>
  </r>
  <r>
    <s v="KK-04622|42461"/>
    <x v="4"/>
    <x v="1"/>
    <s v="KK-04622"/>
    <x v="20"/>
    <n v="35000"/>
    <x v="10"/>
    <s v="DS - Tri Saptono Vinsentius "/>
    <s v="KPS-10-10"/>
  </r>
  <r>
    <s v="KK-04622|42491"/>
    <x v="4"/>
    <x v="1"/>
    <s v="KK-04622"/>
    <x v="20"/>
    <n v="35000"/>
    <x v="11"/>
    <s v="DS - Tri Saptono Vinsentius "/>
    <s v="KPS-10-10"/>
  </r>
  <r>
    <s v="KK-05048|42370"/>
    <x v="5"/>
    <x v="1"/>
    <s v="KK-05048"/>
    <x v="25"/>
    <n v="10000"/>
    <x v="7"/>
    <s v="DS - Alfonsus Denny Martaguna"/>
    <s v="KPS-10-10"/>
  </r>
  <r>
    <s v="KK-05048|42401"/>
    <x v="5"/>
    <x v="1"/>
    <s v="KK-05048"/>
    <x v="25"/>
    <n v="10000"/>
    <x v="8"/>
    <s v="DS - Alfonsus Denny Martaguna"/>
    <s v="KPS-10-10"/>
  </r>
  <r>
    <s v="KK-05048|42430"/>
    <x v="5"/>
    <x v="1"/>
    <s v="KK-05048"/>
    <x v="25"/>
    <n v="10000"/>
    <x v="9"/>
    <s v="DS - Alfonsus Denny Martaguna"/>
    <s v="KPS-10-10"/>
  </r>
  <r>
    <s v="KK-05048|42461"/>
    <x v="5"/>
    <x v="1"/>
    <s v="KK-05048"/>
    <x v="25"/>
    <n v="10000"/>
    <x v="10"/>
    <s v="DS - Alfonsus Denny Martaguna"/>
    <s v="KPS-10-10"/>
  </r>
  <r>
    <s v="KK-04597|42461"/>
    <x v="5"/>
    <x v="1"/>
    <s v="KK-04597"/>
    <x v="1"/>
    <n v="20000"/>
    <x v="10"/>
    <s v="DS - Arief Wibawa"/>
    <s v="KPS-10-10"/>
  </r>
  <r>
    <s v="KK-04597|42491"/>
    <x v="5"/>
    <x v="1"/>
    <s v="KK-04597"/>
    <x v="1"/>
    <n v="20000"/>
    <x v="11"/>
    <s v="DS - Arief Wibawa"/>
    <s v="KPS-10-10"/>
  </r>
  <r>
    <s v="KK-04597|42522"/>
    <x v="5"/>
    <x v="1"/>
    <s v="KK-04597"/>
    <x v="1"/>
    <n v="20000"/>
    <x v="12"/>
    <s v="DS - Arief Wibawa"/>
    <s v="KPS-10-10"/>
  </r>
  <r>
    <s v="KK-04599|42430"/>
    <x v="5"/>
    <x v="1"/>
    <s v="KK-04599"/>
    <x v="3"/>
    <n v="50000.000000000007"/>
    <x v="9"/>
    <s v="DS - Bernardus Yogie Dirga Gunawan"/>
    <s v="KPS-10-10"/>
  </r>
  <r>
    <s v="KK-04599|42461"/>
    <x v="5"/>
    <x v="1"/>
    <s v="KK-04599"/>
    <x v="3"/>
    <n v="50000.000000000007"/>
    <x v="10"/>
    <s v="DS - Bernardus Yogie Dirga Gunawan"/>
    <s v="KPS-10-10"/>
  </r>
  <r>
    <s v="KK-04599|42491"/>
    <x v="5"/>
    <x v="1"/>
    <s v="KK-04599"/>
    <x v="3"/>
    <n v="50000.000000000007"/>
    <x v="11"/>
    <s v="DS - Bernardus Yogie Dirga Gunawan"/>
    <s v="KPS-10-10"/>
  </r>
  <r>
    <s v="KK-04599|42522"/>
    <x v="5"/>
    <x v="1"/>
    <s v="KK-04599"/>
    <x v="3"/>
    <n v="50000.000000000007"/>
    <x v="12"/>
    <s v="DS - Bernardus Yogie Dirga Gunawan"/>
    <s v="KPS-10-10"/>
  </r>
  <r>
    <s v="KK-04626|42491"/>
    <x v="5"/>
    <x v="1"/>
    <s v="KK-04626"/>
    <x v="23"/>
    <n v="25000.000000000004"/>
    <x v="11"/>
    <s v="DS - Hadi Suwana"/>
    <s v="KPS-10-10"/>
  </r>
  <r>
    <s v="KK-04626|42522"/>
    <x v="5"/>
    <x v="1"/>
    <s v="KK-04626"/>
    <x v="23"/>
    <n v="25000.000000000004"/>
    <x v="12"/>
    <s v="DS - Hadi Suwana"/>
    <s v="KPS-10-10"/>
  </r>
  <r>
    <s v="KK-04626|42552"/>
    <x v="5"/>
    <x v="1"/>
    <s v="KK-04626"/>
    <x v="23"/>
    <n v="25000.000000000004"/>
    <x v="13"/>
    <s v="DS - Hadi Suwana"/>
    <s v="KPS-10-10"/>
  </r>
  <r>
    <s v="KK-04626|42583"/>
    <x v="5"/>
    <x v="1"/>
    <s v="KK-04626"/>
    <x v="23"/>
    <n v="25000.000000000004"/>
    <x v="14"/>
    <s v="DS - Hadi Suwana"/>
    <s v="KPS-10-10"/>
  </r>
  <r>
    <s v="KK-04607|42430"/>
    <x v="5"/>
    <x v="1"/>
    <s v="KK-04607"/>
    <x v="9"/>
    <n v="150000"/>
    <x v="9"/>
    <s v="DS - Hendro Hartono"/>
    <s v="KPS-10-10"/>
  </r>
  <r>
    <s v="KK-04607|42461"/>
    <x v="5"/>
    <x v="1"/>
    <s v="KK-04607"/>
    <x v="9"/>
    <n v="150000"/>
    <x v="10"/>
    <s v="DS - Hendro Hartono"/>
    <s v="KPS-10-10"/>
  </r>
  <r>
    <s v="KK-04607|42491"/>
    <x v="5"/>
    <x v="1"/>
    <s v="KK-04607"/>
    <x v="9"/>
    <n v="150000"/>
    <x v="11"/>
    <s v="DS - Hendro Hartono"/>
    <s v="KPS-10-10"/>
  </r>
  <r>
    <s v="KK-04608|42522"/>
    <x v="5"/>
    <x v="1"/>
    <s v="KK-04608"/>
    <x v="10"/>
    <n v="30000"/>
    <x v="12"/>
    <s v="DS - Heru Prawono"/>
    <s v="KPS-10-10"/>
  </r>
  <r>
    <s v="KK-05052|42186"/>
    <x v="5"/>
    <x v="1"/>
    <s v="KK-05052"/>
    <x v="26"/>
    <n v="15000"/>
    <x v="1"/>
    <s v="DS - Julius Margono Teguh Nugroho"/>
    <s v="KPS-10-10"/>
  </r>
  <r>
    <s v="KK-05052|42217"/>
    <x v="5"/>
    <x v="1"/>
    <s v="KK-05052"/>
    <x v="26"/>
    <n v="15000"/>
    <x v="2"/>
    <s v="DS - Julius Margono Teguh Nugroho"/>
    <s v="KPS-10-10"/>
  </r>
  <r>
    <s v="KK-05052|42248"/>
    <x v="5"/>
    <x v="1"/>
    <s v="KK-05052"/>
    <x v="26"/>
    <n v="15000"/>
    <x v="3"/>
    <s v="DS - Julius Margono Teguh Nugroho"/>
    <s v="KPS-10-10"/>
  </r>
  <r>
    <s v="KK-05052|42278"/>
    <x v="5"/>
    <x v="1"/>
    <s v="KK-05052"/>
    <x v="26"/>
    <n v="15000"/>
    <x v="4"/>
    <s v="DS - Julius Margono Teguh Nugroho"/>
    <s v="KPS-10-10"/>
  </r>
  <r>
    <s v="KK-05052|42309"/>
    <x v="5"/>
    <x v="1"/>
    <s v="KK-05052"/>
    <x v="26"/>
    <n v="15000"/>
    <x v="5"/>
    <s v="DS - Julius Margono Teguh Nugroho"/>
    <s v="KPS-10-10"/>
  </r>
  <r>
    <s v="KK-05052|42339"/>
    <x v="5"/>
    <x v="1"/>
    <s v="KK-05052"/>
    <x v="26"/>
    <n v="15000"/>
    <x v="6"/>
    <s v="DS - Julius Margono Teguh Nugroho"/>
    <s v="KPS-10-10"/>
  </r>
  <r>
    <s v="KK-05052|42370"/>
    <x v="5"/>
    <x v="1"/>
    <s v="KK-05052"/>
    <x v="26"/>
    <n v="15000"/>
    <x v="7"/>
    <s v="DS - Julius Margono Teguh Nugroho"/>
    <s v="KPS-10-10"/>
  </r>
  <r>
    <s v="KK-05052|42401"/>
    <x v="5"/>
    <x v="1"/>
    <s v="KK-05052"/>
    <x v="26"/>
    <n v="15000"/>
    <x v="8"/>
    <s v="DS - Julius Margono Teguh Nugroho"/>
    <s v="KPS-10-10"/>
  </r>
  <r>
    <s v="KK-05052|42430"/>
    <x v="5"/>
    <x v="1"/>
    <s v="KK-05052"/>
    <x v="26"/>
    <n v="15000"/>
    <x v="9"/>
    <s v="DS - Julius Margono Teguh Nugroho"/>
    <s v="KPS-10-10"/>
  </r>
  <r>
    <s v="KK-04621|42430"/>
    <x v="5"/>
    <x v="1"/>
    <s v="KK-04621"/>
    <x v="19"/>
    <n v="25000.000000000004"/>
    <x v="9"/>
    <s v="DS - Tommy Prasetyo Utomo"/>
    <s v="KPS-10-10"/>
  </r>
  <r>
    <s v="KK-04621|42461"/>
    <x v="5"/>
    <x v="1"/>
    <s v="KK-04621"/>
    <x v="19"/>
    <n v="25000.000000000004"/>
    <x v="10"/>
    <s v="DS - Tommy Prasetyo Utomo"/>
    <s v="KPS-10-10"/>
  </r>
  <r>
    <s v="KK-04621|42491"/>
    <x v="5"/>
    <x v="1"/>
    <s v="KK-04621"/>
    <x v="19"/>
    <n v="25000.000000000004"/>
    <x v="11"/>
    <s v="DS - Tommy Prasetyo Utomo"/>
    <s v="KPS-10-10"/>
  </r>
  <r>
    <s v="KK-04621|42522"/>
    <x v="5"/>
    <x v="1"/>
    <s v="KK-04621"/>
    <x v="19"/>
    <n v="25000.000000000004"/>
    <x v="12"/>
    <s v="DS - Tommy Prasetyo Utomo"/>
    <s v="KPS-10-10"/>
  </r>
  <r>
    <s v="KK-04622|42522"/>
    <x v="5"/>
    <x v="1"/>
    <s v="KK-04622"/>
    <x v="20"/>
    <n v="35000"/>
    <x v="12"/>
    <s v="DS - Tri Saptono Vinsentius "/>
    <s v="KPS-10-10"/>
  </r>
  <r>
    <s v="KK-04622|42552"/>
    <x v="5"/>
    <x v="1"/>
    <s v="KK-04622"/>
    <x v="20"/>
    <n v="35000"/>
    <x v="13"/>
    <s v="DS - Tri Saptono Vinsentius "/>
    <s v="KPS-10-10"/>
  </r>
  <r>
    <s v="KK-05056|42370"/>
    <x v="5"/>
    <x v="1"/>
    <s v="KK-05056"/>
    <x v="27"/>
    <n v="25000.000000000004"/>
    <x v="7"/>
    <s v="DS - Yandi Setiawan"/>
    <s v="KPS-10-10"/>
  </r>
  <r>
    <s v="KK-05056|42401"/>
    <x v="5"/>
    <x v="1"/>
    <s v="KK-05056"/>
    <x v="27"/>
    <n v="25000.000000000004"/>
    <x v="8"/>
    <s v="DS - Yandi Setiawan"/>
    <s v="KPS-10-10"/>
  </r>
  <r>
    <s v="KK-05056|42430"/>
    <x v="5"/>
    <x v="1"/>
    <s v="KK-05056"/>
    <x v="27"/>
    <n v="25000.000000000004"/>
    <x v="9"/>
    <s v="DS - Yandi Setiawan"/>
    <s v="KPS-10-10"/>
  </r>
  <r>
    <s v="KK-05056|42461"/>
    <x v="5"/>
    <x v="1"/>
    <s v="KK-05056"/>
    <x v="27"/>
    <n v="25000.000000000004"/>
    <x v="10"/>
    <s v="DS - Yandi Setiawan"/>
    <s v="KPS-10-10"/>
  </r>
  <r>
    <s v="KK-05056|42491"/>
    <x v="5"/>
    <x v="1"/>
    <s v="KK-05056"/>
    <x v="27"/>
    <n v="25000.000000000004"/>
    <x v="11"/>
    <s v="DS - Yandi Setiawan"/>
    <s v="KPS-10-10"/>
  </r>
  <r>
    <s v="KK-05056|42522"/>
    <x v="5"/>
    <x v="1"/>
    <s v="KK-05056"/>
    <x v="27"/>
    <n v="25000.000000000004"/>
    <x v="12"/>
    <s v="DS - Yandi Setiawan"/>
    <s v="KPS-10-10"/>
  </r>
  <r>
    <s v="KK-04624|42552"/>
    <x v="5"/>
    <x v="1"/>
    <s v="KK-04624"/>
    <x v="21"/>
    <n v="40000"/>
    <x v="13"/>
    <s v="DS - Yohanes Hendy Setiawan"/>
    <s v="KPS-10-10"/>
  </r>
  <r>
    <s v="KK-04624|42583"/>
    <x v="5"/>
    <x v="1"/>
    <s v="KK-04624"/>
    <x v="21"/>
    <n v="40000"/>
    <x v="14"/>
    <s v="DS - Yohanes Hendy Setiawan"/>
    <s v="KPS-10-10"/>
  </r>
  <r>
    <s v="KK-04624|42614"/>
    <x v="5"/>
    <x v="1"/>
    <s v="KK-04624"/>
    <x v="21"/>
    <n v="40000"/>
    <x v="15"/>
    <s v="DS - Yohanes Hendy Setiawan"/>
    <s v="KPS-10-10"/>
  </r>
  <r>
    <s v="KK-04599|42552"/>
    <x v="6"/>
    <x v="1"/>
    <s v="KK-04599"/>
    <x v="3"/>
    <n v="50000.000000000007"/>
    <x v="13"/>
    <s v="DS - Bernardus Yogie Dirga Gunawan"/>
    <s v="KPS-10-10"/>
  </r>
  <r>
    <s v="KK-04599|42583"/>
    <x v="6"/>
    <x v="1"/>
    <s v="KK-04599"/>
    <x v="3"/>
    <n v="50000.000000000007"/>
    <x v="14"/>
    <s v="DS - Bernardus Yogie Dirga Gunawan"/>
    <s v="KPS-10-10"/>
  </r>
  <r>
    <s v="KK-04599|42614"/>
    <x v="6"/>
    <x v="1"/>
    <s v="KK-04599"/>
    <x v="3"/>
    <n v="50000.000000000007"/>
    <x v="15"/>
    <s v="DS - Bernardus Yogie Dirga Gunawan"/>
    <s v="KPS-10-10"/>
  </r>
  <r>
    <s v="KK-04601|42491"/>
    <x v="6"/>
    <x v="1"/>
    <s v="KK-04601"/>
    <x v="5"/>
    <n v="20000"/>
    <x v="11"/>
    <s v="DS - Boen Yoen Tet (Teddy)"/>
    <s v="KPS-10-10"/>
  </r>
  <r>
    <s v="KK-04601|42522"/>
    <x v="6"/>
    <x v="1"/>
    <s v="KK-04601"/>
    <x v="5"/>
    <n v="20000"/>
    <x v="12"/>
    <s v="DS - Boen Yoen Tet (Teddy)"/>
    <s v="KPS-10-10"/>
  </r>
  <r>
    <s v="KK-04601|42552"/>
    <x v="6"/>
    <x v="1"/>
    <s v="KK-04601"/>
    <x v="5"/>
    <n v="20000"/>
    <x v="13"/>
    <s v="DS - Boen Yoen Tet (Teddy)"/>
    <s v="KPS-10-10"/>
  </r>
  <r>
    <s v="KK-04608|42552"/>
    <x v="6"/>
    <x v="1"/>
    <s v="KK-04608"/>
    <x v="10"/>
    <n v="30000"/>
    <x v="13"/>
    <s v="DS - Heru Prawono"/>
    <s v="KPS-10-10"/>
  </r>
  <r>
    <s v="KK-04611|42552"/>
    <x v="6"/>
    <x v="1"/>
    <s v="KK-04611"/>
    <x v="12"/>
    <n v="30000"/>
    <x v="13"/>
    <s v="DS - Leonardus Tjhin Tje Ming"/>
    <s v="KPS-10-10"/>
  </r>
  <r>
    <s v="KK-04611|42583"/>
    <x v="6"/>
    <x v="1"/>
    <s v="KK-04611"/>
    <x v="12"/>
    <n v="30000"/>
    <x v="14"/>
    <s v="DS - Leonardus Tjhin Tje Ming"/>
    <s v="KPS-10-10"/>
  </r>
  <r>
    <s v="KK-04611|42614"/>
    <x v="6"/>
    <x v="1"/>
    <s v="KK-04611"/>
    <x v="12"/>
    <n v="30000"/>
    <x v="15"/>
    <s v="DS - Leonardus Tjhin Tje Ming"/>
    <s v="KPS-10-10"/>
  </r>
  <r>
    <s v="KK-05053|42370"/>
    <x v="6"/>
    <x v="1"/>
    <s v="KK-05053"/>
    <x v="28"/>
    <n v="500000"/>
    <x v="7"/>
    <s v="DS - Pieter Hiu Stanley Setiono"/>
    <s v="KPS-10-10"/>
  </r>
  <r>
    <s v="KK-05053|42401"/>
    <x v="6"/>
    <x v="1"/>
    <s v="KK-05053"/>
    <x v="28"/>
    <n v="500000"/>
    <x v="8"/>
    <s v="DS - Pieter Hiu Stanley Setiono"/>
    <s v="KPS-10-10"/>
  </r>
  <r>
    <s v="KK-05053|42430"/>
    <x v="6"/>
    <x v="1"/>
    <s v="KK-05053"/>
    <x v="28"/>
    <n v="500000"/>
    <x v="9"/>
    <s v="DS - Pieter Hiu Stanley Setiono"/>
    <s v="KPS-10-10"/>
  </r>
  <r>
    <s v="KK-05053|42461"/>
    <x v="6"/>
    <x v="1"/>
    <s v="KK-05053"/>
    <x v="28"/>
    <n v="500000"/>
    <x v="10"/>
    <s v="DS - Pieter Hiu Stanley Setiono"/>
    <s v="KPS-10-10"/>
  </r>
  <r>
    <s v="KK-05053|42491"/>
    <x v="6"/>
    <x v="1"/>
    <s v="KK-05053"/>
    <x v="28"/>
    <n v="500000"/>
    <x v="11"/>
    <s v="DS - Pieter Hiu Stanley Setiono"/>
    <s v="KPS-10-10"/>
  </r>
  <r>
    <s v="KK-05053|42522"/>
    <x v="6"/>
    <x v="1"/>
    <s v="KK-05053"/>
    <x v="28"/>
    <n v="500000"/>
    <x v="12"/>
    <s v="DS - Pieter Hiu Stanley Setiono"/>
    <s v="KPS-10-10"/>
  </r>
  <r>
    <s v="KK-05053|42552"/>
    <x v="6"/>
    <x v="1"/>
    <s v="KK-05053"/>
    <x v="28"/>
    <n v="500000"/>
    <x v="13"/>
    <s v="DS - Pieter Hiu Stanley Setiono"/>
    <s v="KPS-10-10"/>
  </r>
  <r>
    <s v="KK-05053|42583"/>
    <x v="6"/>
    <x v="1"/>
    <s v="KK-05053"/>
    <x v="28"/>
    <n v="500000"/>
    <x v="14"/>
    <s v="DS - Pieter Hiu Stanley Setiono"/>
    <s v="KPS-10-10"/>
  </r>
  <r>
    <s v="KK-05053|42614"/>
    <x v="6"/>
    <x v="1"/>
    <s v="KK-05053"/>
    <x v="28"/>
    <n v="500000"/>
    <x v="15"/>
    <s v="DS - Pieter Hiu Stanley Setiono"/>
    <s v="KPS-10-10"/>
  </r>
  <r>
    <s v="KK-05053|42644"/>
    <x v="6"/>
    <x v="1"/>
    <s v="KK-05053"/>
    <x v="28"/>
    <n v="500000"/>
    <x v="16"/>
    <s v="DS - Pieter Hiu Stanley Setiono"/>
    <s v="KPS-10-10"/>
  </r>
  <r>
    <s v="KK-05053|42675"/>
    <x v="6"/>
    <x v="1"/>
    <s v="KK-05053"/>
    <x v="28"/>
    <n v="500000"/>
    <x v="17"/>
    <s v="DS - Pieter Hiu Stanley Setiono"/>
    <s v="KPS-10-10"/>
  </r>
  <r>
    <s v="KK-05053|42705"/>
    <x v="6"/>
    <x v="1"/>
    <s v="KK-05053"/>
    <x v="28"/>
    <n v="500000"/>
    <x v="18"/>
    <s v="DS - Pieter Hiu Stanley Setiono"/>
    <s v="KPS-10-10"/>
  </r>
  <r>
    <s v="KK-04597|42552"/>
    <x v="7"/>
    <x v="1"/>
    <s v="KK-04597"/>
    <x v="1"/>
    <n v="20000"/>
    <x v="13"/>
    <s v="DS - Arief Wibawa"/>
    <s v="KPS-10-10"/>
  </r>
  <r>
    <s v="KK-04597|42583"/>
    <x v="7"/>
    <x v="1"/>
    <s v="KK-04597"/>
    <x v="1"/>
    <n v="20000"/>
    <x v="14"/>
    <s v="DS - Arief Wibawa"/>
    <s v="KPS-10-10"/>
  </r>
  <r>
    <s v="KK-04597|42614"/>
    <x v="7"/>
    <x v="1"/>
    <s v="KK-04597"/>
    <x v="1"/>
    <n v="20000"/>
    <x v="15"/>
    <s v="DS - Arief Wibawa"/>
    <s v="KPS-10-10"/>
  </r>
  <r>
    <s v="KK-04607|42522"/>
    <x v="7"/>
    <x v="1"/>
    <s v="KK-04607"/>
    <x v="9"/>
    <n v="150000"/>
    <x v="12"/>
    <s v="DS - Hendro Hartono"/>
    <s v="KPS-10-10"/>
  </r>
  <r>
    <s v="KK-04607|42552"/>
    <x v="7"/>
    <x v="1"/>
    <s v="KK-04607"/>
    <x v="9"/>
    <n v="150000"/>
    <x v="13"/>
    <s v="DS - Hendro Hartono"/>
    <s v="KPS-10-10"/>
  </r>
  <r>
    <s v="KK-04608|42583"/>
    <x v="7"/>
    <x v="1"/>
    <s v="KK-04608"/>
    <x v="10"/>
    <n v="30000"/>
    <x v="14"/>
    <s v="DS - Heru Prawono"/>
    <s v="KPS-10-10"/>
  </r>
  <r>
    <s v="KK-04613|42491"/>
    <x v="7"/>
    <x v="1"/>
    <s v="KK-04613"/>
    <x v="14"/>
    <n v="20000"/>
    <x v="11"/>
    <s v="DS - Ignatius Yanto Hardoyo"/>
    <s v="KPS-10-10"/>
  </r>
  <r>
    <s v="KK-04613|42522"/>
    <x v="7"/>
    <x v="1"/>
    <s v="KK-04613"/>
    <x v="14"/>
    <n v="20000"/>
    <x v="12"/>
    <s v="DS - Ignatius Yanto Hardoyo"/>
    <s v="KPS-10-10"/>
  </r>
  <r>
    <s v="KK-04613|42552"/>
    <x v="7"/>
    <x v="1"/>
    <s v="KK-04613"/>
    <x v="14"/>
    <n v="20000"/>
    <x v="13"/>
    <s v="DS - Ignatius Yanto Hardoyo"/>
    <s v="KPS-10-10"/>
  </r>
  <r>
    <s v="KK-04613|42583"/>
    <x v="7"/>
    <x v="1"/>
    <s v="KK-04613"/>
    <x v="14"/>
    <n v="20000"/>
    <x v="14"/>
    <s v="DS - Ignatius Yanto Hardoyo"/>
    <s v="KPS-10-10"/>
  </r>
  <r>
    <s v="KK-04616|42491"/>
    <x v="7"/>
    <x v="1"/>
    <s v="KK-04616"/>
    <x v="15"/>
    <n v="50000.000000000007"/>
    <x v="11"/>
    <s v="DS - Purnama Tanuseputra"/>
    <s v="KPS-10-10"/>
  </r>
  <r>
    <s v="KK-04616|42522"/>
    <x v="7"/>
    <x v="1"/>
    <s v="KK-04616"/>
    <x v="15"/>
    <n v="50000.000000000007"/>
    <x v="12"/>
    <s v="DS - Purnama Tanuseputra"/>
    <s v="KPS-10-10"/>
  </r>
  <r>
    <s v="KK-04616|42552"/>
    <x v="7"/>
    <x v="1"/>
    <s v="KK-04616"/>
    <x v="15"/>
    <n v="50000.000000000007"/>
    <x v="13"/>
    <s v="DS - Purnama Tanuseputra"/>
    <s v="KPS-10-10"/>
  </r>
  <r>
    <s v="KK-04616|42583"/>
    <x v="7"/>
    <x v="1"/>
    <s v="KK-04616"/>
    <x v="15"/>
    <n v="50000.000000000007"/>
    <x v="14"/>
    <s v="DS - Purnama Tanuseputra"/>
    <s v="KPS-10-10"/>
  </r>
  <r>
    <m/>
    <x v="8"/>
    <x v="2"/>
    <m/>
    <x v="29"/>
    <m/>
    <x v="19"/>
    <m/>
    <m/>
  </r>
</pivotCacheRecords>
</file>

<file path=xl/pivotCache/pivotCacheRecords2.xml><?xml version="1.0" encoding="utf-8"?>
<pivotCacheRecords xmlns="http://schemas.openxmlformats.org/spreadsheetml/2006/main" xmlns:r="http://schemas.openxmlformats.org/officeDocument/2006/relationships" count="312">
  <r>
    <s v="|42368"/>
    <x v="0"/>
    <x v="0"/>
    <m/>
    <x v="0"/>
    <n v="4980000"/>
    <x v="0"/>
    <s v="KPSY - Andreas Rasul 2015"/>
    <s v="KPS-10-05"/>
  </r>
  <r>
    <s v="KK-04597|42186"/>
    <x v="0"/>
    <x v="1"/>
    <s v="KK-04597"/>
    <x v="1"/>
    <n v="20000"/>
    <x v="1"/>
    <s v="SY - Arief Wibawa"/>
    <s v="KPS-10-05"/>
  </r>
  <r>
    <s v="KK-04597|42217"/>
    <x v="0"/>
    <x v="1"/>
    <s v="KK-04597"/>
    <x v="1"/>
    <n v="20000"/>
    <x v="2"/>
    <s v="SY - Arief Wibawa"/>
    <s v="KPS-10-05"/>
  </r>
  <r>
    <s v="KK-04597|42248"/>
    <x v="0"/>
    <x v="1"/>
    <s v="KK-04597"/>
    <x v="1"/>
    <n v="20000"/>
    <x v="3"/>
    <s v="SY - Arief Wibawa"/>
    <s v="KPS-10-05"/>
  </r>
  <r>
    <s v="KK-04597|42278"/>
    <x v="0"/>
    <x v="1"/>
    <s v="KK-04597"/>
    <x v="1"/>
    <n v="20000"/>
    <x v="4"/>
    <s v="SY - Arief Wibawa"/>
    <s v="KPS-10-05"/>
  </r>
  <r>
    <s v="KK-04597|42309"/>
    <x v="0"/>
    <x v="1"/>
    <s v="KK-04597"/>
    <x v="1"/>
    <n v="20000"/>
    <x v="5"/>
    <s v="SY - Arief Wibawa"/>
    <s v="KPS-10-05"/>
  </r>
  <r>
    <s v="KK-04597|42339"/>
    <x v="0"/>
    <x v="1"/>
    <s v="KK-04597"/>
    <x v="1"/>
    <n v="20000"/>
    <x v="6"/>
    <s v="SY - Arief Wibawa"/>
    <s v="KPS-10-05"/>
  </r>
  <r>
    <s v="KK-04598|42186"/>
    <x v="0"/>
    <x v="1"/>
    <s v="KK-04598"/>
    <x v="2"/>
    <n v="25000.000000000004"/>
    <x v="1"/>
    <s v="SY - Alex Sudytio"/>
    <s v="KPS-10-05"/>
  </r>
  <r>
    <s v="KK-04598|42217"/>
    <x v="0"/>
    <x v="1"/>
    <s v="KK-04598"/>
    <x v="2"/>
    <n v="25000.000000000004"/>
    <x v="2"/>
    <s v="SY - Alex Sudytio"/>
    <s v="KPS-10-05"/>
  </r>
  <r>
    <s v="KK-04598|42248"/>
    <x v="0"/>
    <x v="1"/>
    <s v="KK-04598"/>
    <x v="2"/>
    <n v="25000.000000000004"/>
    <x v="3"/>
    <s v="SY - Alex Sudytio"/>
    <s v="KPS-10-05"/>
  </r>
  <r>
    <s v="KK-04598|42278"/>
    <x v="0"/>
    <x v="1"/>
    <s v="KK-04598"/>
    <x v="2"/>
    <n v="25000.000000000004"/>
    <x v="4"/>
    <s v="SY - Alex Sudytio"/>
    <s v="KPS-10-05"/>
  </r>
  <r>
    <s v="KK-04598|42309"/>
    <x v="0"/>
    <x v="1"/>
    <s v="KK-04598"/>
    <x v="2"/>
    <n v="25000.000000000004"/>
    <x v="5"/>
    <s v="SY - Alex Sudytio"/>
    <s v="KPS-10-05"/>
  </r>
  <r>
    <s v="KK-04598|42339"/>
    <x v="0"/>
    <x v="1"/>
    <s v="KK-04598"/>
    <x v="2"/>
    <n v="25000.000000000004"/>
    <x v="6"/>
    <s v="SY - Alex Sudytio"/>
    <s v="KPS-10-05"/>
  </r>
  <r>
    <s v="KK-04599|42186"/>
    <x v="0"/>
    <x v="1"/>
    <s v="KK-04599"/>
    <x v="3"/>
    <n v="50000.000000000007"/>
    <x v="1"/>
    <s v="SY - Bernardus Yogie Dirga Gunawan"/>
    <s v="KPS-10-05"/>
  </r>
  <r>
    <s v="KK-04599|42217"/>
    <x v="0"/>
    <x v="1"/>
    <s v="KK-04599"/>
    <x v="3"/>
    <n v="50000.000000000007"/>
    <x v="2"/>
    <s v="SY - Bernardus Yogie Dirga Gunawan"/>
    <s v="KPS-10-05"/>
  </r>
  <r>
    <s v="KK-04599|42248"/>
    <x v="0"/>
    <x v="1"/>
    <s v="KK-04599"/>
    <x v="3"/>
    <n v="50000.000000000007"/>
    <x v="3"/>
    <s v="SY - Bernardus Yogie Dirga Gunawan"/>
    <s v="KPS-10-05"/>
  </r>
  <r>
    <s v="KK-04599|42278"/>
    <x v="0"/>
    <x v="1"/>
    <s v="KK-04599"/>
    <x v="3"/>
    <n v="50000.000000000007"/>
    <x v="4"/>
    <s v="SY - Bernardus Yogie Dirga Gunawan"/>
    <s v="KPS-10-05"/>
  </r>
  <r>
    <s v="KK-04599|42309"/>
    <x v="0"/>
    <x v="1"/>
    <s v="KK-04599"/>
    <x v="3"/>
    <n v="50000.000000000007"/>
    <x v="5"/>
    <s v="SY - Bernardus Yogie Dirga Gunawan"/>
    <s v="KPS-10-05"/>
  </r>
  <r>
    <s v="KK-04599|42339"/>
    <x v="0"/>
    <x v="1"/>
    <s v="KK-04599"/>
    <x v="3"/>
    <n v="50000.000000000007"/>
    <x v="6"/>
    <s v="SY - Bernardus Yogie Dirga Gunawan"/>
    <s v="KPS-10-05"/>
  </r>
  <r>
    <s v="KK-04600|42186"/>
    <x v="0"/>
    <x v="1"/>
    <s v="KK-04600"/>
    <x v="4"/>
    <n v="20000"/>
    <x v="1"/>
    <s v="SY - Bing Subroto"/>
    <s v="KPS-10-05"/>
  </r>
  <r>
    <s v="KK-04600|42217"/>
    <x v="0"/>
    <x v="1"/>
    <s v="KK-04600"/>
    <x v="4"/>
    <n v="20000"/>
    <x v="2"/>
    <s v="SY - Bing Subroto"/>
    <s v="KPS-10-05"/>
  </r>
  <r>
    <s v="KK-04600|42248"/>
    <x v="0"/>
    <x v="1"/>
    <s v="KK-04600"/>
    <x v="4"/>
    <n v="20000"/>
    <x v="3"/>
    <s v="SY - Bing Subroto"/>
    <s v="KPS-10-05"/>
  </r>
  <r>
    <s v="KK-04600|42278"/>
    <x v="0"/>
    <x v="1"/>
    <s v="KK-04600"/>
    <x v="4"/>
    <n v="20000"/>
    <x v="4"/>
    <s v="SY - Bing Subroto"/>
    <s v="KPS-10-05"/>
  </r>
  <r>
    <s v="KK-04600|42309"/>
    <x v="0"/>
    <x v="1"/>
    <s v="KK-04600"/>
    <x v="4"/>
    <n v="20000"/>
    <x v="5"/>
    <s v="SY - Bing Subroto"/>
    <s v="KPS-10-05"/>
  </r>
  <r>
    <s v="KK-04600|42339"/>
    <x v="0"/>
    <x v="1"/>
    <s v="KK-04600"/>
    <x v="4"/>
    <n v="20000"/>
    <x v="6"/>
    <s v="SY - Bing Subroto"/>
    <s v="KPS-10-05"/>
  </r>
  <r>
    <s v="KK-04601|42186"/>
    <x v="0"/>
    <x v="1"/>
    <s v="KK-04601"/>
    <x v="5"/>
    <n v="20000"/>
    <x v="1"/>
    <s v="SY - Boen Yoen Tet (Teddy)"/>
    <s v="KPS-10-05"/>
  </r>
  <r>
    <s v="KK-04601|42217"/>
    <x v="0"/>
    <x v="1"/>
    <s v="KK-04601"/>
    <x v="5"/>
    <n v="20000"/>
    <x v="2"/>
    <s v="SY - Boen Yoen Tet (Teddy)"/>
    <s v="KPS-10-05"/>
  </r>
  <r>
    <s v="KK-04601|42248"/>
    <x v="0"/>
    <x v="1"/>
    <s v="KK-04601"/>
    <x v="5"/>
    <n v="20000"/>
    <x v="3"/>
    <s v="SY - Boen Yoen Tet (Teddy)"/>
    <s v="KPS-10-05"/>
  </r>
  <r>
    <s v="KK-04601|42278"/>
    <x v="0"/>
    <x v="1"/>
    <s v="KK-04601"/>
    <x v="5"/>
    <n v="20000"/>
    <x v="4"/>
    <s v="SY - Boen Yoen Tet (Teddy)"/>
    <s v="KPS-10-05"/>
  </r>
  <r>
    <s v="KK-04601|42309"/>
    <x v="0"/>
    <x v="1"/>
    <s v="KK-04601"/>
    <x v="5"/>
    <n v="20000"/>
    <x v="5"/>
    <s v="SY - Boen Yoen Tet (Teddy)"/>
    <s v="KPS-10-05"/>
  </r>
  <r>
    <s v="KK-04601|42339"/>
    <x v="0"/>
    <x v="1"/>
    <s v="KK-04601"/>
    <x v="5"/>
    <n v="20000"/>
    <x v="6"/>
    <s v="SY - Boen Yoen Tet (Teddy)"/>
    <s v="KPS-10-05"/>
  </r>
  <r>
    <s v="KK-04602|42186"/>
    <x v="0"/>
    <x v="1"/>
    <s v="KK-04602"/>
    <x v="6"/>
    <n v="10000"/>
    <x v="1"/>
    <s v="SY - Budiarto"/>
    <s v="KPS-10-05"/>
  </r>
  <r>
    <s v="KK-04602|42217"/>
    <x v="0"/>
    <x v="1"/>
    <s v="KK-04602"/>
    <x v="6"/>
    <n v="6000"/>
    <x v="2"/>
    <s v="SY - Budiarto"/>
    <s v="KPS-10-05"/>
  </r>
  <r>
    <s v="KK-04602|42248"/>
    <x v="0"/>
    <x v="1"/>
    <s v="KK-04602"/>
    <x v="6"/>
    <n v="6000"/>
    <x v="3"/>
    <s v="SY - Budiarto"/>
    <s v="KPS-10-05"/>
  </r>
  <r>
    <s v="KK-04602|42278"/>
    <x v="0"/>
    <x v="1"/>
    <s v="KK-04602"/>
    <x v="6"/>
    <n v="6000"/>
    <x v="4"/>
    <s v="SY - Budiarto"/>
    <s v="KPS-10-05"/>
  </r>
  <r>
    <s v="KK-04602|42309"/>
    <x v="0"/>
    <x v="1"/>
    <s v="KK-04602"/>
    <x v="6"/>
    <n v="6000"/>
    <x v="5"/>
    <s v="SY - Budiarto"/>
    <s v="KPS-10-05"/>
  </r>
  <r>
    <s v="KK-04602|42339"/>
    <x v="0"/>
    <x v="1"/>
    <s v="KK-04602"/>
    <x v="6"/>
    <n v="6000"/>
    <x v="6"/>
    <s v="SY - Budiarto"/>
    <s v="KPS-10-05"/>
  </r>
  <r>
    <s v="KK-04605|42186"/>
    <x v="0"/>
    <x v="1"/>
    <s v="KK-04605"/>
    <x v="7"/>
    <n v="25000.000000000004"/>
    <x v="1"/>
    <s v="SY - Handoyo Krismanto"/>
    <s v="KPS-10-05"/>
  </r>
  <r>
    <s v="KK-04605|42217"/>
    <x v="0"/>
    <x v="1"/>
    <s v="KK-04605"/>
    <x v="7"/>
    <n v="25000.000000000004"/>
    <x v="2"/>
    <s v="SY - Handoyo Krismanto"/>
    <s v="KPS-10-05"/>
  </r>
  <r>
    <s v="KK-04605|42248"/>
    <x v="0"/>
    <x v="1"/>
    <s v="KK-04605"/>
    <x v="7"/>
    <n v="25000.000000000004"/>
    <x v="3"/>
    <s v="SY - Handoyo Krismanto"/>
    <s v="KPS-10-05"/>
  </r>
  <r>
    <s v="KK-04605|42278"/>
    <x v="0"/>
    <x v="1"/>
    <s v="KK-04605"/>
    <x v="7"/>
    <n v="25000.000000000004"/>
    <x v="4"/>
    <s v="SY - Handoyo Krismanto"/>
    <s v="KPS-10-05"/>
  </r>
  <r>
    <s v="KK-04605|42309"/>
    <x v="0"/>
    <x v="1"/>
    <s v="KK-04605"/>
    <x v="7"/>
    <n v="25000.000000000004"/>
    <x v="5"/>
    <s v="SY - Handoyo Krismanto"/>
    <s v="KPS-10-05"/>
  </r>
  <r>
    <s v="KK-04605|42339"/>
    <x v="0"/>
    <x v="1"/>
    <s v="KK-04605"/>
    <x v="7"/>
    <n v="25000.000000000004"/>
    <x v="6"/>
    <s v="SY - Handoyo Krismanto"/>
    <s v="KPS-10-05"/>
  </r>
  <r>
    <s v="KK-04606|42186"/>
    <x v="0"/>
    <x v="1"/>
    <s v="KK-04606"/>
    <x v="8"/>
    <n v="50000.000000000007"/>
    <x v="1"/>
    <s v="SY - Hendra Kurniawan"/>
    <s v="KPS-10-05"/>
  </r>
  <r>
    <s v="KK-04606|42217"/>
    <x v="0"/>
    <x v="1"/>
    <s v="KK-04606"/>
    <x v="8"/>
    <n v="50000.000000000007"/>
    <x v="2"/>
    <s v="SY - Hendra Kurniawan"/>
    <s v="KPS-10-05"/>
  </r>
  <r>
    <s v="KK-04606|42248"/>
    <x v="0"/>
    <x v="1"/>
    <s v="KK-04606"/>
    <x v="8"/>
    <n v="50000.000000000007"/>
    <x v="3"/>
    <s v="SY - Hendra Kurniawan"/>
    <s v="KPS-10-05"/>
  </r>
  <r>
    <s v="KK-04606|42278"/>
    <x v="0"/>
    <x v="1"/>
    <s v="KK-04606"/>
    <x v="8"/>
    <n v="50000.000000000007"/>
    <x v="4"/>
    <s v="SY - Hendra Kurniawan"/>
    <s v="KPS-10-05"/>
  </r>
  <r>
    <s v="KK-04606|42309"/>
    <x v="0"/>
    <x v="1"/>
    <s v="KK-04606"/>
    <x v="8"/>
    <n v="50000.000000000007"/>
    <x v="5"/>
    <s v="SY - Hendra Kurniawan"/>
    <s v="KPS-10-05"/>
  </r>
  <r>
    <s v="KK-04606|42339"/>
    <x v="0"/>
    <x v="1"/>
    <s v="KK-04606"/>
    <x v="8"/>
    <n v="50000.000000000007"/>
    <x v="6"/>
    <s v="SY - Hendra Kurniawan"/>
    <s v="KPS-10-05"/>
  </r>
  <r>
    <s v="KK-04607|42186"/>
    <x v="0"/>
    <x v="1"/>
    <s v="KK-04607"/>
    <x v="9"/>
    <n v="75000"/>
    <x v="1"/>
    <s v="SY - Hendro Hartono"/>
    <s v="KPS-10-05"/>
  </r>
  <r>
    <s v="KK-04607|42217"/>
    <x v="0"/>
    <x v="1"/>
    <s v="KK-04607"/>
    <x v="9"/>
    <n v="75000"/>
    <x v="2"/>
    <s v="SY - Hendro Hartono"/>
    <s v="KPS-10-05"/>
  </r>
  <r>
    <s v="KK-04607|42248"/>
    <x v="0"/>
    <x v="1"/>
    <s v="KK-04607"/>
    <x v="9"/>
    <n v="75000"/>
    <x v="3"/>
    <s v="SY - Hendro Hartono"/>
    <s v="KPS-10-05"/>
  </r>
  <r>
    <s v="KK-04607|42278"/>
    <x v="0"/>
    <x v="1"/>
    <s v="KK-04607"/>
    <x v="9"/>
    <n v="75000"/>
    <x v="4"/>
    <s v="SY - Hendro Hartono"/>
    <s v="KPS-10-05"/>
  </r>
  <r>
    <s v="KK-04607|42309"/>
    <x v="0"/>
    <x v="1"/>
    <s v="KK-04607"/>
    <x v="9"/>
    <n v="75000"/>
    <x v="5"/>
    <s v="SY - Hendro Hartono"/>
    <s v="KPS-10-05"/>
  </r>
  <r>
    <s v="KK-04607|42339"/>
    <x v="0"/>
    <x v="1"/>
    <s v="KK-04607"/>
    <x v="9"/>
    <n v="75000"/>
    <x v="6"/>
    <s v="SY - Hendro Hartono"/>
    <s v="KPS-10-05"/>
  </r>
  <r>
    <s v="KK-04608|42186"/>
    <x v="0"/>
    <x v="1"/>
    <s v="KK-04608"/>
    <x v="10"/>
    <n v="30000"/>
    <x v="1"/>
    <s v="SY - Heru Prawono"/>
    <s v="KPS-10-05"/>
  </r>
  <r>
    <s v="KK-04608|42217"/>
    <x v="0"/>
    <x v="1"/>
    <s v="KK-04608"/>
    <x v="10"/>
    <n v="30000"/>
    <x v="2"/>
    <s v="SY - Heru Prawono"/>
    <s v="KPS-10-05"/>
  </r>
  <r>
    <s v="KK-04608|42248"/>
    <x v="0"/>
    <x v="1"/>
    <s v="KK-04608"/>
    <x v="10"/>
    <n v="30000"/>
    <x v="3"/>
    <s v="SY - Heru Prawono"/>
    <s v="KPS-10-05"/>
  </r>
  <r>
    <s v="KK-04608|42278"/>
    <x v="0"/>
    <x v="1"/>
    <s v="KK-04608"/>
    <x v="10"/>
    <n v="30000"/>
    <x v="4"/>
    <s v="SY - Heru Prawono"/>
    <s v="KPS-10-05"/>
  </r>
  <r>
    <s v="KK-04608|42309"/>
    <x v="0"/>
    <x v="1"/>
    <s v="KK-04608"/>
    <x v="10"/>
    <n v="30000"/>
    <x v="5"/>
    <s v="SY - Heru Prawono"/>
    <s v="KPS-10-05"/>
  </r>
  <r>
    <s v="KK-04608|42339"/>
    <x v="0"/>
    <x v="1"/>
    <s v="KK-04608"/>
    <x v="10"/>
    <n v="30000"/>
    <x v="6"/>
    <s v="SY - Heru Prawono"/>
    <s v="KPS-10-05"/>
  </r>
  <r>
    <s v="KK-04609|42186"/>
    <x v="0"/>
    <x v="1"/>
    <s v="KK-04609"/>
    <x v="11"/>
    <n v="25000.000000000004"/>
    <x v="1"/>
    <s v="SY - Jofenwali"/>
    <s v="KPS-10-05"/>
  </r>
  <r>
    <s v="KK-04609|42217"/>
    <x v="0"/>
    <x v="1"/>
    <s v="KK-04609"/>
    <x v="11"/>
    <n v="25000.000000000004"/>
    <x v="2"/>
    <s v="SY - Jofenwali"/>
    <s v="KPS-10-05"/>
  </r>
  <r>
    <s v="KK-04609|42248"/>
    <x v="0"/>
    <x v="1"/>
    <s v="KK-04609"/>
    <x v="11"/>
    <n v="25000.000000000004"/>
    <x v="3"/>
    <s v="SY - Jofenwali"/>
    <s v="KPS-10-05"/>
  </r>
  <r>
    <s v="KK-04609|42278"/>
    <x v="0"/>
    <x v="1"/>
    <s v="KK-04609"/>
    <x v="11"/>
    <n v="25000.000000000004"/>
    <x v="4"/>
    <s v="SY - Jofenwali"/>
    <s v="KPS-10-05"/>
  </r>
  <r>
    <s v="KK-04609|42309"/>
    <x v="0"/>
    <x v="1"/>
    <s v="KK-04609"/>
    <x v="11"/>
    <n v="25000.000000000004"/>
    <x v="5"/>
    <s v="SY - Jofenwali"/>
    <s v="KPS-10-05"/>
  </r>
  <r>
    <s v="KK-04609|42339"/>
    <x v="0"/>
    <x v="1"/>
    <s v="KK-04609"/>
    <x v="11"/>
    <n v="25000.000000000004"/>
    <x v="6"/>
    <s v="SY - Jofenwali"/>
    <s v="KPS-10-05"/>
  </r>
  <r>
    <s v="KK-04611|42186"/>
    <x v="0"/>
    <x v="1"/>
    <s v="KK-04611"/>
    <x v="12"/>
    <n v="10000"/>
    <x v="1"/>
    <s v="SY - Leonardus Tjhin Tje Ming"/>
    <s v="KPS-10-05"/>
  </r>
  <r>
    <s v="KK-04611|42217"/>
    <x v="0"/>
    <x v="1"/>
    <s v="KK-04611"/>
    <x v="12"/>
    <n v="10000"/>
    <x v="2"/>
    <s v="SY - Leonardus Tjhin Tje Ming"/>
    <s v="KPS-10-05"/>
  </r>
  <r>
    <s v="KK-04611|42248"/>
    <x v="0"/>
    <x v="1"/>
    <s v="KK-04611"/>
    <x v="12"/>
    <n v="10000"/>
    <x v="3"/>
    <s v="SY - Leonardus Tjhin Tje Ming"/>
    <s v="KPS-10-05"/>
  </r>
  <r>
    <s v="KK-04611|42278"/>
    <x v="0"/>
    <x v="1"/>
    <s v="KK-04611"/>
    <x v="12"/>
    <n v="10000"/>
    <x v="4"/>
    <s v="SY - Leonardus Tjhin Tje Ming"/>
    <s v="KPS-10-05"/>
  </r>
  <r>
    <s v="KK-04611|42309"/>
    <x v="0"/>
    <x v="1"/>
    <s v="KK-04611"/>
    <x v="12"/>
    <n v="10000"/>
    <x v="5"/>
    <s v="SY - Leonardus Tjhin Tje Ming"/>
    <s v="KPS-10-05"/>
  </r>
  <r>
    <s v="KK-04611|42339"/>
    <x v="0"/>
    <x v="1"/>
    <s v="KK-04611"/>
    <x v="12"/>
    <n v="10000"/>
    <x v="6"/>
    <s v="SY - Leonardus Tjhin Tje Ming"/>
    <s v="KPS-10-05"/>
  </r>
  <r>
    <s v="KK-04612|42186"/>
    <x v="0"/>
    <x v="1"/>
    <s v="KK-04612"/>
    <x v="13"/>
    <n v="5000"/>
    <x v="1"/>
    <s v="SY - Lie Bui Tjung"/>
    <s v="KPS-10-05"/>
  </r>
  <r>
    <s v="KK-04612|42217"/>
    <x v="0"/>
    <x v="1"/>
    <s v="KK-04612"/>
    <x v="13"/>
    <n v="5000"/>
    <x v="2"/>
    <s v="SY - Lie Bui Tjung"/>
    <s v="KPS-10-05"/>
  </r>
  <r>
    <s v="KK-04612|42248"/>
    <x v="0"/>
    <x v="1"/>
    <s v="KK-04612"/>
    <x v="13"/>
    <n v="5000"/>
    <x v="3"/>
    <s v="SY - Lie Bui Tjung"/>
    <s v="KPS-10-05"/>
  </r>
  <r>
    <s v="KK-04612|42278"/>
    <x v="0"/>
    <x v="1"/>
    <s v="KK-04612"/>
    <x v="13"/>
    <n v="5000"/>
    <x v="4"/>
    <s v="SY - Lie Bui Tjung"/>
    <s v="KPS-10-05"/>
  </r>
  <r>
    <s v="KK-04612|42309"/>
    <x v="0"/>
    <x v="1"/>
    <s v="KK-04612"/>
    <x v="13"/>
    <n v="5000"/>
    <x v="5"/>
    <s v="SY - Lie Bui Tjung"/>
    <s v="KPS-10-05"/>
  </r>
  <r>
    <s v="KK-04612|42339"/>
    <x v="0"/>
    <x v="1"/>
    <s v="KK-04612"/>
    <x v="13"/>
    <n v="5000"/>
    <x v="6"/>
    <s v="SY - Lie Bui Tjung"/>
    <s v="KPS-10-05"/>
  </r>
  <r>
    <s v="KK-04613|42186"/>
    <x v="0"/>
    <x v="1"/>
    <s v="KK-04613"/>
    <x v="14"/>
    <n v="20000"/>
    <x v="1"/>
    <s v="SY - Lucia Septiana.P"/>
    <s v="KPS-10-05"/>
  </r>
  <r>
    <s v="KK-04613|42217"/>
    <x v="0"/>
    <x v="1"/>
    <s v="KK-04613"/>
    <x v="14"/>
    <n v="20000"/>
    <x v="2"/>
    <s v="SY - Lucia Septiana.P"/>
    <s v="KPS-10-05"/>
  </r>
  <r>
    <s v="KK-04613|42248"/>
    <x v="0"/>
    <x v="1"/>
    <s v="KK-04613"/>
    <x v="14"/>
    <n v="20000"/>
    <x v="3"/>
    <s v="SY - Lucia Septiana.P"/>
    <s v="KPS-10-05"/>
  </r>
  <r>
    <s v="KK-04613|42278"/>
    <x v="0"/>
    <x v="1"/>
    <s v="KK-04613"/>
    <x v="14"/>
    <n v="20000"/>
    <x v="4"/>
    <s v="SY - Lucia Septiana.P"/>
    <s v="KPS-10-05"/>
  </r>
  <r>
    <s v="KK-04613|42309"/>
    <x v="0"/>
    <x v="1"/>
    <s v="KK-04613"/>
    <x v="14"/>
    <n v="20000"/>
    <x v="5"/>
    <s v="SY - Lucia Septiana.P"/>
    <s v="KPS-10-05"/>
  </r>
  <r>
    <s v="KK-04613|42339"/>
    <x v="0"/>
    <x v="1"/>
    <s v="KK-04613"/>
    <x v="14"/>
    <n v="20000"/>
    <x v="6"/>
    <s v="SY - Lucia Septiana.P"/>
    <s v="KPS-10-05"/>
  </r>
  <r>
    <s v="KK-04616|42186"/>
    <x v="0"/>
    <x v="1"/>
    <s v="KK-04616"/>
    <x v="15"/>
    <n v="50000.000000000007"/>
    <x v="1"/>
    <s v="SY - Purnama Tanuseputra"/>
    <s v="KPS-10-05"/>
  </r>
  <r>
    <s v="KK-04616|42217"/>
    <x v="0"/>
    <x v="1"/>
    <s v="KK-04616"/>
    <x v="15"/>
    <n v="50000.000000000007"/>
    <x v="2"/>
    <s v="SY - Purnama Tanuseputra"/>
    <s v="KPS-10-05"/>
  </r>
  <r>
    <s v="KK-04616|42248"/>
    <x v="0"/>
    <x v="1"/>
    <s v="KK-04616"/>
    <x v="15"/>
    <n v="50000.000000000007"/>
    <x v="3"/>
    <s v="SY - Purnama Tanuseputra"/>
    <s v="KPS-10-05"/>
  </r>
  <r>
    <s v="KK-04616|42278"/>
    <x v="0"/>
    <x v="1"/>
    <s v="KK-04616"/>
    <x v="15"/>
    <n v="50000.000000000007"/>
    <x v="4"/>
    <s v="SY - Purnama Tanuseputra"/>
    <s v="KPS-10-05"/>
  </r>
  <r>
    <s v="KK-04616|42309"/>
    <x v="0"/>
    <x v="1"/>
    <s v="KK-04616"/>
    <x v="15"/>
    <n v="50000.000000000007"/>
    <x v="5"/>
    <s v="SY - Purnama Tanuseputra"/>
    <s v="KPS-10-05"/>
  </r>
  <r>
    <s v="KK-04616|42339"/>
    <x v="0"/>
    <x v="1"/>
    <s v="KK-04616"/>
    <x v="15"/>
    <n v="50000.000000000007"/>
    <x v="6"/>
    <s v="SY - Purnama Tanuseputra"/>
    <s v="KPS-10-05"/>
  </r>
  <r>
    <s v="KK-04617|42186"/>
    <x v="0"/>
    <x v="1"/>
    <s v="KK-04617"/>
    <x v="16"/>
    <n v="20000"/>
    <x v="1"/>
    <s v="SY - Rudolf Hendricus Poluan"/>
    <s v="KPS-10-05"/>
  </r>
  <r>
    <s v="KK-04619|42186"/>
    <x v="0"/>
    <x v="1"/>
    <s v="KK-04619"/>
    <x v="17"/>
    <n v="25000.000000000004"/>
    <x v="1"/>
    <s v="SY - Sandy Wijaya"/>
    <s v="KPS-10-05"/>
  </r>
  <r>
    <s v="KK-04619|42217"/>
    <x v="0"/>
    <x v="1"/>
    <s v="KK-04619"/>
    <x v="17"/>
    <n v="25000.000000000004"/>
    <x v="2"/>
    <s v="SY - Sandy Wijaya"/>
    <s v="KPS-10-05"/>
  </r>
  <r>
    <s v="KK-04619|42248"/>
    <x v="0"/>
    <x v="1"/>
    <s v="KK-04619"/>
    <x v="17"/>
    <n v="25000.000000000004"/>
    <x v="3"/>
    <s v="SY - Sandy Wijaya"/>
    <s v="KPS-10-05"/>
  </r>
  <r>
    <s v="KK-04619|42278"/>
    <x v="0"/>
    <x v="1"/>
    <s v="KK-04619"/>
    <x v="17"/>
    <n v="25000.000000000004"/>
    <x v="4"/>
    <s v="SY - Sandy Wijaya"/>
    <s v="KPS-10-05"/>
  </r>
  <r>
    <s v="KK-04619|42309"/>
    <x v="0"/>
    <x v="1"/>
    <s v="KK-04619"/>
    <x v="17"/>
    <n v="25000.000000000004"/>
    <x v="5"/>
    <s v="SY - Sandy Wijaya"/>
    <s v="KPS-10-05"/>
  </r>
  <r>
    <s v="KK-04619|42339"/>
    <x v="0"/>
    <x v="1"/>
    <s v="KK-04619"/>
    <x v="17"/>
    <n v="25000.000000000004"/>
    <x v="6"/>
    <s v="SY - Sandy Wijaya"/>
    <s v="KPS-10-05"/>
  </r>
  <r>
    <s v="KK-04620|42186"/>
    <x v="0"/>
    <x v="1"/>
    <s v="KK-04620"/>
    <x v="18"/>
    <n v="150000"/>
    <x v="1"/>
    <s v="SY - Stefanus Tudy Luchman"/>
    <s v="KPS-10-05"/>
  </r>
  <r>
    <s v="KK-04620|42217"/>
    <x v="0"/>
    <x v="1"/>
    <s v="KK-04620"/>
    <x v="18"/>
    <n v="150000"/>
    <x v="2"/>
    <s v="SY - Stefanus Tudy Luchman"/>
    <s v="KPS-10-05"/>
  </r>
  <r>
    <s v="KK-04620|42248"/>
    <x v="0"/>
    <x v="1"/>
    <s v="KK-04620"/>
    <x v="18"/>
    <n v="150000"/>
    <x v="3"/>
    <s v="SY - Stefanus Tudy Luchman"/>
    <s v="KPS-10-05"/>
  </r>
  <r>
    <s v="KK-04620|42278"/>
    <x v="0"/>
    <x v="1"/>
    <s v="KK-04620"/>
    <x v="18"/>
    <n v="150000"/>
    <x v="4"/>
    <s v="SY - Stefanus Tudy Luchman"/>
    <s v="KPS-10-05"/>
  </r>
  <r>
    <s v="KK-04620|42309"/>
    <x v="0"/>
    <x v="1"/>
    <s v="KK-04620"/>
    <x v="18"/>
    <n v="150000"/>
    <x v="5"/>
    <s v="SY - Stefanus Tudy Luchman"/>
    <s v="KPS-10-05"/>
  </r>
  <r>
    <s v="KK-04620|42339"/>
    <x v="0"/>
    <x v="1"/>
    <s v="KK-04620"/>
    <x v="18"/>
    <n v="150000"/>
    <x v="6"/>
    <s v="SY - Stefanus Tudy Luchman"/>
    <s v="KPS-10-05"/>
  </r>
  <r>
    <s v="KK-04621|42186"/>
    <x v="0"/>
    <x v="1"/>
    <s v="KK-04621"/>
    <x v="19"/>
    <n v="25000.000000000004"/>
    <x v="1"/>
    <s v="SY - Tommy Prasetyo Utomo"/>
    <s v="KPS-10-05"/>
  </r>
  <r>
    <s v="KK-04621|42217"/>
    <x v="0"/>
    <x v="1"/>
    <s v="KK-04621"/>
    <x v="19"/>
    <n v="25000.000000000004"/>
    <x v="2"/>
    <s v="SY - Tommy Prasetyo Utomo"/>
    <s v="KPS-10-05"/>
  </r>
  <r>
    <s v="KK-04621|42248"/>
    <x v="0"/>
    <x v="1"/>
    <s v="KK-04621"/>
    <x v="19"/>
    <n v="25000.000000000004"/>
    <x v="3"/>
    <s v="SY - Tommy Prasetyo Utomo"/>
    <s v="KPS-10-05"/>
  </r>
  <r>
    <s v="KK-04621|42278"/>
    <x v="0"/>
    <x v="1"/>
    <s v="KK-04621"/>
    <x v="19"/>
    <n v="25000.000000000004"/>
    <x v="4"/>
    <s v="SY - Tommy Prasetyo Utomo"/>
    <s v="KPS-10-05"/>
  </r>
  <r>
    <s v="KK-04621|42309"/>
    <x v="0"/>
    <x v="1"/>
    <s v="KK-04621"/>
    <x v="19"/>
    <n v="25000.000000000004"/>
    <x v="5"/>
    <s v="SY - Tommy Prasetyo Utomo"/>
    <s v="KPS-10-05"/>
  </r>
  <r>
    <s v="KK-04621|42339"/>
    <x v="0"/>
    <x v="1"/>
    <s v="KK-04621"/>
    <x v="19"/>
    <n v="25000.000000000004"/>
    <x v="6"/>
    <s v="SY - Tommy Prasetyo Utomo"/>
    <s v="KPS-10-05"/>
  </r>
  <r>
    <s v="KK-04622|42186"/>
    <x v="0"/>
    <x v="1"/>
    <s v="KK-04622"/>
    <x v="20"/>
    <n v="30000"/>
    <x v="1"/>
    <s v="SY - Tri Saptono Vinsentius "/>
    <s v="KPS-10-05"/>
  </r>
  <r>
    <s v="KK-04622|42217"/>
    <x v="0"/>
    <x v="1"/>
    <s v="KK-04622"/>
    <x v="20"/>
    <n v="30000"/>
    <x v="2"/>
    <s v="SY - Tri Saptono Vinsentius "/>
    <s v="KPS-10-05"/>
  </r>
  <r>
    <s v="KK-04622|42248"/>
    <x v="0"/>
    <x v="1"/>
    <s v="KK-04622"/>
    <x v="20"/>
    <n v="30000"/>
    <x v="3"/>
    <s v="SY - Tri Saptono Vinsentius "/>
    <s v="KPS-10-05"/>
  </r>
  <r>
    <s v="KK-04622|42278"/>
    <x v="0"/>
    <x v="1"/>
    <s v="KK-04622"/>
    <x v="20"/>
    <n v="30000"/>
    <x v="4"/>
    <s v="SY - Tri Saptono Vinsentius "/>
    <s v="KPS-10-05"/>
  </r>
  <r>
    <s v="KK-04622|42309"/>
    <x v="0"/>
    <x v="1"/>
    <s v="KK-04622"/>
    <x v="20"/>
    <n v="30000"/>
    <x v="5"/>
    <s v="SY - Tri Saptono Vinsentius "/>
    <s v="KPS-10-05"/>
  </r>
  <r>
    <s v="KK-04622|42339"/>
    <x v="0"/>
    <x v="1"/>
    <s v="KK-04622"/>
    <x v="20"/>
    <n v="30000"/>
    <x v="6"/>
    <s v="SY - Tri Saptono Vinsentius "/>
    <s v="KPS-10-05"/>
  </r>
  <r>
    <s v="KK-04624|42186"/>
    <x v="0"/>
    <x v="1"/>
    <s v="KK-04624"/>
    <x v="21"/>
    <n v="40000"/>
    <x v="1"/>
    <s v="SY - Yohanes Hendy Setiawan"/>
    <s v="KPS-10-05"/>
  </r>
  <r>
    <s v="KK-04624|42217"/>
    <x v="0"/>
    <x v="1"/>
    <s v="KK-04624"/>
    <x v="21"/>
    <n v="40000"/>
    <x v="2"/>
    <s v="SY - Yohanes Hendy Setiawan"/>
    <s v="KPS-10-05"/>
  </r>
  <r>
    <s v="KK-04624|42248"/>
    <x v="0"/>
    <x v="1"/>
    <s v="KK-04624"/>
    <x v="21"/>
    <n v="40000"/>
    <x v="3"/>
    <s v="SY - Yohanes Hendy Setiawan"/>
    <s v="KPS-10-05"/>
  </r>
  <r>
    <s v="KK-04624|42278"/>
    <x v="0"/>
    <x v="1"/>
    <s v="KK-04624"/>
    <x v="21"/>
    <n v="40000"/>
    <x v="4"/>
    <s v="SY - Yohanes Hendy Setiawan"/>
    <s v="KPS-10-05"/>
  </r>
  <r>
    <s v="KK-04624|42309"/>
    <x v="0"/>
    <x v="1"/>
    <s v="KK-04624"/>
    <x v="21"/>
    <n v="40000"/>
    <x v="5"/>
    <s v="SY - Yohanes Hendy Setiawan"/>
    <s v="KPS-10-05"/>
  </r>
  <r>
    <s v="KK-04624|42339"/>
    <x v="0"/>
    <x v="1"/>
    <s v="KK-04624"/>
    <x v="21"/>
    <n v="40000"/>
    <x v="6"/>
    <s v="SY - Yohanes Hendy Setiawan"/>
    <s v="KPS-10-05"/>
  </r>
  <r>
    <s v="KK-04625|42186"/>
    <x v="0"/>
    <x v="1"/>
    <s v="KK-04625"/>
    <x v="22"/>
    <n v="100000.00000000001"/>
    <x v="1"/>
    <s v="SY - Yunius Samara"/>
    <s v="KPS-10-05"/>
  </r>
  <r>
    <s v="KK-04625|42217"/>
    <x v="0"/>
    <x v="1"/>
    <s v="KK-04625"/>
    <x v="22"/>
    <n v="100000.00000000001"/>
    <x v="2"/>
    <s v="SY - Yunius Samara"/>
    <s v="KPS-10-05"/>
  </r>
  <r>
    <s v="KK-04625|42248"/>
    <x v="0"/>
    <x v="1"/>
    <s v="KK-04625"/>
    <x v="22"/>
    <n v="100000.00000000001"/>
    <x v="3"/>
    <s v="SY - Yunius Samara"/>
    <s v="KPS-10-05"/>
  </r>
  <r>
    <s v="KK-04625|42278"/>
    <x v="0"/>
    <x v="1"/>
    <s v="KK-04625"/>
    <x v="22"/>
    <n v="100000.00000000001"/>
    <x v="4"/>
    <s v="SY - Yunius Samara"/>
    <s v="KPS-10-05"/>
  </r>
  <r>
    <s v="KK-04625|42309"/>
    <x v="0"/>
    <x v="1"/>
    <s v="KK-04625"/>
    <x v="22"/>
    <n v="100000.00000000001"/>
    <x v="5"/>
    <s v="SY - Yunius Samara"/>
    <s v="KPS-10-05"/>
  </r>
  <r>
    <s v="KK-04625|42339"/>
    <x v="0"/>
    <x v="1"/>
    <s v="KK-04625"/>
    <x v="22"/>
    <n v="100000.00000000001"/>
    <x v="6"/>
    <s v="SY - Yunius Samara"/>
    <s v="KPS-10-05"/>
  </r>
  <r>
    <s v="KK-04626|42186"/>
    <x v="0"/>
    <x v="1"/>
    <s v="KK-04626"/>
    <x v="23"/>
    <n v="25000.000000000004"/>
    <x v="1"/>
    <s v="SY - Hadi Suwana"/>
    <s v="KPS-10-05"/>
  </r>
  <r>
    <s v="KK-04626|42217"/>
    <x v="0"/>
    <x v="1"/>
    <s v="KK-04626"/>
    <x v="23"/>
    <n v="25000.000000000004"/>
    <x v="2"/>
    <s v="SY - Hadi Suwana"/>
    <s v="KPS-10-05"/>
  </r>
  <r>
    <s v="KK-04626|42248"/>
    <x v="0"/>
    <x v="1"/>
    <s v="KK-04626"/>
    <x v="23"/>
    <n v="25000.000000000004"/>
    <x v="3"/>
    <s v="SY - Hadi Suwana"/>
    <s v="KPS-10-05"/>
  </r>
  <r>
    <s v="KK-04626|42278"/>
    <x v="0"/>
    <x v="1"/>
    <s v="KK-04626"/>
    <x v="23"/>
    <n v="25000.000000000004"/>
    <x v="4"/>
    <s v="SY - Hadi Suwana"/>
    <s v="KPS-10-05"/>
  </r>
  <r>
    <s v="KK-04626|42309"/>
    <x v="0"/>
    <x v="1"/>
    <s v="KK-04626"/>
    <x v="23"/>
    <n v="25000.000000000004"/>
    <x v="5"/>
    <s v="SY - Hadi Suwana"/>
    <s v="KPS-10-05"/>
  </r>
  <r>
    <s v="KK-04626|42339"/>
    <x v="0"/>
    <x v="1"/>
    <s v="KK-04626"/>
    <x v="23"/>
    <n v="25000.000000000004"/>
    <x v="6"/>
    <s v="SY - Hadi Suwana"/>
    <s v="KPS-10-05"/>
  </r>
  <r>
    <s v="|42370"/>
    <x v="1"/>
    <x v="0"/>
    <m/>
    <x v="0"/>
    <n v="20000"/>
    <x v="7"/>
    <s v="SY - Andreas Rasul"/>
    <s v="KPS-10-05"/>
  </r>
  <r>
    <s v="KK-04599|42370"/>
    <x v="1"/>
    <x v="1"/>
    <s v="KK-04599"/>
    <x v="3"/>
    <n v="50000.000000000007"/>
    <x v="7"/>
    <s v="SY - Bernardus Yogie Dirga Gunawan"/>
    <s v="KPS-10-05"/>
  </r>
  <r>
    <s v="KK-04599|42401"/>
    <x v="1"/>
    <x v="1"/>
    <s v="KK-04599"/>
    <x v="3"/>
    <n v="50000.000000000007"/>
    <x v="8"/>
    <s v="SY - Bernardus Yogie Dirga Gunawan"/>
    <s v="KPS-10-05"/>
  </r>
  <r>
    <s v="KK-04626|42370"/>
    <x v="1"/>
    <x v="1"/>
    <s v="KK-04626"/>
    <x v="23"/>
    <n v="25000.000000000004"/>
    <x v="7"/>
    <s v="SY - Hadi Suwana"/>
    <s v="KPS-10-05"/>
  </r>
  <r>
    <s v="KK-04626|42401"/>
    <x v="1"/>
    <x v="1"/>
    <s v="KK-04626"/>
    <x v="23"/>
    <n v="25000.000000000004"/>
    <x v="8"/>
    <s v="SY - Hadi Suwana"/>
    <s v="KPS-10-05"/>
  </r>
  <r>
    <s v="KK-04626|42430"/>
    <x v="1"/>
    <x v="1"/>
    <s v="KK-04626"/>
    <x v="23"/>
    <n v="25000.000000000004"/>
    <x v="9"/>
    <s v="SY - Hadi Suwana"/>
    <s v="KPS-10-05"/>
  </r>
  <r>
    <s v="KK-04626|42461"/>
    <x v="1"/>
    <x v="1"/>
    <s v="KK-04626"/>
    <x v="23"/>
    <n v="25000.000000000004"/>
    <x v="10"/>
    <s v="SY - Hadi Suwana"/>
    <s v="KPS-10-05"/>
  </r>
  <r>
    <s v="KK-04607|42370"/>
    <x v="1"/>
    <x v="1"/>
    <s v="KK-04607"/>
    <x v="9"/>
    <n v="75000"/>
    <x v="7"/>
    <s v="SY - Hendro Hartono"/>
    <s v="KPS-10-05"/>
  </r>
  <r>
    <s v="KK-04608|42370"/>
    <x v="1"/>
    <x v="1"/>
    <s v="KK-04608"/>
    <x v="10"/>
    <n v="30000"/>
    <x v="7"/>
    <s v="SY - Heru Prawono"/>
    <s v="KPS-10-05"/>
  </r>
  <r>
    <s v="KK-04611|42370"/>
    <x v="1"/>
    <x v="1"/>
    <s v="KK-04611"/>
    <x v="12"/>
    <n v="10000"/>
    <x v="7"/>
    <s v="SY - Leonardus Tjhin Tje Ming"/>
    <s v="KPS-10-05"/>
  </r>
  <r>
    <s v="KK-04611|42401"/>
    <x v="1"/>
    <x v="1"/>
    <s v="KK-04611"/>
    <x v="12"/>
    <n v="10000"/>
    <x v="8"/>
    <s v="SY - Leonardus Tjhin Tje Ming"/>
    <s v="KPS-10-05"/>
  </r>
  <r>
    <s v="KK-04611|42430"/>
    <x v="1"/>
    <x v="1"/>
    <s v="KK-04611"/>
    <x v="12"/>
    <n v="10000"/>
    <x v="9"/>
    <s v="SY - Leonardus Tjhin Tje Ming"/>
    <s v="KPS-10-05"/>
  </r>
  <r>
    <s v="KK-04620|42370"/>
    <x v="1"/>
    <x v="1"/>
    <s v="KK-04620"/>
    <x v="18"/>
    <n v="150000"/>
    <x v="7"/>
    <s v="SY - Stefanus Tudy Luchman"/>
    <s v="KPS-10-05"/>
  </r>
  <r>
    <s v="KK-04620|42401"/>
    <x v="1"/>
    <x v="1"/>
    <s v="KK-04620"/>
    <x v="18"/>
    <n v="150000"/>
    <x v="8"/>
    <s v="SY - Stefanus Tudy Luchman"/>
    <s v="KPS-10-05"/>
  </r>
  <r>
    <s v="KK-04620|42430"/>
    <x v="1"/>
    <x v="1"/>
    <s v="KK-04620"/>
    <x v="18"/>
    <n v="150000"/>
    <x v="9"/>
    <s v="SY - Stefanus Tudy Luchman"/>
    <s v="KPS-10-05"/>
  </r>
  <r>
    <s v="KK-04620|42461"/>
    <x v="1"/>
    <x v="1"/>
    <s v="KK-04620"/>
    <x v="18"/>
    <n v="150000"/>
    <x v="10"/>
    <s v="SY - Stefanus Tudy Luchman"/>
    <s v="KPS-10-05"/>
  </r>
  <r>
    <s v="KK-04620|42491"/>
    <x v="1"/>
    <x v="1"/>
    <s v="KK-04620"/>
    <x v="18"/>
    <n v="150000"/>
    <x v="11"/>
    <s v="SY - Stefanus Tudy Luchman"/>
    <s v="KPS-10-05"/>
  </r>
  <r>
    <s v="KK-04620|42522"/>
    <x v="1"/>
    <x v="1"/>
    <s v="KK-04620"/>
    <x v="18"/>
    <n v="150000"/>
    <x v="12"/>
    <s v="SY - Stefanus Tudy Luchman"/>
    <s v="KPS-10-05"/>
  </r>
  <r>
    <s v="KK-04621|42370"/>
    <x v="1"/>
    <x v="1"/>
    <s v="KK-04621"/>
    <x v="19"/>
    <n v="25000.000000000004"/>
    <x v="7"/>
    <s v="SY - Tommy Prasetyo Utomo"/>
    <s v="KPS-10-05"/>
  </r>
  <r>
    <s v="KK-04625|42370"/>
    <x v="1"/>
    <x v="1"/>
    <s v="KK-04625"/>
    <x v="22"/>
    <n v="100000.00000000001"/>
    <x v="7"/>
    <s v="SY - Yunius Samara"/>
    <s v="KPS-10-05"/>
  </r>
  <r>
    <s v="KK-04597|42370"/>
    <x v="2"/>
    <x v="1"/>
    <s v="KK-04597"/>
    <x v="1"/>
    <n v="20000"/>
    <x v="7"/>
    <s v="SY - Arief Wibawa"/>
    <s v="KPS-10-05"/>
  </r>
  <r>
    <s v="KK-04597|42401"/>
    <x v="2"/>
    <x v="1"/>
    <s v="KK-04597"/>
    <x v="1"/>
    <n v="20000"/>
    <x v="8"/>
    <s v="SY - Arief Wibawa"/>
    <s v="KPS-10-05"/>
  </r>
  <r>
    <s v="KK-04597|42430"/>
    <x v="2"/>
    <x v="1"/>
    <s v="KK-04597"/>
    <x v="1"/>
    <n v="20000"/>
    <x v="9"/>
    <s v="SY - Arief Wibawa"/>
    <s v="KPS-10-05"/>
  </r>
  <r>
    <s v="KK-04604|42186"/>
    <x v="2"/>
    <x v="1"/>
    <s v="KK-04604"/>
    <x v="24"/>
    <n v="60000"/>
    <x v="1"/>
    <s v="SY - Dobbie Poniman"/>
    <s v="KPS-10-05"/>
  </r>
  <r>
    <s v="KK-04604|42217"/>
    <x v="2"/>
    <x v="1"/>
    <s v="KK-04604"/>
    <x v="24"/>
    <n v="15000"/>
    <x v="2"/>
    <s v="SY - Dobbie Poniman"/>
    <s v="KPS-10-05"/>
  </r>
  <r>
    <s v="KK-04604|42248"/>
    <x v="2"/>
    <x v="1"/>
    <s v="KK-04604"/>
    <x v="24"/>
    <n v="15000"/>
    <x v="3"/>
    <s v="SY - Dobbie Poniman"/>
    <s v="KPS-10-05"/>
  </r>
  <r>
    <s v="KK-04604|42278"/>
    <x v="2"/>
    <x v="1"/>
    <s v="KK-04604"/>
    <x v="24"/>
    <n v="15000"/>
    <x v="4"/>
    <s v="SY - Dobbie Poniman"/>
    <s v="KPS-10-05"/>
  </r>
  <r>
    <s v="KK-04604|42309"/>
    <x v="2"/>
    <x v="1"/>
    <s v="KK-04604"/>
    <x v="24"/>
    <n v="15000"/>
    <x v="5"/>
    <s v="SY - Dobbie Poniman"/>
    <s v="KPS-10-05"/>
  </r>
  <r>
    <s v="KK-04604|42339"/>
    <x v="2"/>
    <x v="1"/>
    <s v="KK-04604"/>
    <x v="24"/>
    <n v="15000"/>
    <x v="6"/>
    <s v="SY - Dobbie Poniman"/>
    <s v="KPS-10-05"/>
  </r>
  <r>
    <s v="KK-04606|42370"/>
    <x v="2"/>
    <x v="1"/>
    <s v="KK-04606"/>
    <x v="8"/>
    <n v="50000.000000000007"/>
    <x v="7"/>
    <s v="SY - Hendra Kurniawan"/>
    <s v="KPS-10-05"/>
  </r>
  <r>
    <s v="KK-04606|42401"/>
    <x v="2"/>
    <x v="1"/>
    <s v="KK-04606"/>
    <x v="8"/>
    <n v="50000.000000000007"/>
    <x v="8"/>
    <s v="SY - Hendra Kurniawan"/>
    <s v="KPS-10-05"/>
  </r>
  <r>
    <s v="KK-04606|42430"/>
    <x v="2"/>
    <x v="1"/>
    <s v="KK-04606"/>
    <x v="8"/>
    <n v="50000.000000000007"/>
    <x v="9"/>
    <s v="SY - Hendra Kurniawan"/>
    <s v="KPS-10-05"/>
  </r>
  <r>
    <s v="KK-04608|42401"/>
    <x v="2"/>
    <x v="1"/>
    <s v="KK-04608"/>
    <x v="10"/>
    <n v="30000"/>
    <x v="8"/>
    <s v="SY - Heru Prawono"/>
    <s v="KPS-10-05"/>
  </r>
  <r>
    <s v="KK-04609|42370"/>
    <x v="2"/>
    <x v="1"/>
    <s v="KK-04609"/>
    <x v="11"/>
    <n v="25000.000000000004"/>
    <x v="7"/>
    <s v="SY - Jofenwali"/>
    <s v="KPS-10-05"/>
  </r>
  <r>
    <s v="KK-04609|42401"/>
    <x v="2"/>
    <x v="1"/>
    <s v="KK-04609"/>
    <x v="11"/>
    <n v="25000.000000000004"/>
    <x v="8"/>
    <s v="SY - Jofenwali"/>
    <s v="KPS-10-05"/>
  </r>
  <r>
    <s v="KK-04613|42370"/>
    <x v="2"/>
    <x v="1"/>
    <s v="KK-04613"/>
    <x v="14"/>
    <n v="20000"/>
    <x v="7"/>
    <s v="SY - Lucia Septiana.P"/>
    <s v="KPS-10-05"/>
  </r>
  <r>
    <s v="KK-04613|42401"/>
    <x v="2"/>
    <x v="1"/>
    <s v="KK-04613"/>
    <x v="14"/>
    <n v="20000"/>
    <x v="8"/>
    <s v="SY - Lucia Septiana.P"/>
    <s v="KPS-10-05"/>
  </r>
  <r>
    <s v="KK-04613|42430"/>
    <x v="2"/>
    <x v="1"/>
    <s v="KK-04613"/>
    <x v="14"/>
    <n v="20000"/>
    <x v="9"/>
    <s v="SY - Lucia Septiana.P"/>
    <s v="KPS-10-05"/>
  </r>
  <r>
    <s v="KK-04613|42461"/>
    <x v="2"/>
    <x v="1"/>
    <s v="KK-04613"/>
    <x v="14"/>
    <n v="20000"/>
    <x v="10"/>
    <s v="SY - Lucia Septiana.P"/>
    <s v="KPS-10-05"/>
  </r>
  <r>
    <s v="KK-04617|42217"/>
    <x v="2"/>
    <x v="1"/>
    <s v="KK-04617"/>
    <x v="16"/>
    <n v="20000"/>
    <x v="2"/>
    <s v="SY - Rudolf Hendricus Poluan"/>
    <s v="KPS-10-05"/>
  </r>
  <r>
    <s v="KK-04617|42248"/>
    <x v="2"/>
    <x v="1"/>
    <s v="KK-04617"/>
    <x v="16"/>
    <n v="20000"/>
    <x v="3"/>
    <s v="SY - Rudolf Hendricus Poluan"/>
    <s v="KPS-10-05"/>
  </r>
  <r>
    <s v="KK-04617|42278"/>
    <x v="2"/>
    <x v="1"/>
    <s v="KK-04617"/>
    <x v="16"/>
    <n v="20000"/>
    <x v="4"/>
    <s v="SY - Rudolf Hendricus Poluan"/>
    <s v="KPS-10-05"/>
  </r>
  <r>
    <s v="KK-04617|42309"/>
    <x v="2"/>
    <x v="1"/>
    <s v="KK-04617"/>
    <x v="16"/>
    <n v="20000"/>
    <x v="5"/>
    <s v="SY - Rudolf Hendricus Poluan"/>
    <s v="KPS-10-05"/>
  </r>
  <r>
    <s v="KK-04617|42339"/>
    <x v="2"/>
    <x v="1"/>
    <s v="KK-04617"/>
    <x v="16"/>
    <n v="20000"/>
    <x v="6"/>
    <s v="SY - Rudolf Hendricus Poluan"/>
    <s v="KPS-10-05"/>
  </r>
  <r>
    <s v="KK-04621|42401"/>
    <x v="2"/>
    <x v="1"/>
    <s v="KK-04621"/>
    <x v="19"/>
    <n v="25000.000000000004"/>
    <x v="8"/>
    <s v="SY - Tommy Prasetyo Utomo"/>
    <s v="KPS-10-05"/>
  </r>
  <r>
    <s v="KK-04622|42370"/>
    <x v="2"/>
    <x v="1"/>
    <s v="KK-04622"/>
    <x v="20"/>
    <n v="35000"/>
    <x v="7"/>
    <s v="SY - Tri Saptono Vinsentius "/>
    <s v="KPS-10-05"/>
  </r>
  <r>
    <s v="KK-04624|42370"/>
    <x v="2"/>
    <x v="1"/>
    <s v="KK-04624"/>
    <x v="21"/>
    <n v="40000"/>
    <x v="7"/>
    <s v="SY - Yohanes Hendy Setiawan"/>
    <s v="KPS-10-05"/>
  </r>
  <r>
    <s v="KK-04624|42401"/>
    <x v="2"/>
    <x v="1"/>
    <s v="KK-04624"/>
    <x v="21"/>
    <n v="40000"/>
    <x v="8"/>
    <s v="SY - Yohanes Hendy Setiawan"/>
    <s v="KPS-10-05"/>
  </r>
  <r>
    <s v="KK-04624|42430"/>
    <x v="2"/>
    <x v="1"/>
    <s v="KK-04624"/>
    <x v="21"/>
    <n v="40000"/>
    <x v="9"/>
    <s v="SY - Yohanes Hendy Setiawan"/>
    <s v="KPS-10-05"/>
  </r>
  <r>
    <s v="KK-04624|42461"/>
    <x v="2"/>
    <x v="1"/>
    <s v="KK-04624"/>
    <x v="21"/>
    <n v="40000"/>
    <x v="10"/>
    <s v="SY - Yohanes Hendy Setiawan"/>
    <s v="KPS-10-05"/>
  </r>
  <r>
    <s v="KK-04624|42491"/>
    <x v="2"/>
    <x v="1"/>
    <s v="KK-04624"/>
    <x v="21"/>
    <n v="40000"/>
    <x v="11"/>
    <s v="SY - Yohanes Hendy Setiawan"/>
    <s v="KPS-10-05"/>
  </r>
  <r>
    <s v="KK-04624|42522"/>
    <x v="2"/>
    <x v="1"/>
    <s v="KK-04624"/>
    <x v="21"/>
    <n v="40000"/>
    <x v="12"/>
    <s v="SY - Yohanes Hendy Setiawan"/>
    <s v="KPS-10-05"/>
  </r>
  <r>
    <s v="KK-04601|42370"/>
    <x v="3"/>
    <x v="1"/>
    <s v="KK-04601"/>
    <x v="5"/>
    <n v="20000"/>
    <x v="7"/>
    <s v="SY - Boen Yoen Tet (Teddy)"/>
    <s v="KPS-10-05"/>
  </r>
  <r>
    <s v="KK-04601|42401"/>
    <x v="3"/>
    <x v="1"/>
    <s v="KK-04601"/>
    <x v="5"/>
    <n v="20000"/>
    <x v="8"/>
    <s v="SY - Boen Yoen Tet (Teddy)"/>
    <s v="KPS-10-05"/>
  </r>
  <r>
    <s v="KK-04601|42430"/>
    <x v="3"/>
    <x v="1"/>
    <s v="KK-04601"/>
    <x v="5"/>
    <n v="20000"/>
    <x v="9"/>
    <s v="SY - Boen Yoen Tet (Teddy)"/>
    <s v="KPS-10-05"/>
  </r>
  <r>
    <s v="KK-04601|42461"/>
    <x v="3"/>
    <x v="1"/>
    <s v="KK-04601"/>
    <x v="5"/>
    <n v="20000"/>
    <x v="10"/>
    <s v="SY - Boen Yoen Tet (Teddy)"/>
    <s v="KPS-10-05"/>
  </r>
  <r>
    <s v="KK-04605|42370"/>
    <x v="3"/>
    <x v="1"/>
    <s v="KK-04605"/>
    <x v="7"/>
    <n v="25000.000000000004"/>
    <x v="7"/>
    <s v="SY - Handoyo Krismanto"/>
    <s v="KPS-10-05"/>
  </r>
  <r>
    <s v="KK-04605|42401"/>
    <x v="3"/>
    <x v="1"/>
    <s v="KK-04605"/>
    <x v="7"/>
    <n v="25000.000000000004"/>
    <x v="8"/>
    <s v="SY - Handoyo Krismanto"/>
    <s v="KPS-10-05"/>
  </r>
  <r>
    <s v="KK-04605|42430"/>
    <x v="3"/>
    <x v="1"/>
    <s v="KK-04605"/>
    <x v="7"/>
    <n v="25000.000000000004"/>
    <x v="9"/>
    <s v="SY - Handoyo Krismanto"/>
    <s v="KPS-10-05"/>
  </r>
  <r>
    <s v="KK-04607|42401"/>
    <x v="3"/>
    <x v="1"/>
    <s v="KK-04607"/>
    <x v="9"/>
    <n v="75000"/>
    <x v="8"/>
    <s v="SY - Hendro Hartono"/>
    <s v="KPS-10-05"/>
  </r>
  <r>
    <s v="KK-04608|42430"/>
    <x v="3"/>
    <x v="1"/>
    <s v="KK-04608"/>
    <x v="10"/>
    <n v="30000"/>
    <x v="9"/>
    <s v="SY - Heru Prawono"/>
    <s v="KPS-10-05"/>
  </r>
  <r>
    <s v="KK-04608|42461"/>
    <x v="3"/>
    <x v="1"/>
    <s v="KK-04608"/>
    <x v="10"/>
    <n v="30000"/>
    <x v="10"/>
    <s v="SY - Heru Prawono"/>
    <s v="KPS-10-05"/>
  </r>
  <r>
    <s v="KK-04616|42370"/>
    <x v="3"/>
    <x v="1"/>
    <s v="KK-04616"/>
    <x v="15"/>
    <n v="50000.000000000007"/>
    <x v="7"/>
    <s v="SY - Purnama Tanuseputra"/>
    <s v="KPS-10-05"/>
  </r>
  <r>
    <s v="KK-04616|42401"/>
    <x v="3"/>
    <x v="1"/>
    <s v="KK-04616"/>
    <x v="15"/>
    <n v="50000.000000000007"/>
    <x v="8"/>
    <s v="SY - Purnama Tanuseputra"/>
    <s v="KPS-10-05"/>
  </r>
  <r>
    <s v="KK-04616|42430"/>
    <x v="3"/>
    <x v="1"/>
    <s v="KK-04616"/>
    <x v="15"/>
    <n v="50000.000000000007"/>
    <x v="9"/>
    <s v="SY - Purnama Tanuseputra"/>
    <s v="KPS-10-05"/>
  </r>
  <r>
    <s v="KK-04616|42461"/>
    <x v="3"/>
    <x v="1"/>
    <s v="KK-04616"/>
    <x v="15"/>
    <n v="50000.000000000007"/>
    <x v="10"/>
    <s v="SY - Purnama Tanuseputra"/>
    <s v="KPS-10-05"/>
  </r>
  <r>
    <s v="KK-04625|42401"/>
    <x v="3"/>
    <x v="1"/>
    <s v="KK-04625"/>
    <x v="22"/>
    <n v="100000.00000000001"/>
    <x v="8"/>
    <s v="SY - Yunius Samara"/>
    <s v="KPS-10-05"/>
  </r>
  <r>
    <s v="KK-04625|42430"/>
    <x v="3"/>
    <x v="1"/>
    <s v="KK-04625"/>
    <x v="22"/>
    <n v="100000.00000000001"/>
    <x v="9"/>
    <s v="SY - Yunius Samara"/>
    <s v="KPS-10-05"/>
  </r>
  <r>
    <s v="KK-04625|42461"/>
    <x v="3"/>
    <x v="1"/>
    <s v="KK-04625"/>
    <x v="22"/>
    <n v="100000.00000000001"/>
    <x v="10"/>
    <s v="SY - Yunius Samara"/>
    <s v="KPS-10-05"/>
  </r>
  <r>
    <s v="KK-04598|42370"/>
    <x v="4"/>
    <x v="1"/>
    <s v="KK-04598"/>
    <x v="2"/>
    <n v="25000.000000000004"/>
    <x v="7"/>
    <s v="SY - Alex Sudytio"/>
    <s v="KPS-10-05"/>
  </r>
  <r>
    <s v="KK-04598|42401"/>
    <x v="4"/>
    <x v="1"/>
    <s v="KK-04598"/>
    <x v="2"/>
    <n v="25000.000000000004"/>
    <x v="8"/>
    <s v="SY - Alex Sudytio"/>
    <s v="KPS-10-05"/>
  </r>
  <r>
    <s v="KK-04598|42430"/>
    <x v="4"/>
    <x v="1"/>
    <s v="KK-04598"/>
    <x v="2"/>
    <n v="25000.000000000004"/>
    <x v="9"/>
    <s v="SY - Alex Sudytio"/>
    <s v="KPS-10-05"/>
  </r>
  <r>
    <s v="KK-04598|42461"/>
    <x v="4"/>
    <x v="1"/>
    <s v="KK-04598"/>
    <x v="2"/>
    <n v="25000.000000000004"/>
    <x v="10"/>
    <s v="SY - Alex Sudytio"/>
    <s v="KPS-10-05"/>
  </r>
  <r>
    <s v="KK-04602|42370"/>
    <x v="4"/>
    <x v="1"/>
    <s v="KK-04602"/>
    <x v="6"/>
    <n v="5000"/>
    <x v="7"/>
    <s v="SY - Budiarto"/>
    <s v="KPS-10-05"/>
  </r>
  <r>
    <s v="KK-04602|42401"/>
    <x v="4"/>
    <x v="1"/>
    <s v="KK-04602"/>
    <x v="6"/>
    <n v="5000"/>
    <x v="8"/>
    <s v="SY - Budiarto"/>
    <s v="KPS-10-05"/>
  </r>
  <r>
    <s v="KK-04602|42430"/>
    <x v="4"/>
    <x v="1"/>
    <s v="KK-04602"/>
    <x v="6"/>
    <n v="5000"/>
    <x v="9"/>
    <s v="SY - Budiarto"/>
    <s v="KPS-10-05"/>
  </r>
  <r>
    <s v="KK-04602|42461"/>
    <x v="4"/>
    <x v="1"/>
    <s v="KK-04602"/>
    <x v="6"/>
    <n v="5000"/>
    <x v="10"/>
    <s v="SY - Budiarto"/>
    <s v="KPS-10-05"/>
  </r>
  <r>
    <s v="KK-04602|42491"/>
    <x v="4"/>
    <x v="1"/>
    <s v="KK-04602"/>
    <x v="6"/>
    <n v="5000"/>
    <x v="11"/>
    <s v="SY - Budiarto"/>
    <s v="KPS-10-05"/>
  </r>
  <r>
    <s v="KK-04602|42522"/>
    <x v="4"/>
    <x v="1"/>
    <s v="KK-04602"/>
    <x v="6"/>
    <n v="5000"/>
    <x v="12"/>
    <s v="SY - Budiarto"/>
    <s v="KPS-10-05"/>
  </r>
  <r>
    <s v="KK-04602|42552"/>
    <x v="4"/>
    <x v="1"/>
    <s v="KK-04602"/>
    <x v="6"/>
    <n v="5000"/>
    <x v="13"/>
    <s v="SY - Budiarto"/>
    <s v="KPS-10-05"/>
  </r>
  <r>
    <s v="KK-04602|42583"/>
    <x v="4"/>
    <x v="1"/>
    <s v="KK-04602"/>
    <x v="6"/>
    <n v="5000"/>
    <x v="14"/>
    <s v="SY - Budiarto"/>
    <s v="KPS-10-05"/>
  </r>
  <r>
    <s v="KK-04602|42614"/>
    <x v="4"/>
    <x v="1"/>
    <s v="KK-04602"/>
    <x v="6"/>
    <n v="5000"/>
    <x v="15"/>
    <s v="SY - Budiarto"/>
    <s v="KPS-10-05"/>
  </r>
  <r>
    <s v="KK-04602|42644"/>
    <x v="4"/>
    <x v="1"/>
    <s v="KK-04602"/>
    <x v="6"/>
    <n v="5000"/>
    <x v="16"/>
    <s v="SY - Budiarto"/>
    <s v="KPS-10-05"/>
  </r>
  <r>
    <s v="KK-04602|42675"/>
    <x v="4"/>
    <x v="1"/>
    <s v="KK-04602"/>
    <x v="6"/>
    <n v="5000"/>
    <x v="17"/>
    <s v="SY - Budiarto"/>
    <s v="KPS-10-05"/>
  </r>
  <r>
    <s v="KK-04602|42705"/>
    <x v="4"/>
    <x v="1"/>
    <s v="KK-04602"/>
    <x v="6"/>
    <n v="5000"/>
    <x v="18"/>
    <s v="SY - Budiarto"/>
    <s v="KPS-10-05"/>
  </r>
  <r>
    <s v="KK-04606|42461"/>
    <x v="4"/>
    <x v="1"/>
    <s v="KK-04606"/>
    <x v="8"/>
    <n v="50000.000000000007"/>
    <x v="10"/>
    <s v="SY - Hendra Kurniawan"/>
    <s v="KPS-10-05"/>
  </r>
  <r>
    <s v="KK-04606|42491"/>
    <x v="4"/>
    <x v="1"/>
    <s v="KK-04606"/>
    <x v="8"/>
    <n v="50000.000000000007"/>
    <x v="11"/>
    <s v="SY - Hendra Kurniawan"/>
    <s v="KPS-10-05"/>
  </r>
  <r>
    <s v="KK-04606|42522"/>
    <x v="4"/>
    <x v="1"/>
    <s v="KK-04606"/>
    <x v="8"/>
    <n v="50000.000000000007"/>
    <x v="12"/>
    <s v="SY - Hendra Kurniawan"/>
    <s v="KPS-10-05"/>
  </r>
  <r>
    <s v="KK-04608|42491"/>
    <x v="4"/>
    <x v="1"/>
    <s v="KK-04608"/>
    <x v="10"/>
    <n v="30000"/>
    <x v="11"/>
    <s v="SY - Heru Prawono"/>
    <s v="KPS-10-05"/>
  </r>
  <r>
    <s v="KK-04609|42430"/>
    <x v="4"/>
    <x v="1"/>
    <s v="KK-04609"/>
    <x v="11"/>
    <n v="25000.000000000004"/>
    <x v="9"/>
    <s v="SY - Jofenwali"/>
    <s v="KPS-10-05"/>
  </r>
  <r>
    <s v="KK-04609|42461"/>
    <x v="4"/>
    <x v="1"/>
    <s v="KK-04609"/>
    <x v="11"/>
    <n v="25000.000000000004"/>
    <x v="10"/>
    <s v="SY - Jofenwali"/>
    <s v="KPS-10-05"/>
  </r>
  <r>
    <s v="KK-04611|42461"/>
    <x v="4"/>
    <x v="1"/>
    <s v="KK-04611"/>
    <x v="12"/>
    <n v="10000"/>
    <x v="10"/>
    <s v="SY - Leonardus Tjhin Tje Ming"/>
    <s v="KPS-10-05"/>
  </r>
  <r>
    <s v="KK-04611|42491"/>
    <x v="4"/>
    <x v="1"/>
    <s v="KK-04611"/>
    <x v="12"/>
    <n v="10000"/>
    <x v="11"/>
    <s v="SY - Leonardus Tjhin Tje Ming"/>
    <s v="KPS-10-05"/>
  </r>
  <r>
    <s v="KK-04611|42522"/>
    <x v="4"/>
    <x v="1"/>
    <s v="KK-04611"/>
    <x v="12"/>
    <n v="10000"/>
    <x v="12"/>
    <s v="SY - Leonardus Tjhin Tje Ming"/>
    <s v="KPS-10-05"/>
  </r>
  <r>
    <s v="KK-04622|42401"/>
    <x v="4"/>
    <x v="1"/>
    <s v="KK-04622"/>
    <x v="20"/>
    <n v="35000"/>
    <x v="8"/>
    <s v="SY - Tri Saptono Vinsentius "/>
    <s v="KPS-10-05"/>
  </r>
  <r>
    <s v="KK-04622|42430"/>
    <x v="4"/>
    <x v="1"/>
    <s v="KK-04622"/>
    <x v="20"/>
    <n v="35000"/>
    <x v="9"/>
    <s v="SY - Tri Saptono Vinsentius "/>
    <s v="KPS-10-05"/>
  </r>
  <r>
    <s v="KK-04622|42461"/>
    <x v="4"/>
    <x v="1"/>
    <s v="KK-04622"/>
    <x v="20"/>
    <n v="35000"/>
    <x v="10"/>
    <s v="SY - Tri Saptono Vinsentius "/>
    <s v="KPS-10-05"/>
  </r>
  <r>
    <s v="KK-04622|42491"/>
    <x v="4"/>
    <x v="1"/>
    <s v="KK-04622"/>
    <x v="20"/>
    <n v="35000"/>
    <x v="11"/>
    <s v="SY - Tri Saptono Vinsentius "/>
    <s v="KPS-10-05"/>
  </r>
  <r>
    <s v="KK-05048|42370"/>
    <x v="5"/>
    <x v="1"/>
    <s v="KK-05048"/>
    <x v="25"/>
    <n v="10000"/>
    <x v="7"/>
    <s v="SY - Alfonsus Denny Martaguna"/>
    <s v="KPS-10-05"/>
  </r>
  <r>
    <s v="KK-05048|42401"/>
    <x v="5"/>
    <x v="1"/>
    <s v="KK-05048"/>
    <x v="25"/>
    <n v="10000"/>
    <x v="8"/>
    <s v="SY - Alfonsus Denny Martaguna"/>
    <s v="KPS-10-05"/>
  </r>
  <r>
    <s v="KK-05048|42430"/>
    <x v="5"/>
    <x v="1"/>
    <s v="KK-05048"/>
    <x v="25"/>
    <n v="10000"/>
    <x v="9"/>
    <s v="SY - Alfonsus Denny Martaguna"/>
    <s v="KPS-10-05"/>
  </r>
  <r>
    <s v="KK-05048|42461"/>
    <x v="5"/>
    <x v="1"/>
    <s v="KK-05048"/>
    <x v="25"/>
    <n v="10000"/>
    <x v="10"/>
    <s v="SY - Alfonsus Denny Martaguna"/>
    <s v="KPS-10-05"/>
  </r>
  <r>
    <s v="KK-04597|42461"/>
    <x v="5"/>
    <x v="1"/>
    <s v="KK-04597"/>
    <x v="1"/>
    <n v="20000"/>
    <x v="10"/>
    <s v="SY - Arief Wibawa"/>
    <s v="KPS-10-05"/>
  </r>
  <r>
    <s v="KK-04597|42491"/>
    <x v="5"/>
    <x v="1"/>
    <s v="KK-04597"/>
    <x v="1"/>
    <n v="30000"/>
    <x v="11"/>
    <s v="SY - Arief Wibawa"/>
    <s v="KPS-10-05"/>
  </r>
  <r>
    <s v="KK-04597|42522"/>
    <x v="5"/>
    <x v="1"/>
    <s v="KK-04597"/>
    <x v="1"/>
    <n v="30000"/>
    <x v="12"/>
    <s v="SY - Arief Wibawa"/>
    <s v="KPS-10-05"/>
  </r>
  <r>
    <s v="KK-04599|42430"/>
    <x v="5"/>
    <x v="1"/>
    <s v="KK-04599"/>
    <x v="3"/>
    <n v="50000.000000000007"/>
    <x v="9"/>
    <s v="SY - Bernardus Yogie Dirga Gunawan"/>
    <s v="KPS-10-05"/>
  </r>
  <r>
    <s v="KK-04599|42461"/>
    <x v="5"/>
    <x v="1"/>
    <s v="KK-04599"/>
    <x v="3"/>
    <n v="50000.000000000007"/>
    <x v="10"/>
    <s v="SY - Bernardus Yogie Dirga Gunawan"/>
    <s v="KPS-10-05"/>
  </r>
  <r>
    <s v="KK-04599|42491"/>
    <x v="5"/>
    <x v="1"/>
    <s v="KK-04599"/>
    <x v="3"/>
    <n v="50000.000000000007"/>
    <x v="11"/>
    <s v="SY - Bernardus Yogie Dirga Gunawan"/>
    <s v="KPS-10-05"/>
  </r>
  <r>
    <s v="KK-04599|42522"/>
    <x v="5"/>
    <x v="1"/>
    <s v="KK-04599"/>
    <x v="3"/>
    <n v="50000.000000000007"/>
    <x v="12"/>
    <s v="SY - Bernardus Yogie Dirga Gunawan"/>
    <s v="KPS-10-05"/>
  </r>
  <r>
    <s v="KK-04626|42491"/>
    <x v="5"/>
    <x v="1"/>
    <s v="KK-04626"/>
    <x v="23"/>
    <n v="25000.000000000004"/>
    <x v="11"/>
    <s v="SY - Hadi Suwana"/>
    <s v="KPS-10-05"/>
  </r>
  <r>
    <s v="KK-04626|42522"/>
    <x v="5"/>
    <x v="1"/>
    <s v="KK-04626"/>
    <x v="23"/>
    <n v="25000.000000000004"/>
    <x v="12"/>
    <s v="SY - Hadi Suwana"/>
    <s v="KPS-10-05"/>
  </r>
  <r>
    <s v="KK-04626|42552"/>
    <x v="5"/>
    <x v="1"/>
    <s v="KK-04626"/>
    <x v="23"/>
    <n v="25000.000000000004"/>
    <x v="13"/>
    <s v="SY - Hadi Suwana"/>
    <s v="KPS-10-05"/>
  </r>
  <r>
    <s v="KK-04626|42583"/>
    <x v="5"/>
    <x v="1"/>
    <s v="KK-04626"/>
    <x v="23"/>
    <n v="25000.000000000004"/>
    <x v="14"/>
    <s v="SY - Hadi Suwana"/>
    <s v="KPS-10-05"/>
  </r>
  <r>
    <s v="KK-04607|42430"/>
    <x v="5"/>
    <x v="1"/>
    <s v="KK-04607"/>
    <x v="9"/>
    <n v="75000"/>
    <x v="9"/>
    <s v="SY - Hendro Hartono"/>
    <s v="KPS-10-05"/>
  </r>
  <r>
    <s v="KK-04607|42461"/>
    <x v="5"/>
    <x v="1"/>
    <s v="KK-04607"/>
    <x v="9"/>
    <n v="75000"/>
    <x v="10"/>
    <s v="SY - Hendro Hartono"/>
    <s v="KPS-10-05"/>
  </r>
  <r>
    <s v="KK-04607|42491"/>
    <x v="5"/>
    <x v="1"/>
    <s v="KK-04607"/>
    <x v="9"/>
    <n v="75000"/>
    <x v="11"/>
    <s v="SY - Hendro Hartono"/>
    <s v="KPS-10-05"/>
  </r>
  <r>
    <s v="KK-04608|42522"/>
    <x v="5"/>
    <x v="1"/>
    <s v="KK-04608"/>
    <x v="10"/>
    <n v="30000"/>
    <x v="12"/>
    <s v="SY - Heru Prawono"/>
    <s v="KPS-10-05"/>
  </r>
  <r>
    <s v="KK-05052|42186"/>
    <x v="5"/>
    <x v="1"/>
    <s v="KK-05052"/>
    <x v="26"/>
    <n v="15000"/>
    <x v="1"/>
    <s v="SY - Julius Margono Teguh Nugroho"/>
    <s v="KPS-10-05"/>
  </r>
  <r>
    <s v="KK-05052|42217"/>
    <x v="5"/>
    <x v="1"/>
    <s v="KK-05052"/>
    <x v="26"/>
    <n v="15000"/>
    <x v="2"/>
    <s v="SY - Julius Margono Teguh Nugroho"/>
    <s v="KPS-10-05"/>
  </r>
  <r>
    <s v="KK-05052|42248"/>
    <x v="5"/>
    <x v="1"/>
    <s v="KK-05052"/>
    <x v="26"/>
    <n v="15000"/>
    <x v="3"/>
    <s v="SY - Julius Margono Teguh Nugroho"/>
    <s v="KPS-10-05"/>
  </r>
  <r>
    <s v="KK-05052|42278"/>
    <x v="5"/>
    <x v="1"/>
    <s v="KK-05052"/>
    <x v="26"/>
    <n v="15000"/>
    <x v="4"/>
    <s v="SY - Julius Margono Teguh Nugroho"/>
    <s v="KPS-10-05"/>
  </r>
  <r>
    <s v="KK-05052|42309"/>
    <x v="5"/>
    <x v="1"/>
    <s v="KK-05052"/>
    <x v="26"/>
    <n v="15000"/>
    <x v="5"/>
    <s v="SY - Julius Margono Teguh Nugroho"/>
    <s v="KPS-10-05"/>
  </r>
  <r>
    <s v="KK-05052|42339"/>
    <x v="5"/>
    <x v="1"/>
    <s v="KK-05052"/>
    <x v="26"/>
    <n v="15000"/>
    <x v="6"/>
    <s v="SY - Julius Margono Teguh Nugroho"/>
    <s v="KPS-10-05"/>
  </r>
  <r>
    <s v="KK-05052|42370"/>
    <x v="5"/>
    <x v="1"/>
    <s v="KK-05052"/>
    <x v="26"/>
    <n v="15000"/>
    <x v="7"/>
    <s v="SY - Julius Margono Teguh Nugroho"/>
    <s v="KPS-10-05"/>
  </r>
  <r>
    <s v="KK-05052|42401"/>
    <x v="5"/>
    <x v="1"/>
    <s v="KK-05052"/>
    <x v="26"/>
    <n v="15000"/>
    <x v="8"/>
    <s v="SY - Julius Margono Teguh Nugroho"/>
    <s v="KPS-10-05"/>
  </r>
  <r>
    <s v="KK-05052|42430"/>
    <x v="5"/>
    <x v="1"/>
    <s v="KK-05052"/>
    <x v="26"/>
    <n v="15000"/>
    <x v="9"/>
    <s v="SY - Julius Margono Teguh Nugroho"/>
    <s v="KPS-10-05"/>
  </r>
  <r>
    <s v="KK-04621|42430"/>
    <x v="5"/>
    <x v="1"/>
    <s v="KK-04621"/>
    <x v="19"/>
    <n v="25000.000000000004"/>
    <x v="9"/>
    <s v="SY - Tommy Prasetyo Utomo"/>
    <s v="KPS-10-05"/>
  </r>
  <r>
    <s v="KK-04621|42461"/>
    <x v="5"/>
    <x v="1"/>
    <s v="KK-04621"/>
    <x v="19"/>
    <n v="25000.000000000004"/>
    <x v="10"/>
    <s v="SY - Tommy Prasetyo Utomo"/>
    <s v="KPS-10-05"/>
  </r>
  <r>
    <s v="KK-04621|42491"/>
    <x v="5"/>
    <x v="1"/>
    <s v="KK-04621"/>
    <x v="19"/>
    <n v="25000.000000000004"/>
    <x v="11"/>
    <s v="SY - Tommy Prasetyo Utomo"/>
    <s v="KPS-10-05"/>
  </r>
  <r>
    <s v="KK-04621|42522"/>
    <x v="5"/>
    <x v="1"/>
    <s v="KK-04621"/>
    <x v="19"/>
    <n v="25000.000000000004"/>
    <x v="12"/>
    <s v="SY - Tommy Prasetyo Utomo"/>
    <s v="KPS-10-05"/>
  </r>
  <r>
    <s v="KK-04622|42522"/>
    <x v="5"/>
    <x v="1"/>
    <s v="KK-04622"/>
    <x v="20"/>
    <n v="35000"/>
    <x v="12"/>
    <s v="SY - Tri Saptono Vinsentius "/>
    <s v="KPS-10-05"/>
  </r>
  <r>
    <s v="KK-04622|42552"/>
    <x v="5"/>
    <x v="1"/>
    <s v="KK-04622"/>
    <x v="20"/>
    <n v="35000"/>
    <x v="13"/>
    <s v="SY - Tri Saptono Vinsentius "/>
    <s v="KPS-10-05"/>
  </r>
  <r>
    <s v="KK-05056|42370"/>
    <x v="5"/>
    <x v="1"/>
    <s v="KK-05056"/>
    <x v="27"/>
    <n v="50000.000000000007"/>
    <x v="7"/>
    <s v="SY - Yandi Setiawan"/>
    <s v="KPS-10-05"/>
  </r>
  <r>
    <s v="KK-05056|42401"/>
    <x v="5"/>
    <x v="1"/>
    <s v="KK-05056"/>
    <x v="27"/>
    <n v="50000.000000000007"/>
    <x v="8"/>
    <s v="SY - Yandi Setiawan"/>
    <s v="KPS-10-05"/>
  </r>
  <r>
    <s v="KK-05056|42430"/>
    <x v="5"/>
    <x v="1"/>
    <s v="KK-05056"/>
    <x v="27"/>
    <n v="50000.000000000007"/>
    <x v="9"/>
    <s v="SY - Yandi Setiawan"/>
    <s v="KPS-10-05"/>
  </r>
  <r>
    <s v="KK-05056|42461"/>
    <x v="5"/>
    <x v="1"/>
    <s v="KK-05056"/>
    <x v="27"/>
    <n v="50000.000000000007"/>
    <x v="10"/>
    <s v="SY - Yandi Setiawan"/>
    <s v="KPS-10-05"/>
  </r>
  <r>
    <s v="KK-05056|42491"/>
    <x v="5"/>
    <x v="1"/>
    <s v="KK-05056"/>
    <x v="27"/>
    <n v="50000.000000000007"/>
    <x v="11"/>
    <s v="SY - Yandi Setiawan"/>
    <s v="KPS-10-05"/>
  </r>
  <r>
    <s v="KK-05056|42522"/>
    <x v="5"/>
    <x v="1"/>
    <s v="KK-05056"/>
    <x v="27"/>
    <n v="50000.000000000007"/>
    <x v="12"/>
    <s v="SY - Yandi Setiawan"/>
    <s v="KPS-10-05"/>
  </r>
  <r>
    <s v="KK-04624|42552"/>
    <x v="5"/>
    <x v="1"/>
    <s v="KK-04624"/>
    <x v="21"/>
    <n v="40000"/>
    <x v="13"/>
    <s v="SY - Yohanes Hendy Setiawan"/>
    <s v="KPS-10-05"/>
  </r>
  <r>
    <s v="KK-04624|42583"/>
    <x v="5"/>
    <x v="1"/>
    <s v="KK-04624"/>
    <x v="21"/>
    <n v="40000"/>
    <x v="14"/>
    <s v="SY - Yohanes Hendy Setiawan"/>
    <s v="KPS-10-05"/>
  </r>
  <r>
    <s v="KK-04624|42614"/>
    <x v="5"/>
    <x v="1"/>
    <s v="KK-04624"/>
    <x v="21"/>
    <n v="40000"/>
    <x v="15"/>
    <s v="SY - Yohanes Hendy Setiawan"/>
    <s v="KPS-10-05"/>
  </r>
  <r>
    <s v="KK-04599|42552"/>
    <x v="6"/>
    <x v="1"/>
    <s v="KK-04599"/>
    <x v="3"/>
    <n v="50000.000000000007"/>
    <x v="13"/>
    <s v="SY - Bernardus Yogie Dirga Gunawan"/>
    <s v="KPS-10-05"/>
  </r>
  <r>
    <s v="KK-04599|42583"/>
    <x v="6"/>
    <x v="1"/>
    <s v="KK-04599"/>
    <x v="3"/>
    <n v="50000.000000000007"/>
    <x v="14"/>
    <s v="SY - Bernardus Yogie Dirga Gunawan"/>
    <s v="KPS-10-05"/>
  </r>
  <r>
    <s v="KK-04599|42614"/>
    <x v="6"/>
    <x v="1"/>
    <s v="KK-04599"/>
    <x v="3"/>
    <n v="50000.000000000007"/>
    <x v="15"/>
    <s v="SY - Bernardus Yogie Dirga Gunawan"/>
    <s v="KPS-10-05"/>
  </r>
  <r>
    <s v="KK-04601|42491"/>
    <x v="6"/>
    <x v="1"/>
    <s v="KK-04601"/>
    <x v="5"/>
    <n v="20000"/>
    <x v="11"/>
    <s v="SY - Boen Yoen Tet (Teddy)"/>
    <s v="KPS-10-05"/>
  </r>
  <r>
    <s v="KK-04601|42522"/>
    <x v="6"/>
    <x v="1"/>
    <s v="KK-04601"/>
    <x v="5"/>
    <n v="20000"/>
    <x v="12"/>
    <s v="SY - Boen Yoen Tet (Teddy)"/>
    <s v="KPS-10-05"/>
  </r>
  <r>
    <s v="KK-04601|42552"/>
    <x v="6"/>
    <x v="1"/>
    <s v="KK-04601"/>
    <x v="5"/>
    <n v="20000"/>
    <x v="13"/>
    <s v="SY - Boen Yoen Tet (Teddy)"/>
    <s v="KPS-10-05"/>
  </r>
  <r>
    <s v="KK-04608|42552"/>
    <x v="6"/>
    <x v="1"/>
    <s v="KK-04608"/>
    <x v="10"/>
    <n v="30000"/>
    <x v="13"/>
    <s v="SY - Heru Prawono"/>
    <s v="KPS-10-05"/>
  </r>
  <r>
    <s v="KK-04611|42552"/>
    <x v="6"/>
    <x v="1"/>
    <s v="KK-04611"/>
    <x v="12"/>
    <n v="30000"/>
    <x v="13"/>
    <s v="SY - Leonardus Tjhin Tje Ming"/>
    <s v="KPS-10-05"/>
  </r>
  <r>
    <s v="KK-04611|42583"/>
    <x v="6"/>
    <x v="1"/>
    <s v="KK-04611"/>
    <x v="12"/>
    <n v="30000"/>
    <x v="14"/>
    <s v="SY - Leonardus Tjhin Tje Ming"/>
    <s v="KPS-10-05"/>
  </r>
  <r>
    <s v="KK-04611|42614"/>
    <x v="6"/>
    <x v="1"/>
    <s v="KK-04611"/>
    <x v="12"/>
    <n v="30000"/>
    <x v="15"/>
    <s v="SY - Leonardus Tjhin Tje Ming"/>
    <s v="KPS-10-05"/>
  </r>
  <r>
    <s v="KK-05053|42370"/>
    <x v="6"/>
    <x v="1"/>
    <s v="KK-05053"/>
    <x v="28"/>
    <n v="500000"/>
    <x v="7"/>
    <s v="SY - Pieter Hiu Stanley Setiono"/>
    <s v="KPS-10-05"/>
  </r>
  <r>
    <s v="KK-05053|42401"/>
    <x v="6"/>
    <x v="1"/>
    <s v="KK-05053"/>
    <x v="28"/>
    <n v="500000"/>
    <x v="8"/>
    <s v="SY - Pieter Hiu Stanley Setiono"/>
    <s v="KPS-10-05"/>
  </r>
  <r>
    <s v="KK-05053|42430"/>
    <x v="6"/>
    <x v="1"/>
    <s v="KK-05053"/>
    <x v="28"/>
    <n v="500000"/>
    <x v="9"/>
    <s v="SY - Pieter Hiu Stanley Setiono"/>
    <s v="KPS-10-05"/>
  </r>
  <r>
    <s v="KK-05053|42461"/>
    <x v="6"/>
    <x v="1"/>
    <s v="KK-05053"/>
    <x v="28"/>
    <n v="500000"/>
    <x v="10"/>
    <s v="SY - Pieter Hiu Stanley Setiono"/>
    <s v="KPS-10-05"/>
  </r>
  <r>
    <s v="KK-05053|42491"/>
    <x v="6"/>
    <x v="1"/>
    <s v="KK-05053"/>
    <x v="28"/>
    <n v="500000"/>
    <x v="11"/>
    <s v="SY - Pieter Hiu Stanley Setiono"/>
    <s v="KPS-10-05"/>
  </r>
  <r>
    <s v="KK-05053|42522"/>
    <x v="6"/>
    <x v="1"/>
    <s v="KK-05053"/>
    <x v="28"/>
    <n v="500000"/>
    <x v="12"/>
    <s v="SY - Pieter Hiu Stanley Setiono"/>
    <s v="KPS-10-05"/>
  </r>
  <r>
    <s v="KK-05053|42552"/>
    <x v="6"/>
    <x v="1"/>
    <s v="KK-05053"/>
    <x v="28"/>
    <n v="500000"/>
    <x v="13"/>
    <s v="SY - Pieter Hiu Stanley Setiono"/>
    <s v="KPS-10-05"/>
  </r>
  <r>
    <s v="KK-05053|42583"/>
    <x v="6"/>
    <x v="1"/>
    <s v="KK-05053"/>
    <x v="28"/>
    <n v="500000"/>
    <x v="14"/>
    <s v="SY - Pieter Hiu Stanley Setiono"/>
    <s v="KPS-10-05"/>
  </r>
  <r>
    <s v="KK-05053|42614"/>
    <x v="6"/>
    <x v="1"/>
    <s v="KK-05053"/>
    <x v="28"/>
    <n v="500000"/>
    <x v="15"/>
    <s v="SY - Pieter Hiu Stanley Setiono"/>
    <s v="KPS-10-05"/>
  </r>
  <r>
    <s v="KK-05053|42644"/>
    <x v="6"/>
    <x v="1"/>
    <s v="KK-05053"/>
    <x v="28"/>
    <n v="500000"/>
    <x v="16"/>
    <s v="SY - Pieter Hiu Stanley Setiono"/>
    <s v="KPS-10-05"/>
  </r>
  <r>
    <s v="KK-05053|42675"/>
    <x v="6"/>
    <x v="1"/>
    <s v="KK-05053"/>
    <x v="28"/>
    <n v="500000"/>
    <x v="17"/>
    <s v="SY - Pieter Hiu Stanley Setiono"/>
    <s v="KPS-10-05"/>
  </r>
  <r>
    <s v="KK-05053|42705"/>
    <x v="6"/>
    <x v="1"/>
    <s v="KK-05053"/>
    <x v="28"/>
    <n v="500000"/>
    <x v="18"/>
    <s v="SY - Pieter Hiu Stanley Setiono"/>
    <s v="KPS-10-05"/>
  </r>
  <r>
    <s v="KK-04597|42552"/>
    <x v="7"/>
    <x v="1"/>
    <s v="KK-04597"/>
    <x v="1"/>
    <n v="30000"/>
    <x v="13"/>
    <s v="SY - Arief Wibawa"/>
    <s v="KPS-10-05"/>
  </r>
  <r>
    <s v="KK-04597|42583"/>
    <x v="7"/>
    <x v="1"/>
    <s v="KK-04597"/>
    <x v="1"/>
    <n v="30000"/>
    <x v="14"/>
    <s v="SY - Arief Wibawa"/>
    <s v="KPS-10-05"/>
  </r>
  <r>
    <s v="KK-04597|42614"/>
    <x v="7"/>
    <x v="1"/>
    <s v="KK-04597"/>
    <x v="1"/>
    <n v="30000"/>
    <x v="15"/>
    <s v="SY - Arief Wibawa"/>
    <s v="KPS-10-05"/>
  </r>
  <r>
    <s v="KK-04607|42522"/>
    <x v="7"/>
    <x v="1"/>
    <s v="KK-04607"/>
    <x v="9"/>
    <n v="75000"/>
    <x v="12"/>
    <s v="SY - Hendro Hartono"/>
    <s v="KPS-10-05"/>
  </r>
  <r>
    <s v="KK-04607|42552"/>
    <x v="7"/>
    <x v="1"/>
    <s v="KK-04607"/>
    <x v="9"/>
    <n v="75000"/>
    <x v="13"/>
    <s v="SY - Hendro Hartono"/>
    <s v="KPS-10-05"/>
  </r>
  <r>
    <s v="KK-04608|42583"/>
    <x v="7"/>
    <x v="1"/>
    <s v="KK-04608"/>
    <x v="10"/>
    <n v="30000"/>
    <x v="14"/>
    <s v="SY - Heru Prawono"/>
    <s v="KPS-10-05"/>
  </r>
  <r>
    <s v="KK-04613|42491"/>
    <x v="7"/>
    <x v="1"/>
    <s v="KK-04613"/>
    <x v="14"/>
    <n v="20000"/>
    <x v="11"/>
    <s v="SY - Ignatius Yanto Hardoyo"/>
    <s v="KPS-10-05"/>
  </r>
  <r>
    <s v="KK-04613|42522"/>
    <x v="7"/>
    <x v="1"/>
    <s v="KK-04613"/>
    <x v="14"/>
    <n v="20000"/>
    <x v="12"/>
    <s v="SY - Ignatius Yanto Hardoyo"/>
    <s v="KPS-10-05"/>
  </r>
  <r>
    <s v="KK-04613|42552"/>
    <x v="7"/>
    <x v="1"/>
    <s v="KK-04613"/>
    <x v="14"/>
    <n v="20000"/>
    <x v="13"/>
    <s v="SY - Ignatius Yanto Hardoyo"/>
    <s v="KPS-10-05"/>
  </r>
  <r>
    <s v="KK-04613|42583"/>
    <x v="7"/>
    <x v="1"/>
    <s v="KK-04613"/>
    <x v="14"/>
    <n v="20000"/>
    <x v="14"/>
    <s v="SY - Ignatius Yanto Hardoyo"/>
    <s v="KPS-10-05"/>
  </r>
  <r>
    <s v="KK-04616|42491"/>
    <x v="7"/>
    <x v="1"/>
    <s v="KK-04616"/>
    <x v="15"/>
    <n v="50000.000000000007"/>
    <x v="11"/>
    <s v="SY - Purnama Tanuseputra"/>
    <s v="KPS-10-05"/>
  </r>
  <r>
    <s v="KK-04616|42522"/>
    <x v="7"/>
    <x v="1"/>
    <s v="KK-04616"/>
    <x v="15"/>
    <n v="50000.000000000007"/>
    <x v="12"/>
    <s v="SY - Purnama Tanuseputra"/>
    <s v="KPS-10-05"/>
  </r>
  <r>
    <s v="KK-04616|42552"/>
    <x v="7"/>
    <x v="1"/>
    <s v="KK-04616"/>
    <x v="15"/>
    <n v="50000.000000000007"/>
    <x v="13"/>
    <s v="SY - Purnama Tanuseputra"/>
    <s v="KPS-10-05"/>
  </r>
  <r>
    <s v="KK-04616|42583"/>
    <x v="7"/>
    <x v="1"/>
    <s v="KK-04616"/>
    <x v="15"/>
    <n v="50000.000000000007"/>
    <x v="14"/>
    <s v="SY - Purnama Tanuseputra"/>
    <s v="KPS-10-05"/>
  </r>
  <r>
    <m/>
    <x v="8"/>
    <x v="2"/>
    <m/>
    <x v="29"/>
    <m/>
    <x v="19"/>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fieldListSortAscending="1">
  <location ref="C8:X43" firstHeaderRow="1" firstDataRow="2" firstDataCol="1" rowPageCount="1" colPageCount="1"/>
  <pivotFields count="9">
    <pivotField numFmtId="165" showAll="0"/>
    <pivotField axis="axisPage" numFmtId="165" showAll="0">
      <items count="39">
        <item m="1" x="32"/>
        <item x="8"/>
        <item m="1" x="24"/>
        <item m="1" x="36"/>
        <item m="1" x="27"/>
        <item m="1" x="23"/>
        <item m="1" x="21"/>
        <item m="1" x="33"/>
        <item m="1" x="25"/>
        <item m="1" x="31"/>
        <item m="1" x="18"/>
        <item m="1" x="37"/>
        <item m="1" x="15"/>
        <item m="1" x="14"/>
        <item m="1" x="28"/>
        <item m="1" x="17"/>
        <item m="1" x="34"/>
        <item m="1" x="35"/>
        <item m="1" x="26"/>
        <item m="1" x="22"/>
        <item m="1" x="11"/>
        <item m="1" x="29"/>
        <item m="1" x="30"/>
        <item m="1" x="19"/>
        <item m="1" x="10"/>
        <item m="1" x="13"/>
        <item m="1" x="20"/>
        <item m="1" x="9"/>
        <item m="1" x="12"/>
        <item m="1" x="16"/>
        <item x="0"/>
        <item x="1"/>
        <item x="2"/>
        <item x="3"/>
        <item x="4"/>
        <item x="5"/>
        <item x="6"/>
        <item x="7"/>
        <item t="default"/>
      </items>
    </pivotField>
    <pivotField axis="axisRow" numFmtId="165" showAll="0">
      <items count="4">
        <item x="1"/>
        <item x="2"/>
        <item x="0"/>
        <item t="default"/>
      </items>
    </pivotField>
    <pivotField numFmtId="165" showAll="0"/>
    <pivotField axis="axisRow" numFmtId="165" showAll="0" sortType="ascending">
      <items count="460">
        <item x="0"/>
        <item m="1" x="329"/>
        <item m="1" x="434"/>
        <item m="1" x="312"/>
        <item m="1" x="300"/>
        <item m="1" x="89"/>
        <item m="1" x="346"/>
        <item m="1" x="370"/>
        <item m="1" x="422"/>
        <item m="1" x="88"/>
        <item m="1" x="230"/>
        <item m="1" x="240"/>
        <item m="1" x="316"/>
        <item m="1" x="159"/>
        <item m="1" x="351"/>
        <item m="1" x="288"/>
        <item m="1" x="362"/>
        <item m="1" x="143"/>
        <item x="2"/>
        <item m="1" x="151"/>
        <item m="1" x="308"/>
        <item m="1" x="178"/>
        <item x="25"/>
        <item m="1" x="95"/>
        <item m="1" x="410"/>
        <item m="1" x="233"/>
        <item m="1" x="102"/>
        <item m="1" x="171"/>
        <item m="1" x="355"/>
        <item m="1" x="190"/>
        <item m="1" x="59"/>
        <item m="1" x="416"/>
        <item m="1" x="285"/>
        <item m="1" x="334"/>
        <item m="1" x="224"/>
        <item m="1" x="361"/>
        <item m="1" x="125"/>
        <item m="1" x="221"/>
        <item m="1" x="114"/>
        <item m="1" x="371"/>
        <item m="1" x="388"/>
        <item m="1" x="183"/>
        <item m="1" x="201"/>
        <item m="1" x="248"/>
        <item m="1" x="284"/>
        <item m="1" x="65"/>
        <item m="1" x="119"/>
        <item m="1" x="372"/>
        <item m="1" x="333"/>
        <item m="1" x="426"/>
        <item m="1" x="440"/>
        <item m="1" x="46"/>
        <item m="1" x="327"/>
        <item x="1"/>
        <item m="1" x="412"/>
        <item m="1" x="281"/>
        <item m="1" x="403"/>
        <item m="1" x="395"/>
        <item m="1" x="309"/>
        <item m="1" x="139"/>
        <item m="1" x="236"/>
        <item m="1" x="64"/>
        <item x="3"/>
        <item m="1" x="216"/>
        <item m="1" x="56"/>
        <item m="1" x="115"/>
        <item x="4"/>
        <item x="5"/>
        <item m="1" x="203"/>
        <item m="1" x="425"/>
        <item m="1" x="238"/>
        <item m="1" x="330"/>
        <item m="1" x="124"/>
        <item m="1" x="390"/>
        <item m="1" x="373"/>
        <item x="6"/>
        <item m="1" x="219"/>
        <item m="1" x="446"/>
        <item m="1" x="276"/>
        <item m="1" x="100"/>
        <item m="1" x="235"/>
        <item m="1" x="244"/>
        <item m="1" x="450"/>
        <item m="1" x="35"/>
        <item m="1" x="291"/>
        <item m="1" x="323"/>
        <item m="1" x="123"/>
        <item m="1" x="310"/>
        <item m="1" x="408"/>
        <item m="1" x="452"/>
        <item m="1" x="363"/>
        <item m="1" x="208"/>
        <item m="1" x="328"/>
        <item m="1" x="228"/>
        <item m="1" x="306"/>
        <item m="1" x="326"/>
        <item m="1" x="335"/>
        <item m="1" x="141"/>
        <item m="1" x="380"/>
        <item m="1" x="314"/>
        <item m="1" x="196"/>
        <item m="1" x="251"/>
        <item m="1" x="129"/>
        <item m="1" x="173"/>
        <item m="1" x="386"/>
        <item m="1" x="442"/>
        <item m="1" x="148"/>
        <item x="24"/>
        <item m="1" x="275"/>
        <item m="1" x="258"/>
        <item m="1" x="101"/>
        <item m="1" x="296"/>
        <item m="1" x="368"/>
        <item m="1" x="79"/>
        <item m="1" x="163"/>
        <item m="1" x="420"/>
        <item m="1" x="116"/>
        <item m="1" x="52"/>
        <item m="1" x="311"/>
        <item m="1" x="318"/>
        <item m="1" x="436"/>
        <item m="1" x="409"/>
        <item m="1" x="269"/>
        <item m="1" x="223"/>
        <item m="1" x="170"/>
        <item m="1" x="350"/>
        <item m="1" x="225"/>
        <item m="1" x="447"/>
        <item m="1" x="256"/>
        <item m="1" x="130"/>
        <item m="1" x="413"/>
        <item m="1" x="443"/>
        <item m="1" x="85"/>
        <item m="1" x="188"/>
        <item m="1" x="280"/>
        <item m="1" x="36"/>
        <item m="1" x="245"/>
        <item m="1" x="162"/>
        <item m="1" x="427"/>
        <item m="1" x="428"/>
        <item m="1" x="193"/>
        <item m="1" x="241"/>
        <item m="1" x="439"/>
        <item m="1" x="453"/>
        <item m="1" x="153"/>
        <item x="23"/>
        <item x="7"/>
        <item m="1" x="264"/>
        <item m="1" x="33"/>
        <item m="1" x="301"/>
        <item m="1" x="437"/>
        <item m="1" x="47"/>
        <item m="1" x="111"/>
        <item m="1" x="332"/>
        <item x="8"/>
        <item m="1" x="357"/>
        <item m="1" x="112"/>
        <item x="9"/>
        <item m="1" x="298"/>
        <item m="1" x="382"/>
        <item m="1" x="267"/>
        <item m="1" x="286"/>
        <item m="1" x="144"/>
        <item m="1" x="391"/>
        <item m="1" x="265"/>
        <item m="1" x="215"/>
        <item x="10"/>
        <item m="1" x="257"/>
        <item m="1" x="338"/>
        <item m="1" x="126"/>
        <item m="1" x="404"/>
        <item m="1" x="293"/>
        <item m="1" x="71"/>
        <item m="1" x="424"/>
        <item m="1" x="69"/>
        <item m="1" x="57"/>
        <item m="1" x="445"/>
        <item m="1" x="191"/>
        <item m="1" x="73"/>
        <item m="1" x="154"/>
        <item m="1" x="158"/>
        <item x="14"/>
        <item m="1" x="387"/>
        <item m="1" x="72"/>
        <item m="1" x="247"/>
        <item m="1" x="337"/>
        <item m="1" x="177"/>
        <item m="1" x="105"/>
        <item m="1" x="60"/>
        <item m="1" x="407"/>
        <item m="1" x="438"/>
        <item m="1" x="234"/>
        <item m="1" x="277"/>
        <item m="1" x="336"/>
        <item m="1" x="272"/>
        <item m="1" x="252"/>
        <item m="1" x="271"/>
        <item m="1" x="433"/>
        <item m="1" x="110"/>
        <item m="1" x="44"/>
        <item m="1" x="99"/>
        <item m="1" x="62"/>
        <item m="1" x="274"/>
        <item m="1" x="54"/>
        <item x="11"/>
        <item m="1" x="174"/>
        <item m="1" x="98"/>
        <item m="1" x="396"/>
        <item m="1" x="134"/>
        <item m="1" x="53"/>
        <item m="1" x="385"/>
        <item x="26"/>
        <item m="1" x="423"/>
        <item m="1" x="131"/>
        <item m="1" x="104"/>
        <item m="1" x="366"/>
        <item m="1" x="200"/>
        <item m="1" x="165"/>
        <item m="1" x="160"/>
        <item m="1" x="262"/>
        <item m="1" x="121"/>
        <item m="1" x="392"/>
        <item m="1" x="432"/>
        <item m="1" x="118"/>
        <item m="1" x="415"/>
        <item m="1" x="146"/>
        <item m="1" x="195"/>
        <item m="1" x="359"/>
        <item m="1" x="374"/>
        <item m="1" x="348"/>
        <item m="1" x="307"/>
        <item m="1" x="113"/>
        <item x="12"/>
        <item m="1" x="61"/>
        <item m="1" x="205"/>
        <item m="1" x="345"/>
        <item x="13"/>
        <item m="1" x="90"/>
        <item m="1" x="295"/>
        <item m="1" x="50"/>
        <item m="1" x="322"/>
        <item m="1" x="103"/>
        <item m="1" x="398"/>
        <item m="1" x="106"/>
        <item m="1" x="304"/>
        <item m="1" x="417"/>
        <item m="1" x="202"/>
        <item m="1" x="41"/>
        <item m="1" x="66"/>
        <item m="1" x="212"/>
        <item m="1" x="82"/>
        <item m="1" x="133"/>
        <item m="1" x="226"/>
        <item m="1" x="152"/>
        <item m="1" x="197"/>
        <item m="1" x="127"/>
        <item m="1" x="70"/>
        <item m="1" x="87"/>
        <item m="1" x="172"/>
        <item m="1" x="132"/>
        <item m="1" x="78"/>
        <item m="1" x="287"/>
        <item m="1" x="429"/>
        <item m="1" x="210"/>
        <item m="1" x="376"/>
        <item m="1" x="278"/>
        <item m="1" x="381"/>
        <item m="1" x="255"/>
        <item m="1" x="189"/>
        <item m="1" x="117"/>
        <item m="1" x="198"/>
        <item m="1" x="92"/>
        <item m="1" x="320"/>
        <item m="1" x="180"/>
        <item m="1" x="161"/>
        <item m="1" x="214"/>
        <item m="1" x="305"/>
        <item m="1" x="227"/>
        <item m="1" x="260"/>
        <item m="1" x="75"/>
        <item m="1" x="341"/>
        <item m="1" x="93"/>
        <item m="1" x="239"/>
        <item m="1" x="38"/>
        <item m="1" x="199"/>
        <item m="1" x="379"/>
        <item m="1" x="137"/>
        <item m="1" x="83"/>
        <item m="1" x="414"/>
        <item m="1" x="207"/>
        <item m="1" x="157"/>
        <item m="1" x="51"/>
        <item m="1" x="128"/>
        <item m="1" x="120"/>
        <item m="1" x="109"/>
        <item m="1" x="187"/>
        <item m="1" x="297"/>
        <item m="1" x="266"/>
        <item m="1" x="96"/>
        <item m="1" x="455"/>
        <item m="1" x="402"/>
        <item m="1" x="122"/>
        <item m="1" x="80"/>
        <item m="1" x="430"/>
        <item m="1" x="343"/>
        <item m="1" x="206"/>
        <item m="1" x="97"/>
        <item m="1" x="181"/>
        <item m="1" x="383"/>
        <item m="1" x="282"/>
        <item m="1" x="344"/>
        <item x="28"/>
        <item m="1" x="135"/>
        <item m="1" x="441"/>
        <item m="1" x="419"/>
        <item x="15"/>
        <item m="1" x="261"/>
        <item m="1" x="145"/>
        <item m="1" x="375"/>
        <item m="1" x="347"/>
        <item m="1" x="254"/>
        <item m="1" x="164"/>
        <item m="1" x="393"/>
        <item m="1" x="397"/>
        <item m="1" x="142"/>
        <item m="1" x="401"/>
        <item m="1" x="406"/>
        <item m="1" x="58"/>
        <item m="1" x="39"/>
        <item m="1" x="384"/>
        <item m="1" x="168"/>
        <item m="1" x="176"/>
        <item m="1" x="229"/>
        <item m="1" x="369"/>
        <item m="1" x="231"/>
        <item m="1" x="292"/>
        <item m="1" x="192"/>
        <item m="1" x="317"/>
        <item m="1" x="290"/>
        <item m="1" x="74"/>
        <item m="1" x="218"/>
        <item x="16"/>
        <item m="1" x="294"/>
        <item m="1" x="40"/>
        <item m="1" x="259"/>
        <item m="1" x="444"/>
        <item x="17"/>
        <item m="1" x="321"/>
        <item m="1" x="389"/>
        <item m="1" x="253"/>
        <item m="1" x="356"/>
        <item m="1" x="360"/>
        <item m="1" x="273"/>
        <item m="1" x="45"/>
        <item m="1" x="449"/>
        <item m="1" x="31"/>
        <item m="1" x="313"/>
        <item m="1" x="302"/>
        <item x="18"/>
        <item m="1" x="448"/>
        <item m="1" x="354"/>
        <item m="1" x="175"/>
        <item m="1" x="94"/>
        <item m="1" x="451"/>
        <item m="1" x="32"/>
        <item m="1" x="222"/>
        <item m="1" x="167"/>
        <item m="1" x="349"/>
        <item m="1" x="43"/>
        <item m="1" x="49"/>
        <item m="1" x="421"/>
        <item m="1" x="367"/>
        <item m="1" x="179"/>
        <item m="1" x="67"/>
        <item m="1" x="431"/>
        <item m="1" x="364"/>
        <item m="1" x="268"/>
        <item m="1" x="325"/>
        <item m="1" x="315"/>
        <item m="1" x="194"/>
        <item m="1" x="30"/>
        <item m="1" x="81"/>
        <item m="1" x="405"/>
        <item m="1" x="377"/>
        <item m="1" x="149"/>
        <item m="1" x="37"/>
        <item m="1" x="166"/>
        <item m="1" x="342"/>
        <item m="1" x="220"/>
        <item m="1" x="358"/>
        <item m="1" x="91"/>
        <item m="1" x="63"/>
        <item m="1" x="155"/>
        <item m="1" x="182"/>
        <item m="1" x="400"/>
        <item m="1" x="237"/>
        <item m="1" x="340"/>
        <item m="1" x="324"/>
        <item m="1" x="303"/>
        <item m="1" x="34"/>
        <item m="1" x="242"/>
        <item m="1" x="184"/>
        <item m="1" x="411"/>
        <item m="1" x="263"/>
        <item m="1" x="209"/>
        <item m="1" x="289"/>
        <item m="1" x="55"/>
        <item m="1" x="319"/>
        <item x="19"/>
        <item m="1" x="213"/>
        <item x="20"/>
        <item m="1" x="140"/>
        <item m="1" x="270"/>
        <item m="1" x="246"/>
        <item m="1" x="76"/>
        <item m="1" x="283"/>
        <item m="1" x="138"/>
        <item m="1" x="352"/>
        <item m="1" x="68"/>
        <item m="1" x="232"/>
        <item m="1" x="249"/>
        <item m="1" x="458"/>
        <item m="1" x="42"/>
        <item m="1" x="399"/>
        <item m="1" x="250"/>
        <item m="1" x="457"/>
        <item m="1" x="108"/>
        <item m="1" x="156"/>
        <item m="1" x="243"/>
        <item x="27"/>
        <item m="1" x="204"/>
        <item m="1" x="279"/>
        <item m="1" x="454"/>
        <item m="1" x="456"/>
        <item m="1" x="169"/>
        <item m="1" x="186"/>
        <item m="1" x="331"/>
        <item m="1" x="48"/>
        <item x="21"/>
        <item m="1" x="339"/>
        <item m="1" x="365"/>
        <item m="1" x="86"/>
        <item m="1" x="211"/>
        <item m="1" x="217"/>
        <item m="1" x="435"/>
        <item m="1" x="136"/>
        <item m="1" x="107"/>
        <item m="1" x="77"/>
        <item m="1" x="150"/>
        <item m="1" x="418"/>
        <item m="1" x="299"/>
        <item m="1" x="147"/>
        <item m="1" x="353"/>
        <item m="1" x="84"/>
        <item m="1" x="185"/>
        <item x="22"/>
        <item m="1" x="394"/>
        <item m="1" x="378"/>
        <item x="29"/>
        <item t="default"/>
      </items>
    </pivotField>
    <pivotField dataField="1" numFmtId="165" showAll="0"/>
    <pivotField axis="axisCol" numFmtId="165" showAll="0">
      <items count="31">
        <item m="1" x="28"/>
        <item x="19"/>
        <item m="1" x="20"/>
        <item m="1" x="27"/>
        <item m="1" x="25"/>
        <item m="1" x="29"/>
        <item m="1" x="26"/>
        <item m="1" x="24"/>
        <item m="1" x="23"/>
        <item m="1" x="22"/>
        <item m="1" x="21"/>
        <item x="1"/>
        <item x="2"/>
        <item x="3"/>
        <item x="4"/>
        <item x="5"/>
        <item x="6"/>
        <item x="0"/>
        <item x="7"/>
        <item x="8"/>
        <item x="9"/>
        <item x="10"/>
        <item x="11"/>
        <item x="12"/>
        <item x="13"/>
        <item x="14"/>
        <item x="15"/>
        <item x="16"/>
        <item x="17"/>
        <item x="18"/>
        <item t="default"/>
      </items>
    </pivotField>
    <pivotField numFmtId="165" showAll="0"/>
    <pivotField numFmtId="165" showAll="0"/>
  </pivotFields>
  <rowFields count="2">
    <field x="2"/>
    <field x="4"/>
  </rowFields>
  <rowItems count="34">
    <i>
      <x/>
    </i>
    <i r="1">
      <x v="18"/>
    </i>
    <i r="1">
      <x v="22"/>
    </i>
    <i r="1">
      <x v="53"/>
    </i>
    <i r="1">
      <x v="62"/>
    </i>
    <i r="1">
      <x v="66"/>
    </i>
    <i r="1">
      <x v="67"/>
    </i>
    <i r="1">
      <x v="75"/>
    </i>
    <i r="1">
      <x v="107"/>
    </i>
    <i r="1">
      <x v="145"/>
    </i>
    <i r="1">
      <x v="146"/>
    </i>
    <i r="1">
      <x v="154"/>
    </i>
    <i r="1">
      <x v="157"/>
    </i>
    <i r="1">
      <x v="166"/>
    </i>
    <i r="1">
      <x v="181"/>
    </i>
    <i r="1">
      <x v="204"/>
    </i>
    <i r="1">
      <x v="211"/>
    </i>
    <i r="1">
      <x v="232"/>
    </i>
    <i r="1">
      <x v="236"/>
    </i>
    <i r="1">
      <x v="311"/>
    </i>
    <i r="1">
      <x v="315"/>
    </i>
    <i r="1">
      <x v="341"/>
    </i>
    <i r="1">
      <x v="346"/>
    </i>
    <i r="1">
      <x v="358"/>
    </i>
    <i r="1">
      <x v="408"/>
    </i>
    <i r="1">
      <x v="410"/>
    </i>
    <i r="1">
      <x v="429"/>
    </i>
    <i r="1">
      <x v="438"/>
    </i>
    <i r="1">
      <x v="455"/>
    </i>
    <i>
      <x v="1"/>
    </i>
    <i r="1">
      <x v="458"/>
    </i>
    <i>
      <x v="2"/>
    </i>
    <i r="1">
      <x/>
    </i>
    <i t="grand">
      <x/>
    </i>
  </rowItems>
  <colFields count="1">
    <field x="6"/>
  </colFields>
  <colItems count="21">
    <i>
      <x v="1"/>
    </i>
    <i>
      <x v="11"/>
    </i>
    <i>
      <x v="12"/>
    </i>
    <i>
      <x v="13"/>
    </i>
    <i>
      <x v="14"/>
    </i>
    <i>
      <x v="15"/>
    </i>
    <i>
      <x v="16"/>
    </i>
    <i>
      <x v="17"/>
    </i>
    <i>
      <x v="18"/>
    </i>
    <i>
      <x v="19"/>
    </i>
    <i>
      <x v="20"/>
    </i>
    <i>
      <x v="21"/>
    </i>
    <i>
      <x v="22"/>
    </i>
    <i>
      <x v="23"/>
    </i>
    <i>
      <x v="24"/>
    </i>
    <i>
      <x v="25"/>
    </i>
    <i>
      <x v="26"/>
    </i>
    <i>
      <x v="27"/>
    </i>
    <i>
      <x v="28"/>
    </i>
    <i>
      <x v="29"/>
    </i>
    <i t="grand">
      <x/>
    </i>
  </colItems>
  <pageFields count="1">
    <pageField fld="1" hier="-1"/>
  </pageFields>
  <dataFields count="1">
    <dataField name="Sum of Amount" fld="5" baseField="2" baseItem="0" numFmtId="3"/>
  </dataFields>
  <formats count="11">
    <format dxfId="37">
      <pivotArea dataOnly="0" fieldPosition="0">
        <references count="2">
          <reference field="2" count="0"/>
          <reference field="4" count="0" defaultSubtotal="1" sumSubtotal="1" countASubtotal="1" avgSubtotal="1" maxSubtotal="1" minSubtotal="1" productSubtotal="1" countSubtotal="1" stdDevSubtotal="1" stdDevPSubtotal="1" varSubtotal="1" varPSubtotal="1"/>
        </references>
      </pivotArea>
    </format>
    <format dxfId="36">
      <pivotArea dataOnly="0" fieldPosition="0">
        <references count="2">
          <reference field="2" count="0"/>
          <reference field="4" count="0" defaultSubtotal="1" sumSubtotal="1" countASubtotal="1" avgSubtotal="1" maxSubtotal="1" minSubtotal="1" productSubtotal="1" countSubtotal="1" stdDevSubtotal="1" stdDevPSubtotal="1" varSubtotal="1" varPSubtotal="1"/>
        </references>
      </pivotArea>
    </format>
    <format dxfId="35">
      <pivotArea field="2" type="button" dataOnly="0" labelOnly="1" outline="0" axis="axisRow" fieldPosition="0"/>
    </format>
    <format dxfId="34">
      <pivotArea type="all" dataOnly="0" outline="0" fieldPosition="0"/>
    </format>
    <format dxfId="33">
      <pivotArea dataOnly="0" labelOnly="1" fieldPosition="0">
        <references count="1">
          <reference field="2" count="0"/>
        </references>
      </pivotArea>
    </format>
    <format dxfId="32">
      <pivotArea dataOnly="0" labelOnly="1" grandRow="1" outline="0" fieldPosition="0"/>
    </format>
    <format dxfId="31">
      <pivotArea dataOnly="0" labelOnly="1" fieldPosition="0">
        <references count="2">
          <reference field="2" count="1" selected="0">
            <x v="0"/>
          </reference>
          <reference field="4" count="0"/>
        </references>
      </pivotArea>
    </format>
    <format dxfId="30">
      <pivotArea outline="0" collapsedLevelsAreSubtotals="1" fieldPosition="0"/>
    </format>
    <format dxfId="29">
      <pivotArea dataOnly="0" labelOnly="1" fieldPosition="0">
        <references count="1">
          <reference field="6" count="0"/>
        </references>
      </pivotArea>
    </format>
    <format dxfId="28">
      <pivotArea dataOnly="0" labelOnly="1" grandCol="1" outline="0" fieldPosition="0"/>
    </format>
    <format dxfId="27">
      <pivotArea dataOnly="0" labelOnly="1" outline="0" fieldPosition="0">
        <references count="1">
          <reference field="1" count="0"/>
        </references>
      </pivotArea>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8:X43" firstHeaderRow="1" firstDataRow="2" firstDataCol="1" rowPageCount="1" colPageCount="1"/>
  <pivotFields count="9">
    <pivotField numFmtId="165" showAll="0"/>
    <pivotField axis="axisPage" numFmtId="165" showAll="0">
      <items count="11">
        <item x="8"/>
        <item m="1" x="9"/>
        <item x="0"/>
        <item x="1"/>
        <item x="2"/>
        <item x="3"/>
        <item x="4"/>
        <item x="5"/>
        <item x="6"/>
        <item x="7"/>
        <item t="default"/>
      </items>
    </pivotField>
    <pivotField axis="axisRow" numFmtId="165" showAll="0">
      <items count="4">
        <item x="1"/>
        <item x="2"/>
        <item x="0"/>
        <item t="default"/>
      </items>
    </pivotField>
    <pivotField numFmtId="165" showAll="0"/>
    <pivotField axis="axisRow" numFmtId="165" showAll="0" sortType="ascending">
      <items count="31">
        <item x="0"/>
        <item x="2"/>
        <item x="25"/>
        <item x="1"/>
        <item x="3"/>
        <item x="4"/>
        <item x="5"/>
        <item x="6"/>
        <item x="24"/>
        <item x="23"/>
        <item x="7"/>
        <item x="8"/>
        <item x="9"/>
        <item x="10"/>
        <item x="14"/>
        <item x="11"/>
        <item x="26"/>
        <item x="12"/>
        <item x="13"/>
        <item x="28"/>
        <item x="15"/>
        <item x="16"/>
        <item x="17"/>
        <item x="18"/>
        <item x="19"/>
        <item x="20"/>
        <item x="27"/>
        <item x="21"/>
        <item x="22"/>
        <item x="29"/>
        <item t="default"/>
      </items>
    </pivotField>
    <pivotField dataField="1" numFmtId="165" showAll="0"/>
    <pivotField axis="axisCol" numFmtId="165" showAll="0">
      <items count="22">
        <item m="1" x="20"/>
        <item x="19"/>
        <item x="0"/>
        <item x="1"/>
        <item x="2"/>
        <item x="3"/>
        <item x="4"/>
        <item x="5"/>
        <item x="6"/>
        <item x="7"/>
        <item x="8"/>
        <item x="9"/>
        <item x="10"/>
        <item x="11"/>
        <item x="12"/>
        <item x="13"/>
        <item x="14"/>
        <item x="15"/>
        <item x="16"/>
        <item x="17"/>
        <item x="18"/>
        <item t="default"/>
      </items>
    </pivotField>
    <pivotField numFmtId="165" showAll="0"/>
    <pivotField numFmtId="165" showAll="0"/>
  </pivotFields>
  <rowFields count="2">
    <field x="2"/>
    <field x="4"/>
  </rowFields>
  <rowItems count="34">
    <i>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x v="1"/>
    </i>
    <i r="1">
      <x v="29"/>
    </i>
    <i>
      <x v="2"/>
    </i>
    <i r="1">
      <x/>
    </i>
    <i t="grand">
      <x/>
    </i>
  </rowItems>
  <colFields count="1">
    <field x="6"/>
  </colFields>
  <colItems count="21">
    <i>
      <x v="1"/>
    </i>
    <i>
      <x v="2"/>
    </i>
    <i>
      <x v="3"/>
    </i>
    <i>
      <x v="4"/>
    </i>
    <i>
      <x v="5"/>
    </i>
    <i>
      <x v="6"/>
    </i>
    <i>
      <x v="7"/>
    </i>
    <i>
      <x v="8"/>
    </i>
    <i>
      <x v="9"/>
    </i>
    <i>
      <x v="10"/>
    </i>
    <i>
      <x v="11"/>
    </i>
    <i>
      <x v="12"/>
    </i>
    <i>
      <x v="13"/>
    </i>
    <i>
      <x v="14"/>
    </i>
    <i>
      <x v="15"/>
    </i>
    <i>
      <x v="16"/>
    </i>
    <i>
      <x v="17"/>
    </i>
    <i>
      <x v="18"/>
    </i>
    <i>
      <x v="19"/>
    </i>
    <i>
      <x v="20"/>
    </i>
    <i t="grand">
      <x/>
    </i>
  </colItems>
  <pageFields count="1">
    <pageField fld="1" hier="-1"/>
  </pageFields>
  <dataFields count="1">
    <dataField name="Sum of Amount" fld="5" baseField="2" baseItem="0" numFmtId="3"/>
  </dataFields>
  <formats count="11">
    <format dxfId="14">
      <pivotArea dataOnly="0" fieldPosition="0">
        <references count="2">
          <reference field="2" count="0"/>
          <reference field="4" count="0" defaultSubtotal="1" sumSubtotal="1" countASubtotal="1" avgSubtotal="1" maxSubtotal="1" minSubtotal="1" productSubtotal="1" countSubtotal="1" stdDevSubtotal="1" stdDevPSubtotal="1" varSubtotal="1" varPSubtotal="1"/>
        </references>
      </pivotArea>
    </format>
    <format dxfId="13">
      <pivotArea dataOnly="0" fieldPosition="0">
        <references count="2">
          <reference field="2" count="0"/>
          <reference field="4" count="0" defaultSubtotal="1" sumSubtotal="1" countASubtotal="1" avgSubtotal="1" maxSubtotal="1" minSubtotal="1" productSubtotal="1" countSubtotal="1" stdDevSubtotal="1" stdDevPSubtotal="1" varSubtotal="1" varPSubtotal="1"/>
        </references>
      </pivotArea>
    </format>
    <format dxfId="12">
      <pivotArea field="2" type="button" dataOnly="0" labelOnly="1" outline="0" axis="axisRow" fieldPosition="0"/>
    </format>
    <format dxfId="11">
      <pivotArea type="all" dataOnly="0" outline="0" fieldPosition="0"/>
    </format>
    <format dxfId="10">
      <pivotArea dataOnly="0" labelOnly="1" fieldPosition="0">
        <references count="1">
          <reference field="2" count="0"/>
        </references>
      </pivotArea>
    </format>
    <format dxfId="9">
      <pivotArea dataOnly="0" labelOnly="1" grandRow="1" outline="0" fieldPosition="0"/>
    </format>
    <format dxfId="8">
      <pivotArea dataOnly="0" labelOnly="1" fieldPosition="0">
        <references count="2">
          <reference field="2" count="1" selected="0">
            <x v="0"/>
          </reference>
          <reference field="4" count="0"/>
        </references>
      </pivotArea>
    </format>
    <format dxfId="7">
      <pivotArea dataOnly="0" labelOnly="1" fieldPosition="0">
        <references count="1">
          <reference field="6" count="0"/>
        </references>
      </pivotArea>
    </format>
    <format dxfId="6">
      <pivotArea dataOnly="0" labelOnly="1" grandCol="1" outline="0" fieldPosition="0"/>
    </format>
    <format dxfId="5">
      <pivotArea dataOnly="0" labelOnly="1" outline="0" fieldPosition="0">
        <references count="1">
          <reference field="1" count="0"/>
        </references>
      </pivotArea>
    </format>
    <format dxfId="4">
      <pivotArea outline="0" collapsedLevelsAreSubtotals="1" fieldPosition="0"/>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sting_Date" sourceName="Posting Date">
  <pivotTables>
    <pivotTable tabId="155" name="PivotTable1"/>
  </pivotTables>
  <data>
    <tabular pivotCacheId="1">
      <items count="38">
        <i x="0" s="1"/>
        <i x="1" s="1"/>
        <i x="2" s="1"/>
        <i x="3" s="1"/>
        <i x="4" s="1"/>
        <i x="5" s="1"/>
        <i x="6" s="1"/>
        <i x="7" s="1"/>
        <i x="36" s="1" nd="1"/>
        <i x="33" s="1" nd="1"/>
        <i x="32" s="1" nd="1"/>
        <i x="31" s="1" nd="1"/>
        <i x="27" s="1" nd="1"/>
        <i x="26" s="1" nd="1"/>
        <i x="25" s="1" nd="1"/>
        <i x="23" s="1" nd="1"/>
        <i x="24" s="1" nd="1"/>
        <i x="22" s="1" nd="1"/>
        <i x="21" s="1" nd="1"/>
        <i x="18" s="1" nd="1"/>
        <i x="20" s="1" nd="1"/>
        <i x="11" s="1" nd="1"/>
        <i x="9" s="1" nd="1"/>
        <i x="37" s="1" nd="1"/>
        <i x="15" s="1" nd="1"/>
        <i x="12" s="1" nd="1"/>
        <i x="29" s="1" nd="1"/>
        <i x="14" s="1" nd="1"/>
        <i x="30" s="1" nd="1"/>
        <i x="28" s="1" nd="1"/>
        <i x="19" s="1" nd="1"/>
        <i x="17" s="1" nd="1"/>
        <i x="16" s="1" nd="1"/>
        <i x="10" s="1" nd="1"/>
        <i x="34" s="1" nd="1"/>
        <i x="13" s="1" nd="1"/>
        <i x="35" s="1" nd="1"/>
        <i x="8"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osting_Date1" sourceName="Posting Date">
  <pivotTables>
    <pivotTable tabId="208" name="PivotTable1"/>
  </pivotTables>
  <data>
    <tabular pivotCacheId="2">
      <items count="10">
        <i x="0" s="1"/>
        <i x="1" s="1"/>
        <i x="2" s="1"/>
        <i x="3" s="1"/>
        <i x="4" s="1"/>
        <i x="5" s="1"/>
        <i x="6" s="1"/>
        <i x="7" s="1"/>
        <i x="9" s="1" nd="1"/>
        <i x="8"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osting Date" cache="Slicer_Posting_Date" caption="Posting Date" style="SlicerStyleDark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osting Date 1" cache="Slicer_Posting_Date1" caption="Posting Date" style="SlicerStyleDark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ivotTable" Target="../pivotTables/pivotTable2.xml"/><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9"/>
  <sheetViews>
    <sheetView topLeftCell="B2" workbookViewId="0">
      <selection activeCell="E8" sqref="E8"/>
    </sheetView>
  </sheetViews>
  <sheetFormatPr defaultColWidth="9.1796875" defaultRowHeight="14.5" x14ac:dyDescent="0.35"/>
  <cols>
    <col min="1" max="1" width="9.1796875" style="48" hidden="1" customWidth="1"/>
    <col min="2" max="4" width="9.1796875" style="48"/>
    <col min="5" max="5" width="31.1796875" style="48" customWidth="1"/>
    <col min="6" max="6" width="14" style="48" customWidth="1"/>
    <col min="7" max="7" width="19.7265625" style="48" customWidth="1"/>
    <col min="8" max="8" width="16" style="48" customWidth="1"/>
    <col min="9" max="16384" width="9.1796875" style="48"/>
  </cols>
  <sheetData>
    <row r="1" spans="1:8" hidden="1" x14ac:dyDescent="0.35">
      <c r="A1" s="48" t="s">
        <v>6064</v>
      </c>
      <c r="E1" s="49" t="s">
        <v>23</v>
      </c>
      <c r="F1" s="49" t="s">
        <v>24</v>
      </c>
      <c r="G1" s="49"/>
      <c r="H1" s="49" t="s">
        <v>25</v>
      </c>
    </row>
    <row r="3" spans="1:8" x14ac:dyDescent="0.35">
      <c r="B3" s="43" t="s">
        <v>38</v>
      </c>
    </row>
    <row r="4" spans="1:8" x14ac:dyDescent="0.35">
      <c r="B4" s="30"/>
    </row>
    <row r="7" spans="1:8" x14ac:dyDescent="0.35">
      <c r="E7" s="50" t="s">
        <v>26</v>
      </c>
      <c r="F7" s="50" t="s">
        <v>27</v>
      </c>
      <c r="G7" s="50" t="s">
        <v>28</v>
      </c>
      <c r="H7" s="50" t="s">
        <v>29</v>
      </c>
    </row>
    <row r="8" spans="1:8" x14ac:dyDescent="0.35">
      <c r="A8" s="49" t="s">
        <v>30</v>
      </c>
      <c r="E8" s="51" t="s">
        <v>1</v>
      </c>
      <c r="F8" s="52" t="str">
        <f>"TRT-80-10"</f>
        <v>TRT-80-10</v>
      </c>
      <c r="G8" s="52" t="s">
        <v>31</v>
      </c>
      <c r="H8" s="52" t="s">
        <v>25</v>
      </c>
    </row>
    <row r="9" spans="1:8" x14ac:dyDescent="0.35">
      <c r="A9" s="49"/>
      <c r="E9" s="51"/>
      <c r="F9" s="52"/>
      <c r="G9" s="52"/>
      <c r="H9" s="5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sheetPr>
  <dimension ref="A1:BL57"/>
  <sheetViews>
    <sheetView showGridLines="0" tabSelected="1" topLeftCell="J2" workbookViewId="0">
      <selection activeCell="J7" sqref="A7:XFD10"/>
    </sheetView>
  </sheetViews>
  <sheetFormatPr defaultColWidth="9.1796875" defaultRowHeight="14.5" x14ac:dyDescent="0.35"/>
  <cols>
    <col min="1" max="1" width="9.1796875" style="30" hidden="1" customWidth="1"/>
    <col min="2" max="8" width="9.1796875" style="32" hidden="1" customWidth="1"/>
    <col min="9" max="9" width="1.7265625" style="33" hidden="1" customWidth="1"/>
    <col min="10" max="10" width="4.7265625" style="32" customWidth="1"/>
    <col min="11" max="11" width="12.81640625" style="32" customWidth="1"/>
    <col min="12" max="12" width="33.81640625" style="32" bestFit="1" customWidth="1"/>
    <col min="13" max="13" width="9.1796875" style="32" hidden="1" customWidth="1"/>
    <col min="14" max="21" width="9.1796875" style="32" customWidth="1"/>
    <col min="22" max="24" width="9.7265625" style="32" customWidth="1"/>
    <col min="25" max="25" width="9.1796875" style="32" customWidth="1"/>
    <col min="26" max="37" width="9.1796875" style="32"/>
    <col min="38" max="38" width="11" style="32" customWidth="1"/>
    <col min="39" max="39" width="9.1796875" style="32" customWidth="1"/>
    <col min="40" max="40" width="1.7265625" style="33" hidden="1" customWidth="1"/>
    <col min="41" max="52" width="9.1796875" style="32" hidden="1" customWidth="1"/>
    <col min="53" max="54" width="9.54296875" style="32" hidden="1" customWidth="1"/>
    <col min="55" max="55" width="9.81640625" style="32" hidden="1" customWidth="1"/>
    <col min="56" max="64" width="9.1796875" style="32" hidden="1" customWidth="1"/>
    <col min="65" max="65" width="9.1796875" style="32" customWidth="1"/>
    <col min="66" max="16384" width="9.1796875" style="32"/>
  </cols>
  <sheetData>
    <row r="1" spans="1:64" s="30" customFormat="1" hidden="1" x14ac:dyDescent="0.35">
      <c r="A1" s="30" t="s">
        <v>6066</v>
      </c>
      <c r="B1" s="30" t="s">
        <v>22</v>
      </c>
      <c r="C1" s="30" t="s">
        <v>22</v>
      </c>
      <c r="D1" s="30" t="s">
        <v>22</v>
      </c>
      <c r="E1" s="30" t="s">
        <v>22</v>
      </c>
      <c r="F1" s="30" t="s">
        <v>22</v>
      </c>
      <c r="G1" s="30" t="s">
        <v>22</v>
      </c>
      <c r="H1" s="30" t="s">
        <v>22</v>
      </c>
      <c r="I1" s="30" t="s">
        <v>22</v>
      </c>
      <c r="L1" s="30" t="s">
        <v>21</v>
      </c>
      <c r="M1" s="30" t="s">
        <v>22</v>
      </c>
      <c r="AN1" s="30" t="s">
        <v>22</v>
      </c>
      <c r="AO1" s="30" t="s">
        <v>22</v>
      </c>
      <c r="AP1" s="30" t="s">
        <v>22</v>
      </c>
      <c r="AQ1" s="30" t="s">
        <v>22</v>
      </c>
      <c r="AR1" s="30" t="s">
        <v>22</v>
      </c>
      <c r="AS1" s="30" t="s">
        <v>22</v>
      </c>
      <c r="AT1" s="30" t="s">
        <v>22</v>
      </c>
      <c r="AU1" s="30" t="s">
        <v>22</v>
      </c>
      <c r="AV1" s="30" t="s">
        <v>22</v>
      </c>
      <c r="AW1" s="30" t="s">
        <v>22</v>
      </c>
      <c r="AX1" s="30" t="s">
        <v>22</v>
      </c>
      <c r="AY1" s="30" t="s">
        <v>22</v>
      </c>
      <c r="AZ1" s="30" t="s">
        <v>22</v>
      </c>
      <c r="BA1" s="30" t="s">
        <v>22</v>
      </c>
      <c r="BB1" s="30" t="s">
        <v>22</v>
      </c>
      <c r="BC1" s="30" t="s">
        <v>22</v>
      </c>
      <c r="BD1" s="30" t="s">
        <v>22</v>
      </c>
      <c r="BE1" s="30" t="s">
        <v>22</v>
      </c>
      <c r="BF1" s="30" t="s">
        <v>22</v>
      </c>
      <c r="BG1" s="30" t="s">
        <v>22</v>
      </c>
      <c r="BH1" s="30" t="s">
        <v>22</v>
      </c>
      <c r="BI1" s="30" t="s">
        <v>22</v>
      </c>
      <c r="BJ1" s="30" t="s">
        <v>22</v>
      </c>
      <c r="BK1" s="30" t="s">
        <v>22</v>
      </c>
      <c r="BL1" s="30" t="s">
        <v>22</v>
      </c>
    </row>
    <row r="2" spans="1:64" ht="18.5" x14ac:dyDescent="0.45">
      <c r="A2" s="31"/>
      <c r="K2" s="34" t="str">
        <f>IF(H4="Protected","","Admin Mode: Excel tidak terkunci, jangan dibagikan ke lingkungan")</f>
        <v>Admin Mode: Excel tidak terkunci, jangan dibagikan ke lingkungan</v>
      </c>
    </row>
    <row r="3" spans="1:64" ht="23.5" x14ac:dyDescent="0.55000000000000004">
      <c r="C3" s="36"/>
      <c r="H3" s="126" t="s">
        <v>38</v>
      </c>
      <c r="J3" s="35" t="s">
        <v>0</v>
      </c>
      <c r="AO3" s="32" t="s">
        <v>35</v>
      </c>
    </row>
    <row r="4" spans="1:64" x14ac:dyDescent="0.35">
      <c r="C4" s="36"/>
      <c r="H4" s="30">
        <f>Options!B4</f>
        <v>0</v>
      </c>
      <c r="T4" s="37"/>
      <c r="U4" s="38" t="s">
        <v>81</v>
      </c>
      <c r="AO4" s="32" t="s">
        <v>58</v>
      </c>
    </row>
    <row r="5" spans="1:64" ht="29" x14ac:dyDescent="0.35">
      <c r="F5" s="39" t="s">
        <v>47</v>
      </c>
      <c r="K5" s="39" t="s">
        <v>1</v>
      </c>
      <c r="L5" s="30" t="s">
        <v>20975</v>
      </c>
      <c r="M5" s="30" t="s">
        <v>20976</v>
      </c>
      <c r="T5" s="40"/>
      <c r="U5" s="38" t="s">
        <v>71</v>
      </c>
      <c r="AO5" s="32" t="s">
        <v>36</v>
      </c>
    </row>
    <row r="6" spans="1:64" x14ac:dyDescent="0.35">
      <c r="F6" s="30" t="s">
        <v>46</v>
      </c>
      <c r="K6" s="39" t="s">
        <v>44</v>
      </c>
      <c r="L6" s="30" t="s">
        <v>45</v>
      </c>
      <c r="M6" s="30" t="s">
        <v>20977</v>
      </c>
    </row>
    <row r="8" spans="1:64" hidden="1" x14ac:dyDescent="0.35">
      <c r="A8" s="30" t="s">
        <v>22</v>
      </c>
      <c r="D8" s="32" t="s">
        <v>115</v>
      </c>
      <c r="M8" s="30" t="b">
        <f ca="1">CELL("col")=CELL("col",M8)</f>
        <v>0</v>
      </c>
      <c r="N8" s="30" t="b">
        <f t="shared" ref="N8:AK8" ca="1" si="0">CELL("col")=CELL("col",N8)</f>
        <v>0</v>
      </c>
      <c r="O8" s="30" t="b">
        <f t="shared" ca="1" si="0"/>
        <v>0</v>
      </c>
      <c r="P8" s="30" t="b">
        <f t="shared" ca="1" si="0"/>
        <v>0</v>
      </c>
      <c r="Q8" s="30" t="b">
        <f t="shared" ca="1" si="0"/>
        <v>0</v>
      </c>
      <c r="R8" s="30" t="b">
        <f t="shared" ca="1" si="0"/>
        <v>0</v>
      </c>
      <c r="S8" s="30" t="b">
        <f t="shared" ca="1" si="0"/>
        <v>0</v>
      </c>
      <c r="T8" s="30" t="b">
        <f t="shared" ca="1" si="0"/>
        <v>0</v>
      </c>
      <c r="U8" s="30" t="b">
        <f t="shared" ca="1" si="0"/>
        <v>0</v>
      </c>
      <c r="V8" s="30" t="b">
        <f t="shared" ca="1" si="0"/>
        <v>0</v>
      </c>
      <c r="W8" s="30" t="b">
        <f t="shared" ca="1" si="0"/>
        <v>0</v>
      </c>
      <c r="X8" s="30" t="b">
        <f t="shared" ca="1" si="0"/>
        <v>0</v>
      </c>
      <c r="Y8" s="30" t="b">
        <f t="shared" ca="1" si="0"/>
        <v>0</v>
      </c>
      <c r="Z8" s="30" t="b">
        <f t="shared" ca="1" si="0"/>
        <v>0</v>
      </c>
      <c r="AA8" s="30" t="b">
        <f t="shared" ca="1" si="0"/>
        <v>0</v>
      </c>
      <c r="AB8" s="30" t="b">
        <f t="shared" ca="1" si="0"/>
        <v>0</v>
      </c>
      <c r="AC8" s="30" t="b">
        <f t="shared" ca="1" si="0"/>
        <v>0</v>
      </c>
      <c r="AD8" s="30" t="b">
        <f t="shared" ca="1" si="0"/>
        <v>0</v>
      </c>
      <c r="AE8" s="30" t="b">
        <f t="shared" ca="1" si="0"/>
        <v>0</v>
      </c>
      <c r="AF8" s="30" t="b">
        <f t="shared" ca="1" si="0"/>
        <v>0</v>
      </c>
      <c r="AG8" s="30" t="b">
        <f t="shared" ca="1" si="0"/>
        <v>0</v>
      </c>
      <c r="AH8" s="30" t="b">
        <f t="shared" ca="1" si="0"/>
        <v>0</v>
      </c>
      <c r="AI8" s="30" t="b">
        <f t="shared" ca="1" si="0"/>
        <v>0</v>
      </c>
      <c r="AJ8" s="30" t="b">
        <f t="shared" ca="1" si="0"/>
        <v>0</v>
      </c>
      <c r="AK8" s="30" t="b">
        <f t="shared" ca="1" si="0"/>
        <v>0</v>
      </c>
    </row>
    <row r="9" spans="1:64" hidden="1" x14ac:dyDescent="0.35">
      <c r="A9" s="30" t="s">
        <v>22</v>
      </c>
      <c r="D9" s="32" t="s">
        <v>72</v>
      </c>
      <c r="M9" s="30">
        <f>COUNTIF(N12:AK12,"&gt;0")</f>
        <v>0</v>
      </c>
      <c r="N9" s="30">
        <f>IF(N$12=0,0,1)</f>
        <v>0</v>
      </c>
      <c r="O9" s="30">
        <f t="shared" ref="O9:Y9" si="1">IF(N9=$M$9,0,
        IF(O$12=0,N9,N9+1))</f>
        <v>0</v>
      </c>
      <c r="P9" s="30">
        <f t="shared" si="1"/>
        <v>0</v>
      </c>
      <c r="Q9" s="30">
        <f t="shared" si="1"/>
        <v>0</v>
      </c>
      <c r="R9" s="30">
        <f t="shared" si="1"/>
        <v>0</v>
      </c>
      <c r="S9" s="41">
        <f t="shared" si="1"/>
        <v>0</v>
      </c>
      <c r="T9" s="42">
        <f t="shared" si="1"/>
        <v>0</v>
      </c>
      <c r="U9" s="30">
        <f t="shared" si="1"/>
        <v>0</v>
      </c>
      <c r="V9" s="30">
        <f t="shared" si="1"/>
        <v>0</v>
      </c>
      <c r="W9" s="30">
        <f t="shared" si="1"/>
        <v>0</v>
      </c>
      <c r="X9" s="30">
        <f t="shared" si="1"/>
        <v>0</v>
      </c>
      <c r="Y9" s="30">
        <f t="shared" si="1"/>
        <v>0</v>
      </c>
      <c r="Z9" s="30">
        <f t="shared" ref="Z9" si="2">IF(Y9=$M$9,0,
        IF(Z$12=0,Y9,Y9+1))</f>
        <v>0</v>
      </c>
      <c r="AA9" s="30">
        <f t="shared" ref="AA9" si="3">IF(Z9=$M$9,0,
        IF(AA$12=0,Z9,Z9+1))</f>
        <v>0</v>
      </c>
      <c r="AB9" s="30">
        <f t="shared" ref="AB9" si="4">IF(AA9=$M$9,0,
        IF(AB$12=0,AA9,AA9+1))</f>
        <v>0</v>
      </c>
      <c r="AC9" s="30">
        <f t="shared" ref="AC9" si="5">IF(AB9=$M$9,0,
        IF(AC$12=0,AB9,AB9+1))</f>
        <v>0</v>
      </c>
      <c r="AD9" s="30">
        <f t="shared" ref="AD9" si="6">IF(AC9=$M$9,0,
        IF(AD$12=0,AC9,AC9+1))</f>
        <v>0</v>
      </c>
      <c r="AE9" s="41">
        <f t="shared" ref="AE9" si="7">IF(AD9=$M$9,0,
        IF(AE$12=0,AD9,AD9+1))</f>
        <v>0</v>
      </c>
      <c r="AF9" s="42">
        <f t="shared" ref="AF9" si="8">IF(AE9=$M$9,0,
        IF(AF$12=0,AE9,AE9+1))</f>
        <v>0</v>
      </c>
      <c r="AG9" s="30">
        <f t="shared" ref="AG9" si="9">IF(AF9=$M$9,0,
        IF(AG$12=0,AF9,AF9+1))</f>
        <v>0</v>
      </c>
      <c r="AH9" s="30">
        <f t="shared" ref="AH9" si="10">IF(AG9=$M$9,0,
        IF(AH$12=0,AG9,AG9+1))</f>
        <v>0</v>
      </c>
      <c r="AI9" s="30">
        <f t="shared" ref="AI9" si="11">IF(AH9=$M$9,0,
        IF(AI$12=0,AH9,AH9+1))</f>
        <v>0</v>
      </c>
      <c r="AJ9" s="30">
        <f t="shared" ref="AJ9" si="12">IF(AI9=$M$9,0,
        IF(AJ$12=0,AI9,AI9+1))</f>
        <v>0</v>
      </c>
      <c r="AK9" s="30">
        <f t="shared" ref="AK9" si="13">IF(AJ9=$M$9,0,
        IF(AK$12=0,AJ9,AJ9+1))</f>
        <v>0</v>
      </c>
    </row>
    <row r="10" spans="1:64" x14ac:dyDescent="0.35">
      <c r="C10" s="126" t="s">
        <v>116</v>
      </c>
      <c r="D10" s="126" t="s">
        <v>43</v>
      </c>
      <c r="E10" s="126" t="s">
        <v>39</v>
      </c>
      <c r="F10" s="126" t="s">
        <v>40</v>
      </c>
      <c r="G10" s="126" t="s">
        <v>41</v>
      </c>
      <c r="H10" s="126" t="s">
        <v>42</v>
      </c>
      <c r="J10" s="141"/>
      <c r="K10" s="140" t="s">
        <v>2</v>
      </c>
      <c r="L10" s="140" t="s">
        <v>3</v>
      </c>
      <c r="M10" s="126"/>
      <c r="N10" s="133">
        <f>T10-1</f>
        <v>2015</v>
      </c>
      <c r="O10" s="134"/>
      <c r="P10" s="134"/>
      <c r="Q10" s="134"/>
      <c r="R10" s="134"/>
      <c r="S10" s="135"/>
      <c r="T10" s="136">
        <v>2016</v>
      </c>
      <c r="U10" s="136"/>
      <c r="V10" s="136"/>
      <c r="W10" s="136"/>
      <c r="X10" s="136"/>
      <c r="Y10" s="136"/>
      <c r="Z10" s="136"/>
      <c r="AA10" s="136"/>
      <c r="AB10" s="136"/>
      <c r="AC10" s="136"/>
      <c r="AD10" s="136"/>
      <c r="AE10" s="137"/>
      <c r="AF10" s="138">
        <f>T10+1</f>
        <v>2017</v>
      </c>
      <c r="AG10" s="134"/>
      <c r="AH10" s="134"/>
      <c r="AI10" s="134"/>
      <c r="AJ10" s="134"/>
      <c r="AK10" s="139"/>
      <c r="AL10" s="141" t="s">
        <v>82</v>
      </c>
      <c r="AO10" s="133">
        <f>AU10-1</f>
        <v>2015</v>
      </c>
      <c r="AP10" s="134"/>
      <c r="AQ10" s="134"/>
      <c r="AR10" s="134"/>
      <c r="AS10" s="134"/>
      <c r="AT10" s="135"/>
      <c r="AU10" s="136">
        <v>2016</v>
      </c>
      <c r="AV10" s="136"/>
      <c r="AW10" s="136"/>
      <c r="AX10" s="136"/>
      <c r="AY10" s="136"/>
      <c r="AZ10" s="136"/>
      <c r="BA10" s="136"/>
      <c r="BB10" s="136"/>
      <c r="BC10" s="136"/>
      <c r="BD10" s="136"/>
      <c r="BE10" s="136"/>
      <c r="BF10" s="137"/>
      <c r="BG10" s="138">
        <f>AU10+1</f>
        <v>2017</v>
      </c>
      <c r="BH10" s="134"/>
      <c r="BI10" s="134"/>
      <c r="BJ10" s="134"/>
      <c r="BK10" s="134"/>
      <c r="BL10" s="139"/>
    </row>
    <row r="11" spans="1:64" x14ac:dyDescent="0.35">
      <c r="C11" s="36"/>
      <c r="D11" s="30">
        <f>ROW(N13)</f>
        <v>13</v>
      </c>
      <c r="E11" s="30">
        <f>COLUMN(N13)</f>
        <v>14</v>
      </c>
      <c r="F11" s="30">
        <f>COLUMN(AK13)</f>
        <v>37</v>
      </c>
      <c r="G11" s="30">
        <f>F11-E11+1</f>
        <v>24</v>
      </c>
      <c r="H11" s="30">
        <f>COUNT(J13:J56)</f>
        <v>43</v>
      </c>
      <c r="J11" s="142"/>
      <c r="K11" s="140"/>
      <c r="L11" s="140"/>
      <c r="M11" s="126" t="s">
        <v>4</v>
      </c>
      <c r="N11" s="5">
        <f>DATE($N$10,7,1)</f>
        <v>42186</v>
      </c>
      <c r="O11" s="5">
        <f>DATE($N$10,8,1)</f>
        <v>42217</v>
      </c>
      <c r="P11" s="5">
        <f>DATE($N$10,9,1)</f>
        <v>42248</v>
      </c>
      <c r="Q11" s="5">
        <f>DATE($N$10,10,1)</f>
        <v>42278</v>
      </c>
      <c r="R11" s="5">
        <f>DATE($N$10,11,1)</f>
        <v>42309</v>
      </c>
      <c r="S11" s="6">
        <f>DATE($N$10,12,1)</f>
        <v>42339</v>
      </c>
      <c r="T11" s="29">
        <f>DATE($T$10,1,1)</f>
        <v>42370</v>
      </c>
      <c r="U11" s="5">
        <f>DATE($T$10,2,1)</f>
        <v>42401</v>
      </c>
      <c r="V11" s="5">
        <f>DATE($T$10,3,1)</f>
        <v>42430</v>
      </c>
      <c r="W11" s="5">
        <f>DATE($T$10,4,1)</f>
        <v>42461</v>
      </c>
      <c r="X11" s="5">
        <f>DATE($T$10,5,1)</f>
        <v>42491</v>
      </c>
      <c r="Y11" s="14">
        <f>DATE($T$10,6,1)</f>
        <v>42522</v>
      </c>
      <c r="Z11" s="5">
        <f>DATE($T$10,7,1)</f>
        <v>42552</v>
      </c>
      <c r="AA11" s="5">
        <f>DATE($T$10,8,1)</f>
        <v>42583</v>
      </c>
      <c r="AB11" s="5">
        <f>DATE($T$10,9,1)</f>
        <v>42614</v>
      </c>
      <c r="AC11" s="5">
        <f>DATE($T$10,10,1)</f>
        <v>42644</v>
      </c>
      <c r="AD11" s="5">
        <f>DATE($T$10,11,1)</f>
        <v>42675</v>
      </c>
      <c r="AE11" s="6">
        <f>DATE($T$10,12,1)</f>
        <v>42705</v>
      </c>
      <c r="AF11" s="29">
        <f>DATE($AF$10,1,1)</f>
        <v>42736</v>
      </c>
      <c r="AG11" s="29">
        <f>DATE($AF$10,2,1)</f>
        <v>42767</v>
      </c>
      <c r="AH11" s="29">
        <f>DATE($AF$10,3,1)</f>
        <v>42795</v>
      </c>
      <c r="AI11" s="29">
        <f>DATE($AF$10,4,1)</f>
        <v>42826</v>
      </c>
      <c r="AJ11" s="29">
        <f>DATE($AF$10,5,1)</f>
        <v>42856</v>
      </c>
      <c r="AK11" s="29">
        <f>DATE($AF$10,6,1)</f>
        <v>42887</v>
      </c>
      <c r="AL11" s="142"/>
      <c r="AO11" s="44">
        <f>DATE($N$10,7,1)</f>
        <v>42186</v>
      </c>
      <c r="AP11" s="44">
        <f>DATE($N$10,8,1)</f>
        <v>42217</v>
      </c>
      <c r="AQ11" s="44">
        <f>DATE($N$10,9,1)</f>
        <v>42248</v>
      </c>
      <c r="AR11" s="44">
        <f>DATE($N$10,10,1)</f>
        <v>42278</v>
      </c>
      <c r="AS11" s="44">
        <f>DATE($N$10,11,1)</f>
        <v>42309</v>
      </c>
      <c r="AT11" s="45">
        <f>DATE($N$10,12,1)</f>
        <v>42339</v>
      </c>
      <c r="AU11" s="125">
        <f>DATE($T$10,1,1)</f>
        <v>42370</v>
      </c>
      <c r="AV11" s="44">
        <f>DATE($T$10,2,1)</f>
        <v>42401</v>
      </c>
      <c r="AW11" s="44">
        <f>DATE($T$10,3,1)</f>
        <v>42430</v>
      </c>
      <c r="AX11" s="44">
        <f>DATE($T$10,4,1)</f>
        <v>42461</v>
      </c>
      <c r="AY11" s="44">
        <f>DATE($T$10,5,1)</f>
        <v>42491</v>
      </c>
      <c r="AZ11" s="44">
        <f>DATE($T$10,6,1)</f>
        <v>42522</v>
      </c>
      <c r="BA11" s="44">
        <f>DATE($T$10,7,1)</f>
        <v>42552</v>
      </c>
      <c r="BB11" s="44">
        <f>DATE($T$10,8,1)</f>
        <v>42583</v>
      </c>
      <c r="BC11" s="44">
        <f>DATE($T$10,9,1)</f>
        <v>42614</v>
      </c>
      <c r="BD11" s="44">
        <f>DATE($T$10,10,1)</f>
        <v>42644</v>
      </c>
      <c r="BE11" s="44">
        <f>DATE($T$10,11,1)</f>
        <v>42675</v>
      </c>
      <c r="BF11" s="45">
        <f>DATE($T$10,12,1)</f>
        <v>42705</v>
      </c>
      <c r="BG11" s="125">
        <f>DATE($AF$10,1,1)</f>
        <v>42736</v>
      </c>
      <c r="BH11" s="125">
        <f>DATE($AF$10,2,1)</f>
        <v>42767</v>
      </c>
      <c r="BI11" s="125">
        <f>DATE($AF$10,3,1)</f>
        <v>42795</v>
      </c>
      <c r="BJ11" s="125">
        <f>DATE($AF$10,4,1)</f>
        <v>42826</v>
      </c>
      <c r="BK11" s="125">
        <f>DATE($AF$10,5,1)</f>
        <v>42856</v>
      </c>
      <c r="BL11" s="125">
        <f>DATE($AF$10,6,1)</f>
        <v>42887</v>
      </c>
    </row>
    <row r="12" spans="1:64" x14ac:dyDescent="0.35">
      <c r="C12" s="36"/>
      <c r="H12" s="30">
        <f>COUNTIF(AL13:AL56,"&gt;0")</f>
        <v>0</v>
      </c>
      <c r="J12" s="126" t="s">
        <v>10</v>
      </c>
      <c r="K12" s="140"/>
      <c r="L12" s="126" t="s">
        <v>5</v>
      </c>
      <c r="M12" s="46"/>
      <c r="N12" s="7">
        <f t="shared" ref="N12:Y12" si="14">SUBTOTAL(9,N13:N56)</f>
        <v>0</v>
      </c>
      <c r="O12" s="7">
        <f t="shared" si="14"/>
        <v>0</v>
      </c>
      <c r="P12" s="7">
        <f t="shared" si="14"/>
        <v>0</v>
      </c>
      <c r="Q12" s="7">
        <f t="shared" si="14"/>
        <v>0</v>
      </c>
      <c r="R12" s="7">
        <f t="shared" si="14"/>
        <v>0</v>
      </c>
      <c r="S12" s="12">
        <f t="shared" si="14"/>
        <v>0</v>
      </c>
      <c r="T12" s="10">
        <f t="shared" si="14"/>
        <v>0</v>
      </c>
      <c r="U12" s="7">
        <f t="shared" si="14"/>
        <v>0</v>
      </c>
      <c r="V12" s="7">
        <f t="shared" si="14"/>
        <v>0</v>
      </c>
      <c r="W12" s="7">
        <f t="shared" si="14"/>
        <v>0</v>
      </c>
      <c r="X12" s="13">
        <f t="shared" si="14"/>
        <v>0</v>
      </c>
      <c r="Y12" s="16">
        <f t="shared" si="14"/>
        <v>0</v>
      </c>
      <c r="Z12" s="8">
        <f t="shared" ref="Z12:AK12" si="15">SUBTOTAL(9,Z13:Z56)</f>
        <v>0</v>
      </c>
      <c r="AA12" s="7">
        <f t="shared" si="15"/>
        <v>0</v>
      </c>
      <c r="AB12" s="7">
        <f t="shared" si="15"/>
        <v>0</v>
      </c>
      <c r="AC12" s="7">
        <f t="shared" si="15"/>
        <v>0</v>
      </c>
      <c r="AD12" s="7">
        <f t="shared" si="15"/>
        <v>0</v>
      </c>
      <c r="AE12" s="12">
        <f t="shared" si="15"/>
        <v>0</v>
      </c>
      <c r="AF12" s="10">
        <f t="shared" si="15"/>
        <v>0</v>
      </c>
      <c r="AG12" s="7">
        <f t="shared" si="15"/>
        <v>0</v>
      </c>
      <c r="AH12" s="7">
        <f t="shared" si="15"/>
        <v>0</v>
      </c>
      <c r="AI12" s="7">
        <f t="shared" si="15"/>
        <v>0</v>
      </c>
      <c r="AJ12" s="7">
        <f t="shared" si="15"/>
        <v>0</v>
      </c>
      <c r="AK12" s="7">
        <f t="shared" si="15"/>
        <v>0</v>
      </c>
      <c r="AL12" s="7">
        <f>SUBTOTAL(9,AL13:AL56)</f>
        <v>0</v>
      </c>
    </row>
    <row r="13" spans="1:64" x14ac:dyDescent="0.35">
      <c r="C13" s="30" t="b">
        <f ca="1">CELL("row")=CELL("row",C13)</f>
        <v>0</v>
      </c>
      <c r="D13" s="30" t="s">
        <v>20978</v>
      </c>
      <c r="H13" s="30">
        <f>IF(AND($AL13=0,$J13=1)=TRUE,0,
        IF(AND($AL13&gt;0,$J13=1)=TRUE,1,
              IF(AND(H12=$H$12,$J13&gt;1)=TRUE,0,
                    IF(AND($AL13=0,$J13&gt;1),H12,
                         H12+1))))</f>
        <v>0</v>
      </c>
      <c r="J13" s="30">
        <f>IF(J12="No.",1,J12+1)</f>
        <v>1</v>
      </c>
      <c r="K13" s="30" t="str">
        <f>"KK-04598"</f>
        <v>KK-04598</v>
      </c>
      <c r="L13" s="30" t="str">
        <f>"Alex Sudytio"</f>
        <v>Alex Sudytio</v>
      </c>
      <c r="M13" s="30"/>
      <c r="N13" s="129"/>
      <c r="O13" s="129"/>
      <c r="P13" s="129"/>
      <c r="Q13" s="129"/>
      <c r="R13" s="129"/>
      <c r="S13" s="129"/>
      <c r="T13" s="130"/>
      <c r="U13" s="131"/>
      <c r="V13" s="131"/>
      <c r="W13" s="131"/>
      <c r="X13" s="4"/>
      <c r="Y13" s="15"/>
      <c r="Z13" s="4"/>
      <c r="AA13" s="4"/>
      <c r="AB13" s="4"/>
      <c r="AC13" s="4"/>
      <c r="AD13" s="4"/>
      <c r="AE13" s="4"/>
      <c r="AF13" s="11"/>
      <c r="AG13" s="4"/>
      <c r="AH13" s="4"/>
      <c r="AI13" s="4"/>
      <c r="AJ13" s="4"/>
      <c r="AK13" s="4"/>
      <c r="AL13" s="9">
        <f>SUM(N13:AK13)</f>
        <v>0</v>
      </c>
      <c r="AO13" s="47">
        <f>IF(COUNTIFS(IuranDSSebelumnya!$J$330:$J$772,$K13,IuranDSSebelumnya!$M$330:$M$772,AO$11,IuranDSSebelumnya!$L$330:$L$772,$M$5)&gt;0,
        VLOOKUP(CONCATENATE($K13,"|",AO$11,"|",$M$5),IuranDSSebelumnya!$I$330:$N$772,5,FALSE),
        IF(COUNTIFS(IuranDSSebelumnya!$J$330:$J$772,$K13,IuranDSSebelumnya!$M$330:$M$772,AO$11,IuranDSSebelumnya!$L$330:$L$772,"&lt;&gt;"&amp;$M$5)&gt;0,
              "Iuran dari Lingkungan lain",
              ""))</f>
        <v>42186</v>
      </c>
      <c r="AP13" s="47">
        <f>IF(COUNTIFS(IuranDSSebelumnya!$J$330:$J$772,$K13,IuranDSSebelumnya!$M$330:$M$772,AP$11,IuranDSSebelumnya!$L$330:$L$772,$M$5)&gt;0,
        VLOOKUP(CONCATENATE($K13,"|",AP$11,"|",$M$5),IuranDSSebelumnya!$I$330:$N$772,5,FALSE),
        IF(COUNTIFS(IuranDSSebelumnya!$J$330:$J$772,$K13,IuranDSSebelumnya!$M$330:$M$772,AP$11,IuranDSSebelumnya!$L$330:$L$772,"&lt;&gt;"&amp;$M$5)&gt;0,
              "Iuran dari Lingkungan lain",
              ""))</f>
        <v>42217</v>
      </c>
      <c r="AQ13" s="47">
        <f>IF(COUNTIFS(IuranDSSebelumnya!$J$330:$J$772,$K13,IuranDSSebelumnya!$M$330:$M$772,AQ$11,IuranDSSebelumnya!$L$330:$L$772,$M$5)&gt;0,
        VLOOKUP(CONCATENATE($K13,"|",AQ$11,"|",$M$5),IuranDSSebelumnya!$I$330:$N$772,5,FALSE),
        IF(COUNTIFS(IuranDSSebelumnya!$J$330:$J$772,$K13,IuranDSSebelumnya!$M$330:$M$772,AQ$11,IuranDSSebelumnya!$L$330:$L$772,"&lt;&gt;"&amp;$M$5)&gt;0,
              "Iuran dari Lingkungan lain",
              ""))</f>
        <v>42248</v>
      </c>
      <c r="AR13" s="47">
        <f>IF(COUNTIFS(IuranDSSebelumnya!$J$330:$J$772,$K13,IuranDSSebelumnya!$M$330:$M$772,AR$11,IuranDSSebelumnya!$L$330:$L$772,$M$5)&gt;0,
        VLOOKUP(CONCATENATE($K13,"|",AR$11,"|",$M$5),IuranDSSebelumnya!$I$330:$N$772,5,FALSE),
        IF(COUNTIFS(IuranDSSebelumnya!$J$330:$J$772,$K13,IuranDSSebelumnya!$M$330:$M$772,AR$11,IuranDSSebelumnya!$L$330:$L$772,"&lt;&gt;"&amp;$M$5)&gt;0,
              "Iuran dari Lingkungan lain",
              ""))</f>
        <v>42278</v>
      </c>
      <c r="AS13" s="47">
        <f>IF(COUNTIFS(IuranDSSebelumnya!$J$330:$J$772,$K13,IuranDSSebelumnya!$M$330:$M$772,AS$11,IuranDSSebelumnya!$L$330:$L$772,$M$5)&gt;0,
        VLOOKUP(CONCATENATE($K13,"|",AS$11,"|",$M$5),IuranDSSebelumnya!$I$330:$N$772,5,FALSE),
        IF(COUNTIFS(IuranDSSebelumnya!$J$330:$J$772,$K13,IuranDSSebelumnya!$M$330:$M$772,AS$11,IuranDSSebelumnya!$L$330:$L$772,"&lt;&gt;"&amp;$M$5)&gt;0,
              "Iuran dari Lingkungan lain",
              ""))</f>
        <v>42309</v>
      </c>
      <c r="AT13" s="47">
        <f>IF(COUNTIFS(IuranDSSebelumnya!$J$330:$J$772,$K13,IuranDSSebelumnya!$M$330:$M$772,AT$11,IuranDSSebelumnya!$L$330:$L$772,$M$5)&gt;0,
        VLOOKUP(CONCATENATE($K13,"|",AT$11,"|",$M$5),IuranDSSebelumnya!$I$330:$N$772,5,FALSE),
        IF(COUNTIFS(IuranDSSebelumnya!$J$330:$J$772,$K13,IuranDSSebelumnya!$M$330:$M$772,AT$11,IuranDSSebelumnya!$L$330:$L$772,"&lt;&gt;"&amp;$M$5)&gt;0,
              "Iuran dari Lingkungan lain",
              ""))</f>
        <v>42339</v>
      </c>
      <c r="AU13" s="47">
        <f>IF(COUNTIFS(IuranDSSebelumnya!$J$330:$J$772,$K13,IuranDSSebelumnya!$M$330:$M$772,AU$11,IuranDSSebelumnya!$L$330:$L$772,$M$5)&gt;0,
        VLOOKUP(CONCATENATE($K13,"|",AU$11,"|",$M$5),IuranDSSebelumnya!$I$330:$N$772,5,FALSE),
        IF(COUNTIFS(IuranDSSebelumnya!$J$330:$J$772,$K13,IuranDSSebelumnya!$M$330:$M$772,AU$11,IuranDSSebelumnya!$L$330:$L$772,"&lt;&gt;"&amp;$M$5)&gt;0,
              "Iuran dari Lingkungan lain",
              ""))</f>
        <v>42370</v>
      </c>
      <c r="AV13" s="47">
        <f>IF(COUNTIFS(IuranDSSebelumnya!$J$330:$J$772,$K13,IuranDSSebelumnya!$M$330:$M$772,AV$11,IuranDSSebelumnya!$L$330:$L$772,$M$5)&gt;0,
        VLOOKUP(CONCATENATE($K13,"|",AV$11,"|",$M$5),IuranDSSebelumnya!$I$330:$N$772,5,FALSE),
        IF(COUNTIFS(IuranDSSebelumnya!$J$330:$J$772,$K13,IuranDSSebelumnya!$M$330:$M$772,AV$11,IuranDSSebelumnya!$L$330:$L$772,"&lt;&gt;"&amp;$M$5)&gt;0,
              "Iuran dari Lingkungan lain",
              ""))</f>
        <v>42401</v>
      </c>
      <c r="AW13" s="47">
        <f>IF(COUNTIFS(IuranDSSebelumnya!$J$330:$J$772,$K13,IuranDSSebelumnya!$M$330:$M$772,AW$11,IuranDSSebelumnya!$L$330:$L$772,$M$5)&gt;0,
        VLOOKUP(CONCATENATE($K13,"|",AW$11,"|",$M$5),IuranDSSebelumnya!$I$330:$N$772,5,FALSE),
        IF(COUNTIFS(IuranDSSebelumnya!$J$330:$J$772,$K13,IuranDSSebelumnya!$M$330:$M$772,AW$11,IuranDSSebelumnya!$L$330:$L$772,"&lt;&gt;"&amp;$M$5)&gt;0,
              "Iuran dari Lingkungan lain",
              ""))</f>
        <v>42430</v>
      </c>
      <c r="AX13" s="47">
        <f>IF(COUNTIFS(IuranDSSebelumnya!$J$330:$J$772,$K13,IuranDSSebelumnya!$M$330:$M$772,AX$11,IuranDSSebelumnya!$L$330:$L$772,$M$5)&gt;0,
        VLOOKUP(CONCATENATE($K13,"|",AX$11,"|",$M$5),IuranDSSebelumnya!$I$330:$N$772,5,FALSE),
        IF(COUNTIFS(IuranDSSebelumnya!$J$330:$J$772,$K13,IuranDSSebelumnya!$M$330:$M$772,AX$11,IuranDSSebelumnya!$L$330:$L$772,"&lt;&gt;"&amp;$M$5)&gt;0,
              "Iuran dari Lingkungan lain",
              ""))</f>
        <v>42461</v>
      </c>
      <c r="AY13" s="47" t="str">
        <f>IF(COUNTIFS(IuranDSSebelumnya!$J$330:$J$772,$K13,IuranDSSebelumnya!$M$330:$M$772,AY$11,IuranDSSebelumnya!$L$330:$L$772,$M$5)&gt;0,
        VLOOKUP(CONCATENATE($K13,"|",AY$11,"|",$M$5),IuranDSSebelumnya!$I$330:$N$772,5,FALSE),
        IF(COUNTIFS(IuranDSSebelumnya!$J$330:$J$772,$K13,IuranDSSebelumnya!$M$330:$M$772,AY$11,IuranDSSebelumnya!$L$330:$L$772,"&lt;&gt;"&amp;$M$5)&gt;0,
              "Iuran dari Lingkungan lain",
              ""))</f>
        <v/>
      </c>
      <c r="AZ13" s="47" t="str">
        <f>IF(COUNTIFS(IuranDSSebelumnya!$J$330:$J$772,$K13,IuranDSSebelumnya!$M$330:$M$772,AZ$11,IuranDSSebelumnya!$L$330:$L$772,$M$5)&gt;0,
        VLOOKUP(CONCATENATE($K13,"|",AZ$11,"|",$M$5),IuranDSSebelumnya!$I$330:$N$772,5,FALSE),
        IF(COUNTIFS(IuranDSSebelumnya!$J$330:$J$772,$K13,IuranDSSebelumnya!$M$330:$M$772,AZ$11,IuranDSSebelumnya!$L$330:$L$772,"&lt;&gt;"&amp;$M$5)&gt;0,
              "Iuran dari Lingkungan lain",
              ""))</f>
        <v/>
      </c>
      <c r="BA13" s="47" t="str">
        <f>IF(COUNTIFS(IuranDSSebelumnya!$J$330:$J$772,$K13,IuranDSSebelumnya!$M$330:$M$772,BA$11,IuranDSSebelumnya!$L$330:$L$772,$M$5)&gt;0,
        VLOOKUP(CONCATENATE($K13,"|",BA$11,"|",$M$5),IuranDSSebelumnya!$I$330:$N$772,5,FALSE),
        IF(COUNTIFS(IuranDSSebelumnya!$J$330:$J$772,$K13,IuranDSSebelumnya!$M$330:$M$772,BA$11,IuranDSSebelumnya!$L$330:$L$772,"&lt;&gt;"&amp;$M$5)&gt;0,
              "Iuran dari Lingkungan lain",
              ""))</f>
        <v/>
      </c>
      <c r="BB13" s="47" t="str">
        <f>IF(COUNTIFS(IuranDSSebelumnya!$J$330:$J$772,$K13,IuranDSSebelumnya!$M$330:$M$772,BB$11,IuranDSSebelumnya!$L$330:$L$772,$M$5)&gt;0,
        VLOOKUP(CONCATENATE($K13,"|",BB$11,"|",$M$5),IuranDSSebelumnya!$I$330:$N$772,5,FALSE),
        IF(COUNTIFS(IuranDSSebelumnya!$J$330:$J$772,$K13,IuranDSSebelumnya!$M$330:$M$772,BB$11,IuranDSSebelumnya!$L$330:$L$772,"&lt;&gt;"&amp;$M$5)&gt;0,
              "Iuran dari Lingkungan lain",
              ""))</f>
        <v/>
      </c>
      <c r="BC13" s="47" t="str">
        <f>IF(COUNTIFS(IuranDSSebelumnya!$J$330:$J$772,$K13,IuranDSSebelumnya!$M$330:$M$772,BC$11,IuranDSSebelumnya!$L$330:$L$772,$M$5)&gt;0,
        VLOOKUP(CONCATENATE($K13,"|",BC$11,"|",$M$5),IuranDSSebelumnya!$I$330:$N$772,5,FALSE),
        IF(COUNTIFS(IuranDSSebelumnya!$J$330:$J$772,$K13,IuranDSSebelumnya!$M$330:$M$772,BC$11,IuranDSSebelumnya!$L$330:$L$772,"&lt;&gt;"&amp;$M$5)&gt;0,
              "Iuran dari Lingkungan lain",
              ""))</f>
        <v/>
      </c>
      <c r="BD13" s="47" t="str">
        <f>IF(COUNTIFS(IuranDSSebelumnya!$J$330:$J$772,$K13,IuranDSSebelumnya!$M$330:$M$772,BD$11,IuranDSSebelumnya!$L$330:$L$772,$M$5)&gt;0,
        VLOOKUP(CONCATENATE($K13,"|",BD$11,"|",$M$5),IuranDSSebelumnya!$I$330:$N$772,5,FALSE),
        IF(COUNTIFS(IuranDSSebelumnya!$J$330:$J$772,$K13,IuranDSSebelumnya!$M$330:$M$772,BD$11,IuranDSSebelumnya!$L$330:$L$772,"&lt;&gt;"&amp;$M$5)&gt;0,
              "Iuran dari Lingkungan lain",
              ""))</f>
        <v/>
      </c>
      <c r="BE13" s="47" t="str">
        <f>IF(COUNTIFS(IuranDSSebelumnya!$J$330:$J$772,$K13,IuranDSSebelumnya!$M$330:$M$772,BE$11,IuranDSSebelumnya!$L$330:$L$772,$M$5)&gt;0,
        VLOOKUP(CONCATENATE($K13,"|",BE$11,"|",$M$5),IuranDSSebelumnya!$I$330:$N$772,5,FALSE),
        IF(COUNTIFS(IuranDSSebelumnya!$J$330:$J$772,$K13,IuranDSSebelumnya!$M$330:$M$772,BE$11,IuranDSSebelumnya!$L$330:$L$772,"&lt;&gt;"&amp;$M$5)&gt;0,
              "Iuran dari Lingkungan lain",
              ""))</f>
        <v/>
      </c>
      <c r="BF13" s="47" t="str">
        <f>IF(COUNTIFS(IuranDSSebelumnya!$J$330:$J$772,$K13,IuranDSSebelumnya!$M$330:$M$772,BF$11,IuranDSSebelumnya!$L$330:$L$772,$M$5)&gt;0,
        VLOOKUP(CONCATENATE($K13,"|",BF$11,"|",$M$5),IuranDSSebelumnya!$I$330:$N$772,5,FALSE),
        IF(COUNTIFS(IuranDSSebelumnya!$J$330:$J$772,$K13,IuranDSSebelumnya!$M$330:$M$772,BF$11,IuranDSSebelumnya!$L$330:$L$772,"&lt;&gt;"&amp;$M$5)&gt;0,
              "Iuran dari Lingkungan lain",
              ""))</f>
        <v/>
      </c>
      <c r="BG13" s="47" t="str">
        <f>IF(COUNTIFS(IuranDSSebelumnya!$J$330:$J$772,$K13,IuranDSSebelumnya!$M$330:$M$772,BG$11,IuranDSSebelumnya!$L$330:$L$772,$M$5)&gt;0,
        VLOOKUP(CONCATENATE($K13,"|",BG$11,"|",$M$5),IuranDSSebelumnya!$I$330:$N$772,5,FALSE),
        IF(COUNTIFS(IuranDSSebelumnya!$J$330:$J$772,$K13,IuranDSSebelumnya!$M$330:$M$772,BG$11,IuranDSSebelumnya!$L$330:$L$772,"&lt;&gt;"&amp;$M$5)&gt;0,
              "Iuran dari Lingkungan lain",
              ""))</f>
        <v/>
      </c>
      <c r="BH13" s="47" t="str">
        <f>IF(COUNTIFS(IuranDSSebelumnya!$J$330:$J$772,$K13,IuranDSSebelumnya!$M$330:$M$772,BH$11,IuranDSSebelumnya!$L$330:$L$772,$M$5)&gt;0,
        VLOOKUP(CONCATENATE($K13,"|",BH$11,"|",$M$5),IuranDSSebelumnya!$I$330:$N$772,5,FALSE),
        IF(COUNTIFS(IuranDSSebelumnya!$J$330:$J$772,$K13,IuranDSSebelumnya!$M$330:$M$772,BH$11,IuranDSSebelumnya!$L$330:$L$772,"&lt;&gt;"&amp;$M$5)&gt;0,
              "Iuran dari Lingkungan lain",
              ""))</f>
        <v/>
      </c>
      <c r="BI13" s="47" t="str">
        <f>IF(COUNTIFS(IuranDSSebelumnya!$J$330:$J$772,$K13,IuranDSSebelumnya!$M$330:$M$772,BI$11,IuranDSSebelumnya!$L$330:$L$772,$M$5)&gt;0,
        VLOOKUP(CONCATENATE($K13,"|",BI$11,"|",$M$5),IuranDSSebelumnya!$I$330:$N$772,5,FALSE),
        IF(COUNTIFS(IuranDSSebelumnya!$J$330:$J$772,$K13,IuranDSSebelumnya!$M$330:$M$772,BI$11,IuranDSSebelumnya!$L$330:$L$772,"&lt;&gt;"&amp;$M$5)&gt;0,
              "Iuran dari Lingkungan lain",
              ""))</f>
        <v/>
      </c>
      <c r="BJ13" s="47" t="str">
        <f>IF(COUNTIFS(IuranDSSebelumnya!$J$330:$J$772,$K13,IuranDSSebelumnya!$M$330:$M$772,BJ$11,IuranDSSebelumnya!$L$330:$L$772,$M$5)&gt;0,
        VLOOKUP(CONCATENATE($K13,"|",BJ$11,"|",$M$5),IuranDSSebelumnya!$I$330:$N$772,5,FALSE),
        IF(COUNTIFS(IuranDSSebelumnya!$J$330:$J$772,$K13,IuranDSSebelumnya!$M$330:$M$772,BJ$11,IuranDSSebelumnya!$L$330:$L$772,"&lt;&gt;"&amp;$M$5)&gt;0,
              "Iuran dari Lingkungan lain",
              ""))</f>
        <v/>
      </c>
      <c r="BK13" s="47" t="str">
        <f>IF(COUNTIFS(IuranDSSebelumnya!$J$330:$J$772,$K13,IuranDSSebelumnya!$M$330:$M$772,BK$11,IuranDSSebelumnya!$L$330:$L$772,$M$5)&gt;0,
        VLOOKUP(CONCATENATE($K13,"|",BK$11,"|",$M$5),IuranDSSebelumnya!$I$330:$N$772,5,FALSE),
        IF(COUNTIFS(IuranDSSebelumnya!$J$330:$J$772,$K13,IuranDSSebelumnya!$M$330:$M$772,BK$11,IuranDSSebelumnya!$L$330:$L$772,"&lt;&gt;"&amp;$M$5)&gt;0,
              "Iuran dari Lingkungan lain",
              ""))</f>
        <v/>
      </c>
      <c r="BL13" s="47" t="str">
        <f>IF(COUNTIFS(IuranDSSebelumnya!$J$330:$J$772,$K13,IuranDSSebelumnya!$M$330:$M$772,BL$11,IuranDSSebelumnya!$L$330:$L$772,$M$5)&gt;0,
        VLOOKUP(CONCATENATE($K13,"|",BL$11,"|",$M$5),IuranDSSebelumnya!$I$330:$N$772,5,FALSE),
        IF(COUNTIFS(IuranDSSebelumnya!$J$330:$J$772,$K13,IuranDSSebelumnya!$M$330:$M$772,BL$11,IuranDSSebelumnya!$L$330:$L$772,"&lt;&gt;"&amp;$M$5)&gt;0,
              "Iuran dari Lingkungan lain",
              ""))</f>
        <v/>
      </c>
    </row>
    <row r="14" spans="1:64" x14ac:dyDescent="0.35">
      <c r="A14" s="30" t="s">
        <v>6063</v>
      </c>
      <c r="C14" s="30" t="b">
        <f t="shared" ref="C14:C55" ca="1" si="16">CELL("row")=CELL("row",C14)</f>
        <v>0</v>
      </c>
      <c r="D14" s="30" t="str">
        <f>"""TRUST Nav"",""HSPMTB2016"",""18"",""1"",""KK-05048"""</f>
        <v>"TRUST Nav","HSPMTB2016","18","1","KK-05048"</v>
      </c>
      <c r="H14" s="30">
        <f t="shared" ref="H14:H55" si="17">IF(AND($AL14=0,$J14=1)=TRUE,0,
        IF(AND($AL14&gt;0,$J14=1)=TRUE,1,
              IF(AND(H13=$H$12,$J14&gt;1)=TRUE,0,
                    IF(AND($AL14=0,$J14&gt;1),H13,
                         H13+1))))</f>
        <v>0</v>
      </c>
      <c r="J14" s="30">
        <f t="shared" ref="J14:J55" si="18">IF(J13="No.",1,J13+1)</f>
        <v>2</v>
      </c>
      <c r="K14" s="30" t="str">
        <f>"KK-05048"</f>
        <v>KK-05048</v>
      </c>
      <c r="L14" s="30" t="str">
        <f>"Alfonsus Denny Martaguna"</f>
        <v>Alfonsus Denny Martaguna</v>
      </c>
      <c r="M14" s="30"/>
      <c r="N14" s="3"/>
      <c r="O14" s="3"/>
      <c r="P14" s="3"/>
      <c r="Q14" s="3"/>
      <c r="R14" s="3"/>
      <c r="S14" s="3"/>
      <c r="T14" s="130"/>
      <c r="U14" s="131"/>
      <c r="V14" s="131"/>
      <c r="W14" s="131"/>
      <c r="X14" s="4"/>
      <c r="Y14" s="15"/>
      <c r="Z14" s="4"/>
      <c r="AA14" s="4"/>
      <c r="AB14" s="4"/>
      <c r="AC14" s="4"/>
      <c r="AD14" s="4"/>
      <c r="AE14" s="4"/>
      <c r="AF14" s="11"/>
      <c r="AG14" s="4"/>
      <c r="AH14" s="4"/>
      <c r="AI14" s="4"/>
      <c r="AJ14" s="4"/>
      <c r="AK14" s="4"/>
      <c r="AL14" s="9">
        <f t="shared" ref="AL14:AL55" si="19">SUM(N14:AK14)</f>
        <v>0</v>
      </c>
      <c r="AO14" s="47" t="str">
        <f>IF(COUNTIFS(IuranDSSebelumnya!$J$330:$J$772,$K14,IuranDSSebelumnya!$M$330:$M$772,AO$11,IuranDSSebelumnya!$L$330:$L$772,$M$5)&gt;0,
        VLOOKUP(CONCATENATE($K14,"|",AO$11,"|",$M$5),IuranDSSebelumnya!$I$330:$N$772,5,FALSE),
        IF(COUNTIFS(IuranDSSebelumnya!$J$330:$J$772,$K14,IuranDSSebelumnya!$M$330:$M$772,AO$11,IuranDSSebelumnya!$L$330:$L$772,"&lt;&gt;"&amp;$M$5)&gt;0,
              "Iuran dari Lingkungan lain",
              ""))</f>
        <v/>
      </c>
      <c r="AP14" s="47" t="str">
        <f>IF(COUNTIFS(IuranDSSebelumnya!$J$330:$J$772,$K14,IuranDSSebelumnya!$M$330:$M$772,AP$11,IuranDSSebelumnya!$L$330:$L$772,$M$5)&gt;0,
        VLOOKUP(CONCATENATE($K14,"|",AP$11,"|",$M$5),IuranDSSebelumnya!$I$330:$N$772,5,FALSE),
        IF(COUNTIFS(IuranDSSebelumnya!$J$330:$J$772,$K14,IuranDSSebelumnya!$M$330:$M$772,AP$11,IuranDSSebelumnya!$L$330:$L$772,"&lt;&gt;"&amp;$M$5)&gt;0,
              "Iuran dari Lingkungan lain",
              ""))</f>
        <v/>
      </c>
      <c r="AQ14" s="47" t="str">
        <f>IF(COUNTIFS(IuranDSSebelumnya!$J$330:$J$772,$K14,IuranDSSebelumnya!$M$330:$M$772,AQ$11,IuranDSSebelumnya!$L$330:$L$772,$M$5)&gt;0,
        VLOOKUP(CONCATENATE($K14,"|",AQ$11,"|",$M$5),IuranDSSebelumnya!$I$330:$N$772,5,FALSE),
        IF(COUNTIFS(IuranDSSebelumnya!$J$330:$J$772,$K14,IuranDSSebelumnya!$M$330:$M$772,AQ$11,IuranDSSebelumnya!$L$330:$L$772,"&lt;&gt;"&amp;$M$5)&gt;0,
              "Iuran dari Lingkungan lain",
              ""))</f>
        <v/>
      </c>
      <c r="AR14" s="47" t="str">
        <f>IF(COUNTIFS(IuranDSSebelumnya!$J$330:$J$772,$K14,IuranDSSebelumnya!$M$330:$M$772,AR$11,IuranDSSebelumnya!$L$330:$L$772,$M$5)&gt;0,
        VLOOKUP(CONCATENATE($K14,"|",AR$11,"|",$M$5),IuranDSSebelumnya!$I$330:$N$772,5,FALSE),
        IF(COUNTIFS(IuranDSSebelumnya!$J$330:$J$772,$K14,IuranDSSebelumnya!$M$330:$M$772,AR$11,IuranDSSebelumnya!$L$330:$L$772,"&lt;&gt;"&amp;$M$5)&gt;0,
              "Iuran dari Lingkungan lain",
              ""))</f>
        <v/>
      </c>
      <c r="AS14" s="47" t="str">
        <f>IF(COUNTIFS(IuranDSSebelumnya!$J$330:$J$772,$K14,IuranDSSebelumnya!$M$330:$M$772,AS$11,IuranDSSebelumnya!$L$330:$L$772,$M$5)&gt;0,
        VLOOKUP(CONCATENATE($K14,"|",AS$11,"|",$M$5),IuranDSSebelumnya!$I$330:$N$772,5,FALSE),
        IF(COUNTIFS(IuranDSSebelumnya!$J$330:$J$772,$K14,IuranDSSebelumnya!$M$330:$M$772,AS$11,IuranDSSebelumnya!$L$330:$L$772,"&lt;&gt;"&amp;$M$5)&gt;0,
              "Iuran dari Lingkungan lain",
              ""))</f>
        <v/>
      </c>
      <c r="AT14" s="47" t="str">
        <f>IF(COUNTIFS(IuranDSSebelumnya!$J$330:$J$772,$K14,IuranDSSebelumnya!$M$330:$M$772,AT$11,IuranDSSebelumnya!$L$330:$L$772,$M$5)&gt;0,
        VLOOKUP(CONCATENATE($K14,"|",AT$11,"|",$M$5),IuranDSSebelumnya!$I$330:$N$772,5,FALSE),
        IF(COUNTIFS(IuranDSSebelumnya!$J$330:$J$772,$K14,IuranDSSebelumnya!$M$330:$M$772,AT$11,IuranDSSebelumnya!$L$330:$L$772,"&lt;&gt;"&amp;$M$5)&gt;0,
              "Iuran dari Lingkungan lain",
              ""))</f>
        <v/>
      </c>
      <c r="AU14" s="47">
        <f>IF(COUNTIFS(IuranDSSebelumnya!$J$330:$J$772,$K14,IuranDSSebelumnya!$M$330:$M$772,AU$11,IuranDSSebelumnya!$L$330:$L$772,$M$5)&gt;0,
        VLOOKUP(CONCATENATE($K14,"|",AU$11,"|",$M$5),IuranDSSebelumnya!$I$330:$N$772,5,FALSE),
        IF(COUNTIFS(IuranDSSebelumnya!$J$330:$J$772,$K14,IuranDSSebelumnya!$M$330:$M$772,AU$11,IuranDSSebelumnya!$L$330:$L$772,"&lt;&gt;"&amp;$M$5)&gt;0,
              "Iuran dari Lingkungan lain",
              ""))</f>
        <v>42370</v>
      </c>
      <c r="AV14" s="47">
        <f>IF(COUNTIFS(IuranDSSebelumnya!$J$330:$J$772,$K14,IuranDSSebelumnya!$M$330:$M$772,AV$11,IuranDSSebelumnya!$L$330:$L$772,$M$5)&gt;0,
        VLOOKUP(CONCATENATE($K14,"|",AV$11,"|",$M$5),IuranDSSebelumnya!$I$330:$N$772,5,FALSE),
        IF(COUNTIFS(IuranDSSebelumnya!$J$330:$J$772,$K14,IuranDSSebelumnya!$M$330:$M$772,AV$11,IuranDSSebelumnya!$L$330:$L$772,"&lt;&gt;"&amp;$M$5)&gt;0,
              "Iuran dari Lingkungan lain",
              ""))</f>
        <v>42401</v>
      </c>
      <c r="AW14" s="47">
        <f>IF(COUNTIFS(IuranDSSebelumnya!$J$330:$J$772,$K14,IuranDSSebelumnya!$M$330:$M$772,AW$11,IuranDSSebelumnya!$L$330:$L$772,$M$5)&gt;0,
        VLOOKUP(CONCATENATE($K14,"|",AW$11,"|",$M$5),IuranDSSebelumnya!$I$330:$N$772,5,FALSE),
        IF(COUNTIFS(IuranDSSebelumnya!$J$330:$J$772,$K14,IuranDSSebelumnya!$M$330:$M$772,AW$11,IuranDSSebelumnya!$L$330:$L$772,"&lt;&gt;"&amp;$M$5)&gt;0,
              "Iuran dari Lingkungan lain",
              ""))</f>
        <v>42430</v>
      </c>
      <c r="AX14" s="47">
        <f>IF(COUNTIFS(IuranDSSebelumnya!$J$330:$J$772,$K14,IuranDSSebelumnya!$M$330:$M$772,AX$11,IuranDSSebelumnya!$L$330:$L$772,$M$5)&gt;0,
        VLOOKUP(CONCATENATE($K14,"|",AX$11,"|",$M$5),IuranDSSebelumnya!$I$330:$N$772,5,FALSE),
        IF(COUNTIFS(IuranDSSebelumnya!$J$330:$J$772,$K14,IuranDSSebelumnya!$M$330:$M$772,AX$11,IuranDSSebelumnya!$L$330:$L$772,"&lt;&gt;"&amp;$M$5)&gt;0,
              "Iuran dari Lingkungan lain",
              ""))</f>
        <v>42461</v>
      </c>
      <c r="AY14" s="47" t="str">
        <f>IF(COUNTIFS(IuranDSSebelumnya!$J$330:$J$772,$K14,IuranDSSebelumnya!$M$330:$M$772,AY$11,IuranDSSebelumnya!$L$330:$L$772,$M$5)&gt;0,
        VLOOKUP(CONCATENATE($K14,"|",AY$11,"|",$M$5),IuranDSSebelumnya!$I$330:$N$772,5,FALSE),
        IF(COUNTIFS(IuranDSSebelumnya!$J$330:$J$772,$K14,IuranDSSebelumnya!$M$330:$M$772,AY$11,IuranDSSebelumnya!$L$330:$L$772,"&lt;&gt;"&amp;$M$5)&gt;0,
              "Iuran dari Lingkungan lain",
              ""))</f>
        <v/>
      </c>
      <c r="AZ14" s="47" t="str">
        <f>IF(COUNTIFS(IuranDSSebelumnya!$J$330:$J$772,$K14,IuranDSSebelumnya!$M$330:$M$772,AZ$11,IuranDSSebelumnya!$L$330:$L$772,$M$5)&gt;0,
        VLOOKUP(CONCATENATE($K14,"|",AZ$11,"|",$M$5),IuranDSSebelumnya!$I$330:$N$772,5,FALSE),
        IF(COUNTIFS(IuranDSSebelumnya!$J$330:$J$772,$K14,IuranDSSebelumnya!$M$330:$M$772,AZ$11,IuranDSSebelumnya!$L$330:$L$772,"&lt;&gt;"&amp;$M$5)&gt;0,
              "Iuran dari Lingkungan lain",
              ""))</f>
        <v/>
      </c>
      <c r="BA14" s="47" t="str">
        <f>IF(COUNTIFS(IuranDSSebelumnya!$J$330:$J$772,$K14,IuranDSSebelumnya!$M$330:$M$772,BA$11,IuranDSSebelumnya!$L$330:$L$772,$M$5)&gt;0,
        VLOOKUP(CONCATENATE($K14,"|",BA$11,"|",$M$5),IuranDSSebelumnya!$I$330:$N$772,5,FALSE),
        IF(COUNTIFS(IuranDSSebelumnya!$J$330:$J$772,$K14,IuranDSSebelumnya!$M$330:$M$772,BA$11,IuranDSSebelumnya!$L$330:$L$772,"&lt;&gt;"&amp;$M$5)&gt;0,
              "Iuran dari Lingkungan lain",
              ""))</f>
        <v/>
      </c>
      <c r="BB14" s="47" t="str">
        <f>IF(COUNTIFS(IuranDSSebelumnya!$J$330:$J$772,$K14,IuranDSSebelumnya!$M$330:$M$772,BB$11,IuranDSSebelumnya!$L$330:$L$772,$M$5)&gt;0,
        VLOOKUP(CONCATENATE($K14,"|",BB$11,"|",$M$5),IuranDSSebelumnya!$I$330:$N$772,5,FALSE),
        IF(COUNTIFS(IuranDSSebelumnya!$J$330:$J$772,$K14,IuranDSSebelumnya!$M$330:$M$772,BB$11,IuranDSSebelumnya!$L$330:$L$772,"&lt;&gt;"&amp;$M$5)&gt;0,
              "Iuran dari Lingkungan lain",
              ""))</f>
        <v/>
      </c>
      <c r="BC14" s="47" t="str">
        <f>IF(COUNTIFS(IuranDSSebelumnya!$J$330:$J$772,$K14,IuranDSSebelumnya!$M$330:$M$772,BC$11,IuranDSSebelumnya!$L$330:$L$772,$M$5)&gt;0,
        VLOOKUP(CONCATENATE($K14,"|",BC$11,"|",$M$5),IuranDSSebelumnya!$I$330:$N$772,5,FALSE),
        IF(COUNTIFS(IuranDSSebelumnya!$J$330:$J$772,$K14,IuranDSSebelumnya!$M$330:$M$772,BC$11,IuranDSSebelumnya!$L$330:$L$772,"&lt;&gt;"&amp;$M$5)&gt;0,
              "Iuran dari Lingkungan lain",
              ""))</f>
        <v/>
      </c>
      <c r="BD14" s="47" t="str">
        <f>IF(COUNTIFS(IuranDSSebelumnya!$J$330:$J$772,$K14,IuranDSSebelumnya!$M$330:$M$772,BD$11,IuranDSSebelumnya!$L$330:$L$772,$M$5)&gt;0,
        VLOOKUP(CONCATENATE($K14,"|",BD$11,"|",$M$5),IuranDSSebelumnya!$I$330:$N$772,5,FALSE),
        IF(COUNTIFS(IuranDSSebelumnya!$J$330:$J$772,$K14,IuranDSSebelumnya!$M$330:$M$772,BD$11,IuranDSSebelumnya!$L$330:$L$772,"&lt;&gt;"&amp;$M$5)&gt;0,
              "Iuran dari Lingkungan lain",
              ""))</f>
        <v/>
      </c>
      <c r="BE14" s="47" t="str">
        <f>IF(COUNTIFS(IuranDSSebelumnya!$J$330:$J$772,$K14,IuranDSSebelumnya!$M$330:$M$772,BE$11,IuranDSSebelumnya!$L$330:$L$772,$M$5)&gt;0,
        VLOOKUP(CONCATENATE($K14,"|",BE$11,"|",$M$5),IuranDSSebelumnya!$I$330:$N$772,5,FALSE),
        IF(COUNTIFS(IuranDSSebelumnya!$J$330:$J$772,$K14,IuranDSSebelumnya!$M$330:$M$772,BE$11,IuranDSSebelumnya!$L$330:$L$772,"&lt;&gt;"&amp;$M$5)&gt;0,
              "Iuran dari Lingkungan lain",
              ""))</f>
        <v/>
      </c>
      <c r="BF14" s="47" t="str">
        <f>IF(COUNTIFS(IuranDSSebelumnya!$J$330:$J$772,$K14,IuranDSSebelumnya!$M$330:$M$772,BF$11,IuranDSSebelumnya!$L$330:$L$772,$M$5)&gt;0,
        VLOOKUP(CONCATENATE($K14,"|",BF$11,"|",$M$5),IuranDSSebelumnya!$I$330:$N$772,5,FALSE),
        IF(COUNTIFS(IuranDSSebelumnya!$J$330:$J$772,$K14,IuranDSSebelumnya!$M$330:$M$772,BF$11,IuranDSSebelumnya!$L$330:$L$772,"&lt;&gt;"&amp;$M$5)&gt;0,
              "Iuran dari Lingkungan lain",
              ""))</f>
        <v/>
      </c>
      <c r="BG14" s="47" t="str">
        <f>IF(COUNTIFS(IuranDSSebelumnya!$J$330:$J$772,$K14,IuranDSSebelumnya!$M$330:$M$772,BG$11,IuranDSSebelumnya!$L$330:$L$772,$M$5)&gt;0,
        VLOOKUP(CONCATENATE($K14,"|",BG$11,"|",$M$5),IuranDSSebelumnya!$I$330:$N$772,5,FALSE),
        IF(COUNTIFS(IuranDSSebelumnya!$J$330:$J$772,$K14,IuranDSSebelumnya!$M$330:$M$772,BG$11,IuranDSSebelumnya!$L$330:$L$772,"&lt;&gt;"&amp;$M$5)&gt;0,
              "Iuran dari Lingkungan lain",
              ""))</f>
        <v/>
      </c>
      <c r="BH14" s="47" t="str">
        <f>IF(COUNTIFS(IuranDSSebelumnya!$J$330:$J$772,$K14,IuranDSSebelumnya!$M$330:$M$772,BH$11,IuranDSSebelumnya!$L$330:$L$772,$M$5)&gt;0,
        VLOOKUP(CONCATENATE($K14,"|",BH$11,"|",$M$5),IuranDSSebelumnya!$I$330:$N$772,5,FALSE),
        IF(COUNTIFS(IuranDSSebelumnya!$J$330:$J$772,$K14,IuranDSSebelumnya!$M$330:$M$772,BH$11,IuranDSSebelumnya!$L$330:$L$772,"&lt;&gt;"&amp;$M$5)&gt;0,
              "Iuran dari Lingkungan lain",
              ""))</f>
        <v/>
      </c>
      <c r="BI14" s="47" t="str">
        <f>IF(COUNTIFS(IuranDSSebelumnya!$J$330:$J$772,$K14,IuranDSSebelumnya!$M$330:$M$772,BI$11,IuranDSSebelumnya!$L$330:$L$772,$M$5)&gt;0,
        VLOOKUP(CONCATENATE($K14,"|",BI$11,"|",$M$5),IuranDSSebelumnya!$I$330:$N$772,5,FALSE),
        IF(COUNTIFS(IuranDSSebelumnya!$J$330:$J$772,$K14,IuranDSSebelumnya!$M$330:$M$772,BI$11,IuranDSSebelumnya!$L$330:$L$772,"&lt;&gt;"&amp;$M$5)&gt;0,
              "Iuran dari Lingkungan lain",
              ""))</f>
        <v/>
      </c>
      <c r="BJ14" s="47" t="str">
        <f>IF(COUNTIFS(IuranDSSebelumnya!$J$330:$J$772,$K14,IuranDSSebelumnya!$M$330:$M$772,BJ$11,IuranDSSebelumnya!$L$330:$L$772,$M$5)&gt;0,
        VLOOKUP(CONCATENATE($K14,"|",BJ$11,"|",$M$5),IuranDSSebelumnya!$I$330:$N$772,5,FALSE),
        IF(COUNTIFS(IuranDSSebelumnya!$J$330:$J$772,$K14,IuranDSSebelumnya!$M$330:$M$772,BJ$11,IuranDSSebelumnya!$L$330:$L$772,"&lt;&gt;"&amp;$M$5)&gt;0,
              "Iuran dari Lingkungan lain",
              ""))</f>
        <v/>
      </c>
      <c r="BK14" s="47" t="str">
        <f>IF(COUNTIFS(IuranDSSebelumnya!$J$330:$J$772,$K14,IuranDSSebelumnya!$M$330:$M$772,BK$11,IuranDSSebelumnya!$L$330:$L$772,$M$5)&gt;0,
        VLOOKUP(CONCATENATE($K14,"|",BK$11,"|",$M$5),IuranDSSebelumnya!$I$330:$N$772,5,FALSE),
        IF(COUNTIFS(IuranDSSebelumnya!$J$330:$J$772,$K14,IuranDSSebelumnya!$M$330:$M$772,BK$11,IuranDSSebelumnya!$L$330:$L$772,"&lt;&gt;"&amp;$M$5)&gt;0,
              "Iuran dari Lingkungan lain",
              ""))</f>
        <v/>
      </c>
      <c r="BL14" s="47" t="str">
        <f>IF(COUNTIFS(IuranDSSebelumnya!$J$330:$J$772,$K14,IuranDSSebelumnya!$M$330:$M$772,BL$11,IuranDSSebelumnya!$L$330:$L$772,$M$5)&gt;0,
        VLOOKUP(CONCATENATE($K14,"|",BL$11,"|",$M$5),IuranDSSebelumnya!$I$330:$N$772,5,FALSE),
        IF(COUNTIFS(IuranDSSebelumnya!$J$330:$J$772,$K14,IuranDSSebelumnya!$M$330:$M$772,BL$11,IuranDSSebelumnya!$L$330:$L$772,"&lt;&gt;"&amp;$M$5)&gt;0,
              "Iuran dari Lingkungan lain",
              ""))</f>
        <v/>
      </c>
    </row>
    <row r="15" spans="1:64" x14ac:dyDescent="0.35">
      <c r="A15" s="30" t="s">
        <v>6063</v>
      </c>
      <c r="C15" s="30" t="b">
        <f t="shared" ca="1" si="16"/>
        <v>0</v>
      </c>
      <c r="D15" s="30" t="str">
        <f>"""TRUST Nav"",""HSPMTB2016"",""18"",""1"",""KK-05057"""</f>
        <v>"TRUST Nav","HSPMTB2016","18","1","KK-05057"</v>
      </c>
      <c r="H15" s="30">
        <f t="shared" si="17"/>
        <v>0</v>
      </c>
      <c r="J15" s="30">
        <f t="shared" si="18"/>
        <v>3</v>
      </c>
      <c r="K15" s="30" t="str">
        <f>"KK-05057"</f>
        <v>KK-05057</v>
      </c>
      <c r="L15" s="30" t="str">
        <f>"Angelo Edwin Salim"</f>
        <v>Angelo Edwin Salim</v>
      </c>
      <c r="M15" s="30"/>
      <c r="N15" s="3"/>
      <c r="O15" s="3"/>
      <c r="P15" s="3"/>
      <c r="Q15" s="3"/>
      <c r="R15" s="3"/>
      <c r="S15" s="3"/>
      <c r="T15" s="11"/>
      <c r="U15" s="4"/>
      <c r="V15" s="4"/>
      <c r="W15" s="4"/>
      <c r="X15" s="4"/>
      <c r="Y15" s="15"/>
      <c r="Z15" s="4"/>
      <c r="AA15" s="4"/>
      <c r="AB15" s="4"/>
      <c r="AC15" s="4"/>
      <c r="AD15" s="4"/>
      <c r="AE15" s="4"/>
      <c r="AF15" s="11"/>
      <c r="AG15" s="4"/>
      <c r="AH15" s="4"/>
      <c r="AI15" s="4"/>
      <c r="AJ15" s="4"/>
      <c r="AK15" s="4"/>
      <c r="AL15" s="9">
        <f t="shared" si="19"/>
        <v>0</v>
      </c>
      <c r="AO15" s="47" t="str">
        <f>IF(COUNTIFS(IuranDSSebelumnya!$J$330:$J$772,$K15,IuranDSSebelumnya!$M$330:$M$772,AO$11,IuranDSSebelumnya!$L$330:$L$772,$M$5)&gt;0,
        VLOOKUP(CONCATENATE($K15,"|",AO$11,"|",$M$5),IuranDSSebelumnya!$I$330:$N$772,5,FALSE),
        IF(COUNTIFS(IuranDSSebelumnya!$J$330:$J$772,$K15,IuranDSSebelumnya!$M$330:$M$772,AO$11,IuranDSSebelumnya!$L$330:$L$772,"&lt;&gt;"&amp;$M$5)&gt;0,
              "Iuran dari Lingkungan lain",
              ""))</f>
        <v/>
      </c>
      <c r="AP15" s="47" t="str">
        <f>IF(COUNTIFS(IuranDSSebelumnya!$J$330:$J$772,$K15,IuranDSSebelumnya!$M$330:$M$772,AP$11,IuranDSSebelumnya!$L$330:$L$772,$M$5)&gt;0,
        VLOOKUP(CONCATENATE($K15,"|",AP$11,"|",$M$5),IuranDSSebelumnya!$I$330:$N$772,5,FALSE),
        IF(COUNTIFS(IuranDSSebelumnya!$J$330:$J$772,$K15,IuranDSSebelumnya!$M$330:$M$772,AP$11,IuranDSSebelumnya!$L$330:$L$772,"&lt;&gt;"&amp;$M$5)&gt;0,
              "Iuran dari Lingkungan lain",
              ""))</f>
        <v/>
      </c>
      <c r="AQ15" s="47" t="str">
        <f>IF(COUNTIFS(IuranDSSebelumnya!$J$330:$J$772,$K15,IuranDSSebelumnya!$M$330:$M$772,AQ$11,IuranDSSebelumnya!$L$330:$L$772,$M$5)&gt;0,
        VLOOKUP(CONCATENATE($K15,"|",AQ$11,"|",$M$5),IuranDSSebelumnya!$I$330:$N$772,5,FALSE),
        IF(COUNTIFS(IuranDSSebelumnya!$J$330:$J$772,$K15,IuranDSSebelumnya!$M$330:$M$772,AQ$11,IuranDSSebelumnya!$L$330:$L$772,"&lt;&gt;"&amp;$M$5)&gt;0,
              "Iuran dari Lingkungan lain",
              ""))</f>
        <v/>
      </c>
      <c r="AR15" s="47" t="str">
        <f>IF(COUNTIFS(IuranDSSebelumnya!$J$330:$J$772,$K15,IuranDSSebelumnya!$M$330:$M$772,AR$11,IuranDSSebelumnya!$L$330:$L$772,$M$5)&gt;0,
        VLOOKUP(CONCATENATE($K15,"|",AR$11,"|",$M$5),IuranDSSebelumnya!$I$330:$N$772,5,FALSE),
        IF(COUNTIFS(IuranDSSebelumnya!$J$330:$J$772,$K15,IuranDSSebelumnya!$M$330:$M$772,AR$11,IuranDSSebelumnya!$L$330:$L$772,"&lt;&gt;"&amp;$M$5)&gt;0,
              "Iuran dari Lingkungan lain",
              ""))</f>
        <v/>
      </c>
      <c r="AS15" s="47" t="str">
        <f>IF(COUNTIFS(IuranDSSebelumnya!$J$330:$J$772,$K15,IuranDSSebelumnya!$M$330:$M$772,AS$11,IuranDSSebelumnya!$L$330:$L$772,$M$5)&gt;0,
        VLOOKUP(CONCATENATE($K15,"|",AS$11,"|",$M$5),IuranDSSebelumnya!$I$330:$N$772,5,FALSE),
        IF(COUNTIFS(IuranDSSebelumnya!$J$330:$J$772,$K15,IuranDSSebelumnya!$M$330:$M$772,AS$11,IuranDSSebelumnya!$L$330:$L$772,"&lt;&gt;"&amp;$M$5)&gt;0,
              "Iuran dari Lingkungan lain",
              ""))</f>
        <v/>
      </c>
      <c r="AT15" s="47" t="str">
        <f>IF(COUNTIFS(IuranDSSebelumnya!$J$330:$J$772,$K15,IuranDSSebelumnya!$M$330:$M$772,AT$11,IuranDSSebelumnya!$L$330:$L$772,$M$5)&gt;0,
        VLOOKUP(CONCATENATE($K15,"|",AT$11,"|",$M$5),IuranDSSebelumnya!$I$330:$N$772,5,FALSE),
        IF(COUNTIFS(IuranDSSebelumnya!$J$330:$J$772,$K15,IuranDSSebelumnya!$M$330:$M$772,AT$11,IuranDSSebelumnya!$L$330:$L$772,"&lt;&gt;"&amp;$M$5)&gt;0,
              "Iuran dari Lingkungan lain",
              ""))</f>
        <v/>
      </c>
      <c r="AU15" s="47" t="str">
        <f>IF(COUNTIFS(IuranDSSebelumnya!$J$330:$J$772,$K15,IuranDSSebelumnya!$M$330:$M$772,AU$11,IuranDSSebelumnya!$L$330:$L$772,$M$5)&gt;0,
        VLOOKUP(CONCATENATE($K15,"|",AU$11,"|",$M$5),IuranDSSebelumnya!$I$330:$N$772,5,FALSE),
        IF(COUNTIFS(IuranDSSebelumnya!$J$330:$J$772,$K15,IuranDSSebelumnya!$M$330:$M$772,AU$11,IuranDSSebelumnya!$L$330:$L$772,"&lt;&gt;"&amp;$M$5)&gt;0,
              "Iuran dari Lingkungan lain",
              ""))</f>
        <v/>
      </c>
      <c r="AV15" s="47" t="str">
        <f>IF(COUNTIFS(IuranDSSebelumnya!$J$330:$J$772,$K15,IuranDSSebelumnya!$M$330:$M$772,AV$11,IuranDSSebelumnya!$L$330:$L$772,$M$5)&gt;0,
        VLOOKUP(CONCATENATE($K15,"|",AV$11,"|",$M$5),IuranDSSebelumnya!$I$330:$N$772,5,FALSE),
        IF(COUNTIFS(IuranDSSebelumnya!$J$330:$J$772,$K15,IuranDSSebelumnya!$M$330:$M$772,AV$11,IuranDSSebelumnya!$L$330:$L$772,"&lt;&gt;"&amp;$M$5)&gt;0,
              "Iuran dari Lingkungan lain",
              ""))</f>
        <v/>
      </c>
      <c r="AW15" s="47" t="str">
        <f>IF(COUNTIFS(IuranDSSebelumnya!$J$330:$J$772,$K15,IuranDSSebelumnya!$M$330:$M$772,AW$11,IuranDSSebelumnya!$L$330:$L$772,$M$5)&gt;0,
        VLOOKUP(CONCATENATE($K15,"|",AW$11,"|",$M$5),IuranDSSebelumnya!$I$330:$N$772,5,FALSE),
        IF(COUNTIFS(IuranDSSebelumnya!$J$330:$J$772,$K15,IuranDSSebelumnya!$M$330:$M$772,AW$11,IuranDSSebelumnya!$L$330:$L$772,"&lt;&gt;"&amp;$M$5)&gt;0,
              "Iuran dari Lingkungan lain",
              ""))</f>
        <v/>
      </c>
      <c r="AX15" s="47" t="str">
        <f>IF(COUNTIFS(IuranDSSebelumnya!$J$330:$J$772,$K15,IuranDSSebelumnya!$M$330:$M$772,AX$11,IuranDSSebelumnya!$L$330:$L$772,$M$5)&gt;0,
        VLOOKUP(CONCATENATE($K15,"|",AX$11,"|",$M$5),IuranDSSebelumnya!$I$330:$N$772,5,FALSE),
        IF(COUNTIFS(IuranDSSebelumnya!$J$330:$J$772,$K15,IuranDSSebelumnya!$M$330:$M$772,AX$11,IuranDSSebelumnya!$L$330:$L$772,"&lt;&gt;"&amp;$M$5)&gt;0,
              "Iuran dari Lingkungan lain",
              ""))</f>
        <v/>
      </c>
      <c r="AY15" s="47" t="str">
        <f>IF(COUNTIFS(IuranDSSebelumnya!$J$330:$J$772,$K15,IuranDSSebelumnya!$M$330:$M$772,AY$11,IuranDSSebelumnya!$L$330:$L$772,$M$5)&gt;0,
        VLOOKUP(CONCATENATE($K15,"|",AY$11,"|",$M$5),IuranDSSebelumnya!$I$330:$N$772,5,FALSE),
        IF(COUNTIFS(IuranDSSebelumnya!$J$330:$J$772,$K15,IuranDSSebelumnya!$M$330:$M$772,AY$11,IuranDSSebelumnya!$L$330:$L$772,"&lt;&gt;"&amp;$M$5)&gt;0,
              "Iuran dari Lingkungan lain",
              ""))</f>
        <v/>
      </c>
      <c r="AZ15" s="47" t="str">
        <f>IF(COUNTIFS(IuranDSSebelumnya!$J$330:$J$772,$K15,IuranDSSebelumnya!$M$330:$M$772,AZ$11,IuranDSSebelumnya!$L$330:$L$772,$M$5)&gt;0,
        VLOOKUP(CONCATENATE($K15,"|",AZ$11,"|",$M$5),IuranDSSebelumnya!$I$330:$N$772,5,FALSE),
        IF(COUNTIFS(IuranDSSebelumnya!$J$330:$J$772,$K15,IuranDSSebelumnya!$M$330:$M$772,AZ$11,IuranDSSebelumnya!$L$330:$L$772,"&lt;&gt;"&amp;$M$5)&gt;0,
              "Iuran dari Lingkungan lain",
              ""))</f>
        <v/>
      </c>
      <c r="BA15" s="47" t="str">
        <f>IF(COUNTIFS(IuranDSSebelumnya!$J$330:$J$772,$K15,IuranDSSebelumnya!$M$330:$M$772,BA$11,IuranDSSebelumnya!$L$330:$L$772,$M$5)&gt;0,
        VLOOKUP(CONCATENATE($K15,"|",BA$11,"|",$M$5),IuranDSSebelumnya!$I$330:$N$772,5,FALSE),
        IF(COUNTIFS(IuranDSSebelumnya!$J$330:$J$772,$K15,IuranDSSebelumnya!$M$330:$M$772,BA$11,IuranDSSebelumnya!$L$330:$L$772,"&lt;&gt;"&amp;$M$5)&gt;0,
              "Iuran dari Lingkungan lain",
              ""))</f>
        <v/>
      </c>
      <c r="BB15" s="47" t="str">
        <f>IF(COUNTIFS(IuranDSSebelumnya!$J$330:$J$772,$K15,IuranDSSebelumnya!$M$330:$M$772,BB$11,IuranDSSebelumnya!$L$330:$L$772,$M$5)&gt;0,
        VLOOKUP(CONCATENATE($K15,"|",BB$11,"|",$M$5),IuranDSSebelumnya!$I$330:$N$772,5,FALSE),
        IF(COUNTIFS(IuranDSSebelumnya!$J$330:$J$772,$K15,IuranDSSebelumnya!$M$330:$M$772,BB$11,IuranDSSebelumnya!$L$330:$L$772,"&lt;&gt;"&amp;$M$5)&gt;0,
              "Iuran dari Lingkungan lain",
              ""))</f>
        <v/>
      </c>
      <c r="BC15" s="47" t="str">
        <f>IF(COUNTIFS(IuranDSSebelumnya!$J$330:$J$772,$K15,IuranDSSebelumnya!$M$330:$M$772,BC$11,IuranDSSebelumnya!$L$330:$L$772,$M$5)&gt;0,
        VLOOKUP(CONCATENATE($K15,"|",BC$11,"|",$M$5),IuranDSSebelumnya!$I$330:$N$772,5,FALSE),
        IF(COUNTIFS(IuranDSSebelumnya!$J$330:$J$772,$K15,IuranDSSebelumnya!$M$330:$M$772,BC$11,IuranDSSebelumnya!$L$330:$L$772,"&lt;&gt;"&amp;$M$5)&gt;0,
              "Iuran dari Lingkungan lain",
              ""))</f>
        <v/>
      </c>
      <c r="BD15" s="47" t="str">
        <f>IF(COUNTIFS(IuranDSSebelumnya!$J$330:$J$772,$K15,IuranDSSebelumnya!$M$330:$M$772,BD$11,IuranDSSebelumnya!$L$330:$L$772,$M$5)&gt;0,
        VLOOKUP(CONCATENATE($K15,"|",BD$11,"|",$M$5),IuranDSSebelumnya!$I$330:$N$772,5,FALSE),
        IF(COUNTIFS(IuranDSSebelumnya!$J$330:$J$772,$K15,IuranDSSebelumnya!$M$330:$M$772,BD$11,IuranDSSebelumnya!$L$330:$L$772,"&lt;&gt;"&amp;$M$5)&gt;0,
              "Iuran dari Lingkungan lain",
              ""))</f>
        <v/>
      </c>
      <c r="BE15" s="47" t="str">
        <f>IF(COUNTIFS(IuranDSSebelumnya!$J$330:$J$772,$K15,IuranDSSebelumnya!$M$330:$M$772,BE$11,IuranDSSebelumnya!$L$330:$L$772,$M$5)&gt;0,
        VLOOKUP(CONCATENATE($K15,"|",BE$11,"|",$M$5),IuranDSSebelumnya!$I$330:$N$772,5,FALSE),
        IF(COUNTIFS(IuranDSSebelumnya!$J$330:$J$772,$K15,IuranDSSebelumnya!$M$330:$M$772,BE$11,IuranDSSebelumnya!$L$330:$L$772,"&lt;&gt;"&amp;$M$5)&gt;0,
              "Iuran dari Lingkungan lain",
              ""))</f>
        <v/>
      </c>
      <c r="BF15" s="47" t="str">
        <f>IF(COUNTIFS(IuranDSSebelumnya!$J$330:$J$772,$K15,IuranDSSebelumnya!$M$330:$M$772,BF$11,IuranDSSebelumnya!$L$330:$L$772,$M$5)&gt;0,
        VLOOKUP(CONCATENATE($K15,"|",BF$11,"|",$M$5),IuranDSSebelumnya!$I$330:$N$772,5,FALSE),
        IF(COUNTIFS(IuranDSSebelumnya!$J$330:$J$772,$K15,IuranDSSebelumnya!$M$330:$M$772,BF$11,IuranDSSebelumnya!$L$330:$L$772,"&lt;&gt;"&amp;$M$5)&gt;0,
              "Iuran dari Lingkungan lain",
              ""))</f>
        <v/>
      </c>
      <c r="BG15" s="47" t="str">
        <f>IF(COUNTIFS(IuranDSSebelumnya!$J$330:$J$772,$K15,IuranDSSebelumnya!$M$330:$M$772,BG$11,IuranDSSebelumnya!$L$330:$L$772,$M$5)&gt;0,
        VLOOKUP(CONCATENATE($K15,"|",BG$11,"|",$M$5),IuranDSSebelumnya!$I$330:$N$772,5,FALSE),
        IF(COUNTIFS(IuranDSSebelumnya!$J$330:$J$772,$K15,IuranDSSebelumnya!$M$330:$M$772,BG$11,IuranDSSebelumnya!$L$330:$L$772,"&lt;&gt;"&amp;$M$5)&gt;0,
              "Iuran dari Lingkungan lain",
              ""))</f>
        <v/>
      </c>
      <c r="BH15" s="47" t="str">
        <f>IF(COUNTIFS(IuranDSSebelumnya!$J$330:$J$772,$K15,IuranDSSebelumnya!$M$330:$M$772,BH$11,IuranDSSebelumnya!$L$330:$L$772,$M$5)&gt;0,
        VLOOKUP(CONCATENATE($K15,"|",BH$11,"|",$M$5),IuranDSSebelumnya!$I$330:$N$772,5,FALSE),
        IF(COUNTIFS(IuranDSSebelumnya!$J$330:$J$772,$K15,IuranDSSebelumnya!$M$330:$M$772,BH$11,IuranDSSebelumnya!$L$330:$L$772,"&lt;&gt;"&amp;$M$5)&gt;0,
              "Iuran dari Lingkungan lain",
              ""))</f>
        <v/>
      </c>
      <c r="BI15" s="47" t="str">
        <f>IF(COUNTIFS(IuranDSSebelumnya!$J$330:$J$772,$K15,IuranDSSebelumnya!$M$330:$M$772,BI$11,IuranDSSebelumnya!$L$330:$L$772,$M$5)&gt;0,
        VLOOKUP(CONCATENATE($K15,"|",BI$11,"|",$M$5),IuranDSSebelumnya!$I$330:$N$772,5,FALSE),
        IF(COUNTIFS(IuranDSSebelumnya!$J$330:$J$772,$K15,IuranDSSebelumnya!$M$330:$M$772,BI$11,IuranDSSebelumnya!$L$330:$L$772,"&lt;&gt;"&amp;$M$5)&gt;0,
              "Iuran dari Lingkungan lain",
              ""))</f>
        <v/>
      </c>
      <c r="BJ15" s="47" t="str">
        <f>IF(COUNTIFS(IuranDSSebelumnya!$J$330:$J$772,$K15,IuranDSSebelumnya!$M$330:$M$772,BJ$11,IuranDSSebelumnya!$L$330:$L$772,$M$5)&gt;0,
        VLOOKUP(CONCATENATE($K15,"|",BJ$11,"|",$M$5),IuranDSSebelumnya!$I$330:$N$772,5,FALSE),
        IF(COUNTIFS(IuranDSSebelumnya!$J$330:$J$772,$K15,IuranDSSebelumnya!$M$330:$M$772,BJ$11,IuranDSSebelumnya!$L$330:$L$772,"&lt;&gt;"&amp;$M$5)&gt;0,
              "Iuran dari Lingkungan lain",
              ""))</f>
        <v/>
      </c>
      <c r="BK15" s="47" t="str">
        <f>IF(COUNTIFS(IuranDSSebelumnya!$J$330:$J$772,$K15,IuranDSSebelumnya!$M$330:$M$772,BK$11,IuranDSSebelumnya!$L$330:$L$772,$M$5)&gt;0,
        VLOOKUP(CONCATENATE($K15,"|",BK$11,"|",$M$5),IuranDSSebelumnya!$I$330:$N$772,5,FALSE),
        IF(COUNTIFS(IuranDSSebelumnya!$J$330:$J$772,$K15,IuranDSSebelumnya!$M$330:$M$772,BK$11,IuranDSSebelumnya!$L$330:$L$772,"&lt;&gt;"&amp;$M$5)&gt;0,
              "Iuran dari Lingkungan lain",
              ""))</f>
        <v/>
      </c>
      <c r="BL15" s="47" t="str">
        <f>IF(COUNTIFS(IuranDSSebelumnya!$J$330:$J$772,$K15,IuranDSSebelumnya!$M$330:$M$772,BL$11,IuranDSSebelumnya!$L$330:$L$772,$M$5)&gt;0,
        VLOOKUP(CONCATENATE($K15,"|",BL$11,"|",$M$5),IuranDSSebelumnya!$I$330:$N$772,5,FALSE),
        IF(COUNTIFS(IuranDSSebelumnya!$J$330:$J$772,$K15,IuranDSSebelumnya!$M$330:$M$772,BL$11,IuranDSSebelumnya!$L$330:$L$772,"&lt;&gt;"&amp;$M$5)&gt;0,
              "Iuran dari Lingkungan lain",
              ""))</f>
        <v/>
      </c>
    </row>
    <row r="16" spans="1:64" x14ac:dyDescent="0.35">
      <c r="A16" s="30" t="s">
        <v>6063</v>
      </c>
      <c r="C16" s="30" t="b">
        <f t="shared" ca="1" si="16"/>
        <v>0</v>
      </c>
      <c r="D16" s="30" t="str">
        <f>"""TRUST Nav"",""HSPMTB2016"",""18"",""1"",""KK-05055"""</f>
        <v>"TRUST Nav","HSPMTB2016","18","1","KK-05055"</v>
      </c>
      <c r="H16" s="30">
        <f t="shared" si="17"/>
        <v>0</v>
      </c>
      <c r="J16" s="30">
        <f t="shared" si="18"/>
        <v>4</v>
      </c>
      <c r="K16" s="30" t="str">
        <f>"KK-05055"</f>
        <v>KK-05055</v>
      </c>
      <c r="L16" s="30" t="str">
        <f>"Antonius Eliseus Rasi Wanggae"</f>
        <v>Antonius Eliseus Rasi Wanggae</v>
      </c>
      <c r="M16" s="30"/>
      <c r="N16" s="3"/>
      <c r="O16" s="3"/>
      <c r="P16" s="3"/>
      <c r="Q16" s="3"/>
      <c r="R16" s="3"/>
      <c r="S16" s="3"/>
      <c r="T16" s="11"/>
      <c r="U16" s="4"/>
      <c r="V16" s="4"/>
      <c r="W16" s="4"/>
      <c r="X16" s="4"/>
      <c r="Y16" s="15"/>
      <c r="Z16" s="4"/>
      <c r="AA16" s="4"/>
      <c r="AB16" s="4"/>
      <c r="AC16" s="4"/>
      <c r="AD16" s="4"/>
      <c r="AE16" s="4"/>
      <c r="AF16" s="11"/>
      <c r="AG16" s="4"/>
      <c r="AH16" s="4"/>
      <c r="AI16" s="4"/>
      <c r="AJ16" s="4"/>
      <c r="AK16" s="4"/>
      <c r="AL16" s="9">
        <f t="shared" si="19"/>
        <v>0</v>
      </c>
      <c r="AO16" s="47" t="str">
        <f>IF(COUNTIFS(IuranDSSebelumnya!$J$330:$J$772,$K16,IuranDSSebelumnya!$M$330:$M$772,AO$11,IuranDSSebelumnya!$L$330:$L$772,$M$5)&gt;0,
        VLOOKUP(CONCATENATE($K16,"|",AO$11,"|",$M$5),IuranDSSebelumnya!$I$330:$N$772,5,FALSE),
        IF(COUNTIFS(IuranDSSebelumnya!$J$330:$J$772,$K16,IuranDSSebelumnya!$M$330:$M$772,AO$11,IuranDSSebelumnya!$L$330:$L$772,"&lt;&gt;"&amp;$M$5)&gt;0,
              "Iuran dari Lingkungan lain",
              ""))</f>
        <v/>
      </c>
      <c r="AP16" s="47" t="str">
        <f>IF(COUNTIFS(IuranDSSebelumnya!$J$330:$J$772,$K16,IuranDSSebelumnya!$M$330:$M$772,AP$11,IuranDSSebelumnya!$L$330:$L$772,$M$5)&gt;0,
        VLOOKUP(CONCATENATE($K16,"|",AP$11,"|",$M$5),IuranDSSebelumnya!$I$330:$N$772,5,FALSE),
        IF(COUNTIFS(IuranDSSebelumnya!$J$330:$J$772,$K16,IuranDSSebelumnya!$M$330:$M$772,AP$11,IuranDSSebelumnya!$L$330:$L$772,"&lt;&gt;"&amp;$M$5)&gt;0,
              "Iuran dari Lingkungan lain",
              ""))</f>
        <v/>
      </c>
      <c r="AQ16" s="47" t="str">
        <f>IF(COUNTIFS(IuranDSSebelumnya!$J$330:$J$772,$K16,IuranDSSebelumnya!$M$330:$M$772,AQ$11,IuranDSSebelumnya!$L$330:$L$772,$M$5)&gt;0,
        VLOOKUP(CONCATENATE($K16,"|",AQ$11,"|",$M$5),IuranDSSebelumnya!$I$330:$N$772,5,FALSE),
        IF(COUNTIFS(IuranDSSebelumnya!$J$330:$J$772,$K16,IuranDSSebelumnya!$M$330:$M$772,AQ$11,IuranDSSebelumnya!$L$330:$L$772,"&lt;&gt;"&amp;$M$5)&gt;0,
              "Iuran dari Lingkungan lain",
              ""))</f>
        <v/>
      </c>
      <c r="AR16" s="47" t="str">
        <f>IF(COUNTIFS(IuranDSSebelumnya!$J$330:$J$772,$K16,IuranDSSebelumnya!$M$330:$M$772,AR$11,IuranDSSebelumnya!$L$330:$L$772,$M$5)&gt;0,
        VLOOKUP(CONCATENATE($K16,"|",AR$11,"|",$M$5),IuranDSSebelumnya!$I$330:$N$772,5,FALSE),
        IF(COUNTIFS(IuranDSSebelumnya!$J$330:$J$772,$K16,IuranDSSebelumnya!$M$330:$M$772,AR$11,IuranDSSebelumnya!$L$330:$L$772,"&lt;&gt;"&amp;$M$5)&gt;0,
              "Iuran dari Lingkungan lain",
              ""))</f>
        <v/>
      </c>
      <c r="AS16" s="47" t="str">
        <f>IF(COUNTIFS(IuranDSSebelumnya!$J$330:$J$772,$K16,IuranDSSebelumnya!$M$330:$M$772,AS$11,IuranDSSebelumnya!$L$330:$L$772,$M$5)&gt;0,
        VLOOKUP(CONCATENATE($K16,"|",AS$11,"|",$M$5),IuranDSSebelumnya!$I$330:$N$772,5,FALSE),
        IF(COUNTIFS(IuranDSSebelumnya!$J$330:$J$772,$K16,IuranDSSebelumnya!$M$330:$M$772,AS$11,IuranDSSebelumnya!$L$330:$L$772,"&lt;&gt;"&amp;$M$5)&gt;0,
              "Iuran dari Lingkungan lain",
              ""))</f>
        <v/>
      </c>
      <c r="AT16" s="47" t="str">
        <f>IF(COUNTIFS(IuranDSSebelumnya!$J$330:$J$772,$K16,IuranDSSebelumnya!$M$330:$M$772,AT$11,IuranDSSebelumnya!$L$330:$L$772,$M$5)&gt;0,
        VLOOKUP(CONCATENATE($K16,"|",AT$11,"|",$M$5),IuranDSSebelumnya!$I$330:$N$772,5,FALSE),
        IF(COUNTIFS(IuranDSSebelumnya!$J$330:$J$772,$K16,IuranDSSebelumnya!$M$330:$M$772,AT$11,IuranDSSebelumnya!$L$330:$L$772,"&lt;&gt;"&amp;$M$5)&gt;0,
              "Iuran dari Lingkungan lain",
              ""))</f>
        <v/>
      </c>
      <c r="AU16" s="47" t="str">
        <f>IF(COUNTIFS(IuranDSSebelumnya!$J$330:$J$772,$K16,IuranDSSebelumnya!$M$330:$M$772,AU$11,IuranDSSebelumnya!$L$330:$L$772,$M$5)&gt;0,
        VLOOKUP(CONCATENATE($K16,"|",AU$11,"|",$M$5),IuranDSSebelumnya!$I$330:$N$772,5,FALSE),
        IF(COUNTIFS(IuranDSSebelumnya!$J$330:$J$772,$K16,IuranDSSebelumnya!$M$330:$M$772,AU$11,IuranDSSebelumnya!$L$330:$L$772,"&lt;&gt;"&amp;$M$5)&gt;0,
              "Iuran dari Lingkungan lain",
              ""))</f>
        <v/>
      </c>
      <c r="AV16" s="47" t="str">
        <f>IF(COUNTIFS(IuranDSSebelumnya!$J$330:$J$772,$K16,IuranDSSebelumnya!$M$330:$M$772,AV$11,IuranDSSebelumnya!$L$330:$L$772,$M$5)&gt;0,
        VLOOKUP(CONCATENATE($K16,"|",AV$11,"|",$M$5),IuranDSSebelumnya!$I$330:$N$772,5,FALSE),
        IF(COUNTIFS(IuranDSSebelumnya!$J$330:$J$772,$K16,IuranDSSebelumnya!$M$330:$M$772,AV$11,IuranDSSebelumnya!$L$330:$L$772,"&lt;&gt;"&amp;$M$5)&gt;0,
              "Iuran dari Lingkungan lain",
              ""))</f>
        <v/>
      </c>
      <c r="AW16" s="47" t="str">
        <f>IF(COUNTIFS(IuranDSSebelumnya!$J$330:$J$772,$K16,IuranDSSebelumnya!$M$330:$M$772,AW$11,IuranDSSebelumnya!$L$330:$L$772,$M$5)&gt;0,
        VLOOKUP(CONCATENATE($K16,"|",AW$11,"|",$M$5),IuranDSSebelumnya!$I$330:$N$772,5,FALSE),
        IF(COUNTIFS(IuranDSSebelumnya!$J$330:$J$772,$K16,IuranDSSebelumnya!$M$330:$M$772,AW$11,IuranDSSebelumnya!$L$330:$L$772,"&lt;&gt;"&amp;$M$5)&gt;0,
              "Iuran dari Lingkungan lain",
              ""))</f>
        <v/>
      </c>
      <c r="AX16" s="47" t="str">
        <f>IF(COUNTIFS(IuranDSSebelumnya!$J$330:$J$772,$K16,IuranDSSebelumnya!$M$330:$M$772,AX$11,IuranDSSebelumnya!$L$330:$L$772,$M$5)&gt;0,
        VLOOKUP(CONCATENATE($K16,"|",AX$11,"|",$M$5),IuranDSSebelumnya!$I$330:$N$772,5,FALSE),
        IF(COUNTIFS(IuranDSSebelumnya!$J$330:$J$772,$K16,IuranDSSebelumnya!$M$330:$M$772,AX$11,IuranDSSebelumnya!$L$330:$L$772,"&lt;&gt;"&amp;$M$5)&gt;0,
              "Iuran dari Lingkungan lain",
              ""))</f>
        <v/>
      </c>
      <c r="AY16" s="47" t="str">
        <f>IF(COUNTIFS(IuranDSSebelumnya!$J$330:$J$772,$K16,IuranDSSebelumnya!$M$330:$M$772,AY$11,IuranDSSebelumnya!$L$330:$L$772,$M$5)&gt;0,
        VLOOKUP(CONCATENATE($K16,"|",AY$11,"|",$M$5),IuranDSSebelumnya!$I$330:$N$772,5,FALSE),
        IF(COUNTIFS(IuranDSSebelumnya!$J$330:$J$772,$K16,IuranDSSebelumnya!$M$330:$M$772,AY$11,IuranDSSebelumnya!$L$330:$L$772,"&lt;&gt;"&amp;$M$5)&gt;0,
              "Iuran dari Lingkungan lain",
              ""))</f>
        <v/>
      </c>
      <c r="AZ16" s="47" t="str">
        <f>IF(COUNTIFS(IuranDSSebelumnya!$J$330:$J$772,$K16,IuranDSSebelumnya!$M$330:$M$772,AZ$11,IuranDSSebelumnya!$L$330:$L$772,$M$5)&gt;0,
        VLOOKUP(CONCATENATE($K16,"|",AZ$11,"|",$M$5),IuranDSSebelumnya!$I$330:$N$772,5,FALSE),
        IF(COUNTIFS(IuranDSSebelumnya!$J$330:$J$772,$K16,IuranDSSebelumnya!$M$330:$M$772,AZ$11,IuranDSSebelumnya!$L$330:$L$772,"&lt;&gt;"&amp;$M$5)&gt;0,
              "Iuran dari Lingkungan lain",
              ""))</f>
        <v/>
      </c>
      <c r="BA16" s="47" t="str">
        <f>IF(COUNTIFS(IuranDSSebelumnya!$J$330:$J$772,$K16,IuranDSSebelumnya!$M$330:$M$772,BA$11,IuranDSSebelumnya!$L$330:$L$772,$M$5)&gt;0,
        VLOOKUP(CONCATENATE($K16,"|",BA$11,"|",$M$5),IuranDSSebelumnya!$I$330:$N$772,5,FALSE),
        IF(COUNTIFS(IuranDSSebelumnya!$J$330:$J$772,$K16,IuranDSSebelumnya!$M$330:$M$772,BA$11,IuranDSSebelumnya!$L$330:$L$772,"&lt;&gt;"&amp;$M$5)&gt;0,
              "Iuran dari Lingkungan lain",
              ""))</f>
        <v/>
      </c>
      <c r="BB16" s="47" t="str">
        <f>IF(COUNTIFS(IuranDSSebelumnya!$J$330:$J$772,$K16,IuranDSSebelumnya!$M$330:$M$772,BB$11,IuranDSSebelumnya!$L$330:$L$772,$M$5)&gt;0,
        VLOOKUP(CONCATENATE($K16,"|",BB$11,"|",$M$5),IuranDSSebelumnya!$I$330:$N$772,5,FALSE),
        IF(COUNTIFS(IuranDSSebelumnya!$J$330:$J$772,$K16,IuranDSSebelumnya!$M$330:$M$772,BB$11,IuranDSSebelumnya!$L$330:$L$772,"&lt;&gt;"&amp;$M$5)&gt;0,
              "Iuran dari Lingkungan lain",
              ""))</f>
        <v/>
      </c>
      <c r="BC16" s="47" t="str">
        <f>IF(COUNTIFS(IuranDSSebelumnya!$J$330:$J$772,$K16,IuranDSSebelumnya!$M$330:$M$772,BC$11,IuranDSSebelumnya!$L$330:$L$772,$M$5)&gt;0,
        VLOOKUP(CONCATENATE($K16,"|",BC$11,"|",$M$5),IuranDSSebelumnya!$I$330:$N$772,5,FALSE),
        IF(COUNTIFS(IuranDSSebelumnya!$J$330:$J$772,$K16,IuranDSSebelumnya!$M$330:$M$772,BC$11,IuranDSSebelumnya!$L$330:$L$772,"&lt;&gt;"&amp;$M$5)&gt;0,
              "Iuran dari Lingkungan lain",
              ""))</f>
        <v/>
      </c>
      <c r="BD16" s="47" t="str">
        <f>IF(COUNTIFS(IuranDSSebelumnya!$J$330:$J$772,$K16,IuranDSSebelumnya!$M$330:$M$772,BD$11,IuranDSSebelumnya!$L$330:$L$772,$M$5)&gt;0,
        VLOOKUP(CONCATENATE($K16,"|",BD$11,"|",$M$5),IuranDSSebelumnya!$I$330:$N$772,5,FALSE),
        IF(COUNTIFS(IuranDSSebelumnya!$J$330:$J$772,$K16,IuranDSSebelumnya!$M$330:$M$772,BD$11,IuranDSSebelumnya!$L$330:$L$772,"&lt;&gt;"&amp;$M$5)&gt;0,
              "Iuran dari Lingkungan lain",
              ""))</f>
        <v/>
      </c>
      <c r="BE16" s="47" t="str">
        <f>IF(COUNTIFS(IuranDSSebelumnya!$J$330:$J$772,$K16,IuranDSSebelumnya!$M$330:$M$772,BE$11,IuranDSSebelumnya!$L$330:$L$772,$M$5)&gt;0,
        VLOOKUP(CONCATENATE($K16,"|",BE$11,"|",$M$5),IuranDSSebelumnya!$I$330:$N$772,5,FALSE),
        IF(COUNTIFS(IuranDSSebelumnya!$J$330:$J$772,$K16,IuranDSSebelumnya!$M$330:$M$772,BE$11,IuranDSSebelumnya!$L$330:$L$772,"&lt;&gt;"&amp;$M$5)&gt;0,
              "Iuran dari Lingkungan lain",
              ""))</f>
        <v/>
      </c>
      <c r="BF16" s="47" t="str">
        <f>IF(COUNTIFS(IuranDSSebelumnya!$J$330:$J$772,$K16,IuranDSSebelumnya!$M$330:$M$772,BF$11,IuranDSSebelumnya!$L$330:$L$772,$M$5)&gt;0,
        VLOOKUP(CONCATENATE($K16,"|",BF$11,"|",$M$5),IuranDSSebelumnya!$I$330:$N$772,5,FALSE),
        IF(COUNTIFS(IuranDSSebelumnya!$J$330:$J$772,$K16,IuranDSSebelumnya!$M$330:$M$772,BF$11,IuranDSSebelumnya!$L$330:$L$772,"&lt;&gt;"&amp;$M$5)&gt;0,
              "Iuran dari Lingkungan lain",
              ""))</f>
        <v/>
      </c>
      <c r="BG16" s="47" t="str">
        <f>IF(COUNTIFS(IuranDSSebelumnya!$J$330:$J$772,$K16,IuranDSSebelumnya!$M$330:$M$772,BG$11,IuranDSSebelumnya!$L$330:$L$772,$M$5)&gt;0,
        VLOOKUP(CONCATENATE($K16,"|",BG$11,"|",$M$5),IuranDSSebelumnya!$I$330:$N$772,5,FALSE),
        IF(COUNTIFS(IuranDSSebelumnya!$J$330:$J$772,$K16,IuranDSSebelumnya!$M$330:$M$772,BG$11,IuranDSSebelumnya!$L$330:$L$772,"&lt;&gt;"&amp;$M$5)&gt;0,
              "Iuran dari Lingkungan lain",
              ""))</f>
        <v/>
      </c>
      <c r="BH16" s="47" t="str">
        <f>IF(COUNTIFS(IuranDSSebelumnya!$J$330:$J$772,$K16,IuranDSSebelumnya!$M$330:$M$772,BH$11,IuranDSSebelumnya!$L$330:$L$772,$M$5)&gt;0,
        VLOOKUP(CONCATENATE($K16,"|",BH$11,"|",$M$5),IuranDSSebelumnya!$I$330:$N$772,5,FALSE),
        IF(COUNTIFS(IuranDSSebelumnya!$J$330:$J$772,$K16,IuranDSSebelumnya!$M$330:$M$772,BH$11,IuranDSSebelumnya!$L$330:$L$772,"&lt;&gt;"&amp;$M$5)&gt;0,
              "Iuran dari Lingkungan lain",
              ""))</f>
        <v/>
      </c>
      <c r="BI16" s="47" t="str">
        <f>IF(COUNTIFS(IuranDSSebelumnya!$J$330:$J$772,$K16,IuranDSSebelumnya!$M$330:$M$772,BI$11,IuranDSSebelumnya!$L$330:$L$772,$M$5)&gt;0,
        VLOOKUP(CONCATENATE($K16,"|",BI$11,"|",$M$5),IuranDSSebelumnya!$I$330:$N$772,5,FALSE),
        IF(COUNTIFS(IuranDSSebelumnya!$J$330:$J$772,$K16,IuranDSSebelumnya!$M$330:$M$772,BI$11,IuranDSSebelumnya!$L$330:$L$772,"&lt;&gt;"&amp;$M$5)&gt;0,
              "Iuran dari Lingkungan lain",
              ""))</f>
        <v/>
      </c>
      <c r="BJ16" s="47" t="str">
        <f>IF(COUNTIFS(IuranDSSebelumnya!$J$330:$J$772,$K16,IuranDSSebelumnya!$M$330:$M$772,BJ$11,IuranDSSebelumnya!$L$330:$L$772,$M$5)&gt;0,
        VLOOKUP(CONCATENATE($K16,"|",BJ$11,"|",$M$5),IuranDSSebelumnya!$I$330:$N$772,5,FALSE),
        IF(COUNTIFS(IuranDSSebelumnya!$J$330:$J$772,$K16,IuranDSSebelumnya!$M$330:$M$772,BJ$11,IuranDSSebelumnya!$L$330:$L$772,"&lt;&gt;"&amp;$M$5)&gt;0,
              "Iuran dari Lingkungan lain",
              ""))</f>
        <v/>
      </c>
      <c r="BK16" s="47" t="str">
        <f>IF(COUNTIFS(IuranDSSebelumnya!$J$330:$J$772,$K16,IuranDSSebelumnya!$M$330:$M$772,BK$11,IuranDSSebelumnya!$L$330:$L$772,$M$5)&gt;0,
        VLOOKUP(CONCATENATE($K16,"|",BK$11,"|",$M$5),IuranDSSebelumnya!$I$330:$N$772,5,FALSE),
        IF(COUNTIFS(IuranDSSebelumnya!$J$330:$J$772,$K16,IuranDSSebelumnya!$M$330:$M$772,BK$11,IuranDSSebelumnya!$L$330:$L$772,"&lt;&gt;"&amp;$M$5)&gt;0,
              "Iuran dari Lingkungan lain",
              ""))</f>
        <v/>
      </c>
      <c r="BL16" s="47" t="str">
        <f>IF(COUNTIFS(IuranDSSebelumnya!$J$330:$J$772,$K16,IuranDSSebelumnya!$M$330:$M$772,BL$11,IuranDSSebelumnya!$L$330:$L$772,$M$5)&gt;0,
        VLOOKUP(CONCATENATE($K16,"|",BL$11,"|",$M$5),IuranDSSebelumnya!$I$330:$N$772,5,FALSE),
        IF(COUNTIFS(IuranDSSebelumnya!$J$330:$J$772,$K16,IuranDSSebelumnya!$M$330:$M$772,BL$11,IuranDSSebelumnya!$L$330:$L$772,"&lt;&gt;"&amp;$M$5)&gt;0,
              "Iuran dari Lingkungan lain",
              ""))</f>
        <v/>
      </c>
    </row>
    <row r="17" spans="1:64" x14ac:dyDescent="0.35">
      <c r="A17" s="30" t="s">
        <v>6063</v>
      </c>
      <c r="C17" s="30" t="b">
        <f t="shared" ca="1" si="16"/>
        <v>0</v>
      </c>
      <c r="D17" s="30" t="str">
        <f>"""TRUST Nav"",""HSPMTB2016"",""18"",""1"",""KK-04597"""</f>
        <v>"TRUST Nav","HSPMTB2016","18","1","KK-04597"</v>
      </c>
      <c r="H17" s="30">
        <f t="shared" si="17"/>
        <v>0</v>
      </c>
      <c r="J17" s="30">
        <f t="shared" si="18"/>
        <v>5</v>
      </c>
      <c r="K17" s="30" t="str">
        <f>"KK-04597"</f>
        <v>KK-04597</v>
      </c>
      <c r="L17" s="30" t="str">
        <f>"Arief Wibawa"</f>
        <v>Arief Wibawa</v>
      </c>
      <c r="M17" s="30"/>
      <c r="N17" s="129"/>
      <c r="O17" s="129"/>
      <c r="P17" s="129"/>
      <c r="Q17" s="129"/>
      <c r="R17" s="129"/>
      <c r="S17" s="129"/>
      <c r="T17" s="130"/>
      <c r="U17" s="131"/>
      <c r="V17" s="131"/>
      <c r="W17" s="131"/>
      <c r="X17" s="131"/>
      <c r="Y17" s="132"/>
      <c r="Z17" s="131"/>
      <c r="AA17" s="131"/>
      <c r="AB17" s="131"/>
      <c r="AC17" s="4"/>
      <c r="AD17" s="4"/>
      <c r="AE17" s="4"/>
      <c r="AF17" s="11"/>
      <c r="AG17" s="4"/>
      <c r="AH17" s="4"/>
      <c r="AI17" s="4"/>
      <c r="AJ17" s="4"/>
      <c r="AK17" s="4"/>
      <c r="AL17" s="9">
        <f t="shared" si="19"/>
        <v>0</v>
      </c>
      <c r="AO17" s="47">
        <f>IF(COUNTIFS(IuranDSSebelumnya!$J$330:$J$772,$K17,IuranDSSebelumnya!$M$330:$M$772,AO$11,IuranDSSebelumnya!$L$330:$L$772,$M$5)&gt;0,
        VLOOKUP(CONCATENATE($K17,"|",AO$11,"|",$M$5),IuranDSSebelumnya!$I$330:$N$772,5,FALSE),
        IF(COUNTIFS(IuranDSSebelumnya!$J$330:$J$772,$K17,IuranDSSebelumnya!$M$330:$M$772,AO$11,IuranDSSebelumnya!$L$330:$L$772,"&lt;&gt;"&amp;$M$5)&gt;0,
              "Iuran dari Lingkungan lain",
              ""))</f>
        <v>42186</v>
      </c>
      <c r="AP17" s="47">
        <f>IF(COUNTIFS(IuranDSSebelumnya!$J$330:$J$772,$K17,IuranDSSebelumnya!$M$330:$M$772,AP$11,IuranDSSebelumnya!$L$330:$L$772,$M$5)&gt;0,
        VLOOKUP(CONCATENATE($K17,"|",AP$11,"|",$M$5),IuranDSSebelumnya!$I$330:$N$772,5,FALSE),
        IF(COUNTIFS(IuranDSSebelumnya!$J$330:$J$772,$K17,IuranDSSebelumnya!$M$330:$M$772,AP$11,IuranDSSebelumnya!$L$330:$L$772,"&lt;&gt;"&amp;$M$5)&gt;0,
              "Iuran dari Lingkungan lain",
              ""))</f>
        <v>42217</v>
      </c>
      <c r="AQ17" s="47">
        <f>IF(COUNTIFS(IuranDSSebelumnya!$J$330:$J$772,$K17,IuranDSSebelumnya!$M$330:$M$772,AQ$11,IuranDSSebelumnya!$L$330:$L$772,$M$5)&gt;0,
        VLOOKUP(CONCATENATE($K17,"|",AQ$11,"|",$M$5),IuranDSSebelumnya!$I$330:$N$772,5,FALSE),
        IF(COUNTIFS(IuranDSSebelumnya!$J$330:$J$772,$K17,IuranDSSebelumnya!$M$330:$M$772,AQ$11,IuranDSSebelumnya!$L$330:$L$772,"&lt;&gt;"&amp;$M$5)&gt;0,
              "Iuran dari Lingkungan lain",
              ""))</f>
        <v>42248</v>
      </c>
      <c r="AR17" s="47">
        <f>IF(COUNTIFS(IuranDSSebelumnya!$J$330:$J$772,$K17,IuranDSSebelumnya!$M$330:$M$772,AR$11,IuranDSSebelumnya!$L$330:$L$772,$M$5)&gt;0,
        VLOOKUP(CONCATENATE($K17,"|",AR$11,"|",$M$5),IuranDSSebelumnya!$I$330:$N$772,5,FALSE),
        IF(COUNTIFS(IuranDSSebelumnya!$J$330:$J$772,$K17,IuranDSSebelumnya!$M$330:$M$772,AR$11,IuranDSSebelumnya!$L$330:$L$772,"&lt;&gt;"&amp;$M$5)&gt;0,
              "Iuran dari Lingkungan lain",
              ""))</f>
        <v>42278</v>
      </c>
      <c r="AS17" s="47">
        <f>IF(COUNTIFS(IuranDSSebelumnya!$J$330:$J$772,$K17,IuranDSSebelumnya!$M$330:$M$772,AS$11,IuranDSSebelumnya!$L$330:$L$772,$M$5)&gt;0,
        VLOOKUP(CONCATENATE($K17,"|",AS$11,"|",$M$5),IuranDSSebelumnya!$I$330:$N$772,5,FALSE),
        IF(COUNTIFS(IuranDSSebelumnya!$J$330:$J$772,$K17,IuranDSSebelumnya!$M$330:$M$772,AS$11,IuranDSSebelumnya!$L$330:$L$772,"&lt;&gt;"&amp;$M$5)&gt;0,
              "Iuran dari Lingkungan lain",
              ""))</f>
        <v>42309</v>
      </c>
      <c r="AT17" s="47">
        <f>IF(COUNTIFS(IuranDSSebelumnya!$J$330:$J$772,$K17,IuranDSSebelumnya!$M$330:$M$772,AT$11,IuranDSSebelumnya!$L$330:$L$772,$M$5)&gt;0,
        VLOOKUP(CONCATENATE($K17,"|",AT$11,"|",$M$5),IuranDSSebelumnya!$I$330:$N$772,5,FALSE),
        IF(COUNTIFS(IuranDSSebelumnya!$J$330:$J$772,$K17,IuranDSSebelumnya!$M$330:$M$772,AT$11,IuranDSSebelumnya!$L$330:$L$772,"&lt;&gt;"&amp;$M$5)&gt;0,
              "Iuran dari Lingkungan lain",
              ""))</f>
        <v>42339</v>
      </c>
      <c r="AU17" s="47">
        <f>IF(COUNTIFS(IuranDSSebelumnya!$J$330:$J$772,$K17,IuranDSSebelumnya!$M$330:$M$772,AU$11,IuranDSSebelumnya!$L$330:$L$772,$M$5)&gt;0,
        VLOOKUP(CONCATENATE($K17,"|",AU$11,"|",$M$5),IuranDSSebelumnya!$I$330:$N$772,5,FALSE),
        IF(COUNTIFS(IuranDSSebelumnya!$J$330:$J$772,$K17,IuranDSSebelumnya!$M$330:$M$772,AU$11,IuranDSSebelumnya!$L$330:$L$772,"&lt;&gt;"&amp;$M$5)&gt;0,
              "Iuran dari Lingkungan lain",
              ""))</f>
        <v>42370</v>
      </c>
      <c r="AV17" s="47">
        <f>IF(COUNTIFS(IuranDSSebelumnya!$J$330:$J$772,$K17,IuranDSSebelumnya!$M$330:$M$772,AV$11,IuranDSSebelumnya!$L$330:$L$772,$M$5)&gt;0,
        VLOOKUP(CONCATENATE($K17,"|",AV$11,"|",$M$5),IuranDSSebelumnya!$I$330:$N$772,5,FALSE),
        IF(COUNTIFS(IuranDSSebelumnya!$J$330:$J$772,$K17,IuranDSSebelumnya!$M$330:$M$772,AV$11,IuranDSSebelumnya!$L$330:$L$772,"&lt;&gt;"&amp;$M$5)&gt;0,
              "Iuran dari Lingkungan lain",
              ""))</f>
        <v>42401</v>
      </c>
      <c r="AW17" s="47">
        <f>IF(COUNTIFS(IuranDSSebelumnya!$J$330:$J$772,$K17,IuranDSSebelumnya!$M$330:$M$772,AW$11,IuranDSSebelumnya!$L$330:$L$772,$M$5)&gt;0,
        VLOOKUP(CONCATENATE($K17,"|",AW$11,"|",$M$5),IuranDSSebelumnya!$I$330:$N$772,5,FALSE),
        IF(COUNTIFS(IuranDSSebelumnya!$J$330:$J$772,$K17,IuranDSSebelumnya!$M$330:$M$772,AW$11,IuranDSSebelumnya!$L$330:$L$772,"&lt;&gt;"&amp;$M$5)&gt;0,
              "Iuran dari Lingkungan lain",
              ""))</f>
        <v>42430</v>
      </c>
      <c r="AX17" s="47">
        <f>IF(COUNTIFS(IuranDSSebelumnya!$J$330:$J$772,$K17,IuranDSSebelumnya!$M$330:$M$772,AX$11,IuranDSSebelumnya!$L$330:$L$772,$M$5)&gt;0,
        VLOOKUP(CONCATENATE($K17,"|",AX$11,"|",$M$5),IuranDSSebelumnya!$I$330:$N$772,5,FALSE),
        IF(COUNTIFS(IuranDSSebelumnya!$J$330:$J$772,$K17,IuranDSSebelumnya!$M$330:$M$772,AX$11,IuranDSSebelumnya!$L$330:$L$772,"&lt;&gt;"&amp;$M$5)&gt;0,
              "Iuran dari Lingkungan lain",
              ""))</f>
        <v>42461</v>
      </c>
      <c r="AY17" s="47">
        <f>IF(COUNTIFS(IuranDSSebelumnya!$J$330:$J$772,$K17,IuranDSSebelumnya!$M$330:$M$772,AY$11,IuranDSSebelumnya!$L$330:$L$772,$M$5)&gt;0,
        VLOOKUP(CONCATENATE($K17,"|",AY$11,"|",$M$5),IuranDSSebelumnya!$I$330:$N$772,5,FALSE),
        IF(COUNTIFS(IuranDSSebelumnya!$J$330:$J$772,$K17,IuranDSSebelumnya!$M$330:$M$772,AY$11,IuranDSSebelumnya!$L$330:$L$772,"&lt;&gt;"&amp;$M$5)&gt;0,
              "Iuran dari Lingkungan lain",
              ""))</f>
        <v>42491</v>
      </c>
      <c r="AZ17" s="47">
        <f>IF(COUNTIFS(IuranDSSebelumnya!$J$330:$J$772,$K17,IuranDSSebelumnya!$M$330:$M$772,AZ$11,IuranDSSebelumnya!$L$330:$L$772,$M$5)&gt;0,
        VLOOKUP(CONCATENATE($K17,"|",AZ$11,"|",$M$5),IuranDSSebelumnya!$I$330:$N$772,5,FALSE),
        IF(COUNTIFS(IuranDSSebelumnya!$J$330:$J$772,$K17,IuranDSSebelumnya!$M$330:$M$772,AZ$11,IuranDSSebelumnya!$L$330:$L$772,"&lt;&gt;"&amp;$M$5)&gt;0,
              "Iuran dari Lingkungan lain",
              ""))</f>
        <v>42522</v>
      </c>
      <c r="BA17" s="47">
        <f>IF(COUNTIFS(IuranDSSebelumnya!$J$330:$J$772,$K17,IuranDSSebelumnya!$M$330:$M$772,BA$11,IuranDSSebelumnya!$L$330:$L$772,$M$5)&gt;0,
        VLOOKUP(CONCATENATE($K17,"|",BA$11,"|",$M$5),IuranDSSebelumnya!$I$330:$N$772,5,FALSE),
        IF(COUNTIFS(IuranDSSebelumnya!$J$330:$J$772,$K17,IuranDSSebelumnya!$M$330:$M$772,BA$11,IuranDSSebelumnya!$L$330:$L$772,"&lt;&gt;"&amp;$M$5)&gt;0,
              "Iuran dari Lingkungan lain",
              ""))</f>
        <v>42552</v>
      </c>
      <c r="BB17" s="47">
        <f>IF(COUNTIFS(IuranDSSebelumnya!$J$330:$J$772,$K17,IuranDSSebelumnya!$M$330:$M$772,BB$11,IuranDSSebelumnya!$L$330:$L$772,$M$5)&gt;0,
        VLOOKUP(CONCATENATE($K17,"|",BB$11,"|",$M$5),IuranDSSebelumnya!$I$330:$N$772,5,FALSE),
        IF(COUNTIFS(IuranDSSebelumnya!$J$330:$J$772,$K17,IuranDSSebelumnya!$M$330:$M$772,BB$11,IuranDSSebelumnya!$L$330:$L$772,"&lt;&gt;"&amp;$M$5)&gt;0,
              "Iuran dari Lingkungan lain",
              ""))</f>
        <v>42583</v>
      </c>
      <c r="BC17" s="47">
        <f>IF(COUNTIFS(IuranDSSebelumnya!$J$330:$J$772,$K17,IuranDSSebelumnya!$M$330:$M$772,BC$11,IuranDSSebelumnya!$L$330:$L$772,$M$5)&gt;0,
        VLOOKUP(CONCATENATE($K17,"|",BC$11,"|",$M$5),IuranDSSebelumnya!$I$330:$N$772,5,FALSE),
        IF(COUNTIFS(IuranDSSebelumnya!$J$330:$J$772,$K17,IuranDSSebelumnya!$M$330:$M$772,BC$11,IuranDSSebelumnya!$L$330:$L$772,"&lt;&gt;"&amp;$M$5)&gt;0,
              "Iuran dari Lingkungan lain",
              ""))</f>
        <v>42614</v>
      </c>
      <c r="BD17" s="47" t="str">
        <f>IF(COUNTIFS(IuranDSSebelumnya!$J$330:$J$772,$K17,IuranDSSebelumnya!$M$330:$M$772,BD$11,IuranDSSebelumnya!$L$330:$L$772,$M$5)&gt;0,
        VLOOKUP(CONCATENATE($K17,"|",BD$11,"|",$M$5),IuranDSSebelumnya!$I$330:$N$772,5,FALSE),
        IF(COUNTIFS(IuranDSSebelumnya!$J$330:$J$772,$K17,IuranDSSebelumnya!$M$330:$M$772,BD$11,IuranDSSebelumnya!$L$330:$L$772,"&lt;&gt;"&amp;$M$5)&gt;0,
              "Iuran dari Lingkungan lain",
              ""))</f>
        <v/>
      </c>
      <c r="BE17" s="47" t="str">
        <f>IF(COUNTIFS(IuranDSSebelumnya!$J$330:$J$772,$K17,IuranDSSebelumnya!$M$330:$M$772,BE$11,IuranDSSebelumnya!$L$330:$L$772,$M$5)&gt;0,
        VLOOKUP(CONCATENATE($K17,"|",BE$11,"|",$M$5),IuranDSSebelumnya!$I$330:$N$772,5,FALSE),
        IF(COUNTIFS(IuranDSSebelumnya!$J$330:$J$772,$K17,IuranDSSebelumnya!$M$330:$M$772,BE$11,IuranDSSebelumnya!$L$330:$L$772,"&lt;&gt;"&amp;$M$5)&gt;0,
              "Iuran dari Lingkungan lain",
              ""))</f>
        <v/>
      </c>
      <c r="BF17" s="47" t="str">
        <f>IF(COUNTIFS(IuranDSSebelumnya!$J$330:$J$772,$K17,IuranDSSebelumnya!$M$330:$M$772,BF$11,IuranDSSebelumnya!$L$330:$L$772,$M$5)&gt;0,
        VLOOKUP(CONCATENATE($K17,"|",BF$11,"|",$M$5),IuranDSSebelumnya!$I$330:$N$772,5,FALSE),
        IF(COUNTIFS(IuranDSSebelumnya!$J$330:$J$772,$K17,IuranDSSebelumnya!$M$330:$M$772,BF$11,IuranDSSebelumnya!$L$330:$L$772,"&lt;&gt;"&amp;$M$5)&gt;0,
              "Iuran dari Lingkungan lain",
              ""))</f>
        <v/>
      </c>
      <c r="BG17" s="47" t="str">
        <f>IF(COUNTIFS(IuranDSSebelumnya!$J$330:$J$772,$K17,IuranDSSebelumnya!$M$330:$M$772,BG$11,IuranDSSebelumnya!$L$330:$L$772,$M$5)&gt;0,
        VLOOKUP(CONCATENATE($K17,"|",BG$11,"|",$M$5),IuranDSSebelumnya!$I$330:$N$772,5,FALSE),
        IF(COUNTIFS(IuranDSSebelumnya!$J$330:$J$772,$K17,IuranDSSebelumnya!$M$330:$M$772,BG$11,IuranDSSebelumnya!$L$330:$L$772,"&lt;&gt;"&amp;$M$5)&gt;0,
              "Iuran dari Lingkungan lain",
              ""))</f>
        <v/>
      </c>
      <c r="BH17" s="47" t="str">
        <f>IF(COUNTIFS(IuranDSSebelumnya!$J$330:$J$772,$K17,IuranDSSebelumnya!$M$330:$M$772,BH$11,IuranDSSebelumnya!$L$330:$L$772,$M$5)&gt;0,
        VLOOKUP(CONCATENATE($K17,"|",BH$11,"|",$M$5),IuranDSSebelumnya!$I$330:$N$772,5,FALSE),
        IF(COUNTIFS(IuranDSSebelumnya!$J$330:$J$772,$K17,IuranDSSebelumnya!$M$330:$M$772,BH$11,IuranDSSebelumnya!$L$330:$L$772,"&lt;&gt;"&amp;$M$5)&gt;0,
              "Iuran dari Lingkungan lain",
              ""))</f>
        <v/>
      </c>
      <c r="BI17" s="47" t="str">
        <f>IF(COUNTIFS(IuranDSSebelumnya!$J$330:$J$772,$K17,IuranDSSebelumnya!$M$330:$M$772,BI$11,IuranDSSebelumnya!$L$330:$L$772,$M$5)&gt;0,
        VLOOKUP(CONCATENATE($K17,"|",BI$11,"|",$M$5),IuranDSSebelumnya!$I$330:$N$772,5,FALSE),
        IF(COUNTIFS(IuranDSSebelumnya!$J$330:$J$772,$K17,IuranDSSebelumnya!$M$330:$M$772,BI$11,IuranDSSebelumnya!$L$330:$L$772,"&lt;&gt;"&amp;$M$5)&gt;0,
              "Iuran dari Lingkungan lain",
              ""))</f>
        <v/>
      </c>
      <c r="BJ17" s="47" t="str">
        <f>IF(COUNTIFS(IuranDSSebelumnya!$J$330:$J$772,$K17,IuranDSSebelumnya!$M$330:$M$772,BJ$11,IuranDSSebelumnya!$L$330:$L$772,$M$5)&gt;0,
        VLOOKUP(CONCATENATE($K17,"|",BJ$11,"|",$M$5),IuranDSSebelumnya!$I$330:$N$772,5,FALSE),
        IF(COUNTIFS(IuranDSSebelumnya!$J$330:$J$772,$K17,IuranDSSebelumnya!$M$330:$M$772,BJ$11,IuranDSSebelumnya!$L$330:$L$772,"&lt;&gt;"&amp;$M$5)&gt;0,
              "Iuran dari Lingkungan lain",
              ""))</f>
        <v/>
      </c>
      <c r="BK17" s="47" t="str">
        <f>IF(COUNTIFS(IuranDSSebelumnya!$J$330:$J$772,$K17,IuranDSSebelumnya!$M$330:$M$772,BK$11,IuranDSSebelumnya!$L$330:$L$772,$M$5)&gt;0,
        VLOOKUP(CONCATENATE($K17,"|",BK$11,"|",$M$5),IuranDSSebelumnya!$I$330:$N$772,5,FALSE),
        IF(COUNTIFS(IuranDSSebelumnya!$J$330:$J$772,$K17,IuranDSSebelumnya!$M$330:$M$772,BK$11,IuranDSSebelumnya!$L$330:$L$772,"&lt;&gt;"&amp;$M$5)&gt;0,
              "Iuran dari Lingkungan lain",
              ""))</f>
        <v/>
      </c>
      <c r="BL17" s="47" t="str">
        <f>IF(COUNTIFS(IuranDSSebelumnya!$J$330:$J$772,$K17,IuranDSSebelumnya!$M$330:$M$772,BL$11,IuranDSSebelumnya!$L$330:$L$772,$M$5)&gt;0,
        VLOOKUP(CONCATENATE($K17,"|",BL$11,"|",$M$5),IuranDSSebelumnya!$I$330:$N$772,5,FALSE),
        IF(COUNTIFS(IuranDSSebelumnya!$J$330:$J$772,$K17,IuranDSSebelumnya!$M$330:$M$772,BL$11,IuranDSSebelumnya!$L$330:$L$772,"&lt;&gt;"&amp;$M$5)&gt;0,
              "Iuran dari Lingkungan lain",
              ""))</f>
        <v/>
      </c>
    </row>
    <row r="18" spans="1:64" x14ac:dyDescent="0.35">
      <c r="A18" s="30" t="s">
        <v>6063</v>
      </c>
      <c r="C18" s="30" t="b">
        <f t="shared" ca="1" si="16"/>
        <v>0</v>
      </c>
      <c r="D18" s="30" t="str">
        <f>"""TRUST Nav"",""HSPMTB2016"",""18"",""1"",""KK-04599"""</f>
        <v>"TRUST Nav","HSPMTB2016","18","1","KK-04599"</v>
      </c>
      <c r="H18" s="30">
        <f t="shared" si="17"/>
        <v>0</v>
      </c>
      <c r="J18" s="30">
        <f t="shared" si="18"/>
        <v>6</v>
      </c>
      <c r="K18" s="30" t="str">
        <f>"KK-04599"</f>
        <v>KK-04599</v>
      </c>
      <c r="L18" s="30" t="str">
        <f>"Bernardus Yogie Dirga Gunawan"</f>
        <v>Bernardus Yogie Dirga Gunawan</v>
      </c>
      <c r="M18" s="30"/>
      <c r="N18" s="129"/>
      <c r="O18" s="129"/>
      <c r="P18" s="129"/>
      <c r="Q18" s="129"/>
      <c r="R18" s="129"/>
      <c r="S18" s="129"/>
      <c r="T18" s="130"/>
      <c r="U18" s="131"/>
      <c r="V18" s="131"/>
      <c r="W18" s="131"/>
      <c r="X18" s="131"/>
      <c r="Y18" s="132"/>
      <c r="Z18" s="131"/>
      <c r="AA18" s="131"/>
      <c r="AB18" s="131"/>
      <c r="AC18" s="4"/>
      <c r="AD18" s="4"/>
      <c r="AE18" s="4"/>
      <c r="AF18" s="11"/>
      <c r="AG18" s="4"/>
      <c r="AH18" s="4"/>
      <c r="AI18" s="4"/>
      <c r="AJ18" s="4"/>
      <c r="AK18" s="4"/>
      <c r="AL18" s="9">
        <f t="shared" si="19"/>
        <v>0</v>
      </c>
      <c r="AO18" s="47">
        <f>IF(COUNTIFS(IuranDSSebelumnya!$J$330:$J$772,$K18,IuranDSSebelumnya!$M$330:$M$772,AO$11,IuranDSSebelumnya!$L$330:$L$772,$M$5)&gt;0,
        VLOOKUP(CONCATENATE($K18,"|",AO$11,"|",$M$5),IuranDSSebelumnya!$I$330:$N$772,5,FALSE),
        IF(COUNTIFS(IuranDSSebelumnya!$J$330:$J$772,$K18,IuranDSSebelumnya!$M$330:$M$772,AO$11,IuranDSSebelumnya!$L$330:$L$772,"&lt;&gt;"&amp;$M$5)&gt;0,
              "Iuran dari Lingkungan lain",
              ""))</f>
        <v>42186</v>
      </c>
      <c r="AP18" s="47">
        <f>IF(COUNTIFS(IuranDSSebelumnya!$J$330:$J$772,$K18,IuranDSSebelumnya!$M$330:$M$772,AP$11,IuranDSSebelumnya!$L$330:$L$772,$M$5)&gt;0,
        VLOOKUP(CONCATENATE($K18,"|",AP$11,"|",$M$5),IuranDSSebelumnya!$I$330:$N$772,5,FALSE),
        IF(COUNTIFS(IuranDSSebelumnya!$J$330:$J$772,$K18,IuranDSSebelumnya!$M$330:$M$772,AP$11,IuranDSSebelumnya!$L$330:$L$772,"&lt;&gt;"&amp;$M$5)&gt;0,
              "Iuran dari Lingkungan lain",
              ""))</f>
        <v>42217</v>
      </c>
      <c r="AQ18" s="47">
        <f>IF(COUNTIFS(IuranDSSebelumnya!$J$330:$J$772,$K18,IuranDSSebelumnya!$M$330:$M$772,AQ$11,IuranDSSebelumnya!$L$330:$L$772,$M$5)&gt;0,
        VLOOKUP(CONCATENATE($K18,"|",AQ$11,"|",$M$5),IuranDSSebelumnya!$I$330:$N$772,5,FALSE),
        IF(COUNTIFS(IuranDSSebelumnya!$J$330:$J$772,$K18,IuranDSSebelumnya!$M$330:$M$772,AQ$11,IuranDSSebelumnya!$L$330:$L$772,"&lt;&gt;"&amp;$M$5)&gt;0,
              "Iuran dari Lingkungan lain",
              ""))</f>
        <v>42248</v>
      </c>
      <c r="AR18" s="47">
        <f>IF(COUNTIFS(IuranDSSebelumnya!$J$330:$J$772,$K18,IuranDSSebelumnya!$M$330:$M$772,AR$11,IuranDSSebelumnya!$L$330:$L$772,$M$5)&gt;0,
        VLOOKUP(CONCATENATE($K18,"|",AR$11,"|",$M$5),IuranDSSebelumnya!$I$330:$N$772,5,FALSE),
        IF(COUNTIFS(IuranDSSebelumnya!$J$330:$J$772,$K18,IuranDSSebelumnya!$M$330:$M$772,AR$11,IuranDSSebelumnya!$L$330:$L$772,"&lt;&gt;"&amp;$M$5)&gt;0,
              "Iuran dari Lingkungan lain",
              ""))</f>
        <v>42278</v>
      </c>
      <c r="AS18" s="47">
        <f>IF(COUNTIFS(IuranDSSebelumnya!$J$330:$J$772,$K18,IuranDSSebelumnya!$M$330:$M$772,AS$11,IuranDSSebelumnya!$L$330:$L$772,$M$5)&gt;0,
        VLOOKUP(CONCATENATE($K18,"|",AS$11,"|",$M$5),IuranDSSebelumnya!$I$330:$N$772,5,FALSE),
        IF(COUNTIFS(IuranDSSebelumnya!$J$330:$J$772,$K18,IuranDSSebelumnya!$M$330:$M$772,AS$11,IuranDSSebelumnya!$L$330:$L$772,"&lt;&gt;"&amp;$M$5)&gt;0,
              "Iuran dari Lingkungan lain",
              ""))</f>
        <v>42309</v>
      </c>
      <c r="AT18" s="47">
        <f>IF(COUNTIFS(IuranDSSebelumnya!$J$330:$J$772,$K18,IuranDSSebelumnya!$M$330:$M$772,AT$11,IuranDSSebelumnya!$L$330:$L$772,$M$5)&gt;0,
        VLOOKUP(CONCATENATE($K18,"|",AT$11,"|",$M$5),IuranDSSebelumnya!$I$330:$N$772,5,FALSE),
        IF(COUNTIFS(IuranDSSebelumnya!$J$330:$J$772,$K18,IuranDSSebelumnya!$M$330:$M$772,AT$11,IuranDSSebelumnya!$L$330:$L$772,"&lt;&gt;"&amp;$M$5)&gt;0,
              "Iuran dari Lingkungan lain",
              ""))</f>
        <v>42339</v>
      </c>
      <c r="AU18" s="47">
        <f>IF(COUNTIFS(IuranDSSebelumnya!$J$330:$J$772,$K18,IuranDSSebelumnya!$M$330:$M$772,AU$11,IuranDSSebelumnya!$L$330:$L$772,$M$5)&gt;0,
        VLOOKUP(CONCATENATE($K18,"|",AU$11,"|",$M$5),IuranDSSebelumnya!$I$330:$N$772,5,FALSE),
        IF(COUNTIFS(IuranDSSebelumnya!$J$330:$J$772,$K18,IuranDSSebelumnya!$M$330:$M$772,AU$11,IuranDSSebelumnya!$L$330:$L$772,"&lt;&gt;"&amp;$M$5)&gt;0,
              "Iuran dari Lingkungan lain",
              ""))</f>
        <v>42370</v>
      </c>
      <c r="AV18" s="47">
        <f>IF(COUNTIFS(IuranDSSebelumnya!$J$330:$J$772,$K18,IuranDSSebelumnya!$M$330:$M$772,AV$11,IuranDSSebelumnya!$L$330:$L$772,$M$5)&gt;0,
        VLOOKUP(CONCATENATE($K18,"|",AV$11,"|",$M$5),IuranDSSebelumnya!$I$330:$N$772,5,FALSE),
        IF(COUNTIFS(IuranDSSebelumnya!$J$330:$J$772,$K18,IuranDSSebelumnya!$M$330:$M$772,AV$11,IuranDSSebelumnya!$L$330:$L$772,"&lt;&gt;"&amp;$M$5)&gt;0,
              "Iuran dari Lingkungan lain",
              ""))</f>
        <v>42401</v>
      </c>
      <c r="AW18" s="47">
        <f>IF(COUNTIFS(IuranDSSebelumnya!$J$330:$J$772,$K18,IuranDSSebelumnya!$M$330:$M$772,AW$11,IuranDSSebelumnya!$L$330:$L$772,$M$5)&gt;0,
        VLOOKUP(CONCATENATE($K18,"|",AW$11,"|",$M$5),IuranDSSebelumnya!$I$330:$N$772,5,FALSE),
        IF(COUNTIFS(IuranDSSebelumnya!$J$330:$J$772,$K18,IuranDSSebelumnya!$M$330:$M$772,AW$11,IuranDSSebelumnya!$L$330:$L$772,"&lt;&gt;"&amp;$M$5)&gt;0,
              "Iuran dari Lingkungan lain",
              ""))</f>
        <v>42430</v>
      </c>
      <c r="AX18" s="47">
        <f>IF(COUNTIFS(IuranDSSebelumnya!$J$330:$J$772,$K18,IuranDSSebelumnya!$M$330:$M$772,AX$11,IuranDSSebelumnya!$L$330:$L$772,$M$5)&gt;0,
        VLOOKUP(CONCATENATE($K18,"|",AX$11,"|",$M$5),IuranDSSebelumnya!$I$330:$N$772,5,FALSE),
        IF(COUNTIFS(IuranDSSebelumnya!$J$330:$J$772,$K18,IuranDSSebelumnya!$M$330:$M$772,AX$11,IuranDSSebelumnya!$L$330:$L$772,"&lt;&gt;"&amp;$M$5)&gt;0,
              "Iuran dari Lingkungan lain",
              ""))</f>
        <v>42461</v>
      </c>
      <c r="AY18" s="47">
        <f>IF(COUNTIFS(IuranDSSebelumnya!$J$330:$J$772,$K18,IuranDSSebelumnya!$M$330:$M$772,AY$11,IuranDSSebelumnya!$L$330:$L$772,$M$5)&gt;0,
        VLOOKUP(CONCATENATE($K18,"|",AY$11,"|",$M$5),IuranDSSebelumnya!$I$330:$N$772,5,FALSE),
        IF(COUNTIFS(IuranDSSebelumnya!$J$330:$J$772,$K18,IuranDSSebelumnya!$M$330:$M$772,AY$11,IuranDSSebelumnya!$L$330:$L$772,"&lt;&gt;"&amp;$M$5)&gt;0,
              "Iuran dari Lingkungan lain",
              ""))</f>
        <v>42491</v>
      </c>
      <c r="AZ18" s="47">
        <f>IF(COUNTIFS(IuranDSSebelumnya!$J$330:$J$772,$K18,IuranDSSebelumnya!$M$330:$M$772,AZ$11,IuranDSSebelumnya!$L$330:$L$772,$M$5)&gt;0,
        VLOOKUP(CONCATENATE($K18,"|",AZ$11,"|",$M$5),IuranDSSebelumnya!$I$330:$N$772,5,FALSE),
        IF(COUNTIFS(IuranDSSebelumnya!$J$330:$J$772,$K18,IuranDSSebelumnya!$M$330:$M$772,AZ$11,IuranDSSebelumnya!$L$330:$L$772,"&lt;&gt;"&amp;$M$5)&gt;0,
              "Iuran dari Lingkungan lain",
              ""))</f>
        <v>42522</v>
      </c>
      <c r="BA18" s="47">
        <f>IF(COUNTIFS(IuranDSSebelumnya!$J$330:$J$772,$K18,IuranDSSebelumnya!$M$330:$M$772,BA$11,IuranDSSebelumnya!$L$330:$L$772,$M$5)&gt;0,
        VLOOKUP(CONCATENATE($K18,"|",BA$11,"|",$M$5),IuranDSSebelumnya!$I$330:$N$772,5,FALSE),
        IF(COUNTIFS(IuranDSSebelumnya!$J$330:$J$772,$K18,IuranDSSebelumnya!$M$330:$M$772,BA$11,IuranDSSebelumnya!$L$330:$L$772,"&lt;&gt;"&amp;$M$5)&gt;0,
              "Iuran dari Lingkungan lain",
              ""))</f>
        <v>42552</v>
      </c>
      <c r="BB18" s="47">
        <f>IF(COUNTIFS(IuranDSSebelumnya!$J$330:$J$772,$K18,IuranDSSebelumnya!$M$330:$M$772,BB$11,IuranDSSebelumnya!$L$330:$L$772,$M$5)&gt;0,
        VLOOKUP(CONCATENATE($K18,"|",BB$11,"|",$M$5),IuranDSSebelumnya!$I$330:$N$772,5,FALSE),
        IF(COUNTIFS(IuranDSSebelumnya!$J$330:$J$772,$K18,IuranDSSebelumnya!$M$330:$M$772,BB$11,IuranDSSebelumnya!$L$330:$L$772,"&lt;&gt;"&amp;$M$5)&gt;0,
              "Iuran dari Lingkungan lain",
              ""))</f>
        <v>42583</v>
      </c>
      <c r="BC18" s="47">
        <f>IF(COUNTIFS(IuranDSSebelumnya!$J$330:$J$772,$K18,IuranDSSebelumnya!$M$330:$M$772,BC$11,IuranDSSebelumnya!$L$330:$L$772,$M$5)&gt;0,
        VLOOKUP(CONCATENATE($K18,"|",BC$11,"|",$M$5),IuranDSSebelumnya!$I$330:$N$772,5,FALSE),
        IF(COUNTIFS(IuranDSSebelumnya!$J$330:$J$772,$K18,IuranDSSebelumnya!$M$330:$M$772,BC$11,IuranDSSebelumnya!$L$330:$L$772,"&lt;&gt;"&amp;$M$5)&gt;0,
              "Iuran dari Lingkungan lain",
              ""))</f>
        <v>42614</v>
      </c>
      <c r="BD18" s="47" t="str">
        <f>IF(COUNTIFS(IuranDSSebelumnya!$J$330:$J$772,$K18,IuranDSSebelumnya!$M$330:$M$772,BD$11,IuranDSSebelumnya!$L$330:$L$772,$M$5)&gt;0,
        VLOOKUP(CONCATENATE($K18,"|",BD$11,"|",$M$5),IuranDSSebelumnya!$I$330:$N$772,5,FALSE),
        IF(COUNTIFS(IuranDSSebelumnya!$J$330:$J$772,$K18,IuranDSSebelumnya!$M$330:$M$772,BD$11,IuranDSSebelumnya!$L$330:$L$772,"&lt;&gt;"&amp;$M$5)&gt;0,
              "Iuran dari Lingkungan lain",
              ""))</f>
        <v/>
      </c>
      <c r="BE18" s="47" t="str">
        <f>IF(COUNTIFS(IuranDSSebelumnya!$J$330:$J$772,$K18,IuranDSSebelumnya!$M$330:$M$772,BE$11,IuranDSSebelumnya!$L$330:$L$772,$M$5)&gt;0,
        VLOOKUP(CONCATENATE($K18,"|",BE$11,"|",$M$5),IuranDSSebelumnya!$I$330:$N$772,5,FALSE),
        IF(COUNTIFS(IuranDSSebelumnya!$J$330:$J$772,$K18,IuranDSSebelumnya!$M$330:$M$772,BE$11,IuranDSSebelumnya!$L$330:$L$772,"&lt;&gt;"&amp;$M$5)&gt;0,
              "Iuran dari Lingkungan lain",
              ""))</f>
        <v/>
      </c>
      <c r="BF18" s="47" t="str">
        <f>IF(COUNTIFS(IuranDSSebelumnya!$J$330:$J$772,$K18,IuranDSSebelumnya!$M$330:$M$772,BF$11,IuranDSSebelumnya!$L$330:$L$772,$M$5)&gt;0,
        VLOOKUP(CONCATENATE($K18,"|",BF$11,"|",$M$5),IuranDSSebelumnya!$I$330:$N$772,5,FALSE),
        IF(COUNTIFS(IuranDSSebelumnya!$J$330:$J$772,$K18,IuranDSSebelumnya!$M$330:$M$772,BF$11,IuranDSSebelumnya!$L$330:$L$772,"&lt;&gt;"&amp;$M$5)&gt;0,
              "Iuran dari Lingkungan lain",
              ""))</f>
        <v/>
      </c>
      <c r="BG18" s="47" t="str">
        <f>IF(COUNTIFS(IuranDSSebelumnya!$J$330:$J$772,$K18,IuranDSSebelumnya!$M$330:$M$772,BG$11,IuranDSSebelumnya!$L$330:$L$772,$M$5)&gt;0,
        VLOOKUP(CONCATENATE($K18,"|",BG$11,"|",$M$5),IuranDSSebelumnya!$I$330:$N$772,5,FALSE),
        IF(COUNTIFS(IuranDSSebelumnya!$J$330:$J$772,$K18,IuranDSSebelumnya!$M$330:$M$772,BG$11,IuranDSSebelumnya!$L$330:$L$772,"&lt;&gt;"&amp;$M$5)&gt;0,
              "Iuran dari Lingkungan lain",
              ""))</f>
        <v/>
      </c>
      <c r="BH18" s="47" t="str">
        <f>IF(COUNTIFS(IuranDSSebelumnya!$J$330:$J$772,$K18,IuranDSSebelumnya!$M$330:$M$772,BH$11,IuranDSSebelumnya!$L$330:$L$772,$M$5)&gt;0,
        VLOOKUP(CONCATENATE($K18,"|",BH$11,"|",$M$5),IuranDSSebelumnya!$I$330:$N$772,5,FALSE),
        IF(COUNTIFS(IuranDSSebelumnya!$J$330:$J$772,$K18,IuranDSSebelumnya!$M$330:$M$772,BH$11,IuranDSSebelumnya!$L$330:$L$772,"&lt;&gt;"&amp;$M$5)&gt;0,
              "Iuran dari Lingkungan lain",
              ""))</f>
        <v/>
      </c>
      <c r="BI18" s="47" t="str">
        <f>IF(COUNTIFS(IuranDSSebelumnya!$J$330:$J$772,$K18,IuranDSSebelumnya!$M$330:$M$772,BI$11,IuranDSSebelumnya!$L$330:$L$772,$M$5)&gt;0,
        VLOOKUP(CONCATENATE($K18,"|",BI$11,"|",$M$5),IuranDSSebelumnya!$I$330:$N$772,5,FALSE),
        IF(COUNTIFS(IuranDSSebelumnya!$J$330:$J$772,$K18,IuranDSSebelumnya!$M$330:$M$772,BI$11,IuranDSSebelumnya!$L$330:$L$772,"&lt;&gt;"&amp;$M$5)&gt;0,
              "Iuran dari Lingkungan lain",
              ""))</f>
        <v/>
      </c>
      <c r="BJ18" s="47" t="str">
        <f>IF(COUNTIFS(IuranDSSebelumnya!$J$330:$J$772,$K18,IuranDSSebelumnya!$M$330:$M$772,BJ$11,IuranDSSebelumnya!$L$330:$L$772,$M$5)&gt;0,
        VLOOKUP(CONCATENATE($K18,"|",BJ$11,"|",$M$5),IuranDSSebelumnya!$I$330:$N$772,5,FALSE),
        IF(COUNTIFS(IuranDSSebelumnya!$J$330:$J$772,$K18,IuranDSSebelumnya!$M$330:$M$772,BJ$11,IuranDSSebelumnya!$L$330:$L$772,"&lt;&gt;"&amp;$M$5)&gt;0,
              "Iuran dari Lingkungan lain",
              ""))</f>
        <v/>
      </c>
      <c r="BK18" s="47" t="str">
        <f>IF(COUNTIFS(IuranDSSebelumnya!$J$330:$J$772,$K18,IuranDSSebelumnya!$M$330:$M$772,BK$11,IuranDSSebelumnya!$L$330:$L$772,$M$5)&gt;0,
        VLOOKUP(CONCATENATE($K18,"|",BK$11,"|",$M$5),IuranDSSebelumnya!$I$330:$N$772,5,FALSE),
        IF(COUNTIFS(IuranDSSebelumnya!$J$330:$J$772,$K18,IuranDSSebelumnya!$M$330:$M$772,BK$11,IuranDSSebelumnya!$L$330:$L$772,"&lt;&gt;"&amp;$M$5)&gt;0,
              "Iuran dari Lingkungan lain",
              ""))</f>
        <v/>
      </c>
      <c r="BL18" s="47" t="str">
        <f>IF(COUNTIFS(IuranDSSebelumnya!$J$330:$J$772,$K18,IuranDSSebelumnya!$M$330:$M$772,BL$11,IuranDSSebelumnya!$L$330:$L$772,$M$5)&gt;0,
        VLOOKUP(CONCATENATE($K18,"|",BL$11,"|",$M$5),IuranDSSebelumnya!$I$330:$N$772,5,FALSE),
        IF(COUNTIFS(IuranDSSebelumnya!$J$330:$J$772,$K18,IuranDSSebelumnya!$M$330:$M$772,BL$11,IuranDSSebelumnya!$L$330:$L$772,"&lt;&gt;"&amp;$M$5)&gt;0,
              "Iuran dari Lingkungan lain",
              ""))</f>
        <v/>
      </c>
    </row>
    <row r="19" spans="1:64" x14ac:dyDescent="0.35">
      <c r="A19" s="30" t="s">
        <v>6063</v>
      </c>
      <c r="C19" s="30" t="b">
        <f t="shared" ca="1" si="16"/>
        <v>0</v>
      </c>
      <c r="D19" s="30" t="str">
        <f>"""TRUST Nav"",""HSPMTB2016"",""18"",""1"",""KK-04600"""</f>
        <v>"TRUST Nav","HSPMTB2016","18","1","KK-04600"</v>
      </c>
      <c r="H19" s="30">
        <f t="shared" si="17"/>
        <v>0</v>
      </c>
      <c r="J19" s="30">
        <f t="shared" si="18"/>
        <v>7</v>
      </c>
      <c r="K19" s="30" t="str">
        <f>"KK-04600"</f>
        <v>KK-04600</v>
      </c>
      <c r="L19" s="30" t="str">
        <f>"Bing Subroto"</f>
        <v>Bing Subroto</v>
      </c>
      <c r="M19" s="30"/>
      <c r="N19" s="129"/>
      <c r="O19" s="129"/>
      <c r="P19" s="129"/>
      <c r="Q19" s="129"/>
      <c r="R19" s="129"/>
      <c r="S19" s="129"/>
      <c r="T19" s="11"/>
      <c r="U19" s="4"/>
      <c r="V19" s="4"/>
      <c r="W19" s="4"/>
      <c r="X19" s="4"/>
      <c r="Y19" s="15"/>
      <c r="Z19" s="4"/>
      <c r="AA19" s="4"/>
      <c r="AB19" s="4"/>
      <c r="AC19" s="4"/>
      <c r="AD19" s="4"/>
      <c r="AE19" s="4"/>
      <c r="AF19" s="11"/>
      <c r="AG19" s="4"/>
      <c r="AH19" s="4"/>
      <c r="AI19" s="4"/>
      <c r="AJ19" s="4"/>
      <c r="AK19" s="4"/>
      <c r="AL19" s="9">
        <f t="shared" si="19"/>
        <v>0</v>
      </c>
      <c r="AO19" s="47">
        <f>IF(COUNTIFS(IuranDSSebelumnya!$J$330:$J$772,$K19,IuranDSSebelumnya!$M$330:$M$772,AO$11,IuranDSSebelumnya!$L$330:$L$772,$M$5)&gt;0,
        VLOOKUP(CONCATENATE($K19,"|",AO$11,"|",$M$5),IuranDSSebelumnya!$I$330:$N$772,5,FALSE),
        IF(COUNTIFS(IuranDSSebelumnya!$J$330:$J$772,$K19,IuranDSSebelumnya!$M$330:$M$772,AO$11,IuranDSSebelumnya!$L$330:$L$772,"&lt;&gt;"&amp;$M$5)&gt;0,
              "Iuran dari Lingkungan lain",
              ""))</f>
        <v>42186</v>
      </c>
      <c r="AP19" s="47">
        <f>IF(COUNTIFS(IuranDSSebelumnya!$J$330:$J$772,$K19,IuranDSSebelumnya!$M$330:$M$772,AP$11,IuranDSSebelumnya!$L$330:$L$772,$M$5)&gt;0,
        VLOOKUP(CONCATENATE($K19,"|",AP$11,"|",$M$5),IuranDSSebelumnya!$I$330:$N$772,5,FALSE),
        IF(COUNTIFS(IuranDSSebelumnya!$J$330:$J$772,$K19,IuranDSSebelumnya!$M$330:$M$772,AP$11,IuranDSSebelumnya!$L$330:$L$772,"&lt;&gt;"&amp;$M$5)&gt;0,
              "Iuran dari Lingkungan lain",
              ""))</f>
        <v>42217</v>
      </c>
      <c r="AQ19" s="47">
        <f>IF(COUNTIFS(IuranDSSebelumnya!$J$330:$J$772,$K19,IuranDSSebelumnya!$M$330:$M$772,AQ$11,IuranDSSebelumnya!$L$330:$L$772,$M$5)&gt;0,
        VLOOKUP(CONCATENATE($K19,"|",AQ$11,"|",$M$5),IuranDSSebelumnya!$I$330:$N$772,5,FALSE),
        IF(COUNTIFS(IuranDSSebelumnya!$J$330:$J$772,$K19,IuranDSSebelumnya!$M$330:$M$772,AQ$11,IuranDSSebelumnya!$L$330:$L$772,"&lt;&gt;"&amp;$M$5)&gt;0,
              "Iuran dari Lingkungan lain",
              ""))</f>
        <v>42248</v>
      </c>
      <c r="AR19" s="47">
        <f>IF(COUNTIFS(IuranDSSebelumnya!$J$330:$J$772,$K19,IuranDSSebelumnya!$M$330:$M$772,AR$11,IuranDSSebelumnya!$L$330:$L$772,$M$5)&gt;0,
        VLOOKUP(CONCATENATE($K19,"|",AR$11,"|",$M$5),IuranDSSebelumnya!$I$330:$N$772,5,FALSE),
        IF(COUNTIFS(IuranDSSebelumnya!$J$330:$J$772,$K19,IuranDSSebelumnya!$M$330:$M$772,AR$11,IuranDSSebelumnya!$L$330:$L$772,"&lt;&gt;"&amp;$M$5)&gt;0,
              "Iuran dari Lingkungan lain",
              ""))</f>
        <v>42278</v>
      </c>
      <c r="AS19" s="47">
        <f>IF(COUNTIFS(IuranDSSebelumnya!$J$330:$J$772,$K19,IuranDSSebelumnya!$M$330:$M$772,AS$11,IuranDSSebelumnya!$L$330:$L$772,$M$5)&gt;0,
        VLOOKUP(CONCATENATE($K19,"|",AS$11,"|",$M$5),IuranDSSebelumnya!$I$330:$N$772,5,FALSE),
        IF(COUNTIFS(IuranDSSebelumnya!$J$330:$J$772,$K19,IuranDSSebelumnya!$M$330:$M$772,AS$11,IuranDSSebelumnya!$L$330:$L$772,"&lt;&gt;"&amp;$M$5)&gt;0,
              "Iuran dari Lingkungan lain",
              ""))</f>
        <v>42309</v>
      </c>
      <c r="AT19" s="47">
        <f>IF(COUNTIFS(IuranDSSebelumnya!$J$330:$J$772,$K19,IuranDSSebelumnya!$M$330:$M$772,AT$11,IuranDSSebelumnya!$L$330:$L$772,$M$5)&gt;0,
        VLOOKUP(CONCATENATE($K19,"|",AT$11,"|",$M$5),IuranDSSebelumnya!$I$330:$N$772,5,FALSE),
        IF(COUNTIFS(IuranDSSebelumnya!$J$330:$J$772,$K19,IuranDSSebelumnya!$M$330:$M$772,AT$11,IuranDSSebelumnya!$L$330:$L$772,"&lt;&gt;"&amp;$M$5)&gt;0,
              "Iuran dari Lingkungan lain",
              ""))</f>
        <v>42339</v>
      </c>
      <c r="AU19" s="47" t="str">
        <f>IF(COUNTIFS(IuranDSSebelumnya!$J$330:$J$772,$K19,IuranDSSebelumnya!$M$330:$M$772,AU$11,IuranDSSebelumnya!$L$330:$L$772,$M$5)&gt;0,
        VLOOKUP(CONCATENATE($K19,"|",AU$11,"|",$M$5),IuranDSSebelumnya!$I$330:$N$772,5,FALSE),
        IF(COUNTIFS(IuranDSSebelumnya!$J$330:$J$772,$K19,IuranDSSebelumnya!$M$330:$M$772,AU$11,IuranDSSebelumnya!$L$330:$L$772,"&lt;&gt;"&amp;$M$5)&gt;0,
              "Iuran dari Lingkungan lain",
              ""))</f>
        <v/>
      </c>
      <c r="AV19" s="47" t="str">
        <f>IF(COUNTIFS(IuranDSSebelumnya!$J$330:$J$772,$K19,IuranDSSebelumnya!$M$330:$M$772,AV$11,IuranDSSebelumnya!$L$330:$L$772,$M$5)&gt;0,
        VLOOKUP(CONCATENATE($K19,"|",AV$11,"|",$M$5),IuranDSSebelumnya!$I$330:$N$772,5,FALSE),
        IF(COUNTIFS(IuranDSSebelumnya!$J$330:$J$772,$K19,IuranDSSebelumnya!$M$330:$M$772,AV$11,IuranDSSebelumnya!$L$330:$L$772,"&lt;&gt;"&amp;$M$5)&gt;0,
              "Iuran dari Lingkungan lain",
              ""))</f>
        <v/>
      </c>
      <c r="AW19" s="47" t="str">
        <f>IF(COUNTIFS(IuranDSSebelumnya!$J$330:$J$772,$K19,IuranDSSebelumnya!$M$330:$M$772,AW$11,IuranDSSebelumnya!$L$330:$L$772,$M$5)&gt;0,
        VLOOKUP(CONCATENATE($K19,"|",AW$11,"|",$M$5),IuranDSSebelumnya!$I$330:$N$772,5,FALSE),
        IF(COUNTIFS(IuranDSSebelumnya!$J$330:$J$772,$K19,IuranDSSebelumnya!$M$330:$M$772,AW$11,IuranDSSebelumnya!$L$330:$L$772,"&lt;&gt;"&amp;$M$5)&gt;0,
              "Iuran dari Lingkungan lain",
              ""))</f>
        <v/>
      </c>
      <c r="AX19" s="47" t="str">
        <f>IF(COUNTIFS(IuranDSSebelumnya!$J$330:$J$772,$K19,IuranDSSebelumnya!$M$330:$M$772,AX$11,IuranDSSebelumnya!$L$330:$L$772,$M$5)&gt;0,
        VLOOKUP(CONCATENATE($K19,"|",AX$11,"|",$M$5),IuranDSSebelumnya!$I$330:$N$772,5,FALSE),
        IF(COUNTIFS(IuranDSSebelumnya!$J$330:$J$772,$K19,IuranDSSebelumnya!$M$330:$M$772,AX$11,IuranDSSebelumnya!$L$330:$L$772,"&lt;&gt;"&amp;$M$5)&gt;0,
              "Iuran dari Lingkungan lain",
              ""))</f>
        <v/>
      </c>
      <c r="AY19" s="47" t="str">
        <f>IF(COUNTIFS(IuranDSSebelumnya!$J$330:$J$772,$K19,IuranDSSebelumnya!$M$330:$M$772,AY$11,IuranDSSebelumnya!$L$330:$L$772,$M$5)&gt;0,
        VLOOKUP(CONCATENATE($K19,"|",AY$11,"|",$M$5),IuranDSSebelumnya!$I$330:$N$772,5,FALSE),
        IF(COUNTIFS(IuranDSSebelumnya!$J$330:$J$772,$K19,IuranDSSebelumnya!$M$330:$M$772,AY$11,IuranDSSebelumnya!$L$330:$L$772,"&lt;&gt;"&amp;$M$5)&gt;0,
              "Iuran dari Lingkungan lain",
              ""))</f>
        <v/>
      </c>
      <c r="AZ19" s="47" t="str">
        <f>IF(COUNTIFS(IuranDSSebelumnya!$J$330:$J$772,$K19,IuranDSSebelumnya!$M$330:$M$772,AZ$11,IuranDSSebelumnya!$L$330:$L$772,$M$5)&gt;0,
        VLOOKUP(CONCATENATE($K19,"|",AZ$11,"|",$M$5),IuranDSSebelumnya!$I$330:$N$772,5,FALSE),
        IF(COUNTIFS(IuranDSSebelumnya!$J$330:$J$772,$K19,IuranDSSebelumnya!$M$330:$M$772,AZ$11,IuranDSSebelumnya!$L$330:$L$772,"&lt;&gt;"&amp;$M$5)&gt;0,
              "Iuran dari Lingkungan lain",
              ""))</f>
        <v/>
      </c>
      <c r="BA19" s="47" t="str">
        <f>IF(COUNTIFS(IuranDSSebelumnya!$J$330:$J$772,$K19,IuranDSSebelumnya!$M$330:$M$772,BA$11,IuranDSSebelumnya!$L$330:$L$772,$M$5)&gt;0,
        VLOOKUP(CONCATENATE($K19,"|",BA$11,"|",$M$5),IuranDSSebelumnya!$I$330:$N$772,5,FALSE),
        IF(COUNTIFS(IuranDSSebelumnya!$J$330:$J$772,$K19,IuranDSSebelumnya!$M$330:$M$772,BA$11,IuranDSSebelumnya!$L$330:$L$772,"&lt;&gt;"&amp;$M$5)&gt;0,
              "Iuran dari Lingkungan lain",
              ""))</f>
        <v/>
      </c>
      <c r="BB19" s="47" t="str">
        <f>IF(COUNTIFS(IuranDSSebelumnya!$J$330:$J$772,$K19,IuranDSSebelumnya!$M$330:$M$772,BB$11,IuranDSSebelumnya!$L$330:$L$772,$M$5)&gt;0,
        VLOOKUP(CONCATENATE($K19,"|",BB$11,"|",$M$5),IuranDSSebelumnya!$I$330:$N$772,5,FALSE),
        IF(COUNTIFS(IuranDSSebelumnya!$J$330:$J$772,$K19,IuranDSSebelumnya!$M$330:$M$772,BB$11,IuranDSSebelumnya!$L$330:$L$772,"&lt;&gt;"&amp;$M$5)&gt;0,
              "Iuran dari Lingkungan lain",
              ""))</f>
        <v/>
      </c>
      <c r="BC19" s="47" t="str">
        <f>IF(COUNTIFS(IuranDSSebelumnya!$J$330:$J$772,$K19,IuranDSSebelumnya!$M$330:$M$772,BC$11,IuranDSSebelumnya!$L$330:$L$772,$M$5)&gt;0,
        VLOOKUP(CONCATENATE($K19,"|",BC$11,"|",$M$5),IuranDSSebelumnya!$I$330:$N$772,5,FALSE),
        IF(COUNTIFS(IuranDSSebelumnya!$J$330:$J$772,$K19,IuranDSSebelumnya!$M$330:$M$772,BC$11,IuranDSSebelumnya!$L$330:$L$772,"&lt;&gt;"&amp;$M$5)&gt;0,
              "Iuran dari Lingkungan lain",
              ""))</f>
        <v/>
      </c>
      <c r="BD19" s="47" t="str">
        <f>IF(COUNTIFS(IuranDSSebelumnya!$J$330:$J$772,$K19,IuranDSSebelumnya!$M$330:$M$772,BD$11,IuranDSSebelumnya!$L$330:$L$772,$M$5)&gt;0,
        VLOOKUP(CONCATENATE($K19,"|",BD$11,"|",$M$5),IuranDSSebelumnya!$I$330:$N$772,5,FALSE),
        IF(COUNTIFS(IuranDSSebelumnya!$J$330:$J$772,$K19,IuranDSSebelumnya!$M$330:$M$772,BD$11,IuranDSSebelumnya!$L$330:$L$772,"&lt;&gt;"&amp;$M$5)&gt;0,
              "Iuran dari Lingkungan lain",
              ""))</f>
        <v/>
      </c>
      <c r="BE19" s="47" t="str">
        <f>IF(COUNTIFS(IuranDSSebelumnya!$J$330:$J$772,$K19,IuranDSSebelumnya!$M$330:$M$772,BE$11,IuranDSSebelumnya!$L$330:$L$772,$M$5)&gt;0,
        VLOOKUP(CONCATENATE($K19,"|",BE$11,"|",$M$5),IuranDSSebelumnya!$I$330:$N$772,5,FALSE),
        IF(COUNTIFS(IuranDSSebelumnya!$J$330:$J$772,$K19,IuranDSSebelumnya!$M$330:$M$772,BE$11,IuranDSSebelumnya!$L$330:$L$772,"&lt;&gt;"&amp;$M$5)&gt;0,
              "Iuran dari Lingkungan lain",
              ""))</f>
        <v/>
      </c>
      <c r="BF19" s="47" t="str">
        <f>IF(COUNTIFS(IuranDSSebelumnya!$J$330:$J$772,$K19,IuranDSSebelumnya!$M$330:$M$772,BF$11,IuranDSSebelumnya!$L$330:$L$772,$M$5)&gt;0,
        VLOOKUP(CONCATENATE($K19,"|",BF$11,"|",$M$5),IuranDSSebelumnya!$I$330:$N$772,5,FALSE),
        IF(COUNTIFS(IuranDSSebelumnya!$J$330:$J$772,$K19,IuranDSSebelumnya!$M$330:$M$772,BF$11,IuranDSSebelumnya!$L$330:$L$772,"&lt;&gt;"&amp;$M$5)&gt;0,
              "Iuran dari Lingkungan lain",
              ""))</f>
        <v/>
      </c>
      <c r="BG19" s="47" t="str">
        <f>IF(COUNTIFS(IuranDSSebelumnya!$J$330:$J$772,$K19,IuranDSSebelumnya!$M$330:$M$772,BG$11,IuranDSSebelumnya!$L$330:$L$772,$M$5)&gt;0,
        VLOOKUP(CONCATENATE($K19,"|",BG$11,"|",$M$5),IuranDSSebelumnya!$I$330:$N$772,5,FALSE),
        IF(COUNTIFS(IuranDSSebelumnya!$J$330:$J$772,$K19,IuranDSSebelumnya!$M$330:$M$772,BG$11,IuranDSSebelumnya!$L$330:$L$772,"&lt;&gt;"&amp;$M$5)&gt;0,
              "Iuran dari Lingkungan lain",
              ""))</f>
        <v/>
      </c>
      <c r="BH19" s="47" t="str">
        <f>IF(COUNTIFS(IuranDSSebelumnya!$J$330:$J$772,$K19,IuranDSSebelumnya!$M$330:$M$772,BH$11,IuranDSSebelumnya!$L$330:$L$772,$M$5)&gt;0,
        VLOOKUP(CONCATENATE($K19,"|",BH$11,"|",$M$5),IuranDSSebelumnya!$I$330:$N$772,5,FALSE),
        IF(COUNTIFS(IuranDSSebelumnya!$J$330:$J$772,$K19,IuranDSSebelumnya!$M$330:$M$772,BH$11,IuranDSSebelumnya!$L$330:$L$772,"&lt;&gt;"&amp;$M$5)&gt;0,
              "Iuran dari Lingkungan lain",
              ""))</f>
        <v/>
      </c>
      <c r="BI19" s="47" t="str">
        <f>IF(COUNTIFS(IuranDSSebelumnya!$J$330:$J$772,$K19,IuranDSSebelumnya!$M$330:$M$772,BI$11,IuranDSSebelumnya!$L$330:$L$772,$M$5)&gt;0,
        VLOOKUP(CONCATENATE($K19,"|",BI$11,"|",$M$5),IuranDSSebelumnya!$I$330:$N$772,5,FALSE),
        IF(COUNTIFS(IuranDSSebelumnya!$J$330:$J$772,$K19,IuranDSSebelumnya!$M$330:$M$772,BI$11,IuranDSSebelumnya!$L$330:$L$772,"&lt;&gt;"&amp;$M$5)&gt;0,
              "Iuran dari Lingkungan lain",
              ""))</f>
        <v/>
      </c>
      <c r="BJ19" s="47" t="str">
        <f>IF(COUNTIFS(IuranDSSebelumnya!$J$330:$J$772,$K19,IuranDSSebelumnya!$M$330:$M$772,BJ$11,IuranDSSebelumnya!$L$330:$L$772,$M$5)&gt;0,
        VLOOKUP(CONCATENATE($K19,"|",BJ$11,"|",$M$5),IuranDSSebelumnya!$I$330:$N$772,5,FALSE),
        IF(COUNTIFS(IuranDSSebelumnya!$J$330:$J$772,$K19,IuranDSSebelumnya!$M$330:$M$772,BJ$11,IuranDSSebelumnya!$L$330:$L$772,"&lt;&gt;"&amp;$M$5)&gt;0,
              "Iuran dari Lingkungan lain",
              ""))</f>
        <v/>
      </c>
      <c r="BK19" s="47" t="str">
        <f>IF(COUNTIFS(IuranDSSebelumnya!$J$330:$J$772,$K19,IuranDSSebelumnya!$M$330:$M$772,BK$11,IuranDSSebelumnya!$L$330:$L$772,$M$5)&gt;0,
        VLOOKUP(CONCATENATE($K19,"|",BK$11,"|",$M$5),IuranDSSebelumnya!$I$330:$N$772,5,FALSE),
        IF(COUNTIFS(IuranDSSebelumnya!$J$330:$J$772,$K19,IuranDSSebelumnya!$M$330:$M$772,BK$11,IuranDSSebelumnya!$L$330:$L$772,"&lt;&gt;"&amp;$M$5)&gt;0,
              "Iuran dari Lingkungan lain",
              ""))</f>
        <v/>
      </c>
      <c r="BL19" s="47" t="str">
        <f>IF(COUNTIFS(IuranDSSebelumnya!$J$330:$J$772,$K19,IuranDSSebelumnya!$M$330:$M$772,BL$11,IuranDSSebelumnya!$L$330:$L$772,$M$5)&gt;0,
        VLOOKUP(CONCATENATE($K19,"|",BL$11,"|",$M$5),IuranDSSebelumnya!$I$330:$N$772,5,FALSE),
        IF(COUNTIFS(IuranDSSebelumnya!$J$330:$J$772,$K19,IuranDSSebelumnya!$M$330:$M$772,BL$11,IuranDSSebelumnya!$L$330:$L$772,"&lt;&gt;"&amp;$M$5)&gt;0,
              "Iuran dari Lingkungan lain",
              ""))</f>
        <v/>
      </c>
    </row>
    <row r="20" spans="1:64" x14ac:dyDescent="0.35">
      <c r="A20" s="30" t="s">
        <v>6063</v>
      </c>
      <c r="C20" s="30" t="b">
        <f t="shared" ca="1" si="16"/>
        <v>0</v>
      </c>
      <c r="D20" s="30" t="str">
        <f>"""TRUST Nav"",""HSPMTB2016"",""18"",""1"",""KK-04601"""</f>
        <v>"TRUST Nav","HSPMTB2016","18","1","KK-04601"</v>
      </c>
      <c r="H20" s="30">
        <f t="shared" si="17"/>
        <v>0</v>
      </c>
      <c r="J20" s="30">
        <f t="shared" si="18"/>
        <v>8</v>
      </c>
      <c r="K20" s="30" t="str">
        <f>"KK-04601"</f>
        <v>KK-04601</v>
      </c>
      <c r="L20" s="30" t="str">
        <f>"Boen Yoen Tet (Teddy)"</f>
        <v>Boen Yoen Tet (Teddy)</v>
      </c>
      <c r="M20" s="30"/>
      <c r="N20" s="129"/>
      <c r="O20" s="129"/>
      <c r="P20" s="129"/>
      <c r="Q20" s="129"/>
      <c r="R20" s="129"/>
      <c r="S20" s="129"/>
      <c r="T20" s="130"/>
      <c r="U20" s="131"/>
      <c r="V20" s="131"/>
      <c r="W20" s="131"/>
      <c r="X20" s="131"/>
      <c r="Y20" s="132"/>
      <c r="Z20" s="131"/>
      <c r="AA20" s="4"/>
      <c r="AB20" s="4"/>
      <c r="AC20" s="4"/>
      <c r="AD20" s="4"/>
      <c r="AE20" s="4"/>
      <c r="AF20" s="11"/>
      <c r="AG20" s="4"/>
      <c r="AH20" s="4"/>
      <c r="AI20" s="4"/>
      <c r="AJ20" s="4"/>
      <c r="AK20" s="4"/>
      <c r="AL20" s="9">
        <f t="shared" si="19"/>
        <v>0</v>
      </c>
      <c r="AO20" s="47">
        <f>IF(COUNTIFS(IuranDSSebelumnya!$J$330:$J$772,$K20,IuranDSSebelumnya!$M$330:$M$772,AO$11,IuranDSSebelumnya!$L$330:$L$772,$M$5)&gt;0,
        VLOOKUP(CONCATENATE($K20,"|",AO$11,"|",$M$5),IuranDSSebelumnya!$I$330:$N$772,5,FALSE),
        IF(COUNTIFS(IuranDSSebelumnya!$J$330:$J$772,$K20,IuranDSSebelumnya!$M$330:$M$772,AO$11,IuranDSSebelumnya!$L$330:$L$772,"&lt;&gt;"&amp;$M$5)&gt;0,
              "Iuran dari Lingkungan lain",
              ""))</f>
        <v>42186</v>
      </c>
      <c r="AP20" s="47">
        <f>IF(COUNTIFS(IuranDSSebelumnya!$J$330:$J$772,$K20,IuranDSSebelumnya!$M$330:$M$772,AP$11,IuranDSSebelumnya!$L$330:$L$772,$M$5)&gt;0,
        VLOOKUP(CONCATENATE($K20,"|",AP$11,"|",$M$5),IuranDSSebelumnya!$I$330:$N$772,5,FALSE),
        IF(COUNTIFS(IuranDSSebelumnya!$J$330:$J$772,$K20,IuranDSSebelumnya!$M$330:$M$772,AP$11,IuranDSSebelumnya!$L$330:$L$772,"&lt;&gt;"&amp;$M$5)&gt;0,
              "Iuran dari Lingkungan lain",
              ""))</f>
        <v>42217</v>
      </c>
      <c r="AQ20" s="47">
        <f>IF(COUNTIFS(IuranDSSebelumnya!$J$330:$J$772,$K20,IuranDSSebelumnya!$M$330:$M$772,AQ$11,IuranDSSebelumnya!$L$330:$L$772,$M$5)&gt;0,
        VLOOKUP(CONCATENATE($K20,"|",AQ$11,"|",$M$5),IuranDSSebelumnya!$I$330:$N$772,5,FALSE),
        IF(COUNTIFS(IuranDSSebelumnya!$J$330:$J$772,$K20,IuranDSSebelumnya!$M$330:$M$772,AQ$11,IuranDSSebelumnya!$L$330:$L$772,"&lt;&gt;"&amp;$M$5)&gt;0,
              "Iuran dari Lingkungan lain",
              ""))</f>
        <v>42248</v>
      </c>
      <c r="AR20" s="47">
        <f>IF(COUNTIFS(IuranDSSebelumnya!$J$330:$J$772,$K20,IuranDSSebelumnya!$M$330:$M$772,AR$11,IuranDSSebelumnya!$L$330:$L$772,$M$5)&gt;0,
        VLOOKUP(CONCATENATE($K20,"|",AR$11,"|",$M$5),IuranDSSebelumnya!$I$330:$N$772,5,FALSE),
        IF(COUNTIFS(IuranDSSebelumnya!$J$330:$J$772,$K20,IuranDSSebelumnya!$M$330:$M$772,AR$11,IuranDSSebelumnya!$L$330:$L$772,"&lt;&gt;"&amp;$M$5)&gt;0,
              "Iuran dari Lingkungan lain",
              ""))</f>
        <v>42278</v>
      </c>
      <c r="AS20" s="47">
        <f>IF(COUNTIFS(IuranDSSebelumnya!$J$330:$J$772,$K20,IuranDSSebelumnya!$M$330:$M$772,AS$11,IuranDSSebelumnya!$L$330:$L$772,$M$5)&gt;0,
        VLOOKUP(CONCATENATE($K20,"|",AS$11,"|",$M$5),IuranDSSebelumnya!$I$330:$N$772,5,FALSE),
        IF(COUNTIFS(IuranDSSebelumnya!$J$330:$J$772,$K20,IuranDSSebelumnya!$M$330:$M$772,AS$11,IuranDSSebelumnya!$L$330:$L$772,"&lt;&gt;"&amp;$M$5)&gt;0,
              "Iuran dari Lingkungan lain",
              ""))</f>
        <v>42309</v>
      </c>
      <c r="AT20" s="47">
        <f>IF(COUNTIFS(IuranDSSebelumnya!$J$330:$J$772,$K20,IuranDSSebelumnya!$M$330:$M$772,AT$11,IuranDSSebelumnya!$L$330:$L$772,$M$5)&gt;0,
        VLOOKUP(CONCATENATE($K20,"|",AT$11,"|",$M$5),IuranDSSebelumnya!$I$330:$N$772,5,FALSE),
        IF(COUNTIFS(IuranDSSebelumnya!$J$330:$J$772,$K20,IuranDSSebelumnya!$M$330:$M$772,AT$11,IuranDSSebelumnya!$L$330:$L$772,"&lt;&gt;"&amp;$M$5)&gt;0,
              "Iuran dari Lingkungan lain",
              ""))</f>
        <v>42339</v>
      </c>
      <c r="AU20" s="47">
        <f>IF(COUNTIFS(IuranDSSebelumnya!$J$330:$J$772,$K20,IuranDSSebelumnya!$M$330:$M$772,AU$11,IuranDSSebelumnya!$L$330:$L$772,$M$5)&gt;0,
        VLOOKUP(CONCATENATE($K20,"|",AU$11,"|",$M$5),IuranDSSebelumnya!$I$330:$N$772,5,FALSE),
        IF(COUNTIFS(IuranDSSebelumnya!$J$330:$J$772,$K20,IuranDSSebelumnya!$M$330:$M$772,AU$11,IuranDSSebelumnya!$L$330:$L$772,"&lt;&gt;"&amp;$M$5)&gt;0,
              "Iuran dari Lingkungan lain",
              ""))</f>
        <v>42370</v>
      </c>
      <c r="AV20" s="47">
        <f>IF(COUNTIFS(IuranDSSebelumnya!$J$330:$J$772,$K20,IuranDSSebelumnya!$M$330:$M$772,AV$11,IuranDSSebelumnya!$L$330:$L$772,$M$5)&gt;0,
        VLOOKUP(CONCATENATE($K20,"|",AV$11,"|",$M$5),IuranDSSebelumnya!$I$330:$N$772,5,FALSE),
        IF(COUNTIFS(IuranDSSebelumnya!$J$330:$J$772,$K20,IuranDSSebelumnya!$M$330:$M$772,AV$11,IuranDSSebelumnya!$L$330:$L$772,"&lt;&gt;"&amp;$M$5)&gt;0,
              "Iuran dari Lingkungan lain",
              ""))</f>
        <v>42401</v>
      </c>
      <c r="AW20" s="47">
        <f>IF(COUNTIFS(IuranDSSebelumnya!$J$330:$J$772,$K20,IuranDSSebelumnya!$M$330:$M$772,AW$11,IuranDSSebelumnya!$L$330:$L$772,$M$5)&gt;0,
        VLOOKUP(CONCATENATE($K20,"|",AW$11,"|",$M$5),IuranDSSebelumnya!$I$330:$N$772,5,FALSE),
        IF(COUNTIFS(IuranDSSebelumnya!$J$330:$J$772,$K20,IuranDSSebelumnya!$M$330:$M$772,AW$11,IuranDSSebelumnya!$L$330:$L$772,"&lt;&gt;"&amp;$M$5)&gt;0,
              "Iuran dari Lingkungan lain",
              ""))</f>
        <v>42430</v>
      </c>
      <c r="AX20" s="47">
        <f>IF(COUNTIFS(IuranDSSebelumnya!$J$330:$J$772,$K20,IuranDSSebelumnya!$M$330:$M$772,AX$11,IuranDSSebelumnya!$L$330:$L$772,$M$5)&gt;0,
        VLOOKUP(CONCATENATE($K20,"|",AX$11,"|",$M$5),IuranDSSebelumnya!$I$330:$N$772,5,FALSE),
        IF(COUNTIFS(IuranDSSebelumnya!$J$330:$J$772,$K20,IuranDSSebelumnya!$M$330:$M$772,AX$11,IuranDSSebelumnya!$L$330:$L$772,"&lt;&gt;"&amp;$M$5)&gt;0,
              "Iuran dari Lingkungan lain",
              ""))</f>
        <v>42461</v>
      </c>
      <c r="AY20" s="47">
        <f>IF(COUNTIFS(IuranDSSebelumnya!$J$330:$J$772,$K20,IuranDSSebelumnya!$M$330:$M$772,AY$11,IuranDSSebelumnya!$L$330:$L$772,$M$5)&gt;0,
        VLOOKUP(CONCATENATE($K20,"|",AY$11,"|",$M$5),IuranDSSebelumnya!$I$330:$N$772,5,FALSE),
        IF(COUNTIFS(IuranDSSebelumnya!$J$330:$J$772,$K20,IuranDSSebelumnya!$M$330:$M$772,AY$11,IuranDSSebelumnya!$L$330:$L$772,"&lt;&gt;"&amp;$M$5)&gt;0,
              "Iuran dari Lingkungan lain",
              ""))</f>
        <v>42491</v>
      </c>
      <c r="AZ20" s="47">
        <f>IF(COUNTIFS(IuranDSSebelumnya!$J$330:$J$772,$K20,IuranDSSebelumnya!$M$330:$M$772,AZ$11,IuranDSSebelumnya!$L$330:$L$772,$M$5)&gt;0,
        VLOOKUP(CONCATENATE($K20,"|",AZ$11,"|",$M$5),IuranDSSebelumnya!$I$330:$N$772,5,FALSE),
        IF(COUNTIFS(IuranDSSebelumnya!$J$330:$J$772,$K20,IuranDSSebelumnya!$M$330:$M$772,AZ$11,IuranDSSebelumnya!$L$330:$L$772,"&lt;&gt;"&amp;$M$5)&gt;0,
              "Iuran dari Lingkungan lain",
              ""))</f>
        <v>42522</v>
      </c>
      <c r="BA20" s="47">
        <f>IF(COUNTIFS(IuranDSSebelumnya!$J$330:$J$772,$K20,IuranDSSebelumnya!$M$330:$M$772,BA$11,IuranDSSebelumnya!$L$330:$L$772,$M$5)&gt;0,
        VLOOKUP(CONCATENATE($K20,"|",BA$11,"|",$M$5),IuranDSSebelumnya!$I$330:$N$772,5,FALSE),
        IF(COUNTIFS(IuranDSSebelumnya!$J$330:$J$772,$K20,IuranDSSebelumnya!$M$330:$M$772,BA$11,IuranDSSebelumnya!$L$330:$L$772,"&lt;&gt;"&amp;$M$5)&gt;0,
              "Iuran dari Lingkungan lain",
              ""))</f>
        <v>42552</v>
      </c>
      <c r="BB20" s="47" t="str">
        <f>IF(COUNTIFS(IuranDSSebelumnya!$J$330:$J$772,$K20,IuranDSSebelumnya!$M$330:$M$772,BB$11,IuranDSSebelumnya!$L$330:$L$772,$M$5)&gt;0,
        VLOOKUP(CONCATENATE($K20,"|",BB$11,"|",$M$5),IuranDSSebelumnya!$I$330:$N$772,5,FALSE),
        IF(COUNTIFS(IuranDSSebelumnya!$J$330:$J$772,$K20,IuranDSSebelumnya!$M$330:$M$772,BB$11,IuranDSSebelumnya!$L$330:$L$772,"&lt;&gt;"&amp;$M$5)&gt;0,
              "Iuran dari Lingkungan lain",
              ""))</f>
        <v/>
      </c>
      <c r="BC20" s="47" t="str">
        <f>IF(COUNTIFS(IuranDSSebelumnya!$J$330:$J$772,$K20,IuranDSSebelumnya!$M$330:$M$772,BC$11,IuranDSSebelumnya!$L$330:$L$772,$M$5)&gt;0,
        VLOOKUP(CONCATENATE($K20,"|",BC$11,"|",$M$5),IuranDSSebelumnya!$I$330:$N$772,5,FALSE),
        IF(COUNTIFS(IuranDSSebelumnya!$J$330:$J$772,$K20,IuranDSSebelumnya!$M$330:$M$772,BC$11,IuranDSSebelumnya!$L$330:$L$772,"&lt;&gt;"&amp;$M$5)&gt;0,
              "Iuran dari Lingkungan lain",
              ""))</f>
        <v/>
      </c>
      <c r="BD20" s="47" t="str">
        <f>IF(COUNTIFS(IuranDSSebelumnya!$J$330:$J$772,$K20,IuranDSSebelumnya!$M$330:$M$772,BD$11,IuranDSSebelumnya!$L$330:$L$772,$M$5)&gt;0,
        VLOOKUP(CONCATENATE($K20,"|",BD$11,"|",$M$5),IuranDSSebelumnya!$I$330:$N$772,5,FALSE),
        IF(COUNTIFS(IuranDSSebelumnya!$J$330:$J$772,$K20,IuranDSSebelumnya!$M$330:$M$772,BD$11,IuranDSSebelumnya!$L$330:$L$772,"&lt;&gt;"&amp;$M$5)&gt;0,
              "Iuran dari Lingkungan lain",
              ""))</f>
        <v/>
      </c>
      <c r="BE20" s="47" t="str">
        <f>IF(COUNTIFS(IuranDSSebelumnya!$J$330:$J$772,$K20,IuranDSSebelumnya!$M$330:$M$772,BE$11,IuranDSSebelumnya!$L$330:$L$772,$M$5)&gt;0,
        VLOOKUP(CONCATENATE($K20,"|",BE$11,"|",$M$5),IuranDSSebelumnya!$I$330:$N$772,5,FALSE),
        IF(COUNTIFS(IuranDSSebelumnya!$J$330:$J$772,$K20,IuranDSSebelumnya!$M$330:$M$772,BE$11,IuranDSSebelumnya!$L$330:$L$772,"&lt;&gt;"&amp;$M$5)&gt;0,
              "Iuran dari Lingkungan lain",
              ""))</f>
        <v/>
      </c>
      <c r="BF20" s="47" t="str">
        <f>IF(COUNTIFS(IuranDSSebelumnya!$J$330:$J$772,$K20,IuranDSSebelumnya!$M$330:$M$772,BF$11,IuranDSSebelumnya!$L$330:$L$772,$M$5)&gt;0,
        VLOOKUP(CONCATENATE($K20,"|",BF$11,"|",$M$5),IuranDSSebelumnya!$I$330:$N$772,5,FALSE),
        IF(COUNTIFS(IuranDSSebelumnya!$J$330:$J$772,$K20,IuranDSSebelumnya!$M$330:$M$772,BF$11,IuranDSSebelumnya!$L$330:$L$772,"&lt;&gt;"&amp;$M$5)&gt;0,
              "Iuran dari Lingkungan lain",
              ""))</f>
        <v/>
      </c>
      <c r="BG20" s="47" t="str">
        <f>IF(COUNTIFS(IuranDSSebelumnya!$J$330:$J$772,$K20,IuranDSSebelumnya!$M$330:$M$772,BG$11,IuranDSSebelumnya!$L$330:$L$772,$M$5)&gt;0,
        VLOOKUP(CONCATENATE($K20,"|",BG$11,"|",$M$5),IuranDSSebelumnya!$I$330:$N$772,5,FALSE),
        IF(COUNTIFS(IuranDSSebelumnya!$J$330:$J$772,$K20,IuranDSSebelumnya!$M$330:$M$772,BG$11,IuranDSSebelumnya!$L$330:$L$772,"&lt;&gt;"&amp;$M$5)&gt;0,
              "Iuran dari Lingkungan lain",
              ""))</f>
        <v/>
      </c>
      <c r="BH20" s="47" t="str">
        <f>IF(COUNTIFS(IuranDSSebelumnya!$J$330:$J$772,$K20,IuranDSSebelumnya!$M$330:$M$772,BH$11,IuranDSSebelumnya!$L$330:$L$772,$M$5)&gt;0,
        VLOOKUP(CONCATENATE($K20,"|",BH$11,"|",$M$5),IuranDSSebelumnya!$I$330:$N$772,5,FALSE),
        IF(COUNTIFS(IuranDSSebelumnya!$J$330:$J$772,$K20,IuranDSSebelumnya!$M$330:$M$772,BH$11,IuranDSSebelumnya!$L$330:$L$772,"&lt;&gt;"&amp;$M$5)&gt;0,
              "Iuran dari Lingkungan lain",
              ""))</f>
        <v/>
      </c>
      <c r="BI20" s="47" t="str">
        <f>IF(COUNTIFS(IuranDSSebelumnya!$J$330:$J$772,$K20,IuranDSSebelumnya!$M$330:$M$772,BI$11,IuranDSSebelumnya!$L$330:$L$772,$M$5)&gt;0,
        VLOOKUP(CONCATENATE($K20,"|",BI$11,"|",$M$5),IuranDSSebelumnya!$I$330:$N$772,5,FALSE),
        IF(COUNTIFS(IuranDSSebelumnya!$J$330:$J$772,$K20,IuranDSSebelumnya!$M$330:$M$772,BI$11,IuranDSSebelumnya!$L$330:$L$772,"&lt;&gt;"&amp;$M$5)&gt;0,
              "Iuran dari Lingkungan lain",
              ""))</f>
        <v/>
      </c>
      <c r="BJ20" s="47" t="str">
        <f>IF(COUNTIFS(IuranDSSebelumnya!$J$330:$J$772,$K20,IuranDSSebelumnya!$M$330:$M$772,BJ$11,IuranDSSebelumnya!$L$330:$L$772,$M$5)&gt;0,
        VLOOKUP(CONCATENATE($K20,"|",BJ$11,"|",$M$5),IuranDSSebelumnya!$I$330:$N$772,5,FALSE),
        IF(COUNTIFS(IuranDSSebelumnya!$J$330:$J$772,$K20,IuranDSSebelumnya!$M$330:$M$772,BJ$11,IuranDSSebelumnya!$L$330:$L$772,"&lt;&gt;"&amp;$M$5)&gt;0,
              "Iuran dari Lingkungan lain",
              ""))</f>
        <v/>
      </c>
      <c r="BK20" s="47" t="str">
        <f>IF(COUNTIFS(IuranDSSebelumnya!$J$330:$J$772,$K20,IuranDSSebelumnya!$M$330:$M$772,BK$11,IuranDSSebelumnya!$L$330:$L$772,$M$5)&gt;0,
        VLOOKUP(CONCATENATE($K20,"|",BK$11,"|",$M$5),IuranDSSebelumnya!$I$330:$N$772,5,FALSE),
        IF(COUNTIFS(IuranDSSebelumnya!$J$330:$J$772,$K20,IuranDSSebelumnya!$M$330:$M$772,BK$11,IuranDSSebelumnya!$L$330:$L$772,"&lt;&gt;"&amp;$M$5)&gt;0,
              "Iuran dari Lingkungan lain",
              ""))</f>
        <v/>
      </c>
      <c r="BL20" s="47" t="str">
        <f>IF(COUNTIFS(IuranDSSebelumnya!$J$330:$J$772,$K20,IuranDSSebelumnya!$M$330:$M$772,BL$11,IuranDSSebelumnya!$L$330:$L$772,$M$5)&gt;0,
        VLOOKUP(CONCATENATE($K20,"|",BL$11,"|",$M$5),IuranDSSebelumnya!$I$330:$N$772,5,FALSE),
        IF(COUNTIFS(IuranDSSebelumnya!$J$330:$J$772,$K20,IuranDSSebelumnya!$M$330:$M$772,BL$11,IuranDSSebelumnya!$L$330:$L$772,"&lt;&gt;"&amp;$M$5)&gt;0,
              "Iuran dari Lingkungan lain",
              ""))</f>
        <v/>
      </c>
    </row>
    <row r="21" spans="1:64" x14ac:dyDescent="0.35">
      <c r="A21" s="30" t="s">
        <v>6063</v>
      </c>
      <c r="C21" s="30" t="b">
        <f t="shared" ca="1" si="16"/>
        <v>0</v>
      </c>
      <c r="D21" s="30" t="str">
        <f>"""TRUST Nav"",""HSPMTB2016"",""18"",""1"",""KK-04602"""</f>
        <v>"TRUST Nav","HSPMTB2016","18","1","KK-04602"</v>
      </c>
      <c r="H21" s="30">
        <f t="shared" si="17"/>
        <v>0</v>
      </c>
      <c r="J21" s="30">
        <f t="shared" si="18"/>
        <v>9</v>
      </c>
      <c r="K21" s="30" t="str">
        <f>"KK-04602"</f>
        <v>KK-04602</v>
      </c>
      <c r="L21" s="30" t="str">
        <f>"Budiarto"</f>
        <v>Budiarto</v>
      </c>
      <c r="M21" s="30"/>
      <c r="N21" s="129"/>
      <c r="O21" s="129"/>
      <c r="P21" s="129"/>
      <c r="Q21" s="129"/>
      <c r="R21" s="129"/>
      <c r="S21" s="129"/>
      <c r="T21" s="130"/>
      <c r="U21" s="131"/>
      <c r="V21" s="131"/>
      <c r="W21" s="131"/>
      <c r="X21" s="131"/>
      <c r="Y21" s="132"/>
      <c r="Z21" s="131"/>
      <c r="AA21" s="131"/>
      <c r="AB21" s="131"/>
      <c r="AC21" s="131"/>
      <c r="AD21" s="131"/>
      <c r="AE21" s="131"/>
      <c r="AF21" s="11"/>
      <c r="AG21" s="4"/>
      <c r="AH21" s="4"/>
      <c r="AI21" s="4"/>
      <c r="AJ21" s="4"/>
      <c r="AK21" s="4"/>
      <c r="AL21" s="9">
        <f t="shared" si="19"/>
        <v>0</v>
      </c>
      <c r="AO21" s="47">
        <f>IF(COUNTIFS(IuranDSSebelumnya!$J$330:$J$772,$K21,IuranDSSebelumnya!$M$330:$M$772,AO$11,IuranDSSebelumnya!$L$330:$L$772,$M$5)&gt;0,
        VLOOKUP(CONCATENATE($K21,"|",AO$11,"|",$M$5),IuranDSSebelumnya!$I$330:$N$772,5,FALSE),
        IF(COUNTIFS(IuranDSSebelumnya!$J$330:$J$772,$K21,IuranDSSebelumnya!$M$330:$M$772,AO$11,IuranDSSebelumnya!$L$330:$L$772,"&lt;&gt;"&amp;$M$5)&gt;0,
              "Iuran dari Lingkungan lain",
              ""))</f>
        <v>42186</v>
      </c>
      <c r="AP21" s="47">
        <f>IF(COUNTIFS(IuranDSSebelumnya!$J$330:$J$772,$K21,IuranDSSebelumnya!$M$330:$M$772,AP$11,IuranDSSebelumnya!$L$330:$L$772,$M$5)&gt;0,
        VLOOKUP(CONCATENATE($K21,"|",AP$11,"|",$M$5),IuranDSSebelumnya!$I$330:$N$772,5,FALSE),
        IF(COUNTIFS(IuranDSSebelumnya!$J$330:$J$772,$K21,IuranDSSebelumnya!$M$330:$M$772,AP$11,IuranDSSebelumnya!$L$330:$L$772,"&lt;&gt;"&amp;$M$5)&gt;0,
              "Iuran dari Lingkungan lain",
              ""))</f>
        <v>42217</v>
      </c>
      <c r="AQ21" s="47">
        <f>IF(COUNTIFS(IuranDSSebelumnya!$J$330:$J$772,$K21,IuranDSSebelumnya!$M$330:$M$772,AQ$11,IuranDSSebelumnya!$L$330:$L$772,$M$5)&gt;0,
        VLOOKUP(CONCATENATE($K21,"|",AQ$11,"|",$M$5),IuranDSSebelumnya!$I$330:$N$772,5,FALSE),
        IF(COUNTIFS(IuranDSSebelumnya!$J$330:$J$772,$K21,IuranDSSebelumnya!$M$330:$M$772,AQ$11,IuranDSSebelumnya!$L$330:$L$772,"&lt;&gt;"&amp;$M$5)&gt;0,
              "Iuran dari Lingkungan lain",
              ""))</f>
        <v>42248</v>
      </c>
      <c r="AR21" s="47">
        <f>IF(COUNTIFS(IuranDSSebelumnya!$J$330:$J$772,$K21,IuranDSSebelumnya!$M$330:$M$772,AR$11,IuranDSSebelumnya!$L$330:$L$772,$M$5)&gt;0,
        VLOOKUP(CONCATENATE($K21,"|",AR$11,"|",$M$5),IuranDSSebelumnya!$I$330:$N$772,5,FALSE),
        IF(COUNTIFS(IuranDSSebelumnya!$J$330:$J$772,$K21,IuranDSSebelumnya!$M$330:$M$772,AR$11,IuranDSSebelumnya!$L$330:$L$772,"&lt;&gt;"&amp;$M$5)&gt;0,
              "Iuran dari Lingkungan lain",
              ""))</f>
        <v>42278</v>
      </c>
      <c r="AS21" s="47">
        <f>IF(COUNTIFS(IuranDSSebelumnya!$J$330:$J$772,$K21,IuranDSSebelumnya!$M$330:$M$772,AS$11,IuranDSSebelumnya!$L$330:$L$772,$M$5)&gt;0,
        VLOOKUP(CONCATENATE($K21,"|",AS$11,"|",$M$5),IuranDSSebelumnya!$I$330:$N$772,5,FALSE),
        IF(COUNTIFS(IuranDSSebelumnya!$J$330:$J$772,$K21,IuranDSSebelumnya!$M$330:$M$772,AS$11,IuranDSSebelumnya!$L$330:$L$772,"&lt;&gt;"&amp;$M$5)&gt;0,
              "Iuran dari Lingkungan lain",
              ""))</f>
        <v>42309</v>
      </c>
      <c r="AT21" s="47">
        <f>IF(COUNTIFS(IuranDSSebelumnya!$J$330:$J$772,$K21,IuranDSSebelumnya!$M$330:$M$772,AT$11,IuranDSSebelumnya!$L$330:$L$772,$M$5)&gt;0,
        VLOOKUP(CONCATENATE($K21,"|",AT$11,"|",$M$5),IuranDSSebelumnya!$I$330:$N$772,5,FALSE),
        IF(COUNTIFS(IuranDSSebelumnya!$J$330:$J$772,$K21,IuranDSSebelumnya!$M$330:$M$772,AT$11,IuranDSSebelumnya!$L$330:$L$772,"&lt;&gt;"&amp;$M$5)&gt;0,
              "Iuran dari Lingkungan lain",
              ""))</f>
        <v>42339</v>
      </c>
      <c r="AU21" s="47">
        <f>IF(COUNTIFS(IuranDSSebelumnya!$J$330:$J$772,$K21,IuranDSSebelumnya!$M$330:$M$772,AU$11,IuranDSSebelumnya!$L$330:$L$772,$M$5)&gt;0,
        VLOOKUP(CONCATENATE($K21,"|",AU$11,"|",$M$5),IuranDSSebelumnya!$I$330:$N$772,5,FALSE),
        IF(COUNTIFS(IuranDSSebelumnya!$J$330:$J$772,$K21,IuranDSSebelumnya!$M$330:$M$772,AU$11,IuranDSSebelumnya!$L$330:$L$772,"&lt;&gt;"&amp;$M$5)&gt;0,
              "Iuran dari Lingkungan lain",
              ""))</f>
        <v>42370</v>
      </c>
      <c r="AV21" s="47">
        <f>IF(COUNTIFS(IuranDSSebelumnya!$J$330:$J$772,$K21,IuranDSSebelumnya!$M$330:$M$772,AV$11,IuranDSSebelumnya!$L$330:$L$772,$M$5)&gt;0,
        VLOOKUP(CONCATENATE($K21,"|",AV$11,"|",$M$5),IuranDSSebelumnya!$I$330:$N$772,5,FALSE),
        IF(COUNTIFS(IuranDSSebelumnya!$J$330:$J$772,$K21,IuranDSSebelumnya!$M$330:$M$772,AV$11,IuranDSSebelumnya!$L$330:$L$772,"&lt;&gt;"&amp;$M$5)&gt;0,
              "Iuran dari Lingkungan lain",
              ""))</f>
        <v>42401</v>
      </c>
      <c r="AW21" s="47">
        <f>IF(COUNTIFS(IuranDSSebelumnya!$J$330:$J$772,$K21,IuranDSSebelumnya!$M$330:$M$772,AW$11,IuranDSSebelumnya!$L$330:$L$772,$M$5)&gt;0,
        VLOOKUP(CONCATENATE($K21,"|",AW$11,"|",$M$5),IuranDSSebelumnya!$I$330:$N$772,5,FALSE),
        IF(COUNTIFS(IuranDSSebelumnya!$J$330:$J$772,$K21,IuranDSSebelumnya!$M$330:$M$772,AW$11,IuranDSSebelumnya!$L$330:$L$772,"&lt;&gt;"&amp;$M$5)&gt;0,
              "Iuran dari Lingkungan lain",
              ""))</f>
        <v>42430</v>
      </c>
      <c r="AX21" s="47">
        <f>IF(COUNTIFS(IuranDSSebelumnya!$J$330:$J$772,$K21,IuranDSSebelumnya!$M$330:$M$772,AX$11,IuranDSSebelumnya!$L$330:$L$772,$M$5)&gt;0,
        VLOOKUP(CONCATENATE($K21,"|",AX$11,"|",$M$5),IuranDSSebelumnya!$I$330:$N$772,5,FALSE),
        IF(COUNTIFS(IuranDSSebelumnya!$J$330:$J$772,$K21,IuranDSSebelumnya!$M$330:$M$772,AX$11,IuranDSSebelumnya!$L$330:$L$772,"&lt;&gt;"&amp;$M$5)&gt;0,
              "Iuran dari Lingkungan lain",
              ""))</f>
        <v>42461</v>
      </c>
      <c r="AY21" s="47">
        <f>IF(COUNTIFS(IuranDSSebelumnya!$J$330:$J$772,$K21,IuranDSSebelumnya!$M$330:$M$772,AY$11,IuranDSSebelumnya!$L$330:$L$772,$M$5)&gt;0,
        VLOOKUP(CONCATENATE($K21,"|",AY$11,"|",$M$5),IuranDSSebelumnya!$I$330:$N$772,5,FALSE),
        IF(COUNTIFS(IuranDSSebelumnya!$J$330:$J$772,$K21,IuranDSSebelumnya!$M$330:$M$772,AY$11,IuranDSSebelumnya!$L$330:$L$772,"&lt;&gt;"&amp;$M$5)&gt;0,
              "Iuran dari Lingkungan lain",
              ""))</f>
        <v>42491</v>
      </c>
      <c r="AZ21" s="47">
        <f>IF(COUNTIFS(IuranDSSebelumnya!$J$330:$J$772,$K21,IuranDSSebelumnya!$M$330:$M$772,AZ$11,IuranDSSebelumnya!$L$330:$L$772,$M$5)&gt;0,
        VLOOKUP(CONCATENATE($K21,"|",AZ$11,"|",$M$5),IuranDSSebelumnya!$I$330:$N$772,5,FALSE),
        IF(COUNTIFS(IuranDSSebelumnya!$J$330:$J$772,$K21,IuranDSSebelumnya!$M$330:$M$772,AZ$11,IuranDSSebelumnya!$L$330:$L$772,"&lt;&gt;"&amp;$M$5)&gt;0,
              "Iuran dari Lingkungan lain",
              ""))</f>
        <v>42522</v>
      </c>
      <c r="BA21" s="47">
        <f>IF(COUNTIFS(IuranDSSebelumnya!$J$330:$J$772,$K21,IuranDSSebelumnya!$M$330:$M$772,BA$11,IuranDSSebelumnya!$L$330:$L$772,$M$5)&gt;0,
        VLOOKUP(CONCATENATE($K21,"|",BA$11,"|",$M$5),IuranDSSebelumnya!$I$330:$N$772,5,FALSE),
        IF(COUNTIFS(IuranDSSebelumnya!$J$330:$J$772,$K21,IuranDSSebelumnya!$M$330:$M$772,BA$11,IuranDSSebelumnya!$L$330:$L$772,"&lt;&gt;"&amp;$M$5)&gt;0,
              "Iuran dari Lingkungan lain",
              ""))</f>
        <v>42552</v>
      </c>
      <c r="BB21" s="47">
        <f>IF(COUNTIFS(IuranDSSebelumnya!$J$330:$J$772,$K21,IuranDSSebelumnya!$M$330:$M$772,BB$11,IuranDSSebelumnya!$L$330:$L$772,$M$5)&gt;0,
        VLOOKUP(CONCATENATE($K21,"|",BB$11,"|",$M$5),IuranDSSebelumnya!$I$330:$N$772,5,FALSE),
        IF(COUNTIFS(IuranDSSebelumnya!$J$330:$J$772,$K21,IuranDSSebelumnya!$M$330:$M$772,BB$11,IuranDSSebelumnya!$L$330:$L$772,"&lt;&gt;"&amp;$M$5)&gt;0,
              "Iuran dari Lingkungan lain",
              ""))</f>
        <v>42583</v>
      </c>
      <c r="BC21" s="47">
        <f>IF(COUNTIFS(IuranDSSebelumnya!$J$330:$J$772,$K21,IuranDSSebelumnya!$M$330:$M$772,BC$11,IuranDSSebelumnya!$L$330:$L$772,$M$5)&gt;0,
        VLOOKUP(CONCATENATE($K21,"|",BC$11,"|",$M$5),IuranDSSebelumnya!$I$330:$N$772,5,FALSE),
        IF(COUNTIFS(IuranDSSebelumnya!$J$330:$J$772,$K21,IuranDSSebelumnya!$M$330:$M$772,BC$11,IuranDSSebelumnya!$L$330:$L$772,"&lt;&gt;"&amp;$M$5)&gt;0,
              "Iuran dari Lingkungan lain",
              ""))</f>
        <v>42614</v>
      </c>
      <c r="BD21" s="47">
        <f>IF(COUNTIFS(IuranDSSebelumnya!$J$330:$J$772,$K21,IuranDSSebelumnya!$M$330:$M$772,BD$11,IuranDSSebelumnya!$L$330:$L$772,$M$5)&gt;0,
        VLOOKUP(CONCATENATE($K21,"|",BD$11,"|",$M$5),IuranDSSebelumnya!$I$330:$N$772,5,FALSE),
        IF(COUNTIFS(IuranDSSebelumnya!$J$330:$J$772,$K21,IuranDSSebelumnya!$M$330:$M$772,BD$11,IuranDSSebelumnya!$L$330:$L$772,"&lt;&gt;"&amp;$M$5)&gt;0,
              "Iuran dari Lingkungan lain",
              ""))</f>
        <v>42644</v>
      </c>
      <c r="BE21" s="47">
        <f>IF(COUNTIFS(IuranDSSebelumnya!$J$330:$J$772,$K21,IuranDSSebelumnya!$M$330:$M$772,BE$11,IuranDSSebelumnya!$L$330:$L$772,$M$5)&gt;0,
        VLOOKUP(CONCATENATE($K21,"|",BE$11,"|",$M$5),IuranDSSebelumnya!$I$330:$N$772,5,FALSE),
        IF(COUNTIFS(IuranDSSebelumnya!$J$330:$J$772,$K21,IuranDSSebelumnya!$M$330:$M$772,BE$11,IuranDSSebelumnya!$L$330:$L$772,"&lt;&gt;"&amp;$M$5)&gt;0,
              "Iuran dari Lingkungan lain",
              ""))</f>
        <v>42675</v>
      </c>
      <c r="BF21" s="47">
        <f>IF(COUNTIFS(IuranDSSebelumnya!$J$330:$J$772,$K21,IuranDSSebelumnya!$M$330:$M$772,BF$11,IuranDSSebelumnya!$L$330:$L$772,$M$5)&gt;0,
        VLOOKUP(CONCATENATE($K21,"|",BF$11,"|",$M$5),IuranDSSebelumnya!$I$330:$N$772,5,FALSE),
        IF(COUNTIFS(IuranDSSebelumnya!$J$330:$J$772,$K21,IuranDSSebelumnya!$M$330:$M$772,BF$11,IuranDSSebelumnya!$L$330:$L$772,"&lt;&gt;"&amp;$M$5)&gt;0,
              "Iuran dari Lingkungan lain",
              ""))</f>
        <v>42705</v>
      </c>
      <c r="BG21" s="47" t="str">
        <f>IF(COUNTIFS(IuranDSSebelumnya!$J$330:$J$772,$K21,IuranDSSebelumnya!$M$330:$M$772,BG$11,IuranDSSebelumnya!$L$330:$L$772,$M$5)&gt;0,
        VLOOKUP(CONCATENATE($K21,"|",BG$11,"|",$M$5),IuranDSSebelumnya!$I$330:$N$772,5,FALSE),
        IF(COUNTIFS(IuranDSSebelumnya!$J$330:$J$772,$K21,IuranDSSebelumnya!$M$330:$M$772,BG$11,IuranDSSebelumnya!$L$330:$L$772,"&lt;&gt;"&amp;$M$5)&gt;0,
              "Iuran dari Lingkungan lain",
              ""))</f>
        <v/>
      </c>
      <c r="BH21" s="47" t="str">
        <f>IF(COUNTIFS(IuranDSSebelumnya!$J$330:$J$772,$K21,IuranDSSebelumnya!$M$330:$M$772,BH$11,IuranDSSebelumnya!$L$330:$L$772,$M$5)&gt;0,
        VLOOKUP(CONCATENATE($K21,"|",BH$11,"|",$M$5),IuranDSSebelumnya!$I$330:$N$772,5,FALSE),
        IF(COUNTIFS(IuranDSSebelumnya!$J$330:$J$772,$K21,IuranDSSebelumnya!$M$330:$M$772,BH$11,IuranDSSebelumnya!$L$330:$L$772,"&lt;&gt;"&amp;$M$5)&gt;0,
              "Iuran dari Lingkungan lain",
              ""))</f>
        <v/>
      </c>
      <c r="BI21" s="47" t="str">
        <f>IF(COUNTIFS(IuranDSSebelumnya!$J$330:$J$772,$K21,IuranDSSebelumnya!$M$330:$M$772,BI$11,IuranDSSebelumnya!$L$330:$L$772,$M$5)&gt;0,
        VLOOKUP(CONCATENATE($K21,"|",BI$11,"|",$M$5),IuranDSSebelumnya!$I$330:$N$772,5,FALSE),
        IF(COUNTIFS(IuranDSSebelumnya!$J$330:$J$772,$K21,IuranDSSebelumnya!$M$330:$M$772,BI$11,IuranDSSebelumnya!$L$330:$L$772,"&lt;&gt;"&amp;$M$5)&gt;0,
              "Iuran dari Lingkungan lain",
              ""))</f>
        <v/>
      </c>
      <c r="BJ21" s="47" t="str">
        <f>IF(COUNTIFS(IuranDSSebelumnya!$J$330:$J$772,$K21,IuranDSSebelumnya!$M$330:$M$772,BJ$11,IuranDSSebelumnya!$L$330:$L$772,$M$5)&gt;0,
        VLOOKUP(CONCATENATE($K21,"|",BJ$11,"|",$M$5),IuranDSSebelumnya!$I$330:$N$772,5,FALSE),
        IF(COUNTIFS(IuranDSSebelumnya!$J$330:$J$772,$K21,IuranDSSebelumnya!$M$330:$M$772,BJ$11,IuranDSSebelumnya!$L$330:$L$772,"&lt;&gt;"&amp;$M$5)&gt;0,
              "Iuran dari Lingkungan lain",
              ""))</f>
        <v/>
      </c>
      <c r="BK21" s="47" t="str">
        <f>IF(COUNTIFS(IuranDSSebelumnya!$J$330:$J$772,$K21,IuranDSSebelumnya!$M$330:$M$772,BK$11,IuranDSSebelumnya!$L$330:$L$772,$M$5)&gt;0,
        VLOOKUP(CONCATENATE($K21,"|",BK$11,"|",$M$5),IuranDSSebelumnya!$I$330:$N$772,5,FALSE),
        IF(COUNTIFS(IuranDSSebelumnya!$J$330:$J$772,$K21,IuranDSSebelumnya!$M$330:$M$772,BK$11,IuranDSSebelumnya!$L$330:$L$772,"&lt;&gt;"&amp;$M$5)&gt;0,
              "Iuran dari Lingkungan lain",
              ""))</f>
        <v/>
      </c>
      <c r="BL21" s="47" t="str">
        <f>IF(COUNTIFS(IuranDSSebelumnya!$J$330:$J$772,$K21,IuranDSSebelumnya!$M$330:$M$772,BL$11,IuranDSSebelumnya!$L$330:$L$772,$M$5)&gt;0,
        VLOOKUP(CONCATENATE($K21,"|",BL$11,"|",$M$5),IuranDSSebelumnya!$I$330:$N$772,5,FALSE),
        IF(COUNTIFS(IuranDSSebelumnya!$J$330:$J$772,$K21,IuranDSSebelumnya!$M$330:$M$772,BL$11,IuranDSSebelumnya!$L$330:$L$772,"&lt;&gt;"&amp;$M$5)&gt;0,
              "Iuran dari Lingkungan lain",
              ""))</f>
        <v/>
      </c>
    </row>
    <row r="22" spans="1:64" x14ac:dyDescent="0.35">
      <c r="A22" s="30" t="s">
        <v>6063</v>
      </c>
      <c r="C22" s="30" t="b">
        <f t="shared" ca="1" si="16"/>
        <v>0</v>
      </c>
      <c r="D22" s="30" t="str">
        <f>"""TRUST Nav"",""HSPMTB2016"",""18"",""1"",""KK-04603"""</f>
        <v>"TRUST Nav","HSPMTB2016","18","1","KK-04603"</v>
      </c>
      <c r="H22" s="30">
        <f t="shared" si="17"/>
        <v>0</v>
      </c>
      <c r="J22" s="30">
        <f t="shared" si="18"/>
        <v>10</v>
      </c>
      <c r="K22" s="30" t="str">
        <f>"KK-04603"</f>
        <v>KK-04603</v>
      </c>
      <c r="L22" s="30" t="str">
        <f>"Devi Clark Munthe"</f>
        <v>Devi Clark Munthe</v>
      </c>
      <c r="M22" s="30"/>
      <c r="N22" s="3"/>
      <c r="O22" s="3"/>
      <c r="P22" s="3"/>
      <c r="Q22" s="3"/>
      <c r="R22" s="3"/>
      <c r="S22" s="3"/>
      <c r="T22" s="11"/>
      <c r="U22" s="4"/>
      <c r="V22" s="4"/>
      <c r="W22" s="4"/>
      <c r="X22" s="4"/>
      <c r="Y22" s="15"/>
      <c r="Z22" s="4"/>
      <c r="AA22" s="4"/>
      <c r="AB22" s="4"/>
      <c r="AC22" s="4"/>
      <c r="AD22" s="4"/>
      <c r="AE22" s="4"/>
      <c r="AF22" s="11"/>
      <c r="AG22" s="4"/>
      <c r="AH22" s="4"/>
      <c r="AI22" s="4"/>
      <c r="AJ22" s="4"/>
      <c r="AK22" s="4"/>
      <c r="AL22" s="9">
        <f t="shared" si="19"/>
        <v>0</v>
      </c>
      <c r="AO22" s="47" t="str">
        <f>IF(COUNTIFS(IuranDSSebelumnya!$J$330:$J$772,$K22,IuranDSSebelumnya!$M$330:$M$772,AO$11,IuranDSSebelumnya!$L$330:$L$772,$M$5)&gt;0,
        VLOOKUP(CONCATENATE($K22,"|",AO$11,"|",$M$5),IuranDSSebelumnya!$I$330:$N$772,5,FALSE),
        IF(COUNTIFS(IuranDSSebelumnya!$J$330:$J$772,$K22,IuranDSSebelumnya!$M$330:$M$772,AO$11,IuranDSSebelumnya!$L$330:$L$772,"&lt;&gt;"&amp;$M$5)&gt;0,
              "Iuran dari Lingkungan lain",
              ""))</f>
        <v/>
      </c>
      <c r="AP22" s="47" t="str">
        <f>IF(COUNTIFS(IuranDSSebelumnya!$J$330:$J$772,$K22,IuranDSSebelumnya!$M$330:$M$772,AP$11,IuranDSSebelumnya!$L$330:$L$772,$M$5)&gt;0,
        VLOOKUP(CONCATENATE($K22,"|",AP$11,"|",$M$5),IuranDSSebelumnya!$I$330:$N$772,5,FALSE),
        IF(COUNTIFS(IuranDSSebelumnya!$J$330:$J$772,$K22,IuranDSSebelumnya!$M$330:$M$772,AP$11,IuranDSSebelumnya!$L$330:$L$772,"&lt;&gt;"&amp;$M$5)&gt;0,
              "Iuran dari Lingkungan lain",
              ""))</f>
        <v/>
      </c>
      <c r="AQ22" s="47" t="str">
        <f>IF(COUNTIFS(IuranDSSebelumnya!$J$330:$J$772,$K22,IuranDSSebelumnya!$M$330:$M$772,AQ$11,IuranDSSebelumnya!$L$330:$L$772,$M$5)&gt;0,
        VLOOKUP(CONCATENATE($K22,"|",AQ$11,"|",$M$5),IuranDSSebelumnya!$I$330:$N$772,5,FALSE),
        IF(COUNTIFS(IuranDSSebelumnya!$J$330:$J$772,$K22,IuranDSSebelumnya!$M$330:$M$772,AQ$11,IuranDSSebelumnya!$L$330:$L$772,"&lt;&gt;"&amp;$M$5)&gt;0,
              "Iuran dari Lingkungan lain",
              ""))</f>
        <v/>
      </c>
      <c r="AR22" s="47" t="str">
        <f>IF(COUNTIFS(IuranDSSebelumnya!$J$330:$J$772,$K22,IuranDSSebelumnya!$M$330:$M$772,AR$11,IuranDSSebelumnya!$L$330:$L$772,$M$5)&gt;0,
        VLOOKUP(CONCATENATE($K22,"|",AR$11,"|",$M$5),IuranDSSebelumnya!$I$330:$N$772,5,FALSE),
        IF(COUNTIFS(IuranDSSebelumnya!$J$330:$J$772,$K22,IuranDSSebelumnya!$M$330:$M$772,AR$11,IuranDSSebelumnya!$L$330:$L$772,"&lt;&gt;"&amp;$M$5)&gt;0,
              "Iuran dari Lingkungan lain",
              ""))</f>
        <v/>
      </c>
      <c r="AS22" s="47" t="str">
        <f>IF(COUNTIFS(IuranDSSebelumnya!$J$330:$J$772,$K22,IuranDSSebelumnya!$M$330:$M$772,AS$11,IuranDSSebelumnya!$L$330:$L$772,$M$5)&gt;0,
        VLOOKUP(CONCATENATE($K22,"|",AS$11,"|",$M$5),IuranDSSebelumnya!$I$330:$N$772,5,FALSE),
        IF(COUNTIFS(IuranDSSebelumnya!$J$330:$J$772,$K22,IuranDSSebelumnya!$M$330:$M$772,AS$11,IuranDSSebelumnya!$L$330:$L$772,"&lt;&gt;"&amp;$M$5)&gt;0,
              "Iuran dari Lingkungan lain",
              ""))</f>
        <v/>
      </c>
      <c r="AT22" s="47" t="str">
        <f>IF(COUNTIFS(IuranDSSebelumnya!$J$330:$J$772,$K22,IuranDSSebelumnya!$M$330:$M$772,AT$11,IuranDSSebelumnya!$L$330:$L$772,$M$5)&gt;0,
        VLOOKUP(CONCATENATE($K22,"|",AT$11,"|",$M$5),IuranDSSebelumnya!$I$330:$N$772,5,FALSE),
        IF(COUNTIFS(IuranDSSebelumnya!$J$330:$J$772,$K22,IuranDSSebelumnya!$M$330:$M$772,AT$11,IuranDSSebelumnya!$L$330:$L$772,"&lt;&gt;"&amp;$M$5)&gt;0,
              "Iuran dari Lingkungan lain",
              ""))</f>
        <v/>
      </c>
      <c r="AU22" s="47" t="str">
        <f>IF(COUNTIFS(IuranDSSebelumnya!$J$330:$J$772,$K22,IuranDSSebelumnya!$M$330:$M$772,AU$11,IuranDSSebelumnya!$L$330:$L$772,$M$5)&gt;0,
        VLOOKUP(CONCATENATE($K22,"|",AU$11,"|",$M$5),IuranDSSebelumnya!$I$330:$N$772,5,FALSE),
        IF(COUNTIFS(IuranDSSebelumnya!$J$330:$J$772,$K22,IuranDSSebelumnya!$M$330:$M$772,AU$11,IuranDSSebelumnya!$L$330:$L$772,"&lt;&gt;"&amp;$M$5)&gt;0,
              "Iuran dari Lingkungan lain",
              ""))</f>
        <v/>
      </c>
      <c r="AV22" s="47" t="str">
        <f>IF(COUNTIFS(IuranDSSebelumnya!$J$330:$J$772,$K22,IuranDSSebelumnya!$M$330:$M$772,AV$11,IuranDSSebelumnya!$L$330:$L$772,$M$5)&gt;0,
        VLOOKUP(CONCATENATE($K22,"|",AV$11,"|",$M$5),IuranDSSebelumnya!$I$330:$N$772,5,FALSE),
        IF(COUNTIFS(IuranDSSebelumnya!$J$330:$J$772,$K22,IuranDSSebelumnya!$M$330:$M$772,AV$11,IuranDSSebelumnya!$L$330:$L$772,"&lt;&gt;"&amp;$M$5)&gt;0,
              "Iuran dari Lingkungan lain",
              ""))</f>
        <v/>
      </c>
      <c r="AW22" s="47" t="str">
        <f>IF(COUNTIFS(IuranDSSebelumnya!$J$330:$J$772,$K22,IuranDSSebelumnya!$M$330:$M$772,AW$11,IuranDSSebelumnya!$L$330:$L$772,$M$5)&gt;0,
        VLOOKUP(CONCATENATE($K22,"|",AW$11,"|",$M$5),IuranDSSebelumnya!$I$330:$N$772,5,FALSE),
        IF(COUNTIFS(IuranDSSebelumnya!$J$330:$J$772,$K22,IuranDSSebelumnya!$M$330:$M$772,AW$11,IuranDSSebelumnya!$L$330:$L$772,"&lt;&gt;"&amp;$M$5)&gt;0,
              "Iuran dari Lingkungan lain",
              ""))</f>
        <v/>
      </c>
      <c r="AX22" s="47" t="str">
        <f>IF(COUNTIFS(IuranDSSebelumnya!$J$330:$J$772,$K22,IuranDSSebelumnya!$M$330:$M$772,AX$11,IuranDSSebelumnya!$L$330:$L$772,$M$5)&gt;0,
        VLOOKUP(CONCATENATE($K22,"|",AX$11,"|",$M$5),IuranDSSebelumnya!$I$330:$N$772,5,FALSE),
        IF(COUNTIFS(IuranDSSebelumnya!$J$330:$J$772,$K22,IuranDSSebelumnya!$M$330:$M$772,AX$11,IuranDSSebelumnya!$L$330:$L$772,"&lt;&gt;"&amp;$M$5)&gt;0,
              "Iuran dari Lingkungan lain",
              ""))</f>
        <v/>
      </c>
      <c r="AY22" s="47" t="str">
        <f>IF(COUNTIFS(IuranDSSebelumnya!$J$330:$J$772,$K22,IuranDSSebelumnya!$M$330:$M$772,AY$11,IuranDSSebelumnya!$L$330:$L$772,$M$5)&gt;0,
        VLOOKUP(CONCATENATE($K22,"|",AY$11,"|",$M$5),IuranDSSebelumnya!$I$330:$N$772,5,FALSE),
        IF(COUNTIFS(IuranDSSebelumnya!$J$330:$J$772,$K22,IuranDSSebelumnya!$M$330:$M$772,AY$11,IuranDSSebelumnya!$L$330:$L$772,"&lt;&gt;"&amp;$M$5)&gt;0,
              "Iuran dari Lingkungan lain",
              ""))</f>
        <v/>
      </c>
      <c r="AZ22" s="47" t="str">
        <f>IF(COUNTIFS(IuranDSSebelumnya!$J$330:$J$772,$K22,IuranDSSebelumnya!$M$330:$M$772,AZ$11,IuranDSSebelumnya!$L$330:$L$772,$M$5)&gt;0,
        VLOOKUP(CONCATENATE($K22,"|",AZ$11,"|",$M$5),IuranDSSebelumnya!$I$330:$N$772,5,FALSE),
        IF(COUNTIFS(IuranDSSebelumnya!$J$330:$J$772,$K22,IuranDSSebelumnya!$M$330:$M$772,AZ$11,IuranDSSebelumnya!$L$330:$L$772,"&lt;&gt;"&amp;$M$5)&gt;0,
              "Iuran dari Lingkungan lain",
              ""))</f>
        <v/>
      </c>
      <c r="BA22" s="47" t="str">
        <f>IF(COUNTIFS(IuranDSSebelumnya!$J$330:$J$772,$K22,IuranDSSebelumnya!$M$330:$M$772,BA$11,IuranDSSebelumnya!$L$330:$L$772,$M$5)&gt;0,
        VLOOKUP(CONCATENATE($K22,"|",BA$11,"|",$M$5),IuranDSSebelumnya!$I$330:$N$772,5,FALSE),
        IF(COUNTIFS(IuranDSSebelumnya!$J$330:$J$772,$K22,IuranDSSebelumnya!$M$330:$M$772,BA$11,IuranDSSebelumnya!$L$330:$L$772,"&lt;&gt;"&amp;$M$5)&gt;0,
              "Iuran dari Lingkungan lain",
              ""))</f>
        <v/>
      </c>
      <c r="BB22" s="47" t="str">
        <f>IF(COUNTIFS(IuranDSSebelumnya!$J$330:$J$772,$K22,IuranDSSebelumnya!$M$330:$M$772,BB$11,IuranDSSebelumnya!$L$330:$L$772,$M$5)&gt;0,
        VLOOKUP(CONCATENATE($K22,"|",BB$11,"|",$M$5),IuranDSSebelumnya!$I$330:$N$772,5,FALSE),
        IF(COUNTIFS(IuranDSSebelumnya!$J$330:$J$772,$K22,IuranDSSebelumnya!$M$330:$M$772,BB$11,IuranDSSebelumnya!$L$330:$L$772,"&lt;&gt;"&amp;$M$5)&gt;0,
              "Iuran dari Lingkungan lain",
              ""))</f>
        <v/>
      </c>
      <c r="BC22" s="47" t="str">
        <f>IF(COUNTIFS(IuranDSSebelumnya!$J$330:$J$772,$K22,IuranDSSebelumnya!$M$330:$M$772,BC$11,IuranDSSebelumnya!$L$330:$L$772,$M$5)&gt;0,
        VLOOKUP(CONCATENATE($K22,"|",BC$11,"|",$M$5),IuranDSSebelumnya!$I$330:$N$772,5,FALSE),
        IF(COUNTIFS(IuranDSSebelumnya!$J$330:$J$772,$K22,IuranDSSebelumnya!$M$330:$M$772,BC$11,IuranDSSebelumnya!$L$330:$L$772,"&lt;&gt;"&amp;$M$5)&gt;0,
              "Iuran dari Lingkungan lain",
              ""))</f>
        <v/>
      </c>
      <c r="BD22" s="47" t="str">
        <f>IF(COUNTIFS(IuranDSSebelumnya!$J$330:$J$772,$K22,IuranDSSebelumnya!$M$330:$M$772,BD$11,IuranDSSebelumnya!$L$330:$L$772,$M$5)&gt;0,
        VLOOKUP(CONCATENATE($K22,"|",BD$11,"|",$M$5),IuranDSSebelumnya!$I$330:$N$772,5,FALSE),
        IF(COUNTIFS(IuranDSSebelumnya!$J$330:$J$772,$K22,IuranDSSebelumnya!$M$330:$M$772,BD$11,IuranDSSebelumnya!$L$330:$L$772,"&lt;&gt;"&amp;$M$5)&gt;0,
              "Iuran dari Lingkungan lain",
              ""))</f>
        <v/>
      </c>
      <c r="BE22" s="47" t="str">
        <f>IF(COUNTIFS(IuranDSSebelumnya!$J$330:$J$772,$K22,IuranDSSebelumnya!$M$330:$M$772,BE$11,IuranDSSebelumnya!$L$330:$L$772,$M$5)&gt;0,
        VLOOKUP(CONCATENATE($K22,"|",BE$11,"|",$M$5),IuranDSSebelumnya!$I$330:$N$772,5,FALSE),
        IF(COUNTIFS(IuranDSSebelumnya!$J$330:$J$772,$K22,IuranDSSebelumnya!$M$330:$M$772,BE$11,IuranDSSebelumnya!$L$330:$L$772,"&lt;&gt;"&amp;$M$5)&gt;0,
              "Iuran dari Lingkungan lain",
              ""))</f>
        <v/>
      </c>
      <c r="BF22" s="47" t="str">
        <f>IF(COUNTIFS(IuranDSSebelumnya!$J$330:$J$772,$K22,IuranDSSebelumnya!$M$330:$M$772,BF$11,IuranDSSebelumnya!$L$330:$L$772,$M$5)&gt;0,
        VLOOKUP(CONCATENATE($K22,"|",BF$11,"|",$M$5),IuranDSSebelumnya!$I$330:$N$772,5,FALSE),
        IF(COUNTIFS(IuranDSSebelumnya!$J$330:$J$772,$K22,IuranDSSebelumnya!$M$330:$M$772,BF$11,IuranDSSebelumnya!$L$330:$L$772,"&lt;&gt;"&amp;$M$5)&gt;0,
              "Iuran dari Lingkungan lain",
              ""))</f>
        <v/>
      </c>
      <c r="BG22" s="47" t="str">
        <f>IF(COUNTIFS(IuranDSSebelumnya!$J$330:$J$772,$K22,IuranDSSebelumnya!$M$330:$M$772,BG$11,IuranDSSebelumnya!$L$330:$L$772,$M$5)&gt;0,
        VLOOKUP(CONCATENATE($K22,"|",BG$11,"|",$M$5),IuranDSSebelumnya!$I$330:$N$772,5,FALSE),
        IF(COUNTIFS(IuranDSSebelumnya!$J$330:$J$772,$K22,IuranDSSebelumnya!$M$330:$M$772,BG$11,IuranDSSebelumnya!$L$330:$L$772,"&lt;&gt;"&amp;$M$5)&gt;0,
              "Iuran dari Lingkungan lain",
              ""))</f>
        <v/>
      </c>
      <c r="BH22" s="47" t="str">
        <f>IF(COUNTIFS(IuranDSSebelumnya!$J$330:$J$772,$K22,IuranDSSebelumnya!$M$330:$M$772,BH$11,IuranDSSebelumnya!$L$330:$L$772,$M$5)&gt;0,
        VLOOKUP(CONCATENATE($K22,"|",BH$11,"|",$M$5),IuranDSSebelumnya!$I$330:$N$772,5,FALSE),
        IF(COUNTIFS(IuranDSSebelumnya!$J$330:$J$772,$K22,IuranDSSebelumnya!$M$330:$M$772,BH$11,IuranDSSebelumnya!$L$330:$L$772,"&lt;&gt;"&amp;$M$5)&gt;0,
              "Iuran dari Lingkungan lain",
              ""))</f>
        <v/>
      </c>
      <c r="BI22" s="47" t="str">
        <f>IF(COUNTIFS(IuranDSSebelumnya!$J$330:$J$772,$K22,IuranDSSebelumnya!$M$330:$M$772,BI$11,IuranDSSebelumnya!$L$330:$L$772,$M$5)&gt;0,
        VLOOKUP(CONCATENATE($K22,"|",BI$11,"|",$M$5),IuranDSSebelumnya!$I$330:$N$772,5,FALSE),
        IF(COUNTIFS(IuranDSSebelumnya!$J$330:$J$772,$K22,IuranDSSebelumnya!$M$330:$M$772,BI$11,IuranDSSebelumnya!$L$330:$L$772,"&lt;&gt;"&amp;$M$5)&gt;0,
              "Iuran dari Lingkungan lain",
              ""))</f>
        <v/>
      </c>
      <c r="BJ22" s="47" t="str">
        <f>IF(COUNTIFS(IuranDSSebelumnya!$J$330:$J$772,$K22,IuranDSSebelumnya!$M$330:$M$772,BJ$11,IuranDSSebelumnya!$L$330:$L$772,$M$5)&gt;0,
        VLOOKUP(CONCATENATE($K22,"|",BJ$11,"|",$M$5),IuranDSSebelumnya!$I$330:$N$772,5,FALSE),
        IF(COUNTIFS(IuranDSSebelumnya!$J$330:$J$772,$K22,IuranDSSebelumnya!$M$330:$M$772,BJ$11,IuranDSSebelumnya!$L$330:$L$772,"&lt;&gt;"&amp;$M$5)&gt;0,
              "Iuran dari Lingkungan lain",
              ""))</f>
        <v/>
      </c>
      <c r="BK22" s="47" t="str">
        <f>IF(COUNTIFS(IuranDSSebelumnya!$J$330:$J$772,$K22,IuranDSSebelumnya!$M$330:$M$772,BK$11,IuranDSSebelumnya!$L$330:$L$772,$M$5)&gt;0,
        VLOOKUP(CONCATENATE($K22,"|",BK$11,"|",$M$5),IuranDSSebelumnya!$I$330:$N$772,5,FALSE),
        IF(COUNTIFS(IuranDSSebelumnya!$J$330:$J$772,$K22,IuranDSSebelumnya!$M$330:$M$772,BK$11,IuranDSSebelumnya!$L$330:$L$772,"&lt;&gt;"&amp;$M$5)&gt;0,
              "Iuran dari Lingkungan lain",
              ""))</f>
        <v/>
      </c>
      <c r="BL22" s="47" t="str">
        <f>IF(COUNTIFS(IuranDSSebelumnya!$J$330:$J$772,$K22,IuranDSSebelumnya!$M$330:$M$772,BL$11,IuranDSSebelumnya!$L$330:$L$772,$M$5)&gt;0,
        VLOOKUP(CONCATENATE($K22,"|",BL$11,"|",$M$5),IuranDSSebelumnya!$I$330:$N$772,5,FALSE),
        IF(COUNTIFS(IuranDSSebelumnya!$J$330:$J$772,$K22,IuranDSSebelumnya!$M$330:$M$772,BL$11,IuranDSSebelumnya!$L$330:$L$772,"&lt;&gt;"&amp;$M$5)&gt;0,
              "Iuran dari Lingkungan lain",
              ""))</f>
        <v/>
      </c>
    </row>
    <row r="23" spans="1:64" x14ac:dyDescent="0.35">
      <c r="A23" s="30" t="s">
        <v>6063</v>
      </c>
      <c r="C23" s="30" t="b">
        <f t="shared" ca="1" si="16"/>
        <v>0</v>
      </c>
      <c r="D23" s="30" t="str">
        <f>"""TRUST Nav"",""HSPMTB2016"",""18"",""1"",""KK-04604"""</f>
        <v>"TRUST Nav","HSPMTB2016","18","1","KK-04604"</v>
      </c>
      <c r="H23" s="30">
        <f t="shared" si="17"/>
        <v>0</v>
      </c>
      <c r="J23" s="30">
        <f t="shared" si="18"/>
        <v>11</v>
      </c>
      <c r="K23" s="30" t="str">
        <f>"KK-04604"</f>
        <v>KK-04604</v>
      </c>
      <c r="L23" s="30" t="str">
        <f>"Edward"</f>
        <v>Edward</v>
      </c>
      <c r="M23" s="30"/>
      <c r="N23" s="129"/>
      <c r="O23" s="129"/>
      <c r="P23" s="129"/>
      <c r="Q23" s="129"/>
      <c r="R23" s="129"/>
      <c r="S23" s="129"/>
      <c r="T23" s="11"/>
      <c r="U23" s="4"/>
      <c r="V23" s="4"/>
      <c r="W23" s="4"/>
      <c r="X23" s="4"/>
      <c r="Y23" s="15"/>
      <c r="Z23" s="4"/>
      <c r="AA23" s="4"/>
      <c r="AB23" s="4"/>
      <c r="AC23" s="4"/>
      <c r="AD23" s="4"/>
      <c r="AE23" s="4"/>
      <c r="AF23" s="11"/>
      <c r="AG23" s="4"/>
      <c r="AH23" s="4"/>
      <c r="AI23" s="4"/>
      <c r="AJ23" s="4"/>
      <c r="AK23" s="4"/>
      <c r="AL23" s="9">
        <f t="shared" si="19"/>
        <v>0</v>
      </c>
      <c r="AO23" s="47">
        <f>IF(COUNTIFS(IuranDSSebelumnya!$J$330:$J$772,$K23,IuranDSSebelumnya!$M$330:$M$772,AO$11,IuranDSSebelumnya!$L$330:$L$772,$M$5)&gt;0,
        VLOOKUP(CONCATENATE($K23,"|",AO$11,"|",$M$5),IuranDSSebelumnya!$I$330:$N$772,5,FALSE),
        IF(COUNTIFS(IuranDSSebelumnya!$J$330:$J$772,$K23,IuranDSSebelumnya!$M$330:$M$772,AO$11,IuranDSSebelumnya!$L$330:$L$772,"&lt;&gt;"&amp;$M$5)&gt;0,
              "Iuran dari Lingkungan lain",
              ""))</f>
        <v>42186</v>
      </c>
      <c r="AP23" s="47">
        <f>IF(COUNTIFS(IuranDSSebelumnya!$J$330:$J$772,$K23,IuranDSSebelumnya!$M$330:$M$772,AP$11,IuranDSSebelumnya!$L$330:$L$772,$M$5)&gt;0,
        VLOOKUP(CONCATENATE($K23,"|",AP$11,"|",$M$5),IuranDSSebelumnya!$I$330:$N$772,5,FALSE),
        IF(COUNTIFS(IuranDSSebelumnya!$J$330:$J$772,$K23,IuranDSSebelumnya!$M$330:$M$772,AP$11,IuranDSSebelumnya!$L$330:$L$772,"&lt;&gt;"&amp;$M$5)&gt;0,
              "Iuran dari Lingkungan lain",
              ""))</f>
        <v>42217</v>
      </c>
      <c r="AQ23" s="47">
        <f>IF(COUNTIFS(IuranDSSebelumnya!$J$330:$J$772,$K23,IuranDSSebelumnya!$M$330:$M$772,AQ$11,IuranDSSebelumnya!$L$330:$L$772,$M$5)&gt;0,
        VLOOKUP(CONCATENATE($K23,"|",AQ$11,"|",$M$5),IuranDSSebelumnya!$I$330:$N$772,5,FALSE),
        IF(COUNTIFS(IuranDSSebelumnya!$J$330:$J$772,$K23,IuranDSSebelumnya!$M$330:$M$772,AQ$11,IuranDSSebelumnya!$L$330:$L$772,"&lt;&gt;"&amp;$M$5)&gt;0,
              "Iuran dari Lingkungan lain",
              ""))</f>
        <v>42248</v>
      </c>
      <c r="AR23" s="47">
        <f>IF(COUNTIFS(IuranDSSebelumnya!$J$330:$J$772,$K23,IuranDSSebelumnya!$M$330:$M$772,AR$11,IuranDSSebelumnya!$L$330:$L$772,$M$5)&gt;0,
        VLOOKUP(CONCATENATE($K23,"|",AR$11,"|",$M$5),IuranDSSebelumnya!$I$330:$N$772,5,FALSE),
        IF(COUNTIFS(IuranDSSebelumnya!$J$330:$J$772,$K23,IuranDSSebelumnya!$M$330:$M$772,AR$11,IuranDSSebelumnya!$L$330:$L$772,"&lt;&gt;"&amp;$M$5)&gt;0,
              "Iuran dari Lingkungan lain",
              ""))</f>
        <v>42278</v>
      </c>
      <c r="AS23" s="47">
        <f>IF(COUNTIFS(IuranDSSebelumnya!$J$330:$J$772,$K23,IuranDSSebelumnya!$M$330:$M$772,AS$11,IuranDSSebelumnya!$L$330:$L$772,$M$5)&gt;0,
        VLOOKUP(CONCATENATE($K23,"|",AS$11,"|",$M$5),IuranDSSebelumnya!$I$330:$N$772,5,FALSE),
        IF(COUNTIFS(IuranDSSebelumnya!$J$330:$J$772,$K23,IuranDSSebelumnya!$M$330:$M$772,AS$11,IuranDSSebelumnya!$L$330:$L$772,"&lt;&gt;"&amp;$M$5)&gt;0,
              "Iuran dari Lingkungan lain",
              ""))</f>
        <v>42309</v>
      </c>
      <c r="AT23" s="47">
        <f>IF(COUNTIFS(IuranDSSebelumnya!$J$330:$J$772,$K23,IuranDSSebelumnya!$M$330:$M$772,AT$11,IuranDSSebelumnya!$L$330:$L$772,$M$5)&gt;0,
        VLOOKUP(CONCATENATE($K23,"|",AT$11,"|",$M$5),IuranDSSebelumnya!$I$330:$N$772,5,FALSE),
        IF(COUNTIFS(IuranDSSebelumnya!$J$330:$J$772,$K23,IuranDSSebelumnya!$M$330:$M$772,AT$11,IuranDSSebelumnya!$L$330:$L$772,"&lt;&gt;"&amp;$M$5)&gt;0,
              "Iuran dari Lingkungan lain",
              ""))</f>
        <v>42339</v>
      </c>
      <c r="AU23" s="47" t="str">
        <f>IF(COUNTIFS(IuranDSSebelumnya!$J$330:$J$772,$K23,IuranDSSebelumnya!$M$330:$M$772,AU$11,IuranDSSebelumnya!$L$330:$L$772,$M$5)&gt;0,
        VLOOKUP(CONCATENATE($K23,"|",AU$11,"|",$M$5),IuranDSSebelumnya!$I$330:$N$772,5,FALSE),
        IF(COUNTIFS(IuranDSSebelumnya!$J$330:$J$772,$K23,IuranDSSebelumnya!$M$330:$M$772,AU$11,IuranDSSebelumnya!$L$330:$L$772,"&lt;&gt;"&amp;$M$5)&gt;0,
              "Iuran dari Lingkungan lain",
              ""))</f>
        <v/>
      </c>
      <c r="AV23" s="47" t="str">
        <f>IF(COUNTIFS(IuranDSSebelumnya!$J$330:$J$772,$K23,IuranDSSebelumnya!$M$330:$M$772,AV$11,IuranDSSebelumnya!$L$330:$L$772,$M$5)&gt;0,
        VLOOKUP(CONCATENATE($K23,"|",AV$11,"|",$M$5),IuranDSSebelumnya!$I$330:$N$772,5,FALSE),
        IF(COUNTIFS(IuranDSSebelumnya!$J$330:$J$772,$K23,IuranDSSebelumnya!$M$330:$M$772,AV$11,IuranDSSebelumnya!$L$330:$L$772,"&lt;&gt;"&amp;$M$5)&gt;0,
              "Iuran dari Lingkungan lain",
              ""))</f>
        <v/>
      </c>
      <c r="AW23" s="47" t="str">
        <f>IF(COUNTIFS(IuranDSSebelumnya!$J$330:$J$772,$K23,IuranDSSebelumnya!$M$330:$M$772,AW$11,IuranDSSebelumnya!$L$330:$L$772,$M$5)&gt;0,
        VLOOKUP(CONCATENATE($K23,"|",AW$11,"|",$M$5),IuranDSSebelumnya!$I$330:$N$772,5,FALSE),
        IF(COUNTIFS(IuranDSSebelumnya!$J$330:$J$772,$K23,IuranDSSebelumnya!$M$330:$M$772,AW$11,IuranDSSebelumnya!$L$330:$L$772,"&lt;&gt;"&amp;$M$5)&gt;0,
              "Iuran dari Lingkungan lain",
              ""))</f>
        <v/>
      </c>
      <c r="AX23" s="47" t="str">
        <f>IF(COUNTIFS(IuranDSSebelumnya!$J$330:$J$772,$K23,IuranDSSebelumnya!$M$330:$M$772,AX$11,IuranDSSebelumnya!$L$330:$L$772,$M$5)&gt;0,
        VLOOKUP(CONCATENATE($K23,"|",AX$11,"|",$M$5),IuranDSSebelumnya!$I$330:$N$772,5,FALSE),
        IF(COUNTIFS(IuranDSSebelumnya!$J$330:$J$772,$K23,IuranDSSebelumnya!$M$330:$M$772,AX$11,IuranDSSebelumnya!$L$330:$L$772,"&lt;&gt;"&amp;$M$5)&gt;0,
              "Iuran dari Lingkungan lain",
              ""))</f>
        <v/>
      </c>
      <c r="AY23" s="47" t="str">
        <f>IF(COUNTIFS(IuranDSSebelumnya!$J$330:$J$772,$K23,IuranDSSebelumnya!$M$330:$M$772,AY$11,IuranDSSebelumnya!$L$330:$L$772,$M$5)&gt;0,
        VLOOKUP(CONCATENATE($K23,"|",AY$11,"|",$M$5),IuranDSSebelumnya!$I$330:$N$772,5,FALSE),
        IF(COUNTIFS(IuranDSSebelumnya!$J$330:$J$772,$K23,IuranDSSebelumnya!$M$330:$M$772,AY$11,IuranDSSebelumnya!$L$330:$L$772,"&lt;&gt;"&amp;$M$5)&gt;0,
              "Iuran dari Lingkungan lain",
              ""))</f>
        <v/>
      </c>
      <c r="AZ23" s="47" t="str">
        <f>IF(COUNTIFS(IuranDSSebelumnya!$J$330:$J$772,$K23,IuranDSSebelumnya!$M$330:$M$772,AZ$11,IuranDSSebelumnya!$L$330:$L$772,$M$5)&gt;0,
        VLOOKUP(CONCATENATE($K23,"|",AZ$11,"|",$M$5),IuranDSSebelumnya!$I$330:$N$772,5,FALSE),
        IF(COUNTIFS(IuranDSSebelumnya!$J$330:$J$772,$K23,IuranDSSebelumnya!$M$330:$M$772,AZ$11,IuranDSSebelumnya!$L$330:$L$772,"&lt;&gt;"&amp;$M$5)&gt;0,
              "Iuran dari Lingkungan lain",
              ""))</f>
        <v/>
      </c>
      <c r="BA23" s="47" t="str">
        <f>IF(COUNTIFS(IuranDSSebelumnya!$J$330:$J$772,$K23,IuranDSSebelumnya!$M$330:$M$772,BA$11,IuranDSSebelumnya!$L$330:$L$772,$M$5)&gt;0,
        VLOOKUP(CONCATENATE($K23,"|",BA$11,"|",$M$5),IuranDSSebelumnya!$I$330:$N$772,5,FALSE),
        IF(COUNTIFS(IuranDSSebelumnya!$J$330:$J$772,$K23,IuranDSSebelumnya!$M$330:$M$772,BA$11,IuranDSSebelumnya!$L$330:$L$772,"&lt;&gt;"&amp;$M$5)&gt;0,
              "Iuran dari Lingkungan lain",
              ""))</f>
        <v/>
      </c>
      <c r="BB23" s="47" t="str">
        <f>IF(COUNTIFS(IuranDSSebelumnya!$J$330:$J$772,$K23,IuranDSSebelumnya!$M$330:$M$772,BB$11,IuranDSSebelumnya!$L$330:$L$772,$M$5)&gt;0,
        VLOOKUP(CONCATENATE($K23,"|",BB$11,"|",$M$5),IuranDSSebelumnya!$I$330:$N$772,5,FALSE),
        IF(COUNTIFS(IuranDSSebelumnya!$J$330:$J$772,$K23,IuranDSSebelumnya!$M$330:$M$772,BB$11,IuranDSSebelumnya!$L$330:$L$772,"&lt;&gt;"&amp;$M$5)&gt;0,
              "Iuran dari Lingkungan lain",
              ""))</f>
        <v/>
      </c>
      <c r="BC23" s="47" t="str">
        <f>IF(COUNTIFS(IuranDSSebelumnya!$J$330:$J$772,$K23,IuranDSSebelumnya!$M$330:$M$772,BC$11,IuranDSSebelumnya!$L$330:$L$772,$M$5)&gt;0,
        VLOOKUP(CONCATENATE($K23,"|",BC$11,"|",$M$5),IuranDSSebelumnya!$I$330:$N$772,5,FALSE),
        IF(COUNTIFS(IuranDSSebelumnya!$J$330:$J$772,$K23,IuranDSSebelumnya!$M$330:$M$772,BC$11,IuranDSSebelumnya!$L$330:$L$772,"&lt;&gt;"&amp;$M$5)&gt;0,
              "Iuran dari Lingkungan lain",
              ""))</f>
        <v/>
      </c>
      <c r="BD23" s="47" t="str">
        <f>IF(COUNTIFS(IuranDSSebelumnya!$J$330:$J$772,$K23,IuranDSSebelumnya!$M$330:$M$772,BD$11,IuranDSSebelumnya!$L$330:$L$772,$M$5)&gt;0,
        VLOOKUP(CONCATENATE($K23,"|",BD$11,"|",$M$5),IuranDSSebelumnya!$I$330:$N$772,5,FALSE),
        IF(COUNTIFS(IuranDSSebelumnya!$J$330:$J$772,$K23,IuranDSSebelumnya!$M$330:$M$772,BD$11,IuranDSSebelumnya!$L$330:$L$772,"&lt;&gt;"&amp;$M$5)&gt;0,
              "Iuran dari Lingkungan lain",
              ""))</f>
        <v/>
      </c>
      <c r="BE23" s="47" t="str">
        <f>IF(COUNTIFS(IuranDSSebelumnya!$J$330:$J$772,$K23,IuranDSSebelumnya!$M$330:$M$772,BE$11,IuranDSSebelumnya!$L$330:$L$772,$M$5)&gt;0,
        VLOOKUP(CONCATENATE($K23,"|",BE$11,"|",$M$5),IuranDSSebelumnya!$I$330:$N$772,5,FALSE),
        IF(COUNTIFS(IuranDSSebelumnya!$J$330:$J$772,$K23,IuranDSSebelumnya!$M$330:$M$772,BE$11,IuranDSSebelumnya!$L$330:$L$772,"&lt;&gt;"&amp;$M$5)&gt;0,
              "Iuran dari Lingkungan lain",
              ""))</f>
        <v/>
      </c>
      <c r="BF23" s="47" t="str">
        <f>IF(COUNTIFS(IuranDSSebelumnya!$J$330:$J$772,$K23,IuranDSSebelumnya!$M$330:$M$772,BF$11,IuranDSSebelumnya!$L$330:$L$772,$M$5)&gt;0,
        VLOOKUP(CONCATENATE($K23,"|",BF$11,"|",$M$5),IuranDSSebelumnya!$I$330:$N$772,5,FALSE),
        IF(COUNTIFS(IuranDSSebelumnya!$J$330:$J$772,$K23,IuranDSSebelumnya!$M$330:$M$772,BF$11,IuranDSSebelumnya!$L$330:$L$772,"&lt;&gt;"&amp;$M$5)&gt;0,
              "Iuran dari Lingkungan lain",
              ""))</f>
        <v/>
      </c>
      <c r="BG23" s="47" t="str">
        <f>IF(COUNTIFS(IuranDSSebelumnya!$J$330:$J$772,$K23,IuranDSSebelumnya!$M$330:$M$772,BG$11,IuranDSSebelumnya!$L$330:$L$772,$M$5)&gt;0,
        VLOOKUP(CONCATENATE($K23,"|",BG$11,"|",$M$5),IuranDSSebelumnya!$I$330:$N$772,5,FALSE),
        IF(COUNTIFS(IuranDSSebelumnya!$J$330:$J$772,$K23,IuranDSSebelumnya!$M$330:$M$772,BG$11,IuranDSSebelumnya!$L$330:$L$772,"&lt;&gt;"&amp;$M$5)&gt;0,
              "Iuran dari Lingkungan lain",
              ""))</f>
        <v/>
      </c>
      <c r="BH23" s="47" t="str">
        <f>IF(COUNTIFS(IuranDSSebelumnya!$J$330:$J$772,$K23,IuranDSSebelumnya!$M$330:$M$772,BH$11,IuranDSSebelumnya!$L$330:$L$772,$M$5)&gt;0,
        VLOOKUP(CONCATENATE($K23,"|",BH$11,"|",$M$5),IuranDSSebelumnya!$I$330:$N$772,5,FALSE),
        IF(COUNTIFS(IuranDSSebelumnya!$J$330:$J$772,$K23,IuranDSSebelumnya!$M$330:$M$772,BH$11,IuranDSSebelumnya!$L$330:$L$772,"&lt;&gt;"&amp;$M$5)&gt;0,
              "Iuran dari Lingkungan lain",
              ""))</f>
        <v/>
      </c>
      <c r="BI23" s="47" t="str">
        <f>IF(COUNTIFS(IuranDSSebelumnya!$J$330:$J$772,$K23,IuranDSSebelumnya!$M$330:$M$772,BI$11,IuranDSSebelumnya!$L$330:$L$772,$M$5)&gt;0,
        VLOOKUP(CONCATENATE($K23,"|",BI$11,"|",$M$5),IuranDSSebelumnya!$I$330:$N$772,5,FALSE),
        IF(COUNTIFS(IuranDSSebelumnya!$J$330:$J$772,$K23,IuranDSSebelumnya!$M$330:$M$772,BI$11,IuranDSSebelumnya!$L$330:$L$772,"&lt;&gt;"&amp;$M$5)&gt;0,
              "Iuran dari Lingkungan lain",
              ""))</f>
        <v/>
      </c>
      <c r="BJ23" s="47" t="str">
        <f>IF(COUNTIFS(IuranDSSebelumnya!$J$330:$J$772,$K23,IuranDSSebelumnya!$M$330:$M$772,BJ$11,IuranDSSebelumnya!$L$330:$L$772,$M$5)&gt;0,
        VLOOKUP(CONCATENATE($K23,"|",BJ$11,"|",$M$5),IuranDSSebelumnya!$I$330:$N$772,5,FALSE),
        IF(COUNTIFS(IuranDSSebelumnya!$J$330:$J$772,$K23,IuranDSSebelumnya!$M$330:$M$772,BJ$11,IuranDSSebelumnya!$L$330:$L$772,"&lt;&gt;"&amp;$M$5)&gt;0,
              "Iuran dari Lingkungan lain",
              ""))</f>
        <v/>
      </c>
      <c r="BK23" s="47" t="str">
        <f>IF(COUNTIFS(IuranDSSebelumnya!$J$330:$J$772,$K23,IuranDSSebelumnya!$M$330:$M$772,BK$11,IuranDSSebelumnya!$L$330:$L$772,$M$5)&gt;0,
        VLOOKUP(CONCATENATE($K23,"|",BK$11,"|",$M$5),IuranDSSebelumnya!$I$330:$N$772,5,FALSE),
        IF(COUNTIFS(IuranDSSebelumnya!$J$330:$J$772,$K23,IuranDSSebelumnya!$M$330:$M$772,BK$11,IuranDSSebelumnya!$L$330:$L$772,"&lt;&gt;"&amp;$M$5)&gt;0,
              "Iuran dari Lingkungan lain",
              ""))</f>
        <v/>
      </c>
      <c r="BL23" s="47" t="str">
        <f>IF(COUNTIFS(IuranDSSebelumnya!$J$330:$J$772,$K23,IuranDSSebelumnya!$M$330:$M$772,BL$11,IuranDSSebelumnya!$L$330:$L$772,$M$5)&gt;0,
        VLOOKUP(CONCATENATE($K23,"|",BL$11,"|",$M$5),IuranDSSebelumnya!$I$330:$N$772,5,FALSE),
        IF(COUNTIFS(IuranDSSebelumnya!$J$330:$J$772,$K23,IuranDSSebelumnya!$M$330:$M$772,BL$11,IuranDSSebelumnya!$L$330:$L$772,"&lt;&gt;"&amp;$M$5)&gt;0,
              "Iuran dari Lingkungan lain",
              ""))</f>
        <v/>
      </c>
    </row>
    <row r="24" spans="1:64" x14ac:dyDescent="0.35">
      <c r="A24" s="30" t="s">
        <v>6063</v>
      </c>
      <c r="C24" s="30" t="b">
        <f t="shared" ca="1" si="16"/>
        <v>0</v>
      </c>
      <c r="D24" s="30" t="str">
        <f>"""TRUST Nav"",""HSPMTB2016"",""18"",""1"",""KK-05047"""</f>
        <v>"TRUST Nav","HSPMTB2016","18","1","KK-05047"</v>
      </c>
      <c r="H24" s="30">
        <f t="shared" si="17"/>
        <v>0</v>
      </c>
      <c r="J24" s="30">
        <f t="shared" si="18"/>
        <v>12</v>
      </c>
      <c r="K24" s="30" t="str">
        <f>"KK-05047"</f>
        <v>KK-05047</v>
      </c>
      <c r="L24" s="30" t="str">
        <f>"Frans Stevanus Sembiring"</f>
        <v>Frans Stevanus Sembiring</v>
      </c>
      <c r="M24" s="30"/>
      <c r="N24" s="3"/>
      <c r="O24" s="3"/>
      <c r="P24" s="3"/>
      <c r="Q24" s="3"/>
      <c r="R24" s="3"/>
      <c r="S24" s="3"/>
      <c r="T24" s="11"/>
      <c r="U24" s="4"/>
      <c r="V24" s="4"/>
      <c r="W24" s="4"/>
      <c r="X24" s="4"/>
      <c r="Y24" s="15"/>
      <c r="Z24" s="4"/>
      <c r="AA24" s="4"/>
      <c r="AB24" s="4"/>
      <c r="AC24" s="4"/>
      <c r="AD24" s="4"/>
      <c r="AE24" s="4"/>
      <c r="AF24" s="11"/>
      <c r="AG24" s="4"/>
      <c r="AH24" s="4"/>
      <c r="AI24" s="4"/>
      <c r="AJ24" s="4"/>
      <c r="AK24" s="4"/>
      <c r="AL24" s="9">
        <f t="shared" si="19"/>
        <v>0</v>
      </c>
      <c r="AO24" s="47" t="str">
        <f>IF(COUNTIFS(IuranDSSebelumnya!$J$330:$J$772,$K24,IuranDSSebelumnya!$M$330:$M$772,AO$11,IuranDSSebelumnya!$L$330:$L$772,$M$5)&gt;0,
        VLOOKUP(CONCATENATE($K24,"|",AO$11,"|",$M$5),IuranDSSebelumnya!$I$330:$N$772,5,FALSE),
        IF(COUNTIFS(IuranDSSebelumnya!$J$330:$J$772,$K24,IuranDSSebelumnya!$M$330:$M$772,AO$11,IuranDSSebelumnya!$L$330:$L$772,"&lt;&gt;"&amp;$M$5)&gt;0,
              "Iuran dari Lingkungan lain",
              ""))</f>
        <v/>
      </c>
      <c r="AP24" s="47" t="str">
        <f>IF(COUNTIFS(IuranDSSebelumnya!$J$330:$J$772,$K24,IuranDSSebelumnya!$M$330:$M$772,AP$11,IuranDSSebelumnya!$L$330:$L$772,$M$5)&gt;0,
        VLOOKUP(CONCATENATE($K24,"|",AP$11,"|",$M$5),IuranDSSebelumnya!$I$330:$N$772,5,FALSE),
        IF(COUNTIFS(IuranDSSebelumnya!$J$330:$J$772,$K24,IuranDSSebelumnya!$M$330:$M$772,AP$11,IuranDSSebelumnya!$L$330:$L$772,"&lt;&gt;"&amp;$M$5)&gt;0,
              "Iuran dari Lingkungan lain",
              ""))</f>
        <v/>
      </c>
      <c r="AQ24" s="47" t="str">
        <f>IF(COUNTIFS(IuranDSSebelumnya!$J$330:$J$772,$K24,IuranDSSebelumnya!$M$330:$M$772,AQ$11,IuranDSSebelumnya!$L$330:$L$772,$M$5)&gt;0,
        VLOOKUP(CONCATENATE($K24,"|",AQ$11,"|",$M$5),IuranDSSebelumnya!$I$330:$N$772,5,FALSE),
        IF(COUNTIFS(IuranDSSebelumnya!$J$330:$J$772,$K24,IuranDSSebelumnya!$M$330:$M$772,AQ$11,IuranDSSebelumnya!$L$330:$L$772,"&lt;&gt;"&amp;$M$5)&gt;0,
              "Iuran dari Lingkungan lain",
              ""))</f>
        <v/>
      </c>
      <c r="AR24" s="47" t="str">
        <f>IF(COUNTIFS(IuranDSSebelumnya!$J$330:$J$772,$K24,IuranDSSebelumnya!$M$330:$M$772,AR$11,IuranDSSebelumnya!$L$330:$L$772,$M$5)&gt;0,
        VLOOKUP(CONCATENATE($K24,"|",AR$11,"|",$M$5),IuranDSSebelumnya!$I$330:$N$772,5,FALSE),
        IF(COUNTIFS(IuranDSSebelumnya!$J$330:$J$772,$K24,IuranDSSebelumnya!$M$330:$M$772,AR$11,IuranDSSebelumnya!$L$330:$L$772,"&lt;&gt;"&amp;$M$5)&gt;0,
              "Iuran dari Lingkungan lain",
              ""))</f>
        <v/>
      </c>
      <c r="AS24" s="47" t="str">
        <f>IF(COUNTIFS(IuranDSSebelumnya!$J$330:$J$772,$K24,IuranDSSebelumnya!$M$330:$M$772,AS$11,IuranDSSebelumnya!$L$330:$L$772,$M$5)&gt;0,
        VLOOKUP(CONCATENATE($K24,"|",AS$11,"|",$M$5),IuranDSSebelumnya!$I$330:$N$772,5,FALSE),
        IF(COUNTIFS(IuranDSSebelumnya!$J$330:$J$772,$K24,IuranDSSebelumnya!$M$330:$M$772,AS$11,IuranDSSebelumnya!$L$330:$L$772,"&lt;&gt;"&amp;$M$5)&gt;0,
              "Iuran dari Lingkungan lain",
              ""))</f>
        <v/>
      </c>
      <c r="AT24" s="47" t="str">
        <f>IF(COUNTIFS(IuranDSSebelumnya!$J$330:$J$772,$K24,IuranDSSebelumnya!$M$330:$M$772,AT$11,IuranDSSebelumnya!$L$330:$L$772,$M$5)&gt;0,
        VLOOKUP(CONCATENATE($K24,"|",AT$11,"|",$M$5),IuranDSSebelumnya!$I$330:$N$772,5,FALSE),
        IF(COUNTIFS(IuranDSSebelumnya!$J$330:$J$772,$K24,IuranDSSebelumnya!$M$330:$M$772,AT$11,IuranDSSebelumnya!$L$330:$L$772,"&lt;&gt;"&amp;$M$5)&gt;0,
              "Iuran dari Lingkungan lain",
              ""))</f>
        <v/>
      </c>
      <c r="AU24" s="47" t="str">
        <f>IF(COUNTIFS(IuranDSSebelumnya!$J$330:$J$772,$K24,IuranDSSebelumnya!$M$330:$M$772,AU$11,IuranDSSebelumnya!$L$330:$L$772,$M$5)&gt;0,
        VLOOKUP(CONCATENATE($K24,"|",AU$11,"|",$M$5),IuranDSSebelumnya!$I$330:$N$772,5,FALSE),
        IF(COUNTIFS(IuranDSSebelumnya!$J$330:$J$772,$K24,IuranDSSebelumnya!$M$330:$M$772,AU$11,IuranDSSebelumnya!$L$330:$L$772,"&lt;&gt;"&amp;$M$5)&gt;0,
              "Iuran dari Lingkungan lain",
              ""))</f>
        <v/>
      </c>
      <c r="AV24" s="47" t="str">
        <f>IF(COUNTIFS(IuranDSSebelumnya!$J$330:$J$772,$K24,IuranDSSebelumnya!$M$330:$M$772,AV$11,IuranDSSebelumnya!$L$330:$L$772,$M$5)&gt;0,
        VLOOKUP(CONCATENATE($K24,"|",AV$11,"|",$M$5),IuranDSSebelumnya!$I$330:$N$772,5,FALSE),
        IF(COUNTIFS(IuranDSSebelumnya!$J$330:$J$772,$K24,IuranDSSebelumnya!$M$330:$M$772,AV$11,IuranDSSebelumnya!$L$330:$L$772,"&lt;&gt;"&amp;$M$5)&gt;0,
              "Iuran dari Lingkungan lain",
              ""))</f>
        <v/>
      </c>
      <c r="AW24" s="47" t="str">
        <f>IF(COUNTIFS(IuranDSSebelumnya!$J$330:$J$772,$K24,IuranDSSebelumnya!$M$330:$M$772,AW$11,IuranDSSebelumnya!$L$330:$L$772,$M$5)&gt;0,
        VLOOKUP(CONCATENATE($K24,"|",AW$11,"|",$M$5),IuranDSSebelumnya!$I$330:$N$772,5,FALSE),
        IF(COUNTIFS(IuranDSSebelumnya!$J$330:$J$772,$K24,IuranDSSebelumnya!$M$330:$M$772,AW$11,IuranDSSebelumnya!$L$330:$L$772,"&lt;&gt;"&amp;$M$5)&gt;0,
              "Iuran dari Lingkungan lain",
              ""))</f>
        <v/>
      </c>
      <c r="AX24" s="47" t="str">
        <f>IF(COUNTIFS(IuranDSSebelumnya!$J$330:$J$772,$K24,IuranDSSebelumnya!$M$330:$M$772,AX$11,IuranDSSebelumnya!$L$330:$L$772,$M$5)&gt;0,
        VLOOKUP(CONCATENATE($K24,"|",AX$11,"|",$M$5),IuranDSSebelumnya!$I$330:$N$772,5,FALSE),
        IF(COUNTIFS(IuranDSSebelumnya!$J$330:$J$772,$K24,IuranDSSebelumnya!$M$330:$M$772,AX$11,IuranDSSebelumnya!$L$330:$L$772,"&lt;&gt;"&amp;$M$5)&gt;0,
              "Iuran dari Lingkungan lain",
              ""))</f>
        <v/>
      </c>
      <c r="AY24" s="47" t="str">
        <f>IF(COUNTIFS(IuranDSSebelumnya!$J$330:$J$772,$K24,IuranDSSebelumnya!$M$330:$M$772,AY$11,IuranDSSebelumnya!$L$330:$L$772,$M$5)&gt;0,
        VLOOKUP(CONCATENATE($K24,"|",AY$11,"|",$M$5),IuranDSSebelumnya!$I$330:$N$772,5,FALSE),
        IF(COUNTIFS(IuranDSSebelumnya!$J$330:$J$772,$K24,IuranDSSebelumnya!$M$330:$M$772,AY$11,IuranDSSebelumnya!$L$330:$L$772,"&lt;&gt;"&amp;$M$5)&gt;0,
              "Iuran dari Lingkungan lain",
              ""))</f>
        <v/>
      </c>
      <c r="AZ24" s="47" t="str">
        <f>IF(COUNTIFS(IuranDSSebelumnya!$J$330:$J$772,$K24,IuranDSSebelumnya!$M$330:$M$772,AZ$11,IuranDSSebelumnya!$L$330:$L$772,$M$5)&gt;0,
        VLOOKUP(CONCATENATE($K24,"|",AZ$11,"|",$M$5),IuranDSSebelumnya!$I$330:$N$772,5,FALSE),
        IF(COUNTIFS(IuranDSSebelumnya!$J$330:$J$772,$K24,IuranDSSebelumnya!$M$330:$M$772,AZ$11,IuranDSSebelumnya!$L$330:$L$772,"&lt;&gt;"&amp;$M$5)&gt;0,
              "Iuran dari Lingkungan lain",
              ""))</f>
        <v/>
      </c>
      <c r="BA24" s="47" t="str">
        <f>IF(COUNTIFS(IuranDSSebelumnya!$J$330:$J$772,$K24,IuranDSSebelumnya!$M$330:$M$772,BA$11,IuranDSSebelumnya!$L$330:$L$772,$M$5)&gt;0,
        VLOOKUP(CONCATENATE($K24,"|",BA$11,"|",$M$5),IuranDSSebelumnya!$I$330:$N$772,5,FALSE),
        IF(COUNTIFS(IuranDSSebelumnya!$J$330:$J$772,$K24,IuranDSSebelumnya!$M$330:$M$772,BA$11,IuranDSSebelumnya!$L$330:$L$772,"&lt;&gt;"&amp;$M$5)&gt;0,
              "Iuran dari Lingkungan lain",
              ""))</f>
        <v/>
      </c>
      <c r="BB24" s="47" t="str">
        <f>IF(COUNTIFS(IuranDSSebelumnya!$J$330:$J$772,$K24,IuranDSSebelumnya!$M$330:$M$772,BB$11,IuranDSSebelumnya!$L$330:$L$772,$M$5)&gt;0,
        VLOOKUP(CONCATENATE($K24,"|",BB$11,"|",$M$5),IuranDSSebelumnya!$I$330:$N$772,5,FALSE),
        IF(COUNTIFS(IuranDSSebelumnya!$J$330:$J$772,$K24,IuranDSSebelumnya!$M$330:$M$772,BB$11,IuranDSSebelumnya!$L$330:$L$772,"&lt;&gt;"&amp;$M$5)&gt;0,
              "Iuran dari Lingkungan lain",
              ""))</f>
        <v/>
      </c>
      <c r="BC24" s="47" t="str">
        <f>IF(COUNTIFS(IuranDSSebelumnya!$J$330:$J$772,$K24,IuranDSSebelumnya!$M$330:$M$772,BC$11,IuranDSSebelumnya!$L$330:$L$772,$M$5)&gt;0,
        VLOOKUP(CONCATENATE($K24,"|",BC$11,"|",$M$5),IuranDSSebelumnya!$I$330:$N$772,5,FALSE),
        IF(COUNTIFS(IuranDSSebelumnya!$J$330:$J$772,$K24,IuranDSSebelumnya!$M$330:$M$772,BC$11,IuranDSSebelumnya!$L$330:$L$772,"&lt;&gt;"&amp;$M$5)&gt;0,
              "Iuran dari Lingkungan lain",
              ""))</f>
        <v/>
      </c>
      <c r="BD24" s="47" t="str">
        <f>IF(COUNTIFS(IuranDSSebelumnya!$J$330:$J$772,$K24,IuranDSSebelumnya!$M$330:$M$772,BD$11,IuranDSSebelumnya!$L$330:$L$772,$M$5)&gt;0,
        VLOOKUP(CONCATENATE($K24,"|",BD$11,"|",$M$5),IuranDSSebelumnya!$I$330:$N$772,5,FALSE),
        IF(COUNTIFS(IuranDSSebelumnya!$J$330:$J$772,$K24,IuranDSSebelumnya!$M$330:$M$772,BD$11,IuranDSSebelumnya!$L$330:$L$772,"&lt;&gt;"&amp;$M$5)&gt;0,
              "Iuran dari Lingkungan lain",
              ""))</f>
        <v/>
      </c>
      <c r="BE24" s="47" t="str">
        <f>IF(COUNTIFS(IuranDSSebelumnya!$J$330:$J$772,$K24,IuranDSSebelumnya!$M$330:$M$772,BE$11,IuranDSSebelumnya!$L$330:$L$772,$M$5)&gt;0,
        VLOOKUP(CONCATENATE($K24,"|",BE$11,"|",$M$5),IuranDSSebelumnya!$I$330:$N$772,5,FALSE),
        IF(COUNTIFS(IuranDSSebelumnya!$J$330:$J$772,$K24,IuranDSSebelumnya!$M$330:$M$772,BE$11,IuranDSSebelumnya!$L$330:$L$772,"&lt;&gt;"&amp;$M$5)&gt;0,
              "Iuran dari Lingkungan lain",
              ""))</f>
        <v/>
      </c>
      <c r="BF24" s="47" t="str">
        <f>IF(COUNTIFS(IuranDSSebelumnya!$J$330:$J$772,$K24,IuranDSSebelumnya!$M$330:$M$772,BF$11,IuranDSSebelumnya!$L$330:$L$772,$M$5)&gt;0,
        VLOOKUP(CONCATENATE($K24,"|",BF$11,"|",$M$5),IuranDSSebelumnya!$I$330:$N$772,5,FALSE),
        IF(COUNTIFS(IuranDSSebelumnya!$J$330:$J$772,$K24,IuranDSSebelumnya!$M$330:$M$772,BF$11,IuranDSSebelumnya!$L$330:$L$772,"&lt;&gt;"&amp;$M$5)&gt;0,
              "Iuran dari Lingkungan lain",
              ""))</f>
        <v/>
      </c>
      <c r="BG24" s="47" t="str">
        <f>IF(COUNTIFS(IuranDSSebelumnya!$J$330:$J$772,$K24,IuranDSSebelumnya!$M$330:$M$772,BG$11,IuranDSSebelumnya!$L$330:$L$772,$M$5)&gt;0,
        VLOOKUP(CONCATENATE($K24,"|",BG$11,"|",$M$5),IuranDSSebelumnya!$I$330:$N$772,5,FALSE),
        IF(COUNTIFS(IuranDSSebelumnya!$J$330:$J$772,$K24,IuranDSSebelumnya!$M$330:$M$772,BG$11,IuranDSSebelumnya!$L$330:$L$772,"&lt;&gt;"&amp;$M$5)&gt;0,
              "Iuran dari Lingkungan lain",
              ""))</f>
        <v/>
      </c>
      <c r="BH24" s="47" t="str">
        <f>IF(COUNTIFS(IuranDSSebelumnya!$J$330:$J$772,$K24,IuranDSSebelumnya!$M$330:$M$772,BH$11,IuranDSSebelumnya!$L$330:$L$772,$M$5)&gt;0,
        VLOOKUP(CONCATENATE($K24,"|",BH$11,"|",$M$5),IuranDSSebelumnya!$I$330:$N$772,5,FALSE),
        IF(COUNTIFS(IuranDSSebelumnya!$J$330:$J$772,$K24,IuranDSSebelumnya!$M$330:$M$772,BH$11,IuranDSSebelumnya!$L$330:$L$772,"&lt;&gt;"&amp;$M$5)&gt;0,
              "Iuran dari Lingkungan lain",
              ""))</f>
        <v/>
      </c>
      <c r="BI24" s="47" t="str">
        <f>IF(COUNTIFS(IuranDSSebelumnya!$J$330:$J$772,$K24,IuranDSSebelumnya!$M$330:$M$772,BI$11,IuranDSSebelumnya!$L$330:$L$772,$M$5)&gt;0,
        VLOOKUP(CONCATENATE($K24,"|",BI$11,"|",$M$5),IuranDSSebelumnya!$I$330:$N$772,5,FALSE),
        IF(COUNTIFS(IuranDSSebelumnya!$J$330:$J$772,$K24,IuranDSSebelumnya!$M$330:$M$772,BI$11,IuranDSSebelumnya!$L$330:$L$772,"&lt;&gt;"&amp;$M$5)&gt;0,
              "Iuran dari Lingkungan lain",
              ""))</f>
        <v/>
      </c>
      <c r="BJ24" s="47" t="str">
        <f>IF(COUNTIFS(IuranDSSebelumnya!$J$330:$J$772,$K24,IuranDSSebelumnya!$M$330:$M$772,BJ$11,IuranDSSebelumnya!$L$330:$L$772,$M$5)&gt;0,
        VLOOKUP(CONCATENATE($K24,"|",BJ$11,"|",$M$5),IuranDSSebelumnya!$I$330:$N$772,5,FALSE),
        IF(COUNTIFS(IuranDSSebelumnya!$J$330:$J$772,$K24,IuranDSSebelumnya!$M$330:$M$772,BJ$11,IuranDSSebelumnya!$L$330:$L$772,"&lt;&gt;"&amp;$M$5)&gt;0,
              "Iuran dari Lingkungan lain",
              ""))</f>
        <v/>
      </c>
      <c r="BK24" s="47" t="str">
        <f>IF(COUNTIFS(IuranDSSebelumnya!$J$330:$J$772,$K24,IuranDSSebelumnya!$M$330:$M$772,BK$11,IuranDSSebelumnya!$L$330:$L$772,$M$5)&gt;0,
        VLOOKUP(CONCATENATE($K24,"|",BK$11,"|",$M$5),IuranDSSebelumnya!$I$330:$N$772,5,FALSE),
        IF(COUNTIFS(IuranDSSebelumnya!$J$330:$J$772,$K24,IuranDSSebelumnya!$M$330:$M$772,BK$11,IuranDSSebelumnya!$L$330:$L$772,"&lt;&gt;"&amp;$M$5)&gt;0,
              "Iuran dari Lingkungan lain",
              ""))</f>
        <v/>
      </c>
      <c r="BL24" s="47" t="str">
        <f>IF(COUNTIFS(IuranDSSebelumnya!$J$330:$J$772,$K24,IuranDSSebelumnya!$M$330:$M$772,BL$11,IuranDSSebelumnya!$L$330:$L$772,$M$5)&gt;0,
        VLOOKUP(CONCATENATE($K24,"|",BL$11,"|",$M$5),IuranDSSebelumnya!$I$330:$N$772,5,FALSE),
        IF(COUNTIFS(IuranDSSebelumnya!$J$330:$J$772,$K24,IuranDSSebelumnya!$M$330:$M$772,BL$11,IuranDSSebelumnya!$L$330:$L$772,"&lt;&gt;"&amp;$M$5)&gt;0,
              "Iuran dari Lingkungan lain",
              ""))</f>
        <v/>
      </c>
    </row>
    <row r="25" spans="1:64" x14ac:dyDescent="0.35">
      <c r="A25" s="30" t="s">
        <v>6063</v>
      </c>
      <c r="C25" s="30" t="b">
        <f t="shared" ca="1" si="16"/>
        <v>0</v>
      </c>
      <c r="D25" s="30" t="str">
        <f>"""TRUST Nav"",""HSPMTB2016"",""18"",""1"",""KK-04626"""</f>
        <v>"TRUST Nav","HSPMTB2016","18","1","KK-04626"</v>
      </c>
      <c r="H25" s="30">
        <f t="shared" si="17"/>
        <v>0</v>
      </c>
      <c r="J25" s="30">
        <f t="shared" si="18"/>
        <v>13</v>
      </c>
      <c r="K25" s="30" t="str">
        <f>"KK-04626"</f>
        <v>KK-04626</v>
      </c>
      <c r="L25" s="30" t="str">
        <f>"Hadi Suwana"</f>
        <v>Hadi Suwana</v>
      </c>
      <c r="M25" s="30"/>
      <c r="N25" s="129"/>
      <c r="O25" s="129"/>
      <c r="P25" s="129"/>
      <c r="Q25" s="129"/>
      <c r="R25" s="129"/>
      <c r="S25" s="129"/>
      <c r="T25" s="130"/>
      <c r="U25" s="131"/>
      <c r="V25" s="131"/>
      <c r="W25" s="131"/>
      <c r="X25" s="131"/>
      <c r="Y25" s="132"/>
      <c r="Z25" s="131"/>
      <c r="AA25" s="131"/>
      <c r="AB25" s="4"/>
      <c r="AC25" s="4"/>
      <c r="AD25" s="4"/>
      <c r="AE25" s="4"/>
      <c r="AF25" s="11"/>
      <c r="AG25" s="4"/>
      <c r="AH25" s="4"/>
      <c r="AI25" s="4"/>
      <c r="AJ25" s="4"/>
      <c r="AK25" s="4"/>
      <c r="AL25" s="9">
        <f t="shared" si="19"/>
        <v>0</v>
      </c>
      <c r="AO25" s="47">
        <f>IF(COUNTIFS(IuranDSSebelumnya!$J$330:$J$772,$K25,IuranDSSebelumnya!$M$330:$M$772,AO$11,IuranDSSebelumnya!$L$330:$L$772,$M$5)&gt;0,
        VLOOKUP(CONCATENATE($K25,"|",AO$11,"|",$M$5),IuranDSSebelumnya!$I$330:$N$772,5,FALSE),
        IF(COUNTIFS(IuranDSSebelumnya!$J$330:$J$772,$K25,IuranDSSebelumnya!$M$330:$M$772,AO$11,IuranDSSebelumnya!$L$330:$L$772,"&lt;&gt;"&amp;$M$5)&gt;0,
              "Iuran dari Lingkungan lain",
              ""))</f>
        <v>42186</v>
      </c>
      <c r="AP25" s="47">
        <f>IF(COUNTIFS(IuranDSSebelumnya!$J$330:$J$772,$K25,IuranDSSebelumnya!$M$330:$M$772,AP$11,IuranDSSebelumnya!$L$330:$L$772,$M$5)&gt;0,
        VLOOKUP(CONCATENATE($K25,"|",AP$11,"|",$M$5),IuranDSSebelumnya!$I$330:$N$772,5,FALSE),
        IF(COUNTIFS(IuranDSSebelumnya!$J$330:$J$772,$K25,IuranDSSebelumnya!$M$330:$M$772,AP$11,IuranDSSebelumnya!$L$330:$L$772,"&lt;&gt;"&amp;$M$5)&gt;0,
              "Iuran dari Lingkungan lain",
              ""))</f>
        <v>42217</v>
      </c>
      <c r="AQ25" s="47">
        <f>IF(COUNTIFS(IuranDSSebelumnya!$J$330:$J$772,$K25,IuranDSSebelumnya!$M$330:$M$772,AQ$11,IuranDSSebelumnya!$L$330:$L$772,$M$5)&gt;0,
        VLOOKUP(CONCATENATE($K25,"|",AQ$11,"|",$M$5),IuranDSSebelumnya!$I$330:$N$772,5,FALSE),
        IF(COUNTIFS(IuranDSSebelumnya!$J$330:$J$772,$K25,IuranDSSebelumnya!$M$330:$M$772,AQ$11,IuranDSSebelumnya!$L$330:$L$772,"&lt;&gt;"&amp;$M$5)&gt;0,
              "Iuran dari Lingkungan lain",
              ""))</f>
        <v>42248</v>
      </c>
      <c r="AR25" s="47">
        <f>IF(COUNTIFS(IuranDSSebelumnya!$J$330:$J$772,$K25,IuranDSSebelumnya!$M$330:$M$772,AR$11,IuranDSSebelumnya!$L$330:$L$772,$M$5)&gt;0,
        VLOOKUP(CONCATENATE($K25,"|",AR$11,"|",$M$5),IuranDSSebelumnya!$I$330:$N$772,5,FALSE),
        IF(COUNTIFS(IuranDSSebelumnya!$J$330:$J$772,$K25,IuranDSSebelumnya!$M$330:$M$772,AR$11,IuranDSSebelumnya!$L$330:$L$772,"&lt;&gt;"&amp;$M$5)&gt;0,
              "Iuran dari Lingkungan lain",
              ""))</f>
        <v>42278</v>
      </c>
      <c r="AS25" s="47">
        <f>IF(COUNTIFS(IuranDSSebelumnya!$J$330:$J$772,$K25,IuranDSSebelumnya!$M$330:$M$772,AS$11,IuranDSSebelumnya!$L$330:$L$772,$M$5)&gt;0,
        VLOOKUP(CONCATENATE($K25,"|",AS$11,"|",$M$5),IuranDSSebelumnya!$I$330:$N$772,5,FALSE),
        IF(COUNTIFS(IuranDSSebelumnya!$J$330:$J$772,$K25,IuranDSSebelumnya!$M$330:$M$772,AS$11,IuranDSSebelumnya!$L$330:$L$772,"&lt;&gt;"&amp;$M$5)&gt;0,
              "Iuran dari Lingkungan lain",
              ""))</f>
        <v>42309</v>
      </c>
      <c r="AT25" s="47">
        <f>IF(COUNTIFS(IuranDSSebelumnya!$J$330:$J$772,$K25,IuranDSSebelumnya!$M$330:$M$772,AT$11,IuranDSSebelumnya!$L$330:$L$772,$M$5)&gt;0,
        VLOOKUP(CONCATENATE($K25,"|",AT$11,"|",$M$5),IuranDSSebelumnya!$I$330:$N$772,5,FALSE),
        IF(COUNTIFS(IuranDSSebelumnya!$J$330:$J$772,$K25,IuranDSSebelumnya!$M$330:$M$772,AT$11,IuranDSSebelumnya!$L$330:$L$772,"&lt;&gt;"&amp;$M$5)&gt;0,
              "Iuran dari Lingkungan lain",
              ""))</f>
        <v>42339</v>
      </c>
      <c r="AU25" s="47">
        <f>IF(COUNTIFS(IuranDSSebelumnya!$J$330:$J$772,$K25,IuranDSSebelumnya!$M$330:$M$772,AU$11,IuranDSSebelumnya!$L$330:$L$772,$M$5)&gt;0,
        VLOOKUP(CONCATENATE($K25,"|",AU$11,"|",$M$5),IuranDSSebelumnya!$I$330:$N$772,5,FALSE),
        IF(COUNTIFS(IuranDSSebelumnya!$J$330:$J$772,$K25,IuranDSSebelumnya!$M$330:$M$772,AU$11,IuranDSSebelumnya!$L$330:$L$772,"&lt;&gt;"&amp;$M$5)&gt;0,
              "Iuran dari Lingkungan lain",
              ""))</f>
        <v>42370</v>
      </c>
      <c r="AV25" s="47">
        <f>IF(COUNTIFS(IuranDSSebelumnya!$J$330:$J$772,$K25,IuranDSSebelumnya!$M$330:$M$772,AV$11,IuranDSSebelumnya!$L$330:$L$772,$M$5)&gt;0,
        VLOOKUP(CONCATENATE($K25,"|",AV$11,"|",$M$5),IuranDSSebelumnya!$I$330:$N$772,5,FALSE),
        IF(COUNTIFS(IuranDSSebelumnya!$J$330:$J$772,$K25,IuranDSSebelumnya!$M$330:$M$772,AV$11,IuranDSSebelumnya!$L$330:$L$772,"&lt;&gt;"&amp;$M$5)&gt;0,
              "Iuran dari Lingkungan lain",
              ""))</f>
        <v>42401</v>
      </c>
      <c r="AW25" s="47">
        <f>IF(COUNTIFS(IuranDSSebelumnya!$J$330:$J$772,$K25,IuranDSSebelumnya!$M$330:$M$772,AW$11,IuranDSSebelumnya!$L$330:$L$772,$M$5)&gt;0,
        VLOOKUP(CONCATENATE($K25,"|",AW$11,"|",$M$5),IuranDSSebelumnya!$I$330:$N$772,5,FALSE),
        IF(COUNTIFS(IuranDSSebelumnya!$J$330:$J$772,$K25,IuranDSSebelumnya!$M$330:$M$772,AW$11,IuranDSSebelumnya!$L$330:$L$772,"&lt;&gt;"&amp;$M$5)&gt;0,
              "Iuran dari Lingkungan lain",
              ""))</f>
        <v>42430</v>
      </c>
      <c r="AX25" s="47">
        <f>IF(COUNTIFS(IuranDSSebelumnya!$J$330:$J$772,$K25,IuranDSSebelumnya!$M$330:$M$772,AX$11,IuranDSSebelumnya!$L$330:$L$772,$M$5)&gt;0,
        VLOOKUP(CONCATENATE($K25,"|",AX$11,"|",$M$5),IuranDSSebelumnya!$I$330:$N$772,5,FALSE),
        IF(COUNTIFS(IuranDSSebelumnya!$J$330:$J$772,$K25,IuranDSSebelumnya!$M$330:$M$772,AX$11,IuranDSSebelumnya!$L$330:$L$772,"&lt;&gt;"&amp;$M$5)&gt;0,
              "Iuran dari Lingkungan lain",
              ""))</f>
        <v>42461</v>
      </c>
      <c r="AY25" s="47">
        <f>IF(COUNTIFS(IuranDSSebelumnya!$J$330:$J$772,$K25,IuranDSSebelumnya!$M$330:$M$772,AY$11,IuranDSSebelumnya!$L$330:$L$772,$M$5)&gt;0,
        VLOOKUP(CONCATENATE($K25,"|",AY$11,"|",$M$5),IuranDSSebelumnya!$I$330:$N$772,5,FALSE),
        IF(COUNTIFS(IuranDSSebelumnya!$J$330:$J$772,$K25,IuranDSSebelumnya!$M$330:$M$772,AY$11,IuranDSSebelumnya!$L$330:$L$772,"&lt;&gt;"&amp;$M$5)&gt;0,
              "Iuran dari Lingkungan lain",
              ""))</f>
        <v>42491</v>
      </c>
      <c r="AZ25" s="47">
        <f>IF(COUNTIFS(IuranDSSebelumnya!$J$330:$J$772,$K25,IuranDSSebelumnya!$M$330:$M$772,AZ$11,IuranDSSebelumnya!$L$330:$L$772,$M$5)&gt;0,
        VLOOKUP(CONCATENATE($K25,"|",AZ$11,"|",$M$5),IuranDSSebelumnya!$I$330:$N$772,5,FALSE),
        IF(COUNTIFS(IuranDSSebelumnya!$J$330:$J$772,$K25,IuranDSSebelumnya!$M$330:$M$772,AZ$11,IuranDSSebelumnya!$L$330:$L$772,"&lt;&gt;"&amp;$M$5)&gt;0,
              "Iuran dari Lingkungan lain",
              ""))</f>
        <v>42522</v>
      </c>
      <c r="BA25" s="47">
        <f>IF(COUNTIFS(IuranDSSebelumnya!$J$330:$J$772,$K25,IuranDSSebelumnya!$M$330:$M$772,BA$11,IuranDSSebelumnya!$L$330:$L$772,$M$5)&gt;0,
        VLOOKUP(CONCATENATE($K25,"|",BA$11,"|",$M$5),IuranDSSebelumnya!$I$330:$N$772,5,FALSE),
        IF(COUNTIFS(IuranDSSebelumnya!$J$330:$J$772,$K25,IuranDSSebelumnya!$M$330:$M$772,BA$11,IuranDSSebelumnya!$L$330:$L$772,"&lt;&gt;"&amp;$M$5)&gt;0,
              "Iuran dari Lingkungan lain",
              ""))</f>
        <v>42552</v>
      </c>
      <c r="BB25" s="47">
        <f>IF(COUNTIFS(IuranDSSebelumnya!$J$330:$J$772,$K25,IuranDSSebelumnya!$M$330:$M$772,BB$11,IuranDSSebelumnya!$L$330:$L$772,$M$5)&gt;0,
        VLOOKUP(CONCATENATE($K25,"|",BB$11,"|",$M$5),IuranDSSebelumnya!$I$330:$N$772,5,FALSE),
        IF(COUNTIFS(IuranDSSebelumnya!$J$330:$J$772,$K25,IuranDSSebelumnya!$M$330:$M$772,BB$11,IuranDSSebelumnya!$L$330:$L$772,"&lt;&gt;"&amp;$M$5)&gt;0,
              "Iuran dari Lingkungan lain",
              ""))</f>
        <v>42583</v>
      </c>
      <c r="BC25" s="47" t="str">
        <f>IF(COUNTIFS(IuranDSSebelumnya!$J$330:$J$772,$K25,IuranDSSebelumnya!$M$330:$M$772,BC$11,IuranDSSebelumnya!$L$330:$L$772,$M$5)&gt;0,
        VLOOKUP(CONCATENATE($K25,"|",BC$11,"|",$M$5),IuranDSSebelumnya!$I$330:$N$772,5,FALSE),
        IF(COUNTIFS(IuranDSSebelumnya!$J$330:$J$772,$K25,IuranDSSebelumnya!$M$330:$M$772,BC$11,IuranDSSebelumnya!$L$330:$L$772,"&lt;&gt;"&amp;$M$5)&gt;0,
              "Iuran dari Lingkungan lain",
              ""))</f>
        <v/>
      </c>
      <c r="BD25" s="47" t="str">
        <f>IF(COUNTIFS(IuranDSSebelumnya!$J$330:$J$772,$K25,IuranDSSebelumnya!$M$330:$M$772,BD$11,IuranDSSebelumnya!$L$330:$L$772,$M$5)&gt;0,
        VLOOKUP(CONCATENATE($K25,"|",BD$11,"|",$M$5),IuranDSSebelumnya!$I$330:$N$772,5,FALSE),
        IF(COUNTIFS(IuranDSSebelumnya!$J$330:$J$772,$K25,IuranDSSebelumnya!$M$330:$M$772,BD$11,IuranDSSebelumnya!$L$330:$L$772,"&lt;&gt;"&amp;$M$5)&gt;0,
              "Iuran dari Lingkungan lain",
              ""))</f>
        <v/>
      </c>
      <c r="BE25" s="47" t="str">
        <f>IF(COUNTIFS(IuranDSSebelumnya!$J$330:$J$772,$K25,IuranDSSebelumnya!$M$330:$M$772,BE$11,IuranDSSebelumnya!$L$330:$L$772,$M$5)&gt;0,
        VLOOKUP(CONCATENATE($K25,"|",BE$11,"|",$M$5),IuranDSSebelumnya!$I$330:$N$772,5,FALSE),
        IF(COUNTIFS(IuranDSSebelumnya!$J$330:$J$772,$K25,IuranDSSebelumnya!$M$330:$M$772,BE$11,IuranDSSebelumnya!$L$330:$L$772,"&lt;&gt;"&amp;$M$5)&gt;0,
              "Iuran dari Lingkungan lain",
              ""))</f>
        <v/>
      </c>
      <c r="BF25" s="47" t="str">
        <f>IF(COUNTIFS(IuranDSSebelumnya!$J$330:$J$772,$K25,IuranDSSebelumnya!$M$330:$M$772,BF$11,IuranDSSebelumnya!$L$330:$L$772,$M$5)&gt;0,
        VLOOKUP(CONCATENATE($K25,"|",BF$11,"|",$M$5),IuranDSSebelumnya!$I$330:$N$772,5,FALSE),
        IF(COUNTIFS(IuranDSSebelumnya!$J$330:$J$772,$K25,IuranDSSebelumnya!$M$330:$M$772,BF$11,IuranDSSebelumnya!$L$330:$L$772,"&lt;&gt;"&amp;$M$5)&gt;0,
              "Iuran dari Lingkungan lain",
              ""))</f>
        <v/>
      </c>
      <c r="BG25" s="47" t="str">
        <f>IF(COUNTIFS(IuranDSSebelumnya!$J$330:$J$772,$K25,IuranDSSebelumnya!$M$330:$M$772,BG$11,IuranDSSebelumnya!$L$330:$L$772,$M$5)&gt;0,
        VLOOKUP(CONCATENATE($K25,"|",BG$11,"|",$M$5),IuranDSSebelumnya!$I$330:$N$772,5,FALSE),
        IF(COUNTIFS(IuranDSSebelumnya!$J$330:$J$772,$K25,IuranDSSebelumnya!$M$330:$M$772,BG$11,IuranDSSebelumnya!$L$330:$L$772,"&lt;&gt;"&amp;$M$5)&gt;0,
              "Iuran dari Lingkungan lain",
              ""))</f>
        <v/>
      </c>
      <c r="BH25" s="47" t="str">
        <f>IF(COUNTIFS(IuranDSSebelumnya!$J$330:$J$772,$K25,IuranDSSebelumnya!$M$330:$M$772,BH$11,IuranDSSebelumnya!$L$330:$L$772,$M$5)&gt;0,
        VLOOKUP(CONCATENATE($K25,"|",BH$11,"|",$M$5),IuranDSSebelumnya!$I$330:$N$772,5,FALSE),
        IF(COUNTIFS(IuranDSSebelumnya!$J$330:$J$772,$K25,IuranDSSebelumnya!$M$330:$M$772,BH$11,IuranDSSebelumnya!$L$330:$L$772,"&lt;&gt;"&amp;$M$5)&gt;0,
              "Iuran dari Lingkungan lain",
              ""))</f>
        <v/>
      </c>
      <c r="BI25" s="47" t="str">
        <f>IF(COUNTIFS(IuranDSSebelumnya!$J$330:$J$772,$K25,IuranDSSebelumnya!$M$330:$M$772,BI$11,IuranDSSebelumnya!$L$330:$L$772,$M$5)&gt;0,
        VLOOKUP(CONCATENATE($K25,"|",BI$11,"|",$M$5),IuranDSSebelumnya!$I$330:$N$772,5,FALSE),
        IF(COUNTIFS(IuranDSSebelumnya!$J$330:$J$772,$K25,IuranDSSebelumnya!$M$330:$M$772,BI$11,IuranDSSebelumnya!$L$330:$L$772,"&lt;&gt;"&amp;$M$5)&gt;0,
              "Iuran dari Lingkungan lain",
              ""))</f>
        <v/>
      </c>
      <c r="BJ25" s="47" t="str">
        <f>IF(COUNTIFS(IuranDSSebelumnya!$J$330:$J$772,$K25,IuranDSSebelumnya!$M$330:$M$772,BJ$11,IuranDSSebelumnya!$L$330:$L$772,$M$5)&gt;0,
        VLOOKUP(CONCATENATE($K25,"|",BJ$11,"|",$M$5),IuranDSSebelumnya!$I$330:$N$772,5,FALSE),
        IF(COUNTIFS(IuranDSSebelumnya!$J$330:$J$772,$K25,IuranDSSebelumnya!$M$330:$M$772,BJ$11,IuranDSSebelumnya!$L$330:$L$772,"&lt;&gt;"&amp;$M$5)&gt;0,
              "Iuran dari Lingkungan lain",
              ""))</f>
        <v/>
      </c>
      <c r="BK25" s="47" t="str">
        <f>IF(COUNTIFS(IuranDSSebelumnya!$J$330:$J$772,$K25,IuranDSSebelumnya!$M$330:$M$772,BK$11,IuranDSSebelumnya!$L$330:$L$772,$M$5)&gt;0,
        VLOOKUP(CONCATENATE($K25,"|",BK$11,"|",$M$5),IuranDSSebelumnya!$I$330:$N$772,5,FALSE),
        IF(COUNTIFS(IuranDSSebelumnya!$J$330:$J$772,$K25,IuranDSSebelumnya!$M$330:$M$772,BK$11,IuranDSSebelumnya!$L$330:$L$772,"&lt;&gt;"&amp;$M$5)&gt;0,
              "Iuran dari Lingkungan lain",
              ""))</f>
        <v/>
      </c>
      <c r="BL25" s="47" t="str">
        <f>IF(COUNTIFS(IuranDSSebelumnya!$J$330:$J$772,$K25,IuranDSSebelumnya!$M$330:$M$772,BL$11,IuranDSSebelumnya!$L$330:$L$772,$M$5)&gt;0,
        VLOOKUP(CONCATENATE($K25,"|",BL$11,"|",$M$5),IuranDSSebelumnya!$I$330:$N$772,5,FALSE),
        IF(COUNTIFS(IuranDSSebelumnya!$J$330:$J$772,$K25,IuranDSSebelumnya!$M$330:$M$772,BL$11,IuranDSSebelumnya!$L$330:$L$772,"&lt;&gt;"&amp;$M$5)&gt;0,
              "Iuran dari Lingkungan lain",
              ""))</f>
        <v/>
      </c>
    </row>
    <row r="26" spans="1:64" x14ac:dyDescent="0.35">
      <c r="A26" s="30" t="s">
        <v>6063</v>
      </c>
      <c r="C26" s="30" t="b">
        <f t="shared" ca="1" si="16"/>
        <v>0</v>
      </c>
      <c r="D26" s="30" t="str">
        <f>"""TRUST Nav"",""HSPMTB2016"",""18"",""1"",""KK-04605"""</f>
        <v>"TRUST Nav","HSPMTB2016","18","1","KK-04605"</v>
      </c>
      <c r="H26" s="30">
        <f t="shared" si="17"/>
        <v>0</v>
      </c>
      <c r="J26" s="30">
        <f t="shared" si="18"/>
        <v>14</v>
      </c>
      <c r="K26" s="30" t="str">
        <f>"KK-04605"</f>
        <v>KK-04605</v>
      </c>
      <c r="L26" s="30" t="str">
        <f>"Handoyo Krismanto"</f>
        <v>Handoyo Krismanto</v>
      </c>
      <c r="M26" s="30"/>
      <c r="N26" s="129"/>
      <c r="O26" s="129"/>
      <c r="P26" s="129"/>
      <c r="Q26" s="129"/>
      <c r="R26" s="129"/>
      <c r="S26" s="129"/>
      <c r="T26" s="130"/>
      <c r="U26" s="131"/>
      <c r="V26" s="131"/>
      <c r="W26" s="4"/>
      <c r="X26" s="4"/>
      <c r="Y26" s="15"/>
      <c r="Z26" s="4"/>
      <c r="AA26" s="4"/>
      <c r="AB26" s="4"/>
      <c r="AC26" s="4"/>
      <c r="AD26" s="4"/>
      <c r="AE26" s="4"/>
      <c r="AF26" s="11"/>
      <c r="AG26" s="4"/>
      <c r="AH26" s="4"/>
      <c r="AI26" s="4"/>
      <c r="AJ26" s="4"/>
      <c r="AK26" s="4"/>
      <c r="AL26" s="9">
        <f t="shared" si="19"/>
        <v>0</v>
      </c>
      <c r="AO26" s="47">
        <f>IF(COUNTIFS(IuranDSSebelumnya!$J$330:$J$772,$K26,IuranDSSebelumnya!$M$330:$M$772,AO$11,IuranDSSebelumnya!$L$330:$L$772,$M$5)&gt;0,
        VLOOKUP(CONCATENATE($K26,"|",AO$11,"|",$M$5),IuranDSSebelumnya!$I$330:$N$772,5,FALSE),
        IF(COUNTIFS(IuranDSSebelumnya!$J$330:$J$772,$K26,IuranDSSebelumnya!$M$330:$M$772,AO$11,IuranDSSebelumnya!$L$330:$L$772,"&lt;&gt;"&amp;$M$5)&gt;0,
              "Iuran dari Lingkungan lain",
              ""))</f>
        <v>42186</v>
      </c>
      <c r="AP26" s="47">
        <f>IF(COUNTIFS(IuranDSSebelumnya!$J$330:$J$772,$K26,IuranDSSebelumnya!$M$330:$M$772,AP$11,IuranDSSebelumnya!$L$330:$L$772,$M$5)&gt;0,
        VLOOKUP(CONCATENATE($K26,"|",AP$11,"|",$M$5),IuranDSSebelumnya!$I$330:$N$772,5,FALSE),
        IF(COUNTIFS(IuranDSSebelumnya!$J$330:$J$772,$K26,IuranDSSebelumnya!$M$330:$M$772,AP$11,IuranDSSebelumnya!$L$330:$L$772,"&lt;&gt;"&amp;$M$5)&gt;0,
              "Iuran dari Lingkungan lain",
              ""))</f>
        <v>42217</v>
      </c>
      <c r="AQ26" s="47">
        <f>IF(COUNTIFS(IuranDSSebelumnya!$J$330:$J$772,$K26,IuranDSSebelumnya!$M$330:$M$772,AQ$11,IuranDSSebelumnya!$L$330:$L$772,$M$5)&gt;0,
        VLOOKUP(CONCATENATE($K26,"|",AQ$11,"|",$M$5),IuranDSSebelumnya!$I$330:$N$772,5,FALSE),
        IF(COUNTIFS(IuranDSSebelumnya!$J$330:$J$772,$K26,IuranDSSebelumnya!$M$330:$M$772,AQ$11,IuranDSSebelumnya!$L$330:$L$772,"&lt;&gt;"&amp;$M$5)&gt;0,
              "Iuran dari Lingkungan lain",
              ""))</f>
        <v>42248</v>
      </c>
      <c r="AR26" s="47">
        <f>IF(COUNTIFS(IuranDSSebelumnya!$J$330:$J$772,$K26,IuranDSSebelumnya!$M$330:$M$772,AR$11,IuranDSSebelumnya!$L$330:$L$772,$M$5)&gt;0,
        VLOOKUP(CONCATENATE($K26,"|",AR$11,"|",$M$5),IuranDSSebelumnya!$I$330:$N$772,5,FALSE),
        IF(COUNTIFS(IuranDSSebelumnya!$J$330:$J$772,$K26,IuranDSSebelumnya!$M$330:$M$772,AR$11,IuranDSSebelumnya!$L$330:$L$772,"&lt;&gt;"&amp;$M$5)&gt;0,
              "Iuran dari Lingkungan lain",
              ""))</f>
        <v>42278</v>
      </c>
      <c r="AS26" s="47">
        <f>IF(COUNTIFS(IuranDSSebelumnya!$J$330:$J$772,$K26,IuranDSSebelumnya!$M$330:$M$772,AS$11,IuranDSSebelumnya!$L$330:$L$772,$M$5)&gt;0,
        VLOOKUP(CONCATENATE($K26,"|",AS$11,"|",$M$5),IuranDSSebelumnya!$I$330:$N$772,5,FALSE),
        IF(COUNTIFS(IuranDSSebelumnya!$J$330:$J$772,$K26,IuranDSSebelumnya!$M$330:$M$772,AS$11,IuranDSSebelumnya!$L$330:$L$772,"&lt;&gt;"&amp;$M$5)&gt;0,
              "Iuran dari Lingkungan lain",
              ""))</f>
        <v>42309</v>
      </c>
      <c r="AT26" s="47">
        <f>IF(COUNTIFS(IuranDSSebelumnya!$J$330:$J$772,$K26,IuranDSSebelumnya!$M$330:$M$772,AT$11,IuranDSSebelumnya!$L$330:$L$772,$M$5)&gt;0,
        VLOOKUP(CONCATENATE($K26,"|",AT$11,"|",$M$5),IuranDSSebelumnya!$I$330:$N$772,5,FALSE),
        IF(COUNTIFS(IuranDSSebelumnya!$J$330:$J$772,$K26,IuranDSSebelumnya!$M$330:$M$772,AT$11,IuranDSSebelumnya!$L$330:$L$772,"&lt;&gt;"&amp;$M$5)&gt;0,
              "Iuran dari Lingkungan lain",
              ""))</f>
        <v>42339</v>
      </c>
      <c r="AU26" s="47">
        <f>IF(COUNTIFS(IuranDSSebelumnya!$J$330:$J$772,$K26,IuranDSSebelumnya!$M$330:$M$772,AU$11,IuranDSSebelumnya!$L$330:$L$772,$M$5)&gt;0,
        VLOOKUP(CONCATENATE($K26,"|",AU$11,"|",$M$5),IuranDSSebelumnya!$I$330:$N$772,5,FALSE),
        IF(COUNTIFS(IuranDSSebelumnya!$J$330:$J$772,$K26,IuranDSSebelumnya!$M$330:$M$772,AU$11,IuranDSSebelumnya!$L$330:$L$772,"&lt;&gt;"&amp;$M$5)&gt;0,
              "Iuran dari Lingkungan lain",
              ""))</f>
        <v>42370</v>
      </c>
      <c r="AV26" s="47">
        <f>IF(COUNTIFS(IuranDSSebelumnya!$J$330:$J$772,$K26,IuranDSSebelumnya!$M$330:$M$772,AV$11,IuranDSSebelumnya!$L$330:$L$772,$M$5)&gt;0,
        VLOOKUP(CONCATENATE($K26,"|",AV$11,"|",$M$5),IuranDSSebelumnya!$I$330:$N$772,5,FALSE),
        IF(COUNTIFS(IuranDSSebelumnya!$J$330:$J$772,$K26,IuranDSSebelumnya!$M$330:$M$772,AV$11,IuranDSSebelumnya!$L$330:$L$772,"&lt;&gt;"&amp;$M$5)&gt;0,
              "Iuran dari Lingkungan lain",
              ""))</f>
        <v>42401</v>
      </c>
      <c r="AW26" s="47">
        <f>IF(COUNTIFS(IuranDSSebelumnya!$J$330:$J$772,$K26,IuranDSSebelumnya!$M$330:$M$772,AW$11,IuranDSSebelumnya!$L$330:$L$772,$M$5)&gt;0,
        VLOOKUP(CONCATENATE($K26,"|",AW$11,"|",$M$5),IuranDSSebelumnya!$I$330:$N$772,5,FALSE),
        IF(COUNTIFS(IuranDSSebelumnya!$J$330:$J$772,$K26,IuranDSSebelumnya!$M$330:$M$772,AW$11,IuranDSSebelumnya!$L$330:$L$772,"&lt;&gt;"&amp;$M$5)&gt;0,
              "Iuran dari Lingkungan lain",
              ""))</f>
        <v>42430</v>
      </c>
      <c r="AX26" s="47" t="str">
        <f>IF(COUNTIFS(IuranDSSebelumnya!$J$330:$J$772,$K26,IuranDSSebelumnya!$M$330:$M$772,AX$11,IuranDSSebelumnya!$L$330:$L$772,$M$5)&gt;0,
        VLOOKUP(CONCATENATE($K26,"|",AX$11,"|",$M$5),IuranDSSebelumnya!$I$330:$N$772,5,FALSE),
        IF(COUNTIFS(IuranDSSebelumnya!$J$330:$J$772,$K26,IuranDSSebelumnya!$M$330:$M$772,AX$11,IuranDSSebelumnya!$L$330:$L$772,"&lt;&gt;"&amp;$M$5)&gt;0,
              "Iuran dari Lingkungan lain",
              ""))</f>
        <v/>
      </c>
      <c r="AY26" s="47" t="str">
        <f>IF(COUNTIFS(IuranDSSebelumnya!$J$330:$J$772,$K26,IuranDSSebelumnya!$M$330:$M$772,AY$11,IuranDSSebelumnya!$L$330:$L$772,$M$5)&gt;0,
        VLOOKUP(CONCATENATE($K26,"|",AY$11,"|",$M$5),IuranDSSebelumnya!$I$330:$N$772,5,FALSE),
        IF(COUNTIFS(IuranDSSebelumnya!$J$330:$J$772,$K26,IuranDSSebelumnya!$M$330:$M$772,AY$11,IuranDSSebelumnya!$L$330:$L$772,"&lt;&gt;"&amp;$M$5)&gt;0,
              "Iuran dari Lingkungan lain",
              ""))</f>
        <v/>
      </c>
      <c r="AZ26" s="47" t="str">
        <f>IF(COUNTIFS(IuranDSSebelumnya!$J$330:$J$772,$K26,IuranDSSebelumnya!$M$330:$M$772,AZ$11,IuranDSSebelumnya!$L$330:$L$772,$M$5)&gt;0,
        VLOOKUP(CONCATENATE($K26,"|",AZ$11,"|",$M$5),IuranDSSebelumnya!$I$330:$N$772,5,FALSE),
        IF(COUNTIFS(IuranDSSebelumnya!$J$330:$J$772,$K26,IuranDSSebelumnya!$M$330:$M$772,AZ$11,IuranDSSebelumnya!$L$330:$L$772,"&lt;&gt;"&amp;$M$5)&gt;0,
              "Iuran dari Lingkungan lain",
              ""))</f>
        <v/>
      </c>
      <c r="BA26" s="47" t="str">
        <f>IF(COUNTIFS(IuranDSSebelumnya!$J$330:$J$772,$K26,IuranDSSebelumnya!$M$330:$M$772,BA$11,IuranDSSebelumnya!$L$330:$L$772,$M$5)&gt;0,
        VLOOKUP(CONCATENATE($K26,"|",BA$11,"|",$M$5),IuranDSSebelumnya!$I$330:$N$772,5,FALSE),
        IF(COUNTIFS(IuranDSSebelumnya!$J$330:$J$772,$K26,IuranDSSebelumnya!$M$330:$M$772,BA$11,IuranDSSebelumnya!$L$330:$L$772,"&lt;&gt;"&amp;$M$5)&gt;0,
              "Iuran dari Lingkungan lain",
              ""))</f>
        <v/>
      </c>
      <c r="BB26" s="47" t="str">
        <f>IF(COUNTIFS(IuranDSSebelumnya!$J$330:$J$772,$K26,IuranDSSebelumnya!$M$330:$M$772,BB$11,IuranDSSebelumnya!$L$330:$L$772,$M$5)&gt;0,
        VLOOKUP(CONCATENATE($K26,"|",BB$11,"|",$M$5),IuranDSSebelumnya!$I$330:$N$772,5,FALSE),
        IF(COUNTIFS(IuranDSSebelumnya!$J$330:$J$772,$K26,IuranDSSebelumnya!$M$330:$M$772,BB$11,IuranDSSebelumnya!$L$330:$L$772,"&lt;&gt;"&amp;$M$5)&gt;0,
              "Iuran dari Lingkungan lain",
              ""))</f>
        <v/>
      </c>
      <c r="BC26" s="47" t="str">
        <f>IF(COUNTIFS(IuranDSSebelumnya!$J$330:$J$772,$K26,IuranDSSebelumnya!$M$330:$M$772,BC$11,IuranDSSebelumnya!$L$330:$L$772,$M$5)&gt;0,
        VLOOKUP(CONCATENATE($K26,"|",BC$11,"|",$M$5),IuranDSSebelumnya!$I$330:$N$772,5,FALSE),
        IF(COUNTIFS(IuranDSSebelumnya!$J$330:$J$772,$K26,IuranDSSebelumnya!$M$330:$M$772,BC$11,IuranDSSebelumnya!$L$330:$L$772,"&lt;&gt;"&amp;$M$5)&gt;0,
              "Iuran dari Lingkungan lain",
              ""))</f>
        <v/>
      </c>
      <c r="BD26" s="47" t="str">
        <f>IF(COUNTIFS(IuranDSSebelumnya!$J$330:$J$772,$K26,IuranDSSebelumnya!$M$330:$M$772,BD$11,IuranDSSebelumnya!$L$330:$L$772,$M$5)&gt;0,
        VLOOKUP(CONCATENATE($K26,"|",BD$11,"|",$M$5),IuranDSSebelumnya!$I$330:$N$772,5,FALSE),
        IF(COUNTIFS(IuranDSSebelumnya!$J$330:$J$772,$K26,IuranDSSebelumnya!$M$330:$M$772,BD$11,IuranDSSebelumnya!$L$330:$L$772,"&lt;&gt;"&amp;$M$5)&gt;0,
              "Iuran dari Lingkungan lain",
              ""))</f>
        <v/>
      </c>
      <c r="BE26" s="47" t="str">
        <f>IF(COUNTIFS(IuranDSSebelumnya!$J$330:$J$772,$K26,IuranDSSebelumnya!$M$330:$M$772,BE$11,IuranDSSebelumnya!$L$330:$L$772,$M$5)&gt;0,
        VLOOKUP(CONCATENATE($K26,"|",BE$11,"|",$M$5),IuranDSSebelumnya!$I$330:$N$772,5,FALSE),
        IF(COUNTIFS(IuranDSSebelumnya!$J$330:$J$772,$K26,IuranDSSebelumnya!$M$330:$M$772,BE$11,IuranDSSebelumnya!$L$330:$L$772,"&lt;&gt;"&amp;$M$5)&gt;0,
              "Iuran dari Lingkungan lain",
              ""))</f>
        <v/>
      </c>
      <c r="BF26" s="47" t="str">
        <f>IF(COUNTIFS(IuranDSSebelumnya!$J$330:$J$772,$K26,IuranDSSebelumnya!$M$330:$M$772,BF$11,IuranDSSebelumnya!$L$330:$L$772,$M$5)&gt;0,
        VLOOKUP(CONCATENATE($K26,"|",BF$11,"|",$M$5),IuranDSSebelumnya!$I$330:$N$772,5,FALSE),
        IF(COUNTIFS(IuranDSSebelumnya!$J$330:$J$772,$K26,IuranDSSebelumnya!$M$330:$M$772,BF$11,IuranDSSebelumnya!$L$330:$L$772,"&lt;&gt;"&amp;$M$5)&gt;0,
              "Iuran dari Lingkungan lain",
              ""))</f>
        <v/>
      </c>
      <c r="BG26" s="47" t="str">
        <f>IF(COUNTIFS(IuranDSSebelumnya!$J$330:$J$772,$K26,IuranDSSebelumnya!$M$330:$M$772,BG$11,IuranDSSebelumnya!$L$330:$L$772,$M$5)&gt;0,
        VLOOKUP(CONCATENATE($K26,"|",BG$11,"|",$M$5),IuranDSSebelumnya!$I$330:$N$772,5,FALSE),
        IF(COUNTIFS(IuranDSSebelumnya!$J$330:$J$772,$K26,IuranDSSebelumnya!$M$330:$M$772,BG$11,IuranDSSebelumnya!$L$330:$L$772,"&lt;&gt;"&amp;$M$5)&gt;0,
              "Iuran dari Lingkungan lain",
              ""))</f>
        <v/>
      </c>
      <c r="BH26" s="47" t="str">
        <f>IF(COUNTIFS(IuranDSSebelumnya!$J$330:$J$772,$K26,IuranDSSebelumnya!$M$330:$M$772,BH$11,IuranDSSebelumnya!$L$330:$L$772,$M$5)&gt;0,
        VLOOKUP(CONCATENATE($K26,"|",BH$11,"|",$M$5),IuranDSSebelumnya!$I$330:$N$772,5,FALSE),
        IF(COUNTIFS(IuranDSSebelumnya!$J$330:$J$772,$K26,IuranDSSebelumnya!$M$330:$M$772,BH$11,IuranDSSebelumnya!$L$330:$L$772,"&lt;&gt;"&amp;$M$5)&gt;0,
              "Iuran dari Lingkungan lain",
              ""))</f>
        <v/>
      </c>
      <c r="BI26" s="47" t="str">
        <f>IF(COUNTIFS(IuranDSSebelumnya!$J$330:$J$772,$K26,IuranDSSebelumnya!$M$330:$M$772,BI$11,IuranDSSebelumnya!$L$330:$L$772,$M$5)&gt;0,
        VLOOKUP(CONCATENATE($K26,"|",BI$11,"|",$M$5),IuranDSSebelumnya!$I$330:$N$772,5,FALSE),
        IF(COUNTIFS(IuranDSSebelumnya!$J$330:$J$772,$K26,IuranDSSebelumnya!$M$330:$M$772,BI$11,IuranDSSebelumnya!$L$330:$L$772,"&lt;&gt;"&amp;$M$5)&gt;0,
              "Iuran dari Lingkungan lain",
              ""))</f>
        <v/>
      </c>
      <c r="BJ26" s="47" t="str">
        <f>IF(COUNTIFS(IuranDSSebelumnya!$J$330:$J$772,$K26,IuranDSSebelumnya!$M$330:$M$772,BJ$11,IuranDSSebelumnya!$L$330:$L$772,$M$5)&gt;0,
        VLOOKUP(CONCATENATE($K26,"|",BJ$11,"|",$M$5),IuranDSSebelumnya!$I$330:$N$772,5,FALSE),
        IF(COUNTIFS(IuranDSSebelumnya!$J$330:$J$772,$K26,IuranDSSebelumnya!$M$330:$M$772,BJ$11,IuranDSSebelumnya!$L$330:$L$772,"&lt;&gt;"&amp;$M$5)&gt;0,
              "Iuran dari Lingkungan lain",
              ""))</f>
        <v/>
      </c>
      <c r="BK26" s="47" t="str">
        <f>IF(COUNTIFS(IuranDSSebelumnya!$J$330:$J$772,$K26,IuranDSSebelumnya!$M$330:$M$772,BK$11,IuranDSSebelumnya!$L$330:$L$772,$M$5)&gt;0,
        VLOOKUP(CONCATENATE($K26,"|",BK$11,"|",$M$5),IuranDSSebelumnya!$I$330:$N$772,5,FALSE),
        IF(COUNTIFS(IuranDSSebelumnya!$J$330:$J$772,$K26,IuranDSSebelumnya!$M$330:$M$772,BK$11,IuranDSSebelumnya!$L$330:$L$772,"&lt;&gt;"&amp;$M$5)&gt;0,
              "Iuran dari Lingkungan lain",
              ""))</f>
        <v/>
      </c>
      <c r="BL26" s="47" t="str">
        <f>IF(COUNTIFS(IuranDSSebelumnya!$J$330:$J$772,$K26,IuranDSSebelumnya!$M$330:$M$772,BL$11,IuranDSSebelumnya!$L$330:$L$772,$M$5)&gt;0,
        VLOOKUP(CONCATENATE($K26,"|",BL$11,"|",$M$5),IuranDSSebelumnya!$I$330:$N$772,5,FALSE),
        IF(COUNTIFS(IuranDSSebelumnya!$J$330:$J$772,$K26,IuranDSSebelumnya!$M$330:$M$772,BL$11,IuranDSSebelumnya!$L$330:$L$772,"&lt;&gt;"&amp;$M$5)&gt;0,
              "Iuran dari Lingkungan lain",
              ""))</f>
        <v/>
      </c>
    </row>
    <row r="27" spans="1:64" x14ac:dyDescent="0.35">
      <c r="A27" s="30" t="s">
        <v>6063</v>
      </c>
      <c r="C27" s="30" t="b">
        <f t="shared" ca="1" si="16"/>
        <v>0</v>
      </c>
      <c r="D27" s="30" t="str">
        <f>"""TRUST Nav"",""HSPMTB2016"",""18"",""1"",""KK-04606"""</f>
        <v>"TRUST Nav","HSPMTB2016","18","1","KK-04606"</v>
      </c>
      <c r="H27" s="30">
        <f t="shared" si="17"/>
        <v>0</v>
      </c>
      <c r="J27" s="30">
        <f t="shared" si="18"/>
        <v>15</v>
      </c>
      <c r="K27" s="30" t="str">
        <f>"KK-04606"</f>
        <v>KK-04606</v>
      </c>
      <c r="L27" s="30" t="str">
        <f>"Hendra Kurniawan"</f>
        <v>Hendra Kurniawan</v>
      </c>
      <c r="M27" s="30"/>
      <c r="N27" s="129"/>
      <c r="O27" s="129"/>
      <c r="P27" s="129"/>
      <c r="Q27" s="129"/>
      <c r="R27" s="129"/>
      <c r="S27" s="129"/>
      <c r="T27" s="130"/>
      <c r="U27" s="131"/>
      <c r="V27" s="131"/>
      <c r="W27" s="131"/>
      <c r="X27" s="131"/>
      <c r="Y27" s="132"/>
      <c r="Z27" s="4"/>
      <c r="AA27" s="4"/>
      <c r="AB27" s="4"/>
      <c r="AC27" s="4"/>
      <c r="AD27" s="4"/>
      <c r="AE27" s="4"/>
      <c r="AF27" s="11"/>
      <c r="AG27" s="4"/>
      <c r="AH27" s="4"/>
      <c r="AI27" s="4"/>
      <c r="AJ27" s="4"/>
      <c r="AK27" s="4"/>
      <c r="AL27" s="9">
        <f t="shared" si="19"/>
        <v>0</v>
      </c>
      <c r="AO27" s="47">
        <f>IF(COUNTIFS(IuranDSSebelumnya!$J$330:$J$772,$K27,IuranDSSebelumnya!$M$330:$M$772,AO$11,IuranDSSebelumnya!$L$330:$L$772,$M$5)&gt;0,
        VLOOKUP(CONCATENATE($K27,"|",AO$11,"|",$M$5),IuranDSSebelumnya!$I$330:$N$772,5,FALSE),
        IF(COUNTIFS(IuranDSSebelumnya!$J$330:$J$772,$K27,IuranDSSebelumnya!$M$330:$M$772,AO$11,IuranDSSebelumnya!$L$330:$L$772,"&lt;&gt;"&amp;$M$5)&gt;0,
              "Iuran dari Lingkungan lain",
              ""))</f>
        <v>42186</v>
      </c>
      <c r="AP27" s="47">
        <f>IF(COUNTIFS(IuranDSSebelumnya!$J$330:$J$772,$K27,IuranDSSebelumnya!$M$330:$M$772,AP$11,IuranDSSebelumnya!$L$330:$L$772,$M$5)&gt;0,
        VLOOKUP(CONCATENATE($K27,"|",AP$11,"|",$M$5),IuranDSSebelumnya!$I$330:$N$772,5,FALSE),
        IF(COUNTIFS(IuranDSSebelumnya!$J$330:$J$772,$K27,IuranDSSebelumnya!$M$330:$M$772,AP$11,IuranDSSebelumnya!$L$330:$L$772,"&lt;&gt;"&amp;$M$5)&gt;0,
              "Iuran dari Lingkungan lain",
              ""))</f>
        <v>42217</v>
      </c>
      <c r="AQ27" s="47">
        <f>IF(COUNTIFS(IuranDSSebelumnya!$J$330:$J$772,$K27,IuranDSSebelumnya!$M$330:$M$772,AQ$11,IuranDSSebelumnya!$L$330:$L$772,$M$5)&gt;0,
        VLOOKUP(CONCATENATE($K27,"|",AQ$11,"|",$M$5),IuranDSSebelumnya!$I$330:$N$772,5,FALSE),
        IF(COUNTIFS(IuranDSSebelumnya!$J$330:$J$772,$K27,IuranDSSebelumnya!$M$330:$M$772,AQ$11,IuranDSSebelumnya!$L$330:$L$772,"&lt;&gt;"&amp;$M$5)&gt;0,
              "Iuran dari Lingkungan lain",
              ""))</f>
        <v>42248</v>
      </c>
      <c r="AR27" s="47">
        <f>IF(COUNTIFS(IuranDSSebelumnya!$J$330:$J$772,$K27,IuranDSSebelumnya!$M$330:$M$772,AR$11,IuranDSSebelumnya!$L$330:$L$772,$M$5)&gt;0,
        VLOOKUP(CONCATENATE($K27,"|",AR$11,"|",$M$5),IuranDSSebelumnya!$I$330:$N$772,5,FALSE),
        IF(COUNTIFS(IuranDSSebelumnya!$J$330:$J$772,$K27,IuranDSSebelumnya!$M$330:$M$772,AR$11,IuranDSSebelumnya!$L$330:$L$772,"&lt;&gt;"&amp;$M$5)&gt;0,
              "Iuran dari Lingkungan lain",
              ""))</f>
        <v>42278</v>
      </c>
      <c r="AS27" s="47">
        <f>IF(COUNTIFS(IuranDSSebelumnya!$J$330:$J$772,$K27,IuranDSSebelumnya!$M$330:$M$772,AS$11,IuranDSSebelumnya!$L$330:$L$772,$M$5)&gt;0,
        VLOOKUP(CONCATENATE($K27,"|",AS$11,"|",$M$5),IuranDSSebelumnya!$I$330:$N$772,5,FALSE),
        IF(COUNTIFS(IuranDSSebelumnya!$J$330:$J$772,$K27,IuranDSSebelumnya!$M$330:$M$772,AS$11,IuranDSSebelumnya!$L$330:$L$772,"&lt;&gt;"&amp;$M$5)&gt;0,
              "Iuran dari Lingkungan lain",
              ""))</f>
        <v>42309</v>
      </c>
      <c r="AT27" s="47">
        <f>IF(COUNTIFS(IuranDSSebelumnya!$J$330:$J$772,$K27,IuranDSSebelumnya!$M$330:$M$772,AT$11,IuranDSSebelumnya!$L$330:$L$772,$M$5)&gt;0,
        VLOOKUP(CONCATENATE($K27,"|",AT$11,"|",$M$5),IuranDSSebelumnya!$I$330:$N$772,5,FALSE),
        IF(COUNTIFS(IuranDSSebelumnya!$J$330:$J$772,$K27,IuranDSSebelumnya!$M$330:$M$772,AT$11,IuranDSSebelumnya!$L$330:$L$772,"&lt;&gt;"&amp;$M$5)&gt;0,
              "Iuran dari Lingkungan lain",
              ""))</f>
        <v>42339</v>
      </c>
      <c r="AU27" s="47">
        <f>IF(COUNTIFS(IuranDSSebelumnya!$J$330:$J$772,$K27,IuranDSSebelumnya!$M$330:$M$772,AU$11,IuranDSSebelumnya!$L$330:$L$772,$M$5)&gt;0,
        VLOOKUP(CONCATENATE($K27,"|",AU$11,"|",$M$5),IuranDSSebelumnya!$I$330:$N$772,5,FALSE),
        IF(COUNTIFS(IuranDSSebelumnya!$J$330:$J$772,$K27,IuranDSSebelumnya!$M$330:$M$772,AU$11,IuranDSSebelumnya!$L$330:$L$772,"&lt;&gt;"&amp;$M$5)&gt;0,
              "Iuran dari Lingkungan lain",
              ""))</f>
        <v>42370</v>
      </c>
      <c r="AV27" s="47">
        <f>IF(COUNTIFS(IuranDSSebelumnya!$J$330:$J$772,$K27,IuranDSSebelumnya!$M$330:$M$772,AV$11,IuranDSSebelumnya!$L$330:$L$772,$M$5)&gt;0,
        VLOOKUP(CONCATENATE($K27,"|",AV$11,"|",$M$5),IuranDSSebelumnya!$I$330:$N$772,5,FALSE),
        IF(COUNTIFS(IuranDSSebelumnya!$J$330:$J$772,$K27,IuranDSSebelumnya!$M$330:$M$772,AV$11,IuranDSSebelumnya!$L$330:$L$772,"&lt;&gt;"&amp;$M$5)&gt;0,
              "Iuran dari Lingkungan lain",
              ""))</f>
        <v>42401</v>
      </c>
      <c r="AW27" s="47">
        <f>IF(COUNTIFS(IuranDSSebelumnya!$J$330:$J$772,$K27,IuranDSSebelumnya!$M$330:$M$772,AW$11,IuranDSSebelumnya!$L$330:$L$772,$M$5)&gt;0,
        VLOOKUP(CONCATENATE($K27,"|",AW$11,"|",$M$5),IuranDSSebelumnya!$I$330:$N$772,5,FALSE),
        IF(COUNTIFS(IuranDSSebelumnya!$J$330:$J$772,$K27,IuranDSSebelumnya!$M$330:$M$772,AW$11,IuranDSSebelumnya!$L$330:$L$772,"&lt;&gt;"&amp;$M$5)&gt;0,
              "Iuran dari Lingkungan lain",
              ""))</f>
        <v>42430</v>
      </c>
      <c r="AX27" s="47">
        <f>IF(COUNTIFS(IuranDSSebelumnya!$J$330:$J$772,$K27,IuranDSSebelumnya!$M$330:$M$772,AX$11,IuranDSSebelumnya!$L$330:$L$772,$M$5)&gt;0,
        VLOOKUP(CONCATENATE($K27,"|",AX$11,"|",$M$5),IuranDSSebelumnya!$I$330:$N$772,5,FALSE),
        IF(COUNTIFS(IuranDSSebelumnya!$J$330:$J$772,$K27,IuranDSSebelumnya!$M$330:$M$772,AX$11,IuranDSSebelumnya!$L$330:$L$772,"&lt;&gt;"&amp;$M$5)&gt;0,
              "Iuran dari Lingkungan lain",
              ""))</f>
        <v>42461</v>
      </c>
      <c r="AY27" s="47">
        <f>IF(COUNTIFS(IuranDSSebelumnya!$J$330:$J$772,$K27,IuranDSSebelumnya!$M$330:$M$772,AY$11,IuranDSSebelumnya!$L$330:$L$772,$M$5)&gt;0,
        VLOOKUP(CONCATENATE($K27,"|",AY$11,"|",$M$5),IuranDSSebelumnya!$I$330:$N$772,5,FALSE),
        IF(COUNTIFS(IuranDSSebelumnya!$J$330:$J$772,$K27,IuranDSSebelumnya!$M$330:$M$772,AY$11,IuranDSSebelumnya!$L$330:$L$772,"&lt;&gt;"&amp;$M$5)&gt;0,
              "Iuran dari Lingkungan lain",
              ""))</f>
        <v>42491</v>
      </c>
      <c r="AZ27" s="47">
        <f>IF(COUNTIFS(IuranDSSebelumnya!$J$330:$J$772,$K27,IuranDSSebelumnya!$M$330:$M$772,AZ$11,IuranDSSebelumnya!$L$330:$L$772,$M$5)&gt;0,
        VLOOKUP(CONCATENATE($K27,"|",AZ$11,"|",$M$5),IuranDSSebelumnya!$I$330:$N$772,5,FALSE),
        IF(COUNTIFS(IuranDSSebelumnya!$J$330:$J$772,$K27,IuranDSSebelumnya!$M$330:$M$772,AZ$11,IuranDSSebelumnya!$L$330:$L$772,"&lt;&gt;"&amp;$M$5)&gt;0,
              "Iuran dari Lingkungan lain",
              ""))</f>
        <v>42522</v>
      </c>
      <c r="BA27" s="47" t="str">
        <f>IF(COUNTIFS(IuranDSSebelumnya!$J$330:$J$772,$K27,IuranDSSebelumnya!$M$330:$M$772,BA$11,IuranDSSebelumnya!$L$330:$L$772,$M$5)&gt;0,
        VLOOKUP(CONCATENATE($K27,"|",BA$11,"|",$M$5),IuranDSSebelumnya!$I$330:$N$772,5,FALSE),
        IF(COUNTIFS(IuranDSSebelumnya!$J$330:$J$772,$K27,IuranDSSebelumnya!$M$330:$M$772,BA$11,IuranDSSebelumnya!$L$330:$L$772,"&lt;&gt;"&amp;$M$5)&gt;0,
              "Iuran dari Lingkungan lain",
              ""))</f>
        <v/>
      </c>
      <c r="BB27" s="47" t="str">
        <f>IF(COUNTIFS(IuranDSSebelumnya!$J$330:$J$772,$K27,IuranDSSebelumnya!$M$330:$M$772,BB$11,IuranDSSebelumnya!$L$330:$L$772,$M$5)&gt;0,
        VLOOKUP(CONCATENATE($K27,"|",BB$11,"|",$M$5),IuranDSSebelumnya!$I$330:$N$772,5,FALSE),
        IF(COUNTIFS(IuranDSSebelumnya!$J$330:$J$772,$K27,IuranDSSebelumnya!$M$330:$M$772,BB$11,IuranDSSebelumnya!$L$330:$L$772,"&lt;&gt;"&amp;$M$5)&gt;0,
              "Iuran dari Lingkungan lain",
              ""))</f>
        <v/>
      </c>
      <c r="BC27" s="47" t="str">
        <f>IF(COUNTIFS(IuranDSSebelumnya!$J$330:$J$772,$K27,IuranDSSebelumnya!$M$330:$M$772,BC$11,IuranDSSebelumnya!$L$330:$L$772,$M$5)&gt;0,
        VLOOKUP(CONCATENATE($K27,"|",BC$11,"|",$M$5),IuranDSSebelumnya!$I$330:$N$772,5,FALSE),
        IF(COUNTIFS(IuranDSSebelumnya!$J$330:$J$772,$K27,IuranDSSebelumnya!$M$330:$M$772,BC$11,IuranDSSebelumnya!$L$330:$L$772,"&lt;&gt;"&amp;$M$5)&gt;0,
              "Iuran dari Lingkungan lain",
              ""))</f>
        <v/>
      </c>
      <c r="BD27" s="47" t="str">
        <f>IF(COUNTIFS(IuranDSSebelumnya!$J$330:$J$772,$K27,IuranDSSebelumnya!$M$330:$M$772,BD$11,IuranDSSebelumnya!$L$330:$L$772,$M$5)&gt;0,
        VLOOKUP(CONCATENATE($K27,"|",BD$11,"|",$M$5),IuranDSSebelumnya!$I$330:$N$772,5,FALSE),
        IF(COUNTIFS(IuranDSSebelumnya!$J$330:$J$772,$K27,IuranDSSebelumnya!$M$330:$M$772,BD$11,IuranDSSebelumnya!$L$330:$L$772,"&lt;&gt;"&amp;$M$5)&gt;0,
              "Iuran dari Lingkungan lain",
              ""))</f>
        <v/>
      </c>
      <c r="BE27" s="47" t="str">
        <f>IF(COUNTIFS(IuranDSSebelumnya!$J$330:$J$772,$K27,IuranDSSebelumnya!$M$330:$M$772,BE$11,IuranDSSebelumnya!$L$330:$L$772,$M$5)&gt;0,
        VLOOKUP(CONCATENATE($K27,"|",BE$11,"|",$M$5),IuranDSSebelumnya!$I$330:$N$772,5,FALSE),
        IF(COUNTIFS(IuranDSSebelumnya!$J$330:$J$772,$K27,IuranDSSebelumnya!$M$330:$M$772,BE$11,IuranDSSebelumnya!$L$330:$L$772,"&lt;&gt;"&amp;$M$5)&gt;0,
              "Iuran dari Lingkungan lain",
              ""))</f>
        <v/>
      </c>
      <c r="BF27" s="47" t="str">
        <f>IF(COUNTIFS(IuranDSSebelumnya!$J$330:$J$772,$K27,IuranDSSebelumnya!$M$330:$M$772,BF$11,IuranDSSebelumnya!$L$330:$L$772,$M$5)&gt;0,
        VLOOKUP(CONCATENATE($K27,"|",BF$11,"|",$M$5),IuranDSSebelumnya!$I$330:$N$772,5,FALSE),
        IF(COUNTIFS(IuranDSSebelumnya!$J$330:$J$772,$K27,IuranDSSebelumnya!$M$330:$M$772,BF$11,IuranDSSebelumnya!$L$330:$L$772,"&lt;&gt;"&amp;$M$5)&gt;0,
              "Iuran dari Lingkungan lain",
              ""))</f>
        <v/>
      </c>
      <c r="BG27" s="47" t="str">
        <f>IF(COUNTIFS(IuranDSSebelumnya!$J$330:$J$772,$K27,IuranDSSebelumnya!$M$330:$M$772,BG$11,IuranDSSebelumnya!$L$330:$L$772,$M$5)&gt;0,
        VLOOKUP(CONCATENATE($K27,"|",BG$11,"|",$M$5),IuranDSSebelumnya!$I$330:$N$772,5,FALSE),
        IF(COUNTIFS(IuranDSSebelumnya!$J$330:$J$772,$K27,IuranDSSebelumnya!$M$330:$M$772,BG$11,IuranDSSebelumnya!$L$330:$L$772,"&lt;&gt;"&amp;$M$5)&gt;0,
              "Iuran dari Lingkungan lain",
              ""))</f>
        <v/>
      </c>
      <c r="BH27" s="47" t="str">
        <f>IF(COUNTIFS(IuranDSSebelumnya!$J$330:$J$772,$K27,IuranDSSebelumnya!$M$330:$M$772,BH$11,IuranDSSebelumnya!$L$330:$L$772,$M$5)&gt;0,
        VLOOKUP(CONCATENATE($K27,"|",BH$11,"|",$M$5),IuranDSSebelumnya!$I$330:$N$772,5,FALSE),
        IF(COUNTIFS(IuranDSSebelumnya!$J$330:$J$772,$K27,IuranDSSebelumnya!$M$330:$M$772,BH$11,IuranDSSebelumnya!$L$330:$L$772,"&lt;&gt;"&amp;$M$5)&gt;0,
              "Iuran dari Lingkungan lain",
              ""))</f>
        <v/>
      </c>
      <c r="BI27" s="47" t="str">
        <f>IF(COUNTIFS(IuranDSSebelumnya!$J$330:$J$772,$K27,IuranDSSebelumnya!$M$330:$M$772,BI$11,IuranDSSebelumnya!$L$330:$L$772,$M$5)&gt;0,
        VLOOKUP(CONCATENATE($K27,"|",BI$11,"|",$M$5),IuranDSSebelumnya!$I$330:$N$772,5,FALSE),
        IF(COUNTIFS(IuranDSSebelumnya!$J$330:$J$772,$K27,IuranDSSebelumnya!$M$330:$M$772,BI$11,IuranDSSebelumnya!$L$330:$L$772,"&lt;&gt;"&amp;$M$5)&gt;0,
              "Iuran dari Lingkungan lain",
              ""))</f>
        <v/>
      </c>
      <c r="BJ27" s="47" t="str">
        <f>IF(COUNTIFS(IuranDSSebelumnya!$J$330:$J$772,$K27,IuranDSSebelumnya!$M$330:$M$772,BJ$11,IuranDSSebelumnya!$L$330:$L$772,$M$5)&gt;0,
        VLOOKUP(CONCATENATE($K27,"|",BJ$11,"|",$M$5),IuranDSSebelumnya!$I$330:$N$772,5,FALSE),
        IF(COUNTIFS(IuranDSSebelumnya!$J$330:$J$772,$K27,IuranDSSebelumnya!$M$330:$M$772,BJ$11,IuranDSSebelumnya!$L$330:$L$772,"&lt;&gt;"&amp;$M$5)&gt;0,
              "Iuran dari Lingkungan lain",
              ""))</f>
        <v/>
      </c>
      <c r="BK27" s="47" t="str">
        <f>IF(COUNTIFS(IuranDSSebelumnya!$J$330:$J$772,$K27,IuranDSSebelumnya!$M$330:$M$772,BK$11,IuranDSSebelumnya!$L$330:$L$772,$M$5)&gt;0,
        VLOOKUP(CONCATENATE($K27,"|",BK$11,"|",$M$5),IuranDSSebelumnya!$I$330:$N$772,5,FALSE),
        IF(COUNTIFS(IuranDSSebelumnya!$J$330:$J$772,$K27,IuranDSSebelumnya!$M$330:$M$772,BK$11,IuranDSSebelumnya!$L$330:$L$772,"&lt;&gt;"&amp;$M$5)&gt;0,
              "Iuran dari Lingkungan lain",
              ""))</f>
        <v/>
      </c>
      <c r="BL27" s="47" t="str">
        <f>IF(COUNTIFS(IuranDSSebelumnya!$J$330:$J$772,$K27,IuranDSSebelumnya!$M$330:$M$772,BL$11,IuranDSSebelumnya!$L$330:$L$772,$M$5)&gt;0,
        VLOOKUP(CONCATENATE($K27,"|",BL$11,"|",$M$5),IuranDSSebelumnya!$I$330:$N$772,5,FALSE),
        IF(COUNTIFS(IuranDSSebelumnya!$J$330:$J$772,$K27,IuranDSSebelumnya!$M$330:$M$772,BL$11,IuranDSSebelumnya!$L$330:$L$772,"&lt;&gt;"&amp;$M$5)&gt;0,
              "Iuran dari Lingkungan lain",
              ""))</f>
        <v/>
      </c>
    </row>
    <row r="28" spans="1:64" x14ac:dyDescent="0.35">
      <c r="A28" s="30" t="s">
        <v>6063</v>
      </c>
      <c r="C28" s="30" t="b">
        <f t="shared" ca="1" si="16"/>
        <v>0</v>
      </c>
      <c r="D28" s="30" t="str">
        <f>"""TRUST Nav"",""HSPMTB2016"",""18"",""1"",""KK-04607"""</f>
        <v>"TRUST Nav","HSPMTB2016","18","1","KK-04607"</v>
      </c>
      <c r="H28" s="30">
        <f t="shared" si="17"/>
        <v>0</v>
      </c>
      <c r="J28" s="30">
        <f t="shared" si="18"/>
        <v>16</v>
      </c>
      <c r="K28" s="30" t="str">
        <f>"KK-04607"</f>
        <v>KK-04607</v>
      </c>
      <c r="L28" s="30" t="str">
        <f>"Hendro Hartono"</f>
        <v>Hendro Hartono</v>
      </c>
      <c r="M28" s="30"/>
      <c r="N28" s="129"/>
      <c r="O28" s="129"/>
      <c r="P28" s="129"/>
      <c r="Q28" s="129"/>
      <c r="R28" s="129"/>
      <c r="S28" s="129"/>
      <c r="T28" s="130"/>
      <c r="U28" s="131"/>
      <c r="V28" s="131"/>
      <c r="W28" s="131"/>
      <c r="X28" s="131"/>
      <c r="Y28" s="132"/>
      <c r="Z28" s="131"/>
      <c r="AA28" s="4"/>
      <c r="AB28" s="4"/>
      <c r="AC28" s="4"/>
      <c r="AD28" s="4"/>
      <c r="AE28" s="4"/>
      <c r="AF28" s="11"/>
      <c r="AG28" s="4"/>
      <c r="AH28" s="4"/>
      <c r="AI28" s="4"/>
      <c r="AJ28" s="4"/>
      <c r="AK28" s="4"/>
      <c r="AL28" s="9">
        <f t="shared" si="19"/>
        <v>0</v>
      </c>
      <c r="AO28" s="47">
        <f>IF(COUNTIFS(IuranDSSebelumnya!$J$330:$J$772,$K28,IuranDSSebelumnya!$M$330:$M$772,AO$11,IuranDSSebelumnya!$L$330:$L$772,$M$5)&gt;0,
        VLOOKUP(CONCATENATE($K28,"|",AO$11,"|",$M$5),IuranDSSebelumnya!$I$330:$N$772,5,FALSE),
        IF(COUNTIFS(IuranDSSebelumnya!$J$330:$J$772,$K28,IuranDSSebelumnya!$M$330:$M$772,AO$11,IuranDSSebelumnya!$L$330:$L$772,"&lt;&gt;"&amp;$M$5)&gt;0,
              "Iuran dari Lingkungan lain",
              ""))</f>
        <v>42186</v>
      </c>
      <c r="AP28" s="47">
        <f>IF(COUNTIFS(IuranDSSebelumnya!$J$330:$J$772,$K28,IuranDSSebelumnya!$M$330:$M$772,AP$11,IuranDSSebelumnya!$L$330:$L$772,$M$5)&gt;0,
        VLOOKUP(CONCATENATE($K28,"|",AP$11,"|",$M$5),IuranDSSebelumnya!$I$330:$N$772,5,FALSE),
        IF(COUNTIFS(IuranDSSebelumnya!$J$330:$J$772,$K28,IuranDSSebelumnya!$M$330:$M$772,AP$11,IuranDSSebelumnya!$L$330:$L$772,"&lt;&gt;"&amp;$M$5)&gt;0,
              "Iuran dari Lingkungan lain",
              ""))</f>
        <v>42217</v>
      </c>
      <c r="AQ28" s="47">
        <f>IF(COUNTIFS(IuranDSSebelumnya!$J$330:$J$772,$K28,IuranDSSebelumnya!$M$330:$M$772,AQ$11,IuranDSSebelumnya!$L$330:$L$772,$M$5)&gt;0,
        VLOOKUP(CONCATENATE($K28,"|",AQ$11,"|",$M$5),IuranDSSebelumnya!$I$330:$N$772,5,FALSE),
        IF(COUNTIFS(IuranDSSebelumnya!$J$330:$J$772,$K28,IuranDSSebelumnya!$M$330:$M$772,AQ$11,IuranDSSebelumnya!$L$330:$L$772,"&lt;&gt;"&amp;$M$5)&gt;0,
              "Iuran dari Lingkungan lain",
              ""))</f>
        <v>42248</v>
      </c>
      <c r="AR28" s="47">
        <f>IF(COUNTIFS(IuranDSSebelumnya!$J$330:$J$772,$K28,IuranDSSebelumnya!$M$330:$M$772,AR$11,IuranDSSebelumnya!$L$330:$L$772,$M$5)&gt;0,
        VLOOKUP(CONCATENATE($K28,"|",AR$11,"|",$M$5),IuranDSSebelumnya!$I$330:$N$772,5,FALSE),
        IF(COUNTIFS(IuranDSSebelumnya!$J$330:$J$772,$K28,IuranDSSebelumnya!$M$330:$M$772,AR$11,IuranDSSebelumnya!$L$330:$L$772,"&lt;&gt;"&amp;$M$5)&gt;0,
              "Iuran dari Lingkungan lain",
              ""))</f>
        <v>42278</v>
      </c>
      <c r="AS28" s="47">
        <f>IF(COUNTIFS(IuranDSSebelumnya!$J$330:$J$772,$K28,IuranDSSebelumnya!$M$330:$M$772,AS$11,IuranDSSebelumnya!$L$330:$L$772,$M$5)&gt;0,
        VLOOKUP(CONCATENATE($K28,"|",AS$11,"|",$M$5),IuranDSSebelumnya!$I$330:$N$772,5,FALSE),
        IF(COUNTIFS(IuranDSSebelumnya!$J$330:$J$772,$K28,IuranDSSebelumnya!$M$330:$M$772,AS$11,IuranDSSebelumnya!$L$330:$L$772,"&lt;&gt;"&amp;$M$5)&gt;0,
              "Iuran dari Lingkungan lain",
              ""))</f>
        <v>42309</v>
      </c>
      <c r="AT28" s="47">
        <f>IF(COUNTIFS(IuranDSSebelumnya!$J$330:$J$772,$K28,IuranDSSebelumnya!$M$330:$M$772,AT$11,IuranDSSebelumnya!$L$330:$L$772,$M$5)&gt;0,
        VLOOKUP(CONCATENATE($K28,"|",AT$11,"|",$M$5),IuranDSSebelumnya!$I$330:$N$772,5,FALSE),
        IF(COUNTIFS(IuranDSSebelumnya!$J$330:$J$772,$K28,IuranDSSebelumnya!$M$330:$M$772,AT$11,IuranDSSebelumnya!$L$330:$L$772,"&lt;&gt;"&amp;$M$5)&gt;0,
              "Iuran dari Lingkungan lain",
              ""))</f>
        <v>42339</v>
      </c>
      <c r="AU28" s="47">
        <f>IF(COUNTIFS(IuranDSSebelumnya!$J$330:$J$772,$K28,IuranDSSebelumnya!$M$330:$M$772,AU$11,IuranDSSebelumnya!$L$330:$L$772,$M$5)&gt;0,
        VLOOKUP(CONCATENATE($K28,"|",AU$11,"|",$M$5),IuranDSSebelumnya!$I$330:$N$772,5,FALSE),
        IF(COUNTIFS(IuranDSSebelumnya!$J$330:$J$772,$K28,IuranDSSebelumnya!$M$330:$M$772,AU$11,IuranDSSebelumnya!$L$330:$L$772,"&lt;&gt;"&amp;$M$5)&gt;0,
              "Iuran dari Lingkungan lain",
              ""))</f>
        <v>42370</v>
      </c>
      <c r="AV28" s="47">
        <f>IF(COUNTIFS(IuranDSSebelumnya!$J$330:$J$772,$K28,IuranDSSebelumnya!$M$330:$M$772,AV$11,IuranDSSebelumnya!$L$330:$L$772,$M$5)&gt;0,
        VLOOKUP(CONCATENATE($K28,"|",AV$11,"|",$M$5),IuranDSSebelumnya!$I$330:$N$772,5,FALSE),
        IF(COUNTIFS(IuranDSSebelumnya!$J$330:$J$772,$K28,IuranDSSebelumnya!$M$330:$M$772,AV$11,IuranDSSebelumnya!$L$330:$L$772,"&lt;&gt;"&amp;$M$5)&gt;0,
              "Iuran dari Lingkungan lain",
              ""))</f>
        <v>42401</v>
      </c>
      <c r="AW28" s="47">
        <f>IF(COUNTIFS(IuranDSSebelumnya!$J$330:$J$772,$K28,IuranDSSebelumnya!$M$330:$M$772,AW$11,IuranDSSebelumnya!$L$330:$L$772,$M$5)&gt;0,
        VLOOKUP(CONCATENATE($K28,"|",AW$11,"|",$M$5),IuranDSSebelumnya!$I$330:$N$772,5,FALSE),
        IF(COUNTIFS(IuranDSSebelumnya!$J$330:$J$772,$K28,IuranDSSebelumnya!$M$330:$M$772,AW$11,IuranDSSebelumnya!$L$330:$L$772,"&lt;&gt;"&amp;$M$5)&gt;0,
              "Iuran dari Lingkungan lain",
              ""))</f>
        <v>42430</v>
      </c>
      <c r="AX28" s="47">
        <f>IF(COUNTIFS(IuranDSSebelumnya!$J$330:$J$772,$K28,IuranDSSebelumnya!$M$330:$M$772,AX$11,IuranDSSebelumnya!$L$330:$L$772,$M$5)&gt;0,
        VLOOKUP(CONCATENATE($K28,"|",AX$11,"|",$M$5),IuranDSSebelumnya!$I$330:$N$772,5,FALSE),
        IF(COUNTIFS(IuranDSSebelumnya!$J$330:$J$772,$K28,IuranDSSebelumnya!$M$330:$M$772,AX$11,IuranDSSebelumnya!$L$330:$L$772,"&lt;&gt;"&amp;$M$5)&gt;0,
              "Iuran dari Lingkungan lain",
              ""))</f>
        <v>42461</v>
      </c>
      <c r="AY28" s="47">
        <f>IF(COUNTIFS(IuranDSSebelumnya!$J$330:$J$772,$K28,IuranDSSebelumnya!$M$330:$M$772,AY$11,IuranDSSebelumnya!$L$330:$L$772,$M$5)&gt;0,
        VLOOKUP(CONCATENATE($K28,"|",AY$11,"|",$M$5),IuranDSSebelumnya!$I$330:$N$772,5,FALSE),
        IF(COUNTIFS(IuranDSSebelumnya!$J$330:$J$772,$K28,IuranDSSebelumnya!$M$330:$M$772,AY$11,IuranDSSebelumnya!$L$330:$L$772,"&lt;&gt;"&amp;$M$5)&gt;0,
              "Iuran dari Lingkungan lain",
              ""))</f>
        <v>42491</v>
      </c>
      <c r="AZ28" s="47">
        <f>IF(COUNTIFS(IuranDSSebelumnya!$J$330:$J$772,$K28,IuranDSSebelumnya!$M$330:$M$772,AZ$11,IuranDSSebelumnya!$L$330:$L$772,$M$5)&gt;0,
        VLOOKUP(CONCATENATE($K28,"|",AZ$11,"|",$M$5),IuranDSSebelumnya!$I$330:$N$772,5,FALSE),
        IF(COUNTIFS(IuranDSSebelumnya!$J$330:$J$772,$K28,IuranDSSebelumnya!$M$330:$M$772,AZ$11,IuranDSSebelumnya!$L$330:$L$772,"&lt;&gt;"&amp;$M$5)&gt;0,
              "Iuran dari Lingkungan lain",
              ""))</f>
        <v>42522</v>
      </c>
      <c r="BA28" s="47">
        <f>IF(COUNTIFS(IuranDSSebelumnya!$J$330:$J$772,$K28,IuranDSSebelumnya!$M$330:$M$772,BA$11,IuranDSSebelumnya!$L$330:$L$772,$M$5)&gt;0,
        VLOOKUP(CONCATENATE($K28,"|",BA$11,"|",$M$5),IuranDSSebelumnya!$I$330:$N$772,5,FALSE),
        IF(COUNTIFS(IuranDSSebelumnya!$J$330:$J$772,$K28,IuranDSSebelumnya!$M$330:$M$772,BA$11,IuranDSSebelumnya!$L$330:$L$772,"&lt;&gt;"&amp;$M$5)&gt;0,
              "Iuran dari Lingkungan lain",
              ""))</f>
        <v>42552</v>
      </c>
      <c r="BB28" s="47" t="str">
        <f>IF(COUNTIFS(IuranDSSebelumnya!$J$330:$J$772,$K28,IuranDSSebelumnya!$M$330:$M$772,BB$11,IuranDSSebelumnya!$L$330:$L$772,$M$5)&gt;0,
        VLOOKUP(CONCATENATE($K28,"|",BB$11,"|",$M$5),IuranDSSebelumnya!$I$330:$N$772,5,FALSE),
        IF(COUNTIFS(IuranDSSebelumnya!$J$330:$J$772,$K28,IuranDSSebelumnya!$M$330:$M$772,BB$11,IuranDSSebelumnya!$L$330:$L$772,"&lt;&gt;"&amp;$M$5)&gt;0,
              "Iuran dari Lingkungan lain",
              ""))</f>
        <v/>
      </c>
      <c r="BC28" s="47" t="str">
        <f>IF(COUNTIFS(IuranDSSebelumnya!$J$330:$J$772,$K28,IuranDSSebelumnya!$M$330:$M$772,BC$11,IuranDSSebelumnya!$L$330:$L$772,$M$5)&gt;0,
        VLOOKUP(CONCATENATE($K28,"|",BC$11,"|",$M$5),IuranDSSebelumnya!$I$330:$N$772,5,FALSE),
        IF(COUNTIFS(IuranDSSebelumnya!$J$330:$J$772,$K28,IuranDSSebelumnya!$M$330:$M$772,BC$11,IuranDSSebelumnya!$L$330:$L$772,"&lt;&gt;"&amp;$M$5)&gt;0,
              "Iuran dari Lingkungan lain",
              ""))</f>
        <v/>
      </c>
      <c r="BD28" s="47" t="str">
        <f>IF(COUNTIFS(IuranDSSebelumnya!$J$330:$J$772,$K28,IuranDSSebelumnya!$M$330:$M$772,BD$11,IuranDSSebelumnya!$L$330:$L$772,$M$5)&gt;0,
        VLOOKUP(CONCATENATE($K28,"|",BD$11,"|",$M$5),IuranDSSebelumnya!$I$330:$N$772,5,FALSE),
        IF(COUNTIFS(IuranDSSebelumnya!$J$330:$J$772,$K28,IuranDSSebelumnya!$M$330:$M$772,BD$11,IuranDSSebelumnya!$L$330:$L$772,"&lt;&gt;"&amp;$M$5)&gt;0,
              "Iuran dari Lingkungan lain",
              ""))</f>
        <v/>
      </c>
      <c r="BE28" s="47" t="str">
        <f>IF(COUNTIFS(IuranDSSebelumnya!$J$330:$J$772,$K28,IuranDSSebelumnya!$M$330:$M$772,BE$11,IuranDSSebelumnya!$L$330:$L$772,$M$5)&gt;0,
        VLOOKUP(CONCATENATE($K28,"|",BE$11,"|",$M$5),IuranDSSebelumnya!$I$330:$N$772,5,FALSE),
        IF(COUNTIFS(IuranDSSebelumnya!$J$330:$J$772,$K28,IuranDSSebelumnya!$M$330:$M$772,BE$11,IuranDSSebelumnya!$L$330:$L$772,"&lt;&gt;"&amp;$M$5)&gt;0,
              "Iuran dari Lingkungan lain",
              ""))</f>
        <v/>
      </c>
      <c r="BF28" s="47" t="str">
        <f>IF(COUNTIFS(IuranDSSebelumnya!$J$330:$J$772,$K28,IuranDSSebelumnya!$M$330:$M$772,BF$11,IuranDSSebelumnya!$L$330:$L$772,$M$5)&gt;0,
        VLOOKUP(CONCATENATE($K28,"|",BF$11,"|",$M$5),IuranDSSebelumnya!$I$330:$N$772,5,FALSE),
        IF(COUNTIFS(IuranDSSebelumnya!$J$330:$J$772,$K28,IuranDSSebelumnya!$M$330:$M$772,BF$11,IuranDSSebelumnya!$L$330:$L$772,"&lt;&gt;"&amp;$M$5)&gt;0,
              "Iuran dari Lingkungan lain",
              ""))</f>
        <v/>
      </c>
      <c r="BG28" s="47" t="str">
        <f>IF(COUNTIFS(IuranDSSebelumnya!$J$330:$J$772,$K28,IuranDSSebelumnya!$M$330:$M$772,BG$11,IuranDSSebelumnya!$L$330:$L$772,$M$5)&gt;0,
        VLOOKUP(CONCATENATE($K28,"|",BG$11,"|",$M$5),IuranDSSebelumnya!$I$330:$N$772,5,FALSE),
        IF(COUNTIFS(IuranDSSebelumnya!$J$330:$J$772,$K28,IuranDSSebelumnya!$M$330:$M$772,BG$11,IuranDSSebelumnya!$L$330:$L$772,"&lt;&gt;"&amp;$M$5)&gt;0,
              "Iuran dari Lingkungan lain",
              ""))</f>
        <v/>
      </c>
      <c r="BH28" s="47" t="str">
        <f>IF(COUNTIFS(IuranDSSebelumnya!$J$330:$J$772,$K28,IuranDSSebelumnya!$M$330:$M$772,BH$11,IuranDSSebelumnya!$L$330:$L$772,$M$5)&gt;0,
        VLOOKUP(CONCATENATE($K28,"|",BH$11,"|",$M$5),IuranDSSebelumnya!$I$330:$N$772,5,FALSE),
        IF(COUNTIFS(IuranDSSebelumnya!$J$330:$J$772,$K28,IuranDSSebelumnya!$M$330:$M$772,BH$11,IuranDSSebelumnya!$L$330:$L$772,"&lt;&gt;"&amp;$M$5)&gt;0,
              "Iuran dari Lingkungan lain",
              ""))</f>
        <v/>
      </c>
      <c r="BI28" s="47" t="str">
        <f>IF(COUNTIFS(IuranDSSebelumnya!$J$330:$J$772,$K28,IuranDSSebelumnya!$M$330:$M$772,BI$11,IuranDSSebelumnya!$L$330:$L$772,$M$5)&gt;0,
        VLOOKUP(CONCATENATE($K28,"|",BI$11,"|",$M$5),IuranDSSebelumnya!$I$330:$N$772,5,FALSE),
        IF(COUNTIFS(IuranDSSebelumnya!$J$330:$J$772,$K28,IuranDSSebelumnya!$M$330:$M$772,BI$11,IuranDSSebelumnya!$L$330:$L$772,"&lt;&gt;"&amp;$M$5)&gt;0,
              "Iuran dari Lingkungan lain",
              ""))</f>
        <v/>
      </c>
      <c r="BJ28" s="47" t="str">
        <f>IF(COUNTIFS(IuranDSSebelumnya!$J$330:$J$772,$K28,IuranDSSebelumnya!$M$330:$M$772,BJ$11,IuranDSSebelumnya!$L$330:$L$772,$M$5)&gt;0,
        VLOOKUP(CONCATENATE($K28,"|",BJ$11,"|",$M$5),IuranDSSebelumnya!$I$330:$N$772,5,FALSE),
        IF(COUNTIFS(IuranDSSebelumnya!$J$330:$J$772,$K28,IuranDSSebelumnya!$M$330:$M$772,BJ$11,IuranDSSebelumnya!$L$330:$L$772,"&lt;&gt;"&amp;$M$5)&gt;0,
              "Iuran dari Lingkungan lain",
              ""))</f>
        <v/>
      </c>
      <c r="BK28" s="47" t="str">
        <f>IF(COUNTIFS(IuranDSSebelumnya!$J$330:$J$772,$K28,IuranDSSebelumnya!$M$330:$M$772,BK$11,IuranDSSebelumnya!$L$330:$L$772,$M$5)&gt;0,
        VLOOKUP(CONCATENATE($K28,"|",BK$11,"|",$M$5),IuranDSSebelumnya!$I$330:$N$772,5,FALSE),
        IF(COUNTIFS(IuranDSSebelumnya!$J$330:$J$772,$K28,IuranDSSebelumnya!$M$330:$M$772,BK$11,IuranDSSebelumnya!$L$330:$L$772,"&lt;&gt;"&amp;$M$5)&gt;0,
              "Iuran dari Lingkungan lain",
              ""))</f>
        <v/>
      </c>
      <c r="BL28" s="47" t="str">
        <f>IF(COUNTIFS(IuranDSSebelumnya!$J$330:$J$772,$K28,IuranDSSebelumnya!$M$330:$M$772,BL$11,IuranDSSebelumnya!$L$330:$L$772,$M$5)&gt;0,
        VLOOKUP(CONCATENATE($K28,"|",BL$11,"|",$M$5),IuranDSSebelumnya!$I$330:$N$772,5,FALSE),
        IF(COUNTIFS(IuranDSSebelumnya!$J$330:$J$772,$K28,IuranDSSebelumnya!$M$330:$M$772,BL$11,IuranDSSebelumnya!$L$330:$L$772,"&lt;&gt;"&amp;$M$5)&gt;0,
              "Iuran dari Lingkungan lain",
              ""))</f>
        <v/>
      </c>
    </row>
    <row r="29" spans="1:64" x14ac:dyDescent="0.35">
      <c r="A29" s="30" t="s">
        <v>6063</v>
      </c>
      <c r="C29" s="30" t="b">
        <f t="shared" ca="1" si="16"/>
        <v>0</v>
      </c>
      <c r="D29" s="30" t="str">
        <f>"""TRUST Nav"",""HSPMTB2016"",""18"",""1"",""KK-04608"""</f>
        <v>"TRUST Nav","HSPMTB2016","18","1","KK-04608"</v>
      </c>
      <c r="H29" s="30">
        <f t="shared" si="17"/>
        <v>0</v>
      </c>
      <c r="J29" s="30">
        <f t="shared" si="18"/>
        <v>17</v>
      </c>
      <c r="K29" s="30" t="str">
        <f>"KK-04608"</f>
        <v>KK-04608</v>
      </c>
      <c r="L29" s="30" t="str">
        <f>"Heru Prawono"</f>
        <v>Heru Prawono</v>
      </c>
      <c r="M29" s="30"/>
      <c r="N29" s="129"/>
      <c r="O29" s="129"/>
      <c r="P29" s="129"/>
      <c r="Q29" s="129"/>
      <c r="R29" s="129"/>
      <c r="S29" s="129"/>
      <c r="T29" s="130"/>
      <c r="U29" s="131"/>
      <c r="V29" s="131"/>
      <c r="W29" s="131"/>
      <c r="X29" s="131"/>
      <c r="Y29" s="132"/>
      <c r="Z29" s="131"/>
      <c r="AA29" s="131"/>
      <c r="AB29" s="4"/>
      <c r="AC29" s="4"/>
      <c r="AD29" s="4"/>
      <c r="AE29" s="4"/>
      <c r="AF29" s="11"/>
      <c r="AG29" s="4"/>
      <c r="AH29" s="4"/>
      <c r="AI29" s="4"/>
      <c r="AJ29" s="4"/>
      <c r="AK29" s="4"/>
      <c r="AL29" s="9">
        <f t="shared" si="19"/>
        <v>0</v>
      </c>
      <c r="AO29" s="47">
        <f>IF(COUNTIFS(IuranDSSebelumnya!$J$330:$J$772,$K29,IuranDSSebelumnya!$M$330:$M$772,AO$11,IuranDSSebelumnya!$L$330:$L$772,$M$5)&gt;0,
        VLOOKUP(CONCATENATE($K29,"|",AO$11,"|",$M$5),IuranDSSebelumnya!$I$330:$N$772,5,FALSE),
        IF(COUNTIFS(IuranDSSebelumnya!$J$330:$J$772,$K29,IuranDSSebelumnya!$M$330:$M$772,AO$11,IuranDSSebelumnya!$L$330:$L$772,"&lt;&gt;"&amp;$M$5)&gt;0,
              "Iuran dari Lingkungan lain",
              ""))</f>
        <v>42186</v>
      </c>
      <c r="AP29" s="47">
        <f>IF(COUNTIFS(IuranDSSebelumnya!$J$330:$J$772,$K29,IuranDSSebelumnya!$M$330:$M$772,AP$11,IuranDSSebelumnya!$L$330:$L$772,$M$5)&gt;0,
        VLOOKUP(CONCATENATE($K29,"|",AP$11,"|",$M$5),IuranDSSebelumnya!$I$330:$N$772,5,FALSE),
        IF(COUNTIFS(IuranDSSebelumnya!$J$330:$J$772,$K29,IuranDSSebelumnya!$M$330:$M$772,AP$11,IuranDSSebelumnya!$L$330:$L$772,"&lt;&gt;"&amp;$M$5)&gt;0,
              "Iuran dari Lingkungan lain",
              ""))</f>
        <v>42217</v>
      </c>
      <c r="AQ29" s="47">
        <f>IF(COUNTIFS(IuranDSSebelumnya!$J$330:$J$772,$K29,IuranDSSebelumnya!$M$330:$M$772,AQ$11,IuranDSSebelumnya!$L$330:$L$772,$M$5)&gt;0,
        VLOOKUP(CONCATENATE($K29,"|",AQ$11,"|",$M$5),IuranDSSebelumnya!$I$330:$N$772,5,FALSE),
        IF(COUNTIFS(IuranDSSebelumnya!$J$330:$J$772,$K29,IuranDSSebelumnya!$M$330:$M$772,AQ$11,IuranDSSebelumnya!$L$330:$L$772,"&lt;&gt;"&amp;$M$5)&gt;0,
              "Iuran dari Lingkungan lain",
              ""))</f>
        <v>42248</v>
      </c>
      <c r="AR29" s="47">
        <f>IF(COUNTIFS(IuranDSSebelumnya!$J$330:$J$772,$K29,IuranDSSebelumnya!$M$330:$M$772,AR$11,IuranDSSebelumnya!$L$330:$L$772,$M$5)&gt;0,
        VLOOKUP(CONCATENATE($K29,"|",AR$11,"|",$M$5),IuranDSSebelumnya!$I$330:$N$772,5,FALSE),
        IF(COUNTIFS(IuranDSSebelumnya!$J$330:$J$772,$K29,IuranDSSebelumnya!$M$330:$M$772,AR$11,IuranDSSebelumnya!$L$330:$L$772,"&lt;&gt;"&amp;$M$5)&gt;0,
              "Iuran dari Lingkungan lain",
              ""))</f>
        <v>42278</v>
      </c>
      <c r="AS29" s="47">
        <f>IF(COUNTIFS(IuranDSSebelumnya!$J$330:$J$772,$K29,IuranDSSebelumnya!$M$330:$M$772,AS$11,IuranDSSebelumnya!$L$330:$L$772,$M$5)&gt;0,
        VLOOKUP(CONCATENATE($K29,"|",AS$11,"|",$M$5),IuranDSSebelumnya!$I$330:$N$772,5,FALSE),
        IF(COUNTIFS(IuranDSSebelumnya!$J$330:$J$772,$K29,IuranDSSebelumnya!$M$330:$M$772,AS$11,IuranDSSebelumnya!$L$330:$L$772,"&lt;&gt;"&amp;$M$5)&gt;0,
              "Iuran dari Lingkungan lain",
              ""))</f>
        <v>42309</v>
      </c>
      <c r="AT29" s="47">
        <f>IF(COUNTIFS(IuranDSSebelumnya!$J$330:$J$772,$K29,IuranDSSebelumnya!$M$330:$M$772,AT$11,IuranDSSebelumnya!$L$330:$L$772,$M$5)&gt;0,
        VLOOKUP(CONCATENATE($K29,"|",AT$11,"|",$M$5),IuranDSSebelumnya!$I$330:$N$772,5,FALSE),
        IF(COUNTIFS(IuranDSSebelumnya!$J$330:$J$772,$K29,IuranDSSebelumnya!$M$330:$M$772,AT$11,IuranDSSebelumnya!$L$330:$L$772,"&lt;&gt;"&amp;$M$5)&gt;0,
              "Iuran dari Lingkungan lain",
              ""))</f>
        <v>42339</v>
      </c>
      <c r="AU29" s="47">
        <f>IF(COUNTIFS(IuranDSSebelumnya!$J$330:$J$772,$K29,IuranDSSebelumnya!$M$330:$M$772,AU$11,IuranDSSebelumnya!$L$330:$L$772,$M$5)&gt;0,
        VLOOKUP(CONCATENATE($K29,"|",AU$11,"|",$M$5),IuranDSSebelumnya!$I$330:$N$772,5,FALSE),
        IF(COUNTIFS(IuranDSSebelumnya!$J$330:$J$772,$K29,IuranDSSebelumnya!$M$330:$M$772,AU$11,IuranDSSebelumnya!$L$330:$L$772,"&lt;&gt;"&amp;$M$5)&gt;0,
              "Iuran dari Lingkungan lain",
              ""))</f>
        <v>42370</v>
      </c>
      <c r="AV29" s="47">
        <f>IF(COUNTIFS(IuranDSSebelumnya!$J$330:$J$772,$K29,IuranDSSebelumnya!$M$330:$M$772,AV$11,IuranDSSebelumnya!$L$330:$L$772,$M$5)&gt;0,
        VLOOKUP(CONCATENATE($K29,"|",AV$11,"|",$M$5),IuranDSSebelumnya!$I$330:$N$772,5,FALSE),
        IF(COUNTIFS(IuranDSSebelumnya!$J$330:$J$772,$K29,IuranDSSebelumnya!$M$330:$M$772,AV$11,IuranDSSebelumnya!$L$330:$L$772,"&lt;&gt;"&amp;$M$5)&gt;0,
              "Iuran dari Lingkungan lain",
              ""))</f>
        <v>42401</v>
      </c>
      <c r="AW29" s="47">
        <f>IF(COUNTIFS(IuranDSSebelumnya!$J$330:$J$772,$K29,IuranDSSebelumnya!$M$330:$M$772,AW$11,IuranDSSebelumnya!$L$330:$L$772,$M$5)&gt;0,
        VLOOKUP(CONCATENATE($K29,"|",AW$11,"|",$M$5),IuranDSSebelumnya!$I$330:$N$772,5,FALSE),
        IF(COUNTIFS(IuranDSSebelumnya!$J$330:$J$772,$K29,IuranDSSebelumnya!$M$330:$M$772,AW$11,IuranDSSebelumnya!$L$330:$L$772,"&lt;&gt;"&amp;$M$5)&gt;0,
              "Iuran dari Lingkungan lain",
              ""))</f>
        <v>42430</v>
      </c>
      <c r="AX29" s="47">
        <f>IF(COUNTIFS(IuranDSSebelumnya!$J$330:$J$772,$K29,IuranDSSebelumnya!$M$330:$M$772,AX$11,IuranDSSebelumnya!$L$330:$L$772,$M$5)&gt;0,
        VLOOKUP(CONCATENATE($K29,"|",AX$11,"|",$M$5),IuranDSSebelumnya!$I$330:$N$772,5,FALSE),
        IF(COUNTIFS(IuranDSSebelumnya!$J$330:$J$772,$K29,IuranDSSebelumnya!$M$330:$M$772,AX$11,IuranDSSebelumnya!$L$330:$L$772,"&lt;&gt;"&amp;$M$5)&gt;0,
              "Iuran dari Lingkungan lain",
              ""))</f>
        <v>42461</v>
      </c>
      <c r="AY29" s="47">
        <f>IF(COUNTIFS(IuranDSSebelumnya!$J$330:$J$772,$K29,IuranDSSebelumnya!$M$330:$M$772,AY$11,IuranDSSebelumnya!$L$330:$L$772,$M$5)&gt;0,
        VLOOKUP(CONCATENATE($K29,"|",AY$11,"|",$M$5),IuranDSSebelumnya!$I$330:$N$772,5,FALSE),
        IF(COUNTIFS(IuranDSSebelumnya!$J$330:$J$772,$K29,IuranDSSebelumnya!$M$330:$M$772,AY$11,IuranDSSebelumnya!$L$330:$L$772,"&lt;&gt;"&amp;$M$5)&gt;0,
              "Iuran dari Lingkungan lain",
              ""))</f>
        <v>42491</v>
      </c>
      <c r="AZ29" s="47">
        <f>IF(COUNTIFS(IuranDSSebelumnya!$J$330:$J$772,$K29,IuranDSSebelumnya!$M$330:$M$772,AZ$11,IuranDSSebelumnya!$L$330:$L$772,$M$5)&gt;0,
        VLOOKUP(CONCATENATE($K29,"|",AZ$11,"|",$M$5),IuranDSSebelumnya!$I$330:$N$772,5,FALSE),
        IF(COUNTIFS(IuranDSSebelumnya!$J$330:$J$772,$K29,IuranDSSebelumnya!$M$330:$M$772,AZ$11,IuranDSSebelumnya!$L$330:$L$772,"&lt;&gt;"&amp;$M$5)&gt;0,
              "Iuran dari Lingkungan lain",
              ""))</f>
        <v>42522</v>
      </c>
      <c r="BA29" s="47">
        <f>IF(COUNTIFS(IuranDSSebelumnya!$J$330:$J$772,$K29,IuranDSSebelumnya!$M$330:$M$772,BA$11,IuranDSSebelumnya!$L$330:$L$772,$M$5)&gt;0,
        VLOOKUP(CONCATENATE($K29,"|",BA$11,"|",$M$5),IuranDSSebelumnya!$I$330:$N$772,5,FALSE),
        IF(COUNTIFS(IuranDSSebelumnya!$J$330:$J$772,$K29,IuranDSSebelumnya!$M$330:$M$772,BA$11,IuranDSSebelumnya!$L$330:$L$772,"&lt;&gt;"&amp;$M$5)&gt;0,
              "Iuran dari Lingkungan lain",
              ""))</f>
        <v>42552</v>
      </c>
      <c r="BB29" s="47">
        <f>IF(COUNTIFS(IuranDSSebelumnya!$J$330:$J$772,$K29,IuranDSSebelumnya!$M$330:$M$772,BB$11,IuranDSSebelumnya!$L$330:$L$772,$M$5)&gt;0,
        VLOOKUP(CONCATENATE($K29,"|",BB$11,"|",$M$5),IuranDSSebelumnya!$I$330:$N$772,5,FALSE),
        IF(COUNTIFS(IuranDSSebelumnya!$J$330:$J$772,$K29,IuranDSSebelumnya!$M$330:$M$772,BB$11,IuranDSSebelumnya!$L$330:$L$772,"&lt;&gt;"&amp;$M$5)&gt;0,
              "Iuran dari Lingkungan lain",
              ""))</f>
        <v>42583</v>
      </c>
      <c r="BC29" s="47" t="str">
        <f>IF(COUNTIFS(IuranDSSebelumnya!$J$330:$J$772,$K29,IuranDSSebelumnya!$M$330:$M$772,BC$11,IuranDSSebelumnya!$L$330:$L$772,$M$5)&gt;0,
        VLOOKUP(CONCATENATE($K29,"|",BC$11,"|",$M$5),IuranDSSebelumnya!$I$330:$N$772,5,FALSE),
        IF(COUNTIFS(IuranDSSebelumnya!$J$330:$J$772,$K29,IuranDSSebelumnya!$M$330:$M$772,BC$11,IuranDSSebelumnya!$L$330:$L$772,"&lt;&gt;"&amp;$M$5)&gt;0,
              "Iuran dari Lingkungan lain",
              ""))</f>
        <v/>
      </c>
      <c r="BD29" s="47" t="str">
        <f>IF(COUNTIFS(IuranDSSebelumnya!$J$330:$J$772,$K29,IuranDSSebelumnya!$M$330:$M$772,BD$11,IuranDSSebelumnya!$L$330:$L$772,$M$5)&gt;0,
        VLOOKUP(CONCATENATE($K29,"|",BD$11,"|",$M$5),IuranDSSebelumnya!$I$330:$N$772,5,FALSE),
        IF(COUNTIFS(IuranDSSebelumnya!$J$330:$J$772,$K29,IuranDSSebelumnya!$M$330:$M$772,BD$11,IuranDSSebelumnya!$L$330:$L$772,"&lt;&gt;"&amp;$M$5)&gt;0,
              "Iuran dari Lingkungan lain",
              ""))</f>
        <v/>
      </c>
      <c r="BE29" s="47" t="str">
        <f>IF(COUNTIFS(IuranDSSebelumnya!$J$330:$J$772,$K29,IuranDSSebelumnya!$M$330:$M$772,BE$11,IuranDSSebelumnya!$L$330:$L$772,$M$5)&gt;0,
        VLOOKUP(CONCATENATE($K29,"|",BE$11,"|",$M$5),IuranDSSebelumnya!$I$330:$N$772,5,FALSE),
        IF(COUNTIFS(IuranDSSebelumnya!$J$330:$J$772,$K29,IuranDSSebelumnya!$M$330:$M$772,BE$11,IuranDSSebelumnya!$L$330:$L$772,"&lt;&gt;"&amp;$M$5)&gt;0,
              "Iuran dari Lingkungan lain",
              ""))</f>
        <v/>
      </c>
      <c r="BF29" s="47" t="str">
        <f>IF(COUNTIFS(IuranDSSebelumnya!$J$330:$J$772,$K29,IuranDSSebelumnya!$M$330:$M$772,BF$11,IuranDSSebelumnya!$L$330:$L$772,$M$5)&gt;0,
        VLOOKUP(CONCATENATE($K29,"|",BF$11,"|",$M$5),IuranDSSebelumnya!$I$330:$N$772,5,FALSE),
        IF(COUNTIFS(IuranDSSebelumnya!$J$330:$J$772,$K29,IuranDSSebelumnya!$M$330:$M$772,BF$11,IuranDSSebelumnya!$L$330:$L$772,"&lt;&gt;"&amp;$M$5)&gt;0,
              "Iuran dari Lingkungan lain",
              ""))</f>
        <v/>
      </c>
      <c r="BG29" s="47" t="str">
        <f>IF(COUNTIFS(IuranDSSebelumnya!$J$330:$J$772,$K29,IuranDSSebelumnya!$M$330:$M$772,BG$11,IuranDSSebelumnya!$L$330:$L$772,$M$5)&gt;0,
        VLOOKUP(CONCATENATE($K29,"|",BG$11,"|",$M$5),IuranDSSebelumnya!$I$330:$N$772,5,FALSE),
        IF(COUNTIFS(IuranDSSebelumnya!$J$330:$J$772,$K29,IuranDSSebelumnya!$M$330:$M$772,BG$11,IuranDSSebelumnya!$L$330:$L$772,"&lt;&gt;"&amp;$M$5)&gt;0,
              "Iuran dari Lingkungan lain",
              ""))</f>
        <v/>
      </c>
      <c r="BH29" s="47" t="str">
        <f>IF(COUNTIFS(IuranDSSebelumnya!$J$330:$J$772,$K29,IuranDSSebelumnya!$M$330:$M$772,BH$11,IuranDSSebelumnya!$L$330:$L$772,$M$5)&gt;0,
        VLOOKUP(CONCATENATE($K29,"|",BH$11,"|",$M$5),IuranDSSebelumnya!$I$330:$N$772,5,FALSE),
        IF(COUNTIFS(IuranDSSebelumnya!$J$330:$J$772,$K29,IuranDSSebelumnya!$M$330:$M$772,BH$11,IuranDSSebelumnya!$L$330:$L$772,"&lt;&gt;"&amp;$M$5)&gt;0,
              "Iuran dari Lingkungan lain",
              ""))</f>
        <v/>
      </c>
      <c r="BI29" s="47" t="str">
        <f>IF(COUNTIFS(IuranDSSebelumnya!$J$330:$J$772,$K29,IuranDSSebelumnya!$M$330:$M$772,BI$11,IuranDSSebelumnya!$L$330:$L$772,$M$5)&gt;0,
        VLOOKUP(CONCATENATE($K29,"|",BI$11,"|",$M$5),IuranDSSebelumnya!$I$330:$N$772,5,FALSE),
        IF(COUNTIFS(IuranDSSebelumnya!$J$330:$J$772,$K29,IuranDSSebelumnya!$M$330:$M$772,BI$11,IuranDSSebelumnya!$L$330:$L$772,"&lt;&gt;"&amp;$M$5)&gt;0,
              "Iuran dari Lingkungan lain",
              ""))</f>
        <v/>
      </c>
      <c r="BJ29" s="47" t="str">
        <f>IF(COUNTIFS(IuranDSSebelumnya!$J$330:$J$772,$K29,IuranDSSebelumnya!$M$330:$M$772,BJ$11,IuranDSSebelumnya!$L$330:$L$772,$M$5)&gt;0,
        VLOOKUP(CONCATENATE($K29,"|",BJ$11,"|",$M$5),IuranDSSebelumnya!$I$330:$N$772,5,FALSE),
        IF(COUNTIFS(IuranDSSebelumnya!$J$330:$J$772,$K29,IuranDSSebelumnya!$M$330:$M$772,BJ$11,IuranDSSebelumnya!$L$330:$L$772,"&lt;&gt;"&amp;$M$5)&gt;0,
              "Iuran dari Lingkungan lain",
              ""))</f>
        <v/>
      </c>
      <c r="BK29" s="47" t="str">
        <f>IF(COUNTIFS(IuranDSSebelumnya!$J$330:$J$772,$K29,IuranDSSebelumnya!$M$330:$M$772,BK$11,IuranDSSebelumnya!$L$330:$L$772,$M$5)&gt;0,
        VLOOKUP(CONCATENATE($K29,"|",BK$11,"|",$M$5),IuranDSSebelumnya!$I$330:$N$772,5,FALSE),
        IF(COUNTIFS(IuranDSSebelumnya!$J$330:$J$772,$K29,IuranDSSebelumnya!$M$330:$M$772,BK$11,IuranDSSebelumnya!$L$330:$L$772,"&lt;&gt;"&amp;$M$5)&gt;0,
              "Iuran dari Lingkungan lain",
              ""))</f>
        <v/>
      </c>
      <c r="BL29" s="47" t="str">
        <f>IF(COUNTIFS(IuranDSSebelumnya!$J$330:$J$772,$K29,IuranDSSebelumnya!$M$330:$M$772,BL$11,IuranDSSebelumnya!$L$330:$L$772,$M$5)&gt;0,
        VLOOKUP(CONCATENATE($K29,"|",BL$11,"|",$M$5),IuranDSSebelumnya!$I$330:$N$772,5,FALSE),
        IF(COUNTIFS(IuranDSSebelumnya!$J$330:$J$772,$K29,IuranDSSebelumnya!$M$330:$M$772,BL$11,IuranDSSebelumnya!$L$330:$L$772,"&lt;&gt;"&amp;$M$5)&gt;0,
              "Iuran dari Lingkungan lain",
              ""))</f>
        <v/>
      </c>
    </row>
    <row r="30" spans="1:64" x14ac:dyDescent="0.35">
      <c r="A30" s="30" t="s">
        <v>6063</v>
      </c>
      <c r="C30" s="30" t="b">
        <f t="shared" ca="1" si="16"/>
        <v>0</v>
      </c>
      <c r="D30" s="30" t="str">
        <f>"""TRUST Nav"",""HSPMTB2016"",""18"",""1"",""KK-05046"""</f>
        <v>"TRUST Nav","HSPMTB2016","18","1","KK-05046"</v>
      </c>
      <c r="H30" s="30">
        <f t="shared" si="17"/>
        <v>0</v>
      </c>
      <c r="J30" s="30">
        <f t="shared" si="18"/>
        <v>18</v>
      </c>
      <c r="K30" s="30" t="str">
        <f>"KK-05046"</f>
        <v>KK-05046</v>
      </c>
      <c r="L30" s="30" t="str">
        <f>"Ignasius Indra Kentjana"</f>
        <v>Ignasius Indra Kentjana</v>
      </c>
      <c r="M30" s="30"/>
      <c r="N30" s="3"/>
      <c r="O30" s="3"/>
      <c r="P30" s="3"/>
      <c r="Q30" s="3"/>
      <c r="R30" s="3"/>
      <c r="S30" s="3"/>
      <c r="T30" s="11"/>
      <c r="U30" s="4"/>
      <c r="V30" s="4"/>
      <c r="W30" s="4"/>
      <c r="X30" s="4"/>
      <c r="Y30" s="15"/>
      <c r="Z30" s="4"/>
      <c r="AA30" s="4"/>
      <c r="AB30" s="4"/>
      <c r="AC30" s="4"/>
      <c r="AD30" s="4"/>
      <c r="AE30" s="4"/>
      <c r="AF30" s="11"/>
      <c r="AG30" s="4"/>
      <c r="AH30" s="4"/>
      <c r="AI30" s="4"/>
      <c r="AJ30" s="4"/>
      <c r="AK30" s="4"/>
      <c r="AL30" s="9">
        <f t="shared" si="19"/>
        <v>0</v>
      </c>
      <c r="AO30" s="47" t="str">
        <f>IF(COUNTIFS(IuranDSSebelumnya!$J$330:$J$772,$K30,IuranDSSebelumnya!$M$330:$M$772,AO$11,IuranDSSebelumnya!$L$330:$L$772,$M$5)&gt;0,
        VLOOKUP(CONCATENATE($K30,"|",AO$11,"|",$M$5),IuranDSSebelumnya!$I$330:$N$772,5,FALSE),
        IF(COUNTIFS(IuranDSSebelumnya!$J$330:$J$772,$K30,IuranDSSebelumnya!$M$330:$M$772,AO$11,IuranDSSebelumnya!$L$330:$L$772,"&lt;&gt;"&amp;$M$5)&gt;0,
              "Iuran dari Lingkungan lain",
              ""))</f>
        <v/>
      </c>
      <c r="AP30" s="47" t="str">
        <f>IF(COUNTIFS(IuranDSSebelumnya!$J$330:$J$772,$K30,IuranDSSebelumnya!$M$330:$M$772,AP$11,IuranDSSebelumnya!$L$330:$L$772,$M$5)&gt;0,
        VLOOKUP(CONCATENATE($K30,"|",AP$11,"|",$M$5),IuranDSSebelumnya!$I$330:$N$772,5,FALSE),
        IF(COUNTIFS(IuranDSSebelumnya!$J$330:$J$772,$K30,IuranDSSebelumnya!$M$330:$M$772,AP$11,IuranDSSebelumnya!$L$330:$L$772,"&lt;&gt;"&amp;$M$5)&gt;0,
              "Iuran dari Lingkungan lain",
              ""))</f>
        <v/>
      </c>
      <c r="AQ30" s="47" t="str">
        <f>IF(COUNTIFS(IuranDSSebelumnya!$J$330:$J$772,$K30,IuranDSSebelumnya!$M$330:$M$772,AQ$11,IuranDSSebelumnya!$L$330:$L$772,$M$5)&gt;0,
        VLOOKUP(CONCATENATE($K30,"|",AQ$11,"|",$M$5),IuranDSSebelumnya!$I$330:$N$772,5,FALSE),
        IF(COUNTIFS(IuranDSSebelumnya!$J$330:$J$772,$K30,IuranDSSebelumnya!$M$330:$M$772,AQ$11,IuranDSSebelumnya!$L$330:$L$772,"&lt;&gt;"&amp;$M$5)&gt;0,
              "Iuran dari Lingkungan lain",
              ""))</f>
        <v/>
      </c>
      <c r="AR30" s="47" t="str">
        <f>IF(COUNTIFS(IuranDSSebelumnya!$J$330:$J$772,$K30,IuranDSSebelumnya!$M$330:$M$772,AR$11,IuranDSSebelumnya!$L$330:$L$772,$M$5)&gt;0,
        VLOOKUP(CONCATENATE($K30,"|",AR$11,"|",$M$5),IuranDSSebelumnya!$I$330:$N$772,5,FALSE),
        IF(COUNTIFS(IuranDSSebelumnya!$J$330:$J$772,$K30,IuranDSSebelumnya!$M$330:$M$772,AR$11,IuranDSSebelumnya!$L$330:$L$772,"&lt;&gt;"&amp;$M$5)&gt;0,
              "Iuran dari Lingkungan lain",
              ""))</f>
        <v/>
      </c>
      <c r="AS30" s="47" t="str">
        <f>IF(COUNTIFS(IuranDSSebelumnya!$J$330:$J$772,$K30,IuranDSSebelumnya!$M$330:$M$772,AS$11,IuranDSSebelumnya!$L$330:$L$772,$M$5)&gt;0,
        VLOOKUP(CONCATENATE($K30,"|",AS$11,"|",$M$5),IuranDSSebelumnya!$I$330:$N$772,5,FALSE),
        IF(COUNTIFS(IuranDSSebelumnya!$J$330:$J$772,$K30,IuranDSSebelumnya!$M$330:$M$772,AS$11,IuranDSSebelumnya!$L$330:$L$772,"&lt;&gt;"&amp;$M$5)&gt;0,
              "Iuran dari Lingkungan lain",
              ""))</f>
        <v/>
      </c>
      <c r="AT30" s="47" t="str">
        <f>IF(COUNTIFS(IuranDSSebelumnya!$J$330:$J$772,$K30,IuranDSSebelumnya!$M$330:$M$772,AT$11,IuranDSSebelumnya!$L$330:$L$772,$M$5)&gt;0,
        VLOOKUP(CONCATENATE($K30,"|",AT$11,"|",$M$5),IuranDSSebelumnya!$I$330:$N$772,5,FALSE),
        IF(COUNTIFS(IuranDSSebelumnya!$J$330:$J$772,$K30,IuranDSSebelumnya!$M$330:$M$772,AT$11,IuranDSSebelumnya!$L$330:$L$772,"&lt;&gt;"&amp;$M$5)&gt;0,
              "Iuran dari Lingkungan lain",
              ""))</f>
        <v/>
      </c>
      <c r="AU30" s="47" t="str">
        <f>IF(COUNTIFS(IuranDSSebelumnya!$J$330:$J$772,$K30,IuranDSSebelumnya!$M$330:$M$772,AU$11,IuranDSSebelumnya!$L$330:$L$772,$M$5)&gt;0,
        VLOOKUP(CONCATENATE($K30,"|",AU$11,"|",$M$5),IuranDSSebelumnya!$I$330:$N$772,5,FALSE),
        IF(COUNTIFS(IuranDSSebelumnya!$J$330:$J$772,$K30,IuranDSSebelumnya!$M$330:$M$772,AU$11,IuranDSSebelumnya!$L$330:$L$772,"&lt;&gt;"&amp;$M$5)&gt;0,
              "Iuran dari Lingkungan lain",
              ""))</f>
        <v/>
      </c>
      <c r="AV30" s="47" t="str">
        <f>IF(COUNTIFS(IuranDSSebelumnya!$J$330:$J$772,$K30,IuranDSSebelumnya!$M$330:$M$772,AV$11,IuranDSSebelumnya!$L$330:$L$772,$M$5)&gt;0,
        VLOOKUP(CONCATENATE($K30,"|",AV$11,"|",$M$5),IuranDSSebelumnya!$I$330:$N$772,5,FALSE),
        IF(COUNTIFS(IuranDSSebelumnya!$J$330:$J$772,$K30,IuranDSSebelumnya!$M$330:$M$772,AV$11,IuranDSSebelumnya!$L$330:$L$772,"&lt;&gt;"&amp;$M$5)&gt;0,
              "Iuran dari Lingkungan lain",
              ""))</f>
        <v/>
      </c>
      <c r="AW30" s="47" t="str">
        <f>IF(COUNTIFS(IuranDSSebelumnya!$J$330:$J$772,$K30,IuranDSSebelumnya!$M$330:$M$772,AW$11,IuranDSSebelumnya!$L$330:$L$772,$M$5)&gt;0,
        VLOOKUP(CONCATENATE($K30,"|",AW$11,"|",$M$5),IuranDSSebelumnya!$I$330:$N$772,5,FALSE),
        IF(COUNTIFS(IuranDSSebelumnya!$J$330:$J$772,$K30,IuranDSSebelumnya!$M$330:$M$772,AW$11,IuranDSSebelumnya!$L$330:$L$772,"&lt;&gt;"&amp;$M$5)&gt;0,
              "Iuran dari Lingkungan lain",
              ""))</f>
        <v/>
      </c>
      <c r="AX30" s="47" t="str">
        <f>IF(COUNTIFS(IuranDSSebelumnya!$J$330:$J$772,$K30,IuranDSSebelumnya!$M$330:$M$772,AX$11,IuranDSSebelumnya!$L$330:$L$772,$M$5)&gt;0,
        VLOOKUP(CONCATENATE($K30,"|",AX$11,"|",$M$5),IuranDSSebelumnya!$I$330:$N$772,5,FALSE),
        IF(COUNTIFS(IuranDSSebelumnya!$J$330:$J$772,$K30,IuranDSSebelumnya!$M$330:$M$772,AX$11,IuranDSSebelumnya!$L$330:$L$772,"&lt;&gt;"&amp;$M$5)&gt;0,
              "Iuran dari Lingkungan lain",
              ""))</f>
        <v/>
      </c>
      <c r="AY30" s="47" t="str">
        <f>IF(COUNTIFS(IuranDSSebelumnya!$J$330:$J$772,$K30,IuranDSSebelumnya!$M$330:$M$772,AY$11,IuranDSSebelumnya!$L$330:$L$772,$M$5)&gt;0,
        VLOOKUP(CONCATENATE($K30,"|",AY$11,"|",$M$5),IuranDSSebelumnya!$I$330:$N$772,5,FALSE),
        IF(COUNTIFS(IuranDSSebelumnya!$J$330:$J$772,$K30,IuranDSSebelumnya!$M$330:$M$772,AY$11,IuranDSSebelumnya!$L$330:$L$772,"&lt;&gt;"&amp;$M$5)&gt;0,
              "Iuran dari Lingkungan lain",
              ""))</f>
        <v/>
      </c>
      <c r="AZ30" s="47" t="str">
        <f>IF(COUNTIFS(IuranDSSebelumnya!$J$330:$J$772,$K30,IuranDSSebelumnya!$M$330:$M$772,AZ$11,IuranDSSebelumnya!$L$330:$L$772,$M$5)&gt;0,
        VLOOKUP(CONCATENATE($K30,"|",AZ$11,"|",$M$5),IuranDSSebelumnya!$I$330:$N$772,5,FALSE),
        IF(COUNTIFS(IuranDSSebelumnya!$J$330:$J$772,$K30,IuranDSSebelumnya!$M$330:$M$772,AZ$11,IuranDSSebelumnya!$L$330:$L$772,"&lt;&gt;"&amp;$M$5)&gt;0,
              "Iuran dari Lingkungan lain",
              ""))</f>
        <v/>
      </c>
      <c r="BA30" s="47" t="str">
        <f>IF(COUNTIFS(IuranDSSebelumnya!$J$330:$J$772,$K30,IuranDSSebelumnya!$M$330:$M$772,BA$11,IuranDSSebelumnya!$L$330:$L$772,$M$5)&gt;0,
        VLOOKUP(CONCATENATE($K30,"|",BA$11,"|",$M$5),IuranDSSebelumnya!$I$330:$N$772,5,FALSE),
        IF(COUNTIFS(IuranDSSebelumnya!$J$330:$J$772,$K30,IuranDSSebelumnya!$M$330:$M$772,BA$11,IuranDSSebelumnya!$L$330:$L$772,"&lt;&gt;"&amp;$M$5)&gt;0,
              "Iuran dari Lingkungan lain",
              ""))</f>
        <v/>
      </c>
      <c r="BB30" s="47" t="str">
        <f>IF(COUNTIFS(IuranDSSebelumnya!$J$330:$J$772,$K30,IuranDSSebelumnya!$M$330:$M$772,BB$11,IuranDSSebelumnya!$L$330:$L$772,$M$5)&gt;0,
        VLOOKUP(CONCATENATE($K30,"|",BB$11,"|",$M$5),IuranDSSebelumnya!$I$330:$N$772,5,FALSE),
        IF(COUNTIFS(IuranDSSebelumnya!$J$330:$J$772,$K30,IuranDSSebelumnya!$M$330:$M$772,BB$11,IuranDSSebelumnya!$L$330:$L$772,"&lt;&gt;"&amp;$M$5)&gt;0,
              "Iuran dari Lingkungan lain",
              ""))</f>
        <v/>
      </c>
      <c r="BC30" s="47" t="str">
        <f>IF(COUNTIFS(IuranDSSebelumnya!$J$330:$J$772,$K30,IuranDSSebelumnya!$M$330:$M$772,BC$11,IuranDSSebelumnya!$L$330:$L$772,$M$5)&gt;0,
        VLOOKUP(CONCATENATE($K30,"|",BC$11,"|",$M$5),IuranDSSebelumnya!$I$330:$N$772,5,FALSE),
        IF(COUNTIFS(IuranDSSebelumnya!$J$330:$J$772,$K30,IuranDSSebelumnya!$M$330:$M$772,BC$11,IuranDSSebelumnya!$L$330:$L$772,"&lt;&gt;"&amp;$M$5)&gt;0,
              "Iuran dari Lingkungan lain",
              ""))</f>
        <v/>
      </c>
      <c r="BD30" s="47" t="str">
        <f>IF(COUNTIFS(IuranDSSebelumnya!$J$330:$J$772,$K30,IuranDSSebelumnya!$M$330:$M$772,BD$11,IuranDSSebelumnya!$L$330:$L$772,$M$5)&gt;0,
        VLOOKUP(CONCATENATE($K30,"|",BD$11,"|",$M$5),IuranDSSebelumnya!$I$330:$N$772,5,FALSE),
        IF(COUNTIFS(IuranDSSebelumnya!$J$330:$J$772,$K30,IuranDSSebelumnya!$M$330:$M$772,BD$11,IuranDSSebelumnya!$L$330:$L$772,"&lt;&gt;"&amp;$M$5)&gt;0,
              "Iuran dari Lingkungan lain",
              ""))</f>
        <v/>
      </c>
      <c r="BE30" s="47" t="str">
        <f>IF(COUNTIFS(IuranDSSebelumnya!$J$330:$J$772,$K30,IuranDSSebelumnya!$M$330:$M$772,BE$11,IuranDSSebelumnya!$L$330:$L$772,$M$5)&gt;0,
        VLOOKUP(CONCATENATE($K30,"|",BE$11,"|",$M$5),IuranDSSebelumnya!$I$330:$N$772,5,FALSE),
        IF(COUNTIFS(IuranDSSebelumnya!$J$330:$J$772,$K30,IuranDSSebelumnya!$M$330:$M$772,BE$11,IuranDSSebelumnya!$L$330:$L$772,"&lt;&gt;"&amp;$M$5)&gt;0,
              "Iuran dari Lingkungan lain",
              ""))</f>
        <v/>
      </c>
      <c r="BF30" s="47" t="str">
        <f>IF(COUNTIFS(IuranDSSebelumnya!$J$330:$J$772,$K30,IuranDSSebelumnya!$M$330:$M$772,BF$11,IuranDSSebelumnya!$L$330:$L$772,$M$5)&gt;0,
        VLOOKUP(CONCATENATE($K30,"|",BF$11,"|",$M$5),IuranDSSebelumnya!$I$330:$N$772,5,FALSE),
        IF(COUNTIFS(IuranDSSebelumnya!$J$330:$J$772,$K30,IuranDSSebelumnya!$M$330:$M$772,BF$11,IuranDSSebelumnya!$L$330:$L$772,"&lt;&gt;"&amp;$M$5)&gt;0,
              "Iuran dari Lingkungan lain",
              ""))</f>
        <v/>
      </c>
      <c r="BG30" s="47" t="str">
        <f>IF(COUNTIFS(IuranDSSebelumnya!$J$330:$J$772,$K30,IuranDSSebelumnya!$M$330:$M$772,BG$11,IuranDSSebelumnya!$L$330:$L$772,$M$5)&gt;0,
        VLOOKUP(CONCATENATE($K30,"|",BG$11,"|",$M$5),IuranDSSebelumnya!$I$330:$N$772,5,FALSE),
        IF(COUNTIFS(IuranDSSebelumnya!$J$330:$J$772,$K30,IuranDSSebelumnya!$M$330:$M$772,BG$11,IuranDSSebelumnya!$L$330:$L$772,"&lt;&gt;"&amp;$M$5)&gt;0,
              "Iuran dari Lingkungan lain",
              ""))</f>
        <v/>
      </c>
      <c r="BH30" s="47" t="str">
        <f>IF(COUNTIFS(IuranDSSebelumnya!$J$330:$J$772,$K30,IuranDSSebelumnya!$M$330:$M$772,BH$11,IuranDSSebelumnya!$L$330:$L$772,$M$5)&gt;0,
        VLOOKUP(CONCATENATE($K30,"|",BH$11,"|",$M$5),IuranDSSebelumnya!$I$330:$N$772,5,FALSE),
        IF(COUNTIFS(IuranDSSebelumnya!$J$330:$J$772,$K30,IuranDSSebelumnya!$M$330:$M$772,BH$11,IuranDSSebelumnya!$L$330:$L$772,"&lt;&gt;"&amp;$M$5)&gt;0,
              "Iuran dari Lingkungan lain",
              ""))</f>
        <v/>
      </c>
      <c r="BI30" s="47" t="str">
        <f>IF(COUNTIFS(IuranDSSebelumnya!$J$330:$J$772,$K30,IuranDSSebelumnya!$M$330:$M$772,BI$11,IuranDSSebelumnya!$L$330:$L$772,$M$5)&gt;0,
        VLOOKUP(CONCATENATE($K30,"|",BI$11,"|",$M$5),IuranDSSebelumnya!$I$330:$N$772,5,FALSE),
        IF(COUNTIFS(IuranDSSebelumnya!$J$330:$J$772,$K30,IuranDSSebelumnya!$M$330:$M$772,BI$11,IuranDSSebelumnya!$L$330:$L$772,"&lt;&gt;"&amp;$M$5)&gt;0,
              "Iuran dari Lingkungan lain",
              ""))</f>
        <v/>
      </c>
      <c r="BJ30" s="47" t="str">
        <f>IF(COUNTIFS(IuranDSSebelumnya!$J$330:$J$772,$K30,IuranDSSebelumnya!$M$330:$M$772,BJ$11,IuranDSSebelumnya!$L$330:$L$772,$M$5)&gt;0,
        VLOOKUP(CONCATENATE($K30,"|",BJ$11,"|",$M$5),IuranDSSebelumnya!$I$330:$N$772,5,FALSE),
        IF(COUNTIFS(IuranDSSebelumnya!$J$330:$J$772,$K30,IuranDSSebelumnya!$M$330:$M$772,BJ$11,IuranDSSebelumnya!$L$330:$L$772,"&lt;&gt;"&amp;$M$5)&gt;0,
              "Iuran dari Lingkungan lain",
              ""))</f>
        <v/>
      </c>
      <c r="BK30" s="47" t="str">
        <f>IF(COUNTIFS(IuranDSSebelumnya!$J$330:$J$772,$K30,IuranDSSebelumnya!$M$330:$M$772,BK$11,IuranDSSebelumnya!$L$330:$L$772,$M$5)&gt;0,
        VLOOKUP(CONCATENATE($K30,"|",BK$11,"|",$M$5),IuranDSSebelumnya!$I$330:$N$772,5,FALSE),
        IF(COUNTIFS(IuranDSSebelumnya!$J$330:$J$772,$K30,IuranDSSebelumnya!$M$330:$M$772,BK$11,IuranDSSebelumnya!$L$330:$L$772,"&lt;&gt;"&amp;$M$5)&gt;0,
              "Iuran dari Lingkungan lain",
              ""))</f>
        <v/>
      </c>
      <c r="BL30" s="47" t="str">
        <f>IF(COUNTIFS(IuranDSSebelumnya!$J$330:$J$772,$K30,IuranDSSebelumnya!$M$330:$M$772,BL$11,IuranDSSebelumnya!$L$330:$L$772,$M$5)&gt;0,
        VLOOKUP(CONCATENATE($K30,"|",BL$11,"|",$M$5),IuranDSSebelumnya!$I$330:$N$772,5,FALSE),
        IF(COUNTIFS(IuranDSSebelumnya!$J$330:$J$772,$K30,IuranDSSebelumnya!$M$330:$M$772,BL$11,IuranDSSebelumnya!$L$330:$L$772,"&lt;&gt;"&amp;$M$5)&gt;0,
              "Iuran dari Lingkungan lain",
              ""))</f>
        <v/>
      </c>
    </row>
    <row r="31" spans="1:64" x14ac:dyDescent="0.35">
      <c r="A31" s="30" t="s">
        <v>6063</v>
      </c>
      <c r="C31" s="30" t="b">
        <f t="shared" ca="1" si="16"/>
        <v>0</v>
      </c>
      <c r="D31" s="30" t="str">
        <f>"""TRUST Nav"",""HSPMTB2016"",""18"",""1"",""KK-04613"""</f>
        <v>"TRUST Nav","HSPMTB2016","18","1","KK-04613"</v>
      </c>
      <c r="H31" s="30">
        <f t="shared" si="17"/>
        <v>0</v>
      </c>
      <c r="J31" s="30">
        <f t="shared" si="18"/>
        <v>19</v>
      </c>
      <c r="K31" s="30" t="str">
        <f>"KK-04613"</f>
        <v>KK-04613</v>
      </c>
      <c r="L31" s="30" t="str">
        <f>"Ignatius Yanto Hardoyo"</f>
        <v>Ignatius Yanto Hardoyo</v>
      </c>
      <c r="M31" s="30"/>
      <c r="N31" s="129"/>
      <c r="O31" s="129"/>
      <c r="P31" s="129"/>
      <c r="Q31" s="129"/>
      <c r="R31" s="129"/>
      <c r="S31" s="129"/>
      <c r="T31" s="130"/>
      <c r="U31" s="131"/>
      <c r="V31" s="131"/>
      <c r="W31" s="131"/>
      <c r="X31" s="131"/>
      <c r="Y31" s="132"/>
      <c r="Z31" s="131"/>
      <c r="AA31" s="131"/>
      <c r="AB31" s="4"/>
      <c r="AC31" s="4"/>
      <c r="AD31" s="4"/>
      <c r="AE31" s="4"/>
      <c r="AF31" s="11"/>
      <c r="AG31" s="4"/>
      <c r="AH31" s="4"/>
      <c r="AI31" s="4"/>
      <c r="AJ31" s="4"/>
      <c r="AK31" s="4"/>
      <c r="AL31" s="9">
        <f t="shared" si="19"/>
        <v>0</v>
      </c>
      <c r="AO31" s="47">
        <f>IF(COUNTIFS(IuranDSSebelumnya!$J$330:$J$772,$K31,IuranDSSebelumnya!$M$330:$M$772,AO$11,IuranDSSebelumnya!$L$330:$L$772,$M$5)&gt;0,
        VLOOKUP(CONCATENATE($K31,"|",AO$11,"|",$M$5),IuranDSSebelumnya!$I$330:$N$772,5,FALSE),
        IF(COUNTIFS(IuranDSSebelumnya!$J$330:$J$772,$K31,IuranDSSebelumnya!$M$330:$M$772,AO$11,IuranDSSebelumnya!$L$330:$L$772,"&lt;&gt;"&amp;$M$5)&gt;0,
              "Iuran dari Lingkungan lain",
              ""))</f>
        <v>42186</v>
      </c>
      <c r="AP31" s="47">
        <f>IF(COUNTIFS(IuranDSSebelumnya!$J$330:$J$772,$K31,IuranDSSebelumnya!$M$330:$M$772,AP$11,IuranDSSebelumnya!$L$330:$L$772,$M$5)&gt;0,
        VLOOKUP(CONCATENATE($K31,"|",AP$11,"|",$M$5),IuranDSSebelumnya!$I$330:$N$772,5,FALSE),
        IF(COUNTIFS(IuranDSSebelumnya!$J$330:$J$772,$K31,IuranDSSebelumnya!$M$330:$M$772,AP$11,IuranDSSebelumnya!$L$330:$L$772,"&lt;&gt;"&amp;$M$5)&gt;0,
              "Iuran dari Lingkungan lain",
              ""))</f>
        <v>42217</v>
      </c>
      <c r="AQ31" s="47">
        <f>IF(COUNTIFS(IuranDSSebelumnya!$J$330:$J$772,$K31,IuranDSSebelumnya!$M$330:$M$772,AQ$11,IuranDSSebelumnya!$L$330:$L$772,$M$5)&gt;0,
        VLOOKUP(CONCATENATE($K31,"|",AQ$11,"|",$M$5),IuranDSSebelumnya!$I$330:$N$772,5,FALSE),
        IF(COUNTIFS(IuranDSSebelumnya!$J$330:$J$772,$K31,IuranDSSebelumnya!$M$330:$M$772,AQ$11,IuranDSSebelumnya!$L$330:$L$772,"&lt;&gt;"&amp;$M$5)&gt;0,
              "Iuran dari Lingkungan lain",
              ""))</f>
        <v>42248</v>
      </c>
      <c r="AR31" s="47">
        <f>IF(COUNTIFS(IuranDSSebelumnya!$J$330:$J$772,$K31,IuranDSSebelumnya!$M$330:$M$772,AR$11,IuranDSSebelumnya!$L$330:$L$772,$M$5)&gt;0,
        VLOOKUP(CONCATENATE($K31,"|",AR$11,"|",$M$5),IuranDSSebelumnya!$I$330:$N$772,5,FALSE),
        IF(COUNTIFS(IuranDSSebelumnya!$J$330:$J$772,$K31,IuranDSSebelumnya!$M$330:$M$772,AR$11,IuranDSSebelumnya!$L$330:$L$772,"&lt;&gt;"&amp;$M$5)&gt;0,
              "Iuran dari Lingkungan lain",
              ""))</f>
        <v>42278</v>
      </c>
      <c r="AS31" s="47">
        <f>IF(COUNTIFS(IuranDSSebelumnya!$J$330:$J$772,$K31,IuranDSSebelumnya!$M$330:$M$772,AS$11,IuranDSSebelumnya!$L$330:$L$772,$M$5)&gt;0,
        VLOOKUP(CONCATENATE($K31,"|",AS$11,"|",$M$5),IuranDSSebelumnya!$I$330:$N$772,5,FALSE),
        IF(COUNTIFS(IuranDSSebelumnya!$J$330:$J$772,$K31,IuranDSSebelumnya!$M$330:$M$772,AS$11,IuranDSSebelumnya!$L$330:$L$772,"&lt;&gt;"&amp;$M$5)&gt;0,
              "Iuran dari Lingkungan lain",
              ""))</f>
        <v>42309</v>
      </c>
      <c r="AT31" s="47">
        <f>IF(COUNTIFS(IuranDSSebelumnya!$J$330:$J$772,$K31,IuranDSSebelumnya!$M$330:$M$772,AT$11,IuranDSSebelumnya!$L$330:$L$772,$M$5)&gt;0,
        VLOOKUP(CONCATENATE($K31,"|",AT$11,"|",$M$5),IuranDSSebelumnya!$I$330:$N$772,5,FALSE),
        IF(COUNTIFS(IuranDSSebelumnya!$J$330:$J$772,$K31,IuranDSSebelumnya!$M$330:$M$772,AT$11,IuranDSSebelumnya!$L$330:$L$772,"&lt;&gt;"&amp;$M$5)&gt;0,
              "Iuran dari Lingkungan lain",
              ""))</f>
        <v>42339</v>
      </c>
      <c r="AU31" s="47">
        <f>IF(COUNTIFS(IuranDSSebelumnya!$J$330:$J$772,$K31,IuranDSSebelumnya!$M$330:$M$772,AU$11,IuranDSSebelumnya!$L$330:$L$772,$M$5)&gt;0,
        VLOOKUP(CONCATENATE($K31,"|",AU$11,"|",$M$5),IuranDSSebelumnya!$I$330:$N$772,5,FALSE),
        IF(COUNTIFS(IuranDSSebelumnya!$J$330:$J$772,$K31,IuranDSSebelumnya!$M$330:$M$772,AU$11,IuranDSSebelumnya!$L$330:$L$772,"&lt;&gt;"&amp;$M$5)&gt;0,
              "Iuran dari Lingkungan lain",
              ""))</f>
        <v>42370</v>
      </c>
      <c r="AV31" s="47">
        <f>IF(COUNTIFS(IuranDSSebelumnya!$J$330:$J$772,$K31,IuranDSSebelumnya!$M$330:$M$772,AV$11,IuranDSSebelumnya!$L$330:$L$772,$M$5)&gt;0,
        VLOOKUP(CONCATENATE($K31,"|",AV$11,"|",$M$5),IuranDSSebelumnya!$I$330:$N$772,5,FALSE),
        IF(COUNTIFS(IuranDSSebelumnya!$J$330:$J$772,$K31,IuranDSSebelumnya!$M$330:$M$772,AV$11,IuranDSSebelumnya!$L$330:$L$772,"&lt;&gt;"&amp;$M$5)&gt;0,
              "Iuran dari Lingkungan lain",
              ""))</f>
        <v>42401</v>
      </c>
      <c r="AW31" s="47">
        <f>IF(COUNTIFS(IuranDSSebelumnya!$J$330:$J$772,$K31,IuranDSSebelumnya!$M$330:$M$772,AW$11,IuranDSSebelumnya!$L$330:$L$772,$M$5)&gt;0,
        VLOOKUP(CONCATENATE($K31,"|",AW$11,"|",$M$5),IuranDSSebelumnya!$I$330:$N$772,5,FALSE),
        IF(COUNTIFS(IuranDSSebelumnya!$J$330:$J$772,$K31,IuranDSSebelumnya!$M$330:$M$772,AW$11,IuranDSSebelumnya!$L$330:$L$772,"&lt;&gt;"&amp;$M$5)&gt;0,
              "Iuran dari Lingkungan lain",
              ""))</f>
        <v>42430</v>
      </c>
      <c r="AX31" s="47">
        <f>IF(COUNTIFS(IuranDSSebelumnya!$J$330:$J$772,$K31,IuranDSSebelumnya!$M$330:$M$772,AX$11,IuranDSSebelumnya!$L$330:$L$772,$M$5)&gt;0,
        VLOOKUP(CONCATENATE($K31,"|",AX$11,"|",$M$5),IuranDSSebelumnya!$I$330:$N$772,5,FALSE),
        IF(COUNTIFS(IuranDSSebelumnya!$J$330:$J$772,$K31,IuranDSSebelumnya!$M$330:$M$772,AX$11,IuranDSSebelumnya!$L$330:$L$772,"&lt;&gt;"&amp;$M$5)&gt;0,
              "Iuran dari Lingkungan lain",
              ""))</f>
        <v>42461</v>
      </c>
      <c r="AY31" s="47">
        <f>IF(COUNTIFS(IuranDSSebelumnya!$J$330:$J$772,$K31,IuranDSSebelumnya!$M$330:$M$772,AY$11,IuranDSSebelumnya!$L$330:$L$772,$M$5)&gt;0,
        VLOOKUP(CONCATENATE($K31,"|",AY$11,"|",$M$5),IuranDSSebelumnya!$I$330:$N$772,5,FALSE),
        IF(COUNTIFS(IuranDSSebelumnya!$J$330:$J$772,$K31,IuranDSSebelumnya!$M$330:$M$772,AY$11,IuranDSSebelumnya!$L$330:$L$772,"&lt;&gt;"&amp;$M$5)&gt;0,
              "Iuran dari Lingkungan lain",
              ""))</f>
        <v>42491</v>
      </c>
      <c r="AZ31" s="47">
        <f>IF(COUNTIFS(IuranDSSebelumnya!$J$330:$J$772,$K31,IuranDSSebelumnya!$M$330:$M$772,AZ$11,IuranDSSebelumnya!$L$330:$L$772,$M$5)&gt;0,
        VLOOKUP(CONCATENATE($K31,"|",AZ$11,"|",$M$5),IuranDSSebelumnya!$I$330:$N$772,5,FALSE),
        IF(COUNTIFS(IuranDSSebelumnya!$J$330:$J$772,$K31,IuranDSSebelumnya!$M$330:$M$772,AZ$11,IuranDSSebelumnya!$L$330:$L$772,"&lt;&gt;"&amp;$M$5)&gt;0,
              "Iuran dari Lingkungan lain",
              ""))</f>
        <v>42522</v>
      </c>
      <c r="BA31" s="47">
        <f>IF(COUNTIFS(IuranDSSebelumnya!$J$330:$J$772,$K31,IuranDSSebelumnya!$M$330:$M$772,BA$11,IuranDSSebelumnya!$L$330:$L$772,$M$5)&gt;0,
        VLOOKUP(CONCATENATE($K31,"|",BA$11,"|",$M$5),IuranDSSebelumnya!$I$330:$N$772,5,FALSE),
        IF(COUNTIFS(IuranDSSebelumnya!$J$330:$J$772,$K31,IuranDSSebelumnya!$M$330:$M$772,BA$11,IuranDSSebelumnya!$L$330:$L$772,"&lt;&gt;"&amp;$M$5)&gt;0,
              "Iuran dari Lingkungan lain",
              ""))</f>
        <v>42552</v>
      </c>
      <c r="BB31" s="47">
        <f>IF(COUNTIFS(IuranDSSebelumnya!$J$330:$J$772,$K31,IuranDSSebelumnya!$M$330:$M$772,BB$11,IuranDSSebelumnya!$L$330:$L$772,$M$5)&gt;0,
        VLOOKUP(CONCATENATE($K31,"|",BB$11,"|",$M$5),IuranDSSebelumnya!$I$330:$N$772,5,FALSE),
        IF(COUNTIFS(IuranDSSebelumnya!$J$330:$J$772,$K31,IuranDSSebelumnya!$M$330:$M$772,BB$11,IuranDSSebelumnya!$L$330:$L$772,"&lt;&gt;"&amp;$M$5)&gt;0,
              "Iuran dari Lingkungan lain",
              ""))</f>
        <v>42583</v>
      </c>
      <c r="BC31" s="47" t="str">
        <f>IF(COUNTIFS(IuranDSSebelumnya!$J$330:$J$772,$K31,IuranDSSebelumnya!$M$330:$M$772,BC$11,IuranDSSebelumnya!$L$330:$L$772,$M$5)&gt;0,
        VLOOKUP(CONCATENATE($K31,"|",BC$11,"|",$M$5),IuranDSSebelumnya!$I$330:$N$772,5,FALSE),
        IF(COUNTIFS(IuranDSSebelumnya!$J$330:$J$772,$K31,IuranDSSebelumnya!$M$330:$M$772,BC$11,IuranDSSebelumnya!$L$330:$L$772,"&lt;&gt;"&amp;$M$5)&gt;0,
              "Iuran dari Lingkungan lain",
              ""))</f>
        <v/>
      </c>
      <c r="BD31" s="47" t="str">
        <f>IF(COUNTIFS(IuranDSSebelumnya!$J$330:$J$772,$K31,IuranDSSebelumnya!$M$330:$M$772,BD$11,IuranDSSebelumnya!$L$330:$L$772,$M$5)&gt;0,
        VLOOKUP(CONCATENATE($K31,"|",BD$11,"|",$M$5),IuranDSSebelumnya!$I$330:$N$772,5,FALSE),
        IF(COUNTIFS(IuranDSSebelumnya!$J$330:$J$772,$K31,IuranDSSebelumnya!$M$330:$M$772,BD$11,IuranDSSebelumnya!$L$330:$L$772,"&lt;&gt;"&amp;$M$5)&gt;0,
              "Iuran dari Lingkungan lain",
              ""))</f>
        <v/>
      </c>
      <c r="BE31" s="47" t="str">
        <f>IF(COUNTIFS(IuranDSSebelumnya!$J$330:$J$772,$K31,IuranDSSebelumnya!$M$330:$M$772,BE$11,IuranDSSebelumnya!$L$330:$L$772,$M$5)&gt;0,
        VLOOKUP(CONCATENATE($K31,"|",BE$11,"|",$M$5),IuranDSSebelumnya!$I$330:$N$772,5,FALSE),
        IF(COUNTIFS(IuranDSSebelumnya!$J$330:$J$772,$K31,IuranDSSebelumnya!$M$330:$M$772,BE$11,IuranDSSebelumnya!$L$330:$L$772,"&lt;&gt;"&amp;$M$5)&gt;0,
              "Iuran dari Lingkungan lain",
              ""))</f>
        <v/>
      </c>
      <c r="BF31" s="47" t="str">
        <f>IF(COUNTIFS(IuranDSSebelumnya!$J$330:$J$772,$K31,IuranDSSebelumnya!$M$330:$M$772,BF$11,IuranDSSebelumnya!$L$330:$L$772,$M$5)&gt;0,
        VLOOKUP(CONCATENATE($K31,"|",BF$11,"|",$M$5),IuranDSSebelumnya!$I$330:$N$772,5,FALSE),
        IF(COUNTIFS(IuranDSSebelumnya!$J$330:$J$772,$K31,IuranDSSebelumnya!$M$330:$M$772,BF$11,IuranDSSebelumnya!$L$330:$L$772,"&lt;&gt;"&amp;$M$5)&gt;0,
              "Iuran dari Lingkungan lain",
              ""))</f>
        <v/>
      </c>
      <c r="BG31" s="47" t="str">
        <f>IF(COUNTIFS(IuranDSSebelumnya!$J$330:$J$772,$K31,IuranDSSebelumnya!$M$330:$M$772,BG$11,IuranDSSebelumnya!$L$330:$L$772,$M$5)&gt;0,
        VLOOKUP(CONCATENATE($K31,"|",BG$11,"|",$M$5),IuranDSSebelumnya!$I$330:$N$772,5,FALSE),
        IF(COUNTIFS(IuranDSSebelumnya!$J$330:$J$772,$K31,IuranDSSebelumnya!$M$330:$M$772,BG$11,IuranDSSebelumnya!$L$330:$L$772,"&lt;&gt;"&amp;$M$5)&gt;0,
              "Iuran dari Lingkungan lain",
              ""))</f>
        <v/>
      </c>
      <c r="BH31" s="47" t="str">
        <f>IF(COUNTIFS(IuranDSSebelumnya!$J$330:$J$772,$K31,IuranDSSebelumnya!$M$330:$M$772,BH$11,IuranDSSebelumnya!$L$330:$L$772,$M$5)&gt;0,
        VLOOKUP(CONCATENATE($K31,"|",BH$11,"|",$M$5),IuranDSSebelumnya!$I$330:$N$772,5,FALSE),
        IF(COUNTIFS(IuranDSSebelumnya!$J$330:$J$772,$K31,IuranDSSebelumnya!$M$330:$M$772,BH$11,IuranDSSebelumnya!$L$330:$L$772,"&lt;&gt;"&amp;$M$5)&gt;0,
              "Iuran dari Lingkungan lain",
              ""))</f>
        <v/>
      </c>
      <c r="BI31" s="47" t="str">
        <f>IF(COUNTIFS(IuranDSSebelumnya!$J$330:$J$772,$K31,IuranDSSebelumnya!$M$330:$M$772,BI$11,IuranDSSebelumnya!$L$330:$L$772,$M$5)&gt;0,
        VLOOKUP(CONCATENATE($K31,"|",BI$11,"|",$M$5),IuranDSSebelumnya!$I$330:$N$772,5,FALSE),
        IF(COUNTIFS(IuranDSSebelumnya!$J$330:$J$772,$K31,IuranDSSebelumnya!$M$330:$M$772,BI$11,IuranDSSebelumnya!$L$330:$L$772,"&lt;&gt;"&amp;$M$5)&gt;0,
              "Iuran dari Lingkungan lain",
              ""))</f>
        <v/>
      </c>
      <c r="BJ31" s="47" t="str">
        <f>IF(COUNTIFS(IuranDSSebelumnya!$J$330:$J$772,$K31,IuranDSSebelumnya!$M$330:$M$772,BJ$11,IuranDSSebelumnya!$L$330:$L$772,$M$5)&gt;0,
        VLOOKUP(CONCATENATE($K31,"|",BJ$11,"|",$M$5),IuranDSSebelumnya!$I$330:$N$772,5,FALSE),
        IF(COUNTIFS(IuranDSSebelumnya!$J$330:$J$772,$K31,IuranDSSebelumnya!$M$330:$M$772,BJ$11,IuranDSSebelumnya!$L$330:$L$772,"&lt;&gt;"&amp;$M$5)&gt;0,
              "Iuran dari Lingkungan lain",
              ""))</f>
        <v/>
      </c>
      <c r="BK31" s="47" t="str">
        <f>IF(COUNTIFS(IuranDSSebelumnya!$J$330:$J$772,$K31,IuranDSSebelumnya!$M$330:$M$772,BK$11,IuranDSSebelumnya!$L$330:$L$772,$M$5)&gt;0,
        VLOOKUP(CONCATENATE($K31,"|",BK$11,"|",$M$5),IuranDSSebelumnya!$I$330:$N$772,5,FALSE),
        IF(COUNTIFS(IuranDSSebelumnya!$J$330:$J$772,$K31,IuranDSSebelumnya!$M$330:$M$772,BK$11,IuranDSSebelumnya!$L$330:$L$772,"&lt;&gt;"&amp;$M$5)&gt;0,
              "Iuran dari Lingkungan lain",
              ""))</f>
        <v/>
      </c>
      <c r="BL31" s="47" t="str">
        <f>IF(COUNTIFS(IuranDSSebelumnya!$J$330:$J$772,$K31,IuranDSSebelumnya!$M$330:$M$772,BL$11,IuranDSSebelumnya!$L$330:$L$772,$M$5)&gt;0,
        VLOOKUP(CONCATENATE($K31,"|",BL$11,"|",$M$5),IuranDSSebelumnya!$I$330:$N$772,5,FALSE),
        IF(COUNTIFS(IuranDSSebelumnya!$J$330:$J$772,$K31,IuranDSSebelumnya!$M$330:$M$772,BL$11,IuranDSSebelumnya!$L$330:$L$772,"&lt;&gt;"&amp;$M$5)&gt;0,
              "Iuran dari Lingkungan lain",
              ""))</f>
        <v/>
      </c>
    </row>
    <row r="32" spans="1:64" x14ac:dyDescent="0.35">
      <c r="A32" s="30" t="s">
        <v>6063</v>
      </c>
      <c r="C32" s="30" t="b">
        <f t="shared" ca="1" si="16"/>
        <v>0</v>
      </c>
      <c r="D32" s="30" t="str">
        <f>"""TRUST Nav"",""HSPMTB2016"",""18"",""1"",""KK-04609"""</f>
        <v>"TRUST Nav","HSPMTB2016","18","1","KK-04609"</v>
      </c>
      <c r="H32" s="30">
        <f t="shared" si="17"/>
        <v>0</v>
      </c>
      <c r="J32" s="30">
        <f t="shared" si="18"/>
        <v>20</v>
      </c>
      <c r="K32" s="30" t="str">
        <f>"KK-04609"</f>
        <v>KK-04609</v>
      </c>
      <c r="L32" s="30" t="str">
        <f>"Jofenwali"</f>
        <v>Jofenwali</v>
      </c>
      <c r="M32" s="30"/>
      <c r="N32" s="129"/>
      <c r="O32" s="129"/>
      <c r="P32" s="129"/>
      <c r="Q32" s="129"/>
      <c r="R32" s="129"/>
      <c r="S32" s="129"/>
      <c r="T32" s="130"/>
      <c r="U32" s="131"/>
      <c r="V32" s="131"/>
      <c r="W32" s="131"/>
      <c r="X32" s="4"/>
      <c r="Y32" s="15"/>
      <c r="Z32" s="4"/>
      <c r="AA32" s="4"/>
      <c r="AB32" s="4"/>
      <c r="AC32" s="4"/>
      <c r="AD32" s="4"/>
      <c r="AE32" s="4"/>
      <c r="AF32" s="11"/>
      <c r="AG32" s="4"/>
      <c r="AH32" s="4"/>
      <c r="AI32" s="4"/>
      <c r="AJ32" s="4"/>
      <c r="AK32" s="4"/>
      <c r="AL32" s="9">
        <f t="shared" si="19"/>
        <v>0</v>
      </c>
      <c r="AO32" s="47">
        <f>IF(COUNTIFS(IuranDSSebelumnya!$J$330:$J$772,$K32,IuranDSSebelumnya!$M$330:$M$772,AO$11,IuranDSSebelumnya!$L$330:$L$772,$M$5)&gt;0,
        VLOOKUP(CONCATENATE($K32,"|",AO$11,"|",$M$5),IuranDSSebelumnya!$I$330:$N$772,5,FALSE),
        IF(COUNTIFS(IuranDSSebelumnya!$J$330:$J$772,$K32,IuranDSSebelumnya!$M$330:$M$772,AO$11,IuranDSSebelumnya!$L$330:$L$772,"&lt;&gt;"&amp;$M$5)&gt;0,
              "Iuran dari Lingkungan lain",
              ""))</f>
        <v>42186</v>
      </c>
      <c r="AP32" s="47">
        <f>IF(COUNTIFS(IuranDSSebelumnya!$J$330:$J$772,$K32,IuranDSSebelumnya!$M$330:$M$772,AP$11,IuranDSSebelumnya!$L$330:$L$772,$M$5)&gt;0,
        VLOOKUP(CONCATENATE($K32,"|",AP$11,"|",$M$5),IuranDSSebelumnya!$I$330:$N$772,5,FALSE),
        IF(COUNTIFS(IuranDSSebelumnya!$J$330:$J$772,$K32,IuranDSSebelumnya!$M$330:$M$772,AP$11,IuranDSSebelumnya!$L$330:$L$772,"&lt;&gt;"&amp;$M$5)&gt;0,
              "Iuran dari Lingkungan lain",
              ""))</f>
        <v>42217</v>
      </c>
      <c r="AQ32" s="47">
        <f>IF(COUNTIFS(IuranDSSebelumnya!$J$330:$J$772,$K32,IuranDSSebelumnya!$M$330:$M$772,AQ$11,IuranDSSebelumnya!$L$330:$L$772,$M$5)&gt;0,
        VLOOKUP(CONCATENATE($K32,"|",AQ$11,"|",$M$5),IuranDSSebelumnya!$I$330:$N$772,5,FALSE),
        IF(COUNTIFS(IuranDSSebelumnya!$J$330:$J$772,$K32,IuranDSSebelumnya!$M$330:$M$772,AQ$11,IuranDSSebelumnya!$L$330:$L$772,"&lt;&gt;"&amp;$M$5)&gt;0,
              "Iuran dari Lingkungan lain",
              ""))</f>
        <v>42248</v>
      </c>
      <c r="AR32" s="47">
        <f>IF(COUNTIFS(IuranDSSebelumnya!$J$330:$J$772,$K32,IuranDSSebelumnya!$M$330:$M$772,AR$11,IuranDSSebelumnya!$L$330:$L$772,$M$5)&gt;0,
        VLOOKUP(CONCATENATE($K32,"|",AR$11,"|",$M$5),IuranDSSebelumnya!$I$330:$N$772,5,FALSE),
        IF(COUNTIFS(IuranDSSebelumnya!$J$330:$J$772,$K32,IuranDSSebelumnya!$M$330:$M$772,AR$11,IuranDSSebelumnya!$L$330:$L$772,"&lt;&gt;"&amp;$M$5)&gt;0,
              "Iuran dari Lingkungan lain",
              ""))</f>
        <v>42278</v>
      </c>
      <c r="AS32" s="47">
        <f>IF(COUNTIFS(IuranDSSebelumnya!$J$330:$J$772,$K32,IuranDSSebelumnya!$M$330:$M$772,AS$11,IuranDSSebelumnya!$L$330:$L$772,$M$5)&gt;0,
        VLOOKUP(CONCATENATE($K32,"|",AS$11,"|",$M$5),IuranDSSebelumnya!$I$330:$N$772,5,FALSE),
        IF(COUNTIFS(IuranDSSebelumnya!$J$330:$J$772,$K32,IuranDSSebelumnya!$M$330:$M$772,AS$11,IuranDSSebelumnya!$L$330:$L$772,"&lt;&gt;"&amp;$M$5)&gt;0,
              "Iuran dari Lingkungan lain",
              ""))</f>
        <v>42309</v>
      </c>
      <c r="AT32" s="47">
        <f>IF(COUNTIFS(IuranDSSebelumnya!$J$330:$J$772,$K32,IuranDSSebelumnya!$M$330:$M$772,AT$11,IuranDSSebelumnya!$L$330:$L$772,$M$5)&gt;0,
        VLOOKUP(CONCATENATE($K32,"|",AT$11,"|",$M$5),IuranDSSebelumnya!$I$330:$N$772,5,FALSE),
        IF(COUNTIFS(IuranDSSebelumnya!$J$330:$J$772,$K32,IuranDSSebelumnya!$M$330:$M$772,AT$11,IuranDSSebelumnya!$L$330:$L$772,"&lt;&gt;"&amp;$M$5)&gt;0,
              "Iuran dari Lingkungan lain",
              ""))</f>
        <v>42339</v>
      </c>
      <c r="AU32" s="47">
        <f>IF(COUNTIFS(IuranDSSebelumnya!$J$330:$J$772,$K32,IuranDSSebelumnya!$M$330:$M$772,AU$11,IuranDSSebelumnya!$L$330:$L$772,$M$5)&gt;0,
        VLOOKUP(CONCATENATE($K32,"|",AU$11,"|",$M$5),IuranDSSebelumnya!$I$330:$N$772,5,FALSE),
        IF(COUNTIFS(IuranDSSebelumnya!$J$330:$J$772,$K32,IuranDSSebelumnya!$M$330:$M$772,AU$11,IuranDSSebelumnya!$L$330:$L$772,"&lt;&gt;"&amp;$M$5)&gt;0,
              "Iuran dari Lingkungan lain",
              ""))</f>
        <v>42370</v>
      </c>
      <c r="AV32" s="47">
        <f>IF(COUNTIFS(IuranDSSebelumnya!$J$330:$J$772,$K32,IuranDSSebelumnya!$M$330:$M$772,AV$11,IuranDSSebelumnya!$L$330:$L$772,$M$5)&gt;0,
        VLOOKUP(CONCATENATE($K32,"|",AV$11,"|",$M$5),IuranDSSebelumnya!$I$330:$N$772,5,FALSE),
        IF(COUNTIFS(IuranDSSebelumnya!$J$330:$J$772,$K32,IuranDSSebelumnya!$M$330:$M$772,AV$11,IuranDSSebelumnya!$L$330:$L$772,"&lt;&gt;"&amp;$M$5)&gt;0,
              "Iuran dari Lingkungan lain",
              ""))</f>
        <v>42401</v>
      </c>
      <c r="AW32" s="47">
        <f>IF(COUNTIFS(IuranDSSebelumnya!$J$330:$J$772,$K32,IuranDSSebelumnya!$M$330:$M$772,AW$11,IuranDSSebelumnya!$L$330:$L$772,$M$5)&gt;0,
        VLOOKUP(CONCATENATE($K32,"|",AW$11,"|",$M$5),IuranDSSebelumnya!$I$330:$N$772,5,FALSE),
        IF(COUNTIFS(IuranDSSebelumnya!$J$330:$J$772,$K32,IuranDSSebelumnya!$M$330:$M$772,AW$11,IuranDSSebelumnya!$L$330:$L$772,"&lt;&gt;"&amp;$M$5)&gt;0,
              "Iuran dari Lingkungan lain",
              ""))</f>
        <v>42430</v>
      </c>
      <c r="AX32" s="47">
        <f>IF(COUNTIFS(IuranDSSebelumnya!$J$330:$J$772,$K32,IuranDSSebelumnya!$M$330:$M$772,AX$11,IuranDSSebelumnya!$L$330:$L$772,$M$5)&gt;0,
        VLOOKUP(CONCATENATE($K32,"|",AX$11,"|",$M$5),IuranDSSebelumnya!$I$330:$N$772,5,FALSE),
        IF(COUNTIFS(IuranDSSebelumnya!$J$330:$J$772,$K32,IuranDSSebelumnya!$M$330:$M$772,AX$11,IuranDSSebelumnya!$L$330:$L$772,"&lt;&gt;"&amp;$M$5)&gt;0,
              "Iuran dari Lingkungan lain",
              ""))</f>
        <v>42461</v>
      </c>
      <c r="AY32" s="47" t="str">
        <f>IF(COUNTIFS(IuranDSSebelumnya!$J$330:$J$772,$K32,IuranDSSebelumnya!$M$330:$M$772,AY$11,IuranDSSebelumnya!$L$330:$L$772,$M$5)&gt;0,
        VLOOKUP(CONCATENATE($K32,"|",AY$11,"|",$M$5),IuranDSSebelumnya!$I$330:$N$772,5,FALSE),
        IF(COUNTIFS(IuranDSSebelumnya!$J$330:$J$772,$K32,IuranDSSebelumnya!$M$330:$M$772,AY$11,IuranDSSebelumnya!$L$330:$L$772,"&lt;&gt;"&amp;$M$5)&gt;0,
              "Iuran dari Lingkungan lain",
              ""))</f>
        <v/>
      </c>
      <c r="AZ32" s="47" t="str">
        <f>IF(COUNTIFS(IuranDSSebelumnya!$J$330:$J$772,$K32,IuranDSSebelumnya!$M$330:$M$772,AZ$11,IuranDSSebelumnya!$L$330:$L$772,$M$5)&gt;0,
        VLOOKUP(CONCATENATE($K32,"|",AZ$11,"|",$M$5),IuranDSSebelumnya!$I$330:$N$772,5,FALSE),
        IF(COUNTIFS(IuranDSSebelumnya!$J$330:$J$772,$K32,IuranDSSebelumnya!$M$330:$M$772,AZ$11,IuranDSSebelumnya!$L$330:$L$772,"&lt;&gt;"&amp;$M$5)&gt;0,
              "Iuran dari Lingkungan lain",
              ""))</f>
        <v/>
      </c>
      <c r="BA32" s="47" t="str">
        <f>IF(COUNTIFS(IuranDSSebelumnya!$J$330:$J$772,$K32,IuranDSSebelumnya!$M$330:$M$772,BA$11,IuranDSSebelumnya!$L$330:$L$772,$M$5)&gt;0,
        VLOOKUP(CONCATENATE($K32,"|",BA$11,"|",$M$5),IuranDSSebelumnya!$I$330:$N$772,5,FALSE),
        IF(COUNTIFS(IuranDSSebelumnya!$J$330:$J$772,$K32,IuranDSSebelumnya!$M$330:$M$772,BA$11,IuranDSSebelumnya!$L$330:$L$772,"&lt;&gt;"&amp;$M$5)&gt;0,
              "Iuran dari Lingkungan lain",
              ""))</f>
        <v/>
      </c>
      <c r="BB32" s="47" t="str">
        <f>IF(COUNTIFS(IuranDSSebelumnya!$J$330:$J$772,$K32,IuranDSSebelumnya!$M$330:$M$772,BB$11,IuranDSSebelumnya!$L$330:$L$772,$M$5)&gt;0,
        VLOOKUP(CONCATENATE($K32,"|",BB$11,"|",$M$5),IuranDSSebelumnya!$I$330:$N$772,5,FALSE),
        IF(COUNTIFS(IuranDSSebelumnya!$J$330:$J$772,$K32,IuranDSSebelumnya!$M$330:$M$772,BB$11,IuranDSSebelumnya!$L$330:$L$772,"&lt;&gt;"&amp;$M$5)&gt;0,
              "Iuran dari Lingkungan lain",
              ""))</f>
        <v/>
      </c>
      <c r="BC32" s="47" t="str">
        <f>IF(COUNTIFS(IuranDSSebelumnya!$J$330:$J$772,$K32,IuranDSSebelumnya!$M$330:$M$772,BC$11,IuranDSSebelumnya!$L$330:$L$772,$M$5)&gt;0,
        VLOOKUP(CONCATENATE($K32,"|",BC$11,"|",$M$5),IuranDSSebelumnya!$I$330:$N$772,5,FALSE),
        IF(COUNTIFS(IuranDSSebelumnya!$J$330:$J$772,$K32,IuranDSSebelumnya!$M$330:$M$772,BC$11,IuranDSSebelumnya!$L$330:$L$772,"&lt;&gt;"&amp;$M$5)&gt;0,
              "Iuran dari Lingkungan lain",
              ""))</f>
        <v/>
      </c>
      <c r="BD32" s="47" t="str">
        <f>IF(COUNTIFS(IuranDSSebelumnya!$J$330:$J$772,$K32,IuranDSSebelumnya!$M$330:$M$772,BD$11,IuranDSSebelumnya!$L$330:$L$772,$M$5)&gt;0,
        VLOOKUP(CONCATENATE($K32,"|",BD$11,"|",$M$5),IuranDSSebelumnya!$I$330:$N$772,5,FALSE),
        IF(COUNTIFS(IuranDSSebelumnya!$J$330:$J$772,$K32,IuranDSSebelumnya!$M$330:$M$772,BD$11,IuranDSSebelumnya!$L$330:$L$772,"&lt;&gt;"&amp;$M$5)&gt;0,
              "Iuran dari Lingkungan lain",
              ""))</f>
        <v/>
      </c>
      <c r="BE32" s="47" t="str">
        <f>IF(COUNTIFS(IuranDSSebelumnya!$J$330:$J$772,$K32,IuranDSSebelumnya!$M$330:$M$772,BE$11,IuranDSSebelumnya!$L$330:$L$772,$M$5)&gt;0,
        VLOOKUP(CONCATENATE($K32,"|",BE$11,"|",$M$5),IuranDSSebelumnya!$I$330:$N$772,5,FALSE),
        IF(COUNTIFS(IuranDSSebelumnya!$J$330:$J$772,$K32,IuranDSSebelumnya!$M$330:$M$772,BE$11,IuranDSSebelumnya!$L$330:$L$772,"&lt;&gt;"&amp;$M$5)&gt;0,
              "Iuran dari Lingkungan lain",
              ""))</f>
        <v/>
      </c>
      <c r="BF32" s="47" t="str">
        <f>IF(COUNTIFS(IuranDSSebelumnya!$J$330:$J$772,$K32,IuranDSSebelumnya!$M$330:$M$772,BF$11,IuranDSSebelumnya!$L$330:$L$772,$M$5)&gt;0,
        VLOOKUP(CONCATENATE($K32,"|",BF$11,"|",$M$5),IuranDSSebelumnya!$I$330:$N$772,5,FALSE),
        IF(COUNTIFS(IuranDSSebelumnya!$J$330:$J$772,$K32,IuranDSSebelumnya!$M$330:$M$772,BF$11,IuranDSSebelumnya!$L$330:$L$772,"&lt;&gt;"&amp;$M$5)&gt;0,
              "Iuran dari Lingkungan lain",
              ""))</f>
        <v/>
      </c>
      <c r="BG32" s="47" t="str">
        <f>IF(COUNTIFS(IuranDSSebelumnya!$J$330:$J$772,$K32,IuranDSSebelumnya!$M$330:$M$772,BG$11,IuranDSSebelumnya!$L$330:$L$772,$M$5)&gt;0,
        VLOOKUP(CONCATENATE($K32,"|",BG$11,"|",$M$5),IuranDSSebelumnya!$I$330:$N$772,5,FALSE),
        IF(COUNTIFS(IuranDSSebelumnya!$J$330:$J$772,$K32,IuranDSSebelumnya!$M$330:$M$772,BG$11,IuranDSSebelumnya!$L$330:$L$772,"&lt;&gt;"&amp;$M$5)&gt;0,
              "Iuran dari Lingkungan lain",
              ""))</f>
        <v/>
      </c>
      <c r="BH32" s="47" t="str">
        <f>IF(COUNTIFS(IuranDSSebelumnya!$J$330:$J$772,$K32,IuranDSSebelumnya!$M$330:$M$772,BH$11,IuranDSSebelumnya!$L$330:$L$772,$M$5)&gt;0,
        VLOOKUP(CONCATENATE($K32,"|",BH$11,"|",$M$5),IuranDSSebelumnya!$I$330:$N$772,5,FALSE),
        IF(COUNTIFS(IuranDSSebelumnya!$J$330:$J$772,$K32,IuranDSSebelumnya!$M$330:$M$772,BH$11,IuranDSSebelumnya!$L$330:$L$772,"&lt;&gt;"&amp;$M$5)&gt;0,
              "Iuran dari Lingkungan lain",
              ""))</f>
        <v/>
      </c>
      <c r="BI32" s="47" t="str">
        <f>IF(COUNTIFS(IuranDSSebelumnya!$J$330:$J$772,$K32,IuranDSSebelumnya!$M$330:$M$772,BI$11,IuranDSSebelumnya!$L$330:$L$772,$M$5)&gt;0,
        VLOOKUP(CONCATENATE($K32,"|",BI$11,"|",$M$5),IuranDSSebelumnya!$I$330:$N$772,5,FALSE),
        IF(COUNTIFS(IuranDSSebelumnya!$J$330:$J$772,$K32,IuranDSSebelumnya!$M$330:$M$772,BI$11,IuranDSSebelumnya!$L$330:$L$772,"&lt;&gt;"&amp;$M$5)&gt;0,
              "Iuran dari Lingkungan lain",
              ""))</f>
        <v/>
      </c>
      <c r="BJ32" s="47" t="str">
        <f>IF(COUNTIFS(IuranDSSebelumnya!$J$330:$J$772,$K32,IuranDSSebelumnya!$M$330:$M$772,BJ$11,IuranDSSebelumnya!$L$330:$L$772,$M$5)&gt;0,
        VLOOKUP(CONCATENATE($K32,"|",BJ$11,"|",$M$5),IuranDSSebelumnya!$I$330:$N$772,5,FALSE),
        IF(COUNTIFS(IuranDSSebelumnya!$J$330:$J$772,$K32,IuranDSSebelumnya!$M$330:$M$772,BJ$11,IuranDSSebelumnya!$L$330:$L$772,"&lt;&gt;"&amp;$M$5)&gt;0,
              "Iuran dari Lingkungan lain",
              ""))</f>
        <v/>
      </c>
      <c r="BK32" s="47" t="str">
        <f>IF(COUNTIFS(IuranDSSebelumnya!$J$330:$J$772,$K32,IuranDSSebelumnya!$M$330:$M$772,BK$11,IuranDSSebelumnya!$L$330:$L$772,$M$5)&gt;0,
        VLOOKUP(CONCATENATE($K32,"|",BK$11,"|",$M$5),IuranDSSebelumnya!$I$330:$N$772,5,FALSE),
        IF(COUNTIFS(IuranDSSebelumnya!$J$330:$J$772,$K32,IuranDSSebelumnya!$M$330:$M$772,BK$11,IuranDSSebelumnya!$L$330:$L$772,"&lt;&gt;"&amp;$M$5)&gt;0,
              "Iuran dari Lingkungan lain",
              ""))</f>
        <v/>
      </c>
      <c r="BL32" s="47" t="str">
        <f>IF(COUNTIFS(IuranDSSebelumnya!$J$330:$J$772,$K32,IuranDSSebelumnya!$M$330:$M$772,BL$11,IuranDSSebelumnya!$L$330:$L$772,$M$5)&gt;0,
        VLOOKUP(CONCATENATE($K32,"|",BL$11,"|",$M$5),IuranDSSebelumnya!$I$330:$N$772,5,FALSE),
        IF(COUNTIFS(IuranDSSebelumnya!$J$330:$J$772,$K32,IuranDSSebelumnya!$M$330:$M$772,BL$11,IuranDSSebelumnya!$L$330:$L$772,"&lt;&gt;"&amp;$M$5)&gt;0,
              "Iuran dari Lingkungan lain",
              ""))</f>
        <v/>
      </c>
    </row>
    <row r="33" spans="1:64" x14ac:dyDescent="0.35">
      <c r="A33" s="30" t="s">
        <v>6063</v>
      </c>
      <c r="C33" s="30" t="b">
        <f t="shared" ca="1" si="16"/>
        <v>0</v>
      </c>
      <c r="D33" s="30" t="str">
        <f>"""TRUST Nav"",""HSPMTB2016"",""18"",""1"",""KK-05052"""</f>
        <v>"TRUST Nav","HSPMTB2016","18","1","KK-05052"</v>
      </c>
      <c r="H33" s="30">
        <f t="shared" si="17"/>
        <v>0</v>
      </c>
      <c r="J33" s="30">
        <f t="shared" si="18"/>
        <v>21</v>
      </c>
      <c r="K33" s="30" t="str">
        <f>"KK-05052"</f>
        <v>KK-05052</v>
      </c>
      <c r="L33" s="30" t="str">
        <f>"Julius Margono Teguh Nugroho"</f>
        <v>Julius Margono Teguh Nugroho</v>
      </c>
      <c r="M33" s="30"/>
      <c r="N33" s="129"/>
      <c r="O33" s="129"/>
      <c r="P33" s="129"/>
      <c r="Q33" s="129"/>
      <c r="R33" s="129"/>
      <c r="S33" s="129"/>
      <c r="T33" s="130"/>
      <c r="U33" s="131"/>
      <c r="V33" s="131"/>
      <c r="W33" s="4"/>
      <c r="X33" s="4"/>
      <c r="Y33" s="15"/>
      <c r="Z33" s="4"/>
      <c r="AA33" s="4"/>
      <c r="AB33" s="4"/>
      <c r="AC33" s="4"/>
      <c r="AD33" s="4"/>
      <c r="AE33" s="4"/>
      <c r="AF33" s="11"/>
      <c r="AG33" s="4"/>
      <c r="AH33" s="4"/>
      <c r="AI33" s="4"/>
      <c r="AJ33" s="4"/>
      <c r="AK33" s="4"/>
      <c r="AL33" s="9">
        <f t="shared" si="19"/>
        <v>0</v>
      </c>
      <c r="AO33" s="47">
        <f>IF(COUNTIFS(IuranDSSebelumnya!$J$330:$J$772,$K33,IuranDSSebelumnya!$M$330:$M$772,AO$11,IuranDSSebelumnya!$L$330:$L$772,$M$5)&gt;0,
        VLOOKUP(CONCATENATE($K33,"|",AO$11,"|",$M$5),IuranDSSebelumnya!$I$330:$N$772,5,FALSE),
        IF(COUNTIFS(IuranDSSebelumnya!$J$330:$J$772,$K33,IuranDSSebelumnya!$M$330:$M$772,AO$11,IuranDSSebelumnya!$L$330:$L$772,"&lt;&gt;"&amp;$M$5)&gt;0,
              "Iuran dari Lingkungan lain",
              ""))</f>
        <v>42186</v>
      </c>
      <c r="AP33" s="47">
        <f>IF(COUNTIFS(IuranDSSebelumnya!$J$330:$J$772,$K33,IuranDSSebelumnya!$M$330:$M$772,AP$11,IuranDSSebelumnya!$L$330:$L$772,$M$5)&gt;0,
        VLOOKUP(CONCATENATE($K33,"|",AP$11,"|",$M$5),IuranDSSebelumnya!$I$330:$N$772,5,FALSE),
        IF(COUNTIFS(IuranDSSebelumnya!$J$330:$J$772,$K33,IuranDSSebelumnya!$M$330:$M$772,AP$11,IuranDSSebelumnya!$L$330:$L$772,"&lt;&gt;"&amp;$M$5)&gt;0,
              "Iuran dari Lingkungan lain",
              ""))</f>
        <v>42217</v>
      </c>
      <c r="AQ33" s="47">
        <f>IF(COUNTIFS(IuranDSSebelumnya!$J$330:$J$772,$K33,IuranDSSebelumnya!$M$330:$M$772,AQ$11,IuranDSSebelumnya!$L$330:$L$772,$M$5)&gt;0,
        VLOOKUP(CONCATENATE($K33,"|",AQ$11,"|",$M$5),IuranDSSebelumnya!$I$330:$N$772,5,FALSE),
        IF(COUNTIFS(IuranDSSebelumnya!$J$330:$J$772,$K33,IuranDSSebelumnya!$M$330:$M$772,AQ$11,IuranDSSebelumnya!$L$330:$L$772,"&lt;&gt;"&amp;$M$5)&gt;0,
              "Iuran dari Lingkungan lain",
              ""))</f>
        <v>42248</v>
      </c>
      <c r="AR33" s="47">
        <f>IF(COUNTIFS(IuranDSSebelumnya!$J$330:$J$772,$K33,IuranDSSebelumnya!$M$330:$M$772,AR$11,IuranDSSebelumnya!$L$330:$L$772,$M$5)&gt;0,
        VLOOKUP(CONCATENATE($K33,"|",AR$11,"|",$M$5),IuranDSSebelumnya!$I$330:$N$772,5,FALSE),
        IF(COUNTIFS(IuranDSSebelumnya!$J$330:$J$772,$K33,IuranDSSebelumnya!$M$330:$M$772,AR$11,IuranDSSebelumnya!$L$330:$L$772,"&lt;&gt;"&amp;$M$5)&gt;0,
              "Iuran dari Lingkungan lain",
              ""))</f>
        <v>42278</v>
      </c>
      <c r="AS33" s="47">
        <f>IF(COUNTIFS(IuranDSSebelumnya!$J$330:$J$772,$K33,IuranDSSebelumnya!$M$330:$M$772,AS$11,IuranDSSebelumnya!$L$330:$L$772,$M$5)&gt;0,
        VLOOKUP(CONCATENATE($K33,"|",AS$11,"|",$M$5),IuranDSSebelumnya!$I$330:$N$772,5,FALSE),
        IF(COUNTIFS(IuranDSSebelumnya!$J$330:$J$772,$K33,IuranDSSebelumnya!$M$330:$M$772,AS$11,IuranDSSebelumnya!$L$330:$L$772,"&lt;&gt;"&amp;$M$5)&gt;0,
              "Iuran dari Lingkungan lain",
              ""))</f>
        <v>42309</v>
      </c>
      <c r="AT33" s="47">
        <f>IF(COUNTIFS(IuranDSSebelumnya!$J$330:$J$772,$K33,IuranDSSebelumnya!$M$330:$M$772,AT$11,IuranDSSebelumnya!$L$330:$L$772,$M$5)&gt;0,
        VLOOKUP(CONCATENATE($K33,"|",AT$11,"|",$M$5),IuranDSSebelumnya!$I$330:$N$772,5,FALSE),
        IF(COUNTIFS(IuranDSSebelumnya!$J$330:$J$772,$K33,IuranDSSebelumnya!$M$330:$M$772,AT$11,IuranDSSebelumnya!$L$330:$L$772,"&lt;&gt;"&amp;$M$5)&gt;0,
              "Iuran dari Lingkungan lain",
              ""))</f>
        <v>42339</v>
      </c>
      <c r="AU33" s="47">
        <f>IF(COUNTIFS(IuranDSSebelumnya!$J$330:$J$772,$K33,IuranDSSebelumnya!$M$330:$M$772,AU$11,IuranDSSebelumnya!$L$330:$L$772,$M$5)&gt;0,
        VLOOKUP(CONCATENATE($K33,"|",AU$11,"|",$M$5),IuranDSSebelumnya!$I$330:$N$772,5,FALSE),
        IF(COUNTIFS(IuranDSSebelumnya!$J$330:$J$772,$K33,IuranDSSebelumnya!$M$330:$M$772,AU$11,IuranDSSebelumnya!$L$330:$L$772,"&lt;&gt;"&amp;$M$5)&gt;0,
              "Iuran dari Lingkungan lain",
              ""))</f>
        <v>42370</v>
      </c>
      <c r="AV33" s="47">
        <f>IF(COUNTIFS(IuranDSSebelumnya!$J$330:$J$772,$K33,IuranDSSebelumnya!$M$330:$M$772,AV$11,IuranDSSebelumnya!$L$330:$L$772,$M$5)&gt;0,
        VLOOKUP(CONCATENATE($K33,"|",AV$11,"|",$M$5),IuranDSSebelumnya!$I$330:$N$772,5,FALSE),
        IF(COUNTIFS(IuranDSSebelumnya!$J$330:$J$772,$K33,IuranDSSebelumnya!$M$330:$M$772,AV$11,IuranDSSebelumnya!$L$330:$L$772,"&lt;&gt;"&amp;$M$5)&gt;0,
              "Iuran dari Lingkungan lain",
              ""))</f>
        <v>42401</v>
      </c>
      <c r="AW33" s="47">
        <f>IF(COUNTIFS(IuranDSSebelumnya!$J$330:$J$772,$K33,IuranDSSebelumnya!$M$330:$M$772,AW$11,IuranDSSebelumnya!$L$330:$L$772,$M$5)&gt;0,
        VLOOKUP(CONCATENATE($K33,"|",AW$11,"|",$M$5),IuranDSSebelumnya!$I$330:$N$772,5,FALSE),
        IF(COUNTIFS(IuranDSSebelumnya!$J$330:$J$772,$K33,IuranDSSebelumnya!$M$330:$M$772,AW$11,IuranDSSebelumnya!$L$330:$L$772,"&lt;&gt;"&amp;$M$5)&gt;0,
              "Iuran dari Lingkungan lain",
              ""))</f>
        <v>42430</v>
      </c>
      <c r="AX33" s="47" t="str">
        <f>IF(COUNTIFS(IuranDSSebelumnya!$J$330:$J$772,$K33,IuranDSSebelumnya!$M$330:$M$772,AX$11,IuranDSSebelumnya!$L$330:$L$772,$M$5)&gt;0,
        VLOOKUP(CONCATENATE($K33,"|",AX$11,"|",$M$5),IuranDSSebelumnya!$I$330:$N$772,5,FALSE),
        IF(COUNTIFS(IuranDSSebelumnya!$J$330:$J$772,$K33,IuranDSSebelumnya!$M$330:$M$772,AX$11,IuranDSSebelumnya!$L$330:$L$772,"&lt;&gt;"&amp;$M$5)&gt;0,
              "Iuran dari Lingkungan lain",
              ""))</f>
        <v/>
      </c>
      <c r="AY33" s="47" t="str">
        <f>IF(COUNTIFS(IuranDSSebelumnya!$J$330:$J$772,$K33,IuranDSSebelumnya!$M$330:$M$772,AY$11,IuranDSSebelumnya!$L$330:$L$772,$M$5)&gt;0,
        VLOOKUP(CONCATENATE($K33,"|",AY$11,"|",$M$5),IuranDSSebelumnya!$I$330:$N$772,5,FALSE),
        IF(COUNTIFS(IuranDSSebelumnya!$J$330:$J$772,$K33,IuranDSSebelumnya!$M$330:$M$772,AY$11,IuranDSSebelumnya!$L$330:$L$772,"&lt;&gt;"&amp;$M$5)&gt;0,
              "Iuran dari Lingkungan lain",
              ""))</f>
        <v/>
      </c>
      <c r="AZ33" s="47" t="str">
        <f>IF(COUNTIFS(IuranDSSebelumnya!$J$330:$J$772,$K33,IuranDSSebelumnya!$M$330:$M$772,AZ$11,IuranDSSebelumnya!$L$330:$L$772,$M$5)&gt;0,
        VLOOKUP(CONCATENATE($K33,"|",AZ$11,"|",$M$5),IuranDSSebelumnya!$I$330:$N$772,5,FALSE),
        IF(COUNTIFS(IuranDSSebelumnya!$J$330:$J$772,$K33,IuranDSSebelumnya!$M$330:$M$772,AZ$11,IuranDSSebelumnya!$L$330:$L$772,"&lt;&gt;"&amp;$M$5)&gt;0,
              "Iuran dari Lingkungan lain",
              ""))</f>
        <v/>
      </c>
      <c r="BA33" s="47" t="str">
        <f>IF(COUNTIFS(IuranDSSebelumnya!$J$330:$J$772,$K33,IuranDSSebelumnya!$M$330:$M$772,BA$11,IuranDSSebelumnya!$L$330:$L$772,$M$5)&gt;0,
        VLOOKUP(CONCATENATE($K33,"|",BA$11,"|",$M$5),IuranDSSebelumnya!$I$330:$N$772,5,FALSE),
        IF(COUNTIFS(IuranDSSebelumnya!$J$330:$J$772,$K33,IuranDSSebelumnya!$M$330:$M$772,BA$11,IuranDSSebelumnya!$L$330:$L$772,"&lt;&gt;"&amp;$M$5)&gt;0,
              "Iuran dari Lingkungan lain",
              ""))</f>
        <v/>
      </c>
      <c r="BB33" s="47" t="str">
        <f>IF(COUNTIFS(IuranDSSebelumnya!$J$330:$J$772,$K33,IuranDSSebelumnya!$M$330:$M$772,BB$11,IuranDSSebelumnya!$L$330:$L$772,$M$5)&gt;0,
        VLOOKUP(CONCATENATE($K33,"|",BB$11,"|",$M$5),IuranDSSebelumnya!$I$330:$N$772,5,FALSE),
        IF(COUNTIFS(IuranDSSebelumnya!$J$330:$J$772,$K33,IuranDSSebelumnya!$M$330:$M$772,BB$11,IuranDSSebelumnya!$L$330:$L$772,"&lt;&gt;"&amp;$M$5)&gt;0,
              "Iuran dari Lingkungan lain",
              ""))</f>
        <v/>
      </c>
      <c r="BC33" s="47" t="str">
        <f>IF(COUNTIFS(IuranDSSebelumnya!$J$330:$J$772,$K33,IuranDSSebelumnya!$M$330:$M$772,BC$11,IuranDSSebelumnya!$L$330:$L$772,$M$5)&gt;0,
        VLOOKUP(CONCATENATE($K33,"|",BC$11,"|",$M$5),IuranDSSebelumnya!$I$330:$N$772,5,FALSE),
        IF(COUNTIFS(IuranDSSebelumnya!$J$330:$J$772,$K33,IuranDSSebelumnya!$M$330:$M$772,BC$11,IuranDSSebelumnya!$L$330:$L$772,"&lt;&gt;"&amp;$M$5)&gt;0,
              "Iuran dari Lingkungan lain",
              ""))</f>
        <v/>
      </c>
      <c r="BD33" s="47" t="str">
        <f>IF(COUNTIFS(IuranDSSebelumnya!$J$330:$J$772,$K33,IuranDSSebelumnya!$M$330:$M$772,BD$11,IuranDSSebelumnya!$L$330:$L$772,$M$5)&gt;0,
        VLOOKUP(CONCATENATE($K33,"|",BD$11,"|",$M$5),IuranDSSebelumnya!$I$330:$N$772,5,FALSE),
        IF(COUNTIFS(IuranDSSebelumnya!$J$330:$J$772,$K33,IuranDSSebelumnya!$M$330:$M$772,BD$11,IuranDSSebelumnya!$L$330:$L$772,"&lt;&gt;"&amp;$M$5)&gt;0,
              "Iuran dari Lingkungan lain",
              ""))</f>
        <v/>
      </c>
      <c r="BE33" s="47" t="str">
        <f>IF(COUNTIFS(IuranDSSebelumnya!$J$330:$J$772,$K33,IuranDSSebelumnya!$M$330:$M$772,BE$11,IuranDSSebelumnya!$L$330:$L$772,$M$5)&gt;0,
        VLOOKUP(CONCATENATE($K33,"|",BE$11,"|",$M$5),IuranDSSebelumnya!$I$330:$N$772,5,FALSE),
        IF(COUNTIFS(IuranDSSebelumnya!$J$330:$J$772,$K33,IuranDSSebelumnya!$M$330:$M$772,BE$11,IuranDSSebelumnya!$L$330:$L$772,"&lt;&gt;"&amp;$M$5)&gt;0,
              "Iuran dari Lingkungan lain",
              ""))</f>
        <v/>
      </c>
      <c r="BF33" s="47" t="str">
        <f>IF(COUNTIFS(IuranDSSebelumnya!$J$330:$J$772,$K33,IuranDSSebelumnya!$M$330:$M$772,BF$11,IuranDSSebelumnya!$L$330:$L$772,$M$5)&gt;0,
        VLOOKUP(CONCATENATE($K33,"|",BF$11,"|",$M$5),IuranDSSebelumnya!$I$330:$N$772,5,FALSE),
        IF(COUNTIFS(IuranDSSebelumnya!$J$330:$J$772,$K33,IuranDSSebelumnya!$M$330:$M$772,BF$11,IuranDSSebelumnya!$L$330:$L$772,"&lt;&gt;"&amp;$M$5)&gt;0,
              "Iuran dari Lingkungan lain",
              ""))</f>
        <v/>
      </c>
      <c r="BG33" s="47" t="str">
        <f>IF(COUNTIFS(IuranDSSebelumnya!$J$330:$J$772,$K33,IuranDSSebelumnya!$M$330:$M$772,BG$11,IuranDSSebelumnya!$L$330:$L$772,$M$5)&gt;0,
        VLOOKUP(CONCATENATE($K33,"|",BG$11,"|",$M$5),IuranDSSebelumnya!$I$330:$N$772,5,FALSE),
        IF(COUNTIFS(IuranDSSebelumnya!$J$330:$J$772,$K33,IuranDSSebelumnya!$M$330:$M$772,BG$11,IuranDSSebelumnya!$L$330:$L$772,"&lt;&gt;"&amp;$M$5)&gt;0,
              "Iuran dari Lingkungan lain",
              ""))</f>
        <v/>
      </c>
      <c r="BH33" s="47" t="str">
        <f>IF(COUNTIFS(IuranDSSebelumnya!$J$330:$J$772,$K33,IuranDSSebelumnya!$M$330:$M$772,BH$11,IuranDSSebelumnya!$L$330:$L$772,$M$5)&gt;0,
        VLOOKUP(CONCATENATE($K33,"|",BH$11,"|",$M$5),IuranDSSebelumnya!$I$330:$N$772,5,FALSE),
        IF(COUNTIFS(IuranDSSebelumnya!$J$330:$J$772,$K33,IuranDSSebelumnya!$M$330:$M$772,BH$11,IuranDSSebelumnya!$L$330:$L$772,"&lt;&gt;"&amp;$M$5)&gt;0,
              "Iuran dari Lingkungan lain",
              ""))</f>
        <v/>
      </c>
      <c r="BI33" s="47" t="str">
        <f>IF(COUNTIFS(IuranDSSebelumnya!$J$330:$J$772,$K33,IuranDSSebelumnya!$M$330:$M$772,BI$11,IuranDSSebelumnya!$L$330:$L$772,$M$5)&gt;0,
        VLOOKUP(CONCATENATE($K33,"|",BI$11,"|",$M$5),IuranDSSebelumnya!$I$330:$N$772,5,FALSE),
        IF(COUNTIFS(IuranDSSebelumnya!$J$330:$J$772,$K33,IuranDSSebelumnya!$M$330:$M$772,BI$11,IuranDSSebelumnya!$L$330:$L$772,"&lt;&gt;"&amp;$M$5)&gt;0,
              "Iuran dari Lingkungan lain",
              ""))</f>
        <v/>
      </c>
      <c r="BJ33" s="47" t="str">
        <f>IF(COUNTIFS(IuranDSSebelumnya!$J$330:$J$772,$K33,IuranDSSebelumnya!$M$330:$M$772,BJ$11,IuranDSSebelumnya!$L$330:$L$772,$M$5)&gt;0,
        VLOOKUP(CONCATENATE($K33,"|",BJ$11,"|",$M$5),IuranDSSebelumnya!$I$330:$N$772,5,FALSE),
        IF(COUNTIFS(IuranDSSebelumnya!$J$330:$J$772,$K33,IuranDSSebelumnya!$M$330:$M$772,BJ$11,IuranDSSebelumnya!$L$330:$L$772,"&lt;&gt;"&amp;$M$5)&gt;0,
              "Iuran dari Lingkungan lain",
              ""))</f>
        <v/>
      </c>
      <c r="BK33" s="47" t="str">
        <f>IF(COUNTIFS(IuranDSSebelumnya!$J$330:$J$772,$K33,IuranDSSebelumnya!$M$330:$M$772,BK$11,IuranDSSebelumnya!$L$330:$L$772,$M$5)&gt;0,
        VLOOKUP(CONCATENATE($K33,"|",BK$11,"|",$M$5),IuranDSSebelumnya!$I$330:$N$772,5,FALSE),
        IF(COUNTIFS(IuranDSSebelumnya!$J$330:$J$772,$K33,IuranDSSebelumnya!$M$330:$M$772,BK$11,IuranDSSebelumnya!$L$330:$L$772,"&lt;&gt;"&amp;$M$5)&gt;0,
              "Iuran dari Lingkungan lain",
              ""))</f>
        <v/>
      </c>
      <c r="BL33" s="47" t="str">
        <f>IF(COUNTIFS(IuranDSSebelumnya!$J$330:$J$772,$K33,IuranDSSebelumnya!$M$330:$M$772,BL$11,IuranDSSebelumnya!$L$330:$L$772,$M$5)&gt;0,
        VLOOKUP(CONCATENATE($K33,"|",BL$11,"|",$M$5),IuranDSSebelumnya!$I$330:$N$772,5,FALSE),
        IF(COUNTIFS(IuranDSSebelumnya!$J$330:$J$772,$K33,IuranDSSebelumnya!$M$330:$M$772,BL$11,IuranDSSebelumnya!$L$330:$L$772,"&lt;&gt;"&amp;$M$5)&gt;0,
              "Iuran dari Lingkungan lain",
              ""))</f>
        <v/>
      </c>
    </row>
    <row r="34" spans="1:64" x14ac:dyDescent="0.35">
      <c r="A34" s="30" t="s">
        <v>6063</v>
      </c>
      <c r="C34" s="30" t="b">
        <f t="shared" ca="1" si="16"/>
        <v>0</v>
      </c>
      <c r="D34" s="30" t="str">
        <f>"""TRUST Nav"",""HSPMTB2016"",""18"",""1"",""KK-04611"""</f>
        <v>"TRUST Nav","HSPMTB2016","18","1","KK-04611"</v>
      </c>
      <c r="H34" s="30">
        <f t="shared" si="17"/>
        <v>0</v>
      </c>
      <c r="J34" s="30">
        <f t="shared" si="18"/>
        <v>22</v>
      </c>
      <c r="K34" s="30" t="str">
        <f>"KK-04611"</f>
        <v>KK-04611</v>
      </c>
      <c r="L34" s="30" t="str">
        <f>"Leonardus Tjhin Tje Ming"</f>
        <v>Leonardus Tjhin Tje Ming</v>
      </c>
      <c r="M34" s="30"/>
      <c r="N34" s="129"/>
      <c r="O34" s="129"/>
      <c r="P34" s="129"/>
      <c r="Q34" s="129"/>
      <c r="R34" s="129"/>
      <c r="S34" s="129"/>
      <c r="T34" s="130"/>
      <c r="U34" s="131"/>
      <c r="V34" s="131"/>
      <c r="W34" s="131"/>
      <c r="X34" s="131"/>
      <c r="Y34" s="132"/>
      <c r="Z34" s="131"/>
      <c r="AA34" s="131"/>
      <c r="AB34" s="131"/>
      <c r="AC34" s="4"/>
      <c r="AD34" s="4"/>
      <c r="AE34" s="4"/>
      <c r="AF34" s="11"/>
      <c r="AG34" s="4"/>
      <c r="AH34" s="4"/>
      <c r="AI34" s="4"/>
      <c r="AJ34" s="4"/>
      <c r="AK34" s="4"/>
      <c r="AL34" s="9">
        <f t="shared" si="19"/>
        <v>0</v>
      </c>
      <c r="AO34" s="47">
        <f>IF(COUNTIFS(IuranDSSebelumnya!$J$330:$J$772,$K34,IuranDSSebelumnya!$M$330:$M$772,AO$11,IuranDSSebelumnya!$L$330:$L$772,$M$5)&gt;0,
        VLOOKUP(CONCATENATE($K34,"|",AO$11,"|",$M$5),IuranDSSebelumnya!$I$330:$N$772,5,FALSE),
        IF(COUNTIFS(IuranDSSebelumnya!$J$330:$J$772,$K34,IuranDSSebelumnya!$M$330:$M$772,AO$11,IuranDSSebelumnya!$L$330:$L$772,"&lt;&gt;"&amp;$M$5)&gt;0,
              "Iuran dari Lingkungan lain",
              ""))</f>
        <v>42186</v>
      </c>
      <c r="AP34" s="47">
        <f>IF(COUNTIFS(IuranDSSebelumnya!$J$330:$J$772,$K34,IuranDSSebelumnya!$M$330:$M$772,AP$11,IuranDSSebelumnya!$L$330:$L$772,$M$5)&gt;0,
        VLOOKUP(CONCATENATE($K34,"|",AP$11,"|",$M$5),IuranDSSebelumnya!$I$330:$N$772,5,FALSE),
        IF(COUNTIFS(IuranDSSebelumnya!$J$330:$J$772,$K34,IuranDSSebelumnya!$M$330:$M$772,AP$11,IuranDSSebelumnya!$L$330:$L$772,"&lt;&gt;"&amp;$M$5)&gt;0,
              "Iuran dari Lingkungan lain",
              ""))</f>
        <v>42217</v>
      </c>
      <c r="AQ34" s="47">
        <f>IF(COUNTIFS(IuranDSSebelumnya!$J$330:$J$772,$K34,IuranDSSebelumnya!$M$330:$M$772,AQ$11,IuranDSSebelumnya!$L$330:$L$772,$M$5)&gt;0,
        VLOOKUP(CONCATENATE($K34,"|",AQ$11,"|",$M$5),IuranDSSebelumnya!$I$330:$N$772,5,FALSE),
        IF(COUNTIFS(IuranDSSebelumnya!$J$330:$J$772,$K34,IuranDSSebelumnya!$M$330:$M$772,AQ$11,IuranDSSebelumnya!$L$330:$L$772,"&lt;&gt;"&amp;$M$5)&gt;0,
              "Iuran dari Lingkungan lain",
              ""))</f>
        <v>42248</v>
      </c>
      <c r="AR34" s="47">
        <f>IF(COUNTIFS(IuranDSSebelumnya!$J$330:$J$772,$K34,IuranDSSebelumnya!$M$330:$M$772,AR$11,IuranDSSebelumnya!$L$330:$L$772,$M$5)&gt;0,
        VLOOKUP(CONCATENATE($K34,"|",AR$11,"|",$M$5),IuranDSSebelumnya!$I$330:$N$772,5,FALSE),
        IF(COUNTIFS(IuranDSSebelumnya!$J$330:$J$772,$K34,IuranDSSebelumnya!$M$330:$M$772,AR$11,IuranDSSebelumnya!$L$330:$L$772,"&lt;&gt;"&amp;$M$5)&gt;0,
              "Iuran dari Lingkungan lain",
              ""))</f>
        <v>42278</v>
      </c>
      <c r="AS34" s="47">
        <f>IF(COUNTIFS(IuranDSSebelumnya!$J$330:$J$772,$K34,IuranDSSebelumnya!$M$330:$M$772,AS$11,IuranDSSebelumnya!$L$330:$L$772,$M$5)&gt;0,
        VLOOKUP(CONCATENATE($K34,"|",AS$11,"|",$M$5),IuranDSSebelumnya!$I$330:$N$772,5,FALSE),
        IF(COUNTIFS(IuranDSSebelumnya!$J$330:$J$772,$K34,IuranDSSebelumnya!$M$330:$M$772,AS$11,IuranDSSebelumnya!$L$330:$L$772,"&lt;&gt;"&amp;$M$5)&gt;0,
              "Iuran dari Lingkungan lain",
              ""))</f>
        <v>42309</v>
      </c>
      <c r="AT34" s="47">
        <f>IF(COUNTIFS(IuranDSSebelumnya!$J$330:$J$772,$K34,IuranDSSebelumnya!$M$330:$M$772,AT$11,IuranDSSebelumnya!$L$330:$L$772,$M$5)&gt;0,
        VLOOKUP(CONCATENATE($K34,"|",AT$11,"|",$M$5),IuranDSSebelumnya!$I$330:$N$772,5,FALSE),
        IF(COUNTIFS(IuranDSSebelumnya!$J$330:$J$772,$K34,IuranDSSebelumnya!$M$330:$M$772,AT$11,IuranDSSebelumnya!$L$330:$L$772,"&lt;&gt;"&amp;$M$5)&gt;0,
              "Iuran dari Lingkungan lain",
              ""))</f>
        <v>42339</v>
      </c>
      <c r="AU34" s="47">
        <f>IF(COUNTIFS(IuranDSSebelumnya!$J$330:$J$772,$K34,IuranDSSebelumnya!$M$330:$M$772,AU$11,IuranDSSebelumnya!$L$330:$L$772,$M$5)&gt;0,
        VLOOKUP(CONCATENATE($K34,"|",AU$11,"|",$M$5),IuranDSSebelumnya!$I$330:$N$772,5,FALSE),
        IF(COUNTIFS(IuranDSSebelumnya!$J$330:$J$772,$K34,IuranDSSebelumnya!$M$330:$M$772,AU$11,IuranDSSebelumnya!$L$330:$L$772,"&lt;&gt;"&amp;$M$5)&gt;0,
              "Iuran dari Lingkungan lain",
              ""))</f>
        <v>42370</v>
      </c>
      <c r="AV34" s="47">
        <f>IF(COUNTIFS(IuranDSSebelumnya!$J$330:$J$772,$K34,IuranDSSebelumnya!$M$330:$M$772,AV$11,IuranDSSebelumnya!$L$330:$L$772,$M$5)&gt;0,
        VLOOKUP(CONCATENATE($K34,"|",AV$11,"|",$M$5),IuranDSSebelumnya!$I$330:$N$772,5,FALSE),
        IF(COUNTIFS(IuranDSSebelumnya!$J$330:$J$772,$K34,IuranDSSebelumnya!$M$330:$M$772,AV$11,IuranDSSebelumnya!$L$330:$L$772,"&lt;&gt;"&amp;$M$5)&gt;0,
              "Iuran dari Lingkungan lain",
              ""))</f>
        <v>42401</v>
      </c>
      <c r="AW34" s="47">
        <f>IF(COUNTIFS(IuranDSSebelumnya!$J$330:$J$772,$K34,IuranDSSebelumnya!$M$330:$M$772,AW$11,IuranDSSebelumnya!$L$330:$L$772,$M$5)&gt;0,
        VLOOKUP(CONCATENATE($K34,"|",AW$11,"|",$M$5),IuranDSSebelumnya!$I$330:$N$772,5,FALSE),
        IF(COUNTIFS(IuranDSSebelumnya!$J$330:$J$772,$K34,IuranDSSebelumnya!$M$330:$M$772,AW$11,IuranDSSebelumnya!$L$330:$L$772,"&lt;&gt;"&amp;$M$5)&gt;0,
              "Iuran dari Lingkungan lain",
              ""))</f>
        <v>42430</v>
      </c>
      <c r="AX34" s="47">
        <f>IF(COUNTIFS(IuranDSSebelumnya!$J$330:$J$772,$K34,IuranDSSebelumnya!$M$330:$M$772,AX$11,IuranDSSebelumnya!$L$330:$L$772,$M$5)&gt;0,
        VLOOKUP(CONCATENATE($K34,"|",AX$11,"|",$M$5),IuranDSSebelumnya!$I$330:$N$772,5,FALSE),
        IF(COUNTIFS(IuranDSSebelumnya!$J$330:$J$772,$K34,IuranDSSebelumnya!$M$330:$M$772,AX$11,IuranDSSebelumnya!$L$330:$L$772,"&lt;&gt;"&amp;$M$5)&gt;0,
              "Iuran dari Lingkungan lain",
              ""))</f>
        <v>42461</v>
      </c>
      <c r="AY34" s="47">
        <f>IF(COUNTIFS(IuranDSSebelumnya!$J$330:$J$772,$K34,IuranDSSebelumnya!$M$330:$M$772,AY$11,IuranDSSebelumnya!$L$330:$L$772,$M$5)&gt;0,
        VLOOKUP(CONCATENATE($K34,"|",AY$11,"|",$M$5),IuranDSSebelumnya!$I$330:$N$772,5,FALSE),
        IF(COUNTIFS(IuranDSSebelumnya!$J$330:$J$772,$K34,IuranDSSebelumnya!$M$330:$M$772,AY$11,IuranDSSebelumnya!$L$330:$L$772,"&lt;&gt;"&amp;$M$5)&gt;0,
              "Iuran dari Lingkungan lain",
              ""))</f>
        <v>42491</v>
      </c>
      <c r="AZ34" s="47">
        <f>IF(COUNTIFS(IuranDSSebelumnya!$J$330:$J$772,$K34,IuranDSSebelumnya!$M$330:$M$772,AZ$11,IuranDSSebelumnya!$L$330:$L$772,$M$5)&gt;0,
        VLOOKUP(CONCATENATE($K34,"|",AZ$11,"|",$M$5),IuranDSSebelumnya!$I$330:$N$772,5,FALSE),
        IF(COUNTIFS(IuranDSSebelumnya!$J$330:$J$772,$K34,IuranDSSebelumnya!$M$330:$M$772,AZ$11,IuranDSSebelumnya!$L$330:$L$772,"&lt;&gt;"&amp;$M$5)&gt;0,
              "Iuran dari Lingkungan lain",
              ""))</f>
        <v>42522</v>
      </c>
      <c r="BA34" s="47">
        <f>IF(COUNTIFS(IuranDSSebelumnya!$J$330:$J$772,$K34,IuranDSSebelumnya!$M$330:$M$772,BA$11,IuranDSSebelumnya!$L$330:$L$772,$M$5)&gt;0,
        VLOOKUP(CONCATENATE($K34,"|",BA$11,"|",$M$5),IuranDSSebelumnya!$I$330:$N$772,5,FALSE),
        IF(COUNTIFS(IuranDSSebelumnya!$J$330:$J$772,$K34,IuranDSSebelumnya!$M$330:$M$772,BA$11,IuranDSSebelumnya!$L$330:$L$772,"&lt;&gt;"&amp;$M$5)&gt;0,
              "Iuran dari Lingkungan lain",
              ""))</f>
        <v>42552</v>
      </c>
      <c r="BB34" s="47">
        <f>IF(COUNTIFS(IuranDSSebelumnya!$J$330:$J$772,$K34,IuranDSSebelumnya!$M$330:$M$772,BB$11,IuranDSSebelumnya!$L$330:$L$772,$M$5)&gt;0,
        VLOOKUP(CONCATENATE($K34,"|",BB$11,"|",$M$5),IuranDSSebelumnya!$I$330:$N$772,5,FALSE),
        IF(COUNTIFS(IuranDSSebelumnya!$J$330:$J$772,$K34,IuranDSSebelumnya!$M$330:$M$772,BB$11,IuranDSSebelumnya!$L$330:$L$772,"&lt;&gt;"&amp;$M$5)&gt;0,
              "Iuran dari Lingkungan lain",
              ""))</f>
        <v>42583</v>
      </c>
      <c r="BC34" s="47">
        <f>IF(COUNTIFS(IuranDSSebelumnya!$J$330:$J$772,$K34,IuranDSSebelumnya!$M$330:$M$772,BC$11,IuranDSSebelumnya!$L$330:$L$772,$M$5)&gt;0,
        VLOOKUP(CONCATENATE($K34,"|",BC$11,"|",$M$5),IuranDSSebelumnya!$I$330:$N$772,5,FALSE),
        IF(COUNTIFS(IuranDSSebelumnya!$J$330:$J$772,$K34,IuranDSSebelumnya!$M$330:$M$772,BC$11,IuranDSSebelumnya!$L$330:$L$772,"&lt;&gt;"&amp;$M$5)&gt;0,
              "Iuran dari Lingkungan lain",
              ""))</f>
        <v>42614</v>
      </c>
      <c r="BD34" s="47" t="str">
        <f>IF(COUNTIFS(IuranDSSebelumnya!$J$330:$J$772,$K34,IuranDSSebelumnya!$M$330:$M$772,BD$11,IuranDSSebelumnya!$L$330:$L$772,$M$5)&gt;0,
        VLOOKUP(CONCATENATE($K34,"|",BD$11,"|",$M$5),IuranDSSebelumnya!$I$330:$N$772,5,FALSE),
        IF(COUNTIFS(IuranDSSebelumnya!$J$330:$J$772,$K34,IuranDSSebelumnya!$M$330:$M$772,BD$11,IuranDSSebelumnya!$L$330:$L$772,"&lt;&gt;"&amp;$M$5)&gt;0,
              "Iuran dari Lingkungan lain",
              ""))</f>
        <v/>
      </c>
      <c r="BE34" s="47" t="str">
        <f>IF(COUNTIFS(IuranDSSebelumnya!$J$330:$J$772,$K34,IuranDSSebelumnya!$M$330:$M$772,BE$11,IuranDSSebelumnya!$L$330:$L$772,$M$5)&gt;0,
        VLOOKUP(CONCATENATE($K34,"|",BE$11,"|",$M$5),IuranDSSebelumnya!$I$330:$N$772,5,FALSE),
        IF(COUNTIFS(IuranDSSebelumnya!$J$330:$J$772,$K34,IuranDSSebelumnya!$M$330:$M$772,BE$11,IuranDSSebelumnya!$L$330:$L$772,"&lt;&gt;"&amp;$M$5)&gt;0,
              "Iuran dari Lingkungan lain",
              ""))</f>
        <v/>
      </c>
      <c r="BF34" s="47" t="str">
        <f>IF(COUNTIFS(IuranDSSebelumnya!$J$330:$J$772,$K34,IuranDSSebelumnya!$M$330:$M$772,BF$11,IuranDSSebelumnya!$L$330:$L$772,$M$5)&gt;0,
        VLOOKUP(CONCATENATE($K34,"|",BF$11,"|",$M$5),IuranDSSebelumnya!$I$330:$N$772,5,FALSE),
        IF(COUNTIFS(IuranDSSebelumnya!$J$330:$J$772,$K34,IuranDSSebelumnya!$M$330:$M$772,BF$11,IuranDSSebelumnya!$L$330:$L$772,"&lt;&gt;"&amp;$M$5)&gt;0,
              "Iuran dari Lingkungan lain",
              ""))</f>
        <v/>
      </c>
      <c r="BG34" s="47" t="str">
        <f>IF(COUNTIFS(IuranDSSebelumnya!$J$330:$J$772,$K34,IuranDSSebelumnya!$M$330:$M$772,BG$11,IuranDSSebelumnya!$L$330:$L$772,$M$5)&gt;0,
        VLOOKUP(CONCATENATE($K34,"|",BG$11,"|",$M$5),IuranDSSebelumnya!$I$330:$N$772,5,FALSE),
        IF(COUNTIFS(IuranDSSebelumnya!$J$330:$J$772,$K34,IuranDSSebelumnya!$M$330:$M$772,BG$11,IuranDSSebelumnya!$L$330:$L$772,"&lt;&gt;"&amp;$M$5)&gt;0,
              "Iuran dari Lingkungan lain",
              ""))</f>
        <v/>
      </c>
      <c r="BH34" s="47" t="str">
        <f>IF(COUNTIFS(IuranDSSebelumnya!$J$330:$J$772,$K34,IuranDSSebelumnya!$M$330:$M$772,BH$11,IuranDSSebelumnya!$L$330:$L$772,$M$5)&gt;0,
        VLOOKUP(CONCATENATE($K34,"|",BH$11,"|",$M$5),IuranDSSebelumnya!$I$330:$N$772,5,FALSE),
        IF(COUNTIFS(IuranDSSebelumnya!$J$330:$J$772,$K34,IuranDSSebelumnya!$M$330:$M$772,BH$11,IuranDSSebelumnya!$L$330:$L$772,"&lt;&gt;"&amp;$M$5)&gt;0,
              "Iuran dari Lingkungan lain",
              ""))</f>
        <v/>
      </c>
      <c r="BI34" s="47" t="str">
        <f>IF(COUNTIFS(IuranDSSebelumnya!$J$330:$J$772,$K34,IuranDSSebelumnya!$M$330:$M$772,BI$11,IuranDSSebelumnya!$L$330:$L$772,$M$5)&gt;0,
        VLOOKUP(CONCATENATE($K34,"|",BI$11,"|",$M$5),IuranDSSebelumnya!$I$330:$N$772,5,FALSE),
        IF(COUNTIFS(IuranDSSebelumnya!$J$330:$J$772,$K34,IuranDSSebelumnya!$M$330:$M$772,BI$11,IuranDSSebelumnya!$L$330:$L$772,"&lt;&gt;"&amp;$M$5)&gt;0,
              "Iuran dari Lingkungan lain",
              ""))</f>
        <v/>
      </c>
      <c r="BJ34" s="47" t="str">
        <f>IF(COUNTIFS(IuranDSSebelumnya!$J$330:$J$772,$K34,IuranDSSebelumnya!$M$330:$M$772,BJ$11,IuranDSSebelumnya!$L$330:$L$772,$M$5)&gt;0,
        VLOOKUP(CONCATENATE($K34,"|",BJ$11,"|",$M$5),IuranDSSebelumnya!$I$330:$N$772,5,FALSE),
        IF(COUNTIFS(IuranDSSebelumnya!$J$330:$J$772,$K34,IuranDSSebelumnya!$M$330:$M$772,BJ$11,IuranDSSebelumnya!$L$330:$L$772,"&lt;&gt;"&amp;$M$5)&gt;0,
              "Iuran dari Lingkungan lain",
              ""))</f>
        <v/>
      </c>
      <c r="BK34" s="47" t="str">
        <f>IF(COUNTIFS(IuranDSSebelumnya!$J$330:$J$772,$K34,IuranDSSebelumnya!$M$330:$M$772,BK$11,IuranDSSebelumnya!$L$330:$L$772,$M$5)&gt;0,
        VLOOKUP(CONCATENATE($K34,"|",BK$11,"|",$M$5),IuranDSSebelumnya!$I$330:$N$772,5,FALSE),
        IF(COUNTIFS(IuranDSSebelumnya!$J$330:$J$772,$K34,IuranDSSebelumnya!$M$330:$M$772,BK$11,IuranDSSebelumnya!$L$330:$L$772,"&lt;&gt;"&amp;$M$5)&gt;0,
              "Iuran dari Lingkungan lain",
              ""))</f>
        <v/>
      </c>
      <c r="BL34" s="47" t="str">
        <f>IF(COUNTIFS(IuranDSSebelumnya!$J$330:$J$772,$K34,IuranDSSebelumnya!$M$330:$M$772,BL$11,IuranDSSebelumnya!$L$330:$L$772,$M$5)&gt;0,
        VLOOKUP(CONCATENATE($K34,"|",BL$11,"|",$M$5),IuranDSSebelumnya!$I$330:$N$772,5,FALSE),
        IF(COUNTIFS(IuranDSSebelumnya!$J$330:$J$772,$K34,IuranDSSebelumnya!$M$330:$M$772,BL$11,IuranDSSebelumnya!$L$330:$L$772,"&lt;&gt;"&amp;$M$5)&gt;0,
              "Iuran dari Lingkungan lain",
              ""))</f>
        <v/>
      </c>
    </row>
    <row r="35" spans="1:64" x14ac:dyDescent="0.35">
      <c r="A35" s="30" t="s">
        <v>6063</v>
      </c>
      <c r="C35" s="30" t="b">
        <f t="shared" ca="1" si="16"/>
        <v>0</v>
      </c>
      <c r="D35" s="30" t="str">
        <f>"""TRUST Nav"",""HSPMTB2016"",""18"",""1"",""KK-04612"""</f>
        <v>"TRUST Nav","HSPMTB2016","18","1","KK-04612"</v>
      </c>
      <c r="H35" s="30">
        <f t="shared" si="17"/>
        <v>0</v>
      </c>
      <c r="J35" s="30">
        <f t="shared" si="18"/>
        <v>23</v>
      </c>
      <c r="K35" s="30" t="str">
        <f>"KK-04612"</f>
        <v>KK-04612</v>
      </c>
      <c r="L35" s="30" t="str">
        <f>"Lie Bui Tjung"</f>
        <v>Lie Bui Tjung</v>
      </c>
      <c r="M35" s="30"/>
      <c r="N35" s="129"/>
      <c r="O35" s="129"/>
      <c r="P35" s="129"/>
      <c r="Q35" s="129"/>
      <c r="R35" s="129"/>
      <c r="S35" s="129"/>
      <c r="T35" s="11"/>
      <c r="U35" s="4"/>
      <c r="V35" s="4"/>
      <c r="W35" s="4"/>
      <c r="X35" s="4"/>
      <c r="Y35" s="15"/>
      <c r="Z35" s="4"/>
      <c r="AA35" s="4"/>
      <c r="AB35" s="4"/>
      <c r="AC35" s="4"/>
      <c r="AD35" s="4"/>
      <c r="AE35" s="4"/>
      <c r="AF35" s="11"/>
      <c r="AG35" s="4"/>
      <c r="AH35" s="4"/>
      <c r="AI35" s="4"/>
      <c r="AJ35" s="4"/>
      <c r="AK35" s="4"/>
      <c r="AL35" s="9">
        <f t="shared" si="19"/>
        <v>0</v>
      </c>
      <c r="AO35" s="47">
        <f>IF(COUNTIFS(IuranDSSebelumnya!$J$330:$J$772,$K35,IuranDSSebelumnya!$M$330:$M$772,AO$11,IuranDSSebelumnya!$L$330:$L$772,$M$5)&gt;0,
        VLOOKUP(CONCATENATE($K35,"|",AO$11,"|",$M$5),IuranDSSebelumnya!$I$330:$N$772,5,FALSE),
        IF(COUNTIFS(IuranDSSebelumnya!$J$330:$J$772,$K35,IuranDSSebelumnya!$M$330:$M$772,AO$11,IuranDSSebelumnya!$L$330:$L$772,"&lt;&gt;"&amp;$M$5)&gt;0,
              "Iuran dari Lingkungan lain",
              ""))</f>
        <v>42186</v>
      </c>
      <c r="AP35" s="47">
        <f>IF(COUNTIFS(IuranDSSebelumnya!$J$330:$J$772,$K35,IuranDSSebelumnya!$M$330:$M$772,AP$11,IuranDSSebelumnya!$L$330:$L$772,$M$5)&gt;0,
        VLOOKUP(CONCATENATE($K35,"|",AP$11,"|",$M$5),IuranDSSebelumnya!$I$330:$N$772,5,FALSE),
        IF(COUNTIFS(IuranDSSebelumnya!$J$330:$J$772,$K35,IuranDSSebelumnya!$M$330:$M$772,AP$11,IuranDSSebelumnya!$L$330:$L$772,"&lt;&gt;"&amp;$M$5)&gt;0,
              "Iuran dari Lingkungan lain",
              ""))</f>
        <v>42217</v>
      </c>
      <c r="AQ35" s="47">
        <f>IF(COUNTIFS(IuranDSSebelumnya!$J$330:$J$772,$K35,IuranDSSebelumnya!$M$330:$M$772,AQ$11,IuranDSSebelumnya!$L$330:$L$772,$M$5)&gt;0,
        VLOOKUP(CONCATENATE($K35,"|",AQ$11,"|",$M$5),IuranDSSebelumnya!$I$330:$N$772,5,FALSE),
        IF(COUNTIFS(IuranDSSebelumnya!$J$330:$J$772,$K35,IuranDSSebelumnya!$M$330:$M$772,AQ$11,IuranDSSebelumnya!$L$330:$L$772,"&lt;&gt;"&amp;$M$5)&gt;0,
              "Iuran dari Lingkungan lain",
              ""))</f>
        <v>42248</v>
      </c>
      <c r="AR35" s="47">
        <f>IF(COUNTIFS(IuranDSSebelumnya!$J$330:$J$772,$K35,IuranDSSebelumnya!$M$330:$M$772,AR$11,IuranDSSebelumnya!$L$330:$L$772,$M$5)&gt;0,
        VLOOKUP(CONCATENATE($K35,"|",AR$11,"|",$M$5),IuranDSSebelumnya!$I$330:$N$772,5,FALSE),
        IF(COUNTIFS(IuranDSSebelumnya!$J$330:$J$772,$K35,IuranDSSebelumnya!$M$330:$M$772,AR$11,IuranDSSebelumnya!$L$330:$L$772,"&lt;&gt;"&amp;$M$5)&gt;0,
              "Iuran dari Lingkungan lain",
              ""))</f>
        <v>42278</v>
      </c>
      <c r="AS35" s="47">
        <f>IF(COUNTIFS(IuranDSSebelumnya!$J$330:$J$772,$K35,IuranDSSebelumnya!$M$330:$M$772,AS$11,IuranDSSebelumnya!$L$330:$L$772,$M$5)&gt;0,
        VLOOKUP(CONCATENATE($K35,"|",AS$11,"|",$M$5),IuranDSSebelumnya!$I$330:$N$772,5,FALSE),
        IF(COUNTIFS(IuranDSSebelumnya!$J$330:$J$772,$K35,IuranDSSebelumnya!$M$330:$M$772,AS$11,IuranDSSebelumnya!$L$330:$L$772,"&lt;&gt;"&amp;$M$5)&gt;0,
              "Iuran dari Lingkungan lain",
              ""))</f>
        <v>42309</v>
      </c>
      <c r="AT35" s="47">
        <f>IF(COUNTIFS(IuranDSSebelumnya!$J$330:$J$772,$K35,IuranDSSebelumnya!$M$330:$M$772,AT$11,IuranDSSebelumnya!$L$330:$L$772,$M$5)&gt;0,
        VLOOKUP(CONCATENATE($K35,"|",AT$11,"|",$M$5),IuranDSSebelumnya!$I$330:$N$772,5,FALSE),
        IF(COUNTIFS(IuranDSSebelumnya!$J$330:$J$772,$K35,IuranDSSebelumnya!$M$330:$M$772,AT$11,IuranDSSebelumnya!$L$330:$L$772,"&lt;&gt;"&amp;$M$5)&gt;0,
              "Iuran dari Lingkungan lain",
              ""))</f>
        <v>42339</v>
      </c>
      <c r="AU35" s="47" t="str">
        <f>IF(COUNTIFS(IuranDSSebelumnya!$J$330:$J$772,$K35,IuranDSSebelumnya!$M$330:$M$772,AU$11,IuranDSSebelumnya!$L$330:$L$772,$M$5)&gt;0,
        VLOOKUP(CONCATENATE($K35,"|",AU$11,"|",$M$5),IuranDSSebelumnya!$I$330:$N$772,5,FALSE),
        IF(COUNTIFS(IuranDSSebelumnya!$J$330:$J$772,$K35,IuranDSSebelumnya!$M$330:$M$772,AU$11,IuranDSSebelumnya!$L$330:$L$772,"&lt;&gt;"&amp;$M$5)&gt;0,
              "Iuran dari Lingkungan lain",
              ""))</f>
        <v/>
      </c>
      <c r="AV35" s="47" t="str">
        <f>IF(COUNTIFS(IuranDSSebelumnya!$J$330:$J$772,$K35,IuranDSSebelumnya!$M$330:$M$772,AV$11,IuranDSSebelumnya!$L$330:$L$772,$M$5)&gt;0,
        VLOOKUP(CONCATENATE($K35,"|",AV$11,"|",$M$5),IuranDSSebelumnya!$I$330:$N$772,5,FALSE),
        IF(COUNTIFS(IuranDSSebelumnya!$J$330:$J$772,$K35,IuranDSSebelumnya!$M$330:$M$772,AV$11,IuranDSSebelumnya!$L$330:$L$772,"&lt;&gt;"&amp;$M$5)&gt;0,
              "Iuran dari Lingkungan lain",
              ""))</f>
        <v/>
      </c>
      <c r="AW35" s="47" t="str">
        <f>IF(COUNTIFS(IuranDSSebelumnya!$J$330:$J$772,$K35,IuranDSSebelumnya!$M$330:$M$772,AW$11,IuranDSSebelumnya!$L$330:$L$772,$M$5)&gt;0,
        VLOOKUP(CONCATENATE($K35,"|",AW$11,"|",$M$5),IuranDSSebelumnya!$I$330:$N$772,5,FALSE),
        IF(COUNTIFS(IuranDSSebelumnya!$J$330:$J$772,$K35,IuranDSSebelumnya!$M$330:$M$772,AW$11,IuranDSSebelumnya!$L$330:$L$772,"&lt;&gt;"&amp;$M$5)&gt;0,
              "Iuran dari Lingkungan lain",
              ""))</f>
        <v/>
      </c>
      <c r="AX35" s="47" t="str">
        <f>IF(COUNTIFS(IuranDSSebelumnya!$J$330:$J$772,$K35,IuranDSSebelumnya!$M$330:$M$772,AX$11,IuranDSSebelumnya!$L$330:$L$772,$M$5)&gt;0,
        VLOOKUP(CONCATENATE($K35,"|",AX$11,"|",$M$5),IuranDSSebelumnya!$I$330:$N$772,5,FALSE),
        IF(COUNTIFS(IuranDSSebelumnya!$J$330:$J$772,$K35,IuranDSSebelumnya!$M$330:$M$772,AX$11,IuranDSSebelumnya!$L$330:$L$772,"&lt;&gt;"&amp;$M$5)&gt;0,
              "Iuran dari Lingkungan lain",
              ""))</f>
        <v/>
      </c>
      <c r="AY35" s="47" t="str">
        <f>IF(COUNTIFS(IuranDSSebelumnya!$J$330:$J$772,$K35,IuranDSSebelumnya!$M$330:$M$772,AY$11,IuranDSSebelumnya!$L$330:$L$772,$M$5)&gt;0,
        VLOOKUP(CONCATENATE($K35,"|",AY$11,"|",$M$5),IuranDSSebelumnya!$I$330:$N$772,5,FALSE),
        IF(COUNTIFS(IuranDSSebelumnya!$J$330:$J$772,$K35,IuranDSSebelumnya!$M$330:$M$772,AY$11,IuranDSSebelumnya!$L$330:$L$772,"&lt;&gt;"&amp;$M$5)&gt;0,
              "Iuran dari Lingkungan lain",
              ""))</f>
        <v/>
      </c>
      <c r="AZ35" s="47" t="str">
        <f>IF(COUNTIFS(IuranDSSebelumnya!$J$330:$J$772,$K35,IuranDSSebelumnya!$M$330:$M$772,AZ$11,IuranDSSebelumnya!$L$330:$L$772,$M$5)&gt;0,
        VLOOKUP(CONCATENATE($K35,"|",AZ$11,"|",$M$5),IuranDSSebelumnya!$I$330:$N$772,5,FALSE),
        IF(COUNTIFS(IuranDSSebelumnya!$J$330:$J$772,$K35,IuranDSSebelumnya!$M$330:$M$772,AZ$11,IuranDSSebelumnya!$L$330:$L$772,"&lt;&gt;"&amp;$M$5)&gt;0,
              "Iuran dari Lingkungan lain",
              ""))</f>
        <v/>
      </c>
      <c r="BA35" s="47" t="str">
        <f>IF(COUNTIFS(IuranDSSebelumnya!$J$330:$J$772,$K35,IuranDSSebelumnya!$M$330:$M$772,BA$11,IuranDSSebelumnya!$L$330:$L$772,$M$5)&gt;0,
        VLOOKUP(CONCATENATE($K35,"|",BA$11,"|",$M$5),IuranDSSebelumnya!$I$330:$N$772,5,FALSE),
        IF(COUNTIFS(IuranDSSebelumnya!$J$330:$J$772,$K35,IuranDSSebelumnya!$M$330:$M$772,BA$11,IuranDSSebelumnya!$L$330:$L$772,"&lt;&gt;"&amp;$M$5)&gt;0,
              "Iuran dari Lingkungan lain",
              ""))</f>
        <v/>
      </c>
      <c r="BB35" s="47" t="str">
        <f>IF(COUNTIFS(IuranDSSebelumnya!$J$330:$J$772,$K35,IuranDSSebelumnya!$M$330:$M$772,BB$11,IuranDSSebelumnya!$L$330:$L$772,$M$5)&gt;0,
        VLOOKUP(CONCATENATE($K35,"|",BB$11,"|",$M$5),IuranDSSebelumnya!$I$330:$N$772,5,FALSE),
        IF(COUNTIFS(IuranDSSebelumnya!$J$330:$J$772,$K35,IuranDSSebelumnya!$M$330:$M$772,BB$11,IuranDSSebelumnya!$L$330:$L$772,"&lt;&gt;"&amp;$M$5)&gt;0,
              "Iuran dari Lingkungan lain",
              ""))</f>
        <v/>
      </c>
      <c r="BC35" s="47" t="str">
        <f>IF(COUNTIFS(IuranDSSebelumnya!$J$330:$J$772,$K35,IuranDSSebelumnya!$M$330:$M$772,BC$11,IuranDSSebelumnya!$L$330:$L$772,$M$5)&gt;0,
        VLOOKUP(CONCATENATE($K35,"|",BC$11,"|",$M$5),IuranDSSebelumnya!$I$330:$N$772,5,FALSE),
        IF(COUNTIFS(IuranDSSebelumnya!$J$330:$J$772,$K35,IuranDSSebelumnya!$M$330:$M$772,BC$11,IuranDSSebelumnya!$L$330:$L$772,"&lt;&gt;"&amp;$M$5)&gt;0,
              "Iuran dari Lingkungan lain",
              ""))</f>
        <v/>
      </c>
      <c r="BD35" s="47" t="str">
        <f>IF(COUNTIFS(IuranDSSebelumnya!$J$330:$J$772,$K35,IuranDSSebelumnya!$M$330:$M$772,BD$11,IuranDSSebelumnya!$L$330:$L$772,$M$5)&gt;0,
        VLOOKUP(CONCATENATE($K35,"|",BD$11,"|",$M$5),IuranDSSebelumnya!$I$330:$N$772,5,FALSE),
        IF(COUNTIFS(IuranDSSebelumnya!$J$330:$J$772,$K35,IuranDSSebelumnya!$M$330:$M$772,BD$11,IuranDSSebelumnya!$L$330:$L$772,"&lt;&gt;"&amp;$M$5)&gt;0,
              "Iuran dari Lingkungan lain",
              ""))</f>
        <v/>
      </c>
      <c r="BE35" s="47" t="str">
        <f>IF(COUNTIFS(IuranDSSebelumnya!$J$330:$J$772,$K35,IuranDSSebelumnya!$M$330:$M$772,BE$11,IuranDSSebelumnya!$L$330:$L$772,$M$5)&gt;0,
        VLOOKUP(CONCATENATE($K35,"|",BE$11,"|",$M$5),IuranDSSebelumnya!$I$330:$N$772,5,FALSE),
        IF(COUNTIFS(IuranDSSebelumnya!$J$330:$J$772,$K35,IuranDSSebelumnya!$M$330:$M$772,BE$11,IuranDSSebelumnya!$L$330:$L$772,"&lt;&gt;"&amp;$M$5)&gt;0,
              "Iuran dari Lingkungan lain",
              ""))</f>
        <v/>
      </c>
      <c r="BF35" s="47" t="str">
        <f>IF(COUNTIFS(IuranDSSebelumnya!$J$330:$J$772,$K35,IuranDSSebelumnya!$M$330:$M$772,BF$11,IuranDSSebelumnya!$L$330:$L$772,$M$5)&gt;0,
        VLOOKUP(CONCATENATE($K35,"|",BF$11,"|",$M$5),IuranDSSebelumnya!$I$330:$N$772,5,FALSE),
        IF(COUNTIFS(IuranDSSebelumnya!$J$330:$J$772,$K35,IuranDSSebelumnya!$M$330:$M$772,BF$11,IuranDSSebelumnya!$L$330:$L$772,"&lt;&gt;"&amp;$M$5)&gt;0,
              "Iuran dari Lingkungan lain",
              ""))</f>
        <v/>
      </c>
      <c r="BG35" s="47" t="str">
        <f>IF(COUNTIFS(IuranDSSebelumnya!$J$330:$J$772,$K35,IuranDSSebelumnya!$M$330:$M$772,BG$11,IuranDSSebelumnya!$L$330:$L$772,$M$5)&gt;0,
        VLOOKUP(CONCATENATE($K35,"|",BG$11,"|",$M$5),IuranDSSebelumnya!$I$330:$N$772,5,FALSE),
        IF(COUNTIFS(IuranDSSebelumnya!$J$330:$J$772,$K35,IuranDSSebelumnya!$M$330:$M$772,BG$11,IuranDSSebelumnya!$L$330:$L$772,"&lt;&gt;"&amp;$M$5)&gt;0,
              "Iuran dari Lingkungan lain",
              ""))</f>
        <v/>
      </c>
      <c r="BH35" s="47" t="str">
        <f>IF(COUNTIFS(IuranDSSebelumnya!$J$330:$J$772,$K35,IuranDSSebelumnya!$M$330:$M$772,BH$11,IuranDSSebelumnya!$L$330:$L$772,$M$5)&gt;0,
        VLOOKUP(CONCATENATE($K35,"|",BH$11,"|",$M$5),IuranDSSebelumnya!$I$330:$N$772,5,FALSE),
        IF(COUNTIFS(IuranDSSebelumnya!$J$330:$J$772,$K35,IuranDSSebelumnya!$M$330:$M$772,BH$11,IuranDSSebelumnya!$L$330:$L$772,"&lt;&gt;"&amp;$M$5)&gt;0,
              "Iuran dari Lingkungan lain",
              ""))</f>
        <v/>
      </c>
      <c r="BI35" s="47" t="str">
        <f>IF(COUNTIFS(IuranDSSebelumnya!$J$330:$J$772,$K35,IuranDSSebelumnya!$M$330:$M$772,BI$11,IuranDSSebelumnya!$L$330:$L$772,$M$5)&gt;0,
        VLOOKUP(CONCATENATE($K35,"|",BI$11,"|",$M$5),IuranDSSebelumnya!$I$330:$N$772,5,FALSE),
        IF(COUNTIFS(IuranDSSebelumnya!$J$330:$J$772,$K35,IuranDSSebelumnya!$M$330:$M$772,BI$11,IuranDSSebelumnya!$L$330:$L$772,"&lt;&gt;"&amp;$M$5)&gt;0,
              "Iuran dari Lingkungan lain",
              ""))</f>
        <v/>
      </c>
      <c r="BJ35" s="47" t="str">
        <f>IF(COUNTIFS(IuranDSSebelumnya!$J$330:$J$772,$K35,IuranDSSebelumnya!$M$330:$M$772,BJ$11,IuranDSSebelumnya!$L$330:$L$772,$M$5)&gt;0,
        VLOOKUP(CONCATENATE($K35,"|",BJ$11,"|",$M$5),IuranDSSebelumnya!$I$330:$N$772,5,FALSE),
        IF(COUNTIFS(IuranDSSebelumnya!$J$330:$J$772,$K35,IuranDSSebelumnya!$M$330:$M$772,BJ$11,IuranDSSebelumnya!$L$330:$L$772,"&lt;&gt;"&amp;$M$5)&gt;0,
              "Iuran dari Lingkungan lain",
              ""))</f>
        <v/>
      </c>
      <c r="BK35" s="47" t="str">
        <f>IF(COUNTIFS(IuranDSSebelumnya!$J$330:$J$772,$K35,IuranDSSebelumnya!$M$330:$M$772,BK$11,IuranDSSebelumnya!$L$330:$L$772,$M$5)&gt;0,
        VLOOKUP(CONCATENATE($K35,"|",BK$11,"|",$M$5),IuranDSSebelumnya!$I$330:$N$772,5,FALSE),
        IF(COUNTIFS(IuranDSSebelumnya!$J$330:$J$772,$K35,IuranDSSebelumnya!$M$330:$M$772,BK$11,IuranDSSebelumnya!$L$330:$L$772,"&lt;&gt;"&amp;$M$5)&gt;0,
              "Iuran dari Lingkungan lain",
              ""))</f>
        <v/>
      </c>
      <c r="BL35" s="47" t="str">
        <f>IF(COUNTIFS(IuranDSSebelumnya!$J$330:$J$772,$K35,IuranDSSebelumnya!$M$330:$M$772,BL$11,IuranDSSebelumnya!$L$330:$L$772,$M$5)&gt;0,
        VLOOKUP(CONCATENATE($K35,"|",BL$11,"|",$M$5),IuranDSSebelumnya!$I$330:$N$772,5,FALSE),
        IF(COUNTIFS(IuranDSSebelumnya!$J$330:$J$772,$K35,IuranDSSebelumnya!$M$330:$M$772,BL$11,IuranDSSebelumnya!$L$330:$L$772,"&lt;&gt;"&amp;$M$5)&gt;0,
              "Iuran dari Lingkungan lain",
              ""))</f>
        <v/>
      </c>
    </row>
    <row r="36" spans="1:64" x14ac:dyDescent="0.35">
      <c r="A36" s="30" t="s">
        <v>6063</v>
      </c>
      <c r="C36" s="30" t="b">
        <f t="shared" ca="1" si="16"/>
        <v>0</v>
      </c>
      <c r="D36" s="30" t="str">
        <f>"""TRUST Nav"",""HSPMTB2016"",""18"",""1"",""KK-04614"""</f>
        <v>"TRUST Nav","HSPMTB2016","18","1","KK-04614"</v>
      </c>
      <c r="H36" s="30">
        <f t="shared" si="17"/>
        <v>0</v>
      </c>
      <c r="J36" s="30">
        <f t="shared" si="18"/>
        <v>24</v>
      </c>
      <c r="K36" s="30" t="str">
        <f>"KK-04614"</f>
        <v>KK-04614</v>
      </c>
      <c r="L36" s="30" t="str">
        <f>"Michael Permadi"</f>
        <v>Michael Permadi</v>
      </c>
      <c r="M36" s="30"/>
      <c r="N36" s="3"/>
      <c r="O36" s="3"/>
      <c r="P36" s="3"/>
      <c r="Q36" s="3"/>
      <c r="R36" s="3"/>
      <c r="S36" s="3"/>
      <c r="T36" s="11"/>
      <c r="U36" s="4"/>
      <c r="V36" s="4"/>
      <c r="W36" s="4"/>
      <c r="X36" s="4"/>
      <c r="Y36" s="15"/>
      <c r="Z36" s="4"/>
      <c r="AA36" s="4"/>
      <c r="AB36" s="4"/>
      <c r="AC36" s="4"/>
      <c r="AD36" s="4"/>
      <c r="AE36" s="4"/>
      <c r="AF36" s="11"/>
      <c r="AG36" s="4"/>
      <c r="AH36" s="4"/>
      <c r="AI36" s="4"/>
      <c r="AJ36" s="4"/>
      <c r="AK36" s="4"/>
      <c r="AL36" s="9">
        <f t="shared" si="19"/>
        <v>0</v>
      </c>
      <c r="AO36" s="47" t="str">
        <f>IF(COUNTIFS(IuranDSSebelumnya!$J$330:$J$772,$K36,IuranDSSebelumnya!$M$330:$M$772,AO$11,IuranDSSebelumnya!$L$330:$L$772,$M$5)&gt;0,
        VLOOKUP(CONCATENATE($K36,"|",AO$11,"|",$M$5),IuranDSSebelumnya!$I$330:$N$772,5,FALSE),
        IF(COUNTIFS(IuranDSSebelumnya!$J$330:$J$772,$K36,IuranDSSebelumnya!$M$330:$M$772,AO$11,IuranDSSebelumnya!$L$330:$L$772,"&lt;&gt;"&amp;$M$5)&gt;0,
              "Iuran dari Lingkungan lain",
              ""))</f>
        <v/>
      </c>
      <c r="AP36" s="47" t="str">
        <f>IF(COUNTIFS(IuranDSSebelumnya!$J$330:$J$772,$K36,IuranDSSebelumnya!$M$330:$M$772,AP$11,IuranDSSebelumnya!$L$330:$L$772,$M$5)&gt;0,
        VLOOKUP(CONCATENATE($K36,"|",AP$11,"|",$M$5),IuranDSSebelumnya!$I$330:$N$772,5,FALSE),
        IF(COUNTIFS(IuranDSSebelumnya!$J$330:$J$772,$K36,IuranDSSebelumnya!$M$330:$M$772,AP$11,IuranDSSebelumnya!$L$330:$L$772,"&lt;&gt;"&amp;$M$5)&gt;0,
              "Iuran dari Lingkungan lain",
              ""))</f>
        <v/>
      </c>
      <c r="AQ36" s="47" t="str">
        <f>IF(COUNTIFS(IuranDSSebelumnya!$J$330:$J$772,$K36,IuranDSSebelumnya!$M$330:$M$772,AQ$11,IuranDSSebelumnya!$L$330:$L$772,$M$5)&gt;0,
        VLOOKUP(CONCATENATE($K36,"|",AQ$11,"|",$M$5),IuranDSSebelumnya!$I$330:$N$772,5,FALSE),
        IF(COUNTIFS(IuranDSSebelumnya!$J$330:$J$772,$K36,IuranDSSebelumnya!$M$330:$M$772,AQ$11,IuranDSSebelumnya!$L$330:$L$772,"&lt;&gt;"&amp;$M$5)&gt;0,
              "Iuran dari Lingkungan lain",
              ""))</f>
        <v/>
      </c>
      <c r="AR36" s="47" t="str">
        <f>IF(COUNTIFS(IuranDSSebelumnya!$J$330:$J$772,$K36,IuranDSSebelumnya!$M$330:$M$772,AR$11,IuranDSSebelumnya!$L$330:$L$772,$M$5)&gt;0,
        VLOOKUP(CONCATENATE($K36,"|",AR$11,"|",$M$5),IuranDSSebelumnya!$I$330:$N$772,5,FALSE),
        IF(COUNTIFS(IuranDSSebelumnya!$J$330:$J$772,$K36,IuranDSSebelumnya!$M$330:$M$772,AR$11,IuranDSSebelumnya!$L$330:$L$772,"&lt;&gt;"&amp;$M$5)&gt;0,
              "Iuran dari Lingkungan lain",
              ""))</f>
        <v/>
      </c>
      <c r="AS36" s="47" t="str">
        <f>IF(COUNTIFS(IuranDSSebelumnya!$J$330:$J$772,$K36,IuranDSSebelumnya!$M$330:$M$772,AS$11,IuranDSSebelumnya!$L$330:$L$772,$M$5)&gt;0,
        VLOOKUP(CONCATENATE($K36,"|",AS$11,"|",$M$5),IuranDSSebelumnya!$I$330:$N$772,5,FALSE),
        IF(COUNTIFS(IuranDSSebelumnya!$J$330:$J$772,$K36,IuranDSSebelumnya!$M$330:$M$772,AS$11,IuranDSSebelumnya!$L$330:$L$772,"&lt;&gt;"&amp;$M$5)&gt;0,
              "Iuran dari Lingkungan lain",
              ""))</f>
        <v/>
      </c>
      <c r="AT36" s="47" t="str">
        <f>IF(COUNTIFS(IuranDSSebelumnya!$J$330:$J$772,$K36,IuranDSSebelumnya!$M$330:$M$772,AT$11,IuranDSSebelumnya!$L$330:$L$772,$M$5)&gt;0,
        VLOOKUP(CONCATENATE($K36,"|",AT$11,"|",$M$5),IuranDSSebelumnya!$I$330:$N$772,5,FALSE),
        IF(COUNTIFS(IuranDSSebelumnya!$J$330:$J$772,$K36,IuranDSSebelumnya!$M$330:$M$772,AT$11,IuranDSSebelumnya!$L$330:$L$772,"&lt;&gt;"&amp;$M$5)&gt;0,
              "Iuran dari Lingkungan lain",
              ""))</f>
        <v/>
      </c>
      <c r="AU36" s="47" t="str">
        <f>IF(COUNTIFS(IuranDSSebelumnya!$J$330:$J$772,$K36,IuranDSSebelumnya!$M$330:$M$772,AU$11,IuranDSSebelumnya!$L$330:$L$772,$M$5)&gt;0,
        VLOOKUP(CONCATENATE($K36,"|",AU$11,"|",$M$5),IuranDSSebelumnya!$I$330:$N$772,5,FALSE),
        IF(COUNTIFS(IuranDSSebelumnya!$J$330:$J$772,$K36,IuranDSSebelumnya!$M$330:$M$772,AU$11,IuranDSSebelumnya!$L$330:$L$772,"&lt;&gt;"&amp;$M$5)&gt;0,
              "Iuran dari Lingkungan lain",
              ""))</f>
        <v/>
      </c>
      <c r="AV36" s="47" t="str">
        <f>IF(COUNTIFS(IuranDSSebelumnya!$J$330:$J$772,$K36,IuranDSSebelumnya!$M$330:$M$772,AV$11,IuranDSSebelumnya!$L$330:$L$772,$M$5)&gt;0,
        VLOOKUP(CONCATENATE($K36,"|",AV$11,"|",$M$5),IuranDSSebelumnya!$I$330:$N$772,5,FALSE),
        IF(COUNTIFS(IuranDSSebelumnya!$J$330:$J$772,$K36,IuranDSSebelumnya!$M$330:$M$772,AV$11,IuranDSSebelumnya!$L$330:$L$772,"&lt;&gt;"&amp;$M$5)&gt;0,
              "Iuran dari Lingkungan lain",
              ""))</f>
        <v/>
      </c>
      <c r="AW36" s="47" t="str">
        <f>IF(COUNTIFS(IuranDSSebelumnya!$J$330:$J$772,$K36,IuranDSSebelumnya!$M$330:$M$772,AW$11,IuranDSSebelumnya!$L$330:$L$772,$M$5)&gt;0,
        VLOOKUP(CONCATENATE($K36,"|",AW$11,"|",$M$5),IuranDSSebelumnya!$I$330:$N$772,5,FALSE),
        IF(COUNTIFS(IuranDSSebelumnya!$J$330:$J$772,$K36,IuranDSSebelumnya!$M$330:$M$772,AW$11,IuranDSSebelumnya!$L$330:$L$772,"&lt;&gt;"&amp;$M$5)&gt;0,
              "Iuran dari Lingkungan lain",
              ""))</f>
        <v/>
      </c>
      <c r="AX36" s="47" t="str">
        <f>IF(COUNTIFS(IuranDSSebelumnya!$J$330:$J$772,$K36,IuranDSSebelumnya!$M$330:$M$772,AX$11,IuranDSSebelumnya!$L$330:$L$772,$M$5)&gt;0,
        VLOOKUP(CONCATENATE($K36,"|",AX$11,"|",$M$5),IuranDSSebelumnya!$I$330:$N$772,5,FALSE),
        IF(COUNTIFS(IuranDSSebelumnya!$J$330:$J$772,$K36,IuranDSSebelumnya!$M$330:$M$772,AX$11,IuranDSSebelumnya!$L$330:$L$772,"&lt;&gt;"&amp;$M$5)&gt;0,
              "Iuran dari Lingkungan lain",
              ""))</f>
        <v/>
      </c>
      <c r="AY36" s="47" t="str">
        <f>IF(COUNTIFS(IuranDSSebelumnya!$J$330:$J$772,$K36,IuranDSSebelumnya!$M$330:$M$772,AY$11,IuranDSSebelumnya!$L$330:$L$772,$M$5)&gt;0,
        VLOOKUP(CONCATENATE($K36,"|",AY$11,"|",$M$5),IuranDSSebelumnya!$I$330:$N$772,5,FALSE),
        IF(COUNTIFS(IuranDSSebelumnya!$J$330:$J$772,$K36,IuranDSSebelumnya!$M$330:$M$772,AY$11,IuranDSSebelumnya!$L$330:$L$772,"&lt;&gt;"&amp;$M$5)&gt;0,
              "Iuran dari Lingkungan lain",
              ""))</f>
        <v/>
      </c>
      <c r="AZ36" s="47" t="str">
        <f>IF(COUNTIFS(IuranDSSebelumnya!$J$330:$J$772,$K36,IuranDSSebelumnya!$M$330:$M$772,AZ$11,IuranDSSebelumnya!$L$330:$L$772,$M$5)&gt;0,
        VLOOKUP(CONCATENATE($K36,"|",AZ$11,"|",$M$5),IuranDSSebelumnya!$I$330:$N$772,5,FALSE),
        IF(COUNTIFS(IuranDSSebelumnya!$J$330:$J$772,$K36,IuranDSSebelumnya!$M$330:$M$772,AZ$11,IuranDSSebelumnya!$L$330:$L$772,"&lt;&gt;"&amp;$M$5)&gt;0,
              "Iuran dari Lingkungan lain",
              ""))</f>
        <v/>
      </c>
      <c r="BA36" s="47" t="str">
        <f>IF(COUNTIFS(IuranDSSebelumnya!$J$330:$J$772,$K36,IuranDSSebelumnya!$M$330:$M$772,BA$11,IuranDSSebelumnya!$L$330:$L$772,$M$5)&gt;0,
        VLOOKUP(CONCATENATE($K36,"|",BA$11,"|",$M$5),IuranDSSebelumnya!$I$330:$N$772,5,FALSE),
        IF(COUNTIFS(IuranDSSebelumnya!$J$330:$J$772,$K36,IuranDSSebelumnya!$M$330:$M$772,BA$11,IuranDSSebelumnya!$L$330:$L$772,"&lt;&gt;"&amp;$M$5)&gt;0,
              "Iuran dari Lingkungan lain",
              ""))</f>
        <v/>
      </c>
      <c r="BB36" s="47" t="str">
        <f>IF(COUNTIFS(IuranDSSebelumnya!$J$330:$J$772,$K36,IuranDSSebelumnya!$M$330:$M$772,BB$11,IuranDSSebelumnya!$L$330:$L$772,$M$5)&gt;0,
        VLOOKUP(CONCATENATE($K36,"|",BB$11,"|",$M$5),IuranDSSebelumnya!$I$330:$N$772,5,FALSE),
        IF(COUNTIFS(IuranDSSebelumnya!$J$330:$J$772,$K36,IuranDSSebelumnya!$M$330:$M$772,BB$11,IuranDSSebelumnya!$L$330:$L$772,"&lt;&gt;"&amp;$M$5)&gt;0,
              "Iuran dari Lingkungan lain",
              ""))</f>
        <v/>
      </c>
      <c r="BC36" s="47" t="str">
        <f>IF(COUNTIFS(IuranDSSebelumnya!$J$330:$J$772,$K36,IuranDSSebelumnya!$M$330:$M$772,BC$11,IuranDSSebelumnya!$L$330:$L$772,$M$5)&gt;0,
        VLOOKUP(CONCATENATE($K36,"|",BC$11,"|",$M$5),IuranDSSebelumnya!$I$330:$N$772,5,FALSE),
        IF(COUNTIFS(IuranDSSebelumnya!$J$330:$J$772,$K36,IuranDSSebelumnya!$M$330:$M$772,BC$11,IuranDSSebelumnya!$L$330:$L$772,"&lt;&gt;"&amp;$M$5)&gt;0,
              "Iuran dari Lingkungan lain",
              ""))</f>
        <v/>
      </c>
      <c r="BD36" s="47" t="str">
        <f>IF(COUNTIFS(IuranDSSebelumnya!$J$330:$J$772,$K36,IuranDSSebelumnya!$M$330:$M$772,BD$11,IuranDSSebelumnya!$L$330:$L$772,$M$5)&gt;0,
        VLOOKUP(CONCATENATE($K36,"|",BD$11,"|",$M$5),IuranDSSebelumnya!$I$330:$N$772,5,FALSE),
        IF(COUNTIFS(IuranDSSebelumnya!$J$330:$J$772,$K36,IuranDSSebelumnya!$M$330:$M$772,BD$11,IuranDSSebelumnya!$L$330:$L$772,"&lt;&gt;"&amp;$M$5)&gt;0,
              "Iuran dari Lingkungan lain",
              ""))</f>
        <v/>
      </c>
      <c r="BE36" s="47" t="str">
        <f>IF(COUNTIFS(IuranDSSebelumnya!$J$330:$J$772,$K36,IuranDSSebelumnya!$M$330:$M$772,BE$11,IuranDSSebelumnya!$L$330:$L$772,$M$5)&gt;0,
        VLOOKUP(CONCATENATE($K36,"|",BE$11,"|",$M$5),IuranDSSebelumnya!$I$330:$N$772,5,FALSE),
        IF(COUNTIFS(IuranDSSebelumnya!$J$330:$J$772,$K36,IuranDSSebelumnya!$M$330:$M$772,BE$11,IuranDSSebelumnya!$L$330:$L$772,"&lt;&gt;"&amp;$M$5)&gt;0,
              "Iuran dari Lingkungan lain",
              ""))</f>
        <v/>
      </c>
      <c r="BF36" s="47" t="str">
        <f>IF(COUNTIFS(IuranDSSebelumnya!$J$330:$J$772,$K36,IuranDSSebelumnya!$M$330:$M$772,BF$11,IuranDSSebelumnya!$L$330:$L$772,$M$5)&gt;0,
        VLOOKUP(CONCATENATE($K36,"|",BF$11,"|",$M$5),IuranDSSebelumnya!$I$330:$N$772,5,FALSE),
        IF(COUNTIFS(IuranDSSebelumnya!$J$330:$J$772,$K36,IuranDSSebelumnya!$M$330:$M$772,BF$11,IuranDSSebelumnya!$L$330:$L$772,"&lt;&gt;"&amp;$M$5)&gt;0,
              "Iuran dari Lingkungan lain",
              ""))</f>
        <v/>
      </c>
      <c r="BG36" s="47" t="str">
        <f>IF(COUNTIFS(IuranDSSebelumnya!$J$330:$J$772,$K36,IuranDSSebelumnya!$M$330:$M$772,BG$11,IuranDSSebelumnya!$L$330:$L$772,$M$5)&gt;0,
        VLOOKUP(CONCATENATE($K36,"|",BG$11,"|",$M$5),IuranDSSebelumnya!$I$330:$N$772,5,FALSE),
        IF(COUNTIFS(IuranDSSebelumnya!$J$330:$J$772,$K36,IuranDSSebelumnya!$M$330:$M$772,BG$11,IuranDSSebelumnya!$L$330:$L$772,"&lt;&gt;"&amp;$M$5)&gt;0,
              "Iuran dari Lingkungan lain",
              ""))</f>
        <v/>
      </c>
      <c r="BH36" s="47" t="str">
        <f>IF(COUNTIFS(IuranDSSebelumnya!$J$330:$J$772,$K36,IuranDSSebelumnya!$M$330:$M$772,BH$11,IuranDSSebelumnya!$L$330:$L$772,$M$5)&gt;0,
        VLOOKUP(CONCATENATE($K36,"|",BH$11,"|",$M$5),IuranDSSebelumnya!$I$330:$N$772,5,FALSE),
        IF(COUNTIFS(IuranDSSebelumnya!$J$330:$J$772,$K36,IuranDSSebelumnya!$M$330:$M$772,BH$11,IuranDSSebelumnya!$L$330:$L$772,"&lt;&gt;"&amp;$M$5)&gt;0,
              "Iuran dari Lingkungan lain",
              ""))</f>
        <v/>
      </c>
      <c r="BI36" s="47" t="str">
        <f>IF(COUNTIFS(IuranDSSebelumnya!$J$330:$J$772,$K36,IuranDSSebelumnya!$M$330:$M$772,BI$11,IuranDSSebelumnya!$L$330:$L$772,$M$5)&gt;0,
        VLOOKUP(CONCATENATE($K36,"|",BI$11,"|",$M$5),IuranDSSebelumnya!$I$330:$N$772,5,FALSE),
        IF(COUNTIFS(IuranDSSebelumnya!$J$330:$J$772,$K36,IuranDSSebelumnya!$M$330:$M$772,BI$11,IuranDSSebelumnya!$L$330:$L$772,"&lt;&gt;"&amp;$M$5)&gt;0,
              "Iuran dari Lingkungan lain",
              ""))</f>
        <v/>
      </c>
      <c r="BJ36" s="47" t="str">
        <f>IF(COUNTIFS(IuranDSSebelumnya!$J$330:$J$772,$K36,IuranDSSebelumnya!$M$330:$M$772,BJ$11,IuranDSSebelumnya!$L$330:$L$772,$M$5)&gt;0,
        VLOOKUP(CONCATENATE($K36,"|",BJ$11,"|",$M$5),IuranDSSebelumnya!$I$330:$N$772,5,FALSE),
        IF(COUNTIFS(IuranDSSebelumnya!$J$330:$J$772,$K36,IuranDSSebelumnya!$M$330:$M$772,BJ$11,IuranDSSebelumnya!$L$330:$L$772,"&lt;&gt;"&amp;$M$5)&gt;0,
              "Iuran dari Lingkungan lain",
              ""))</f>
        <v/>
      </c>
      <c r="BK36" s="47" t="str">
        <f>IF(COUNTIFS(IuranDSSebelumnya!$J$330:$J$772,$K36,IuranDSSebelumnya!$M$330:$M$772,BK$11,IuranDSSebelumnya!$L$330:$L$772,$M$5)&gt;0,
        VLOOKUP(CONCATENATE($K36,"|",BK$11,"|",$M$5),IuranDSSebelumnya!$I$330:$N$772,5,FALSE),
        IF(COUNTIFS(IuranDSSebelumnya!$J$330:$J$772,$K36,IuranDSSebelumnya!$M$330:$M$772,BK$11,IuranDSSebelumnya!$L$330:$L$772,"&lt;&gt;"&amp;$M$5)&gt;0,
              "Iuran dari Lingkungan lain",
              ""))</f>
        <v/>
      </c>
      <c r="BL36" s="47" t="str">
        <f>IF(COUNTIFS(IuranDSSebelumnya!$J$330:$J$772,$K36,IuranDSSebelumnya!$M$330:$M$772,BL$11,IuranDSSebelumnya!$L$330:$L$772,$M$5)&gt;0,
        VLOOKUP(CONCATENATE($K36,"|",BL$11,"|",$M$5),IuranDSSebelumnya!$I$330:$N$772,5,FALSE),
        IF(COUNTIFS(IuranDSSebelumnya!$J$330:$J$772,$K36,IuranDSSebelumnya!$M$330:$M$772,BL$11,IuranDSSebelumnya!$L$330:$L$772,"&lt;&gt;"&amp;$M$5)&gt;0,
              "Iuran dari Lingkungan lain",
              ""))</f>
        <v/>
      </c>
    </row>
    <row r="37" spans="1:64" x14ac:dyDescent="0.35">
      <c r="A37" s="30" t="s">
        <v>6063</v>
      </c>
      <c r="C37" s="30" t="b">
        <f t="shared" ca="1" si="16"/>
        <v>0</v>
      </c>
      <c r="D37" s="30" t="str">
        <f>"""TRUST Nav"",""HSPMTB2016"",""18"",""1"",""KK-05049"""</f>
        <v>"TRUST Nav","HSPMTB2016","18","1","KK-05049"</v>
      </c>
      <c r="H37" s="30">
        <f t="shared" si="17"/>
        <v>0</v>
      </c>
      <c r="J37" s="30">
        <f t="shared" si="18"/>
        <v>25</v>
      </c>
      <c r="K37" s="30" t="str">
        <f>"KK-05049"</f>
        <v>KK-05049</v>
      </c>
      <c r="L37" s="30" t="str">
        <f>"Mikael Tan Norman Hakim"</f>
        <v>Mikael Tan Norman Hakim</v>
      </c>
      <c r="M37" s="30"/>
      <c r="N37" s="3"/>
      <c r="O37" s="3"/>
      <c r="P37" s="3"/>
      <c r="Q37" s="3"/>
      <c r="R37" s="3"/>
      <c r="S37" s="3"/>
      <c r="T37" s="11"/>
      <c r="U37" s="4"/>
      <c r="V37" s="4"/>
      <c r="W37" s="4"/>
      <c r="X37" s="4"/>
      <c r="Y37" s="15"/>
      <c r="Z37" s="4"/>
      <c r="AA37" s="4"/>
      <c r="AB37" s="4"/>
      <c r="AC37" s="4"/>
      <c r="AD37" s="4"/>
      <c r="AE37" s="4"/>
      <c r="AF37" s="11"/>
      <c r="AG37" s="4"/>
      <c r="AH37" s="4"/>
      <c r="AI37" s="4"/>
      <c r="AJ37" s="4"/>
      <c r="AK37" s="4"/>
      <c r="AL37" s="9">
        <f t="shared" si="19"/>
        <v>0</v>
      </c>
      <c r="AO37" s="47" t="str">
        <f>IF(COUNTIFS(IuranDSSebelumnya!$J$330:$J$772,$K37,IuranDSSebelumnya!$M$330:$M$772,AO$11,IuranDSSebelumnya!$L$330:$L$772,$M$5)&gt;0,
        VLOOKUP(CONCATENATE($K37,"|",AO$11,"|",$M$5),IuranDSSebelumnya!$I$330:$N$772,5,FALSE),
        IF(COUNTIFS(IuranDSSebelumnya!$J$330:$J$772,$K37,IuranDSSebelumnya!$M$330:$M$772,AO$11,IuranDSSebelumnya!$L$330:$L$772,"&lt;&gt;"&amp;$M$5)&gt;0,
              "Iuran dari Lingkungan lain",
              ""))</f>
        <v/>
      </c>
      <c r="AP37" s="47" t="str">
        <f>IF(COUNTIFS(IuranDSSebelumnya!$J$330:$J$772,$K37,IuranDSSebelumnya!$M$330:$M$772,AP$11,IuranDSSebelumnya!$L$330:$L$772,$M$5)&gt;0,
        VLOOKUP(CONCATENATE($K37,"|",AP$11,"|",$M$5),IuranDSSebelumnya!$I$330:$N$772,5,FALSE),
        IF(COUNTIFS(IuranDSSebelumnya!$J$330:$J$772,$K37,IuranDSSebelumnya!$M$330:$M$772,AP$11,IuranDSSebelumnya!$L$330:$L$772,"&lt;&gt;"&amp;$M$5)&gt;0,
              "Iuran dari Lingkungan lain",
              ""))</f>
        <v/>
      </c>
      <c r="AQ37" s="47" t="str">
        <f>IF(COUNTIFS(IuranDSSebelumnya!$J$330:$J$772,$K37,IuranDSSebelumnya!$M$330:$M$772,AQ$11,IuranDSSebelumnya!$L$330:$L$772,$M$5)&gt;0,
        VLOOKUP(CONCATENATE($K37,"|",AQ$11,"|",$M$5),IuranDSSebelumnya!$I$330:$N$772,5,FALSE),
        IF(COUNTIFS(IuranDSSebelumnya!$J$330:$J$772,$K37,IuranDSSebelumnya!$M$330:$M$772,AQ$11,IuranDSSebelumnya!$L$330:$L$772,"&lt;&gt;"&amp;$M$5)&gt;0,
              "Iuran dari Lingkungan lain",
              ""))</f>
        <v/>
      </c>
      <c r="AR37" s="47" t="str">
        <f>IF(COUNTIFS(IuranDSSebelumnya!$J$330:$J$772,$K37,IuranDSSebelumnya!$M$330:$M$772,AR$11,IuranDSSebelumnya!$L$330:$L$772,$M$5)&gt;0,
        VLOOKUP(CONCATENATE($K37,"|",AR$11,"|",$M$5),IuranDSSebelumnya!$I$330:$N$772,5,FALSE),
        IF(COUNTIFS(IuranDSSebelumnya!$J$330:$J$772,$K37,IuranDSSebelumnya!$M$330:$M$772,AR$11,IuranDSSebelumnya!$L$330:$L$772,"&lt;&gt;"&amp;$M$5)&gt;0,
              "Iuran dari Lingkungan lain",
              ""))</f>
        <v/>
      </c>
      <c r="AS37" s="47" t="str">
        <f>IF(COUNTIFS(IuranDSSebelumnya!$J$330:$J$772,$K37,IuranDSSebelumnya!$M$330:$M$772,AS$11,IuranDSSebelumnya!$L$330:$L$772,$M$5)&gt;0,
        VLOOKUP(CONCATENATE($K37,"|",AS$11,"|",$M$5),IuranDSSebelumnya!$I$330:$N$772,5,FALSE),
        IF(COUNTIFS(IuranDSSebelumnya!$J$330:$J$772,$K37,IuranDSSebelumnya!$M$330:$M$772,AS$11,IuranDSSebelumnya!$L$330:$L$772,"&lt;&gt;"&amp;$M$5)&gt;0,
              "Iuran dari Lingkungan lain",
              ""))</f>
        <v/>
      </c>
      <c r="AT37" s="47" t="str">
        <f>IF(COUNTIFS(IuranDSSebelumnya!$J$330:$J$772,$K37,IuranDSSebelumnya!$M$330:$M$772,AT$11,IuranDSSebelumnya!$L$330:$L$772,$M$5)&gt;0,
        VLOOKUP(CONCATENATE($K37,"|",AT$11,"|",$M$5),IuranDSSebelumnya!$I$330:$N$772,5,FALSE),
        IF(COUNTIFS(IuranDSSebelumnya!$J$330:$J$772,$K37,IuranDSSebelumnya!$M$330:$M$772,AT$11,IuranDSSebelumnya!$L$330:$L$772,"&lt;&gt;"&amp;$M$5)&gt;0,
              "Iuran dari Lingkungan lain",
              ""))</f>
        <v/>
      </c>
      <c r="AU37" s="47" t="str">
        <f>IF(COUNTIFS(IuranDSSebelumnya!$J$330:$J$772,$K37,IuranDSSebelumnya!$M$330:$M$772,AU$11,IuranDSSebelumnya!$L$330:$L$772,$M$5)&gt;0,
        VLOOKUP(CONCATENATE($K37,"|",AU$11,"|",$M$5),IuranDSSebelumnya!$I$330:$N$772,5,FALSE),
        IF(COUNTIFS(IuranDSSebelumnya!$J$330:$J$772,$K37,IuranDSSebelumnya!$M$330:$M$772,AU$11,IuranDSSebelumnya!$L$330:$L$772,"&lt;&gt;"&amp;$M$5)&gt;0,
              "Iuran dari Lingkungan lain",
              ""))</f>
        <v/>
      </c>
      <c r="AV37" s="47" t="str">
        <f>IF(COUNTIFS(IuranDSSebelumnya!$J$330:$J$772,$K37,IuranDSSebelumnya!$M$330:$M$772,AV$11,IuranDSSebelumnya!$L$330:$L$772,$M$5)&gt;0,
        VLOOKUP(CONCATENATE($K37,"|",AV$11,"|",$M$5),IuranDSSebelumnya!$I$330:$N$772,5,FALSE),
        IF(COUNTIFS(IuranDSSebelumnya!$J$330:$J$772,$K37,IuranDSSebelumnya!$M$330:$M$772,AV$11,IuranDSSebelumnya!$L$330:$L$772,"&lt;&gt;"&amp;$M$5)&gt;0,
              "Iuran dari Lingkungan lain",
              ""))</f>
        <v/>
      </c>
      <c r="AW37" s="47" t="str">
        <f>IF(COUNTIFS(IuranDSSebelumnya!$J$330:$J$772,$K37,IuranDSSebelumnya!$M$330:$M$772,AW$11,IuranDSSebelumnya!$L$330:$L$772,$M$5)&gt;0,
        VLOOKUP(CONCATENATE($K37,"|",AW$11,"|",$M$5),IuranDSSebelumnya!$I$330:$N$772,5,FALSE),
        IF(COUNTIFS(IuranDSSebelumnya!$J$330:$J$772,$K37,IuranDSSebelumnya!$M$330:$M$772,AW$11,IuranDSSebelumnya!$L$330:$L$772,"&lt;&gt;"&amp;$M$5)&gt;0,
              "Iuran dari Lingkungan lain",
              ""))</f>
        <v/>
      </c>
      <c r="AX37" s="47" t="str">
        <f>IF(COUNTIFS(IuranDSSebelumnya!$J$330:$J$772,$K37,IuranDSSebelumnya!$M$330:$M$772,AX$11,IuranDSSebelumnya!$L$330:$L$772,$M$5)&gt;0,
        VLOOKUP(CONCATENATE($K37,"|",AX$11,"|",$M$5),IuranDSSebelumnya!$I$330:$N$772,5,FALSE),
        IF(COUNTIFS(IuranDSSebelumnya!$J$330:$J$772,$K37,IuranDSSebelumnya!$M$330:$M$772,AX$11,IuranDSSebelumnya!$L$330:$L$772,"&lt;&gt;"&amp;$M$5)&gt;0,
              "Iuran dari Lingkungan lain",
              ""))</f>
        <v/>
      </c>
      <c r="AY37" s="47" t="str">
        <f>IF(COUNTIFS(IuranDSSebelumnya!$J$330:$J$772,$K37,IuranDSSebelumnya!$M$330:$M$772,AY$11,IuranDSSebelumnya!$L$330:$L$772,$M$5)&gt;0,
        VLOOKUP(CONCATENATE($K37,"|",AY$11,"|",$M$5),IuranDSSebelumnya!$I$330:$N$772,5,FALSE),
        IF(COUNTIFS(IuranDSSebelumnya!$J$330:$J$772,$K37,IuranDSSebelumnya!$M$330:$M$772,AY$11,IuranDSSebelumnya!$L$330:$L$772,"&lt;&gt;"&amp;$M$5)&gt;0,
              "Iuran dari Lingkungan lain",
              ""))</f>
        <v/>
      </c>
      <c r="AZ37" s="47" t="str">
        <f>IF(COUNTIFS(IuranDSSebelumnya!$J$330:$J$772,$K37,IuranDSSebelumnya!$M$330:$M$772,AZ$11,IuranDSSebelumnya!$L$330:$L$772,$M$5)&gt;0,
        VLOOKUP(CONCATENATE($K37,"|",AZ$11,"|",$M$5),IuranDSSebelumnya!$I$330:$N$772,5,FALSE),
        IF(COUNTIFS(IuranDSSebelumnya!$J$330:$J$772,$K37,IuranDSSebelumnya!$M$330:$M$772,AZ$11,IuranDSSebelumnya!$L$330:$L$772,"&lt;&gt;"&amp;$M$5)&gt;0,
              "Iuran dari Lingkungan lain",
              ""))</f>
        <v/>
      </c>
      <c r="BA37" s="47" t="str">
        <f>IF(COUNTIFS(IuranDSSebelumnya!$J$330:$J$772,$K37,IuranDSSebelumnya!$M$330:$M$772,BA$11,IuranDSSebelumnya!$L$330:$L$772,$M$5)&gt;0,
        VLOOKUP(CONCATENATE($K37,"|",BA$11,"|",$M$5),IuranDSSebelumnya!$I$330:$N$772,5,FALSE),
        IF(COUNTIFS(IuranDSSebelumnya!$J$330:$J$772,$K37,IuranDSSebelumnya!$M$330:$M$772,BA$11,IuranDSSebelumnya!$L$330:$L$772,"&lt;&gt;"&amp;$M$5)&gt;0,
              "Iuran dari Lingkungan lain",
              ""))</f>
        <v/>
      </c>
      <c r="BB37" s="47" t="str">
        <f>IF(COUNTIFS(IuranDSSebelumnya!$J$330:$J$772,$K37,IuranDSSebelumnya!$M$330:$M$772,BB$11,IuranDSSebelumnya!$L$330:$L$772,$M$5)&gt;0,
        VLOOKUP(CONCATENATE($K37,"|",BB$11,"|",$M$5),IuranDSSebelumnya!$I$330:$N$772,5,FALSE),
        IF(COUNTIFS(IuranDSSebelumnya!$J$330:$J$772,$K37,IuranDSSebelumnya!$M$330:$M$772,BB$11,IuranDSSebelumnya!$L$330:$L$772,"&lt;&gt;"&amp;$M$5)&gt;0,
              "Iuran dari Lingkungan lain",
              ""))</f>
        <v/>
      </c>
      <c r="BC37" s="47" t="str">
        <f>IF(COUNTIFS(IuranDSSebelumnya!$J$330:$J$772,$K37,IuranDSSebelumnya!$M$330:$M$772,BC$11,IuranDSSebelumnya!$L$330:$L$772,$M$5)&gt;0,
        VLOOKUP(CONCATENATE($K37,"|",BC$11,"|",$M$5),IuranDSSebelumnya!$I$330:$N$772,5,FALSE),
        IF(COUNTIFS(IuranDSSebelumnya!$J$330:$J$772,$K37,IuranDSSebelumnya!$M$330:$M$772,BC$11,IuranDSSebelumnya!$L$330:$L$772,"&lt;&gt;"&amp;$M$5)&gt;0,
              "Iuran dari Lingkungan lain",
              ""))</f>
        <v/>
      </c>
      <c r="BD37" s="47" t="str">
        <f>IF(COUNTIFS(IuranDSSebelumnya!$J$330:$J$772,$K37,IuranDSSebelumnya!$M$330:$M$772,BD$11,IuranDSSebelumnya!$L$330:$L$772,$M$5)&gt;0,
        VLOOKUP(CONCATENATE($K37,"|",BD$11,"|",$M$5),IuranDSSebelumnya!$I$330:$N$772,5,FALSE),
        IF(COUNTIFS(IuranDSSebelumnya!$J$330:$J$772,$K37,IuranDSSebelumnya!$M$330:$M$772,BD$11,IuranDSSebelumnya!$L$330:$L$772,"&lt;&gt;"&amp;$M$5)&gt;0,
              "Iuran dari Lingkungan lain",
              ""))</f>
        <v/>
      </c>
      <c r="BE37" s="47" t="str">
        <f>IF(COUNTIFS(IuranDSSebelumnya!$J$330:$J$772,$K37,IuranDSSebelumnya!$M$330:$M$772,BE$11,IuranDSSebelumnya!$L$330:$L$772,$M$5)&gt;0,
        VLOOKUP(CONCATENATE($K37,"|",BE$11,"|",$M$5),IuranDSSebelumnya!$I$330:$N$772,5,FALSE),
        IF(COUNTIFS(IuranDSSebelumnya!$J$330:$J$772,$K37,IuranDSSebelumnya!$M$330:$M$772,BE$11,IuranDSSebelumnya!$L$330:$L$772,"&lt;&gt;"&amp;$M$5)&gt;0,
              "Iuran dari Lingkungan lain",
              ""))</f>
        <v/>
      </c>
      <c r="BF37" s="47" t="str">
        <f>IF(COUNTIFS(IuranDSSebelumnya!$J$330:$J$772,$K37,IuranDSSebelumnya!$M$330:$M$772,BF$11,IuranDSSebelumnya!$L$330:$L$772,$M$5)&gt;0,
        VLOOKUP(CONCATENATE($K37,"|",BF$11,"|",$M$5),IuranDSSebelumnya!$I$330:$N$772,5,FALSE),
        IF(COUNTIFS(IuranDSSebelumnya!$J$330:$J$772,$K37,IuranDSSebelumnya!$M$330:$M$772,BF$11,IuranDSSebelumnya!$L$330:$L$772,"&lt;&gt;"&amp;$M$5)&gt;0,
              "Iuran dari Lingkungan lain",
              ""))</f>
        <v/>
      </c>
      <c r="BG37" s="47" t="str">
        <f>IF(COUNTIFS(IuranDSSebelumnya!$J$330:$J$772,$K37,IuranDSSebelumnya!$M$330:$M$772,BG$11,IuranDSSebelumnya!$L$330:$L$772,$M$5)&gt;0,
        VLOOKUP(CONCATENATE($K37,"|",BG$11,"|",$M$5),IuranDSSebelumnya!$I$330:$N$772,5,FALSE),
        IF(COUNTIFS(IuranDSSebelumnya!$J$330:$J$772,$K37,IuranDSSebelumnya!$M$330:$M$772,BG$11,IuranDSSebelumnya!$L$330:$L$772,"&lt;&gt;"&amp;$M$5)&gt;0,
              "Iuran dari Lingkungan lain",
              ""))</f>
        <v/>
      </c>
      <c r="BH37" s="47" t="str">
        <f>IF(COUNTIFS(IuranDSSebelumnya!$J$330:$J$772,$K37,IuranDSSebelumnya!$M$330:$M$772,BH$11,IuranDSSebelumnya!$L$330:$L$772,$M$5)&gt;0,
        VLOOKUP(CONCATENATE($K37,"|",BH$11,"|",$M$5),IuranDSSebelumnya!$I$330:$N$772,5,FALSE),
        IF(COUNTIFS(IuranDSSebelumnya!$J$330:$J$772,$K37,IuranDSSebelumnya!$M$330:$M$772,BH$11,IuranDSSebelumnya!$L$330:$L$772,"&lt;&gt;"&amp;$M$5)&gt;0,
              "Iuran dari Lingkungan lain",
              ""))</f>
        <v/>
      </c>
      <c r="BI37" s="47" t="str">
        <f>IF(COUNTIFS(IuranDSSebelumnya!$J$330:$J$772,$K37,IuranDSSebelumnya!$M$330:$M$772,BI$11,IuranDSSebelumnya!$L$330:$L$772,$M$5)&gt;0,
        VLOOKUP(CONCATENATE($K37,"|",BI$11,"|",$M$5),IuranDSSebelumnya!$I$330:$N$772,5,FALSE),
        IF(COUNTIFS(IuranDSSebelumnya!$J$330:$J$772,$K37,IuranDSSebelumnya!$M$330:$M$772,BI$11,IuranDSSebelumnya!$L$330:$L$772,"&lt;&gt;"&amp;$M$5)&gt;0,
              "Iuran dari Lingkungan lain",
              ""))</f>
        <v/>
      </c>
      <c r="BJ37" s="47" t="str">
        <f>IF(COUNTIFS(IuranDSSebelumnya!$J$330:$J$772,$K37,IuranDSSebelumnya!$M$330:$M$772,BJ$11,IuranDSSebelumnya!$L$330:$L$772,$M$5)&gt;0,
        VLOOKUP(CONCATENATE($K37,"|",BJ$11,"|",$M$5),IuranDSSebelumnya!$I$330:$N$772,5,FALSE),
        IF(COUNTIFS(IuranDSSebelumnya!$J$330:$J$772,$K37,IuranDSSebelumnya!$M$330:$M$772,BJ$11,IuranDSSebelumnya!$L$330:$L$772,"&lt;&gt;"&amp;$M$5)&gt;0,
              "Iuran dari Lingkungan lain",
              ""))</f>
        <v/>
      </c>
      <c r="BK37" s="47" t="str">
        <f>IF(COUNTIFS(IuranDSSebelumnya!$J$330:$J$772,$K37,IuranDSSebelumnya!$M$330:$M$772,BK$11,IuranDSSebelumnya!$L$330:$L$772,$M$5)&gt;0,
        VLOOKUP(CONCATENATE($K37,"|",BK$11,"|",$M$5),IuranDSSebelumnya!$I$330:$N$772,5,FALSE),
        IF(COUNTIFS(IuranDSSebelumnya!$J$330:$J$772,$K37,IuranDSSebelumnya!$M$330:$M$772,BK$11,IuranDSSebelumnya!$L$330:$L$772,"&lt;&gt;"&amp;$M$5)&gt;0,
              "Iuran dari Lingkungan lain",
              ""))</f>
        <v/>
      </c>
      <c r="BL37" s="47" t="str">
        <f>IF(COUNTIFS(IuranDSSebelumnya!$J$330:$J$772,$K37,IuranDSSebelumnya!$M$330:$M$772,BL$11,IuranDSSebelumnya!$L$330:$L$772,$M$5)&gt;0,
        VLOOKUP(CONCATENATE($K37,"|",BL$11,"|",$M$5),IuranDSSebelumnya!$I$330:$N$772,5,FALSE),
        IF(COUNTIFS(IuranDSSebelumnya!$J$330:$J$772,$K37,IuranDSSebelumnya!$M$330:$M$772,BL$11,IuranDSSebelumnya!$L$330:$L$772,"&lt;&gt;"&amp;$M$5)&gt;0,
              "Iuran dari Lingkungan lain",
              ""))</f>
        <v/>
      </c>
    </row>
    <row r="38" spans="1:64" x14ac:dyDescent="0.35">
      <c r="A38" s="30" t="s">
        <v>6063</v>
      </c>
      <c r="C38" s="30" t="b">
        <f t="shared" ca="1" si="16"/>
        <v>0</v>
      </c>
      <c r="D38" s="30" t="str">
        <f>"""TRUST Nav"",""HSPMTB2016"",""18"",""1"",""KK-05051"""</f>
        <v>"TRUST Nav","HSPMTB2016","18","1","KK-05051"</v>
      </c>
      <c r="H38" s="30">
        <f t="shared" si="17"/>
        <v>0</v>
      </c>
      <c r="J38" s="30">
        <f t="shared" si="18"/>
        <v>26</v>
      </c>
      <c r="K38" s="30" t="str">
        <f>"KK-05051"</f>
        <v>KK-05051</v>
      </c>
      <c r="L38" s="30" t="str">
        <f>"Nicolaas Oktavianto Sutjondro Putro"</f>
        <v>Nicolaas Oktavianto Sutjondro Putro</v>
      </c>
      <c r="M38" s="30"/>
      <c r="N38" s="3"/>
      <c r="O38" s="3"/>
      <c r="P38" s="3"/>
      <c r="Q38" s="3"/>
      <c r="R38" s="3"/>
      <c r="S38" s="3"/>
      <c r="T38" s="11"/>
      <c r="U38" s="4"/>
      <c r="V38" s="4"/>
      <c r="W38" s="4"/>
      <c r="X38" s="4"/>
      <c r="Y38" s="15"/>
      <c r="Z38" s="4"/>
      <c r="AA38" s="4"/>
      <c r="AB38" s="4"/>
      <c r="AC38" s="4"/>
      <c r="AD38" s="4"/>
      <c r="AE38" s="4"/>
      <c r="AF38" s="11"/>
      <c r="AG38" s="4"/>
      <c r="AH38" s="4"/>
      <c r="AI38" s="4"/>
      <c r="AJ38" s="4"/>
      <c r="AK38" s="4"/>
      <c r="AL38" s="9">
        <f t="shared" si="19"/>
        <v>0</v>
      </c>
      <c r="AO38" s="47" t="str">
        <f>IF(COUNTIFS(IuranDSSebelumnya!$J$330:$J$772,$K38,IuranDSSebelumnya!$M$330:$M$772,AO$11,IuranDSSebelumnya!$L$330:$L$772,$M$5)&gt;0,
        VLOOKUP(CONCATENATE($K38,"|",AO$11,"|",$M$5),IuranDSSebelumnya!$I$330:$N$772,5,FALSE),
        IF(COUNTIFS(IuranDSSebelumnya!$J$330:$J$772,$K38,IuranDSSebelumnya!$M$330:$M$772,AO$11,IuranDSSebelumnya!$L$330:$L$772,"&lt;&gt;"&amp;$M$5)&gt;0,
              "Iuran dari Lingkungan lain",
              ""))</f>
        <v/>
      </c>
      <c r="AP38" s="47" t="str">
        <f>IF(COUNTIFS(IuranDSSebelumnya!$J$330:$J$772,$K38,IuranDSSebelumnya!$M$330:$M$772,AP$11,IuranDSSebelumnya!$L$330:$L$772,$M$5)&gt;0,
        VLOOKUP(CONCATENATE($K38,"|",AP$11,"|",$M$5),IuranDSSebelumnya!$I$330:$N$772,5,FALSE),
        IF(COUNTIFS(IuranDSSebelumnya!$J$330:$J$772,$K38,IuranDSSebelumnya!$M$330:$M$772,AP$11,IuranDSSebelumnya!$L$330:$L$772,"&lt;&gt;"&amp;$M$5)&gt;0,
              "Iuran dari Lingkungan lain",
              ""))</f>
        <v/>
      </c>
      <c r="AQ38" s="47" t="str">
        <f>IF(COUNTIFS(IuranDSSebelumnya!$J$330:$J$772,$K38,IuranDSSebelumnya!$M$330:$M$772,AQ$11,IuranDSSebelumnya!$L$330:$L$772,$M$5)&gt;0,
        VLOOKUP(CONCATENATE($K38,"|",AQ$11,"|",$M$5),IuranDSSebelumnya!$I$330:$N$772,5,FALSE),
        IF(COUNTIFS(IuranDSSebelumnya!$J$330:$J$772,$K38,IuranDSSebelumnya!$M$330:$M$772,AQ$11,IuranDSSebelumnya!$L$330:$L$772,"&lt;&gt;"&amp;$M$5)&gt;0,
              "Iuran dari Lingkungan lain",
              ""))</f>
        <v/>
      </c>
      <c r="AR38" s="47" t="str">
        <f>IF(COUNTIFS(IuranDSSebelumnya!$J$330:$J$772,$K38,IuranDSSebelumnya!$M$330:$M$772,AR$11,IuranDSSebelumnya!$L$330:$L$772,$M$5)&gt;0,
        VLOOKUP(CONCATENATE($K38,"|",AR$11,"|",$M$5),IuranDSSebelumnya!$I$330:$N$772,5,FALSE),
        IF(COUNTIFS(IuranDSSebelumnya!$J$330:$J$772,$K38,IuranDSSebelumnya!$M$330:$M$772,AR$11,IuranDSSebelumnya!$L$330:$L$772,"&lt;&gt;"&amp;$M$5)&gt;0,
              "Iuran dari Lingkungan lain",
              ""))</f>
        <v/>
      </c>
      <c r="AS38" s="47" t="str">
        <f>IF(COUNTIFS(IuranDSSebelumnya!$J$330:$J$772,$K38,IuranDSSebelumnya!$M$330:$M$772,AS$11,IuranDSSebelumnya!$L$330:$L$772,$M$5)&gt;0,
        VLOOKUP(CONCATENATE($K38,"|",AS$11,"|",$M$5),IuranDSSebelumnya!$I$330:$N$772,5,FALSE),
        IF(COUNTIFS(IuranDSSebelumnya!$J$330:$J$772,$K38,IuranDSSebelumnya!$M$330:$M$772,AS$11,IuranDSSebelumnya!$L$330:$L$772,"&lt;&gt;"&amp;$M$5)&gt;0,
              "Iuran dari Lingkungan lain",
              ""))</f>
        <v/>
      </c>
      <c r="AT38" s="47" t="str">
        <f>IF(COUNTIFS(IuranDSSebelumnya!$J$330:$J$772,$K38,IuranDSSebelumnya!$M$330:$M$772,AT$11,IuranDSSebelumnya!$L$330:$L$772,$M$5)&gt;0,
        VLOOKUP(CONCATENATE($K38,"|",AT$11,"|",$M$5),IuranDSSebelumnya!$I$330:$N$772,5,FALSE),
        IF(COUNTIFS(IuranDSSebelumnya!$J$330:$J$772,$K38,IuranDSSebelumnya!$M$330:$M$772,AT$11,IuranDSSebelumnya!$L$330:$L$772,"&lt;&gt;"&amp;$M$5)&gt;0,
              "Iuran dari Lingkungan lain",
              ""))</f>
        <v/>
      </c>
      <c r="AU38" s="47" t="str">
        <f>IF(COUNTIFS(IuranDSSebelumnya!$J$330:$J$772,$K38,IuranDSSebelumnya!$M$330:$M$772,AU$11,IuranDSSebelumnya!$L$330:$L$772,$M$5)&gt;0,
        VLOOKUP(CONCATENATE($K38,"|",AU$11,"|",$M$5),IuranDSSebelumnya!$I$330:$N$772,5,FALSE),
        IF(COUNTIFS(IuranDSSebelumnya!$J$330:$J$772,$K38,IuranDSSebelumnya!$M$330:$M$772,AU$11,IuranDSSebelumnya!$L$330:$L$772,"&lt;&gt;"&amp;$M$5)&gt;0,
              "Iuran dari Lingkungan lain",
              ""))</f>
        <v/>
      </c>
      <c r="AV38" s="47" t="str">
        <f>IF(COUNTIFS(IuranDSSebelumnya!$J$330:$J$772,$K38,IuranDSSebelumnya!$M$330:$M$772,AV$11,IuranDSSebelumnya!$L$330:$L$772,$M$5)&gt;0,
        VLOOKUP(CONCATENATE($K38,"|",AV$11,"|",$M$5),IuranDSSebelumnya!$I$330:$N$772,5,FALSE),
        IF(COUNTIFS(IuranDSSebelumnya!$J$330:$J$772,$K38,IuranDSSebelumnya!$M$330:$M$772,AV$11,IuranDSSebelumnya!$L$330:$L$772,"&lt;&gt;"&amp;$M$5)&gt;0,
              "Iuran dari Lingkungan lain",
              ""))</f>
        <v/>
      </c>
      <c r="AW38" s="47" t="str">
        <f>IF(COUNTIFS(IuranDSSebelumnya!$J$330:$J$772,$K38,IuranDSSebelumnya!$M$330:$M$772,AW$11,IuranDSSebelumnya!$L$330:$L$772,$M$5)&gt;0,
        VLOOKUP(CONCATENATE($K38,"|",AW$11,"|",$M$5),IuranDSSebelumnya!$I$330:$N$772,5,FALSE),
        IF(COUNTIFS(IuranDSSebelumnya!$J$330:$J$772,$K38,IuranDSSebelumnya!$M$330:$M$772,AW$11,IuranDSSebelumnya!$L$330:$L$772,"&lt;&gt;"&amp;$M$5)&gt;0,
              "Iuran dari Lingkungan lain",
              ""))</f>
        <v/>
      </c>
      <c r="AX38" s="47" t="str">
        <f>IF(COUNTIFS(IuranDSSebelumnya!$J$330:$J$772,$K38,IuranDSSebelumnya!$M$330:$M$772,AX$11,IuranDSSebelumnya!$L$330:$L$772,$M$5)&gt;0,
        VLOOKUP(CONCATENATE($K38,"|",AX$11,"|",$M$5),IuranDSSebelumnya!$I$330:$N$772,5,FALSE),
        IF(COUNTIFS(IuranDSSebelumnya!$J$330:$J$772,$K38,IuranDSSebelumnya!$M$330:$M$772,AX$11,IuranDSSebelumnya!$L$330:$L$772,"&lt;&gt;"&amp;$M$5)&gt;0,
              "Iuran dari Lingkungan lain",
              ""))</f>
        <v/>
      </c>
      <c r="AY38" s="47" t="str">
        <f>IF(COUNTIFS(IuranDSSebelumnya!$J$330:$J$772,$K38,IuranDSSebelumnya!$M$330:$M$772,AY$11,IuranDSSebelumnya!$L$330:$L$772,$M$5)&gt;0,
        VLOOKUP(CONCATENATE($K38,"|",AY$11,"|",$M$5),IuranDSSebelumnya!$I$330:$N$772,5,FALSE),
        IF(COUNTIFS(IuranDSSebelumnya!$J$330:$J$772,$K38,IuranDSSebelumnya!$M$330:$M$772,AY$11,IuranDSSebelumnya!$L$330:$L$772,"&lt;&gt;"&amp;$M$5)&gt;0,
              "Iuran dari Lingkungan lain",
              ""))</f>
        <v/>
      </c>
      <c r="AZ38" s="47" t="str">
        <f>IF(COUNTIFS(IuranDSSebelumnya!$J$330:$J$772,$K38,IuranDSSebelumnya!$M$330:$M$772,AZ$11,IuranDSSebelumnya!$L$330:$L$772,$M$5)&gt;0,
        VLOOKUP(CONCATENATE($K38,"|",AZ$11,"|",$M$5),IuranDSSebelumnya!$I$330:$N$772,5,FALSE),
        IF(COUNTIFS(IuranDSSebelumnya!$J$330:$J$772,$K38,IuranDSSebelumnya!$M$330:$M$772,AZ$11,IuranDSSebelumnya!$L$330:$L$772,"&lt;&gt;"&amp;$M$5)&gt;0,
              "Iuran dari Lingkungan lain",
              ""))</f>
        <v/>
      </c>
      <c r="BA38" s="47" t="str">
        <f>IF(COUNTIFS(IuranDSSebelumnya!$J$330:$J$772,$K38,IuranDSSebelumnya!$M$330:$M$772,BA$11,IuranDSSebelumnya!$L$330:$L$772,$M$5)&gt;0,
        VLOOKUP(CONCATENATE($K38,"|",BA$11,"|",$M$5),IuranDSSebelumnya!$I$330:$N$772,5,FALSE),
        IF(COUNTIFS(IuranDSSebelumnya!$J$330:$J$772,$K38,IuranDSSebelumnya!$M$330:$M$772,BA$11,IuranDSSebelumnya!$L$330:$L$772,"&lt;&gt;"&amp;$M$5)&gt;0,
              "Iuran dari Lingkungan lain",
              ""))</f>
        <v/>
      </c>
      <c r="BB38" s="47" t="str">
        <f>IF(COUNTIFS(IuranDSSebelumnya!$J$330:$J$772,$K38,IuranDSSebelumnya!$M$330:$M$772,BB$11,IuranDSSebelumnya!$L$330:$L$772,$M$5)&gt;0,
        VLOOKUP(CONCATENATE($K38,"|",BB$11,"|",$M$5),IuranDSSebelumnya!$I$330:$N$772,5,FALSE),
        IF(COUNTIFS(IuranDSSebelumnya!$J$330:$J$772,$K38,IuranDSSebelumnya!$M$330:$M$772,BB$11,IuranDSSebelumnya!$L$330:$L$772,"&lt;&gt;"&amp;$M$5)&gt;0,
              "Iuran dari Lingkungan lain",
              ""))</f>
        <v/>
      </c>
      <c r="BC38" s="47" t="str">
        <f>IF(COUNTIFS(IuranDSSebelumnya!$J$330:$J$772,$K38,IuranDSSebelumnya!$M$330:$M$772,BC$11,IuranDSSebelumnya!$L$330:$L$772,$M$5)&gt;0,
        VLOOKUP(CONCATENATE($K38,"|",BC$11,"|",$M$5),IuranDSSebelumnya!$I$330:$N$772,5,FALSE),
        IF(COUNTIFS(IuranDSSebelumnya!$J$330:$J$772,$K38,IuranDSSebelumnya!$M$330:$M$772,BC$11,IuranDSSebelumnya!$L$330:$L$772,"&lt;&gt;"&amp;$M$5)&gt;0,
              "Iuran dari Lingkungan lain",
              ""))</f>
        <v/>
      </c>
      <c r="BD38" s="47" t="str">
        <f>IF(COUNTIFS(IuranDSSebelumnya!$J$330:$J$772,$K38,IuranDSSebelumnya!$M$330:$M$772,BD$11,IuranDSSebelumnya!$L$330:$L$772,$M$5)&gt;0,
        VLOOKUP(CONCATENATE($K38,"|",BD$11,"|",$M$5),IuranDSSebelumnya!$I$330:$N$772,5,FALSE),
        IF(COUNTIFS(IuranDSSebelumnya!$J$330:$J$772,$K38,IuranDSSebelumnya!$M$330:$M$772,BD$11,IuranDSSebelumnya!$L$330:$L$772,"&lt;&gt;"&amp;$M$5)&gt;0,
              "Iuran dari Lingkungan lain",
              ""))</f>
        <v/>
      </c>
      <c r="BE38" s="47" t="str">
        <f>IF(COUNTIFS(IuranDSSebelumnya!$J$330:$J$772,$K38,IuranDSSebelumnya!$M$330:$M$772,BE$11,IuranDSSebelumnya!$L$330:$L$772,$M$5)&gt;0,
        VLOOKUP(CONCATENATE($K38,"|",BE$11,"|",$M$5),IuranDSSebelumnya!$I$330:$N$772,5,FALSE),
        IF(COUNTIFS(IuranDSSebelumnya!$J$330:$J$772,$K38,IuranDSSebelumnya!$M$330:$M$772,BE$11,IuranDSSebelumnya!$L$330:$L$772,"&lt;&gt;"&amp;$M$5)&gt;0,
              "Iuran dari Lingkungan lain",
              ""))</f>
        <v/>
      </c>
      <c r="BF38" s="47" t="str">
        <f>IF(COUNTIFS(IuranDSSebelumnya!$J$330:$J$772,$K38,IuranDSSebelumnya!$M$330:$M$772,BF$11,IuranDSSebelumnya!$L$330:$L$772,$M$5)&gt;0,
        VLOOKUP(CONCATENATE($K38,"|",BF$11,"|",$M$5),IuranDSSebelumnya!$I$330:$N$772,5,FALSE),
        IF(COUNTIFS(IuranDSSebelumnya!$J$330:$J$772,$K38,IuranDSSebelumnya!$M$330:$M$772,BF$11,IuranDSSebelumnya!$L$330:$L$772,"&lt;&gt;"&amp;$M$5)&gt;0,
              "Iuran dari Lingkungan lain",
              ""))</f>
        <v/>
      </c>
      <c r="BG38" s="47" t="str">
        <f>IF(COUNTIFS(IuranDSSebelumnya!$J$330:$J$772,$K38,IuranDSSebelumnya!$M$330:$M$772,BG$11,IuranDSSebelumnya!$L$330:$L$772,$M$5)&gt;0,
        VLOOKUP(CONCATENATE($K38,"|",BG$11,"|",$M$5),IuranDSSebelumnya!$I$330:$N$772,5,FALSE),
        IF(COUNTIFS(IuranDSSebelumnya!$J$330:$J$772,$K38,IuranDSSebelumnya!$M$330:$M$772,BG$11,IuranDSSebelumnya!$L$330:$L$772,"&lt;&gt;"&amp;$M$5)&gt;0,
              "Iuran dari Lingkungan lain",
              ""))</f>
        <v/>
      </c>
      <c r="BH38" s="47" t="str">
        <f>IF(COUNTIFS(IuranDSSebelumnya!$J$330:$J$772,$K38,IuranDSSebelumnya!$M$330:$M$772,BH$11,IuranDSSebelumnya!$L$330:$L$772,$M$5)&gt;0,
        VLOOKUP(CONCATENATE($K38,"|",BH$11,"|",$M$5),IuranDSSebelumnya!$I$330:$N$772,5,FALSE),
        IF(COUNTIFS(IuranDSSebelumnya!$J$330:$J$772,$K38,IuranDSSebelumnya!$M$330:$M$772,BH$11,IuranDSSebelumnya!$L$330:$L$772,"&lt;&gt;"&amp;$M$5)&gt;0,
              "Iuran dari Lingkungan lain",
              ""))</f>
        <v/>
      </c>
      <c r="BI38" s="47" t="str">
        <f>IF(COUNTIFS(IuranDSSebelumnya!$J$330:$J$772,$K38,IuranDSSebelumnya!$M$330:$M$772,BI$11,IuranDSSebelumnya!$L$330:$L$772,$M$5)&gt;0,
        VLOOKUP(CONCATENATE($K38,"|",BI$11,"|",$M$5),IuranDSSebelumnya!$I$330:$N$772,5,FALSE),
        IF(COUNTIFS(IuranDSSebelumnya!$J$330:$J$772,$K38,IuranDSSebelumnya!$M$330:$M$772,BI$11,IuranDSSebelumnya!$L$330:$L$772,"&lt;&gt;"&amp;$M$5)&gt;0,
              "Iuran dari Lingkungan lain",
              ""))</f>
        <v/>
      </c>
      <c r="BJ38" s="47" t="str">
        <f>IF(COUNTIFS(IuranDSSebelumnya!$J$330:$J$772,$K38,IuranDSSebelumnya!$M$330:$M$772,BJ$11,IuranDSSebelumnya!$L$330:$L$772,$M$5)&gt;0,
        VLOOKUP(CONCATENATE($K38,"|",BJ$11,"|",$M$5),IuranDSSebelumnya!$I$330:$N$772,5,FALSE),
        IF(COUNTIFS(IuranDSSebelumnya!$J$330:$J$772,$K38,IuranDSSebelumnya!$M$330:$M$772,BJ$11,IuranDSSebelumnya!$L$330:$L$772,"&lt;&gt;"&amp;$M$5)&gt;0,
              "Iuran dari Lingkungan lain",
              ""))</f>
        <v/>
      </c>
      <c r="BK38" s="47" t="str">
        <f>IF(COUNTIFS(IuranDSSebelumnya!$J$330:$J$772,$K38,IuranDSSebelumnya!$M$330:$M$772,BK$11,IuranDSSebelumnya!$L$330:$L$772,$M$5)&gt;0,
        VLOOKUP(CONCATENATE($K38,"|",BK$11,"|",$M$5),IuranDSSebelumnya!$I$330:$N$772,5,FALSE),
        IF(COUNTIFS(IuranDSSebelumnya!$J$330:$J$772,$K38,IuranDSSebelumnya!$M$330:$M$772,BK$11,IuranDSSebelumnya!$L$330:$L$772,"&lt;&gt;"&amp;$M$5)&gt;0,
              "Iuran dari Lingkungan lain",
              ""))</f>
        <v/>
      </c>
      <c r="BL38" s="47" t="str">
        <f>IF(COUNTIFS(IuranDSSebelumnya!$J$330:$J$772,$K38,IuranDSSebelumnya!$M$330:$M$772,BL$11,IuranDSSebelumnya!$L$330:$L$772,$M$5)&gt;0,
        VLOOKUP(CONCATENATE($K38,"|",BL$11,"|",$M$5),IuranDSSebelumnya!$I$330:$N$772,5,FALSE),
        IF(COUNTIFS(IuranDSSebelumnya!$J$330:$J$772,$K38,IuranDSSebelumnya!$M$330:$M$772,BL$11,IuranDSSebelumnya!$L$330:$L$772,"&lt;&gt;"&amp;$M$5)&gt;0,
              "Iuran dari Lingkungan lain",
              ""))</f>
        <v/>
      </c>
    </row>
    <row r="39" spans="1:64" x14ac:dyDescent="0.35">
      <c r="A39" s="30" t="s">
        <v>6063</v>
      </c>
      <c r="C39" s="30" t="b">
        <f t="shared" ca="1" si="16"/>
        <v>0</v>
      </c>
      <c r="D39" s="30" t="str">
        <f>"""TRUST Nav"",""HSPMTB2016"",""18"",""1"",""KK-04615"""</f>
        <v>"TRUST Nav","HSPMTB2016","18","1","KK-04615"</v>
      </c>
      <c r="H39" s="30">
        <f t="shared" si="17"/>
        <v>0</v>
      </c>
      <c r="J39" s="30">
        <f t="shared" si="18"/>
        <v>27</v>
      </c>
      <c r="K39" s="30" t="str">
        <f>"KK-04615"</f>
        <v>KK-04615</v>
      </c>
      <c r="L39" s="30" t="str">
        <f>"Pandu Pamungkas Sejati"</f>
        <v>Pandu Pamungkas Sejati</v>
      </c>
      <c r="M39" s="30"/>
      <c r="N39" s="3"/>
      <c r="O39" s="3"/>
      <c r="P39" s="3"/>
      <c r="Q39" s="3"/>
      <c r="R39" s="3"/>
      <c r="S39" s="3"/>
      <c r="T39" s="11"/>
      <c r="U39" s="4"/>
      <c r="V39" s="4"/>
      <c r="W39" s="4"/>
      <c r="X39" s="4"/>
      <c r="Y39" s="15"/>
      <c r="Z39" s="4"/>
      <c r="AA39" s="4"/>
      <c r="AB39" s="4"/>
      <c r="AC39" s="4"/>
      <c r="AD39" s="4"/>
      <c r="AE39" s="4"/>
      <c r="AF39" s="11"/>
      <c r="AG39" s="4"/>
      <c r="AH39" s="4"/>
      <c r="AI39" s="4"/>
      <c r="AJ39" s="4"/>
      <c r="AK39" s="4"/>
      <c r="AL39" s="9">
        <f t="shared" si="19"/>
        <v>0</v>
      </c>
      <c r="AO39" s="47" t="str">
        <f>IF(COUNTIFS(IuranDSSebelumnya!$J$330:$J$772,$K39,IuranDSSebelumnya!$M$330:$M$772,AO$11,IuranDSSebelumnya!$L$330:$L$772,$M$5)&gt;0,
        VLOOKUP(CONCATENATE($K39,"|",AO$11,"|",$M$5),IuranDSSebelumnya!$I$330:$N$772,5,FALSE),
        IF(COUNTIFS(IuranDSSebelumnya!$J$330:$J$772,$K39,IuranDSSebelumnya!$M$330:$M$772,AO$11,IuranDSSebelumnya!$L$330:$L$772,"&lt;&gt;"&amp;$M$5)&gt;0,
              "Iuran dari Lingkungan lain",
              ""))</f>
        <v/>
      </c>
      <c r="AP39" s="47" t="str">
        <f>IF(COUNTIFS(IuranDSSebelumnya!$J$330:$J$772,$K39,IuranDSSebelumnya!$M$330:$M$772,AP$11,IuranDSSebelumnya!$L$330:$L$772,$M$5)&gt;0,
        VLOOKUP(CONCATENATE($K39,"|",AP$11,"|",$M$5),IuranDSSebelumnya!$I$330:$N$772,5,FALSE),
        IF(COUNTIFS(IuranDSSebelumnya!$J$330:$J$772,$K39,IuranDSSebelumnya!$M$330:$M$772,AP$11,IuranDSSebelumnya!$L$330:$L$772,"&lt;&gt;"&amp;$M$5)&gt;0,
              "Iuran dari Lingkungan lain",
              ""))</f>
        <v/>
      </c>
      <c r="AQ39" s="47" t="str">
        <f>IF(COUNTIFS(IuranDSSebelumnya!$J$330:$J$772,$K39,IuranDSSebelumnya!$M$330:$M$772,AQ$11,IuranDSSebelumnya!$L$330:$L$772,$M$5)&gt;0,
        VLOOKUP(CONCATENATE($K39,"|",AQ$11,"|",$M$5),IuranDSSebelumnya!$I$330:$N$772,5,FALSE),
        IF(COUNTIFS(IuranDSSebelumnya!$J$330:$J$772,$K39,IuranDSSebelumnya!$M$330:$M$772,AQ$11,IuranDSSebelumnya!$L$330:$L$772,"&lt;&gt;"&amp;$M$5)&gt;0,
              "Iuran dari Lingkungan lain",
              ""))</f>
        <v/>
      </c>
      <c r="AR39" s="47" t="str">
        <f>IF(COUNTIFS(IuranDSSebelumnya!$J$330:$J$772,$K39,IuranDSSebelumnya!$M$330:$M$772,AR$11,IuranDSSebelumnya!$L$330:$L$772,$M$5)&gt;0,
        VLOOKUP(CONCATENATE($K39,"|",AR$11,"|",$M$5),IuranDSSebelumnya!$I$330:$N$772,5,FALSE),
        IF(COUNTIFS(IuranDSSebelumnya!$J$330:$J$772,$K39,IuranDSSebelumnya!$M$330:$M$772,AR$11,IuranDSSebelumnya!$L$330:$L$772,"&lt;&gt;"&amp;$M$5)&gt;0,
              "Iuran dari Lingkungan lain",
              ""))</f>
        <v/>
      </c>
      <c r="AS39" s="47" t="str">
        <f>IF(COUNTIFS(IuranDSSebelumnya!$J$330:$J$772,$K39,IuranDSSebelumnya!$M$330:$M$772,AS$11,IuranDSSebelumnya!$L$330:$L$772,$M$5)&gt;0,
        VLOOKUP(CONCATENATE($K39,"|",AS$11,"|",$M$5),IuranDSSebelumnya!$I$330:$N$772,5,FALSE),
        IF(COUNTIFS(IuranDSSebelumnya!$J$330:$J$772,$K39,IuranDSSebelumnya!$M$330:$M$772,AS$11,IuranDSSebelumnya!$L$330:$L$772,"&lt;&gt;"&amp;$M$5)&gt;0,
              "Iuran dari Lingkungan lain",
              ""))</f>
        <v/>
      </c>
      <c r="AT39" s="47" t="str">
        <f>IF(COUNTIFS(IuranDSSebelumnya!$J$330:$J$772,$K39,IuranDSSebelumnya!$M$330:$M$772,AT$11,IuranDSSebelumnya!$L$330:$L$772,$M$5)&gt;0,
        VLOOKUP(CONCATENATE($K39,"|",AT$11,"|",$M$5),IuranDSSebelumnya!$I$330:$N$772,5,FALSE),
        IF(COUNTIFS(IuranDSSebelumnya!$J$330:$J$772,$K39,IuranDSSebelumnya!$M$330:$M$772,AT$11,IuranDSSebelumnya!$L$330:$L$772,"&lt;&gt;"&amp;$M$5)&gt;0,
              "Iuran dari Lingkungan lain",
              ""))</f>
        <v/>
      </c>
      <c r="AU39" s="47" t="str">
        <f>IF(COUNTIFS(IuranDSSebelumnya!$J$330:$J$772,$K39,IuranDSSebelumnya!$M$330:$M$772,AU$11,IuranDSSebelumnya!$L$330:$L$772,$M$5)&gt;0,
        VLOOKUP(CONCATENATE($K39,"|",AU$11,"|",$M$5),IuranDSSebelumnya!$I$330:$N$772,5,FALSE),
        IF(COUNTIFS(IuranDSSebelumnya!$J$330:$J$772,$K39,IuranDSSebelumnya!$M$330:$M$772,AU$11,IuranDSSebelumnya!$L$330:$L$772,"&lt;&gt;"&amp;$M$5)&gt;0,
              "Iuran dari Lingkungan lain",
              ""))</f>
        <v/>
      </c>
      <c r="AV39" s="47" t="str">
        <f>IF(COUNTIFS(IuranDSSebelumnya!$J$330:$J$772,$K39,IuranDSSebelumnya!$M$330:$M$772,AV$11,IuranDSSebelumnya!$L$330:$L$772,$M$5)&gt;0,
        VLOOKUP(CONCATENATE($K39,"|",AV$11,"|",$M$5),IuranDSSebelumnya!$I$330:$N$772,5,FALSE),
        IF(COUNTIFS(IuranDSSebelumnya!$J$330:$J$772,$K39,IuranDSSebelumnya!$M$330:$M$772,AV$11,IuranDSSebelumnya!$L$330:$L$772,"&lt;&gt;"&amp;$M$5)&gt;0,
              "Iuran dari Lingkungan lain",
              ""))</f>
        <v/>
      </c>
      <c r="AW39" s="47" t="str">
        <f>IF(COUNTIFS(IuranDSSebelumnya!$J$330:$J$772,$K39,IuranDSSebelumnya!$M$330:$M$772,AW$11,IuranDSSebelumnya!$L$330:$L$772,$M$5)&gt;0,
        VLOOKUP(CONCATENATE($K39,"|",AW$11,"|",$M$5),IuranDSSebelumnya!$I$330:$N$772,5,FALSE),
        IF(COUNTIFS(IuranDSSebelumnya!$J$330:$J$772,$K39,IuranDSSebelumnya!$M$330:$M$772,AW$11,IuranDSSebelumnya!$L$330:$L$772,"&lt;&gt;"&amp;$M$5)&gt;0,
              "Iuran dari Lingkungan lain",
              ""))</f>
        <v/>
      </c>
      <c r="AX39" s="47" t="str">
        <f>IF(COUNTIFS(IuranDSSebelumnya!$J$330:$J$772,$K39,IuranDSSebelumnya!$M$330:$M$772,AX$11,IuranDSSebelumnya!$L$330:$L$772,$M$5)&gt;0,
        VLOOKUP(CONCATENATE($K39,"|",AX$11,"|",$M$5),IuranDSSebelumnya!$I$330:$N$772,5,FALSE),
        IF(COUNTIFS(IuranDSSebelumnya!$J$330:$J$772,$K39,IuranDSSebelumnya!$M$330:$M$772,AX$11,IuranDSSebelumnya!$L$330:$L$772,"&lt;&gt;"&amp;$M$5)&gt;0,
              "Iuran dari Lingkungan lain",
              ""))</f>
        <v/>
      </c>
      <c r="AY39" s="47" t="str">
        <f>IF(COUNTIFS(IuranDSSebelumnya!$J$330:$J$772,$K39,IuranDSSebelumnya!$M$330:$M$772,AY$11,IuranDSSebelumnya!$L$330:$L$772,$M$5)&gt;0,
        VLOOKUP(CONCATENATE($K39,"|",AY$11,"|",$M$5),IuranDSSebelumnya!$I$330:$N$772,5,FALSE),
        IF(COUNTIFS(IuranDSSebelumnya!$J$330:$J$772,$K39,IuranDSSebelumnya!$M$330:$M$772,AY$11,IuranDSSebelumnya!$L$330:$L$772,"&lt;&gt;"&amp;$M$5)&gt;0,
              "Iuran dari Lingkungan lain",
              ""))</f>
        <v/>
      </c>
      <c r="AZ39" s="47" t="str">
        <f>IF(COUNTIFS(IuranDSSebelumnya!$J$330:$J$772,$K39,IuranDSSebelumnya!$M$330:$M$772,AZ$11,IuranDSSebelumnya!$L$330:$L$772,$M$5)&gt;0,
        VLOOKUP(CONCATENATE($K39,"|",AZ$11,"|",$M$5),IuranDSSebelumnya!$I$330:$N$772,5,FALSE),
        IF(COUNTIFS(IuranDSSebelumnya!$J$330:$J$772,$K39,IuranDSSebelumnya!$M$330:$M$772,AZ$11,IuranDSSebelumnya!$L$330:$L$772,"&lt;&gt;"&amp;$M$5)&gt;0,
              "Iuran dari Lingkungan lain",
              ""))</f>
        <v/>
      </c>
      <c r="BA39" s="47" t="str">
        <f>IF(COUNTIFS(IuranDSSebelumnya!$J$330:$J$772,$K39,IuranDSSebelumnya!$M$330:$M$772,BA$11,IuranDSSebelumnya!$L$330:$L$772,$M$5)&gt;0,
        VLOOKUP(CONCATENATE($K39,"|",BA$11,"|",$M$5),IuranDSSebelumnya!$I$330:$N$772,5,FALSE),
        IF(COUNTIFS(IuranDSSebelumnya!$J$330:$J$772,$K39,IuranDSSebelumnya!$M$330:$M$772,BA$11,IuranDSSebelumnya!$L$330:$L$772,"&lt;&gt;"&amp;$M$5)&gt;0,
              "Iuran dari Lingkungan lain",
              ""))</f>
        <v/>
      </c>
      <c r="BB39" s="47" t="str">
        <f>IF(COUNTIFS(IuranDSSebelumnya!$J$330:$J$772,$K39,IuranDSSebelumnya!$M$330:$M$772,BB$11,IuranDSSebelumnya!$L$330:$L$772,$M$5)&gt;0,
        VLOOKUP(CONCATENATE($K39,"|",BB$11,"|",$M$5),IuranDSSebelumnya!$I$330:$N$772,5,FALSE),
        IF(COUNTIFS(IuranDSSebelumnya!$J$330:$J$772,$K39,IuranDSSebelumnya!$M$330:$M$772,BB$11,IuranDSSebelumnya!$L$330:$L$772,"&lt;&gt;"&amp;$M$5)&gt;0,
              "Iuran dari Lingkungan lain",
              ""))</f>
        <v/>
      </c>
      <c r="BC39" s="47" t="str">
        <f>IF(COUNTIFS(IuranDSSebelumnya!$J$330:$J$772,$K39,IuranDSSebelumnya!$M$330:$M$772,BC$11,IuranDSSebelumnya!$L$330:$L$772,$M$5)&gt;0,
        VLOOKUP(CONCATENATE($K39,"|",BC$11,"|",$M$5),IuranDSSebelumnya!$I$330:$N$772,5,FALSE),
        IF(COUNTIFS(IuranDSSebelumnya!$J$330:$J$772,$K39,IuranDSSebelumnya!$M$330:$M$772,BC$11,IuranDSSebelumnya!$L$330:$L$772,"&lt;&gt;"&amp;$M$5)&gt;0,
              "Iuran dari Lingkungan lain",
              ""))</f>
        <v/>
      </c>
      <c r="BD39" s="47" t="str">
        <f>IF(COUNTIFS(IuranDSSebelumnya!$J$330:$J$772,$K39,IuranDSSebelumnya!$M$330:$M$772,BD$11,IuranDSSebelumnya!$L$330:$L$772,$M$5)&gt;0,
        VLOOKUP(CONCATENATE($K39,"|",BD$11,"|",$M$5),IuranDSSebelumnya!$I$330:$N$772,5,FALSE),
        IF(COUNTIFS(IuranDSSebelumnya!$J$330:$J$772,$K39,IuranDSSebelumnya!$M$330:$M$772,BD$11,IuranDSSebelumnya!$L$330:$L$772,"&lt;&gt;"&amp;$M$5)&gt;0,
              "Iuran dari Lingkungan lain",
              ""))</f>
        <v/>
      </c>
      <c r="BE39" s="47" t="str">
        <f>IF(COUNTIFS(IuranDSSebelumnya!$J$330:$J$772,$K39,IuranDSSebelumnya!$M$330:$M$772,BE$11,IuranDSSebelumnya!$L$330:$L$772,$M$5)&gt;0,
        VLOOKUP(CONCATENATE($K39,"|",BE$11,"|",$M$5),IuranDSSebelumnya!$I$330:$N$772,5,FALSE),
        IF(COUNTIFS(IuranDSSebelumnya!$J$330:$J$772,$K39,IuranDSSebelumnya!$M$330:$M$772,BE$11,IuranDSSebelumnya!$L$330:$L$772,"&lt;&gt;"&amp;$M$5)&gt;0,
              "Iuran dari Lingkungan lain",
              ""))</f>
        <v/>
      </c>
      <c r="BF39" s="47" t="str">
        <f>IF(COUNTIFS(IuranDSSebelumnya!$J$330:$J$772,$K39,IuranDSSebelumnya!$M$330:$M$772,BF$11,IuranDSSebelumnya!$L$330:$L$772,$M$5)&gt;0,
        VLOOKUP(CONCATENATE($K39,"|",BF$11,"|",$M$5),IuranDSSebelumnya!$I$330:$N$772,5,FALSE),
        IF(COUNTIFS(IuranDSSebelumnya!$J$330:$J$772,$K39,IuranDSSebelumnya!$M$330:$M$772,BF$11,IuranDSSebelumnya!$L$330:$L$772,"&lt;&gt;"&amp;$M$5)&gt;0,
              "Iuran dari Lingkungan lain",
              ""))</f>
        <v/>
      </c>
      <c r="BG39" s="47" t="str">
        <f>IF(COUNTIFS(IuranDSSebelumnya!$J$330:$J$772,$K39,IuranDSSebelumnya!$M$330:$M$772,BG$11,IuranDSSebelumnya!$L$330:$L$772,$M$5)&gt;0,
        VLOOKUP(CONCATENATE($K39,"|",BG$11,"|",$M$5),IuranDSSebelumnya!$I$330:$N$772,5,FALSE),
        IF(COUNTIFS(IuranDSSebelumnya!$J$330:$J$772,$K39,IuranDSSebelumnya!$M$330:$M$772,BG$11,IuranDSSebelumnya!$L$330:$L$772,"&lt;&gt;"&amp;$M$5)&gt;0,
              "Iuran dari Lingkungan lain",
              ""))</f>
        <v/>
      </c>
      <c r="BH39" s="47" t="str">
        <f>IF(COUNTIFS(IuranDSSebelumnya!$J$330:$J$772,$K39,IuranDSSebelumnya!$M$330:$M$772,BH$11,IuranDSSebelumnya!$L$330:$L$772,$M$5)&gt;0,
        VLOOKUP(CONCATENATE($K39,"|",BH$11,"|",$M$5),IuranDSSebelumnya!$I$330:$N$772,5,FALSE),
        IF(COUNTIFS(IuranDSSebelumnya!$J$330:$J$772,$K39,IuranDSSebelumnya!$M$330:$M$772,BH$11,IuranDSSebelumnya!$L$330:$L$772,"&lt;&gt;"&amp;$M$5)&gt;0,
              "Iuran dari Lingkungan lain",
              ""))</f>
        <v/>
      </c>
      <c r="BI39" s="47" t="str">
        <f>IF(COUNTIFS(IuranDSSebelumnya!$J$330:$J$772,$K39,IuranDSSebelumnya!$M$330:$M$772,BI$11,IuranDSSebelumnya!$L$330:$L$772,$M$5)&gt;0,
        VLOOKUP(CONCATENATE($K39,"|",BI$11,"|",$M$5),IuranDSSebelumnya!$I$330:$N$772,5,FALSE),
        IF(COUNTIFS(IuranDSSebelumnya!$J$330:$J$772,$K39,IuranDSSebelumnya!$M$330:$M$772,BI$11,IuranDSSebelumnya!$L$330:$L$772,"&lt;&gt;"&amp;$M$5)&gt;0,
              "Iuran dari Lingkungan lain",
              ""))</f>
        <v/>
      </c>
      <c r="BJ39" s="47" t="str">
        <f>IF(COUNTIFS(IuranDSSebelumnya!$J$330:$J$772,$K39,IuranDSSebelumnya!$M$330:$M$772,BJ$11,IuranDSSebelumnya!$L$330:$L$772,$M$5)&gt;0,
        VLOOKUP(CONCATENATE($K39,"|",BJ$11,"|",$M$5),IuranDSSebelumnya!$I$330:$N$772,5,FALSE),
        IF(COUNTIFS(IuranDSSebelumnya!$J$330:$J$772,$K39,IuranDSSebelumnya!$M$330:$M$772,BJ$11,IuranDSSebelumnya!$L$330:$L$772,"&lt;&gt;"&amp;$M$5)&gt;0,
              "Iuran dari Lingkungan lain",
              ""))</f>
        <v/>
      </c>
      <c r="BK39" s="47" t="str">
        <f>IF(COUNTIFS(IuranDSSebelumnya!$J$330:$J$772,$K39,IuranDSSebelumnya!$M$330:$M$772,BK$11,IuranDSSebelumnya!$L$330:$L$772,$M$5)&gt;0,
        VLOOKUP(CONCATENATE($K39,"|",BK$11,"|",$M$5),IuranDSSebelumnya!$I$330:$N$772,5,FALSE),
        IF(COUNTIFS(IuranDSSebelumnya!$J$330:$J$772,$K39,IuranDSSebelumnya!$M$330:$M$772,BK$11,IuranDSSebelumnya!$L$330:$L$772,"&lt;&gt;"&amp;$M$5)&gt;0,
              "Iuran dari Lingkungan lain",
              ""))</f>
        <v/>
      </c>
      <c r="BL39" s="47" t="str">
        <f>IF(COUNTIFS(IuranDSSebelumnya!$J$330:$J$772,$K39,IuranDSSebelumnya!$M$330:$M$772,BL$11,IuranDSSebelumnya!$L$330:$L$772,$M$5)&gt;0,
        VLOOKUP(CONCATENATE($K39,"|",BL$11,"|",$M$5),IuranDSSebelumnya!$I$330:$N$772,5,FALSE),
        IF(COUNTIFS(IuranDSSebelumnya!$J$330:$J$772,$K39,IuranDSSebelumnya!$M$330:$M$772,BL$11,IuranDSSebelumnya!$L$330:$L$772,"&lt;&gt;"&amp;$M$5)&gt;0,
              "Iuran dari Lingkungan lain",
              ""))</f>
        <v/>
      </c>
    </row>
    <row r="40" spans="1:64" x14ac:dyDescent="0.35">
      <c r="A40" s="30" t="s">
        <v>6063</v>
      </c>
      <c r="C40" s="30" t="b">
        <f t="shared" ca="1" si="16"/>
        <v>0</v>
      </c>
      <c r="D40" s="30" t="str">
        <f>"""TRUST Nav"",""HSPMTB2016"",""18"",""1"",""KK-05045"""</f>
        <v>"TRUST Nav","HSPMTB2016","18","1","KK-05045"</v>
      </c>
      <c r="H40" s="30">
        <f t="shared" si="17"/>
        <v>0</v>
      </c>
      <c r="J40" s="30">
        <f t="shared" si="18"/>
        <v>28</v>
      </c>
      <c r="K40" s="30" t="str">
        <f>"KK-05045"</f>
        <v>KK-05045</v>
      </c>
      <c r="L40" s="30" t="str">
        <f>"Petrus Jeffry Widjaja"</f>
        <v>Petrus Jeffry Widjaja</v>
      </c>
      <c r="M40" s="30"/>
      <c r="N40" s="3"/>
      <c r="O40" s="3"/>
      <c r="P40" s="3"/>
      <c r="Q40" s="3"/>
      <c r="R40" s="3"/>
      <c r="S40" s="3"/>
      <c r="T40" s="11"/>
      <c r="U40" s="4"/>
      <c r="V40" s="4"/>
      <c r="W40" s="4"/>
      <c r="X40" s="4"/>
      <c r="Y40" s="15"/>
      <c r="Z40" s="4"/>
      <c r="AA40" s="4"/>
      <c r="AB40" s="4"/>
      <c r="AC40" s="4"/>
      <c r="AD40" s="4"/>
      <c r="AE40" s="4"/>
      <c r="AF40" s="11"/>
      <c r="AG40" s="4"/>
      <c r="AH40" s="4"/>
      <c r="AI40" s="4"/>
      <c r="AJ40" s="4"/>
      <c r="AK40" s="4"/>
      <c r="AL40" s="9">
        <f t="shared" si="19"/>
        <v>0</v>
      </c>
      <c r="AO40" s="47" t="str">
        <f>IF(COUNTIFS(IuranDSSebelumnya!$J$330:$J$772,$K40,IuranDSSebelumnya!$M$330:$M$772,AO$11,IuranDSSebelumnya!$L$330:$L$772,$M$5)&gt;0,
        VLOOKUP(CONCATENATE($K40,"|",AO$11,"|",$M$5),IuranDSSebelumnya!$I$330:$N$772,5,FALSE),
        IF(COUNTIFS(IuranDSSebelumnya!$J$330:$J$772,$K40,IuranDSSebelumnya!$M$330:$M$772,AO$11,IuranDSSebelumnya!$L$330:$L$772,"&lt;&gt;"&amp;$M$5)&gt;0,
              "Iuran dari Lingkungan lain",
              ""))</f>
        <v/>
      </c>
      <c r="AP40" s="47" t="str">
        <f>IF(COUNTIFS(IuranDSSebelumnya!$J$330:$J$772,$K40,IuranDSSebelumnya!$M$330:$M$772,AP$11,IuranDSSebelumnya!$L$330:$L$772,$M$5)&gt;0,
        VLOOKUP(CONCATENATE($K40,"|",AP$11,"|",$M$5),IuranDSSebelumnya!$I$330:$N$772,5,FALSE),
        IF(COUNTIFS(IuranDSSebelumnya!$J$330:$J$772,$K40,IuranDSSebelumnya!$M$330:$M$772,AP$11,IuranDSSebelumnya!$L$330:$L$772,"&lt;&gt;"&amp;$M$5)&gt;0,
              "Iuran dari Lingkungan lain",
              ""))</f>
        <v/>
      </c>
      <c r="AQ40" s="47" t="str">
        <f>IF(COUNTIFS(IuranDSSebelumnya!$J$330:$J$772,$K40,IuranDSSebelumnya!$M$330:$M$772,AQ$11,IuranDSSebelumnya!$L$330:$L$772,$M$5)&gt;0,
        VLOOKUP(CONCATENATE($K40,"|",AQ$11,"|",$M$5),IuranDSSebelumnya!$I$330:$N$772,5,FALSE),
        IF(COUNTIFS(IuranDSSebelumnya!$J$330:$J$772,$K40,IuranDSSebelumnya!$M$330:$M$772,AQ$11,IuranDSSebelumnya!$L$330:$L$772,"&lt;&gt;"&amp;$M$5)&gt;0,
              "Iuran dari Lingkungan lain",
              ""))</f>
        <v/>
      </c>
      <c r="AR40" s="47" t="str">
        <f>IF(COUNTIFS(IuranDSSebelumnya!$J$330:$J$772,$K40,IuranDSSebelumnya!$M$330:$M$772,AR$11,IuranDSSebelumnya!$L$330:$L$772,$M$5)&gt;0,
        VLOOKUP(CONCATENATE($K40,"|",AR$11,"|",$M$5),IuranDSSebelumnya!$I$330:$N$772,5,FALSE),
        IF(COUNTIFS(IuranDSSebelumnya!$J$330:$J$772,$K40,IuranDSSebelumnya!$M$330:$M$772,AR$11,IuranDSSebelumnya!$L$330:$L$772,"&lt;&gt;"&amp;$M$5)&gt;0,
              "Iuran dari Lingkungan lain",
              ""))</f>
        <v/>
      </c>
      <c r="AS40" s="47" t="str">
        <f>IF(COUNTIFS(IuranDSSebelumnya!$J$330:$J$772,$K40,IuranDSSebelumnya!$M$330:$M$772,AS$11,IuranDSSebelumnya!$L$330:$L$772,$M$5)&gt;0,
        VLOOKUP(CONCATENATE($K40,"|",AS$11,"|",$M$5),IuranDSSebelumnya!$I$330:$N$772,5,FALSE),
        IF(COUNTIFS(IuranDSSebelumnya!$J$330:$J$772,$K40,IuranDSSebelumnya!$M$330:$M$772,AS$11,IuranDSSebelumnya!$L$330:$L$772,"&lt;&gt;"&amp;$M$5)&gt;0,
              "Iuran dari Lingkungan lain",
              ""))</f>
        <v/>
      </c>
      <c r="AT40" s="47" t="str">
        <f>IF(COUNTIFS(IuranDSSebelumnya!$J$330:$J$772,$K40,IuranDSSebelumnya!$M$330:$M$772,AT$11,IuranDSSebelumnya!$L$330:$L$772,$M$5)&gt;0,
        VLOOKUP(CONCATENATE($K40,"|",AT$11,"|",$M$5),IuranDSSebelumnya!$I$330:$N$772,5,FALSE),
        IF(COUNTIFS(IuranDSSebelumnya!$J$330:$J$772,$K40,IuranDSSebelumnya!$M$330:$M$772,AT$11,IuranDSSebelumnya!$L$330:$L$772,"&lt;&gt;"&amp;$M$5)&gt;0,
              "Iuran dari Lingkungan lain",
              ""))</f>
        <v/>
      </c>
      <c r="AU40" s="47" t="str">
        <f>IF(COUNTIFS(IuranDSSebelumnya!$J$330:$J$772,$K40,IuranDSSebelumnya!$M$330:$M$772,AU$11,IuranDSSebelumnya!$L$330:$L$772,$M$5)&gt;0,
        VLOOKUP(CONCATENATE($K40,"|",AU$11,"|",$M$5),IuranDSSebelumnya!$I$330:$N$772,5,FALSE),
        IF(COUNTIFS(IuranDSSebelumnya!$J$330:$J$772,$K40,IuranDSSebelumnya!$M$330:$M$772,AU$11,IuranDSSebelumnya!$L$330:$L$772,"&lt;&gt;"&amp;$M$5)&gt;0,
              "Iuran dari Lingkungan lain",
              ""))</f>
        <v/>
      </c>
      <c r="AV40" s="47" t="str">
        <f>IF(COUNTIFS(IuranDSSebelumnya!$J$330:$J$772,$K40,IuranDSSebelumnya!$M$330:$M$772,AV$11,IuranDSSebelumnya!$L$330:$L$772,$M$5)&gt;0,
        VLOOKUP(CONCATENATE($K40,"|",AV$11,"|",$M$5),IuranDSSebelumnya!$I$330:$N$772,5,FALSE),
        IF(COUNTIFS(IuranDSSebelumnya!$J$330:$J$772,$K40,IuranDSSebelumnya!$M$330:$M$772,AV$11,IuranDSSebelumnya!$L$330:$L$772,"&lt;&gt;"&amp;$M$5)&gt;0,
              "Iuran dari Lingkungan lain",
              ""))</f>
        <v/>
      </c>
      <c r="AW40" s="47" t="str">
        <f>IF(COUNTIFS(IuranDSSebelumnya!$J$330:$J$772,$K40,IuranDSSebelumnya!$M$330:$M$772,AW$11,IuranDSSebelumnya!$L$330:$L$772,$M$5)&gt;0,
        VLOOKUP(CONCATENATE($K40,"|",AW$11,"|",$M$5),IuranDSSebelumnya!$I$330:$N$772,5,FALSE),
        IF(COUNTIFS(IuranDSSebelumnya!$J$330:$J$772,$K40,IuranDSSebelumnya!$M$330:$M$772,AW$11,IuranDSSebelumnya!$L$330:$L$772,"&lt;&gt;"&amp;$M$5)&gt;0,
              "Iuran dari Lingkungan lain",
              ""))</f>
        <v/>
      </c>
      <c r="AX40" s="47" t="str">
        <f>IF(COUNTIFS(IuranDSSebelumnya!$J$330:$J$772,$K40,IuranDSSebelumnya!$M$330:$M$772,AX$11,IuranDSSebelumnya!$L$330:$L$772,$M$5)&gt;0,
        VLOOKUP(CONCATENATE($K40,"|",AX$11,"|",$M$5),IuranDSSebelumnya!$I$330:$N$772,5,FALSE),
        IF(COUNTIFS(IuranDSSebelumnya!$J$330:$J$772,$K40,IuranDSSebelumnya!$M$330:$M$772,AX$11,IuranDSSebelumnya!$L$330:$L$772,"&lt;&gt;"&amp;$M$5)&gt;0,
              "Iuran dari Lingkungan lain",
              ""))</f>
        <v/>
      </c>
      <c r="AY40" s="47" t="str">
        <f>IF(COUNTIFS(IuranDSSebelumnya!$J$330:$J$772,$K40,IuranDSSebelumnya!$M$330:$M$772,AY$11,IuranDSSebelumnya!$L$330:$L$772,$M$5)&gt;0,
        VLOOKUP(CONCATENATE($K40,"|",AY$11,"|",$M$5),IuranDSSebelumnya!$I$330:$N$772,5,FALSE),
        IF(COUNTIFS(IuranDSSebelumnya!$J$330:$J$772,$K40,IuranDSSebelumnya!$M$330:$M$772,AY$11,IuranDSSebelumnya!$L$330:$L$772,"&lt;&gt;"&amp;$M$5)&gt;0,
              "Iuran dari Lingkungan lain",
              ""))</f>
        <v/>
      </c>
      <c r="AZ40" s="47" t="str">
        <f>IF(COUNTIFS(IuranDSSebelumnya!$J$330:$J$772,$K40,IuranDSSebelumnya!$M$330:$M$772,AZ$11,IuranDSSebelumnya!$L$330:$L$772,$M$5)&gt;0,
        VLOOKUP(CONCATENATE($K40,"|",AZ$11,"|",$M$5),IuranDSSebelumnya!$I$330:$N$772,5,FALSE),
        IF(COUNTIFS(IuranDSSebelumnya!$J$330:$J$772,$K40,IuranDSSebelumnya!$M$330:$M$772,AZ$11,IuranDSSebelumnya!$L$330:$L$772,"&lt;&gt;"&amp;$M$5)&gt;0,
              "Iuran dari Lingkungan lain",
              ""))</f>
        <v/>
      </c>
      <c r="BA40" s="47" t="str">
        <f>IF(COUNTIFS(IuranDSSebelumnya!$J$330:$J$772,$K40,IuranDSSebelumnya!$M$330:$M$772,BA$11,IuranDSSebelumnya!$L$330:$L$772,$M$5)&gt;0,
        VLOOKUP(CONCATENATE($K40,"|",BA$11,"|",$M$5),IuranDSSebelumnya!$I$330:$N$772,5,FALSE),
        IF(COUNTIFS(IuranDSSebelumnya!$J$330:$J$772,$K40,IuranDSSebelumnya!$M$330:$M$772,BA$11,IuranDSSebelumnya!$L$330:$L$772,"&lt;&gt;"&amp;$M$5)&gt;0,
              "Iuran dari Lingkungan lain",
              ""))</f>
        <v/>
      </c>
      <c r="BB40" s="47" t="str">
        <f>IF(COUNTIFS(IuranDSSebelumnya!$J$330:$J$772,$K40,IuranDSSebelumnya!$M$330:$M$772,BB$11,IuranDSSebelumnya!$L$330:$L$772,$M$5)&gt;0,
        VLOOKUP(CONCATENATE($K40,"|",BB$11,"|",$M$5),IuranDSSebelumnya!$I$330:$N$772,5,FALSE),
        IF(COUNTIFS(IuranDSSebelumnya!$J$330:$J$772,$K40,IuranDSSebelumnya!$M$330:$M$772,BB$11,IuranDSSebelumnya!$L$330:$L$772,"&lt;&gt;"&amp;$M$5)&gt;0,
              "Iuran dari Lingkungan lain",
              ""))</f>
        <v/>
      </c>
      <c r="BC40" s="47" t="str">
        <f>IF(COUNTIFS(IuranDSSebelumnya!$J$330:$J$772,$K40,IuranDSSebelumnya!$M$330:$M$772,BC$11,IuranDSSebelumnya!$L$330:$L$772,$M$5)&gt;0,
        VLOOKUP(CONCATENATE($K40,"|",BC$11,"|",$M$5),IuranDSSebelumnya!$I$330:$N$772,5,FALSE),
        IF(COUNTIFS(IuranDSSebelumnya!$J$330:$J$772,$K40,IuranDSSebelumnya!$M$330:$M$772,BC$11,IuranDSSebelumnya!$L$330:$L$772,"&lt;&gt;"&amp;$M$5)&gt;0,
              "Iuran dari Lingkungan lain",
              ""))</f>
        <v/>
      </c>
      <c r="BD40" s="47" t="str">
        <f>IF(COUNTIFS(IuranDSSebelumnya!$J$330:$J$772,$K40,IuranDSSebelumnya!$M$330:$M$772,BD$11,IuranDSSebelumnya!$L$330:$L$772,$M$5)&gt;0,
        VLOOKUP(CONCATENATE($K40,"|",BD$11,"|",$M$5),IuranDSSebelumnya!$I$330:$N$772,5,FALSE),
        IF(COUNTIFS(IuranDSSebelumnya!$J$330:$J$772,$K40,IuranDSSebelumnya!$M$330:$M$772,BD$11,IuranDSSebelumnya!$L$330:$L$772,"&lt;&gt;"&amp;$M$5)&gt;0,
              "Iuran dari Lingkungan lain",
              ""))</f>
        <v/>
      </c>
      <c r="BE40" s="47" t="str">
        <f>IF(COUNTIFS(IuranDSSebelumnya!$J$330:$J$772,$K40,IuranDSSebelumnya!$M$330:$M$772,BE$11,IuranDSSebelumnya!$L$330:$L$772,$M$5)&gt;0,
        VLOOKUP(CONCATENATE($K40,"|",BE$11,"|",$M$5),IuranDSSebelumnya!$I$330:$N$772,5,FALSE),
        IF(COUNTIFS(IuranDSSebelumnya!$J$330:$J$772,$K40,IuranDSSebelumnya!$M$330:$M$772,BE$11,IuranDSSebelumnya!$L$330:$L$772,"&lt;&gt;"&amp;$M$5)&gt;0,
              "Iuran dari Lingkungan lain",
              ""))</f>
        <v/>
      </c>
      <c r="BF40" s="47" t="str">
        <f>IF(COUNTIFS(IuranDSSebelumnya!$J$330:$J$772,$K40,IuranDSSebelumnya!$M$330:$M$772,BF$11,IuranDSSebelumnya!$L$330:$L$772,$M$5)&gt;0,
        VLOOKUP(CONCATENATE($K40,"|",BF$11,"|",$M$5),IuranDSSebelumnya!$I$330:$N$772,5,FALSE),
        IF(COUNTIFS(IuranDSSebelumnya!$J$330:$J$772,$K40,IuranDSSebelumnya!$M$330:$M$772,BF$11,IuranDSSebelumnya!$L$330:$L$772,"&lt;&gt;"&amp;$M$5)&gt;0,
              "Iuran dari Lingkungan lain",
              ""))</f>
        <v/>
      </c>
      <c r="BG40" s="47" t="str">
        <f>IF(COUNTIFS(IuranDSSebelumnya!$J$330:$J$772,$K40,IuranDSSebelumnya!$M$330:$M$772,BG$11,IuranDSSebelumnya!$L$330:$L$772,$M$5)&gt;0,
        VLOOKUP(CONCATENATE($K40,"|",BG$11,"|",$M$5),IuranDSSebelumnya!$I$330:$N$772,5,FALSE),
        IF(COUNTIFS(IuranDSSebelumnya!$J$330:$J$772,$K40,IuranDSSebelumnya!$M$330:$M$772,BG$11,IuranDSSebelumnya!$L$330:$L$772,"&lt;&gt;"&amp;$M$5)&gt;0,
              "Iuran dari Lingkungan lain",
              ""))</f>
        <v/>
      </c>
      <c r="BH40" s="47" t="str">
        <f>IF(COUNTIFS(IuranDSSebelumnya!$J$330:$J$772,$K40,IuranDSSebelumnya!$M$330:$M$772,BH$11,IuranDSSebelumnya!$L$330:$L$772,$M$5)&gt;0,
        VLOOKUP(CONCATENATE($K40,"|",BH$11,"|",$M$5),IuranDSSebelumnya!$I$330:$N$772,5,FALSE),
        IF(COUNTIFS(IuranDSSebelumnya!$J$330:$J$772,$K40,IuranDSSebelumnya!$M$330:$M$772,BH$11,IuranDSSebelumnya!$L$330:$L$772,"&lt;&gt;"&amp;$M$5)&gt;0,
              "Iuran dari Lingkungan lain",
              ""))</f>
        <v/>
      </c>
      <c r="BI40" s="47" t="str">
        <f>IF(COUNTIFS(IuranDSSebelumnya!$J$330:$J$772,$K40,IuranDSSebelumnya!$M$330:$M$772,BI$11,IuranDSSebelumnya!$L$330:$L$772,$M$5)&gt;0,
        VLOOKUP(CONCATENATE($K40,"|",BI$11,"|",$M$5),IuranDSSebelumnya!$I$330:$N$772,5,FALSE),
        IF(COUNTIFS(IuranDSSebelumnya!$J$330:$J$772,$K40,IuranDSSebelumnya!$M$330:$M$772,BI$11,IuranDSSebelumnya!$L$330:$L$772,"&lt;&gt;"&amp;$M$5)&gt;0,
              "Iuran dari Lingkungan lain",
              ""))</f>
        <v/>
      </c>
      <c r="BJ40" s="47" t="str">
        <f>IF(COUNTIFS(IuranDSSebelumnya!$J$330:$J$772,$K40,IuranDSSebelumnya!$M$330:$M$772,BJ$11,IuranDSSebelumnya!$L$330:$L$772,$M$5)&gt;0,
        VLOOKUP(CONCATENATE($K40,"|",BJ$11,"|",$M$5),IuranDSSebelumnya!$I$330:$N$772,5,FALSE),
        IF(COUNTIFS(IuranDSSebelumnya!$J$330:$J$772,$K40,IuranDSSebelumnya!$M$330:$M$772,BJ$11,IuranDSSebelumnya!$L$330:$L$772,"&lt;&gt;"&amp;$M$5)&gt;0,
              "Iuran dari Lingkungan lain",
              ""))</f>
        <v/>
      </c>
      <c r="BK40" s="47" t="str">
        <f>IF(COUNTIFS(IuranDSSebelumnya!$J$330:$J$772,$K40,IuranDSSebelumnya!$M$330:$M$772,BK$11,IuranDSSebelumnya!$L$330:$L$772,$M$5)&gt;0,
        VLOOKUP(CONCATENATE($K40,"|",BK$11,"|",$M$5),IuranDSSebelumnya!$I$330:$N$772,5,FALSE),
        IF(COUNTIFS(IuranDSSebelumnya!$J$330:$J$772,$K40,IuranDSSebelumnya!$M$330:$M$772,BK$11,IuranDSSebelumnya!$L$330:$L$772,"&lt;&gt;"&amp;$M$5)&gt;0,
              "Iuran dari Lingkungan lain",
              ""))</f>
        <v/>
      </c>
      <c r="BL40" s="47" t="str">
        <f>IF(COUNTIFS(IuranDSSebelumnya!$J$330:$J$772,$K40,IuranDSSebelumnya!$M$330:$M$772,BL$11,IuranDSSebelumnya!$L$330:$L$772,$M$5)&gt;0,
        VLOOKUP(CONCATENATE($K40,"|",BL$11,"|",$M$5),IuranDSSebelumnya!$I$330:$N$772,5,FALSE),
        IF(COUNTIFS(IuranDSSebelumnya!$J$330:$J$772,$K40,IuranDSSebelumnya!$M$330:$M$772,BL$11,IuranDSSebelumnya!$L$330:$L$772,"&lt;&gt;"&amp;$M$5)&gt;0,
              "Iuran dari Lingkungan lain",
              ""))</f>
        <v/>
      </c>
    </row>
    <row r="41" spans="1:64" x14ac:dyDescent="0.35">
      <c r="A41" s="30" t="s">
        <v>6063</v>
      </c>
      <c r="C41" s="30" t="b">
        <f t="shared" ca="1" si="16"/>
        <v>0</v>
      </c>
      <c r="D41" s="30" t="str">
        <f>"""TRUST Nav"",""HSPMTB2016"",""18"",""1"",""KK-05053"""</f>
        <v>"TRUST Nav","HSPMTB2016","18","1","KK-05053"</v>
      </c>
      <c r="H41" s="30">
        <f t="shared" si="17"/>
        <v>0</v>
      </c>
      <c r="J41" s="30">
        <f t="shared" si="18"/>
        <v>29</v>
      </c>
      <c r="K41" s="30" t="str">
        <f>"KK-05053"</f>
        <v>KK-05053</v>
      </c>
      <c r="L41" s="30" t="str">
        <f>"Pieter Hiu Stanley Setiono"</f>
        <v>Pieter Hiu Stanley Setiono</v>
      </c>
      <c r="M41" s="30"/>
      <c r="N41" s="3"/>
      <c r="O41" s="3"/>
      <c r="P41" s="3"/>
      <c r="Q41" s="3"/>
      <c r="R41" s="3"/>
      <c r="S41" s="3"/>
      <c r="T41" s="130"/>
      <c r="U41" s="131"/>
      <c r="V41" s="131"/>
      <c r="W41" s="131"/>
      <c r="X41" s="131"/>
      <c r="Y41" s="132"/>
      <c r="Z41" s="131"/>
      <c r="AA41" s="131"/>
      <c r="AB41" s="131"/>
      <c r="AC41" s="131"/>
      <c r="AD41" s="131"/>
      <c r="AE41" s="131"/>
      <c r="AF41" s="11"/>
      <c r="AG41" s="4"/>
      <c r="AH41" s="4"/>
      <c r="AI41" s="4"/>
      <c r="AJ41" s="4"/>
      <c r="AK41" s="4"/>
      <c r="AL41" s="9">
        <f t="shared" si="19"/>
        <v>0</v>
      </c>
      <c r="AO41" s="47" t="str">
        <f>IF(COUNTIFS(IuranDSSebelumnya!$J$330:$J$772,$K41,IuranDSSebelumnya!$M$330:$M$772,AO$11,IuranDSSebelumnya!$L$330:$L$772,$M$5)&gt;0,
        VLOOKUP(CONCATENATE($K41,"|",AO$11,"|",$M$5),IuranDSSebelumnya!$I$330:$N$772,5,FALSE),
        IF(COUNTIFS(IuranDSSebelumnya!$J$330:$J$772,$K41,IuranDSSebelumnya!$M$330:$M$772,AO$11,IuranDSSebelumnya!$L$330:$L$772,"&lt;&gt;"&amp;$M$5)&gt;0,
              "Iuran dari Lingkungan lain",
              ""))</f>
        <v/>
      </c>
      <c r="AP41" s="47" t="str">
        <f>IF(COUNTIFS(IuranDSSebelumnya!$J$330:$J$772,$K41,IuranDSSebelumnya!$M$330:$M$772,AP$11,IuranDSSebelumnya!$L$330:$L$772,$M$5)&gt;0,
        VLOOKUP(CONCATENATE($K41,"|",AP$11,"|",$M$5),IuranDSSebelumnya!$I$330:$N$772,5,FALSE),
        IF(COUNTIFS(IuranDSSebelumnya!$J$330:$J$772,$K41,IuranDSSebelumnya!$M$330:$M$772,AP$11,IuranDSSebelumnya!$L$330:$L$772,"&lt;&gt;"&amp;$M$5)&gt;0,
              "Iuran dari Lingkungan lain",
              ""))</f>
        <v/>
      </c>
      <c r="AQ41" s="47" t="str">
        <f>IF(COUNTIFS(IuranDSSebelumnya!$J$330:$J$772,$K41,IuranDSSebelumnya!$M$330:$M$772,AQ$11,IuranDSSebelumnya!$L$330:$L$772,$M$5)&gt;0,
        VLOOKUP(CONCATENATE($K41,"|",AQ$11,"|",$M$5),IuranDSSebelumnya!$I$330:$N$772,5,FALSE),
        IF(COUNTIFS(IuranDSSebelumnya!$J$330:$J$772,$K41,IuranDSSebelumnya!$M$330:$M$772,AQ$11,IuranDSSebelumnya!$L$330:$L$772,"&lt;&gt;"&amp;$M$5)&gt;0,
              "Iuran dari Lingkungan lain",
              ""))</f>
        <v/>
      </c>
      <c r="AR41" s="47" t="str">
        <f>IF(COUNTIFS(IuranDSSebelumnya!$J$330:$J$772,$K41,IuranDSSebelumnya!$M$330:$M$772,AR$11,IuranDSSebelumnya!$L$330:$L$772,$M$5)&gt;0,
        VLOOKUP(CONCATENATE($K41,"|",AR$11,"|",$M$5),IuranDSSebelumnya!$I$330:$N$772,5,FALSE),
        IF(COUNTIFS(IuranDSSebelumnya!$J$330:$J$772,$K41,IuranDSSebelumnya!$M$330:$M$772,AR$11,IuranDSSebelumnya!$L$330:$L$772,"&lt;&gt;"&amp;$M$5)&gt;0,
              "Iuran dari Lingkungan lain",
              ""))</f>
        <v/>
      </c>
      <c r="AS41" s="47" t="str">
        <f>IF(COUNTIFS(IuranDSSebelumnya!$J$330:$J$772,$K41,IuranDSSebelumnya!$M$330:$M$772,AS$11,IuranDSSebelumnya!$L$330:$L$772,$M$5)&gt;0,
        VLOOKUP(CONCATENATE($K41,"|",AS$11,"|",$M$5),IuranDSSebelumnya!$I$330:$N$772,5,FALSE),
        IF(COUNTIFS(IuranDSSebelumnya!$J$330:$J$772,$K41,IuranDSSebelumnya!$M$330:$M$772,AS$11,IuranDSSebelumnya!$L$330:$L$772,"&lt;&gt;"&amp;$M$5)&gt;0,
              "Iuran dari Lingkungan lain",
              ""))</f>
        <v/>
      </c>
      <c r="AT41" s="47" t="str">
        <f>IF(COUNTIFS(IuranDSSebelumnya!$J$330:$J$772,$K41,IuranDSSebelumnya!$M$330:$M$772,AT$11,IuranDSSebelumnya!$L$330:$L$772,$M$5)&gt;0,
        VLOOKUP(CONCATENATE($K41,"|",AT$11,"|",$M$5),IuranDSSebelumnya!$I$330:$N$772,5,FALSE),
        IF(COUNTIFS(IuranDSSebelumnya!$J$330:$J$772,$K41,IuranDSSebelumnya!$M$330:$M$772,AT$11,IuranDSSebelumnya!$L$330:$L$772,"&lt;&gt;"&amp;$M$5)&gt;0,
              "Iuran dari Lingkungan lain",
              ""))</f>
        <v/>
      </c>
      <c r="AU41" s="47">
        <f>IF(COUNTIFS(IuranDSSebelumnya!$J$330:$J$772,$K41,IuranDSSebelumnya!$M$330:$M$772,AU$11,IuranDSSebelumnya!$L$330:$L$772,$M$5)&gt;0,
        VLOOKUP(CONCATENATE($K41,"|",AU$11,"|",$M$5),IuranDSSebelumnya!$I$330:$N$772,5,FALSE),
        IF(COUNTIFS(IuranDSSebelumnya!$J$330:$J$772,$K41,IuranDSSebelumnya!$M$330:$M$772,AU$11,IuranDSSebelumnya!$L$330:$L$772,"&lt;&gt;"&amp;$M$5)&gt;0,
              "Iuran dari Lingkungan lain",
              ""))</f>
        <v>42370</v>
      </c>
      <c r="AV41" s="47">
        <f>IF(COUNTIFS(IuranDSSebelumnya!$J$330:$J$772,$K41,IuranDSSebelumnya!$M$330:$M$772,AV$11,IuranDSSebelumnya!$L$330:$L$772,$M$5)&gt;0,
        VLOOKUP(CONCATENATE($K41,"|",AV$11,"|",$M$5),IuranDSSebelumnya!$I$330:$N$772,5,FALSE),
        IF(COUNTIFS(IuranDSSebelumnya!$J$330:$J$772,$K41,IuranDSSebelumnya!$M$330:$M$772,AV$11,IuranDSSebelumnya!$L$330:$L$772,"&lt;&gt;"&amp;$M$5)&gt;0,
              "Iuran dari Lingkungan lain",
              ""))</f>
        <v>42401</v>
      </c>
      <c r="AW41" s="47">
        <f>IF(COUNTIFS(IuranDSSebelumnya!$J$330:$J$772,$K41,IuranDSSebelumnya!$M$330:$M$772,AW$11,IuranDSSebelumnya!$L$330:$L$772,$M$5)&gt;0,
        VLOOKUP(CONCATENATE($K41,"|",AW$11,"|",$M$5),IuranDSSebelumnya!$I$330:$N$772,5,FALSE),
        IF(COUNTIFS(IuranDSSebelumnya!$J$330:$J$772,$K41,IuranDSSebelumnya!$M$330:$M$772,AW$11,IuranDSSebelumnya!$L$330:$L$772,"&lt;&gt;"&amp;$M$5)&gt;0,
              "Iuran dari Lingkungan lain",
              ""))</f>
        <v>42430</v>
      </c>
      <c r="AX41" s="47">
        <f>IF(COUNTIFS(IuranDSSebelumnya!$J$330:$J$772,$K41,IuranDSSebelumnya!$M$330:$M$772,AX$11,IuranDSSebelumnya!$L$330:$L$772,$M$5)&gt;0,
        VLOOKUP(CONCATENATE($K41,"|",AX$11,"|",$M$5),IuranDSSebelumnya!$I$330:$N$772,5,FALSE),
        IF(COUNTIFS(IuranDSSebelumnya!$J$330:$J$772,$K41,IuranDSSebelumnya!$M$330:$M$772,AX$11,IuranDSSebelumnya!$L$330:$L$772,"&lt;&gt;"&amp;$M$5)&gt;0,
              "Iuran dari Lingkungan lain",
              ""))</f>
        <v>42461</v>
      </c>
      <c r="AY41" s="47">
        <f>IF(COUNTIFS(IuranDSSebelumnya!$J$330:$J$772,$K41,IuranDSSebelumnya!$M$330:$M$772,AY$11,IuranDSSebelumnya!$L$330:$L$772,$M$5)&gt;0,
        VLOOKUP(CONCATENATE($K41,"|",AY$11,"|",$M$5),IuranDSSebelumnya!$I$330:$N$772,5,FALSE),
        IF(COUNTIFS(IuranDSSebelumnya!$J$330:$J$772,$K41,IuranDSSebelumnya!$M$330:$M$772,AY$11,IuranDSSebelumnya!$L$330:$L$772,"&lt;&gt;"&amp;$M$5)&gt;0,
              "Iuran dari Lingkungan lain",
              ""))</f>
        <v>42491</v>
      </c>
      <c r="AZ41" s="47">
        <f>IF(COUNTIFS(IuranDSSebelumnya!$J$330:$J$772,$K41,IuranDSSebelumnya!$M$330:$M$772,AZ$11,IuranDSSebelumnya!$L$330:$L$772,$M$5)&gt;0,
        VLOOKUP(CONCATENATE($K41,"|",AZ$11,"|",$M$5),IuranDSSebelumnya!$I$330:$N$772,5,FALSE),
        IF(COUNTIFS(IuranDSSebelumnya!$J$330:$J$772,$K41,IuranDSSebelumnya!$M$330:$M$772,AZ$11,IuranDSSebelumnya!$L$330:$L$772,"&lt;&gt;"&amp;$M$5)&gt;0,
              "Iuran dari Lingkungan lain",
              ""))</f>
        <v>42522</v>
      </c>
      <c r="BA41" s="47">
        <f>IF(COUNTIFS(IuranDSSebelumnya!$J$330:$J$772,$K41,IuranDSSebelumnya!$M$330:$M$772,BA$11,IuranDSSebelumnya!$L$330:$L$772,$M$5)&gt;0,
        VLOOKUP(CONCATENATE($K41,"|",BA$11,"|",$M$5),IuranDSSebelumnya!$I$330:$N$772,5,FALSE),
        IF(COUNTIFS(IuranDSSebelumnya!$J$330:$J$772,$K41,IuranDSSebelumnya!$M$330:$M$772,BA$11,IuranDSSebelumnya!$L$330:$L$772,"&lt;&gt;"&amp;$M$5)&gt;0,
              "Iuran dari Lingkungan lain",
              ""))</f>
        <v>42552</v>
      </c>
      <c r="BB41" s="47">
        <f>IF(COUNTIFS(IuranDSSebelumnya!$J$330:$J$772,$K41,IuranDSSebelumnya!$M$330:$M$772,BB$11,IuranDSSebelumnya!$L$330:$L$772,$M$5)&gt;0,
        VLOOKUP(CONCATENATE($K41,"|",BB$11,"|",$M$5),IuranDSSebelumnya!$I$330:$N$772,5,FALSE),
        IF(COUNTIFS(IuranDSSebelumnya!$J$330:$J$772,$K41,IuranDSSebelumnya!$M$330:$M$772,BB$11,IuranDSSebelumnya!$L$330:$L$772,"&lt;&gt;"&amp;$M$5)&gt;0,
              "Iuran dari Lingkungan lain",
              ""))</f>
        <v>42583</v>
      </c>
      <c r="BC41" s="47">
        <f>IF(COUNTIFS(IuranDSSebelumnya!$J$330:$J$772,$K41,IuranDSSebelumnya!$M$330:$M$772,BC$11,IuranDSSebelumnya!$L$330:$L$772,$M$5)&gt;0,
        VLOOKUP(CONCATENATE($K41,"|",BC$11,"|",$M$5),IuranDSSebelumnya!$I$330:$N$772,5,FALSE),
        IF(COUNTIFS(IuranDSSebelumnya!$J$330:$J$772,$K41,IuranDSSebelumnya!$M$330:$M$772,BC$11,IuranDSSebelumnya!$L$330:$L$772,"&lt;&gt;"&amp;$M$5)&gt;0,
              "Iuran dari Lingkungan lain",
              ""))</f>
        <v>42614</v>
      </c>
      <c r="BD41" s="47">
        <f>IF(COUNTIFS(IuranDSSebelumnya!$J$330:$J$772,$K41,IuranDSSebelumnya!$M$330:$M$772,BD$11,IuranDSSebelumnya!$L$330:$L$772,$M$5)&gt;0,
        VLOOKUP(CONCATENATE($K41,"|",BD$11,"|",$M$5),IuranDSSebelumnya!$I$330:$N$772,5,FALSE),
        IF(COUNTIFS(IuranDSSebelumnya!$J$330:$J$772,$K41,IuranDSSebelumnya!$M$330:$M$772,BD$11,IuranDSSebelumnya!$L$330:$L$772,"&lt;&gt;"&amp;$M$5)&gt;0,
              "Iuran dari Lingkungan lain",
              ""))</f>
        <v>42644</v>
      </c>
      <c r="BE41" s="47">
        <f>IF(COUNTIFS(IuranDSSebelumnya!$J$330:$J$772,$K41,IuranDSSebelumnya!$M$330:$M$772,BE$11,IuranDSSebelumnya!$L$330:$L$772,$M$5)&gt;0,
        VLOOKUP(CONCATENATE($K41,"|",BE$11,"|",$M$5),IuranDSSebelumnya!$I$330:$N$772,5,FALSE),
        IF(COUNTIFS(IuranDSSebelumnya!$J$330:$J$772,$K41,IuranDSSebelumnya!$M$330:$M$772,BE$11,IuranDSSebelumnya!$L$330:$L$772,"&lt;&gt;"&amp;$M$5)&gt;0,
              "Iuran dari Lingkungan lain",
              ""))</f>
        <v>42675</v>
      </c>
      <c r="BF41" s="47">
        <f>IF(COUNTIFS(IuranDSSebelumnya!$J$330:$J$772,$K41,IuranDSSebelumnya!$M$330:$M$772,BF$11,IuranDSSebelumnya!$L$330:$L$772,$M$5)&gt;0,
        VLOOKUP(CONCATENATE($K41,"|",BF$11,"|",$M$5),IuranDSSebelumnya!$I$330:$N$772,5,FALSE),
        IF(COUNTIFS(IuranDSSebelumnya!$J$330:$J$772,$K41,IuranDSSebelumnya!$M$330:$M$772,BF$11,IuranDSSebelumnya!$L$330:$L$772,"&lt;&gt;"&amp;$M$5)&gt;0,
              "Iuran dari Lingkungan lain",
              ""))</f>
        <v>42705</v>
      </c>
      <c r="BG41" s="47" t="str">
        <f>IF(COUNTIFS(IuranDSSebelumnya!$J$330:$J$772,$K41,IuranDSSebelumnya!$M$330:$M$772,BG$11,IuranDSSebelumnya!$L$330:$L$772,$M$5)&gt;0,
        VLOOKUP(CONCATENATE($K41,"|",BG$11,"|",$M$5),IuranDSSebelumnya!$I$330:$N$772,5,FALSE),
        IF(COUNTIFS(IuranDSSebelumnya!$J$330:$J$772,$K41,IuranDSSebelumnya!$M$330:$M$772,BG$11,IuranDSSebelumnya!$L$330:$L$772,"&lt;&gt;"&amp;$M$5)&gt;0,
              "Iuran dari Lingkungan lain",
              ""))</f>
        <v/>
      </c>
      <c r="BH41" s="47" t="str">
        <f>IF(COUNTIFS(IuranDSSebelumnya!$J$330:$J$772,$K41,IuranDSSebelumnya!$M$330:$M$772,BH$11,IuranDSSebelumnya!$L$330:$L$772,$M$5)&gt;0,
        VLOOKUP(CONCATENATE($K41,"|",BH$11,"|",$M$5),IuranDSSebelumnya!$I$330:$N$772,5,FALSE),
        IF(COUNTIFS(IuranDSSebelumnya!$J$330:$J$772,$K41,IuranDSSebelumnya!$M$330:$M$772,BH$11,IuranDSSebelumnya!$L$330:$L$772,"&lt;&gt;"&amp;$M$5)&gt;0,
              "Iuran dari Lingkungan lain",
              ""))</f>
        <v/>
      </c>
      <c r="BI41" s="47" t="str">
        <f>IF(COUNTIFS(IuranDSSebelumnya!$J$330:$J$772,$K41,IuranDSSebelumnya!$M$330:$M$772,BI$11,IuranDSSebelumnya!$L$330:$L$772,$M$5)&gt;0,
        VLOOKUP(CONCATENATE($K41,"|",BI$11,"|",$M$5),IuranDSSebelumnya!$I$330:$N$772,5,FALSE),
        IF(COUNTIFS(IuranDSSebelumnya!$J$330:$J$772,$K41,IuranDSSebelumnya!$M$330:$M$772,BI$11,IuranDSSebelumnya!$L$330:$L$772,"&lt;&gt;"&amp;$M$5)&gt;0,
              "Iuran dari Lingkungan lain",
              ""))</f>
        <v/>
      </c>
      <c r="BJ41" s="47" t="str">
        <f>IF(COUNTIFS(IuranDSSebelumnya!$J$330:$J$772,$K41,IuranDSSebelumnya!$M$330:$M$772,BJ$11,IuranDSSebelumnya!$L$330:$L$772,$M$5)&gt;0,
        VLOOKUP(CONCATENATE($K41,"|",BJ$11,"|",$M$5),IuranDSSebelumnya!$I$330:$N$772,5,FALSE),
        IF(COUNTIFS(IuranDSSebelumnya!$J$330:$J$772,$K41,IuranDSSebelumnya!$M$330:$M$772,BJ$11,IuranDSSebelumnya!$L$330:$L$772,"&lt;&gt;"&amp;$M$5)&gt;0,
              "Iuran dari Lingkungan lain",
              ""))</f>
        <v/>
      </c>
      <c r="BK41" s="47" t="str">
        <f>IF(COUNTIFS(IuranDSSebelumnya!$J$330:$J$772,$K41,IuranDSSebelumnya!$M$330:$M$772,BK$11,IuranDSSebelumnya!$L$330:$L$772,$M$5)&gt;0,
        VLOOKUP(CONCATENATE($K41,"|",BK$11,"|",$M$5),IuranDSSebelumnya!$I$330:$N$772,5,FALSE),
        IF(COUNTIFS(IuranDSSebelumnya!$J$330:$J$772,$K41,IuranDSSebelumnya!$M$330:$M$772,BK$11,IuranDSSebelumnya!$L$330:$L$772,"&lt;&gt;"&amp;$M$5)&gt;0,
              "Iuran dari Lingkungan lain",
              ""))</f>
        <v/>
      </c>
      <c r="BL41" s="47" t="str">
        <f>IF(COUNTIFS(IuranDSSebelumnya!$J$330:$J$772,$K41,IuranDSSebelumnya!$M$330:$M$772,BL$11,IuranDSSebelumnya!$L$330:$L$772,$M$5)&gt;0,
        VLOOKUP(CONCATENATE($K41,"|",BL$11,"|",$M$5),IuranDSSebelumnya!$I$330:$N$772,5,FALSE),
        IF(COUNTIFS(IuranDSSebelumnya!$J$330:$J$772,$K41,IuranDSSebelumnya!$M$330:$M$772,BL$11,IuranDSSebelumnya!$L$330:$L$772,"&lt;&gt;"&amp;$M$5)&gt;0,
              "Iuran dari Lingkungan lain",
              ""))</f>
        <v/>
      </c>
    </row>
    <row r="42" spans="1:64" x14ac:dyDescent="0.35">
      <c r="A42" s="30" t="s">
        <v>6063</v>
      </c>
      <c r="C42" s="30" t="b">
        <f t="shared" ca="1" si="16"/>
        <v>0</v>
      </c>
      <c r="D42" s="30" t="str">
        <f>"""TRUST Nav"",""HSPMTB2016"",""18"",""1"",""KK-04616"""</f>
        <v>"TRUST Nav","HSPMTB2016","18","1","KK-04616"</v>
      </c>
      <c r="H42" s="30">
        <f t="shared" si="17"/>
        <v>0</v>
      </c>
      <c r="J42" s="30">
        <f t="shared" si="18"/>
        <v>30</v>
      </c>
      <c r="K42" s="30" t="str">
        <f>"KK-04616"</f>
        <v>KK-04616</v>
      </c>
      <c r="L42" s="30" t="str">
        <f>"Purnama Tanuseputra"</f>
        <v>Purnama Tanuseputra</v>
      </c>
      <c r="M42" s="30"/>
      <c r="N42" s="129"/>
      <c r="O42" s="129"/>
      <c r="P42" s="129"/>
      <c r="Q42" s="129"/>
      <c r="R42" s="129"/>
      <c r="S42" s="129"/>
      <c r="T42" s="130"/>
      <c r="U42" s="131"/>
      <c r="V42" s="131"/>
      <c r="W42" s="131"/>
      <c r="X42" s="131"/>
      <c r="Y42" s="132"/>
      <c r="Z42" s="131"/>
      <c r="AA42" s="131"/>
      <c r="AB42" s="4"/>
      <c r="AC42" s="4"/>
      <c r="AD42" s="4"/>
      <c r="AE42" s="4"/>
      <c r="AF42" s="11"/>
      <c r="AG42" s="4"/>
      <c r="AH42" s="4"/>
      <c r="AI42" s="4"/>
      <c r="AJ42" s="4"/>
      <c r="AK42" s="4"/>
      <c r="AL42" s="9">
        <f t="shared" si="19"/>
        <v>0</v>
      </c>
      <c r="AO42" s="47">
        <f>IF(COUNTIFS(IuranDSSebelumnya!$J$330:$J$772,$K42,IuranDSSebelumnya!$M$330:$M$772,AO$11,IuranDSSebelumnya!$L$330:$L$772,$M$5)&gt;0,
        VLOOKUP(CONCATENATE($K42,"|",AO$11,"|",$M$5),IuranDSSebelumnya!$I$330:$N$772,5,FALSE),
        IF(COUNTIFS(IuranDSSebelumnya!$J$330:$J$772,$K42,IuranDSSebelumnya!$M$330:$M$772,AO$11,IuranDSSebelumnya!$L$330:$L$772,"&lt;&gt;"&amp;$M$5)&gt;0,
              "Iuran dari Lingkungan lain",
              ""))</f>
        <v>42186</v>
      </c>
      <c r="AP42" s="47">
        <f>IF(COUNTIFS(IuranDSSebelumnya!$J$330:$J$772,$K42,IuranDSSebelumnya!$M$330:$M$772,AP$11,IuranDSSebelumnya!$L$330:$L$772,$M$5)&gt;0,
        VLOOKUP(CONCATENATE($K42,"|",AP$11,"|",$M$5),IuranDSSebelumnya!$I$330:$N$772,5,FALSE),
        IF(COUNTIFS(IuranDSSebelumnya!$J$330:$J$772,$K42,IuranDSSebelumnya!$M$330:$M$772,AP$11,IuranDSSebelumnya!$L$330:$L$772,"&lt;&gt;"&amp;$M$5)&gt;0,
              "Iuran dari Lingkungan lain",
              ""))</f>
        <v>42217</v>
      </c>
      <c r="AQ42" s="47">
        <f>IF(COUNTIFS(IuranDSSebelumnya!$J$330:$J$772,$K42,IuranDSSebelumnya!$M$330:$M$772,AQ$11,IuranDSSebelumnya!$L$330:$L$772,$M$5)&gt;0,
        VLOOKUP(CONCATENATE($K42,"|",AQ$11,"|",$M$5),IuranDSSebelumnya!$I$330:$N$772,5,FALSE),
        IF(COUNTIFS(IuranDSSebelumnya!$J$330:$J$772,$K42,IuranDSSebelumnya!$M$330:$M$772,AQ$11,IuranDSSebelumnya!$L$330:$L$772,"&lt;&gt;"&amp;$M$5)&gt;0,
              "Iuran dari Lingkungan lain",
              ""))</f>
        <v>42248</v>
      </c>
      <c r="AR42" s="47">
        <f>IF(COUNTIFS(IuranDSSebelumnya!$J$330:$J$772,$K42,IuranDSSebelumnya!$M$330:$M$772,AR$11,IuranDSSebelumnya!$L$330:$L$772,$M$5)&gt;0,
        VLOOKUP(CONCATENATE($K42,"|",AR$11,"|",$M$5),IuranDSSebelumnya!$I$330:$N$772,5,FALSE),
        IF(COUNTIFS(IuranDSSebelumnya!$J$330:$J$772,$K42,IuranDSSebelumnya!$M$330:$M$772,AR$11,IuranDSSebelumnya!$L$330:$L$772,"&lt;&gt;"&amp;$M$5)&gt;0,
              "Iuran dari Lingkungan lain",
              ""))</f>
        <v>42278</v>
      </c>
      <c r="AS42" s="47">
        <f>IF(COUNTIFS(IuranDSSebelumnya!$J$330:$J$772,$K42,IuranDSSebelumnya!$M$330:$M$772,AS$11,IuranDSSebelumnya!$L$330:$L$772,$M$5)&gt;0,
        VLOOKUP(CONCATENATE($K42,"|",AS$11,"|",$M$5),IuranDSSebelumnya!$I$330:$N$772,5,FALSE),
        IF(COUNTIFS(IuranDSSebelumnya!$J$330:$J$772,$K42,IuranDSSebelumnya!$M$330:$M$772,AS$11,IuranDSSebelumnya!$L$330:$L$772,"&lt;&gt;"&amp;$M$5)&gt;0,
              "Iuran dari Lingkungan lain",
              ""))</f>
        <v>42309</v>
      </c>
      <c r="AT42" s="47">
        <f>IF(COUNTIFS(IuranDSSebelumnya!$J$330:$J$772,$K42,IuranDSSebelumnya!$M$330:$M$772,AT$11,IuranDSSebelumnya!$L$330:$L$772,$M$5)&gt;0,
        VLOOKUP(CONCATENATE($K42,"|",AT$11,"|",$M$5),IuranDSSebelumnya!$I$330:$N$772,5,FALSE),
        IF(COUNTIFS(IuranDSSebelumnya!$J$330:$J$772,$K42,IuranDSSebelumnya!$M$330:$M$772,AT$11,IuranDSSebelumnya!$L$330:$L$772,"&lt;&gt;"&amp;$M$5)&gt;0,
              "Iuran dari Lingkungan lain",
              ""))</f>
        <v>42339</v>
      </c>
      <c r="AU42" s="47">
        <f>IF(COUNTIFS(IuranDSSebelumnya!$J$330:$J$772,$K42,IuranDSSebelumnya!$M$330:$M$772,AU$11,IuranDSSebelumnya!$L$330:$L$772,$M$5)&gt;0,
        VLOOKUP(CONCATENATE($K42,"|",AU$11,"|",$M$5),IuranDSSebelumnya!$I$330:$N$772,5,FALSE),
        IF(COUNTIFS(IuranDSSebelumnya!$J$330:$J$772,$K42,IuranDSSebelumnya!$M$330:$M$772,AU$11,IuranDSSebelumnya!$L$330:$L$772,"&lt;&gt;"&amp;$M$5)&gt;0,
              "Iuran dari Lingkungan lain",
              ""))</f>
        <v>42370</v>
      </c>
      <c r="AV42" s="47">
        <f>IF(COUNTIFS(IuranDSSebelumnya!$J$330:$J$772,$K42,IuranDSSebelumnya!$M$330:$M$772,AV$11,IuranDSSebelumnya!$L$330:$L$772,$M$5)&gt;0,
        VLOOKUP(CONCATENATE($K42,"|",AV$11,"|",$M$5),IuranDSSebelumnya!$I$330:$N$772,5,FALSE),
        IF(COUNTIFS(IuranDSSebelumnya!$J$330:$J$772,$K42,IuranDSSebelumnya!$M$330:$M$772,AV$11,IuranDSSebelumnya!$L$330:$L$772,"&lt;&gt;"&amp;$M$5)&gt;0,
              "Iuran dari Lingkungan lain",
              ""))</f>
        <v>42401</v>
      </c>
      <c r="AW42" s="47">
        <f>IF(COUNTIFS(IuranDSSebelumnya!$J$330:$J$772,$K42,IuranDSSebelumnya!$M$330:$M$772,AW$11,IuranDSSebelumnya!$L$330:$L$772,$M$5)&gt;0,
        VLOOKUP(CONCATENATE($K42,"|",AW$11,"|",$M$5),IuranDSSebelumnya!$I$330:$N$772,5,FALSE),
        IF(COUNTIFS(IuranDSSebelumnya!$J$330:$J$772,$K42,IuranDSSebelumnya!$M$330:$M$772,AW$11,IuranDSSebelumnya!$L$330:$L$772,"&lt;&gt;"&amp;$M$5)&gt;0,
              "Iuran dari Lingkungan lain",
              ""))</f>
        <v>42430</v>
      </c>
      <c r="AX42" s="47">
        <f>IF(COUNTIFS(IuranDSSebelumnya!$J$330:$J$772,$K42,IuranDSSebelumnya!$M$330:$M$772,AX$11,IuranDSSebelumnya!$L$330:$L$772,$M$5)&gt;0,
        VLOOKUP(CONCATENATE($K42,"|",AX$11,"|",$M$5),IuranDSSebelumnya!$I$330:$N$772,5,FALSE),
        IF(COUNTIFS(IuranDSSebelumnya!$J$330:$J$772,$K42,IuranDSSebelumnya!$M$330:$M$772,AX$11,IuranDSSebelumnya!$L$330:$L$772,"&lt;&gt;"&amp;$M$5)&gt;0,
              "Iuran dari Lingkungan lain",
              ""))</f>
        <v>42461</v>
      </c>
      <c r="AY42" s="47">
        <f>IF(COUNTIFS(IuranDSSebelumnya!$J$330:$J$772,$K42,IuranDSSebelumnya!$M$330:$M$772,AY$11,IuranDSSebelumnya!$L$330:$L$772,$M$5)&gt;0,
        VLOOKUP(CONCATENATE($K42,"|",AY$11,"|",$M$5),IuranDSSebelumnya!$I$330:$N$772,5,FALSE),
        IF(COUNTIFS(IuranDSSebelumnya!$J$330:$J$772,$K42,IuranDSSebelumnya!$M$330:$M$772,AY$11,IuranDSSebelumnya!$L$330:$L$772,"&lt;&gt;"&amp;$M$5)&gt;0,
              "Iuran dari Lingkungan lain",
              ""))</f>
        <v>42491</v>
      </c>
      <c r="AZ42" s="47">
        <f>IF(COUNTIFS(IuranDSSebelumnya!$J$330:$J$772,$K42,IuranDSSebelumnya!$M$330:$M$772,AZ$11,IuranDSSebelumnya!$L$330:$L$772,$M$5)&gt;0,
        VLOOKUP(CONCATENATE($K42,"|",AZ$11,"|",$M$5),IuranDSSebelumnya!$I$330:$N$772,5,FALSE),
        IF(COUNTIFS(IuranDSSebelumnya!$J$330:$J$772,$K42,IuranDSSebelumnya!$M$330:$M$772,AZ$11,IuranDSSebelumnya!$L$330:$L$772,"&lt;&gt;"&amp;$M$5)&gt;0,
              "Iuran dari Lingkungan lain",
              ""))</f>
        <v>42522</v>
      </c>
      <c r="BA42" s="47">
        <f>IF(COUNTIFS(IuranDSSebelumnya!$J$330:$J$772,$K42,IuranDSSebelumnya!$M$330:$M$772,BA$11,IuranDSSebelumnya!$L$330:$L$772,$M$5)&gt;0,
        VLOOKUP(CONCATENATE($K42,"|",BA$11,"|",$M$5),IuranDSSebelumnya!$I$330:$N$772,5,FALSE),
        IF(COUNTIFS(IuranDSSebelumnya!$J$330:$J$772,$K42,IuranDSSebelumnya!$M$330:$M$772,BA$11,IuranDSSebelumnya!$L$330:$L$772,"&lt;&gt;"&amp;$M$5)&gt;0,
              "Iuran dari Lingkungan lain",
              ""))</f>
        <v>42552</v>
      </c>
      <c r="BB42" s="47">
        <f>IF(COUNTIFS(IuranDSSebelumnya!$J$330:$J$772,$K42,IuranDSSebelumnya!$M$330:$M$772,BB$11,IuranDSSebelumnya!$L$330:$L$772,$M$5)&gt;0,
        VLOOKUP(CONCATENATE($K42,"|",BB$11,"|",$M$5),IuranDSSebelumnya!$I$330:$N$772,5,FALSE),
        IF(COUNTIFS(IuranDSSebelumnya!$J$330:$J$772,$K42,IuranDSSebelumnya!$M$330:$M$772,BB$11,IuranDSSebelumnya!$L$330:$L$772,"&lt;&gt;"&amp;$M$5)&gt;0,
              "Iuran dari Lingkungan lain",
              ""))</f>
        <v>42583</v>
      </c>
      <c r="BC42" s="47" t="str">
        <f>IF(COUNTIFS(IuranDSSebelumnya!$J$330:$J$772,$K42,IuranDSSebelumnya!$M$330:$M$772,BC$11,IuranDSSebelumnya!$L$330:$L$772,$M$5)&gt;0,
        VLOOKUP(CONCATENATE($K42,"|",BC$11,"|",$M$5),IuranDSSebelumnya!$I$330:$N$772,5,FALSE),
        IF(COUNTIFS(IuranDSSebelumnya!$J$330:$J$772,$K42,IuranDSSebelumnya!$M$330:$M$772,BC$11,IuranDSSebelumnya!$L$330:$L$772,"&lt;&gt;"&amp;$M$5)&gt;0,
              "Iuran dari Lingkungan lain",
              ""))</f>
        <v/>
      </c>
      <c r="BD42" s="47" t="str">
        <f>IF(COUNTIFS(IuranDSSebelumnya!$J$330:$J$772,$K42,IuranDSSebelumnya!$M$330:$M$772,BD$11,IuranDSSebelumnya!$L$330:$L$772,$M$5)&gt;0,
        VLOOKUP(CONCATENATE($K42,"|",BD$11,"|",$M$5),IuranDSSebelumnya!$I$330:$N$772,5,FALSE),
        IF(COUNTIFS(IuranDSSebelumnya!$J$330:$J$772,$K42,IuranDSSebelumnya!$M$330:$M$772,BD$11,IuranDSSebelumnya!$L$330:$L$772,"&lt;&gt;"&amp;$M$5)&gt;0,
              "Iuran dari Lingkungan lain",
              ""))</f>
        <v/>
      </c>
      <c r="BE42" s="47" t="str">
        <f>IF(COUNTIFS(IuranDSSebelumnya!$J$330:$J$772,$K42,IuranDSSebelumnya!$M$330:$M$772,BE$11,IuranDSSebelumnya!$L$330:$L$772,$M$5)&gt;0,
        VLOOKUP(CONCATENATE($K42,"|",BE$11,"|",$M$5),IuranDSSebelumnya!$I$330:$N$772,5,FALSE),
        IF(COUNTIFS(IuranDSSebelumnya!$J$330:$J$772,$K42,IuranDSSebelumnya!$M$330:$M$772,BE$11,IuranDSSebelumnya!$L$330:$L$772,"&lt;&gt;"&amp;$M$5)&gt;0,
              "Iuran dari Lingkungan lain",
              ""))</f>
        <v/>
      </c>
      <c r="BF42" s="47" t="str">
        <f>IF(COUNTIFS(IuranDSSebelumnya!$J$330:$J$772,$K42,IuranDSSebelumnya!$M$330:$M$772,BF$11,IuranDSSebelumnya!$L$330:$L$772,$M$5)&gt;0,
        VLOOKUP(CONCATENATE($K42,"|",BF$11,"|",$M$5),IuranDSSebelumnya!$I$330:$N$772,5,FALSE),
        IF(COUNTIFS(IuranDSSebelumnya!$J$330:$J$772,$K42,IuranDSSebelumnya!$M$330:$M$772,BF$11,IuranDSSebelumnya!$L$330:$L$772,"&lt;&gt;"&amp;$M$5)&gt;0,
              "Iuran dari Lingkungan lain",
              ""))</f>
        <v/>
      </c>
      <c r="BG42" s="47" t="str">
        <f>IF(COUNTIFS(IuranDSSebelumnya!$J$330:$J$772,$K42,IuranDSSebelumnya!$M$330:$M$772,BG$11,IuranDSSebelumnya!$L$330:$L$772,$M$5)&gt;0,
        VLOOKUP(CONCATENATE($K42,"|",BG$11,"|",$M$5),IuranDSSebelumnya!$I$330:$N$772,5,FALSE),
        IF(COUNTIFS(IuranDSSebelumnya!$J$330:$J$772,$K42,IuranDSSebelumnya!$M$330:$M$772,BG$11,IuranDSSebelumnya!$L$330:$L$772,"&lt;&gt;"&amp;$M$5)&gt;0,
              "Iuran dari Lingkungan lain",
              ""))</f>
        <v/>
      </c>
      <c r="BH42" s="47" t="str">
        <f>IF(COUNTIFS(IuranDSSebelumnya!$J$330:$J$772,$K42,IuranDSSebelumnya!$M$330:$M$772,BH$11,IuranDSSebelumnya!$L$330:$L$772,$M$5)&gt;0,
        VLOOKUP(CONCATENATE($K42,"|",BH$11,"|",$M$5),IuranDSSebelumnya!$I$330:$N$772,5,FALSE),
        IF(COUNTIFS(IuranDSSebelumnya!$J$330:$J$772,$K42,IuranDSSebelumnya!$M$330:$M$772,BH$11,IuranDSSebelumnya!$L$330:$L$772,"&lt;&gt;"&amp;$M$5)&gt;0,
              "Iuran dari Lingkungan lain",
              ""))</f>
        <v/>
      </c>
      <c r="BI42" s="47" t="str">
        <f>IF(COUNTIFS(IuranDSSebelumnya!$J$330:$J$772,$K42,IuranDSSebelumnya!$M$330:$M$772,BI$11,IuranDSSebelumnya!$L$330:$L$772,$M$5)&gt;0,
        VLOOKUP(CONCATENATE($K42,"|",BI$11,"|",$M$5),IuranDSSebelumnya!$I$330:$N$772,5,FALSE),
        IF(COUNTIFS(IuranDSSebelumnya!$J$330:$J$772,$K42,IuranDSSebelumnya!$M$330:$M$772,BI$11,IuranDSSebelumnya!$L$330:$L$772,"&lt;&gt;"&amp;$M$5)&gt;0,
              "Iuran dari Lingkungan lain",
              ""))</f>
        <v/>
      </c>
      <c r="BJ42" s="47" t="str">
        <f>IF(COUNTIFS(IuranDSSebelumnya!$J$330:$J$772,$K42,IuranDSSebelumnya!$M$330:$M$772,BJ$11,IuranDSSebelumnya!$L$330:$L$772,$M$5)&gt;0,
        VLOOKUP(CONCATENATE($K42,"|",BJ$11,"|",$M$5),IuranDSSebelumnya!$I$330:$N$772,5,FALSE),
        IF(COUNTIFS(IuranDSSebelumnya!$J$330:$J$772,$K42,IuranDSSebelumnya!$M$330:$M$772,BJ$11,IuranDSSebelumnya!$L$330:$L$772,"&lt;&gt;"&amp;$M$5)&gt;0,
              "Iuran dari Lingkungan lain",
              ""))</f>
        <v/>
      </c>
      <c r="BK42" s="47" t="str">
        <f>IF(COUNTIFS(IuranDSSebelumnya!$J$330:$J$772,$K42,IuranDSSebelumnya!$M$330:$M$772,BK$11,IuranDSSebelumnya!$L$330:$L$772,$M$5)&gt;0,
        VLOOKUP(CONCATENATE($K42,"|",BK$11,"|",$M$5),IuranDSSebelumnya!$I$330:$N$772,5,FALSE),
        IF(COUNTIFS(IuranDSSebelumnya!$J$330:$J$772,$K42,IuranDSSebelumnya!$M$330:$M$772,BK$11,IuranDSSebelumnya!$L$330:$L$772,"&lt;&gt;"&amp;$M$5)&gt;0,
              "Iuran dari Lingkungan lain",
              ""))</f>
        <v/>
      </c>
      <c r="BL42" s="47" t="str">
        <f>IF(COUNTIFS(IuranDSSebelumnya!$J$330:$J$772,$K42,IuranDSSebelumnya!$M$330:$M$772,BL$11,IuranDSSebelumnya!$L$330:$L$772,$M$5)&gt;0,
        VLOOKUP(CONCATENATE($K42,"|",BL$11,"|",$M$5),IuranDSSebelumnya!$I$330:$N$772,5,FALSE),
        IF(COUNTIFS(IuranDSSebelumnya!$J$330:$J$772,$K42,IuranDSSebelumnya!$M$330:$M$772,BL$11,IuranDSSebelumnya!$L$330:$L$772,"&lt;&gt;"&amp;$M$5)&gt;0,
              "Iuran dari Lingkungan lain",
              ""))</f>
        <v/>
      </c>
    </row>
    <row r="43" spans="1:64" x14ac:dyDescent="0.35">
      <c r="A43" s="30" t="s">
        <v>6063</v>
      </c>
      <c r="C43" s="30" t="b">
        <f t="shared" ca="1" si="16"/>
        <v>0</v>
      </c>
      <c r="D43" s="30" t="str">
        <f>"""TRUST Nav"",""HSPMTB2016"",""18"",""1"",""KK-05050"""</f>
        <v>"TRUST Nav","HSPMTB2016","18","1","KK-05050"</v>
      </c>
      <c r="H43" s="30">
        <f t="shared" si="17"/>
        <v>0</v>
      </c>
      <c r="J43" s="30">
        <f t="shared" si="18"/>
        <v>31</v>
      </c>
      <c r="K43" s="30" t="str">
        <f>"KK-05050"</f>
        <v>KK-05050</v>
      </c>
      <c r="L43" s="30" t="str">
        <f>"Robertus Robin Sulaiman"</f>
        <v>Robertus Robin Sulaiman</v>
      </c>
      <c r="M43" s="30"/>
      <c r="N43" s="3"/>
      <c r="O43" s="3"/>
      <c r="P43" s="3"/>
      <c r="Q43" s="3"/>
      <c r="R43" s="3"/>
      <c r="S43" s="3"/>
      <c r="T43" s="11"/>
      <c r="U43" s="4"/>
      <c r="V43" s="4"/>
      <c r="W43" s="4"/>
      <c r="X43" s="4"/>
      <c r="Y43" s="15"/>
      <c r="Z43" s="4"/>
      <c r="AA43" s="4"/>
      <c r="AB43" s="4"/>
      <c r="AC43" s="4"/>
      <c r="AD43" s="4"/>
      <c r="AE43" s="4"/>
      <c r="AF43" s="11"/>
      <c r="AG43" s="4"/>
      <c r="AH43" s="4"/>
      <c r="AI43" s="4"/>
      <c r="AJ43" s="4"/>
      <c r="AK43" s="4"/>
      <c r="AL43" s="9">
        <f t="shared" si="19"/>
        <v>0</v>
      </c>
      <c r="AO43" s="47" t="str">
        <f>IF(COUNTIFS(IuranDSSebelumnya!$J$330:$J$772,$K43,IuranDSSebelumnya!$M$330:$M$772,AO$11,IuranDSSebelumnya!$L$330:$L$772,$M$5)&gt;0,
        VLOOKUP(CONCATENATE($K43,"|",AO$11,"|",$M$5),IuranDSSebelumnya!$I$330:$N$772,5,FALSE),
        IF(COUNTIFS(IuranDSSebelumnya!$J$330:$J$772,$K43,IuranDSSebelumnya!$M$330:$M$772,AO$11,IuranDSSebelumnya!$L$330:$L$772,"&lt;&gt;"&amp;$M$5)&gt;0,
              "Iuran dari Lingkungan lain",
              ""))</f>
        <v/>
      </c>
      <c r="AP43" s="47" t="str">
        <f>IF(COUNTIFS(IuranDSSebelumnya!$J$330:$J$772,$K43,IuranDSSebelumnya!$M$330:$M$772,AP$11,IuranDSSebelumnya!$L$330:$L$772,$M$5)&gt;0,
        VLOOKUP(CONCATENATE($K43,"|",AP$11,"|",$M$5),IuranDSSebelumnya!$I$330:$N$772,5,FALSE),
        IF(COUNTIFS(IuranDSSebelumnya!$J$330:$J$772,$K43,IuranDSSebelumnya!$M$330:$M$772,AP$11,IuranDSSebelumnya!$L$330:$L$772,"&lt;&gt;"&amp;$M$5)&gt;0,
              "Iuran dari Lingkungan lain",
              ""))</f>
        <v/>
      </c>
      <c r="AQ43" s="47" t="str">
        <f>IF(COUNTIFS(IuranDSSebelumnya!$J$330:$J$772,$K43,IuranDSSebelumnya!$M$330:$M$772,AQ$11,IuranDSSebelumnya!$L$330:$L$772,$M$5)&gt;0,
        VLOOKUP(CONCATENATE($K43,"|",AQ$11,"|",$M$5),IuranDSSebelumnya!$I$330:$N$772,5,FALSE),
        IF(COUNTIFS(IuranDSSebelumnya!$J$330:$J$772,$K43,IuranDSSebelumnya!$M$330:$M$772,AQ$11,IuranDSSebelumnya!$L$330:$L$772,"&lt;&gt;"&amp;$M$5)&gt;0,
              "Iuran dari Lingkungan lain",
              ""))</f>
        <v/>
      </c>
      <c r="AR43" s="47" t="str">
        <f>IF(COUNTIFS(IuranDSSebelumnya!$J$330:$J$772,$K43,IuranDSSebelumnya!$M$330:$M$772,AR$11,IuranDSSebelumnya!$L$330:$L$772,$M$5)&gt;0,
        VLOOKUP(CONCATENATE($K43,"|",AR$11,"|",$M$5),IuranDSSebelumnya!$I$330:$N$772,5,FALSE),
        IF(COUNTIFS(IuranDSSebelumnya!$J$330:$J$772,$K43,IuranDSSebelumnya!$M$330:$M$772,AR$11,IuranDSSebelumnya!$L$330:$L$772,"&lt;&gt;"&amp;$M$5)&gt;0,
              "Iuran dari Lingkungan lain",
              ""))</f>
        <v/>
      </c>
      <c r="AS43" s="47" t="str">
        <f>IF(COUNTIFS(IuranDSSebelumnya!$J$330:$J$772,$K43,IuranDSSebelumnya!$M$330:$M$772,AS$11,IuranDSSebelumnya!$L$330:$L$772,$M$5)&gt;0,
        VLOOKUP(CONCATENATE($K43,"|",AS$11,"|",$M$5),IuranDSSebelumnya!$I$330:$N$772,5,FALSE),
        IF(COUNTIFS(IuranDSSebelumnya!$J$330:$J$772,$K43,IuranDSSebelumnya!$M$330:$M$772,AS$11,IuranDSSebelumnya!$L$330:$L$772,"&lt;&gt;"&amp;$M$5)&gt;0,
              "Iuran dari Lingkungan lain",
              ""))</f>
        <v/>
      </c>
      <c r="AT43" s="47" t="str">
        <f>IF(COUNTIFS(IuranDSSebelumnya!$J$330:$J$772,$K43,IuranDSSebelumnya!$M$330:$M$772,AT$11,IuranDSSebelumnya!$L$330:$L$772,$M$5)&gt;0,
        VLOOKUP(CONCATENATE($K43,"|",AT$11,"|",$M$5),IuranDSSebelumnya!$I$330:$N$772,5,FALSE),
        IF(COUNTIFS(IuranDSSebelumnya!$J$330:$J$772,$K43,IuranDSSebelumnya!$M$330:$M$772,AT$11,IuranDSSebelumnya!$L$330:$L$772,"&lt;&gt;"&amp;$M$5)&gt;0,
              "Iuran dari Lingkungan lain",
              ""))</f>
        <v/>
      </c>
      <c r="AU43" s="47" t="str">
        <f>IF(COUNTIFS(IuranDSSebelumnya!$J$330:$J$772,$K43,IuranDSSebelumnya!$M$330:$M$772,AU$11,IuranDSSebelumnya!$L$330:$L$772,$M$5)&gt;0,
        VLOOKUP(CONCATENATE($K43,"|",AU$11,"|",$M$5),IuranDSSebelumnya!$I$330:$N$772,5,FALSE),
        IF(COUNTIFS(IuranDSSebelumnya!$J$330:$J$772,$K43,IuranDSSebelumnya!$M$330:$M$772,AU$11,IuranDSSebelumnya!$L$330:$L$772,"&lt;&gt;"&amp;$M$5)&gt;0,
              "Iuran dari Lingkungan lain",
              ""))</f>
        <v/>
      </c>
      <c r="AV43" s="47" t="str">
        <f>IF(COUNTIFS(IuranDSSebelumnya!$J$330:$J$772,$K43,IuranDSSebelumnya!$M$330:$M$772,AV$11,IuranDSSebelumnya!$L$330:$L$772,$M$5)&gt;0,
        VLOOKUP(CONCATENATE($K43,"|",AV$11,"|",$M$5),IuranDSSebelumnya!$I$330:$N$772,5,FALSE),
        IF(COUNTIFS(IuranDSSebelumnya!$J$330:$J$772,$K43,IuranDSSebelumnya!$M$330:$M$772,AV$11,IuranDSSebelumnya!$L$330:$L$772,"&lt;&gt;"&amp;$M$5)&gt;0,
              "Iuran dari Lingkungan lain",
              ""))</f>
        <v/>
      </c>
      <c r="AW43" s="47" t="str">
        <f>IF(COUNTIFS(IuranDSSebelumnya!$J$330:$J$772,$K43,IuranDSSebelumnya!$M$330:$M$772,AW$11,IuranDSSebelumnya!$L$330:$L$772,$M$5)&gt;0,
        VLOOKUP(CONCATENATE($K43,"|",AW$11,"|",$M$5),IuranDSSebelumnya!$I$330:$N$772,5,FALSE),
        IF(COUNTIFS(IuranDSSebelumnya!$J$330:$J$772,$K43,IuranDSSebelumnya!$M$330:$M$772,AW$11,IuranDSSebelumnya!$L$330:$L$772,"&lt;&gt;"&amp;$M$5)&gt;0,
              "Iuran dari Lingkungan lain",
              ""))</f>
        <v/>
      </c>
      <c r="AX43" s="47" t="str">
        <f>IF(COUNTIFS(IuranDSSebelumnya!$J$330:$J$772,$K43,IuranDSSebelumnya!$M$330:$M$772,AX$11,IuranDSSebelumnya!$L$330:$L$772,$M$5)&gt;0,
        VLOOKUP(CONCATENATE($K43,"|",AX$11,"|",$M$5),IuranDSSebelumnya!$I$330:$N$772,5,FALSE),
        IF(COUNTIFS(IuranDSSebelumnya!$J$330:$J$772,$K43,IuranDSSebelumnya!$M$330:$M$772,AX$11,IuranDSSebelumnya!$L$330:$L$772,"&lt;&gt;"&amp;$M$5)&gt;0,
              "Iuran dari Lingkungan lain",
              ""))</f>
        <v/>
      </c>
      <c r="AY43" s="47" t="str">
        <f>IF(COUNTIFS(IuranDSSebelumnya!$J$330:$J$772,$K43,IuranDSSebelumnya!$M$330:$M$772,AY$11,IuranDSSebelumnya!$L$330:$L$772,$M$5)&gt;0,
        VLOOKUP(CONCATENATE($K43,"|",AY$11,"|",$M$5),IuranDSSebelumnya!$I$330:$N$772,5,FALSE),
        IF(COUNTIFS(IuranDSSebelumnya!$J$330:$J$772,$K43,IuranDSSebelumnya!$M$330:$M$772,AY$11,IuranDSSebelumnya!$L$330:$L$772,"&lt;&gt;"&amp;$M$5)&gt;0,
              "Iuran dari Lingkungan lain",
              ""))</f>
        <v/>
      </c>
      <c r="AZ43" s="47" t="str">
        <f>IF(COUNTIFS(IuranDSSebelumnya!$J$330:$J$772,$K43,IuranDSSebelumnya!$M$330:$M$772,AZ$11,IuranDSSebelumnya!$L$330:$L$772,$M$5)&gt;0,
        VLOOKUP(CONCATENATE($K43,"|",AZ$11,"|",$M$5),IuranDSSebelumnya!$I$330:$N$772,5,FALSE),
        IF(COUNTIFS(IuranDSSebelumnya!$J$330:$J$772,$K43,IuranDSSebelumnya!$M$330:$M$772,AZ$11,IuranDSSebelumnya!$L$330:$L$772,"&lt;&gt;"&amp;$M$5)&gt;0,
              "Iuran dari Lingkungan lain",
              ""))</f>
        <v/>
      </c>
      <c r="BA43" s="47" t="str">
        <f>IF(COUNTIFS(IuranDSSebelumnya!$J$330:$J$772,$K43,IuranDSSebelumnya!$M$330:$M$772,BA$11,IuranDSSebelumnya!$L$330:$L$772,$M$5)&gt;0,
        VLOOKUP(CONCATENATE($K43,"|",BA$11,"|",$M$5),IuranDSSebelumnya!$I$330:$N$772,5,FALSE),
        IF(COUNTIFS(IuranDSSebelumnya!$J$330:$J$772,$K43,IuranDSSebelumnya!$M$330:$M$772,BA$11,IuranDSSebelumnya!$L$330:$L$772,"&lt;&gt;"&amp;$M$5)&gt;0,
              "Iuran dari Lingkungan lain",
              ""))</f>
        <v/>
      </c>
      <c r="BB43" s="47" t="str">
        <f>IF(COUNTIFS(IuranDSSebelumnya!$J$330:$J$772,$K43,IuranDSSebelumnya!$M$330:$M$772,BB$11,IuranDSSebelumnya!$L$330:$L$772,$M$5)&gt;0,
        VLOOKUP(CONCATENATE($K43,"|",BB$11,"|",$M$5),IuranDSSebelumnya!$I$330:$N$772,5,FALSE),
        IF(COUNTIFS(IuranDSSebelumnya!$J$330:$J$772,$K43,IuranDSSebelumnya!$M$330:$M$772,BB$11,IuranDSSebelumnya!$L$330:$L$772,"&lt;&gt;"&amp;$M$5)&gt;0,
              "Iuran dari Lingkungan lain",
              ""))</f>
        <v/>
      </c>
      <c r="BC43" s="47" t="str">
        <f>IF(COUNTIFS(IuranDSSebelumnya!$J$330:$J$772,$K43,IuranDSSebelumnya!$M$330:$M$772,BC$11,IuranDSSebelumnya!$L$330:$L$772,$M$5)&gt;0,
        VLOOKUP(CONCATENATE($K43,"|",BC$11,"|",$M$5),IuranDSSebelumnya!$I$330:$N$772,5,FALSE),
        IF(COUNTIFS(IuranDSSebelumnya!$J$330:$J$772,$K43,IuranDSSebelumnya!$M$330:$M$772,BC$11,IuranDSSebelumnya!$L$330:$L$772,"&lt;&gt;"&amp;$M$5)&gt;0,
              "Iuran dari Lingkungan lain",
              ""))</f>
        <v/>
      </c>
      <c r="BD43" s="47" t="str">
        <f>IF(COUNTIFS(IuranDSSebelumnya!$J$330:$J$772,$K43,IuranDSSebelumnya!$M$330:$M$772,BD$11,IuranDSSebelumnya!$L$330:$L$772,$M$5)&gt;0,
        VLOOKUP(CONCATENATE($K43,"|",BD$11,"|",$M$5),IuranDSSebelumnya!$I$330:$N$772,5,FALSE),
        IF(COUNTIFS(IuranDSSebelumnya!$J$330:$J$772,$K43,IuranDSSebelumnya!$M$330:$M$772,BD$11,IuranDSSebelumnya!$L$330:$L$772,"&lt;&gt;"&amp;$M$5)&gt;0,
              "Iuran dari Lingkungan lain",
              ""))</f>
        <v/>
      </c>
      <c r="BE43" s="47" t="str">
        <f>IF(COUNTIFS(IuranDSSebelumnya!$J$330:$J$772,$K43,IuranDSSebelumnya!$M$330:$M$772,BE$11,IuranDSSebelumnya!$L$330:$L$772,$M$5)&gt;0,
        VLOOKUP(CONCATENATE($K43,"|",BE$11,"|",$M$5),IuranDSSebelumnya!$I$330:$N$772,5,FALSE),
        IF(COUNTIFS(IuranDSSebelumnya!$J$330:$J$772,$K43,IuranDSSebelumnya!$M$330:$M$772,BE$11,IuranDSSebelumnya!$L$330:$L$772,"&lt;&gt;"&amp;$M$5)&gt;0,
              "Iuran dari Lingkungan lain",
              ""))</f>
        <v/>
      </c>
      <c r="BF43" s="47" t="str">
        <f>IF(COUNTIFS(IuranDSSebelumnya!$J$330:$J$772,$K43,IuranDSSebelumnya!$M$330:$M$772,BF$11,IuranDSSebelumnya!$L$330:$L$772,$M$5)&gt;0,
        VLOOKUP(CONCATENATE($K43,"|",BF$11,"|",$M$5),IuranDSSebelumnya!$I$330:$N$772,5,FALSE),
        IF(COUNTIFS(IuranDSSebelumnya!$J$330:$J$772,$K43,IuranDSSebelumnya!$M$330:$M$772,BF$11,IuranDSSebelumnya!$L$330:$L$772,"&lt;&gt;"&amp;$M$5)&gt;0,
              "Iuran dari Lingkungan lain",
              ""))</f>
        <v/>
      </c>
      <c r="BG43" s="47" t="str">
        <f>IF(COUNTIFS(IuranDSSebelumnya!$J$330:$J$772,$K43,IuranDSSebelumnya!$M$330:$M$772,BG$11,IuranDSSebelumnya!$L$330:$L$772,$M$5)&gt;0,
        VLOOKUP(CONCATENATE($K43,"|",BG$11,"|",$M$5),IuranDSSebelumnya!$I$330:$N$772,5,FALSE),
        IF(COUNTIFS(IuranDSSebelumnya!$J$330:$J$772,$K43,IuranDSSebelumnya!$M$330:$M$772,BG$11,IuranDSSebelumnya!$L$330:$L$772,"&lt;&gt;"&amp;$M$5)&gt;0,
              "Iuran dari Lingkungan lain",
              ""))</f>
        <v/>
      </c>
      <c r="BH43" s="47" t="str">
        <f>IF(COUNTIFS(IuranDSSebelumnya!$J$330:$J$772,$K43,IuranDSSebelumnya!$M$330:$M$772,BH$11,IuranDSSebelumnya!$L$330:$L$772,$M$5)&gt;0,
        VLOOKUP(CONCATENATE($K43,"|",BH$11,"|",$M$5),IuranDSSebelumnya!$I$330:$N$772,5,FALSE),
        IF(COUNTIFS(IuranDSSebelumnya!$J$330:$J$772,$K43,IuranDSSebelumnya!$M$330:$M$772,BH$11,IuranDSSebelumnya!$L$330:$L$772,"&lt;&gt;"&amp;$M$5)&gt;0,
              "Iuran dari Lingkungan lain",
              ""))</f>
        <v/>
      </c>
      <c r="BI43" s="47" t="str">
        <f>IF(COUNTIFS(IuranDSSebelumnya!$J$330:$J$772,$K43,IuranDSSebelumnya!$M$330:$M$772,BI$11,IuranDSSebelumnya!$L$330:$L$772,$M$5)&gt;0,
        VLOOKUP(CONCATENATE($K43,"|",BI$11,"|",$M$5),IuranDSSebelumnya!$I$330:$N$772,5,FALSE),
        IF(COUNTIFS(IuranDSSebelumnya!$J$330:$J$772,$K43,IuranDSSebelumnya!$M$330:$M$772,BI$11,IuranDSSebelumnya!$L$330:$L$772,"&lt;&gt;"&amp;$M$5)&gt;0,
              "Iuran dari Lingkungan lain",
              ""))</f>
        <v/>
      </c>
      <c r="BJ43" s="47" t="str">
        <f>IF(COUNTIFS(IuranDSSebelumnya!$J$330:$J$772,$K43,IuranDSSebelumnya!$M$330:$M$772,BJ$11,IuranDSSebelumnya!$L$330:$L$772,$M$5)&gt;0,
        VLOOKUP(CONCATENATE($K43,"|",BJ$11,"|",$M$5),IuranDSSebelumnya!$I$330:$N$772,5,FALSE),
        IF(COUNTIFS(IuranDSSebelumnya!$J$330:$J$772,$K43,IuranDSSebelumnya!$M$330:$M$772,BJ$11,IuranDSSebelumnya!$L$330:$L$772,"&lt;&gt;"&amp;$M$5)&gt;0,
              "Iuran dari Lingkungan lain",
              ""))</f>
        <v/>
      </c>
      <c r="BK43" s="47" t="str">
        <f>IF(COUNTIFS(IuranDSSebelumnya!$J$330:$J$772,$K43,IuranDSSebelumnya!$M$330:$M$772,BK$11,IuranDSSebelumnya!$L$330:$L$772,$M$5)&gt;0,
        VLOOKUP(CONCATENATE($K43,"|",BK$11,"|",$M$5),IuranDSSebelumnya!$I$330:$N$772,5,FALSE),
        IF(COUNTIFS(IuranDSSebelumnya!$J$330:$J$772,$K43,IuranDSSebelumnya!$M$330:$M$772,BK$11,IuranDSSebelumnya!$L$330:$L$772,"&lt;&gt;"&amp;$M$5)&gt;0,
              "Iuran dari Lingkungan lain",
              ""))</f>
        <v/>
      </c>
      <c r="BL43" s="47" t="str">
        <f>IF(COUNTIFS(IuranDSSebelumnya!$J$330:$J$772,$K43,IuranDSSebelumnya!$M$330:$M$772,BL$11,IuranDSSebelumnya!$L$330:$L$772,$M$5)&gt;0,
        VLOOKUP(CONCATENATE($K43,"|",BL$11,"|",$M$5),IuranDSSebelumnya!$I$330:$N$772,5,FALSE),
        IF(COUNTIFS(IuranDSSebelumnya!$J$330:$J$772,$K43,IuranDSSebelumnya!$M$330:$M$772,BL$11,IuranDSSebelumnya!$L$330:$L$772,"&lt;&gt;"&amp;$M$5)&gt;0,
              "Iuran dari Lingkungan lain",
              ""))</f>
        <v/>
      </c>
    </row>
    <row r="44" spans="1:64" x14ac:dyDescent="0.35">
      <c r="A44" s="30" t="s">
        <v>6063</v>
      </c>
      <c r="C44" s="30" t="b">
        <f t="shared" ca="1" si="16"/>
        <v>0</v>
      </c>
      <c r="D44" s="30" t="str">
        <f>"""TRUST Nav"",""HSPMTB2016"",""18"",""1"",""KK-04617"""</f>
        <v>"TRUST Nav","HSPMTB2016","18","1","KK-04617"</v>
      </c>
      <c r="H44" s="30">
        <f t="shared" si="17"/>
        <v>0</v>
      </c>
      <c r="J44" s="30">
        <f t="shared" si="18"/>
        <v>32</v>
      </c>
      <c r="K44" s="30" t="str">
        <f>"KK-04617"</f>
        <v>KK-04617</v>
      </c>
      <c r="L44" s="30" t="str">
        <f>"Rudolf Hendricus Poluan"</f>
        <v>Rudolf Hendricus Poluan</v>
      </c>
      <c r="M44" s="30"/>
      <c r="N44" s="129"/>
      <c r="O44" s="129"/>
      <c r="P44" s="129"/>
      <c r="Q44" s="129"/>
      <c r="R44" s="129"/>
      <c r="S44" s="129"/>
      <c r="T44" s="11"/>
      <c r="U44" s="4"/>
      <c r="V44" s="4"/>
      <c r="W44" s="4"/>
      <c r="X44" s="4"/>
      <c r="Y44" s="15"/>
      <c r="Z44" s="4"/>
      <c r="AA44" s="4"/>
      <c r="AB44" s="4"/>
      <c r="AC44" s="4"/>
      <c r="AD44" s="4"/>
      <c r="AE44" s="4"/>
      <c r="AF44" s="11"/>
      <c r="AG44" s="4"/>
      <c r="AH44" s="4"/>
      <c r="AI44" s="4"/>
      <c r="AJ44" s="4"/>
      <c r="AK44" s="4"/>
      <c r="AL44" s="9">
        <f t="shared" si="19"/>
        <v>0</v>
      </c>
      <c r="AO44" s="47">
        <f>IF(COUNTIFS(IuranDSSebelumnya!$J$330:$J$772,$K44,IuranDSSebelumnya!$M$330:$M$772,AO$11,IuranDSSebelumnya!$L$330:$L$772,$M$5)&gt;0,
        VLOOKUP(CONCATENATE($K44,"|",AO$11,"|",$M$5),IuranDSSebelumnya!$I$330:$N$772,5,FALSE),
        IF(COUNTIFS(IuranDSSebelumnya!$J$330:$J$772,$K44,IuranDSSebelumnya!$M$330:$M$772,AO$11,IuranDSSebelumnya!$L$330:$L$772,"&lt;&gt;"&amp;$M$5)&gt;0,
              "Iuran dari Lingkungan lain",
              ""))</f>
        <v>42186</v>
      </c>
      <c r="AP44" s="47">
        <f>IF(COUNTIFS(IuranDSSebelumnya!$J$330:$J$772,$K44,IuranDSSebelumnya!$M$330:$M$772,AP$11,IuranDSSebelumnya!$L$330:$L$772,$M$5)&gt;0,
        VLOOKUP(CONCATENATE($K44,"|",AP$11,"|",$M$5),IuranDSSebelumnya!$I$330:$N$772,5,FALSE),
        IF(COUNTIFS(IuranDSSebelumnya!$J$330:$J$772,$K44,IuranDSSebelumnya!$M$330:$M$772,AP$11,IuranDSSebelumnya!$L$330:$L$772,"&lt;&gt;"&amp;$M$5)&gt;0,
              "Iuran dari Lingkungan lain",
              ""))</f>
        <v>42217</v>
      </c>
      <c r="AQ44" s="47">
        <f>IF(COUNTIFS(IuranDSSebelumnya!$J$330:$J$772,$K44,IuranDSSebelumnya!$M$330:$M$772,AQ$11,IuranDSSebelumnya!$L$330:$L$772,$M$5)&gt;0,
        VLOOKUP(CONCATENATE($K44,"|",AQ$11,"|",$M$5),IuranDSSebelumnya!$I$330:$N$772,5,FALSE),
        IF(COUNTIFS(IuranDSSebelumnya!$J$330:$J$772,$K44,IuranDSSebelumnya!$M$330:$M$772,AQ$11,IuranDSSebelumnya!$L$330:$L$772,"&lt;&gt;"&amp;$M$5)&gt;0,
              "Iuran dari Lingkungan lain",
              ""))</f>
        <v>42248</v>
      </c>
      <c r="AR44" s="47">
        <f>IF(COUNTIFS(IuranDSSebelumnya!$J$330:$J$772,$K44,IuranDSSebelumnya!$M$330:$M$772,AR$11,IuranDSSebelumnya!$L$330:$L$772,$M$5)&gt;0,
        VLOOKUP(CONCATENATE($K44,"|",AR$11,"|",$M$5),IuranDSSebelumnya!$I$330:$N$772,5,FALSE),
        IF(COUNTIFS(IuranDSSebelumnya!$J$330:$J$772,$K44,IuranDSSebelumnya!$M$330:$M$772,AR$11,IuranDSSebelumnya!$L$330:$L$772,"&lt;&gt;"&amp;$M$5)&gt;0,
              "Iuran dari Lingkungan lain",
              ""))</f>
        <v>42278</v>
      </c>
      <c r="AS44" s="47">
        <f>IF(COUNTIFS(IuranDSSebelumnya!$J$330:$J$772,$K44,IuranDSSebelumnya!$M$330:$M$772,AS$11,IuranDSSebelumnya!$L$330:$L$772,$M$5)&gt;0,
        VLOOKUP(CONCATENATE($K44,"|",AS$11,"|",$M$5),IuranDSSebelumnya!$I$330:$N$772,5,FALSE),
        IF(COUNTIFS(IuranDSSebelumnya!$J$330:$J$772,$K44,IuranDSSebelumnya!$M$330:$M$772,AS$11,IuranDSSebelumnya!$L$330:$L$772,"&lt;&gt;"&amp;$M$5)&gt;0,
              "Iuran dari Lingkungan lain",
              ""))</f>
        <v>42309</v>
      </c>
      <c r="AT44" s="47">
        <f>IF(COUNTIFS(IuranDSSebelumnya!$J$330:$J$772,$K44,IuranDSSebelumnya!$M$330:$M$772,AT$11,IuranDSSebelumnya!$L$330:$L$772,$M$5)&gt;0,
        VLOOKUP(CONCATENATE($K44,"|",AT$11,"|",$M$5),IuranDSSebelumnya!$I$330:$N$772,5,FALSE),
        IF(COUNTIFS(IuranDSSebelumnya!$J$330:$J$772,$K44,IuranDSSebelumnya!$M$330:$M$772,AT$11,IuranDSSebelumnya!$L$330:$L$772,"&lt;&gt;"&amp;$M$5)&gt;0,
              "Iuran dari Lingkungan lain",
              ""))</f>
        <v>42339</v>
      </c>
      <c r="AU44" s="47" t="str">
        <f>IF(COUNTIFS(IuranDSSebelumnya!$J$330:$J$772,$K44,IuranDSSebelumnya!$M$330:$M$772,AU$11,IuranDSSebelumnya!$L$330:$L$772,$M$5)&gt;0,
        VLOOKUP(CONCATENATE($K44,"|",AU$11,"|",$M$5),IuranDSSebelumnya!$I$330:$N$772,5,FALSE),
        IF(COUNTIFS(IuranDSSebelumnya!$J$330:$J$772,$K44,IuranDSSebelumnya!$M$330:$M$772,AU$11,IuranDSSebelumnya!$L$330:$L$772,"&lt;&gt;"&amp;$M$5)&gt;0,
              "Iuran dari Lingkungan lain",
              ""))</f>
        <v/>
      </c>
      <c r="AV44" s="47" t="str">
        <f>IF(COUNTIFS(IuranDSSebelumnya!$J$330:$J$772,$K44,IuranDSSebelumnya!$M$330:$M$772,AV$11,IuranDSSebelumnya!$L$330:$L$772,$M$5)&gt;0,
        VLOOKUP(CONCATENATE($K44,"|",AV$11,"|",$M$5),IuranDSSebelumnya!$I$330:$N$772,5,FALSE),
        IF(COUNTIFS(IuranDSSebelumnya!$J$330:$J$772,$K44,IuranDSSebelumnya!$M$330:$M$772,AV$11,IuranDSSebelumnya!$L$330:$L$772,"&lt;&gt;"&amp;$M$5)&gt;0,
              "Iuran dari Lingkungan lain",
              ""))</f>
        <v/>
      </c>
      <c r="AW44" s="47" t="str">
        <f>IF(COUNTIFS(IuranDSSebelumnya!$J$330:$J$772,$K44,IuranDSSebelumnya!$M$330:$M$772,AW$11,IuranDSSebelumnya!$L$330:$L$772,$M$5)&gt;0,
        VLOOKUP(CONCATENATE($K44,"|",AW$11,"|",$M$5),IuranDSSebelumnya!$I$330:$N$772,5,FALSE),
        IF(COUNTIFS(IuranDSSebelumnya!$J$330:$J$772,$K44,IuranDSSebelumnya!$M$330:$M$772,AW$11,IuranDSSebelumnya!$L$330:$L$772,"&lt;&gt;"&amp;$M$5)&gt;0,
              "Iuran dari Lingkungan lain",
              ""))</f>
        <v/>
      </c>
      <c r="AX44" s="47" t="str">
        <f>IF(COUNTIFS(IuranDSSebelumnya!$J$330:$J$772,$K44,IuranDSSebelumnya!$M$330:$M$772,AX$11,IuranDSSebelumnya!$L$330:$L$772,$M$5)&gt;0,
        VLOOKUP(CONCATENATE($K44,"|",AX$11,"|",$M$5),IuranDSSebelumnya!$I$330:$N$772,5,FALSE),
        IF(COUNTIFS(IuranDSSebelumnya!$J$330:$J$772,$K44,IuranDSSebelumnya!$M$330:$M$772,AX$11,IuranDSSebelumnya!$L$330:$L$772,"&lt;&gt;"&amp;$M$5)&gt;0,
              "Iuran dari Lingkungan lain",
              ""))</f>
        <v/>
      </c>
      <c r="AY44" s="47" t="str">
        <f>IF(COUNTIFS(IuranDSSebelumnya!$J$330:$J$772,$K44,IuranDSSebelumnya!$M$330:$M$772,AY$11,IuranDSSebelumnya!$L$330:$L$772,$M$5)&gt;0,
        VLOOKUP(CONCATENATE($K44,"|",AY$11,"|",$M$5),IuranDSSebelumnya!$I$330:$N$772,5,FALSE),
        IF(COUNTIFS(IuranDSSebelumnya!$J$330:$J$772,$K44,IuranDSSebelumnya!$M$330:$M$772,AY$11,IuranDSSebelumnya!$L$330:$L$772,"&lt;&gt;"&amp;$M$5)&gt;0,
              "Iuran dari Lingkungan lain",
              ""))</f>
        <v/>
      </c>
      <c r="AZ44" s="47" t="str">
        <f>IF(COUNTIFS(IuranDSSebelumnya!$J$330:$J$772,$K44,IuranDSSebelumnya!$M$330:$M$772,AZ$11,IuranDSSebelumnya!$L$330:$L$772,$M$5)&gt;0,
        VLOOKUP(CONCATENATE($K44,"|",AZ$11,"|",$M$5),IuranDSSebelumnya!$I$330:$N$772,5,FALSE),
        IF(COUNTIFS(IuranDSSebelumnya!$J$330:$J$772,$K44,IuranDSSebelumnya!$M$330:$M$772,AZ$11,IuranDSSebelumnya!$L$330:$L$772,"&lt;&gt;"&amp;$M$5)&gt;0,
              "Iuran dari Lingkungan lain",
              ""))</f>
        <v/>
      </c>
      <c r="BA44" s="47" t="str">
        <f>IF(COUNTIFS(IuranDSSebelumnya!$J$330:$J$772,$K44,IuranDSSebelumnya!$M$330:$M$772,BA$11,IuranDSSebelumnya!$L$330:$L$772,$M$5)&gt;0,
        VLOOKUP(CONCATENATE($K44,"|",BA$11,"|",$M$5),IuranDSSebelumnya!$I$330:$N$772,5,FALSE),
        IF(COUNTIFS(IuranDSSebelumnya!$J$330:$J$772,$K44,IuranDSSebelumnya!$M$330:$M$772,BA$11,IuranDSSebelumnya!$L$330:$L$772,"&lt;&gt;"&amp;$M$5)&gt;0,
              "Iuran dari Lingkungan lain",
              ""))</f>
        <v/>
      </c>
      <c r="BB44" s="47" t="str">
        <f>IF(COUNTIFS(IuranDSSebelumnya!$J$330:$J$772,$K44,IuranDSSebelumnya!$M$330:$M$772,BB$11,IuranDSSebelumnya!$L$330:$L$772,$M$5)&gt;0,
        VLOOKUP(CONCATENATE($K44,"|",BB$11,"|",$M$5),IuranDSSebelumnya!$I$330:$N$772,5,FALSE),
        IF(COUNTIFS(IuranDSSebelumnya!$J$330:$J$772,$K44,IuranDSSebelumnya!$M$330:$M$772,BB$11,IuranDSSebelumnya!$L$330:$L$772,"&lt;&gt;"&amp;$M$5)&gt;0,
              "Iuran dari Lingkungan lain",
              ""))</f>
        <v/>
      </c>
      <c r="BC44" s="47" t="str">
        <f>IF(COUNTIFS(IuranDSSebelumnya!$J$330:$J$772,$K44,IuranDSSebelumnya!$M$330:$M$772,BC$11,IuranDSSebelumnya!$L$330:$L$772,$M$5)&gt;0,
        VLOOKUP(CONCATENATE($K44,"|",BC$11,"|",$M$5),IuranDSSebelumnya!$I$330:$N$772,5,FALSE),
        IF(COUNTIFS(IuranDSSebelumnya!$J$330:$J$772,$K44,IuranDSSebelumnya!$M$330:$M$772,BC$11,IuranDSSebelumnya!$L$330:$L$772,"&lt;&gt;"&amp;$M$5)&gt;0,
              "Iuran dari Lingkungan lain",
              ""))</f>
        <v/>
      </c>
      <c r="BD44" s="47" t="str">
        <f>IF(COUNTIFS(IuranDSSebelumnya!$J$330:$J$772,$K44,IuranDSSebelumnya!$M$330:$M$772,BD$11,IuranDSSebelumnya!$L$330:$L$772,$M$5)&gt;0,
        VLOOKUP(CONCATENATE($K44,"|",BD$11,"|",$M$5),IuranDSSebelumnya!$I$330:$N$772,5,FALSE),
        IF(COUNTIFS(IuranDSSebelumnya!$J$330:$J$772,$K44,IuranDSSebelumnya!$M$330:$M$772,BD$11,IuranDSSebelumnya!$L$330:$L$772,"&lt;&gt;"&amp;$M$5)&gt;0,
              "Iuran dari Lingkungan lain",
              ""))</f>
        <v/>
      </c>
      <c r="BE44" s="47" t="str">
        <f>IF(COUNTIFS(IuranDSSebelumnya!$J$330:$J$772,$K44,IuranDSSebelumnya!$M$330:$M$772,BE$11,IuranDSSebelumnya!$L$330:$L$772,$M$5)&gt;0,
        VLOOKUP(CONCATENATE($K44,"|",BE$11,"|",$M$5),IuranDSSebelumnya!$I$330:$N$772,5,FALSE),
        IF(COUNTIFS(IuranDSSebelumnya!$J$330:$J$772,$K44,IuranDSSebelumnya!$M$330:$M$772,BE$11,IuranDSSebelumnya!$L$330:$L$772,"&lt;&gt;"&amp;$M$5)&gt;0,
              "Iuran dari Lingkungan lain",
              ""))</f>
        <v/>
      </c>
      <c r="BF44" s="47" t="str">
        <f>IF(COUNTIFS(IuranDSSebelumnya!$J$330:$J$772,$K44,IuranDSSebelumnya!$M$330:$M$772,BF$11,IuranDSSebelumnya!$L$330:$L$772,$M$5)&gt;0,
        VLOOKUP(CONCATENATE($K44,"|",BF$11,"|",$M$5),IuranDSSebelumnya!$I$330:$N$772,5,FALSE),
        IF(COUNTIFS(IuranDSSebelumnya!$J$330:$J$772,$K44,IuranDSSebelumnya!$M$330:$M$772,BF$11,IuranDSSebelumnya!$L$330:$L$772,"&lt;&gt;"&amp;$M$5)&gt;0,
              "Iuran dari Lingkungan lain",
              ""))</f>
        <v/>
      </c>
      <c r="BG44" s="47" t="str">
        <f>IF(COUNTIFS(IuranDSSebelumnya!$J$330:$J$772,$K44,IuranDSSebelumnya!$M$330:$M$772,BG$11,IuranDSSebelumnya!$L$330:$L$772,$M$5)&gt;0,
        VLOOKUP(CONCATENATE($K44,"|",BG$11,"|",$M$5),IuranDSSebelumnya!$I$330:$N$772,5,FALSE),
        IF(COUNTIFS(IuranDSSebelumnya!$J$330:$J$772,$K44,IuranDSSebelumnya!$M$330:$M$772,BG$11,IuranDSSebelumnya!$L$330:$L$772,"&lt;&gt;"&amp;$M$5)&gt;0,
              "Iuran dari Lingkungan lain",
              ""))</f>
        <v/>
      </c>
      <c r="BH44" s="47" t="str">
        <f>IF(COUNTIFS(IuranDSSebelumnya!$J$330:$J$772,$K44,IuranDSSebelumnya!$M$330:$M$772,BH$11,IuranDSSebelumnya!$L$330:$L$772,$M$5)&gt;0,
        VLOOKUP(CONCATENATE($K44,"|",BH$11,"|",$M$5),IuranDSSebelumnya!$I$330:$N$772,5,FALSE),
        IF(COUNTIFS(IuranDSSebelumnya!$J$330:$J$772,$K44,IuranDSSebelumnya!$M$330:$M$772,BH$11,IuranDSSebelumnya!$L$330:$L$772,"&lt;&gt;"&amp;$M$5)&gt;0,
              "Iuran dari Lingkungan lain",
              ""))</f>
        <v/>
      </c>
      <c r="BI44" s="47" t="str">
        <f>IF(COUNTIFS(IuranDSSebelumnya!$J$330:$J$772,$K44,IuranDSSebelumnya!$M$330:$M$772,BI$11,IuranDSSebelumnya!$L$330:$L$772,$M$5)&gt;0,
        VLOOKUP(CONCATENATE($K44,"|",BI$11,"|",$M$5),IuranDSSebelumnya!$I$330:$N$772,5,FALSE),
        IF(COUNTIFS(IuranDSSebelumnya!$J$330:$J$772,$K44,IuranDSSebelumnya!$M$330:$M$772,BI$11,IuranDSSebelumnya!$L$330:$L$772,"&lt;&gt;"&amp;$M$5)&gt;0,
              "Iuran dari Lingkungan lain",
              ""))</f>
        <v/>
      </c>
      <c r="BJ44" s="47" t="str">
        <f>IF(COUNTIFS(IuranDSSebelumnya!$J$330:$J$772,$K44,IuranDSSebelumnya!$M$330:$M$772,BJ$11,IuranDSSebelumnya!$L$330:$L$772,$M$5)&gt;0,
        VLOOKUP(CONCATENATE($K44,"|",BJ$11,"|",$M$5),IuranDSSebelumnya!$I$330:$N$772,5,FALSE),
        IF(COUNTIFS(IuranDSSebelumnya!$J$330:$J$772,$K44,IuranDSSebelumnya!$M$330:$M$772,BJ$11,IuranDSSebelumnya!$L$330:$L$772,"&lt;&gt;"&amp;$M$5)&gt;0,
              "Iuran dari Lingkungan lain",
              ""))</f>
        <v/>
      </c>
      <c r="BK44" s="47" t="str">
        <f>IF(COUNTIFS(IuranDSSebelumnya!$J$330:$J$772,$K44,IuranDSSebelumnya!$M$330:$M$772,BK$11,IuranDSSebelumnya!$L$330:$L$772,$M$5)&gt;0,
        VLOOKUP(CONCATENATE($K44,"|",BK$11,"|",$M$5),IuranDSSebelumnya!$I$330:$N$772,5,FALSE),
        IF(COUNTIFS(IuranDSSebelumnya!$J$330:$J$772,$K44,IuranDSSebelumnya!$M$330:$M$772,BK$11,IuranDSSebelumnya!$L$330:$L$772,"&lt;&gt;"&amp;$M$5)&gt;0,
              "Iuran dari Lingkungan lain",
              ""))</f>
        <v/>
      </c>
      <c r="BL44" s="47" t="str">
        <f>IF(COUNTIFS(IuranDSSebelumnya!$J$330:$J$772,$K44,IuranDSSebelumnya!$M$330:$M$772,BL$11,IuranDSSebelumnya!$L$330:$L$772,$M$5)&gt;0,
        VLOOKUP(CONCATENATE($K44,"|",BL$11,"|",$M$5),IuranDSSebelumnya!$I$330:$N$772,5,FALSE),
        IF(COUNTIFS(IuranDSSebelumnya!$J$330:$J$772,$K44,IuranDSSebelumnya!$M$330:$M$772,BL$11,IuranDSSebelumnya!$L$330:$L$772,"&lt;&gt;"&amp;$M$5)&gt;0,
              "Iuran dari Lingkungan lain",
              ""))</f>
        <v/>
      </c>
    </row>
    <row r="45" spans="1:64" x14ac:dyDescent="0.35">
      <c r="A45" s="30" t="s">
        <v>6063</v>
      </c>
      <c r="C45" s="30" t="b">
        <f t="shared" ca="1" si="16"/>
        <v>0</v>
      </c>
      <c r="D45" s="30" t="str">
        <f>"""TRUST Nav"",""HSPMTB2016"",""18"",""1"",""KK-04618"""</f>
        <v>"TRUST Nav","HSPMTB2016","18","1","KK-04618"</v>
      </c>
      <c r="H45" s="30">
        <f t="shared" si="17"/>
        <v>0</v>
      </c>
      <c r="J45" s="30">
        <f t="shared" si="18"/>
        <v>33</v>
      </c>
      <c r="K45" s="30" t="str">
        <f>"KK-04618"</f>
        <v>KK-04618</v>
      </c>
      <c r="L45" s="30" t="str">
        <f>"Samuel Munyi Lim"</f>
        <v>Samuel Munyi Lim</v>
      </c>
      <c r="M45" s="30"/>
      <c r="N45" s="3"/>
      <c r="O45" s="3"/>
      <c r="P45" s="3"/>
      <c r="Q45" s="3"/>
      <c r="R45" s="3"/>
      <c r="S45" s="3"/>
      <c r="T45" s="11"/>
      <c r="U45" s="4"/>
      <c r="V45" s="4"/>
      <c r="W45" s="4"/>
      <c r="X45" s="4"/>
      <c r="Y45" s="15"/>
      <c r="Z45" s="4"/>
      <c r="AA45" s="4"/>
      <c r="AB45" s="4"/>
      <c r="AC45" s="4"/>
      <c r="AD45" s="4"/>
      <c r="AE45" s="4"/>
      <c r="AF45" s="11"/>
      <c r="AG45" s="4"/>
      <c r="AH45" s="4"/>
      <c r="AI45" s="4"/>
      <c r="AJ45" s="4"/>
      <c r="AK45" s="4"/>
      <c r="AL45" s="9">
        <f t="shared" si="19"/>
        <v>0</v>
      </c>
      <c r="AO45" s="47" t="str">
        <f>IF(COUNTIFS(IuranDSSebelumnya!$J$330:$J$772,$K45,IuranDSSebelumnya!$M$330:$M$772,AO$11,IuranDSSebelumnya!$L$330:$L$772,$M$5)&gt;0,
        VLOOKUP(CONCATENATE($K45,"|",AO$11,"|",$M$5),IuranDSSebelumnya!$I$330:$N$772,5,FALSE),
        IF(COUNTIFS(IuranDSSebelumnya!$J$330:$J$772,$K45,IuranDSSebelumnya!$M$330:$M$772,AO$11,IuranDSSebelumnya!$L$330:$L$772,"&lt;&gt;"&amp;$M$5)&gt;0,
              "Iuran dari Lingkungan lain",
              ""))</f>
        <v/>
      </c>
      <c r="AP45" s="47" t="str">
        <f>IF(COUNTIFS(IuranDSSebelumnya!$J$330:$J$772,$K45,IuranDSSebelumnya!$M$330:$M$772,AP$11,IuranDSSebelumnya!$L$330:$L$772,$M$5)&gt;0,
        VLOOKUP(CONCATENATE($K45,"|",AP$11,"|",$M$5),IuranDSSebelumnya!$I$330:$N$772,5,FALSE),
        IF(COUNTIFS(IuranDSSebelumnya!$J$330:$J$772,$K45,IuranDSSebelumnya!$M$330:$M$772,AP$11,IuranDSSebelumnya!$L$330:$L$772,"&lt;&gt;"&amp;$M$5)&gt;0,
              "Iuran dari Lingkungan lain",
              ""))</f>
        <v/>
      </c>
      <c r="AQ45" s="47" t="str">
        <f>IF(COUNTIFS(IuranDSSebelumnya!$J$330:$J$772,$K45,IuranDSSebelumnya!$M$330:$M$772,AQ$11,IuranDSSebelumnya!$L$330:$L$772,$M$5)&gt;0,
        VLOOKUP(CONCATENATE($K45,"|",AQ$11,"|",$M$5),IuranDSSebelumnya!$I$330:$N$772,5,FALSE),
        IF(COUNTIFS(IuranDSSebelumnya!$J$330:$J$772,$K45,IuranDSSebelumnya!$M$330:$M$772,AQ$11,IuranDSSebelumnya!$L$330:$L$772,"&lt;&gt;"&amp;$M$5)&gt;0,
              "Iuran dari Lingkungan lain",
              ""))</f>
        <v/>
      </c>
      <c r="AR45" s="47" t="str">
        <f>IF(COUNTIFS(IuranDSSebelumnya!$J$330:$J$772,$K45,IuranDSSebelumnya!$M$330:$M$772,AR$11,IuranDSSebelumnya!$L$330:$L$772,$M$5)&gt;0,
        VLOOKUP(CONCATENATE($K45,"|",AR$11,"|",$M$5),IuranDSSebelumnya!$I$330:$N$772,5,FALSE),
        IF(COUNTIFS(IuranDSSebelumnya!$J$330:$J$772,$K45,IuranDSSebelumnya!$M$330:$M$772,AR$11,IuranDSSebelumnya!$L$330:$L$772,"&lt;&gt;"&amp;$M$5)&gt;0,
              "Iuran dari Lingkungan lain",
              ""))</f>
        <v/>
      </c>
      <c r="AS45" s="47" t="str">
        <f>IF(COUNTIFS(IuranDSSebelumnya!$J$330:$J$772,$K45,IuranDSSebelumnya!$M$330:$M$772,AS$11,IuranDSSebelumnya!$L$330:$L$772,$M$5)&gt;0,
        VLOOKUP(CONCATENATE($K45,"|",AS$11,"|",$M$5),IuranDSSebelumnya!$I$330:$N$772,5,FALSE),
        IF(COUNTIFS(IuranDSSebelumnya!$J$330:$J$772,$K45,IuranDSSebelumnya!$M$330:$M$772,AS$11,IuranDSSebelumnya!$L$330:$L$772,"&lt;&gt;"&amp;$M$5)&gt;0,
              "Iuran dari Lingkungan lain",
              ""))</f>
        <v/>
      </c>
      <c r="AT45" s="47" t="str">
        <f>IF(COUNTIFS(IuranDSSebelumnya!$J$330:$J$772,$K45,IuranDSSebelumnya!$M$330:$M$772,AT$11,IuranDSSebelumnya!$L$330:$L$772,$M$5)&gt;0,
        VLOOKUP(CONCATENATE($K45,"|",AT$11,"|",$M$5),IuranDSSebelumnya!$I$330:$N$772,5,FALSE),
        IF(COUNTIFS(IuranDSSebelumnya!$J$330:$J$772,$K45,IuranDSSebelumnya!$M$330:$M$772,AT$11,IuranDSSebelumnya!$L$330:$L$772,"&lt;&gt;"&amp;$M$5)&gt;0,
              "Iuran dari Lingkungan lain",
              ""))</f>
        <v/>
      </c>
      <c r="AU45" s="47" t="str">
        <f>IF(COUNTIFS(IuranDSSebelumnya!$J$330:$J$772,$K45,IuranDSSebelumnya!$M$330:$M$772,AU$11,IuranDSSebelumnya!$L$330:$L$772,$M$5)&gt;0,
        VLOOKUP(CONCATENATE($K45,"|",AU$11,"|",$M$5),IuranDSSebelumnya!$I$330:$N$772,5,FALSE),
        IF(COUNTIFS(IuranDSSebelumnya!$J$330:$J$772,$K45,IuranDSSebelumnya!$M$330:$M$772,AU$11,IuranDSSebelumnya!$L$330:$L$772,"&lt;&gt;"&amp;$M$5)&gt;0,
              "Iuran dari Lingkungan lain",
              ""))</f>
        <v/>
      </c>
      <c r="AV45" s="47" t="str">
        <f>IF(COUNTIFS(IuranDSSebelumnya!$J$330:$J$772,$K45,IuranDSSebelumnya!$M$330:$M$772,AV$11,IuranDSSebelumnya!$L$330:$L$772,$M$5)&gt;0,
        VLOOKUP(CONCATENATE($K45,"|",AV$11,"|",$M$5),IuranDSSebelumnya!$I$330:$N$772,5,FALSE),
        IF(COUNTIFS(IuranDSSebelumnya!$J$330:$J$772,$K45,IuranDSSebelumnya!$M$330:$M$772,AV$11,IuranDSSebelumnya!$L$330:$L$772,"&lt;&gt;"&amp;$M$5)&gt;0,
              "Iuran dari Lingkungan lain",
              ""))</f>
        <v/>
      </c>
      <c r="AW45" s="47" t="str">
        <f>IF(COUNTIFS(IuranDSSebelumnya!$J$330:$J$772,$K45,IuranDSSebelumnya!$M$330:$M$772,AW$11,IuranDSSebelumnya!$L$330:$L$772,$M$5)&gt;0,
        VLOOKUP(CONCATENATE($K45,"|",AW$11,"|",$M$5),IuranDSSebelumnya!$I$330:$N$772,5,FALSE),
        IF(COUNTIFS(IuranDSSebelumnya!$J$330:$J$772,$K45,IuranDSSebelumnya!$M$330:$M$772,AW$11,IuranDSSebelumnya!$L$330:$L$772,"&lt;&gt;"&amp;$M$5)&gt;0,
              "Iuran dari Lingkungan lain",
              ""))</f>
        <v/>
      </c>
      <c r="AX45" s="47" t="str">
        <f>IF(COUNTIFS(IuranDSSebelumnya!$J$330:$J$772,$K45,IuranDSSebelumnya!$M$330:$M$772,AX$11,IuranDSSebelumnya!$L$330:$L$772,$M$5)&gt;0,
        VLOOKUP(CONCATENATE($K45,"|",AX$11,"|",$M$5),IuranDSSebelumnya!$I$330:$N$772,5,FALSE),
        IF(COUNTIFS(IuranDSSebelumnya!$J$330:$J$772,$K45,IuranDSSebelumnya!$M$330:$M$772,AX$11,IuranDSSebelumnya!$L$330:$L$772,"&lt;&gt;"&amp;$M$5)&gt;0,
              "Iuran dari Lingkungan lain",
              ""))</f>
        <v/>
      </c>
      <c r="AY45" s="47" t="str">
        <f>IF(COUNTIFS(IuranDSSebelumnya!$J$330:$J$772,$K45,IuranDSSebelumnya!$M$330:$M$772,AY$11,IuranDSSebelumnya!$L$330:$L$772,$M$5)&gt;0,
        VLOOKUP(CONCATENATE($K45,"|",AY$11,"|",$M$5),IuranDSSebelumnya!$I$330:$N$772,5,FALSE),
        IF(COUNTIFS(IuranDSSebelumnya!$J$330:$J$772,$K45,IuranDSSebelumnya!$M$330:$M$772,AY$11,IuranDSSebelumnya!$L$330:$L$772,"&lt;&gt;"&amp;$M$5)&gt;0,
              "Iuran dari Lingkungan lain",
              ""))</f>
        <v/>
      </c>
      <c r="AZ45" s="47" t="str">
        <f>IF(COUNTIFS(IuranDSSebelumnya!$J$330:$J$772,$K45,IuranDSSebelumnya!$M$330:$M$772,AZ$11,IuranDSSebelumnya!$L$330:$L$772,$M$5)&gt;0,
        VLOOKUP(CONCATENATE($K45,"|",AZ$11,"|",$M$5),IuranDSSebelumnya!$I$330:$N$772,5,FALSE),
        IF(COUNTIFS(IuranDSSebelumnya!$J$330:$J$772,$K45,IuranDSSebelumnya!$M$330:$M$772,AZ$11,IuranDSSebelumnya!$L$330:$L$772,"&lt;&gt;"&amp;$M$5)&gt;0,
              "Iuran dari Lingkungan lain",
              ""))</f>
        <v/>
      </c>
      <c r="BA45" s="47" t="str">
        <f>IF(COUNTIFS(IuranDSSebelumnya!$J$330:$J$772,$K45,IuranDSSebelumnya!$M$330:$M$772,BA$11,IuranDSSebelumnya!$L$330:$L$772,$M$5)&gt;0,
        VLOOKUP(CONCATENATE($K45,"|",BA$11,"|",$M$5),IuranDSSebelumnya!$I$330:$N$772,5,FALSE),
        IF(COUNTIFS(IuranDSSebelumnya!$J$330:$J$772,$K45,IuranDSSebelumnya!$M$330:$M$772,BA$11,IuranDSSebelumnya!$L$330:$L$772,"&lt;&gt;"&amp;$M$5)&gt;0,
              "Iuran dari Lingkungan lain",
              ""))</f>
        <v/>
      </c>
      <c r="BB45" s="47" t="str">
        <f>IF(COUNTIFS(IuranDSSebelumnya!$J$330:$J$772,$K45,IuranDSSebelumnya!$M$330:$M$772,BB$11,IuranDSSebelumnya!$L$330:$L$772,$M$5)&gt;0,
        VLOOKUP(CONCATENATE($K45,"|",BB$11,"|",$M$5),IuranDSSebelumnya!$I$330:$N$772,5,FALSE),
        IF(COUNTIFS(IuranDSSebelumnya!$J$330:$J$772,$K45,IuranDSSebelumnya!$M$330:$M$772,BB$11,IuranDSSebelumnya!$L$330:$L$772,"&lt;&gt;"&amp;$M$5)&gt;0,
              "Iuran dari Lingkungan lain",
              ""))</f>
        <v/>
      </c>
      <c r="BC45" s="47" t="str">
        <f>IF(COUNTIFS(IuranDSSebelumnya!$J$330:$J$772,$K45,IuranDSSebelumnya!$M$330:$M$772,BC$11,IuranDSSebelumnya!$L$330:$L$772,$M$5)&gt;0,
        VLOOKUP(CONCATENATE($K45,"|",BC$11,"|",$M$5),IuranDSSebelumnya!$I$330:$N$772,5,FALSE),
        IF(COUNTIFS(IuranDSSebelumnya!$J$330:$J$772,$K45,IuranDSSebelumnya!$M$330:$M$772,BC$11,IuranDSSebelumnya!$L$330:$L$772,"&lt;&gt;"&amp;$M$5)&gt;0,
              "Iuran dari Lingkungan lain",
              ""))</f>
        <v/>
      </c>
      <c r="BD45" s="47" t="str">
        <f>IF(COUNTIFS(IuranDSSebelumnya!$J$330:$J$772,$K45,IuranDSSebelumnya!$M$330:$M$772,BD$11,IuranDSSebelumnya!$L$330:$L$772,$M$5)&gt;0,
        VLOOKUP(CONCATENATE($K45,"|",BD$11,"|",$M$5),IuranDSSebelumnya!$I$330:$N$772,5,FALSE),
        IF(COUNTIFS(IuranDSSebelumnya!$J$330:$J$772,$K45,IuranDSSebelumnya!$M$330:$M$772,BD$11,IuranDSSebelumnya!$L$330:$L$772,"&lt;&gt;"&amp;$M$5)&gt;0,
              "Iuran dari Lingkungan lain",
              ""))</f>
        <v/>
      </c>
      <c r="BE45" s="47" t="str">
        <f>IF(COUNTIFS(IuranDSSebelumnya!$J$330:$J$772,$K45,IuranDSSebelumnya!$M$330:$M$772,BE$11,IuranDSSebelumnya!$L$330:$L$772,$M$5)&gt;0,
        VLOOKUP(CONCATENATE($K45,"|",BE$11,"|",$M$5),IuranDSSebelumnya!$I$330:$N$772,5,FALSE),
        IF(COUNTIFS(IuranDSSebelumnya!$J$330:$J$772,$K45,IuranDSSebelumnya!$M$330:$M$772,BE$11,IuranDSSebelumnya!$L$330:$L$772,"&lt;&gt;"&amp;$M$5)&gt;0,
              "Iuran dari Lingkungan lain",
              ""))</f>
        <v/>
      </c>
      <c r="BF45" s="47" t="str">
        <f>IF(COUNTIFS(IuranDSSebelumnya!$J$330:$J$772,$K45,IuranDSSebelumnya!$M$330:$M$772,BF$11,IuranDSSebelumnya!$L$330:$L$772,$M$5)&gt;0,
        VLOOKUP(CONCATENATE($K45,"|",BF$11,"|",$M$5),IuranDSSebelumnya!$I$330:$N$772,5,FALSE),
        IF(COUNTIFS(IuranDSSebelumnya!$J$330:$J$772,$K45,IuranDSSebelumnya!$M$330:$M$772,BF$11,IuranDSSebelumnya!$L$330:$L$772,"&lt;&gt;"&amp;$M$5)&gt;0,
              "Iuran dari Lingkungan lain",
              ""))</f>
        <v/>
      </c>
      <c r="BG45" s="47" t="str">
        <f>IF(COUNTIFS(IuranDSSebelumnya!$J$330:$J$772,$K45,IuranDSSebelumnya!$M$330:$M$772,BG$11,IuranDSSebelumnya!$L$330:$L$772,$M$5)&gt;0,
        VLOOKUP(CONCATENATE($K45,"|",BG$11,"|",$M$5),IuranDSSebelumnya!$I$330:$N$772,5,FALSE),
        IF(COUNTIFS(IuranDSSebelumnya!$J$330:$J$772,$K45,IuranDSSebelumnya!$M$330:$M$772,BG$11,IuranDSSebelumnya!$L$330:$L$772,"&lt;&gt;"&amp;$M$5)&gt;0,
              "Iuran dari Lingkungan lain",
              ""))</f>
        <v/>
      </c>
      <c r="BH45" s="47" t="str">
        <f>IF(COUNTIFS(IuranDSSebelumnya!$J$330:$J$772,$K45,IuranDSSebelumnya!$M$330:$M$772,BH$11,IuranDSSebelumnya!$L$330:$L$772,$M$5)&gt;0,
        VLOOKUP(CONCATENATE($K45,"|",BH$11,"|",$M$5),IuranDSSebelumnya!$I$330:$N$772,5,FALSE),
        IF(COUNTIFS(IuranDSSebelumnya!$J$330:$J$772,$K45,IuranDSSebelumnya!$M$330:$M$772,BH$11,IuranDSSebelumnya!$L$330:$L$772,"&lt;&gt;"&amp;$M$5)&gt;0,
              "Iuran dari Lingkungan lain",
              ""))</f>
        <v/>
      </c>
      <c r="BI45" s="47" t="str">
        <f>IF(COUNTIFS(IuranDSSebelumnya!$J$330:$J$772,$K45,IuranDSSebelumnya!$M$330:$M$772,BI$11,IuranDSSebelumnya!$L$330:$L$772,$M$5)&gt;0,
        VLOOKUP(CONCATENATE($K45,"|",BI$11,"|",$M$5),IuranDSSebelumnya!$I$330:$N$772,5,FALSE),
        IF(COUNTIFS(IuranDSSebelumnya!$J$330:$J$772,$K45,IuranDSSebelumnya!$M$330:$M$772,BI$11,IuranDSSebelumnya!$L$330:$L$772,"&lt;&gt;"&amp;$M$5)&gt;0,
              "Iuran dari Lingkungan lain",
              ""))</f>
        <v/>
      </c>
      <c r="BJ45" s="47" t="str">
        <f>IF(COUNTIFS(IuranDSSebelumnya!$J$330:$J$772,$K45,IuranDSSebelumnya!$M$330:$M$772,BJ$11,IuranDSSebelumnya!$L$330:$L$772,$M$5)&gt;0,
        VLOOKUP(CONCATENATE($K45,"|",BJ$11,"|",$M$5),IuranDSSebelumnya!$I$330:$N$772,5,FALSE),
        IF(COUNTIFS(IuranDSSebelumnya!$J$330:$J$772,$K45,IuranDSSebelumnya!$M$330:$M$772,BJ$11,IuranDSSebelumnya!$L$330:$L$772,"&lt;&gt;"&amp;$M$5)&gt;0,
              "Iuran dari Lingkungan lain",
              ""))</f>
        <v/>
      </c>
      <c r="BK45" s="47" t="str">
        <f>IF(COUNTIFS(IuranDSSebelumnya!$J$330:$J$772,$K45,IuranDSSebelumnya!$M$330:$M$772,BK$11,IuranDSSebelumnya!$L$330:$L$772,$M$5)&gt;0,
        VLOOKUP(CONCATENATE($K45,"|",BK$11,"|",$M$5),IuranDSSebelumnya!$I$330:$N$772,5,FALSE),
        IF(COUNTIFS(IuranDSSebelumnya!$J$330:$J$772,$K45,IuranDSSebelumnya!$M$330:$M$772,BK$11,IuranDSSebelumnya!$L$330:$L$772,"&lt;&gt;"&amp;$M$5)&gt;0,
              "Iuran dari Lingkungan lain",
              ""))</f>
        <v/>
      </c>
      <c r="BL45" s="47" t="str">
        <f>IF(COUNTIFS(IuranDSSebelumnya!$J$330:$J$772,$K45,IuranDSSebelumnya!$M$330:$M$772,BL$11,IuranDSSebelumnya!$L$330:$L$772,$M$5)&gt;0,
        VLOOKUP(CONCATENATE($K45,"|",BL$11,"|",$M$5),IuranDSSebelumnya!$I$330:$N$772,5,FALSE),
        IF(COUNTIFS(IuranDSSebelumnya!$J$330:$J$772,$K45,IuranDSSebelumnya!$M$330:$M$772,BL$11,IuranDSSebelumnya!$L$330:$L$772,"&lt;&gt;"&amp;$M$5)&gt;0,
              "Iuran dari Lingkungan lain",
              ""))</f>
        <v/>
      </c>
    </row>
    <row r="46" spans="1:64" x14ac:dyDescent="0.35">
      <c r="A46" s="30" t="s">
        <v>6063</v>
      </c>
      <c r="C46" s="30" t="b">
        <f t="shared" ca="1" si="16"/>
        <v>0</v>
      </c>
      <c r="D46" s="30" t="str">
        <f>"""TRUST Nav"",""HSPMTB2016"",""18"",""1"",""KK-04619"""</f>
        <v>"TRUST Nav","HSPMTB2016","18","1","KK-04619"</v>
      </c>
      <c r="H46" s="30">
        <f t="shared" si="17"/>
        <v>0</v>
      </c>
      <c r="J46" s="30">
        <f t="shared" si="18"/>
        <v>34</v>
      </c>
      <c r="K46" s="30" t="str">
        <f>"KK-04619"</f>
        <v>KK-04619</v>
      </c>
      <c r="L46" s="30" t="str">
        <f>"Sandy Wijaya"</f>
        <v>Sandy Wijaya</v>
      </c>
      <c r="M46" s="30"/>
      <c r="N46" s="129"/>
      <c r="O46" s="129"/>
      <c r="P46" s="129"/>
      <c r="Q46" s="129"/>
      <c r="R46" s="129"/>
      <c r="S46" s="129"/>
      <c r="T46" s="11"/>
      <c r="U46" s="4"/>
      <c r="V46" s="4"/>
      <c r="W46" s="4"/>
      <c r="X46" s="4"/>
      <c r="Y46" s="15"/>
      <c r="Z46" s="4"/>
      <c r="AA46" s="4"/>
      <c r="AB46" s="4"/>
      <c r="AC46" s="4"/>
      <c r="AD46" s="4"/>
      <c r="AE46" s="4"/>
      <c r="AF46" s="11"/>
      <c r="AG46" s="4"/>
      <c r="AH46" s="4"/>
      <c r="AI46" s="4"/>
      <c r="AJ46" s="4"/>
      <c r="AK46" s="4"/>
      <c r="AL46" s="9">
        <f t="shared" si="19"/>
        <v>0</v>
      </c>
      <c r="AO46" s="47">
        <f>IF(COUNTIFS(IuranDSSebelumnya!$J$330:$J$772,$K46,IuranDSSebelumnya!$M$330:$M$772,AO$11,IuranDSSebelumnya!$L$330:$L$772,$M$5)&gt;0,
        VLOOKUP(CONCATENATE($K46,"|",AO$11,"|",$M$5),IuranDSSebelumnya!$I$330:$N$772,5,FALSE),
        IF(COUNTIFS(IuranDSSebelumnya!$J$330:$J$772,$K46,IuranDSSebelumnya!$M$330:$M$772,AO$11,IuranDSSebelumnya!$L$330:$L$772,"&lt;&gt;"&amp;$M$5)&gt;0,
              "Iuran dari Lingkungan lain",
              ""))</f>
        <v>42186</v>
      </c>
      <c r="AP46" s="47">
        <f>IF(COUNTIFS(IuranDSSebelumnya!$J$330:$J$772,$K46,IuranDSSebelumnya!$M$330:$M$772,AP$11,IuranDSSebelumnya!$L$330:$L$772,$M$5)&gt;0,
        VLOOKUP(CONCATENATE($K46,"|",AP$11,"|",$M$5),IuranDSSebelumnya!$I$330:$N$772,5,FALSE),
        IF(COUNTIFS(IuranDSSebelumnya!$J$330:$J$772,$K46,IuranDSSebelumnya!$M$330:$M$772,AP$11,IuranDSSebelumnya!$L$330:$L$772,"&lt;&gt;"&amp;$M$5)&gt;0,
              "Iuran dari Lingkungan lain",
              ""))</f>
        <v>42217</v>
      </c>
      <c r="AQ46" s="47">
        <f>IF(COUNTIFS(IuranDSSebelumnya!$J$330:$J$772,$K46,IuranDSSebelumnya!$M$330:$M$772,AQ$11,IuranDSSebelumnya!$L$330:$L$772,$M$5)&gt;0,
        VLOOKUP(CONCATENATE($K46,"|",AQ$11,"|",$M$5),IuranDSSebelumnya!$I$330:$N$772,5,FALSE),
        IF(COUNTIFS(IuranDSSebelumnya!$J$330:$J$772,$K46,IuranDSSebelumnya!$M$330:$M$772,AQ$11,IuranDSSebelumnya!$L$330:$L$772,"&lt;&gt;"&amp;$M$5)&gt;0,
              "Iuran dari Lingkungan lain",
              ""))</f>
        <v>42248</v>
      </c>
      <c r="AR46" s="47">
        <f>IF(COUNTIFS(IuranDSSebelumnya!$J$330:$J$772,$K46,IuranDSSebelumnya!$M$330:$M$772,AR$11,IuranDSSebelumnya!$L$330:$L$772,$M$5)&gt;0,
        VLOOKUP(CONCATENATE($K46,"|",AR$11,"|",$M$5),IuranDSSebelumnya!$I$330:$N$772,5,FALSE),
        IF(COUNTIFS(IuranDSSebelumnya!$J$330:$J$772,$K46,IuranDSSebelumnya!$M$330:$M$772,AR$11,IuranDSSebelumnya!$L$330:$L$772,"&lt;&gt;"&amp;$M$5)&gt;0,
              "Iuran dari Lingkungan lain",
              ""))</f>
        <v>42278</v>
      </c>
      <c r="AS46" s="47">
        <f>IF(COUNTIFS(IuranDSSebelumnya!$J$330:$J$772,$K46,IuranDSSebelumnya!$M$330:$M$772,AS$11,IuranDSSebelumnya!$L$330:$L$772,$M$5)&gt;0,
        VLOOKUP(CONCATENATE($K46,"|",AS$11,"|",$M$5),IuranDSSebelumnya!$I$330:$N$772,5,FALSE),
        IF(COUNTIFS(IuranDSSebelumnya!$J$330:$J$772,$K46,IuranDSSebelumnya!$M$330:$M$772,AS$11,IuranDSSebelumnya!$L$330:$L$772,"&lt;&gt;"&amp;$M$5)&gt;0,
              "Iuran dari Lingkungan lain",
              ""))</f>
        <v>42309</v>
      </c>
      <c r="AT46" s="47">
        <f>IF(COUNTIFS(IuranDSSebelumnya!$J$330:$J$772,$K46,IuranDSSebelumnya!$M$330:$M$772,AT$11,IuranDSSebelumnya!$L$330:$L$772,$M$5)&gt;0,
        VLOOKUP(CONCATENATE($K46,"|",AT$11,"|",$M$5),IuranDSSebelumnya!$I$330:$N$772,5,FALSE),
        IF(COUNTIFS(IuranDSSebelumnya!$J$330:$J$772,$K46,IuranDSSebelumnya!$M$330:$M$772,AT$11,IuranDSSebelumnya!$L$330:$L$772,"&lt;&gt;"&amp;$M$5)&gt;0,
              "Iuran dari Lingkungan lain",
              ""))</f>
        <v>42339</v>
      </c>
      <c r="AU46" s="47" t="str">
        <f>IF(COUNTIFS(IuranDSSebelumnya!$J$330:$J$772,$K46,IuranDSSebelumnya!$M$330:$M$772,AU$11,IuranDSSebelumnya!$L$330:$L$772,$M$5)&gt;0,
        VLOOKUP(CONCATENATE($K46,"|",AU$11,"|",$M$5),IuranDSSebelumnya!$I$330:$N$772,5,FALSE),
        IF(COUNTIFS(IuranDSSebelumnya!$J$330:$J$772,$K46,IuranDSSebelumnya!$M$330:$M$772,AU$11,IuranDSSebelumnya!$L$330:$L$772,"&lt;&gt;"&amp;$M$5)&gt;0,
              "Iuran dari Lingkungan lain",
              ""))</f>
        <v/>
      </c>
      <c r="AV46" s="47" t="str">
        <f>IF(COUNTIFS(IuranDSSebelumnya!$J$330:$J$772,$K46,IuranDSSebelumnya!$M$330:$M$772,AV$11,IuranDSSebelumnya!$L$330:$L$772,$M$5)&gt;0,
        VLOOKUP(CONCATENATE($K46,"|",AV$11,"|",$M$5),IuranDSSebelumnya!$I$330:$N$772,5,FALSE),
        IF(COUNTIFS(IuranDSSebelumnya!$J$330:$J$772,$K46,IuranDSSebelumnya!$M$330:$M$772,AV$11,IuranDSSebelumnya!$L$330:$L$772,"&lt;&gt;"&amp;$M$5)&gt;0,
              "Iuran dari Lingkungan lain",
              ""))</f>
        <v/>
      </c>
      <c r="AW46" s="47" t="str">
        <f>IF(COUNTIFS(IuranDSSebelumnya!$J$330:$J$772,$K46,IuranDSSebelumnya!$M$330:$M$772,AW$11,IuranDSSebelumnya!$L$330:$L$772,$M$5)&gt;0,
        VLOOKUP(CONCATENATE($K46,"|",AW$11,"|",$M$5),IuranDSSebelumnya!$I$330:$N$772,5,FALSE),
        IF(COUNTIFS(IuranDSSebelumnya!$J$330:$J$772,$K46,IuranDSSebelumnya!$M$330:$M$772,AW$11,IuranDSSebelumnya!$L$330:$L$772,"&lt;&gt;"&amp;$M$5)&gt;0,
              "Iuran dari Lingkungan lain",
              ""))</f>
        <v/>
      </c>
      <c r="AX46" s="47" t="str">
        <f>IF(COUNTIFS(IuranDSSebelumnya!$J$330:$J$772,$K46,IuranDSSebelumnya!$M$330:$M$772,AX$11,IuranDSSebelumnya!$L$330:$L$772,$M$5)&gt;0,
        VLOOKUP(CONCATENATE($K46,"|",AX$11,"|",$M$5),IuranDSSebelumnya!$I$330:$N$772,5,FALSE),
        IF(COUNTIFS(IuranDSSebelumnya!$J$330:$J$772,$K46,IuranDSSebelumnya!$M$330:$M$772,AX$11,IuranDSSebelumnya!$L$330:$L$772,"&lt;&gt;"&amp;$M$5)&gt;0,
              "Iuran dari Lingkungan lain",
              ""))</f>
        <v/>
      </c>
      <c r="AY46" s="47" t="str">
        <f>IF(COUNTIFS(IuranDSSebelumnya!$J$330:$J$772,$K46,IuranDSSebelumnya!$M$330:$M$772,AY$11,IuranDSSebelumnya!$L$330:$L$772,$M$5)&gt;0,
        VLOOKUP(CONCATENATE($K46,"|",AY$11,"|",$M$5),IuranDSSebelumnya!$I$330:$N$772,5,FALSE),
        IF(COUNTIFS(IuranDSSebelumnya!$J$330:$J$772,$K46,IuranDSSebelumnya!$M$330:$M$772,AY$11,IuranDSSebelumnya!$L$330:$L$772,"&lt;&gt;"&amp;$M$5)&gt;0,
              "Iuran dari Lingkungan lain",
              ""))</f>
        <v/>
      </c>
      <c r="AZ46" s="47" t="str">
        <f>IF(COUNTIFS(IuranDSSebelumnya!$J$330:$J$772,$K46,IuranDSSebelumnya!$M$330:$M$772,AZ$11,IuranDSSebelumnya!$L$330:$L$772,$M$5)&gt;0,
        VLOOKUP(CONCATENATE($K46,"|",AZ$11,"|",$M$5),IuranDSSebelumnya!$I$330:$N$772,5,FALSE),
        IF(COUNTIFS(IuranDSSebelumnya!$J$330:$J$772,$K46,IuranDSSebelumnya!$M$330:$M$772,AZ$11,IuranDSSebelumnya!$L$330:$L$772,"&lt;&gt;"&amp;$M$5)&gt;0,
              "Iuran dari Lingkungan lain",
              ""))</f>
        <v/>
      </c>
      <c r="BA46" s="47" t="str">
        <f>IF(COUNTIFS(IuranDSSebelumnya!$J$330:$J$772,$K46,IuranDSSebelumnya!$M$330:$M$772,BA$11,IuranDSSebelumnya!$L$330:$L$772,$M$5)&gt;0,
        VLOOKUP(CONCATENATE($K46,"|",BA$11,"|",$M$5),IuranDSSebelumnya!$I$330:$N$772,5,FALSE),
        IF(COUNTIFS(IuranDSSebelumnya!$J$330:$J$772,$K46,IuranDSSebelumnya!$M$330:$M$772,BA$11,IuranDSSebelumnya!$L$330:$L$772,"&lt;&gt;"&amp;$M$5)&gt;0,
              "Iuran dari Lingkungan lain",
              ""))</f>
        <v/>
      </c>
      <c r="BB46" s="47" t="str">
        <f>IF(COUNTIFS(IuranDSSebelumnya!$J$330:$J$772,$K46,IuranDSSebelumnya!$M$330:$M$772,BB$11,IuranDSSebelumnya!$L$330:$L$772,$M$5)&gt;0,
        VLOOKUP(CONCATENATE($K46,"|",BB$11,"|",$M$5),IuranDSSebelumnya!$I$330:$N$772,5,FALSE),
        IF(COUNTIFS(IuranDSSebelumnya!$J$330:$J$772,$K46,IuranDSSebelumnya!$M$330:$M$772,BB$11,IuranDSSebelumnya!$L$330:$L$772,"&lt;&gt;"&amp;$M$5)&gt;0,
              "Iuran dari Lingkungan lain",
              ""))</f>
        <v/>
      </c>
      <c r="BC46" s="47" t="str">
        <f>IF(COUNTIFS(IuranDSSebelumnya!$J$330:$J$772,$K46,IuranDSSebelumnya!$M$330:$M$772,BC$11,IuranDSSebelumnya!$L$330:$L$772,$M$5)&gt;0,
        VLOOKUP(CONCATENATE($K46,"|",BC$11,"|",$M$5),IuranDSSebelumnya!$I$330:$N$772,5,FALSE),
        IF(COUNTIFS(IuranDSSebelumnya!$J$330:$J$772,$K46,IuranDSSebelumnya!$M$330:$M$772,BC$11,IuranDSSebelumnya!$L$330:$L$772,"&lt;&gt;"&amp;$M$5)&gt;0,
              "Iuran dari Lingkungan lain",
              ""))</f>
        <v/>
      </c>
      <c r="BD46" s="47" t="str">
        <f>IF(COUNTIFS(IuranDSSebelumnya!$J$330:$J$772,$K46,IuranDSSebelumnya!$M$330:$M$772,BD$11,IuranDSSebelumnya!$L$330:$L$772,$M$5)&gt;0,
        VLOOKUP(CONCATENATE($K46,"|",BD$11,"|",$M$5),IuranDSSebelumnya!$I$330:$N$772,5,FALSE),
        IF(COUNTIFS(IuranDSSebelumnya!$J$330:$J$772,$K46,IuranDSSebelumnya!$M$330:$M$772,BD$11,IuranDSSebelumnya!$L$330:$L$772,"&lt;&gt;"&amp;$M$5)&gt;0,
              "Iuran dari Lingkungan lain",
              ""))</f>
        <v/>
      </c>
      <c r="BE46" s="47" t="str">
        <f>IF(COUNTIFS(IuranDSSebelumnya!$J$330:$J$772,$K46,IuranDSSebelumnya!$M$330:$M$772,BE$11,IuranDSSebelumnya!$L$330:$L$772,$M$5)&gt;0,
        VLOOKUP(CONCATENATE($K46,"|",BE$11,"|",$M$5),IuranDSSebelumnya!$I$330:$N$772,5,FALSE),
        IF(COUNTIFS(IuranDSSebelumnya!$J$330:$J$772,$K46,IuranDSSebelumnya!$M$330:$M$772,BE$11,IuranDSSebelumnya!$L$330:$L$772,"&lt;&gt;"&amp;$M$5)&gt;0,
              "Iuran dari Lingkungan lain",
              ""))</f>
        <v/>
      </c>
      <c r="BF46" s="47" t="str">
        <f>IF(COUNTIFS(IuranDSSebelumnya!$J$330:$J$772,$K46,IuranDSSebelumnya!$M$330:$M$772,BF$11,IuranDSSebelumnya!$L$330:$L$772,$M$5)&gt;0,
        VLOOKUP(CONCATENATE($K46,"|",BF$11,"|",$M$5),IuranDSSebelumnya!$I$330:$N$772,5,FALSE),
        IF(COUNTIFS(IuranDSSebelumnya!$J$330:$J$772,$K46,IuranDSSebelumnya!$M$330:$M$772,BF$11,IuranDSSebelumnya!$L$330:$L$772,"&lt;&gt;"&amp;$M$5)&gt;0,
              "Iuran dari Lingkungan lain",
              ""))</f>
        <v/>
      </c>
      <c r="BG46" s="47" t="str">
        <f>IF(COUNTIFS(IuranDSSebelumnya!$J$330:$J$772,$K46,IuranDSSebelumnya!$M$330:$M$772,BG$11,IuranDSSebelumnya!$L$330:$L$772,$M$5)&gt;0,
        VLOOKUP(CONCATENATE($K46,"|",BG$11,"|",$M$5),IuranDSSebelumnya!$I$330:$N$772,5,FALSE),
        IF(COUNTIFS(IuranDSSebelumnya!$J$330:$J$772,$K46,IuranDSSebelumnya!$M$330:$M$772,BG$11,IuranDSSebelumnya!$L$330:$L$772,"&lt;&gt;"&amp;$M$5)&gt;0,
              "Iuran dari Lingkungan lain",
              ""))</f>
        <v/>
      </c>
      <c r="BH46" s="47" t="str">
        <f>IF(COUNTIFS(IuranDSSebelumnya!$J$330:$J$772,$K46,IuranDSSebelumnya!$M$330:$M$772,BH$11,IuranDSSebelumnya!$L$330:$L$772,$M$5)&gt;0,
        VLOOKUP(CONCATENATE($K46,"|",BH$11,"|",$M$5),IuranDSSebelumnya!$I$330:$N$772,5,FALSE),
        IF(COUNTIFS(IuranDSSebelumnya!$J$330:$J$772,$K46,IuranDSSebelumnya!$M$330:$M$772,BH$11,IuranDSSebelumnya!$L$330:$L$772,"&lt;&gt;"&amp;$M$5)&gt;0,
              "Iuran dari Lingkungan lain",
              ""))</f>
        <v/>
      </c>
      <c r="BI46" s="47" t="str">
        <f>IF(COUNTIFS(IuranDSSebelumnya!$J$330:$J$772,$K46,IuranDSSebelumnya!$M$330:$M$772,BI$11,IuranDSSebelumnya!$L$330:$L$772,$M$5)&gt;0,
        VLOOKUP(CONCATENATE($K46,"|",BI$11,"|",$M$5),IuranDSSebelumnya!$I$330:$N$772,5,FALSE),
        IF(COUNTIFS(IuranDSSebelumnya!$J$330:$J$772,$K46,IuranDSSebelumnya!$M$330:$M$772,BI$11,IuranDSSebelumnya!$L$330:$L$772,"&lt;&gt;"&amp;$M$5)&gt;0,
              "Iuran dari Lingkungan lain",
              ""))</f>
        <v/>
      </c>
      <c r="BJ46" s="47" t="str">
        <f>IF(COUNTIFS(IuranDSSebelumnya!$J$330:$J$772,$K46,IuranDSSebelumnya!$M$330:$M$772,BJ$11,IuranDSSebelumnya!$L$330:$L$772,$M$5)&gt;0,
        VLOOKUP(CONCATENATE($K46,"|",BJ$11,"|",$M$5),IuranDSSebelumnya!$I$330:$N$772,5,FALSE),
        IF(COUNTIFS(IuranDSSebelumnya!$J$330:$J$772,$K46,IuranDSSebelumnya!$M$330:$M$772,BJ$11,IuranDSSebelumnya!$L$330:$L$772,"&lt;&gt;"&amp;$M$5)&gt;0,
              "Iuran dari Lingkungan lain",
              ""))</f>
        <v/>
      </c>
      <c r="BK46" s="47" t="str">
        <f>IF(COUNTIFS(IuranDSSebelumnya!$J$330:$J$772,$K46,IuranDSSebelumnya!$M$330:$M$772,BK$11,IuranDSSebelumnya!$L$330:$L$772,$M$5)&gt;0,
        VLOOKUP(CONCATENATE($K46,"|",BK$11,"|",$M$5),IuranDSSebelumnya!$I$330:$N$772,5,FALSE),
        IF(COUNTIFS(IuranDSSebelumnya!$J$330:$J$772,$K46,IuranDSSebelumnya!$M$330:$M$772,BK$11,IuranDSSebelumnya!$L$330:$L$772,"&lt;&gt;"&amp;$M$5)&gt;0,
              "Iuran dari Lingkungan lain",
              ""))</f>
        <v/>
      </c>
      <c r="BL46" s="47" t="str">
        <f>IF(COUNTIFS(IuranDSSebelumnya!$J$330:$J$772,$K46,IuranDSSebelumnya!$M$330:$M$772,BL$11,IuranDSSebelumnya!$L$330:$L$772,$M$5)&gt;0,
        VLOOKUP(CONCATENATE($K46,"|",BL$11,"|",$M$5),IuranDSSebelumnya!$I$330:$N$772,5,FALSE),
        IF(COUNTIFS(IuranDSSebelumnya!$J$330:$J$772,$K46,IuranDSSebelumnya!$M$330:$M$772,BL$11,IuranDSSebelumnya!$L$330:$L$772,"&lt;&gt;"&amp;$M$5)&gt;0,
              "Iuran dari Lingkungan lain",
              ""))</f>
        <v/>
      </c>
    </row>
    <row r="47" spans="1:64" x14ac:dyDescent="0.35">
      <c r="A47" s="30" t="s">
        <v>6063</v>
      </c>
      <c r="C47" s="30" t="b">
        <f t="shared" ca="1" si="16"/>
        <v>0</v>
      </c>
      <c r="D47" s="30" t="str">
        <f>"""TRUST Nav"",""HSPMTB2016"",""18"",""1"",""KK-05044"""</f>
        <v>"TRUST Nav","HSPMTB2016","18","1","KK-05044"</v>
      </c>
      <c r="H47" s="30">
        <f t="shared" si="17"/>
        <v>0</v>
      </c>
      <c r="J47" s="30">
        <f t="shared" si="18"/>
        <v>35</v>
      </c>
      <c r="K47" s="30" t="str">
        <f>"KK-05044"</f>
        <v>KK-05044</v>
      </c>
      <c r="L47" s="30" t="str">
        <f>"Simon Petrus Rizal"</f>
        <v>Simon Petrus Rizal</v>
      </c>
      <c r="M47" s="30"/>
      <c r="N47" s="3"/>
      <c r="O47" s="3"/>
      <c r="P47" s="3"/>
      <c r="Q47" s="3"/>
      <c r="R47" s="3"/>
      <c r="S47" s="3"/>
      <c r="T47" s="11"/>
      <c r="U47" s="4"/>
      <c r="V47" s="4"/>
      <c r="W47" s="4"/>
      <c r="X47" s="4"/>
      <c r="Y47" s="15"/>
      <c r="Z47" s="4"/>
      <c r="AA47" s="4"/>
      <c r="AB47" s="4"/>
      <c r="AC47" s="4"/>
      <c r="AD47" s="4"/>
      <c r="AE47" s="4"/>
      <c r="AF47" s="11"/>
      <c r="AG47" s="4"/>
      <c r="AH47" s="4"/>
      <c r="AI47" s="4"/>
      <c r="AJ47" s="4"/>
      <c r="AK47" s="4"/>
      <c r="AL47" s="9">
        <f t="shared" si="19"/>
        <v>0</v>
      </c>
      <c r="AO47" s="47" t="str">
        <f>IF(COUNTIFS(IuranDSSebelumnya!$J$330:$J$772,$K47,IuranDSSebelumnya!$M$330:$M$772,AO$11,IuranDSSebelumnya!$L$330:$L$772,$M$5)&gt;0,
        VLOOKUP(CONCATENATE($K47,"|",AO$11,"|",$M$5),IuranDSSebelumnya!$I$330:$N$772,5,FALSE),
        IF(COUNTIFS(IuranDSSebelumnya!$J$330:$J$772,$K47,IuranDSSebelumnya!$M$330:$M$772,AO$11,IuranDSSebelumnya!$L$330:$L$772,"&lt;&gt;"&amp;$M$5)&gt;0,
              "Iuran dari Lingkungan lain",
              ""))</f>
        <v/>
      </c>
      <c r="AP47" s="47" t="str">
        <f>IF(COUNTIFS(IuranDSSebelumnya!$J$330:$J$772,$K47,IuranDSSebelumnya!$M$330:$M$772,AP$11,IuranDSSebelumnya!$L$330:$L$772,$M$5)&gt;0,
        VLOOKUP(CONCATENATE($K47,"|",AP$11,"|",$M$5),IuranDSSebelumnya!$I$330:$N$772,5,FALSE),
        IF(COUNTIFS(IuranDSSebelumnya!$J$330:$J$772,$K47,IuranDSSebelumnya!$M$330:$M$772,AP$11,IuranDSSebelumnya!$L$330:$L$772,"&lt;&gt;"&amp;$M$5)&gt;0,
              "Iuran dari Lingkungan lain",
              ""))</f>
        <v/>
      </c>
      <c r="AQ47" s="47" t="str">
        <f>IF(COUNTIFS(IuranDSSebelumnya!$J$330:$J$772,$K47,IuranDSSebelumnya!$M$330:$M$772,AQ$11,IuranDSSebelumnya!$L$330:$L$772,$M$5)&gt;0,
        VLOOKUP(CONCATENATE($K47,"|",AQ$11,"|",$M$5),IuranDSSebelumnya!$I$330:$N$772,5,FALSE),
        IF(COUNTIFS(IuranDSSebelumnya!$J$330:$J$772,$K47,IuranDSSebelumnya!$M$330:$M$772,AQ$11,IuranDSSebelumnya!$L$330:$L$772,"&lt;&gt;"&amp;$M$5)&gt;0,
              "Iuran dari Lingkungan lain",
              ""))</f>
        <v/>
      </c>
      <c r="AR47" s="47" t="str">
        <f>IF(COUNTIFS(IuranDSSebelumnya!$J$330:$J$772,$K47,IuranDSSebelumnya!$M$330:$M$772,AR$11,IuranDSSebelumnya!$L$330:$L$772,$M$5)&gt;0,
        VLOOKUP(CONCATENATE($K47,"|",AR$11,"|",$M$5),IuranDSSebelumnya!$I$330:$N$772,5,FALSE),
        IF(COUNTIFS(IuranDSSebelumnya!$J$330:$J$772,$K47,IuranDSSebelumnya!$M$330:$M$772,AR$11,IuranDSSebelumnya!$L$330:$L$772,"&lt;&gt;"&amp;$M$5)&gt;0,
              "Iuran dari Lingkungan lain",
              ""))</f>
        <v/>
      </c>
      <c r="AS47" s="47" t="str">
        <f>IF(COUNTIFS(IuranDSSebelumnya!$J$330:$J$772,$K47,IuranDSSebelumnya!$M$330:$M$772,AS$11,IuranDSSebelumnya!$L$330:$L$772,$M$5)&gt;0,
        VLOOKUP(CONCATENATE($K47,"|",AS$11,"|",$M$5),IuranDSSebelumnya!$I$330:$N$772,5,FALSE),
        IF(COUNTIFS(IuranDSSebelumnya!$J$330:$J$772,$K47,IuranDSSebelumnya!$M$330:$M$772,AS$11,IuranDSSebelumnya!$L$330:$L$772,"&lt;&gt;"&amp;$M$5)&gt;0,
              "Iuran dari Lingkungan lain",
              ""))</f>
        <v/>
      </c>
      <c r="AT47" s="47" t="str">
        <f>IF(COUNTIFS(IuranDSSebelumnya!$J$330:$J$772,$K47,IuranDSSebelumnya!$M$330:$M$772,AT$11,IuranDSSebelumnya!$L$330:$L$772,$M$5)&gt;0,
        VLOOKUP(CONCATENATE($K47,"|",AT$11,"|",$M$5),IuranDSSebelumnya!$I$330:$N$772,5,FALSE),
        IF(COUNTIFS(IuranDSSebelumnya!$J$330:$J$772,$K47,IuranDSSebelumnya!$M$330:$M$772,AT$11,IuranDSSebelumnya!$L$330:$L$772,"&lt;&gt;"&amp;$M$5)&gt;0,
              "Iuran dari Lingkungan lain",
              ""))</f>
        <v/>
      </c>
      <c r="AU47" s="47" t="str">
        <f>IF(COUNTIFS(IuranDSSebelumnya!$J$330:$J$772,$K47,IuranDSSebelumnya!$M$330:$M$772,AU$11,IuranDSSebelumnya!$L$330:$L$772,$M$5)&gt;0,
        VLOOKUP(CONCATENATE($K47,"|",AU$11,"|",$M$5),IuranDSSebelumnya!$I$330:$N$772,5,FALSE),
        IF(COUNTIFS(IuranDSSebelumnya!$J$330:$J$772,$K47,IuranDSSebelumnya!$M$330:$M$772,AU$11,IuranDSSebelumnya!$L$330:$L$772,"&lt;&gt;"&amp;$M$5)&gt;0,
              "Iuran dari Lingkungan lain",
              ""))</f>
        <v/>
      </c>
      <c r="AV47" s="47" t="str">
        <f>IF(COUNTIFS(IuranDSSebelumnya!$J$330:$J$772,$K47,IuranDSSebelumnya!$M$330:$M$772,AV$11,IuranDSSebelumnya!$L$330:$L$772,$M$5)&gt;0,
        VLOOKUP(CONCATENATE($K47,"|",AV$11,"|",$M$5),IuranDSSebelumnya!$I$330:$N$772,5,FALSE),
        IF(COUNTIFS(IuranDSSebelumnya!$J$330:$J$772,$K47,IuranDSSebelumnya!$M$330:$M$772,AV$11,IuranDSSebelumnya!$L$330:$L$772,"&lt;&gt;"&amp;$M$5)&gt;0,
              "Iuran dari Lingkungan lain",
              ""))</f>
        <v/>
      </c>
      <c r="AW47" s="47" t="str">
        <f>IF(COUNTIFS(IuranDSSebelumnya!$J$330:$J$772,$K47,IuranDSSebelumnya!$M$330:$M$772,AW$11,IuranDSSebelumnya!$L$330:$L$772,$M$5)&gt;0,
        VLOOKUP(CONCATENATE($K47,"|",AW$11,"|",$M$5),IuranDSSebelumnya!$I$330:$N$772,5,FALSE),
        IF(COUNTIFS(IuranDSSebelumnya!$J$330:$J$772,$K47,IuranDSSebelumnya!$M$330:$M$772,AW$11,IuranDSSebelumnya!$L$330:$L$772,"&lt;&gt;"&amp;$M$5)&gt;0,
              "Iuran dari Lingkungan lain",
              ""))</f>
        <v/>
      </c>
      <c r="AX47" s="47" t="str">
        <f>IF(COUNTIFS(IuranDSSebelumnya!$J$330:$J$772,$K47,IuranDSSebelumnya!$M$330:$M$772,AX$11,IuranDSSebelumnya!$L$330:$L$772,$M$5)&gt;0,
        VLOOKUP(CONCATENATE($K47,"|",AX$11,"|",$M$5),IuranDSSebelumnya!$I$330:$N$772,5,FALSE),
        IF(COUNTIFS(IuranDSSebelumnya!$J$330:$J$772,$K47,IuranDSSebelumnya!$M$330:$M$772,AX$11,IuranDSSebelumnya!$L$330:$L$772,"&lt;&gt;"&amp;$M$5)&gt;0,
              "Iuran dari Lingkungan lain",
              ""))</f>
        <v/>
      </c>
      <c r="AY47" s="47" t="str">
        <f>IF(COUNTIFS(IuranDSSebelumnya!$J$330:$J$772,$K47,IuranDSSebelumnya!$M$330:$M$772,AY$11,IuranDSSebelumnya!$L$330:$L$772,$M$5)&gt;0,
        VLOOKUP(CONCATENATE($K47,"|",AY$11,"|",$M$5),IuranDSSebelumnya!$I$330:$N$772,5,FALSE),
        IF(COUNTIFS(IuranDSSebelumnya!$J$330:$J$772,$K47,IuranDSSebelumnya!$M$330:$M$772,AY$11,IuranDSSebelumnya!$L$330:$L$772,"&lt;&gt;"&amp;$M$5)&gt;0,
              "Iuran dari Lingkungan lain",
              ""))</f>
        <v/>
      </c>
      <c r="AZ47" s="47" t="str">
        <f>IF(COUNTIFS(IuranDSSebelumnya!$J$330:$J$772,$K47,IuranDSSebelumnya!$M$330:$M$772,AZ$11,IuranDSSebelumnya!$L$330:$L$772,$M$5)&gt;0,
        VLOOKUP(CONCATENATE($K47,"|",AZ$11,"|",$M$5),IuranDSSebelumnya!$I$330:$N$772,5,FALSE),
        IF(COUNTIFS(IuranDSSebelumnya!$J$330:$J$772,$K47,IuranDSSebelumnya!$M$330:$M$772,AZ$11,IuranDSSebelumnya!$L$330:$L$772,"&lt;&gt;"&amp;$M$5)&gt;0,
              "Iuran dari Lingkungan lain",
              ""))</f>
        <v/>
      </c>
      <c r="BA47" s="47" t="str">
        <f>IF(COUNTIFS(IuranDSSebelumnya!$J$330:$J$772,$K47,IuranDSSebelumnya!$M$330:$M$772,BA$11,IuranDSSebelumnya!$L$330:$L$772,$M$5)&gt;0,
        VLOOKUP(CONCATENATE($K47,"|",BA$11,"|",$M$5),IuranDSSebelumnya!$I$330:$N$772,5,FALSE),
        IF(COUNTIFS(IuranDSSebelumnya!$J$330:$J$772,$K47,IuranDSSebelumnya!$M$330:$M$772,BA$11,IuranDSSebelumnya!$L$330:$L$772,"&lt;&gt;"&amp;$M$5)&gt;0,
              "Iuran dari Lingkungan lain",
              ""))</f>
        <v/>
      </c>
      <c r="BB47" s="47" t="str">
        <f>IF(COUNTIFS(IuranDSSebelumnya!$J$330:$J$772,$K47,IuranDSSebelumnya!$M$330:$M$772,BB$11,IuranDSSebelumnya!$L$330:$L$772,$M$5)&gt;0,
        VLOOKUP(CONCATENATE($K47,"|",BB$11,"|",$M$5),IuranDSSebelumnya!$I$330:$N$772,5,FALSE),
        IF(COUNTIFS(IuranDSSebelumnya!$J$330:$J$772,$K47,IuranDSSebelumnya!$M$330:$M$772,BB$11,IuranDSSebelumnya!$L$330:$L$772,"&lt;&gt;"&amp;$M$5)&gt;0,
              "Iuran dari Lingkungan lain",
              ""))</f>
        <v/>
      </c>
      <c r="BC47" s="47" t="str">
        <f>IF(COUNTIFS(IuranDSSebelumnya!$J$330:$J$772,$K47,IuranDSSebelumnya!$M$330:$M$772,BC$11,IuranDSSebelumnya!$L$330:$L$772,$M$5)&gt;0,
        VLOOKUP(CONCATENATE($K47,"|",BC$11,"|",$M$5),IuranDSSebelumnya!$I$330:$N$772,5,FALSE),
        IF(COUNTIFS(IuranDSSebelumnya!$J$330:$J$772,$K47,IuranDSSebelumnya!$M$330:$M$772,BC$11,IuranDSSebelumnya!$L$330:$L$772,"&lt;&gt;"&amp;$M$5)&gt;0,
              "Iuran dari Lingkungan lain",
              ""))</f>
        <v/>
      </c>
      <c r="BD47" s="47" t="str">
        <f>IF(COUNTIFS(IuranDSSebelumnya!$J$330:$J$772,$K47,IuranDSSebelumnya!$M$330:$M$772,BD$11,IuranDSSebelumnya!$L$330:$L$772,$M$5)&gt;0,
        VLOOKUP(CONCATENATE($K47,"|",BD$11,"|",$M$5),IuranDSSebelumnya!$I$330:$N$772,5,FALSE),
        IF(COUNTIFS(IuranDSSebelumnya!$J$330:$J$772,$K47,IuranDSSebelumnya!$M$330:$M$772,BD$11,IuranDSSebelumnya!$L$330:$L$772,"&lt;&gt;"&amp;$M$5)&gt;0,
              "Iuran dari Lingkungan lain",
              ""))</f>
        <v/>
      </c>
      <c r="BE47" s="47" t="str">
        <f>IF(COUNTIFS(IuranDSSebelumnya!$J$330:$J$772,$K47,IuranDSSebelumnya!$M$330:$M$772,BE$11,IuranDSSebelumnya!$L$330:$L$772,$M$5)&gt;0,
        VLOOKUP(CONCATENATE($K47,"|",BE$11,"|",$M$5),IuranDSSebelumnya!$I$330:$N$772,5,FALSE),
        IF(COUNTIFS(IuranDSSebelumnya!$J$330:$J$772,$K47,IuranDSSebelumnya!$M$330:$M$772,BE$11,IuranDSSebelumnya!$L$330:$L$772,"&lt;&gt;"&amp;$M$5)&gt;0,
              "Iuran dari Lingkungan lain",
              ""))</f>
        <v/>
      </c>
      <c r="BF47" s="47" t="str">
        <f>IF(COUNTIFS(IuranDSSebelumnya!$J$330:$J$772,$K47,IuranDSSebelumnya!$M$330:$M$772,BF$11,IuranDSSebelumnya!$L$330:$L$772,$M$5)&gt;0,
        VLOOKUP(CONCATENATE($K47,"|",BF$11,"|",$M$5),IuranDSSebelumnya!$I$330:$N$772,5,FALSE),
        IF(COUNTIFS(IuranDSSebelumnya!$J$330:$J$772,$K47,IuranDSSebelumnya!$M$330:$M$772,BF$11,IuranDSSebelumnya!$L$330:$L$772,"&lt;&gt;"&amp;$M$5)&gt;0,
              "Iuran dari Lingkungan lain",
              ""))</f>
        <v/>
      </c>
      <c r="BG47" s="47" t="str">
        <f>IF(COUNTIFS(IuranDSSebelumnya!$J$330:$J$772,$K47,IuranDSSebelumnya!$M$330:$M$772,BG$11,IuranDSSebelumnya!$L$330:$L$772,$M$5)&gt;0,
        VLOOKUP(CONCATENATE($K47,"|",BG$11,"|",$M$5),IuranDSSebelumnya!$I$330:$N$772,5,FALSE),
        IF(COUNTIFS(IuranDSSebelumnya!$J$330:$J$772,$K47,IuranDSSebelumnya!$M$330:$M$772,BG$11,IuranDSSebelumnya!$L$330:$L$772,"&lt;&gt;"&amp;$M$5)&gt;0,
              "Iuran dari Lingkungan lain",
              ""))</f>
        <v/>
      </c>
      <c r="BH47" s="47" t="str">
        <f>IF(COUNTIFS(IuranDSSebelumnya!$J$330:$J$772,$K47,IuranDSSebelumnya!$M$330:$M$772,BH$11,IuranDSSebelumnya!$L$330:$L$772,$M$5)&gt;0,
        VLOOKUP(CONCATENATE($K47,"|",BH$11,"|",$M$5),IuranDSSebelumnya!$I$330:$N$772,5,FALSE),
        IF(COUNTIFS(IuranDSSebelumnya!$J$330:$J$772,$K47,IuranDSSebelumnya!$M$330:$M$772,BH$11,IuranDSSebelumnya!$L$330:$L$772,"&lt;&gt;"&amp;$M$5)&gt;0,
              "Iuran dari Lingkungan lain",
              ""))</f>
        <v/>
      </c>
      <c r="BI47" s="47" t="str">
        <f>IF(COUNTIFS(IuranDSSebelumnya!$J$330:$J$772,$K47,IuranDSSebelumnya!$M$330:$M$772,BI$11,IuranDSSebelumnya!$L$330:$L$772,$M$5)&gt;0,
        VLOOKUP(CONCATENATE($K47,"|",BI$11,"|",$M$5),IuranDSSebelumnya!$I$330:$N$772,5,FALSE),
        IF(COUNTIFS(IuranDSSebelumnya!$J$330:$J$772,$K47,IuranDSSebelumnya!$M$330:$M$772,BI$11,IuranDSSebelumnya!$L$330:$L$772,"&lt;&gt;"&amp;$M$5)&gt;0,
              "Iuran dari Lingkungan lain",
              ""))</f>
        <v/>
      </c>
      <c r="BJ47" s="47" t="str">
        <f>IF(COUNTIFS(IuranDSSebelumnya!$J$330:$J$772,$K47,IuranDSSebelumnya!$M$330:$M$772,BJ$11,IuranDSSebelumnya!$L$330:$L$772,$M$5)&gt;0,
        VLOOKUP(CONCATENATE($K47,"|",BJ$11,"|",$M$5),IuranDSSebelumnya!$I$330:$N$772,5,FALSE),
        IF(COUNTIFS(IuranDSSebelumnya!$J$330:$J$772,$K47,IuranDSSebelumnya!$M$330:$M$772,BJ$11,IuranDSSebelumnya!$L$330:$L$772,"&lt;&gt;"&amp;$M$5)&gt;0,
              "Iuran dari Lingkungan lain",
              ""))</f>
        <v/>
      </c>
      <c r="BK47" s="47" t="str">
        <f>IF(COUNTIFS(IuranDSSebelumnya!$J$330:$J$772,$K47,IuranDSSebelumnya!$M$330:$M$772,BK$11,IuranDSSebelumnya!$L$330:$L$772,$M$5)&gt;0,
        VLOOKUP(CONCATENATE($K47,"|",BK$11,"|",$M$5),IuranDSSebelumnya!$I$330:$N$772,5,FALSE),
        IF(COUNTIFS(IuranDSSebelumnya!$J$330:$J$772,$K47,IuranDSSebelumnya!$M$330:$M$772,BK$11,IuranDSSebelumnya!$L$330:$L$772,"&lt;&gt;"&amp;$M$5)&gt;0,
              "Iuran dari Lingkungan lain",
              ""))</f>
        <v/>
      </c>
      <c r="BL47" s="47" t="str">
        <f>IF(COUNTIFS(IuranDSSebelumnya!$J$330:$J$772,$K47,IuranDSSebelumnya!$M$330:$M$772,BL$11,IuranDSSebelumnya!$L$330:$L$772,$M$5)&gt;0,
        VLOOKUP(CONCATENATE($K47,"|",BL$11,"|",$M$5),IuranDSSebelumnya!$I$330:$N$772,5,FALSE),
        IF(COUNTIFS(IuranDSSebelumnya!$J$330:$J$772,$K47,IuranDSSebelumnya!$M$330:$M$772,BL$11,IuranDSSebelumnya!$L$330:$L$772,"&lt;&gt;"&amp;$M$5)&gt;0,
              "Iuran dari Lingkungan lain",
              ""))</f>
        <v/>
      </c>
    </row>
    <row r="48" spans="1:64" x14ac:dyDescent="0.35">
      <c r="A48" s="30" t="s">
        <v>6063</v>
      </c>
      <c r="C48" s="30" t="b">
        <f t="shared" ca="1" si="16"/>
        <v>0</v>
      </c>
      <c r="D48" s="30" t="str">
        <f>"""TRUST Nav"",""HSPMTB2016"",""18"",""1"",""KK-04620"""</f>
        <v>"TRUST Nav","HSPMTB2016","18","1","KK-04620"</v>
      </c>
      <c r="H48" s="30">
        <f t="shared" si="17"/>
        <v>0</v>
      </c>
      <c r="J48" s="30">
        <f t="shared" si="18"/>
        <v>36</v>
      </c>
      <c r="K48" s="30" t="str">
        <f>"KK-04620"</f>
        <v>KK-04620</v>
      </c>
      <c r="L48" s="30" t="str">
        <f>"Stefanus Tudy Luchman"</f>
        <v>Stefanus Tudy Luchman</v>
      </c>
      <c r="M48" s="30"/>
      <c r="N48" s="129"/>
      <c r="O48" s="129"/>
      <c r="P48" s="129"/>
      <c r="Q48" s="129"/>
      <c r="R48" s="129"/>
      <c r="S48" s="129"/>
      <c r="T48" s="130"/>
      <c r="U48" s="131"/>
      <c r="V48" s="131"/>
      <c r="W48" s="131"/>
      <c r="X48" s="131"/>
      <c r="Y48" s="132"/>
      <c r="Z48" s="4"/>
      <c r="AA48" s="4"/>
      <c r="AB48" s="4"/>
      <c r="AC48" s="4"/>
      <c r="AD48" s="4"/>
      <c r="AE48" s="4"/>
      <c r="AF48" s="11"/>
      <c r="AG48" s="4"/>
      <c r="AH48" s="4"/>
      <c r="AI48" s="4"/>
      <c r="AJ48" s="4"/>
      <c r="AK48" s="4"/>
      <c r="AL48" s="9">
        <f t="shared" si="19"/>
        <v>0</v>
      </c>
      <c r="AO48" s="47">
        <f>IF(COUNTIFS(IuranDSSebelumnya!$J$330:$J$772,$K48,IuranDSSebelumnya!$M$330:$M$772,AO$11,IuranDSSebelumnya!$L$330:$L$772,$M$5)&gt;0,
        VLOOKUP(CONCATENATE($K48,"|",AO$11,"|",$M$5),IuranDSSebelumnya!$I$330:$N$772,5,FALSE),
        IF(COUNTIFS(IuranDSSebelumnya!$J$330:$J$772,$K48,IuranDSSebelumnya!$M$330:$M$772,AO$11,IuranDSSebelumnya!$L$330:$L$772,"&lt;&gt;"&amp;$M$5)&gt;0,
              "Iuran dari Lingkungan lain",
              ""))</f>
        <v>42186</v>
      </c>
      <c r="AP48" s="47">
        <f>IF(COUNTIFS(IuranDSSebelumnya!$J$330:$J$772,$K48,IuranDSSebelumnya!$M$330:$M$772,AP$11,IuranDSSebelumnya!$L$330:$L$772,$M$5)&gt;0,
        VLOOKUP(CONCATENATE($K48,"|",AP$11,"|",$M$5),IuranDSSebelumnya!$I$330:$N$772,5,FALSE),
        IF(COUNTIFS(IuranDSSebelumnya!$J$330:$J$772,$K48,IuranDSSebelumnya!$M$330:$M$772,AP$11,IuranDSSebelumnya!$L$330:$L$772,"&lt;&gt;"&amp;$M$5)&gt;0,
              "Iuran dari Lingkungan lain",
              ""))</f>
        <v>42217</v>
      </c>
      <c r="AQ48" s="47">
        <f>IF(COUNTIFS(IuranDSSebelumnya!$J$330:$J$772,$K48,IuranDSSebelumnya!$M$330:$M$772,AQ$11,IuranDSSebelumnya!$L$330:$L$772,$M$5)&gt;0,
        VLOOKUP(CONCATENATE($K48,"|",AQ$11,"|",$M$5),IuranDSSebelumnya!$I$330:$N$772,5,FALSE),
        IF(COUNTIFS(IuranDSSebelumnya!$J$330:$J$772,$K48,IuranDSSebelumnya!$M$330:$M$772,AQ$11,IuranDSSebelumnya!$L$330:$L$772,"&lt;&gt;"&amp;$M$5)&gt;0,
              "Iuran dari Lingkungan lain",
              ""))</f>
        <v>42248</v>
      </c>
      <c r="AR48" s="47">
        <f>IF(COUNTIFS(IuranDSSebelumnya!$J$330:$J$772,$K48,IuranDSSebelumnya!$M$330:$M$772,AR$11,IuranDSSebelumnya!$L$330:$L$772,$M$5)&gt;0,
        VLOOKUP(CONCATENATE($K48,"|",AR$11,"|",$M$5),IuranDSSebelumnya!$I$330:$N$772,5,FALSE),
        IF(COUNTIFS(IuranDSSebelumnya!$J$330:$J$772,$K48,IuranDSSebelumnya!$M$330:$M$772,AR$11,IuranDSSebelumnya!$L$330:$L$772,"&lt;&gt;"&amp;$M$5)&gt;0,
              "Iuran dari Lingkungan lain",
              ""))</f>
        <v>42278</v>
      </c>
      <c r="AS48" s="47">
        <f>IF(COUNTIFS(IuranDSSebelumnya!$J$330:$J$772,$K48,IuranDSSebelumnya!$M$330:$M$772,AS$11,IuranDSSebelumnya!$L$330:$L$772,$M$5)&gt;0,
        VLOOKUP(CONCATENATE($K48,"|",AS$11,"|",$M$5),IuranDSSebelumnya!$I$330:$N$772,5,FALSE),
        IF(COUNTIFS(IuranDSSebelumnya!$J$330:$J$772,$K48,IuranDSSebelumnya!$M$330:$M$772,AS$11,IuranDSSebelumnya!$L$330:$L$772,"&lt;&gt;"&amp;$M$5)&gt;0,
              "Iuran dari Lingkungan lain",
              ""))</f>
        <v>42309</v>
      </c>
      <c r="AT48" s="47">
        <f>IF(COUNTIFS(IuranDSSebelumnya!$J$330:$J$772,$K48,IuranDSSebelumnya!$M$330:$M$772,AT$11,IuranDSSebelumnya!$L$330:$L$772,$M$5)&gt;0,
        VLOOKUP(CONCATENATE($K48,"|",AT$11,"|",$M$5),IuranDSSebelumnya!$I$330:$N$772,5,FALSE),
        IF(COUNTIFS(IuranDSSebelumnya!$J$330:$J$772,$K48,IuranDSSebelumnya!$M$330:$M$772,AT$11,IuranDSSebelumnya!$L$330:$L$772,"&lt;&gt;"&amp;$M$5)&gt;0,
              "Iuran dari Lingkungan lain",
              ""))</f>
        <v>42339</v>
      </c>
      <c r="AU48" s="47">
        <f>IF(COUNTIFS(IuranDSSebelumnya!$J$330:$J$772,$K48,IuranDSSebelumnya!$M$330:$M$772,AU$11,IuranDSSebelumnya!$L$330:$L$772,$M$5)&gt;0,
        VLOOKUP(CONCATENATE($K48,"|",AU$11,"|",$M$5),IuranDSSebelumnya!$I$330:$N$772,5,FALSE),
        IF(COUNTIFS(IuranDSSebelumnya!$J$330:$J$772,$K48,IuranDSSebelumnya!$M$330:$M$772,AU$11,IuranDSSebelumnya!$L$330:$L$772,"&lt;&gt;"&amp;$M$5)&gt;0,
              "Iuran dari Lingkungan lain",
              ""))</f>
        <v>42370</v>
      </c>
      <c r="AV48" s="47">
        <f>IF(COUNTIFS(IuranDSSebelumnya!$J$330:$J$772,$K48,IuranDSSebelumnya!$M$330:$M$772,AV$11,IuranDSSebelumnya!$L$330:$L$772,$M$5)&gt;0,
        VLOOKUP(CONCATENATE($K48,"|",AV$11,"|",$M$5),IuranDSSebelumnya!$I$330:$N$772,5,FALSE),
        IF(COUNTIFS(IuranDSSebelumnya!$J$330:$J$772,$K48,IuranDSSebelumnya!$M$330:$M$772,AV$11,IuranDSSebelumnya!$L$330:$L$772,"&lt;&gt;"&amp;$M$5)&gt;0,
              "Iuran dari Lingkungan lain",
              ""))</f>
        <v>42401</v>
      </c>
      <c r="AW48" s="47">
        <f>IF(COUNTIFS(IuranDSSebelumnya!$J$330:$J$772,$K48,IuranDSSebelumnya!$M$330:$M$772,AW$11,IuranDSSebelumnya!$L$330:$L$772,$M$5)&gt;0,
        VLOOKUP(CONCATENATE($K48,"|",AW$11,"|",$M$5),IuranDSSebelumnya!$I$330:$N$772,5,FALSE),
        IF(COUNTIFS(IuranDSSebelumnya!$J$330:$J$772,$K48,IuranDSSebelumnya!$M$330:$M$772,AW$11,IuranDSSebelumnya!$L$330:$L$772,"&lt;&gt;"&amp;$M$5)&gt;0,
              "Iuran dari Lingkungan lain",
              ""))</f>
        <v>42430</v>
      </c>
      <c r="AX48" s="47">
        <f>IF(COUNTIFS(IuranDSSebelumnya!$J$330:$J$772,$K48,IuranDSSebelumnya!$M$330:$M$772,AX$11,IuranDSSebelumnya!$L$330:$L$772,$M$5)&gt;0,
        VLOOKUP(CONCATENATE($K48,"|",AX$11,"|",$M$5),IuranDSSebelumnya!$I$330:$N$772,5,FALSE),
        IF(COUNTIFS(IuranDSSebelumnya!$J$330:$J$772,$K48,IuranDSSebelumnya!$M$330:$M$772,AX$11,IuranDSSebelumnya!$L$330:$L$772,"&lt;&gt;"&amp;$M$5)&gt;0,
              "Iuran dari Lingkungan lain",
              ""))</f>
        <v>42461</v>
      </c>
      <c r="AY48" s="47">
        <f>IF(COUNTIFS(IuranDSSebelumnya!$J$330:$J$772,$K48,IuranDSSebelumnya!$M$330:$M$772,AY$11,IuranDSSebelumnya!$L$330:$L$772,$M$5)&gt;0,
        VLOOKUP(CONCATENATE($K48,"|",AY$11,"|",$M$5),IuranDSSebelumnya!$I$330:$N$772,5,FALSE),
        IF(COUNTIFS(IuranDSSebelumnya!$J$330:$J$772,$K48,IuranDSSebelumnya!$M$330:$M$772,AY$11,IuranDSSebelumnya!$L$330:$L$772,"&lt;&gt;"&amp;$M$5)&gt;0,
              "Iuran dari Lingkungan lain",
              ""))</f>
        <v>42491</v>
      </c>
      <c r="AZ48" s="47">
        <f>IF(COUNTIFS(IuranDSSebelumnya!$J$330:$J$772,$K48,IuranDSSebelumnya!$M$330:$M$772,AZ$11,IuranDSSebelumnya!$L$330:$L$772,$M$5)&gt;0,
        VLOOKUP(CONCATENATE($K48,"|",AZ$11,"|",$M$5),IuranDSSebelumnya!$I$330:$N$772,5,FALSE),
        IF(COUNTIFS(IuranDSSebelumnya!$J$330:$J$772,$K48,IuranDSSebelumnya!$M$330:$M$772,AZ$11,IuranDSSebelumnya!$L$330:$L$772,"&lt;&gt;"&amp;$M$5)&gt;0,
              "Iuran dari Lingkungan lain",
              ""))</f>
        <v>42522</v>
      </c>
      <c r="BA48" s="47" t="str">
        <f>IF(COUNTIFS(IuranDSSebelumnya!$J$330:$J$772,$K48,IuranDSSebelumnya!$M$330:$M$772,BA$11,IuranDSSebelumnya!$L$330:$L$772,$M$5)&gt;0,
        VLOOKUP(CONCATENATE($K48,"|",BA$11,"|",$M$5),IuranDSSebelumnya!$I$330:$N$772,5,FALSE),
        IF(COUNTIFS(IuranDSSebelumnya!$J$330:$J$772,$K48,IuranDSSebelumnya!$M$330:$M$772,BA$11,IuranDSSebelumnya!$L$330:$L$772,"&lt;&gt;"&amp;$M$5)&gt;0,
              "Iuran dari Lingkungan lain",
              ""))</f>
        <v/>
      </c>
      <c r="BB48" s="47" t="str">
        <f>IF(COUNTIFS(IuranDSSebelumnya!$J$330:$J$772,$K48,IuranDSSebelumnya!$M$330:$M$772,BB$11,IuranDSSebelumnya!$L$330:$L$772,$M$5)&gt;0,
        VLOOKUP(CONCATENATE($K48,"|",BB$11,"|",$M$5),IuranDSSebelumnya!$I$330:$N$772,5,FALSE),
        IF(COUNTIFS(IuranDSSebelumnya!$J$330:$J$772,$K48,IuranDSSebelumnya!$M$330:$M$772,BB$11,IuranDSSebelumnya!$L$330:$L$772,"&lt;&gt;"&amp;$M$5)&gt;0,
              "Iuran dari Lingkungan lain",
              ""))</f>
        <v/>
      </c>
      <c r="BC48" s="47" t="str">
        <f>IF(COUNTIFS(IuranDSSebelumnya!$J$330:$J$772,$K48,IuranDSSebelumnya!$M$330:$M$772,BC$11,IuranDSSebelumnya!$L$330:$L$772,$M$5)&gt;0,
        VLOOKUP(CONCATENATE($K48,"|",BC$11,"|",$M$5),IuranDSSebelumnya!$I$330:$N$772,5,FALSE),
        IF(COUNTIFS(IuranDSSebelumnya!$J$330:$J$772,$K48,IuranDSSebelumnya!$M$330:$M$772,BC$11,IuranDSSebelumnya!$L$330:$L$772,"&lt;&gt;"&amp;$M$5)&gt;0,
              "Iuran dari Lingkungan lain",
              ""))</f>
        <v/>
      </c>
      <c r="BD48" s="47" t="str">
        <f>IF(COUNTIFS(IuranDSSebelumnya!$J$330:$J$772,$K48,IuranDSSebelumnya!$M$330:$M$772,BD$11,IuranDSSebelumnya!$L$330:$L$772,$M$5)&gt;0,
        VLOOKUP(CONCATENATE($K48,"|",BD$11,"|",$M$5),IuranDSSebelumnya!$I$330:$N$772,5,FALSE),
        IF(COUNTIFS(IuranDSSebelumnya!$J$330:$J$772,$K48,IuranDSSebelumnya!$M$330:$M$772,BD$11,IuranDSSebelumnya!$L$330:$L$772,"&lt;&gt;"&amp;$M$5)&gt;0,
              "Iuran dari Lingkungan lain",
              ""))</f>
        <v/>
      </c>
      <c r="BE48" s="47" t="str">
        <f>IF(COUNTIFS(IuranDSSebelumnya!$J$330:$J$772,$K48,IuranDSSebelumnya!$M$330:$M$772,BE$11,IuranDSSebelumnya!$L$330:$L$772,$M$5)&gt;0,
        VLOOKUP(CONCATENATE($K48,"|",BE$11,"|",$M$5),IuranDSSebelumnya!$I$330:$N$772,5,FALSE),
        IF(COUNTIFS(IuranDSSebelumnya!$J$330:$J$772,$K48,IuranDSSebelumnya!$M$330:$M$772,BE$11,IuranDSSebelumnya!$L$330:$L$772,"&lt;&gt;"&amp;$M$5)&gt;0,
              "Iuran dari Lingkungan lain",
              ""))</f>
        <v/>
      </c>
      <c r="BF48" s="47" t="str">
        <f>IF(COUNTIFS(IuranDSSebelumnya!$J$330:$J$772,$K48,IuranDSSebelumnya!$M$330:$M$772,BF$11,IuranDSSebelumnya!$L$330:$L$772,$M$5)&gt;0,
        VLOOKUP(CONCATENATE($K48,"|",BF$11,"|",$M$5),IuranDSSebelumnya!$I$330:$N$772,5,FALSE),
        IF(COUNTIFS(IuranDSSebelumnya!$J$330:$J$772,$K48,IuranDSSebelumnya!$M$330:$M$772,BF$11,IuranDSSebelumnya!$L$330:$L$772,"&lt;&gt;"&amp;$M$5)&gt;0,
              "Iuran dari Lingkungan lain",
              ""))</f>
        <v/>
      </c>
      <c r="BG48" s="47" t="str">
        <f>IF(COUNTIFS(IuranDSSebelumnya!$J$330:$J$772,$K48,IuranDSSebelumnya!$M$330:$M$772,BG$11,IuranDSSebelumnya!$L$330:$L$772,$M$5)&gt;0,
        VLOOKUP(CONCATENATE($K48,"|",BG$11,"|",$M$5),IuranDSSebelumnya!$I$330:$N$772,5,FALSE),
        IF(COUNTIFS(IuranDSSebelumnya!$J$330:$J$772,$K48,IuranDSSebelumnya!$M$330:$M$772,BG$11,IuranDSSebelumnya!$L$330:$L$772,"&lt;&gt;"&amp;$M$5)&gt;0,
              "Iuran dari Lingkungan lain",
              ""))</f>
        <v/>
      </c>
      <c r="BH48" s="47" t="str">
        <f>IF(COUNTIFS(IuranDSSebelumnya!$J$330:$J$772,$K48,IuranDSSebelumnya!$M$330:$M$772,BH$11,IuranDSSebelumnya!$L$330:$L$772,$M$5)&gt;0,
        VLOOKUP(CONCATENATE($K48,"|",BH$11,"|",$M$5),IuranDSSebelumnya!$I$330:$N$772,5,FALSE),
        IF(COUNTIFS(IuranDSSebelumnya!$J$330:$J$772,$K48,IuranDSSebelumnya!$M$330:$M$772,BH$11,IuranDSSebelumnya!$L$330:$L$772,"&lt;&gt;"&amp;$M$5)&gt;0,
              "Iuran dari Lingkungan lain",
              ""))</f>
        <v/>
      </c>
      <c r="BI48" s="47" t="str">
        <f>IF(COUNTIFS(IuranDSSebelumnya!$J$330:$J$772,$K48,IuranDSSebelumnya!$M$330:$M$772,BI$11,IuranDSSebelumnya!$L$330:$L$772,$M$5)&gt;0,
        VLOOKUP(CONCATENATE($K48,"|",BI$11,"|",$M$5),IuranDSSebelumnya!$I$330:$N$772,5,FALSE),
        IF(COUNTIFS(IuranDSSebelumnya!$J$330:$J$772,$K48,IuranDSSebelumnya!$M$330:$M$772,BI$11,IuranDSSebelumnya!$L$330:$L$772,"&lt;&gt;"&amp;$M$5)&gt;0,
              "Iuran dari Lingkungan lain",
              ""))</f>
        <v/>
      </c>
      <c r="BJ48" s="47" t="str">
        <f>IF(COUNTIFS(IuranDSSebelumnya!$J$330:$J$772,$K48,IuranDSSebelumnya!$M$330:$M$772,BJ$11,IuranDSSebelumnya!$L$330:$L$772,$M$5)&gt;0,
        VLOOKUP(CONCATENATE($K48,"|",BJ$11,"|",$M$5),IuranDSSebelumnya!$I$330:$N$772,5,FALSE),
        IF(COUNTIFS(IuranDSSebelumnya!$J$330:$J$772,$K48,IuranDSSebelumnya!$M$330:$M$772,BJ$11,IuranDSSebelumnya!$L$330:$L$772,"&lt;&gt;"&amp;$M$5)&gt;0,
              "Iuran dari Lingkungan lain",
              ""))</f>
        <v/>
      </c>
      <c r="BK48" s="47" t="str">
        <f>IF(COUNTIFS(IuranDSSebelumnya!$J$330:$J$772,$K48,IuranDSSebelumnya!$M$330:$M$772,BK$11,IuranDSSebelumnya!$L$330:$L$772,$M$5)&gt;0,
        VLOOKUP(CONCATENATE($K48,"|",BK$11,"|",$M$5),IuranDSSebelumnya!$I$330:$N$772,5,FALSE),
        IF(COUNTIFS(IuranDSSebelumnya!$J$330:$J$772,$K48,IuranDSSebelumnya!$M$330:$M$772,BK$11,IuranDSSebelumnya!$L$330:$L$772,"&lt;&gt;"&amp;$M$5)&gt;0,
              "Iuran dari Lingkungan lain",
              ""))</f>
        <v/>
      </c>
      <c r="BL48" s="47" t="str">
        <f>IF(COUNTIFS(IuranDSSebelumnya!$J$330:$J$772,$K48,IuranDSSebelumnya!$M$330:$M$772,BL$11,IuranDSSebelumnya!$L$330:$L$772,$M$5)&gt;0,
        VLOOKUP(CONCATENATE($K48,"|",BL$11,"|",$M$5),IuranDSSebelumnya!$I$330:$N$772,5,FALSE),
        IF(COUNTIFS(IuranDSSebelumnya!$J$330:$J$772,$K48,IuranDSSebelumnya!$M$330:$M$772,BL$11,IuranDSSebelumnya!$L$330:$L$772,"&lt;&gt;"&amp;$M$5)&gt;0,
              "Iuran dari Lingkungan lain",
              ""))</f>
        <v/>
      </c>
    </row>
    <row r="49" spans="1:64" x14ac:dyDescent="0.35">
      <c r="A49" s="30" t="s">
        <v>6063</v>
      </c>
      <c r="C49" s="30" t="b">
        <f t="shared" ca="1" si="16"/>
        <v>0</v>
      </c>
      <c r="D49" s="30" t="str">
        <f>"""TRUST Nav"",""HSPMTB2016"",""18"",""1"",""KK-04621"""</f>
        <v>"TRUST Nav","HSPMTB2016","18","1","KK-04621"</v>
      </c>
      <c r="H49" s="30">
        <f t="shared" si="17"/>
        <v>0</v>
      </c>
      <c r="J49" s="30">
        <f t="shared" si="18"/>
        <v>37</v>
      </c>
      <c r="K49" s="30" t="str">
        <f>"KK-04621"</f>
        <v>KK-04621</v>
      </c>
      <c r="L49" s="30" t="str">
        <f>"Tommy Prasetyo Utomo"</f>
        <v>Tommy Prasetyo Utomo</v>
      </c>
      <c r="M49" s="30"/>
      <c r="N49" s="129"/>
      <c r="O49" s="129"/>
      <c r="P49" s="129"/>
      <c r="Q49" s="129"/>
      <c r="R49" s="129"/>
      <c r="S49" s="129"/>
      <c r="T49" s="130"/>
      <c r="U49" s="131"/>
      <c r="V49" s="131"/>
      <c r="W49" s="131"/>
      <c r="X49" s="131"/>
      <c r="Y49" s="132"/>
      <c r="Z49" s="4"/>
      <c r="AA49" s="4"/>
      <c r="AB49" s="4"/>
      <c r="AC49" s="4"/>
      <c r="AD49" s="4"/>
      <c r="AE49" s="4"/>
      <c r="AF49" s="11"/>
      <c r="AG49" s="4"/>
      <c r="AH49" s="4"/>
      <c r="AI49" s="4"/>
      <c r="AJ49" s="4"/>
      <c r="AK49" s="4"/>
      <c r="AL49" s="9">
        <f t="shared" si="19"/>
        <v>0</v>
      </c>
      <c r="AO49" s="47">
        <f>IF(COUNTIFS(IuranDSSebelumnya!$J$330:$J$772,$K49,IuranDSSebelumnya!$M$330:$M$772,AO$11,IuranDSSebelumnya!$L$330:$L$772,$M$5)&gt;0,
        VLOOKUP(CONCATENATE($K49,"|",AO$11,"|",$M$5),IuranDSSebelumnya!$I$330:$N$772,5,FALSE),
        IF(COUNTIFS(IuranDSSebelumnya!$J$330:$J$772,$K49,IuranDSSebelumnya!$M$330:$M$772,AO$11,IuranDSSebelumnya!$L$330:$L$772,"&lt;&gt;"&amp;$M$5)&gt;0,
              "Iuran dari Lingkungan lain",
              ""))</f>
        <v>42186</v>
      </c>
      <c r="AP49" s="47">
        <f>IF(COUNTIFS(IuranDSSebelumnya!$J$330:$J$772,$K49,IuranDSSebelumnya!$M$330:$M$772,AP$11,IuranDSSebelumnya!$L$330:$L$772,$M$5)&gt;0,
        VLOOKUP(CONCATENATE($K49,"|",AP$11,"|",$M$5),IuranDSSebelumnya!$I$330:$N$772,5,FALSE),
        IF(COUNTIFS(IuranDSSebelumnya!$J$330:$J$772,$K49,IuranDSSebelumnya!$M$330:$M$772,AP$11,IuranDSSebelumnya!$L$330:$L$772,"&lt;&gt;"&amp;$M$5)&gt;0,
              "Iuran dari Lingkungan lain",
              ""))</f>
        <v>42217</v>
      </c>
      <c r="AQ49" s="47">
        <f>IF(COUNTIFS(IuranDSSebelumnya!$J$330:$J$772,$K49,IuranDSSebelumnya!$M$330:$M$772,AQ$11,IuranDSSebelumnya!$L$330:$L$772,$M$5)&gt;0,
        VLOOKUP(CONCATENATE($K49,"|",AQ$11,"|",$M$5),IuranDSSebelumnya!$I$330:$N$772,5,FALSE),
        IF(COUNTIFS(IuranDSSebelumnya!$J$330:$J$772,$K49,IuranDSSebelumnya!$M$330:$M$772,AQ$11,IuranDSSebelumnya!$L$330:$L$772,"&lt;&gt;"&amp;$M$5)&gt;0,
              "Iuran dari Lingkungan lain",
              ""))</f>
        <v>42248</v>
      </c>
      <c r="AR49" s="47">
        <f>IF(COUNTIFS(IuranDSSebelumnya!$J$330:$J$772,$K49,IuranDSSebelumnya!$M$330:$M$772,AR$11,IuranDSSebelumnya!$L$330:$L$772,$M$5)&gt;0,
        VLOOKUP(CONCATENATE($K49,"|",AR$11,"|",$M$5),IuranDSSebelumnya!$I$330:$N$772,5,FALSE),
        IF(COUNTIFS(IuranDSSebelumnya!$J$330:$J$772,$K49,IuranDSSebelumnya!$M$330:$M$772,AR$11,IuranDSSebelumnya!$L$330:$L$772,"&lt;&gt;"&amp;$M$5)&gt;0,
              "Iuran dari Lingkungan lain",
              ""))</f>
        <v>42278</v>
      </c>
      <c r="AS49" s="47">
        <f>IF(COUNTIFS(IuranDSSebelumnya!$J$330:$J$772,$K49,IuranDSSebelumnya!$M$330:$M$772,AS$11,IuranDSSebelumnya!$L$330:$L$772,$M$5)&gt;0,
        VLOOKUP(CONCATENATE($K49,"|",AS$11,"|",$M$5),IuranDSSebelumnya!$I$330:$N$772,5,FALSE),
        IF(COUNTIFS(IuranDSSebelumnya!$J$330:$J$772,$K49,IuranDSSebelumnya!$M$330:$M$772,AS$11,IuranDSSebelumnya!$L$330:$L$772,"&lt;&gt;"&amp;$M$5)&gt;0,
              "Iuran dari Lingkungan lain",
              ""))</f>
        <v>42309</v>
      </c>
      <c r="AT49" s="47">
        <f>IF(COUNTIFS(IuranDSSebelumnya!$J$330:$J$772,$K49,IuranDSSebelumnya!$M$330:$M$772,AT$11,IuranDSSebelumnya!$L$330:$L$772,$M$5)&gt;0,
        VLOOKUP(CONCATENATE($K49,"|",AT$11,"|",$M$5),IuranDSSebelumnya!$I$330:$N$772,5,FALSE),
        IF(COUNTIFS(IuranDSSebelumnya!$J$330:$J$772,$K49,IuranDSSebelumnya!$M$330:$M$772,AT$11,IuranDSSebelumnya!$L$330:$L$772,"&lt;&gt;"&amp;$M$5)&gt;0,
              "Iuran dari Lingkungan lain",
              ""))</f>
        <v>42339</v>
      </c>
      <c r="AU49" s="47">
        <f>IF(COUNTIFS(IuranDSSebelumnya!$J$330:$J$772,$K49,IuranDSSebelumnya!$M$330:$M$772,AU$11,IuranDSSebelumnya!$L$330:$L$772,$M$5)&gt;0,
        VLOOKUP(CONCATENATE($K49,"|",AU$11,"|",$M$5),IuranDSSebelumnya!$I$330:$N$772,5,FALSE),
        IF(COUNTIFS(IuranDSSebelumnya!$J$330:$J$772,$K49,IuranDSSebelumnya!$M$330:$M$772,AU$11,IuranDSSebelumnya!$L$330:$L$772,"&lt;&gt;"&amp;$M$5)&gt;0,
              "Iuran dari Lingkungan lain",
              ""))</f>
        <v>42370</v>
      </c>
      <c r="AV49" s="47">
        <f>IF(COUNTIFS(IuranDSSebelumnya!$J$330:$J$772,$K49,IuranDSSebelumnya!$M$330:$M$772,AV$11,IuranDSSebelumnya!$L$330:$L$772,$M$5)&gt;0,
        VLOOKUP(CONCATENATE($K49,"|",AV$11,"|",$M$5),IuranDSSebelumnya!$I$330:$N$772,5,FALSE),
        IF(COUNTIFS(IuranDSSebelumnya!$J$330:$J$772,$K49,IuranDSSebelumnya!$M$330:$M$772,AV$11,IuranDSSebelumnya!$L$330:$L$772,"&lt;&gt;"&amp;$M$5)&gt;0,
              "Iuran dari Lingkungan lain",
              ""))</f>
        <v>42401</v>
      </c>
      <c r="AW49" s="47">
        <f>IF(COUNTIFS(IuranDSSebelumnya!$J$330:$J$772,$K49,IuranDSSebelumnya!$M$330:$M$772,AW$11,IuranDSSebelumnya!$L$330:$L$772,$M$5)&gt;0,
        VLOOKUP(CONCATENATE($K49,"|",AW$11,"|",$M$5),IuranDSSebelumnya!$I$330:$N$772,5,FALSE),
        IF(COUNTIFS(IuranDSSebelumnya!$J$330:$J$772,$K49,IuranDSSebelumnya!$M$330:$M$772,AW$11,IuranDSSebelumnya!$L$330:$L$772,"&lt;&gt;"&amp;$M$5)&gt;0,
              "Iuran dari Lingkungan lain",
              ""))</f>
        <v>42430</v>
      </c>
      <c r="AX49" s="47">
        <f>IF(COUNTIFS(IuranDSSebelumnya!$J$330:$J$772,$K49,IuranDSSebelumnya!$M$330:$M$772,AX$11,IuranDSSebelumnya!$L$330:$L$772,$M$5)&gt;0,
        VLOOKUP(CONCATENATE($K49,"|",AX$11,"|",$M$5),IuranDSSebelumnya!$I$330:$N$772,5,FALSE),
        IF(COUNTIFS(IuranDSSebelumnya!$J$330:$J$772,$K49,IuranDSSebelumnya!$M$330:$M$772,AX$11,IuranDSSebelumnya!$L$330:$L$772,"&lt;&gt;"&amp;$M$5)&gt;0,
              "Iuran dari Lingkungan lain",
              ""))</f>
        <v>42461</v>
      </c>
      <c r="AY49" s="47">
        <f>IF(COUNTIFS(IuranDSSebelumnya!$J$330:$J$772,$K49,IuranDSSebelumnya!$M$330:$M$772,AY$11,IuranDSSebelumnya!$L$330:$L$772,$M$5)&gt;0,
        VLOOKUP(CONCATENATE($K49,"|",AY$11,"|",$M$5),IuranDSSebelumnya!$I$330:$N$772,5,FALSE),
        IF(COUNTIFS(IuranDSSebelumnya!$J$330:$J$772,$K49,IuranDSSebelumnya!$M$330:$M$772,AY$11,IuranDSSebelumnya!$L$330:$L$772,"&lt;&gt;"&amp;$M$5)&gt;0,
              "Iuran dari Lingkungan lain",
              ""))</f>
        <v>42491</v>
      </c>
      <c r="AZ49" s="47">
        <f>IF(COUNTIFS(IuranDSSebelumnya!$J$330:$J$772,$K49,IuranDSSebelumnya!$M$330:$M$772,AZ$11,IuranDSSebelumnya!$L$330:$L$772,$M$5)&gt;0,
        VLOOKUP(CONCATENATE($K49,"|",AZ$11,"|",$M$5),IuranDSSebelumnya!$I$330:$N$772,5,FALSE),
        IF(COUNTIFS(IuranDSSebelumnya!$J$330:$J$772,$K49,IuranDSSebelumnya!$M$330:$M$772,AZ$11,IuranDSSebelumnya!$L$330:$L$772,"&lt;&gt;"&amp;$M$5)&gt;0,
              "Iuran dari Lingkungan lain",
              ""))</f>
        <v>42522</v>
      </c>
      <c r="BA49" s="47" t="str">
        <f>IF(COUNTIFS(IuranDSSebelumnya!$J$330:$J$772,$K49,IuranDSSebelumnya!$M$330:$M$772,BA$11,IuranDSSebelumnya!$L$330:$L$772,$M$5)&gt;0,
        VLOOKUP(CONCATENATE($K49,"|",BA$11,"|",$M$5),IuranDSSebelumnya!$I$330:$N$772,5,FALSE),
        IF(COUNTIFS(IuranDSSebelumnya!$J$330:$J$772,$K49,IuranDSSebelumnya!$M$330:$M$772,BA$11,IuranDSSebelumnya!$L$330:$L$772,"&lt;&gt;"&amp;$M$5)&gt;0,
              "Iuran dari Lingkungan lain",
              ""))</f>
        <v/>
      </c>
      <c r="BB49" s="47" t="str">
        <f>IF(COUNTIFS(IuranDSSebelumnya!$J$330:$J$772,$K49,IuranDSSebelumnya!$M$330:$M$772,BB$11,IuranDSSebelumnya!$L$330:$L$772,$M$5)&gt;0,
        VLOOKUP(CONCATENATE($K49,"|",BB$11,"|",$M$5),IuranDSSebelumnya!$I$330:$N$772,5,FALSE),
        IF(COUNTIFS(IuranDSSebelumnya!$J$330:$J$772,$K49,IuranDSSebelumnya!$M$330:$M$772,BB$11,IuranDSSebelumnya!$L$330:$L$772,"&lt;&gt;"&amp;$M$5)&gt;0,
              "Iuran dari Lingkungan lain",
              ""))</f>
        <v/>
      </c>
      <c r="BC49" s="47" t="str">
        <f>IF(COUNTIFS(IuranDSSebelumnya!$J$330:$J$772,$K49,IuranDSSebelumnya!$M$330:$M$772,BC$11,IuranDSSebelumnya!$L$330:$L$772,$M$5)&gt;0,
        VLOOKUP(CONCATENATE($K49,"|",BC$11,"|",$M$5),IuranDSSebelumnya!$I$330:$N$772,5,FALSE),
        IF(COUNTIFS(IuranDSSebelumnya!$J$330:$J$772,$K49,IuranDSSebelumnya!$M$330:$M$772,BC$11,IuranDSSebelumnya!$L$330:$L$772,"&lt;&gt;"&amp;$M$5)&gt;0,
              "Iuran dari Lingkungan lain",
              ""))</f>
        <v/>
      </c>
      <c r="BD49" s="47" t="str">
        <f>IF(COUNTIFS(IuranDSSebelumnya!$J$330:$J$772,$K49,IuranDSSebelumnya!$M$330:$M$772,BD$11,IuranDSSebelumnya!$L$330:$L$772,$M$5)&gt;0,
        VLOOKUP(CONCATENATE($K49,"|",BD$11,"|",$M$5),IuranDSSebelumnya!$I$330:$N$772,5,FALSE),
        IF(COUNTIFS(IuranDSSebelumnya!$J$330:$J$772,$K49,IuranDSSebelumnya!$M$330:$M$772,BD$11,IuranDSSebelumnya!$L$330:$L$772,"&lt;&gt;"&amp;$M$5)&gt;0,
              "Iuran dari Lingkungan lain",
              ""))</f>
        <v/>
      </c>
      <c r="BE49" s="47" t="str">
        <f>IF(COUNTIFS(IuranDSSebelumnya!$J$330:$J$772,$K49,IuranDSSebelumnya!$M$330:$M$772,BE$11,IuranDSSebelumnya!$L$330:$L$772,$M$5)&gt;0,
        VLOOKUP(CONCATENATE($K49,"|",BE$11,"|",$M$5),IuranDSSebelumnya!$I$330:$N$772,5,FALSE),
        IF(COUNTIFS(IuranDSSebelumnya!$J$330:$J$772,$K49,IuranDSSebelumnya!$M$330:$M$772,BE$11,IuranDSSebelumnya!$L$330:$L$772,"&lt;&gt;"&amp;$M$5)&gt;0,
              "Iuran dari Lingkungan lain",
              ""))</f>
        <v/>
      </c>
      <c r="BF49" s="47" t="str">
        <f>IF(COUNTIFS(IuranDSSebelumnya!$J$330:$J$772,$K49,IuranDSSebelumnya!$M$330:$M$772,BF$11,IuranDSSebelumnya!$L$330:$L$772,$M$5)&gt;0,
        VLOOKUP(CONCATENATE($K49,"|",BF$11,"|",$M$5),IuranDSSebelumnya!$I$330:$N$772,5,FALSE),
        IF(COUNTIFS(IuranDSSebelumnya!$J$330:$J$772,$K49,IuranDSSebelumnya!$M$330:$M$772,BF$11,IuranDSSebelumnya!$L$330:$L$772,"&lt;&gt;"&amp;$M$5)&gt;0,
              "Iuran dari Lingkungan lain",
              ""))</f>
        <v/>
      </c>
      <c r="BG49" s="47" t="str">
        <f>IF(COUNTIFS(IuranDSSebelumnya!$J$330:$J$772,$K49,IuranDSSebelumnya!$M$330:$M$772,BG$11,IuranDSSebelumnya!$L$330:$L$772,$M$5)&gt;0,
        VLOOKUP(CONCATENATE($K49,"|",BG$11,"|",$M$5),IuranDSSebelumnya!$I$330:$N$772,5,FALSE),
        IF(COUNTIFS(IuranDSSebelumnya!$J$330:$J$772,$K49,IuranDSSebelumnya!$M$330:$M$772,BG$11,IuranDSSebelumnya!$L$330:$L$772,"&lt;&gt;"&amp;$M$5)&gt;0,
              "Iuran dari Lingkungan lain",
              ""))</f>
        <v/>
      </c>
      <c r="BH49" s="47" t="str">
        <f>IF(COUNTIFS(IuranDSSebelumnya!$J$330:$J$772,$K49,IuranDSSebelumnya!$M$330:$M$772,BH$11,IuranDSSebelumnya!$L$330:$L$772,$M$5)&gt;0,
        VLOOKUP(CONCATENATE($K49,"|",BH$11,"|",$M$5),IuranDSSebelumnya!$I$330:$N$772,5,FALSE),
        IF(COUNTIFS(IuranDSSebelumnya!$J$330:$J$772,$K49,IuranDSSebelumnya!$M$330:$M$772,BH$11,IuranDSSebelumnya!$L$330:$L$772,"&lt;&gt;"&amp;$M$5)&gt;0,
              "Iuran dari Lingkungan lain",
              ""))</f>
        <v/>
      </c>
      <c r="BI49" s="47" t="str">
        <f>IF(COUNTIFS(IuranDSSebelumnya!$J$330:$J$772,$K49,IuranDSSebelumnya!$M$330:$M$772,BI$11,IuranDSSebelumnya!$L$330:$L$772,$M$5)&gt;0,
        VLOOKUP(CONCATENATE($K49,"|",BI$11,"|",$M$5),IuranDSSebelumnya!$I$330:$N$772,5,FALSE),
        IF(COUNTIFS(IuranDSSebelumnya!$J$330:$J$772,$K49,IuranDSSebelumnya!$M$330:$M$772,BI$11,IuranDSSebelumnya!$L$330:$L$772,"&lt;&gt;"&amp;$M$5)&gt;0,
              "Iuran dari Lingkungan lain",
              ""))</f>
        <v/>
      </c>
      <c r="BJ49" s="47" t="str">
        <f>IF(COUNTIFS(IuranDSSebelumnya!$J$330:$J$772,$K49,IuranDSSebelumnya!$M$330:$M$772,BJ$11,IuranDSSebelumnya!$L$330:$L$772,$M$5)&gt;0,
        VLOOKUP(CONCATENATE($K49,"|",BJ$11,"|",$M$5),IuranDSSebelumnya!$I$330:$N$772,5,FALSE),
        IF(COUNTIFS(IuranDSSebelumnya!$J$330:$J$772,$K49,IuranDSSebelumnya!$M$330:$M$772,BJ$11,IuranDSSebelumnya!$L$330:$L$772,"&lt;&gt;"&amp;$M$5)&gt;0,
              "Iuran dari Lingkungan lain",
              ""))</f>
        <v/>
      </c>
      <c r="BK49" s="47" t="str">
        <f>IF(COUNTIFS(IuranDSSebelumnya!$J$330:$J$772,$K49,IuranDSSebelumnya!$M$330:$M$772,BK$11,IuranDSSebelumnya!$L$330:$L$772,$M$5)&gt;0,
        VLOOKUP(CONCATENATE($K49,"|",BK$11,"|",$M$5),IuranDSSebelumnya!$I$330:$N$772,5,FALSE),
        IF(COUNTIFS(IuranDSSebelumnya!$J$330:$J$772,$K49,IuranDSSebelumnya!$M$330:$M$772,BK$11,IuranDSSebelumnya!$L$330:$L$772,"&lt;&gt;"&amp;$M$5)&gt;0,
              "Iuran dari Lingkungan lain",
              ""))</f>
        <v/>
      </c>
      <c r="BL49" s="47" t="str">
        <f>IF(COUNTIFS(IuranDSSebelumnya!$J$330:$J$772,$K49,IuranDSSebelumnya!$M$330:$M$772,BL$11,IuranDSSebelumnya!$L$330:$L$772,$M$5)&gt;0,
        VLOOKUP(CONCATENATE($K49,"|",BL$11,"|",$M$5),IuranDSSebelumnya!$I$330:$N$772,5,FALSE),
        IF(COUNTIFS(IuranDSSebelumnya!$J$330:$J$772,$K49,IuranDSSebelumnya!$M$330:$M$772,BL$11,IuranDSSebelumnya!$L$330:$L$772,"&lt;&gt;"&amp;$M$5)&gt;0,
              "Iuran dari Lingkungan lain",
              ""))</f>
        <v/>
      </c>
    </row>
    <row r="50" spans="1:64" x14ac:dyDescent="0.35">
      <c r="A50" s="30" t="s">
        <v>6063</v>
      </c>
      <c r="C50" s="30" t="b">
        <f t="shared" ca="1" si="16"/>
        <v>0</v>
      </c>
      <c r="D50" s="30" t="str">
        <f>"""TRUST Nav"",""HSPMTB2016"",""18"",""1"",""KK-04622"""</f>
        <v>"TRUST Nav","HSPMTB2016","18","1","KK-04622"</v>
      </c>
      <c r="H50" s="30">
        <f t="shared" si="17"/>
        <v>0</v>
      </c>
      <c r="J50" s="30">
        <f t="shared" si="18"/>
        <v>38</v>
      </c>
      <c r="K50" s="30" t="str">
        <f>"KK-04622"</f>
        <v>KK-04622</v>
      </c>
      <c r="L50" s="30" t="str">
        <f>"Tri Saptono Vinsentius "</f>
        <v xml:space="preserve">Tri Saptono Vinsentius </v>
      </c>
      <c r="M50" s="30"/>
      <c r="N50" s="129"/>
      <c r="O50" s="129"/>
      <c r="P50" s="129"/>
      <c r="Q50" s="129"/>
      <c r="R50" s="129"/>
      <c r="S50" s="129"/>
      <c r="T50" s="130"/>
      <c r="U50" s="131"/>
      <c r="V50" s="131"/>
      <c r="W50" s="131"/>
      <c r="X50" s="131"/>
      <c r="Y50" s="132"/>
      <c r="Z50" s="131"/>
      <c r="AA50" s="4"/>
      <c r="AB50" s="4"/>
      <c r="AC50" s="4"/>
      <c r="AD50" s="4"/>
      <c r="AE50" s="4"/>
      <c r="AF50" s="11"/>
      <c r="AG50" s="4"/>
      <c r="AH50" s="4"/>
      <c r="AI50" s="4"/>
      <c r="AJ50" s="4"/>
      <c r="AK50" s="4"/>
      <c r="AL50" s="9">
        <f t="shared" si="19"/>
        <v>0</v>
      </c>
      <c r="AO50" s="47">
        <f>IF(COUNTIFS(IuranDSSebelumnya!$J$330:$J$772,$K50,IuranDSSebelumnya!$M$330:$M$772,AO$11,IuranDSSebelumnya!$L$330:$L$772,$M$5)&gt;0,
        VLOOKUP(CONCATENATE($K50,"|",AO$11,"|",$M$5),IuranDSSebelumnya!$I$330:$N$772,5,FALSE),
        IF(COUNTIFS(IuranDSSebelumnya!$J$330:$J$772,$K50,IuranDSSebelumnya!$M$330:$M$772,AO$11,IuranDSSebelumnya!$L$330:$L$772,"&lt;&gt;"&amp;$M$5)&gt;0,
              "Iuran dari Lingkungan lain",
              ""))</f>
        <v>42186</v>
      </c>
      <c r="AP50" s="47">
        <f>IF(COUNTIFS(IuranDSSebelumnya!$J$330:$J$772,$K50,IuranDSSebelumnya!$M$330:$M$772,AP$11,IuranDSSebelumnya!$L$330:$L$772,$M$5)&gt;0,
        VLOOKUP(CONCATENATE($K50,"|",AP$11,"|",$M$5),IuranDSSebelumnya!$I$330:$N$772,5,FALSE),
        IF(COUNTIFS(IuranDSSebelumnya!$J$330:$J$772,$K50,IuranDSSebelumnya!$M$330:$M$772,AP$11,IuranDSSebelumnya!$L$330:$L$772,"&lt;&gt;"&amp;$M$5)&gt;0,
              "Iuran dari Lingkungan lain",
              ""))</f>
        <v>42217</v>
      </c>
      <c r="AQ50" s="47">
        <f>IF(COUNTIFS(IuranDSSebelumnya!$J$330:$J$772,$K50,IuranDSSebelumnya!$M$330:$M$772,AQ$11,IuranDSSebelumnya!$L$330:$L$772,$M$5)&gt;0,
        VLOOKUP(CONCATENATE($K50,"|",AQ$11,"|",$M$5),IuranDSSebelumnya!$I$330:$N$772,5,FALSE),
        IF(COUNTIFS(IuranDSSebelumnya!$J$330:$J$772,$K50,IuranDSSebelumnya!$M$330:$M$772,AQ$11,IuranDSSebelumnya!$L$330:$L$772,"&lt;&gt;"&amp;$M$5)&gt;0,
              "Iuran dari Lingkungan lain",
              ""))</f>
        <v>42248</v>
      </c>
      <c r="AR50" s="47">
        <f>IF(COUNTIFS(IuranDSSebelumnya!$J$330:$J$772,$K50,IuranDSSebelumnya!$M$330:$M$772,AR$11,IuranDSSebelumnya!$L$330:$L$772,$M$5)&gt;0,
        VLOOKUP(CONCATENATE($K50,"|",AR$11,"|",$M$5),IuranDSSebelumnya!$I$330:$N$772,5,FALSE),
        IF(COUNTIFS(IuranDSSebelumnya!$J$330:$J$772,$K50,IuranDSSebelumnya!$M$330:$M$772,AR$11,IuranDSSebelumnya!$L$330:$L$772,"&lt;&gt;"&amp;$M$5)&gt;0,
              "Iuran dari Lingkungan lain",
              ""))</f>
        <v>42278</v>
      </c>
      <c r="AS50" s="47">
        <f>IF(COUNTIFS(IuranDSSebelumnya!$J$330:$J$772,$K50,IuranDSSebelumnya!$M$330:$M$772,AS$11,IuranDSSebelumnya!$L$330:$L$772,$M$5)&gt;0,
        VLOOKUP(CONCATENATE($K50,"|",AS$11,"|",$M$5),IuranDSSebelumnya!$I$330:$N$772,5,FALSE),
        IF(COUNTIFS(IuranDSSebelumnya!$J$330:$J$772,$K50,IuranDSSebelumnya!$M$330:$M$772,AS$11,IuranDSSebelumnya!$L$330:$L$772,"&lt;&gt;"&amp;$M$5)&gt;0,
              "Iuran dari Lingkungan lain",
              ""))</f>
        <v>42309</v>
      </c>
      <c r="AT50" s="47">
        <f>IF(COUNTIFS(IuranDSSebelumnya!$J$330:$J$772,$K50,IuranDSSebelumnya!$M$330:$M$772,AT$11,IuranDSSebelumnya!$L$330:$L$772,$M$5)&gt;0,
        VLOOKUP(CONCATENATE($K50,"|",AT$11,"|",$M$5),IuranDSSebelumnya!$I$330:$N$772,5,FALSE),
        IF(COUNTIFS(IuranDSSebelumnya!$J$330:$J$772,$K50,IuranDSSebelumnya!$M$330:$M$772,AT$11,IuranDSSebelumnya!$L$330:$L$772,"&lt;&gt;"&amp;$M$5)&gt;0,
              "Iuran dari Lingkungan lain",
              ""))</f>
        <v>42339</v>
      </c>
      <c r="AU50" s="47">
        <f>IF(COUNTIFS(IuranDSSebelumnya!$J$330:$J$772,$K50,IuranDSSebelumnya!$M$330:$M$772,AU$11,IuranDSSebelumnya!$L$330:$L$772,$M$5)&gt;0,
        VLOOKUP(CONCATENATE($K50,"|",AU$11,"|",$M$5),IuranDSSebelumnya!$I$330:$N$772,5,FALSE),
        IF(COUNTIFS(IuranDSSebelumnya!$J$330:$J$772,$K50,IuranDSSebelumnya!$M$330:$M$772,AU$11,IuranDSSebelumnya!$L$330:$L$772,"&lt;&gt;"&amp;$M$5)&gt;0,
              "Iuran dari Lingkungan lain",
              ""))</f>
        <v>42370</v>
      </c>
      <c r="AV50" s="47">
        <f>IF(COUNTIFS(IuranDSSebelumnya!$J$330:$J$772,$K50,IuranDSSebelumnya!$M$330:$M$772,AV$11,IuranDSSebelumnya!$L$330:$L$772,$M$5)&gt;0,
        VLOOKUP(CONCATENATE($K50,"|",AV$11,"|",$M$5),IuranDSSebelumnya!$I$330:$N$772,5,FALSE),
        IF(COUNTIFS(IuranDSSebelumnya!$J$330:$J$772,$K50,IuranDSSebelumnya!$M$330:$M$772,AV$11,IuranDSSebelumnya!$L$330:$L$772,"&lt;&gt;"&amp;$M$5)&gt;0,
              "Iuran dari Lingkungan lain",
              ""))</f>
        <v>42401</v>
      </c>
      <c r="AW50" s="47">
        <f>IF(COUNTIFS(IuranDSSebelumnya!$J$330:$J$772,$K50,IuranDSSebelumnya!$M$330:$M$772,AW$11,IuranDSSebelumnya!$L$330:$L$772,$M$5)&gt;0,
        VLOOKUP(CONCATENATE($K50,"|",AW$11,"|",$M$5),IuranDSSebelumnya!$I$330:$N$772,5,FALSE),
        IF(COUNTIFS(IuranDSSebelumnya!$J$330:$J$772,$K50,IuranDSSebelumnya!$M$330:$M$772,AW$11,IuranDSSebelumnya!$L$330:$L$772,"&lt;&gt;"&amp;$M$5)&gt;0,
              "Iuran dari Lingkungan lain",
              ""))</f>
        <v>42430</v>
      </c>
      <c r="AX50" s="47">
        <f>IF(COUNTIFS(IuranDSSebelumnya!$J$330:$J$772,$K50,IuranDSSebelumnya!$M$330:$M$772,AX$11,IuranDSSebelumnya!$L$330:$L$772,$M$5)&gt;0,
        VLOOKUP(CONCATENATE($K50,"|",AX$11,"|",$M$5),IuranDSSebelumnya!$I$330:$N$772,5,FALSE),
        IF(COUNTIFS(IuranDSSebelumnya!$J$330:$J$772,$K50,IuranDSSebelumnya!$M$330:$M$772,AX$11,IuranDSSebelumnya!$L$330:$L$772,"&lt;&gt;"&amp;$M$5)&gt;0,
              "Iuran dari Lingkungan lain",
              ""))</f>
        <v>42461</v>
      </c>
      <c r="AY50" s="47">
        <f>IF(COUNTIFS(IuranDSSebelumnya!$J$330:$J$772,$K50,IuranDSSebelumnya!$M$330:$M$772,AY$11,IuranDSSebelumnya!$L$330:$L$772,$M$5)&gt;0,
        VLOOKUP(CONCATENATE($K50,"|",AY$11,"|",$M$5),IuranDSSebelumnya!$I$330:$N$772,5,FALSE),
        IF(COUNTIFS(IuranDSSebelumnya!$J$330:$J$772,$K50,IuranDSSebelumnya!$M$330:$M$772,AY$11,IuranDSSebelumnya!$L$330:$L$772,"&lt;&gt;"&amp;$M$5)&gt;0,
              "Iuran dari Lingkungan lain",
              ""))</f>
        <v>42491</v>
      </c>
      <c r="AZ50" s="47">
        <f>IF(COUNTIFS(IuranDSSebelumnya!$J$330:$J$772,$K50,IuranDSSebelumnya!$M$330:$M$772,AZ$11,IuranDSSebelumnya!$L$330:$L$772,$M$5)&gt;0,
        VLOOKUP(CONCATENATE($K50,"|",AZ$11,"|",$M$5),IuranDSSebelumnya!$I$330:$N$772,5,FALSE),
        IF(COUNTIFS(IuranDSSebelumnya!$J$330:$J$772,$K50,IuranDSSebelumnya!$M$330:$M$772,AZ$11,IuranDSSebelumnya!$L$330:$L$772,"&lt;&gt;"&amp;$M$5)&gt;0,
              "Iuran dari Lingkungan lain",
              ""))</f>
        <v>42522</v>
      </c>
      <c r="BA50" s="47">
        <f>IF(COUNTIFS(IuranDSSebelumnya!$J$330:$J$772,$K50,IuranDSSebelumnya!$M$330:$M$772,BA$11,IuranDSSebelumnya!$L$330:$L$772,$M$5)&gt;0,
        VLOOKUP(CONCATENATE($K50,"|",BA$11,"|",$M$5),IuranDSSebelumnya!$I$330:$N$772,5,FALSE),
        IF(COUNTIFS(IuranDSSebelumnya!$J$330:$J$772,$K50,IuranDSSebelumnya!$M$330:$M$772,BA$11,IuranDSSebelumnya!$L$330:$L$772,"&lt;&gt;"&amp;$M$5)&gt;0,
              "Iuran dari Lingkungan lain",
              ""))</f>
        <v>42552</v>
      </c>
      <c r="BB50" s="47" t="str">
        <f>IF(COUNTIFS(IuranDSSebelumnya!$J$330:$J$772,$K50,IuranDSSebelumnya!$M$330:$M$772,BB$11,IuranDSSebelumnya!$L$330:$L$772,$M$5)&gt;0,
        VLOOKUP(CONCATENATE($K50,"|",BB$11,"|",$M$5),IuranDSSebelumnya!$I$330:$N$772,5,FALSE),
        IF(COUNTIFS(IuranDSSebelumnya!$J$330:$J$772,$K50,IuranDSSebelumnya!$M$330:$M$772,BB$11,IuranDSSebelumnya!$L$330:$L$772,"&lt;&gt;"&amp;$M$5)&gt;0,
              "Iuran dari Lingkungan lain",
              ""))</f>
        <v/>
      </c>
      <c r="BC50" s="47" t="str">
        <f>IF(COUNTIFS(IuranDSSebelumnya!$J$330:$J$772,$K50,IuranDSSebelumnya!$M$330:$M$772,BC$11,IuranDSSebelumnya!$L$330:$L$772,$M$5)&gt;0,
        VLOOKUP(CONCATENATE($K50,"|",BC$11,"|",$M$5),IuranDSSebelumnya!$I$330:$N$772,5,FALSE),
        IF(COUNTIFS(IuranDSSebelumnya!$J$330:$J$772,$K50,IuranDSSebelumnya!$M$330:$M$772,BC$11,IuranDSSebelumnya!$L$330:$L$772,"&lt;&gt;"&amp;$M$5)&gt;0,
              "Iuran dari Lingkungan lain",
              ""))</f>
        <v/>
      </c>
      <c r="BD50" s="47" t="str">
        <f>IF(COUNTIFS(IuranDSSebelumnya!$J$330:$J$772,$K50,IuranDSSebelumnya!$M$330:$M$772,BD$11,IuranDSSebelumnya!$L$330:$L$772,$M$5)&gt;0,
        VLOOKUP(CONCATENATE($K50,"|",BD$11,"|",$M$5),IuranDSSebelumnya!$I$330:$N$772,5,FALSE),
        IF(COUNTIFS(IuranDSSebelumnya!$J$330:$J$772,$K50,IuranDSSebelumnya!$M$330:$M$772,BD$11,IuranDSSebelumnya!$L$330:$L$772,"&lt;&gt;"&amp;$M$5)&gt;0,
              "Iuran dari Lingkungan lain",
              ""))</f>
        <v/>
      </c>
      <c r="BE50" s="47" t="str">
        <f>IF(COUNTIFS(IuranDSSebelumnya!$J$330:$J$772,$K50,IuranDSSebelumnya!$M$330:$M$772,BE$11,IuranDSSebelumnya!$L$330:$L$772,$M$5)&gt;0,
        VLOOKUP(CONCATENATE($K50,"|",BE$11,"|",$M$5),IuranDSSebelumnya!$I$330:$N$772,5,FALSE),
        IF(COUNTIFS(IuranDSSebelumnya!$J$330:$J$772,$K50,IuranDSSebelumnya!$M$330:$M$772,BE$11,IuranDSSebelumnya!$L$330:$L$772,"&lt;&gt;"&amp;$M$5)&gt;0,
              "Iuran dari Lingkungan lain",
              ""))</f>
        <v/>
      </c>
      <c r="BF50" s="47" t="str">
        <f>IF(COUNTIFS(IuranDSSebelumnya!$J$330:$J$772,$K50,IuranDSSebelumnya!$M$330:$M$772,BF$11,IuranDSSebelumnya!$L$330:$L$772,$M$5)&gt;0,
        VLOOKUP(CONCATENATE($K50,"|",BF$11,"|",$M$5),IuranDSSebelumnya!$I$330:$N$772,5,FALSE),
        IF(COUNTIFS(IuranDSSebelumnya!$J$330:$J$772,$K50,IuranDSSebelumnya!$M$330:$M$772,BF$11,IuranDSSebelumnya!$L$330:$L$772,"&lt;&gt;"&amp;$M$5)&gt;0,
              "Iuran dari Lingkungan lain",
              ""))</f>
        <v/>
      </c>
      <c r="BG50" s="47" t="str">
        <f>IF(COUNTIFS(IuranDSSebelumnya!$J$330:$J$772,$K50,IuranDSSebelumnya!$M$330:$M$772,BG$11,IuranDSSebelumnya!$L$330:$L$772,$M$5)&gt;0,
        VLOOKUP(CONCATENATE($K50,"|",BG$11,"|",$M$5),IuranDSSebelumnya!$I$330:$N$772,5,FALSE),
        IF(COUNTIFS(IuranDSSebelumnya!$J$330:$J$772,$K50,IuranDSSebelumnya!$M$330:$M$772,BG$11,IuranDSSebelumnya!$L$330:$L$772,"&lt;&gt;"&amp;$M$5)&gt;0,
              "Iuran dari Lingkungan lain",
              ""))</f>
        <v/>
      </c>
      <c r="BH50" s="47" t="str">
        <f>IF(COUNTIFS(IuranDSSebelumnya!$J$330:$J$772,$K50,IuranDSSebelumnya!$M$330:$M$772,BH$11,IuranDSSebelumnya!$L$330:$L$772,$M$5)&gt;0,
        VLOOKUP(CONCATENATE($K50,"|",BH$11,"|",$M$5),IuranDSSebelumnya!$I$330:$N$772,5,FALSE),
        IF(COUNTIFS(IuranDSSebelumnya!$J$330:$J$772,$K50,IuranDSSebelumnya!$M$330:$M$772,BH$11,IuranDSSebelumnya!$L$330:$L$772,"&lt;&gt;"&amp;$M$5)&gt;0,
              "Iuran dari Lingkungan lain",
              ""))</f>
        <v/>
      </c>
      <c r="BI50" s="47" t="str">
        <f>IF(COUNTIFS(IuranDSSebelumnya!$J$330:$J$772,$K50,IuranDSSebelumnya!$M$330:$M$772,BI$11,IuranDSSebelumnya!$L$330:$L$772,$M$5)&gt;0,
        VLOOKUP(CONCATENATE($K50,"|",BI$11,"|",$M$5),IuranDSSebelumnya!$I$330:$N$772,5,FALSE),
        IF(COUNTIFS(IuranDSSebelumnya!$J$330:$J$772,$K50,IuranDSSebelumnya!$M$330:$M$772,BI$11,IuranDSSebelumnya!$L$330:$L$772,"&lt;&gt;"&amp;$M$5)&gt;0,
              "Iuran dari Lingkungan lain",
              ""))</f>
        <v/>
      </c>
      <c r="BJ50" s="47" t="str">
        <f>IF(COUNTIFS(IuranDSSebelumnya!$J$330:$J$772,$K50,IuranDSSebelumnya!$M$330:$M$772,BJ$11,IuranDSSebelumnya!$L$330:$L$772,$M$5)&gt;0,
        VLOOKUP(CONCATENATE($K50,"|",BJ$11,"|",$M$5),IuranDSSebelumnya!$I$330:$N$772,5,FALSE),
        IF(COUNTIFS(IuranDSSebelumnya!$J$330:$J$772,$K50,IuranDSSebelumnya!$M$330:$M$772,BJ$11,IuranDSSebelumnya!$L$330:$L$772,"&lt;&gt;"&amp;$M$5)&gt;0,
              "Iuran dari Lingkungan lain",
              ""))</f>
        <v/>
      </c>
      <c r="BK50" s="47" t="str">
        <f>IF(COUNTIFS(IuranDSSebelumnya!$J$330:$J$772,$K50,IuranDSSebelumnya!$M$330:$M$772,BK$11,IuranDSSebelumnya!$L$330:$L$772,$M$5)&gt;0,
        VLOOKUP(CONCATENATE($K50,"|",BK$11,"|",$M$5),IuranDSSebelumnya!$I$330:$N$772,5,FALSE),
        IF(COUNTIFS(IuranDSSebelumnya!$J$330:$J$772,$K50,IuranDSSebelumnya!$M$330:$M$772,BK$11,IuranDSSebelumnya!$L$330:$L$772,"&lt;&gt;"&amp;$M$5)&gt;0,
              "Iuran dari Lingkungan lain",
              ""))</f>
        <v/>
      </c>
      <c r="BL50" s="47" t="str">
        <f>IF(COUNTIFS(IuranDSSebelumnya!$J$330:$J$772,$K50,IuranDSSebelumnya!$M$330:$M$772,BL$11,IuranDSSebelumnya!$L$330:$L$772,$M$5)&gt;0,
        VLOOKUP(CONCATENATE($K50,"|",BL$11,"|",$M$5),IuranDSSebelumnya!$I$330:$N$772,5,FALSE),
        IF(COUNTIFS(IuranDSSebelumnya!$J$330:$J$772,$K50,IuranDSSebelumnya!$M$330:$M$772,BL$11,IuranDSSebelumnya!$L$330:$L$772,"&lt;&gt;"&amp;$M$5)&gt;0,
              "Iuran dari Lingkungan lain",
              ""))</f>
        <v/>
      </c>
    </row>
    <row r="51" spans="1:64" x14ac:dyDescent="0.35">
      <c r="A51" s="30" t="s">
        <v>6063</v>
      </c>
      <c r="C51" s="30" t="b">
        <f t="shared" ca="1" si="16"/>
        <v>0</v>
      </c>
      <c r="D51" s="30" t="str">
        <f>"""TRUST Nav"",""HSPMTB2016"",""18"",""1"",""KK-05056"""</f>
        <v>"TRUST Nav","HSPMTB2016","18","1","KK-05056"</v>
      </c>
      <c r="H51" s="30">
        <f t="shared" si="17"/>
        <v>0</v>
      </c>
      <c r="J51" s="30">
        <f t="shared" si="18"/>
        <v>39</v>
      </c>
      <c r="K51" s="30" t="str">
        <f>"KK-05056"</f>
        <v>KK-05056</v>
      </c>
      <c r="L51" s="30" t="str">
        <f>"Yandi Setiawan"</f>
        <v>Yandi Setiawan</v>
      </c>
      <c r="M51" s="30"/>
      <c r="N51" s="3"/>
      <c r="O51" s="3"/>
      <c r="P51" s="3"/>
      <c r="Q51" s="3"/>
      <c r="R51" s="3"/>
      <c r="S51" s="3"/>
      <c r="T51" s="130"/>
      <c r="U51" s="131"/>
      <c r="V51" s="131"/>
      <c r="W51" s="131"/>
      <c r="X51" s="131"/>
      <c r="Y51" s="132"/>
      <c r="Z51" s="4"/>
      <c r="AA51" s="4"/>
      <c r="AB51" s="4"/>
      <c r="AC51" s="4"/>
      <c r="AD51" s="4"/>
      <c r="AE51" s="4"/>
      <c r="AF51" s="11"/>
      <c r="AG51" s="4"/>
      <c r="AH51" s="4"/>
      <c r="AI51" s="4"/>
      <c r="AJ51" s="4"/>
      <c r="AK51" s="4"/>
      <c r="AL51" s="9">
        <f t="shared" si="19"/>
        <v>0</v>
      </c>
      <c r="AO51" s="47" t="str">
        <f>IF(COUNTIFS(IuranDSSebelumnya!$J$330:$J$772,$K51,IuranDSSebelumnya!$M$330:$M$772,AO$11,IuranDSSebelumnya!$L$330:$L$772,$M$5)&gt;0,
        VLOOKUP(CONCATENATE($K51,"|",AO$11,"|",$M$5),IuranDSSebelumnya!$I$330:$N$772,5,FALSE),
        IF(COUNTIFS(IuranDSSebelumnya!$J$330:$J$772,$K51,IuranDSSebelumnya!$M$330:$M$772,AO$11,IuranDSSebelumnya!$L$330:$L$772,"&lt;&gt;"&amp;$M$5)&gt;0,
              "Iuran dari Lingkungan lain",
              ""))</f>
        <v/>
      </c>
      <c r="AP51" s="47" t="str">
        <f>IF(COUNTIFS(IuranDSSebelumnya!$J$330:$J$772,$K51,IuranDSSebelumnya!$M$330:$M$772,AP$11,IuranDSSebelumnya!$L$330:$L$772,$M$5)&gt;0,
        VLOOKUP(CONCATENATE($K51,"|",AP$11,"|",$M$5),IuranDSSebelumnya!$I$330:$N$772,5,FALSE),
        IF(COUNTIFS(IuranDSSebelumnya!$J$330:$J$772,$K51,IuranDSSebelumnya!$M$330:$M$772,AP$11,IuranDSSebelumnya!$L$330:$L$772,"&lt;&gt;"&amp;$M$5)&gt;0,
              "Iuran dari Lingkungan lain",
              ""))</f>
        <v/>
      </c>
      <c r="AQ51" s="47" t="str">
        <f>IF(COUNTIFS(IuranDSSebelumnya!$J$330:$J$772,$K51,IuranDSSebelumnya!$M$330:$M$772,AQ$11,IuranDSSebelumnya!$L$330:$L$772,$M$5)&gt;0,
        VLOOKUP(CONCATENATE($K51,"|",AQ$11,"|",$M$5),IuranDSSebelumnya!$I$330:$N$772,5,FALSE),
        IF(COUNTIFS(IuranDSSebelumnya!$J$330:$J$772,$K51,IuranDSSebelumnya!$M$330:$M$772,AQ$11,IuranDSSebelumnya!$L$330:$L$772,"&lt;&gt;"&amp;$M$5)&gt;0,
              "Iuran dari Lingkungan lain",
              ""))</f>
        <v/>
      </c>
      <c r="AR51" s="47" t="str">
        <f>IF(COUNTIFS(IuranDSSebelumnya!$J$330:$J$772,$K51,IuranDSSebelumnya!$M$330:$M$772,AR$11,IuranDSSebelumnya!$L$330:$L$772,$M$5)&gt;0,
        VLOOKUP(CONCATENATE($K51,"|",AR$11,"|",$M$5),IuranDSSebelumnya!$I$330:$N$772,5,FALSE),
        IF(COUNTIFS(IuranDSSebelumnya!$J$330:$J$772,$K51,IuranDSSebelumnya!$M$330:$M$772,AR$11,IuranDSSebelumnya!$L$330:$L$772,"&lt;&gt;"&amp;$M$5)&gt;0,
              "Iuran dari Lingkungan lain",
              ""))</f>
        <v/>
      </c>
      <c r="AS51" s="47" t="str">
        <f>IF(COUNTIFS(IuranDSSebelumnya!$J$330:$J$772,$K51,IuranDSSebelumnya!$M$330:$M$772,AS$11,IuranDSSebelumnya!$L$330:$L$772,$M$5)&gt;0,
        VLOOKUP(CONCATENATE($K51,"|",AS$11,"|",$M$5),IuranDSSebelumnya!$I$330:$N$772,5,FALSE),
        IF(COUNTIFS(IuranDSSebelumnya!$J$330:$J$772,$K51,IuranDSSebelumnya!$M$330:$M$772,AS$11,IuranDSSebelumnya!$L$330:$L$772,"&lt;&gt;"&amp;$M$5)&gt;0,
              "Iuran dari Lingkungan lain",
              ""))</f>
        <v/>
      </c>
      <c r="AT51" s="47" t="str">
        <f>IF(COUNTIFS(IuranDSSebelumnya!$J$330:$J$772,$K51,IuranDSSebelumnya!$M$330:$M$772,AT$11,IuranDSSebelumnya!$L$330:$L$772,$M$5)&gt;0,
        VLOOKUP(CONCATENATE($K51,"|",AT$11,"|",$M$5),IuranDSSebelumnya!$I$330:$N$772,5,FALSE),
        IF(COUNTIFS(IuranDSSebelumnya!$J$330:$J$772,$K51,IuranDSSebelumnya!$M$330:$M$772,AT$11,IuranDSSebelumnya!$L$330:$L$772,"&lt;&gt;"&amp;$M$5)&gt;0,
              "Iuran dari Lingkungan lain",
              ""))</f>
        <v/>
      </c>
      <c r="AU51" s="47">
        <f>IF(COUNTIFS(IuranDSSebelumnya!$J$330:$J$772,$K51,IuranDSSebelumnya!$M$330:$M$772,AU$11,IuranDSSebelumnya!$L$330:$L$772,$M$5)&gt;0,
        VLOOKUP(CONCATENATE($K51,"|",AU$11,"|",$M$5),IuranDSSebelumnya!$I$330:$N$772,5,FALSE),
        IF(COUNTIFS(IuranDSSebelumnya!$J$330:$J$772,$K51,IuranDSSebelumnya!$M$330:$M$772,AU$11,IuranDSSebelumnya!$L$330:$L$772,"&lt;&gt;"&amp;$M$5)&gt;0,
              "Iuran dari Lingkungan lain",
              ""))</f>
        <v>42370</v>
      </c>
      <c r="AV51" s="47">
        <f>IF(COUNTIFS(IuranDSSebelumnya!$J$330:$J$772,$K51,IuranDSSebelumnya!$M$330:$M$772,AV$11,IuranDSSebelumnya!$L$330:$L$772,$M$5)&gt;0,
        VLOOKUP(CONCATENATE($K51,"|",AV$11,"|",$M$5),IuranDSSebelumnya!$I$330:$N$772,5,FALSE),
        IF(COUNTIFS(IuranDSSebelumnya!$J$330:$J$772,$K51,IuranDSSebelumnya!$M$330:$M$772,AV$11,IuranDSSebelumnya!$L$330:$L$772,"&lt;&gt;"&amp;$M$5)&gt;0,
              "Iuran dari Lingkungan lain",
              ""))</f>
        <v>42401</v>
      </c>
      <c r="AW51" s="47">
        <f>IF(COUNTIFS(IuranDSSebelumnya!$J$330:$J$772,$K51,IuranDSSebelumnya!$M$330:$M$772,AW$11,IuranDSSebelumnya!$L$330:$L$772,$M$5)&gt;0,
        VLOOKUP(CONCATENATE($K51,"|",AW$11,"|",$M$5),IuranDSSebelumnya!$I$330:$N$772,5,FALSE),
        IF(COUNTIFS(IuranDSSebelumnya!$J$330:$J$772,$K51,IuranDSSebelumnya!$M$330:$M$772,AW$11,IuranDSSebelumnya!$L$330:$L$772,"&lt;&gt;"&amp;$M$5)&gt;0,
              "Iuran dari Lingkungan lain",
              ""))</f>
        <v>42430</v>
      </c>
      <c r="AX51" s="47">
        <f>IF(COUNTIFS(IuranDSSebelumnya!$J$330:$J$772,$K51,IuranDSSebelumnya!$M$330:$M$772,AX$11,IuranDSSebelumnya!$L$330:$L$772,$M$5)&gt;0,
        VLOOKUP(CONCATENATE($K51,"|",AX$11,"|",$M$5),IuranDSSebelumnya!$I$330:$N$772,5,FALSE),
        IF(COUNTIFS(IuranDSSebelumnya!$J$330:$J$772,$K51,IuranDSSebelumnya!$M$330:$M$772,AX$11,IuranDSSebelumnya!$L$330:$L$772,"&lt;&gt;"&amp;$M$5)&gt;0,
              "Iuran dari Lingkungan lain",
              ""))</f>
        <v>42461</v>
      </c>
      <c r="AY51" s="47">
        <f>IF(COUNTIFS(IuranDSSebelumnya!$J$330:$J$772,$K51,IuranDSSebelumnya!$M$330:$M$772,AY$11,IuranDSSebelumnya!$L$330:$L$772,$M$5)&gt;0,
        VLOOKUP(CONCATENATE($K51,"|",AY$11,"|",$M$5),IuranDSSebelumnya!$I$330:$N$772,5,FALSE),
        IF(COUNTIFS(IuranDSSebelumnya!$J$330:$J$772,$K51,IuranDSSebelumnya!$M$330:$M$772,AY$11,IuranDSSebelumnya!$L$330:$L$772,"&lt;&gt;"&amp;$M$5)&gt;0,
              "Iuran dari Lingkungan lain",
              ""))</f>
        <v>42491</v>
      </c>
      <c r="AZ51" s="47">
        <f>IF(COUNTIFS(IuranDSSebelumnya!$J$330:$J$772,$K51,IuranDSSebelumnya!$M$330:$M$772,AZ$11,IuranDSSebelumnya!$L$330:$L$772,$M$5)&gt;0,
        VLOOKUP(CONCATENATE($K51,"|",AZ$11,"|",$M$5),IuranDSSebelumnya!$I$330:$N$772,5,FALSE),
        IF(COUNTIFS(IuranDSSebelumnya!$J$330:$J$772,$K51,IuranDSSebelumnya!$M$330:$M$772,AZ$11,IuranDSSebelumnya!$L$330:$L$772,"&lt;&gt;"&amp;$M$5)&gt;0,
              "Iuran dari Lingkungan lain",
              ""))</f>
        <v>42522</v>
      </c>
      <c r="BA51" s="47" t="str">
        <f>IF(COUNTIFS(IuranDSSebelumnya!$J$330:$J$772,$K51,IuranDSSebelumnya!$M$330:$M$772,BA$11,IuranDSSebelumnya!$L$330:$L$772,$M$5)&gt;0,
        VLOOKUP(CONCATENATE($K51,"|",BA$11,"|",$M$5),IuranDSSebelumnya!$I$330:$N$772,5,FALSE),
        IF(COUNTIFS(IuranDSSebelumnya!$J$330:$J$772,$K51,IuranDSSebelumnya!$M$330:$M$772,BA$11,IuranDSSebelumnya!$L$330:$L$772,"&lt;&gt;"&amp;$M$5)&gt;0,
              "Iuran dari Lingkungan lain",
              ""))</f>
        <v/>
      </c>
      <c r="BB51" s="47" t="str">
        <f>IF(COUNTIFS(IuranDSSebelumnya!$J$330:$J$772,$K51,IuranDSSebelumnya!$M$330:$M$772,BB$11,IuranDSSebelumnya!$L$330:$L$772,$M$5)&gt;0,
        VLOOKUP(CONCATENATE($K51,"|",BB$11,"|",$M$5),IuranDSSebelumnya!$I$330:$N$772,5,FALSE),
        IF(COUNTIFS(IuranDSSebelumnya!$J$330:$J$772,$K51,IuranDSSebelumnya!$M$330:$M$772,BB$11,IuranDSSebelumnya!$L$330:$L$772,"&lt;&gt;"&amp;$M$5)&gt;0,
              "Iuran dari Lingkungan lain",
              ""))</f>
        <v/>
      </c>
      <c r="BC51" s="47" t="str">
        <f>IF(COUNTIFS(IuranDSSebelumnya!$J$330:$J$772,$K51,IuranDSSebelumnya!$M$330:$M$772,BC$11,IuranDSSebelumnya!$L$330:$L$772,$M$5)&gt;0,
        VLOOKUP(CONCATENATE($K51,"|",BC$11,"|",$M$5),IuranDSSebelumnya!$I$330:$N$772,5,FALSE),
        IF(COUNTIFS(IuranDSSebelumnya!$J$330:$J$772,$K51,IuranDSSebelumnya!$M$330:$M$772,BC$11,IuranDSSebelumnya!$L$330:$L$772,"&lt;&gt;"&amp;$M$5)&gt;0,
              "Iuran dari Lingkungan lain",
              ""))</f>
        <v/>
      </c>
      <c r="BD51" s="47" t="str">
        <f>IF(COUNTIFS(IuranDSSebelumnya!$J$330:$J$772,$K51,IuranDSSebelumnya!$M$330:$M$772,BD$11,IuranDSSebelumnya!$L$330:$L$772,$M$5)&gt;0,
        VLOOKUP(CONCATENATE($K51,"|",BD$11,"|",$M$5),IuranDSSebelumnya!$I$330:$N$772,5,FALSE),
        IF(COUNTIFS(IuranDSSebelumnya!$J$330:$J$772,$K51,IuranDSSebelumnya!$M$330:$M$772,BD$11,IuranDSSebelumnya!$L$330:$L$772,"&lt;&gt;"&amp;$M$5)&gt;0,
              "Iuran dari Lingkungan lain",
              ""))</f>
        <v/>
      </c>
      <c r="BE51" s="47" t="str">
        <f>IF(COUNTIFS(IuranDSSebelumnya!$J$330:$J$772,$K51,IuranDSSebelumnya!$M$330:$M$772,BE$11,IuranDSSebelumnya!$L$330:$L$772,$M$5)&gt;0,
        VLOOKUP(CONCATENATE($K51,"|",BE$11,"|",$M$5),IuranDSSebelumnya!$I$330:$N$772,5,FALSE),
        IF(COUNTIFS(IuranDSSebelumnya!$J$330:$J$772,$K51,IuranDSSebelumnya!$M$330:$M$772,BE$11,IuranDSSebelumnya!$L$330:$L$772,"&lt;&gt;"&amp;$M$5)&gt;0,
              "Iuran dari Lingkungan lain",
              ""))</f>
        <v/>
      </c>
      <c r="BF51" s="47" t="str">
        <f>IF(COUNTIFS(IuranDSSebelumnya!$J$330:$J$772,$K51,IuranDSSebelumnya!$M$330:$M$772,BF$11,IuranDSSebelumnya!$L$330:$L$772,$M$5)&gt;0,
        VLOOKUP(CONCATENATE($K51,"|",BF$11,"|",$M$5),IuranDSSebelumnya!$I$330:$N$772,5,FALSE),
        IF(COUNTIFS(IuranDSSebelumnya!$J$330:$J$772,$K51,IuranDSSebelumnya!$M$330:$M$772,BF$11,IuranDSSebelumnya!$L$330:$L$772,"&lt;&gt;"&amp;$M$5)&gt;0,
              "Iuran dari Lingkungan lain",
              ""))</f>
        <v/>
      </c>
      <c r="BG51" s="47" t="str">
        <f>IF(COUNTIFS(IuranDSSebelumnya!$J$330:$J$772,$K51,IuranDSSebelumnya!$M$330:$M$772,BG$11,IuranDSSebelumnya!$L$330:$L$772,$M$5)&gt;0,
        VLOOKUP(CONCATENATE($K51,"|",BG$11,"|",$M$5),IuranDSSebelumnya!$I$330:$N$772,5,FALSE),
        IF(COUNTIFS(IuranDSSebelumnya!$J$330:$J$772,$K51,IuranDSSebelumnya!$M$330:$M$772,BG$11,IuranDSSebelumnya!$L$330:$L$772,"&lt;&gt;"&amp;$M$5)&gt;0,
              "Iuran dari Lingkungan lain",
              ""))</f>
        <v/>
      </c>
      <c r="BH51" s="47" t="str">
        <f>IF(COUNTIFS(IuranDSSebelumnya!$J$330:$J$772,$K51,IuranDSSebelumnya!$M$330:$M$772,BH$11,IuranDSSebelumnya!$L$330:$L$772,$M$5)&gt;0,
        VLOOKUP(CONCATENATE($K51,"|",BH$11,"|",$M$5),IuranDSSebelumnya!$I$330:$N$772,5,FALSE),
        IF(COUNTIFS(IuranDSSebelumnya!$J$330:$J$772,$K51,IuranDSSebelumnya!$M$330:$M$772,BH$11,IuranDSSebelumnya!$L$330:$L$772,"&lt;&gt;"&amp;$M$5)&gt;0,
              "Iuran dari Lingkungan lain",
              ""))</f>
        <v/>
      </c>
      <c r="BI51" s="47" t="str">
        <f>IF(COUNTIFS(IuranDSSebelumnya!$J$330:$J$772,$K51,IuranDSSebelumnya!$M$330:$M$772,BI$11,IuranDSSebelumnya!$L$330:$L$772,$M$5)&gt;0,
        VLOOKUP(CONCATENATE($K51,"|",BI$11,"|",$M$5),IuranDSSebelumnya!$I$330:$N$772,5,FALSE),
        IF(COUNTIFS(IuranDSSebelumnya!$J$330:$J$772,$K51,IuranDSSebelumnya!$M$330:$M$772,BI$11,IuranDSSebelumnya!$L$330:$L$772,"&lt;&gt;"&amp;$M$5)&gt;0,
              "Iuran dari Lingkungan lain",
              ""))</f>
        <v/>
      </c>
      <c r="BJ51" s="47" t="str">
        <f>IF(COUNTIFS(IuranDSSebelumnya!$J$330:$J$772,$K51,IuranDSSebelumnya!$M$330:$M$772,BJ$11,IuranDSSebelumnya!$L$330:$L$772,$M$5)&gt;0,
        VLOOKUP(CONCATENATE($K51,"|",BJ$11,"|",$M$5),IuranDSSebelumnya!$I$330:$N$772,5,FALSE),
        IF(COUNTIFS(IuranDSSebelumnya!$J$330:$J$772,$K51,IuranDSSebelumnya!$M$330:$M$772,BJ$11,IuranDSSebelumnya!$L$330:$L$772,"&lt;&gt;"&amp;$M$5)&gt;0,
              "Iuran dari Lingkungan lain",
              ""))</f>
        <v/>
      </c>
      <c r="BK51" s="47" t="str">
        <f>IF(COUNTIFS(IuranDSSebelumnya!$J$330:$J$772,$K51,IuranDSSebelumnya!$M$330:$M$772,BK$11,IuranDSSebelumnya!$L$330:$L$772,$M$5)&gt;0,
        VLOOKUP(CONCATENATE($K51,"|",BK$11,"|",$M$5),IuranDSSebelumnya!$I$330:$N$772,5,FALSE),
        IF(COUNTIFS(IuranDSSebelumnya!$J$330:$J$772,$K51,IuranDSSebelumnya!$M$330:$M$772,BK$11,IuranDSSebelumnya!$L$330:$L$772,"&lt;&gt;"&amp;$M$5)&gt;0,
              "Iuran dari Lingkungan lain",
              ""))</f>
        <v/>
      </c>
      <c r="BL51" s="47" t="str">
        <f>IF(COUNTIFS(IuranDSSebelumnya!$J$330:$J$772,$K51,IuranDSSebelumnya!$M$330:$M$772,BL$11,IuranDSSebelumnya!$L$330:$L$772,$M$5)&gt;0,
        VLOOKUP(CONCATENATE($K51,"|",BL$11,"|",$M$5),IuranDSSebelumnya!$I$330:$N$772,5,FALSE),
        IF(COUNTIFS(IuranDSSebelumnya!$J$330:$J$772,$K51,IuranDSSebelumnya!$M$330:$M$772,BL$11,IuranDSSebelumnya!$L$330:$L$772,"&lt;&gt;"&amp;$M$5)&gt;0,
              "Iuran dari Lingkungan lain",
              ""))</f>
        <v/>
      </c>
    </row>
    <row r="52" spans="1:64" x14ac:dyDescent="0.35">
      <c r="A52" s="30" t="s">
        <v>6063</v>
      </c>
      <c r="C52" s="30" t="b">
        <f t="shared" ca="1" si="16"/>
        <v>0</v>
      </c>
      <c r="D52" s="30" t="str">
        <f>"""TRUST Nav"",""HSPMTB2016"",""18"",""1"",""KK-04623"""</f>
        <v>"TRUST Nav","HSPMTB2016","18","1","KK-04623"</v>
      </c>
      <c r="H52" s="30">
        <f t="shared" si="17"/>
        <v>0</v>
      </c>
      <c r="J52" s="30">
        <f t="shared" si="18"/>
        <v>40</v>
      </c>
      <c r="K52" s="30" t="str">
        <f>"KK-04623"</f>
        <v>KK-04623</v>
      </c>
      <c r="L52" s="30" t="str">
        <f>"Yohanes Ferry Maulanda"</f>
        <v>Yohanes Ferry Maulanda</v>
      </c>
      <c r="M52" s="30"/>
      <c r="N52" s="3"/>
      <c r="O52" s="3"/>
      <c r="P52" s="3"/>
      <c r="Q52" s="3"/>
      <c r="R52" s="3"/>
      <c r="S52" s="3"/>
      <c r="T52" s="11"/>
      <c r="U52" s="4"/>
      <c r="V52" s="4"/>
      <c r="W52" s="4"/>
      <c r="X52" s="4"/>
      <c r="Y52" s="15"/>
      <c r="Z52" s="4"/>
      <c r="AA52" s="4"/>
      <c r="AB52" s="4"/>
      <c r="AC52" s="4"/>
      <c r="AD52" s="4"/>
      <c r="AE52" s="4"/>
      <c r="AF52" s="11"/>
      <c r="AG52" s="4"/>
      <c r="AH52" s="4"/>
      <c r="AI52" s="4"/>
      <c r="AJ52" s="4"/>
      <c r="AK52" s="4"/>
      <c r="AL52" s="9">
        <f t="shared" si="19"/>
        <v>0</v>
      </c>
      <c r="AO52" s="47" t="str">
        <f>IF(COUNTIFS(IuranDSSebelumnya!$J$330:$J$772,$K52,IuranDSSebelumnya!$M$330:$M$772,AO$11,IuranDSSebelumnya!$L$330:$L$772,$M$5)&gt;0,
        VLOOKUP(CONCATENATE($K52,"|",AO$11,"|",$M$5),IuranDSSebelumnya!$I$330:$N$772,5,FALSE),
        IF(COUNTIFS(IuranDSSebelumnya!$J$330:$J$772,$K52,IuranDSSebelumnya!$M$330:$M$772,AO$11,IuranDSSebelumnya!$L$330:$L$772,"&lt;&gt;"&amp;$M$5)&gt;0,
              "Iuran dari Lingkungan lain",
              ""))</f>
        <v/>
      </c>
      <c r="AP52" s="47" t="str">
        <f>IF(COUNTIFS(IuranDSSebelumnya!$J$330:$J$772,$K52,IuranDSSebelumnya!$M$330:$M$772,AP$11,IuranDSSebelumnya!$L$330:$L$772,$M$5)&gt;0,
        VLOOKUP(CONCATENATE($K52,"|",AP$11,"|",$M$5),IuranDSSebelumnya!$I$330:$N$772,5,FALSE),
        IF(COUNTIFS(IuranDSSebelumnya!$J$330:$J$772,$K52,IuranDSSebelumnya!$M$330:$M$772,AP$11,IuranDSSebelumnya!$L$330:$L$772,"&lt;&gt;"&amp;$M$5)&gt;0,
              "Iuran dari Lingkungan lain",
              ""))</f>
        <v/>
      </c>
      <c r="AQ52" s="47" t="str">
        <f>IF(COUNTIFS(IuranDSSebelumnya!$J$330:$J$772,$K52,IuranDSSebelumnya!$M$330:$M$772,AQ$11,IuranDSSebelumnya!$L$330:$L$772,$M$5)&gt;0,
        VLOOKUP(CONCATENATE($K52,"|",AQ$11,"|",$M$5),IuranDSSebelumnya!$I$330:$N$772,5,FALSE),
        IF(COUNTIFS(IuranDSSebelumnya!$J$330:$J$772,$K52,IuranDSSebelumnya!$M$330:$M$772,AQ$11,IuranDSSebelumnya!$L$330:$L$772,"&lt;&gt;"&amp;$M$5)&gt;0,
              "Iuran dari Lingkungan lain",
              ""))</f>
        <v/>
      </c>
      <c r="AR52" s="47" t="str">
        <f>IF(COUNTIFS(IuranDSSebelumnya!$J$330:$J$772,$K52,IuranDSSebelumnya!$M$330:$M$772,AR$11,IuranDSSebelumnya!$L$330:$L$772,$M$5)&gt;0,
        VLOOKUP(CONCATENATE($K52,"|",AR$11,"|",$M$5),IuranDSSebelumnya!$I$330:$N$772,5,FALSE),
        IF(COUNTIFS(IuranDSSebelumnya!$J$330:$J$772,$K52,IuranDSSebelumnya!$M$330:$M$772,AR$11,IuranDSSebelumnya!$L$330:$L$772,"&lt;&gt;"&amp;$M$5)&gt;0,
              "Iuran dari Lingkungan lain",
              ""))</f>
        <v/>
      </c>
      <c r="AS52" s="47" t="str">
        <f>IF(COUNTIFS(IuranDSSebelumnya!$J$330:$J$772,$K52,IuranDSSebelumnya!$M$330:$M$772,AS$11,IuranDSSebelumnya!$L$330:$L$772,$M$5)&gt;0,
        VLOOKUP(CONCATENATE($K52,"|",AS$11,"|",$M$5),IuranDSSebelumnya!$I$330:$N$772,5,FALSE),
        IF(COUNTIFS(IuranDSSebelumnya!$J$330:$J$772,$K52,IuranDSSebelumnya!$M$330:$M$772,AS$11,IuranDSSebelumnya!$L$330:$L$772,"&lt;&gt;"&amp;$M$5)&gt;0,
              "Iuran dari Lingkungan lain",
              ""))</f>
        <v/>
      </c>
      <c r="AT52" s="47" t="str">
        <f>IF(COUNTIFS(IuranDSSebelumnya!$J$330:$J$772,$K52,IuranDSSebelumnya!$M$330:$M$772,AT$11,IuranDSSebelumnya!$L$330:$L$772,$M$5)&gt;0,
        VLOOKUP(CONCATENATE($K52,"|",AT$11,"|",$M$5),IuranDSSebelumnya!$I$330:$N$772,5,FALSE),
        IF(COUNTIFS(IuranDSSebelumnya!$J$330:$J$772,$K52,IuranDSSebelumnya!$M$330:$M$772,AT$11,IuranDSSebelumnya!$L$330:$L$772,"&lt;&gt;"&amp;$M$5)&gt;0,
              "Iuran dari Lingkungan lain",
              ""))</f>
        <v/>
      </c>
      <c r="AU52" s="47" t="str">
        <f>IF(COUNTIFS(IuranDSSebelumnya!$J$330:$J$772,$K52,IuranDSSebelumnya!$M$330:$M$772,AU$11,IuranDSSebelumnya!$L$330:$L$772,$M$5)&gt;0,
        VLOOKUP(CONCATENATE($K52,"|",AU$11,"|",$M$5),IuranDSSebelumnya!$I$330:$N$772,5,FALSE),
        IF(COUNTIFS(IuranDSSebelumnya!$J$330:$J$772,$K52,IuranDSSebelumnya!$M$330:$M$772,AU$11,IuranDSSebelumnya!$L$330:$L$772,"&lt;&gt;"&amp;$M$5)&gt;0,
              "Iuran dari Lingkungan lain",
              ""))</f>
        <v/>
      </c>
      <c r="AV52" s="47" t="str">
        <f>IF(COUNTIFS(IuranDSSebelumnya!$J$330:$J$772,$K52,IuranDSSebelumnya!$M$330:$M$772,AV$11,IuranDSSebelumnya!$L$330:$L$772,$M$5)&gt;0,
        VLOOKUP(CONCATENATE($K52,"|",AV$11,"|",$M$5),IuranDSSebelumnya!$I$330:$N$772,5,FALSE),
        IF(COUNTIFS(IuranDSSebelumnya!$J$330:$J$772,$K52,IuranDSSebelumnya!$M$330:$M$772,AV$11,IuranDSSebelumnya!$L$330:$L$772,"&lt;&gt;"&amp;$M$5)&gt;0,
              "Iuran dari Lingkungan lain",
              ""))</f>
        <v/>
      </c>
      <c r="AW52" s="47" t="str">
        <f>IF(COUNTIFS(IuranDSSebelumnya!$J$330:$J$772,$K52,IuranDSSebelumnya!$M$330:$M$772,AW$11,IuranDSSebelumnya!$L$330:$L$772,$M$5)&gt;0,
        VLOOKUP(CONCATENATE($K52,"|",AW$11,"|",$M$5),IuranDSSebelumnya!$I$330:$N$772,5,FALSE),
        IF(COUNTIFS(IuranDSSebelumnya!$J$330:$J$772,$K52,IuranDSSebelumnya!$M$330:$M$772,AW$11,IuranDSSebelumnya!$L$330:$L$772,"&lt;&gt;"&amp;$M$5)&gt;0,
              "Iuran dari Lingkungan lain",
              ""))</f>
        <v/>
      </c>
      <c r="AX52" s="47" t="str">
        <f>IF(COUNTIFS(IuranDSSebelumnya!$J$330:$J$772,$K52,IuranDSSebelumnya!$M$330:$M$772,AX$11,IuranDSSebelumnya!$L$330:$L$772,$M$5)&gt;0,
        VLOOKUP(CONCATENATE($K52,"|",AX$11,"|",$M$5),IuranDSSebelumnya!$I$330:$N$772,5,FALSE),
        IF(COUNTIFS(IuranDSSebelumnya!$J$330:$J$772,$K52,IuranDSSebelumnya!$M$330:$M$772,AX$11,IuranDSSebelumnya!$L$330:$L$772,"&lt;&gt;"&amp;$M$5)&gt;0,
              "Iuran dari Lingkungan lain",
              ""))</f>
        <v/>
      </c>
      <c r="AY52" s="47" t="str">
        <f>IF(COUNTIFS(IuranDSSebelumnya!$J$330:$J$772,$K52,IuranDSSebelumnya!$M$330:$M$772,AY$11,IuranDSSebelumnya!$L$330:$L$772,$M$5)&gt;0,
        VLOOKUP(CONCATENATE($K52,"|",AY$11,"|",$M$5),IuranDSSebelumnya!$I$330:$N$772,5,FALSE),
        IF(COUNTIFS(IuranDSSebelumnya!$J$330:$J$772,$K52,IuranDSSebelumnya!$M$330:$M$772,AY$11,IuranDSSebelumnya!$L$330:$L$772,"&lt;&gt;"&amp;$M$5)&gt;0,
              "Iuran dari Lingkungan lain",
              ""))</f>
        <v/>
      </c>
      <c r="AZ52" s="47" t="str">
        <f>IF(COUNTIFS(IuranDSSebelumnya!$J$330:$J$772,$K52,IuranDSSebelumnya!$M$330:$M$772,AZ$11,IuranDSSebelumnya!$L$330:$L$772,$M$5)&gt;0,
        VLOOKUP(CONCATENATE($K52,"|",AZ$11,"|",$M$5),IuranDSSebelumnya!$I$330:$N$772,5,FALSE),
        IF(COUNTIFS(IuranDSSebelumnya!$J$330:$J$772,$K52,IuranDSSebelumnya!$M$330:$M$772,AZ$11,IuranDSSebelumnya!$L$330:$L$772,"&lt;&gt;"&amp;$M$5)&gt;0,
              "Iuran dari Lingkungan lain",
              ""))</f>
        <v/>
      </c>
      <c r="BA52" s="47" t="str">
        <f>IF(COUNTIFS(IuranDSSebelumnya!$J$330:$J$772,$K52,IuranDSSebelumnya!$M$330:$M$772,BA$11,IuranDSSebelumnya!$L$330:$L$772,$M$5)&gt;0,
        VLOOKUP(CONCATENATE($K52,"|",BA$11,"|",$M$5),IuranDSSebelumnya!$I$330:$N$772,5,FALSE),
        IF(COUNTIFS(IuranDSSebelumnya!$J$330:$J$772,$K52,IuranDSSebelumnya!$M$330:$M$772,BA$11,IuranDSSebelumnya!$L$330:$L$772,"&lt;&gt;"&amp;$M$5)&gt;0,
              "Iuran dari Lingkungan lain",
              ""))</f>
        <v/>
      </c>
      <c r="BB52" s="47" t="str">
        <f>IF(COUNTIFS(IuranDSSebelumnya!$J$330:$J$772,$K52,IuranDSSebelumnya!$M$330:$M$772,BB$11,IuranDSSebelumnya!$L$330:$L$772,$M$5)&gt;0,
        VLOOKUP(CONCATENATE($K52,"|",BB$11,"|",$M$5),IuranDSSebelumnya!$I$330:$N$772,5,FALSE),
        IF(COUNTIFS(IuranDSSebelumnya!$J$330:$J$772,$K52,IuranDSSebelumnya!$M$330:$M$772,BB$11,IuranDSSebelumnya!$L$330:$L$772,"&lt;&gt;"&amp;$M$5)&gt;0,
              "Iuran dari Lingkungan lain",
              ""))</f>
        <v/>
      </c>
      <c r="BC52" s="47" t="str">
        <f>IF(COUNTIFS(IuranDSSebelumnya!$J$330:$J$772,$K52,IuranDSSebelumnya!$M$330:$M$772,BC$11,IuranDSSebelumnya!$L$330:$L$772,$M$5)&gt;0,
        VLOOKUP(CONCATENATE($K52,"|",BC$11,"|",$M$5),IuranDSSebelumnya!$I$330:$N$772,5,FALSE),
        IF(COUNTIFS(IuranDSSebelumnya!$J$330:$J$772,$K52,IuranDSSebelumnya!$M$330:$M$772,BC$11,IuranDSSebelumnya!$L$330:$L$772,"&lt;&gt;"&amp;$M$5)&gt;0,
              "Iuran dari Lingkungan lain",
              ""))</f>
        <v/>
      </c>
      <c r="BD52" s="47" t="str">
        <f>IF(COUNTIFS(IuranDSSebelumnya!$J$330:$J$772,$K52,IuranDSSebelumnya!$M$330:$M$772,BD$11,IuranDSSebelumnya!$L$330:$L$772,$M$5)&gt;0,
        VLOOKUP(CONCATENATE($K52,"|",BD$11,"|",$M$5),IuranDSSebelumnya!$I$330:$N$772,5,FALSE),
        IF(COUNTIFS(IuranDSSebelumnya!$J$330:$J$772,$K52,IuranDSSebelumnya!$M$330:$M$772,BD$11,IuranDSSebelumnya!$L$330:$L$772,"&lt;&gt;"&amp;$M$5)&gt;0,
              "Iuran dari Lingkungan lain",
              ""))</f>
        <v/>
      </c>
      <c r="BE52" s="47" t="str">
        <f>IF(COUNTIFS(IuranDSSebelumnya!$J$330:$J$772,$K52,IuranDSSebelumnya!$M$330:$M$772,BE$11,IuranDSSebelumnya!$L$330:$L$772,$M$5)&gt;0,
        VLOOKUP(CONCATENATE($K52,"|",BE$11,"|",$M$5),IuranDSSebelumnya!$I$330:$N$772,5,FALSE),
        IF(COUNTIFS(IuranDSSebelumnya!$J$330:$J$772,$K52,IuranDSSebelumnya!$M$330:$M$772,BE$11,IuranDSSebelumnya!$L$330:$L$772,"&lt;&gt;"&amp;$M$5)&gt;0,
              "Iuran dari Lingkungan lain",
              ""))</f>
        <v/>
      </c>
      <c r="BF52" s="47" t="str">
        <f>IF(COUNTIFS(IuranDSSebelumnya!$J$330:$J$772,$K52,IuranDSSebelumnya!$M$330:$M$772,BF$11,IuranDSSebelumnya!$L$330:$L$772,$M$5)&gt;0,
        VLOOKUP(CONCATENATE($K52,"|",BF$11,"|",$M$5),IuranDSSebelumnya!$I$330:$N$772,5,FALSE),
        IF(COUNTIFS(IuranDSSebelumnya!$J$330:$J$772,$K52,IuranDSSebelumnya!$M$330:$M$772,BF$11,IuranDSSebelumnya!$L$330:$L$772,"&lt;&gt;"&amp;$M$5)&gt;0,
              "Iuran dari Lingkungan lain",
              ""))</f>
        <v/>
      </c>
      <c r="BG52" s="47" t="str">
        <f>IF(COUNTIFS(IuranDSSebelumnya!$J$330:$J$772,$K52,IuranDSSebelumnya!$M$330:$M$772,BG$11,IuranDSSebelumnya!$L$330:$L$772,$M$5)&gt;0,
        VLOOKUP(CONCATENATE($K52,"|",BG$11,"|",$M$5),IuranDSSebelumnya!$I$330:$N$772,5,FALSE),
        IF(COUNTIFS(IuranDSSebelumnya!$J$330:$J$772,$K52,IuranDSSebelumnya!$M$330:$M$772,BG$11,IuranDSSebelumnya!$L$330:$L$772,"&lt;&gt;"&amp;$M$5)&gt;0,
              "Iuran dari Lingkungan lain",
              ""))</f>
        <v/>
      </c>
      <c r="BH52" s="47" t="str">
        <f>IF(COUNTIFS(IuranDSSebelumnya!$J$330:$J$772,$K52,IuranDSSebelumnya!$M$330:$M$772,BH$11,IuranDSSebelumnya!$L$330:$L$772,$M$5)&gt;0,
        VLOOKUP(CONCATENATE($K52,"|",BH$11,"|",$M$5),IuranDSSebelumnya!$I$330:$N$772,5,FALSE),
        IF(COUNTIFS(IuranDSSebelumnya!$J$330:$J$772,$K52,IuranDSSebelumnya!$M$330:$M$772,BH$11,IuranDSSebelumnya!$L$330:$L$772,"&lt;&gt;"&amp;$M$5)&gt;0,
              "Iuran dari Lingkungan lain",
              ""))</f>
        <v/>
      </c>
      <c r="BI52" s="47" t="str">
        <f>IF(COUNTIFS(IuranDSSebelumnya!$J$330:$J$772,$K52,IuranDSSebelumnya!$M$330:$M$772,BI$11,IuranDSSebelumnya!$L$330:$L$772,$M$5)&gt;0,
        VLOOKUP(CONCATENATE($K52,"|",BI$11,"|",$M$5),IuranDSSebelumnya!$I$330:$N$772,5,FALSE),
        IF(COUNTIFS(IuranDSSebelumnya!$J$330:$J$772,$K52,IuranDSSebelumnya!$M$330:$M$772,BI$11,IuranDSSebelumnya!$L$330:$L$772,"&lt;&gt;"&amp;$M$5)&gt;0,
              "Iuran dari Lingkungan lain",
              ""))</f>
        <v/>
      </c>
      <c r="BJ52" s="47" t="str">
        <f>IF(COUNTIFS(IuranDSSebelumnya!$J$330:$J$772,$K52,IuranDSSebelumnya!$M$330:$M$772,BJ$11,IuranDSSebelumnya!$L$330:$L$772,$M$5)&gt;0,
        VLOOKUP(CONCATENATE($K52,"|",BJ$11,"|",$M$5),IuranDSSebelumnya!$I$330:$N$772,5,FALSE),
        IF(COUNTIFS(IuranDSSebelumnya!$J$330:$J$772,$K52,IuranDSSebelumnya!$M$330:$M$772,BJ$11,IuranDSSebelumnya!$L$330:$L$772,"&lt;&gt;"&amp;$M$5)&gt;0,
              "Iuran dari Lingkungan lain",
              ""))</f>
        <v/>
      </c>
      <c r="BK52" s="47" t="str">
        <f>IF(COUNTIFS(IuranDSSebelumnya!$J$330:$J$772,$K52,IuranDSSebelumnya!$M$330:$M$772,BK$11,IuranDSSebelumnya!$L$330:$L$772,$M$5)&gt;0,
        VLOOKUP(CONCATENATE($K52,"|",BK$11,"|",$M$5),IuranDSSebelumnya!$I$330:$N$772,5,FALSE),
        IF(COUNTIFS(IuranDSSebelumnya!$J$330:$J$772,$K52,IuranDSSebelumnya!$M$330:$M$772,BK$11,IuranDSSebelumnya!$L$330:$L$772,"&lt;&gt;"&amp;$M$5)&gt;0,
              "Iuran dari Lingkungan lain",
              ""))</f>
        <v/>
      </c>
      <c r="BL52" s="47" t="str">
        <f>IF(COUNTIFS(IuranDSSebelumnya!$J$330:$J$772,$K52,IuranDSSebelumnya!$M$330:$M$772,BL$11,IuranDSSebelumnya!$L$330:$L$772,$M$5)&gt;0,
        VLOOKUP(CONCATENATE($K52,"|",BL$11,"|",$M$5),IuranDSSebelumnya!$I$330:$N$772,5,FALSE),
        IF(COUNTIFS(IuranDSSebelumnya!$J$330:$J$772,$K52,IuranDSSebelumnya!$M$330:$M$772,BL$11,IuranDSSebelumnya!$L$330:$L$772,"&lt;&gt;"&amp;$M$5)&gt;0,
              "Iuran dari Lingkungan lain",
              ""))</f>
        <v/>
      </c>
    </row>
    <row r="53" spans="1:64" x14ac:dyDescent="0.35">
      <c r="A53" s="30" t="s">
        <v>6063</v>
      </c>
      <c r="C53" s="30" t="b">
        <f t="shared" ca="1" si="16"/>
        <v>0</v>
      </c>
      <c r="D53" s="30" t="str">
        <f>"""TRUST Nav"",""HSPMTB2016"",""18"",""1"",""KK-04624"""</f>
        <v>"TRUST Nav","HSPMTB2016","18","1","KK-04624"</v>
      </c>
      <c r="H53" s="30">
        <f t="shared" si="17"/>
        <v>0</v>
      </c>
      <c r="J53" s="30">
        <f t="shared" si="18"/>
        <v>41</v>
      </c>
      <c r="K53" s="30" t="str">
        <f>"KK-04624"</f>
        <v>KK-04624</v>
      </c>
      <c r="L53" s="30" t="str">
        <f>"Yohanes Hendy Setiawan"</f>
        <v>Yohanes Hendy Setiawan</v>
      </c>
      <c r="M53" s="30"/>
      <c r="N53" s="129"/>
      <c r="O53" s="129"/>
      <c r="P53" s="129"/>
      <c r="Q53" s="129"/>
      <c r="R53" s="129"/>
      <c r="S53" s="129"/>
      <c r="T53" s="130"/>
      <c r="U53" s="131"/>
      <c r="V53" s="131"/>
      <c r="W53" s="131"/>
      <c r="X53" s="131"/>
      <c r="Y53" s="132"/>
      <c r="Z53" s="131"/>
      <c r="AA53" s="131"/>
      <c r="AB53" s="131"/>
      <c r="AC53" s="4"/>
      <c r="AD53" s="4"/>
      <c r="AE53" s="4"/>
      <c r="AF53" s="11"/>
      <c r="AG53" s="4"/>
      <c r="AH53" s="4"/>
      <c r="AI53" s="4"/>
      <c r="AJ53" s="4"/>
      <c r="AK53" s="4"/>
      <c r="AL53" s="9">
        <f t="shared" si="19"/>
        <v>0</v>
      </c>
      <c r="AO53" s="47">
        <f>IF(COUNTIFS(IuranDSSebelumnya!$J$330:$J$772,$K53,IuranDSSebelumnya!$M$330:$M$772,AO$11,IuranDSSebelumnya!$L$330:$L$772,$M$5)&gt;0,
        VLOOKUP(CONCATENATE($K53,"|",AO$11,"|",$M$5),IuranDSSebelumnya!$I$330:$N$772,5,FALSE),
        IF(COUNTIFS(IuranDSSebelumnya!$J$330:$J$772,$K53,IuranDSSebelumnya!$M$330:$M$772,AO$11,IuranDSSebelumnya!$L$330:$L$772,"&lt;&gt;"&amp;$M$5)&gt;0,
              "Iuran dari Lingkungan lain",
              ""))</f>
        <v>42186</v>
      </c>
      <c r="AP53" s="47">
        <f>IF(COUNTIFS(IuranDSSebelumnya!$J$330:$J$772,$K53,IuranDSSebelumnya!$M$330:$M$772,AP$11,IuranDSSebelumnya!$L$330:$L$772,$M$5)&gt;0,
        VLOOKUP(CONCATENATE($K53,"|",AP$11,"|",$M$5),IuranDSSebelumnya!$I$330:$N$772,5,FALSE),
        IF(COUNTIFS(IuranDSSebelumnya!$J$330:$J$772,$K53,IuranDSSebelumnya!$M$330:$M$772,AP$11,IuranDSSebelumnya!$L$330:$L$772,"&lt;&gt;"&amp;$M$5)&gt;0,
              "Iuran dari Lingkungan lain",
              ""))</f>
        <v>42217</v>
      </c>
      <c r="AQ53" s="47">
        <f>IF(COUNTIFS(IuranDSSebelumnya!$J$330:$J$772,$K53,IuranDSSebelumnya!$M$330:$M$772,AQ$11,IuranDSSebelumnya!$L$330:$L$772,$M$5)&gt;0,
        VLOOKUP(CONCATENATE($K53,"|",AQ$11,"|",$M$5),IuranDSSebelumnya!$I$330:$N$772,5,FALSE),
        IF(COUNTIFS(IuranDSSebelumnya!$J$330:$J$772,$K53,IuranDSSebelumnya!$M$330:$M$772,AQ$11,IuranDSSebelumnya!$L$330:$L$772,"&lt;&gt;"&amp;$M$5)&gt;0,
              "Iuran dari Lingkungan lain",
              ""))</f>
        <v>42248</v>
      </c>
      <c r="AR53" s="47">
        <f>IF(COUNTIFS(IuranDSSebelumnya!$J$330:$J$772,$K53,IuranDSSebelumnya!$M$330:$M$772,AR$11,IuranDSSebelumnya!$L$330:$L$772,$M$5)&gt;0,
        VLOOKUP(CONCATENATE($K53,"|",AR$11,"|",$M$5),IuranDSSebelumnya!$I$330:$N$772,5,FALSE),
        IF(COUNTIFS(IuranDSSebelumnya!$J$330:$J$772,$K53,IuranDSSebelumnya!$M$330:$M$772,AR$11,IuranDSSebelumnya!$L$330:$L$772,"&lt;&gt;"&amp;$M$5)&gt;0,
              "Iuran dari Lingkungan lain",
              ""))</f>
        <v>42278</v>
      </c>
      <c r="AS53" s="47">
        <f>IF(COUNTIFS(IuranDSSebelumnya!$J$330:$J$772,$K53,IuranDSSebelumnya!$M$330:$M$772,AS$11,IuranDSSebelumnya!$L$330:$L$772,$M$5)&gt;0,
        VLOOKUP(CONCATENATE($K53,"|",AS$11,"|",$M$5),IuranDSSebelumnya!$I$330:$N$772,5,FALSE),
        IF(COUNTIFS(IuranDSSebelumnya!$J$330:$J$772,$K53,IuranDSSebelumnya!$M$330:$M$772,AS$11,IuranDSSebelumnya!$L$330:$L$772,"&lt;&gt;"&amp;$M$5)&gt;0,
              "Iuran dari Lingkungan lain",
              ""))</f>
        <v>42309</v>
      </c>
      <c r="AT53" s="47">
        <f>IF(COUNTIFS(IuranDSSebelumnya!$J$330:$J$772,$K53,IuranDSSebelumnya!$M$330:$M$772,AT$11,IuranDSSebelumnya!$L$330:$L$772,$M$5)&gt;0,
        VLOOKUP(CONCATENATE($K53,"|",AT$11,"|",$M$5),IuranDSSebelumnya!$I$330:$N$772,5,FALSE),
        IF(COUNTIFS(IuranDSSebelumnya!$J$330:$J$772,$K53,IuranDSSebelumnya!$M$330:$M$772,AT$11,IuranDSSebelumnya!$L$330:$L$772,"&lt;&gt;"&amp;$M$5)&gt;0,
              "Iuran dari Lingkungan lain",
              ""))</f>
        <v>42339</v>
      </c>
      <c r="AU53" s="47">
        <f>IF(COUNTIFS(IuranDSSebelumnya!$J$330:$J$772,$K53,IuranDSSebelumnya!$M$330:$M$772,AU$11,IuranDSSebelumnya!$L$330:$L$772,$M$5)&gt;0,
        VLOOKUP(CONCATENATE($K53,"|",AU$11,"|",$M$5),IuranDSSebelumnya!$I$330:$N$772,5,FALSE),
        IF(COUNTIFS(IuranDSSebelumnya!$J$330:$J$772,$K53,IuranDSSebelumnya!$M$330:$M$772,AU$11,IuranDSSebelumnya!$L$330:$L$772,"&lt;&gt;"&amp;$M$5)&gt;0,
              "Iuran dari Lingkungan lain",
              ""))</f>
        <v>42370</v>
      </c>
      <c r="AV53" s="47">
        <f>IF(COUNTIFS(IuranDSSebelumnya!$J$330:$J$772,$K53,IuranDSSebelumnya!$M$330:$M$772,AV$11,IuranDSSebelumnya!$L$330:$L$772,$M$5)&gt;0,
        VLOOKUP(CONCATENATE($K53,"|",AV$11,"|",$M$5),IuranDSSebelumnya!$I$330:$N$772,5,FALSE),
        IF(COUNTIFS(IuranDSSebelumnya!$J$330:$J$772,$K53,IuranDSSebelumnya!$M$330:$M$772,AV$11,IuranDSSebelumnya!$L$330:$L$772,"&lt;&gt;"&amp;$M$5)&gt;0,
              "Iuran dari Lingkungan lain",
              ""))</f>
        <v>42401</v>
      </c>
      <c r="AW53" s="47">
        <f>IF(COUNTIFS(IuranDSSebelumnya!$J$330:$J$772,$K53,IuranDSSebelumnya!$M$330:$M$772,AW$11,IuranDSSebelumnya!$L$330:$L$772,$M$5)&gt;0,
        VLOOKUP(CONCATENATE($K53,"|",AW$11,"|",$M$5),IuranDSSebelumnya!$I$330:$N$772,5,FALSE),
        IF(COUNTIFS(IuranDSSebelumnya!$J$330:$J$772,$K53,IuranDSSebelumnya!$M$330:$M$772,AW$11,IuranDSSebelumnya!$L$330:$L$772,"&lt;&gt;"&amp;$M$5)&gt;0,
              "Iuran dari Lingkungan lain",
              ""))</f>
        <v>42430</v>
      </c>
      <c r="AX53" s="47">
        <f>IF(COUNTIFS(IuranDSSebelumnya!$J$330:$J$772,$K53,IuranDSSebelumnya!$M$330:$M$772,AX$11,IuranDSSebelumnya!$L$330:$L$772,$M$5)&gt;0,
        VLOOKUP(CONCATENATE($K53,"|",AX$11,"|",$M$5),IuranDSSebelumnya!$I$330:$N$772,5,FALSE),
        IF(COUNTIFS(IuranDSSebelumnya!$J$330:$J$772,$K53,IuranDSSebelumnya!$M$330:$M$772,AX$11,IuranDSSebelumnya!$L$330:$L$772,"&lt;&gt;"&amp;$M$5)&gt;0,
              "Iuran dari Lingkungan lain",
              ""))</f>
        <v>42461</v>
      </c>
      <c r="AY53" s="47">
        <f>IF(COUNTIFS(IuranDSSebelumnya!$J$330:$J$772,$K53,IuranDSSebelumnya!$M$330:$M$772,AY$11,IuranDSSebelumnya!$L$330:$L$772,$M$5)&gt;0,
        VLOOKUP(CONCATENATE($K53,"|",AY$11,"|",$M$5),IuranDSSebelumnya!$I$330:$N$772,5,FALSE),
        IF(COUNTIFS(IuranDSSebelumnya!$J$330:$J$772,$K53,IuranDSSebelumnya!$M$330:$M$772,AY$11,IuranDSSebelumnya!$L$330:$L$772,"&lt;&gt;"&amp;$M$5)&gt;0,
              "Iuran dari Lingkungan lain",
              ""))</f>
        <v>42491</v>
      </c>
      <c r="AZ53" s="47">
        <f>IF(COUNTIFS(IuranDSSebelumnya!$J$330:$J$772,$K53,IuranDSSebelumnya!$M$330:$M$772,AZ$11,IuranDSSebelumnya!$L$330:$L$772,$M$5)&gt;0,
        VLOOKUP(CONCATENATE($K53,"|",AZ$11,"|",$M$5),IuranDSSebelumnya!$I$330:$N$772,5,FALSE),
        IF(COUNTIFS(IuranDSSebelumnya!$J$330:$J$772,$K53,IuranDSSebelumnya!$M$330:$M$772,AZ$11,IuranDSSebelumnya!$L$330:$L$772,"&lt;&gt;"&amp;$M$5)&gt;0,
              "Iuran dari Lingkungan lain",
              ""))</f>
        <v>42522</v>
      </c>
      <c r="BA53" s="47">
        <f>IF(COUNTIFS(IuranDSSebelumnya!$J$330:$J$772,$K53,IuranDSSebelumnya!$M$330:$M$772,BA$11,IuranDSSebelumnya!$L$330:$L$772,$M$5)&gt;0,
        VLOOKUP(CONCATENATE($K53,"|",BA$11,"|",$M$5),IuranDSSebelumnya!$I$330:$N$772,5,FALSE),
        IF(COUNTIFS(IuranDSSebelumnya!$J$330:$J$772,$K53,IuranDSSebelumnya!$M$330:$M$772,BA$11,IuranDSSebelumnya!$L$330:$L$772,"&lt;&gt;"&amp;$M$5)&gt;0,
              "Iuran dari Lingkungan lain",
              ""))</f>
        <v>42552</v>
      </c>
      <c r="BB53" s="47">
        <f>IF(COUNTIFS(IuranDSSebelumnya!$J$330:$J$772,$K53,IuranDSSebelumnya!$M$330:$M$772,BB$11,IuranDSSebelumnya!$L$330:$L$772,$M$5)&gt;0,
        VLOOKUP(CONCATENATE($K53,"|",BB$11,"|",$M$5),IuranDSSebelumnya!$I$330:$N$772,5,FALSE),
        IF(COUNTIFS(IuranDSSebelumnya!$J$330:$J$772,$K53,IuranDSSebelumnya!$M$330:$M$772,BB$11,IuranDSSebelumnya!$L$330:$L$772,"&lt;&gt;"&amp;$M$5)&gt;0,
              "Iuran dari Lingkungan lain",
              ""))</f>
        <v>42583</v>
      </c>
      <c r="BC53" s="47">
        <f>IF(COUNTIFS(IuranDSSebelumnya!$J$330:$J$772,$K53,IuranDSSebelumnya!$M$330:$M$772,BC$11,IuranDSSebelumnya!$L$330:$L$772,$M$5)&gt;0,
        VLOOKUP(CONCATENATE($K53,"|",BC$11,"|",$M$5),IuranDSSebelumnya!$I$330:$N$772,5,FALSE),
        IF(COUNTIFS(IuranDSSebelumnya!$J$330:$J$772,$K53,IuranDSSebelumnya!$M$330:$M$772,BC$11,IuranDSSebelumnya!$L$330:$L$772,"&lt;&gt;"&amp;$M$5)&gt;0,
              "Iuran dari Lingkungan lain",
              ""))</f>
        <v>42614</v>
      </c>
      <c r="BD53" s="47" t="str">
        <f>IF(COUNTIFS(IuranDSSebelumnya!$J$330:$J$772,$K53,IuranDSSebelumnya!$M$330:$M$772,BD$11,IuranDSSebelumnya!$L$330:$L$772,$M$5)&gt;0,
        VLOOKUP(CONCATENATE($K53,"|",BD$11,"|",$M$5),IuranDSSebelumnya!$I$330:$N$772,5,FALSE),
        IF(COUNTIFS(IuranDSSebelumnya!$J$330:$J$772,$K53,IuranDSSebelumnya!$M$330:$M$772,BD$11,IuranDSSebelumnya!$L$330:$L$772,"&lt;&gt;"&amp;$M$5)&gt;0,
              "Iuran dari Lingkungan lain",
              ""))</f>
        <v/>
      </c>
      <c r="BE53" s="47" t="str">
        <f>IF(COUNTIFS(IuranDSSebelumnya!$J$330:$J$772,$K53,IuranDSSebelumnya!$M$330:$M$772,BE$11,IuranDSSebelumnya!$L$330:$L$772,$M$5)&gt;0,
        VLOOKUP(CONCATENATE($K53,"|",BE$11,"|",$M$5),IuranDSSebelumnya!$I$330:$N$772,5,FALSE),
        IF(COUNTIFS(IuranDSSebelumnya!$J$330:$J$772,$K53,IuranDSSebelumnya!$M$330:$M$772,BE$11,IuranDSSebelumnya!$L$330:$L$772,"&lt;&gt;"&amp;$M$5)&gt;0,
              "Iuran dari Lingkungan lain",
              ""))</f>
        <v/>
      </c>
      <c r="BF53" s="47" t="str">
        <f>IF(COUNTIFS(IuranDSSebelumnya!$J$330:$J$772,$K53,IuranDSSebelumnya!$M$330:$M$772,BF$11,IuranDSSebelumnya!$L$330:$L$772,$M$5)&gt;0,
        VLOOKUP(CONCATENATE($K53,"|",BF$11,"|",$M$5),IuranDSSebelumnya!$I$330:$N$772,5,FALSE),
        IF(COUNTIFS(IuranDSSebelumnya!$J$330:$J$772,$K53,IuranDSSebelumnya!$M$330:$M$772,BF$11,IuranDSSebelumnya!$L$330:$L$772,"&lt;&gt;"&amp;$M$5)&gt;0,
              "Iuran dari Lingkungan lain",
              ""))</f>
        <v/>
      </c>
      <c r="BG53" s="47" t="str">
        <f>IF(COUNTIFS(IuranDSSebelumnya!$J$330:$J$772,$K53,IuranDSSebelumnya!$M$330:$M$772,BG$11,IuranDSSebelumnya!$L$330:$L$772,$M$5)&gt;0,
        VLOOKUP(CONCATENATE($K53,"|",BG$11,"|",$M$5),IuranDSSebelumnya!$I$330:$N$772,5,FALSE),
        IF(COUNTIFS(IuranDSSebelumnya!$J$330:$J$772,$K53,IuranDSSebelumnya!$M$330:$M$772,BG$11,IuranDSSebelumnya!$L$330:$L$772,"&lt;&gt;"&amp;$M$5)&gt;0,
              "Iuran dari Lingkungan lain",
              ""))</f>
        <v/>
      </c>
      <c r="BH53" s="47" t="str">
        <f>IF(COUNTIFS(IuranDSSebelumnya!$J$330:$J$772,$K53,IuranDSSebelumnya!$M$330:$M$772,BH$11,IuranDSSebelumnya!$L$330:$L$772,$M$5)&gt;0,
        VLOOKUP(CONCATENATE($K53,"|",BH$11,"|",$M$5),IuranDSSebelumnya!$I$330:$N$772,5,FALSE),
        IF(COUNTIFS(IuranDSSebelumnya!$J$330:$J$772,$K53,IuranDSSebelumnya!$M$330:$M$772,BH$11,IuranDSSebelumnya!$L$330:$L$772,"&lt;&gt;"&amp;$M$5)&gt;0,
              "Iuran dari Lingkungan lain",
              ""))</f>
        <v/>
      </c>
      <c r="BI53" s="47" t="str">
        <f>IF(COUNTIFS(IuranDSSebelumnya!$J$330:$J$772,$K53,IuranDSSebelumnya!$M$330:$M$772,BI$11,IuranDSSebelumnya!$L$330:$L$772,$M$5)&gt;0,
        VLOOKUP(CONCATENATE($K53,"|",BI$11,"|",$M$5),IuranDSSebelumnya!$I$330:$N$772,5,FALSE),
        IF(COUNTIFS(IuranDSSebelumnya!$J$330:$J$772,$K53,IuranDSSebelumnya!$M$330:$M$772,BI$11,IuranDSSebelumnya!$L$330:$L$772,"&lt;&gt;"&amp;$M$5)&gt;0,
              "Iuran dari Lingkungan lain",
              ""))</f>
        <v/>
      </c>
      <c r="BJ53" s="47" t="str">
        <f>IF(COUNTIFS(IuranDSSebelumnya!$J$330:$J$772,$K53,IuranDSSebelumnya!$M$330:$M$772,BJ$11,IuranDSSebelumnya!$L$330:$L$772,$M$5)&gt;0,
        VLOOKUP(CONCATENATE($K53,"|",BJ$11,"|",$M$5),IuranDSSebelumnya!$I$330:$N$772,5,FALSE),
        IF(COUNTIFS(IuranDSSebelumnya!$J$330:$J$772,$K53,IuranDSSebelumnya!$M$330:$M$772,BJ$11,IuranDSSebelumnya!$L$330:$L$772,"&lt;&gt;"&amp;$M$5)&gt;0,
              "Iuran dari Lingkungan lain",
              ""))</f>
        <v/>
      </c>
      <c r="BK53" s="47" t="str">
        <f>IF(COUNTIFS(IuranDSSebelumnya!$J$330:$J$772,$K53,IuranDSSebelumnya!$M$330:$M$772,BK$11,IuranDSSebelumnya!$L$330:$L$772,$M$5)&gt;0,
        VLOOKUP(CONCATENATE($K53,"|",BK$11,"|",$M$5),IuranDSSebelumnya!$I$330:$N$772,5,FALSE),
        IF(COUNTIFS(IuranDSSebelumnya!$J$330:$J$772,$K53,IuranDSSebelumnya!$M$330:$M$772,BK$11,IuranDSSebelumnya!$L$330:$L$772,"&lt;&gt;"&amp;$M$5)&gt;0,
              "Iuran dari Lingkungan lain",
              ""))</f>
        <v/>
      </c>
      <c r="BL53" s="47" t="str">
        <f>IF(COUNTIFS(IuranDSSebelumnya!$J$330:$J$772,$K53,IuranDSSebelumnya!$M$330:$M$772,BL$11,IuranDSSebelumnya!$L$330:$L$772,$M$5)&gt;0,
        VLOOKUP(CONCATENATE($K53,"|",BL$11,"|",$M$5),IuranDSSebelumnya!$I$330:$N$772,5,FALSE),
        IF(COUNTIFS(IuranDSSebelumnya!$J$330:$J$772,$K53,IuranDSSebelumnya!$M$330:$M$772,BL$11,IuranDSSebelumnya!$L$330:$L$772,"&lt;&gt;"&amp;$M$5)&gt;0,
              "Iuran dari Lingkungan lain",
              ""))</f>
        <v/>
      </c>
    </row>
    <row r="54" spans="1:64" x14ac:dyDescent="0.35">
      <c r="A54" s="30" t="s">
        <v>6063</v>
      </c>
      <c r="C54" s="30" t="b">
        <f t="shared" ca="1" si="16"/>
        <v>0</v>
      </c>
      <c r="D54" s="30" t="str">
        <f>"""TRUST Nav"",""HSPMTB2016"",""18"",""1"",""KK-05054"""</f>
        <v>"TRUST Nav","HSPMTB2016","18","1","KK-05054"</v>
      </c>
      <c r="H54" s="30">
        <f t="shared" si="17"/>
        <v>0</v>
      </c>
      <c r="J54" s="30">
        <f t="shared" si="18"/>
        <v>42</v>
      </c>
      <c r="K54" s="30" t="str">
        <f>"KK-05054"</f>
        <v>KK-05054</v>
      </c>
      <c r="L54" s="30" t="str">
        <f>"Yohanes Kasriel Ruslim"</f>
        <v>Yohanes Kasriel Ruslim</v>
      </c>
      <c r="M54" s="30"/>
      <c r="N54" s="3"/>
      <c r="O54" s="3"/>
      <c r="P54" s="3"/>
      <c r="Q54" s="3"/>
      <c r="R54" s="3"/>
      <c r="S54" s="3"/>
      <c r="T54" s="11"/>
      <c r="U54" s="4"/>
      <c r="V54" s="4"/>
      <c r="W54" s="4"/>
      <c r="X54" s="4"/>
      <c r="Y54" s="15"/>
      <c r="Z54" s="4"/>
      <c r="AA54" s="4"/>
      <c r="AB54" s="4"/>
      <c r="AC54" s="4"/>
      <c r="AD54" s="4"/>
      <c r="AE54" s="4"/>
      <c r="AF54" s="11"/>
      <c r="AG54" s="4"/>
      <c r="AH54" s="4"/>
      <c r="AI54" s="4"/>
      <c r="AJ54" s="4"/>
      <c r="AK54" s="4"/>
      <c r="AL54" s="9">
        <f t="shared" si="19"/>
        <v>0</v>
      </c>
      <c r="AO54" s="47" t="str">
        <f>IF(COUNTIFS(IuranDSSebelumnya!$J$330:$J$772,$K54,IuranDSSebelumnya!$M$330:$M$772,AO$11,IuranDSSebelumnya!$L$330:$L$772,$M$5)&gt;0,
        VLOOKUP(CONCATENATE($K54,"|",AO$11,"|",$M$5),IuranDSSebelumnya!$I$330:$N$772,5,FALSE),
        IF(COUNTIFS(IuranDSSebelumnya!$J$330:$J$772,$K54,IuranDSSebelumnya!$M$330:$M$772,AO$11,IuranDSSebelumnya!$L$330:$L$772,"&lt;&gt;"&amp;$M$5)&gt;0,
              "Iuran dari Lingkungan lain",
              ""))</f>
        <v/>
      </c>
      <c r="AP54" s="47" t="str">
        <f>IF(COUNTIFS(IuranDSSebelumnya!$J$330:$J$772,$K54,IuranDSSebelumnya!$M$330:$M$772,AP$11,IuranDSSebelumnya!$L$330:$L$772,$M$5)&gt;0,
        VLOOKUP(CONCATENATE($K54,"|",AP$11,"|",$M$5),IuranDSSebelumnya!$I$330:$N$772,5,FALSE),
        IF(COUNTIFS(IuranDSSebelumnya!$J$330:$J$772,$K54,IuranDSSebelumnya!$M$330:$M$772,AP$11,IuranDSSebelumnya!$L$330:$L$772,"&lt;&gt;"&amp;$M$5)&gt;0,
              "Iuran dari Lingkungan lain",
              ""))</f>
        <v/>
      </c>
      <c r="AQ54" s="47" t="str">
        <f>IF(COUNTIFS(IuranDSSebelumnya!$J$330:$J$772,$K54,IuranDSSebelumnya!$M$330:$M$772,AQ$11,IuranDSSebelumnya!$L$330:$L$772,$M$5)&gt;0,
        VLOOKUP(CONCATENATE($K54,"|",AQ$11,"|",$M$5),IuranDSSebelumnya!$I$330:$N$772,5,FALSE),
        IF(COUNTIFS(IuranDSSebelumnya!$J$330:$J$772,$K54,IuranDSSebelumnya!$M$330:$M$772,AQ$11,IuranDSSebelumnya!$L$330:$L$772,"&lt;&gt;"&amp;$M$5)&gt;0,
              "Iuran dari Lingkungan lain",
              ""))</f>
        <v/>
      </c>
      <c r="AR54" s="47" t="str">
        <f>IF(COUNTIFS(IuranDSSebelumnya!$J$330:$J$772,$K54,IuranDSSebelumnya!$M$330:$M$772,AR$11,IuranDSSebelumnya!$L$330:$L$772,$M$5)&gt;0,
        VLOOKUP(CONCATENATE($K54,"|",AR$11,"|",$M$5),IuranDSSebelumnya!$I$330:$N$772,5,FALSE),
        IF(COUNTIFS(IuranDSSebelumnya!$J$330:$J$772,$K54,IuranDSSebelumnya!$M$330:$M$772,AR$11,IuranDSSebelumnya!$L$330:$L$772,"&lt;&gt;"&amp;$M$5)&gt;0,
              "Iuran dari Lingkungan lain",
              ""))</f>
        <v/>
      </c>
      <c r="AS54" s="47" t="str">
        <f>IF(COUNTIFS(IuranDSSebelumnya!$J$330:$J$772,$K54,IuranDSSebelumnya!$M$330:$M$772,AS$11,IuranDSSebelumnya!$L$330:$L$772,$M$5)&gt;0,
        VLOOKUP(CONCATENATE($K54,"|",AS$11,"|",$M$5),IuranDSSebelumnya!$I$330:$N$772,5,FALSE),
        IF(COUNTIFS(IuranDSSebelumnya!$J$330:$J$772,$K54,IuranDSSebelumnya!$M$330:$M$772,AS$11,IuranDSSebelumnya!$L$330:$L$772,"&lt;&gt;"&amp;$M$5)&gt;0,
              "Iuran dari Lingkungan lain",
              ""))</f>
        <v/>
      </c>
      <c r="AT54" s="47" t="str">
        <f>IF(COUNTIFS(IuranDSSebelumnya!$J$330:$J$772,$K54,IuranDSSebelumnya!$M$330:$M$772,AT$11,IuranDSSebelumnya!$L$330:$L$772,$M$5)&gt;0,
        VLOOKUP(CONCATENATE($K54,"|",AT$11,"|",$M$5),IuranDSSebelumnya!$I$330:$N$772,5,FALSE),
        IF(COUNTIFS(IuranDSSebelumnya!$J$330:$J$772,$K54,IuranDSSebelumnya!$M$330:$M$772,AT$11,IuranDSSebelumnya!$L$330:$L$772,"&lt;&gt;"&amp;$M$5)&gt;0,
              "Iuran dari Lingkungan lain",
              ""))</f>
        <v/>
      </c>
      <c r="AU54" s="47" t="str">
        <f>IF(COUNTIFS(IuranDSSebelumnya!$J$330:$J$772,$K54,IuranDSSebelumnya!$M$330:$M$772,AU$11,IuranDSSebelumnya!$L$330:$L$772,$M$5)&gt;0,
        VLOOKUP(CONCATENATE($K54,"|",AU$11,"|",$M$5),IuranDSSebelumnya!$I$330:$N$772,5,FALSE),
        IF(COUNTIFS(IuranDSSebelumnya!$J$330:$J$772,$K54,IuranDSSebelumnya!$M$330:$M$772,AU$11,IuranDSSebelumnya!$L$330:$L$772,"&lt;&gt;"&amp;$M$5)&gt;0,
              "Iuran dari Lingkungan lain",
              ""))</f>
        <v/>
      </c>
      <c r="AV54" s="47" t="str">
        <f>IF(COUNTIFS(IuranDSSebelumnya!$J$330:$J$772,$K54,IuranDSSebelumnya!$M$330:$M$772,AV$11,IuranDSSebelumnya!$L$330:$L$772,$M$5)&gt;0,
        VLOOKUP(CONCATENATE($K54,"|",AV$11,"|",$M$5),IuranDSSebelumnya!$I$330:$N$772,5,FALSE),
        IF(COUNTIFS(IuranDSSebelumnya!$J$330:$J$772,$K54,IuranDSSebelumnya!$M$330:$M$772,AV$11,IuranDSSebelumnya!$L$330:$L$772,"&lt;&gt;"&amp;$M$5)&gt;0,
              "Iuran dari Lingkungan lain",
              ""))</f>
        <v/>
      </c>
      <c r="AW54" s="47" t="str">
        <f>IF(COUNTIFS(IuranDSSebelumnya!$J$330:$J$772,$K54,IuranDSSebelumnya!$M$330:$M$772,AW$11,IuranDSSebelumnya!$L$330:$L$772,$M$5)&gt;0,
        VLOOKUP(CONCATENATE($K54,"|",AW$11,"|",$M$5),IuranDSSebelumnya!$I$330:$N$772,5,FALSE),
        IF(COUNTIFS(IuranDSSebelumnya!$J$330:$J$772,$K54,IuranDSSebelumnya!$M$330:$M$772,AW$11,IuranDSSebelumnya!$L$330:$L$772,"&lt;&gt;"&amp;$M$5)&gt;0,
              "Iuran dari Lingkungan lain",
              ""))</f>
        <v/>
      </c>
      <c r="AX54" s="47" t="str">
        <f>IF(COUNTIFS(IuranDSSebelumnya!$J$330:$J$772,$K54,IuranDSSebelumnya!$M$330:$M$772,AX$11,IuranDSSebelumnya!$L$330:$L$772,$M$5)&gt;0,
        VLOOKUP(CONCATENATE($K54,"|",AX$11,"|",$M$5),IuranDSSebelumnya!$I$330:$N$772,5,FALSE),
        IF(COUNTIFS(IuranDSSebelumnya!$J$330:$J$772,$K54,IuranDSSebelumnya!$M$330:$M$772,AX$11,IuranDSSebelumnya!$L$330:$L$772,"&lt;&gt;"&amp;$M$5)&gt;0,
              "Iuran dari Lingkungan lain",
              ""))</f>
        <v/>
      </c>
      <c r="AY54" s="47" t="str">
        <f>IF(COUNTIFS(IuranDSSebelumnya!$J$330:$J$772,$K54,IuranDSSebelumnya!$M$330:$M$772,AY$11,IuranDSSebelumnya!$L$330:$L$772,$M$5)&gt;0,
        VLOOKUP(CONCATENATE($K54,"|",AY$11,"|",$M$5),IuranDSSebelumnya!$I$330:$N$772,5,FALSE),
        IF(COUNTIFS(IuranDSSebelumnya!$J$330:$J$772,$K54,IuranDSSebelumnya!$M$330:$M$772,AY$11,IuranDSSebelumnya!$L$330:$L$772,"&lt;&gt;"&amp;$M$5)&gt;0,
              "Iuran dari Lingkungan lain",
              ""))</f>
        <v/>
      </c>
      <c r="AZ54" s="47" t="str">
        <f>IF(COUNTIFS(IuranDSSebelumnya!$J$330:$J$772,$K54,IuranDSSebelumnya!$M$330:$M$772,AZ$11,IuranDSSebelumnya!$L$330:$L$772,$M$5)&gt;0,
        VLOOKUP(CONCATENATE($K54,"|",AZ$11,"|",$M$5),IuranDSSebelumnya!$I$330:$N$772,5,FALSE),
        IF(COUNTIFS(IuranDSSebelumnya!$J$330:$J$772,$K54,IuranDSSebelumnya!$M$330:$M$772,AZ$11,IuranDSSebelumnya!$L$330:$L$772,"&lt;&gt;"&amp;$M$5)&gt;0,
              "Iuran dari Lingkungan lain",
              ""))</f>
        <v/>
      </c>
      <c r="BA54" s="47" t="str">
        <f>IF(COUNTIFS(IuranDSSebelumnya!$J$330:$J$772,$K54,IuranDSSebelumnya!$M$330:$M$772,BA$11,IuranDSSebelumnya!$L$330:$L$772,$M$5)&gt;0,
        VLOOKUP(CONCATENATE($K54,"|",BA$11,"|",$M$5),IuranDSSebelumnya!$I$330:$N$772,5,FALSE),
        IF(COUNTIFS(IuranDSSebelumnya!$J$330:$J$772,$K54,IuranDSSebelumnya!$M$330:$M$772,BA$11,IuranDSSebelumnya!$L$330:$L$772,"&lt;&gt;"&amp;$M$5)&gt;0,
              "Iuran dari Lingkungan lain",
              ""))</f>
        <v/>
      </c>
      <c r="BB54" s="47" t="str">
        <f>IF(COUNTIFS(IuranDSSebelumnya!$J$330:$J$772,$K54,IuranDSSebelumnya!$M$330:$M$772,BB$11,IuranDSSebelumnya!$L$330:$L$772,$M$5)&gt;0,
        VLOOKUP(CONCATENATE($K54,"|",BB$11,"|",$M$5),IuranDSSebelumnya!$I$330:$N$772,5,FALSE),
        IF(COUNTIFS(IuranDSSebelumnya!$J$330:$J$772,$K54,IuranDSSebelumnya!$M$330:$M$772,BB$11,IuranDSSebelumnya!$L$330:$L$772,"&lt;&gt;"&amp;$M$5)&gt;0,
              "Iuran dari Lingkungan lain",
              ""))</f>
        <v/>
      </c>
      <c r="BC54" s="47" t="str">
        <f>IF(COUNTIFS(IuranDSSebelumnya!$J$330:$J$772,$K54,IuranDSSebelumnya!$M$330:$M$772,BC$11,IuranDSSebelumnya!$L$330:$L$772,$M$5)&gt;0,
        VLOOKUP(CONCATENATE($K54,"|",BC$11,"|",$M$5),IuranDSSebelumnya!$I$330:$N$772,5,FALSE),
        IF(COUNTIFS(IuranDSSebelumnya!$J$330:$J$772,$K54,IuranDSSebelumnya!$M$330:$M$772,BC$11,IuranDSSebelumnya!$L$330:$L$772,"&lt;&gt;"&amp;$M$5)&gt;0,
              "Iuran dari Lingkungan lain",
              ""))</f>
        <v/>
      </c>
      <c r="BD54" s="47" t="str">
        <f>IF(COUNTIFS(IuranDSSebelumnya!$J$330:$J$772,$K54,IuranDSSebelumnya!$M$330:$M$772,BD$11,IuranDSSebelumnya!$L$330:$L$772,$M$5)&gt;0,
        VLOOKUP(CONCATENATE($K54,"|",BD$11,"|",$M$5),IuranDSSebelumnya!$I$330:$N$772,5,FALSE),
        IF(COUNTIFS(IuranDSSebelumnya!$J$330:$J$772,$K54,IuranDSSebelumnya!$M$330:$M$772,BD$11,IuranDSSebelumnya!$L$330:$L$772,"&lt;&gt;"&amp;$M$5)&gt;0,
              "Iuran dari Lingkungan lain",
              ""))</f>
        <v/>
      </c>
      <c r="BE54" s="47" t="str">
        <f>IF(COUNTIFS(IuranDSSebelumnya!$J$330:$J$772,$K54,IuranDSSebelumnya!$M$330:$M$772,BE$11,IuranDSSebelumnya!$L$330:$L$772,$M$5)&gt;0,
        VLOOKUP(CONCATENATE($K54,"|",BE$11,"|",$M$5),IuranDSSebelumnya!$I$330:$N$772,5,FALSE),
        IF(COUNTIFS(IuranDSSebelumnya!$J$330:$J$772,$K54,IuranDSSebelumnya!$M$330:$M$772,BE$11,IuranDSSebelumnya!$L$330:$L$772,"&lt;&gt;"&amp;$M$5)&gt;0,
              "Iuran dari Lingkungan lain",
              ""))</f>
        <v/>
      </c>
      <c r="BF54" s="47" t="str">
        <f>IF(COUNTIFS(IuranDSSebelumnya!$J$330:$J$772,$K54,IuranDSSebelumnya!$M$330:$M$772,BF$11,IuranDSSebelumnya!$L$330:$L$772,$M$5)&gt;0,
        VLOOKUP(CONCATENATE($K54,"|",BF$11,"|",$M$5),IuranDSSebelumnya!$I$330:$N$772,5,FALSE),
        IF(COUNTIFS(IuranDSSebelumnya!$J$330:$J$772,$K54,IuranDSSebelumnya!$M$330:$M$772,BF$11,IuranDSSebelumnya!$L$330:$L$772,"&lt;&gt;"&amp;$M$5)&gt;0,
              "Iuran dari Lingkungan lain",
              ""))</f>
        <v/>
      </c>
      <c r="BG54" s="47" t="str">
        <f>IF(COUNTIFS(IuranDSSebelumnya!$J$330:$J$772,$K54,IuranDSSebelumnya!$M$330:$M$772,BG$11,IuranDSSebelumnya!$L$330:$L$772,$M$5)&gt;0,
        VLOOKUP(CONCATENATE($K54,"|",BG$11,"|",$M$5),IuranDSSebelumnya!$I$330:$N$772,5,FALSE),
        IF(COUNTIFS(IuranDSSebelumnya!$J$330:$J$772,$K54,IuranDSSebelumnya!$M$330:$M$772,BG$11,IuranDSSebelumnya!$L$330:$L$772,"&lt;&gt;"&amp;$M$5)&gt;0,
              "Iuran dari Lingkungan lain",
              ""))</f>
        <v/>
      </c>
      <c r="BH54" s="47" t="str">
        <f>IF(COUNTIFS(IuranDSSebelumnya!$J$330:$J$772,$K54,IuranDSSebelumnya!$M$330:$M$772,BH$11,IuranDSSebelumnya!$L$330:$L$772,$M$5)&gt;0,
        VLOOKUP(CONCATENATE($K54,"|",BH$11,"|",$M$5),IuranDSSebelumnya!$I$330:$N$772,5,FALSE),
        IF(COUNTIFS(IuranDSSebelumnya!$J$330:$J$772,$K54,IuranDSSebelumnya!$M$330:$M$772,BH$11,IuranDSSebelumnya!$L$330:$L$772,"&lt;&gt;"&amp;$M$5)&gt;0,
              "Iuran dari Lingkungan lain",
              ""))</f>
        <v/>
      </c>
      <c r="BI54" s="47" t="str">
        <f>IF(COUNTIFS(IuranDSSebelumnya!$J$330:$J$772,$K54,IuranDSSebelumnya!$M$330:$M$772,BI$11,IuranDSSebelumnya!$L$330:$L$772,$M$5)&gt;0,
        VLOOKUP(CONCATENATE($K54,"|",BI$11,"|",$M$5),IuranDSSebelumnya!$I$330:$N$772,5,FALSE),
        IF(COUNTIFS(IuranDSSebelumnya!$J$330:$J$772,$K54,IuranDSSebelumnya!$M$330:$M$772,BI$11,IuranDSSebelumnya!$L$330:$L$772,"&lt;&gt;"&amp;$M$5)&gt;0,
              "Iuran dari Lingkungan lain",
              ""))</f>
        <v/>
      </c>
      <c r="BJ54" s="47" t="str">
        <f>IF(COUNTIFS(IuranDSSebelumnya!$J$330:$J$772,$K54,IuranDSSebelumnya!$M$330:$M$772,BJ$11,IuranDSSebelumnya!$L$330:$L$772,$M$5)&gt;0,
        VLOOKUP(CONCATENATE($K54,"|",BJ$11,"|",$M$5),IuranDSSebelumnya!$I$330:$N$772,5,FALSE),
        IF(COUNTIFS(IuranDSSebelumnya!$J$330:$J$772,$K54,IuranDSSebelumnya!$M$330:$M$772,BJ$11,IuranDSSebelumnya!$L$330:$L$772,"&lt;&gt;"&amp;$M$5)&gt;0,
              "Iuran dari Lingkungan lain",
              ""))</f>
        <v/>
      </c>
      <c r="BK54" s="47" t="str">
        <f>IF(COUNTIFS(IuranDSSebelumnya!$J$330:$J$772,$K54,IuranDSSebelumnya!$M$330:$M$772,BK$11,IuranDSSebelumnya!$L$330:$L$772,$M$5)&gt;0,
        VLOOKUP(CONCATENATE($K54,"|",BK$11,"|",$M$5),IuranDSSebelumnya!$I$330:$N$772,5,FALSE),
        IF(COUNTIFS(IuranDSSebelumnya!$J$330:$J$772,$K54,IuranDSSebelumnya!$M$330:$M$772,BK$11,IuranDSSebelumnya!$L$330:$L$772,"&lt;&gt;"&amp;$M$5)&gt;0,
              "Iuran dari Lingkungan lain",
              ""))</f>
        <v/>
      </c>
      <c r="BL54" s="47" t="str">
        <f>IF(COUNTIFS(IuranDSSebelumnya!$J$330:$J$772,$K54,IuranDSSebelumnya!$M$330:$M$772,BL$11,IuranDSSebelumnya!$L$330:$L$772,$M$5)&gt;0,
        VLOOKUP(CONCATENATE($K54,"|",BL$11,"|",$M$5),IuranDSSebelumnya!$I$330:$N$772,5,FALSE),
        IF(COUNTIFS(IuranDSSebelumnya!$J$330:$J$772,$K54,IuranDSSebelumnya!$M$330:$M$772,BL$11,IuranDSSebelumnya!$L$330:$L$772,"&lt;&gt;"&amp;$M$5)&gt;0,
              "Iuran dari Lingkungan lain",
              ""))</f>
        <v/>
      </c>
    </row>
    <row r="55" spans="1:64" x14ac:dyDescent="0.35">
      <c r="A55" s="30" t="s">
        <v>6063</v>
      </c>
      <c r="C55" s="30" t="b">
        <f t="shared" ca="1" si="16"/>
        <v>0</v>
      </c>
      <c r="D55" s="30" t="str">
        <f>"""TRUST Nav"",""HSPMTB2016"",""18"",""1"",""KK-04625"""</f>
        <v>"TRUST Nav","HSPMTB2016","18","1","KK-04625"</v>
      </c>
      <c r="H55" s="30">
        <f t="shared" si="17"/>
        <v>0</v>
      </c>
      <c r="J55" s="30">
        <f t="shared" si="18"/>
        <v>43</v>
      </c>
      <c r="K55" s="30" t="str">
        <f>"KK-04625"</f>
        <v>KK-04625</v>
      </c>
      <c r="L55" s="30" t="str">
        <f>"Yunius Samara"</f>
        <v>Yunius Samara</v>
      </c>
      <c r="M55" s="30"/>
      <c r="N55" s="129"/>
      <c r="O55" s="129"/>
      <c r="P55" s="129"/>
      <c r="Q55" s="129"/>
      <c r="R55" s="129"/>
      <c r="S55" s="129"/>
      <c r="T55" s="130"/>
      <c r="U55" s="131"/>
      <c r="V55" s="131"/>
      <c r="W55" s="131"/>
      <c r="X55" s="4"/>
      <c r="Y55" s="15"/>
      <c r="Z55" s="4"/>
      <c r="AA55" s="4"/>
      <c r="AB55" s="4"/>
      <c r="AC55" s="4"/>
      <c r="AD55" s="4"/>
      <c r="AE55" s="4"/>
      <c r="AF55" s="11"/>
      <c r="AG55" s="4"/>
      <c r="AH55" s="4"/>
      <c r="AI55" s="4"/>
      <c r="AJ55" s="4"/>
      <c r="AK55" s="4"/>
      <c r="AL55" s="9">
        <f t="shared" si="19"/>
        <v>0</v>
      </c>
      <c r="AO55" s="47">
        <f>IF(COUNTIFS(IuranDSSebelumnya!$J$330:$J$772,$K55,IuranDSSebelumnya!$M$330:$M$772,AO$11,IuranDSSebelumnya!$L$330:$L$772,$M$5)&gt;0,
        VLOOKUP(CONCATENATE($K55,"|",AO$11,"|",$M$5),IuranDSSebelumnya!$I$330:$N$772,5,FALSE),
        IF(COUNTIFS(IuranDSSebelumnya!$J$330:$J$772,$K55,IuranDSSebelumnya!$M$330:$M$772,AO$11,IuranDSSebelumnya!$L$330:$L$772,"&lt;&gt;"&amp;$M$5)&gt;0,
              "Iuran dari Lingkungan lain",
              ""))</f>
        <v>42186</v>
      </c>
      <c r="AP55" s="47">
        <f>IF(COUNTIFS(IuranDSSebelumnya!$J$330:$J$772,$K55,IuranDSSebelumnya!$M$330:$M$772,AP$11,IuranDSSebelumnya!$L$330:$L$772,$M$5)&gt;0,
        VLOOKUP(CONCATENATE($K55,"|",AP$11,"|",$M$5),IuranDSSebelumnya!$I$330:$N$772,5,FALSE),
        IF(COUNTIFS(IuranDSSebelumnya!$J$330:$J$772,$K55,IuranDSSebelumnya!$M$330:$M$772,AP$11,IuranDSSebelumnya!$L$330:$L$772,"&lt;&gt;"&amp;$M$5)&gt;0,
              "Iuran dari Lingkungan lain",
              ""))</f>
        <v>42217</v>
      </c>
      <c r="AQ55" s="47">
        <f>IF(COUNTIFS(IuranDSSebelumnya!$J$330:$J$772,$K55,IuranDSSebelumnya!$M$330:$M$772,AQ$11,IuranDSSebelumnya!$L$330:$L$772,$M$5)&gt;0,
        VLOOKUP(CONCATENATE($K55,"|",AQ$11,"|",$M$5),IuranDSSebelumnya!$I$330:$N$772,5,FALSE),
        IF(COUNTIFS(IuranDSSebelumnya!$J$330:$J$772,$K55,IuranDSSebelumnya!$M$330:$M$772,AQ$11,IuranDSSebelumnya!$L$330:$L$772,"&lt;&gt;"&amp;$M$5)&gt;0,
              "Iuran dari Lingkungan lain",
              ""))</f>
        <v>42248</v>
      </c>
      <c r="AR55" s="47">
        <f>IF(COUNTIFS(IuranDSSebelumnya!$J$330:$J$772,$K55,IuranDSSebelumnya!$M$330:$M$772,AR$11,IuranDSSebelumnya!$L$330:$L$772,$M$5)&gt;0,
        VLOOKUP(CONCATENATE($K55,"|",AR$11,"|",$M$5),IuranDSSebelumnya!$I$330:$N$772,5,FALSE),
        IF(COUNTIFS(IuranDSSebelumnya!$J$330:$J$772,$K55,IuranDSSebelumnya!$M$330:$M$772,AR$11,IuranDSSebelumnya!$L$330:$L$772,"&lt;&gt;"&amp;$M$5)&gt;0,
              "Iuran dari Lingkungan lain",
              ""))</f>
        <v>42278</v>
      </c>
      <c r="AS55" s="47">
        <f>IF(COUNTIFS(IuranDSSebelumnya!$J$330:$J$772,$K55,IuranDSSebelumnya!$M$330:$M$772,AS$11,IuranDSSebelumnya!$L$330:$L$772,$M$5)&gt;0,
        VLOOKUP(CONCATENATE($K55,"|",AS$11,"|",$M$5),IuranDSSebelumnya!$I$330:$N$772,5,FALSE),
        IF(COUNTIFS(IuranDSSebelumnya!$J$330:$J$772,$K55,IuranDSSebelumnya!$M$330:$M$772,AS$11,IuranDSSebelumnya!$L$330:$L$772,"&lt;&gt;"&amp;$M$5)&gt;0,
              "Iuran dari Lingkungan lain",
              ""))</f>
        <v>42309</v>
      </c>
      <c r="AT55" s="47">
        <f>IF(COUNTIFS(IuranDSSebelumnya!$J$330:$J$772,$K55,IuranDSSebelumnya!$M$330:$M$772,AT$11,IuranDSSebelumnya!$L$330:$L$772,$M$5)&gt;0,
        VLOOKUP(CONCATENATE($K55,"|",AT$11,"|",$M$5),IuranDSSebelumnya!$I$330:$N$772,5,FALSE),
        IF(COUNTIFS(IuranDSSebelumnya!$J$330:$J$772,$K55,IuranDSSebelumnya!$M$330:$M$772,AT$11,IuranDSSebelumnya!$L$330:$L$772,"&lt;&gt;"&amp;$M$5)&gt;0,
              "Iuran dari Lingkungan lain",
              ""))</f>
        <v>42339</v>
      </c>
      <c r="AU55" s="47">
        <f>IF(COUNTIFS(IuranDSSebelumnya!$J$330:$J$772,$K55,IuranDSSebelumnya!$M$330:$M$772,AU$11,IuranDSSebelumnya!$L$330:$L$772,$M$5)&gt;0,
        VLOOKUP(CONCATENATE($K55,"|",AU$11,"|",$M$5),IuranDSSebelumnya!$I$330:$N$772,5,FALSE),
        IF(COUNTIFS(IuranDSSebelumnya!$J$330:$J$772,$K55,IuranDSSebelumnya!$M$330:$M$772,AU$11,IuranDSSebelumnya!$L$330:$L$772,"&lt;&gt;"&amp;$M$5)&gt;0,
              "Iuran dari Lingkungan lain",
              ""))</f>
        <v>42370</v>
      </c>
      <c r="AV55" s="47">
        <f>IF(COUNTIFS(IuranDSSebelumnya!$J$330:$J$772,$K55,IuranDSSebelumnya!$M$330:$M$772,AV$11,IuranDSSebelumnya!$L$330:$L$772,$M$5)&gt;0,
        VLOOKUP(CONCATENATE($K55,"|",AV$11,"|",$M$5),IuranDSSebelumnya!$I$330:$N$772,5,FALSE),
        IF(COUNTIFS(IuranDSSebelumnya!$J$330:$J$772,$K55,IuranDSSebelumnya!$M$330:$M$772,AV$11,IuranDSSebelumnya!$L$330:$L$772,"&lt;&gt;"&amp;$M$5)&gt;0,
              "Iuran dari Lingkungan lain",
              ""))</f>
        <v>42401</v>
      </c>
      <c r="AW55" s="47">
        <f>IF(COUNTIFS(IuranDSSebelumnya!$J$330:$J$772,$K55,IuranDSSebelumnya!$M$330:$M$772,AW$11,IuranDSSebelumnya!$L$330:$L$772,$M$5)&gt;0,
        VLOOKUP(CONCATENATE($K55,"|",AW$11,"|",$M$5),IuranDSSebelumnya!$I$330:$N$772,5,FALSE),
        IF(COUNTIFS(IuranDSSebelumnya!$J$330:$J$772,$K55,IuranDSSebelumnya!$M$330:$M$772,AW$11,IuranDSSebelumnya!$L$330:$L$772,"&lt;&gt;"&amp;$M$5)&gt;0,
              "Iuran dari Lingkungan lain",
              ""))</f>
        <v>42430</v>
      </c>
      <c r="AX55" s="47">
        <f>IF(COUNTIFS(IuranDSSebelumnya!$J$330:$J$772,$K55,IuranDSSebelumnya!$M$330:$M$772,AX$11,IuranDSSebelumnya!$L$330:$L$772,$M$5)&gt;0,
        VLOOKUP(CONCATENATE($K55,"|",AX$11,"|",$M$5),IuranDSSebelumnya!$I$330:$N$772,5,FALSE),
        IF(COUNTIFS(IuranDSSebelumnya!$J$330:$J$772,$K55,IuranDSSebelumnya!$M$330:$M$772,AX$11,IuranDSSebelumnya!$L$330:$L$772,"&lt;&gt;"&amp;$M$5)&gt;0,
              "Iuran dari Lingkungan lain",
              ""))</f>
        <v>42461</v>
      </c>
      <c r="AY55" s="47" t="str">
        <f>IF(COUNTIFS(IuranDSSebelumnya!$J$330:$J$772,$K55,IuranDSSebelumnya!$M$330:$M$772,AY$11,IuranDSSebelumnya!$L$330:$L$772,$M$5)&gt;0,
        VLOOKUP(CONCATENATE($K55,"|",AY$11,"|",$M$5),IuranDSSebelumnya!$I$330:$N$772,5,FALSE),
        IF(COUNTIFS(IuranDSSebelumnya!$J$330:$J$772,$K55,IuranDSSebelumnya!$M$330:$M$772,AY$11,IuranDSSebelumnya!$L$330:$L$772,"&lt;&gt;"&amp;$M$5)&gt;0,
              "Iuran dari Lingkungan lain",
              ""))</f>
        <v/>
      </c>
      <c r="AZ55" s="47" t="str">
        <f>IF(COUNTIFS(IuranDSSebelumnya!$J$330:$J$772,$K55,IuranDSSebelumnya!$M$330:$M$772,AZ$11,IuranDSSebelumnya!$L$330:$L$772,$M$5)&gt;0,
        VLOOKUP(CONCATENATE($K55,"|",AZ$11,"|",$M$5),IuranDSSebelumnya!$I$330:$N$772,5,FALSE),
        IF(COUNTIFS(IuranDSSebelumnya!$J$330:$J$772,$K55,IuranDSSebelumnya!$M$330:$M$772,AZ$11,IuranDSSebelumnya!$L$330:$L$772,"&lt;&gt;"&amp;$M$5)&gt;0,
              "Iuran dari Lingkungan lain",
              ""))</f>
        <v/>
      </c>
      <c r="BA55" s="47" t="str">
        <f>IF(COUNTIFS(IuranDSSebelumnya!$J$330:$J$772,$K55,IuranDSSebelumnya!$M$330:$M$772,BA$11,IuranDSSebelumnya!$L$330:$L$772,$M$5)&gt;0,
        VLOOKUP(CONCATENATE($K55,"|",BA$11,"|",$M$5),IuranDSSebelumnya!$I$330:$N$772,5,FALSE),
        IF(COUNTIFS(IuranDSSebelumnya!$J$330:$J$772,$K55,IuranDSSebelumnya!$M$330:$M$772,BA$11,IuranDSSebelumnya!$L$330:$L$772,"&lt;&gt;"&amp;$M$5)&gt;0,
              "Iuran dari Lingkungan lain",
              ""))</f>
        <v/>
      </c>
      <c r="BB55" s="47" t="str">
        <f>IF(COUNTIFS(IuranDSSebelumnya!$J$330:$J$772,$K55,IuranDSSebelumnya!$M$330:$M$772,BB$11,IuranDSSebelumnya!$L$330:$L$772,$M$5)&gt;0,
        VLOOKUP(CONCATENATE($K55,"|",BB$11,"|",$M$5),IuranDSSebelumnya!$I$330:$N$772,5,FALSE),
        IF(COUNTIFS(IuranDSSebelumnya!$J$330:$J$772,$K55,IuranDSSebelumnya!$M$330:$M$772,BB$11,IuranDSSebelumnya!$L$330:$L$772,"&lt;&gt;"&amp;$M$5)&gt;0,
              "Iuran dari Lingkungan lain",
              ""))</f>
        <v/>
      </c>
      <c r="BC55" s="47" t="str">
        <f>IF(COUNTIFS(IuranDSSebelumnya!$J$330:$J$772,$K55,IuranDSSebelumnya!$M$330:$M$772,BC$11,IuranDSSebelumnya!$L$330:$L$772,$M$5)&gt;0,
        VLOOKUP(CONCATENATE($K55,"|",BC$11,"|",$M$5),IuranDSSebelumnya!$I$330:$N$772,5,FALSE),
        IF(COUNTIFS(IuranDSSebelumnya!$J$330:$J$772,$K55,IuranDSSebelumnya!$M$330:$M$772,BC$11,IuranDSSebelumnya!$L$330:$L$772,"&lt;&gt;"&amp;$M$5)&gt;0,
              "Iuran dari Lingkungan lain",
              ""))</f>
        <v/>
      </c>
      <c r="BD55" s="47" t="str">
        <f>IF(COUNTIFS(IuranDSSebelumnya!$J$330:$J$772,$K55,IuranDSSebelumnya!$M$330:$M$772,BD$11,IuranDSSebelumnya!$L$330:$L$772,$M$5)&gt;0,
        VLOOKUP(CONCATENATE($K55,"|",BD$11,"|",$M$5),IuranDSSebelumnya!$I$330:$N$772,5,FALSE),
        IF(COUNTIFS(IuranDSSebelumnya!$J$330:$J$772,$K55,IuranDSSebelumnya!$M$330:$M$772,BD$11,IuranDSSebelumnya!$L$330:$L$772,"&lt;&gt;"&amp;$M$5)&gt;0,
              "Iuran dari Lingkungan lain",
              ""))</f>
        <v/>
      </c>
      <c r="BE55" s="47" t="str">
        <f>IF(COUNTIFS(IuranDSSebelumnya!$J$330:$J$772,$K55,IuranDSSebelumnya!$M$330:$M$772,BE$11,IuranDSSebelumnya!$L$330:$L$772,$M$5)&gt;0,
        VLOOKUP(CONCATENATE($K55,"|",BE$11,"|",$M$5),IuranDSSebelumnya!$I$330:$N$772,5,FALSE),
        IF(COUNTIFS(IuranDSSebelumnya!$J$330:$J$772,$K55,IuranDSSebelumnya!$M$330:$M$772,BE$11,IuranDSSebelumnya!$L$330:$L$772,"&lt;&gt;"&amp;$M$5)&gt;0,
              "Iuran dari Lingkungan lain",
              ""))</f>
        <v/>
      </c>
      <c r="BF55" s="47" t="str">
        <f>IF(COUNTIFS(IuranDSSebelumnya!$J$330:$J$772,$K55,IuranDSSebelumnya!$M$330:$M$772,BF$11,IuranDSSebelumnya!$L$330:$L$772,$M$5)&gt;0,
        VLOOKUP(CONCATENATE($K55,"|",BF$11,"|",$M$5),IuranDSSebelumnya!$I$330:$N$772,5,FALSE),
        IF(COUNTIFS(IuranDSSebelumnya!$J$330:$J$772,$K55,IuranDSSebelumnya!$M$330:$M$772,BF$11,IuranDSSebelumnya!$L$330:$L$772,"&lt;&gt;"&amp;$M$5)&gt;0,
              "Iuran dari Lingkungan lain",
              ""))</f>
        <v/>
      </c>
      <c r="BG55" s="47" t="str">
        <f>IF(COUNTIFS(IuranDSSebelumnya!$J$330:$J$772,$K55,IuranDSSebelumnya!$M$330:$M$772,BG$11,IuranDSSebelumnya!$L$330:$L$772,$M$5)&gt;0,
        VLOOKUP(CONCATENATE($K55,"|",BG$11,"|",$M$5),IuranDSSebelumnya!$I$330:$N$772,5,FALSE),
        IF(COUNTIFS(IuranDSSebelumnya!$J$330:$J$772,$K55,IuranDSSebelumnya!$M$330:$M$772,BG$11,IuranDSSebelumnya!$L$330:$L$772,"&lt;&gt;"&amp;$M$5)&gt;0,
              "Iuran dari Lingkungan lain",
              ""))</f>
        <v/>
      </c>
      <c r="BH55" s="47" t="str">
        <f>IF(COUNTIFS(IuranDSSebelumnya!$J$330:$J$772,$K55,IuranDSSebelumnya!$M$330:$M$772,BH$11,IuranDSSebelumnya!$L$330:$L$772,$M$5)&gt;0,
        VLOOKUP(CONCATENATE($K55,"|",BH$11,"|",$M$5),IuranDSSebelumnya!$I$330:$N$772,5,FALSE),
        IF(COUNTIFS(IuranDSSebelumnya!$J$330:$J$772,$K55,IuranDSSebelumnya!$M$330:$M$772,BH$11,IuranDSSebelumnya!$L$330:$L$772,"&lt;&gt;"&amp;$M$5)&gt;0,
              "Iuran dari Lingkungan lain",
              ""))</f>
        <v/>
      </c>
      <c r="BI55" s="47" t="str">
        <f>IF(COUNTIFS(IuranDSSebelumnya!$J$330:$J$772,$K55,IuranDSSebelumnya!$M$330:$M$772,BI$11,IuranDSSebelumnya!$L$330:$L$772,$M$5)&gt;0,
        VLOOKUP(CONCATENATE($K55,"|",BI$11,"|",$M$5),IuranDSSebelumnya!$I$330:$N$772,5,FALSE),
        IF(COUNTIFS(IuranDSSebelumnya!$J$330:$J$772,$K55,IuranDSSebelumnya!$M$330:$M$772,BI$11,IuranDSSebelumnya!$L$330:$L$772,"&lt;&gt;"&amp;$M$5)&gt;0,
              "Iuran dari Lingkungan lain",
              ""))</f>
        <v/>
      </c>
      <c r="BJ55" s="47" t="str">
        <f>IF(COUNTIFS(IuranDSSebelumnya!$J$330:$J$772,$K55,IuranDSSebelumnya!$M$330:$M$772,BJ$11,IuranDSSebelumnya!$L$330:$L$772,$M$5)&gt;0,
        VLOOKUP(CONCATENATE($K55,"|",BJ$11,"|",$M$5),IuranDSSebelumnya!$I$330:$N$772,5,FALSE),
        IF(COUNTIFS(IuranDSSebelumnya!$J$330:$J$772,$K55,IuranDSSebelumnya!$M$330:$M$772,BJ$11,IuranDSSebelumnya!$L$330:$L$772,"&lt;&gt;"&amp;$M$5)&gt;0,
              "Iuran dari Lingkungan lain",
              ""))</f>
        <v/>
      </c>
      <c r="BK55" s="47" t="str">
        <f>IF(COUNTIFS(IuranDSSebelumnya!$J$330:$J$772,$K55,IuranDSSebelumnya!$M$330:$M$772,BK$11,IuranDSSebelumnya!$L$330:$L$772,$M$5)&gt;0,
        VLOOKUP(CONCATENATE($K55,"|",BK$11,"|",$M$5),IuranDSSebelumnya!$I$330:$N$772,5,FALSE),
        IF(COUNTIFS(IuranDSSebelumnya!$J$330:$J$772,$K55,IuranDSSebelumnya!$M$330:$M$772,BK$11,IuranDSSebelumnya!$L$330:$L$772,"&lt;&gt;"&amp;$M$5)&gt;0,
              "Iuran dari Lingkungan lain",
              ""))</f>
        <v/>
      </c>
      <c r="BL55" s="47" t="str">
        <f>IF(COUNTIFS(IuranDSSebelumnya!$J$330:$J$772,$K55,IuranDSSebelumnya!$M$330:$M$772,BL$11,IuranDSSebelumnya!$L$330:$L$772,$M$5)&gt;0,
        VLOOKUP(CONCATENATE($K55,"|",BL$11,"|",$M$5),IuranDSSebelumnya!$I$330:$N$772,5,FALSE),
        IF(COUNTIFS(IuranDSSebelumnya!$J$330:$J$772,$K55,IuranDSSebelumnya!$M$330:$M$772,BL$11,IuranDSSebelumnya!$L$330:$L$772,"&lt;&gt;"&amp;$M$5)&gt;0,
              "Iuran dari Lingkungan lain",
              ""))</f>
        <v/>
      </c>
    </row>
    <row r="56" spans="1:64" hidden="1" x14ac:dyDescent="0.35">
      <c r="A56" s="30" t="s">
        <v>22</v>
      </c>
    </row>
    <row r="57" spans="1:64" x14ac:dyDescent="0.35">
      <c r="AO57" s="38"/>
    </row>
  </sheetData>
  <mergeCells count="10">
    <mergeCell ref="AO10:AT10"/>
    <mergeCell ref="AU10:BF10"/>
    <mergeCell ref="BG10:BL10"/>
    <mergeCell ref="K10:K12"/>
    <mergeCell ref="J10:J11"/>
    <mergeCell ref="AL10:AL11"/>
    <mergeCell ref="L10:L11"/>
    <mergeCell ref="N10:S10"/>
    <mergeCell ref="T10:AE10"/>
    <mergeCell ref="AF10:AK10"/>
  </mergeCells>
  <conditionalFormatting sqref="J2:AL2">
    <cfRule type="expression" dxfId="49" priority="244">
      <formula>IF($H$4="Protected",FALSE,TRUE)</formula>
    </cfRule>
  </conditionalFormatting>
  <conditionalFormatting sqref="N13:AK13 N56:AK56">
    <cfRule type="expression" dxfId="48" priority="295" stopIfTrue="1">
      <formula>IF(AO13="Iuran dari Lingkungan lain",TRUE,FALSE)</formula>
    </cfRule>
    <cfRule type="expression" dxfId="47" priority="296">
      <formula>IF(ISNUMBER(AO13),TRUE,FALSE)</formula>
    </cfRule>
  </conditionalFormatting>
  <conditionalFormatting sqref="M11:AK11">
    <cfRule type="expression" dxfId="46" priority="5">
      <formula>M$8=TRUE</formula>
    </cfRule>
  </conditionalFormatting>
  <conditionalFormatting sqref="L13 L56">
    <cfRule type="expression" dxfId="45" priority="297">
      <formula>$C13=TRUE</formula>
    </cfRule>
  </conditionalFormatting>
  <conditionalFormatting sqref="N14:AK55">
    <cfRule type="expression" dxfId="44" priority="1" stopIfTrue="1">
      <formula>IF(AO14="Iuran dari Lingkungan lain",TRUE,FALSE)</formula>
    </cfRule>
    <cfRule type="expression" dxfId="43" priority="2">
      <formula>IF(ISNUMBER(AO14),TRUE,FALSE)</formula>
    </cfRule>
  </conditionalFormatting>
  <conditionalFormatting sqref="L14:L55">
    <cfRule type="expression" dxfId="42" priority="3">
      <formula>$C14=TRUE</formula>
    </cfRule>
  </conditionalFormatting>
  <dataValidations count="1">
    <dataValidation type="whole" operator="greaterThan" allowBlank="1" showInputMessage="1" showErrorMessage="1" errorTitle="Data Yang Dimasukkan Salah!" error="Silahkan masukkan angka &gt; 1000" sqref="N13:AK56">
      <formula1>1000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8"/>
  </sheetPr>
  <dimension ref="A1:AF113"/>
  <sheetViews>
    <sheetView showGridLines="0" topLeftCell="E6" zoomScaleNormal="100" workbookViewId="0">
      <selection activeCell="M18" sqref="M18"/>
    </sheetView>
  </sheetViews>
  <sheetFormatPr defaultColWidth="9.1796875" defaultRowHeight="14.5" x14ac:dyDescent="0.35"/>
  <cols>
    <col min="1" max="1" width="9.1796875" style="52" hidden="1" customWidth="1"/>
    <col min="2" max="2" width="5.54296875" style="48" hidden="1" customWidth="1"/>
    <col min="3" max="3" width="4.7265625" style="48" hidden="1" customWidth="1"/>
    <col min="4" max="4" width="1.7265625" style="54" hidden="1" customWidth="1"/>
    <col min="5" max="5" width="3.7265625" style="48" customWidth="1"/>
    <col min="6" max="6" width="7.7265625" style="48" customWidth="1"/>
    <col min="7" max="7" width="31.1796875" style="48" bestFit="1" customWidth="1"/>
    <col min="8" max="8" width="10.54296875" style="48" customWidth="1"/>
    <col min="9" max="32" width="6.7265625" style="48" customWidth="1"/>
    <col min="33" max="16384" width="9.1796875" style="48"/>
  </cols>
  <sheetData>
    <row r="1" spans="1:32" s="52" customFormat="1" hidden="1" x14ac:dyDescent="0.35">
      <c r="A1" s="30" t="s">
        <v>7421</v>
      </c>
      <c r="B1" s="53" t="s">
        <v>22</v>
      </c>
      <c r="C1" s="52" t="s">
        <v>22</v>
      </c>
      <c r="D1" s="52" t="s">
        <v>22</v>
      </c>
      <c r="G1" s="52" t="s">
        <v>21</v>
      </c>
    </row>
    <row r="2" spans="1:32" hidden="1" x14ac:dyDescent="0.35">
      <c r="A2" s="52" t="s">
        <v>22</v>
      </c>
    </row>
    <row r="3" spans="1:32" hidden="1" x14ac:dyDescent="0.35">
      <c r="A3" s="52" t="s">
        <v>22</v>
      </c>
      <c r="C3" s="48" t="s">
        <v>73</v>
      </c>
      <c r="E3" s="55" t="s">
        <v>74</v>
      </c>
      <c r="F3" s="55"/>
      <c r="G3" s="55">
        <f>COUNTIF(DanaSehat!$N$9:$AK$9,"&gt;0")</f>
        <v>0</v>
      </c>
      <c r="H3" s="55"/>
      <c r="I3" s="56">
        <v>1</v>
      </c>
      <c r="J3" s="56">
        <f t="shared" ref="J3:AF3" si="0">IF(I$3=$G$3,0,
       IF(I$3=0,0,I$3+1))</f>
        <v>2</v>
      </c>
      <c r="K3" s="56">
        <f t="shared" si="0"/>
        <v>3</v>
      </c>
      <c r="L3" s="56">
        <f t="shared" si="0"/>
        <v>4</v>
      </c>
      <c r="M3" s="56">
        <f t="shared" si="0"/>
        <v>5</v>
      </c>
      <c r="N3" s="56">
        <f t="shared" si="0"/>
        <v>6</v>
      </c>
      <c r="O3" s="56">
        <f t="shared" si="0"/>
        <v>7</v>
      </c>
      <c r="P3" s="56">
        <f t="shared" si="0"/>
        <v>8</v>
      </c>
      <c r="Q3" s="56">
        <f t="shared" si="0"/>
        <v>9</v>
      </c>
      <c r="R3" s="56">
        <f t="shared" si="0"/>
        <v>10</v>
      </c>
      <c r="S3" s="56">
        <f t="shared" si="0"/>
        <v>11</v>
      </c>
      <c r="T3" s="56">
        <f t="shared" si="0"/>
        <v>12</v>
      </c>
      <c r="U3" s="56">
        <f t="shared" si="0"/>
        <v>13</v>
      </c>
      <c r="V3" s="56">
        <f t="shared" si="0"/>
        <v>14</v>
      </c>
      <c r="W3" s="56">
        <f t="shared" si="0"/>
        <v>15</v>
      </c>
      <c r="X3" s="56">
        <f t="shared" si="0"/>
        <v>16</v>
      </c>
      <c r="Y3" s="56">
        <f t="shared" si="0"/>
        <v>17</v>
      </c>
      <c r="Z3" s="56">
        <f t="shared" si="0"/>
        <v>18</v>
      </c>
      <c r="AA3" s="56">
        <f t="shared" si="0"/>
        <v>19</v>
      </c>
      <c r="AB3" s="56">
        <f t="shared" si="0"/>
        <v>20</v>
      </c>
      <c r="AC3" s="56">
        <f t="shared" si="0"/>
        <v>21</v>
      </c>
      <c r="AD3" s="56">
        <f t="shared" si="0"/>
        <v>22</v>
      </c>
      <c r="AE3" s="56">
        <f t="shared" si="0"/>
        <v>23</v>
      </c>
      <c r="AF3" s="56">
        <f t="shared" si="0"/>
        <v>24</v>
      </c>
    </row>
    <row r="4" spans="1:32" hidden="1" x14ac:dyDescent="0.35">
      <c r="A4" s="52" t="s">
        <v>22</v>
      </c>
      <c r="C4" s="48">
        <f>DanaSehat!$H$12</f>
        <v>0</v>
      </c>
      <c r="E4" s="57" t="s">
        <v>75</v>
      </c>
      <c r="F4" s="57"/>
      <c r="G4" s="57"/>
      <c r="H4" s="57"/>
      <c r="I4" s="58" t="e">
        <f>MATCH(I$11,DanaSehat!$L$11:$AK$11,0)</f>
        <v>#N/A</v>
      </c>
      <c r="J4" s="58" t="e">
        <f>MATCH(J$11,DanaSehat!$L$11:$AK$11,0)</f>
        <v>#N/A</v>
      </c>
      <c r="K4" s="58" t="e">
        <f>MATCH(K$11,DanaSehat!$L$11:$AK$11,0)</f>
        <v>#N/A</v>
      </c>
      <c r="L4" s="58" t="e">
        <f>MATCH(L$11,DanaSehat!$L$11:$AK$11,0)</f>
        <v>#N/A</v>
      </c>
      <c r="M4" s="58" t="e">
        <f>MATCH(M$11,DanaSehat!$L$11:$AK$11,0)</f>
        <v>#N/A</v>
      </c>
      <c r="N4" s="58" t="e">
        <f>MATCH(N$11,DanaSehat!$L$11:$AK$11,0)</f>
        <v>#N/A</v>
      </c>
      <c r="O4" s="58" t="e">
        <f>MATCH(O$11,DanaSehat!$L$11:$AK$11,0)</f>
        <v>#N/A</v>
      </c>
      <c r="P4" s="58" t="e">
        <f>MATCH(P$11,DanaSehat!$L$11:$AK$11,0)</f>
        <v>#N/A</v>
      </c>
      <c r="Q4" s="58" t="e">
        <f>MATCH(Q$11,DanaSehat!$L$11:$AK$11,0)</f>
        <v>#N/A</v>
      </c>
      <c r="R4" s="58" t="e">
        <f>MATCH(R$11,DanaSehat!$L$11:$AK$11,0)</f>
        <v>#N/A</v>
      </c>
      <c r="S4" s="58" t="e">
        <f>MATCH(S$11,DanaSehat!$L$11:$AK$11,0)</f>
        <v>#N/A</v>
      </c>
      <c r="T4" s="58" t="e">
        <f>MATCH(T$11,DanaSehat!$L$11:$AK$11,0)</f>
        <v>#N/A</v>
      </c>
      <c r="U4" s="58" t="e">
        <f>MATCH(U$11,DanaSehat!$L$11:$AK$11,0)</f>
        <v>#N/A</v>
      </c>
      <c r="V4" s="58" t="e">
        <f>MATCH(V$11,DanaSehat!$L$11:$AK$11,0)</f>
        <v>#N/A</v>
      </c>
      <c r="W4" s="58" t="e">
        <f>MATCH(W$11,DanaSehat!$L$11:$AK$11,0)</f>
        <v>#N/A</v>
      </c>
      <c r="X4" s="58" t="e">
        <f>MATCH(X$11,DanaSehat!$L$11:$AK$11,0)</f>
        <v>#N/A</v>
      </c>
      <c r="Y4" s="58" t="e">
        <f>MATCH(Y$11,DanaSehat!$L$11:$AK$11,0)</f>
        <v>#N/A</v>
      </c>
      <c r="Z4" s="58" t="e">
        <f>MATCH(Z$11,DanaSehat!$L$11:$AK$11,0)</f>
        <v>#N/A</v>
      </c>
      <c r="AA4" s="58" t="e">
        <f>MATCH(AA$11,DanaSehat!$L$11:$AK$11,0)</f>
        <v>#N/A</v>
      </c>
      <c r="AB4" s="58" t="e">
        <f>MATCH(AB$11,DanaSehat!$L$11:$AK$11,0)</f>
        <v>#N/A</v>
      </c>
      <c r="AC4" s="58" t="e">
        <f>MATCH(AC$11,DanaSehat!$L$11:$AK$11,0)</f>
        <v>#N/A</v>
      </c>
      <c r="AD4" s="58" t="e">
        <f>MATCH(AD$11,DanaSehat!$L$11:$AK$11,0)</f>
        <v>#N/A</v>
      </c>
      <c r="AE4" s="58" t="e">
        <f>MATCH(AE$11,DanaSehat!$L$11:$AK$11,0)</f>
        <v>#N/A</v>
      </c>
      <c r="AF4" s="58" t="e">
        <f>MATCH(AF$11,DanaSehat!$L$11:$AK$11,0)</f>
        <v>#N/A</v>
      </c>
    </row>
    <row r="5" spans="1:32" s="54" customFormat="1" ht="10" hidden="1" customHeight="1" x14ac:dyDescent="0.35">
      <c r="A5" s="52" t="s">
        <v>22</v>
      </c>
    </row>
    <row r="6" spans="1:32" s="60" customFormat="1" ht="15" customHeight="1" x14ac:dyDescent="0.35">
      <c r="A6" s="59"/>
      <c r="D6" s="61"/>
      <c r="G6" s="62" t="s">
        <v>79</v>
      </c>
      <c r="J6" s="63" t="s">
        <v>90</v>
      </c>
      <c r="L6" s="143"/>
      <c r="M6" s="143"/>
      <c r="N6" s="64"/>
    </row>
    <row r="7" spans="1:32" s="60" customFormat="1" ht="15.5" x14ac:dyDescent="0.35">
      <c r="A7" s="59"/>
      <c r="D7" s="61"/>
      <c r="G7" s="65" t="s">
        <v>78</v>
      </c>
      <c r="H7" s="62"/>
      <c r="J7" s="145" t="s">
        <v>77</v>
      </c>
      <c r="K7" s="145"/>
      <c r="L7" s="145"/>
      <c r="M7" s="145" t="s">
        <v>12</v>
      </c>
      <c r="N7" s="145"/>
      <c r="O7" s="145"/>
      <c r="P7" s="145" t="s">
        <v>20</v>
      </c>
      <c r="Q7" s="145"/>
      <c r="R7" s="145"/>
    </row>
    <row r="8" spans="1:32" s="60" customFormat="1" ht="32.5" customHeight="1" x14ac:dyDescent="0.5">
      <c r="A8" s="59"/>
      <c r="D8" s="61"/>
      <c r="G8" s="66" t="s">
        <v>88</v>
      </c>
      <c r="H8" s="146" t="s">
        <v>20975</v>
      </c>
      <c r="I8" s="146"/>
      <c r="J8" s="67" t="str">
        <f>IF(ISNUMBER($L$6)=FALSE,"Mohon isi cell kuning diatas dengan TGL PENYETORAN...","")</f>
        <v>Mohon isi cell kuning diatas dengan TGL PENYETORAN...</v>
      </c>
      <c r="K8" s="68"/>
      <c r="L8" s="69"/>
      <c r="M8" s="70"/>
      <c r="N8" s="68"/>
      <c r="O8" s="69"/>
      <c r="P8" s="70"/>
      <c r="Q8" s="68"/>
      <c r="R8" s="69"/>
    </row>
    <row r="9" spans="1:32" s="60" customFormat="1" ht="32.5" customHeight="1" x14ac:dyDescent="0.25">
      <c r="A9" s="59"/>
      <c r="D9" s="61"/>
      <c r="G9" s="71" t="s">
        <v>85</v>
      </c>
      <c r="H9" s="147">
        <f>TotalDS+TotalSY</f>
        <v>0</v>
      </c>
      <c r="I9" s="147"/>
      <c r="J9" s="72" t="str">
        <f>IF(ISNUMBER($L$6)=FALSE,"Contoh: Akan setor tgl 22 Mei 2016 --&gt; Isi 5/22/16 atau 22/5/16 atau 5-22-16 atau 22-5-16","")</f>
        <v>Contoh: Akan setor tgl 22 Mei 2016 --&gt; Isi 5/22/16 atau 22/5/16 atau 5-22-16 atau 22-5-16</v>
      </c>
      <c r="K9" s="73"/>
      <c r="L9" s="74"/>
      <c r="M9" s="75"/>
      <c r="N9" s="73"/>
      <c r="O9" s="74"/>
      <c r="P9" s="75"/>
      <c r="Q9" s="73"/>
      <c r="R9" s="74"/>
    </row>
    <row r="10" spans="1:32" s="60" customFormat="1" ht="15.65" customHeight="1" x14ac:dyDescent="0.25">
      <c r="A10" s="59"/>
      <c r="D10" s="61"/>
      <c r="J10" s="148" t="s">
        <v>76</v>
      </c>
      <c r="K10" s="149"/>
      <c r="L10" s="150"/>
      <c r="M10" s="148" t="s">
        <v>13</v>
      </c>
      <c r="N10" s="149"/>
      <c r="O10" s="150"/>
      <c r="P10" s="148" t="s">
        <v>89</v>
      </c>
      <c r="Q10" s="149"/>
      <c r="R10" s="150"/>
    </row>
    <row r="11" spans="1:32" s="60" customFormat="1" ht="10.5" x14ac:dyDescent="0.25">
      <c r="A11" s="59"/>
      <c r="D11" s="61"/>
      <c r="E11" s="151" t="s">
        <v>10</v>
      </c>
      <c r="F11" s="151" t="s">
        <v>2</v>
      </c>
      <c r="G11" s="151" t="s">
        <v>3</v>
      </c>
      <c r="H11" s="76" t="s">
        <v>82</v>
      </c>
      <c r="I11" s="144" t="str">
        <f>IF(ISNUMBER($L$6)=FALSE,"",
IF(I$3=0,"",HLOOKUP(1,DanaSehat!$N$9:$AK$11,3,FALSE)))</f>
        <v/>
      </c>
      <c r="J11" s="144" t="str">
        <f>IF(ISNUMBER($L$6)=FALSE,"",
IF(J$3=0,"",DATE(YEAR(I11),MONTH(I11)+1,1)))</f>
        <v/>
      </c>
      <c r="K11" s="144" t="str">
        <f t="shared" ref="K11:AF11" si="1">IF(ISNUMBER($L$6)=FALSE,"",
IF(K$3=0,"",DATE(YEAR(J11),MONTH(J11)+1,1)))</f>
        <v/>
      </c>
      <c r="L11" s="144" t="str">
        <f t="shared" si="1"/>
        <v/>
      </c>
      <c r="M11" s="144" t="str">
        <f t="shared" si="1"/>
        <v/>
      </c>
      <c r="N11" s="144" t="str">
        <f t="shared" si="1"/>
        <v/>
      </c>
      <c r="O11" s="144" t="str">
        <f t="shared" si="1"/>
        <v/>
      </c>
      <c r="P11" s="144" t="str">
        <f t="shared" si="1"/>
        <v/>
      </c>
      <c r="Q11" s="144" t="str">
        <f t="shared" si="1"/>
        <v/>
      </c>
      <c r="R11" s="144" t="str">
        <f t="shared" si="1"/>
        <v/>
      </c>
      <c r="S11" s="144" t="str">
        <f t="shared" si="1"/>
        <v/>
      </c>
      <c r="T11" s="144" t="str">
        <f t="shared" si="1"/>
        <v/>
      </c>
      <c r="U11" s="144" t="str">
        <f t="shared" si="1"/>
        <v/>
      </c>
      <c r="V11" s="144" t="str">
        <f t="shared" si="1"/>
        <v/>
      </c>
      <c r="W11" s="144" t="str">
        <f t="shared" si="1"/>
        <v/>
      </c>
      <c r="X11" s="144" t="str">
        <f t="shared" si="1"/>
        <v/>
      </c>
      <c r="Y11" s="144" t="str">
        <f t="shared" si="1"/>
        <v/>
      </c>
      <c r="Z11" s="144" t="str">
        <f t="shared" si="1"/>
        <v/>
      </c>
      <c r="AA11" s="144" t="str">
        <f t="shared" si="1"/>
        <v/>
      </c>
      <c r="AB11" s="144" t="str">
        <f t="shared" si="1"/>
        <v/>
      </c>
      <c r="AC11" s="144" t="str">
        <f t="shared" si="1"/>
        <v/>
      </c>
      <c r="AD11" s="144" t="str">
        <f t="shared" si="1"/>
        <v/>
      </c>
      <c r="AE11" s="144" t="str">
        <f t="shared" si="1"/>
        <v/>
      </c>
      <c r="AF11" s="144" t="str">
        <f t="shared" si="1"/>
        <v/>
      </c>
    </row>
    <row r="12" spans="1:32" s="60" customFormat="1" ht="15.75" customHeight="1" x14ac:dyDescent="0.25">
      <c r="A12" s="59"/>
      <c r="D12" s="61"/>
      <c r="E12" s="151"/>
      <c r="F12" s="151"/>
      <c r="G12" s="151"/>
      <c r="H12" s="152">
        <f t="shared" ref="H12" si="2">SUM(H13:H113)</f>
        <v>0</v>
      </c>
      <c r="I12" s="144"/>
      <c r="J12" s="144"/>
      <c r="K12" s="144"/>
      <c r="L12" s="144"/>
      <c r="M12" s="144"/>
      <c r="N12" s="144"/>
      <c r="O12" s="144"/>
      <c r="P12" s="144"/>
      <c r="Q12" s="144"/>
      <c r="R12" s="144"/>
      <c r="S12" s="144"/>
      <c r="T12" s="144"/>
      <c r="U12" s="144"/>
      <c r="V12" s="144"/>
      <c r="W12" s="144"/>
      <c r="X12" s="144"/>
      <c r="Y12" s="144"/>
      <c r="Z12" s="144"/>
      <c r="AA12" s="144"/>
      <c r="AB12" s="144"/>
      <c r="AC12" s="144"/>
      <c r="AD12" s="144"/>
      <c r="AE12" s="144"/>
      <c r="AF12" s="144"/>
    </row>
    <row r="13" spans="1:32" s="60" customFormat="1" ht="10.4" customHeight="1" x14ac:dyDescent="0.25">
      <c r="A13" s="59"/>
      <c r="D13" s="61"/>
      <c r="E13" s="151"/>
      <c r="F13" s="151"/>
      <c r="G13" s="151"/>
      <c r="H13" s="152"/>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4"/>
    </row>
    <row r="14" spans="1:32" s="60" customFormat="1" ht="10.5" x14ac:dyDescent="0.25">
      <c r="A14" s="59"/>
      <c r="C14" s="59">
        <v>1</v>
      </c>
      <c r="D14" s="61"/>
      <c r="E14" s="77" t="str">
        <f>IF(ISNUMBER($L$6)=FALSE,"",
IF($C14=0,"",$C14))</f>
        <v/>
      </c>
      <c r="F14" s="77" t="str">
        <f>IF(ISNUMBER($L$6)=FALSE,"",
IF($C14=0,"",VLOOKUP($E14,DanaSehat!$H$13:$L$56,4,FALSE)))</f>
        <v/>
      </c>
      <c r="G14" s="77" t="str">
        <f>IF(ISNUMBER($L$6)=FALSE,"",
IF($C14=0,"",VLOOKUP($E14,DanaSehat!$H$13:$L$56,5,FALSE)))</f>
        <v/>
      </c>
      <c r="H14" s="17" t="str">
        <f>IF(ISNUMBER($L$6)=FALSE,"",
IF($C14=0,"",SUM(I14:AF14)))</f>
        <v/>
      </c>
      <c r="I14" s="18" t="str">
        <f>IF(ISNUMBER($L$6)=FALSE,"",
        IF(ISERROR(VLOOKUP($G14,DanaSehat!$L$13:$AK$56,I$4,FALSE))=TRUE,"",
              VLOOKUP($G14,DanaSehat!$L$13:$AK$56,I$4,FALSE)))</f>
        <v/>
      </c>
      <c r="J14" s="18" t="str">
        <f>IF(ISNUMBER($L$6)=FALSE,"",
        IF(ISERROR(VLOOKUP($G14,DanaSehat!$L$13:$AK$56,J$4,FALSE))=TRUE,"",
              VLOOKUP($G14,DanaSehat!$L$13:$AK$56,J$4,FALSE)))</f>
        <v/>
      </c>
      <c r="K14" s="18" t="str">
        <f>IF(ISNUMBER($L$6)=FALSE,"",
        IF(ISERROR(VLOOKUP($G14,DanaSehat!$L$13:$AK$56,K$4,FALSE))=TRUE,"",
              VLOOKUP($G14,DanaSehat!$L$13:$AK$56,K$4,FALSE)))</f>
        <v/>
      </c>
      <c r="L14" s="18" t="str">
        <f>IF(ISNUMBER($L$6)=FALSE,"",
        IF(ISERROR(VLOOKUP($G14,DanaSehat!$L$13:$AK$56,L$4,FALSE))=TRUE,"",
              VLOOKUP($G14,DanaSehat!$L$13:$AK$56,L$4,FALSE)))</f>
        <v/>
      </c>
      <c r="M14" s="18" t="str">
        <f>IF(ISNUMBER($L$6)=FALSE,"",
        IF(ISERROR(VLOOKUP($G14,DanaSehat!$L$13:$AK$56,M$4,FALSE))=TRUE,"",
              VLOOKUP($G14,DanaSehat!$L$13:$AK$56,M$4,FALSE)))</f>
        <v/>
      </c>
      <c r="N14" s="18" t="str">
        <f>IF(ISNUMBER($L$6)=FALSE,"",
        IF(ISERROR(VLOOKUP($G14,DanaSehat!$L$13:$AK$56,N$4,FALSE))=TRUE,"",
              VLOOKUP($G14,DanaSehat!$L$13:$AK$56,N$4,FALSE)))</f>
        <v/>
      </c>
      <c r="O14" s="18" t="str">
        <f>IF(ISNUMBER($L$6)=FALSE,"",
        IF(ISERROR(VLOOKUP($G14,DanaSehat!$L$13:$AK$56,O$4,FALSE))=TRUE,"",
              VLOOKUP($G14,DanaSehat!$L$13:$AK$56,O$4,FALSE)))</f>
        <v/>
      </c>
      <c r="P14" s="18" t="str">
        <f>IF(ISNUMBER($L$6)=FALSE,"",
        IF(ISERROR(VLOOKUP($G14,DanaSehat!$L$13:$AK$56,P$4,FALSE))=TRUE,"",
              VLOOKUP($G14,DanaSehat!$L$13:$AK$56,P$4,FALSE)))</f>
        <v/>
      </c>
      <c r="Q14" s="18" t="str">
        <f>IF(ISNUMBER($L$6)=FALSE,"",
        IF(ISERROR(VLOOKUP($G14,DanaSehat!$L$13:$AK$56,Q$4,FALSE))=TRUE,"",
              VLOOKUP($G14,DanaSehat!$L$13:$AK$56,Q$4,FALSE)))</f>
        <v/>
      </c>
      <c r="R14" s="18" t="str">
        <f>IF(ISNUMBER($L$6)=FALSE,"",
        IF(ISERROR(VLOOKUP($G14,DanaSehat!$L$13:$AK$56,R$4,FALSE))=TRUE,"",
              VLOOKUP($G14,DanaSehat!$L$13:$AK$56,R$4,FALSE)))</f>
        <v/>
      </c>
      <c r="S14" s="18" t="str">
        <f>IF(ISNUMBER($L$6)=FALSE,"",
        IF(ISERROR(VLOOKUP($G14,DanaSehat!$L$13:$AK$56,S$4,FALSE))=TRUE,"",
              VLOOKUP($G14,DanaSehat!$L$13:$AK$56,S$4,FALSE)))</f>
        <v/>
      </c>
      <c r="T14" s="18" t="str">
        <f>IF(ISNUMBER($L$6)=FALSE,"",
        IF(ISERROR(VLOOKUP($G14,DanaSehat!$L$13:$AK$56,T$4,FALSE))=TRUE,"",
              VLOOKUP($G14,DanaSehat!$L$13:$AK$56,T$4,FALSE)))</f>
        <v/>
      </c>
      <c r="U14" s="18" t="str">
        <f>IF(ISNUMBER($L$6)=FALSE,"",
        IF(ISERROR(VLOOKUP($G14,DanaSehat!$L$13:$AK$56,U$4,FALSE))=TRUE,"",
              VLOOKUP($G14,DanaSehat!$L$13:$AK$56,U$4,FALSE)))</f>
        <v/>
      </c>
      <c r="V14" s="18" t="str">
        <f>IF(ISNUMBER($L$6)=FALSE,"",
        IF(ISERROR(VLOOKUP($G14,DanaSehat!$L$13:$AK$56,V$4,FALSE))=TRUE,"",
              VLOOKUP($G14,DanaSehat!$L$13:$AK$56,V$4,FALSE)))</f>
        <v/>
      </c>
      <c r="W14" s="18" t="str">
        <f>IF(ISNUMBER($L$6)=FALSE,"",
        IF(ISERROR(VLOOKUP($G14,DanaSehat!$L$13:$AK$56,W$4,FALSE))=TRUE,"",
              VLOOKUP($G14,DanaSehat!$L$13:$AK$56,W$4,FALSE)))</f>
        <v/>
      </c>
      <c r="X14" s="18" t="str">
        <f>IF(ISNUMBER($L$6)=FALSE,"",
        IF(ISERROR(VLOOKUP($G14,DanaSehat!$L$13:$AK$56,X$4,FALSE))=TRUE,"",
              VLOOKUP($G14,DanaSehat!$L$13:$AK$56,X$4,FALSE)))</f>
        <v/>
      </c>
      <c r="Y14" s="18" t="str">
        <f>IF(ISNUMBER($L$6)=FALSE,"",
        IF(ISERROR(VLOOKUP($G14,DanaSehat!$L$13:$AK$56,Y$4,FALSE))=TRUE,"",
              VLOOKUP($G14,DanaSehat!$L$13:$AK$56,Y$4,FALSE)))</f>
        <v/>
      </c>
      <c r="Z14" s="18" t="str">
        <f>IF(ISNUMBER($L$6)=FALSE,"",
        IF(ISERROR(VLOOKUP($G14,DanaSehat!$L$13:$AK$56,Z$4,FALSE))=TRUE,"",
              VLOOKUP($G14,DanaSehat!$L$13:$AK$56,Z$4,FALSE)))</f>
        <v/>
      </c>
      <c r="AA14" s="18" t="str">
        <f>IF(ISNUMBER($L$6)=FALSE,"",
        IF(ISERROR(VLOOKUP($G14,DanaSehat!$L$13:$AK$56,AA$4,FALSE))=TRUE,"",
              VLOOKUP($G14,DanaSehat!$L$13:$AK$56,AA$4,FALSE)))</f>
        <v/>
      </c>
      <c r="AB14" s="18" t="str">
        <f>IF(ISNUMBER($L$6)=FALSE,"",
        IF(ISERROR(VLOOKUP($G14,DanaSehat!$L$13:$AK$56,AB$4,FALSE))=TRUE,"",
              VLOOKUP($G14,DanaSehat!$L$13:$AK$56,AB$4,FALSE)))</f>
        <v/>
      </c>
      <c r="AC14" s="18" t="str">
        <f>IF(ISNUMBER($L$6)=FALSE,"",
        IF(ISERROR(VLOOKUP($G14,DanaSehat!$L$13:$AK$56,AC$4,FALSE))=TRUE,"",
              VLOOKUP($G14,DanaSehat!$L$13:$AK$56,AC$4,FALSE)))</f>
        <v/>
      </c>
      <c r="AD14" s="18" t="str">
        <f>IF(ISNUMBER($L$6)=FALSE,"",
        IF(ISERROR(VLOOKUP($G14,DanaSehat!$L$13:$AK$56,AD$4,FALSE))=TRUE,"",
              VLOOKUP($G14,DanaSehat!$L$13:$AK$56,AD$4,FALSE)))</f>
        <v/>
      </c>
      <c r="AE14" s="18" t="str">
        <f>IF(ISNUMBER($L$6)=FALSE,"",
        IF(ISERROR(VLOOKUP($G14,DanaSehat!$L$13:$AK$56,AE$4,FALSE))=TRUE,"",
              VLOOKUP($G14,DanaSehat!$L$13:$AK$56,AE$4,FALSE)))</f>
        <v/>
      </c>
      <c r="AF14" s="18" t="str">
        <f>IF(ISNUMBER($L$6)=FALSE,"",
        IF(ISERROR(VLOOKUP($G14,DanaSehat!$L$13:$AK$56,AF$4,FALSE))=TRUE,"",
              VLOOKUP($G14,DanaSehat!$L$13:$AK$56,AF$4,FALSE)))</f>
        <v/>
      </c>
    </row>
    <row r="15" spans="1:32" s="60" customFormat="1" ht="10.5" x14ac:dyDescent="0.25">
      <c r="A15" s="59"/>
      <c r="C15" s="59">
        <f t="shared" ref="C15:C46" si="3">IF($C14=$C$4,0,
       IF($C14=0,0,$C14+1))</f>
        <v>2</v>
      </c>
      <c r="D15" s="61"/>
      <c r="E15" s="77" t="str">
        <f t="shared" ref="E15:E78" si="4">IF(ISNUMBER($L$6)=FALSE,"",
IF($C15=0,"",$C15))</f>
        <v/>
      </c>
      <c r="F15" s="77" t="str">
        <f>IF(ISNUMBER($L$6)=FALSE,"",
IF($C15=0,"",VLOOKUP($E15,DanaSehat!$H$13:$L$56,4,FALSE)))</f>
        <v/>
      </c>
      <c r="G15" s="77" t="str">
        <f>IF(ISNUMBER($L$6)=FALSE,"",
IF($C15=0,"",VLOOKUP($E15,DanaSehat!$H$13:$L$56,5,FALSE)))</f>
        <v/>
      </c>
      <c r="H15" s="17" t="str">
        <f t="shared" ref="H15:H78" si="5">IF(ISNUMBER($L$6)=FALSE,"",
IF($C15=0,"",SUM(I15:AF15)))</f>
        <v/>
      </c>
      <c r="I15" s="18" t="str">
        <f>IF(ISNUMBER($L$6)=FALSE,"",
        IF(ISERROR(VLOOKUP($G15,DanaSehat!$L$13:$AK$56,I$4,FALSE))=TRUE,"",
              VLOOKUP($G15,DanaSehat!$L$13:$AK$56,I$4,FALSE)))</f>
        <v/>
      </c>
      <c r="J15" s="18" t="str">
        <f>IF(ISNUMBER($L$6)=FALSE,"",
        IF(ISERROR(VLOOKUP($G15,DanaSehat!$L$13:$AK$56,J$4,FALSE))=TRUE,"",
              VLOOKUP($G15,DanaSehat!$L$13:$AK$56,J$4,FALSE)))</f>
        <v/>
      </c>
      <c r="K15" s="18" t="str">
        <f>IF(ISNUMBER($L$6)=FALSE,"",
        IF(ISERROR(VLOOKUP($G15,DanaSehat!$L$13:$AK$56,K$4,FALSE))=TRUE,"",
              VLOOKUP($G15,DanaSehat!$L$13:$AK$56,K$4,FALSE)))</f>
        <v/>
      </c>
      <c r="L15" s="18" t="str">
        <f>IF(ISNUMBER($L$6)=FALSE,"",
        IF(ISERROR(VLOOKUP($G15,DanaSehat!$L$13:$AK$56,L$4,FALSE))=TRUE,"",
              VLOOKUP($G15,DanaSehat!$L$13:$AK$56,L$4,FALSE)))</f>
        <v/>
      </c>
      <c r="M15" s="18" t="str">
        <f>IF(ISNUMBER($L$6)=FALSE,"",
        IF(ISERROR(VLOOKUP($G15,DanaSehat!$L$13:$AK$56,M$4,FALSE))=TRUE,"",
              VLOOKUP($G15,DanaSehat!$L$13:$AK$56,M$4,FALSE)))</f>
        <v/>
      </c>
      <c r="N15" s="18" t="str">
        <f>IF(ISNUMBER($L$6)=FALSE,"",
        IF(ISERROR(VLOOKUP($G15,DanaSehat!$L$13:$AK$56,N$4,FALSE))=TRUE,"",
              VLOOKUP($G15,DanaSehat!$L$13:$AK$56,N$4,FALSE)))</f>
        <v/>
      </c>
      <c r="O15" s="18" t="str">
        <f>IF(ISNUMBER($L$6)=FALSE,"",
        IF(ISERROR(VLOOKUP($G15,DanaSehat!$L$13:$AK$56,O$4,FALSE))=TRUE,"",
              VLOOKUP($G15,DanaSehat!$L$13:$AK$56,O$4,FALSE)))</f>
        <v/>
      </c>
      <c r="P15" s="18" t="str">
        <f>IF(ISNUMBER($L$6)=FALSE,"",
        IF(ISERROR(VLOOKUP($G15,DanaSehat!$L$13:$AK$56,P$4,FALSE))=TRUE,"",
              VLOOKUP($G15,DanaSehat!$L$13:$AK$56,P$4,FALSE)))</f>
        <v/>
      </c>
      <c r="Q15" s="18" t="str">
        <f>IF(ISNUMBER($L$6)=FALSE,"",
        IF(ISERROR(VLOOKUP($G15,DanaSehat!$L$13:$AK$56,Q$4,FALSE))=TRUE,"",
              VLOOKUP($G15,DanaSehat!$L$13:$AK$56,Q$4,FALSE)))</f>
        <v/>
      </c>
      <c r="R15" s="18" t="str">
        <f>IF(ISNUMBER($L$6)=FALSE,"",
        IF(ISERROR(VLOOKUP($G15,DanaSehat!$L$13:$AK$56,R$4,FALSE))=TRUE,"",
              VLOOKUP($G15,DanaSehat!$L$13:$AK$56,R$4,FALSE)))</f>
        <v/>
      </c>
      <c r="S15" s="18" t="str">
        <f>IF(ISNUMBER($L$6)=FALSE,"",
        IF(ISERROR(VLOOKUP($G15,DanaSehat!$L$13:$AK$56,S$4,FALSE))=TRUE,"",
              VLOOKUP($G15,DanaSehat!$L$13:$AK$56,S$4,FALSE)))</f>
        <v/>
      </c>
      <c r="T15" s="18" t="str">
        <f>IF(ISNUMBER($L$6)=FALSE,"",
        IF(ISERROR(VLOOKUP($G15,DanaSehat!$L$13:$AK$56,T$4,FALSE))=TRUE,"",
              VLOOKUP($G15,DanaSehat!$L$13:$AK$56,T$4,FALSE)))</f>
        <v/>
      </c>
      <c r="U15" s="18" t="str">
        <f>IF(ISNUMBER($L$6)=FALSE,"",
        IF(ISERROR(VLOOKUP($G15,DanaSehat!$L$13:$AK$56,U$4,FALSE))=TRUE,"",
              VLOOKUP($G15,DanaSehat!$L$13:$AK$56,U$4,FALSE)))</f>
        <v/>
      </c>
      <c r="V15" s="18" t="str">
        <f>IF(ISNUMBER($L$6)=FALSE,"",
        IF(ISERROR(VLOOKUP($G15,DanaSehat!$L$13:$AK$56,V$4,FALSE))=TRUE,"",
              VLOOKUP($G15,DanaSehat!$L$13:$AK$56,V$4,FALSE)))</f>
        <v/>
      </c>
      <c r="W15" s="18" t="str">
        <f>IF(ISNUMBER($L$6)=FALSE,"",
        IF(ISERROR(VLOOKUP($G15,DanaSehat!$L$13:$AK$56,W$4,FALSE))=TRUE,"",
              VLOOKUP($G15,DanaSehat!$L$13:$AK$56,W$4,FALSE)))</f>
        <v/>
      </c>
      <c r="X15" s="18" t="str">
        <f>IF(ISNUMBER($L$6)=FALSE,"",
        IF(ISERROR(VLOOKUP($G15,DanaSehat!$L$13:$AK$56,X$4,FALSE))=TRUE,"",
              VLOOKUP($G15,DanaSehat!$L$13:$AK$56,X$4,FALSE)))</f>
        <v/>
      </c>
      <c r="Y15" s="18" t="str">
        <f>IF(ISNUMBER($L$6)=FALSE,"",
        IF(ISERROR(VLOOKUP($G15,DanaSehat!$L$13:$AK$56,Y$4,FALSE))=TRUE,"",
              VLOOKUP($G15,DanaSehat!$L$13:$AK$56,Y$4,FALSE)))</f>
        <v/>
      </c>
      <c r="Z15" s="18" t="str">
        <f>IF(ISNUMBER($L$6)=FALSE,"",
        IF(ISERROR(VLOOKUP($G15,DanaSehat!$L$13:$AK$56,Z$4,FALSE))=TRUE,"",
              VLOOKUP($G15,DanaSehat!$L$13:$AK$56,Z$4,FALSE)))</f>
        <v/>
      </c>
      <c r="AA15" s="18" t="str">
        <f>IF(ISNUMBER($L$6)=FALSE,"",
        IF(ISERROR(VLOOKUP($G15,DanaSehat!$L$13:$AK$56,AA$4,FALSE))=TRUE,"",
              VLOOKUP($G15,DanaSehat!$L$13:$AK$56,AA$4,FALSE)))</f>
        <v/>
      </c>
      <c r="AB15" s="18" t="str">
        <f>IF(ISNUMBER($L$6)=FALSE,"",
        IF(ISERROR(VLOOKUP($G15,DanaSehat!$L$13:$AK$56,AB$4,FALSE))=TRUE,"",
              VLOOKUP($G15,DanaSehat!$L$13:$AK$56,AB$4,FALSE)))</f>
        <v/>
      </c>
      <c r="AC15" s="18" t="str">
        <f>IF(ISNUMBER($L$6)=FALSE,"",
        IF(ISERROR(VLOOKUP($G15,DanaSehat!$L$13:$AK$56,AC$4,FALSE))=TRUE,"",
              VLOOKUP($G15,DanaSehat!$L$13:$AK$56,AC$4,FALSE)))</f>
        <v/>
      </c>
      <c r="AD15" s="18" t="str">
        <f>IF(ISNUMBER($L$6)=FALSE,"",
        IF(ISERROR(VLOOKUP($G15,DanaSehat!$L$13:$AK$56,AD$4,FALSE))=TRUE,"",
              VLOOKUP($G15,DanaSehat!$L$13:$AK$56,AD$4,FALSE)))</f>
        <v/>
      </c>
      <c r="AE15" s="18" t="str">
        <f>IF(ISNUMBER($L$6)=FALSE,"",
        IF(ISERROR(VLOOKUP($G15,DanaSehat!$L$13:$AK$56,AE$4,FALSE))=TRUE,"",
              VLOOKUP($G15,DanaSehat!$L$13:$AK$56,AE$4,FALSE)))</f>
        <v/>
      </c>
      <c r="AF15" s="18" t="str">
        <f>IF(ISNUMBER($L$6)=FALSE,"",
        IF(ISERROR(VLOOKUP($G15,DanaSehat!$L$13:$AK$56,AF$4,FALSE))=TRUE,"",
              VLOOKUP($G15,DanaSehat!$L$13:$AK$56,AF$4,FALSE)))</f>
        <v/>
      </c>
    </row>
    <row r="16" spans="1:32" s="60" customFormat="1" ht="10.5" x14ac:dyDescent="0.25">
      <c r="A16" s="59"/>
      <c r="C16" s="59">
        <f t="shared" si="3"/>
        <v>3</v>
      </c>
      <c r="D16" s="61"/>
      <c r="E16" s="77" t="str">
        <f t="shared" si="4"/>
        <v/>
      </c>
      <c r="F16" s="77" t="str">
        <f>IF(ISNUMBER($L$6)=FALSE,"",
IF($C16=0,"",VLOOKUP($E16,DanaSehat!$H$13:$L$56,4,FALSE)))</f>
        <v/>
      </c>
      <c r="G16" s="77" t="str">
        <f>IF(ISNUMBER($L$6)=FALSE,"",
IF($C16=0,"",VLOOKUP($E16,DanaSehat!$H$13:$L$56,5,FALSE)))</f>
        <v/>
      </c>
      <c r="H16" s="17" t="str">
        <f t="shared" si="5"/>
        <v/>
      </c>
      <c r="I16" s="18" t="str">
        <f>IF(ISNUMBER($L$6)=FALSE,"",
        IF(ISERROR(VLOOKUP($G16,DanaSehat!$L$13:$AK$56,I$4,FALSE))=TRUE,"",
              VLOOKUP($G16,DanaSehat!$L$13:$AK$56,I$4,FALSE)))</f>
        <v/>
      </c>
      <c r="J16" s="18" t="str">
        <f>IF(ISNUMBER($L$6)=FALSE,"",
        IF(ISERROR(VLOOKUP($G16,DanaSehat!$L$13:$AK$56,J$4,FALSE))=TRUE,"",
              VLOOKUP($G16,DanaSehat!$L$13:$AK$56,J$4,FALSE)))</f>
        <v/>
      </c>
      <c r="K16" s="18" t="str">
        <f>IF(ISNUMBER($L$6)=FALSE,"",
        IF(ISERROR(VLOOKUP($G16,DanaSehat!$L$13:$AK$56,K$4,FALSE))=TRUE,"",
              VLOOKUP($G16,DanaSehat!$L$13:$AK$56,K$4,FALSE)))</f>
        <v/>
      </c>
      <c r="L16" s="18" t="str">
        <f>IF(ISNUMBER($L$6)=FALSE,"",
        IF(ISERROR(VLOOKUP($G16,DanaSehat!$L$13:$AK$56,L$4,FALSE))=TRUE,"",
              VLOOKUP($G16,DanaSehat!$L$13:$AK$56,L$4,FALSE)))</f>
        <v/>
      </c>
      <c r="M16" s="18" t="str">
        <f>IF(ISNUMBER($L$6)=FALSE,"",
        IF(ISERROR(VLOOKUP($G16,DanaSehat!$L$13:$AK$56,M$4,FALSE))=TRUE,"",
              VLOOKUP($G16,DanaSehat!$L$13:$AK$56,M$4,FALSE)))</f>
        <v/>
      </c>
      <c r="N16" s="18" t="str">
        <f>IF(ISNUMBER($L$6)=FALSE,"",
        IF(ISERROR(VLOOKUP($G16,DanaSehat!$L$13:$AK$56,N$4,FALSE))=TRUE,"",
              VLOOKUP($G16,DanaSehat!$L$13:$AK$56,N$4,FALSE)))</f>
        <v/>
      </c>
      <c r="O16" s="18" t="str">
        <f>IF(ISNUMBER($L$6)=FALSE,"",
        IF(ISERROR(VLOOKUP($G16,DanaSehat!$L$13:$AK$56,O$4,FALSE))=TRUE,"",
              VLOOKUP($G16,DanaSehat!$L$13:$AK$56,O$4,FALSE)))</f>
        <v/>
      </c>
      <c r="P16" s="18" t="str">
        <f>IF(ISNUMBER($L$6)=FALSE,"",
        IF(ISERROR(VLOOKUP($G16,DanaSehat!$L$13:$AK$56,P$4,FALSE))=TRUE,"",
              VLOOKUP($G16,DanaSehat!$L$13:$AK$56,P$4,FALSE)))</f>
        <v/>
      </c>
      <c r="Q16" s="18" t="str">
        <f>IF(ISNUMBER($L$6)=FALSE,"",
        IF(ISERROR(VLOOKUP($G16,DanaSehat!$L$13:$AK$56,Q$4,FALSE))=TRUE,"",
              VLOOKUP($G16,DanaSehat!$L$13:$AK$56,Q$4,FALSE)))</f>
        <v/>
      </c>
      <c r="R16" s="18" t="str">
        <f>IF(ISNUMBER($L$6)=FALSE,"",
        IF(ISERROR(VLOOKUP($G16,DanaSehat!$L$13:$AK$56,R$4,FALSE))=TRUE,"",
              VLOOKUP($G16,DanaSehat!$L$13:$AK$56,R$4,FALSE)))</f>
        <v/>
      </c>
      <c r="S16" s="18" t="str">
        <f>IF(ISNUMBER($L$6)=FALSE,"",
        IF(ISERROR(VLOOKUP($G16,DanaSehat!$L$13:$AK$56,S$4,FALSE))=TRUE,"",
              VLOOKUP($G16,DanaSehat!$L$13:$AK$56,S$4,FALSE)))</f>
        <v/>
      </c>
      <c r="T16" s="18" t="str">
        <f>IF(ISNUMBER($L$6)=FALSE,"",
        IF(ISERROR(VLOOKUP($G16,DanaSehat!$L$13:$AK$56,T$4,FALSE))=TRUE,"",
              VLOOKUP($G16,DanaSehat!$L$13:$AK$56,T$4,FALSE)))</f>
        <v/>
      </c>
      <c r="U16" s="18" t="str">
        <f>IF(ISNUMBER($L$6)=FALSE,"",
        IF(ISERROR(VLOOKUP($G16,DanaSehat!$L$13:$AK$56,U$4,FALSE))=TRUE,"",
              VLOOKUP($G16,DanaSehat!$L$13:$AK$56,U$4,FALSE)))</f>
        <v/>
      </c>
      <c r="V16" s="18" t="str">
        <f>IF(ISNUMBER($L$6)=FALSE,"",
        IF(ISERROR(VLOOKUP($G16,DanaSehat!$L$13:$AK$56,V$4,FALSE))=TRUE,"",
              VLOOKUP($G16,DanaSehat!$L$13:$AK$56,V$4,FALSE)))</f>
        <v/>
      </c>
      <c r="W16" s="18" t="str">
        <f>IF(ISNUMBER($L$6)=FALSE,"",
        IF(ISERROR(VLOOKUP($G16,DanaSehat!$L$13:$AK$56,W$4,FALSE))=TRUE,"",
              VLOOKUP($G16,DanaSehat!$L$13:$AK$56,W$4,FALSE)))</f>
        <v/>
      </c>
      <c r="X16" s="18" t="str">
        <f>IF(ISNUMBER($L$6)=FALSE,"",
        IF(ISERROR(VLOOKUP($G16,DanaSehat!$L$13:$AK$56,X$4,FALSE))=TRUE,"",
              VLOOKUP($G16,DanaSehat!$L$13:$AK$56,X$4,FALSE)))</f>
        <v/>
      </c>
      <c r="Y16" s="18" t="str">
        <f>IF(ISNUMBER($L$6)=FALSE,"",
        IF(ISERROR(VLOOKUP($G16,DanaSehat!$L$13:$AK$56,Y$4,FALSE))=TRUE,"",
              VLOOKUP($G16,DanaSehat!$L$13:$AK$56,Y$4,FALSE)))</f>
        <v/>
      </c>
      <c r="Z16" s="18" t="str">
        <f>IF(ISNUMBER($L$6)=FALSE,"",
        IF(ISERROR(VLOOKUP($G16,DanaSehat!$L$13:$AK$56,Z$4,FALSE))=TRUE,"",
              VLOOKUP($G16,DanaSehat!$L$13:$AK$56,Z$4,FALSE)))</f>
        <v/>
      </c>
      <c r="AA16" s="18" t="str">
        <f>IF(ISNUMBER($L$6)=FALSE,"",
        IF(ISERROR(VLOOKUP($G16,DanaSehat!$L$13:$AK$56,AA$4,FALSE))=TRUE,"",
              VLOOKUP($G16,DanaSehat!$L$13:$AK$56,AA$4,FALSE)))</f>
        <v/>
      </c>
      <c r="AB16" s="18" t="str">
        <f>IF(ISNUMBER($L$6)=FALSE,"",
        IF(ISERROR(VLOOKUP($G16,DanaSehat!$L$13:$AK$56,AB$4,FALSE))=TRUE,"",
              VLOOKUP($G16,DanaSehat!$L$13:$AK$56,AB$4,FALSE)))</f>
        <v/>
      </c>
      <c r="AC16" s="18" t="str">
        <f>IF(ISNUMBER($L$6)=FALSE,"",
        IF(ISERROR(VLOOKUP($G16,DanaSehat!$L$13:$AK$56,AC$4,FALSE))=TRUE,"",
              VLOOKUP($G16,DanaSehat!$L$13:$AK$56,AC$4,FALSE)))</f>
        <v/>
      </c>
      <c r="AD16" s="18" t="str">
        <f>IF(ISNUMBER($L$6)=FALSE,"",
        IF(ISERROR(VLOOKUP($G16,DanaSehat!$L$13:$AK$56,AD$4,FALSE))=TRUE,"",
              VLOOKUP($G16,DanaSehat!$L$13:$AK$56,AD$4,FALSE)))</f>
        <v/>
      </c>
      <c r="AE16" s="18" t="str">
        <f>IF(ISNUMBER($L$6)=FALSE,"",
        IF(ISERROR(VLOOKUP($G16,DanaSehat!$L$13:$AK$56,AE$4,FALSE))=TRUE,"",
              VLOOKUP($G16,DanaSehat!$L$13:$AK$56,AE$4,FALSE)))</f>
        <v/>
      </c>
      <c r="AF16" s="18" t="str">
        <f>IF(ISNUMBER($L$6)=FALSE,"",
        IF(ISERROR(VLOOKUP($G16,DanaSehat!$L$13:$AK$56,AF$4,FALSE))=TRUE,"",
              VLOOKUP($G16,DanaSehat!$L$13:$AK$56,AF$4,FALSE)))</f>
        <v/>
      </c>
    </row>
    <row r="17" spans="1:32" s="60" customFormat="1" ht="10.5" x14ac:dyDescent="0.25">
      <c r="A17" s="59"/>
      <c r="C17" s="59">
        <f t="shared" si="3"/>
        <v>4</v>
      </c>
      <c r="D17" s="61"/>
      <c r="E17" s="77" t="str">
        <f t="shared" si="4"/>
        <v/>
      </c>
      <c r="F17" s="77" t="str">
        <f>IF(ISNUMBER($L$6)=FALSE,"",
IF($C17=0,"",VLOOKUP($E17,DanaSehat!$H$13:$L$56,4,FALSE)))</f>
        <v/>
      </c>
      <c r="G17" s="77" t="str">
        <f>IF(ISNUMBER($L$6)=FALSE,"",
IF($C17=0,"",VLOOKUP($E17,DanaSehat!$H$13:$L$56,5,FALSE)))</f>
        <v/>
      </c>
      <c r="H17" s="17" t="str">
        <f t="shared" si="5"/>
        <v/>
      </c>
      <c r="I17" s="18" t="str">
        <f>IF(ISNUMBER($L$6)=FALSE,"",
        IF(ISERROR(VLOOKUP($G17,DanaSehat!$L$13:$AK$56,I$4,FALSE))=TRUE,"",
              VLOOKUP($G17,DanaSehat!$L$13:$AK$56,I$4,FALSE)))</f>
        <v/>
      </c>
      <c r="J17" s="18" t="str">
        <f>IF(ISNUMBER($L$6)=FALSE,"",
        IF(ISERROR(VLOOKUP($G17,DanaSehat!$L$13:$AK$56,J$4,FALSE))=TRUE,"",
              VLOOKUP($G17,DanaSehat!$L$13:$AK$56,J$4,FALSE)))</f>
        <v/>
      </c>
      <c r="K17" s="18" t="str">
        <f>IF(ISNUMBER($L$6)=FALSE,"",
        IF(ISERROR(VLOOKUP($G17,DanaSehat!$L$13:$AK$56,K$4,FALSE))=TRUE,"",
              VLOOKUP($G17,DanaSehat!$L$13:$AK$56,K$4,FALSE)))</f>
        <v/>
      </c>
      <c r="L17" s="18" t="str">
        <f>IF(ISNUMBER($L$6)=FALSE,"",
        IF(ISERROR(VLOOKUP($G17,DanaSehat!$L$13:$AK$56,L$4,FALSE))=TRUE,"",
              VLOOKUP($G17,DanaSehat!$L$13:$AK$56,L$4,FALSE)))</f>
        <v/>
      </c>
      <c r="M17" s="18" t="str">
        <f>IF(ISNUMBER($L$6)=FALSE,"",
        IF(ISERROR(VLOOKUP($G17,DanaSehat!$L$13:$AK$56,M$4,FALSE))=TRUE,"",
              VLOOKUP($G17,DanaSehat!$L$13:$AK$56,M$4,FALSE)))</f>
        <v/>
      </c>
      <c r="N17" s="18" t="str">
        <f>IF(ISNUMBER($L$6)=FALSE,"",
        IF(ISERROR(VLOOKUP($G17,DanaSehat!$L$13:$AK$56,N$4,FALSE))=TRUE,"",
              VLOOKUP($G17,DanaSehat!$L$13:$AK$56,N$4,FALSE)))</f>
        <v/>
      </c>
      <c r="O17" s="18" t="str">
        <f>IF(ISNUMBER($L$6)=FALSE,"",
        IF(ISERROR(VLOOKUP($G17,DanaSehat!$L$13:$AK$56,O$4,FALSE))=TRUE,"",
              VLOOKUP($G17,DanaSehat!$L$13:$AK$56,O$4,FALSE)))</f>
        <v/>
      </c>
      <c r="P17" s="18" t="str">
        <f>IF(ISNUMBER($L$6)=FALSE,"",
        IF(ISERROR(VLOOKUP($G17,DanaSehat!$L$13:$AK$56,P$4,FALSE))=TRUE,"",
              VLOOKUP($G17,DanaSehat!$L$13:$AK$56,P$4,FALSE)))</f>
        <v/>
      </c>
      <c r="Q17" s="18" t="str">
        <f>IF(ISNUMBER($L$6)=FALSE,"",
        IF(ISERROR(VLOOKUP($G17,DanaSehat!$L$13:$AK$56,Q$4,FALSE))=TRUE,"",
              VLOOKUP($G17,DanaSehat!$L$13:$AK$56,Q$4,FALSE)))</f>
        <v/>
      </c>
      <c r="R17" s="18" t="str">
        <f>IF(ISNUMBER($L$6)=FALSE,"",
        IF(ISERROR(VLOOKUP($G17,DanaSehat!$L$13:$AK$56,R$4,FALSE))=TRUE,"",
              VLOOKUP($G17,DanaSehat!$L$13:$AK$56,R$4,FALSE)))</f>
        <v/>
      </c>
      <c r="S17" s="18" t="str">
        <f>IF(ISNUMBER($L$6)=FALSE,"",
        IF(ISERROR(VLOOKUP($G17,DanaSehat!$L$13:$AK$56,S$4,FALSE))=TRUE,"",
              VLOOKUP($G17,DanaSehat!$L$13:$AK$56,S$4,FALSE)))</f>
        <v/>
      </c>
      <c r="T17" s="18" t="str">
        <f>IF(ISNUMBER($L$6)=FALSE,"",
        IF(ISERROR(VLOOKUP($G17,DanaSehat!$L$13:$AK$56,T$4,FALSE))=TRUE,"",
              VLOOKUP($G17,DanaSehat!$L$13:$AK$56,T$4,FALSE)))</f>
        <v/>
      </c>
      <c r="U17" s="18" t="str">
        <f>IF(ISNUMBER($L$6)=FALSE,"",
        IF(ISERROR(VLOOKUP($G17,DanaSehat!$L$13:$AK$56,U$4,FALSE))=TRUE,"",
              VLOOKUP($G17,DanaSehat!$L$13:$AK$56,U$4,FALSE)))</f>
        <v/>
      </c>
      <c r="V17" s="18" t="str">
        <f>IF(ISNUMBER($L$6)=FALSE,"",
        IF(ISERROR(VLOOKUP($G17,DanaSehat!$L$13:$AK$56,V$4,FALSE))=TRUE,"",
              VLOOKUP($G17,DanaSehat!$L$13:$AK$56,V$4,FALSE)))</f>
        <v/>
      </c>
      <c r="W17" s="18" t="str">
        <f>IF(ISNUMBER($L$6)=FALSE,"",
        IF(ISERROR(VLOOKUP($G17,DanaSehat!$L$13:$AK$56,W$4,FALSE))=TRUE,"",
              VLOOKUP($G17,DanaSehat!$L$13:$AK$56,W$4,FALSE)))</f>
        <v/>
      </c>
      <c r="X17" s="18" t="str">
        <f>IF(ISNUMBER($L$6)=FALSE,"",
        IF(ISERROR(VLOOKUP($G17,DanaSehat!$L$13:$AK$56,X$4,FALSE))=TRUE,"",
              VLOOKUP($G17,DanaSehat!$L$13:$AK$56,X$4,FALSE)))</f>
        <v/>
      </c>
      <c r="Y17" s="18" t="str">
        <f>IF(ISNUMBER($L$6)=FALSE,"",
        IF(ISERROR(VLOOKUP($G17,DanaSehat!$L$13:$AK$56,Y$4,FALSE))=TRUE,"",
              VLOOKUP($G17,DanaSehat!$L$13:$AK$56,Y$4,FALSE)))</f>
        <v/>
      </c>
      <c r="Z17" s="18" t="str">
        <f>IF(ISNUMBER($L$6)=FALSE,"",
        IF(ISERROR(VLOOKUP($G17,DanaSehat!$L$13:$AK$56,Z$4,FALSE))=TRUE,"",
              VLOOKUP($G17,DanaSehat!$L$13:$AK$56,Z$4,FALSE)))</f>
        <v/>
      </c>
      <c r="AA17" s="18" t="str">
        <f>IF(ISNUMBER($L$6)=FALSE,"",
        IF(ISERROR(VLOOKUP($G17,DanaSehat!$L$13:$AK$56,AA$4,FALSE))=TRUE,"",
              VLOOKUP($G17,DanaSehat!$L$13:$AK$56,AA$4,FALSE)))</f>
        <v/>
      </c>
      <c r="AB17" s="18" t="str">
        <f>IF(ISNUMBER($L$6)=FALSE,"",
        IF(ISERROR(VLOOKUP($G17,DanaSehat!$L$13:$AK$56,AB$4,FALSE))=TRUE,"",
              VLOOKUP($G17,DanaSehat!$L$13:$AK$56,AB$4,FALSE)))</f>
        <v/>
      </c>
      <c r="AC17" s="18" t="str">
        <f>IF(ISNUMBER($L$6)=FALSE,"",
        IF(ISERROR(VLOOKUP($G17,DanaSehat!$L$13:$AK$56,AC$4,FALSE))=TRUE,"",
              VLOOKUP($G17,DanaSehat!$L$13:$AK$56,AC$4,FALSE)))</f>
        <v/>
      </c>
      <c r="AD17" s="18" t="str">
        <f>IF(ISNUMBER($L$6)=FALSE,"",
        IF(ISERROR(VLOOKUP($G17,DanaSehat!$L$13:$AK$56,AD$4,FALSE))=TRUE,"",
              VLOOKUP($G17,DanaSehat!$L$13:$AK$56,AD$4,FALSE)))</f>
        <v/>
      </c>
      <c r="AE17" s="18" t="str">
        <f>IF(ISNUMBER($L$6)=FALSE,"",
        IF(ISERROR(VLOOKUP($G17,DanaSehat!$L$13:$AK$56,AE$4,FALSE))=TRUE,"",
              VLOOKUP($G17,DanaSehat!$L$13:$AK$56,AE$4,FALSE)))</f>
        <v/>
      </c>
      <c r="AF17" s="18" t="str">
        <f>IF(ISNUMBER($L$6)=FALSE,"",
        IF(ISERROR(VLOOKUP($G17,DanaSehat!$L$13:$AK$56,AF$4,FALSE))=TRUE,"",
              VLOOKUP($G17,DanaSehat!$L$13:$AK$56,AF$4,FALSE)))</f>
        <v/>
      </c>
    </row>
    <row r="18" spans="1:32" s="60" customFormat="1" ht="10.5" x14ac:dyDescent="0.25">
      <c r="A18" s="59"/>
      <c r="C18" s="59">
        <f t="shared" si="3"/>
        <v>5</v>
      </c>
      <c r="D18" s="61"/>
      <c r="E18" s="77" t="str">
        <f t="shared" si="4"/>
        <v/>
      </c>
      <c r="F18" s="77" t="str">
        <f>IF(ISNUMBER($L$6)=FALSE,"",
IF($C18=0,"",VLOOKUP($E18,DanaSehat!$H$13:$L$56,4,FALSE)))</f>
        <v/>
      </c>
      <c r="G18" s="77" t="str">
        <f>IF(ISNUMBER($L$6)=FALSE,"",
IF($C18=0,"",VLOOKUP($E18,DanaSehat!$H$13:$L$56,5,FALSE)))</f>
        <v/>
      </c>
      <c r="H18" s="17" t="str">
        <f t="shared" si="5"/>
        <v/>
      </c>
      <c r="I18" s="18" t="str">
        <f>IF(ISNUMBER($L$6)=FALSE,"",
        IF(ISERROR(VLOOKUP($G18,DanaSehat!$L$13:$AK$56,I$4,FALSE))=TRUE,"",
              VLOOKUP($G18,DanaSehat!$L$13:$AK$56,I$4,FALSE)))</f>
        <v/>
      </c>
      <c r="J18" s="18" t="str">
        <f>IF(ISNUMBER($L$6)=FALSE,"",
        IF(ISERROR(VLOOKUP($G18,DanaSehat!$L$13:$AK$56,J$4,FALSE))=TRUE,"",
              VLOOKUP($G18,DanaSehat!$L$13:$AK$56,J$4,FALSE)))</f>
        <v/>
      </c>
      <c r="K18" s="18" t="str">
        <f>IF(ISNUMBER($L$6)=FALSE,"",
        IF(ISERROR(VLOOKUP($G18,DanaSehat!$L$13:$AK$56,K$4,FALSE))=TRUE,"",
              VLOOKUP($G18,DanaSehat!$L$13:$AK$56,K$4,FALSE)))</f>
        <v/>
      </c>
      <c r="L18" s="18" t="str">
        <f>IF(ISNUMBER($L$6)=FALSE,"",
        IF(ISERROR(VLOOKUP($G18,DanaSehat!$L$13:$AK$56,L$4,FALSE))=TRUE,"",
              VLOOKUP($G18,DanaSehat!$L$13:$AK$56,L$4,FALSE)))</f>
        <v/>
      </c>
      <c r="M18" s="18" t="str">
        <f>IF(ISNUMBER($L$6)=FALSE,"",
        IF(ISERROR(VLOOKUP($G18,DanaSehat!$L$13:$AK$56,M$4,FALSE))=TRUE,"",
              VLOOKUP($G18,DanaSehat!$L$13:$AK$56,M$4,FALSE)))</f>
        <v/>
      </c>
      <c r="N18" s="18" t="str">
        <f>IF(ISNUMBER($L$6)=FALSE,"",
        IF(ISERROR(VLOOKUP($G18,DanaSehat!$L$13:$AK$56,N$4,FALSE))=TRUE,"",
              VLOOKUP($G18,DanaSehat!$L$13:$AK$56,N$4,FALSE)))</f>
        <v/>
      </c>
      <c r="O18" s="18" t="str">
        <f>IF(ISNUMBER($L$6)=FALSE,"",
        IF(ISERROR(VLOOKUP($G18,DanaSehat!$L$13:$AK$56,O$4,FALSE))=TRUE,"",
              VLOOKUP($G18,DanaSehat!$L$13:$AK$56,O$4,FALSE)))</f>
        <v/>
      </c>
      <c r="P18" s="18" t="str">
        <f>IF(ISNUMBER($L$6)=FALSE,"",
        IF(ISERROR(VLOOKUP($G18,DanaSehat!$L$13:$AK$56,P$4,FALSE))=TRUE,"",
              VLOOKUP($G18,DanaSehat!$L$13:$AK$56,P$4,FALSE)))</f>
        <v/>
      </c>
      <c r="Q18" s="18" t="str">
        <f>IF(ISNUMBER($L$6)=FALSE,"",
        IF(ISERROR(VLOOKUP($G18,DanaSehat!$L$13:$AK$56,Q$4,FALSE))=TRUE,"",
              VLOOKUP($G18,DanaSehat!$L$13:$AK$56,Q$4,FALSE)))</f>
        <v/>
      </c>
      <c r="R18" s="18" t="str">
        <f>IF(ISNUMBER($L$6)=FALSE,"",
        IF(ISERROR(VLOOKUP($G18,DanaSehat!$L$13:$AK$56,R$4,FALSE))=TRUE,"",
              VLOOKUP($G18,DanaSehat!$L$13:$AK$56,R$4,FALSE)))</f>
        <v/>
      </c>
      <c r="S18" s="18" t="str">
        <f>IF(ISNUMBER($L$6)=FALSE,"",
        IF(ISERROR(VLOOKUP($G18,DanaSehat!$L$13:$AK$56,S$4,FALSE))=TRUE,"",
              VLOOKUP($G18,DanaSehat!$L$13:$AK$56,S$4,FALSE)))</f>
        <v/>
      </c>
      <c r="T18" s="18" t="str">
        <f>IF(ISNUMBER($L$6)=FALSE,"",
        IF(ISERROR(VLOOKUP($G18,DanaSehat!$L$13:$AK$56,T$4,FALSE))=TRUE,"",
              VLOOKUP($G18,DanaSehat!$L$13:$AK$56,T$4,FALSE)))</f>
        <v/>
      </c>
      <c r="U18" s="18" t="str">
        <f>IF(ISNUMBER($L$6)=FALSE,"",
        IF(ISERROR(VLOOKUP($G18,DanaSehat!$L$13:$AK$56,U$4,FALSE))=TRUE,"",
              VLOOKUP($G18,DanaSehat!$L$13:$AK$56,U$4,FALSE)))</f>
        <v/>
      </c>
      <c r="V18" s="18" t="str">
        <f>IF(ISNUMBER($L$6)=FALSE,"",
        IF(ISERROR(VLOOKUP($G18,DanaSehat!$L$13:$AK$56,V$4,FALSE))=TRUE,"",
              VLOOKUP($G18,DanaSehat!$L$13:$AK$56,V$4,FALSE)))</f>
        <v/>
      </c>
      <c r="W18" s="18" t="str">
        <f>IF(ISNUMBER($L$6)=FALSE,"",
        IF(ISERROR(VLOOKUP($G18,DanaSehat!$L$13:$AK$56,W$4,FALSE))=TRUE,"",
              VLOOKUP($G18,DanaSehat!$L$13:$AK$56,W$4,FALSE)))</f>
        <v/>
      </c>
      <c r="X18" s="18" t="str">
        <f>IF(ISNUMBER($L$6)=FALSE,"",
        IF(ISERROR(VLOOKUP($G18,DanaSehat!$L$13:$AK$56,X$4,FALSE))=TRUE,"",
              VLOOKUP($G18,DanaSehat!$L$13:$AK$56,X$4,FALSE)))</f>
        <v/>
      </c>
      <c r="Y18" s="18" t="str">
        <f>IF(ISNUMBER($L$6)=FALSE,"",
        IF(ISERROR(VLOOKUP($G18,DanaSehat!$L$13:$AK$56,Y$4,FALSE))=TRUE,"",
              VLOOKUP($G18,DanaSehat!$L$13:$AK$56,Y$4,FALSE)))</f>
        <v/>
      </c>
      <c r="Z18" s="18" t="str">
        <f>IF(ISNUMBER($L$6)=FALSE,"",
        IF(ISERROR(VLOOKUP($G18,DanaSehat!$L$13:$AK$56,Z$4,FALSE))=TRUE,"",
              VLOOKUP($G18,DanaSehat!$L$13:$AK$56,Z$4,FALSE)))</f>
        <v/>
      </c>
      <c r="AA18" s="18" t="str">
        <f>IF(ISNUMBER($L$6)=FALSE,"",
        IF(ISERROR(VLOOKUP($G18,DanaSehat!$L$13:$AK$56,AA$4,FALSE))=TRUE,"",
              VLOOKUP($G18,DanaSehat!$L$13:$AK$56,AA$4,FALSE)))</f>
        <v/>
      </c>
      <c r="AB18" s="18" t="str">
        <f>IF(ISNUMBER($L$6)=FALSE,"",
        IF(ISERROR(VLOOKUP($G18,DanaSehat!$L$13:$AK$56,AB$4,FALSE))=TRUE,"",
              VLOOKUP($G18,DanaSehat!$L$13:$AK$56,AB$4,FALSE)))</f>
        <v/>
      </c>
      <c r="AC18" s="18" t="str">
        <f>IF(ISNUMBER($L$6)=FALSE,"",
        IF(ISERROR(VLOOKUP($G18,DanaSehat!$L$13:$AK$56,AC$4,FALSE))=TRUE,"",
              VLOOKUP($G18,DanaSehat!$L$13:$AK$56,AC$4,FALSE)))</f>
        <v/>
      </c>
      <c r="AD18" s="18" t="str">
        <f>IF(ISNUMBER($L$6)=FALSE,"",
        IF(ISERROR(VLOOKUP($G18,DanaSehat!$L$13:$AK$56,AD$4,FALSE))=TRUE,"",
              VLOOKUP($G18,DanaSehat!$L$13:$AK$56,AD$4,FALSE)))</f>
        <v/>
      </c>
      <c r="AE18" s="18" t="str">
        <f>IF(ISNUMBER($L$6)=FALSE,"",
        IF(ISERROR(VLOOKUP($G18,DanaSehat!$L$13:$AK$56,AE$4,FALSE))=TRUE,"",
              VLOOKUP($G18,DanaSehat!$L$13:$AK$56,AE$4,FALSE)))</f>
        <v/>
      </c>
      <c r="AF18" s="18" t="str">
        <f>IF(ISNUMBER($L$6)=FALSE,"",
        IF(ISERROR(VLOOKUP($G18,DanaSehat!$L$13:$AK$56,AF$4,FALSE))=TRUE,"",
              VLOOKUP($G18,DanaSehat!$L$13:$AK$56,AF$4,FALSE)))</f>
        <v/>
      </c>
    </row>
    <row r="19" spans="1:32" s="60" customFormat="1" ht="10.5" x14ac:dyDescent="0.25">
      <c r="A19" s="59"/>
      <c r="C19" s="59">
        <f t="shared" si="3"/>
        <v>6</v>
      </c>
      <c r="D19" s="61"/>
      <c r="E19" s="77" t="str">
        <f t="shared" si="4"/>
        <v/>
      </c>
      <c r="F19" s="77" t="str">
        <f>IF(ISNUMBER($L$6)=FALSE,"",
IF($C19=0,"",VLOOKUP($E19,DanaSehat!$H$13:$L$56,4,FALSE)))</f>
        <v/>
      </c>
      <c r="G19" s="77" t="str">
        <f>IF(ISNUMBER($L$6)=FALSE,"",
IF($C19=0,"",VLOOKUP($E19,DanaSehat!$H$13:$L$56,5,FALSE)))</f>
        <v/>
      </c>
      <c r="H19" s="17" t="str">
        <f t="shared" si="5"/>
        <v/>
      </c>
      <c r="I19" s="18" t="str">
        <f>IF(ISNUMBER($L$6)=FALSE,"",
        IF(ISERROR(VLOOKUP($G19,DanaSehat!$L$13:$AK$56,I$4,FALSE))=TRUE,"",
              VLOOKUP($G19,DanaSehat!$L$13:$AK$56,I$4,FALSE)))</f>
        <v/>
      </c>
      <c r="J19" s="18" t="str">
        <f>IF(ISNUMBER($L$6)=FALSE,"",
        IF(ISERROR(VLOOKUP($G19,DanaSehat!$L$13:$AK$56,J$4,FALSE))=TRUE,"",
              VLOOKUP($G19,DanaSehat!$L$13:$AK$56,J$4,FALSE)))</f>
        <v/>
      </c>
      <c r="K19" s="18" t="str">
        <f>IF(ISNUMBER($L$6)=FALSE,"",
        IF(ISERROR(VLOOKUP($G19,DanaSehat!$L$13:$AK$56,K$4,FALSE))=TRUE,"",
              VLOOKUP($G19,DanaSehat!$L$13:$AK$56,K$4,FALSE)))</f>
        <v/>
      </c>
      <c r="L19" s="18" t="str">
        <f>IF(ISNUMBER($L$6)=FALSE,"",
        IF(ISERROR(VLOOKUP($G19,DanaSehat!$L$13:$AK$56,L$4,FALSE))=TRUE,"",
              VLOOKUP($G19,DanaSehat!$L$13:$AK$56,L$4,FALSE)))</f>
        <v/>
      </c>
      <c r="M19" s="18" t="str">
        <f>IF(ISNUMBER($L$6)=FALSE,"",
        IF(ISERROR(VLOOKUP($G19,DanaSehat!$L$13:$AK$56,M$4,FALSE))=TRUE,"",
              VLOOKUP($G19,DanaSehat!$L$13:$AK$56,M$4,FALSE)))</f>
        <v/>
      </c>
      <c r="N19" s="18" t="str">
        <f>IF(ISNUMBER($L$6)=FALSE,"",
        IF(ISERROR(VLOOKUP($G19,DanaSehat!$L$13:$AK$56,N$4,FALSE))=TRUE,"",
              VLOOKUP($G19,DanaSehat!$L$13:$AK$56,N$4,FALSE)))</f>
        <v/>
      </c>
      <c r="O19" s="18" t="str">
        <f>IF(ISNUMBER($L$6)=FALSE,"",
        IF(ISERROR(VLOOKUP($G19,DanaSehat!$L$13:$AK$56,O$4,FALSE))=TRUE,"",
              VLOOKUP($G19,DanaSehat!$L$13:$AK$56,O$4,FALSE)))</f>
        <v/>
      </c>
      <c r="P19" s="18" t="str">
        <f>IF(ISNUMBER($L$6)=FALSE,"",
        IF(ISERROR(VLOOKUP($G19,DanaSehat!$L$13:$AK$56,P$4,FALSE))=TRUE,"",
              VLOOKUP($G19,DanaSehat!$L$13:$AK$56,P$4,FALSE)))</f>
        <v/>
      </c>
      <c r="Q19" s="18" t="str">
        <f>IF(ISNUMBER($L$6)=FALSE,"",
        IF(ISERROR(VLOOKUP($G19,DanaSehat!$L$13:$AK$56,Q$4,FALSE))=TRUE,"",
              VLOOKUP($G19,DanaSehat!$L$13:$AK$56,Q$4,FALSE)))</f>
        <v/>
      </c>
      <c r="R19" s="18" t="str">
        <f>IF(ISNUMBER($L$6)=FALSE,"",
        IF(ISERROR(VLOOKUP($G19,DanaSehat!$L$13:$AK$56,R$4,FALSE))=TRUE,"",
              VLOOKUP($G19,DanaSehat!$L$13:$AK$56,R$4,FALSE)))</f>
        <v/>
      </c>
      <c r="S19" s="18" t="str">
        <f>IF(ISNUMBER($L$6)=FALSE,"",
        IF(ISERROR(VLOOKUP($G19,DanaSehat!$L$13:$AK$56,S$4,FALSE))=TRUE,"",
              VLOOKUP($G19,DanaSehat!$L$13:$AK$56,S$4,FALSE)))</f>
        <v/>
      </c>
      <c r="T19" s="18" t="str">
        <f>IF(ISNUMBER($L$6)=FALSE,"",
        IF(ISERROR(VLOOKUP($G19,DanaSehat!$L$13:$AK$56,T$4,FALSE))=TRUE,"",
              VLOOKUP($G19,DanaSehat!$L$13:$AK$56,T$4,FALSE)))</f>
        <v/>
      </c>
      <c r="U19" s="18" t="str">
        <f>IF(ISNUMBER($L$6)=FALSE,"",
        IF(ISERROR(VLOOKUP($G19,DanaSehat!$L$13:$AK$56,U$4,FALSE))=TRUE,"",
              VLOOKUP($G19,DanaSehat!$L$13:$AK$56,U$4,FALSE)))</f>
        <v/>
      </c>
      <c r="V19" s="18" t="str">
        <f>IF(ISNUMBER($L$6)=FALSE,"",
        IF(ISERROR(VLOOKUP($G19,DanaSehat!$L$13:$AK$56,V$4,FALSE))=TRUE,"",
              VLOOKUP($G19,DanaSehat!$L$13:$AK$56,V$4,FALSE)))</f>
        <v/>
      </c>
      <c r="W19" s="18" t="str">
        <f>IF(ISNUMBER($L$6)=FALSE,"",
        IF(ISERROR(VLOOKUP($G19,DanaSehat!$L$13:$AK$56,W$4,FALSE))=TRUE,"",
              VLOOKUP($G19,DanaSehat!$L$13:$AK$56,W$4,FALSE)))</f>
        <v/>
      </c>
      <c r="X19" s="18" t="str">
        <f>IF(ISNUMBER($L$6)=FALSE,"",
        IF(ISERROR(VLOOKUP($G19,DanaSehat!$L$13:$AK$56,X$4,FALSE))=TRUE,"",
              VLOOKUP($G19,DanaSehat!$L$13:$AK$56,X$4,FALSE)))</f>
        <v/>
      </c>
      <c r="Y19" s="18" t="str">
        <f>IF(ISNUMBER($L$6)=FALSE,"",
        IF(ISERROR(VLOOKUP($G19,DanaSehat!$L$13:$AK$56,Y$4,FALSE))=TRUE,"",
              VLOOKUP($G19,DanaSehat!$L$13:$AK$56,Y$4,FALSE)))</f>
        <v/>
      </c>
      <c r="Z19" s="18" t="str">
        <f>IF(ISNUMBER($L$6)=FALSE,"",
        IF(ISERROR(VLOOKUP($G19,DanaSehat!$L$13:$AK$56,Z$4,FALSE))=TRUE,"",
              VLOOKUP($G19,DanaSehat!$L$13:$AK$56,Z$4,FALSE)))</f>
        <v/>
      </c>
      <c r="AA19" s="18" t="str">
        <f>IF(ISNUMBER($L$6)=FALSE,"",
        IF(ISERROR(VLOOKUP($G19,DanaSehat!$L$13:$AK$56,AA$4,FALSE))=TRUE,"",
              VLOOKUP($G19,DanaSehat!$L$13:$AK$56,AA$4,FALSE)))</f>
        <v/>
      </c>
      <c r="AB19" s="18" t="str">
        <f>IF(ISNUMBER($L$6)=FALSE,"",
        IF(ISERROR(VLOOKUP($G19,DanaSehat!$L$13:$AK$56,AB$4,FALSE))=TRUE,"",
              VLOOKUP($G19,DanaSehat!$L$13:$AK$56,AB$4,FALSE)))</f>
        <v/>
      </c>
      <c r="AC19" s="18" t="str">
        <f>IF(ISNUMBER($L$6)=FALSE,"",
        IF(ISERROR(VLOOKUP($G19,DanaSehat!$L$13:$AK$56,AC$4,FALSE))=TRUE,"",
              VLOOKUP($G19,DanaSehat!$L$13:$AK$56,AC$4,FALSE)))</f>
        <v/>
      </c>
      <c r="AD19" s="18" t="str">
        <f>IF(ISNUMBER($L$6)=FALSE,"",
        IF(ISERROR(VLOOKUP($G19,DanaSehat!$L$13:$AK$56,AD$4,FALSE))=TRUE,"",
              VLOOKUP($G19,DanaSehat!$L$13:$AK$56,AD$4,FALSE)))</f>
        <v/>
      </c>
      <c r="AE19" s="18" t="str">
        <f>IF(ISNUMBER($L$6)=FALSE,"",
        IF(ISERROR(VLOOKUP($G19,DanaSehat!$L$13:$AK$56,AE$4,FALSE))=TRUE,"",
              VLOOKUP($G19,DanaSehat!$L$13:$AK$56,AE$4,FALSE)))</f>
        <v/>
      </c>
      <c r="AF19" s="18" t="str">
        <f>IF(ISNUMBER($L$6)=FALSE,"",
        IF(ISERROR(VLOOKUP($G19,DanaSehat!$L$13:$AK$56,AF$4,FALSE))=TRUE,"",
              VLOOKUP($G19,DanaSehat!$L$13:$AK$56,AF$4,FALSE)))</f>
        <v/>
      </c>
    </row>
    <row r="20" spans="1:32" s="60" customFormat="1" ht="10.5" x14ac:dyDescent="0.25">
      <c r="A20" s="59"/>
      <c r="C20" s="59">
        <f t="shared" si="3"/>
        <v>7</v>
      </c>
      <c r="D20" s="61"/>
      <c r="E20" s="77" t="str">
        <f t="shared" si="4"/>
        <v/>
      </c>
      <c r="F20" s="77" t="str">
        <f>IF(ISNUMBER($L$6)=FALSE,"",
IF($C20=0,"",VLOOKUP($E20,DanaSehat!$H$13:$L$56,4,FALSE)))</f>
        <v/>
      </c>
      <c r="G20" s="77" t="str">
        <f>IF(ISNUMBER($L$6)=FALSE,"",
IF($C20=0,"",VLOOKUP($E20,DanaSehat!$H$13:$L$56,5,FALSE)))</f>
        <v/>
      </c>
      <c r="H20" s="17" t="str">
        <f t="shared" si="5"/>
        <v/>
      </c>
      <c r="I20" s="18" t="str">
        <f>IF(ISNUMBER($L$6)=FALSE,"",
        IF(ISERROR(VLOOKUP($G20,DanaSehat!$L$13:$AK$56,I$4,FALSE))=TRUE,"",
              VLOOKUP($G20,DanaSehat!$L$13:$AK$56,I$4,FALSE)))</f>
        <v/>
      </c>
      <c r="J20" s="18" t="str">
        <f>IF(ISNUMBER($L$6)=FALSE,"",
        IF(ISERROR(VLOOKUP($G20,DanaSehat!$L$13:$AK$56,J$4,FALSE))=TRUE,"",
              VLOOKUP($G20,DanaSehat!$L$13:$AK$56,J$4,FALSE)))</f>
        <v/>
      </c>
      <c r="K20" s="18" t="str">
        <f>IF(ISNUMBER($L$6)=FALSE,"",
        IF(ISERROR(VLOOKUP($G20,DanaSehat!$L$13:$AK$56,K$4,FALSE))=TRUE,"",
              VLOOKUP($G20,DanaSehat!$L$13:$AK$56,K$4,FALSE)))</f>
        <v/>
      </c>
      <c r="L20" s="18" t="str">
        <f>IF(ISNUMBER($L$6)=FALSE,"",
        IF(ISERROR(VLOOKUP($G20,DanaSehat!$L$13:$AK$56,L$4,FALSE))=TRUE,"",
              VLOOKUP($G20,DanaSehat!$L$13:$AK$56,L$4,FALSE)))</f>
        <v/>
      </c>
      <c r="M20" s="18" t="str">
        <f>IF(ISNUMBER($L$6)=FALSE,"",
        IF(ISERROR(VLOOKUP($G20,DanaSehat!$L$13:$AK$56,M$4,FALSE))=TRUE,"",
              VLOOKUP($G20,DanaSehat!$L$13:$AK$56,M$4,FALSE)))</f>
        <v/>
      </c>
      <c r="N20" s="18" t="str">
        <f>IF(ISNUMBER($L$6)=FALSE,"",
        IF(ISERROR(VLOOKUP($G20,DanaSehat!$L$13:$AK$56,N$4,FALSE))=TRUE,"",
              VLOOKUP($G20,DanaSehat!$L$13:$AK$56,N$4,FALSE)))</f>
        <v/>
      </c>
      <c r="O20" s="18" t="str">
        <f>IF(ISNUMBER($L$6)=FALSE,"",
        IF(ISERROR(VLOOKUP($G20,DanaSehat!$L$13:$AK$56,O$4,FALSE))=TRUE,"",
              VLOOKUP($G20,DanaSehat!$L$13:$AK$56,O$4,FALSE)))</f>
        <v/>
      </c>
      <c r="P20" s="18" t="str">
        <f>IF(ISNUMBER($L$6)=FALSE,"",
        IF(ISERROR(VLOOKUP($G20,DanaSehat!$L$13:$AK$56,P$4,FALSE))=TRUE,"",
              VLOOKUP($G20,DanaSehat!$L$13:$AK$56,P$4,FALSE)))</f>
        <v/>
      </c>
      <c r="Q20" s="18" t="str">
        <f>IF(ISNUMBER($L$6)=FALSE,"",
        IF(ISERROR(VLOOKUP($G20,DanaSehat!$L$13:$AK$56,Q$4,FALSE))=TRUE,"",
              VLOOKUP($G20,DanaSehat!$L$13:$AK$56,Q$4,FALSE)))</f>
        <v/>
      </c>
      <c r="R20" s="18" t="str">
        <f>IF(ISNUMBER($L$6)=FALSE,"",
        IF(ISERROR(VLOOKUP($G20,DanaSehat!$L$13:$AK$56,R$4,FALSE))=TRUE,"",
              VLOOKUP($G20,DanaSehat!$L$13:$AK$56,R$4,FALSE)))</f>
        <v/>
      </c>
      <c r="S20" s="18" t="str">
        <f>IF(ISNUMBER($L$6)=FALSE,"",
        IF(ISERROR(VLOOKUP($G20,DanaSehat!$L$13:$AK$56,S$4,FALSE))=TRUE,"",
              VLOOKUP($G20,DanaSehat!$L$13:$AK$56,S$4,FALSE)))</f>
        <v/>
      </c>
      <c r="T20" s="18" t="str">
        <f>IF(ISNUMBER($L$6)=FALSE,"",
        IF(ISERROR(VLOOKUP($G20,DanaSehat!$L$13:$AK$56,T$4,FALSE))=TRUE,"",
              VLOOKUP($G20,DanaSehat!$L$13:$AK$56,T$4,FALSE)))</f>
        <v/>
      </c>
      <c r="U20" s="18" t="str">
        <f>IF(ISNUMBER($L$6)=FALSE,"",
        IF(ISERROR(VLOOKUP($G20,DanaSehat!$L$13:$AK$56,U$4,FALSE))=TRUE,"",
              VLOOKUP($G20,DanaSehat!$L$13:$AK$56,U$4,FALSE)))</f>
        <v/>
      </c>
      <c r="V20" s="18" t="str">
        <f>IF(ISNUMBER($L$6)=FALSE,"",
        IF(ISERROR(VLOOKUP($G20,DanaSehat!$L$13:$AK$56,V$4,FALSE))=TRUE,"",
              VLOOKUP($G20,DanaSehat!$L$13:$AK$56,V$4,FALSE)))</f>
        <v/>
      </c>
      <c r="W20" s="18" t="str">
        <f>IF(ISNUMBER($L$6)=FALSE,"",
        IF(ISERROR(VLOOKUP($G20,DanaSehat!$L$13:$AK$56,W$4,FALSE))=TRUE,"",
              VLOOKUP($G20,DanaSehat!$L$13:$AK$56,W$4,FALSE)))</f>
        <v/>
      </c>
      <c r="X20" s="18" t="str">
        <f>IF(ISNUMBER($L$6)=FALSE,"",
        IF(ISERROR(VLOOKUP($G20,DanaSehat!$L$13:$AK$56,X$4,FALSE))=TRUE,"",
              VLOOKUP($G20,DanaSehat!$L$13:$AK$56,X$4,FALSE)))</f>
        <v/>
      </c>
      <c r="Y20" s="18" t="str">
        <f>IF(ISNUMBER($L$6)=FALSE,"",
        IF(ISERROR(VLOOKUP($G20,DanaSehat!$L$13:$AK$56,Y$4,FALSE))=TRUE,"",
              VLOOKUP($G20,DanaSehat!$L$13:$AK$56,Y$4,FALSE)))</f>
        <v/>
      </c>
      <c r="Z20" s="18" t="str">
        <f>IF(ISNUMBER($L$6)=FALSE,"",
        IF(ISERROR(VLOOKUP($G20,DanaSehat!$L$13:$AK$56,Z$4,FALSE))=TRUE,"",
              VLOOKUP($G20,DanaSehat!$L$13:$AK$56,Z$4,FALSE)))</f>
        <v/>
      </c>
      <c r="AA20" s="18" t="str">
        <f>IF(ISNUMBER($L$6)=FALSE,"",
        IF(ISERROR(VLOOKUP($G20,DanaSehat!$L$13:$AK$56,AA$4,FALSE))=TRUE,"",
              VLOOKUP($G20,DanaSehat!$L$13:$AK$56,AA$4,FALSE)))</f>
        <v/>
      </c>
      <c r="AB20" s="18" t="str">
        <f>IF(ISNUMBER($L$6)=FALSE,"",
        IF(ISERROR(VLOOKUP($G20,DanaSehat!$L$13:$AK$56,AB$4,FALSE))=TRUE,"",
              VLOOKUP($G20,DanaSehat!$L$13:$AK$56,AB$4,FALSE)))</f>
        <v/>
      </c>
      <c r="AC20" s="18" t="str">
        <f>IF(ISNUMBER($L$6)=FALSE,"",
        IF(ISERROR(VLOOKUP($G20,DanaSehat!$L$13:$AK$56,AC$4,FALSE))=TRUE,"",
              VLOOKUP($G20,DanaSehat!$L$13:$AK$56,AC$4,FALSE)))</f>
        <v/>
      </c>
      <c r="AD20" s="18" t="str">
        <f>IF(ISNUMBER($L$6)=FALSE,"",
        IF(ISERROR(VLOOKUP($G20,DanaSehat!$L$13:$AK$56,AD$4,FALSE))=TRUE,"",
              VLOOKUP($G20,DanaSehat!$L$13:$AK$56,AD$4,FALSE)))</f>
        <v/>
      </c>
      <c r="AE20" s="18" t="str">
        <f>IF(ISNUMBER($L$6)=FALSE,"",
        IF(ISERROR(VLOOKUP($G20,DanaSehat!$L$13:$AK$56,AE$4,FALSE))=TRUE,"",
              VLOOKUP($G20,DanaSehat!$L$13:$AK$56,AE$4,FALSE)))</f>
        <v/>
      </c>
      <c r="AF20" s="18" t="str">
        <f>IF(ISNUMBER($L$6)=FALSE,"",
        IF(ISERROR(VLOOKUP($G20,DanaSehat!$L$13:$AK$56,AF$4,FALSE))=TRUE,"",
              VLOOKUP($G20,DanaSehat!$L$13:$AK$56,AF$4,FALSE)))</f>
        <v/>
      </c>
    </row>
    <row r="21" spans="1:32" s="60" customFormat="1" ht="10.5" x14ac:dyDescent="0.25">
      <c r="A21" s="59"/>
      <c r="C21" s="59">
        <f t="shared" si="3"/>
        <v>8</v>
      </c>
      <c r="D21" s="61"/>
      <c r="E21" s="77" t="str">
        <f t="shared" si="4"/>
        <v/>
      </c>
      <c r="F21" s="77" t="str">
        <f>IF(ISNUMBER($L$6)=FALSE,"",
IF($C21=0,"",VLOOKUP($E21,DanaSehat!$H$13:$L$56,4,FALSE)))</f>
        <v/>
      </c>
      <c r="G21" s="77" t="str">
        <f>IF(ISNUMBER($L$6)=FALSE,"",
IF($C21=0,"",VLOOKUP($E21,DanaSehat!$H$13:$L$56,5,FALSE)))</f>
        <v/>
      </c>
      <c r="H21" s="17" t="str">
        <f t="shared" si="5"/>
        <v/>
      </c>
      <c r="I21" s="18" t="str">
        <f>IF(ISNUMBER($L$6)=FALSE,"",
        IF(ISERROR(VLOOKUP($G21,DanaSehat!$L$13:$AK$56,I$4,FALSE))=TRUE,"",
              VLOOKUP($G21,DanaSehat!$L$13:$AK$56,I$4,FALSE)))</f>
        <v/>
      </c>
      <c r="J21" s="18" t="str">
        <f>IF(ISNUMBER($L$6)=FALSE,"",
        IF(ISERROR(VLOOKUP($G21,DanaSehat!$L$13:$AK$56,J$4,FALSE))=TRUE,"",
              VLOOKUP($G21,DanaSehat!$L$13:$AK$56,J$4,FALSE)))</f>
        <v/>
      </c>
      <c r="K21" s="18" t="str">
        <f>IF(ISNUMBER($L$6)=FALSE,"",
        IF(ISERROR(VLOOKUP($G21,DanaSehat!$L$13:$AK$56,K$4,FALSE))=TRUE,"",
              VLOOKUP($G21,DanaSehat!$L$13:$AK$56,K$4,FALSE)))</f>
        <v/>
      </c>
      <c r="L21" s="18" t="str">
        <f>IF(ISNUMBER($L$6)=FALSE,"",
        IF(ISERROR(VLOOKUP($G21,DanaSehat!$L$13:$AK$56,L$4,FALSE))=TRUE,"",
              VLOOKUP($G21,DanaSehat!$L$13:$AK$56,L$4,FALSE)))</f>
        <v/>
      </c>
      <c r="M21" s="18" t="str">
        <f>IF(ISNUMBER($L$6)=FALSE,"",
        IF(ISERROR(VLOOKUP($G21,DanaSehat!$L$13:$AK$56,M$4,FALSE))=TRUE,"",
              VLOOKUP($G21,DanaSehat!$L$13:$AK$56,M$4,FALSE)))</f>
        <v/>
      </c>
      <c r="N21" s="18" t="str">
        <f>IF(ISNUMBER($L$6)=FALSE,"",
        IF(ISERROR(VLOOKUP($G21,DanaSehat!$L$13:$AK$56,N$4,FALSE))=TRUE,"",
              VLOOKUP($G21,DanaSehat!$L$13:$AK$56,N$4,FALSE)))</f>
        <v/>
      </c>
      <c r="O21" s="18" t="str">
        <f>IF(ISNUMBER($L$6)=FALSE,"",
        IF(ISERROR(VLOOKUP($G21,DanaSehat!$L$13:$AK$56,O$4,FALSE))=TRUE,"",
              VLOOKUP($G21,DanaSehat!$L$13:$AK$56,O$4,FALSE)))</f>
        <v/>
      </c>
      <c r="P21" s="18" t="str">
        <f>IF(ISNUMBER($L$6)=FALSE,"",
        IF(ISERROR(VLOOKUP($G21,DanaSehat!$L$13:$AK$56,P$4,FALSE))=TRUE,"",
              VLOOKUP($G21,DanaSehat!$L$13:$AK$56,P$4,FALSE)))</f>
        <v/>
      </c>
      <c r="Q21" s="18" t="str">
        <f>IF(ISNUMBER($L$6)=FALSE,"",
        IF(ISERROR(VLOOKUP($G21,DanaSehat!$L$13:$AK$56,Q$4,FALSE))=TRUE,"",
              VLOOKUP($G21,DanaSehat!$L$13:$AK$56,Q$4,FALSE)))</f>
        <v/>
      </c>
      <c r="R21" s="18" t="str">
        <f>IF(ISNUMBER($L$6)=FALSE,"",
        IF(ISERROR(VLOOKUP($G21,DanaSehat!$L$13:$AK$56,R$4,FALSE))=TRUE,"",
              VLOOKUP($G21,DanaSehat!$L$13:$AK$56,R$4,FALSE)))</f>
        <v/>
      </c>
      <c r="S21" s="18" t="str">
        <f>IF(ISNUMBER($L$6)=FALSE,"",
        IF(ISERROR(VLOOKUP($G21,DanaSehat!$L$13:$AK$56,S$4,FALSE))=TRUE,"",
              VLOOKUP($G21,DanaSehat!$L$13:$AK$56,S$4,FALSE)))</f>
        <v/>
      </c>
      <c r="T21" s="18" t="str">
        <f>IF(ISNUMBER($L$6)=FALSE,"",
        IF(ISERROR(VLOOKUP($G21,DanaSehat!$L$13:$AK$56,T$4,FALSE))=TRUE,"",
              VLOOKUP($G21,DanaSehat!$L$13:$AK$56,T$4,FALSE)))</f>
        <v/>
      </c>
      <c r="U21" s="18" t="str">
        <f>IF(ISNUMBER($L$6)=FALSE,"",
        IF(ISERROR(VLOOKUP($G21,DanaSehat!$L$13:$AK$56,U$4,FALSE))=TRUE,"",
              VLOOKUP($G21,DanaSehat!$L$13:$AK$56,U$4,FALSE)))</f>
        <v/>
      </c>
      <c r="V21" s="18" t="str">
        <f>IF(ISNUMBER($L$6)=FALSE,"",
        IF(ISERROR(VLOOKUP($G21,DanaSehat!$L$13:$AK$56,V$4,FALSE))=TRUE,"",
              VLOOKUP($G21,DanaSehat!$L$13:$AK$56,V$4,FALSE)))</f>
        <v/>
      </c>
      <c r="W21" s="18" t="str">
        <f>IF(ISNUMBER($L$6)=FALSE,"",
        IF(ISERROR(VLOOKUP($G21,DanaSehat!$L$13:$AK$56,W$4,FALSE))=TRUE,"",
              VLOOKUP($G21,DanaSehat!$L$13:$AK$56,W$4,FALSE)))</f>
        <v/>
      </c>
      <c r="X21" s="18" t="str">
        <f>IF(ISNUMBER($L$6)=FALSE,"",
        IF(ISERROR(VLOOKUP($G21,DanaSehat!$L$13:$AK$56,X$4,FALSE))=TRUE,"",
              VLOOKUP($G21,DanaSehat!$L$13:$AK$56,X$4,FALSE)))</f>
        <v/>
      </c>
      <c r="Y21" s="18" t="str">
        <f>IF(ISNUMBER($L$6)=FALSE,"",
        IF(ISERROR(VLOOKUP($G21,DanaSehat!$L$13:$AK$56,Y$4,FALSE))=TRUE,"",
              VLOOKUP($G21,DanaSehat!$L$13:$AK$56,Y$4,FALSE)))</f>
        <v/>
      </c>
      <c r="Z21" s="18" t="str">
        <f>IF(ISNUMBER($L$6)=FALSE,"",
        IF(ISERROR(VLOOKUP($G21,DanaSehat!$L$13:$AK$56,Z$4,FALSE))=TRUE,"",
              VLOOKUP($G21,DanaSehat!$L$13:$AK$56,Z$4,FALSE)))</f>
        <v/>
      </c>
      <c r="AA21" s="18" t="str">
        <f>IF(ISNUMBER($L$6)=FALSE,"",
        IF(ISERROR(VLOOKUP($G21,DanaSehat!$L$13:$AK$56,AA$4,FALSE))=TRUE,"",
              VLOOKUP($G21,DanaSehat!$L$13:$AK$56,AA$4,FALSE)))</f>
        <v/>
      </c>
      <c r="AB21" s="18" t="str">
        <f>IF(ISNUMBER($L$6)=FALSE,"",
        IF(ISERROR(VLOOKUP($G21,DanaSehat!$L$13:$AK$56,AB$4,FALSE))=TRUE,"",
              VLOOKUP($G21,DanaSehat!$L$13:$AK$56,AB$4,FALSE)))</f>
        <v/>
      </c>
      <c r="AC21" s="18" t="str">
        <f>IF(ISNUMBER($L$6)=FALSE,"",
        IF(ISERROR(VLOOKUP($G21,DanaSehat!$L$13:$AK$56,AC$4,FALSE))=TRUE,"",
              VLOOKUP($G21,DanaSehat!$L$13:$AK$56,AC$4,FALSE)))</f>
        <v/>
      </c>
      <c r="AD21" s="18" t="str">
        <f>IF(ISNUMBER($L$6)=FALSE,"",
        IF(ISERROR(VLOOKUP($G21,DanaSehat!$L$13:$AK$56,AD$4,FALSE))=TRUE,"",
              VLOOKUP($G21,DanaSehat!$L$13:$AK$56,AD$4,FALSE)))</f>
        <v/>
      </c>
      <c r="AE21" s="18" t="str">
        <f>IF(ISNUMBER($L$6)=FALSE,"",
        IF(ISERROR(VLOOKUP($G21,DanaSehat!$L$13:$AK$56,AE$4,FALSE))=TRUE,"",
              VLOOKUP($G21,DanaSehat!$L$13:$AK$56,AE$4,FALSE)))</f>
        <v/>
      </c>
      <c r="AF21" s="18" t="str">
        <f>IF(ISNUMBER($L$6)=FALSE,"",
        IF(ISERROR(VLOOKUP($G21,DanaSehat!$L$13:$AK$56,AF$4,FALSE))=TRUE,"",
              VLOOKUP($G21,DanaSehat!$L$13:$AK$56,AF$4,FALSE)))</f>
        <v/>
      </c>
    </row>
    <row r="22" spans="1:32" s="60" customFormat="1" ht="10.5" x14ac:dyDescent="0.25">
      <c r="A22" s="59"/>
      <c r="C22" s="59">
        <f t="shared" si="3"/>
        <v>9</v>
      </c>
      <c r="D22" s="61"/>
      <c r="E22" s="77" t="str">
        <f t="shared" si="4"/>
        <v/>
      </c>
      <c r="F22" s="77" t="str">
        <f>IF(ISNUMBER($L$6)=FALSE,"",
IF($C22=0,"",VLOOKUP($E22,DanaSehat!$H$13:$L$56,4,FALSE)))</f>
        <v/>
      </c>
      <c r="G22" s="77" t="str">
        <f>IF(ISNUMBER($L$6)=FALSE,"",
IF($C22=0,"",VLOOKUP($E22,DanaSehat!$H$13:$L$56,5,FALSE)))</f>
        <v/>
      </c>
      <c r="H22" s="17" t="str">
        <f t="shared" si="5"/>
        <v/>
      </c>
      <c r="I22" s="18" t="str">
        <f>IF(ISNUMBER($L$6)=FALSE,"",
        IF(ISERROR(VLOOKUP($G22,DanaSehat!$L$13:$AK$56,I$4,FALSE))=TRUE,"",
              VLOOKUP($G22,DanaSehat!$L$13:$AK$56,I$4,FALSE)))</f>
        <v/>
      </c>
      <c r="J22" s="18" t="str">
        <f>IF(ISNUMBER($L$6)=FALSE,"",
        IF(ISERROR(VLOOKUP($G22,DanaSehat!$L$13:$AK$56,J$4,FALSE))=TRUE,"",
              VLOOKUP($G22,DanaSehat!$L$13:$AK$56,J$4,FALSE)))</f>
        <v/>
      </c>
      <c r="K22" s="18" t="str">
        <f>IF(ISNUMBER($L$6)=FALSE,"",
        IF(ISERROR(VLOOKUP($G22,DanaSehat!$L$13:$AK$56,K$4,FALSE))=TRUE,"",
              VLOOKUP($G22,DanaSehat!$L$13:$AK$56,K$4,FALSE)))</f>
        <v/>
      </c>
      <c r="L22" s="18" t="str">
        <f>IF(ISNUMBER($L$6)=FALSE,"",
        IF(ISERROR(VLOOKUP($G22,DanaSehat!$L$13:$AK$56,L$4,FALSE))=TRUE,"",
              VLOOKUP($G22,DanaSehat!$L$13:$AK$56,L$4,FALSE)))</f>
        <v/>
      </c>
      <c r="M22" s="18" t="str">
        <f>IF(ISNUMBER($L$6)=FALSE,"",
        IF(ISERROR(VLOOKUP($G22,DanaSehat!$L$13:$AK$56,M$4,FALSE))=TRUE,"",
              VLOOKUP($G22,DanaSehat!$L$13:$AK$56,M$4,FALSE)))</f>
        <v/>
      </c>
      <c r="N22" s="18" t="str">
        <f>IF(ISNUMBER($L$6)=FALSE,"",
        IF(ISERROR(VLOOKUP($G22,DanaSehat!$L$13:$AK$56,N$4,FALSE))=TRUE,"",
              VLOOKUP($G22,DanaSehat!$L$13:$AK$56,N$4,FALSE)))</f>
        <v/>
      </c>
      <c r="O22" s="18" t="str">
        <f>IF(ISNUMBER($L$6)=FALSE,"",
        IF(ISERROR(VLOOKUP($G22,DanaSehat!$L$13:$AK$56,O$4,FALSE))=TRUE,"",
              VLOOKUP($G22,DanaSehat!$L$13:$AK$56,O$4,FALSE)))</f>
        <v/>
      </c>
      <c r="P22" s="18" t="str">
        <f>IF(ISNUMBER($L$6)=FALSE,"",
        IF(ISERROR(VLOOKUP($G22,DanaSehat!$L$13:$AK$56,P$4,FALSE))=TRUE,"",
              VLOOKUP($G22,DanaSehat!$L$13:$AK$56,P$4,FALSE)))</f>
        <v/>
      </c>
      <c r="Q22" s="18" t="str">
        <f>IF(ISNUMBER($L$6)=FALSE,"",
        IF(ISERROR(VLOOKUP($G22,DanaSehat!$L$13:$AK$56,Q$4,FALSE))=TRUE,"",
              VLOOKUP($G22,DanaSehat!$L$13:$AK$56,Q$4,FALSE)))</f>
        <v/>
      </c>
      <c r="R22" s="18" t="str">
        <f>IF(ISNUMBER($L$6)=FALSE,"",
        IF(ISERROR(VLOOKUP($G22,DanaSehat!$L$13:$AK$56,R$4,FALSE))=TRUE,"",
              VLOOKUP($G22,DanaSehat!$L$13:$AK$56,R$4,FALSE)))</f>
        <v/>
      </c>
      <c r="S22" s="18" t="str">
        <f>IF(ISNUMBER($L$6)=FALSE,"",
        IF(ISERROR(VLOOKUP($G22,DanaSehat!$L$13:$AK$56,S$4,FALSE))=TRUE,"",
              VLOOKUP($G22,DanaSehat!$L$13:$AK$56,S$4,FALSE)))</f>
        <v/>
      </c>
      <c r="T22" s="18" t="str">
        <f>IF(ISNUMBER($L$6)=FALSE,"",
        IF(ISERROR(VLOOKUP($G22,DanaSehat!$L$13:$AK$56,T$4,FALSE))=TRUE,"",
              VLOOKUP($G22,DanaSehat!$L$13:$AK$56,T$4,FALSE)))</f>
        <v/>
      </c>
      <c r="U22" s="18" t="str">
        <f>IF(ISNUMBER($L$6)=FALSE,"",
        IF(ISERROR(VLOOKUP($G22,DanaSehat!$L$13:$AK$56,U$4,FALSE))=TRUE,"",
              VLOOKUP($G22,DanaSehat!$L$13:$AK$56,U$4,FALSE)))</f>
        <v/>
      </c>
      <c r="V22" s="18" t="str">
        <f>IF(ISNUMBER($L$6)=FALSE,"",
        IF(ISERROR(VLOOKUP($G22,DanaSehat!$L$13:$AK$56,V$4,FALSE))=TRUE,"",
              VLOOKUP($G22,DanaSehat!$L$13:$AK$56,V$4,FALSE)))</f>
        <v/>
      </c>
      <c r="W22" s="18" t="str">
        <f>IF(ISNUMBER($L$6)=FALSE,"",
        IF(ISERROR(VLOOKUP($G22,DanaSehat!$L$13:$AK$56,W$4,FALSE))=TRUE,"",
              VLOOKUP($G22,DanaSehat!$L$13:$AK$56,W$4,FALSE)))</f>
        <v/>
      </c>
      <c r="X22" s="18" t="str">
        <f>IF(ISNUMBER($L$6)=FALSE,"",
        IF(ISERROR(VLOOKUP($G22,DanaSehat!$L$13:$AK$56,X$4,FALSE))=TRUE,"",
              VLOOKUP($G22,DanaSehat!$L$13:$AK$56,X$4,FALSE)))</f>
        <v/>
      </c>
      <c r="Y22" s="18" t="str">
        <f>IF(ISNUMBER($L$6)=FALSE,"",
        IF(ISERROR(VLOOKUP($G22,DanaSehat!$L$13:$AK$56,Y$4,FALSE))=TRUE,"",
              VLOOKUP($G22,DanaSehat!$L$13:$AK$56,Y$4,FALSE)))</f>
        <v/>
      </c>
      <c r="Z22" s="18" t="str">
        <f>IF(ISNUMBER($L$6)=FALSE,"",
        IF(ISERROR(VLOOKUP($G22,DanaSehat!$L$13:$AK$56,Z$4,FALSE))=TRUE,"",
              VLOOKUP($G22,DanaSehat!$L$13:$AK$56,Z$4,FALSE)))</f>
        <v/>
      </c>
      <c r="AA22" s="18" t="str">
        <f>IF(ISNUMBER($L$6)=FALSE,"",
        IF(ISERROR(VLOOKUP($G22,DanaSehat!$L$13:$AK$56,AA$4,FALSE))=TRUE,"",
              VLOOKUP($G22,DanaSehat!$L$13:$AK$56,AA$4,FALSE)))</f>
        <v/>
      </c>
      <c r="AB22" s="18" t="str">
        <f>IF(ISNUMBER($L$6)=FALSE,"",
        IF(ISERROR(VLOOKUP($G22,DanaSehat!$L$13:$AK$56,AB$4,FALSE))=TRUE,"",
              VLOOKUP($G22,DanaSehat!$L$13:$AK$56,AB$4,FALSE)))</f>
        <v/>
      </c>
      <c r="AC22" s="18" t="str">
        <f>IF(ISNUMBER($L$6)=FALSE,"",
        IF(ISERROR(VLOOKUP($G22,DanaSehat!$L$13:$AK$56,AC$4,FALSE))=TRUE,"",
              VLOOKUP($G22,DanaSehat!$L$13:$AK$56,AC$4,FALSE)))</f>
        <v/>
      </c>
      <c r="AD22" s="18" t="str">
        <f>IF(ISNUMBER($L$6)=FALSE,"",
        IF(ISERROR(VLOOKUP($G22,DanaSehat!$L$13:$AK$56,AD$4,FALSE))=TRUE,"",
              VLOOKUP($G22,DanaSehat!$L$13:$AK$56,AD$4,FALSE)))</f>
        <v/>
      </c>
      <c r="AE22" s="18" t="str">
        <f>IF(ISNUMBER($L$6)=FALSE,"",
        IF(ISERROR(VLOOKUP($G22,DanaSehat!$L$13:$AK$56,AE$4,FALSE))=TRUE,"",
              VLOOKUP($G22,DanaSehat!$L$13:$AK$56,AE$4,FALSE)))</f>
        <v/>
      </c>
      <c r="AF22" s="18" t="str">
        <f>IF(ISNUMBER($L$6)=FALSE,"",
        IF(ISERROR(VLOOKUP($G22,DanaSehat!$L$13:$AK$56,AF$4,FALSE))=TRUE,"",
              VLOOKUP($G22,DanaSehat!$L$13:$AK$56,AF$4,FALSE)))</f>
        <v/>
      </c>
    </row>
    <row r="23" spans="1:32" s="60" customFormat="1" ht="10.5" x14ac:dyDescent="0.25">
      <c r="A23" s="59"/>
      <c r="C23" s="59">
        <f t="shared" si="3"/>
        <v>10</v>
      </c>
      <c r="D23" s="61"/>
      <c r="E23" s="77" t="str">
        <f t="shared" si="4"/>
        <v/>
      </c>
      <c r="F23" s="77" t="str">
        <f>IF(ISNUMBER($L$6)=FALSE,"",
IF($C23=0,"",VLOOKUP($E23,DanaSehat!$H$13:$L$56,4,FALSE)))</f>
        <v/>
      </c>
      <c r="G23" s="77" t="str">
        <f>IF(ISNUMBER($L$6)=FALSE,"",
IF($C23=0,"",VLOOKUP($E23,DanaSehat!$H$13:$L$56,5,FALSE)))</f>
        <v/>
      </c>
      <c r="H23" s="17" t="str">
        <f t="shared" si="5"/>
        <v/>
      </c>
      <c r="I23" s="18" t="str">
        <f>IF(ISNUMBER($L$6)=FALSE,"",
        IF(ISERROR(VLOOKUP($G23,DanaSehat!$L$13:$AK$56,I$4,FALSE))=TRUE,"",
              VLOOKUP($G23,DanaSehat!$L$13:$AK$56,I$4,FALSE)))</f>
        <v/>
      </c>
      <c r="J23" s="18" t="str">
        <f>IF(ISNUMBER($L$6)=FALSE,"",
        IF(ISERROR(VLOOKUP($G23,DanaSehat!$L$13:$AK$56,J$4,FALSE))=TRUE,"",
              VLOOKUP($G23,DanaSehat!$L$13:$AK$56,J$4,FALSE)))</f>
        <v/>
      </c>
      <c r="K23" s="18" t="str">
        <f>IF(ISNUMBER($L$6)=FALSE,"",
        IF(ISERROR(VLOOKUP($G23,DanaSehat!$L$13:$AK$56,K$4,FALSE))=TRUE,"",
              VLOOKUP($G23,DanaSehat!$L$13:$AK$56,K$4,FALSE)))</f>
        <v/>
      </c>
      <c r="L23" s="18" t="str">
        <f>IF(ISNUMBER($L$6)=FALSE,"",
        IF(ISERROR(VLOOKUP($G23,DanaSehat!$L$13:$AK$56,L$4,FALSE))=TRUE,"",
              VLOOKUP($G23,DanaSehat!$L$13:$AK$56,L$4,FALSE)))</f>
        <v/>
      </c>
      <c r="M23" s="18" t="str">
        <f>IF(ISNUMBER($L$6)=FALSE,"",
        IF(ISERROR(VLOOKUP($G23,DanaSehat!$L$13:$AK$56,M$4,FALSE))=TRUE,"",
              VLOOKUP($G23,DanaSehat!$L$13:$AK$56,M$4,FALSE)))</f>
        <v/>
      </c>
      <c r="N23" s="18" t="str">
        <f>IF(ISNUMBER($L$6)=FALSE,"",
        IF(ISERROR(VLOOKUP($G23,DanaSehat!$L$13:$AK$56,N$4,FALSE))=TRUE,"",
              VLOOKUP($G23,DanaSehat!$L$13:$AK$56,N$4,FALSE)))</f>
        <v/>
      </c>
      <c r="O23" s="18" t="str">
        <f>IF(ISNUMBER($L$6)=FALSE,"",
        IF(ISERROR(VLOOKUP($G23,DanaSehat!$L$13:$AK$56,O$4,FALSE))=TRUE,"",
              VLOOKUP($G23,DanaSehat!$L$13:$AK$56,O$4,FALSE)))</f>
        <v/>
      </c>
      <c r="P23" s="18" t="str">
        <f>IF(ISNUMBER($L$6)=FALSE,"",
        IF(ISERROR(VLOOKUP($G23,DanaSehat!$L$13:$AK$56,P$4,FALSE))=TRUE,"",
              VLOOKUP($G23,DanaSehat!$L$13:$AK$56,P$4,FALSE)))</f>
        <v/>
      </c>
      <c r="Q23" s="18" t="str">
        <f>IF(ISNUMBER($L$6)=FALSE,"",
        IF(ISERROR(VLOOKUP($G23,DanaSehat!$L$13:$AK$56,Q$4,FALSE))=TRUE,"",
              VLOOKUP($G23,DanaSehat!$L$13:$AK$56,Q$4,FALSE)))</f>
        <v/>
      </c>
      <c r="R23" s="18" t="str">
        <f>IF(ISNUMBER($L$6)=FALSE,"",
        IF(ISERROR(VLOOKUP($G23,DanaSehat!$L$13:$AK$56,R$4,FALSE))=TRUE,"",
              VLOOKUP($G23,DanaSehat!$L$13:$AK$56,R$4,FALSE)))</f>
        <v/>
      </c>
      <c r="S23" s="18" t="str">
        <f>IF(ISNUMBER($L$6)=FALSE,"",
        IF(ISERROR(VLOOKUP($G23,DanaSehat!$L$13:$AK$56,S$4,FALSE))=TRUE,"",
              VLOOKUP($G23,DanaSehat!$L$13:$AK$56,S$4,FALSE)))</f>
        <v/>
      </c>
      <c r="T23" s="18" t="str">
        <f>IF(ISNUMBER($L$6)=FALSE,"",
        IF(ISERROR(VLOOKUP($G23,DanaSehat!$L$13:$AK$56,T$4,FALSE))=TRUE,"",
              VLOOKUP($G23,DanaSehat!$L$13:$AK$56,T$4,FALSE)))</f>
        <v/>
      </c>
      <c r="U23" s="18" t="str">
        <f>IF(ISNUMBER($L$6)=FALSE,"",
        IF(ISERROR(VLOOKUP($G23,DanaSehat!$L$13:$AK$56,U$4,FALSE))=TRUE,"",
              VLOOKUP($G23,DanaSehat!$L$13:$AK$56,U$4,FALSE)))</f>
        <v/>
      </c>
      <c r="V23" s="18" t="str">
        <f>IF(ISNUMBER($L$6)=FALSE,"",
        IF(ISERROR(VLOOKUP($G23,DanaSehat!$L$13:$AK$56,V$4,FALSE))=TRUE,"",
              VLOOKUP($G23,DanaSehat!$L$13:$AK$56,V$4,FALSE)))</f>
        <v/>
      </c>
      <c r="W23" s="18" t="str">
        <f>IF(ISNUMBER($L$6)=FALSE,"",
        IF(ISERROR(VLOOKUP($G23,DanaSehat!$L$13:$AK$56,W$4,FALSE))=TRUE,"",
              VLOOKUP($G23,DanaSehat!$L$13:$AK$56,W$4,FALSE)))</f>
        <v/>
      </c>
      <c r="X23" s="18" t="str">
        <f>IF(ISNUMBER($L$6)=FALSE,"",
        IF(ISERROR(VLOOKUP($G23,DanaSehat!$L$13:$AK$56,X$4,FALSE))=TRUE,"",
              VLOOKUP($G23,DanaSehat!$L$13:$AK$56,X$4,FALSE)))</f>
        <v/>
      </c>
      <c r="Y23" s="18" t="str">
        <f>IF(ISNUMBER($L$6)=FALSE,"",
        IF(ISERROR(VLOOKUP($G23,DanaSehat!$L$13:$AK$56,Y$4,FALSE))=TRUE,"",
              VLOOKUP($G23,DanaSehat!$L$13:$AK$56,Y$4,FALSE)))</f>
        <v/>
      </c>
      <c r="Z23" s="18" t="str">
        <f>IF(ISNUMBER($L$6)=FALSE,"",
        IF(ISERROR(VLOOKUP($G23,DanaSehat!$L$13:$AK$56,Z$4,FALSE))=TRUE,"",
              VLOOKUP($G23,DanaSehat!$L$13:$AK$56,Z$4,FALSE)))</f>
        <v/>
      </c>
      <c r="AA23" s="18" t="str">
        <f>IF(ISNUMBER($L$6)=FALSE,"",
        IF(ISERROR(VLOOKUP($G23,DanaSehat!$L$13:$AK$56,AA$4,FALSE))=TRUE,"",
              VLOOKUP($G23,DanaSehat!$L$13:$AK$56,AA$4,FALSE)))</f>
        <v/>
      </c>
      <c r="AB23" s="18" t="str">
        <f>IF(ISNUMBER($L$6)=FALSE,"",
        IF(ISERROR(VLOOKUP($G23,DanaSehat!$L$13:$AK$56,AB$4,FALSE))=TRUE,"",
              VLOOKUP($G23,DanaSehat!$L$13:$AK$56,AB$4,FALSE)))</f>
        <v/>
      </c>
      <c r="AC23" s="18" t="str">
        <f>IF(ISNUMBER($L$6)=FALSE,"",
        IF(ISERROR(VLOOKUP($G23,DanaSehat!$L$13:$AK$56,AC$4,FALSE))=TRUE,"",
              VLOOKUP($G23,DanaSehat!$L$13:$AK$56,AC$4,FALSE)))</f>
        <v/>
      </c>
      <c r="AD23" s="18" t="str">
        <f>IF(ISNUMBER($L$6)=FALSE,"",
        IF(ISERROR(VLOOKUP($G23,DanaSehat!$L$13:$AK$56,AD$4,FALSE))=TRUE,"",
              VLOOKUP($G23,DanaSehat!$L$13:$AK$56,AD$4,FALSE)))</f>
        <v/>
      </c>
      <c r="AE23" s="18" t="str">
        <f>IF(ISNUMBER($L$6)=FALSE,"",
        IF(ISERROR(VLOOKUP($G23,DanaSehat!$L$13:$AK$56,AE$4,FALSE))=TRUE,"",
              VLOOKUP($G23,DanaSehat!$L$13:$AK$56,AE$4,FALSE)))</f>
        <v/>
      </c>
      <c r="AF23" s="18" t="str">
        <f>IF(ISNUMBER($L$6)=FALSE,"",
        IF(ISERROR(VLOOKUP($G23,DanaSehat!$L$13:$AK$56,AF$4,FALSE))=TRUE,"",
              VLOOKUP($G23,DanaSehat!$L$13:$AK$56,AF$4,FALSE)))</f>
        <v/>
      </c>
    </row>
    <row r="24" spans="1:32" s="60" customFormat="1" ht="10.5" x14ac:dyDescent="0.25">
      <c r="A24" s="59"/>
      <c r="C24" s="59">
        <f t="shared" si="3"/>
        <v>11</v>
      </c>
      <c r="D24" s="61"/>
      <c r="E24" s="77" t="str">
        <f t="shared" si="4"/>
        <v/>
      </c>
      <c r="F24" s="77" t="str">
        <f>IF(ISNUMBER($L$6)=FALSE,"",
IF($C24=0,"",VLOOKUP($E24,DanaSehat!$H$13:$L$56,4,FALSE)))</f>
        <v/>
      </c>
      <c r="G24" s="77" t="str">
        <f>IF(ISNUMBER($L$6)=FALSE,"",
IF($C24=0,"",VLOOKUP($E24,DanaSehat!$H$13:$L$56,5,FALSE)))</f>
        <v/>
      </c>
      <c r="H24" s="17" t="str">
        <f t="shared" si="5"/>
        <v/>
      </c>
      <c r="I24" s="18" t="str">
        <f>IF(ISNUMBER($L$6)=FALSE,"",
        IF(ISERROR(VLOOKUP($G24,DanaSehat!$L$13:$AK$56,I$4,FALSE))=TRUE,"",
              VLOOKUP($G24,DanaSehat!$L$13:$AK$56,I$4,FALSE)))</f>
        <v/>
      </c>
      <c r="J24" s="18" t="str">
        <f>IF(ISNUMBER($L$6)=FALSE,"",
        IF(ISERROR(VLOOKUP($G24,DanaSehat!$L$13:$AK$56,J$4,FALSE))=TRUE,"",
              VLOOKUP($G24,DanaSehat!$L$13:$AK$56,J$4,FALSE)))</f>
        <v/>
      </c>
      <c r="K24" s="18" t="str">
        <f>IF(ISNUMBER($L$6)=FALSE,"",
        IF(ISERROR(VLOOKUP($G24,DanaSehat!$L$13:$AK$56,K$4,FALSE))=TRUE,"",
              VLOOKUP($G24,DanaSehat!$L$13:$AK$56,K$4,FALSE)))</f>
        <v/>
      </c>
      <c r="L24" s="18" t="str">
        <f>IF(ISNUMBER($L$6)=FALSE,"",
        IF(ISERROR(VLOOKUP($G24,DanaSehat!$L$13:$AK$56,L$4,FALSE))=TRUE,"",
              VLOOKUP($G24,DanaSehat!$L$13:$AK$56,L$4,FALSE)))</f>
        <v/>
      </c>
      <c r="M24" s="18" t="str">
        <f>IF(ISNUMBER($L$6)=FALSE,"",
        IF(ISERROR(VLOOKUP($G24,DanaSehat!$L$13:$AK$56,M$4,FALSE))=TRUE,"",
              VLOOKUP($G24,DanaSehat!$L$13:$AK$56,M$4,FALSE)))</f>
        <v/>
      </c>
      <c r="N24" s="18" t="str">
        <f>IF(ISNUMBER($L$6)=FALSE,"",
        IF(ISERROR(VLOOKUP($G24,DanaSehat!$L$13:$AK$56,N$4,FALSE))=TRUE,"",
              VLOOKUP($G24,DanaSehat!$L$13:$AK$56,N$4,FALSE)))</f>
        <v/>
      </c>
      <c r="O24" s="18" t="str">
        <f>IF(ISNUMBER($L$6)=FALSE,"",
        IF(ISERROR(VLOOKUP($G24,DanaSehat!$L$13:$AK$56,O$4,FALSE))=TRUE,"",
              VLOOKUP($G24,DanaSehat!$L$13:$AK$56,O$4,FALSE)))</f>
        <v/>
      </c>
      <c r="P24" s="18" t="str">
        <f>IF(ISNUMBER($L$6)=FALSE,"",
        IF(ISERROR(VLOOKUP($G24,DanaSehat!$L$13:$AK$56,P$4,FALSE))=TRUE,"",
              VLOOKUP($G24,DanaSehat!$L$13:$AK$56,P$4,FALSE)))</f>
        <v/>
      </c>
      <c r="Q24" s="18" t="str">
        <f>IF(ISNUMBER($L$6)=FALSE,"",
        IF(ISERROR(VLOOKUP($G24,DanaSehat!$L$13:$AK$56,Q$4,FALSE))=TRUE,"",
              VLOOKUP($G24,DanaSehat!$L$13:$AK$56,Q$4,FALSE)))</f>
        <v/>
      </c>
      <c r="R24" s="18" t="str">
        <f>IF(ISNUMBER($L$6)=FALSE,"",
        IF(ISERROR(VLOOKUP($G24,DanaSehat!$L$13:$AK$56,R$4,FALSE))=TRUE,"",
              VLOOKUP($G24,DanaSehat!$L$13:$AK$56,R$4,FALSE)))</f>
        <v/>
      </c>
      <c r="S24" s="18" t="str">
        <f>IF(ISNUMBER($L$6)=FALSE,"",
        IF(ISERROR(VLOOKUP($G24,DanaSehat!$L$13:$AK$56,S$4,FALSE))=TRUE,"",
              VLOOKUP($G24,DanaSehat!$L$13:$AK$56,S$4,FALSE)))</f>
        <v/>
      </c>
      <c r="T24" s="18" t="str">
        <f>IF(ISNUMBER($L$6)=FALSE,"",
        IF(ISERROR(VLOOKUP($G24,DanaSehat!$L$13:$AK$56,T$4,FALSE))=TRUE,"",
              VLOOKUP($G24,DanaSehat!$L$13:$AK$56,T$4,FALSE)))</f>
        <v/>
      </c>
      <c r="U24" s="18" t="str">
        <f>IF(ISNUMBER($L$6)=FALSE,"",
        IF(ISERROR(VLOOKUP($G24,DanaSehat!$L$13:$AK$56,U$4,FALSE))=TRUE,"",
              VLOOKUP($G24,DanaSehat!$L$13:$AK$56,U$4,FALSE)))</f>
        <v/>
      </c>
      <c r="V24" s="18" t="str">
        <f>IF(ISNUMBER($L$6)=FALSE,"",
        IF(ISERROR(VLOOKUP($G24,DanaSehat!$L$13:$AK$56,V$4,FALSE))=TRUE,"",
              VLOOKUP($G24,DanaSehat!$L$13:$AK$56,V$4,FALSE)))</f>
        <v/>
      </c>
      <c r="W24" s="18" t="str">
        <f>IF(ISNUMBER($L$6)=FALSE,"",
        IF(ISERROR(VLOOKUP($G24,DanaSehat!$L$13:$AK$56,W$4,FALSE))=TRUE,"",
              VLOOKUP($G24,DanaSehat!$L$13:$AK$56,W$4,FALSE)))</f>
        <v/>
      </c>
      <c r="X24" s="18" t="str">
        <f>IF(ISNUMBER($L$6)=FALSE,"",
        IF(ISERROR(VLOOKUP($G24,DanaSehat!$L$13:$AK$56,X$4,FALSE))=TRUE,"",
              VLOOKUP($G24,DanaSehat!$L$13:$AK$56,X$4,FALSE)))</f>
        <v/>
      </c>
      <c r="Y24" s="18" t="str">
        <f>IF(ISNUMBER($L$6)=FALSE,"",
        IF(ISERROR(VLOOKUP($G24,DanaSehat!$L$13:$AK$56,Y$4,FALSE))=TRUE,"",
              VLOOKUP($G24,DanaSehat!$L$13:$AK$56,Y$4,FALSE)))</f>
        <v/>
      </c>
      <c r="Z24" s="18" t="str">
        <f>IF(ISNUMBER($L$6)=FALSE,"",
        IF(ISERROR(VLOOKUP($G24,DanaSehat!$L$13:$AK$56,Z$4,FALSE))=TRUE,"",
              VLOOKUP($G24,DanaSehat!$L$13:$AK$56,Z$4,FALSE)))</f>
        <v/>
      </c>
      <c r="AA24" s="18" t="str">
        <f>IF(ISNUMBER($L$6)=FALSE,"",
        IF(ISERROR(VLOOKUP($G24,DanaSehat!$L$13:$AK$56,AA$4,FALSE))=TRUE,"",
              VLOOKUP($G24,DanaSehat!$L$13:$AK$56,AA$4,FALSE)))</f>
        <v/>
      </c>
      <c r="AB24" s="18" t="str">
        <f>IF(ISNUMBER($L$6)=FALSE,"",
        IF(ISERROR(VLOOKUP($G24,DanaSehat!$L$13:$AK$56,AB$4,FALSE))=TRUE,"",
              VLOOKUP($G24,DanaSehat!$L$13:$AK$56,AB$4,FALSE)))</f>
        <v/>
      </c>
      <c r="AC24" s="18" t="str">
        <f>IF(ISNUMBER($L$6)=FALSE,"",
        IF(ISERROR(VLOOKUP($G24,DanaSehat!$L$13:$AK$56,AC$4,FALSE))=TRUE,"",
              VLOOKUP($G24,DanaSehat!$L$13:$AK$56,AC$4,FALSE)))</f>
        <v/>
      </c>
      <c r="AD24" s="18" t="str">
        <f>IF(ISNUMBER($L$6)=FALSE,"",
        IF(ISERROR(VLOOKUP($G24,DanaSehat!$L$13:$AK$56,AD$4,FALSE))=TRUE,"",
              VLOOKUP($G24,DanaSehat!$L$13:$AK$56,AD$4,FALSE)))</f>
        <v/>
      </c>
      <c r="AE24" s="18" t="str">
        <f>IF(ISNUMBER($L$6)=FALSE,"",
        IF(ISERROR(VLOOKUP($G24,DanaSehat!$L$13:$AK$56,AE$4,FALSE))=TRUE,"",
              VLOOKUP($G24,DanaSehat!$L$13:$AK$56,AE$4,FALSE)))</f>
        <v/>
      </c>
      <c r="AF24" s="18" t="str">
        <f>IF(ISNUMBER($L$6)=FALSE,"",
        IF(ISERROR(VLOOKUP($G24,DanaSehat!$L$13:$AK$56,AF$4,FALSE))=TRUE,"",
              VLOOKUP($G24,DanaSehat!$L$13:$AK$56,AF$4,FALSE)))</f>
        <v/>
      </c>
    </row>
    <row r="25" spans="1:32" s="60" customFormat="1" ht="10.5" x14ac:dyDescent="0.25">
      <c r="A25" s="59"/>
      <c r="C25" s="59">
        <f t="shared" si="3"/>
        <v>12</v>
      </c>
      <c r="D25" s="61"/>
      <c r="E25" s="77" t="str">
        <f t="shared" si="4"/>
        <v/>
      </c>
      <c r="F25" s="77" t="str">
        <f>IF(ISNUMBER($L$6)=FALSE,"",
IF($C25=0,"",VLOOKUP($E25,DanaSehat!$H$13:$L$56,4,FALSE)))</f>
        <v/>
      </c>
      <c r="G25" s="77" t="str">
        <f>IF(ISNUMBER($L$6)=FALSE,"",
IF($C25=0,"",VLOOKUP($E25,DanaSehat!$H$13:$L$56,5,FALSE)))</f>
        <v/>
      </c>
      <c r="H25" s="17" t="str">
        <f t="shared" si="5"/>
        <v/>
      </c>
      <c r="I25" s="18" t="str">
        <f>IF(ISNUMBER($L$6)=FALSE,"",
        IF(ISERROR(VLOOKUP($G25,DanaSehat!$L$13:$AK$56,I$4,FALSE))=TRUE,"",
              VLOOKUP($G25,DanaSehat!$L$13:$AK$56,I$4,FALSE)))</f>
        <v/>
      </c>
      <c r="J25" s="18" t="str">
        <f>IF(ISNUMBER($L$6)=FALSE,"",
        IF(ISERROR(VLOOKUP($G25,DanaSehat!$L$13:$AK$56,J$4,FALSE))=TRUE,"",
              VLOOKUP($G25,DanaSehat!$L$13:$AK$56,J$4,FALSE)))</f>
        <v/>
      </c>
      <c r="K25" s="18" t="str">
        <f>IF(ISNUMBER($L$6)=FALSE,"",
        IF(ISERROR(VLOOKUP($G25,DanaSehat!$L$13:$AK$56,K$4,FALSE))=TRUE,"",
              VLOOKUP($G25,DanaSehat!$L$13:$AK$56,K$4,FALSE)))</f>
        <v/>
      </c>
      <c r="L25" s="18" t="str">
        <f>IF(ISNUMBER($L$6)=FALSE,"",
        IF(ISERROR(VLOOKUP($G25,DanaSehat!$L$13:$AK$56,L$4,FALSE))=TRUE,"",
              VLOOKUP($G25,DanaSehat!$L$13:$AK$56,L$4,FALSE)))</f>
        <v/>
      </c>
      <c r="M25" s="18" t="str">
        <f>IF(ISNUMBER($L$6)=FALSE,"",
        IF(ISERROR(VLOOKUP($G25,DanaSehat!$L$13:$AK$56,M$4,FALSE))=TRUE,"",
              VLOOKUP($G25,DanaSehat!$L$13:$AK$56,M$4,FALSE)))</f>
        <v/>
      </c>
      <c r="N25" s="18" t="str">
        <f>IF(ISNUMBER($L$6)=FALSE,"",
        IF(ISERROR(VLOOKUP($G25,DanaSehat!$L$13:$AK$56,N$4,FALSE))=TRUE,"",
              VLOOKUP($G25,DanaSehat!$L$13:$AK$56,N$4,FALSE)))</f>
        <v/>
      </c>
      <c r="O25" s="18" t="str">
        <f>IF(ISNUMBER($L$6)=FALSE,"",
        IF(ISERROR(VLOOKUP($G25,DanaSehat!$L$13:$AK$56,O$4,FALSE))=TRUE,"",
              VLOOKUP($G25,DanaSehat!$L$13:$AK$56,O$4,FALSE)))</f>
        <v/>
      </c>
      <c r="P25" s="18" t="str">
        <f>IF(ISNUMBER($L$6)=FALSE,"",
        IF(ISERROR(VLOOKUP($G25,DanaSehat!$L$13:$AK$56,P$4,FALSE))=TRUE,"",
              VLOOKUP($G25,DanaSehat!$L$13:$AK$56,P$4,FALSE)))</f>
        <v/>
      </c>
      <c r="Q25" s="18" t="str">
        <f>IF(ISNUMBER($L$6)=FALSE,"",
        IF(ISERROR(VLOOKUP($G25,DanaSehat!$L$13:$AK$56,Q$4,FALSE))=TRUE,"",
              VLOOKUP($G25,DanaSehat!$L$13:$AK$56,Q$4,FALSE)))</f>
        <v/>
      </c>
      <c r="R25" s="18" t="str">
        <f>IF(ISNUMBER($L$6)=FALSE,"",
        IF(ISERROR(VLOOKUP($G25,DanaSehat!$L$13:$AK$56,R$4,FALSE))=TRUE,"",
              VLOOKUP($G25,DanaSehat!$L$13:$AK$56,R$4,FALSE)))</f>
        <v/>
      </c>
      <c r="S25" s="18" t="str">
        <f>IF(ISNUMBER($L$6)=FALSE,"",
        IF(ISERROR(VLOOKUP($G25,DanaSehat!$L$13:$AK$56,S$4,FALSE))=TRUE,"",
              VLOOKUP($G25,DanaSehat!$L$13:$AK$56,S$4,FALSE)))</f>
        <v/>
      </c>
      <c r="T25" s="18" t="str">
        <f>IF(ISNUMBER($L$6)=FALSE,"",
        IF(ISERROR(VLOOKUP($G25,DanaSehat!$L$13:$AK$56,T$4,FALSE))=TRUE,"",
              VLOOKUP($G25,DanaSehat!$L$13:$AK$56,T$4,FALSE)))</f>
        <v/>
      </c>
      <c r="U25" s="18" t="str">
        <f>IF(ISNUMBER($L$6)=FALSE,"",
        IF(ISERROR(VLOOKUP($G25,DanaSehat!$L$13:$AK$56,U$4,FALSE))=TRUE,"",
              VLOOKUP($G25,DanaSehat!$L$13:$AK$56,U$4,FALSE)))</f>
        <v/>
      </c>
      <c r="V25" s="18" t="str">
        <f>IF(ISNUMBER($L$6)=FALSE,"",
        IF(ISERROR(VLOOKUP($G25,DanaSehat!$L$13:$AK$56,V$4,FALSE))=TRUE,"",
              VLOOKUP($G25,DanaSehat!$L$13:$AK$56,V$4,FALSE)))</f>
        <v/>
      </c>
      <c r="W25" s="18" t="str">
        <f>IF(ISNUMBER($L$6)=FALSE,"",
        IF(ISERROR(VLOOKUP($G25,DanaSehat!$L$13:$AK$56,W$4,FALSE))=TRUE,"",
              VLOOKUP($G25,DanaSehat!$L$13:$AK$56,W$4,FALSE)))</f>
        <v/>
      </c>
      <c r="X25" s="18" t="str">
        <f>IF(ISNUMBER($L$6)=FALSE,"",
        IF(ISERROR(VLOOKUP($G25,DanaSehat!$L$13:$AK$56,X$4,FALSE))=TRUE,"",
              VLOOKUP($G25,DanaSehat!$L$13:$AK$56,X$4,FALSE)))</f>
        <v/>
      </c>
      <c r="Y25" s="18" t="str">
        <f>IF(ISNUMBER($L$6)=FALSE,"",
        IF(ISERROR(VLOOKUP($G25,DanaSehat!$L$13:$AK$56,Y$4,FALSE))=TRUE,"",
              VLOOKUP($G25,DanaSehat!$L$13:$AK$56,Y$4,FALSE)))</f>
        <v/>
      </c>
      <c r="Z25" s="18" t="str">
        <f>IF(ISNUMBER($L$6)=FALSE,"",
        IF(ISERROR(VLOOKUP($G25,DanaSehat!$L$13:$AK$56,Z$4,FALSE))=TRUE,"",
              VLOOKUP($G25,DanaSehat!$L$13:$AK$56,Z$4,FALSE)))</f>
        <v/>
      </c>
      <c r="AA25" s="18" t="str">
        <f>IF(ISNUMBER($L$6)=FALSE,"",
        IF(ISERROR(VLOOKUP($G25,DanaSehat!$L$13:$AK$56,AA$4,FALSE))=TRUE,"",
              VLOOKUP($G25,DanaSehat!$L$13:$AK$56,AA$4,FALSE)))</f>
        <v/>
      </c>
      <c r="AB25" s="18" t="str">
        <f>IF(ISNUMBER($L$6)=FALSE,"",
        IF(ISERROR(VLOOKUP($G25,DanaSehat!$L$13:$AK$56,AB$4,FALSE))=TRUE,"",
              VLOOKUP($G25,DanaSehat!$L$13:$AK$56,AB$4,FALSE)))</f>
        <v/>
      </c>
      <c r="AC25" s="18" t="str">
        <f>IF(ISNUMBER($L$6)=FALSE,"",
        IF(ISERROR(VLOOKUP($G25,DanaSehat!$L$13:$AK$56,AC$4,FALSE))=TRUE,"",
              VLOOKUP($G25,DanaSehat!$L$13:$AK$56,AC$4,FALSE)))</f>
        <v/>
      </c>
      <c r="AD25" s="18" t="str">
        <f>IF(ISNUMBER($L$6)=FALSE,"",
        IF(ISERROR(VLOOKUP($G25,DanaSehat!$L$13:$AK$56,AD$4,FALSE))=TRUE,"",
              VLOOKUP($G25,DanaSehat!$L$13:$AK$56,AD$4,FALSE)))</f>
        <v/>
      </c>
      <c r="AE25" s="18" t="str">
        <f>IF(ISNUMBER($L$6)=FALSE,"",
        IF(ISERROR(VLOOKUP($G25,DanaSehat!$L$13:$AK$56,AE$4,FALSE))=TRUE,"",
              VLOOKUP($G25,DanaSehat!$L$13:$AK$56,AE$4,FALSE)))</f>
        <v/>
      </c>
      <c r="AF25" s="18" t="str">
        <f>IF(ISNUMBER($L$6)=FALSE,"",
        IF(ISERROR(VLOOKUP($G25,DanaSehat!$L$13:$AK$56,AF$4,FALSE))=TRUE,"",
              VLOOKUP($G25,DanaSehat!$L$13:$AK$56,AF$4,FALSE)))</f>
        <v/>
      </c>
    </row>
    <row r="26" spans="1:32" s="60" customFormat="1" ht="10.5" x14ac:dyDescent="0.25">
      <c r="A26" s="59"/>
      <c r="C26" s="59">
        <f t="shared" si="3"/>
        <v>13</v>
      </c>
      <c r="D26" s="61"/>
      <c r="E26" s="77" t="str">
        <f t="shared" si="4"/>
        <v/>
      </c>
      <c r="F26" s="77" t="str">
        <f>IF(ISNUMBER($L$6)=FALSE,"",
IF($C26=0,"",VLOOKUP($E26,DanaSehat!$H$13:$L$56,4,FALSE)))</f>
        <v/>
      </c>
      <c r="G26" s="77" t="str">
        <f>IF(ISNUMBER($L$6)=FALSE,"",
IF($C26=0,"",VLOOKUP($E26,DanaSehat!$H$13:$L$56,5,FALSE)))</f>
        <v/>
      </c>
      <c r="H26" s="17" t="str">
        <f t="shared" si="5"/>
        <v/>
      </c>
      <c r="I26" s="18" t="str">
        <f>IF(ISNUMBER($L$6)=FALSE,"",
        IF(ISERROR(VLOOKUP($G26,DanaSehat!$L$13:$AK$56,I$4,FALSE))=TRUE,"",
              VLOOKUP($G26,DanaSehat!$L$13:$AK$56,I$4,FALSE)))</f>
        <v/>
      </c>
      <c r="J26" s="18" t="str">
        <f>IF(ISNUMBER($L$6)=FALSE,"",
        IF(ISERROR(VLOOKUP($G26,DanaSehat!$L$13:$AK$56,J$4,FALSE))=TRUE,"",
              VLOOKUP($G26,DanaSehat!$L$13:$AK$56,J$4,FALSE)))</f>
        <v/>
      </c>
      <c r="K26" s="18" t="str">
        <f>IF(ISNUMBER($L$6)=FALSE,"",
        IF(ISERROR(VLOOKUP($G26,DanaSehat!$L$13:$AK$56,K$4,FALSE))=TRUE,"",
              VLOOKUP($G26,DanaSehat!$L$13:$AK$56,K$4,FALSE)))</f>
        <v/>
      </c>
      <c r="L26" s="18" t="str">
        <f>IF(ISNUMBER($L$6)=FALSE,"",
        IF(ISERROR(VLOOKUP($G26,DanaSehat!$L$13:$AK$56,L$4,FALSE))=TRUE,"",
              VLOOKUP($G26,DanaSehat!$L$13:$AK$56,L$4,FALSE)))</f>
        <v/>
      </c>
      <c r="M26" s="18" t="str">
        <f>IF(ISNUMBER($L$6)=FALSE,"",
        IF(ISERROR(VLOOKUP($G26,DanaSehat!$L$13:$AK$56,M$4,FALSE))=TRUE,"",
              VLOOKUP($G26,DanaSehat!$L$13:$AK$56,M$4,FALSE)))</f>
        <v/>
      </c>
      <c r="N26" s="18" t="str">
        <f>IF(ISNUMBER($L$6)=FALSE,"",
        IF(ISERROR(VLOOKUP($G26,DanaSehat!$L$13:$AK$56,N$4,FALSE))=TRUE,"",
              VLOOKUP($G26,DanaSehat!$L$13:$AK$56,N$4,FALSE)))</f>
        <v/>
      </c>
      <c r="O26" s="18" t="str">
        <f>IF(ISNUMBER($L$6)=FALSE,"",
        IF(ISERROR(VLOOKUP($G26,DanaSehat!$L$13:$AK$56,O$4,FALSE))=TRUE,"",
              VLOOKUP($G26,DanaSehat!$L$13:$AK$56,O$4,FALSE)))</f>
        <v/>
      </c>
      <c r="P26" s="18" t="str">
        <f>IF(ISNUMBER($L$6)=FALSE,"",
        IF(ISERROR(VLOOKUP($G26,DanaSehat!$L$13:$AK$56,P$4,FALSE))=TRUE,"",
              VLOOKUP($G26,DanaSehat!$L$13:$AK$56,P$4,FALSE)))</f>
        <v/>
      </c>
      <c r="Q26" s="18" t="str">
        <f>IF(ISNUMBER($L$6)=FALSE,"",
        IF(ISERROR(VLOOKUP($G26,DanaSehat!$L$13:$AK$56,Q$4,FALSE))=TRUE,"",
              VLOOKUP($G26,DanaSehat!$L$13:$AK$56,Q$4,FALSE)))</f>
        <v/>
      </c>
      <c r="R26" s="18" t="str">
        <f>IF(ISNUMBER($L$6)=FALSE,"",
        IF(ISERROR(VLOOKUP($G26,DanaSehat!$L$13:$AK$56,R$4,FALSE))=TRUE,"",
              VLOOKUP($G26,DanaSehat!$L$13:$AK$56,R$4,FALSE)))</f>
        <v/>
      </c>
      <c r="S26" s="18" t="str">
        <f>IF(ISNUMBER($L$6)=FALSE,"",
        IF(ISERROR(VLOOKUP($G26,DanaSehat!$L$13:$AK$56,S$4,FALSE))=TRUE,"",
              VLOOKUP($G26,DanaSehat!$L$13:$AK$56,S$4,FALSE)))</f>
        <v/>
      </c>
      <c r="T26" s="18" t="str">
        <f>IF(ISNUMBER($L$6)=FALSE,"",
        IF(ISERROR(VLOOKUP($G26,DanaSehat!$L$13:$AK$56,T$4,FALSE))=TRUE,"",
              VLOOKUP($G26,DanaSehat!$L$13:$AK$56,T$4,FALSE)))</f>
        <v/>
      </c>
      <c r="U26" s="18" t="str">
        <f>IF(ISNUMBER($L$6)=FALSE,"",
        IF(ISERROR(VLOOKUP($G26,DanaSehat!$L$13:$AK$56,U$4,FALSE))=TRUE,"",
              VLOOKUP($G26,DanaSehat!$L$13:$AK$56,U$4,FALSE)))</f>
        <v/>
      </c>
      <c r="V26" s="18" t="str">
        <f>IF(ISNUMBER($L$6)=FALSE,"",
        IF(ISERROR(VLOOKUP($G26,DanaSehat!$L$13:$AK$56,V$4,FALSE))=TRUE,"",
              VLOOKUP($G26,DanaSehat!$L$13:$AK$56,V$4,FALSE)))</f>
        <v/>
      </c>
      <c r="W26" s="18" t="str">
        <f>IF(ISNUMBER($L$6)=FALSE,"",
        IF(ISERROR(VLOOKUP($G26,DanaSehat!$L$13:$AK$56,W$4,FALSE))=TRUE,"",
              VLOOKUP($G26,DanaSehat!$L$13:$AK$56,W$4,FALSE)))</f>
        <v/>
      </c>
      <c r="X26" s="18" t="str">
        <f>IF(ISNUMBER($L$6)=FALSE,"",
        IF(ISERROR(VLOOKUP($G26,DanaSehat!$L$13:$AK$56,X$4,FALSE))=TRUE,"",
              VLOOKUP($G26,DanaSehat!$L$13:$AK$56,X$4,FALSE)))</f>
        <v/>
      </c>
      <c r="Y26" s="18" t="str">
        <f>IF(ISNUMBER($L$6)=FALSE,"",
        IF(ISERROR(VLOOKUP($G26,DanaSehat!$L$13:$AK$56,Y$4,FALSE))=TRUE,"",
              VLOOKUP($G26,DanaSehat!$L$13:$AK$56,Y$4,FALSE)))</f>
        <v/>
      </c>
      <c r="Z26" s="18" t="str">
        <f>IF(ISNUMBER($L$6)=FALSE,"",
        IF(ISERROR(VLOOKUP($G26,DanaSehat!$L$13:$AK$56,Z$4,FALSE))=TRUE,"",
              VLOOKUP($G26,DanaSehat!$L$13:$AK$56,Z$4,FALSE)))</f>
        <v/>
      </c>
      <c r="AA26" s="18" t="str">
        <f>IF(ISNUMBER($L$6)=FALSE,"",
        IF(ISERROR(VLOOKUP($G26,DanaSehat!$L$13:$AK$56,AA$4,FALSE))=TRUE,"",
              VLOOKUP($G26,DanaSehat!$L$13:$AK$56,AA$4,FALSE)))</f>
        <v/>
      </c>
      <c r="AB26" s="18" t="str">
        <f>IF(ISNUMBER($L$6)=FALSE,"",
        IF(ISERROR(VLOOKUP($G26,DanaSehat!$L$13:$AK$56,AB$4,FALSE))=TRUE,"",
              VLOOKUP($G26,DanaSehat!$L$13:$AK$56,AB$4,FALSE)))</f>
        <v/>
      </c>
      <c r="AC26" s="18" t="str">
        <f>IF(ISNUMBER($L$6)=FALSE,"",
        IF(ISERROR(VLOOKUP($G26,DanaSehat!$L$13:$AK$56,AC$4,FALSE))=TRUE,"",
              VLOOKUP($G26,DanaSehat!$L$13:$AK$56,AC$4,FALSE)))</f>
        <v/>
      </c>
      <c r="AD26" s="18" t="str">
        <f>IF(ISNUMBER($L$6)=FALSE,"",
        IF(ISERROR(VLOOKUP($G26,DanaSehat!$L$13:$AK$56,AD$4,FALSE))=TRUE,"",
              VLOOKUP($G26,DanaSehat!$L$13:$AK$56,AD$4,FALSE)))</f>
        <v/>
      </c>
      <c r="AE26" s="18" t="str">
        <f>IF(ISNUMBER($L$6)=FALSE,"",
        IF(ISERROR(VLOOKUP($G26,DanaSehat!$L$13:$AK$56,AE$4,FALSE))=TRUE,"",
              VLOOKUP($G26,DanaSehat!$L$13:$AK$56,AE$4,FALSE)))</f>
        <v/>
      </c>
      <c r="AF26" s="18" t="str">
        <f>IF(ISNUMBER($L$6)=FALSE,"",
        IF(ISERROR(VLOOKUP($G26,DanaSehat!$L$13:$AK$56,AF$4,FALSE))=TRUE,"",
              VLOOKUP($G26,DanaSehat!$L$13:$AK$56,AF$4,FALSE)))</f>
        <v/>
      </c>
    </row>
    <row r="27" spans="1:32" s="60" customFormat="1" ht="10.5" x14ac:dyDescent="0.25">
      <c r="A27" s="59"/>
      <c r="C27" s="59">
        <f t="shared" si="3"/>
        <v>14</v>
      </c>
      <c r="D27" s="61"/>
      <c r="E27" s="77" t="str">
        <f t="shared" si="4"/>
        <v/>
      </c>
      <c r="F27" s="77" t="str">
        <f>IF(ISNUMBER($L$6)=FALSE,"",
IF($C27=0,"",VLOOKUP($E27,DanaSehat!$H$13:$L$56,4,FALSE)))</f>
        <v/>
      </c>
      <c r="G27" s="77" t="str">
        <f>IF(ISNUMBER($L$6)=FALSE,"",
IF($C27=0,"",VLOOKUP($E27,DanaSehat!$H$13:$L$56,5,FALSE)))</f>
        <v/>
      </c>
      <c r="H27" s="17" t="str">
        <f t="shared" si="5"/>
        <v/>
      </c>
      <c r="I27" s="18" t="str">
        <f>IF(ISNUMBER($L$6)=FALSE,"",
        IF(ISERROR(VLOOKUP($G27,DanaSehat!$L$13:$AK$56,I$4,FALSE))=TRUE,"",
              VLOOKUP($G27,DanaSehat!$L$13:$AK$56,I$4,FALSE)))</f>
        <v/>
      </c>
      <c r="J27" s="18" t="str">
        <f>IF(ISNUMBER($L$6)=FALSE,"",
        IF(ISERROR(VLOOKUP($G27,DanaSehat!$L$13:$AK$56,J$4,FALSE))=TRUE,"",
              VLOOKUP($G27,DanaSehat!$L$13:$AK$56,J$4,FALSE)))</f>
        <v/>
      </c>
      <c r="K27" s="18" t="str">
        <f>IF(ISNUMBER($L$6)=FALSE,"",
        IF(ISERROR(VLOOKUP($G27,DanaSehat!$L$13:$AK$56,K$4,FALSE))=TRUE,"",
              VLOOKUP($G27,DanaSehat!$L$13:$AK$56,K$4,FALSE)))</f>
        <v/>
      </c>
      <c r="L27" s="18" t="str">
        <f>IF(ISNUMBER($L$6)=FALSE,"",
        IF(ISERROR(VLOOKUP($G27,DanaSehat!$L$13:$AK$56,L$4,FALSE))=TRUE,"",
              VLOOKUP($G27,DanaSehat!$L$13:$AK$56,L$4,FALSE)))</f>
        <v/>
      </c>
      <c r="M27" s="18" t="str">
        <f>IF(ISNUMBER($L$6)=FALSE,"",
        IF(ISERROR(VLOOKUP($G27,DanaSehat!$L$13:$AK$56,M$4,FALSE))=TRUE,"",
              VLOOKUP($G27,DanaSehat!$L$13:$AK$56,M$4,FALSE)))</f>
        <v/>
      </c>
      <c r="N27" s="18" t="str">
        <f>IF(ISNUMBER($L$6)=FALSE,"",
        IF(ISERROR(VLOOKUP($G27,DanaSehat!$L$13:$AK$56,N$4,FALSE))=TRUE,"",
              VLOOKUP($G27,DanaSehat!$L$13:$AK$56,N$4,FALSE)))</f>
        <v/>
      </c>
      <c r="O27" s="18" t="str">
        <f>IF(ISNUMBER($L$6)=FALSE,"",
        IF(ISERROR(VLOOKUP($G27,DanaSehat!$L$13:$AK$56,O$4,FALSE))=TRUE,"",
              VLOOKUP($G27,DanaSehat!$L$13:$AK$56,O$4,FALSE)))</f>
        <v/>
      </c>
      <c r="P27" s="18" t="str">
        <f>IF(ISNUMBER($L$6)=FALSE,"",
        IF(ISERROR(VLOOKUP($G27,DanaSehat!$L$13:$AK$56,P$4,FALSE))=TRUE,"",
              VLOOKUP($G27,DanaSehat!$L$13:$AK$56,P$4,FALSE)))</f>
        <v/>
      </c>
      <c r="Q27" s="18" t="str">
        <f>IF(ISNUMBER($L$6)=FALSE,"",
        IF(ISERROR(VLOOKUP($G27,DanaSehat!$L$13:$AK$56,Q$4,FALSE))=TRUE,"",
              VLOOKUP($G27,DanaSehat!$L$13:$AK$56,Q$4,FALSE)))</f>
        <v/>
      </c>
      <c r="R27" s="18" t="str">
        <f>IF(ISNUMBER($L$6)=FALSE,"",
        IF(ISERROR(VLOOKUP($G27,DanaSehat!$L$13:$AK$56,R$4,FALSE))=TRUE,"",
              VLOOKUP($G27,DanaSehat!$L$13:$AK$56,R$4,FALSE)))</f>
        <v/>
      </c>
      <c r="S27" s="18" t="str">
        <f>IF(ISNUMBER($L$6)=FALSE,"",
        IF(ISERROR(VLOOKUP($G27,DanaSehat!$L$13:$AK$56,S$4,FALSE))=TRUE,"",
              VLOOKUP($G27,DanaSehat!$L$13:$AK$56,S$4,FALSE)))</f>
        <v/>
      </c>
      <c r="T27" s="18" t="str">
        <f>IF(ISNUMBER($L$6)=FALSE,"",
        IF(ISERROR(VLOOKUP($G27,DanaSehat!$L$13:$AK$56,T$4,FALSE))=TRUE,"",
              VLOOKUP($G27,DanaSehat!$L$13:$AK$56,T$4,FALSE)))</f>
        <v/>
      </c>
      <c r="U27" s="18" t="str">
        <f>IF(ISNUMBER($L$6)=FALSE,"",
        IF(ISERROR(VLOOKUP($G27,DanaSehat!$L$13:$AK$56,U$4,FALSE))=TRUE,"",
              VLOOKUP($G27,DanaSehat!$L$13:$AK$56,U$4,FALSE)))</f>
        <v/>
      </c>
      <c r="V27" s="18" t="str">
        <f>IF(ISNUMBER($L$6)=FALSE,"",
        IF(ISERROR(VLOOKUP($G27,DanaSehat!$L$13:$AK$56,V$4,FALSE))=TRUE,"",
              VLOOKUP($G27,DanaSehat!$L$13:$AK$56,V$4,FALSE)))</f>
        <v/>
      </c>
      <c r="W27" s="18" t="str">
        <f>IF(ISNUMBER($L$6)=FALSE,"",
        IF(ISERROR(VLOOKUP($G27,DanaSehat!$L$13:$AK$56,W$4,FALSE))=TRUE,"",
              VLOOKUP($G27,DanaSehat!$L$13:$AK$56,W$4,FALSE)))</f>
        <v/>
      </c>
      <c r="X27" s="18" t="str">
        <f>IF(ISNUMBER($L$6)=FALSE,"",
        IF(ISERROR(VLOOKUP($G27,DanaSehat!$L$13:$AK$56,X$4,FALSE))=TRUE,"",
              VLOOKUP($G27,DanaSehat!$L$13:$AK$56,X$4,FALSE)))</f>
        <v/>
      </c>
      <c r="Y27" s="18" t="str">
        <f>IF(ISNUMBER($L$6)=FALSE,"",
        IF(ISERROR(VLOOKUP($G27,DanaSehat!$L$13:$AK$56,Y$4,FALSE))=TRUE,"",
              VLOOKUP($G27,DanaSehat!$L$13:$AK$56,Y$4,FALSE)))</f>
        <v/>
      </c>
      <c r="Z27" s="18" t="str">
        <f>IF(ISNUMBER($L$6)=FALSE,"",
        IF(ISERROR(VLOOKUP($G27,DanaSehat!$L$13:$AK$56,Z$4,FALSE))=TRUE,"",
              VLOOKUP($G27,DanaSehat!$L$13:$AK$56,Z$4,FALSE)))</f>
        <v/>
      </c>
      <c r="AA27" s="18" t="str">
        <f>IF(ISNUMBER($L$6)=FALSE,"",
        IF(ISERROR(VLOOKUP($G27,DanaSehat!$L$13:$AK$56,AA$4,FALSE))=TRUE,"",
              VLOOKUP($G27,DanaSehat!$L$13:$AK$56,AA$4,FALSE)))</f>
        <v/>
      </c>
      <c r="AB27" s="18" t="str">
        <f>IF(ISNUMBER($L$6)=FALSE,"",
        IF(ISERROR(VLOOKUP($G27,DanaSehat!$L$13:$AK$56,AB$4,FALSE))=TRUE,"",
              VLOOKUP($G27,DanaSehat!$L$13:$AK$56,AB$4,FALSE)))</f>
        <v/>
      </c>
      <c r="AC27" s="18" t="str">
        <f>IF(ISNUMBER($L$6)=FALSE,"",
        IF(ISERROR(VLOOKUP($G27,DanaSehat!$L$13:$AK$56,AC$4,FALSE))=TRUE,"",
              VLOOKUP($G27,DanaSehat!$L$13:$AK$56,AC$4,FALSE)))</f>
        <v/>
      </c>
      <c r="AD27" s="18" t="str">
        <f>IF(ISNUMBER($L$6)=FALSE,"",
        IF(ISERROR(VLOOKUP($G27,DanaSehat!$L$13:$AK$56,AD$4,FALSE))=TRUE,"",
              VLOOKUP($G27,DanaSehat!$L$13:$AK$56,AD$4,FALSE)))</f>
        <v/>
      </c>
      <c r="AE27" s="18" t="str">
        <f>IF(ISNUMBER($L$6)=FALSE,"",
        IF(ISERROR(VLOOKUP($G27,DanaSehat!$L$13:$AK$56,AE$4,FALSE))=TRUE,"",
              VLOOKUP($G27,DanaSehat!$L$13:$AK$56,AE$4,FALSE)))</f>
        <v/>
      </c>
      <c r="AF27" s="18" t="str">
        <f>IF(ISNUMBER($L$6)=FALSE,"",
        IF(ISERROR(VLOOKUP($G27,DanaSehat!$L$13:$AK$56,AF$4,FALSE))=TRUE,"",
              VLOOKUP($G27,DanaSehat!$L$13:$AK$56,AF$4,FALSE)))</f>
        <v/>
      </c>
    </row>
    <row r="28" spans="1:32" s="60" customFormat="1" ht="10.5" x14ac:dyDescent="0.25">
      <c r="A28" s="59"/>
      <c r="C28" s="59">
        <f t="shared" si="3"/>
        <v>15</v>
      </c>
      <c r="D28" s="61"/>
      <c r="E28" s="77" t="str">
        <f t="shared" si="4"/>
        <v/>
      </c>
      <c r="F28" s="77" t="str">
        <f>IF(ISNUMBER($L$6)=FALSE,"",
IF($C28=0,"",VLOOKUP($E28,DanaSehat!$H$13:$L$56,4,FALSE)))</f>
        <v/>
      </c>
      <c r="G28" s="77" t="str">
        <f>IF(ISNUMBER($L$6)=FALSE,"",
IF($C28=0,"",VLOOKUP($E28,DanaSehat!$H$13:$L$56,5,FALSE)))</f>
        <v/>
      </c>
      <c r="H28" s="17" t="str">
        <f t="shared" si="5"/>
        <v/>
      </c>
      <c r="I28" s="18" t="str">
        <f>IF(ISNUMBER($L$6)=FALSE,"",
        IF(ISERROR(VLOOKUP($G28,DanaSehat!$L$13:$AK$56,I$4,FALSE))=TRUE,"",
              VLOOKUP($G28,DanaSehat!$L$13:$AK$56,I$4,FALSE)))</f>
        <v/>
      </c>
      <c r="J28" s="18" t="str">
        <f>IF(ISNUMBER($L$6)=FALSE,"",
        IF(ISERROR(VLOOKUP($G28,DanaSehat!$L$13:$AK$56,J$4,FALSE))=TRUE,"",
              VLOOKUP($G28,DanaSehat!$L$13:$AK$56,J$4,FALSE)))</f>
        <v/>
      </c>
      <c r="K28" s="18" t="str">
        <f>IF(ISNUMBER($L$6)=FALSE,"",
        IF(ISERROR(VLOOKUP($G28,DanaSehat!$L$13:$AK$56,K$4,FALSE))=TRUE,"",
              VLOOKUP($G28,DanaSehat!$L$13:$AK$56,K$4,FALSE)))</f>
        <v/>
      </c>
      <c r="L28" s="18" t="str">
        <f>IF(ISNUMBER($L$6)=FALSE,"",
        IF(ISERROR(VLOOKUP($G28,DanaSehat!$L$13:$AK$56,L$4,FALSE))=TRUE,"",
              VLOOKUP($G28,DanaSehat!$L$13:$AK$56,L$4,FALSE)))</f>
        <v/>
      </c>
      <c r="M28" s="18" t="str">
        <f>IF(ISNUMBER($L$6)=FALSE,"",
        IF(ISERROR(VLOOKUP($G28,DanaSehat!$L$13:$AK$56,M$4,FALSE))=TRUE,"",
              VLOOKUP($G28,DanaSehat!$L$13:$AK$56,M$4,FALSE)))</f>
        <v/>
      </c>
      <c r="N28" s="18" t="str">
        <f>IF(ISNUMBER($L$6)=FALSE,"",
        IF(ISERROR(VLOOKUP($G28,DanaSehat!$L$13:$AK$56,N$4,FALSE))=TRUE,"",
              VLOOKUP($G28,DanaSehat!$L$13:$AK$56,N$4,FALSE)))</f>
        <v/>
      </c>
      <c r="O28" s="18" t="str">
        <f>IF(ISNUMBER($L$6)=FALSE,"",
        IF(ISERROR(VLOOKUP($G28,DanaSehat!$L$13:$AK$56,O$4,FALSE))=TRUE,"",
              VLOOKUP($G28,DanaSehat!$L$13:$AK$56,O$4,FALSE)))</f>
        <v/>
      </c>
      <c r="P28" s="18" t="str">
        <f>IF(ISNUMBER($L$6)=FALSE,"",
        IF(ISERROR(VLOOKUP($G28,DanaSehat!$L$13:$AK$56,P$4,FALSE))=TRUE,"",
              VLOOKUP($G28,DanaSehat!$L$13:$AK$56,P$4,FALSE)))</f>
        <v/>
      </c>
      <c r="Q28" s="18" t="str">
        <f>IF(ISNUMBER($L$6)=FALSE,"",
        IF(ISERROR(VLOOKUP($G28,DanaSehat!$L$13:$AK$56,Q$4,FALSE))=TRUE,"",
              VLOOKUP($G28,DanaSehat!$L$13:$AK$56,Q$4,FALSE)))</f>
        <v/>
      </c>
      <c r="R28" s="18" t="str">
        <f>IF(ISNUMBER($L$6)=FALSE,"",
        IF(ISERROR(VLOOKUP($G28,DanaSehat!$L$13:$AK$56,R$4,FALSE))=TRUE,"",
              VLOOKUP($G28,DanaSehat!$L$13:$AK$56,R$4,FALSE)))</f>
        <v/>
      </c>
      <c r="S28" s="18" t="str">
        <f>IF(ISNUMBER($L$6)=FALSE,"",
        IF(ISERROR(VLOOKUP($G28,DanaSehat!$L$13:$AK$56,S$4,FALSE))=TRUE,"",
              VLOOKUP($G28,DanaSehat!$L$13:$AK$56,S$4,FALSE)))</f>
        <v/>
      </c>
      <c r="T28" s="18" t="str">
        <f>IF(ISNUMBER($L$6)=FALSE,"",
        IF(ISERROR(VLOOKUP($G28,DanaSehat!$L$13:$AK$56,T$4,FALSE))=TRUE,"",
              VLOOKUP($G28,DanaSehat!$L$13:$AK$56,T$4,FALSE)))</f>
        <v/>
      </c>
      <c r="U28" s="18" t="str">
        <f>IF(ISNUMBER($L$6)=FALSE,"",
        IF(ISERROR(VLOOKUP($G28,DanaSehat!$L$13:$AK$56,U$4,FALSE))=TRUE,"",
              VLOOKUP($G28,DanaSehat!$L$13:$AK$56,U$4,FALSE)))</f>
        <v/>
      </c>
      <c r="V28" s="18" t="str">
        <f>IF(ISNUMBER($L$6)=FALSE,"",
        IF(ISERROR(VLOOKUP($G28,DanaSehat!$L$13:$AK$56,V$4,FALSE))=TRUE,"",
              VLOOKUP($G28,DanaSehat!$L$13:$AK$56,V$4,FALSE)))</f>
        <v/>
      </c>
      <c r="W28" s="18" t="str">
        <f>IF(ISNUMBER($L$6)=FALSE,"",
        IF(ISERROR(VLOOKUP($G28,DanaSehat!$L$13:$AK$56,W$4,FALSE))=TRUE,"",
              VLOOKUP($G28,DanaSehat!$L$13:$AK$56,W$4,FALSE)))</f>
        <v/>
      </c>
      <c r="X28" s="18" t="str">
        <f>IF(ISNUMBER($L$6)=FALSE,"",
        IF(ISERROR(VLOOKUP($G28,DanaSehat!$L$13:$AK$56,X$4,FALSE))=TRUE,"",
              VLOOKUP($G28,DanaSehat!$L$13:$AK$56,X$4,FALSE)))</f>
        <v/>
      </c>
      <c r="Y28" s="18" t="str">
        <f>IF(ISNUMBER($L$6)=FALSE,"",
        IF(ISERROR(VLOOKUP($G28,DanaSehat!$L$13:$AK$56,Y$4,FALSE))=TRUE,"",
              VLOOKUP($G28,DanaSehat!$L$13:$AK$56,Y$4,FALSE)))</f>
        <v/>
      </c>
      <c r="Z28" s="18" t="str">
        <f>IF(ISNUMBER($L$6)=FALSE,"",
        IF(ISERROR(VLOOKUP($G28,DanaSehat!$L$13:$AK$56,Z$4,FALSE))=TRUE,"",
              VLOOKUP($G28,DanaSehat!$L$13:$AK$56,Z$4,FALSE)))</f>
        <v/>
      </c>
      <c r="AA28" s="18" t="str">
        <f>IF(ISNUMBER($L$6)=FALSE,"",
        IF(ISERROR(VLOOKUP($G28,DanaSehat!$L$13:$AK$56,AA$4,FALSE))=TRUE,"",
              VLOOKUP($G28,DanaSehat!$L$13:$AK$56,AA$4,FALSE)))</f>
        <v/>
      </c>
      <c r="AB28" s="18" t="str">
        <f>IF(ISNUMBER($L$6)=FALSE,"",
        IF(ISERROR(VLOOKUP($G28,DanaSehat!$L$13:$AK$56,AB$4,FALSE))=TRUE,"",
              VLOOKUP($G28,DanaSehat!$L$13:$AK$56,AB$4,FALSE)))</f>
        <v/>
      </c>
      <c r="AC28" s="18" t="str">
        <f>IF(ISNUMBER($L$6)=FALSE,"",
        IF(ISERROR(VLOOKUP($G28,DanaSehat!$L$13:$AK$56,AC$4,FALSE))=TRUE,"",
              VLOOKUP($G28,DanaSehat!$L$13:$AK$56,AC$4,FALSE)))</f>
        <v/>
      </c>
      <c r="AD28" s="18" t="str">
        <f>IF(ISNUMBER($L$6)=FALSE,"",
        IF(ISERROR(VLOOKUP($G28,DanaSehat!$L$13:$AK$56,AD$4,FALSE))=TRUE,"",
              VLOOKUP($G28,DanaSehat!$L$13:$AK$56,AD$4,FALSE)))</f>
        <v/>
      </c>
      <c r="AE28" s="18" t="str">
        <f>IF(ISNUMBER($L$6)=FALSE,"",
        IF(ISERROR(VLOOKUP($G28,DanaSehat!$L$13:$AK$56,AE$4,FALSE))=TRUE,"",
              VLOOKUP($G28,DanaSehat!$L$13:$AK$56,AE$4,FALSE)))</f>
        <v/>
      </c>
      <c r="AF28" s="18" t="str">
        <f>IF(ISNUMBER($L$6)=FALSE,"",
        IF(ISERROR(VLOOKUP($G28,DanaSehat!$L$13:$AK$56,AF$4,FALSE))=TRUE,"",
              VLOOKUP($G28,DanaSehat!$L$13:$AK$56,AF$4,FALSE)))</f>
        <v/>
      </c>
    </row>
    <row r="29" spans="1:32" s="60" customFormat="1" ht="10.5" x14ac:dyDescent="0.25">
      <c r="A29" s="59"/>
      <c r="C29" s="59">
        <f t="shared" si="3"/>
        <v>16</v>
      </c>
      <c r="D29" s="61"/>
      <c r="E29" s="77" t="str">
        <f t="shared" si="4"/>
        <v/>
      </c>
      <c r="F29" s="77" t="str">
        <f>IF(ISNUMBER($L$6)=FALSE,"",
IF($C29=0,"",VLOOKUP($E29,DanaSehat!$H$13:$L$56,4,FALSE)))</f>
        <v/>
      </c>
      <c r="G29" s="77" t="str">
        <f>IF(ISNUMBER($L$6)=FALSE,"",
IF($C29=0,"",VLOOKUP($E29,DanaSehat!$H$13:$L$56,5,FALSE)))</f>
        <v/>
      </c>
      <c r="H29" s="17" t="str">
        <f t="shared" si="5"/>
        <v/>
      </c>
      <c r="I29" s="18" t="str">
        <f>IF(ISNUMBER($L$6)=FALSE,"",
        IF(ISERROR(VLOOKUP($G29,DanaSehat!$L$13:$AK$56,I$4,FALSE))=TRUE,"",
              VLOOKUP($G29,DanaSehat!$L$13:$AK$56,I$4,FALSE)))</f>
        <v/>
      </c>
      <c r="J29" s="18" t="str">
        <f>IF(ISNUMBER($L$6)=FALSE,"",
        IF(ISERROR(VLOOKUP($G29,DanaSehat!$L$13:$AK$56,J$4,FALSE))=TRUE,"",
              VLOOKUP($G29,DanaSehat!$L$13:$AK$56,J$4,FALSE)))</f>
        <v/>
      </c>
      <c r="K29" s="18" t="str">
        <f>IF(ISNUMBER($L$6)=FALSE,"",
        IF(ISERROR(VLOOKUP($G29,DanaSehat!$L$13:$AK$56,K$4,FALSE))=TRUE,"",
              VLOOKUP($G29,DanaSehat!$L$13:$AK$56,K$4,FALSE)))</f>
        <v/>
      </c>
      <c r="L29" s="18" t="str">
        <f>IF(ISNUMBER($L$6)=FALSE,"",
        IF(ISERROR(VLOOKUP($G29,DanaSehat!$L$13:$AK$56,L$4,FALSE))=TRUE,"",
              VLOOKUP($G29,DanaSehat!$L$13:$AK$56,L$4,FALSE)))</f>
        <v/>
      </c>
      <c r="M29" s="18" t="str">
        <f>IF(ISNUMBER($L$6)=FALSE,"",
        IF(ISERROR(VLOOKUP($G29,DanaSehat!$L$13:$AK$56,M$4,FALSE))=TRUE,"",
              VLOOKUP($G29,DanaSehat!$L$13:$AK$56,M$4,FALSE)))</f>
        <v/>
      </c>
      <c r="N29" s="18" t="str">
        <f>IF(ISNUMBER($L$6)=FALSE,"",
        IF(ISERROR(VLOOKUP($G29,DanaSehat!$L$13:$AK$56,N$4,FALSE))=TRUE,"",
              VLOOKUP($G29,DanaSehat!$L$13:$AK$56,N$4,FALSE)))</f>
        <v/>
      </c>
      <c r="O29" s="18" t="str">
        <f>IF(ISNUMBER($L$6)=FALSE,"",
        IF(ISERROR(VLOOKUP($G29,DanaSehat!$L$13:$AK$56,O$4,FALSE))=TRUE,"",
              VLOOKUP($G29,DanaSehat!$L$13:$AK$56,O$4,FALSE)))</f>
        <v/>
      </c>
      <c r="P29" s="18" t="str">
        <f>IF(ISNUMBER($L$6)=FALSE,"",
        IF(ISERROR(VLOOKUP($G29,DanaSehat!$L$13:$AK$56,P$4,FALSE))=TRUE,"",
              VLOOKUP($G29,DanaSehat!$L$13:$AK$56,P$4,FALSE)))</f>
        <v/>
      </c>
      <c r="Q29" s="18" t="str">
        <f>IF(ISNUMBER($L$6)=FALSE,"",
        IF(ISERROR(VLOOKUP($G29,DanaSehat!$L$13:$AK$56,Q$4,FALSE))=TRUE,"",
              VLOOKUP($G29,DanaSehat!$L$13:$AK$56,Q$4,FALSE)))</f>
        <v/>
      </c>
      <c r="R29" s="18" t="str">
        <f>IF(ISNUMBER($L$6)=FALSE,"",
        IF(ISERROR(VLOOKUP($G29,DanaSehat!$L$13:$AK$56,R$4,FALSE))=TRUE,"",
              VLOOKUP($G29,DanaSehat!$L$13:$AK$56,R$4,FALSE)))</f>
        <v/>
      </c>
      <c r="S29" s="18" t="str">
        <f>IF(ISNUMBER($L$6)=FALSE,"",
        IF(ISERROR(VLOOKUP($G29,DanaSehat!$L$13:$AK$56,S$4,FALSE))=TRUE,"",
              VLOOKUP($G29,DanaSehat!$L$13:$AK$56,S$4,FALSE)))</f>
        <v/>
      </c>
      <c r="T29" s="18" t="str">
        <f>IF(ISNUMBER($L$6)=FALSE,"",
        IF(ISERROR(VLOOKUP($G29,DanaSehat!$L$13:$AK$56,T$4,FALSE))=TRUE,"",
              VLOOKUP($G29,DanaSehat!$L$13:$AK$56,T$4,FALSE)))</f>
        <v/>
      </c>
      <c r="U29" s="18" t="str">
        <f>IF(ISNUMBER($L$6)=FALSE,"",
        IF(ISERROR(VLOOKUP($G29,DanaSehat!$L$13:$AK$56,U$4,FALSE))=TRUE,"",
              VLOOKUP($G29,DanaSehat!$L$13:$AK$56,U$4,FALSE)))</f>
        <v/>
      </c>
      <c r="V29" s="18" t="str">
        <f>IF(ISNUMBER($L$6)=FALSE,"",
        IF(ISERROR(VLOOKUP($G29,DanaSehat!$L$13:$AK$56,V$4,FALSE))=TRUE,"",
              VLOOKUP($G29,DanaSehat!$L$13:$AK$56,V$4,FALSE)))</f>
        <v/>
      </c>
      <c r="W29" s="18" t="str">
        <f>IF(ISNUMBER($L$6)=FALSE,"",
        IF(ISERROR(VLOOKUP($G29,DanaSehat!$L$13:$AK$56,W$4,FALSE))=TRUE,"",
              VLOOKUP($G29,DanaSehat!$L$13:$AK$56,W$4,FALSE)))</f>
        <v/>
      </c>
      <c r="X29" s="18" t="str">
        <f>IF(ISNUMBER($L$6)=FALSE,"",
        IF(ISERROR(VLOOKUP($G29,DanaSehat!$L$13:$AK$56,X$4,FALSE))=TRUE,"",
              VLOOKUP($G29,DanaSehat!$L$13:$AK$56,X$4,FALSE)))</f>
        <v/>
      </c>
      <c r="Y29" s="18" t="str">
        <f>IF(ISNUMBER($L$6)=FALSE,"",
        IF(ISERROR(VLOOKUP($G29,DanaSehat!$L$13:$AK$56,Y$4,FALSE))=TRUE,"",
              VLOOKUP($G29,DanaSehat!$L$13:$AK$56,Y$4,FALSE)))</f>
        <v/>
      </c>
      <c r="Z29" s="18" t="str">
        <f>IF(ISNUMBER($L$6)=FALSE,"",
        IF(ISERROR(VLOOKUP($G29,DanaSehat!$L$13:$AK$56,Z$4,FALSE))=TRUE,"",
              VLOOKUP($G29,DanaSehat!$L$13:$AK$56,Z$4,FALSE)))</f>
        <v/>
      </c>
      <c r="AA29" s="18" t="str">
        <f>IF(ISNUMBER($L$6)=FALSE,"",
        IF(ISERROR(VLOOKUP($G29,DanaSehat!$L$13:$AK$56,AA$4,FALSE))=TRUE,"",
              VLOOKUP($G29,DanaSehat!$L$13:$AK$56,AA$4,FALSE)))</f>
        <v/>
      </c>
      <c r="AB29" s="18" t="str">
        <f>IF(ISNUMBER($L$6)=FALSE,"",
        IF(ISERROR(VLOOKUP($G29,DanaSehat!$L$13:$AK$56,AB$4,FALSE))=TRUE,"",
              VLOOKUP($G29,DanaSehat!$L$13:$AK$56,AB$4,FALSE)))</f>
        <v/>
      </c>
      <c r="AC29" s="18" t="str">
        <f>IF(ISNUMBER($L$6)=FALSE,"",
        IF(ISERROR(VLOOKUP($G29,DanaSehat!$L$13:$AK$56,AC$4,FALSE))=TRUE,"",
              VLOOKUP($G29,DanaSehat!$L$13:$AK$56,AC$4,FALSE)))</f>
        <v/>
      </c>
      <c r="AD29" s="18" t="str">
        <f>IF(ISNUMBER($L$6)=FALSE,"",
        IF(ISERROR(VLOOKUP($G29,DanaSehat!$L$13:$AK$56,AD$4,FALSE))=TRUE,"",
              VLOOKUP($G29,DanaSehat!$L$13:$AK$56,AD$4,FALSE)))</f>
        <v/>
      </c>
      <c r="AE29" s="18" t="str">
        <f>IF(ISNUMBER($L$6)=FALSE,"",
        IF(ISERROR(VLOOKUP($G29,DanaSehat!$L$13:$AK$56,AE$4,FALSE))=TRUE,"",
              VLOOKUP($G29,DanaSehat!$L$13:$AK$56,AE$4,FALSE)))</f>
        <v/>
      </c>
      <c r="AF29" s="18" t="str">
        <f>IF(ISNUMBER($L$6)=FALSE,"",
        IF(ISERROR(VLOOKUP($G29,DanaSehat!$L$13:$AK$56,AF$4,FALSE))=TRUE,"",
              VLOOKUP($G29,DanaSehat!$L$13:$AK$56,AF$4,FALSE)))</f>
        <v/>
      </c>
    </row>
    <row r="30" spans="1:32" s="60" customFormat="1" ht="10.5" x14ac:dyDescent="0.25">
      <c r="A30" s="59"/>
      <c r="C30" s="59">
        <f t="shared" si="3"/>
        <v>17</v>
      </c>
      <c r="D30" s="61"/>
      <c r="E30" s="77" t="str">
        <f t="shared" si="4"/>
        <v/>
      </c>
      <c r="F30" s="77" t="str">
        <f>IF(ISNUMBER($L$6)=FALSE,"",
IF($C30=0,"",VLOOKUP($E30,DanaSehat!$H$13:$L$56,4,FALSE)))</f>
        <v/>
      </c>
      <c r="G30" s="77" t="str">
        <f>IF(ISNUMBER($L$6)=FALSE,"",
IF($C30=0,"",VLOOKUP($E30,DanaSehat!$H$13:$L$56,5,FALSE)))</f>
        <v/>
      </c>
      <c r="H30" s="17" t="str">
        <f t="shared" si="5"/>
        <v/>
      </c>
      <c r="I30" s="18" t="str">
        <f>IF(ISNUMBER($L$6)=FALSE,"",
        IF(ISERROR(VLOOKUP($G30,DanaSehat!$L$13:$AK$56,I$4,FALSE))=TRUE,"",
              VLOOKUP($G30,DanaSehat!$L$13:$AK$56,I$4,FALSE)))</f>
        <v/>
      </c>
      <c r="J30" s="18" t="str">
        <f>IF(ISNUMBER($L$6)=FALSE,"",
        IF(ISERROR(VLOOKUP($G30,DanaSehat!$L$13:$AK$56,J$4,FALSE))=TRUE,"",
              VLOOKUP($G30,DanaSehat!$L$13:$AK$56,J$4,FALSE)))</f>
        <v/>
      </c>
      <c r="K30" s="18" t="str">
        <f>IF(ISNUMBER($L$6)=FALSE,"",
        IF(ISERROR(VLOOKUP($G30,DanaSehat!$L$13:$AK$56,K$4,FALSE))=TRUE,"",
              VLOOKUP($G30,DanaSehat!$L$13:$AK$56,K$4,FALSE)))</f>
        <v/>
      </c>
      <c r="L30" s="18" t="str">
        <f>IF(ISNUMBER($L$6)=FALSE,"",
        IF(ISERROR(VLOOKUP($G30,DanaSehat!$L$13:$AK$56,L$4,FALSE))=TRUE,"",
              VLOOKUP($G30,DanaSehat!$L$13:$AK$56,L$4,FALSE)))</f>
        <v/>
      </c>
      <c r="M30" s="18" t="str">
        <f>IF(ISNUMBER($L$6)=FALSE,"",
        IF(ISERROR(VLOOKUP($G30,DanaSehat!$L$13:$AK$56,M$4,FALSE))=TRUE,"",
              VLOOKUP($G30,DanaSehat!$L$13:$AK$56,M$4,FALSE)))</f>
        <v/>
      </c>
      <c r="N30" s="18" t="str">
        <f>IF(ISNUMBER($L$6)=FALSE,"",
        IF(ISERROR(VLOOKUP($G30,DanaSehat!$L$13:$AK$56,N$4,FALSE))=TRUE,"",
              VLOOKUP($G30,DanaSehat!$L$13:$AK$56,N$4,FALSE)))</f>
        <v/>
      </c>
      <c r="O30" s="18" t="str">
        <f>IF(ISNUMBER($L$6)=FALSE,"",
        IF(ISERROR(VLOOKUP($G30,DanaSehat!$L$13:$AK$56,O$4,FALSE))=TRUE,"",
              VLOOKUP($G30,DanaSehat!$L$13:$AK$56,O$4,FALSE)))</f>
        <v/>
      </c>
      <c r="P30" s="18" t="str">
        <f>IF(ISNUMBER($L$6)=FALSE,"",
        IF(ISERROR(VLOOKUP($G30,DanaSehat!$L$13:$AK$56,P$4,FALSE))=TRUE,"",
              VLOOKUP($G30,DanaSehat!$L$13:$AK$56,P$4,FALSE)))</f>
        <v/>
      </c>
      <c r="Q30" s="18" t="str">
        <f>IF(ISNUMBER($L$6)=FALSE,"",
        IF(ISERROR(VLOOKUP($G30,DanaSehat!$L$13:$AK$56,Q$4,FALSE))=TRUE,"",
              VLOOKUP($G30,DanaSehat!$L$13:$AK$56,Q$4,FALSE)))</f>
        <v/>
      </c>
      <c r="R30" s="18" t="str">
        <f>IF(ISNUMBER($L$6)=FALSE,"",
        IF(ISERROR(VLOOKUP($G30,DanaSehat!$L$13:$AK$56,R$4,FALSE))=TRUE,"",
              VLOOKUP($G30,DanaSehat!$L$13:$AK$56,R$4,FALSE)))</f>
        <v/>
      </c>
      <c r="S30" s="18" t="str">
        <f>IF(ISNUMBER($L$6)=FALSE,"",
        IF(ISERROR(VLOOKUP($G30,DanaSehat!$L$13:$AK$56,S$4,FALSE))=TRUE,"",
              VLOOKUP($G30,DanaSehat!$L$13:$AK$56,S$4,FALSE)))</f>
        <v/>
      </c>
      <c r="T30" s="18" t="str">
        <f>IF(ISNUMBER($L$6)=FALSE,"",
        IF(ISERROR(VLOOKUP($G30,DanaSehat!$L$13:$AK$56,T$4,FALSE))=TRUE,"",
              VLOOKUP($G30,DanaSehat!$L$13:$AK$56,T$4,FALSE)))</f>
        <v/>
      </c>
      <c r="U30" s="18" t="str">
        <f>IF(ISNUMBER($L$6)=FALSE,"",
        IF(ISERROR(VLOOKUP($G30,DanaSehat!$L$13:$AK$56,U$4,FALSE))=TRUE,"",
              VLOOKUP($G30,DanaSehat!$L$13:$AK$56,U$4,FALSE)))</f>
        <v/>
      </c>
      <c r="V30" s="18" t="str">
        <f>IF(ISNUMBER($L$6)=FALSE,"",
        IF(ISERROR(VLOOKUP($G30,DanaSehat!$L$13:$AK$56,V$4,FALSE))=TRUE,"",
              VLOOKUP($G30,DanaSehat!$L$13:$AK$56,V$4,FALSE)))</f>
        <v/>
      </c>
      <c r="W30" s="18" t="str">
        <f>IF(ISNUMBER($L$6)=FALSE,"",
        IF(ISERROR(VLOOKUP($G30,DanaSehat!$L$13:$AK$56,W$4,FALSE))=TRUE,"",
              VLOOKUP($G30,DanaSehat!$L$13:$AK$56,W$4,FALSE)))</f>
        <v/>
      </c>
      <c r="X30" s="18" t="str">
        <f>IF(ISNUMBER($L$6)=FALSE,"",
        IF(ISERROR(VLOOKUP($G30,DanaSehat!$L$13:$AK$56,X$4,FALSE))=TRUE,"",
              VLOOKUP($G30,DanaSehat!$L$13:$AK$56,X$4,FALSE)))</f>
        <v/>
      </c>
      <c r="Y30" s="18" t="str">
        <f>IF(ISNUMBER($L$6)=FALSE,"",
        IF(ISERROR(VLOOKUP($G30,DanaSehat!$L$13:$AK$56,Y$4,FALSE))=TRUE,"",
              VLOOKUP($G30,DanaSehat!$L$13:$AK$56,Y$4,FALSE)))</f>
        <v/>
      </c>
      <c r="Z30" s="18" t="str">
        <f>IF(ISNUMBER($L$6)=FALSE,"",
        IF(ISERROR(VLOOKUP($G30,DanaSehat!$L$13:$AK$56,Z$4,FALSE))=TRUE,"",
              VLOOKUP($G30,DanaSehat!$L$13:$AK$56,Z$4,FALSE)))</f>
        <v/>
      </c>
      <c r="AA30" s="18" t="str">
        <f>IF(ISNUMBER($L$6)=FALSE,"",
        IF(ISERROR(VLOOKUP($G30,DanaSehat!$L$13:$AK$56,AA$4,FALSE))=TRUE,"",
              VLOOKUP($G30,DanaSehat!$L$13:$AK$56,AA$4,FALSE)))</f>
        <v/>
      </c>
      <c r="AB30" s="18" t="str">
        <f>IF(ISNUMBER($L$6)=FALSE,"",
        IF(ISERROR(VLOOKUP($G30,DanaSehat!$L$13:$AK$56,AB$4,FALSE))=TRUE,"",
              VLOOKUP($G30,DanaSehat!$L$13:$AK$56,AB$4,FALSE)))</f>
        <v/>
      </c>
      <c r="AC30" s="18" t="str">
        <f>IF(ISNUMBER($L$6)=FALSE,"",
        IF(ISERROR(VLOOKUP($G30,DanaSehat!$L$13:$AK$56,AC$4,FALSE))=TRUE,"",
              VLOOKUP($G30,DanaSehat!$L$13:$AK$56,AC$4,FALSE)))</f>
        <v/>
      </c>
      <c r="AD30" s="18" t="str">
        <f>IF(ISNUMBER($L$6)=FALSE,"",
        IF(ISERROR(VLOOKUP($G30,DanaSehat!$L$13:$AK$56,AD$4,FALSE))=TRUE,"",
              VLOOKUP($G30,DanaSehat!$L$13:$AK$56,AD$4,FALSE)))</f>
        <v/>
      </c>
      <c r="AE30" s="18" t="str">
        <f>IF(ISNUMBER($L$6)=FALSE,"",
        IF(ISERROR(VLOOKUP($G30,DanaSehat!$L$13:$AK$56,AE$4,FALSE))=TRUE,"",
              VLOOKUP($G30,DanaSehat!$L$13:$AK$56,AE$4,FALSE)))</f>
        <v/>
      </c>
      <c r="AF30" s="18" t="str">
        <f>IF(ISNUMBER($L$6)=FALSE,"",
        IF(ISERROR(VLOOKUP($G30,DanaSehat!$L$13:$AK$56,AF$4,FALSE))=TRUE,"",
              VLOOKUP($G30,DanaSehat!$L$13:$AK$56,AF$4,FALSE)))</f>
        <v/>
      </c>
    </row>
    <row r="31" spans="1:32" s="60" customFormat="1" ht="10.5" x14ac:dyDescent="0.25">
      <c r="A31" s="59"/>
      <c r="C31" s="59">
        <f t="shared" si="3"/>
        <v>18</v>
      </c>
      <c r="D31" s="61"/>
      <c r="E31" s="77" t="str">
        <f t="shared" si="4"/>
        <v/>
      </c>
      <c r="F31" s="77" t="str">
        <f>IF(ISNUMBER($L$6)=FALSE,"",
IF($C31=0,"",VLOOKUP($E31,DanaSehat!$H$13:$L$56,4,FALSE)))</f>
        <v/>
      </c>
      <c r="G31" s="77" t="str">
        <f>IF(ISNUMBER($L$6)=FALSE,"",
IF($C31=0,"",VLOOKUP($E31,DanaSehat!$H$13:$L$56,5,FALSE)))</f>
        <v/>
      </c>
      <c r="H31" s="17" t="str">
        <f t="shared" si="5"/>
        <v/>
      </c>
      <c r="I31" s="18" t="str">
        <f>IF(ISNUMBER($L$6)=FALSE,"",
        IF(ISERROR(VLOOKUP($G31,DanaSehat!$L$13:$AK$56,I$4,FALSE))=TRUE,"",
              VLOOKUP($G31,DanaSehat!$L$13:$AK$56,I$4,FALSE)))</f>
        <v/>
      </c>
      <c r="J31" s="18" t="str">
        <f>IF(ISNUMBER($L$6)=FALSE,"",
        IF(ISERROR(VLOOKUP($G31,DanaSehat!$L$13:$AK$56,J$4,FALSE))=TRUE,"",
              VLOOKUP($G31,DanaSehat!$L$13:$AK$56,J$4,FALSE)))</f>
        <v/>
      </c>
      <c r="K31" s="18" t="str">
        <f>IF(ISNUMBER($L$6)=FALSE,"",
        IF(ISERROR(VLOOKUP($G31,DanaSehat!$L$13:$AK$56,K$4,FALSE))=TRUE,"",
              VLOOKUP($G31,DanaSehat!$L$13:$AK$56,K$4,FALSE)))</f>
        <v/>
      </c>
      <c r="L31" s="18" t="str">
        <f>IF(ISNUMBER($L$6)=FALSE,"",
        IF(ISERROR(VLOOKUP($G31,DanaSehat!$L$13:$AK$56,L$4,FALSE))=TRUE,"",
              VLOOKUP($G31,DanaSehat!$L$13:$AK$56,L$4,FALSE)))</f>
        <v/>
      </c>
      <c r="M31" s="18" t="str">
        <f>IF(ISNUMBER($L$6)=FALSE,"",
        IF(ISERROR(VLOOKUP($G31,DanaSehat!$L$13:$AK$56,M$4,FALSE))=TRUE,"",
              VLOOKUP($G31,DanaSehat!$L$13:$AK$56,M$4,FALSE)))</f>
        <v/>
      </c>
      <c r="N31" s="18" t="str">
        <f>IF(ISNUMBER($L$6)=FALSE,"",
        IF(ISERROR(VLOOKUP($G31,DanaSehat!$L$13:$AK$56,N$4,FALSE))=TRUE,"",
              VLOOKUP($G31,DanaSehat!$L$13:$AK$56,N$4,FALSE)))</f>
        <v/>
      </c>
      <c r="O31" s="18" t="str">
        <f>IF(ISNUMBER($L$6)=FALSE,"",
        IF(ISERROR(VLOOKUP($G31,DanaSehat!$L$13:$AK$56,O$4,FALSE))=TRUE,"",
              VLOOKUP($G31,DanaSehat!$L$13:$AK$56,O$4,FALSE)))</f>
        <v/>
      </c>
      <c r="P31" s="18" t="str">
        <f>IF(ISNUMBER($L$6)=FALSE,"",
        IF(ISERROR(VLOOKUP($G31,DanaSehat!$L$13:$AK$56,P$4,FALSE))=TRUE,"",
              VLOOKUP($G31,DanaSehat!$L$13:$AK$56,P$4,FALSE)))</f>
        <v/>
      </c>
      <c r="Q31" s="18" t="str">
        <f>IF(ISNUMBER($L$6)=FALSE,"",
        IF(ISERROR(VLOOKUP($G31,DanaSehat!$L$13:$AK$56,Q$4,FALSE))=TRUE,"",
              VLOOKUP($G31,DanaSehat!$L$13:$AK$56,Q$4,FALSE)))</f>
        <v/>
      </c>
      <c r="R31" s="18" t="str">
        <f>IF(ISNUMBER($L$6)=FALSE,"",
        IF(ISERROR(VLOOKUP($G31,DanaSehat!$L$13:$AK$56,R$4,FALSE))=TRUE,"",
              VLOOKUP($G31,DanaSehat!$L$13:$AK$56,R$4,FALSE)))</f>
        <v/>
      </c>
      <c r="S31" s="18" t="str">
        <f>IF(ISNUMBER($L$6)=FALSE,"",
        IF(ISERROR(VLOOKUP($G31,DanaSehat!$L$13:$AK$56,S$4,FALSE))=TRUE,"",
              VLOOKUP($G31,DanaSehat!$L$13:$AK$56,S$4,FALSE)))</f>
        <v/>
      </c>
      <c r="T31" s="18" t="str">
        <f>IF(ISNUMBER($L$6)=FALSE,"",
        IF(ISERROR(VLOOKUP($G31,DanaSehat!$L$13:$AK$56,T$4,FALSE))=TRUE,"",
              VLOOKUP($G31,DanaSehat!$L$13:$AK$56,T$4,FALSE)))</f>
        <v/>
      </c>
      <c r="U31" s="18" t="str">
        <f>IF(ISNUMBER($L$6)=FALSE,"",
        IF(ISERROR(VLOOKUP($G31,DanaSehat!$L$13:$AK$56,U$4,FALSE))=TRUE,"",
              VLOOKUP($G31,DanaSehat!$L$13:$AK$56,U$4,FALSE)))</f>
        <v/>
      </c>
      <c r="V31" s="18" t="str">
        <f>IF(ISNUMBER($L$6)=FALSE,"",
        IF(ISERROR(VLOOKUP($G31,DanaSehat!$L$13:$AK$56,V$4,FALSE))=TRUE,"",
              VLOOKUP($G31,DanaSehat!$L$13:$AK$56,V$4,FALSE)))</f>
        <v/>
      </c>
      <c r="W31" s="18" t="str">
        <f>IF(ISNUMBER($L$6)=FALSE,"",
        IF(ISERROR(VLOOKUP($G31,DanaSehat!$L$13:$AK$56,W$4,FALSE))=TRUE,"",
              VLOOKUP($G31,DanaSehat!$L$13:$AK$56,W$4,FALSE)))</f>
        <v/>
      </c>
      <c r="X31" s="18" t="str">
        <f>IF(ISNUMBER($L$6)=FALSE,"",
        IF(ISERROR(VLOOKUP($G31,DanaSehat!$L$13:$AK$56,X$4,FALSE))=TRUE,"",
              VLOOKUP($G31,DanaSehat!$L$13:$AK$56,X$4,FALSE)))</f>
        <v/>
      </c>
      <c r="Y31" s="18" t="str">
        <f>IF(ISNUMBER($L$6)=FALSE,"",
        IF(ISERROR(VLOOKUP($G31,DanaSehat!$L$13:$AK$56,Y$4,FALSE))=TRUE,"",
              VLOOKUP($G31,DanaSehat!$L$13:$AK$56,Y$4,FALSE)))</f>
        <v/>
      </c>
      <c r="Z31" s="18" t="str">
        <f>IF(ISNUMBER($L$6)=FALSE,"",
        IF(ISERROR(VLOOKUP($G31,DanaSehat!$L$13:$AK$56,Z$4,FALSE))=TRUE,"",
              VLOOKUP($G31,DanaSehat!$L$13:$AK$56,Z$4,FALSE)))</f>
        <v/>
      </c>
      <c r="AA31" s="18" t="str">
        <f>IF(ISNUMBER($L$6)=FALSE,"",
        IF(ISERROR(VLOOKUP($G31,DanaSehat!$L$13:$AK$56,AA$4,FALSE))=TRUE,"",
              VLOOKUP($G31,DanaSehat!$L$13:$AK$56,AA$4,FALSE)))</f>
        <v/>
      </c>
      <c r="AB31" s="18" t="str">
        <f>IF(ISNUMBER($L$6)=FALSE,"",
        IF(ISERROR(VLOOKUP($G31,DanaSehat!$L$13:$AK$56,AB$4,FALSE))=TRUE,"",
              VLOOKUP($G31,DanaSehat!$L$13:$AK$56,AB$4,FALSE)))</f>
        <v/>
      </c>
      <c r="AC31" s="18" t="str">
        <f>IF(ISNUMBER($L$6)=FALSE,"",
        IF(ISERROR(VLOOKUP($G31,DanaSehat!$L$13:$AK$56,AC$4,FALSE))=TRUE,"",
              VLOOKUP($G31,DanaSehat!$L$13:$AK$56,AC$4,FALSE)))</f>
        <v/>
      </c>
      <c r="AD31" s="18" t="str">
        <f>IF(ISNUMBER($L$6)=FALSE,"",
        IF(ISERROR(VLOOKUP($G31,DanaSehat!$L$13:$AK$56,AD$4,FALSE))=TRUE,"",
              VLOOKUP($G31,DanaSehat!$L$13:$AK$56,AD$4,FALSE)))</f>
        <v/>
      </c>
      <c r="AE31" s="18" t="str">
        <f>IF(ISNUMBER($L$6)=FALSE,"",
        IF(ISERROR(VLOOKUP($G31,DanaSehat!$L$13:$AK$56,AE$4,FALSE))=TRUE,"",
              VLOOKUP($G31,DanaSehat!$L$13:$AK$56,AE$4,FALSE)))</f>
        <v/>
      </c>
      <c r="AF31" s="18" t="str">
        <f>IF(ISNUMBER($L$6)=FALSE,"",
        IF(ISERROR(VLOOKUP($G31,DanaSehat!$L$13:$AK$56,AF$4,FALSE))=TRUE,"",
              VLOOKUP($G31,DanaSehat!$L$13:$AK$56,AF$4,FALSE)))</f>
        <v/>
      </c>
    </row>
    <row r="32" spans="1:32" s="60" customFormat="1" ht="10.5" x14ac:dyDescent="0.25">
      <c r="A32" s="59"/>
      <c r="C32" s="59">
        <f t="shared" si="3"/>
        <v>19</v>
      </c>
      <c r="D32" s="61"/>
      <c r="E32" s="77" t="str">
        <f t="shared" si="4"/>
        <v/>
      </c>
      <c r="F32" s="77" t="str">
        <f>IF(ISNUMBER($L$6)=FALSE,"",
IF($C32=0,"",VLOOKUP($E32,DanaSehat!$H$13:$L$56,4,FALSE)))</f>
        <v/>
      </c>
      <c r="G32" s="77" t="str">
        <f>IF(ISNUMBER($L$6)=FALSE,"",
IF($C32=0,"",VLOOKUP($E32,DanaSehat!$H$13:$L$56,5,FALSE)))</f>
        <v/>
      </c>
      <c r="H32" s="17" t="str">
        <f t="shared" si="5"/>
        <v/>
      </c>
      <c r="I32" s="18" t="str">
        <f>IF(ISNUMBER($L$6)=FALSE,"",
        IF(ISERROR(VLOOKUP($G32,DanaSehat!$L$13:$AK$56,I$4,FALSE))=TRUE,"",
              VLOOKUP($G32,DanaSehat!$L$13:$AK$56,I$4,FALSE)))</f>
        <v/>
      </c>
      <c r="J32" s="18" t="str">
        <f>IF(ISNUMBER($L$6)=FALSE,"",
        IF(ISERROR(VLOOKUP($G32,DanaSehat!$L$13:$AK$56,J$4,FALSE))=TRUE,"",
              VLOOKUP($G32,DanaSehat!$L$13:$AK$56,J$4,FALSE)))</f>
        <v/>
      </c>
      <c r="K32" s="18" t="str">
        <f>IF(ISNUMBER($L$6)=FALSE,"",
        IF(ISERROR(VLOOKUP($G32,DanaSehat!$L$13:$AK$56,K$4,FALSE))=TRUE,"",
              VLOOKUP($G32,DanaSehat!$L$13:$AK$56,K$4,FALSE)))</f>
        <v/>
      </c>
      <c r="L32" s="18" t="str">
        <f>IF(ISNUMBER($L$6)=FALSE,"",
        IF(ISERROR(VLOOKUP($G32,DanaSehat!$L$13:$AK$56,L$4,FALSE))=TRUE,"",
              VLOOKUP($G32,DanaSehat!$L$13:$AK$56,L$4,FALSE)))</f>
        <v/>
      </c>
      <c r="M32" s="18" t="str">
        <f>IF(ISNUMBER($L$6)=FALSE,"",
        IF(ISERROR(VLOOKUP($G32,DanaSehat!$L$13:$AK$56,M$4,FALSE))=TRUE,"",
              VLOOKUP($G32,DanaSehat!$L$13:$AK$56,M$4,FALSE)))</f>
        <v/>
      </c>
      <c r="N32" s="18" t="str">
        <f>IF(ISNUMBER($L$6)=FALSE,"",
        IF(ISERROR(VLOOKUP($G32,DanaSehat!$L$13:$AK$56,N$4,FALSE))=TRUE,"",
              VLOOKUP($G32,DanaSehat!$L$13:$AK$56,N$4,FALSE)))</f>
        <v/>
      </c>
      <c r="O32" s="18" t="str">
        <f>IF(ISNUMBER($L$6)=FALSE,"",
        IF(ISERROR(VLOOKUP($G32,DanaSehat!$L$13:$AK$56,O$4,FALSE))=TRUE,"",
              VLOOKUP($G32,DanaSehat!$L$13:$AK$56,O$4,FALSE)))</f>
        <v/>
      </c>
      <c r="P32" s="18" t="str">
        <f>IF(ISNUMBER($L$6)=FALSE,"",
        IF(ISERROR(VLOOKUP($G32,DanaSehat!$L$13:$AK$56,P$4,FALSE))=TRUE,"",
              VLOOKUP($G32,DanaSehat!$L$13:$AK$56,P$4,FALSE)))</f>
        <v/>
      </c>
      <c r="Q32" s="18" t="str">
        <f>IF(ISNUMBER($L$6)=FALSE,"",
        IF(ISERROR(VLOOKUP($G32,DanaSehat!$L$13:$AK$56,Q$4,FALSE))=TRUE,"",
              VLOOKUP($G32,DanaSehat!$L$13:$AK$56,Q$4,FALSE)))</f>
        <v/>
      </c>
      <c r="R32" s="18" t="str">
        <f>IF(ISNUMBER($L$6)=FALSE,"",
        IF(ISERROR(VLOOKUP($G32,DanaSehat!$L$13:$AK$56,R$4,FALSE))=TRUE,"",
              VLOOKUP($G32,DanaSehat!$L$13:$AK$56,R$4,FALSE)))</f>
        <v/>
      </c>
      <c r="S32" s="18" t="str">
        <f>IF(ISNUMBER($L$6)=FALSE,"",
        IF(ISERROR(VLOOKUP($G32,DanaSehat!$L$13:$AK$56,S$4,FALSE))=TRUE,"",
              VLOOKUP($G32,DanaSehat!$L$13:$AK$56,S$4,FALSE)))</f>
        <v/>
      </c>
      <c r="T32" s="18" t="str">
        <f>IF(ISNUMBER($L$6)=FALSE,"",
        IF(ISERROR(VLOOKUP($G32,DanaSehat!$L$13:$AK$56,T$4,FALSE))=TRUE,"",
              VLOOKUP($G32,DanaSehat!$L$13:$AK$56,T$4,FALSE)))</f>
        <v/>
      </c>
      <c r="U32" s="18" t="str">
        <f>IF(ISNUMBER($L$6)=FALSE,"",
        IF(ISERROR(VLOOKUP($G32,DanaSehat!$L$13:$AK$56,U$4,FALSE))=TRUE,"",
              VLOOKUP($G32,DanaSehat!$L$13:$AK$56,U$4,FALSE)))</f>
        <v/>
      </c>
      <c r="V32" s="18" t="str">
        <f>IF(ISNUMBER($L$6)=FALSE,"",
        IF(ISERROR(VLOOKUP($G32,DanaSehat!$L$13:$AK$56,V$4,FALSE))=TRUE,"",
              VLOOKUP($G32,DanaSehat!$L$13:$AK$56,V$4,FALSE)))</f>
        <v/>
      </c>
      <c r="W32" s="18" t="str">
        <f>IF(ISNUMBER($L$6)=FALSE,"",
        IF(ISERROR(VLOOKUP($G32,DanaSehat!$L$13:$AK$56,W$4,FALSE))=TRUE,"",
              VLOOKUP($G32,DanaSehat!$L$13:$AK$56,W$4,FALSE)))</f>
        <v/>
      </c>
      <c r="X32" s="18" t="str">
        <f>IF(ISNUMBER($L$6)=FALSE,"",
        IF(ISERROR(VLOOKUP($G32,DanaSehat!$L$13:$AK$56,X$4,FALSE))=TRUE,"",
              VLOOKUP($G32,DanaSehat!$L$13:$AK$56,X$4,FALSE)))</f>
        <v/>
      </c>
      <c r="Y32" s="18" t="str">
        <f>IF(ISNUMBER($L$6)=FALSE,"",
        IF(ISERROR(VLOOKUP($G32,DanaSehat!$L$13:$AK$56,Y$4,FALSE))=TRUE,"",
              VLOOKUP($G32,DanaSehat!$L$13:$AK$56,Y$4,FALSE)))</f>
        <v/>
      </c>
      <c r="Z32" s="18" t="str">
        <f>IF(ISNUMBER($L$6)=FALSE,"",
        IF(ISERROR(VLOOKUP($G32,DanaSehat!$L$13:$AK$56,Z$4,FALSE))=TRUE,"",
              VLOOKUP($G32,DanaSehat!$L$13:$AK$56,Z$4,FALSE)))</f>
        <v/>
      </c>
      <c r="AA32" s="18" t="str">
        <f>IF(ISNUMBER($L$6)=FALSE,"",
        IF(ISERROR(VLOOKUP($G32,DanaSehat!$L$13:$AK$56,AA$4,FALSE))=TRUE,"",
              VLOOKUP($G32,DanaSehat!$L$13:$AK$56,AA$4,FALSE)))</f>
        <v/>
      </c>
      <c r="AB32" s="18" t="str">
        <f>IF(ISNUMBER($L$6)=FALSE,"",
        IF(ISERROR(VLOOKUP($G32,DanaSehat!$L$13:$AK$56,AB$4,FALSE))=TRUE,"",
              VLOOKUP($G32,DanaSehat!$L$13:$AK$56,AB$4,FALSE)))</f>
        <v/>
      </c>
      <c r="AC32" s="18" t="str">
        <f>IF(ISNUMBER($L$6)=FALSE,"",
        IF(ISERROR(VLOOKUP($G32,DanaSehat!$L$13:$AK$56,AC$4,FALSE))=TRUE,"",
              VLOOKUP($G32,DanaSehat!$L$13:$AK$56,AC$4,FALSE)))</f>
        <v/>
      </c>
      <c r="AD32" s="18" t="str">
        <f>IF(ISNUMBER($L$6)=FALSE,"",
        IF(ISERROR(VLOOKUP($G32,DanaSehat!$L$13:$AK$56,AD$4,FALSE))=TRUE,"",
              VLOOKUP($G32,DanaSehat!$L$13:$AK$56,AD$4,FALSE)))</f>
        <v/>
      </c>
      <c r="AE32" s="18" t="str">
        <f>IF(ISNUMBER($L$6)=FALSE,"",
        IF(ISERROR(VLOOKUP($G32,DanaSehat!$L$13:$AK$56,AE$4,FALSE))=TRUE,"",
              VLOOKUP($G32,DanaSehat!$L$13:$AK$56,AE$4,FALSE)))</f>
        <v/>
      </c>
      <c r="AF32" s="18" t="str">
        <f>IF(ISNUMBER($L$6)=FALSE,"",
        IF(ISERROR(VLOOKUP($G32,DanaSehat!$L$13:$AK$56,AF$4,FALSE))=TRUE,"",
              VLOOKUP($G32,DanaSehat!$L$13:$AK$56,AF$4,FALSE)))</f>
        <v/>
      </c>
    </row>
    <row r="33" spans="1:32" s="60" customFormat="1" ht="10.5" x14ac:dyDescent="0.25">
      <c r="A33" s="59"/>
      <c r="C33" s="59">
        <f t="shared" si="3"/>
        <v>20</v>
      </c>
      <c r="D33" s="61"/>
      <c r="E33" s="77" t="str">
        <f t="shared" si="4"/>
        <v/>
      </c>
      <c r="F33" s="77" t="str">
        <f>IF(ISNUMBER($L$6)=FALSE,"",
IF($C33=0,"",VLOOKUP($E33,DanaSehat!$H$13:$L$56,4,FALSE)))</f>
        <v/>
      </c>
      <c r="G33" s="77" t="str">
        <f>IF(ISNUMBER($L$6)=FALSE,"",
IF($C33=0,"",VLOOKUP($E33,DanaSehat!$H$13:$L$56,5,FALSE)))</f>
        <v/>
      </c>
      <c r="H33" s="17" t="str">
        <f t="shared" si="5"/>
        <v/>
      </c>
      <c r="I33" s="18" t="str">
        <f>IF(ISNUMBER($L$6)=FALSE,"",
        IF(ISERROR(VLOOKUP($G33,DanaSehat!$L$13:$AK$56,I$4,FALSE))=TRUE,"",
              VLOOKUP($G33,DanaSehat!$L$13:$AK$56,I$4,FALSE)))</f>
        <v/>
      </c>
      <c r="J33" s="18" t="str">
        <f>IF(ISNUMBER($L$6)=FALSE,"",
        IF(ISERROR(VLOOKUP($G33,DanaSehat!$L$13:$AK$56,J$4,FALSE))=TRUE,"",
              VLOOKUP($G33,DanaSehat!$L$13:$AK$56,J$4,FALSE)))</f>
        <v/>
      </c>
      <c r="K33" s="18" t="str">
        <f>IF(ISNUMBER($L$6)=FALSE,"",
        IF(ISERROR(VLOOKUP($G33,DanaSehat!$L$13:$AK$56,K$4,FALSE))=TRUE,"",
              VLOOKUP($G33,DanaSehat!$L$13:$AK$56,K$4,FALSE)))</f>
        <v/>
      </c>
      <c r="L33" s="18" t="str">
        <f>IF(ISNUMBER($L$6)=FALSE,"",
        IF(ISERROR(VLOOKUP($G33,DanaSehat!$L$13:$AK$56,L$4,FALSE))=TRUE,"",
              VLOOKUP($G33,DanaSehat!$L$13:$AK$56,L$4,FALSE)))</f>
        <v/>
      </c>
      <c r="M33" s="18" t="str">
        <f>IF(ISNUMBER($L$6)=FALSE,"",
        IF(ISERROR(VLOOKUP($G33,DanaSehat!$L$13:$AK$56,M$4,FALSE))=TRUE,"",
              VLOOKUP($G33,DanaSehat!$L$13:$AK$56,M$4,FALSE)))</f>
        <v/>
      </c>
      <c r="N33" s="18" t="str">
        <f>IF(ISNUMBER($L$6)=FALSE,"",
        IF(ISERROR(VLOOKUP($G33,DanaSehat!$L$13:$AK$56,N$4,FALSE))=TRUE,"",
              VLOOKUP($G33,DanaSehat!$L$13:$AK$56,N$4,FALSE)))</f>
        <v/>
      </c>
      <c r="O33" s="18" t="str">
        <f>IF(ISNUMBER($L$6)=FALSE,"",
        IF(ISERROR(VLOOKUP($G33,DanaSehat!$L$13:$AK$56,O$4,FALSE))=TRUE,"",
              VLOOKUP($G33,DanaSehat!$L$13:$AK$56,O$4,FALSE)))</f>
        <v/>
      </c>
      <c r="P33" s="18" t="str">
        <f>IF(ISNUMBER($L$6)=FALSE,"",
        IF(ISERROR(VLOOKUP($G33,DanaSehat!$L$13:$AK$56,P$4,FALSE))=TRUE,"",
              VLOOKUP($G33,DanaSehat!$L$13:$AK$56,P$4,FALSE)))</f>
        <v/>
      </c>
      <c r="Q33" s="18" t="str">
        <f>IF(ISNUMBER($L$6)=FALSE,"",
        IF(ISERROR(VLOOKUP($G33,DanaSehat!$L$13:$AK$56,Q$4,FALSE))=TRUE,"",
              VLOOKUP($G33,DanaSehat!$L$13:$AK$56,Q$4,FALSE)))</f>
        <v/>
      </c>
      <c r="R33" s="18" t="str">
        <f>IF(ISNUMBER($L$6)=FALSE,"",
        IF(ISERROR(VLOOKUP($G33,DanaSehat!$L$13:$AK$56,R$4,FALSE))=TRUE,"",
              VLOOKUP($G33,DanaSehat!$L$13:$AK$56,R$4,FALSE)))</f>
        <v/>
      </c>
      <c r="S33" s="18" t="str">
        <f>IF(ISNUMBER($L$6)=FALSE,"",
        IF(ISERROR(VLOOKUP($G33,DanaSehat!$L$13:$AK$56,S$4,FALSE))=TRUE,"",
              VLOOKUP($G33,DanaSehat!$L$13:$AK$56,S$4,FALSE)))</f>
        <v/>
      </c>
      <c r="T33" s="18" t="str">
        <f>IF(ISNUMBER($L$6)=FALSE,"",
        IF(ISERROR(VLOOKUP($G33,DanaSehat!$L$13:$AK$56,T$4,FALSE))=TRUE,"",
              VLOOKUP($G33,DanaSehat!$L$13:$AK$56,T$4,FALSE)))</f>
        <v/>
      </c>
      <c r="U33" s="18" t="str">
        <f>IF(ISNUMBER($L$6)=FALSE,"",
        IF(ISERROR(VLOOKUP($G33,DanaSehat!$L$13:$AK$56,U$4,FALSE))=TRUE,"",
              VLOOKUP($G33,DanaSehat!$L$13:$AK$56,U$4,FALSE)))</f>
        <v/>
      </c>
      <c r="V33" s="18" t="str">
        <f>IF(ISNUMBER($L$6)=FALSE,"",
        IF(ISERROR(VLOOKUP($G33,DanaSehat!$L$13:$AK$56,V$4,FALSE))=TRUE,"",
              VLOOKUP($G33,DanaSehat!$L$13:$AK$56,V$4,FALSE)))</f>
        <v/>
      </c>
      <c r="W33" s="18" t="str">
        <f>IF(ISNUMBER($L$6)=FALSE,"",
        IF(ISERROR(VLOOKUP($G33,DanaSehat!$L$13:$AK$56,W$4,FALSE))=TRUE,"",
              VLOOKUP($G33,DanaSehat!$L$13:$AK$56,W$4,FALSE)))</f>
        <v/>
      </c>
      <c r="X33" s="18" t="str">
        <f>IF(ISNUMBER($L$6)=FALSE,"",
        IF(ISERROR(VLOOKUP($G33,DanaSehat!$L$13:$AK$56,X$4,FALSE))=TRUE,"",
              VLOOKUP($G33,DanaSehat!$L$13:$AK$56,X$4,FALSE)))</f>
        <v/>
      </c>
      <c r="Y33" s="18" t="str">
        <f>IF(ISNUMBER($L$6)=FALSE,"",
        IF(ISERROR(VLOOKUP($G33,DanaSehat!$L$13:$AK$56,Y$4,FALSE))=TRUE,"",
              VLOOKUP($G33,DanaSehat!$L$13:$AK$56,Y$4,FALSE)))</f>
        <v/>
      </c>
      <c r="Z33" s="18" t="str">
        <f>IF(ISNUMBER($L$6)=FALSE,"",
        IF(ISERROR(VLOOKUP($G33,DanaSehat!$L$13:$AK$56,Z$4,FALSE))=TRUE,"",
              VLOOKUP($G33,DanaSehat!$L$13:$AK$56,Z$4,FALSE)))</f>
        <v/>
      </c>
      <c r="AA33" s="18" t="str">
        <f>IF(ISNUMBER($L$6)=FALSE,"",
        IF(ISERROR(VLOOKUP($G33,DanaSehat!$L$13:$AK$56,AA$4,FALSE))=TRUE,"",
              VLOOKUP($G33,DanaSehat!$L$13:$AK$56,AA$4,FALSE)))</f>
        <v/>
      </c>
      <c r="AB33" s="18" t="str">
        <f>IF(ISNUMBER($L$6)=FALSE,"",
        IF(ISERROR(VLOOKUP($G33,DanaSehat!$L$13:$AK$56,AB$4,FALSE))=TRUE,"",
              VLOOKUP($G33,DanaSehat!$L$13:$AK$56,AB$4,FALSE)))</f>
        <v/>
      </c>
      <c r="AC33" s="18" t="str">
        <f>IF(ISNUMBER($L$6)=FALSE,"",
        IF(ISERROR(VLOOKUP($G33,DanaSehat!$L$13:$AK$56,AC$4,FALSE))=TRUE,"",
              VLOOKUP($G33,DanaSehat!$L$13:$AK$56,AC$4,FALSE)))</f>
        <v/>
      </c>
      <c r="AD33" s="18" t="str">
        <f>IF(ISNUMBER($L$6)=FALSE,"",
        IF(ISERROR(VLOOKUP($G33,DanaSehat!$L$13:$AK$56,AD$4,FALSE))=TRUE,"",
              VLOOKUP($G33,DanaSehat!$L$13:$AK$56,AD$4,FALSE)))</f>
        <v/>
      </c>
      <c r="AE33" s="18" t="str">
        <f>IF(ISNUMBER($L$6)=FALSE,"",
        IF(ISERROR(VLOOKUP($G33,DanaSehat!$L$13:$AK$56,AE$4,FALSE))=TRUE,"",
              VLOOKUP($G33,DanaSehat!$L$13:$AK$56,AE$4,FALSE)))</f>
        <v/>
      </c>
      <c r="AF33" s="18" t="str">
        <f>IF(ISNUMBER($L$6)=FALSE,"",
        IF(ISERROR(VLOOKUP($G33,DanaSehat!$L$13:$AK$56,AF$4,FALSE))=TRUE,"",
              VLOOKUP($G33,DanaSehat!$L$13:$AK$56,AF$4,FALSE)))</f>
        <v/>
      </c>
    </row>
    <row r="34" spans="1:32" s="60" customFormat="1" ht="10.5" x14ac:dyDescent="0.25">
      <c r="A34" s="59"/>
      <c r="C34" s="59">
        <f t="shared" si="3"/>
        <v>21</v>
      </c>
      <c r="D34" s="61"/>
      <c r="E34" s="77" t="str">
        <f t="shared" si="4"/>
        <v/>
      </c>
      <c r="F34" s="77" t="str">
        <f>IF(ISNUMBER($L$6)=FALSE,"",
IF($C34=0,"",VLOOKUP($E34,DanaSehat!$H$13:$L$56,4,FALSE)))</f>
        <v/>
      </c>
      <c r="G34" s="77" t="str">
        <f>IF(ISNUMBER($L$6)=FALSE,"",
IF($C34=0,"",VLOOKUP($E34,DanaSehat!$H$13:$L$56,5,FALSE)))</f>
        <v/>
      </c>
      <c r="H34" s="17" t="str">
        <f t="shared" si="5"/>
        <v/>
      </c>
      <c r="I34" s="18" t="str">
        <f>IF(ISNUMBER($L$6)=FALSE,"",
        IF(ISERROR(VLOOKUP($G34,DanaSehat!$L$13:$AK$56,I$4,FALSE))=TRUE,"",
              VLOOKUP($G34,DanaSehat!$L$13:$AK$56,I$4,FALSE)))</f>
        <v/>
      </c>
      <c r="J34" s="18" t="str">
        <f>IF(ISNUMBER($L$6)=FALSE,"",
        IF(ISERROR(VLOOKUP($G34,DanaSehat!$L$13:$AK$56,J$4,FALSE))=TRUE,"",
              VLOOKUP($G34,DanaSehat!$L$13:$AK$56,J$4,FALSE)))</f>
        <v/>
      </c>
      <c r="K34" s="18" t="str">
        <f>IF(ISNUMBER($L$6)=FALSE,"",
        IF(ISERROR(VLOOKUP($G34,DanaSehat!$L$13:$AK$56,K$4,FALSE))=TRUE,"",
              VLOOKUP($G34,DanaSehat!$L$13:$AK$56,K$4,FALSE)))</f>
        <v/>
      </c>
      <c r="L34" s="18" t="str">
        <f>IF(ISNUMBER($L$6)=FALSE,"",
        IF(ISERROR(VLOOKUP($G34,DanaSehat!$L$13:$AK$56,L$4,FALSE))=TRUE,"",
              VLOOKUP($G34,DanaSehat!$L$13:$AK$56,L$4,FALSE)))</f>
        <v/>
      </c>
      <c r="M34" s="18" t="str">
        <f>IF(ISNUMBER($L$6)=FALSE,"",
        IF(ISERROR(VLOOKUP($G34,DanaSehat!$L$13:$AK$56,M$4,FALSE))=TRUE,"",
              VLOOKUP($G34,DanaSehat!$L$13:$AK$56,M$4,FALSE)))</f>
        <v/>
      </c>
      <c r="N34" s="18" t="str">
        <f>IF(ISNUMBER($L$6)=FALSE,"",
        IF(ISERROR(VLOOKUP($G34,DanaSehat!$L$13:$AK$56,N$4,FALSE))=TRUE,"",
              VLOOKUP($G34,DanaSehat!$L$13:$AK$56,N$4,FALSE)))</f>
        <v/>
      </c>
      <c r="O34" s="18" t="str">
        <f>IF(ISNUMBER($L$6)=FALSE,"",
        IF(ISERROR(VLOOKUP($G34,DanaSehat!$L$13:$AK$56,O$4,FALSE))=TRUE,"",
              VLOOKUP($G34,DanaSehat!$L$13:$AK$56,O$4,FALSE)))</f>
        <v/>
      </c>
      <c r="P34" s="18" t="str">
        <f>IF(ISNUMBER($L$6)=FALSE,"",
        IF(ISERROR(VLOOKUP($G34,DanaSehat!$L$13:$AK$56,P$4,FALSE))=TRUE,"",
              VLOOKUP($G34,DanaSehat!$L$13:$AK$56,P$4,FALSE)))</f>
        <v/>
      </c>
      <c r="Q34" s="18" t="str">
        <f>IF(ISNUMBER($L$6)=FALSE,"",
        IF(ISERROR(VLOOKUP($G34,DanaSehat!$L$13:$AK$56,Q$4,FALSE))=TRUE,"",
              VLOOKUP($G34,DanaSehat!$L$13:$AK$56,Q$4,FALSE)))</f>
        <v/>
      </c>
      <c r="R34" s="18" t="str">
        <f>IF(ISNUMBER($L$6)=FALSE,"",
        IF(ISERROR(VLOOKUP($G34,DanaSehat!$L$13:$AK$56,R$4,FALSE))=TRUE,"",
              VLOOKUP($G34,DanaSehat!$L$13:$AK$56,R$4,FALSE)))</f>
        <v/>
      </c>
      <c r="S34" s="18" t="str">
        <f>IF(ISNUMBER($L$6)=FALSE,"",
        IF(ISERROR(VLOOKUP($G34,DanaSehat!$L$13:$AK$56,S$4,FALSE))=TRUE,"",
              VLOOKUP($G34,DanaSehat!$L$13:$AK$56,S$4,FALSE)))</f>
        <v/>
      </c>
      <c r="T34" s="18" t="str">
        <f>IF(ISNUMBER($L$6)=FALSE,"",
        IF(ISERROR(VLOOKUP($G34,DanaSehat!$L$13:$AK$56,T$4,FALSE))=TRUE,"",
              VLOOKUP($G34,DanaSehat!$L$13:$AK$56,T$4,FALSE)))</f>
        <v/>
      </c>
      <c r="U34" s="18" t="str">
        <f>IF(ISNUMBER($L$6)=FALSE,"",
        IF(ISERROR(VLOOKUP($G34,DanaSehat!$L$13:$AK$56,U$4,FALSE))=TRUE,"",
              VLOOKUP($G34,DanaSehat!$L$13:$AK$56,U$4,FALSE)))</f>
        <v/>
      </c>
      <c r="V34" s="18" t="str">
        <f>IF(ISNUMBER($L$6)=FALSE,"",
        IF(ISERROR(VLOOKUP($G34,DanaSehat!$L$13:$AK$56,V$4,FALSE))=TRUE,"",
              VLOOKUP($G34,DanaSehat!$L$13:$AK$56,V$4,FALSE)))</f>
        <v/>
      </c>
      <c r="W34" s="18" t="str">
        <f>IF(ISNUMBER($L$6)=FALSE,"",
        IF(ISERROR(VLOOKUP($G34,DanaSehat!$L$13:$AK$56,W$4,FALSE))=TRUE,"",
              VLOOKUP($G34,DanaSehat!$L$13:$AK$56,W$4,FALSE)))</f>
        <v/>
      </c>
      <c r="X34" s="18" t="str">
        <f>IF(ISNUMBER($L$6)=FALSE,"",
        IF(ISERROR(VLOOKUP($G34,DanaSehat!$L$13:$AK$56,X$4,FALSE))=TRUE,"",
              VLOOKUP($G34,DanaSehat!$L$13:$AK$56,X$4,FALSE)))</f>
        <v/>
      </c>
      <c r="Y34" s="18" t="str">
        <f>IF(ISNUMBER($L$6)=FALSE,"",
        IF(ISERROR(VLOOKUP($G34,DanaSehat!$L$13:$AK$56,Y$4,FALSE))=TRUE,"",
              VLOOKUP($G34,DanaSehat!$L$13:$AK$56,Y$4,FALSE)))</f>
        <v/>
      </c>
      <c r="Z34" s="18" t="str">
        <f>IF(ISNUMBER($L$6)=FALSE,"",
        IF(ISERROR(VLOOKUP($G34,DanaSehat!$L$13:$AK$56,Z$4,FALSE))=TRUE,"",
              VLOOKUP($G34,DanaSehat!$L$13:$AK$56,Z$4,FALSE)))</f>
        <v/>
      </c>
      <c r="AA34" s="18" t="str">
        <f>IF(ISNUMBER($L$6)=FALSE,"",
        IF(ISERROR(VLOOKUP($G34,DanaSehat!$L$13:$AK$56,AA$4,FALSE))=TRUE,"",
              VLOOKUP($G34,DanaSehat!$L$13:$AK$56,AA$4,FALSE)))</f>
        <v/>
      </c>
      <c r="AB34" s="18" t="str">
        <f>IF(ISNUMBER($L$6)=FALSE,"",
        IF(ISERROR(VLOOKUP($G34,DanaSehat!$L$13:$AK$56,AB$4,FALSE))=TRUE,"",
              VLOOKUP($G34,DanaSehat!$L$13:$AK$56,AB$4,FALSE)))</f>
        <v/>
      </c>
      <c r="AC34" s="18" t="str">
        <f>IF(ISNUMBER($L$6)=FALSE,"",
        IF(ISERROR(VLOOKUP($G34,DanaSehat!$L$13:$AK$56,AC$4,FALSE))=TRUE,"",
              VLOOKUP($G34,DanaSehat!$L$13:$AK$56,AC$4,FALSE)))</f>
        <v/>
      </c>
      <c r="AD34" s="18" t="str">
        <f>IF(ISNUMBER($L$6)=FALSE,"",
        IF(ISERROR(VLOOKUP($G34,DanaSehat!$L$13:$AK$56,AD$4,FALSE))=TRUE,"",
              VLOOKUP($G34,DanaSehat!$L$13:$AK$56,AD$4,FALSE)))</f>
        <v/>
      </c>
      <c r="AE34" s="18" t="str">
        <f>IF(ISNUMBER($L$6)=FALSE,"",
        IF(ISERROR(VLOOKUP($G34,DanaSehat!$L$13:$AK$56,AE$4,FALSE))=TRUE,"",
              VLOOKUP($G34,DanaSehat!$L$13:$AK$56,AE$4,FALSE)))</f>
        <v/>
      </c>
      <c r="AF34" s="18" t="str">
        <f>IF(ISNUMBER($L$6)=FALSE,"",
        IF(ISERROR(VLOOKUP($G34,DanaSehat!$L$13:$AK$56,AF$4,FALSE))=TRUE,"",
              VLOOKUP($G34,DanaSehat!$L$13:$AK$56,AF$4,FALSE)))</f>
        <v/>
      </c>
    </row>
    <row r="35" spans="1:32" s="60" customFormat="1" ht="10.5" x14ac:dyDescent="0.25">
      <c r="A35" s="59"/>
      <c r="C35" s="59">
        <f t="shared" si="3"/>
        <v>22</v>
      </c>
      <c r="D35" s="61"/>
      <c r="E35" s="77" t="str">
        <f t="shared" si="4"/>
        <v/>
      </c>
      <c r="F35" s="77" t="str">
        <f>IF(ISNUMBER($L$6)=FALSE,"",
IF($C35=0,"",VLOOKUP($E35,DanaSehat!$H$13:$L$56,4,FALSE)))</f>
        <v/>
      </c>
      <c r="G35" s="77" t="str">
        <f>IF(ISNUMBER($L$6)=FALSE,"",
IF($C35=0,"",VLOOKUP($E35,DanaSehat!$H$13:$L$56,5,FALSE)))</f>
        <v/>
      </c>
      <c r="H35" s="17" t="str">
        <f t="shared" si="5"/>
        <v/>
      </c>
      <c r="I35" s="18" t="str">
        <f>IF(ISNUMBER($L$6)=FALSE,"",
        IF(ISERROR(VLOOKUP($G35,DanaSehat!$L$13:$AK$56,I$4,FALSE))=TRUE,"",
              VLOOKUP($G35,DanaSehat!$L$13:$AK$56,I$4,FALSE)))</f>
        <v/>
      </c>
      <c r="J35" s="18" t="str">
        <f>IF(ISNUMBER($L$6)=FALSE,"",
        IF(ISERROR(VLOOKUP($G35,DanaSehat!$L$13:$AK$56,J$4,FALSE))=TRUE,"",
              VLOOKUP($G35,DanaSehat!$L$13:$AK$56,J$4,FALSE)))</f>
        <v/>
      </c>
      <c r="K35" s="18" t="str">
        <f>IF(ISNUMBER($L$6)=FALSE,"",
        IF(ISERROR(VLOOKUP($G35,DanaSehat!$L$13:$AK$56,K$4,FALSE))=TRUE,"",
              VLOOKUP($G35,DanaSehat!$L$13:$AK$56,K$4,FALSE)))</f>
        <v/>
      </c>
      <c r="L35" s="18" t="str">
        <f>IF(ISNUMBER($L$6)=FALSE,"",
        IF(ISERROR(VLOOKUP($G35,DanaSehat!$L$13:$AK$56,L$4,FALSE))=TRUE,"",
              VLOOKUP($G35,DanaSehat!$L$13:$AK$56,L$4,FALSE)))</f>
        <v/>
      </c>
      <c r="M35" s="18" t="str">
        <f>IF(ISNUMBER($L$6)=FALSE,"",
        IF(ISERROR(VLOOKUP($G35,DanaSehat!$L$13:$AK$56,M$4,FALSE))=TRUE,"",
              VLOOKUP($G35,DanaSehat!$L$13:$AK$56,M$4,FALSE)))</f>
        <v/>
      </c>
      <c r="N35" s="18" t="str">
        <f>IF(ISNUMBER($L$6)=FALSE,"",
        IF(ISERROR(VLOOKUP($G35,DanaSehat!$L$13:$AK$56,N$4,FALSE))=TRUE,"",
              VLOOKUP($G35,DanaSehat!$L$13:$AK$56,N$4,FALSE)))</f>
        <v/>
      </c>
      <c r="O35" s="18" t="str">
        <f>IF(ISNUMBER($L$6)=FALSE,"",
        IF(ISERROR(VLOOKUP($G35,DanaSehat!$L$13:$AK$56,O$4,FALSE))=TRUE,"",
              VLOOKUP($G35,DanaSehat!$L$13:$AK$56,O$4,FALSE)))</f>
        <v/>
      </c>
      <c r="P35" s="18" t="str">
        <f>IF(ISNUMBER($L$6)=FALSE,"",
        IF(ISERROR(VLOOKUP($G35,DanaSehat!$L$13:$AK$56,P$4,FALSE))=TRUE,"",
              VLOOKUP($G35,DanaSehat!$L$13:$AK$56,P$4,FALSE)))</f>
        <v/>
      </c>
      <c r="Q35" s="18" t="str">
        <f>IF(ISNUMBER($L$6)=FALSE,"",
        IF(ISERROR(VLOOKUP($G35,DanaSehat!$L$13:$AK$56,Q$4,FALSE))=TRUE,"",
              VLOOKUP($G35,DanaSehat!$L$13:$AK$56,Q$4,FALSE)))</f>
        <v/>
      </c>
      <c r="R35" s="18" t="str">
        <f>IF(ISNUMBER($L$6)=FALSE,"",
        IF(ISERROR(VLOOKUP($G35,DanaSehat!$L$13:$AK$56,R$4,FALSE))=TRUE,"",
              VLOOKUP($G35,DanaSehat!$L$13:$AK$56,R$4,FALSE)))</f>
        <v/>
      </c>
      <c r="S35" s="18" t="str">
        <f>IF(ISNUMBER($L$6)=FALSE,"",
        IF(ISERROR(VLOOKUP($G35,DanaSehat!$L$13:$AK$56,S$4,FALSE))=TRUE,"",
              VLOOKUP($G35,DanaSehat!$L$13:$AK$56,S$4,FALSE)))</f>
        <v/>
      </c>
      <c r="T35" s="18" t="str">
        <f>IF(ISNUMBER($L$6)=FALSE,"",
        IF(ISERROR(VLOOKUP($G35,DanaSehat!$L$13:$AK$56,T$4,FALSE))=TRUE,"",
              VLOOKUP($G35,DanaSehat!$L$13:$AK$56,T$4,FALSE)))</f>
        <v/>
      </c>
      <c r="U35" s="18" t="str">
        <f>IF(ISNUMBER($L$6)=FALSE,"",
        IF(ISERROR(VLOOKUP($G35,DanaSehat!$L$13:$AK$56,U$4,FALSE))=TRUE,"",
              VLOOKUP($G35,DanaSehat!$L$13:$AK$56,U$4,FALSE)))</f>
        <v/>
      </c>
      <c r="V35" s="18" t="str">
        <f>IF(ISNUMBER($L$6)=FALSE,"",
        IF(ISERROR(VLOOKUP($G35,DanaSehat!$L$13:$AK$56,V$4,FALSE))=TRUE,"",
              VLOOKUP($G35,DanaSehat!$L$13:$AK$56,V$4,FALSE)))</f>
        <v/>
      </c>
      <c r="W35" s="18" t="str">
        <f>IF(ISNUMBER($L$6)=FALSE,"",
        IF(ISERROR(VLOOKUP($G35,DanaSehat!$L$13:$AK$56,W$4,FALSE))=TRUE,"",
              VLOOKUP($G35,DanaSehat!$L$13:$AK$56,W$4,FALSE)))</f>
        <v/>
      </c>
      <c r="X35" s="18" t="str">
        <f>IF(ISNUMBER($L$6)=FALSE,"",
        IF(ISERROR(VLOOKUP($G35,DanaSehat!$L$13:$AK$56,X$4,FALSE))=TRUE,"",
              VLOOKUP($G35,DanaSehat!$L$13:$AK$56,X$4,FALSE)))</f>
        <v/>
      </c>
      <c r="Y35" s="18" t="str">
        <f>IF(ISNUMBER($L$6)=FALSE,"",
        IF(ISERROR(VLOOKUP($G35,DanaSehat!$L$13:$AK$56,Y$4,FALSE))=TRUE,"",
              VLOOKUP($G35,DanaSehat!$L$13:$AK$56,Y$4,FALSE)))</f>
        <v/>
      </c>
      <c r="Z35" s="18" t="str">
        <f>IF(ISNUMBER($L$6)=FALSE,"",
        IF(ISERROR(VLOOKUP($G35,DanaSehat!$L$13:$AK$56,Z$4,FALSE))=TRUE,"",
              VLOOKUP($G35,DanaSehat!$L$13:$AK$56,Z$4,FALSE)))</f>
        <v/>
      </c>
      <c r="AA35" s="18" t="str">
        <f>IF(ISNUMBER($L$6)=FALSE,"",
        IF(ISERROR(VLOOKUP($G35,DanaSehat!$L$13:$AK$56,AA$4,FALSE))=TRUE,"",
              VLOOKUP($G35,DanaSehat!$L$13:$AK$56,AA$4,FALSE)))</f>
        <v/>
      </c>
      <c r="AB35" s="18" t="str">
        <f>IF(ISNUMBER($L$6)=FALSE,"",
        IF(ISERROR(VLOOKUP($G35,DanaSehat!$L$13:$AK$56,AB$4,FALSE))=TRUE,"",
              VLOOKUP($G35,DanaSehat!$L$13:$AK$56,AB$4,FALSE)))</f>
        <v/>
      </c>
      <c r="AC35" s="18" t="str">
        <f>IF(ISNUMBER($L$6)=FALSE,"",
        IF(ISERROR(VLOOKUP($G35,DanaSehat!$L$13:$AK$56,AC$4,FALSE))=TRUE,"",
              VLOOKUP($G35,DanaSehat!$L$13:$AK$56,AC$4,FALSE)))</f>
        <v/>
      </c>
      <c r="AD35" s="18" t="str">
        <f>IF(ISNUMBER($L$6)=FALSE,"",
        IF(ISERROR(VLOOKUP($G35,DanaSehat!$L$13:$AK$56,AD$4,FALSE))=TRUE,"",
              VLOOKUP($G35,DanaSehat!$L$13:$AK$56,AD$4,FALSE)))</f>
        <v/>
      </c>
      <c r="AE35" s="18" t="str">
        <f>IF(ISNUMBER($L$6)=FALSE,"",
        IF(ISERROR(VLOOKUP($G35,DanaSehat!$L$13:$AK$56,AE$4,FALSE))=TRUE,"",
              VLOOKUP($G35,DanaSehat!$L$13:$AK$56,AE$4,FALSE)))</f>
        <v/>
      </c>
      <c r="AF35" s="18" t="str">
        <f>IF(ISNUMBER($L$6)=FALSE,"",
        IF(ISERROR(VLOOKUP($G35,DanaSehat!$L$13:$AK$56,AF$4,FALSE))=TRUE,"",
              VLOOKUP($G35,DanaSehat!$L$13:$AK$56,AF$4,FALSE)))</f>
        <v/>
      </c>
    </row>
    <row r="36" spans="1:32" s="60" customFormat="1" ht="10.5" x14ac:dyDescent="0.25">
      <c r="A36" s="59"/>
      <c r="C36" s="59">
        <f t="shared" si="3"/>
        <v>23</v>
      </c>
      <c r="D36" s="61"/>
      <c r="E36" s="77" t="str">
        <f t="shared" si="4"/>
        <v/>
      </c>
      <c r="F36" s="77" t="str">
        <f>IF(ISNUMBER($L$6)=FALSE,"",
IF($C36=0,"",VLOOKUP($E36,DanaSehat!$H$13:$L$56,4,FALSE)))</f>
        <v/>
      </c>
      <c r="G36" s="77" t="str">
        <f>IF(ISNUMBER($L$6)=FALSE,"",
IF($C36=0,"",VLOOKUP($E36,DanaSehat!$H$13:$L$56,5,FALSE)))</f>
        <v/>
      </c>
      <c r="H36" s="17" t="str">
        <f t="shared" si="5"/>
        <v/>
      </c>
      <c r="I36" s="18" t="str">
        <f>IF(ISNUMBER($L$6)=FALSE,"",
        IF(ISERROR(VLOOKUP($G36,DanaSehat!$L$13:$AK$56,I$4,FALSE))=TRUE,"",
              VLOOKUP($G36,DanaSehat!$L$13:$AK$56,I$4,FALSE)))</f>
        <v/>
      </c>
      <c r="J36" s="18" t="str">
        <f>IF(ISNUMBER($L$6)=FALSE,"",
        IF(ISERROR(VLOOKUP($G36,DanaSehat!$L$13:$AK$56,J$4,FALSE))=TRUE,"",
              VLOOKUP($G36,DanaSehat!$L$13:$AK$56,J$4,FALSE)))</f>
        <v/>
      </c>
      <c r="K36" s="18" t="str">
        <f>IF(ISNUMBER($L$6)=FALSE,"",
        IF(ISERROR(VLOOKUP($G36,DanaSehat!$L$13:$AK$56,K$4,FALSE))=TRUE,"",
              VLOOKUP($G36,DanaSehat!$L$13:$AK$56,K$4,FALSE)))</f>
        <v/>
      </c>
      <c r="L36" s="18" t="str">
        <f>IF(ISNUMBER($L$6)=FALSE,"",
        IF(ISERROR(VLOOKUP($G36,DanaSehat!$L$13:$AK$56,L$4,FALSE))=TRUE,"",
              VLOOKUP($G36,DanaSehat!$L$13:$AK$56,L$4,FALSE)))</f>
        <v/>
      </c>
      <c r="M36" s="18" t="str">
        <f>IF(ISNUMBER($L$6)=FALSE,"",
        IF(ISERROR(VLOOKUP($G36,DanaSehat!$L$13:$AK$56,M$4,FALSE))=TRUE,"",
              VLOOKUP($G36,DanaSehat!$L$13:$AK$56,M$4,FALSE)))</f>
        <v/>
      </c>
      <c r="N36" s="18" t="str">
        <f>IF(ISNUMBER($L$6)=FALSE,"",
        IF(ISERROR(VLOOKUP($G36,DanaSehat!$L$13:$AK$56,N$4,FALSE))=TRUE,"",
              VLOOKUP($G36,DanaSehat!$L$13:$AK$56,N$4,FALSE)))</f>
        <v/>
      </c>
      <c r="O36" s="18" t="str">
        <f>IF(ISNUMBER($L$6)=FALSE,"",
        IF(ISERROR(VLOOKUP($G36,DanaSehat!$L$13:$AK$56,O$4,FALSE))=TRUE,"",
              VLOOKUP($G36,DanaSehat!$L$13:$AK$56,O$4,FALSE)))</f>
        <v/>
      </c>
      <c r="P36" s="18" t="str">
        <f>IF(ISNUMBER($L$6)=FALSE,"",
        IF(ISERROR(VLOOKUP($G36,DanaSehat!$L$13:$AK$56,P$4,FALSE))=TRUE,"",
              VLOOKUP($G36,DanaSehat!$L$13:$AK$56,P$4,FALSE)))</f>
        <v/>
      </c>
      <c r="Q36" s="18" t="str">
        <f>IF(ISNUMBER($L$6)=FALSE,"",
        IF(ISERROR(VLOOKUP($G36,DanaSehat!$L$13:$AK$56,Q$4,FALSE))=TRUE,"",
              VLOOKUP($G36,DanaSehat!$L$13:$AK$56,Q$4,FALSE)))</f>
        <v/>
      </c>
      <c r="R36" s="18" t="str">
        <f>IF(ISNUMBER($L$6)=FALSE,"",
        IF(ISERROR(VLOOKUP($G36,DanaSehat!$L$13:$AK$56,R$4,FALSE))=TRUE,"",
              VLOOKUP($G36,DanaSehat!$L$13:$AK$56,R$4,FALSE)))</f>
        <v/>
      </c>
      <c r="S36" s="18" t="str">
        <f>IF(ISNUMBER($L$6)=FALSE,"",
        IF(ISERROR(VLOOKUP($G36,DanaSehat!$L$13:$AK$56,S$4,FALSE))=TRUE,"",
              VLOOKUP($G36,DanaSehat!$L$13:$AK$56,S$4,FALSE)))</f>
        <v/>
      </c>
      <c r="T36" s="18" t="str">
        <f>IF(ISNUMBER($L$6)=FALSE,"",
        IF(ISERROR(VLOOKUP($G36,DanaSehat!$L$13:$AK$56,T$4,FALSE))=TRUE,"",
              VLOOKUP($G36,DanaSehat!$L$13:$AK$56,T$4,FALSE)))</f>
        <v/>
      </c>
      <c r="U36" s="18" t="str">
        <f>IF(ISNUMBER($L$6)=FALSE,"",
        IF(ISERROR(VLOOKUP($G36,DanaSehat!$L$13:$AK$56,U$4,FALSE))=TRUE,"",
              VLOOKUP($G36,DanaSehat!$L$13:$AK$56,U$4,FALSE)))</f>
        <v/>
      </c>
      <c r="V36" s="18" t="str">
        <f>IF(ISNUMBER($L$6)=FALSE,"",
        IF(ISERROR(VLOOKUP($G36,DanaSehat!$L$13:$AK$56,V$4,FALSE))=TRUE,"",
              VLOOKUP($G36,DanaSehat!$L$13:$AK$56,V$4,FALSE)))</f>
        <v/>
      </c>
      <c r="W36" s="18" t="str">
        <f>IF(ISNUMBER($L$6)=FALSE,"",
        IF(ISERROR(VLOOKUP($G36,DanaSehat!$L$13:$AK$56,W$4,FALSE))=TRUE,"",
              VLOOKUP($G36,DanaSehat!$L$13:$AK$56,W$4,FALSE)))</f>
        <v/>
      </c>
      <c r="X36" s="18" t="str">
        <f>IF(ISNUMBER($L$6)=FALSE,"",
        IF(ISERROR(VLOOKUP($G36,DanaSehat!$L$13:$AK$56,X$4,FALSE))=TRUE,"",
              VLOOKUP($G36,DanaSehat!$L$13:$AK$56,X$4,FALSE)))</f>
        <v/>
      </c>
      <c r="Y36" s="18" t="str">
        <f>IF(ISNUMBER($L$6)=FALSE,"",
        IF(ISERROR(VLOOKUP($G36,DanaSehat!$L$13:$AK$56,Y$4,FALSE))=TRUE,"",
              VLOOKUP($G36,DanaSehat!$L$13:$AK$56,Y$4,FALSE)))</f>
        <v/>
      </c>
      <c r="Z36" s="18" t="str">
        <f>IF(ISNUMBER($L$6)=FALSE,"",
        IF(ISERROR(VLOOKUP($G36,DanaSehat!$L$13:$AK$56,Z$4,FALSE))=TRUE,"",
              VLOOKUP($G36,DanaSehat!$L$13:$AK$56,Z$4,FALSE)))</f>
        <v/>
      </c>
      <c r="AA36" s="18" t="str">
        <f>IF(ISNUMBER($L$6)=FALSE,"",
        IF(ISERROR(VLOOKUP($G36,DanaSehat!$L$13:$AK$56,AA$4,FALSE))=TRUE,"",
              VLOOKUP($G36,DanaSehat!$L$13:$AK$56,AA$4,FALSE)))</f>
        <v/>
      </c>
      <c r="AB36" s="18" t="str">
        <f>IF(ISNUMBER($L$6)=FALSE,"",
        IF(ISERROR(VLOOKUP($G36,DanaSehat!$L$13:$AK$56,AB$4,FALSE))=TRUE,"",
              VLOOKUP($G36,DanaSehat!$L$13:$AK$56,AB$4,FALSE)))</f>
        <v/>
      </c>
      <c r="AC36" s="18" t="str">
        <f>IF(ISNUMBER($L$6)=FALSE,"",
        IF(ISERROR(VLOOKUP($G36,DanaSehat!$L$13:$AK$56,AC$4,FALSE))=TRUE,"",
              VLOOKUP($G36,DanaSehat!$L$13:$AK$56,AC$4,FALSE)))</f>
        <v/>
      </c>
      <c r="AD36" s="18" t="str">
        <f>IF(ISNUMBER($L$6)=FALSE,"",
        IF(ISERROR(VLOOKUP($G36,DanaSehat!$L$13:$AK$56,AD$4,FALSE))=TRUE,"",
              VLOOKUP($G36,DanaSehat!$L$13:$AK$56,AD$4,FALSE)))</f>
        <v/>
      </c>
      <c r="AE36" s="18" t="str">
        <f>IF(ISNUMBER($L$6)=FALSE,"",
        IF(ISERROR(VLOOKUP($G36,DanaSehat!$L$13:$AK$56,AE$4,FALSE))=TRUE,"",
              VLOOKUP($G36,DanaSehat!$L$13:$AK$56,AE$4,FALSE)))</f>
        <v/>
      </c>
      <c r="AF36" s="18" t="str">
        <f>IF(ISNUMBER($L$6)=FALSE,"",
        IF(ISERROR(VLOOKUP($G36,DanaSehat!$L$13:$AK$56,AF$4,FALSE))=TRUE,"",
              VLOOKUP($G36,DanaSehat!$L$13:$AK$56,AF$4,FALSE)))</f>
        <v/>
      </c>
    </row>
    <row r="37" spans="1:32" s="60" customFormat="1" ht="10.5" x14ac:dyDescent="0.25">
      <c r="A37" s="59"/>
      <c r="C37" s="59">
        <f t="shared" si="3"/>
        <v>24</v>
      </c>
      <c r="D37" s="61"/>
      <c r="E37" s="77" t="str">
        <f t="shared" si="4"/>
        <v/>
      </c>
      <c r="F37" s="77" t="str">
        <f>IF(ISNUMBER($L$6)=FALSE,"",
IF($C37=0,"",VLOOKUP($E37,DanaSehat!$H$13:$L$56,4,FALSE)))</f>
        <v/>
      </c>
      <c r="G37" s="77" t="str">
        <f>IF(ISNUMBER($L$6)=FALSE,"",
IF($C37=0,"",VLOOKUP($E37,DanaSehat!$H$13:$L$56,5,FALSE)))</f>
        <v/>
      </c>
      <c r="H37" s="17" t="str">
        <f t="shared" si="5"/>
        <v/>
      </c>
      <c r="I37" s="18" t="str">
        <f>IF(ISNUMBER($L$6)=FALSE,"",
        IF(ISERROR(VLOOKUP($G37,DanaSehat!$L$13:$AK$56,I$4,FALSE))=TRUE,"",
              VLOOKUP($G37,DanaSehat!$L$13:$AK$56,I$4,FALSE)))</f>
        <v/>
      </c>
      <c r="J37" s="18" t="str">
        <f>IF(ISNUMBER($L$6)=FALSE,"",
        IF(ISERROR(VLOOKUP($G37,DanaSehat!$L$13:$AK$56,J$4,FALSE))=TRUE,"",
              VLOOKUP($G37,DanaSehat!$L$13:$AK$56,J$4,FALSE)))</f>
        <v/>
      </c>
      <c r="K37" s="18" t="str">
        <f>IF(ISNUMBER($L$6)=FALSE,"",
        IF(ISERROR(VLOOKUP($G37,DanaSehat!$L$13:$AK$56,K$4,FALSE))=TRUE,"",
              VLOOKUP($G37,DanaSehat!$L$13:$AK$56,K$4,FALSE)))</f>
        <v/>
      </c>
      <c r="L37" s="18" t="str">
        <f>IF(ISNUMBER($L$6)=FALSE,"",
        IF(ISERROR(VLOOKUP($G37,DanaSehat!$L$13:$AK$56,L$4,FALSE))=TRUE,"",
              VLOOKUP($G37,DanaSehat!$L$13:$AK$56,L$4,FALSE)))</f>
        <v/>
      </c>
      <c r="M37" s="18" t="str">
        <f>IF(ISNUMBER($L$6)=FALSE,"",
        IF(ISERROR(VLOOKUP($G37,DanaSehat!$L$13:$AK$56,M$4,FALSE))=TRUE,"",
              VLOOKUP($G37,DanaSehat!$L$13:$AK$56,M$4,FALSE)))</f>
        <v/>
      </c>
      <c r="N37" s="18" t="str">
        <f>IF(ISNUMBER($L$6)=FALSE,"",
        IF(ISERROR(VLOOKUP($G37,DanaSehat!$L$13:$AK$56,N$4,FALSE))=TRUE,"",
              VLOOKUP($G37,DanaSehat!$L$13:$AK$56,N$4,FALSE)))</f>
        <v/>
      </c>
      <c r="O37" s="18" t="str">
        <f>IF(ISNUMBER($L$6)=FALSE,"",
        IF(ISERROR(VLOOKUP($G37,DanaSehat!$L$13:$AK$56,O$4,FALSE))=TRUE,"",
              VLOOKUP($G37,DanaSehat!$L$13:$AK$56,O$4,FALSE)))</f>
        <v/>
      </c>
      <c r="P37" s="18" t="str">
        <f>IF(ISNUMBER($L$6)=FALSE,"",
        IF(ISERROR(VLOOKUP($G37,DanaSehat!$L$13:$AK$56,P$4,FALSE))=TRUE,"",
              VLOOKUP($G37,DanaSehat!$L$13:$AK$56,P$4,FALSE)))</f>
        <v/>
      </c>
      <c r="Q37" s="18" t="str">
        <f>IF(ISNUMBER($L$6)=FALSE,"",
        IF(ISERROR(VLOOKUP($G37,DanaSehat!$L$13:$AK$56,Q$4,FALSE))=TRUE,"",
              VLOOKUP($G37,DanaSehat!$L$13:$AK$56,Q$4,FALSE)))</f>
        <v/>
      </c>
      <c r="R37" s="18" t="str">
        <f>IF(ISNUMBER($L$6)=FALSE,"",
        IF(ISERROR(VLOOKUP($G37,DanaSehat!$L$13:$AK$56,R$4,FALSE))=TRUE,"",
              VLOOKUP($G37,DanaSehat!$L$13:$AK$56,R$4,FALSE)))</f>
        <v/>
      </c>
      <c r="S37" s="18" t="str">
        <f>IF(ISNUMBER($L$6)=FALSE,"",
        IF(ISERROR(VLOOKUP($G37,DanaSehat!$L$13:$AK$56,S$4,FALSE))=TRUE,"",
              VLOOKUP($G37,DanaSehat!$L$13:$AK$56,S$4,FALSE)))</f>
        <v/>
      </c>
      <c r="T37" s="18" t="str">
        <f>IF(ISNUMBER($L$6)=FALSE,"",
        IF(ISERROR(VLOOKUP($G37,DanaSehat!$L$13:$AK$56,T$4,FALSE))=TRUE,"",
              VLOOKUP($G37,DanaSehat!$L$13:$AK$56,T$4,FALSE)))</f>
        <v/>
      </c>
      <c r="U37" s="18" t="str">
        <f>IF(ISNUMBER($L$6)=FALSE,"",
        IF(ISERROR(VLOOKUP($G37,DanaSehat!$L$13:$AK$56,U$4,FALSE))=TRUE,"",
              VLOOKUP($G37,DanaSehat!$L$13:$AK$56,U$4,FALSE)))</f>
        <v/>
      </c>
      <c r="V37" s="18" t="str">
        <f>IF(ISNUMBER($L$6)=FALSE,"",
        IF(ISERROR(VLOOKUP($G37,DanaSehat!$L$13:$AK$56,V$4,FALSE))=TRUE,"",
              VLOOKUP($G37,DanaSehat!$L$13:$AK$56,V$4,FALSE)))</f>
        <v/>
      </c>
      <c r="W37" s="18" t="str">
        <f>IF(ISNUMBER($L$6)=FALSE,"",
        IF(ISERROR(VLOOKUP($G37,DanaSehat!$L$13:$AK$56,W$4,FALSE))=TRUE,"",
              VLOOKUP($G37,DanaSehat!$L$13:$AK$56,W$4,FALSE)))</f>
        <v/>
      </c>
      <c r="X37" s="18" t="str">
        <f>IF(ISNUMBER($L$6)=FALSE,"",
        IF(ISERROR(VLOOKUP($G37,DanaSehat!$L$13:$AK$56,X$4,FALSE))=TRUE,"",
              VLOOKUP($G37,DanaSehat!$L$13:$AK$56,X$4,FALSE)))</f>
        <v/>
      </c>
      <c r="Y37" s="18" t="str">
        <f>IF(ISNUMBER($L$6)=FALSE,"",
        IF(ISERROR(VLOOKUP($G37,DanaSehat!$L$13:$AK$56,Y$4,FALSE))=TRUE,"",
              VLOOKUP($G37,DanaSehat!$L$13:$AK$56,Y$4,FALSE)))</f>
        <v/>
      </c>
      <c r="Z37" s="18" t="str">
        <f>IF(ISNUMBER($L$6)=FALSE,"",
        IF(ISERROR(VLOOKUP($G37,DanaSehat!$L$13:$AK$56,Z$4,FALSE))=TRUE,"",
              VLOOKUP($G37,DanaSehat!$L$13:$AK$56,Z$4,FALSE)))</f>
        <v/>
      </c>
      <c r="AA37" s="18" t="str">
        <f>IF(ISNUMBER($L$6)=FALSE,"",
        IF(ISERROR(VLOOKUP($G37,DanaSehat!$L$13:$AK$56,AA$4,FALSE))=TRUE,"",
              VLOOKUP($G37,DanaSehat!$L$13:$AK$56,AA$4,FALSE)))</f>
        <v/>
      </c>
      <c r="AB37" s="18" t="str">
        <f>IF(ISNUMBER($L$6)=FALSE,"",
        IF(ISERROR(VLOOKUP($G37,DanaSehat!$L$13:$AK$56,AB$4,FALSE))=TRUE,"",
              VLOOKUP($G37,DanaSehat!$L$13:$AK$56,AB$4,FALSE)))</f>
        <v/>
      </c>
      <c r="AC37" s="18" t="str">
        <f>IF(ISNUMBER($L$6)=FALSE,"",
        IF(ISERROR(VLOOKUP($G37,DanaSehat!$L$13:$AK$56,AC$4,FALSE))=TRUE,"",
              VLOOKUP($G37,DanaSehat!$L$13:$AK$56,AC$4,FALSE)))</f>
        <v/>
      </c>
      <c r="AD37" s="18" t="str">
        <f>IF(ISNUMBER($L$6)=FALSE,"",
        IF(ISERROR(VLOOKUP($G37,DanaSehat!$L$13:$AK$56,AD$4,FALSE))=TRUE,"",
              VLOOKUP($G37,DanaSehat!$L$13:$AK$56,AD$4,FALSE)))</f>
        <v/>
      </c>
      <c r="AE37" s="18" t="str">
        <f>IF(ISNUMBER($L$6)=FALSE,"",
        IF(ISERROR(VLOOKUP($G37,DanaSehat!$L$13:$AK$56,AE$4,FALSE))=TRUE,"",
              VLOOKUP($G37,DanaSehat!$L$13:$AK$56,AE$4,FALSE)))</f>
        <v/>
      </c>
      <c r="AF37" s="18" t="str">
        <f>IF(ISNUMBER($L$6)=FALSE,"",
        IF(ISERROR(VLOOKUP($G37,DanaSehat!$L$13:$AK$56,AF$4,FALSE))=TRUE,"",
              VLOOKUP($G37,DanaSehat!$L$13:$AK$56,AF$4,FALSE)))</f>
        <v/>
      </c>
    </row>
    <row r="38" spans="1:32" s="60" customFormat="1" ht="10.5" x14ac:dyDescent="0.25">
      <c r="A38" s="59"/>
      <c r="C38" s="59">
        <f t="shared" si="3"/>
        <v>25</v>
      </c>
      <c r="D38" s="61"/>
      <c r="E38" s="77" t="str">
        <f t="shared" si="4"/>
        <v/>
      </c>
      <c r="F38" s="77" t="str">
        <f>IF(ISNUMBER($L$6)=FALSE,"",
IF($C38=0,"",VLOOKUP($E38,DanaSehat!$H$13:$L$56,4,FALSE)))</f>
        <v/>
      </c>
      <c r="G38" s="77" t="str">
        <f>IF(ISNUMBER($L$6)=FALSE,"",
IF($C38=0,"",VLOOKUP($E38,DanaSehat!$H$13:$L$56,5,FALSE)))</f>
        <v/>
      </c>
      <c r="H38" s="17" t="str">
        <f t="shared" si="5"/>
        <v/>
      </c>
      <c r="I38" s="18" t="str">
        <f>IF(ISNUMBER($L$6)=FALSE,"",
        IF(ISERROR(VLOOKUP($G38,DanaSehat!$L$13:$AK$56,I$4,FALSE))=TRUE,"",
              VLOOKUP($G38,DanaSehat!$L$13:$AK$56,I$4,FALSE)))</f>
        <v/>
      </c>
      <c r="J38" s="18" t="str">
        <f>IF(ISNUMBER($L$6)=FALSE,"",
        IF(ISERROR(VLOOKUP($G38,DanaSehat!$L$13:$AK$56,J$4,FALSE))=TRUE,"",
              VLOOKUP($G38,DanaSehat!$L$13:$AK$56,J$4,FALSE)))</f>
        <v/>
      </c>
      <c r="K38" s="18" t="str">
        <f>IF(ISNUMBER($L$6)=FALSE,"",
        IF(ISERROR(VLOOKUP($G38,DanaSehat!$L$13:$AK$56,K$4,FALSE))=TRUE,"",
              VLOOKUP($G38,DanaSehat!$L$13:$AK$56,K$4,FALSE)))</f>
        <v/>
      </c>
      <c r="L38" s="18" t="str">
        <f>IF(ISNUMBER($L$6)=FALSE,"",
        IF(ISERROR(VLOOKUP($G38,DanaSehat!$L$13:$AK$56,L$4,FALSE))=TRUE,"",
              VLOOKUP($G38,DanaSehat!$L$13:$AK$56,L$4,FALSE)))</f>
        <v/>
      </c>
      <c r="M38" s="18" t="str">
        <f>IF(ISNUMBER($L$6)=FALSE,"",
        IF(ISERROR(VLOOKUP($G38,DanaSehat!$L$13:$AK$56,M$4,FALSE))=TRUE,"",
              VLOOKUP($G38,DanaSehat!$L$13:$AK$56,M$4,FALSE)))</f>
        <v/>
      </c>
      <c r="N38" s="18" t="str">
        <f>IF(ISNUMBER($L$6)=FALSE,"",
        IF(ISERROR(VLOOKUP($G38,DanaSehat!$L$13:$AK$56,N$4,FALSE))=TRUE,"",
              VLOOKUP($G38,DanaSehat!$L$13:$AK$56,N$4,FALSE)))</f>
        <v/>
      </c>
      <c r="O38" s="18" t="str">
        <f>IF(ISNUMBER($L$6)=FALSE,"",
        IF(ISERROR(VLOOKUP($G38,DanaSehat!$L$13:$AK$56,O$4,FALSE))=TRUE,"",
              VLOOKUP($G38,DanaSehat!$L$13:$AK$56,O$4,FALSE)))</f>
        <v/>
      </c>
      <c r="P38" s="18" t="str">
        <f>IF(ISNUMBER($L$6)=FALSE,"",
        IF(ISERROR(VLOOKUP($G38,DanaSehat!$L$13:$AK$56,P$4,FALSE))=TRUE,"",
              VLOOKUP($G38,DanaSehat!$L$13:$AK$56,P$4,FALSE)))</f>
        <v/>
      </c>
      <c r="Q38" s="18" t="str">
        <f>IF(ISNUMBER($L$6)=FALSE,"",
        IF(ISERROR(VLOOKUP($G38,DanaSehat!$L$13:$AK$56,Q$4,FALSE))=TRUE,"",
              VLOOKUP($G38,DanaSehat!$L$13:$AK$56,Q$4,FALSE)))</f>
        <v/>
      </c>
      <c r="R38" s="18" t="str">
        <f>IF(ISNUMBER($L$6)=FALSE,"",
        IF(ISERROR(VLOOKUP($G38,DanaSehat!$L$13:$AK$56,R$4,FALSE))=TRUE,"",
              VLOOKUP($G38,DanaSehat!$L$13:$AK$56,R$4,FALSE)))</f>
        <v/>
      </c>
      <c r="S38" s="18" t="str">
        <f>IF(ISNUMBER($L$6)=FALSE,"",
        IF(ISERROR(VLOOKUP($G38,DanaSehat!$L$13:$AK$56,S$4,FALSE))=TRUE,"",
              VLOOKUP($G38,DanaSehat!$L$13:$AK$56,S$4,FALSE)))</f>
        <v/>
      </c>
      <c r="T38" s="18" t="str">
        <f>IF(ISNUMBER($L$6)=FALSE,"",
        IF(ISERROR(VLOOKUP($G38,DanaSehat!$L$13:$AK$56,T$4,FALSE))=TRUE,"",
              VLOOKUP($G38,DanaSehat!$L$13:$AK$56,T$4,FALSE)))</f>
        <v/>
      </c>
      <c r="U38" s="18" t="str">
        <f>IF(ISNUMBER($L$6)=FALSE,"",
        IF(ISERROR(VLOOKUP($G38,DanaSehat!$L$13:$AK$56,U$4,FALSE))=TRUE,"",
              VLOOKUP($G38,DanaSehat!$L$13:$AK$56,U$4,FALSE)))</f>
        <v/>
      </c>
      <c r="V38" s="18" t="str">
        <f>IF(ISNUMBER($L$6)=FALSE,"",
        IF(ISERROR(VLOOKUP($G38,DanaSehat!$L$13:$AK$56,V$4,FALSE))=TRUE,"",
              VLOOKUP($G38,DanaSehat!$L$13:$AK$56,V$4,FALSE)))</f>
        <v/>
      </c>
      <c r="W38" s="18" t="str">
        <f>IF(ISNUMBER($L$6)=FALSE,"",
        IF(ISERROR(VLOOKUP($G38,DanaSehat!$L$13:$AK$56,W$4,FALSE))=TRUE,"",
              VLOOKUP($G38,DanaSehat!$L$13:$AK$56,W$4,FALSE)))</f>
        <v/>
      </c>
      <c r="X38" s="18" t="str">
        <f>IF(ISNUMBER($L$6)=FALSE,"",
        IF(ISERROR(VLOOKUP($G38,DanaSehat!$L$13:$AK$56,X$4,FALSE))=TRUE,"",
              VLOOKUP($G38,DanaSehat!$L$13:$AK$56,X$4,FALSE)))</f>
        <v/>
      </c>
      <c r="Y38" s="18" t="str">
        <f>IF(ISNUMBER($L$6)=FALSE,"",
        IF(ISERROR(VLOOKUP($G38,DanaSehat!$L$13:$AK$56,Y$4,FALSE))=TRUE,"",
              VLOOKUP($G38,DanaSehat!$L$13:$AK$56,Y$4,FALSE)))</f>
        <v/>
      </c>
      <c r="Z38" s="18" t="str">
        <f>IF(ISNUMBER($L$6)=FALSE,"",
        IF(ISERROR(VLOOKUP($G38,DanaSehat!$L$13:$AK$56,Z$4,FALSE))=TRUE,"",
              VLOOKUP($G38,DanaSehat!$L$13:$AK$56,Z$4,FALSE)))</f>
        <v/>
      </c>
      <c r="AA38" s="18" t="str">
        <f>IF(ISNUMBER($L$6)=FALSE,"",
        IF(ISERROR(VLOOKUP($G38,DanaSehat!$L$13:$AK$56,AA$4,FALSE))=TRUE,"",
              VLOOKUP($G38,DanaSehat!$L$13:$AK$56,AA$4,FALSE)))</f>
        <v/>
      </c>
      <c r="AB38" s="18" t="str">
        <f>IF(ISNUMBER($L$6)=FALSE,"",
        IF(ISERROR(VLOOKUP($G38,DanaSehat!$L$13:$AK$56,AB$4,FALSE))=TRUE,"",
              VLOOKUP($G38,DanaSehat!$L$13:$AK$56,AB$4,FALSE)))</f>
        <v/>
      </c>
      <c r="AC38" s="18" t="str">
        <f>IF(ISNUMBER($L$6)=FALSE,"",
        IF(ISERROR(VLOOKUP($G38,DanaSehat!$L$13:$AK$56,AC$4,FALSE))=TRUE,"",
              VLOOKUP($G38,DanaSehat!$L$13:$AK$56,AC$4,FALSE)))</f>
        <v/>
      </c>
      <c r="AD38" s="18" t="str">
        <f>IF(ISNUMBER($L$6)=FALSE,"",
        IF(ISERROR(VLOOKUP($G38,DanaSehat!$L$13:$AK$56,AD$4,FALSE))=TRUE,"",
              VLOOKUP($G38,DanaSehat!$L$13:$AK$56,AD$4,FALSE)))</f>
        <v/>
      </c>
      <c r="AE38" s="18" t="str">
        <f>IF(ISNUMBER($L$6)=FALSE,"",
        IF(ISERROR(VLOOKUP($G38,DanaSehat!$L$13:$AK$56,AE$4,FALSE))=TRUE,"",
              VLOOKUP($G38,DanaSehat!$L$13:$AK$56,AE$4,FALSE)))</f>
        <v/>
      </c>
      <c r="AF38" s="18" t="str">
        <f>IF(ISNUMBER($L$6)=FALSE,"",
        IF(ISERROR(VLOOKUP($G38,DanaSehat!$L$13:$AK$56,AF$4,FALSE))=TRUE,"",
              VLOOKUP($G38,DanaSehat!$L$13:$AK$56,AF$4,FALSE)))</f>
        <v/>
      </c>
    </row>
    <row r="39" spans="1:32" s="60" customFormat="1" ht="10.5" x14ac:dyDescent="0.25">
      <c r="A39" s="59"/>
      <c r="C39" s="59">
        <f t="shared" si="3"/>
        <v>26</v>
      </c>
      <c r="D39" s="61"/>
      <c r="E39" s="77" t="str">
        <f t="shared" si="4"/>
        <v/>
      </c>
      <c r="F39" s="77" t="str">
        <f>IF(ISNUMBER($L$6)=FALSE,"",
IF($C39=0,"",VLOOKUP($E39,DanaSehat!$H$13:$L$56,4,FALSE)))</f>
        <v/>
      </c>
      <c r="G39" s="77" t="str">
        <f>IF(ISNUMBER($L$6)=FALSE,"",
IF($C39=0,"",VLOOKUP($E39,DanaSehat!$H$13:$L$56,5,FALSE)))</f>
        <v/>
      </c>
      <c r="H39" s="17" t="str">
        <f t="shared" si="5"/>
        <v/>
      </c>
      <c r="I39" s="18" t="str">
        <f>IF(ISNUMBER($L$6)=FALSE,"",
        IF(ISERROR(VLOOKUP($G39,DanaSehat!$L$13:$AK$56,I$4,FALSE))=TRUE,"",
              VLOOKUP($G39,DanaSehat!$L$13:$AK$56,I$4,FALSE)))</f>
        <v/>
      </c>
      <c r="J39" s="18" t="str">
        <f>IF(ISNUMBER($L$6)=FALSE,"",
        IF(ISERROR(VLOOKUP($G39,DanaSehat!$L$13:$AK$56,J$4,FALSE))=TRUE,"",
              VLOOKUP($G39,DanaSehat!$L$13:$AK$56,J$4,FALSE)))</f>
        <v/>
      </c>
      <c r="K39" s="18" t="str">
        <f>IF(ISNUMBER($L$6)=FALSE,"",
        IF(ISERROR(VLOOKUP($G39,DanaSehat!$L$13:$AK$56,K$4,FALSE))=TRUE,"",
              VLOOKUP($G39,DanaSehat!$L$13:$AK$56,K$4,FALSE)))</f>
        <v/>
      </c>
      <c r="L39" s="18" t="str">
        <f>IF(ISNUMBER($L$6)=FALSE,"",
        IF(ISERROR(VLOOKUP($G39,DanaSehat!$L$13:$AK$56,L$4,FALSE))=TRUE,"",
              VLOOKUP($G39,DanaSehat!$L$13:$AK$56,L$4,FALSE)))</f>
        <v/>
      </c>
      <c r="M39" s="18" t="str">
        <f>IF(ISNUMBER($L$6)=FALSE,"",
        IF(ISERROR(VLOOKUP($G39,DanaSehat!$L$13:$AK$56,M$4,FALSE))=TRUE,"",
              VLOOKUP($G39,DanaSehat!$L$13:$AK$56,M$4,FALSE)))</f>
        <v/>
      </c>
      <c r="N39" s="18" t="str">
        <f>IF(ISNUMBER($L$6)=FALSE,"",
        IF(ISERROR(VLOOKUP($G39,DanaSehat!$L$13:$AK$56,N$4,FALSE))=TRUE,"",
              VLOOKUP($G39,DanaSehat!$L$13:$AK$56,N$4,FALSE)))</f>
        <v/>
      </c>
      <c r="O39" s="18" t="str">
        <f>IF(ISNUMBER($L$6)=FALSE,"",
        IF(ISERROR(VLOOKUP($G39,DanaSehat!$L$13:$AK$56,O$4,FALSE))=TRUE,"",
              VLOOKUP($G39,DanaSehat!$L$13:$AK$56,O$4,FALSE)))</f>
        <v/>
      </c>
      <c r="P39" s="18" t="str">
        <f>IF(ISNUMBER($L$6)=FALSE,"",
        IF(ISERROR(VLOOKUP($G39,DanaSehat!$L$13:$AK$56,P$4,FALSE))=TRUE,"",
              VLOOKUP($G39,DanaSehat!$L$13:$AK$56,P$4,FALSE)))</f>
        <v/>
      </c>
      <c r="Q39" s="18" t="str">
        <f>IF(ISNUMBER($L$6)=FALSE,"",
        IF(ISERROR(VLOOKUP($G39,DanaSehat!$L$13:$AK$56,Q$4,FALSE))=TRUE,"",
              VLOOKUP($G39,DanaSehat!$L$13:$AK$56,Q$4,FALSE)))</f>
        <v/>
      </c>
      <c r="R39" s="18" t="str">
        <f>IF(ISNUMBER($L$6)=FALSE,"",
        IF(ISERROR(VLOOKUP($G39,DanaSehat!$L$13:$AK$56,R$4,FALSE))=TRUE,"",
              VLOOKUP($G39,DanaSehat!$L$13:$AK$56,R$4,FALSE)))</f>
        <v/>
      </c>
      <c r="S39" s="18" t="str">
        <f>IF(ISNUMBER($L$6)=FALSE,"",
        IF(ISERROR(VLOOKUP($G39,DanaSehat!$L$13:$AK$56,S$4,FALSE))=TRUE,"",
              VLOOKUP($G39,DanaSehat!$L$13:$AK$56,S$4,FALSE)))</f>
        <v/>
      </c>
      <c r="T39" s="18" t="str">
        <f>IF(ISNUMBER($L$6)=FALSE,"",
        IF(ISERROR(VLOOKUP($G39,DanaSehat!$L$13:$AK$56,T$4,FALSE))=TRUE,"",
              VLOOKUP($G39,DanaSehat!$L$13:$AK$56,T$4,FALSE)))</f>
        <v/>
      </c>
      <c r="U39" s="18" t="str">
        <f>IF(ISNUMBER($L$6)=FALSE,"",
        IF(ISERROR(VLOOKUP($G39,DanaSehat!$L$13:$AK$56,U$4,FALSE))=TRUE,"",
              VLOOKUP($G39,DanaSehat!$L$13:$AK$56,U$4,FALSE)))</f>
        <v/>
      </c>
      <c r="V39" s="18" t="str">
        <f>IF(ISNUMBER($L$6)=FALSE,"",
        IF(ISERROR(VLOOKUP($G39,DanaSehat!$L$13:$AK$56,V$4,FALSE))=TRUE,"",
              VLOOKUP($G39,DanaSehat!$L$13:$AK$56,V$4,FALSE)))</f>
        <v/>
      </c>
      <c r="W39" s="18" t="str">
        <f>IF(ISNUMBER($L$6)=FALSE,"",
        IF(ISERROR(VLOOKUP($G39,DanaSehat!$L$13:$AK$56,W$4,FALSE))=TRUE,"",
              VLOOKUP($G39,DanaSehat!$L$13:$AK$56,W$4,FALSE)))</f>
        <v/>
      </c>
      <c r="X39" s="18" t="str">
        <f>IF(ISNUMBER($L$6)=FALSE,"",
        IF(ISERROR(VLOOKUP($G39,DanaSehat!$L$13:$AK$56,X$4,FALSE))=TRUE,"",
              VLOOKUP($G39,DanaSehat!$L$13:$AK$56,X$4,FALSE)))</f>
        <v/>
      </c>
      <c r="Y39" s="18" t="str">
        <f>IF(ISNUMBER($L$6)=FALSE,"",
        IF(ISERROR(VLOOKUP($G39,DanaSehat!$L$13:$AK$56,Y$4,FALSE))=TRUE,"",
              VLOOKUP($G39,DanaSehat!$L$13:$AK$56,Y$4,FALSE)))</f>
        <v/>
      </c>
      <c r="Z39" s="18" t="str">
        <f>IF(ISNUMBER($L$6)=FALSE,"",
        IF(ISERROR(VLOOKUP($G39,DanaSehat!$L$13:$AK$56,Z$4,FALSE))=TRUE,"",
              VLOOKUP($G39,DanaSehat!$L$13:$AK$56,Z$4,FALSE)))</f>
        <v/>
      </c>
      <c r="AA39" s="18" t="str">
        <f>IF(ISNUMBER($L$6)=FALSE,"",
        IF(ISERROR(VLOOKUP($G39,DanaSehat!$L$13:$AK$56,AA$4,FALSE))=TRUE,"",
              VLOOKUP($G39,DanaSehat!$L$13:$AK$56,AA$4,FALSE)))</f>
        <v/>
      </c>
      <c r="AB39" s="18" t="str">
        <f>IF(ISNUMBER($L$6)=FALSE,"",
        IF(ISERROR(VLOOKUP($G39,DanaSehat!$L$13:$AK$56,AB$4,FALSE))=TRUE,"",
              VLOOKUP($G39,DanaSehat!$L$13:$AK$56,AB$4,FALSE)))</f>
        <v/>
      </c>
      <c r="AC39" s="18" t="str">
        <f>IF(ISNUMBER($L$6)=FALSE,"",
        IF(ISERROR(VLOOKUP($G39,DanaSehat!$L$13:$AK$56,AC$4,FALSE))=TRUE,"",
              VLOOKUP($G39,DanaSehat!$L$13:$AK$56,AC$4,FALSE)))</f>
        <v/>
      </c>
      <c r="AD39" s="18" t="str">
        <f>IF(ISNUMBER($L$6)=FALSE,"",
        IF(ISERROR(VLOOKUP($G39,DanaSehat!$L$13:$AK$56,AD$4,FALSE))=TRUE,"",
              VLOOKUP($G39,DanaSehat!$L$13:$AK$56,AD$4,FALSE)))</f>
        <v/>
      </c>
      <c r="AE39" s="18" t="str">
        <f>IF(ISNUMBER($L$6)=FALSE,"",
        IF(ISERROR(VLOOKUP($G39,DanaSehat!$L$13:$AK$56,AE$4,FALSE))=TRUE,"",
              VLOOKUP($G39,DanaSehat!$L$13:$AK$56,AE$4,FALSE)))</f>
        <v/>
      </c>
      <c r="AF39" s="18" t="str">
        <f>IF(ISNUMBER($L$6)=FALSE,"",
        IF(ISERROR(VLOOKUP($G39,DanaSehat!$L$13:$AK$56,AF$4,FALSE))=TRUE,"",
              VLOOKUP($G39,DanaSehat!$L$13:$AK$56,AF$4,FALSE)))</f>
        <v/>
      </c>
    </row>
    <row r="40" spans="1:32" s="60" customFormat="1" ht="10.5" x14ac:dyDescent="0.25">
      <c r="A40" s="59"/>
      <c r="C40" s="59">
        <f t="shared" si="3"/>
        <v>27</v>
      </c>
      <c r="D40" s="61"/>
      <c r="E40" s="77" t="str">
        <f t="shared" si="4"/>
        <v/>
      </c>
      <c r="F40" s="77" t="str">
        <f>IF(ISNUMBER($L$6)=FALSE,"",
IF($C40=0,"",VLOOKUP($E40,DanaSehat!$H$13:$L$56,4,FALSE)))</f>
        <v/>
      </c>
      <c r="G40" s="77" t="str">
        <f>IF(ISNUMBER($L$6)=FALSE,"",
IF($C40=0,"",VLOOKUP($E40,DanaSehat!$H$13:$L$56,5,FALSE)))</f>
        <v/>
      </c>
      <c r="H40" s="17" t="str">
        <f t="shared" si="5"/>
        <v/>
      </c>
      <c r="I40" s="18" t="str">
        <f>IF(ISNUMBER($L$6)=FALSE,"",
        IF(ISERROR(VLOOKUP($G40,DanaSehat!$L$13:$AK$56,I$4,FALSE))=TRUE,"",
              VLOOKUP($G40,DanaSehat!$L$13:$AK$56,I$4,FALSE)))</f>
        <v/>
      </c>
      <c r="J40" s="18" t="str">
        <f>IF(ISNUMBER($L$6)=FALSE,"",
        IF(ISERROR(VLOOKUP($G40,DanaSehat!$L$13:$AK$56,J$4,FALSE))=TRUE,"",
              VLOOKUP($G40,DanaSehat!$L$13:$AK$56,J$4,FALSE)))</f>
        <v/>
      </c>
      <c r="K40" s="18" t="str">
        <f>IF(ISNUMBER($L$6)=FALSE,"",
        IF(ISERROR(VLOOKUP($G40,DanaSehat!$L$13:$AK$56,K$4,FALSE))=TRUE,"",
              VLOOKUP($G40,DanaSehat!$L$13:$AK$56,K$4,FALSE)))</f>
        <v/>
      </c>
      <c r="L40" s="18" t="str">
        <f>IF(ISNUMBER($L$6)=FALSE,"",
        IF(ISERROR(VLOOKUP($G40,DanaSehat!$L$13:$AK$56,L$4,FALSE))=TRUE,"",
              VLOOKUP($G40,DanaSehat!$L$13:$AK$56,L$4,FALSE)))</f>
        <v/>
      </c>
      <c r="M40" s="18" t="str">
        <f>IF(ISNUMBER($L$6)=FALSE,"",
        IF(ISERROR(VLOOKUP($G40,DanaSehat!$L$13:$AK$56,M$4,FALSE))=TRUE,"",
              VLOOKUP($G40,DanaSehat!$L$13:$AK$56,M$4,FALSE)))</f>
        <v/>
      </c>
      <c r="N40" s="18" t="str">
        <f>IF(ISNUMBER($L$6)=FALSE,"",
        IF(ISERROR(VLOOKUP($G40,DanaSehat!$L$13:$AK$56,N$4,FALSE))=TRUE,"",
              VLOOKUP($G40,DanaSehat!$L$13:$AK$56,N$4,FALSE)))</f>
        <v/>
      </c>
      <c r="O40" s="18" t="str">
        <f>IF(ISNUMBER($L$6)=FALSE,"",
        IF(ISERROR(VLOOKUP($G40,DanaSehat!$L$13:$AK$56,O$4,FALSE))=TRUE,"",
              VLOOKUP($G40,DanaSehat!$L$13:$AK$56,O$4,FALSE)))</f>
        <v/>
      </c>
      <c r="P40" s="18" t="str">
        <f>IF(ISNUMBER($L$6)=FALSE,"",
        IF(ISERROR(VLOOKUP($G40,DanaSehat!$L$13:$AK$56,P$4,FALSE))=TRUE,"",
              VLOOKUP($G40,DanaSehat!$L$13:$AK$56,P$4,FALSE)))</f>
        <v/>
      </c>
      <c r="Q40" s="18" t="str">
        <f>IF(ISNUMBER($L$6)=FALSE,"",
        IF(ISERROR(VLOOKUP($G40,DanaSehat!$L$13:$AK$56,Q$4,FALSE))=TRUE,"",
              VLOOKUP($G40,DanaSehat!$L$13:$AK$56,Q$4,FALSE)))</f>
        <v/>
      </c>
      <c r="R40" s="18" t="str">
        <f>IF(ISNUMBER($L$6)=FALSE,"",
        IF(ISERROR(VLOOKUP($G40,DanaSehat!$L$13:$AK$56,R$4,FALSE))=TRUE,"",
              VLOOKUP($G40,DanaSehat!$L$13:$AK$56,R$4,FALSE)))</f>
        <v/>
      </c>
      <c r="S40" s="18" t="str">
        <f>IF(ISNUMBER($L$6)=FALSE,"",
        IF(ISERROR(VLOOKUP($G40,DanaSehat!$L$13:$AK$56,S$4,FALSE))=TRUE,"",
              VLOOKUP($G40,DanaSehat!$L$13:$AK$56,S$4,FALSE)))</f>
        <v/>
      </c>
      <c r="T40" s="18" t="str">
        <f>IF(ISNUMBER($L$6)=FALSE,"",
        IF(ISERROR(VLOOKUP($G40,DanaSehat!$L$13:$AK$56,T$4,FALSE))=TRUE,"",
              VLOOKUP($G40,DanaSehat!$L$13:$AK$56,T$4,FALSE)))</f>
        <v/>
      </c>
      <c r="U40" s="18" t="str">
        <f>IF(ISNUMBER($L$6)=FALSE,"",
        IF(ISERROR(VLOOKUP($G40,DanaSehat!$L$13:$AK$56,U$4,FALSE))=TRUE,"",
              VLOOKUP($G40,DanaSehat!$L$13:$AK$56,U$4,FALSE)))</f>
        <v/>
      </c>
      <c r="V40" s="18" t="str">
        <f>IF(ISNUMBER($L$6)=FALSE,"",
        IF(ISERROR(VLOOKUP($G40,DanaSehat!$L$13:$AK$56,V$4,FALSE))=TRUE,"",
              VLOOKUP($G40,DanaSehat!$L$13:$AK$56,V$4,FALSE)))</f>
        <v/>
      </c>
      <c r="W40" s="18" t="str">
        <f>IF(ISNUMBER($L$6)=FALSE,"",
        IF(ISERROR(VLOOKUP($G40,DanaSehat!$L$13:$AK$56,W$4,FALSE))=TRUE,"",
              VLOOKUP($G40,DanaSehat!$L$13:$AK$56,W$4,FALSE)))</f>
        <v/>
      </c>
      <c r="X40" s="18" t="str">
        <f>IF(ISNUMBER($L$6)=FALSE,"",
        IF(ISERROR(VLOOKUP($G40,DanaSehat!$L$13:$AK$56,X$4,FALSE))=TRUE,"",
              VLOOKUP($G40,DanaSehat!$L$13:$AK$56,X$4,FALSE)))</f>
        <v/>
      </c>
      <c r="Y40" s="18" t="str">
        <f>IF(ISNUMBER($L$6)=FALSE,"",
        IF(ISERROR(VLOOKUP($G40,DanaSehat!$L$13:$AK$56,Y$4,FALSE))=TRUE,"",
              VLOOKUP($G40,DanaSehat!$L$13:$AK$56,Y$4,FALSE)))</f>
        <v/>
      </c>
      <c r="Z40" s="18" t="str">
        <f>IF(ISNUMBER($L$6)=FALSE,"",
        IF(ISERROR(VLOOKUP($G40,DanaSehat!$L$13:$AK$56,Z$4,FALSE))=TRUE,"",
              VLOOKUP($G40,DanaSehat!$L$13:$AK$56,Z$4,FALSE)))</f>
        <v/>
      </c>
      <c r="AA40" s="18" t="str">
        <f>IF(ISNUMBER($L$6)=FALSE,"",
        IF(ISERROR(VLOOKUP($G40,DanaSehat!$L$13:$AK$56,AA$4,FALSE))=TRUE,"",
              VLOOKUP($G40,DanaSehat!$L$13:$AK$56,AA$4,FALSE)))</f>
        <v/>
      </c>
      <c r="AB40" s="18" t="str">
        <f>IF(ISNUMBER($L$6)=FALSE,"",
        IF(ISERROR(VLOOKUP($G40,DanaSehat!$L$13:$AK$56,AB$4,FALSE))=TRUE,"",
              VLOOKUP($G40,DanaSehat!$L$13:$AK$56,AB$4,FALSE)))</f>
        <v/>
      </c>
      <c r="AC40" s="18" t="str">
        <f>IF(ISNUMBER($L$6)=FALSE,"",
        IF(ISERROR(VLOOKUP($G40,DanaSehat!$L$13:$AK$56,AC$4,FALSE))=TRUE,"",
              VLOOKUP($G40,DanaSehat!$L$13:$AK$56,AC$4,FALSE)))</f>
        <v/>
      </c>
      <c r="AD40" s="18" t="str">
        <f>IF(ISNUMBER($L$6)=FALSE,"",
        IF(ISERROR(VLOOKUP($G40,DanaSehat!$L$13:$AK$56,AD$4,FALSE))=TRUE,"",
              VLOOKUP($G40,DanaSehat!$L$13:$AK$56,AD$4,FALSE)))</f>
        <v/>
      </c>
      <c r="AE40" s="18" t="str">
        <f>IF(ISNUMBER($L$6)=FALSE,"",
        IF(ISERROR(VLOOKUP($G40,DanaSehat!$L$13:$AK$56,AE$4,FALSE))=TRUE,"",
              VLOOKUP($G40,DanaSehat!$L$13:$AK$56,AE$4,FALSE)))</f>
        <v/>
      </c>
      <c r="AF40" s="18" t="str">
        <f>IF(ISNUMBER($L$6)=FALSE,"",
        IF(ISERROR(VLOOKUP($G40,DanaSehat!$L$13:$AK$56,AF$4,FALSE))=TRUE,"",
              VLOOKUP($G40,DanaSehat!$L$13:$AK$56,AF$4,FALSE)))</f>
        <v/>
      </c>
    </row>
    <row r="41" spans="1:32" s="60" customFormat="1" ht="10.5" x14ac:dyDescent="0.25">
      <c r="A41" s="59"/>
      <c r="C41" s="59">
        <f t="shared" si="3"/>
        <v>28</v>
      </c>
      <c r="D41" s="61"/>
      <c r="E41" s="77" t="str">
        <f t="shared" si="4"/>
        <v/>
      </c>
      <c r="F41" s="77" t="str">
        <f>IF(ISNUMBER($L$6)=FALSE,"",
IF($C41=0,"",VLOOKUP($E41,DanaSehat!$H$13:$L$56,4,FALSE)))</f>
        <v/>
      </c>
      <c r="G41" s="77" t="str">
        <f>IF(ISNUMBER($L$6)=FALSE,"",
IF($C41=0,"",VLOOKUP($E41,DanaSehat!$H$13:$L$56,5,FALSE)))</f>
        <v/>
      </c>
      <c r="H41" s="17" t="str">
        <f t="shared" si="5"/>
        <v/>
      </c>
      <c r="I41" s="18" t="str">
        <f>IF(ISNUMBER($L$6)=FALSE,"",
        IF(ISERROR(VLOOKUP($G41,DanaSehat!$L$13:$AK$56,I$4,FALSE))=TRUE,"",
              VLOOKUP($G41,DanaSehat!$L$13:$AK$56,I$4,FALSE)))</f>
        <v/>
      </c>
      <c r="J41" s="18" t="str">
        <f>IF(ISNUMBER($L$6)=FALSE,"",
        IF(ISERROR(VLOOKUP($G41,DanaSehat!$L$13:$AK$56,J$4,FALSE))=TRUE,"",
              VLOOKUP($G41,DanaSehat!$L$13:$AK$56,J$4,FALSE)))</f>
        <v/>
      </c>
      <c r="K41" s="18" t="str">
        <f>IF(ISNUMBER($L$6)=FALSE,"",
        IF(ISERROR(VLOOKUP($G41,DanaSehat!$L$13:$AK$56,K$4,FALSE))=TRUE,"",
              VLOOKUP($G41,DanaSehat!$L$13:$AK$56,K$4,FALSE)))</f>
        <v/>
      </c>
      <c r="L41" s="18" t="str">
        <f>IF(ISNUMBER($L$6)=FALSE,"",
        IF(ISERROR(VLOOKUP($G41,DanaSehat!$L$13:$AK$56,L$4,FALSE))=TRUE,"",
              VLOOKUP($G41,DanaSehat!$L$13:$AK$56,L$4,FALSE)))</f>
        <v/>
      </c>
      <c r="M41" s="18" t="str">
        <f>IF(ISNUMBER($L$6)=FALSE,"",
        IF(ISERROR(VLOOKUP($G41,DanaSehat!$L$13:$AK$56,M$4,FALSE))=TRUE,"",
              VLOOKUP($G41,DanaSehat!$L$13:$AK$56,M$4,FALSE)))</f>
        <v/>
      </c>
      <c r="N41" s="18" t="str">
        <f>IF(ISNUMBER($L$6)=FALSE,"",
        IF(ISERROR(VLOOKUP($G41,DanaSehat!$L$13:$AK$56,N$4,FALSE))=TRUE,"",
              VLOOKUP($G41,DanaSehat!$L$13:$AK$56,N$4,FALSE)))</f>
        <v/>
      </c>
      <c r="O41" s="18" t="str">
        <f>IF(ISNUMBER($L$6)=FALSE,"",
        IF(ISERROR(VLOOKUP($G41,DanaSehat!$L$13:$AK$56,O$4,FALSE))=TRUE,"",
              VLOOKUP($G41,DanaSehat!$L$13:$AK$56,O$4,FALSE)))</f>
        <v/>
      </c>
      <c r="P41" s="18" t="str">
        <f>IF(ISNUMBER($L$6)=FALSE,"",
        IF(ISERROR(VLOOKUP($G41,DanaSehat!$L$13:$AK$56,P$4,FALSE))=TRUE,"",
              VLOOKUP($G41,DanaSehat!$L$13:$AK$56,P$4,FALSE)))</f>
        <v/>
      </c>
      <c r="Q41" s="18" t="str">
        <f>IF(ISNUMBER($L$6)=FALSE,"",
        IF(ISERROR(VLOOKUP($G41,DanaSehat!$L$13:$AK$56,Q$4,FALSE))=TRUE,"",
              VLOOKUP($G41,DanaSehat!$L$13:$AK$56,Q$4,FALSE)))</f>
        <v/>
      </c>
      <c r="R41" s="18" t="str">
        <f>IF(ISNUMBER($L$6)=FALSE,"",
        IF(ISERROR(VLOOKUP($G41,DanaSehat!$L$13:$AK$56,R$4,FALSE))=TRUE,"",
              VLOOKUP($G41,DanaSehat!$L$13:$AK$56,R$4,FALSE)))</f>
        <v/>
      </c>
      <c r="S41" s="18" t="str">
        <f>IF(ISNUMBER($L$6)=FALSE,"",
        IF(ISERROR(VLOOKUP($G41,DanaSehat!$L$13:$AK$56,S$4,FALSE))=TRUE,"",
              VLOOKUP($G41,DanaSehat!$L$13:$AK$56,S$4,FALSE)))</f>
        <v/>
      </c>
      <c r="T41" s="18" t="str">
        <f>IF(ISNUMBER($L$6)=FALSE,"",
        IF(ISERROR(VLOOKUP($G41,DanaSehat!$L$13:$AK$56,T$4,FALSE))=TRUE,"",
              VLOOKUP($G41,DanaSehat!$L$13:$AK$56,T$4,FALSE)))</f>
        <v/>
      </c>
      <c r="U41" s="18" t="str">
        <f>IF(ISNUMBER($L$6)=FALSE,"",
        IF(ISERROR(VLOOKUP($G41,DanaSehat!$L$13:$AK$56,U$4,FALSE))=TRUE,"",
              VLOOKUP($G41,DanaSehat!$L$13:$AK$56,U$4,FALSE)))</f>
        <v/>
      </c>
      <c r="V41" s="18" t="str">
        <f>IF(ISNUMBER($L$6)=FALSE,"",
        IF(ISERROR(VLOOKUP($G41,DanaSehat!$L$13:$AK$56,V$4,FALSE))=TRUE,"",
              VLOOKUP($G41,DanaSehat!$L$13:$AK$56,V$4,FALSE)))</f>
        <v/>
      </c>
      <c r="W41" s="18" t="str">
        <f>IF(ISNUMBER($L$6)=FALSE,"",
        IF(ISERROR(VLOOKUP($G41,DanaSehat!$L$13:$AK$56,W$4,FALSE))=TRUE,"",
              VLOOKUP($G41,DanaSehat!$L$13:$AK$56,W$4,FALSE)))</f>
        <v/>
      </c>
      <c r="X41" s="18" t="str">
        <f>IF(ISNUMBER($L$6)=FALSE,"",
        IF(ISERROR(VLOOKUP($G41,DanaSehat!$L$13:$AK$56,X$4,FALSE))=TRUE,"",
              VLOOKUP($G41,DanaSehat!$L$13:$AK$56,X$4,FALSE)))</f>
        <v/>
      </c>
      <c r="Y41" s="18" t="str">
        <f>IF(ISNUMBER($L$6)=FALSE,"",
        IF(ISERROR(VLOOKUP($G41,DanaSehat!$L$13:$AK$56,Y$4,FALSE))=TRUE,"",
              VLOOKUP($G41,DanaSehat!$L$13:$AK$56,Y$4,FALSE)))</f>
        <v/>
      </c>
      <c r="Z41" s="18" t="str">
        <f>IF(ISNUMBER($L$6)=FALSE,"",
        IF(ISERROR(VLOOKUP($G41,DanaSehat!$L$13:$AK$56,Z$4,FALSE))=TRUE,"",
              VLOOKUP($G41,DanaSehat!$L$13:$AK$56,Z$4,FALSE)))</f>
        <v/>
      </c>
      <c r="AA41" s="18" t="str">
        <f>IF(ISNUMBER($L$6)=FALSE,"",
        IF(ISERROR(VLOOKUP($G41,DanaSehat!$L$13:$AK$56,AA$4,FALSE))=TRUE,"",
              VLOOKUP($G41,DanaSehat!$L$13:$AK$56,AA$4,FALSE)))</f>
        <v/>
      </c>
      <c r="AB41" s="18" t="str">
        <f>IF(ISNUMBER($L$6)=FALSE,"",
        IF(ISERROR(VLOOKUP($G41,DanaSehat!$L$13:$AK$56,AB$4,FALSE))=TRUE,"",
              VLOOKUP($G41,DanaSehat!$L$13:$AK$56,AB$4,FALSE)))</f>
        <v/>
      </c>
      <c r="AC41" s="18" t="str">
        <f>IF(ISNUMBER($L$6)=FALSE,"",
        IF(ISERROR(VLOOKUP($G41,DanaSehat!$L$13:$AK$56,AC$4,FALSE))=TRUE,"",
              VLOOKUP($G41,DanaSehat!$L$13:$AK$56,AC$4,FALSE)))</f>
        <v/>
      </c>
      <c r="AD41" s="18" t="str">
        <f>IF(ISNUMBER($L$6)=FALSE,"",
        IF(ISERROR(VLOOKUP($G41,DanaSehat!$L$13:$AK$56,AD$4,FALSE))=TRUE,"",
              VLOOKUP($G41,DanaSehat!$L$13:$AK$56,AD$4,FALSE)))</f>
        <v/>
      </c>
      <c r="AE41" s="18" t="str">
        <f>IF(ISNUMBER($L$6)=FALSE,"",
        IF(ISERROR(VLOOKUP($G41,DanaSehat!$L$13:$AK$56,AE$4,FALSE))=TRUE,"",
              VLOOKUP($G41,DanaSehat!$L$13:$AK$56,AE$4,FALSE)))</f>
        <v/>
      </c>
      <c r="AF41" s="18" t="str">
        <f>IF(ISNUMBER($L$6)=FALSE,"",
        IF(ISERROR(VLOOKUP($G41,DanaSehat!$L$13:$AK$56,AF$4,FALSE))=TRUE,"",
              VLOOKUP($G41,DanaSehat!$L$13:$AK$56,AF$4,FALSE)))</f>
        <v/>
      </c>
    </row>
    <row r="42" spans="1:32" s="60" customFormat="1" ht="10.5" x14ac:dyDescent="0.25">
      <c r="A42" s="59"/>
      <c r="C42" s="59">
        <f t="shared" si="3"/>
        <v>29</v>
      </c>
      <c r="D42" s="61"/>
      <c r="E42" s="77" t="str">
        <f t="shared" si="4"/>
        <v/>
      </c>
      <c r="F42" s="77" t="str">
        <f>IF(ISNUMBER($L$6)=FALSE,"",
IF($C42=0,"",VLOOKUP($E42,DanaSehat!$H$13:$L$56,4,FALSE)))</f>
        <v/>
      </c>
      <c r="G42" s="77" t="str">
        <f>IF(ISNUMBER($L$6)=FALSE,"",
IF($C42=0,"",VLOOKUP($E42,DanaSehat!$H$13:$L$56,5,FALSE)))</f>
        <v/>
      </c>
      <c r="H42" s="17" t="str">
        <f t="shared" si="5"/>
        <v/>
      </c>
      <c r="I42" s="18" t="str">
        <f>IF(ISNUMBER($L$6)=FALSE,"",
        IF(ISERROR(VLOOKUP($G42,DanaSehat!$L$13:$AK$56,I$4,FALSE))=TRUE,"",
              VLOOKUP($G42,DanaSehat!$L$13:$AK$56,I$4,FALSE)))</f>
        <v/>
      </c>
      <c r="J42" s="18" t="str">
        <f>IF(ISNUMBER($L$6)=FALSE,"",
        IF(ISERROR(VLOOKUP($G42,DanaSehat!$L$13:$AK$56,J$4,FALSE))=TRUE,"",
              VLOOKUP($G42,DanaSehat!$L$13:$AK$56,J$4,FALSE)))</f>
        <v/>
      </c>
      <c r="K42" s="18" t="str">
        <f>IF(ISNUMBER($L$6)=FALSE,"",
        IF(ISERROR(VLOOKUP($G42,DanaSehat!$L$13:$AK$56,K$4,FALSE))=TRUE,"",
              VLOOKUP($G42,DanaSehat!$L$13:$AK$56,K$4,FALSE)))</f>
        <v/>
      </c>
      <c r="L42" s="18" t="str">
        <f>IF(ISNUMBER($L$6)=FALSE,"",
        IF(ISERROR(VLOOKUP($G42,DanaSehat!$L$13:$AK$56,L$4,FALSE))=TRUE,"",
              VLOOKUP($G42,DanaSehat!$L$13:$AK$56,L$4,FALSE)))</f>
        <v/>
      </c>
      <c r="M42" s="18" t="str">
        <f>IF(ISNUMBER($L$6)=FALSE,"",
        IF(ISERROR(VLOOKUP($G42,DanaSehat!$L$13:$AK$56,M$4,FALSE))=TRUE,"",
              VLOOKUP($G42,DanaSehat!$L$13:$AK$56,M$4,FALSE)))</f>
        <v/>
      </c>
      <c r="N42" s="18" t="str">
        <f>IF(ISNUMBER($L$6)=FALSE,"",
        IF(ISERROR(VLOOKUP($G42,DanaSehat!$L$13:$AK$56,N$4,FALSE))=TRUE,"",
              VLOOKUP($G42,DanaSehat!$L$13:$AK$56,N$4,FALSE)))</f>
        <v/>
      </c>
      <c r="O42" s="18" t="str">
        <f>IF(ISNUMBER($L$6)=FALSE,"",
        IF(ISERROR(VLOOKUP($G42,DanaSehat!$L$13:$AK$56,O$4,FALSE))=TRUE,"",
              VLOOKUP($G42,DanaSehat!$L$13:$AK$56,O$4,FALSE)))</f>
        <v/>
      </c>
      <c r="P42" s="18" t="str">
        <f>IF(ISNUMBER($L$6)=FALSE,"",
        IF(ISERROR(VLOOKUP($G42,DanaSehat!$L$13:$AK$56,P$4,FALSE))=TRUE,"",
              VLOOKUP($G42,DanaSehat!$L$13:$AK$56,P$4,FALSE)))</f>
        <v/>
      </c>
      <c r="Q42" s="18" t="str">
        <f>IF(ISNUMBER($L$6)=FALSE,"",
        IF(ISERROR(VLOOKUP($G42,DanaSehat!$L$13:$AK$56,Q$4,FALSE))=TRUE,"",
              VLOOKUP($G42,DanaSehat!$L$13:$AK$56,Q$4,FALSE)))</f>
        <v/>
      </c>
      <c r="R42" s="18" t="str">
        <f>IF(ISNUMBER($L$6)=FALSE,"",
        IF(ISERROR(VLOOKUP($G42,DanaSehat!$L$13:$AK$56,R$4,FALSE))=TRUE,"",
              VLOOKUP($G42,DanaSehat!$L$13:$AK$56,R$4,FALSE)))</f>
        <v/>
      </c>
      <c r="S42" s="18" t="str">
        <f>IF(ISNUMBER($L$6)=FALSE,"",
        IF(ISERROR(VLOOKUP($G42,DanaSehat!$L$13:$AK$56,S$4,FALSE))=TRUE,"",
              VLOOKUP($G42,DanaSehat!$L$13:$AK$56,S$4,FALSE)))</f>
        <v/>
      </c>
      <c r="T42" s="18" t="str">
        <f>IF(ISNUMBER($L$6)=FALSE,"",
        IF(ISERROR(VLOOKUP($G42,DanaSehat!$L$13:$AK$56,T$4,FALSE))=TRUE,"",
              VLOOKUP($G42,DanaSehat!$L$13:$AK$56,T$4,FALSE)))</f>
        <v/>
      </c>
      <c r="U42" s="18" t="str">
        <f>IF(ISNUMBER($L$6)=FALSE,"",
        IF(ISERROR(VLOOKUP($G42,DanaSehat!$L$13:$AK$56,U$4,FALSE))=TRUE,"",
              VLOOKUP($G42,DanaSehat!$L$13:$AK$56,U$4,FALSE)))</f>
        <v/>
      </c>
      <c r="V42" s="18" t="str">
        <f>IF(ISNUMBER($L$6)=FALSE,"",
        IF(ISERROR(VLOOKUP($G42,DanaSehat!$L$13:$AK$56,V$4,FALSE))=TRUE,"",
              VLOOKUP($G42,DanaSehat!$L$13:$AK$56,V$4,FALSE)))</f>
        <v/>
      </c>
      <c r="W42" s="18" t="str">
        <f>IF(ISNUMBER($L$6)=FALSE,"",
        IF(ISERROR(VLOOKUP($G42,DanaSehat!$L$13:$AK$56,W$4,FALSE))=TRUE,"",
              VLOOKUP($G42,DanaSehat!$L$13:$AK$56,W$4,FALSE)))</f>
        <v/>
      </c>
      <c r="X42" s="18" t="str">
        <f>IF(ISNUMBER($L$6)=FALSE,"",
        IF(ISERROR(VLOOKUP($G42,DanaSehat!$L$13:$AK$56,X$4,FALSE))=TRUE,"",
              VLOOKUP($G42,DanaSehat!$L$13:$AK$56,X$4,FALSE)))</f>
        <v/>
      </c>
      <c r="Y42" s="18" t="str">
        <f>IF(ISNUMBER($L$6)=FALSE,"",
        IF(ISERROR(VLOOKUP($G42,DanaSehat!$L$13:$AK$56,Y$4,FALSE))=TRUE,"",
              VLOOKUP($G42,DanaSehat!$L$13:$AK$56,Y$4,FALSE)))</f>
        <v/>
      </c>
      <c r="Z42" s="18" t="str">
        <f>IF(ISNUMBER($L$6)=FALSE,"",
        IF(ISERROR(VLOOKUP($G42,DanaSehat!$L$13:$AK$56,Z$4,FALSE))=TRUE,"",
              VLOOKUP($G42,DanaSehat!$L$13:$AK$56,Z$4,FALSE)))</f>
        <v/>
      </c>
      <c r="AA42" s="18" t="str">
        <f>IF(ISNUMBER($L$6)=FALSE,"",
        IF(ISERROR(VLOOKUP($G42,DanaSehat!$L$13:$AK$56,AA$4,FALSE))=TRUE,"",
              VLOOKUP($G42,DanaSehat!$L$13:$AK$56,AA$4,FALSE)))</f>
        <v/>
      </c>
      <c r="AB42" s="18" t="str">
        <f>IF(ISNUMBER($L$6)=FALSE,"",
        IF(ISERROR(VLOOKUP($G42,DanaSehat!$L$13:$AK$56,AB$4,FALSE))=TRUE,"",
              VLOOKUP($G42,DanaSehat!$L$13:$AK$56,AB$4,FALSE)))</f>
        <v/>
      </c>
      <c r="AC42" s="18" t="str">
        <f>IF(ISNUMBER($L$6)=FALSE,"",
        IF(ISERROR(VLOOKUP($G42,DanaSehat!$L$13:$AK$56,AC$4,FALSE))=TRUE,"",
              VLOOKUP($G42,DanaSehat!$L$13:$AK$56,AC$4,FALSE)))</f>
        <v/>
      </c>
      <c r="AD42" s="18" t="str">
        <f>IF(ISNUMBER($L$6)=FALSE,"",
        IF(ISERROR(VLOOKUP($G42,DanaSehat!$L$13:$AK$56,AD$4,FALSE))=TRUE,"",
              VLOOKUP($G42,DanaSehat!$L$13:$AK$56,AD$4,FALSE)))</f>
        <v/>
      </c>
      <c r="AE42" s="18" t="str">
        <f>IF(ISNUMBER($L$6)=FALSE,"",
        IF(ISERROR(VLOOKUP($G42,DanaSehat!$L$13:$AK$56,AE$4,FALSE))=TRUE,"",
              VLOOKUP($G42,DanaSehat!$L$13:$AK$56,AE$4,FALSE)))</f>
        <v/>
      </c>
      <c r="AF42" s="18" t="str">
        <f>IF(ISNUMBER($L$6)=FALSE,"",
        IF(ISERROR(VLOOKUP($G42,DanaSehat!$L$13:$AK$56,AF$4,FALSE))=TRUE,"",
              VLOOKUP($G42,DanaSehat!$L$13:$AK$56,AF$4,FALSE)))</f>
        <v/>
      </c>
    </row>
    <row r="43" spans="1:32" s="60" customFormat="1" ht="10.5" x14ac:dyDescent="0.25">
      <c r="A43" s="59"/>
      <c r="C43" s="59">
        <f t="shared" si="3"/>
        <v>30</v>
      </c>
      <c r="D43" s="61"/>
      <c r="E43" s="77" t="str">
        <f t="shared" si="4"/>
        <v/>
      </c>
      <c r="F43" s="77" t="str">
        <f>IF(ISNUMBER($L$6)=FALSE,"",
IF($C43=0,"",VLOOKUP($E43,DanaSehat!$H$13:$L$56,4,FALSE)))</f>
        <v/>
      </c>
      <c r="G43" s="77" t="str">
        <f>IF(ISNUMBER($L$6)=FALSE,"",
IF($C43=0,"",VLOOKUP($E43,DanaSehat!$H$13:$L$56,5,FALSE)))</f>
        <v/>
      </c>
      <c r="H43" s="17" t="str">
        <f t="shared" si="5"/>
        <v/>
      </c>
      <c r="I43" s="18" t="str">
        <f>IF(ISNUMBER($L$6)=FALSE,"",
        IF(ISERROR(VLOOKUP($G43,DanaSehat!$L$13:$AK$56,I$4,FALSE))=TRUE,"",
              VLOOKUP($G43,DanaSehat!$L$13:$AK$56,I$4,FALSE)))</f>
        <v/>
      </c>
      <c r="J43" s="18" t="str">
        <f>IF(ISNUMBER($L$6)=FALSE,"",
        IF(ISERROR(VLOOKUP($G43,DanaSehat!$L$13:$AK$56,J$4,FALSE))=TRUE,"",
              VLOOKUP($G43,DanaSehat!$L$13:$AK$56,J$4,FALSE)))</f>
        <v/>
      </c>
      <c r="K43" s="18" t="str">
        <f>IF(ISNUMBER($L$6)=FALSE,"",
        IF(ISERROR(VLOOKUP($G43,DanaSehat!$L$13:$AK$56,K$4,FALSE))=TRUE,"",
              VLOOKUP($G43,DanaSehat!$L$13:$AK$56,K$4,FALSE)))</f>
        <v/>
      </c>
      <c r="L43" s="18" t="str">
        <f>IF(ISNUMBER($L$6)=FALSE,"",
        IF(ISERROR(VLOOKUP($G43,DanaSehat!$L$13:$AK$56,L$4,FALSE))=TRUE,"",
              VLOOKUP($G43,DanaSehat!$L$13:$AK$56,L$4,FALSE)))</f>
        <v/>
      </c>
      <c r="M43" s="18" t="str">
        <f>IF(ISNUMBER($L$6)=FALSE,"",
        IF(ISERROR(VLOOKUP($G43,DanaSehat!$L$13:$AK$56,M$4,FALSE))=TRUE,"",
              VLOOKUP($G43,DanaSehat!$L$13:$AK$56,M$4,FALSE)))</f>
        <v/>
      </c>
      <c r="N43" s="18" t="str">
        <f>IF(ISNUMBER($L$6)=FALSE,"",
        IF(ISERROR(VLOOKUP($G43,DanaSehat!$L$13:$AK$56,N$4,FALSE))=TRUE,"",
              VLOOKUP($G43,DanaSehat!$L$13:$AK$56,N$4,FALSE)))</f>
        <v/>
      </c>
      <c r="O43" s="18" t="str">
        <f>IF(ISNUMBER($L$6)=FALSE,"",
        IF(ISERROR(VLOOKUP($G43,DanaSehat!$L$13:$AK$56,O$4,FALSE))=TRUE,"",
              VLOOKUP($G43,DanaSehat!$L$13:$AK$56,O$4,FALSE)))</f>
        <v/>
      </c>
      <c r="P43" s="18" t="str">
        <f>IF(ISNUMBER($L$6)=FALSE,"",
        IF(ISERROR(VLOOKUP($G43,DanaSehat!$L$13:$AK$56,P$4,FALSE))=TRUE,"",
              VLOOKUP($G43,DanaSehat!$L$13:$AK$56,P$4,FALSE)))</f>
        <v/>
      </c>
      <c r="Q43" s="18" t="str">
        <f>IF(ISNUMBER($L$6)=FALSE,"",
        IF(ISERROR(VLOOKUP($G43,DanaSehat!$L$13:$AK$56,Q$4,FALSE))=TRUE,"",
              VLOOKUP($G43,DanaSehat!$L$13:$AK$56,Q$4,FALSE)))</f>
        <v/>
      </c>
      <c r="R43" s="18" t="str">
        <f>IF(ISNUMBER($L$6)=FALSE,"",
        IF(ISERROR(VLOOKUP($G43,DanaSehat!$L$13:$AK$56,R$4,FALSE))=TRUE,"",
              VLOOKUP($G43,DanaSehat!$L$13:$AK$56,R$4,FALSE)))</f>
        <v/>
      </c>
      <c r="S43" s="18" t="str">
        <f>IF(ISNUMBER($L$6)=FALSE,"",
        IF(ISERROR(VLOOKUP($G43,DanaSehat!$L$13:$AK$56,S$4,FALSE))=TRUE,"",
              VLOOKUP($G43,DanaSehat!$L$13:$AK$56,S$4,FALSE)))</f>
        <v/>
      </c>
      <c r="T43" s="18" t="str">
        <f>IF(ISNUMBER($L$6)=FALSE,"",
        IF(ISERROR(VLOOKUP($G43,DanaSehat!$L$13:$AK$56,T$4,FALSE))=TRUE,"",
              VLOOKUP($G43,DanaSehat!$L$13:$AK$56,T$4,FALSE)))</f>
        <v/>
      </c>
      <c r="U43" s="18" t="str">
        <f>IF(ISNUMBER($L$6)=FALSE,"",
        IF(ISERROR(VLOOKUP($G43,DanaSehat!$L$13:$AK$56,U$4,FALSE))=TRUE,"",
              VLOOKUP($G43,DanaSehat!$L$13:$AK$56,U$4,FALSE)))</f>
        <v/>
      </c>
      <c r="V43" s="18" t="str">
        <f>IF(ISNUMBER($L$6)=FALSE,"",
        IF(ISERROR(VLOOKUP($G43,DanaSehat!$L$13:$AK$56,V$4,FALSE))=TRUE,"",
              VLOOKUP($G43,DanaSehat!$L$13:$AK$56,V$4,FALSE)))</f>
        <v/>
      </c>
      <c r="W43" s="18" t="str">
        <f>IF(ISNUMBER($L$6)=FALSE,"",
        IF(ISERROR(VLOOKUP($G43,DanaSehat!$L$13:$AK$56,W$4,FALSE))=TRUE,"",
              VLOOKUP($G43,DanaSehat!$L$13:$AK$56,W$4,FALSE)))</f>
        <v/>
      </c>
      <c r="X43" s="18" t="str">
        <f>IF(ISNUMBER($L$6)=FALSE,"",
        IF(ISERROR(VLOOKUP($G43,DanaSehat!$L$13:$AK$56,X$4,FALSE))=TRUE,"",
              VLOOKUP($G43,DanaSehat!$L$13:$AK$56,X$4,FALSE)))</f>
        <v/>
      </c>
      <c r="Y43" s="18" t="str">
        <f>IF(ISNUMBER($L$6)=FALSE,"",
        IF(ISERROR(VLOOKUP($G43,DanaSehat!$L$13:$AK$56,Y$4,FALSE))=TRUE,"",
              VLOOKUP($G43,DanaSehat!$L$13:$AK$56,Y$4,FALSE)))</f>
        <v/>
      </c>
      <c r="Z43" s="18" t="str">
        <f>IF(ISNUMBER($L$6)=FALSE,"",
        IF(ISERROR(VLOOKUP($G43,DanaSehat!$L$13:$AK$56,Z$4,FALSE))=TRUE,"",
              VLOOKUP($G43,DanaSehat!$L$13:$AK$56,Z$4,FALSE)))</f>
        <v/>
      </c>
      <c r="AA43" s="18" t="str">
        <f>IF(ISNUMBER($L$6)=FALSE,"",
        IF(ISERROR(VLOOKUP($G43,DanaSehat!$L$13:$AK$56,AA$4,FALSE))=TRUE,"",
              VLOOKUP($G43,DanaSehat!$L$13:$AK$56,AA$4,FALSE)))</f>
        <v/>
      </c>
      <c r="AB43" s="18" t="str">
        <f>IF(ISNUMBER($L$6)=FALSE,"",
        IF(ISERROR(VLOOKUP($G43,DanaSehat!$L$13:$AK$56,AB$4,FALSE))=TRUE,"",
              VLOOKUP($G43,DanaSehat!$L$13:$AK$56,AB$4,FALSE)))</f>
        <v/>
      </c>
      <c r="AC43" s="18" t="str">
        <f>IF(ISNUMBER($L$6)=FALSE,"",
        IF(ISERROR(VLOOKUP($G43,DanaSehat!$L$13:$AK$56,AC$4,FALSE))=TRUE,"",
              VLOOKUP($G43,DanaSehat!$L$13:$AK$56,AC$4,FALSE)))</f>
        <v/>
      </c>
      <c r="AD43" s="18" t="str">
        <f>IF(ISNUMBER($L$6)=FALSE,"",
        IF(ISERROR(VLOOKUP($G43,DanaSehat!$L$13:$AK$56,AD$4,FALSE))=TRUE,"",
              VLOOKUP($G43,DanaSehat!$L$13:$AK$56,AD$4,FALSE)))</f>
        <v/>
      </c>
      <c r="AE43" s="18" t="str">
        <f>IF(ISNUMBER($L$6)=FALSE,"",
        IF(ISERROR(VLOOKUP($G43,DanaSehat!$L$13:$AK$56,AE$4,FALSE))=TRUE,"",
              VLOOKUP($G43,DanaSehat!$L$13:$AK$56,AE$4,FALSE)))</f>
        <v/>
      </c>
      <c r="AF43" s="18" t="str">
        <f>IF(ISNUMBER($L$6)=FALSE,"",
        IF(ISERROR(VLOOKUP($G43,DanaSehat!$L$13:$AK$56,AF$4,FALSE))=TRUE,"",
              VLOOKUP($G43,DanaSehat!$L$13:$AK$56,AF$4,FALSE)))</f>
        <v/>
      </c>
    </row>
    <row r="44" spans="1:32" s="60" customFormat="1" ht="10.5" x14ac:dyDescent="0.25">
      <c r="A44" s="59"/>
      <c r="C44" s="59">
        <f t="shared" si="3"/>
        <v>31</v>
      </c>
      <c r="D44" s="61"/>
      <c r="E44" s="77" t="str">
        <f t="shared" si="4"/>
        <v/>
      </c>
      <c r="F44" s="77" t="str">
        <f>IF(ISNUMBER($L$6)=FALSE,"",
IF($C44=0,"",VLOOKUP($E44,DanaSehat!$H$13:$L$56,4,FALSE)))</f>
        <v/>
      </c>
      <c r="G44" s="77" t="str">
        <f>IF(ISNUMBER($L$6)=FALSE,"",
IF($C44=0,"",VLOOKUP($E44,DanaSehat!$H$13:$L$56,5,FALSE)))</f>
        <v/>
      </c>
      <c r="H44" s="17" t="str">
        <f t="shared" si="5"/>
        <v/>
      </c>
      <c r="I44" s="18" t="str">
        <f>IF(ISNUMBER($L$6)=FALSE,"",
        IF(ISERROR(VLOOKUP($G44,DanaSehat!$L$13:$AK$56,I$4,FALSE))=TRUE,"",
              VLOOKUP($G44,DanaSehat!$L$13:$AK$56,I$4,FALSE)))</f>
        <v/>
      </c>
      <c r="J44" s="18" t="str">
        <f>IF(ISNUMBER($L$6)=FALSE,"",
        IF(ISERROR(VLOOKUP($G44,DanaSehat!$L$13:$AK$56,J$4,FALSE))=TRUE,"",
              VLOOKUP($G44,DanaSehat!$L$13:$AK$56,J$4,FALSE)))</f>
        <v/>
      </c>
      <c r="K44" s="18" t="str">
        <f>IF(ISNUMBER($L$6)=FALSE,"",
        IF(ISERROR(VLOOKUP($G44,DanaSehat!$L$13:$AK$56,K$4,FALSE))=TRUE,"",
              VLOOKUP($G44,DanaSehat!$L$13:$AK$56,K$4,FALSE)))</f>
        <v/>
      </c>
      <c r="L44" s="18" t="str">
        <f>IF(ISNUMBER($L$6)=FALSE,"",
        IF(ISERROR(VLOOKUP($G44,DanaSehat!$L$13:$AK$56,L$4,FALSE))=TRUE,"",
              VLOOKUP($G44,DanaSehat!$L$13:$AK$56,L$4,FALSE)))</f>
        <v/>
      </c>
      <c r="M44" s="18" t="str">
        <f>IF(ISNUMBER($L$6)=FALSE,"",
        IF(ISERROR(VLOOKUP($G44,DanaSehat!$L$13:$AK$56,M$4,FALSE))=TRUE,"",
              VLOOKUP($G44,DanaSehat!$L$13:$AK$56,M$4,FALSE)))</f>
        <v/>
      </c>
      <c r="N44" s="18" t="str">
        <f>IF(ISNUMBER($L$6)=FALSE,"",
        IF(ISERROR(VLOOKUP($G44,DanaSehat!$L$13:$AK$56,N$4,FALSE))=TRUE,"",
              VLOOKUP($G44,DanaSehat!$L$13:$AK$56,N$4,FALSE)))</f>
        <v/>
      </c>
      <c r="O44" s="18" t="str">
        <f>IF(ISNUMBER($L$6)=FALSE,"",
        IF(ISERROR(VLOOKUP($G44,DanaSehat!$L$13:$AK$56,O$4,FALSE))=TRUE,"",
              VLOOKUP($G44,DanaSehat!$L$13:$AK$56,O$4,FALSE)))</f>
        <v/>
      </c>
      <c r="P44" s="18" t="str">
        <f>IF(ISNUMBER($L$6)=FALSE,"",
        IF(ISERROR(VLOOKUP($G44,DanaSehat!$L$13:$AK$56,P$4,FALSE))=TRUE,"",
              VLOOKUP($G44,DanaSehat!$L$13:$AK$56,P$4,FALSE)))</f>
        <v/>
      </c>
      <c r="Q44" s="18" t="str">
        <f>IF(ISNUMBER($L$6)=FALSE,"",
        IF(ISERROR(VLOOKUP($G44,DanaSehat!$L$13:$AK$56,Q$4,FALSE))=TRUE,"",
              VLOOKUP($G44,DanaSehat!$L$13:$AK$56,Q$4,FALSE)))</f>
        <v/>
      </c>
      <c r="R44" s="18" t="str">
        <f>IF(ISNUMBER($L$6)=FALSE,"",
        IF(ISERROR(VLOOKUP($G44,DanaSehat!$L$13:$AK$56,R$4,FALSE))=TRUE,"",
              VLOOKUP($G44,DanaSehat!$L$13:$AK$56,R$4,FALSE)))</f>
        <v/>
      </c>
      <c r="S44" s="18" t="str">
        <f>IF(ISNUMBER($L$6)=FALSE,"",
        IF(ISERROR(VLOOKUP($G44,DanaSehat!$L$13:$AK$56,S$4,FALSE))=TRUE,"",
              VLOOKUP($G44,DanaSehat!$L$13:$AK$56,S$4,FALSE)))</f>
        <v/>
      </c>
      <c r="T44" s="18" t="str">
        <f>IF(ISNUMBER($L$6)=FALSE,"",
        IF(ISERROR(VLOOKUP($G44,DanaSehat!$L$13:$AK$56,T$4,FALSE))=TRUE,"",
              VLOOKUP($G44,DanaSehat!$L$13:$AK$56,T$4,FALSE)))</f>
        <v/>
      </c>
      <c r="U44" s="18" t="str">
        <f>IF(ISNUMBER($L$6)=FALSE,"",
        IF(ISERROR(VLOOKUP($G44,DanaSehat!$L$13:$AK$56,U$4,FALSE))=TRUE,"",
              VLOOKUP($G44,DanaSehat!$L$13:$AK$56,U$4,FALSE)))</f>
        <v/>
      </c>
      <c r="V44" s="18" t="str">
        <f>IF(ISNUMBER($L$6)=FALSE,"",
        IF(ISERROR(VLOOKUP($G44,DanaSehat!$L$13:$AK$56,V$4,FALSE))=TRUE,"",
              VLOOKUP($G44,DanaSehat!$L$13:$AK$56,V$4,FALSE)))</f>
        <v/>
      </c>
      <c r="W44" s="18" t="str">
        <f>IF(ISNUMBER($L$6)=FALSE,"",
        IF(ISERROR(VLOOKUP($G44,DanaSehat!$L$13:$AK$56,W$4,FALSE))=TRUE,"",
              VLOOKUP($G44,DanaSehat!$L$13:$AK$56,W$4,FALSE)))</f>
        <v/>
      </c>
      <c r="X44" s="18" t="str">
        <f>IF(ISNUMBER($L$6)=FALSE,"",
        IF(ISERROR(VLOOKUP($G44,DanaSehat!$L$13:$AK$56,X$4,FALSE))=TRUE,"",
              VLOOKUP($G44,DanaSehat!$L$13:$AK$56,X$4,FALSE)))</f>
        <v/>
      </c>
      <c r="Y44" s="18" t="str">
        <f>IF(ISNUMBER($L$6)=FALSE,"",
        IF(ISERROR(VLOOKUP($G44,DanaSehat!$L$13:$AK$56,Y$4,FALSE))=TRUE,"",
              VLOOKUP($G44,DanaSehat!$L$13:$AK$56,Y$4,FALSE)))</f>
        <v/>
      </c>
      <c r="Z44" s="18" t="str">
        <f>IF(ISNUMBER($L$6)=FALSE,"",
        IF(ISERROR(VLOOKUP($G44,DanaSehat!$L$13:$AK$56,Z$4,FALSE))=TRUE,"",
              VLOOKUP($G44,DanaSehat!$L$13:$AK$56,Z$4,FALSE)))</f>
        <v/>
      </c>
      <c r="AA44" s="18" t="str">
        <f>IF(ISNUMBER($L$6)=FALSE,"",
        IF(ISERROR(VLOOKUP($G44,DanaSehat!$L$13:$AK$56,AA$4,FALSE))=TRUE,"",
              VLOOKUP($G44,DanaSehat!$L$13:$AK$56,AA$4,FALSE)))</f>
        <v/>
      </c>
      <c r="AB44" s="18" t="str">
        <f>IF(ISNUMBER($L$6)=FALSE,"",
        IF(ISERROR(VLOOKUP($G44,DanaSehat!$L$13:$AK$56,AB$4,FALSE))=TRUE,"",
              VLOOKUP($G44,DanaSehat!$L$13:$AK$56,AB$4,FALSE)))</f>
        <v/>
      </c>
      <c r="AC44" s="18" t="str">
        <f>IF(ISNUMBER($L$6)=FALSE,"",
        IF(ISERROR(VLOOKUP($G44,DanaSehat!$L$13:$AK$56,AC$4,FALSE))=TRUE,"",
              VLOOKUP($G44,DanaSehat!$L$13:$AK$56,AC$4,FALSE)))</f>
        <v/>
      </c>
      <c r="AD44" s="18" t="str">
        <f>IF(ISNUMBER($L$6)=FALSE,"",
        IF(ISERROR(VLOOKUP($G44,DanaSehat!$L$13:$AK$56,AD$4,FALSE))=TRUE,"",
              VLOOKUP($G44,DanaSehat!$L$13:$AK$56,AD$4,FALSE)))</f>
        <v/>
      </c>
      <c r="AE44" s="18" t="str">
        <f>IF(ISNUMBER($L$6)=FALSE,"",
        IF(ISERROR(VLOOKUP($G44,DanaSehat!$L$13:$AK$56,AE$4,FALSE))=TRUE,"",
              VLOOKUP($G44,DanaSehat!$L$13:$AK$56,AE$4,FALSE)))</f>
        <v/>
      </c>
      <c r="AF44" s="18" t="str">
        <f>IF(ISNUMBER($L$6)=FALSE,"",
        IF(ISERROR(VLOOKUP($G44,DanaSehat!$L$13:$AK$56,AF$4,FALSE))=TRUE,"",
              VLOOKUP($G44,DanaSehat!$L$13:$AK$56,AF$4,FALSE)))</f>
        <v/>
      </c>
    </row>
    <row r="45" spans="1:32" s="60" customFormat="1" ht="10.5" x14ac:dyDescent="0.25">
      <c r="A45" s="59"/>
      <c r="C45" s="59">
        <f t="shared" si="3"/>
        <v>32</v>
      </c>
      <c r="D45" s="61"/>
      <c r="E45" s="77" t="str">
        <f t="shared" si="4"/>
        <v/>
      </c>
      <c r="F45" s="77" t="str">
        <f>IF(ISNUMBER($L$6)=FALSE,"",
IF($C45=0,"",VLOOKUP($E45,DanaSehat!$H$13:$L$56,4,FALSE)))</f>
        <v/>
      </c>
      <c r="G45" s="77" t="str">
        <f>IF(ISNUMBER($L$6)=FALSE,"",
IF($C45=0,"",VLOOKUP($E45,DanaSehat!$H$13:$L$56,5,FALSE)))</f>
        <v/>
      </c>
      <c r="H45" s="17" t="str">
        <f t="shared" si="5"/>
        <v/>
      </c>
      <c r="I45" s="18" t="str">
        <f>IF(ISNUMBER($L$6)=FALSE,"",
        IF(ISERROR(VLOOKUP($G45,DanaSehat!$L$13:$AK$56,I$4,FALSE))=TRUE,"",
              VLOOKUP($G45,DanaSehat!$L$13:$AK$56,I$4,FALSE)))</f>
        <v/>
      </c>
      <c r="J45" s="18" t="str">
        <f>IF(ISNUMBER($L$6)=FALSE,"",
        IF(ISERROR(VLOOKUP($G45,DanaSehat!$L$13:$AK$56,J$4,FALSE))=TRUE,"",
              VLOOKUP($G45,DanaSehat!$L$13:$AK$56,J$4,FALSE)))</f>
        <v/>
      </c>
      <c r="K45" s="18" t="str">
        <f>IF(ISNUMBER($L$6)=FALSE,"",
        IF(ISERROR(VLOOKUP($G45,DanaSehat!$L$13:$AK$56,K$4,FALSE))=TRUE,"",
              VLOOKUP($G45,DanaSehat!$L$13:$AK$56,K$4,FALSE)))</f>
        <v/>
      </c>
      <c r="L45" s="18" t="str">
        <f>IF(ISNUMBER($L$6)=FALSE,"",
        IF(ISERROR(VLOOKUP($G45,DanaSehat!$L$13:$AK$56,L$4,FALSE))=TRUE,"",
              VLOOKUP($G45,DanaSehat!$L$13:$AK$56,L$4,FALSE)))</f>
        <v/>
      </c>
      <c r="M45" s="18" t="str">
        <f>IF(ISNUMBER($L$6)=FALSE,"",
        IF(ISERROR(VLOOKUP($G45,DanaSehat!$L$13:$AK$56,M$4,FALSE))=TRUE,"",
              VLOOKUP($G45,DanaSehat!$L$13:$AK$56,M$4,FALSE)))</f>
        <v/>
      </c>
      <c r="N45" s="18" t="str">
        <f>IF(ISNUMBER($L$6)=FALSE,"",
        IF(ISERROR(VLOOKUP($G45,DanaSehat!$L$13:$AK$56,N$4,FALSE))=TRUE,"",
              VLOOKUP($G45,DanaSehat!$L$13:$AK$56,N$4,FALSE)))</f>
        <v/>
      </c>
      <c r="O45" s="18" t="str">
        <f>IF(ISNUMBER($L$6)=FALSE,"",
        IF(ISERROR(VLOOKUP($G45,DanaSehat!$L$13:$AK$56,O$4,FALSE))=TRUE,"",
              VLOOKUP($G45,DanaSehat!$L$13:$AK$56,O$4,FALSE)))</f>
        <v/>
      </c>
      <c r="P45" s="18" t="str">
        <f>IF(ISNUMBER($L$6)=FALSE,"",
        IF(ISERROR(VLOOKUP($G45,DanaSehat!$L$13:$AK$56,P$4,FALSE))=TRUE,"",
              VLOOKUP($G45,DanaSehat!$L$13:$AK$56,P$4,FALSE)))</f>
        <v/>
      </c>
      <c r="Q45" s="18" t="str">
        <f>IF(ISNUMBER($L$6)=FALSE,"",
        IF(ISERROR(VLOOKUP($G45,DanaSehat!$L$13:$AK$56,Q$4,FALSE))=TRUE,"",
              VLOOKUP($G45,DanaSehat!$L$13:$AK$56,Q$4,FALSE)))</f>
        <v/>
      </c>
      <c r="R45" s="18" t="str">
        <f>IF(ISNUMBER($L$6)=FALSE,"",
        IF(ISERROR(VLOOKUP($G45,DanaSehat!$L$13:$AK$56,R$4,FALSE))=TRUE,"",
              VLOOKUP($G45,DanaSehat!$L$13:$AK$56,R$4,FALSE)))</f>
        <v/>
      </c>
      <c r="S45" s="18" t="str">
        <f>IF(ISNUMBER($L$6)=FALSE,"",
        IF(ISERROR(VLOOKUP($G45,DanaSehat!$L$13:$AK$56,S$4,FALSE))=TRUE,"",
              VLOOKUP($G45,DanaSehat!$L$13:$AK$56,S$4,FALSE)))</f>
        <v/>
      </c>
      <c r="T45" s="18" t="str">
        <f>IF(ISNUMBER($L$6)=FALSE,"",
        IF(ISERROR(VLOOKUP($G45,DanaSehat!$L$13:$AK$56,T$4,FALSE))=TRUE,"",
              VLOOKUP($G45,DanaSehat!$L$13:$AK$56,T$4,FALSE)))</f>
        <v/>
      </c>
      <c r="U45" s="18" t="str">
        <f>IF(ISNUMBER($L$6)=FALSE,"",
        IF(ISERROR(VLOOKUP($G45,DanaSehat!$L$13:$AK$56,U$4,FALSE))=TRUE,"",
              VLOOKUP($G45,DanaSehat!$L$13:$AK$56,U$4,FALSE)))</f>
        <v/>
      </c>
      <c r="V45" s="18" t="str">
        <f>IF(ISNUMBER($L$6)=FALSE,"",
        IF(ISERROR(VLOOKUP($G45,DanaSehat!$L$13:$AK$56,V$4,FALSE))=TRUE,"",
              VLOOKUP($G45,DanaSehat!$L$13:$AK$56,V$4,FALSE)))</f>
        <v/>
      </c>
      <c r="W45" s="18" t="str">
        <f>IF(ISNUMBER($L$6)=FALSE,"",
        IF(ISERROR(VLOOKUP($G45,DanaSehat!$L$13:$AK$56,W$4,FALSE))=TRUE,"",
              VLOOKUP($G45,DanaSehat!$L$13:$AK$56,W$4,FALSE)))</f>
        <v/>
      </c>
      <c r="X45" s="18" t="str">
        <f>IF(ISNUMBER($L$6)=FALSE,"",
        IF(ISERROR(VLOOKUP($G45,DanaSehat!$L$13:$AK$56,X$4,FALSE))=TRUE,"",
              VLOOKUP($G45,DanaSehat!$L$13:$AK$56,X$4,FALSE)))</f>
        <v/>
      </c>
      <c r="Y45" s="18" t="str">
        <f>IF(ISNUMBER($L$6)=FALSE,"",
        IF(ISERROR(VLOOKUP($G45,DanaSehat!$L$13:$AK$56,Y$4,FALSE))=TRUE,"",
              VLOOKUP($G45,DanaSehat!$L$13:$AK$56,Y$4,FALSE)))</f>
        <v/>
      </c>
      <c r="Z45" s="18" t="str">
        <f>IF(ISNUMBER($L$6)=FALSE,"",
        IF(ISERROR(VLOOKUP($G45,DanaSehat!$L$13:$AK$56,Z$4,FALSE))=TRUE,"",
              VLOOKUP($G45,DanaSehat!$L$13:$AK$56,Z$4,FALSE)))</f>
        <v/>
      </c>
      <c r="AA45" s="18" t="str">
        <f>IF(ISNUMBER($L$6)=FALSE,"",
        IF(ISERROR(VLOOKUP($G45,DanaSehat!$L$13:$AK$56,AA$4,FALSE))=TRUE,"",
              VLOOKUP($G45,DanaSehat!$L$13:$AK$56,AA$4,FALSE)))</f>
        <v/>
      </c>
      <c r="AB45" s="18" t="str">
        <f>IF(ISNUMBER($L$6)=FALSE,"",
        IF(ISERROR(VLOOKUP($G45,DanaSehat!$L$13:$AK$56,AB$4,FALSE))=TRUE,"",
              VLOOKUP($G45,DanaSehat!$L$13:$AK$56,AB$4,FALSE)))</f>
        <v/>
      </c>
      <c r="AC45" s="18" t="str">
        <f>IF(ISNUMBER($L$6)=FALSE,"",
        IF(ISERROR(VLOOKUP($G45,DanaSehat!$L$13:$AK$56,AC$4,FALSE))=TRUE,"",
              VLOOKUP($G45,DanaSehat!$L$13:$AK$56,AC$4,FALSE)))</f>
        <v/>
      </c>
      <c r="AD45" s="18" t="str">
        <f>IF(ISNUMBER($L$6)=FALSE,"",
        IF(ISERROR(VLOOKUP($G45,DanaSehat!$L$13:$AK$56,AD$4,FALSE))=TRUE,"",
              VLOOKUP($G45,DanaSehat!$L$13:$AK$56,AD$4,FALSE)))</f>
        <v/>
      </c>
      <c r="AE45" s="18" t="str">
        <f>IF(ISNUMBER($L$6)=FALSE,"",
        IF(ISERROR(VLOOKUP($G45,DanaSehat!$L$13:$AK$56,AE$4,FALSE))=TRUE,"",
              VLOOKUP($G45,DanaSehat!$L$13:$AK$56,AE$4,FALSE)))</f>
        <v/>
      </c>
      <c r="AF45" s="18" t="str">
        <f>IF(ISNUMBER($L$6)=FALSE,"",
        IF(ISERROR(VLOOKUP($G45,DanaSehat!$L$13:$AK$56,AF$4,FALSE))=TRUE,"",
              VLOOKUP($G45,DanaSehat!$L$13:$AK$56,AF$4,FALSE)))</f>
        <v/>
      </c>
    </row>
    <row r="46" spans="1:32" s="60" customFormat="1" ht="10.5" x14ac:dyDescent="0.25">
      <c r="A46" s="59"/>
      <c r="C46" s="59">
        <f t="shared" si="3"/>
        <v>33</v>
      </c>
      <c r="D46" s="61"/>
      <c r="E46" s="77" t="str">
        <f t="shared" si="4"/>
        <v/>
      </c>
      <c r="F46" s="77" t="str">
        <f>IF(ISNUMBER($L$6)=FALSE,"",
IF($C46=0,"",VLOOKUP($E46,DanaSehat!$H$13:$L$56,4,FALSE)))</f>
        <v/>
      </c>
      <c r="G46" s="77" t="str">
        <f>IF(ISNUMBER($L$6)=FALSE,"",
IF($C46=0,"",VLOOKUP($E46,DanaSehat!$H$13:$L$56,5,FALSE)))</f>
        <v/>
      </c>
      <c r="H46" s="17" t="str">
        <f t="shared" si="5"/>
        <v/>
      </c>
      <c r="I46" s="18" t="str">
        <f>IF(ISNUMBER($L$6)=FALSE,"",
        IF(ISERROR(VLOOKUP($G46,DanaSehat!$L$13:$AK$56,I$4,FALSE))=TRUE,"",
              VLOOKUP($G46,DanaSehat!$L$13:$AK$56,I$4,FALSE)))</f>
        <v/>
      </c>
      <c r="J46" s="18" t="str">
        <f>IF(ISNUMBER($L$6)=FALSE,"",
        IF(ISERROR(VLOOKUP($G46,DanaSehat!$L$13:$AK$56,J$4,FALSE))=TRUE,"",
              VLOOKUP($G46,DanaSehat!$L$13:$AK$56,J$4,FALSE)))</f>
        <v/>
      </c>
      <c r="K46" s="18" t="str">
        <f>IF(ISNUMBER($L$6)=FALSE,"",
        IF(ISERROR(VLOOKUP($G46,DanaSehat!$L$13:$AK$56,K$4,FALSE))=TRUE,"",
              VLOOKUP($G46,DanaSehat!$L$13:$AK$56,K$4,FALSE)))</f>
        <v/>
      </c>
      <c r="L46" s="18" t="str">
        <f>IF(ISNUMBER($L$6)=FALSE,"",
        IF(ISERROR(VLOOKUP($G46,DanaSehat!$L$13:$AK$56,L$4,FALSE))=TRUE,"",
              VLOOKUP($G46,DanaSehat!$L$13:$AK$56,L$4,FALSE)))</f>
        <v/>
      </c>
      <c r="M46" s="18" t="str">
        <f>IF(ISNUMBER($L$6)=FALSE,"",
        IF(ISERROR(VLOOKUP($G46,DanaSehat!$L$13:$AK$56,M$4,FALSE))=TRUE,"",
              VLOOKUP($G46,DanaSehat!$L$13:$AK$56,M$4,FALSE)))</f>
        <v/>
      </c>
      <c r="N46" s="18" t="str">
        <f>IF(ISNUMBER($L$6)=FALSE,"",
        IF(ISERROR(VLOOKUP($G46,DanaSehat!$L$13:$AK$56,N$4,FALSE))=TRUE,"",
              VLOOKUP($G46,DanaSehat!$L$13:$AK$56,N$4,FALSE)))</f>
        <v/>
      </c>
      <c r="O46" s="18" t="str">
        <f>IF(ISNUMBER($L$6)=FALSE,"",
        IF(ISERROR(VLOOKUP($G46,DanaSehat!$L$13:$AK$56,O$4,FALSE))=TRUE,"",
              VLOOKUP($G46,DanaSehat!$L$13:$AK$56,O$4,FALSE)))</f>
        <v/>
      </c>
      <c r="P46" s="18" t="str">
        <f>IF(ISNUMBER($L$6)=FALSE,"",
        IF(ISERROR(VLOOKUP($G46,DanaSehat!$L$13:$AK$56,P$4,FALSE))=TRUE,"",
              VLOOKUP($G46,DanaSehat!$L$13:$AK$56,P$4,FALSE)))</f>
        <v/>
      </c>
      <c r="Q46" s="18" t="str">
        <f>IF(ISNUMBER($L$6)=FALSE,"",
        IF(ISERROR(VLOOKUP($G46,DanaSehat!$L$13:$AK$56,Q$4,FALSE))=TRUE,"",
              VLOOKUP($G46,DanaSehat!$L$13:$AK$56,Q$4,FALSE)))</f>
        <v/>
      </c>
      <c r="R46" s="18" t="str">
        <f>IF(ISNUMBER($L$6)=FALSE,"",
        IF(ISERROR(VLOOKUP($G46,DanaSehat!$L$13:$AK$56,R$4,FALSE))=TRUE,"",
              VLOOKUP($G46,DanaSehat!$L$13:$AK$56,R$4,FALSE)))</f>
        <v/>
      </c>
      <c r="S46" s="18" t="str">
        <f>IF(ISNUMBER($L$6)=FALSE,"",
        IF(ISERROR(VLOOKUP($G46,DanaSehat!$L$13:$AK$56,S$4,FALSE))=TRUE,"",
              VLOOKUP($G46,DanaSehat!$L$13:$AK$56,S$4,FALSE)))</f>
        <v/>
      </c>
      <c r="T46" s="18" t="str">
        <f>IF(ISNUMBER($L$6)=FALSE,"",
        IF(ISERROR(VLOOKUP($G46,DanaSehat!$L$13:$AK$56,T$4,FALSE))=TRUE,"",
              VLOOKUP($G46,DanaSehat!$L$13:$AK$56,T$4,FALSE)))</f>
        <v/>
      </c>
      <c r="U46" s="18" t="str">
        <f>IF(ISNUMBER($L$6)=FALSE,"",
        IF(ISERROR(VLOOKUP($G46,DanaSehat!$L$13:$AK$56,U$4,FALSE))=TRUE,"",
              VLOOKUP($G46,DanaSehat!$L$13:$AK$56,U$4,FALSE)))</f>
        <v/>
      </c>
      <c r="V46" s="18" t="str">
        <f>IF(ISNUMBER($L$6)=FALSE,"",
        IF(ISERROR(VLOOKUP($G46,DanaSehat!$L$13:$AK$56,V$4,FALSE))=TRUE,"",
              VLOOKUP($G46,DanaSehat!$L$13:$AK$56,V$4,FALSE)))</f>
        <v/>
      </c>
      <c r="W46" s="18" t="str">
        <f>IF(ISNUMBER($L$6)=FALSE,"",
        IF(ISERROR(VLOOKUP($G46,DanaSehat!$L$13:$AK$56,W$4,FALSE))=TRUE,"",
              VLOOKUP($G46,DanaSehat!$L$13:$AK$56,W$4,FALSE)))</f>
        <v/>
      </c>
      <c r="X46" s="18" t="str">
        <f>IF(ISNUMBER($L$6)=FALSE,"",
        IF(ISERROR(VLOOKUP($G46,DanaSehat!$L$13:$AK$56,X$4,FALSE))=TRUE,"",
              VLOOKUP($G46,DanaSehat!$L$13:$AK$56,X$4,FALSE)))</f>
        <v/>
      </c>
      <c r="Y46" s="18" t="str">
        <f>IF(ISNUMBER($L$6)=FALSE,"",
        IF(ISERROR(VLOOKUP($G46,DanaSehat!$L$13:$AK$56,Y$4,FALSE))=TRUE,"",
              VLOOKUP($G46,DanaSehat!$L$13:$AK$56,Y$4,FALSE)))</f>
        <v/>
      </c>
      <c r="Z46" s="18" t="str">
        <f>IF(ISNUMBER($L$6)=FALSE,"",
        IF(ISERROR(VLOOKUP($G46,DanaSehat!$L$13:$AK$56,Z$4,FALSE))=TRUE,"",
              VLOOKUP($G46,DanaSehat!$L$13:$AK$56,Z$4,FALSE)))</f>
        <v/>
      </c>
      <c r="AA46" s="18" t="str">
        <f>IF(ISNUMBER($L$6)=FALSE,"",
        IF(ISERROR(VLOOKUP($G46,DanaSehat!$L$13:$AK$56,AA$4,FALSE))=TRUE,"",
              VLOOKUP($G46,DanaSehat!$L$13:$AK$56,AA$4,FALSE)))</f>
        <v/>
      </c>
      <c r="AB46" s="18" t="str">
        <f>IF(ISNUMBER($L$6)=FALSE,"",
        IF(ISERROR(VLOOKUP($G46,DanaSehat!$L$13:$AK$56,AB$4,FALSE))=TRUE,"",
              VLOOKUP($G46,DanaSehat!$L$13:$AK$56,AB$4,FALSE)))</f>
        <v/>
      </c>
      <c r="AC46" s="18" t="str">
        <f>IF(ISNUMBER($L$6)=FALSE,"",
        IF(ISERROR(VLOOKUP($G46,DanaSehat!$L$13:$AK$56,AC$4,FALSE))=TRUE,"",
              VLOOKUP($G46,DanaSehat!$L$13:$AK$56,AC$4,FALSE)))</f>
        <v/>
      </c>
      <c r="AD46" s="18" t="str">
        <f>IF(ISNUMBER($L$6)=FALSE,"",
        IF(ISERROR(VLOOKUP($G46,DanaSehat!$L$13:$AK$56,AD$4,FALSE))=TRUE,"",
              VLOOKUP($G46,DanaSehat!$L$13:$AK$56,AD$4,FALSE)))</f>
        <v/>
      </c>
      <c r="AE46" s="18" t="str">
        <f>IF(ISNUMBER($L$6)=FALSE,"",
        IF(ISERROR(VLOOKUP($G46,DanaSehat!$L$13:$AK$56,AE$4,FALSE))=TRUE,"",
              VLOOKUP($G46,DanaSehat!$L$13:$AK$56,AE$4,FALSE)))</f>
        <v/>
      </c>
      <c r="AF46" s="18" t="str">
        <f>IF(ISNUMBER($L$6)=FALSE,"",
        IF(ISERROR(VLOOKUP($G46,DanaSehat!$L$13:$AK$56,AF$4,FALSE))=TRUE,"",
              VLOOKUP($G46,DanaSehat!$L$13:$AK$56,AF$4,FALSE)))</f>
        <v/>
      </c>
    </row>
    <row r="47" spans="1:32" s="60" customFormat="1" ht="10.5" x14ac:dyDescent="0.25">
      <c r="A47" s="59"/>
      <c r="C47" s="59">
        <f t="shared" ref="C47:C78" si="6">IF($C46=$C$4,0,
       IF($C46=0,0,$C46+1))</f>
        <v>34</v>
      </c>
      <c r="D47" s="61"/>
      <c r="E47" s="77" t="str">
        <f t="shared" si="4"/>
        <v/>
      </c>
      <c r="F47" s="77" t="str">
        <f>IF(ISNUMBER($L$6)=FALSE,"",
IF($C47=0,"",VLOOKUP($E47,DanaSehat!$H$13:$L$56,4,FALSE)))</f>
        <v/>
      </c>
      <c r="G47" s="77" t="str">
        <f>IF(ISNUMBER($L$6)=FALSE,"",
IF($C47=0,"",VLOOKUP($E47,DanaSehat!$H$13:$L$56,5,FALSE)))</f>
        <v/>
      </c>
      <c r="H47" s="17" t="str">
        <f t="shared" si="5"/>
        <v/>
      </c>
      <c r="I47" s="18" t="str">
        <f>IF(ISNUMBER($L$6)=FALSE,"",
        IF(ISERROR(VLOOKUP($G47,DanaSehat!$L$13:$AK$56,I$4,FALSE))=TRUE,"",
              VLOOKUP($G47,DanaSehat!$L$13:$AK$56,I$4,FALSE)))</f>
        <v/>
      </c>
      <c r="J47" s="18" t="str">
        <f>IF(ISNUMBER($L$6)=FALSE,"",
        IF(ISERROR(VLOOKUP($G47,DanaSehat!$L$13:$AK$56,J$4,FALSE))=TRUE,"",
              VLOOKUP($G47,DanaSehat!$L$13:$AK$56,J$4,FALSE)))</f>
        <v/>
      </c>
      <c r="K47" s="18" t="str">
        <f>IF(ISNUMBER($L$6)=FALSE,"",
        IF(ISERROR(VLOOKUP($G47,DanaSehat!$L$13:$AK$56,K$4,FALSE))=TRUE,"",
              VLOOKUP($G47,DanaSehat!$L$13:$AK$56,K$4,FALSE)))</f>
        <v/>
      </c>
      <c r="L47" s="18" t="str">
        <f>IF(ISNUMBER($L$6)=FALSE,"",
        IF(ISERROR(VLOOKUP($G47,DanaSehat!$L$13:$AK$56,L$4,FALSE))=TRUE,"",
              VLOOKUP($G47,DanaSehat!$L$13:$AK$56,L$4,FALSE)))</f>
        <v/>
      </c>
      <c r="M47" s="18" t="str">
        <f>IF(ISNUMBER($L$6)=FALSE,"",
        IF(ISERROR(VLOOKUP($G47,DanaSehat!$L$13:$AK$56,M$4,FALSE))=TRUE,"",
              VLOOKUP($G47,DanaSehat!$L$13:$AK$56,M$4,FALSE)))</f>
        <v/>
      </c>
      <c r="N47" s="18" t="str">
        <f>IF(ISNUMBER($L$6)=FALSE,"",
        IF(ISERROR(VLOOKUP($G47,DanaSehat!$L$13:$AK$56,N$4,FALSE))=TRUE,"",
              VLOOKUP($G47,DanaSehat!$L$13:$AK$56,N$4,FALSE)))</f>
        <v/>
      </c>
      <c r="O47" s="18" t="str">
        <f>IF(ISNUMBER($L$6)=FALSE,"",
        IF(ISERROR(VLOOKUP($G47,DanaSehat!$L$13:$AK$56,O$4,FALSE))=TRUE,"",
              VLOOKUP($G47,DanaSehat!$L$13:$AK$56,O$4,FALSE)))</f>
        <v/>
      </c>
      <c r="P47" s="18" t="str">
        <f>IF(ISNUMBER($L$6)=FALSE,"",
        IF(ISERROR(VLOOKUP($G47,DanaSehat!$L$13:$AK$56,P$4,FALSE))=TRUE,"",
              VLOOKUP($G47,DanaSehat!$L$13:$AK$56,P$4,FALSE)))</f>
        <v/>
      </c>
      <c r="Q47" s="18" t="str">
        <f>IF(ISNUMBER($L$6)=FALSE,"",
        IF(ISERROR(VLOOKUP($G47,DanaSehat!$L$13:$AK$56,Q$4,FALSE))=TRUE,"",
              VLOOKUP($G47,DanaSehat!$L$13:$AK$56,Q$4,FALSE)))</f>
        <v/>
      </c>
      <c r="R47" s="18" t="str">
        <f>IF(ISNUMBER($L$6)=FALSE,"",
        IF(ISERROR(VLOOKUP($G47,DanaSehat!$L$13:$AK$56,R$4,FALSE))=TRUE,"",
              VLOOKUP($G47,DanaSehat!$L$13:$AK$56,R$4,FALSE)))</f>
        <v/>
      </c>
      <c r="S47" s="18" t="str">
        <f>IF(ISNUMBER($L$6)=FALSE,"",
        IF(ISERROR(VLOOKUP($G47,DanaSehat!$L$13:$AK$56,S$4,FALSE))=TRUE,"",
              VLOOKUP($G47,DanaSehat!$L$13:$AK$56,S$4,FALSE)))</f>
        <v/>
      </c>
      <c r="T47" s="18" t="str">
        <f>IF(ISNUMBER($L$6)=FALSE,"",
        IF(ISERROR(VLOOKUP($G47,DanaSehat!$L$13:$AK$56,T$4,FALSE))=TRUE,"",
              VLOOKUP($G47,DanaSehat!$L$13:$AK$56,T$4,FALSE)))</f>
        <v/>
      </c>
      <c r="U47" s="18" t="str">
        <f>IF(ISNUMBER($L$6)=FALSE,"",
        IF(ISERROR(VLOOKUP($G47,DanaSehat!$L$13:$AK$56,U$4,FALSE))=TRUE,"",
              VLOOKUP($G47,DanaSehat!$L$13:$AK$56,U$4,FALSE)))</f>
        <v/>
      </c>
      <c r="V47" s="18" t="str">
        <f>IF(ISNUMBER($L$6)=FALSE,"",
        IF(ISERROR(VLOOKUP($G47,DanaSehat!$L$13:$AK$56,V$4,FALSE))=TRUE,"",
              VLOOKUP($G47,DanaSehat!$L$13:$AK$56,V$4,FALSE)))</f>
        <v/>
      </c>
      <c r="W47" s="18" t="str">
        <f>IF(ISNUMBER($L$6)=FALSE,"",
        IF(ISERROR(VLOOKUP($G47,DanaSehat!$L$13:$AK$56,W$4,FALSE))=TRUE,"",
              VLOOKUP($G47,DanaSehat!$L$13:$AK$56,W$4,FALSE)))</f>
        <v/>
      </c>
      <c r="X47" s="18" t="str">
        <f>IF(ISNUMBER($L$6)=FALSE,"",
        IF(ISERROR(VLOOKUP($G47,DanaSehat!$L$13:$AK$56,X$4,FALSE))=TRUE,"",
              VLOOKUP($G47,DanaSehat!$L$13:$AK$56,X$4,FALSE)))</f>
        <v/>
      </c>
      <c r="Y47" s="18" t="str">
        <f>IF(ISNUMBER($L$6)=FALSE,"",
        IF(ISERROR(VLOOKUP($G47,DanaSehat!$L$13:$AK$56,Y$4,FALSE))=TRUE,"",
              VLOOKUP($G47,DanaSehat!$L$13:$AK$56,Y$4,FALSE)))</f>
        <v/>
      </c>
      <c r="Z47" s="18" t="str">
        <f>IF(ISNUMBER($L$6)=FALSE,"",
        IF(ISERROR(VLOOKUP($G47,DanaSehat!$L$13:$AK$56,Z$4,FALSE))=TRUE,"",
              VLOOKUP($G47,DanaSehat!$L$13:$AK$56,Z$4,FALSE)))</f>
        <v/>
      </c>
      <c r="AA47" s="18" t="str">
        <f>IF(ISNUMBER($L$6)=FALSE,"",
        IF(ISERROR(VLOOKUP($G47,DanaSehat!$L$13:$AK$56,AA$4,FALSE))=TRUE,"",
              VLOOKUP($G47,DanaSehat!$L$13:$AK$56,AA$4,FALSE)))</f>
        <v/>
      </c>
      <c r="AB47" s="18" t="str">
        <f>IF(ISNUMBER($L$6)=FALSE,"",
        IF(ISERROR(VLOOKUP($G47,DanaSehat!$L$13:$AK$56,AB$4,FALSE))=TRUE,"",
              VLOOKUP($G47,DanaSehat!$L$13:$AK$56,AB$4,FALSE)))</f>
        <v/>
      </c>
      <c r="AC47" s="18" t="str">
        <f>IF(ISNUMBER($L$6)=FALSE,"",
        IF(ISERROR(VLOOKUP($G47,DanaSehat!$L$13:$AK$56,AC$4,FALSE))=TRUE,"",
              VLOOKUP($G47,DanaSehat!$L$13:$AK$56,AC$4,FALSE)))</f>
        <v/>
      </c>
      <c r="AD47" s="18" t="str">
        <f>IF(ISNUMBER($L$6)=FALSE,"",
        IF(ISERROR(VLOOKUP($G47,DanaSehat!$L$13:$AK$56,AD$4,FALSE))=TRUE,"",
              VLOOKUP($G47,DanaSehat!$L$13:$AK$56,AD$4,FALSE)))</f>
        <v/>
      </c>
      <c r="AE47" s="18" t="str">
        <f>IF(ISNUMBER($L$6)=FALSE,"",
        IF(ISERROR(VLOOKUP($G47,DanaSehat!$L$13:$AK$56,AE$4,FALSE))=TRUE,"",
              VLOOKUP($G47,DanaSehat!$L$13:$AK$56,AE$4,FALSE)))</f>
        <v/>
      </c>
      <c r="AF47" s="18" t="str">
        <f>IF(ISNUMBER($L$6)=FALSE,"",
        IF(ISERROR(VLOOKUP($G47,DanaSehat!$L$13:$AK$56,AF$4,FALSE))=TRUE,"",
              VLOOKUP($G47,DanaSehat!$L$13:$AK$56,AF$4,FALSE)))</f>
        <v/>
      </c>
    </row>
    <row r="48" spans="1:32" s="60" customFormat="1" ht="10.5" x14ac:dyDescent="0.25">
      <c r="A48" s="59"/>
      <c r="C48" s="59">
        <f t="shared" si="6"/>
        <v>35</v>
      </c>
      <c r="D48" s="61"/>
      <c r="E48" s="77" t="str">
        <f t="shared" si="4"/>
        <v/>
      </c>
      <c r="F48" s="77" t="str">
        <f>IF(ISNUMBER($L$6)=FALSE,"",
IF($C48=0,"",VLOOKUP($E48,DanaSehat!$H$13:$L$56,4,FALSE)))</f>
        <v/>
      </c>
      <c r="G48" s="77" t="str">
        <f>IF(ISNUMBER($L$6)=FALSE,"",
IF($C48=0,"",VLOOKUP($E48,DanaSehat!$H$13:$L$56,5,FALSE)))</f>
        <v/>
      </c>
      <c r="H48" s="17" t="str">
        <f t="shared" si="5"/>
        <v/>
      </c>
      <c r="I48" s="18" t="str">
        <f>IF(ISNUMBER($L$6)=FALSE,"",
        IF(ISERROR(VLOOKUP($G48,DanaSehat!$L$13:$AK$56,I$4,FALSE))=TRUE,"",
              VLOOKUP($G48,DanaSehat!$L$13:$AK$56,I$4,FALSE)))</f>
        <v/>
      </c>
      <c r="J48" s="18" t="str">
        <f>IF(ISNUMBER($L$6)=FALSE,"",
        IF(ISERROR(VLOOKUP($G48,DanaSehat!$L$13:$AK$56,J$4,FALSE))=TRUE,"",
              VLOOKUP($G48,DanaSehat!$L$13:$AK$56,J$4,FALSE)))</f>
        <v/>
      </c>
      <c r="K48" s="18" t="str">
        <f>IF(ISNUMBER($L$6)=FALSE,"",
        IF(ISERROR(VLOOKUP($G48,DanaSehat!$L$13:$AK$56,K$4,FALSE))=TRUE,"",
              VLOOKUP($G48,DanaSehat!$L$13:$AK$56,K$4,FALSE)))</f>
        <v/>
      </c>
      <c r="L48" s="18" t="str">
        <f>IF(ISNUMBER($L$6)=FALSE,"",
        IF(ISERROR(VLOOKUP($G48,DanaSehat!$L$13:$AK$56,L$4,FALSE))=TRUE,"",
              VLOOKUP($G48,DanaSehat!$L$13:$AK$56,L$4,FALSE)))</f>
        <v/>
      </c>
      <c r="M48" s="18" t="str">
        <f>IF(ISNUMBER($L$6)=FALSE,"",
        IF(ISERROR(VLOOKUP($G48,DanaSehat!$L$13:$AK$56,M$4,FALSE))=TRUE,"",
              VLOOKUP($G48,DanaSehat!$L$13:$AK$56,M$4,FALSE)))</f>
        <v/>
      </c>
      <c r="N48" s="18" t="str">
        <f>IF(ISNUMBER($L$6)=FALSE,"",
        IF(ISERROR(VLOOKUP($G48,DanaSehat!$L$13:$AK$56,N$4,FALSE))=TRUE,"",
              VLOOKUP($G48,DanaSehat!$L$13:$AK$56,N$4,FALSE)))</f>
        <v/>
      </c>
      <c r="O48" s="18" t="str">
        <f>IF(ISNUMBER($L$6)=FALSE,"",
        IF(ISERROR(VLOOKUP($G48,DanaSehat!$L$13:$AK$56,O$4,FALSE))=TRUE,"",
              VLOOKUP($G48,DanaSehat!$L$13:$AK$56,O$4,FALSE)))</f>
        <v/>
      </c>
      <c r="P48" s="18" t="str">
        <f>IF(ISNUMBER($L$6)=FALSE,"",
        IF(ISERROR(VLOOKUP($G48,DanaSehat!$L$13:$AK$56,P$4,FALSE))=TRUE,"",
              VLOOKUP($G48,DanaSehat!$L$13:$AK$56,P$4,FALSE)))</f>
        <v/>
      </c>
      <c r="Q48" s="18" t="str">
        <f>IF(ISNUMBER($L$6)=FALSE,"",
        IF(ISERROR(VLOOKUP($G48,DanaSehat!$L$13:$AK$56,Q$4,FALSE))=TRUE,"",
              VLOOKUP($G48,DanaSehat!$L$13:$AK$56,Q$4,FALSE)))</f>
        <v/>
      </c>
      <c r="R48" s="18" t="str">
        <f>IF(ISNUMBER($L$6)=FALSE,"",
        IF(ISERROR(VLOOKUP($G48,DanaSehat!$L$13:$AK$56,R$4,FALSE))=TRUE,"",
              VLOOKUP($G48,DanaSehat!$L$13:$AK$56,R$4,FALSE)))</f>
        <v/>
      </c>
      <c r="S48" s="18" t="str">
        <f>IF(ISNUMBER($L$6)=FALSE,"",
        IF(ISERROR(VLOOKUP($G48,DanaSehat!$L$13:$AK$56,S$4,FALSE))=TRUE,"",
              VLOOKUP($G48,DanaSehat!$L$13:$AK$56,S$4,FALSE)))</f>
        <v/>
      </c>
      <c r="T48" s="18" t="str">
        <f>IF(ISNUMBER($L$6)=FALSE,"",
        IF(ISERROR(VLOOKUP($G48,DanaSehat!$L$13:$AK$56,T$4,FALSE))=TRUE,"",
              VLOOKUP($G48,DanaSehat!$L$13:$AK$56,T$4,FALSE)))</f>
        <v/>
      </c>
      <c r="U48" s="18" t="str">
        <f>IF(ISNUMBER($L$6)=FALSE,"",
        IF(ISERROR(VLOOKUP($G48,DanaSehat!$L$13:$AK$56,U$4,FALSE))=TRUE,"",
              VLOOKUP($G48,DanaSehat!$L$13:$AK$56,U$4,FALSE)))</f>
        <v/>
      </c>
      <c r="V48" s="18" t="str">
        <f>IF(ISNUMBER($L$6)=FALSE,"",
        IF(ISERROR(VLOOKUP($G48,DanaSehat!$L$13:$AK$56,V$4,FALSE))=TRUE,"",
              VLOOKUP($G48,DanaSehat!$L$13:$AK$56,V$4,FALSE)))</f>
        <v/>
      </c>
      <c r="W48" s="18" t="str">
        <f>IF(ISNUMBER($L$6)=FALSE,"",
        IF(ISERROR(VLOOKUP($G48,DanaSehat!$L$13:$AK$56,W$4,FALSE))=TRUE,"",
              VLOOKUP($G48,DanaSehat!$L$13:$AK$56,W$4,FALSE)))</f>
        <v/>
      </c>
      <c r="X48" s="18" t="str">
        <f>IF(ISNUMBER($L$6)=FALSE,"",
        IF(ISERROR(VLOOKUP($G48,DanaSehat!$L$13:$AK$56,X$4,FALSE))=TRUE,"",
              VLOOKUP($G48,DanaSehat!$L$13:$AK$56,X$4,FALSE)))</f>
        <v/>
      </c>
      <c r="Y48" s="18" t="str">
        <f>IF(ISNUMBER($L$6)=FALSE,"",
        IF(ISERROR(VLOOKUP($G48,DanaSehat!$L$13:$AK$56,Y$4,FALSE))=TRUE,"",
              VLOOKUP($G48,DanaSehat!$L$13:$AK$56,Y$4,FALSE)))</f>
        <v/>
      </c>
      <c r="Z48" s="18" t="str">
        <f>IF(ISNUMBER($L$6)=FALSE,"",
        IF(ISERROR(VLOOKUP($G48,DanaSehat!$L$13:$AK$56,Z$4,FALSE))=TRUE,"",
              VLOOKUP($G48,DanaSehat!$L$13:$AK$56,Z$4,FALSE)))</f>
        <v/>
      </c>
      <c r="AA48" s="18" t="str">
        <f>IF(ISNUMBER($L$6)=FALSE,"",
        IF(ISERROR(VLOOKUP($G48,DanaSehat!$L$13:$AK$56,AA$4,FALSE))=TRUE,"",
              VLOOKUP($G48,DanaSehat!$L$13:$AK$56,AA$4,FALSE)))</f>
        <v/>
      </c>
      <c r="AB48" s="18" t="str">
        <f>IF(ISNUMBER($L$6)=FALSE,"",
        IF(ISERROR(VLOOKUP($G48,DanaSehat!$L$13:$AK$56,AB$4,FALSE))=TRUE,"",
              VLOOKUP($G48,DanaSehat!$L$13:$AK$56,AB$4,FALSE)))</f>
        <v/>
      </c>
      <c r="AC48" s="18" t="str">
        <f>IF(ISNUMBER($L$6)=FALSE,"",
        IF(ISERROR(VLOOKUP($G48,DanaSehat!$L$13:$AK$56,AC$4,FALSE))=TRUE,"",
              VLOOKUP($G48,DanaSehat!$L$13:$AK$56,AC$4,FALSE)))</f>
        <v/>
      </c>
      <c r="AD48" s="18" t="str">
        <f>IF(ISNUMBER($L$6)=FALSE,"",
        IF(ISERROR(VLOOKUP($G48,DanaSehat!$L$13:$AK$56,AD$4,FALSE))=TRUE,"",
              VLOOKUP($G48,DanaSehat!$L$13:$AK$56,AD$4,FALSE)))</f>
        <v/>
      </c>
      <c r="AE48" s="18" t="str">
        <f>IF(ISNUMBER($L$6)=FALSE,"",
        IF(ISERROR(VLOOKUP($G48,DanaSehat!$L$13:$AK$56,AE$4,FALSE))=TRUE,"",
              VLOOKUP($G48,DanaSehat!$L$13:$AK$56,AE$4,FALSE)))</f>
        <v/>
      </c>
      <c r="AF48" s="18" t="str">
        <f>IF(ISNUMBER($L$6)=FALSE,"",
        IF(ISERROR(VLOOKUP($G48,DanaSehat!$L$13:$AK$56,AF$4,FALSE))=TRUE,"",
              VLOOKUP($G48,DanaSehat!$L$13:$AK$56,AF$4,FALSE)))</f>
        <v/>
      </c>
    </row>
    <row r="49" spans="1:32" s="60" customFormat="1" ht="10.5" x14ac:dyDescent="0.25">
      <c r="A49" s="59"/>
      <c r="C49" s="59">
        <f t="shared" si="6"/>
        <v>36</v>
      </c>
      <c r="D49" s="61"/>
      <c r="E49" s="77" t="str">
        <f t="shared" si="4"/>
        <v/>
      </c>
      <c r="F49" s="77" t="str">
        <f>IF(ISNUMBER($L$6)=FALSE,"",
IF($C49=0,"",VLOOKUP($E49,DanaSehat!$H$13:$L$56,4,FALSE)))</f>
        <v/>
      </c>
      <c r="G49" s="77" t="str">
        <f>IF(ISNUMBER($L$6)=FALSE,"",
IF($C49=0,"",VLOOKUP($E49,DanaSehat!$H$13:$L$56,5,FALSE)))</f>
        <v/>
      </c>
      <c r="H49" s="17" t="str">
        <f t="shared" si="5"/>
        <v/>
      </c>
      <c r="I49" s="18" t="str">
        <f>IF(ISNUMBER($L$6)=FALSE,"",
        IF(ISERROR(VLOOKUP($G49,DanaSehat!$L$13:$AK$56,I$4,FALSE))=TRUE,"",
              VLOOKUP($G49,DanaSehat!$L$13:$AK$56,I$4,FALSE)))</f>
        <v/>
      </c>
      <c r="J49" s="18" t="str">
        <f>IF(ISNUMBER($L$6)=FALSE,"",
        IF(ISERROR(VLOOKUP($G49,DanaSehat!$L$13:$AK$56,J$4,FALSE))=TRUE,"",
              VLOOKUP($G49,DanaSehat!$L$13:$AK$56,J$4,FALSE)))</f>
        <v/>
      </c>
      <c r="K49" s="18" t="str">
        <f>IF(ISNUMBER($L$6)=FALSE,"",
        IF(ISERROR(VLOOKUP($G49,DanaSehat!$L$13:$AK$56,K$4,FALSE))=TRUE,"",
              VLOOKUP($G49,DanaSehat!$L$13:$AK$56,K$4,FALSE)))</f>
        <v/>
      </c>
      <c r="L49" s="18" t="str">
        <f>IF(ISNUMBER($L$6)=FALSE,"",
        IF(ISERROR(VLOOKUP($G49,DanaSehat!$L$13:$AK$56,L$4,FALSE))=TRUE,"",
              VLOOKUP($G49,DanaSehat!$L$13:$AK$56,L$4,FALSE)))</f>
        <v/>
      </c>
      <c r="M49" s="18" t="str">
        <f>IF(ISNUMBER($L$6)=FALSE,"",
        IF(ISERROR(VLOOKUP($G49,DanaSehat!$L$13:$AK$56,M$4,FALSE))=TRUE,"",
              VLOOKUP($G49,DanaSehat!$L$13:$AK$56,M$4,FALSE)))</f>
        <v/>
      </c>
      <c r="N49" s="18" t="str">
        <f>IF(ISNUMBER($L$6)=FALSE,"",
        IF(ISERROR(VLOOKUP($G49,DanaSehat!$L$13:$AK$56,N$4,FALSE))=TRUE,"",
              VLOOKUP($G49,DanaSehat!$L$13:$AK$56,N$4,FALSE)))</f>
        <v/>
      </c>
      <c r="O49" s="18" t="str">
        <f>IF(ISNUMBER($L$6)=FALSE,"",
        IF(ISERROR(VLOOKUP($G49,DanaSehat!$L$13:$AK$56,O$4,FALSE))=TRUE,"",
              VLOOKUP($G49,DanaSehat!$L$13:$AK$56,O$4,FALSE)))</f>
        <v/>
      </c>
      <c r="P49" s="18" t="str">
        <f>IF(ISNUMBER($L$6)=FALSE,"",
        IF(ISERROR(VLOOKUP($G49,DanaSehat!$L$13:$AK$56,P$4,FALSE))=TRUE,"",
              VLOOKUP($G49,DanaSehat!$L$13:$AK$56,P$4,FALSE)))</f>
        <v/>
      </c>
      <c r="Q49" s="18" t="str">
        <f>IF(ISNUMBER($L$6)=FALSE,"",
        IF(ISERROR(VLOOKUP($G49,DanaSehat!$L$13:$AK$56,Q$4,FALSE))=TRUE,"",
              VLOOKUP($G49,DanaSehat!$L$13:$AK$56,Q$4,FALSE)))</f>
        <v/>
      </c>
      <c r="R49" s="18" t="str">
        <f>IF(ISNUMBER($L$6)=FALSE,"",
        IF(ISERROR(VLOOKUP($G49,DanaSehat!$L$13:$AK$56,R$4,FALSE))=TRUE,"",
              VLOOKUP($G49,DanaSehat!$L$13:$AK$56,R$4,FALSE)))</f>
        <v/>
      </c>
      <c r="S49" s="18" t="str">
        <f>IF(ISNUMBER($L$6)=FALSE,"",
        IF(ISERROR(VLOOKUP($G49,DanaSehat!$L$13:$AK$56,S$4,FALSE))=TRUE,"",
              VLOOKUP($G49,DanaSehat!$L$13:$AK$56,S$4,FALSE)))</f>
        <v/>
      </c>
      <c r="T49" s="18" t="str">
        <f>IF(ISNUMBER($L$6)=FALSE,"",
        IF(ISERROR(VLOOKUP($G49,DanaSehat!$L$13:$AK$56,T$4,FALSE))=TRUE,"",
              VLOOKUP($G49,DanaSehat!$L$13:$AK$56,T$4,FALSE)))</f>
        <v/>
      </c>
      <c r="U49" s="18" t="str">
        <f>IF(ISNUMBER($L$6)=FALSE,"",
        IF(ISERROR(VLOOKUP($G49,DanaSehat!$L$13:$AK$56,U$4,FALSE))=TRUE,"",
              VLOOKUP($G49,DanaSehat!$L$13:$AK$56,U$4,FALSE)))</f>
        <v/>
      </c>
      <c r="V49" s="18" t="str">
        <f>IF(ISNUMBER($L$6)=FALSE,"",
        IF(ISERROR(VLOOKUP($G49,DanaSehat!$L$13:$AK$56,V$4,FALSE))=TRUE,"",
              VLOOKUP($G49,DanaSehat!$L$13:$AK$56,V$4,FALSE)))</f>
        <v/>
      </c>
      <c r="W49" s="18" t="str">
        <f>IF(ISNUMBER($L$6)=FALSE,"",
        IF(ISERROR(VLOOKUP($G49,DanaSehat!$L$13:$AK$56,W$4,FALSE))=TRUE,"",
              VLOOKUP($G49,DanaSehat!$L$13:$AK$56,W$4,FALSE)))</f>
        <v/>
      </c>
      <c r="X49" s="18" t="str">
        <f>IF(ISNUMBER($L$6)=FALSE,"",
        IF(ISERROR(VLOOKUP($G49,DanaSehat!$L$13:$AK$56,X$4,FALSE))=TRUE,"",
              VLOOKUP($G49,DanaSehat!$L$13:$AK$56,X$4,FALSE)))</f>
        <v/>
      </c>
      <c r="Y49" s="18" t="str">
        <f>IF(ISNUMBER($L$6)=FALSE,"",
        IF(ISERROR(VLOOKUP($G49,DanaSehat!$L$13:$AK$56,Y$4,FALSE))=TRUE,"",
              VLOOKUP($G49,DanaSehat!$L$13:$AK$56,Y$4,FALSE)))</f>
        <v/>
      </c>
      <c r="Z49" s="18" t="str">
        <f>IF(ISNUMBER($L$6)=FALSE,"",
        IF(ISERROR(VLOOKUP($G49,DanaSehat!$L$13:$AK$56,Z$4,FALSE))=TRUE,"",
              VLOOKUP($G49,DanaSehat!$L$13:$AK$56,Z$4,FALSE)))</f>
        <v/>
      </c>
      <c r="AA49" s="18" t="str">
        <f>IF(ISNUMBER($L$6)=FALSE,"",
        IF(ISERROR(VLOOKUP($G49,DanaSehat!$L$13:$AK$56,AA$4,FALSE))=TRUE,"",
              VLOOKUP($G49,DanaSehat!$L$13:$AK$56,AA$4,FALSE)))</f>
        <v/>
      </c>
      <c r="AB49" s="18" t="str">
        <f>IF(ISNUMBER($L$6)=FALSE,"",
        IF(ISERROR(VLOOKUP($G49,DanaSehat!$L$13:$AK$56,AB$4,FALSE))=TRUE,"",
              VLOOKUP($G49,DanaSehat!$L$13:$AK$56,AB$4,FALSE)))</f>
        <v/>
      </c>
      <c r="AC49" s="18" t="str">
        <f>IF(ISNUMBER($L$6)=FALSE,"",
        IF(ISERROR(VLOOKUP($G49,DanaSehat!$L$13:$AK$56,AC$4,FALSE))=TRUE,"",
              VLOOKUP($G49,DanaSehat!$L$13:$AK$56,AC$4,FALSE)))</f>
        <v/>
      </c>
      <c r="AD49" s="18" t="str">
        <f>IF(ISNUMBER($L$6)=FALSE,"",
        IF(ISERROR(VLOOKUP($G49,DanaSehat!$L$13:$AK$56,AD$4,FALSE))=TRUE,"",
              VLOOKUP($G49,DanaSehat!$L$13:$AK$56,AD$4,FALSE)))</f>
        <v/>
      </c>
      <c r="AE49" s="18" t="str">
        <f>IF(ISNUMBER($L$6)=FALSE,"",
        IF(ISERROR(VLOOKUP($G49,DanaSehat!$L$13:$AK$56,AE$4,FALSE))=TRUE,"",
              VLOOKUP($G49,DanaSehat!$L$13:$AK$56,AE$4,FALSE)))</f>
        <v/>
      </c>
      <c r="AF49" s="18" t="str">
        <f>IF(ISNUMBER($L$6)=FALSE,"",
        IF(ISERROR(VLOOKUP($G49,DanaSehat!$L$13:$AK$56,AF$4,FALSE))=TRUE,"",
              VLOOKUP($G49,DanaSehat!$L$13:$AK$56,AF$4,FALSE)))</f>
        <v/>
      </c>
    </row>
    <row r="50" spans="1:32" s="60" customFormat="1" ht="10.5" x14ac:dyDescent="0.25">
      <c r="A50" s="59"/>
      <c r="C50" s="59">
        <f t="shared" si="6"/>
        <v>37</v>
      </c>
      <c r="D50" s="61"/>
      <c r="E50" s="77" t="str">
        <f t="shared" si="4"/>
        <v/>
      </c>
      <c r="F50" s="77" t="str">
        <f>IF(ISNUMBER($L$6)=FALSE,"",
IF($C50=0,"",VLOOKUP($E50,DanaSehat!$H$13:$L$56,4,FALSE)))</f>
        <v/>
      </c>
      <c r="G50" s="77" t="str">
        <f>IF(ISNUMBER($L$6)=FALSE,"",
IF($C50=0,"",VLOOKUP($E50,DanaSehat!$H$13:$L$56,5,FALSE)))</f>
        <v/>
      </c>
      <c r="H50" s="17" t="str">
        <f t="shared" si="5"/>
        <v/>
      </c>
      <c r="I50" s="18" t="str">
        <f>IF(ISNUMBER($L$6)=FALSE,"",
        IF(ISERROR(VLOOKUP($G50,DanaSehat!$L$13:$AK$56,I$4,FALSE))=TRUE,"",
              VLOOKUP($G50,DanaSehat!$L$13:$AK$56,I$4,FALSE)))</f>
        <v/>
      </c>
      <c r="J50" s="18" t="str">
        <f>IF(ISNUMBER($L$6)=FALSE,"",
        IF(ISERROR(VLOOKUP($G50,DanaSehat!$L$13:$AK$56,J$4,FALSE))=TRUE,"",
              VLOOKUP($G50,DanaSehat!$L$13:$AK$56,J$4,FALSE)))</f>
        <v/>
      </c>
      <c r="K50" s="18" t="str">
        <f>IF(ISNUMBER($L$6)=FALSE,"",
        IF(ISERROR(VLOOKUP($G50,DanaSehat!$L$13:$AK$56,K$4,FALSE))=TRUE,"",
              VLOOKUP($G50,DanaSehat!$L$13:$AK$56,K$4,FALSE)))</f>
        <v/>
      </c>
      <c r="L50" s="18" t="str">
        <f>IF(ISNUMBER($L$6)=FALSE,"",
        IF(ISERROR(VLOOKUP($G50,DanaSehat!$L$13:$AK$56,L$4,FALSE))=TRUE,"",
              VLOOKUP($G50,DanaSehat!$L$13:$AK$56,L$4,FALSE)))</f>
        <v/>
      </c>
      <c r="M50" s="18" t="str">
        <f>IF(ISNUMBER($L$6)=FALSE,"",
        IF(ISERROR(VLOOKUP($G50,DanaSehat!$L$13:$AK$56,M$4,FALSE))=TRUE,"",
              VLOOKUP($G50,DanaSehat!$L$13:$AK$56,M$4,FALSE)))</f>
        <v/>
      </c>
      <c r="N50" s="18" t="str">
        <f>IF(ISNUMBER($L$6)=FALSE,"",
        IF(ISERROR(VLOOKUP($G50,DanaSehat!$L$13:$AK$56,N$4,FALSE))=TRUE,"",
              VLOOKUP($G50,DanaSehat!$L$13:$AK$56,N$4,FALSE)))</f>
        <v/>
      </c>
      <c r="O50" s="18" t="str">
        <f>IF(ISNUMBER($L$6)=FALSE,"",
        IF(ISERROR(VLOOKUP($G50,DanaSehat!$L$13:$AK$56,O$4,FALSE))=TRUE,"",
              VLOOKUP($G50,DanaSehat!$L$13:$AK$56,O$4,FALSE)))</f>
        <v/>
      </c>
      <c r="P50" s="18" t="str">
        <f>IF(ISNUMBER($L$6)=FALSE,"",
        IF(ISERROR(VLOOKUP($G50,DanaSehat!$L$13:$AK$56,P$4,FALSE))=TRUE,"",
              VLOOKUP($G50,DanaSehat!$L$13:$AK$56,P$4,FALSE)))</f>
        <v/>
      </c>
      <c r="Q50" s="18" t="str">
        <f>IF(ISNUMBER($L$6)=FALSE,"",
        IF(ISERROR(VLOOKUP($G50,DanaSehat!$L$13:$AK$56,Q$4,FALSE))=TRUE,"",
              VLOOKUP($G50,DanaSehat!$L$13:$AK$56,Q$4,FALSE)))</f>
        <v/>
      </c>
      <c r="R50" s="18" t="str">
        <f>IF(ISNUMBER($L$6)=FALSE,"",
        IF(ISERROR(VLOOKUP($G50,DanaSehat!$L$13:$AK$56,R$4,FALSE))=TRUE,"",
              VLOOKUP($G50,DanaSehat!$L$13:$AK$56,R$4,FALSE)))</f>
        <v/>
      </c>
      <c r="S50" s="18" t="str">
        <f>IF(ISNUMBER($L$6)=FALSE,"",
        IF(ISERROR(VLOOKUP($G50,DanaSehat!$L$13:$AK$56,S$4,FALSE))=TRUE,"",
              VLOOKUP($G50,DanaSehat!$L$13:$AK$56,S$4,FALSE)))</f>
        <v/>
      </c>
      <c r="T50" s="18" t="str">
        <f>IF(ISNUMBER($L$6)=FALSE,"",
        IF(ISERROR(VLOOKUP($G50,DanaSehat!$L$13:$AK$56,T$4,FALSE))=TRUE,"",
              VLOOKUP($G50,DanaSehat!$L$13:$AK$56,T$4,FALSE)))</f>
        <v/>
      </c>
      <c r="U50" s="18" t="str">
        <f>IF(ISNUMBER($L$6)=FALSE,"",
        IF(ISERROR(VLOOKUP($G50,DanaSehat!$L$13:$AK$56,U$4,FALSE))=TRUE,"",
              VLOOKUP($G50,DanaSehat!$L$13:$AK$56,U$4,FALSE)))</f>
        <v/>
      </c>
      <c r="V50" s="18" t="str">
        <f>IF(ISNUMBER($L$6)=FALSE,"",
        IF(ISERROR(VLOOKUP($G50,DanaSehat!$L$13:$AK$56,V$4,FALSE))=TRUE,"",
              VLOOKUP($G50,DanaSehat!$L$13:$AK$56,V$4,FALSE)))</f>
        <v/>
      </c>
      <c r="W50" s="18" t="str">
        <f>IF(ISNUMBER($L$6)=FALSE,"",
        IF(ISERROR(VLOOKUP($G50,DanaSehat!$L$13:$AK$56,W$4,FALSE))=TRUE,"",
              VLOOKUP($G50,DanaSehat!$L$13:$AK$56,W$4,FALSE)))</f>
        <v/>
      </c>
      <c r="X50" s="18" t="str">
        <f>IF(ISNUMBER($L$6)=FALSE,"",
        IF(ISERROR(VLOOKUP($G50,DanaSehat!$L$13:$AK$56,X$4,FALSE))=TRUE,"",
              VLOOKUP($G50,DanaSehat!$L$13:$AK$56,X$4,FALSE)))</f>
        <v/>
      </c>
      <c r="Y50" s="18" t="str">
        <f>IF(ISNUMBER($L$6)=FALSE,"",
        IF(ISERROR(VLOOKUP($G50,DanaSehat!$L$13:$AK$56,Y$4,FALSE))=TRUE,"",
              VLOOKUP($G50,DanaSehat!$L$13:$AK$56,Y$4,FALSE)))</f>
        <v/>
      </c>
      <c r="Z50" s="18" t="str">
        <f>IF(ISNUMBER($L$6)=FALSE,"",
        IF(ISERROR(VLOOKUP($G50,DanaSehat!$L$13:$AK$56,Z$4,FALSE))=TRUE,"",
              VLOOKUP($G50,DanaSehat!$L$13:$AK$56,Z$4,FALSE)))</f>
        <v/>
      </c>
      <c r="AA50" s="18" t="str">
        <f>IF(ISNUMBER($L$6)=FALSE,"",
        IF(ISERROR(VLOOKUP($G50,DanaSehat!$L$13:$AK$56,AA$4,FALSE))=TRUE,"",
              VLOOKUP($G50,DanaSehat!$L$13:$AK$56,AA$4,FALSE)))</f>
        <v/>
      </c>
      <c r="AB50" s="18" t="str">
        <f>IF(ISNUMBER($L$6)=FALSE,"",
        IF(ISERROR(VLOOKUP($G50,DanaSehat!$L$13:$AK$56,AB$4,FALSE))=TRUE,"",
              VLOOKUP($G50,DanaSehat!$L$13:$AK$56,AB$4,FALSE)))</f>
        <v/>
      </c>
      <c r="AC50" s="18" t="str">
        <f>IF(ISNUMBER($L$6)=FALSE,"",
        IF(ISERROR(VLOOKUP($G50,DanaSehat!$L$13:$AK$56,AC$4,FALSE))=TRUE,"",
              VLOOKUP($G50,DanaSehat!$L$13:$AK$56,AC$4,FALSE)))</f>
        <v/>
      </c>
      <c r="AD50" s="18" t="str">
        <f>IF(ISNUMBER($L$6)=FALSE,"",
        IF(ISERROR(VLOOKUP($G50,DanaSehat!$L$13:$AK$56,AD$4,FALSE))=TRUE,"",
              VLOOKUP($G50,DanaSehat!$L$13:$AK$56,AD$4,FALSE)))</f>
        <v/>
      </c>
      <c r="AE50" s="18" t="str">
        <f>IF(ISNUMBER($L$6)=FALSE,"",
        IF(ISERROR(VLOOKUP($G50,DanaSehat!$L$13:$AK$56,AE$4,FALSE))=TRUE,"",
              VLOOKUP($G50,DanaSehat!$L$13:$AK$56,AE$4,FALSE)))</f>
        <v/>
      </c>
      <c r="AF50" s="18" t="str">
        <f>IF(ISNUMBER($L$6)=FALSE,"",
        IF(ISERROR(VLOOKUP($G50,DanaSehat!$L$13:$AK$56,AF$4,FALSE))=TRUE,"",
              VLOOKUP($G50,DanaSehat!$L$13:$AK$56,AF$4,FALSE)))</f>
        <v/>
      </c>
    </row>
    <row r="51" spans="1:32" s="60" customFormat="1" ht="10.5" x14ac:dyDescent="0.25">
      <c r="A51" s="59"/>
      <c r="C51" s="59">
        <f t="shared" si="6"/>
        <v>38</v>
      </c>
      <c r="D51" s="61"/>
      <c r="E51" s="77" t="str">
        <f t="shared" si="4"/>
        <v/>
      </c>
      <c r="F51" s="77" t="str">
        <f>IF(ISNUMBER($L$6)=FALSE,"",
IF($C51=0,"",VLOOKUP($E51,DanaSehat!$H$13:$L$56,4,FALSE)))</f>
        <v/>
      </c>
      <c r="G51" s="77" t="str">
        <f>IF(ISNUMBER($L$6)=FALSE,"",
IF($C51=0,"",VLOOKUP($E51,DanaSehat!$H$13:$L$56,5,FALSE)))</f>
        <v/>
      </c>
      <c r="H51" s="17" t="str">
        <f t="shared" si="5"/>
        <v/>
      </c>
      <c r="I51" s="18" t="str">
        <f>IF(ISNUMBER($L$6)=FALSE,"",
        IF(ISERROR(VLOOKUP($G51,DanaSehat!$L$13:$AK$56,I$4,FALSE))=TRUE,"",
              VLOOKUP($G51,DanaSehat!$L$13:$AK$56,I$4,FALSE)))</f>
        <v/>
      </c>
      <c r="J51" s="18" t="str">
        <f>IF(ISNUMBER($L$6)=FALSE,"",
        IF(ISERROR(VLOOKUP($G51,DanaSehat!$L$13:$AK$56,J$4,FALSE))=TRUE,"",
              VLOOKUP($G51,DanaSehat!$L$13:$AK$56,J$4,FALSE)))</f>
        <v/>
      </c>
      <c r="K51" s="18" t="str">
        <f>IF(ISNUMBER($L$6)=FALSE,"",
        IF(ISERROR(VLOOKUP($G51,DanaSehat!$L$13:$AK$56,K$4,FALSE))=TRUE,"",
              VLOOKUP($G51,DanaSehat!$L$13:$AK$56,K$4,FALSE)))</f>
        <v/>
      </c>
      <c r="L51" s="18" t="str">
        <f>IF(ISNUMBER($L$6)=FALSE,"",
        IF(ISERROR(VLOOKUP($G51,DanaSehat!$L$13:$AK$56,L$4,FALSE))=TRUE,"",
              VLOOKUP($G51,DanaSehat!$L$13:$AK$56,L$4,FALSE)))</f>
        <v/>
      </c>
      <c r="M51" s="18" t="str">
        <f>IF(ISNUMBER($L$6)=FALSE,"",
        IF(ISERROR(VLOOKUP($G51,DanaSehat!$L$13:$AK$56,M$4,FALSE))=TRUE,"",
              VLOOKUP($G51,DanaSehat!$L$13:$AK$56,M$4,FALSE)))</f>
        <v/>
      </c>
      <c r="N51" s="18" t="str">
        <f>IF(ISNUMBER($L$6)=FALSE,"",
        IF(ISERROR(VLOOKUP($G51,DanaSehat!$L$13:$AK$56,N$4,FALSE))=TRUE,"",
              VLOOKUP($G51,DanaSehat!$L$13:$AK$56,N$4,FALSE)))</f>
        <v/>
      </c>
      <c r="O51" s="18" t="str">
        <f>IF(ISNUMBER($L$6)=FALSE,"",
        IF(ISERROR(VLOOKUP($G51,DanaSehat!$L$13:$AK$56,O$4,FALSE))=TRUE,"",
              VLOOKUP($G51,DanaSehat!$L$13:$AK$56,O$4,FALSE)))</f>
        <v/>
      </c>
      <c r="P51" s="18" t="str">
        <f>IF(ISNUMBER($L$6)=FALSE,"",
        IF(ISERROR(VLOOKUP($G51,DanaSehat!$L$13:$AK$56,P$4,FALSE))=TRUE,"",
              VLOOKUP($G51,DanaSehat!$L$13:$AK$56,P$4,FALSE)))</f>
        <v/>
      </c>
      <c r="Q51" s="18" t="str">
        <f>IF(ISNUMBER($L$6)=FALSE,"",
        IF(ISERROR(VLOOKUP($G51,DanaSehat!$L$13:$AK$56,Q$4,FALSE))=TRUE,"",
              VLOOKUP($G51,DanaSehat!$L$13:$AK$56,Q$4,FALSE)))</f>
        <v/>
      </c>
      <c r="R51" s="18" t="str">
        <f>IF(ISNUMBER($L$6)=FALSE,"",
        IF(ISERROR(VLOOKUP($G51,DanaSehat!$L$13:$AK$56,R$4,FALSE))=TRUE,"",
              VLOOKUP($G51,DanaSehat!$L$13:$AK$56,R$4,FALSE)))</f>
        <v/>
      </c>
      <c r="S51" s="18" t="str">
        <f>IF(ISNUMBER($L$6)=FALSE,"",
        IF(ISERROR(VLOOKUP($G51,DanaSehat!$L$13:$AK$56,S$4,FALSE))=TRUE,"",
              VLOOKUP($G51,DanaSehat!$L$13:$AK$56,S$4,FALSE)))</f>
        <v/>
      </c>
      <c r="T51" s="18" t="str">
        <f>IF(ISNUMBER($L$6)=FALSE,"",
        IF(ISERROR(VLOOKUP($G51,DanaSehat!$L$13:$AK$56,T$4,FALSE))=TRUE,"",
              VLOOKUP($G51,DanaSehat!$L$13:$AK$56,T$4,FALSE)))</f>
        <v/>
      </c>
      <c r="U51" s="18" t="str">
        <f>IF(ISNUMBER($L$6)=FALSE,"",
        IF(ISERROR(VLOOKUP($G51,DanaSehat!$L$13:$AK$56,U$4,FALSE))=TRUE,"",
              VLOOKUP($G51,DanaSehat!$L$13:$AK$56,U$4,FALSE)))</f>
        <v/>
      </c>
      <c r="V51" s="18" t="str">
        <f>IF(ISNUMBER($L$6)=FALSE,"",
        IF(ISERROR(VLOOKUP($G51,DanaSehat!$L$13:$AK$56,V$4,FALSE))=TRUE,"",
              VLOOKUP($G51,DanaSehat!$L$13:$AK$56,V$4,FALSE)))</f>
        <v/>
      </c>
      <c r="W51" s="18" t="str">
        <f>IF(ISNUMBER($L$6)=FALSE,"",
        IF(ISERROR(VLOOKUP($G51,DanaSehat!$L$13:$AK$56,W$4,FALSE))=TRUE,"",
              VLOOKUP($G51,DanaSehat!$L$13:$AK$56,W$4,FALSE)))</f>
        <v/>
      </c>
      <c r="X51" s="18" t="str">
        <f>IF(ISNUMBER($L$6)=FALSE,"",
        IF(ISERROR(VLOOKUP($G51,DanaSehat!$L$13:$AK$56,X$4,FALSE))=TRUE,"",
              VLOOKUP($G51,DanaSehat!$L$13:$AK$56,X$4,FALSE)))</f>
        <v/>
      </c>
      <c r="Y51" s="18" t="str">
        <f>IF(ISNUMBER($L$6)=FALSE,"",
        IF(ISERROR(VLOOKUP($G51,DanaSehat!$L$13:$AK$56,Y$4,FALSE))=TRUE,"",
              VLOOKUP($G51,DanaSehat!$L$13:$AK$56,Y$4,FALSE)))</f>
        <v/>
      </c>
      <c r="Z51" s="18" t="str">
        <f>IF(ISNUMBER($L$6)=FALSE,"",
        IF(ISERROR(VLOOKUP($G51,DanaSehat!$L$13:$AK$56,Z$4,FALSE))=TRUE,"",
              VLOOKUP($G51,DanaSehat!$L$13:$AK$56,Z$4,FALSE)))</f>
        <v/>
      </c>
      <c r="AA51" s="18" t="str">
        <f>IF(ISNUMBER($L$6)=FALSE,"",
        IF(ISERROR(VLOOKUP($G51,DanaSehat!$L$13:$AK$56,AA$4,FALSE))=TRUE,"",
              VLOOKUP($G51,DanaSehat!$L$13:$AK$56,AA$4,FALSE)))</f>
        <v/>
      </c>
      <c r="AB51" s="18" t="str">
        <f>IF(ISNUMBER($L$6)=FALSE,"",
        IF(ISERROR(VLOOKUP($G51,DanaSehat!$L$13:$AK$56,AB$4,FALSE))=TRUE,"",
              VLOOKUP($G51,DanaSehat!$L$13:$AK$56,AB$4,FALSE)))</f>
        <v/>
      </c>
      <c r="AC51" s="18" t="str">
        <f>IF(ISNUMBER($L$6)=FALSE,"",
        IF(ISERROR(VLOOKUP($G51,DanaSehat!$L$13:$AK$56,AC$4,FALSE))=TRUE,"",
              VLOOKUP($G51,DanaSehat!$L$13:$AK$56,AC$4,FALSE)))</f>
        <v/>
      </c>
      <c r="AD51" s="18" t="str">
        <f>IF(ISNUMBER($L$6)=FALSE,"",
        IF(ISERROR(VLOOKUP($G51,DanaSehat!$L$13:$AK$56,AD$4,FALSE))=TRUE,"",
              VLOOKUP($G51,DanaSehat!$L$13:$AK$56,AD$4,FALSE)))</f>
        <v/>
      </c>
      <c r="AE51" s="18" t="str">
        <f>IF(ISNUMBER($L$6)=FALSE,"",
        IF(ISERROR(VLOOKUP($G51,DanaSehat!$L$13:$AK$56,AE$4,FALSE))=TRUE,"",
              VLOOKUP($G51,DanaSehat!$L$13:$AK$56,AE$4,FALSE)))</f>
        <v/>
      </c>
      <c r="AF51" s="18" t="str">
        <f>IF(ISNUMBER($L$6)=FALSE,"",
        IF(ISERROR(VLOOKUP($G51,DanaSehat!$L$13:$AK$56,AF$4,FALSE))=TRUE,"",
              VLOOKUP($G51,DanaSehat!$L$13:$AK$56,AF$4,FALSE)))</f>
        <v/>
      </c>
    </row>
    <row r="52" spans="1:32" s="60" customFormat="1" ht="10.5" x14ac:dyDescent="0.25">
      <c r="A52" s="59"/>
      <c r="C52" s="59">
        <f t="shared" si="6"/>
        <v>39</v>
      </c>
      <c r="D52" s="61"/>
      <c r="E52" s="77" t="str">
        <f t="shared" si="4"/>
        <v/>
      </c>
      <c r="F52" s="77" t="str">
        <f>IF(ISNUMBER($L$6)=FALSE,"",
IF($C52=0,"",VLOOKUP($E52,DanaSehat!$H$13:$L$56,4,FALSE)))</f>
        <v/>
      </c>
      <c r="G52" s="77" t="str">
        <f>IF(ISNUMBER($L$6)=FALSE,"",
IF($C52=0,"",VLOOKUP($E52,DanaSehat!$H$13:$L$56,5,FALSE)))</f>
        <v/>
      </c>
      <c r="H52" s="17" t="str">
        <f t="shared" si="5"/>
        <v/>
      </c>
      <c r="I52" s="18" t="str">
        <f>IF(ISNUMBER($L$6)=FALSE,"",
        IF(ISERROR(VLOOKUP($G52,DanaSehat!$L$13:$AK$56,I$4,FALSE))=TRUE,"",
              VLOOKUP($G52,DanaSehat!$L$13:$AK$56,I$4,FALSE)))</f>
        <v/>
      </c>
      <c r="J52" s="18" t="str">
        <f>IF(ISNUMBER($L$6)=FALSE,"",
        IF(ISERROR(VLOOKUP($G52,DanaSehat!$L$13:$AK$56,J$4,FALSE))=TRUE,"",
              VLOOKUP($G52,DanaSehat!$L$13:$AK$56,J$4,FALSE)))</f>
        <v/>
      </c>
      <c r="K52" s="18" t="str">
        <f>IF(ISNUMBER($L$6)=FALSE,"",
        IF(ISERROR(VLOOKUP($G52,DanaSehat!$L$13:$AK$56,K$4,FALSE))=TRUE,"",
              VLOOKUP($G52,DanaSehat!$L$13:$AK$56,K$4,FALSE)))</f>
        <v/>
      </c>
      <c r="L52" s="18" t="str">
        <f>IF(ISNUMBER($L$6)=FALSE,"",
        IF(ISERROR(VLOOKUP($G52,DanaSehat!$L$13:$AK$56,L$4,FALSE))=TRUE,"",
              VLOOKUP($G52,DanaSehat!$L$13:$AK$56,L$4,FALSE)))</f>
        <v/>
      </c>
      <c r="M52" s="18" t="str">
        <f>IF(ISNUMBER($L$6)=FALSE,"",
        IF(ISERROR(VLOOKUP($G52,DanaSehat!$L$13:$AK$56,M$4,FALSE))=TRUE,"",
              VLOOKUP($G52,DanaSehat!$L$13:$AK$56,M$4,FALSE)))</f>
        <v/>
      </c>
      <c r="N52" s="18" t="str">
        <f>IF(ISNUMBER($L$6)=FALSE,"",
        IF(ISERROR(VLOOKUP($G52,DanaSehat!$L$13:$AK$56,N$4,FALSE))=TRUE,"",
              VLOOKUP($G52,DanaSehat!$L$13:$AK$56,N$4,FALSE)))</f>
        <v/>
      </c>
      <c r="O52" s="18" t="str">
        <f>IF(ISNUMBER($L$6)=FALSE,"",
        IF(ISERROR(VLOOKUP($G52,DanaSehat!$L$13:$AK$56,O$4,FALSE))=TRUE,"",
              VLOOKUP($G52,DanaSehat!$L$13:$AK$56,O$4,FALSE)))</f>
        <v/>
      </c>
      <c r="P52" s="18" t="str">
        <f>IF(ISNUMBER($L$6)=FALSE,"",
        IF(ISERROR(VLOOKUP($G52,DanaSehat!$L$13:$AK$56,P$4,FALSE))=TRUE,"",
              VLOOKUP($G52,DanaSehat!$L$13:$AK$56,P$4,FALSE)))</f>
        <v/>
      </c>
      <c r="Q52" s="18" t="str">
        <f>IF(ISNUMBER($L$6)=FALSE,"",
        IF(ISERROR(VLOOKUP($G52,DanaSehat!$L$13:$AK$56,Q$4,FALSE))=TRUE,"",
              VLOOKUP($G52,DanaSehat!$L$13:$AK$56,Q$4,FALSE)))</f>
        <v/>
      </c>
      <c r="R52" s="18" t="str">
        <f>IF(ISNUMBER($L$6)=FALSE,"",
        IF(ISERROR(VLOOKUP($G52,DanaSehat!$L$13:$AK$56,R$4,FALSE))=TRUE,"",
              VLOOKUP($G52,DanaSehat!$L$13:$AK$56,R$4,FALSE)))</f>
        <v/>
      </c>
      <c r="S52" s="18" t="str">
        <f>IF(ISNUMBER($L$6)=FALSE,"",
        IF(ISERROR(VLOOKUP($G52,DanaSehat!$L$13:$AK$56,S$4,FALSE))=TRUE,"",
              VLOOKUP($G52,DanaSehat!$L$13:$AK$56,S$4,FALSE)))</f>
        <v/>
      </c>
      <c r="T52" s="18" t="str">
        <f>IF(ISNUMBER($L$6)=FALSE,"",
        IF(ISERROR(VLOOKUP($G52,DanaSehat!$L$13:$AK$56,T$4,FALSE))=TRUE,"",
              VLOOKUP($G52,DanaSehat!$L$13:$AK$56,T$4,FALSE)))</f>
        <v/>
      </c>
      <c r="U52" s="18" t="str">
        <f>IF(ISNUMBER($L$6)=FALSE,"",
        IF(ISERROR(VLOOKUP($G52,DanaSehat!$L$13:$AK$56,U$4,FALSE))=TRUE,"",
              VLOOKUP($G52,DanaSehat!$L$13:$AK$56,U$4,FALSE)))</f>
        <v/>
      </c>
      <c r="V52" s="18" t="str">
        <f>IF(ISNUMBER($L$6)=FALSE,"",
        IF(ISERROR(VLOOKUP($G52,DanaSehat!$L$13:$AK$56,V$4,FALSE))=TRUE,"",
              VLOOKUP($G52,DanaSehat!$L$13:$AK$56,V$4,FALSE)))</f>
        <v/>
      </c>
      <c r="W52" s="18" t="str">
        <f>IF(ISNUMBER($L$6)=FALSE,"",
        IF(ISERROR(VLOOKUP($G52,DanaSehat!$L$13:$AK$56,W$4,FALSE))=TRUE,"",
              VLOOKUP($G52,DanaSehat!$L$13:$AK$56,W$4,FALSE)))</f>
        <v/>
      </c>
      <c r="X52" s="18" t="str">
        <f>IF(ISNUMBER($L$6)=FALSE,"",
        IF(ISERROR(VLOOKUP($G52,DanaSehat!$L$13:$AK$56,X$4,FALSE))=TRUE,"",
              VLOOKUP($G52,DanaSehat!$L$13:$AK$56,X$4,FALSE)))</f>
        <v/>
      </c>
      <c r="Y52" s="18" t="str">
        <f>IF(ISNUMBER($L$6)=FALSE,"",
        IF(ISERROR(VLOOKUP($G52,DanaSehat!$L$13:$AK$56,Y$4,FALSE))=TRUE,"",
              VLOOKUP($G52,DanaSehat!$L$13:$AK$56,Y$4,FALSE)))</f>
        <v/>
      </c>
      <c r="Z52" s="18" t="str">
        <f>IF(ISNUMBER($L$6)=FALSE,"",
        IF(ISERROR(VLOOKUP($G52,DanaSehat!$L$13:$AK$56,Z$4,FALSE))=TRUE,"",
              VLOOKUP($G52,DanaSehat!$L$13:$AK$56,Z$4,FALSE)))</f>
        <v/>
      </c>
      <c r="AA52" s="18" t="str">
        <f>IF(ISNUMBER($L$6)=FALSE,"",
        IF(ISERROR(VLOOKUP($G52,DanaSehat!$L$13:$AK$56,AA$4,FALSE))=TRUE,"",
              VLOOKUP($G52,DanaSehat!$L$13:$AK$56,AA$4,FALSE)))</f>
        <v/>
      </c>
      <c r="AB52" s="18" t="str">
        <f>IF(ISNUMBER($L$6)=FALSE,"",
        IF(ISERROR(VLOOKUP($G52,DanaSehat!$L$13:$AK$56,AB$4,FALSE))=TRUE,"",
              VLOOKUP($G52,DanaSehat!$L$13:$AK$56,AB$4,FALSE)))</f>
        <v/>
      </c>
      <c r="AC52" s="18" t="str">
        <f>IF(ISNUMBER($L$6)=FALSE,"",
        IF(ISERROR(VLOOKUP($G52,DanaSehat!$L$13:$AK$56,AC$4,FALSE))=TRUE,"",
              VLOOKUP($G52,DanaSehat!$L$13:$AK$56,AC$4,FALSE)))</f>
        <v/>
      </c>
      <c r="AD52" s="18" t="str">
        <f>IF(ISNUMBER($L$6)=FALSE,"",
        IF(ISERROR(VLOOKUP($G52,DanaSehat!$L$13:$AK$56,AD$4,FALSE))=TRUE,"",
              VLOOKUP($G52,DanaSehat!$L$13:$AK$56,AD$4,FALSE)))</f>
        <v/>
      </c>
      <c r="AE52" s="18" t="str">
        <f>IF(ISNUMBER($L$6)=FALSE,"",
        IF(ISERROR(VLOOKUP($G52,DanaSehat!$L$13:$AK$56,AE$4,FALSE))=TRUE,"",
              VLOOKUP($G52,DanaSehat!$L$13:$AK$56,AE$4,FALSE)))</f>
        <v/>
      </c>
      <c r="AF52" s="18" t="str">
        <f>IF(ISNUMBER($L$6)=FALSE,"",
        IF(ISERROR(VLOOKUP($G52,DanaSehat!$L$13:$AK$56,AF$4,FALSE))=TRUE,"",
              VLOOKUP($G52,DanaSehat!$L$13:$AK$56,AF$4,FALSE)))</f>
        <v/>
      </c>
    </row>
    <row r="53" spans="1:32" s="60" customFormat="1" ht="10.5" x14ac:dyDescent="0.25">
      <c r="A53" s="59"/>
      <c r="C53" s="59">
        <f t="shared" si="6"/>
        <v>40</v>
      </c>
      <c r="D53" s="61"/>
      <c r="E53" s="77" t="str">
        <f t="shared" si="4"/>
        <v/>
      </c>
      <c r="F53" s="77" t="str">
        <f>IF(ISNUMBER($L$6)=FALSE,"",
IF($C53=0,"",VLOOKUP($E53,DanaSehat!$H$13:$L$56,4,FALSE)))</f>
        <v/>
      </c>
      <c r="G53" s="77" t="str">
        <f>IF(ISNUMBER($L$6)=FALSE,"",
IF($C53=0,"",VLOOKUP($E53,DanaSehat!$H$13:$L$56,5,FALSE)))</f>
        <v/>
      </c>
      <c r="H53" s="17" t="str">
        <f t="shared" si="5"/>
        <v/>
      </c>
      <c r="I53" s="18" t="str">
        <f>IF(ISNUMBER($L$6)=FALSE,"",
        IF(ISERROR(VLOOKUP($G53,DanaSehat!$L$13:$AK$56,I$4,FALSE))=TRUE,"",
              VLOOKUP($G53,DanaSehat!$L$13:$AK$56,I$4,FALSE)))</f>
        <v/>
      </c>
      <c r="J53" s="18" t="str">
        <f>IF(ISNUMBER($L$6)=FALSE,"",
        IF(ISERROR(VLOOKUP($G53,DanaSehat!$L$13:$AK$56,J$4,FALSE))=TRUE,"",
              VLOOKUP($G53,DanaSehat!$L$13:$AK$56,J$4,FALSE)))</f>
        <v/>
      </c>
      <c r="K53" s="18" t="str">
        <f>IF(ISNUMBER($L$6)=FALSE,"",
        IF(ISERROR(VLOOKUP($G53,DanaSehat!$L$13:$AK$56,K$4,FALSE))=TRUE,"",
              VLOOKUP($G53,DanaSehat!$L$13:$AK$56,K$4,FALSE)))</f>
        <v/>
      </c>
      <c r="L53" s="18" t="str">
        <f>IF(ISNUMBER($L$6)=FALSE,"",
        IF(ISERROR(VLOOKUP($G53,DanaSehat!$L$13:$AK$56,L$4,FALSE))=TRUE,"",
              VLOOKUP($G53,DanaSehat!$L$13:$AK$56,L$4,FALSE)))</f>
        <v/>
      </c>
      <c r="M53" s="18" t="str">
        <f>IF(ISNUMBER($L$6)=FALSE,"",
        IF(ISERROR(VLOOKUP($G53,DanaSehat!$L$13:$AK$56,M$4,FALSE))=TRUE,"",
              VLOOKUP($G53,DanaSehat!$L$13:$AK$56,M$4,FALSE)))</f>
        <v/>
      </c>
      <c r="N53" s="18" t="str">
        <f>IF(ISNUMBER($L$6)=FALSE,"",
        IF(ISERROR(VLOOKUP($G53,DanaSehat!$L$13:$AK$56,N$4,FALSE))=TRUE,"",
              VLOOKUP($G53,DanaSehat!$L$13:$AK$56,N$4,FALSE)))</f>
        <v/>
      </c>
      <c r="O53" s="18" t="str">
        <f>IF(ISNUMBER($L$6)=FALSE,"",
        IF(ISERROR(VLOOKUP($G53,DanaSehat!$L$13:$AK$56,O$4,FALSE))=TRUE,"",
              VLOOKUP($G53,DanaSehat!$L$13:$AK$56,O$4,FALSE)))</f>
        <v/>
      </c>
      <c r="P53" s="18" t="str">
        <f>IF(ISNUMBER($L$6)=FALSE,"",
        IF(ISERROR(VLOOKUP($G53,DanaSehat!$L$13:$AK$56,P$4,FALSE))=TRUE,"",
              VLOOKUP($G53,DanaSehat!$L$13:$AK$56,P$4,FALSE)))</f>
        <v/>
      </c>
      <c r="Q53" s="18" t="str">
        <f>IF(ISNUMBER($L$6)=FALSE,"",
        IF(ISERROR(VLOOKUP($G53,DanaSehat!$L$13:$AK$56,Q$4,FALSE))=TRUE,"",
              VLOOKUP($G53,DanaSehat!$L$13:$AK$56,Q$4,FALSE)))</f>
        <v/>
      </c>
      <c r="R53" s="18" t="str">
        <f>IF(ISNUMBER($L$6)=FALSE,"",
        IF(ISERROR(VLOOKUP($G53,DanaSehat!$L$13:$AK$56,R$4,FALSE))=TRUE,"",
              VLOOKUP($G53,DanaSehat!$L$13:$AK$56,R$4,FALSE)))</f>
        <v/>
      </c>
      <c r="S53" s="18" t="str">
        <f>IF(ISNUMBER($L$6)=FALSE,"",
        IF(ISERROR(VLOOKUP($G53,DanaSehat!$L$13:$AK$56,S$4,FALSE))=TRUE,"",
              VLOOKUP($G53,DanaSehat!$L$13:$AK$56,S$4,FALSE)))</f>
        <v/>
      </c>
      <c r="T53" s="18" t="str">
        <f>IF(ISNUMBER($L$6)=FALSE,"",
        IF(ISERROR(VLOOKUP($G53,DanaSehat!$L$13:$AK$56,T$4,FALSE))=TRUE,"",
              VLOOKUP($G53,DanaSehat!$L$13:$AK$56,T$4,FALSE)))</f>
        <v/>
      </c>
      <c r="U53" s="18" t="str">
        <f>IF(ISNUMBER($L$6)=FALSE,"",
        IF(ISERROR(VLOOKUP($G53,DanaSehat!$L$13:$AK$56,U$4,FALSE))=TRUE,"",
              VLOOKUP($G53,DanaSehat!$L$13:$AK$56,U$4,FALSE)))</f>
        <v/>
      </c>
      <c r="V53" s="18" t="str">
        <f>IF(ISNUMBER($L$6)=FALSE,"",
        IF(ISERROR(VLOOKUP($G53,DanaSehat!$L$13:$AK$56,V$4,FALSE))=TRUE,"",
              VLOOKUP($G53,DanaSehat!$L$13:$AK$56,V$4,FALSE)))</f>
        <v/>
      </c>
      <c r="W53" s="18" t="str">
        <f>IF(ISNUMBER($L$6)=FALSE,"",
        IF(ISERROR(VLOOKUP($G53,DanaSehat!$L$13:$AK$56,W$4,FALSE))=TRUE,"",
              VLOOKUP($G53,DanaSehat!$L$13:$AK$56,W$4,FALSE)))</f>
        <v/>
      </c>
      <c r="X53" s="18" t="str">
        <f>IF(ISNUMBER($L$6)=FALSE,"",
        IF(ISERROR(VLOOKUP($G53,DanaSehat!$L$13:$AK$56,X$4,FALSE))=TRUE,"",
              VLOOKUP($G53,DanaSehat!$L$13:$AK$56,X$4,FALSE)))</f>
        <v/>
      </c>
      <c r="Y53" s="18" t="str">
        <f>IF(ISNUMBER($L$6)=FALSE,"",
        IF(ISERROR(VLOOKUP($G53,DanaSehat!$L$13:$AK$56,Y$4,FALSE))=TRUE,"",
              VLOOKUP($G53,DanaSehat!$L$13:$AK$56,Y$4,FALSE)))</f>
        <v/>
      </c>
      <c r="Z53" s="18" t="str">
        <f>IF(ISNUMBER($L$6)=FALSE,"",
        IF(ISERROR(VLOOKUP($G53,DanaSehat!$L$13:$AK$56,Z$4,FALSE))=TRUE,"",
              VLOOKUP($G53,DanaSehat!$L$13:$AK$56,Z$4,FALSE)))</f>
        <v/>
      </c>
      <c r="AA53" s="18" t="str">
        <f>IF(ISNUMBER($L$6)=FALSE,"",
        IF(ISERROR(VLOOKUP($G53,DanaSehat!$L$13:$AK$56,AA$4,FALSE))=TRUE,"",
              VLOOKUP($G53,DanaSehat!$L$13:$AK$56,AA$4,FALSE)))</f>
        <v/>
      </c>
      <c r="AB53" s="18" t="str">
        <f>IF(ISNUMBER($L$6)=FALSE,"",
        IF(ISERROR(VLOOKUP($G53,DanaSehat!$L$13:$AK$56,AB$4,FALSE))=TRUE,"",
              VLOOKUP($G53,DanaSehat!$L$13:$AK$56,AB$4,FALSE)))</f>
        <v/>
      </c>
      <c r="AC53" s="18" t="str">
        <f>IF(ISNUMBER($L$6)=FALSE,"",
        IF(ISERROR(VLOOKUP($G53,DanaSehat!$L$13:$AK$56,AC$4,FALSE))=TRUE,"",
              VLOOKUP($G53,DanaSehat!$L$13:$AK$56,AC$4,FALSE)))</f>
        <v/>
      </c>
      <c r="AD53" s="18" t="str">
        <f>IF(ISNUMBER($L$6)=FALSE,"",
        IF(ISERROR(VLOOKUP($G53,DanaSehat!$L$13:$AK$56,AD$4,FALSE))=TRUE,"",
              VLOOKUP($G53,DanaSehat!$L$13:$AK$56,AD$4,FALSE)))</f>
        <v/>
      </c>
      <c r="AE53" s="18" t="str">
        <f>IF(ISNUMBER($L$6)=FALSE,"",
        IF(ISERROR(VLOOKUP($G53,DanaSehat!$L$13:$AK$56,AE$4,FALSE))=TRUE,"",
              VLOOKUP($G53,DanaSehat!$L$13:$AK$56,AE$4,FALSE)))</f>
        <v/>
      </c>
      <c r="AF53" s="18" t="str">
        <f>IF(ISNUMBER($L$6)=FALSE,"",
        IF(ISERROR(VLOOKUP($G53,DanaSehat!$L$13:$AK$56,AF$4,FALSE))=TRUE,"",
              VLOOKUP($G53,DanaSehat!$L$13:$AK$56,AF$4,FALSE)))</f>
        <v/>
      </c>
    </row>
    <row r="54" spans="1:32" s="60" customFormat="1" ht="10.5" x14ac:dyDescent="0.25">
      <c r="A54" s="59"/>
      <c r="C54" s="59">
        <f t="shared" si="6"/>
        <v>41</v>
      </c>
      <c r="D54" s="61"/>
      <c r="E54" s="77" t="str">
        <f t="shared" si="4"/>
        <v/>
      </c>
      <c r="F54" s="77" t="str">
        <f>IF(ISNUMBER($L$6)=FALSE,"",
IF($C54=0,"",VLOOKUP($E54,DanaSehat!$H$13:$L$56,4,FALSE)))</f>
        <v/>
      </c>
      <c r="G54" s="77" t="str">
        <f>IF(ISNUMBER($L$6)=FALSE,"",
IF($C54=0,"",VLOOKUP($E54,DanaSehat!$H$13:$L$56,5,FALSE)))</f>
        <v/>
      </c>
      <c r="H54" s="17" t="str">
        <f t="shared" si="5"/>
        <v/>
      </c>
      <c r="I54" s="18" t="str">
        <f>IF(ISNUMBER($L$6)=FALSE,"",
        IF(ISERROR(VLOOKUP($G54,DanaSehat!$L$13:$AK$56,I$4,FALSE))=TRUE,"",
              VLOOKUP($G54,DanaSehat!$L$13:$AK$56,I$4,FALSE)))</f>
        <v/>
      </c>
      <c r="J54" s="18" t="str">
        <f>IF(ISNUMBER($L$6)=FALSE,"",
        IF(ISERROR(VLOOKUP($G54,DanaSehat!$L$13:$AK$56,J$4,FALSE))=TRUE,"",
              VLOOKUP($G54,DanaSehat!$L$13:$AK$56,J$4,FALSE)))</f>
        <v/>
      </c>
      <c r="K54" s="18" t="str">
        <f>IF(ISNUMBER($L$6)=FALSE,"",
        IF(ISERROR(VLOOKUP($G54,DanaSehat!$L$13:$AK$56,K$4,FALSE))=TRUE,"",
              VLOOKUP($G54,DanaSehat!$L$13:$AK$56,K$4,FALSE)))</f>
        <v/>
      </c>
      <c r="L54" s="18" t="str">
        <f>IF(ISNUMBER($L$6)=FALSE,"",
        IF(ISERROR(VLOOKUP($G54,DanaSehat!$L$13:$AK$56,L$4,FALSE))=TRUE,"",
              VLOOKUP($G54,DanaSehat!$L$13:$AK$56,L$4,FALSE)))</f>
        <v/>
      </c>
      <c r="M54" s="18" t="str">
        <f>IF(ISNUMBER($L$6)=FALSE,"",
        IF(ISERROR(VLOOKUP($G54,DanaSehat!$L$13:$AK$56,M$4,FALSE))=TRUE,"",
              VLOOKUP($G54,DanaSehat!$L$13:$AK$56,M$4,FALSE)))</f>
        <v/>
      </c>
      <c r="N54" s="18" t="str">
        <f>IF(ISNUMBER($L$6)=FALSE,"",
        IF(ISERROR(VLOOKUP($G54,DanaSehat!$L$13:$AK$56,N$4,FALSE))=TRUE,"",
              VLOOKUP($G54,DanaSehat!$L$13:$AK$56,N$4,FALSE)))</f>
        <v/>
      </c>
      <c r="O54" s="18" t="str">
        <f>IF(ISNUMBER($L$6)=FALSE,"",
        IF(ISERROR(VLOOKUP($G54,DanaSehat!$L$13:$AK$56,O$4,FALSE))=TRUE,"",
              VLOOKUP($G54,DanaSehat!$L$13:$AK$56,O$4,FALSE)))</f>
        <v/>
      </c>
      <c r="P54" s="18" t="str">
        <f>IF(ISNUMBER($L$6)=FALSE,"",
        IF(ISERROR(VLOOKUP($G54,DanaSehat!$L$13:$AK$56,P$4,FALSE))=TRUE,"",
              VLOOKUP($G54,DanaSehat!$L$13:$AK$56,P$4,FALSE)))</f>
        <v/>
      </c>
      <c r="Q54" s="18" t="str">
        <f>IF(ISNUMBER($L$6)=FALSE,"",
        IF(ISERROR(VLOOKUP($G54,DanaSehat!$L$13:$AK$56,Q$4,FALSE))=TRUE,"",
              VLOOKUP($G54,DanaSehat!$L$13:$AK$56,Q$4,FALSE)))</f>
        <v/>
      </c>
      <c r="R54" s="18" t="str">
        <f>IF(ISNUMBER($L$6)=FALSE,"",
        IF(ISERROR(VLOOKUP($G54,DanaSehat!$L$13:$AK$56,R$4,FALSE))=TRUE,"",
              VLOOKUP($G54,DanaSehat!$L$13:$AK$56,R$4,FALSE)))</f>
        <v/>
      </c>
      <c r="S54" s="18" t="str">
        <f>IF(ISNUMBER($L$6)=FALSE,"",
        IF(ISERROR(VLOOKUP($G54,DanaSehat!$L$13:$AK$56,S$4,FALSE))=TRUE,"",
              VLOOKUP($G54,DanaSehat!$L$13:$AK$56,S$4,FALSE)))</f>
        <v/>
      </c>
      <c r="T54" s="18" t="str">
        <f>IF(ISNUMBER($L$6)=FALSE,"",
        IF(ISERROR(VLOOKUP($G54,DanaSehat!$L$13:$AK$56,T$4,FALSE))=TRUE,"",
              VLOOKUP($G54,DanaSehat!$L$13:$AK$56,T$4,FALSE)))</f>
        <v/>
      </c>
      <c r="U54" s="18" t="str">
        <f>IF(ISNUMBER($L$6)=FALSE,"",
        IF(ISERROR(VLOOKUP($G54,DanaSehat!$L$13:$AK$56,U$4,FALSE))=TRUE,"",
              VLOOKUP($G54,DanaSehat!$L$13:$AK$56,U$4,FALSE)))</f>
        <v/>
      </c>
      <c r="V54" s="18" t="str">
        <f>IF(ISNUMBER($L$6)=FALSE,"",
        IF(ISERROR(VLOOKUP($G54,DanaSehat!$L$13:$AK$56,V$4,FALSE))=TRUE,"",
              VLOOKUP($G54,DanaSehat!$L$13:$AK$56,V$4,FALSE)))</f>
        <v/>
      </c>
      <c r="W54" s="18" t="str">
        <f>IF(ISNUMBER($L$6)=FALSE,"",
        IF(ISERROR(VLOOKUP($G54,DanaSehat!$L$13:$AK$56,W$4,FALSE))=TRUE,"",
              VLOOKUP($G54,DanaSehat!$L$13:$AK$56,W$4,FALSE)))</f>
        <v/>
      </c>
      <c r="X54" s="18" t="str">
        <f>IF(ISNUMBER($L$6)=FALSE,"",
        IF(ISERROR(VLOOKUP($G54,DanaSehat!$L$13:$AK$56,X$4,FALSE))=TRUE,"",
              VLOOKUP($G54,DanaSehat!$L$13:$AK$56,X$4,FALSE)))</f>
        <v/>
      </c>
      <c r="Y54" s="18" t="str">
        <f>IF(ISNUMBER($L$6)=FALSE,"",
        IF(ISERROR(VLOOKUP($G54,DanaSehat!$L$13:$AK$56,Y$4,FALSE))=TRUE,"",
              VLOOKUP($G54,DanaSehat!$L$13:$AK$56,Y$4,FALSE)))</f>
        <v/>
      </c>
      <c r="Z54" s="18" t="str">
        <f>IF(ISNUMBER($L$6)=FALSE,"",
        IF(ISERROR(VLOOKUP($G54,DanaSehat!$L$13:$AK$56,Z$4,FALSE))=TRUE,"",
              VLOOKUP($G54,DanaSehat!$L$13:$AK$56,Z$4,FALSE)))</f>
        <v/>
      </c>
      <c r="AA54" s="18" t="str">
        <f>IF(ISNUMBER($L$6)=FALSE,"",
        IF(ISERROR(VLOOKUP($G54,DanaSehat!$L$13:$AK$56,AA$4,FALSE))=TRUE,"",
              VLOOKUP($G54,DanaSehat!$L$13:$AK$56,AA$4,FALSE)))</f>
        <v/>
      </c>
      <c r="AB54" s="18" t="str">
        <f>IF(ISNUMBER($L$6)=FALSE,"",
        IF(ISERROR(VLOOKUP($G54,DanaSehat!$L$13:$AK$56,AB$4,FALSE))=TRUE,"",
              VLOOKUP($G54,DanaSehat!$L$13:$AK$56,AB$4,FALSE)))</f>
        <v/>
      </c>
      <c r="AC54" s="18" t="str">
        <f>IF(ISNUMBER($L$6)=FALSE,"",
        IF(ISERROR(VLOOKUP($G54,DanaSehat!$L$13:$AK$56,AC$4,FALSE))=TRUE,"",
              VLOOKUP($G54,DanaSehat!$L$13:$AK$56,AC$4,FALSE)))</f>
        <v/>
      </c>
      <c r="AD54" s="18" t="str">
        <f>IF(ISNUMBER($L$6)=FALSE,"",
        IF(ISERROR(VLOOKUP($G54,DanaSehat!$L$13:$AK$56,AD$4,FALSE))=TRUE,"",
              VLOOKUP($G54,DanaSehat!$L$13:$AK$56,AD$4,FALSE)))</f>
        <v/>
      </c>
      <c r="AE54" s="18" t="str">
        <f>IF(ISNUMBER($L$6)=FALSE,"",
        IF(ISERROR(VLOOKUP($G54,DanaSehat!$L$13:$AK$56,AE$4,FALSE))=TRUE,"",
              VLOOKUP($G54,DanaSehat!$L$13:$AK$56,AE$4,FALSE)))</f>
        <v/>
      </c>
      <c r="AF54" s="18" t="str">
        <f>IF(ISNUMBER($L$6)=FALSE,"",
        IF(ISERROR(VLOOKUP($G54,DanaSehat!$L$13:$AK$56,AF$4,FALSE))=TRUE,"",
              VLOOKUP($G54,DanaSehat!$L$13:$AK$56,AF$4,FALSE)))</f>
        <v/>
      </c>
    </row>
    <row r="55" spans="1:32" s="60" customFormat="1" ht="10.5" x14ac:dyDescent="0.25">
      <c r="A55" s="59"/>
      <c r="C55" s="59">
        <f t="shared" si="6"/>
        <v>42</v>
      </c>
      <c r="D55" s="61"/>
      <c r="E55" s="77" t="str">
        <f t="shared" si="4"/>
        <v/>
      </c>
      <c r="F55" s="77" t="str">
        <f>IF(ISNUMBER($L$6)=FALSE,"",
IF($C55=0,"",VLOOKUP($E55,DanaSehat!$H$13:$L$56,4,FALSE)))</f>
        <v/>
      </c>
      <c r="G55" s="77" t="str">
        <f>IF(ISNUMBER($L$6)=FALSE,"",
IF($C55=0,"",VLOOKUP($E55,DanaSehat!$H$13:$L$56,5,FALSE)))</f>
        <v/>
      </c>
      <c r="H55" s="17" t="str">
        <f t="shared" si="5"/>
        <v/>
      </c>
      <c r="I55" s="18" t="str">
        <f>IF(ISNUMBER($L$6)=FALSE,"",
        IF(ISERROR(VLOOKUP($G55,DanaSehat!$L$13:$AK$56,I$4,FALSE))=TRUE,"",
              VLOOKUP($G55,DanaSehat!$L$13:$AK$56,I$4,FALSE)))</f>
        <v/>
      </c>
      <c r="J55" s="18" t="str">
        <f>IF(ISNUMBER($L$6)=FALSE,"",
        IF(ISERROR(VLOOKUP($G55,DanaSehat!$L$13:$AK$56,J$4,FALSE))=TRUE,"",
              VLOOKUP($G55,DanaSehat!$L$13:$AK$56,J$4,FALSE)))</f>
        <v/>
      </c>
      <c r="K55" s="18" t="str">
        <f>IF(ISNUMBER($L$6)=FALSE,"",
        IF(ISERROR(VLOOKUP($G55,DanaSehat!$L$13:$AK$56,K$4,FALSE))=TRUE,"",
              VLOOKUP($G55,DanaSehat!$L$13:$AK$56,K$4,FALSE)))</f>
        <v/>
      </c>
      <c r="L55" s="18" t="str">
        <f>IF(ISNUMBER($L$6)=FALSE,"",
        IF(ISERROR(VLOOKUP($G55,DanaSehat!$L$13:$AK$56,L$4,FALSE))=TRUE,"",
              VLOOKUP($G55,DanaSehat!$L$13:$AK$56,L$4,FALSE)))</f>
        <v/>
      </c>
      <c r="M55" s="18" t="str">
        <f>IF(ISNUMBER($L$6)=FALSE,"",
        IF(ISERROR(VLOOKUP($G55,DanaSehat!$L$13:$AK$56,M$4,FALSE))=TRUE,"",
              VLOOKUP($G55,DanaSehat!$L$13:$AK$56,M$4,FALSE)))</f>
        <v/>
      </c>
      <c r="N55" s="18" t="str">
        <f>IF(ISNUMBER($L$6)=FALSE,"",
        IF(ISERROR(VLOOKUP($G55,DanaSehat!$L$13:$AK$56,N$4,FALSE))=TRUE,"",
              VLOOKUP($G55,DanaSehat!$L$13:$AK$56,N$4,FALSE)))</f>
        <v/>
      </c>
      <c r="O55" s="18" t="str">
        <f>IF(ISNUMBER($L$6)=FALSE,"",
        IF(ISERROR(VLOOKUP($G55,DanaSehat!$L$13:$AK$56,O$4,FALSE))=TRUE,"",
              VLOOKUP($G55,DanaSehat!$L$13:$AK$56,O$4,FALSE)))</f>
        <v/>
      </c>
      <c r="P55" s="18" t="str">
        <f>IF(ISNUMBER($L$6)=FALSE,"",
        IF(ISERROR(VLOOKUP($G55,DanaSehat!$L$13:$AK$56,P$4,FALSE))=TRUE,"",
              VLOOKUP($G55,DanaSehat!$L$13:$AK$56,P$4,FALSE)))</f>
        <v/>
      </c>
      <c r="Q55" s="18" t="str">
        <f>IF(ISNUMBER($L$6)=FALSE,"",
        IF(ISERROR(VLOOKUP($G55,DanaSehat!$L$13:$AK$56,Q$4,FALSE))=TRUE,"",
              VLOOKUP($G55,DanaSehat!$L$13:$AK$56,Q$4,FALSE)))</f>
        <v/>
      </c>
      <c r="R55" s="18" t="str">
        <f>IF(ISNUMBER($L$6)=FALSE,"",
        IF(ISERROR(VLOOKUP($G55,DanaSehat!$L$13:$AK$56,R$4,FALSE))=TRUE,"",
              VLOOKUP($G55,DanaSehat!$L$13:$AK$56,R$4,FALSE)))</f>
        <v/>
      </c>
      <c r="S55" s="18" t="str">
        <f>IF(ISNUMBER($L$6)=FALSE,"",
        IF(ISERROR(VLOOKUP($G55,DanaSehat!$L$13:$AK$56,S$4,FALSE))=TRUE,"",
              VLOOKUP($G55,DanaSehat!$L$13:$AK$56,S$4,FALSE)))</f>
        <v/>
      </c>
      <c r="T55" s="18" t="str">
        <f>IF(ISNUMBER($L$6)=FALSE,"",
        IF(ISERROR(VLOOKUP($G55,DanaSehat!$L$13:$AK$56,T$4,FALSE))=TRUE,"",
              VLOOKUP($G55,DanaSehat!$L$13:$AK$56,T$4,FALSE)))</f>
        <v/>
      </c>
      <c r="U55" s="18" t="str">
        <f>IF(ISNUMBER($L$6)=FALSE,"",
        IF(ISERROR(VLOOKUP($G55,DanaSehat!$L$13:$AK$56,U$4,FALSE))=TRUE,"",
              VLOOKUP($G55,DanaSehat!$L$13:$AK$56,U$4,FALSE)))</f>
        <v/>
      </c>
      <c r="V55" s="18" t="str">
        <f>IF(ISNUMBER($L$6)=FALSE,"",
        IF(ISERROR(VLOOKUP($G55,DanaSehat!$L$13:$AK$56,V$4,FALSE))=TRUE,"",
              VLOOKUP($G55,DanaSehat!$L$13:$AK$56,V$4,FALSE)))</f>
        <v/>
      </c>
      <c r="W55" s="18" t="str">
        <f>IF(ISNUMBER($L$6)=FALSE,"",
        IF(ISERROR(VLOOKUP($G55,DanaSehat!$L$13:$AK$56,W$4,FALSE))=TRUE,"",
              VLOOKUP($G55,DanaSehat!$L$13:$AK$56,W$4,FALSE)))</f>
        <v/>
      </c>
      <c r="X55" s="18" t="str">
        <f>IF(ISNUMBER($L$6)=FALSE,"",
        IF(ISERROR(VLOOKUP($G55,DanaSehat!$L$13:$AK$56,X$4,FALSE))=TRUE,"",
              VLOOKUP($G55,DanaSehat!$L$13:$AK$56,X$4,FALSE)))</f>
        <v/>
      </c>
      <c r="Y55" s="18" t="str">
        <f>IF(ISNUMBER($L$6)=FALSE,"",
        IF(ISERROR(VLOOKUP($G55,DanaSehat!$L$13:$AK$56,Y$4,FALSE))=TRUE,"",
              VLOOKUP($G55,DanaSehat!$L$13:$AK$56,Y$4,FALSE)))</f>
        <v/>
      </c>
      <c r="Z55" s="18" t="str">
        <f>IF(ISNUMBER($L$6)=FALSE,"",
        IF(ISERROR(VLOOKUP($G55,DanaSehat!$L$13:$AK$56,Z$4,FALSE))=TRUE,"",
              VLOOKUP($G55,DanaSehat!$L$13:$AK$56,Z$4,FALSE)))</f>
        <v/>
      </c>
      <c r="AA55" s="18" t="str">
        <f>IF(ISNUMBER($L$6)=FALSE,"",
        IF(ISERROR(VLOOKUP($G55,DanaSehat!$L$13:$AK$56,AA$4,FALSE))=TRUE,"",
              VLOOKUP($G55,DanaSehat!$L$13:$AK$56,AA$4,FALSE)))</f>
        <v/>
      </c>
      <c r="AB55" s="18" t="str">
        <f>IF(ISNUMBER($L$6)=FALSE,"",
        IF(ISERROR(VLOOKUP($G55,DanaSehat!$L$13:$AK$56,AB$4,FALSE))=TRUE,"",
              VLOOKUP($G55,DanaSehat!$L$13:$AK$56,AB$4,FALSE)))</f>
        <v/>
      </c>
      <c r="AC55" s="18" t="str">
        <f>IF(ISNUMBER($L$6)=FALSE,"",
        IF(ISERROR(VLOOKUP($G55,DanaSehat!$L$13:$AK$56,AC$4,FALSE))=TRUE,"",
              VLOOKUP($G55,DanaSehat!$L$13:$AK$56,AC$4,FALSE)))</f>
        <v/>
      </c>
      <c r="AD55" s="18" t="str">
        <f>IF(ISNUMBER($L$6)=FALSE,"",
        IF(ISERROR(VLOOKUP($G55,DanaSehat!$L$13:$AK$56,AD$4,FALSE))=TRUE,"",
              VLOOKUP($G55,DanaSehat!$L$13:$AK$56,AD$4,FALSE)))</f>
        <v/>
      </c>
      <c r="AE55" s="18" t="str">
        <f>IF(ISNUMBER($L$6)=FALSE,"",
        IF(ISERROR(VLOOKUP($G55,DanaSehat!$L$13:$AK$56,AE$4,FALSE))=TRUE,"",
              VLOOKUP($G55,DanaSehat!$L$13:$AK$56,AE$4,FALSE)))</f>
        <v/>
      </c>
      <c r="AF55" s="18" t="str">
        <f>IF(ISNUMBER($L$6)=FALSE,"",
        IF(ISERROR(VLOOKUP($G55,DanaSehat!$L$13:$AK$56,AF$4,FALSE))=TRUE,"",
              VLOOKUP($G55,DanaSehat!$L$13:$AK$56,AF$4,FALSE)))</f>
        <v/>
      </c>
    </row>
    <row r="56" spans="1:32" s="60" customFormat="1" ht="10.5" x14ac:dyDescent="0.25">
      <c r="A56" s="59"/>
      <c r="C56" s="59">
        <f t="shared" si="6"/>
        <v>43</v>
      </c>
      <c r="D56" s="61"/>
      <c r="E56" s="77" t="str">
        <f t="shared" si="4"/>
        <v/>
      </c>
      <c r="F56" s="77" t="str">
        <f>IF(ISNUMBER($L$6)=FALSE,"",
IF($C56=0,"",VLOOKUP($E56,DanaSehat!$H$13:$L$56,4,FALSE)))</f>
        <v/>
      </c>
      <c r="G56" s="77" t="str">
        <f>IF(ISNUMBER($L$6)=FALSE,"",
IF($C56=0,"",VLOOKUP($E56,DanaSehat!$H$13:$L$56,5,FALSE)))</f>
        <v/>
      </c>
      <c r="H56" s="17" t="str">
        <f t="shared" si="5"/>
        <v/>
      </c>
      <c r="I56" s="18" t="str">
        <f>IF(ISNUMBER($L$6)=FALSE,"",
        IF(ISERROR(VLOOKUP($G56,DanaSehat!$L$13:$AK$56,I$4,FALSE))=TRUE,"",
              VLOOKUP($G56,DanaSehat!$L$13:$AK$56,I$4,FALSE)))</f>
        <v/>
      </c>
      <c r="J56" s="18" t="str">
        <f>IF(ISNUMBER($L$6)=FALSE,"",
        IF(ISERROR(VLOOKUP($G56,DanaSehat!$L$13:$AK$56,J$4,FALSE))=TRUE,"",
              VLOOKUP($G56,DanaSehat!$L$13:$AK$56,J$4,FALSE)))</f>
        <v/>
      </c>
      <c r="K56" s="18" t="str">
        <f>IF(ISNUMBER($L$6)=FALSE,"",
        IF(ISERROR(VLOOKUP($G56,DanaSehat!$L$13:$AK$56,K$4,FALSE))=TRUE,"",
              VLOOKUP($G56,DanaSehat!$L$13:$AK$56,K$4,FALSE)))</f>
        <v/>
      </c>
      <c r="L56" s="18" t="str">
        <f>IF(ISNUMBER($L$6)=FALSE,"",
        IF(ISERROR(VLOOKUP($G56,DanaSehat!$L$13:$AK$56,L$4,FALSE))=TRUE,"",
              VLOOKUP($G56,DanaSehat!$L$13:$AK$56,L$4,FALSE)))</f>
        <v/>
      </c>
      <c r="M56" s="18" t="str">
        <f>IF(ISNUMBER($L$6)=FALSE,"",
        IF(ISERROR(VLOOKUP($G56,DanaSehat!$L$13:$AK$56,M$4,FALSE))=TRUE,"",
              VLOOKUP($G56,DanaSehat!$L$13:$AK$56,M$4,FALSE)))</f>
        <v/>
      </c>
      <c r="N56" s="18" t="str">
        <f>IF(ISNUMBER($L$6)=FALSE,"",
        IF(ISERROR(VLOOKUP($G56,DanaSehat!$L$13:$AK$56,N$4,FALSE))=TRUE,"",
              VLOOKUP($G56,DanaSehat!$L$13:$AK$56,N$4,FALSE)))</f>
        <v/>
      </c>
      <c r="O56" s="18" t="str">
        <f>IF(ISNUMBER($L$6)=FALSE,"",
        IF(ISERROR(VLOOKUP($G56,DanaSehat!$L$13:$AK$56,O$4,FALSE))=TRUE,"",
              VLOOKUP($G56,DanaSehat!$L$13:$AK$56,O$4,FALSE)))</f>
        <v/>
      </c>
      <c r="P56" s="18" t="str">
        <f>IF(ISNUMBER($L$6)=FALSE,"",
        IF(ISERROR(VLOOKUP($G56,DanaSehat!$L$13:$AK$56,P$4,FALSE))=TRUE,"",
              VLOOKUP($G56,DanaSehat!$L$13:$AK$56,P$4,FALSE)))</f>
        <v/>
      </c>
      <c r="Q56" s="18" t="str">
        <f>IF(ISNUMBER($L$6)=FALSE,"",
        IF(ISERROR(VLOOKUP($G56,DanaSehat!$L$13:$AK$56,Q$4,FALSE))=TRUE,"",
              VLOOKUP($G56,DanaSehat!$L$13:$AK$56,Q$4,FALSE)))</f>
        <v/>
      </c>
      <c r="R56" s="18" t="str">
        <f>IF(ISNUMBER($L$6)=FALSE,"",
        IF(ISERROR(VLOOKUP($G56,DanaSehat!$L$13:$AK$56,R$4,FALSE))=TRUE,"",
              VLOOKUP($G56,DanaSehat!$L$13:$AK$56,R$4,FALSE)))</f>
        <v/>
      </c>
      <c r="S56" s="18" t="str">
        <f>IF(ISNUMBER($L$6)=FALSE,"",
        IF(ISERROR(VLOOKUP($G56,DanaSehat!$L$13:$AK$56,S$4,FALSE))=TRUE,"",
              VLOOKUP($G56,DanaSehat!$L$13:$AK$56,S$4,FALSE)))</f>
        <v/>
      </c>
      <c r="T56" s="18" t="str">
        <f>IF(ISNUMBER($L$6)=FALSE,"",
        IF(ISERROR(VLOOKUP($G56,DanaSehat!$L$13:$AK$56,T$4,FALSE))=TRUE,"",
              VLOOKUP($G56,DanaSehat!$L$13:$AK$56,T$4,FALSE)))</f>
        <v/>
      </c>
      <c r="U56" s="18" t="str">
        <f>IF(ISNUMBER($L$6)=FALSE,"",
        IF(ISERROR(VLOOKUP($G56,DanaSehat!$L$13:$AK$56,U$4,FALSE))=TRUE,"",
              VLOOKUP($G56,DanaSehat!$L$13:$AK$56,U$4,FALSE)))</f>
        <v/>
      </c>
      <c r="V56" s="18" t="str">
        <f>IF(ISNUMBER($L$6)=FALSE,"",
        IF(ISERROR(VLOOKUP($G56,DanaSehat!$L$13:$AK$56,V$4,FALSE))=TRUE,"",
              VLOOKUP($G56,DanaSehat!$L$13:$AK$56,V$4,FALSE)))</f>
        <v/>
      </c>
      <c r="W56" s="18" t="str">
        <f>IF(ISNUMBER($L$6)=FALSE,"",
        IF(ISERROR(VLOOKUP($G56,DanaSehat!$L$13:$AK$56,W$4,FALSE))=TRUE,"",
              VLOOKUP($G56,DanaSehat!$L$13:$AK$56,W$4,FALSE)))</f>
        <v/>
      </c>
      <c r="X56" s="18" t="str">
        <f>IF(ISNUMBER($L$6)=FALSE,"",
        IF(ISERROR(VLOOKUP($G56,DanaSehat!$L$13:$AK$56,X$4,FALSE))=TRUE,"",
              VLOOKUP($G56,DanaSehat!$L$13:$AK$56,X$4,FALSE)))</f>
        <v/>
      </c>
      <c r="Y56" s="18" t="str">
        <f>IF(ISNUMBER($L$6)=FALSE,"",
        IF(ISERROR(VLOOKUP($G56,DanaSehat!$L$13:$AK$56,Y$4,FALSE))=TRUE,"",
              VLOOKUP($G56,DanaSehat!$L$13:$AK$56,Y$4,FALSE)))</f>
        <v/>
      </c>
      <c r="Z56" s="18" t="str">
        <f>IF(ISNUMBER($L$6)=FALSE,"",
        IF(ISERROR(VLOOKUP($G56,DanaSehat!$L$13:$AK$56,Z$4,FALSE))=TRUE,"",
              VLOOKUP($G56,DanaSehat!$L$13:$AK$56,Z$4,FALSE)))</f>
        <v/>
      </c>
      <c r="AA56" s="18" t="str">
        <f>IF(ISNUMBER($L$6)=FALSE,"",
        IF(ISERROR(VLOOKUP($G56,DanaSehat!$L$13:$AK$56,AA$4,FALSE))=TRUE,"",
              VLOOKUP($G56,DanaSehat!$L$13:$AK$56,AA$4,FALSE)))</f>
        <v/>
      </c>
      <c r="AB56" s="18" t="str">
        <f>IF(ISNUMBER($L$6)=FALSE,"",
        IF(ISERROR(VLOOKUP($G56,DanaSehat!$L$13:$AK$56,AB$4,FALSE))=TRUE,"",
              VLOOKUP($G56,DanaSehat!$L$13:$AK$56,AB$4,FALSE)))</f>
        <v/>
      </c>
      <c r="AC56" s="18" t="str">
        <f>IF(ISNUMBER($L$6)=FALSE,"",
        IF(ISERROR(VLOOKUP($G56,DanaSehat!$L$13:$AK$56,AC$4,FALSE))=TRUE,"",
              VLOOKUP($G56,DanaSehat!$L$13:$AK$56,AC$4,FALSE)))</f>
        <v/>
      </c>
      <c r="AD56" s="18" t="str">
        <f>IF(ISNUMBER($L$6)=FALSE,"",
        IF(ISERROR(VLOOKUP($G56,DanaSehat!$L$13:$AK$56,AD$4,FALSE))=TRUE,"",
              VLOOKUP($G56,DanaSehat!$L$13:$AK$56,AD$4,FALSE)))</f>
        <v/>
      </c>
      <c r="AE56" s="18" t="str">
        <f>IF(ISNUMBER($L$6)=FALSE,"",
        IF(ISERROR(VLOOKUP($G56,DanaSehat!$L$13:$AK$56,AE$4,FALSE))=TRUE,"",
              VLOOKUP($G56,DanaSehat!$L$13:$AK$56,AE$4,FALSE)))</f>
        <v/>
      </c>
      <c r="AF56" s="18" t="str">
        <f>IF(ISNUMBER($L$6)=FALSE,"",
        IF(ISERROR(VLOOKUP($G56,DanaSehat!$L$13:$AK$56,AF$4,FALSE))=TRUE,"",
              VLOOKUP($G56,DanaSehat!$L$13:$AK$56,AF$4,FALSE)))</f>
        <v/>
      </c>
    </row>
    <row r="57" spans="1:32" s="60" customFormat="1" ht="10.5" x14ac:dyDescent="0.25">
      <c r="A57" s="59"/>
      <c r="C57" s="59">
        <f t="shared" si="6"/>
        <v>44</v>
      </c>
      <c r="D57" s="61"/>
      <c r="E57" s="77" t="str">
        <f t="shared" si="4"/>
        <v/>
      </c>
      <c r="F57" s="77" t="str">
        <f>IF(ISNUMBER($L$6)=FALSE,"",
IF($C57=0,"",VLOOKUP($E57,DanaSehat!$H$13:$L$56,4,FALSE)))</f>
        <v/>
      </c>
      <c r="G57" s="77" t="str">
        <f>IF(ISNUMBER($L$6)=FALSE,"",
IF($C57=0,"",VLOOKUP($E57,DanaSehat!$H$13:$L$56,5,FALSE)))</f>
        <v/>
      </c>
      <c r="H57" s="17" t="str">
        <f t="shared" si="5"/>
        <v/>
      </c>
      <c r="I57" s="18" t="str">
        <f>IF(ISNUMBER($L$6)=FALSE,"",
        IF(ISERROR(VLOOKUP($G57,DanaSehat!$L$13:$AK$56,I$4,FALSE))=TRUE,"",
              VLOOKUP($G57,DanaSehat!$L$13:$AK$56,I$4,FALSE)))</f>
        <v/>
      </c>
      <c r="J57" s="18" t="str">
        <f>IF(ISNUMBER($L$6)=FALSE,"",
        IF(ISERROR(VLOOKUP($G57,DanaSehat!$L$13:$AK$56,J$4,FALSE))=TRUE,"",
              VLOOKUP($G57,DanaSehat!$L$13:$AK$56,J$4,FALSE)))</f>
        <v/>
      </c>
      <c r="K57" s="18" t="str">
        <f>IF(ISNUMBER($L$6)=FALSE,"",
        IF(ISERROR(VLOOKUP($G57,DanaSehat!$L$13:$AK$56,K$4,FALSE))=TRUE,"",
              VLOOKUP($G57,DanaSehat!$L$13:$AK$56,K$4,FALSE)))</f>
        <v/>
      </c>
      <c r="L57" s="18" t="str">
        <f>IF(ISNUMBER($L$6)=FALSE,"",
        IF(ISERROR(VLOOKUP($G57,DanaSehat!$L$13:$AK$56,L$4,FALSE))=TRUE,"",
              VLOOKUP($G57,DanaSehat!$L$13:$AK$56,L$4,FALSE)))</f>
        <v/>
      </c>
      <c r="M57" s="18" t="str">
        <f>IF(ISNUMBER($L$6)=FALSE,"",
        IF(ISERROR(VLOOKUP($G57,DanaSehat!$L$13:$AK$56,M$4,FALSE))=TRUE,"",
              VLOOKUP($G57,DanaSehat!$L$13:$AK$56,M$4,FALSE)))</f>
        <v/>
      </c>
      <c r="N57" s="18" t="str">
        <f>IF(ISNUMBER($L$6)=FALSE,"",
        IF(ISERROR(VLOOKUP($G57,DanaSehat!$L$13:$AK$56,N$4,FALSE))=TRUE,"",
              VLOOKUP($G57,DanaSehat!$L$13:$AK$56,N$4,FALSE)))</f>
        <v/>
      </c>
      <c r="O57" s="18" t="str">
        <f>IF(ISNUMBER($L$6)=FALSE,"",
        IF(ISERROR(VLOOKUP($G57,DanaSehat!$L$13:$AK$56,O$4,FALSE))=TRUE,"",
              VLOOKUP($G57,DanaSehat!$L$13:$AK$56,O$4,FALSE)))</f>
        <v/>
      </c>
      <c r="P57" s="18" t="str">
        <f>IF(ISNUMBER($L$6)=FALSE,"",
        IF(ISERROR(VLOOKUP($G57,DanaSehat!$L$13:$AK$56,P$4,FALSE))=TRUE,"",
              VLOOKUP($G57,DanaSehat!$L$13:$AK$56,P$4,FALSE)))</f>
        <v/>
      </c>
      <c r="Q57" s="18" t="str">
        <f>IF(ISNUMBER($L$6)=FALSE,"",
        IF(ISERROR(VLOOKUP($G57,DanaSehat!$L$13:$AK$56,Q$4,FALSE))=TRUE,"",
              VLOOKUP($G57,DanaSehat!$L$13:$AK$56,Q$4,FALSE)))</f>
        <v/>
      </c>
      <c r="R57" s="18" t="str">
        <f>IF(ISNUMBER($L$6)=FALSE,"",
        IF(ISERROR(VLOOKUP($G57,DanaSehat!$L$13:$AK$56,R$4,FALSE))=TRUE,"",
              VLOOKUP($G57,DanaSehat!$L$13:$AK$56,R$4,FALSE)))</f>
        <v/>
      </c>
      <c r="S57" s="18" t="str">
        <f>IF(ISNUMBER($L$6)=FALSE,"",
        IF(ISERROR(VLOOKUP($G57,DanaSehat!$L$13:$AK$56,S$4,FALSE))=TRUE,"",
              VLOOKUP($G57,DanaSehat!$L$13:$AK$56,S$4,FALSE)))</f>
        <v/>
      </c>
      <c r="T57" s="18" t="str">
        <f>IF(ISNUMBER($L$6)=FALSE,"",
        IF(ISERROR(VLOOKUP($G57,DanaSehat!$L$13:$AK$56,T$4,FALSE))=TRUE,"",
              VLOOKUP($G57,DanaSehat!$L$13:$AK$56,T$4,FALSE)))</f>
        <v/>
      </c>
      <c r="U57" s="18" t="str">
        <f>IF(ISNUMBER($L$6)=FALSE,"",
        IF(ISERROR(VLOOKUP($G57,DanaSehat!$L$13:$AK$56,U$4,FALSE))=TRUE,"",
              VLOOKUP($G57,DanaSehat!$L$13:$AK$56,U$4,FALSE)))</f>
        <v/>
      </c>
      <c r="V57" s="18" t="str">
        <f>IF(ISNUMBER($L$6)=FALSE,"",
        IF(ISERROR(VLOOKUP($G57,DanaSehat!$L$13:$AK$56,V$4,FALSE))=TRUE,"",
              VLOOKUP($G57,DanaSehat!$L$13:$AK$56,V$4,FALSE)))</f>
        <v/>
      </c>
      <c r="W57" s="18" t="str">
        <f>IF(ISNUMBER($L$6)=FALSE,"",
        IF(ISERROR(VLOOKUP($G57,DanaSehat!$L$13:$AK$56,W$4,FALSE))=TRUE,"",
              VLOOKUP($G57,DanaSehat!$L$13:$AK$56,W$4,FALSE)))</f>
        <v/>
      </c>
      <c r="X57" s="18" t="str">
        <f>IF(ISNUMBER($L$6)=FALSE,"",
        IF(ISERROR(VLOOKUP($G57,DanaSehat!$L$13:$AK$56,X$4,FALSE))=TRUE,"",
              VLOOKUP($G57,DanaSehat!$L$13:$AK$56,X$4,FALSE)))</f>
        <v/>
      </c>
      <c r="Y57" s="18" t="str">
        <f>IF(ISNUMBER($L$6)=FALSE,"",
        IF(ISERROR(VLOOKUP($G57,DanaSehat!$L$13:$AK$56,Y$4,FALSE))=TRUE,"",
              VLOOKUP($G57,DanaSehat!$L$13:$AK$56,Y$4,FALSE)))</f>
        <v/>
      </c>
      <c r="Z57" s="18" t="str">
        <f>IF(ISNUMBER($L$6)=FALSE,"",
        IF(ISERROR(VLOOKUP($G57,DanaSehat!$L$13:$AK$56,Z$4,FALSE))=TRUE,"",
              VLOOKUP($G57,DanaSehat!$L$13:$AK$56,Z$4,FALSE)))</f>
        <v/>
      </c>
      <c r="AA57" s="18" t="str">
        <f>IF(ISNUMBER($L$6)=FALSE,"",
        IF(ISERROR(VLOOKUP($G57,DanaSehat!$L$13:$AK$56,AA$4,FALSE))=TRUE,"",
              VLOOKUP($G57,DanaSehat!$L$13:$AK$56,AA$4,FALSE)))</f>
        <v/>
      </c>
      <c r="AB57" s="18" t="str">
        <f>IF(ISNUMBER($L$6)=FALSE,"",
        IF(ISERROR(VLOOKUP($G57,DanaSehat!$L$13:$AK$56,AB$4,FALSE))=TRUE,"",
              VLOOKUP($G57,DanaSehat!$L$13:$AK$56,AB$4,FALSE)))</f>
        <v/>
      </c>
      <c r="AC57" s="18" t="str">
        <f>IF(ISNUMBER($L$6)=FALSE,"",
        IF(ISERROR(VLOOKUP($G57,DanaSehat!$L$13:$AK$56,AC$4,FALSE))=TRUE,"",
              VLOOKUP($G57,DanaSehat!$L$13:$AK$56,AC$4,FALSE)))</f>
        <v/>
      </c>
      <c r="AD57" s="18" t="str">
        <f>IF(ISNUMBER($L$6)=FALSE,"",
        IF(ISERROR(VLOOKUP($G57,DanaSehat!$L$13:$AK$56,AD$4,FALSE))=TRUE,"",
              VLOOKUP($G57,DanaSehat!$L$13:$AK$56,AD$4,FALSE)))</f>
        <v/>
      </c>
      <c r="AE57" s="18" t="str">
        <f>IF(ISNUMBER($L$6)=FALSE,"",
        IF(ISERROR(VLOOKUP($G57,DanaSehat!$L$13:$AK$56,AE$4,FALSE))=TRUE,"",
              VLOOKUP($G57,DanaSehat!$L$13:$AK$56,AE$4,FALSE)))</f>
        <v/>
      </c>
      <c r="AF57" s="18" t="str">
        <f>IF(ISNUMBER($L$6)=FALSE,"",
        IF(ISERROR(VLOOKUP($G57,DanaSehat!$L$13:$AK$56,AF$4,FALSE))=TRUE,"",
              VLOOKUP($G57,DanaSehat!$L$13:$AK$56,AF$4,FALSE)))</f>
        <v/>
      </c>
    </row>
    <row r="58" spans="1:32" s="60" customFormat="1" ht="10.5" x14ac:dyDescent="0.25">
      <c r="A58" s="59"/>
      <c r="C58" s="59">
        <f t="shared" si="6"/>
        <v>45</v>
      </c>
      <c r="D58" s="61"/>
      <c r="E58" s="77" t="str">
        <f t="shared" si="4"/>
        <v/>
      </c>
      <c r="F58" s="77" t="str">
        <f>IF(ISNUMBER($L$6)=FALSE,"",
IF($C58=0,"",VLOOKUP($E58,DanaSehat!$H$13:$L$56,4,FALSE)))</f>
        <v/>
      </c>
      <c r="G58" s="77" t="str">
        <f>IF(ISNUMBER($L$6)=FALSE,"",
IF($C58=0,"",VLOOKUP($E58,DanaSehat!$H$13:$L$56,5,FALSE)))</f>
        <v/>
      </c>
      <c r="H58" s="17" t="str">
        <f t="shared" si="5"/>
        <v/>
      </c>
      <c r="I58" s="18" t="str">
        <f>IF(ISNUMBER($L$6)=FALSE,"",
        IF(ISERROR(VLOOKUP($G58,DanaSehat!$L$13:$AK$56,I$4,FALSE))=TRUE,"",
              VLOOKUP($G58,DanaSehat!$L$13:$AK$56,I$4,FALSE)))</f>
        <v/>
      </c>
      <c r="J58" s="18" t="str">
        <f>IF(ISNUMBER($L$6)=FALSE,"",
        IF(ISERROR(VLOOKUP($G58,DanaSehat!$L$13:$AK$56,J$4,FALSE))=TRUE,"",
              VLOOKUP($G58,DanaSehat!$L$13:$AK$56,J$4,FALSE)))</f>
        <v/>
      </c>
      <c r="K58" s="18" t="str">
        <f>IF(ISNUMBER($L$6)=FALSE,"",
        IF(ISERROR(VLOOKUP($G58,DanaSehat!$L$13:$AK$56,K$4,FALSE))=TRUE,"",
              VLOOKUP($G58,DanaSehat!$L$13:$AK$56,K$4,FALSE)))</f>
        <v/>
      </c>
      <c r="L58" s="18" t="str">
        <f>IF(ISNUMBER($L$6)=FALSE,"",
        IF(ISERROR(VLOOKUP($G58,DanaSehat!$L$13:$AK$56,L$4,FALSE))=TRUE,"",
              VLOOKUP($G58,DanaSehat!$L$13:$AK$56,L$4,FALSE)))</f>
        <v/>
      </c>
      <c r="M58" s="18" t="str">
        <f>IF(ISNUMBER($L$6)=FALSE,"",
        IF(ISERROR(VLOOKUP($G58,DanaSehat!$L$13:$AK$56,M$4,FALSE))=TRUE,"",
              VLOOKUP($G58,DanaSehat!$L$13:$AK$56,M$4,FALSE)))</f>
        <v/>
      </c>
      <c r="N58" s="18" t="str">
        <f>IF(ISNUMBER($L$6)=FALSE,"",
        IF(ISERROR(VLOOKUP($G58,DanaSehat!$L$13:$AK$56,N$4,FALSE))=TRUE,"",
              VLOOKUP($G58,DanaSehat!$L$13:$AK$56,N$4,FALSE)))</f>
        <v/>
      </c>
      <c r="O58" s="18" t="str">
        <f>IF(ISNUMBER($L$6)=FALSE,"",
        IF(ISERROR(VLOOKUP($G58,DanaSehat!$L$13:$AK$56,O$4,FALSE))=TRUE,"",
              VLOOKUP($G58,DanaSehat!$L$13:$AK$56,O$4,FALSE)))</f>
        <v/>
      </c>
      <c r="P58" s="18" t="str">
        <f>IF(ISNUMBER($L$6)=FALSE,"",
        IF(ISERROR(VLOOKUP($G58,DanaSehat!$L$13:$AK$56,P$4,FALSE))=TRUE,"",
              VLOOKUP($G58,DanaSehat!$L$13:$AK$56,P$4,FALSE)))</f>
        <v/>
      </c>
      <c r="Q58" s="18" t="str">
        <f>IF(ISNUMBER($L$6)=FALSE,"",
        IF(ISERROR(VLOOKUP($G58,DanaSehat!$L$13:$AK$56,Q$4,FALSE))=TRUE,"",
              VLOOKUP($G58,DanaSehat!$L$13:$AK$56,Q$4,FALSE)))</f>
        <v/>
      </c>
      <c r="R58" s="18" t="str">
        <f>IF(ISNUMBER($L$6)=FALSE,"",
        IF(ISERROR(VLOOKUP($G58,DanaSehat!$L$13:$AK$56,R$4,FALSE))=TRUE,"",
              VLOOKUP($G58,DanaSehat!$L$13:$AK$56,R$4,FALSE)))</f>
        <v/>
      </c>
      <c r="S58" s="18" t="str">
        <f>IF(ISNUMBER($L$6)=FALSE,"",
        IF(ISERROR(VLOOKUP($G58,DanaSehat!$L$13:$AK$56,S$4,FALSE))=TRUE,"",
              VLOOKUP($G58,DanaSehat!$L$13:$AK$56,S$4,FALSE)))</f>
        <v/>
      </c>
      <c r="T58" s="18" t="str">
        <f>IF(ISNUMBER($L$6)=FALSE,"",
        IF(ISERROR(VLOOKUP($G58,DanaSehat!$L$13:$AK$56,T$4,FALSE))=TRUE,"",
              VLOOKUP($G58,DanaSehat!$L$13:$AK$56,T$4,FALSE)))</f>
        <v/>
      </c>
      <c r="U58" s="18" t="str">
        <f>IF(ISNUMBER($L$6)=FALSE,"",
        IF(ISERROR(VLOOKUP($G58,DanaSehat!$L$13:$AK$56,U$4,FALSE))=TRUE,"",
              VLOOKUP($G58,DanaSehat!$L$13:$AK$56,U$4,FALSE)))</f>
        <v/>
      </c>
      <c r="V58" s="18" t="str">
        <f>IF(ISNUMBER($L$6)=FALSE,"",
        IF(ISERROR(VLOOKUP($G58,DanaSehat!$L$13:$AK$56,V$4,FALSE))=TRUE,"",
              VLOOKUP($G58,DanaSehat!$L$13:$AK$56,V$4,FALSE)))</f>
        <v/>
      </c>
      <c r="W58" s="18" t="str">
        <f>IF(ISNUMBER($L$6)=FALSE,"",
        IF(ISERROR(VLOOKUP($G58,DanaSehat!$L$13:$AK$56,W$4,FALSE))=TRUE,"",
              VLOOKUP($G58,DanaSehat!$L$13:$AK$56,W$4,FALSE)))</f>
        <v/>
      </c>
      <c r="X58" s="18" t="str">
        <f>IF(ISNUMBER($L$6)=FALSE,"",
        IF(ISERROR(VLOOKUP($G58,DanaSehat!$L$13:$AK$56,X$4,FALSE))=TRUE,"",
              VLOOKUP($G58,DanaSehat!$L$13:$AK$56,X$4,FALSE)))</f>
        <v/>
      </c>
      <c r="Y58" s="18" t="str">
        <f>IF(ISNUMBER($L$6)=FALSE,"",
        IF(ISERROR(VLOOKUP($G58,DanaSehat!$L$13:$AK$56,Y$4,FALSE))=TRUE,"",
              VLOOKUP($G58,DanaSehat!$L$13:$AK$56,Y$4,FALSE)))</f>
        <v/>
      </c>
      <c r="Z58" s="18" t="str">
        <f>IF(ISNUMBER($L$6)=FALSE,"",
        IF(ISERROR(VLOOKUP($G58,DanaSehat!$L$13:$AK$56,Z$4,FALSE))=TRUE,"",
              VLOOKUP($G58,DanaSehat!$L$13:$AK$56,Z$4,FALSE)))</f>
        <v/>
      </c>
      <c r="AA58" s="18" t="str">
        <f>IF(ISNUMBER($L$6)=FALSE,"",
        IF(ISERROR(VLOOKUP($G58,DanaSehat!$L$13:$AK$56,AA$4,FALSE))=TRUE,"",
              VLOOKUP($G58,DanaSehat!$L$13:$AK$56,AA$4,FALSE)))</f>
        <v/>
      </c>
      <c r="AB58" s="18" t="str">
        <f>IF(ISNUMBER($L$6)=FALSE,"",
        IF(ISERROR(VLOOKUP($G58,DanaSehat!$L$13:$AK$56,AB$4,FALSE))=TRUE,"",
              VLOOKUP($G58,DanaSehat!$L$13:$AK$56,AB$4,FALSE)))</f>
        <v/>
      </c>
      <c r="AC58" s="18" t="str">
        <f>IF(ISNUMBER($L$6)=FALSE,"",
        IF(ISERROR(VLOOKUP($G58,DanaSehat!$L$13:$AK$56,AC$4,FALSE))=TRUE,"",
              VLOOKUP($G58,DanaSehat!$L$13:$AK$56,AC$4,FALSE)))</f>
        <v/>
      </c>
      <c r="AD58" s="18" t="str">
        <f>IF(ISNUMBER($L$6)=FALSE,"",
        IF(ISERROR(VLOOKUP($G58,DanaSehat!$L$13:$AK$56,AD$4,FALSE))=TRUE,"",
              VLOOKUP($G58,DanaSehat!$L$13:$AK$56,AD$4,FALSE)))</f>
        <v/>
      </c>
      <c r="AE58" s="18" t="str">
        <f>IF(ISNUMBER($L$6)=FALSE,"",
        IF(ISERROR(VLOOKUP($G58,DanaSehat!$L$13:$AK$56,AE$4,FALSE))=TRUE,"",
              VLOOKUP($G58,DanaSehat!$L$13:$AK$56,AE$4,FALSE)))</f>
        <v/>
      </c>
      <c r="AF58" s="18" t="str">
        <f>IF(ISNUMBER($L$6)=FALSE,"",
        IF(ISERROR(VLOOKUP($G58,DanaSehat!$L$13:$AK$56,AF$4,FALSE))=TRUE,"",
              VLOOKUP($G58,DanaSehat!$L$13:$AK$56,AF$4,FALSE)))</f>
        <v/>
      </c>
    </row>
    <row r="59" spans="1:32" s="60" customFormat="1" ht="10.5" x14ac:dyDescent="0.25">
      <c r="A59" s="59"/>
      <c r="C59" s="59">
        <f t="shared" si="6"/>
        <v>46</v>
      </c>
      <c r="D59" s="61"/>
      <c r="E59" s="77" t="str">
        <f t="shared" si="4"/>
        <v/>
      </c>
      <c r="F59" s="77" t="str">
        <f>IF(ISNUMBER($L$6)=FALSE,"",
IF($C59=0,"",VLOOKUP($E59,DanaSehat!$H$13:$L$56,4,FALSE)))</f>
        <v/>
      </c>
      <c r="G59" s="77" t="str">
        <f>IF(ISNUMBER($L$6)=FALSE,"",
IF($C59=0,"",VLOOKUP($E59,DanaSehat!$H$13:$L$56,5,FALSE)))</f>
        <v/>
      </c>
      <c r="H59" s="17" t="str">
        <f t="shared" si="5"/>
        <v/>
      </c>
      <c r="I59" s="18" t="str">
        <f>IF(ISNUMBER($L$6)=FALSE,"",
        IF(ISERROR(VLOOKUP($G59,DanaSehat!$L$13:$AK$56,I$4,FALSE))=TRUE,"",
              VLOOKUP($G59,DanaSehat!$L$13:$AK$56,I$4,FALSE)))</f>
        <v/>
      </c>
      <c r="J59" s="18" t="str">
        <f>IF(ISNUMBER($L$6)=FALSE,"",
        IF(ISERROR(VLOOKUP($G59,DanaSehat!$L$13:$AK$56,J$4,FALSE))=TRUE,"",
              VLOOKUP($G59,DanaSehat!$L$13:$AK$56,J$4,FALSE)))</f>
        <v/>
      </c>
      <c r="K59" s="18" t="str">
        <f>IF(ISNUMBER($L$6)=FALSE,"",
        IF(ISERROR(VLOOKUP($G59,DanaSehat!$L$13:$AK$56,K$4,FALSE))=TRUE,"",
              VLOOKUP($G59,DanaSehat!$L$13:$AK$56,K$4,FALSE)))</f>
        <v/>
      </c>
      <c r="L59" s="18" t="str">
        <f>IF(ISNUMBER($L$6)=FALSE,"",
        IF(ISERROR(VLOOKUP($G59,DanaSehat!$L$13:$AK$56,L$4,FALSE))=TRUE,"",
              VLOOKUP($G59,DanaSehat!$L$13:$AK$56,L$4,FALSE)))</f>
        <v/>
      </c>
      <c r="M59" s="18" t="str">
        <f>IF(ISNUMBER($L$6)=FALSE,"",
        IF(ISERROR(VLOOKUP($G59,DanaSehat!$L$13:$AK$56,M$4,FALSE))=TRUE,"",
              VLOOKUP($G59,DanaSehat!$L$13:$AK$56,M$4,FALSE)))</f>
        <v/>
      </c>
      <c r="N59" s="18" t="str">
        <f>IF(ISNUMBER($L$6)=FALSE,"",
        IF(ISERROR(VLOOKUP($G59,DanaSehat!$L$13:$AK$56,N$4,FALSE))=TRUE,"",
              VLOOKUP($G59,DanaSehat!$L$13:$AK$56,N$4,FALSE)))</f>
        <v/>
      </c>
      <c r="O59" s="18" t="str">
        <f>IF(ISNUMBER($L$6)=FALSE,"",
        IF(ISERROR(VLOOKUP($G59,DanaSehat!$L$13:$AK$56,O$4,FALSE))=TRUE,"",
              VLOOKUP($G59,DanaSehat!$L$13:$AK$56,O$4,FALSE)))</f>
        <v/>
      </c>
      <c r="P59" s="18" t="str">
        <f>IF(ISNUMBER($L$6)=FALSE,"",
        IF(ISERROR(VLOOKUP($G59,DanaSehat!$L$13:$AK$56,P$4,FALSE))=TRUE,"",
              VLOOKUP($G59,DanaSehat!$L$13:$AK$56,P$4,FALSE)))</f>
        <v/>
      </c>
      <c r="Q59" s="18" t="str">
        <f>IF(ISNUMBER($L$6)=FALSE,"",
        IF(ISERROR(VLOOKUP($G59,DanaSehat!$L$13:$AK$56,Q$4,FALSE))=TRUE,"",
              VLOOKUP($G59,DanaSehat!$L$13:$AK$56,Q$4,FALSE)))</f>
        <v/>
      </c>
      <c r="R59" s="18" t="str">
        <f>IF(ISNUMBER($L$6)=FALSE,"",
        IF(ISERROR(VLOOKUP($G59,DanaSehat!$L$13:$AK$56,R$4,FALSE))=TRUE,"",
              VLOOKUP($G59,DanaSehat!$L$13:$AK$56,R$4,FALSE)))</f>
        <v/>
      </c>
      <c r="S59" s="18" t="str">
        <f>IF(ISNUMBER($L$6)=FALSE,"",
        IF(ISERROR(VLOOKUP($G59,DanaSehat!$L$13:$AK$56,S$4,FALSE))=TRUE,"",
              VLOOKUP($G59,DanaSehat!$L$13:$AK$56,S$4,FALSE)))</f>
        <v/>
      </c>
      <c r="T59" s="18" t="str">
        <f>IF(ISNUMBER($L$6)=FALSE,"",
        IF(ISERROR(VLOOKUP($G59,DanaSehat!$L$13:$AK$56,T$4,FALSE))=TRUE,"",
              VLOOKUP($G59,DanaSehat!$L$13:$AK$56,T$4,FALSE)))</f>
        <v/>
      </c>
      <c r="U59" s="18" t="str">
        <f>IF(ISNUMBER($L$6)=FALSE,"",
        IF(ISERROR(VLOOKUP($G59,DanaSehat!$L$13:$AK$56,U$4,FALSE))=TRUE,"",
              VLOOKUP($G59,DanaSehat!$L$13:$AK$56,U$4,FALSE)))</f>
        <v/>
      </c>
      <c r="V59" s="18" t="str">
        <f>IF(ISNUMBER($L$6)=FALSE,"",
        IF(ISERROR(VLOOKUP($G59,DanaSehat!$L$13:$AK$56,V$4,FALSE))=TRUE,"",
              VLOOKUP($G59,DanaSehat!$L$13:$AK$56,V$4,FALSE)))</f>
        <v/>
      </c>
      <c r="W59" s="18" t="str">
        <f>IF(ISNUMBER($L$6)=FALSE,"",
        IF(ISERROR(VLOOKUP($G59,DanaSehat!$L$13:$AK$56,W$4,FALSE))=TRUE,"",
              VLOOKUP($G59,DanaSehat!$L$13:$AK$56,W$4,FALSE)))</f>
        <v/>
      </c>
      <c r="X59" s="18" t="str">
        <f>IF(ISNUMBER($L$6)=FALSE,"",
        IF(ISERROR(VLOOKUP($G59,DanaSehat!$L$13:$AK$56,X$4,FALSE))=TRUE,"",
              VLOOKUP($G59,DanaSehat!$L$13:$AK$56,X$4,FALSE)))</f>
        <v/>
      </c>
      <c r="Y59" s="18" t="str">
        <f>IF(ISNUMBER($L$6)=FALSE,"",
        IF(ISERROR(VLOOKUP($G59,DanaSehat!$L$13:$AK$56,Y$4,FALSE))=TRUE,"",
              VLOOKUP($G59,DanaSehat!$L$13:$AK$56,Y$4,FALSE)))</f>
        <v/>
      </c>
      <c r="Z59" s="18" t="str">
        <f>IF(ISNUMBER($L$6)=FALSE,"",
        IF(ISERROR(VLOOKUP($G59,DanaSehat!$L$13:$AK$56,Z$4,FALSE))=TRUE,"",
              VLOOKUP($G59,DanaSehat!$L$13:$AK$56,Z$4,FALSE)))</f>
        <v/>
      </c>
      <c r="AA59" s="18" t="str">
        <f>IF(ISNUMBER($L$6)=FALSE,"",
        IF(ISERROR(VLOOKUP($G59,DanaSehat!$L$13:$AK$56,AA$4,FALSE))=TRUE,"",
              VLOOKUP($G59,DanaSehat!$L$13:$AK$56,AA$4,FALSE)))</f>
        <v/>
      </c>
      <c r="AB59" s="18" t="str">
        <f>IF(ISNUMBER($L$6)=FALSE,"",
        IF(ISERROR(VLOOKUP($G59,DanaSehat!$L$13:$AK$56,AB$4,FALSE))=TRUE,"",
              VLOOKUP($G59,DanaSehat!$L$13:$AK$56,AB$4,FALSE)))</f>
        <v/>
      </c>
      <c r="AC59" s="18" t="str">
        <f>IF(ISNUMBER($L$6)=FALSE,"",
        IF(ISERROR(VLOOKUP($G59,DanaSehat!$L$13:$AK$56,AC$4,FALSE))=TRUE,"",
              VLOOKUP($G59,DanaSehat!$L$13:$AK$56,AC$4,FALSE)))</f>
        <v/>
      </c>
      <c r="AD59" s="18" t="str">
        <f>IF(ISNUMBER($L$6)=FALSE,"",
        IF(ISERROR(VLOOKUP($G59,DanaSehat!$L$13:$AK$56,AD$4,FALSE))=TRUE,"",
              VLOOKUP($G59,DanaSehat!$L$13:$AK$56,AD$4,FALSE)))</f>
        <v/>
      </c>
      <c r="AE59" s="18" t="str">
        <f>IF(ISNUMBER($L$6)=FALSE,"",
        IF(ISERROR(VLOOKUP($G59,DanaSehat!$L$13:$AK$56,AE$4,FALSE))=TRUE,"",
              VLOOKUP($G59,DanaSehat!$L$13:$AK$56,AE$4,FALSE)))</f>
        <v/>
      </c>
      <c r="AF59" s="18" t="str">
        <f>IF(ISNUMBER($L$6)=FALSE,"",
        IF(ISERROR(VLOOKUP($G59,DanaSehat!$L$13:$AK$56,AF$4,FALSE))=TRUE,"",
              VLOOKUP($G59,DanaSehat!$L$13:$AK$56,AF$4,FALSE)))</f>
        <v/>
      </c>
    </row>
    <row r="60" spans="1:32" s="60" customFormat="1" ht="10.5" x14ac:dyDescent="0.25">
      <c r="A60" s="59"/>
      <c r="C60" s="59">
        <f t="shared" si="6"/>
        <v>47</v>
      </c>
      <c r="D60" s="61"/>
      <c r="E60" s="77" t="str">
        <f t="shared" si="4"/>
        <v/>
      </c>
      <c r="F60" s="77" t="str">
        <f>IF(ISNUMBER($L$6)=FALSE,"",
IF($C60=0,"",VLOOKUP($E60,DanaSehat!$H$13:$L$56,4,FALSE)))</f>
        <v/>
      </c>
      <c r="G60" s="77" t="str">
        <f>IF(ISNUMBER($L$6)=FALSE,"",
IF($C60=0,"",VLOOKUP($E60,DanaSehat!$H$13:$L$56,5,FALSE)))</f>
        <v/>
      </c>
      <c r="H60" s="17" t="str">
        <f t="shared" si="5"/>
        <v/>
      </c>
      <c r="I60" s="18" t="str">
        <f>IF(ISNUMBER($L$6)=FALSE,"",
        IF(ISERROR(VLOOKUP($G60,DanaSehat!$L$13:$AK$56,I$4,FALSE))=TRUE,"",
              VLOOKUP($G60,DanaSehat!$L$13:$AK$56,I$4,FALSE)))</f>
        <v/>
      </c>
      <c r="J60" s="18" t="str">
        <f>IF(ISNUMBER($L$6)=FALSE,"",
        IF(ISERROR(VLOOKUP($G60,DanaSehat!$L$13:$AK$56,J$4,FALSE))=TRUE,"",
              VLOOKUP($G60,DanaSehat!$L$13:$AK$56,J$4,FALSE)))</f>
        <v/>
      </c>
      <c r="K60" s="18" t="str">
        <f>IF(ISNUMBER($L$6)=FALSE,"",
        IF(ISERROR(VLOOKUP($G60,DanaSehat!$L$13:$AK$56,K$4,FALSE))=TRUE,"",
              VLOOKUP($G60,DanaSehat!$L$13:$AK$56,K$4,FALSE)))</f>
        <v/>
      </c>
      <c r="L60" s="18" t="str">
        <f>IF(ISNUMBER($L$6)=FALSE,"",
        IF(ISERROR(VLOOKUP($G60,DanaSehat!$L$13:$AK$56,L$4,FALSE))=TRUE,"",
              VLOOKUP($G60,DanaSehat!$L$13:$AK$56,L$4,FALSE)))</f>
        <v/>
      </c>
      <c r="M60" s="18" t="str">
        <f>IF(ISNUMBER($L$6)=FALSE,"",
        IF(ISERROR(VLOOKUP($G60,DanaSehat!$L$13:$AK$56,M$4,FALSE))=TRUE,"",
              VLOOKUP($G60,DanaSehat!$L$13:$AK$56,M$4,FALSE)))</f>
        <v/>
      </c>
      <c r="N60" s="18" t="str">
        <f>IF(ISNUMBER($L$6)=FALSE,"",
        IF(ISERROR(VLOOKUP($G60,DanaSehat!$L$13:$AK$56,N$4,FALSE))=TRUE,"",
              VLOOKUP($G60,DanaSehat!$L$13:$AK$56,N$4,FALSE)))</f>
        <v/>
      </c>
      <c r="O60" s="18" t="str">
        <f>IF(ISNUMBER($L$6)=FALSE,"",
        IF(ISERROR(VLOOKUP($G60,DanaSehat!$L$13:$AK$56,O$4,FALSE))=TRUE,"",
              VLOOKUP($G60,DanaSehat!$L$13:$AK$56,O$4,FALSE)))</f>
        <v/>
      </c>
      <c r="P60" s="18" t="str">
        <f>IF(ISNUMBER($L$6)=FALSE,"",
        IF(ISERROR(VLOOKUP($G60,DanaSehat!$L$13:$AK$56,P$4,FALSE))=TRUE,"",
              VLOOKUP($G60,DanaSehat!$L$13:$AK$56,P$4,FALSE)))</f>
        <v/>
      </c>
      <c r="Q60" s="18" t="str">
        <f>IF(ISNUMBER($L$6)=FALSE,"",
        IF(ISERROR(VLOOKUP($G60,DanaSehat!$L$13:$AK$56,Q$4,FALSE))=TRUE,"",
              VLOOKUP($G60,DanaSehat!$L$13:$AK$56,Q$4,FALSE)))</f>
        <v/>
      </c>
      <c r="R60" s="18" t="str">
        <f>IF(ISNUMBER($L$6)=FALSE,"",
        IF(ISERROR(VLOOKUP($G60,DanaSehat!$L$13:$AK$56,R$4,FALSE))=TRUE,"",
              VLOOKUP($G60,DanaSehat!$L$13:$AK$56,R$4,FALSE)))</f>
        <v/>
      </c>
      <c r="S60" s="18" t="str">
        <f>IF(ISNUMBER($L$6)=FALSE,"",
        IF(ISERROR(VLOOKUP($G60,DanaSehat!$L$13:$AK$56,S$4,FALSE))=TRUE,"",
              VLOOKUP($G60,DanaSehat!$L$13:$AK$56,S$4,FALSE)))</f>
        <v/>
      </c>
      <c r="T60" s="18" t="str">
        <f>IF(ISNUMBER($L$6)=FALSE,"",
        IF(ISERROR(VLOOKUP($G60,DanaSehat!$L$13:$AK$56,T$4,FALSE))=TRUE,"",
              VLOOKUP($G60,DanaSehat!$L$13:$AK$56,T$4,FALSE)))</f>
        <v/>
      </c>
      <c r="U60" s="18" t="str">
        <f>IF(ISNUMBER($L$6)=FALSE,"",
        IF(ISERROR(VLOOKUP($G60,DanaSehat!$L$13:$AK$56,U$4,FALSE))=TRUE,"",
              VLOOKUP($G60,DanaSehat!$L$13:$AK$56,U$4,FALSE)))</f>
        <v/>
      </c>
      <c r="V60" s="18" t="str">
        <f>IF(ISNUMBER($L$6)=FALSE,"",
        IF(ISERROR(VLOOKUP($G60,DanaSehat!$L$13:$AK$56,V$4,FALSE))=TRUE,"",
              VLOOKUP($G60,DanaSehat!$L$13:$AK$56,V$4,FALSE)))</f>
        <v/>
      </c>
      <c r="W60" s="18" t="str">
        <f>IF(ISNUMBER($L$6)=FALSE,"",
        IF(ISERROR(VLOOKUP($G60,DanaSehat!$L$13:$AK$56,W$4,FALSE))=TRUE,"",
              VLOOKUP($G60,DanaSehat!$L$13:$AK$56,W$4,FALSE)))</f>
        <v/>
      </c>
      <c r="X60" s="18" t="str">
        <f>IF(ISNUMBER($L$6)=FALSE,"",
        IF(ISERROR(VLOOKUP($G60,DanaSehat!$L$13:$AK$56,X$4,FALSE))=TRUE,"",
              VLOOKUP($G60,DanaSehat!$L$13:$AK$56,X$4,FALSE)))</f>
        <v/>
      </c>
      <c r="Y60" s="18" t="str">
        <f>IF(ISNUMBER($L$6)=FALSE,"",
        IF(ISERROR(VLOOKUP($G60,DanaSehat!$L$13:$AK$56,Y$4,FALSE))=TRUE,"",
              VLOOKUP($G60,DanaSehat!$L$13:$AK$56,Y$4,FALSE)))</f>
        <v/>
      </c>
      <c r="Z60" s="18" t="str">
        <f>IF(ISNUMBER($L$6)=FALSE,"",
        IF(ISERROR(VLOOKUP($G60,DanaSehat!$L$13:$AK$56,Z$4,FALSE))=TRUE,"",
              VLOOKUP($G60,DanaSehat!$L$13:$AK$56,Z$4,FALSE)))</f>
        <v/>
      </c>
      <c r="AA60" s="18" t="str">
        <f>IF(ISNUMBER($L$6)=FALSE,"",
        IF(ISERROR(VLOOKUP($G60,DanaSehat!$L$13:$AK$56,AA$4,FALSE))=TRUE,"",
              VLOOKUP($G60,DanaSehat!$L$13:$AK$56,AA$4,FALSE)))</f>
        <v/>
      </c>
      <c r="AB60" s="18" t="str">
        <f>IF(ISNUMBER($L$6)=FALSE,"",
        IF(ISERROR(VLOOKUP($G60,DanaSehat!$L$13:$AK$56,AB$4,FALSE))=TRUE,"",
              VLOOKUP($G60,DanaSehat!$L$13:$AK$56,AB$4,FALSE)))</f>
        <v/>
      </c>
      <c r="AC60" s="18" t="str">
        <f>IF(ISNUMBER($L$6)=FALSE,"",
        IF(ISERROR(VLOOKUP($G60,DanaSehat!$L$13:$AK$56,AC$4,FALSE))=TRUE,"",
              VLOOKUP($G60,DanaSehat!$L$13:$AK$56,AC$4,FALSE)))</f>
        <v/>
      </c>
      <c r="AD60" s="18" t="str">
        <f>IF(ISNUMBER($L$6)=FALSE,"",
        IF(ISERROR(VLOOKUP($G60,DanaSehat!$L$13:$AK$56,AD$4,FALSE))=TRUE,"",
              VLOOKUP($G60,DanaSehat!$L$13:$AK$56,AD$4,FALSE)))</f>
        <v/>
      </c>
      <c r="AE60" s="18" t="str">
        <f>IF(ISNUMBER($L$6)=FALSE,"",
        IF(ISERROR(VLOOKUP($G60,DanaSehat!$L$13:$AK$56,AE$4,FALSE))=TRUE,"",
              VLOOKUP($G60,DanaSehat!$L$13:$AK$56,AE$4,FALSE)))</f>
        <v/>
      </c>
      <c r="AF60" s="18" t="str">
        <f>IF(ISNUMBER($L$6)=FALSE,"",
        IF(ISERROR(VLOOKUP($G60,DanaSehat!$L$13:$AK$56,AF$4,FALSE))=TRUE,"",
              VLOOKUP($G60,DanaSehat!$L$13:$AK$56,AF$4,FALSE)))</f>
        <v/>
      </c>
    </row>
    <row r="61" spans="1:32" s="60" customFormat="1" ht="10.5" x14ac:dyDescent="0.25">
      <c r="A61" s="59"/>
      <c r="C61" s="59">
        <f t="shared" si="6"/>
        <v>48</v>
      </c>
      <c r="D61" s="61"/>
      <c r="E61" s="77" t="str">
        <f t="shared" si="4"/>
        <v/>
      </c>
      <c r="F61" s="77" t="str">
        <f>IF(ISNUMBER($L$6)=FALSE,"",
IF($C61=0,"",VLOOKUP($E61,DanaSehat!$H$13:$L$56,4,FALSE)))</f>
        <v/>
      </c>
      <c r="G61" s="77" t="str">
        <f>IF(ISNUMBER($L$6)=FALSE,"",
IF($C61=0,"",VLOOKUP($E61,DanaSehat!$H$13:$L$56,5,FALSE)))</f>
        <v/>
      </c>
      <c r="H61" s="17" t="str">
        <f t="shared" si="5"/>
        <v/>
      </c>
      <c r="I61" s="18" t="str">
        <f>IF(ISNUMBER($L$6)=FALSE,"",
        IF(ISERROR(VLOOKUP($G61,DanaSehat!$L$13:$AK$56,I$4,FALSE))=TRUE,"",
              VLOOKUP($G61,DanaSehat!$L$13:$AK$56,I$4,FALSE)))</f>
        <v/>
      </c>
      <c r="J61" s="18" t="str">
        <f>IF(ISNUMBER($L$6)=FALSE,"",
        IF(ISERROR(VLOOKUP($G61,DanaSehat!$L$13:$AK$56,J$4,FALSE))=TRUE,"",
              VLOOKUP($G61,DanaSehat!$L$13:$AK$56,J$4,FALSE)))</f>
        <v/>
      </c>
      <c r="K61" s="18" t="str">
        <f>IF(ISNUMBER($L$6)=FALSE,"",
        IF(ISERROR(VLOOKUP($G61,DanaSehat!$L$13:$AK$56,K$4,FALSE))=TRUE,"",
              VLOOKUP($G61,DanaSehat!$L$13:$AK$56,K$4,FALSE)))</f>
        <v/>
      </c>
      <c r="L61" s="18" t="str">
        <f>IF(ISNUMBER($L$6)=FALSE,"",
        IF(ISERROR(VLOOKUP($G61,DanaSehat!$L$13:$AK$56,L$4,FALSE))=TRUE,"",
              VLOOKUP($G61,DanaSehat!$L$13:$AK$56,L$4,FALSE)))</f>
        <v/>
      </c>
      <c r="M61" s="18" t="str">
        <f>IF(ISNUMBER($L$6)=FALSE,"",
        IF(ISERROR(VLOOKUP($G61,DanaSehat!$L$13:$AK$56,M$4,FALSE))=TRUE,"",
              VLOOKUP($G61,DanaSehat!$L$13:$AK$56,M$4,FALSE)))</f>
        <v/>
      </c>
      <c r="N61" s="18" t="str">
        <f>IF(ISNUMBER($L$6)=FALSE,"",
        IF(ISERROR(VLOOKUP($G61,DanaSehat!$L$13:$AK$56,N$4,FALSE))=TRUE,"",
              VLOOKUP($G61,DanaSehat!$L$13:$AK$56,N$4,FALSE)))</f>
        <v/>
      </c>
      <c r="O61" s="18" t="str">
        <f>IF(ISNUMBER($L$6)=FALSE,"",
        IF(ISERROR(VLOOKUP($G61,DanaSehat!$L$13:$AK$56,O$4,FALSE))=TRUE,"",
              VLOOKUP($G61,DanaSehat!$L$13:$AK$56,O$4,FALSE)))</f>
        <v/>
      </c>
      <c r="P61" s="18" t="str">
        <f>IF(ISNUMBER($L$6)=FALSE,"",
        IF(ISERROR(VLOOKUP($G61,DanaSehat!$L$13:$AK$56,P$4,FALSE))=TRUE,"",
              VLOOKUP($G61,DanaSehat!$L$13:$AK$56,P$4,FALSE)))</f>
        <v/>
      </c>
      <c r="Q61" s="18" t="str">
        <f>IF(ISNUMBER($L$6)=FALSE,"",
        IF(ISERROR(VLOOKUP($G61,DanaSehat!$L$13:$AK$56,Q$4,FALSE))=TRUE,"",
              VLOOKUP($G61,DanaSehat!$L$13:$AK$56,Q$4,FALSE)))</f>
        <v/>
      </c>
      <c r="R61" s="18" t="str">
        <f>IF(ISNUMBER($L$6)=FALSE,"",
        IF(ISERROR(VLOOKUP($G61,DanaSehat!$L$13:$AK$56,R$4,FALSE))=TRUE,"",
              VLOOKUP($G61,DanaSehat!$L$13:$AK$56,R$4,FALSE)))</f>
        <v/>
      </c>
      <c r="S61" s="18" t="str">
        <f>IF(ISNUMBER($L$6)=FALSE,"",
        IF(ISERROR(VLOOKUP($G61,DanaSehat!$L$13:$AK$56,S$4,FALSE))=TRUE,"",
              VLOOKUP($G61,DanaSehat!$L$13:$AK$56,S$4,FALSE)))</f>
        <v/>
      </c>
      <c r="T61" s="18" t="str">
        <f>IF(ISNUMBER($L$6)=FALSE,"",
        IF(ISERROR(VLOOKUP($G61,DanaSehat!$L$13:$AK$56,T$4,FALSE))=TRUE,"",
              VLOOKUP($G61,DanaSehat!$L$13:$AK$56,T$4,FALSE)))</f>
        <v/>
      </c>
      <c r="U61" s="18" t="str">
        <f>IF(ISNUMBER($L$6)=FALSE,"",
        IF(ISERROR(VLOOKUP($G61,DanaSehat!$L$13:$AK$56,U$4,FALSE))=TRUE,"",
              VLOOKUP($G61,DanaSehat!$L$13:$AK$56,U$4,FALSE)))</f>
        <v/>
      </c>
      <c r="V61" s="18" t="str">
        <f>IF(ISNUMBER($L$6)=FALSE,"",
        IF(ISERROR(VLOOKUP($G61,DanaSehat!$L$13:$AK$56,V$4,FALSE))=TRUE,"",
              VLOOKUP($G61,DanaSehat!$L$13:$AK$56,V$4,FALSE)))</f>
        <v/>
      </c>
      <c r="W61" s="18" t="str">
        <f>IF(ISNUMBER($L$6)=FALSE,"",
        IF(ISERROR(VLOOKUP($G61,DanaSehat!$L$13:$AK$56,W$4,FALSE))=TRUE,"",
              VLOOKUP($G61,DanaSehat!$L$13:$AK$56,W$4,FALSE)))</f>
        <v/>
      </c>
      <c r="X61" s="18" t="str">
        <f>IF(ISNUMBER($L$6)=FALSE,"",
        IF(ISERROR(VLOOKUP($G61,DanaSehat!$L$13:$AK$56,X$4,FALSE))=TRUE,"",
              VLOOKUP($G61,DanaSehat!$L$13:$AK$56,X$4,FALSE)))</f>
        <v/>
      </c>
      <c r="Y61" s="18" t="str">
        <f>IF(ISNUMBER($L$6)=FALSE,"",
        IF(ISERROR(VLOOKUP($G61,DanaSehat!$L$13:$AK$56,Y$4,FALSE))=TRUE,"",
              VLOOKUP($G61,DanaSehat!$L$13:$AK$56,Y$4,FALSE)))</f>
        <v/>
      </c>
      <c r="Z61" s="18" t="str">
        <f>IF(ISNUMBER($L$6)=FALSE,"",
        IF(ISERROR(VLOOKUP($G61,DanaSehat!$L$13:$AK$56,Z$4,FALSE))=TRUE,"",
              VLOOKUP($G61,DanaSehat!$L$13:$AK$56,Z$4,FALSE)))</f>
        <v/>
      </c>
      <c r="AA61" s="18" t="str">
        <f>IF(ISNUMBER($L$6)=FALSE,"",
        IF(ISERROR(VLOOKUP($G61,DanaSehat!$L$13:$AK$56,AA$4,FALSE))=TRUE,"",
              VLOOKUP($G61,DanaSehat!$L$13:$AK$56,AA$4,FALSE)))</f>
        <v/>
      </c>
      <c r="AB61" s="18" t="str">
        <f>IF(ISNUMBER($L$6)=FALSE,"",
        IF(ISERROR(VLOOKUP($G61,DanaSehat!$L$13:$AK$56,AB$4,FALSE))=TRUE,"",
              VLOOKUP($G61,DanaSehat!$L$13:$AK$56,AB$4,FALSE)))</f>
        <v/>
      </c>
      <c r="AC61" s="18" t="str">
        <f>IF(ISNUMBER($L$6)=FALSE,"",
        IF(ISERROR(VLOOKUP($G61,DanaSehat!$L$13:$AK$56,AC$4,FALSE))=TRUE,"",
              VLOOKUP($G61,DanaSehat!$L$13:$AK$56,AC$4,FALSE)))</f>
        <v/>
      </c>
      <c r="AD61" s="18" t="str">
        <f>IF(ISNUMBER($L$6)=FALSE,"",
        IF(ISERROR(VLOOKUP($G61,DanaSehat!$L$13:$AK$56,AD$4,FALSE))=TRUE,"",
              VLOOKUP($G61,DanaSehat!$L$13:$AK$56,AD$4,FALSE)))</f>
        <v/>
      </c>
      <c r="AE61" s="18" t="str">
        <f>IF(ISNUMBER($L$6)=FALSE,"",
        IF(ISERROR(VLOOKUP($G61,DanaSehat!$L$13:$AK$56,AE$4,FALSE))=TRUE,"",
              VLOOKUP($G61,DanaSehat!$L$13:$AK$56,AE$4,FALSE)))</f>
        <v/>
      </c>
      <c r="AF61" s="18" t="str">
        <f>IF(ISNUMBER($L$6)=FALSE,"",
        IF(ISERROR(VLOOKUP($G61,DanaSehat!$L$13:$AK$56,AF$4,FALSE))=TRUE,"",
              VLOOKUP($G61,DanaSehat!$L$13:$AK$56,AF$4,FALSE)))</f>
        <v/>
      </c>
    </row>
    <row r="62" spans="1:32" s="60" customFormat="1" ht="10.5" x14ac:dyDescent="0.25">
      <c r="A62" s="59"/>
      <c r="C62" s="59">
        <f t="shared" si="6"/>
        <v>49</v>
      </c>
      <c r="D62" s="61"/>
      <c r="E62" s="77" t="str">
        <f t="shared" si="4"/>
        <v/>
      </c>
      <c r="F62" s="77" t="str">
        <f>IF(ISNUMBER($L$6)=FALSE,"",
IF($C62=0,"",VLOOKUP($E62,DanaSehat!$H$13:$L$56,4,FALSE)))</f>
        <v/>
      </c>
      <c r="G62" s="77" t="str">
        <f>IF(ISNUMBER($L$6)=FALSE,"",
IF($C62=0,"",VLOOKUP($E62,DanaSehat!$H$13:$L$56,5,FALSE)))</f>
        <v/>
      </c>
      <c r="H62" s="17" t="str">
        <f t="shared" si="5"/>
        <v/>
      </c>
      <c r="I62" s="18" t="str">
        <f>IF(ISNUMBER($L$6)=FALSE,"",
        IF(ISERROR(VLOOKUP($G62,DanaSehat!$L$13:$AK$56,I$4,FALSE))=TRUE,"",
              VLOOKUP($G62,DanaSehat!$L$13:$AK$56,I$4,FALSE)))</f>
        <v/>
      </c>
      <c r="J62" s="18" t="str">
        <f>IF(ISNUMBER($L$6)=FALSE,"",
        IF(ISERROR(VLOOKUP($G62,DanaSehat!$L$13:$AK$56,J$4,FALSE))=TRUE,"",
              VLOOKUP($G62,DanaSehat!$L$13:$AK$56,J$4,FALSE)))</f>
        <v/>
      </c>
      <c r="K62" s="18" t="str">
        <f>IF(ISNUMBER($L$6)=FALSE,"",
        IF(ISERROR(VLOOKUP($G62,DanaSehat!$L$13:$AK$56,K$4,FALSE))=TRUE,"",
              VLOOKUP($G62,DanaSehat!$L$13:$AK$56,K$4,FALSE)))</f>
        <v/>
      </c>
      <c r="L62" s="18" t="str">
        <f>IF(ISNUMBER($L$6)=FALSE,"",
        IF(ISERROR(VLOOKUP($G62,DanaSehat!$L$13:$AK$56,L$4,FALSE))=TRUE,"",
              VLOOKUP($G62,DanaSehat!$L$13:$AK$56,L$4,FALSE)))</f>
        <v/>
      </c>
      <c r="M62" s="18" t="str">
        <f>IF(ISNUMBER($L$6)=FALSE,"",
        IF(ISERROR(VLOOKUP($G62,DanaSehat!$L$13:$AK$56,M$4,FALSE))=TRUE,"",
              VLOOKUP($G62,DanaSehat!$L$13:$AK$56,M$4,FALSE)))</f>
        <v/>
      </c>
      <c r="N62" s="18" t="str">
        <f>IF(ISNUMBER($L$6)=FALSE,"",
        IF(ISERROR(VLOOKUP($G62,DanaSehat!$L$13:$AK$56,N$4,FALSE))=TRUE,"",
              VLOOKUP($G62,DanaSehat!$L$13:$AK$56,N$4,FALSE)))</f>
        <v/>
      </c>
      <c r="O62" s="18" t="str">
        <f>IF(ISNUMBER($L$6)=FALSE,"",
        IF(ISERROR(VLOOKUP($G62,DanaSehat!$L$13:$AK$56,O$4,FALSE))=TRUE,"",
              VLOOKUP($G62,DanaSehat!$L$13:$AK$56,O$4,FALSE)))</f>
        <v/>
      </c>
      <c r="P62" s="18" t="str">
        <f>IF(ISNUMBER($L$6)=FALSE,"",
        IF(ISERROR(VLOOKUP($G62,DanaSehat!$L$13:$AK$56,P$4,FALSE))=TRUE,"",
              VLOOKUP($G62,DanaSehat!$L$13:$AK$56,P$4,FALSE)))</f>
        <v/>
      </c>
      <c r="Q62" s="18" t="str">
        <f>IF(ISNUMBER($L$6)=FALSE,"",
        IF(ISERROR(VLOOKUP($G62,DanaSehat!$L$13:$AK$56,Q$4,FALSE))=TRUE,"",
              VLOOKUP($G62,DanaSehat!$L$13:$AK$56,Q$4,FALSE)))</f>
        <v/>
      </c>
      <c r="R62" s="18" t="str">
        <f>IF(ISNUMBER($L$6)=FALSE,"",
        IF(ISERROR(VLOOKUP($G62,DanaSehat!$L$13:$AK$56,R$4,FALSE))=TRUE,"",
              VLOOKUP($G62,DanaSehat!$L$13:$AK$56,R$4,FALSE)))</f>
        <v/>
      </c>
      <c r="S62" s="18" t="str">
        <f>IF(ISNUMBER($L$6)=FALSE,"",
        IF(ISERROR(VLOOKUP($G62,DanaSehat!$L$13:$AK$56,S$4,FALSE))=TRUE,"",
              VLOOKUP($G62,DanaSehat!$L$13:$AK$56,S$4,FALSE)))</f>
        <v/>
      </c>
      <c r="T62" s="18" t="str">
        <f>IF(ISNUMBER($L$6)=FALSE,"",
        IF(ISERROR(VLOOKUP($G62,DanaSehat!$L$13:$AK$56,T$4,FALSE))=TRUE,"",
              VLOOKUP($G62,DanaSehat!$L$13:$AK$56,T$4,FALSE)))</f>
        <v/>
      </c>
      <c r="U62" s="18" t="str">
        <f>IF(ISNUMBER($L$6)=FALSE,"",
        IF(ISERROR(VLOOKUP($G62,DanaSehat!$L$13:$AK$56,U$4,FALSE))=TRUE,"",
              VLOOKUP($G62,DanaSehat!$L$13:$AK$56,U$4,FALSE)))</f>
        <v/>
      </c>
      <c r="V62" s="18" t="str">
        <f>IF(ISNUMBER($L$6)=FALSE,"",
        IF(ISERROR(VLOOKUP($G62,DanaSehat!$L$13:$AK$56,V$4,FALSE))=TRUE,"",
              VLOOKUP($G62,DanaSehat!$L$13:$AK$56,V$4,FALSE)))</f>
        <v/>
      </c>
      <c r="W62" s="18" t="str">
        <f>IF(ISNUMBER($L$6)=FALSE,"",
        IF(ISERROR(VLOOKUP($G62,DanaSehat!$L$13:$AK$56,W$4,FALSE))=TRUE,"",
              VLOOKUP($G62,DanaSehat!$L$13:$AK$56,W$4,FALSE)))</f>
        <v/>
      </c>
      <c r="X62" s="18" t="str">
        <f>IF(ISNUMBER($L$6)=FALSE,"",
        IF(ISERROR(VLOOKUP($G62,DanaSehat!$L$13:$AK$56,X$4,FALSE))=TRUE,"",
              VLOOKUP($G62,DanaSehat!$L$13:$AK$56,X$4,FALSE)))</f>
        <v/>
      </c>
      <c r="Y62" s="18" t="str">
        <f>IF(ISNUMBER($L$6)=FALSE,"",
        IF(ISERROR(VLOOKUP($G62,DanaSehat!$L$13:$AK$56,Y$4,FALSE))=TRUE,"",
              VLOOKUP($G62,DanaSehat!$L$13:$AK$56,Y$4,FALSE)))</f>
        <v/>
      </c>
      <c r="Z62" s="18" t="str">
        <f>IF(ISNUMBER($L$6)=FALSE,"",
        IF(ISERROR(VLOOKUP($G62,DanaSehat!$L$13:$AK$56,Z$4,FALSE))=TRUE,"",
              VLOOKUP($G62,DanaSehat!$L$13:$AK$56,Z$4,FALSE)))</f>
        <v/>
      </c>
      <c r="AA62" s="18" t="str">
        <f>IF(ISNUMBER($L$6)=FALSE,"",
        IF(ISERROR(VLOOKUP($G62,DanaSehat!$L$13:$AK$56,AA$4,FALSE))=TRUE,"",
              VLOOKUP($G62,DanaSehat!$L$13:$AK$56,AA$4,FALSE)))</f>
        <v/>
      </c>
      <c r="AB62" s="18" t="str">
        <f>IF(ISNUMBER($L$6)=FALSE,"",
        IF(ISERROR(VLOOKUP($G62,DanaSehat!$L$13:$AK$56,AB$4,FALSE))=TRUE,"",
              VLOOKUP($G62,DanaSehat!$L$13:$AK$56,AB$4,FALSE)))</f>
        <v/>
      </c>
      <c r="AC62" s="18" t="str">
        <f>IF(ISNUMBER($L$6)=FALSE,"",
        IF(ISERROR(VLOOKUP($G62,DanaSehat!$L$13:$AK$56,AC$4,FALSE))=TRUE,"",
              VLOOKUP($G62,DanaSehat!$L$13:$AK$56,AC$4,FALSE)))</f>
        <v/>
      </c>
      <c r="AD62" s="18" t="str">
        <f>IF(ISNUMBER($L$6)=FALSE,"",
        IF(ISERROR(VLOOKUP($G62,DanaSehat!$L$13:$AK$56,AD$4,FALSE))=TRUE,"",
              VLOOKUP($G62,DanaSehat!$L$13:$AK$56,AD$4,FALSE)))</f>
        <v/>
      </c>
      <c r="AE62" s="18" t="str">
        <f>IF(ISNUMBER($L$6)=FALSE,"",
        IF(ISERROR(VLOOKUP($G62,DanaSehat!$L$13:$AK$56,AE$4,FALSE))=TRUE,"",
              VLOOKUP($G62,DanaSehat!$L$13:$AK$56,AE$4,FALSE)))</f>
        <v/>
      </c>
      <c r="AF62" s="18" t="str">
        <f>IF(ISNUMBER($L$6)=FALSE,"",
        IF(ISERROR(VLOOKUP($G62,DanaSehat!$L$13:$AK$56,AF$4,FALSE))=TRUE,"",
              VLOOKUP($G62,DanaSehat!$L$13:$AK$56,AF$4,FALSE)))</f>
        <v/>
      </c>
    </row>
    <row r="63" spans="1:32" s="60" customFormat="1" ht="10.5" x14ac:dyDescent="0.25">
      <c r="A63" s="59"/>
      <c r="C63" s="59">
        <f t="shared" si="6"/>
        <v>50</v>
      </c>
      <c r="D63" s="61"/>
      <c r="E63" s="77" t="str">
        <f t="shared" si="4"/>
        <v/>
      </c>
      <c r="F63" s="77" t="str">
        <f>IF(ISNUMBER($L$6)=FALSE,"",
IF($C63=0,"",VLOOKUP($E63,DanaSehat!$H$13:$L$56,4,FALSE)))</f>
        <v/>
      </c>
      <c r="G63" s="77" t="str">
        <f>IF(ISNUMBER($L$6)=FALSE,"",
IF($C63=0,"",VLOOKUP($E63,DanaSehat!$H$13:$L$56,5,FALSE)))</f>
        <v/>
      </c>
      <c r="H63" s="17" t="str">
        <f t="shared" si="5"/>
        <v/>
      </c>
      <c r="I63" s="18" t="str">
        <f>IF(ISNUMBER($L$6)=FALSE,"",
        IF(ISERROR(VLOOKUP($G63,DanaSehat!$L$13:$AK$56,I$4,FALSE))=TRUE,"",
              VLOOKUP($G63,DanaSehat!$L$13:$AK$56,I$4,FALSE)))</f>
        <v/>
      </c>
      <c r="J63" s="18" t="str">
        <f>IF(ISNUMBER($L$6)=FALSE,"",
        IF(ISERROR(VLOOKUP($G63,DanaSehat!$L$13:$AK$56,J$4,FALSE))=TRUE,"",
              VLOOKUP($G63,DanaSehat!$L$13:$AK$56,J$4,FALSE)))</f>
        <v/>
      </c>
      <c r="K63" s="18" t="str">
        <f>IF(ISNUMBER($L$6)=FALSE,"",
        IF(ISERROR(VLOOKUP($G63,DanaSehat!$L$13:$AK$56,K$4,FALSE))=TRUE,"",
              VLOOKUP($G63,DanaSehat!$L$13:$AK$56,K$4,FALSE)))</f>
        <v/>
      </c>
      <c r="L63" s="18" t="str">
        <f>IF(ISNUMBER($L$6)=FALSE,"",
        IF(ISERROR(VLOOKUP($G63,DanaSehat!$L$13:$AK$56,L$4,FALSE))=TRUE,"",
              VLOOKUP($G63,DanaSehat!$L$13:$AK$56,L$4,FALSE)))</f>
        <v/>
      </c>
      <c r="M63" s="18" t="str">
        <f>IF(ISNUMBER($L$6)=FALSE,"",
        IF(ISERROR(VLOOKUP($G63,DanaSehat!$L$13:$AK$56,M$4,FALSE))=TRUE,"",
              VLOOKUP($G63,DanaSehat!$L$13:$AK$56,M$4,FALSE)))</f>
        <v/>
      </c>
      <c r="N63" s="18" t="str">
        <f>IF(ISNUMBER($L$6)=FALSE,"",
        IF(ISERROR(VLOOKUP($G63,DanaSehat!$L$13:$AK$56,N$4,FALSE))=TRUE,"",
              VLOOKUP($G63,DanaSehat!$L$13:$AK$56,N$4,FALSE)))</f>
        <v/>
      </c>
      <c r="O63" s="18" t="str">
        <f>IF(ISNUMBER($L$6)=FALSE,"",
        IF(ISERROR(VLOOKUP($G63,DanaSehat!$L$13:$AK$56,O$4,FALSE))=TRUE,"",
              VLOOKUP($G63,DanaSehat!$L$13:$AK$56,O$4,FALSE)))</f>
        <v/>
      </c>
      <c r="P63" s="18" t="str">
        <f>IF(ISNUMBER($L$6)=FALSE,"",
        IF(ISERROR(VLOOKUP($G63,DanaSehat!$L$13:$AK$56,P$4,FALSE))=TRUE,"",
              VLOOKUP($G63,DanaSehat!$L$13:$AK$56,P$4,FALSE)))</f>
        <v/>
      </c>
      <c r="Q63" s="18" t="str">
        <f>IF(ISNUMBER($L$6)=FALSE,"",
        IF(ISERROR(VLOOKUP($G63,DanaSehat!$L$13:$AK$56,Q$4,FALSE))=TRUE,"",
              VLOOKUP($G63,DanaSehat!$L$13:$AK$56,Q$4,FALSE)))</f>
        <v/>
      </c>
      <c r="R63" s="18" t="str">
        <f>IF(ISNUMBER($L$6)=FALSE,"",
        IF(ISERROR(VLOOKUP($G63,DanaSehat!$L$13:$AK$56,R$4,FALSE))=TRUE,"",
              VLOOKUP($G63,DanaSehat!$L$13:$AK$56,R$4,FALSE)))</f>
        <v/>
      </c>
      <c r="S63" s="18" t="str">
        <f>IF(ISNUMBER($L$6)=FALSE,"",
        IF(ISERROR(VLOOKUP($G63,DanaSehat!$L$13:$AK$56,S$4,FALSE))=TRUE,"",
              VLOOKUP($G63,DanaSehat!$L$13:$AK$56,S$4,FALSE)))</f>
        <v/>
      </c>
      <c r="T63" s="18" t="str">
        <f>IF(ISNUMBER($L$6)=FALSE,"",
        IF(ISERROR(VLOOKUP($G63,DanaSehat!$L$13:$AK$56,T$4,FALSE))=TRUE,"",
              VLOOKUP($G63,DanaSehat!$L$13:$AK$56,T$4,FALSE)))</f>
        <v/>
      </c>
      <c r="U63" s="18" t="str">
        <f>IF(ISNUMBER($L$6)=FALSE,"",
        IF(ISERROR(VLOOKUP($G63,DanaSehat!$L$13:$AK$56,U$4,FALSE))=TRUE,"",
              VLOOKUP($G63,DanaSehat!$L$13:$AK$56,U$4,FALSE)))</f>
        <v/>
      </c>
      <c r="V63" s="18" t="str">
        <f>IF(ISNUMBER($L$6)=FALSE,"",
        IF(ISERROR(VLOOKUP($G63,DanaSehat!$L$13:$AK$56,V$4,FALSE))=TRUE,"",
              VLOOKUP($G63,DanaSehat!$L$13:$AK$56,V$4,FALSE)))</f>
        <v/>
      </c>
      <c r="W63" s="18" t="str">
        <f>IF(ISNUMBER($L$6)=FALSE,"",
        IF(ISERROR(VLOOKUP($G63,DanaSehat!$L$13:$AK$56,W$4,FALSE))=TRUE,"",
              VLOOKUP($G63,DanaSehat!$L$13:$AK$56,W$4,FALSE)))</f>
        <v/>
      </c>
      <c r="X63" s="18" t="str">
        <f>IF(ISNUMBER($L$6)=FALSE,"",
        IF(ISERROR(VLOOKUP($G63,DanaSehat!$L$13:$AK$56,X$4,FALSE))=TRUE,"",
              VLOOKUP($G63,DanaSehat!$L$13:$AK$56,X$4,FALSE)))</f>
        <v/>
      </c>
      <c r="Y63" s="18" t="str">
        <f>IF(ISNUMBER($L$6)=FALSE,"",
        IF(ISERROR(VLOOKUP($G63,DanaSehat!$L$13:$AK$56,Y$4,FALSE))=TRUE,"",
              VLOOKUP($G63,DanaSehat!$L$13:$AK$56,Y$4,FALSE)))</f>
        <v/>
      </c>
      <c r="Z63" s="18" t="str">
        <f>IF(ISNUMBER($L$6)=FALSE,"",
        IF(ISERROR(VLOOKUP($G63,DanaSehat!$L$13:$AK$56,Z$4,FALSE))=TRUE,"",
              VLOOKUP($G63,DanaSehat!$L$13:$AK$56,Z$4,FALSE)))</f>
        <v/>
      </c>
      <c r="AA63" s="18" t="str">
        <f>IF(ISNUMBER($L$6)=FALSE,"",
        IF(ISERROR(VLOOKUP($G63,DanaSehat!$L$13:$AK$56,AA$4,FALSE))=TRUE,"",
              VLOOKUP($G63,DanaSehat!$L$13:$AK$56,AA$4,FALSE)))</f>
        <v/>
      </c>
      <c r="AB63" s="18" t="str">
        <f>IF(ISNUMBER($L$6)=FALSE,"",
        IF(ISERROR(VLOOKUP($G63,DanaSehat!$L$13:$AK$56,AB$4,FALSE))=TRUE,"",
              VLOOKUP($G63,DanaSehat!$L$13:$AK$56,AB$4,FALSE)))</f>
        <v/>
      </c>
      <c r="AC63" s="18" t="str">
        <f>IF(ISNUMBER($L$6)=FALSE,"",
        IF(ISERROR(VLOOKUP($G63,DanaSehat!$L$13:$AK$56,AC$4,FALSE))=TRUE,"",
              VLOOKUP($G63,DanaSehat!$L$13:$AK$56,AC$4,FALSE)))</f>
        <v/>
      </c>
      <c r="AD63" s="18" t="str">
        <f>IF(ISNUMBER($L$6)=FALSE,"",
        IF(ISERROR(VLOOKUP($G63,DanaSehat!$L$13:$AK$56,AD$4,FALSE))=TRUE,"",
              VLOOKUP($G63,DanaSehat!$L$13:$AK$56,AD$4,FALSE)))</f>
        <v/>
      </c>
      <c r="AE63" s="18" t="str">
        <f>IF(ISNUMBER($L$6)=FALSE,"",
        IF(ISERROR(VLOOKUP($G63,DanaSehat!$L$13:$AK$56,AE$4,FALSE))=TRUE,"",
              VLOOKUP($G63,DanaSehat!$L$13:$AK$56,AE$4,FALSE)))</f>
        <v/>
      </c>
      <c r="AF63" s="18" t="str">
        <f>IF(ISNUMBER($L$6)=FALSE,"",
        IF(ISERROR(VLOOKUP($G63,DanaSehat!$L$13:$AK$56,AF$4,FALSE))=TRUE,"",
              VLOOKUP($G63,DanaSehat!$L$13:$AK$56,AF$4,FALSE)))</f>
        <v/>
      </c>
    </row>
    <row r="64" spans="1:32" s="60" customFormat="1" ht="10.5" x14ac:dyDescent="0.25">
      <c r="A64" s="59"/>
      <c r="C64" s="59">
        <f t="shared" si="6"/>
        <v>51</v>
      </c>
      <c r="D64" s="61"/>
      <c r="E64" s="77" t="str">
        <f t="shared" si="4"/>
        <v/>
      </c>
      <c r="F64" s="77" t="str">
        <f>IF(ISNUMBER($L$6)=FALSE,"",
IF($C64=0,"",VLOOKUP($E64,DanaSehat!$H$13:$L$56,4,FALSE)))</f>
        <v/>
      </c>
      <c r="G64" s="77" t="str">
        <f>IF(ISNUMBER($L$6)=FALSE,"",
IF($C64=0,"",VLOOKUP($E64,DanaSehat!$H$13:$L$56,5,FALSE)))</f>
        <v/>
      </c>
      <c r="H64" s="17" t="str">
        <f t="shared" si="5"/>
        <v/>
      </c>
      <c r="I64" s="18" t="str">
        <f>IF(ISNUMBER($L$6)=FALSE,"",
        IF(ISERROR(VLOOKUP($G64,DanaSehat!$L$13:$AK$56,I$4,FALSE))=TRUE,"",
              VLOOKUP($G64,DanaSehat!$L$13:$AK$56,I$4,FALSE)))</f>
        <v/>
      </c>
      <c r="J64" s="18" t="str">
        <f>IF(ISNUMBER($L$6)=FALSE,"",
        IF(ISERROR(VLOOKUP($G64,DanaSehat!$L$13:$AK$56,J$4,FALSE))=TRUE,"",
              VLOOKUP($G64,DanaSehat!$L$13:$AK$56,J$4,FALSE)))</f>
        <v/>
      </c>
      <c r="K64" s="18" t="str">
        <f>IF(ISNUMBER($L$6)=FALSE,"",
        IF(ISERROR(VLOOKUP($G64,DanaSehat!$L$13:$AK$56,K$4,FALSE))=TRUE,"",
              VLOOKUP($G64,DanaSehat!$L$13:$AK$56,K$4,FALSE)))</f>
        <v/>
      </c>
      <c r="L64" s="18" t="str">
        <f>IF(ISNUMBER($L$6)=FALSE,"",
        IF(ISERROR(VLOOKUP($G64,DanaSehat!$L$13:$AK$56,L$4,FALSE))=TRUE,"",
              VLOOKUP($G64,DanaSehat!$L$13:$AK$56,L$4,FALSE)))</f>
        <v/>
      </c>
      <c r="M64" s="18" t="str">
        <f>IF(ISNUMBER($L$6)=FALSE,"",
        IF(ISERROR(VLOOKUP($G64,DanaSehat!$L$13:$AK$56,M$4,FALSE))=TRUE,"",
              VLOOKUP($G64,DanaSehat!$L$13:$AK$56,M$4,FALSE)))</f>
        <v/>
      </c>
      <c r="N64" s="18" t="str">
        <f>IF(ISNUMBER($L$6)=FALSE,"",
        IF(ISERROR(VLOOKUP($G64,DanaSehat!$L$13:$AK$56,N$4,FALSE))=TRUE,"",
              VLOOKUP($G64,DanaSehat!$L$13:$AK$56,N$4,FALSE)))</f>
        <v/>
      </c>
      <c r="O64" s="18" t="str">
        <f>IF(ISNUMBER($L$6)=FALSE,"",
        IF(ISERROR(VLOOKUP($G64,DanaSehat!$L$13:$AK$56,O$4,FALSE))=TRUE,"",
              VLOOKUP($G64,DanaSehat!$L$13:$AK$56,O$4,FALSE)))</f>
        <v/>
      </c>
      <c r="P64" s="18" t="str">
        <f>IF(ISNUMBER($L$6)=FALSE,"",
        IF(ISERROR(VLOOKUP($G64,DanaSehat!$L$13:$AK$56,P$4,FALSE))=TRUE,"",
              VLOOKUP($G64,DanaSehat!$L$13:$AK$56,P$4,FALSE)))</f>
        <v/>
      </c>
      <c r="Q64" s="18" t="str">
        <f>IF(ISNUMBER($L$6)=FALSE,"",
        IF(ISERROR(VLOOKUP($G64,DanaSehat!$L$13:$AK$56,Q$4,FALSE))=TRUE,"",
              VLOOKUP($G64,DanaSehat!$L$13:$AK$56,Q$4,FALSE)))</f>
        <v/>
      </c>
      <c r="R64" s="18" t="str">
        <f>IF(ISNUMBER($L$6)=FALSE,"",
        IF(ISERROR(VLOOKUP($G64,DanaSehat!$L$13:$AK$56,R$4,FALSE))=TRUE,"",
              VLOOKUP($G64,DanaSehat!$L$13:$AK$56,R$4,FALSE)))</f>
        <v/>
      </c>
      <c r="S64" s="18" t="str">
        <f>IF(ISNUMBER($L$6)=FALSE,"",
        IF(ISERROR(VLOOKUP($G64,DanaSehat!$L$13:$AK$56,S$4,FALSE))=TRUE,"",
              VLOOKUP($G64,DanaSehat!$L$13:$AK$56,S$4,FALSE)))</f>
        <v/>
      </c>
      <c r="T64" s="18" t="str">
        <f>IF(ISNUMBER($L$6)=FALSE,"",
        IF(ISERROR(VLOOKUP($G64,DanaSehat!$L$13:$AK$56,T$4,FALSE))=TRUE,"",
              VLOOKUP($G64,DanaSehat!$L$13:$AK$56,T$4,FALSE)))</f>
        <v/>
      </c>
      <c r="U64" s="18" t="str">
        <f>IF(ISNUMBER($L$6)=FALSE,"",
        IF(ISERROR(VLOOKUP($G64,DanaSehat!$L$13:$AK$56,U$4,FALSE))=TRUE,"",
              VLOOKUP($G64,DanaSehat!$L$13:$AK$56,U$4,FALSE)))</f>
        <v/>
      </c>
      <c r="V64" s="18" t="str">
        <f>IF(ISNUMBER($L$6)=FALSE,"",
        IF(ISERROR(VLOOKUP($G64,DanaSehat!$L$13:$AK$56,V$4,FALSE))=TRUE,"",
              VLOOKUP($G64,DanaSehat!$L$13:$AK$56,V$4,FALSE)))</f>
        <v/>
      </c>
      <c r="W64" s="18" t="str">
        <f>IF(ISNUMBER($L$6)=FALSE,"",
        IF(ISERROR(VLOOKUP($G64,DanaSehat!$L$13:$AK$56,W$4,FALSE))=TRUE,"",
              VLOOKUP($G64,DanaSehat!$L$13:$AK$56,W$4,FALSE)))</f>
        <v/>
      </c>
      <c r="X64" s="18" t="str">
        <f>IF(ISNUMBER($L$6)=FALSE,"",
        IF(ISERROR(VLOOKUP($G64,DanaSehat!$L$13:$AK$56,X$4,FALSE))=TRUE,"",
              VLOOKUP($G64,DanaSehat!$L$13:$AK$56,X$4,FALSE)))</f>
        <v/>
      </c>
      <c r="Y64" s="18" t="str">
        <f>IF(ISNUMBER($L$6)=FALSE,"",
        IF(ISERROR(VLOOKUP($G64,DanaSehat!$L$13:$AK$56,Y$4,FALSE))=TRUE,"",
              VLOOKUP($G64,DanaSehat!$L$13:$AK$56,Y$4,FALSE)))</f>
        <v/>
      </c>
      <c r="Z64" s="18" t="str">
        <f>IF(ISNUMBER($L$6)=FALSE,"",
        IF(ISERROR(VLOOKUP($G64,DanaSehat!$L$13:$AK$56,Z$4,FALSE))=TRUE,"",
              VLOOKUP($G64,DanaSehat!$L$13:$AK$56,Z$4,FALSE)))</f>
        <v/>
      </c>
      <c r="AA64" s="18" t="str">
        <f>IF(ISNUMBER($L$6)=FALSE,"",
        IF(ISERROR(VLOOKUP($G64,DanaSehat!$L$13:$AK$56,AA$4,FALSE))=TRUE,"",
              VLOOKUP($G64,DanaSehat!$L$13:$AK$56,AA$4,FALSE)))</f>
        <v/>
      </c>
      <c r="AB64" s="18" t="str">
        <f>IF(ISNUMBER($L$6)=FALSE,"",
        IF(ISERROR(VLOOKUP($G64,DanaSehat!$L$13:$AK$56,AB$4,FALSE))=TRUE,"",
              VLOOKUP($G64,DanaSehat!$L$13:$AK$56,AB$4,FALSE)))</f>
        <v/>
      </c>
      <c r="AC64" s="18" t="str">
        <f>IF(ISNUMBER($L$6)=FALSE,"",
        IF(ISERROR(VLOOKUP($G64,DanaSehat!$L$13:$AK$56,AC$4,FALSE))=TRUE,"",
              VLOOKUP($G64,DanaSehat!$L$13:$AK$56,AC$4,FALSE)))</f>
        <v/>
      </c>
      <c r="AD64" s="18" t="str">
        <f>IF(ISNUMBER($L$6)=FALSE,"",
        IF(ISERROR(VLOOKUP($G64,DanaSehat!$L$13:$AK$56,AD$4,FALSE))=TRUE,"",
              VLOOKUP($G64,DanaSehat!$L$13:$AK$56,AD$4,FALSE)))</f>
        <v/>
      </c>
      <c r="AE64" s="18" t="str">
        <f>IF(ISNUMBER($L$6)=FALSE,"",
        IF(ISERROR(VLOOKUP($G64,DanaSehat!$L$13:$AK$56,AE$4,FALSE))=TRUE,"",
              VLOOKUP($G64,DanaSehat!$L$13:$AK$56,AE$4,FALSE)))</f>
        <v/>
      </c>
      <c r="AF64" s="18" t="str">
        <f>IF(ISNUMBER($L$6)=FALSE,"",
        IF(ISERROR(VLOOKUP($G64,DanaSehat!$L$13:$AK$56,AF$4,FALSE))=TRUE,"",
              VLOOKUP($G64,DanaSehat!$L$13:$AK$56,AF$4,FALSE)))</f>
        <v/>
      </c>
    </row>
    <row r="65" spans="1:32" s="60" customFormat="1" ht="10.5" x14ac:dyDescent="0.25">
      <c r="A65" s="59"/>
      <c r="C65" s="59">
        <f t="shared" si="6"/>
        <v>52</v>
      </c>
      <c r="D65" s="61"/>
      <c r="E65" s="77" t="str">
        <f t="shared" si="4"/>
        <v/>
      </c>
      <c r="F65" s="77" t="str">
        <f>IF(ISNUMBER($L$6)=FALSE,"",
IF($C65=0,"",VLOOKUP($E65,DanaSehat!$H$13:$L$56,4,FALSE)))</f>
        <v/>
      </c>
      <c r="G65" s="77" t="str">
        <f>IF(ISNUMBER($L$6)=FALSE,"",
IF($C65=0,"",VLOOKUP($E65,DanaSehat!$H$13:$L$56,5,FALSE)))</f>
        <v/>
      </c>
      <c r="H65" s="17" t="str">
        <f t="shared" si="5"/>
        <v/>
      </c>
      <c r="I65" s="18" t="str">
        <f>IF(ISNUMBER($L$6)=FALSE,"",
        IF(ISERROR(VLOOKUP($G65,DanaSehat!$L$13:$AK$56,I$4,FALSE))=TRUE,"",
              VLOOKUP($G65,DanaSehat!$L$13:$AK$56,I$4,FALSE)))</f>
        <v/>
      </c>
      <c r="J65" s="18" t="str">
        <f>IF(ISNUMBER($L$6)=FALSE,"",
        IF(ISERROR(VLOOKUP($G65,DanaSehat!$L$13:$AK$56,J$4,FALSE))=TRUE,"",
              VLOOKUP($G65,DanaSehat!$L$13:$AK$56,J$4,FALSE)))</f>
        <v/>
      </c>
      <c r="K65" s="18" t="str">
        <f>IF(ISNUMBER($L$6)=FALSE,"",
        IF(ISERROR(VLOOKUP($G65,DanaSehat!$L$13:$AK$56,K$4,FALSE))=TRUE,"",
              VLOOKUP($G65,DanaSehat!$L$13:$AK$56,K$4,FALSE)))</f>
        <v/>
      </c>
      <c r="L65" s="18" t="str">
        <f>IF(ISNUMBER($L$6)=FALSE,"",
        IF(ISERROR(VLOOKUP($G65,DanaSehat!$L$13:$AK$56,L$4,FALSE))=TRUE,"",
              VLOOKUP($G65,DanaSehat!$L$13:$AK$56,L$4,FALSE)))</f>
        <v/>
      </c>
      <c r="M65" s="18" t="str">
        <f>IF(ISNUMBER($L$6)=FALSE,"",
        IF(ISERROR(VLOOKUP($G65,DanaSehat!$L$13:$AK$56,M$4,FALSE))=TRUE,"",
              VLOOKUP($G65,DanaSehat!$L$13:$AK$56,M$4,FALSE)))</f>
        <v/>
      </c>
      <c r="N65" s="18" t="str">
        <f>IF(ISNUMBER($L$6)=FALSE,"",
        IF(ISERROR(VLOOKUP($G65,DanaSehat!$L$13:$AK$56,N$4,FALSE))=TRUE,"",
              VLOOKUP($G65,DanaSehat!$L$13:$AK$56,N$4,FALSE)))</f>
        <v/>
      </c>
      <c r="O65" s="18" t="str">
        <f>IF(ISNUMBER($L$6)=FALSE,"",
        IF(ISERROR(VLOOKUP($G65,DanaSehat!$L$13:$AK$56,O$4,FALSE))=TRUE,"",
              VLOOKUP($G65,DanaSehat!$L$13:$AK$56,O$4,FALSE)))</f>
        <v/>
      </c>
      <c r="P65" s="18" t="str">
        <f>IF(ISNUMBER($L$6)=FALSE,"",
        IF(ISERROR(VLOOKUP($G65,DanaSehat!$L$13:$AK$56,P$4,FALSE))=TRUE,"",
              VLOOKUP($G65,DanaSehat!$L$13:$AK$56,P$4,FALSE)))</f>
        <v/>
      </c>
      <c r="Q65" s="18" t="str">
        <f>IF(ISNUMBER($L$6)=FALSE,"",
        IF(ISERROR(VLOOKUP($G65,DanaSehat!$L$13:$AK$56,Q$4,FALSE))=TRUE,"",
              VLOOKUP($G65,DanaSehat!$L$13:$AK$56,Q$4,FALSE)))</f>
        <v/>
      </c>
      <c r="R65" s="18" t="str">
        <f>IF(ISNUMBER($L$6)=FALSE,"",
        IF(ISERROR(VLOOKUP($G65,DanaSehat!$L$13:$AK$56,R$4,FALSE))=TRUE,"",
              VLOOKUP($G65,DanaSehat!$L$13:$AK$56,R$4,FALSE)))</f>
        <v/>
      </c>
      <c r="S65" s="18" t="str">
        <f>IF(ISNUMBER($L$6)=FALSE,"",
        IF(ISERROR(VLOOKUP($G65,DanaSehat!$L$13:$AK$56,S$4,FALSE))=TRUE,"",
              VLOOKUP($G65,DanaSehat!$L$13:$AK$56,S$4,FALSE)))</f>
        <v/>
      </c>
      <c r="T65" s="18" t="str">
        <f>IF(ISNUMBER($L$6)=FALSE,"",
        IF(ISERROR(VLOOKUP($G65,DanaSehat!$L$13:$AK$56,T$4,FALSE))=TRUE,"",
              VLOOKUP($G65,DanaSehat!$L$13:$AK$56,T$4,FALSE)))</f>
        <v/>
      </c>
      <c r="U65" s="18" t="str">
        <f>IF(ISNUMBER($L$6)=FALSE,"",
        IF(ISERROR(VLOOKUP($G65,DanaSehat!$L$13:$AK$56,U$4,FALSE))=TRUE,"",
              VLOOKUP($G65,DanaSehat!$L$13:$AK$56,U$4,FALSE)))</f>
        <v/>
      </c>
      <c r="V65" s="18" t="str">
        <f>IF(ISNUMBER($L$6)=FALSE,"",
        IF(ISERROR(VLOOKUP($G65,DanaSehat!$L$13:$AK$56,V$4,FALSE))=TRUE,"",
              VLOOKUP($G65,DanaSehat!$L$13:$AK$56,V$4,FALSE)))</f>
        <v/>
      </c>
      <c r="W65" s="18" t="str">
        <f>IF(ISNUMBER($L$6)=FALSE,"",
        IF(ISERROR(VLOOKUP($G65,DanaSehat!$L$13:$AK$56,W$4,FALSE))=TRUE,"",
              VLOOKUP($G65,DanaSehat!$L$13:$AK$56,W$4,FALSE)))</f>
        <v/>
      </c>
      <c r="X65" s="18" t="str">
        <f>IF(ISNUMBER($L$6)=FALSE,"",
        IF(ISERROR(VLOOKUP($G65,DanaSehat!$L$13:$AK$56,X$4,FALSE))=TRUE,"",
              VLOOKUP($G65,DanaSehat!$L$13:$AK$56,X$4,FALSE)))</f>
        <v/>
      </c>
      <c r="Y65" s="18" t="str">
        <f>IF(ISNUMBER($L$6)=FALSE,"",
        IF(ISERROR(VLOOKUP($G65,DanaSehat!$L$13:$AK$56,Y$4,FALSE))=TRUE,"",
              VLOOKUP($G65,DanaSehat!$L$13:$AK$56,Y$4,FALSE)))</f>
        <v/>
      </c>
      <c r="Z65" s="18" t="str">
        <f>IF(ISNUMBER($L$6)=FALSE,"",
        IF(ISERROR(VLOOKUP($G65,DanaSehat!$L$13:$AK$56,Z$4,FALSE))=TRUE,"",
              VLOOKUP($G65,DanaSehat!$L$13:$AK$56,Z$4,FALSE)))</f>
        <v/>
      </c>
      <c r="AA65" s="18" t="str">
        <f>IF(ISNUMBER($L$6)=FALSE,"",
        IF(ISERROR(VLOOKUP($G65,DanaSehat!$L$13:$AK$56,AA$4,FALSE))=TRUE,"",
              VLOOKUP($G65,DanaSehat!$L$13:$AK$56,AA$4,FALSE)))</f>
        <v/>
      </c>
      <c r="AB65" s="18" t="str">
        <f>IF(ISNUMBER($L$6)=FALSE,"",
        IF(ISERROR(VLOOKUP($G65,DanaSehat!$L$13:$AK$56,AB$4,FALSE))=TRUE,"",
              VLOOKUP($G65,DanaSehat!$L$13:$AK$56,AB$4,FALSE)))</f>
        <v/>
      </c>
      <c r="AC65" s="18" t="str">
        <f>IF(ISNUMBER($L$6)=FALSE,"",
        IF(ISERROR(VLOOKUP($G65,DanaSehat!$L$13:$AK$56,AC$4,FALSE))=TRUE,"",
              VLOOKUP($G65,DanaSehat!$L$13:$AK$56,AC$4,FALSE)))</f>
        <v/>
      </c>
      <c r="AD65" s="18" t="str">
        <f>IF(ISNUMBER($L$6)=FALSE,"",
        IF(ISERROR(VLOOKUP($G65,DanaSehat!$L$13:$AK$56,AD$4,FALSE))=TRUE,"",
              VLOOKUP($G65,DanaSehat!$L$13:$AK$56,AD$4,FALSE)))</f>
        <v/>
      </c>
      <c r="AE65" s="18" t="str">
        <f>IF(ISNUMBER($L$6)=FALSE,"",
        IF(ISERROR(VLOOKUP($G65,DanaSehat!$L$13:$AK$56,AE$4,FALSE))=TRUE,"",
              VLOOKUP($G65,DanaSehat!$L$13:$AK$56,AE$4,FALSE)))</f>
        <v/>
      </c>
      <c r="AF65" s="18" t="str">
        <f>IF(ISNUMBER($L$6)=FALSE,"",
        IF(ISERROR(VLOOKUP($G65,DanaSehat!$L$13:$AK$56,AF$4,FALSE))=TRUE,"",
              VLOOKUP($G65,DanaSehat!$L$13:$AK$56,AF$4,FALSE)))</f>
        <v/>
      </c>
    </row>
    <row r="66" spans="1:32" s="60" customFormat="1" ht="10.5" x14ac:dyDescent="0.25">
      <c r="A66" s="59"/>
      <c r="C66" s="59">
        <f t="shared" si="6"/>
        <v>53</v>
      </c>
      <c r="D66" s="61"/>
      <c r="E66" s="77" t="str">
        <f t="shared" si="4"/>
        <v/>
      </c>
      <c r="F66" s="77" t="str">
        <f>IF(ISNUMBER($L$6)=FALSE,"",
IF($C66=0,"",VLOOKUP($E66,DanaSehat!$H$13:$L$56,4,FALSE)))</f>
        <v/>
      </c>
      <c r="G66" s="77" t="str">
        <f>IF(ISNUMBER($L$6)=FALSE,"",
IF($C66=0,"",VLOOKUP($E66,DanaSehat!$H$13:$L$56,5,FALSE)))</f>
        <v/>
      </c>
      <c r="H66" s="17" t="str">
        <f t="shared" si="5"/>
        <v/>
      </c>
      <c r="I66" s="18" t="str">
        <f>IF(ISNUMBER($L$6)=FALSE,"",
        IF(ISERROR(VLOOKUP($G66,DanaSehat!$L$13:$AK$56,I$4,FALSE))=TRUE,"",
              VLOOKUP($G66,DanaSehat!$L$13:$AK$56,I$4,FALSE)))</f>
        <v/>
      </c>
      <c r="J66" s="18" t="str">
        <f>IF(ISNUMBER($L$6)=FALSE,"",
        IF(ISERROR(VLOOKUP($G66,DanaSehat!$L$13:$AK$56,J$4,FALSE))=TRUE,"",
              VLOOKUP($G66,DanaSehat!$L$13:$AK$56,J$4,FALSE)))</f>
        <v/>
      </c>
      <c r="K66" s="18" t="str">
        <f>IF(ISNUMBER($L$6)=FALSE,"",
        IF(ISERROR(VLOOKUP($G66,DanaSehat!$L$13:$AK$56,K$4,FALSE))=TRUE,"",
              VLOOKUP($G66,DanaSehat!$L$13:$AK$56,K$4,FALSE)))</f>
        <v/>
      </c>
      <c r="L66" s="18" t="str">
        <f>IF(ISNUMBER($L$6)=FALSE,"",
        IF(ISERROR(VLOOKUP($G66,DanaSehat!$L$13:$AK$56,L$4,FALSE))=TRUE,"",
              VLOOKUP($G66,DanaSehat!$L$13:$AK$56,L$4,FALSE)))</f>
        <v/>
      </c>
      <c r="M66" s="18" t="str">
        <f>IF(ISNUMBER($L$6)=FALSE,"",
        IF(ISERROR(VLOOKUP($G66,DanaSehat!$L$13:$AK$56,M$4,FALSE))=TRUE,"",
              VLOOKUP($G66,DanaSehat!$L$13:$AK$56,M$4,FALSE)))</f>
        <v/>
      </c>
      <c r="N66" s="18" t="str">
        <f>IF(ISNUMBER($L$6)=FALSE,"",
        IF(ISERROR(VLOOKUP($G66,DanaSehat!$L$13:$AK$56,N$4,FALSE))=TRUE,"",
              VLOOKUP($G66,DanaSehat!$L$13:$AK$56,N$4,FALSE)))</f>
        <v/>
      </c>
      <c r="O66" s="18" t="str">
        <f>IF(ISNUMBER($L$6)=FALSE,"",
        IF(ISERROR(VLOOKUP($G66,DanaSehat!$L$13:$AK$56,O$4,FALSE))=TRUE,"",
              VLOOKUP($G66,DanaSehat!$L$13:$AK$56,O$4,FALSE)))</f>
        <v/>
      </c>
      <c r="P66" s="18" t="str">
        <f>IF(ISNUMBER($L$6)=FALSE,"",
        IF(ISERROR(VLOOKUP($G66,DanaSehat!$L$13:$AK$56,P$4,FALSE))=TRUE,"",
              VLOOKUP($G66,DanaSehat!$L$13:$AK$56,P$4,FALSE)))</f>
        <v/>
      </c>
      <c r="Q66" s="18" t="str">
        <f>IF(ISNUMBER($L$6)=FALSE,"",
        IF(ISERROR(VLOOKUP($G66,DanaSehat!$L$13:$AK$56,Q$4,FALSE))=TRUE,"",
              VLOOKUP($G66,DanaSehat!$L$13:$AK$56,Q$4,FALSE)))</f>
        <v/>
      </c>
      <c r="R66" s="18" t="str">
        <f>IF(ISNUMBER($L$6)=FALSE,"",
        IF(ISERROR(VLOOKUP($G66,DanaSehat!$L$13:$AK$56,R$4,FALSE))=TRUE,"",
              VLOOKUP($G66,DanaSehat!$L$13:$AK$56,R$4,FALSE)))</f>
        <v/>
      </c>
      <c r="S66" s="18" t="str">
        <f>IF(ISNUMBER($L$6)=FALSE,"",
        IF(ISERROR(VLOOKUP($G66,DanaSehat!$L$13:$AK$56,S$4,FALSE))=TRUE,"",
              VLOOKUP($G66,DanaSehat!$L$13:$AK$56,S$4,FALSE)))</f>
        <v/>
      </c>
      <c r="T66" s="18" t="str">
        <f>IF(ISNUMBER($L$6)=FALSE,"",
        IF(ISERROR(VLOOKUP($G66,DanaSehat!$L$13:$AK$56,T$4,FALSE))=TRUE,"",
              VLOOKUP($G66,DanaSehat!$L$13:$AK$56,T$4,FALSE)))</f>
        <v/>
      </c>
      <c r="U66" s="18" t="str">
        <f>IF(ISNUMBER($L$6)=FALSE,"",
        IF(ISERROR(VLOOKUP($G66,DanaSehat!$L$13:$AK$56,U$4,FALSE))=TRUE,"",
              VLOOKUP($G66,DanaSehat!$L$13:$AK$56,U$4,FALSE)))</f>
        <v/>
      </c>
      <c r="V66" s="18" t="str">
        <f>IF(ISNUMBER($L$6)=FALSE,"",
        IF(ISERROR(VLOOKUP($G66,DanaSehat!$L$13:$AK$56,V$4,FALSE))=TRUE,"",
              VLOOKUP($G66,DanaSehat!$L$13:$AK$56,V$4,FALSE)))</f>
        <v/>
      </c>
      <c r="W66" s="18" t="str">
        <f>IF(ISNUMBER($L$6)=FALSE,"",
        IF(ISERROR(VLOOKUP($G66,DanaSehat!$L$13:$AK$56,W$4,FALSE))=TRUE,"",
              VLOOKUP($G66,DanaSehat!$L$13:$AK$56,W$4,FALSE)))</f>
        <v/>
      </c>
      <c r="X66" s="18" t="str">
        <f>IF(ISNUMBER($L$6)=FALSE,"",
        IF(ISERROR(VLOOKUP($G66,DanaSehat!$L$13:$AK$56,X$4,FALSE))=TRUE,"",
              VLOOKUP($G66,DanaSehat!$L$13:$AK$56,X$4,FALSE)))</f>
        <v/>
      </c>
      <c r="Y66" s="18" t="str">
        <f>IF(ISNUMBER($L$6)=FALSE,"",
        IF(ISERROR(VLOOKUP($G66,DanaSehat!$L$13:$AK$56,Y$4,FALSE))=TRUE,"",
              VLOOKUP($G66,DanaSehat!$L$13:$AK$56,Y$4,FALSE)))</f>
        <v/>
      </c>
      <c r="Z66" s="18" t="str">
        <f>IF(ISNUMBER($L$6)=FALSE,"",
        IF(ISERROR(VLOOKUP($G66,DanaSehat!$L$13:$AK$56,Z$4,FALSE))=TRUE,"",
              VLOOKUP($G66,DanaSehat!$L$13:$AK$56,Z$4,FALSE)))</f>
        <v/>
      </c>
      <c r="AA66" s="18" t="str">
        <f>IF(ISNUMBER($L$6)=FALSE,"",
        IF(ISERROR(VLOOKUP($G66,DanaSehat!$L$13:$AK$56,AA$4,FALSE))=TRUE,"",
              VLOOKUP($G66,DanaSehat!$L$13:$AK$56,AA$4,FALSE)))</f>
        <v/>
      </c>
      <c r="AB66" s="18" t="str">
        <f>IF(ISNUMBER($L$6)=FALSE,"",
        IF(ISERROR(VLOOKUP($G66,DanaSehat!$L$13:$AK$56,AB$4,FALSE))=TRUE,"",
              VLOOKUP($G66,DanaSehat!$L$13:$AK$56,AB$4,FALSE)))</f>
        <v/>
      </c>
      <c r="AC66" s="18" t="str">
        <f>IF(ISNUMBER($L$6)=FALSE,"",
        IF(ISERROR(VLOOKUP($G66,DanaSehat!$L$13:$AK$56,AC$4,FALSE))=TRUE,"",
              VLOOKUP($G66,DanaSehat!$L$13:$AK$56,AC$4,FALSE)))</f>
        <v/>
      </c>
      <c r="AD66" s="18" t="str">
        <f>IF(ISNUMBER($L$6)=FALSE,"",
        IF(ISERROR(VLOOKUP($G66,DanaSehat!$L$13:$AK$56,AD$4,FALSE))=TRUE,"",
              VLOOKUP($G66,DanaSehat!$L$13:$AK$56,AD$4,FALSE)))</f>
        <v/>
      </c>
      <c r="AE66" s="18" t="str">
        <f>IF(ISNUMBER($L$6)=FALSE,"",
        IF(ISERROR(VLOOKUP($G66,DanaSehat!$L$13:$AK$56,AE$4,FALSE))=TRUE,"",
              VLOOKUP($G66,DanaSehat!$L$13:$AK$56,AE$4,FALSE)))</f>
        <v/>
      </c>
      <c r="AF66" s="18" t="str">
        <f>IF(ISNUMBER($L$6)=FALSE,"",
        IF(ISERROR(VLOOKUP($G66,DanaSehat!$L$13:$AK$56,AF$4,FALSE))=TRUE,"",
              VLOOKUP($G66,DanaSehat!$L$13:$AK$56,AF$4,FALSE)))</f>
        <v/>
      </c>
    </row>
    <row r="67" spans="1:32" s="60" customFormat="1" ht="10.5" x14ac:dyDescent="0.25">
      <c r="A67" s="59"/>
      <c r="C67" s="59">
        <f t="shared" si="6"/>
        <v>54</v>
      </c>
      <c r="D67" s="61"/>
      <c r="E67" s="77" t="str">
        <f t="shared" si="4"/>
        <v/>
      </c>
      <c r="F67" s="77" t="str">
        <f>IF(ISNUMBER($L$6)=FALSE,"",
IF($C67=0,"",VLOOKUP($E67,DanaSehat!$H$13:$L$56,4,FALSE)))</f>
        <v/>
      </c>
      <c r="G67" s="77" t="str">
        <f>IF(ISNUMBER($L$6)=FALSE,"",
IF($C67=0,"",VLOOKUP($E67,DanaSehat!$H$13:$L$56,5,FALSE)))</f>
        <v/>
      </c>
      <c r="H67" s="17" t="str">
        <f t="shared" si="5"/>
        <v/>
      </c>
      <c r="I67" s="18" t="str">
        <f>IF(ISNUMBER($L$6)=FALSE,"",
        IF(ISERROR(VLOOKUP($G67,DanaSehat!$L$13:$AK$56,I$4,FALSE))=TRUE,"",
              VLOOKUP($G67,DanaSehat!$L$13:$AK$56,I$4,FALSE)))</f>
        <v/>
      </c>
      <c r="J67" s="18" t="str">
        <f>IF(ISNUMBER($L$6)=FALSE,"",
        IF(ISERROR(VLOOKUP($G67,DanaSehat!$L$13:$AK$56,J$4,FALSE))=TRUE,"",
              VLOOKUP($G67,DanaSehat!$L$13:$AK$56,J$4,FALSE)))</f>
        <v/>
      </c>
      <c r="K67" s="18" t="str">
        <f>IF(ISNUMBER($L$6)=FALSE,"",
        IF(ISERROR(VLOOKUP($G67,DanaSehat!$L$13:$AK$56,K$4,FALSE))=TRUE,"",
              VLOOKUP($G67,DanaSehat!$L$13:$AK$56,K$4,FALSE)))</f>
        <v/>
      </c>
      <c r="L67" s="18" t="str">
        <f>IF(ISNUMBER($L$6)=FALSE,"",
        IF(ISERROR(VLOOKUP($G67,DanaSehat!$L$13:$AK$56,L$4,FALSE))=TRUE,"",
              VLOOKUP($G67,DanaSehat!$L$13:$AK$56,L$4,FALSE)))</f>
        <v/>
      </c>
      <c r="M67" s="18" t="str">
        <f>IF(ISNUMBER($L$6)=FALSE,"",
        IF(ISERROR(VLOOKUP($G67,DanaSehat!$L$13:$AK$56,M$4,FALSE))=TRUE,"",
              VLOOKUP($G67,DanaSehat!$L$13:$AK$56,M$4,FALSE)))</f>
        <v/>
      </c>
      <c r="N67" s="18" t="str">
        <f>IF(ISNUMBER($L$6)=FALSE,"",
        IF(ISERROR(VLOOKUP($G67,DanaSehat!$L$13:$AK$56,N$4,FALSE))=TRUE,"",
              VLOOKUP($G67,DanaSehat!$L$13:$AK$56,N$4,FALSE)))</f>
        <v/>
      </c>
      <c r="O67" s="18" t="str">
        <f>IF(ISNUMBER($L$6)=FALSE,"",
        IF(ISERROR(VLOOKUP($G67,DanaSehat!$L$13:$AK$56,O$4,FALSE))=TRUE,"",
              VLOOKUP($G67,DanaSehat!$L$13:$AK$56,O$4,FALSE)))</f>
        <v/>
      </c>
      <c r="P67" s="18" t="str">
        <f>IF(ISNUMBER($L$6)=FALSE,"",
        IF(ISERROR(VLOOKUP($G67,DanaSehat!$L$13:$AK$56,P$4,FALSE))=TRUE,"",
              VLOOKUP($G67,DanaSehat!$L$13:$AK$56,P$4,FALSE)))</f>
        <v/>
      </c>
      <c r="Q67" s="18" t="str">
        <f>IF(ISNUMBER($L$6)=FALSE,"",
        IF(ISERROR(VLOOKUP($G67,DanaSehat!$L$13:$AK$56,Q$4,FALSE))=TRUE,"",
              VLOOKUP($G67,DanaSehat!$L$13:$AK$56,Q$4,FALSE)))</f>
        <v/>
      </c>
      <c r="R67" s="18" t="str">
        <f>IF(ISNUMBER($L$6)=FALSE,"",
        IF(ISERROR(VLOOKUP($G67,DanaSehat!$L$13:$AK$56,R$4,FALSE))=TRUE,"",
              VLOOKUP($G67,DanaSehat!$L$13:$AK$56,R$4,FALSE)))</f>
        <v/>
      </c>
      <c r="S67" s="18" t="str">
        <f>IF(ISNUMBER($L$6)=FALSE,"",
        IF(ISERROR(VLOOKUP($G67,DanaSehat!$L$13:$AK$56,S$4,FALSE))=TRUE,"",
              VLOOKUP($G67,DanaSehat!$L$13:$AK$56,S$4,FALSE)))</f>
        <v/>
      </c>
      <c r="T67" s="18" t="str">
        <f>IF(ISNUMBER($L$6)=FALSE,"",
        IF(ISERROR(VLOOKUP($G67,DanaSehat!$L$13:$AK$56,T$4,FALSE))=TRUE,"",
              VLOOKUP($G67,DanaSehat!$L$13:$AK$56,T$4,FALSE)))</f>
        <v/>
      </c>
      <c r="U67" s="18" t="str">
        <f>IF(ISNUMBER($L$6)=FALSE,"",
        IF(ISERROR(VLOOKUP($G67,DanaSehat!$L$13:$AK$56,U$4,FALSE))=TRUE,"",
              VLOOKUP($G67,DanaSehat!$L$13:$AK$56,U$4,FALSE)))</f>
        <v/>
      </c>
      <c r="V67" s="18" t="str">
        <f>IF(ISNUMBER($L$6)=FALSE,"",
        IF(ISERROR(VLOOKUP($G67,DanaSehat!$L$13:$AK$56,V$4,FALSE))=TRUE,"",
              VLOOKUP($G67,DanaSehat!$L$13:$AK$56,V$4,FALSE)))</f>
        <v/>
      </c>
      <c r="W67" s="18" t="str">
        <f>IF(ISNUMBER($L$6)=FALSE,"",
        IF(ISERROR(VLOOKUP($G67,DanaSehat!$L$13:$AK$56,W$4,FALSE))=TRUE,"",
              VLOOKUP($G67,DanaSehat!$L$13:$AK$56,W$4,FALSE)))</f>
        <v/>
      </c>
      <c r="X67" s="18" t="str">
        <f>IF(ISNUMBER($L$6)=FALSE,"",
        IF(ISERROR(VLOOKUP($G67,DanaSehat!$L$13:$AK$56,X$4,FALSE))=TRUE,"",
              VLOOKUP($G67,DanaSehat!$L$13:$AK$56,X$4,FALSE)))</f>
        <v/>
      </c>
      <c r="Y67" s="18" t="str">
        <f>IF(ISNUMBER($L$6)=FALSE,"",
        IF(ISERROR(VLOOKUP($G67,DanaSehat!$L$13:$AK$56,Y$4,FALSE))=TRUE,"",
              VLOOKUP($G67,DanaSehat!$L$13:$AK$56,Y$4,FALSE)))</f>
        <v/>
      </c>
      <c r="Z67" s="18" t="str">
        <f>IF(ISNUMBER($L$6)=FALSE,"",
        IF(ISERROR(VLOOKUP($G67,DanaSehat!$L$13:$AK$56,Z$4,FALSE))=TRUE,"",
              VLOOKUP($G67,DanaSehat!$L$13:$AK$56,Z$4,FALSE)))</f>
        <v/>
      </c>
      <c r="AA67" s="18" t="str">
        <f>IF(ISNUMBER($L$6)=FALSE,"",
        IF(ISERROR(VLOOKUP($G67,DanaSehat!$L$13:$AK$56,AA$4,FALSE))=TRUE,"",
              VLOOKUP($G67,DanaSehat!$L$13:$AK$56,AA$4,FALSE)))</f>
        <v/>
      </c>
      <c r="AB67" s="18" t="str">
        <f>IF(ISNUMBER($L$6)=FALSE,"",
        IF(ISERROR(VLOOKUP($G67,DanaSehat!$L$13:$AK$56,AB$4,FALSE))=TRUE,"",
              VLOOKUP($G67,DanaSehat!$L$13:$AK$56,AB$4,FALSE)))</f>
        <v/>
      </c>
      <c r="AC67" s="18" t="str">
        <f>IF(ISNUMBER($L$6)=FALSE,"",
        IF(ISERROR(VLOOKUP($G67,DanaSehat!$L$13:$AK$56,AC$4,FALSE))=TRUE,"",
              VLOOKUP($G67,DanaSehat!$L$13:$AK$56,AC$4,FALSE)))</f>
        <v/>
      </c>
      <c r="AD67" s="18" t="str">
        <f>IF(ISNUMBER($L$6)=FALSE,"",
        IF(ISERROR(VLOOKUP($G67,DanaSehat!$L$13:$AK$56,AD$4,FALSE))=TRUE,"",
              VLOOKUP($G67,DanaSehat!$L$13:$AK$56,AD$4,FALSE)))</f>
        <v/>
      </c>
      <c r="AE67" s="18" t="str">
        <f>IF(ISNUMBER($L$6)=FALSE,"",
        IF(ISERROR(VLOOKUP($G67,DanaSehat!$L$13:$AK$56,AE$4,FALSE))=TRUE,"",
              VLOOKUP($G67,DanaSehat!$L$13:$AK$56,AE$4,FALSE)))</f>
        <v/>
      </c>
      <c r="AF67" s="18" t="str">
        <f>IF(ISNUMBER($L$6)=FALSE,"",
        IF(ISERROR(VLOOKUP($G67,DanaSehat!$L$13:$AK$56,AF$4,FALSE))=TRUE,"",
              VLOOKUP($G67,DanaSehat!$L$13:$AK$56,AF$4,FALSE)))</f>
        <v/>
      </c>
    </row>
    <row r="68" spans="1:32" s="60" customFormat="1" ht="10.5" x14ac:dyDescent="0.25">
      <c r="A68" s="59"/>
      <c r="C68" s="59">
        <f t="shared" si="6"/>
        <v>55</v>
      </c>
      <c r="D68" s="61"/>
      <c r="E68" s="77" t="str">
        <f t="shared" si="4"/>
        <v/>
      </c>
      <c r="F68" s="77" t="str">
        <f>IF(ISNUMBER($L$6)=FALSE,"",
IF($C68=0,"",VLOOKUP($E68,DanaSehat!$H$13:$L$56,4,FALSE)))</f>
        <v/>
      </c>
      <c r="G68" s="77" t="str">
        <f>IF(ISNUMBER($L$6)=FALSE,"",
IF($C68=0,"",VLOOKUP($E68,DanaSehat!$H$13:$L$56,5,FALSE)))</f>
        <v/>
      </c>
      <c r="H68" s="17" t="str">
        <f t="shared" si="5"/>
        <v/>
      </c>
      <c r="I68" s="18" t="str">
        <f>IF(ISNUMBER($L$6)=FALSE,"",
        IF(ISERROR(VLOOKUP($G68,DanaSehat!$L$13:$AK$56,I$4,FALSE))=TRUE,"",
              VLOOKUP($G68,DanaSehat!$L$13:$AK$56,I$4,FALSE)))</f>
        <v/>
      </c>
      <c r="J68" s="18" t="str">
        <f>IF(ISNUMBER($L$6)=FALSE,"",
        IF(ISERROR(VLOOKUP($G68,DanaSehat!$L$13:$AK$56,J$4,FALSE))=TRUE,"",
              VLOOKUP($G68,DanaSehat!$L$13:$AK$56,J$4,FALSE)))</f>
        <v/>
      </c>
      <c r="K68" s="18" t="str">
        <f>IF(ISNUMBER($L$6)=FALSE,"",
        IF(ISERROR(VLOOKUP($G68,DanaSehat!$L$13:$AK$56,K$4,FALSE))=TRUE,"",
              VLOOKUP($G68,DanaSehat!$L$13:$AK$56,K$4,FALSE)))</f>
        <v/>
      </c>
      <c r="L68" s="18" t="str">
        <f>IF(ISNUMBER($L$6)=FALSE,"",
        IF(ISERROR(VLOOKUP($G68,DanaSehat!$L$13:$AK$56,L$4,FALSE))=TRUE,"",
              VLOOKUP($G68,DanaSehat!$L$13:$AK$56,L$4,FALSE)))</f>
        <v/>
      </c>
      <c r="M68" s="18" t="str">
        <f>IF(ISNUMBER($L$6)=FALSE,"",
        IF(ISERROR(VLOOKUP($G68,DanaSehat!$L$13:$AK$56,M$4,FALSE))=TRUE,"",
              VLOOKUP($G68,DanaSehat!$L$13:$AK$56,M$4,FALSE)))</f>
        <v/>
      </c>
      <c r="N68" s="18" t="str">
        <f>IF(ISNUMBER($L$6)=FALSE,"",
        IF(ISERROR(VLOOKUP($G68,DanaSehat!$L$13:$AK$56,N$4,FALSE))=TRUE,"",
              VLOOKUP($G68,DanaSehat!$L$13:$AK$56,N$4,FALSE)))</f>
        <v/>
      </c>
      <c r="O68" s="18" t="str">
        <f>IF(ISNUMBER($L$6)=FALSE,"",
        IF(ISERROR(VLOOKUP($G68,DanaSehat!$L$13:$AK$56,O$4,FALSE))=TRUE,"",
              VLOOKUP($G68,DanaSehat!$L$13:$AK$56,O$4,FALSE)))</f>
        <v/>
      </c>
      <c r="P68" s="18" t="str">
        <f>IF(ISNUMBER($L$6)=FALSE,"",
        IF(ISERROR(VLOOKUP($G68,DanaSehat!$L$13:$AK$56,P$4,FALSE))=TRUE,"",
              VLOOKUP($G68,DanaSehat!$L$13:$AK$56,P$4,FALSE)))</f>
        <v/>
      </c>
      <c r="Q68" s="18" t="str">
        <f>IF(ISNUMBER($L$6)=FALSE,"",
        IF(ISERROR(VLOOKUP($G68,DanaSehat!$L$13:$AK$56,Q$4,FALSE))=TRUE,"",
              VLOOKUP($G68,DanaSehat!$L$13:$AK$56,Q$4,FALSE)))</f>
        <v/>
      </c>
      <c r="R68" s="18" t="str">
        <f>IF(ISNUMBER($L$6)=FALSE,"",
        IF(ISERROR(VLOOKUP($G68,DanaSehat!$L$13:$AK$56,R$4,FALSE))=TRUE,"",
              VLOOKUP($G68,DanaSehat!$L$13:$AK$56,R$4,FALSE)))</f>
        <v/>
      </c>
      <c r="S68" s="18" t="str">
        <f>IF(ISNUMBER($L$6)=FALSE,"",
        IF(ISERROR(VLOOKUP($G68,DanaSehat!$L$13:$AK$56,S$4,FALSE))=TRUE,"",
              VLOOKUP($G68,DanaSehat!$L$13:$AK$56,S$4,FALSE)))</f>
        <v/>
      </c>
      <c r="T68" s="18" t="str">
        <f>IF(ISNUMBER($L$6)=FALSE,"",
        IF(ISERROR(VLOOKUP($G68,DanaSehat!$L$13:$AK$56,T$4,FALSE))=TRUE,"",
              VLOOKUP($G68,DanaSehat!$L$13:$AK$56,T$4,FALSE)))</f>
        <v/>
      </c>
      <c r="U68" s="18" t="str">
        <f>IF(ISNUMBER($L$6)=FALSE,"",
        IF(ISERROR(VLOOKUP($G68,DanaSehat!$L$13:$AK$56,U$4,FALSE))=TRUE,"",
              VLOOKUP($G68,DanaSehat!$L$13:$AK$56,U$4,FALSE)))</f>
        <v/>
      </c>
      <c r="V68" s="18" t="str">
        <f>IF(ISNUMBER($L$6)=FALSE,"",
        IF(ISERROR(VLOOKUP($G68,DanaSehat!$L$13:$AK$56,V$4,FALSE))=TRUE,"",
              VLOOKUP($G68,DanaSehat!$L$13:$AK$56,V$4,FALSE)))</f>
        <v/>
      </c>
      <c r="W68" s="18" t="str">
        <f>IF(ISNUMBER($L$6)=FALSE,"",
        IF(ISERROR(VLOOKUP($G68,DanaSehat!$L$13:$AK$56,W$4,FALSE))=TRUE,"",
              VLOOKUP($G68,DanaSehat!$L$13:$AK$56,W$4,FALSE)))</f>
        <v/>
      </c>
      <c r="X68" s="18" t="str">
        <f>IF(ISNUMBER($L$6)=FALSE,"",
        IF(ISERROR(VLOOKUP($G68,DanaSehat!$L$13:$AK$56,X$4,FALSE))=TRUE,"",
              VLOOKUP($G68,DanaSehat!$L$13:$AK$56,X$4,FALSE)))</f>
        <v/>
      </c>
      <c r="Y68" s="18" t="str">
        <f>IF(ISNUMBER($L$6)=FALSE,"",
        IF(ISERROR(VLOOKUP($G68,DanaSehat!$L$13:$AK$56,Y$4,FALSE))=TRUE,"",
              VLOOKUP($G68,DanaSehat!$L$13:$AK$56,Y$4,FALSE)))</f>
        <v/>
      </c>
      <c r="Z68" s="18" t="str">
        <f>IF(ISNUMBER($L$6)=FALSE,"",
        IF(ISERROR(VLOOKUP($G68,DanaSehat!$L$13:$AK$56,Z$4,FALSE))=TRUE,"",
              VLOOKUP($G68,DanaSehat!$L$13:$AK$56,Z$4,FALSE)))</f>
        <v/>
      </c>
      <c r="AA68" s="18" t="str">
        <f>IF(ISNUMBER($L$6)=FALSE,"",
        IF(ISERROR(VLOOKUP($G68,DanaSehat!$L$13:$AK$56,AA$4,FALSE))=TRUE,"",
              VLOOKUP($G68,DanaSehat!$L$13:$AK$56,AA$4,FALSE)))</f>
        <v/>
      </c>
      <c r="AB68" s="18" t="str">
        <f>IF(ISNUMBER($L$6)=FALSE,"",
        IF(ISERROR(VLOOKUP($G68,DanaSehat!$L$13:$AK$56,AB$4,FALSE))=TRUE,"",
              VLOOKUP($G68,DanaSehat!$L$13:$AK$56,AB$4,FALSE)))</f>
        <v/>
      </c>
      <c r="AC68" s="18" t="str">
        <f>IF(ISNUMBER($L$6)=FALSE,"",
        IF(ISERROR(VLOOKUP($G68,DanaSehat!$L$13:$AK$56,AC$4,FALSE))=TRUE,"",
              VLOOKUP($G68,DanaSehat!$L$13:$AK$56,AC$4,FALSE)))</f>
        <v/>
      </c>
      <c r="AD68" s="18" t="str">
        <f>IF(ISNUMBER($L$6)=FALSE,"",
        IF(ISERROR(VLOOKUP($G68,DanaSehat!$L$13:$AK$56,AD$4,FALSE))=TRUE,"",
              VLOOKUP($G68,DanaSehat!$L$13:$AK$56,AD$4,FALSE)))</f>
        <v/>
      </c>
      <c r="AE68" s="18" t="str">
        <f>IF(ISNUMBER($L$6)=FALSE,"",
        IF(ISERROR(VLOOKUP($G68,DanaSehat!$L$13:$AK$56,AE$4,FALSE))=TRUE,"",
              VLOOKUP($G68,DanaSehat!$L$13:$AK$56,AE$4,FALSE)))</f>
        <v/>
      </c>
      <c r="AF68" s="18" t="str">
        <f>IF(ISNUMBER($L$6)=FALSE,"",
        IF(ISERROR(VLOOKUP($G68,DanaSehat!$L$13:$AK$56,AF$4,FALSE))=TRUE,"",
              VLOOKUP($G68,DanaSehat!$L$13:$AK$56,AF$4,FALSE)))</f>
        <v/>
      </c>
    </row>
    <row r="69" spans="1:32" s="60" customFormat="1" ht="10.5" x14ac:dyDescent="0.25">
      <c r="A69" s="59"/>
      <c r="C69" s="59">
        <f t="shared" si="6"/>
        <v>56</v>
      </c>
      <c r="D69" s="61"/>
      <c r="E69" s="77" t="str">
        <f t="shared" si="4"/>
        <v/>
      </c>
      <c r="F69" s="77" t="str">
        <f>IF(ISNUMBER($L$6)=FALSE,"",
IF($C69=0,"",VLOOKUP($E69,DanaSehat!$H$13:$L$56,4,FALSE)))</f>
        <v/>
      </c>
      <c r="G69" s="77" t="str">
        <f>IF(ISNUMBER($L$6)=FALSE,"",
IF($C69=0,"",VLOOKUP($E69,DanaSehat!$H$13:$L$56,5,FALSE)))</f>
        <v/>
      </c>
      <c r="H69" s="17" t="str">
        <f t="shared" si="5"/>
        <v/>
      </c>
      <c r="I69" s="18" t="str">
        <f>IF(ISNUMBER($L$6)=FALSE,"",
        IF(ISERROR(VLOOKUP($G69,DanaSehat!$L$13:$AK$56,I$4,FALSE))=TRUE,"",
              VLOOKUP($G69,DanaSehat!$L$13:$AK$56,I$4,FALSE)))</f>
        <v/>
      </c>
      <c r="J69" s="18" t="str">
        <f>IF(ISNUMBER($L$6)=FALSE,"",
        IF(ISERROR(VLOOKUP($G69,DanaSehat!$L$13:$AK$56,J$4,FALSE))=TRUE,"",
              VLOOKUP($G69,DanaSehat!$L$13:$AK$56,J$4,FALSE)))</f>
        <v/>
      </c>
      <c r="K69" s="18" t="str">
        <f>IF(ISNUMBER($L$6)=FALSE,"",
        IF(ISERROR(VLOOKUP($G69,DanaSehat!$L$13:$AK$56,K$4,FALSE))=TRUE,"",
              VLOOKUP($G69,DanaSehat!$L$13:$AK$56,K$4,FALSE)))</f>
        <v/>
      </c>
      <c r="L69" s="18" t="str">
        <f>IF(ISNUMBER($L$6)=FALSE,"",
        IF(ISERROR(VLOOKUP($G69,DanaSehat!$L$13:$AK$56,L$4,FALSE))=TRUE,"",
              VLOOKUP($G69,DanaSehat!$L$13:$AK$56,L$4,FALSE)))</f>
        <v/>
      </c>
      <c r="M69" s="18" t="str">
        <f>IF(ISNUMBER($L$6)=FALSE,"",
        IF(ISERROR(VLOOKUP($G69,DanaSehat!$L$13:$AK$56,M$4,FALSE))=TRUE,"",
              VLOOKUP($G69,DanaSehat!$L$13:$AK$56,M$4,FALSE)))</f>
        <v/>
      </c>
      <c r="N69" s="18" t="str">
        <f>IF(ISNUMBER($L$6)=FALSE,"",
        IF(ISERROR(VLOOKUP($G69,DanaSehat!$L$13:$AK$56,N$4,FALSE))=TRUE,"",
              VLOOKUP($G69,DanaSehat!$L$13:$AK$56,N$4,FALSE)))</f>
        <v/>
      </c>
      <c r="O69" s="18" t="str">
        <f>IF(ISNUMBER($L$6)=FALSE,"",
        IF(ISERROR(VLOOKUP($G69,DanaSehat!$L$13:$AK$56,O$4,FALSE))=TRUE,"",
              VLOOKUP($G69,DanaSehat!$L$13:$AK$56,O$4,FALSE)))</f>
        <v/>
      </c>
      <c r="P69" s="18" t="str">
        <f>IF(ISNUMBER($L$6)=FALSE,"",
        IF(ISERROR(VLOOKUP($G69,DanaSehat!$L$13:$AK$56,P$4,FALSE))=TRUE,"",
              VLOOKUP($G69,DanaSehat!$L$13:$AK$56,P$4,FALSE)))</f>
        <v/>
      </c>
      <c r="Q69" s="18" t="str">
        <f>IF(ISNUMBER($L$6)=FALSE,"",
        IF(ISERROR(VLOOKUP($G69,DanaSehat!$L$13:$AK$56,Q$4,FALSE))=TRUE,"",
              VLOOKUP($G69,DanaSehat!$L$13:$AK$56,Q$4,FALSE)))</f>
        <v/>
      </c>
      <c r="R69" s="18" t="str">
        <f>IF(ISNUMBER($L$6)=FALSE,"",
        IF(ISERROR(VLOOKUP($G69,DanaSehat!$L$13:$AK$56,R$4,FALSE))=TRUE,"",
              VLOOKUP($G69,DanaSehat!$L$13:$AK$56,R$4,FALSE)))</f>
        <v/>
      </c>
      <c r="S69" s="18" t="str">
        <f>IF(ISNUMBER($L$6)=FALSE,"",
        IF(ISERROR(VLOOKUP($G69,DanaSehat!$L$13:$AK$56,S$4,FALSE))=TRUE,"",
              VLOOKUP($G69,DanaSehat!$L$13:$AK$56,S$4,FALSE)))</f>
        <v/>
      </c>
      <c r="T69" s="18" t="str">
        <f>IF(ISNUMBER($L$6)=FALSE,"",
        IF(ISERROR(VLOOKUP($G69,DanaSehat!$L$13:$AK$56,T$4,FALSE))=TRUE,"",
              VLOOKUP($G69,DanaSehat!$L$13:$AK$56,T$4,FALSE)))</f>
        <v/>
      </c>
      <c r="U69" s="18" t="str">
        <f>IF(ISNUMBER($L$6)=FALSE,"",
        IF(ISERROR(VLOOKUP($G69,DanaSehat!$L$13:$AK$56,U$4,FALSE))=TRUE,"",
              VLOOKUP($G69,DanaSehat!$L$13:$AK$56,U$4,FALSE)))</f>
        <v/>
      </c>
      <c r="V69" s="18" t="str">
        <f>IF(ISNUMBER($L$6)=FALSE,"",
        IF(ISERROR(VLOOKUP($G69,DanaSehat!$L$13:$AK$56,V$4,FALSE))=TRUE,"",
              VLOOKUP($G69,DanaSehat!$L$13:$AK$56,V$4,FALSE)))</f>
        <v/>
      </c>
      <c r="W69" s="18" t="str">
        <f>IF(ISNUMBER($L$6)=FALSE,"",
        IF(ISERROR(VLOOKUP($G69,DanaSehat!$L$13:$AK$56,W$4,FALSE))=TRUE,"",
              VLOOKUP($G69,DanaSehat!$L$13:$AK$56,W$4,FALSE)))</f>
        <v/>
      </c>
      <c r="X69" s="18" t="str">
        <f>IF(ISNUMBER($L$6)=FALSE,"",
        IF(ISERROR(VLOOKUP($G69,DanaSehat!$L$13:$AK$56,X$4,FALSE))=TRUE,"",
              VLOOKUP($G69,DanaSehat!$L$13:$AK$56,X$4,FALSE)))</f>
        <v/>
      </c>
      <c r="Y69" s="18" t="str">
        <f>IF(ISNUMBER($L$6)=FALSE,"",
        IF(ISERROR(VLOOKUP($G69,DanaSehat!$L$13:$AK$56,Y$4,FALSE))=TRUE,"",
              VLOOKUP($G69,DanaSehat!$L$13:$AK$56,Y$4,FALSE)))</f>
        <v/>
      </c>
      <c r="Z69" s="18" t="str">
        <f>IF(ISNUMBER($L$6)=FALSE,"",
        IF(ISERROR(VLOOKUP($G69,DanaSehat!$L$13:$AK$56,Z$4,FALSE))=TRUE,"",
              VLOOKUP($G69,DanaSehat!$L$13:$AK$56,Z$4,FALSE)))</f>
        <v/>
      </c>
      <c r="AA69" s="18" t="str">
        <f>IF(ISNUMBER($L$6)=FALSE,"",
        IF(ISERROR(VLOOKUP($G69,DanaSehat!$L$13:$AK$56,AA$4,FALSE))=TRUE,"",
              VLOOKUP($G69,DanaSehat!$L$13:$AK$56,AA$4,FALSE)))</f>
        <v/>
      </c>
      <c r="AB69" s="18" t="str">
        <f>IF(ISNUMBER($L$6)=FALSE,"",
        IF(ISERROR(VLOOKUP($G69,DanaSehat!$L$13:$AK$56,AB$4,FALSE))=TRUE,"",
              VLOOKUP($G69,DanaSehat!$L$13:$AK$56,AB$4,FALSE)))</f>
        <v/>
      </c>
      <c r="AC69" s="18" t="str">
        <f>IF(ISNUMBER($L$6)=FALSE,"",
        IF(ISERROR(VLOOKUP($G69,DanaSehat!$L$13:$AK$56,AC$4,FALSE))=TRUE,"",
              VLOOKUP($G69,DanaSehat!$L$13:$AK$56,AC$4,FALSE)))</f>
        <v/>
      </c>
      <c r="AD69" s="18" t="str">
        <f>IF(ISNUMBER($L$6)=FALSE,"",
        IF(ISERROR(VLOOKUP($G69,DanaSehat!$L$13:$AK$56,AD$4,FALSE))=TRUE,"",
              VLOOKUP($G69,DanaSehat!$L$13:$AK$56,AD$4,FALSE)))</f>
        <v/>
      </c>
      <c r="AE69" s="18" t="str">
        <f>IF(ISNUMBER($L$6)=FALSE,"",
        IF(ISERROR(VLOOKUP($G69,DanaSehat!$L$13:$AK$56,AE$4,FALSE))=TRUE,"",
              VLOOKUP($G69,DanaSehat!$L$13:$AK$56,AE$4,FALSE)))</f>
        <v/>
      </c>
      <c r="AF69" s="18" t="str">
        <f>IF(ISNUMBER($L$6)=FALSE,"",
        IF(ISERROR(VLOOKUP($G69,DanaSehat!$L$13:$AK$56,AF$4,FALSE))=TRUE,"",
              VLOOKUP($G69,DanaSehat!$L$13:$AK$56,AF$4,FALSE)))</f>
        <v/>
      </c>
    </row>
    <row r="70" spans="1:32" s="60" customFormat="1" ht="10.5" x14ac:dyDescent="0.25">
      <c r="A70" s="59"/>
      <c r="C70" s="59">
        <f t="shared" si="6"/>
        <v>57</v>
      </c>
      <c r="D70" s="61"/>
      <c r="E70" s="77" t="str">
        <f t="shared" si="4"/>
        <v/>
      </c>
      <c r="F70" s="77" t="str">
        <f>IF(ISNUMBER($L$6)=FALSE,"",
IF($C70=0,"",VLOOKUP($E70,DanaSehat!$H$13:$L$56,4,FALSE)))</f>
        <v/>
      </c>
      <c r="G70" s="77" t="str">
        <f>IF(ISNUMBER($L$6)=FALSE,"",
IF($C70=0,"",VLOOKUP($E70,DanaSehat!$H$13:$L$56,5,FALSE)))</f>
        <v/>
      </c>
      <c r="H70" s="17" t="str">
        <f t="shared" si="5"/>
        <v/>
      </c>
      <c r="I70" s="18" t="str">
        <f>IF(ISNUMBER($L$6)=FALSE,"",
        IF(ISERROR(VLOOKUP($G70,DanaSehat!$L$13:$AK$56,I$4,FALSE))=TRUE,"",
              VLOOKUP($G70,DanaSehat!$L$13:$AK$56,I$4,FALSE)))</f>
        <v/>
      </c>
      <c r="J70" s="18" t="str">
        <f>IF(ISNUMBER($L$6)=FALSE,"",
        IF(ISERROR(VLOOKUP($G70,DanaSehat!$L$13:$AK$56,J$4,FALSE))=TRUE,"",
              VLOOKUP($G70,DanaSehat!$L$13:$AK$56,J$4,FALSE)))</f>
        <v/>
      </c>
      <c r="K70" s="18" t="str">
        <f>IF(ISNUMBER($L$6)=FALSE,"",
        IF(ISERROR(VLOOKUP($G70,DanaSehat!$L$13:$AK$56,K$4,FALSE))=TRUE,"",
              VLOOKUP($G70,DanaSehat!$L$13:$AK$56,K$4,FALSE)))</f>
        <v/>
      </c>
      <c r="L70" s="18" t="str">
        <f>IF(ISNUMBER($L$6)=FALSE,"",
        IF(ISERROR(VLOOKUP($G70,DanaSehat!$L$13:$AK$56,L$4,FALSE))=TRUE,"",
              VLOOKUP($G70,DanaSehat!$L$13:$AK$56,L$4,FALSE)))</f>
        <v/>
      </c>
      <c r="M70" s="18" t="str">
        <f>IF(ISNUMBER($L$6)=FALSE,"",
        IF(ISERROR(VLOOKUP($G70,DanaSehat!$L$13:$AK$56,M$4,FALSE))=TRUE,"",
              VLOOKUP($G70,DanaSehat!$L$13:$AK$56,M$4,FALSE)))</f>
        <v/>
      </c>
      <c r="N70" s="18" t="str">
        <f>IF(ISNUMBER($L$6)=FALSE,"",
        IF(ISERROR(VLOOKUP($G70,DanaSehat!$L$13:$AK$56,N$4,FALSE))=TRUE,"",
              VLOOKUP($G70,DanaSehat!$L$13:$AK$56,N$4,FALSE)))</f>
        <v/>
      </c>
      <c r="O70" s="18" t="str">
        <f>IF(ISNUMBER($L$6)=FALSE,"",
        IF(ISERROR(VLOOKUP($G70,DanaSehat!$L$13:$AK$56,O$4,FALSE))=TRUE,"",
              VLOOKUP($G70,DanaSehat!$L$13:$AK$56,O$4,FALSE)))</f>
        <v/>
      </c>
      <c r="P70" s="18" t="str">
        <f>IF(ISNUMBER($L$6)=FALSE,"",
        IF(ISERROR(VLOOKUP($G70,DanaSehat!$L$13:$AK$56,P$4,FALSE))=TRUE,"",
              VLOOKUP($G70,DanaSehat!$L$13:$AK$56,P$4,FALSE)))</f>
        <v/>
      </c>
      <c r="Q70" s="18" t="str">
        <f>IF(ISNUMBER($L$6)=FALSE,"",
        IF(ISERROR(VLOOKUP($G70,DanaSehat!$L$13:$AK$56,Q$4,FALSE))=TRUE,"",
              VLOOKUP($G70,DanaSehat!$L$13:$AK$56,Q$4,FALSE)))</f>
        <v/>
      </c>
      <c r="R70" s="18" t="str">
        <f>IF(ISNUMBER($L$6)=FALSE,"",
        IF(ISERROR(VLOOKUP($G70,DanaSehat!$L$13:$AK$56,R$4,FALSE))=TRUE,"",
              VLOOKUP($G70,DanaSehat!$L$13:$AK$56,R$4,FALSE)))</f>
        <v/>
      </c>
      <c r="S70" s="18" t="str">
        <f>IF(ISNUMBER($L$6)=FALSE,"",
        IF(ISERROR(VLOOKUP($G70,DanaSehat!$L$13:$AK$56,S$4,FALSE))=TRUE,"",
              VLOOKUP($G70,DanaSehat!$L$13:$AK$56,S$4,FALSE)))</f>
        <v/>
      </c>
      <c r="T70" s="18" t="str">
        <f>IF(ISNUMBER($L$6)=FALSE,"",
        IF(ISERROR(VLOOKUP($G70,DanaSehat!$L$13:$AK$56,T$4,FALSE))=TRUE,"",
              VLOOKUP($G70,DanaSehat!$L$13:$AK$56,T$4,FALSE)))</f>
        <v/>
      </c>
      <c r="U70" s="18" t="str">
        <f>IF(ISNUMBER($L$6)=FALSE,"",
        IF(ISERROR(VLOOKUP($G70,DanaSehat!$L$13:$AK$56,U$4,FALSE))=TRUE,"",
              VLOOKUP($G70,DanaSehat!$L$13:$AK$56,U$4,FALSE)))</f>
        <v/>
      </c>
      <c r="V70" s="18" t="str">
        <f>IF(ISNUMBER($L$6)=FALSE,"",
        IF(ISERROR(VLOOKUP($G70,DanaSehat!$L$13:$AK$56,V$4,FALSE))=TRUE,"",
              VLOOKUP($G70,DanaSehat!$L$13:$AK$56,V$4,FALSE)))</f>
        <v/>
      </c>
      <c r="W70" s="18" t="str">
        <f>IF(ISNUMBER($L$6)=FALSE,"",
        IF(ISERROR(VLOOKUP($G70,DanaSehat!$L$13:$AK$56,W$4,FALSE))=TRUE,"",
              VLOOKUP($G70,DanaSehat!$L$13:$AK$56,W$4,FALSE)))</f>
        <v/>
      </c>
      <c r="X70" s="18" t="str">
        <f>IF(ISNUMBER($L$6)=FALSE,"",
        IF(ISERROR(VLOOKUP($G70,DanaSehat!$L$13:$AK$56,X$4,FALSE))=TRUE,"",
              VLOOKUP($G70,DanaSehat!$L$13:$AK$56,X$4,FALSE)))</f>
        <v/>
      </c>
      <c r="Y70" s="18" t="str">
        <f>IF(ISNUMBER($L$6)=FALSE,"",
        IF(ISERROR(VLOOKUP($G70,DanaSehat!$L$13:$AK$56,Y$4,FALSE))=TRUE,"",
              VLOOKUP($G70,DanaSehat!$L$13:$AK$56,Y$4,FALSE)))</f>
        <v/>
      </c>
      <c r="Z70" s="18" t="str">
        <f>IF(ISNUMBER($L$6)=FALSE,"",
        IF(ISERROR(VLOOKUP($G70,DanaSehat!$L$13:$AK$56,Z$4,FALSE))=TRUE,"",
              VLOOKUP($G70,DanaSehat!$L$13:$AK$56,Z$4,FALSE)))</f>
        <v/>
      </c>
      <c r="AA70" s="18" t="str">
        <f>IF(ISNUMBER($L$6)=FALSE,"",
        IF(ISERROR(VLOOKUP($G70,DanaSehat!$L$13:$AK$56,AA$4,FALSE))=TRUE,"",
              VLOOKUP($G70,DanaSehat!$L$13:$AK$56,AA$4,FALSE)))</f>
        <v/>
      </c>
      <c r="AB70" s="18" t="str">
        <f>IF(ISNUMBER($L$6)=FALSE,"",
        IF(ISERROR(VLOOKUP($G70,DanaSehat!$L$13:$AK$56,AB$4,FALSE))=TRUE,"",
              VLOOKUP($G70,DanaSehat!$L$13:$AK$56,AB$4,FALSE)))</f>
        <v/>
      </c>
      <c r="AC70" s="18" t="str">
        <f>IF(ISNUMBER($L$6)=FALSE,"",
        IF(ISERROR(VLOOKUP($G70,DanaSehat!$L$13:$AK$56,AC$4,FALSE))=TRUE,"",
              VLOOKUP($G70,DanaSehat!$L$13:$AK$56,AC$4,FALSE)))</f>
        <v/>
      </c>
      <c r="AD70" s="18" t="str">
        <f>IF(ISNUMBER($L$6)=FALSE,"",
        IF(ISERROR(VLOOKUP($G70,DanaSehat!$L$13:$AK$56,AD$4,FALSE))=TRUE,"",
              VLOOKUP($G70,DanaSehat!$L$13:$AK$56,AD$4,FALSE)))</f>
        <v/>
      </c>
      <c r="AE70" s="18" t="str">
        <f>IF(ISNUMBER($L$6)=FALSE,"",
        IF(ISERROR(VLOOKUP($G70,DanaSehat!$L$13:$AK$56,AE$4,FALSE))=TRUE,"",
              VLOOKUP($G70,DanaSehat!$L$13:$AK$56,AE$4,FALSE)))</f>
        <v/>
      </c>
      <c r="AF70" s="18" t="str">
        <f>IF(ISNUMBER($L$6)=FALSE,"",
        IF(ISERROR(VLOOKUP($G70,DanaSehat!$L$13:$AK$56,AF$4,FALSE))=TRUE,"",
              VLOOKUP($G70,DanaSehat!$L$13:$AK$56,AF$4,FALSE)))</f>
        <v/>
      </c>
    </row>
    <row r="71" spans="1:32" s="60" customFormat="1" ht="10.5" x14ac:dyDescent="0.25">
      <c r="A71" s="59"/>
      <c r="C71" s="59">
        <f t="shared" si="6"/>
        <v>58</v>
      </c>
      <c r="D71" s="61"/>
      <c r="E71" s="77" t="str">
        <f t="shared" si="4"/>
        <v/>
      </c>
      <c r="F71" s="77" t="str">
        <f>IF(ISNUMBER($L$6)=FALSE,"",
IF($C71=0,"",VLOOKUP($E71,DanaSehat!$H$13:$L$56,4,FALSE)))</f>
        <v/>
      </c>
      <c r="G71" s="77" t="str">
        <f>IF(ISNUMBER($L$6)=FALSE,"",
IF($C71=0,"",VLOOKUP($E71,DanaSehat!$H$13:$L$56,5,FALSE)))</f>
        <v/>
      </c>
      <c r="H71" s="17" t="str">
        <f t="shared" si="5"/>
        <v/>
      </c>
      <c r="I71" s="18" t="str">
        <f>IF(ISNUMBER($L$6)=FALSE,"",
        IF(ISERROR(VLOOKUP($G71,DanaSehat!$L$13:$AK$56,I$4,FALSE))=TRUE,"",
              VLOOKUP($G71,DanaSehat!$L$13:$AK$56,I$4,FALSE)))</f>
        <v/>
      </c>
      <c r="J71" s="18" t="str">
        <f>IF(ISNUMBER($L$6)=FALSE,"",
        IF(ISERROR(VLOOKUP($G71,DanaSehat!$L$13:$AK$56,J$4,FALSE))=TRUE,"",
              VLOOKUP($G71,DanaSehat!$L$13:$AK$56,J$4,FALSE)))</f>
        <v/>
      </c>
      <c r="K71" s="18" t="str">
        <f>IF(ISNUMBER($L$6)=FALSE,"",
        IF(ISERROR(VLOOKUP($G71,DanaSehat!$L$13:$AK$56,K$4,FALSE))=TRUE,"",
              VLOOKUP($G71,DanaSehat!$L$13:$AK$56,K$4,FALSE)))</f>
        <v/>
      </c>
      <c r="L71" s="18" t="str">
        <f>IF(ISNUMBER($L$6)=FALSE,"",
        IF(ISERROR(VLOOKUP($G71,DanaSehat!$L$13:$AK$56,L$4,FALSE))=TRUE,"",
              VLOOKUP($G71,DanaSehat!$L$13:$AK$56,L$4,FALSE)))</f>
        <v/>
      </c>
      <c r="M71" s="18" t="str">
        <f>IF(ISNUMBER($L$6)=FALSE,"",
        IF(ISERROR(VLOOKUP($G71,DanaSehat!$L$13:$AK$56,M$4,FALSE))=TRUE,"",
              VLOOKUP($G71,DanaSehat!$L$13:$AK$56,M$4,FALSE)))</f>
        <v/>
      </c>
      <c r="N71" s="18" t="str">
        <f>IF(ISNUMBER($L$6)=FALSE,"",
        IF(ISERROR(VLOOKUP($G71,DanaSehat!$L$13:$AK$56,N$4,FALSE))=TRUE,"",
              VLOOKUP($G71,DanaSehat!$L$13:$AK$56,N$4,FALSE)))</f>
        <v/>
      </c>
      <c r="O71" s="18" t="str">
        <f>IF(ISNUMBER($L$6)=FALSE,"",
        IF(ISERROR(VLOOKUP($G71,DanaSehat!$L$13:$AK$56,O$4,FALSE))=TRUE,"",
              VLOOKUP($G71,DanaSehat!$L$13:$AK$56,O$4,FALSE)))</f>
        <v/>
      </c>
      <c r="P71" s="18" t="str">
        <f>IF(ISNUMBER($L$6)=FALSE,"",
        IF(ISERROR(VLOOKUP($G71,DanaSehat!$L$13:$AK$56,P$4,FALSE))=TRUE,"",
              VLOOKUP($G71,DanaSehat!$L$13:$AK$56,P$4,FALSE)))</f>
        <v/>
      </c>
      <c r="Q71" s="18" t="str">
        <f>IF(ISNUMBER($L$6)=FALSE,"",
        IF(ISERROR(VLOOKUP($G71,DanaSehat!$L$13:$AK$56,Q$4,FALSE))=TRUE,"",
              VLOOKUP($G71,DanaSehat!$L$13:$AK$56,Q$4,FALSE)))</f>
        <v/>
      </c>
      <c r="R71" s="18" t="str">
        <f>IF(ISNUMBER($L$6)=FALSE,"",
        IF(ISERROR(VLOOKUP($G71,DanaSehat!$L$13:$AK$56,R$4,FALSE))=TRUE,"",
              VLOOKUP($G71,DanaSehat!$L$13:$AK$56,R$4,FALSE)))</f>
        <v/>
      </c>
      <c r="S71" s="18" t="str">
        <f>IF(ISNUMBER($L$6)=FALSE,"",
        IF(ISERROR(VLOOKUP($G71,DanaSehat!$L$13:$AK$56,S$4,FALSE))=TRUE,"",
              VLOOKUP($G71,DanaSehat!$L$13:$AK$56,S$4,FALSE)))</f>
        <v/>
      </c>
      <c r="T71" s="18" t="str">
        <f>IF(ISNUMBER($L$6)=FALSE,"",
        IF(ISERROR(VLOOKUP($G71,DanaSehat!$L$13:$AK$56,T$4,FALSE))=TRUE,"",
              VLOOKUP($G71,DanaSehat!$L$13:$AK$56,T$4,FALSE)))</f>
        <v/>
      </c>
      <c r="U71" s="18" t="str">
        <f>IF(ISNUMBER($L$6)=FALSE,"",
        IF(ISERROR(VLOOKUP($G71,DanaSehat!$L$13:$AK$56,U$4,FALSE))=TRUE,"",
              VLOOKUP($G71,DanaSehat!$L$13:$AK$56,U$4,FALSE)))</f>
        <v/>
      </c>
      <c r="V71" s="18" t="str">
        <f>IF(ISNUMBER($L$6)=FALSE,"",
        IF(ISERROR(VLOOKUP($G71,DanaSehat!$L$13:$AK$56,V$4,FALSE))=TRUE,"",
              VLOOKUP($G71,DanaSehat!$L$13:$AK$56,V$4,FALSE)))</f>
        <v/>
      </c>
      <c r="W71" s="18" t="str">
        <f>IF(ISNUMBER($L$6)=FALSE,"",
        IF(ISERROR(VLOOKUP($G71,DanaSehat!$L$13:$AK$56,W$4,FALSE))=TRUE,"",
              VLOOKUP($G71,DanaSehat!$L$13:$AK$56,W$4,FALSE)))</f>
        <v/>
      </c>
      <c r="X71" s="18" t="str">
        <f>IF(ISNUMBER($L$6)=FALSE,"",
        IF(ISERROR(VLOOKUP($G71,DanaSehat!$L$13:$AK$56,X$4,FALSE))=TRUE,"",
              VLOOKUP($G71,DanaSehat!$L$13:$AK$56,X$4,FALSE)))</f>
        <v/>
      </c>
      <c r="Y71" s="18" t="str">
        <f>IF(ISNUMBER($L$6)=FALSE,"",
        IF(ISERROR(VLOOKUP($G71,DanaSehat!$L$13:$AK$56,Y$4,FALSE))=TRUE,"",
              VLOOKUP($G71,DanaSehat!$L$13:$AK$56,Y$4,FALSE)))</f>
        <v/>
      </c>
      <c r="Z71" s="18" t="str">
        <f>IF(ISNUMBER($L$6)=FALSE,"",
        IF(ISERROR(VLOOKUP($G71,DanaSehat!$L$13:$AK$56,Z$4,FALSE))=TRUE,"",
              VLOOKUP($G71,DanaSehat!$L$13:$AK$56,Z$4,FALSE)))</f>
        <v/>
      </c>
      <c r="AA71" s="18" t="str">
        <f>IF(ISNUMBER($L$6)=FALSE,"",
        IF(ISERROR(VLOOKUP($G71,DanaSehat!$L$13:$AK$56,AA$4,FALSE))=TRUE,"",
              VLOOKUP($G71,DanaSehat!$L$13:$AK$56,AA$4,FALSE)))</f>
        <v/>
      </c>
      <c r="AB71" s="18" t="str">
        <f>IF(ISNUMBER($L$6)=FALSE,"",
        IF(ISERROR(VLOOKUP($G71,DanaSehat!$L$13:$AK$56,AB$4,FALSE))=TRUE,"",
              VLOOKUP($G71,DanaSehat!$L$13:$AK$56,AB$4,FALSE)))</f>
        <v/>
      </c>
      <c r="AC71" s="18" t="str">
        <f>IF(ISNUMBER($L$6)=FALSE,"",
        IF(ISERROR(VLOOKUP($G71,DanaSehat!$L$13:$AK$56,AC$4,FALSE))=TRUE,"",
              VLOOKUP($G71,DanaSehat!$L$13:$AK$56,AC$4,FALSE)))</f>
        <v/>
      </c>
      <c r="AD71" s="18" t="str">
        <f>IF(ISNUMBER($L$6)=FALSE,"",
        IF(ISERROR(VLOOKUP($G71,DanaSehat!$L$13:$AK$56,AD$4,FALSE))=TRUE,"",
              VLOOKUP($G71,DanaSehat!$L$13:$AK$56,AD$4,FALSE)))</f>
        <v/>
      </c>
      <c r="AE71" s="18" t="str">
        <f>IF(ISNUMBER($L$6)=FALSE,"",
        IF(ISERROR(VLOOKUP($G71,DanaSehat!$L$13:$AK$56,AE$4,FALSE))=TRUE,"",
              VLOOKUP($G71,DanaSehat!$L$13:$AK$56,AE$4,FALSE)))</f>
        <v/>
      </c>
      <c r="AF71" s="18" t="str">
        <f>IF(ISNUMBER($L$6)=FALSE,"",
        IF(ISERROR(VLOOKUP($G71,DanaSehat!$L$13:$AK$56,AF$4,FALSE))=TRUE,"",
              VLOOKUP($G71,DanaSehat!$L$13:$AK$56,AF$4,FALSE)))</f>
        <v/>
      </c>
    </row>
    <row r="72" spans="1:32" s="60" customFormat="1" ht="10.5" x14ac:dyDescent="0.25">
      <c r="A72" s="59"/>
      <c r="C72" s="59">
        <f t="shared" si="6"/>
        <v>59</v>
      </c>
      <c r="D72" s="61"/>
      <c r="E72" s="77" t="str">
        <f t="shared" si="4"/>
        <v/>
      </c>
      <c r="F72" s="77" t="str">
        <f>IF(ISNUMBER($L$6)=FALSE,"",
IF($C72=0,"",VLOOKUP($E72,DanaSehat!$H$13:$L$56,4,FALSE)))</f>
        <v/>
      </c>
      <c r="G72" s="77" t="str">
        <f>IF(ISNUMBER($L$6)=FALSE,"",
IF($C72=0,"",VLOOKUP($E72,DanaSehat!$H$13:$L$56,5,FALSE)))</f>
        <v/>
      </c>
      <c r="H72" s="17" t="str">
        <f t="shared" si="5"/>
        <v/>
      </c>
      <c r="I72" s="18" t="str">
        <f>IF(ISNUMBER($L$6)=FALSE,"",
        IF(ISERROR(VLOOKUP($G72,DanaSehat!$L$13:$AK$56,I$4,FALSE))=TRUE,"",
              VLOOKUP($G72,DanaSehat!$L$13:$AK$56,I$4,FALSE)))</f>
        <v/>
      </c>
      <c r="J72" s="18" t="str">
        <f>IF(ISNUMBER($L$6)=FALSE,"",
        IF(ISERROR(VLOOKUP($G72,DanaSehat!$L$13:$AK$56,J$4,FALSE))=TRUE,"",
              VLOOKUP($G72,DanaSehat!$L$13:$AK$56,J$4,FALSE)))</f>
        <v/>
      </c>
      <c r="K72" s="18" t="str">
        <f>IF(ISNUMBER($L$6)=FALSE,"",
        IF(ISERROR(VLOOKUP($G72,DanaSehat!$L$13:$AK$56,K$4,FALSE))=TRUE,"",
              VLOOKUP($G72,DanaSehat!$L$13:$AK$56,K$4,FALSE)))</f>
        <v/>
      </c>
      <c r="L72" s="18" t="str">
        <f>IF(ISNUMBER($L$6)=FALSE,"",
        IF(ISERROR(VLOOKUP($G72,DanaSehat!$L$13:$AK$56,L$4,FALSE))=TRUE,"",
              VLOOKUP($G72,DanaSehat!$L$13:$AK$56,L$4,FALSE)))</f>
        <v/>
      </c>
      <c r="M72" s="18" t="str">
        <f>IF(ISNUMBER($L$6)=FALSE,"",
        IF(ISERROR(VLOOKUP($G72,DanaSehat!$L$13:$AK$56,M$4,FALSE))=TRUE,"",
              VLOOKUP($G72,DanaSehat!$L$13:$AK$56,M$4,FALSE)))</f>
        <v/>
      </c>
      <c r="N72" s="18" t="str">
        <f>IF(ISNUMBER($L$6)=FALSE,"",
        IF(ISERROR(VLOOKUP($G72,DanaSehat!$L$13:$AK$56,N$4,FALSE))=TRUE,"",
              VLOOKUP($G72,DanaSehat!$L$13:$AK$56,N$4,FALSE)))</f>
        <v/>
      </c>
      <c r="O72" s="18" t="str">
        <f>IF(ISNUMBER($L$6)=FALSE,"",
        IF(ISERROR(VLOOKUP($G72,DanaSehat!$L$13:$AK$56,O$4,FALSE))=TRUE,"",
              VLOOKUP($G72,DanaSehat!$L$13:$AK$56,O$4,FALSE)))</f>
        <v/>
      </c>
      <c r="P72" s="18" t="str">
        <f>IF(ISNUMBER($L$6)=FALSE,"",
        IF(ISERROR(VLOOKUP($G72,DanaSehat!$L$13:$AK$56,P$4,FALSE))=TRUE,"",
              VLOOKUP($G72,DanaSehat!$L$13:$AK$56,P$4,FALSE)))</f>
        <v/>
      </c>
      <c r="Q72" s="18" t="str">
        <f>IF(ISNUMBER($L$6)=FALSE,"",
        IF(ISERROR(VLOOKUP($G72,DanaSehat!$L$13:$AK$56,Q$4,FALSE))=TRUE,"",
              VLOOKUP($G72,DanaSehat!$L$13:$AK$56,Q$4,FALSE)))</f>
        <v/>
      </c>
      <c r="R72" s="18" t="str">
        <f>IF(ISNUMBER($L$6)=FALSE,"",
        IF(ISERROR(VLOOKUP($G72,DanaSehat!$L$13:$AK$56,R$4,FALSE))=TRUE,"",
              VLOOKUP($G72,DanaSehat!$L$13:$AK$56,R$4,FALSE)))</f>
        <v/>
      </c>
      <c r="S72" s="18" t="str">
        <f>IF(ISNUMBER($L$6)=FALSE,"",
        IF(ISERROR(VLOOKUP($G72,DanaSehat!$L$13:$AK$56,S$4,FALSE))=TRUE,"",
              VLOOKUP($G72,DanaSehat!$L$13:$AK$56,S$4,FALSE)))</f>
        <v/>
      </c>
      <c r="T72" s="18" t="str">
        <f>IF(ISNUMBER($L$6)=FALSE,"",
        IF(ISERROR(VLOOKUP($G72,DanaSehat!$L$13:$AK$56,T$4,FALSE))=TRUE,"",
              VLOOKUP($G72,DanaSehat!$L$13:$AK$56,T$4,FALSE)))</f>
        <v/>
      </c>
      <c r="U72" s="18" t="str">
        <f>IF(ISNUMBER($L$6)=FALSE,"",
        IF(ISERROR(VLOOKUP($G72,DanaSehat!$L$13:$AK$56,U$4,FALSE))=TRUE,"",
              VLOOKUP($G72,DanaSehat!$L$13:$AK$56,U$4,FALSE)))</f>
        <v/>
      </c>
      <c r="V72" s="18" t="str">
        <f>IF(ISNUMBER($L$6)=FALSE,"",
        IF(ISERROR(VLOOKUP($G72,DanaSehat!$L$13:$AK$56,V$4,FALSE))=TRUE,"",
              VLOOKUP($G72,DanaSehat!$L$13:$AK$56,V$4,FALSE)))</f>
        <v/>
      </c>
      <c r="W72" s="18" t="str">
        <f>IF(ISNUMBER($L$6)=FALSE,"",
        IF(ISERROR(VLOOKUP($G72,DanaSehat!$L$13:$AK$56,W$4,FALSE))=TRUE,"",
              VLOOKUP($G72,DanaSehat!$L$13:$AK$56,W$4,FALSE)))</f>
        <v/>
      </c>
      <c r="X72" s="18" t="str">
        <f>IF(ISNUMBER($L$6)=FALSE,"",
        IF(ISERROR(VLOOKUP($G72,DanaSehat!$L$13:$AK$56,X$4,FALSE))=TRUE,"",
              VLOOKUP($G72,DanaSehat!$L$13:$AK$56,X$4,FALSE)))</f>
        <v/>
      </c>
      <c r="Y72" s="18" t="str">
        <f>IF(ISNUMBER($L$6)=FALSE,"",
        IF(ISERROR(VLOOKUP($G72,DanaSehat!$L$13:$AK$56,Y$4,FALSE))=TRUE,"",
              VLOOKUP($G72,DanaSehat!$L$13:$AK$56,Y$4,FALSE)))</f>
        <v/>
      </c>
      <c r="Z72" s="18" t="str">
        <f>IF(ISNUMBER($L$6)=FALSE,"",
        IF(ISERROR(VLOOKUP($G72,DanaSehat!$L$13:$AK$56,Z$4,FALSE))=TRUE,"",
              VLOOKUP($G72,DanaSehat!$L$13:$AK$56,Z$4,FALSE)))</f>
        <v/>
      </c>
      <c r="AA72" s="18" t="str">
        <f>IF(ISNUMBER($L$6)=FALSE,"",
        IF(ISERROR(VLOOKUP($G72,DanaSehat!$L$13:$AK$56,AA$4,FALSE))=TRUE,"",
              VLOOKUP($G72,DanaSehat!$L$13:$AK$56,AA$4,FALSE)))</f>
        <v/>
      </c>
      <c r="AB72" s="18" t="str">
        <f>IF(ISNUMBER($L$6)=FALSE,"",
        IF(ISERROR(VLOOKUP($G72,DanaSehat!$L$13:$AK$56,AB$4,FALSE))=TRUE,"",
              VLOOKUP($G72,DanaSehat!$L$13:$AK$56,AB$4,FALSE)))</f>
        <v/>
      </c>
      <c r="AC72" s="18" t="str">
        <f>IF(ISNUMBER($L$6)=FALSE,"",
        IF(ISERROR(VLOOKUP($G72,DanaSehat!$L$13:$AK$56,AC$4,FALSE))=TRUE,"",
              VLOOKUP($G72,DanaSehat!$L$13:$AK$56,AC$4,FALSE)))</f>
        <v/>
      </c>
      <c r="AD72" s="18" t="str">
        <f>IF(ISNUMBER($L$6)=FALSE,"",
        IF(ISERROR(VLOOKUP($G72,DanaSehat!$L$13:$AK$56,AD$4,FALSE))=TRUE,"",
              VLOOKUP($G72,DanaSehat!$L$13:$AK$56,AD$4,FALSE)))</f>
        <v/>
      </c>
      <c r="AE72" s="18" t="str">
        <f>IF(ISNUMBER($L$6)=FALSE,"",
        IF(ISERROR(VLOOKUP($G72,DanaSehat!$L$13:$AK$56,AE$4,FALSE))=TRUE,"",
              VLOOKUP($G72,DanaSehat!$L$13:$AK$56,AE$4,FALSE)))</f>
        <v/>
      </c>
      <c r="AF72" s="18" t="str">
        <f>IF(ISNUMBER($L$6)=FALSE,"",
        IF(ISERROR(VLOOKUP($G72,DanaSehat!$L$13:$AK$56,AF$4,FALSE))=TRUE,"",
              VLOOKUP($G72,DanaSehat!$L$13:$AK$56,AF$4,FALSE)))</f>
        <v/>
      </c>
    </row>
    <row r="73" spans="1:32" s="60" customFormat="1" ht="10.5" x14ac:dyDescent="0.25">
      <c r="A73" s="59"/>
      <c r="C73" s="59">
        <f t="shared" si="6"/>
        <v>60</v>
      </c>
      <c r="D73" s="61"/>
      <c r="E73" s="77" t="str">
        <f t="shared" si="4"/>
        <v/>
      </c>
      <c r="F73" s="77" t="str">
        <f>IF(ISNUMBER($L$6)=FALSE,"",
IF($C73=0,"",VLOOKUP($E73,DanaSehat!$H$13:$L$56,4,FALSE)))</f>
        <v/>
      </c>
      <c r="G73" s="77" t="str">
        <f>IF(ISNUMBER($L$6)=FALSE,"",
IF($C73=0,"",VLOOKUP($E73,DanaSehat!$H$13:$L$56,5,FALSE)))</f>
        <v/>
      </c>
      <c r="H73" s="17" t="str">
        <f t="shared" si="5"/>
        <v/>
      </c>
      <c r="I73" s="18" t="str">
        <f>IF(ISNUMBER($L$6)=FALSE,"",
        IF(ISERROR(VLOOKUP($G73,DanaSehat!$L$13:$AK$56,I$4,FALSE))=TRUE,"",
              VLOOKUP($G73,DanaSehat!$L$13:$AK$56,I$4,FALSE)))</f>
        <v/>
      </c>
      <c r="J73" s="18" t="str">
        <f>IF(ISNUMBER($L$6)=FALSE,"",
        IF(ISERROR(VLOOKUP($G73,DanaSehat!$L$13:$AK$56,J$4,FALSE))=TRUE,"",
              VLOOKUP($G73,DanaSehat!$L$13:$AK$56,J$4,FALSE)))</f>
        <v/>
      </c>
      <c r="K73" s="18" t="str">
        <f>IF(ISNUMBER($L$6)=FALSE,"",
        IF(ISERROR(VLOOKUP($G73,DanaSehat!$L$13:$AK$56,K$4,FALSE))=TRUE,"",
              VLOOKUP($G73,DanaSehat!$L$13:$AK$56,K$4,FALSE)))</f>
        <v/>
      </c>
      <c r="L73" s="18" t="str">
        <f>IF(ISNUMBER($L$6)=FALSE,"",
        IF(ISERROR(VLOOKUP($G73,DanaSehat!$L$13:$AK$56,L$4,FALSE))=TRUE,"",
              VLOOKUP($G73,DanaSehat!$L$13:$AK$56,L$4,FALSE)))</f>
        <v/>
      </c>
      <c r="M73" s="18" t="str">
        <f>IF(ISNUMBER($L$6)=FALSE,"",
        IF(ISERROR(VLOOKUP($G73,DanaSehat!$L$13:$AK$56,M$4,FALSE))=TRUE,"",
              VLOOKUP($G73,DanaSehat!$L$13:$AK$56,M$4,FALSE)))</f>
        <v/>
      </c>
      <c r="N73" s="18" t="str">
        <f>IF(ISNUMBER($L$6)=FALSE,"",
        IF(ISERROR(VLOOKUP($G73,DanaSehat!$L$13:$AK$56,N$4,FALSE))=TRUE,"",
              VLOOKUP($G73,DanaSehat!$L$13:$AK$56,N$4,FALSE)))</f>
        <v/>
      </c>
      <c r="O73" s="18" t="str">
        <f>IF(ISNUMBER($L$6)=FALSE,"",
        IF(ISERROR(VLOOKUP($G73,DanaSehat!$L$13:$AK$56,O$4,FALSE))=TRUE,"",
              VLOOKUP($G73,DanaSehat!$L$13:$AK$56,O$4,FALSE)))</f>
        <v/>
      </c>
      <c r="P73" s="18" t="str">
        <f>IF(ISNUMBER($L$6)=FALSE,"",
        IF(ISERROR(VLOOKUP($G73,DanaSehat!$L$13:$AK$56,P$4,FALSE))=TRUE,"",
              VLOOKUP($G73,DanaSehat!$L$13:$AK$56,P$4,FALSE)))</f>
        <v/>
      </c>
      <c r="Q73" s="18" t="str">
        <f>IF(ISNUMBER($L$6)=FALSE,"",
        IF(ISERROR(VLOOKUP($G73,DanaSehat!$L$13:$AK$56,Q$4,FALSE))=TRUE,"",
              VLOOKUP($G73,DanaSehat!$L$13:$AK$56,Q$4,FALSE)))</f>
        <v/>
      </c>
      <c r="R73" s="18" t="str">
        <f>IF(ISNUMBER($L$6)=FALSE,"",
        IF(ISERROR(VLOOKUP($G73,DanaSehat!$L$13:$AK$56,R$4,FALSE))=TRUE,"",
              VLOOKUP($G73,DanaSehat!$L$13:$AK$56,R$4,FALSE)))</f>
        <v/>
      </c>
      <c r="S73" s="18" t="str">
        <f>IF(ISNUMBER($L$6)=FALSE,"",
        IF(ISERROR(VLOOKUP($G73,DanaSehat!$L$13:$AK$56,S$4,FALSE))=TRUE,"",
              VLOOKUP($G73,DanaSehat!$L$13:$AK$56,S$4,FALSE)))</f>
        <v/>
      </c>
      <c r="T73" s="18" t="str">
        <f>IF(ISNUMBER($L$6)=FALSE,"",
        IF(ISERROR(VLOOKUP($G73,DanaSehat!$L$13:$AK$56,T$4,FALSE))=TRUE,"",
              VLOOKUP($G73,DanaSehat!$L$13:$AK$56,T$4,FALSE)))</f>
        <v/>
      </c>
      <c r="U73" s="18" t="str">
        <f>IF(ISNUMBER($L$6)=FALSE,"",
        IF(ISERROR(VLOOKUP($G73,DanaSehat!$L$13:$AK$56,U$4,FALSE))=TRUE,"",
              VLOOKUP($G73,DanaSehat!$L$13:$AK$56,U$4,FALSE)))</f>
        <v/>
      </c>
      <c r="V73" s="18" t="str">
        <f>IF(ISNUMBER($L$6)=FALSE,"",
        IF(ISERROR(VLOOKUP($G73,DanaSehat!$L$13:$AK$56,V$4,FALSE))=TRUE,"",
              VLOOKUP($G73,DanaSehat!$L$13:$AK$56,V$4,FALSE)))</f>
        <v/>
      </c>
      <c r="W73" s="18" t="str">
        <f>IF(ISNUMBER($L$6)=FALSE,"",
        IF(ISERROR(VLOOKUP($G73,DanaSehat!$L$13:$AK$56,W$4,FALSE))=TRUE,"",
              VLOOKUP($G73,DanaSehat!$L$13:$AK$56,W$4,FALSE)))</f>
        <v/>
      </c>
      <c r="X73" s="18" t="str">
        <f>IF(ISNUMBER($L$6)=FALSE,"",
        IF(ISERROR(VLOOKUP($G73,DanaSehat!$L$13:$AK$56,X$4,FALSE))=TRUE,"",
              VLOOKUP($G73,DanaSehat!$L$13:$AK$56,X$4,FALSE)))</f>
        <v/>
      </c>
      <c r="Y73" s="18" t="str">
        <f>IF(ISNUMBER($L$6)=FALSE,"",
        IF(ISERROR(VLOOKUP($G73,DanaSehat!$L$13:$AK$56,Y$4,FALSE))=TRUE,"",
              VLOOKUP($G73,DanaSehat!$L$13:$AK$56,Y$4,FALSE)))</f>
        <v/>
      </c>
      <c r="Z73" s="18" t="str">
        <f>IF(ISNUMBER($L$6)=FALSE,"",
        IF(ISERROR(VLOOKUP($G73,DanaSehat!$L$13:$AK$56,Z$4,FALSE))=TRUE,"",
              VLOOKUP($G73,DanaSehat!$L$13:$AK$56,Z$4,FALSE)))</f>
        <v/>
      </c>
      <c r="AA73" s="18" t="str">
        <f>IF(ISNUMBER($L$6)=FALSE,"",
        IF(ISERROR(VLOOKUP($G73,DanaSehat!$L$13:$AK$56,AA$4,FALSE))=TRUE,"",
              VLOOKUP($G73,DanaSehat!$L$13:$AK$56,AA$4,FALSE)))</f>
        <v/>
      </c>
      <c r="AB73" s="18" t="str">
        <f>IF(ISNUMBER($L$6)=FALSE,"",
        IF(ISERROR(VLOOKUP($G73,DanaSehat!$L$13:$AK$56,AB$4,FALSE))=TRUE,"",
              VLOOKUP($G73,DanaSehat!$L$13:$AK$56,AB$4,FALSE)))</f>
        <v/>
      </c>
      <c r="AC73" s="18" t="str">
        <f>IF(ISNUMBER($L$6)=FALSE,"",
        IF(ISERROR(VLOOKUP($G73,DanaSehat!$L$13:$AK$56,AC$4,FALSE))=TRUE,"",
              VLOOKUP($G73,DanaSehat!$L$13:$AK$56,AC$4,FALSE)))</f>
        <v/>
      </c>
      <c r="AD73" s="18" t="str">
        <f>IF(ISNUMBER($L$6)=FALSE,"",
        IF(ISERROR(VLOOKUP($G73,DanaSehat!$L$13:$AK$56,AD$4,FALSE))=TRUE,"",
              VLOOKUP($G73,DanaSehat!$L$13:$AK$56,AD$4,FALSE)))</f>
        <v/>
      </c>
      <c r="AE73" s="18" t="str">
        <f>IF(ISNUMBER($L$6)=FALSE,"",
        IF(ISERROR(VLOOKUP($G73,DanaSehat!$L$13:$AK$56,AE$4,FALSE))=TRUE,"",
              VLOOKUP($G73,DanaSehat!$L$13:$AK$56,AE$4,FALSE)))</f>
        <v/>
      </c>
      <c r="AF73" s="18" t="str">
        <f>IF(ISNUMBER($L$6)=FALSE,"",
        IF(ISERROR(VLOOKUP($G73,DanaSehat!$L$13:$AK$56,AF$4,FALSE))=TRUE,"",
              VLOOKUP($G73,DanaSehat!$L$13:$AK$56,AF$4,FALSE)))</f>
        <v/>
      </c>
    </row>
    <row r="74" spans="1:32" s="60" customFormat="1" ht="10.5" x14ac:dyDescent="0.25">
      <c r="A74" s="59"/>
      <c r="C74" s="59">
        <f t="shared" si="6"/>
        <v>61</v>
      </c>
      <c r="D74" s="61"/>
      <c r="E74" s="77" t="str">
        <f t="shared" si="4"/>
        <v/>
      </c>
      <c r="F74" s="77" t="str">
        <f>IF(ISNUMBER($L$6)=FALSE,"",
IF($C74=0,"",VLOOKUP($E74,DanaSehat!$H$13:$L$56,4,FALSE)))</f>
        <v/>
      </c>
      <c r="G74" s="77" t="str">
        <f>IF(ISNUMBER($L$6)=FALSE,"",
IF($C74=0,"",VLOOKUP($E74,DanaSehat!$H$13:$L$56,5,FALSE)))</f>
        <v/>
      </c>
      <c r="H74" s="17" t="str">
        <f t="shared" si="5"/>
        <v/>
      </c>
      <c r="I74" s="18" t="str">
        <f>IF(ISNUMBER($L$6)=FALSE,"",
        IF(ISERROR(VLOOKUP($G74,DanaSehat!$L$13:$AK$56,I$4,FALSE))=TRUE,"",
              VLOOKUP($G74,DanaSehat!$L$13:$AK$56,I$4,FALSE)))</f>
        <v/>
      </c>
      <c r="J74" s="18" t="str">
        <f>IF(ISNUMBER($L$6)=FALSE,"",
        IF(ISERROR(VLOOKUP($G74,DanaSehat!$L$13:$AK$56,J$4,FALSE))=TRUE,"",
              VLOOKUP($G74,DanaSehat!$L$13:$AK$56,J$4,FALSE)))</f>
        <v/>
      </c>
      <c r="K74" s="18" t="str">
        <f>IF(ISNUMBER($L$6)=FALSE,"",
        IF(ISERROR(VLOOKUP($G74,DanaSehat!$L$13:$AK$56,K$4,FALSE))=TRUE,"",
              VLOOKUP($G74,DanaSehat!$L$13:$AK$56,K$4,FALSE)))</f>
        <v/>
      </c>
      <c r="L74" s="18" t="str">
        <f>IF(ISNUMBER($L$6)=FALSE,"",
        IF(ISERROR(VLOOKUP($G74,DanaSehat!$L$13:$AK$56,L$4,FALSE))=TRUE,"",
              VLOOKUP($G74,DanaSehat!$L$13:$AK$56,L$4,FALSE)))</f>
        <v/>
      </c>
      <c r="M74" s="18" t="str">
        <f>IF(ISNUMBER($L$6)=FALSE,"",
        IF(ISERROR(VLOOKUP($G74,DanaSehat!$L$13:$AK$56,M$4,FALSE))=TRUE,"",
              VLOOKUP($G74,DanaSehat!$L$13:$AK$56,M$4,FALSE)))</f>
        <v/>
      </c>
      <c r="N74" s="18" t="str">
        <f>IF(ISNUMBER($L$6)=FALSE,"",
        IF(ISERROR(VLOOKUP($G74,DanaSehat!$L$13:$AK$56,N$4,FALSE))=TRUE,"",
              VLOOKUP($G74,DanaSehat!$L$13:$AK$56,N$4,FALSE)))</f>
        <v/>
      </c>
      <c r="O74" s="18" t="str">
        <f>IF(ISNUMBER($L$6)=FALSE,"",
        IF(ISERROR(VLOOKUP($G74,DanaSehat!$L$13:$AK$56,O$4,FALSE))=TRUE,"",
              VLOOKUP($G74,DanaSehat!$L$13:$AK$56,O$4,FALSE)))</f>
        <v/>
      </c>
      <c r="P74" s="18" t="str">
        <f>IF(ISNUMBER($L$6)=FALSE,"",
        IF(ISERROR(VLOOKUP($G74,DanaSehat!$L$13:$AK$56,P$4,FALSE))=TRUE,"",
              VLOOKUP($G74,DanaSehat!$L$13:$AK$56,P$4,FALSE)))</f>
        <v/>
      </c>
      <c r="Q74" s="18" t="str">
        <f>IF(ISNUMBER($L$6)=FALSE,"",
        IF(ISERROR(VLOOKUP($G74,DanaSehat!$L$13:$AK$56,Q$4,FALSE))=TRUE,"",
              VLOOKUP($G74,DanaSehat!$L$13:$AK$56,Q$4,FALSE)))</f>
        <v/>
      </c>
      <c r="R74" s="18" t="str">
        <f>IF(ISNUMBER($L$6)=FALSE,"",
        IF(ISERROR(VLOOKUP($G74,DanaSehat!$L$13:$AK$56,R$4,FALSE))=TRUE,"",
              VLOOKUP($G74,DanaSehat!$L$13:$AK$56,R$4,FALSE)))</f>
        <v/>
      </c>
      <c r="S74" s="18" t="str">
        <f>IF(ISNUMBER($L$6)=FALSE,"",
        IF(ISERROR(VLOOKUP($G74,DanaSehat!$L$13:$AK$56,S$4,FALSE))=TRUE,"",
              VLOOKUP($G74,DanaSehat!$L$13:$AK$56,S$4,FALSE)))</f>
        <v/>
      </c>
      <c r="T74" s="18" t="str">
        <f>IF(ISNUMBER($L$6)=FALSE,"",
        IF(ISERROR(VLOOKUP($G74,DanaSehat!$L$13:$AK$56,T$4,FALSE))=TRUE,"",
              VLOOKUP($G74,DanaSehat!$L$13:$AK$56,T$4,FALSE)))</f>
        <v/>
      </c>
      <c r="U74" s="18" t="str">
        <f>IF(ISNUMBER($L$6)=FALSE,"",
        IF(ISERROR(VLOOKUP($G74,DanaSehat!$L$13:$AK$56,U$4,FALSE))=TRUE,"",
              VLOOKUP($G74,DanaSehat!$L$13:$AK$56,U$4,FALSE)))</f>
        <v/>
      </c>
      <c r="V74" s="18" t="str">
        <f>IF(ISNUMBER($L$6)=FALSE,"",
        IF(ISERROR(VLOOKUP($G74,DanaSehat!$L$13:$AK$56,V$4,FALSE))=TRUE,"",
              VLOOKUP($G74,DanaSehat!$L$13:$AK$56,V$4,FALSE)))</f>
        <v/>
      </c>
      <c r="W74" s="18" t="str">
        <f>IF(ISNUMBER($L$6)=FALSE,"",
        IF(ISERROR(VLOOKUP($G74,DanaSehat!$L$13:$AK$56,W$4,FALSE))=TRUE,"",
              VLOOKUP($G74,DanaSehat!$L$13:$AK$56,W$4,FALSE)))</f>
        <v/>
      </c>
      <c r="X74" s="18" t="str">
        <f>IF(ISNUMBER($L$6)=FALSE,"",
        IF(ISERROR(VLOOKUP($G74,DanaSehat!$L$13:$AK$56,X$4,FALSE))=TRUE,"",
              VLOOKUP($G74,DanaSehat!$L$13:$AK$56,X$4,FALSE)))</f>
        <v/>
      </c>
      <c r="Y74" s="18" t="str">
        <f>IF(ISNUMBER($L$6)=FALSE,"",
        IF(ISERROR(VLOOKUP($G74,DanaSehat!$L$13:$AK$56,Y$4,FALSE))=TRUE,"",
              VLOOKUP($G74,DanaSehat!$L$13:$AK$56,Y$4,FALSE)))</f>
        <v/>
      </c>
      <c r="Z74" s="18" t="str">
        <f>IF(ISNUMBER($L$6)=FALSE,"",
        IF(ISERROR(VLOOKUP($G74,DanaSehat!$L$13:$AK$56,Z$4,FALSE))=TRUE,"",
              VLOOKUP($G74,DanaSehat!$L$13:$AK$56,Z$4,FALSE)))</f>
        <v/>
      </c>
      <c r="AA74" s="18" t="str">
        <f>IF(ISNUMBER($L$6)=FALSE,"",
        IF(ISERROR(VLOOKUP($G74,DanaSehat!$L$13:$AK$56,AA$4,FALSE))=TRUE,"",
              VLOOKUP($G74,DanaSehat!$L$13:$AK$56,AA$4,FALSE)))</f>
        <v/>
      </c>
      <c r="AB74" s="18" t="str">
        <f>IF(ISNUMBER($L$6)=FALSE,"",
        IF(ISERROR(VLOOKUP($G74,DanaSehat!$L$13:$AK$56,AB$4,FALSE))=TRUE,"",
              VLOOKUP($G74,DanaSehat!$L$13:$AK$56,AB$4,FALSE)))</f>
        <v/>
      </c>
      <c r="AC74" s="18" t="str">
        <f>IF(ISNUMBER($L$6)=FALSE,"",
        IF(ISERROR(VLOOKUP($G74,DanaSehat!$L$13:$AK$56,AC$4,FALSE))=TRUE,"",
              VLOOKUP($G74,DanaSehat!$L$13:$AK$56,AC$4,FALSE)))</f>
        <v/>
      </c>
      <c r="AD74" s="18" t="str">
        <f>IF(ISNUMBER($L$6)=FALSE,"",
        IF(ISERROR(VLOOKUP($G74,DanaSehat!$L$13:$AK$56,AD$4,FALSE))=TRUE,"",
              VLOOKUP($G74,DanaSehat!$L$13:$AK$56,AD$4,FALSE)))</f>
        <v/>
      </c>
      <c r="AE74" s="18" t="str">
        <f>IF(ISNUMBER($L$6)=FALSE,"",
        IF(ISERROR(VLOOKUP($G74,DanaSehat!$L$13:$AK$56,AE$4,FALSE))=TRUE,"",
              VLOOKUP($G74,DanaSehat!$L$13:$AK$56,AE$4,FALSE)))</f>
        <v/>
      </c>
      <c r="AF74" s="18" t="str">
        <f>IF(ISNUMBER($L$6)=FALSE,"",
        IF(ISERROR(VLOOKUP($G74,DanaSehat!$L$13:$AK$56,AF$4,FALSE))=TRUE,"",
              VLOOKUP($G74,DanaSehat!$L$13:$AK$56,AF$4,FALSE)))</f>
        <v/>
      </c>
    </row>
    <row r="75" spans="1:32" s="60" customFormat="1" ht="10.5" x14ac:dyDescent="0.25">
      <c r="A75" s="59"/>
      <c r="C75" s="59">
        <f t="shared" si="6"/>
        <v>62</v>
      </c>
      <c r="D75" s="61"/>
      <c r="E75" s="77" t="str">
        <f t="shared" si="4"/>
        <v/>
      </c>
      <c r="F75" s="77" t="str">
        <f>IF(ISNUMBER($L$6)=FALSE,"",
IF($C75=0,"",VLOOKUP($E75,DanaSehat!$H$13:$L$56,4,FALSE)))</f>
        <v/>
      </c>
      <c r="G75" s="77" t="str">
        <f>IF(ISNUMBER($L$6)=FALSE,"",
IF($C75=0,"",VLOOKUP($E75,DanaSehat!$H$13:$L$56,5,FALSE)))</f>
        <v/>
      </c>
      <c r="H75" s="17" t="str">
        <f t="shared" si="5"/>
        <v/>
      </c>
      <c r="I75" s="18" t="str">
        <f>IF(ISNUMBER($L$6)=FALSE,"",
        IF(ISERROR(VLOOKUP($G75,DanaSehat!$L$13:$AK$56,I$4,FALSE))=TRUE,"",
              VLOOKUP($G75,DanaSehat!$L$13:$AK$56,I$4,FALSE)))</f>
        <v/>
      </c>
      <c r="J75" s="18" t="str">
        <f>IF(ISNUMBER($L$6)=FALSE,"",
        IF(ISERROR(VLOOKUP($G75,DanaSehat!$L$13:$AK$56,J$4,FALSE))=TRUE,"",
              VLOOKUP($G75,DanaSehat!$L$13:$AK$56,J$4,FALSE)))</f>
        <v/>
      </c>
      <c r="K75" s="18" t="str">
        <f>IF(ISNUMBER($L$6)=FALSE,"",
        IF(ISERROR(VLOOKUP($G75,DanaSehat!$L$13:$AK$56,K$4,FALSE))=TRUE,"",
              VLOOKUP($G75,DanaSehat!$L$13:$AK$56,K$4,FALSE)))</f>
        <v/>
      </c>
      <c r="L75" s="18" t="str">
        <f>IF(ISNUMBER($L$6)=FALSE,"",
        IF(ISERROR(VLOOKUP($G75,DanaSehat!$L$13:$AK$56,L$4,FALSE))=TRUE,"",
              VLOOKUP($G75,DanaSehat!$L$13:$AK$56,L$4,FALSE)))</f>
        <v/>
      </c>
      <c r="M75" s="18" t="str">
        <f>IF(ISNUMBER($L$6)=FALSE,"",
        IF(ISERROR(VLOOKUP($G75,DanaSehat!$L$13:$AK$56,M$4,FALSE))=TRUE,"",
              VLOOKUP($G75,DanaSehat!$L$13:$AK$56,M$4,FALSE)))</f>
        <v/>
      </c>
      <c r="N75" s="18" t="str">
        <f>IF(ISNUMBER($L$6)=FALSE,"",
        IF(ISERROR(VLOOKUP($G75,DanaSehat!$L$13:$AK$56,N$4,FALSE))=TRUE,"",
              VLOOKUP($G75,DanaSehat!$L$13:$AK$56,N$4,FALSE)))</f>
        <v/>
      </c>
      <c r="O75" s="18" t="str">
        <f>IF(ISNUMBER($L$6)=FALSE,"",
        IF(ISERROR(VLOOKUP($G75,DanaSehat!$L$13:$AK$56,O$4,FALSE))=TRUE,"",
              VLOOKUP($G75,DanaSehat!$L$13:$AK$56,O$4,FALSE)))</f>
        <v/>
      </c>
      <c r="P75" s="18" t="str">
        <f>IF(ISNUMBER($L$6)=FALSE,"",
        IF(ISERROR(VLOOKUP($G75,DanaSehat!$L$13:$AK$56,P$4,FALSE))=TRUE,"",
              VLOOKUP($G75,DanaSehat!$L$13:$AK$56,P$4,FALSE)))</f>
        <v/>
      </c>
      <c r="Q75" s="18" t="str">
        <f>IF(ISNUMBER($L$6)=FALSE,"",
        IF(ISERROR(VLOOKUP($G75,DanaSehat!$L$13:$AK$56,Q$4,FALSE))=TRUE,"",
              VLOOKUP($G75,DanaSehat!$L$13:$AK$56,Q$4,FALSE)))</f>
        <v/>
      </c>
      <c r="R75" s="18" t="str">
        <f>IF(ISNUMBER($L$6)=FALSE,"",
        IF(ISERROR(VLOOKUP($G75,DanaSehat!$L$13:$AK$56,R$4,FALSE))=TRUE,"",
              VLOOKUP($G75,DanaSehat!$L$13:$AK$56,R$4,FALSE)))</f>
        <v/>
      </c>
      <c r="S75" s="18" t="str">
        <f>IF(ISNUMBER($L$6)=FALSE,"",
        IF(ISERROR(VLOOKUP($G75,DanaSehat!$L$13:$AK$56,S$4,FALSE))=TRUE,"",
              VLOOKUP($G75,DanaSehat!$L$13:$AK$56,S$4,FALSE)))</f>
        <v/>
      </c>
      <c r="T75" s="18" t="str">
        <f>IF(ISNUMBER($L$6)=FALSE,"",
        IF(ISERROR(VLOOKUP($G75,DanaSehat!$L$13:$AK$56,T$4,FALSE))=TRUE,"",
              VLOOKUP($G75,DanaSehat!$L$13:$AK$56,T$4,FALSE)))</f>
        <v/>
      </c>
      <c r="U75" s="18" t="str">
        <f>IF(ISNUMBER($L$6)=FALSE,"",
        IF(ISERROR(VLOOKUP($G75,DanaSehat!$L$13:$AK$56,U$4,FALSE))=TRUE,"",
              VLOOKUP($G75,DanaSehat!$L$13:$AK$56,U$4,FALSE)))</f>
        <v/>
      </c>
      <c r="V75" s="18" t="str">
        <f>IF(ISNUMBER($L$6)=FALSE,"",
        IF(ISERROR(VLOOKUP($G75,DanaSehat!$L$13:$AK$56,V$4,FALSE))=TRUE,"",
              VLOOKUP($G75,DanaSehat!$L$13:$AK$56,V$4,FALSE)))</f>
        <v/>
      </c>
      <c r="W75" s="18" t="str">
        <f>IF(ISNUMBER($L$6)=FALSE,"",
        IF(ISERROR(VLOOKUP($G75,DanaSehat!$L$13:$AK$56,W$4,FALSE))=TRUE,"",
              VLOOKUP($G75,DanaSehat!$L$13:$AK$56,W$4,FALSE)))</f>
        <v/>
      </c>
      <c r="X75" s="18" t="str">
        <f>IF(ISNUMBER($L$6)=FALSE,"",
        IF(ISERROR(VLOOKUP($G75,DanaSehat!$L$13:$AK$56,X$4,FALSE))=TRUE,"",
              VLOOKUP($G75,DanaSehat!$L$13:$AK$56,X$4,FALSE)))</f>
        <v/>
      </c>
      <c r="Y75" s="18" t="str">
        <f>IF(ISNUMBER($L$6)=FALSE,"",
        IF(ISERROR(VLOOKUP($G75,DanaSehat!$L$13:$AK$56,Y$4,FALSE))=TRUE,"",
              VLOOKUP($G75,DanaSehat!$L$13:$AK$56,Y$4,FALSE)))</f>
        <v/>
      </c>
      <c r="Z75" s="18" t="str">
        <f>IF(ISNUMBER($L$6)=FALSE,"",
        IF(ISERROR(VLOOKUP($G75,DanaSehat!$L$13:$AK$56,Z$4,FALSE))=TRUE,"",
              VLOOKUP($G75,DanaSehat!$L$13:$AK$56,Z$4,FALSE)))</f>
        <v/>
      </c>
      <c r="AA75" s="18" t="str">
        <f>IF(ISNUMBER($L$6)=FALSE,"",
        IF(ISERROR(VLOOKUP($G75,DanaSehat!$L$13:$AK$56,AA$4,FALSE))=TRUE,"",
              VLOOKUP($G75,DanaSehat!$L$13:$AK$56,AA$4,FALSE)))</f>
        <v/>
      </c>
      <c r="AB75" s="18" t="str">
        <f>IF(ISNUMBER($L$6)=FALSE,"",
        IF(ISERROR(VLOOKUP($G75,DanaSehat!$L$13:$AK$56,AB$4,FALSE))=TRUE,"",
              VLOOKUP($G75,DanaSehat!$L$13:$AK$56,AB$4,FALSE)))</f>
        <v/>
      </c>
      <c r="AC75" s="18" t="str">
        <f>IF(ISNUMBER($L$6)=FALSE,"",
        IF(ISERROR(VLOOKUP($G75,DanaSehat!$L$13:$AK$56,AC$4,FALSE))=TRUE,"",
              VLOOKUP($G75,DanaSehat!$L$13:$AK$56,AC$4,FALSE)))</f>
        <v/>
      </c>
      <c r="AD75" s="18" t="str">
        <f>IF(ISNUMBER($L$6)=FALSE,"",
        IF(ISERROR(VLOOKUP($G75,DanaSehat!$L$13:$AK$56,AD$4,FALSE))=TRUE,"",
              VLOOKUP($G75,DanaSehat!$L$13:$AK$56,AD$4,FALSE)))</f>
        <v/>
      </c>
      <c r="AE75" s="18" t="str">
        <f>IF(ISNUMBER($L$6)=FALSE,"",
        IF(ISERROR(VLOOKUP($G75,DanaSehat!$L$13:$AK$56,AE$4,FALSE))=TRUE,"",
              VLOOKUP($G75,DanaSehat!$L$13:$AK$56,AE$4,FALSE)))</f>
        <v/>
      </c>
      <c r="AF75" s="18" t="str">
        <f>IF(ISNUMBER($L$6)=FALSE,"",
        IF(ISERROR(VLOOKUP($G75,DanaSehat!$L$13:$AK$56,AF$4,FALSE))=TRUE,"",
              VLOOKUP($G75,DanaSehat!$L$13:$AK$56,AF$4,FALSE)))</f>
        <v/>
      </c>
    </row>
    <row r="76" spans="1:32" s="60" customFormat="1" ht="10.5" x14ac:dyDescent="0.25">
      <c r="A76" s="59"/>
      <c r="C76" s="59">
        <f t="shared" si="6"/>
        <v>63</v>
      </c>
      <c r="D76" s="61"/>
      <c r="E76" s="77" t="str">
        <f t="shared" si="4"/>
        <v/>
      </c>
      <c r="F76" s="77" t="str">
        <f>IF(ISNUMBER($L$6)=FALSE,"",
IF($C76=0,"",VLOOKUP($E76,DanaSehat!$H$13:$L$56,4,FALSE)))</f>
        <v/>
      </c>
      <c r="G76" s="77" t="str">
        <f>IF(ISNUMBER($L$6)=FALSE,"",
IF($C76=0,"",VLOOKUP($E76,DanaSehat!$H$13:$L$56,5,FALSE)))</f>
        <v/>
      </c>
      <c r="H76" s="17" t="str">
        <f t="shared" si="5"/>
        <v/>
      </c>
      <c r="I76" s="18" t="str">
        <f>IF(ISNUMBER($L$6)=FALSE,"",
        IF(ISERROR(VLOOKUP($G76,DanaSehat!$L$13:$AK$56,I$4,FALSE))=TRUE,"",
              VLOOKUP($G76,DanaSehat!$L$13:$AK$56,I$4,FALSE)))</f>
        <v/>
      </c>
      <c r="J76" s="18" t="str">
        <f>IF(ISNUMBER($L$6)=FALSE,"",
        IF(ISERROR(VLOOKUP($G76,DanaSehat!$L$13:$AK$56,J$4,FALSE))=TRUE,"",
              VLOOKUP($G76,DanaSehat!$L$13:$AK$56,J$4,FALSE)))</f>
        <v/>
      </c>
      <c r="K76" s="18" t="str">
        <f>IF(ISNUMBER($L$6)=FALSE,"",
        IF(ISERROR(VLOOKUP($G76,DanaSehat!$L$13:$AK$56,K$4,FALSE))=TRUE,"",
              VLOOKUP($G76,DanaSehat!$L$13:$AK$56,K$4,FALSE)))</f>
        <v/>
      </c>
      <c r="L76" s="18" t="str">
        <f>IF(ISNUMBER($L$6)=FALSE,"",
        IF(ISERROR(VLOOKUP($G76,DanaSehat!$L$13:$AK$56,L$4,FALSE))=TRUE,"",
              VLOOKUP($G76,DanaSehat!$L$13:$AK$56,L$4,FALSE)))</f>
        <v/>
      </c>
      <c r="M76" s="18" t="str">
        <f>IF(ISNUMBER($L$6)=FALSE,"",
        IF(ISERROR(VLOOKUP($G76,DanaSehat!$L$13:$AK$56,M$4,FALSE))=TRUE,"",
              VLOOKUP($G76,DanaSehat!$L$13:$AK$56,M$4,FALSE)))</f>
        <v/>
      </c>
      <c r="N76" s="18" t="str">
        <f>IF(ISNUMBER($L$6)=FALSE,"",
        IF(ISERROR(VLOOKUP($G76,DanaSehat!$L$13:$AK$56,N$4,FALSE))=TRUE,"",
              VLOOKUP($G76,DanaSehat!$L$13:$AK$56,N$4,FALSE)))</f>
        <v/>
      </c>
      <c r="O76" s="18" t="str">
        <f>IF(ISNUMBER($L$6)=FALSE,"",
        IF(ISERROR(VLOOKUP($G76,DanaSehat!$L$13:$AK$56,O$4,FALSE))=TRUE,"",
              VLOOKUP($G76,DanaSehat!$L$13:$AK$56,O$4,FALSE)))</f>
        <v/>
      </c>
      <c r="P76" s="18" t="str">
        <f>IF(ISNUMBER($L$6)=FALSE,"",
        IF(ISERROR(VLOOKUP($G76,DanaSehat!$L$13:$AK$56,P$4,FALSE))=TRUE,"",
              VLOOKUP($G76,DanaSehat!$L$13:$AK$56,P$4,FALSE)))</f>
        <v/>
      </c>
      <c r="Q76" s="18" t="str">
        <f>IF(ISNUMBER($L$6)=FALSE,"",
        IF(ISERROR(VLOOKUP($G76,DanaSehat!$L$13:$AK$56,Q$4,FALSE))=TRUE,"",
              VLOOKUP($G76,DanaSehat!$L$13:$AK$56,Q$4,FALSE)))</f>
        <v/>
      </c>
      <c r="R76" s="18" t="str">
        <f>IF(ISNUMBER($L$6)=FALSE,"",
        IF(ISERROR(VLOOKUP($G76,DanaSehat!$L$13:$AK$56,R$4,FALSE))=TRUE,"",
              VLOOKUP($G76,DanaSehat!$L$13:$AK$56,R$4,FALSE)))</f>
        <v/>
      </c>
      <c r="S76" s="18" t="str">
        <f>IF(ISNUMBER($L$6)=FALSE,"",
        IF(ISERROR(VLOOKUP($G76,DanaSehat!$L$13:$AK$56,S$4,FALSE))=TRUE,"",
              VLOOKUP($G76,DanaSehat!$L$13:$AK$56,S$4,FALSE)))</f>
        <v/>
      </c>
      <c r="T76" s="18" t="str">
        <f>IF(ISNUMBER($L$6)=FALSE,"",
        IF(ISERROR(VLOOKUP($G76,DanaSehat!$L$13:$AK$56,T$4,FALSE))=TRUE,"",
              VLOOKUP($G76,DanaSehat!$L$13:$AK$56,T$4,FALSE)))</f>
        <v/>
      </c>
      <c r="U76" s="18" t="str">
        <f>IF(ISNUMBER($L$6)=FALSE,"",
        IF(ISERROR(VLOOKUP($G76,DanaSehat!$L$13:$AK$56,U$4,FALSE))=TRUE,"",
              VLOOKUP($G76,DanaSehat!$L$13:$AK$56,U$4,FALSE)))</f>
        <v/>
      </c>
      <c r="V76" s="18" t="str">
        <f>IF(ISNUMBER($L$6)=FALSE,"",
        IF(ISERROR(VLOOKUP($G76,DanaSehat!$L$13:$AK$56,V$4,FALSE))=TRUE,"",
              VLOOKUP($G76,DanaSehat!$L$13:$AK$56,V$4,FALSE)))</f>
        <v/>
      </c>
      <c r="W76" s="18" t="str">
        <f>IF(ISNUMBER($L$6)=FALSE,"",
        IF(ISERROR(VLOOKUP($G76,DanaSehat!$L$13:$AK$56,W$4,FALSE))=TRUE,"",
              VLOOKUP($G76,DanaSehat!$L$13:$AK$56,W$4,FALSE)))</f>
        <v/>
      </c>
      <c r="X76" s="18" t="str">
        <f>IF(ISNUMBER($L$6)=FALSE,"",
        IF(ISERROR(VLOOKUP($G76,DanaSehat!$L$13:$AK$56,X$4,FALSE))=TRUE,"",
              VLOOKUP($G76,DanaSehat!$L$13:$AK$56,X$4,FALSE)))</f>
        <v/>
      </c>
      <c r="Y76" s="18" t="str">
        <f>IF(ISNUMBER($L$6)=FALSE,"",
        IF(ISERROR(VLOOKUP($G76,DanaSehat!$L$13:$AK$56,Y$4,FALSE))=TRUE,"",
              VLOOKUP($G76,DanaSehat!$L$13:$AK$56,Y$4,FALSE)))</f>
        <v/>
      </c>
      <c r="Z76" s="18" t="str">
        <f>IF(ISNUMBER($L$6)=FALSE,"",
        IF(ISERROR(VLOOKUP($G76,DanaSehat!$L$13:$AK$56,Z$4,FALSE))=TRUE,"",
              VLOOKUP($G76,DanaSehat!$L$13:$AK$56,Z$4,FALSE)))</f>
        <v/>
      </c>
      <c r="AA76" s="18" t="str">
        <f>IF(ISNUMBER($L$6)=FALSE,"",
        IF(ISERROR(VLOOKUP($G76,DanaSehat!$L$13:$AK$56,AA$4,FALSE))=TRUE,"",
              VLOOKUP($G76,DanaSehat!$L$13:$AK$56,AA$4,FALSE)))</f>
        <v/>
      </c>
      <c r="AB76" s="18" t="str">
        <f>IF(ISNUMBER($L$6)=FALSE,"",
        IF(ISERROR(VLOOKUP($G76,DanaSehat!$L$13:$AK$56,AB$4,FALSE))=TRUE,"",
              VLOOKUP($G76,DanaSehat!$L$13:$AK$56,AB$4,FALSE)))</f>
        <v/>
      </c>
      <c r="AC76" s="18" t="str">
        <f>IF(ISNUMBER($L$6)=FALSE,"",
        IF(ISERROR(VLOOKUP($G76,DanaSehat!$L$13:$AK$56,AC$4,FALSE))=TRUE,"",
              VLOOKUP($G76,DanaSehat!$L$13:$AK$56,AC$4,FALSE)))</f>
        <v/>
      </c>
      <c r="AD76" s="18" t="str">
        <f>IF(ISNUMBER($L$6)=FALSE,"",
        IF(ISERROR(VLOOKUP($G76,DanaSehat!$L$13:$AK$56,AD$4,FALSE))=TRUE,"",
              VLOOKUP($G76,DanaSehat!$L$13:$AK$56,AD$4,FALSE)))</f>
        <v/>
      </c>
      <c r="AE76" s="18" t="str">
        <f>IF(ISNUMBER($L$6)=FALSE,"",
        IF(ISERROR(VLOOKUP($G76,DanaSehat!$L$13:$AK$56,AE$4,FALSE))=TRUE,"",
              VLOOKUP($G76,DanaSehat!$L$13:$AK$56,AE$4,FALSE)))</f>
        <v/>
      </c>
      <c r="AF76" s="18" t="str">
        <f>IF(ISNUMBER($L$6)=FALSE,"",
        IF(ISERROR(VLOOKUP($G76,DanaSehat!$L$13:$AK$56,AF$4,FALSE))=TRUE,"",
              VLOOKUP($G76,DanaSehat!$L$13:$AK$56,AF$4,FALSE)))</f>
        <v/>
      </c>
    </row>
    <row r="77" spans="1:32" s="60" customFormat="1" ht="10.5" x14ac:dyDescent="0.25">
      <c r="A77" s="59"/>
      <c r="C77" s="59">
        <f t="shared" si="6"/>
        <v>64</v>
      </c>
      <c r="D77" s="61"/>
      <c r="E77" s="77" t="str">
        <f t="shared" si="4"/>
        <v/>
      </c>
      <c r="F77" s="77" t="str">
        <f>IF(ISNUMBER($L$6)=FALSE,"",
IF($C77=0,"",VLOOKUP($E77,DanaSehat!$H$13:$L$56,4,FALSE)))</f>
        <v/>
      </c>
      <c r="G77" s="77" t="str">
        <f>IF(ISNUMBER($L$6)=FALSE,"",
IF($C77=0,"",VLOOKUP($E77,DanaSehat!$H$13:$L$56,5,FALSE)))</f>
        <v/>
      </c>
      <c r="H77" s="17" t="str">
        <f t="shared" si="5"/>
        <v/>
      </c>
      <c r="I77" s="18" t="str">
        <f>IF(ISNUMBER($L$6)=FALSE,"",
        IF(ISERROR(VLOOKUP($G77,DanaSehat!$L$13:$AK$56,I$4,FALSE))=TRUE,"",
              VLOOKUP($G77,DanaSehat!$L$13:$AK$56,I$4,FALSE)))</f>
        <v/>
      </c>
      <c r="J77" s="18" t="str">
        <f>IF(ISNUMBER($L$6)=FALSE,"",
        IF(ISERROR(VLOOKUP($G77,DanaSehat!$L$13:$AK$56,J$4,FALSE))=TRUE,"",
              VLOOKUP($G77,DanaSehat!$L$13:$AK$56,J$4,FALSE)))</f>
        <v/>
      </c>
      <c r="K77" s="18" t="str">
        <f>IF(ISNUMBER($L$6)=FALSE,"",
        IF(ISERROR(VLOOKUP($G77,DanaSehat!$L$13:$AK$56,K$4,FALSE))=TRUE,"",
              VLOOKUP($G77,DanaSehat!$L$13:$AK$56,K$4,FALSE)))</f>
        <v/>
      </c>
      <c r="L77" s="18" t="str">
        <f>IF(ISNUMBER($L$6)=FALSE,"",
        IF(ISERROR(VLOOKUP($G77,DanaSehat!$L$13:$AK$56,L$4,FALSE))=TRUE,"",
              VLOOKUP($G77,DanaSehat!$L$13:$AK$56,L$4,FALSE)))</f>
        <v/>
      </c>
      <c r="M77" s="18" t="str">
        <f>IF(ISNUMBER($L$6)=FALSE,"",
        IF(ISERROR(VLOOKUP($G77,DanaSehat!$L$13:$AK$56,M$4,FALSE))=TRUE,"",
              VLOOKUP($G77,DanaSehat!$L$13:$AK$56,M$4,FALSE)))</f>
        <v/>
      </c>
      <c r="N77" s="18" t="str">
        <f>IF(ISNUMBER($L$6)=FALSE,"",
        IF(ISERROR(VLOOKUP($G77,DanaSehat!$L$13:$AK$56,N$4,FALSE))=TRUE,"",
              VLOOKUP($G77,DanaSehat!$L$13:$AK$56,N$4,FALSE)))</f>
        <v/>
      </c>
      <c r="O77" s="18" t="str">
        <f>IF(ISNUMBER($L$6)=FALSE,"",
        IF(ISERROR(VLOOKUP($G77,DanaSehat!$L$13:$AK$56,O$4,FALSE))=TRUE,"",
              VLOOKUP($G77,DanaSehat!$L$13:$AK$56,O$4,FALSE)))</f>
        <v/>
      </c>
      <c r="P77" s="18" t="str">
        <f>IF(ISNUMBER($L$6)=FALSE,"",
        IF(ISERROR(VLOOKUP($G77,DanaSehat!$L$13:$AK$56,P$4,FALSE))=TRUE,"",
              VLOOKUP($G77,DanaSehat!$L$13:$AK$56,P$4,FALSE)))</f>
        <v/>
      </c>
      <c r="Q77" s="18" t="str">
        <f>IF(ISNUMBER($L$6)=FALSE,"",
        IF(ISERROR(VLOOKUP($G77,DanaSehat!$L$13:$AK$56,Q$4,FALSE))=TRUE,"",
              VLOOKUP($G77,DanaSehat!$L$13:$AK$56,Q$4,FALSE)))</f>
        <v/>
      </c>
      <c r="R77" s="18" t="str">
        <f>IF(ISNUMBER($L$6)=FALSE,"",
        IF(ISERROR(VLOOKUP($G77,DanaSehat!$L$13:$AK$56,R$4,FALSE))=TRUE,"",
              VLOOKUP($G77,DanaSehat!$L$13:$AK$56,R$4,FALSE)))</f>
        <v/>
      </c>
      <c r="S77" s="18" t="str">
        <f>IF(ISNUMBER($L$6)=FALSE,"",
        IF(ISERROR(VLOOKUP($G77,DanaSehat!$L$13:$AK$56,S$4,FALSE))=TRUE,"",
              VLOOKUP($G77,DanaSehat!$L$13:$AK$56,S$4,FALSE)))</f>
        <v/>
      </c>
      <c r="T77" s="18" t="str">
        <f>IF(ISNUMBER($L$6)=FALSE,"",
        IF(ISERROR(VLOOKUP($G77,DanaSehat!$L$13:$AK$56,T$4,FALSE))=TRUE,"",
              VLOOKUP($G77,DanaSehat!$L$13:$AK$56,T$4,FALSE)))</f>
        <v/>
      </c>
      <c r="U77" s="18" t="str">
        <f>IF(ISNUMBER($L$6)=FALSE,"",
        IF(ISERROR(VLOOKUP($G77,DanaSehat!$L$13:$AK$56,U$4,FALSE))=TRUE,"",
              VLOOKUP($G77,DanaSehat!$L$13:$AK$56,U$4,FALSE)))</f>
        <v/>
      </c>
      <c r="V77" s="18" t="str">
        <f>IF(ISNUMBER($L$6)=FALSE,"",
        IF(ISERROR(VLOOKUP($G77,DanaSehat!$L$13:$AK$56,V$4,FALSE))=TRUE,"",
              VLOOKUP($G77,DanaSehat!$L$13:$AK$56,V$4,FALSE)))</f>
        <v/>
      </c>
      <c r="W77" s="18" t="str">
        <f>IF(ISNUMBER($L$6)=FALSE,"",
        IF(ISERROR(VLOOKUP($G77,DanaSehat!$L$13:$AK$56,W$4,FALSE))=TRUE,"",
              VLOOKUP($G77,DanaSehat!$L$13:$AK$56,W$4,FALSE)))</f>
        <v/>
      </c>
      <c r="X77" s="18" t="str">
        <f>IF(ISNUMBER($L$6)=FALSE,"",
        IF(ISERROR(VLOOKUP($G77,DanaSehat!$L$13:$AK$56,X$4,FALSE))=TRUE,"",
              VLOOKUP($G77,DanaSehat!$L$13:$AK$56,X$4,FALSE)))</f>
        <v/>
      </c>
      <c r="Y77" s="18" t="str">
        <f>IF(ISNUMBER($L$6)=FALSE,"",
        IF(ISERROR(VLOOKUP($G77,DanaSehat!$L$13:$AK$56,Y$4,FALSE))=TRUE,"",
              VLOOKUP($G77,DanaSehat!$L$13:$AK$56,Y$4,FALSE)))</f>
        <v/>
      </c>
      <c r="Z77" s="18" t="str">
        <f>IF(ISNUMBER($L$6)=FALSE,"",
        IF(ISERROR(VLOOKUP($G77,DanaSehat!$L$13:$AK$56,Z$4,FALSE))=TRUE,"",
              VLOOKUP($G77,DanaSehat!$L$13:$AK$56,Z$4,FALSE)))</f>
        <v/>
      </c>
      <c r="AA77" s="18" t="str">
        <f>IF(ISNUMBER($L$6)=FALSE,"",
        IF(ISERROR(VLOOKUP($G77,DanaSehat!$L$13:$AK$56,AA$4,FALSE))=TRUE,"",
              VLOOKUP($G77,DanaSehat!$L$13:$AK$56,AA$4,FALSE)))</f>
        <v/>
      </c>
      <c r="AB77" s="18" t="str">
        <f>IF(ISNUMBER($L$6)=FALSE,"",
        IF(ISERROR(VLOOKUP($G77,DanaSehat!$L$13:$AK$56,AB$4,FALSE))=TRUE,"",
              VLOOKUP($G77,DanaSehat!$L$13:$AK$56,AB$4,FALSE)))</f>
        <v/>
      </c>
      <c r="AC77" s="18" t="str">
        <f>IF(ISNUMBER($L$6)=FALSE,"",
        IF(ISERROR(VLOOKUP($G77,DanaSehat!$L$13:$AK$56,AC$4,FALSE))=TRUE,"",
              VLOOKUP($G77,DanaSehat!$L$13:$AK$56,AC$4,FALSE)))</f>
        <v/>
      </c>
      <c r="AD77" s="18" t="str">
        <f>IF(ISNUMBER($L$6)=FALSE,"",
        IF(ISERROR(VLOOKUP($G77,DanaSehat!$L$13:$AK$56,AD$4,FALSE))=TRUE,"",
              VLOOKUP($G77,DanaSehat!$L$13:$AK$56,AD$4,FALSE)))</f>
        <v/>
      </c>
      <c r="AE77" s="18" t="str">
        <f>IF(ISNUMBER($L$6)=FALSE,"",
        IF(ISERROR(VLOOKUP($G77,DanaSehat!$L$13:$AK$56,AE$4,FALSE))=TRUE,"",
              VLOOKUP($G77,DanaSehat!$L$13:$AK$56,AE$4,FALSE)))</f>
        <v/>
      </c>
      <c r="AF77" s="18" t="str">
        <f>IF(ISNUMBER($L$6)=FALSE,"",
        IF(ISERROR(VLOOKUP($G77,DanaSehat!$L$13:$AK$56,AF$4,FALSE))=TRUE,"",
              VLOOKUP($G77,DanaSehat!$L$13:$AK$56,AF$4,FALSE)))</f>
        <v/>
      </c>
    </row>
    <row r="78" spans="1:32" s="60" customFormat="1" ht="10.5" x14ac:dyDescent="0.25">
      <c r="A78" s="59"/>
      <c r="C78" s="59">
        <f t="shared" si="6"/>
        <v>65</v>
      </c>
      <c r="D78" s="61"/>
      <c r="E78" s="77" t="str">
        <f t="shared" si="4"/>
        <v/>
      </c>
      <c r="F78" s="77" t="str">
        <f>IF(ISNUMBER($L$6)=FALSE,"",
IF($C78=0,"",VLOOKUP($E78,DanaSehat!$H$13:$L$56,4,FALSE)))</f>
        <v/>
      </c>
      <c r="G78" s="77" t="str">
        <f>IF(ISNUMBER($L$6)=FALSE,"",
IF($C78=0,"",VLOOKUP($E78,DanaSehat!$H$13:$L$56,5,FALSE)))</f>
        <v/>
      </c>
      <c r="H78" s="17" t="str">
        <f t="shared" si="5"/>
        <v/>
      </c>
      <c r="I78" s="18" t="str">
        <f>IF(ISNUMBER($L$6)=FALSE,"",
        IF(ISERROR(VLOOKUP($G78,DanaSehat!$L$13:$AK$56,I$4,FALSE))=TRUE,"",
              VLOOKUP($G78,DanaSehat!$L$13:$AK$56,I$4,FALSE)))</f>
        <v/>
      </c>
      <c r="J78" s="18" t="str">
        <f>IF(ISNUMBER($L$6)=FALSE,"",
        IF(ISERROR(VLOOKUP($G78,DanaSehat!$L$13:$AK$56,J$4,FALSE))=TRUE,"",
              VLOOKUP($G78,DanaSehat!$L$13:$AK$56,J$4,FALSE)))</f>
        <v/>
      </c>
      <c r="K78" s="18" t="str">
        <f>IF(ISNUMBER($L$6)=FALSE,"",
        IF(ISERROR(VLOOKUP($G78,DanaSehat!$L$13:$AK$56,K$4,FALSE))=TRUE,"",
              VLOOKUP($G78,DanaSehat!$L$13:$AK$56,K$4,FALSE)))</f>
        <v/>
      </c>
      <c r="L78" s="18" t="str">
        <f>IF(ISNUMBER($L$6)=FALSE,"",
        IF(ISERROR(VLOOKUP($G78,DanaSehat!$L$13:$AK$56,L$4,FALSE))=TRUE,"",
              VLOOKUP($G78,DanaSehat!$L$13:$AK$56,L$4,FALSE)))</f>
        <v/>
      </c>
      <c r="M78" s="18" t="str">
        <f>IF(ISNUMBER($L$6)=FALSE,"",
        IF(ISERROR(VLOOKUP($G78,DanaSehat!$L$13:$AK$56,M$4,FALSE))=TRUE,"",
              VLOOKUP($G78,DanaSehat!$L$13:$AK$56,M$4,FALSE)))</f>
        <v/>
      </c>
      <c r="N78" s="18" t="str">
        <f>IF(ISNUMBER($L$6)=FALSE,"",
        IF(ISERROR(VLOOKUP($G78,DanaSehat!$L$13:$AK$56,N$4,FALSE))=TRUE,"",
              VLOOKUP($G78,DanaSehat!$L$13:$AK$56,N$4,FALSE)))</f>
        <v/>
      </c>
      <c r="O78" s="18" t="str">
        <f>IF(ISNUMBER($L$6)=FALSE,"",
        IF(ISERROR(VLOOKUP($G78,DanaSehat!$L$13:$AK$56,O$4,FALSE))=TRUE,"",
              VLOOKUP($G78,DanaSehat!$L$13:$AK$56,O$4,FALSE)))</f>
        <v/>
      </c>
      <c r="P78" s="18" t="str">
        <f>IF(ISNUMBER($L$6)=FALSE,"",
        IF(ISERROR(VLOOKUP($G78,DanaSehat!$L$13:$AK$56,P$4,FALSE))=TRUE,"",
              VLOOKUP($G78,DanaSehat!$L$13:$AK$56,P$4,FALSE)))</f>
        <v/>
      </c>
      <c r="Q78" s="18" t="str">
        <f>IF(ISNUMBER($L$6)=FALSE,"",
        IF(ISERROR(VLOOKUP($G78,DanaSehat!$L$13:$AK$56,Q$4,FALSE))=TRUE,"",
              VLOOKUP($G78,DanaSehat!$L$13:$AK$56,Q$4,FALSE)))</f>
        <v/>
      </c>
      <c r="R78" s="18" t="str">
        <f>IF(ISNUMBER($L$6)=FALSE,"",
        IF(ISERROR(VLOOKUP($G78,DanaSehat!$L$13:$AK$56,R$4,FALSE))=TRUE,"",
              VLOOKUP($G78,DanaSehat!$L$13:$AK$56,R$4,FALSE)))</f>
        <v/>
      </c>
      <c r="S78" s="18" t="str">
        <f>IF(ISNUMBER($L$6)=FALSE,"",
        IF(ISERROR(VLOOKUP($G78,DanaSehat!$L$13:$AK$56,S$4,FALSE))=TRUE,"",
              VLOOKUP($G78,DanaSehat!$L$13:$AK$56,S$4,FALSE)))</f>
        <v/>
      </c>
      <c r="T78" s="18" t="str">
        <f>IF(ISNUMBER($L$6)=FALSE,"",
        IF(ISERROR(VLOOKUP($G78,DanaSehat!$L$13:$AK$56,T$4,FALSE))=TRUE,"",
              VLOOKUP($G78,DanaSehat!$L$13:$AK$56,T$4,FALSE)))</f>
        <v/>
      </c>
      <c r="U78" s="18" t="str">
        <f>IF(ISNUMBER($L$6)=FALSE,"",
        IF(ISERROR(VLOOKUP($G78,DanaSehat!$L$13:$AK$56,U$4,FALSE))=TRUE,"",
              VLOOKUP($G78,DanaSehat!$L$13:$AK$56,U$4,FALSE)))</f>
        <v/>
      </c>
      <c r="V78" s="18" t="str">
        <f>IF(ISNUMBER($L$6)=FALSE,"",
        IF(ISERROR(VLOOKUP($G78,DanaSehat!$L$13:$AK$56,V$4,FALSE))=TRUE,"",
              VLOOKUP($G78,DanaSehat!$L$13:$AK$56,V$4,FALSE)))</f>
        <v/>
      </c>
      <c r="W78" s="18" t="str">
        <f>IF(ISNUMBER($L$6)=FALSE,"",
        IF(ISERROR(VLOOKUP($G78,DanaSehat!$L$13:$AK$56,W$4,FALSE))=TRUE,"",
              VLOOKUP($G78,DanaSehat!$L$13:$AK$56,W$4,FALSE)))</f>
        <v/>
      </c>
      <c r="X78" s="18" t="str">
        <f>IF(ISNUMBER($L$6)=FALSE,"",
        IF(ISERROR(VLOOKUP($G78,DanaSehat!$L$13:$AK$56,X$4,FALSE))=TRUE,"",
              VLOOKUP($G78,DanaSehat!$L$13:$AK$56,X$4,FALSE)))</f>
        <v/>
      </c>
      <c r="Y78" s="18" t="str">
        <f>IF(ISNUMBER($L$6)=FALSE,"",
        IF(ISERROR(VLOOKUP($G78,DanaSehat!$L$13:$AK$56,Y$4,FALSE))=TRUE,"",
              VLOOKUP($G78,DanaSehat!$L$13:$AK$56,Y$4,FALSE)))</f>
        <v/>
      </c>
      <c r="Z78" s="18" t="str">
        <f>IF(ISNUMBER($L$6)=FALSE,"",
        IF(ISERROR(VLOOKUP($G78,DanaSehat!$L$13:$AK$56,Z$4,FALSE))=TRUE,"",
              VLOOKUP($G78,DanaSehat!$L$13:$AK$56,Z$4,FALSE)))</f>
        <v/>
      </c>
      <c r="AA78" s="18" t="str">
        <f>IF(ISNUMBER($L$6)=FALSE,"",
        IF(ISERROR(VLOOKUP($G78,DanaSehat!$L$13:$AK$56,AA$4,FALSE))=TRUE,"",
              VLOOKUP($G78,DanaSehat!$L$13:$AK$56,AA$4,FALSE)))</f>
        <v/>
      </c>
      <c r="AB78" s="18" t="str">
        <f>IF(ISNUMBER($L$6)=FALSE,"",
        IF(ISERROR(VLOOKUP($G78,DanaSehat!$L$13:$AK$56,AB$4,FALSE))=TRUE,"",
              VLOOKUP($G78,DanaSehat!$L$13:$AK$56,AB$4,FALSE)))</f>
        <v/>
      </c>
      <c r="AC78" s="18" t="str">
        <f>IF(ISNUMBER($L$6)=FALSE,"",
        IF(ISERROR(VLOOKUP($G78,DanaSehat!$L$13:$AK$56,AC$4,FALSE))=TRUE,"",
              VLOOKUP($G78,DanaSehat!$L$13:$AK$56,AC$4,FALSE)))</f>
        <v/>
      </c>
      <c r="AD78" s="18" t="str">
        <f>IF(ISNUMBER($L$6)=FALSE,"",
        IF(ISERROR(VLOOKUP($G78,DanaSehat!$L$13:$AK$56,AD$4,FALSE))=TRUE,"",
              VLOOKUP($G78,DanaSehat!$L$13:$AK$56,AD$4,FALSE)))</f>
        <v/>
      </c>
      <c r="AE78" s="18" t="str">
        <f>IF(ISNUMBER($L$6)=FALSE,"",
        IF(ISERROR(VLOOKUP($G78,DanaSehat!$L$13:$AK$56,AE$4,FALSE))=TRUE,"",
              VLOOKUP($G78,DanaSehat!$L$13:$AK$56,AE$4,FALSE)))</f>
        <v/>
      </c>
      <c r="AF78" s="18" t="str">
        <f>IF(ISNUMBER($L$6)=FALSE,"",
        IF(ISERROR(VLOOKUP($G78,DanaSehat!$L$13:$AK$56,AF$4,FALSE))=TRUE,"",
              VLOOKUP($G78,DanaSehat!$L$13:$AK$56,AF$4,FALSE)))</f>
        <v/>
      </c>
    </row>
    <row r="79" spans="1:32" s="60" customFormat="1" ht="10.5" x14ac:dyDescent="0.25">
      <c r="A79" s="59"/>
      <c r="C79" s="59">
        <f t="shared" ref="C79:C113" si="7">IF($C78=$C$4,0,
       IF($C78=0,0,$C78+1))</f>
        <v>66</v>
      </c>
      <c r="D79" s="61"/>
      <c r="E79" s="77" t="str">
        <f t="shared" ref="E79:E113" si="8">IF(ISNUMBER($L$6)=FALSE,"",
IF($C79=0,"",$C79))</f>
        <v/>
      </c>
      <c r="F79" s="77" t="str">
        <f>IF(ISNUMBER($L$6)=FALSE,"",
IF($C79=0,"",VLOOKUP($E79,DanaSehat!$H$13:$L$56,4,FALSE)))</f>
        <v/>
      </c>
      <c r="G79" s="77" t="str">
        <f>IF(ISNUMBER($L$6)=FALSE,"",
IF($C79=0,"",VLOOKUP($E79,DanaSehat!$H$13:$L$56,5,FALSE)))</f>
        <v/>
      </c>
      <c r="H79" s="17" t="str">
        <f t="shared" ref="H79:H113" si="9">IF(ISNUMBER($L$6)=FALSE,"",
IF($C79=0,"",SUM(I79:AF79)))</f>
        <v/>
      </c>
      <c r="I79" s="18" t="str">
        <f>IF(ISNUMBER($L$6)=FALSE,"",
        IF(ISERROR(VLOOKUP($G79,DanaSehat!$L$13:$AK$56,I$4,FALSE))=TRUE,"",
              VLOOKUP($G79,DanaSehat!$L$13:$AK$56,I$4,FALSE)))</f>
        <v/>
      </c>
      <c r="J79" s="18" t="str">
        <f>IF(ISNUMBER($L$6)=FALSE,"",
        IF(ISERROR(VLOOKUP($G79,DanaSehat!$L$13:$AK$56,J$4,FALSE))=TRUE,"",
              VLOOKUP($G79,DanaSehat!$L$13:$AK$56,J$4,FALSE)))</f>
        <v/>
      </c>
      <c r="K79" s="18" t="str">
        <f>IF(ISNUMBER($L$6)=FALSE,"",
        IF(ISERROR(VLOOKUP($G79,DanaSehat!$L$13:$AK$56,K$4,FALSE))=TRUE,"",
              VLOOKUP($G79,DanaSehat!$L$13:$AK$56,K$4,FALSE)))</f>
        <v/>
      </c>
      <c r="L79" s="18" t="str">
        <f>IF(ISNUMBER($L$6)=FALSE,"",
        IF(ISERROR(VLOOKUP($G79,DanaSehat!$L$13:$AK$56,L$4,FALSE))=TRUE,"",
              VLOOKUP($G79,DanaSehat!$L$13:$AK$56,L$4,FALSE)))</f>
        <v/>
      </c>
      <c r="M79" s="18" t="str">
        <f>IF(ISNUMBER($L$6)=FALSE,"",
        IF(ISERROR(VLOOKUP($G79,DanaSehat!$L$13:$AK$56,M$4,FALSE))=TRUE,"",
              VLOOKUP($G79,DanaSehat!$L$13:$AK$56,M$4,FALSE)))</f>
        <v/>
      </c>
      <c r="N79" s="18" t="str">
        <f>IF(ISNUMBER($L$6)=FALSE,"",
        IF(ISERROR(VLOOKUP($G79,DanaSehat!$L$13:$AK$56,N$4,FALSE))=TRUE,"",
              VLOOKUP($G79,DanaSehat!$L$13:$AK$56,N$4,FALSE)))</f>
        <v/>
      </c>
      <c r="O79" s="18" t="str">
        <f>IF(ISNUMBER($L$6)=FALSE,"",
        IF(ISERROR(VLOOKUP($G79,DanaSehat!$L$13:$AK$56,O$4,FALSE))=TRUE,"",
              VLOOKUP($G79,DanaSehat!$L$13:$AK$56,O$4,FALSE)))</f>
        <v/>
      </c>
      <c r="P79" s="18" t="str">
        <f>IF(ISNUMBER($L$6)=FALSE,"",
        IF(ISERROR(VLOOKUP($G79,DanaSehat!$L$13:$AK$56,P$4,FALSE))=TRUE,"",
              VLOOKUP($G79,DanaSehat!$L$13:$AK$56,P$4,FALSE)))</f>
        <v/>
      </c>
      <c r="Q79" s="18" t="str">
        <f>IF(ISNUMBER($L$6)=FALSE,"",
        IF(ISERROR(VLOOKUP($G79,DanaSehat!$L$13:$AK$56,Q$4,FALSE))=TRUE,"",
              VLOOKUP($G79,DanaSehat!$L$13:$AK$56,Q$4,FALSE)))</f>
        <v/>
      </c>
      <c r="R79" s="18" t="str">
        <f>IF(ISNUMBER($L$6)=FALSE,"",
        IF(ISERROR(VLOOKUP($G79,DanaSehat!$L$13:$AK$56,R$4,FALSE))=TRUE,"",
              VLOOKUP($G79,DanaSehat!$L$13:$AK$56,R$4,FALSE)))</f>
        <v/>
      </c>
      <c r="S79" s="18" t="str">
        <f>IF(ISNUMBER($L$6)=FALSE,"",
        IF(ISERROR(VLOOKUP($G79,DanaSehat!$L$13:$AK$56,S$4,FALSE))=TRUE,"",
              VLOOKUP($G79,DanaSehat!$L$13:$AK$56,S$4,FALSE)))</f>
        <v/>
      </c>
      <c r="T79" s="18" t="str">
        <f>IF(ISNUMBER($L$6)=FALSE,"",
        IF(ISERROR(VLOOKUP($G79,DanaSehat!$L$13:$AK$56,T$4,FALSE))=TRUE,"",
              VLOOKUP($G79,DanaSehat!$L$13:$AK$56,T$4,FALSE)))</f>
        <v/>
      </c>
      <c r="U79" s="18" t="str">
        <f>IF(ISNUMBER($L$6)=FALSE,"",
        IF(ISERROR(VLOOKUP($G79,DanaSehat!$L$13:$AK$56,U$4,FALSE))=TRUE,"",
              VLOOKUP($G79,DanaSehat!$L$13:$AK$56,U$4,FALSE)))</f>
        <v/>
      </c>
      <c r="V79" s="18" t="str">
        <f>IF(ISNUMBER($L$6)=FALSE,"",
        IF(ISERROR(VLOOKUP($G79,DanaSehat!$L$13:$AK$56,V$4,FALSE))=TRUE,"",
              VLOOKUP($G79,DanaSehat!$L$13:$AK$56,V$4,FALSE)))</f>
        <v/>
      </c>
      <c r="W79" s="18" t="str">
        <f>IF(ISNUMBER($L$6)=FALSE,"",
        IF(ISERROR(VLOOKUP($G79,DanaSehat!$L$13:$AK$56,W$4,FALSE))=TRUE,"",
              VLOOKUP($G79,DanaSehat!$L$13:$AK$56,W$4,FALSE)))</f>
        <v/>
      </c>
      <c r="X79" s="18" t="str">
        <f>IF(ISNUMBER($L$6)=FALSE,"",
        IF(ISERROR(VLOOKUP($G79,DanaSehat!$L$13:$AK$56,X$4,FALSE))=TRUE,"",
              VLOOKUP($G79,DanaSehat!$L$13:$AK$56,X$4,FALSE)))</f>
        <v/>
      </c>
      <c r="Y79" s="18" t="str">
        <f>IF(ISNUMBER($L$6)=FALSE,"",
        IF(ISERROR(VLOOKUP($G79,DanaSehat!$L$13:$AK$56,Y$4,FALSE))=TRUE,"",
              VLOOKUP($G79,DanaSehat!$L$13:$AK$56,Y$4,FALSE)))</f>
        <v/>
      </c>
      <c r="Z79" s="18" t="str">
        <f>IF(ISNUMBER($L$6)=FALSE,"",
        IF(ISERROR(VLOOKUP($G79,DanaSehat!$L$13:$AK$56,Z$4,FALSE))=TRUE,"",
              VLOOKUP($G79,DanaSehat!$L$13:$AK$56,Z$4,FALSE)))</f>
        <v/>
      </c>
      <c r="AA79" s="18" t="str">
        <f>IF(ISNUMBER($L$6)=FALSE,"",
        IF(ISERROR(VLOOKUP($G79,DanaSehat!$L$13:$AK$56,AA$4,FALSE))=TRUE,"",
              VLOOKUP($G79,DanaSehat!$L$13:$AK$56,AA$4,FALSE)))</f>
        <v/>
      </c>
      <c r="AB79" s="18" t="str">
        <f>IF(ISNUMBER($L$6)=FALSE,"",
        IF(ISERROR(VLOOKUP($G79,DanaSehat!$L$13:$AK$56,AB$4,FALSE))=TRUE,"",
              VLOOKUP($G79,DanaSehat!$L$13:$AK$56,AB$4,FALSE)))</f>
        <v/>
      </c>
      <c r="AC79" s="18" t="str">
        <f>IF(ISNUMBER($L$6)=FALSE,"",
        IF(ISERROR(VLOOKUP($G79,DanaSehat!$L$13:$AK$56,AC$4,FALSE))=TRUE,"",
              VLOOKUP($G79,DanaSehat!$L$13:$AK$56,AC$4,FALSE)))</f>
        <v/>
      </c>
      <c r="AD79" s="18" t="str">
        <f>IF(ISNUMBER($L$6)=FALSE,"",
        IF(ISERROR(VLOOKUP($G79,DanaSehat!$L$13:$AK$56,AD$4,FALSE))=TRUE,"",
              VLOOKUP($G79,DanaSehat!$L$13:$AK$56,AD$4,FALSE)))</f>
        <v/>
      </c>
      <c r="AE79" s="18" t="str">
        <f>IF(ISNUMBER($L$6)=FALSE,"",
        IF(ISERROR(VLOOKUP($G79,DanaSehat!$L$13:$AK$56,AE$4,FALSE))=TRUE,"",
              VLOOKUP($G79,DanaSehat!$L$13:$AK$56,AE$4,FALSE)))</f>
        <v/>
      </c>
      <c r="AF79" s="18" t="str">
        <f>IF(ISNUMBER($L$6)=FALSE,"",
        IF(ISERROR(VLOOKUP($G79,DanaSehat!$L$13:$AK$56,AF$4,FALSE))=TRUE,"",
              VLOOKUP($G79,DanaSehat!$L$13:$AK$56,AF$4,FALSE)))</f>
        <v/>
      </c>
    </row>
    <row r="80" spans="1:32" s="60" customFormat="1" ht="10.5" x14ac:dyDescent="0.25">
      <c r="A80" s="59"/>
      <c r="C80" s="59">
        <f t="shared" si="7"/>
        <v>67</v>
      </c>
      <c r="D80" s="61"/>
      <c r="E80" s="77" t="str">
        <f t="shared" si="8"/>
        <v/>
      </c>
      <c r="F80" s="77" t="str">
        <f>IF(ISNUMBER($L$6)=FALSE,"",
IF($C80=0,"",VLOOKUP($E80,DanaSehat!$H$13:$L$56,4,FALSE)))</f>
        <v/>
      </c>
      <c r="G80" s="77" t="str">
        <f>IF(ISNUMBER($L$6)=FALSE,"",
IF($C80=0,"",VLOOKUP($E80,DanaSehat!$H$13:$L$56,5,FALSE)))</f>
        <v/>
      </c>
      <c r="H80" s="17" t="str">
        <f t="shared" si="9"/>
        <v/>
      </c>
      <c r="I80" s="18" t="str">
        <f>IF(ISNUMBER($L$6)=FALSE,"",
        IF(ISERROR(VLOOKUP($G80,DanaSehat!$L$13:$AK$56,I$4,FALSE))=TRUE,"",
              VLOOKUP($G80,DanaSehat!$L$13:$AK$56,I$4,FALSE)))</f>
        <v/>
      </c>
      <c r="J80" s="18" t="str">
        <f>IF(ISNUMBER($L$6)=FALSE,"",
        IF(ISERROR(VLOOKUP($G80,DanaSehat!$L$13:$AK$56,J$4,FALSE))=TRUE,"",
              VLOOKUP($G80,DanaSehat!$L$13:$AK$56,J$4,FALSE)))</f>
        <v/>
      </c>
      <c r="K80" s="18" t="str">
        <f>IF(ISNUMBER($L$6)=FALSE,"",
        IF(ISERROR(VLOOKUP($G80,DanaSehat!$L$13:$AK$56,K$4,FALSE))=TRUE,"",
              VLOOKUP($G80,DanaSehat!$L$13:$AK$56,K$4,FALSE)))</f>
        <v/>
      </c>
      <c r="L80" s="18" t="str">
        <f>IF(ISNUMBER($L$6)=FALSE,"",
        IF(ISERROR(VLOOKUP($G80,DanaSehat!$L$13:$AK$56,L$4,FALSE))=TRUE,"",
              VLOOKUP($G80,DanaSehat!$L$13:$AK$56,L$4,FALSE)))</f>
        <v/>
      </c>
      <c r="M80" s="18" t="str">
        <f>IF(ISNUMBER($L$6)=FALSE,"",
        IF(ISERROR(VLOOKUP($G80,DanaSehat!$L$13:$AK$56,M$4,FALSE))=TRUE,"",
              VLOOKUP($G80,DanaSehat!$L$13:$AK$56,M$4,FALSE)))</f>
        <v/>
      </c>
      <c r="N80" s="18" t="str">
        <f>IF(ISNUMBER($L$6)=FALSE,"",
        IF(ISERROR(VLOOKUP($G80,DanaSehat!$L$13:$AK$56,N$4,FALSE))=TRUE,"",
              VLOOKUP($G80,DanaSehat!$L$13:$AK$56,N$4,FALSE)))</f>
        <v/>
      </c>
      <c r="O80" s="18" t="str">
        <f>IF(ISNUMBER($L$6)=FALSE,"",
        IF(ISERROR(VLOOKUP($G80,DanaSehat!$L$13:$AK$56,O$4,FALSE))=TRUE,"",
              VLOOKUP($G80,DanaSehat!$L$13:$AK$56,O$4,FALSE)))</f>
        <v/>
      </c>
      <c r="P80" s="18" t="str">
        <f>IF(ISNUMBER($L$6)=FALSE,"",
        IF(ISERROR(VLOOKUP($G80,DanaSehat!$L$13:$AK$56,P$4,FALSE))=TRUE,"",
              VLOOKUP($G80,DanaSehat!$L$13:$AK$56,P$4,FALSE)))</f>
        <v/>
      </c>
      <c r="Q80" s="18" t="str">
        <f>IF(ISNUMBER($L$6)=FALSE,"",
        IF(ISERROR(VLOOKUP($G80,DanaSehat!$L$13:$AK$56,Q$4,FALSE))=TRUE,"",
              VLOOKUP($G80,DanaSehat!$L$13:$AK$56,Q$4,FALSE)))</f>
        <v/>
      </c>
      <c r="R80" s="18" t="str">
        <f>IF(ISNUMBER($L$6)=FALSE,"",
        IF(ISERROR(VLOOKUP($G80,DanaSehat!$L$13:$AK$56,R$4,FALSE))=TRUE,"",
              VLOOKUP($G80,DanaSehat!$L$13:$AK$56,R$4,FALSE)))</f>
        <v/>
      </c>
      <c r="S80" s="18" t="str">
        <f>IF(ISNUMBER($L$6)=FALSE,"",
        IF(ISERROR(VLOOKUP($G80,DanaSehat!$L$13:$AK$56,S$4,FALSE))=TRUE,"",
              VLOOKUP($G80,DanaSehat!$L$13:$AK$56,S$4,FALSE)))</f>
        <v/>
      </c>
      <c r="T80" s="18" t="str">
        <f>IF(ISNUMBER($L$6)=FALSE,"",
        IF(ISERROR(VLOOKUP($G80,DanaSehat!$L$13:$AK$56,T$4,FALSE))=TRUE,"",
              VLOOKUP($G80,DanaSehat!$L$13:$AK$56,T$4,FALSE)))</f>
        <v/>
      </c>
      <c r="U80" s="18" t="str">
        <f>IF(ISNUMBER($L$6)=FALSE,"",
        IF(ISERROR(VLOOKUP($G80,DanaSehat!$L$13:$AK$56,U$4,FALSE))=TRUE,"",
              VLOOKUP($G80,DanaSehat!$L$13:$AK$56,U$4,FALSE)))</f>
        <v/>
      </c>
      <c r="V80" s="18" t="str">
        <f>IF(ISNUMBER($L$6)=FALSE,"",
        IF(ISERROR(VLOOKUP($G80,DanaSehat!$L$13:$AK$56,V$4,FALSE))=TRUE,"",
              VLOOKUP($G80,DanaSehat!$L$13:$AK$56,V$4,FALSE)))</f>
        <v/>
      </c>
      <c r="W80" s="18" t="str">
        <f>IF(ISNUMBER($L$6)=FALSE,"",
        IF(ISERROR(VLOOKUP($G80,DanaSehat!$L$13:$AK$56,W$4,FALSE))=TRUE,"",
              VLOOKUP($G80,DanaSehat!$L$13:$AK$56,W$4,FALSE)))</f>
        <v/>
      </c>
      <c r="X80" s="18" t="str">
        <f>IF(ISNUMBER($L$6)=FALSE,"",
        IF(ISERROR(VLOOKUP($G80,DanaSehat!$L$13:$AK$56,X$4,FALSE))=TRUE,"",
              VLOOKUP($G80,DanaSehat!$L$13:$AK$56,X$4,FALSE)))</f>
        <v/>
      </c>
      <c r="Y80" s="18" t="str">
        <f>IF(ISNUMBER($L$6)=FALSE,"",
        IF(ISERROR(VLOOKUP($G80,DanaSehat!$L$13:$AK$56,Y$4,FALSE))=TRUE,"",
              VLOOKUP($G80,DanaSehat!$L$13:$AK$56,Y$4,FALSE)))</f>
        <v/>
      </c>
      <c r="Z80" s="18" t="str">
        <f>IF(ISNUMBER($L$6)=FALSE,"",
        IF(ISERROR(VLOOKUP($G80,DanaSehat!$L$13:$AK$56,Z$4,FALSE))=TRUE,"",
              VLOOKUP($G80,DanaSehat!$L$13:$AK$56,Z$4,FALSE)))</f>
        <v/>
      </c>
      <c r="AA80" s="18" t="str">
        <f>IF(ISNUMBER($L$6)=FALSE,"",
        IF(ISERROR(VLOOKUP($G80,DanaSehat!$L$13:$AK$56,AA$4,FALSE))=TRUE,"",
              VLOOKUP($G80,DanaSehat!$L$13:$AK$56,AA$4,FALSE)))</f>
        <v/>
      </c>
      <c r="AB80" s="18" t="str">
        <f>IF(ISNUMBER($L$6)=FALSE,"",
        IF(ISERROR(VLOOKUP($G80,DanaSehat!$L$13:$AK$56,AB$4,FALSE))=TRUE,"",
              VLOOKUP($G80,DanaSehat!$L$13:$AK$56,AB$4,FALSE)))</f>
        <v/>
      </c>
      <c r="AC80" s="18" t="str">
        <f>IF(ISNUMBER($L$6)=FALSE,"",
        IF(ISERROR(VLOOKUP($G80,DanaSehat!$L$13:$AK$56,AC$4,FALSE))=TRUE,"",
              VLOOKUP($G80,DanaSehat!$L$13:$AK$56,AC$4,FALSE)))</f>
        <v/>
      </c>
      <c r="AD80" s="18" t="str">
        <f>IF(ISNUMBER($L$6)=FALSE,"",
        IF(ISERROR(VLOOKUP($G80,DanaSehat!$L$13:$AK$56,AD$4,FALSE))=TRUE,"",
              VLOOKUP($G80,DanaSehat!$L$13:$AK$56,AD$4,FALSE)))</f>
        <v/>
      </c>
      <c r="AE80" s="18" t="str">
        <f>IF(ISNUMBER($L$6)=FALSE,"",
        IF(ISERROR(VLOOKUP($G80,DanaSehat!$L$13:$AK$56,AE$4,FALSE))=TRUE,"",
              VLOOKUP($G80,DanaSehat!$L$13:$AK$56,AE$4,FALSE)))</f>
        <v/>
      </c>
      <c r="AF80" s="18" t="str">
        <f>IF(ISNUMBER($L$6)=FALSE,"",
        IF(ISERROR(VLOOKUP($G80,DanaSehat!$L$13:$AK$56,AF$4,FALSE))=TRUE,"",
              VLOOKUP($G80,DanaSehat!$L$13:$AK$56,AF$4,FALSE)))</f>
        <v/>
      </c>
    </row>
    <row r="81" spans="1:32" s="60" customFormat="1" ht="10.5" x14ac:dyDescent="0.25">
      <c r="A81" s="59"/>
      <c r="C81" s="59">
        <f t="shared" si="7"/>
        <v>68</v>
      </c>
      <c r="D81" s="61"/>
      <c r="E81" s="77" t="str">
        <f t="shared" si="8"/>
        <v/>
      </c>
      <c r="F81" s="77" t="str">
        <f>IF(ISNUMBER($L$6)=FALSE,"",
IF($C81=0,"",VLOOKUP($E81,DanaSehat!$H$13:$L$56,4,FALSE)))</f>
        <v/>
      </c>
      <c r="G81" s="77" t="str">
        <f>IF(ISNUMBER($L$6)=FALSE,"",
IF($C81=0,"",VLOOKUP($E81,DanaSehat!$H$13:$L$56,5,FALSE)))</f>
        <v/>
      </c>
      <c r="H81" s="17" t="str">
        <f t="shared" si="9"/>
        <v/>
      </c>
      <c r="I81" s="18" t="str">
        <f>IF(ISNUMBER($L$6)=FALSE,"",
        IF(ISERROR(VLOOKUP($G81,DanaSehat!$L$13:$AK$56,I$4,FALSE))=TRUE,"",
              VLOOKUP($G81,DanaSehat!$L$13:$AK$56,I$4,FALSE)))</f>
        <v/>
      </c>
      <c r="J81" s="18" t="str">
        <f>IF(ISNUMBER($L$6)=FALSE,"",
        IF(ISERROR(VLOOKUP($G81,DanaSehat!$L$13:$AK$56,J$4,FALSE))=TRUE,"",
              VLOOKUP($G81,DanaSehat!$L$13:$AK$56,J$4,FALSE)))</f>
        <v/>
      </c>
      <c r="K81" s="18" t="str">
        <f>IF(ISNUMBER($L$6)=FALSE,"",
        IF(ISERROR(VLOOKUP($G81,DanaSehat!$L$13:$AK$56,K$4,FALSE))=TRUE,"",
              VLOOKUP($G81,DanaSehat!$L$13:$AK$56,K$4,FALSE)))</f>
        <v/>
      </c>
      <c r="L81" s="18" t="str">
        <f>IF(ISNUMBER($L$6)=FALSE,"",
        IF(ISERROR(VLOOKUP($G81,DanaSehat!$L$13:$AK$56,L$4,FALSE))=TRUE,"",
              VLOOKUP($G81,DanaSehat!$L$13:$AK$56,L$4,FALSE)))</f>
        <v/>
      </c>
      <c r="M81" s="18" t="str">
        <f>IF(ISNUMBER($L$6)=FALSE,"",
        IF(ISERROR(VLOOKUP($G81,DanaSehat!$L$13:$AK$56,M$4,FALSE))=TRUE,"",
              VLOOKUP($G81,DanaSehat!$L$13:$AK$56,M$4,FALSE)))</f>
        <v/>
      </c>
      <c r="N81" s="18" t="str">
        <f>IF(ISNUMBER($L$6)=FALSE,"",
        IF(ISERROR(VLOOKUP($G81,DanaSehat!$L$13:$AK$56,N$4,FALSE))=TRUE,"",
              VLOOKUP($G81,DanaSehat!$L$13:$AK$56,N$4,FALSE)))</f>
        <v/>
      </c>
      <c r="O81" s="18" t="str">
        <f>IF(ISNUMBER($L$6)=FALSE,"",
        IF(ISERROR(VLOOKUP($G81,DanaSehat!$L$13:$AK$56,O$4,FALSE))=TRUE,"",
              VLOOKUP($G81,DanaSehat!$L$13:$AK$56,O$4,FALSE)))</f>
        <v/>
      </c>
      <c r="P81" s="18" t="str">
        <f>IF(ISNUMBER($L$6)=FALSE,"",
        IF(ISERROR(VLOOKUP($G81,DanaSehat!$L$13:$AK$56,P$4,FALSE))=TRUE,"",
              VLOOKUP($G81,DanaSehat!$L$13:$AK$56,P$4,FALSE)))</f>
        <v/>
      </c>
      <c r="Q81" s="18" t="str">
        <f>IF(ISNUMBER($L$6)=FALSE,"",
        IF(ISERROR(VLOOKUP($G81,DanaSehat!$L$13:$AK$56,Q$4,FALSE))=TRUE,"",
              VLOOKUP($G81,DanaSehat!$L$13:$AK$56,Q$4,FALSE)))</f>
        <v/>
      </c>
      <c r="R81" s="18" t="str">
        <f>IF(ISNUMBER($L$6)=FALSE,"",
        IF(ISERROR(VLOOKUP($G81,DanaSehat!$L$13:$AK$56,R$4,FALSE))=TRUE,"",
              VLOOKUP($G81,DanaSehat!$L$13:$AK$56,R$4,FALSE)))</f>
        <v/>
      </c>
      <c r="S81" s="18" t="str">
        <f>IF(ISNUMBER($L$6)=FALSE,"",
        IF(ISERROR(VLOOKUP($G81,DanaSehat!$L$13:$AK$56,S$4,FALSE))=TRUE,"",
              VLOOKUP($G81,DanaSehat!$L$13:$AK$56,S$4,FALSE)))</f>
        <v/>
      </c>
      <c r="T81" s="18" t="str">
        <f>IF(ISNUMBER($L$6)=FALSE,"",
        IF(ISERROR(VLOOKUP($G81,DanaSehat!$L$13:$AK$56,T$4,FALSE))=TRUE,"",
              VLOOKUP($G81,DanaSehat!$L$13:$AK$56,T$4,FALSE)))</f>
        <v/>
      </c>
      <c r="U81" s="18" t="str">
        <f>IF(ISNUMBER($L$6)=FALSE,"",
        IF(ISERROR(VLOOKUP($G81,DanaSehat!$L$13:$AK$56,U$4,FALSE))=TRUE,"",
              VLOOKUP($G81,DanaSehat!$L$13:$AK$56,U$4,FALSE)))</f>
        <v/>
      </c>
      <c r="V81" s="18" t="str">
        <f>IF(ISNUMBER($L$6)=FALSE,"",
        IF(ISERROR(VLOOKUP($G81,DanaSehat!$L$13:$AK$56,V$4,FALSE))=TRUE,"",
              VLOOKUP($G81,DanaSehat!$L$13:$AK$56,V$4,FALSE)))</f>
        <v/>
      </c>
      <c r="W81" s="18" t="str">
        <f>IF(ISNUMBER($L$6)=FALSE,"",
        IF(ISERROR(VLOOKUP($G81,DanaSehat!$L$13:$AK$56,W$4,FALSE))=TRUE,"",
              VLOOKUP($G81,DanaSehat!$L$13:$AK$56,W$4,FALSE)))</f>
        <v/>
      </c>
      <c r="X81" s="18" t="str">
        <f>IF(ISNUMBER($L$6)=FALSE,"",
        IF(ISERROR(VLOOKUP($G81,DanaSehat!$L$13:$AK$56,X$4,FALSE))=TRUE,"",
              VLOOKUP($G81,DanaSehat!$L$13:$AK$56,X$4,FALSE)))</f>
        <v/>
      </c>
      <c r="Y81" s="18" t="str">
        <f>IF(ISNUMBER($L$6)=FALSE,"",
        IF(ISERROR(VLOOKUP($G81,DanaSehat!$L$13:$AK$56,Y$4,FALSE))=TRUE,"",
              VLOOKUP($G81,DanaSehat!$L$13:$AK$56,Y$4,FALSE)))</f>
        <v/>
      </c>
      <c r="Z81" s="18" t="str">
        <f>IF(ISNUMBER($L$6)=FALSE,"",
        IF(ISERROR(VLOOKUP($G81,DanaSehat!$L$13:$AK$56,Z$4,FALSE))=TRUE,"",
              VLOOKUP($G81,DanaSehat!$L$13:$AK$56,Z$4,FALSE)))</f>
        <v/>
      </c>
      <c r="AA81" s="18" t="str">
        <f>IF(ISNUMBER($L$6)=FALSE,"",
        IF(ISERROR(VLOOKUP($G81,DanaSehat!$L$13:$AK$56,AA$4,FALSE))=TRUE,"",
              VLOOKUP($G81,DanaSehat!$L$13:$AK$56,AA$4,FALSE)))</f>
        <v/>
      </c>
      <c r="AB81" s="18" t="str">
        <f>IF(ISNUMBER($L$6)=FALSE,"",
        IF(ISERROR(VLOOKUP($G81,DanaSehat!$L$13:$AK$56,AB$4,FALSE))=TRUE,"",
              VLOOKUP($G81,DanaSehat!$L$13:$AK$56,AB$4,FALSE)))</f>
        <v/>
      </c>
      <c r="AC81" s="18" t="str">
        <f>IF(ISNUMBER($L$6)=FALSE,"",
        IF(ISERROR(VLOOKUP($G81,DanaSehat!$L$13:$AK$56,AC$4,FALSE))=TRUE,"",
              VLOOKUP($G81,DanaSehat!$L$13:$AK$56,AC$4,FALSE)))</f>
        <v/>
      </c>
      <c r="AD81" s="18" t="str">
        <f>IF(ISNUMBER($L$6)=FALSE,"",
        IF(ISERROR(VLOOKUP($G81,DanaSehat!$L$13:$AK$56,AD$4,FALSE))=TRUE,"",
              VLOOKUP($G81,DanaSehat!$L$13:$AK$56,AD$4,FALSE)))</f>
        <v/>
      </c>
      <c r="AE81" s="18" t="str">
        <f>IF(ISNUMBER($L$6)=FALSE,"",
        IF(ISERROR(VLOOKUP($G81,DanaSehat!$L$13:$AK$56,AE$4,FALSE))=TRUE,"",
              VLOOKUP($G81,DanaSehat!$L$13:$AK$56,AE$4,FALSE)))</f>
        <v/>
      </c>
      <c r="AF81" s="18" t="str">
        <f>IF(ISNUMBER($L$6)=FALSE,"",
        IF(ISERROR(VLOOKUP($G81,DanaSehat!$L$13:$AK$56,AF$4,FALSE))=TRUE,"",
              VLOOKUP($G81,DanaSehat!$L$13:$AK$56,AF$4,FALSE)))</f>
        <v/>
      </c>
    </row>
    <row r="82" spans="1:32" s="60" customFormat="1" ht="10.5" x14ac:dyDescent="0.25">
      <c r="A82" s="59"/>
      <c r="C82" s="59">
        <f t="shared" si="7"/>
        <v>69</v>
      </c>
      <c r="D82" s="61"/>
      <c r="E82" s="77" t="str">
        <f t="shared" si="8"/>
        <v/>
      </c>
      <c r="F82" s="77" t="str">
        <f>IF(ISNUMBER($L$6)=FALSE,"",
IF($C82=0,"",VLOOKUP($E82,DanaSehat!$H$13:$L$56,4,FALSE)))</f>
        <v/>
      </c>
      <c r="G82" s="77" t="str">
        <f>IF(ISNUMBER($L$6)=FALSE,"",
IF($C82=0,"",VLOOKUP($E82,DanaSehat!$H$13:$L$56,5,FALSE)))</f>
        <v/>
      </c>
      <c r="H82" s="17" t="str">
        <f t="shared" si="9"/>
        <v/>
      </c>
      <c r="I82" s="18" t="str">
        <f>IF(ISNUMBER($L$6)=FALSE,"",
        IF(ISERROR(VLOOKUP($G82,DanaSehat!$L$13:$AK$56,I$4,FALSE))=TRUE,"",
              VLOOKUP($G82,DanaSehat!$L$13:$AK$56,I$4,FALSE)))</f>
        <v/>
      </c>
      <c r="J82" s="18" t="str">
        <f>IF(ISNUMBER($L$6)=FALSE,"",
        IF(ISERROR(VLOOKUP($G82,DanaSehat!$L$13:$AK$56,J$4,FALSE))=TRUE,"",
              VLOOKUP($G82,DanaSehat!$L$13:$AK$56,J$4,FALSE)))</f>
        <v/>
      </c>
      <c r="K82" s="18" t="str">
        <f>IF(ISNUMBER($L$6)=FALSE,"",
        IF(ISERROR(VLOOKUP($G82,DanaSehat!$L$13:$AK$56,K$4,FALSE))=TRUE,"",
              VLOOKUP($G82,DanaSehat!$L$13:$AK$56,K$4,FALSE)))</f>
        <v/>
      </c>
      <c r="L82" s="18" t="str">
        <f>IF(ISNUMBER($L$6)=FALSE,"",
        IF(ISERROR(VLOOKUP($G82,DanaSehat!$L$13:$AK$56,L$4,FALSE))=TRUE,"",
              VLOOKUP($G82,DanaSehat!$L$13:$AK$56,L$4,FALSE)))</f>
        <v/>
      </c>
      <c r="M82" s="18" t="str">
        <f>IF(ISNUMBER($L$6)=FALSE,"",
        IF(ISERROR(VLOOKUP($G82,DanaSehat!$L$13:$AK$56,M$4,FALSE))=TRUE,"",
              VLOOKUP($G82,DanaSehat!$L$13:$AK$56,M$4,FALSE)))</f>
        <v/>
      </c>
      <c r="N82" s="18" t="str">
        <f>IF(ISNUMBER($L$6)=FALSE,"",
        IF(ISERROR(VLOOKUP($G82,DanaSehat!$L$13:$AK$56,N$4,FALSE))=TRUE,"",
              VLOOKUP($G82,DanaSehat!$L$13:$AK$56,N$4,FALSE)))</f>
        <v/>
      </c>
      <c r="O82" s="18" t="str">
        <f>IF(ISNUMBER($L$6)=FALSE,"",
        IF(ISERROR(VLOOKUP($G82,DanaSehat!$L$13:$AK$56,O$4,FALSE))=TRUE,"",
              VLOOKUP($G82,DanaSehat!$L$13:$AK$56,O$4,FALSE)))</f>
        <v/>
      </c>
      <c r="P82" s="18" t="str">
        <f>IF(ISNUMBER($L$6)=FALSE,"",
        IF(ISERROR(VLOOKUP($G82,DanaSehat!$L$13:$AK$56,P$4,FALSE))=TRUE,"",
              VLOOKUP($G82,DanaSehat!$L$13:$AK$56,P$4,FALSE)))</f>
        <v/>
      </c>
      <c r="Q82" s="18" t="str">
        <f>IF(ISNUMBER($L$6)=FALSE,"",
        IF(ISERROR(VLOOKUP($G82,DanaSehat!$L$13:$AK$56,Q$4,FALSE))=TRUE,"",
              VLOOKUP($G82,DanaSehat!$L$13:$AK$56,Q$4,FALSE)))</f>
        <v/>
      </c>
      <c r="R82" s="18" t="str">
        <f>IF(ISNUMBER($L$6)=FALSE,"",
        IF(ISERROR(VLOOKUP($G82,DanaSehat!$L$13:$AK$56,R$4,FALSE))=TRUE,"",
              VLOOKUP($G82,DanaSehat!$L$13:$AK$56,R$4,FALSE)))</f>
        <v/>
      </c>
      <c r="S82" s="18" t="str">
        <f>IF(ISNUMBER($L$6)=FALSE,"",
        IF(ISERROR(VLOOKUP($G82,DanaSehat!$L$13:$AK$56,S$4,FALSE))=TRUE,"",
              VLOOKUP($G82,DanaSehat!$L$13:$AK$56,S$4,FALSE)))</f>
        <v/>
      </c>
      <c r="T82" s="18" t="str">
        <f>IF(ISNUMBER($L$6)=FALSE,"",
        IF(ISERROR(VLOOKUP($G82,DanaSehat!$L$13:$AK$56,T$4,FALSE))=TRUE,"",
              VLOOKUP($G82,DanaSehat!$L$13:$AK$56,T$4,FALSE)))</f>
        <v/>
      </c>
      <c r="U82" s="18" t="str">
        <f>IF(ISNUMBER($L$6)=FALSE,"",
        IF(ISERROR(VLOOKUP($G82,DanaSehat!$L$13:$AK$56,U$4,FALSE))=TRUE,"",
              VLOOKUP($G82,DanaSehat!$L$13:$AK$56,U$4,FALSE)))</f>
        <v/>
      </c>
      <c r="V82" s="18" t="str">
        <f>IF(ISNUMBER($L$6)=FALSE,"",
        IF(ISERROR(VLOOKUP($G82,DanaSehat!$L$13:$AK$56,V$4,FALSE))=TRUE,"",
              VLOOKUP($G82,DanaSehat!$L$13:$AK$56,V$4,FALSE)))</f>
        <v/>
      </c>
      <c r="W82" s="18" t="str">
        <f>IF(ISNUMBER($L$6)=FALSE,"",
        IF(ISERROR(VLOOKUP($G82,DanaSehat!$L$13:$AK$56,W$4,FALSE))=TRUE,"",
              VLOOKUP($G82,DanaSehat!$L$13:$AK$56,W$4,FALSE)))</f>
        <v/>
      </c>
      <c r="X82" s="18" t="str">
        <f>IF(ISNUMBER($L$6)=FALSE,"",
        IF(ISERROR(VLOOKUP($G82,DanaSehat!$L$13:$AK$56,X$4,FALSE))=TRUE,"",
              VLOOKUP($G82,DanaSehat!$L$13:$AK$56,X$4,FALSE)))</f>
        <v/>
      </c>
      <c r="Y82" s="18" t="str">
        <f>IF(ISNUMBER($L$6)=FALSE,"",
        IF(ISERROR(VLOOKUP($G82,DanaSehat!$L$13:$AK$56,Y$4,FALSE))=TRUE,"",
              VLOOKUP($G82,DanaSehat!$L$13:$AK$56,Y$4,FALSE)))</f>
        <v/>
      </c>
      <c r="Z82" s="18" t="str">
        <f>IF(ISNUMBER($L$6)=FALSE,"",
        IF(ISERROR(VLOOKUP($G82,DanaSehat!$L$13:$AK$56,Z$4,FALSE))=TRUE,"",
              VLOOKUP($G82,DanaSehat!$L$13:$AK$56,Z$4,FALSE)))</f>
        <v/>
      </c>
      <c r="AA82" s="18" t="str">
        <f>IF(ISNUMBER($L$6)=FALSE,"",
        IF(ISERROR(VLOOKUP($G82,DanaSehat!$L$13:$AK$56,AA$4,FALSE))=TRUE,"",
              VLOOKUP($G82,DanaSehat!$L$13:$AK$56,AA$4,FALSE)))</f>
        <v/>
      </c>
      <c r="AB82" s="18" t="str">
        <f>IF(ISNUMBER($L$6)=FALSE,"",
        IF(ISERROR(VLOOKUP($G82,DanaSehat!$L$13:$AK$56,AB$4,FALSE))=TRUE,"",
              VLOOKUP($G82,DanaSehat!$L$13:$AK$56,AB$4,FALSE)))</f>
        <v/>
      </c>
      <c r="AC82" s="18" t="str">
        <f>IF(ISNUMBER($L$6)=FALSE,"",
        IF(ISERROR(VLOOKUP($G82,DanaSehat!$L$13:$AK$56,AC$4,FALSE))=TRUE,"",
              VLOOKUP($G82,DanaSehat!$L$13:$AK$56,AC$4,FALSE)))</f>
        <v/>
      </c>
      <c r="AD82" s="18" t="str">
        <f>IF(ISNUMBER($L$6)=FALSE,"",
        IF(ISERROR(VLOOKUP($G82,DanaSehat!$L$13:$AK$56,AD$4,FALSE))=TRUE,"",
              VLOOKUP($G82,DanaSehat!$L$13:$AK$56,AD$4,FALSE)))</f>
        <v/>
      </c>
      <c r="AE82" s="18" t="str">
        <f>IF(ISNUMBER($L$6)=FALSE,"",
        IF(ISERROR(VLOOKUP($G82,DanaSehat!$L$13:$AK$56,AE$4,FALSE))=TRUE,"",
              VLOOKUP($G82,DanaSehat!$L$13:$AK$56,AE$4,FALSE)))</f>
        <v/>
      </c>
      <c r="AF82" s="18" t="str">
        <f>IF(ISNUMBER($L$6)=FALSE,"",
        IF(ISERROR(VLOOKUP($G82,DanaSehat!$L$13:$AK$56,AF$4,FALSE))=TRUE,"",
              VLOOKUP($G82,DanaSehat!$L$13:$AK$56,AF$4,FALSE)))</f>
        <v/>
      </c>
    </row>
    <row r="83" spans="1:32" s="60" customFormat="1" ht="10.5" x14ac:dyDescent="0.25">
      <c r="A83" s="59"/>
      <c r="C83" s="59">
        <f t="shared" si="7"/>
        <v>70</v>
      </c>
      <c r="D83" s="61"/>
      <c r="E83" s="77" t="str">
        <f t="shared" si="8"/>
        <v/>
      </c>
      <c r="F83" s="77" t="str">
        <f>IF(ISNUMBER($L$6)=FALSE,"",
IF($C83=0,"",VLOOKUP($E83,DanaSehat!$H$13:$L$56,4,FALSE)))</f>
        <v/>
      </c>
      <c r="G83" s="77" t="str">
        <f>IF(ISNUMBER($L$6)=FALSE,"",
IF($C83=0,"",VLOOKUP($E83,DanaSehat!$H$13:$L$56,5,FALSE)))</f>
        <v/>
      </c>
      <c r="H83" s="17" t="str">
        <f t="shared" si="9"/>
        <v/>
      </c>
      <c r="I83" s="18" t="str">
        <f>IF(ISNUMBER($L$6)=FALSE,"",
        IF(ISERROR(VLOOKUP($G83,DanaSehat!$L$13:$AK$56,I$4,FALSE))=TRUE,"",
              VLOOKUP($G83,DanaSehat!$L$13:$AK$56,I$4,FALSE)))</f>
        <v/>
      </c>
      <c r="J83" s="18" t="str">
        <f>IF(ISNUMBER($L$6)=FALSE,"",
        IF(ISERROR(VLOOKUP($G83,DanaSehat!$L$13:$AK$56,J$4,FALSE))=TRUE,"",
              VLOOKUP($G83,DanaSehat!$L$13:$AK$56,J$4,FALSE)))</f>
        <v/>
      </c>
      <c r="K83" s="18" t="str">
        <f>IF(ISNUMBER($L$6)=FALSE,"",
        IF(ISERROR(VLOOKUP($G83,DanaSehat!$L$13:$AK$56,K$4,FALSE))=TRUE,"",
              VLOOKUP($G83,DanaSehat!$L$13:$AK$56,K$4,FALSE)))</f>
        <v/>
      </c>
      <c r="L83" s="18" t="str">
        <f>IF(ISNUMBER($L$6)=FALSE,"",
        IF(ISERROR(VLOOKUP($G83,DanaSehat!$L$13:$AK$56,L$4,FALSE))=TRUE,"",
              VLOOKUP($G83,DanaSehat!$L$13:$AK$56,L$4,FALSE)))</f>
        <v/>
      </c>
      <c r="M83" s="18" t="str">
        <f>IF(ISNUMBER($L$6)=FALSE,"",
        IF(ISERROR(VLOOKUP($G83,DanaSehat!$L$13:$AK$56,M$4,FALSE))=TRUE,"",
              VLOOKUP($G83,DanaSehat!$L$13:$AK$56,M$4,FALSE)))</f>
        <v/>
      </c>
      <c r="N83" s="18" t="str">
        <f>IF(ISNUMBER($L$6)=FALSE,"",
        IF(ISERROR(VLOOKUP($G83,DanaSehat!$L$13:$AK$56,N$4,FALSE))=TRUE,"",
              VLOOKUP($G83,DanaSehat!$L$13:$AK$56,N$4,FALSE)))</f>
        <v/>
      </c>
      <c r="O83" s="18" t="str">
        <f>IF(ISNUMBER($L$6)=FALSE,"",
        IF(ISERROR(VLOOKUP($G83,DanaSehat!$L$13:$AK$56,O$4,FALSE))=TRUE,"",
              VLOOKUP($G83,DanaSehat!$L$13:$AK$56,O$4,FALSE)))</f>
        <v/>
      </c>
      <c r="P83" s="18" t="str">
        <f>IF(ISNUMBER($L$6)=FALSE,"",
        IF(ISERROR(VLOOKUP($G83,DanaSehat!$L$13:$AK$56,P$4,FALSE))=TRUE,"",
              VLOOKUP($G83,DanaSehat!$L$13:$AK$56,P$4,FALSE)))</f>
        <v/>
      </c>
      <c r="Q83" s="18" t="str">
        <f>IF(ISNUMBER($L$6)=FALSE,"",
        IF(ISERROR(VLOOKUP($G83,DanaSehat!$L$13:$AK$56,Q$4,FALSE))=TRUE,"",
              VLOOKUP($G83,DanaSehat!$L$13:$AK$56,Q$4,FALSE)))</f>
        <v/>
      </c>
      <c r="R83" s="18" t="str">
        <f>IF(ISNUMBER($L$6)=FALSE,"",
        IF(ISERROR(VLOOKUP($G83,DanaSehat!$L$13:$AK$56,R$4,FALSE))=TRUE,"",
              VLOOKUP($G83,DanaSehat!$L$13:$AK$56,R$4,FALSE)))</f>
        <v/>
      </c>
      <c r="S83" s="18" t="str">
        <f>IF(ISNUMBER($L$6)=FALSE,"",
        IF(ISERROR(VLOOKUP($G83,DanaSehat!$L$13:$AK$56,S$4,FALSE))=TRUE,"",
              VLOOKUP($G83,DanaSehat!$L$13:$AK$56,S$4,FALSE)))</f>
        <v/>
      </c>
      <c r="T83" s="18" t="str">
        <f>IF(ISNUMBER($L$6)=FALSE,"",
        IF(ISERROR(VLOOKUP($G83,DanaSehat!$L$13:$AK$56,T$4,FALSE))=TRUE,"",
              VLOOKUP($G83,DanaSehat!$L$13:$AK$56,T$4,FALSE)))</f>
        <v/>
      </c>
      <c r="U83" s="18" t="str">
        <f>IF(ISNUMBER($L$6)=FALSE,"",
        IF(ISERROR(VLOOKUP($G83,DanaSehat!$L$13:$AK$56,U$4,FALSE))=TRUE,"",
              VLOOKUP($G83,DanaSehat!$L$13:$AK$56,U$4,FALSE)))</f>
        <v/>
      </c>
      <c r="V83" s="18" t="str">
        <f>IF(ISNUMBER($L$6)=FALSE,"",
        IF(ISERROR(VLOOKUP($G83,DanaSehat!$L$13:$AK$56,V$4,FALSE))=TRUE,"",
              VLOOKUP($G83,DanaSehat!$L$13:$AK$56,V$4,FALSE)))</f>
        <v/>
      </c>
      <c r="W83" s="18" t="str">
        <f>IF(ISNUMBER($L$6)=FALSE,"",
        IF(ISERROR(VLOOKUP($G83,DanaSehat!$L$13:$AK$56,W$4,FALSE))=TRUE,"",
              VLOOKUP($G83,DanaSehat!$L$13:$AK$56,W$4,FALSE)))</f>
        <v/>
      </c>
      <c r="X83" s="18" t="str">
        <f>IF(ISNUMBER($L$6)=FALSE,"",
        IF(ISERROR(VLOOKUP($G83,DanaSehat!$L$13:$AK$56,X$4,FALSE))=TRUE,"",
              VLOOKUP($G83,DanaSehat!$L$13:$AK$56,X$4,FALSE)))</f>
        <v/>
      </c>
      <c r="Y83" s="18" t="str">
        <f>IF(ISNUMBER($L$6)=FALSE,"",
        IF(ISERROR(VLOOKUP($G83,DanaSehat!$L$13:$AK$56,Y$4,FALSE))=TRUE,"",
              VLOOKUP($G83,DanaSehat!$L$13:$AK$56,Y$4,FALSE)))</f>
        <v/>
      </c>
      <c r="Z83" s="18" t="str">
        <f>IF(ISNUMBER($L$6)=FALSE,"",
        IF(ISERROR(VLOOKUP($G83,DanaSehat!$L$13:$AK$56,Z$4,FALSE))=TRUE,"",
              VLOOKUP($G83,DanaSehat!$L$13:$AK$56,Z$4,FALSE)))</f>
        <v/>
      </c>
      <c r="AA83" s="18" t="str">
        <f>IF(ISNUMBER($L$6)=FALSE,"",
        IF(ISERROR(VLOOKUP($G83,DanaSehat!$L$13:$AK$56,AA$4,FALSE))=TRUE,"",
              VLOOKUP($G83,DanaSehat!$L$13:$AK$56,AA$4,FALSE)))</f>
        <v/>
      </c>
      <c r="AB83" s="18" t="str">
        <f>IF(ISNUMBER($L$6)=FALSE,"",
        IF(ISERROR(VLOOKUP($G83,DanaSehat!$L$13:$AK$56,AB$4,FALSE))=TRUE,"",
              VLOOKUP($G83,DanaSehat!$L$13:$AK$56,AB$4,FALSE)))</f>
        <v/>
      </c>
      <c r="AC83" s="18" t="str">
        <f>IF(ISNUMBER($L$6)=FALSE,"",
        IF(ISERROR(VLOOKUP($G83,DanaSehat!$L$13:$AK$56,AC$4,FALSE))=TRUE,"",
              VLOOKUP($G83,DanaSehat!$L$13:$AK$56,AC$4,FALSE)))</f>
        <v/>
      </c>
      <c r="AD83" s="18" t="str">
        <f>IF(ISNUMBER($L$6)=FALSE,"",
        IF(ISERROR(VLOOKUP($G83,DanaSehat!$L$13:$AK$56,AD$4,FALSE))=TRUE,"",
              VLOOKUP($G83,DanaSehat!$L$13:$AK$56,AD$4,FALSE)))</f>
        <v/>
      </c>
      <c r="AE83" s="18" t="str">
        <f>IF(ISNUMBER($L$6)=FALSE,"",
        IF(ISERROR(VLOOKUP($G83,DanaSehat!$L$13:$AK$56,AE$4,FALSE))=TRUE,"",
              VLOOKUP($G83,DanaSehat!$L$13:$AK$56,AE$4,FALSE)))</f>
        <v/>
      </c>
      <c r="AF83" s="18" t="str">
        <f>IF(ISNUMBER($L$6)=FALSE,"",
        IF(ISERROR(VLOOKUP($G83,DanaSehat!$L$13:$AK$56,AF$4,FALSE))=TRUE,"",
              VLOOKUP($G83,DanaSehat!$L$13:$AK$56,AF$4,FALSE)))</f>
        <v/>
      </c>
    </row>
    <row r="84" spans="1:32" s="60" customFormat="1" ht="10.5" x14ac:dyDescent="0.25">
      <c r="A84" s="59"/>
      <c r="C84" s="59">
        <f t="shared" si="7"/>
        <v>71</v>
      </c>
      <c r="D84" s="61"/>
      <c r="E84" s="77" t="str">
        <f t="shared" si="8"/>
        <v/>
      </c>
      <c r="F84" s="77" t="str">
        <f>IF(ISNUMBER($L$6)=FALSE,"",
IF($C84=0,"",VLOOKUP($E84,DanaSehat!$H$13:$L$56,4,FALSE)))</f>
        <v/>
      </c>
      <c r="G84" s="77" t="str">
        <f>IF(ISNUMBER($L$6)=FALSE,"",
IF($C84=0,"",VLOOKUP($E84,DanaSehat!$H$13:$L$56,5,FALSE)))</f>
        <v/>
      </c>
      <c r="H84" s="17" t="str">
        <f t="shared" si="9"/>
        <v/>
      </c>
      <c r="I84" s="18" t="str">
        <f>IF(ISNUMBER($L$6)=FALSE,"",
        IF(ISERROR(VLOOKUP($G84,DanaSehat!$L$13:$AK$56,I$4,FALSE))=TRUE,"",
              VLOOKUP($G84,DanaSehat!$L$13:$AK$56,I$4,FALSE)))</f>
        <v/>
      </c>
      <c r="J84" s="18" t="str">
        <f>IF(ISNUMBER($L$6)=FALSE,"",
        IF(ISERROR(VLOOKUP($G84,DanaSehat!$L$13:$AK$56,J$4,FALSE))=TRUE,"",
              VLOOKUP($G84,DanaSehat!$L$13:$AK$56,J$4,FALSE)))</f>
        <v/>
      </c>
      <c r="K84" s="18" t="str">
        <f>IF(ISNUMBER($L$6)=FALSE,"",
        IF(ISERROR(VLOOKUP($G84,DanaSehat!$L$13:$AK$56,K$4,FALSE))=TRUE,"",
              VLOOKUP($G84,DanaSehat!$L$13:$AK$56,K$4,FALSE)))</f>
        <v/>
      </c>
      <c r="L84" s="18" t="str">
        <f>IF(ISNUMBER($L$6)=FALSE,"",
        IF(ISERROR(VLOOKUP($G84,DanaSehat!$L$13:$AK$56,L$4,FALSE))=TRUE,"",
              VLOOKUP($G84,DanaSehat!$L$13:$AK$56,L$4,FALSE)))</f>
        <v/>
      </c>
      <c r="M84" s="18" t="str">
        <f>IF(ISNUMBER($L$6)=FALSE,"",
        IF(ISERROR(VLOOKUP($G84,DanaSehat!$L$13:$AK$56,M$4,FALSE))=TRUE,"",
              VLOOKUP($G84,DanaSehat!$L$13:$AK$56,M$4,FALSE)))</f>
        <v/>
      </c>
      <c r="N84" s="18" t="str">
        <f>IF(ISNUMBER($L$6)=FALSE,"",
        IF(ISERROR(VLOOKUP($G84,DanaSehat!$L$13:$AK$56,N$4,FALSE))=TRUE,"",
              VLOOKUP($G84,DanaSehat!$L$13:$AK$56,N$4,FALSE)))</f>
        <v/>
      </c>
      <c r="O84" s="18" t="str">
        <f>IF(ISNUMBER($L$6)=FALSE,"",
        IF(ISERROR(VLOOKUP($G84,DanaSehat!$L$13:$AK$56,O$4,FALSE))=TRUE,"",
              VLOOKUP($G84,DanaSehat!$L$13:$AK$56,O$4,FALSE)))</f>
        <v/>
      </c>
      <c r="P84" s="18" t="str">
        <f>IF(ISNUMBER($L$6)=FALSE,"",
        IF(ISERROR(VLOOKUP($G84,DanaSehat!$L$13:$AK$56,P$4,FALSE))=TRUE,"",
              VLOOKUP($G84,DanaSehat!$L$13:$AK$56,P$4,FALSE)))</f>
        <v/>
      </c>
      <c r="Q84" s="18" t="str">
        <f>IF(ISNUMBER($L$6)=FALSE,"",
        IF(ISERROR(VLOOKUP($G84,DanaSehat!$L$13:$AK$56,Q$4,FALSE))=TRUE,"",
              VLOOKUP($G84,DanaSehat!$L$13:$AK$56,Q$4,FALSE)))</f>
        <v/>
      </c>
      <c r="R84" s="18" t="str">
        <f>IF(ISNUMBER($L$6)=FALSE,"",
        IF(ISERROR(VLOOKUP($G84,DanaSehat!$L$13:$AK$56,R$4,FALSE))=TRUE,"",
              VLOOKUP($G84,DanaSehat!$L$13:$AK$56,R$4,FALSE)))</f>
        <v/>
      </c>
      <c r="S84" s="18" t="str">
        <f>IF(ISNUMBER($L$6)=FALSE,"",
        IF(ISERROR(VLOOKUP($G84,DanaSehat!$L$13:$AK$56,S$4,FALSE))=TRUE,"",
              VLOOKUP($G84,DanaSehat!$L$13:$AK$56,S$4,FALSE)))</f>
        <v/>
      </c>
      <c r="T84" s="18" t="str">
        <f>IF(ISNUMBER($L$6)=FALSE,"",
        IF(ISERROR(VLOOKUP($G84,DanaSehat!$L$13:$AK$56,T$4,FALSE))=TRUE,"",
              VLOOKUP($G84,DanaSehat!$L$13:$AK$56,T$4,FALSE)))</f>
        <v/>
      </c>
      <c r="U84" s="18" t="str">
        <f>IF(ISNUMBER($L$6)=FALSE,"",
        IF(ISERROR(VLOOKUP($G84,DanaSehat!$L$13:$AK$56,U$4,FALSE))=TRUE,"",
              VLOOKUP($G84,DanaSehat!$L$13:$AK$56,U$4,FALSE)))</f>
        <v/>
      </c>
      <c r="V84" s="18" t="str">
        <f>IF(ISNUMBER($L$6)=FALSE,"",
        IF(ISERROR(VLOOKUP($G84,DanaSehat!$L$13:$AK$56,V$4,FALSE))=TRUE,"",
              VLOOKUP($G84,DanaSehat!$L$13:$AK$56,V$4,FALSE)))</f>
        <v/>
      </c>
      <c r="W84" s="18" t="str">
        <f>IF(ISNUMBER($L$6)=FALSE,"",
        IF(ISERROR(VLOOKUP($G84,DanaSehat!$L$13:$AK$56,W$4,FALSE))=TRUE,"",
              VLOOKUP($G84,DanaSehat!$L$13:$AK$56,W$4,FALSE)))</f>
        <v/>
      </c>
      <c r="X84" s="18" t="str">
        <f>IF(ISNUMBER($L$6)=FALSE,"",
        IF(ISERROR(VLOOKUP($G84,DanaSehat!$L$13:$AK$56,X$4,FALSE))=TRUE,"",
              VLOOKUP($G84,DanaSehat!$L$13:$AK$56,X$4,FALSE)))</f>
        <v/>
      </c>
      <c r="Y84" s="18" t="str">
        <f>IF(ISNUMBER($L$6)=FALSE,"",
        IF(ISERROR(VLOOKUP($G84,DanaSehat!$L$13:$AK$56,Y$4,FALSE))=TRUE,"",
              VLOOKUP($G84,DanaSehat!$L$13:$AK$56,Y$4,FALSE)))</f>
        <v/>
      </c>
      <c r="Z84" s="18" t="str">
        <f>IF(ISNUMBER($L$6)=FALSE,"",
        IF(ISERROR(VLOOKUP($G84,DanaSehat!$L$13:$AK$56,Z$4,FALSE))=TRUE,"",
              VLOOKUP($G84,DanaSehat!$L$13:$AK$56,Z$4,FALSE)))</f>
        <v/>
      </c>
      <c r="AA84" s="18" t="str">
        <f>IF(ISNUMBER($L$6)=FALSE,"",
        IF(ISERROR(VLOOKUP($G84,DanaSehat!$L$13:$AK$56,AA$4,FALSE))=TRUE,"",
              VLOOKUP($G84,DanaSehat!$L$13:$AK$56,AA$4,FALSE)))</f>
        <v/>
      </c>
      <c r="AB84" s="18" t="str">
        <f>IF(ISNUMBER($L$6)=FALSE,"",
        IF(ISERROR(VLOOKUP($G84,DanaSehat!$L$13:$AK$56,AB$4,FALSE))=TRUE,"",
              VLOOKUP($G84,DanaSehat!$L$13:$AK$56,AB$4,FALSE)))</f>
        <v/>
      </c>
      <c r="AC84" s="18" t="str">
        <f>IF(ISNUMBER($L$6)=FALSE,"",
        IF(ISERROR(VLOOKUP($G84,DanaSehat!$L$13:$AK$56,AC$4,FALSE))=TRUE,"",
              VLOOKUP($G84,DanaSehat!$L$13:$AK$56,AC$4,FALSE)))</f>
        <v/>
      </c>
      <c r="AD84" s="18" t="str">
        <f>IF(ISNUMBER($L$6)=FALSE,"",
        IF(ISERROR(VLOOKUP($G84,DanaSehat!$L$13:$AK$56,AD$4,FALSE))=TRUE,"",
              VLOOKUP($G84,DanaSehat!$L$13:$AK$56,AD$4,FALSE)))</f>
        <v/>
      </c>
      <c r="AE84" s="18" t="str">
        <f>IF(ISNUMBER($L$6)=FALSE,"",
        IF(ISERROR(VLOOKUP($G84,DanaSehat!$L$13:$AK$56,AE$4,FALSE))=TRUE,"",
              VLOOKUP($G84,DanaSehat!$L$13:$AK$56,AE$4,FALSE)))</f>
        <v/>
      </c>
      <c r="AF84" s="18" t="str">
        <f>IF(ISNUMBER($L$6)=FALSE,"",
        IF(ISERROR(VLOOKUP($G84,DanaSehat!$L$13:$AK$56,AF$4,FALSE))=TRUE,"",
              VLOOKUP($G84,DanaSehat!$L$13:$AK$56,AF$4,FALSE)))</f>
        <v/>
      </c>
    </row>
    <row r="85" spans="1:32" s="60" customFormat="1" ht="10.5" x14ac:dyDescent="0.25">
      <c r="A85" s="59"/>
      <c r="C85" s="59">
        <f t="shared" si="7"/>
        <v>72</v>
      </c>
      <c r="D85" s="61"/>
      <c r="E85" s="77" t="str">
        <f t="shared" si="8"/>
        <v/>
      </c>
      <c r="F85" s="77" t="str">
        <f>IF(ISNUMBER($L$6)=FALSE,"",
IF($C85=0,"",VLOOKUP($E85,DanaSehat!$H$13:$L$56,4,FALSE)))</f>
        <v/>
      </c>
      <c r="G85" s="77" t="str">
        <f>IF(ISNUMBER($L$6)=FALSE,"",
IF($C85=0,"",VLOOKUP($E85,DanaSehat!$H$13:$L$56,5,FALSE)))</f>
        <v/>
      </c>
      <c r="H85" s="17" t="str">
        <f t="shared" si="9"/>
        <v/>
      </c>
      <c r="I85" s="18" t="str">
        <f>IF(ISNUMBER($L$6)=FALSE,"",
        IF(ISERROR(VLOOKUP($G85,DanaSehat!$L$13:$AK$56,I$4,FALSE))=TRUE,"",
              VLOOKUP($G85,DanaSehat!$L$13:$AK$56,I$4,FALSE)))</f>
        <v/>
      </c>
      <c r="J85" s="18" t="str">
        <f>IF(ISNUMBER($L$6)=FALSE,"",
        IF(ISERROR(VLOOKUP($G85,DanaSehat!$L$13:$AK$56,J$4,FALSE))=TRUE,"",
              VLOOKUP($G85,DanaSehat!$L$13:$AK$56,J$4,FALSE)))</f>
        <v/>
      </c>
      <c r="K85" s="18" t="str">
        <f>IF(ISNUMBER($L$6)=FALSE,"",
        IF(ISERROR(VLOOKUP($G85,DanaSehat!$L$13:$AK$56,K$4,FALSE))=TRUE,"",
              VLOOKUP($G85,DanaSehat!$L$13:$AK$56,K$4,FALSE)))</f>
        <v/>
      </c>
      <c r="L85" s="18" t="str">
        <f>IF(ISNUMBER($L$6)=FALSE,"",
        IF(ISERROR(VLOOKUP($G85,DanaSehat!$L$13:$AK$56,L$4,FALSE))=TRUE,"",
              VLOOKUP($G85,DanaSehat!$L$13:$AK$56,L$4,FALSE)))</f>
        <v/>
      </c>
      <c r="M85" s="18" t="str">
        <f>IF(ISNUMBER($L$6)=FALSE,"",
        IF(ISERROR(VLOOKUP($G85,DanaSehat!$L$13:$AK$56,M$4,FALSE))=TRUE,"",
              VLOOKUP($G85,DanaSehat!$L$13:$AK$56,M$4,FALSE)))</f>
        <v/>
      </c>
      <c r="N85" s="18" t="str">
        <f>IF(ISNUMBER($L$6)=FALSE,"",
        IF(ISERROR(VLOOKUP($G85,DanaSehat!$L$13:$AK$56,N$4,FALSE))=TRUE,"",
              VLOOKUP($G85,DanaSehat!$L$13:$AK$56,N$4,FALSE)))</f>
        <v/>
      </c>
      <c r="O85" s="18" t="str">
        <f>IF(ISNUMBER($L$6)=FALSE,"",
        IF(ISERROR(VLOOKUP($G85,DanaSehat!$L$13:$AK$56,O$4,FALSE))=TRUE,"",
              VLOOKUP($G85,DanaSehat!$L$13:$AK$56,O$4,FALSE)))</f>
        <v/>
      </c>
      <c r="P85" s="18" t="str">
        <f>IF(ISNUMBER($L$6)=FALSE,"",
        IF(ISERROR(VLOOKUP($G85,DanaSehat!$L$13:$AK$56,P$4,FALSE))=TRUE,"",
              VLOOKUP($G85,DanaSehat!$L$13:$AK$56,P$4,FALSE)))</f>
        <v/>
      </c>
      <c r="Q85" s="18" t="str">
        <f>IF(ISNUMBER($L$6)=FALSE,"",
        IF(ISERROR(VLOOKUP($G85,DanaSehat!$L$13:$AK$56,Q$4,FALSE))=TRUE,"",
              VLOOKUP($G85,DanaSehat!$L$13:$AK$56,Q$4,FALSE)))</f>
        <v/>
      </c>
      <c r="R85" s="18" t="str">
        <f>IF(ISNUMBER($L$6)=FALSE,"",
        IF(ISERROR(VLOOKUP($G85,DanaSehat!$L$13:$AK$56,R$4,FALSE))=TRUE,"",
              VLOOKUP($G85,DanaSehat!$L$13:$AK$56,R$4,FALSE)))</f>
        <v/>
      </c>
      <c r="S85" s="18" t="str">
        <f>IF(ISNUMBER($L$6)=FALSE,"",
        IF(ISERROR(VLOOKUP($G85,DanaSehat!$L$13:$AK$56,S$4,FALSE))=TRUE,"",
              VLOOKUP($G85,DanaSehat!$L$13:$AK$56,S$4,FALSE)))</f>
        <v/>
      </c>
      <c r="T85" s="18" t="str">
        <f>IF(ISNUMBER($L$6)=FALSE,"",
        IF(ISERROR(VLOOKUP($G85,DanaSehat!$L$13:$AK$56,T$4,FALSE))=TRUE,"",
              VLOOKUP($G85,DanaSehat!$L$13:$AK$56,T$4,FALSE)))</f>
        <v/>
      </c>
      <c r="U85" s="18" t="str">
        <f>IF(ISNUMBER($L$6)=FALSE,"",
        IF(ISERROR(VLOOKUP($G85,DanaSehat!$L$13:$AK$56,U$4,FALSE))=TRUE,"",
              VLOOKUP($G85,DanaSehat!$L$13:$AK$56,U$4,FALSE)))</f>
        <v/>
      </c>
      <c r="V85" s="18" t="str">
        <f>IF(ISNUMBER($L$6)=FALSE,"",
        IF(ISERROR(VLOOKUP($G85,DanaSehat!$L$13:$AK$56,V$4,FALSE))=TRUE,"",
              VLOOKUP($G85,DanaSehat!$L$13:$AK$56,V$4,FALSE)))</f>
        <v/>
      </c>
      <c r="W85" s="18" t="str">
        <f>IF(ISNUMBER($L$6)=FALSE,"",
        IF(ISERROR(VLOOKUP($G85,DanaSehat!$L$13:$AK$56,W$4,FALSE))=TRUE,"",
              VLOOKUP($G85,DanaSehat!$L$13:$AK$56,W$4,FALSE)))</f>
        <v/>
      </c>
      <c r="X85" s="18" t="str">
        <f>IF(ISNUMBER($L$6)=FALSE,"",
        IF(ISERROR(VLOOKUP($G85,DanaSehat!$L$13:$AK$56,X$4,FALSE))=TRUE,"",
              VLOOKUP($G85,DanaSehat!$L$13:$AK$56,X$4,FALSE)))</f>
        <v/>
      </c>
      <c r="Y85" s="18" t="str">
        <f>IF(ISNUMBER($L$6)=FALSE,"",
        IF(ISERROR(VLOOKUP($G85,DanaSehat!$L$13:$AK$56,Y$4,FALSE))=TRUE,"",
              VLOOKUP($G85,DanaSehat!$L$13:$AK$56,Y$4,FALSE)))</f>
        <v/>
      </c>
      <c r="Z85" s="18" t="str">
        <f>IF(ISNUMBER($L$6)=FALSE,"",
        IF(ISERROR(VLOOKUP($G85,DanaSehat!$L$13:$AK$56,Z$4,FALSE))=TRUE,"",
              VLOOKUP($G85,DanaSehat!$L$13:$AK$56,Z$4,FALSE)))</f>
        <v/>
      </c>
      <c r="AA85" s="18" t="str">
        <f>IF(ISNUMBER($L$6)=FALSE,"",
        IF(ISERROR(VLOOKUP($G85,DanaSehat!$L$13:$AK$56,AA$4,FALSE))=TRUE,"",
              VLOOKUP($G85,DanaSehat!$L$13:$AK$56,AA$4,FALSE)))</f>
        <v/>
      </c>
      <c r="AB85" s="18" t="str">
        <f>IF(ISNUMBER($L$6)=FALSE,"",
        IF(ISERROR(VLOOKUP($G85,DanaSehat!$L$13:$AK$56,AB$4,FALSE))=TRUE,"",
              VLOOKUP($G85,DanaSehat!$L$13:$AK$56,AB$4,FALSE)))</f>
        <v/>
      </c>
      <c r="AC85" s="18" t="str">
        <f>IF(ISNUMBER($L$6)=FALSE,"",
        IF(ISERROR(VLOOKUP($G85,DanaSehat!$L$13:$AK$56,AC$4,FALSE))=TRUE,"",
              VLOOKUP($G85,DanaSehat!$L$13:$AK$56,AC$4,FALSE)))</f>
        <v/>
      </c>
      <c r="AD85" s="18" t="str">
        <f>IF(ISNUMBER($L$6)=FALSE,"",
        IF(ISERROR(VLOOKUP($G85,DanaSehat!$L$13:$AK$56,AD$4,FALSE))=TRUE,"",
              VLOOKUP($G85,DanaSehat!$L$13:$AK$56,AD$4,FALSE)))</f>
        <v/>
      </c>
      <c r="AE85" s="18" t="str">
        <f>IF(ISNUMBER($L$6)=FALSE,"",
        IF(ISERROR(VLOOKUP($G85,DanaSehat!$L$13:$AK$56,AE$4,FALSE))=TRUE,"",
              VLOOKUP($G85,DanaSehat!$L$13:$AK$56,AE$4,FALSE)))</f>
        <v/>
      </c>
      <c r="AF85" s="18" t="str">
        <f>IF(ISNUMBER($L$6)=FALSE,"",
        IF(ISERROR(VLOOKUP($G85,DanaSehat!$L$13:$AK$56,AF$4,FALSE))=TRUE,"",
              VLOOKUP($G85,DanaSehat!$L$13:$AK$56,AF$4,FALSE)))</f>
        <v/>
      </c>
    </row>
    <row r="86" spans="1:32" s="60" customFormat="1" ht="10.5" x14ac:dyDescent="0.25">
      <c r="A86" s="59"/>
      <c r="C86" s="59">
        <f t="shared" si="7"/>
        <v>73</v>
      </c>
      <c r="D86" s="61"/>
      <c r="E86" s="77" t="str">
        <f t="shared" si="8"/>
        <v/>
      </c>
      <c r="F86" s="77" t="str">
        <f>IF(ISNUMBER($L$6)=FALSE,"",
IF($C86=0,"",VLOOKUP($E86,DanaSehat!$H$13:$L$56,4,FALSE)))</f>
        <v/>
      </c>
      <c r="G86" s="77" t="str">
        <f>IF(ISNUMBER($L$6)=FALSE,"",
IF($C86=0,"",VLOOKUP($E86,DanaSehat!$H$13:$L$56,5,FALSE)))</f>
        <v/>
      </c>
      <c r="H86" s="17" t="str">
        <f t="shared" si="9"/>
        <v/>
      </c>
      <c r="I86" s="18" t="str">
        <f>IF(ISNUMBER($L$6)=FALSE,"",
        IF(ISERROR(VLOOKUP($G86,DanaSehat!$L$13:$AK$56,I$4,FALSE))=TRUE,"",
              VLOOKUP($G86,DanaSehat!$L$13:$AK$56,I$4,FALSE)))</f>
        <v/>
      </c>
      <c r="J86" s="18" t="str">
        <f>IF(ISNUMBER($L$6)=FALSE,"",
        IF(ISERROR(VLOOKUP($G86,DanaSehat!$L$13:$AK$56,J$4,FALSE))=TRUE,"",
              VLOOKUP($G86,DanaSehat!$L$13:$AK$56,J$4,FALSE)))</f>
        <v/>
      </c>
      <c r="K86" s="18" t="str">
        <f>IF(ISNUMBER($L$6)=FALSE,"",
        IF(ISERROR(VLOOKUP($G86,DanaSehat!$L$13:$AK$56,K$4,FALSE))=TRUE,"",
              VLOOKUP($G86,DanaSehat!$L$13:$AK$56,K$4,FALSE)))</f>
        <v/>
      </c>
      <c r="L86" s="18" t="str">
        <f>IF(ISNUMBER($L$6)=FALSE,"",
        IF(ISERROR(VLOOKUP($G86,DanaSehat!$L$13:$AK$56,L$4,FALSE))=TRUE,"",
              VLOOKUP($G86,DanaSehat!$L$13:$AK$56,L$4,FALSE)))</f>
        <v/>
      </c>
      <c r="M86" s="18" t="str">
        <f>IF(ISNUMBER($L$6)=FALSE,"",
        IF(ISERROR(VLOOKUP($G86,DanaSehat!$L$13:$AK$56,M$4,FALSE))=TRUE,"",
              VLOOKUP($G86,DanaSehat!$L$13:$AK$56,M$4,FALSE)))</f>
        <v/>
      </c>
      <c r="N86" s="18" t="str">
        <f>IF(ISNUMBER($L$6)=FALSE,"",
        IF(ISERROR(VLOOKUP($G86,DanaSehat!$L$13:$AK$56,N$4,FALSE))=TRUE,"",
              VLOOKUP($G86,DanaSehat!$L$13:$AK$56,N$4,FALSE)))</f>
        <v/>
      </c>
      <c r="O86" s="18" t="str">
        <f>IF(ISNUMBER($L$6)=FALSE,"",
        IF(ISERROR(VLOOKUP($G86,DanaSehat!$L$13:$AK$56,O$4,FALSE))=TRUE,"",
              VLOOKUP($G86,DanaSehat!$L$13:$AK$56,O$4,FALSE)))</f>
        <v/>
      </c>
      <c r="P86" s="18" t="str">
        <f>IF(ISNUMBER($L$6)=FALSE,"",
        IF(ISERROR(VLOOKUP($G86,DanaSehat!$L$13:$AK$56,P$4,FALSE))=TRUE,"",
              VLOOKUP($G86,DanaSehat!$L$13:$AK$56,P$4,FALSE)))</f>
        <v/>
      </c>
      <c r="Q86" s="18" t="str">
        <f>IF(ISNUMBER($L$6)=FALSE,"",
        IF(ISERROR(VLOOKUP($G86,DanaSehat!$L$13:$AK$56,Q$4,FALSE))=TRUE,"",
              VLOOKUP($G86,DanaSehat!$L$13:$AK$56,Q$4,FALSE)))</f>
        <v/>
      </c>
      <c r="R86" s="18" t="str">
        <f>IF(ISNUMBER($L$6)=FALSE,"",
        IF(ISERROR(VLOOKUP($G86,DanaSehat!$L$13:$AK$56,R$4,FALSE))=TRUE,"",
              VLOOKUP($G86,DanaSehat!$L$13:$AK$56,R$4,FALSE)))</f>
        <v/>
      </c>
      <c r="S86" s="18" t="str">
        <f>IF(ISNUMBER($L$6)=FALSE,"",
        IF(ISERROR(VLOOKUP($G86,DanaSehat!$L$13:$AK$56,S$4,FALSE))=TRUE,"",
              VLOOKUP($G86,DanaSehat!$L$13:$AK$56,S$4,FALSE)))</f>
        <v/>
      </c>
      <c r="T86" s="18" t="str">
        <f>IF(ISNUMBER($L$6)=FALSE,"",
        IF(ISERROR(VLOOKUP($G86,DanaSehat!$L$13:$AK$56,T$4,FALSE))=TRUE,"",
              VLOOKUP($G86,DanaSehat!$L$13:$AK$56,T$4,FALSE)))</f>
        <v/>
      </c>
      <c r="U86" s="18" t="str">
        <f>IF(ISNUMBER($L$6)=FALSE,"",
        IF(ISERROR(VLOOKUP($G86,DanaSehat!$L$13:$AK$56,U$4,FALSE))=TRUE,"",
              VLOOKUP($G86,DanaSehat!$L$13:$AK$56,U$4,FALSE)))</f>
        <v/>
      </c>
      <c r="V86" s="18" t="str">
        <f>IF(ISNUMBER($L$6)=FALSE,"",
        IF(ISERROR(VLOOKUP($G86,DanaSehat!$L$13:$AK$56,V$4,FALSE))=TRUE,"",
              VLOOKUP($G86,DanaSehat!$L$13:$AK$56,V$4,FALSE)))</f>
        <v/>
      </c>
      <c r="W86" s="18" t="str">
        <f>IF(ISNUMBER($L$6)=FALSE,"",
        IF(ISERROR(VLOOKUP($G86,DanaSehat!$L$13:$AK$56,W$4,FALSE))=TRUE,"",
              VLOOKUP($G86,DanaSehat!$L$13:$AK$56,W$4,FALSE)))</f>
        <v/>
      </c>
      <c r="X86" s="18" t="str">
        <f>IF(ISNUMBER($L$6)=FALSE,"",
        IF(ISERROR(VLOOKUP($G86,DanaSehat!$L$13:$AK$56,X$4,FALSE))=TRUE,"",
              VLOOKUP($G86,DanaSehat!$L$13:$AK$56,X$4,FALSE)))</f>
        <v/>
      </c>
      <c r="Y86" s="18" t="str">
        <f>IF(ISNUMBER($L$6)=FALSE,"",
        IF(ISERROR(VLOOKUP($G86,DanaSehat!$L$13:$AK$56,Y$4,FALSE))=TRUE,"",
              VLOOKUP($G86,DanaSehat!$L$13:$AK$56,Y$4,FALSE)))</f>
        <v/>
      </c>
      <c r="Z86" s="18" t="str">
        <f>IF(ISNUMBER($L$6)=FALSE,"",
        IF(ISERROR(VLOOKUP($G86,DanaSehat!$L$13:$AK$56,Z$4,FALSE))=TRUE,"",
              VLOOKUP($G86,DanaSehat!$L$13:$AK$56,Z$4,FALSE)))</f>
        <v/>
      </c>
      <c r="AA86" s="18" t="str">
        <f>IF(ISNUMBER($L$6)=FALSE,"",
        IF(ISERROR(VLOOKUP($G86,DanaSehat!$L$13:$AK$56,AA$4,FALSE))=TRUE,"",
              VLOOKUP($G86,DanaSehat!$L$13:$AK$56,AA$4,FALSE)))</f>
        <v/>
      </c>
      <c r="AB86" s="18" t="str">
        <f>IF(ISNUMBER($L$6)=FALSE,"",
        IF(ISERROR(VLOOKUP($G86,DanaSehat!$L$13:$AK$56,AB$4,FALSE))=TRUE,"",
              VLOOKUP($G86,DanaSehat!$L$13:$AK$56,AB$4,FALSE)))</f>
        <v/>
      </c>
      <c r="AC86" s="18" t="str">
        <f>IF(ISNUMBER($L$6)=FALSE,"",
        IF(ISERROR(VLOOKUP($G86,DanaSehat!$L$13:$AK$56,AC$4,FALSE))=TRUE,"",
              VLOOKUP($G86,DanaSehat!$L$13:$AK$56,AC$4,FALSE)))</f>
        <v/>
      </c>
      <c r="AD86" s="18" t="str">
        <f>IF(ISNUMBER($L$6)=FALSE,"",
        IF(ISERROR(VLOOKUP($G86,DanaSehat!$L$13:$AK$56,AD$4,FALSE))=TRUE,"",
              VLOOKUP($G86,DanaSehat!$L$13:$AK$56,AD$4,FALSE)))</f>
        <v/>
      </c>
      <c r="AE86" s="18" t="str">
        <f>IF(ISNUMBER($L$6)=FALSE,"",
        IF(ISERROR(VLOOKUP($G86,DanaSehat!$L$13:$AK$56,AE$4,FALSE))=TRUE,"",
              VLOOKUP($G86,DanaSehat!$L$13:$AK$56,AE$4,FALSE)))</f>
        <v/>
      </c>
      <c r="AF86" s="18" t="str">
        <f>IF(ISNUMBER($L$6)=FALSE,"",
        IF(ISERROR(VLOOKUP($G86,DanaSehat!$L$13:$AK$56,AF$4,FALSE))=TRUE,"",
              VLOOKUP($G86,DanaSehat!$L$13:$AK$56,AF$4,FALSE)))</f>
        <v/>
      </c>
    </row>
    <row r="87" spans="1:32" s="60" customFormat="1" ht="10.5" x14ac:dyDescent="0.25">
      <c r="A87" s="59"/>
      <c r="C87" s="59">
        <f t="shared" si="7"/>
        <v>74</v>
      </c>
      <c r="D87" s="61"/>
      <c r="E87" s="77" t="str">
        <f t="shared" si="8"/>
        <v/>
      </c>
      <c r="F87" s="77" t="str">
        <f>IF(ISNUMBER($L$6)=FALSE,"",
IF($C87=0,"",VLOOKUP($E87,DanaSehat!$H$13:$L$56,4,FALSE)))</f>
        <v/>
      </c>
      <c r="G87" s="77" t="str">
        <f>IF(ISNUMBER($L$6)=FALSE,"",
IF($C87=0,"",VLOOKUP($E87,DanaSehat!$H$13:$L$56,5,FALSE)))</f>
        <v/>
      </c>
      <c r="H87" s="17" t="str">
        <f t="shared" si="9"/>
        <v/>
      </c>
      <c r="I87" s="18" t="str">
        <f>IF(ISNUMBER($L$6)=FALSE,"",
        IF(ISERROR(VLOOKUP($G87,DanaSehat!$L$13:$AK$56,I$4,FALSE))=TRUE,"",
              VLOOKUP($G87,DanaSehat!$L$13:$AK$56,I$4,FALSE)))</f>
        <v/>
      </c>
      <c r="J87" s="18" t="str">
        <f>IF(ISNUMBER($L$6)=FALSE,"",
        IF(ISERROR(VLOOKUP($G87,DanaSehat!$L$13:$AK$56,J$4,FALSE))=TRUE,"",
              VLOOKUP($G87,DanaSehat!$L$13:$AK$56,J$4,FALSE)))</f>
        <v/>
      </c>
      <c r="K87" s="18" t="str">
        <f>IF(ISNUMBER($L$6)=FALSE,"",
        IF(ISERROR(VLOOKUP($G87,DanaSehat!$L$13:$AK$56,K$4,FALSE))=TRUE,"",
              VLOOKUP($G87,DanaSehat!$L$13:$AK$56,K$4,FALSE)))</f>
        <v/>
      </c>
      <c r="L87" s="18" t="str">
        <f>IF(ISNUMBER($L$6)=FALSE,"",
        IF(ISERROR(VLOOKUP($G87,DanaSehat!$L$13:$AK$56,L$4,FALSE))=TRUE,"",
              VLOOKUP($G87,DanaSehat!$L$13:$AK$56,L$4,FALSE)))</f>
        <v/>
      </c>
      <c r="M87" s="18" t="str">
        <f>IF(ISNUMBER($L$6)=FALSE,"",
        IF(ISERROR(VLOOKUP($G87,DanaSehat!$L$13:$AK$56,M$4,FALSE))=TRUE,"",
              VLOOKUP($G87,DanaSehat!$L$13:$AK$56,M$4,FALSE)))</f>
        <v/>
      </c>
      <c r="N87" s="18" t="str">
        <f>IF(ISNUMBER($L$6)=FALSE,"",
        IF(ISERROR(VLOOKUP($G87,DanaSehat!$L$13:$AK$56,N$4,FALSE))=TRUE,"",
              VLOOKUP($G87,DanaSehat!$L$13:$AK$56,N$4,FALSE)))</f>
        <v/>
      </c>
      <c r="O87" s="18" t="str">
        <f>IF(ISNUMBER($L$6)=FALSE,"",
        IF(ISERROR(VLOOKUP($G87,DanaSehat!$L$13:$AK$56,O$4,FALSE))=TRUE,"",
              VLOOKUP($G87,DanaSehat!$L$13:$AK$56,O$4,FALSE)))</f>
        <v/>
      </c>
      <c r="P87" s="18" t="str">
        <f>IF(ISNUMBER($L$6)=FALSE,"",
        IF(ISERROR(VLOOKUP($G87,DanaSehat!$L$13:$AK$56,P$4,FALSE))=TRUE,"",
              VLOOKUP($G87,DanaSehat!$L$13:$AK$56,P$4,FALSE)))</f>
        <v/>
      </c>
      <c r="Q87" s="18" t="str">
        <f>IF(ISNUMBER($L$6)=FALSE,"",
        IF(ISERROR(VLOOKUP($G87,DanaSehat!$L$13:$AK$56,Q$4,FALSE))=TRUE,"",
              VLOOKUP($G87,DanaSehat!$L$13:$AK$56,Q$4,FALSE)))</f>
        <v/>
      </c>
      <c r="R87" s="18" t="str">
        <f>IF(ISNUMBER($L$6)=FALSE,"",
        IF(ISERROR(VLOOKUP($G87,DanaSehat!$L$13:$AK$56,R$4,FALSE))=TRUE,"",
              VLOOKUP($G87,DanaSehat!$L$13:$AK$56,R$4,FALSE)))</f>
        <v/>
      </c>
      <c r="S87" s="18" t="str">
        <f>IF(ISNUMBER($L$6)=FALSE,"",
        IF(ISERROR(VLOOKUP($G87,DanaSehat!$L$13:$AK$56,S$4,FALSE))=TRUE,"",
              VLOOKUP($G87,DanaSehat!$L$13:$AK$56,S$4,FALSE)))</f>
        <v/>
      </c>
      <c r="T87" s="18" t="str">
        <f>IF(ISNUMBER($L$6)=FALSE,"",
        IF(ISERROR(VLOOKUP($G87,DanaSehat!$L$13:$AK$56,T$4,FALSE))=TRUE,"",
              VLOOKUP($G87,DanaSehat!$L$13:$AK$56,T$4,FALSE)))</f>
        <v/>
      </c>
      <c r="U87" s="18" t="str">
        <f>IF(ISNUMBER($L$6)=FALSE,"",
        IF(ISERROR(VLOOKUP($G87,DanaSehat!$L$13:$AK$56,U$4,FALSE))=TRUE,"",
              VLOOKUP($G87,DanaSehat!$L$13:$AK$56,U$4,FALSE)))</f>
        <v/>
      </c>
      <c r="V87" s="18" t="str">
        <f>IF(ISNUMBER($L$6)=FALSE,"",
        IF(ISERROR(VLOOKUP($G87,DanaSehat!$L$13:$AK$56,V$4,FALSE))=TRUE,"",
              VLOOKUP($G87,DanaSehat!$L$13:$AK$56,V$4,FALSE)))</f>
        <v/>
      </c>
      <c r="W87" s="18" t="str">
        <f>IF(ISNUMBER($L$6)=FALSE,"",
        IF(ISERROR(VLOOKUP($G87,DanaSehat!$L$13:$AK$56,W$4,FALSE))=TRUE,"",
              VLOOKUP($G87,DanaSehat!$L$13:$AK$56,W$4,FALSE)))</f>
        <v/>
      </c>
      <c r="X87" s="18" t="str">
        <f>IF(ISNUMBER($L$6)=FALSE,"",
        IF(ISERROR(VLOOKUP($G87,DanaSehat!$L$13:$AK$56,X$4,FALSE))=TRUE,"",
              VLOOKUP($G87,DanaSehat!$L$13:$AK$56,X$4,FALSE)))</f>
        <v/>
      </c>
      <c r="Y87" s="18" t="str">
        <f>IF(ISNUMBER($L$6)=FALSE,"",
        IF(ISERROR(VLOOKUP($G87,DanaSehat!$L$13:$AK$56,Y$4,FALSE))=TRUE,"",
              VLOOKUP($G87,DanaSehat!$L$13:$AK$56,Y$4,FALSE)))</f>
        <v/>
      </c>
      <c r="Z87" s="18" t="str">
        <f>IF(ISNUMBER($L$6)=FALSE,"",
        IF(ISERROR(VLOOKUP($G87,DanaSehat!$L$13:$AK$56,Z$4,FALSE))=TRUE,"",
              VLOOKUP($G87,DanaSehat!$L$13:$AK$56,Z$4,FALSE)))</f>
        <v/>
      </c>
      <c r="AA87" s="18" t="str">
        <f>IF(ISNUMBER($L$6)=FALSE,"",
        IF(ISERROR(VLOOKUP($G87,DanaSehat!$L$13:$AK$56,AA$4,FALSE))=TRUE,"",
              VLOOKUP($G87,DanaSehat!$L$13:$AK$56,AA$4,FALSE)))</f>
        <v/>
      </c>
      <c r="AB87" s="18" t="str">
        <f>IF(ISNUMBER($L$6)=FALSE,"",
        IF(ISERROR(VLOOKUP($G87,DanaSehat!$L$13:$AK$56,AB$4,FALSE))=TRUE,"",
              VLOOKUP($G87,DanaSehat!$L$13:$AK$56,AB$4,FALSE)))</f>
        <v/>
      </c>
      <c r="AC87" s="18" t="str">
        <f>IF(ISNUMBER($L$6)=FALSE,"",
        IF(ISERROR(VLOOKUP($G87,DanaSehat!$L$13:$AK$56,AC$4,FALSE))=TRUE,"",
              VLOOKUP($G87,DanaSehat!$L$13:$AK$56,AC$4,FALSE)))</f>
        <v/>
      </c>
      <c r="AD87" s="18" t="str">
        <f>IF(ISNUMBER($L$6)=FALSE,"",
        IF(ISERROR(VLOOKUP($G87,DanaSehat!$L$13:$AK$56,AD$4,FALSE))=TRUE,"",
              VLOOKUP($G87,DanaSehat!$L$13:$AK$56,AD$4,FALSE)))</f>
        <v/>
      </c>
      <c r="AE87" s="18" t="str">
        <f>IF(ISNUMBER($L$6)=FALSE,"",
        IF(ISERROR(VLOOKUP($G87,DanaSehat!$L$13:$AK$56,AE$4,FALSE))=TRUE,"",
              VLOOKUP($G87,DanaSehat!$L$13:$AK$56,AE$4,FALSE)))</f>
        <v/>
      </c>
      <c r="AF87" s="18" t="str">
        <f>IF(ISNUMBER($L$6)=FALSE,"",
        IF(ISERROR(VLOOKUP($G87,DanaSehat!$L$13:$AK$56,AF$4,FALSE))=TRUE,"",
              VLOOKUP($G87,DanaSehat!$L$13:$AK$56,AF$4,FALSE)))</f>
        <v/>
      </c>
    </row>
    <row r="88" spans="1:32" s="60" customFormat="1" ht="10.5" x14ac:dyDescent="0.25">
      <c r="A88" s="59"/>
      <c r="C88" s="59">
        <f t="shared" si="7"/>
        <v>75</v>
      </c>
      <c r="D88" s="61"/>
      <c r="E88" s="77" t="str">
        <f t="shared" si="8"/>
        <v/>
      </c>
      <c r="F88" s="77" t="str">
        <f>IF(ISNUMBER($L$6)=FALSE,"",
IF($C88=0,"",VLOOKUP($E88,DanaSehat!$H$13:$L$56,4,FALSE)))</f>
        <v/>
      </c>
      <c r="G88" s="77" t="str">
        <f>IF(ISNUMBER($L$6)=FALSE,"",
IF($C88=0,"",VLOOKUP($E88,DanaSehat!$H$13:$L$56,5,FALSE)))</f>
        <v/>
      </c>
      <c r="H88" s="17" t="str">
        <f t="shared" si="9"/>
        <v/>
      </c>
      <c r="I88" s="18" t="str">
        <f>IF(ISNUMBER($L$6)=FALSE,"",
        IF(ISERROR(VLOOKUP($G88,DanaSehat!$L$13:$AK$56,I$4,FALSE))=TRUE,"",
              VLOOKUP($G88,DanaSehat!$L$13:$AK$56,I$4,FALSE)))</f>
        <v/>
      </c>
      <c r="J88" s="18" t="str">
        <f>IF(ISNUMBER($L$6)=FALSE,"",
        IF(ISERROR(VLOOKUP($G88,DanaSehat!$L$13:$AK$56,J$4,FALSE))=TRUE,"",
              VLOOKUP($G88,DanaSehat!$L$13:$AK$56,J$4,FALSE)))</f>
        <v/>
      </c>
      <c r="K88" s="18" t="str">
        <f>IF(ISNUMBER($L$6)=FALSE,"",
        IF(ISERROR(VLOOKUP($G88,DanaSehat!$L$13:$AK$56,K$4,FALSE))=TRUE,"",
              VLOOKUP($G88,DanaSehat!$L$13:$AK$56,K$4,FALSE)))</f>
        <v/>
      </c>
      <c r="L88" s="18" t="str">
        <f>IF(ISNUMBER($L$6)=FALSE,"",
        IF(ISERROR(VLOOKUP($G88,DanaSehat!$L$13:$AK$56,L$4,FALSE))=TRUE,"",
              VLOOKUP($G88,DanaSehat!$L$13:$AK$56,L$4,FALSE)))</f>
        <v/>
      </c>
      <c r="M88" s="18" t="str">
        <f>IF(ISNUMBER($L$6)=FALSE,"",
        IF(ISERROR(VLOOKUP($G88,DanaSehat!$L$13:$AK$56,M$4,FALSE))=TRUE,"",
              VLOOKUP($G88,DanaSehat!$L$13:$AK$56,M$4,FALSE)))</f>
        <v/>
      </c>
      <c r="N88" s="18" t="str">
        <f>IF(ISNUMBER($L$6)=FALSE,"",
        IF(ISERROR(VLOOKUP($G88,DanaSehat!$L$13:$AK$56,N$4,FALSE))=TRUE,"",
              VLOOKUP($G88,DanaSehat!$L$13:$AK$56,N$4,FALSE)))</f>
        <v/>
      </c>
      <c r="O88" s="18" t="str">
        <f>IF(ISNUMBER($L$6)=FALSE,"",
        IF(ISERROR(VLOOKUP($G88,DanaSehat!$L$13:$AK$56,O$4,FALSE))=TRUE,"",
              VLOOKUP($G88,DanaSehat!$L$13:$AK$56,O$4,FALSE)))</f>
        <v/>
      </c>
      <c r="P88" s="18" t="str">
        <f>IF(ISNUMBER($L$6)=FALSE,"",
        IF(ISERROR(VLOOKUP($G88,DanaSehat!$L$13:$AK$56,P$4,FALSE))=TRUE,"",
              VLOOKUP($G88,DanaSehat!$L$13:$AK$56,P$4,FALSE)))</f>
        <v/>
      </c>
      <c r="Q88" s="18" t="str">
        <f>IF(ISNUMBER($L$6)=FALSE,"",
        IF(ISERROR(VLOOKUP($G88,DanaSehat!$L$13:$AK$56,Q$4,FALSE))=TRUE,"",
              VLOOKUP($G88,DanaSehat!$L$13:$AK$56,Q$4,FALSE)))</f>
        <v/>
      </c>
      <c r="R88" s="18" t="str">
        <f>IF(ISNUMBER($L$6)=FALSE,"",
        IF(ISERROR(VLOOKUP($G88,DanaSehat!$L$13:$AK$56,R$4,FALSE))=TRUE,"",
              VLOOKUP($G88,DanaSehat!$L$13:$AK$56,R$4,FALSE)))</f>
        <v/>
      </c>
      <c r="S88" s="18" t="str">
        <f>IF(ISNUMBER($L$6)=FALSE,"",
        IF(ISERROR(VLOOKUP($G88,DanaSehat!$L$13:$AK$56,S$4,FALSE))=TRUE,"",
              VLOOKUP($G88,DanaSehat!$L$13:$AK$56,S$4,FALSE)))</f>
        <v/>
      </c>
      <c r="T88" s="18" t="str">
        <f>IF(ISNUMBER($L$6)=FALSE,"",
        IF(ISERROR(VLOOKUP($G88,DanaSehat!$L$13:$AK$56,T$4,FALSE))=TRUE,"",
              VLOOKUP($G88,DanaSehat!$L$13:$AK$56,T$4,FALSE)))</f>
        <v/>
      </c>
      <c r="U88" s="18" t="str">
        <f>IF(ISNUMBER($L$6)=FALSE,"",
        IF(ISERROR(VLOOKUP($G88,DanaSehat!$L$13:$AK$56,U$4,FALSE))=TRUE,"",
              VLOOKUP($G88,DanaSehat!$L$13:$AK$56,U$4,FALSE)))</f>
        <v/>
      </c>
      <c r="V88" s="18" t="str">
        <f>IF(ISNUMBER($L$6)=FALSE,"",
        IF(ISERROR(VLOOKUP($G88,DanaSehat!$L$13:$AK$56,V$4,FALSE))=TRUE,"",
              VLOOKUP($G88,DanaSehat!$L$13:$AK$56,V$4,FALSE)))</f>
        <v/>
      </c>
      <c r="W88" s="18" t="str">
        <f>IF(ISNUMBER($L$6)=FALSE,"",
        IF(ISERROR(VLOOKUP($G88,DanaSehat!$L$13:$AK$56,W$4,FALSE))=TRUE,"",
              VLOOKUP($G88,DanaSehat!$L$13:$AK$56,W$4,FALSE)))</f>
        <v/>
      </c>
      <c r="X88" s="18" t="str">
        <f>IF(ISNUMBER($L$6)=FALSE,"",
        IF(ISERROR(VLOOKUP($G88,DanaSehat!$L$13:$AK$56,X$4,FALSE))=TRUE,"",
              VLOOKUP($G88,DanaSehat!$L$13:$AK$56,X$4,FALSE)))</f>
        <v/>
      </c>
      <c r="Y88" s="18" t="str">
        <f>IF(ISNUMBER($L$6)=FALSE,"",
        IF(ISERROR(VLOOKUP($G88,DanaSehat!$L$13:$AK$56,Y$4,FALSE))=TRUE,"",
              VLOOKUP($G88,DanaSehat!$L$13:$AK$56,Y$4,FALSE)))</f>
        <v/>
      </c>
      <c r="Z88" s="18" t="str">
        <f>IF(ISNUMBER($L$6)=FALSE,"",
        IF(ISERROR(VLOOKUP($G88,DanaSehat!$L$13:$AK$56,Z$4,FALSE))=TRUE,"",
              VLOOKUP($G88,DanaSehat!$L$13:$AK$56,Z$4,FALSE)))</f>
        <v/>
      </c>
      <c r="AA88" s="18" t="str">
        <f>IF(ISNUMBER($L$6)=FALSE,"",
        IF(ISERROR(VLOOKUP($G88,DanaSehat!$L$13:$AK$56,AA$4,FALSE))=TRUE,"",
              VLOOKUP($G88,DanaSehat!$L$13:$AK$56,AA$4,FALSE)))</f>
        <v/>
      </c>
      <c r="AB88" s="18" t="str">
        <f>IF(ISNUMBER($L$6)=FALSE,"",
        IF(ISERROR(VLOOKUP($G88,DanaSehat!$L$13:$AK$56,AB$4,FALSE))=TRUE,"",
              VLOOKUP($G88,DanaSehat!$L$13:$AK$56,AB$4,FALSE)))</f>
        <v/>
      </c>
      <c r="AC88" s="18" t="str">
        <f>IF(ISNUMBER($L$6)=FALSE,"",
        IF(ISERROR(VLOOKUP($G88,DanaSehat!$L$13:$AK$56,AC$4,FALSE))=TRUE,"",
              VLOOKUP($G88,DanaSehat!$L$13:$AK$56,AC$4,FALSE)))</f>
        <v/>
      </c>
      <c r="AD88" s="18" t="str">
        <f>IF(ISNUMBER($L$6)=FALSE,"",
        IF(ISERROR(VLOOKUP($G88,DanaSehat!$L$13:$AK$56,AD$4,FALSE))=TRUE,"",
              VLOOKUP($G88,DanaSehat!$L$13:$AK$56,AD$4,FALSE)))</f>
        <v/>
      </c>
      <c r="AE88" s="18" t="str">
        <f>IF(ISNUMBER($L$6)=FALSE,"",
        IF(ISERROR(VLOOKUP($G88,DanaSehat!$L$13:$AK$56,AE$4,FALSE))=TRUE,"",
              VLOOKUP($G88,DanaSehat!$L$13:$AK$56,AE$4,FALSE)))</f>
        <v/>
      </c>
      <c r="AF88" s="18" t="str">
        <f>IF(ISNUMBER($L$6)=FALSE,"",
        IF(ISERROR(VLOOKUP($G88,DanaSehat!$L$13:$AK$56,AF$4,FALSE))=TRUE,"",
              VLOOKUP($G88,DanaSehat!$L$13:$AK$56,AF$4,FALSE)))</f>
        <v/>
      </c>
    </row>
    <row r="89" spans="1:32" s="60" customFormat="1" ht="10.5" x14ac:dyDescent="0.25">
      <c r="A89" s="59"/>
      <c r="C89" s="59">
        <f t="shared" si="7"/>
        <v>76</v>
      </c>
      <c r="D89" s="61"/>
      <c r="E89" s="77" t="str">
        <f t="shared" si="8"/>
        <v/>
      </c>
      <c r="F89" s="77" t="str">
        <f>IF(ISNUMBER($L$6)=FALSE,"",
IF($C89=0,"",VLOOKUP($E89,DanaSehat!$H$13:$L$56,4,FALSE)))</f>
        <v/>
      </c>
      <c r="G89" s="77" t="str">
        <f>IF(ISNUMBER($L$6)=FALSE,"",
IF($C89=0,"",VLOOKUP($E89,DanaSehat!$H$13:$L$56,5,FALSE)))</f>
        <v/>
      </c>
      <c r="H89" s="17" t="str">
        <f t="shared" si="9"/>
        <v/>
      </c>
      <c r="I89" s="18" t="str">
        <f>IF(ISNUMBER($L$6)=FALSE,"",
        IF(ISERROR(VLOOKUP($G89,DanaSehat!$L$13:$AK$56,I$4,FALSE))=TRUE,"",
              VLOOKUP($G89,DanaSehat!$L$13:$AK$56,I$4,FALSE)))</f>
        <v/>
      </c>
      <c r="J89" s="18" t="str">
        <f>IF(ISNUMBER($L$6)=FALSE,"",
        IF(ISERROR(VLOOKUP($G89,DanaSehat!$L$13:$AK$56,J$4,FALSE))=TRUE,"",
              VLOOKUP($G89,DanaSehat!$L$13:$AK$56,J$4,FALSE)))</f>
        <v/>
      </c>
      <c r="K89" s="18" t="str">
        <f>IF(ISNUMBER($L$6)=FALSE,"",
        IF(ISERROR(VLOOKUP($G89,DanaSehat!$L$13:$AK$56,K$4,FALSE))=TRUE,"",
              VLOOKUP($G89,DanaSehat!$L$13:$AK$56,K$4,FALSE)))</f>
        <v/>
      </c>
      <c r="L89" s="18" t="str">
        <f>IF(ISNUMBER($L$6)=FALSE,"",
        IF(ISERROR(VLOOKUP($G89,DanaSehat!$L$13:$AK$56,L$4,FALSE))=TRUE,"",
              VLOOKUP($G89,DanaSehat!$L$13:$AK$56,L$4,FALSE)))</f>
        <v/>
      </c>
      <c r="M89" s="18" t="str">
        <f>IF(ISNUMBER($L$6)=FALSE,"",
        IF(ISERROR(VLOOKUP($G89,DanaSehat!$L$13:$AK$56,M$4,FALSE))=TRUE,"",
              VLOOKUP($G89,DanaSehat!$L$13:$AK$56,M$4,FALSE)))</f>
        <v/>
      </c>
      <c r="N89" s="18" t="str">
        <f>IF(ISNUMBER($L$6)=FALSE,"",
        IF(ISERROR(VLOOKUP($G89,DanaSehat!$L$13:$AK$56,N$4,FALSE))=TRUE,"",
              VLOOKUP($G89,DanaSehat!$L$13:$AK$56,N$4,FALSE)))</f>
        <v/>
      </c>
      <c r="O89" s="18" t="str">
        <f>IF(ISNUMBER($L$6)=FALSE,"",
        IF(ISERROR(VLOOKUP($G89,DanaSehat!$L$13:$AK$56,O$4,FALSE))=TRUE,"",
              VLOOKUP($G89,DanaSehat!$L$13:$AK$56,O$4,FALSE)))</f>
        <v/>
      </c>
      <c r="P89" s="18" t="str">
        <f>IF(ISNUMBER($L$6)=FALSE,"",
        IF(ISERROR(VLOOKUP($G89,DanaSehat!$L$13:$AK$56,P$4,FALSE))=TRUE,"",
              VLOOKUP($G89,DanaSehat!$L$13:$AK$56,P$4,FALSE)))</f>
        <v/>
      </c>
      <c r="Q89" s="18" t="str">
        <f>IF(ISNUMBER($L$6)=FALSE,"",
        IF(ISERROR(VLOOKUP($G89,DanaSehat!$L$13:$AK$56,Q$4,FALSE))=TRUE,"",
              VLOOKUP($G89,DanaSehat!$L$13:$AK$56,Q$4,FALSE)))</f>
        <v/>
      </c>
      <c r="R89" s="18" t="str">
        <f>IF(ISNUMBER($L$6)=FALSE,"",
        IF(ISERROR(VLOOKUP($G89,DanaSehat!$L$13:$AK$56,R$4,FALSE))=TRUE,"",
              VLOOKUP($G89,DanaSehat!$L$13:$AK$56,R$4,FALSE)))</f>
        <v/>
      </c>
      <c r="S89" s="18" t="str">
        <f>IF(ISNUMBER($L$6)=FALSE,"",
        IF(ISERROR(VLOOKUP($G89,DanaSehat!$L$13:$AK$56,S$4,FALSE))=TRUE,"",
              VLOOKUP($G89,DanaSehat!$L$13:$AK$56,S$4,FALSE)))</f>
        <v/>
      </c>
      <c r="T89" s="18" t="str">
        <f>IF(ISNUMBER($L$6)=FALSE,"",
        IF(ISERROR(VLOOKUP($G89,DanaSehat!$L$13:$AK$56,T$4,FALSE))=TRUE,"",
              VLOOKUP($G89,DanaSehat!$L$13:$AK$56,T$4,FALSE)))</f>
        <v/>
      </c>
      <c r="U89" s="18" t="str">
        <f>IF(ISNUMBER($L$6)=FALSE,"",
        IF(ISERROR(VLOOKUP($G89,DanaSehat!$L$13:$AK$56,U$4,FALSE))=TRUE,"",
              VLOOKUP($G89,DanaSehat!$L$13:$AK$56,U$4,FALSE)))</f>
        <v/>
      </c>
      <c r="V89" s="18" t="str">
        <f>IF(ISNUMBER($L$6)=FALSE,"",
        IF(ISERROR(VLOOKUP($G89,DanaSehat!$L$13:$AK$56,V$4,FALSE))=TRUE,"",
              VLOOKUP($G89,DanaSehat!$L$13:$AK$56,V$4,FALSE)))</f>
        <v/>
      </c>
      <c r="W89" s="18" t="str">
        <f>IF(ISNUMBER($L$6)=FALSE,"",
        IF(ISERROR(VLOOKUP($G89,DanaSehat!$L$13:$AK$56,W$4,FALSE))=TRUE,"",
              VLOOKUP($G89,DanaSehat!$L$13:$AK$56,W$4,FALSE)))</f>
        <v/>
      </c>
      <c r="X89" s="18" t="str">
        <f>IF(ISNUMBER($L$6)=FALSE,"",
        IF(ISERROR(VLOOKUP($G89,DanaSehat!$L$13:$AK$56,X$4,FALSE))=TRUE,"",
              VLOOKUP($G89,DanaSehat!$L$13:$AK$56,X$4,FALSE)))</f>
        <v/>
      </c>
      <c r="Y89" s="18" t="str">
        <f>IF(ISNUMBER($L$6)=FALSE,"",
        IF(ISERROR(VLOOKUP($G89,DanaSehat!$L$13:$AK$56,Y$4,FALSE))=TRUE,"",
              VLOOKUP($G89,DanaSehat!$L$13:$AK$56,Y$4,FALSE)))</f>
        <v/>
      </c>
      <c r="Z89" s="18" t="str">
        <f>IF(ISNUMBER($L$6)=FALSE,"",
        IF(ISERROR(VLOOKUP($G89,DanaSehat!$L$13:$AK$56,Z$4,FALSE))=TRUE,"",
              VLOOKUP($G89,DanaSehat!$L$13:$AK$56,Z$4,FALSE)))</f>
        <v/>
      </c>
      <c r="AA89" s="18" t="str">
        <f>IF(ISNUMBER($L$6)=FALSE,"",
        IF(ISERROR(VLOOKUP($G89,DanaSehat!$L$13:$AK$56,AA$4,FALSE))=TRUE,"",
              VLOOKUP($G89,DanaSehat!$L$13:$AK$56,AA$4,FALSE)))</f>
        <v/>
      </c>
      <c r="AB89" s="18" t="str">
        <f>IF(ISNUMBER($L$6)=FALSE,"",
        IF(ISERROR(VLOOKUP($G89,DanaSehat!$L$13:$AK$56,AB$4,FALSE))=TRUE,"",
              VLOOKUP($G89,DanaSehat!$L$13:$AK$56,AB$4,FALSE)))</f>
        <v/>
      </c>
      <c r="AC89" s="18" t="str">
        <f>IF(ISNUMBER($L$6)=FALSE,"",
        IF(ISERROR(VLOOKUP($G89,DanaSehat!$L$13:$AK$56,AC$4,FALSE))=TRUE,"",
              VLOOKUP($G89,DanaSehat!$L$13:$AK$56,AC$4,FALSE)))</f>
        <v/>
      </c>
      <c r="AD89" s="18" t="str">
        <f>IF(ISNUMBER($L$6)=FALSE,"",
        IF(ISERROR(VLOOKUP($G89,DanaSehat!$L$13:$AK$56,AD$4,FALSE))=TRUE,"",
              VLOOKUP($G89,DanaSehat!$L$13:$AK$56,AD$4,FALSE)))</f>
        <v/>
      </c>
      <c r="AE89" s="18" t="str">
        <f>IF(ISNUMBER($L$6)=FALSE,"",
        IF(ISERROR(VLOOKUP($G89,DanaSehat!$L$13:$AK$56,AE$4,FALSE))=TRUE,"",
              VLOOKUP($G89,DanaSehat!$L$13:$AK$56,AE$4,FALSE)))</f>
        <v/>
      </c>
      <c r="AF89" s="18" t="str">
        <f>IF(ISNUMBER($L$6)=FALSE,"",
        IF(ISERROR(VLOOKUP($G89,DanaSehat!$L$13:$AK$56,AF$4,FALSE))=TRUE,"",
              VLOOKUP($G89,DanaSehat!$L$13:$AK$56,AF$4,FALSE)))</f>
        <v/>
      </c>
    </row>
    <row r="90" spans="1:32" s="60" customFormat="1" ht="10.5" x14ac:dyDescent="0.25">
      <c r="A90" s="59"/>
      <c r="C90" s="59">
        <f t="shared" si="7"/>
        <v>77</v>
      </c>
      <c r="D90" s="61"/>
      <c r="E90" s="77" t="str">
        <f t="shared" si="8"/>
        <v/>
      </c>
      <c r="F90" s="77" t="str">
        <f>IF(ISNUMBER($L$6)=FALSE,"",
IF($C90=0,"",VLOOKUP($E90,DanaSehat!$H$13:$L$56,4,FALSE)))</f>
        <v/>
      </c>
      <c r="G90" s="77" t="str">
        <f>IF(ISNUMBER($L$6)=FALSE,"",
IF($C90=0,"",VLOOKUP($E90,DanaSehat!$H$13:$L$56,5,FALSE)))</f>
        <v/>
      </c>
      <c r="H90" s="17" t="str">
        <f t="shared" si="9"/>
        <v/>
      </c>
      <c r="I90" s="18" t="str">
        <f>IF(ISNUMBER($L$6)=FALSE,"",
        IF(ISERROR(VLOOKUP($G90,DanaSehat!$L$13:$AK$56,I$4,FALSE))=TRUE,"",
              VLOOKUP($G90,DanaSehat!$L$13:$AK$56,I$4,FALSE)))</f>
        <v/>
      </c>
      <c r="J90" s="18" t="str">
        <f>IF(ISNUMBER($L$6)=FALSE,"",
        IF(ISERROR(VLOOKUP($G90,DanaSehat!$L$13:$AK$56,J$4,FALSE))=TRUE,"",
              VLOOKUP($G90,DanaSehat!$L$13:$AK$56,J$4,FALSE)))</f>
        <v/>
      </c>
      <c r="K90" s="18" t="str">
        <f>IF(ISNUMBER($L$6)=FALSE,"",
        IF(ISERROR(VLOOKUP($G90,DanaSehat!$L$13:$AK$56,K$4,FALSE))=TRUE,"",
              VLOOKUP($G90,DanaSehat!$L$13:$AK$56,K$4,FALSE)))</f>
        <v/>
      </c>
      <c r="L90" s="18" t="str">
        <f>IF(ISNUMBER($L$6)=FALSE,"",
        IF(ISERROR(VLOOKUP($G90,DanaSehat!$L$13:$AK$56,L$4,FALSE))=TRUE,"",
              VLOOKUP($G90,DanaSehat!$L$13:$AK$56,L$4,FALSE)))</f>
        <v/>
      </c>
      <c r="M90" s="18" t="str">
        <f>IF(ISNUMBER($L$6)=FALSE,"",
        IF(ISERROR(VLOOKUP($G90,DanaSehat!$L$13:$AK$56,M$4,FALSE))=TRUE,"",
              VLOOKUP($G90,DanaSehat!$L$13:$AK$56,M$4,FALSE)))</f>
        <v/>
      </c>
      <c r="N90" s="18" t="str">
        <f>IF(ISNUMBER($L$6)=FALSE,"",
        IF(ISERROR(VLOOKUP($G90,DanaSehat!$L$13:$AK$56,N$4,FALSE))=TRUE,"",
              VLOOKUP($G90,DanaSehat!$L$13:$AK$56,N$4,FALSE)))</f>
        <v/>
      </c>
      <c r="O90" s="18" t="str">
        <f>IF(ISNUMBER($L$6)=FALSE,"",
        IF(ISERROR(VLOOKUP($G90,DanaSehat!$L$13:$AK$56,O$4,FALSE))=TRUE,"",
              VLOOKUP($G90,DanaSehat!$L$13:$AK$56,O$4,FALSE)))</f>
        <v/>
      </c>
      <c r="P90" s="18" t="str">
        <f>IF(ISNUMBER($L$6)=FALSE,"",
        IF(ISERROR(VLOOKUP($G90,DanaSehat!$L$13:$AK$56,P$4,FALSE))=TRUE,"",
              VLOOKUP($G90,DanaSehat!$L$13:$AK$56,P$4,FALSE)))</f>
        <v/>
      </c>
      <c r="Q90" s="18" t="str">
        <f>IF(ISNUMBER($L$6)=FALSE,"",
        IF(ISERROR(VLOOKUP($G90,DanaSehat!$L$13:$AK$56,Q$4,FALSE))=TRUE,"",
              VLOOKUP($G90,DanaSehat!$L$13:$AK$56,Q$4,FALSE)))</f>
        <v/>
      </c>
      <c r="R90" s="18" t="str">
        <f>IF(ISNUMBER($L$6)=FALSE,"",
        IF(ISERROR(VLOOKUP($G90,DanaSehat!$L$13:$AK$56,R$4,FALSE))=TRUE,"",
              VLOOKUP($G90,DanaSehat!$L$13:$AK$56,R$4,FALSE)))</f>
        <v/>
      </c>
      <c r="S90" s="18" t="str">
        <f>IF(ISNUMBER($L$6)=FALSE,"",
        IF(ISERROR(VLOOKUP($G90,DanaSehat!$L$13:$AK$56,S$4,FALSE))=TRUE,"",
              VLOOKUP($G90,DanaSehat!$L$13:$AK$56,S$4,FALSE)))</f>
        <v/>
      </c>
      <c r="T90" s="18" t="str">
        <f>IF(ISNUMBER($L$6)=FALSE,"",
        IF(ISERROR(VLOOKUP($G90,DanaSehat!$L$13:$AK$56,T$4,FALSE))=TRUE,"",
              VLOOKUP($G90,DanaSehat!$L$13:$AK$56,T$4,FALSE)))</f>
        <v/>
      </c>
      <c r="U90" s="18" t="str">
        <f>IF(ISNUMBER($L$6)=FALSE,"",
        IF(ISERROR(VLOOKUP($G90,DanaSehat!$L$13:$AK$56,U$4,FALSE))=TRUE,"",
              VLOOKUP($G90,DanaSehat!$L$13:$AK$56,U$4,FALSE)))</f>
        <v/>
      </c>
      <c r="V90" s="18" t="str">
        <f>IF(ISNUMBER($L$6)=FALSE,"",
        IF(ISERROR(VLOOKUP($G90,DanaSehat!$L$13:$AK$56,V$4,FALSE))=TRUE,"",
              VLOOKUP($G90,DanaSehat!$L$13:$AK$56,V$4,FALSE)))</f>
        <v/>
      </c>
      <c r="W90" s="18" t="str">
        <f>IF(ISNUMBER($L$6)=FALSE,"",
        IF(ISERROR(VLOOKUP($G90,DanaSehat!$L$13:$AK$56,W$4,FALSE))=TRUE,"",
              VLOOKUP($G90,DanaSehat!$L$13:$AK$56,W$4,FALSE)))</f>
        <v/>
      </c>
      <c r="X90" s="18" t="str">
        <f>IF(ISNUMBER($L$6)=FALSE,"",
        IF(ISERROR(VLOOKUP($G90,DanaSehat!$L$13:$AK$56,X$4,FALSE))=TRUE,"",
              VLOOKUP($G90,DanaSehat!$L$13:$AK$56,X$4,FALSE)))</f>
        <v/>
      </c>
      <c r="Y90" s="18" t="str">
        <f>IF(ISNUMBER($L$6)=FALSE,"",
        IF(ISERROR(VLOOKUP($G90,DanaSehat!$L$13:$AK$56,Y$4,FALSE))=TRUE,"",
              VLOOKUP($G90,DanaSehat!$L$13:$AK$56,Y$4,FALSE)))</f>
        <v/>
      </c>
      <c r="Z90" s="18" t="str">
        <f>IF(ISNUMBER($L$6)=FALSE,"",
        IF(ISERROR(VLOOKUP($G90,DanaSehat!$L$13:$AK$56,Z$4,FALSE))=TRUE,"",
              VLOOKUP($G90,DanaSehat!$L$13:$AK$56,Z$4,FALSE)))</f>
        <v/>
      </c>
      <c r="AA90" s="18" t="str">
        <f>IF(ISNUMBER($L$6)=FALSE,"",
        IF(ISERROR(VLOOKUP($G90,DanaSehat!$L$13:$AK$56,AA$4,FALSE))=TRUE,"",
              VLOOKUP($G90,DanaSehat!$L$13:$AK$56,AA$4,FALSE)))</f>
        <v/>
      </c>
      <c r="AB90" s="18" t="str">
        <f>IF(ISNUMBER($L$6)=FALSE,"",
        IF(ISERROR(VLOOKUP($G90,DanaSehat!$L$13:$AK$56,AB$4,FALSE))=TRUE,"",
              VLOOKUP($G90,DanaSehat!$L$13:$AK$56,AB$4,FALSE)))</f>
        <v/>
      </c>
      <c r="AC90" s="18" t="str">
        <f>IF(ISNUMBER($L$6)=FALSE,"",
        IF(ISERROR(VLOOKUP($G90,DanaSehat!$L$13:$AK$56,AC$4,FALSE))=TRUE,"",
              VLOOKUP($G90,DanaSehat!$L$13:$AK$56,AC$4,FALSE)))</f>
        <v/>
      </c>
      <c r="AD90" s="18" t="str">
        <f>IF(ISNUMBER($L$6)=FALSE,"",
        IF(ISERROR(VLOOKUP($G90,DanaSehat!$L$13:$AK$56,AD$4,FALSE))=TRUE,"",
              VLOOKUP($G90,DanaSehat!$L$13:$AK$56,AD$4,FALSE)))</f>
        <v/>
      </c>
      <c r="AE90" s="18" t="str">
        <f>IF(ISNUMBER($L$6)=FALSE,"",
        IF(ISERROR(VLOOKUP($G90,DanaSehat!$L$13:$AK$56,AE$4,FALSE))=TRUE,"",
              VLOOKUP($G90,DanaSehat!$L$13:$AK$56,AE$4,FALSE)))</f>
        <v/>
      </c>
      <c r="AF90" s="18" t="str">
        <f>IF(ISNUMBER($L$6)=FALSE,"",
        IF(ISERROR(VLOOKUP($G90,DanaSehat!$L$13:$AK$56,AF$4,FALSE))=TRUE,"",
              VLOOKUP($G90,DanaSehat!$L$13:$AK$56,AF$4,FALSE)))</f>
        <v/>
      </c>
    </row>
    <row r="91" spans="1:32" s="60" customFormat="1" ht="10.5" x14ac:dyDescent="0.25">
      <c r="A91" s="59"/>
      <c r="C91" s="59">
        <f t="shared" si="7"/>
        <v>78</v>
      </c>
      <c r="D91" s="61"/>
      <c r="E91" s="77" t="str">
        <f t="shared" si="8"/>
        <v/>
      </c>
      <c r="F91" s="77" t="str">
        <f>IF(ISNUMBER($L$6)=FALSE,"",
IF($C91=0,"",VLOOKUP($E91,DanaSehat!$H$13:$L$56,4,FALSE)))</f>
        <v/>
      </c>
      <c r="G91" s="77" t="str">
        <f>IF(ISNUMBER($L$6)=FALSE,"",
IF($C91=0,"",VLOOKUP($E91,DanaSehat!$H$13:$L$56,5,FALSE)))</f>
        <v/>
      </c>
      <c r="H91" s="17" t="str">
        <f t="shared" si="9"/>
        <v/>
      </c>
      <c r="I91" s="18" t="str">
        <f>IF(ISNUMBER($L$6)=FALSE,"",
        IF(ISERROR(VLOOKUP($G91,DanaSehat!$L$13:$AK$56,I$4,FALSE))=TRUE,"",
              VLOOKUP($G91,DanaSehat!$L$13:$AK$56,I$4,FALSE)))</f>
        <v/>
      </c>
      <c r="J91" s="18" t="str">
        <f>IF(ISNUMBER($L$6)=FALSE,"",
        IF(ISERROR(VLOOKUP($G91,DanaSehat!$L$13:$AK$56,J$4,FALSE))=TRUE,"",
              VLOOKUP($G91,DanaSehat!$L$13:$AK$56,J$4,FALSE)))</f>
        <v/>
      </c>
      <c r="K91" s="18" t="str">
        <f>IF(ISNUMBER($L$6)=FALSE,"",
        IF(ISERROR(VLOOKUP($G91,DanaSehat!$L$13:$AK$56,K$4,FALSE))=TRUE,"",
              VLOOKUP($G91,DanaSehat!$L$13:$AK$56,K$4,FALSE)))</f>
        <v/>
      </c>
      <c r="L91" s="18" t="str">
        <f>IF(ISNUMBER($L$6)=FALSE,"",
        IF(ISERROR(VLOOKUP($G91,DanaSehat!$L$13:$AK$56,L$4,FALSE))=TRUE,"",
              VLOOKUP($G91,DanaSehat!$L$13:$AK$56,L$4,FALSE)))</f>
        <v/>
      </c>
      <c r="M91" s="18" t="str">
        <f>IF(ISNUMBER($L$6)=FALSE,"",
        IF(ISERROR(VLOOKUP($G91,DanaSehat!$L$13:$AK$56,M$4,FALSE))=TRUE,"",
              VLOOKUP($G91,DanaSehat!$L$13:$AK$56,M$4,FALSE)))</f>
        <v/>
      </c>
      <c r="N91" s="18" t="str">
        <f>IF(ISNUMBER($L$6)=FALSE,"",
        IF(ISERROR(VLOOKUP($G91,DanaSehat!$L$13:$AK$56,N$4,FALSE))=TRUE,"",
              VLOOKUP($G91,DanaSehat!$L$13:$AK$56,N$4,FALSE)))</f>
        <v/>
      </c>
      <c r="O91" s="18" t="str">
        <f>IF(ISNUMBER($L$6)=FALSE,"",
        IF(ISERROR(VLOOKUP($G91,DanaSehat!$L$13:$AK$56,O$4,FALSE))=TRUE,"",
              VLOOKUP($G91,DanaSehat!$L$13:$AK$56,O$4,FALSE)))</f>
        <v/>
      </c>
      <c r="P91" s="18" t="str">
        <f>IF(ISNUMBER($L$6)=FALSE,"",
        IF(ISERROR(VLOOKUP($G91,DanaSehat!$L$13:$AK$56,P$4,FALSE))=TRUE,"",
              VLOOKUP($G91,DanaSehat!$L$13:$AK$56,P$4,FALSE)))</f>
        <v/>
      </c>
      <c r="Q91" s="18" t="str">
        <f>IF(ISNUMBER($L$6)=FALSE,"",
        IF(ISERROR(VLOOKUP($G91,DanaSehat!$L$13:$AK$56,Q$4,FALSE))=TRUE,"",
              VLOOKUP($G91,DanaSehat!$L$13:$AK$56,Q$4,FALSE)))</f>
        <v/>
      </c>
      <c r="R91" s="18" t="str">
        <f>IF(ISNUMBER($L$6)=FALSE,"",
        IF(ISERROR(VLOOKUP($G91,DanaSehat!$L$13:$AK$56,R$4,FALSE))=TRUE,"",
              VLOOKUP($G91,DanaSehat!$L$13:$AK$56,R$4,FALSE)))</f>
        <v/>
      </c>
      <c r="S91" s="18" t="str">
        <f>IF(ISNUMBER($L$6)=FALSE,"",
        IF(ISERROR(VLOOKUP($G91,DanaSehat!$L$13:$AK$56,S$4,FALSE))=TRUE,"",
              VLOOKUP($G91,DanaSehat!$L$13:$AK$56,S$4,FALSE)))</f>
        <v/>
      </c>
      <c r="T91" s="18" t="str">
        <f>IF(ISNUMBER($L$6)=FALSE,"",
        IF(ISERROR(VLOOKUP($G91,DanaSehat!$L$13:$AK$56,T$4,FALSE))=TRUE,"",
              VLOOKUP($G91,DanaSehat!$L$13:$AK$56,T$4,FALSE)))</f>
        <v/>
      </c>
      <c r="U91" s="18" t="str">
        <f>IF(ISNUMBER($L$6)=FALSE,"",
        IF(ISERROR(VLOOKUP($G91,DanaSehat!$L$13:$AK$56,U$4,FALSE))=TRUE,"",
              VLOOKUP($G91,DanaSehat!$L$13:$AK$56,U$4,FALSE)))</f>
        <v/>
      </c>
      <c r="V91" s="18" t="str">
        <f>IF(ISNUMBER($L$6)=FALSE,"",
        IF(ISERROR(VLOOKUP($G91,DanaSehat!$L$13:$AK$56,V$4,FALSE))=TRUE,"",
              VLOOKUP($G91,DanaSehat!$L$13:$AK$56,V$4,FALSE)))</f>
        <v/>
      </c>
      <c r="W91" s="18" t="str">
        <f>IF(ISNUMBER($L$6)=FALSE,"",
        IF(ISERROR(VLOOKUP($G91,DanaSehat!$L$13:$AK$56,W$4,FALSE))=TRUE,"",
              VLOOKUP($G91,DanaSehat!$L$13:$AK$56,W$4,FALSE)))</f>
        <v/>
      </c>
      <c r="X91" s="18" t="str">
        <f>IF(ISNUMBER($L$6)=FALSE,"",
        IF(ISERROR(VLOOKUP($G91,DanaSehat!$L$13:$AK$56,X$4,FALSE))=TRUE,"",
              VLOOKUP($G91,DanaSehat!$L$13:$AK$56,X$4,FALSE)))</f>
        <v/>
      </c>
      <c r="Y91" s="18" t="str">
        <f>IF(ISNUMBER($L$6)=FALSE,"",
        IF(ISERROR(VLOOKUP($G91,DanaSehat!$L$13:$AK$56,Y$4,FALSE))=TRUE,"",
              VLOOKUP($G91,DanaSehat!$L$13:$AK$56,Y$4,FALSE)))</f>
        <v/>
      </c>
      <c r="Z91" s="18" t="str">
        <f>IF(ISNUMBER($L$6)=FALSE,"",
        IF(ISERROR(VLOOKUP($G91,DanaSehat!$L$13:$AK$56,Z$4,FALSE))=TRUE,"",
              VLOOKUP($G91,DanaSehat!$L$13:$AK$56,Z$4,FALSE)))</f>
        <v/>
      </c>
      <c r="AA91" s="18" t="str">
        <f>IF(ISNUMBER($L$6)=FALSE,"",
        IF(ISERROR(VLOOKUP($G91,DanaSehat!$L$13:$AK$56,AA$4,FALSE))=TRUE,"",
              VLOOKUP($G91,DanaSehat!$L$13:$AK$56,AA$4,FALSE)))</f>
        <v/>
      </c>
      <c r="AB91" s="18" t="str">
        <f>IF(ISNUMBER($L$6)=FALSE,"",
        IF(ISERROR(VLOOKUP($G91,DanaSehat!$L$13:$AK$56,AB$4,FALSE))=TRUE,"",
              VLOOKUP($G91,DanaSehat!$L$13:$AK$56,AB$4,FALSE)))</f>
        <v/>
      </c>
      <c r="AC91" s="18" t="str">
        <f>IF(ISNUMBER($L$6)=FALSE,"",
        IF(ISERROR(VLOOKUP($G91,DanaSehat!$L$13:$AK$56,AC$4,FALSE))=TRUE,"",
              VLOOKUP($G91,DanaSehat!$L$13:$AK$56,AC$4,FALSE)))</f>
        <v/>
      </c>
      <c r="AD91" s="18" t="str">
        <f>IF(ISNUMBER($L$6)=FALSE,"",
        IF(ISERROR(VLOOKUP($G91,DanaSehat!$L$13:$AK$56,AD$4,FALSE))=TRUE,"",
              VLOOKUP($G91,DanaSehat!$L$13:$AK$56,AD$4,FALSE)))</f>
        <v/>
      </c>
      <c r="AE91" s="18" t="str">
        <f>IF(ISNUMBER($L$6)=FALSE,"",
        IF(ISERROR(VLOOKUP($G91,DanaSehat!$L$13:$AK$56,AE$4,FALSE))=TRUE,"",
              VLOOKUP($G91,DanaSehat!$L$13:$AK$56,AE$4,FALSE)))</f>
        <v/>
      </c>
      <c r="AF91" s="18" t="str">
        <f>IF(ISNUMBER($L$6)=FALSE,"",
        IF(ISERROR(VLOOKUP($G91,DanaSehat!$L$13:$AK$56,AF$4,FALSE))=TRUE,"",
              VLOOKUP($G91,DanaSehat!$L$13:$AK$56,AF$4,FALSE)))</f>
        <v/>
      </c>
    </row>
    <row r="92" spans="1:32" s="60" customFormat="1" ht="10.5" x14ac:dyDescent="0.25">
      <c r="A92" s="59"/>
      <c r="C92" s="59">
        <f t="shared" si="7"/>
        <v>79</v>
      </c>
      <c r="D92" s="61"/>
      <c r="E92" s="77" t="str">
        <f t="shared" si="8"/>
        <v/>
      </c>
      <c r="F92" s="77" t="str">
        <f>IF(ISNUMBER($L$6)=FALSE,"",
IF($C92=0,"",VLOOKUP($E92,DanaSehat!$H$13:$L$56,4,FALSE)))</f>
        <v/>
      </c>
      <c r="G92" s="77" t="str">
        <f>IF(ISNUMBER($L$6)=FALSE,"",
IF($C92=0,"",VLOOKUP($E92,DanaSehat!$H$13:$L$56,5,FALSE)))</f>
        <v/>
      </c>
      <c r="H92" s="17" t="str">
        <f t="shared" si="9"/>
        <v/>
      </c>
      <c r="I92" s="18" t="str">
        <f>IF(ISNUMBER($L$6)=FALSE,"",
        IF(ISERROR(VLOOKUP($G92,DanaSehat!$L$13:$AK$56,I$4,FALSE))=TRUE,"",
              VLOOKUP($G92,DanaSehat!$L$13:$AK$56,I$4,FALSE)))</f>
        <v/>
      </c>
      <c r="J92" s="18" t="str">
        <f>IF(ISNUMBER($L$6)=FALSE,"",
        IF(ISERROR(VLOOKUP($G92,DanaSehat!$L$13:$AK$56,J$4,FALSE))=TRUE,"",
              VLOOKUP($G92,DanaSehat!$L$13:$AK$56,J$4,FALSE)))</f>
        <v/>
      </c>
      <c r="K92" s="18" t="str">
        <f>IF(ISNUMBER($L$6)=FALSE,"",
        IF(ISERROR(VLOOKUP($G92,DanaSehat!$L$13:$AK$56,K$4,FALSE))=TRUE,"",
              VLOOKUP($G92,DanaSehat!$L$13:$AK$56,K$4,FALSE)))</f>
        <v/>
      </c>
      <c r="L92" s="18" t="str">
        <f>IF(ISNUMBER($L$6)=FALSE,"",
        IF(ISERROR(VLOOKUP($G92,DanaSehat!$L$13:$AK$56,L$4,FALSE))=TRUE,"",
              VLOOKUP($G92,DanaSehat!$L$13:$AK$56,L$4,FALSE)))</f>
        <v/>
      </c>
      <c r="M92" s="18" t="str">
        <f>IF(ISNUMBER($L$6)=FALSE,"",
        IF(ISERROR(VLOOKUP($G92,DanaSehat!$L$13:$AK$56,M$4,FALSE))=TRUE,"",
              VLOOKUP($G92,DanaSehat!$L$13:$AK$56,M$4,FALSE)))</f>
        <v/>
      </c>
      <c r="N92" s="18" t="str">
        <f>IF(ISNUMBER($L$6)=FALSE,"",
        IF(ISERROR(VLOOKUP($G92,DanaSehat!$L$13:$AK$56,N$4,FALSE))=TRUE,"",
              VLOOKUP($G92,DanaSehat!$L$13:$AK$56,N$4,FALSE)))</f>
        <v/>
      </c>
      <c r="O92" s="18" t="str">
        <f>IF(ISNUMBER($L$6)=FALSE,"",
        IF(ISERROR(VLOOKUP($G92,DanaSehat!$L$13:$AK$56,O$4,FALSE))=TRUE,"",
              VLOOKUP($G92,DanaSehat!$L$13:$AK$56,O$4,FALSE)))</f>
        <v/>
      </c>
      <c r="P92" s="18" t="str">
        <f>IF(ISNUMBER($L$6)=FALSE,"",
        IF(ISERROR(VLOOKUP($G92,DanaSehat!$L$13:$AK$56,P$4,FALSE))=TRUE,"",
              VLOOKUP($G92,DanaSehat!$L$13:$AK$56,P$4,FALSE)))</f>
        <v/>
      </c>
      <c r="Q92" s="18" t="str">
        <f>IF(ISNUMBER($L$6)=FALSE,"",
        IF(ISERROR(VLOOKUP($G92,DanaSehat!$L$13:$AK$56,Q$4,FALSE))=TRUE,"",
              VLOOKUP($G92,DanaSehat!$L$13:$AK$56,Q$4,FALSE)))</f>
        <v/>
      </c>
      <c r="R92" s="18" t="str">
        <f>IF(ISNUMBER($L$6)=FALSE,"",
        IF(ISERROR(VLOOKUP($G92,DanaSehat!$L$13:$AK$56,R$4,FALSE))=TRUE,"",
              VLOOKUP($G92,DanaSehat!$L$13:$AK$56,R$4,FALSE)))</f>
        <v/>
      </c>
      <c r="S92" s="18" t="str">
        <f>IF(ISNUMBER($L$6)=FALSE,"",
        IF(ISERROR(VLOOKUP($G92,DanaSehat!$L$13:$AK$56,S$4,FALSE))=TRUE,"",
              VLOOKUP($G92,DanaSehat!$L$13:$AK$56,S$4,FALSE)))</f>
        <v/>
      </c>
      <c r="T92" s="18" t="str">
        <f>IF(ISNUMBER($L$6)=FALSE,"",
        IF(ISERROR(VLOOKUP($G92,DanaSehat!$L$13:$AK$56,T$4,FALSE))=TRUE,"",
              VLOOKUP($G92,DanaSehat!$L$13:$AK$56,T$4,FALSE)))</f>
        <v/>
      </c>
      <c r="U92" s="18" t="str">
        <f>IF(ISNUMBER($L$6)=FALSE,"",
        IF(ISERROR(VLOOKUP($G92,DanaSehat!$L$13:$AK$56,U$4,FALSE))=TRUE,"",
              VLOOKUP($G92,DanaSehat!$L$13:$AK$56,U$4,FALSE)))</f>
        <v/>
      </c>
      <c r="V92" s="18" t="str">
        <f>IF(ISNUMBER($L$6)=FALSE,"",
        IF(ISERROR(VLOOKUP($G92,DanaSehat!$L$13:$AK$56,V$4,FALSE))=TRUE,"",
              VLOOKUP($G92,DanaSehat!$L$13:$AK$56,V$4,FALSE)))</f>
        <v/>
      </c>
      <c r="W92" s="18" t="str">
        <f>IF(ISNUMBER($L$6)=FALSE,"",
        IF(ISERROR(VLOOKUP($G92,DanaSehat!$L$13:$AK$56,W$4,FALSE))=TRUE,"",
              VLOOKUP($G92,DanaSehat!$L$13:$AK$56,W$4,FALSE)))</f>
        <v/>
      </c>
      <c r="X92" s="18" t="str">
        <f>IF(ISNUMBER($L$6)=FALSE,"",
        IF(ISERROR(VLOOKUP($G92,DanaSehat!$L$13:$AK$56,X$4,FALSE))=TRUE,"",
              VLOOKUP($G92,DanaSehat!$L$13:$AK$56,X$4,FALSE)))</f>
        <v/>
      </c>
      <c r="Y92" s="18" t="str">
        <f>IF(ISNUMBER($L$6)=FALSE,"",
        IF(ISERROR(VLOOKUP($G92,DanaSehat!$L$13:$AK$56,Y$4,FALSE))=TRUE,"",
              VLOOKUP($G92,DanaSehat!$L$13:$AK$56,Y$4,FALSE)))</f>
        <v/>
      </c>
      <c r="Z92" s="18" t="str">
        <f>IF(ISNUMBER($L$6)=FALSE,"",
        IF(ISERROR(VLOOKUP($G92,DanaSehat!$L$13:$AK$56,Z$4,FALSE))=TRUE,"",
              VLOOKUP($G92,DanaSehat!$L$13:$AK$56,Z$4,FALSE)))</f>
        <v/>
      </c>
      <c r="AA92" s="18" t="str">
        <f>IF(ISNUMBER($L$6)=FALSE,"",
        IF(ISERROR(VLOOKUP($G92,DanaSehat!$L$13:$AK$56,AA$4,FALSE))=TRUE,"",
              VLOOKUP($G92,DanaSehat!$L$13:$AK$56,AA$4,FALSE)))</f>
        <v/>
      </c>
      <c r="AB92" s="18" t="str">
        <f>IF(ISNUMBER($L$6)=FALSE,"",
        IF(ISERROR(VLOOKUP($G92,DanaSehat!$L$13:$AK$56,AB$4,FALSE))=TRUE,"",
              VLOOKUP($G92,DanaSehat!$L$13:$AK$56,AB$4,FALSE)))</f>
        <v/>
      </c>
      <c r="AC92" s="18" t="str">
        <f>IF(ISNUMBER($L$6)=FALSE,"",
        IF(ISERROR(VLOOKUP($G92,DanaSehat!$L$13:$AK$56,AC$4,FALSE))=TRUE,"",
              VLOOKUP($G92,DanaSehat!$L$13:$AK$56,AC$4,FALSE)))</f>
        <v/>
      </c>
      <c r="AD92" s="18" t="str">
        <f>IF(ISNUMBER($L$6)=FALSE,"",
        IF(ISERROR(VLOOKUP($G92,DanaSehat!$L$13:$AK$56,AD$4,FALSE))=TRUE,"",
              VLOOKUP($G92,DanaSehat!$L$13:$AK$56,AD$4,FALSE)))</f>
        <v/>
      </c>
      <c r="AE92" s="18" t="str">
        <f>IF(ISNUMBER($L$6)=FALSE,"",
        IF(ISERROR(VLOOKUP($G92,DanaSehat!$L$13:$AK$56,AE$4,FALSE))=TRUE,"",
              VLOOKUP($G92,DanaSehat!$L$13:$AK$56,AE$4,FALSE)))</f>
        <v/>
      </c>
      <c r="AF92" s="18" t="str">
        <f>IF(ISNUMBER($L$6)=FALSE,"",
        IF(ISERROR(VLOOKUP($G92,DanaSehat!$L$13:$AK$56,AF$4,FALSE))=TRUE,"",
              VLOOKUP($G92,DanaSehat!$L$13:$AK$56,AF$4,FALSE)))</f>
        <v/>
      </c>
    </row>
    <row r="93" spans="1:32" s="60" customFormat="1" ht="10.5" x14ac:dyDescent="0.25">
      <c r="A93" s="59"/>
      <c r="C93" s="59">
        <f t="shared" si="7"/>
        <v>80</v>
      </c>
      <c r="D93" s="61"/>
      <c r="E93" s="77" t="str">
        <f t="shared" si="8"/>
        <v/>
      </c>
      <c r="F93" s="77" t="str">
        <f>IF(ISNUMBER($L$6)=FALSE,"",
IF($C93=0,"",VLOOKUP($E93,DanaSehat!$H$13:$L$56,4,FALSE)))</f>
        <v/>
      </c>
      <c r="G93" s="77" t="str">
        <f>IF(ISNUMBER($L$6)=FALSE,"",
IF($C93=0,"",VLOOKUP($E93,DanaSehat!$H$13:$L$56,5,FALSE)))</f>
        <v/>
      </c>
      <c r="H93" s="17" t="str">
        <f t="shared" si="9"/>
        <v/>
      </c>
      <c r="I93" s="18" t="str">
        <f>IF(ISNUMBER($L$6)=FALSE,"",
        IF(ISERROR(VLOOKUP($G93,DanaSehat!$L$13:$AK$56,I$4,FALSE))=TRUE,"",
              VLOOKUP($G93,DanaSehat!$L$13:$AK$56,I$4,FALSE)))</f>
        <v/>
      </c>
      <c r="J93" s="18" t="str">
        <f>IF(ISNUMBER($L$6)=FALSE,"",
        IF(ISERROR(VLOOKUP($G93,DanaSehat!$L$13:$AK$56,J$4,FALSE))=TRUE,"",
              VLOOKUP($G93,DanaSehat!$L$13:$AK$56,J$4,FALSE)))</f>
        <v/>
      </c>
      <c r="K93" s="18" t="str">
        <f>IF(ISNUMBER($L$6)=FALSE,"",
        IF(ISERROR(VLOOKUP($G93,DanaSehat!$L$13:$AK$56,K$4,FALSE))=TRUE,"",
              VLOOKUP($G93,DanaSehat!$L$13:$AK$56,K$4,FALSE)))</f>
        <v/>
      </c>
      <c r="L93" s="18" t="str">
        <f>IF(ISNUMBER($L$6)=FALSE,"",
        IF(ISERROR(VLOOKUP($G93,DanaSehat!$L$13:$AK$56,L$4,FALSE))=TRUE,"",
              VLOOKUP($G93,DanaSehat!$L$13:$AK$56,L$4,FALSE)))</f>
        <v/>
      </c>
      <c r="M93" s="18" t="str">
        <f>IF(ISNUMBER($L$6)=FALSE,"",
        IF(ISERROR(VLOOKUP($G93,DanaSehat!$L$13:$AK$56,M$4,FALSE))=TRUE,"",
              VLOOKUP($G93,DanaSehat!$L$13:$AK$56,M$4,FALSE)))</f>
        <v/>
      </c>
      <c r="N93" s="18" t="str">
        <f>IF(ISNUMBER($L$6)=FALSE,"",
        IF(ISERROR(VLOOKUP($G93,DanaSehat!$L$13:$AK$56,N$4,FALSE))=TRUE,"",
              VLOOKUP($G93,DanaSehat!$L$13:$AK$56,N$4,FALSE)))</f>
        <v/>
      </c>
      <c r="O93" s="18" t="str">
        <f>IF(ISNUMBER($L$6)=FALSE,"",
        IF(ISERROR(VLOOKUP($G93,DanaSehat!$L$13:$AK$56,O$4,FALSE))=TRUE,"",
              VLOOKUP($G93,DanaSehat!$L$13:$AK$56,O$4,FALSE)))</f>
        <v/>
      </c>
      <c r="P93" s="18" t="str">
        <f>IF(ISNUMBER($L$6)=FALSE,"",
        IF(ISERROR(VLOOKUP($G93,DanaSehat!$L$13:$AK$56,P$4,FALSE))=TRUE,"",
              VLOOKUP($G93,DanaSehat!$L$13:$AK$56,P$4,FALSE)))</f>
        <v/>
      </c>
      <c r="Q93" s="18" t="str">
        <f>IF(ISNUMBER($L$6)=FALSE,"",
        IF(ISERROR(VLOOKUP($G93,DanaSehat!$L$13:$AK$56,Q$4,FALSE))=TRUE,"",
              VLOOKUP($G93,DanaSehat!$L$13:$AK$56,Q$4,FALSE)))</f>
        <v/>
      </c>
      <c r="R93" s="18" t="str">
        <f>IF(ISNUMBER($L$6)=FALSE,"",
        IF(ISERROR(VLOOKUP($G93,DanaSehat!$L$13:$AK$56,R$4,FALSE))=TRUE,"",
              VLOOKUP($G93,DanaSehat!$L$13:$AK$56,R$4,FALSE)))</f>
        <v/>
      </c>
      <c r="S93" s="18" t="str">
        <f>IF(ISNUMBER($L$6)=FALSE,"",
        IF(ISERROR(VLOOKUP($G93,DanaSehat!$L$13:$AK$56,S$4,FALSE))=TRUE,"",
              VLOOKUP($G93,DanaSehat!$L$13:$AK$56,S$4,FALSE)))</f>
        <v/>
      </c>
      <c r="T93" s="18" t="str">
        <f>IF(ISNUMBER($L$6)=FALSE,"",
        IF(ISERROR(VLOOKUP($G93,DanaSehat!$L$13:$AK$56,T$4,FALSE))=TRUE,"",
              VLOOKUP($G93,DanaSehat!$L$13:$AK$56,T$4,FALSE)))</f>
        <v/>
      </c>
      <c r="U93" s="18" t="str">
        <f>IF(ISNUMBER($L$6)=FALSE,"",
        IF(ISERROR(VLOOKUP($G93,DanaSehat!$L$13:$AK$56,U$4,FALSE))=TRUE,"",
              VLOOKUP($G93,DanaSehat!$L$13:$AK$56,U$4,FALSE)))</f>
        <v/>
      </c>
      <c r="V93" s="18" t="str">
        <f>IF(ISNUMBER($L$6)=FALSE,"",
        IF(ISERROR(VLOOKUP($G93,DanaSehat!$L$13:$AK$56,V$4,FALSE))=TRUE,"",
              VLOOKUP($G93,DanaSehat!$L$13:$AK$56,V$4,FALSE)))</f>
        <v/>
      </c>
      <c r="W93" s="18" t="str">
        <f>IF(ISNUMBER($L$6)=FALSE,"",
        IF(ISERROR(VLOOKUP($G93,DanaSehat!$L$13:$AK$56,W$4,FALSE))=TRUE,"",
              VLOOKUP($G93,DanaSehat!$L$13:$AK$56,W$4,FALSE)))</f>
        <v/>
      </c>
      <c r="X93" s="18" t="str">
        <f>IF(ISNUMBER($L$6)=FALSE,"",
        IF(ISERROR(VLOOKUP($G93,DanaSehat!$L$13:$AK$56,X$4,FALSE))=TRUE,"",
              VLOOKUP($G93,DanaSehat!$L$13:$AK$56,X$4,FALSE)))</f>
        <v/>
      </c>
      <c r="Y93" s="18" t="str">
        <f>IF(ISNUMBER($L$6)=FALSE,"",
        IF(ISERROR(VLOOKUP($G93,DanaSehat!$L$13:$AK$56,Y$4,FALSE))=TRUE,"",
              VLOOKUP($G93,DanaSehat!$L$13:$AK$56,Y$4,FALSE)))</f>
        <v/>
      </c>
      <c r="Z93" s="18" t="str">
        <f>IF(ISNUMBER($L$6)=FALSE,"",
        IF(ISERROR(VLOOKUP($G93,DanaSehat!$L$13:$AK$56,Z$4,FALSE))=TRUE,"",
              VLOOKUP($G93,DanaSehat!$L$13:$AK$56,Z$4,FALSE)))</f>
        <v/>
      </c>
      <c r="AA93" s="18" t="str">
        <f>IF(ISNUMBER($L$6)=FALSE,"",
        IF(ISERROR(VLOOKUP($G93,DanaSehat!$L$13:$AK$56,AA$4,FALSE))=TRUE,"",
              VLOOKUP($G93,DanaSehat!$L$13:$AK$56,AA$4,FALSE)))</f>
        <v/>
      </c>
      <c r="AB93" s="18" t="str">
        <f>IF(ISNUMBER($L$6)=FALSE,"",
        IF(ISERROR(VLOOKUP($G93,DanaSehat!$L$13:$AK$56,AB$4,FALSE))=TRUE,"",
              VLOOKUP($G93,DanaSehat!$L$13:$AK$56,AB$4,FALSE)))</f>
        <v/>
      </c>
      <c r="AC93" s="18" t="str">
        <f>IF(ISNUMBER($L$6)=FALSE,"",
        IF(ISERROR(VLOOKUP($G93,DanaSehat!$L$13:$AK$56,AC$4,FALSE))=TRUE,"",
              VLOOKUP($G93,DanaSehat!$L$13:$AK$56,AC$4,FALSE)))</f>
        <v/>
      </c>
      <c r="AD93" s="18" t="str">
        <f>IF(ISNUMBER($L$6)=FALSE,"",
        IF(ISERROR(VLOOKUP($G93,DanaSehat!$L$13:$AK$56,AD$4,FALSE))=TRUE,"",
              VLOOKUP($G93,DanaSehat!$L$13:$AK$56,AD$4,FALSE)))</f>
        <v/>
      </c>
      <c r="AE93" s="18" t="str">
        <f>IF(ISNUMBER($L$6)=FALSE,"",
        IF(ISERROR(VLOOKUP($G93,DanaSehat!$L$13:$AK$56,AE$4,FALSE))=TRUE,"",
              VLOOKUP($G93,DanaSehat!$L$13:$AK$56,AE$4,FALSE)))</f>
        <v/>
      </c>
      <c r="AF93" s="18" t="str">
        <f>IF(ISNUMBER($L$6)=FALSE,"",
        IF(ISERROR(VLOOKUP($G93,DanaSehat!$L$13:$AK$56,AF$4,FALSE))=TRUE,"",
              VLOOKUP($G93,DanaSehat!$L$13:$AK$56,AF$4,FALSE)))</f>
        <v/>
      </c>
    </row>
    <row r="94" spans="1:32" s="60" customFormat="1" ht="10.5" x14ac:dyDescent="0.25">
      <c r="A94" s="59"/>
      <c r="C94" s="59">
        <f t="shared" si="7"/>
        <v>81</v>
      </c>
      <c r="D94" s="61"/>
      <c r="E94" s="77" t="str">
        <f t="shared" si="8"/>
        <v/>
      </c>
      <c r="F94" s="77" t="str">
        <f>IF(ISNUMBER($L$6)=FALSE,"",
IF($C94=0,"",VLOOKUP($E94,DanaSehat!$H$13:$L$56,4,FALSE)))</f>
        <v/>
      </c>
      <c r="G94" s="77" t="str">
        <f>IF(ISNUMBER($L$6)=FALSE,"",
IF($C94=0,"",VLOOKUP($E94,DanaSehat!$H$13:$L$56,5,FALSE)))</f>
        <v/>
      </c>
      <c r="H94" s="17" t="str">
        <f t="shared" si="9"/>
        <v/>
      </c>
      <c r="I94" s="18" t="str">
        <f>IF(ISNUMBER($L$6)=FALSE,"",
        IF(ISERROR(VLOOKUP($G94,DanaSehat!$L$13:$AK$56,I$4,FALSE))=TRUE,"",
              VLOOKUP($G94,DanaSehat!$L$13:$AK$56,I$4,FALSE)))</f>
        <v/>
      </c>
      <c r="J94" s="18" t="str">
        <f>IF(ISNUMBER($L$6)=FALSE,"",
        IF(ISERROR(VLOOKUP($G94,DanaSehat!$L$13:$AK$56,J$4,FALSE))=TRUE,"",
              VLOOKUP($G94,DanaSehat!$L$13:$AK$56,J$4,FALSE)))</f>
        <v/>
      </c>
      <c r="K94" s="18" t="str">
        <f>IF(ISNUMBER($L$6)=FALSE,"",
        IF(ISERROR(VLOOKUP($G94,DanaSehat!$L$13:$AK$56,K$4,FALSE))=TRUE,"",
              VLOOKUP($G94,DanaSehat!$L$13:$AK$56,K$4,FALSE)))</f>
        <v/>
      </c>
      <c r="L94" s="18" t="str">
        <f>IF(ISNUMBER($L$6)=FALSE,"",
        IF(ISERROR(VLOOKUP($G94,DanaSehat!$L$13:$AK$56,L$4,FALSE))=TRUE,"",
              VLOOKUP($G94,DanaSehat!$L$13:$AK$56,L$4,FALSE)))</f>
        <v/>
      </c>
      <c r="M94" s="18" t="str">
        <f>IF(ISNUMBER($L$6)=FALSE,"",
        IF(ISERROR(VLOOKUP($G94,DanaSehat!$L$13:$AK$56,M$4,FALSE))=TRUE,"",
              VLOOKUP($G94,DanaSehat!$L$13:$AK$56,M$4,FALSE)))</f>
        <v/>
      </c>
      <c r="N94" s="18" t="str">
        <f>IF(ISNUMBER($L$6)=FALSE,"",
        IF(ISERROR(VLOOKUP($G94,DanaSehat!$L$13:$AK$56,N$4,FALSE))=TRUE,"",
              VLOOKUP($G94,DanaSehat!$L$13:$AK$56,N$4,FALSE)))</f>
        <v/>
      </c>
      <c r="O94" s="18" t="str">
        <f>IF(ISNUMBER($L$6)=FALSE,"",
        IF(ISERROR(VLOOKUP($G94,DanaSehat!$L$13:$AK$56,O$4,FALSE))=TRUE,"",
              VLOOKUP($G94,DanaSehat!$L$13:$AK$56,O$4,FALSE)))</f>
        <v/>
      </c>
      <c r="P94" s="18" t="str">
        <f>IF(ISNUMBER($L$6)=FALSE,"",
        IF(ISERROR(VLOOKUP($G94,DanaSehat!$L$13:$AK$56,P$4,FALSE))=TRUE,"",
              VLOOKUP($G94,DanaSehat!$L$13:$AK$56,P$4,FALSE)))</f>
        <v/>
      </c>
      <c r="Q94" s="18" t="str">
        <f>IF(ISNUMBER($L$6)=FALSE,"",
        IF(ISERROR(VLOOKUP($G94,DanaSehat!$L$13:$AK$56,Q$4,FALSE))=TRUE,"",
              VLOOKUP($G94,DanaSehat!$L$13:$AK$56,Q$4,FALSE)))</f>
        <v/>
      </c>
      <c r="R94" s="18" t="str">
        <f>IF(ISNUMBER($L$6)=FALSE,"",
        IF(ISERROR(VLOOKUP($G94,DanaSehat!$L$13:$AK$56,R$4,FALSE))=TRUE,"",
              VLOOKUP($G94,DanaSehat!$L$13:$AK$56,R$4,FALSE)))</f>
        <v/>
      </c>
      <c r="S94" s="18" t="str">
        <f>IF(ISNUMBER($L$6)=FALSE,"",
        IF(ISERROR(VLOOKUP($G94,DanaSehat!$L$13:$AK$56,S$4,FALSE))=TRUE,"",
              VLOOKUP($G94,DanaSehat!$L$13:$AK$56,S$4,FALSE)))</f>
        <v/>
      </c>
      <c r="T94" s="18" t="str">
        <f>IF(ISNUMBER($L$6)=FALSE,"",
        IF(ISERROR(VLOOKUP($G94,DanaSehat!$L$13:$AK$56,T$4,FALSE))=TRUE,"",
              VLOOKUP($G94,DanaSehat!$L$13:$AK$56,T$4,FALSE)))</f>
        <v/>
      </c>
      <c r="U94" s="18" t="str">
        <f>IF(ISNUMBER($L$6)=FALSE,"",
        IF(ISERROR(VLOOKUP($G94,DanaSehat!$L$13:$AK$56,U$4,FALSE))=TRUE,"",
              VLOOKUP($G94,DanaSehat!$L$13:$AK$56,U$4,FALSE)))</f>
        <v/>
      </c>
      <c r="V94" s="18" t="str">
        <f>IF(ISNUMBER($L$6)=FALSE,"",
        IF(ISERROR(VLOOKUP($G94,DanaSehat!$L$13:$AK$56,V$4,FALSE))=TRUE,"",
              VLOOKUP($G94,DanaSehat!$L$13:$AK$56,V$4,FALSE)))</f>
        <v/>
      </c>
      <c r="W94" s="18" t="str">
        <f>IF(ISNUMBER($L$6)=FALSE,"",
        IF(ISERROR(VLOOKUP($G94,DanaSehat!$L$13:$AK$56,W$4,FALSE))=TRUE,"",
              VLOOKUP($G94,DanaSehat!$L$13:$AK$56,W$4,FALSE)))</f>
        <v/>
      </c>
      <c r="X94" s="18" t="str">
        <f>IF(ISNUMBER($L$6)=FALSE,"",
        IF(ISERROR(VLOOKUP($G94,DanaSehat!$L$13:$AK$56,X$4,FALSE))=TRUE,"",
              VLOOKUP($G94,DanaSehat!$L$13:$AK$56,X$4,FALSE)))</f>
        <v/>
      </c>
      <c r="Y94" s="18" t="str">
        <f>IF(ISNUMBER($L$6)=FALSE,"",
        IF(ISERROR(VLOOKUP($G94,DanaSehat!$L$13:$AK$56,Y$4,FALSE))=TRUE,"",
              VLOOKUP($G94,DanaSehat!$L$13:$AK$56,Y$4,FALSE)))</f>
        <v/>
      </c>
      <c r="Z94" s="18" t="str">
        <f>IF(ISNUMBER($L$6)=FALSE,"",
        IF(ISERROR(VLOOKUP($G94,DanaSehat!$L$13:$AK$56,Z$4,FALSE))=TRUE,"",
              VLOOKUP($G94,DanaSehat!$L$13:$AK$56,Z$4,FALSE)))</f>
        <v/>
      </c>
      <c r="AA94" s="18" t="str">
        <f>IF(ISNUMBER($L$6)=FALSE,"",
        IF(ISERROR(VLOOKUP($G94,DanaSehat!$L$13:$AK$56,AA$4,FALSE))=TRUE,"",
              VLOOKUP($G94,DanaSehat!$L$13:$AK$56,AA$4,FALSE)))</f>
        <v/>
      </c>
      <c r="AB94" s="18" t="str">
        <f>IF(ISNUMBER($L$6)=FALSE,"",
        IF(ISERROR(VLOOKUP($G94,DanaSehat!$L$13:$AK$56,AB$4,FALSE))=TRUE,"",
              VLOOKUP($G94,DanaSehat!$L$13:$AK$56,AB$4,FALSE)))</f>
        <v/>
      </c>
      <c r="AC94" s="18" t="str">
        <f>IF(ISNUMBER($L$6)=FALSE,"",
        IF(ISERROR(VLOOKUP($G94,DanaSehat!$L$13:$AK$56,AC$4,FALSE))=TRUE,"",
              VLOOKUP($G94,DanaSehat!$L$13:$AK$56,AC$4,FALSE)))</f>
        <v/>
      </c>
      <c r="AD94" s="18" t="str">
        <f>IF(ISNUMBER($L$6)=FALSE,"",
        IF(ISERROR(VLOOKUP($G94,DanaSehat!$L$13:$AK$56,AD$4,FALSE))=TRUE,"",
              VLOOKUP($G94,DanaSehat!$L$13:$AK$56,AD$4,FALSE)))</f>
        <v/>
      </c>
      <c r="AE94" s="18" t="str">
        <f>IF(ISNUMBER($L$6)=FALSE,"",
        IF(ISERROR(VLOOKUP($G94,DanaSehat!$L$13:$AK$56,AE$4,FALSE))=TRUE,"",
              VLOOKUP($G94,DanaSehat!$L$13:$AK$56,AE$4,FALSE)))</f>
        <v/>
      </c>
      <c r="AF94" s="18" t="str">
        <f>IF(ISNUMBER($L$6)=FALSE,"",
        IF(ISERROR(VLOOKUP($G94,DanaSehat!$L$13:$AK$56,AF$4,FALSE))=TRUE,"",
              VLOOKUP($G94,DanaSehat!$L$13:$AK$56,AF$4,FALSE)))</f>
        <v/>
      </c>
    </row>
    <row r="95" spans="1:32" s="60" customFormat="1" ht="10.5" x14ac:dyDescent="0.25">
      <c r="A95" s="59"/>
      <c r="C95" s="59">
        <f t="shared" si="7"/>
        <v>82</v>
      </c>
      <c r="D95" s="61"/>
      <c r="E95" s="77" t="str">
        <f t="shared" si="8"/>
        <v/>
      </c>
      <c r="F95" s="77" t="str">
        <f>IF(ISNUMBER($L$6)=FALSE,"",
IF($C95=0,"",VLOOKUP($E95,DanaSehat!$H$13:$L$56,4,FALSE)))</f>
        <v/>
      </c>
      <c r="G95" s="77" t="str">
        <f>IF(ISNUMBER($L$6)=FALSE,"",
IF($C95=0,"",VLOOKUP($E95,DanaSehat!$H$13:$L$56,5,FALSE)))</f>
        <v/>
      </c>
      <c r="H95" s="17" t="str">
        <f t="shared" si="9"/>
        <v/>
      </c>
      <c r="I95" s="18" t="str">
        <f>IF(ISNUMBER($L$6)=FALSE,"",
        IF(ISERROR(VLOOKUP($G95,DanaSehat!$L$13:$AK$56,I$4,FALSE))=TRUE,"",
              VLOOKUP($G95,DanaSehat!$L$13:$AK$56,I$4,FALSE)))</f>
        <v/>
      </c>
      <c r="J95" s="18" t="str">
        <f>IF(ISNUMBER($L$6)=FALSE,"",
        IF(ISERROR(VLOOKUP($G95,DanaSehat!$L$13:$AK$56,J$4,FALSE))=TRUE,"",
              VLOOKUP($G95,DanaSehat!$L$13:$AK$56,J$4,FALSE)))</f>
        <v/>
      </c>
      <c r="K95" s="18" t="str">
        <f>IF(ISNUMBER($L$6)=FALSE,"",
        IF(ISERROR(VLOOKUP($G95,DanaSehat!$L$13:$AK$56,K$4,FALSE))=TRUE,"",
              VLOOKUP($G95,DanaSehat!$L$13:$AK$56,K$4,FALSE)))</f>
        <v/>
      </c>
      <c r="L95" s="18" t="str">
        <f>IF(ISNUMBER($L$6)=FALSE,"",
        IF(ISERROR(VLOOKUP($G95,DanaSehat!$L$13:$AK$56,L$4,FALSE))=TRUE,"",
              VLOOKUP($G95,DanaSehat!$L$13:$AK$56,L$4,FALSE)))</f>
        <v/>
      </c>
      <c r="M95" s="18" t="str">
        <f>IF(ISNUMBER($L$6)=FALSE,"",
        IF(ISERROR(VLOOKUP($G95,DanaSehat!$L$13:$AK$56,M$4,FALSE))=TRUE,"",
              VLOOKUP($G95,DanaSehat!$L$13:$AK$56,M$4,FALSE)))</f>
        <v/>
      </c>
      <c r="N95" s="18" t="str">
        <f>IF(ISNUMBER($L$6)=FALSE,"",
        IF(ISERROR(VLOOKUP($G95,DanaSehat!$L$13:$AK$56,N$4,FALSE))=TRUE,"",
              VLOOKUP($G95,DanaSehat!$L$13:$AK$56,N$4,FALSE)))</f>
        <v/>
      </c>
      <c r="O95" s="18" t="str">
        <f>IF(ISNUMBER($L$6)=FALSE,"",
        IF(ISERROR(VLOOKUP($G95,DanaSehat!$L$13:$AK$56,O$4,FALSE))=TRUE,"",
              VLOOKUP($G95,DanaSehat!$L$13:$AK$56,O$4,FALSE)))</f>
        <v/>
      </c>
      <c r="P95" s="18" t="str">
        <f>IF(ISNUMBER($L$6)=FALSE,"",
        IF(ISERROR(VLOOKUP($G95,DanaSehat!$L$13:$AK$56,P$4,FALSE))=TRUE,"",
              VLOOKUP($G95,DanaSehat!$L$13:$AK$56,P$4,FALSE)))</f>
        <v/>
      </c>
      <c r="Q95" s="18" t="str">
        <f>IF(ISNUMBER($L$6)=FALSE,"",
        IF(ISERROR(VLOOKUP($G95,DanaSehat!$L$13:$AK$56,Q$4,FALSE))=TRUE,"",
              VLOOKUP($G95,DanaSehat!$L$13:$AK$56,Q$4,FALSE)))</f>
        <v/>
      </c>
      <c r="R95" s="18" t="str">
        <f>IF(ISNUMBER($L$6)=FALSE,"",
        IF(ISERROR(VLOOKUP($G95,DanaSehat!$L$13:$AK$56,R$4,FALSE))=TRUE,"",
              VLOOKUP($G95,DanaSehat!$L$13:$AK$56,R$4,FALSE)))</f>
        <v/>
      </c>
      <c r="S95" s="18" t="str">
        <f>IF(ISNUMBER($L$6)=FALSE,"",
        IF(ISERROR(VLOOKUP($G95,DanaSehat!$L$13:$AK$56,S$4,FALSE))=TRUE,"",
              VLOOKUP($G95,DanaSehat!$L$13:$AK$56,S$4,FALSE)))</f>
        <v/>
      </c>
      <c r="T95" s="18" t="str">
        <f>IF(ISNUMBER($L$6)=FALSE,"",
        IF(ISERROR(VLOOKUP($G95,DanaSehat!$L$13:$AK$56,T$4,FALSE))=TRUE,"",
              VLOOKUP($G95,DanaSehat!$L$13:$AK$56,T$4,FALSE)))</f>
        <v/>
      </c>
      <c r="U95" s="18" t="str">
        <f>IF(ISNUMBER($L$6)=FALSE,"",
        IF(ISERROR(VLOOKUP($G95,DanaSehat!$L$13:$AK$56,U$4,FALSE))=TRUE,"",
              VLOOKUP($G95,DanaSehat!$L$13:$AK$56,U$4,FALSE)))</f>
        <v/>
      </c>
      <c r="V95" s="18" t="str">
        <f>IF(ISNUMBER($L$6)=FALSE,"",
        IF(ISERROR(VLOOKUP($G95,DanaSehat!$L$13:$AK$56,V$4,FALSE))=TRUE,"",
              VLOOKUP($G95,DanaSehat!$L$13:$AK$56,V$4,FALSE)))</f>
        <v/>
      </c>
      <c r="W95" s="18" t="str">
        <f>IF(ISNUMBER($L$6)=FALSE,"",
        IF(ISERROR(VLOOKUP($G95,DanaSehat!$L$13:$AK$56,W$4,FALSE))=TRUE,"",
              VLOOKUP($G95,DanaSehat!$L$13:$AK$56,W$4,FALSE)))</f>
        <v/>
      </c>
      <c r="X95" s="18" t="str">
        <f>IF(ISNUMBER($L$6)=FALSE,"",
        IF(ISERROR(VLOOKUP($G95,DanaSehat!$L$13:$AK$56,X$4,FALSE))=TRUE,"",
              VLOOKUP($G95,DanaSehat!$L$13:$AK$56,X$4,FALSE)))</f>
        <v/>
      </c>
      <c r="Y95" s="18" t="str">
        <f>IF(ISNUMBER($L$6)=FALSE,"",
        IF(ISERROR(VLOOKUP($G95,DanaSehat!$L$13:$AK$56,Y$4,FALSE))=TRUE,"",
              VLOOKUP($G95,DanaSehat!$L$13:$AK$56,Y$4,FALSE)))</f>
        <v/>
      </c>
      <c r="Z95" s="18" t="str">
        <f>IF(ISNUMBER($L$6)=FALSE,"",
        IF(ISERROR(VLOOKUP($G95,DanaSehat!$L$13:$AK$56,Z$4,FALSE))=TRUE,"",
              VLOOKUP($G95,DanaSehat!$L$13:$AK$56,Z$4,FALSE)))</f>
        <v/>
      </c>
      <c r="AA95" s="18" t="str">
        <f>IF(ISNUMBER($L$6)=FALSE,"",
        IF(ISERROR(VLOOKUP($G95,DanaSehat!$L$13:$AK$56,AA$4,FALSE))=TRUE,"",
              VLOOKUP($G95,DanaSehat!$L$13:$AK$56,AA$4,FALSE)))</f>
        <v/>
      </c>
      <c r="AB95" s="18" t="str">
        <f>IF(ISNUMBER($L$6)=FALSE,"",
        IF(ISERROR(VLOOKUP($G95,DanaSehat!$L$13:$AK$56,AB$4,FALSE))=TRUE,"",
              VLOOKUP($G95,DanaSehat!$L$13:$AK$56,AB$4,FALSE)))</f>
        <v/>
      </c>
      <c r="AC95" s="18" t="str">
        <f>IF(ISNUMBER($L$6)=FALSE,"",
        IF(ISERROR(VLOOKUP($G95,DanaSehat!$L$13:$AK$56,AC$4,FALSE))=TRUE,"",
              VLOOKUP($G95,DanaSehat!$L$13:$AK$56,AC$4,FALSE)))</f>
        <v/>
      </c>
      <c r="AD95" s="18" t="str">
        <f>IF(ISNUMBER($L$6)=FALSE,"",
        IF(ISERROR(VLOOKUP($G95,DanaSehat!$L$13:$AK$56,AD$4,FALSE))=TRUE,"",
              VLOOKUP($G95,DanaSehat!$L$13:$AK$56,AD$4,FALSE)))</f>
        <v/>
      </c>
      <c r="AE95" s="18" t="str">
        <f>IF(ISNUMBER($L$6)=FALSE,"",
        IF(ISERROR(VLOOKUP($G95,DanaSehat!$L$13:$AK$56,AE$4,FALSE))=TRUE,"",
              VLOOKUP($G95,DanaSehat!$L$13:$AK$56,AE$4,FALSE)))</f>
        <v/>
      </c>
      <c r="AF95" s="18" t="str">
        <f>IF(ISNUMBER($L$6)=FALSE,"",
        IF(ISERROR(VLOOKUP($G95,DanaSehat!$L$13:$AK$56,AF$4,FALSE))=TRUE,"",
              VLOOKUP($G95,DanaSehat!$L$13:$AK$56,AF$4,FALSE)))</f>
        <v/>
      </c>
    </row>
    <row r="96" spans="1:32" s="60" customFormat="1" ht="10.5" x14ac:dyDescent="0.25">
      <c r="A96" s="59"/>
      <c r="C96" s="59">
        <f t="shared" si="7"/>
        <v>83</v>
      </c>
      <c r="D96" s="61"/>
      <c r="E96" s="77" t="str">
        <f t="shared" si="8"/>
        <v/>
      </c>
      <c r="F96" s="77" t="str">
        <f>IF(ISNUMBER($L$6)=FALSE,"",
IF($C96=0,"",VLOOKUP($E96,DanaSehat!$H$13:$L$56,4,FALSE)))</f>
        <v/>
      </c>
      <c r="G96" s="77" t="str">
        <f>IF(ISNUMBER($L$6)=FALSE,"",
IF($C96=0,"",VLOOKUP($E96,DanaSehat!$H$13:$L$56,5,FALSE)))</f>
        <v/>
      </c>
      <c r="H96" s="17" t="str">
        <f t="shared" si="9"/>
        <v/>
      </c>
      <c r="I96" s="18" t="str">
        <f>IF(ISNUMBER($L$6)=FALSE,"",
        IF(ISERROR(VLOOKUP($G96,DanaSehat!$L$13:$AK$56,I$4,FALSE))=TRUE,"",
              VLOOKUP($G96,DanaSehat!$L$13:$AK$56,I$4,FALSE)))</f>
        <v/>
      </c>
      <c r="J96" s="18" t="str">
        <f>IF(ISNUMBER($L$6)=FALSE,"",
        IF(ISERROR(VLOOKUP($G96,DanaSehat!$L$13:$AK$56,J$4,FALSE))=TRUE,"",
              VLOOKUP($G96,DanaSehat!$L$13:$AK$56,J$4,FALSE)))</f>
        <v/>
      </c>
      <c r="K96" s="18" t="str">
        <f>IF(ISNUMBER($L$6)=FALSE,"",
        IF(ISERROR(VLOOKUP($G96,DanaSehat!$L$13:$AK$56,K$4,FALSE))=TRUE,"",
              VLOOKUP($G96,DanaSehat!$L$13:$AK$56,K$4,FALSE)))</f>
        <v/>
      </c>
      <c r="L96" s="18" t="str">
        <f>IF(ISNUMBER($L$6)=FALSE,"",
        IF(ISERROR(VLOOKUP($G96,DanaSehat!$L$13:$AK$56,L$4,FALSE))=TRUE,"",
              VLOOKUP($G96,DanaSehat!$L$13:$AK$56,L$4,FALSE)))</f>
        <v/>
      </c>
      <c r="M96" s="18" t="str">
        <f>IF(ISNUMBER($L$6)=FALSE,"",
        IF(ISERROR(VLOOKUP($G96,DanaSehat!$L$13:$AK$56,M$4,FALSE))=TRUE,"",
              VLOOKUP($G96,DanaSehat!$L$13:$AK$56,M$4,FALSE)))</f>
        <v/>
      </c>
      <c r="N96" s="18" t="str">
        <f>IF(ISNUMBER($L$6)=FALSE,"",
        IF(ISERROR(VLOOKUP($G96,DanaSehat!$L$13:$AK$56,N$4,FALSE))=TRUE,"",
              VLOOKUP($G96,DanaSehat!$L$13:$AK$56,N$4,FALSE)))</f>
        <v/>
      </c>
      <c r="O96" s="18" t="str">
        <f>IF(ISNUMBER($L$6)=FALSE,"",
        IF(ISERROR(VLOOKUP($G96,DanaSehat!$L$13:$AK$56,O$4,FALSE))=TRUE,"",
              VLOOKUP($G96,DanaSehat!$L$13:$AK$56,O$4,FALSE)))</f>
        <v/>
      </c>
      <c r="P96" s="18" t="str">
        <f>IF(ISNUMBER($L$6)=FALSE,"",
        IF(ISERROR(VLOOKUP($G96,DanaSehat!$L$13:$AK$56,P$4,FALSE))=TRUE,"",
              VLOOKUP($G96,DanaSehat!$L$13:$AK$56,P$4,FALSE)))</f>
        <v/>
      </c>
      <c r="Q96" s="18" t="str">
        <f>IF(ISNUMBER($L$6)=FALSE,"",
        IF(ISERROR(VLOOKUP($G96,DanaSehat!$L$13:$AK$56,Q$4,FALSE))=TRUE,"",
              VLOOKUP($G96,DanaSehat!$L$13:$AK$56,Q$4,FALSE)))</f>
        <v/>
      </c>
      <c r="R96" s="18" t="str">
        <f>IF(ISNUMBER($L$6)=FALSE,"",
        IF(ISERROR(VLOOKUP($G96,DanaSehat!$L$13:$AK$56,R$4,FALSE))=TRUE,"",
              VLOOKUP($G96,DanaSehat!$L$13:$AK$56,R$4,FALSE)))</f>
        <v/>
      </c>
      <c r="S96" s="18" t="str">
        <f>IF(ISNUMBER($L$6)=FALSE,"",
        IF(ISERROR(VLOOKUP($G96,DanaSehat!$L$13:$AK$56,S$4,FALSE))=TRUE,"",
              VLOOKUP($G96,DanaSehat!$L$13:$AK$56,S$4,FALSE)))</f>
        <v/>
      </c>
      <c r="T96" s="18" t="str">
        <f>IF(ISNUMBER($L$6)=FALSE,"",
        IF(ISERROR(VLOOKUP($G96,DanaSehat!$L$13:$AK$56,T$4,FALSE))=TRUE,"",
              VLOOKUP($G96,DanaSehat!$L$13:$AK$56,T$4,FALSE)))</f>
        <v/>
      </c>
      <c r="U96" s="18" t="str">
        <f>IF(ISNUMBER($L$6)=FALSE,"",
        IF(ISERROR(VLOOKUP($G96,DanaSehat!$L$13:$AK$56,U$4,FALSE))=TRUE,"",
              VLOOKUP($G96,DanaSehat!$L$13:$AK$56,U$4,FALSE)))</f>
        <v/>
      </c>
      <c r="V96" s="18" t="str">
        <f>IF(ISNUMBER($L$6)=FALSE,"",
        IF(ISERROR(VLOOKUP($G96,DanaSehat!$L$13:$AK$56,V$4,FALSE))=TRUE,"",
              VLOOKUP($G96,DanaSehat!$L$13:$AK$56,V$4,FALSE)))</f>
        <v/>
      </c>
      <c r="W96" s="18" t="str">
        <f>IF(ISNUMBER($L$6)=FALSE,"",
        IF(ISERROR(VLOOKUP($G96,DanaSehat!$L$13:$AK$56,W$4,FALSE))=TRUE,"",
              VLOOKUP($G96,DanaSehat!$L$13:$AK$56,W$4,FALSE)))</f>
        <v/>
      </c>
      <c r="X96" s="18" t="str">
        <f>IF(ISNUMBER($L$6)=FALSE,"",
        IF(ISERROR(VLOOKUP($G96,DanaSehat!$L$13:$AK$56,X$4,FALSE))=TRUE,"",
              VLOOKUP($G96,DanaSehat!$L$13:$AK$56,X$4,FALSE)))</f>
        <v/>
      </c>
      <c r="Y96" s="18" t="str">
        <f>IF(ISNUMBER($L$6)=FALSE,"",
        IF(ISERROR(VLOOKUP($G96,DanaSehat!$L$13:$AK$56,Y$4,FALSE))=TRUE,"",
              VLOOKUP($G96,DanaSehat!$L$13:$AK$56,Y$4,FALSE)))</f>
        <v/>
      </c>
      <c r="Z96" s="18" t="str">
        <f>IF(ISNUMBER($L$6)=FALSE,"",
        IF(ISERROR(VLOOKUP($G96,DanaSehat!$L$13:$AK$56,Z$4,FALSE))=TRUE,"",
              VLOOKUP($G96,DanaSehat!$L$13:$AK$56,Z$4,FALSE)))</f>
        <v/>
      </c>
      <c r="AA96" s="18" t="str">
        <f>IF(ISNUMBER($L$6)=FALSE,"",
        IF(ISERROR(VLOOKUP($G96,DanaSehat!$L$13:$AK$56,AA$4,FALSE))=TRUE,"",
              VLOOKUP($G96,DanaSehat!$L$13:$AK$56,AA$4,FALSE)))</f>
        <v/>
      </c>
      <c r="AB96" s="18" t="str">
        <f>IF(ISNUMBER($L$6)=FALSE,"",
        IF(ISERROR(VLOOKUP($G96,DanaSehat!$L$13:$AK$56,AB$4,FALSE))=TRUE,"",
              VLOOKUP($G96,DanaSehat!$L$13:$AK$56,AB$4,FALSE)))</f>
        <v/>
      </c>
      <c r="AC96" s="18" t="str">
        <f>IF(ISNUMBER($L$6)=FALSE,"",
        IF(ISERROR(VLOOKUP($G96,DanaSehat!$L$13:$AK$56,AC$4,FALSE))=TRUE,"",
              VLOOKUP($G96,DanaSehat!$L$13:$AK$56,AC$4,FALSE)))</f>
        <v/>
      </c>
      <c r="AD96" s="18" t="str">
        <f>IF(ISNUMBER($L$6)=FALSE,"",
        IF(ISERROR(VLOOKUP($G96,DanaSehat!$L$13:$AK$56,AD$4,FALSE))=TRUE,"",
              VLOOKUP($G96,DanaSehat!$L$13:$AK$56,AD$4,FALSE)))</f>
        <v/>
      </c>
      <c r="AE96" s="18" t="str">
        <f>IF(ISNUMBER($L$6)=FALSE,"",
        IF(ISERROR(VLOOKUP($G96,DanaSehat!$L$13:$AK$56,AE$4,FALSE))=TRUE,"",
              VLOOKUP($G96,DanaSehat!$L$13:$AK$56,AE$4,FALSE)))</f>
        <v/>
      </c>
      <c r="AF96" s="18" t="str">
        <f>IF(ISNUMBER($L$6)=FALSE,"",
        IF(ISERROR(VLOOKUP($G96,DanaSehat!$L$13:$AK$56,AF$4,FALSE))=TRUE,"",
              VLOOKUP($G96,DanaSehat!$L$13:$AK$56,AF$4,FALSE)))</f>
        <v/>
      </c>
    </row>
    <row r="97" spans="1:32" s="60" customFormat="1" ht="10.5" x14ac:dyDescent="0.25">
      <c r="A97" s="59"/>
      <c r="C97" s="59">
        <f t="shared" si="7"/>
        <v>84</v>
      </c>
      <c r="D97" s="61"/>
      <c r="E97" s="77" t="str">
        <f t="shared" si="8"/>
        <v/>
      </c>
      <c r="F97" s="77" t="str">
        <f>IF(ISNUMBER($L$6)=FALSE,"",
IF($C97=0,"",VLOOKUP($E97,DanaSehat!$H$13:$L$56,4,FALSE)))</f>
        <v/>
      </c>
      <c r="G97" s="77" t="str">
        <f>IF(ISNUMBER($L$6)=FALSE,"",
IF($C97=0,"",VLOOKUP($E97,DanaSehat!$H$13:$L$56,5,FALSE)))</f>
        <v/>
      </c>
      <c r="H97" s="17" t="str">
        <f t="shared" si="9"/>
        <v/>
      </c>
      <c r="I97" s="18" t="str">
        <f>IF(ISNUMBER($L$6)=FALSE,"",
        IF(ISERROR(VLOOKUP($G97,DanaSehat!$L$13:$AK$56,I$4,FALSE))=TRUE,"",
              VLOOKUP($G97,DanaSehat!$L$13:$AK$56,I$4,FALSE)))</f>
        <v/>
      </c>
      <c r="J97" s="18" t="str">
        <f>IF(ISNUMBER($L$6)=FALSE,"",
        IF(ISERROR(VLOOKUP($G97,DanaSehat!$L$13:$AK$56,J$4,FALSE))=TRUE,"",
              VLOOKUP($G97,DanaSehat!$L$13:$AK$56,J$4,FALSE)))</f>
        <v/>
      </c>
      <c r="K97" s="18" t="str">
        <f>IF(ISNUMBER($L$6)=FALSE,"",
        IF(ISERROR(VLOOKUP($G97,DanaSehat!$L$13:$AK$56,K$4,FALSE))=TRUE,"",
              VLOOKUP($G97,DanaSehat!$L$13:$AK$56,K$4,FALSE)))</f>
        <v/>
      </c>
      <c r="L97" s="18" t="str">
        <f>IF(ISNUMBER($L$6)=FALSE,"",
        IF(ISERROR(VLOOKUP($G97,DanaSehat!$L$13:$AK$56,L$4,FALSE))=TRUE,"",
              VLOOKUP($G97,DanaSehat!$L$13:$AK$56,L$4,FALSE)))</f>
        <v/>
      </c>
      <c r="M97" s="18" t="str">
        <f>IF(ISNUMBER($L$6)=FALSE,"",
        IF(ISERROR(VLOOKUP($G97,DanaSehat!$L$13:$AK$56,M$4,FALSE))=TRUE,"",
              VLOOKUP($G97,DanaSehat!$L$13:$AK$56,M$4,FALSE)))</f>
        <v/>
      </c>
      <c r="N97" s="18" t="str">
        <f>IF(ISNUMBER($L$6)=FALSE,"",
        IF(ISERROR(VLOOKUP($G97,DanaSehat!$L$13:$AK$56,N$4,FALSE))=TRUE,"",
              VLOOKUP($G97,DanaSehat!$L$13:$AK$56,N$4,FALSE)))</f>
        <v/>
      </c>
      <c r="O97" s="18" t="str">
        <f>IF(ISNUMBER($L$6)=FALSE,"",
        IF(ISERROR(VLOOKUP($G97,DanaSehat!$L$13:$AK$56,O$4,FALSE))=TRUE,"",
              VLOOKUP($G97,DanaSehat!$L$13:$AK$56,O$4,FALSE)))</f>
        <v/>
      </c>
      <c r="P97" s="18" t="str">
        <f>IF(ISNUMBER($L$6)=FALSE,"",
        IF(ISERROR(VLOOKUP($G97,DanaSehat!$L$13:$AK$56,P$4,FALSE))=TRUE,"",
              VLOOKUP($G97,DanaSehat!$L$13:$AK$56,P$4,FALSE)))</f>
        <v/>
      </c>
      <c r="Q97" s="18" t="str">
        <f>IF(ISNUMBER($L$6)=FALSE,"",
        IF(ISERROR(VLOOKUP($G97,DanaSehat!$L$13:$AK$56,Q$4,FALSE))=TRUE,"",
              VLOOKUP($G97,DanaSehat!$L$13:$AK$56,Q$4,FALSE)))</f>
        <v/>
      </c>
      <c r="R97" s="18" t="str">
        <f>IF(ISNUMBER($L$6)=FALSE,"",
        IF(ISERROR(VLOOKUP($G97,DanaSehat!$L$13:$AK$56,R$4,FALSE))=TRUE,"",
              VLOOKUP($G97,DanaSehat!$L$13:$AK$56,R$4,FALSE)))</f>
        <v/>
      </c>
      <c r="S97" s="18" t="str">
        <f>IF(ISNUMBER($L$6)=FALSE,"",
        IF(ISERROR(VLOOKUP($G97,DanaSehat!$L$13:$AK$56,S$4,FALSE))=TRUE,"",
              VLOOKUP($G97,DanaSehat!$L$13:$AK$56,S$4,FALSE)))</f>
        <v/>
      </c>
      <c r="T97" s="18" t="str">
        <f>IF(ISNUMBER($L$6)=FALSE,"",
        IF(ISERROR(VLOOKUP($G97,DanaSehat!$L$13:$AK$56,T$4,FALSE))=TRUE,"",
              VLOOKUP($G97,DanaSehat!$L$13:$AK$56,T$4,FALSE)))</f>
        <v/>
      </c>
      <c r="U97" s="18" t="str">
        <f>IF(ISNUMBER($L$6)=FALSE,"",
        IF(ISERROR(VLOOKUP($G97,DanaSehat!$L$13:$AK$56,U$4,FALSE))=TRUE,"",
              VLOOKUP($G97,DanaSehat!$L$13:$AK$56,U$4,FALSE)))</f>
        <v/>
      </c>
      <c r="V97" s="18" t="str">
        <f>IF(ISNUMBER($L$6)=FALSE,"",
        IF(ISERROR(VLOOKUP($G97,DanaSehat!$L$13:$AK$56,V$4,FALSE))=TRUE,"",
              VLOOKUP($G97,DanaSehat!$L$13:$AK$56,V$4,FALSE)))</f>
        <v/>
      </c>
      <c r="W97" s="18" t="str">
        <f>IF(ISNUMBER($L$6)=FALSE,"",
        IF(ISERROR(VLOOKUP($G97,DanaSehat!$L$13:$AK$56,W$4,FALSE))=TRUE,"",
              VLOOKUP($G97,DanaSehat!$L$13:$AK$56,W$4,FALSE)))</f>
        <v/>
      </c>
      <c r="X97" s="18" t="str">
        <f>IF(ISNUMBER($L$6)=FALSE,"",
        IF(ISERROR(VLOOKUP($G97,DanaSehat!$L$13:$AK$56,X$4,FALSE))=TRUE,"",
              VLOOKUP($G97,DanaSehat!$L$13:$AK$56,X$4,FALSE)))</f>
        <v/>
      </c>
      <c r="Y97" s="18" t="str">
        <f>IF(ISNUMBER($L$6)=FALSE,"",
        IF(ISERROR(VLOOKUP($G97,DanaSehat!$L$13:$AK$56,Y$4,FALSE))=TRUE,"",
              VLOOKUP($G97,DanaSehat!$L$13:$AK$56,Y$4,FALSE)))</f>
        <v/>
      </c>
      <c r="Z97" s="18" t="str">
        <f>IF(ISNUMBER($L$6)=FALSE,"",
        IF(ISERROR(VLOOKUP($G97,DanaSehat!$L$13:$AK$56,Z$4,FALSE))=TRUE,"",
              VLOOKUP($G97,DanaSehat!$L$13:$AK$56,Z$4,FALSE)))</f>
        <v/>
      </c>
      <c r="AA97" s="18" t="str">
        <f>IF(ISNUMBER($L$6)=FALSE,"",
        IF(ISERROR(VLOOKUP($G97,DanaSehat!$L$13:$AK$56,AA$4,FALSE))=TRUE,"",
              VLOOKUP($G97,DanaSehat!$L$13:$AK$56,AA$4,FALSE)))</f>
        <v/>
      </c>
      <c r="AB97" s="18" t="str">
        <f>IF(ISNUMBER($L$6)=FALSE,"",
        IF(ISERROR(VLOOKUP($G97,DanaSehat!$L$13:$AK$56,AB$4,FALSE))=TRUE,"",
              VLOOKUP($G97,DanaSehat!$L$13:$AK$56,AB$4,FALSE)))</f>
        <v/>
      </c>
      <c r="AC97" s="18" t="str">
        <f>IF(ISNUMBER($L$6)=FALSE,"",
        IF(ISERROR(VLOOKUP($G97,DanaSehat!$L$13:$AK$56,AC$4,FALSE))=TRUE,"",
              VLOOKUP($G97,DanaSehat!$L$13:$AK$56,AC$4,FALSE)))</f>
        <v/>
      </c>
      <c r="AD97" s="18" t="str">
        <f>IF(ISNUMBER($L$6)=FALSE,"",
        IF(ISERROR(VLOOKUP($G97,DanaSehat!$L$13:$AK$56,AD$4,FALSE))=TRUE,"",
              VLOOKUP($G97,DanaSehat!$L$13:$AK$56,AD$4,FALSE)))</f>
        <v/>
      </c>
      <c r="AE97" s="18" t="str">
        <f>IF(ISNUMBER($L$6)=FALSE,"",
        IF(ISERROR(VLOOKUP($G97,DanaSehat!$L$13:$AK$56,AE$4,FALSE))=TRUE,"",
              VLOOKUP($G97,DanaSehat!$L$13:$AK$56,AE$4,FALSE)))</f>
        <v/>
      </c>
      <c r="AF97" s="18" t="str">
        <f>IF(ISNUMBER($L$6)=FALSE,"",
        IF(ISERROR(VLOOKUP($G97,DanaSehat!$L$13:$AK$56,AF$4,FALSE))=TRUE,"",
              VLOOKUP($G97,DanaSehat!$L$13:$AK$56,AF$4,FALSE)))</f>
        <v/>
      </c>
    </row>
    <row r="98" spans="1:32" s="60" customFormat="1" ht="10.5" x14ac:dyDescent="0.25">
      <c r="A98" s="59"/>
      <c r="C98" s="59">
        <f t="shared" si="7"/>
        <v>85</v>
      </c>
      <c r="D98" s="61"/>
      <c r="E98" s="77" t="str">
        <f t="shared" si="8"/>
        <v/>
      </c>
      <c r="F98" s="77" t="str">
        <f>IF(ISNUMBER($L$6)=FALSE,"",
IF($C98=0,"",VLOOKUP($E98,DanaSehat!$H$13:$L$56,4,FALSE)))</f>
        <v/>
      </c>
      <c r="G98" s="77" t="str">
        <f>IF(ISNUMBER($L$6)=FALSE,"",
IF($C98=0,"",VLOOKUP($E98,DanaSehat!$H$13:$L$56,5,FALSE)))</f>
        <v/>
      </c>
      <c r="H98" s="17" t="str">
        <f t="shared" si="9"/>
        <v/>
      </c>
      <c r="I98" s="18" t="str">
        <f>IF(ISNUMBER($L$6)=FALSE,"",
        IF(ISERROR(VLOOKUP($G98,DanaSehat!$L$13:$AK$56,I$4,FALSE))=TRUE,"",
              VLOOKUP($G98,DanaSehat!$L$13:$AK$56,I$4,FALSE)))</f>
        <v/>
      </c>
      <c r="J98" s="18" t="str">
        <f>IF(ISNUMBER($L$6)=FALSE,"",
        IF(ISERROR(VLOOKUP($G98,DanaSehat!$L$13:$AK$56,J$4,FALSE))=TRUE,"",
              VLOOKUP($G98,DanaSehat!$L$13:$AK$56,J$4,FALSE)))</f>
        <v/>
      </c>
      <c r="K98" s="18" t="str">
        <f>IF(ISNUMBER($L$6)=FALSE,"",
        IF(ISERROR(VLOOKUP($G98,DanaSehat!$L$13:$AK$56,K$4,FALSE))=TRUE,"",
              VLOOKUP($G98,DanaSehat!$L$13:$AK$56,K$4,FALSE)))</f>
        <v/>
      </c>
      <c r="L98" s="18" t="str">
        <f>IF(ISNUMBER($L$6)=FALSE,"",
        IF(ISERROR(VLOOKUP($G98,DanaSehat!$L$13:$AK$56,L$4,FALSE))=TRUE,"",
              VLOOKUP($G98,DanaSehat!$L$13:$AK$56,L$4,FALSE)))</f>
        <v/>
      </c>
      <c r="M98" s="18" t="str">
        <f>IF(ISNUMBER($L$6)=FALSE,"",
        IF(ISERROR(VLOOKUP($G98,DanaSehat!$L$13:$AK$56,M$4,FALSE))=TRUE,"",
              VLOOKUP($G98,DanaSehat!$L$13:$AK$56,M$4,FALSE)))</f>
        <v/>
      </c>
      <c r="N98" s="18" t="str">
        <f>IF(ISNUMBER($L$6)=FALSE,"",
        IF(ISERROR(VLOOKUP($G98,DanaSehat!$L$13:$AK$56,N$4,FALSE))=TRUE,"",
              VLOOKUP($G98,DanaSehat!$L$13:$AK$56,N$4,FALSE)))</f>
        <v/>
      </c>
      <c r="O98" s="18" t="str">
        <f>IF(ISNUMBER($L$6)=FALSE,"",
        IF(ISERROR(VLOOKUP($G98,DanaSehat!$L$13:$AK$56,O$4,FALSE))=TRUE,"",
              VLOOKUP($G98,DanaSehat!$L$13:$AK$56,O$4,FALSE)))</f>
        <v/>
      </c>
      <c r="P98" s="18" t="str">
        <f>IF(ISNUMBER($L$6)=FALSE,"",
        IF(ISERROR(VLOOKUP($G98,DanaSehat!$L$13:$AK$56,P$4,FALSE))=TRUE,"",
              VLOOKUP($G98,DanaSehat!$L$13:$AK$56,P$4,FALSE)))</f>
        <v/>
      </c>
      <c r="Q98" s="18" t="str">
        <f>IF(ISNUMBER($L$6)=FALSE,"",
        IF(ISERROR(VLOOKUP($G98,DanaSehat!$L$13:$AK$56,Q$4,FALSE))=TRUE,"",
              VLOOKUP($G98,DanaSehat!$L$13:$AK$56,Q$4,FALSE)))</f>
        <v/>
      </c>
      <c r="R98" s="18" t="str">
        <f>IF(ISNUMBER($L$6)=FALSE,"",
        IF(ISERROR(VLOOKUP($G98,DanaSehat!$L$13:$AK$56,R$4,FALSE))=TRUE,"",
              VLOOKUP($G98,DanaSehat!$L$13:$AK$56,R$4,FALSE)))</f>
        <v/>
      </c>
      <c r="S98" s="18" t="str">
        <f>IF(ISNUMBER($L$6)=FALSE,"",
        IF(ISERROR(VLOOKUP($G98,DanaSehat!$L$13:$AK$56,S$4,FALSE))=TRUE,"",
              VLOOKUP($G98,DanaSehat!$L$13:$AK$56,S$4,FALSE)))</f>
        <v/>
      </c>
      <c r="T98" s="18" t="str">
        <f>IF(ISNUMBER($L$6)=FALSE,"",
        IF(ISERROR(VLOOKUP($G98,DanaSehat!$L$13:$AK$56,T$4,FALSE))=TRUE,"",
              VLOOKUP($G98,DanaSehat!$L$13:$AK$56,T$4,FALSE)))</f>
        <v/>
      </c>
      <c r="U98" s="18" t="str">
        <f>IF(ISNUMBER($L$6)=FALSE,"",
        IF(ISERROR(VLOOKUP($G98,DanaSehat!$L$13:$AK$56,U$4,FALSE))=TRUE,"",
              VLOOKUP($G98,DanaSehat!$L$13:$AK$56,U$4,FALSE)))</f>
        <v/>
      </c>
      <c r="V98" s="18" t="str">
        <f>IF(ISNUMBER($L$6)=FALSE,"",
        IF(ISERROR(VLOOKUP($G98,DanaSehat!$L$13:$AK$56,V$4,FALSE))=TRUE,"",
              VLOOKUP($G98,DanaSehat!$L$13:$AK$56,V$4,FALSE)))</f>
        <v/>
      </c>
      <c r="W98" s="18" t="str">
        <f>IF(ISNUMBER($L$6)=FALSE,"",
        IF(ISERROR(VLOOKUP($G98,DanaSehat!$L$13:$AK$56,W$4,FALSE))=TRUE,"",
              VLOOKUP($G98,DanaSehat!$L$13:$AK$56,W$4,FALSE)))</f>
        <v/>
      </c>
      <c r="X98" s="18" t="str">
        <f>IF(ISNUMBER($L$6)=FALSE,"",
        IF(ISERROR(VLOOKUP($G98,DanaSehat!$L$13:$AK$56,X$4,FALSE))=TRUE,"",
              VLOOKUP($G98,DanaSehat!$L$13:$AK$56,X$4,FALSE)))</f>
        <v/>
      </c>
      <c r="Y98" s="18" t="str">
        <f>IF(ISNUMBER($L$6)=FALSE,"",
        IF(ISERROR(VLOOKUP($G98,DanaSehat!$L$13:$AK$56,Y$4,FALSE))=TRUE,"",
              VLOOKUP($G98,DanaSehat!$L$13:$AK$56,Y$4,FALSE)))</f>
        <v/>
      </c>
      <c r="Z98" s="18" t="str">
        <f>IF(ISNUMBER($L$6)=FALSE,"",
        IF(ISERROR(VLOOKUP($G98,DanaSehat!$L$13:$AK$56,Z$4,FALSE))=TRUE,"",
              VLOOKUP($G98,DanaSehat!$L$13:$AK$56,Z$4,FALSE)))</f>
        <v/>
      </c>
      <c r="AA98" s="18" t="str">
        <f>IF(ISNUMBER($L$6)=FALSE,"",
        IF(ISERROR(VLOOKUP($G98,DanaSehat!$L$13:$AK$56,AA$4,FALSE))=TRUE,"",
              VLOOKUP($G98,DanaSehat!$L$13:$AK$56,AA$4,FALSE)))</f>
        <v/>
      </c>
      <c r="AB98" s="18" t="str">
        <f>IF(ISNUMBER($L$6)=FALSE,"",
        IF(ISERROR(VLOOKUP($G98,DanaSehat!$L$13:$AK$56,AB$4,FALSE))=TRUE,"",
              VLOOKUP($G98,DanaSehat!$L$13:$AK$56,AB$4,FALSE)))</f>
        <v/>
      </c>
      <c r="AC98" s="18" t="str">
        <f>IF(ISNUMBER($L$6)=FALSE,"",
        IF(ISERROR(VLOOKUP($G98,DanaSehat!$L$13:$AK$56,AC$4,FALSE))=TRUE,"",
              VLOOKUP($G98,DanaSehat!$L$13:$AK$56,AC$4,FALSE)))</f>
        <v/>
      </c>
      <c r="AD98" s="18" t="str">
        <f>IF(ISNUMBER($L$6)=FALSE,"",
        IF(ISERROR(VLOOKUP($G98,DanaSehat!$L$13:$AK$56,AD$4,FALSE))=TRUE,"",
              VLOOKUP($G98,DanaSehat!$L$13:$AK$56,AD$4,FALSE)))</f>
        <v/>
      </c>
      <c r="AE98" s="18" t="str">
        <f>IF(ISNUMBER($L$6)=FALSE,"",
        IF(ISERROR(VLOOKUP($G98,DanaSehat!$L$13:$AK$56,AE$4,FALSE))=TRUE,"",
              VLOOKUP($G98,DanaSehat!$L$13:$AK$56,AE$4,FALSE)))</f>
        <v/>
      </c>
      <c r="AF98" s="18" t="str">
        <f>IF(ISNUMBER($L$6)=FALSE,"",
        IF(ISERROR(VLOOKUP($G98,DanaSehat!$L$13:$AK$56,AF$4,FALSE))=TRUE,"",
              VLOOKUP($G98,DanaSehat!$L$13:$AK$56,AF$4,FALSE)))</f>
        <v/>
      </c>
    </row>
    <row r="99" spans="1:32" s="60" customFormat="1" ht="10.5" x14ac:dyDescent="0.25">
      <c r="A99" s="59"/>
      <c r="C99" s="59">
        <f t="shared" si="7"/>
        <v>86</v>
      </c>
      <c r="D99" s="61"/>
      <c r="E99" s="77" t="str">
        <f t="shared" si="8"/>
        <v/>
      </c>
      <c r="F99" s="77" t="str">
        <f>IF(ISNUMBER($L$6)=FALSE,"",
IF($C99=0,"",VLOOKUP($E99,DanaSehat!$H$13:$L$56,4,FALSE)))</f>
        <v/>
      </c>
      <c r="G99" s="77" t="str">
        <f>IF(ISNUMBER($L$6)=FALSE,"",
IF($C99=0,"",VLOOKUP($E99,DanaSehat!$H$13:$L$56,5,FALSE)))</f>
        <v/>
      </c>
      <c r="H99" s="17" t="str">
        <f t="shared" si="9"/>
        <v/>
      </c>
      <c r="I99" s="18" t="str">
        <f>IF(ISNUMBER($L$6)=FALSE,"",
        IF(ISERROR(VLOOKUP($G99,DanaSehat!$L$13:$AK$56,I$4,FALSE))=TRUE,"",
              VLOOKUP($G99,DanaSehat!$L$13:$AK$56,I$4,FALSE)))</f>
        <v/>
      </c>
      <c r="J99" s="18" t="str">
        <f>IF(ISNUMBER($L$6)=FALSE,"",
        IF(ISERROR(VLOOKUP($G99,DanaSehat!$L$13:$AK$56,J$4,FALSE))=TRUE,"",
              VLOOKUP($G99,DanaSehat!$L$13:$AK$56,J$4,FALSE)))</f>
        <v/>
      </c>
      <c r="K99" s="18" t="str">
        <f>IF(ISNUMBER($L$6)=FALSE,"",
        IF(ISERROR(VLOOKUP($G99,DanaSehat!$L$13:$AK$56,K$4,FALSE))=TRUE,"",
              VLOOKUP($G99,DanaSehat!$L$13:$AK$56,K$4,FALSE)))</f>
        <v/>
      </c>
      <c r="L99" s="18" t="str">
        <f>IF(ISNUMBER($L$6)=FALSE,"",
        IF(ISERROR(VLOOKUP($G99,DanaSehat!$L$13:$AK$56,L$4,FALSE))=TRUE,"",
              VLOOKUP($G99,DanaSehat!$L$13:$AK$56,L$4,FALSE)))</f>
        <v/>
      </c>
      <c r="M99" s="18" t="str">
        <f>IF(ISNUMBER($L$6)=FALSE,"",
        IF(ISERROR(VLOOKUP($G99,DanaSehat!$L$13:$AK$56,M$4,FALSE))=TRUE,"",
              VLOOKUP($G99,DanaSehat!$L$13:$AK$56,M$4,FALSE)))</f>
        <v/>
      </c>
      <c r="N99" s="18" t="str">
        <f>IF(ISNUMBER($L$6)=FALSE,"",
        IF(ISERROR(VLOOKUP($G99,DanaSehat!$L$13:$AK$56,N$4,FALSE))=TRUE,"",
              VLOOKUP($G99,DanaSehat!$L$13:$AK$56,N$4,FALSE)))</f>
        <v/>
      </c>
      <c r="O99" s="18" t="str">
        <f>IF(ISNUMBER($L$6)=FALSE,"",
        IF(ISERROR(VLOOKUP($G99,DanaSehat!$L$13:$AK$56,O$4,FALSE))=TRUE,"",
              VLOOKUP($G99,DanaSehat!$L$13:$AK$56,O$4,FALSE)))</f>
        <v/>
      </c>
      <c r="P99" s="18" t="str">
        <f>IF(ISNUMBER($L$6)=FALSE,"",
        IF(ISERROR(VLOOKUP($G99,DanaSehat!$L$13:$AK$56,P$4,FALSE))=TRUE,"",
              VLOOKUP($G99,DanaSehat!$L$13:$AK$56,P$4,FALSE)))</f>
        <v/>
      </c>
      <c r="Q99" s="18" t="str">
        <f>IF(ISNUMBER($L$6)=FALSE,"",
        IF(ISERROR(VLOOKUP($G99,DanaSehat!$L$13:$AK$56,Q$4,FALSE))=TRUE,"",
              VLOOKUP($G99,DanaSehat!$L$13:$AK$56,Q$4,FALSE)))</f>
        <v/>
      </c>
      <c r="R99" s="18" t="str">
        <f>IF(ISNUMBER($L$6)=FALSE,"",
        IF(ISERROR(VLOOKUP($G99,DanaSehat!$L$13:$AK$56,R$4,FALSE))=TRUE,"",
              VLOOKUP($G99,DanaSehat!$L$13:$AK$56,R$4,FALSE)))</f>
        <v/>
      </c>
      <c r="S99" s="18" t="str">
        <f>IF(ISNUMBER($L$6)=FALSE,"",
        IF(ISERROR(VLOOKUP($G99,DanaSehat!$L$13:$AK$56,S$4,FALSE))=TRUE,"",
              VLOOKUP($G99,DanaSehat!$L$13:$AK$56,S$4,FALSE)))</f>
        <v/>
      </c>
      <c r="T99" s="18" t="str">
        <f>IF(ISNUMBER($L$6)=FALSE,"",
        IF(ISERROR(VLOOKUP($G99,DanaSehat!$L$13:$AK$56,T$4,FALSE))=TRUE,"",
              VLOOKUP($G99,DanaSehat!$L$13:$AK$56,T$4,FALSE)))</f>
        <v/>
      </c>
      <c r="U99" s="18" t="str">
        <f>IF(ISNUMBER($L$6)=FALSE,"",
        IF(ISERROR(VLOOKUP($G99,DanaSehat!$L$13:$AK$56,U$4,FALSE))=TRUE,"",
              VLOOKUP($G99,DanaSehat!$L$13:$AK$56,U$4,FALSE)))</f>
        <v/>
      </c>
      <c r="V99" s="18" t="str">
        <f>IF(ISNUMBER($L$6)=FALSE,"",
        IF(ISERROR(VLOOKUP($G99,DanaSehat!$L$13:$AK$56,V$4,FALSE))=TRUE,"",
              VLOOKUP($G99,DanaSehat!$L$13:$AK$56,V$4,FALSE)))</f>
        <v/>
      </c>
      <c r="W99" s="18" t="str">
        <f>IF(ISNUMBER($L$6)=FALSE,"",
        IF(ISERROR(VLOOKUP($G99,DanaSehat!$L$13:$AK$56,W$4,FALSE))=TRUE,"",
              VLOOKUP($G99,DanaSehat!$L$13:$AK$56,W$4,FALSE)))</f>
        <v/>
      </c>
      <c r="X99" s="18" t="str">
        <f>IF(ISNUMBER($L$6)=FALSE,"",
        IF(ISERROR(VLOOKUP($G99,DanaSehat!$L$13:$AK$56,X$4,FALSE))=TRUE,"",
              VLOOKUP($G99,DanaSehat!$L$13:$AK$56,X$4,FALSE)))</f>
        <v/>
      </c>
      <c r="Y99" s="18" t="str">
        <f>IF(ISNUMBER($L$6)=FALSE,"",
        IF(ISERROR(VLOOKUP($G99,DanaSehat!$L$13:$AK$56,Y$4,FALSE))=TRUE,"",
              VLOOKUP($G99,DanaSehat!$L$13:$AK$56,Y$4,FALSE)))</f>
        <v/>
      </c>
      <c r="Z99" s="18" t="str">
        <f>IF(ISNUMBER($L$6)=FALSE,"",
        IF(ISERROR(VLOOKUP($G99,DanaSehat!$L$13:$AK$56,Z$4,FALSE))=TRUE,"",
              VLOOKUP($G99,DanaSehat!$L$13:$AK$56,Z$4,FALSE)))</f>
        <v/>
      </c>
      <c r="AA99" s="18" t="str">
        <f>IF(ISNUMBER($L$6)=FALSE,"",
        IF(ISERROR(VLOOKUP($G99,DanaSehat!$L$13:$AK$56,AA$4,FALSE))=TRUE,"",
              VLOOKUP($G99,DanaSehat!$L$13:$AK$56,AA$4,FALSE)))</f>
        <v/>
      </c>
      <c r="AB99" s="18" t="str">
        <f>IF(ISNUMBER($L$6)=FALSE,"",
        IF(ISERROR(VLOOKUP($G99,DanaSehat!$L$13:$AK$56,AB$4,FALSE))=TRUE,"",
              VLOOKUP($G99,DanaSehat!$L$13:$AK$56,AB$4,FALSE)))</f>
        <v/>
      </c>
      <c r="AC99" s="18" t="str">
        <f>IF(ISNUMBER($L$6)=FALSE,"",
        IF(ISERROR(VLOOKUP($G99,DanaSehat!$L$13:$AK$56,AC$4,FALSE))=TRUE,"",
              VLOOKUP($G99,DanaSehat!$L$13:$AK$56,AC$4,FALSE)))</f>
        <v/>
      </c>
      <c r="AD99" s="18" t="str">
        <f>IF(ISNUMBER($L$6)=FALSE,"",
        IF(ISERROR(VLOOKUP($G99,DanaSehat!$L$13:$AK$56,AD$4,FALSE))=TRUE,"",
              VLOOKUP($G99,DanaSehat!$L$13:$AK$56,AD$4,FALSE)))</f>
        <v/>
      </c>
      <c r="AE99" s="18" t="str">
        <f>IF(ISNUMBER($L$6)=FALSE,"",
        IF(ISERROR(VLOOKUP($G99,DanaSehat!$L$13:$AK$56,AE$4,FALSE))=TRUE,"",
              VLOOKUP($G99,DanaSehat!$L$13:$AK$56,AE$4,FALSE)))</f>
        <v/>
      </c>
      <c r="AF99" s="18" t="str">
        <f>IF(ISNUMBER($L$6)=FALSE,"",
        IF(ISERROR(VLOOKUP($G99,DanaSehat!$L$13:$AK$56,AF$4,FALSE))=TRUE,"",
              VLOOKUP($G99,DanaSehat!$L$13:$AK$56,AF$4,FALSE)))</f>
        <v/>
      </c>
    </row>
    <row r="100" spans="1:32" s="60" customFormat="1" ht="10.5" x14ac:dyDescent="0.25">
      <c r="A100" s="59"/>
      <c r="C100" s="59">
        <f t="shared" si="7"/>
        <v>87</v>
      </c>
      <c r="D100" s="61"/>
      <c r="E100" s="77" t="str">
        <f t="shared" si="8"/>
        <v/>
      </c>
      <c r="F100" s="77" t="str">
        <f>IF(ISNUMBER($L$6)=FALSE,"",
IF($C100=0,"",VLOOKUP($E100,DanaSehat!$H$13:$L$56,4,FALSE)))</f>
        <v/>
      </c>
      <c r="G100" s="77" t="str">
        <f>IF(ISNUMBER($L$6)=FALSE,"",
IF($C100=0,"",VLOOKUP($E100,DanaSehat!$H$13:$L$56,5,FALSE)))</f>
        <v/>
      </c>
      <c r="H100" s="17" t="str">
        <f t="shared" si="9"/>
        <v/>
      </c>
      <c r="I100" s="18" t="str">
        <f>IF(ISNUMBER($L$6)=FALSE,"",
        IF(ISERROR(VLOOKUP($G100,DanaSehat!$L$13:$AK$56,I$4,FALSE))=TRUE,"",
              VLOOKUP($G100,DanaSehat!$L$13:$AK$56,I$4,FALSE)))</f>
        <v/>
      </c>
      <c r="J100" s="18" t="str">
        <f>IF(ISNUMBER($L$6)=FALSE,"",
        IF(ISERROR(VLOOKUP($G100,DanaSehat!$L$13:$AK$56,J$4,FALSE))=TRUE,"",
              VLOOKUP($G100,DanaSehat!$L$13:$AK$56,J$4,FALSE)))</f>
        <v/>
      </c>
      <c r="K100" s="18" t="str">
        <f>IF(ISNUMBER($L$6)=FALSE,"",
        IF(ISERROR(VLOOKUP($G100,DanaSehat!$L$13:$AK$56,K$4,FALSE))=TRUE,"",
              VLOOKUP($G100,DanaSehat!$L$13:$AK$56,K$4,FALSE)))</f>
        <v/>
      </c>
      <c r="L100" s="18" t="str">
        <f>IF(ISNUMBER($L$6)=FALSE,"",
        IF(ISERROR(VLOOKUP($G100,DanaSehat!$L$13:$AK$56,L$4,FALSE))=TRUE,"",
              VLOOKUP($G100,DanaSehat!$L$13:$AK$56,L$4,FALSE)))</f>
        <v/>
      </c>
      <c r="M100" s="18" t="str">
        <f>IF(ISNUMBER($L$6)=FALSE,"",
        IF(ISERROR(VLOOKUP($G100,DanaSehat!$L$13:$AK$56,M$4,FALSE))=TRUE,"",
              VLOOKUP($G100,DanaSehat!$L$13:$AK$56,M$4,FALSE)))</f>
        <v/>
      </c>
      <c r="N100" s="18" t="str">
        <f>IF(ISNUMBER($L$6)=FALSE,"",
        IF(ISERROR(VLOOKUP($G100,DanaSehat!$L$13:$AK$56,N$4,FALSE))=TRUE,"",
              VLOOKUP($G100,DanaSehat!$L$13:$AK$56,N$4,FALSE)))</f>
        <v/>
      </c>
      <c r="O100" s="18" t="str">
        <f>IF(ISNUMBER($L$6)=FALSE,"",
        IF(ISERROR(VLOOKUP($G100,DanaSehat!$L$13:$AK$56,O$4,FALSE))=TRUE,"",
              VLOOKUP($G100,DanaSehat!$L$13:$AK$56,O$4,FALSE)))</f>
        <v/>
      </c>
      <c r="P100" s="18" t="str">
        <f>IF(ISNUMBER($L$6)=FALSE,"",
        IF(ISERROR(VLOOKUP($G100,DanaSehat!$L$13:$AK$56,P$4,FALSE))=TRUE,"",
              VLOOKUP($G100,DanaSehat!$L$13:$AK$56,P$4,FALSE)))</f>
        <v/>
      </c>
      <c r="Q100" s="18" t="str">
        <f>IF(ISNUMBER($L$6)=FALSE,"",
        IF(ISERROR(VLOOKUP($G100,DanaSehat!$L$13:$AK$56,Q$4,FALSE))=TRUE,"",
              VLOOKUP($G100,DanaSehat!$L$13:$AK$56,Q$4,FALSE)))</f>
        <v/>
      </c>
      <c r="R100" s="18" t="str">
        <f>IF(ISNUMBER($L$6)=FALSE,"",
        IF(ISERROR(VLOOKUP($G100,DanaSehat!$L$13:$AK$56,R$4,FALSE))=TRUE,"",
              VLOOKUP($G100,DanaSehat!$L$13:$AK$56,R$4,FALSE)))</f>
        <v/>
      </c>
      <c r="S100" s="18" t="str">
        <f>IF(ISNUMBER($L$6)=FALSE,"",
        IF(ISERROR(VLOOKUP($G100,DanaSehat!$L$13:$AK$56,S$4,FALSE))=TRUE,"",
              VLOOKUP($G100,DanaSehat!$L$13:$AK$56,S$4,FALSE)))</f>
        <v/>
      </c>
      <c r="T100" s="18" t="str">
        <f>IF(ISNUMBER($L$6)=FALSE,"",
        IF(ISERROR(VLOOKUP($G100,DanaSehat!$L$13:$AK$56,T$4,FALSE))=TRUE,"",
              VLOOKUP($G100,DanaSehat!$L$13:$AK$56,T$4,FALSE)))</f>
        <v/>
      </c>
      <c r="U100" s="18" t="str">
        <f>IF(ISNUMBER($L$6)=FALSE,"",
        IF(ISERROR(VLOOKUP($G100,DanaSehat!$L$13:$AK$56,U$4,FALSE))=TRUE,"",
              VLOOKUP($G100,DanaSehat!$L$13:$AK$56,U$4,FALSE)))</f>
        <v/>
      </c>
      <c r="V100" s="18" t="str">
        <f>IF(ISNUMBER($L$6)=FALSE,"",
        IF(ISERROR(VLOOKUP($G100,DanaSehat!$L$13:$AK$56,V$4,FALSE))=TRUE,"",
              VLOOKUP($G100,DanaSehat!$L$13:$AK$56,V$4,FALSE)))</f>
        <v/>
      </c>
      <c r="W100" s="18" t="str">
        <f>IF(ISNUMBER($L$6)=FALSE,"",
        IF(ISERROR(VLOOKUP($G100,DanaSehat!$L$13:$AK$56,W$4,FALSE))=TRUE,"",
              VLOOKUP($G100,DanaSehat!$L$13:$AK$56,W$4,FALSE)))</f>
        <v/>
      </c>
      <c r="X100" s="18" t="str">
        <f>IF(ISNUMBER($L$6)=FALSE,"",
        IF(ISERROR(VLOOKUP($G100,DanaSehat!$L$13:$AK$56,X$4,FALSE))=TRUE,"",
              VLOOKUP($G100,DanaSehat!$L$13:$AK$56,X$4,FALSE)))</f>
        <v/>
      </c>
      <c r="Y100" s="18" t="str">
        <f>IF(ISNUMBER($L$6)=FALSE,"",
        IF(ISERROR(VLOOKUP($G100,DanaSehat!$L$13:$AK$56,Y$4,FALSE))=TRUE,"",
              VLOOKUP($G100,DanaSehat!$L$13:$AK$56,Y$4,FALSE)))</f>
        <v/>
      </c>
      <c r="Z100" s="18" t="str">
        <f>IF(ISNUMBER($L$6)=FALSE,"",
        IF(ISERROR(VLOOKUP($G100,DanaSehat!$L$13:$AK$56,Z$4,FALSE))=TRUE,"",
              VLOOKUP($G100,DanaSehat!$L$13:$AK$56,Z$4,FALSE)))</f>
        <v/>
      </c>
      <c r="AA100" s="18" t="str">
        <f>IF(ISNUMBER($L$6)=FALSE,"",
        IF(ISERROR(VLOOKUP($G100,DanaSehat!$L$13:$AK$56,AA$4,FALSE))=TRUE,"",
              VLOOKUP($G100,DanaSehat!$L$13:$AK$56,AA$4,FALSE)))</f>
        <v/>
      </c>
      <c r="AB100" s="18" t="str">
        <f>IF(ISNUMBER($L$6)=FALSE,"",
        IF(ISERROR(VLOOKUP($G100,DanaSehat!$L$13:$AK$56,AB$4,FALSE))=TRUE,"",
              VLOOKUP($G100,DanaSehat!$L$13:$AK$56,AB$4,FALSE)))</f>
        <v/>
      </c>
      <c r="AC100" s="18" t="str">
        <f>IF(ISNUMBER($L$6)=FALSE,"",
        IF(ISERROR(VLOOKUP($G100,DanaSehat!$L$13:$AK$56,AC$4,FALSE))=TRUE,"",
              VLOOKUP($G100,DanaSehat!$L$13:$AK$56,AC$4,FALSE)))</f>
        <v/>
      </c>
      <c r="AD100" s="18" t="str">
        <f>IF(ISNUMBER($L$6)=FALSE,"",
        IF(ISERROR(VLOOKUP($G100,DanaSehat!$L$13:$AK$56,AD$4,FALSE))=TRUE,"",
              VLOOKUP($G100,DanaSehat!$L$13:$AK$56,AD$4,FALSE)))</f>
        <v/>
      </c>
      <c r="AE100" s="18" t="str">
        <f>IF(ISNUMBER($L$6)=FALSE,"",
        IF(ISERROR(VLOOKUP($G100,DanaSehat!$L$13:$AK$56,AE$4,FALSE))=TRUE,"",
              VLOOKUP($G100,DanaSehat!$L$13:$AK$56,AE$4,FALSE)))</f>
        <v/>
      </c>
      <c r="AF100" s="18" t="str">
        <f>IF(ISNUMBER($L$6)=FALSE,"",
        IF(ISERROR(VLOOKUP($G100,DanaSehat!$L$13:$AK$56,AF$4,FALSE))=TRUE,"",
              VLOOKUP($G100,DanaSehat!$L$13:$AK$56,AF$4,FALSE)))</f>
        <v/>
      </c>
    </row>
    <row r="101" spans="1:32" s="60" customFormat="1" ht="10.5" x14ac:dyDescent="0.25">
      <c r="A101" s="59"/>
      <c r="C101" s="59">
        <f t="shared" si="7"/>
        <v>88</v>
      </c>
      <c r="D101" s="61"/>
      <c r="E101" s="77" t="str">
        <f t="shared" si="8"/>
        <v/>
      </c>
      <c r="F101" s="77" t="str">
        <f>IF(ISNUMBER($L$6)=FALSE,"",
IF($C101=0,"",VLOOKUP($E101,DanaSehat!$H$13:$L$56,4,FALSE)))</f>
        <v/>
      </c>
      <c r="G101" s="77" t="str">
        <f>IF(ISNUMBER($L$6)=FALSE,"",
IF($C101=0,"",VLOOKUP($E101,DanaSehat!$H$13:$L$56,5,FALSE)))</f>
        <v/>
      </c>
      <c r="H101" s="17" t="str">
        <f t="shared" si="9"/>
        <v/>
      </c>
      <c r="I101" s="18" t="str">
        <f>IF(ISNUMBER($L$6)=FALSE,"",
        IF(ISERROR(VLOOKUP($G101,DanaSehat!$L$13:$AK$56,I$4,FALSE))=TRUE,"",
              VLOOKUP($G101,DanaSehat!$L$13:$AK$56,I$4,FALSE)))</f>
        <v/>
      </c>
      <c r="J101" s="18" t="str">
        <f>IF(ISNUMBER($L$6)=FALSE,"",
        IF(ISERROR(VLOOKUP($G101,DanaSehat!$L$13:$AK$56,J$4,FALSE))=TRUE,"",
              VLOOKUP($G101,DanaSehat!$L$13:$AK$56,J$4,FALSE)))</f>
        <v/>
      </c>
      <c r="K101" s="18" t="str">
        <f>IF(ISNUMBER($L$6)=FALSE,"",
        IF(ISERROR(VLOOKUP($G101,DanaSehat!$L$13:$AK$56,K$4,FALSE))=TRUE,"",
              VLOOKUP($G101,DanaSehat!$L$13:$AK$56,K$4,FALSE)))</f>
        <v/>
      </c>
      <c r="L101" s="18" t="str">
        <f>IF(ISNUMBER($L$6)=FALSE,"",
        IF(ISERROR(VLOOKUP($G101,DanaSehat!$L$13:$AK$56,L$4,FALSE))=TRUE,"",
              VLOOKUP($G101,DanaSehat!$L$13:$AK$56,L$4,FALSE)))</f>
        <v/>
      </c>
      <c r="M101" s="18" t="str">
        <f>IF(ISNUMBER($L$6)=FALSE,"",
        IF(ISERROR(VLOOKUP($G101,DanaSehat!$L$13:$AK$56,M$4,FALSE))=TRUE,"",
              VLOOKUP($G101,DanaSehat!$L$13:$AK$56,M$4,FALSE)))</f>
        <v/>
      </c>
      <c r="N101" s="18" t="str">
        <f>IF(ISNUMBER($L$6)=FALSE,"",
        IF(ISERROR(VLOOKUP($G101,DanaSehat!$L$13:$AK$56,N$4,FALSE))=TRUE,"",
              VLOOKUP($G101,DanaSehat!$L$13:$AK$56,N$4,FALSE)))</f>
        <v/>
      </c>
      <c r="O101" s="18" t="str">
        <f>IF(ISNUMBER($L$6)=FALSE,"",
        IF(ISERROR(VLOOKUP($G101,DanaSehat!$L$13:$AK$56,O$4,FALSE))=TRUE,"",
              VLOOKUP($G101,DanaSehat!$L$13:$AK$56,O$4,FALSE)))</f>
        <v/>
      </c>
      <c r="P101" s="18" t="str">
        <f>IF(ISNUMBER($L$6)=FALSE,"",
        IF(ISERROR(VLOOKUP($G101,DanaSehat!$L$13:$AK$56,P$4,FALSE))=TRUE,"",
              VLOOKUP($G101,DanaSehat!$L$13:$AK$56,P$4,FALSE)))</f>
        <v/>
      </c>
      <c r="Q101" s="18" t="str">
        <f>IF(ISNUMBER($L$6)=FALSE,"",
        IF(ISERROR(VLOOKUP($G101,DanaSehat!$L$13:$AK$56,Q$4,FALSE))=TRUE,"",
              VLOOKUP($G101,DanaSehat!$L$13:$AK$56,Q$4,FALSE)))</f>
        <v/>
      </c>
      <c r="R101" s="18" t="str">
        <f>IF(ISNUMBER($L$6)=FALSE,"",
        IF(ISERROR(VLOOKUP($G101,DanaSehat!$L$13:$AK$56,R$4,FALSE))=TRUE,"",
              VLOOKUP($G101,DanaSehat!$L$13:$AK$56,R$4,FALSE)))</f>
        <v/>
      </c>
      <c r="S101" s="18" t="str">
        <f>IF(ISNUMBER($L$6)=FALSE,"",
        IF(ISERROR(VLOOKUP($G101,DanaSehat!$L$13:$AK$56,S$4,FALSE))=TRUE,"",
              VLOOKUP($G101,DanaSehat!$L$13:$AK$56,S$4,FALSE)))</f>
        <v/>
      </c>
      <c r="T101" s="18" t="str">
        <f>IF(ISNUMBER($L$6)=FALSE,"",
        IF(ISERROR(VLOOKUP($G101,DanaSehat!$L$13:$AK$56,T$4,FALSE))=TRUE,"",
              VLOOKUP($G101,DanaSehat!$L$13:$AK$56,T$4,FALSE)))</f>
        <v/>
      </c>
      <c r="U101" s="18" t="str">
        <f>IF(ISNUMBER($L$6)=FALSE,"",
        IF(ISERROR(VLOOKUP($G101,DanaSehat!$L$13:$AK$56,U$4,FALSE))=TRUE,"",
              VLOOKUP($G101,DanaSehat!$L$13:$AK$56,U$4,FALSE)))</f>
        <v/>
      </c>
      <c r="V101" s="18" t="str">
        <f>IF(ISNUMBER($L$6)=FALSE,"",
        IF(ISERROR(VLOOKUP($G101,DanaSehat!$L$13:$AK$56,V$4,FALSE))=TRUE,"",
              VLOOKUP($G101,DanaSehat!$L$13:$AK$56,V$4,FALSE)))</f>
        <v/>
      </c>
      <c r="W101" s="18" t="str">
        <f>IF(ISNUMBER($L$6)=FALSE,"",
        IF(ISERROR(VLOOKUP($G101,DanaSehat!$L$13:$AK$56,W$4,FALSE))=TRUE,"",
              VLOOKUP($G101,DanaSehat!$L$13:$AK$56,W$4,FALSE)))</f>
        <v/>
      </c>
      <c r="X101" s="18" t="str">
        <f>IF(ISNUMBER($L$6)=FALSE,"",
        IF(ISERROR(VLOOKUP($G101,DanaSehat!$L$13:$AK$56,X$4,FALSE))=TRUE,"",
              VLOOKUP($G101,DanaSehat!$L$13:$AK$56,X$4,FALSE)))</f>
        <v/>
      </c>
      <c r="Y101" s="18" t="str">
        <f>IF(ISNUMBER($L$6)=FALSE,"",
        IF(ISERROR(VLOOKUP($G101,DanaSehat!$L$13:$AK$56,Y$4,FALSE))=TRUE,"",
              VLOOKUP($G101,DanaSehat!$L$13:$AK$56,Y$4,FALSE)))</f>
        <v/>
      </c>
      <c r="Z101" s="18" t="str">
        <f>IF(ISNUMBER($L$6)=FALSE,"",
        IF(ISERROR(VLOOKUP($G101,DanaSehat!$L$13:$AK$56,Z$4,FALSE))=TRUE,"",
              VLOOKUP($G101,DanaSehat!$L$13:$AK$56,Z$4,FALSE)))</f>
        <v/>
      </c>
      <c r="AA101" s="18" t="str">
        <f>IF(ISNUMBER($L$6)=FALSE,"",
        IF(ISERROR(VLOOKUP($G101,DanaSehat!$L$13:$AK$56,AA$4,FALSE))=TRUE,"",
              VLOOKUP($G101,DanaSehat!$L$13:$AK$56,AA$4,FALSE)))</f>
        <v/>
      </c>
      <c r="AB101" s="18" t="str">
        <f>IF(ISNUMBER($L$6)=FALSE,"",
        IF(ISERROR(VLOOKUP($G101,DanaSehat!$L$13:$AK$56,AB$4,FALSE))=TRUE,"",
              VLOOKUP($G101,DanaSehat!$L$13:$AK$56,AB$4,FALSE)))</f>
        <v/>
      </c>
      <c r="AC101" s="18" t="str">
        <f>IF(ISNUMBER($L$6)=FALSE,"",
        IF(ISERROR(VLOOKUP($G101,DanaSehat!$L$13:$AK$56,AC$4,FALSE))=TRUE,"",
              VLOOKUP($G101,DanaSehat!$L$13:$AK$56,AC$4,FALSE)))</f>
        <v/>
      </c>
      <c r="AD101" s="18" t="str">
        <f>IF(ISNUMBER($L$6)=FALSE,"",
        IF(ISERROR(VLOOKUP($G101,DanaSehat!$L$13:$AK$56,AD$4,FALSE))=TRUE,"",
              VLOOKUP($G101,DanaSehat!$L$13:$AK$56,AD$4,FALSE)))</f>
        <v/>
      </c>
      <c r="AE101" s="18" t="str">
        <f>IF(ISNUMBER($L$6)=FALSE,"",
        IF(ISERROR(VLOOKUP($G101,DanaSehat!$L$13:$AK$56,AE$4,FALSE))=TRUE,"",
              VLOOKUP($G101,DanaSehat!$L$13:$AK$56,AE$4,FALSE)))</f>
        <v/>
      </c>
      <c r="AF101" s="18" t="str">
        <f>IF(ISNUMBER($L$6)=FALSE,"",
        IF(ISERROR(VLOOKUP($G101,DanaSehat!$L$13:$AK$56,AF$4,FALSE))=TRUE,"",
              VLOOKUP($G101,DanaSehat!$L$13:$AK$56,AF$4,FALSE)))</f>
        <v/>
      </c>
    </row>
    <row r="102" spans="1:32" s="60" customFormat="1" ht="10.5" x14ac:dyDescent="0.25">
      <c r="A102" s="59"/>
      <c r="C102" s="59">
        <f t="shared" si="7"/>
        <v>89</v>
      </c>
      <c r="D102" s="61"/>
      <c r="E102" s="77" t="str">
        <f t="shared" si="8"/>
        <v/>
      </c>
      <c r="F102" s="77" t="str">
        <f>IF(ISNUMBER($L$6)=FALSE,"",
IF($C102=0,"",VLOOKUP($E102,DanaSehat!$H$13:$L$56,4,FALSE)))</f>
        <v/>
      </c>
      <c r="G102" s="77" t="str">
        <f>IF(ISNUMBER($L$6)=FALSE,"",
IF($C102=0,"",VLOOKUP($E102,DanaSehat!$H$13:$L$56,5,FALSE)))</f>
        <v/>
      </c>
      <c r="H102" s="17" t="str">
        <f t="shared" si="9"/>
        <v/>
      </c>
      <c r="I102" s="18" t="str">
        <f>IF(ISNUMBER($L$6)=FALSE,"",
        IF(ISERROR(VLOOKUP($G102,DanaSehat!$L$13:$AK$56,I$4,FALSE))=TRUE,"",
              VLOOKUP($G102,DanaSehat!$L$13:$AK$56,I$4,FALSE)))</f>
        <v/>
      </c>
      <c r="J102" s="18" t="str">
        <f>IF(ISNUMBER($L$6)=FALSE,"",
        IF(ISERROR(VLOOKUP($G102,DanaSehat!$L$13:$AK$56,J$4,FALSE))=TRUE,"",
              VLOOKUP($G102,DanaSehat!$L$13:$AK$56,J$4,FALSE)))</f>
        <v/>
      </c>
      <c r="K102" s="18" t="str">
        <f>IF(ISNUMBER($L$6)=FALSE,"",
        IF(ISERROR(VLOOKUP($G102,DanaSehat!$L$13:$AK$56,K$4,FALSE))=TRUE,"",
              VLOOKUP($G102,DanaSehat!$L$13:$AK$56,K$4,FALSE)))</f>
        <v/>
      </c>
      <c r="L102" s="18" t="str">
        <f>IF(ISNUMBER($L$6)=FALSE,"",
        IF(ISERROR(VLOOKUP($G102,DanaSehat!$L$13:$AK$56,L$4,FALSE))=TRUE,"",
              VLOOKUP($G102,DanaSehat!$L$13:$AK$56,L$4,FALSE)))</f>
        <v/>
      </c>
      <c r="M102" s="18" t="str">
        <f>IF(ISNUMBER($L$6)=FALSE,"",
        IF(ISERROR(VLOOKUP($G102,DanaSehat!$L$13:$AK$56,M$4,FALSE))=TRUE,"",
              VLOOKUP($G102,DanaSehat!$L$13:$AK$56,M$4,FALSE)))</f>
        <v/>
      </c>
      <c r="N102" s="18" t="str">
        <f>IF(ISNUMBER($L$6)=FALSE,"",
        IF(ISERROR(VLOOKUP($G102,DanaSehat!$L$13:$AK$56,N$4,FALSE))=TRUE,"",
              VLOOKUP($G102,DanaSehat!$L$13:$AK$56,N$4,FALSE)))</f>
        <v/>
      </c>
      <c r="O102" s="18" t="str">
        <f>IF(ISNUMBER($L$6)=FALSE,"",
        IF(ISERROR(VLOOKUP($G102,DanaSehat!$L$13:$AK$56,O$4,FALSE))=TRUE,"",
              VLOOKUP($G102,DanaSehat!$L$13:$AK$56,O$4,FALSE)))</f>
        <v/>
      </c>
      <c r="P102" s="18" t="str">
        <f>IF(ISNUMBER($L$6)=FALSE,"",
        IF(ISERROR(VLOOKUP($G102,DanaSehat!$L$13:$AK$56,P$4,FALSE))=TRUE,"",
              VLOOKUP($G102,DanaSehat!$L$13:$AK$56,P$4,FALSE)))</f>
        <v/>
      </c>
      <c r="Q102" s="18" t="str">
        <f>IF(ISNUMBER($L$6)=FALSE,"",
        IF(ISERROR(VLOOKUP($G102,DanaSehat!$L$13:$AK$56,Q$4,FALSE))=TRUE,"",
              VLOOKUP($G102,DanaSehat!$L$13:$AK$56,Q$4,FALSE)))</f>
        <v/>
      </c>
      <c r="R102" s="18" t="str">
        <f>IF(ISNUMBER($L$6)=FALSE,"",
        IF(ISERROR(VLOOKUP($G102,DanaSehat!$L$13:$AK$56,R$4,FALSE))=TRUE,"",
              VLOOKUP($G102,DanaSehat!$L$13:$AK$56,R$4,FALSE)))</f>
        <v/>
      </c>
      <c r="S102" s="18" t="str">
        <f>IF(ISNUMBER($L$6)=FALSE,"",
        IF(ISERROR(VLOOKUP($G102,DanaSehat!$L$13:$AK$56,S$4,FALSE))=TRUE,"",
              VLOOKUP($G102,DanaSehat!$L$13:$AK$56,S$4,FALSE)))</f>
        <v/>
      </c>
      <c r="T102" s="18" t="str">
        <f>IF(ISNUMBER($L$6)=FALSE,"",
        IF(ISERROR(VLOOKUP($G102,DanaSehat!$L$13:$AK$56,T$4,FALSE))=TRUE,"",
              VLOOKUP($G102,DanaSehat!$L$13:$AK$56,T$4,FALSE)))</f>
        <v/>
      </c>
      <c r="U102" s="18" t="str">
        <f>IF(ISNUMBER($L$6)=FALSE,"",
        IF(ISERROR(VLOOKUP($G102,DanaSehat!$L$13:$AK$56,U$4,FALSE))=TRUE,"",
              VLOOKUP($G102,DanaSehat!$L$13:$AK$56,U$4,FALSE)))</f>
        <v/>
      </c>
      <c r="V102" s="18" t="str">
        <f>IF(ISNUMBER($L$6)=FALSE,"",
        IF(ISERROR(VLOOKUP($G102,DanaSehat!$L$13:$AK$56,V$4,FALSE))=TRUE,"",
              VLOOKUP($G102,DanaSehat!$L$13:$AK$56,V$4,FALSE)))</f>
        <v/>
      </c>
      <c r="W102" s="18" t="str">
        <f>IF(ISNUMBER($L$6)=FALSE,"",
        IF(ISERROR(VLOOKUP($G102,DanaSehat!$L$13:$AK$56,W$4,FALSE))=TRUE,"",
              VLOOKUP($G102,DanaSehat!$L$13:$AK$56,W$4,FALSE)))</f>
        <v/>
      </c>
      <c r="X102" s="18" t="str">
        <f>IF(ISNUMBER($L$6)=FALSE,"",
        IF(ISERROR(VLOOKUP($G102,DanaSehat!$L$13:$AK$56,X$4,FALSE))=TRUE,"",
              VLOOKUP($G102,DanaSehat!$L$13:$AK$56,X$4,FALSE)))</f>
        <v/>
      </c>
      <c r="Y102" s="18" t="str">
        <f>IF(ISNUMBER($L$6)=FALSE,"",
        IF(ISERROR(VLOOKUP($G102,DanaSehat!$L$13:$AK$56,Y$4,FALSE))=TRUE,"",
              VLOOKUP($G102,DanaSehat!$L$13:$AK$56,Y$4,FALSE)))</f>
        <v/>
      </c>
      <c r="Z102" s="18" t="str">
        <f>IF(ISNUMBER($L$6)=FALSE,"",
        IF(ISERROR(VLOOKUP($G102,DanaSehat!$L$13:$AK$56,Z$4,FALSE))=TRUE,"",
              VLOOKUP($G102,DanaSehat!$L$13:$AK$56,Z$4,FALSE)))</f>
        <v/>
      </c>
      <c r="AA102" s="18" t="str">
        <f>IF(ISNUMBER($L$6)=FALSE,"",
        IF(ISERROR(VLOOKUP($G102,DanaSehat!$L$13:$AK$56,AA$4,FALSE))=TRUE,"",
              VLOOKUP($G102,DanaSehat!$L$13:$AK$56,AA$4,FALSE)))</f>
        <v/>
      </c>
      <c r="AB102" s="18" t="str">
        <f>IF(ISNUMBER($L$6)=FALSE,"",
        IF(ISERROR(VLOOKUP($G102,DanaSehat!$L$13:$AK$56,AB$4,FALSE))=TRUE,"",
              VLOOKUP($G102,DanaSehat!$L$13:$AK$56,AB$4,FALSE)))</f>
        <v/>
      </c>
      <c r="AC102" s="18" t="str">
        <f>IF(ISNUMBER($L$6)=FALSE,"",
        IF(ISERROR(VLOOKUP($G102,DanaSehat!$L$13:$AK$56,AC$4,FALSE))=TRUE,"",
              VLOOKUP($G102,DanaSehat!$L$13:$AK$56,AC$4,FALSE)))</f>
        <v/>
      </c>
      <c r="AD102" s="18" t="str">
        <f>IF(ISNUMBER($L$6)=FALSE,"",
        IF(ISERROR(VLOOKUP($G102,DanaSehat!$L$13:$AK$56,AD$4,FALSE))=TRUE,"",
              VLOOKUP($G102,DanaSehat!$L$13:$AK$56,AD$4,FALSE)))</f>
        <v/>
      </c>
      <c r="AE102" s="18" t="str">
        <f>IF(ISNUMBER($L$6)=FALSE,"",
        IF(ISERROR(VLOOKUP($G102,DanaSehat!$L$13:$AK$56,AE$4,FALSE))=TRUE,"",
              VLOOKUP($G102,DanaSehat!$L$13:$AK$56,AE$4,FALSE)))</f>
        <v/>
      </c>
      <c r="AF102" s="18" t="str">
        <f>IF(ISNUMBER($L$6)=FALSE,"",
        IF(ISERROR(VLOOKUP($G102,DanaSehat!$L$13:$AK$56,AF$4,FALSE))=TRUE,"",
              VLOOKUP($G102,DanaSehat!$L$13:$AK$56,AF$4,FALSE)))</f>
        <v/>
      </c>
    </row>
    <row r="103" spans="1:32" s="60" customFormat="1" ht="10.5" x14ac:dyDescent="0.25">
      <c r="A103" s="59"/>
      <c r="C103" s="59">
        <f t="shared" si="7"/>
        <v>90</v>
      </c>
      <c r="D103" s="61"/>
      <c r="E103" s="77" t="str">
        <f t="shared" si="8"/>
        <v/>
      </c>
      <c r="F103" s="77" t="str">
        <f>IF(ISNUMBER($L$6)=FALSE,"",
IF($C103=0,"",VLOOKUP($E103,DanaSehat!$H$13:$L$56,4,FALSE)))</f>
        <v/>
      </c>
      <c r="G103" s="77" t="str">
        <f>IF(ISNUMBER($L$6)=FALSE,"",
IF($C103=0,"",VLOOKUP($E103,DanaSehat!$H$13:$L$56,5,FALSE)))</f>
        <v/>
      </c>
      <c r="H103" s="17" t="str">
        <f t="shared" si="9"/>
        <v/>
      </c>
      <c r="I103" s="18" t="str">
        <f>IF(ISNUMBER($L$6)=FALSE,"",
        IF(ISERROR(VLOOKUP($G103,DanaSehat!$L$13:$AK$56,I$4,FALSE))=TRUE,"",
              VLOOKUP($G103,DanaSehat!$L$13:$AK$56,I$4,FALSE)))</f>
        <v/>
      </c>
      <c r="J103" s="18" t="str">
        <f>IF(ISNUMBER($L$6)=FALSE,"",
        IF(ISERROR(VLOOKUP($G103,DanaSehat!$L$13:$AK$56,J$4,FALSE))=TRUE,"",
              VLOOKUP($G103,DanaSehat!$L$13:$AK$56,J$4,FALSE)))</f>
        <v/>
      </c>
      <c r="K103" s="18" t="str">
        <f>IF(ISNUMBER($L$6)=FALSE,"",
        IF(ISERROR(VLOOKUP($G103,DanaSehat!$L$13:$AK$56,K$4,FALSE))=TRUE,"",
              VLOOKUP($G103,DanaSehat!$L$13:$AK$56,K$4,FALSE)))</f>
        <v/>
      </c>
      <c r="L103" s="18" t="str">
        <f>IF(ISNUMBER($L$6)=FALSE,"",
        IF(ISERROR(VLOOKUP($G103,DanaSehat!$L$13:$AK$56,L$4,FALSE))=TRUE,"",
              VLOOKUP($G103,DanaSehat!$L$13:$AK$56,L$4,FALSE)))</f>
        <v/>
      </c>
      <c r="M103" s="18" t="str">
        <f>IF(ISNUMBER($L$6)=FALSE,"",
        IF(ISERROR(VLOOKUP($G103,DanaSehat!$L$13:$AK$56,M$4,FALSE))=TRUE,"",
              VLOOKUP($G103,DanaSehat!$L$13:$AK$56,M$4,FALSE)))</f>
        <v/>
      </c>
      <c r="N103" s="18" t="str">
        <f>IF(ISNUMBER($L$6)=FALSE,"",
        IF(ISERROR(VLOOKUP($G103,DanaSehat!$L$13:$AK$56,N$4,FALSE))=TRUE,"",
              VLOOKUP($G103,DanaSehat!$L$13:$AK$56,N$4,FALSE)))</f>
        <v/>
      </c>
      <c r="O103" s="18" t="str">
        <f>IF(ISNUMBER($L$6)=FALSE,"",
        IF(ISERROR(VLOOKUP($G103,DanaSehat!$L$13:$AK$56,O$4,FALSE))=TRUE,"",
              VLOOKUP($G103,DanaSehat!$L$13:$AK$56,O$4,FALSE)))</f>
        <v/>
      </c>
      <c r="P103" s="18" t="str">
        <f>IF(ISNUMBER($L$6)=FALSE,"",
        IF(ISERROR(VLOOKUP($G103,DanaSehat!$L$13:$AK$56,P$4,FALSE))=TRUE,"",
              VLOOKUP($G103,DanaSehat!$L$13:$AK$56,P$4,FALSE)))</f>
        <v/>
      </c>
      <c r="Q103" s="18" t="str">
        <f>IF(ISNUMBER($L$6)=FALSE,"",
        IF(ISERROR(VLOOKUP($G103,DanaSehat!$L$13:$AK$56,Q$4,FALSE))=TRUE,"",
              VLOOKUP($G103,DanaSehat!$L$13:$AK$56,Q$4,FALSE)))</f>
        <v/>
      </c>
      <c r="R103" s="18" t="str">
        <f>IF(ISNUMBER($L$6)=FALSE,"",
        IF(ISERROR(VLOOKUP($G103,DanaSehat!$L$13:$AK$56,R$4,FALSE))=TRUE,"",
              VLOOKUP($G103,DanaSehat!$L$13:$AK$56,R$4,FALSE)))</f>
        <v/>
      </c>
      <c r="S103" s="18" t="str">
        <f>IF(ISNUMBER($L$6)=FALSE,"",
        IF(ISERROR(VLOOKUP($G103,DanaSehat!$L$13:$AK$56,S$4,FALSE))=TRUE,"",
              VLOOKUP($G103,DanaSehat!$L$13:$AK$56,S$4,FALSE)))</f>
        <v/>
      </c>
      <c r="T103" s="18" t="str">
        <f>IF(ISNUMBER($L$6)=FALSE,"",
        IF(ISERROR(VLOOKUP($G103,DanaSehat!$L$13:$AK$56,T$4,FALSE))=TRUE,"",
              VLOOKUP($G103,DanaSehat!$L$13:$AK$56,T$4,FALSE)))</f>
        <v/>
      </c>
      <c r="U103" s="18" t="str">
        <f>IF(ISNUMBER($L$6)=FALSE,"",
        IF(ISERROR(VLOOKUP($G103,DanaSehat!$L$13:$AK$56,U$4,FALSE))=TRUE,"",
              VLOOKUP($G103,DanaSehat!$L$13:$AK$56,U$4,FALSE)))</f>
        <v/>
      </c>
      <c r="V103" s="18" t="str">
        <f>IF(ISNUMBER($L$6)=FALSE,"",
        IF(ISERROR(VLOOKUP($G103,DanaSehat!$L$13:$AK$56,V$4,FALSE))=TRUE,"",
              VLOOKUP($G103,DanaSehat!$L$13:$AK$56,V$4,FALSE)))</f>
        <v/>
      </c>
      <c r="W103" s="18" t="str">
        <f>IF(ISNUMBER($L$6)=FALSE,"",
        IF(ISERROR(VLOOKUP($G103,DanaSehat!$L$13:$AK$56,W$4,FALSE))=TRUE,"",
              VLOOKUP($G103,DanaSehat!$L$13:$AK$56,W$4,FALSE)))</f>
        <v/>
      </c>
      <c r="X103" s="18" t="str">
        <f>IF(ISNUMBER($L$6)=FALSE,"",
        IF(ISERROR(VLOOKUP($G103,DanaSehat!$L$13:$AK$56,X$4,FALSE))=TRUE,"",
              VLOOKUP($G103,DanaSehat!$L$13:$AK$56,X$4,FALSE)))</f>
        <v/>
      </c>
      <c r="Y103" s="18" t="str">
        <f>IF(ISNUMBER($L$6)=FALSE,"",
        IF(ISERROR(VLOOKUP($G103,DanaSehat!$L$13:$AK$56,Y$4,FALSE))=TRUE,"",
              VLOOKUP($G103,DanaSehat!$L$13:$AK$56,Y$4,FALSE)))</f>
        <v/>
      </c>
      <c r="Z103" s="18" t="str">
        <f>IF(ISNUMBER($L$6)=FALSE,"",
        IF(ISERROR(VLOOKUP($G103,DanaSehat!$L$13:$AK$56,Z$4,FALSE))=TRUE,"",
              VLOOKUP($G103,DanaSehat!$L$13:$AK$56,Z$4,FALSE)))</f>
        <v/>
      </c>
      <c r="AA103" s="18" t="str">
        <f>IF(ISNUMBER($L$6)=FALSE,"",
        IF(ISERROR(VLOOKUP($G103,DanaSehat!$L$13:$AK$56,AA$4,FALSE))=TRUE,"",
              VLOOKUP($G103,DanaSehat!$L$13:$AK$56,AA$4,FALSE)))</f>
        <v/>
      </c>
      <c r="AB103" s="18" t="str">
        <f>IF(ISNUMBER($L$6)=FALSE,"",
        IF(ISERROR(VLOOKUP($G103,DanaSehat!$L$13:$AK$56,AB$4,FALSE))=TRUE,"",
              VLOOKUP($G103,DanaSehat!$L$13:$AK$56,AB$4,FALSE)))</f>
        <v/>
      </c>
      <c r="AC103" s="18" t="str">
        <f>IF(ISNUMBER($L$6)=FALSE,"",
        IF(ISERROR(VLOOKUP($G103,DanaSehat!$L$13:$AK$56,AC$4,FALSE))=TRUE,"",
              VLOOKUP($G103,DanaSehat!$L$13:$AK$56,AC$4,FALSE)))</f>
        <v/>
      </c>
      <c r="AD103" s="18" t="str">
        <f>IF(ISNUMBER($L$6)=FALSE,"",
        IF(ISERROR(VLOOKUP($G103,DanaSehat!$L$13:$AK$56,AD$4,FALSE))=TRUE,"",
              VLOOKUP($G103,DanaSehat!$L$13:$AK$56,AD$4,FALSE)))</f>
        <v/>
      </c>
      <c r="AE103" s="18" t="str">
        <f>IF(ISNUMBER($L$6)=FALSE,"",
        IF(ISERROR(VLOOKUP($G103,DanaSehat!$L$13:$AK$56,AE$4,FALSE))=TRUE,"",
              VLOOKUP($G103,DanaSehat!$L$13:$AK$56,AE$4,FALSE)))</f>
        <v/>
      </c>
      <c r="AF103" s="18" t="str">
        <f>IF(ISNUMBER($L$6)=FALSE,"",
        IF(ISERROR(VLOOKUP($G103,DanaSehat!$L$13:$AK$56,AF$4,FALSE))=TRUE,"",
              VLOOKUP($G103,DanaSehat!$L$13:$AK$56,AF$4,FALSE)))</f>
        <v/>
      </c>
    </row>
    <row r="104" spans="1:32" s="60" customFormat="1" ht="10.5" x14ac:dyDescent="0.25">
      <c r="A104" s="59"/>
      <c r="C104" s="59">
        <f t="shared" si="7"/>
        <v>91</v>
      </c>
      <c r="D104" s="61"/>
      <c r="E104" s="77" t="str">
        <f t="shared" si="8"/>
        <v/>
      </c>
      <c r="F104" s="77" t="str">
        <f>IF(ISNUMBER($L$6)=FALSE,"",
IF($C104=0,"",VLOOKUP($E104,DanaSehat!$H$13:$L$56,4,FALSE)))</f>
        <v/>
      </c>
      <c r="G104" s="77" t="str">
        <f>IF(ISNUMBER($L$6)=FALSE,"",
IF($C104=0,"",VLOOKUP($E104,DanaSehat!$H$13:$L$56,5,FALSE)))</f>
        <v/>
      </c>
      <c r="H104" s="17" t="str">
        <f t="shared" si="9"/>
        <v/>
      </c>
      <c r="I104" s="18" t="str">
        <f>IF(ISNUMBER($L$6)=FALSE,"",
        IF(ISERROR(VLOOKUP($G104,DanaSehat!$L$13:$AK$56,I$4,FALSE))=TRUE,"",
              VLOOKUP($G104,DanaSehat!$L$13:$AK$56,I$4,FALSE)))</f>
        <v/>
      </c>
      <c r="J104" s="18" t="str">
        <f>IF(ISNUMBER($L$6)=FALSE,"",
        IF(ISERROR(VLOOKUP($G104,DanaSehat!$L$13:$AK$56,J$4,FALSE))=TRUE,"",
              VLOOKUP($G104,DanaSehat!$L$13:$AK$56,J$4,FALSE)))</f>
        <v/>
      </c>
      <c r="K104" s="18" t="str">
        <f>IF(ISNUMBER($L$6)=FALSE,"",
        IF(ISERROR(VLOOKUP($G104,DanaSehat!$L$13:$AK$56,K$4,FALSE))=TRUE,"",
              VLOOKUP($G104,DanaSehat!$L$13:$AK$56,K$4,FALSE)))</f>
        <v/>
      </c>
      <c r="L104" s="18" t="str">
        <f>IF(ISNUMBER($L$6)=FALSE,"",
        IF(ISERROR(VLOOKUP($G104,DanaSehat!$L$13:$AK$56,L$4,FALSE))=TRUE,"",
              VLOOKUP($G104,DanaSehat!$L$13:$AK$56,L$4,FALSE)))</f>
        <v/>
      </c>
      <c r="M104" s="18" t="str">
        <f>IF(ISNUMBER($L$6)=FALSE,"",
        IF(ISERROR(VLOOKUP($G104,DanaSehat!$L$13:$AK$56,M$4,FALSE))=TRUE,"",
              VLOOKUP($G104,DanaSehat!$L$13:$AK$56,M$4,FALSE)))</f>
        <v/>
      </c>
      <c r="N104" s="18" t="str">
        <f>IF(ISNUMBER($L$6)=FALSE,"",
        IF(ISERROR(VLOOKUP($G104,DanaSehat!$L$13:$AK$56,N$4,FALSE))=TRUE,"",
              VLOOKUP($G104,DanaSehat!$L$13:$AK$56,N$4,FALSE)))</f>
        <v/>
      </c>
      <c r="O104" s="18" t="str">
        <f>IF(ISNUMBER($L$6)=FALSE,"",
        IF(ISERROR(VLOOKUP($G104,DanaSehat!$L$13:$AK$56,O$4,FALSE))=TRUE,"",
              VLOOKUP($G104,DanaSehat!$L$13:$AK$56,O$4,FALSE)))</f>
        <v/>
      </c>
      <c r="P104" s="18" t="str">
        <f>IF(ISNUMBER($L$6)=FALSE,"",
        IF(ISERROR(VLOOKUP($G104,DanaSehat!$L$13:$AK$56,P$4,FALSE))=TRUE,"",
              VLOOKUP($G104,DanaSehat!$L$13:$AK$56,P$4,FALSE)))</f>
        <v/>
      </c>
      <c r="Q104" s="18" t="str">
        <f>IF(ISNUMBER($L$6)=FALSE,"",
        IF(ISERROR(VLOOKUP($G104,DanaSehat!$L$13:$AK$56,Q$4,FALSE))=TRUE,"",
              VLOOKUP($G104,DanaSehat!$L$13:$AK$56,Q$4,FALSE)))</f>
        <v/>
      </c>
      <c r="R104" s="18" t="str">
        <f>IF(ISNUMBER($L$6)=FALSE,"",
        IF(ISERROR(VLOOKUP($G104,DanaSehat!$L$13:$AK$56,R$4,FALSE))=TRUE,"",
              VLOOKUP($G104,DanaSehat!$L$13:$AK$56,R$4,FALSE)))</f>
        <v/>
      </c>
      <c r="S104" s="18" t="str">
        <f>IF(ISNUMBER($L$6)=FALSE,"",
        IF(ISERROR(VLOOKUP($G104,DanaSehat!$L$13:$AK$56,S$4,FALSE))=TRUE,"",
              VLOOKUP($G104,DanaSehat!$L$13:$AK$56,S$4,FALSE)))</f>
        <v/>
      </c>
      <c r="T104" s="18" t="str">
        <f>IF(ISNUMBER($L$6)=FALSE,"",
        IF(ISERROR(VLOOKUP($G104,DanaSehat!$L$13:$AK$56,T$4,FALSE))=TRUE,"",
              VLOOKUP($G104,DanaSehat!$L$13:$AK$56,T$4,FALSE)))</f>
        <v/>
      </c>
      <c r="U104" s="18" t="str">
        <f>IF(ISNUMBER($L$6)=FALSE,"",
        IF(ISERROR(VLOOKUP($G104,DanaSehat!$L$13:$AK$56,U$4,FALSE))=TRUE,"",
              VLOOKUP($G104,DanaSehat!$L$13:$AK$56,U$4,FALSE)))</f>
        <v/>
      </c>
      <c r="V104" s="18" t="str">
        <f>IF(ISNUMBER($L$6)=FALSE,"",
        IF(ISERROR(VLOOKUP($G104,DanaSehat!$L$13:$AK$56,V$4,FALSE))=TRUE,"",
              VLOOKUP($G104,DanaSehat!$L$13:$AK$56,V$4,FALSE)))</f>
        <v/>
      </c>
      <c r="W104" s="18" t="str">
        <f>IF(ISNUMBER($L$6)=FALSE,"",
        IF(ISERROR(VLOOKUP($G104,DanaSehat!$L$13:$AK$56,W$4,FALSE))=TRUE,"",
              VLOOKUP($G104,DanaSehat!$L$13:$AK$56,W$4,FALSE)))</f>
        <v/>
      </c>
      <c r="X104" s="18" t="str">
        <f>IF(ISNUMBER($L$6)=FALSE,"",
        IF(ISERROR(VLOOKUP($G104,DanaSehat!$L$13:$AK$56,X$4,FALSE))=TRUE,"",
              VLOOKUP($G104,DanaSehat!$L$13:$AK$56,X$4,FALSE)))</f>
        <v/>
      </c>
      <c r="Y104" s="18" t="str">
        <f>IF(ISNUMBER($L$6)=FALSE,"",
        IF(ISERROR(VLOOKUP($G104,DanaSehat!$L$13:$AK$56,Y$4,FALSE))=TRUE,"",
              VLOOKUP($G104,DanaSehat!$L$13:$AK$56,Y$4,FALSE)))</f>
        <v/>
      </c>
      <c r="Z104" s="18" t="str">
        <f>IF(ISNUMBER($L$6)=FALSE,"",
        IF(ISERROR(VLOOKUP($G104,DanaSehat!$L$13:$AK$56,Z$4,FALSE))=TRUE,"",
              VLOOKUP($G104,DanaSehat!$L$13:$AK$56,Z$4,FALSE)))</f>
        <v/>
      </c>
      <c r="AA104" s="18" t="str">
        <f>IF(ISNUMBER($L$6)=FALSE,"",
        IF(ISERROR(VLOOKUP($G104,DanaSehat!$L$13:$AK$56,AA$4,FALSE))=TRUE,"",
              VLOOKUP($G104,DanaSehat!$L$13:$AK$56,AA$4,FALSE)))</f>
        <v/>
      </c>
      <c r="AB104" s="18" t="str">
        <f>IF(ISNUMBER($L$6)=FALSE,"",
        IF(ISERROR(VLOOKUP($G104,DanaSehat!$L$13:$AK$56,AB$4,FALSE))=TRUE,"",
              VLOOKUP($G104,DanaSehat!$L$13:$AK$56,AB$4,FALSE)))</f>
        <v/>
      </c>
      <c r="AC104" s="18" t="str">
        <f>IF(ISNUMBER($L$6)=FALSE,"",
        IF(ISERROR(VLOOKUP($G104,DanaSehat!$L$13:$AK$56,AC$4,FALSE))=TRUE,"",
              VLOOKUP($G104,DanaSehat!$L$13:$AK$56,AC$4,FALSE)))</f>
        <v/>
      </c>
      <c r="AD104" s="18" t="str">
        <f>IF(ISNUMBER($L$6)=FALSE,"",
        IF(ISERROR(VLOOKUP($G104,DanaSehat!$L$13:$AK$56,AD$4,FALSE))=TRUE,"",
              VLOOKUP($G104,DanaSehat!$L$13:$AK$56,AD$4,FALSE)))</f>
        <v/>
      </c>
      <c r="AE104" s="18" t="str">
        <f>IF(ISNUMBER($L$6)=FALSE,"",
        IF(ISERROR(VLOOKUP($G104,DanaSehat!$L$13:$AK$56,AE$4,FALSE))=TRUE,"",
              VLOOKUP($G104,DanaSehat!$L$13:$AK$56,AE$4,FALSE)))</f>
        <v/>
      </c>
      <c r="AF104" s="18" t="str">
        <f>IF(ISNUMBER($L$6)=FALSE,"",
        IF(ISERROR(VLOOKUP($G104,DanaSehat!$L$13:$AK$56,AF$4,FALSE))=TRUE,"",
              VLOOKUP($G104,DanaSehat!$L$13:$AK$56,AF$4,FALSE)))</f>
        <v/>
      </c>
    </row>
    <row r="105" spans="1:32" s="60" customFormat="1" ht="10.5" x14ac:dyDescent="0.25">
      <c r="A105" s="59"/>
      <c r="C105" s="59">
        <f t="shared" si="7"/>
        <v>92</v>
      </c>
      <c r="D105" s="61"/>
      <c r="E105" s="77" t="str">
        <f t="shared" si="8"/>
        <v/>
      </c>
      <c r="F105" s="77" t="str">
        <f>IF(ISNUMBER($L$6)=FALSE,"",
IF($C105=0,"",VLOOKUP($E105,DanaSehat!$H$13:$L$56,4,FALSE)))</f>
        <v/>
      </c>
      <c r="G105" s="77" t="str">
        <f>IF(ISNUMBER($L$6)=FALSE,"",
IF($C105=0,"",VLOOKUP($E105,DanaSehat!$H$13:$L$56,5,FALSE)))</f>
        <v/>
      </c>
      <c r="H105" s="17" t="str">
        <f t="shared" si="9"/>
        <v/>
      </c>
      <c r="I105" s="18" t="str">
        <f>IF(ISNUMBER($L$6)=FALSE,"",
        IF(ISERROR(VLOOKUP($G105,DanaSehat!$L$13:$AK$56,I$4,FALSE))=TRUE,"",
              VLOOKUP($G105,DanaSehat!$L$13:$AK$56,I$4,FALSE)))</f>
        <v/>
      </c>
      <c r="J105" s="18" t="str">
        <f>IF(ISNUMBER($L$6)=FALSE,"",
        IF(ISERROR(VLOOKUP($G105,DanaSehat!$L$13:$AK$56,J$4,FALSE))=TRUE,"",
              VLOOKUP($G105,DanaSehat!$L$13:$AK$56,J$4,FALSE)))</f>
        <v/>
      </c>
      <c r="K105" s="18" t="str">
        <f>IF(ISNUMBER($L$6)=FALSE,"",
        IF(ISERROR(VLOOKUP($G105,DanaSehat!$L$13:$AK$56,K$4,FALSE))=TRUE,"",
              VLOOKUP($G105,DanaSehat!$L$13:$AK$56,K$4,FALSE)))</f>
        <v/>
      </c>
      <c r="L105" s="18" t="str">
        <f>IF(ISNUMBER($L$6)=FALSE,"",
        IF(ISERROR(VLOOKUP($G105,DanaSehat!$L$13:$AK$56,L$4,FALSE))=TRUE,"",
              VLOOKUP($G105,DanaSehat!$L$13:$AK$56,L$4,FALSE)))</f>
        <v/>
      </c>
      <c r="M105" s="18" t="str">
        <f>IF(ISNUMBER($L$6)=FALSE,"",
        IF(ISERROR(VLOOKUP($G105,DanaSehat!$L$13:$AK$56,M$4,FALSE))=TRUE,"",
              VLOOKUP($G105,DanaSehat!$L$13:$AK$56,M$4,FALSE)))</f>
        <v/>
      </c>
      <c r="N105" s="18" t="str">
        <f>IF(ISNUMBER($L$6)=FALSE,"",
        IF(ISERROR(VLOOKUP($G105,DanaSehat!$L$13:$AK$56,N$4,FALSE))=TRUE,"",
              VLOOKUP($G105,DanaSehat!$L$13:$AK$56,N$4,FALSE)))</f>
        <v/>
      </c>
      <c r="O105" s="18" t="str">
        <f>IF(ISNUMBER($L$6)=FALSE,"",
        IF(ISERROR(VLOOKUP($G105,DanaSehat!$L$13:$AK$56,O$4,FALSE))=TRUE,"",
              VLOOKUP($G105,DanaSehat!$L$13:$AK$56,O$4,FALSE)))</f>
        <v/>
      </c>
      <c r="P105" s="18" t="str">
        <f>IF(ISNUMBER($L$6)=FALSE,"",
        IF(ISERROR(VLOOKUP($G105,DanaSehat!$L$13:$AK$56,P$4,FALSE))=TRUE,"",
              VLOOKUP($G105,DanaSehat!$L$13:$AK$56,P$4,FALSE)))</f>
        <v/>
      </c>
      <c r="Q105" s="18" t="str">
        <f>IF(ISNUMBER($L$6)=FALSE,"",
        IF(ISERROR(VLOOKUP($G105,DanaSehat!$L$13:$AK$56,Q$4,FALSE))=TRUE,"",
              VLOOKUP($G105,DanaSehat!$L$13:$AK$56,Q$4,FALSE)))</f>
        <v/>
      </c>
      <c r="R105" s="18" t="str">
        <f>IF(ISNUMBER($L$6)=FALSE,"",
        IF(ISERROR(VLOOKUP($G105,DanaSehat!$L$13:$AK$56,R$4,FALSE))=TRUE,"",
              VLOOKUP($G105,DanaSehat!$L$13:$AK$56,R$4,FALSE)))</f>
        <v/>
      </c>
      <c r="S105" s="18" t="str">
        <f>IF(ISNUMBER($L$6)=FALSE,"",
        IF(ISERROR(VLOOKUP($G105,DanaSehat!$L$13:$AK$56,S$4,FALSE))=TRUE,"",
              VLOOKUP($G105,DanaSehat!$L$13:$AK$56,S$4,FALSE)))</f>
        <v/>
      </c>
      <c r="T105" s="18" t="str">
        <f>IF(ISNUMBER($L$6)=FALSE,"",
        IF(ISERROR(VLOOKUP($G105,DanaSehat!$L$13:$AK$56,T$4,FALSE))=TRUE,"",
              VLOOKUP($G105,DanaSehat!$L$13:$AK$56,T$4,FALSE)))</f>
        <v/>
      </c>
      <c r="U105" s="18" t="str">
        <f>IF(ISNUMBER($L$6)=FALSE,"",
        IF(ISERROR(VLOOKUP($G105,DanaSehat!$L$13:$AK$56,U$4,FALSE))=TRUE,"",
              VLOOKUP($G105,DanaSehat!$L$13:$AK$56,U$4,FALSE)))</f>
        <v/>
      </c>
      <c r="V105" s="18" t="str">
        <f>IF(ISNUMBER($L$6)=FALSE,"",
        IF(ISERROR(VLOOKUP($G105,DanaSehat!$L$13:$AK$56,V$4,FALSE))=TRUE,"",
              VLOOKUP($G105,DanaSehat!$L$13:$AK$56,V$4,FALSE)))</f>
        <v/>
      </c>
      <c r="W105" s="18" t="str">
        <f>IF(ISNUMBER($L$6)=FALSE,"",
        IF(ISERROR(VLOOKUP($G105,DanaSehat!$L$13:$AK$56,W$4,FALSE))=TRUE,"",
              VLOOKUP($G105,DanaSehat!$L$13:$AK$56,W$4,FALSE)))</f>
        <v/>
      </c>
      <c r="X105" s="18" t="str">
        <f>IF(ISNUMBER($L$6)=FALSE,"",
        IF(ISERROR(VLOOKUP($G105,DanaSehat!$L$13:$AK$56,X$4,FALSE))=TRUE,"",
              VLOOKUP($G105,DanaSehat!$L$13:$AK$56,X$4,FALSE)))</f>
        <v/>
      </c>
      <c r="Y105" s="18" t="str">
        <f>IF(ISNUMBER($L$6)=FALSE,"",
        IF(ISERROR(VLOOKUP($G105,DanaSehat!$L$13:$AK$56,Y$4,FALSE))=TRUE,"",
              VLOOKUP($G105,DanaSehat!$L$13:$AK$56,Y$4,FALSE)))</f>
        <v/>
      </c>
      <c r="Z105" s="18" t="str">
        <f>IF(ISNUMBER($L$6)=FALSE,"",
        IF(ISERROR(VLOOKUP($G105,DanaSehat!$L$13:$AK$56,Z$4,FALSE))=TRUE,"",
              VLOOKUP($G105,DanaSehat!$L$13:$AK$56,Z$4,FALSE)))</f>
        <v/>
      </c>
      <c r="AA105" s="18" t="str">
        <f>IF(ISNUMBER($L$6)=FALSE,"",
        IF(ISERROR(VLOOKUP($G105,DanaSehat!$L$13:$AK$56,AA$4,FALSE))=TRUE,"",
              VLOOKUP($G105,DanaSehat!$L$13:$AK$56,AA$4,FALSE)))</f>
        <v/>
      </c>
      <c r="AB105" s="18" t="str">
        <f>IF(ISNUMBER($L$6)=FALSE,"",
        IF(ISERROR(VLOOKUP($G105,DanaSehat!$L$13:$AK$56,AB$4,FALSE))=TRUE,"",
              VLOOKUP($G105,DanaSehat!$L$13:$AK$56,AB$4,FALSE)))</f>
        <v/>
      </c>
      <c r="AC105" s="18" t="str">
        <f>IF(ISNUMBER($L$6)=FALSE,"",
        IF(ISERROR(VLOOKUP($G105,DanaSehat!$L$13:$AK$56,AC$4,FALSE))=TRUE,"",
              VLOOKUP($G105,DanaSehat!$L$13:$AK$56,AC$4,FALSE)))</f>
        <v/>
      </c>
      <c r="AD105" s="18" t="str">
        <f>IF(ISNUMBER($L$6)=FALSE,"",
        IF(ISERROR(VLOOKUP($G105,DanaSehat!$L$13:$AK$56,AD$4,FALSE))=TRUE,"",
              VLOOKUP($G105,DanaSehat!$L$13:$AK$56,AD$4,FALSE)))</f>
        <v/>
      </c>
      <c r="AE105" s="18" t="str">
        <f>IF(ISNUMBER($L$6)=FALSE,"",
        IF(ISERROR(VLOOKUP($G105,DanaSehat!$L$13:$AK$56,AE$4,FALSE))=TRUE,"",
              VLOOKUP($G105,DanaSehat!$L$13:$AK$56,AE$4,FALSE)))</f>
        <v/>
      </c>
      <c r="AF105" s="18" t="str">
        <f>IF(ISNUMBER($L$6)=FALSE,"",
        IF(ISERROR(VLOOKUP($G105,DanaSehat!$L$13:$AK$56,AF$4,FALSE))=TRUE,"",
              VLOOKUP($G105,DanaSehat!$L$13:$AK$56,AF$4,FALSE)))</f>
        <v/>
      </c>
    </row>
    <row r="106" spans="1:32" s="60" customFormat="1" ht="10.5" x14ac:dyDescent="0.25">
      <c r="A106" s="59"/>
      <c r="C106" s="59">
        <f t="shared" si="7"/>
        <v>93</v>
      </c>
      <c r="D106" s="61"/>
      <c r="E106" s="77" t="str">
        <f t="shared" si="8"/>
        <v/>
      </c>
      <c r="F106" s="77" t="str">
        <f>IF(ISNUMBER($L$6)=FALSE,"",
IF($C106=0,"",VLOOKUP($E106,DanaSehat!$H$13:$L$56,4,FALSE)))</f>
        <v/>
      </c>
      <c r="G106" s="77" t="str">
        <f>IF(ISNUMBER($L$6)=FALSE,"",
IF($C106=0,"",VLOOKUP($E106,DanaSehat!$H$13:$L$56,5,FALSE)))</f>
        <v/>
      </c>
      <c r="H106" s="17" t="str">
        <f t="shared" si="9"/>
        <v/>
      </c>
      <c r="I106" s="18" t="str">
        <f>IF(ISNUMBER($L$6)=FALSE,"",
        IF(ISERROR(VLOOKUP($G106,DanaSehat!$L$13:$AK$56,I$4,FALSE))=TRUE,"",
              VLOOKUP($G106,DanaSehat!$L$13:$AK$56,I$4,FALSE)))</f>
        <v/>
      </c>
      <c r="J106" s="18" t="str">
        <f>IF(ISNUMBER($L$6)=FALSE,"",
        IF(ISERROR(VLOOKUP($G106,DanaSehat!$L$13:$AK$56,J$4,FALSE))=TRUE,"",
              VLOOKUP($G106,DanaSehat!$L$13:$AK$56,J$4,FALSE)))</f>
        <v/>
      </c>
      <c r="K106" s="18" t="str">
        <f>IF(ISNUMBER($L$6)=FALSE,"",
        IF(ISERROR(VLOOKUP($G106,DanaSehat!$L$13:$AK$56,K$4,FALSE))=TRUE,"",
              VLOOKUP($G106,DanaSehat!$L$13:$AK$56,K$4,FALSE)))</f>
        <v/>
      </c>
      <c r="L106" s="18" t="str">
        <f>IF(ISNUMBER($L$6)=FALSE,"",
        IF(ISERROR(VLOOKUP($G106,DanaSehat!$L$13:$AK$56,L$4,FALSE))=TRUE,"",
              VLOOKUP($G106,DanaSehat!$L$13:$AK$56,L$4,FALSE)))</f>
        <v/>
      </c>
      <c r="M106" s="18" t="str">
        <f>IF(ISNUMBER($L$6)=FALSE,"",
        IF(ISERROR(VLOOKUP($G106,DanaSehat!$L$13:$AK$56,M$4,FALSE))=TRUE,"",
              VLOOKUP($G106,DanaSehat!$L$13:$AK$56,M$4,FALSE)))</f>
        <v/>
      </c>
      <c r="N106" s="18" t="str">
        <f>IF(ISNUMBER($L$6)=FALSE,"",
        IF(ISERROR(VLOOKUP($G106,DanaSehat!$L$13:$AK$56,N$4,FALSE))=TRUE,"",
              VLOOKUP($G106,DanaSehat!$L$13:$AK$56,N$4,FALSE)))</f>
        <v/>
      </c>
      <c r="O106" s="18" t="str">
        <f>IF(ISNUMBER($L$6)=FALSE,"",
        IF(ISERROR(VLOOKUP($G106,DanaSehat!$L$13:$AK$56,O$4,FALSE))=TRUE,"",
              VLOOKUP($G106,DanaSehat!$L$13:$AK$56,O$4,FALSE)))</f>
        <v/>
      </c>
      <c r="P106" s="18" t="str">
        <f>IF(ISNUMBER($L$6)=FALSE,"",
        IF(ISERROR(VLOOKUP($G106,DanaSehat!$L$13:$AK$56,P$4,FALSE))=TRUE,"",
              VLOOKUP($G106,DanaSehat!$L$13:$AK$56,P$4,FALSE)))</f>
        <v/>
      </c>
      <c r="Q106" s="18" t="str">
        <f>IF(ISNUMBER($L$6)=FALSE,"",
        IF(ISERROR(VLOOKUP($G106,DanaSehat!$L$13:$AK$56,Q$4,FALSE))=TRUE,"",
              VLOOKUP($G106,DanaSehat!$L$13:$AK$56,Q$4,FALSE)))</f>
        <v/>
      </c>
      <c r="R106" s="18" t="str">
        <f>IF(ISNUMBER($L$6)=FALSE,"",
        IF(ISERROR(VLOOKUP($G106,DanaSehat!$L$13:$AK$56,R$4,FALSE))=TRUE,"",
              VLOOKUP($G106,DanaSehat!$L$13:$AK$56,R$4,FALSE)))</f>
        <v/>
      </c>
      <c r="S106" s="18" t="str">
        <f>IF(ISNUMBER($L$6)=FALSE,"",
        IF(ISERROR(VLOOKUP($G106,DanaSehat!$L$13:$AK$56,S$4,FALSE))=TRUE,"",
              VLOOKUP($G106,DanaSehat!$L$13:$AK$56,S$4,FALSE)))</f>
        <v/>
      </c>
      <c r="T106" s="18" t="str">
        <f>IF(ISNUMBER($L$6)=FALSE,"",
        IF(ISERROR(VLOOKUP($G106,DanaSehat!$L$13:$AK$56,T$4,FALSE))=TRUE,"",
              VLOOKUP($G106,DanaSehat!$L$13:$AK$56,T$4,FALSE)))</f>
        <v/>
      </c>
      <c r="U106" s="18" t="str">
        <f>IF(ISNUMBER($L$6)=FALSE,"",
        IF(ISERROR(VLOOKUP($G106,DanaSehat!$L$13:$AK$56,U$4,FALSE))=TRUE,"",
              VLOOKUP($G106,DanaSehat!$L$13:$AK$56,U$4,FALSE)))</f>
        <v/>
      </c>
      <c r="V106" s="18" t="str">
        <f>IF(ISNUMBER($L$6)=FALSE,"",
        IF(ISERROR(VLOOKUP($G106,DanaSehat!$L$13:$AK$56,V$4,FALSE))=TRUE,"",
              VLOOKUP($G106,DanaSehat!$L$13:$AK$56,V$4,FALSE)))</f>
        <v/>
      </c>
      <c r="W106" s="18" t="str">
        <f>IF(ISNUMBER($L$6)=FALSE,"",
        IF(ISERROR(VLOOKUP($G106,DanaSehat!$L$13:$AK$56,W$4,FALSE))=TRUE,"",
              VLOOKUP($G106,DanaSehat!$L$13:$AK$56,W$4,FALSE)))</f>
        <v/>
      </c>
      <c r="X106" s="18" t="str">
        <f>IF(ISNUMBER($L$6)=FALSE,"",
        IF(ISERROR(VLOOKUP($G106,DanaSehat!$L$13:$AK$56,X$4,FALSE))=TRUE,"",
              VLOOKUP($G106,DanaSehat!$L$13:$AK$56,X$4,FALSE)))</f>
        <v/>
      </c>
      <c r="Y106" s="18" t="str">
        <f>IF(ISNUMBER($L$6)=FALSE,"",
        IF(ISERROR(VLOOKUP($G106,DanaSehat!$L$13:$AK$56,Y$4,FALSE))=TRUE,"",
              VLOOKUP($G106,DanaSehat!$L$13:$AK$56,Y$4,FALSE)))</f>
        <v/>
      </c>
      <c r="Z106" s="18" t="str">
        <f>IF(ISNUMBER($L$6)=FALSE,"",
        IF(ISERROR(VLOOKUP($G106,DanaSehat!$L$13:$AK$56,Z$4,FALSE))=TRUE,"",
              VLOOKUP($G106,DanaSehat!$L$13:$AK$56,Z$4,FALSE)))</f>
        <v/>
      </c>
      <c r="AA106" s="18" t="str">
        <f>IF(ISNUMBER($L$6)=FALSE,"",
        IF(ISERROR(VLOOKUP($G106,DanaSehat!$L$13:$AK$56,AA$4,FALSE))=TRUE,"",
              VLOOKUP($G106,DanaSehat!$L$13:$AK$56,AA$4,FALSE)))</f>
        <v/>
      </c>
      <c r="AB106" s="18" t="str">
        <f>IF(ISNUMBER($L$6)=FALSE,"",
        IF(ISERROR(VLOOKUP($G106,DanaSehat!$L$13:$AK$56,AB$4,FALSE))=TRUE,"",
              VLOOKUP($G106,DanaSehat!$L$13:$AK$56,AB$4,FALSE)))</f>
        <v/>
      </c>
      <c r="AC106" s="18" t="str">
        <f>IF(ISNUMBER($L$6)=FALSE,"",
        IF(ISERROR(VLOOKUP($G106,DanaSehat!$L$13:$AK$56,AC$4,FALSE))=TRUE,"",
              VLOOKUP($G106,DanaSehat!$L$13:$AK$56,AC$4,FALSE)))</f>
        <v/>
      </c>
      <c r="AD106" s="18" t="str">
        <f>IF(ISNUMBER($L$6)=FALSE,"",
        IF(ISERROR(VLOOKUP($G106,DanaSehat!$L$13:$AK$56,AD$4,FALSE))=TRUE,"",
              VLOOKUP($G106,DanaSehat!$L$13:$AK$56,AD$4,FALSE)))</f>
        <v/>
      </c>
      <c r="AE106" s="18" t="str">
        <f>IF(ISNUMBER($L$6)=FALSE,"",
        IF(ISERROR(VLOOKUP($G106,DanaSehat!$L$13:$AK$56,AE$4,FALSE))=TRUE,"",
              VLOOKUP($G106,DanaSehat!$L$13:$AK$56,AE$4,FALSE)))</f>
        <v/>
      </c>
      <c r="AF106" s="18" t="str">
        <f>IF(ISNUMBER($L$6)=FALSE,"",
        IF(ISERROR(VLOOKUP($G106,DanaSehat!$L$13:$AK$56,AF$4,FALSE))=TRUE,"",
              VLOOKUP($G106,DanaSehat!$L$13:$AK$56,AF$4,FALSE)))</f>
        <v/>
      </c>
    </row>
    <row r="107" spans="1:32" s="60" customFormat="1" ht="10.5" x14ac:dyDescent="0.25">
      <c r="A107" s="59"/>
      <c r="C107" s="59">
        <f t="shared" si="7"/>
        <v>94</v>
      </c>
      <c r="D107" s="61"/>
      <c r="E107" s="77" t="str">
        <f t="shared" si="8"/>
        <v/>
      </c>
      <c r="F107" s="77" t="str">
        <f>IF(ISNUMBER($L$6)=FALSE,"",
IF($C107=0,"",VLOOKUP($E107,DanaSehat!$H$13:$L$56,4,FALSE)))</f>
        <v/>
      </c>
      <c r="G107" s="77" t="str">
        <f>IF(ISNUMBER($L$6)=FALSE,"",
IF($C107=0,"",VLOOKUP($E107,DanaSehat!$H$13:$L$56,5,FALSE)))</f>
        <v/>
      </c>
      <c r="H107" s="17" t="str">
        <f t="shared" si="9"/>
        <v/>
      </c>
      <c r="I107" s="18" t="str">
        <f>IF(ISNUMBER($L$6)=FALSE,"",
        IF(ISERROR(VLOOKUP($G107,DanaSehat!$L$13:$AK$56,I$4,FALSE))=TRUE,"",
              VLOOKUP($G107,DanaSehat!$L$13:$AK$56,I$4,FALSE)))</f>
        <v/>
      </c>
      <c r="J107" s="18" t="str">
        <f>IF(ISNUMBER($L$6)=FALSE,"",
        IF(ISERROR(VLOOKUP($G107,DanaSehat!$L$13:$AK$56,J$4,FALSE))=TRUE,"",
              VLOOKUP($G107,DanaSehat!$L$13:$AK$56,J$4,FALSE)))</f>
        <v/>
      </c>
      <c r="K107" s="18" t="str">
        <f>IF(ISNUMBER($L$6)=FALSE,"",
        IF(ISERROR(VLOOKUP($G107,DanaSehat!$L$13:$AK$56,K$4,FALSE))=TRUE,"",
              VLOOKUP($G107,DanaSehat!$L$13:$AK$56,K$4,FALSE)))</f>
        <v/>
      </c>
      <c r="L107" s="18" t="str">
        <f>IF(ISNUMBER($L$6)=FALSE,"",
        IF(ISERROR(VLOOKUP($G107,DanaSehat!$L$13:$AK$56,L$4,FALSE))=TRUE,"",
              VLOOKUP($G107,DanaSehat!$L$13:$AK$56,L$4,FALSE)))</f>
        <v/>
      </c>
      <c r="M107" s="18" t="str">
        <f>IF(ISNUMBER($L$6)=FALSE,"",
        IF(ISERROR(VLOOKUP($G107,DanaSehat!$L$13:$AK$56,M$4,FALSE))=TRUE,"",
              VLOOKUP($G107,DanaSehat!$L$13:$AK$56,M$4,FALSE)))</f>
        <v/>
      </c>
      <c r="N107" s="18" t="str">
        <f>IF(ISNUMBER($L$6)=FALSE,"",
        IF(ISERROR(VLOOKUP($G107,DanaSehat!$L$13:$AK$56,N$4,FALSE))=TRUE,"",
              VLOOKUP($G107,DanaSehat!$L$13:$AK$56,N$4,FALSE)))</f>
        <v/>
      </c>
      <c r="O107" s="18" t="str">
        <f>IF(ISNUMBER($L$6)=FALSE,"",
        IF(ISERROR(VLOOKUP($G107,DanaSehat!$L$13:$AK$56,O$4,FALSE))=TRUE,"",
              VLOOKUP($G107,DanaSehat!$L$13:$AK$56,O$4,FALSE)))</f>
        <v/>
      </c>
      <c r="P107" s="18" t="str">
        <f>IF(ISNUMBER($L$6)=FALSE,"",
        IF(ISERROR(VLOOKUP($G107,DanaSehat!$L$13:$AK$56,P$4,FALSE))=TRUE,"",
              VLOOKUP($G107,DanaSehat!$L$13:$AK$56,P$4,FALSE)))</f>
        <v/>
      </c>
      <c r="Q107" s="18" t="str">
        <f>IF(ISNUMBER($L$6)=FALSE,"",
        IF(ISERROR(VLOOKUP($G107,DanaSehat!$L$13:$AK$56,Q$4,FALSE))=TRUE,"",
              VLOOKUP($G107,DanaSehat!$L$13:$AK$56,Q$4,FALSE)))</f>
        <v/>
      </c>
      <c r="R107" s="18" t="str">
        <f>IF(ISNUMBER($L$6)=FALSE,"",
        IF(ISERROR(VLOOKUP($G107,DanaSehat!$L$13:$AK$56,R$4,FALSE))=TRUE,"",
              VLOOKUP($G107,DanaSehat!$L$13:$AK$56,R$4,FALSE)))</f>
        <v/>
      </c>
      <c r="S107" s="18" t="str">
        <f>IF(ISNUMBER($L$6)=FALSE,"",
        IF(ISERROR(VLOOKUP($G107,DanaSehat!$L$13:$AK$56,S$4,FALSE))=TRUE,"",
              VLOOKUP($G107,DanaSehat!$L$13:$AK$56,S$4,FALSE)))</f>
        <v/>
      </c>
      <c r="T107" s="18" t="str">
        <f>IF(ISNUMBER($L$6)=FALSE,"",
        IF(ISERROR(VLOOKUP($G107,DanaSehat!$L$13:$AK$56,T$4,FALSE))=TRUE,"",
              VLOOKUP($G107,DanaSehat!$L$13:$AK$56,T$4,FALSE)))</f>
        <v/>
      </c>
      <c r="U107" s="18" t="str">
        <f>IF(ISNUMBER($L$6)=FALSE,"",
        IF(ISERROR(VLOOKUP($G107,DanaSehat!$L$13:$AK$56,U$4,FALSE))=TRUE,"",
              VLOOKUP($G107,DanaSehat!$L$13:$AK$56,U$4,FALSE)))</f>
        <v/>
      </c>
      <c r="V107" s="18" t="str">
        <f>IF(ISNUMBER($L$6)=FALSE,"",
        IF(ISERROR(VLOOKUP($G107,DanaSehat!$L$13:$AK$56,V$4,FALSE))=TRUE,"",
              VLOOKUP($G107,DanaSehat!$L$13:$AK$56,V$4,FALSE)))</f>
        <v/>
      </c>
      <c r="W107" s="18" t="str">
        <f>IF(ISNUMBER($L$6)=FALSE,"",
        IF(ISERROR(VLOOKUP($G107,DanaSehat!$L$13:$AK$56,W$4,FALSE))=TRUE,"",
              VLOOKUP($G107,DanaSehat!$L$13:$AK$56,W$4,FALSE)))</f>
        <v/>
      </c>
      <c r="X107" s="18" t="str">
        <f>IF(ISNUMBER($L$6)=FALSE,"",
        IF(ISERROR(VLOOKUP($G107,DanaSehat!$L$13:$AK$56,X$4,FALSE))=TRUE,"",
              VLOOKUP($G107,DanaSehat!$L$13:$AK$56,X$4,FALSE)))</f>
        <v/>
      </c>
      <c r="Y107" s="18" t="str">
        <f>IF(ISNUMBER($L$6)=FALSE,"",
        IF(ISERROR(VLOOKUP($G107,DanaSehat!$L$13:$AK$56,Y$4,FALSE))=TRUE,"",
              VLOOKUP($G107,DanaSehat!$L$13:$AK$56,Y$4,FALSE)))</f>
        <v/>
      </c>
      <c r="Z107" s="18" t="str">
        <f>IF(ISNUMBER($L$6)=FALSE,"",
        IF(ISERROR(VLOOKUP($G107,DanaSehat!$L$13:$AK$56,Z$4,FALSE))=TRUE,"",
              VLOOKUP($G107,DanaSehat!$L$13:$AK$56,Z$4,FALSE)))</f>
        <v/>
      </c>
      <c r="AA107" s="18" t="str">
        <f>IF(ISNUMBER($L$6)=FALSE,"",
        IF(ISERROR(VLOOKUP($G107,DanaSehat!$L$13:$AK$56,AA$4,FALSE))=TRUE,"",
              VLOOKUP($G107,DanaSehat!$L$13:$AK$56,AA$4,FALSE)))</f>
        <v/>
      </c>
      <c r="AB107" s="18" t="str">
        <f>IF(ISNUMBER($L$6)=FALSE,"",
        IF(ISERROR(VLOOKUP($G107,DanaSehat!$L$13:$AK$56,AB$4,FALSE))=TRUE,"",
              VLOOKUP($G107,DanaSehat!$L$13:$AK$56,AB$4,FALSE)))</f>
        <v/>
      </c>
      <c r="AC107" s="18" t="str">
        <f>IF(ISNUMBER($L$6)=FALSE,"",
        IF(ISERROR(VLOOKUP($G107,DanaSehat!$L$13:$AK$56,AC$4,FALSE))=TRUE,"",
              VLOOKUP($G107,DanaSehat!$L$13:$AK$56,AC$4,FALSE)))</f>
        <v/>
      </c>
      <c r="AD107" s="18" t="str">
        <f>IF(ISNUMBER($L$6)=FALSE,"",
        IF(ISERROR(VLOOKUP($G107,DanaSehat!$L$13:$AK$56,AD$4,FALSE))=TRUE,"",
              VLOOKUP($G107,DanaSehat!$L$13:$AK$56,AD$4,FALSE)))</f>
        <v/>
      </c>
      <c r="AE107" s="18" t="str">
        <f>IF(ISNUMBER($L$6)=FALSE,"",
        IF(ISERROR(VLOOKUP($G107,DanaSehat!$L$13:$AK$56,AE$4,FALSE))=TRUE,"",
              VLOOKUP($G107,DanaSehat!$L$13:$AK$56,AE$4,FALSE)))</f>
        <v/>
      </c>
      <c r="AF107" s="18" t="str">
        <f>IF(ISNUMBER($L$6)=FALSE,"",
        IF(ISERROR(VLOOKUP($G107,DanaSehat!$L$13:$AK$56,AF$4,FALSE))=TRUE,"",
              VLOOKUP($G107,DanaSehat!$L$13:$AK$56,AF$4,FALSE)))</f>
        <v/>
      </c>
    </row>
    <row r="108" spans="1:32" s="60" customFormat="1" ht="10.5" x14ac:dyDescent="0.25">
      <c r="A108" s="59"/>
      <c r="C108" s="59">
        <f t="shared" si="7"/>
        <v>95</v>
      </c>
      <c r="D108" s="61"/>
      <c r="E108" s="77" t="str">
        <f t="shared" si="8"/>
        <v/>
      </c>
      <c r="F108" s="77" t="str">
        <f>IF(ISNUMBER($L$6)=FALSE,"",
IF($C108=0,"",VLOOKUP($E108,DanaSehat!$H$13:$L$56,4,FALSE)))</f>
        <v/>
      </c>
      <c r="G108" s="77" t="str">
        <f>IF(ISNUMBER($L$6)=FALSE,"",
IF($C108=0,"",VLOOKUP($E108,DanaSehat!$H$13:$L$56,5,FALSE)))</f>
        <v/>
      </c>
      <c r="H108" s="17" t="str">
        <f t="shared" si="9"/>
        <v/>
      </c>
      <c r="I108" s="18" t="str">
        <f>IF(ISNUMBER($L$6)=FALSE,"",
        IF(ISERROR(VLOOKUP($G108,DanaSehat!$L$13:$AK$56,I$4,FALSE))=TRUE,"",
              VLOOKUP($G108,DanaSehat!$L$13:$AK$56,I$4,FALSE)))</f>
        <v/>
      </c>
      <c r="J108" s="18" t="str">
        <f>IF(ISNUMBER($L$6)=FALSE,"",
        IF(ISERROR(VLOOKUP($G108,DanaSehat!$L$13:$AK$56,J$4,FALSE))=TRUE,"",
              VLOOKUP($G108,DanaSehat!$L$13:$AK$56,J$4,FALSE)))</f>
        <v/>
      </c>
      <c r="K108" s="18" t="str">
        <f>IF(ISNUMBER($L$6)=FALSE,"",
        IF(ISERROR(VLOOKUP($G108,DanaSehat!$L$13:$AK$56,K$4,FALSE))=TRUE,"",
              VLOOKUP($G108,DanaSehat!$L$13:$AK$56,K$4,FALSE)))</f>
        <v/>
      </c>
      <c r="L108" s="18" t="str">
        <f>IF(ISNUMBER($L$6)=FALSE,"",
        IF(ISERROR(VLOOKUP($G108,DanaSehat!$L$13:$AK$56,L$4,FALSE))=TRUE,"",
              VLOOKUP($G108,DanaSehat!$L$13:$AK$56,L$4,FALSE)))</f>
        <v/>
      </c>
      <c r="M108" s="18" t="str">
        <f>IF(ISNUMBER($L$6)=FALSE,"",
        IF(ISERROR(VLOOKUP($G108,DanaSehat!$L$13:$AK$56,M$4,FALSE))=TRUE,"",
              VLOOKUP($G108,DanaSehat!$L$13:$AK$56,M$4,FALSE)))</f>
        <v/>
      </c>
      <c r="N108" s="18" t="str">
        <f>IF(ISNUMBER($L$6)=FALSE,"",
        IF(ISERROR(VLOOKUP($G108,DanaSehat!$L$13:$AK$56,N$4,FALSE))=TRUE,"",
              VLOOKUP($G108,DanaSehat!$L$13:$AK$56,N$4,FALSE)))</f>
        <v/>
      </c>
      <c r="O108" s="18" t="str">
        <f>IF(ISNUMBER($L$6)=FALSE,"",
        IF(ISERROR(VLOOKUP($G108,DanaSehat!$L$13:$AK$56,O$4,FALSE))=TRUE,"",
              VLOOKUP($G108,DanaSehat!$L$13:$AK$56,O$4,FALSE)))</f>
        <v/>
      </c>
      <c r="P108" s="18" t="str">
        <f>IF(ISNUMBER($L$6)=FALSE,"",
        IF(ISERROR(VLOOKUP($G108,DanaSehat!$L$13:$AK$56,P$4,FALSE))=TRUE,"",
              VLOOKUP($G108,DanaSehat!$L$13:$AK$56,P$4,FALSE)))</f>
        <v/>
      </c>
      <c r="Q108" s="18" t="str">
        <f>IF(ISNUMBER($L$6)=FALSE,"",
        IF(ISERROR(VLOOKUP($G108,DanaSehat!$L$13:$AK$56,Q$4,FALSE))=TRUE,"",
              VLOOKUP($G108,DanaSehat!$L$13:$AK$56,Q$4,FALSE)))</f>
        <v/>
      </c>
      <c r="R108" s="18" t="str">
        <f>IF(ISNUMBER($L$6)=FALSE,"",
        IF(ISERROR(VLOOKUP($G108,DanaSehat!$L$13:$AK$56,R$4,FALSE))=TRUE,"",
              VLOOKUP($G108,DanaSehat!$L$13:$AK$56,R$4,FALSE)))</f>
        <v/>
      </c>
      <c r="S108" s="18" t="str">
        <f>IF(ISNUMBER($L$6)=FALSE,"",
        IF(ISERROR(VLOOKUP($G108,DanaSehat!$L$13:$AK$56,S$4,FALSE))=TRUE,"",
              VLOOKUP($G108,DanaSehat!$L$13:$AK$56,S$4,FALSE)))</f>
        <v/>
      </c>
      <c r="T108" s="18" t="str">
        <f>IF(ISNUMBER($L$6)=FALSE,"",
        IF(ISERROR(VLOOKUP($G108,DanaSehat!$L$13:$AK$56,T$4,FALSE))=TRUE,"",
              VLOOKUP($G108,DanaSehat!$L$13:$AK$56,T$4,FALSE)))</f>
        <v/>
      </c>
      <c r="U108" s="18" t="str">
        <f>IF(ISNUMBER($L$6)=FALSE,"",
        IF(ISERROR(VLOOKUP($G108,DanaSehat!$L$13:$AK$56,U$4,FALSE))=TRUE,"",
              VLOOKUP($G108,DanaSehat!$L$13:$AK$56,U$4,FALSE)))</f>
        <v/>
      </c>
      <c r="V108" s="18" t="str">
        <f>IF(ISNUMBER($L$6)=FALSE,"",
        IF(ISERROR(VLOOKUP($G108,DanaSehat!$L$13:$AK$56,V$4,FALSE))=TRUE,"",
              VLOOKUP($G108,DanaSehat!$L$13:$AK$56,V$4,FALSE)))</f>
        <v/>
      </c>
      <c r="W108" s="18" t="str">
        <f>IF(ISNUMBER($L$6)=FALSE,"",
        IF(ISERROR(VLOOKUP($G108,DanaSehat!$L$13:$AK$56,W$4,FALSE))=TRUE,"",
              VLOOKUP($G108,DanaSehat!$L$13:$AK$56,W$4,FALSE)))</f>
        <v/>
      </c>
      <c r="X108" s="18" t="str">
        <f>IF(ISNUMBER($L$6)=FALSE,"",
        IF(ISERROR(VLOOKUP($G108,DanaSehat!$L$13:$AK$56,X$4,FALSE))=TRUE,"",
              VLOOKUP($G108,DanaSehat!$L$13:$AK$56,X$4,FALSE)))</f>
        <v/>
      </c>
      <c r="Y108" s="18" t="str">
        <f>IF(ISNUMBER($L$6)=FALSE,"",
        IF(ISERROR(VLOOKUP($G108,DanaSehat!$L$13:$AK$56,Y$4,FALSE))=TRUE,"",
              VLOOKUP($G108,DanaSehat!$L$13:$AK$56,Y$4,FALSE)))</f>
        <v/>
      </c>
      <c r="Z108" s="18" t="str">
        <f>IF(ISNUMBER($L$6)=FALSE,"",
        IF(ISERROR(VLOOKUP($G108,DanaSehat!$L$13:$AK$56,Z$4,FALSE))=TRUE,"",
              VLOOKUP($G108,DanaSehat!$L$13:$AK$56,Z$4,FALSE)))</f>
        <v/>
      </c>
      <c r="AA108" s="18" t="str">
        <f>IF(ISNUMBER($L$6)=FALSE,"",
        IF(ISERROR(VLOOKUP($G108,DanaSehat!$L$13:$AK$56,AA$4,FALSE))=TRUE,"",
              VLOOKUP($G108,DanaSehat!$L$13:$AK$56,AA$4,FALSE)))</f>
        <v/>
      </c>
      <c r="AB108" s="18" t="str">
        <f>IF(ISNUMBER($L$6)=FALSE,"",
        IF(ISERROR(VLOOKUP($G108,DanaSehat!$L$13:$AK$56,AB$4,FALSE))=TRUE,"",
              VLOOKUP($G108,DanaSehat!$L$13:$AK$56,AB$4,FALSE)))</f>
        <v/>
      </c>
      <c r="AC108" s="18" t="str">
        <f>IF(ISNUMBER($L$6)=FALSE,"",
        IF(ISERROR(VLOOKUP($G108,DanaSehat!$L$13:$AK$56,AC$4,FALSE))=TRUE,"",
              VLOOKUP($G108,DanaSehat!$L$13:$AK$56,AC$4,FALSE)))</f>
        <v/>
      </c>
      <c r="AD108" s="18" t="str">
        <f>IF(ISNUMBER($L$6)=FALSE,"",
        IF(ISERROR(VLOOKUP($G108,DanaSehat!$L$13:$AK$56,AD$4,FALSE))=TRUE,"",
              VLOOKUP($G108,DanaSehat!$L$13:$AK$56,AD$4,FALSE)))</f>
        <v/>
      </c>
      <c r="AE108" s="18" t="str">
        <f>IF(ISNUMBER($L$6)=FALSE,"",
        IF(ISERROR(VLOOKUP($G108,DanaSehat!$L$13:$AK$56,AE$4,FALSE))=TRUE,"",
              VLOOKUP($G108,DanaSehat!$L$13:$AK$56,AE$4,FALSE)))</f>
        <v/>
      </c>
      <c r="AF108" s="18" t="str">
        <f>IF(ISNUMBER($L$6)=FALSE,"",
        IF(ISERROR(VLOOKUP($G108,DanaSehat!$L$13:$AK$56,AF$4,FALSE))=TRUE,"",
              VLOOKUP($G108,DanaSehat!$L$13:$AK$56,AF$4,FALSE)))</f>
        <v/>
      </c>
    </row>
    <row r="109" spans="1:32" s="60" customFormat="1" ht="10.5" x14ac:dyDescent="0.25">
      <c r="A109" s="59"/>
      <c r="C109" s="59">
        <f t="shared" si="7"/>
        <v>96</v>
      </c>
      <c r="D109" s="61"/>
      <c r="E109" s="77" t="str">
        <f t="shared" si="8"/>
        <v/>
      </c>
      <c r="F109" s="77" t="str">
        <f>IF(ISNUMBER($L$6)=FALSE,"",
IF($C109=0,"",VLOOKUP($E109,DanaSehat!$H$13:$L$56,4,FALSE)))</f>
        <v/>
      </c>
      <c r="G109" s="77" t="str">
        <f>IF(ISNUMBER($L$6)=FALSE,"",
IF($C109=0,"",VLOOKUP($E109,DanaSehat!$H$13:$L$56,5,FALSE)))</f>
        <v/>
      </c>
      <c r="H109" s="17" t="str">
        <f t="shared" si="9"/>
        <v/>
      </c>
      <c r="I109" s="18" t="str">
        <f>IF(ISNUMBER($L$6)=FALSE,"",
        IF(ISERROR(VLOOKUP($G109,DanaSehat!$L$13:$AK$56,I$4,FALSE))=TRUE,"",
              VLOOKUP($G109,DanaSehat!$L$13:$AK$56,I$4,FALSE)))</f>
        <v/>
      </c>
      <c r="J109" s="18" t="str">
        <f>IF(ISNUMBER($L$6)=FALSE,"",
        IF(ISERROR(VLOOKUP($G109,DanaSehat!$L$13:$AK$56,J$4,FALSE))=TRUE,"",
              VLOOKUP($G109,DanaSehat!$L$13:$AK$56,J$4,FALSE)))</f>
        <v/>
      </c>
      <c r="K109" s="18" t="str">
        <f>IF(ISNUMBER($L$6)=FALSE,"",
        IF(ISERROR(VLOOKUP($G109,DanaSehat!$L$13:$AK$56,K$4,FALSE))=TRUE,"",
              VLOOKUP($G109,DanaSehat!$L$13:$AK$56,K$4,FALSE)))</f>
        <v/>
      </c>
      <c r="L109" s="18" t="str">
        <f>IF(ISNUMBER($L$6)=FALSE,"",
        IF(ISERROR(VLOOKUP($G109,DanaSehat!$L$13:$AK$56,L$4,FALSE))=TRUE,"",
              VLOOKUP($G109,DanaSehat!$L$13:$AK$56,L$4,FALSE)))</f>
        <v/>
      </c>
      <c r="M109" s="18" t="str">
        <f>IF(ISNUMBER($L$6)=FALSE,"",
        IF(ISERROR(VLOOKUP($G109,DanaSehat!$L$13:$AK$56,M$4,FALSE))=TRUE,"",
              VLOOKUP($G109,DanaSehat!$L$13:$AK$56,M$4,FALSE)))</f>
        <v/>
      </c>
      <c r="N109" s="18" t="str">
        <f>IF(ISNUMBER($L$6)=FALSE,"",
        IF(ISERROR(VLOOKUP($G109,DanaSehat!$L$13:$AK$56,N$4,FALSE))=TRUE,"",
              VLOOKUP($G109,DanaSehat!$L$13:$AK$56,N$4,FALSE)))</f>
        <v/>
      </c>
      <c r="O109" s="18" t="str">
        <f>IF(ISNUMBER($L$6)=FALSE,"",
        IF(ISERROR(VLOOKUP($G109,DanaSehat!$L$13:$AK$56,O$4,FALSE))=TRUE,"",
              VLOOKUP($G109,DanaSehat!$L$13:$AK$56,O$4,FALSE)))</f>
        <v/>
      </c>
      <c r="P109" s="18" t="str">
        <f>IF(ISNUMBER($L$6)=FALSE,"",
        IF(ISERROR(VLOOKUP($G109,DanaSehat!$L$13:$AK$56,P$4,FALSE))=TRUE,"",
              VLOOKUP($G109,DanaSehat!$L$13:$AK$56,P$4,FALSE)))</f>
        <v/>
      </c>
      <c r="Q109" s="18" t="str">
        <f>IF(ISNUMBER($L$6)=FALSE,"",
        IF(ISERROR(VLOOKUP($G109,DanaSehat!$L$13:$AK$56,Q$4,FALSE))=TRUE,"",
              VLOOKUP($G109,DanaSehat!$L$13:$AK$56,Q$4,FALSE)))</f>
        <v/>
      </c>
      <c r="R109" s="18" t="str">
        <f>IF(ISNUMBER($L$6)=FALSE,"",
        IF(ISERROR(VLOOKUP($G109,DanaSehat!$L$13:$AK$56,R$4,FALSE))=TRUE,"",
              VLOOKUP($G109,DanaSehat!$L$13:$AK$56,R$4,FALSE)))</f>
        <v/>
      </c>
      <c r="S109" s="18" t="str">
        <f>IF(ISNUMBER($L$6)=FALSE,"",
        IF(ISERROR(VLOOKUP($G109,DanaSehat!$L$13:$AK$56,S$4,FALSE))=TRUE,"",
              VLOOKUP($G109,DanaSehat!$L$13:$AK$56,S$4,FALSE)))</f>
        <v/>
      </c>
      <c r="T109" s="18" t="str">
        <f>IF(ISNUMBER($L$6)=FALSE,"",
        IF(ISERROR(VLOOKUP($G109,DanaSehat!$L$13:$AK$56,T$4,FALSE))=TRUE,"",
              VLOOKUP($G109,DanaSehat!$L$13:$AK$56,T$4,FALSE)))</f>
        <v/>
      </c>
      <c r="U109" s="18" t="str">
        <f>IF(ISNUMBER($L$6)=FALSE,"",
        IF(ISERROR(VLOOKUP($G109,DanaSehat!$L$13:$AK$56,U$4,FALSE))=TRUE,"",
              VLOOKUP($G109,DanaSehat!$L$13:$AK$56,U$4,FALSE)))</f>
        <v/>
      </c>
      <c r="V109" s="18" t="str">
        <f>IF(ISNUMBER($L$6)=FALSE,"",
        IF(ISERROR(VLOOKUP($G109,DanaSehat!$L$13:$AK$56,V$4,FALSE))=TRUE,"",
              VLOOKUP($G109,DanaSehat!$L$13:$AK$56,V$4,FALSE)))</f>
        <v/>
      </c>
      <c r="W109" s="18" t="str">
        <f>IF(ISNUMBER($L$6)=FALSE,"",
        IF(ISERROR(VLOOKUP($G109,DanaSehat!$L$13:$AK$56,W$4,FALSE))=TRUE,"",
              VLOOKUP($G109,DanaSehat!$L$13:$AK$56,W$4,FALSE)))</f>
        <v/>
      </c>
      <c r="X109" s="18" t="str">
        <f>IF(ISNUMBER($L$6)=FALSE,"",
        IF(ISERROR(VLOOKUP($G109,DanaSehat!$L$13:$AK$56,X$4,FALSE))=TRUE,"",
              VLOOKUP($G109,DanaSehat!$L$13:$AK$56,X$4,FALSE)))</f>
        <v/>
      </c>
      <c r="Y109" s="18" t="str">
        <f>IF(ISNUMBER($L$6)=FALSE,"",
        IF(ISERROR(VLOOKUP($G109,DanaSehat!$L$13:$AK$56,Y$4,FALSE))=TRUE,"",
              VLOOKUP($G109,DanaSehat!$L$13:$AK$56,Y$4,FALSE)))</f>
        <v/>
      </c>
      <c r="Z109" s="18" t="str">
        <f>IF(ISNUMBER($L$6)=FALSE,"",
        IF(ISERROR(VLOOKUP($G109,DanaSehat!$L$13:$AK$56,Z$4,FALSE))=TRUE,"",
              VLOOKUP($G109,DanaSehat!$L$13:$AK$56,Z$4,FALSE)))</f>
        <v/>
      </c>
      <c r="AA109" s="18" t="str">
        <f>IF(ISNUMBER($L$6)=FALSE,"",
        IF(ISERROR(VLOOKUP($G109,DanaSehat!$L$13:$AK$56,AA$4,FALSE))=TRUE,"",
              VLOOKUP($G109,DanaSehat!$L$13:$AK$56,AA$4,FALSE)))</f>
        <v/>
      </c>
      <c r="AB109" s="18" t="str">
        <f>IF(ISNUMBER($L$6)=FALSE,"",
        IF(ISERROR(VLOOKUP($G109,DanaSehat!$L$13:$AK$56,AB$4,FALSE))=TRUE,"",
              VLOOKUP($G109,DanaSehat!$L$13:$AK$56,AB$4,FALSE)))</f>
        <v/>
      </c>
      <c r="AC109" s="18" t="str">
        <f>IF(ISNUMBER($L$6)=FALSE,"",
        IF(ISERROR(VLOOKUP($G109,DanaSehat!$L$13:$AK$56,AC$4,FALSE))=TRUE,"",
              VLOOKUP($G109,DanaSehat!$L$13:$AK$56,AC$4,FALSE)))</f>
        <v/>
      </c>
      <c r="AD109" s="18" t="str">
        <f>IF(ISNUMBER($L$6)=FALSE,"",
        IF(ISERROR(VLOOKUP($G109,DanaSehat!$L$13:$AK$56,AD$4,FALSE))=TRUE,"",
              VLOOKUP($G109,DanaSehat!$L$13:$AK$56,AD$4,FALSE)))</f>
        <v/>
      </c>
      <c r="AE109" s="18" t="str">
        <f>IF(ISNUMBER($L$6)=FALSE,"",
        IF(ISERROR(VLOOKUP($G109,DanaSehat!$L$13:$AK$56,AE$4,FALSE))=TRUE,"",
              VLOOKUP($G109,DanaSehat!$L$13:$AK$56,AE$4,FALSE)))</f>
        <v/>
      </c>
      <c r="AF109" s="18" t="str">
        <f>IF(ISNUMBER($L$6)=FALSE,"",
        IF(ISERROR(VLOOKUP($G109,DanaSehat!$L$13:$AK$56,AF$4,FALSE))=TRUE,"",
              VLOOKUP($G109,DanaSehat!$L$13:$AK$56,AF$4,FALSE)))</f>
        <v/>
      </c>
    </row>
    <row r="110" spans="1:32" s="60" customFormat="1" ht="10.5" x14ac:dyDescent="0.25">
      <c r="A110" s="59"/>
      <c r="C110" s="59">
        <f t="shared" si="7"/>
        <v>97</v>
      </c>
      <c r="D110" s="61"/>
      <c r="E110" s="77" t="str">
        <f t="shared" si="8"/>
        <v/>
      </c>
      <c r="F110" s="77" t="str">
        <f>IF(ISNUMBER($L$6)=FALSE,"",
IF($C110=0,"",VLOOKUP($E110,DanaSehat!$H$13:$L$56,4,FALSE)))</f>
        <v/>
      </c>
      <c r="G110" s="77" t="str">
        <f>IF(ISNUMBER($L$6)=FALSE,"",
IF($C110=0,"",VLOOKUP($E110,DanaSehat!$H$13:$L$56,5,FALSE)))</f>
        <v/>
      </c>
      <c r="H110" s="17" t="str">
        <f t="shared" si="9"/>
        <v/>
      </c>
      <c r="I110" s="18" t="str">
        <f>IF(ISNUMBER($L$6)=FALSE,"",
        IF(ISERROR(VLOOKUP($G110,DanaSehat!$L$13:$AK$56,I$4,FALSE))=TRUE,"",
              VLOOKUP($G110,DanaSehat!$L$13:$AK$56,I$4,FALSE)))</f>
        <v/>
      </c>
      <c r="J110" s="18" t="str">
        <f>IF(ISNUMBER($L$6)=FALSE,"",
        IF(ISERROR(VLOOKUP($G110,DanaSehat!$L$13:$AK$56,J$4,FALSE))=TRUE,"",
              VLOOKUP($G110,DanaSehat!$L$13:$AK$56,J$4,FALSE)))</f>
        <v/>
      </c>
      <c r="K110" s="18" t="str">
        <f>IF(ISNUMBER($L$6)=FALSE,"",
        IF(ISERROR(VLOOKUP($G110,DanaSehat!$L$13:$AK$56,K$4,FALSE))=TRUE,"",
              VLOOKUP($G110,DanaSehat!$L$13:$AK$56,K$4,FALSE)))</f>
        <v/>
      </c>
      <c r="L110" s="18" t="str">
        <f>IF(ISNUMBER($L$6)=FALSE,"",
        IF(ISERROR(VLOOKUP($G110,DanaSehat!$L$13:$AK$56,L$4,FALSE))=TRUE,"",
              VLOOKUP($G110,DanaSehat!$L$13:$AK$56,L$4,FALSE)))</f>
        <v/>
      </c>
      <c r="M110" s="18" t="str">
        <f>IF(ISNUMBER($L$6)=FALSE,"",
        IF(ISERROR(VLOOKUP($G110,DanaSehat!$L$13:$AK$56,M$4,FALSE))=TRUE,"",
              VLOOKUP($G110,DanaSehat!$L$13:$AK$56,M$4,FALSE)))</f>
        <v/>
      </c>
      <c r="N110" s="18" t="str">
        <f>IF(ISNUMBER($L$6)=FALSE,"",
        IF(ISERROR(VLOOKUP($G110,DanaSehat!$L$13:$AK$56,N$4,FALSE))=TRUE,"",
              VLOOKUP($G110,DanaSehat!$L$13:$AK$56,N$4,FALSE)))</f>
        <v/>
      </c>
      <c r="O110" s="18" t="str">
        <f>IF(ISNUMBER($L$6)=FALSE,"",
        IF(ISERROR(VLOOKUP($G110,DanaSehat!$L$13:$AK$56,O$4,FALSE))=TRUE,"",
              VLOOKUP($G110,DanaSehat!$L$13:$AK$56,O$4,FALSE)))</f>
        <v/>
      </c>
      <c r="P110" s="18" t="str">
        <f>IF(ISNUMBER($L$6)=FALSE,"",
        IF(ISERROR(VLOOKUP($G110,DanaSehat!$L$13:$AK$56,P$4,FALSE))=TRUE,"",
              VLOOKUP($G110,DanaSehat!$L$13:$AK$56,P$4,FALSE)))</f>
        <v/>
      </c>
      <c r="Q110" s="18" t="str">
        <f>IF(ISNUMBER($L$6)=FALSE,"",
        IF(ISERROR(VLOOKUP($G110,DanaSehat!$L$13:$AK$56,Q$4,FALSE))=TRUE,"",
              VLOOKUP($G110,DanaSehat!$L$13:$AK$56,Q$4,FALSE)))</f>
        <v/>
      </c>
      <c r="R110" s="18" t="str">
        <f>IF(ISNUMBER($L$6)=FALSE,"",
        IF(ISERROR(VLOOKUP($G110,DanaSehat!$L$13:$AK$56,R$4,FALSE))=TRUE,"",
              VLOOKUP($G110,DanaSehat!$L$13:$AK$56,R$4,FALSE)))</f>
        <v/>
      </c>
      <c r="S110" s="18" t="str">
        <f>IF(ISNUMBER($L$6)=FALSE,"",
        IF(ISERROR(VLOOKUP($G110,DanaSehat!$L$13:$AK$56,S$4,FALSE))=TRUE,"",
              VLOOKUP($G110,DanaSehat!$L$13:$AK$56,S$4,FALSE)))</f>
        <v/>
      </c>
      <c r="T110" s="18" t="str">
        <f>IF(ISNUMBER($L$6)=FALSE,"",
        IF(ISERROR(VLOOKUP($G110,DanaSehat!$L$13:$AK$56,T$4,FALSE))=TRUE,"",
              VLOOKUP($G110,DanaSehat!$L$13:$AK$56,T$4,FALSE)))</f>
        <v/>
      </c>
      <c r="U110" s="18" t="str">
        <f>IF(ISNUMBER($L$6)=FALSE,"",
        IF(ISERROR(VLOOKUP($G110,DanaSehat!$L$13:$AK$56,U$4,FALSE))=TRUE,"",
              VLOOKUP($G110,DanaSehat!$L$13:$AK$56,U$4,FALSE)))</f>
        <v/>
      </c>
      <c r="V110" s="18" t="str">
        <f>IF(ISNUMBER($L$6)=FALSE,"",
        IF(ISERROR(VLOOKUP($G110,DanaSehat!$L$13:$AK$56,V$4,FALSE))=TRUE,"",
              VLOOKUP($G110,DanaSehat!$L$13:$AK$56,V$4,FALSE)))</f>
        <v/>
      </c>
      <c r="W110" s="18" t="str">
        <f>IF(ISNUMBER($L$6)=FALSE,"",
        IF(ISERROR(VLOOKUP($G110,DanaSehat!$L$13:$AK$56,W$4,FALSE))=TRUE,"",
              VLOOKUP($G110,DanaSehat!$L$13:$AK$56,W$4,FALSE)))</f>
        <v/>
      </c>
      <c r="X110" s="18" t="str">
        <f>IF(ISNUMBER($L$6)=FALSE,"",
        IF(ISERROR(VLOOKUP($G110,DanaSehat!$L$13:$AK$56,X$4,FALSE))=TRUE,"",
              VLOOKUP($G110,DanaSehat!$L$13:$AK$56,X$4,FALSE)))</f>
        <v/>
      </c>
      <c r="Y110" s="18" t="str">
        <f>IF(ISNUMBER($L$6)=FALSE,"",
        IF(ISERROR(VLOOKUP($G110,DanaSehat!$L$13:$AK$56,Y$4,FALSE))=TRUE,"",
              VLOOKUP($G110,DanaSehat!$L$13:$AK$56,Y$4,FALSE)))</f>
        <v/>
      </c>
      <c r="Z110" s="18" t="str">
        <f>IF(ISNUMBER($L$6)=FALSE,"",
        IF(ISERROR(VLOOKUP($G110,DanaSehat!$L$13:$AK$56,Z$4,FALSE))=TRUE,"",
              VLOOKUP($G110,DanaSehat!$L$13:$AK$56,Z$4,FALSE)))</f>
        <v/>
      </c>
      <c r="AA110" s="18" t="str">
        <f>IF(ISNUMBER($L$6)=FALSE,"",
        IF(ISERROR(VLOOKUP($G110,DanaSehat!$L$13:$AK$56,AA$4,FALSE))=TRUE,"",
              VLOOKUP($G110,DanaSehat!$L$13:$AK$56,AA$4,FALSE)))</f>
        <v/>
      </c>
      <c r="AB110" s="18" t="str">
        <f>IF(ISNUMBER($L$6)=FALSE,"",
        IF(ISERROR(VLOOKUP($G110,DanaSehat!$L$13:$AK$56,AB$4,FALSE))=TRUE,"",
              VLOOKUP($G110,DanaSehat!$L$13:$AK$56,AB$4,FALSE)))</f>
        <v/>
      </c>
      <c r="AC110" s="18" t="str">
        <f>IF(ISNUMBER($L$6)=FALSE,"",
        IF(ISERROR(VLOOKUP($G110,DanaSehat!$L$13:$AK$56,AC$4,FALSE))=TRUE,"",
              VLOOKUP($G110,DanaSehat!$L$13:$AK$56,AC$4,FALSE)))</f>
        <v/>
      </c>
      <c r="AD110" s="18" t="str">
        <f>IF(ISNUMBER($L$6)=FALSE,"",
        IF(ISERROR(VLOOKUP($G110,DanaSehat!$L$13:$AK$56,AD$4,FALSE))=TRUE,"",
              VLOOKUP($G110,DanaSehat!$L$13:$AK$56,AD$4,FALSE)))</f>
        <v/>
      </c>
      <c r="AE110" s="18" t="str">
        <f>IF(ISNUMBER($L$6)=FALSE,"",
        IF(ISERROR(VLOOKUP($G110,DanaSehat!$L$13:$AK$56,AE$4,FALSE))=TRUE,"",
              VLOOKUP($G110,DanaSehat!$L$13:$AK$56,AE$4,FALSE)))</f>
        <v/>
      </c>
      <c r="AF110" s="18" t="str">
        <f>IF(ISNUMBER($L$6)=FALSE,"",
        IF(ISERROR(VLOOKUP($G110,DanaSehat!$L$13:$AK$56,AF$4,FALSE))=TRUE,"",
              VLOOKUP($G110,DanaSehat!$L$13:$AK$56,AF$4,FALSE)))</f>
        <v/>
      </c>
    </row>
    <row r="111" spans="1:32" s="60" customFormat="1" ht="10.5" x14ac:dyDescent="0.25">
      <c r="A111" s="59"/>
      <c r="C111" s="59">
        <f t="shared" si="7"/>
        <v>98</v>
      </c>
      <c r="D111" s="61"/>
      <c r="E111" s="77" t="str">
        <f t="shared" si="8"/>
        <v/>
      </c>
      <c r="F111" s="77" t="str">
        <f>IF(ISNUMBER($L$6)=FALSE,"",
IF($C111=0,"",VLOOKUP($E111,DanaSehat!$H$13:$L$56,4,FALSE)))</f>
        <v/>
      </c>
      <c r="G111" s="77" t="str">
        <f>IF(ISNUMBER($L$6)=FALSE,"",
IF($C111=0,"",VLOOKUP($E111,DanaSehat!$H$13:$L$56,5,FALSE)))</f>
        <v/>
      </c>
      <c r="H111" s="17" t="str">
        <f t="shared" si="9"/>
        <v/>
      </c>
      <c r="I111" s="18" t="str">
        <f>IF(ISNUMBER($L$6)=FALSE,"",
        IF(ISERROR(VLOOKUP($G111,DanaSehat!$L$13:$AK$56,I$4,FALSE))=TRUE,"",
              VLOOKUP($G111,DanaSehat!$L$13:$AK$56,I$4,FALSE)))</f>
        <v/>
      </c>
      <c r="J111" s="18" t="str">
        <f>IF(ISNUMBER($L$6)=FALSE,"",
        IF(ISERROR(VLOOKUP($G111,DanaSehat!$L$13:$AK$56,J$4,FALSE))=TRUE,"",
              VLOOKUP($G111,DanaSehat!$L$13:$AK$56,J$4,FALSE)))</f>
        <v/>
      </c>
      <c r="K111" s="18" t="str">
        <f>IF(ISNUMBER($L$6)=FALSE,"",
        IF(ISERROR(VLOOKUP($G111,DanaSehat!$L$13:$AK$56,K$4,FALSE))=TRUE,"",
              VLOOKUP($G111,DanaSehat!$L$13:$AK$56,K$4,FALSE)))</f>
        <v/>
      </c>
      <c r="L111" s="18" t="str">
        <f>IF(ISNUMBER($L$6)=FALSE,"",
        IF(ISERROR(VLOOKUP($G111,DanaSehat!$L$13:$AK$56,L$4,FALSE))=TRUE,"",
              VLOOKUP($G111,DanaSehat!$L$13:$AK$56,L$4,FALSE)))</f>
        <v/>
      </c>
      <c r="M111" s="18" t="str">
        <f>IF(ISNUMBER($L$6)=FALSE,"",
        IF(ISERROR(VLOOKUP($G111,DanaSehat!$L$13:$AK$56,M$4,FALSE))=TRUE,"",
              VLOOKUP($G111,DanaSehat!$L$13:$AK$56,M$4,FALSE)))</f>
        <v/>
      </c>
      <c r="N111" s="18" t="str">
        <f>IF(ISNUMBER($L$6)=FALSE,"",
        IF(ISERROR(VLOOKUP($G111,DanaSehat!$L$13:$AK$56,N$4,FALSE))=TRUE,"",
              VLOOKUP($G111,DanaSehat!$L$13:$AK$56,N$4,FALSE)))</f>
        <v/>
      </c>
      <c r="O111" s="18" t="str">
        <f>IF(ISNUMBER($L$6)=FALSE,"",
        IF(ISERROR(VLOOKUP($G111,DanaSehat!$L$13:$AK$56,O$4,FALSE))=TRUE,"",
              VLOOKUP($G111,DanaSehat!$L$13:$AK$56,O$4,FALSE)))</f>
        <v/>
      </c>
      <c r="P111" s="18" t="str">
        <f>IF(ISNUMBER($L$6)=FALSE,"",
        IF(ISERROR(VLOOKUP($G111,DanaSehat!$L$13:$AK$56,P$4,FALSE))=TRUE,"",
              VLOOKUP($G111,DanaSehat!$L$13:$AK$56,P$4,FALSE)))</f>
        <v/>
      </c>
      <c r="Q111" s="18" t="str">
        <f>IF(ISNUMBER($L$6)=FALSE,"",
        IF(ISERROR(VLOOKUP($G111,DanaSehat!$L$13:$AK$56,Q$4,FALSE))=TRUE,"",
              VLOOKUP($G111,DanaSehat!$L$13:$AK$56,Q$4,FALSE)))</f>
        <v/>
      </c>
      <c r="R111" s="18" t="str">
        <f>IF(ISNUMBER($L$6)=FALSE,"",
        IF(ISERROR(VLOOKUP($G111,DanaSehat!$L$13:$AK$56,R$4,FALSE))=TRUE,"",
              VLOOKUP($G111,DanaSehat!$L$13:$AK$56,R$4,FALSE)))</f>
        <v/>
      </c>
      <c r="S111" s="18" t="str">
        <f>IF(ISNUMBER($L$6)=FALSE,"",
        IF(ISERROR(VLOOKUP($G111,DanaSehat!$L$13:$AK$56,S$4,FALSE))=TRUE,"",
              VLOOKUP($G111,DanaSehat!$L$13:$AK$56,S$4,FALSE)))</f>
        <v/>
      </c>
      <c r="T111" s="18" t="str">
        <f>IF(ISNUMBER($L$6)=FALSE,"",
        IF(ISERROR(VLOOKUP($G111,DanaSehat!$L$13:$AK$56,T$4,FALSE))=TRUE,"",
              VLOOKUP($G111,DanaSehat!$L$13:$AK$56,T$4,FALSE)))</f>
        <v/>
      </c>
      <c r="U111" s="18" t="str">
        <f>IF(ISNUMBER($L$6)=FALSE,"",
        IF(ISERROR(VLOOKUP($G111,DanaSehat!$L$13:$AK$56,U$4,FALSE))=TRUE,"",
              VLOOKUP($G111,DanaSehat!$L$13:$AK$56,U$4,FALSE)))</f>
        <v/>
      </c>
      <c r="V111" s="18" t="str">
        <f>IF(ISNUMBER($L$6)=FALSE,"",
        IF(ISERROR(VLOOKUP($G111,DanaSehat!$L$13:$AK$56,V$4,FALSE))=TRUE,"",
              VLOOKUP($G111,DanaSehat!$L$13:$AK$56,V$4,FALSE)))</f>
        <v/>
      </c>
      <c r="W111" s="18" t="str">
        <f>IF(ISNUMBER($L$6)=FALSE,"",
        IF(ISERROR(VLOOKUP($G111,DanaSehat!$L$13:$AK$56,W$4,FALSE))=TRUE,"",
              VLOOKUP($G111,DanaSehat!$L$13:$AK$56,W$4,FALSE)))</f>
        <v/>
      </c>
      <c r="X111" s="18" t="str">
        <f>IF(ISNUMBER($L$6)=FALSE,"",
        IF(ISERROR(VLOOKUP($G111,DanaSehat!$L$13:$AK$56,X$4,FALSE))=TRUE,"",
              VLOOKUP($G111,DanaSehat!$L$13:$AK$56,X$4,FALSE)))</f>
        <v/>
      </c>
      <c r="Y111" s="18" t="str">
        <f>IF(ISNUMBER($L$6)=FALSE,"",
        IF(ISERROR(VLOOKUP($G111,DanaSehat!$L$13:$AK$56,Y$4,FALSE))=TRUE,"",
              VLOOKUP($G111,DanaSehat!$L$13:$AK$56,Y$4,FALSE)))</f>
        <v/>
      </c>
      <c r="Z111" s="18" t="str">
        <f>IF(ISNUMBER($L$6)=FALSE,"",
        IF(ISERROR(VLOOKUP($G111,DanaSehat!$L$13:$AK$56,Z$4,FALSE))=TRUE,"",
              VLOOKUP($G111,DanaSehat!$L$13:$AK$56,Z$4,FALSE)))</f>
        <v/>
      </c>
      <c r="AA111" s="18" t="str">
        <f>IF(ISNUMBER($L$6)=FALSE,"",
        IF(ISERROR(VLOOKUP($G111,DanaSehat!$L$13:$AK$56,AA$4,FALSE))=TRUE,"",
              VLOOKUP($G111,DanaSehat!$L$13:$AK$56,AA$4,FALSE)))</f>
        <v/>
      </c>
      <c r="AB111" s="18" t="str">
        <f>IF(ISNUMBER($L$6)=FALSE,"",
        IF(ISERROR(VLOOKUP($G111,DanaSehat!$L$13:$AK$56,AB$4,FALSE))=TRUE,"",
              VLOOKUP($G111,DanaSehat!$L$13:$AK$56,AB$4,FALSE)))</f>
        <v/>
      </c>
      <c r="AC111" s="18" t="str">
        <f>IF(ISNUMBER($L$6)=FALSE,"",
        IF(ISERROR(VLOOKUP($G111,DanaSehat!$L$13:$AK$56,AC$4,FALSE))=TRUE,"",
              VLOOKUP($G111,DanaSehat!$L$13:$AK$56,AC$4,FALSE)))</f>
        <v/>
      </c>
      <c r="AD111" s="18" t="str">
        <f>IF(ISNUMBER($L$6)=FALSE,"",
        IF(ISERROR(VLOOKUP($G111,DanaSehat!$L$13:$AK$56,AD$4,FALSE))=TRUE,"",
              VLOOKUP($G111,DanaSehat!$L$13:$AK$56,AD$4,FALSE)))</f>
        <v/>
      </c>
      <c r="AE111" s="18" t="str">
        <f>IF(ISNUMBER($L$6)=FALSE,"",
        IF(ISERROR(VLOOKUP($G111,DanaSehat!$L$13:$AK$56,AE$4,FALSE))=TRUE,"",
              VLOOKUP($G111,DanaSehat!$L$13:$AK$56,AE$4,FALSE)))</f>
        <v/>
      </c>
      <c r="AF111" s="18" t="str">
        <f>IF(ISNUMBER($L$6)=FALSE,"",
        IF(ISERROR(VLOOKUP($G111,DanaSehat!$L$13:$AK$56,AF$4,FALSE))=TRUE,"",
              VLOOKUP($G111,DanaSehat!$L$13:$AK$56,AF$4,FALSE)))</f>
        <v/>
      </c>
    </row>
    <row r="112" spans="1:32" s="60" customFormat="1" ht="10.5" x14ac:dyDescent="0.25">
      <c r="A112" s="59"/>
      <c r="C112" s="59">
        <f t="shared" si="7"/>
        <v>99</v>
      </c>
      <c r="D112" s="61"/>
      <c r="E112" s="77" t="str">
        <f t="shared" si="8"/>
        <v/>
      </c>
      <c r="F112" s="77" t="str">
        <f>IF(ISNUMBER($L$6)=FALSE,"",
IF($C112=0,"",VLOOKUP($E112,DanaSehat!$H$13:$L$56,4,FALSE)))</f>
        <v/>
      </c>
      <c r="G112" s="77" t="str">
        <f>IF(ISNUMBER($L$6)=FALSE,"",
IF($C112=0,"",VLOOKUP($E112,DanaSehat!$H$13:$L$56,5,FALSE)))</f>
        <v/>
      </c>
      <c r="H112" s="17" t="str">
        <f t="shared" si="9"/>
        <v/>
      </c>
      <c r="I112" s="18" t="str">
        <f>IF(ISNUMBER($L$6)=FALSE,"",
        IF(ISERROR(VLOOKUP($G112,DanaSehat!$L$13:$AK$56,I$4,FALSE))=TRUE,"",
              VLOOKUP($G112,DanaSehat!$L$13:$AK$56,I$4,FALSE)))</f>
        <v/>
      </c>
      <c r="J112" s="18" t="str">
        <f>IF(ISNUMBER($L$6)=FALSE,"",
        IF(ISERROR(VLOOKUP($G112,DanaSehat!$L$13:$AK$56,J$4,FALSE))=TRUE,"",
              VLOOKUP($G112,DanaSehat!$L$13:$AK$56,J$4,FALSE)))</f>
        <v/>
      </c>
      <c r="K112" s="18" t="str">
        <f>IF(ISNUMBER($L$6)=FALSE,"",
        IF(ISERROR(VLOOKUP($G112,DanaSehat!$L$13:$AK$56,K$4,FALSE))=TRUE,"",
              VLOOKUP($G112,DanaSehat!$L$13:$AK$56,K$4,FALSE)))</f>
        <v/>
      </c>
      <c r="L112" s="18" t="str">
        <f>IF(ISNUMBER($L$6)=FALSE,"",
        IF(ISERROR(VLOOKUP($G112,DanaSehat!$L$13:$AK$56,L$4,FALSE))=TRUE,"",
              VLOOKUP($G112,DanaSehat!$L$13:$AK$56,L$4,FALSE)))</f>
        <v/>
      </c>
      <c r="M112" s="18" t="str">
        <f>IF(ISNUMBER($L$6)=FALSE,"",
        IF(ISERROR(VLOOKUP($G112,DanaSehat!$L$13:$AK$56,M$4,FALSE))=TRUE,"",
              VLOOKUP($G112,DanaSehat!$L$13:$AK$56,M$4,FALSE)))</f>
        <v/>
      </c>
      <c r="N112" s="18" t="str">
        <f>IF(ISNUMBER($L$6)=FALSE,"",
        IF(ISERROR(VLOOKUP($G112,DanaSehat!$L$13:$AK$56,N$4,FALSE))=TRUE,"",
              VLOOKUP($G112,DanaSehat!$L$13:$AK$56,N$4,FALSE)))</f>
        <v/>
      </c>
      <c r="O112" s="18" t="str">
        <f>IF(ISNUMBER($L$6)=FALSE,"",
        IF(ISERROR(VLOOKUP($G112,DanaSehat!$L$13:$AK$56,O$4,FALSE))=TRUE,"",
              VLOOKUP($G112,DanaSehat!$L$13:$AK$56,O$4,FALSE)))</f>
        <v/>
      </c>
      <c r="P112" s="18" t="str">
        <f>IF(ISNUMBER($L$6)=FALSE,"",
        IF(ISERROR(VLOOKUP($G112,DanaSehat!$L$13:$AK$56,P$4,FALSE))=TRUE,"",
              VLOOKUP($G112,DanaSehat!$L$13:$AK$56,P$4,FALSE)))</f>
        <v/>
      </c>
      <c r="Q112" s="18" t="str">
        <f>IF(ISNUMBER($L$6)=FALSE,"",
        IF(ISERROR(VLOOKUP($G112,DanaSehat!$L$13:$AK$56,Q$4,FALSE))=TRUE,"",
              VLOOKUP($G112,DanaSehat!$L$13:$AK$56,Q$4,FALSE)))</f>
        <v/>
      </c>
      <c r="R112" s="18" t="str">
        <f>IF(ISNUMBER($L$6)=FALSE,"",
        IF(ISERROR(VLOOKUP($G112,DanaSehat!$L$13:$AK$56,R$4,FALSE))=TRUE,"",
              VLOOKUP($G112,DanaSehat!$L$13:$AK$56,R$4,FALSE)))</f>
        <v/>
      </c>
      <c r="S112" s="18" t="str">
        <f>IF(ISNUMBER($L$6)=FALSE,"",
        IF(ISERROR(VLOOKUP($G112,DanaSehat!$L$13:$AK$56,S$4,FALSE))=TRUE,"",
              VLOOKUP($G112,DanaSehat!$L$13:$AK$56,S$4,FALSE)))</f>
        <v/>
      </c>
      <c r="T112" s="18" t="str">
        <f>IF(ISNUMBER($L$6)=FALSE,"",
        IF(ISERROR(VLOOKUP($G112,DanaSehat!$L$13:$AK$56,T$4,FALSE))=TRUE,"",
              VLOOKUP($G112,DanaSehat!$L$13:$AK$56,T$4,FALSE)))</f>
        <v/>
      </c>
      <c r="U112" s="18" t="str">
        <f>IF(ISNUMBER($L$6)=FALSE,"",
        IF(ISERROR(VLOOKUP($G112,DanaSehat!$L$13:$AK$56,U$4,FALSE))=TRUE,"",
              VLOOKUP($G112,DanaSehat!$L$13:$AK$56,U$4,FALSE)))</f>
        <v/>
      </c>
      <c r="V112" s="18" t="str">
        <f>IF(ISNUMBER($L$6)=FALSE,"",
        IF(ISERROR(VLOOKUP($G112,DanaSehat!$L$13:$AK$56,V$4,FALSE))=TRUE,"",
              VLOOKUP($G112,DanaSehat!$L$13:$AK$56,V$4,FALSE)))</f>
        <v/>
      </c>
      <c r="W112" s="18" t="str">
        <f>IF(ISNUMBER($L$6)=FALSE,"",
        IF(ISERROR(VLOOKUP($G112,DanaSehat!$L$13:$AK$56,W$4,FALSE))=TRUE,"",
              VLOOKUP($G112,DanaSehat!$L$13:$AK$56,W$4,FALSE)))</f>
        <v/>
      </c>
      <c r="X112" s="18" t="str">
        <f>IF(ISNUMBER($L$6)=FALSE,"",
        IF(ISERROR(VLOOKUP($G112,DanaSehat!$L$13:$AK$56,X$4,FALSE))=TRUE,"",
              VLOOKUP($G112,DanaSehat!$L$13:$AK$56,X$4,FALSE)))</f>
        <v/>
      </c>
      <c r="Y112" s="18" t="str">
        <f>IF(ISNUMBER($L$6)=FALSE,"",
        IF(ISERROR(VLOOKUP($G112,DanaSehat!$L$13:$AK$56,Y$4,FALSE))=TRUE,"",
              VLOOKUP($G112,DanaSehat!$L$13:$AK$56,Y$4,FALSE)))</f>
        <v/>
      </c>
      <c r="Z112" s="18" t="str">
        <f>IF(ISNUMBER($L$6)=FALSE,"",
        IF(ISERROR(VLOOKUP($G112,DanaSehat!$L$13:$AK$56,Z$4,FALSE))=TRUE,"",
              VLOOKUP($G112,DanaSehat!$L$13:$AK$56,Z$4,FALSE)))</f>
        <v/>
      </c>
      <c r="AA112" s="18" t="str">
        <f>IF(ISNUMBER($L$6)=FALSE,"",
        IF(ISERROR(VLOOKUP($G112,DanaSehat!$L$13:$AK$56,AA$4,FALSE))=TRUE,"",
              VLOOKUP($G112,DanaSehat!$L$13:$AK$56,AA$4,FALSE)))</f>
        <v/>
      </c>
      <c r="AB112" s="18" t="str">
        <f>IF(ISNUMBER($L$6)=FALSE,"",
        IF(ISERROR(VLOOKUP($G112,DanaSehat!$L$13:$AK$56,AB$4,FALSE))=TRUE,"",
              VLOOKUP($G112,DanaSehat!$L$13:$AK$56,AB$4,FALSE)))</f>
        <v/>
      </c>
      <c r="AC112" s="18" t="str">
        <f>IF(ISNUMBER($L$6)=FALSE,"",
        IF(ISERROR(VLOOKUP($G112,DanaSehat!$L$13:$AK$56,AC$4,FALSE))=TRUE,"",
              VLOOKUP($G112,DanaSehat!$L$13:$AK$56,AC$4,FALSE)))</f>
        <v/>
      </c>
      <c r="AD112" s="18" t="str">
        <f>IF(ISNUMBER($L$6)=FALSE,"",
        IF(ISERROR(VLOOKUP($G112,DanaSehat!$L$13:$AK$56,AD$4,FALSE))=TRUE,"",
              VLOOKUP($G112,DanaSehat!$L$13:$AK$56,AD$4,FALSE)))</f>
        <v/>
      </c>
      <c r="AE112" s="18" t="str">
        <f>IF(ISNUMBER($L$6)=FALSE,"",
        IF(ISERROR(VLOOKUP($G112,DanaSehat!$L$13:$AK$56,AE$4,FALSE))=TRUE,"",
              VLOOKUP($G112,DanaSehat!$L$13:$AK$56,AE$4,FALSE)))</f>
        <v/>
      </c>
      <c r="AF112" s="18" t="str">
        <f>IF(ISNUMBER($L$6)=FALSE,"",
        IF(ISERROR(VLOOKUP($G112,DanaSehat!$L$13:$AK$56,AF$4,FALSE))=TRUE,"",
              VLOOKUP($G112,DanaSehat!$L$13:$AK$56,AF$4,FALSE)))</f>
        <v/>
      </c>
    </row>
    <row r="113" spans="1:32" s="60" customFormat="1" ht="10.5" x14ac:dyDescent="0.25">
      <c r="A113" s="59"/>
      <c r="C113" s="59">
        <f t="shared" si="7"/>
        <v>100</v>
      </c>
      <c r="D113" s="61"/>
      <c r="E113" s="77" t="str">
        <f t="shared" si="8"/>
        <v/>
      </c>
      <c r="F113" s="77" t="str">
        <f>IF(ISNUMBER($L$6)=FALSE,"",
IF($C113=0,"",VLOOKUP($E113,DanaSehat!$H$13:$L$56,4,FALSE)))</f>
        <v/>
      </c>
      <c r="G113" s="77" t="str">
        <f>IF(ISNUMBER($L$6)=FALSE,"",
IF($C113=0,"",VLOOKUP($E113,DanaSehat!$H$13:$L$56,5,FALSE)))</f>
        <v/>
      </c>
      <c r="H113" s="17" t="str">
        <f t="shared" si="9"/>
        <v/>
      </c>
      <c r="I113" s="18" t="str">
        <f>IF(ISNUMBER($L$6)=FALSE,"",
        IF(ISERROR(VLOOKUP($G113,DanaSehat!$L$13:$AK$56,I$4,FALSE))=TRUE,"",
              VLOOKUP($G113,DanaSehat!$L$13:$AK$56,I$4,FALSE)))</f>
        <v/>
      </c>
      <c r="J113" s="18" t="str">
        <f>IF(ISNUMBER($L$6)=FALSE,"",
        IF(ISERROR(VLOOKUP($G113,DanaSehat!$L$13:$AK$56,J$4,FALSE))=TRUE,"",
              VLOOKUP($G113,DanaSehat!$L$13:$AK$56,J$4,FALSE)))</f>
        <v/>
      </c>
      <c r="K113" s="18" t="str">
        <f>IF(ISNUMBER($L$6)=FALSE,"",
        IF(ISERROR(VLOOKUP($G113,DanaSehat!$L$13:$AK$56,K$4,FALSE))=TRUE,"",
              VLOOKUP($G113,DanaSehat!$L$13:$AK$56,K$4,FALSE)))</f>
        <v/>
      </c>
      <c r="L113" s="18" t="str">
        <f>IF(ISNUMBER($L$6)=FALSE,"",
        IF(ISERROR(VLOOKUP($G113,DanaSehat!$L$13:$AK$56,L$4,FALSE))=TRUE,"",
              VLOOKUP($G113,DanaSehat!$L$13:$AK$56,L$4,FALSE)))</f>
        <v/>
      </c>
      <c r="M113" s="18" t="str">
        <f>IF(ISNUMBER($L$6)=FALSE,"",
        IF(ISERROR(VLOOKUP($G113,DanaSehat!$L$13:$AK$56,M$4,FALSE))=TRUE,"",
              VLOOKUP($G113,DanaSehat!$L$13:$AK$56,M$4,FALSE)))</f>
        <v/>
      </c>
      <c r="N113" s="18" t="str">
        <f>IF(ISNUMBER($L$6)=FALSE,"",
        IF(ISERROR(VLOOKUP($G113,DanaSehat!$L$13:$AK$56,N$4,FALSE))=TRUE,"",
              VLOOKUP($G113,DanaSehat!$L$13:$AK$56,N$4,FALSE)))</f>
        <v/>
      </c>
      <c r="O113" s="18" t="str">
        <f>IF(ISNUMBER($L$6)=FALSE,"",
        IF(ISERROR(VLOOKUP($G113,DanaSehat!$L$13:$AK$56,O$4,FALSE))=TRUE,"",
              VLOOKUP($G113,DanaSehat!$L$13:$AK$56,O$4,FALSE)))</f>
        <v/>
      </c>
      <c r="P113" s="18" t="str">
        <f>IF(ISNUMBER($L$6)=FALSE,"",
        IF(ISERROR(VLOOKUP($G113,DanaSehat!$L$13:$AK$56,P$4,FALSE))=TRUE,"",
              VLOOKUP($G113,DanaSehat!$L$13:$AK$56,P$4,FALSE)))</f>
        <v/>
      </c>
      <c r="Q113" s="18" t="str">
        <f>IF(ISNUMBER($L$6)=FALSE,"",
        IF(ISERROR(VLOOKUP($G113,DanaSehat!$L$13:$AK$56,Q$4,FALSE))=TRUE,"",
              VLOOKUP($G113,DanaSehat!$L$13:$AK$56,Q$4,FALSE)))</f>
        <v/>
      </c>
      <c r="R113" s="18" t="str">
        <f>IF(ISNUMBER($L$6)=FALSE,"",
        IF(ISERROR(VLOOKUP($G113,DanaSehat!$L$13:$AK$56,R$4,FALSE))=TRUE,"",
              VLOOKUP($G113,DanaSehat!$L$13:$AK$56,R$4,FALSE)))</f>
        <v/>
      </c>
      <c r="S113" s="18" t="str">
        <f>IF(ISNUMBER($L$6)=FALSE,"",
        IF(ISERROR(VLOOKUP($G113,DanaSehat!$L$13:$AK$56,S$4,FALSE))=TRUE,"",
              VLOOKUP($G113,DanaSehat!$L$13:$AK$56,S$4,FALSE)))</f>
        <v/>
      </c>
      <c r="T113" s="18" t="str">
        <f>IF(ISNUMBER($L$6)=FALSE,"",
        IF(ISERROR(VLOOKUP($G113,DanaSehat!$L$13:$AK$56,T$4,FALSE))=TRUE,"",
              VLOOKUP($G113,DanaSehat!$L$13:$AK$56,T$4,FALSE)))</f>
        <v/>
      </c>
      <c r="U113" s="18" t="str">
        <f>IF(ISNUMBER($L$6)=FALSE,"",
        IF(ISERROR(VLOOKUP($G113,DanaSehat!$L$13:$AK$56,U$4,FALSE))=TRUE,"",
              VLOOKUP($G113,DanaSehat!$L$13:$AK$56,U$4,FALSE)))</f>
        <v/>
      </c>
      <c r="V113" s="18" t="str">
        <f>IF(ISNUMBER($L$6)=FALSE,"",
        IF(ISERROR(VLOOKUP($G113,DanaSehat!$L$13:$AK$56,V$4,FALSE))=TRUE,"",
              VLOOKUP($G113,DanaSehat!$L$13:$AK$56,V$4,FALSE)))</f>
        <v/>
      </c>
      <c r="W113" s="18" t="str">
        <f>IF(ISNUMBER($L$6)=FALSE,"",
        IF(ISERROR(VLOOKUP($G113,DanaSehat!$L$13:$AK$56,W$4,FALSE))=TRUE,"",
              VLOOKUP($G113,DanaSehat!$L$13:$AK$56,W$4,FALSE)))</f>
        <v/>
      </c>
      <c r="X113" s="18" t="str">
        <f>IF(ISNUMBER($L$6)=FALSE,"",
        IF(ISERROR(VLOOKUP($G113,DanaSehat!$L$13:$AK$56,X$4,FALSE))=TRUE,"",
              VLOOKUP($G113,DanaSehat!$L$13:$AK$56,X$4,FALSE)))</f>
        <v/>
      </c>
      <c r="Y113" s="18" t="str">
        <f>IF(ISNUMBER($L$6)=FALSE,"",
        IF(ISERROR(VLOOKUP($G113,DanaSehat!$L$13:$AK$56,Y$4,FALSE))=TRUE,"",
              VLOOKUP($G113,DanaSehat!$L$13:$AK$56,Y$4,FALSE)))</f>
        <v/>
      </c>
      <c r="Z113" s="18" t="str">
        <f>IF(ISNUMBER($L$6)=FALSE,"",
        IF(ISERROR(VLOOKUP($G113,DanaSehat!$L$13:$AK$56,Z$4,FALSE))=TRUE,"",
              VLOOKUP($G113,DanaSehat!$L$13:$AK$56,Z$4,FALSE)))</f>
        <v/>
      </c>
      <c r="AA113" s="18" t="str">
        <f>IF(ISNUMBER($L$6)=FALSE,"",
        IF(ISERROR(VLOOKUP($G113,DanaSehat!$L$13:$AK$56,AA$4,FALSE))=TRUE,"",
              VLOOKUP($G113,DanaSehat!$L$13:$AK$56,AA$4,FALSE)))</f>
        <v/>
      </c>
      <c r="AB113" s="18" t="str">
        <f>IF(ISNUMBER($L$6)=FALSE,"",
        IF(ISERROR(VLOOKUP($G113,DanaSehat!$L$13:$AK$56,AB$4,FALSE))=TRUE,"",
              VLOOKUP($G113,DanaSehat!$L$13:$AK$56,AB$4,FALSE)))</f>
        <v/>
      </c>
      <c r="AC113" s="18" t="str">
        <f>IF(ISNUMBER($L$6)=FALSE,"",
        IF(ISERROR(VLOOKUP($G113,DanaSehat!$L$13:$AK$56,AC$4,FALSE))=TRUE,"",
              VLOOKUP($G113,DanaSehat!$L$13:$AK$56,AC$4,FALSE)))</f>
        <v/>
      </c>
      <c r="AD113" s="18" t="str">
        <f>IF(ISNUMBER($L$6)=FALSE,"",
        IF(ISERROR(VLOOKUP($G113,DanaSehat!$L$13:$AK$56,AD$4,FALSE))=TRUE,"",
              VLOOKUP($G113,DanaSehat!$L$13:$AK$56,AD$4,FALSE)))</f>
        <v/>
      </c>
      <c r="AE113" s="18" t="str">
        <f>IF(ISNUMBER($L$6)=FALSE,"",
        IF(ISERROR(VLOOKUP($G113,DanaSehat!$L$13:$AK$56,AE$4,FALSE))=TRUE,"",
              VLOOKUP($G113,DanaSehat!$L$13:$AK$56,AE$4,FALSE)))</f>
        <v/>
      </c>
      <c r="AF113" s="18" t="str">
        <f>IF(ISNUMBER($L$6)=FALSE,"",
        IF(ISERROR(VLOOKUP($G113,DanaSehat!$L$13:$AK$56,AF$4,FALSE))=TRUE,"",
              VLOOKUP($G113,DanaSehat!$L$13:$AK$56,AF$4,FALSE)))</f>
        <v/>
      </c>
    </row>
  </sheetData>
  <mergeCells count="37">
    <mergeCell ref="E11:E13"/>
    <mergeCell ref="F11:F13"/>
    <mergeCell ref="G11:G13"/>
    <mergeCell ref="H12:H13"/>
    <mergeCell ref="AC11:AC13"/>
    <mergeCell ref="S11:S13"/>
    <mergeCell ref="T11:T13"/>
    <mergeCell ref="U11:U13"/>
    <mergeCell ref="V11:V13"/>
    <mergeCell ref="W11:W13"/>
    <mergeCell ref="I11:I13"/>
    <mergeCell ref="J11:J13"/>
    <mergeCell ref="K11:K13"/>
    <mergeCell ref="L11:L13"/>
    <mergeCell ref="M11:M13"/>
    <mergeCell ref="N11:N13"/>
    <mergeCell ref="H8:I8"/>
    <mergeCell ref="H9:I9"/>
    <mergeCell ref="AD11:AD13"/>
    <mergeCell ref="AE11:AE13"/>
    <mergeCell ref="AF11:AF13"/>
    <mergeCell ref="X11:X13"/>
    <mergeCell ref="Y11:Y13"/>
    <mergeCell ref="Z11:Z13"/>
    <mergeCell ref="AA11:AA13"/>
    <mergeCell ref="AB11:AB13"/>
    <mergeCell ref="J10:L10"/>
    <mergeCell ref="M10:O10"/>
    <mergeCell ref="P10:R10"/>
    <mergeCell ref="L6:M6"/>
    <mergeCell ref="O11:O13"/>
    <mergeCell ref="P11:P13"/>
    <mergeCell ref="Q11:Q13"/>
    <mergeCell ref="R11:R13"/>
    <mergeCell ref="J7:L7"/>
    <mergeCell ref="M7:O7"/>
    <mergeCell ref="P7:R7"/>
  </mergeCells>
  <conditionalFormatting sqref="E14:H113">
    <cfRule type="expression" dxfId="41" priority="3">
      <formula>ISNUMBER($E14)</formula>
    </cfRule>
  </conditionalFormatting>
  <conditionalFormatting sqref="I11:AF13">
    <cfRule type="expression" dxfId="40" priority="2">
      <formula>ISNUMBER(I$11)</formula>
    </cfRule>
  </conditionalFormatting>
  <conditionalFormatting sqref="I14:AF113">
    <cfRule type="expression" dxfId="39" priority="1">
      <formula>AND(ISNUMBER($E14),ISNUMBER(I$11))</formula>
    </cfRule>
  </conditionalFormatting>
  <pageMargins left="0.25" right="0.25" top="0.75" bottom="0.75" header="0.3" footer="0.3"/>
  <pageSetup paperSize="9" orientation="landscape" r:id="rId1"/>
  <headerFooter>
    <oddHeader>&amp;C
&amp;G</oddHeader>
    <oddFooter>Page &amp;P of &amp;N</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8"/>
  </sheetPr>
  <dimension ref="A1:Q771"/>
  <sheetViews>
    <sheetView topLeftCell="I2" workbookViewId="0">
      <selection activeCell="I26" sqref="I26"/>
    </sheetView>
  </sheetViews>
  <sheetFormatPr defaultColWidth="9.1796875" defaultRowHeight="14.5" x14ac:dyDescent="0.35"/>
  <cols>
    <col min="1" max="1" width="9.1796875" style="52" hidden="1" customWidth="1"/>
    <col min="2" max="7" width="9.1796875" style="48" hidden="1" customWidth="1"/>
    <col min="8" max="8" width="1.7265625" style="54" hidden="1" customWidth="1"/>
    <col min="9" max="9" width="25.54296875" style="48" customWidth="1"/>
    <col min="10" max="10" width="30.453125" style="48" bestFit="1" customWidth="1"/>
    <col min="11" max="11" width="29.7265625" style="48" bestFit="1" customWidth="1"/>
    <col min="12" max="12" width="17.453125" style="48" bestFit="1" customWidth="1"/>
    <col min="13" max="13" width="29.7265625" style="48" bestFit="1" customWidth="1"/>
    <col min="14" max="14" width="9.1796875" style="48" bestFit="1" customWidth="1"/>
    <col min="15" max="15" width="14.81640625" style="48" bestFit="1" customWidth="1"/>
    <col min="16" max="16" width="33.54296875" style="48" bestFit="1" customWidth="1"/>
    <col min="17" max="17" width="12.1796875" style="48" bestFit="1" customWidth="1"/>
    <col min="18" max="19" width="9.1796875" style="48"/>
    <col min="20" max="22" width="9.7265625" style="48" bestFit="1" customWidth="1"/>
    <col min="23" max="35" width="9.1796875" style="48"/>
    <col min="36" max="36" width="11" style="48" customWidth="1"/>
    <col min="37" max="16384" width="9.1796875" style="48"/>
  </cols>
  <sheetData>
    <row r="1" spans="1:17" s="52" customFormat="1" hidden="1" x14ac:dyDescent="0.35">
      <c r="A1" s="52" t="s">
        <v>10023</v>
      </c>
      <c r="B1" s="30" t="s">
        <v>22</v>
      </c>
      <c r="C1" s="30" t="s">
        <v>22</v>
      </c>
      <c r="D1" s="30" t="s">
        <v>22</v>
      </c>
      <c r="E1" s="30" t="s">
        <v>22</v>
      </c>
      <c r="F1" s="30" t="s">
        <v>22</v>
      </c>
      <c r="G1" s="30" t="s">
        <v>22</v>
      </c>
      <c r="H1" s="30" t="s">
        <v>22</v>
      </c>
      <c r="J1" s="52" t="s">
        <v>21</v>
      </c>
      <c r="K1" s="52" t="s">
        <v>21</v>
      </c>
      <c r="L1" s="52" t="s">
        <v>21</v>
      </c>
      <c r="M1" s="52" t="s">
        <v>21</v>
      </c>
      <c r="N1" s="52" t="s">
        <v>21</v>
      </c>
      <c r="O1" s="52" t="s">
        <v>21</v>
      </c>
      <c r="P1" s="52" t="s">
        <v>21</v>
      </c>
      <c r="Q1" s="52" t="s">
        <v>21</v>
      </c>
    </row>
    <row r="2" spans="1:17" x14ac:dyDescent="0.35">
      <c r="A2" s="78"/>
    </row>
    <row r="3" spans="1:17" ht="23.5" x14ac:dyDescent="0.55000000000000004">
      <c r="I3" s="79" t="s">
        <v>48</v>
      </c>
    </row>
    <row r="5" spans="1:17" x14ac:dyDescent="0.35">
      <c r="I5" s="80" t="s">
        <v>1</v>
      </c>
      <c r="J5" s="52" t="s">
        <v>20975</v>
      </c>
      <c r="K5" s="52" t="s">
        <v>20976</v>
      </c>
    </row>
    <row r="6" spans="1:17" x14ac:dyDescent="0.35">
      <c r="I6" s="39" t="s">
        <v>44</v>
      </c>
      <c r="J6" s="30" t="s">
        <v>45</v>
      </c>
      <c r="K6" s="30" t="s">
        <v>20977</v>
      </c>
    </row>
    <row r="7" spans="1:17" x14ac:dyDescent="0.35">
      <c r="I7" s="80" t="s">
        <v>66</v>
      </c>
      <c r="J7" s="82">
        <f>DATE(YEAR($K$7)-1,7,1)</f>
        <v>42186</v>
      </c>
      <c r="K7" s="82">
        <v>42664</v>
      </c>
    </row>
    <row r="8" spans="1:17" x14ac:dyDescent="0.35">
      <c r="D8" s="81"/>
      <c r="I8" s="80" t="s">
        <v>65</v>
      </c>
      <c r="J8" s="52" t="s">
        <v>20979</v>
      </c>
    </row>
    <row r="10" spans="1:17" x14ac:dyDescent="0.35">
      <c r="I10" s="48" t="s">
        <v>50</v>
      </c>
    </row>
    <row r="11" spans="1:17" x14ac:dyDescent="0.35">
      <c r="I11" s="48" t="s">
        <v>49</v>
      </c>
    </row>
    <row r="12" spans="1:17" x14ac:dyDescent="0.35">
      <c r="D12" s="80" t="s">
        <v>34</v>
      </c>
      <c r="I12" s="80" t="s">
        <v>37</v>
      </c>
      <c r="J12" s="80" t="s">
        <v>6</v>
      </c>
      <c r="K12" s="80" t="s">
        <v>34</v>
      </c>
      <c r="L12" s="80" t="s">
        <v>2</v>
      </c>
      <c r="M12" s="80" t="s">
        <v>11</v>
      </c>
      <c r="N12" s="80" t="s">
        <v>32</v>
      </c>
      <c r="O12" s="80" t="s">
        <v>9</v>
      </c>
      <c r="P12" s="80" t="s">
        <v>7</v>
      </c>
      <c r="Q12" s="80" t="s">
        <v>33</v>
      </c>
    </row>
    <row r="13" spans="1:17" x14ac:dyDescent="0.35">
      <c r="C13" s="52" t="s">
        <v>21009</v>
      </c>
      <c r="D13" s="52" t="str">
        <f>" "</f>
        <v xml:space="preserve"> </v>
      </c>
      <c r="I13" s="52" t="str">
        <f>CONCATENATE(L13,"|",O13)</f>
        <v>|42368</v>
      </c>
      <c r="J13" s="82">
        <v>42368</v>
      </c>
      <c r="K13" s="52" t="str">
        <f>IF($D13="Customer",$D13,"G/L")</f>
        <v>G/L</v>
      </c>
      <c r="L13" s="52"/>
      <c r="M13" s="52" t="s">
        <v>20981</v>
      </c>
      <c r="N13" s="2">
        <v>5520000</v>
      </c>
      <c r="O13" s="82">
        <v>42368</v>
      </c>
      <c r="P13" s="52" t="str">
        <f>"KPDS - Andreas Rasul 2015"</f>
        <v>KPDS - Andreas Rasul 2015</v>
      </c>
      <c r="Q13" s="52" t="str">
        <f t="shared" ref="Q13:Q76" si="0">"KPS-10-10"</f>
        <v>KPS-10-10</v>
      </c>
    </row>
    <row r="14" spans="1:17" x14ac:dyDescent="0.35">
      <c r="A14" s="52" t="s">
        <v>6063</v>
      </c>
      <c r="C14" s="52" t="str">
        <f>"""TRUST Nav"",""HSPMTB2016"",""17"",""1"",""3441"""</f>
        <v>"TRUST Nav","HSPMTB2016","17","1","3441"</v>
      </c>
      <c r="D14" s="52" t="str">
        <f t="shared" ref="D14:D45" si="1">"Customer"</f>
        <v>Customer</v>
      </c>
      <c r="I14" s="52" t="str">
        <f t="shared" ref="I14:I77" si="2">CONCATENATE(L14,"|",O14)</f>
        <v>KK-04597|42186</v>
      </c>
      <c r="J14" s="82">
        <v>42368</v>
      </c>
      <c r="K14" s="52" t="str">
        <f t="shared" ref="K14:K77" si="3">IF($D14="Customer",$D14,"G/L")</f>
        <v>Customer</v>
      </c>
      <c r="L14" s="52" t="str">
        <f t="shared" ref="L14:L19" si="4">"KK-04597"</f>
        <v>KK-04597</v>
      </c>
      <c r="M14" s="52" t="s">
        <v>20982</v>
      </c>
      <c r="N14" s="2">
        <v>20000</v>
      </c>
      <c r="O14" s="82">
        <v>42186</v>
      </c>
      <c r="P14" s="52" t="str">
        <f t="shared" ref="P14:P19" si="5">"DS - Arief Wibawa"</f>
        <v>DS - Arief Wibawa</v>
      </c>
      <c r="Q14" s="52" t="str">
        <f t="shared" si="0"/>
        <v>KPS-10-10</v>
      </c>
    </row>
    <row r="15" spans="1:17" x14ac:dyDescent="0.35">
      <c r="A15" s="52" t="s">
        <v>6063</v>
      </c>
      <c r="C15" s="52" t="str">
        <f>"""TRUST Nav"",""HSPMTB2016"",""17"",""1"",""3442"""</f>
        <v>"TRUST Nav","HSPMTB2016","17","1","3442"</v>
      </c>
      <c r="D15" s="52" t="str">
        <f t="shared" si="1"/>
        <v>Customer</v>
      </c>
      <c r="I15" s="52" t="str">
        <f t="shared" si="2"/>
        <v>KK-04597|42217</v>
      </c>
      <c r="J15" s="82">
        <v>42368</v>
      </c>
      <c r="K15" s="52" t="str">
        <f t="shared" si="3"/>
        <v>Customer</v>
      </c>
      <c r="L15" s="52" t="str">
        <f t="shared" si="4"/>
        <v>KK-04597</v>
      </c>
      <c r="M15" s="52" t="s">
        <v>20982</v>
      </c>
      <c r="N15" s="2">
        <v>20000</v>
      </c>
      <c r="O15" s="82">
        <v>42217</v>
      </c>
      <c r="P15" s="52" t="str">
        <f t="shared" si="5"/>
        <v>DS - Arief Wibawa</v>
      </c>
      <c r="Q15" s="52" t="str">
        <f t="shared" si="0"/>
        <v>KPS-10-10</v>
      </c>
    </row>
    <row r="16" spans="1:17" x14ac:dyDescent="0.35">
      <c r="A16" s="52" t="s">
        <v>6063</v>
      </c>
      <c r="C16" s="52" t="str">
        <f>"""TRUST Nav"",""HSPMTB2016"",""17"",""1"",""3443"""</f>
        <v>"TRUST Nav","HSPMTB2016","17","1","3443"</v>
      </c>
      <c r="D16" s="52" t="str">
        <f t="shared" si="1"/>
        <v>Customer</v>
      </c>
      <c r="I16" s="52" t="str">
        <f t="shared" si="2"/>
        <v>KK-04597|42248</v>
      </c>
      <c r="J16" s="82">
        <v>42368</v>
      </c>
      <c r="K16" s="52" t="str">
        <f t="shared" si="3"/>
        <v>Customer</v>
      </c>
      <c r="L16" s="52" t="str">
        <f t="shared" si="4"/>
        <v>KK-04597</v>
      </c>
      <c r="M16" s="52" t="s">
        <v>20982</v>
      </c>
      <c r="N16" s="2">
        <v>20000</v>
      </c>
      <c r="O16" s="82">
        <v>42248</v>
      </c>
      <c r="P16" s="52" t="str">
        <f t="shared" si="5"/>
        <v>DS - Arief Wibawa</v>
      </c>
      <c r="Q16" s="52" t="str">
        <f t="shared" si="0"/>
        <v>KPS-10-10</v>
      </c>
    </row>
    <row r="17" spans="1:17" x14ac:dyDescent="0.35">
      <c r="A17" s="52" t="s">
        <v>6063</v>
      </c>
      <c r="C17" s="52" t="str">
        <f>"""TRUST Nav"",""HSPMTB2016"",""17"",""1"",""3444"""</f>
        <v>"TRUST Nav","HSPMTB2016","17","1","3444"</v>
      </c>
      <c r="D17" s="52" t="str">
        <f t="shared" si="1"/>
        <v>Customer</v>
      </c>
      <c r="I17" s="52" t="str">
        <f t="shared" si="2"/>
        <v>KK-04597|42278</v>
      </c>
      <c r="J17" s="82">
        <v>42368</v>
      </c>
      <c r="K17" s="52" t="str">
        <f t="shared" si="3"/>
        <v>Customer</v>
      </c>
      <c r="L17" s="52" t="str">
        <f t="shared" si="4"/>
        <v>KK-04597</v>
      </c>
      <c r="M17" s="52" t="s">
        <v>20982</v>
      </c>
      <c r="N17" s="2">
        <v>20000</v>
      </c>
      <c r="O17" s="82">
        <v>42278</v>
      </c>
      <c r="P17" s="52" t="str">
        <f t="shared" si="5"/>
        <v>DS - Arief Wibawa</v>
      </c>
      <c r="Q17" s="52" t="str">
        <f t="shared" si="0"/>
        <v>KPS-10-10</v>
      </c>
    </row>
    <row r="18" spans="1:17" x14ac:dyDescent="0.35">
      <c r="A18" s="52" t="s">
        <v>6063</v>
      </c>
      <c r="C18" s="52" t="str">
        <f>"""TRUST Nav"",""HSPMTB2016"",""17"",""1"",""3445"""</f>
        <v>"TRUST Nav","HSPMTB2016","17","1","3445"</v>
      </c>
      <c r="D18" s="52" t="str">
        <f t="shared" si="1"/>
        <v>Customer</v>
      </c>
      <c r="I18" s="52" t="str">
        <f t="shared" si="2"/>
        <v>KK-04597|42309</v>
      </c>
      <c r="J18" s="82">
        <v>42368</v>
      </c>
      <c r="K18" s="52" t="str">
        <f t="shared" si="3"/>
        <v>Customer</v>
      </c>
      <c r="L18" s="52" t="str">
        <f t="shared" si="4"/>
        <v>KK-04597</v>
      </c>
      <c r="M18" s="52" t="s">
        <v>20982</v>
      </c>
      <c r="N18" s="2">
        <v>20000</v>
      </c>
      <c r="O18" s="82">
        <v>42309</v>
      </c>
      <c r="P18" s="52" t="str">
        <f t="shared" si="5"/>
        <v>DS - Arief Wibawa</v>
      </c>
      <c r="Q18" s="52" t="str">
        <f t="shared" si="0"/>
        <v>KPS-10-10</v>
      </c>
    </row>
    <row r="19" spans="1:17" x14ac:dyDescent="0.35">
      <c r="A19" s="52" t="s">
        <v>6063</v>
      </c>
      <c r="C19" s="52" t="str">
        <f>"""TRUST Nav"",""HSPMTB2016"",""17"",""1"",""3446"""</f>
        <v>"TRUST Nav","HSPMTB2016","17","1","3446"</v>
      </c>
      <c r="D19" s="52" t="str">
        <f t="shared" si="1"/>
        <v>Customer</v>
      </c>
      <c r="I19" s="52" t="str">
        <f t="shared" si="2"/>
        <v>KK-04597|42339</v>
      </c>
      <c r="J19" s="82">
        <v>42368</v>
      </c>
      <c r="K19" s="52" t="str">
        <f t="shared" si="3"/>
        <v>Customer</v>
      </c>
      <c r="L19" s="52" t="str">
        <f t="shared" si="4"/>
        <v>KK-04597</v>
      </c>
      <c r="M19" s="52" t="s">
        <v>20982</v>
      </c>
      <c r="N19" s="2">
        <v>20000</v>
      </c>
      <c r="O19" s="82">
        <v>42339</v>
      </c>
      <c r="P19" s="52" t="str">
        <f t="shared" si="5"/>
        <v>DS - Arief Wibawa</v>
      </c>
      <c r="Q19" s="52" t="str">
        <f t="shared" si="0"/>
        <v>KPS-10-10</v>
      </c>
    </row>
    <row r="20" spans="1:17" x14ac:dyDescent="0.35">
      <c r="A20" s="52" t="s">
        <v>6063</v>
      </c>
      <c r="C20" s="52" t="str">
        <f>"""TRUST Nav"",""HSPMTB2016"",""17"",""1"",""3447"""</f>
        <v>"TRUST Nav","HSPMTB2016","17","1","3447"</v>
      </c>
      <c r="D20" s="52" t="str">
        <f t="shared" si="1"/>
        <v>Customer</v>
      </c>
      <c r="I20" s="52" t="str">
        <f t="shared" si="2"/>
        <v>KK-04598|42186</v>
      </c>
      <c r="J20" s="82">
        <v>42368</v>
      </c>
      <c r="K20" s="52" t="str">
        <f t="shared" si="3"/>
        <v>Customer</v>
      </c>
      <c r="L20" s="52" t="str">
        <f t="shared" ref="L20:L25" si="6">"KK-04598"</f>
        <v>KK-04598</v>
      </c>
      <c r="M20" s="52" t="s">
        <v>20983</v>
      </c>
      <c r="N20" s="2">
        <v>25000.000000000004</v>
      </c>
      <c r="O20" s="82">
        <v>42186</v>
      </c>
      <c r="P20" s="52" t="str">
        <f t="shared" ref="P20:P25" si="7">"DS - Alex Sudytio"</f>
        <v>DS - Alex Sudytio</v>
      </c>
      <c r="Q20" s="52" t="str">
        <f t="shared" si="0"/>
        <v>KPS-10-10</v>
      </c>
    </row>
    <row r="21" spans="1:17" x14ac:dyDescent="0.35">
      <c r="A21" s="52" t="s">
        <v>6063</v>
      </c>
      <c r="C21" s="52" t="str">
        <f>"""TRUST Nav"",""HSPMTB2016"",""17"",""1"",""3448"""</f>
        <v>"TRUST Nav","HSPMTB2016","17","1","3448"</v>
      </c>
      <c r="D21" s="52" t="str">
        <f t="shared" si="1"/>
        <v>Customer</v>
      </c>
      <c r="I21" s="52" t="str">
        <f t="shared" si="2"/>
        <v>KK-04598|42217</v>
      </c>
      <c r="J21" s="82">
        <v>42368</v>
      </c>
      <c r="K21" s="52" t="str">
        <f t="shared" si="3"/>
        <v>Customer</v>
      </c>
      <c r="L21" s="52" t="str">
        <f t="shared" si="6"/>
        <v>KK-04598</v>
      </c>
      <c r="M21" s="52" t="s">
        <v>20983</v>
      </c>
      <c r="N21" s="2">
        <v>25000.000000000004</v>
      </c>
      <c r="O21" s="82">
        <v>42217</v>
      </c>
      <c r="P21" s="52" t="str">
        <f t="shared" si="7"/>
        <v>DS - Alex Sudytio</v>
      </c>
      <c r="Q21" s="52" t="str">
        <f t="shared" si="0"/>
        <v>KPS-10-10</v>
      </c>
    </row>
    <row r="22" spans="1:17" x14ac:dyDescent="0.35">
      <c r="A22" s="52" t="s">
        <v>6063</v>
      </c>
      <c r="C22" s="52" t="str">
        <f>"""TRUST Nav"",""HSPMTB2016"",""17"",""1"",""3449"""</f>
        <v>"TRUST Nav","HSPMTB2016","17","1","3449"</v>
      </c>
      <c r="D22" s="52" t="str">
        <f t="shared" si="1"/>
        <v>Customer</v>
      </c>
      <c r="I22" s="52" t="str">
        <f t="shared" si="2"/>
        <v>KK-04598|42248</v>
      </c>
      <c r="J22" s="82">
        <v>42368</v>
      </c>
      <c r="K22" s="52" t="str">
        <f t="shared" si="3"/>
        <v>Customer</v>
      </c>
      <c r="L22" s="52" t="str">
        <f t="shared" si="6"/>
        <v>KK-04598</v>
      </c>
      <c r="M22" s="52" t="s">
        <v>20983</v>
      </c>
      <c r="N22" s="2">
        <v>25000.000000000004</v>
      </c>
      <c r="O22" s="82">
        <v>42248</v>
      </c>
      <c r="P22" s="52" t="str">
        <f t="shared" si="7"/>
        <v>DS - Alex Sudytio</v>
      </c>
      <c r="Q22" s="52" t="str">
        <f t="shared" si="0"/>
        <v>KPS-10-10</v>
      </c>
    </row>
    <row r="23" spans="1:17" x14ac:dyDescent="0.35">
      <c r="A23" s="52" t="s">
        <v>6063</v>
      </c>
      <c r="C23" s="52" t="str">
        <f>"""TRUST Nav"",""HSPMTB2016"",""17"",""1"",""3450"""</f>
        <v>"TRUST Nav","HSPMTB2016","17","1","3450"</v>
      </c>
      <c r="D23" s="52" t="str">
        <f t="shared" si="1"/>
        <v>Customer</v>
      </c>
      <c r="I23" s="52" t="str">
        <f t="shared" si="2"/>
        <v>KK-04598|42278</v>
      </c>
      <c r="J23" s="82">
        <v>42368</v>
      </c>
      <c r="K23" s="52" t="str">
        <f t="shared" si="3"/>
        <v>Customer</v>
      </c>
      <c r="L23" s="52" t="str">
        <f t="shared" si="6"/>
        <v>KK-04598</v>
      </c>
      <c r="M23" s="52" t="s">
        <v>20983</v>
      </c>
      <c r="N23" s="2">
        <v>25000.000000000004</v>
      </c>
      <c r="O23" s="82">
        <v>42278</v>
      </c>
      <c r="P23" s="52" t="str">
        <f t="shared" si="7"/>
        <v>DS - Alex Sudytio</v>
      </c>
      <c r="Q23" s="52" t="str">
        <f t="shared" si="0"/>
        <v>KPS-10-10</v>
      </c>
    </row>
    <row r="24" spans="1:17" x14ac:dyDescent="0.35">
      <c r="A24" s="52" t="s">
        <v>6063</v>
      </c>
      <c r="C24" s="52" t="str">
        <f>"""TRUST Nav"",""HSPMTB2016"",""17"",""1"",""3451"""</f>
        <v>"TRUST Nav","HSPMTB2016","17","1","3451"</v>
      </c>
      <c r="D24" s="52" t="str">
        <f t="shared" si="1"/>
        <v>Customer</v>
      </c>
      <c r="I24" s="52" t="str">
        <f t="shared" si="2"/>
        <v>KK-04598|42309</v>
      </c>
      <c r="J24" s="82">
        <v>42368</v>
      </c>
      <c r="K24" s="52" t="str">
        <f t="shared" si="3"/>
        <v>Customer</v>
      </c>
      <c r="L24" s="52" t="str">
        <f t="shared" si="6"/>
        <v>KK-04598</v>
      </c>
      <c r="M24" s="52" t="s">
        <v>20983</v>
      </c>
      <c r="N24" s="2">
        <v>25000.000000000004</v>
      </c>
      <c r="O24" s="82">
        <v>42309</v>
      </c>
      <c r="P24" s="52" t="str">
        <f t="shared" si="7"/>
        <v>DS - Alex Sudytio</v>
      </c>
      <c r="Q24" s="52" t="str">
        <f t="shared" si="0"/>
        <v>KPS-10-10</v>
      </c>
    </row>
    <row r="25" spans="1:17" x14ac:dyDescent="0.35">
      <c r="A25" s="52" t="s">
        <v>6063</v>
      </c>
      <c r="C25" s="52" t="str">
        <f>"""TRUST Nav"",""HSPMTB2016"",""17"",""1"",""3452"""</f>
        <v>"TRUST Nav","HSPMTB2016","17","1","3452"</v>
      </c>
      <c r="D25" s="52" t="str">
        <f t="shared" si="1"/>
        <v>Customer</v>
      </c>
      <c r="I25" s="52" t="str">
        <f t="shared" si="2"/>
        <v>KK-04598|42339</v>
      </c>
      <c r="J25" s="82">
        <v>42368</v>
      </c>
      <c r="K25" s="52" t="str">
        <f t="shared" si="3"/>
        <v>Customer</v>
      </c>
      <c r="L25" s="52" t="str">
        <f t="shared" si="6"/>
        <v>KK-04598</v>
      </c>
      <c r="M25" s="52" t="s">
        <v>20983</v>
      </c>
      <c r="N25" s="2">
        <v>25000.000000000004</v>
      </c>
      <c r="O25" s="82">
        <v>42339</v>
      </c>
      <c r="P25" s="52" t="str">
        <f t="shared" si="7"/>
        <v>DS - Alex Sudytio</v>
      </c>
      <c r="Q25" s="52" t="str">
        <f t="shared" si="0"/>
        <v>KPS-10-10</v>
      </c>
    </row>
    <row r="26" spans="1:17" x14ac:dyDescent="0.35">
      <c r="A26" s="52" t="s">
        <v>6063</v>
      </c>
      <c r="C26" s="52" t="str">
        <f>"""TRUST Nav"",""HSPMTB2016"",""17"",""1"",""3453"""</f>
        <v>"TRUST Nav","HSPMTB2016","17","1","3453"</v>
      </c>
      <c r="D26" s="52" t="str">
        <f t="shared" si="1"/>
        <v>Customer</v>
      </c>
      <c r="I26" s="52" t="str">
        <f t="shared" si="2"/>
        <v>KK-04599|42186</v>
      </c>
      <c r="J26" s="82">
        <v>42368</v>
      </c>
      <c r="K26" s="52" t="str">
        <f t="shared" si="3"/>
        <v>Customer</v>
      </c>
      <c r="L26" s="52" t="str">
        <f t="shared" ref="L26:L31" si="8">"KK-04599"</f>
        <v>KK-04599</v>
      </c>
      <c r="M26" s="52" t="s">
        <v>20984</v>
      </c>
      <c r="N26" s="2">
        <v>50000.000000000007</v>
      </c>
      <c r="O26" s="82">
        <v>42186</v>
      </c>
      <c r="P26" s="52" t="str">
        <f t="shared" ref="P26:P31" si="9">"DS - Bernardus Yogie Dirga Gunawan"</f>
        <v>DS - Bernardus Yogie Dirga Gunawan</v>
      </c>
      <c r="Q26" s="52" t="str">
        <f t="shared" si="0"/>
        <v>KPS-10-10</v>
      </c>
    </row>
    <row r="27" spans="1:17" x14ac:dyDescent="0.35">
      <c r="A27" s="52" t="s">
        <v>6063</v>
      </c>
      <c r="C27" s="52" t="str">
        <f>"""TRUST Nav"",""HSPMTB2016"",""17"",""1"",""3454"""</f>
        <v>"TRUST Nav","HSPMTB2016","17","1","3454"</v>
      </c>
      <c r="D27" s="52" t="str">
        <f t="shared" si="1"/>
        <v>Customer</v>
      </c>
      <c r="I27" s="52" t="str">
        <f t="shared" si="2"/>
        <v>KK-04599|42217</v>
      </c>
      <c r="J27" s="82">
        <v>42368</v>
      </c>
      <c r="K27" s="52" t="str">
        <f t="shared" si="3"/>
        <v>Customer</v>
      </c>
      <c r="L27" s="52" t="str">
        <f t="shared" si="8"/>
        <v>KK-04599</v>
      </c>
      <c r="M27" s="52" t="s">
        <v>20984</v>
      </c>
      <c r="N27" s="2">
        <v>50000.000000000007</v>
      </c>
      <c r="O27" s="82">
        <v>42217</v>
      </c>
      <c r="P27" s="52" t="str">
        <f t="shared" si="9"/>
        <v>DS - Bernardus Yogie Dirga Gunawan</v>
      </c>
      <c r="Q27" s="52" t="str">
        <f t="shared" si="0"/>
        <v>KPS-10-10</v>
      </c>
    </row>
    <row r="28" spans="1:17" x14ac:dyDescent="0.35">
      <c r="A28" s="52" t="s">
        <v>6063</v>
      </c>
      <c r="C28" s="52" t="str">
        <f>"""TRUST Nav"",""HSPMTB2016"",""17"",""1"",""3455"""</f>
        <v>"TRUST Nav","HSPMTB2016","17","1","3455"</v>
      </c>
      <c r="D28" s="52" t="str">
        <f t="shared" si="1"/>
        <v>Customer</v>
      </c>
      <c r="I28" s="52" t="str">
        <f t="shared" si="2"/>
        <v>KK-04599|42248</v>
      </c>
      <c r="J28" s="82">
        <v>42368</v>
      </c>
      <c r="K28" s="52" t="str">
        <f t="shared" si="3"/>
        <v>Customer</v>
      </c>
      <c r="L28" s="52" t="str">
        <f t="shared" si="8"/>
        <v>KK-04599</v>
      </c>
      <c r="M28" s="52" t="s">
        <v>20984</v>
      </c>
      <c r="N28" s="2">
        <v>50000.000000000007</v>
      </c>
      <c r="O28" s="82">
        <v>42248</v>
      </c>
      <c r="P28" s="52" t="str">
        <f t="shared" si="9"/>
        <v>DS - Bernardus Yogie Dirga Gunawan</v>
      </c>
      <c r="Q28" s="52" t="str">
        <f t="shared" si="0"/>
        <v>KPS-10-10</v>
      </c>
    </row>
    <row r="29" spans="1:17" x14ac:dyDescent="0.35">
      <c r="A29" s="52" t="s">
        <v>6063</v>
      </c>
      <c r="C29" s="52" t="str">
        <f>"""TRUST Nav"",""HSPMTB2016"",""17"",""1"",""3456"""</f>
        <v>"TRUST Nav","HSPMTB2016","17","1","3456"</v>
      </c>
      <c r="D29" s="52" t="str">
        <f t="shared" si="1"/>
        <v>Customer</v>
      </c>
      <c r="I29" s="52" t="str">
        <f t="shared" si="2"/>
        <v>KK-04599|42278</v>
      </c>
      <c r="J29" s="82">
        <v>42368</v>
      </c>
      <c r="K29" s="52" t="str">
        <f t="shared" si="3"/>
        <v>Customer</v>
      </c>
      <c r="L29" s="52" t="str">
        <f t="shared" si="8"/>
        <v>KK-04599</v>
      </c>
      <c r="M29" s="52" t="s">
        <v>20984</v>
      </c>
      <c r="N29" s="2">
        <v>50000.000000000007</v>
      </c>
      <c r="O29" s="82">
        <v>42278</v>
      </c>
      <c r="P29" s="52" t="str">
        <f t="shared" si="9"/>
        <v>DS - Bernardus Yogie Dirga Gunawan</v>
      </c>
      <c r="Q29" s="52" t="str">
        <f t="shared" si="0"/>
        <v>KPS-10-10</v>
      </c>
    </row>
    <row r="30" spans="1:17" x14ac:dyDescent="0.35">
      <c r="A30" s="52" t="s">
        <v>6063</v>
      </c>
      <c r="C30" s="52" t="str">
        <f>"""TRUST Nav"",""HSPMTB2016"",""17"",""1"",""3457"""</f>
        <v>"TRUST Nav","HSPMTB2016","17","1","3457"</v>
      </c>
      <c r="D30" s="52" t="str">
        <f t="shared" si="1"/>
        <v>Customer</v>
      </c>
      <c r="I30" s="52" t="str">
        <f t="shared" si="2"/>
        <v>KK-04599|42309</v>
      </c>
      <c r="J30" s="82">
        <v>42368</v>
      </c>
      <c r="K30" s="52" t="str">
        <f t="shared" si="3"/>
        <v>Customer</v>
      </c>
      <c r="L30" s="52" t="str">
        <f t="shared" si="8"/>
        <v>KK-04599</v>
      </c>
      <c r="M30" s="52" t="s">
        <v>20984</v>
      </c>
      <c r="N30" s="2">
        <v>50000.000000000007</v>
      </c>
      <c r="O30" s="82">
        <v>42309</v>
      </c>
      <c r="P30" s="52" t="str">
        <f t="shared" si="9"/>
        <v>DS - Bernardus Yogie Dirga Gunawan</v>
      </c>
      <c r="Q30" s="52" t="str">
        <f t="shared" si="0"/>
        <v>KPS-10-10</v>
      </c>
    </row>
    <row r="31" spans="1:17" x14ac:dyDescent="0.35">
      <c r="A31" s="52" t="s">
        <v>6063</v>
      </c>
      <c r="C31" s="52" t="str">
        <f>"""TRUST Nav"",""HSPMTB2016"",""17"",""1"",""3458"""</f>
        <v>"TRUST Nav","HSPMTB2016","17","1","3458"</v>
      </c>
      <c r="D31" s="52" t="str">
        <f t="shared" si="1"/>
        <v>Customer</v>
      </c>
      <c r="I31" s="52" t="str">
        <f t="shared" si="2"/>
        <v>KK-04599|42339</v>
      </c>
      <c r="J31" s="82">
        <v>42368</v>
      </c>
      <c r="K31" s="52" t="str">
        <f t="shared" si="3"/>
        <v>Customer</v>
      </c>
      <c r="L31" s="52" t="str">
        <f t="shared" si="8"/>
        <v>KK-04599</v>
      </c>
      <c r="M31" s="52" t="s">
        <v>20984</v>
      </c>
      <c r="N31" s="2">
        <v>50000.000000000007</v>
      </c>
      <c r="O31" s="82">
        <v>42339</v>
      </c>
      <c r="P31" s="52" t="str">
        <f t="shared" si="9"/>
        <v>DS - Bernardus Yogie Dirga Gunawan</v>
      </c>
      <c r="Q31" s="52" t="str">
        <f t="shared" si="0"/>
        <v>KPS-10-10</v>
      </c>
    </row>
    <row r="32" spans="1:17" x14ac:dyDescent="0.35">
      <c r="A32" s="52" t="s">
        <v>6063</v>
      </c>
      <c r="C32" s="52" t="str">
        <f>"""TRUST Nav"",""HSPMTB2016"",""17"",""1"",""3459"""</f>
        <v>"TRUST Nav","HSPMTB2016","17","1","3459"</v>
      </c>
      <c r="D32" s="52" t="str">
        <f t="shared" si="1"/>
        <v>Customer</v>
      </c>
      <c r="I32" s="52" t="str">
        <f t="shared" si="2"/>
        <v>KK-04600|42186</v>
      </c>
      <c r="J32" s="82">
        <v>42368</v>
      </c>
      <c r="K32" s="52" t="str">
        <f t="shared" si="3"/>
        <v>Customer</v>
      </c>
      <c r="L32" s="52" t="str">
        <f t="shared" ref="L32:L37" si="10">"KK-04600"</f>
        <v>KK-04600</v>
      </c>
      <c r="M32" s="52" t="s">
        <v>83</v>
      </c>
      <c r="N32" s="2">
        <v>15000</v>
      </c>
      <c r="O32" s="82">
        <v>42186</v>
      </c>
      <c r="P32" s="52" t="str">
        <f t="shared" ref="P32:P37" si="11">"DS - Bing Subroto"</f>
        <v>DS - Bing Subroto</v>
      </c>
      <c r="Q32" s="52" t="str">
        <f t="shared" si="0"/>
        <v>KPS-10-10</v>
      </c>
    </row>
    <row r="33" spans="1:17" x14ac:dyDescent="0.35">
      <c r="A33" s="52" t="s">
        <v>6063</v>
      </c>
      <c r="C33" s="52" t="str">
        <f>"""TRUST Nav"",""HSPMTB2016"",""17"",""1"",""3460"""</f>
        <v>"TRUST Nav","HSPMTB2016","17","1","3460"</v>
      </c>
      <c r="D33" s="52" t="str">
        <f t="shared" si="1"/>
        <v>Customer</v>
      </c>
      <c r="I33" s="52" t="str">
        <f t="shared" si="2"/>
        <v>KK-04600|42217</v>
      </c>
      <c r="J33" s="82">
        <v>42368</v>
      </c>
      <c r="K33" s="52" t="str">
        <f t="shared" si="3"/>
        <v>Customer</v>
      </c>
      <c r="L33" s="52" t="str">
        <f t="shared" si="10"/>
        <v>KK-04600</v>
      </c>
      <c r="M33" s="52" t="s">
        <v>83</v>
      </c>
      <c r="N33" s="2">
        <v>15000</v>
      </c>
      <c r="O33" s="82">
        <v>42217</v>
      </c>
      <c r="P33" s="52" t="str">
        <f t="shared" si="11"/>
        <v>DS - Bing Subroto</v>
      </c>
      <c r="Q33" s="52" t="str">
        <f t="shared" si="0"/>
        <v>KPS-10-10</v>
      </c>
    </row>
    <row r="34" spans="1:17" x14ac:dyDescent="0.35">
      <c r="A34" s="52" t="s">
        <v>6063</v>
      </c>
      <c r="C34" s="52" t="str">
        <f>"""TRUST Nav"",""HSPMTB2016"",""17"",""1"",""3461"""</f>
        <v>"TRUST Nav","HSPMTB2016","17","1","3461"</v>
      </c>
      <c r="D34" s="52" t="str">
        <f t="shared" si="1"/>
        <v>Customer</v>
      </c>
      <c r="I34" s="52" t="str">
        <f t="shared" si="2"/>
        <v>KK-04600|42248</v>
      </c>
      <c r="J34" s="82">
        <v>42368</v>
      </c>
      <c r="K34" s="52" t="str">
        <f t="shared" si="3"/>
        <v>Customer</v>
      </c>
      <c r="L34" s="52" t="str">
        <f t="shared" si="10"/>
        <v>KK-04600</v>
      </c>
      <c r="M34" s="52" t="s">
        <v>83</v>
      </c>
      <c r="N34" s="2">
        <v>15000</v>
      </c>
      <c r="O34" s="82">
        <v>42248</v>
      </c>
      <c r="P34" s="52" t="str">
        <f t="shared" si="11"/>
        <v>DS - Bing Subroto</v>
      </c>
      <c r="Q34" s="52" t="str">
        <f t="shared" si="0"/>
        <v>KPS-10-10</v>
      </c>
    </row>
    <row r="35" spans="1:17" x14ac:dyDescent="0.35">
      <c r="A35" s="52" t="s">
        <v>6063</v>
      </c>
      <c r="C35" s="52" t="str">
        <f>"""TRUST Nav"",""HSPMTB2016"",""17"",""1"",""3462"""</f>
        <v>"TRUST Nav","HSPMTB2016","17","1","3462"</v>
      </c>
      <c r="D35" s="52" t="str">
        <f t="shared" si="1"/>
        <v>Customer</v>
      </c>
      <c r="I35" s="52" t="str">
        <f t="shared" si="2"/>
        <v>KK-04600|42278</v>
      </c>
      <c r="J35" s="82">
        <v>42368</v>
      </c>
      <c r="K35" s="52" t="str">
        <f t="shared" si="3"/>
        <v>Customer</v>
      </c>
      <c r="L35" s="52" t="str">
        <f t="shared" si="10"/>
        <v>KK-04600</v>
      </c>
      <c r="M35" s="52" t="s">
        <v>83</v>
      </c>
      <c r="N35" s="2">
        <v>15000</v>
      </c>
      <c r="O35" s="82">
        <v>42278</v>
      </c>
      <c r="P35" s="52" t="str">
        <f t="shared" si="11"/>
        <v>DS - Bing Subroto</v>
      </c>
      <c r="Q35" s="52" t="str">
        <f t="shared" si="0"/>
        <v>KPS-10-10</v>
      </c>
    </row>
    <row r="36" spans="1:17" x14ac:dyDescent="0.35">
      <c r="A36" s="52" t="s">
        <v>6063</v>
      </c>
      <c r="C36" s="52" t="str">
        <f>"""TRUST Nav"",""HSPMTB2016"",""17"",""1"",""3463"""</f>
        <v>"TRUST Nav","HSPMTB2016","17","1","3463"</v>
      </c>
      <c r="D36" s="52" t="str">
        <f t="shared" si="1"/>
        <v>Customer</v>
      </c>
      <c r="I36" s="52" t="str">
        <f t="shared" si="2"/>
        <v>KK-04600|42309</v>
      </c>
      <c r="J36" s="82">
        <v>42368</v>
      </c>
      <c r="K36" s="52" t="str">
        <f t="shared" si="3"/>
        <v>Customer</v>
      </c>
      <c r="L36" s="52" t="str">
        <f t="shared" si="10"/>
        <v>KK-04600</v>
      </c>
      <c r="M36" s="52" t="s">
        <v>83</v>
      </c>
      <c r="N36" s="2">
        <v>15000</v>
      </c>
      <c r="O36" s="82">
        <v>42309</v>
      </c>
      <c r="P36" s="52" t="str">
        <f t="shared" si="11"/>
        <v>DS - Bing Subroto</v>
      </c>
      <c r="Q36" s="52" t="str">
        <f t="shared" si="0"/>
        <v>KPS-10-10</v>
      </c>
    </row>
    <row r="37" spans="1:17" x14ac:dyDescent="0.35">
      <c r="A37" s="52" t="s">
        <v>6063</v>
      </c>
      <c r="C37" s="52" t="str">
        <f>"""TRUST Nav"",""HSPMTB2016"",""17"",""1"",""3464"""</f>
        <v>"TRUST Nav","HSPMTB2016","17","1","3464"</v>
      </c>
      <c r="D37" s="52" t="str">
        <f t="shared" si="1"/>
        <v>Customer</v>
      </c>
      <c r="I37" s="52" t="str">
        <f t="shared" si="2"/>
        <v>KK-04600|42339</v>
      </c>
      <c r="J37" s="82">
        <v>42368</v>
      </c>
      <c r="K37" s="52" t="str">
        <f t="shared" si="3"/>
        <v>Customer</v>
      </c>
      <c r="L37" s="52" t="str">
        <f t="shared" si="10"/>
        <v>KK-04600</v>
      </c>
      <c r="M37" s="52" t="s">
        <v>83</v>
      </c>
      <c r="N37" s="2">
        <v>15000</v>
      </c>
      <c r="O37" s="82">
        <v>42339</v>
      </c>
      <c r="P37" s="52" t="str">
        <f t="shared" si="11"/>
        <v>DS - Bing Subroto</v>
      </c>
      <c r="Q37" s="52" t="str">
        <f t="shared" si="0"/>
        <v>KPS-10-10</v>
      </c>
    </row>
    <row r="38" spans="1:17" x14ac:dyDescent="0.35">
      <c r="A38" s="52" t="s">
        <v>6063</v>
      </c>
      <c r="C38" s="52" t="str">
        <f>"""TRUST Nav"",""HSPMTB2016"",""17"",""1"",""3465"""</f>
        <v>"TRUST Nav","HSPMTB2016","17","1","3465"</v>
      </c>
      <c r="D38" s="52" t="str">
        <f t="shared" si="1"/>
        <v>Customer</v>
      </c>
      <c r="I38" s="52" t="str">
        <f t="shared" si="2"/>
        <v>KK-04601|42186</v>
      </c>
      <c r="J38" s="82">
        <v>42368</v>
      </c>
      <c r="K38" s="52" t="str">
        <f t="shared" si="3"/>
        <v>Customer</v>
      </c>
      <c r="L38" s="52" t="str">
        <f t="shared" ref="L38:L43" si="12">"KK-04601"</f>
        <v>KK-04601</v>
      </c>
      <c r="M38" s="52" t="s">
        <v>20985</v>
      </c>
      <c r="N38" s="2">
        <v>20000</v>
      </c>
      <c r="O38" s="82">
        <v>42186</v>
      </c>
      <c r="P38" s="52" t="str">
        <f t="shared" ref="P38:P43" si="13">"DS - Boen Yoen Tet (Teddy)"</f>
        <v>DS - Boen Yoen Tet (Teddy)</v>
      </c>
      <c r="Q38" s="52" t="str">
        <f t="shared" si="0"/>
        <v>KPS-10-10</v>
      </c>
    </row>
    <row r="39" spans="1:17" x14ac:dyDescent="0.35">
      <c r="A39" s="52" t="s">
        <v>6063</v>
      </c>
      <c r="C39" s="52" t="str">
        <f>"""TRUST Nav"",""HSPMTB2016"",""17"",""1"",""3466"""</f>
        <v>"TRUST Nav","HSPMTB2016","17","1","3466"</v>
      </c>
      <c r="D39" s="52" t="str">
        <f t="shared" si="1"/>
        <v>Customer</v>
      </c>
      <c r="I39" s="52" t="str">
        <f t="shared" si="2"/>
        <v>KK-04601|42217</v>
      </c>
      <c r="J39" s="82">
        <v>42368</v>
      </c>
      <c r="K39" s="52" t="str">
        <f t="shared" si="3"/>
        <v>Customer</v>
      </c>
      <c r="L39" s="52" t="str">
        <f t="shared" si="12"/>
        <v>KK-04601</v>
      </c>
      <c r="M39" s="52" t="s">
        <v>20985</v>
      </c>
      <c r="N39" s="2">
        <v>20000</v>
      </c>
      <c r="O39" s="82">
        <v>42217</v>
      </c>
      <c r="P39" s="52" t="str">
        <f t="shared" si="13"/>
        <v>DS - Boen Yoen Tet (Teddy)</v>
      </c>
      <c r="Q39" s="52" t="str">
        <f t="shared" si="0"/>
        <v>KPS-10-10</v>
      </c>
    </row>
    <row r="40" spans="1:17" x14ac:dyDescent="0.35">
      <c r="A40" s="52" t="s">
        <v>6063</v>
      </c>
      <c r="C40" s="52" t="str">
        <f>"""TRUST Nav"",""HSPMTB2016"",""17"",""1"",""3467"""</f>
        <v>"TRUST Nav","HSPMTB2016","17","1","3467"</v>
      </c>
      <c r="D40" s="52" t="str">
        <f t="shared" si="1"/>
        <v>Customer</v>
      </c>
      <c r="I40" s="52" t="str">
        <f t="shared" si="2"/>
        <v>KK-04601|42248</v>
      </c>
      <c r="J40" s="82">
        <v>42368</v>
      </c>
      <c r="K40" s="52" t="str">
        <f t="shared" si="3"/>
        <v>Customer</v>
      </c>
      <c r="L40" s="52" t="str">
        <f t="shared" si="12"/>
        <v>KK-04601</v>
      </c>
      <c r="M40" s="52" t="s">
        <v>20985</v>
      </c>
      <c r="N40" s="2">
        <v>20000</v>
      </c>
      <c r="O40" s="82">
        <v>42248</v>
      </c>
      <c r="P40" s="52" t="str">
        <f t="shared" si="13"/>
        <v>DS - Boen Yoen Tet (Teddy)</v>
      </c>
      <c r="Q40" s="52" t="str">
        <f t="shared" si="0"/>
        <v>KPS-10-10</v>
      </c>
    </row>
    <row r="41" spans="1:17" x14ac:dyDescent="0.35">
      <c r="A41" s="52" t="s">
        <v>6063</v>
      </c>
      <c r="C41" s="52" t="str">
        <f>"""TRUST Nav"",""HSPMTB2016"",""17"",""1"",""3468"""</f>
        <v>"TRUST Nav","HSPMTB2016","17","1","3468"</v>
      </c>
      <c r="D41" s="52" t="str">
        <f t="shared" si="1"/>
        <v>Customer</v>
      </c>
      <c r="I41" s="52" t="str">
        <f t="shared" si="2"/>
        <v>KK-04601|42278</v>
      </c>
      <c r="J41" s="82">
        <v>42368</v>
      </c>
      <c r="K41" s="52" t="str">
        <f t="shared" si="3"/>
        <v>Customer</v>
      </c>
      <c r="L41" s="52" t="str">
        <f t="shared" si="12"/>
        <v>KK-04601</v>
      </c>
      <c r="M41" s="52" t="s">
        <v>20985</v>
      </c>
      <c r="N41" s="2">
        <v>20000</v>
      </c>
      <c r="O41" s="82">
        <v>42278</v>
      </c>
      <c r="P41" s="52" t="str">
        <f t="shared" si="13"/>
        <v>DS - Boen Yoen Tet (Teddy)</v>
      </c>
      <c r="Q41" s="52" t="str">
        <f t="shared" si="0"/>
        <v>KPS-10-10</v>
      </c>
    </row>
    <row r="42" spans="1:17" x14ac:dyDescent="0.35">
      <c r="A42" s="52" t="s">
        <v>6063</v>
      </c>
      <c r="C42" s="52" t="str">
        <f>"""TRUST Nav"",""HSPMTB2016"",""17"",""1"",""3469"""</f>
        <v>"TRUST Nav","HSPMTB2016","17","1","3469"</v>
      </c>
      <c r="D42" s="52" t="str">
        <f t="shared" si="1"/>
        <v>Customer</v>
      </c>
      <c r="I42" s="52" t="str">
        <f t="shared" si="2"/>
        <v>KK-04601|42309</v>
      </c>
      <c r="J42" s="82">
        <v>42368</v>
      </c>
      <c r="K42" s="52" t="str">
        <f t="shared" si="3"/>
        <v>Customer</v>
      </c>
      <c r="L42" s="52" t="str">
        <f t="shared" si="12"/>
        <v>KK-04601</v>
      </c>
      <c r="M42" s="52" t="s">
        <v>20985</v>
      </c>
      <c r="N42" s="2">
        <v>20000</v>
      </c>
      <c r="O42" s="82">
        <v>42309</v>
      </c>
      <c r="P42" s="52" t="str">
        <f t="shared" si="13"/>
        <v>DS - Boen Yoen Tet (Teddy)</v>
      </c>
      <c r="Q42" s="52" t="str">
        <f t="shared" si="0"/>
        <v>KPS-10-10</v>
      </c>
    </row>
    <row r="43" spans="1:17" x14ac:dyDescent="0.35">
      <c r="A43" s="52" t="s">
        <v>6063</v>
      </c>
      <c r="C43" s="52" t="str">
        <f>"""TRUST Nav"",""HSPMTB2016"",""17"",""1"",""3470"""</f>
        <v>"TRUST Nav","HSPMTB2016","17","1","3470"</v>
      </c>
      <c r="D43" s="52" t="str">
        <f t="shared" si="1"/>
        <v>Customer</v>
      </c>
      <c r="I43" s="52" t="str">
        <f t="shared" si="2"/>
        <v>KK-04601|42339</v>
      </c>
      <c r="J43" s="82">
        <v>42368</v>
      </c>
      <c r="K43" s="52" t="str">
        <f t="shared" si="3"/>
        <v>Customer</v>
      </c>
      <c r="L43" s="52" t="str">
        <f t="shared" si="12"/>
        <v>KK-04601</v>
      </c>
      <c r="M43" s="52" t="s">
        <v>20985</v>
      </c>
      <c r="N43" s="2">
        <v>20000</v>
      </c>
      <c r="O43" s="82">
        <v>42339</v>
      </c>
      <c r="P43" s="52" t="str">
        <f t="shared" si="13"/>
        <v>DS - Boen Yoen Tet (Teddy)</v>
      </c>
      <c r="Q43" s="52" t="str">
        <f t="shared" si="0"/>
        <v>KPS-10-10</v>
      </c>
    </row>
    <row r="44" spans="1:17" x14ac:dyDescent="0.35">
      <c r="A44" s="52" t="s">
        <v>6063</v>
      </c>
      <c r="C44" s="52" t="str">
        <f>"""TRUST Nav"",""HSPMTB2016"",""17"",""1"",""3471"""</f>
        <v>"TRUST Nav","HSPMTB2016","17","1","3471"</v>
      </c>
      <c r="D44" s="52" t="str">
        <f t="shared" si="1"/>
        <v>Customer</v>
      </c>
      <c r="I44" s="52" t="str">
        <f t="shared" si="2"/>
        <v>KK-04602|42186</v>
      </c>
      <c r="J44" s="82">
        <v>42368</v>
      </c>
      <c r="K44" s="52" t="str">
        <f t="shared" si="3"/>
        <v>Customer</v>
      </c>
      <c r="L44" s="52" t="str">
        <f t="shared" ref="L44:L49" si="14">"KK-04602"</f>
        <v>KK-04602</v>
      </c>
      <c r="M44" s="52" t="s">
        <v>20986</v>
      </c>
      <c r="N44" s="2">
        <v>10000</v>
      </c>
      <c r="O44" s="82">
        <v>42186</v>
      </c>
      <c r="P44" s="52" t="str">
        <f t="shared" ref="P44:P49" si="15">"DS - Budiarto"</f>
        <v>DS - Budiarto</v>
      </c>
      <c r="Q44" s="52" t="str">
        <f t="shared" si="0"/>
        <v>KPS-10-10</v>
      </c>
    </row>
    <row r="45" spans="1:17" x14ac:dyDescent="0.35">
      <c r="A45" s="52" t="s">
        <v>6063</v>
      </c>
      <c r="C45" s="52" t="str">
        <f>"""TRUST Nav"",""HSPMTB2016"",""17"",""1"",""3472"""</f>
        <v>"TRUST Nav","HSPMTB2016","17","1","3472"</v>
      </c>
      <c r="D45" s="52" t="str">
        <f t="shared" si="1"/>
        <v>Customer</v>
      </c>
      <c r="I45" s="52" t="str">
        <f t="shared" si="2"/>
        <v>KK-04602|42217</v>
      </c>
      <c r="J45" s="82">
        <v>42368</v>
      </c>
      <c r="K45" s="52" t="str">
        <f t="shared" si="3"/>
        <v>Customer</v>
      </c>
      <c r="L45" s="52" t="str">
        <f t="shared" si="14"/>
        <v>KK-04602</v>
      </c>
      <c r="M45" s="52" t="s">
        <v>20986</v>
      </c>
      <c r="N45" s="2">
        <v>6000</v>
      </c>
      <c r="O45" s="82">
        <v>42217</v>
      </c>
      <c r="P45" s="52" t="str">
        <f t="shared" si="15"/>
        <v>DS - Budiarto</v>
      </c>
      <c r="Q45" s="52" t="str">
        <f t="shared" si="0"/>
        <v>KPS-10-10</v>
      </c>
    </row>
    <row r="46" spans="1:17" x14ac:dyDescent="0.35">
      <c r="A46" s="52" t="s">
        <v>6063</v>
      </c>
      <c r="C46" s="52" t="str">
        <f>"""TRUST Nav"",""HSPMTB2016"",""17"",""1"",""3473"""</f>
        <v>"TRUST Nav","HSPMTB2016","17","1","3473"</v>
      </c>
      <c r="D46" s="52" t="str">
        <f t="shared" ref="D46:D77" si="16">"Customer"</f>
        <v>Customer</v>
      </c>
      <c r="I46" s="52" t="str">
        <f t="shared" si="2"/>
        <v>KK-04602|42248</v>
      </c>
      <c r="J46" s="82">
        <v>42368</v>
      </c>
      <c r="K46" s="52" t="str">
        <f t="shared" si="3"/>
        <v>Customer</v>
      </c>
      <c r="L46" s="52" t="str">
        <f t="shared" si="14"/>
        <v>KK-04602</v>
      </c>
      <c r="M46" s="52" t="s">
        <v>20986</v>
      </c>
      <c r="N46" s="2">
        <v>6000</v>
      </c>
      <c r="O46" s="82">
        <v>42248</v>
      </c>
      <c r="P46" s="52" t="str">
        <f t="shared" si="15"/>
        <v>DS - Budiarto</v>
      </c>
      <c r="Q46" s="52" t="str">
        <f t="shared" si="0"/>
        <v>KPS-10-10</v>
      </c>
    </row>
    <row r="47" spans="1:17" x14ac:dyDescent="0.35">
      <c r="A47" s="52" t="s">
        <v>6063</v>
      </c>
      <c r="C47" s="52" t="str">
        <f>"""TRUST Nav"",""HSPMTB2016"",""17"",""1"",""3474"""</f>
        <v>"TRUST Nav","HSPMTB2016","17","1","3474"</v>
      </c>
      <c r="D47" s="52" t="str">
        <f t="shared" si="16"/>
        <v>Customer</v>
      </c>
      <c r="I47" s="52" t="str">
        <f t="shared" si="2"/>
        <v>KK-04602|42278</v>
      </c>
      <c r="J47" s="82">
        <v>42368</v>
      </c>
      <c r="K47" s="52" t="str">
        <f t="shared" si="3"/>
        <v>Customer</v>
      </c>
      <c r="L47" s="52" t="str">
        <f t="shared" si="14"/>
        <v>KK-04602</v>
      </c>
      <c r="M47" s="52" t="s">
        <v>20986</v>
      </c>
      <c r="N47" s="2">
        <v>6000</v>
      </c>
      <c r="O47" s="82">
        <v>42278</v>
      </c>
      <c r="P47" s="52" t="str">
        <f t="shared" si="15"/>
        <v>DS - Budiarto</v>
      </c>
      <c r="Q47" s="52" t="str">
        <f t="shared" si="0"/>
        <v>KPS-10-10</v>
      </c>
    </row>
    <row r="48" spans="1:17" x14ac:dyDescent="0.35">
      <c r="A48" s="52" t="s">
        <v>6063</v>
      </c>
      <c r="C48" s="52" t="str">
        <f>"""TRUST Nav"",""HSPMTB2016"",""17"",""1"",""3475"""</f>
        <v>"TRUST Nav","HSPMTB2016","17","1","3475"</v>
      </c>
      <c r="D48" s="52" t="str">
        <f t="shared" si="16"/>
        <v>Customer</v>
      </c>
      <c r="I48" s="52" t="str">
        <f t="shared" si="2"/>
        <v>KK-04602|42309</v>
      </c>
      <c r="J48" s="82">
        <v>42368</v>
      </c>
      <c r="K48" s="52" t="str">
        <f t="shared" si="3"/>
        <v>Customer</v>
      </c>
      <c r="L48" s="52" t="str">
        <f t="shared" si="14"/>
        <v>KK-04602</v>
      </c>
      <c r="M48" s="52" t="s">
        <v>20986</v>
      </c>
      <c r="N48" s="2">
        <v>6000</v>
      </c>
      <c r="O48" s="82">
        <v>42309</v>
      </c>
      <c r="P48" s="52" t="str">
        <f t="shared" si="15"/>
        <v>DS - Budiarto</v>
      </c>
      <c r="Q48" s="52" t="str">
        <f t="shared" si="0"/>
        <v>KPS-10-10</v>
      </c>
    </row>
    <row r="49" spans="1:17" x14ac:dyDescent="0.35">
      <c r="A49" s="52" t="s">
        <v>6063</v>
      </c>
      <c r="C49" s="52" t="str">
        <f>"""TRUST Nav"",""HSPMTB2016"",""17"",""1"",""3476"""</f>
        <v>"TRUST Nav","HSPMTB2016","17","1","3476"</v>
      </c>
      <c r="D49" s="52" t="str">
        <f t="shared" si="16"/>
        <v>Customer</v>
      </c>
      <c r="I49" s="52" t="str">
        <f t="shared" si="2"/>
        <v>KK-04602|42339</v>
      </c>
      <c r="J49" s="82">
        <v>42368</v>
      </c>
      <c r="K49" s="52" t="str">
        <f t="shared" si="3"/>
        <v>Customer</v>
      </c>
      <c r="L49" s="52" t="str">
        <f t="shared" si="14"/>
        <v>KK-04602</v>
      </c>
      <c r="M49" s="52" t="s">
        <v>20986</v>
      </c>
      <c r="N49" s="2">
        <v>6000</v>
      </c>
      <c r="O49" s="82">
        <v>42339</v>
      </c>
      <c r="P49" s="52" t="str">
        <f t="shared" si="15"/>
        <v>DS - Budiarto</v>
      </c>
      <c r="Q49" s="52" t="str">
        <f t="shared" si="0"/>
        <v>KPS-10-10</v>
      </c>
    </row>
    <row r="50" spans="1:17" x14ac:dyDescent="0.35">
      <c r="A50" s="52" t="s">
        <v>6063</v>
      </c>
      <c r="C50" s="52" t="str">
        <f>"""TRUST Nav"",""HSPMTB2016"",""17"",""1"",""3477"""</f>
        <v>"TRUST Nav","HSPMTB2016","17","1","3477"</v>
      </c>
      <c r="D50" s="52" t="str">
        <f t="shared" si="16"/>
        <v>Customer</v>
      </c>
      <c r="I50" s="52" t="str">
        <f t="shared" si="2"/>
        <v>KK-04605|42186</v>
      </c>
      <c r="J50" s="82">
        <v>42368</v>
      </c>
      <c r="K50" s="52" t="str">
        <f t="shared" si="3"/>
        <v>Customer</v>
      </c>
      <c r="L50" s="52" t="str">
        <f t="shared" ref="L50:L55" si="17">"KK-04605"</f>
        <v>KK-04605</v>
      </c>
      <c r="M50" s="52" t="s">
        <v>20987</v>
      </c>
      <c r="N50" s="2">
        <v>50000.000000000007</v>
      </c>
      <c r="O50" s="82">
        <v>42186</v>
      </c>
      <c r="P50" s="52" t="str">
        <f t="shared" ref="P50:P55" si="18">"DS - Handoyo Krismanto"</f>
        <v>DS - Handoyo Krismanto</v>
      </c>
      <c r="Q50" s="52" t="str">
        <f t="shared" si="0"/>
        <v>KPS-10-10</v>
      </c>
    </row>
    <row r="51" spans="1:17" x14ac:dyDescent="0.35">
      <c r="A51" s="52" t="s">
        <v>6063</v>
      </c>
      <c r="C51" s="52" t="str">
        <f>"""TRUST Nav"",""HSPMTB2016"",""17"",""1"",""3478"""</f>
        <v>"TRUST Nav","HSPMTB2016","17","1","3478"</v>
      </c>
      <c r="D51" s="52" t="str">
        <f t="shared" si="16"/>
        <v>Customer</v>
      </c>
      <c r="I51" s="52" t="str">
        <f t="shared" si="2"/>
        <v>KK-04605|42217</v>
      </c>
      <c r="J51" s="82">
        <v>42368</v>
      </c>
      <c r="K51" s="52" t="str">
        <f t="shared" si="3"/>
        <v>Customer</v>
      </c>
      <c r="L51" s="52" t="str">
        <f t="shared" si="17"/>
        <v>KK-04605</v>
      </c>
      <c r="M51" s="52" t="s">
        <v>20987</v>
      </c>
      <c r="N51" s="2">
        <v>50000.000000000007</v>
      </c>
      <c r="O51" s="82">
        <v>42217</v>
      </c>
      <c r="P51" s="52" t="str">
        <f t="shared" si="18"/>
        <v>DS - Handoyo Krismanto</v>
      </c>
      <c r="Q51" s="52" t="str">
        <f t="shared" si="0"/>
        <v>KPS-10-10</v>
      </c>
    </row>
    <row r="52" spans="1:17" x14ac:dyDescent="0.35">
      <c r="A52" s="52" t="s">
        <v>6063</v>
      </c>
      <c r="C52" s="52" t="str">
        <f>"""TRUST Nav"",""HSPMTB2016"",""17"",""1"",""3479"""</f>
        <v>"TRUST Nav","HSPMTB2016","17","1","3479"</v>
      </c>
      <c r="D52" s="52" t="str">
        <f t="shared" si="16"/>
        <v>Customer</v>
      </c>
      <c r="I52" s="52" t="str">
        <f t="shared" si="2"/>
        <v>KK-04605|42248</v>
      </c>
      <c r="J52" s="82">
        <v>42368</v>
      </c>
      <c r="K52" s="52" t="str">
        <f t="shared" si="3"/>
        <v>Customer</v>
      </c>
      <c r="L52" s="52" t="str">
        <f t="shared" si="17"/>
        <v>KK-04605</v>
      </c>
      <c r="M52" s="52" t="s">
        <v>20987</v>
      </c>
      <c r="N52" s="2">
        <v>50000.000000000007</v>
      </c>
      <c r="O52" s="82">
        <v>42248</v>
      </c>
      <c r="P52" s="52" t="str">
        <f t="shared" si="18"/>
        <v>DS - Handoyo Krismanto</v>
      </c>
      <c r="Q52" s="52" t="str">
        <f t="shared" si="0"/>
        <v>KPS-10-10</v>
      </c>
    </row>
    <row r="53" spans="1:17" x14ac:dyDescent="0.35">
      <c r="A53" s="52" t="s">
        <v>6063</v>
      </c>
      <c r="C53" s="52" t="str">
        <f>"""TRUST Nav"",""HSPMTB2016"",""17"",""1"",""3480"""</f>
        <v>"TRUST Nav","HSPMTB2016","17","1","3480"</v>
      </c>
      <c r="D53" s="52" t="str">
        <f t="shared" si="16"/>
        <v>Customer</v>
      </c>
      <c r="I53" s="52" t="str">
        <f t="shared" si="2"/>
        <v>KK-04605|42278</v>
      </c>
      <c r="J53" s="82">
        <v>42368</v>
      </c>
      <c r="K53" s="52" t="str">
        <f t="shared" si="3"/>
        <v>Customer</v>
      </c>
      <c r="L53" s="52" t="str">
        <f t="shared" si="17"/>
        <v>KK-04605</v>
      </c>
      <c r="M53" s="52" t="s">
        <v>20987</v>
      </c>
      <c r="N53" s="2">
        <v>50000.000000000007</v>
      </c>
      <c r="O53" s="82">
        <v>42278</v>
      </c>
      <c r="P53" s="52" t="str">
        <f t="shared" si="18"/>
        <v>DS - Handoyo Krismanto</v>
      </c>
      <c r="Q53" s="52" t="str">
        <f t="shared" si="0"/>
        <v>KPS-10-10</v>
      </c>
    </row>
    <row r="54" spans="1:17" x14ac:dyDescent="0.35">
      <c r="A54" s="52" t="s">
        <v>6063</v>
      </c>
      <c r="C54" s="52" t="str">
        <f>"""TRUST Nav"",""HSPMTB2016"",""17"",""1"",""3481"""</f>
        <v>"TRUST Nav","HSPMTB2016","17","1","3481"</v>
      </c>
      <c r="D54" s="52" t="str">
        <f t="shared" si="16"/>
        <v>Customer</v>
      </c>
      <c r="I54" s="52" t="str">
        <f t="shared" si="2"/>
        <v>KK-04605|42309</v>
      </c>
      <c r="J54" s="82">
        <v>42368</v>
      </c>
      <c r="K54" s="52" t="str">
        <f t="shared" si="3"/>
        <v>Customer</v>
      </c>
      <c r="L54" s="52" t="str">
        <f t="shared" si="17"/>
        <v>KK-04605</v>
      </c>
      <c r="M54" s="52" t="s">
        <v>20987</v>
      </c>
      <c r="N54" s="2">
        <v>50000.000000000007</v>
      </c>
      <c r="O54" s="82">
        <v>42309</v>
      </c>
      <c r="P54" s="52" t="str">
        <f t="shared" si="18"/>
        <v>DS - Handoyo Krismanto</v>
      </c>
      <c r="Q54" s="52" t="str">
        <f t="shared" si="0"/>
        <v>KPS-10-10</v>
      </c>
    </row>
    <row r="55" spans="1:17" x14ac:dyDescent="0.35">
      <c r="A55" s="52" t="s">
        <v>6063</v>
      </c>
      <c r="C55" s="52" t="str">
        <f>"""TRUST Nav"",""HSPMTB2016"",""17"",""1"",""3482"""</f>
        <v>"TRUST Nav","HSPMTB2016","17","1","3482"</v>
      </c>
      <c r="D55" s="52" t="str">
        <f t="shared" si="16"/>
        <v>Customer</v>
      </c>
      <c r="I55" s="52" t="str">
        <f t="shared" si="2"/>
        <v>KK-04605|42339</v>
      </c>
      <c r="J55" s="82">
        <v>42368</v>
      </c>
      <c r="K55" s="52" t="str">
        <f t="shared" si="3"/>
        <v>Customer</v>
      </c>
      <c r="L55" s="52" t="str">
        <f t="shared" si="17"/>
        <v>KK-04605</v>
      </c>
      <c r="M55" s="52" t="s">
        <v>20987</v>
      </c>
      <c r="N55" s="2">
        <v>50000.000000000007</v>
      </c>
      <c r="O55" s="82">
        <v>42339</v>
      </c>
      <c r="P55" s="52" t="str">
        <f t="shared" si="18"/>
        <v>DS - Handoyo Krismanto</v>
      </c>
      <c r="Q55" s="52" t="str">
        <f t="shared" si="0"/>
        <v>KPS-10-10</v>
      </c>
    </row>
    <row r="56" spans="1:17" x14ac:dyDescent="0.35">
      <c r="A56" s="52" t="s">
        <v>6063</v>
      </c>
      <c r="C56" s="52" t="str">
        <f>"""TRUST Nav"",""HSPMTB2016"",""17"",""1"",""3483"""</f>
        <v>"TRUST Nav","HSPMTB2016","17","1","3483"</v>
      </c>
      <c r="D56" s="52" t="str">
        <f t="shared" si="16"/>
        <v>Customer</v>
      </c>
      <c r="I56" s="52" t="str">
        <f t="shared" si="2"/>
        <v>KK-04606|42186</v>
      </c>
      <c r="J56" s="82">
        <v>42368</v>
      </c>
      <c r="K56" s="52" t="str">
        <f t="shared" si="3"/>
        <v>Customer</v>
      </c>
      <c r="L56" s="52" t="str">
        <f t="shared" ref="L56:L61" si="19">"KK-04606"</f>
        <v>KK-04606</v>
      </c>
      <c r="M56" s="52" t="s">
        <v>20988</v>
      </c>
      <c r="N56" s="2">
        <v>50000.000000000007</v>
      </c>
      <c r="O56" s="82">
        <v>42186</v>
      </c>
      <c r="P56" s="52" t="str">
        <f t="shared" ref="P56:P61" si="20">"DS - Hendra Kurniawan"</f>
        <v>DS - Hendra Kurniawan</v>
      </c>
      <c r="Q56" s="52" t="str">
        <f t="shared" si="0"/>
        <v>KPS-10-10</v>
      </c>
    </row>
    <row r="57" spans="1:17" x14ac:dyDescent="0.35">
      <c r="A57" s="52" t="s">
        <v>6063</v>
      </c>
      <c r="C57" s="52" t="str">
        <f>"""TRUST Nav"",""HSPMTB2016"",""17"",""1"",""3484"""</f>
        <v>"TRUST Nav","HSPMTB2016","17","1","3484"</v>
      </c>
      <c r="D57" s="52" t="str">
        <f t="shared" si="16"/>
        <v>Customer</v>
      </c>
      <c r="I57" s="52" t="str">
        <f t="shared" si="2"/>
        <v>KK-04606|42217</v>
      </c>
      <c r="J57" s="82">
        <v>42368</v>
      </c>
      <c r="K57" s="52" t="str">
        <f t="shared" si="3"/>
        <v>Customer</v>
      </c>
      <c r="L57" s="52" t="str">
        <f t="shared" si="19"/>
        <v>KK-04606</v>
      </c>
      <c r="M57" s="52" t="s">
        <v>20988</v>
      </c>
      <c r="N57" s="2">
        <v>50000.000000000007</v>
      </c>
      <c r="O57" s="82">
        <v>42217</v>
      </c>
      <c r="P57" s="52" t="str">
        <f t="shared" si="20"/>
        <v>DS - Hendra Kurniawan</v>
      </c>
      <c r="Q57" s="52" t="str">
        <f t="shared" si="0"/>
        <v>KPS-10-10</v>
      </c>
    </row>
    <row r="58" spans="1:17" x14ac:dyDescent="0.35">
      <c r="A58" s="52" t="s">
        <v>6063</v>
      </c>
      <c r="C58" s="52" t="str">
        <f>"""TRUST Nav"",""HSPMTB2016"",""17"",""1"",""3485"""</f>
        <v>"TRUST Nav","HSPMTB2016","17","1","3485"</v>
      </c>
      <c r="D58" s="52" t="str">
        <f t="shared" si="16"/>
        <v>Customer</v>
      </c>
      <c r="I58" s="52" t="str">
        <f t="shared" si="2"/>
        <v>KK-04606|42248</v>
      </c>
      <c r="J58" s="82">
        <v>42368</v>
      </c>
      <c r="K58" s="52" t="str">
        <f t="shared" si="3"/>
        <v>Customer</v>
      </c>
      <c r="L58" s="52" t="str">
        <f t="shared" si="19"/>
        <v>KK-04606</v>
      </c>
      <c r="M58" s="52" t="s">
        <v>20988</v>
      </c>
      <c r="N58" s="2">
        <v>50000.000000000007</v>
      </c>
      <c r="O58" s="82">
        <v>42248</v>
      </c>
      <c r="P58" s="52" t="str">
        <f t="shared" si="20"/>
        <v>DS - Hendra Kurniawan</v>
      </c>
      <c r="Q58" s="52" t="str">
        <f t="shared" si="0"/>
        <v>KPS-10-10</v>
      </c>
    </row>
    <row r="59" spans="1:17" x14ac:dyDescent="0.35">
      <c r="A59" s="52" t="s">
        <v>6063</v>
      </c>
      <c r="C59" s="52" t="str">
        <f>"""TRUST Nav"",""HSPMTB2016"",""17"",""1"",""3486"""</f>
        <v>"TRUST Nav","HSPMTB2016","17","1","3486"</v>
      </c>
      <c r="D59" s="52" t="str">
        <f t="shared" si="16"/>
        <v>Customer</v>
      </c>
      <c r="I59" s="52" t="str">
        <f t="shared" si="2"/>
        <v>KK-04606|42278</v>
      </c>
      <c r="J59" s="82">
        <v>42368</v>
      </c>
      <c r="K59" s="52" t="str">
        <f t="shared" si="3"/>
        <v>Customer</v>
      </c>
      <c r="L59" s="52" t="str">
        <f t="shared" si="19"/>
        <v>KK-04606</v>
      </c>
      <c r="M59" s="52" t="s">
        <v>20988</v>
      </c>
      <c r="N59" s="2">
        <v>50000.000000000007</v>
      </c>
      <c r="O59" s="82">
        <v>42278</v>
      </c>
      <c r="P59" s="52" t="str">
        <f t="shared" si="20"/>
        <v>DS - Hendra Kurniawan</v>
      </c>
      <c r="Q59" s="52" t="str">
        <f t="shared" si="0"/>
        <v>KPS-10-10</v>
      </c>
    </row>
    <row r="60" spans="1:17" x14ac:dyDescent="0.35">
      <c r="A60" s="52" t="s">
        <v>6063</v>
      </c>
      <c r="C60" s="52" t="str">
        <f>"""TRUST Nav"",""HSPMTB2016"",""17"",""1"",""3487"""</f>
        <v>"TRUST Nav","HSPMTB2016","17","1","3487"</v>
      </c>
      <c r="D60" s="52" t="str">
        <f t="shared" si="16"/>
        <v>Customer</v>
      </c>
      <c r="I60" s="52" t="str">
        <f t="shared" si="2"/>
        <v>KK-04606|42309</v>
      </c>
      <c r="J60" s="82">
        <v>42368</v>
      </c>
      <c r="K60" s="52" t="str">
        <f t="shared" si="3"/>
        <v>Customer</v>
      </c>
      <c r="L60" s="52" t="str">
        <f t="shared" si="19"/>
        <v>KK-04606</v>
      </c>
      <c r="M60" s="52" t="s">
        <v>20988</v>
      </c>
      <c r="N60" s="2">
        <v>50000.000000000007</v>
      </c>
      <c r="O60" s="82">
        <v>42309</v>
      </c>
      <c r="P60" s="52" t="str">
        <f t="shared" si="20"/>
        <v>DS - Hendra Kurniawan</v>
      </c>
      <c r="Q60" s="52" t="str">
        <f t="shared" si="0"/>
        <v>KPS-10-10</v>
      </c>
    </row>
    <row r="61" spans="1:17" x14ac:dyDescent="0.35">
      <c r="A61" s="52" t="s">
        <v>6063</v>
      </c>
      <c r="C61" s="52" t="str">
        <f>"""TRUST Nav"",""HSPMTB2016"",""17"",""1"",""3488"""</f>
        <v>"TRUST Nav","HSPMTB2016","17","1","3488"</v>
      </c>
      <c r="D61" s="52" t="str">
        <f t="shared" si="16"/>
        <v>Customer</v>
      </c>
      <c r="I61" s="52" t="str">
        <f t="shared" si="2"/>
        <v>KK-04606|42339</v>
      </c>
      <c r="J61" s="82">
        <v>42368</v>
      </c>
      <c r="K61" s="52" t="str">
        <f t="shared" si="3"/>
        <v>Customer</v>
      </c>
      <c r="L61" s="52" t="str">
        <f t="shared" si="19"/>
        <v>KK-04606</v>
      </c>
      <c r="M61" s="52" t="s">
        <v>20988</v>
      </c>
      <c r="N61" s="2">
        <v>50000.000000000007</v>
      </c>
      <c r="O61" s="82">
        <v>42339</v>
      </c>
      <c r="P61" s="52" t="str">
        <f t="shared" si="20"/>
        <v>DS - Hendra Kurniawan</v>
      </c>
      <c r="Q61" s="52" t="str">
        <f t="shared" si="0"/>
        <v>KPS-10-10</v>
      </c>
    </row>
    <row r="62" spans="1:17" x14ac:dyDescent="0.35">
      <c r="A62" s="52" t="s">
        <v>6063</v>
      </c>
      <c r="C62" s="52" t="str">
        <f>"""TRUST Nav"",""HSPMTB2016"",""17"",""1"",""3489"""</f>
        <v>"TRUST Nav","HSPMTB2016","17","1","3489"</v>
      </c>
      <c r="D62" s="52" t="str">
        <f t="shared" si="16"/>
        <v>Customer</v>
      </c>
      <c r="I62" s="52" t="str">
        <f t="shared" si="2"/>
        <v>KK-04607|42186</v>
      </c>
      <c r="J62" s="82">
        <v>42368</v>
      </c>
      <c r="K62" s="52" t="str">
        <f t="shared" si="3"/>
        <v>Customer</v>
      </c>
      <c r="L62" s="52" t="str">
        <f t="shared" ref="L62:L67" si="21">"KK-04607"</f>
        <v>KK-04607</v>
      </c>
      <c r="M62" s="52" t="s">
        <v>20989</v>
      </c>
      <c r="N62" s="2">
        <v>150000</v>
      </c>
      <c r="O62" s="82">
        <v>42186</v>
      </c>
      <c r="P62" s="52" t="str">
        <f t="shared" ref="P62:P67" si="22">"DS - Hendro Hartono"</f>
        <v>DS - Hendro Hartono</v>
      </c>
      <c r="Q62" s="52" t="str">
        <f t="shared" si="0"/>
        <v>KPS-10-10</v>
      </c>
    </row>
    <row r="63" spans="1:17" x14ac:dyDescent="0.35">
      <c r="A63" s="52" t="s">
        <v>6063</v>
      </c>
      <c r="C63" s="52" t="str">
        <f>"""TRUST Nav"",""HSPMTB2016"",""17"",""1"",""3490"""</f>
        <v>"TRUST Nav","HSPMTB2016","17","1","3490"</v>
      </c>
      <c r="D63" s="52" t="str">
        <f t="shared" si="16"/>
        <v>Customer</v>
      </c>
      <c r="I63" s="52" t="str">
        <f t="shared" si="2"/>
        <v>KK-04607|42217</v>
      </c>
      <c r="J63" s="82">
        <v>42368</v>
      </c>
      <c r="K63" s="52" t="str">
        <f t="shared" si="3"/>
        <v>Customer</v>
      </c>
      <c r="L63" s="52" t="str">
        <f t="shared" si="21"/>
        <v>KK-04607</v>
      </c>
      <c r="M63" s="52" t="s">
        <v>20989</v>
      </c>
      <c r="N63" s="2">
        <v>150000</v>
      </c>
      <c r="O63" s="82">
        <v>42217</v>
      </c>
      <c r="P63" s="52" t="str">
        <f t="shared" si="22"/>
        <v>DS - Hendro Hartono</v>
      </c>
      <c r="Q63" s="52" t="str">
        <f t="shared" si="0"/>
        <v>KPS-10-10</v>
      </c>
    </row>
    <row r="64" spans="1:17" x14ac:dyDescent="0.35">
      <c r="A64" s="52" t="s">
        <v>6063</v>
      </c>
      <c r="C64" s="52" t="str">
        <f>"""TRUST Nav"",""HSPMTB2016"",""17"",""1"",""3491"""</f>
        <v>"TRUST Nav","HSPMTB2016","17","1","3491"</v>
      </c>
      <c r="D64" s="52" t="str">
        <f t="shared" si="16"/>
        <v>Customer</v>
      </c>
      <c r="I64" s="52" t="str">
        <f t="shared" si="2"/>
        <v>KK-04607|42248</v>
      </c>
      <c r="J64" s="82">
        <v>42368</v>
      </c>
      <c r="K64" s="52" t="str">
        <f t="shared" si="3"/>
        <v>Customer</v>
      </c>
      <c r="L64" s="52" t="str">
        <f t="shared" si="21"/>
        <v>KK-04607</v>
      </c>
      <c r="M64" s="52" t="s">
        <v>20989</v>
      </c>
      <c r="N64" s="2">
        <v>150000</v>
      </c>
      <c r="O64" s="82">
        <v>42248</v>
      </c>
      <c r="P64" s="52" t="str">
        <f t="shared" si="22"/>
        <v>DS - Hendro Hartono</v>
      </c>
      <c r="Q64" s="52" t="str">
        <f t="shared" si="0"/>
        <v>KPS-10-10</v>
      </c>
    </row>
    <row r="65" spans="1:17" x14ac:dyDescent="0.35">
      <c r="A65" s="52" t="s">
        <v>6063</v>
      </c>
      <c r="C65" s="52" t="str">
        <f>"""TRUST Nav"",""HSPMTB2016"",""17"",""1"",""3492"""</f>
        <v>"TRUST Nav","HSPMTB2016","17","1","3492"</v>
      </c>
      <c r="D65" s="52" t="str">
        <f t="shared" si="16"/>
        <v>Customer</v>
      </c>
      <c r="I65" s="52" t="str">
        <f t="shared" si="2"/>
        <v>KK-04607|42278</v>
      </c>
      <c r="J65" s="82">
        <v>42368</v>
      </c>
      <c r="K65" s="52" t="str">
        <f t="shared" si="3"/>
        <v>Customer</v>
      </c>
      <c r="L65" s="52" t="str">
        <f t="shared" si="21"/>
        <v>KK-04607</v>
      </c>
      <c r="M65" s="52" t="s">
        <v>20989</v>
      </c>
      <c r="N65" s="2">
        <v>150000</v>
      </c>
      <c r="O65" s="82">
        <v>42278</v>
      </c>
      <c r="P65" s="52" t="str">
        <f t="shared" si="22"/>
        <v>DS - Hendro Hartono</v>
      </c>
      <c r="Q65" s="52" t="str">
        <f t="shared" si="0"/>
        <v>KPS-10-10</v>
      </c>
    </row>
    <row r="66" spans="1:17" x14ac:dyDescent="0.35">
      <c r="A66" s="52" t="s">
        <v>6063</v>
      </c>
      <c r="C66" s="52" t="str">
        <f>"""TRUST Nav"",""HSPMTB2016"",""17"",""1"",""3493"""</f>
        <v>"TRUST Nav","HSPMTB2016","17","1","3493"</v>
      </c>
      <c r="D66" s="52" t="str">
        <f t="shared" si="16"/>
        <v>Customer</v>
      </c>
      <c r="I66" s="52" t="str">
        <f t="shared" si="2"/>
        <v>KK-04607|42309</v>
      </c>
      <c r="J66" s="82">
        <v>42368</v>
      </c>
      <c r="K66" s="52" t="str">
        <f t="shared" si="3"/>
        <v>Customer</v>
      </c>
      <c r="L66" s="52" t="str">
        <f t="shared" si="21"/>
        <v>KK-04607</v>
      </c>
      <c r="M66" s="52" t="s">
        <v>20989</v>
      </c>
      <c r="N66" s="2">
        <v>150000</v>
      </c>
      <c r="O66" s="82">
        <v>42309</v>
      </c>
      <c r="P66" s="52" t="str">
        <f t="shared" si="22"/>
        <v>DS - Hendro Hartono</v>
      </c>
      <c r="Q66" s="52" t="str">
        <f t="shared" si="0"/>
        <v>KPS-10-10</v>
      </c>
    </row>
    <row r="67" spans="1:17" x14ac:dyDescent="0.35">
      <c r="A67" s="52" t="s">
        <v>6063</v>
      </c>
      <c r="C67" s="52" t="str">
        <f>"""TRUST Nav"",""HSPMTB2016"",""17"",""1"",""3494"""</f>
        <v>"TRUST Nav","HSPMTB2016","17","1","3494"</v>
      </c>
      <c r="D67" s="52" t="str">
        <f t="shared" si="16"/>
        <v>Customer</v>
      </c>
      <c r="I67" s="52" t="str">
        <f t="shared" si="2"/>
        <v>KK-04607|42339</v>
      </c>
      <c r="J67" s="82">
        <v>42368</v>
      </c>
      <c r="K67" s="52" t="str">
        <f t="shared" si="3"/>
        <v>Customer</v>
      </c>
      <c r="L67" s="52" t="str">
        <f t="shared" si="21"/>
        <v>KK-04607</v>
      </c>
      <c r="M67" s="52" t="s">
        <v>20989</v>
      </c>
      <c r="N67" s="2">
        <v>150000</v>
      </c>
      <c r="O67" s="82">
        <v>42339</v>
      </c>
      <c r="P67" s="52" t="str">
        <f t="shared" si="22"/>
        <v>DS - Hendro Hartono</v>
      </c>
      <c r="Q67" s="52" t="str">
        <f t="shared" si="0"/>
        <v>KPS-10-10</v>
      </c>
    </row>
    <row r="68" spans="1:17" x14ac:dyDescent="0.35">
      <c r="A68" s="52" t="s">
        <v>6063</v>
      </c>
      <c r="C68" s="52" t="str">
        <f>"""TRUST Nav"",""HSPMTB2016"",""17"",""1"",""3495"""</f>
        <v>"TRUST Nav","HSPMTB2016","17","1","3495"</v>
      </c>
      <c r="D68" s="52" t="str">
        <f t="shared" si="16"/>
        <v>Customer</v>
      </c>
      <c r="I68" s="52" t="str">
        <f t="shared" si="2"/>
        <v>KK-04608|42186</v>
      </c>
      <c r="J68" s="82">
        <v>42368</v>
      </c>
      <c r="K68" s="52" t="str">
        <f t="shared" si="3"/>
        <v>Customer</v>
      </c>
      <c r="L68" s="52" t="str">
        <f t="shared" ref="L68:L73" si="23">"KK-04608"</f>
        <v>KK-04608</v>
      </c>
      <c r="M68" s="52" t="s">
        <v>20990</v>
      </c>
      <c r="N68" s="2">
        <v>30000</v>
      </c>
      <c r="O68" s="82">
        <v>42186</v>
      </c>
      <c r="P68" s="52" t="str">
        <f t="shared" ref="P68:P73" si="24">"DS - Heru Prawono"</f>
        <v>DS - Heru Prawono</v>
      </c>
      <c r="Q68" s="52" t="str">
        <f t="shared" si="0"/>
        <v>KPS-10-10</v>
      </c>
    </row>
    <row r="69" spans="1:17" x14ac:dyDescent="0.35">
      <c r="A69" s="52" t="s">
        <v>6063</v>
      </c>
      <c r="C69" s="52" t="str">
        <f>"""TRUST Nav"",""HSPMTB2016"",""17"",""1"",""3496"""</f>
        <v>"TRUST Nav","HSPMTB2016","17","1","3496"</v>
      </c>
      <c r="D69" s="52" t="str">
        <f t="shared" si="16"/>
        <v>Customer</v>
      </c>
      <c r="I69" s="52" t="str">
        <f t="shared" si="2"/>
        <v>KK-04608|42217</v>
      </c>
      <c r="J69" s="82">
        <v>42368</v>
      </c>
      <c r="K69" s="52" t="str">
        <f t="shared" si="3"/>
        <v>Customer</v>
      </c>
      <c r="L69" s="52" t="str">
        <f t="shared" si="23"/>
        <v>KK-04608</v>
      </c>
      <c r="M69" s="52" t="s">
        <v>20990</v>
      </c>
      <c r="N69" s="2">
        <v>30000</v>
      </c>
      <c r="O69" s="82">
        <v>42217</v>
      </c>
      <c r="P69" s="52" t="str">
        <f t="shared" si="24"/>
        <v>DS - Heru Prawono</v>
      </c>
      <c r="Q69" s="52" t="str">
        <f t="shared" si="0"/>
        <v>KPS-10-10</v>
      </c>
    </row>
    <row r="70" spans="1:17" x14ac:dyDescent="0.35">
      <c r="A70" s="52" t="s">
        <v>6063</v>
      </c>
      <c r="C70" s="52" t="str">
        <f>"""TRUST Nav"",""HSPMTB2016"",""17"",""1"",""3497"""</f>
        <v>"TRUST Nav","HSPMTB2016","17","1","3497"</v>
      </c>
      <c r="D70" s="52" t="str">
        <f t="shared" si="16"/>
        <v>Customer</v>
      </c>
      <c r="I70" s="52" t="str">
        <f t="shared" si="2"/>
        <v>KK-04608|42248</v>
      </c>
      <c r="J70" s="82">
        <v>42368</v>
      </c>
      <c r="K70" s="52" t="str">
        <f t="shared" si="3"/>
        <v>Customer</v>
      </c>
      <c r="L70" s="52" t="str">
        <f t="shared" si="23"/>
        <v>KK-04608</v>
      </c>
      <c r="M70" s="52" t="s">
        <v>20990</v>
      </c>
      <c r="N70" s="2">
        <v>30000</v>
      </c>
      <c r="O70" s="82">
        <v>42248</v>
      </c>
      <c r="P70" s="52" t="str">
        <f t="shared" si="24"/>
        <v>DS - Heru Prawono</v>
      </c>
      <c r="Q70" s="52" t="str">
        <f t="shared" si="0"/>
        <v>KPS-10-10</v>
      </c>
    </row>
    <row r="71" spans="1:17" x14ac:dyDescent="0.35">
      <c r="A71" s="52" t="s">
        <v>6063</v>
      </c>
      <c r="C71" s="52" t="str">
        <f>"""TRUST Nav"",""HSPMTB2016"",""17"",""1"",""3498"""</f>
        <v>"TRUST Nav","HSPMTB2016","17","1","3498"</v>
      </c>
      <c r="D71" s="52" t="str">
        <f t="shared" si="16"/>
        <v>Customer</v>
      </c>
      <c r="I71" s="52" t="str">
        <f t="shared" si="2"/>
        <v>KK-04608|42278</v>
      </c>
      <c r="J71" s="82">
        <v>42368</v>
      </c>
      <c r="K71" s="52" t="str">
        <f t="shared" si="3"/>
        <v>Customer</v>
      </c>
      <c r="L71" s="52" t="str">
        <f t="shared" si="23"/>
        <v>KK-04608</v>
      </c>
      <c r="M71" s="52" t="s">
        <v>20990</v>
      </c>
      <c r="N71" s="2">
        <v>30000</v>
      </c>
      <c r="O71" s="82">
        <v>42278</v>
      </c>
      <c r="P71" s="52" t="str">
        <f t="shared" si="24"/>
        <v>DS - Heru Prawono</v>
      </c>
      <c r="Q71" s="52" t="str">
        <f t="shared" si="0"/>
        <v>KPS-10-10</v>
      </c>
    </row>
    <row r="72" spans="1:17" x14ac:dyDescent="0.35">
      <c r="A72" s="52" t="s">
        <v>6063</v>
      </c>
      <c r="C72" s="52" t="str">
        <f>"""TRUST Nav"",""HSPMTB2016"",""17"",""1"",""3499"""</f>
        <v>"TRUST Nav","HSPMTB2016","17","1","3499"</v>
      </c>
      <c r="D72" s="52" t="str">
        <f t="shared" si="16"/>
        <v>Customer</v>
      </c>
      <c r="I72" s="52" t="str">
        <f t="shared" si="2"/>
        <v>KK-04608|42309</v>
      </c>
      <c r="J72" s="82">
        <v>42368</v>
      </c>
      <c r="K72" s="52" t="str">
        <f t="shared" si="3"/>
        <v>Customer</v>
      </c>
      <c r="L72" s="52" t="str">
        <f t="shared" si="23"/>
        <v>KK-04608</v>
      </c>
      <c r="M72" s="52" t="s">
        <v>20990</v>
      </c>
      <c r="N72" s="2">
        <v>30000</v>
      </c>
      <c r="O72" s="82">
        <v>42309</v>
      </c>
      <c r="P72" s="52" t="str">
        <f t="shared" si="24"/>
        <v>DS - Heru Prawono</v>
      </c>
      <c r="Q72" s="52" t="str">
        <f t="shared" si="0"/>
        <v>KPS-10-10</v>
      </c>
    </row>
    <row r="73" spans="1:17" x14ac:dyDescent="0.35">
      <c r="A73" s="52" t="s">
        <v>6063</v>
      </c>
      <c r="C73" s="52" t="str">
        <f>"""TRUST Nav"",""HSPMTB2016"",""17"",""1"",""3500"""</f>
        <v>"TRUST Nav","HSPMTB2016","17","1","3500"</v>
      </c>
      <c r="D73" s="52" t="str">
        <f t="shared" si="16"/>
        <v>Customer</v>
      </c>
      <c r="I73" s="52" t="str">
        <f t="shared" si="2"/>
        <v>KK-04608|42339</v>
      </c>
      <c r="J73" s="82">
        <v>42368</v>
      </c>
      <c r="K73" s="52" t="str">
        <f t="shared" si="3"/>
        <v>Customer</v>
      </c>
      <c r="L73" s="52" t="str">
        <f t="shared" si="23"/>
        <v>KK-04608</v>
      </c>
      <c r="M73" s="52" t="s">
        <v>20990</v>
      </c>
      <c r="N73" s="2">
        <v>30000</v>
      </c>
      <c r="O73" s="82">
        <v>42339</v>
      </c>
      <c r="P73" s="52" t="str">
        <f t="shared" si="24"/>
        <v>DS - Heru Prawono</v>
      </c>
      <c r="Q73" s="52" t="str">
        <f t="shared" si="0"/>
        <v>KPS-10-10</v>
      </c>
    </row>
    <row r="74" spans="1:17" x14ac:dyDescent="0.35">
      <c r="A74" s="52" t="s">
        <v>6063</v>
      </c>
      <c r="C74" s="52" t="str">
        <f>"""TRUST Nav"",""HSPMTB2016"",""17"",""1"",""3501"""</f>
        <v>"TRUST Nav","HSPMTB2016","17","1","3501"</v>
      </c>
      <c r="D74" s="52" t="str">
        <f t="shared" si="16"/>
        <v>Customer</v>
      </c>
      <c r="I74" s="52" t="str">
        <f t="shared" si="2"/>
        <v>KK-04609|42186</v>
      </c>
      <c r="J74" s="82">
        <v>42368</v>
      </c>
      <c r="K74" s="52" t="str">
        <f t="shared" si="3"/>
        <v>Customer</v>
      </c>
      <c r="L74" s="52" t="str">
        <f t="shared" ref="L74:L79" si="25">"KK-04609"</f>
        <v>KK-04609</v>
      </c>
      <c r="M74" s="52" t="s">
        <v>20991</v>
      </c>
      <c r="N74" s="2">
        <v>25000.000000000004</v>
      </c>
      <c r="O74" s="82">
        <v>42186</v>
      </c>
      <c r="P74" s="52" t="str">
        <f t="shared" ref="P74:P79" si="26">"DS - Jofenwali"</f>
        <v>DS - Jofenwali</v>
      </c>
      <c r="Q74" s="52" t="str">
        <f t="shared" si="0"/>
        <v>KPS-10-10</v>
      </c>
    </row>
    <row r="75" spans="1:17" x14ac:dyDescent="0.35">
      <c r="A75" s="52" t="s">
        <v>6063</v>
      </c>
      <c r="C75" s="52" t="str">
        <f>"""TRUST Nav"",""HSPMTB2016"",""17"",""1"",""3502"""</f>
        <v>"TRUST Nav","HSPMTB2016","17","1","3502"</v>
      </c>
      <c r="D75" s="52" t="str">
        <f t="shared" si="16"/>
        <v>Customer</v>
      </c>
      <c r="I75" s="52" t="str">
        <f t="shared" si="2"/>
        <v>KK-04609|42217</v>
      </c>
      <c r="J75" s="82">
        <v>42368</v>
      </c>
      <c r="K75" s="52" t="str">
        <f t="shared" si="3"/>
        <v>Customer</v>
      </c>
      <c r="L75" s="52" t="str">
        <f t="shared" si="25"/>
        <v>KK-04609</v>
      </c>
      <c r="M75" s="52" t="s">
        <v>20991</v>
      </c>
      <c r="N75" s="2">
        <v>25000.000000000004</v>
      </c>
      <c r="O75" s="82">
        <v>42217</v>
      </c>
      <c r="P75" s="52" t="str">
        <f t="shared" si="26"/>
        <v>DS - Jofenwali</v>
      </c>
      <c r="Q75" s="52" t="str">
        <f t="shared" si="0"/>
        <v>KPS-10-10</v>
      </c>
    </row>
    <row r="76" spans="1:17" x14ac:dyDescent="0.35">
      <c r="A76" s="52" t="s">
        <v>6063</v>
      </c>
      <c r="C76" s="52" t="str">
        <f>"""TRUST Nav"",""HSPMTB2016"",""17"",""1"",""3503"""</f>
        <v>"TRUST Nav","HSPMTB2016","17","1","3503"</v>
      </c>
      <c r="D76" s="52" t="str">
        <f t="shared" si="16"/>
        <v>Customer</v>
      </c>
      <c r="I76" s="52" t="str">
        <f t="shared" si="2"/>
        <v>KK-04609|42248</v>
      </c>
      <c r="J76" s="82">
        <v>42368</v>
      </c>
      <c r="K76" s="52" t="str">
        <f t="shared" si="3"/>
        <v>Customer</v>
      </c>
      <c r="L76" s="52" t="str">
        <f t="shared" si="25"/>
        <v>KK-04609</v>
      </c>
      <c r="M76" s="52" t="s">
        <v>20991</v>
      </c>
      <c r="N76" s="2">
        <v>25000.000000000004</v>
      </c>
      <c r="O76" s="82">
        <v>42248</v>
      </c>
      <c r="P76" s="52" t="str">
        <f t="shared" si="26"/>
        <v>DS - Jofenwali</v>
      </c>
      <c r="Q76" s="52" t="str">
        <f t="shared" si="0"/>
        <v>KPS-10-10</v>
      </c>
    </row>
    <row r="77" spans="1:17" x14ac:dyDescent="0.35">
      <c r="A77" s="52" t="s">
        <v>6063</v>
      </c>
      <c r="C77" s="52" t="str">
        <f>"""TRUST Nav"",""HSPMTB2016"",""17"",""1"",""3504"""</f>
        <v>"TRUST Nav","HSPMTB2016","17","1","3504"</v>
      </c>
      <c r="D77" s="52" t="str">
        <f t="shared" si="16"/>
        <v>Customer</v>
      </c>
      <c r="I77" s="52" t="str">
        <f t="shared" si="2"/>
        <v>KK-04609|42278</v>
      </c>
      <c r="J77" s="82">
        <v>42368</v>
      </c>
      <c r="K77" s="52" t="str">
        <f t="shared" si="3"/>
        <v>Customer</v>
      </c>
      <c r="L77" s="52" t="str">
        <f t="shared" si="25"/>
        <v>KK-04609</v>
      </c>
      <c r="M77" s="52" t="s">
        <v>20991</v>
      </c>
      <c r="N77" s="2">
        <v>25000.000000000004</v>
      </c>
      <c r="O77" s="82">
        <v>42278</v>
      </c>
      <c r="P77" s="52" t="str">
        <f t="shared" si="26"/>
        <v>DS - Jofenwali</v>
      </c>
      <c r="Q77" s="52" t="str">
        <f t="shared" ref="Q77:Q140" si="27">"KPS-10-10"</f>
        <v>KPS-10-10</v>
      </c>
    </row>
    <row r="78" spans="1:17" x14ac:dyDescent="0.35">
      <c r="A78" s="52" t="s">
        <v>6063</v>
      </c>
      <c r="C78" s="52" t="str">
        <f>"""TRUST Nav"",""HSPMTB2016"",""17"",""1"",""3505"""</f>
        <v>"TRUST Nav","HSPMTB2016","17","1","3505"</v>
      </c>
      <c r="D78" s="52" t="str">
        <f t="shared" ref="D78:D109" si="28">"Customer"</f>
        <v>Customer</v>
      </c>
      <c r="I78" s="52" t="str">
        <f t="shared" ref="I78:I141" si="29">CONCATENATE(L78,"|",O78)</f>
        <v>KK-04609|42309</v>
      </c>
      <c r="J78" s="82">
        <v>42368</v>
      </c>
      <c r="K78" s="52" t="str">
        <f t="shared" ref="K78:K141" si="30">IF($D78="Customer",$D78,"G/L")</f>
        <v>Customer</v>
      </c>
      <c r="L78" s="52" t="str">
        <f t="shared" si="25"/>
        <v>KK-04609</v>
      </c>
      <c r="M78" s="52" t="s">
        <v>20991</v>
      </c>
      <c r="N78" s="2">
        <v>25000.000000000004</v>
      </c>
      <c r="O78" s="82">
        <v>42309</v>
      </c>
      <c r="P78" s="52" t="str">
        <f t="shared" si="26"/>
        <v>DS - Jofenwali</v>
      </c>
      <c r="Q78" s="52" t="str">
        <f t="shared" si="27"/>
        <v>KPS-10-10</v>
      </c>
    </row>
    <row r="79" spans="1:17" x14ac:dyDescent="0.35">
      <c r="A79" s="52" t="s">
        <v>6063</v>
      </c>
      <c r="C79" s="52" t="str">
        <f>"""TRUST Nav"",""HSPMTB2016"",""17"",""1"",""3506"""</f>
        <v>"TRUST Nav","HSPMTB2016","17","1","3506"</v>
      </c>
      <c r="D79" s="52" t="str">
        <f t="shared" si="28"/>
        <v>Customer</v>
      </c>
      <c r="I79" s="52" t="str">
        <f t="shared" si="29"/>
        <v>KK-04609|42339</v>
      </c>
      <c r="J79" s="82">
        <v>42368</v>
      </c>
      <c r="K79" s="52" t="str">
        <f t="shared" si="30"/>
        <v>Customer</v>
      </c>
      <c r="L79" s="52" t="str">
        <f t="shared" si="25"/>
        <v>KK-04609</v>
      </c>
      <c r="M79" s="52" t="s">
        <v>20991</v>
      </c>
      <c r="N79" s="2">
        <v>25000.000000000004</v>
      </c>
      <c r="O79" s="82">
        <v>42339</v>
      </c>
      <c r="P79" s="52" t="str">
        <f t="shared" si="26"/>
        <v>DS - Jofenwali</v>
      </c>
      <c r="Q79" s="52" t="str">
        <f t="shared" si="27"/>
        <v>KPS-10-10</v>
      </c>
    </row>
    <row r="80" spans="1:17" x14ac:dyDescent="0.35">
      <c r="A80" s="52" t="s">
        <v>6063</v>
      </c>
      <c r="C80" s="52" t="str">
        <f>"""TRUST Nav"",""HSPMTB2016"",""17"",""1"",""3507"""</f>
        <v>"TRUST Nav","HSPMTB2016","17","1","3507"</v>
      </c>
      <c r="D80" s="52" t="str">
        <f t="shared" si="28"/>
        <v>Customer</v>
      </c>
      <c r="I80" s="52" t="str">
        <f t="shared" si="29"/>
        <v>KK-04611|42186</v>
      </c>
      <c r="J80" s="82">
        <v>42368</v>
      </c>
      <c r="K80" s="52" t="str">
        <f t="shared" si="30"/>
        <v>Customer</v>
      </c>
      <c r="L80" s="52" t="str">
        <f t="shared" ref="L80:L85" si="31">"KK-04611"</f>
        <v>KK-04611</v>
      </c>
      <c r="M80" s="52" t="s">
        <v>20992</v>
      </c>
      <c r="N80" s="2">
        <v>10000</v>
      </c>
      <c r="O80" s="82">
        <v>42186</v>
      </c>
      <c r="P80" s="52" t="str">
        <f t="shared" ref="P80:P85" si="32">"DS - Leonardus Tjhin Tje Ming"</f>
        <v>DS - Leonardus Tjhin Tje Ming</v>
      </c>
      <c r="Q80" s="52" t="str">
        <f t="shared" si="27"/>
        <v>KPS-10-10</v>
      </c>
    </row>
    <row r="81" spans="1:17" x14ac:dyDescent="0.35">
      <c r="A81" s="52" t="s">
        <v>6063</v>
      </c>
      <c r="C81" s="52" t="str">
        <f>"""TRUST Nav"",""HSPMTB2016"",""17"",""1"",""3508"""</f>
        <v>"TRUST Nav","HSPMTB2016","17","1","3508"</v>
      </c>
      <c r="D81" s="52" t="str">
        <f t="shared" si="28"/>
        <v>Customer</v>
      </c>
      <c r="I81" s="52" t="str">
        <f t="shared" si="29"/>
        <v>KK-04611|42217</v>
      </c>
      <c r="J81" s="82">
        <v>42368</v>
      </c>
      <c r="K81" s="52" t="str">
        <f t="shared" si="30"/>
        <v>Customer</v>
      </c>
      <c r="L81" s="52" t="str">
        <f t="shared" si="31"/>
        <v>KK-04611</v>
      </c>
      <c r="M81" s="52" t="s">
        <v>20992</v>
      </c>
      <c r="N81" s="2">
        <v>10000</v>
      </c>
      <c r="O81" s="82">
        <v>42217</v>
      </c>
      <c r="P81" s="52" t="str">
        <f t="shared" si="32"/>
        <v>DS - Leonardus Tjhin Tje Ming</v>
      </c>
      <c r="Q81" s="52" t="str">
        <f t="shared" si="27"/>
        <v>KPS-10-10</v>
      </c>
    </row>
    <row r="82" spans="1:17" x14ac:dyDescent="0.35">
      <c r="A82" s="52" t="s">
        <v>6063</v>
      </c>
      <c r="C82" s="52" t="str">
        <f>"""TRUST Nav"",""HSPMTB2016"",""17"",""1"",""3509"""</f>
        <v>"TRUST Nav","HSPMTB2016","17","1","3509"</v>
      </c>
      <c r="D82" s="52" t="str">
        <f t="shared" si="28"/>
        <v>Customer</v>
      </c>
      <c r="I82" s="52" t="str">
        <f t="shared" si="29"/>
        <v>KK-04611|42248</v>
      </c>
      <c r="J82" s="82">
        <v>42368</v>
      </c>
      <c r="K82" s="52" t="str">
        <f t="shared" si="30"/>
        <v>Customer</v>
      </c>
      <c r="L82" s="52" t="str">
        <f t="shared" si="31"/>
        <v>KK-04611</v>
      </c>
      <c r="M82" s="52" t="s">
        <v>20992</v>
      </c>
      <c r="N82" s="2">
        <v>10000</v>
      </c>
      <c r="O82" s="82">
        <v>42248</v>
      </c>
      <c r="P82" s="52" t="str">
        <f t="shared" si="32"/>
        <v>DS - Leonardus Tjhin Tje Ming</v>
      </c>
      <c r="Q82" s="52" t="str">
        <f t="shared" si="27"/>
        <v>KPS-10-10</v>
      </c>
    </row>
    <row r="83" spans="1:17" x14ac:dyDescent="0.35">
      <c r="A83" s="52" t="s">
        <v>6063</v>
      </c>
      <c r="C83" s="52" t="str">
        <f>"""TRUST Nav"",""HSPMTB2016"",""17"",""1"",""3510"""</f>
        <v>"TRUST Nav","HSPMTB2016","17","1","3510"</v>
      </c>
      <c r="D83" s="52" t="str">
        <f t="shared" si="28"/>
        <v>Customer</v>
      </c>
      <c r="I83" s="52" t="str">
        <f t="shared" si="29"/>
        <v>KK-04611|42278</v>
      </c>
      <c r="J83" s="82">
        <v>42368</v>
      </c>
      <c r="K83" s="52" t="str">
        <f t="shared" si="30"/>
        <v>Customer</v>
      </c>
      <c r="L83" s="52" t="str">
        <f t="shared" si="31"/>
        <v>KK-04611</v>
      </c>
      <c r="M83" s="52" t="s">
        <v>20992</v>
      </c>
      <c r="N83" s="2">
        <v>10000</v>
      </c>
      <c r="O83" s="82">
        <v>42278</v>
      </c>
      <c r="P83" s="52" t="str">
        <f t="shared" si="32"/>
        <v>DS - Leonardus Tjhin Tje Ming</v>
      </c>
      <c r="Q83" s="52" t="str">
        <f t="shared" si="27"/>
        <v>KPS-10-10</v>
      </c>
    </row>
    <row r="84" spans="1:17" x14ac:dyDescent="0.35">
      <c r="A84" s="52" t="s">
        <v>6063</v>
      </c>
      <c r="C84" s="52" t="str">
        <f>"""TRUST Nav"",""HSPMTB2016"",""17"",""1"",""3511"""</f>
        <v>"TRUST Nav","HSPMTB2016","17","1","3511"</v>
      </c>
      <c r="D84" s="52" t="str">
        <f t="shared" si="28"/>
        <v>Customer</v>
      </c>
      <c r="I84" s="52" t="str">
        <f t="shared" si="29"/>
        <v>KK-04611|42309</v>
      </c>
      <c r="J84" s="82">
        <v>42368</v>
      </c>
      <c r="K84" s="52" t="str">
        <f t="shared" si="30"/>
        <v>Customer</v>
      </c>
      <c r="L84" s="52" t="str">
        <f t="shared" si="31"/>
        <v>KK-04611</v>
      </c>
      <c r="M84" s="52" t="s">
        <v>20992</v>
      </c>
      <c r="N84" s="2">
        <v>10000</v>
      </c>
      <c r="O84" s="82">
        <v>42309</v>
      </c>
      <c r="P84" s="52" t="str">
        <f t="shared" si="32"/>
        <v>DS - Leonardus Tjhin Tje Ming</v>
      </c>
      <c r="Q84" s="52" t="str">
        <f t="shared" si="27"/>
        <v>KPS-10-10</v>
      </c>
    </row>
    <row r="85" spans="1:17" x14ac:dyDescent="0.35">
      <c r="A85" s="52" t="s">
        <v>6063</v>
      </c>
      <c r="C85" s="52" t="str">
        <f>"""TRUST Nav"",""HSPMTB2016"",""17"",""1"",""3512"""</f>
        <v>"TRUST Nav","HSPMTB2016","17","1","3512"</v>
      </c>
      <c r="D85" s="52" t="str">
        <f t="shared" si="28"/>
        <v>Customer</v>
      </c>
      <c r="I85" s="52" t="str">
        <f t="shared" si="29"/>
        <v>KK-04611|42339</v>
      </c>
      <c r="J85" s="82">
        <v>42368</v>
      </c>
      <c r="K85" s="52" t="str">
        <f t="shared" si="30"/>
        <v>Customer</v>
      </c>
      <c r="L85" s="52" t="str">
        <f t="shared" si="31"/>
        <v>KK-04611</v>
      </c>
      <c r="M85" s="52" t="s">
        <v>20992</v>
      </c>
      <c r="N85" s="2">
        <v>10000</v>
      </c>
      <c r="O85" s="82">
        <v>42339</v>
      </c>
      <c r="P85" s="52" t="str">
        <f t="shared" si="32"/>
        <v>DS - Leonardus Tjhin Tje Ming</v>
      </c>
      <c r="Q85" s="52" t="str">
        <f t="shared" si="27"/>
        <v>KPS-10-10</v>
      </c>
    </row>
    <row r="86" spans="1:17" x14ac:dyDescent="0.35">
      <c r="A86" s="52" t="s">
        <v>6063</v>
      </c>
      <c r="C86" s="52" t="str">
        <f>"""TRUST Nav"",""HSPMTB2016"",""17"",""1"",""3513"""</f>
        <v>"TRUST Nav","HSPMTB2016","17","1","3513"</v>
      </c>
      <c r="D86" s="52" t="str">
        <f t="shared" si="28"/>
        <v>Customer</v>
      </c>
      <c r="I86" s="52" t="str">
        <f t="shared" si="29"/>
        <v>KK-04612|42186</v>
      </c>
      <c r="J86" s="82">
        <v>42368</v>
      </c>
      <c r="K86" s="52" t="str">
        <f t="shared" si="30"/>
        <v>Customer</v>
      </c>
      <c r="L86" s="52" t="str">
        <f t="shared" ref="L86:L91" si="33">"KK-04612"</f>
        <v>KK-04612</v>
      </c>
      <c r="M86" s="52" t="s">
        <v>20993</v>
      </c>
      <c r="N86" s="2">
        <v>5000</v>
      </c>
      <c r="O86" s="82">
        <v>42186</v>
      </c>
      <c r="P86" s="52" t="str">
        <f t="shared" ref="P86:P91" si="34">"DS - Lie Bui Tjung"</f>
        <v>DS - Lie Bui Tjung</v>
      </c>
      <c r="Q86" s="52" t="str">
        <f t="shared" si="27"/>
        <v>KPS-10-10</v>
      </c>
    </row>
    <row r="87" spans="1:17" x14ac:dyDescent="0.35">
      <c r="A87" s="52" t="s">
        <v>6063</v>
      </c>
      <c r="C87" s="52" t="str">
        <f>"""TRUST Nav"",""HSPMTB2016"",""17"",""1"",""3514"""</f>
        <v>"TRUST Nav","HSPMTB2016","17","1","3514"</v>
      </c>
      <c r="D87" s="52" t="str">
        <f t="shared" si="28"/>
        <v>Customer</v>
      </c>
      <c r="I87" s="52" t="str">
        <f t="shared" si="29"/>
        <v>KK-04612|42217</v>
      </c>
      <c r="J87" s="82">
        <v>42368</v>
      </c>
      <c r="K87" s="52" t="str">
        <f t="shared" si="30"/>
        <v>Customer</v>
      </c>
      <c r="L87" s="52" t="str">
        <f t="shared" si="33"/>
        <v>KK-04612</v>
      </c>
      <c r="M87" s="52" t="s">
        <v>20993</v>
      </c>
      <c r="N87" s="2">
        <v>5000</v>
      </c>
      <c r="O87" s="82">
        <v>42217</v>
      </c>
      <c r="P87" s="52" t="str">
        <f t="shared" si="34"/>
        <v>DS - Lie Bui Tjung</v>
      </c>
      <c r="Q87" s="52" t="str">
        <f t="shared" si="27"/>
        <v>KPS-10-10</v>
      </c>
    </row>
    <row r="88" spans="1:17" x14ac:dyDescent="0.35">
      <c r="A88" s="52" t="s">
        <v>6063</v>
      </c>
      <c r="C88" s="52" t="str">
        <f>"""TRUST Nav"",""HSPMTB2016"",""17"",""1"",""3515"""</f>
        <v>"TRUST Nav","HSPMTB2016","17","1","3515"</v>
      </c>
      <c r="D88" s="52" t="str">
        <f t="shared" si="28"/>
        <v>Customer</v>
      </c>
      <c r="I88" s="52" t="str">
        <f t="shared" si="29"/>
        <v>KK-04612|42248</v>
      </c>
      <c r="J88" s="82">
        <v>42368</v>
      </c>
      <c r="K88" s="52" t="str">
        <f t="shared" si="30"/>
        <v>Customer</v>
      </c>
      <c r="L88" s="52" t="str">
        <f t="shared" si="33"/>
        <v>KK-04612</v>
      </c>
      <c r="M88" s="52" t="s">
        <v>20993</v>
      </c>
      <c r="N88" s="2">
        <v>5000</v>
      </c>
      <c r="O88" s="82">
        <v>42248</v>
      </c>
      <c r="P88" s="52" t="str">
        <f t="shared" si="34"/>
        <v>DS - Lie Bui Tjung</v>
      </c>
      <c r="Q88" s="52" t="str">
        <f t="shared" si="27"/>
        <v>KPS-10-10</v>
      </c>
    </row>
    <row r="89" spans="1:17" x14ac:dyDescent="0.35">
      <c r="A89" s="52" t="s">
        <v>6063</v>
      </c>
      <c r="C89" s="52" t="str">
        <f>"""TRUST Nav"",""HSPMTB2016"",""17"",""1"",""3516"""</f>
        <v>"TRUST Nav","HSPMTB2016","17","1","3516"</v>
      </c>
      <c r="D89" s="52" t="str">
        <f t="shared" si="28"/>
        <v>Customer</v>
      </c>
      <c r="I89" s="52" t="str">
        <f t="shared" si="29"/>
        <v>KK-04612|42278</v>
      </c>
      <c r="J89" s="82">
        <v>42368</v>
      </c>
      <c r="K89" s="52" t="str">
        <f t="shared" si="30"/>
        <v>Customer</v>
      </c>
      <c r="L89" s="52" t="str">
        <f t="shared" si="33"/>
        <v>KK-04612</v>
      </c>
      <c r="M89" s="52" t="s">
        <v>20993</v>
      </c>
      <c r="N89" s="2">
        <v>5000</v>
      </c>
      <c r="O89" s="82">
        <v>42278</v>
      </c>
      <c r="P89" s="52" t="str">
        <f t="shared" si="34"/>
        <v>DS - Lie Bui Tjung</v>
      </c>
      <c r="Q89" s="52" t="str">
        <f t="shared" si="27"/>
        <v>KPS-10-10</v>
      </c>
    </row>
    <row r="90" spans="1:17" x14ac:dyDescent="0.35">
      <c r="A90" s="52" t="s">
        <v>6063</v>
      </c>
      <c r="C90" s="52" t="str">
        <f>"""TRUST Nav"",""HSPMTB2016"",""17"",""1"",""3517"""</f>
        <v>"TRUST Nav","HSPMTB2016","17","1","3517"</v>
      </c>
      <c r="D90" s="52" t="str">
        <f t="shared" si="28"/>
        <v>Customer</v>
      </c>
      <c r="I90" s="52" t="str">
        <f t="shared" si="29"/>
        <v>KK-04612|42309</v>
      </c>
      <c r="J90" s="82">
        <v>42368</v>
      </c>
      <c r="K90" s="52" t="str">
        <f t="shared" si="30"/>
        <v>Customer</v>
      </c>
      <c r="L90" s="52" t="str">
        <f t="shared" si="33"/>
        <v>KK-04612</v>
      </c>
      <c r="M90" s="52" t="s">
        <v>20993</v>
      </c>
      <c r="N90" s="2">
        <v>5000</v>
      </c>
      <c r="O90" s="82">
        <v>42309</v>
      </c>
      <c r="P90" s="52" t="str">
        <f t="shared" si="34"/>
        <v>DS - Lie Bui Tjung</v>
      </c>
      <c r="Q90" s="52" t="str">
        <f t="shared" si="27"/>
        <v>KPS-10-10</v>
      </c>
    </row>
    <row r="91" spans="1:17" x14ac:dyDescent="0.35">
      <c r="A91" s="52" t="s">
        <v>6063</v>
      </c>
      <c r="C91" s="52" t="str">
        <f>"""TRUST Nav"",""HSPMTB2016"",""17"",""1"",""3518"""</f>
        <v>"TRUST Nav","HSPMTB2016","17","1","3518"</v>
      </c>
      <c r="D91" s="52" t="str">
        <f t="shared" si="28"/>
        <v>Customer</v>
      </c>
      <c r="I91" s="52" t="str">
        <f t="shared" si="29"/>
        <v>KK-04612|42339</v>
      </c>
      <c r="J91" s="82">
        <v>42368</v>
      </c>
      <c r="K91" s="52" t="str">
        <f t="shared" si="30"/>
        <v>Customer</v>
      </c>
      <c r="L91" s="52" t="str">
        <f t="shared" si="33"/>
        <v>KK-04612</v>
      </c>
      <c r="M91" s="52" t="s">
        <v>20993</v>
      </c>
      <c r="N91" s="2">
        <v>5000</v>
      </c>
      <c r="O91" s="82">
        <v>42339</v>
      </c>
      <c r="P91" s="52" t="str">
        <f t="shared" si="34"/>
        <v>DS - Lie Bui Tjung</v>
      </c>
      <c r="Q91" s="52" t="str">
        <f t="shared" si="27"/>
        <v>KPS-10-10</v>
      </c>
    </row>
    <row r="92" spans="1:17" x14ac:dyDescent="0.35">
      <c r="A92" s="52" t="s">
        <v>6063</v>
      </c>
      <c r="C92" s="52" t="str">
        <f>"""TRUST Nav"",""HSPMTB2016"",""17"",""1"",""3519"""</f>
        <v>"TRUST Nav","HSPMTB2016","17","1","3519"</v>
      </c>
      <c r="D92" s="52" t="str">
        <f t="shared" si="28"/>
        <v>Customer</v>
      </c>
      <c r="I92" s="52" t="str">
        <f t="shared" si="29"/>
        <v>KK-04613|42186</v>
      </c>
      <c r="J92" s="82">
        <v>42368</v>
      </c>
      <c r="K92" s="52" t="str">
        <f t="shared" si="30"/>
        <v>Customer</v>
      </c>
      <c r="L92" s="52" t="str">
        <f t="shared" ref="L92:L97" si="35">"KK-04613"</f>
        <v>KK-04613</v>
      </c>
      <c r="M92" s="52" t="s">
        <v>20994</v>
      </c>
      <c r="N92" s="2">
        <v>20000</v>
      </c>
      <c r="O92" s="82">
        <v>42186</v>
      </c>
      <c r="P92" s="52" t="str">
        <f t="shared" ref="P92:P97" si="36">"DS - Lucia Septiana.P"</f>
        <v>DS - Lucia Septiana.P</v>
      </c>
      <c r="Q92" s="52" t="str">
        <f t="shared" si="27"/>
        <v>KPS-10-10</v>
      </c>
    </row>
    <row r="93" spans="1:17" x14ac:dyDescent="0.35">
      <c r="A93" s="52" t="s">
        <v>6063</v>
      </c>
      <c r="C93" s="52" t="str">
        <f>"""TRUST Nav"",""HSPMTB2016"",""17"",""1"",""3520"""</f>
        <v>"TRUST Nav","HSPMTB2016","17","1","3520"</v>
      </c>
      <c r="D93" s="52" t="str">
        <f t="shared" si="28"/>
        <v>Customer</v>
      </c>
      <c r="I93" s="52" t="str">
        <f t="shared" si="29"/>
        <v>KK-04613|42217</v>
      </c>
      <c r="J93" s="82">
        <v>42368</v>
      </c>
      <c r="K93" s="52" t="str">
        <f t="shared" si="30"/>
        <v>Customer</v>
      </c>
      <c r="L93" s="52" t="str">
        <f t="shared" si="35"/>
        <v>KK-04613</v>
      </c>
      <c r="M93" s="52" t="s">
        <v>20994</v>
      </c>
      <c r="N93" s="2">
        <v>20000</v>
      </c>
      <c r="O93" s="82">
        <v>42217</v>
      </c>
      <c r="P93" s="52" t="str">
        <f t="shared" si="36"/>
        <v>DS - Lucia Septiana.P</v>
      </c>
      <c r="Q93" s="52" t="str">
        <f t="shared" si="27"/>
        <v>KPS-10-10</v>
      </c>
    </row>
    <row r="94" spans="1:17" x14ac:dyDescent="0.35">
      <c r="A94" s="52" t="s">
        <v>6063</v>
      </c>
      <c r="C94" s="52" t="str">
        <f>"""TRUST Nav"",""HSPMTB2016"",""17"",""1"",""3521"""</f>
        <v>"TRUST Nav","HSPMTB2016","17","1","3521"</v>
      </c>
      <c r="D94" s="52" t="str">
        <f t="shared" si="28"/>
        <v>Customer</v>
      </c>
      <c r="I94" s="52" t="str">
        <f t="shared" si="29"/>
        <v>KK-04613|42248</v>
      </c>
      <c r="J94" s="82">
        <v>42368</v>
      </c>
      <c r="K94" s="52" t="str">
        <f t="shared" si="30"/>
        <v>Customer</v>
      </c>
      <c r="L94" s="52" t="str">
        <f t="shared" si="35"/>
        <v>KK-04613</v>
      </c>
      <c r="M94" s="52" t="s">
        <v>20994</v>
      </c>
      <c r="N94" s="2">
        <v>20000</v>
      </c>
      <c r="O94" s="82">
        <v>42248</v>
      </c>
      <c r="P94" s="52" t="str">
        <f t="shared" si="36"/>
        <v>DS - Lucia Septiana.P</v>
      </c>
      <c r="Q94" s="52" t="str">
        <f t="shared" si="27"/>
        <v>KPS-10-10</v>
      </c>
    </row>
    <row r="95" spans="1:17" x14ac:dyDescent="0.35">
      <c r="A95" s="52" t="s">
        <v>6063</v>
      </c>
      <c r="C95" s="52" t="str">
        <f>"""TRUST Nav"",""HSPMTB2016"",""17"",""1"",""3522"""</f>
        <v>"TRUST Nav","HSPMTB2016","17","1","3522"</v>
      </c>
      <c r="D95" s="52" t="str">
        <f t="shared" si="28"/>
        <v>Customer</v>
      </c>
      <c r="I95" s="52" t="str">
        <f t="shared" si="29"/>
        <v>KK-04613|42278</v>
      </c>
      <c r="J95" s="82">
        <v>42368</v>
      </c>
      <c r="K95" s="52" t="str">
        <f t="shared" si="30"/>
        <v>Customer</v>
      </c>
      <c r="L95" s="52" t="str">
        <f t="shared" si="35"/>
        <v>KK-04613</v>
      </c>
      <c r="M95" s="52" t="s">
        <v>20994</v>
      </c>
      <c r="N95" s="2">
        <v>20000</v>
      </c>
      <c r="O95" s="82">
        <v>42278</v>
      </c>
      <c r="P95" s="52" t="str">
        <f t="shared" si="36"/>
        <v>DS - Lucia Septiana.P</v>
      </c>
      <c r="Q95" s="52" t="str">
        <f t="shared" si="27"/>
        <v>KPS-10-10</v>
      </c>
    </row>
    <row r="96" spans="1:17" x14ac:dyDescent="0.35">
      <c r="A96" s="52" t="s">
        <v>6063</v>
      </c>
      <c r="C96" s="52" t="str">
        <f>"""TRUST Nav"",""HSPMTB2016"",""17"",""1"",""3523"""</f>
        <v>"TRUST Nav","HSPMTB2016","17","1","3523"</v>
      </c>
      <c r="D96" s="52" t="str">
        <f t="shared" si="28"/>
        <v>Customer</v>
      </c>
      <c r="I96" s="52" t="str">
        <f t="shared" si="29"/>
        <v>KK-04613|42309</v>
      </c>
      <c r="J96" s="82">
        <v>42368</v>
      </c>
      <c r="K96" s="52" t="str">
        <f t="shared" si="30"/>
        <v>Customer</v>
      </c>
      <c r="L96" s="52" t="str">
        <f t="shared" si="35"/>
        <v>KK-04613</v>
      </c>
      <c r="M96" s="52" t="s">
        <v>20994</v>
      </c>
      <c r="N96" s="2">
        <v>20000</v>
      </c>
      <c r="O96" s="82">
        <v>42309</v>
      </c>
      <c r="P96" s="52" t="str">
        <f t="shared" si="36"/>
        <v>DS - Lucia Septiana.P</v>
      </c>
      <c r="Q96" s="52" t="str">
        <f t="shared" si="27"/>
        <v>KPS-10-10</v>
      </c>
    </row>
    <row r="97" spans="1:17" x14ac:dyDescent="0.35">
      <c r="A97" s="52" t="s">
        <v>6063</v>
      </c>
      <c r="C97" s="52" t="str">
        <f>"""TRUST Nav"",""HSPMTB2016"",""17"",""1"",""3524"""</f>
        <v>"TRUST Nav","HSPMTB2016","17","1","3524"</v>
      </c>
      <c r="D97" s="52" t="str">
        <f t="shared" si="28"/>
        <v>Customer</v>
      </c>
      <c r="I97" s="52" t="str">
        <f t="shared" si="29"/>
        <v>KK-04613|42339</v>
      </c>
      <c r="J97" s="82">
        <v>42368</v>
      </c>
      <c r="K97" s="52" t="str">
        <f t="shared" si="30"/>
        <v>Customer</v>
      </c>
      <c r="L97" s="52" t="str">
        <f t="shared" si="35"/>
        <v>KK-04613</v>
      </c>
      <c r="M97" s="52" t="s">
        <v>20994</v>
      </c>
      <c r="N97" s="2">
        <v>20000</v>
      </c>
      <c r="O97" s="82">
        <v>42339</v>
      </c>
      <c r="P97" s="52" t="str">
        <f t="shared" si="36"/>
        <v>DS - Lucia Septiana.P</v>
      </c>
      <c r="Q97" s="52" t="str">
        <f t="shared" si="27"/>
        <v>KPS-10-10</v>
      </c>
    </row>
    <row r="98" spans="1:17" x14ac:dyDescent="0.35">
      <c r="A98" s="52" t="s">
        <v>6063</v>
      </c>
      <c r="C98" s="52" t="str">
        <f>"""TRUST Nav"",""HSPMTB2016"",""17"",""1"",""3525"""</f>
        <v>"TRUST Nav","HSPMTB2016","17","1","3525"</v>
      </c>
      <c r="D98" s="52" t="str">
        <f t="shared" si="28"/>
        <v>Customer</v>
      </c>
      <c r="I98" s="52" t="str">
        <f t="shared" si="29"/>
        <v>KK-04616|42186</v>
      </c>
      <c r="J98" s="82">
        <v>42368</v>
      </c>
      <c r="K98" s="52" t="str">
        <f t="shared" si="30"/>
        <v>Customer</v>
      </c>
      <c r="L98" s="52" t="str">
        <f t="shared" ref="L98:L103" si="37">"KK-04616"</f>
        <v>KK-04616</v>
      </c>
      <c r="M98" s="52" t="s">
        <v>20995</v>
      </c>
      <c r="N98" s="2">
        <v>50000.000000000007</v>
      </c>
      <c r="O98" s="82">
        <v>42186</v>
      </c>
      <c r="P98" s="52" t="str">
        <f t="shared" ref="P98:P103" si="38">"DS - Purnama Tanuseputra"</f>
        <v>DS - Purnama Tanuseputra</v>
      </c>
      <c r="Q98" s="52" t="str">
        <f t="shared" si="27"/>
        <v>KPS-10-10</v>
      </c>
    </row>
    <row r="99" spans="1:17" x14ac:dyDescent="0.35">
      <c r="A99" s="52" t="s">
        <v>6063</v>
      </c>
      <c r="C99" s="52" t="str">
        <f>"""TRUST Nav"",""HSPMTB2016"",""17"",""1"",""3526"""</f>
        <v>"TRUST Nav","HSPMTB2016","17","1","3526"</v>
      </c>
      <c r="D99" s="52" t="str">
        <f t="shared" si="28"/>
        <v>Customer</v>
      </c>
      <c r="I99" s="52" t="str">
        <f t="shared" si="29"/>
        <v>KK-04616|42217</v>
      </c>
      <c r="J99" s="82">
        <v>42368</v>
      </c>
      <c r="K99" s="52" t="str">
        <f t="shared" si="30"/>
        <v>Customer</v>
      </c>
      <c r="L99" s="52" t="str">
        <f t="shared" si="37"/>
        <v>KK-04616</v>
      </c>
      <c r="M99" s="52" t="s">
        <v>20995</v>
      </c>
      <c r="N99" s="2">
        <v>50000.000000000007</v>
      </c>
      <c r="O99" s="82">
        <v>42217</v>
      </c>
      <c r="P99" s="52" t="str">
        <f t="shared" si="38"/>
        <v>DS - Purnama Tanuseputra</v>
      </c>
      <c r="Q99" s="52" t="str">
        <f t="shared" si="27"/>
        <v>KPS-10-10</v>
      </c>
    </row>
    <row r="100" spans="1:17" x14ac:dyDescent="0.35">
      <c r="A100" s="52" t="s">
        <v>6063</v>
      </c>
      <c r="C100" s="52" t="str">
        <f>"""TRUST Nav"",""HSPMTB2016"",""17"",""1"",""3527"""</f>
        <v>"TRUST Nav","HSPMTB2016","17","1","3527"</v>
      </c>
      <c r="D100" s="52" t="str">
        <f t="shared" si="28"/>
        <v>Customer</v>
      </c>
      <c r="I100" s="52" t="str">
        <f t="shared" si="29"/>
        <v>KK-04616|42248</v>
      </c>
      <c r="J100" s="82">
        <v>42368</v>
      </c>
      <c r="K100" s="52" t="str">
        <f t="shared" si="30"/>
        <v>Customer</v>
      </c>
      <c r="L100" s="52" t="str">
        <f t="shared" si="37"/>
        <v>KK-04616</v>
      </c>
      <c r="M100" s="52" t="s">
        <v>20995</v>
      </c>
      <c r="N100" s="2">
        <v>50000.000000000007</v>
      </c>
      <c r="O100" s="82">
        <v>42248</v>
      </c>
      <c r="P100" s="52" t="str">
        <f t="shared" si="38"/>
        <v>DS - Purnama Tanuseputra</v>
      </c>
      <c r="Q100" s="52" t="str">
        <f t="shared" si="27"/>
        <v>KPS-10-10</v>
      </c>
    </row>
    <row r="101" spans="1:17" x14ac:dyDescent="0.35">
      <c r="A101" s="52" t="s">
        <v>6063</v>
      </c>
      <c r="C101" s="52" t="str">
        <f>"""TRUST Nav"",""HSPMTB2016"",""17"",""1"",""3528"""</f>
        <v>"TRUST Nav","HSPMTB2016","17","1","3528"</v>
      </c>
      <c r="D101" s="52" t="str">
        <f t="shared" si="28"/>
        <v>Customer</v>
      </c>
      <c r="I101" s="52" t="str">
        <f t="shared" si="29"/>
        <v>KK-04616|42278</v>
      </c>
      <c r="J101" s="82">
        <v>42368</v>
      </c>
      <c r="K101" s="52" t="str">
        <f t="shared" si="30"/>
        <v>Customer</v>
      </c>
      <c r="L101" s="52" t="str">
        <f t="shared" si="37"/>
        <v>KK-04616</v>
      </c>
      <c r="M101" s="52" t="s">
        <v>20995</v>
      </c>
      <c r="N101" s="2">
        <v>50000.000000000007</v>
      </c>
      <c r="O101" s="82">
        <v>42278</v>
      </c>
      <c r="P101" s="52" t="str">
        <f t="shared" si="38"/>
        <v>DS - Purnama Tanuseputra</v>
      </c>
      <c r="Q101" s="52" t="str">
        <f t="shared" si="27"/>
        <v>KPS-10-10</v>
      </c>
    </row>
    <row r="102" spans="1:17" x14ac:dyDescent="0.35">
      <c r="A102" s="52" t="s">
        <v>6063</v>
      </c>
      <c r="C102" s="52" t="str">
        <f>"""TRUST Nav"",""HSPMTB2016"",""17"",""1"",""3529"""</f>
        <v>"TRUST Nav","HSPMTB2016","17","1","3529"</v>
      </c>
      <c r="D102" s="52" t="str">
        <f t="shared" si="28"/>
        <v>Customer</v>
      </c>
      <c r="I102" s="52" t="str">
        <f t="shared" si="29"/>
        <v>KK-04616|42309</v>
      </c>
      <c r="J102" s="82">
        <v>42368</v>
      </c>
      <c r="K102" s="52" t="str">
        <f t="shared" si="30"/>
        <v>Customer</v>
      </c>
      <c r="L102" s="52" t="str">
        <f t="shared" si="37"/>
        <v>KK-04616</v>
      </c>
      <c r="M102" s="52" t="s">
        <v>20995</v>
      </c>
      <c r="N102" s="2">
        <v>50000.000000000007</v>
      </c>
      <c r="O102" s="82">
        <v>42309</v>
      </c>
      <c r="P102" s="52" t="str">
        <f t="shared" si="38"/>
        <v>DS - Purnama Tanuseputra</v>
      </c>
      <c r="Q102" s="52" t="str">
        <f t="shared" si="27"/>
        <v>KPS-10-10</v>
      </c>
    </row>
    <row r="103" spans="1:17" x14ac:dyDescent="0.35">
      <c r="A103" s="52" t="s">
        <v>6063</v>
      </c>
      <c r="C103" s="52" t="str">
        <f>"""TRUST Nav"",""HSPMTB2016"",""17"",""1"",""3530"""</f>
        <v>"TRUST Nav","HSPMTB2016","17","1","3530"</v>
      </c>
      <c r="D103" s="52" t="str">
        <f t="shared" si="28"/>
        <v>Customer</v>
      </c>
      <c r="I103" s="52" t="str">
        <f t="shared" si="29"/>
        <v>KK-04616|42339</v>
      </c>
      <c r="J103" s="82">
        <v>42368</v>
      </c>
      <c r="K103" s="52" t="str">
        <f t="shared" si="30"/>
        <v>Customer</v>
      </c>
      <c r="L103" s="52" t="str">
        <f t="shared" si="37"/>
        <v>KK-04616</v>
      </c>
      <c r="M103" s="52" t="s">
        <v>20995</v>
      </c>
      <c r="N103" s="2">
        <v>50000.000000000007</v>
      </c>
      <c r="O103" s="82">
        <v>42339</v>
      </c>
      <c r="P103" s="52" t="str">
        <f t="shared" si="38"/>
        <v>DS - Purnama Tanuseputra</v>
      </c>
      <c r="Q103" s="52" t="str">
        <f t="shared" si="27"/>
        <v>KPS-10-10</v>
      </c>
    </row>
    <row r="104" spans="1:17" x14ac:dyDescent="0.35">
      <c r="A104" s="52" t="s">
        <v>6063</v>
      </c>
      <c r="C104" s="52" t="str">
        <f>"""TRUST Nav"",""HSPMTB2016"",""17"",""1"",""3531"""</f>
        <v>"TRUST Nav","HSPMTB2016","17","1","3531"</v>
      </c>
      <c r="D104" s="52" t="str">
        <f t="shared" si="28"/>
        <v>Customer</v>
      </c>
      <c r="I104" s="52" t="str">
        <f t="shared" si="29"/>
        <v>KK-04617|42186</v>
      </c>
      <c r="J104" s="82">
        <v>42368</v>
      </c>
      <c r="K104" s="52" t="str">
        <f t="shared" si="30"/>
        <v>Customer</v>
      </c>
      <c r="L104" s="52" t="str">
        <f>"KK-04617"</f>
        <v>KK-04617</v>
      </c>
      <c r="M104" s="52" t="s">
        <v>20996</v>
      </c>
      <c r="N104" s="2">
        <v>20000</v>
      </c>
      <c r="O104" s="82">
        <v>42186</v>
      </c>
      <c r="P104" s="52" t="str">
        <f>"DS - Rudolf Hendricus Poluan"</f>
        <v>DS - Rudolf Hendricus Poluan</v>
      </c>
      <c r="Q104" s="52" t="str">
        <f t="shared" si="27"/>
        <v>KPS-10-10</v>
      </c>
    </row>
    <row r="105" spans="1:17" x14ac:dyDescent="0.35">
      <c r="A105" s="52" t="s">
        <v>6063</v>
      </c>
      <c r="C105" s="52" t="str">
        <f>"""TRUST Nav"",""HSPMTB2016"",""17"",""1"",""3532"""</f>
        <v>"TRUST Nav","HSPMTB2016","17","1","3532"</v>
      </c>
      <c r="D105" s="52" t="str">
        <f t="shared" si="28"/>
        <v>Customer</v>
      </c>
      <c r="I105" s="52" t="str">
        <f t="shared" si="29"/>
        <v>KK-04619|42186</v>
      </c>
      <c r="J105" s="82">
        <v>42368</v>
      </c>
      <c r="K105" s="52" t="str">
        <f t="shared" si="30"/>
        <v>Customer</v>
      </c>
      <c r="L105" s="52" t="str">
        <f t="shared" ref="L105:L110" si="39">"KK-04619"</f>
        <v>KK-04619</v>
      </c>
      <c r="M105" s="52" t="s">
        <v>20997</v>
      </c>
      <c r="N105" s="2">
        <v>25000.000000000004</v>
      </c>
      <c r="O105" s="82">
        <v>42186</v>
      </c>
      <c r="P105" s="52" t="str">
        <f t="shared" ref="P105:P110" si="40">"DS - Sandy Wijaya"</f>
        <v>DS - Sandy Wijaya</v>
      </c>
      <c r="Q105" s="52" t="str">
        <f t="shared" si="27"/>
        <v>KPS-10-10</v>
      </c>
    </row>
    <row r="106" spans="1:17" x14ac:dyDescent="0.35">
      <c r="A106" s="52" t="s">
        <v>6063</v>
      </c>
      <c r="C106" s="52" t="str">
        <f>"""TRUST Nav"",""HSPMTB2016"",""17"",""1"",""3533"""</f>
        <v>"TRUST Nav","HSPMTB2016","17","1","3533"</v>
      </c>
      <c r="D106" s="52" t="str">
        <f t="shared" si="28"/>
        <v>Customer</v>
      </c>
      <c r="I106" s="52" t="str">
        <f t="shared" si="29"/>
        <v>KK-04619|42217</v>
      </c>
      <c r="J106" s="82">
        <v>42368</v>
      </c>
      <c r="K106" s="52" t="str">
        <f t="shared" si="30"/>
        <v>Customer</v>
      </c>
      <c r="L106" s="52" t="str">
        <f t="shared" si="39"/>
        <v>KK-04619</v>
      </c>
      <c r="M106" s="52" t="s">
        <v>20997</v>
      </c>
      <c r="N106" s="2">
        <v>25000.000000000004</v>
      </c>
      <c r="O106" s="82">
        <v>42217</v>
      </c>
      <c r="P106" s="52" t="str">
        <f t="shared" si="40"/>
        <v>DS - Sandy Wijaya</v>
      </c>
      <c r="Q106" s="52" t="str">
        <f t="shared" si="27"/>
        <v>KPS-10-10</v>
      </c>
    </row>
    <row r="107" spans="1:17" x14ac:dyDescent="0.35">
      <c r="A107" s="52" t="s">
        <v>6063</v>
      </c>
      <c r="C107" s="52" t="str">
        <f>"""TRUST Nav"",""HSPMTB2016"",""17"",""1"",""3534"""</f>
        <v>"TRUST Nav","HSPMTB2016","17","1","3534"</v>
      </c>
      <c r="D107" s="52" t="str">
        <f t="shared" si="28"/>
        <v>Customer</v>
      </c>
      <c r="I107" s="52" t="str">
        <f t="shared" si="29"/>
        <v>KK-04619|42248</v>
      </c>
      <c r="J107" s="82">
        <v>42368</v>
      </c>
      <c r="K107" s="52" t="str">
        <f t="shared" si="30"/>
        <v>Customer</v>
      </c>
      <c r="L107" s="52" t="str">
        <f t="shared" si="39"/>
        <v>KK-04619</v>
      </c>
      <c r="M107" s="52" t="s">
        <v>20997</v>
      </c>
      <c r="N107" s="2">
        <v>25000.000000000004</v>
      </c>
      <c r="O107" s="82">
        <v>42248</v>
      </c>
      <c r="P107" s="52" t="str">
        <f t="shared" si="40"/>
        <v>DS - Sandy Wijaya</v>
      </c>
      <c r="Q107" s="52" t="str">
        <f t="shared" si="27"/>
        <v>KPS-10-10</v>
      </c>
    </row>
    <row r="108" spans="1:17" x14ac:dyDescent="0.35">
      <c r="A108" s="52" t="s">
        <v>6063</v>
      </c>
      <c r="C108" s="52" t="str">
        <f>"""TRUST Nav"",""HSPMTB2016"",""17"",""1"",""3535"""</f>
        <v>"TRUST Nav","HSPMTB2016","17","1","3535"</v>
      </c>
      <c r="D108" s="52" t="str">
        <f t="shared" si="28"/>
        <v>Customer</v>
      </c>
      <c r="I108" s="52" t="str">
        <f t="shared" si="29"/>
        <v>KK-04619|42278</v>
      </c>
      <c r="J108" s="82">
        <v>42368</v>
      </c>
      <c r="K108" s="52" t="str">
        <f t="shared" si="30"/>
        <v>Customer</v>
      </c>
      <c r="L108" s="52" t="str">
        <f t="shared" si="39"/>
        <v>KK-04619</v>
      </c>
      <c r="M108" s="52" t="s">
        <v>20997</v>
      </c>
      <c r="N108" s="2">
        <v>25000.000000000004</v>
      </c>
      <c r="O108" s="82">
        <v>42278</v>
      </c>
      <c r="P108" s="52" t="str">
        <f t="shared" si="40"/>
        <v>DS - Sandy Wijaya</v>
      </c>
      <c r="Q108" s="52" t="str">
        <f t="shared" si="27"/>
        <v>KPS-10-10</v>
      </c>
    </row>
    <row r="109" spans="1:17" x14ac:dyDescent="0.35">
      <c r="A109" s="52" t="s">
        <v>6063</v>
      </c>
      <c r="C109" s="52" t="str">
        <f>"""TRUST Nav"",""HSPMTB2016"",""17"",""1"",""3536"""</f>
        <v>"TRUST Nav","HSPMTB2016","17","1","3536"</v>
      </c>
      <c r="D109" s="52" t="str">
        <f t="shared" si="28"/>
        <v>Customer</v>
      </c>
      <c r="I109" s="52" t="str">
        <f t="shared" si="29"/>
        <v>KK-04619|42309</v>
      </c>
      <c r="J109" s="82">
        <v>42368</v>
      </c>
      <c r="K109" s="52" t="str">
        <f t="shared" si="30"/>
        <v>Customer</v>
      </c>
      <c r="L109" s="52" t="str">
        <f t="shared" si="39"/>
        <v>KK-04619</v>
      </c>
      <c r="M109" s="52" t="s">
        <v>20997</v>
      </c>
      <c r="N109" s="2">
        <v>25000.000000000004</v>
      </c>
      <c r="O109" s="82">
        <v>42309</v>
      </c>
      <c r="P109" s="52" t="str">
        <f t="shared" si="40"/>
        <v>DS - Sandy Wijaya</v>
      </c>
      <c r="Q109" s="52" t="str">
        <f t="shared" si="27"/>
        <v>KPS-10-10</v>
      </c>
    </row>
    <row r="110" spans="1:17" x14ac:dyDescent="0.35">
      <c r="A110" s="52" t="s">
        <v>6063</v>
      </c>
      <c r="C110" s="52" t="str">
        <f>"""TRUST Nav"",""HSPMTB2016"",""17"",""1"",""3537"""</f>
        <v>"TRUST Nav","HSPMTB2016","17","1","3537"</v>
      </c>
      <c r="D110" s="52" t="str">
        <f t="shared" ref="D110:D146" si="41">"Customer"</f>
        <v>Customer</v>
      </c>
      <c r="I110" s="52" t="str">
        <f t="shared" si="29"/>
        <v>KK-04619|42339</v>
      </c>
      <c r="J110" s="82">
        <v>42368</v>
      </c>
      <c r="K110" s="52" t="str">
        <f t="shared" si="30"/>
        <v>Customer</v>
      </c>
      <c r="L110" s="52" t="str">
        <f t="shared" si="39"/>
        <v>KK-04619</v>
      </c>
      <c r="M110" s="52" t="s">
        <v>20997</v>
      </c>
      <c r="N110" s="2">
        <v>25000.000000000004</v>
      </c>
      <c r="O110" s="82">
        <v>42339</v>
      </c>
      <c r="P110" s="52" t="str">
        <f t="shared" si="40"/>
        <v>DS - Sandy Wijaya</v>
      </c>
      <c r="Q110" s="52" t="str">
        <f t="shared" si="27"/>
        <v>KPS-10-10</v>
      </c>
    </row>
    <row r="111" spans="1:17" x14ac:dyDescent="0.35">
      <c r="A111" s="52" t="s">
        <v>6063</v>
      </c>
      <c r="C111" s="52" t="str">
        <f>"""TRUST Nav"",""HSPMTB2016"",""17"",""1"",""3538"""</f>
        <v>"TRUST Nav","HSPMTB2016","17","1","3538"</v>
      </c>
      <c r="D111" s="52" t="str">
        <f t="shared" si="41"/>
        <v>Customer</v>
      </c>
      <c r="I111" s="52" t="str">
        <f t="shared" si="29"/>
        <v>KK-04620|42186</v>
      </c>
      <c r="J111" s="82">
        <v>42368</v>
      </c>
      <c r="K111" s="52" t="str">
        <f t="shared" si="30"/>
        <v>Customer</v>
      </c>
      <c r="L111" s="52" t="str">
        <f t="shared" ref="L111:L116" si="42">"KK-04620"</f>
        <v>KK-04620</v>
      </c>
      <c r="M111" s="52" t="s">
        <v>20998</v>
      </c>
      <c r="N111" s="2">
        <v>150000</v>
      </c>
      <c r="O111" s="82">
        <v>42186</v>
      </c>
      <c r="P111" s="52" t="str">
        <f t="shared" ref="P111:P116" si="43">"DS - Stefanus Tudy Luchman"</f>
        <v>DS - Stefanus Tudy Luchman</v>
      </c>
      <c r="Q111" s="52" t="str">
        <f t="shared" si="27"/>
        <v>KPS-10-10</v>
      </c>
    </row>
    <row r="112" spans="1:17" x14ac:dyDescent="0.35">
      <c r="A112" s="52" t="s">
        <v>6063</v>
      </c>
      <c r="C112" s="52" t="str">
        <f>"""TRUST Nav"",""HSPMTB2016"",""17"",""1"",""3539"""</f>
        <v>"TRUST Nav","HSPMTB2016","17","1","3539"</v>
      </c>
      <c r="D112" s="52" t="str">
        <f t="shared" si="41"/>
        <v>Customer</v>
      </c>
      <c r="I112" s="52" t="str">
        <f t="shared" si="29"/>
        <v>KK-04620|42217</v>
      </c>
      <c r="J112" s="82">
        <v>42368</v>
      </c>
      <c r="K112" s="52" t="str">
        <f t="shared" si="30"/>
        <v>Customer</v>
      </c>
      <c r="L112" s="52" t="str">
        <f t="shared" si="42"/>
        <v>KK-04620</v>
      </c>
      <c r="M112" s="52" t="s">
        <v>20998</v>
      </c>
      <c r="N112" s="2">
        <v>150000</v>
      </c>
      <c r="O112" s="82">
        <v>42217</v>
      </c>
      <c r="P112" s="52" t="str">
        <f t="shared" si="43"/>
        <v>DS - Stefanus Tudy Luchman</v>
      </c>
      <c r="Q112" s="52" t="str">
        <f t="shared" si="27"/>
        <v>KPS-10-10</v>
      </c>
    </row>
    <row r="113" spans="1:17" x14ac:dyDescent="0.35">
      <c r="A113" s="52" t="s">
        <v>6063</v>
      </c>
      <c r="C113" s="52" t="str">
        <f>"""TRUST Nav"",""HSPMTB2016"",""17"",""1"",""3540"""</f>
        <v>"TRUST Nav","HSPMTB2016","17","1","3540"</v>
      </c>
      <c r="D113" s="52" t="str">
        <f t="shared" si="41"/>
        <v>Customer</v>
      </c>
      <c r="I113" s="52" t="str">
        <f t="shared" si="29"/>
        <v>KK-04620|42248</v>
      </c>
      <c r="J113" s="82">
        <v>42368</v>
      </c>
      <c r="K113" s="52" t="str">
        <f t="shared" si="30"/>
        <v>Customer</v>
      </c>
      <c r="L113" s="52" t="str">
        <f t="shared" si="42"/>
        <v>KK-04620</v>
      </c>
      <c r="M113" s="52" t="s">
        <v>20998</v>
      </c>
      <c r="N113" s="2">
        <v>150000</v>
      </c>
      <c r="O113" s="82">
        <v>42248</v>
      </c>
      <c r="P113" s="52" t="str">
        <f t="shared" si="43"/>
        <v>DS - Stefanus Tudy Luchman</v>
      </c>
      <c r="Q113" s="52" t="str">
        <f t="shared" si="27"/>
        <v>KPS-10-10</v>
      </c>
    </row>
    <row r="114" spans="1:17" x14ac:dyDescent="0.35">
      <c r="A114" s="52" t="s">
        <v>6063</v>
      </c>
      <c r="C114" s="52" t="str">
        <f>"""TRUST Nav"",""HSPMTB2016"",""17"",""1"",""3541"""</f>
        <v>"TRUST Nav","HSPMTB2016","17","1","3541"</v>
      </c>
      <c r="D114" s="52" t="str">
        <f t="shared" si="41"/>
        <v>Customer</v>
      </c>
      <c r="I114" s="52" t="str">
        <f t="shared" si="29"/>
        <v>KK-04620|42278</v>
      </c>
      <c r="J114" s="82">
        <v>42368</v>
      </c>
      <c r="K114" s="52" t="str">
        <f t="shared" si="30"/>
        <v>Customer</v>
      </c>
      <c r="L114" s="52" t="str">
        <f t="shared" si="42"/>
        <v>KK-04620</v>
      </c>
      <c r="M114" s="52" t="s">
        <v>20998</v>
      </c>
      <c r="N114" s="2">
        <v>150000</v>
      </c>
      <c r="O114" s="82">
        <v>42278</v>
      </c>
      <c r="P114" s="52" t="str">
        <f t="shared" si="43"/>
        <v>DS - Stefanus Tudy Luchman</v>
      </c>
      <c r="Q114" s="52" t="str">
        <f t="shared" si="27"/>
        <v>KPS-10-10</v>
      </c>
    </row>
    <row r="115" spans="1:17" x14ac:dyDescent="0.35">
      <c r="A115" s="52" t="s">
        <v>6063</v>
      </c>
      <c r="C115" s="52" t="str">
        <f>"""TRUST Nav"",""HSPMTB2016"",""17"",""1"",""3542"""</f>
        <v>"TRUST Nav","HSPMTB2016","17","1","3542"</v>
      </c>
      <c r="D115" s="52" t="str">
        <f t="shared" si="41"/>
        <v>Customer</v>
      </c>
      <c r="I115" s="52" t="str">
        <f t="shared" si="29"/>
        <v>KK-04620|42309</v>
      </c>
      <c r="J115" s="82">
        <v>42368</v>
      </c>
      <c r="K115" s="52" t="str">
        <f t="shared" si="30"/>
        <v>Customer</v>
      </c>
      <c r="L115" s="52" t="str">
        <f t="shared" si="42"/>
        <v>KK-04620</v>
      </c>
      <c r="M115" s="52" t="s">
        <v>20998</v>
      </c>
      <c r="N115" s="2">
        <v>150000</v>
      </c>
      <c r="O115" s="82">
        <v>42309</v>
      </c>
      <c r="P115" s="52" t="str">
        <f t="shared" si="43"/>
        <v>DS - Stefanus Tudy Luchman</v>
      </c>
      <c r="Q115" s="52" t="str">
        <f t="shared" si="27"/>
        <v>KPS-10-10</v>
      </c>
    </row>
    <row r="116" spans="1:17" x14ac:dyDescent="0.35">
      <c r="A116" s="52" t="s">
        <v>6063</v>
      </c>
      <c r="C116" s="52" t="str">
        <f>"""TRUST Nav"",""HSPMTB2016"",""17"",""1"",""3543"""</f>
        <v>"TRUST Nav","HSPMTB2016","17","1","3543"</v>
      </c>
      <c r="D116" s="52" t="str">
        <f t="shared" si="41"/>
        <v>Customer</v>
      </c>
      <c r="I116" s="52" t="str">
        <f t="shared" si="29"/>
        <v>KK-04620|42339</v>
      </c>
      <c r="J116" s="82">
        <v>42368</v>
      </c>
      <c r="K116" s="52" t="str">
        <f t="shared" si="30"/>
        <v>Customer</v>
      </c>
      <c r="L116" s="52" t="str">
        <f t="shared" si="42"/>
        <v>KK-04620</v>
      </c>
      <c r="M116" s="52" t="s">
        <v>20998</v>
      </c>
      <c r="N116" s="2">
        <v>150000</v>
      </c>
      <c r="O116" s="82">
        <v>42339</v>
      </c>
      <c r="P116" s="52" t="str">
        <f t="shared" si="43"/>
        <v>DS - Stefanus Tudy Luchman</v>
      </c>
      <c r="Q116" s="52" t="str">
        <f t="shared" si="27"/>
        <v>KPS-10-10</v>
      </c>
    </row>
    <row r="117" spans="1:17" x14ac:dyDescent="0.35">
      <c r="A117" s="52" t="s">
        <v>6063</v>
      </c>
      <c r="C117" s="52" t="str">
        <f>"""TRUST Nav"",""HSPMTB2016"",""17"",""1"",""3544"""</f>
        <v>"TRUST Nav","HSPMTB2016","17","1","3544"</v>
      </c>
      <c r="D117" s="52" t="str">
        <f t="shared" si="41"/>
        <v>Customer</v>
      </c>
      <c r="I117" s="52" t="str">
        <f t="shared" si="29"/>
        <v>KK-04621|42186</v>
      </c>
      <c r="J117" s="82">
        <v>42368</v>
      </c>
      <c r="K117" s="52" t="str">
        <f t="shared" si="30"/>
        <v>Customer</v>
      </c>
      <c r="L117" s="52" t="str">
        <f t="shared" ref="L117:L122" si="44">"KK-04621"</f>
        <v>KK-04621</v>
      </c>
      <c r="M117" s="52" t="s">
        <v>20999</v>
      </c>
      <c r="N117" s="2">
        <v>25000.000000000004</v>
      </c>
      <c r="O117" s="82">
        <v>42186</v>
      </c>
      <c r="P117" s="52" t="str">
        <f t="shared" ref="P117:P122" si="45">"DS - Tommy Prasetyo Utomo"</f>
        <v>DS - Tommy Prasetyo Utomo</v>
      </c>
      <c r="Q117" s="52" t="str">
        <f t="shared" si="27"/>
        <v>KPS-10-10</v>
      </c>
    </row>
    <row r="118" spans="1:17" x14ac:dyDescent="0.35">
      <c r="A118" s="52" t="s">
        <v>6063</v>
      </c>
      <c r="C118" s="52" t="str">
        <f>"""TRUST Nav"",""HSPMTB2016"",""17"",""1"",""3545"""</f>
        <v>"TRUST Nav","HSPMTB2016","17","1","3545"</v>
      </c>
      <c r="D118" s="52" t="str">
        <f t="shared" si="41"/>
        <v>Customer</v>
      </c>
      <c r="I118" s="52" t="str">
        <f t="shared" si="29"/>
        <v>KK-04621|42217</v>
      </c>
      <c r="J118" s="82">
        <v>42368</v>
      </c>
      <c r="K118" s="52" t="str">
        <f t="shared" si="30"/>
        <v>Customer</v>
      </c>
      <c r="L118" s="52" t="str">
        <f t="shared" si="44"/>
        <v>KK-04621</v>
      </c>
      <c r="M118" s="52" t="s">
        <v>20999</v>
      </c>
      <c r="N118" s="2">
        <v>25000.000000000004</v>
      </c>
      <c r="O118" s="82">
        <v>42217</v>
      </c>
      <c r="P118" s="52" t="str">
        <f t="shared" si="45"/>
        <v>DS - Tommy Prasetyo Utomo</v>
      </c>
      <c r="Q118" s="52" t="str">
        <f t="shared" si="27"/>
        <v>KPS-10-10</v>
      </c>
    </row>
    <row r="119" spans="1:17" x14ac:dyDescent="0.35">
      <c r="A119" s="52" t="s">
        <v>6063</v>
      </c>
      <c r="C119" s="52" t="str">
        <f>"""TRUST Nav"",""HSPMTB2016"",""17"",""1"",""3546"""</f>
        <v>"TRUST Nav","HSPMTB2016","17","1","3546"</v>
      </c>
      <c r="D119" s="52" t="str">
        <f t="shared" si="41"/>
        <v>Customer</v>
      </c>
      <c r="I119" s="52" t="str">
        <f t="shared" si="29"/>
        <v>KK-04621|42248</v>
      </c>
      <c r="J119" s="82">
        <v>42368</v>
      </c>
      <c r="K119" s="52" t="str">
        <f t="shared" si="30"/>
        <v>Customer</v>
      </c>
      <c r="L119" s="52" t="str">
        <f t="shared" si="44"/>
        <v>KK-04621</v>
      </c>
      <c r="M119" s="52" t="s">
        <v>20999</v>
      </c>
      <c r="N119" s="2">
        <v>25000.000000000004</v>
      </c>
      <c r="O119" s="82">
        <v>42248</v>
      </c>
      <c r="P119" s="52" t="str">
        <f t="shared" si="45"/>
        <v>DS - Tommy Prasetyo Utomo</v>
      </c>
      <c r="Q119" s="52" t="str">
        <f t="shared" si="27"/>
        <v>KPS-10-10</v>
      </c>
    </row>
    <row r="120" spans="1:17" x14ac:dyDescent="0.35">
      <c r="A120" s="52" t="s">
        <v>6063</v>
      </c>
      <c r="C120" s="52" t="str">
        <f>"""TRUST Nav"",""HSPMTB2016"",""17"",""1"",""3547"""</f>
        <v>"TRUST Nav","HSPMTB2016","17","1","3547"</v>
      </c>
      <c r="D120" s="52" t="str">
        <f t="shared" si="41"/>
        <v>Customer</v>
      </c>
      <c r="I120" s="52" t="str">
        <f t="shared" si="29"/>
        <v>KK-04621|42278</v>
      </c>
      <c r="J120" s="82">
        <v>42368</v>
      </c>
      <c r="K120" s="52" t="str">
        <f t="shared" si="30"/>
        <v>Customer</v>
      </c>
      <c r="L120" s="52" t="str">
        <f t="shared" si="44"/>
        <v>KK-04621</v>
      </c>
      <c r="M120" s="52" t="s">
        <v>20999</v>
      </c>
      <c r="N120" s="2">
        <v>25000.000000000004</v>
      </c>
      <c r="O120" s="82">
        <v>42278</v>
      </c>
      <c r="P120" s="52" t="str">
        <f t="shared" si="45"/>
        <v>DS - Tommy Prasetyo Utomo</v>
      </c>
      <c r="Q120" s="52" t="str">
        <f t="shared" si="27"/>
        <v>KPS-10-10</v>
      </c>
    </row>
    <row r="121" spans="1:17" x14ac:dyDescent="0.35">
      <c r="A121" s="52" t="s">
        <v>6063</v>
      </c>
      <c r="C121" s="52" t="str">
        <f>"""TRUST Nav"",""HSPMTB2016"",""17"",""1"",""3548"""</f>
        <v>"TRUST Nav","HSPMTB2016","17","1","3548"</v>
      </c>
      <c r="D121" s="52" t="str">
        <f t="shared" si="41"/>
        <v>Customer</v>
      </c>
      <c r="I121" s="52" t="str">
        <f t="shared" si="29"/>
        <v>KK-04621|42309</v>
      </c>
      <c r="J121" s="82">
        <v>42368</v>
      </c>
      <c r="K121" s="52" t="str">
        <f t="shared" si="30"/>
        <v>Customer</v>
      </c>
      <c r="L121" s="52" t="str">
        <f t="shared" si="44"/>
        <v>KK-04621</v>
      </c>
      <c r="M121" s="52" t="s">
        <v>20999</v>
      </c>
      <c r="N121" s="2">
        <v>25000.000000000004</v>
      </c>
      <c r="O121" s="82">
        <v>42309</v>
      </c>
      <c r="P121" s="52" t="str">
        <f t="shared" si="45"/>
        <v>DS - Tommy Prasetyo Utomo</v>
      </c>
      <c r="Q121" s="52" t="str">
        <f t="shared" si="27"/>
        <v>KPS-10-10</v>
      </c>
    </row>
    <row r="122" spans="1:17" x14ac:dyDescent="0.35">
      <c r="A122" s="52" t="s">
        <v>6063</v>
      </c>
      <c r="C122" s="52" t="str">
        <f>"""TRUST Nav"",""HSPMTB2016"",""17"",""1"",""3549"""</f>
        <v>"TRUST Nav","HSPMTB2016","17","1","3549"</v>
      </c>
      <c r="D122" s="52" t="str">
        <f t="shared" si="41"/>
        <v>Customer</v>
      </c>
      <c r="I122" s="52" t="str">
        <f t="shared" si="29"/>
        <v>KK-04621|42339</v>
      </c>
      <c r="J122" s="82">
        <v>42368</v>
      </c>
      <c r="K122" s="52" t="str">
        <f t="shared" si="30"/>
        <v>Customer</v>
      </c>
      <c r="L122" s="52" t="str">
        <f t="shared" si="44"/>
        <v>KK-04621</v>
      </c>
      <c r="M122" s="52" t="s">
        <v>20999</v>
      </c>
      <c r="N122" s="2">
        <v>25000.000000000004</v>
      </c>
      <c r="O122" s="82">
        <v>42339</v>
      </c>
      <c r="P122" s="52" t="str">
        <f t="shared" si="45"/>
        <v>DS - Tommy Prasetyo Utomo</v>
      </c>
      <c r="Q122" s="52" t="str">
        <f t="shared" si="27"/>
        <v>KPS-10-10</v>
      </c>
    </row>
    <row r="123" spans="1:17" x14ac:dyDescent="0.35">
      <c r="A123" s="52" t="s">
        <v>6063</v>
      </c>
      <c r="C123" s="52" t="str">
        <f>"""TRUST Nav"",""HSPMTB2016"",""17"",""1"",""3550"""</f>
        <v>"TRUST Nav","HSPMTB2016","17","1","3550"</v>
      </c>
      <c r="D123" s="52" t="str">
        <f t="shared" si="41"/>
        <v>Customer</v>
      </c>
      <c r="I123" s="52" t="str">
        <f t="shared" si="29"/>
        <v>KK-04622|42186</v>
      </c>
      <c r="J123" s="82">
        <v>42368</v>
      </c>
      <c r="K123" s="52" t="str">
        <f t="shared" si="30"/>
        <v>Customer</v>
      </c>
      <c r="L123" s="52" t="str">
        <f t="shared" ref="L123:L128" si="46">"KK-04622"</f>
        <v>KK-04622</v>
      </c>
      <c r="M123" s="52" t="s">
        <v>21000</v>
      </c>
      <c r="N123" s="2">
        <v>25000.000000000004</v>
      </c>
      <c r="O123" s="82">
        <v>42186</v>
      </c>
      <c r="P123" s="52" t="str">
        <f t="shared" ref="P123:P128" si="47">"DS - Tri Saptono Vinsentius "</f>
        <v xml:space="preserve">DS - Tri Saptono Vinsentius </v>
      </c>
      <c r="Q123" s="52" t="str">
        <f t="shared" si="27"/>
        <v>KPS-10-10</v>
      </c>
    </row>
    <row r="124" spans="1:17" x14ac:dyDescent="0.35">
      <c r="A124" s="52" t="s">
        <v>6063</v>
      </c>
      <c r="C124" s="52" t="str">
        <f>"""TRUST Nav"",""HSPMTB2016"",""17"",""1"",""3551"""</f>
        <v>"TRUST Nav","HSPMTB2016","17","1","3551"</v>
      </c>
      <c r="D124" s="52" t="str">
        <f t="shared" si="41"/>
        <v>Customer</v>
      </c>
      <c r="I124" s="52" t="str">
        <f t="shared" si="29"/>
        <v>KK-04622|42217</v>
      </c>
      <c r="J124" s="82">
        <v>42368</v>
      </c>
      <c r="K124" s="52" t="str">
        <f t="shared" si="30"/>
        <v>Customer</v>
      </c>
      <c r="L124" s="52" t="str">
        <f t="shared" si="46"/>
        <v>KK-04622</v>
      </c>
      <c r="M124" s="52" t="s">
        <v>21000</v>
      </c>
      <c r="N124" s="2">
        <v>25000.000000000004</v>
      </c>
      <c r="O124" s="82">
        <v>42217</v>
      </c>
      <c r="P124" s="52" t="str">
        <f t="shared" si="47"/>
        <v xml:space="preserve">DS - Tri Saptono Vinsentius </v>
      </c>
      <c r="Q124" s="52" t="str">
        <f t="shared" si="27"/>
        <v>KPS-10-10</v>
      </c>
    </row>
    <row r="125" spans="1:17" x14ac:dyDescent="0.35">
      <c r="A125" s="52" t="s">
        <v>6063</v>
      </c>
      <c r="C125" s="52" t="str">
        <f>"""TRUST Nav"",""HSPMTB2016"",""17"",""1"",""3552"""</f>
        <v>"TRUST Nav","HSPMTB2016","17","1","3552"</v>
      </c>
      <c r="D125" s="52" t="str">
        <f t="shared" si="41"/>
        <v>Customer</v>
      </c>
      <c r="I125" s="52" t="str">
        <f t="shared" si="29"/>
        <v>KK-04622|42248</v>
      </c>
      <c r="J125" s="82">
        <v>42368</v>
      </c>
      <c r="K125" s="52" t="str">
        <f t="shared" si="30"/>
        <v>Customer</v>
      </c>
      <c r="L125" s="52" t="str">
        <f t="shared" si="46"/>
        <v>KK-04622</v>
      </c>
      <c r="M125" s="52" t="s">
        <v>21000</v>
      </c>
      <c r="N125" s="2">
        <v>25000.000000000004</v>
      </c>
      <c r="O125" s="82">
        <v>42248</v>
      </c>
      <c r="P125" s="52" t="str">
        <f t="shared" si="47"/>
        <v xml:space="preserve">DS - Tri Saptono Vinsentius </v>
      </c>
      <c r="Q125" s="52" t="str">
        <f t="shared" si="27"/>
        <v>KPS-10-10</v>
      </c>
    </row>
    <row r="126" spans="1:17" x14ac:dyDescent="0.35">
      <c r="A126" s="52" t="s">
        <v>6063</v>
      </c>
      <c r="C126" s="52" t="str">
        <f>"""TRUST Nav"",""HSPMTB2016"",""17"",""1"",""3553"""</f>
        <v>"TRUST Nav","HSPMTB2016","17","1","3553"</v>
      </c>
      <c r="D126" s="52" t="str">
        <f t="shared" si="41"/>
        <v>Customer</v>
      </c>
      <c r="I126" s="52" t="str">
        <f t="shared" si="29"/>
        <v>KK-04622|42278</v>
      </c>
      <c r="J126" s="82">
        <v>42368</v>
      </c>
      <c r="K126" s="52" t="str">
        <f t="shared" si="30"/>
        <v>Customer</v>
      </c>
      <c r="L126" s="52" t="str">
        <f t="shared" si="46"/>
        <v>KK-04622</v>
      </c>
      <c r="M126" s="52" t="s">
        <v>21000</v>
      </c>
      <c r="N126" s="2">
        <v>25000.000000000004</v>
      </c>
      <c r="O126" s="82">
        <v>42278</v>
      </c>
      <c r="P126" s="52" t="str">
        <f t="shared" si="47"/>
        <v xml:space="preserve">DS - Tri Saptono Vinsentius </v>
      </c>
      <c r="Q126" s="52" t="str">
        <f t="shared" si="27"/>
        <v>KPS-10-10</v>
      </c>
    </row>
    <row r="127" spans="1:17" x14ac:dyDescent="0.35">
      <c r="A127" s="52" t="s">
        <v>6063</v>
      </c>
      <c r="C127" s="52" t="str">
        <f>"""TRUST Nav"",""HSPMTB2016"",""17"",""1"",""3554"""</f>
        <v>"TRUST Nav","HSPMTB2016","17","1","3554"</v>
      </c>
      <c r="D127" s="52" t="str">
        <f t="shared" si="41"/>
        <v>Customer</v>
      </c>
      <c r="I127" s="52" t="str">
        <f t="shared" si="29"/>
        <v>KK-04622|42309</v>
      </c>
      <c r="J127" s="82">
        <v>42368</v>
      </c>
      <c r="K127" s="52" t="str">
        <f t="shared" si="30"/>
        <v>Customer</v>
      </c>
      <c r="L127" s="52" t="str">
        <f t="shared" si="46"/>
        <v>KK-04622</v>
      </c>
      <c r="M127" s="52" t="s">
        <v>21000</v>
      </c>
      <c r="N127" s="2">
        <v>25000.000000000004</v>
      </c>
      <c r="O127" s="82">
        <v>42309</v>
      </c>
      <c r="P127" s="52" t="str">
        <f t="shared" si="47"/>
        <v xml:space="preserve">DS - Tri Saptono Vinsentius </v>
      </c>
      <c r="Q127" s="52" t="str">
        <f t="shared" si="27"/>
        <v>KPS-10-10</v>
      </c>
    </row>
    <row r="128" spans="1:17" x14ac:dyDescent="0.35">
      <c r="A128" s="52" t="s">
        <v>6063</v>
      </c>
      <c r="C128" s="52" t="str">
        <f>"""TRUST Nav"",""HSPMTB2016"",""17"",""1"",""3555"""</f>
        <v>"TRUST Nav","HSPMTB2016","17","1","3555"</v>
      </c>
      <c r="D128" s="52" t="str">
        <f t="shared" si="41"/>
        <v>Customer</v>
      </c>
      <c r="I128" s="52" t="str">
        <f t="shared" si="29"/>
        <v>KK-04622|42339</v>
      </c>
      <c r="J128" s="82">
        <v>42368</v>
      </c>
      <c r="K128" s="52" t="str">
        <f t="shared" si="30"/>
        <v>Customer</v>
      </c>
      <c r="L128" s="52" t="str">
        <f t="shared" si="46"/>
        <v>KK-04622</v>
      </c>
      <c r="M128" s="52" t="s">
        <v>21000</v>
      </c>
      <c r="N128" s="2">
        <v>25000.000000000004</v>
      </c>
      <c r="O128" s="82">
        <v>42339</v>
      </c>
      <c r="P128" s="52" t="str">
        <f t="shared" si="47"/>
        <v xml:space="preserve">DS - Tri Saptono Vinsentius </v>
      </c>
      <c r="Q128" s="52" t="str">
        <f t="shared" si="27"/>
        <v>KPS-10-10</v>
      </c>
    </row>
    <row r="129" spans="1:17" x14ac:dyDescent="0.35">
      <c r="A129" s="52" t="s">
        <v>6063</v>
      </c>
      <c r="C129" s="52" t="str">
        <f>"""TRUST Nav"",""HSPMTB2016"",""17"",""1"",""3556"""</f>
        <v>"TRUST Nav","HSPMTB2016","17","1","3556"</v>
      </c>
      <c r="D129" s="52" t="str">
        <f t="shared" si="41"/>
        <v>Customer</v>
      </c>
      <c r="I129" s="52" t="str">
        <f t="shared" si="29"/>
        <v>KK-04624|42186</v>
      </c>
      <c r="J129" s="82">
        <v>42368</v>
      </c>
      <c r="K129" s="52" t="str">
        <f t="shared" si="30"/>
        <v>Customer</v>
      </c>
      <c r="L129" s="52" t="str">
        <f t="shared" ref="L129:L134" si="48">"KK-04624"</f>
        <v>KK-04624</v>
      </c>
      <c r="M129" s="52" t="s">
        <v>21001</v>
      </c>
      <c r="N129" s="2">
        <v>40000</v>
      </c>
      <c r="O129" s="82">
        <v>42186</v>
      </c>
      <c r="P129" s="52" t="str">
        <f t="shared" ref="P129:P134" si="49">"DS - Yohanes Hendy Setiawan"</f>
        <v>DS - Yohanes Hendy Setiawan</v>
      </c>
      <c r="Q129" s="52" t="str">
        <f t="shared" si="27"/>
        <v>KPS-10-10</v>
      </c>
    </row>
    <row r="130" spans="1:17" x14ac:dyDescent="0.35">
      <c r="A130" s="52" t="s">
        <v>6063</v>
      </c>
      <c r="C130" s="52" t="str">
        <f>"""TRUST Nav"",""HSPMTB2016"",""17"",""1"",""3557"""</f>
        <v>"TRUST Nav","HSPMTB2016","17","1","3557"</v>
      </c>
      <c r="D130" s="52" t="str">
        <f t="shared" si="41"/>
        <v>Customer</v>
      </c>
      <c r="I130" s="52" t="str">
        <f t="shared" si="29"/>
        <v>KK-04624|42217</v>
      </c>
      <c r="J130" s="82">
        <v>42368</v>
      </c>
      <c r="K130" s="52" t="str">
        <f t="shared" si="30"/>
        <v>Customer</v>
      </c>
      <c r="L130" s="52" t="str">
        <f t="shared" si="48"/>
        <v>KK-04624</v>
      </c>
      <c r="M130" s="52" t="s">
        <v>21001</v>
      </c>
      <c r="N130" s="2">
        <v>40000</v>
      </c>
      <c r="O130" s="82">
        <v>42217</v>
      </c>
      <c r="P130" s="52" t="str">
        <f t="shared" si="49"/>
        <v>DS - Yohanes Hendy Setiawan</v>
      </c>
      <c r="Q130" s="52" t="str">
        <f t="shared" si="27"/>
        <v>KPS-10-10</v>
      </c>
    </row>
    <row r="131" spans="1:17" x14ac:dyDescent="0.35">
      <c r="A131" s="52" t="s">
        <v>6063</v>
      </c>
      <c r="C131" s="52" t="str">
        <f>"""TRUST Nav"",""HSPMTB2016"",""17"",""1"",""3558"""</f>
        <v>"TRUST Nav","HSPMTB2016","17","1","3558"</v>
      </c>
      <c r="D131" s="52" t="str">
        <f t="shared" si="41"/>
        <v>Customer</v>
      </c>
      <c r="I131" s="52" t="str">
        <f t="shared" si="29"/>
        <v>KK-04624|42248</v>
      </c>
      <c r="J131" s="82">
        <v>42368</v>
      </c>
      <c r="K131" s="52" t="str">
        <f t="shared" si="30"/>
        <v>Customer</v>
      </c>
      <c r="L131" s="52" t="str">
        <f t="shared" si="48"/>
        <v>KK-04624</v>
      </c>
      <c r="M131" s="52" t="s">
        <v>21001</v>
      </c>
      <c r="N131" s="2">
        <v>40000</v>
      </c>
      <c r="O131" s="82">
        <v>42248</v>
      </c>
      <c r="P131" s="52" t="str">
        <f t="shared" si="49"/>
        <v>DS - Yohanes Hendy Setiawan</v>
      </c>
      <c r="Q131" s="52" t="str">
        <f t="shared" si="27"/>
        <v>KPS-10-10</v>
      </c>
    </row>
    <row r="132" spans="1:17" x14ac:dyDescent="0.35">
      <c r="A132" s="52" t="s">
        <v>6063</v>
      </c>
      <c r="C132" s="52" t="str">
        <f>"""TRUST Nav"",""HSPMTB2016"",""17"",""1"",""3559"""</f>
        <v>"TRUST Nav","HSPMTB2016","17","1","3559"</v>
      </c>
      <c r="D132" s="52" t="str">
        <f t="shared" si="41"/>
        <v>Customer</v>
      </c>
      <c r="I132" s="52" t="str">
        <f t="shared" si="29"/>
        <v>KK-04624|42278</v>
      </c>
      <c r="J132" s="82">
        <v>42368</v>
      </c>
      <c r="K132" s="52" t="str">
        <f t="shared" si="30"/>
        <v>Customer</v>
      </c>
      <c r="L132" s="52" t="str">
        <f t="shared" si="48"/>
        <v>KK-04624</v>
      </c>
      <c r="M132" s="52" t="s">
        <v>21001</v>
      </c>
      <c r="N132" s="2">
        <v>40000</v>
      </c>
      <c r="O132" s="82">
        <v>42278</v>
      </c>
      <c r="P132" s="52" t="str">
        <f t="shared" si="49"/>
        <v>DS - Yohanes Hendy Setiawan</v>
      </c>
      <c r="Q132" s="52" t="str">
        <f t="shared" si="27"/>
        <v>KPS-10-10</v>
      </c>
    </row>
    <row r="133" spans="1:17" x14ac:dyDescent="0.35">
      <c r="A133" s="52" t="s">
        <v>6063</v>
      </c>
      <c r="C133" s="52" t="str">
        <f>"""TRUST Nav"",""HSPMTB2016"",""17"",""1"",""3560"""</f>
        <v>"TRUST Nav","HSPMTB2016","17","1","3560"</v>
      </c>
      <c r="D133" s="52" t="str">
        <f t="shared" si="41"/>
        <v>Customer</v>
      </c>
      <c r="I133" s="52" t="str">
        <f t="shared" si="29"/>
        <v>KK-04624|42309</v>
      </c>
      <c r="J133" s="82">
        <v>42368</v>
      </c>
      <c r="K133" s="52" t="str">
        <f t="shared" si="30"/>
        <v>Customer</v>
      </c>
      <c r="L133" s="52" t="str">
        <f t="shared" si="48"/>
        <v>KK-04624</v>
      </c>
      <c r="M133" s="52" t="s">
        <v>21001</v>
      </c>
      <c r="N133" s="2">
        <v>40000</v>
      </c>
      <c r="O133" s="82">
        <v>42309</v>
      </c>
      <c r="P133" s="52" t="str">
        <f t="shared" si="49"/>
        <v>DS - Yohanes Hendy Setiawan</v>
      </c>
      <c r="Q133" s="52" t="str">
        <f t="shared" si="27"/>
        <v>KPS-10-10</v>
      </c>
    </row>
    <row r="134" spans="1:17" x14ac:dyDescent="0.35">
      <c r="A134" s="52" t="s">
        <v>6063</v>
      </c>
      <c r="C134" s="52" t="str">
        <f>"""TRUST Nav"",""HSPMTB2016"",""17"",""1"",""3561"""</f>
        <v>"TRUST Nav","HSPMTB2016","17","1","3561"</v>
      </c>
      <c r="D134" s="52" t="str">
        <f t="shared" si="41"/>
        <v>Customer</v>
      </c>
      <c r="I134" s="52" t="str">
        <f t="shared" si="29"/>
        <v>KK-04624|42339</v>
      </c>
      <c r="J134" s="82">
        <v>42368</v>
      </c>
      <c r="K134" s="52" t="str">
        <f t="shared" si="30"/>
        <v>Customer</v>
      </c>
      <c r="L134" s="52" t="str">
        <f t="shared" si="48"/>
        <v>KK-04624</v>
      </c>
      <c r="M134" s="52" t="s">
        <v>21001</v>
      </c>
      <c r="N134" s="2">
        <v>40000</v>
      </c>
      <c r="O134" s="82">
        <v>42339</v>
      </c>
      <c r="P134" s="52" t="str">
        <f t="shared" si="49"/>
        <v>DS - Yohanes Hendy Setiawan</v>
      </c>
      <c r="Q134" s="52" t="str">
        <f t="shared" si="27"/>
        <v>KPS-10-10</v>
      </c>
    </row>
    <row r="135" spans="1:17" x14ac:dyDescent="0.35">
      <c r="A135" s="52" t="s">
        <v>6063</v>
      </c>
      <c r="C135" s="52" t="str">
        <f>"""TRUST Nav"",""HSPMTB2016"",""17"",""1"",""3562"""</f>
        <v>"TRUST Nav","HSPMTB2016","17","1","3562"</v>
      </c>
      <c r="D135" s="52" t="str">
        <f t="shared" si="41"/>
        <v>Customer</v>
      </c>
      <c r="I135" s="52" t="str">
        <f t="shared" si="29"/>
        <v>KK-04625|42186</v>
      </c>
      <c r="J135" s="82">
        <v>42368</v>
      </c>
      <c r="K135" s="52" t="str">
        <f t="shared" si="30"/>
        <v>Customer</v>
      </c>
      <c r="L135" s="52" t="str">
        <f t="shared" ref="L135:L140" si="50">"KK-04625"</f>
        <v>KK-04625</v>
      </c>
      <c r="M135" s="52" t="s">
        <v>21002</v>
      </c>
      <c r="N135" s="2">
        <v>100000.00000000001</v>
      </c>
      <c r="O135" s="82">
        <v>42186</v>
      </c>
      <c r="P135" s="52" t="str">
        <f t="shared" ref="P135:P140" si="51">"DS - Yunius Samara"</f>
        <v>DS - Yunius Samara</v>
      </c>
      <c r="Q135" s="52" t="str">
        <f t="shared" si="27"/>
        <v>KPS-10-10</v>
      </c>
    </row>
    <row r="136" spans="1:17" x14ac:dyDescent="0.35">
      <c r="A136" s="52" t="s">
        <v>6063</v>
      </c>
      <c r="C136" s="52" t="str">
        <f>"""TRUST Nav"",""HSPMTB2016"",""17"",""1"",""3563"""</f>
        <v>"TRUST Nav","HSPMTB2016","17","1","3563"</v>
      </c>
      <c r="D136" s="52" t="str">
        <f t="shared" si="41"/>
        <v>Customer</v>
      </c>
      <c r="I136" s="52" t="str">
        <f t="shared" si="29"/>
        <v>KK-04625|42217</v>
      </c>
      <c r="J136" s="82">
        <v>42368</v>
      </c>
      <c r="K136" s="52" t="str">
        <f t="shared" si="30"/>
        <v>Customer</v>
      </c>
      <c r="L136" s="52" t="str">
        <f t="shared" si="50"/>
        <v>KK-04625</v>
      </c>
      <c r="M136" s="52" t="s">
        <v>21002</v>
      </c>
      <c r="N136" s="2">
        <v>100000.00000000001</v>
      </c>
      <c r="O136" s="82">
        <v>42217</v>
      </c>
      <c r="P136" s="52" t="str">
        <f t="shared" si="51"/>
        <v>DS - Yunius Samara</v>
      </c>
      <c r="Q136" s="52" t="str">
        <f t="shared" si="27"/>
        <v>KPS-10-10</v>
      </c>
    </row>
    <row r="137" spans="1:17" x14ac:dyDescent="0.35">
      <c r="A137" s="52" t="s">
        <v>6063</v>
      </c>
      <c r="C137" s="52" t="str">
        <f>"""TRUST Nav"",""HSPMTB2016"",""17"",""1"",""3564"""</f>
        <v>"TRUST Nav","HSPMTB2016","17","1","3564"</v>
      </c>
      <c r="D137" s="52" t="str">
        <f t="shared" si="41"/>
        <v>Customer</v>
      </c>
      <c r="I137" s="52" t="str">
        <f t="shared" si="29"/>
        <v>KK-04625|42248</v>
      </c>
      <c r="J137" s="82">
        <v>42368</v>
      </c>
      <c r="K137" s="52" t="str">
        <f t="shared" si="30"/>
        <v>Customer</v>
      </c>
      <c r="L137" s="52" t="str">
        <f t="shared" si="50"/>
        <v>KK-04625</v>
      </c>
      <c r="M137" s="52" t="s">
        <v>21002</v>
      </c>
      <c r="N137" s="2">
        <v>100000.00000000001</v>
      </c>
      <c r="O137" s="82">
        <v>42248</v>
      </c>
      <c r="P137" s="52" t="str">
        <f t="shared" si="51"/>
        <v>DS - Yunius Samara</v>
      </c>
      <c r="Q137" s="52" t="str">
        <f t="shared" si="27"/>
        <v>KPS-10-10</v>
      </c>
    </row>
    <row r="138" spans="1:17" x14ac:dyDescent="0.35">
      <c r="A138" s="52" t="s">
        <v>6063</v>
      </c>
      <c r="C138" s="52" t="str">
        <f>"""TRUST Nav"",""HSPMTB2016"",""17"",""1"",""3565"""</f>
        <v>"TRUST Nav","HSPMTB2016","17","1","3565"</v>
      </c>
      <c r="D138" s="52" t="str">
        <f t="shared" si="41"/>
        <v>Customer</v>
      </c>
      <c r="I138" s="52" t="str">
        <f t="shared" si="29"/>
        <v>KK-04625|42278</v>
      </c>
      <c r="J138" s="82">
        <v>42368</v>
      </c>
      <c r="K138" s="52" t="str">
        <f t="shared" si="30"/>
        <v>Customer</v>
      </c>
      <c r="L138" s="52" t="str">
        <f t="shared" si="50"/>
        <v>KK-04625</v>
      </c>
      <c r="M138" s="52" t="s">
        <v>21002</v>
      </c>
      <c r="N138" s="2">
        <v>100000.00000000001</v>
      </c>
      <c r="O138" s="82">
        <v>42278</v>
      </c>
      <c r="P138" s="52" t="str">
        <f t="shared" si="51"/>
        <v>DS - Yunius Samara</v>
      </c>
      <c r="Q138" s="52" t="str">
        <f t="shared" si="27"/>
        <v>KPS-10-10</v>
      </c>
    </row>
    <row r="139" spans="1:17" x14ac:dyDescent="0.35">
      <c r="A139" s="52" t="s">
        <v>6063</v>
      </c>
      <c r="C139" s="52" t="str">
        <f>"""TRUST Nav"",""HSPMTB2016"",""17"",""1"",""3566"""</f>
        <v>"TRUST Nav","HSPMTB2016","17","1","3566"</v>
      </c>
      <c r="D139" s="52" t="str">
        <f t="shared" si="41"/>
        <v>Customer</v>
      </c>
      <c r="I139" s="52" t="str">
        <f t="shared" si="29"/>
        <v>KK-04625|42309</v>
      </c>
      <c r="J139" s="82">
        <v>42368</v>
      </c>
      <c r="K139" s="52" t="str">
        <f t="shared" si="30"/>
        <v>Customer</v>
      </c>
      <c r="L139" s="52" t="str">
        <f t="shared" si="50"/>
        <v>KK-04625</v>
      </c>
      <c r="M139" s="52" t="s">
        <v>21002</v>
      </c>
      <c r="N139" s="2">
        <v>100000.00000000001</v>
      </c>
      <c r="O139" s="82">
        <v>42309</v>
      </c>
      <c r="P139" s="52" t="str">
        <f t="shared" si="51"/>
        <v>DS - Yunius Samara</v>
      </c>
      <c r="Q139" s="52" t="str">
        <f t="shared" si="27"/>
        <v>KPS-10-10</v>
      </c>
    </row>
    <row r="140" spans="1:17" x14ac:dyDescent="0.35">
      <c r="A140" s="52" t="s">
        <v>6063</v>
      </c>
      <c r="C140" s="52" t="str">
        <f>"""TRUST Nav"",""HSPMTB2016"",""17"",""1"",""3567"""</f>
        <v>"TRUST Nav","HSPMTB2016","17","1","3567"</v>
      </c>
      <c r="D140" s="52" t="str">
        <f t="shared" si="41"/>
        <v>Customer</v>
      </c>
      <c r="I140" s="52" t="str">
        <f t="shared" si="29"/>
        <v>KK-04625|42339</v>
      </c>
      <c r="J140" s="82">
        <v>42368</v>
      </c>
      <c r="K140" s="52" t="str">
        <f t="shared" si="30"/>
        <v>Customer</v>
      </c>
      <c r="L140" s="52" t="str">
        <f t="shared" si="50"/>
        <v>KK-04625</v>
      </c>
      <c r="M140" s="52" t="s">
        <v>21002</v>
      </c>
      <c r="N140" s="2">
        <v>100000.00000000001</v>
      </c>
      <c r="O140" s="82">
        <v>42339</v>
      </c>
      <c r="P140" s="52" t="str">
        <f t="shared" si="51"/>
        <v>DS - Yunius Samara</v>
      </c>
      <c r="Q140" s="52" t="str">
        <f t="shared" si="27"/>
        <v>KPS-10-10</v>
      </c>
    </row>
    <row r="141" spans="1:17" x14ac:dyDescent="0.35">
      <c r="A141" s="52" t="s">
        <v>6063</v>
      </c>
      <c r="C141" s="52" t="str">
        <f>"""TRUST Nav"",""HSPMTB2016"",""17"",""1"",""3568"""</f>
        <v>"TRUST Nav","HSPMTB2016","17","1","3568"</v>
      </c>
      <c r="D141" s="52" t="str">
        <f t="shared" si="41"/>
        <v>Customer</v>
      </c>
      <c r="I141" s="52" t="str">
        <f t="shared" si="29"/>
        <v>KK-04626|42186</v>
      </c>
      <c r="J141" s="82">
        <v>42368</v>
      </c>
      <c r="K141" s="52" t="str">
        <f t="shared" si="30"/>
        <v>Customer</v>
      </c>
      <c r="L141" s="52" t="str">
        <f t="shared" ref="L141:L146" si="52">"KK-04626"</f>
        <v>KK-04626</v>
      </c>
      <c r="M141" s="52" t="s">
        <v>21003</v>
      </c>
      <c r="N141" s="2">
        <v>25000.000000000004</v>
      </c>
      <c r="O141" s="82">
        <v>42186</v>
      </c>
      <c r="P141" s="52" t="str">
        <f t="shared" ref="P141:P146" si="53">"DS - Hadi Suwana"</f>
        <v>DS - Hadi Suwana</v>
      </c>
      <c r="Q141" s="52" t="str">
        <f t="shared" ref="Q141:Q204" si="54">"KPS-10-10"</f>
        <v>KPS-10-10</v>
      </c>
    </row>
    <row r="142" spans="1:17" x14ac:dyDescent="0.35">
      <c r="A142" s="52" t="s">
        <v>6063</v>
      </c>
      <c r="C142" s="52" t="str">
        <f>"""TRUST Nav"",""HSPMTB2016"",""17"",""1"",""3569"""</f>
        <v>"TRUST Nav","HSPMTB2016","17","1","3569"</v>
      </c>
      <c r="D142" s="52" t="str">
        <f t="shared" si="41"/>
        <v>Customer</v>
      </c>
      <c r="I142" s="52" t="str">
        <f t="shared" ref="I142:I205" si="55">CONCATENATE(L142,"|",O142)</f>
        <v>KK-04626|42217</v>
      </c>
      <c r="J142" s="82">
        <v>42368</v>
      </c>
      <c r="K142" s="52" t="str">
        <f t="shared" ref="K142:K205" si="56">IF($D142="Customer",$D142,"G/L")</f>
        <v>Customer</v>
      </c>
      <c r="L142" s="52" t="str">
        <f t="shared" si="52"/>
        <v>KK-04626</v>
      </c>
      <c r="M142" s="52" t="s">
        <v>21003</v>
      </c>
      <c r="N142" s="2">
        <v>25000.000000000004</v>
      </c>
      <c r="O142" s="82">
        <v>42217</v>
      </c>
      <c r="P142" s="52" t="str">
        <f t="shared" si="53"/>
        <v>DS - Hadi Suwana</v>
      </c>
      <c r="Q142" s="52" t="str">
        <f t="shared" si="54"/>
        <v>KPS-10-10</v>
      </c>
    </row>
    <row r="143" spans="1:17" x14ac:dyDescent="0.35">
      <c r="A143" s="52" t="s">
        <v>6063</v>
      </c>
      <c r="C143" s="52" t="str">
        <f>"""TRUST Nav"",""HSPMTB2016"",""17"",""1"",""3570"""</f>
        <v>"TRUST Nav","HSPMTB2016","17","1","3570"</v>
      </c>
      <c r="D143" s="52" t="str">
        <f t="shared" si="41"/>
        <v>Customer</v>
      </c>
      <c r="I143" s="52" t="str">
        <f t="shared" si="55"/>
        <v>KK-04626|42248</v>
      </c>
      <c r="J143" s="82">
        <v>42368</v>
      </c>
      <c r="K143" s="52" t="str">
        <f t="shared" si="56"/>
        <v>Customer</v>
      </c>
      <c r="L143" s="52" t="str">
        <f t="shared" si="52"/>
        <v>KK-04626</v>
      </c>
      <c r="M143" s="52" t="s">
        <v>21003</v>
      </c>
      <c r="N143" s="2">
        <v>25000.000000000004</v>
      </c>
      <c r="O143" s="82">
        <v>42248</v>
      </c>
      <c r="P143" s="52" t="str">
        <f t="shared" si="53"/>
        <v>DS - Hadi Suwana</v>
      </c>
      <c r="Q143" s="52" t="str">
        <f t="shared" si="54"/>
        <v>KPS-10-10</v>
      </c>
    </row>
    <row r="144" spans="1:17" x14ac:dyDescent="0.35">
      <c r="A144" s="52" t="s">
        <v>6063</v>
      </c>
      <c r="C144" s="52" t="str">
        <f>"""TRUST Nav"",""HSPMTB2016"",""17"",""1"",""3571"""</f>
        <v>"TRUST Nav","HSPMTB2016","17","1","3571"</v>
      </c>
      <c r="D144" s="52" t="str">
        <f t="shared" si="41"/>
        <v>Customer</v>
      </c>
      <c r="I144" s="52" t="str">
        <f t="shared" si="55"/>
        <v>KK-04626|42278</v>
      </c>
      <c r="J144" s="82">
        <v>42368</v>
      </c>
      <c r="K144" s="52" t="str">
        <f t="shared" si="56"/>
        <v>Customer</v>
      </c>
      <c r="L144" s="52" t="str">
        <f t="shared" si="52"/>
        <v>KK-04626</v>
      </c>
      <c r="M144" s="52" t="s">
        <v>21003</v>
      </c>
      <c r="N144" s="2">
        <v>25000.000000000004</v>
      </c>
      <c r="O144" s="82">
        <v>42278</v>
      </c>
      <c r="P144" s="52" t="str">
        <f t="shared" si="53"/>
        <v>DS - Hadi Suwana</v>
      </c>
      <c r="Q144" s="52" t="str">
        <f t="shared" si="54"/>
        <v>KPS-10-10</v>
      </c>
    </row>
    <row r="145" spans="1:17" x14ac:dyDescent="0.35">
      <c r="A145" s="52" t="s">
        <v>6063</v>
      </c>
      <c r="C145" s="52" t="str">
        <f>"""TRUST Nav"",""HSPMTB2016"",""17"",""1"",""3572"""</f>
        <v>"TRUST Nav","HSPMTB2016","17","1","3572"</v>
      </c>
      <c r="D145" s="52" t="str">
        <f t="shared" si="41"/>
        <v>Customer</v>
      </c>
      <c r="I145" s="52" t="str">
        <f t="shared" si="55"/>
        <v>KK-04626|42309</v>
      </c>
      <c r="J145" s="82">
        <v>42368</v>
      </c>
      <c r="K145" s="52" t="str">
        <f t="shared" si="56"/>
        <v>Customer</v>
      </c>
      <c r="L145" s="52" t="str">
        <f t="shared" si="52"/>
        <v>KK-04626</v>
      </c>
      <c r="M145" s="52" t="s">
        <v>21003</v>
      </c>
      <c r="N145" s="2">
        <v>25000.000000000004</v>
      </c>
      <c r="O145" s="82">
        <v>42309</v>
      </c>
      <c r="P145" s="52" t="str">
        <f t="shared" si="53"/>
        <v>DS - Hadi Suwana</v>
      </c>
      <c r="Q145" s="52" t="str">
        <f t="shared" si="54"/>
        <v>KPS-10-10</v>
      </c>
    </row>
    <row r="146" spans="1:17" x14ac:dyDescent="0.35">
      <c r="A146" s="52" t="s">
        <v>6063</v>
      </c>
      <c r="C146" s="52" t="str">
        <f>"""TRUST Nav"",""HSPMTB2016"",""17"",""1"",""3573"""</f>
        <v>"TRUST Nav","HSPMTB2016","17","1","3573"</v>
      </c>
      <c r="D146" s="52" t="str">
        <f t="shared" si="41"/>
        <v>Customer</v>
      </c>
      <c r="I146" s="52" t="str">
        <f t="shared" si="55"/>
        <v>KK-04626|42339</v>
      </c>
      <c r="J146" s="82">
        <v>42368</v>
      </c>
      <c r="K146" s="52" t="str">
        <f t="shared" si="56"/>
        <v>Customer</v>
      </c>
      <c r="L146" s="52" t="str">
        <f t="shared" si="52"/>
        <v>KK-04626</v>
      </c>
      <c r="M146" s="52" t="s">
        <v>21003</v>
      </c>
      <c r="N146" s="2">
        <v>25000.000000000004</v>
      </c>
      <c r="O146" s="82">
        <v>42339</v>
      </c>
      <c r="P146" s="52" t="str">
        <f t="shared" si="53"/>
        <v>DS - Hadi Suwana</v>
      </c>
      <c r="Q146" s="52" t="str">
        <f t="shared" si="54"/>
        <v>KPS-10-10</v>
      </c>
    </row>
    <row r="147" spans="1:17" x14ac:dyDescent="0.35">
      <c r="A147" s="52" t="s">
        <v>6063</v>
      </c>
      <c r="C147" s="52" t="str">
        <f>"""TRUST Nav"",""HSPMTB2016"",""17"",""1"",""73436"""</f>
        <v>"TRUST Nav","HSPMTB2016","17","1","73436"</v>
      </c>
      <c r="D147" s="52" t="str">
        <f>" "</f>
        <v xml:space="preserve"> </v>
      </c>
      <c r="I147" s="52" t="str">
        <f t="shared" si="55"/>
        <v>|42370</v>
      </c>
      <c r="J147" s="82">
        <v>42400</v>
      </c>
      <c r="K147" s="52" t="str">
        <f t="shared" si="56"/>
        <v>G/L</v>
      </c>
      <c r="L147" s="52"/>
      <c r="M147" s="52" t="s">
        <v>20981</v>
      </c>
      <c r="N147" s="2">
        <v>20000</v>
      </c>
      <c r="O147" s="82">
        <v>42370</v>
      </c>
      <c r="P147" s="52" t="str">
        <f>"DS - Andreas Rasul"</f>
        <v>DS - Andreas Rasul</v>
      </c>
      <c r="Q147" s="52" t="str">
        <f t="shared" si="54"/>
        <v>KPS-10-10</v>
      </c>
    </row>
    <row r="148" spans="1:17" x14ac:dyDescent="0.35">
      <c r="A148" s="52" t="s">
        <v>6063</v>
      </c>
      <c r="C148" s="52" t="str">
        <f>"""TRUST Nav"",""HSPMTB2016"",""17"",""1"",""73417"""</f>
        <v>"TRUST Nav","HSPMTB2016","17","1","73417"</v>
      </c>
      <c r="D148" s="52" t="str">
        <f t="shared" ref="D148:D179" si="57">"Customer"</f>
        <v>Customer</v>
      </c>
      <c r="I148" s="52" t="str">
        <f t="shared" si="55"/>
        <v>KK-04599|42370</v>
      </c>
      <c r="J148" s="82">
        <v>42400</v>
      </c>
      <c r="K148" s="52" t="str">
        <f t="shared" si="56"/>
        <v>Customer</v>
      </c>
      <c r="L148" s="52" t="str">
        <f>"KK-04599"</f>
        <v>KK-04599</v>
      </c>
      <c r="M148" s="52" t="s">
        <v>20984</v>
      </c>
      <c r="N148" s="2">
        <v>50000.000000000007</v>
      </c>
      <c r="O148" s="82">
        <v>42370</v>
      </c>
      <c r="P148" s="52" t="str">
        <f>"DS - Bernardus Yogie Dirga Gunawan"</f>
        <v>DS - Bernardus Yogie Dirga Gunawan</v>
      </c>
      <c r="Q148" s="52" t="str">
        <f t="shared" si="54"/>
        <v>KPS-10-10</v>
      </c>
    </row>
    <row r="149" spans="1:17" x14ac:dyDescent="0.35">
      <c r="A149" s="52" t="s">
        <v>6063</v>
      </c>
      <c r="C149" s="52" t="str">
        <f>"""TRUST Nav"",""HSPMTB2016"",""17"",""1"",""73418"""</f>
        <v>"TRUST Nav","HSPMTB2016","17","1","73418"</v>
      </c>
      <c r="D149" s="52" t="str">
        <f t="shared" si="57"/>
        <v>Customer</v>
      </c>
      <c r="I149" s="52" t="str">
        <f t="shared" si="55"/>
        <v>KK-04599|42401</v>
      </c>
      <c r="J149" s="82">
        <v>42400</v>
      </c>
      <c r="K149" s="52" t="str">
        <f t="shared" si="56"/>
        <v>Customer</v>
      </c>
      <c r="L149" s="52" t="str">
        <f>"KK-04599"</f>
        <v>KK-04599</v>
      </c>
      <c r="M149" s="52" t="s">
        <v>20984</v>
      </c>
      <c r="N149" s="2">
        <v>50000.000000000007</v>
      </c>
      <c r="O149" s="82">
        <v>42401</v>
      </c>
      <c r="P149" s="52" t="str">
        <f>"DS - Bernardus Yogie Dirga Gunawan"</f>
        <v>DS - Bernardus Yogie Dirga Gunawan</v>
      </c>
      <c r="Q149" s="52" t="str">
        <f t="shared" si="54"/>
        <v>KPS-10-10</v>
      </c>
    </row>
    <row r="150" spans="1:17" x14ac:dyDescent="0.35">
      <c r="A150" s="52" t="s">
        <v>6063</v>
      </c>
      <c r="C150" s="52" t="str">
        <f>"""TRUST Nav"",""HSPMTB2016"",""17"",""1"",""73419"""</f>
        <v>"TRUST Nav","HSPMTB2016","17","1","73419"</v>
      </c>
      <c r="D150" s="52" t="str">
        <f t="shared" si="57"/>
        <v>Customer</v>
      </c>
      <c r="I150" s="52" t="str">
        <f t="shared" si="55"/>
        <v>KK-04626|42370</v>
      </c>
      <c r="J150" s="82">
        <v>42400</v>
      </c>
      <c r="K150" s="52" t="str">
        <f t="shared" si="56"/>
        <v>Customer</v>
      </c>
      <c r="L150" s="52" t="str">
        <f>"KK-04626"</f>
        <v>KK-04626</v>
      </c>
      <c r="M150" s="52" t="s">
        <v>21003</v>
      </c>
      <c r="N150" s="2">
        <v>25000.000000000004</v>
      </c>
      <c r="O150" s="82">
        <v>42370</v>
      </c>
      <c r="P150" s="52" t="str">
        <f>"DS - Hadi Suwana"</f>
        <v>DS - Hadi Suwana</v>
      </c>
      <c r="Q150" s="52" t="str">
        <f t="shared" si="54"/>
        <v>KPS-10-10</v>
      </c>
    </row>
    <row r="151" spans="1:17" x14ac:dyDescent="0.35">
      <c r="A151" s="52" t="s">
        <v>6063</v>
      </c>
      <c r="C151" s="52" t="str">
        <f>"""TRUST Nav"",""HSPMTB2016"",""17"",""1"",""73420"""</f>
        <v>"TRUST Nav","HSPMTB2016","17","1","73420"</v>
      </c>
      <c r="D151" s="52" t="str">
        <f t="shared" si="57"/>
        <v>Customer</v>
      </c>
      <c r="I151" s="52" t="str">
        <f t="shared" si="55"/>
        <v>KK-04626|42401</v>
      </c>
      <c r="J151" s="82">
        <v>42400</v>
      </c>
      <c r="K151" s="52" t="str">
        <f t="shared" si="56"/>
        <v>Customer</v>
      </c>
      <c r="L151" s="52" t="str">
        <f>"KK-04626"</f>
        <v>KK-04626</v>
      </c>
      <c r="M151" s="52" t="s">
        <v>21003</v>
      </c>
      <c r="N151" s="2">
        <v>25000.000000000004</v>
      </c>
      <c r="O151" s="82">
        <v>42401</v>
      </c>
      <c r="P151" s="52" t="str">
        <f>"DS - Hadi Suwana"</f>
        <v>DS - Hadi Suwana</v>
      </c>
      <c r="Q151" s="52" t="str">
        <f t="shared" si="54"/>
        <v>KPS-10-10</v>
      </c>
    </row>
    <row r="152" spans="1:17" x14ac:dyDescent="0.35">
      <c r="A152" s="52" t="s">
        <v>6063</v>
      </c>
      <c r="C152" s="52" t="str">
        <f>"""TRUST Nav"",""HSPMTB2016"",""17"",""1"",""73421"""</f>
        <v>"TRUST Nav","HSPMTB2016","17","1","73421"</v>
      </c>
      <c r="D152" s="52" t="str">
        <f t="shared" si="57"/>
        <v>Customer</v>
      </c>
      <c r="I152" s="52" t="str">
        <f t="shared" si="55"/>
        <v>KK-04626|42430</v>
      </c>
      <c r="J152" s="82">
        <v>42400</v>
      </c>
      <c r="K152" s="52" t="str">
        <f t="shared" si="56"/>
        <v>Customer</v>
      </c>
      <c r="L152" s="52" t="str">
        <f>"KK-04626"</f>
        <v>KK-04626</v>
      </c>
      <c r="M152" s="52" t="s">
        <v>21003</v>
      </c>
      <c r="N152" s="2">
        <v>25000.000000000004</v>
      </c>
      <c r="O152" s="82">
        <v>42430</v>
      </c>
      <c r="P152" s="52" t="str">
        <f>"DS - Hadi Suwana"</f>
        <v>DS - Hadi Suwana</v>
      </c>
      <c r="Q152" s="52" t="str">
        <f t="shared" si="54"/>
        <v>KPS-10-10</v>
      </c>
    </row>
    <row r="153" spans="1:17" x14ac:dyDescent="0.35">
      <c r="A153" s="52" t="s">
        <v>6063</v>
      </c>
      <c r="C153" s="52" t="str">
        <f>"""TRUST Nav"",""HSPMTB2016"",""17"",""1"",""73422"""</f>
        <v>"TRUST Nav","HSPMTB2016","17","1","73422"</v>
      </c>
      <c r="D153" s="52" t="str">
        <f t="shared" si="57"/>
        <v>Customer</v>
      </c>
      <c r="I153" s="52" t="str">
        <f t="shared" si="55"/>
        <v>KK-04626|42461</v>
      </c>
      <c r="J153" s="82">
        <v>42400</v>
      </c>
      <c r="K153" s="52" t="str">
        <f t="shared" si="56"/>
        <v>Customer</v>
      </c>
      <c r="L153" s="52" t="str">
        <f>"KK-04626"</f>
        <v>KK-04626</v>
      </c>
      <c r="M153" s="52" t="s">
        <v>21003</v>
      </c>
      <c r="N153" s="2">
        <v>25000.000000000004</v>
      </c>
      <c r="O153" s="82">
        <v>42461</v>
      </c>
      <c r="P153" s="52" t="str">
        <f>"DS - Hadi Suwana"</f>
        <v>DS - Hadi Suwana</v>
      </c>
      <c r="Q153" s="52" t="str">
        <f t="shared" si="54"/>
        <v>KPS-10-10</v>
      </c>
    </row>
    <row r="154" spans="1:17" x14ac:dyDescent="0.35">
      <c r="A154" s="52" t="s">
        <v>6063</v>
      </c>
      <c r="C154" s="52" t="str">
        <f>"""TRUST Nav"",""HSPMTB2016"",""17"",""1"",""73423"""</f>
        <v>"TRUST Nav","HSPMTB2016","17","1","73423"</v>
      </c>
      <c r="D154" s="52" t="str">
        <f t="shared" si="57"/>
        <v>Customer</v>
      </c>
      <c r="I154" s="52" t="str">
        <f t="shared" si="55"/>
        <v>KK-04607|42370</v>
      </c>
      <c r="J154" s="82">
        <v>42400</v>
      </c>
      <c r="K154" s="52" t="str">
        <f t="shared" si="56"/>
        <v>Customer</v>
      </c>
      <c r="L154" s="52" t="str">
        <f>"KK-04607"</f>
        <v>KK-04607</v>
      </c>
      <c r="M154" s="52" t="s">
        <v>20989</v>
      </c>
      <c r="N154" s="2">
        <v>150000</v>
      </c>
      <c r="O154" s="82">
        <v>42370</v>
      </c>
      <c r="P154" s="52" t="str">
        <f>"DS - Hendro Hartono"</f>
        <v>DS - Hendro Hartono</v>
      </c>
      <c r="Q154" s="52" t="str">
        <f t="shared" si="54"/>
        <v>KPS-10-10</v>
      </c>
    </row>
    <row r="155" spans="1:17" x14ac:dyDescent="0.35">
      <c r="A155" s="52" t="s">
        <v>6063</v>
      </c>
      <c r="C155" s="52" t="str">
        <f>"""TRUST Nav"",""HSPMTB2016"",""17"",""1"",""73424"""</f>
        <v>"TRUST Nav","HSPMTB2016","17","1","73424"</v>
      </c>
      <c r="D155" s="52" t="str">
        <f t="shared" si="57"/>
        <v>Customer</v>
      </c>
      <c r="I155" s="52" t="str">
        <f t="shared" si="55"/>
        <v>KK-04608|42370</v>
      </c>
      <c r="J155" s="82">
        <v>42400</v>
      </c>
      <c r="K155" s="52" t="str">
        <f t="shared" si="56"/>
        <v>Customer</v>
      </c>
      <c r="L155" s="52" t="str">
        <f>"KK-04608"</f>
        <v>KK-04608</v>
      </c>
      <c r="M155" s="52" t="s">
        <v>20990</v>
      </c>
      <c r="N155" s="2">
        <v>30000</v>
      </c>
      <c r="O155" s="82">
        <v>42370</v>
      </c>
      <c r="P155" s="52" t="str">
        <f>"DS - Heru Prawono"</f>
        <v>DS - Heru Prawono</v>
      </c>
      <c r="Q155" s="52" t="str">
        <f t="shared" si="54"/>
        <v>KPS-10-10</v>
      </c>
    </row>
    <row r="156" spans="1:17" x14ac:dyDescent="0.35">
      <c r="A156" s="52" t="s">
        <v>6063</v>
      </c>
      <c r="C156" s="52" t="str">
        <f>"""TRUST Nav"",""HSPMTB2016"",""17"",""1"",""73425"""</f>
        <v>"TRUST Nav","HSPMTB2016","17","1","73425"</v>
      </c>
      <c r="D156" s="52" t="str">
        <f t="shared" si="57"/>
        <v>Customer</v>
      </c>
      <c r="I156" s="52" t="str">
        <f t="shared" si="55"/>
        <v>KK-04611|42370</v>
      </c>
      <c r="J156" s="82">
        <v>42400</v>
      </c>
      <c r="K156" s="52" t="str">
        <f t="shared" si="56"/>
        <v>Customer</v>
      </c>
      <c r="L156" s="52" t="str">
        <f>"KK-04611"</f>
        <v>KK-04611</v>
      </c>
      <c r="M156" s="52" t="s">
        <v>20992</v>
      </c>
      <c r="N156" s="2">
        <v>10000</v>
      </c>
      <c r="O156" s="82">
        <v>42370</v>
      </c>
      <c r="P156" s="52" t="str">
        <f>"DS - Leonardus Tjhin Tje Ming"</f>
        <v>DS - Leonardus Tjhin Tje Ming</v>
      </c>
      <c r="Q156" s="52" t="str">
        <f t="shared" si="54"/>
        <v>KPS-10-10</v>
      </c>
    </row>
    <row r="157" spans="1:17" x14ac:dyDescent="0.35">
      <c r="A157" s="52" t="s">
        <v>6063</v>
      </c>
      <c r="C157" s="52" t="str">
        <f>"""TRUST Nav"",""HSPMTB2016"",""17"",""1"",""73426"""</f>
        <v>"TRUST Nav","HSPMTB2016","17","1","73426"</v>
      </c>
      <c r="D157" s="52" t="str">
        <f t="shared" si="57"/>
        <v>Customer</v>
      </c>
      <c r="I157" s="52" t="str">
        <f t="shared" si="55"/>
        <v>KK-04611|42401</v>
      </c>
      <c r="J157" s="82">
        <v>42400</v>
      </c>
      <c r="K157" s="52" t="str">
        <f t="shared" si="56"/>
        <v>Customer</v>
      </c>
      <c r="L157" s="52" t="str">
        <f>"KK-04611"</f>
        <v>KK-04611</v>
      </c>
      <c r="M157" s="52" t="s">
        <v>20992</v>
      </c>
      <c r="N157" s="2">
        <v>10000</v>
      </c>
      <c r="O157" s="82">
        <v>42401</v>
      </c>
      <c r="P157" s="52" t="str">
        <f>"DS - Leonardus Tjhin Tje Ming"</f>
        <v>DS - Leonardus Tjhin Tje Ming</v>
      </c>
      <c r="Q157" s="52" t="str">
        <f t="shared" si="54"/>
        <v>KPS-10-10</v>
      </c>
    </row>
    <row r="158" spans="1:17" x14ac:dyDescent="0.35">
      <c r="A158" s="52" t="s">
        <v>6063</v>
      </c>
      <c r="C158" s="52" t="str">
        <f>"""TRUST Nav"",""HSPMTB2016"",""17"",""1"",""73427"""</f>
        <v>"TRUST Nav","HSPMTB2016","17","1","73427"</v>
      </c>
      <c r="D158" s="52" t="str">
        <f t="shared" si="57"/>
        <v>Customer</v>
      </c>
      <c r="I158" s="52" t="str">
        <f t="shared" si="55"/>
        <v>KK-04611|42430</v>
      </c>
      <c r="J158" s="82">
        <v>42400</v>
      </c>
      <c r="K158" s="52" t="str">
        <f t="shared" si="56"/>
        <v>Customer</v>
      </c>
      <c r="L158" s="52" t="str">
        <f>"KK-04611"</f>
        <v>KK-04611</v>
      </c>
      <c r="M158" s="52" t="s">
        <v>20992</v>
      </c>
      <c r="N158" s="2">
        <v>10000</v>
      </c>
      <c r="O158" s="82">
        <v>42430</v>
      </c>
      <c r="P158" s="52" t="str">
        <f>"DS - Leonardus Tjhin Tje Ming"</f>
        <v>DS - Leonardus Tjhin Tje Ming</v>
      </c>
      <c r="Q158" s="52" t="str">
        <f t="shared" si="54"/>
        <v>KPS-10-10</v>
      </c>
    </row>
    <row r="159" spans="1:17" x14ac:dyDescent="0.35">
      <c r="A159" s="52" t="s">
        <v>6063</v>
      </c>
      <c r="C159" s="52" t="str">
        <f>"""TRUST Nav"",""HSPMTB2016"",""17"",""1"",""73428"""</f>
        <v>"TRUST Nav","HSPMTB2016","17","1","73428"</v>
      </c>
      <c r="D159" s="52" t="str">
        <f t="shared" si="57"/>
        <v>Customer</v>
      </c>
      <c r="I159" s="52" t="str">
        <f t="shared" si="55"/>
        <v>KK-04620|42370</v>
      </c>
      <c r="J159" s="82">
        <v>42400</v>
      </c>
      <c r="K159" s="52" t="str">
        <f t="shared" si="56"/>
        <v>Customer</v>
      </c>
      <c r="L159" s="52" t="str">
        <f t="shared" ref="L159:L164" si="58">"KK-04620"</f>
        <v>KK-04620</v>
      </c>
      <c r="M159" s="52" t="s">
        <v>20998</v>
      </c>
      <c r="N159" s="2">
        <v>150000</v>
      </c>
      <c r="O159" s="82">
        <v>42370</v>
      </c>
      <c r="P159" s="52" t="str">
        <f t="shared" ref="P159:P164" si="59">"DS - Stefanus Tudy Luchman"</f>
        <v>DS - Stefanus Tudy Luchman</v>
      </c>
      <c r="Q159" s="52" t="str">
        <f t="shared" si="54"/>
        <v>KPS-10-10</v>
      </c>
    </row>
    <row r="160" spans="1:17" x14ac:dyDescent="0.35">
      <c r="A160" s="52" t="s">
        <v>6063</v>
      </c>
      <c r="C160" s="52" t="str">
        <f>"""TRUST Nav"",""HSPMTB2016"",""17"",""1"",""73429"""</f>
        <v>"TRUST Nav","HSPMTB2016","17","1","73429"</v>
      </c>
      <c r="D160" s="52" t="str">
        <f t="shared" si="57"/>
        <v>Customer</v>
      </c>
      <c r="I160" s="52" t="str">
        <f t="shared" si="55"/>
        <v>KK-04620|42401</v>
      </c>
      <c r="J160" s="82">
        <v>42400</v>
      </c>
      <c r="K160" s="52" t="str">
        <f t="shared" si="56"/>
        <v>Customer</v>
      </c>
      <c r="L160" s="52" t="str">
        <f t="shared" si="58"/>
        <v>KK-04620</v>
      </c>
      <c r="M160" s="52" t="s">
        <v>20998</v>
      </c>
      <c r="N160" s="2">
        <v>150000</v>
      </c>
      <c r="O160" s="82">
        <v>42401</v>
      </c>
      <c r="P160" s="52" t="str">
        <f t="shared" si="59"/>
        <v>DS - Stefanus Tudy Luchman</v>
      </c>
      <c r="Q160" s="52" t="str">
        <f t="shared" si="54"/>
        <v>KPS-10-10</v>
      </c>
    </row>
    <row r="161" spans="1:17" x14ac:dyDescent="0.35">
      <c r="A161" s="52" t="s">
        <v>6063</v>
      </c>
      <c r="C161" s="52" t="str">
        <f>"""TRUST Nav"",""HSPMTB2016"",""17"",""1"",""73430"""</f>
        <v>"TRUST Nav","HSPMTB2016","17","1","73430"</v>
      </c>
      <c r="D161" s="52" t="str">
        <f t="shared" si="57"/>
        <v>Customer</v>
      </c>
      <c r="I161" s="52" t="str">
        <f t="shared" si="55"/>
        <v>KK-04620|42430</v>
      </c>
      <c r="J161" s="82">
        <v>42400</v>
      </c>
      <c r="K161" s="52" t="str">
        <f t="shared" si="56"/>
        <v>Customer</v>
      </c>
      <c r="L161" s="52" t="str">
        <f t="shared" si="58"/>
        <v>KK-04620</v>
      </c>
      <c r="M161" s="52" t="s">
        <v>20998</v>
      </c>
      <c r="N161" s="2">
        <v>150000</v>
      </c>
      <c r="O161" s="82">
        <v>42430</v>
      </c>
      <c r="P161" s="52" t="str">
        <f t="shared" si="59"/>
        <v>DS - Stefanus Tudy Luchman</v>
      </c>
      <c r="Q161" s="52" t="str">
        <f t="shared" si="54"/>
        <v>KPS-10-10</v>
      </c>
    </row>
    <row r="162" spans="1:17" x14ac:dyDescent="0.35">
      <c r="A162" s="52" t="s">
        <v>6063</v>
      </c>
      <c r="C162" s="52" t="str">
        <f>"""TRUST Nav"",""HSPMTB2016"",""17"",""1"",""73431"""</f>
        <v>"TRUST Nav","HSPMTB2016","17","1","73431"</v>
      </c>
      <c r="D162" s="52" t="str">
        <f t="shared" si="57"/>
        <v>Customer</v>
      </c>
      <c r="I162" s="52" t="str">
        <f t="shared" si="55"/>
        <v>KK-04620|42461</v>
      </c>
      <c r="J162" s="82">
        <v>42400</v>
      </c>
      <c r="K162" s="52" t="str">
        <f t="shared" si="56"/>
        <v>Customer</v>
      </c>
      <c r="L162" s="52" t="str">
        <f t="shared" si="58"/>
        <v>KK-04620</v>
      </c>
      <c r="M162" s="52" t="s">
        <v>20998</v>
      </c>
      <c r="N162" s="2">
        <v>150000</v>
      </c>
      <c r="O162" s="82">
        <v>42461</v>
      </c>
      <c r="P162" s="52" t="str">
        <f t="shared" si="59"/>
        <v>DS - Stefanus Tudy Luchman</v>
      </c>
      <c r="Q162" s="52" t="str">
        <f t="shared" si="54"/>
        <v>KPS-10-10</v>
      </c>
    </row>
    <row r="163" spans="1:17" x14ac:dyDescent="0.35">
      <c r="A163" s="52" t="s">
        <v>6063</v>
      </c>
      <c r="C163" s="52" t="str">
        <f>"""TRUST Nav"",""HSPMTB2016"",""17"",""1"",""73432"""</f>
        <v>"TRUST Nav","HSPMTB2016","17","1","73432"</v>
      </c>
      <c r="D163" s="52" t="str">
        <f t="shared" si="57"/>
        <v>Customer</v>
      </c>
      <c r="I163" s="52" t="str">
        <f t="shared" si="55"/>
        <v>KK-04620|42491</v>
      </c>
      <c r="J163" s="82">
        <v>42400</v>
      </c>
      <c r="K163" s="52" t="str">
        <f t="shared" si="56"/>
        <v>Customer</v>
      </c>
      <c r="L163" s="52" t="str">
        <f t="shared" si="58"/>
        <v>KK-04620</v>
      </c>
      <c r="M163" s="52" t="s">
        <v>20998</v>
      </c>
      <c r="N163" s="2">
        <v>150000</v>
      </c>
      <c r="O163" s="82">
        <v>42491</v>
      </c>
      <c r="P163" s="52" t="str">
        <f t="shared" si="59"/>
        <v>DS - Stefanus Tudy Luchman</v>
      </c>
      <c r="Q163" s="52" t="str">
        <f t="shared" si="54"/>
        <v>KPS-10-10</v>
      </c>
    </row>
    <row r="164" spans="1:17" x14ac:dyDescent="0.35">
      <c r="A164" s="52" t="s">
        <v>6063</v>
      </c>
      <c r="C164" s="52" t="str">
        <f>"""TRUST Nav"",""HSPMTB2016"",""17"",""1"",""73433"""</f>
        <v>"TRUST Nav","HSPMTB2016","17","1","73433"</v>
      </c>
      <c r="D164" s="52" t="str">
        <f t="shared" si="57"/>
        <v>Customer</v>
      </c>
      <c r="I164" s="52" t="str">
        <f t="shared" si="55"/>
        <v>KK-04620|42522</v>
      </c>
      <c r="J164" s="82">
        <v>42400</v>
      </c>
      <c r="K164" s="52" t="str">
        <f t="shared" si="56"/>
        <v>Customer</v>
      </c>
      <c r="L164" s="52" t="str">
        <f t="shared" si="58"/>
        <v>KK-04620</v>
      </c>
      <c r="M164" s="52" t="s">
        <v>20998</v>
      </c>
      <c r="N164" s="2">
        <v>150000</v>
      </c>
      <c r="O164" s="82">
        <v>42522</v>
      </c>
      <c r="P164" s="52" t="str">
        <f t="shared" si="59"/>
        <v>DS - Stefanus Tudy Luchman</v>
      </c>
      <c r="Q164" s="52" t="str">
        <f t="shared" si="54"/>
        <v>KPS-10-10</v>
      </c>
    </row>
    <row r="165" spans="1:17" x14ac:dyDescent="0.35">
      <c r="A165" s="52" t="s">
        <v>6063</v>
      </c>
      <c r="C165" s="52" t="str">
        <f>"""TRUST Nav"",""HSPMTB2016"",""17"",""1"",""73434"""</f>
        <v>"TRUST Nav","HSPMTB2016","17","1","73434"</v>
      </c>
      <c r="D165" s="52" t="str">
        <f t="shared" si="57"/>
        <v>Customer</v>
      </c>
      <c r="I165" s="52" t="str">
        <f t="shared" si="55"/>
        <v>KK-04621|42370</v>
      </c>
      <c r="J165" s="82">
        <v>42400</v>
      </c>
      <c r="K165" s="52" t="str">
        <f t="shared" si="56"/>
        <v>Customer</v>
      </c>
      <c r="L165" s="52" t="str">
        <f>"KK-04621"</f>
        <v>KK-04621</v>
      </c>
      <c r="M165" s="52" t="s">
        <v>20999</v>
      </c>
      <c r="N165" s="2">
        <v>25000.000000000004</v>
      </c>
      <c r="O165" s="82">
        <v>42370</v>
      </c>
      <c r="P165" s="52" t="str">
        <f>"DS - Tommy Prasetyo Utomo"</f>
        <v>DS - Tommy Prasetyo Utomo</v>
      </c>
      <c r="Q165" s="52" t="str">
        <f t="shared" si="54"/>
        <v>KPS-10-10</v>
      </c>
    </row>
    <row r="166" spans="1:17" x14ac:dyDescent="0.35">
      <c r="A166" s="52" t="s">
        <v>6063</v>
      </c>
      <c r="C166" s="52" t="str">
        <f>"""TRUST Nav"",""HSPMTB2016"",""17"",""1"",""73435"""</f>
        <v>"TRUST Nav","HSPMTB2016","17","1","73435"</v>
      </c>
      <c r="D166" s="52" t="str">
        <f t="shared" si="57"/>
        <v>Customer</v>
      </c>
      <c r="I166" s="52" t="str">
        <f t="shared" si="55"/>
        <v>KK-04625|42370</v>
      </c>
      <c r="J166" s="82">
        <v>42400</v>
      </c>
      <c r="K166" s="52" t="str">
        <f t="shared" si="56"/>
        <v>Customer</v>
      </c>
      <c r="L166" s="52" t="str">
        <f>"KK-04625"</f>
        <v>KK-04625</v>
      </c>
      <c r="M166" s="52" t="s">
        <v>21002</v>
      </c>
      <c r="N166" s="2">
        <v>100000.00000000001</v>
      </c>
      <c r="O166" s="82">
        <v>42370</v>
      </c>
      <c r="P166" s="52" t="str">
        <f>"DS - Yunius Samara"</f>
        <v>DS - Yunius Samara</v>
      </c>
      <c r="Q166" s="52" t="str">
        <f t="shared" si="54"/>
        <v>KPS-10-10</v>
      </c>
    </row>
    <row r="167" spans="1:17" x14ac:dyDescent="0.35">
      <c r="A167" s="52" t="s">
        <v>6063</v>
      </c>
      <c r="C167" s="52" t="str">
        <f>"""TRUST Nav"",""HSPMTB2016"",""17"",""1"",""85202"""</f>
        <v>"TRUST Nav","HSPMTB2016","17","1","85202"</v>
      </c>
      <c r="D167" s="52" t="str">
        <f t="shared" si="57"/>
        <v>Customer</v>
      </c>
      <c r="I167" s="52" t="str">
        <f t="shared" si="55"/>
        <v>KK-04597|42370</v>
      </c>
      <c r="J167" s="82">
        <v>42428</v>
      </c>
      <c r="K167" s="52" t="str">
        <f t="shared" si="56"/>
        <v>Customer</v>
      </c>
      <c r="L167" s="52" t="str">
        <f>"KK-04597"</f>
        <v>KK-04597</v>
      </c>
      <c r="M167" s="52" t="s">
        <v>20982</v>
      </c>
      <c r="N167" s="2">
        <v>20000</v>
      </c>
      <c r="O167" s="82">
        <v>42370</v>
      </c>
      <c r="P167" s="52" t="str">
        <f>"DS - Arief Wibawa"</f>
        <v>DS - Arief Wibawa</v>
      </c>
      <c r="Q167" s="52" t="str">
        <f t="shared" si="54"/>
        <v>KPS-10-10</v>
      </c>
    </row>
    <row r="168" spans="1:17" x14ac:dyDescent="0.35">
      <c r="A168" s="52" t="s">
        <v>6063</v>
      </c>
      <c r="C168" s="52" t="str">
        <f>"""TRUST Nav"",""HSPMTB2016"",""17"",""1"",""85203"""</f>
        <v>"TRUST Nav","HSPMTB2016","17","1","85203"</v>
      </c>
      <c r="D168" s="52" t="str">
        <f t="shared" si="57"/>
        <v>Customer</v>
      </c>
      <c r="I168" s="52" t="str">
        <f t="shared" si="55"/>
        <v>KK-04597|42401</v>
      </c>
      <c r="J168" s="82">
        <v>42428</v>
      </c>
      <c r="K168" s="52" t="str">
        <f t="shared" si="56"/>
        <v>Customer</v>
      </c>
      <c r="L168" s="52" t="str">
        <f>"KK-04597"</f>
        <v>KK-04597</v>
      </c>
      <c r="M168" s="52" t="s">
        <v>20982</v>
      </c>
      <c r="N168" s="2">
        <v>20000</v>
      </c>
      <c r="O168" s="82">
        <v>42401</v>
      </c>
      <c r="P168" s="52" t="str">
        <f>"DS - Arief Wibawa"</f>
        <v>DS - Arief Wibawa</v>
      </c>
      <c r="Q168" s="52" t="str">
        <f t="shared" si="54"/>
        <v>KPS-10-10</v>
      </c>
    </row>
    <row r="169" spans="1:17" x14ac:dyDescent="0.35">
      <c r="A169" s="52" t="s">
        <v>6063</v>
      </c>
      <c r="C169" s="52" t="str">
        <f>"""TRUST Nav"",""HSPMTB2016"",""17"",""1"",""85204"""</f>
        <v>"TRUST Nav","HSPMTB2016","17","1","85204"</v>
      </c>
      <c r="D169" s="52" t="str">
        <f t="shared" si="57"/>
        <v>Customer</v>
      </c>
      <c r="I169" s="52" t="str">
        <f t="shared" si="55"/>
        <v>KK-04597|42430</v>
      </c>
      <c r="J169" s="82">
        <v>42428</v>
      </c>
      <c r="K169" s="52" t="str">
        <f t="shared" si="56"/>
        <v>Customer</v>
      </c>
      <c r="L169" s="52" t="str">
        <f>"KK-04597"</f>
        <v>KK-04597</v>
      </c>
      <c r="M169" s="52" t="s">
        <v>20982</v>
      </c>
      <c r="N169" s="2">
        <v>20000</v>
      </c>
      <c r="O169" s="82">
        <v>42430</v>
      </c>
      <c r="P169" s="52" t="str">
        <f>"DS - Arief Wibawa"</f>
        <v>DS - Arief Wibawa</v>
      </c>
      <c r="Q169" s="52" t="str">
        <f t="shared" si="54"/>
        <v>KPS-10-10</v>
      </c>
    </row>
    <row r="170" spans="1:17" x14ac:dyDescent="0.35">
      <c r="A170" s="52" t="s">
        <v>6063</v>
      </c>
      <c r="C170" s="52" t="str">
        <f>"""TRUST Nav"",""HSPMTB2016"",""17"",""1"",""85205"""</f>
        <v>"TRUST Nav","HSPMTB2016","17","1","85205"</v>
      </c>
      <c r="D170" s="52" t="str">
        <f t="shared" si="57"/>
        <v>Customer</v>
      </c>
      <c r="I170" s="52" t="str">
        <f t="shared" si="55"/>
        <v>KK-04604|42186</v>
      </c>
      <c r="J170" s="82">
        <v>42428</v>
      </c>
      <c r="K170" s="52" t="str">
        <f t="shared" si="56"/>
        <v>Customer</v>
      </c>
      <c r="L170" s="52" t="str">
        <f t="shared" ref="L170:L175" si="60">"KK-04604"</f>
        <v>KK-04604</v>
      </c>
      <c r="M170" s="52" t="s">
        <v>21004</v>
      </c>
      <c r="N170" s="2">
        <v>60000</v>
      </c>
      <c r="O170" s="82">
        <v>42186</v>
      </c>
      <c r="P170" s="52" t="str">
        <f t="shared" ref="P170:P175" si="61">"DS - Dobbie Poniman"</f>
        <v>DS - Dobbie Poniman</v>
      </c>
      <c r="Q170" s="52" t="str">
        <f t="shared" si="54"/>
        <v>KPS-10-10</v>
      </c>
    </row>
    <row r="171" spans="1:17" x14ac:dyDescent="0.35">
      <c r="A171" s="52" t="s">
        <v>6063</v>
      </c>
      <c r="C171" s="52" t="str">
        <f>"""TRUST Nav"",""HSPMTB2016"",""17"",""1"",""85206"""</f>
        <v>"TRUST Nav","HSPMTB2016","17","1","85206"</v>
      </c>
      <c r="D171" s="52" t="str">
        <f t="shared" si="57"/>
        <v>Customer</v>
      </c>
      <c r="I171" s="52" t="str">
        <f t="shared" si="55"/>
        <v>KK-04604|42217</v>
      </c>
      <c r="J171" s="82">
        <v>42428</v>
      </c>
      <c r="K171" s="52" t="str">
        <f t="shared" si="56"/>
        <v>Customer</v>
      </c>
      <c r="L171" s="52" t="str">
        <f t="shared" si="60"/>
        <v>KK-04604</v>
      </c>
      <c r="M171" s="52" t="s">
        <v>21004</v>
      </c>
      <c r="N171" s="2">
        <v>15000</v>
      </c>
      <c r="O171" s="82">
        <v>42217</v>
      </c>
      <c r="P171" s="52" t="str">
        <f t="shared" si="61"/>
        <v>DS - Dobbie Poniman</v>
      </c>
      <c r="Q171" s="52" t="str">
        <f t="shared" si="54"/>
        <v>KPS-10-10</v>
      </c>
    </row>
    <row r="172" spans="1:17" x14ac:dyDescent="0.35">
      <c r="A172" s="52" t="s">
        <v>6063</v>
      </c>
      <c r="C172" s="52" t="str">
        <f>"""TRUST Nav"",""HSPMTB2016"",""17"",""1"",""85207"""</f>
        <v>"TRUST Nav","HSPMTB2016","17","1","85207"</v>
      </c>
      <c r="D172" s="52" t="str">
        <f t="shared" si="57"/>
        <v>Customer</v>
      </c>
      <c r="I172" s="52" t="str">
        <f t="shared" si="55"/>
        <v>KK-04604|42248</v>
      </c>
      <c r="J172" s="82">
        <v>42428</v>
      </c>
      <c r="K172" s="52" t="str">
        <f t="shared" si="56"/>
        <v>Customer</v>
      </c>
      <c r="L172" s="52" t="str">
        <f t="shared" si="60"/>
        <v>KK-04604</v>
      </c>
      <c r="M172" s="52" t="s">
        <v>21004</v>
      </c>
      <c r="N172" s="2">
        <v>15000</v>
      </c>
      <c r="O172" s="82">
        <v>42248</v>
      </c>
      <c r="P172" s="52" t="str">
        <f t="shared" si="61"/>
        <v>DS - Dobbie Poniman</v>
      </c>
      <c r="Q172" s="52" t="str">
        <f t="shared" si="54"/>
        <v>KPS-10-10</v>
      </c>
    </row>
    <row r="173" spans="1:17" x14ac:dyDescent="0.35">
      <c r="A173" s="52" t="s">
        <v>6063</v>
      </c>
      <c r="C173" s="52" t="str">
        <f>"""TRUST Nav"",""HSPMTB2016"",""17"",""1"",""85208"""</f>
        <v>"TRUST Nav","HSPMTB2016","17","1","85208"</v>
      </c>
      <c r="D173" s="52" t="str">
        <f t="shared" si="57"/>
        <v>Customer</v>
      </c>
      <c r="I173" s="52" t="str">
        <f t="shared" si="55"/>
        <v>KK-04604|42278</v>
      </c>
      <c r="J173" s="82">
        <v>42428</v>
      </c>
      <c r="K173" s="52" t="str">
        <f t="shared" si="56"/>
        <v>Customer</v>
      </c>
      <c r="L173" s="52" t="str">
        <f t="shared" si="60"/>
        <v>KK-04604</v>
      </c>
      <c r="M173" s="52" t="s">
        <v>21004</v>
      </c>
      <c r="N173" s="2">
        <v>15000</v>
      </c>
      <c r="O173" s="82">
        <v>42278</v>
      </c>
      <c r="P173" s="52" t="str">
        <f t="shared" si="61"/>
        <v>DS - Dobbie Poniman</v>
      </c>
      <c r="Q173" s="52" t="str">
        <f t="shared" si="54"/>
        <v>KPS-10-10</v>
      </c>
    </row>
    <row r="174" spans="1:17" x14ac:dyDescent="0.35">
      <c r="A174" s="52" t="s">
        <v>6063</v>
      </c>
      <c r="C174" s="52" t="str">
        <f>"""TRUST Nav"",""HSPMTB2016"",""17"",""1"",""85209"""</f>
        <v>"TRUST Nav","HSPMTB2016","17","1","85209"</v>
      </c>
      <c r="D174" s="52" t="str">
        <f t="shared" si="57"/>
        <v>Customer</v>
      </c>
      <c r="I174" s="52" t="str">
        <f t="shared" si="55"/>
        <v>KK-04604|42309</v>
      </c>
      <c r="J174" s="82">
        <v>42428</v>
      </c>
      <c r="K174" s="52" t="str">
        <f t="shared" si="56"/>
        <v>Customer</v>
      </c>
      <c r="L174" s="52" t="str">
        <f t="shared" si="60"/>
        <v>KK-04604</v>
      </c>
      <c r="M174" s="52" t="s">
        <v>21004</v>
      </c>
      <c r="N174" s="2">
        <v>15000</v>
      </c>
      <c r="O174" s="82">
        <v>42309</v>
      </c>
      <c r="P174" s="52" t="str">
        <f t="shared" si="61"/>
        <v>DS - Dobbie Poniman</v>
      </c>
      <c r="Q174" s="52" t="str">
        <f t="shared" si="54"/>
        <v>KPS-10-10</v>
      </c>
    </row>
    <row r="175" spans="1:17" x14ac:dyDescent="0.35">
      <c r="A175" s="52" t="s">
        <v>6063</v>
      </c>
      <c r="C175" s="52" t="str">
        <f>"""TRUST Nav"",""HSPMTB2016"",""17"",""1"",""85210"""</f>
        <v>"TRUST Nav","HSPMTB2016","17","1","85210"</v>
      </c>
      <c r="D175" s="52" t="str">
        <f t="shared" si="57"/>
        <v>Customer</v>
      </c>
      <c r="I175" s="52" t="str">
        <f t="shared" si="55"/>
        <v>KK-04604|42339</v>
      </c>
      <c r="J175" s="82">
        <v>42428</v>
      </c>
      <c r="K175" s="52" t="str">
        <f t="shared" si="56"/>
        <v>Customer</v>
      </c>
      <c r="L175" s="52" t="str">
        <f t="shared" si="60"/>
        <v>KK-04604</v>
      </c>
      <c r="M175" s="52" t="s">
        <v>21004</v>
      </c>
      <c r="N175" s="2">
        <v>15000</v>
      </c>
      <c r="O175" s="82">
        <v>42339</v>
      </c>
      <c r="P175" s="52" t="str">
        <f t="shared" si="61"/>
        <v>DS - Dobbie Poniman</v>
      </c>
      <c r="Q175" s="52" t="str">
        <f t="shared" si="54"/>
        <v>KPS-10-10</v>
      </c>
    </row>
    <row r="176" spans="1:17" x14ac:dyDescent="0.35">
      <c r="A176" s="52" t="s">
        <v>6063</v>
      </c>
      <c r="C176" s="52" t="str">
        <f>"""TRUST Nav"",""HSPMTB2016"",""17"",""1"",""85211"""</f>
        <v>"TRUST Nav","HSPMTB2016","17","1","85211"</v>
      </c>
      <c r="D176" s="52" t="str">
        <f t="shared" si="57"/>
        <v>Customer</v>
      </c>
      <c r="I176" s="52" t="str">
        <f t="shared" si="55"/>
        <v>KK-04606|42370</v>
      </c>
      <c r="J176" s="82">
        <v>42428</v>
      </c>
      <c r="K176" s="52" t="str">
        <f t="shared" si="56"/>
        <v>Customer</v>
      </c>
      <c r="L176" s="52" t="str">
        <f>"KK-04606"</f>
        <v>KK-04606</v>
      </c>
      <c r="M176" s="52" t="s">
        <v>20988</v>
      </c>
      <c r="N176" s="2">
        <v>50000.000000000007</v>
      </c>
      <c r="O176" s="82">
        <v>42370</v>
      </c>
      <c r="P176" s="52" t="str">
        <f>"DS - Hendra Kurniawan"</f>
        <v>DS - Hendra Kurniawan</v>
      </c>
      <c r="Q176" s="52" t="str">
        <f t="shared" si="54"/>
        <v>KPS-10-10</v>
      </c>
    </row>
    <row r="177" spans="1:17" x14ac:dyDescent="0.35">
      <c r="A177" s="52" t="s">
        <v>6063</v>
      </c>
      <c r="C177" s="52" t="str">
        <f>"""TRUST Nav"",""HSPMTB2016"",""17"",""1"",""85212"""</f>
        <v>"TRUST Nav","HSPMTB2016","17","1","85212"</v>
      </c>
      <c r="D177" s="52" t="str">
        <f t="shared" si="57"/>
        <v>Customer</v>
      </c>
      <c r="I177" s="52" t="str">
        <f t="shared" si="55"/>
        <v>KK-04606|42401</v>
      </c>
      <c r="J177" s="82">
        <v>42428</v>
      </c>
      <c r="K177" s="52" t="str">
        <f t="shared" si="56"/>
        <v>Customer</v>
      </c>
      <c r="L177" s="52" t="str">
        <f>"KK-04606"</f>
        <v>KK-04606</v>
      </c>
      <c r="M177" s="52" t="s">
        <v>20988</v>
      </c>
      <c r="N177" s="2">
        <v>50000.000000000007</v>
      </c>
      <c r="O177" s="82">
        <v>42401</v>
      </c>
      <c r="P177" s="52" t="str">
        <f>"DS - Hendra Kurniawan"</f>
        <v>DS - Hendra Kurniawan</v>
      </c>
      <c r="Q177" s="52" t="str">
        <f t="shared" si="54"/>
        <v>KPS-10-10</v>
      </c>
    </row>
    <row r="178" spans="1:17" x14ac:dyDescent="0.35">
      <c r="A178" s="52" t="s">
        <v>6063</v>
      </c>
      <c r="C178" s="52" t="str">
        <f>"""TRUST Nav"",""HSPMTB2016"",""17"",""1"",""85213"""</f>
        <v>"TRUST Nav","HSPMTB2016","17","1","85213"</v>
      </c>
      <c r="D178" s="52" t="str">
        <f t="shared" si="57"/>
        <v>Customer</v>
      </c>
      <c r="I178" s="52" t="str">
        <f t="shared" si="55"/>
        <v>KK-04606|42430</v>
      </c>
      <c r="J178" s="82">
        <v>42428</v>
      </c>
      <c r="K178" s="52" t="str">
        <f t="shared" si="56"/>
        <v>Customer</v>
      </c>
      <c r="L178" s="52" t="str">
        <f>"KK-04606"</f>
        <v>KK-04606</v>
      </c>
      <c r="M178" s="52" t="s">
        <v>20988</v>
      </c>
      <c r="N178" s="2">
        <v>50000.000000000007</v>
      </c>
      <c r="O178" s="82">
        <v>42430</v>
      </c>
      <c r="P178" s="52" t="str">
        <f>"DS - Hendra Kurniawan"</f>
        <v>DS - Hendra Kurniawan</v>
      </c>
      <c r="Q178" s="52" t="str">
        <f t="shared" si="54"/>
        <v>KPS-10-10</v>
      </c>
    </row>
    <row r="179" spans="1:17" x14ac:dyDescent="0.35">
      <c r="A179" s="52" t="s">
        <v>6063</v>
      </c>
      <c r="C179" s="52" t="str">
        <f>"""TRUST Nav"",""HSPMTB2016"",""17"",""1"",""85214"""</f>
        <v>"TRUST Nav","HSPMTB2016","17","1","85214"</v>
      </c>
      <c r="D179" s="52" t="str">
        <f t="shared" si="57"/>
        <v>Customer</v>
      </c>
      <c r="I179" s="52" t="str">
        <f t="shared" si="55"/>
        <v>KK-04608|42401</v>
      </c>
      <c r="J179" s="82">
        <v>42428</v>
      </c>
      <c r="K179" s="52" t="str">
        <f t="shared" si="56"/>
        <v>Customer</v>
      </c>
      <c r="L179" s="52" t="str">
        <f>"KK-04608"</f>
        <v>KK-04608</v>
      </c>
      <c r="M179" s="52" t="s">
        <v>20990</v>
      </c>
      <c r="N179" s="2">
        <v>30000</v>
      </c>
      <c r="O179" s="82">
        <v>42401</v>
      </c>
      <c r="P179" s="52" t="str">
        <f>"DS - Heru Prawono"</f>
        <v>DS - Heru Prawono</v>
      </c>
      <c r="Q179" s="52" t="str">
        <f t="shared" si="54"/>
        <v>KPS-10-10</v>
      </c>
    </row>
    <row r="180" spans="1:17" x14ac:dyDescent="0.35">
      <c r="A180" s="52" t="s">
        <v>6063</v>
      </c>
      <c r="C180" s="52" t="str">
        <f>"""TRUST Nav"",""HSPMTB2016"",""17"",""1"",""85215"""</f>
        <v>"TRUST Nav","HSPMTB2016","17","1","85215"</v>
      </c>
      <c r="D180" s="52" t="str">
        <f t="shared" ref="D180:D211" si="62">"Customer"</f>
        <v>Customer</v>
      </c>
      <c r="I180" s="52" t="str">
        <f t="shared" si="55"/>
        <v>KK-04609|42370</v>
      </c>
      <c r="J180" s="82">
        <v>42428</v>
      </c>
      <c r="K180" s="52" t="str">
        <f t="shared" si="56"/>
        <v>Customer</v>
      </c>
      <c r="L180" s="52" t="str">
        <f>"KK-04609"</f>
        <v>KK-04609</v>
      </c>
      <c r="M180" s="52" t="s">
        <v>20991</v>
      </c>
      <c r="N180" s="2">
        <v>25000.000000000004</v>
      </c>
      <c r="O180" s="82">
        <v>42370</v>
      </c>
      <c r="P180" s="52" t="str">
        <f>"DS - Jofenwali"</f>
        <v>DS - Jofenwali</v>
      </c>
      <c r="Q180" s="52" t="str">
        <f t="shared" si="54"/>
        <v>KPS-10-10</v>
      </c>
    </row>
    <row r="181" spans="1:17" x14ac:dyDescent="0.35">
      <c r="A181" s="52" t="s">
        <v>6063</v>
      </c>
      <c r="C181" s="52" t="str">
        <f>"""TRUST Nav"",""HSPMTB2016"",""17"",""1"",""85216"""</f>
        <v>"TRUST Nav","HSPMTB2016","17","1","85216"</v>
      </c>
      <c r="D181" s="52" t="str">
        <f t="shared" si="62"/>
        <v>Customer</v>
      </c>
      <c r="I181" s="52" t="str">
        <f t="shared" si="55"/>
        <v>KK-04609|42401</v>
      </c>
      <c r="J181" s="82">
        <v>42428</v>
      </c>
      <c r="K181" s="52" t="str">
        <f t="shared" si="56"/>
        <v>Customer</v>
      </c>
      <c r="L181" s="52" t="str">
        <f>"KK-04609"</f>
        <v>KK-04609</v>
      </c>
      <c r="M181" s="52" t="s">
        <v>20991</v>
      </c>
      <c r="N181" s="2">
        <v>25000.000000000004</v>
      </c>
      <c r="O181" s="82">
        <v>42401</v>
      </c>
      <c r="P181" s="52" t="str">
        <f>"DS - Jofenwali"</f>
        <v>DS - Jofenwali</v>
      </c>
      <c r="Q181" s="52" t="str">
        <f t="shared" si="54"/>
        <v>KPS-10-10</v>
      </c>
    </row>
    <row r="182" spans="1:17" x14ac:dyDescent="0.35">
      <c r="A182" s="52" t="s">
        <v>6063</v>
      </c>
      <c r="C182" s="52" t="str">
        <f>"""TRUST Nav"",""HSPMTB2016"",""17"",""1"",""85217"""</f>
        <v>"TRUST Nav","HSPMTB2016","17","1","85217"</v>
      </c>
      <c r="D182" s="52" t="str">
        <f t="shared" si="62"/>
        <v>Customer</v>
      </c>
      <c r="I182" s="52" t="str">
        <f t="shared" si="55"/>
        <v>KK-04613|42370</v>
      </c>
      <c r="J182" s="82">
        <v>42428</v>
      </c>
      <c r="K182" s="52" t="str">
        <f t="shared" si="56"/>
        <v>Customer</v>
      </c>
      <c r="L182" s="52" t="str">
        <f>"KK-04613"</f>
        <v>KK-04613</v>
      </c>
      <c r="M182" s="52" t="s">
        <v>20994</v>
      </c>
      <c r="N182" s="2">
        <v>20000</v>
      </c>
      <c r="O182" s="82">
        <v>42370</v>
      </c>
      <c r="P182" s="52" t="str">
        <f>"DS - Lucia Septiana.P"</f>
        <v>DS - Lucia Septiana.P</v>
      </c>
      <c r="Q182" s="52" t="str">
        <f t="shared" si="54"/>
        <v>KPS-10-10</v>
      </c>
    </row>
    <row r="183" spans="1:17" x14ac:dyDescent="0.35">
      <c r="A183" s="52" t="s">
        <v>6063</v>
      </c>
      <c r="C183" s="52" t="str">
        <f>"""TRUST Nav"",""HSPMTB2016"",""17"",""1"",""85218"""</f>
        <v>"TRUST Nav","HSPMTB2016","17","1","85218"</v>
      </c>
      <c r="D183" s="52" t="str">
        <f t="shared" si="62"/>
        <v>Customer</v>
      </c>
      <c r="I183" s="52" t="str">
        <f t="shared" si="55"/>
        <v>KK-04613|42401</v>
      </c>
      <c r="J183" s="82">
        <v>42428</v>
      </c>
      <c r="K183" s="52" t="str">
        <f t="shared" si="56"/>
        <v>Customer</v>
      </c>
      <c r="L183" s="52" t="str">
        <f>"KK-04613"</f>
        <v>KK-04613</v>
      </c>
      <c r="M183" s="52" t="s">
        <v>20994</v>
      </c>
      <c r="N183" s="2">
        <v>20000</v>
      </c>
      <c r="O183" s="82">
        <v>42401</v>
      </c>
      <c r="P183" s="52" t="str">
        <f>"DS - Lucia Septiana.P"</f>
        <v>DS - Lucia Septiana.P</v>
      </c>
      <c r="Q183" s="52" t="str">
        <f t="shared" si="54"/>
        <v>KPS-10-10</v>
      </c>
    </row>
    <row r="184" spans="1:17" x14ac:dyDescent="0.35">
      <c r="A184" s="52" t="s">
        <v>6063</v>
      </c>
      <c r="C184" s="52" t="str">
        <f>"""TRUST Nav"",""HSPMTB2016"",""17"",""1"",""85219"""</f>
        <v>"TRUST Nav","HSPMTB2016","17","1","85219"</v>
      </c>
      <c r="D184" s="52" t="str">
        <f t="shared" si="62"/>
        <v>Customer</v>
      </c>
      <c r="I184" s="52" t="str">
        <f t="shared" si="55"/>
        <v>KK-04613|42430</v>
      </c>
      <c r="J184" s="82">
        <v>42428</v>
      </c>
      <c r="K184" s="52" t="str">
        <f t="shared" si="56"/>
        <v>Customer</v>
      </c>
      <c r="L184" s="52" t="str">
        <f>"KK-04613"</f>
        <v>KK-04613</v>
      </c>
      <c r="M184" s="52" t="s">
        <v>20994</v>
      </c>
      <c r="N184" s="2">
        <v>20000</v>
      </c>
      <c r="O184" s="82">
        <v>42430</v>
      </c>
      <c r="P184" s="52" t="str">
        <f>"DS - Lucia Septiana.P"</f>
        <v>DS - Lucia Septiana.P</v>
      </c>
      <c r="Q184" s="52" t="str">
        <f t="shared" si="54"/>
        <v>KPS-10-10</v>
      </c>
    </row>
    <row r="185" spans="1:17" x14ac:dyDescent="0.35">
      <c r="A185" s="52" t="s">
        <v>6063</v>
      </c>
      <c r="C185" s="52" t="str">
        <f>"""TRUST Nav"",""HSPMTB2016"",""17"",""1"",""85220"""</f>
        <v>"TRUST Nav","HSPMTB2016","17","1","85220"</v>
      </c>
      <c r="D185" s="52" t="str">
        <f t="shared" si="62"/>
        <v>Customer</v>
      </c>
      <c r="I185" s="52" t="str">
        <f t="shared" si="55"/>
        <v>KK-04613|42461</v>
      </c>
      <c r="J185" s="82">
        <v>42428</v>
      </c>
      <c r="K185" s="52" t="str">
        <f t="shared" si="56"/>
        <v>Customer</v>
      </c>
      <c r="L185" s="52" t="str">
        <f>"KK-04613"</f>
        <v>KK-04613</v>
      </c>
      <c r="M185" s="52" t="s">
        <v>20994</v>
      </c>
      <c r="N185" s="2">
        <v>20000</v>
      </c>
      <c r="O185" s="82">
        <v>42461</v>
      </c>
      <c r="P185" s="52" t="str">
        <f>"DS - Lucia Septiana.P"</f>
        <v>DS - Lucia Septiana.P</v>
      </c>
      <c r="Q185" s="52" t="str">
        <f t="shared" si="54"/>
        <v>KPS-10-10</v>
      </c>
    </row>
    <row r="186" spans="1:17" x14ac:dyDescent="0.35">
      <c r="A186" s="52" t="s">
        <v>6063</v>
      </c>
      <c r="C186" s="52" t="str">
        <f>"""TRUST Nav"",""HSPMTB2016"",""17"",""1"",""85221"""</f>
        <v>"TRUST Nav","HSPMTB2016","17","1","85221"</v>
      </c>
      <c r="D186" s="52" t="str">
        <f t="shared" si="62"/>
        <v>Customer</v>
      </c>
      <c r="I186" s="52" t="str">
        <f t="shared" si="55"/>
        <v>KK-04617|42217</v>
      </c>
      <c r="J186" s="82">
        <v>42428</v>
      </c>
      <c r="K186" s="52" t="str">
        <f t="shared" si="56"/>
        <v>Customer</v>
      </c>
      <c r="L186" s="52" t="str">
        <f>"KK-04617"</f>
        <v>KK-04617</v>
      </c>
      <c r="M186" s="52" t="s">
        <v>20996</v>
      </c>
      <c r="N186" s="2">
        <v>20000</v>
      </c>
      <c r="O186" s="82">
        <v>42217</v>
      </c>
      <c r="P186" s="52" t="str">
        <f>"DS - Rudolf Hendricus Poluan"</f>
        <v>DS - Rudolf Hendricus Poluan</v>
      </c>
      <c r="Q186" s="52" t="str">
        <f t="shared" si="54"/>
        <v>KPS-10-10</v>
      </c>
    </row>
    <row r="187" spans="1:17" x14ac:dyDescent="0.35">
      <c r="A187" s="52" t="s">
        <v>6063</v>
      </c>
      <c r="C187" s="52" t="str">
        <f>"""TRUST Nav"",""HSPMTB2016"",""17"",""1"",""85222"""</f>
        <v>"TRUST Nav","HSPMTB2016","17","1","85222"</v>
      </c>
      <c r="D187" s="52" t="str">
        <f t="shared" si="62"/>
        <v>Customer</v>
      </c>
      <c r="I187" s="52" t="str">
        <f t="shared" si="55"/>
        <v>KK-04617|42248</v>
      </c>
      <c r="J187" s="82">
        <v>42428</v>
      </c>
      <c r="K187" s="52" t="str">
        <f t="shared" si="56"/>
        <v>Customer</v>
      </c>
      <c r="L187" s="52" t="str">
        <f>"KK-04617"</f>
        <v>KK-04617</v>
      </c>
      <c r="M187" s="52" t="s">
        <v>20996</v>
      </c>
      <c r="N187" s="2">
        <v>20000</v>
      </c>
      <c r="O187" s="82">
        <v>42248</v>
      </c>
      <c r="P187" s="52" t="str">
        <f>"DS - Rudolf Hendricus Poluan"</f>
        <v>DS - Rudolf Hendricus Poluan</v>
      </c>
      <c r="Q187" s="52" t="str">
        <f t="shared" si="54"/>
        <v>KPS-10-10</v>
      </c>
    </row>
    <row r="188" spans="1:17" x14ac:dyDescent="0.35">
      <c r="A188" s="52" t="s">
        <v>6063</v>
      </c>
      <c r="C188" s="52" t="str">
        <f>"""TRUST Nav"",""HSPMTB2016"",""17"",""1"",""85223"""</f>
        <v>"TRUST Nav","HSPMTB2016","17","1","85223"</v>
      </c>
      <c r="D188" s="52" t="str">
        <f t="shared" si="62"/>
        <v>Customer</v>
      </c>
      <c r="I188" s="52" t="str">
        <f t="shared" si="55"/>
        <v>KK-04617|42278</v>
      </c>
      <c r="J188" s="82">
        <v>42428</v>
      </c>
      <c r="K188" s="52" t="str">
        <f t="shared" si="56"/>
        <v>Customer</v>
      </c>
      <c r="L188" s="52" t="str">
        <f>"KK-04617"</f>
        <v>KK-04617</v>
      </c>
      <c r="M188" s="52" t="s">
        <v>20996</v>
      </c>
      <c r="N188" s="2">
        <v>20000</v>
      </c>
      <c r="O188" s="82">
        <v>42278</v>
      </c>
      <c r="P188" s="52" t="str">
        <f>"DS - Rudolf Hendricus Poluan"</f>
        <v>DS - Rudolf Hendricus Poluan</v>
      </c>
      <c r="Q188" s="52" t="str">
        <f t="shared" si="54"/>
        <v>KPS-10-10</v>
      </c>
    </row>
    <row r="189" spans="1:17" x14ac:dyDescent="0.35">
      <c r="A189" s="52" t="s">
        <v>6063</v>
      </c>
      <c r="C189" s="52" t="str">
        <f>"""TRUST Nav"",""HSPMTB2016"",""17"",""1"",""85224"""</f>
        <v>"TRUST Nav","HSPMTB2016","17","1","85224"</v>
      </c>
      <c r="D189" s="52" t="str">
        <f t="shared" si="62"/>
        <v>Customer</v>
      </c>
      <c r="I189" s="52" t="str">
        <f t="shared" si="55"/>
        <v>KK-04617|42309</v>
      </c>
      <c r="J189" s="82">
        <v>42428</v>
      </c>
      <c r="K189" s="52" t="str">
        <f t="shared" si="56"/>
        <v>Customer</v>
      </c>
      <c r="L189" s="52" t="str">
        <f>"KK-04617"</f>
        <v>KK-04617</v>
      </c>
      <c r="M189" s="52" t="s">
        <v>20996</v>
      </c>
      <c r="N189" s="2">
        <v>20000</v>
      </c>
      <c r="O189" s="82">
        <v>42309</v>
      </c>
      <c r="P189" s="52" t="str">
        <f>"DS - Rudolf Hendricus Poluan"</f>
        <v>DS - Rudolf Hendricus Poluan</v>
      </c>
      <c r="Q189" s="52" t="str">
        <f t="shared" si="54"/>
        <v>KPS-10-10</v>
      </c>
    </row>
    <row r="190" spans="1:17" x14ac:dyDescent="0.35">
      <c r="A190" s="52" t="s">
        <v>6063</v>
      </c>
      <c r="C190" s="52" t="str">
        <f>"""TRUST Nav"",""HSPMTB2016"",""17"",""1"",""85225"""</f>
        <v>"TRUST Nav","HSPMTB2016","17","1","85225"</v>
      </c>
      <c r="D190" s="52" t="str">
        <f t="shared" si="62"/>
        <v>Customer</v>
      </c>
      <c r="I190" s="52" t="str">
        <f t="shared" si="55"/>
        <v>KK-04617|42339</v>
      </c>
      <c r="J190" s="82">
        <v>42428</v>
      </c>
      <c r="K190" s="52" t="str">
        <f t="shared" si="56"/>
        <v>Customer</v>
      </c>
      <c r="L190" s="52" t="str">
        <f>"KK-04617"</f>
        <v>KK-04617</v>
      </c>
      <c r="M190" s="52" t="s">
        <v>20996</v>
      </c>
      <c r="N190" s="2">
        <v>20000</v>
      </c>
      <c r="O190" s="82">
        <v>42339</v>
      </c>
      <c r="P190" s="52" t="str">
        <f>"DS - Rudolf Hendricus Poluan"</f>
        <v>DS - Rudolf Hendricus Poluan</v>
      </c>
      <c r="Q190" s="52" t="str">
        <f t="shared" si="54"/>
        <v>KPS-10-10</v>
      </c>
    </row>
    <row r="191" spans="1:17" x14ac:dyDescent="0.35">
      <c r="A191" s="52" t="s">
        <v>6063</v>
      </c>
      <c r="C191" s="52" t="str">
        <f>"""TRUST Nav"",""HSPMTB2016"",""17"",""1"",""85226"""</f>
        <v>"TRUST Nav","HSPMTB2016","17","1","85226"</v>
      </c>
      <c r="D191" s="52" t="str">
        <f t="shared" si="62"/>
        <v>Customer</v>
      </c>
      <c r="I191" s="52" t="str">
        <f t="shared" si="55"/>
        <v>KK-04621|42401</v>
      </c>
      <c r="J191" s="82">
        <v>42428</v>
      </c>
      <c r="K191" s="52" t="str">
        <f t="shared" si="56"/>
        <v>Customer</v>
      </c>
      <c r="L191" s="52" t="str">
        <f>"KK-04621"</f>
        <v>KK-04621</v>
      </c>
      <c r="M191" s="52" t="s">
        <v>20999</v>
      </c>
      <c r="N191" s="2">
        <v>25000.000000000004</v>
      </c>
      <c r="O191" s="82">
        <v>42401</v>
      </c>
      <c r="P191" s="52" t="str">
        <f>"DS - Tommy Prasetyo Utomo"</f>
        <v>DS - Tommy Prasetyo Utomo</v>
      </c>
      <c r="Q191" s="52" t="str">
        <f t="shared" si="54"/>
        <v>KPS-10-10</v>
      </c>
    </row>
    <row r="192" spans="1:17" x14ac:dyDescent="0.35">
      <c r="A192" s="52" t="s">
        <v>6063</v>
      </c>
      <c r="C192" s="52" t="str">
        <f>"""TRUST Nav"",""HSPMTB2016"",""17"",""1"",""85227"""</f>
        <v>"TRUST Nav","HSPMTB2016","17","1","85227"</v>
      </c>
      <c r="D192" s="52" t="str">
        <f t="shared" si="62"/>
        <v>Customer</v>
      </c>
      <c r="I192" s="52" t="str">
        <f t="shared" si="55"/>
        <v>KK-04622|42370</v>
      </c>
      <c r="J192" s="82">
        <v>42428</v>
      </c>
      <c r="K192" s="52" t="str">
        <f t="shared" si="56"/>
        <v>Customer</v>
      </c>
      <c r="L192" s="52" t="str">
        <f>"KK-04622"</f>
        <v>KK-04622</v>
      </c>
      <c r="M192" s="52" t="s">
        <v>21000</v>
      </c>
      <c r="N192" s="2">
        <v>35000</v>
      </c>
      <c r="O192" s="82">
        <v>42370</v>
      </c>
      <c r="P192" s="52" t="str">
        <f>"DS - Tri Saptono Vinsentius "</f>
        <v xml:space="preserve">DS - Tri Saptono Vinsentius </v>
      </c>
      <c r="Q192" s="52" t="str">
        <f t="shared" si="54"/>
        <v>KPS-10-10</v>
      </c>
    </row>
    <row r="193" spans="1:17" x14ac:dyDescent="0.35">
      <c r="A193" s="52" t="s">
        <v>6063</v>
      </c>
      <c r="C193" s="52" t="str">
        <f>"""TRUST Nav"",""HSPMTB2016"",""17"",""1"",""85228"""</f>
        <v>"TRUST Nav","HSPMTB2016","17","1","85228"</v>
      </c>
      <c r="D193" s="52" t="str">
        <f t="shared" si="62"/>
        <v>Customer</v>
      </c>
      <c r="I193" s="52" t="str">
        <f t="shared" si="55"/>
        <v>KK-04624|42370</v>
      </c>
      <c r="J193" s="82">
        <v>42428</v>
      </c>
      <c r="K193" s="52" t="str">
        <f t="shared" si="56"/>
        <v>Customer</v>
      </c>
      <c r="L193" s="52" t="str">
        <f t="shared" ref="L193:L198" si="63">"KK-04624"</f>
        <v>KK-04624</v>
      </c>
      <c r="M193" s="52" t="s">
        <v>21001</v>
      </c>
      <c r="N193" s="2">
        <v>40000</v>
      </c>
      <c r="O193" s="82">
        <v>42370</v>
      </c>
      <c r="P193" s="52" t="str">
        <f t="shared" ref="P193:P198" si="64">"DS - Yohanes Hendy Setiawan"</f>
        <v>DS - Yohanes Hendy Setiawan</v>
      </c>
      <c r="Q193" s="52" t="str">
        <f t="shared" si="54"/>
        <v>KPS-10-10</v>
      </c>
    </row>
    <row r="194" spans="1:17" x14ac:dyDescent="0.35">
      <c r="A194" s="52" t="s">
        <v>6063</v>
      </c>
      <c r="C194" s="52" t="str">
        <f>"""TRUST Nav"",""HSPMTB2016"",""17"",""1"",""85229"""</f>
        <v>"TRUST Nav","HSPMTB2016","17","1","85229"</v>
      </c>
      <c r="D194" s="52" t="str">
        <f t="shared" si="62"/>
        <v>Customer</v>
      </c>
      <c r="I194" s="52" t="str">
        <f t="shared" si="55"/>
        <v>KK-04624|42401</v>
      </c>
      <c r="J194" s="82">
        <v>42428</v>
      </c>
      <c r="K194" s="52" t="str">
        <f t="shared" si="56"/>
        <v>Customer</v>
      </c>
      <c r="L194" s="52" t="str">
        <f t="shared" si="63"/>
        <v>KK-04624</v>
      </c>
      <c r="M194" s="52" t="s">
        <v>21001</v>
      </c>
      <c r="N194" s="2">
        <v>40000</v>
      </c>
      <c r="O194" s="82">
        <v>42401</v>
      </c>
      <c r="P194" s="52" t="str">
        <f t="shared" si="64"/>
        <v>DS - Yohanes Hendy Setiawan</v>
      </c>
      <c r="Q194" s="52" t="str">
        <f t="shared" si="54"/>
        <v>KPS-10-10</v>
      </c>
    </row>
    <row r="195" spans="1:17" x14ac:dyDescent="0.35">
      <c r="A195" s="52" t="s">
        <v>6063</v>
      </c>
      <c r="C195" s="52" t="str">
        <f>"""TRUST Nav"",""HSPMTB2016"",""17"",""1"",""85230"""</f>
        <v>"TRUST Nav","HSPMTB2016","17","1","85230"</v>
      </c>
      <c r="D195" s="52" t="str">
        <f t="shared" si="62"/>
        <v>Customer</v>
      </c>
      <c r="I195" s="52" t="str">
        <f t="shared" si="55"/>
        <v>KK-04624|42430</v>
      </c>
      <c r="J195" s="82">
        <v>42428</v>
      </c>
      <c r="K195" s="52" t="str">
        <f t="shared" si="56"/>
        <v>Customer</v>
      </c>
      <c r="L195" s="52" t="str">
        <f t="shared" si="63"/>
        <v>KK-04624</v>
      </c>
      <c r="M195" s="52" t="s">
        <v>21001</v>
      </c>
      <c r="N195" s="2">
        <v>40000</v>
      </c>
      <c r="O195" s="82">
        <v>42430</v>
      </c>
      <c r="P195" s="52" t="str">
        <f t="shared" si="64"/>
        <v>DS - Yohanes Hendy Setiawan</v>
      </c>
      <c r="Q195" s="52" t="str">
        <f t="shared" si="54"/>
        <v>KPS-10-10</v>
      </c>
    </row>
    <row r="196" spans="1:17" x14ac:dyDescent="0.35">
      <c r="A196" s="52" t="s">
        <v>6063</v>
      </c>
      <c r="C196" s="52" t="str">
        <f>"""TRUST Nav"",""HSPMTB2016"",""17"",""1"",""85231"""</f>
        <v>"TRUST Nav","HSPMTB2016","17","1","85231"</v>
      </c>
      <c r="D196" s="52" t="str">
        <f t="shared" si="62"/>
        <v>Customer</v>
      </c>
      <c r="I196" s="52" t="str">
        <f t="shared" si="55"/>
        <v>KK-04624|42461</v>
      </c>
      <c r="J196" s="82">
        <v>42428</v>
      </c>
      <c r="K196" s="52" t="str">
        <f t="shared" si="56"/>
        <v>Customer</v>
      </c>
      <c r="L196" s="52" t="str">
        <f t="shared" si="63"/>
        <v>KK-04624</v>
      </c>
      <c r="M196" s="52" t="s">
        <v>21001</v>
      </c>
      <c r="N196" s="2">
        <v>40000</v>
      </c>
      <c r="O196" s="82">
        <v>42461</v>
      </c>
      <c r="P196" s="52" t="str">
        <f t="shared" si="64"/>
        <v>DS - Yohanes Hendy Setiawan</v>
      </c>
      <c r="Q196" s="52" t="str">
        <f t="shared" si="54"/>
        <v>KPS-10-10</v>
      </c>
    </row>
    <row r="197" spans="1:17" x14ac:dyDescent="0.35">
      <c r="A197" s="52" t="s">
        <v>6063</v>
      </c>
      <c r="C197" s="52" t="str">
        <f>"""TRUST Nav"",""HSPMTB2016"",""17"",""1"",""85232"""</f>
        <v>"TRUST Nav","HSPMTB2016","17","1","85232"</v>
      </c>
      <c r="D197" s="52" t="str">
        <f t="shared" si="62"/>
        <v>Customer</v>
      </c>
      <c r="I197" s="52" t="str">
        <f t="shared" si="55"/>
        <v>KK-04624|42491</v>
      </c>
      <c r="J197" s="82">
        <v>42428</v>
      </c>
      <c r="K197" s="52" t="str">
        <f t="shared" si="56"/>
        <v>Customer</v>
      </c>
      <c r="L197" s="52" t="str">
        <f t="shared" si="63"/>
        <v>KK-04624</v>
      </c>
      <c r="M197" s="52" t="s">
        <v>21001</v>
      </c>
      <c r="N197" s="2">
        <v>40000</v>
      </c>
      <c r="O197" s="82">
        <v>42491</v>
      </c>
      <c r="P197" s="52" t="str">
        <f t="shared" si="64"/>
        <v>DS - Yohanes Hendy Setiawan</v>
      </c>
      <c r="Q197" s="52" t="str">
        <f t="shared" si="54"/>
        <v>KPS-10-10</v>
      </c>
    </row>
    <row r="198" spans="1:17" x14ac:dyDescent="0.35">
      <c r="A198" s="52" t="s">
        <v>6063</v>
      </c>
      <c r="C198" s="52" t="str">
        <f>"""TRUST Nav"",""HSPMTB2016"",""17"",""1"",""85233"""</f>
        <v>"TRUST Nav","HSPMTB2016","17","1","85233"</v>
      </c>
      <c r="D198" s="52" t="str">
        <f t="shared" si="62"/>
        <v>Customer</v>
      </c>
      <c r="I198" s="52" t="str">
        <f t="shared" si="55"/>
        <v>KK-04624|42522</v>
      </c>
      <c r="J198" s="82">
        <v>42428</v>
      </c>
      <c r="K198" s="52" t="str">
        <f t="shared" si="56"/>
        <v>Customer</v>
      </c>
      <c r="L198" s="52" t="str">
        <f t="shared" si="63"/>
        <v>KK-04624</v>
      </c>
      <c r="M198" s="52" t="s">
        <v>21001</v>
      </c>
      <c r="N198" s="2">
        <v>40000</v>
      </c>
      <c r="O198" s="82">
        <v>42522</v>
      </c>
      <c r="P198" s="52" t="str">
        <f t="shared" si="64"/>
        <v>DS - Yohanes Hendy Setiawan</v>
      </c>
      <c r="Q198" s="52" t="str">
        <f t="shared" si="54"/>
        <v>KPS-10-10</v>
      </c>
    </row>
    <row r="199" spans="1:17" x14ac:dyDescent="0.35">
      <c r="A199" s="52" t="s">
        <v>6063</v>
      </c>
      <c r="C199" s="52" t="str">
        <f>"""TRUST Nav"",""HSPMTB2016"",""17"",""1"",""102548"""</f>
        <v>"TRUST Nav","HSPMTB2016","17","1","102548"</v>
      </c>
      <c r="D199" s="52" t="str">
        <f t="shared" si="62"/>
        <v>Customer</v>
      </c>
      <c r="I199" s="52" t="str">
        <f t="shared" si="55"/>
        <v>KK-04601|42370</v>
      </c>
      <c r="J199" s="82">
        <v>42477</v>
      </c>
      <c r="K199" s="52" t="str">
        <f t="shared" si="56"/>
        <v>Customer</v>
      </c>
      <c r="L199" s="52" t="str">
        <f>"KK-04601"</f>
        <v>KK-04601</v>
      </c>
      <c r="M199" s="52" t="s">
        <v>20985</v>
      </c>
      <c r="N199" s="2">
        <v>20000</v>
      </c>
      <c r="O199" s="82">
        <v>42370</v>
      </c>
      <c r="P199" s="52" t="str">
        <f>"DS - Boen Yoen Tet (Teddy)"</f>
        <v>DS - Boen Yoen Tet (Teddy)</v>
      </c>
      <c r="Q199" s="52" t="str">
        <f t="shared" si="54"/>
        <v>KPS-10-10</v>
      </c>
    </row>
    <row r="200" spans="1:17" x14ac:dyDescent="0.35">
      <c r="A200" s="52" t="s">
        <v>6063</v>
      </c>
      <c r="C200" s="52" t="str">
        <f>"""TRUST Nav"",""HSPMTB2016"",""17"",""1"",""102549"""</f>
        <v>"TRUST Nav","HSPMTB2016","17","1","102549"</v>
      </c>
      <c r="D200" s="52" t="str">
        <f t="shared" si="62"/>
        <v>Customer</v>
      </c>
      <c r="I200" s="52" t="str">
        <f t="shared" si="55"/>
        <v>KK-04601|42401</v>
      </c>
      <c r="J200" s="82">
        <v>42477</v>
      </c>
      <c r="K200" s="52" t="str">
        <f t="shared" si="56"/>
        <v>Customer</v>
      </c>
      <c r="L200" s="52" t="str">
        <f>"KK-04601"</f>
        <v>KK-04601</v>
      </c>
      <c r="M200" s="52" t="s">
        <v>20985</v>
      </c>
      <c r="N200" s="2">
        <v>20000</v>
      </c>
      <c r="O200" s="82">
        <v>42401</v>
      </c>
      <c r="P200" s="52" t="str">
        <f>"DS - Boen Yoen Tet (Teddy)"</f>
        <v>DS - Boen Yoen Tet (Teddy)</v>
      </c>
      <c r="Q200" s="52" t="str">
        <f t="shared" si="54"/>
        <v>KPS-10-10</v>
      </c>
    </row>
    <row r="201" spans="1:17" x14ac:dyDescent="0.35">
      <c r="A201" s="52" t="s">
        <v>6063</v>
      </c>
      <c r="C201" s="52" t="str">
        <f>"""TRUST Nav"",""HSPMTB2016"",""17"",""1"",""102550"""</f>
        <v>"TRUST Nav","HSPMTB2016","17","1","102550"</v>
      </c>
      <c r="D201" s="52" t="str">
        <f t="shared" si="62"/>
        <v>Customer</v>
      </c>
      <c r="I201" s="52" t="str">
        <f t="shared" si="55"/>
        <v>KK-04601|42430</v>
      </c>
      <c r="J201" s="82">
        <v>42477</v>
      </c>
      <c r="K201" s="52" t="str">
        <f t="shared" si="56"/>
        <v>Customer</v>
      </c>
      <c r="L201" s="52" t="str">
        <f>"KK-04601"</f>
        <v>KK-04601</v>
      </c>
      <c r="M201" s="52" t="s">
        <v>20985</v>
      </c>
      <c r="N201" s="2">
        <v>20000</v>
      </c>
      <c r="O201" s="82">
        <v>42430</v>
      </c>
      <c r="P201" s="52" t="str">
        <f>"DS - Boen Yoen Tet (Teddy)"</f>
        <v>DS - Boen Yoen Tet (Teddy)</v>
      </c>
      <c r="Q201" s="52" t="str">
        <f t="shared" si="54"/>
        <v>KPS-10-10</v>
      </c>
    </row>
    <row r="202" spans="1:17" x14ac:dyDescent="0.35">
      <c r="A202" s="52" t="s">
        <v>6063</v>
      </c>
      <c r="C202" s="52" t="str">
        <f>"""TRUST Nav"",""HSPMTB2016"",""17"",""1"",""102551"""</f>
        <v>"TRUST Nav","HSPMTB2016","17","1","102551"</v>
      </c>
      <c r="D202" s="52" t="str">
        <f t="shared" si="62"/>
        <v>Customer</v>
      </c>
      <c r="I202" s="52" t="str">
        <f t="shared" si="55"/>
        <v>KK-04601|42461</v>
      </c>
      <c r="J202" s="82">
        <v>42477</v>
      </c>
      <c r="K202" s="52" t="str">
        <f t="shared" si="56"/>
        <v>Customer</v>
      </c>
      <c r="L202" s="52" t="str">
        <f>"KK-04601"</f>
        <v>KK-04601</v>
      </c>
      <c r="M202" s="52" t="s">
        <v>20985</v>
      </c>
      <c r="N202" s="2">
        <v>20000</v>
      </c>
      <c r="O202" s="82">
        <v>42461</v>
      </c>
      <c r="P202" s="52" t="str">
        <f>"DS - Boen Yoen Tet (Teddy)"</f>
        <v>DS - Boen Yoen Tet (Teddy)</v>
      </c>
      <c r="Q202" s="52" t="str">
        <f t="shared" si="54"/>
        <v>KPS-10-10</v>
      </c>
    </row>
    <row r="203" spans="1:17" x14ac:dyDescent="0.35">
      <c r="A203" s="52" t="s">
        <v>6063</v>
      </c>
      <c r="C203" s="52" t="str">
        <f>"""TRUST Nav"",""HSPMTB2016"",""17"",""1"",""102552"""</f>
        <v>"TRUST Nav","HSPMTB2016","17","1","102552"</v>
      </c>
      <c r="D203" s="52" t="str">
        <f t="shared" si="62"/>
        <v>Customer</v>
      </c>
      <c r="I203" s="52" t="str">
        <f t="shared" si="55"/>
        <v>KK-04605|42370</v>
      </c>
      <c r="J203" s="82">
        <v>42477</v>
      </c>
      <c r="K203" s="52" t="str">
        <f t="shared" si="56"/>
        <v>Customer</v>
      </c>
      <c r="L203" s="52" t="str">
        <f>"KK-04605"</f>
        <v>KK-04605</v>
      </c>
      <c r="M203" s="52" t="s">
        <v>20987</v>
      </c>
      <c r="N203" s="2">
        <v>25000.000000000004</v>
      </c>
      <c r="O203" s="82">
        <v>42370</v>
      </c>
      <c r="P203" s="52" t="str">
        <f>"DS - Handoyo Krismanto"</f>
        <v>DS - Handoyo Krismanto</v>
      </c>
      <c r="Q203" s="52" t="str">
        <f t="shared" si="54"/>
        <v>KPS-10-10</v>
      </c>
    </row>
    <row r="204" spans="1:17" x14ac:dyDescent="0.35">
      <c r="A204" s="52" t="s">
        <v>6063</v>
      </c>
      <c r="C204" s="52" t="str">
        <f>"""TRUST Nav"",""HSPMTB2016"",""17"",""1"",""102553"""</f>
        <v>"TRUST Nav","HSPMTB2016","17","1","102553"</v>
      </c>
      <c r="D204" s="52" t="str">
        <f t="shared" si="62"/>
        <v>Customer</v>
      </c>
      <c r="I204" s="52" t="str">
        <f t="shared" si="55"/>
        <v>KK-04605|42401</v>
      </c>
      <c r="J204" s="82">
        <v>42477</v>
      </c>
      <c r="K204" s="52" t="str">
        <f t="shared" si="56"/>
        <v>Customer</v>
      </c>
      <c r="L204" s="52" t="str">
        <f>"KK-04605"</f>
        <v>KK-04605</v>
      </c>
      <c r="M204" s="52" t="s">
        <v>20987</v>
      </c>
      <c r="N204" s="2">
        <v>25000.000000000004</v>
      </c>
      <c r="O204" s="82">
        <v>42401</v>
      </c>
      <c r="P204" s="52" t="str">
        <f>"DS - Handoyo Krismanto"</f>
        <v>DS - Handoyo Krismanto</v>
      </c>
      <c r="Q204" s="52" t="str">
        <f t="shared" si="54"/>
        <v>KPS-10-10</v>
      </c>
    </row>
    <row r="205" spans="1:17" x14ac:dyDescent="0.35">
      <c r="A205" s="52" t="s">
        <v>6063</v>
      </c>
      <c r="C205" s="52" t="str">
        <f>"""TRUST Nav"",""HSPMTB2016"",""17"",""1"",""102554"""</f>
        <v>"TRUST Nav","HSPMTB2016","17","1","102554"</v>
      </c>
      <c r="D205" s="52" t="str">
        <f t="shared" si="62"/>
        <v>Customer</v>
      </c>
      <c r="I205" s="52" t="str">
        <f t="shared" si="55"/>
        <v>KK-04605|42430</v>
      </c>
      <c r="J205" s="82">
        <v>42477</v>
      </c>
      <c r="K205" s="52" t="str">
        <f t="shared" si="56"/>
        <v>Customer</v>
      </c>
      <c r="L205" s="52" t="str">
        <f>"KK-04605"</f>
        <v>KK-04605</v>
      </c>
      <c r="M205" s="52" t="s">
        <v>20987</v>
      </c>
      <c r="N205" s="2">
        <v>25000.000000000004</v>
      </c>
      <c r="O205" s="82">
        <v>42430</v>
      </c>
      <c r="P205" s="52" t="str">
        <f>"DS - Handoyo Krismanto"</f>
        <v>DS - Handoyo Krismanto</v>
      </c>
      <c r="Q205" s="52" t="str">
        <f t="shared" ref="Q205:Q268" si="65">"KPS-10-10"</f>
        <v>KPS-10-10</v>
      </c>
    </row>
    <row r="206" spans="1:17" x14ac:dyDescent="0.35">
      <c r="A206" s="52" t="s">
        <v>6063</v>
      </c>
      <c r="C206" s="52" t="str">
        <f>"""TRUST Nav"",""HSPMTB2016"",""17"",""1"",""102555"""</f>
        <v>"TRUST Nav","HSPMTB2016","17","1","102555"</v>
      </c>
      <c r="D206" s="52" t="str">
        <f t="shared" si="62"/>
        <v>Customer</v>
      </c>
      <c r="I206" s="52" t="str">
        <f t="shared" ref="I206:I269" si="66">CONCATENATE(L206,"|",O206)</f>
        <v>KK-04607|42401</v>
      </c>
      <c r="J206" s="82">
        <v>42477</v>
      </c>
      <c r="K206" s="52" t="str">
        <f t="shared" ref="K206:K269" si="67">IF($D206="Customer",$D206,"G/L")</f>
        <v>Customer</v>
      </c>
      <c r="L206" s="52" t="str">
        <f>"KK-04607"</f>
        <v>KK-04607</v>
      </c>
      <c r="M206" s="52" t="s">
        <v>20989</v>
      </c>
      <c r="N206" s="2">
        <v>150000</v>
      </c>
      <c r="O206" s="82">
        <v>42401</v>
      </c>
      <c r="P206" s="52" t="str">
        <f>"DS - Hendro Hartono"</f>
        <v>DS - Hendro Hartono</v>
      </c>
      <c r="Q206" s="52" t="str">
        <f t="shared" si="65"/>
        <v>KPS-10-10</v>
      </c>
    </row>
    <row r="207" spans="1:17" x14ac:dyDescent="0.35">
      <c r="A207" s="52" t="s">
        <v>6063</v>
      </c>
      <c r="C207" s="52" t="str">
        <f>"""TRUST Nav"",""HSPMTB2016"",""17"",""1"",""102556"""</f>
        <v>"TRUST Nav","HSPMTB2016","17","1","102556"</v>
      </c>
      <c r="D207" s="52" t="str">
        <f t="shared" si="62"/>
        <v>Customer</v>
      </c>
      <c r="I207" s="52" t="str">
        <f t="shared" si="66"/>
        <v>KK-04608|42430</v>
      </c>
      <c r="J207" s="82">
        <v>42477</v>
      </c>
      <c r="K207" s="52" t="str">
        <f t="shared" si="67"/>
        <v>Customer</v>
      </c>
      <c r="L207" s="52" t="str">
        <f>"KK-04608"</f>
        <v>KK-04608</v>
      </c>
      <c r="M207" s="52" t="s">
        <v>20990</v>
      </c>
      <c r="N207" s="2">
        <v>30000</v>
      </c>
      <c r="O207" s="82">
        <v>42430</v>
      </c>
      <c r="P207" s="52" t="str">
        <f>"DS - Heru Prawono"</f>
        <v>DS - Heru Prawono</v>
      </c>
      <c r="Q207" s="52" t="str">
        <f t="shared" si="65"/>
        <v>KPS-10-10</v>
      </c>
    </row>
    <row r="208" spans="1:17" x14ac:dyDescent="0.35">
      <c r="A208" s="52" t="s">
        <v>6063</v>
      </c>
      <c r="C208" s="52" t="str">
        <f>"""TRUST Nav"",""HSPMTB2016"",""17"",""1"",""102557"""</f>
        <v>"TRUST Nav","HSPMTB2016","17","1","102557"</v>
      </c>
      <c r="D208" s="52" t="str">
        <f t="shared" si="62"/>
        <v>Customer</v>
      </c>
      <c r="I208" s="52" t="str">
        <f t="shared" si="66"/>
        <v>KK-04608|42461</v>
      </c>
      <c r="J208" s="82">
        <v>42477</v>
      </c>
      <c r="K208" s="52" t="str">
        <f t="shared" si="67"/>
        <v>Customer</v>
      </c>
      <c r="L208" s="52" t="str">
        <f>"KK-04608"</f>
        <v>KK-04608</v>
      </c>
      <c r="M208" s="52" t="s">
        <v>20990</v>
      </c>
      <c r="N208" s="2">
        <v>30000</v>
      </c>
      <c r="O208" s="82">
        <v>42461</v>
      </c>
      <c r="P208" s="52" t="str">
        <f>"DS - Heru Prawono"</f>
        <v>DS - Heru Prawono</v>
      </c>
      <c r="Q208" s="52" t="str">
        <f t="shared" si="65"/>
        <v>KPS-10-10</v>
      </c>
    </row>
    <row r="209" spans="1:17" x14ac:dyDescent="0.35">
      <c r="A209" s="52" t="s">
        <v>6063</v>
      </c>
      <c r="C209" s="52" t="str">
        <f>"""TRUST Nav"",""HSPMTB2016"",""17"",""1"",""102558"""</f>
        <v>"TRUST Nav","HSPMTB2016","17","1","102558"</v>
      </c>
      <c r="D209" s="52" t="str">
        <f t="shared" si="62"/>
        <v>Customer</v>
      </c>
      <c r="I209" s="52" t="str">
        <f t="shared" si="66"/>
        <v>KK-04616|42370</v>
      </c>
      <c r="J209" s="82">
        <v>42477</v>
      </c>
      <c r="K209" s="52" t="str">
        <f t="shared" si="67"/>
        <v>Customer</v>
      </c>
      <c r="L209" s="52" t="str">
        <f>"KK-04616"</f>
        <v>KK-04616</v>
      </c>
      <c r="M209" s="52" t="s">
        <v>20995</v>
      </c>
      <c r="N209" s="2">
        <v>50000.000000000007</v>
      </c>
      <c r="O209" s="82">
        <v>42370</v>
      </c>
      <c r="P209" s="52" t="str">
        <f>"DS - Purnama Tanuseputra"</f>
        <v>DS - Purnama Tanuseputra</v>
      </c>
      <c r="Q209" s="52" t="str">
        <f t="shared" si="65"/>
        <v>KPS-10-10</v>
      </c>
    </row>
    <row r="210" spans="1:17" x14ac:dyDescent="0.35">
      <c r="A210" s="52" t="s">
        <v>6063</v>
      </c>
      <c r="C210" s="52" t="str">
        <f>"""TRUST Nav"",""HSPMTB2016"",""17"",""1"",""102559"""</f>
        <v>"TRUST Nav","HSPMTB2016","17","1","102559"</v>
      </c>
      <c r="D210" s="52" t="str">
        <f t="shared" si="62"/>
        <v>Customer</v>
      </c>
      <c r="I210" s="52" t="str">
        <f t="shared" si="66"/>
        <v>KK-04616|42401</v>
      </c>
      <c r="J210" s="82">
        <v>42477</v>
      </c>
      <c r="K210" s="52" t="str">
        <f t="shared" si="67"/>
        <v>Customer</v>
      </c>
      <c r="L210" s="52" t="str">
        <f>"KK-04616"</f>
        <v>KK-04616</v>
      </c>
      <c r="M210" s="52" t="s">
        <v>20995</v>
      </c>
      <c r="N210" s="2">
        <v>50000.000000000007</v>
      </c>
      <c r="O210" s="82">
        <v>42401</v>
      </c>
      <c r="P210" s="52" t="str">
        <f>"DS - Purnama Tanuseputra"</f>
        <v>DS - Purnama Tanuseputra</v>
      </c>
      <c r="Q210" s="52" t="str">
        <f t="shared" si="65"/>
        <v>KPS-10-10</v>
      </c>
    </row>
    <row r="211" spans="1:17" x14ac:dyDescent="0.35">
      <c r="A211" s="52" t="s">
        <v>6063</v>
      </c>
      <c r="C211" s="52" t="str">
        <f>"""TRUST Nav"",""HSPMTB2016"",""17"",""1"",""102560"""</f>
        <v>"TRUST Nav","HSPMTB2016","17","1","102560"</v>
      </c>
      <c r="D211" s="52" t="str">
        <f t="shared" si="62"/>
        <v>Customer</v>
      </c>
      <c r="I211" s="52" t="str">
        <f t="shared" si="66"/>
        <v>KK-04616|42430</v>
      </c>
      <c r="J211" s="82">
        <v>42477</v>
      </c>
      <c r="K211" s="52" t="str">
        <f t="shared" si="67"/>
        <v>Customer</v>
      </c>
      <c r="L211" s="52" t="str">
        <f>"KK-04616"</f>
        <v>KK-04616</v>
      </c>
      <c r="M211" s="52" t="s">
        <v>20995</v>
      </c>
      <c r="N211" s="2">
        <v>50000.000000000007</v>
      </c>
      <c r="O211" s="82">
        <v>42430</v>
      </c>
      <c r="P211" s="52" t="str">
        <f>"DS - Purnama Tanuseputra"</f>
        <v>DS - Purnama Tanuseputra</v>
      </c>
      <c r="Q211" s="52" t="str">
        <f t="shared" si="65"/>
        <v>KPS-10-10</v>
      </c>
    </row>
    <row r="212" spans="1:17" x14ac:dyDescent="0.35">
      <c r="A212" s="52" t="s">
        <v>6063</v>
      </c>
      <c r="C212" s="52" t="str">
        <f>"""TRUST Nav"",""HSPMTB2016"",""17"",""1"",""102561"""</f>
        <v>"TRUST Nav","HSPMTB2016","17","1","102561"</v>
      </c>
      <c r="D212" s="52" t="str">
        <f t="shared" ref="D212:D243" si="68">"Customer"</f>
        <v>Customer</v>
      </c>
      <c r="I212" s="52" t="str">
        <f t="shared" si="66"/>
        <v>KK-04616|42461</v>
      </c>
      <c r="J212" s="82">
        <v>42477</v>
      </c>
      <c r="K212" s="52" t="str">
        <f t="shared" si="67"/>
        <v>Customer</v>
      </c>
      <c r="L212" s="52" t="str">
        <f>"KK-04616"</f>
        <v>KK-04616</v>
      </c>
      <c r="M212" s="52" t="s">
        <v>20995</v>
      </c>
      <c r="N212" s="2">
        <v>50000.000000000007</v>
      </c>
      <c r="O212" s="82">
        <v>42461</v>
      </c>
      <c r="P212" s="52" t="str">
        <f>"DS - Purnama Tanuseputra"</f>
        <v>DS - Purnama Tanuseputra</v>
      </c>
      <c r="Q212" s="52" t="str">
        <f t="shared" si="65"/>
        <v>KPS-10-10</v>
      </c>
    </row>
    <row r="213" spans="1:17" x14ac:dyDescent="0.35">
      <c r="A213" s="52" t="s">
        <v>6063</v>
      </c>
      <c r="C213" s="52" t="str">
        <f>"""TRUST Nav"",""HSPMTB2016"",""17"",""1"",""102562"""</f>
        <v>"TRUST Nav","HSPMTB2016","17","1","102562"</v>
      </c>
      <c r="D213" s="52" t="str">
        <f t="shared" si="68"/>
        <v>Customer</v>
      </c>
      <c r="I213" s="52" t="str">
        <f t="shared" si="66"/>
        <v>KK-04625|42401</v>
      </c>
      <c r="J213" s="82">
        <v>42477</v>
      </c>
      <c r="K213" s="52" t="str">
        <f t="shared" si="67"/>
        <v>Customer</v>
      </c>
      <c r="L213" s="52" t="str">
        <f>"KK-04625"</f>
        <v>KK-04625</v>
      </c>
      <c r="M213" s="52" t="s">
        <v>21002</v>
      </c>
      <c r="N213" s="2">
        <v>100000.00000000001</v>
      </c>
      <c r="O213" s="82">
        <v>42401</v>
      </c>
      <c r="P213" s="52" t="str">
        <f>"DS - Yunius Samara"</f>
        <v>DS - Yunius Samara</v>
      </c>
      <c r="Q213" s="52" t="str">
        <f t="shared" si="65"/>
        <v>KPS-10-10</v>
      </c>
    </row>
    <row r="214" spans="1:17" x14ac:dyDescent="0.35">
      <c r="A214" s="52" t="s">
        <v>6063</v>
      </c>
      <c r="C214" s="52" t="str">
        <f>"""TRUST Nav"",""HSPMTB2016"",""17"",""1"",""102563"""</f>
        <v>"TRUST Nav","HSPMTB2016","17","1","102563"</v>
      </c>
      <c r="D214" s="52" t="str">
        <f t="shared" si="68"/>
        <v>Customer</v>
      </c>
      <c r="I214" s="52" t="str">
        <f t="shared" si="66"/>
        <v>KK-04625|42430</v>
      </c>
      <c r="J214" s="82">
        <v>42477</v>
      </c>
      <c r="K214" s="52" t="str">
        <f t="shared" si="67"/>
        <v>Customer</v>
      </c>
      <c r="L214" s="52" t="str">
        <f>"KK-04625"</f>
        <v>KK-04625</v>
      </c>
      <c r="M214" s="52" t="s">
        <v>21002</v>
      </c>
      <c r="N214" s="2">
        <v>100000.00000000001</v>
      </c>
      <c r="O214" s="82">
        <v>42430</v>
      </c>
      <c r="P214" s="52" t="str">
        <f>"DS - Yunius Samara"</f>
        <v>DS - Yunius Samara</v>
      </c>
      <c r="Q214" s="52" t="str">
        <f t="shared" si="65"/>
        <v>KPS-10-10</v>
      </c>
    </row>
    <row r="215" spans="1:17" x14ac:dyDescent="0.35">
      <c r="A215" s="52" t="s">
        <v>6063</v>
      </c>
      <c r="C215" s="52" t="str">
        <f>"""TRUST Nav"",""HSPMTB2016"",""17"",""1"",""102564"""</f>
        <v>"TRUST Nav","HSPMTB2016","17","1","102564"</v>
      </c>
      <c r="D215" s="52" t="str">
        <f t="shared" si="68"/>
        <v>Customer</v>
      </c>
      <c r="I215" s="52" t="str">
        <f t="shared" si="66"/>
        <v>KK-04625|42461</v>
      </c>
      <c r="J215" s="82">
        <v>42477</v>
      </c>
      <c r="K215" s="52" t="str">
        <f t="shared" si="67"/>
        <v>Customer</v>
      </c>
      <c r="L215" s="52" t="str">
        <f>"KK-04625"</f>
        <v>KK-04625</v>
      </c>
      <c r="M215" s="52" t="s">
        <v>21002</v>
      </c>
      <c r="N215" s="2">
        <v>100000.00000000001</v>
      </c>
      <c r="O215" s="82">
        <v>42461</v>
      </c>
      <c r="P215" s="52" t="str">
        <f>"DS - Yunius Samara"</f>
        <v>DS - Yunius Samara</v>
      </c>
      <c r="Q215" s="52" t="str">
        <f t="shared" si="65"/>
        <v>KPS-10-10</v>
      </c>
    </row>
    <row r="216" spans="1:17" x14ac:dyDescent="0.35">
      <c r="A216" s="52" t="s">
        <v>6063</v>
      </c>
      <c r="C216" s="52" t="str">
        <f>"""TRUST Nav"",""HSPMTB2016"",""17"",""1"",""116848"""</f>
        <v>"TRUST Nav","HSPMTB2016","17","1","116848"</v>
      </c>
      <c r="D216" s="52" t="str">
        <f t="shared" si="68"/>
        <v>Customer</v>
      </c>
      <c r="I216" s="52" t="str">
        <f t="shared" si="66"/>
        <v>KK-04598|42370</v>
      </c>
      <c r="J216" s="82">
        <v>42519</v>
      </c>
      <c r="K216" s="52" t="str">
        <f t="shared" si="67"/>
        <v>Customer</v>
      </c>
      <c r="L216" s="52" t="str">
        <f>"KK-04598"</f>
        <v>KK-04598</v>
      </c>
      <c r="M216" s="52" t="s">
        <v>20983</v>
      </c>
      <c r="N216" s="2">
        <v>25000.000000000004</v>
      </c>
      <c r="O216" s="82">
        <v>42370</v>
      </c>
      <c r="P216" s="52" t="str">
        <f>"DS - Alex Sudytio"</f>
        <v>DS - Alex Sudytio</v>
      </c>
      <c r="Q216" s="52" t="str">
        <f t="shared" si="65"/>
        <v>KPS-10-10</v>
      </c>
    </row>
    <row r="217" spans="1:17" x14ac:dyDescent="0.35">
      <c r="A217" s="52" t="s">
        <v>6063</v>
      </c>
      <c r="C217" s="52" t="str">
        <f>"""TRUST Nav"",""HSPMTB2016"",""17"",""1"",""116849"""</f>
        <v>"TRUST Nav","HSPMTB2016","17","1","116849"</v>
      </c>
      <c r="D217" s="52" t="str">
        <f t="shared" si="68"/>
        <v>Customer</v>
      </c>
      <c r="I217" s="52" t="str">
        <f t="shared" si="66"/>
        <v>KK-04598|42401</v>
      </c>
      <c r="J217" s="82">
        <v>42519</v>
      </c>
      <c r="K217" s="52" t="str">
        <f t="shared" si="67"/>
        <v>Customer</v>
      </c>
      <c r="L217" s="52" t="str">
        <f>"KK-04598"</f>
        <v>KK-04598</v>
      </c>
      <c r="M217" s="52" t="s">
        <v>20983</v>
      </c>
      <c r="N217" s="2">
        <v>25000.000000000004</v>
      </c>
      <c r="O217" s="82">
        <v>42401</v>
      </c>
      <c r="P217" s="52" t="str">
        <f>"DS - Alex Sudytio"</f>
        <v>DS - Alex Sudytio</v>
      </c>
      <c r="Q217" s="52" t="str">
        <f t="shared" si="65"/>
        <v>KPS-10-10</v>
      </c>
    </row>
    <row r="218" spans="1:17" x14ac:dyDescent="0.35">
      <c r="A218" s="52" t="s">
        <v>6063</v>
      </c>
      <c r="C218" s="52" t="str">
        <f>"""TRUST Nav"",""HSPMTB2016"",""17"",""1"",""116850"""</f>
        <v>"TRUST Nav","HSPMTB2016","17","1","116850"</v>
      </c>
      <c r="D218" s="52" t="str">
        <f t="shared" si="68"/>
        <v>Customer</v>
      </c>
      <c r="I218" s="52" t="str">
        <f t="shared" si="66"/>
        <v>KK-04598|42430</v>
      </c>
      <c r="J218" s="82">
        <v>42519</v>
      </c>
      <c r="K218" s="52" t="str">
        <f t="shared" si="67"/>
        <v>Customer</v>
      </c>
      <c r="L218" s="52" t="str">
        <f>"KK-04598"</f>
        <v>KK-04598</v>
      </c>
      <c r="M218" s="52" t="s">
        <v>20983</v>
      </c>
      <c r="N218" s="2">
        <v>25000.000000000004</v>
      </c>
      <c r="O218" s="82">
        <v>42430</v>
      </c>
      <c r="P218" s="52" t="str">
        <f>"DS - Alex Sudytio"</f>
        <v>DS - Alex Sudytio</v>
      </c>
      <c r="Q218" s="52" t="str">
        <f t="shared" si="65"/>
        <v>KPS-10-10</v>
      </c>
    </row>
    <row r="219" spans="1:17" x14ac:dyDescent="0.35">
      <c r="A219" s="52" t="s">
        <v>6063</v>
      </c>
      <c r="C219" s="52" t="str">
        <f>"""TRUST Nav"",""HSPMTB2016"",""17"",""1"",""116851"""</f>
        <v>"TRUST Nav","HSPMTB2016","17","1","116851"</v>
      </c>
      <c r="D219" s="52" t="str">
        <f t="shared" si="68"/>
        <v>Customer</v>
      </c>
      <c r="I219" s="52" t="str">
        <f t="shared" si="66"/>
        <v>KK-04598|42461</v>
      </c>
      <c r="J219" s="82">
        <v>42519</v>
      </c>
      <c r="K219" s="52" t="str">
        <f t="shared" si="67"/>
        <v>Customer</v>
      </c>
      <c r="L219" s="52" t="str">
        <f>"KK-04598"</f>
        <v>KK-04598</v>
      </c>
      <c r="M219" s="52" t="s">
        <v>20983</v>
      </c>
      <c r="N219" s="2">
        <v>25000.000000000004</v>
      </c>
      <c r="O219" s="82">
        <v>42461</v>
      </c>
      <c r="P219" s="52" t="str">
        <f>"DS - Alex Sudytio"</f>
        <v>DS - Alex Sudytio</v>
      </c>
      <c r="Q219" s="52" t="str">
        <f t="shared" si="65"/>
        <v>KPS-10-10</v>
      </c>
    </row>
    <row r="220" spans="1:17" x14ac:dyDescent="0.35">
      <c r="A220" s="52" t="s">
        <v>6063</v>
      </c>
      <c r="C220" s="52" t="str">
        <f>"""TRUST Nav"",""HSPMTB2016"",""17"",""1"",""116852"""</f>
        <v>"TRUST Nav","HSPMTB2016","17","1","116852"</v>
      </c>
      <c r="D220" s="52" t="str">
        <f t="shared" si="68"/>
        <v>Customer</v>
      </c>
      <c r="I220" s="52" t="str">
        <f t="shared" si="66"/>
        <v>KK-04602|42370</v>
      </c>
      <c r="J220" s="82">
        <v>42519</v>
      </c>
      <c r="K220" s="52" t="str">
        <f t="shared" si="67"/>
        <v>Customer</v>
      </c>
      <c r="L220" s="52" t="str">
        <f t="shared" ref="L220:L231" si="69">"KK-04602"</f>
        <v>KK-04602</v>
      </c>
      <c r="M220" s="52" t="s">
        <v>20986</v>
      </c>
      <c r="N220" s="2">
        <v>5000</v>
      </c>
      <c r="O220" s="82">
        <v>42370</v>
      </c>
      <c r="P220" s="52" t="str">
        <f t="shared" ref="P220:P231" si="70">"DS - Budiarto"</f>
        <v>DS - Budiarto</v>
      </c>
      <c r="Q220" s="52" t="str">
        <f t="shared" si="65"/>
        <v>KPS-10-10</v>
      </c>
    </row>
    <row r="221" spans="1:17" x14ac:dyDescent="0.35">
      <c r="A221" s="52" t="s">
        <v>6063</v>
      </c>
      <c r="C221" s="52" t="str">
        <f>"""TRUST Nav"",""HSPMTB2016"",""17"",""1"",""116853"""</f>
        <v>"TRUST Nav","HSPMTB2016","17","1","116853"</v>
      </c>
      <c r="D221" s="52" t="str">
        <f t="shared" si="68"/>
        <v>Customer</v>
      </c>
      <c r="I221" s="52" t="str">
        <f t="shared" si="66"/>
        <v>KK-04602|42401</v>
      </c>
      <c r="J221" s="82">
        <v>42519</v>
      </c>
      <c r="K221" s="52" t="str">
        <f t="shared" si="67"/>
        <v>Customer</v>
      </c>
      <c r="L221" s="52" t="str">
        <f t="shared" si="69"/>
        <v>KK-04602</v>
      </c>
      <c r="M221" s="52" t="s">
        <v>20986</v>
      </c>
      <c r="N221" s="2">
        <v>5000</v>
      </c>
      <c r="O221" s="82">
        <v>42401</v>
      </c>
      <c r="P221" s="52" t="str">
        <f t="shared" si="70"/>
        <v>DS - Budiarto</v>
      </c>
      <c r="Q221" s="52" t="str">
        <f t="shared" si="65"/>
        <v>KPS-10-10</v>
      </c>
    </row>
    <row r="222" spans="1:17" x14ac:dyDescent="0.35">
      <c r="A222" s="52" t="s">
        <v>6063</v>
      </c>
      <c r="C222" s="52" t="str">
        <f>"""TRUST Nav"",""HSPMTB2016"",""17"",""1"",""116854"""</f>
        <v>"TRUST Nav","HSPMTB2016","17","1","116854"</v>
      </c>
      <c r="D222" s="52" t="str">
        <f t="shared" si="68"/>
        <v>Customer</v>
      </c>
      <c r="I222" s="52" t="str">
        <f t="shared" si="66"/>
        <v>KK-04602|42430</v>
      </c>
      <c r="J222" s="82">
        <v>42519</v>
      </c>
      <c r="K222" s="52" t="str">
        <f t="shared" si="67"/>
        <v>Customer</v>
      </c>
      <c r="L222" s="52" t="str">
        <f t="shared" si="69"/>
        <v>KK-04602</v>
      </c>
      <c r="M222" s="52" t="s">
        <v>20986</v>
      </c>
      <c r="N222" s="2">
        <v>5000</v>
      </c>
      <c r="O222" s="82">
        <v>42430</v>
      </c>
      <c r="P222" s="52" t="str">
        <f t="shared" si="70"/>
        <v>DS - Budiarto</v>
      </c>
      <c r="Q222" s="52" t="str">
        <f t="shared" si="65"/>
        <v>KPS-10-10</v>
      </c>
    </row>
    <row r="223" spans="1:17" x14ac:dyDescent="0.35">
      <c r="A223" s="52" t="s">
        <v>6063</v>
      </c>
      <c r="C223" s="52" t="str">
        <f>"""TRUST Nav"",""HSPMTB2016"",""17"",""1"",""116855"""</f>
        <v>"TRUST Nav","HSPMTB2016","17","1","116855"</v>
      </c>
      <c r="D223" s="52" t="str">
        <f t="shared" si="68"/>
        <v>Customer</v>
      </c>
      <c r="I223" s="52" t="str">
        <f t="shared" si="66"/>
        <v>KK-04602|42461</v>
      </c>
      <c r="J223" s="82">
        <v>42519</v>
      </c>
      <c r="K223" s="52" t="str">
        <f t="shared" si="67"/>
        <v>Customer</v>
      </c>
      <c r="L223" s="52" t="str">
        <f t="shared" si="69"/>
        <v>KK-04602</v>
      </c>
      <c r="M223" s="52" t="s">
        <v>20986</v>
      </c>
      <c r="N223" s="2">
        <v>5000</v>
      </c>
      <c r="O223" s="82">
        <v>42461</v>
      </c>
      <c r="P223" s="52" t="str">
        <f t="shared" si="70"/>
        <v>DS - Budiarto</v>
      </c>
      <c r="Q223" s="52" t="str">
        <f t="shared" si="65"/>
        <v>KPS-10-10</v>
      </c>
    </row>
    <row r="224" spans="1:17" x14ac:dyDescent="0.35">
      <c r="A224" s="52" t="s">
        <v>6063</v>
      </c>
      <c r="C224" s="52" t="str">
        <f>"""TRUST Nav"",""HSPMTB2016"",""17"",""1"",""116856"""</f>
        <v>"TRUST Nav","HSPMTB2016","17","1","116856"</v>
      </c>
      <c r="D224" s="52" t="str">
        <f t="shared" si="68"/>
        <v>Customer</v>
      </c>
      <c r="I224" s="52" t="str">
        <f t="shared" si="66"/>
        <v>KK-04602|42491</v>
      </c>
      <c r="J224" s="82">
        <v>42519</v>
      </c>
      <c r="K224" s="52" t="str">
        <f t="shared" si="67"/>
        <v>Customer</v>
      </c>
      <c r="L224" s="52" t="str">
        <f t="shared" si="69"/>
        <v>KK-04602</v>
      </c>
      <c r="M224" s="52" t="s">
        <v>20986</v>
      </c>
      <c r="N224" s="2">
        <v>5000</v>
      </c>
      <c r="O224" s="82">
        <v>42491</v>
      </c>
      <c r="P224" s="52" t="str">
        <f t="shared" si="70"/>
        <v>DS - Budiarto</v>
      </c>
      <c r="Q224" s="52" t="str">
        <f t="shared" si="65"/>
        <v>KPS-10-10</v>
      </c>
    </row>
    <row r="225" spans="1:17" x14ac:dyDescent="0.35">
      <c r="A225" s="52" t="s">
        <v>6063</v>
      </c>
      <c r="C225" s="52" t="str">
        <f>"""TRUST Nav"",""HSPMTB2016"",""17"",""1"",""116857"""</f>
        <v>"TRUST Nav","HSPMTB2016","17","1","116857"</v>
      </c>
      <c r="D225" s="52" t="str">
        <f t="shared" si="68"/>
        <v>Customer</v>
      </c>
      <c r="I225" s="52" t="str">
        <f t="shared" si="66"/>
        <v>KK-04602|42522</v>
      </c>
      <c r="J225" s="82">
        <v>42519</v>
      </c>
      <c r="K225" s="52" t="str">
        <f t="shared" si="67"/>
        <v>Customer</v>
      </c>
      <c r="L225" s="52" t="str">
        <f t="shared" si="69"/>
        <v>KK-04602</v>
      </c>
      <c r="M225" s="52" t="s">
        <v>20986</v>
      </c>
      <c r="N225" s="2">
        <v>5000</v>
      </c>
      <c r="O225" s="82">
        <v>42522</v>
      </c>
      <c r="P225" s="52" t="str">
        <f t="shared" si="70"/>
        <v>DS - Budiarto</v>
      </c>
      <c r="Q225" s="52" t="str">
        <f t="shared" si="65"/>
        <v>KPS-10-10</v>
      </c>
    </row>
    <row r="226" spans="1:17" x14ac:dyDescent="0.35">
      <c r="A226" s="52" t="s">
        <v>6063</v>
      </c>
      <c r="C226" s="52" t="str">
        <f>"""TRUST Nav"",""HSPMTB2016"",""17"",""1"",""116858"""</f>
        <v>"TRUST Nav","HSPMTB2016","17","1","116858"</v>
      </c>
      <c r="D226" s="52" t="str">
        <f t="shared" si="68"/>
        <v>Customer</v>
      </c>
      <c r="I226" s="52" t="str">
        <f t="shared" si="66"/>
        <v>KK-04602|42552</v>
      </c>
      <c r="J226" s="82">
        <v>42519</v>
      </c>
      <c r="K226" s="52" t="str">
        <f t="shared" si="67"/>
        <v>Customer</v>
      </c>
      <c r="L226" s="52" t="str">
        <f t="shared" si="69"/>
        <v>KK-04602</v>
      </c>
      <c r="M226" s="52" t="s">
        <v>20986</v>
      </c>
      <c r="N226" s="2">
        <v>5000</v>
      </c>
      <c r="O226" s="82">
        <v>42552</v>
      </c>
      <c r="P226" s="52" t="str">
        <f t="shared" si="70"/>
        <v>DS - Budiarto</v>
      </c>
      <c r="Q226" s="52" t="str">
        <f t="shared" si="65"/>
        <v>KPS-10-10</v>
      </c>
    </row>
    <row r="227" spans="1:17" x14ac:dyDescent="0.35">
      <c r="A227" s="52" t="s">
        <v>6063</v>
      </c>
      <c r="C227" s="52" t="str">
        <f>"""TRUST Nav"",""HSPMTB2016"",""17"",""1"",""116859"""</f>
        <v>"TRUST Nav","HSPMTB2016","17","1","116859"</v>
      </c>
      <c r="D227" s="52" t="str">
        <f t="shared" si="68"/>
        <v>Customer</v>
      </c>
      <c r="I227" s="52" t="str">
        <f t="shared" si="66"/>
        <v>KK-04602|42583</v>
      </c>
      <c r="J227" s="82">
        <v>42519</v>
      </c>
      <c r="K227" s="52" t="str">
        <f t="shared" si="67"/>
        <v>Customer</v>
      </c>
      <c r="L227" s="52" t="str">
        <f t="shared" si="69"/>
        <v>KK-04602</v>
      </c>
      <c r="M227" s="52" t="s">
        <v>20986</v>
      </c>
      <c r="N227" s="2">
        <v>5000</v>
      </c>
      <c r="O227" s="82">
        <v>42583</v>
      </c>
      <c r="P227" s="52" t="str">
        <f t="shared" si="70"/>
        <v>DS - Budiarto</v>
      </c>
      <c r="Q227" s="52" t="str">
        <f t="shared" si="65"/>
        <v>KPS-10-10</v>
      </c>
    </row>
    <row r="228" spans="1:17" x14ac:dyDescent="0.35">
      <c r="A228" s="52" t="s">
        <v>6063</v>
      </c>
      <c r="C228" s="52" t="str">
        <f>"""TRUST Nav"",""HSPMTB2016"",""17"",""1"",""116860"""</f>
        <v>"TRUST Nav","HSPMTB2016","17","1","116860"</v>
      </c>
      <c r="D228" s="52" t="str">
        <f t="shared" si="68"/>
        <v>Customer</v>
      </c>
      <c r="I228" s="52" t="str">
        <f t="shared" si="66"/>
        <v>KK-04602|42614</v>
      </c>
      <c r="J228" s="82">
        <v>42519</v>
      </c>
      <c r="K228" s="52" t="str">
        <f t="shared" si="67"/>
        <v>Customer</v>
      </c>
      <c r="L228" s="52" t="str">
        <f t="shared" si="69"/>
        <v>KK-04602</v>
      </c>
      <c r="M228" s="52" t="s">
        <v>20986</v>
      </c>
      <c r="N228" s="2">
        <v>5000</v>
      </c>
      <c r="O228" s="82">
        <v>42614</v>
      </c>
      <c r="P228" s="52" t="str">
        <f t="shared" si="70"/>
        <v>DS - Budiarto</v>
      </c>
      <c r="Q228" s="52" t="str">
        <f t="shared" si="65"/>
        <v>KPS-10-10</v>
      </c>
    </row>
    <row r="229" spans="1:17" x14ac:dyDescent="0.35">
      <c r="A229" s="52" t="s">
        <v>6063</v>
      </c>
      <c r="C229" s="52" t="str">
        <f>"""TRUST Nav"",""HSPMTB2016"",""17"",""1"",""116861"""</f>
        <v>"TRUST Nav","HSPMTB2016","17","1","116861"</v>
      </c>
      <c r="D229" s="52" t="str">
        <f t="shared" si="68"/>
        <v>Customer</v>
      </c>
      <c r="I229" s="52" t="str">
        <f t="shared" si="66"/>
        <v>KK-04602|42644</v>
      </c>
      <c r="J229" s="82">
        <v>42519</v>
      </c>
      <c r="K229" s="52" t="str">
        <f t="shared" si="67"/>
        <v>Customer</v>
      </c>
      <c r="L229" s="52" t="str">
        <f t="shared" si="69"/>
        <v>KK-04602</v>
      </c>
      <c r="M229" s="52" t="s">
        <v>20986</v>
      </c>
      <c r="N229" s="2">
        <v>5000</v>
      </c>
      <c r="O229" s="82">
        <v>42644</v>
      </c>
      <c r="P229" s="52" t="str">
        <f t="shared" si="70"/>
        <v>DS - Budiarto</v>
      </c>
      <c r="Q229" s="52" t="str">
        <f t="shared" si="65"/>
        <v>KPS-10-10</v>
      </c>
    </row>
    <row r="230" spans="1:17" x14ac:dyDescent="0.35">
      <c r="A230" s="52" t="s">
        <v>6063</v>
      </c>
      <c r="C230" s="52" t="str">
        <f>"""TRUST Nav"",""HSPMTB2016"",""17"",""1"",""116862"""</f>
        <v>"TRUST Nav","HSPMTB2016","17","1","116862"</v>
      </c>
      <c r="D230" s="52" t="str">
        <f t="shared" si="68"/>
        <v>Customer</v>
      </c>
      <c r="I230" s="52" t="str">
        <f t="shared" si="66"/>
        <v>KK-04602|42675</v>
      </c>
      <c r="J230" s="82">
        <v>42519</v>
      </c>
      <c r="K230" s="52" t="str">
        <f t="shared" si="67"/>
        <v>Customer</v>
      </c>
      <c r="L230" s="52" t="str">
        <f t="shared" si="69"/>
        <v>KK-04602</v>
      </c>
      <c r="M230" s="52" t="s">
        <v>20986</v>
      </c>
      <c r="N230" s="2">
        <v>5000</v>
      </c>
      <c r="O230" s="82">
        <v>42675</v>
      </c>
      <c r="P230" s="52" t="str">
        <f t="shared" si="70"/>
        <v>DS - Budiarto</v>
      </c>
      <c r="Q230" s="52" t="str">
        <f t="shared" si="65"/>
        <v>KPS-10-10</v>
      </c>
    </row>
    <row r="231" spans="1:17" x14ac:dyDescent="0.35">
      <c r="A231" s="52" t="s">
        <v>6063</v>
      </c>
      <c r="C231" s="52" t="str">
        <f>"""TRUST Nav"",""HSPMTB2016"",""17"",""1"",""116863"""</f>
        <v>"TRUST Nav","HSPMTB2016","17","1","116863"</v>
      </c>
      <c r="D231" s="52" t="str">
        <f t="shared" si="68"/>
        <v>Customer</v>
      </c>
      <c r="I231" s="52" t="str">
        <f t="shared" si="66"/>
        <v>KK-04602|42705</v>
      </c>
      <c r="J231" s="82">
        <v>42519</v>
      </c>
      <c r="K231" s="52" t="str">
        <f t="shared" si="67"/>
        <v>Customer</v>
      </c>
      <c r="L231" s="52" t="str">
        <f t="shared" si="69"/>
        <v>KK-04602</v>
      </c>
      <c r="M231" s="52" t="s">
        <v>20986</v>
      </c>
      <c r="N231" s="2">
        <v>5000</v>
      </c>
      <c r="O231" s="82">
        <v>42705</v>
      </c>
      <c r="P231" s="52" t="str">
        <f t="shared" si="70"/>
        <v>DS - Budiarto</v>
      </c>
      <c r="Q231" s="52" t="str">
        <f t="shared" si="65"/>
        <v>KPS-10-10</v>
      </c>
    </row>
    <row r="232" spans="1:17" x14ac:dyDescent="0.35">
      <c r="A232" s="52" t="s">
        <v>6063</v>
      </c>
      <c r="C232" s="52" t="str">
        <f>"""TRUST Nav"",""HSPMTB2016"",""17"",""1"",""116864"""</f>
        <v>"TRUST Nav","HSPMTB2016","17","1","116864"</v>
      </c>
      <c r="D232" s="52" t="str">
        <f t="shared" si="68"/>
        <v>Customer</v>
      </c>
      <c r="I232" s="52" t="str">
        <f t="shared" si="66"/>
        <v>KK-04606|42461</v>
      </c>
      <c r="J232" s="82">
        <v>42519</v>
      </c>
      <c r="K232" s="52" t="str">
        <f t="shared" si="67"/>
        <v>Customer</v>
      </c>
      <c r="L232" s="52" t="str">
        <f>"KK-04606"</f>
        <v>KK-04606</v>
      </c>
      <c r="M232" s="52" t="s">
        <v>20988</v>
      </c>
      <c r="N232" s="2">
        <v>50000.000000000007</v>
      </c>
      <c r="O232" s="82">
        <v>42461</v>
      </c>
      <c r="P232" s="52" t="str">
        <f>"DS - Hendra Kurniawan"</f>
        <v>DS - Hendra Kurniawan</v>
      </c>
      <c r="Q232" s="52" t="str">
        <f t="shared" si="65"/>
        <v>KPS-10-10</v>
      </c>
    </row>
    <row r="233" spans="1:17" x14ac:dyDescent="0.35">
      <c r="A233" s="52" t="s">
        <v>6063</v>
      </c>
      <c r="C233" s="52" t="str">
        <f>"""TRUST Nav"",""HSPMTB2016"",""17"",""1"",""116865"""</f>
        <v>"TRUST Nav","HSPMTB2016","17","1","116865"</v>
      </c>
      <c r="D233" s="52" t="str">
        <f t="shared" si="68"/>
        <v>Customer</v>
      </c>
      <c r="I233" s="52" t="str">
        <f t="shared" si="66"/>
        <v>KK-04606|42491</v>
      </c>
      <c r="J233" s="82">
        <v>42519</v>
      </c>
      <c r="K233" s="52" t="str">
        <f t="shared" si="67"/>
        <v>Customer</v>
      </c>
      <c r="L233" s="52" t="str">
        <f>"KK-04606"</f>
        <v>KK-04606</v>
      </c>
      <c r="M233" s="52" t="s">
        <v>20988</v>
      </c>
      <c r="N233" s="2">
        <v>50000.000000000007</v>
      </c>
      <c r="O233" s="82">
        <v>42491</v>
      </c>
      <c r="P233" s="52" t="str">
        <f>"DS - Hendra Kurniawan"</f>
        <v>DS - Hendra Kurniawan</v>
      </c>
      <c r="Q233" s="52" t="str">
        <f t="shared" si="65"/>
        <v>KPS-10-10</v>
      </c>
    </row>
    <row r="234" spans="1:17" x14ac:dyDescent="0.35">
      <c r="A234" s="52" t="s">
        <v>6063</v>
      </c>
      <c r="C234" s="52" t="str">
        <f>"""TRUST Nav"",""HSPMTB2016"",""17"",""1"",""116866"""</f>
        <v>"TRUST Nav","HSPMTB2016","17","1","116866"</v>
      </c>
      <c r="D234" s="52" t="str">
        <f t="shared" si="68"/>
        <v>Customer</v>
      </c>
      <c r="I234" s="52" t="str">
        <f t="shared" si="66"/>
        <v>KK-04606|42522</v>
      </c>
      <c r="J234" s="82">
        <v>42519</v>
      </c>
      <c r="K234" s="52" t="str">
        <f t="shared" si="67"/>
        <v>Customer</v>
      </c>
      <c r="L234" s="52" t="str">
        <f>"KK-04606"</f>
        <v>KK-04606</v>
      </c>
      <c r="M234" s="52" t="s">
        <v>20988</v>
      </c>
      <c r="N234" s="2">
        <v>50000.000000000007</v>
      </c>
      <c r="O234" s="82">
        <v>42522</v>
      </c>
      <c r="P234" s="52" t="str">
        <f>"DS - Hendra Kurniawan"</f>
        <v>DS - Hendra Kurniawan</v>
      </c>
      <c r="Q234" s="52" t="str">
        <f t="shared" si="65"/>
        <v>KPS-10-10</v>
      </c>
    </row>
    <row r="235" spans="1:17" x14ac:dyDescent="0.35">
      <c r="A235" s="52" t="s">
        <v>6063</v>
      </c>
      <c r="C235" s="52" t="str">
        <f>"""TRUST Nav"",""HSPMTB2016"",""17"",""1"",""116867"""</f>
        <v>"TRUST Nav","HSPMTB2016","17","1","116867"</v>
      </c>
      <c r="D235" s="52" t="str">
        <f t="shared" si="68"/>
        <v>Customer</v>
      </c>
      <c r="I235" s="52" t="str">
        <f t="shared" si="66"/>
        <v>KK-04608|42491</v>
      </c>
      <c r="J235" s="82">
        <v>42519</v>
      </c>
      <c r="K235" s="52" t="str">
        <f t="shared" si="67"/>
        <v>Customer</v>
      </c>
      <c r="L235" s="52" t="str">
        <f>"KK-04608"</f>
        <v>KK-04608</v>
      </c>
      <c r="M235" s="52" t="s">
        <v>20990</v>
      </c>
      <c r="N235" s="2">
        <v>30000</v>
      </c>
      <c r="O235" s="82">
        <v>42491</v>
      </c>
      <c r="P235" s="52" t="str">
        <f>"DS - Heru Prawono"</f>
        <v>DS - Heru Prawono</v>
      </c>
      <c r="Q235" s="52" t="str">
        <f t="shared" si="65"/>
        <v>KPS-10-10</v>
      </c>
    </row>
    <row r="236" spans="1:17" x14ac:dyDescent="0.35">
      <c r="A236" s="52" t="s">
        <v>6063</v>
      </c>
      <c r="C236" s="52" t="str">
        <f>"""TRUST Nav"",""HSPMTB2016"",""17"",""1"",""116868"""</f>
        <v>"TRUST Nav","HSPMTB2016","17","1","116868"</v>
      </c>
      <c r="D236" s="52" t="str">
        <f t="shared" si="68"/>
        <v>Customer</v>
      </c>
      <c r="I236" s="52" t="str">
        <f t="shared" si="66"/>
        <v>KK-04609|42430</v>
      </c>
      <c r="J236" s="82">
        <v>42519</v>
      </c>
      <c r="K236" s="52" t="str">
        <f t="shared" si="67"/>
        <v>Customer</v>
      </c>
      <c r="L236" s="52" t="str">
        <f>"KK-04609"</f>
        <v>KK-04609</v>
      </c>
      <c r="M236" s="52" t="s">
        <v>20991</v>
      </c>
      <c r="N236" s="2">
        <v>25000.000000000004</v>
      </c>
      <c r="O236" s="82">
        <v>42430</v>
      </c>
      <c r="P236" s="52" t="str">
        <f>"DS - Jofenwali"</f>
        <v>DS - Jofenwali</v>
      </c>
      <c r="Q236" s="52" t="str">
        <f t="shared" si="65"/>
        <v>KPS-10-10</v>
      </c>
    </row>
    <row r="237" spans="1:17" x14ac:dyDescent="0.35">
      <c r="A237" s="52" t="s">
        <v>6063</v>
      </c>
      <c r="C237" s="52" t="str">
        <f>"""TRUST Nav"",""HSPMTB2016"",""17"",""1"",""116869"""</f>
        <v>"TRUST Nav","HSPMTB2016","17","1","116869"</v>
      </c>
      <c r="D237" s="52" t="str">
        <f t="shared" si="68"/>
        <v>Customer</v>
      </c>
      <c r="I237" s="52" t="str">
        <f t="shared" si="66"/>
        <v>KK-04609|42461</v>
      </c>
      <c r="J237" s="82">
        <v>42519</v>
      </c>
      <c r="K237" s="52" t="str">
        <f t="shared" si="67"/>
        <v>Customer</v>
      </c>
      <c r="L237" s="52" t="str">
        <f>"KK-04609"</f>
        <v>KK-04609</v>
      </c>
      <c r="M237" s="52" t="s">
        <v>20991</v>
      </c>
      <c r="N237" s="2">
        <v>25000.000000000004</v>
      </c>
      <c r="O237" s="82">
        <v>42461</v>
      </c>
      <c r="P237" s="52" t="str">
        <f>"DS - Jofenwali"</f>
        <v>DS - Jofenwali</v>
      </c>
      <c r="Q237" s="52" t="str">
        <f t="shared" si="65"/>
        <v>KPS-10-10</v>
      </c>
    </row>
    <row r="238" spans="1:17" x14ac:dyDescent="0.35">
      <c r="A238" s="52" t="s">
        <v>6063</v>
      </c>
      <c r="C238" s="52" t="str">
        <f>"""TRUST Nav"",""HSPMTB2016"",""17"",""1"",""116870"""</f>
        <v>"TRUST Nav","HSPMTB2016","17","1","116870"</v>
      </c>
      <c r="D238" s="52" t="str">
        <f t="shared" si="68"/>
        <v>Customer</v>
      </c>
      <c r="I238" s="52" t="str">
        <f t="shared" si="66"/>
        <v>KK-04611|42461</v>
      </c>
      <c r="J238" s="82">
        <v>42519</v>
      </c>
      <c r="K238" s="52" t="str">
        <f t="shared" si="67"/>
        <v>Customer</v>
      </c>
      <c r="L238" s="52" t="str">
        <f>"KK-04611"</f>
        <v>KK-04611</v>
      </c>
      <c r="M238" s="52" t="s">
        <v>20992</v>
      </c>
      <c r="N238" s="2">
        <v>10000</v>
      </c>
      <c r="O238" s="82">
        <v>42461</v>
      </c>
      <c r="P238" s="52" t="str">
        <f>"DS - Leonardus Tjhin Tje Ming"</f>
        <v>DS - Leonardus Tjhin Tje Ming</v>
      </c>
      <c r="Q238" s="52" t="str">
        <f t="shared" si="65"/>
        <v>KPS-10-10</v>
      </c>
    </row>
    <row r="239" spans="1:17" x14ac:dyDescent="0.35">
      <c r="A239" s="52" t="s">
        <v>6063</v>
      </c>
      <c r="C239" s="52" t="str">
        <f>"""TRUST Nav"",""HSPMTB2016"",""17"",""1"",""116871"""</f>
        <v>"TRUST Nav","HSPMTB2016","17","1","116871"</v>
      </c>
      <c r="D239" s="52" t="str">
        <f t="shared" si="68"/>
        <v>Customer</v>
      </c>
      <c r="I239" s="52" t="str">
        <f t="shared" si="66"/>
        <v>KK-04611|42491</v>
      </c>
      <c r="J239" s="82">
        <v>42519</v>
      </c>
      <c r="K239" s="52" t="str">
        <f t="shared" si="67"/>
        <v>Customer</v>
      </c>
      <c r="L239" s="52" t="str">
        <f>"KK-04611"</f>
        <v>KK-04611</v>
      </c>
      <c r="M239" s="52" t="s">
        <v>20992</v>
      </c>
      <c r="N239" s="2">
        <v>10000</v>
      </c>
      <c r="O239" s="82">
        <v>42491</v>
      </c>
      <c r="P239" s="52" t="str">
        <f>"DS - Leonardus Tjhin Tje Ming"</f>
        <v>DS - Leonardus Tjhin Tje Ming</v>
      </c>
      <c r="Q239" s="52" t="str">
        <f t="shared" si="65"/>
        <v>KPS-10-10</v>
      </c>
    </row>
    <row r="240" spans="1:17" x14ac:dyDescent="0.35">
      <c r="A240" s="52" t="s">
        <v>6063</v>
      </c>
      <c r="C240" s="52" t="str">
        <f>"""TRUST Nav"",""HSPMTB2016"",""17"",""1"",""116872"""</f>
        <v>"TRUST Nav","HSPMTB2016","17","1","116872"</v>
      </c>
      <c r="D240" s="52" t="str">
        <f t="shared" si="68"/>
        <v>Customer</v>
      </c>
      <c r="I240" s="52" t="str">
        <f t="shared" si="66"/>
        <v>KK-04611|42522</v>
      </c>
      <c r="J240" s="82">
        <v>42519</v>
      </c>
      <c r="K240" s="52" t="str">
        <f t="shared" si="67"/>
        <v>Customer</v>
      </c>
      <c r="L240" s="52" t="str">
        <f>"KK-04611"</f>
        <v>KK-04611</v>
      </c>
      <c r="M240" s="52" t="s">
        <v>20992</v>
      </c>
      <c r="N240" s="2">
        <v>10000</v>
      </c>
      <c r="O240" s="82">
        <v>42522</v>
      </c>
      <c r="P240" s="52" t="str">
        <f>"DS - Leonardus Tjhin Tje Ming"</f>
        <v>DS - Leonardus Tjhin Tje Ming</v>
      </c>
      <c r="Q240" s="52" t="str">
        <f t="shared" si="65"/>
        <v>KPS-10-10</v>
      </c>
    </row>
    <row r="241" spans="1:17" x14ac:dyDescent="0.35">
      <c r="A241" s="52" t="s">
        <v>6063</v>
      </c>
      <c r="C241" s="52" t="str">
        <f>"""TRUST Nav"",""HSPMTB2016"",""17"",""1"",""116873"""</f>
        <v>"TRUST Nav","HSPMTB2016","17","1","116873"</v>
      </c>
      <c r="D241" s="52" t="str">
        <f t="shared" si="68"/>
        <v>Customer</v>
      </c>
      <c r="I241" s="52" t="str">
        <f t="shared" si="66"/>
        <v>KK-04622|42401</v>
      </c>
      <c r="J241" s="82">
        <v>42519</v>
      </c>
      <c r="K241" s="52" t="str">
        <f t="shared" si="67"/>
        <v>Customer</v>
      </c>
      <c r="L241" s="52" t="str">
        <f>"KK-04622"</f>
        <v>KK-04622</v>
      </c>
      <c r="M241" s="52" t="s">
        <v>21000</v>
      </c>
      <c r="N241" s="2">
        <v>35000</v>
      </c>
      <c r="O241" s="82">
        <v>42401</v>
      </c>
      <c r="P241" s="52" t="str">
        <f>"DS - Tri Saptono Vinsentius "</f>
        <v xml:space="preserve">DS - Tri Saptono Vinsentius </v>
      </c>
      <c r="Q241" s="52" t="str">
        <f t="shared" si="65"/>
        <v>KPS-10-10</v>
      </c>
    </row>
    <row r="242" spans="1:17" x14ac:dyDescent="0.35">
      <c r="A242" s="52" t="s">
        <v>6063</v>
      </c>
      <c r="C242" s="52" t="str">
        <f>"""TRUST Nav"",""HSPMTB2016"",""17"",""1"",""116874"""</f>
        <v>"TRUST Nav","HSPMTB2016","17","1","116874"</v>
      </c>
      <c r="D242" s="52" t="str">
        <f t="shared" si="68"/>
        <v>Customer</v>
      </c>
      <c r="I242" s="52" t="str">
        <f t="shared" si="66"/>
        <v>KK-04622|42430</v>
      </c>
      <c r="J242" s="82">
        <v>42519</v>
      </c>
      <c r="K242" s="52" t="str">
        <f t="shared" si="67"/>
        <v>Customer</v>
      </c>
      <c r="L242" s="52" t="str">
        <f>"KK-04622"</f>
        <v>KK-04622</v>
      </c>
      <c r="M242" s="52" t="s">
        <v>21000</v>
      </c>
      <c r="N242" s="2">
        <v>35000</v>
      </c>
      <c r="O242" s="82">
        <v>42430</v>
      </c>
      <c r="P242" s="52" t="str">
        <f>"DS - Tri Saptono Vinsentius "</f>
        <v xml:space="preserve">DS - Tri Saptono Vinsentius </v>
      </c>
      <c r="Q242" s="52" t="str">
        <f t="shared" si="65"/>
        <v>KPS-10-10</v>
      </c>
    </row>
    <row r="243" spans="1:17" x14ac:dyDescent="0.35">
      <c r="A243" s="52" t="s">
        <v>6063</v>
      </c>
      <c r="C243" s="52" t="str">
        <f>"""TRUST Nav"",""HSPMTB2016"",""17"",""1"",""116875"""</f>
        <v>"TRUST Nav","HSPMTB2016","17","1","116875"</v>
      </c>
      <c r="D243" s="52" t="str">
        <f t="shared" si="68"/>
        <v>Customer</v>
      </c>
      <c r="I243" s="52" t="str">
        <f t="shared" si="66"/>
        <v>KK-04622|42461</v>
      </c>
      <c r="J243" s="82">
        <v>42519</v>
      </c>
      <c r="K243" s="52" t="str">
        <f t="shared" si="67"/>
        <v>Customer</v>
      </c>
      <c r="L243" s="52" t="str">
        <f>"KK-04622"</f>
        <v>KK-04622</v>
      </c>
      <c r="M243" s="52" t="s">
        <v>21000</v>
      </c>
      <c r="N243" s="2">
        <v>35000</v>
      </c>
      <c r="O243" s="82">
        <v>42461</v>
      </c>
      <c r="P243" s="52" t="str">
        <f>"DS - Tri Saptono Vinsentius "</f>
        <v xml:space="preserve">DS - Tri Saptono Vinsentius </v>
      </c>
      <c r="Q243" s="52" t="str">
        <f t="shared" si="65"/>
        <v>KPS-10-10</v>
      </c>
    </row>
    <row r="244" spans="1:17" x14ac:dyDescent="0.35">
      <c r="A244" s="52" t="s">
        <v>6063</v>
      </c>
      <c r="C244" s="52" t="str">
        <f>"""TRUST Nav"",""HSPMTB2016"",""17"",""1"",""116876"""</f>
        <v>"TRUST Nav","HSPMTB2016","17","1","116876"</v>
      </c>
      <c r="D244" s="52" t="str">
        <f t="shared" ref="D244:D275" si="71">"Customer"</f>
        <v>Customer</v>
      </c>
      <c r="I244" s="52" t="str">
        <f t="shared" si="66"/>
        <v>KK-04622|42491</v>
      </c>
      <c r="J244" s="82">
        <v>42519</v>
      </c>
      <c r="K244" s="52" t="str">
        <f t="shared" si="67"/>
        <v>Customer</v>
      </c>
      <c r="L244" s="52" t="str">
        <f>"KK-04622"</f>
        <v>KK-04622</v>
      </c>
      <c r="M244" s="52" t="s">
        <v>21000</v>
      </c>
      <c r="N244" s="2">
        <v>35000</v>
      </c>
      <c r="O244" s="82">
        <v>42491</v>
      </c>
      <c r="P244" s="52" t="str">
        <f>"DS - Tri Saptono Vinsentius "</f>
        <v xml:space="preserve">DS - Tri Saptono Vinsentius </v>
      </c>
      <c r="Q244" s="52" t="str">
        <f t="shared" si="65"/>
        <v>KPS-10-10</v>
      </c>
    </row>
    <row r="245" spans="1:17" x14ac:dyDescent="0.35">
      <c r="A245" s="52" t="s">
        <v>6063</v>
      </c>
      <c r="C245" s="52" t="str">
        <f>"""TRUST Nav"",""HSPMTB2016"",""17"",""1"",""122009"""</f>
        <v>"TRUST Nav","HSPMTB2016","17","1","122009"</v>
      </c>
      <c r="D245" s="52" t="str">
        <f t="shared" si="71"/>
        <v>Customer</v>
      </c>
      <c r="I245" s="52" t="str">
        <f t="shared" si="66"/>
        <v>KK-05048|42370</v>
      </c>
      <c r="J245" s="82">
        <v>42547</v>
      </c>
      <c r="K245" s="52" t="str">
        <f t="shared" si="67"/>
        <v>Customer</v>
      </c>
      <c r="L245" s="52" t="str">
        <f>"KK-05048"</f>
        <v>KK-05048</v>
      </c>
      <c r="M245" s="52" t="s">
        <v>21005</v>
      </c>
      <c r="N245" s="2">
        <v>10000</v>
      </c>
      <c r="O245" s="82">
        <v>42370</v>
      </c>
      <c r="P245" s="52" t="str">
        <f>"DS - Alfonsus Denny Martaguna"</f>
        <v>DS - Alfonsus Denny Martaguna</v>
      </c>
      <c r="Q245" s="52" t="str">
        <f t="shared" si="65"/>
        <v>KPS-10-10</v>
      </c>
    </row>
    <row r="246" spans="1:17" x14ac:dyDescent="0.35">
      <c r="A246" s="52" t="s">
        <v>6063</v>
      </c>
      <c r="C246" s="52" t="str">
        <f>"""TRUST Nav"",""HSPMTB2016"",""17"",""1"",""122010"""</f>
        <v>"TRUST Nav","HSPMTB2016","17","1","122010"</v>
      </c>
      <c r="D246" s="52" t="str">
        <f t="shared" si="71"/>
        <v>Customer</v>
      </c>
      <c r="I246" s="52" t="str">
        <f t="shared" si="66"/>
        <v>KK-05048|42401</v>
      </c>
      <c r="J246" s="82">
        <v>42547</v>
      </c>
      <c r="K246" s="52" t="str">
        <f t="shared" si="67"/>
        <v>Customer</v>
      </c>
      <c r="L246" s="52" t="str">
        <f>"KK-05048"</f>
        <v>KK-05048</v>
      </c>
      <c r="M246" s="52" t="s">
        <v>21005</v>
      </c>
      <c r="N246" s="2">
        <v>10000</v>
      </c>
      <c r="O246" s="82">
        <v>42401</v>
      </c>
      <c r="P246" s="52" t="str">
        <f>"DS - Alfonsus Denny Martaguna"</f>
        <v>DS - Alfonsus Denny Martaguna</v>
      </c>
      <c r="Q246" s="52" t="str">
        <f t="shared" si="65"/>
        <v>KPS-10-10</v>
      </c>
    </row>
    <row r="247" spans="1:17" x14ac:dyDescent="0.35">
      <c r="A247" s="52" t="s">
        <v>6063</v>
      </c>
      <c r="C247" s="52" t="str">
        <f>"""TRUST Nav"",""HSPMTB2016"",""17"",""1"",""122011"""</f>
        <v>"TRUST Nav","HSPMTB2016","17","1","122011"</v>
      </c>
      <c r="D247" s="52" t="str">
        <f t="shared" si="71"/>
        <v>Customer</v>
      </c>
      <c r="I247" s="52" t="str">
        <f t="shared" si="66"/>
        <v>KK-05048|42430</v>
      </c>
      <c r="J247" s="82">
        <v>42547</v>
      </c>
      <c r="K247" s="52" t="str">
        <f t="shared" si="67"/>
        <v>Customer</v>
      </c>
      <c r="L247" s="52" t="str">
        <f>"KK-05048"</f>
        <v>KK-05048</v>
      </c>
      <c r="M247" s="52" t="s">
        <v>21005</v>
      </c>
      <c r="N247" s="2">
        <v>10000</v>
      </c>
      <c r="O247" s="82">
        <v>42430</v>
      </c>
      <c r="P247" s="52" t="str">
        <f>"DS - Alfonsus Denny Martaguna"</f>
        <v>DS - Alfonsus Denny Martaguna</v>
      </c>
      <c r="Q247" s="52" t="str">
        <f t="shared" si="65"/>
        <v>KPS-10-10</v>
      </c>
    </row>
    <row r="248" spans="1:17" x14ac:dyDescent="0.35">
      <c r="A248" s="52" t="s">
        <v>6063</v>
      </c>
      <c r="C248" s="52" t="str">
        <f>"""TRUST Nav"",""HSPMTB2016"",""17"",""1"",""122012"""</f>
        <v>"TRUST Nav","HSPMTB2016","17","1","122012"</v>
      </c>
      <c r="D248" s="52" t="str">
        <f t="shared" si="71"/>
        <v>Customer</v>
      </c>
      <c r="I248" s="52" t="str">
        <f t="shared" si="66"/>
        <v>KK-05048|42461</v>
      </c>
      <c r="J248" s="82">
        <v>42547</v>
      </c>
      <c r="K248" s="52" t="str">
        <f t="shared" si="67"/>
        <v>Customer</v>
      </c>
      <c r="L248" s="52" t="str">
        <f>"KK-05048"</f>
        <v>KK-05048</v>
      </c>
      <c r="M248" s="52" t="s">
        <v>21005</v>
      </c>
      <c r="N248" s="2">
        <v>10000</v>
      </c>
      <c r="O248" s="82">
        <v>42461</v>
      </c>
      <c r="P248" s="52" t="str">
        <f>"DS - Alfonsus Denny Martaguna"</f>
        <v>DS - Alfonsus Denny Martaguna</v>
      </c>
      <c r="Q248" s="52" t="str">
        <f t="shared" si="65"/>
        <v>KPS-10-10</v>
      </c>
    </row>
    <row r="249" spans="1:17" x14ac:dyDescent="0.35">
      <c r="A249" s="52" t="s">
        <v>6063</v>
      </c>
      <c r="C249" s="52" t="str">
        <f>"""TRUST Nav"",""HSPMTB2016"",""17"",""1"",""122013"""</f>
        <v>"TRUST Nav","HSPMTB2016","17","1","122013"</v>
      </c>
      <c r="D249" s="52" t="str">
        <f t="shared" si="71"/>
        <v>Customer</v>
      </c>
      <c r="I249" s="52" t="str">
        <f t="shared" si="66"/>
        <v>KK-04597|42461</v>
      </c>
      <c r="J249" s="82">
        <v>42547</v>
      </c>
      <c r="K249" s="52" t="str">
        <f t="shared" si="67"/>
        <v>Customer</v>
      </c>
      <c r="L249" s="52" t="str">
        <f>"KK-04597"</f>
        <v>KK-04597</v>
      </c>
      <c r="M249" s="52" t="s">
        <v>20982</v>
      </c>
      <c r="N249" s="2">
        <v>20000</v>
      </c>
      <c r="O249" s="82">
        <v>42461</v>
      </c>
      <c r="P249" s="52" t="str">
        <f>"DS - Arief Wibawa"</f>
        <v>DS - Arief Wibawa</v>
      </c>
      <c r="Q249" s="52" t="str">
        <f t="shared" si="65"/>
        <v>KPS-10-10</v>
      </c>
    </row>
    <row r="250" spans="1:17" x14ac:dyDescent="0.35">
      <c r="A250" s="52" t="s">
        <v>6063</v>
      </c>
      <c r="C250" s="52" t="str">
        <f>"""TRUST Nav"",""HSPMTB2016"",""17"",""1"",""122014"""</f>
        <v>"TRUST Nav","HSPMTB2016","17","1","122014"</v>
      </c>
      <c r="D250" s="52" t="str">
        <f t="shared" si="71"/>
        <v>Customer</v>
      </c>
      <c r="I250" s="52" t="str">
        <f t="shared" si="66"/>
        <v>KK-04597|42491</v>
      </c>
      <c r="J250" s="82">
        <v>42547</v>
      </c>
      <c r="K250" s="52" t="str">
        <f t="shared" si="67"/>
        <v>Customer</v>
      </c>
      <c r="L250" s="52" t="str">
        <f>"KK-04597"</f>
        <v>KK-04597</v>
      </c>
      <c r="M250" s="52" t="s">
        <v>20982</v>
      </c>
      <c r="N250" s="2">
        <v>20000</v>
      </c>
      <c r="O250" s="82">
        <v>42491</v>
      </c>
      <c r="P250" s="52" t="str">
        <f>"DS - Arief Wibawa"</f>
        <v>DS - Arief Wibawa</v>
      </c>
      <c r="Q250" s="52" t="str">
        <f t="shared" si="65"/>
        <v>KPS-10-10</v>
      </c>
    </row>
    <row r="251" spans="1:17" x14ac:dyDescent="0.35">
      <c r="A251" s="52" t="s">
        <v>6063</v>
      </c>
      <c r="C251" s="52" t="str">
        <f>"""TRUST Nav"",""HSPMTB2016"",""17"",""1"",""122015"""</f>
        <v>"TRUST Nav","HSPMTB2016","17","1","122015"</v>
      </c>
      <c r="D251" s="52" t="str">
        <f t="shared" si="71"/>
        <v>Customer</v>
      </c>
      <c r="I251" s="52" t="str">
        <f t="shared" si="66"/>
        <v>KK-04597|42522</v>
      </c>
      <c r="J251" s="82">
        <v>42547</v>
      </c>
      <c r="K251" s="52" t="str">
        <f t="shared" si="67"/>
        <v>Customer</v>
      </c>
      <c r="L251" s="52" t="str">
        <f>"KK-04597"</f>
        <v>KK-04597</v>
      </c>
      <c r="M251" s="52" t="s">
        <v>20982</v>
      </c>
      <c r="N251" s="2">
        <v>20000</v>
      </c>
      <c r="O251" s="82">
        <v>42522</v>
      </c>
      <c r="P251" s="52" t="str">
        <f>"DS - Arief Wibawa"</f>
        <v>DS - Arief Wibawa</v>
      </c>
      <c r="Q251" s="52" t="str">
        <f t="shared" si="65"/>
        <v>KPS-10-10</v>
      </c>
    </row>
    <row r="252" spans="1:17" x14ac:dyDescent="0.35">
      <c r="A252" s="52" t="s">
        <v>6063</v>
      </c>
      <c r="C252" s="52" t="str">
        <f>"""TRUST Nav"",""HSPMTB2016"",""17"",""1"",""122016"""</f>
        <v>"TRUST Nav","HSPMTB2016","17","1","122016"</v>
      </c>
      <c r="D252" s="52" t="str">
        <f t="shared" si="71"/>
        <v>Customer</v>
      </c>
      <c r="I252" s="52" t="str">
        <f t="shared" si="66"/>
        <v>KK-04599|42430</v>
      </c>
      <c r="J252" s="82">
        <v>42547</v>
      </c>
      <c r="K252" s="52" t="str">
        <f t="shared" si="67"/>
        <v>Customer</v>
      </c>
      <c r="L252" s="52" t="str">
        <f>"KK-04599"</f>
        <v>KK-04599</v>
      </c>
      <c r="M252" s="52" t="s">
        <v>20984</v>
      </c>
      <c r="N252" s="2">
        <v>50000.000000000007</v>
      </c>
      <c r="O252" s="82">
        <v>42430</v>
      </c>
      <c r="P252" s="52" t="str">
        <f>"DS - Bernardus Yogie Dirga Gunawan"</f>
        <v>DS - Bernardus Yogie Dirga Gunawan</v>
      </c>
      <c r="Q252" s="52" t="str">
        <f t="shared" si="65"/>
        <v>KPS-10-10</v>
      </c>
    </row>
    <row r="253" spans="1:17" x14ac:dyDescent="0.35">
      <c r="A253" s="52" t="s">
        <v>6063</v>
      </c>
      <c r="C253" s="52" t="str">
        <f>"""TRUST Nav"",""HSPMTB2016"",""17"",""1"",""122017"""</f>
        <v>"TRUST Nav","HSPMTB2016","17","1","122017"</v>
      </c>
      <c r="D253" s="52" t="str">
        <f t="shared" si="71"/>
        <v>Customer</v>
      </c>
      <c r="I253" s="52" t="str">
        <f t="shared" si="66"/>
        <v>KK-04599|42461</v>
      </c>
      <c r="J253" s="82">
        <v>42547</v>
      </c>
      <c r="K253" s="52" t="str">
        <f t="shared" si="67"/>
        <v>Customer</v>
      </c>
      <c r="L253" s="52" t="str">
        <f>"KK-04599"</f>
        <v>KK-04599</v>
      </c>
      <c r="M253" s="52" t="s">
        <v>20984</v>
      </c>
      <c r="N253" s="2">
        <v>50000.000000000007</v>
      </c>
      <c r="O253" s="82">
        <v>42461</v>
      </c>
      <c r="P253" s="52" t="str">
        <f>"DS - Bernardus Yogie Dirga Gunawan"</f>
        <v>DS - Bernardus Yogie Dirga Gunawan</v>
      </c>
      <c r="Q253" s="52" t="str">
        <f t="shared" si="65"/>
        <v>KPS-10-10</v>
      </c>
    </row>
    <row r="254" spans="1:17" x14ac:dyDescent="0.35">
      <c r="A254" s="52" t="s">
        <v>6063</v>
      </c>
      <c r="C254" s="52" t="str">
        <f>"""TRUST Nav"",""HSPMTB2016"",""17"",""1"",""122018"""</f>
        <v>"TRUST Nav","HSPMTB2016","17","1","122018"</v>
      </c>
      <c r="D254" s="52" t="str">
        <f t="shared" si="71"/>
        <v>Customer</v>
      </c>
      <c r="I254" s="52" t="str">
        <f t="shared" si="66"/>
        <v>KK-04599|42491</v>
      </c>
      <c r="J254" s="82">
        <v>42547</v>
      </c>
      <c r="K254" s="52" t="str">
        <f t="shared" si="67"/>
        <v>Customer</v>
      </c>
      <c r="L254" s="52" t="str">
        <f>"KK-04599"</f>
        <v>KK-04599</v>
      </c>
      <c r="M254" s="52" t="s">
        <v>20984</v>
      </c>
      <c r="N254" s="2">
        <v>50000.000000000007</v>
      </c>
      <c r="O254" s="82">
        <v>42491</v>
      </c>
      <c r="P254" s="52" t="str">
        <f>"DS - Bernardus Yogie Dirga Gunawan"</f>
        <v>DS - Bernardus Yogie Dirga Gunawan</v>
      </c>
      <c r="Q254" s="52" t="str">
        <f t="shared" si="65"/>
        <v>KPS-10-10</v>
      </c>
    </row>
    <row r="255" spans="1:17" x14ac:dyDescent="0.35">
      <c r="A255" s="52" t="s">
        <v>6063</v>
      </c>
      <c r="C255" s="52" t="str">
        <f>"""TRUST Nav"",""HSPMTB2016"",""17"",""1"",""122019"""</f>
        <v>"TRUST Nav","HSPMTB2016","17","1","122019"</v>
      </c>
      <c r="D255" s="52" t="str">
        <f t="shared" si="71"/>
        <v>Customer</v>
      </c>
      <c r="I255" s="52" t="str">
        <f t="shared" si="66"/>
        <v>KK-04599|42522</v>
      </c>
      <c r="J255" s="82">
        <v>42547</v>
      </c>
      <c r="K255" s="52" t="str">
        <f t="shared" si="67"/>
        <v>Customer</v>
      </c>
      <c r="L255" s="52" t="str">
        <f>"KK-04599"</f>
        <v>KK-04599</v>
      </c>
      <c r="M255" s="52" t="s">
        <v>20984</v>
      </c>
      <c r="N255" s="2">
        <v>50000.000000000007</v>
      </c>
      <c r="O255" s="82">
        <v>42522</v>
      </c>
      <c r="P255" s="52" t="str">
        <f>"DS - Bernardus Yogie Dirga Gunawan"</f>
        <v>DS - Bernardus Yogie Dirga Gunawan</v>
      </c>
      <c r="Q255" s="52" t="str">
        <f t="shared" si="65"/>
        <v>KPS-10-10</v>
      </c>
    </row>
    <row r="256" spans="1:17" x14ac:dyDescent="0.35">
      <c r="A256" s="52" t="s">
        <v>6063</v>
      </c>
      <c r="C256" s="52" t="str">
        <f>"""TRUST Nav"",""HSPMTB2016"",""17"",""1"",""122020"""</f>
        <v>"TRUST Nav","HSPMTB2016","17","1","122020"</v>
      </c>
      <c r="D256" s="52" t="str">
        <f t="shared" si="71"/>
        <v>Customer</v>
      </c>
      <c r="I256" s="52" t="str">
        <f t="shared" si="66"/>
        <v>KK-04626|42491</v>
      </c>
      <c r="J256" s="82">
        <v>42547</v>
      </c>
      <c r="K256" s="52" t="str">
        <f t="shared" si="67"/>
        <v>Customer</v>
      </c>
      <c r="L256" s="52" t="str">
        <f>"KK-04626"</f>
        <v>KK-04626</v>
      </c>
      <c r="M256" s="52" t="s">
        <v>21003</v>
      </c>
      <c r="N256" s="2">
        <v>25000.000000000004</v>
      </c>
      <c r="O256" s="82">
        <v>42491</v>
      </c>
      <c r="P256" s="52" t="str">
        <f>"DS - Hadi Suwana"</f>
        <v>DS - Hadi Suwana</v>
      </c>
      <c r="Q256" s="52" t="str">
        <f t="shared" si="65"/>
        <v>KPS-10-10</v>
      </c>
    </row>
    <row r="257" spans="1:17" x14ac:dyDescent="0.35">
      <c r="A257" s="52" t="s">
        <v>6063</v>
      </c>
      <c r="C257" s="52" t="str">
        <f>"""TRUST Nav"",""HSPMTB2016"",""17"",""1"",""122021"""</f>
        <v>"TRUST Nav","HSPMTB2016","17","1","122021"</v>
      </c>
      <c r="D257" s="52" t="str">
        <f t="shared" si="71"/>
        <v>Customer</v>
      </c>
      <c r="I257" s="52" t="str">
        <f t="shared" si="66"/>
        <v>KK-04626|42522</v>
      </c>
      <c r="J257" s="82">
        <v>42547</v>
      </c>
      <c r="K257" s="52" t="str">
        <f t="shared" si="67"/>
        <v>Customer</v>
      </c>
      <c r="L257" s="52" t="str">
        <f>"KK-04626"</f>
        <v>KK-04626</v>
      </c>
      <c r="M257" s="52" t="s">
        <v>21003</v>
      </c>
      <c r="N257" s="2">
        <v>25000.000000000004</v>
      </c>
      <c r="O257" s="82">
        <v>42522</v>
      </c>
      <c r="P257" s="52" t="str">
        <f>"DS - Hadi Suwana"</f>
        <v>DS - Hadi Suwana</v>
      </c>
      <c r="Q257" s="52" t="str">
        <f t="shared" si="65"/>
        <v>KPS-10-10</v>
      </c>
    </row>
    <row r="258" spans="1:17" x14ac:dyDescent="0.35">
      <c r="A258" s="52" t="s">
        <v>6063</v>
      </c>
      <c r="C258" s="52" t="str">
        <f>"""TRUST Nav"",""HSPMTB2016"",""17"",""1"",""122022"""</f>
        <v>"TRUST Nav","HSPMTB2016","17","1","122022"</v>
      </c>
      <c r="D258" s="52" t="str">
        <f t="shared" si="71"/>
        <v>Customer</v>
      </c>
      <c r="I258" s="52" t="str">
        <f t="shared" si="66"/>
        <v>KK-04626|42552</v>
      </c>
      <c r="J258" s="82">
        <v>42547</v>
      </c>
      <c r="K258" s="52" t="str">
        <f t="shared" si="67"/>
        <v>Customer</v>
      </c>
      <c r="L258" s="52" t="str">
        <f>"KK-04626"</f>
        <v>KK-04626</v>
      </c>
      <c r="M258" s="52" t="s">
        <v>21003</v>
      </c>
      <c r="N258" s="2">
        <v>25000.000000000004</v>
      </c>
      <c r="O258" s="82">
        <v>42552</v>
      </c>
      <c r="P258" s="52" t="str">
        <f>"DS - Hadi Suwana"</f>
        <v>DS - Hadi Suwana</v>
      </c>
      <c r="Q258" s="52" t="str">
        <f t="shared" si="65"/>
        <v>KPS-10-10</v>
      </c>
    </row>
    <row r="259" spans="1:17" x14ac:dyDescent="0.35">
      <c r="A259" s="52" t="s">
        <v>6063</v>
      </c>
      <c r="C259" s="52" t="str">
        <f>"""TRUST Nav"",""HSPMTB2016"",""17"",""1"",""122023"""</f>
        <v>"TRUST Nav","HSPMTB2016","17","1","122023"</v>
      </c>
      <c r="D259" s="52" t="str">
        <f t="shared" si="71"/>
        <v>Customer</v>
      </c>
      <c r="I259" s="52" t="str">
        <f t="shared" si="66"/>
        <v>KK-04626|42583</v>
      </c>
      <c r="J259" s="82">
        <v>42547</v>
      </c>
      <c r="K259" s="52" t="str">
        <f t="shared" si="67"/>
        <v>Customer</v>
      </c>
      <c r="L259" s="52" t="str">
        <f>"KK-04626"</f>
        <v>KK-04626</v>
      </c>
      <c r="M259" s="52" t="s">
        <v>21003</v>
      </c>
      <c r="N259" s="2">
        <v>25000.000000000004</v>
      </c>
      <c r="O259" s="82">
        <v>42583</v>
      </c>
      <c r="P259" s="52" t="str">
        <f>"DS - Hadi Suwana"</f>
        <v>DS - Hadi Suwana</v>
      </c>
      <c r="Q259" s="52" t="str">
        <f t="shared" si="65"/>
        <v>KPS-10-10</v>
      </c>
    </row>
    <row r="260" spans="1:17" x14ac:dyDescent="0.35">
      <c r="A260" s="52" t="s">
        <v>6063</v>
      </c>
      <c r="C260" s="52" t="str">
        <f>"""TRUST Nav"",""HSPMTB2016"",""17"",""1"",""122024"""</f>
        <v>"TRUST Nav","HSPMTB2016","17","1","122024"</v>
      </c>
      <c r="D260" s="52" t="str">
        <f t="shared" si="71"/>
        <v>Customer</v>
      </c>
      <c r="I260" s="52" t="str">
        <f t="shared" si="66"/>
        <v>KK-04607|42430</v>
      </c>
      <c r="J260" s="82">
        <v>42547</v>
      </c>
      <c r="K260" s="52" t="str">
        <f t="shared" si="67"/>
        <v>Customer</v>
      </c>
      <c r="L260" s="52" t="str">
        <f>"KK-04607"</f>
        <v>KK-04607</v>
      </c>
      <c r="M260" s="52" t="s">
        <v>20989</v>
      </c>
      <c r="N260" s="2">
        <v>150000</v>
      </c>
      <c r="O260" s="82">
        <v>42430</v>
      </c>
      <c r="P260" s="52" t="str">
        <f>"DS - Hendro Hartono"</f>
        <v>DS - Hendro Hartono</v>
      </c>
      <c r="Q260" s="52" t="str">
        <f t="shared" si="65"/>
        <v>KPS-10-10</v>
      </c>
    </row>
    <row r="261" spans="1:17" x14ac:dyDescent="0.35">
      <c r="A261" s="52" t="s">
        <v>6063</v>
      </c>
      <c r="C261" s="52" t="str">
        <f>"""TRUST Nav"",""HSPMTB2016"",""17"",""1"",""122025"""</f>
        <v>"TRUST Nav","HSPMTB2016","17","1","122025"</v>
      </c>
      <c r="D261" s="52" t="str">
        <f t="shared" si="71"/>
        <v>Customer</v>
      </c>
      <c r="I261" s="52" t="str">
        <f t="shared" si="66"/>
        <v>KK-04607|42461</v>
      </c>
      <c r="J261" s="82">
        <v>42547</v>
      </c>
      <c r="K261" s="52" t="str">
        <f t="shared" si="67"/>
        <v>Customer</v>
      </c>
      <c r="L261" s="52" t="str">
        <f>"KK-04607"</f>
        <v>KK-04607</v>
      </c>
      <c r="M261" s="52" t="s">
        <v>20989</v>
      </c>
      <c r="N261" s="2">
        <v>150000</v>
      </c>
      <c r="O261" s="82">
        <v>42461</v>
      </c>
      <c r="P261" s="52" t="str">
        <f>"DS - Hendro Hartono"</f>
        <v>DS - Hendro Hartono</v>
      </c>
      <c r="Q261" s="52" t="str">
        <f t="shared" si="65"/>
        <v>KPS-10-10</v>
      </c>
    </row>
    <row r="262" spans="1:17" x14ac:dyDescent="0.35">
      <c r="A262" s="52" t="s">
        <v>6063</v>
      </c>
      <c r="C262" s="52" t="str">
        <f>"""TRUST Nav"",""HSPMTB2016"",""17"",""1"",""122026"""</f>
        <v>"TRUST Nav","HSPMTB2016","17","1","122026"</v>
      </c>
      <c r="D262" s="52" t="str">
        <f t="shared" si="71"/>
        <v>Customer</v>
      </c>
      <c r="I262" s="52" t="str">
        <f t="shared" si="66"/>
        <v>KK-04607|42491</v>
      </c>
      <c r="J262" s="82">
        <v>42547</v>
      </c>
      <c r="K262" s="52" t="str">
        <f t="shared" si="67"/>
        <v>Customer</v>
      </c>
      <c r="L262" s="52" t="str">
        <f>"KK-04607"</f>
        <v>KK-04607</v>
      </c>
      <c r="M262" s="52" t="s">
        <v>20989</v>
      </c>
      <c r="N262" s="2">
        <v>150000</v>
      </c>
      <c r="O262" s="82">
        <v>42491</v>
      </c>
      <c r="P262" s="52" t="str">
        <f>"DS - Hendro Hartono"</f>
        <v>DS - Hendro Hartono</v>
      </c>
      <c r="Q262" s="52" t="str">
        <f t="shared" si="65"/>
        <v>KPS-10-10</v>
      </c>
    </row>
    <row r="263" spans="1:17" x14ac:dyDescent="0.35">
      <c r="A263" s="52" t="s">
        <v>6063</v>
      </c>
      <c r="C263" s="52" t="str">
        <f>"""TRUST Nav"",""HSPMTB2016"",""17"",""1"",""122027"""</f>
        <v>"TRUST Nav","HSPMTB2016","17","1","122027"</v>
      </c>
      <c r="D263" s="52" t="str">
        <f t="shared" si="71"/>
        <v>Customer</v>
      </c>
      <c r="I263" s="52" t="str">
        <f t="shared" si="66"/>
        <v>KK-04608|42522</v>
      </c>
      <c r="J263" s="82">
        <v>42547</v>
      </c>
      <c r="K263" s="52" t="str">
        <f t="shared" si="67"/>
        <v>Customer</v>
      </c>
      <c r="L263" s="52" t="str">
        <f>"KK-04608"</f>
        <v>KK-04608</v>
      </c>
      <c r="M263" s="52" t="s">
        <v>20990</v>
      </c>
      <c r="N263" s="2">
        <v>30000</v>
      </c>
      <c r="O263" s="82">
        <v>42522</v>
      </c>
      <c r="P263" s="52" t="str">
        <f>"DS - Heru Prawono"</f>
        <v>DS - Heru Prawono</v>
      </c>
      <c r="Q263" s="52" t="str">
        <f t="shared" si="65"/>
        <v>KPS-10-10</v>
      </c>
    </row>
    <row r="264" spans="1:17" x14ac:dyDescent="0.35">
      <c r="A264" s="52" t="s">
        <v>6063</v>
      </c>
      <c r="C264" s="52" t="str">
        <f>"""TRUST Nav"",""HSPMTB2016"",""17"",""1"",""122028"""</f>
        <v>"TRUST Nav","HSPMTB2016","17","1","122028"</v>
      </c>
      <c r="D264" s="52" t="str">
        <f t="shared" si="71"/>
        <v>Customer</v>
      </c>
      <c r="I264" s="52" t="str">
        <f t="shared" si="66"/>
        <v>KK-05052|42186</v>
      </c>
      <c r="J264" s="82">
        <v>42547</v>
      </c>
      <c r="K264" s="52" t="str">
        <f t="shared" si="67"/>
        <v>Customer</v>
      </c>
      <c r="L264" s="52" t="str">
        <f t="shared" ref="L264:L272" si="72">"KK-05052"</f>
        <v>KK-05052</v>
      </c>
      <c r="M264" s="52" t="s">
        <v>21006</v>
      </c>
      <c r="N264" s="2">
        <v>15000</v>
      </c>
      <c r="O264" s="82">
        <v>42186</v>
      </c>
      <c r="P264" s="52" t="str">
        <f t="shared" ref="P264:P272" si="73">"DS - Julius Margono Teguh Nugroho"</f>
        <v>DS - Julius Margono Teguh Nugroho</v>
      </c>
      <c r="Q264" s="52" t="str">
        <f t="shared" si="65"/>
        <v>KPS-10-10</v>
      </c>
    </row>
    <row r="265" spans="1:17" x14ac:dyDescent="0.35">
      <c r="A265" s="52" t="s">
        <v>6063</v>
      </c>
      <c r="C265" s="52" t="str">
        <f>"""TRUST Nav"",""HSPMTB2016"",""17"",""1"",""122029"""</f>
        <v>"TRUST Nav","HSPMTB2016","17","1","122029"</v>
      </c>
      <c r="D265" s="52" t="str">
        <f t="shared" si="71"/>
        <v>Customer</v>
      </c>
      <c r="I265" s="52" t="str">
        <f t="shared" si="66"/>
        <v>KK-05052|42217</v>
      </c>
      <c r="J265" s="82">
        <v>42547</v>
      </c>
      <c r="K265" s="52" t="str">
        <f t="shared" si="67"/>
        <v>Customer</v>
      </c>
      <c r="L265" s="52" t="str">
        <f t="shared" si="72"/>
        <v>KK-05052</v>
      </c>
      <c r="M265" s="52" t="s">
        <v>21006</v>
      </c>
      <c r="N265" s="2">
        <v>15000</v>
      </c>
      <c r="O265" s="82">
        <v>42217</v>
      </c>
      <c r="P265" s="52" t="str">
        <f t="shared" si="73"/>
        <v>DS - Julius Margono Teguh Nugroho</v>
      </c>
      <c r="Q265" s="52" t="str">
        <f t="shared" si="65"/>
        <v>KPS-10-10</v>
      </c>
    </row>
    <row r="266" spans="1:17" x14ac:dyDescent="0.35">
      <c r="A266" s="52" t="s">
        <v>6063</v>
      </c>
      <c r="C266" s="52" t="str">
        <f>"""TRUST Nav"",""HSPMTB2016"",""17"",""1"",""122030"""</f>
        <v>"TRUST Nav","HSPMTB2016","17","1","122030"</v>
      </c>
      <c r="D266" s="52" t="str">
        <f t="shared" si="71"/>
        <v>Customer</v>
      </c>
      <c r="I266" s="52" t="str">
        <f t="shared" si="66"/>
        <v>KK-05052|42248</v>
      </c>
      <c r="J266" s="82">
        <v>42547</v>
      </c>
      <c r="K266" s="52" t="str">
        <f t="shared" si="67"/>
        <v>Customer</v>
      </c>
      <c r="L266" s="52" t="str">
        <f t="shared" si="72"/>
        <v>KK-05052</v>
      </c>
      <c r="M266" s="52" t="s">
        <v>21006</v>
      </c>
      <c r="N266" s="2">
        <v>15000</v>
      </c>
      <c r="O266" s="82">
        <v>42248</v>
      </c>
      <c r="P266" s="52" t="str">
        <f t="shared" si="73"/>
        <v>DS - Julius Margono Teguh Nugroho</v>
      </c>
      <c r="Q266" s="52" t="str">
        <f t="shared" si="65"/>
        <v>KPS-10-10</v>
      </c>
    </row>
    <row r="267" spans="1:17" x14ac:dyDescent="0.35">
      <c r="A267" s="52" t="s">
        <v>6063</v>
      </c>
      <c r="C267" s="52" t="str">
        <f>"""TRUST Nav"",""HSPMTB2016"",""17"",""1"",""122031"""</f>
        <v>"TRUST Nav","HSPMTB2016","17","1","122031"</v>
      </c>
      <c r="D267" s="52" t="str">
        <f t="shared" si="71"/>
        <v>Customer</v>
      </c>
      <c r="I267" s="52" t="str">
        <f t="shared" si="66"/>
        <v>KK-05052|42278</v>
      </c>
      <c r="J267" s="82">
        <v>42547</v>
      </c>
      <c r="K267" s="52" t="str">
        <f t="shared" si="67"/>
        <v>Customer</v>
      </c>
      <c r="L267" s="52" t="str">
        <f t="shared" si="72"/>
        <v>KK-05052</v>
      </c>
      <c r="M267" s="52" t="s">
        <v>21006</v>
      </c>
      <c r="N267" s="2">
        <v>15000</v>
      </c>
      <c r="O267" s="82">
        <v>42278</v>
      </c>
      <c r="P267" s="52" t="str">
        <f t="shared" si="73"/>
        <v>DS - Julius Margono Teguh Nugroho</v>
      </c>
      <c r="Q267" s="52" t="str">
        <f t="shared" si="65"/>
        <v>KPS-10-10</v>
      </c>
    </row>
    <row r="268" spans="1:17" x14ac:dyDescent="0.35">
      <c r="A268" s="52" t="s">
        <v>6063</v>
      </c>
      <c r="C268" s="52" t="str">
        <f>"""TRUST Nav"",""HSPMTB2016"",""17"",""1"",""122032"""</f>
        <v>"TRUST Nav","HSPMTB2016","17","1","122032"</v>
      </c>
      <c r="D268" s="52" t="str">
        <f t="shared" si="71"/>
        <v>Customer</v>
      </c>
      <c r="I268" s="52" t="str">
        <f t="shared" si="66"/>
        <v>KK-05052|42309</v>
      </c>
      <c r="J268" s="82">
        <v>42547</v>
      </c>
      <c r="K268" s="52" t="str">
        <f t="shared" si="67"/>
        <v>Customer</v>
      </c>
      <c r="L268" s="52" t="str">
        <f t="shared" si="72"/>
        <v>KK-05052</v>
      </c>
      <c r="M268" s="52" t="s">
        <v>21006</v>
      </c>
      <c r="N268" s="2">
        <v>15000</v>
      </c>
      <c r="O268" s="82">
        <v>42309</v>
      </c>
      <c r="P268" s="52" t="str">
        <f t="shared" si="73"/>
        <v>DS - Julius Margono Teguh Nugroho</v>
      </c>
      <c r="Q268" s="52" t="str">
        <f t="shared" si="65"/>
        <v>KPS-10-10</v>
      </c>
    </row>
    <row r="269" spans="1:17" x14ac:dyDescent="0.35">
      <c r="A269" s="52" t="s">
        <v>6063</v>
      </c>
      <c r="C269" s="52" t="str">
        <f>"""TRUST Nav"",""HSPMTB2016"",""17"",""1"",""122033"""</f>
        <v>"TRUST Nav","HSPMTB2016","17","1","122033"</v>
      </c>
      <c r="D269" s="52" t="str">
        <f t="shared" si="71"/>
        <v>Customer</v>
      </c>
      <c r="I269" s="52" t="str">
        <f t="shared" si="66"/>
        <v>KK-05052|42339</v>
      </c>
      <c r="J269" s="82">
        <v>42547</v>
      </c>
      <c r="K269" s="52" t="str">
        <f t="shared" si="67"/>
        <v>Customer</v>
      </c>
      <c r="L269" s="52" t="str">
        <f t="shared" si="72"/>
        <v>KK-05052</v>
      </c>
      <c r="M269" s="52" t="s">
        <v>21006</v>
      </c>
      <c r="N269" s="2">
        <v>15000</v>
      </c>
      <c r="O269" s="82">
        <v>42339</v>
      </c>
      <c r="P269" s="52" t="str">
        <f t="shared" si="73"/>
        <v>DS - Julius Margono Teguh Nugroho</v>
      </c>
      <c r="Q269" s="52" t="str">
        <f t="shared" ref="Q269:Q323" si="74">"KPS-10-10"</f>
        <v>KPS-10-10</v>
      </c>
    </row>
    <row r="270" spans="1:17" x14ac:dyDescent="0.35">
      <c r="A270" s="52" t="s">
        <v>6063</v>
      </c>
      <c r="C270" s="52" t="str">
        <f>"""TRUST Nav"",""HSPMTB2016"",""17"",""1"",""122034"""</f>
        <v>"TRUST Nav","HSPMTB2016","17","1","122034"</v>
      </c>
      <c r="D270" s="52" t="str">
        <f t="shared" si="71"/>
        <v>Customer</v>
      </c>
      <c r="I270" s="52" t="str">
        <f t="shared" ref="I270:I323" si="75">CONCATENATE(L270,"|",O270)</f>
        <v>KK-05052|42370</v>
      </c>
      <c r="J270" s="82">
        <v>42547</v>
      </c>
      <c r="K270" s="52" t="str">
        <f t="shared" ref="K270:K323" si="76">IF($D270="Customer",$D270,"G/L")</f>
        <v>Customer</v>
      </c>
      <c r="L270" s="52" t="str">
        <f t="shared" si="72"/>
        <v>KK-05052</v>
      </c>
      <c r="M270" s="52" t="s">
        <v>21006</v>
      </c>
      <c r="N270" s="2">
        <v>15000</v>
      </c>
      <c r="O270" s="82">
        <v>42370</v>
      </c>
      <c r="P270" s="52" t="str">
        <f t="shared" si="73"/>
        <v>DS - Julius Margono Teguh Nugroho</v>
      </c>
      <c r="Q270" s="52" t="str">
        <f t="shared" si="74"/>
        <v>KPS-10-10</v>
      </c>
    </row>
    <row r="271" spans="1:17" x14ac:dyDescent="0.35">
      <c r="A271" s="52" t="s">
        <v>6063</v>
      </c>
      <c r="C271" s="52" t="str">
        <f>"""TRUST Nav"",""HSPMTB2016"",""17"",""1"",""122035"""</f>
        <v>"TRUST Nav","HSPMTB2016","17","1","122035"</v>
      </c>
      <c r="D271" s="52" t="str">
        <f t="shared" si="71"/>
        <v>Customer</v>
      </c>
      <c r="I271" s="52" t="str">
        <f t="shared" si="75"/>
        <v>KK-05052|42401</v>
      </c>
      <c r="J271" s="82">
        <v>42547</v>
      </c>
      <c r="K271" s="52" t="str">
        <f t="shared" si="76"/>
        <v>Customer</v>
      </c>
      <c r="L271" s="52" t="str">
        <f t="shared" si="72"/>
        <v>KK-05052</v>
      </c>
      <c r="M271" s="52" t="s">
        <v>21006</v>
      </c>
      <c r="N271" s="2">
        <v>15000</v>
      </c>
      <c r="O271" s="82">
        <v>42401</v>
      </c>
      <c r="P271" s="52" t="str">
        <f t="shared" si="73"/>
        <v>DS - Julius Margono Teguh Nugroho</v>
      </c>
      <c r="Q271" s="52" t="str">
        <f t="shared" si="74"/>
        <v>KPS-10-10</v>
      </c>
    </row>
    <row r="272" spans="1:17" x14ac:dyDescent="0.35">
      <c r="A272" s="52" t="s">
        <v>6063</v>
      </c>
      <c r="C272" s="52" t="str">
        <f>"""TRUST Nav"",""HSPMTB2016"",""17"",""1"",""122036"""</f>
        <v>"TRUST Nav","HSPMTB2016","17","1","122036"</v>
      </c>
      <c r="D272" s="52" t="str">
        <f t="shared" si="71"/>
        <v>Customer</v>
      </c>
      <c r="I272" s="52" t="str">
        <f t="shared" si="75"/>
        <v>KK-05052|42430</v>
      </c>
      <c r="J272" s="82">
        <v>42547</v>
      </c>
      <c r="K272" s="52" t="str">
        <f t="shared" si="76"/>
        <v>Customer</v>
      </c>
      <c r="L272" s="52" t="str">
        <f t="shared" si="72"/>
        <v>KK-05052</v>
      </c>
      <c r="M272" s="52" t="s">
        <v>21006</v>
      </c>
      <c r="N272" s="2">
        <v>15000</v>
      </c>
      <c r="O272" s="82">
        <v>42430</v>
      </c>
      <c r="P272" s="52" t="str">
        <f t="shared" si="73"/>
        <v>DS - Julius Margono Teguh Nugroho</v>
      </c>
      <c r="Q272" s="52" t="str">
        <f t="shared" si="74"/>
        <v>KPS-10-10</v>
      </c>
    </row>
    <row r="273" spans="1:17" x14ac:dyDescent="0.35">
      <c r="A273" s="52" t="s">
        <v>6063</v>
      </c>
      <c r="C273" s="52" t="str">
        <f>"""TRUST Nav"",""HSPMTB2016"",""17"",""1"",""122037"""</f>
        <v>"TRUST Nav","HSPMTB2016","17","1","122037"</v>
      </c>
      <c r="D273" s="52" t="str">
        <f t="shared" si="71"/>
        <v>Customer</v>
      </c>
      <c r="I273" s="52" t="str">
        <f t="shared" si="75"/>
        <v>KK-04621|42430</v>
      </c>
      <c r="J273" s="82">
        <v>42547</v>
      </c>
      <c r="K273" s="52" t="str">
        <f t="shared" si="76"/>
        <v>Customer</v>
      </c>
      <c r="L273" s="52" t="str">
        <f>"KK-04621"</f>
        <v>KK-04621</v>
      </c>
      <c r="M273" s="52" t="s">
        <v>20999</v>
      </c>
      <c r="N273" s="2">
        <v>25000.000000000004</v>
      </c>
      <c r="O273" s="82">
        <v>42430</v>
      </c>
      <c r="P273" s="52" t="str">
        <f>"DS - Tommy Prasetyo Utomo"</f>
        <v>DS - Tommy Prasetyo Utomo</v>
      </c>
      <c r="Q273" s="52" t="str">
        <f t="shared" si="74"/>
        <v>KPS-10-10</v>
      </c>
    </row>
    <row r="274" spans="1:17" x14ac:dyDescent="0.35">
      <c r="A274" s="52" t="s">
        <v>6063</v>
      </c>
      <c r="C274" s="52" t="str">
        <f>"""TRUST Nav"",""HSPMTB2016"",""17"",""1"",""122038"""</f>
        <v>"TRUST Nav","HSPMTB2016","17","1","122038"</v>
      </c>
      <c r="D274" s="52" t="str">
        <f t="shared" si="71"/>
        <v>Customer</v>
      </c>
      <c r="I274" s="52" t="str">
        <f t="shared" si="75"/>
        <v>KK-04621|42461</v>
      </c>
      <c r="J274" s="82">
        <v>42547</v>
      </c>
      <c r="K274" s="52" t="str">
        <f t="shared" si="76"/>
        <v>Customer</v>
      </c>
      <c r="L274" s="52" t="str">
        <f>"KK-04621"</f>
        <v>KK-04621</v>
      </c>
      <c r="M274" s="52" t="s">
        <v>20999</v>
      </c>
      <c r="N274" s="2">
        <v>25000.000000000004</v>
      </c>
      <c r="O274" s="82">
        <v>42461</v>
      </c>
      <c r="P274" s="52" t="str">
        <f>"DS - Tommy Prasetyo Utomo"</f>
        <v>DS - Tommy Prasetyo Utomo</v>
      </c>
      <c r="Q274" s="52" t="str">
        <f t="shared" si="74"/>
        <v>KPS-10-10</v>
      </c>
    </row>
    <row r="275" spans="1:17" x14ac:dyDescent="0.35">
      <c r="A275" s="52" t="s">
        <v>6063</v>
      </c>
      <c r="C275" s="52" t="str">
        <f>"""TRUST Nav"",""HSPMTB2016"",""17"",""1"",""122039"""</f>
        <v>"TRUST Nav","HSPMTB2016","17","1","122039"</v>
      </c>
      <c r="D275" s="52" t="str">
        <f t="shared" si="71"/>
        <v>Customer</v>
      </c>
      <c r="I275" s="52" t="str">
        <f t="shared" si="75"/>
        <v>KK-04621|42491</v>
      </c>
      <c r="J275" s="82">
        <v>42547</v>
      </c>
      <c r="K275" s="52" t="str">
        <f t="shared" si="76"/>
        <v>Customer</v>
      </c>
      <c r="L275" s="52" t="str">
        <f>"KK-04621"</f>
        <v>KK-04621</v>
      </c>
      <c r="M275" s="52" t="s">
        <v>20999</v>
      </c>
      <c r="N275" s="2">
        <v>25000.000000000004</v>
      </c>
      <c r="O275" s="82">
        <v>42491</v>
      </c>
      <c r="P275" s="52" t="str">
        <f>"DS - Tommy Prasetyo Utomo"</f>
        <v>DS - Tommy Prasetyo Utomo</v>
      </c>
      <c r="Q275" s="52" t="str">
        <f t="shared" si="74"/>
        <v>KPS-10-10</v>
      </c>
    </row>
    <row r="276" spans="1:17" x14ac:dyDescent="0.35">
      <c r="A276" s="52" t="s">
        <v>6063</v>
      </c>
      <c r="C276" s="52" t="str">
        <f>"""TRUST Nav"",""HSPMTB2016"",""17"",""1"",""122040"""</f>
        <v>"TRUST Nav","HSPMTB2016","17","1","122040"</v>
      </c>
      <c r="D276" s="52" t="str">
        <f t="shared" ref="D276:D307" si="77">"Customer"</f>
        <v>Customer</v>
      </c>
      <c r="I276" s="52" t="str">
        <f t="shared" si="75"/>
        <v>KK-04621|42522</v>
      </c>
      <c r="J276" s="82">
        <v>42547</v>
      </c>
      <c r="K276" s="52" t="str">
        <f t="shared" si="76"/>
        <v>Customer</v>
      </c>
      <c r="L276" s="52" t="str">
        <f>"KK-04621"</f>
        <v>KK-04621</v>
      </c>
      <c r="M276" s="52" t="s">
        <v>20999</v>
      </c>
      <c r="N276" s="2">
        <v>25000.000000000004</v>
      </c>
      <c r="O276" s="82">
        <v>42522</v>
      </c>
      <c r="P276" s="52" t="str">
        <f>"DS - Tommy Prasetyo Utomo"</f>
        <v>DS - Tommy Prasetyo Utomo</v>
      </c>
      <c r="Q276" s="52" t="str">
        <f t="shared" si="74"/>
        <v>KPS-10-10</v>
      </c>
    </row>
    <row r="277" spans="1:17" x14ac:dyDescent="0.35">
      <c r="A277" s="52" t="s">
        <v>6063</v>
      </c>
      <c r="C277" s="52" t="str">
        <f>"""TRUST Nav"",""HSPMTB2016"",""17"",""1"",""122041"""</f>
        <v>"TRUST Nav","HSPMTB2016","17","1","122041"</v>
      </c>
      <c r="D277" s="52" t="str">
        <f t="shared" si="77"/>
        <v>Customer</v>
      </c>
      <c r="I277" s="52" t="str">
        <f t="shared" si="75"/>
        <v>KK-04622|42522</v>
      </c>
      <c r="J277" s="82">
        <v>42547</v>
      </c>
      <c r="K277" s="52" t="str">
        <f t="shared" si="76"/>
        <v>Customer</v>
      </c>
      <c r="L277" s="52" t="str">
        <f>"KK-04622"</f>
        <v>KK-04622</v>
      </c>
      <c r="M277" s="52" t="s">
        <v>21000</v>
      </c>
      <c r="N277" s="2">
        <v>35000</v>
      </c>
      <c r="O277" s="82">
        <v>42522</v>
      </c>
      <c r="P277" s="52" t="str">
        <f>"DS - Tri Saptono Vinsentius "</f>
        <v xml:space="preserve">DS - Tri Saptono Vinsentius </v>
      </c>
      <c r="Q277" s="52" t="str">
        <f t="shared" si="74"/>
        <v>KPS-10-10</v>
      </c>
    </row>
    <row r="278" spans="1:17" x14ac:dyDescent="0.35">
      <c r="A278" s="52" t="s">
        <v>6063</v>
      </c>
      <c r="C278" s="52" t="str">
        <f>"""TRUST Nav"",""HSPMTB2016"",""17"",""1"",""122042"""</f>
        <v>"TRUST Nav","HSPMTB2016","17","1","122042"</v>
      </c>
      <c r="D278" s="52" t="str">
        <f t="shared" si="77"/>
        <v>Customer</v>
      </c>
      <c r="I278" s="52" t="str">
        <f t="shared" si="75"/>
        <v>KK-04622|42552</v>
      </c>
      <c r="J278" s="82">
        <v>42547</v>
      </c>
      <c r="K278" s="52" t="str">
        <f t="shared" si="76"/>
        <v>Customer</v>
      </c>
      <c r="L278" s="52" t="str">
        <f>"KK-04622"</f>
        <v>KK-04622</v>
      </c>
      <c r="M278" s="52" t="s">
        <v>21000</v>
      </c>
      <c r="N278" s="2">
        <v>35000</v>
      </c>
      <c r="O278" s="82">
        <v>42552</v>
      </c>
      <c r="P278" s="52" t="str">
        <f>"DS - Tri Saptono Vinsentius "</f>
        <v xml:space="preserve">DS - Tri Saptono Vinsentius </v>
      </c>
      <c r="Q278" s="52" t="str">
        <f t="shared" si="74"/>
        <v>KPS-10-10</v>
      </c>
    </row>
    <row r="279" spans="1:17" x14ac:dyDescent="0.35">
      <c r="A279" s="52" t="s">
        <v>6063</v>
      </c>
      <c r="C279" s="52" t="str">
        <f>"""TRUST Nav"",""HSPMTB2016"",""17"",""1"",""122043"""</f>
        <v>"TRUST Nav","HSPMTB2016","17","1","122043"</v>
      </c>
      <c r="D279" s="52" t="str">
        <f t="shared" si="77"/>
        <v>Customer</v>
      </c>
      <c r="I279" s="52" t="str">
        <f t="shared" si="75"/>
        <v>KK-05056|42370</v>
      </c>
      <c r="J279" s="82">
        <v>42547</v>
      </c>
      <c r="K279" s="52" t="str">
        <f t="shared" si="76"/>
        <v>Customer</v>
      </c>
      <c r="L279" s="52" t="str">
        <f t="shared" ref="L279:L284" si="78">"KK-05056"</f>
        <v>KK-05056</v>
      </c>
      <c r="M279" s="52" t="s">
        <v>21007</v>
      </c>
      <c r="N279" s="2">
        <v>25000.000000000004</v>
      </c>
      <c r="O279" s="82">
        <v>42370</v>
      </c>
      <c r="P279" s="52" t="str">
        <f t="shared" ref="P279:P284" si="79">"DS - Yandi Setiawan"</f>
        <v>DS - Yandi Setiawan</v>
      </c>
      <c r="Q279" s="52" t="str">
        <f t="shared" si="74"/>
        <v>KPS-10-10</v>
      </c>
    </row>
    <row r="280" spans="1:17" x14ac:dyDescent="0.35">
      <c r="A280" s="52" t="s">
        <v>6063</v>
      </c>
      <c r="C280" s="52" t="str">
        <f>"""TRUST Nav"",""HSPMTB2016"",""17"",""1"",""122044"""</f>
        <v>"TRUST Nav","HSPMTB2016","17","1","122044"</v>
      </c>
      <c r="D280" s="52" t="str">
        <f t="shared" si="77"/>
        <v>Customer</v>
      </c>
      <c r="I280" s="52" t="str">
        <f t="shared" si="75"/>
        <v>KK-05056|42401</v>
      </c>
      <c r="J280" s="82">
        <v>42547</v>
      </c>
      <c r="K280" s="52" t="str">
        <f t="shared" si="76"/>
        <v>Customer</v>
      </c>
      <c r="L280" s="52" t="str">
        <f t="shared" si="78"/>
        <v>KK-05056</v>
      </c>
      <c r="M280" s="52" t="s">
        <v>21007</v>
      </c>
      <c r="N280" s="2">
        <v>25000.000000000004</v>
      </c>
      <c r="O280" s="82">
        <v>42401</v>
      </c>
      <c r="P280" s="52" t="str">
        <f t="shared" si="79"/>
        <v>DS - Yandi Setiawan</v>
      </c>
      <c r="Q280" s="52" t="str">
        <f t="shared" si="74"/>
        <v>KPS-10-10</v>
      </c>
    </row>
    <row r="281" spans="1:17" x14ac:dyDescent="0.35">
      <c r="A281" s="52" t="s">
        <v>6063</v>
      </c>
      <c r="C281" s="52" t="str">
        <f>"""TRUST Nav"",""HSPMTB2016"",""17"",""1"",""122045"""</f>
        <v>"TRUST Nav","HSPMTB2016","17","1","122045"</v>
      </c>
      <c r="D281" s="52" t="str">
        <f t="shared" si="77"/>
        <v>Customer</v>
      </c>
      <c r="I281" s="52" t="str">
        <f t="shared" si="75"/>
        <v>KK-05056|42430</v>
      </c>
      <c r="J281" s="82">
        <v>42547</v>
      </c>
      <c r="K281" s="52" t="str">
        <f t="shared" si="76"/>
        <v>Customer</v>
      </c>
      <c r="L281" s="52" t="str">
        <f t="shared" si="78"/>
        <v>KK-05056</v>
      </c>
      <c r="M281" s="52" t="s">
        <v>21007</v>
      </c>
      <c r="N281" s="2">
        <v>25000.000000000004</v>
      </c>
      <c r="O281" s="82">
        <v>42430</v>
      </c>
      <c r="P281" s="52" t="str">
        <f t="shared" si="79"/>
        <v>DS - Yandi Setiawan</v>
      </c>
      <c r="Q281" s="52" t="str">
        <f t="shared" si="74"/>
        <v>KPS-10-10</v>
      </c>
    </row>
    <row r="282" spans="1:17" x14ac:dyDescent="0.35">
      <c r="A282" s="52" t="s">
        <v>6063</v>
      </c>
      <c r="C282" s="52" t="str">
        <f>"""TRUST Nav"",""HSPMTB2016"",""17"",""1"",""122046"""</f>
        <v>"TRUST Nav","HSPMTB2016","17","1","122046"</v>
      </c>
      <c r="D282" s="52" t="str">
        <f t="shared" si="77"/>
        <v>Customer</v>
      </c>
      <c r="I282" s="52" t="str">
        <f t="shared" si="75"/>
        <v>KK-05056|42461</v>
      </c>
      <c r="J282" s="82">
        <v>42547</v>
      </c>
      <c r="K282" s="52" t="str">
        <f t="shared" si="76"/>
        <v>Customer</v>
      </c>
      <c r="L282" s="52" t="str">
        <f t="shared" si="78"/>
        <v>KK-05056</v>
      </c>
      <c r="M282" s="52" t="s">
        <v>21007</v>
      </c>
      <c r="N282" s="2">
        <v>25000.000000000004</v>
      </c>
      <c r="O282" s="82">
        <v>42461</v>
      </c>
      <c r="P282" s="52" t="str">
        <f t="shared" si="79"/>
        <v>DS - Yandi Setiawan</v>
      </c>
      <c r="Q282" s="52" t="str">
        <f t="shared" si="74"/>
        <v>KPS-10-10</v>
      </c>
    </row>
    <row r="283" spans="1:17" x14ac:dyDescent="0.35">
      <c r="A283" s="52" t="s">
        <v>6063</v>
      </c>
      <c r="C283" s="52" t="str">
        <f>"""TRUST Nav"",""HSPMTB2016"",""17"",""1"",""122047"""</f>
        <v>"TRUST Nav","HSPMTB2016","17","1","122047"</v>
      </c>
      <c r="D283" s="52" t="str">
        <f t="shared" si="77"/>
        <v>Customer</v>
      </c>
      <c r="I283" s="52" t="str">
        <f t="shared" si="75"/>
        <v>KK-05056|42491</v>
      </c>
      <c r="J283" s="82">
        <v>42547</v>
      </c>
      <c r="K283" s="52" t="str">
        <f t="shared" si="76"/>
        <v>Customer</v>
      </c>
      <c r="L283" s="52" t="str">
        <f t="shared" si="78"/>
        <v>KK-05056</v>
      </c>
      <c r="M283" s="52" t="s">
        <v>21007</v>
      </c>
      <c r="N283" s="2">
        <v>25000.000000000004</v>
      </c>
      <c r="O283" s="82">
        <v>42491</v>
      </c>
      <c r="P283" s="52" t="str">
        <f t="shared" si="79"/>
        <v>DS - Yandi Setiawan</v>
      </c>
      <c r="Q283" s="52" t="str">
        <f t="shared" si="74"/>
        <v>KPS-10-10</v>
      </c>
    </row>
    <row r="284" spans="1:17" x14ac:dyDescent="0.35">
      <c r="A284" s="52" t="s">
        <v>6063</v>
      </c>
      <c r="C284" s="52" t="str">
        <f>"""TRUST Nav"",""HSPMTB2016"",""17"",""1"",""122048"""</f>
        <v>"TRUST Nav","HSPMTB2016","17","1","122048"</v>
      </c>
      <c r="D284" s="52" t="str">
        <f t="shared" si="77"/>
        <v>Customer</v>
      </c>
      <c r="I284" s="52" t="str">
        <f t="shared" si="75"/>
        <v>KK-05056|42522</v>
      </c>
      <c r="J284" s="82">
        <v>42547</v>
      </c>
      <c r="K284" s="52" t="str">
        <f t="shared" si="76"/>
        <v>Customer</v>
      </c>
      <c r="L284" s="52" t="str">
        <f t="shared" si="78"/>
        <v>KK-05056</v>
      </c>
      <c r="M284" s="52" t="s">
        <v>21007</v>
      </c>
      <c r="N284" s="2">
        <v>25000.000000000004</v>
      </c>
      <c r="O284" s="82">
        <v>42522</v>
      </c>
      <c r="P284" s="52" t="str">
        <f t="shared" si="79"/>
        <v>DS - Yandi Setiawan</v>
      </c>
      <c r="Q284" s="52" t="str">
        <f t="shared" si="74"/>
        <v>KPS-10-10</v>
      </c>
    </row>
    <row r="285" spans="1:17" x14ac:dyDescent="0.35">
      <c r="A285" s="52" t="s">
        <v>6063</v>
      </c>
      <c r="C285" s="52" t="str">
        <f>"""TRUST Nav"",""HSPMTB2016"",""17"",""1"",""122049"""</f>
        <v>"TRUST Nav","HSPMTB2016","17","1","122049"</v>
      </c>
      <c r="D285" s="52" t="str">
        <f t="shared" si="77"/>
        <v>Customer</v>
      </c>
      <c r="I285" s="52" t="str">
        <f t="shared" si="75"/>
        <v>KK-04624|42552</v>
      </c>
      <c r="J285" s="82">
        <v>42547</v>
      </c>
      <c r="K285" s="52" t="str">
        <f t="shared" si="76"/>
        <v>Customer</v>
      </c>
      <c r="L285" s="52" t="str">
        <f>"KK-04624"</f>
        <v>KK-04624</v>
      </c>
      <c r="M285" s="52" t="s">
        <v>21001</v>
      </c>
      <c r="N285" s="2">
        <v>40000</v>
      </c>
      <c r="O285" s="82">
        <v>42552</v>
      </c>
      <c r="P285" s="52" t="str">
        <f>"DS - Yohanes Hendy Setiawan"</f>
        <v>DS - Yohanes Hendy Setiawan</v>
      </c>
      <c r="Q285" s="52" t="str">
        <f t="shared" si="74"/>
        <v>KPS-10-10</v>
      </c>
    </row>
    <row r="286" spans="1:17" x14ac:dyDescent="0.35">
      <c r="A286" s="52" t="s">
        <v>6063</v>
      </c>
      <c r="C286" s="52" t="str">
        <f>"""TRUST Nav"",""HSPMTB2016"",""17"",""1"",""122050"""</f>
        <v>"TRUST Nav","HSPMTB2016","17","1","122050"</v>
      </c>
      <c r="D286" s="52" t="str">
        <f t="shared" si="77"/>
        <v>Customer</v>
      </c>
      <c r="I286" s="52" t="str">
        <f t="shared" si="75"/>
        <v>KK-04624|42583</v>
      </c>
      <c r="J286" s="82">
        <v>42547</v>
      </c>
      <c r="K286" s="52" t="str">
        <f t="shared" si="76"/>
        <v>Customer</v>
      </c>
      <c r="L286" s="52" t="str">
        <f>"KK-04624"</f>
        <v>KK-04624</v>
      </c>
      <c r="M286" s="52" t="s">
        <v>21001</v>
      </c>
      <c r="N286" s="2">
        <v>40000</v>
      </c>
      <c r="O286" s="82">
        <v>42583</v>
      </c>
      <c r="P286" s="52" t="str">
        <f>"DS - Yohanes Hendy Setiawan"</f>
        <v>DS - Yohanes Hendy Setiawan</v>
      </c>
      <c r="Q286" s="52" t="str">
        <f t="shared" si="74"/>
        <v>KPS-10-10</v>
      </c>
    </row>
    <row r="287" spans="1:17" x14ac:dyDescent="0.35">
      <c r="A287" s="52" t="s">
        <v>6063</v>
      </c>
      <c r="C287" s="52" t="str">
        <f>"""TRUST Nav"",""HSPMTB2016"",""17"",""1"",""122051"""</f>
        <v>"TRUST Nav","HSPMTB2016","17","1","122051"</v>
      </c>
      <c r="D287" s="52" t="str">
        <f t="shared" si="77"/>
        <v>Customer</v>
      </c>
      <c r="I287" s="52" t="str">
        <f t="shared" si="75"/>
        <v>KK-04624|42614</v>
      </c>
      <c r="J287" s="82">
        <v>42547</v>
      </c>
      <c r="K287" s="52" t="str">
        <f t="shared" si="76"/>
        <v>Customer</v>
      </c>
      <c r="L287" s="52" t="str">
        <f>"KK-04624"</f>
        <v>KK-04624</v>
      </c>
      <c r="M287" s="52" t="s">
        <v>21001</v>
      </c>
      <c r="N287" s="2">
        <v>40000</v>
      </c>
      <c r="O287" s="82">
        <v>42614</v>
      </c>
      <c r="P287" s="52" t="str">
        <f>"DS - Yohanes Hendy Setiawan"</f>
        <v>DS - Yohanes Hendy Setiawan</v>
      </c>
      <c r="Q287" s="52" t="str">
        <f t="shared" si="74"/>
        <v>KPS-10-10</v>
      </c>
    </row>
    <row r="288" spans="1:17" x14ac:dyDescent="0.35">
      <c r="A288" s="52" t="s">
        <v>6063</v>
      </c>
      <c r="C288" s="52" t="str">
        <f>"""TRUST Nav"",""HSPMTB2016"",""17"",""1"",""129693"""</f>
        <v>"TRUST Nav","HSPMTB2016","17","1","129693"</v>
      </c>
      <c r="D288" s="52" t="str">
        <f t="shared" si="77"/>
        <v>Customer</v>
      </c>
      <c r="I288" s="52" t="str">
        <f t="shared" si="75"/>
        <v>KK-04599|42552</v>
      </c>
      <c r="J288" s="82">
        <v>42582</v>
      </c>
      <c r="K288" s="52" t="str">
        <f t="shared" si="76"/>
        <v>Customer</v>
      </c>
      <c r="L288" s="52" t="str">
        <f>"KK-04599"</f>
        <v>KK-04599</v>
      </c>
      <c r="M288" s="52" t="s">
        <v>20984</v>
      </c>
      <c r="N288" s="2">
        <v>50000.000000000007</v>
      </c>
      <c r="O288" s="82">
        <v>42552</v>
      </c>
      <c r="P288" s="52" t="str">
        <f>"DS - Bernardus Yogie Dirga Gunawan"</f>
        <v>DS - Bernardus Yogie Dirga Gunawan</v>
      </c>
      <c r="Q288" s="52" t="str">
        <f t="shared" si="74"/>
        <v>KPS-10-10</v>
      </c>
    </row>
    <row r="289" spans="1:17" x14ac:dyDescent="0.35">
      <c r="A289" s="52" t="s">
        <v>6063</v>
      </c>
      <c r="C289" s="52" t="str">
        <f>"""TRUST Nav"",""HSPMTB2016"",""17"",""1"",""129694"""</f>
        <v>"TRUST Nav","HSPMTB2016","17","1","129694"</v>
      </c>
      <c r="D289" s="52" t="str">
        <f t="shared" si="77"/>
        <v>Customer</v>
      </c>
      <c r="I289" s="52" t="str">
        <f t="shared" si="75"/>
        <v>KK-04599|42583</v>
      </c>
      <c r="J289" s="82">
        <v>42582</v>
      </c>
      <c r="K289" s="52" t="str">
        <f t="shared" si="76"/>
        <v>Customer</v>
      </c>
      <c r="L289" s="52" t="str">
        <f>"KK-04599"</f>
        <v>KK-04599</v>
      </c>
      <c r="M289" s="52" t="s">
        <v>20984</v>
      </c>
      <c r="N289" s="2">
        <v>50000.000000000007</v>
      </c>
      <c r="O289" s="82">
        <v>42583</v>
      </c>
      <c r="P289" s="52" t="str">
        <f>"DS - Bernardus Yogie Dirga Gunawan"</f>
        <v>DS - Bernardus Yogie Dirga Gunawan</v>
      </c>
      <c r="Q289" s="52" t="str">
        <f t="shared" si="74"/>
        <v>KPS-10-10</v>
      </c>
    </row>
    <row r="290" spans="1:17" x14ac:dyDescent="0.35">
      <c r="A290" s="52" t="s">
        <v>6063</v>
      </c>
      <c r="C290" s="52" t="str">
        <f>"""TRUST Nav"",""HSPMTB2016"",""17"",""1"",""129695"""</f>
        <v>"TRUST Nav","HSPMTB2016","17","1","129695"</v>
      </c>
      <c r="D290" s="52" t="str">
        <f t="shared" si="77"/>
        <v>Customer</v>
      </c>
      <c r="I290" s="52" t="str">
        <f t="shared" si="75"/>
        <v>KK-04599|42614</v>
      </c>
      <c r="J290" s="82">
        <v>42582</v>
      </c>
      <c r="K290" s="52" t="str">
        <f t="shared" si="76"/>
        <v>Customer</v>
      </c>
      <c r="L290" s="52" t="str">
        <f>"KK-04599"</f>
        <v>KK-04599</v>
      </c>
      <c r="M290" s="52" t="s">
        <v>20984</v>
      </c>
      <c r="N290" s="2">
        <v>50000.000000000007</v>
      </c>
      <c r="O290" s="82">
        <v>42614</v>
      </c>
      <c r="P290" s="52" t="str">
        <f>"DS - Bernardus Yogie Dirga Gunawan"</f>
        <v>DS - Bernardus Yogie Dirga Gunawan</v>
      </c>
      <c r="Q290" s="52" t="str">
        <f t="shared" si="74"/>
        <v>KPS-10-10</v>
      </c>
    </row>
    <row r="291" spans="1:17" x14ac:dyDescent="0.35">
      <c r="A291" s="52" t="s">
        <v>6063</v>
      </c>
      <c r="C291" s="52" t="str">
        <f>"""TRUST Nav"",""HSPMTB2016"",""17"",""1"",""129696"""</f>
        <v>"TRUST Nav","HSPMTB2016","17","1","129696"</v>
      </c>
      <c r="D291" s="52" t="str">
        <f t="shared" si="77"/>
        <v>Customer</v>
      </c>
      <c r="I291" s="52" t="str">
        <f t="shared" si="75"/>
        <v>KK-04601|42491</v>
      </c>
      <c r="J291" s="82">
        <v>42582</v>
      </c>
      <c r="K291" s="52" t="str">
        <f t="shared" si="76"/>
        <v>Customer</v>
      </c>
      <c r="L291" s="52" t="str">
        <f>"KK-04601"</f>
        <v>KK-04601</v>
      </c>
      <c r="M291" s="52" t="s">
        <v>20985</v>
      </c>
      <c r="N291" s="2">
        <v>20000</v>
      </c>
      <c r="O291" s="82">
        <v>42491</v>
      </c>
      <c r="P291" s="52" t="str">
        <f>"DS - Boen Yoen Tet (Teddy)"</f>
        <v>DS - Boen Yoen Tet (Teddy)</v>
      </c>
      <c r="Q291" s="52" t="str">
        <f t="shared" si="74"/>
        <v>KPS-10-10</v>
      </c>
    </row>
    <row r="292" spans="1:17" x14ac:dyDescent="0.35">
      <c r="A292" s="52" t="s">
        <v>6063</v>
      </c>
      <c r="C292" s="52" t="str">
        <f>"""TRUST Nav"",""HSPMTB2016"",""17"",""1"",""129697"""</f>
        <v>"TRUST Nav","HSPMTB2016","17","1","129697"</v>
      </c>
      <c r="D292" s="52" t="str">
        <f t="shared" si="77"/>
        <v>Customer</v>
      </c>
      <c r="I292" s="52" t="str">
        <f t="shared" si="75"/>
        <v>KK-04601|42522</v>
      </c>
      <c r="J292" s="82">
        <v>42582</v>
      </c>
      <c r="K292" s="52" t="str">
        <f t="shared" si="76"/>
        <v>Customer</v>
      </c>
      <c r="L292" s="52" t="str">
        <f>"KK-04601"</f>
        <v>KK-04601</v>
      </c>
      <c r="M292" s="52" t="s">
        <v>20985</v>
      </c>
      <c r="N292" s="2">
        <v>20000</v>
      </c>
      <c r="O292" s="82">
        <v>42522</v>
      </c>
      <c r="P292" s="52" t="str">
        <f>"DS - Boen Yoen Tet (Teddy)"</f>
        <v>DS - Boen Yoen Tet (Teddy)</v>
      </c>
      <c r="Q292" s="52" t="str">
        <f t="shared" si="74"/>
        <v>KPS-10-10</v>
      </c>
    </row>
    <row r="293" spans="1:17" x14ac:dyDescent="0.35">
      <c r="A293" s="52" t="s">
        <v>6063</v>
      </c>
      <c r="C293" s="52" t="str">
        <f>"""TRUST Nav"",""HSPMTB2016"",""17"",""1"",""129698"""</f>
        <v>"TRUST Nav","HSPMTB2016","17","1","129698"</v>
      </c>
      <c r="D293" s="52" t="str">
        <f t="shared" si="77"/>
        <v>Customer</v>
      </c>
      <c r="I293" s="52" t="str">
        <f t="shared" si="75"/>
        <v>KK-04601|42552</v>
      </c>
      <c r="J293" s="82">
        <v>42582</v>
      </c>
      <c r="K293" s="52" t="str">
        <f t="shared" si="76"/>
        <v>Customer</v>
      </c>
      <c r="L293" s="52" t="str">
        <f>"KK-04601"</f>
        <v>KK-04601</v>
      </c>
      <c r="M293" s="52" t="s">
        <v>20985</v>
      </c>
      <c r="N293" s="2">
        <v>20000</v>
      </c>
      <c r="O293" s="82">
        <v>42552</v>
      </c>
      <c r="P293" s="52" t="str">
        <f>"DS - Boen Yoen Tet (Teddy)"</f>
        <v>DS - Boen Yoen Tet (Teddy)</v>
      </c>
      <c r="Q293" s="52" t="str">
        <f t="shared" si="74"/>
        <v>KPS-10-10</v>
      </c>
    </row>
    <row r="294" spans="1:17" x14ac:dyDescent="0.35">
      <c r="A294" s="52" t="s">
        <v>6063</v>
      </c>
      <c r="C294" s="52" t="str">
        <f>"""TRUST Nav"",""HSPMTB2016"",""17"",""1"",""129699"""</f>
        <v>"TRUST Nav","HSPMTB2016","17","1","129699"</v>
      </c>
      <c r="D294" s="52" t="str">
        <f t="shared" si="77"/>
        <v>Customer</v>
      </c>
      <c r="I294" s="52" t="str">
        <f t="shared" si="75"/>
        <v>KK-04608|42552</v>
      </c>
      <c r="J294" s="82">
        <v>42582</v>
      </c>
      <c r="K294" s="52" t="str">
        <f t="shared" si="76"/>
        <v>Customer</v>
      </c>
      <c r="L294" s="52" t="str">
        <f>"KK-04608"</f>
        <v>KK-04608</v>
      </c>
      <c r="M294" s="52" t="s">
        <v>20990</v>
      </c>
      <c r="N294" s="2">
        <v>30000</v>
      </c>
      <c r="O294" s="82">
        <v>42552</v>
      </c>
      <c r="P294" s="52" t="str">
        <f>"DS - Heru Prawono"</f>
        <v>DS - Heru Prawono</v>
      </c>
      <c r="Q294" s="52" t="str">
        <f t="shared" si="74"/>
        <v>KPS-10-10</v>
      </c>
    </row>
    <row r="295" spans="1:17" x14ac:dyDescent="0.35">
      <c r="A295" s="52" t="s">
        <v>6063</v>
      </c>
      <c r="C295" s="52" t="str">
        <f>"""TRUST Nav"",""HSPMTB2016"",""17"",""1"",""129700"""</f>
        <v>"TRUST Nav","HSPMTB2016","17","1","129700"</v>
      </c>
      <c r="D295" s="52" t="str">
        <f t="shared" si="77"/>
        <v>Customer</v>
      </c>
      <c r="I295" s="52" t="str">
        <f t="shared" si="75"/>
        <v>KK-04611|42552</v>
      </c>
      <c r="J295" s="82">
        <v>42582</v>
      </c>
      <c r="K295" s="52" t="str">
        <f t="shared" si="76"/>
        <v>Customer</v>
      </c>
      <c r="L295" s="52" t="str">
        <f>"KK-04611"</f>
        <v>KK-04611</v>
      </c>
      <c r="M295" s="52" t="s">
        <v>20992</v>
      </c>
      <c r="N295" s="2">
        <v>30000</v>
      </c>
      <c r="O295" s="82">
        <v>42552</v>
      </c>
      <c r="P295" s="52" t="str">
        <f>"DS - Leonardus Tjhin Tje Ming"</f>
        <v>DS - Leonardus Tjhin Tje Ming</v>
      </c>
      <c r="Q295" s="52" t="str">
        <f t="shared" si="74"/>
        <v>KPS-10-10</v>
      </c>
    </row>
    <row r="296" spans="1:17" x14ac:dyDescent="0.35">
      <c r="A296" s="52" t="s">
        <v>6063</v>
      </c>
      <c r="C296" s="52" t="str">
        <f>"""TRUST Nav"",""HSPMTB2016"",""17"",""1"",""129701"""</f>
        <v>"TRUST Nav","HSPMTB2016","17","1","129701"</v>
      </c>
      <c r="D296" s="52" t="str">
        <f t="shared" si="77"/>
        <v>Customer</v>
      </c>
      <c r="I296" s="52" t="str">
        <f t="shared" si="75"/>
        <v>KK-04611|42583</v>
      </c>
      <c r="J296" s="82">
        <v>42582</v>
      </c>
      <c r="K296" s="52" t="str">
        <f t="shared" si="76"/>
        <v>Customer</v>
      </c>
      <c r="L296" s="52" t="str">
        <f>"KK-04611"</f>
        <v>KK-04611</v>
      </c>
      <c r="M296" s="52" t="s">
        <v>20992</v>
      </c>
      <c r="N296" s="2">
        <v>30000</v>
      </c>
      <c r="O296" s="82">
        <v>42583</v>
      </c>
      <c r="P296" s="52" t="str">
        <f>"DS - Leonardus Tjhin Tje Ming"</f>
        <v>DS - Leonardus Tjhin Tje Ming</v>
      </c>
      <c r="Q296" s="52" t="str">
        <f t="shared" si="74"/>
        <v>KPS-10-10</v>
      </c>
    </row>
    <row r="297" spans="1:17" x14ac:dyDescent="0.35">
      <c r="A297" s="52" t="s">
        <v>6063</v>
      </c>
      <c r="C297" s="52" t="str">
        <f>"""TRUST Nav"",""HSPMTB2016"",""17"",""1"",""129702"""</f>
        <v>"TRUST Nav","HSPMTB2016","17","1","129702"</v>
      </c>
      <c r="D297" s="52" t="str">
        <f t="shared" si="77"/>
        <v>Customer</v>
      </c>
      <c r="I297" s="52" t="str">
        <f t="shared" si="75"/>
        <v>KK-04611|42614</v>
      </c>
      <c r="J297" s="82">
        <v>42582</v>
      </c>
      <c r="K297" s="52" t="str">
        <f t="shared" si="76"/>
        <v>Customer</v>
      </c>
      <c r="L297" s="52" t="str">
        <f>"KK-04611"</f>
        <v>KK-04611</v>
      </c>
      <c r="M297" s="52" t="s">
        <v>20992</v>
      </c>
      <c r="N297" s="2">
        <v>30000</v>
      </c>
      <c r="O297" s="82">
        <v>42614</v>
      </c>
      <c r="P297" s="52" t="str">
        <f>"DS - Leonardus Tjhin Tje Ming"</f>
        <v>DS - Leonardus Tjhin Tje Ming</v>
      </c>
      <c r="Q297" s="52" t="str">
        <f t="shared" si="74"/>
        <v>KPS-10-10</v>
      </c>
    </row>
    <row r="298" spans="1:17" x14ac:dyDescent="0.35">
      <c r="A298" s="52" t="s">
        <v>6063</v>
      </c>
      <c r="C298" s="52" t="str">
        <f>"""TRUST Nav"",""HSPMTB2016"",""17"",""1"",""129703"""</f>
        <v>"TRUST Nav","HSPMTB2016","17","1","129703"</v>
      </c>
      <c r="D298" s="52" t="str">
        <f t="shared" si="77"/>
        <v>Customer</v>
      </c>
      <c r="I298" s="52" t="str">
        <f t="shared" si="75"/>
        <v>KK-05053|42370</v>
      </c>
      <c r="J298" s="82">
        <v>42582</v>
      </c>
      <c r="K298" s="52" t="str">
        <f t="shared" si="76"/>
        <v>Customer</v>
      </c>
      <c r="L298" s="52" t="str">
        <f t="shared" ref="L298:L309" si="80">"KK-05053"</f>
        <v>KK-05053</v>
      </c>
      <c r="M298" s="52" t="s">
        <v>21008</v>
      </c>
      <c r="N298" s="2">
        <v>500000</v>
      </c>
      <c r="O298" s="82">
        <v>42370</v>
      </c>
      <c r="P298" s="52" t="str">
        <f t="shared" ref="P298:P309" si="81">"DS - Pieter Hiu Stanley Setiono"</f>
        <v>DS - Pieter Hiu Stanley Setiono</v>
      </c>
      <c r="Q298" s="52" t="str">
        <f t="shared" si="74"/>
        <v>KPS-10-10</v>
      </c>
    </row>
    <row r="299" spans="1:17" x14ac:dyDescent="0.35">
      <c r="A299" s="52" t="s">
        <v>6063</v>
      </c>
      <c r="C299" s="52" t="str">
        <f>"""TRUST Nav"",""HSPMTB2016"",""17"",""1"",""129704"""</f>
        <v>"TRUST Nav","HSPMTB2016","17","1","129704"</v>
      </c>
      <c r="D299" s="52" t="str">
        <f t="shared" si="77"/>
        <v>Customer</v>
      </c>
      <c r="I299" s="52" t="str">
        <f t="shared" si="75"/>
        <v>KK-05053|42401</v>
      </c>
      <c r="J299" s="82">
        <v>42582</v>
      </c>
      <c r="K299" s="52" t="str">
        <f t="shared" si="76"/>
        <v>Customer</v>
      </c>
      <c r="L299" s="52" t="str">
        <f t="shared" si="80"/>
        <v>KK-05053</v>
      </c>
      <c r="M299" s="52" t="s">
        <v>21008</v>
      </c>
      <c r="N299" s="2">
        <v>500000</v>
      </c>
      <c r="O299" s="82">
        <v>42401</v>
      </c>
      <c r="P299" s="52" t="str">
        <f t="shared" si="81"/>
        <v>DS - Pieter Hiu Stanley Setiono</v>
      </c>
      <c r="Q299" s="52" t="str">
        <f t="shared" si="74"/>
        <v>KPS-10-10</v>
      </c>
    </row>
    <row r="300" spans="1:17" x14ac:dyDescent="0.35">
      <c r="A300" s="52" t="s">
        <v>6063</v>
      </c>
      <c r="C300" s="52" t="str">
        <f>"""TRUST Nav"",""HSPMTB2016"",""17"",""1"",""129705"""</f>
        <v>"TRUST Nav","HSPMTB2016","17","1","129705"</v>
      </c>
      <c r="D300" s="52" t="str">
        <f t="shared" si="77"/>
        <v>Customer</v>
      </c>
      <c r="I300" s="52" t="str">
        <f t="shared" si="75"/>
        <v>KK-05053|42430</v>
      </c>
      <c r="J300" s="82">
        <v>42582</v>
      </c>
      <c r="K300" s="52" t="str">
        <f t="shared" si="76"/>
        <v>Customer</v>
      </c>
      <c r="L300" s="52" t="str">
        <f t="shared" si="80"/>
        <v>KK-05053</v>
      </c>
      <c r="M300" s="52" t="s">
        <v>21008</v>
      </c>
      <c r="N300" s="2">
        <v>500000</v>
      </c>
      <c r="O300" s="82">
        <v>42430</v>
      </c>
      <c r="P300" s="52" t="str">
        <f t="shared" si="81"/>
        <v>DS - Pieter Hiu Stanley Setiono</v>
      </c>
      <c r="Q300" s="52" t="str">
        <f t="shared" si="74"/>
        <v>KPS-10-10</v>
      </c>
    </row>
    <row r="301" spans="1:17" x14ac:dyDescent="0.35">
      <c r="A301" s="52" t="s">
        <v>6063</v>
      </c>
      <c r="C301" s="52" t="str">
        <f>"""TRUST Nav"",""HSPMTB2016"",""17"",""1"",""129706"""</f>
        <v>"TRUST Nav","HSPMTB2016","17","1","129706"</v>
      </c>
      <c r="D301" s="52" t="str">
        <f t="shared" si="77"/>
        <v>Customer</v>
      </c>
      <c r="I301" s="52" t="str">
        <f t="shared" si="75"/>
        <v>KK-05053|42461</v>
      </c>
      <c r="J301" s="82">
        <v>42582</v>
      </c>
      <c r="K301" s="52" t="str">
        <f t="shared" si="76"/>
        <v>Customer</v>
      </c>
      <c r="L301" s="52" t="str">
        <f t="shared" si="80"/>
        <v>KK-05053</v>
      </c>
      <c r="M301" s="52" t="s">
        <v>21008</v>
      </c>
      <c r="N301" s="2">
        <v>500000</v>
      </c>
      <c r="O301" s="82">
        <v>42461</v>
      </c>
      <c r="P301" s="52" t="str">
        <f t="shared" si="81"/>
        <v>DS - Pieter Hiu Stanley Setiono</v>
      </c>
      <c r="Q301" s="52" t="str">
        <f t="shared" si="74"/>
        <v>KPS-10-10</v>
      </c>
    </row>
    <row r="302" spans="1:17" x14ac:dyDescent="0.35">
      <c r="A302" s="52" t="s">
        <v>6063</v>
      </c>
      <c r="C302" s="52" t="str">
        <f>"""TRUST Nav"",""HSPMTB2016"",""17"",""1"",""129707"""</f>
        <v>"TRUST Nav","HSPMTB2016","17","1","129707"</v>
      </c>
      <c r="D302" s="52" t="str">
        <f t="shared" si="77"/>
        <v>Customer</v>
      </c>
      <c r="I302" s="52" t="str">
        <f t="shared" si="75"/>
        <v>KK-05053|42491</v>
      </c>
      <c r="J302" s="82">
        <v>42582</v>
      </c>
      <c r="K302" s="52" t="str">
        <f t="shared" si="76"/>
        <v>Customer</v>
      </c>
      <c r="L302" s="52" t="str">
        <f t="shared" si="80"/>
        <v>KK-05053</v>
      </c>
      <c r="M302" s="52" t="s">
        <v>21008</v>
      </c>
      <c r="N302" s="2">
        <v>500000</v>
      </c>
      <c r="O302" s="82">
        <v>42491</v>
      </c>
      <c r="P302" s="52" t="str">
        <f t="shared" si="81"/>
        <v>DS - Pieter Hiu Stanley Setiono</v>
      </c>
      <c r="Q302" s="52" t="str">
        <f t="shared" si="74"/>
        <v>KPS-10-10</v>
      </c>
    </row>
    <row r="303" spans="1:17" x14ac:dyDescent="0.35">
      <c r="A303" s="52" t="s">
        <v>6063</v>
      </c>
      <c r="C303" s="52" t="str">
        <f>"""TRUST Nav"",""HSPMTB2016"",""17"",""1"",""129708"""</f>
        <v>"TRUST Nav","HSPMTB2016","17","1","129708"</v>
      </c>
      <c r="D303" s="52" t="str">
        <f t="shared" si="77"/>
        <v>Customer</v>
      </c>
      <c r="I303" s="52" t="str">
        <f t="shared" si="75"/>
        <v>KK-05053|42522</v>
      </c>
      <c r="J303" s="82">
        <v>42582</v>
      </c>
      <c r="K303" s="52" t="str">
        <f t="shared" si="76"/>
        <v>Customer</v>
      </c>
      <c r="L303" s="52" t="str">
        <f t="shared" si="80"/>
        <v>KK-05053</v>
      </c>
      <c r="M303" s="52" t="s">
        <v>21008</v>
      </c>
      <c r="N303" s="2">
        <v>500000</v>
      </c>
      <c r="O303" s="82">
        <v>42522</v>
      </c>
      <c r="P303" s="52" t="str">
        <f t="shared" si="81"/>
        <v>DS - Pieter Hiu Stanley Setiono</v>
      </c>
      <c r="Q303" s="52" t="str">
        <f t="shared" si="74"/>
        <v>KPS-10-10</v>
      </c>
    </row>
    <row r="304" spans="1:17" x14ac:dyDescent="0.35">
      <c r="A304" s="52" t="s">
        <v>6063</v>
      </c>
      <c r="C304" s="52" t="str">
        <f>"""TRUST Nav"",""HSPMTB2016"",""17"",""1"",""129709"""</f>
        <v>"TRUST Nav","HSPMTB2016","17","1","129709"</v>
      </c>
      <c r="D304" s="52" t="str">
        <f t="shared" si="77"/>
        <v>Customer</v>
      </c>
      <c r="I304" s="52" t="str">
        <f t="shared" si="75"/>
        <v>KK-05053|42552</v>
      </c>
      <c r="J304" s="82">
        <v>42582</v>
      </c>
      <c r="K304" s="52" t="str">
        <f t="shared" si="76"/>
        <v>Customer</v>
      </c>
      <c r="L304" s="52" t="str">
        <f t="shared" si="80"/>
        <v>KK-05053</v>
      </c>
      <c r="M304" s="52" t="s">
        <v>21008</v>
      </c>
      <c r="N304" s="2">
        <v>500000</v>
      </c>
      <c r="O304" s="82">
        <v>42552</v>
      </c>
      <c r="P304" s="52" t="str">
        <f t="shared" si="81"/>
        <v>DS - Pieter Hiu Stanley Setiono</v>
      </c>
      <c r="Q304" s="52" t="str">
        <f t="shared" si="74"/>
        <v>KPS-10-10</v>
      </c>
    </row>
    <row r="305" spans="1:17" x14ac:dyDescent="0.35">
      <c r="A305" s="52" t="s">
        <v>6063</v>
      </c>
      <c r="C305" s="52" t="str">
        <f>"""TRUST Nav"",""HSPMTB2016"",""17"",""1"",""129710"""</f>
        <v>"TRUST Nav","HSPMTB2016","17","1","129710"</v>
      </c>
      <c r="D305" s="52" t="str">
        <f t="shared" si="77"/>
        <v>Customer</v>
      </c>
      <c r="I305" s="52" t="str">
        <f t="shared" si="75"/>
        <v>KK-05053|42583</v>
      </c>
      <c r="J305" s="82">
        <v>42582</v>
      </c>
      <c r="K305" s="52" t="str">
        <f t="shared" si="76"/>
        <v>Customer</v>
      </c>
      <c r="L305" s="52" t="str">
        <f t="shared" si="80"/>
        <v>KK-05053</v>
      </c>
      <c r="M305" s="52" t="s">
        <v>21008</v>
      </c>
      <c r="N305" s="2">
        <v>500000</v>
      </c>
      <c r="O305" s="82">
        <v>42583</v>
      </c>
      <c r="P305" s="52" t="str">
        <f t="shared" si="81"/>
        <v>DS - Pieter Hiu Stanley Setiono</v>
      </c>
      <c r="Q305" s="52" t="str">
        <f t="shared" si="74"/>
        <v>KPS-10-10</v>
      </c>
    </row>
    <row r="306" spans="1:17" x14ac:dyDescent="0.35">
      <c r="A306" s="52" t="s">
        <v>6063</v>
      </c>
      <c r="C306" s="52" t="str">
        <f>"""TRUST Nav"",""HSPMTB2016"",""17"",""1"",""129711"""</f>
        <v>"TRUST Nav","HSPMTB2016","17","1","129711"</v>
      </c>
      <c r="D306" s="52" t="str">
        <f t="shared" si="77"/>
        <v>Customer</v>
      </c>
      <c r="I306" s="52" t="str">
        <f t="shared" si="75"/>
        <v>KK-05053|42614</v>
      </c>
      <c r="J306" s="82">
        <v>42582</v>
      </c>
      <c r="K306" s="52" t="str">
        <f t="shared" si="76"/>
        <v>Customer</v>
      </c>
      <c r="L306" s="52" t="str">
        <f t="shared" si="80"/>
        <v>KK-05053</v>
      </c>
      <c r="M306" s="52" t="s">
        <v>21008</v>
      </c>
      <c r="N306" s="2">
        <v>500000</v>
      </c>
      <c r="O306" s="82">
        <v>42614</v>
      </c>
      <c r="P306" s="52" t="str">
        <f t="shared" si="81"/>
        <v>DS - Pieter Hiu Stanley Setiono</v>
      </c>
      <c r="Q306" s="52" t="str">
        <f t="shared" si="74"/>
        <v>KPS-10-10</v>
      </c>
    </row>
    <row r="307" spans="1:17" x14ac:dyDescent="0.35">
      <c r="A307" s="52" t="s">
        <v>6063</v>
      </c>
      <c r="C307" s="52" t="str">
        <f>"""TRUST Nav"",""HSPMTB2016"",""17"",""1"",""129712"""</f>
        <v>"TRUST Nav","HSPMTB2016","17","1","129712"</v>
      </c>
      <c r="D307" s="52" t="str">
        <f t="shared" si="77"/>
        <v>Customer</v>
      </c>
      <c r="I307" s="52" t="str">
        <f t="shared" si="75"/>
        <v>KK-05053|42644</v>
      </c>
      <c r="J307" s="82">
        <v>42582</v>
      </c>
      <c r="K307" s="52" t="str">
        <f t="shared" si="76"/>
        <v>Customer</v>
      </c>
      <c r="L307" s="52" t="str">
        <f t="shared" si="80"/>
        <v>KK-05053</v>
      </c>
      <c r="M307" s="52" t="s">
        <v>21008</v>
      </c>
      <c r="N307" s="2">
        <v>500000</v>
      </c>
      <c r="O307" s="82">
        <v>42644</v>
      </c>
      <c r="P307" s="52" t="str">
        <f t="shared" si="81"/>
        <v>DS - Pieter Hiu Stanley Setiono</v>
      </c>
      <c r="Q307" s="52" t="str">
        <f t="shared" si="74"/>
        <v>KPS-10-10</v>
      </c>
    </row>
    <row r="308" spans="1:17" x14ac:dyDescent="0.35">
      <c r="A308" s="52" t="s">
        <v>6063</v>
      </c>
      <c r="C308" s="52" t="str">
        <f>"""TRUST Nav"",""HSPMTB2016"",""17"",""1"",""129713"""</f>
        <v>"TRUST Nav","HSPMTB2016","17","1","129713"</v>
      </c>
      <c r="D308" s="52" t="str">
        <f t="shared" ref="D308:D323" si="82">"Customer"</f>
        <v>Customer</v>
      </c>
      <c r="I308" s="52" t="str">
        <f t="shared" si="75"/>
        <v>KK-05053|42675</v>
      </c>
      <c r="J308" s="82">
        <v>42582</v>
      </c>
      <c r="K308" s="52" t="str">
        <f t="shared" si="76"/>
        <v>Customer</v>
      </c>
      <c r="L308" s="52" t="str">
        <f t="shared" si="80"/>
        <v>KK-05053</v>
      </c>
      <c r="M308" s="52" t="s">
        <v>21008</v>
      </c>
      <c r="N308" s="2">
        <v>500000</v>
      </c>
      <c r="O308" s="82">
        <v>42675</v>
      </c>
      <c r="P308" s="52" t="str">
        <f t="shared" si="81"/>
        <v>DS - Pieter Hiu Stanley Setiono</v>
      </c>
      <c r="Q308" s="52" t="str">
        <f t="shared" si="74"/>
        <v>KPS-10-10</v>
      </c>
    </row>
    <row r="309" spans="1:17" x14ac:dyDescent="0.35">
      <c r="A309" s="52" t="s">
        <v>6063</v>
      </c>
      <c r="C309" s="52" t="str">
        <f>"""TRUST Nav"",""HSPMTB2016"",""17"",""1"",""129714"""</f>
        <v>"TRUST Nav","HSPMTB2016","17","1","129714"</v>
      </c>
      <c r="D309" s="52" t="str">
        <f t="shared" si="82"/>
        <v>Customer</v>
      </c>
      <c r="I309" s="52" t="str">
        <f t="shared" si="75"/>
        <v>KK-05053|42705</v>
      </c>
      <c r="J309" s="82">
        <v>42582</v>
      </c>
      <c r="K309" s="52" t="str">
        <f t="shared" si="76"/>
        <v>Customer</v>
      </c>
      <c r="L309" s="52" t="str">
        <f t="shared" si="80"/>
        <v>KK-05053</v>
      </c>
      <c r="M309" s="52" t="s">
        <v>21008</v>
      </c>
      <c r="N309" s="2">
        <v>500000</v>
      </c>
      <c r="O309" s="82">
        <v>42705</v>
      </c>
      <c r="P309" s="52" t="str">
        <f t="shared" si="81"/>
        <v>DS - Pieter Hiu Stanley Setiono</v>
      </c>
      <c r="Q309" s="52" t="str">
        <f t="shared" si="74"/>
        <v>KPS-10-10</v>
      </c>
    </row>
    <row r="310" spans="1:17" x14ac:dyDescent="0.35">
      <c r="A310" s="52" t="s">
        <v>6063</v>
      </c>
      <c r="C310" s="52" t="str">
        <f>"""TRUST Nav"",""HSPMTB2016"",""17"",""1"",""138821"""</f>
        <v>"TRUST Nav","HSPMTB2016","17","1","138821"</v>
      </c>
      <c r="D310" s="52" t="str">
        <f t="shared" si="82"/>
        <v>Customer</v>
      </c>
      <c r="I310" s="52" t="str">
        <f t="shared" si="75"/>
        <v>KK-04597|42552</v>
      </c>
      <c r="J310" s="82">
        <v>42610</v>
      </c>
      <c r="K310" s="52" t="str">
        <f t="shared" si="76"/>
        <v>Customer</v>
      </c>
      <c r="L310" s="52" t="str">
        <f>"KK-04597"</f>
        <v>KK-04597</v>
      </c>
      <c r="M310" s="52" t="s">
        <v>20982</v>
      </c>
      <c r="N310" s="2">
        <v>20000</v>
      </c>
      <c r="O310" s="82">
        <v>42552</v>
      </c>
      <c r="P310" s="52" t="str">
        <f>"DS - Arief Wibawa"</f>
        <v>DS - Arief Wibawa</v>
      </c>
      <c r="Q310" s="52" t="str">
        <f t="shared" si="74"/>
        <v>KPS-10-10</v>
      </c>
    </row>
    <row r="311" spans="1:17" x14ac:dyDescent="0.35">
      <c r="A311" s="52" t="s">
        <v>6063</v>
      </c>
      <c r="C311" s="52" t="str">
        <f>"""TRUST Nav"",""HSPMTB2016"",""17"",""1"",""138822"""</f>
        <v>"TRUST Nav","HSPMTB2016","17","1","138822"</v>
      </c>
      <c r="D311" s="52" t="str">
        <f t="shared" si="82"/>
        <v>Customer</v>
      </c>
      <c r="I311" s="52" t="str">
        <f t="shared" si="75"/>
        <v>KK-04597|42583</v>
      </c>
      <c r="J311" s="82">
        <v>42610</v>
      </c>
      <c r="K311" s="52" t="str">
        <f t="shared" si="76"/>
        <v>Customer</v>
      </c>
      <c r="L311" s="52" t="str">
        <f>"KK-04597"</f>
        <v>KK-04597</v>
      </c>
      <c r="M311" s="52" t="s">
        <v>20982</v>
      </c>
      <c r="N311" s="2">
        <v>20000</v>
      </c>
      <c r="O311" s="82">
        <v>42583</v>
      </c>
      <c r="P311" s="52" t="str">
        <f>"DS - Arief Wibawa"</f>
        <v>DS - Arief Wibawa</v>
      </c>
      <c r="Q311" s="52" t="str">
        <f t="shared" si="74"/>
        <v>KPS-10-10</v>
      </c>
    </row>
    <row r="312" spans="1:17" x14ac:dyDescent="0.35">
      <c r="A312" s="52" t="s">
        <v>6063</v>
      </c>
      <c r="C312" s="52" t="str">
        <f>"""TRUST Nav"",""HSPMTB2016"",""17"",""1"",""138823"""</f>
        <v>"TRUST Nav","HSPMTB2016","17","1","138823"</v>
      </c>
      <c r="D312" s="52" t="str">
        <f t="shared" si="82"/>
        <v>Customer</v>
      </c>
      <c r="I312" s="52" t="str">
        <f t="shared" si="75"/>
        <v>KK-04597|42614</v>
      </c>
      <c r="J312" s="82">
        <v>42610</v>
      </c>
      <c r="K312" s="52" t="str">
        <f t="shared" si="76"/>
        <v>Customer</v>
      </c>
      <c r="L312" s="52" t="str">
        <f>"KK-04597"</f>
        <v>KK-04597</v>
      </c>
      <c r="M312" s="52" t="s">
        <v>20982</v>
      </c>
      <c r="N312" s="2">
        <v>20000</v>
      </c>
      <c r="O312" s="82">
        <v>42614</v>
      </c>
      <c r="P312" s="52" t="str">
        <f>"DS - Arief Wibawa"</f>
        <v>DS - Arief Wibawa</v>
      </c>
      <c r="Q312" s="52" t="str">
        <f t="shared" si="74"/>
        <v>KPS-10-10</v>
      </c>
    </row>
    <row r="313" spans="1:17" x14ac:dyDescent="0.35">
      <c r="A313" s="52" t="s">
        <v>6063</v>
      </c>
      <c r="C313" s="52" t="str">
        <f>"""TRUST Nav"",""HSPMTB2016"",""17"",""1"",""138824"""</f>
        <v>"TRUST Nav","HSPMTB2016","17","1","138824"</v>
      </c>
      <c r="D313" s="52" t="str">
        <f t="shared" si="82"/>
        <v>Customer</v>
      </c>
      <c r="I313" s="52" t="str">
        <f t="shared" si="75"/>
        <v>KK-04607|42522</v>
      </c>
      <c r="J313" s="82">
        <v>42610</v>
      </c>
      <c r="K313" s="52" t="str">
        <f t="shared" si="76"/>
        <v>Customer</v>
      </c>
      <c r="L313" s="52" t="str">
        <f>"KK-04607"</f>
        <v>KK-04607</v>
      </c>
      <c r="M313" s="52" t="s">
        <v>20989</v>
      </c>
      <c r="N313" s="2">
        <v>150000</v>
      </c>
      <c r="O313" s="82">
        <v>42522</v>
      </c>
      <c r="P313" s="52" t="str">
        <f>"DS - Hendro Hartono"</f>
        <v>DS - Hendro Hartono</v>
      </c>
      <c r="Q313" s="52" t="str">
        <f t="shared" si="74"/>
        <v>KPS-10-10</v>
      </c>
    </row>
    <row r="314" spans="1:17" x14ac:dyDescent="0.35">
      <c r="A314" s="52" t="s">
        <v>6063</v>
      </c>
      <c r="C314" s="52" t="str">
        <f>"""TRUST Nav"",""HSPMTB2016"",""17"",""1"",""138825"""</f>
        <v>"TRUST Nav","HSPMTB2016","17","1","138825"</v>
      </c>
      <c r="D314" s="52" t="str">
        <f t="shared" si="82"/>
        <v>Customer</v>
      </c>
      <c r="I314" s="52" t="str">
        <f t="shared" si="75"/>
        <v>KK-04607|42552</v>
      </c>
      <c r="J314" s="82">
        <v>42610</v>
      </c>
      <c r="K314" s="52" t="str">
        <f t="shared" si="76"/>
        <v>Customer</v>
      </c>
      <c r="L314" s="52" t="str">
        <f>"KK-04607"</f>
        <v>KK-04607</v>
      </c>
      <c r="M314" s="52" t="s">
        <v>20989</v>
      </c>
      <c r="N314" s="2">
        <v>150000</v>
      </c>
      <c r="O314" s="82">
        <v>42552</v>
      </c>
      <c r="P314" s="52" t="str">
        <f>"DS - Hendro Hartono"</f>
        <v>DS - Hendro Hartono</v>
      </c>
      <c r="Q314" s="52" t="str">
        <f t="shared" si="74"/>
        <v>KPS-10-10</v>
      </c>
    </row>
    <row r="315" spans="1:17" x14ac:dyDescent="0.35">
      <c r="A315" s="52" t="s">
        <v>6063</v>
      </c>
      <c r="C315" s="52" t="str">
        <f>"""TRUST Nav"",""HSPMTB2016"",""17"",""1"",""138826"""</f>
        <v>"TRUST Nav","HSPMTB2016","17","1","138826"</v>
      </c>
      <c r="D315" s="52" t="str">
        <f t="shared" si="82"/>
        <v>Customer</v>
      </c>
      <c r="I315" s="52" t="str">
        <f t="shared" si="75"/>
        <v>KK-04608|42583</v>
      </c>
      <c r="J315" s="82">
        <v>42610</v>
      </c>
      <c r="K315" s="52" t="str">
        <f t="shared" si="76"/>
        <v>Customer</v>
      </c>
      <c r="L315" s="52" t="str">
        <f>"KK-04608"</f>
        <v>KK-04608</v>
      </c>
      <c r="M315" s="52" t="s">
        <v>20990</v>
      </c>
      <c r="N315" s="2">
        <v>30000</v>
      </c>
      <c r="O315" s="82">
        <v>42583</v>
      </c>
      <c r="P315" s="52" t="str">
        <f>"DS - Heru Prawono"</f>
        <v>DS - Heru Prawono</v>
      </c>
      <c r="Q315" s="52" t="str">
        <f t="shared" si="74"/>
        <v>KPS-10-10</v>
      </c>
    </row>
    <row r="316" spans="1:17" x14ac:dyDescent="0.35">
      <c r="A316" s="52" t="s">
        <v>6063</v>
      </c>
      <c r="C316" s="52" t="str">
        <f>"""TRUST Nav"",""HSPMTB2016"",""17"",""1"",""138827"""</f>
        <v>"TRUST Nav","HSPMTB2016","17","1","138827"</v>
      </c>
      <c r="D316" s="52" t="str">
        <f t="shared" si="82"/>
        <v>Customer</v>
      </c>
      <c r="I316" s="52" t="str">
        <f t="shared" si="75"/>
        <v>KK-04613|42491</v>
      </c>
      <c r="J316" s="82">
        <v>42610</v>
      </c>
      <c r="K316" s="52" t="str">
        <f t="shared" si="76"/>
        <v>Customer</v>
      </c>
      <c r="L316" s="52" t="str">
        <f>"KK-04613"</f>
        <v>KK-04613</v>
      </c>
      <c r="M316" s="52" t="s">
        <v>20994</v>
      </c>
      <c r="N316" s="2">
        <v>20000</v>
      </c>
      <c r="O316" s="82">
        <v>42491</v>
      </c>
      <c r="P316" s="52" t="str">
        <f>"DS - Ignatius Yanto Hardoyo"</f>
        <v>DS - Ignatius Yanto Hardoyo</v>
      </c>
      <c r="Q316" s="52" t="str">
        <f t="shared" si="74"/>
        <v>KPS-10-10</v>
      </c>
    </row>
    <row r="317" spans="1:17" x14ac:dyDescent="0.35">
      <c r="A317" s="52" t="s">
        <v>6063</v>
      </c>
      <c r="C317" s="52" t="str">
        <f>"""TRUST Nav"",""HSPMTB2016"",""17"",""1"",""138828"""</f>
        <v>"TRUST Nav","HSPMTB2016","17","1","138828"</v>
      </c>
      <c r="D317" s="52" t="str">
        <f t="shared" si="82"/>
        <v>Customer</v>
      </c>
      <c r="I317" s="52" t="str">
        <f t="shared" si="75"/>
        <v>KK-04613|42522</v>
      </c>
      <c r="J317" s="82">
        <v>42610</v>
      </c>
      <c r="K317" s="52" t="str">
        <f t="shared" si="76"/>
        <v>Customer</v>
      </c>
      <c r="L317" s="52" t="str">
        <f>"KK-04613"</f>
        <v>KK-04613</v>
      </c>
      <c r="M317" s="52" t="s">
        <v>20994</v>
      </c>
      <c r="N317" s="2">
        <v>20000</v>
      </c>
      <c r="O317" s="82">
        <v>42522</v>
      </c>
      <c r="P317" s="52" t="str">
        <f>"DS - Ignatius Yanto Hardoyo"</f>
        <v>DS - Ignatius Yanto Hardoyo</v>
      </c>
      <c r="Q317" s="52" t="str">
        <f t="shared" si="74"/>
        <v>KPS-10-10</v>
      </c>
    </row>
    <row r="318" spans="1:17" x14ac:dyDescent="0.35">
      <c r="A318" s="52" t="s">
        <v>6063</v>
      </c>
      <c r="C318" s="52" t="str">
        <f>"""TRUST Nav"",""HSPMTB2016"",""17"",""1"",""138829"""</f>
        <v>"TRUST Nav","HSPMTB2016","17","1","138829"</v>
      </c>
      <c r="D318" s="52" t="str">
        <f t="shared" si="82"/>
        <v>Customer</v>
      </c>
      <c r="I318" s="52" t="str">
        <f t="shared" si="75"/>
        <v>KK-04613|42552</v>
      </c>
      <c r="J318" s="82">
        <v>42610</v>
      </c>
      <c r="K318" s="52" t="str">
        <f t="shared" si="76"/>
        <v>Customer</v>
      </c>
      <c r="L318" s="52" t="str">
        <f>"KK-04613"</f>
        <v>KK-04613</v>
      </c>
      <c r="M318" s="52" t="s">
        <v>20994</v>
      </c>
      <c r="N318" s="2">
        <v>20000</v>
      </c>
      <c r="O318" s="82">
        <v>42552</v>
      </c>
      <c r="P318" s="52" t="str">
        <f>"DS - Ignatius Yanto Hardoyo"</f>
        <v>DS - Ignatius Yanto Hardoyo</v>
      </c>
      <c r="Q318" s="52" t="str">
        <f t="shared" si="74"/>
        <v>KPS-10-10</v>
      </c>
    </row>
    <row r="319" spans="1:17" x14ac:dyDescent="0.35">
      <c r="A319" s="52" t="s">
        <v>6063</v>
      </c>
      <c r="C319" s="52" t="str">
        <f>"""TRUST Nav"",""HSPMTB2016"",""17"",""1"",""138830"""</f>
        <v>"TRUST Nav","HSPMTB2016","17","1","138830"</v>
      </c>
      <c r="D319" s="52" t="str">
        <f t="shared" si="82"/>
        <v>Customer</v>
      </c>
      <c r="I319" s="52" t="str">
        <f t="shared" si="75"/>
        <v>KK-04613|42583</v>
      </c>
      <c r="J319" s="82">
        <v>42610</v>
      </c>
      <c r="K319" s="52" t="str">
        <f t="shared" si="76"/>
        <v>Customer</v>
      </c>
      <c r="L319" s="52" t="str">
        <f>"KK-04613"</f>
        <v>KK-04613</v>
      </c>
      <c r="M319" s="52" t="s">
        <v>20994</v>
      </c>
      <c r="N319" s="2">
        <v>20000</v>
      </c>
      <c r="O319" s="82">
        <v>42583</v>
      </c>
      <c r="P319" s="52" t="str">
        <f>"DS - Ignatius Yanto Hardoyo"</f>
        <v>DS - Ignatius Yanto Hardoyo</v>
      </c>
      <c r="Q319" s="52" t="str">
        <f t="shared" si="74"/>
        <v>KPS-10-10</v>
      </c>
    </row>
    <row r="320" spans="1:17" x14ac:dyDescent="0.35">
      <c r="A320" s="52" t="s">
        <v>6063</v>
      </c>
      <c r="C320" s="52" t="str">
        <f>"""TRUST Nav"",""HSPMTB2016"",""17"",""1"",""138831"""</f>
        <v>"TRUST Nav","HSPMTB2016","17","1","138831"</v>
      </c>
      <c r="D320" s="52" t="str">
        <f t="shared" si="82"/>
        <v>Customer</v>
      </c>
      <c r="I320" s="52" t="str">
        <f t="shared" si="75"/>
        <v>KK-04616|42491</v>
      </c>
      <c r="J320" s="82">
        <v>42610</v>
      </c>
      <c r="K320" s="52" t="str">
        <f t="shared" si="76"/>
        <v>Customer</v>
      </c>
      <c r="L320" s="52" t="str">
        <f>"KK-04616"</f>
        <v>KK-04616</v>
      </c>
      <c r="M320" s="52" t="s">
        <v>20995</v>
      </c>
      <c r="N320" s="2">
        <v>50000.000000000007</v>
      </c>
      <c r="O320" s="82">
        <v>42491</v>
      </c>
      <c r="P320" s="52" t="str">
        <f>"DS - Purnama Tanuseputra"</f>
        <v>DS - Purnama Tanuseputra</v>
      </c>
      <c r="Q320" s="52" t="str">
        <f t="shared" si="74"/>
        <v>KPS-10-10</v>
      </c>
    </row>
    <row r="321" spans="1:17" x14ac:dyDescent="0.35">
      <c r="A321" s="52" t="s">
        <v>6063</v>
      </c>
      <c r="C321" s="52" t="str">
        <f>"""TRUST Nav"",""HSPMTB2016"",""17"",""1"",""138832"""</f>
        <v>"TRUST Nav","HSPMTB2016","17","1","138832"</v>
      </c>
      <c r="D321" s="52" t="str">
        <f t="shared" si="82"/>
        <v>Customer</v>
      </c>
      <c r="I321" s="52" t="str">
        <f t="shared" si="75"/>
        <v>KK-04616|42522</v>
      </c>
      <c r="J321" s="82">
        <v>42610</v>
      </c>
      <c r="K321" s="52" t="str">
        <f t="shared" si="76"/>
        <v>Customer</v>
      </c>
      <c r="L321" s="52" t="str">
        <f>"KK-04616"</f>
        <v>KK-04616</v>
      </c>
      <c r="M321" s="52" t="s">
        <v>20995</v>
      </c>
      <c r="N321" s="2">
        <v>50000.000000000007</v>
      </c>
      <c r="O321" s="82">
        <v>42522</v>
      </c>
      <c r="P321" s="52" t="str">
        <f>"DS - Purnama Tanuseputra"</f>
        <v>DS - Purnama Tanuseputra</v>
      </c>
      <c r="Q321" s="52" t="str">
        <f t="shared" si="74"/>
        <v>KPS-10-10</v>
      </c>
    </row>
    <row r="322" spans="1:17" x14ac:dyDescent="0.35">
      <c r="A322" s="52" t="s">
        <v>6063</v>
      </c>
      <c r="C322" s="52" t="str">
        <f>"""TRUST Nav"",""HSPMTB2016"",""17"",""1"",""138833"""</f>
        <v>"TRUST Nav","HSPMTB2016","17","1","138833"</v>
      </c>
      <c r="D322" s="52" t="str">
        <f t="shared" si="82"/>
        <v>Customer</v>
      </c>
      <c r="I322" s="52" t="str">
        <f t="shared" si="75"/>
        <v>KK-04616|42552</v>
      </c>
      <c r="J322" s="82">
        <v>42610</v>
      </c>
      <c r="K322" s="52" t="str">
        <f t="shared" si="76"/>
        <v>Customer</v>
      </c>
      <c r="L322" s="52" t="str">
        <f>"KK-04616"</f>
        <v>KK-04616</v>
      </c>
      <c r="M322" s="52" t="s">
        <v>20995</v>
      </c>
      <c r="N322" s="2">
        <v>50000.000000000007</v>
      </c>
      <c r="O322" s="82">
        <v>42552</v>
      </c>
      <c r="P322" s="52" t="str">
        <f>"DS - Purnama Tanuseputra"</f>
        <v>DS - Purnama Tanuseputra</v>
      </c>
      <c r="Q322" s="52" t="str">
        <f t="shared" si="74"/>
        <v>KPS-10-10</v>
      </c>
    </row>
    <row r="323" spans="1:17" x14ac:dyDescent="0.35">
      <c r="A323" s="52" t="s">
        <v>6063</v>
      </c>
      <c r="C323" s="52" t="str">
        <f>"""TRUST Nav"",""HSPMTB2016"",""17"",""1"",""138834"""</f>
        <v>"TRUST Nav","HSPMTB2016","17","1","138834"</v>
      </c>
      <c r="D323" s="52" t="str">
        <f t="shared" si="82"/>
        <v>Customer</v>
      </c>
      <c r="I323" s="52" t="str">
        <f t="shared" si="75"/>
        <v>KK-04616|42583</v>
      </c>
      <c r="J323" s="82">
        <v>42610</v>
      </c>
      <c r="K323" s="52" t="str">
        <f t="shared" si="76"/>
        <v>Customer</v>
      </c>
      <c r="L323" s="52" t="str">
        <f>"KK-04616"</f>
        <v>KK-04616</v>
      </c>
      <c r="M323" s="52" t="s">
        <v>20995</v>
      </c>
      <c r="N323" s="2">
        <v>50000.000000000007</v>
      </c>
      <c r="O323" s="82">
        <v>42583</v>
      </c>
      <c r="P323" s="52" t="str">
        <f>"DS - Purnama Tanuseputra"</f>
        <v>DS - Purnama Tanuseputra</v>
      </c>
      <c r="Q323" s="52" t="str">
        <f t="shared" si="74"/>
        <v>KPS-10-10</v>
      </c>
    </row>
    <row r="326" spans="1:17" x14ac:dyDescent="0.35">
      <c r="I326" s="48" t="s">
        <v>51</v>
      </c>
    </row>
    <row r="327" spans="1:17" x14ac:dyDescent="0.35">
      <c r="I327" s="48" t="s">
        <v>52</v>
      </c>
    </row>
    <row r="328" spans="1:17" x14ac:dyDescent="0.35">
      <c r="I328" s="48" t="s">
        <v>53</v>
      </c>
    </row>
    <row r="329" spans="1:17" x14ac:dyDescent="0.35">
      <c r="C329" s="48" t="s">
        <v>56</v>
      </c>
      <c r="D329" s="48" t="s">
        <v>55</v>
      </c>
      <c r="I329" s="80" t="s">
        <v>37</v>
      </c>
      <c r="J329" s="80" t="s">
        <v>10</v>
      </c>
      <c r="K329" s="80" t="s">
        <v>54</v>
      </c>
      <c r="L329" s="80" t="s">
        <v>57</v>
      </c>
      <c r="M329" s="80" t="s">
        <v>9</v>
      </c>
      <c r="N329" s="80" t="s">
        <v>32</v>
      </c>
    </row>
    <row r="330" spans="1:17" x14ac:dyDescent="0.35">
      <c r="C330" s="30" t="s">
        <v>20980</v>
      </c>
      <c r="D330" s="30" t="s">
        <v>21010</v>
      </c>
      <c r="I330" s="52" t="str">
        <f>CONCATENATE(J330,"|",M330,"|",L330)</f>
        <v>KK-04597|42186|TRT-80-10</v>
      </c>
      <c r="J330" s="52" t="str">
        <f t="shared" ref="J330:J350" si="83">"KK-04597"</f>
        <v>KK-04597</v>
      </c>
      <c r="K330" s="52" t="str">
        <f t="shared" ref="K330:K350" si="84">"Arief Wibawa"</f>
        <v>Arief Wibawa</v>
      </c>
      <c r="L330" s="52" t="str">
        <f t="shared" ref="L330:L393" si="85">"TRT-80-10"</f>
        <v>TRT-80-10</v>
      </c>
      <c r="M330" s="82">
        <v>42186</v>
      </c>
      <c r="N330" s="2">
        <v>20000</v>
      </c>
    </row>
    <row r="331" spans="1:17" x14ac:dyDescent="0.35">
      <c r="A331" s="52" t="s">
        <v>6063</v>
      </c>
      <c r="C331" s="30" t="s">
        <v>20980</v>
      </c>
      <c r="D331" s="30" t="str">
        <f>"""TRUST Nav"",""HSPMTB2016"",""21"",""1"",""3442"""</f>
        <v>"TRUST Nav","HSPMTB2016","21","1","3442"</v>
      </c>
      <c r="I331" s="52" t="str">
        <f t="shared" ref="I331:I394" si="86">CONCATENATE(J331,"|",M331,"|",L331)</f>
        <v>KK-04597|42217|TRT-80-10</v>
      </c>
      <c r="J331" s="52" t="str">
        <f t="shared" si="83"/>
        <v>KK-04597</v>
      </c>
      <c r="K331" s="52" t="str">
        <f t="shared" si="84"/>
        <v>Arief Wibawa</v>
      </c>
      <c r="L331" s="52" t="str">
        <f t="shared" si="85"/>
        <v>TRT-80-10</v>
      </c>
      <c r="M331" s="82">
        <v>42217</v>
      </c>
      <c r="N331" s="2">
        <v>20000</v>
      </c>
    </row>
    <row r="332" spans="1:17" x14ac:dyDescent="0.35">
      <c r="A332" s="52" t="s">
        <v>6063</v>
      </c>
      <c r="C332" s="30" t="s">
        <v>20980</v>
      </c>
      <c r="D332" s="30" t="str">
        <f>"""TRUST Nav"",""HSPMTB2016"",""21"",""1"",""3443"""</f>
        <v>"TRUST Nav","HSPMTB2016","21","1","3443"</v>
      </c>
      <c r="I332" s="52" t="str">
        <f t="shared" si="86"/>
        <v>KK-04597|42248|TRT-80-10</v>
      </c>
      <c r="J332" s="52" t="str">
        <f t="shared" si="83"/>
        <v>KK-04597</v>
      </c>
      <c r="K332" s="52" t="str">
        <f t="shared" si="84"/>
        <v>Arief Wibawa</v>
      </c>
      <c r="L332" s="52" t="str">
        <f t="shared" si="85"/>
        <v>TRT-80-10</v>
      </c>
      <c r="M332" s="82">
        <v>42248</v>
      </c>
      <c r="N332" s="2">
        <v>20000</v>
      </c>
    </row>
    <row r="333" spans="1:17" x14ac:dyDescent="0.35">
      <c r="A333" s="52" t="s">
        <v>6063</v>
      </c>
      <c r="C333" s="30" t="s">
        <v>20980</v>
      </c>
      <c r="D333" s="30" t="str">
        <f>"""TRUST Nav"",""HSPMTB2016"",""21"",""1"",""3444"""</f>
        <v>"TRUST Nav","HSPMTB2016","21","1","3444"</v>
      </c>
      <c r="I333" s="52" t="str">
        <f t="shared" si="86"/>
        <v>KK-04597|42278|TRT-80-10</v>
      </c>
      <c r="J333" s="52" t="str">
        <f t="shared" si="83"/>
        <v>KK-04597</v>
      </c>
      <c r="K333" s="52" t="str">
        <f t="shared" si="84"/>
        <v>Arief Wibawa</v>
      </c>
      <c r="L333" s="52" t="str">
        <f t="shared" si="85"/>
        <v>TRT-80-10</v>
      </c>
      <c r="M333" s="82">
        <v>42278</v>
      </c>
      <c r="N333" s="2">
        <v>20000</v>
      </c>
    </row>
    <row r="334" spans="1:17" x14ac:dyDescent="0.35">
      <c r="A334" s="52" t="s">
        <v>6063</v>
      </c>
      <c r="C334" s="30" t="s">
        <v>20980</v>
      </c>
      <c r="D334" s="30" t="str">
        <f>"""TRUST Nav"",""HSPMTB2016"",""21"",""1"",""3445"""</f>
        <v>"TRUST Nav","HSPMTB2016","21","1","3445"</v>
      </c>
      <c r="I334" s="52" t="str">
        <f t="shared" si="86"/>
        <v>KK-04597|42309|TRT-80-10</v>
      </c>
      <c r="J334" s="52" t="str">
        <f t="shared" si="83"/>
        <v>KK-04597</v>
      </c>
      <c r="K334" s="52" t="str">
        <f t="shared" si="84"/>
        <v>Arief Wibawa</v>
      </c>
      <c r="L334" s="52" t="str">
        <f t="shared" si="85"/>
        <v>TRT-80-10</v>
      </c>
      <c r="M334" s="82">
        <v>42309</v>
      </c>
      <c r="N334" s="2">
        <v>20000</v>
      </c>
    </row>
    <row r="335" spans="1:17" x14ac:dyDescent="0.35">
      <c r="A335" s="52" t="s">
        <v>6063</v>
      </c>
      <c r="C335" s="30" t="s">
        <v>20980</v>
      </c>
      <c r="D335" s="30" t="str">
        <f>"""TRUST Nav"",""HSPMTB2016"",""21"",""1"",""3446"""</f>
        <v>"TRUST Nav","HSPMTB2016","21","1","3446"</v>
      </c>
      <c r="I335" s="52" t="str">
        <f t="shared" si="86"/>
        <v>KK-04597|42339|TRT-80-10</v>
      </c>
      <c r="J335" s="52" t="str">
        <f t="shared" si="83"/>
        <v>KK-04597</v>
      </c>
      <c r="K335" s="52" t="str">
        <f t="shared" si="84"/>
        <v>Arief Wibawa</v>
      </c>
      <c r="L335" s="52" t="str">
        <f t="shared" si="85"/>
        <v>TRT-80-10</v>
      </c>
      <c r="M335" s="82">
        <v>42339</v>
      </c>
      <c r="N335" s="2">
        <v>20000</v>
      </c>
    </row>
    <row r="336" spans="1:17" x14ac:dyDescent="0.35">
      <c r="A336" s="52" t="s">
        <v>6063</v>
      </c>
      <c r="C336" s="30" t="s">
        <v>20980</v>
      </c>
      <c r="D336" s="30" t="str">
        <f>"""TRUST Nav"",""HSPMTB2016"",""21"",""1"",""37240"""</f>
        <v>"TRUST Nav","HSPMTB2016","21","1","37240"</v>
      </c>
      <c r="I336" s="52" t="str">
        <f t="shared" si="86"/>
        <v>KK-04597|42368|TRT-80-10</v>
      </c>
      <c r="J336" s="52" t="str">
        <f t="shared" si="83"/>
        <v>KK-04597</v>
      </c>
      <c r="K336" s="52" t="str">
        <f t="shared" si="84"/>
        <v>Arief Wibawa</v>
      </c>
      <c r="L336" s="52" t="str">
        <f t="shared" si="85"/>
        <v>TRT-80-10</v>
      </c>
      <c r="M336" s="82">
        <v>42368</v>
      </c>
      <c r="N336" s="2">
        <v>20000</v>
      </c>
    </row>
    <row r="337" spans="1:14" x14ac:dyDescent="0.35">
      <c r="A337" s="52" t="s">
        <v>6063</v>
      </c>
      <c r="C337" s="30" t="s">
        <v>20980</v>
      </c>
      <c r="D337" s="30" t="str">
        <f>"""TRUST Nav"",""HSPMTB2016"",""21"",""1"",""37241"""</f>
        <v>"TRUST Nav","HSPMTB2016","21","1","37241"</v>
      </c>
      <c r="I337" s="52" t="str">
        <f t="shared" si="86"/>
        <v>KK-04597|42368|TRT-80-10</v>
      </c>
      <c r="J337" s="52" t="str">
        <f t="shared" si="83"/>
        <v>KK-04597</v>
      </c>
      <c r="K337" s="52" t="str">
        <f t="shared" si="84"/>
        <v>Arief Wibawa</v>
      </c>
      <c r="L337" s="52" t="str">
        <f t="shared" si="85"/>
        <v>TRT-80-10</v>
      </c>
      <c r="M337" s="82">
        <v>42368</v>
      </c>
      <c r="N337" s="2">
        <v>20000</v>
      </c>
    </row>
    <row r="338" spans="1:14" x14ac:dyDescent="0.35">
      <c r="A338" s="52" t="s">
        <v>6063</v>
      </c>
      <c r="C338" s="30" t="s">
        <v>20980</v>
      </c>
      <c r="D338" s="30" t="str">
        <f>"""TRUST Nav"",""HSPMTB2016"",""21"",""1"",""37242"""</f>
        <v>"TRUST Nav","HSPMTB2016","21","1","37242"</v>
      </c>
      <c r="I338" s="52" t="str">
        <f t="shared" si="86"/>
        <v>KK-04597|42368|TRT-80-10</v>
      </c>
      <c r="J338" s="52" t="str">
        <f t="shared" si="83"/>
        <v>KK-04597</v>
      </c>
      <c r="K338" s="52" t="str">
        <f t="shared" si="84"/>
        <v>Arief Wibawa</v>
      </c>
      <c r="L338" s="52" t="str">
        <f t="shared" si="85"/>
        <v>TRT-80-10</v>
      </c>
      <c r="M338" s="82">
        <v>42368</v>
      </c>
      <c r="N338" s="2">
        <v>20000</v>
      </c>
    </row>
    <row r="339" spans="1:14" x14ac:dyDescent="0.35">
      <c r="A339" s="52" t="s">
        <v>6063</v>
      </c>
      <c r="C339" s="30" t="s">
        <v>20980</v>
      </c>
      <c r="D339" s="30" t="str">
        <f>"""TRUST Nav"",""HSPMTB2016"",""21"",""1"",""37243"""</f>
        <v>"TRUST Nav","HSPMTB2016","21","1","37243"</v>
      </c>
      <c r="I339" s="52" t="str">
        <f t="shared" si="86"/>
        <v>KK-04597|42368|TRT-80-10</v>
      </c>
      <c r="J339" s="52" t="str">
        <f t="shared" si="83"/>
        <v>KK-04597</v>
      </c>
      <c r="K339" s="52" t="str">
        <f t="shared" si="84"/>
        <v>Arief Wibawa</v>
      </c>
      <c r="L339" s="52" t="str">
        <f t="shared" si="85"/>
        <v>TRT-80-10</v>
      </c>
      <c r="M339" s="82">
        <v>42368</v>
      </c>
      <c r="N339" s="2">
        <v>20000</v>
      </c>
    </row>
    <row r="340" spans="1:14" x14ac:dyDescent="0.35">
      <c r="A340" s="52" t="s">
        <v>6063</v>
      </c>
      <c r="C340" s="30" t="s">
        <v>20980</v>
      </c>
      <c r="D340" s="30" t="str">
        <f>"""TRUST Nav"",""HSPMTB2016"",""21"",""1"",""37244"""</f>
        <v>"TRUST Nav","HSPMTB2016","21","1","37244"</v>
      </c>
      <c r="I340" s="52" t="str">
        <f t="shared" si="86"/>
        <v>KK-04597|42368|TRT-80-10</v>
      </c>
      <c r="J340" s="52" t="str">
        <f t="shared" si="83"/>
        <v>KK-04597</v>
      </c>
      <c r="K340" s="52" t="str">
        <f t="shared" si="84"/>
        <v>Arief Wibawa</v>
      </c>
      <c r="L340" s="52" t="str">
        <f t="shared" si="85"/>
        <v>TRT-80-10</v>
      </c>
      <c r="M340" s="82">
        <v>42368</v>
      </c>
      <c r="N340" s="2">
        <v>20000</v>
      </c>
    </row>
    <row r="341" spans="1:14" x14ac:dyDescent="0.35">
      <c r="A341" s="52" t="s">
        <v>6063</v>
      </c>
      <c r="C341" s="30" t="s">
        <v>20980</v>
      </c>
      <c r="D341" s="30" t="str">
        <f>"""TRUST Nav"",""HSPMTB2016"",""21"",""1"",""37245"""</f>
        <v>"TRUST Nav","HSPMTB2016","21","1","37245"</v>
      </c>
      <c r="I341" s="52" t="str">
        <f t="shared" si="86"/>
        <v>KK-04597|42368|TRT-80-10</v>
      </c>
      <c r="J341" s="52" t="str">
        <f t="shared" si="83"/>
        <v>KK-04597</v>
      </c>
      <c r="K341" s="52" t="str">
        <f t="shared" si="84"/>
        <v>Arief Wibawa</v>
      </c>
      <c r="L341" s="52" t="str">
        <f t="shared" si="85"/>
        <v>TRT-80-10</v>
      </c>
      <c r="M341" s="82">
        <v>42368</v>
      </c>
      <c r="N341" s="2">
        <v>20000</v>
      </c>
    </row>
    <row r="342" spans="1:14" x14ac:dyDescent="0.35">
      <c r="A342" s="52" t="s">
        <v>6063</v>
      </c>
      <c r="C342" s="30" t="s">
        <v>20980</v>
      </c>
      <c r="D342" s="30" t="str">
        <f>"""TRUST Nav"",""HSPMTB2016"",""21"",""1"",""85202"""</f>
        <v>"TRUST Nav","HSPMTB2016","21","1","85202"</v>
      </c>
      <c r="I342" s="52" t="str">
        <f t="shared" si="86"/>
        <v>KK-04597|42370|TRT-80-10</v>
      </c>
      <c r="J342" s="52" t="str">
        <f t="shared" si="83"/>
        <v>KK-04597</v>
      </c>
      <c r="K342" s="52" t="str">
        <f t="shared" si="84"/>
        <v>Arief Wibawa</v>
      </c>
      <c r="L342" s="52" t="str">
        <f t="shared" si="85"/>
        <v>TRT-80-10</v>
      </c>
      <c r="M342" s="82">
        <v>42370</v>
      </c>
      <c r="N342" s="2">
        <v>20000</v>
      </c>
    </row>
    <row r="343" spans="1:14" x14ac:dyDescent="0.35">
      <c r="A343" s="52" t="s">
        <v>6063</v>
      </c>
      <c r="C343" s="30" t="s">
        <v>20980</v>
      </c>
      <c r="D343" s="30" t="str">
        <f>"""TRUST Nav"",""HSPMTB2016"",""21"",""1"",""85203"""</f>
        <v>"TRUST Nav","HSPMTB2016","21","1","85203"</v>
      </c>
      <c r="I343" s="52" t="str">
        <f t="shared" si="86"/>
        <v>KK-04597|42401|TRT-80-10</v>
      </c>
      <c r="J343" s="52" t="str">
        <f t="shared" si="83"/>
        <v>KK-04597</v>
      </c>
      <c r="K343" s="52" t="str">
        <f t="shared" si="84"/>
        <v>Arief Wibawa</v>
      </c>
      <c r="L343" s="52" t="str">
        <f t="shared" si="85"/>
        <v>TRT-80-10</v>
      </c>
      <c r="M343" s="82">
        <v>42401</v>
      </c>
      <c r="N343" s="2">
        <v>20000</v>
      </c>
    </row>
    <row r="344" spans="1:14" x14ac:dyDescent="0.35">
      <c r="A344" s="52" t="s">
        <v>6063</v>
      </c>
      <c r="C344" s="30" t="s">
        <v>20980</v>
      </c>
      <c r="D344" s="30" t="str">
        <f>"""TRUST Nav"",""HSPMTB2016"",""21"",""1"",""85204"""</f>
        <v>"TRUST Nav","HSPMTB2016","21","1","85204"</v>
      </c>
      <c r="I344" s="52" t="str">
        <f t="shared" si="86"/>
        <v>KK-04597|42430|TRT-80-10</v>
      </c>
      <c r="J344" s="52" t="str">
        <f t="shared" si="83"/>
        <v>KK-04597</v>
      </c>
      <c r="K344" s="52" t="str">
        <f t="shared" si="84"/>
        <v>Arief Wibawa</v>
      </c>
      <c r="L344" s="52" t="str">
        <f t="shared" si="85"/>
        <v>TRT-80-10</v>
      </c>
      <c r="M344" s="82">
        <v>42430</v>
      </c>
      <c r="N344" s="2">
        <v>20000</v>
      </c>
    </row>
    <row r="345" spans="1:14" x14ac:dyDescent="0.35">
      <c r="A345" s="52" t="s">
        <v>6063</v>
      </c>
      <c r="C345" s="30" t="s">
        <v>20980</v>
      </c>
      <c r="D345" s="30" t="str">
        <f>"""TRUST Nav"",""HSPMTB2016"",""21"",""1"",""122013"""</f>
        <v>"TRUST Nav","HSPMTB2016","21","1","122013"</v>
      </c>
      <c r="I345" s="52" t="str">
        <f t="shared" si="86"/>
        <v>KK-04597|42461|TRT-80-10</v>
      </c>
      <c r="J345" s="52" t="str">
        <f t="shared" si="83"/>
        <v>KK-04597</v>
      </c>
      <c r="K345" s="52" t="str">
        <f t="shared" si="84"/>
        <v>Arief Wibawa</v>
      </c>
      <c r="L345" s="52" t="str">
        <f t="shared" si="85"/>
        <v>TRT-80-10</v>
      </c>
      <c r="M345" s="82">
        <v>42461</v>
      </c>
      <c r="N345" s="2">
        <v>20000</v>
      </c>
    </row>
    <row r="346" spans="1:14" x14ac:dyDescent="0.35">
      <c r="A346" s="52" t="s">
        <v>6063</v>
      </c>
      <c r="C346" s="30" t="s">
        <v>20980</v>
      </c>
      <c r="D346" s="30" t="str">
        <f>"""TRUST Nav"",""HSPMTB2016"",""21"",""1"",""122014"""</f>
        <v>"TRUST Nav","HSPMTB2016","21","1","122014"</v>
      </c>
      <c r="I346" s="52" t="str">
        <f t="shared" si="86"/>
        <v>KK-04597|42491|TRT-80-10</v>
      </c>
      <c r="J346" s="52" t="str">
        <f t="shared" si="83"/>
        <v>KK-04597</v>
      </c>
      <c r="K346" s="52" t="str">
        <f t="shared" si="84"/>
        <v>Arief Wibawa</v>
      </c>
      <c r="L346" s="52" t="str">
        <f t="shared" si="85"/>
        <v>TRT-80-10</v>
      </c>
      <c r="M346" s="82">
        <v>42491</v>
      </c>
      <c r="N346" s="2">
        <v>20000</v>
      </c>
    </row>
    <row r="347" spans="1:14" x14ac:dyDescent="0.35">
      <c r="A347" s="52" t="s">
        <v>6063</v>
      </c>
      <c r="C347" s="30" t="s">
        <v>20980</v>
      </c>
      <c r="D347" s="30" t="str">
        <f>"""TRUST Nav"",""HSPMTB2016"",""21"",""1"",""122015"""</f>
        <v>"TRUST Nav","HSPMTB2016","21","1","122015"</v>
      </c>
      <c r="I347" s="52" t="str">
        <f t="shared" si="86"/>
        <v>KK-04597|42522|TRT-80-10</v>
      </c>
      <c r="J347" s="52" t="str">
        <f t="shared" si="83"/>
        <v>KK-04597</v>
      </c>
      <c r="K347" s="52" t="str">
        <f t="shared" si="84"/>
        <v>Arief Wibawa</v>
      </c>
      <c r="L347" s="52" t="str">
        <f t="shared" si="85"/>
        <v>TRT-80-10</v>
      </c>
      <c r="M347" s="82">
        <v>42522</v>
      </c>
      <c r="N347" s="2">
        <v>20000</v>
      </c>
    </row>
    <row r="348" spans="1:14" x14ac:dyDescent="0.35">
      <c r="A348" s="52" t="s">
        <v>6063</v>
      </c>
      <c r="C348" s="30" t="s">
        <v>20980</v>
      </c>
      <c r="D348" s="30" t="str">
        <f>"""TRUST Nav"",""HSPMTB2016"",""21"",""1"",""138821"""</f>
        <v>"TRUST Nav","HSPMTB2016","21","1","138821"</v>
      </c>
      <c r="I348" s="52" t="str">
        <f t="shared" si="86"/>
        <v>KK-04597|42552|TRT-80-10</v>
      </c>
      <c r="J348" s="52" t="str">
        <f t="shared" si="83"/>
        <v>KK-04597</v>
      </c>
      <c r="K348" s="52" t="str">
        <f t="shared" si="84"/>
        <v>Arief Wibawa</v>
      </c>
      <c r="L348" s="52" t="str">
        <f t="shared" si="85"/>
        <v>TRT-80-10</v>
      </c>
      <c r="M348" s="82">
        <v>42552</v>
      </c>
      <c r="N348" s="2">
        <v>20000</v>
      </c>
    </row>
    <row r="349" spans="1:14" x14ac:dyDescent="0.35">
      <c r="A349" s="52" t="s">
        <v>6063</v>
      </c>
      <c r="C349" s="30" t="s">
        <v>20980</v>
      </c>
      <c r="D349" s="30" t="str">
        <f>"""TRUST Nav"",""HSPMTB2016"",""21"",""1"",""138822"""</f>
        <v>"TRUST Nav","HSPMTB2016","21","1","138822"</v>
      </c>
      <c r="I349" s="52" t="str">
        <f t="shared" si="86"/>
        <v>KK-04597|42583|TRT-80-10</v>
      </c>
      <c r="J349" s="52" t="str">
        <f t="shared" si="83"/>
        <v>KK-04597</v>
      </c>
      <c r="K349" s="52" t="str">
        <f t="shared" si="84"/>
        <v>Arief Wibawa</v>
      </c>
      <c r="L349" s="52" t="str">
        <f t="shared" si="85"/>
        <v>TRT-80-10</v>
      </c>
      <c r="M349" s="82">
        <v>42583</v>
      </c>
      <c r="N349" s="2">
        <v>20000</v>
      </c>
    </row>
    <row r="350" spans="1:14" x14ac:dyDescent="0.35">
      <c r="A350" s="52" t="s">
        <v>6063</v>
      </c>
      <c r="C350" s="30" t="s">
        <v>20980</v>
      </c>
      <c r="D350" s="30" t="str">
        <f>"""TRUST Nav"",""HSPMTB2016"",""21"",""1"",""138823"""</f>
        <v>"TRUST Nav","HSPMTB2016","21","1","138823"</v>
      </c>
      <c r="I350" s="52" t="str">
        <f t="shared" si="86"/>
        <v>KK-04597|42614|TRT-80-10</v>
      </c>
      <c r="J350" s="52" t="str">
        <f t="shared" si="83"/>
        <v>KK-04597</v>
      </c>
      <c r="K350" s="52" t="str">
        <f t="shared" si="84"/>
        <v>Arief Wibawa</v>
      </c>
      <c r="L350" s="52" t="str">
        <f t="shared" si="85"/>
        <v>TRT-80-10</v>
      </c>
      <c r="M350" s="82">
        <v>42614</v>
      </c>
      <c r="N350" s="2">
        <v>20000</v>
      </c>
    </row>
    <row r="351" spans="1:14" x14ac:dyDescent="0.35">
      <c r="A351" s="52" t="s">
        <v>6063</v>
      </c>
      <c r="C351" s="30" t="s">
        <v>20980</v>
      </c>
      <c r="D351" s="30" t="str">
        <f>"""TRUST Nav"",""HSPMTB2016"",""21"",""1"",""3447"""</f>
        <v>"TRUST Nav","HSPMTB2016","21","1","3447"</v>
      </c>
      <c r="I351" s="52" t="str">
        <f t="shared" si="86"/>
        <v>KK-04598|42186|TRT-80-10</v>
      </c>
      <c r="J351" s="52" t="str">
        <f t="shared" ref="J351:J366" si="87">"KK-04598"</f>
        <v>KK-04598</v>
      </c>
      <c r="K351" s="52" t="str">
        <f t="shared" ref="K351:K366" si="88">"Alex Sudytio"</f>
        <v>Alex Sudytio</v>
      </c>
      <c r="L351" s="52" t="str">
        <f t="shared" si="85"/>
        <v>TRT-80-10</v>
      </c>
      <c r="M351" s="82">
        <v>42186</v>
      </c>
      <c r="N351" s="2">
        <v>25000.000000000004</v>
      </c>
    </row>
    <row r="352" spans="1:14" x14ac:dyDescent="0.35">
      <c r="A352" s="52" t="s">
        <v>6063</v>
      </c>
      <c r="C352" s="30" t="s">
        <v>20980</v>
      </c>
      <c r="D352" s="30" t="str">
        <f>"""TRUST Nav"",""HSPMTB2016"",""21"",""1"",""3448"""</f>
        <v>"TRUST Nav","HSPMTB2016","21","1","3448"</v>
      </c>
      <c r="I352" s="52" t="str">
        <f t="shared" si="86"/>
        <v>KK-04598|42217|TRT-80-10</v>
      </c>
      <c r="J352" s="52" t="str">
        <f t="shared" si="87"/>
        <v>KK-04598</v>
      </c>
      <c r="K352" s="52" t="str">
        <f t="shared" si="88"/>
        <v>Alex Sudytio</v>
      </c>
      <c r="L352" s="52" t="str">
        <f t="shared" si="85"/>
        <v>TRT-80-10</v>
      </c>
      <c r="M352" s="82">
        <v>42217</v>
      </c>
      <c r="N352" s="2">
        <v>25000.000000000004</v>
      </c>
    </row>
    <row r="353" spans="1:14" x14ac:dyDescent="0.35">
      <c r="A353" s="52" t="s">
        <v>6063</v>
      </c>
      <c r="C353" s="30" t="s">
        <v>20980</v>
      </c>
      <c r="D353" s="30" t="str">
        <f>"""TRUST Nav"",""HSPMTB2016"",""21"",""1"",""3449"""</f>
        <v>"TRUST Nav","HSPMTB2016","21","1","3449"</v>
      </c>
      <c r="I353" s="52" t="str">
        <f t="shared" si="86"/>
        <v>KK-04598|42248|TRT-80-10</v>
      </c>
      <c r="J353" s="52" t="str">
        <f t="shared" si="87"/>
        <v>KK-04598</v>
      </c>
      <c r="K353" s="52" t="str">
        <f t="shared" si="88"/>
        <v>Alex Sudytio</v>
      </c>
      <c r="L353" s="52" t="str">
        <f t="shared" si="85"/>
        <v>TRT-80-10</v>
      </c>
      <c r="M353" s="82">
        <v>42248</v>
      </c>
      <c r="N353" s="2">
        <v>25000.000000000004</v>
      </c>
    </row>
    <row r="354" spans="1:14" x14ac:dyDescent="0.35">
      <c r="A354" s="52" t="s">
        <v>6063</v>
      </c>
      <c r="C354" s="30" t="s">
        <v>20980</v>
      </c>
      <c r="D354" s="30" t="str">
        <f>"""TRUST Nav"",""HSPMTB2016"",""21"",""1"",""3450"""</f>
        <v>"TRUST Nav","HSPMTB2016","21","1","3450"</v>
      </c>
      <c r="I354" s="52" t="str">
        <f t="shared" si="86"/>
        <v>KK-04598|42278|TRT-80-10</v>
      </c>
      <c r="J354" s="52" t="str">
        <f t="shared" si="87"/>
        <v>KK-04598</v>
      </c>
      <c r="K354" s="52" t="str">
        <f t="shared" si="88"/>
        <v>Alex Sudytio</v>
      </c>
      <c r="L354" s="52" t="str">
        <f t="shared" si="85"/>
        <v>TRT-80-10</v>
      </c>
      <c r="M354" s="82">
        <v>42278</v>
      </c>
      <c r="N354" s="2">
        <v>25000.000000000004</v>
      </c>
    </row>
    <row r="355" spans="1:14" x14ac:dyDescent="0.35">
      <c r="A355" s="52" t="s">
        <v>6063</v>
      </c>
      <c r="C355" s="30" t="s">
        <v>20980</v>
      </c>
      <c r="D355" s="30" t="str">
        <f>"""TRUST Nav"",""HSPMTB2016"",""21"",""1"",""3451"""</f>
        <v>"TRUST Nav","HSPMTB2016","21","1","3451"</v>
      </c>
      <c r="I355" s="52" t="str">
        <f t="shared" si="86"/>
        <v>KK-04598|42309|TRT-80-10</v>
      </c>
      <c r="J355" s="52" t="str">
        <f t="shared" si="87"/>
        <v>KK-04598</v>
      </c>
      <c r="K355" s="52" t="str">
        <f t="shared" si="88"/>
        <v>Alex Sudytio</v>
      </c>
      <c r="L355" s="52" t="str">
        <f t="shared" si="85"/>
        <v>TRT-80-10</v>
      </c>
      <c r="M355" s="82">
        <v>42309</v>
      </c>
      <c r="N355" s="2">
        <v>25000.000000000004</v>
      </c>
    </row>
    <row r="356" spans="1:14" x14ac:dyDescent="0.35">
      <c r="A356" s="52" t="s">
        <v>6063</v>
      </c>
      <c r="C356" s="30" t="s">
        <v>20980</v>
      </c>
      <c r="D356" s="30" t="str">
        <f>"""TRUST Nav"",""HSPMTB2016"",""21"",""1"",""3452"""</f>
        <v>"TRUST Nav","HSPMTB2016","21","1","3452"</v>
      </c>
      <c r="I356" s="52" t="str">
        <f t="shared" si="86"/>
        <v>KK-04598|42339|TRT-80-10</v>
      </c>
      <c r="J356" s="52" t="str">
        <f t="shared" si="87"/>
        <v>KK-04598</v>
      </c>
      <c r="K356" s="52" t="str">
        <f t="shared" si="88"/>
        <v>Alex Sudytio</v>
      </c>
      <c r="L356" s="52" t="str">
        <f t="shared" si="85"/>
        <v>TRT-80-10</v>
      </c>
      <c r="M356" s="82">
        <v>42339</v>
      </c>
      <c r="N356" s="2">
        <v>25000.000000000004</v>
      </c>
    </row>
    <row r="357" spans="1:14" x14ac:dyDescent="0.35">
      <c r="A357" s="52" t="s">
        <v>6063</v>
      </c>
      <c r="C357" s="30" t="s">
        <v>20980</v>
      </c>
      <c r="D357" s="30" t="str">
        <f>"""TRUST Nav"",""HSPMTB2016"",""21"",""1"",""37246"""</f>
        <v>"TRUST Nav","HSPMTB2016","21","1","37246"</v>
      </c>
      <c r="I357" s="52" t="str">
        <f t="shared" si="86"/>
        <v>KK-04598|42368|TRT-80-10</v>
      </c>
      <c r="J357" s="52" t="str">
        <f t="shared" si="87"/>
        <v>KK-04598</v>
      </c>
      <c r="K357" s="52" t="str">
        <f t="shared" si="88"/>
        <v>Alex Sudytio</v>
      </c>
      <c r="L357" s="52" t="str">
        <f t="shared" si="85"/>
        <v>TRT-80-10</v>
      </c>
      <c r="M357" s="82">
        <v>42368</v>
      </c>
      <c r="N357" s="2">
        <v>25000.000000000004</v>
      </c>
    </row>
    <row r="358" spans="1:14" x14ac:dyDescent="0.35">
      <c r="A358" s="52" t="s">
        <v>6063</v>
      </c>
      <c r="C358" s="30" t="s">
        <v>20980</v>
      </c>
      <c r="D358" s="30" t="str">
        <f>"""TRUST Nav"",""HSPMTB2016"",""21"",""1"",""37247"""</f>
        <v>"TRUST Nav","HSPMTB2016","21","1","37247"</v>
      </c>
      <c r="I358" s="52" t="str">
        <f t="shared" si="86"/>
        <v>KK-04598|42368|TRT-80-10</v>
      </c>
      <c r="J358" s="52" t="str">
        <f t="shared" si="87"/>
        <v>KK-04598</v>
      </c>
      <c r="K358" s="52" t="str">
        <f t="shared" si="88"/>
        <v>Alex Sudytio</v>
      </c>
      <c r="L358" s="52" t="str">
        <f t="shared" si="85"/>
        <v>TRT-80-10</v>
      </c>
      <c r="M358" s="82">
        <v>42368</v>
      </c>
      <c r="N358" s="2">
        <v>25000.000000000004</v>
      </c>
    </row>
    <row r="359" spans="1:14" x14ac:dyDescent="0.35">
      <c r="A359" s="52" t="s">
        <v>6063</v>
      </c>
      <c r="C359" s="30" t="s">
        <v>20980</v>
      </c>
      <c r="D359" s="30" t="str">
        <f>"""TRUST Nav"",""HSPMTB2016"",""21"",""1"",""37248"""</f>
        <v>"TRUST Nav","HSPMTB2016","21","1","37248"</v>
      </c>
      <c r="I359" s="52" t="str">
        <f t="shared" si="86"/>
        <v>KK-04598|42368|TRT-80-10</v>
      </c>
      <c r="J359" s="52" t="str">
        <f t="shared" si="87"/>
        <v>KK-04598</v>
      </c>
      <c r="K359" s="52" t="str">
        <f t="shared" si="88"/>
        <v>Alex Sudytio</v>
      </c>
      <c r="L359" s="52" t="str">
        <f t="shared" si="85"/>
        <v>TRT-80-10</v>
      </c>
      <c r="M359" s="82">
        <v>42368</v>
      </c>
      <c r="N359" s="2">
        <v>25000.000000000004</v>
      </c>
    </row>
    <row r="360" spans="1:14" x14ac:dyDescent="0.35">
      <c r="A360" s="52" t="s">
        <v>6063</v>
      </c>
      <c r="C360" s="30" t="s">
        <v>20980</v>
      </c>
      <c r="D360" s="30" t="str">
        <f>"""TRUST Nav"",""HSPMTB2016"",""21"",""1"",""37249"""</f>
        <v>"TRUST Nav","HSPMTB2016","21","1","37249"</v>
      </c>
      <c r="I360" s="52" t="str">
        <f t="shared" si="86"/>
        <v>KK-04598|42368|TRT-80-10</v>
      </c>
      <c r="J360" s="52" t="str">
        <f t="shared" si="87"/>
        <v>KK-04598</v>
      </c>
      <c r="K360" s="52" t="str">
        <f t="shared" si="88"/>
        <v>Alex Sudytio</v>
      </c>
      <c r="L360" s="52" t="str">
        <f t="shared" si="85"/>
        <v>TRT-80-10</v>
      </c>
      <c r="M360" s="82">
        <v>42368</v>
      </c>
      <c r="N360" s="2">
        <v>25000.000000000004</v>
      </c>
    </row>
    <row r="361" spans="1:14" x14ac:dyDescent="0.35">
      <c r="A361" s="52" t="s">
        <v>6063</v>
      </c>
      <c r="C361" s="30" t="s">
        <v>20980</v>
      </c>
      <c r="D361" s="30" t="str">
        <f>"""TRUST Nav"",""HSPMTB2016"",""21"",""1"",""37250"""</f>
        <v>"TRUST Nav","HSPMTB2016","21","1","37250"</v>
      </c>
      <c r="I361" s="52" t="str">
        <f t="shared" si="86"/>
        <v>KK-04598|42368|TRT-80-10</v>
      </c>
      <c r="J361" s="52" t="str">
        <f t="shared" si="87"/>
        <v>KK-04598</v>
      </c>
      <c r="K361" s="52" t="str">
        <f t="shared" si="88"/>
        <v>Alex Sudytio</v>
      </c>
      <c r="L361" s="52" t="str">
        <f t="shared" si="85"/>
        <v>TRT-80-10</v>
      </c>
      <c r="M361" s="82">
        <v>42368</v>
      </c>
      <c r="N361" s="2">
        <v>25000.000000000004</v>
      </c>
    </row>
    <row r="362" spans="1:14" x14ac:dyDescent="0.35">
      <c r="A362" s="52" t="s">
        <v>6063</v>
      </c>
      <c r="C362" s="30" t="s">
        <v>20980</v>
      </c>
      <c r="D362" s="30" t="str">
        <f>"""TRUST Nav"",""HSPMTB2016"",""21"",""1"",""37251"""</f>
        <v>"TRUST Nav","HSPMTB2016","21","1","37251"</v>
      </c>
      <c r="I362" s="52" t="str">
        <f t="shared" si="86"/>
        <v>KK-04598|42368|TRT-80-10</v>
      </c>
      <c r="J362" s="52" t="str">
        <f t="shared" si="87"/>
        <v>KK-04598</v>
      </c>
      <c r="K362" s="52" t="str">
        <f t="shared" si="88"/>
        <v>Alex Sudytio</v>
      </c>
      <c r="L362" s="52" t="str">
        <f t="shared" si="85"/>
        <v>TRT-80-10</v>
      </c>
      <c r="M362" s="82">
        <v>42368</v>
      </c>
      <c r="N362" s="2">
        <v>25000.000000000004</v>
      </c>
    </row>
    <row r="363" spans="1:14" x14ac:dyDescent="0.35">
      <c r="A363" s="52" t="s">
        <v>6063</v>
      </c>
      <c r="C363" s="30" t="s">
        <v>20980</v>
      </c>
      <c r="D363" s="30" t="str">
        <f>"""TRUST Nav"",""HSPMTB2016"",""21"",""1"",""116848"""</f>
        <v>"TRUST Nav","HSPMTB2016","21","1","116848"</v>
      </c>
      <c r="I363" s="52" t="str">
        <f t="shared" si="86"/>
        <v>KK-04598|42370|TRT-80-10</v>
      </c>
      <c r="J363" s="52" t="str">
        <f t="shared" si="87"/>
        <v>KK-04598</v>
      </c>
      <c r="K363" s="52" t="str">
        <f t="shared" si="88"/>
        <v>Alex Sudytio</v>
      </c>
      <c r="L363" s="52" t="str">
        <f t="shared" si="85"/>
        <v>TRT-80-10</v>
      </c>
      <c r="M363" s="82">
        <v>42370</v>
      </c>
      <c r="N363" s="2">
        <v>25000.000000000004</v>
      </c>
    </row>
    <row r="364" spans="1:14" x14ac:dyDescent="0.35">
      <c r="A364" s="52" t="s">
        <v>6063</v>
      </c>
      <c r="C364" s="30" t="s">
        <v>20980</v>
      </c>
      <c r="D364" s="30" t="str">
        <f>"""TRUST Nav"",""HSPMTB2016"",""21"",""1"",""116849"""</f>
        <v>"TRUST Nav","HSPMTB2016","21","1","116849"</v>
      </c>
      <c r="I364" s="52" t="str">
        <f t="shared" si="86"/>
        <v>KK-04598|42401|TRT-80-10</v>
      </c>
      <c r="J364" s="52" t="str">
        <f t="shared" si="87"/>
        <v>KK-04598</v>
      </c>
      <c r="K364" s="52" t="str">
        <f t="shared" si="88"/>
        <v>Alex Sudytio</v>
      </c>
      <c r="L364" s="52" t="str">
        <f t="shared" si="85"/>
        <v>TRT-80-10</v>
      </c>
      <c r="M364" s="82">
        <v>42401</v>
      </c>
      <c r="N364" s="2">
        <v>25000.000000000004</v>
      </c>
    </row>
    <row r="365" spans="1:14" x14ac:dyDescent="0.35">
      <c r="A365" s="52" t="s">
        <v>6063</v>
      </c>
      <c r="C365" s="30" t="s">
        <v>20980</v>
      </c>
      <c r="D365" s="30" t="str">
        <f>"""TRUST Nav"",""HSPMTB2016"",""21"",""1"",""116850"""</f>
        <v>"TRUST Nav","HSPMTB2016","21","1","116850"</v>
      </c>
      <c r="I365" s="52" t="str">
        <f t="shared" si="86"/>
        <v>KK-04598|42430|TRT-80-10</v>
      </c>
      <c r="J365" s="52" t="str">
        <f t="shared" si="87"/>
        <v>KK-04598</v>
      </c>
      <c r="K365" s="52" t="str">
        <f t="shared" si="88"/>
        <v>Alex Sudytio</v>
      </c>
      <c r="L365" s="52" t="str">
        <f t="shared" si="85"/>
        <v>TRT-80-10</v>
      </c>
      <c r="M365" s="82">
        <v>42430</v>
      </c>
      <c r="N365" s="2">
        <v>25000.000000000004</v>
      </c>
    </row>
    <row r="366" spans="1:14" x14ac:dyDescent="0.35">
      <c r="A366" s="52" t="s">
        <v>6063</v>
      </c>
      <c r="C366" s="30" t="s">
        <v>20980</v>
      </c>
      <c r="D366" s="30" t="str">
        <f>"""TRUST Nav"",""HSPMTB2016"",""21"",""1"",""116851"""</f>
        <v>"TRUST Nav","HSPMTB2016","21","1","116851"</v>
      </c>
      <c r="I366" s="52" t="str">
        <f t="shared" si="86"/>
        <v>KK-04598|42461|TRT-80-10</v>
      </c>
      <c r="J366" s="52" t="str">
        <f t="shared" si="87"/>
        <v>KK-04598</v>
      </c>
      <c r="K366" s="52" t="str">
        <f t="shared" si="88"/>
        <v>Alex Sudytio</v>
      </c>
      <c r="L366" s="52" t="str">
        <f t="shared" si="85"/>
        <v>TRT-80-10</v>
      </c>
      <c r="M366" s="82">
        <v>42461</v>
      </c>
      <c r="N366" s="2">
        <v>25000.000000000004</v>
      </c>
    </row>
    <row r="367" spans="1:14" x14ac:dyDescent="0.35">
      <c r="A367" s="52" t="s">
        <v>6063</v>
      </c>
      <c r="C367" s="30" t="s">
        <v>20980</v>
      </c>
      <c r="D367" s="30" t="str">
        <f>"""TRUST Nav"",""HSPMTB2016"",""21"",""1"",""3453"""</f>
        <v>"TRUST Nav","HSPMTB2016","21","1","3453"</v>
      </c>
      <c r="I367" s="52" t="str">
        <f t="shared" si="86"/>
        <v>KK-04599|42186|TRT-80-10</v>
      </c>
      <c r="J367" s="52" t="str">
        <f t="shared" ref="J367:J387" si="89">"KK-04599"</f>
        <v>KK-04599</v>
      </c>
      <c r="K367" s="52" t="str">
        <f t="shared" ref="K367:K387" si="90">"Bernardus Yogie Dirga Gunawan"</f>
        <v>Bernardus Yogie Dirga Gunawan</v>
      </c>
      <c r="L367" s="52" t="str">
        <f t="shared" si="85"/>
        <v>TRT-80-10</v>
      </c>
      <c r="M367" s="82">
        <v>42186</v>
      </c>
      <c r="N367" s="2">
        <v>50000.000000000007</v>
      </c>
    </row>
    <row r="368" spans="1:14" x14ac:dyDescent="0.35">
      <c r="A368" s="52" t="s">
        <v>6063</v>
      </c>
      <c r="C368" s="30" t="s">
        <v>20980</v>
      </c>
      <c r="D368" s="30" t="str">
        <f>"""TRUST Nav"",""HSPMTB2016"",""21"",""1"",""3454"""</f>
        <v>"TRUST Nav","HSPMTB2016","21","1","3454"</v>
      </c>
      <c r="I368" s="52" t="str">
        <f t="shared" si="86"/>
        <v>KK-04599|42217|TRT-80-10</v>
      </c>
      <c r="J368" s="52" t="str">
        <f t="shared" si="89"/>
        <v>KK-04599</v>
      </c>
      <c r="K368" s="52" t="str">
        <f t="shared" si="90"/>
        <v>Bernardus Yogie Dirga Gunawan</v>
      </c>
      <c r="L368" s="52" t="str">
        <f t="shared" si="85"/>
        <v>TRT-80-10</v>
      </c>
      <c r="M368" s="82">
        <v>42217</v>
      </c>
      <c r="N368" s="2">
        <v>50000.000000000007</v>
      </c>
    </row>
    <row r="369" spans="1:14" x14ac:dyDescent="0.35">
      <c r="A369" s="52" t="s">
        <v>6063</v>
      </c>
      <c r="C369" s="30" t="s">
        <v>20980</v>
      </c>
      <c r="D369" s="30" t="str">
        <f>"""TRUST Nav"",""HSPMTB2016"",""21"",""1"",""3455"""</f>
        <v>"TRUST Nav","HSPMTB2016","21","1","3455"</v>
      </c>
      <c r="I369" s="52" t="str">
        <f t="shared" si="86"/>
        <v>KK-04599|42248|TRT-80-10</v>
      </c>
      <c r="J369" s="52" t="str">
        <f t="shared" si="89"/>
        <v>KK-04599</v>
      </c>
      <c r="K369" s="52" t="str">
        <f t="shared" si="90"/>
        <v>Bernardus Yogie Dirga Gunawan</v>
      </c>
      <c r="L369" s="52" t="str">
        <f t="shared" si="85"/>
        <v>TRT-80-10</v>
      </c>
      <c r="M369" s="82">
        <v>42248</v>
      </c>
      <c r="N369" s="2">
        <v>50000.000000000007</v>
      </c>
    </row>
    <row r="370" spans="1:14" x14ac:dyDescent="0.35">
      <c r="A370" s="52" t="s">
        <v>6063</v>
      </c>
      <c r="C370" s="30" t="s">
        <v>20980</v>
      </c>
      <c r="D370" s="30" t="str">
        <f>"""TRUST Nav"",""HSPMTB2016"",""21"",""1"",""3456"""</f>
        <v>"TRUST Nav","HSPMTB2016","21","1","3456"</v>
      </c>
      <c r="I370" s="52" t="str">
        <f t="shared" si="86"/>
        <v>KK-04599|42278|TRT-80-10</v>
      </c>
      <c r="J370" s="52" t="str">
        <f t="shared" si="89"/>
        <v>KK-04599</v>
      </c>
      <c r="K370" s="52" t="str">
        <f t="shared" si="90"/>
        <v>Bernardus Yogie Dirga Gunawan</v>
      </c>
      <c r="L370" s="52" t="str">
        <f t="shared" si="85"/>
        <v>TRT-80-10</v>
      </c>
      <c r="M370" s="82">
        <v>42278</v>
      </c>
      <c r="N370" s="2">
        <v>50000.000000000007</v>
      </c>
    </row>
    <row r="371" spans="1:14" x14ac:dyDescent="0.35">
      <c r="A371" s="52" t="s">
        <v>6063</v>
      </c>
      <c r="C371" s="30" t="s">
        <v>20980</v>
      </c>
      <c r="D371" s="30" t="str">
        <f>"""TRUST Nav"",""HSPMTB2016"",""21"",""1"",""3457"""</f>
        <v>"TRUST Nav","HSPMTB2016","21","1","3457"</v>
      </c>
      <c r="I371" s="52" t="str">
        <f t="shared" si="86"/>
        <v>KK-04599|42309|TRT-80-10</v>
      </c>
      <c r="J371" s="52" t="str">
        <f t="shared" si="89"/>
        <v>KK-04599</v>
      </c>
      <c r="K371" s="52" t="str">
        <f t="shared" si="90"/>
        <v>Bernardus Yogie Dirga Gunawan</v>
      </c>
      <c r="L371" s="52" t="str">
        <f t="shared" si="85"/>
        <v>TRT-80-10</v>
      </c>
      <c r="M371" s="82">
        <v>42309</v>
      </c>
      <c r="N371" s="2">
        <v>50000.000000000007</v>
      </c>
    </row>
    <row r="372" spans="1:14" x14ac:dyDescent="0.35">
      <c r="A372" s="52" t="s">
        <v>6063</v>
      </c>
      <c r="C372" s="30" t="s">
        <v>20980</v>
      </c>
      <c r="D372" s="30" t="str">
        <f>"""TRUST Nav"",""HSPMTB2016"",""21"",""1"",""3458"""</f>
        <v>"TRUST Nav","HSPMTB2016","21","1","3458"</v>
      </c>
      <c r="I372" s="52" t="str">
        <f t="shared" si="86"/>
        <v>KK-04599|42339|TRT-80-10</v>
      </c>
      <c r="J372" s="52" t="str">
        <f t="shared" si="89"/>
        <v>KK-04599</v>
      </c>
      <c r="K372" s="52" t="str">
        <f t="shared" si="90"/>
        <v>Bernardus Yogie Dirga Gunawan</v>
      </c>
      <c r="L372" s="52" t="str">
        <f t="shared" si="85"/>
        <v>TRT-80-10</v>
      </c>
      <c r="M372" s="82">
        <v>42339</v>
      </c>
      <c r="N372" s="2">
        <v>50000.000000000007</v>
      </c>
    </row>
    <row r="373" spans="1:14" x14ac:dyDescent="0.35">
      <c r="A373" s="52" t="s">
        <v>6063</v>
      </c>
      <c r="C373" s="30" t="s">
        <v>20980</v>
      </c>
      <c r="D373" s="30" t="str">
        <f>"""TRUST Nav"",""HSPMTB2016"",""21"",""1"",""37252"""</f>
        <v>"TRUST Nav","HSPMTB2016","21","1","37252"</v>
      </c>
      <c r="I373" s="52" t="str">
        <f t="shared" si="86"/>
        <v>KK-04599|42368|TRT-80-10</v>
      </c>
      <c r="J373" s="52" t="str">
        <f t="shared" si="89"/>
        <v>KK-04599</v>
      </c>
      <c r="K373" s="52" t="str">
        <f t="shared" si="90"/>
        <v>Bernardus Yogie Dirga Gunawan</v>
      </c>
      <c r="L373" s="52" t="str">
        <f t="shared" si="85"/>
        <v>TRT-80-10</v>
      </c>
      <c r="M373" s="82">
        <v>42368</v>
      </c>
      <c r="N373" s="2">
        <v>50000.000000000007</v>
      </c>
    </row>
    <row r="374" spans="1:14" x14ac:dyDescent="0.35">
      <c r="A374" s="52" t="s">
        <v>6063</v>
      </c>
      <c r="C374" s="30" t="s">
        <v>20980</v>
      </c>
      <c r="D374" s="30" t="str">
        <f>"""TRUST Nav"",""HSPMTB2016"",""21"",""1"",""37253"""</f>
        <v>"TRUST Nav","HSPMTB2016","21","1","37253"</v>
      </c>
      <c r="I374" s="52" t="str">
        <f t="shared" si="86"/>
        <v>KK-04599|42368|TRT-80-10</v>
      </c>
      <c r="J374" s="52" t="str">
        <f t="shared" si="89"/>
        <v>KK-04599</v>
      </c>
      <c r="K374" s="52" t="str">
        <f t="shared" si="90"/>
        <v>Bernardus Yogie Dirga Gunawan</v>
      </c>
      <c r="L374" s="52" t="str">
        <f t="shared" si="85"/>
        <v>TRT-80-10</v>
      </c>
      <c r="M374" s="82">
        <v>42368</v>
      </c>
      <c r="N374" s="2">
        <v>50000.000000000007</v>
      </c>
    </row>
    <row r="375" spans="1:14" x14ac:dyDescent="0.35">
      <c r="A375" s="52" t="s">
        <v>6063</v>
      </c>
      <c r="C375" s="30" t="s">
        <v>20980</v>
      </c>
      <c r="D375" s="30" t="str">
        <f>"""TRUST Nav"",""HSPMTB2016"",""21"",""1"",""37254"""</f>
        <v>"TRUST Nav","HSPMTB2016","21","1","37254"</v>
      </c>
      <c r="I375" s="52" t="str">
        <f t="shared" si="86"/>
        <v>KK-04599|42368|TRT-80-10</v>
      </c>
      <c r="J375" s="52" t="str">
        <f t="shared" si="89"/>
        <v>KK-04599</v>
      </c>
      <c r="K375" s="52" t="str">
        <f t="shared" si="90"/>
        <v>Bernardus Yogie Dirga Gunawan</v>
      </c>
      <c r="L375" s="52" t="str">
        <f t="shared" si="85"/>
        <v>TRT-80-10</v>
      </c>
      <c r="M375" s="82">
        <v>42368</v>
      </c>
      <c r="N375" s="2">
        <v>50000.000000000007</v>
      </c>
    </row>
    <row r="376" spans="1:14" x14ac:dyDescent="0.35">
      <c r="A376" s="52" t="s">
        <v>6063</v>
      </c>
      <c r="C376" s="30" t="s">
        <v>20980</v>
      </c>
      <c r="D376" s="30" t="str">
        <f>"""TRUST Nav"",""HSPMTB2016"",""21"",""1"",""37255"""</f>
        <v>"TRUST Nav","HSPMTB2016","21","1","37255"</v>
      </c>
      <c r="I376" s="52" t="str">
        <f t="shared" si="86"/>
        <v>KK-04599|42368|TRT-80-10</v>
      </c>
      <c r="J376" s="52" t="str">
        <f t="shared" si="89"/>
        <v>KK-04599</v>
      </c>
      <c r="K376" s="52" t="str">
        <f t="shared" si="90"/>
        <v>Bernardus Yogie Dirga Gunawan</v>
      </c>
      <c r="L376" s="52" t="str">
        <f t="shared" si="85"/>
        <v>TRT-80-10</v>
      </c>
      <c r="M376" s="82">
        <v>42368</v>
      </c>
      <c r="N376" s="2">
        <v>50000.000000000007</v>
      </c>
    </row>
    <row r="377" spans="1:14" x14ac:dyDescent="0.35">
      <c r="A377" s="52" t="s">
        <v>6063</v>
      </c>
      <c r="C377" s="30" t="s">
        <v>20980</v>
      </c>
      <c r="D377" s="30" t="str">
        <f>"""TRUST Nav"",""HSPMTB2016"",""21"",""1"",""37256"""</f>
        <v>"TRUST Nav","HSPMTB2016","21","1","37256"</v>
      </c>
      <c r="I377" s="52" t="str">
        <f t="shared" si="86"/>
        <v>KK-04599|42368|TRT-80-10</v>
      </c>
      <c r="J377" s="52" t="str">
        <f t="shared" si="89"/>
        <v>KK-04599</v>
      </c>
      <c r="K377" s="52" t="str">
        <f t="shared" si="90"/>
        <v>Bernardus Yogie Dirga Gunawan</v>
      </c>
      <c r="L377" s="52" t="str">
        <f t="shared" si="85"/>
        <v>TRT-80-10</v>
      </c>
      <c r="M377" s="82">
        <v>42368</v>
      </c>
      <c r="N377" s="2">
        <v>50000.000000000007</v>
      </c>
    </row>
    <row r="378" spans="1:14" x14ac:dyDescent="0.35">
      <c r="A378" s="52" t="s">
        <v>6063</v>
      </c>
      <c r="C378" s="30" t="s">
        <v>20980</v>
      </c>
      <c r="D378" s="30" t="str">
        <f>"""TRUST Nav"",""HSPMTB2016"",""21"",""1"",""37257"""</f>
        <v>"TRUST Nav","HSPMTB2016","21","1","37257"</v>
      </c>
      <c r="I378" s="52" t="str">
        <f t="shared" si="86"/>
        <v>KK-04599|42368|TRT-80-10</v>
      </c>
      <c r="J378" s="52" t="str">
        <f t="shared" si="89"/>
        <v>KK-04599</v>
      </c>
      <c r="K378" s="52" t="str">
        <f t="shared" si="90"/>
        <v>Bernardus Yogie Dirga Gunawan</v>
      </c>
      <c r="L378" s="52" t="str">
        <f t="shared" si="85"/>
        <v>TRT-80-10</v>
      </c>
      <c r="M378" s="82">
        <v>42368</v>
      </c>
      <c r="N378" s="2">
        <v>50000.000000000007</v>
      </c>
    </row>
    <row r="379" spans="1:14" x14ac:dyDescent="0.35">
      <c r="A379" s="52" t="s">
        <v>6063</v>
      </c>
      <c r="C379" s="30" t="s">
        <v>20980</v>
      </c>
      <c r="D379" s="30" t="str">
        <f>"""TRUST Nav"",""HSPMTB2016"",""21"",""1"",""73417"""</f>
        <v>"TRUST Nav","HSPMTB2016","21","1","73417"</v>
      </c>
      <c r="I379" s="52" t="str">
        <f t="shared" si="86"/>
        <v>KK-04599|42370|TRT-80-10</v>
      </c>
      <c r="J379" s="52" t="str">
        <f t="shared" si="89"/>
        <v>KK-04599</v>
      </c>
      <c r="K379" s="52" t="str">
        <f t="shared" si="90"/>
        <v>Bernardus Yogie Dirga Gunawan</v>
      </c>
      <c r="L379" s="52" t="str">
        <f t="shared" si="85"/>
        <v>TRT-80-10</v>
      </c>
      <c r="M379" s="82">
        <v>42370</v>
      </c>
      <c r="N379" s="2">
        <v>50000.000000000007</v>
      </c>
    </row>
    <row r="380" spans="1:14" x14ac:dyDescent="0.35">
      <c r="A380" s="52" t="s">
        <v>6063</v>
      </c>
      <c r="C380" s="30" t="s">
        <v>20980</v>
      </c>
      <c r="D380" s="30" t="str">
        <f>"""TRUST Nav"",""HSPMTB2016"",""21"",""1"",""73418"""</f>
        <v>"TRUST Nav","HSPMTB2016","21","1","73418"</v>
      </c>
      <c r="I380" s="52" t="str">
        <f t="shared" si="86"/>
        <v>KK-04599|42401|TRT-80-10</v>
      </c>
      <c r="J380" s="52" t="str">
        <f t="shared" si="89"/>
        <v>KK-04599</v>
      </c>
      <c r="K380" s="52" t="str">
        <f t="shared" si="90"/>
        <v>Bernardus Yogie Dirga Gunawan</v>
      </c>
      <c r="L380" s="52" t="str">
        <f t="shared" si="85"/>
        <v>TRT-80-10</v>
      </c>
      <c r="M380" s="82">
        <v>42401</v>
      </c>
      <c r="N380" s="2">
        <v>50000.000000000007</v>
      </c>
    </row>
    <row r="381" spans="1:14" x14ac:dyDescent="0.35">
      <c r="A381" s="52" t="s">
        <v>6063</v>
      </c>
      <c r="C381" s="30" t="s">
        <v>20980</v>
      </c>
      <c r="D381" s="30" t="str">
        <f>"""TRUST Nav"",""HSPMTB2016"",""21"",""1"",""122016"""</f>
        <v>"TRUST Nav","HSPMTB2016","21","1","122016"</v>
      </c>
      <c r="I381" s="52" t="str">
        <f t="shared" si="86"/>
        <v>KK-04599|42430|TRT-80-10</v>
      </c>
      <c r="J381" s="52" t="str">
        <f t="shared" si="89"/>
        <v>KK-04599</v>
      </c>
      <c r="K381" s="52" t="str">
        <f t="shared" si="90"/>
        <v>Bernardus Yogie Dirga Gunawan</v>
      </c>
      <c r="L381" s="52" t="str">
        <f t="shared" si="85"/>
        <v>TRT-80-10</v>
      </c>
      <c r="M381" s="82">
        <v>42430</v>
      </c>
      <c r="N381" s="2">
        <v>50000.000000000007</v>
      </c>
    </row>
    <row r="382" spans="1:14" x14ac:dyDescent="0.35">
      <c r="A382" s="52" t="s">
        <v>6063</v>
      </c>
      <c r="C382" s="30" t="s">
        <v>20980</v>
      </c>
      <c r="D382" s="30" t="str">
        <f>"""TRUST Nav"",""HSPMTB2016"",""21"",""1"",""122017"""</f>
        <v>"TRUST Nav","HSPMTB2016","21","1","122017"</v>
      </c>
      <c r="I382" s="52" t="str">
        <f t="shared" si="86"/>
        <v>KK-04599|42461|TRT-80-10</v>
      </c>
      <c r="J382" s="52" t="str">
        <f t="shared" si="89"/>
        <v>KK-04599</v>
      </c>
      <c r="K382" s="52" t="str">
        <f t="shared" si="90"/>
        <v>Bernardus Yogie Dirga Gunawan</v>
      </c>
      <c r="L382" s="52" t="str">
        <f t="shared" si="85"/>
        <v>TRT-80-10</v>
      </c>
      <c r="M382" s="82">
        <v>42461</v>
      </c>
      <c r="N382" s="2">
        <v>50000.000000000007</v>
      </c>
    </row>
    <row r="383" spans="1:14" x14ac:dyDescent="0.35">
      <c r="A383" s="52" t="s">
        <v>6063</v>
      </c>
      <c r="C383" s="30" t="s">
        <v>20980</v>
      </c>
      <c r="D383" s="30" t="str">
        <f>"""TRUST Nav"",""HSPMTB2016"",""21"",""1"",""122018"""</f>
        <v>"TRUST Nav","HSPMTB2016","21","1","122018"</v>
      </c>
      <c r="I383" s="52" t="str">
        <f t="shared" si="86"/>
        <v>KK-04599|42491|TRT-80-10</v>
      </c>
      <c r="J383" s="52" t="str">
        <f t="shared" si="89"/>
        <v>KK-04599</v>
      </c>
      <c r="K383" s="52" t="str">
        <f t="shared" si="90"/>
        <v>Bernardus Yogie Dirga Gunawan</v>
      </c>
      <c r="L383" s="52" t="str">
        <f t="shared" si="85"/>
        <v>TRT-80-10</v>
      </c>
      <c r="M383" s="82">
        <v>42491</v>
      </c>
      <c r="N383" s="2">
        <v>50000.000000000007</v>
      </c>
    </row>
    <row r="384" spans="1:14" x14ac:dyDescent="0.35">
      <c r="A384" s="52" t="s">
        <v>6063</v>
      </c>
      <c r="C384" s="30" t="s">
        <v>20980</v>
      </c>
      <c r="D384" s="30" t="str">
        <f>"""TRUST Nav"",""HSPMTB2016"",""21"",""1"",""122019"""</f>
        <v>"TRUST Nav","HSPMTB2016","21","1","122019"</v>
      </c>
      <c r="I384" s="52" t="str">
        <f t="shared" si="86"/>
        <v>KK-04599|42522|TRT-80-10</v>
      </c>
      <c r="J384" s="52" t="str">
        <f t="shared" si="89"/>
        <v>KK-04599</v>
      </c>
      <c r="K384" s="52" t="str">
        <f t="shared" si="90"/>
        <v>Bernardus Yogie Dirga Gunawan</v>
      </c>
      <c r="L384" s="52" t="str">
        <f t="shared" si="85"/>
        <v>TRT-80-10</v>
      </c>
      <c r="M384" s="82">
        <v>42522</v>
      </c>
      <c r="N384" s="2">
        <v>50000.000000000007</v>
      </c>
    </row>
    <row r="385" spans="1:14" x14ac:dyDescent="0.35">
      <c r="A385" s="52" t="s">
        <v>6063</v>
      </c>
      <c r="C385" s="30" t="s">
        <v>20980</v>
      </c>
      <c r="D385" s="30" t="str">
        <f>"""TRUST Nav"",""HSPMTB2016"",""21"",""1"",""129693"""</f>
        <v>"TRUST Nav","HSPMTB2016","21","1","129693"</v>
      </c>
      <c r="I385" s="52" t="str">
        <f t="shared" si="86"/>
        <v>KK-04599|42552|TRT-80-10</v>
      </c>
      <c r="J385" s="52" t="str">
        <f t="shared" si="89"/>
        <v>KK-04599</v>
      </c>
      <c r="K385" s="52" t="str">
        <f t="shared" si="90"/>
        <v>Bernardus Yogie Dirga Gunawan</v>
      </c>
      <c r="L385" s="52" t="str">
        <f t="shared" si="85"/>
        <v>TRT-80-10</v>
      </c>
      <c r="M385" s="82">
        <v>42552</v>
      </c>
      <c r="N385" s="2">
        <v>50000.000000000007</v>
      </c>
    </row>
    <row r="386" spans="1:14" x14ac:dyDescent="0.35">
      <c r="A386" s="52" t="s">
        <v>6063</v>
      </c>
      <c r="C386" s="30" t="s">
        <v>20980</v>
      </c>
      <c r="D386" s="30" t="str">
        <f>"""TRUST Nav"",""HSPMTB2016"",""21"",""1"",""129694"""</f>
        <v>"TRUST Nav","HSPMTB2016","21","1","129694"</v>
      </c>
      <c r="I386" s="52" t="str">
        <f t="shared" si="86"/>
        <v>KK-04599|42583|TRT-80-10</v>
      </c>
      <c r="J386" s="52" t="str">
        <f t="shared" si="89"/>
        <v>KK-04599</v>
      </c>
      <c r="K386" s="52" t="str">
        <f t="shared" si="90"/>
        <v>Bernardus Yogie Dirga Gunawan</v>
      </c>
      <c r="L386" s="52" t="str">
        <f t="shared" si="85"/>
        <v>TRT-80-10</v>
      </c>
      <c r="M386" s="82">
        <v>42583</v>
      </c>
      <c r="N386" s="2">
        <v>50000.000000000007</v>
      </c>
    </row>
    <row r="387" spans="1:14" x14ac:dyDescent="0.35">
      <c r="A387" s="52" t="s">
        <v>6063</v>
      </c>
      <c r="C387" s="30" t="s">
        <v>20980</v>
      </c>
      <c r="D387" s="30" t="str">
        <f>"""TRUST Nav"",""HSPMTB2016"",""21"",""1"",""129695"""</f>
        <v>"TRUST Nav","HSPMTB2016","21","1","129695"</v>
      </c>
      <c r="I387" s="52" t="str">
        <f t="shared" si="86"/>
        <v>KK-04599|42614|TRT-80-10</v>
      </c>
      <c r="J387" s="52" t="str">
        <f t="shared" si="89"/>
        <v>KK-04599</v>
      </c>
      <c r="K387" s="52" t="str">
        <f t="shared" si="90"/>
        <v>Bernardus Yogie Dirga Gunawan</v>
      </c>
      <c r="L387" s="52" t="str">
        <f t="shared" si="85"/>
        <v>TRT-80-10</v>
      </c>
      <c r="M387" s="82">
        <v>42614</v>
      </c>
      <c r="N387" s="2">
        <v>50000.000000000007</v>
      </c>
    </row>
    <row r="388" spans="1:14" x14ac:dyDescent="0.35">
      <c r="A388" s="52" t="s">
        <v>6063</v>
      </c>
      <c r="C388" s="30" t="s">
        <v>20980</v>
      </c>
      <c r="D388" s="30" t="str">
        <f>"""TRUST Nav"",""HSPMTB2016"",""21"",""1"",""3459"""</f>
        <v>"TRUST Nav","HSPMTB2016","21","1","3459"</v>
      </c>
      <c r="I388" s="52" t="str">
        <f t="shared" si="86"/>
        <v>KK-04600|42186|TRT-80-10</v>
      </c>
      <c r="J388" s="52" t="str">
        <f t="shared" ref="J388:J399" si="91">"KK-04600"</f>
        <v>KK-04600</v>
      </c>
      <c r="K388" s="52" t="str">
        <f t="shared" ref="K388:K399" si="92">"Bing Subroto"</f>
        <v>Bing Subroto</v>
      </c>
      <c r="L388" s="52" t="str">
        <f t="shared" si="85"/>
        <v>TRT-80-10</v>
      </c>
      <c r="M388" s="82">
        <v>42186</v>
      </c>
      <c r="N388" s="2">
        <v>15000</v>
      </c>
    </row>
    <row r="389" spans="1:14" x14ac:dyDescent="0.35">
      <c r="A389" s="52" t="s">
        <v>6063</v>
      </c>
      <c r="C389" s="30" t="s">
        <v>20980</v>
      </c>
      <c r="D389" s="30" t="str">
        <f>"""TRUST Nav"",""HSPMTB2016"",""21"",""1"",""3460"""</f>
        <v>"TRUST Nav","HSPMTB2016","21","1","3460"</v>
      </c>
      <c r="I389" s="52" t="str">
        <f t="shared" si="86"/>
        <v>KK-04600|42217|TRT-80-10</v>
      </c>
      <c r="J389" s="52" t="str">
        <f t="shared" si="91"/>
        <v>KK-04600</v>
      </c>
      <c r="K389" s="52" t="str">
        <f t="shared" si="92"/>
        <v>Bing Subroto</v>
      </c>
      <c r="L389" s="52" t="str">
        <f t="shared" si="85"/>
        <v>TRT-80-10</v>
      </c>
      <c r="M389" s="82">
        <v>42217</v>
      </c>
      <c r="N389" s="2">
        <v>15000</v>
      </c>
    </row>
    <row r="390" spans="1:14" x14ac:dyDescent="0.35">
      <c r="A390" s="52" t="s">
        <v>6063</v>
      </c>
      <c r="C390" s="30" t="s">
        <v>20980</v>
      </c>
      <c r="D390" s="30" t="str">
        <f>"""TRUST Nav"",""HSPMTB2016"",""21"",""1"",""3461"""</f>
        <v>"TRUST Nav","HSPMTB2016","21","1","3461"</v>
      </c>
      <c r="I390" s="52" t="str">
        <f t="shared" si="86"/>
        <v>KK-04600|42248|TRT-80-10</v>
      </c>
      <c r="J390" s="52" t="str">
        <f t="shared" si="91"/>
        <v>KK-04600</v>
      </c>
      <c r="K390" s="52" t="str">
        <f t="shared" si="92"/>
        <v>Bing Subroto</v>
      </c>
      <c r="L390" s="52" t="str">
        <f t="shared" si="85"/>
        <v>TRT-80-10</v>
      </c>
      <c r="M390" s="82">
        <v>42248</v>
      </c>
      <c r="N390" s="2">
        <v>15000</v>
      </c>
    </row>
    <row r="391" spans="1:14" x14ac:dyDescent="0.35">
      <c r="A391" s="52" t="s">
        <v>6063</v>
      </c>
      <c r="C391" s="30" t="s">
        <v>20980</v>
      </c>
      <c r="D391" s="30" t="str">
        <f>"""TRUST Nav"",""HSPMTB2016"",""21"",""1"",""3462"""</f>
        <v>"TRUST Nav","HSPMTB2016","21","1","3462"</v>
      </c>
      <c r="I391" s="52" t="str">
        <f t="shared" si="86"/>
        <v>KK-04600|42278|TRT-80-10</v>
      </c>
      <c r="J391" s="52" t="str">
        <f t="shared" si="91"/>
        <v>KK-04600</v>
      </c>
      <c r="K391" s="52" t="str">
        <f t="shared" si="92"/>
        <v>Bing Subroto</v>
      </c>
      <c r="L391" s="52" t="str">
        <f t="shared" si="85"/>
        <v>TRT-80-10</v>
      </c>
      <c r="M391" s="82">
        <v>42278</v>
      </c>
      <c r="N391" s="2">
        <v>15000</v>
      </c>
    </row>
    <row r="392" spans="1:14" x14ac:dyDescent="0.35">
      <c r="A392" s="52" t="s">
        <v>6063</v>
      </c>
      <c r="C392" s="30" t="s">
        <v>20980</v>
      </c>
      <c r="D392" s="30" t="str">
        <f>"""TRUST Nav"",""HSPMTB2016"",""21"",""1"",""3463"""</f>
        <v>"TRUST Nav","HSPMTB2016","21","1","3463"</v>
      </c>
      <c r="I392" s="52" t="str">
        <f t="shared" si="86"/>
        <v>KK-04600|42309|TRT-80-10</v>
      </c>
      <c r="J392" s="52" t="str">
        <f t="shared" si="91"/>
        <v>KK-04600</v>
      </c>
      <c r="K392" s="52" t="str">
        <f t="shared" si="92"/>
        <v>Bing Subroto</v>
      </c>
      <c r="L392" s="52" t="str">
        <f t="shared" si="85"/>
        <v>TRT-80-10</v>
      </c>
      <c r="M392" s="82">
        <v>42309</v>
      </c>
      <c r="N392" s="2">
        <v>15000</v>
      </c>
    </row>
    <row r="393" spans="1:14" x14ac:dyDescent="0.35">
      <c r="A393" s="52" t="s">
        <v>6063</v>
      </c>
      <c r="C393" s="30" t="s">
        <v>20980</v>
      </c>
      <c r="D393" s="30" t="str">
        <f>"""TRUST Nav"",""HSPMTB2016"",""21"",""1"",""3464"""</f>
        <v>"TRUST Nav","HSPMTB2016","21","1","3464"</v>
      </c>
      <c r="I393" s="52" t="str">
        <f t="shared" si="86"/>
        <v>KK-04600|42339|TRT-80-10</v>
      </c>
      <c r="J393" s="52" t="str">
        <f t="shared" si="91"/>
        <v>KK-04600</v>
      </c>
      <c r="K393" s="52" t="str">
        <f t="shared" si="92"/>
        <v>Bing Subroto</v>
      </c>
      <c r="L393" s="52" t="str">
        <f t="shared" si="85"/>
        <v>TRT-80-10</v>
      </c>
      <c r="M393" s="82">
        <v>42339</v>
      </c>
      <c r="N393" s="2">
        <v>15000</v>
      </c>
    </row>
    <row r="394" spans="1:14" x14ac:dyDescent="0.35">
      <c r="A394" s="52" t="s">
        <v>6063</v>
      </c>
      <c r="C394" s="30" t="s">
        <v>20980</v>
      </c>
      <c r="D394" s="30" t="str">
        <f>"""TRUST Nav"",""HSPMTB2016"",""21"",""1"",""37258"""</f>
        <v>"TRUST Nav","HSPMTB2016","21","1","37258"</v>
      </c>
      <c r="I394" s="52" t="str">
        <f t="shared" si="86"/>
        <v>KK-04600|42368|TRT-80-10</v>
      </c>
      <c r="J394" s="52" t="str">
        <f t="shared" si="91"/>
        <v>KK-04600</v>
      </c>
      <c r="K394" s="52" t="str">
        <f t="shared" si="92"/>
        <v>Bing Subroto</v>
      </c>
      <c r="L394" s="52" t="str">
        <f t="shared" ref="L394:L457" si="93">"TRT-80-10"</f>
        <v>TRT-80-10</v>
      </c>
      <c r="M394" s="82">
        <v>42368</v>
      </c>
      <c r="N394" s="2">
        <v>15000</v>
      </c>
    </row>
    <row r="395" spans="1:14" x14ac:dyDescent="0.35">
      <c r="A395" s="52" t="s">
        <v>6063</v>
      </c>
      <c r="C395" s="30" t="s">
        <v>20980</v>
      </c>
      <c r="D395" s="30" t="str">
        <f>"""TRUST Nav"",""HSPMTB2016"",""21"",""1"",""37259"""</f>
        <v>"TRUST Nav","HSPMTB2016","21","1","37259"</v>
      </c>
      <c r="I395" s="52" t="str">
        <f t="shared" ref="I395:I458" si="94">CONCATENATE(J395,"|",M395,"|",L395)</f>
        <v>KK-04600|42368|TRT-80-10</v>
      </c>
      <c r="J395" s="52" t="str">
        <f t="shared" si="91"/>
        <v>KK-04600</v>
      </c>
      <c r="K395" s="52" t="str">
        <f t="shared" si="92"/>
        <v>Bing Subroto</v>
      </c>
      <c r="L395" s="52" t="str">
        <f t="shared" si="93"/>
        <v>TRT-80-10</v>
      </c>
      <c r="M395" s="82">
        <v>42368</v>
      </c>
      <c r="N395" s="2">
        <v>15000</v>
      </c>
    </row>
    <row r="396" spans="1:14" x14ac:dyDescent="0.35">
      <c r="A396" s="52" t="s">
        <v>6063</v>
      </c>
      <c r="C396" s="30" t="s">
        <v>20980</v>
      </c>
      <c r="D396" s="30" t="str">
        <f>"""TRUST Nav"",""HSPMTB2016"",""21"",""1"",""37260"""</f>
        <v>"TRUST Nav","HSPMTB2016","21","1","37260"</v>
      </c>
      <c r="I396" s="52" t="str">
        <f t="shared" si="94"/>
        <v>KK-04600|42368|TRT-80-10</v>
      </c>
      <c r="J396" s="52" t="str">
        <f t="shared" si="91"/>
        <v>KK-04600</v>
      </c>
      <c r="K396" s="52" t="str">
        <f t="shared" si="92"/>
        <v>Bing Subroto</v>
      </c>
      <c r="L396" s="52" t="str">
        <f t="shared" si="93"/>
        <v>TRT-80-10</v>
      </c>
      <c r="M396" s="82">
        <v>42368</v>
      </c>
      <c r="N396" s="2">
        <v>15000</v>
      </c>
    </row>
    <row r="397" spans="1:14" x14ac:dyDescent="0.35">
      <c r="A397" s="52" t="s">
        <v>6063</v>
      </c>
      <c r="C397" s="30" t="s">
        <v>20980</v>
      </c>
      <c r="D397" s="30" t="str">
        <f>"""TRUST Nav"",""HSPMTB2016"",""21"",""1"",""37261"""</f>
        <v>"TRUST Nav","HSPMTB2016","21","1","37261"</v>
      </c>
      <c r="I397" s="52" t="str">
        <f t="shared" si="94"/>
        <v>KK-04600|42368|TRT-80-10</v>
      </c>
      <c r="J397" s="52" t="str">
        <f t="shared" si="91"/>
        <v>KK-04600</v>
      </c>
      <c r="K397" s="52" t="str">
        <f t="shared" si="92"/>
        <v>Bing Subroto</v>
      </c>
      <c r="L397" s="52" t="str">
        <f t="shared" si="93"/>
        <v>TRT-80-10</v>
      </c>
      <c r="M397" s="82">
        <v>42368</v>
      </c>
      <c r="N397" s="2">
        <v>15000</v>
      </c>
    </row>
    <row r="398" spans="1:14" x14ac:dyDescent="0.35">
      <c r="A398" s="52" t="s">
        <v>6063</v>
      </c>
      <c r="C398" s="30" t="s">
        <v>20980</v>
      </c>
      <c r="D398" s="30" t="str">
        <f>"""TRUST Nav"",""HSPMTB2016"",""21"",""1"",""37262"""</f>
        <v>"TRUST Nav","HSPMTB2016","21","1","37262"</v>
      </c>
      <c r="I398" s="52" t="str">
        <f t="shared" si="94"/>
        <v>KK-04600|42368|TRT-80-10</v>
      </c>
      <c r="J398" s="52" t="str">
        <f t="shared" si="91"/>
        <v>KK-04600</v>
      </c>
      <c r="K398" s="52" t="str">
        <f t="shared" si="92"/>
        <v>Bing Subroto</v>
      </c>
      <c r="L398" s="52" t="str">
        <f t="shared" si="93"/>
        <v>TRT-80-10</v>
      </c>
      <c r="M398" s="82">
        <v>42368</v>
      </c>
      <c r="N398" s="2">
        <v>15000</v>
      </c>
    </row>
    <row r="399" spans="1:14" x14ac:dyDescent="0.35">
      <c r="A399" s="52" t="s">
        <v>6063</v>
      </c>
      <c r="C399" s="30" t="s">
        <v>20980</v>
      </c>
      <c r="D399" s="30" t="str">
        <f>"""TRUST Nav"",""HSPMTB2016"",""21"",""1"",""37263"""</f>
        <v>"TRUST Nav","HSPMTB2016","21","1","37263"</v>
      </c>
      <c r="I399" s="52" t="str">
        <f t="shared" si="94"/>
        <v>KK-04600|42368|TRT-80-10</v>
      </c>
      <c r="J399" s="52" t="str">
        <f t="shared" si="91"/>
        <v>KK-04600</v>
      </c>
      <c r="K399" s="52" t="str">
        <f t="shared" si="92"/>
        <v>Bing Subroto</v>
      </c>
      <c r="L399" s="52" t="str">
        <f t="shared" si="93"/>
        <v>TRT-80-10</v>
      </c>
      <c r="M399" s="82">
        <v>42368</v>
      </c>
      <c r="N399" s="2">
        <v>15000</v>
      </c>
    </row>
    <row r="400" spans="1:14" x14ac:dyDescent="0.35">
      <c r="A400" s="52" t="s">
        <v>6063</v>
      </c>
      <c r="C400" s="30" t="s">
        <v>20980</v>
      </c>
      <c r="D400" s="30" t="str">
        <f>"""TRUST Nav"",""HSPMTB2016"",""21"",""1"",""3465"""</f>
        <v>"TRUST Nav","HSPMTB2016","21","1","3465"</v>
      </c>
      <c r="I400" s="52" t="str">
        <f t="shared" si="94"/>
        <v>KK-04601|42186|TRT-80-10</v>
      </c>
      <c r="J400" s="52" t="str">
        <f t="shared" ref="J400:J418" si="95">"KK-04601"</f>
        <v>KK-04601</v>
      </c>
      <c r="K400" s="52" t="str">
        <f t="shared" ref="K400:K418" si="96">"Boen Yoen Tet (Teddy)"</f>
        <v>Boen Yoen Tet (Teddy)</v>
      </c>
      <c r="L400" s="52" t="str">
        <f t="shared" si="93"/>
        <v>TRT-80-10</v>
      </c>
      <c r="M400" s="82">
        <v>42186</v>
      </c>
      <c r="N400" s="2">
        <v>20000</v>
      </c>
    </row>
    <row r="401" spans="1:14" x14ac:dyDescent="0.35">
      <c r="A401" s="52" t="s">
        <v>6063</v>
      </c>
      <c r="C401" s="30" t="s">
        <v>20980</v>
      </c>
      <c r="D401" s="30" t="str">
        <f>"""TRUST Nav"",""HSPMTB2016"",""21"",""1"",""3466"""</f>
        <v>"TRUST Nav","HSPMTB2016","21","1","3466"</v>
      </c>
      <c r="I401" s="52" t="str">
        <f t="shared" si="94"/>
        <v>KK-04601|42217|TRT-80-10</v>
      </c>
      <c r="J401" s="52" t="str">
        <f t="shared" si="95"/>
        <v>KK-04601</v>
      </c>
      <c r="K401" s="52" t="str">
        <f t="shared" si="96"/>
        <v>Boen Yoen Tet (Teddy)</v>
      </c>
      <c r="L401" s="52" t="str">
        <f t="shared" si="93"/>
        <v>TRT-80-10</v>
      </c>
      <c r="M401" s="82">
        <v>42217</v>
      </c>
      <c r="N401" s="2">
        <v>20000</v>
      </c>
    </row>
    <row r="402" spans="1:14" x14ac:dyDescent="0.35">
      <c r="A402" s="52" t="s">
        <v>6063</v>
      </c>
      <c r="C402" s="30" t="s">
        <v>20980</v>
      </c>
      <c r="D402" s="30" t="str">
        <f>"""TRUST Nav"",""HSPMTB2016"",""21"",""1"",""3467"""</f>
        <v>"TRUST Nav","HSPMTB2016","21","1","3467"</v>
      </c>
      <c r="I402" s="52" t="str">
        <f t="shared" si="94"/>
        <v>KK-04601|42248|TRT-80-10</v>
      </c>
      <c r="J402" s="52" t="str">
        <f t="shared" si="95"/>
        <v>KK-04601</v>
      </c>
      <c r="K402" s="52" t="str">
        <f t="shared" si="96"/>
        <v>Boen Yoen Tet (Teddy)</v>
      </c>
      <c r="L402" s="52" t="str">
        <f t="shared" si="93"/>
        <v>TRT-80-10</v>
      </c>
      <c r="M402" s="82">
        <v>42248</v>
      </c>
      <c r="N402" s="2">
        <v>20000</v>
      </c>
    </row>
    <row r="403" spans="1:14" x14ac:dyDescent="0.35">
      <c r="A403" s="52" t="s">
        <v>6063</v>
      </c>
      <c r="C403" s="30" t="s">
        <v>20980</v>
      </c>
      <c r="D403" s="30" t="str">
        <f>"""TRUST Nav"",""HSPMTB2016"",""21"",""1"",""3468"""</f>
        <v>"TRUST Nav","HSPMTB2016","21","1","3468"</v>
      </c>
      <c r="I403" s="52" t="str">
        <f t="shared" si="94"/>
        <v>KK-04601|42278|TRT-80-10</v>
      </c>
      <c r="J403" s="52" t="str">
        <f t="shared" si="95"/>
        <v>KK-04601</v>
      </c>
      <c r="K403" s="52" t="str">
        <f t="shared" si="96"/>
        <v>Boen Yoen Tet (Teddy)</v>
      </c>
      <c r="L403" s="52" t="str">
        <f t="shared" si="93"/>
        <v>TRT-80-10</v>
      </c>
      <c r="M403" s="82">
        <v>42278</v>
      </c>
      <c r="N403" s="2">
        <v>20000</v>
      </c>
    </row>
    <row r="404" spans="1:14" x14ac:dyDescent="0.35">
      <c r="A404" s="52" t="s">
        <v>6063</v>
      </c>
      <c r="C404" s="30" t="s">
        <v>20980</v>
      </c>
      <c r="D404" s="30" t="str">
        <f>"""TRUST Nav"",""HSPMTB2016"",""21"",""1"",""3469"""</f>
        <v>"TRUST Nav","HSPMTB2016","21","1","3469"</v>
      </c>
      <c r="I404" s="52" t="str">
        <f t="shared" si="94"/>
        <v>KK-04601|42309|TRT-80-10</v>
      </c>
      <c r="J404" s="52" t="str">
        <f t="shared" si="95"/>
        <v>KK-04601</v>
      </c>
      <c r="K404" s="52" t="str">
        <f t="shared" si="96"/>
        <v>Boen Yoen Tet (Teddy)</v>
      </c>
      <c r="L404" s="52" t="str">
        <f t="shared" si="93"/>
        <v>TRT-80-10</v>
      </c>
      <c r="M404" s="82">
        <v>42309</v>
      </c>
      <c r="N404" s="2">
        <v>20000</v>
      </c>
    </row>
    <row r="405" spans="1:14" x14ac:dyDescent="0.35">
      <c r="A405" s="52" t="s">
        <v>6063</v>
      </c>
      <c r="C405" s="30" t="s">
        <v>20980</v>
      </c>
      <c r="D405" s="30" t="str">
        <f>"""TRUST Nav"",""HSPMTB2016"",""21"",""1"",""3470"""</f>
        <v>"TRUST Nav","HSPMTB2016","21","1","3470"</v>
      </c>
      <c r="I405" s="52" t="str">
        <f t="shared" si="94"/>
        <v>KK-04601|42339|TRT-80-10</v>
      </c>
      <c r="J405" s="52" t="str">
        <f t="shared" si="95"/>
        <v>KK-04601</v>
      </c>
      <c r="K405" s="52" t="str">
        <f t="shared" si="96"/>
        <v>Boen Yoen Tet (Teddy)</v>
      </c>
      <c r="L405" s="52" t="str">
        <f t="shared" si="93"/>
        <v>TRT-80-10</v>
      </c>
      <c r="M405" s="82">
        <v>42339</v>
      </c>
      <c r="N405" s="2">
        <v>20000</v>
      </c>
    </row>
    <row r="406" spans="1:14" x14ac:dyDescent="0.35">
      <c r="A406" s="52" t="s">
        <v>6063</v>
      </c>
      <c r="C406" s="30" t="s">
        <v>20980</v>
      </c>
      <c r="D406" s="30" t="str">
        <f>"""TRUST Nav"",""HSPMTB2016"",""21"",""1"",""37264"""</f>
        <v>"TRUST Nav","HSPMTB2016","21","1","37264"</v>
      </c>
      <c r="I406" s="52" t="str">
        <f t="shared" si="94"/>
        <v>KK-04601|42368|TRT-80-10</v>
      </c>
      <c r="J406" s="52" t="str">
        <f t="shared" si="95"/>
        <v>KK-04601</v>
      </c>
      <c r="K406" s="52" t="str">
        <f t="shared" si="96"/>
        <v>Boen Yoen Tet (Teddy)</v>
      </c>
      <c r="L406" s="52" t="str">
        <f t="shared" si="93"/>
        <v>TRT-80-10</v>
      </c>
      <c r="M406" s="82">
        <v>42368</v>
      </c>
      <c r="N406" s="2">
        <v>20000</v>
      </c>
    </row>
    <row r="407" spans="1:14" x14ac:dyDescent="0.35">
      <c r="A407" s="52" t="s">
        <v>6063</v>
      </c>
      <c r="C407" s="30" t="s">
        <v>20980</v>
      </c>
      <c r="D407" s="30" t="str">
        <f>"""TRUST Nav"",""HSPMTB2016"",""21"",""1"",""37265"""</f>
        <v>"TRUST Nav","HSPMTB2016","21","1","37265"</v>
      </c>
      <c r="I407" s="52" t="str">
        <f t="shared" si="94"/>
        <v>KK-04601|42368|TRT-80-10</v>
      </c>
      <c r="J407" s="52" t="str">
        <f t="shared" si="95"/>
        <v>KK-04601</v>
      </c>
      <c r="K407" s="52" t="str">
        <f t="shared" si="96"/>
        <v>Boen Yoen Tet (Teddy)</v>
      </c>
      <c r="L407" s="52" t="str">
        <f t="shared" si="93"/>
        <v>TRT-80-10</v>
      </c>
      <c r="M407" s="82">
        <v>42368</v>
      </c>
      <c r="N407" s="2">
        <v>20000</v>
      </c>
    </row>
    <row r="408" spans="1:14" x14ac:dyDescent="0.35">
      <c r="A408" s="52" t="s">
        <v>6063</v>
      </c>
      <c r="C408" s="30" t="s">
        <v>20980</v>
      </c>
      <c r="D408" s="30" t="str">
        <f>"""TRUST Nav"",""HSPMTB2016"",""21"",""1"",""37266"""</f>
        <v>"TRUST Nav","HSPMTB2016","21","1","37266"</v>
      </c>
      <c r="I408" s="52" t="str">
        <f t="shared" si="94"/>
        <v>KK-04601|42368|TRT-80-10</v>
      </c>
      <c r="J408" s="52" t="str">
        <f t="shared" si="95"/>
        <v>KK-04601</v>
      </c>
      <c r="K408" s="52" t="str">
        <f t="shared" si="96"/>
        <v>Boen Yoen Tet (Teddy)</v>
      </c>
      <c r="L408" s="52" t="str">
        <f t="shared" si="93"/>
        <v>TRT-80-10</v>
      </c>
      <c r="M408" s="82">
        <v>42368</v>
      </c>
      <c r="N408" s="2">
        <v>20000</v>
      </c>
    </row>
    <row r="409" spans="1:14" x14ac:dyDescent="0.35">
      <c r="A409" s="52" t="s">
        <v>6063</v>
      </c>
      <c r="C409" s="30" t="s">
        <v>20980</v>
      </c>
      <c r="D409" s="30" t="str">
        <f>"""TRUST Nav"",""HSPMTB2016"",""21"",""1"",""37267"""</f>
        <v>"TRUST Nav","HSPMTB2016","21","1","37267"</v>
      </c>
      <c r="I409" s="52" t="str">
        <f t="shared" si="94"/>
        <v>KK-04601|42368|TRT-80-10</v>
      </c>
      <c r="J409" s="52" t="str">
        <f t="shared" si="95"/>
        <v>KK-04601</v>
      </c>
      <c r="K409" s="52" t="str">
        <f t="shared" si="96"/>
        <v>Boen Yoen Tet (Teddy)</v>
      </c>
      <c r="L409" s="52" t="str">
        <f t="shared" si="93"/>
        <v>TRT-80-10</v>
      </c>
      <c r="M409" s="82">
        <v>42368</v>
      </c>
      <c r="N409" s="2">
        <v>20000</v>
      </c>
    </row>
    <row r="410" spans="1:14" x14ac:dyDescent="0.35">
      <c r="A410" s="52" t="s">
        <v>6063</v>
      </c>
      <c r="C410" s="30" t="s">
        <v>20980</v>
      </c>
      <c r="D410" s="30" t="str">
        <f>"""TRUST Nav"",""HSPMTB2016"",""21"",""1"",""37268"""</f>
        <v>"TRUST Nav","HSPMTB2016","21","1","37268"</v>
      </c>
      <c r="I410" s="52" t="str">
        <f t="shared" si="94"/>
        <v>KK-04601|42368|TRT-80-10</v>
      </c>
      <c r="J410" s="52" t="str">
        <f t="shared" si="95"/>
        <v>KK-04601</v>
      </c>
      <c r="K410" s="52" t="str">
        <f t="shared" si="96"/>
        <v>Boen Yoen Tet (Teddy)</v>
      </c>
      <c r="L410" s="52" t="str">
        <f t="shared" si="93"/>
        <v>TRT-80-10</v>
      </c>
      <c r="M410" s="82">
        <v>42368</v>
      </c>
      <c r="N410" s="2">
        <v>20000</v>
      </c>
    </row>
    <row r="411" spans="1:14" x14ac:dyDescent="0.35">
      <c r="A411" s="52" t="s">
        <v>6063</v>
      </c>
      <c r="C411" s="30" t="s">
        <v>20980</v>
      </c>
      <c r="D411" s="30" t="str">
        <f>"""TRUST Nav"",""HSPMTB2016"",""21"",""1"",""37269"""</f>
        <v>"TRUST Nav","HSPMTB2016","21","1","37269"</v>
      </c>
      <c r="I411" s="52" t="str">
        <f t="shared" si="94"/>
        <v>KK-04601|42368|TRT-80-10</v>
      </c>
      <c r="J411" s="52" t="str">
        <f t="shared" si="95"/>
        <v>KK-04601</v>
      </c>
      <c r="K411" s="52" t="str">
        <f t="shared" si="96"/>
        <v>Boen Yoen Tet (Teddy)</v>
      </c>
      <c r="L411" s="52" t="str">
        <f t="shared" si="93"/>
        <v>TRT-80-10</v>
      </c>
      <c r="M411" s="82">
        <v>42368</v>
      </c>
      <c r="N411" s="2">
        <v>20000</v>
      </c>
    </row>
    <row r="412" spans="1:14" x14ac:dyDescent="0.35">
      <c r="A412" s="52" t="s">
        <v>6063</v>
      </c>
      <c r="C412" s="30" t="s">
        <v>20980</v>
      </c>
      <c r="D412" s="30" t="str">
        <f>"""TRUST Nav"",""HSPMTB2016"",""21"",""1"",""102548"""</f>
        <v>"TRUST Nav","HSPMTB2016","21","1","102548"</v>
      </c>
      <c r="I412" s="52" t="str">
        <f t="shared" si="94"/>
        <v>KK-04601|42370|TRT-80-10</v>
      </c>
      <c r="J412" s="52" t="str">
        <f t="shared" si="95"/>
        <v>KK-04601</v>
      </c>
      <c r="K412" s="52" t="str">
        <f t="shared" si="96"/>
        <v>Boen Yoen Tet (Teddy)</v>
      </c>
      <c r="L412" s="52" t="str">
        <f t="shared" si="93"/>
        <v>TRT-80-10</v>
      </c>
      <c r="M412" s="82">
        <v>42370</v>
      </c>
      <c r="N412" s="2">
        <v>20000</v>
      </c>
    </row>
    <row r="413" spans="1:14" x14ac:dyDescent="0.35">
      <c r="A413" s="52" t="s">
        <v>6063</v>
      </c>
      <c r="C413" s="30" t="s">
        <v>20980</v>
      </c>
      <c r="D413" s="30" t="str">
        <f>"""TRUST Nav"",""HSPMTB2016"",""21"",""1"",""102549"""</f>
        <v>"TRUST Nav","HSPMTB2016","21","1","102549"</v>
      </c>
      <c r="I413" s="52" t="str">
        <f t="shared" si="94"/>
        <v>KK-04601|42401|TRT-80-10</v>
      </c>
      <c r="J413" s="52" t="str">
        <f t="shared" si="95"/>
        <v>KK-04601</v>
      </c>
      <c r="K413" s="52" t="str">
        <f t="shared" si="96"/>
        <v>Boen Yoen Tet (Teddy)</v>
      </c>
      <c r="L413" s="52" t="str">
        <f t="shared" si="93"/>
        <v>TRT-80-10</v>
      </c>
      <c r="M413" s="82">
        <v>42401</v>
      </c>
      <c r="N413" s="2">
        <v>20000</v>
      </c>
    </row>
    <row r="414" spans="1:14" x14ac:dyDescent="0.35">
      <c r="A414" s="52" t="s">
        <v>6063</v>
      </c>
      <c r="C414" s="30" t="s">
        <v>20980</v>
      </c>
      <c r="D414" s="30" t="str">
        <f>"""TRUST Nav"",""HSPMTB2016"",""21"",""1"",""102550"""</f>
        <v>"TRUST Nav","HSPMTB2016","21","1","102550"</v>
      </c>
      <c r="I414" s="52" t="str">
        <f t="shared" si="94"/>
        <v>KK-04601|42430|TRT-80-10</v>
      </c>
      <c r="J414" s="52" t="str">
        <f t="shared" si="95"/>
        <v>KK-04601</v>
      </c>
      <c r="K414" s="52" t="str">
        <f t="shared" si="96"/>
        <v>Boen Yoen Tet (Teddy)</v>
      </c>
      <c r="L414" s="52" t="str">
        <f t="shared" si="93"/>
        <v>TRT-80-10</v>
      </c>
      <c r="M414" s="82">
        <v>42430</v>
      </c>
      <c r="N414" s="2">
        <v>20000</v>
      </c>
    </row>
    <row r="415" spans="1:14" x14ac:dyDescent="0.35">
      <c r="A415" s="52" t="s">
        <v>6063</v>
      </c>
      <c r="C415" s="30" t="s">
        <v>20980</v>
      </c>
      <c r="D415" s="30" t="str">
        <f>"""TRUST Nav"",""HSPMTB2016"",""21"",""1"",""102551"""</f>
        <v>"TRUST Nav","HSPMTB2016","21","1","102551"</v>
      </c>
      <c r="I415" s="52" t="str">
        <f t="shared" si="94"/>
        <v>KK-04601|42461|TRT-80-10</v>
      </c>
      <c r="J415" s="52" t="str">
        <f t="shared" si="95"/>
        <v>KK-04601</v>
      </c>
      <c r="K415" s="52" t="str">
        <f t="shared" si="96"/>
        <v>Boen Yoen Tet (Teddy)</v>
      </c>
      <c r="L415" s="52" t="str">
        <f t="shared" si="93"/>
        <v>TRT-80-10</v>
      </c>
      <c r="M415" s="82">
        <v>42461</v>
      </c>
      <c r="N415" s="2">
        <v>20000</v>
      </c>
    </row>
    <row r="416" spans="1:14" x14ac:dyDescent="0.35">
      <c r="A416" s="52" t="s">
        <v>6063</v>
      </c>
      <c r="C416" s="30" t="s">
        <v>20980</v>
      </c>
      <c r="D416" s="30" t="str">
        <f>"""TRUST Nav"",""HSPMTB2016"",""21"",""1"",""129696"""</f>
        <v>"TRUST Nav","HSPMTB2016","21","1","129696"</v>
      </c>
      <c r="I416" s="52" t="str">
        <f t="shared" si="94"/>
        <v>KK-04601|42491|TRT-80-10</v>
      </c>
      <c r="J416" s="52" t="str">
        <f t="shared" si="95"/>
        <v>KK-04601</v>
      </c>
      <c r="K416" s="52" t="str">
        <f t="shared" si="96"/>
        <v>Boen Yoen Tet (Teddy)</v>
      </c>
      <c r="L416" s="52" t="str">
        <f t="shared" si="93"/>
        <v>TRT-80-10</v>
      </c>
      <c r="M416" s="82">
        <v>42491</v>
      </c>
      <c r="N416" s="2">
        <v>20000</v>
      </c>
    </row>
    <row r="417" spans="1:14" x14ac:dyDescent="0.35">
      <c r="A417" s="52" t="s">
        <v>6063</v>
      </c>
      <c r="C417" s="30" t="s">
        <v>20980</v>
      </c>
      <c r="D417" s="30" t="str">
        <f>"""TRUST Nav"",""HSPMTB2016"",""21"",""1"",""129697"""</f>
        <v>"TRUST Nav","HSPMTB2016","21","1","129697"</v>
      </c>
      <c r="I417" s="52" t="str">
        <f t="shared" si="94"/>
        <v>KK-04601|42522|TRT-80-10</v>
      </c>
      <c r="J417" s="52" t="str">
        <f t="shared" si="95"/>
        <v>KK-04601</v>
      </c>
      <c r="K417" s="52" t="str">
        <f t="shared" si="96"/>
        <v>Boen Yoen Tet (Teddy)</v>
      </c>
      <c r="L417" s="52" t="str">
        <f t="shared" si="93"/>
        <v>TRT-80-10</v>
      </c>
      <c r="M417" s="82">
        <v>42522</v>
      </c>
      <c r="N417" s="2">
        <v>20000</v>
      </c>
    </row>
    <row r="418" spans="1:14" x14ac:dyDescent="0.35">
      <c r="A418" s="52" t="s">
        <v>6063</v>
      </c>
      <c r="C418" s="30" t="s">
        <v>20980</v>
      </c>
      <c r="D418" s="30" t="str">
        <f>"""TRUST Nav"",""HSPMTB2016"",""21"",""1"",""129698"""</f>
        <v>"TRUST Nav","HSPMTB2016","21","1","129698"</v>
      </c>
      <c r="I418" s="52" t="str">
        <f t="shared" si="94"/>
        <v>KK-04601|42552|TRT-80-10</v>
      </c>
      <c r="J418" s="52" t="str">
        <f t="shared" si="95"/>
        <v>KK-04601</v>
      </c>
      <c r="K418" s="52" t="str">
        <f t="shared" si="96"/>
        <v>Boen Yoen Tet (Teddy)</v>
      </c>
      <c r="L418" s="52" t="str">
        <f t="shared" si="93"/>
        <v>TRT-80-10</v>
      </c>
      <c r="M418" s="82">
        <v>42552</v>
      </c>
      <c r="N418" s="2">
        <v>20000</v>
      </c>
    </row>
    <row r="419" spans="1:14" x14ac:dyDescent="0.35">
      <c r="A419" s="52" t="s">
        <v>6063</v>
      </c>
      <c r="C419" s="30" t="s">
        <v>20980</v>
      </c>
      <c r="D419" s="30" t="str">
        <f>"""TRUST Nav"",""HSPMTB2016"",""21"",""1"",""3471"""</f>
        <v>"TRUST Nav","HSPMTB2016","21","1","3471"</v>
      </c>
      <c r="I419" s="52" t="str">
        <f t="shared" si="94"/>
        <v>KK-04602|42186|TRT-80-10</v>
      </c>
      <c r="J419" s="52" t="str">
        <f t="shared" ref="J419:J442" si="97">"KK-04602"</f>
        <v>KK-04602</v>
      </c>
      <c r="K419" s="52" t="str">
        <f t="shared" ref="K419:K442" si="98">"Budiarto"</f>
        <v>Budiarto</v>
      </c>
      <c r="L419" s="52" t="str">
        <f t="shared" si="93"/>
        <v>TRT-80-10</v>
      </c>
      <c r="M419" s="82">
        <v>42186</v>
      </c>
      <c r="N419" s="2">
        <v>10000</v>
      </c>
    </row>
    <row r="420" spans="1:14" x14ac:dyDescent="0.35">
      <c r="A420" s="52" t="s">
        <v>6063</v>
      </c>
      <c r="C420" s="30" t="s">
        <v>20980</v>
      </c>
      <c r="D420" s="30" t="str">
        <f>"""TRUST Nav"",""HSPMTB2016"",""21"",""1"",""3472"""</f>
        <v>"TRUST Nav","HSPMTB2016","21","1","3472"</v>
      </c>
      <c r="I420" s="52" t="str">
        <f t="shared" si="94"/>
        <v>KK-04602|42217|TRT-80-10</v>
      </c>
      <c r="J420" s="52" t="str">
        <f t="shared" si="97"/>
        <v>KK-04602</v>
      </c>
      <c r="K420" s="52" t="str">
        <f t="shared" si="98"/>
        <v>Budiarto</v>
      </c>
      <c r="L420" s="52" t="str">
        <f t="shared" si="93"/>
        <v>TRT-80-10</v>
      </c>
      <c r="M420" s="82">
        <v>42217</v>
      </c>
      <c r="N420" s="2">
        <v>6000</v>
      </c>
    </row>
    <row r="421" spans="1:14" x14ac:dyDescent="0.35">
      <c r="A421" s="52" t="s">
        <v>6063</v>
      </c>
      <c r="C421" s="30" t="s">
        <v>20980</v>
      </c>
      <c r="D421" s="30" t="str">
        <f>"""TRUST Nav"",""HSPMTB2016"",""21"",""1"",""3473"""</f>
        <v>"TRUST Nav","HSPMTB2016","21","1","3473"</v>
      </c>
      <c r="I421" s="52" t="str">
        <f t="shared" si="94"/>
        <v>KK-04602|42248|TRT-80-10</v>
      </c>
      <c r="J421" s="52" t="str">
        <f t="shared" si="97"/>
        <v>KK-04602</v>
      </c>
      <c r="K421" s="52" t="str">
        <f t="shared" si="98"/>
        <v>Budiarto</v>
      </c>
      <c r="L421" s="52" t="str">
        <f t="shared" si="93"/>
        <v>TRT-80-10</v>
      </c>
      <c r="M421" s="82">
        <v>42248</v>
      </c>
      <c r="N421" s="2">
        <v>6000</v>
      </c>
    </row>
    <row r="422" spans="1:14" x14ac:dyDescent="0.35">
      <c r="A422" s="52" t="s">
        <v>6063</v>
      </c>
      <c r="C422" s="30" t="s">
        <v>20980</v>
      </c>
      <c r="D422" s="30" t="str">
        <f>"""TRUST Nav"",""HSPMTB2016"",""21"",""1"",""3474"""</f>
        <v>"TRUST Nav","HSPMTB2016","21","1","3474"</v>
      </c>
      <c r="I422" s="52" t="str">
        <f t="shared" si="94"/>
        <v>KK-04602|42278|TRT-80-10</v>
      </c>
      <c r="J422" s="52" t="str">
        <f t="shared" si="97"/>
        <v>KK-04602</v>
      </c>
      <c r="K422" s="52" t="str">
        <f t="shared" si="98"/>
        <v>Budiarto</v>
      </c>
      <c r="L422" s="52" t="str">
        <f t="shared" si="93"/>
        <v>TRT-80-10</v>
      </c>
      <c r="M422" s="82">
        <v>42278</v>
      </c>
      <c r="N422" s="2">
        <v>6000</v>
      </c>
    </row>
    <row r="423" spans="1:14" x14ac:dyDescent="0.35">
      <c r="A423" s="52" t="s">
        <v>6063</v>
      </c>
      <c r="C423" s="30" t="s">
        <v>20980</v>
      </c>
      <c r="D423" s="30" t="str">
        <f>"""TRUST Nav"",""HSPMTB2016"",""21"",""1"",""3475"""</f>
        <v>"TRUST Nav","HSPMTB2016","21","1","3475"</v>
      </c>
      <c r="I423" s="52" t="str">
        <f t="shared" si="94"/>
        <v>KK-04602|42309|TRT-80-10</v>
      </c>
      <c r="J423" s="52" t="str">
        <f t="shared" si="97"/>
        <v>KK-04602</v>
      </c>
      <c r="K423" s="52" t="str">
        <f t="shared" si="98"/>
        <v>Budiarto</v>
      </c>
      <c r="L423" s="52" t="str">
        <f t="shared" si="93"/>
        <v>TRT-80-10</v>
      </c>
      <c r="M423" s="82">
        <v>42309</v>
      </c>
      <c r="N423" s="2">
        <v>6000</v>
      </c>
    </row>
    <row r="424" spans="1:14" x14ac:dyDescent="0.35">
      <c r="A424" s="52" t="s">
        <v>6063</v>
      </c>
      <c r="C424" s="30" t="s">
        <v>20980</v>
      </c>
      <c r="D424" s="30" t="str">
        <f>"""TRUST Nav"",""HSPMTB2016"",""21"",""1"",""3476"""</f>
        <v>"TRUST Nav","HSPMTB2016","21","1","3476"</v>
      </c>
      <c r="I424" s="52" t="str">
        <f t="shared" si="94"/>
        <v>KK-04602|42339|TRT-80-10</v>
      </c>
      <c r="J424" s="52" t="str">
        <f t="shared" si="97"/>
        <v>KK-04602</v>
      </c>
      <c r="K424" s="52" t="str">
        <f t="shared" si="98"/>
        <v>Budiarto</v>
      </c>
      <c r="L424" s="52" t="str">
        <f t="shared" si="93"/>
        <v>TRT-80-10</v>
      </c>
      <c r="M424" s="82">
        <v>42339</v>
      </c>
      <c r="N424" s="2">
        <v>6000</v>
      </c>
    </row>
    <row r="425" spans="1:14" x14ac:dyDescent="0.35">
      <c r="A425" s="52" t="s">
        <v>6063</v>
      </c>
      <c r="C425" s="30" t="s">
        <v>20980</v>
      </c>
      <c r="D425" s="30" t="str">
        <f>"""TRUST Nav"",""HSPMTB2016"",""21"",""1"",""37270"""</f>
        <v>"TRUST Nav","HSPMTB2016","21","1","37270"</v>
      </c>
      <c r="I425" s="52" t="str">
        <f t="shared" si="94"/>
        <v>KK-04602|42368|TRT-80-10</v>
      </c>
      <c r="J425" s="52" t="str">
        <f t="shared" si="97"/>
        <v>KK-04602</v>
      </c>
      <c r="K425" s="52" t="str">
        <f t="shared" si="98"/>
        <v>Budiarto</v>
      </c>
      <c r="L425" s="52" t="str">
        <f t="shared" si="93"/>
        <v>TRT-80-10</v>
      </c>
      <c r="M425" s="82">
        <v>42368</v>
      </c>
      <c r="N425" s="2">
        <v>10000</v>
      </c>
    </row>
    <row r="426" spans="1:14" x14ac:dyDescent="0.35">
      <c r="A426" s="52" t="s">
        <v>6063</v>
      </c>
      <c r="C426" s="30" t="s">
        <v>20980</v>
      </c>
      <c r="D426" s="30" t="str">
        <f>"""TRUST Nav"",""HSPMTB2016"",""21"",""1"",""37271"""</f>
        <v>"TRUST Nav","HSPMTB2016","21","1","37271"</v>
      </c>
      <c r="I426" s="52" t="str">
        <f t="shared" si="94"/>
        <v>KK-04602|42368|TRT-80-10</v>
      </c>
      <c r="J426" s="52" t="str">
        <f t="shared" si="97"/>
        <v>KK-04602</v>
      </c>
      <c r="K426" s="52" t="str">
        <f t="shared" si="98"/>
        <v>Budiarto</v>
      </c>
      <c r="L426" s="52" t="str">
        <f t="shared" si="93"/>
        <v>TRT-80-10</v>
      </c>
      <c r="M426" s="82">
        <v>42368</v>
      </c>
      <c r="N426" s="2">
        <v>6000</v>
      </c>
    </row>
    <row r="427" spans="1:14" x14ac:dyDescent="0.35">
      <c r="A427" s="52" t="s">
        <v>6063</v>
      </c>
      <c r="C427" s="30" t="s">
        <v>20980</v>
      </c>
      <c r="D427" s="30" t="str">
        <f>"""TRUST Nav"",""HSPMTB2016"",""21"",""1"",""37272"""</f>
        <v>"TRUST Nav","HSPMTB2016","21","1","37272"</v>
      </c>
      <c r="I427" s="52" t="str">
        <f t="shared" si="94"/>
        <v>KK-04602|42368|TRT-80-10</v>
      </c>
      <c r="J427" s="52" t="str">
        <f t="shared" si="97"/>
        <v>KK-04602</v>
      </c>
      <c r="K427" s="52" t="str">
        <f t="shared" si="98"/>
        <v>Budiarto</v>
      </c>
      <c r="L427" s="52" t="str">
        <f t="shared" si="93"/>
        <v>TRT-80-10</v>
      </c>
      <c r="M427" s="82">
        <v>42368</v>
      </c>
      <c r="N427" s="2">
        <v>6000</v>
      </c>
    </row>
    <row r="428" spans="1:14" x14ac:dyDescent="0.35">
      <c r="A428" s="52" t="s">
        <v>6063</v>
      </c>
      <c r="C428" s="30" t="s">
        <v>20980</v>
      </c>
      <c r="D428" s="30" t="str">
        <f>"""TRUST Nav"",""HSPMTB2016"",""21"",""1"",""37273"""</f>
        <v>"TRUST Nav","HSPMTB2016","21","1","37273"</v>
      </c>
      <c r="I428" s="52" t="str">
        <f t="shared" si="94"/>
        <v>KK-04602|42368|TRT-80-10</v>
      </c>
      <c r="J428" s="52" t="str">
        <f t="shared" si="97"/>
        <v>KK-04602</v>
      </c>
      <c r="K428" s="52" t="str">
        <f t="shared" si="98"/>
        <v>Budiarto</v>
      </c>
      <c r="L428" s="52" t="str">
        <f t="shared" si="93"/>
        <v>TRT-80-10</v>
      </c>
      <c r="M428" s="82">
        <v>42368</v>
      </c>
      <c r="N428" s="2">
        <v>6000</v>
      </c>
    </row>
    <row r="429" spans="1:14" x14ac:dyDescent="0.35">
      <c r="A429" s="52" t="s">
        <v>6063</v>
      </c>
      <c r="C429" s="30" t="s">
        <v>20980</v>
      </c>
      <c r="D429" s="30" t="str">
        <f>"""TRUST Nav"",""HSPMTB2016"",""21"",""1"",""37274"""</f>
        <v>"TRUST Nav","HSPMTB2016","21","1","37274"</v>
      </c>
      <c r="I429" s="52" t="str">
        <f t="shared" si="94"/>
        <v>KK-04602|42368|TRT-80-10</v>
      </c>
      <c r="J429" s="52" t="str">
        <f t="shared" si="97"/>
        <v>KK-04602</v>
      </c>
      <c r="K429" s="52" t="str">
        <f t="shared" si="98"/>
        <v>Budiarto</v>
      </c>
      <c r="L429" s="52" t="str">
        <f t="shared" si="93"/>
        <v>TRT-80-10</v>
      </c>
      <c r="M429" s="82">
        <v>42368</v>
      </c>
      <c r="N429" s="2">
        <v>6000</v>
      </c>
    </row>
    <row r="430" spans="1:14" x14ac:dyDescent="0.35">
      <c r="A430" s="52" t="s">
        <v>6063</v>
      </c>
      <c r="C430" s="30" t="s">
        <v>20980</v>
      </c>
      <c r="D430" s="30" t="str">
        <f>"""TRUST Nav"",""HSPMTB2016"",""21"",""1"",""37275"""</f>
        <v>"TRUST Nav","HSPMTB2016","21","1","37275"</v>
      </c>
      <c r="I430" s="52" t="str">
        <f t="shared" si="94"/>
        <v>KK-04602|42368|TRT-80-10</v>
      </c>
      <c r="J430" s="52" t="str">
        <f t="shared" si="97"/>
        <v>KK-04602</v>
      </c>
      <c r="K430" s="52" t="str">
        <f t="shared" si="98"/>
        <v>Budiarto</v>
      </c>
      <c r="L430" s="52" t="str">
        <f t="shared" si="93"/>
        <v>TRT-80-10</v>
      </c>
      <c r="M430" s="82">
        <v>42368</v>
      </c>
      <c r="N430" s="2">
        <v>6000</v>
      </c>
    </row>
    <row r="431" spans="1:14" x14ac:dyDescent="0.35">
      <c r="A431" s="52" t="s">
        <v>6063</v>
      </c>
      <c r="C431" s="30" t="s">
        <v>20980</v>
      </c>
      <c r="D431" s="30" t="str">
        <f>"""TRUST Nav"",""HSPMTB2016"",""21"",""1"",""116852"""</f>
        <v>"TRUST Nav","HSPMTB2016","21","1","116852"</v>
      </c>
      <c r="I431" s="52" t="str">
        <f t="shared" si="94"/>
        <v>KK-04602|42370|TRT-80-10</v>
      </c>
      <c r="J431" s="52" t="str">
        <f t="shared" si="97"/>
        <v>KK-04602</v>
      </c>
      <c r="K431" s="52" t="str">
        <f t="shared" si="98"/>
        <v>Budiarto</v>
      </c>
      <c r="L431" s="52" t="str">
        <f t="shared" si="93"/>
        <v>TRT-80-10</v>
      </c>
      <c r="M431" s="82">
        <v>42370</v>
      </c>
      <c r="N431" s="2">
        <v>5000</v>
      </c>
    </row>
    <row r="432" spans="1:14" x14ac:dyDescent="0.35">
      <c r="A432" s="52" t="s">
        <v>6063</v>
      </c>
      <c r="C432" s="30" t="s">
        <v>20980</v>
      </c>
      <c r="D432" s="30" t="str">
        <f>"""TRUST Nav"",""HSPMTB2016"",""21"",""1"",""116853"""</f>
        <v>"TRUST Nav","HSPMTB2016","21","1","116853"</v>
      </c>
      <c r="I432" s="52" t="str">
        <f t="shared" si="94"/>
        <v>KK-04602|42401|TRT-80-10</v>
      </c>
      <c r="J432" s="52" t="str">
        <f t="shared" si="97"/>
        <v>KK-04602</v>
      </c>
      <c r="K432" s="52" t="str">
        <f t="shared" si="98"/>
        <v>Budiarto</v>
      </c>
      <c r="L432" s="52" t="str">
        <f t="shared" si="93"/>
        <v>TRT-80-10</v>
      </c>
      <c r="M432" s="82">
        <v>42401</v>
      </c>
      <c r="N432" s="2">
        <v>5000</v>
      </c>
    </row>
    <row r="433" spans="1:14" x14ac:dyDescent="0.35">
      <c r="A433" s="52" t="s">
        <v>6063</v>
      </c>
      <c r="C433" s="30" t="s">
        <v>20980</v>
      </c>
      <c r="D433" s="30" t="str">
        <f>"""TRUST Nav"",""HSPMTB2016"",""21"",""1"",""116854"""</f>
        <v>"TRUST Nav","HSPMTB2016","21","1","116854"</v>
      </c>
      <c r="I433" s="52" t="str">
        <f t="shared" si="94"/>
        <v>KK-04602|42430|TRT-80-10</v>
      </c>
      <c r="J433" s="52" t="str">
        <f t="shared" si="97"/>
        <v>KK-04602</v>
      </c>
      <c r="K433" s="52" t="str">
        <f t="shared" si="98"/>
        <v>Budiarto</v>
      </c>
      <c r="L433" s="52" t="str">
        <f t="shared" si="93"/>
        <v>TRT-80-10</v>
      </c>
      <c r="M433" s="82">
        <v>42430</v>
      </c>
      <c r="N433" s="2">
        <v>5000</v>
      </c>
    </row>
    <row r="434" spans="1:14" x14ac:dyDescent="0.35">
      <c r="A434" s="52" t="s">
        <v>6063</v>
      </c>
      <c r="C434" s="30" t="s">
        <v>20980</v>
      </c>
      <c r="D434" s="30" t="str">
        <f>"""TRUST Nav"",""HSPMTB2016"",""21"",""1"",""116855"""</f>
        <v>"TRUST Nav","HSPMTB2016","21","1","116855"</v>
      </c>
      <c r="I434" s="52" t="str">
        <f t="shared" si="94"/>
        <v>KK-04602|42461|TRT-80-10</v>
      </c>
      <c r="J434" s="52" t="str">
        <f t="shared" si="97"/>
        <v>KK-04602</v>
      </c>
      <c r="K434" s="52" t="str">
        <f t="shared" si="98"/>
        <v>Budiarto</v>
      </c>
      <c r="L434" s="52" t="str">
        <f t="shared" si="93"/>
        <v>TRT-80-10</v>
      </c>
      <c r="M434" s="82">
        <v>42461</v>
      </c>
      <c r="N434" s="2">
        <v>5000</v>
      </c>
    </row>
    <row r="435" spans="1:14" x14ac:dyDescent="0.35">
      <c r="A435" s="52" t="s">
        <v>6063</v>
      </c>
      <c r="C435" s="30" t="s">
        <v>20980</v>
      </c>
      <c r="D435" s="30" t="str">
        <f>"""TRUST Nav"",""HSPMTB2016"",""21"",""1"",""116856"""</f>
        <v>"TRUST Nav","HSPMTB2016","21","1","116856"</v>
      </c>
      <c r="I435" s="52" t="str">
        <f t="shared" si="94"/>
        <v>KK-04602|42491|TRT-80-10</v>
      </c>
      <c r="J435" s="52" t="str">
        <f t="shared" si="97"/>
        <v>KK-04602</v>
      </c>
      <c r="K435" s="52" t="str">
        <f t="shared" si="98"/>
        <v>Budiarto</v>
      </c>
      <c r="L435" s="52" t="str">
        <f t="shared" si="93"/>
        <v>TRT-80-10</v>
      </c>
      <c r="M435" s="82">
        <v>42491</v>
      </c>
      <c r="N435" s="2">
        <v>5000</v>
      </c>
    </row>
    <row r="436" spans="1:14" x14ac:dyDescent="0.35">
      <c r="A436" s="52" t="s">
        <v>6063</v>
      </c>
      <c r="C436" s="30" t="s">
        <v>20980</v>
      </c>
      <c r="D436" s="30" t="str">
        <f>"""TRUST Nav"",""HSPMTB2016"",""21"",""1"",""116857"""</f>
        <v>"TRUST Nav","HSPMTB2016","21","1","116857"</v>
      </c>
      <c r="I436" s="52" t="str">
        <f t="shared" si="94"/>
        <v>KK-04602|42522|TRT-80-10</v>
      </c>
      <c r="J436" s="52" t="str">
        <f t="shared" si="97"/>
        <v>KK-04602</v>
      </c>
      <c r="K436" s="52" t="str">
        <f t="shared" si="98"/>
        <v>Budiarto</v>
      </c>
      <c r="L436" s="52" t="str">
        <f t="shared" si="93"/>
        <v>TRT-80-10</v>
      </c>
      <c r="M436" s="82">
        <v>42522</v>
      </c>
      <c r="N436" s="2">
        <v>5000</v>
      </c>
    </row>
    <row r="437" spans="1:14" x14ac:dyDescent="0.35">
      <c r="A437" s="52" t="s">
        <v>6063</v>
      </c>
      <c r="C437" s="30" t="s">
        <v>20980</v>
      </c>
      <c r="D437" s="30" t="str">
        <f>"""TRUST Nav"",""HSPMTB2016"",""21"",""1"",""116858"""</f>
        <v>"TRUST Nav","HSPMTB2016","21","1","116858"</v>
      </c>
      <c r="I437" s="52" t="str">
        <f t="shared" si="94"/>
        <v>KK-04602|42552|TRT-80-10</v>
      </c>
      <c r="J437" s="52" t="str">
        <f t="shared" si="97"/>
        <v>KK-04602</v>
      </c>
      <c r="K437" s="52" t="str">
        <f t="shared" si="98"/>
        <v>Budiarto</v>
      </c>
      <c r="L437" s="52" t="str">
        <f t="shared" si="93"/>
        <v>TRT-80-10</v>
      </c>
      <c r="M437" s="82">
        <v>42552</v>
      </c>
      <c r="N437" s="2">
        <v>5000</v>
      </c>
    </row>
    <row r="438" spans="1:14" x14ac:dyDescent="0.35">
      <c r="A438" s="52" t="s">
        <v>6063</v>
      </c>
      <c r="C438" s="30" t="s">
        <v>20980</v>
      </c>
      <c r="D438" s="30" t="str">
        <f>"""TRUST Nav"",""HSPMTB2016"",""21"",""1"",""116859"""</f>
        <v>"TRUST Nav","HSPMTB2016","21","1","116859"</v>
      </c>
      <c r="I438" s="52" t="str">
        <f t="shared" si="94"/>
        <v>KK-04602|42583|TRT-80-10</v>
      </c>
      <c r="J438" s="52" t="str">
        <f t="shared" si="97"/>
        <v>KK-04602</v>
      </c>
      <c r="K438" s="52" t="str">
        <f t="shared" si="98"/>
        <v>Budiarto</v>
      </c>
      <c r="L438" s="52" t="str">
        <f t="shared" si="93"/>
        <v>TRT-80-10</v>
      </c>
      <c r="M438" s="82">
        <v>42583</v>
      </c>
      <c r="N438" s="2">
        <v>5000</v>
      </c>
    </row>
    <row r="439" spans="1:14" x14ac:dyDescent="0.35">
      <c r="A439" s="52" t="s">
        <v>6063</v>
      </c>
      <c r="C439" s="30" t="s">
        <v>20980</v>
      </c>
      <c r="D439" s="30" t="str">
        <f>"""TRUST Nav"",""HSPMTB2016"",""21"",""1"",""116860"""</f>
        <v>"TRUST Nav","HSPMTB2016","21","1","116860"</v>
      </c>
      <c r="I439" s="52" t="str">
        <f t="shared" si="94"/>
        <v>KK-04602|42614|TRT-80-10</v>
      </c>
      <c r="J439" s="52" t="str">
        <f t="shared" si="97"/>
        <v>KK-04602</v>
      </c>
      <c r="K439" s="52" t="str">
        <f t="shared" si="98"/>
        <v>Budiarto</v>
      </c>
      <c r="L439" s="52" t="str">
        <f t="shared" si="93"/>
        <v>TRT-80-10</v>
      </c>
      <c r="M439" s="82">
        <v>42614</v>
      </c>
      <c r="N439" s="2">
        <v>5000</v>
      </c>
    </row>
    <row r="440" spans="1:14" x14ac:dyDescent="0.35">
      <c r="A440" s="52" t="s">
        <v>6063</v>
      </c>
      <c r="C440" s="30" t="s">
        <v>20980</v>
      </c>
      <c r="D440" s="30" t="str">
        <f>"""TRUST Nav"",""HSPMTB2016"",""21"",""1"",""116861"""</f>
        <v>"TRUST Nav","HSPMTB2016","21","1","116861"</v>
      </c>
      <c r="I440" s="52" t="str">
        <f t="shared" si="94"/>
        <v>KK-04602|42644|TRT-80-10</v>
      </c>
      <c r="J440" s="52" t="str">
        <f t="shared" si="97"/>
        <v>KK-04602</v>
      </c>
      <c r="K440" s="52" t="str">
        <f t="shared" si="98"/>
        <v>Budiarto</v>
      </c>
      <c r="L440" s="52" t="str">
        <f t="shared" si="93"/>
        <v>TRT-80-10</v>
      </c>
      <c r="M440" s="82">
        <v>42644</v>
      </c>
      <c r="N440" s="2">
        <v>5000</v>
      </c>
    </row>
    <row r="441" spans="1:14" x14ac:dyDescent="0.35">
      <c r="A441" s="52" t="s">
        <v>6063</v>
      </c>
      <c r="C441" s="30" t="s">
        <v>20980</v>
      </c>
      <c r="D441" s="30" t="str">
        <f>"""TRUST Nav"",""HSPMTB2016"",""21"",""1"",""116862"""</f>
        <v>"TRUST Nav","HSPMTB2016","21","1","116862"</v>
      </c>
      <c r="I441" s="52" t="str">
        <f t="shared" si="94"/>
        <v>KK-04602|42675|TRT-80-10</v>
      </c>
      <c r="J441" s="52" t="str">
        <f t="shared" si="97"/>
        <v>KK-04602</v>
      </c>
      <c r="K441" s="52" t="str">
        <f t="shared" si="98"/>
        <v>Budiarto</v>
      </c>
      <c r="L441" s="52" t="str">
        <f t="shared" si="93"/>
        <v>TRT-80-10</v>
      </c>
      <c r="M441" s="82">
        <v>42675</v>
      </c>
      <c r="N441" s="2">
        <v>5000</v>
      </c>
    </row>
    <row r="442" spans="1:14" x14ac:dyDescent="0.35">
      <c r="A442" s="52" t="s">
        <v>6063</v>
      </c>
      <c r="C442" s="30" t="s">
        <v>20980</v>
      </c>
      <c r="D442" s="30" t="str">
        <f>"""TRUST Nav"",""HSPMTB2016"",""21"",""1"",""116863"""</f>
        <v>"TRUST Nav","HSPMTB2016","21","1","116863"</v>
      </c>
      <c r="I442" s="52" t="str">
        <f t="shared" si="94"/>
        <v>KK-04602|42705|TRT-80-10</v>
      </c>
      <c r="J442" s="52" t="str">
        <f t="shared" si="97"/>
        <v>KK-04602</v>
      </c>
      <c r="K442" s="52" t="str">
        <f t="shared" si="98"/>
        <v>Budiarto</v>
      </c>
      <c r="L442" s="52" t="str">
        <f t="shared" si="93"/>
        <v>TRT-80-10</v>
      </c>
      <c r="M442" s="82">
        <v>42705</v>
      </c>
      <c r="N442" s="2">
        <v>5000</v>
      </c>
    </row>
    <row r="443" spans="1:14" x14ac:dyDescent="0.35">
      <c r="A443" s="52" t="s">
        <v>6063</v>
      </c>
      <c r="C443" s="30" t="s">
        <v>20980</v>
      </c>
      <c r="D443" s="30" t="str">
        <f>"""TRUST Nav"",""HSPMTB2016"",""21"",""1"",""85205"""</f>
        <v>"TRUST Nav","HSPMTB2016","21","1","85205"</v>
      </c>
      <c r="I443" s="52" t="str">
        <f t="shared" si="94"/>
        <v>KK-04604|42186|TRT-80-10</v>
      </c>
      <c r="J443" s="52" t="str">
        <f t="shared" ref="J443:J448" si="99">"KK-04604"</f>
        <v>KK-04604</v>
      </c>
      <c r="K443" s="52" t="str">
        <f t="shared" ref="K443:K448" si="100">"Edward"</f>
        <v>Edward</v>
      </c>
      <c r="L443" s="52" t="str">
        <f t="shared" si="93"/>
        <v>TRT-80-10</v>
      </c>
      <c r="M443" s="82">
        <v>42186</v>
      </c>
      <c r="N443" s="2">
        <v>60000</v>
      </c>
    </row>
    <row r="444" spans="1:14" x14ac:dyDescent="0.35">
      <c r="A444" s="52" t="s">
        <v>6063</v>
      </c>
      <c r="C444" s="30" t="s">
        <v>20980</v>
      </c>
      <c r="D444" s="30" t="str">
        <f>"""TRUST Nav"",""HSPMTB2016"",""21"",""1"",""85206"""</f>
        <v>"TRUST Nav","HSPMTB2016","21","1","85206"</v>
      </c>
      <c r="I444" s="52" t="str">
        <f t="shared" si="94"/>
        <v>KK-04604|42217|TRT-80-10</v>
      </c>
      <c r="J444" s="52" t="str">
        <f t="shared" si="99"/>
        <v>KK-04604</v>
      </c>
      <c r="K444" s="52" t="str">
        <f t="shared" si="100"/>
        <v>Edward</v>
      </c>
      <c r="L444" s="52" t="str">
        <f t="shared" si="93"/>
        <v>TRT-80-10</v>
      </c>
      <c r="M444" s="82">
        <v>42217</v>
      </c>
      <c r="N444" s="2">
        <v>15000</v>
      </c>
    </row>
    <row r="445" spans="1:14" x14ac:dyDescent="0.35">
      <c r="A445" s="52" t="s">
        <v>6063</v>
      </c>
      <c r="C445" s="30" t="s">
        <v>20980</v>
      </c>
      <c r="D445" s="30" t="str">
        <f>"""TRUST Nav"",""HSPMTB2016"",""21"",""1"",""85207"""</f>
        <v>"TRUST Nav","HSPMTB2016","21","1","85207"</v>
      </c>
      <c r="I445" s="52" t="str">
        <f t="shared" si="94"/>
        <v>KK-04604|42248|TRT-80-10</v>
      </c>
      <c r="J445" s="52" t="str">
        <f t="shared" si="99"/>
        <v>KK-04604</v>
      </c>
      <c r="K445" s="52" t="str">
        <f t="shared" si="100"/>
        <v>Edward</v>
      </c>
      <c r="L445" s="52" t="str">
        <f t="shared" si="93"/>
        <v>TRT-80-10</v>
      </c>
      <c r="M445" s="82">
        <v>42248</v>
      </c>
      <c r="N445" s="2">
        <v>15000</v>
      </c>
    </row>
    <row r="446" spans="1:14" x14ac:dyDescent="0.35">
      <c r="A446" s="52" t="s">
        <v>6063</v>
      </c>
      <c r="C446" s="30" t="s">
        <v>20980</v>
      </c>
      <c r="D446" s="30" t="str">
        <f>"""TRUST Nav"",""HSPMTB2016"",""21"",""1"",""85208"""</f>
        <v>"TRUST Nav","HSPMTB2016","21","1","85208"</v>
      </c>
      <c r="I446" s="52" t="str">
        <f t="shared" si="94"/>
        <v>KK-04604|42278|TRT-80-10</v>
      </c>
      <c r="J446" s="52" t="str">
        <f t="shared" si="99"/>
        <v>KK-04604</v>
      </c>
      <c r="K446" s="52" t="str">
        <f t="shared" si="100"/>
        <v>Edward</v>
      </c>
      <c r="L446" s="52" t="str">
        <f t="shared" si="93"/>
        <v>TRT-80-10</v>
      </c>
      <c r="M446" s="82">
        <v>42278</v>
      </c>
      <c r="N446" s="2">
        <v>15000</v>
      </c>
    </row>
    <row r="447" spans="1:14" x14ac:dyDescent="0.35">
      <c r="A447" s="52" t="s">
        <v>6063</v>
      </c>
      <c r="C447" s="30" t="s">
        <v>20980</v>
      </c>
      <c r="D447" s="30" t="str">
        <f>"""TRUST Nav"",""HSPMTB2016"",""21"",""1"",""85209"""</f>
        <v>"TRUST Nav","HSPMTB2016","21","1","85209"</v>
      </c>
      <c r="I447" s="52" t="str">
        <f t="shared" si="94"/>
        <v>KK-04604|42309|TRT-80-10</v>
      </c>
      <c r="J447" s="52" t="str">
        <f t="shared" si="99"/>
        <v>KK-04604</v>
      </c>
      <c r="K447" s="52" t="str">
        <f t="shared" si="100"/>
        <v>Edward</v>
      </c>
      <c r="L447" s="52" t="str">
        <f t="shared" si="93"/>
        <v>TRT-80-10</v>
      </c>
      <c r="M447" s="82">
        <v>42309</v>
      </c>
      <c r="N447" s="2">
        <v>15000</v>
      </c>
    </row>
    <row r="448" spans="1:14" x14ac:dyDescent="0.35">
      <c r="A448" s="52" t="s">
        <v>6063</v>
      </c>
      <c r="C448" s="30" t="s">
        <v>20980</v>
      </c>
      <c r="D448" s="30" t="str">
        <f>"""TRUST Nav"",""HSPMTB2016"",""21"",""1"",""85210"""</f>
        <v>"TRUST Nav","HSPMTB2016","21","1","85210"</v>
      </c>
      <c r="I448" s="52" t="str">
        <f t="shared" si="94"/>
        <v>KK-04604|42339|TRT-80-10</v>
      </c>
      <c r="J448" s="52" t="str">
        <f t="shared" si="99"/>
        <v>KK-04604</v>
      </c>
      <c r="K448" s="52" t="str">
        <f t="shared" si="100"/>
        <v>Edward</v>
      </c>
      <c r="L448" s="52" t="str">
        <f t="shared" si="93"/>
        <v>TRT-80-10</v>
      </c>
      <c r="M448" s="82">
        <v>42339</v>
      </c>
      <c r="N448" s="2">
        <v>15000</v>
      </c>
    </row>
    <row r="449" spans="1:14" x14ac:dyDescent="0.35">
      <c r="A449" s="52" t="s">
        <v>6063</v>
      </c>
      <c r="C449" s="30" t="s">
        <v>20980</v>
      </c>
      <c r="D449" s="30" t="str">
        <f>"""TRUST Nav"",""HSPMTB2016"",""21"",""1"",""3477"""</f>
        <v>"TRUST Nav","HSPMTB2016","21","1","3477"</v>
      </c>
      <c r="I449" s="52" t="str">
        <f t="shared" si="94"/>
        <v>KK-04605|42186|TRT-80-10</v>
      </c>
      <c r="J449" s="52" t="str">
        <f t="shared" ref="J449:J463" si="101">"KK-04605"</f>
        <v>KK-04605</v>
      </c>
      <c r="K449" s="52" t="str">
        <f t="shared" ref="K449:K463" si="102">"Handoyo Krismanto"</f>
        <v>Handoyo Krismanto</v>
      </c>
      <c r="L449" s="52" t="str">
        <f t="shared" si="93"/>
        <v>TRT-80-10</v>
      </c>
      <c r="M449" s="82">
        <v>42186</v>
      </c>
      <c r="N449" s="2">
        <v>50000.000000000007</v>
      </c>
    </row>
    <row r="450" spans="1:14" x14ac:dyDescent="0.35">
      <c r="A450" s="52" t="s">
        <v>6063</v>
      </c>
      <c r="C450" s="30" t="s">
        <v>20980</v>
      </c>
      <c r="D450" s="30" t="str">
        <f>"""TRUST Nav"",""HSPMTB2016"",""21"",""1"",""3478"""</f>
        <v>"TRUST Nav","HSPMTB2016","21","1","3478"</v>
      </c>
      <c r="I450" s="52" t="str">
        <f t="shared" si="94"/>
        <v>KK-04605|42217|TRT-80-10</v>
      </c>
      <c r="J450" s="52" t="str">
        <f t="shared" si="101"/>
        <v>KK-04605</v>
      </c>
      <c r="K450" s="52" t="str">
        <f t="shared" si="102"/>
        <v>Handoyo Krismanto</v>
      </c>
      <c r="L450" s="52" t="str">
        <f t="shared" si="93"/>
        <v>TRT-80-10</v>
      </c>
      <c r="M450" s="82">
        <v>42217</v>
      </c>
      <c r="N450" s="2">
        <v>50000.000000000007</v>
      </c>
    </row>
    <row r="451" spans="1:14" x14ac:dyDescent="0.35">
      <c r="A451" s="52" t="s">
        <v>6063</v>
      </c>
      <c r="C451" s="30" t="s">
        <v>20980</v>
      </c>
      <c r="D451" s="30" t="str">
        <f>"""TRUST Nav"",""HSPMTB2016"",""21"",""1"",""3479"""</f>
        <v>"TRUST Nav","HSPMTB2016","21","1","3479"</v>
      </c>
      <c r="I451" s="52" t="str">
        <f t="shared" si="94"/>
        <v>KK-04605|42248|TRT-80-10</v>
      </c>
      <c r="J451" s="52" t="str">
        <f t="shared" si="101"/>
        <v>KK-04605</v>
      </c>
      <c r="K451" s="52" t="str">
        <f t="shared" si="102"/>
        <v>Handoyo Krismanto</v>
      </c>
      <c r="L451" s="52" t="str">
        <f t="shared" si="93"/>
        <v>TRT-80-10</v>
      </c>
      <c r="M451" s="82">
        <v>42248</v>
      </c>
      <c r="N451" s="2">
        <v>50000.000000000007</v>
      </c>
    </row>
    <row r="452" spans="1:14" x14ac:dyDescent="0.35">
      <c r="A452" s="52" t="s">
        <v>6063</v>
      </c>
      <c r="C452" s="30" t="s">
        <v>20980</v>
      </c>
      <c r="D452" s="30" t="str">
        <f>"""TRUST Nav"",""HSPMTB2016"",""21"",""1"",""3480"""</f>
        <v>"TRUST Nav","HSPMTB2016","21","1","3480"</v>
      </c>
      <c r="I452" s="52" t="str">
        <f t="shared" si="94"/>
        <v>KK-04605|42278|TRT-80-10</v>
      </c>
      <c r="J452" s="52" t="str">
        <f t="shared" si="101"/>
        <v>KK-04605</v>
      </c>
      <c r="K452" s="52" t="str">
        <f t="shared" si="102"/>
        <v>Handoyo Krismanto</v>
      </c>
      <c r="L452" s="52" t="str">
        <f t="shared" si="93"/>
        <v>TRT-80-10</v>
      </c>
      <c r="M452" s="82">
        <v>42278</v>
      </c>
      <c r="N452" s="2">
        <v>50000.000000000007</v>
      </c>
    </row>
    <row r="453" spans="1:14" x14ac:dyDescent="0.35">
      <c r="A453" s="52" t="s">
        <v>6063</v>
      </c>
      <c r="C453" s="30" t="s">
        <v>20980</v>
      </c>
      <c r="D453" s="30" t="str">
        <f>"""TRUST Nav"",""HSPMTB2016"",""21"",""1"",""3481"""</f>
        <v>"TRUST Nav","HSPMTB2016","21","1","3481"</v>
      </c>
      <c r="I453" s="52" t="str">
        <f t="shared" si="94"/>
        <v>KK-04605|42309|TRT-80-10</v>
      </c>
      <c r="J453" s="52" t="str">
        <f t="shared" si="101"/>
        <v>KK-04605</v>
      </c>
      <c r="K453" s="52" t="str">
        <f t="shared" si="102"/>
        <v>Handoyo Krismanto</v>
      </c>
      <c r="L453" s="52" t="str">
        <f t="shared" si="93"/>
        <v>TRT-80-10</v>
      </c>
      <c r="M453" s="82">
        <v>42309</v>
      </c>
      <c r="N453" s="2">
        <v>50000.000000000007</v>
      </c>
    </row>
    <row r="454" spans="1:14" x14ac:dyDescent="0.35">
      <c r="A454" s="52" t="s">
        <v>6063</v>
      </c>
      <c r="C454" s="30" t="s">
        <v>20980</v>
      </c>
      <c r="D454" s="30" t="str">
        <f>"""TRUST Nav"",""HSPMTB2016"",""21"",""1"",""3482"""</f>
        <v>"TRUST Nav","HSPMTB2016","21","1","3482"</v>
      </c>
      <c r="I454" s="52" t="str">
        <f t="shared" si="94"/>
        <v>KK-04605|42339|TRT-80-10</v>
      </c>
      <c r="J454" s="52" t="str">
        <f t="shared" si="101"/>
        <v>KK-04605</v>
      </c>
      <c r="K454" s="52" t="str">
        <f t="shared" si="102"/>
        <v>Handoyo Krismanto</v>
      </c>
      <c r="L454" s="52" t="str">
        <f t="shared" si="93"/>
        <v>TRT-80-10</v>
      </c>
      <c r="M454" s="82">
        <v>42339</v>
      </c>
      <c r="N454" s="2">
        <v>50000.000000000007</v>
      </c>
    </row>
    <row r="455" spans="1:14" x14ac:dyDescent="0.35">
      <c r="A455" s="52" t="s">
        <v>6063</v>
      </c>
      <c r="C455" s="30" t="s">
        <v>20980</v>
      </c>
      <c r="D455" s="30" t="str">
        <f>"""TRUST Nav"",""HSPMTB2016"",""21"",""1"",""37276"""</f>
        <v>"TRUST Nav","HSPMTB2016","21","1","37276"</v>
      </c>
      <c r="I455" s="52" t="str">
        <f t="shared" si="94"/>
        <v>KK-04605|42368|TRT-80-10</v>
      </c>
      <c r="J455" s="52" t="str">
        <f t="shared" si="101"/>
        <v>KK-04605</v>
      </c>
      <c r="K455" s="52" t="str">
        <f t="shared" si="102"/>
        <v>Handoyo Krismanto</v>
      </c>
      <c r="L455" s="52" t="str">
        <f t="shared" si="93"/>
        <v>TRT-80-10</v>
      </c>
      <c r="M455" s="82">
        <v>42368</v>
      </c>
      <c r="N455" s="2">
        <v>50000.000000000007</v>
      </c>
    </row>
    <row r="456" spans="1:14" x14ac:dyDescent="0.35">
      <c r="A456" s="52" t="s">
        <v>6063</v>
      </c>
      <c r="C456" s="30" t="s">
        <v>20980</v>
      </c>
      <c r="D456" s="30" t="str">
        <f>"""TRUST Nav"",""HSPMTB2016"",""21"",""1"",""37277"""</f>
        <v>"TRUST Nav","HSPMTB2016","21","1","37277"</v>
      </c>
      <c r="I456" s="52" t="str">
        <f t="shared" si="94"/>
        <v>KK-04605|42368|TRT-80-10</v>
      </c>
      <c r="J456" s="52" t="str">
        <f t="shared" si="101"/>
        <v>KK-04605</v>
      </c>
      <c r="K456" s="52" t="str">
        <f t="shared" si="102"/>
        <v>Handoyo Krismanto</v>
      </c>
      <c r="L456" s="52" t="str">
        <f t="shared" si="93"/>
        <v>TRT-80-10</v>
      </c>
      <c r="M456" s="82">
        <v>42368</v>
      </c>
      <c r="N456" s="2">
        <v>50000.000000000007</v>
      </c>
    </row>
    <row r="457" spans="1:14" x14ac:dyDescent="0.35">
      <c r="A457" s="52" t="s">
        <v>6063</v>
      </c>
      <c r="C457" s="30" t="s">
        <v>20980</v>
      </c>
      <c r="D457" s="30" t="str">
        <f>"""TRUST Nav"",""HSPMTB2016"",""21"",""1"",""37278"""</f>
        <v>"TRUST Nav","HSPMTB2016","21","1","37278"</v>
      </c>
      <c r="I457" s="52" t="str">
        <f t="shared" si="94"/>
        <v>KK-04605|42368|TRT-80-10</v>
      </c>
      <c r="J457" s="52" t="str">
        <f t="shared" si="101"/>
        <v>KK-04605</v>
      </c>
      <c r="K457" s="52" t="str">
        <f t="shared" si="102"/>
        <v>Handoyo Krismanto</v>
      </c>
      <c r="L457" s="52" t="str">
        <f t="shared" si="93"/>
        <v>TRT-80-10</v>
      </c>
      <c r="M457" s="82">
        <v>42368</v>
      </c>
      <c r="N457" s="2">
        <v>50000.000000000007</v>
      </c>
    </row>
    <row r="458" spans="1:14" x14ac:dyDescent="0.35">
      <c r="A458" s="52" t="s">
        <v>6063</v>
      </c>
      <c r="C458" s="30" t="s">
        <v>20980</v>
      </c>
      <c r="D458" s="30" t="str">
        <f>"""TRUST Nav"",""HSPMTB2016"",""21"",""1"",""37279"""</f>
        <v>"TRUST Nav","HSPMTB2016","21","1","37279"</v>
      </c>
      <c r="I458" s="52" t="str">
        <f t="shared" si="94"/>
        <v>KK-04605|42368|TRT-80-10</v>
      </c>
      <c r="J458" s="52" t="str">
        <f t="shared" si="101"/>
        <v>KK-04605</v>
      </c>
      <c r="K458" s="52" t="str">
        <f t="shared" si="102"/>
        <v>Handoyo Krismanto</v>
      </c>
      <c r="L458" s="52" t="str">
        <f t="shared" ref="L458:L521" si="103">"TRT-80-10"</f>
        <v>TRT-80-10</v>
      </c>
      <c r="M458" s="82">
        <v>42368</v>
      </c>
      <c r="N458" s="2">
        <v>50000.000000000007</v>
      </c>
    </row>
    <row r="459" spans="1:14" x14ac:dyDescent="0.35">
      <c r="A459" s="52" t="s">
        <v>6063</v>
      </c>
      <c r="C459" s="30" t="s">
        <v>20980</v>
      </c>
      <c r="D459" s="30" t="str">
        <f>"""TRUST Nav"",""HSPMTB2016"",""21"",""1"",""37280"""</f>
        <v>"TRUST Nav","HSPMTB2016","21","1","37280"</v>
      </c>
      <c r="I459" s="52" t="str">
        <f t="shared" ref="I459:I522" si="104">CONCATENATE(J459,"|",M459,"|",L459)</f>
        <v>KK-04605|42368|TRT-80-10</v>
      </c>
      <c r="J459" s="52" t="str">
        <f t="shared" si="101"/>
        <v>KK-04605</v>
      </c>
      <c r="K459" s="52" t="str">
        <f t="shared" si="102"/>
        <v>Handoyo Krismanto</v>
      </c>
      <c r="L459" s="52" t="str">
        <f t="shared" si="103"/>
        <v>TRT-80-10</v>
      </c>
      <c r="M459" s="82">
        <v>42368</v>
      </c>
      <c r="N459" s="2">
        <v>50000.000000000007</v>
      </c>
    </row>
    <row r="460" spans="1:14" x14ac:dyDescent="0.35">
      <c r="A460" s="52" t="s">
        <v>6063</v>
      </c>
      <c r="C460" s="30" t="s">
        <v>20980</v>
      </c>
      <c r="D460" s="30" t="str">
        <f>"""TRUST Nav"",""HSPMTB2016"",""21"",""1"",""37281"""</f>
        <v>"TRUST Nav","HSPMTB2016","21","1","37281"</v>
      </c>
      <c r="I460" s="52" t="str">
        <f t="shared" si="104"/>
        <v>KK-04605|42368|TRT-80-10</v>
      </c>
      <c r="J460" s="52" t="str">
        <f t="shared" si="101"/>
        <v>KK-04605</v>
      </c>
      <c r="K460" s="52" t="str">
        <f t="shared" si="102"/>
        <v>Handoyo Krismanto</v>
      </c>
      <c r="L460" s="52" t="str">
        <f t="shared" si="103"/>
        <v>TRT-80-10</v>
      </c>
      <c r="M460" s="82">
        <v>42368</v>
      </c>
      <c r="N460" s="2">
        <v>50000.000000000007</v>
      </c>
    </row>
    <row r="461" spans="1:14" x14ac:dyDescent="0.35">
      <c r="A461" s="52" t="s">
        <v>6063</v>
      </c>
      <c r="C461" s="30" t="s">
        <v>20980</v>
      </c>
      <c r="D461" s="30" t="str">
        <f>"""TRUST Nav"",""HSPMTB2016"",""21"",""1"",""102552"""</f>
        <v>"TRUST Nav","HSPMTB2016","21","1","102552"</v>
      </c>
      <c r="I461" s="52" t="str">
        <f t="shared" si="104"/>
        <v>KK-04605|42370|TRT-80-10</v>
      </c>
      <c r="J461" s="52" t="str">
        <f t="shared" si="101"/>
        <v>KK-04605</v>
      </c>
      <c r="K461" s="52" t="str">
        <f t="shared" si="102"/>
        <v>Handoyo Krismanto</v>
      </c>
      <c r="L461" s="52" t="str">
        <f t="shared" si="103"/>
        <v>TRT-80-10</v>
      </c>
      <c r="M461" s="82">
        <v>42370</v>
      </c>
      <c r="N461" s="2">
        <v>25000.000000000004</v>
      </c>
    </row>
    <row r="462" spans="1:14" x14ac:dyDescent="0.35">
      <c r="A462" s="52" t="s">
        <v>6063</v>
      </c>
      <c r="C462" s="30" t="s">
        <v>20980</v>
      </c>
      <c r="D462" s="30" t="str">
        <f>"""TRUST Nav"",""HSPMTB2016"",""21"",""1"",""102553"""</f>
        <v>"TRUST Nav","HSPMTB2016","21","1","102553"</v>
      </c>
      <c r="I462" s="52" t="str">
        <f t="shared" si="104"/>
        <v>KK-04605|42401|TRT-80-10</v>
      </c>
      <c r="J462" s="52" t="str">
        <f t="shared" si="101"/>
        <v>KK-04605</v>
      </c>
      <c r="K462" s="52" t="str">
        <f t="shared" si="102"/>
        <v>Handoyo Krismanto</v>
      </c>
      <c r="L462" s="52" t="str">
        <f t="shared" si="103"/>
        <v>TRT-80-10</v>
      </c>
      <c r="M462" s="82">
        <v>42401</v>
      </c>
      <c r="N462" s="2">
        <v>25000.000000000004</v>
      </c>
    </row>
    <row r="463" spans="1:14" x14ac:dyDescent="0.35">
      <c r="A463" s="52" t="s">
        <v>6063</v>
      </c>
      <c r="C463" s="30" t="s">
        <v>20980</v>
      </c>
      <c r="D463" s="30" t="str">
        <f>"""TRUST Nav"",""HSPMTB2016"",""21"",""1"",""102554"""</f>
        <v>"TRUST Nav","HSPMTB2016","21","1","102554"</v>
      </c>
      <c r="I463" s="52" t="str">
        <f t="shared" si="104"/>
        <v>KK-04605|42430|TRT-80-10</v>
      </c>
      <c r="J463" s="52" t="str">
        <f t="shared" si="101"/>
        <v>KK-04605</v>
      </c>
      <c r="K463" s="52" t="str">
        <f t="shared" si="102"/>
        <v>Handoyo Krismanto</v>
      </c>
      <c r="L463" s="52" t="str">
        <f t="shared" si="103"/>
        <v>TRT-80-10</v>
      </c>
      <c r="M463" s="82">
        <v>42430</v>
      </c>
      <c r="N463" s="2">
        <v>25000.000000000004</v>
      </c>
    </row>
    <row r="464" spans="1:14" x14ac:dyDescent="0.35">
      <c r="A464" s="52" t="s">
        <v>6063</v>
      </c>
      <c r="C464" s="30" t="s">
        <v>20980</v>
      </c>
      <c r="D464" s="30" t="str">
        <f>"""TRUST Nav"",""HSPMTB2016"",""21"",""1"",""3483"""</f>
        <v>"TRUST Nav","HSPMTB2016","21","1","3483"</v>
      </c>
      <c r="I464" s="52" t="str">
        <f t="shared" si="104"/>
        <v>KK-04606|42186|TRT-80-10</v>
      </c>
      <c r="J464" s="52" t="str">
        <f t="shared" ref="J464:J481" si="105">"KK-04606"</f>
        <v>KK-04606</v>
      </c>
      <c r="K464" s="52" t="str">
        <f t="shared" ref="K464:K481" si="106">"Hendra Kurniawan"</f>
        <v>Hendra Kurniawan</v>
      </c>
      <c r="L464" s="52" t="str">
        <f t="shared" si="103"/>
        <v>TRT-80-10</v>
      </c>
      <c r="M464" s="82">
        <v>42186</v>
      </c>
      <c r="N464" s="2">
        <v>50000.000000000007</v>
      </c>
    </row>
    <row r="465" spans="1:14" x14ac:dyDescent="0.35">
      <c r="A465" s="52" t="s">
        <v>6063</v>
      </c>
      <c r="C465" s="30" t="s">
        <v>20980</v>
      </c>
      <c r="D465" s="30" t="str">
        <f>"""TRUST Nav"",""HSPMTB2016"",""21"",""1"",""3484"""</f>
        <v>"TRUST Nav","HSPMTB2016","21","1","3484"</v>
      </c>
      <c r="I465" s="52" t="str">
        <f t="shared" si="104"/>
        <v>KK-04606|42217|TRT-80-10</v>
      </c>
      <c r="J465" s="52" t="str">
        <f t="shared" si="105"/>
        <v>KK-04606</v>
      </c>
      <c r="K465" s="52" t="str">
        <f t="shared" si="106"/>
        <v>Hendra Kurniawan</v>
      </c>
      <c r="L465" s="52" t="str">
        <f t="shared" si="103"/>
        <v>TRT-80-10</v>
      </c>
      <c r="M465" s="82">
        <v>42217</v>
      </c>
      <c r="N465" s="2">
        <v>50000.000000000007</v>
      </c>
    </row>
    <row r="466" spans="1:14" x14ac:dyDescent="0.35">
      <c r="A466" s="52" t="s">
        <v>6063</v>
      </c>
      <c r="C466" s="30" t="s">
        <v>20980</v>
      </c>
      <c r="D466" s="30" t="str">
        <f>"""TRUST Nav"",""HSPMTB2016"",""21"",""1"",""3485"""</f>
        <v>"TRUST Nav","HSPMTB2016","21","1","3485"</v>
      </c>
      <c r="I466" s="52" t="str">
        <f t="shared" si="104"/>
        <v>KK-04606|42248|TRT-80-10</v>
      </c>
      <c r="J466" s="52" t="str">
        <f t="shared" si="105"/>
        <v>KK-04606</v>
      </c>
      <c r="K466" s="52" t="str">
        <f t="shared" si="106"/>
        <v>Hendra Kurniawan</v>
      </c>
      <c r="L466" s="52" t="str">
        <f t="shared" si="103"/>
        <v>TRT-80-10</v>
      </c>
      <c r="M466" s="82">
        <v>42248</v>
      </c>
      <c r="N466" s="2">
        <v>50000.000000000007</v>
      </c>
    </row>
    <row r="467" spans="1:14" x14ac:dyDescent="0.35">
      <c r="A467" s="52" t="s">
        <v>6063</v>
      </c>
      <c r="C467" s="30" t="s">
        <v>20980</v>
      </c>
      <c r="D467" s="30" t="str">
        <f>"""TRUST Nav"",""HSPMTB2016"",""21"",""1"",""3486"""</f>
        <v>"TRUST Nav","HSPMTB2016","21","1","3486"</v>
      </c>
      <c r="I467" s="52" t="str">
        <f t="shared" si="104"/>
        <v>KK-04606|42278|TRT-80-10</v>
      </c>
      <c r="J467" s="52" t="str">
        <f t="shared" si="105"/>
        <v>KK-04606</v>
      </c>
      <c r="K467" s="52" t="str">
        <f t="shared" si="106"/>
        <v>Hendra Kurniawan</v>
      </c>
      <c r="L467" s="52" t="str">
        <f t="shared" si="103"/>
        <v>TRT-80-10</v>
      </c>
      <c r="M467" s="82">
        <v>42278</v>
      </c>
      <c r="N467" s="2">
        <v>50000.000000000007</v>
      </c>
    </row>
    <row r="468" spans="1:14" x14ac:dyDescent="0.35">
      <c r="A468" s="52" t="s">
        <v>6063</v>
      </c>
      <c r="C468" s="30" t="s">
        <v>20980</v>
      </c>
      <c r="D468" s="30" t="str">
        <f>"""TRUST Nav"",""HSPMTB2016"",""21"",""1"",""3487"""</f>
        <v>"TRUST Nav","HSPMTB2016","21","1","3487"</v>
      </c>
      <c r="I468" s="52" t="str">
        <f t="shared" si="104"/>
        <v>KK-04606|42309|TRT-80-10</v>
      </c>
      <c r="J468" s="52" t="str">
        <f t="shared" si="105"/>
        <v>KK-04606</v>
      </c>
      <c r="K468" s="52" t="str">
        <f t="shared" si="106"/>
        <v>Hendra Kurniawan</v>
      </c>
      <c r="L468" s="52" t="str">
        <f t="shared" si="103"/>
        <v>TRT-80-10</v>
      </c>
      <c r="M468" s="82">
        <v>42309</v>
      </c>
      <c r="N468" s="2">
        <v>50000.000000000007</v>
      </c>
    </row>
    <row r="469" spans="1:14" x14ac:dyDescent="0.35">
      <c r="A469" s="52" t="s">
        <v>6063</v>
      </c>
      <c r="C469" s="30" t="s">
        <v>20980</v>
      </c>
      <c r="D469" s="30" t="str">
        <f>"""TRUST Nav"",""HSPMTB2016"",""21"",""1"",""3488"""</f>
        <v>"TRUST Nav","HSPMTB2016","21","1","3488"</v>
      </c>
      <c r="I469" s="52" t="str">
        <f t="shared" si="104"/>
        <v>KK-04606|42339|TRT-80-10</v>
      </c>
      <c r="J469" s="52" t="str">
        <f t="shared" si="105"/>
        <v>KK-04606</v>
      </c>
      <c r="K469" s="52" t="str">
        <f t="shared" si="106"/>
        <v>Hendra Kurniawan</v>
      </c>
      <c r="L469" s="52" t="str">
        <f t="shared" si="103"/>
        <v>TRT-80-10</v>
      </c>
      <c r="M469" s="82">
        <v>42339</v>
      </c>
      <c r="N469" s="2">
        <v>50000.000000000007</v>
      </c>
    </row>
    <row r="470" spans="1:14" x14ac:dyDescent="0.35">
      <c r="A470" s="52" t="s">
        <v>6063</v>
      </c>
      <c r="C470" s="30" t="s">
        <v>20980</v>
      </c>
      <c r="D470" s="30" t="str">
        <f>"""TRUST Nav"",""HSPMTB2016"",""21"",""1"",""37282"""</f>
        <v>"TRUST Nav","HSPMTB2016","21","1","37282"</v>
      </c>
      <c r="I470" s="52" t="str">
        <f t="shared" si="104"/>
        <v>KK-04606|42368|TRT-80-10</v>
      </c>
      <c r="J470" s="52" t="str">
        <f t="shared" si="105"/>
        <v>KK-04606</v>
      </c>
      <c r="K470" s="52" t="str">
        <f t="shared" si="106"/>
        <v>Hendra Kurniawan</v>
      </c>
      <c r="L470" s="52" t="str">
        <f t="shared" si="103"/>
        <v>TRT-80-10</v>
      </c>
      <c r="M470" s="82">
        <v>42368</v>
      </c>
      <c r="N470" s="2">
        <v>50000.000000000007</v>
      </c>
    </row>
    <row r="471" spans="1:14" x14ac:dyDescent="0.35">
      <c r="A471" s="52" t="s">
        <v>6063</v>
      </c>
      <c r="C471" s="30" t="s">
        <v>20980</v>
      </c>
      <c r="D471" s="30" t="str">
        <f>"""TRUST Nav"",""HSPMTB2016"",""21"",""1"",""37283"""</f>
        <v>"TRUST Nav","HSPMTB2016","21","1","37283"</v>
      </c>
      <c r="I471" s="52" t="str">
        <f t="shared" si="104"/>
        <v>KK-04606|42368|TRT-80-10</v>
      </c>
      <c r="J471" s="52" t="str">
        <f t="shared" si="105"/>
        <v>KK-04606</v>
      </c>
      <c r="K471" s="52" t="str">
        <f t="shared" si="106"/>
        <v>Hendra Kurniawan</v>
      </c>
      <c r="L471" s="52" t="str">
        <f t="shared" si="103"/>
        <v>TRT-80-10</v>
      </c>
      <c r="M471" s="82">
        <v>42368</v>
      </c>
      <c r="N471" s="2">
        <v>50000.000000000007</v>
      </c>
    </row>
    <row r="472" spans="1:14" x14ac:dyDescent="0.35">
      <c r="A472" s="52" t="s">
        <v>6063</v>
      </c>
      <c r="C472" s="30" t="s">
        <v>20980</v>
      </c>
      <c r="D472" s="30" t="str">
        <f>"""TRUST Nav"",""HSPMTB2016"",""21"",""1"",""37284"""</f>
        <v>"TRUST Nav","HSPMTB2016","21","1","37284"</v>
      </c>
      <c r="I472" s="52" t="str">
        <f t="shared" si="104"/>
        <v>KK-04606|42368|TRT-80-10</v>
      </c>
      <c r="J472" s="52" t="str">
        <f t="shared" si="105"/>
        <v>KK-04606</v>
      </c>
      <c r="K472" s="52" t="str">
        <f t="shared" si="106"/>
        <v>Hendra Kurniawan</v>
      </c>
      <c r="L472" s="52" t="str">
        <f t="shared" si="103"/>
        <v>TRT-80-10</v>
      </c>
      <c r="M472" s="82">
        <v>42368</v>
      </c>
      <c r="N472" s="2">
        <v>50000.000000000007</v>
      </c>
    </row>
    <row r="473" spans="1:14" x14ac:dyDescent="0.35">
      <c r="A473" s="52" t="s">
        <v>6063</v>
      </c>
      <c r="C473" s="30" t="s">
        <v>20980</v>
      </c>
      <c r="D473" s="30" t="str">
        <f>"""TRUST Nav"",""HSPMTB2016"",""21"",""1"",""37285"""</f>
        <v>"TRUST Nav","HSPMTB2016","21","1","37285"</v>
      </c>
      <c r="I473" s="52" t="str">
        <f t="shared" si="104"/>
        <v>KK-04606|42368|TRT-80-10</v>
      </c>
      <c r="J473" s="52" t="str">
        <f t="shared" si="105"/>
        <v>KK-04606</v>
      </c>
      <c r="K473" s="52" t="str">
        <f t="shared" si="106"/>
        <v>Hendra Kurniawan</v>
      </c>
      <c r="L473" s="52" t="str">
        <f t="shared" si="103"/>
        <v>TRT-80-10</v>
      </c>
      <c r="M473" s="82">
        <v>42368</v>
      </c>
      <c r="N473" s="2">
        <v>50000.000000000007</v>
      </c>
    </row>
    <row r="474" spans="1:14" x14ac:dyDescent="0.35">
      <c r="A474" s="52" t="s">
        <v>6063</v>
      </c>
      <c r="C474" s="30" t="s">
        <v>20980</v>
      </c>
      <c r="D474" s="30" t="str">
        <f>"""TRUST Nav"",""HSPMTB2016"",""21"",""1"",""37286"""</f>
        <v>"TRUST Nav","HSPMTB2016","21","1","37286"</v>
      </c>
      <c r="I474" s="52" t="str">
        <f t="shared" si="104"/>
        <v>KK-04606|42368|TRT-80-10</v>
      </c>
      <c r="J474" s="52" t="str">
        <f t="shared" si="105"/>
        <v>KK-04606</v>
      </c>
      <c r="K474" s="52" t="str">
        <f t="shared" si="106"/>
        <v>Hendra Kurniawan</v>
      </c>
      <c r="L474" s="52" t="str">
        <f t="shared" si="103"/>
        <v>TRT-80-10</v>
      </c>
      <c r="M474" s="82">
        <v>42368</v>
      </c>
      <c r="N474" s="2">
        <v>50000.000000000007</v>
      </c>
    </row>
    <row r="475" spans="1:14" x14ac:dyDescent="0.35">
      <c r="A475" s="52" t="s">
        <v>6063</v>
      </c>
      <c r="C475" s="30" t="s">
        <v>20980</v>
      </c>
      <c r="D475" s="30" t="str">
        <f>"""TRUST Nav"",""HSPMTB2016"",""21"",""1"",""37287"""</f>
        <v>"TRUST Nav","HSPMTB2016","21","1","37287"</v>
      </c>
      <c r="I475" s="52" t="str">
        <f t="shared" si="104"/>
        <v>KK-04606|42368|TRT-80-10</v>
      </c>
      <c r="J475" s="52" t="str">
        <f t="shared" si="105"/>
        <v>KK-04606</v>
      </c>
      <c r="K475" s="52" t="str">
        <f t="shared" si="106"/>
        <v>Hendra Kurniawan</v>
      </c>
      <c r="L475" s="52" t="str">
        <f t="shared" si="103"/>
        <v>TRT-80-10</v>
      </c>
      <c r="M475" s="82">
        <v>42368</v>
      </c>
      <c r="N475" s="2">
        <v>50000.000000000007</v>
      </c>
    </row>
    <row r="476" spans="1:14" x14ac:dyDescent="0.35">
      <c r="A476" s="52" t="s">
        <v>6063</v>
      </c>
      <c r="C476" s="30" t="s">
        <v>20980</v>
      </c>
      <c r="D476" s="30" t="str">
        <f>"""TRUST Nav"",""HSPMTB2016"",""21"",""1"",""85211"""</f>
        <v>"TRUST Nav","HSPMTB2016","21","1","85211"</v>
      </c>
      <c r="I476" s="52" t="str">
        <f t="shared" si="104"/>
        <v>KK-04606|42370|TRT-80-10</v>
      </c>
      <c r="J476" s="52" t="str">
        <f t="shared" si="105"/>
        <v>KK-04606</v>
      </c>
      <c r="K476" s="52" t="str">
        <f t="shared" si="106"/>
        <v>Hendra Kurniawan</v>
      </c>
      <c r="L476" s="52" t="str">
        <f t="shared" si="103"/>
        <v>TRT-80-10</v>
      </c>
      <c r="M476" s="82">
        <v>42370</v>
      </c>
      <c r="N476" s="2">
        <v>50000.000000000007</v>
      </c>
    </row>
    <row r="477" spans="1:14" x14ac:dyDescent="0.35">
      <c r="A477" s="52" t="s">
        <v>6063</v>
      </c>
      <c r="C477" s="30" t="s">
        <v>20980</v>
      </c>
      <c r="D477" s="30" t="str">
        <f>"""TRUST Nav"",""HSPMTB2016"",""21"",""1"",""85212"""</f>
        <v>"TRUST Nav","HSPMTB2016","21","1","85212"</v>
      </c>
      <c r="I477" s="52" t="str">
        <f t="shared" si="104"/>
        <v>KK-04606|42401|TRT-80-10</v>
      </c>
      <c r="J477" s="52" t="str">
        <f t="shared" si="105"/>
        <v>KK-04606</v>
      </c>
      <c r="K477" s="52" t="str">
        <f t="shared" si="106"/>
        <v>Hendra Kurniawan</v>
      </c>
      <c r="L477" s="52" t="str">
        <f t="shared" si="103"/>
        <v>TRT-80-10</v>
      </c>
      <c r="M477" s="82">
        <v>42401</v>
      </c>
      <c r="N477" s="2">
        <v>50000.000000000007</v>
      </c>
    </row>
    <row r="478" spans="1:14" x14ac:dyDescent="0.35">
      <c r="A478" s="52" t="s">
        <v>6063</v>
      </c>
      <c r="C478" s="30" t="s">
        <v>20980</v>
      </c>
      <c r="D478" s="30" t="str">
        <f>"""TRUST Nav"",""HSPMTB2016"",""21"",""1"",""85213"""</f>
        <v>"TRUST Nav","HSPMTB2016","21","1","85213"</v>
      </c>
      <c r="I478" s="52" t="str">
        <f t="shared" si="104"/>
        <v>KK-04606|42430|TRT-80-10</v>
      </c>
      <c r="J478" s="52" t="str">
        <f t="shared" si="105"/>
        <v>KK-04606</v>
      </c>
      <c r="K478" s="52" t="str">
        <f t="shared" si="106"/>
        <v>Hendra Kurniawan</v>
      </c>
      <c r="L478" s="52" t="str">
        <f t="shared" si="103"/>
        <v>TRT-80-10</v>
      </c>
      <c r="M478" s="82">
        <v>42430</v>
      </c>
      <c r="N478" s="2">
        <v>50000.000000000007</v>
      </c>
    </row>
    <row r="479" spans="1:14" x14ac:dyDescent="0.35">
      <c r="A479" s="52" t="s">
        <v>6063</v>
      </c>
      <c r="C479" s="30" t="s">
        <v>20980</v>
      </c>
      <c r="D479" s="30" t="str">
        <f>"""TRUST Nav"",""HSPMTB2016"",""21"",""1"",""116864"""</f>
        <v>"TRUST Nav","HSPMTB2016","21","1","116864"</v>
      </c>
      <c r="I479" s="52" t="str">
        <f t="shared" si="104"/>
        <v>KK-04606|42461|TRT-80-10</v>
      </c>
      <c r="J479" s="52" t="str">
        <f t="shared" si="105"/>
        <v>KK-04606</v>
      </c>
      <c r="K479" s="52" t="str">
        <f t="shared" si="106"/>
        <v>Hendra Kurniawan</v>
      </c>
      <c r="L479" s="52" t="str">
        <f t="shared" si="103"/>
        <v>TRT-80-10</v>
      </c>
      <c r="M479" s="82">
        <v>42461</v>
      </c>
      <c r="N479" s="2">
        <v>50000.000000000007</v>
      </c>
    </row>
    <row r="480" spans="1:14" x14ac:dyDescent="0.35">
      <c r="A480" s="52" t="s">
        <v>6063</v>
      </c>
      <c r="C480" s="30" t="s">
        <v>20980</v>
      </c>
      <c r="D480" s="30" t="str">
        <f>"""TRUST Nav"",""HSPMTB2016"",""21"",""1"",""116865"""</f>
        <v>"TRUST Nav","HSPMTB2016","21","1","116865"</v>
      </c>
      <c r="I480" s="52" t="str">
        <f t="shared" si="104"/>
        <v>KK-04606|42491|TRT-80-10</v>
      </c>
      <c r="J480" s="52" t="str">
        <f t="shared" si="105"/>
        <v>KK-04606</v>
      </c>
      <c r="K480" s="52" t="str">
        <f t="shared" si="106"/>
        <v>Hendra Kurniawan</v>
      </c>
      <c r="L480" s="52" t="str">
        <f t="shared" si="103"/>
        <v>TRT-80-10</v>
      </c>
      <c r="M480" s="82">
        <v>42491</v>
      </c>
      <c r="N480" s="2">
        <v>50000.000000000007</v>
      </c>
    </row>
    <row r="481" spans="1:14" x14ac:dyDescent="0.35">
      <c r="A481" s="52" t="s">
        <v>6063</v>
      </c>
      <c r="C481" s="30" t="s">
        <v>20980</v>
      </c>
      <c r="D481" s="30" t="str">
        <f>"""TRUST Nav"",""HSPMTB2016"",""21"",""1"",""116866"""</f>
        <v>"TRUST Nav","HSPMTB2016","21","1","116866"</v>
      </c>
      <c r="I481" s="52" t="str">
        <f t="shared" si="104"/>
        <v>KK-04606|42522|TRT-80-10</v>
      </c>
      <c r="J481" s="52" t="str">
        <f t="shared" si="105"/>
        <v>KK-04606</v>
      </c>
      <c r="K481" s="52" t="str">
        <f t="shared" si="106"/>
        <v>Hendra Kurniawan</v>
      </c>
      <c r="L481" s="52" t="str">
        <f t="shared" si="103"/>
        <v>TRT-80-10</v>
      </c>
      <c r="M481" s="82">
        <v>42522</v>
      </c>
      <c r="N481" s="2">
        <v>50000.000000000007</v>
      </c>
    </row>
    <row r="482" spans="1:14" x14ac:dyDescent="0.35">
      <c r="A482" s="52" t="s">
        <v>6063</v>
      </c>
      <c r="C482" s="30" t="s">
        <v>20980</v>
      </c>
      <c r="D482" s="30" t="str">
        <f>"""TRUST Nav"",""HSPMTB2016"",""21"",""1"",""3489"""</f>
        <v>"TRUST Nav","HSPMTB2016","21","1","3489"</v>
      </c>
      <c r="I482" s="52" t="str">
        <f t="shared" si="104"/>
        <v>KK-04607|42186|TRT-80-10</v>
      </c>
      <c r="J482" s="52" t="str">
        <f t="shared" ref="J482:J500" si="107">"KK-04607"</f>
        <v>KK-04607</v>
      </c>
      <c r="K482" s="52" t="str">
        <f t="shared" ref="K482:K500" si="108">"Hendro Hartono"</f>
        <v>Hendro Hartono</v>
      </c>
      <c r="L482" s="52" t="str">
        <f t="shared" si="103"/>
        <v>TRT-80-10</v>
      </c>
      <c r="M482" s="82">
        <v>42186</v>
      </c>
      <c r="N482" s="2">
        <v>150000</v>
      </c>
    </row>
    <row r="483" spans="1:14" x14ac:dyDescent="0.35">
      <c r="A483" s="52" t="s">
        <v>6063</v>
      </c>
      <c r="C483" s="30" t="s">
        <v>20980</v>
      </c>
      <c r="D483" s="30" t="str">
        <f>"""TRUST Nav"",""HSPMTB2016"",""21"",""1"",""3490"""</f>
        <v>"TRUST Nav","HSPMTB2016","21","1","3490"</v>
      </c>
      <c r="I483" s="52" t="str">
        <f t="shared" si="104"/>
        <v>KK-04607|42217|TRT-80-10</v>
      </c>
      <c r="J483" s="52" t="str">
        <f t="shared" si="107"/>
        <v>KK-04607</v>
      </c>
      <c r="K483" s="52" t="str">
        <f t="shared" si="108"/>
        <v>Hendro Hartono</v>
      </c>
      <c r="L483" s="52" t="str">
        <f t="shared" si="103"/>
        <v>TRT-80-10</v>
      </c>
      <c r="M483" s="82">
        <v>42217</v>
      </c>
      <c r="N483" s="2">
        <v>150000</v>
      </c>
    </row>
    <row r="484" spans="1:14" x14ac:dyDescent="0.35">
      <c r="A484" s="52" t="s">
        <v>6063</v>
      </c>
      <c r="C484" s="30" t="s">
        <v>20980</v>
      </c>
      <c r="D484" s="30" t="str">
        <f>"""TRUST Nav"",""HSPMTB2016"",""21"",""1"",""3491"""</f>
        <v>"TRUST Nav","HSPMTB2016","21","1","3491"</v>
      </c>
      <c r="I484" s="52" t="str">
        <f t="shared" si="104"/>
        <v>KK-04607|42248|TRT-80-10</v>
      </c>
      <c r="J484" s="52" t="str">
        <f t="shared" si="107"/>
        <v>KK-04607</v>
      </c>
      <c r="K484" s="52" t="str">
        <f t="shared" si="108"/>
        <v>Hendro Hartono</v>
      </c>
      <c r="L484" s="52" t="str">
        <f t="shared" si="103"/>
        <v>TRT-80-10</v>
      </c>
      <c r="M484" s="82">
        <v>42248</v>
      </c>
      <c r="N484" s="2">
        <v>150000</v>
      </c>
    </row>
    <row r="485" spans="1:14" x14ac:dyDescent="0.35">
      <c r="A485" s="52" t="s">
        <v>6063</v>
      </c>
      <c r="C485" s="30" t="s">
        <v>20980</v>
      </c>
      <c r="D485" s="30" t="str">
        <f>"""TRUST Nav"",""HSPMTB2016"",""21"",""1"",""3492"""</f>
        <v>"TRUST Nav","HSPMTB2016","21","1","3492"</v>
      </c>
      <c r="I485" s="52" t="str">
        <f t="shared" si="104"/>
        <v>KK-04607|42278|TRT-80-10</v>
      </c>
      <c r="J485" s="52" t="str">
        <f t="shared" si="107"/>
        <v>KK-04607</v>
      </c>
      <c r="K485" s="52" t="str">
        <f t="shared" si="108"/>
        <v>Hendro Hartono</v>
      </c>
      <c r="L485" s="52" t="str">
        <f t="shared" si="103"/>
        <v>TRT-80-10</v>
      </c>
      <c r="M485" s="82">
        <v>42278</v>
      </c>
      <c r="N485" s="2">
        <v>150000</v>
      </c>
    </row>
    <row r="486" spans="1:14" x14ac:dyDescent="0.35">
      <c r="A486" s="52" t="s">
        <v>6063</v>
      </c>
      <c r="C486" s="30" t="s">
        <v>20980</v>
      </c>
      <c r="D486" s="30" t="str">
        <f>"""TRUST Nav"",""HSPMTB2016"",""21"",""1"",""3493"""</f>
        <v>"TRUST Nav","HSPMTB2016","21","1","3493"</v>
      </c>
      <c r="I486" s="52" t="str">
        <f t="shared" si="104"/>
        <v>KK-04607|42309|TRT-80-10</v>
      </c>
      <c r="J486" s="52" t="str">
        <f t="shared" si="107"/>
        <v>KK-04607</v>
      </c>
      <c r="K486" s="52" t="str">
        <f t="shared" si="108"/>
        <v>Hendro Hartono</v>
      </c>
      <c r="L486" s="52" t="str">
        <f t="shared" si="103"/>
        <v>TRT-80-10</v>
      </c>
      <c r="M486" s="82">
        <v>42309</v>
      </c>
      <c r="N486" s="2">
        <v>150000</v>
      </c>
    </row>
    <row r="487" spans="1:14" x14ac:dyDescent="0.35">
      <c r="A487" s="52" t="s">
        <v>6063</v>
      </c>
      <c r="C487" s="30" t="s">
        <v>20980</v>
      </c>
      <c r="D487" s="30" t="str">
        <f>"""TRUST Nav"",""HSPMTB2016"",""21"",""1"",""3494"""</f>
        <v>"TRUST Nav","HSPMTB2016","21","1","3494"</v>
      </c>
      <c r="I487" s="52" t="str">
        <f t="shared" si="104"/>
        <v>KK-04607|42339|TRT-80-10</v>
      </c>
      <c r="J487" s="52" t="str">
        <f t="shared" si="107"/>
        <v>KK-04607</v>
      </c>
      <c r="K487" s="52" t="str">
        <f t="shared" si="108"/>
        <v>Hendro Hartono</v>
      </c>
      <c r="L487" s="52" t="str">
        <f t="shared" si="103"/>
        <v>TRT-80-10</v>
      </c>
      <c r="M487" s="82">
        <v>42339</v>
      </c>
      <c r="N487" s="2">
        <v>150000</v>
      </c>
    </row>
    <row r="488" spans="1:14" x14ac:dyDescent="0.35">
      <c r="A488" s="52" t="s">
        <v>6063</v>
      </c>
      <c r="C488" s="30" t="s">
        <v>20980</v>
      </c>
      <c r="D488" s="30" t="str">
        <f>"""TRUST Nav"",""HSPMTB2016"",""21"",""1"",""37288"""</f>
        <v>"TRUST Nav","HSPMTB2016","21","1","37288"</v>
      </c>
      <c r="I488" s="52" t="str">
        <f t="shared" si="104"/>
        <v>KK-04607|42368|TRT-80-10</v>
      </c>
      <c r="J488" s="52" t="str">
        <f t="shared" si="107"/>
        <v>KK-04607</v>
      </c>
      <c r="K488" s="52" t="str">
        <f t="shared" si="108"/>
        <v>Hendro Hartono</v>
      </c>
      <c r="L488" s="52" t="str">
        <f t="shared" si="103"/>
        <v>TRT-80-10</v>
      </c>
      <c r="M488" s="82">
        <v>42368</v>
      </c>
      <c r="N488" s="2">
        <v>150000</v>
      </c>
    </row>
    <row r="489" spans="1:14" x14ac:dyDescent="0.35">
      <c r="A489" s="52" t="s">
        <v>6063</v>
      </c>
      <c r="C489" s="30" t="s">
        <v>20980</v>
      </c>
      <c r="D489" s="30" t="str">
        <f>"""TRUST Nav"",""HSPMTB2016"",""21"",""1"",""37289"""</f>
        <v>"TRUST Nav","HSPMTB2016","21","1","37289"</v>
      </c>
      <c r="I489" s="52" t="str">
        <f t="shared" si="104"/>
        <v>KK-04607|42368|TRT-80-10</v>
      </c>
      <c r="J489" s="52" t="str">
        <f t="shared" si="107"/>
        <v>KK-04607</v>
      </c>
      <c r="K489" s="52" t="str">
        <f t="shared" si="108"/>
        <v>Hendro Hartono</v>
      </c>
      <c r="L489" s="52" t="str">
        <f t="shared" si="103"/>
        <v>TRT-80-10</v>
      </c>
      <c r="M489" s="82">
        <v>42368</v>
      </c>
      <c r="N489" s="2">
        <v>150000</v>
      </c>
    </row>
    <row r="490" spans="1:14" x14ac:dyDescent="0.35">
      <c r="A490" s="52" t="s">
        <v>6063</v>
      </c>
      <c r="C490" s="30" t="s">
        <v>20980</v>
      </c>
      <c r="D490" s="30" t="str">
        <f>"""TRUST Nav"",""HSPMTB2016"",""21"",""1"",""37290"""</f>
        <v>"TRUST Nav","HSPMTB2016","21","1","37290"</v>
      </c>
      <c r="I490" s="52" t="str">
        <f t="shared" si="104"/>
        <v>KK-04607|42368|TRT-80-10</v>
      </c>
      <c r="J490" s="52" t="str">
        <f t="shared" si="107"/>
        <v>KK-04607</v>
      </c>
      <c r="K490" s="52" t="str">
        <f t="shared" si="108"/>
        <v>Hendro Hartono</v>
      </c>
      <c r="L490" s="52" t="str">
        <f t="shared" si="103"/>
        <v>TRT-80-10</v>
      </c>
      <c r="M490" s="82">
        <v>42368</v>
      </c>
      <c r="N490" s="2">
        <v>150000</v>
      </c>
    </row>
    <row r="491" spans="1:14" x14ac:dyDescent="0.35">
      <c r="A491" s="52" t="s">
        <v>6063</v>
      </c>
      <c r="C491" s="30" t="s">
        <v>20980</v>
      </c>
      <c r="D491" s="30" t="str">
        <f>"""TRUST Nav"",""HSPMTB2016"",""21"",""1"",""37291"""</f>
        <v>"TRUST Nav","HSPMTB2016","21","1","37291"</v>
      </c>
      <c r="I491" s="52" t="str">
        <f t="shared" si="104"/>
        <v>KK-04607|42368|TRT-80-10</v>
      </c>
      <c r="J491" s="52" t="str">
        <f t="shared" si="107"/>
        <v>KK-04607</v>
      </c>
      <c r="K491" s="52" t="str">
        <f t="shared" si="108"/>
        <v>Hendro Hartono</v>
      </c>
      <c r="L491" s="52" t="str">
        <f t="shared" si="103"/>
        <v>TRT-80-10</v>
      </c>
      <c r="M491" s="82">
        <v>42368</v>
      </c>
      <c r="N491" s="2">
        <v>150000</v>
      </c>
    </row>
    <row r="492" spans="1:14" x14ac:dyDescent="0.35">
      <c r="A492" s="52" t="s">
        <v>6063</v>
      </c>
      <c r="C492" s="30" t="s">
        <v>20980</v>
      </c>
      <c r="D492" s="30" t="str">
        <f>"""TRUST Nav"",""HSPMTB2016"",""21"",""1"",""37292"""</f>
        <v>"TRUST Nav","HSPMTB2016","21","1","37292"</v>
      </c>
      <c r="I492" s="52" t="str">
        <f t="shared" si="104"/>
        <v>KK-04607|42368|TRT-80-10</v>
      </c>
      <c r="J492" s="52" t="str">
        <f t="shared" si="107"/>
        <v>KK-04607</v>
      </c>
      <c r="K492" s="52" t="str">
        <f t="shared" si="108"/>
        <v>Hendro Hartono</v>
      </c>
      <c r="L492" s="52" t="str">
        <f t="shared" si="103"/>
        <v>TRT-80-10</v>
      </c>
      <c r="M492" s="82">
        <v>42368</v>
      </c>
      <c r="N492" s="2">
        <v>150000</v>
      </c>
    </row>
    <row r="493" spans="1:14" x14ac:dyDescent="0.35">
      <c r="A493" s="52" t="s">
        <v>6063</v>
      </c>
      <c r="C493" s="30" t="s">
        <v>20980</v>
      </c>
      <c r="D493" s="30" t="str">
        <f>"""TRUST Nav"",""HSPMTB2016"",""21"",""1"",""37293"""</f>
        <v>"TRUST Nav","HSPMTB2016","21","1","37293"</v>
      </c>
      <c r="I493" s="52" t="str">
        <f t="shared" si="104"/>
        <v>KK-04607|42368|TRT-80-10</v>
      </c>
      <c r="J493" s="52" t="str">
        <f t="shared" si="107"/>
        <v>KK-04607</v>
      </c>
      <c r="K493" s="52" t="str">
        <f t="shared" si="108"/>
        <v>Hendro Hartono</v>
      </c>
      <c r="L493" s="52" t="str">
        <f t="shared" si="103"/>
        <v>TRT-80-10</v>
      </c>
      <c r="M493" s="82">
        <v>42368</v>
      </c>
      <c r="N493" s="2">
        <v>150000</v>
      </c>
    </row>
    <row r="494" spans="1:14" x14ac:dyDescent="0.35">
      <c r="A494" s="52" t="s">
        <v>6063</v>
      </c>
      <c r="C494" s="30" t="s">
        <v>20980</v>
      </c>
      <c r="D494" s="30" t="str">
        <f>"""TRUST Nav"",""HSPMTB2016"",""21"",""1"",""73423"""</f>
        <v>"TRUST Nav","HSPMTB2016","21","1","73423"</v>
      </c>
      <c r="I494" s="52" t="str">
        <f t="shared" si="104"/>
        <v>KK-04607|42370|TRT-80-10</v>
      </c>
      <c r="J494" s="52" t="str">
        <f t="shared" si="107"/>
        <v>KK-04607</v>
      </c>
      <c r="K494" s="52" t="str">
        <f t="shared" si="108"/>
        <v>Hendro Hartono</v>
      </c>
      <c r="L494" s="52" t="str">
        <f t="shared" si="103"/>
        <v>TRT-80-10</v>
      </c>
      <c r="M494" s="82">
        <v>42370</v>
      </c>
      <c r="N494" s="2">
        <v>150000</v>
      </c>
    </row>
    <row r="495" spans="1:14" x14ac:dyDescent="0.35">
      <c r="A495" s="52" t="s">
        <v>6063</v>
      </c>
      <c r="C495" s="30" t="s">
        <v>20980</v>
      </c>
      <c r="D495" s="30" t="str">
        <f>"""TRUST Nav"",""HSPMTB2016"",""21"",""1"",""102555"""</f>
        <v>"TRUST Nav","HSPMTB2016","21","1","102555"</v>
      </c>
      <c r="I495" s="52" t="str">
        <f t="shared" si="104"/>
        <v>KK-04607|42401|TRT-80-10</v>
      </c>
      <c r="J495" s="52" t="str">
        <f t="shared" si="107"/>
        <v>KK-04607</v>
      </c>
      <c r="K495" s="52" t="str">
        <f t="shared" si="108"/>
        <v>Hendro Hartono</v>
      </c>
      <c r="L495" s="52" t="str">
        <f t="shared" si="103"/>
        <v>TRT-80-10</v>
      </c>
      <c r="M495" s="82">
        <v>42401</v>
      </c>
      <c r="N495" s="2">
        <v>150000</v>
      </c>
    </row>
    <row r="496" spans="1:14" x14ac:dyDescent="0.35">
      <c r="A496" s="52" t="s">
        <v>6063</v>
      </c>
      <c r="C496" s="30" t="s">
        <v>20980</v>
      </c>
      <c r="D496" s="30" t="str">
        <f>"""TRUST Nav"",""HSPMTB2016"",""21"",""1"",""122024"""</f>
        <v>"TRUST Nav","HSPMTB2016","21","1","122024"</v>
      </c>
      <c r="I496" s="52" t="str">
        <f t="shared" si="104"/>
        <v>KK-04607|42430|TRT-80-10</v>
      </c>
      <c r="J496" s="52" t="str">
        <f t="shared" si="107"/>
        <v>KK-04607</v>
      </c>
      <c r="K496" s="52" t="str">
        <f t="shared" si="108"/>
        <v>Hendro Hartono</v>
      </c>
      <c r="L496" s="52" t="str">
        <f t="shared" si="103"/>
        <v>TRT-80-10</v>
      </c>
      <c r="M496" s="82">
        <v>42430</v>
      </c>
      <c r="N496" s="2">
        <v>150000</v>
      </c>
    </row>
    <row r="497" spans="1:14" x14ac:dyDescent="0.35">
      <c r="A497" s="52" t="s">
        <v>6063</v>
      </c>
      <c r="C497" s="30" t="s">
        <v>20980</v>
      </c>
      <c r="D497" s="30" t="str">
        <f>"""TRUST Nav"",""HSPMTB2016"",""21"",""1"",""122025"""</f>
        <v>"TRUST Nav","HSPMTB2016","21","1","122025"</v>
      </c>
      <c r="I497" s="52" t="str">
        <f t="shared" si="104"/>
        <v>KK-04607|42461|TRT-80-10</v>
      </c>
      <c r="J497" s="52" t="str">
        <f t="shared" si="107"/>
        <v>KK-04607</v>
      </c>
      <c r="K497" s="52" t="str">
        <f t="shared" si="108"/>
        <v>Hendro Hartono</v>
      </c>
      <c r="L497" s="52" t="str">
        <f t="shared" si="103"/>
        <v>TRT-80-10</v>
      </c>
      <c r="M497" s="82">
        <v>42461</v>
      </c>
      <c r="N497" s="2">
        <v>150000</v>
      </c>
    </row>
    <row r="498" spans="1:14" x14ac:dyDescent="0.35">
      <c r="A498" s="52" t="s">
        <v>6063</v>
      </c>
      <c r="C498" s="30" t="s">
        <v>20980</v>
      </c>
      <c r="D498" s="30" t="str">
        <f>"""TRUST Nav"",""HSPMTB2016"",""21"",""1"",""122026"""</f>
        <v>"TRUST Nav","HSPMTB2016","21","1","122026"</v>
      </c>
      <c r="I498" s="52" t="str">
        <f t="shared" si="104"/>
        <v>KK-04607|42491|TRT-80-10</v>
      </c>
      <c r="J498" s="52" t="str">
        <f t="shared" si="107"/>
        <v>KK-04607</v>
      </c>
      <c r="K498" s="52" t="str">
        <f t="shared" si="108"/>
        <v>Hendro Hartono</v>
      </c>
      <c r="L498" s="52" t="str">
        <f t="shared" si="103"/>
        <v>TRT-80-10</v>
      </c>
      <c r="M498" s="82">
        <v>42491</v>
      </c>
      <c r="N498" s="2">
        <v>150000</v>
      </c>
    </row>
    <row r="499" spans="1:14" x14ac:dyDescent="0.35">
      <c r="A499" s="52" t="s">
        <v>6063</v>
      </c>
      <c r="C499" s="30" t="s">
        <v>20980</v>
      </c>
      <c r="D499" s="30" t="str">
        <f>"""TRUST Nav"",""HSPMTB2016"",""21"",""1"",""138824"""</f>
        <v>"TRUST Nav","HSPMTB2016","21","1","138824"</v>
      </c>
      <c r="I499" s="52" t="str">
        <f t="shared" si="104"/>
        <v>KK-04607|42522|TRT-80-10</v>
      </c>
      <c r="J499" s="52" t="str">
        <f t="shared" si="107"/>
        <v>KK-04607</v>
      </c>
      <c r="K499" s="52" t="str">
        <f t="shared" si="108"/>
        <v>Hendro Hartono</v>
      </c>
      <c r="L499" s="52" t="str">
        <f t="shared" si="103"/>
        <v>TRT-80-10</v>
      </c>
      <c r="M499" s="82">
        <v>42522</v>
      </c>
      <c r="N499" s="2">
        <v>150000</v>
      </c>
    </row>
    <row r="500" spans="1:14" x14ac:dyDescent="0.35">
      <c r="A500" s="52" t="s">
        <v>6063</v>
      </c>
      <c r="C500" s="30" t="s">
        <v>20980</v>
      </c>
      <c r="D500" s="30" t="str">
        <f>"""TRUST Nav"",""HSPMTB2016"",""21"",""1"",""138825"""</f>
        <v>"TRUST Nav","HSPMTB2016","21","1","138825"</v>
      </c>
      <c r="I500" s="52" t="str">
        <f t="shared" si="104"/>
        <v>KK-04607|42552|TRT-80-10</v>
      </c>
      <c r="J500" s="52" t="str">
        <f t="shared" si="107"/>
        <v>KK-04607</v>
      </c>
      <c r="K500" s="52" t="str">
        <f t="shared" si="108"/>
        <v>Hendro Hartono</v>
      </c>
      <c r="L500" s="52" t="str">
        <f t="shared" si="103"/>
        <v>TRT-80-10</v>
      </c>
      <c r="M500" s="82">
        <v>42552</v>
      </c>
      <c r="N500" s="2">
        <v>150000</v>
      </c>
    </row>
    <row r="501" spans="1:14" x14ac:dyDescent="0.35">
      <c r="A501" s="52" t="s">
        <v>6063</v>
      </c>
      <c r="C501" s="30" t="s">
        <v>20980</v>
      </c>
      <c r="D501" s="30" t="str">
        <f>"""TRUST Nav"",""HSPMTB2016"",""21"",""1"",""3495"""</f>
        <v>"TRUST Nav","HSPMTB2016","21","1","3495"</v>
      </c>
      <c r="I501" s="52" t="str">
        <f t="shared" si="104"/>
        <v>KK-04608|42186|TRT-80-10</v>
      </c>
      <c r="J501" s="52" t="str">
        <f t="shared" ref="J501:J520" si="109">"KK-04608"</f>
        <v>KK-04608</v>
      </c>
      <c r="K501" s="52" t="str">
        <f t="shared" ref="K501:K520" si="110">"Heru Prawono"</f>
        <v>Heru Prawono</v>
      </c>
      <c r="L501" s="52" t="str">
        <f t="shared" si="103"/>
        <v>TRT-80-10</v>
      </c>
      <c r="M501" s="82">
        <v>42186</v>
      </c>
      <c r="N501" s="2">
        <v>30000</v>
      </c>
    </row>
    <row r="502" spans="1:14" x14ac:dyDescent="0.35">
      <c r="A502" s="52" t="s">
        <v>6063</v>
      </c>
      <c r="C502" s="30" t="s">
        <v>20980</v>
      </c>
      <c r="D502" s="30" t="str">
        <f>"""TRUST Nav"",""HSPMTB2016"",""21"",""1"",""3496"""</f>
        <v>"TRUST Nav","HSPMTB2016","21","1","3496"</v>
      </c>
      <c r="I502" s="52" t="str">
        <f t="shared" si="104"/>
        <v>KK-04608|42217|TRT-80-10</v>
      </c>
      <c r="J502" s="52" t="str">
        <f t="shared" si="109"/>
        <v>KK-04608</v>
      </c>
      <c r="K502" s="52" t="str">
        <f t="shared" si="110"/>
        <v>Heru Prawono</v>
      </c>
      <c r="L502" s="52" t="str">
        <f t="shared" si="103"/>
        <v>TRT-80-10</v>
      </c>
      <c r="M502" s="82">
        <v>42217</v>
      </c>
      <c r="N502" s="2">
        <v>30000</v>
      </c>
    </row>
    <row r="503" spans="1:14" x14ac:dyDescent="0.35">
      <c r="A503" s="52" t="s">
        <v>6063</v>
      </c>
      <c r="C503" s="30" t="s">
        <v>20980</v>
      </c>
      <c r="D503" s="30" t="str">
        <f>"""TRUST Nav"",""HSPMTB2016"",""21"",""1"",""3497"""</f>
        <v>"TRUST Nav","HSPMTB2016","21","1","3497"</v>
      </c>
      <c r="I503" s="52" t="str">
        <f t="shared" si="104"/>
        <v>KK-04608|42248|TRT-80-10</v>
      </c>
      <c r="J503" s="52" t="str">
        <f t="shared" si="109"/>
        <v>KK-04608</v>
      </c>
      <c r="K503" s="52" t="str">
        <f t="shared" si="110"/>
        <v>Heru Prawono</v>
      </c>
      <c r="L503" s="52" t="str">
        <f t="shared" si="103"/>
        <v>TRT-80-10</v>
      </c>
      <c r="M503" s="82">
        <v>42248</v>
      </c>
      <c r="N503" s="2">
        <v>30000</v>
      </c>
    </row>
    <row r="504" spans="1:14" x14ac:dyDescent="0.35">
      <c r="A504" s="52" t="s">
        <v>6063</v>
      </c>
      <c r="C504" s="30" t="s">
        <v>20980</v>
      </c>
      <c r="D504" s="30" t="str">
        <f>"""TRUST Nav"",""HSPMTB2016"",""21"",""1"",""3498"""</f>
        <v>"TRUST Nav","HSPMTB2016","21","1","3498"</v>
      </c>
      <c r="I504" s="52" t="str">
        <f t="shared" si="104"/>
        <v>KK-04608|42278|TRT-80-10</v>
      </c>
      <c r="J504" s="52" t="str">
        <f t="shared" si="109"/>
        <v>KK-04608</v>
      </c>
      <c r="K504" s="52" t="str">
        <f t="shared" si="110"/>
        <v>Heru Prawono</v>
      </c>
      <c r="L504" s="52" t="str">
        <f t="shared" si="103"/>
        <v>TRT-80-10</v>
      </c>
      <c r="M504" s="82">
        <v>42278</v>
      </c>
      <c r="N504" s="2">
        <v>30000</v>
      </c>
    </row>
    <row r="505" spans="1:14" x14ac:dyDescent="0.35">
      <c r="A505" s="52" t="s">
        <v>6063</v>
      </c>
      <c r="C505" s="30" t="s">
        <v>20980</v>
      </c>
      <c r="D505" s="30" t="str">
        <f>"""TRUST Nav"",""HSPMTB2016"",""21"",""1"",""3499"""</f>
        <v>"TRUST Nav","HSPMTB2016","21","1","3499"</v>
      </c>
      <c r="I505" s="52" t="str">
        <f t="shared" si="104"/>
        <v>KK-04608|42309|TRT-80-10</v>
      </c>
      <c r="J505" s="52" t="str">
        <f t="shared" si="109"/>
        <v>KK-04608</v>
      </c>
      <c r="K505" s="52" t="str">
        <f t="shared" si="110"/>
        <v>Heru Prawono</v>
      </c>
      <c r="L505" s="52" t="str">
        <f t="shared" si="103"/>
        <v>TRT-80-10</v>
      </c>
      <c r="M505" s="82">
        <v>42309</v>
      </c>
      <c r="N505" s="2">
        <v>30000</v>
      </c>
    </row>
    <row r="506" spans="1:14" x14ac:dyDescent="0.35">
      <c r="A506" s="52" t="s">
        <v>6063</v>
      </c>
      <c r="C506" s="30" t="s">
        <v>20980</v>
      </c>
      <c r="D506" s="30" t="str">
        <f>"""TRUST Nav"",""HSPMTB2016"",""21"",""1"",""3500"""</f>
        <v>"TRUST Nav","HSPMTB2016","21","1","3500"</v>
      </c>
      <c r="I506" s="52" t="str">
        <f t="shared" si="104"/>
        <v>KK-04608|42339|TRT-80-10</v>
      </c>
      <c r="J506" s="52" t="str">
        <f t="shared" si="109"/>
        <v>KK-04608</v>
      </c>
      <c r="K506" s="52" t="str">
        <f t="shared" si="110"/>
        <v>Heru Prawono</v>
      </c>
      <c r="L506" s="52" t="str">
        <f t="shared" si="103"/>
        <v>TRT-80-10</v>
      </c>
      <c r="M506" s="82">
        <v>42339</v>
      </c>
      <c r="N506" s="2">
        <v>30000</v>
      </c>
    </row>
    <row r="507" spans="1:14" x14ac:dyDescent="0.35">
      <c r="A507" s="52" t="s">
        <v>6063</v>
      </c>
      <c r="C507" s="30" t="s">
        <v>20980</v>
      </c>
      <c r="D507" s="30" t="str">
        <f>"""TRUST Nav"",""HSPMTB2016"",""21"",""1"",""37294"""</f>
        <v>"TRUST Nav","HSPMTB2016","21","1","37294"</v>
      </c>
      <c r="I507" s="52" t="str">
        <f t="shared" si="104"/>
        <v>KK-04608|42368|TRT-80-10</v>
      </c>
      <c r="J507" s="52" t="str">
        <f t="shared" si="109"/>
        <v>KK-04608</v>
      </c>
      <c r="K507" s="52" t="str">
        <f t="shared" si="110"/>
        <v>Heru Prawono</v>
      </c>
      <c r="L507" s="52" t="str">
        <f t="shared" si="103"/>
        <v>TRT-80-10</v>
      </c>
      <c r="M507" s="82">
        <v>42368</v>
      </c>
      <c r="N507" s="2">
        <v>30000</v>
      </c>
    </row>
    <row r="508" spans="1:14" x14ac:dyDescent="0.35">
      <c r="A508" s="52" t="s">
        <v>6063</v>
      </c>
      <c r="C508" s="30" t="s">
        <v>20980</v>
      </c>
      <c r="D508" s="30" t="str">
        <f>"""TRUST Nav"",""HSPMTB2016"",""21"",""1"",""37295"""</f>
        <v>"TRUST Nav","HSPMTB2016","21","1","37295"</v>
      </c>
      <c r="I508" s="52" t="str">
        <f t="shared" si="104"/>
        <v>KK-04608|42368|TRT-80-10</v>
      </c>
      <c r="J508" s="52" t="str">
        <f t="shared" si="109"/>
        <v>KK-04608</v>
      </c>
      <c r="K508" s="52" t="str">
        <f t="shared" si="110"/>
        <v>Heru Prawono</v>
      </c>
      <c r="L508" s="52" t="str">
        <f t="shared" si="103"/>
        <v>TRT-80-10</v>
      </c>
      <c r="M508" s="82">
        <v>42368</v>
      </c>
      <c r="N508" s="2">
        <v>30000</v>
      </c>
    </row>
    <row r="509" spans="1:14" x14ac:dyDescent="0.35">
      <c r="A509" s="52" t="s">
        <v>6063</v>
      </c>
      <c r="C509" s="30" t="s">
        <v>20980</v>
      </c>
      <c r="D509" s="30" t="str">
        <f>"""TRUST Nav"",""HSPMTB2016"",""21"",""1"",""37296"""</f>
        <v>"TRUST Nav","HSPMTB2016","21","1","37296"</v>
      </c>
      <c r="I509" s="52" t="str">
        <f t="shared" si="104"/>
        <v>KK-04608|42368|TRT-80-10</v>
      </c>
      <c r="J509" s="52" t="str">
        <f t="shared" si="109"/>
        <v>KK-04608</v>
      </c>
      <c r="K509" s="52" t="str">
        <f t="shared" si="110"/>
        <v>Heru Prawono</v>
      </c>
      <c r="L509" s="52" t="str">
        <f t="shared" si="103"/>
        <v>TRT-80-10</v>
      </c>
      <c r="M509" s="82">
        <v>42368</v>
      </c>
      <c r="N509" s="2">
        <v>30000</v>
      </c>
    </row>
    <row r="510" spans="1:14" x14ac:dyDescent="0.35">
      <c r="A510" s="52" t="s">
        <v>6063</v>
      </c>
      <c r="C510" s="30" t="s">
        <v>20980</v>
      </c>
      <c r="D510" s="30" t="str">
        <f>"""TRUST Nav"",""HSPMTB2016"",""21"",""1"",""37297"""</f>
        <v>"TRUST Nav","HSPMTB2016","21","1","37297"</v>
      </c>
      <c r="I510" s="52" t="str">
        <f t="shared" si="104"/>
        <v>KK-04608|42368|TRT-80-10</v>
      </c>
      <c r="J510" s="52" t="str">
        <f t="shared" si="109"/>
        <v>KK-04608</v>
      </c>
      <c r="K510" s="52" t="str">
        <f t="shared" si="110"/>
        <v>Heru Prawono</v>
      </c>
      <c r="L510" s="52" t="str">
        <f t="shared" si="103"/>
        <v>TRT-80-10</v>
      </c>
      <c r="M510" s="82">
        <v>42368</v>
      </c>
      <c r="N510" s="2">
        <v>30000</v>
      </c>
    </row>
    <row r="511" spans="1:14" x14ac:dyDescent="0.35">
      <c r="A511" s="52" t="s">
        <v>6063</v>
      </c>
      <c r="C511" s="30" t="s">
        <v>20980</v>
      </c>
      <c r="D511" s="30" t="str">
        <f>"""TRUST Nav"",""HSPMTB2016"",""21"",""1"",""37298"""</f>
        <v>"TRUST Nav","HSPMTB2016","21","1","37298"</v>
      </c>
      <c r="I511" s="52" t="str">
        <f t="shared" si="104"/>
        <v>KK-04608|42368|TRT-80-10</v>
      </c>
      <c r="J511" s="52" t="str">
        <f t="shared" si="109"/>
        <v>KK-04608</v>
      </c>
      <c r="K511" s="52" t="str">
        <f t="shared" si="110"/>
        <v>Heru Prawono</v>
      </c>
      <c r="L511" s="52" t="str">
        <f t="shared" si="103"/>
        <v>TRT-80-10</v>
      </c>
      <c r="M511" s="82">
        <v>42368</v>
      </c>
      <c r="N511" s="2">
        <v>30000</v>
      </c>
    </row>
    <row r="512" spans="1:14" x14ac:dyDescent="0.35">
      <c r="A512" s="52" t="s">
        <v>6063</v>
      </c>
      <c r="C512" s="30" t="s">
        <v>20980</v>
      </c>
      <c r="D512" s="30" t="str">
        <f>"""TRUST Nav"",""HSPMTB2016"",""21"",""1"",""37299"""</f>
        <v>"TRUST Nav","HSPMTB2016","21","1","37299"</v>
      </c>
      <c r="I512" s="52" t="str">
        <f t="shared" si="104"/>
        <v>KK-04608|42368|TRT-80-10</v>
      </c>
      <c r="J512" s="52" t="str">
        <f t="shared" si="109"/>
        <v>KK-04608</v>
      </c>
      <c r="K512" s="52" t="str">
        <f t="shared" si="110"/>
        <v>Heru Prawono</v>
      </c>
      <c r="L512" s="52" t="str">
        <f t="shared" si="103"/>
        <v>TRT-80-10</v>
      </c>
      <c r="M512" s="82">
        <v>42368</v>
      </c>
      <c r="N512" s="2">
        <v>30000</v>
      </c>
    </row>
    <row r="513" spans="1:14" x14ac:dyDescent="0.35">
      <c r="A513" s="52" t="s">
        <v>6063</v>
      </c>
      <c r="C513" s="30" t="s">
        <v>20980</v>
      </c>
      <c r="D513" s="30" t="str">
        <f>"""TRUST Nav"",""HSPMTB2016"",""21"",""1"",""73424"""</f>
        <v>"TRUST Nav","HSPMTB2016","21","1","73424"</v>
      </c>
      <c r="I513" s="52" t="str">
        <f t="shared" si="104"/>
        <v>KK-04608|42370|TRT-80-10</v>
      </c>
      <c r="J513" s="52" t="str">
        <f t="shared" si="109"/>
        <v>KK-04608</v>
      </c>
      <c r="K513" s="52" t="str">
        <f t="shared" si="110"/>
        <v>Heru Prawono</v>
      </c>
      <c r="L513" s="52" t="str">
        <f t="shared" si="103"/>
        <v>TRT-80-10</v>
      </c>
      <c r="M513" s="82">
        <v>42370</v>
      </c>
      <c r="N513" s="2">
        <v>30000</v>
      </c>
    </row>
    <row r="514" spans="1:14" x14ac:dyDescent="0.35">
      <c r="A514" s="52" t="s">
        <v>6063</v>
      </c>
      <c r="C514" s="30" t="s">
        <v>20980</v>
      </c>
      <c r="D514" s="30" t="str">
        <f>"""TRUST Nav"",""HSPMTB2016"",""21"",""1"",""85214"""</f>
        <v>"TRUST Nav","HSPMTB2016","21","1","85214"</v>
      </c>
      <c r="I514" s="52" t="str">
        <f t="shared" si="104"/>
        <v>KK-04608|42401|TRT-80-10</v>
      </c>
      <c r="J514" s="52" t="str">
        <f t="shared" si="109"/>
        <v>KK-04608</v>
      </c>
      <c r="K514" s="52" t="str">
        <f t="shared" si="110"/>
        <v>Heru Prawono</v>
      </c>
      <c r="L514" s="52" t="str">
        <f t="shared" si="103"/>
        <v>TRT-80-10</v>
      </c>
      <c r="M514" s="82">
        <v>42401</v>
      </c>
      <c r="N514" s="2">
        <v>30000</v>
      </c>
    </row>
    <row r="515" spans="1:14" x14ac:dyDescent="0.35">
      <c r="A515" s="52" t="s">
        <v>6063</v>
      </c>
      <c r="C515" s="30" t="s">
        <v>20980</v>
      </c>
      <c r="D515" s="30" t="str">
        <f>"""TRUST Nav"",""HSPMTB2016"",""21"",""1"",""102556"""</f>
        <v>"TRUST Nav","HSPMTB2016","21","1","102556"</v>
      </c>
      <c r="I515" s="52" t="str">
        <f t="shared" si="104"/>
        <v>KK-04608|42430|TRT-80-10</v>
      </c>
      <c r="J515" s="52" t="str">
        <f t="shared" si="109"/>
        <v>KK-04608</v>
      </c>
      <c r="K515" s="52" t="str">
        <f t="shared" si="110"/>
        <v>Heru Prawono</v>
      </c>
      <c r="L515" s="52" t="str">
        <f t="shared" si="103"/>
        <v>TRT-80-10</v>
      </c>
      <c r="M515" s="82">
        <v>42430</v>
      </c>
      <c r="N515" s="2">
        <v>30000</v>
      </c>
    </row>
    <row r="516" spans="1:14" x14ac:dyDescent="0.35">
      <c r="A516" s="52" t="s">
        <v>6063</v>
      </c>
      <c r="C516" s="30" t="s">
        <v>20980</v>
      </c>
      <c r="D516" s="30" t="str">
        <f>"""TRUST Nav"",""HSPMTB2016"",""21"",""1"",""102557"""</f>
        <v>"TRUST Nav","HSPMTB2016","21","1","102557"</v>
      </c>
      <c r="I516" s="52" t="str">
        <f t="shared" si="104"/>
        <v>KK-04608|42461|TRT-80-10</v>
      </c>
      <c r="J516" s="52" t="str">
        <f t="shared" si="109"/>
        <v>KK-04608</v>
      </c>
      <c r="K516" s="52" t="str">
        <f t="shared" si="110"/>
        <v>Heru Prawono</v>
      </c>
      <c r="L516" s="52" t="str">
        <f t="shared" si="103"/>
        <v>TRT-80-10</v>
      </c>
      <c r="M516" s="82">
        <v>42461</v>
      </c>
      <c r="N516" s="2">
        <v>30000</v>
      </c>
    </row>
    <row r="517" spans="1:14" x14ac:dyDescent="0.35">
      <c r="A517" s="52" t="s">
        <v>6063</v>
      </c>
      <c r="C517" s="30" t="s">
        <v>20980</v>
      </c>
      <c r="D517" s="30" t="str">
        <f>"""TRUST Nav"",""HSPMTB2016"",""21"",""1"",""116867"""</f>
        <v>"TRUST Nav","HSPMTB2016","21","1","116867"</v>
      </c>
      <c r="I517" s="52" t="str">
        <f t="shared" si="104"/>
        <v>KK-04608|42491|TRT-80-10</v>
      </c>
      <c r="J517" s="52" t="str">
        <f t="shared" si="109"/>
        <v>KK-04608</v>
      </c>
      <c r="K517" s="52" t="str">
        <f t="shared" si="110"/>
        <v>Heru Prawono</v>
      </c>
      <c r="L517" s="52" t="str">
        <f t="shared" si="103"/>
        <v>TRT-80-10</v>
      </c>
      <c r="M517" s="82">
        <v>42491</v>
      </c>
      <c r="N517" s="2">
        <v>30000</v>
      </c>
    </row>
    <row r="518" spans="1:14" x14ac:dyDescent="0.35">
      <c r="A518" s="52" t="s">
        <v>6063</v>
      </c>
      <c r="C518" s="30" t="s">
        <v>20980</v>
      </c>
      <c r="D518" s="30" t="str">
        <f>"""TRUST Nav"",""HSPMTB2016"",""21"",""1"",""122027"""</f>
        <v>"TRUST Nav","HSPMTB2016","21","1","122027"</v>
      </c>
      <c r="I518" s="52" t="str">
        <f t="shared" si="104"/>
        <v>KK-04608|42522|TRT-80-10</v>
      </c>
      <c r="J518" s="52" t="str">
        <f t="shared" si="109"/>
        <v>KK-04608</v>
      </c>
      <c r="K518" s="52" t="str">
        <f t="shared" si="110"/>
        <v>Heru Prawono</v>
      </c>
      <c r="L518" s="52" t="str">
        <f t="shared" si="103"/>
        <v>TRT-80-10</v>
      </c>
      <c r="M518" s="82">
        <v>42522</v>
      </c>
      <c r="N518" s="2">
        <v>30000</v>
      </c>
    </row>
    <row r="519" spans="1:14" x14ac:dyDescent="0.35">
      <c r="A519" s="52" t="s">
        <v>6063</v>
      </c>
      <c r="C519" s="30" t="s">
        <v>20980</v>
      </c>
      <c r="D519" s="30" t="str">
        <f>"""TRUST Nav"",""HSPMTB2016"",""21"",""1"",""129699"""</f>
        <v>"TRUST Nav","HSPMTB2016","21","1","129699"</v>
      </c>
      <c r="I519" s="52" t="str">
        <f t="shared" si="104"/>
        <v>KK-04608|42552|TRT-80-10</v>
      </c>
      <c r="J519" s="52" t="str">
        <f t="shared" si="109"/>
        <v>KK-04608</v>
      </c>
      <c r="K519" s="52" t="str">
        <f t="shared" si="110"/>
        <v>Heru Prawono</v>
      </c>
      <c r="L519" s="52" t="str">
        <f t="shared" si="103"/>
        <v>TRT-80-10</v>
      </c>
      <c r="M519" s="82">
        <v>42552</v>
      </c>
      <c r="N519" s="2">
        <v>30000</v>
      </c>
    </row>
    <row r="520" spans="1:14" x14ac:dyDescent="0.35">
      <c r="A520" s="52" t="s">
        <v>6063</v>
      </c>
      <c r="C520" s="30" t="s">
        <v>20980</v>
      </c>
      <c r="D520" s="30" t="str">
        <f>"""TRUST Nav"",""HSPMTB2016"",""21"",""1"",""138826"""</f>
        <v>"TRUST Nav","HSPMTB2016","21","1","138826"</v>
      </c>
      <c r="I520" s="52" t="str">
        <f t="shared" si="104"/>
        <v>KK-04608|42583|TRT-80-10</v>
      </c>
      <c r="J520" s="52" t="str">
        <f t="shared" si="109"/>
        <v>KK-04608</v>
      </c>
      <c r="K520" s="52" t="str">
        <f t="shared" si="110"/>
        <v>Heru Prawono</v>
      </c>
      <c r="L520" s="52" t="str">
        <f t="shared" si="103"/>
        <v>TRT-80-10</v>
      </c>
      <c r="M520" s="82">
        <v>42583</v>
      </c>
      <c r="N520" s="2">
        <v>30000</v>
      </c>
    </row>
    <row r="521" spans="1:14" x14ac:dyDescent="0.35">
      <c r="A521" s="52" t="s">
        <v>6063</v>
      </c>
      <c r="C521" s="30" t="s">
        <v>20980</v>
      </c>
      <c r="D521" s="30" t="str">
        <f>"""TRUST Nav"",""HSPMTB2016"",""21"",""1"",""3501"""</f>
        <v>"TRUST Nav","HSPMTB2016","21","1","3501"</v>
      </c>
      <c r="I521" s="52" t="str">
        <f t="shared" si="104"/>
        <v>KK-04609|42186|TRT-80-10</v>
      </c>
      <c r="J521" s="52" t="str">
        <f t="shared" ref="J521:J536" si="111">"KK-04609"</f>
        <v>KK-04609</v>
      </c>
      <c r="K521" s="52" t="str">
        <f t="shared" ref="K521:K536" si="112">"Jofenwali"</f>
        <v>Jofenwali</v>
      </c>
      <c r="L521" s="52" t="str">
        <f t="shared" si="103"/>
        <v>TRT-80-10</v>
      </c>
      <c r="M521" s="82">
        <v>42186</v>
      </c>
      <c r="N521" s="2">
        <v>25000.000000000004</v>
      </c>
    </row>
    <row r="522" spans="1:14" x14ac:dyDescent="0.35">
      <c r="A522" s="52" t="s">
        <v>6063</v>
      </c>
      <c r="C522" s="30" t="s">
        <v>20980</v>
      </c>
      <c r="D522" s="30" t="str">
        <f>"""TRUST Nav"",""HSPMTB2016"",""21"",""1"",""3502"""</f>
        <v>"TRUST Nav","HSPMTB2016","21","1","3502"</v>
      </c>
      <c r="I522" s="52" t="str">
        <f t="shared" si="104"/>
        <v>KK-04609|42217|TRT-80-10</v>
      </c>
      <c r="J522" s="52" t="str">
        <f t="shared" si="111"/>
        <v>KK-04609</v>
      </c>
      <c r="K522" s="52" t="str">
        <f t="shared" si="112"/>
        <v>Jofenwali</v>
      </c>
      <c r="L522" s="52" t="str">
        <f t="shared" ref="L522:L585" si="113">"TRT-80-10"</f>
        <v>TRT-80-10</v>
      </c>
      <c r="M522" s="82">
        <v>42217</v>
      </c>
      <c r="N522" s="2">
        <v>25000.000000000004</v>
      </c>
    </row>
    <row r="523" spans="1:14" x14ac:dyDescent="0.35">
      <c r="A523" s="52" t="s">
        <v>6063</v>
      </c>
      <c r="C523" s="30" t="s">
        <v>20980</v>
      </c>
      <c r="D523" s="30" t="str">
        <f>"""TRUST Nav"",""HSPMTB2016"",""21"",""1"",""3503"""</f>
        <v>"TRUST Nav","HSPMTB2016","21","1","3503"</v>
      </c>
      <c r="I523" s="52" t="str">
        <f t="shared" ref="I523:I586" si="114">CONCATENATE(J523,"|",M523,"|",L523)</f>
        <v>KK-04609|42248|TRT-80-10</v>
      </c>
      <c r="J523" s="52" t="str">
        <f t="shared" si="111"/>
        <v>KK-04609</v>
      </c>
      <c r="K523" s="52" t="str">
        <f t="shared" si="112"/>
        <v>Jofenwali</v>
      </c>
      <c r="L523" s="52" t="str">
        <f t="shared" si="113"/>
        <v>TRT-80-10</v>
      </c>
      <c r="M523" s="82">
        <v>42248</v>
      </c>
      <c r="N523" s="2">
        <v>25000.000000000004</v>
      </c>
    </row>
    <row r="524" spans="1:14" x14ac:dyDescent="0.35">
      <c r="A524" s="52" t="s">
        <v>6063</v>
      </c>
      <c r="C524" s="30" t="s">
        <v>20980</v>
      </c>
      <c r="D524" s="30" t="str">
        <f>"""TRUST Nav"",""HSPMTB2016"",""21"",""1"",""3504"""</f>
        <v>"TRUST Nav","HSPMTB2016","21","1","3504"</v>
      </c>
      <c r="I524" s="52" t="str">
        <f t="shared" si="114"/>
        <v>KK-04609|42278|TRT-80-10</v>
      </c>
      <c r="J524" s="52" t="str">
        <f t="shared" si="111"/>
        <v>KK-04609</v>
      </c>
      <c r="K524" s="52" t="str">
        <f t="shared" si="112"/>
        <v>Jofenwali</v>
      </c>
      <c r="L524" s="52" t="str">
        <f t="shared" si="113"/>
        <v>TRT-80-10</v>
      </c>
      <c r="M524" s="82">
        <v>42278</v>
      </c>
      <c r="N524" s="2">
        <v>25000.000000000004</v>
      </c>
    </row>
    <row r="525" spans="1:14" x14ac:dyDescent="0.35">
      <c r="A525" s="52" t="s">
        <v>6063</v>
      </c>
      <c r="C525" s="30" t="s">
        <v>20980</v>
      </c>
      <c r="D525" s="30" t="str">
        <f>"""TRUST Nav"",""HSPMTB2016"",""21"",""1"",""3505"""</f>
        <v>"TRUST Nav","HSPMTB2016","21","1","3505"</v>
      </c>
      <c r="I525" s="52" t="str">
        <f t="shared" si="114"/>
        <v>KK-04609|42309|TRT-80-10</v>
      </c>
      <c r="J525" s="52" t="str">
        <f t="shared" si="111"/>
        <v>KK-04609</v>
      </c>
      <c r="K525" s="52" t="str">
        <f t="shared" si="112"/>
        <v>Jofenwali</v>
      </c>
      <c r="L525" s="52" t="str">
        <f t="shared" si="113"/>
        <v>TRT-80-10</v>
      </c>
      <c r="M525" s="82">
        <v>42309</v>
      </c>
      <c r="N525" s="2">
        <v>25000.000000000004</v>
      </c>
    </row>
    <row r="526" spans="1:14" x14ac:dyDescent="0.35">
      <c r="A526" s="52" t="s">
        <v>6063</v>
      </c>
      <c r="C526" s="30" t="s">
        <v>20980</v>
      </c>
      <c r="D526" s="30" t="str">
        <f>"""TRUST Nav"",""HSPMTB2016"",""21"",""1"",""3506"""</f>
        <v>"TRUST Nav","HSPMTB2016","21","1","3506"</v>
      </c>
      <c r="I526" s="52" t="str">
        <f t="shared" si="114"/>
        <v>KK-04609|42339|TRT-80-10</v>
      </c>
      <c r="J526" s="52" t="str">
        <f t="shared" si="111"/>
        <v>KK-04609</v>
      </c>
      <c r="K526" s="52" t="str">
        <f t="shared" si="112"/>
        <v>Jofenwali</v>
      </c>
      <c r="L526" s="52" t="str">
        <f t="shared" si="113"/>
        <v>TRT-80-10</v>
      </c>
      <c r="M526" s="82">
        <v>42339</v>
      </c>
      <c r="N526" s="2">
        <v>25000.000000000004</v>
      </c>
    </row>
    <row r="527" spans="1:14" x14ac:dyDescent="0.35">
      <c r="A527" s="52" t="s">
        <v>6063</v>
      </c>
      <c r="C527" s="30" t="s">
        <v>20980</v>
      </c>
      <c r="D527" s="30" t="str">
        <f>"""TRUST Nav"",""HSPMTB2016"",""21"",""1"",""37300"""</f>
        <v>"TRUST Nav","HSPMTB2016","21","1","37300"</v>
      </c>
      <c r="I527" s="52" t="str">
        <f t="shared" si="114"/>
        <v>KK-04609|42368|TRT-80-10</v>
      </c>
      <c r="J527" s="52" t="str">
        <f t="shared" si="111"/>
        <v>KK-04609</v>
      </c>
      <c r="K527" s="52" t="str">
        <f t="shared" si="112"/>
        <v>Jofenwali</v>
      </c>
      <c r="L527" s="52" t="str">
        <f t="shared" si="113"/>
        <v>TRT-80-10</v>
      </c>
      <c r="M527" s="82">
        <v>42368</v>
      </c>
      <c r="N527" s="2">
        <v>25000.000000000004</v>
      </c>
    </row>
    <row r="528" spans="1:14" x14ac:dyDescent="0.35">
      <c r="A528" s="52" t="s">
        <v>6063</v>
      </c>
      <c r="C528" s="30" t="s">
        <v>20980</v>
      </c>
      <c r="D528" s="30" t="str">
        <f>"""TRUST Nav"",""HSPMTB2016"",""21"",""1"",""37301"""</f>
        <v>"TRUST Nav","HSPMTB2016","21","1","37301"</v>
      </c>
      <c r="I528" s="52" t="str">
        <f t="shared" si="114"/>
        <v>KK-04609|42368|TRT-80-10</v>
      </c>
      <c r="J528" s="52" t="str">
        <f t="shared" si="111"/>
        <v>KK-04609</v>
      </c>
      <c r="K528" s="52" t="str">
        <f t="shared" si="112"/>
        <v>Jofenwali</v>
      </c>
      <c r="L528" s="52" t="str">
        <f t="shared" si="113"/>
        <v>TRT-80-10</v>
      </c>
      <c r="M528" s="82">
        <v>42368</v>
      </c>
      <c r="N528" s="2">
        <v>25000.000000000004</v>
      </c>
    </row>
    <row r="529" spans="1:14" x14ac:dyDescent="0.35">
      <c r="A529" s="52" t="s">
        <v>6063</v>
      </c>
      <c r="C529" s="30" t="s">
        <v>20980</v>
      </c>
      <c r="D529" s="30" t="str">
        <f>"""TRUST Nav"",""HSPMTB2016"",""21"",""1"",""37302"""</f>
        <v>"TRUST Nav","HSPMTB2016","21","1","37302"</v>
      </c>
      <c r="I529" s="52" t="str">
        <f t="shared" si="114"/>
        <v>KK-04609|42368|TRT-80-10</v>
      </c>
      <c r="J529" s="52" t="str">
        <f t="shared" si="111"/>
        <v>KK-04609</v>
      </c>
      <c r="K529" s="52" t="str">
        <f t="shared" si="112"/>
        <v>Jofenwali</v>
      </c>
      <c r="L529" s="52" t="str">
        <f t="shared" si="113"/>
        <v>TRT-80-10</v>
      </c>
      <c r="M529" s="82">
        <v>42368</v>
      </c>
      <c r="N529" s="2">
        <v>25000.000000000004</v>
      </c>
    </row>
    <row r="530" spans="1:14" x14ac:dyDescent="0.35">
      <c r="A530" s="52" t="s">
        <v>6063</v>
      </c>
      <c r="C530" s="30" t="s">
        <v>20980</v>
      </c>
      <c r="D530" s="30" t="str">
        <f>"""TRUST Nav"",""HSPMTB2016"",""21"",""1"",""37303"""</f>
        <v>"TRUST Nav","HSPMTB2016","21","1","37303"</v>
      </c>
      <c r="I530" s="52" t="str">
        <f t="shared" si="114"/>
        <v>KK-04609|42368|TRT-80-10</v>
      </c>
      <c r="J530" s="52" t="str">
        <f t="shared" si="111"/>
        <v>KK-04609</v>
      </c>
      <c r="K530" s="52" t="str">
        <f t="shared" si="112"/>
        <v>Jofenwali</v>
      </c>
      <c r="L530" s="52" t="str">
        <f t="shared" si="113"/>
        <v>TRT-80-10</v>
      </c>
      <c r="M530" s="82">
        <v>42368</v>
      </c>
      <c r="N530" s="2">
        <v>25000.000000000004</v>
      </c>
    </row>
    <row r="531" spans="1:14" x14ac:dyDescent="0.35">
      <c r="A531" s="52" t="s">
        <v>6063</v>
      </c>
      <c r="C531" s="30" t="s">
        <v>20980</v>
      </c>
      <c r="D531" s="30" t="str">
        <f>"""TRUST Nav"",""HSPMTB2016"",""21"",""1"",""37304"""</f>
        <v>"TRUST Nav","HSPMTB2016","21","1","37304"</v>
      </c>
      <c r="I531" s="52" t="str">
        <f t="shared" si="114"/>
        <v>KK-04609|42368|TRT-80-10</v>
      </c>
      <c r="J531" s="52" t="str">
        <f t="shared" si="111"/>
        <v>KK-04609</v>
      </c>
      <c r="K531" s="52" t="str">
        <f t="shared" si="112"/>
        <v>Jofenwali</v>
      </c>
      <c r="L531" s="52" t="str">
        <f t="shared" si="113"/>
        <v>TRT-80-10</v>
      </c>
      <c r="M531" s="82">
        <v>42368</v>
      </c>
      <c r="N531" s="2">
        <v>25000.000000000004</v>
      </c>
    </row>
    <row r="532" spans="1:14" x14ac:dyDescent="0.35">
      <c r="A532" s="52" t="s">
        <v>6063</v>
      </c>
      <c r="C532" s="30" t="s">
        <v>20980</v>
      </c>
      <c r="D532" s="30" t="str">
        <f>"""TRUST Nav"",""HSPMTB2016"",""21"",""1"",""37305"""</f>
        <v>"TRUST Nav","HSPMTB2016","21","1","37305"</v>
      </c>
      <c r="I532" s="52" t="str">
        <f t="shared" si="114"/>
        <v>KK-04609|42368|TRT-80-10</v>
      </c>
      <c r="J532" s="52" t="str">
        <f t="shared" si="111"/>
        <v>KK-04609</v>
      </c>
      <c r="K532" s="52" t="str">
        <f t="shared" si="112"/>
        <v>Jofenwali</v>
      </c>
      <c r="L532" s="52" t="str">
        <f t="shared" si="113"/>
        <v>TRT-80-10</v>
      </c>
      <c r="M532" s="82">
        <v>42368</v>
      </c>
      <c r="N532" s="2">
        <v>25000.000000000004</v>
      </c>
    </row>
    <row r="533" spans="1:14" x14ac:dyDescent="0.35">
      <c r="A533" s="52" t="s">
        <v>6063</v>
      </c>
      <c r="C533" s="30" t="s">
        <v>20980</v>
      </c>
      <c r="D533" s="30" t="str">
        <f>"""TRUST Nav"",""HSPMTB2016"",""21"",""1"",""85215"""</f>
        <v>"TRUST Nav","HSPMTB2016","21","1","85215"</v>
      </c>
      <c r="I533" s="52" t="str">
        <f t="shared" si="114"/>
        <v>KK-04609|42370|TRT-80-10</v>
      </c>
      <c r="J533" s="52" t="str">
        <f t="shared" si="111"/>
        <v>KK-04609</v>
      </c>
      <c r="K533" s="52" t="str">
        <f t="shared" si="112"/>
        <v>Jofenwali</v>
      </c>
      <c r="L533" s="52" t="str">
        <f t="shared" si="113"/>
        <v>TRT-80-10</v>
      </c>
      <c r="M533" s="82">
        <v>42370</v>
      </c>
      <c r="N533" s="2">
        <v>25000.000000000004</v>
      </c>
    </row>
    <row r="534" spans="1:14" x14ac:dyDescent="0.35">
      <c r="A534" s="52" t="s">
        <v>6063</v>
      </c>
      <c r="C534" s="30" t="s">
        <v>20980</v>
      </c>
      <c r="D534" s="30" t="str">
        <f>"""TRUST Nav"",""HSPMTB2016"",""21"",""1"",""85216"""</f>
        <v>"TRUST Nav","HSPMTB2016","21","1","85216"</v>
      </c>
      <c r="I534" s="52" t="str">
        <f t="shared" si="114"/>
        <v>KK-04609|42401|TRT-80-10</v>
      </c>
      <c r="J534" s="52" t="str">
        <f t="shared" si="111"/>
        <v>KK-04609</v>
      </c>
      <c r="K534" s="52" t="str">
        <f t="shared" si="112"/>
        <v>Jofenwali</v>
      </c>
      <c r="L534" s="52" t="str">
        <f t="shared" si="113"/>
        <v>TRT-80-10</v>
      </c>
      <c r="M534" s="82">
        <v>42401</v>
      </c>
      <c r="N534" s="2">
        <v>25000.000000000004</v>
      </c>
    </row>
    <row r="535" spans="1:14" x14ac:dyDescent="0.35">
      <c r="A535" s="52" t="s">
        <v>6063</v>
      </c>
      <c r="C535" s="30" t="s">
        <v>20980</v>
      </c>
      <c r="D535" s="30" t="str">
        <f>"""TRUST Nav"",""HSPMTB2016"",""21"",""1"",""116868"""</f>
        <v>"TRUST Nav","HSPMTB2016","21","1","116868"</v>
      </c>
      <c r="I535" s="52" t="str">
        <f t="shared" si="114"/>
        <v>KK-04609|42430|TRT-80-10</v>
      </c>
      <c r="J535" s="52" t="str">
        <f t="shared" si="111"/>
        <v>KK-04609</v>
      </c>
      <c r="K535" s="52" t="str">
        <f t="shared" si="112"/>
        <v>Jofenwali</v>
      </c>
      <c r="L535" s="52" t="str">
        <f t="shared" si="113"/>
        <v>TRT-80-10</v>
      </c>
      <c r="M535" s="82">
        <v>42430</v>
      </c>
      <c r="N535" s="2">
        <v>25000.000000000004</v>
      </c>
    </row>
    <row r="536" spans="1:14" x14ac:dyDescent="0.35">
      <c r="A536" s="52" t="s">
        <v>6063</v>
      </c>
      <c r="C536" s="30" t="s">
        <v>20980</v>
      </c>
      <c r="D536" s="30" t="str">
        <f>"""TRUST Nav"",""HSPMTB2016"",""21"",""1"",""116869"""</f>
        <v>"TRUST Nav","HSPMTB2016","21","1","116869"</v>
      </c>
      <c r="I536" s="52" t="str">
        <f t="shared" si="114"/>
        <v>KK-04609|42461|TRT-80-10</v>
      </c>
      <c r="J536" s="52" t="str">
        <f t="shared" si="111"/>
        <v>KK-04609</v>
      </c>
      <c r="K536" s="52" t="str">
        <f t="shared" si="112"/>
        <v>Jofenwali</v>
      </c>
      <c r="L536" s="52" t="str">
        <f t="shared" si="113"/>
        <v>TRT-80-10</v>
      </c>
      <c r="M536" s="82">
        <v>42461</v>
      </c>
      <c r="N536" s="2">
        <v>25000.000000000004</v>
      </c>
    </row>
    <row r="537" spans="1:14" x14ac:dyDescent="0.35">
      <c r="A537" s="52" t="s">
        <v>6063</v>
      </c>
      <c r="C537" s="30" t="s">
        <v>20980</v>
      </c>
      <c r="D537" s="30" t="str">
        <f>"""TRUST Nav"",""HSPMTB2016"",""21"",""1"",""3507"""</f>
        <v>"TRUST Nav","HSPMTB2016","21","1","3507"</v>
      </c>
      <c r="I537" s="52" t="str">
        <f t="shared" si="114"/>
        <v>KK-04611|42186|TRT-80-10</v>
      </c>
      <c r="J537" s="52" t="str">
        <f t="shared" ref="J537:J557" si="115">"KK-04611"</f>
        <v>KK-04611</v>
      </c>
      <c r="K537" s="52" t="str">
        <f t="shared" ref="K537:K557" si="116">"Leonardus Tjhin Tje Ming"</f>
        <v>Leonardus Tjhin Tje Ming</v>
      </c>
      <c r="L537" s="52" t="str">
        <f t="shared" si="113"/>
        <v>TRT-80-10</v>
      </c>
      <c r="M537" s="82">
        <v>42186</v>
      </c>
      <c r="N537" s="2">
        <v>10000</v>
      </c>
    </row>
    <row r="538" spans="1:14" x14ac:dyDescent="0.35">
      <c r="A538" s="52" t="s">
        <v>6063</v>
      </c>
      <c r="C538" s="30" t="s">
        <v>20980</v>
      </c>
      <c r="D538" s="30" t="str">
        <f>"""TRUST Nav"",""HSPMTB2016"",""21"",""1"",""3508"""</f>
        <v>"TRUST Nav","HSPMTB2016","21","1","3508"</v>
      </c>
      <c r="I538" s="52" t="str">
        <f t="shared" si="114"/>
        <v>KK-04611|42217|TRT-80-10</v>
      </c>
      <c r="J538" s="52" t="str">
        <f t="shared" si="115"/>
        <v>KK-04611</v>
      </c>
      <c r="K538" s="52" t="str">
        <f t="shared" si="116"/>
        <v>Leonardus Tjhin Tje Ming</v>
      </c>
      <c r="L538" s="52" t="str">
        <f t="shared" si="113"/>
        <v>TRT-80-10</v>
      </c>
      <c r="M538" s="82">
        <v>42217</v>
      </c>
      <c r="N538" s="2">
        <v>10000</v>
      </c>
    </row>
    <row r="539" spans="1:14" x14ac:dyDescent="0.35">
      <c r="A539" s="52" t="s">
        <v>6063</v>
      </c>
      <c r="C539" s="30" t="s">
        <v>20980</v>
      </c>
      <c r="D539" s="30" t="str">
        <f>"""TRUST Nav"",""HSPMTB2016"",""21"",""1"",""3509"""</f>
        <v>"TRUST Nav","HSPMTB2016","21","1","3509"</v>
      </c>
      <c r="I539" s="52" t="str">
        <f t="shared" si="114"/>
        <v>KK-04611|42248|TRT-80-10</v>
      </c>
      <c r="J539" s="52" t="str">
        <f t="shared" si="115"/>
        <v>KK-04611</v>
      </c>
      <c r="K539" s="52" t="str">
        <f t="shared" si="116"/>
        <v>Leonardus Tjhin Tje Ming</v>
      </c>
      <c r="L539" s="52" t="str">
        <f t="shared" si="113"/>
        <v>TRT-80-10</v>
      </c>
      <c r="M539" s="82">
        <v>42248</v>
      </c>
      <c r="N539" s="2">
        <v>10000</v>
      </c>
    </row>
    <row r="540" spans="1:14" x14ac:dyDescent="0.35">
      <c r="A540" s="52" t="s">
        <v>6063</v>
      </c>
      <c r="C540" s="30" t="s">
        <v>20980</v>
      </c>
      <c r="D540" s="30" t="str">
        <f>"""TRUST Nav"",""HSPMTB2016"",""21"",""1"",""3510"""</f>
        <v>"TRUST Nav","HSPMTB2016","21","1","3510"</v>
      </c>
      <c r="I540" s="52" t="str">
        <f t="shared" si="114"/>
        <v>KK-04611|42278|TRT-80-10</v>
      </c>
      <c r="J540" s="52" t="str">
        <f t="shared" si="115"/>
        <v>KK-04611</v>
      </c>
      <c r="K540" s="52" t="str">
        <f t="shared" si="116"/>
        <v>Leonardus Tjhin Tje Ming</v>
      </c>
      <c r="L540" s="52" t="str">
        <f t="shared" si="113"/>
        <v>TRT-80-10</v>
      </c>
      <c r="M540" s="82">
        <v>42278</v>
      </c>
      <c r="N540" s="2">
        <v>10000</v>
      </c>
    </row>
    <row r="541" spans="1:14" x14ac:dyDescent="0.35">
      <c r="A541" s="52" t="s">
        <v>6063</v>
      </c>
      <c r="C541" s="30" t="s">
        <v>20980</v>
      </c>
      <c r="D541" s="30" t="str">
        <f>"""TRUST Nav"",""HSPMTB2016"",""21"",""1"",""3511"""</f>
        <v>"TRUST Nav","HSPMTB2016","21","1","3511"</v>
      </c>
      <c r="I541" s="52" t="str">
        <f t="shared" si="114"/>
        <v>KK-04611|42309|TRT-80-10</v>
      </c>
      <c r="J541" s="52" t="str">
        <f t="shared" si="115"/>
        <v>KK-04611</v>
      </c>
      <c r="K541" s="52" t="str">
        <f t="shared" si="116"/>
        <v>Leonardus Tjhin Tje Ming</v>
      </c>
      <c r="L541" s="52" t="str">
        <f t="shared" si="113"/>
        <v>TRT-80-10</v>
      </c>
      <c r="M541" s="82">
        <v>42309</v>
      </c>
      <c r="N541" s="2">
        <v>10000</v>
      </c>
    </row>
    <row r="542" spans="1:14" x14ac:dyDescent="0.35">
      <c r="A542" s="52" t="s">
        <v>6063</v>
      </c>
      <c r="C542" s="30" t="s">
        <v>20980</v>
      </c>
      <c r="D542" s="30" t="str">
        <f>"""TRUST Nav"",""HSPMTB2016"",""21"",""1"",""3512"""</f>
        <v>"TRUST Nav","HSPMTB2016","21","1","3512"</v>
      </c>
      <c r="I542" s="52" t="str">
        <f t="shared" si="114"/>
        <v>KK-04611|42339|TRT-80-10</v>
      </c>
      <c r="J542" s="52" t="str">
        <f t="shared" si="115"/>
        <v>KK-04611</v>
      </c>
      <c r="K542" s="52" t="str">
        <f t="shared" si="116"/>
        <v>Leonardus Tjhin Tje Ming</v>
      </c>
      <c r="L542" s="52" t="str">
        <f t="shared" si="113"/>
        <v>TRT-80-10</v>
      </c>
      <c r="M542" s="82">
        <v>42339</v>
      </c>
      <c r="N542" s="2">
        <v>10000</v>
      </c>
    </row>
    <row r="543" spans="1:14" x14ac:dyDescent="0.35">
      <c r="A543" s="52" t="s">
        <v>6063</v>
      </c>
      <c r="C543" s="30" t="s">
        <v>20980</v>
      </c>
      <c r="D543" s="30" t="str">
        <f>"""TRUST Nav"",""HSPMTB2016"",""21"",""1"",""37306"""</f>
        <v>"TRUST Nav","HSPMTB2016","21","1","37306"</v>
      </c>
      <c r="I543" s="52" t="str">
        <f t="shared" si="114"/>
        <v>KK-04611|42368|TRT-80-10</v>
      </c>
      <c r="J543" s="52" t="str">
        <f t="shared" si="115"/>
        <v>KK-04611</v>
      </c>
      <c r="K543" s="52" t="str">
        <f t="shared" si="116"/>
        <v>Leonardus Tjhin Tje Ming</v>
      </c>
      <c r="L543" s="52" t="str">
        <f t="shared" si="113"/>
        <v>TRT-80-10</v>
      </c>
      <c r="M543" s="82">
        <v>42368</v>
      </c>
      <c r="N543" s="2">
        <v>10000</v>
      </c>
    </row>
    <row r="544" spans="1:14" x14ac:dyDescent="0.35">
      <c r="A544" s="52" t="s">
        <v>6063</v>
      </c>
      <c r="C544" s="30" t="s">
        <v>20980</v>
      </c>
      <c r="D544" s="30" t="str">
        <f>"""TRUST Nav"",""HSPMTB2016"",""21"",""1"",""37307"""</f>
        <v>"TRUST Nav","HSPMTB2016","21","1","37307"</v>
      </c>
      <c r="I544" s="52" t="str">
        <f t="shared" si="114"/>
        <v>KK-04611|42368|TRT-80-10</v>
      </c>
      <c r="J544" s="52" t="str">
        <f t="shared" si="115"/>
        <v>KK-04611</v>
      </c>
      <c r="K544" s="52" t="str">
        <f t="shared" si="116"/>
        <v>Leonardus Tjhin Tje Ming</v>
      </c>
      <c r="L544" s="52" t="str">
        <f t="shared" si="113"/>
        <v>TRT-80-10</v>
      </c>
      <c r="M544" s="82">
        <v>42368</v>
      </c>
      <c r="N544" s="2">
        <v>10000</v>
      </c>
    </row>
    <row r="545" spans="1:14" x14ac:dyDescent="0.35">
      <c r="A545" s="52" t="s">
        <v>6063</v>
      </c>
      <c r="C545" s="30" t="s">
        <v>20980</v>
      </c>
      <c r="D545" s="30" t="str">
        <f>"""TRUST Nav"",""HSPMTB2016"",""21"",""1"",""37308"""</f>
        <v>"TRUST Nav","HSPMTB2016","21","1","37308"</v>
      </c>
      <c r="I545" s="52" t="str">
        <f t="shared" si="114"/>
        <v>KK-04611|42368|TRT-80-10</v>
      </c>
      <c r="J545" s="52" t="str">
        <f t="shared" si="115"/>
        <v>KK-04611</v>
      </c>
      <c r="K545" s="52" t="str">
        <f t="shared" si="116"/>
        <v>Leonardus Tjhin Tje Ming</v>
      </c>
      <c r="L545" s="52" t="str">
        <f t="shared" si="113"/>
        <v>TRT-80-10</v>
      </c>
      <c r="M545" s="82">
        <v>42368</v>
      </c>
      <c r="N545" s="2">
        <v>10000</v>
      </c>
    </row>
    <row r="546" spans="1:14" x14ac:dyDescent="0.35">
      <c r="A546" s="52" t="s">
        <v>6063</v>
      </c>
      <c r="C546" s="30" t="s">
        <v>20980</v>
      </c>
      <c r="D546" s="30" t="str">
        <f>"""TRUST Nav"",""HSPMTB2016"",""21"",""1"",""37309"""</f>
        <v>"TRUST Nav","HSPMTB2016","21","1","37309"</v>
      </c>
      <c r="I546" s="52" t="str">
        <f t="shared" si="114"/>
        <v>KK-04611|42368|TRT-80-10</v>
      </c>
      <c r="J546" s="52" t="str">
        <f t="shared" si="115"/>
        <v>KK-04611</v>
      </c>
      <c r="K546" s="52" t="str">
        <f t="shared" si="116"/>
        <v>Leonardus Tjhin Tje Ming</v>
      </c>
      <c r="L546" s="52" t="str">
        <f t="shared" si="113"/>
        <v>TRT-80-10</v>
      </c>
      <c r="M546" s="82">
        <v>42368</v>
      </c>
      <c r="N546" s="2">
        <v>10000</v>
      </c>
    </row>
    <row r="547" spans="1:14" x14ac:dyDescent="0.35">
      <c r="A547" s="52" t="s">
        <v>6063</v>
      </c>
      <c r="C547" s="30" t="s">
        <v>20980</v>
      </c>
      <c r="D547" s="30" t="str">
        <f>"""TRUST Nav"",""HSPMTB2016"",""21"",""1"",""37310"""</f>
        <v>"TRUST Nav","HSPMTB2016","21","1","37310"</v>
      </c>
      <c r="I547" s="52" t="str">
        <f t="shared" si="114"/>
        <v>KK-04611|42368|TRT-80-10</v>
      </c>
      <c r="J547" s="52" t="str">
        <f t="shared" si="115"/>
        <v>KK-04611</v>
      </c>
      <c r="K547" s="52" t="str">
        <f t="shared" si="116"/>
        <v>Leonardus Tjhin Tje Ming</v>
      </c>
      <c r="L547" s="52" t="str">
        <f t="shared" si="113"/>
        <v>TRT-80-10</v>
      </c>
      <c r="M547" s="82">
        <v>42368</v>
      </c>
      <c r="N547" s="2">
        <v>10000</v>
      </c>
    </row>
    <row r="548" spans="1:14" x14ac:dyDescent="0.35">
      <c r="A548" s="52" t="s">
        <v>6063</v>
      </c>
      <c r="C548" s="30" t="s">
        <v>20980</v>
      </c>
      <c r="D548" s="30" t="str">
        <f>"""TRUST Nav"",""HSPMTB2016"",""21"",""1"",""37311"""</f>
        <v>"TRUST Nav","HSPMTB2016","21","1","37311"</v>
      </c>
      <c r="I548" s="52" t="str">
        <f t="shared" si="114"/>
        <v>KK-04611|42368|TRT-80-10</v>
      </c>
      <c r="J548" s="52" t="str">
        <f t="shared" si="115"/>
        <v>KK-04611</v>
      </c>
      <c r="K548" s="52" t="str">
        <f t="shared" si="116"/>
        <v>Leonardus Tjhin Tje Ming</v>
      </c>
      <c r="L548" s="52" t="str">
        <f t="shared" si="113"/>
        <v>TRT-80-10</v>
      </c>
      <c r="M548" s="82">
        <v>42368</v>
      </c>
      <c r="N548" s="2">
        <v>10000</v>
      </c>
    </row>
    <row r="549" spans="1:14" x14ac:dyDescent="0.35">
      <c r="A549" s="52" t="s">
        <v>6063</v>
      </c>
      <c r="C549" s="30" t="s">
        <v>20980</v>
      </c>
      <c r="D549" s="30" t="str">
        <f>"""TRUST Nav"",""HSPMTB2016"",""21"",""1"",""73425"""</f>
        <v>"TRUST Nav","HSPMTB2016","21","1","73425"</v>
      </c>
      <c r="I549" s="52" t="str">
        <f t="shared" si="114"/>
        <v>KK-04611|42370|TRT-80-10</v>
      </c>
      <c r="J549" s="52" t="str">
        <f t="shared" si="115"/>
        <v>KK-04611</v>
      </c>
      <c r="K549" s="52" t="str">
        <f t="shared" si="116"/>
        <v>Leonardus Tjhin Tje Ming</v>
      </c>
      <c r="L549" s="52" t="str">
        <f t="shared" si="113"/>
        <v>TRT-80-10</v>
      </c>
      <c r="M549" s="82">
        <v>42370</v>
      </c>
      <c r="N549" s="2">
        <v>10000</v>
      </c>
    </row>
    <row r="550" spans="1:14" x14ac:dyDescent="0.35">
      <c r="A550" s="52" t="s">
        <v>6063</v>
      </c>
      <c r="C550" s="30" t="s">
        <v>20980</v>
      </c>
      <c r="D550" s="30" t="str">
        <f>"""TRUST Nav"",""HSPMTB2016"",""21"",""1"",""73426"""</f>
        <v>"TRUST Nav","HSPMTB2016","21","1","73426"</v>
      </c>
      <c r="I550" s="52" t="str">
        <f t="shared" si="114"/>
        <v>KK-04611|42401|TRT-80-10</v>
      </c>
      <c r="J550" s="52" t="str">
        <f t="shared" si="115"/>
        <v>KK-04611</v>
      </c>
      <c r="K550" s="52" t="str">
        <f t="shared" si="116"/>
        <v>Leonardus Tjhin Tje Ming</v>
      </c>
      <c r="L550" s="52" t="str">
        <f t="shared" si="113"/>
        <v>TRT-80-10</v>
      </c>
      <c r="M550" s="82">
        <v>42401</v>
      </c>
      <c r="N550" s="2">
        <v>10000</v>
      </c>
    </row>
    <row r="551" spans="1:14" x14ac:dyDescent="0.35">
      <c r="A551" s="52" t="s">
        <v>6063</v>
      </c>
      <c r="C551" s="30" t="s">
        <v>20980</v>
      </c>
      <c r="D551" s="30" t="str">
        <f>"""TRUST Nav"",""HSPMTB2016"",""21"",""1"",""73427"""</f>
        <v>"TRUST Nav","HSPMTB2016","21","1","73427"</v>
      </c>
      <c r="I551" s="52" t="str">
        <f t="shared" si="114"/>
        <v>KK-04611|42430|TRT-80-10</v>
      </c>
      <c r="J551" s="52" t="str">
        <f t="shared" si="115"/>
        <v>KK-04611</v>
      </c>
      <c r="K551" s="52" t="str">
        <f t="shared" si="116"/>
        <v>Leonardus Tjhin Tje Ming</v>
      </c>
      <c r="L551" s="52" t="str">
        <f t="shared" si="113"/>
        <v>TRT-80-10</v>
      </c>
      <c r="M551" s="82">
        <v>42430</v>
      </c>
      <c r="N551" s="2">
        <v>10000</v>
      </c>
    </row>
    <row r="552" spans="1:14" x14ac:dyDescent="0.35">
      <c r="A552" s="52" t="s">
        <v>6063</v>
      </c>
      <c r="C552" s="30" t="s">
        <v>20980</v>
      </c>
      <c r="D552" s="30" t="str">
        <f>"""TRUST Nav"",""HSPMTB2016"",""21"",""1"",""116870"""</f>
        <v>"TRUST Nav","HSPMTB2016","21","1","116870"</v>
      </c>
      <c r="I552" s="52" t="str">
        <f t="shared" si="114"/>
        <v>KK-04611|42461|TRT-80-10</v>
      </c>
      <c r="J552" s="52" t="str">
        <f t="shared" si="115"/>
        <v>KK-04611</v>
      </c>
      <c r="K552" s="52" t="str">
        <f t="shared" si="116"/>
        <v>Leonardus Tjhin Tje Ming</v>
      </c>
      <c r="L552" s="52" t="str">
        <f t="shared" si="113"/>
        <v>TRT-80-10</v>
      </c>
      <c r="M552" s="82">
        <v>42461</v>
      </c>
      <c r="N552" s="2">
        <v>10000</v>
      </c>
    </row>
    <row r="553" spans="1:14" x14ac:dyDescent="0.35">
      <c r="A553" s="52" t="s">
        <v>6063</v>
      </c>
      <c r="C553" s="30" t="s">
        <v>20980</v>
      </c>
      <c r="D553" s="30" t="str">
        <f>"""TRUST Nav"",""HSPMTB2016"",""21"",""1"",""116871"""</f>
        <v>"TRUST Nav","HSPMTB2016","21","1","116871"</v>
      </c>
      <c r="I553" s="52" t="str">
        <f t="shared" si="114"/>
        <v>KK-04611|42491|TRT-80-10</v>
      </c>
      <c r="J553" s="52" t="str">
        <f t="shared" si="115"/>
        <v>KK-04611</v>
      </c>
      <c r="K553" s="52" t="str">
        <f t="shared" si="116"/>
        <v>Leonardus Tjhin Tje Ming</v>
      </c>
      <c r="L553" s="52" t="str">
        <f t="shared" si="113"/>
        <v>TRT-80-10</v>
      </c>
      <c r="M553" s="82">
        <v>42491</v>
      </c>
      <c r="N553" s="2">
        <v>10000</v>
      </c>
    </row>
    <row r="554" spans="1:14" x14ac:dyDescent="0.35">
      <c r="A554" s="52" t="s">
        <v>6063</v>
      </c>
      <c r="C554" s="30" t="s">
        <v>20980</v>
      </c>
      <c r="D554" s="30" t="str">
        <f>"""TRUST Nav"",""HSPMTB2016"",""21"",""1"",""116872"""</f>
        <v>"TRUST Nav","HSPMTB2016","21","1","116872"</v>
      </c>
      <c r="I554" s="52" t="str">
        <f t="shared" si="114"/>
        <v>KK-04611|42522|TRT-80-10</v>
      </c>
      <c r="J554" s="52" t="str">
        <f t="shared" si="115"/>
        <v>KK-04611</v>
      </c>
      <c r="K554" s="52" t="str">
        <f t="shared" si="116"/>
        <v>Leonardus Tjhin Tje Ming</v>
      </c>
      <c r="L554" s="52" t="str">
        <f t="shared" si="113"/>
        <v>TRT-80-10</v>
      </c>
      <c r="M554" s="82">
        <v>42522</v>
      </c>
      <c r="N554" s="2">
        <v>10000</v>
      </c>
    </row>
    <row r="555" spans="1:14" x14ac:dyDescent="0.35">
      <c r="A555" s="52" t="s">
        <v>6063</v>
      </c>
      <c r="C555" s="30" t="s">
        <v>20980</v>
      </c>
      <c r="D555" s="30" t="str">
        <f>"""TRUST Nav"",""HSPMTB2016"",""21"",""1"",""129700"""</f>
        <v>"TRUST Nav","HSPMTB2016","21","1","129700"</v>
      </c>
      <c r="I555" s="52" t="str">
        <f t="shared" si="114"/>
        <v>KK-04611|42552|TRT-80-10</v>
      </c>
      <c r="J555" s="52" t="str">
        <f t="shared" si="115"/>
        <v>KK-04611</v>
      </c>
      <c r="K555" s="52" t="str">
        <f t="shared" si="116"/>
        <v>Leonardus Tjhin Tje Ming</v>
      </c>
      <c r="L555" s="52" t="str">
        <f t="shared" si="113"/>
        <v>TRT-80-10</v>
      </c>
      <c r="M555" s="82">
        <v>42552</v>
      </c>
      <c r="N555" s="2">
        <v>30000</v>
      </c>
    </row>
    <row r="556" spans="1:14" x14ac:dyDescent="0.35">
      <c r="A556" s="52" t="s">
        <v>6063</v>
      </c>
      <c r="C556" s="30" t="s">
        <v>20980</v>
      </c>
      <c r="D556" s="30" t="str">
        <f>"""TRUST Nav"",""HSPMTB2016"",""21"",""1"",""129701"""</f>
        <v>"TRUST Nav","HSPMTB2016","21","1","129701"</v>
      </c>
      <c r="I556" s="52" t="str">
        <f t="shared" si="114"/>
        <v>KK-04611|42583|TRT-80-10</v>
      </c>
      <c r="J556" s="52" t="str">
        <f t="shared" si="115"/>
        <v>KK-04611</v>
      </c>
      <c r="K556" s="52" t="str">
        <f t="shared" si="116"/>
        <v>Leonardus Tjhin Tje Ming</v>
      </c>
      <c r="L556" s="52" t="str">
        <f t="shared" si="113"/>
        <v>TRT-80-10</v>
      </c>
      <c r="M556" s="82">
        <v>42583</v>
      </c>
      <c r="N556" s="2">
        <v>30000</v>
      </c>
    </row>
    <row r="557" spans="1:14" x14ac:dyDescent="0.35">
      <c r="A557" s="52" t="s">
        <v>6063</v>
      </c>
      <c r="C557" s="30" t="s">
        <v>20980</v>
      </c>
      <c r="D557" s="30" t="str">
        <f>"""TRUST Nav"",""HSPMTB2016"",""21"",""1"",""129702"""</f>
        <v>"TRUST Nav","HSPMTB2016","21","1","129702"</v>
      </c>
      <c r="I557" s="52" t="str">
        <f t="shared" si="114"/>
        <v>KK-04611|42614|TRT-80-10</v>
      </c>
      <c r="J557" s="52" t="str">
        <f t="shared" si="115"/>
        <v>KK-04611</v>
      </c>
      <c r="K557" s="52" t="str">
        <f t="shared" si="116"/>
        <v>Leonardus Tjhin Tje Ming</v>
      </c>
      <c r="L557" s="52" t="str">
        <f t="shared" si="113"/>
        <v>TRT-80-10</v>
      </c>
      <c r="M557" s="82">
        <v>42614</v>
      </c>
      <c r="N557" s="2">
        <v>30000</v>
      </c>
    </row>
    <row r="558" spans="1:14" x14ac:dyDescent="0.35">
      <c r="A558" s="52" t="s">
        <v>6063</v>
      </c>
      <c r="C558" s="30" t="s">
        <v>20980</v>
      </c>
      <c r="D558" s="30" t="str">
        <f>"""TRUST Nav"",""HSPMTB2016"",""21"",""1"",""3513"""</f>
        <v>"TRUST Nav","HSPMTB2016","21","1","3513"</v>
      </c>
      <c r="I558" s="52" t="str">
        <f t="shared" si="114"/>
        <v>KK-04612|42186|TRT-80-10</v>
      </c>
      <c r="J558" s="52" t="str">
        <f t="shared" ref="J558:J569" si="117">"KK-04612"</f>
        <v>KK-04612</v>
      </c>
      <c r="K558" s="52" t="str">
        <f t="shared" ref="K558:K569" si="118">"Lie Bui Tjung"</f>
        <v>Lie Bui Tjung</v>
      </c>
      <c r="L558" s="52" t="str">
        <f t="shared" si="113"/>
        <v>TRT-80-10</v>
      </c>
      <c r="M558" s="82">
        <v>42186</v>
      </c>
      <c r="N558" s="2">
        <v>5000</v>
      </c>
    </row>
    <row r="559" spans="1:14" x14ac:dyDescent="0.35">
      <c r="A559" s="52" t="s">
        <v>6063</v>
      </c>
      <c r="C559" s="30" t="s">
        <v>20980</v>
      </c>
      <c r="D559" s="30" t="str">
        <f>"""TRUST Nav"",""HSPMTB2016"",""21"",""1"",""3514"""</f>
        <v>"TRUST Nav","HSPMTB2016","21","1","3514"</v>
      </c>
      <c r="I559" s="52" t="str">
        <f t="shared" si="114"/>
        <v>KK-04612|42217|TRT-80-10</v>
      </c>
      <c r="J559" s="52" t="str">
        <f t="shared" si="117"/>
        <v>KK-04612</v>
      </c>
      <c r="K559" s="52" t="str">
        <f t="shared" si="118"/>
        <v>Lie Bui Tjung</v>
      </c>
      <c r="L559" s="52" t="str">
        <f t="shared" si="113"/>
        <v>TRT-80-10</v>
      </c>
      <c r="M559" s="82">
        <v>42217</v>
      </c>
      <c r="N559" s="2">
        <v>5000</v>
      </c>
    </row>
    <row r="560" spans="1:14" x14ac:dyDescent="0.35">
      <c r="A560" s="52" t="s">
        <v>6063</v>
      </c>
      <c r="C560" s="30" t="s">
        <v>20980</v>
      </c>
      <c r="D560" s="30" t="str">
        <f>"""TRUST Nav"",""HSPMTB2016"",""21"",""1"",""3515"""</f>
        <v>"TRUST Nav","HSPMTB2016","21","1","3515"</v>
      </c>
      <c r="I560" s="52" t="str">
        <f t="shared" si="114"/>
        <v>KK-04612|42248|TRT-80-10</v>
      </c>
      <c r="J560" s="52" t="str">
        <f t="shared" si="117"/>
        <v>KK-04612</v>
      </c>
      <c r="K560" s="52" t="str">
        <f t="shared" si="118"/>
        <v>Lie Bui Tjung</v>
      </c>
      <c r="L560" s="52" t="str">
        <f t="shared" si="113"/>
        <v>TRT-80-10</v>
      </c>
      <c r="M560" s="82">
        <v>42248</v>
      </c>
      <c r="N560" s="2">
        <v>5000</v>
      </c>
    </row>
    <row r="561" spans="1:14" x14ac:dyDescent="0.35">
      <c r="A561" s="52" t="s">
        <v>6063</v>
      </c>
      <c r="C561" s="30" t="s">
        <v>20980</v>
      </c>
      <c r="D561" s="30" t="str">
        <f>"""TRUST Nav"",""HSPMTB2016"",""21"",""1"",""3516"""</f>
        <v>"TRUST Nav","HSPMTB2016","21","1","3516"</v>
      </c>
      <c r="I561" s="52" t="str">
        <f t="shared" si="114"/>
        <v>KK-04612|42278|TRT-80-10</v>
      </c>
      <c r="J561" s="52" t="str">
        <f t="shared" si="117"/>
        <v>KK-04612</v>
      </c>
      <c r="K561" s="52" t="str">
        <f t="shared" si="118"/>
        <v>Lie Bui Tjung</v>
      </c>
      <c r="L561" s="52" t="str">
        <f t="shared" si="113"/>
        <v>TRT-80-10</v>
      </c>
      <c r="M561" s="82">
        <v>42278</v>
      </c>
      <c r="N561" s="2">
        <v>5000</v>
      </c>
    </row>
    <row r="562" spans="1:14" x14ac:dyDescent="0.35">
      <c r="A562" s="52" t="s">
        <v>6063</v>
      </c>
      <c r="C562" s="30" t="s">
        <v>20980</v>
      </c>
      <c r="D562" s="30" t="str">
        <f>"""TRUST Nav"",""HSPMTB2016"",""21"",""1"",""3517"""</f>
        <v>"TRUST Nav","HSPMTB2016","21","1","3517"</v>
      </c>
      <c r="I562" s="52" t="str">
        <f t="shared" si="114"/>
        <v>KK-04612|42309|TRT-80-10</v>
      </c>
      <c r="J562" s="52" t="str">
        <f t="shared" si="117"/>
        <v>KK-04612</v>
      </c>
      <c r="K562" s="52" t="str">
        <f t="shared" si="118"/>
        <v>Lie Bui Tjung</v>
      </c>
      <c r="L562" s="52" t="str">
        <f t="shared" si="113"/>
        <v>TRT-80-10</v>
      </c>
      <c r="M562" s="82">
        <v>42309</v>
      </c>
      <c r="N562" s="2">
        <v>5000</v>
      </c>
    </row>
    <row r="563" spans="1:14" x14ac:dyDescent="0.35">
      <c r="A563" s="52" t="s">
        <v>6063</v>
      </c>
      <c r="C563" s="30" t="s">
        <v>20980</v>
      </c>
      <c r="D563" s="30" t="str">
        <f>"""TRUST Nav"",""HSPMTB2016"",""21"",""1"",""3518"""</f>
        <v>"TRUST Nav","HSPMTB2016","21","1","3518"</v>
      </c>
      <c r="I563" s="52" t="str">
        <f t="shared" si="114"/>
        <v>KK-04612|42339|TRT-80-10</v>
      </c>
      <c r="J563" s="52" t="str">
        <f t="shared" si="117"/>
        <v>KK-04612</v>
      </c>
      <c r="K563" s="52" t="str">
        <f t="shared" si="118"/>
        <v>Lie Bui Tjung</v>
      </c>
      <c r="L563" s="52" t="str">
        <f t="shared" si="113"/>
        <v>TRT-80-10</v>
      </c>
      <c r="M563" s="82">
        <v>42339</v>
      </c>
      <c r="N563" s="2">
        <v>5000</v>
      </c>
    </row>
    <row r="564" spans="1:14" x14ac:dyDescent="0.35">
      <c r="A564" s="52" t="s">
        <v>6063</v>
      </c>
      <c r="C564" s="30" t="s">
        <v>20980</v>
      </c>
      <c r="D564" s="30" t="str">
        <f>"""TRUST Nav"",""HSPMTB2016"",""21"",""1"",""37312"""</f>
        <v>"TRUST Nav","HSPMTB2016","21","1","37312"</v>
      </c>
      <c r="I564" s="52" t="str">
        <f t="shared" si="114"/>
        <v>KK-04612|42368|TRT-80-10</v>
      </c>
      <c r="J564" s="52" t="str">
        <f t="shared" si="117"/>
        <v>KK-04612</v>
      </c>
      <c r="K564" s="52" t="str">
        <f t="shared" si="118"/>
        <v>Lie Bui Tjung</v>
      </c>
      <c r="L564" s="52" t="str">
        <f t="shared" si="113"/>
        <v>TRT-80-10</v>
      </c>
      <c r="M564" s="82">
        <v>42368</v>
      </c>
      <c r="N564" s="2">
        <v>5000</v>
      </c>
    </row>
    <row r="565" spans="1:14" x14ac:dyDescent="0.35">
      <c r="A565" s="52" t="s">
        <v>6063</v>
      </c>
      <c r="C565" s="30" t="s">
        <v>20980</v>
      </c>
      <c r="D565" s="30" t="str">
        <f>"""TRUST Nav"",""HSPMTB2016"",""21"",""1"",""37313"""</f>
        <v>"TRUST Nav","HSPMTB2016","21","1","37313"</v>
      </c>
      <c r="I565" s="52" t="str">
        <f t="shared" si="114"/>
        <v>KK-04612|42368|TRT-80-10</v>
      </c>
      <c r="J565" s="52" t="str">
        <f t="shared" si="117"/>
        <v>KK-04612</v>
      </c>
      <c r="K565" s="52" t="str">
        <f t="shared" si="118"/>
        <v>Lie Bui Tjung</v>
      </c>
      <c r="L565" s="52" t="str">
        <f t="shared" si="113"/>
        <v>TRT-80-10</v>
      </c>
      <c r="M565" s="82">
        <v>42368</v>
      </c>
      <c r="N565" s="2">
        <v>5000</v>
      </c>
    </row>
    <row r="566" spans="1:14" x14ac:dyDescent="0.35">
      <c r="A566" s="52" t="s">
        <v>6063</v>
      </c>
      <c r="C566" s="30" t="s">
        <v>20980</v>
      </c>
      <c r="D566" s="30" t="str">
        <f>"""TRUST Nav"",""HSPMTB2016"",""21"",""1"",""37314"""</f>
        <v>"TRUST Nav","HSPMTB2016","21","1","37314"</v>
      </c>
      <c r="I566" s="52" t="str">
        <f t="shared" si="114"/>
        <v>KK-04612|42368|TRT-80-10</v>
      </c>
      <c r="J566" s="52" t="str">
        <f t="shared" si="117"/>
        <v>KK-04612</v>
      </c>
      <c r="K566" s="52" t="str">
        <f t="shared" si="118"/>
        <v>Lie Bui Tjung</v>
      </c>
      <c r="L566" s="52" t="str">
        <f t="shared" si="113"/>
        <v>TRT-80-10</v>
      </c>
      <c r="M566" s="82">
        <v>42368</v>
      </c>
      <c r="N566" s="2">
        <v>5000</v>
      </c>
    </row>
    <row r="567" spans="1:14" x14ac:dyDescent="0.35">
      <c r="A567" s="52" t="s">
        <v>6063</v>
      </c>
      <c r="C567" s="30" t="s">
        <v>20980</v>
      </c>
      <c r="D567" s="30" t="str">
        <f>"""TRUST Nav"",""HSPMTB2016"",""21"",""1"",""37315"""</f>
        <v>"TRUST Nav","HSPMTB2016","21","1","37315"</v>
      </c>
      <c r="I567" s="52" t="str">
        <f t="shared" si="114"/>
        <v>KK-04612|42368|TRT-80-10</v>
      </c>
      <c r="J567" s="52" t="str">
        <f t="shared" si="117"/>
        <v>KK-04612</v>
      </c>
      <c r="K567" s="52" t="str">
        <f t="shared" si="118"/>
        <v>Lie Bui Tjung</v>
      </c>
      <c r="L567" s="52" t="str">
        <f t="shared" si="113"/>
        <v>TRT-80-10</v>
      </c>
      <c r="M567" s="82">
        <v>42368</v>
      </c>
      <c r="N567" s="2">
        <v>5000</v>
      </c>
    </row>
    <row r="568" spans="1:14" x14ac:dyDescent="0.35">
      <c r="A568" s="52" t="s">
        <v>6063</v>
      </c>
      <c r="C568" s="30" t="s">
        <v>20980</v>
      </c>
      <c r="D568" s="30" t="str">
        <f>"""TRUST Nav"",""HSPMTB2016"",""21"",""1"",""37316"""</f>
        <v>"TRUST Nav","HSPMTB2016","21","1","37316"</v>
      </c>
      <c r="I568" s="52" t="str">
        <f t="shared" si="114"/>
        <v>KK-04612|42368|TRT-80-10</v>
      </c>
      <c r="J568" s="52" t="str">
        <f t="shared" si="117"/>
        <v>KK-04612</v>
      </c>
      <c r="K568" s="52" t="str">
        <f t="shared" si="118"/>
        <v>Lie Bui Tjung</v>
      </c>
      <c r="L568" s="52" t="str">
        <f t="shared" si="113"/>
        <v>TRT-80-10</v>
      </c>
      <c r="M568" s="82">
        <v>42368</v>
      </c>
      <c r="N568" s="2">
        <v>5000</v>
      </c>
    </row>
    <row r="569" spans="1:14" x14ac:dyDescent="0.35">
      <c r="A569" s="52" t="s">
        <v>6063</v>
      </c>
      <c r="C569" s="30" t="s">
        <v>20980</v>
      </c>
      <c r="D569" s="30" t="str">
        <f>"""TRUST Nav"",""HSPMTB2016"",""21"",""1"",""37317"""</f>
        <v>"TRUST Nav","HSPMTB2016","21","1","37317"</v>
      </c>
      <c r="I569" s="52" t="str">
        <f t="shared" si="114"/>
        <v>KK-04612|42368|TRT-80-10</v>
      </c>
      <c r="J569" s="52" t="str">
        <f t="shared" si="117"/>
        <v>KK-04612</v>
      </c>
      <c r="K569" s="52" t="str">
        <f t="shared" si="118"/>
        <v>Lie Bui Tjung</v>
      </c>
      <c r="L569" s="52" t="str">
        <f t="shared" si="113"/>
        <v>TRT-80-10</v>
      </c>
      <c r="M569" s="82">
        <v>42368</v>
      </c>
      <c r="N569" s="2">
        <v>5000</v>
      </c>
    </row>
    <row r="570" spans="1:14" x14ac:dyDescent="0.35">
      <c r="A570" s="52" t="s">
        <v>6063</v>
      </c>
      <c r="C570" s="30" t="s">
        <v>20980</v>
      </c>
      <c r="D570" s="30" t="str">
        <f>"""TRUST Nav"",""HSPMTB2016"",""21"",""1"",""3519"""</f>
        <v>"TRUST Nav","HSPMTB2016","21","1","3519"</v>
      </c>
      <c r="I570" s="52" t="str">
        <f t="shared" si="114"/>
        <v>KK-04613|42186|TRT-80-10</v>
      </c>
      <c r="J570" s="52" t="str">
        <f t="shared" ref="J570:J589" si="119">"KK-04613"</f>
        <v>KK-04613</v>
      </c>
      <c r="K570" s="52" t="str">
        <f t="shared" ref="K570:K589" si="120">"Ignatius Yanto Hardoyo"</f>
        <v>Ignatius Yanto Hardoyo</v>
      </c>
      <c r="L570" s="52" t="str">
        <f t="shared" si="113"/>
        <v>TRT-80-10</v>
      </c>
      <c r="M570" s="82">
        <v>42186</v>
      </c>
      <c r="N570" s="2">
        <v>20000</v>
      </c>
    </row>
    <row r="571" spans="1:14" x14ac:dyDescent="0.35">
      <c r="A571" s="52" t="s">
        <v>6063</v>
      </c>
      <c r="C571" s="30" t="s">
        <v>20980</v>
      </c>
      <c r="D571" s="30" t="str">
        <f>"""TRUST Nav"",""HSPMTB2016"",""21"",""1"",""3520"""</f>
        <v>"TRUST Nav","HSPMTB2016","21","1","3520"</v>
      </c>
      <c r="I571" s="52" t="str">
        <f t="shared" si="114"/>
        <v>KK-04613|42217|TRT-80-10</v>
      </c>
      <c r="J571" s="52" t="str">
        <f t="shared" si="119"/>
        <v>KK-04613</v>
      </c>
      <c r="K571" s="52" t="str">
        <f t="shared" si="120"/>
        <v>Ignatius Yanto Hardoyo</v>
      </c>
      <c r="L571" s="52" t="str">
        <f t="shared" si="113"/>
        <v>TRT-80-10</v>
      </c>
      <c r="M571" s="82">
        <v>42217</v>
      </c>
      <c r="N571" s="2">
        <v>20000</v>
      </c>
    </row>
    <row r="572" spans="1:14" x14ac:dyDescent="0.35">
      <c r="A572" s="52" t="s">
        <v>6063</v>
      </c>
      <c r="C572" s="30" t="s">
        <v>20980</v>
      </c>
      <c r="D572" s="30" t="str">
        <f>"""TRUST Nav"",""HSPMTB2016"",""21"",""1"",""3521"""</f>
        <v>"TRUST Nav","HSPMTB2016","21","1","3521"</v>
      </c>
      <c r="I572" s="52" t="str">
        <f t="shared" si="114"/>
        <v>KK-04613|42248|TRT-80-10</v>
      </c>
      <c r="J572" s="52" t="str">
        <f t="shared" si="119"/>
        <v>KK-04613</v>
      </c>
      <c r="K572" s="52" t="str">
        <f t="shared" si="120"/>
        <v>Ignatius Yanto Hardoyo</v>
      </c>
      <c r="L572" s="52" t="str">
        <f t="shared" si="113"/>
        <v>TRT-80-10</v>
      </c>
      <c r="M572" s="82">
        <v>42248</v>
      </c>
      <c r="N572" s="2">
        <v>20000</v>
      </c>
    </row>
    <row r="573" spans="1:14" x14ac:dyDescent="0.35">
      <c r="A573" s="52" t="s">
        <v>6063</v>
      </c>
      <c r="C573" s="30" t="s">
        <v>20980</v>
      </c>
      <c r="D573" s="30" t="str">
        <f>"""TRUST Nav"",""HSPMTB2016"",""21"",""1"",""3522"""</f>
        <v>"TRUST Nav","HSPMTB2016","21","1","3522"</v>
      </c>
      <c r="I573" s="52" t="str">
        <f t="shared" si="114"/>
        <v>KK-04613|42278|TRT-80-10</v>
      </c>
      <c r="J573" s="52" t="str">
        <f t="shared" si="119"/>
        <v>KK-04613</v>
      </c>
      <c r="K573" s="52" t="str">
        <f t="shared" si="120"/>
        <v>Ignatius Yanto Hardoyo</v>
      </c>
      <c r="L573" s="52" t="str">
        <f t="shared" si="113"/>
        <v>TRT-80-10</v>
      </c>
      <c r="M573" s="82">
        <v>42278</v>
      </c>
      <c r="N573" s="2">
        <v>20000</v>
      </c>
    </row>
    <row r="574" spans="1:14" x14ac:dyDescent="0.35">
      <c r="A574" s="52" t="s">
        <v>6063</v>
      </c>
      <c r="C574" s="30" t="s">
        <v>20980</v>
      </c>
      <c r="D574" s="30" t="str">
        <f>"""TRUST Nav"",""HSPMTB2016"",""21"",""1"",""3523"""</f>
        <v>"TRUST Nav","HSPMTB2016","21","1","3523"</v>
      </c>
      <c r="I574" s="52" t="str">
        <f t="shared" si="114"/>
        <v>KK-04613|42309|TRT-80-10</v>
      </c>
      <c r="J574" s="52" t="str">
        <f t="shared" si="119"/>
        <v>KK-04613</v>
      </c>
      <c r="K574" s="52" t="str">
        <f t="shared" si="120"/>
        <v>Ignatius Yanto Hardoyo</v>
      </c>
      <c r="L574" s="52" t="str">
        <f t="shared" si="113"/>
        <v>TRT-80-10</v>
      </c>
      <c r="M574" s="82">
        <v>42309</v>
      </c>
      <c r="N574" s="2">
        <v>20000</v>
      </c>
    </row>
    <row r="575" spans="1:14" x14ac:dyDescent="0.35">
      <c r="A575" s="52" t="s">
        <v>6063</v>
      </c>
      <c r="C575" s="30" t="s">
        <v>20980</v>
      </c>
      <c r="D575" s="30" t="str">
        <f>"""TRUST Nav"",""HSPMTB2016"",""21"",""1"",""3524"""</f>
        <v>"TRUST Nav","HSPMTB2016","21","1","3524"</v>
      </c>
      <c r="I575" s="52" t="str">
        <f t="shared" si="114"/>
        <v>KK-04613|42339|TRT-80-10</v>
      </c>
      <c r="J575" s="52" t="str">
        <f t="shared" si="119"/>
        <v>KK-04613</v>
      </c>
      <c r="K575" s="52" t="str">
        <f t="shared" si="120"/>
        <v>Ignatius Yanto Hardoyo</v>
      </c>
      <c r="L575" s="52" t="str">
        <f t="shared" si="113"/>
        <v>TRT-80-10</v>
      </c>
      <c r="M575" s="82">
        <v>42339</v>
      </c>
      <c r="N575" s="2">
        <v>20000</v>
      </c>
    </row>
    <row r="576" spans="1:14" x14ac:dyDescent="0.35">
      <c r="A576" s="52" t="s">
        <v>6063</v>
      </c>
      <c r="C576" s="30" t="s">
        <v>20980</v>
      </c>
      <c r="D576" s="30" t="str">
        <f>"""TRUST Nav"",""HSPMTB2016"",""21"",""1"",""37318"""</f>
        <v>"TRUST Nav","HSPMTB2016","21","1","37318"</v>
      </c>
      <c r="I576" s="52" t="str">
        <f t="shared" si="114"/>
        <v>KK-04613|42368|TRT-80-10</v>
      </c>
      <c r="J576" s="52" t="str">
        <f t="shared" si="119"/>
        <v>KK-04613</v>
      </c>
      <c r="K576" s="52" t="str">
        <f t="shared" si="120"/>
        <v>Ignatius Yanto Hardoyo</v>
      </c>
      <c r="L576" s="52" t="str">
        <f t="shared" si="113"/>
        <v>TRT-80-10</v>
      </c>
      <c r="M576" s="82">
        <v>42368</v>
      </c>
      <c r="N576" s="2">
        <v>20000</v>
      </c>
    </row>
    <row r="577" spans="1:14" x14ac:dyDescent="0.35">
      <c r="A577" s="52" t="s">
        <v>6063</v>
      </c>
      <c r="C577" s="30" t="s">
        <v>20980</v>
      </c>
      <c r="D577" s="30" t="str">
        <f>"""TRUST Nav"",""HSPMTB2016"",""21"",""1"",""37319"""</f>
        <v>"TRUST Nav","HSPMTB2016","21","1","37319"</v>
      </c>
      <c r="I577" s="52" t="str">
        <f t="shared" si="114"/>
        <v>KK-04613|42368|TRT-80-10</v>
      </c>
      <c r="J577" s="52" t="str">
        <f t="shared" si="119"/>
        <v>KK-04613</v>
      </c>
      <c r="K577" s="52" t="str">
        <f t="shared" si="120"/>
        <v>Ignatius Yanto Hardoyo</v>
      </c>
      <c r="L577" s="52" t="str">
        <f t="shared" si="113"/>
        <v>TRT-80-10</v>
      </c>
      <c r="M577" s="82">
        <v>42368</v>
      </c>
      <c r="N577" s="2">
        <v>20000</v>
      </c>
    </row>
    <row r="578" spans="1:14" x14ac:dyDescent="0.35">
      <c r="A578" s="52" t="s">
        <v>6063</v>
      </c>
      <c r="C578" s="30" t="s">
        <v>20980</v>
      </c>
      <c r="D578" s="30" t="str">
        <f>"""TRUST Nav"",""HSPMTB2016"",""21"",""1"",""37320"""</f>
        <v>"TRUST Nav","HSPMTB2016","21","1","37320"</v>
      </c>
      <c r="I578" s="52" t="str">
        <f t="shared" si="114"/>
        <v>KK-04613|42368|TRT-80-10</v>
      </c>
      <c r="J578" s="52" t="str">
        <f t="shared" si="119"/>
        <v>KK-04613</v>
      </c>
      <c r="K578" s="52" t="str">
        <f t="shared" si="120"/>
        <v>Ignatius Yanto Hardoyo</v>
      </c>
      <c r="L578" s="52" t="str">
        <f t="shared" si="113"/>
        <v>TRT-80-10</v>
      </c>
      <c r="M578" s="82">
        <v>42368</v>
      </c>
      <c r="N578" s="2">
        <v>20000</v>
      </c>
    </row>
    <row r="579" spans="1:14" x14ac:dyDescent="0.35">
      <c r="A579" s="52" t="s">
        <v>6063</v>
      </c>
      <c r="C579" s="30" t="s">
        <v>20980</v>
      </c>
      <c r="D579" s="30" t="str">
        <f>"""TRUST Nav"",""HSPMTB2016"",""21"",""1"",""37321"""</f>
        <v>"TRUST Nav","HSPMTB2016","21","1","37321"</v>
      </c>
      <c r="I579" s="52" t="str">
        <f t="shared" si="114"/>
        <v>KK-04613|42368|TRT-80-10</v>
      </c>
      <c r="J579" s="52" t="str">
        <f t="shared" si="119"/>
        <v>KK-04613</v>
      </c>
      <c r="K579" s="52" t="str">
        <f t="shared" si="120"/>
        <v>Ignatius Yanto Hardoyo</v>
      </c>
      <c r="L579" s="52" t="str">
        <f t="shared" si="113"/>
        <v>TRT-80-10</v>
      </c>
      <c r="M579" s="82">
        <v>42368</v>
      </c>
      <c r="N579" s="2">
        <v>20000</v>
      </c>
    </row>
    <row r="580" spans="1:14" x14ac:dyDescent="0.35">
      <c r="A580" s="52" t="s">
        <v>6063</v>
      </c>
      <c r="C580" s="30" t="s">
        <v>20980</v>
      </c>
      <c r="D580" s="30" t="str">
        <f>"""TRUST Nav"",""HSPMTB2016"",""21"",""1"",""37322"""</f>
        <v>"TRUST Nav","HSPMTB2016","21","1","37322"</v>
      </c>
      <c r="I580" s="52" t="str">
        <f t="shared" si="114"/>
        <v>KK-04613|42368|TRT-80-10</v>
      </c>
      <c r="J580" s="52" t="str">
        <f t="shared" si="119"/>
        <v>KK-04613</v>
      </c>
      <c r="K580" s="52" t="str">
        <f t="shared" si="120"/>
        <v>Ignatius Yanto Hardoyo</v>
      </c>
      <c r="L580" s="52" t="str">
        <f t="shared" si="113"/>
        <v>TRT-80-10</v>
      </c>
      <c r="M580" s="82">
        <v>42368</v>
      </c>
      <c r="N580" s="2">
        <v>20000</v>
      </c>
    </row>
    <row r="581" spans="1:14" x14ac:dyDescent="0.35">
      <c r="A581" s="52" t="s">
        <v>6063</v>
      </c>
      <c r="C581" s="30" t="s">
        <v>20980</v>
      </c>
      <c r="D581" s="30" t="str">
        <f>"""TRUST Nav"",""HSPMTB2016"",""21"",""1"",""37323"""</f>
        <v>"TRUST Nav","HSPMTB2016","21","1","37323"</v>
      </c>
      <c r="I581" s="52" t="str">
        <f t="shared" si="114"/>
        <v>KK-04613|42368|TRT-80-10</v>
      </c>
      <c r="J581" s="52" t="str">
        <f t="shared" si="119"/>
        <v>KK-04613</v>
      </c>
      <c r="K581" s="52" t="str">
        <f t="shared" si="120"/>
        <v>Ignatius Yanto Hardoyo</v>
      </c>
      <c r="L581" s="52" t="str">
        <f t="shared" si="113"/>
        <v>TRT-80-10</v>
      </c>
      <c r="M581" s="82">
        <v>42368</v>
      </c>
      <c r="N581" s="2">
        <v>20000</v>
      </c>
    </row>
    <row r="582" spans="1:14" x14ac:dyDescent="0.35">
      <c r="A582" s="52" t="s">
        <v>6063</v>
      </c>
      <c r="C582" s="30" t="s">
        <v>20980</v>
      </c>
      <c r="D582" s="30" t="str">
        <f>"""TRUST Nav"",""HSPMTB2016"",""21"",""1"",""85217"""</f>
        <v>"TRUST Nav","HSPMTB2016","21","1","85217"</v>
      </c>
      <c r="I582" s="52" t="str">
        <f t="shared" si="114"/>
        <v>KK-04613|42370|TRT-80-10</v>
      </c>
      <c r="J582" s="52" t="str">
        <f t="shared" si="119"/>
        <v>KK-04613</v>
      </c>
      <c r="K582" s="52" t="str">
        <f t="shared" si="120"/>
        <v>Ignatius Yanto Hardoyo</v>
      </c>
      <c r="L582" s="52" t="str">
        <f t="shared" si="113"/>
        <v>TRT-80-10</v>
      </c>
      <c r="M582" s="82">
        <v>42370</v>
      </c>
      <c r="N582" s="2">
        <v>20000</v>
      </c>
    </row>
    <row r="583" spans="1:14" x14ac:dyDescent="0.35">
      <c r="A583" s="52" t="s">
        <v>6063</v>
      </c>
      <c r="C583" s="30" t="s">
        <v>20980</v>
      </c>
      <c r="D583" s="30" t="str">
        <f>"""TRUST Nav"",""HSPMTB2016"",""21"",""1"",""85218"""</f>
        <v>"TRUST Nav","HSPMTB2016","21","1","85218"</v>
      </c>
      <c r="I583" s="52" t="str">
        <f t="shared" si="114"/>
        <v>KK-04613|42401|TRT-80-10</v>
      </c>
      <c r="J583" s="52" t="str">
        <f t="shared" si="119"/>
        <v>KK-04613</v>
      </c>
      <c r="K583" s="52" t="str">
        <f t="shared" si="120"/>
        <v>Ignatius Yanto Hardoyo</v>
      </c>
      <c r="L583" s="52" t="str">
        <f t="shared" si="113"/>
        <v>TRT-80-10</v>
      </c>
      <c r="M583" s="82">
        <v>42401</v>
      </c>
      <c r="N583" s="2">
        <v>20000</v>
      </c>
    </row>
    <row r="584" spans="1:14" x14ac:dyDescent="0.35">
      <c r="A584" s="52" t="s">
        <v>6063</v>
      </c>
      <c r="C584" s="30" t="s">
        <v>20980</v>
      </c>
      <c r="D584" s="30" t="str">
        <f>"""TRUST Nav"",""HSPMTB2016"",""21"",""1"",""85219"""</f>
        <v>"TRUST Nav","HSPMTB2016","21","1","85219"</v>
      </c>
      <c r="I584" s="52" t="str">
        <f t="shared" si="114"/>
        <v>KK-04613|42430|TRT-80-10</v>
      </c>
      <c r="J584" s="52" t="str">
        <f t="shared" si="119"/>
        <v>KK-04613</v>
      </c>
      <c r="K584" s="52" t="str">
        <f t="shared" si="120"/>
        <v>Ignatius Yanto Hardoyo</v>
      </c>
      <c r="L584" s="52" t="str">
        <f t="shared" si="113"/>
        <v>TRT-80-10</v>
      </c>
      <c r="M584" s="82">
        <v>42430</v>
      </c>
      <c r="N584" s="2">
        <v>20000</v>
      </c>
    </row>
    <row r="585" spans="1:14" x14ac:dyDescent="0.35">
      <c r="A585" s="52" t="s">
        <v>6063</v>
      </c>
      <c r="C585" s="30" t="s">
        <v>20980</v>
      </c>
      <c r="D585" s="30" t="str">
        <f>"""TRUST Nav"",""HSPMTB2016"",""21"",""1"",""85220"""</f>
        <v>"TRUST Nav","HSPMTB2016","21","1","85220"</v>
      </c>
      <c r="I585" s="52" t="str">
        <f t="shared" si="114"/>
        <v>KK-04613|42461|TRT-80-10</v>
      </c>
      <c r="J585" s="52" t="str">
        <f t="shared" si="119"/>
        <v>KK-04613</v>
      </c>
      <c r="K585" s="52" t="str">
        <f t="shared" si="120"/>
        <v>Ignatius Yanto Hardoyo</v>
      </c>
      <c r="L585" s="52" t="str">
        <f t="shared" si="113"/>
        <v>TRT-80-10</v>
      </c>
      <c r="M585" s="82">
        <v>42461</v>
      </c>
      <c r="N585" s="2">
        <v>20000</v>
      </c>
    </row>
    <row r="586" spans="1:14" x14ac:dyDescent="0.35">
      <c r="A586" s="52" t="s">
        <v>6063</v>
      </c>
      <c r="C586" s="30" t="s">
        <v>20980</v>
      </c>
      <c r="D586" s="30" t="str">
        <f>"""TRUST Nav"",""HSPMTB2016"",""21"",""1"",""138827"""</f>
        <v>"TRUST Nav","HSPMTB2016","21","1","138827"</v>
      </c>
      <c r="I586" s="52" t="str">
        <f t="shared" si="114"/>
        <v>KK-04613|42491|TRT-80-10</v>
      </c>
      <c r="J586" s="52" t="str">
        <f t="shared" si="119"/>
        <v>KK-04613</v>
      </c>
      <c r="K586" s="52" t="str">
        <f t="shared" si="120"/>
        <v>Ignatius Yanto Hardoyo</v>
      </c>
      <c r="L586" s="52" t="str">
        <f t="shared" ref="L586:L649" si="121">"TRT-80-10"</f>
        <v>TRT-80-10</v>
      </c>
      <c r="M586" s="82">
        <v>42491</v>
      </c>
      <c r="N586" s="2">
        <v>20000</v>
      </c>
    </row>
    <row r="587" spans="1:14" x14ac:dyDescent="0.35">
      <c r="A587" s="52" t="s">
        <v>6063</v>
      </c>
      <c r="C587" s="30" t="s">
        <v>20980</v>
      </c>
      <c r="D587" s="30" t="str">
        <f>"""TRUST Nav"",""HSPMTB2016"",""21"",""1"",""138828"""</f>
        <v>"TRUST Nav","HSPMTB2016","21","1","138828"</v>
      </c>
      <c r="I587" s="52" t="str">
        <f t="shared" ref="I587:I650" si="122">CONCATENATE(J587,"|",M587,"|",L587)</f>
        <v>KK-04613|42522|TRT-80-10</v>
      </c>
      <c r="J587" s="52" t="str">
        <f t="shared" si="119"/>
        <v>KK-04613</v>
      </c>
      <c r="K587" s="52" t="str">
        <f t="shared" si="120"/>
        <v>Ignatius Yanto Hardoyo</v>
      </c>
      <c r="L587" s="52" t="str">
        <f t="shared" si="121"/>
        <v>TRT-80-10</v>
      </c>
      <c r="M587" s="82">
        <v>42522</v>
      </c>
      <c r="N587" s="2">
        <v>20000</v>
      </c>
    </row>
    <row r="588" spans="1:14" x14ac:dyDescent="0.35">
      <c r="A588" s="52" t="s">
        <v>6063</v>
      </c>
      <c r="C588" s="30" t="s">
        <v>20980</v>
      </c>
      <c r="D588" s="30" t="str">
        <f>"""TRUST Nav"",""HSPMTB2016"",""21"",""1"",""138829"""</f>
        <v>"TRUST Nav","HSPMTB2016","21","1","138829"</v>
      </c>
      <c r="I588" s="52" t="str">
        <f t="shared" si="122"/>
        <v>KK-04613|42552|TRT-80-10</v>
      </c>
      <c r="J588" s="52" t="str">
        <f t="shared" si="119"/>
        <v>KK-04613</v>
      </c>
      <c r="K588" s="52" t="str">
        <f t="shared" si="120"/>
        <v>Ignatius Yanto Hardoyo</v>
      </c>
      <c r="L588" s="52" t="str">
        <f t="shared" si="121"/>
        <v>TRT-80-10</v>
      </c>
      <c r="M588" s="82">
        <v>42552</v>
      </c>
      <c r="N588" s="2">
        <v>20000</v>
      </c>
    </row>
    <row r="589" spans="1:14" x14ac:dyDescent="0.35">
      <c r="A589" s="52" t="s">
        <v>6063</v>
      </c>
      <c r="C589" s="30" t="s">
        <v>20980</v>
      </c>
      <c r="D589" s="30" t="str">
        <f>"""TRUST Nav"",""HSPMTB2016"",""21"",""1"",""138830"""</f>
        <v>"TRUST Nav","HSPMTB2016","21","1","138830"</v>
      </c>
      <c r="I589" s="52" t="str">
        <f t="shared" si="122"/>
        <v>KK-04613|42583|TRT-80-10</v>
      </c>
      <c r="J589" s="52" t="str">
        <f t="shared" si="119"/>
        <v>KK-04613</v>
      </c>
      <c r="K589" s="52" t="str">
        <f t="shared" si="120"/>
        <v>Ignatius Yanto Hardoyo</v>
      </c>
      <c r="L589" s="52" t="str">
        <f t="shared" si="121"/>
        <v>TRT-80-10</v>
      </c>
      <c r="M589" s="82">
        <v>42583</v>
      </c>
      <c r="N589" s="2">
        <v>20000</v>
      </c>
    </row>
    <row r="590" spans="1:14" x14ac:dyDescent="0.35">
      <c r="A590" s="52" t="s">
        <v>6063</v>
      </c>
      <c r="C590" s="30" t="s">
        <v>20980</v>
      </c>
      <c r="D590" s="30" t="str">
        <f>"""TRUST Nav"",""HSPMTB2016"",""21"",""1"",""3525"""</f>
        <v>"TRUST Nav","HSPMTB2016","21","1","3525"</v>
      </c>
      <c r="I590" s="52" t="str">
        <f t="shared" si="122"/>
        <v>KK-04616|42186|TRT-80-10</v>
      </c>
      <c r="J590" s="52" t="str">
        <f t="shared" ref="J590:J609" si="123">"KK-04616"</f>
        <v>KK-04616</v>
      </c>
      <c r="K590" s="52" t="str">
        <f t="shared" ref="K590:K609" si="124">"Purnama Tanuseputra"</f>
        <v>Purnama Tanuseputra</v>
      </c>
      <c r="L590" s="52" t="str">
        <f t="shared" si="121"/>
        <v>TRT-80-10</v>
      </c>
      <c r="M590" s="82">
        <v>42186</v>
      </c>
      <c r="N590" s="2">
        <v>50000.000000000007</v>
      </c>
    </row>
    <row r="591" spans="1:14" x14ac:dyDescent="0.35">
      <c r="A591" s="52" t="s">
        <v>6063</v>
      </c>
      <c r="C591" s="30" t="s">
        <v>20980</v>
      </c>
      <c r="D591" s="30" t="str">
        <f>"""TRUST Nav"",""HSPMTB2016"",""21"",""1"",""3526"""</f>
        <v>"TRUST Nav","HSPMTB2016","21","1","3526"</v>
      </c>
      <c r="I591" s="52" t="str">
        <f t="shared" si="122"/>
        <v>KK-04616|42217|TRT-80-10</v>
      </c>
      <c r="J591" s="52" t="str">
        <f t="shared" si="123"/>
        <v>KK-04616</v>
      </c>
      <c r="K591" s="52" t="str">
        <f t="shared" si="124"/>
        <v>Purnama Tanuseputra</v>
      </c>
      <c r="L591" s="52" t="str">
        <f t="shared" si="121"/>
        <v>TRT-80-10</v>
      </c>
      <c r="M591" s="82">
        <v>42217</v>
      </c>
      <c r="N591" s="2">
        <v>50000.000000000007</v>
      </c>
    </row>
    <row r="592" spans="1:14" x14ac:dyDescent="0.35">
      <c r="A592" s="52" t="s">
        <v>6063</v>
      </c>
      <c r="C592" s="30" t="s">
        <v>20980</v>
      </c>
      <c r="D592" s="30" t="str">
        <f>"""TRUST Nav"",""HSPMTB2016"",""21"",""1"",""3527"""</f>
        <v>"TRUST Nav","HSPMTB2016","21","1","3527"</v>
      </c>
      <c r="I592" s="52" t="str">
        <f t="shared" si="122"/>
        <v>KK-04616|42248|TRT-80-10</v>
      </c>
      <c r="J592" s="52" t="str">
        <f t="shared" si="123"/>
        <v>KK-04616</v>
      </c>
      <c r="K592" s="52" t="str">
        <f t="shared" si="124"/>
        <v>Purnama Tanuseputra</v>
      </c>
      <c r="L592" s="52" t="str">
        <f t="shared" si="121"/>
        <v>TRT-80-10</v>
      </c>
      <c r="M592" s="82">
        <v>42248</v>
      </c>
      <c r="N592" s="2">
        <v>50000.000000000007</v>
      </c>
    </row>
    <row r="593" spans="1:14" x14ac:dyDescent="0.35">
      <c r="A593" s="52" t="s">
        <v>6063</v>
      </c>
      <c r="C593" s="30" t="s">
        <v>20980</v>
      </c>
      <c r="D593" s="30" t="str">
        <f>"""TRUST Nav"",""HSPMTB2016"",""21"",""1"",""3528"""</f>
        <v>"TRUST Nav","HSPMTB2016","21","1","3528"</v>
      </c>
      <c r="I593" s="52" t="str">
        <f t="shared" si="122"/>
        <v>KK-04616|42278|TRT-80-10</v>
      </c>
      <c r="J593" s="52" t="str">
        <f t="shared" si="123"/>
        <v>KK-04616</v>
      </c>
      <c r="K593" s="52" t="str">
        <f t="shared" si="124"/>
        <v>Purnama Tanuseputra</v>
      </c>
      <c r="L593" s="52" t="str">
        <f t="shared" si="121"/>
        <v>TRT-80-10</v>
      </c>
      <c r="M593" s="82">
        <v>42278</v>
      </c>
      <c r="N593" s="2">
        <v>50000.000000000007</v>
      </c>
    </row>
    <row r="594" spans="1:14" x14ac:dyDescent="0.35">
      <c r="A594" s="52" t="s">
        <v>6063</v>
      </c>
      <c r="C594" s="30" t="s">
        <v>20980</v>
      </c>
      <c r="D594" s="30" t="str">
        <f>"""TRUST Nav"",""HSPMTB2016"",""21"",""1"",""3529"""</f>
        <v>"TRUST Nav","HSPMTB2016","21","1","3529"</v>
      </c>
      <c r="I594" s="52" t="str">
        <f t="shared" si="122"/>
        <v>KK-04616|42309|TRT-80-10</v>
      </c>
      <c r="J594" s="52" t="str">
        <f t="shared" si="123"/>
        <v>KK-04616</v>
      </c>
      <c r="K594" s="52" t="str">
        <f t="shared" si="124"/>
        <v>Purnama Tanuseputra</v>
      </c>
      <c r="L594" s="52" t="str">
        <f t="shared" si="121"/>
        <v>TRT-80-10</v>
      </c>
      <c r="M594" s="82">
        <v>42309</v>
      </c>
      <c r="N594" s="2">
        <v>50000.000000000007</v>
      </c>
    </row>
    <row r="595" spans="1:14" x14ac:dyDescent="0.35">
      <c r="A595" s="52" t="s">
        <v>6063</v>
      </c>
      <c r="C595" s="30" t="s">
        <v>20980</v>
      </c>
      <c r="D595" s="30" t="str">
        <f>"""TRUST Nav"",""HSPMTB2016"",""21"",""1"",""3530"""</f>
        <v>"TRUST Nav","HSPMTB2016","21","1","3530"</v>
      </c>
      <c r="I595" s="52" t="str">
        <f t="shared" si="122"/>
        <v>KK-04616|42339|TRT-80-10</v>
      </c>
      <c r="J595" s="52" t="str">
        <f t="shared" si="123"/>
        <v>KK-04616</v>
      </c>
      <c r="K595" s="52" t="str">
        <f t="shared" si="124"/>
        <v>Purnama Tanuseputra</v>
      </c>
      <c r="L595" s="52" t="str">
        <f t="shared" si="121"/>
        <v>TRT-80-10</v>
      </c>
      <c r="M595" s="82">
        <v>42339</v>
      </c>
      <c r="N595" s="2">
        <v>50000.000000000007</v>
      </c>
    </row>
    <row r="596" spans="1:14" x14ac:dyDescent="0.35">
      <c r="A596" s="52" t="s">
        <v>6063</v>
      </c>
      <c r="C596" s="30" t="s">
        <v>20980</v>
      </c>
      <c r="D596" s="30" t="str">
        <f>"""TRUST Nav"",""HSPMTB2016"",""21"",""1"",""37324"""</f>
        <v>"TRUST Nav","HSPMTB2016","21","1","37324"</v>
      </c>
      <c r="I596" s="52" t="str">
        <f t="shared" si="122"/>
        <v>KK-04616|42368|TRT-80-10</v>
      </c>
      <c r="J596" s="52" t="str">
        <f t="shared" si="123"/>
        <v>KK-04616</v>
      </c>
      <c r="K596" s="52" t="str">
        <f t="shared" si="124"/>
        <v>Purnama Tanuseputra</v>
      </c>
      <c r="L596" s="52" t="str">
        <f t="shared" si="121"/>
        <v>TRT-80-10</v>
      </c>
      <c r="M596" s="82">
        <v>42368</v>
      </c>
      <c r="N596" s="2">
        <v>50000.000000000007</v>
      </c>
    </row>
    <row r="597" spans="1:14" x14ac:dyDescent="0.35">
      <c r="A597" s="52" t="s">
        <v>6063</v>
      </c>
      <c r="C597" s="30" t="s">
        <v>20980</v>
      </c>
      <c r="D597" s="30" t="str">
        <f>"""TRUST Nav"",""HSPMTB2016"",""21"",""1"",""37325"""</f>
        <v>"TRUST Nav","HSPMTB2016","21","1","37325"</v>
      </c>
      <c r="I597" s="52" t="str">
        <f t="shared" si="122"/>
        <v>KK-04616|42368|TRT-80-10</v>
      </c>
      <c r="J597" s="52" t="str">
        <f t="shared" si="123"/>
        <v>KK-04616</v>
      </c>
      <c r="K597" s="52" t="str">
        <f t="shared" si="124"/>
        <v>Purnama Tanuseputra</v>
      </c>
      <c r="L597" s="52" t="str">
        <f t="shared" si="121"/>
        <v>TRT-80-10</v>
      </c>
      <c r="M597" s="82">
        <v>42368</v>
      </c>
      <c r="N597" s="2">
        <v>50000.000000000007</v>
      </c>
    </row>
    <row r="598" spans="1:14" x14ac:dyDescent="0.35">
      <c r="A598" s="52" t="s">
        <v>6063</v>
      </c>
      <c r="C598" s="30" t="s">
        <v>20980</v>
      </c>
      <c r="D598" s="30" t="str">
        <f>"""TRUST Nav"",""HSPMTB2016"",""21"",""1"",""37326"""</f>
        <v>"TRUST Nav","HSPMTB2016","21","1","37326"</v>
      </c>
      <c r="I598" s="52" t="str">
        <f t="shared" si="122"/>
        <v>KK-04616|42368|TRT-80-10</v>
      </c>
      <c r="J598" s="52" t="str">
        <f t="shared" si="123"/>
        <v>KK-04616</v>
      </c>
      <c r="K598" s="52" t="str">
        <f t="shared" si="124"/>
        <v>Purnama Tanuseputra</v>
      </c>
      <c r="L598" s="52" t="str">
        <f t="shared" si="121"/>
        <v>TRT-80-10</v>
      </c>
      <c r="M598" s="82">
        <v>42368</v>
      </c>
      <c r="N598" s="2">
        <v>50000.000000000007</v>
      </c>
    </row>
    <row r="599" spans="1:14" x14ac:dyDescent="0.35">
      <c r="A599" s="52" t="s">
        <v>6063</v>
      </c>
      <c r="C599" s="30" t="s">
        <v>20980</v>
      </c>
      <c r="D599" s="30" t="str">
        <f>"""TRUST Nav"",""HSPMTB2016"",""21"",""1"",""37327"""</f>
        <v>"TRUST Nav","HSPMTB2016","21","1","37327"</v>
      </c>
      <c r="I599" s="52" t="str">
        <f t="shared" si="122"/>
        <v>KK-04616|42368|TRT-80-10</v>
      </c>
      <c r="J599" s="52" t="str">
        <f t="shared" si="123"/>
        <v>KK-04616</v>
      </c>
      <c r="K599" s="52" t="str">
        <f t="shared" si="124"/>
        <v>Purnama Tanuseputra</v>
      </c>
      <c r="L599" s="52" t="str">
        <f t="shared" si="121"/>
        <v>TRT-80-10</v>
      </c>
      <c r="M599" s="82">
        <v>42368</v>
      </c>
      <c r="N599" s="2">
        <v>50000.000000000007</v>
      </c>
    </row>
    <row r="600" spans="1:14" x14ac:dyDescent="0.35">
      <c r="A600" s="52" t="s">
        <v>6063</v>
      </c>
      <c r="C600" s="30" t="s">
        <v>20980</v>
      </c>
      <c r="D600" s="30" t="str">
        <f>"""TRUST Nav"",""HSPMTB2016"",""21"",""1"",""37328"""</f>
        <v>"TRUST Nav","HSPMTB2016","21","1","37328"</v>
      </c>
      <c r="I600" s="52" t="str">
        <f t="shared" si="122"/>
        <v>KK-04616|42368|TRT-80-10</v>
      </c>
      <c r="J600" s="52" t="str">
        <f t="shared" si="123"/>
        <v>KK-04616</v>
      </c>
      <c r="K600" s="52" t="str">
        <f t="shared" si="124"/>
        <v>Purnama Tanuseputra</v>
      </c>
      <c r="L600" s="52" t="str">
        <f t="shared" si="121"/>
        <v>TRT-80-10</v>
      </c>
      <c r="M600" s="82">
        <v>42368</v>
      </c>
      <c r="N600" s="2">
        <v>50000.000000000007</v>
      </c>
    </row>
    <row r="601" spans="1:14" x14ac:dyDescent="0.35">
      <c r="A601" s="52" t="s">
        <v>6063</v>
      </c>
      <c r="C601" s="30" t="s">
        <v>20980</v>
      </c>
      <c r="D601" s="30" t="str">
        <f>"""TRUST Nav"",""HSPMTB2016"",""21"",""1"",""37329"""</f>
        <v>"TRUST Nav","HSPMTB2016","21","1","37329"</v>
      </c>
      <c r="I601" s="52" t="str">
        <f t="shared" si="122"/>
        <v>KK-04616|42368|TRT-80-10</v>
      </c>
      <c r="J601" s="52" t="str">
        <f t="shared" si="123"/>
        <v>KK-04616</v>
      </c>
      <c r="K601" s="52" t="str">
        <f t="shared" si="124"/>
        <v>Purnama Tanuseputra</v>
      </c>
      <c r="L601" s="52" t="str">
        <f t="shared" si="121"/>
        <v>TRT-80-10</v>
      </c>
      <c r="M601" s="82">
        <v>42368</v>
      </c>
      <c r="N601" s="2">
        <v>50000.000000000007</v>
      </c>
    </row>
    <row r="602" spans="1:14" x14ac:dyDescent="0.35">
      <c r="A602" s="52" t="s">
        <v>6063</v>
      </c>
      <c r="C602" s="30" t="s">
        <v>20980</v>
      </c>
      <c r="D602" s="30" t="str">
        <f>"""TRUST Nav"",""HSPMTB2016"",""21"",""1"",""102558"""</f>
        <v>"TRUST Nav","HSPMTB2016","21","1","102558"</v>
      </c>
      <c r="I602" s="52" t="str">
        <f t="shared" si="122"/>
        <v>KK-04616|42370|TRT-80-10</v>
      </c>
      <c r="J602" s="52" t="str">
        <f t="shared" si="123"/>
        <v>KK-04616</v>
      </c>
      <c r="K602" s="52" t="str">
        <f t="shared" si="124"/>
        <v>Purnama Tanuseputra</v>
      </c>
      <c r="L602" s="52" t="str">
        <f t="shared" si="121"/>
        <v>TRT-80-10</v>
      </c>
      <c r="M602" s="82">
        <v>42370</v>
      </c>
      <c r="N602" s="2">
        <v>50000.000000000007</v>
      </c>
    </row>
    <row r="603" spans="1:14" x14ac:dyDescent="0.35">
      <c r="A603" s="52" t="s">
        <v>6063</v>
      </c>
      <c r="C603" s="30" t="s">
        <v>20980</v>
      </c>
      <c r="D603" s="30" t="str">
        <f>"""TRUST Nav"",""HSPMTB2016"",""21"",""1"",""102559"""</f>
        <v>"TRUST Nav","HSPMTB2016","21","1","102559"</v>
      </c>
      <c r="I603" s="52" t="str">
        <f t="shared" si="122"/>
        <v>KK-04616|42401|TRT-80-10</v>
      </c>
      <c r="J603" s="52" t="str">
        <f t="shared" si="123"/>
        <v>KK-04616</v>
      </c>
      <c r="K603" s="52" t="str">
        <f t="shared" si="124"/>
        <v>Purnama Tanuseputra</v>
      </c>
      <c r="L603" s="52" t="str">
        <f t="shared" si="121"/>
        <v>TRT-80-10</v>
      </c>
      <c r="M603" s="82">
        <v>42401</v>
      </c>
      <c r="N603" s="2">
        <v>50000.000000000007</v>
      </c>
    </row>
    <row r="604" spans="1:14" x14ac:dyDescent="0.35">
      <c r="A604" s="52" t="s">
        <v>6063</v>
      </c>
      <c r="C604" s="30" t="s">
        <v>20980</v>
      </c>
      <c r="D604" s="30" t="str">
        <f>"""TRUST Nav"",""HSPMTB2016"",""21"",""1"",""102560"""</f>
        <v>"TRUST Nav","HSPMTB2016","21","1","102560"</v>
      </c>
      <c r="I604" s="52" t="str">
        <f t="shared" si="122"/>
        <v>KK-04616|42430|TRT-80-10</v>
      </c>
      <c r="J604" s="52" t="str">
        <f t="shared" si="123"/>
        <v>KK-04616</v>
      </c>
      <c r="K604" s="52" t="str">
        <f t="shared" si="124"/>
        <v>Purnama Tanuseputra</v>
      </c>
      <c r="L604" s="52" t="str">
        <f t="shared" si="121"/>
        <v>TRT-80-10</v>
      </c>
      <c r="M604" s="82">
        <v>42430</v>
      </c>
      <c r="N604" s="2">
        <v>50000.000000000007</v>
      </c>
    </row>
    <row r="605" spans="1:14" x14ac:dyDescent="0.35">
      <c r="A605" s="52" t="s">
        <v>6063</v>
      </c>
      <c r="C605" s="30" t="s">
        <v>20980</v>
      </c>
      <c r="D605" s="30" t="str">
        <f>"""TRUST Nav"",""HSPMTB2016"",""21"",""1"",""102561"""</f>
        <v>"TRUST Nav","HSPMTB2016","21","1","102561"</v>
      </c>
      <c r="I605" s="52" t="str">
        <f t="shared" si="122"/>
        <v>KK-04616|42461|TRT-80-10</v>
      </c>
      <c r="J605" s="52" t="str">
        <f t="shared" si="123"/>
        <v>KK-04616</v>
      </c>
      <c r="K605" s="52" t="str">
        <f t="shared" si="124"/>
        <v>Purnama Tanuseputra</v>
      </c>
      <c r="L605" s="52" t="str">
        <f t="shared" si="121"/>
        <v>TRT-80-10</v>
      </c>
      <c r="M605" s="82">
        <v>42461</v>
      </c>
      <c r="N605" s="2">
        <v>50000.000000000007</v>
      </c>
    </row>
    <row r="606" spans="1:14" x14ac:dyDescent="0.35">
      <c r="A606" s="52" t="s">
        <v>6063</v>
      </c>
      <c r="C606" s="30" t="s">
        <v>20980</v>
      </c>
      <c r="D606" s="30" t="str">
        <f>"""TRUST Nav"",""HSPMTB2016"",""21"",""1"",""138831"""</f>
        <v>"TRUST Nav","HSPMTB2016","21","1","138831"</v>
      </c>
      <c r="I606" s="52" t="str">
        <f t="shared" si="122"/>
        <v>KK-04616|42491|TRT-80-10</v>
      </c>
      <c r="J606" s="52" t="str">
        <f t="shared" si="123"/>
        <v>KK-04616</v>
      </c>
      <c r="K606" s="52" t="str">
        <f t="shared" si="124"/>
        <v>Purnama Tanuseputra</v>
      </c>
      <c r="L606" s="52" t="str">
        <f t="shared" si="121"/>
        <v>TRT-80-10</v>
      </c>
      <c r="M606" s="82">
        <v>42491</v>
      </c>
      <c r="N606" s="2">
        <v>50000.000000000007</v>
      </c>
    </row>
    <row r="607" spans="1:14" x14ac:dyDescent="0.35">
      <c r="A607" s="52" t="s">
        <v>6063</v>
      </c>
      <c r="C607" s="30" t="s">
        <v>20980</v>
      </c>
      <c r="D607" s="30" t="str">
        <f>"""TRUST Nav"",""HSPMTB2016"",""21"",""1"",""138832"""</f>
        <v>"TRUST Nav","HSPMTB2016","21","1","138832"</v>
      </c>
      <c r="I607" s="52" t="str">
        <f t="shared" si="122"/>
        <v>KK-04616|42522|TRT-80-10</v>
      </c>
      <c r="J607" s="52" t="str">
        <f t="shared" si="123"/>
        <v>KK-04616</v>
      </c>
      <c r="K607" s="52" t="str">
        <f t="shared" si="124"/>
        <v>Purnama Tanuseputra</v>
      </c>
      <c r="L607" s="52" t="str">
        <f t="shared" si="121"/>
        <v>TRT-80-10</v>
      </c>
      <c r="M607" s="82">
        <v>42522</v>
      </c>
      <c r="N607" s="2">
        <v>50000.000000000007</v>
      </c>
    </row>
    <row r="608" spans="1:14" x14ac:dyDescent="0.35">
      <c r="A608" s="52" t="s">
        <v>6063</v>
      </c>
      <c r="C608" s="30" t="s">
        <v>20980</v>
      </c>
      <c r="D608" s="30" t="str">
        <f>"""TRUST Nav"",""HSPMTB2016"",""21"",""1"",""138833"""</f>
        <v>"TRUST Nav","HSPMTB2016","21","1","138833"</v>
      </c>
      <c r="I608" s="52" t="str">
        <f t="shared" si="122"/>
        <v>KK-04616|42552|TRT-80-10</v>
      </c>
      <c r="J608" s="52" t="str">
        <f t="shared" si="123"/>
        <v>KK-04616</v>
      </c>
      <c r="K608" s="52" t="str">
        <f t="shared" si="124"/>
        <v>Purnama Tanuseputra</v>
      </c>
      <c r="L608" s="52" t="str">
        <f t="shared" si="121"/>
        <v>TRT-80-10</v>
      </c>
      <c r="M608" s="82">
        <v>42552</v>
      </c>
      <c r="N608" s="2">
        <v>50000.000000000007</v>
      </c>
    </row>
    <row r="609" spans="1:14" x14ac:dyDescent="0.35">
      <c r="A609" s="52" t="s">
        <v>6063</v>
      </c>
      <c r="C609" s="30" t="s">
        <v>20980</v>
      </c>
      <c r="D609" s="30" t="str">
        <f>"""TRUST Nav"",""HSPMTB2016"",""21"",""1"",""138834"""</f>
        <v>"TRUST Nav","HSPMTB2016","21","1","138834"</v>
      </c>
      <c r="I609" s="52" t="str">
        <f t="shared" si="122"/>
        <v>KK-04616|42583|TRT-80-10</v>
      </c>
      <c r="J609" s="52" t="str">
        <f t="shared" si="123"/>
        <v>KK-04616</v>
      </c>
      <c r="K609" s="52" t="str">
        <f t="shared" si="124"/>
        <v>Purnama Tanuseputra</v>
      </c>
      <c r="L609" s="52" t="str">
        <f t="shared" si="121"/>
        <v>TRT-80-10</v>
      </c>
      <c r="M609" s="82">
        <v>42583</v>
      </c>
      <c r="N609" s="2">
        <v>50000.000000000007</v>
      </c>
    </row>
    <row r="610" spans="1:14" x14ac:dyDescent="0.35">
      <c r="A610" s="52" t="s">
        <v>6063</v>
      </c>
      <c r="C610" s="30" t="s">
        <v>20980</v>
      </c>
      <c r="D610" s="30" t="str">
        <f>"""TRUST Nav"",""HSPMTB2016"",""21"",""1"",""3531"""</f>
        <v>"TRUST Nav","HSPMTB2016","21","1","3531"</v>
      </c>
      <c r="I610" s="52" t="str">
        <f t="shared" si="122"/>
        <v>KK-04617|42186|TRT-80-10</v>
      </c>
      <c r="J610" s="52" t="str">
        <f t="shared" ref="J610:J616" si="125">"KK-04617"</f>
        <v>KK-04617</v>
      </c>
      <c r="K610" s="52" t="str">
        <f t="shared" ref="K610:K616" si="126">"Rudolf Hendricus Poluan"</f>
        <v>Rudolf Hendricus Poluan</v>
      </c>
      <c r="L610" s="52" t="str">
        <f t="shared" si="121"/>
        <v>TRT-80-10</v>
      </c>
      <c r="M610" s="82">
        <v>42186</v>
      </c>
      <c r="N610" s="2">
        <v>20000</v>
      </c>
    </row>
    <row r="611" spans="1:14" x14ac:dyDescent="0.35">
      <c r="A611" s="52" t="s">
        <v>6063</v>
      </c>
      <c r="C611" s="30" t="s">
        <v>20980</v>
      </c>
      <c r="D611" s="30" t="str">
        <f>"""TRUST Nav"",""HSPMTB2016"",""21"",""1"",""37330"""</f>
        <v>"TRUST Nav","HSPMTB2016","21","1","37330"</v>
      </c>
      <c r="I611" s="52" t="str">
        <f t="shared" si="122"/>
        <v>KK-04617|42368|TRT-80-10</v>
      </c>
      <c r="J611" s="52" t="str">
        <f t="shared" si="125"/>
        <v>KK-04617</v>
      </c>
      <c r="K611" s="52" t="str">
        <f t="shared" si="126"/>
        <v>Rudolf Hendricus Poluan</v>
      </c>
      <c r="L611" s="52" t="str">
        <f t="shared" si="121"/>
        <v>TRT-80-10</v>
      </c>
      <c r="M611" s="82">
        <v>42368</v>
      </c>
      <c r="N611" s="2">
        <v>20000</v>
      </c>
    </row>
    <row r="612" spans="1:14" x14ac:dyDescent="0.35">
      <c r="A612" s="52" t="s">
        <v>6063</v>
      </c>
      <c r="C612" s="30" t="s">
        <v>20980</v>
      </c>
      <c r="D612" s="30" t="str">
        <f>"""TRUST Nav"",""HSPMTB2016"",""21"",""1"",""85221"""</f>
        <v>"TRUST Nav","HSPMTB2016","21","1","85221"</v>
      </c>
      <c r="I612" s="52" t="str">
        <f t="shared" si="122"/>
        <v>KK-04617|42217|TRT-80-10</v>
      </c>
      <c r="J612" s="52" t="str">
        <f t="shared" si="125"/>
        <v>KK-04617</v>
      </c>
      <c r="K612" s="52" t="str">
        <f t="shared" si="126"/>
        <v>Rudolf Hendricus Poluan</v>
      </c>
      <c r="L612" s="52" t="str">
        <f t="shared" si="121"/>
        <v>TRT-80-10</v>
      </c>
      <c r="M612" s="82">
        <v>42217</v>
      </c>
      <c r="N612" s="2">
        <v>20000</v>
      </c>
    </row>
    <row r="613" spans="1:14" x14ac:dyDescent="0.35">
      <c r="A613" s="52" t="s">
        <v>6063</v>
      </c>
      <c r="C613" s="30" t="s">
        <v>20980</v>
      </c>
      <c r="D613" s="30" t="str">
        <f>"""TRUST Nav"",""HSPMTB2016"",""21"",""1"",""85222"""</f>
        <v>"TRUST Nav","HSPMTB2016","21","1","85222"</v>
      </c>
      <c r="I613" s="52" t="str">
        <f t="shared" si="122"/>
        <v>KK-04617|42248|TRT-80-10</v>
      </c>
      <c r="J613" s="52" t="str">
        <f t="shared" si="125"/>
        <v>KK-04617</v>
      </c>
      <c r="K613" s="52" t="str">
        <f t="shared" si="126"/>
        <v>Rudolf Hendricus Poluan</v>
      </c>
      <c r="L613" s="52" t="str">
        <f t="shared" si="121"/>
        <v>TRT-80-10</v>
      </c>
      <c r="M613" s="82">
        <v>42248</v>
      </c>
      <c r="N613" s="2">
        <v>20000</v>
      </c>
    </row>
    <row r="614" spans="1:14" x14ac:dyDescent="0.35">
      <c r="A614" s="52" t="s">
        <v>6063</v>
      </c>
      <c r="C614" s="30" t="s">
        <v>20980</v>
      </c>
      <c r="D614" s="30" t="str">
        <f>"""TRUST Nav"",""HSPMTB2016"",""21"",""1"",""85223"""</f>
        <v>"TRUST Nav","HSPMTB2016","21","1","85223"</v>
      </c>
      <c r="I614" s="52" t="str">
        <f t="shared" si="122"/>
        <v>KK-04617|42278|TRT-80-10</v>
      </c>
      <c r="J614" s="52" t="str">
        <f t="shared" si="125"/>
        <v>KK-04617</v>
      </c>
      <c r="K614" s="52" t="str">
        <f t="shared" si="126"/>
        <v>Rudolf Hendricus Poluan</v>
      </c>
      <c r="L614" s="52" t="str">
        <f t="shared" si="121"/>
        <v>TRT-80-10</v>
      </c>
      <c r="M614" s="82">
        <v>42278</v>
      </c>
      <c r="N614" s="2">
        <v>20000</v>
      </c>
    </row>
    <row r="615" spans="1:14" x14ac:dyDescent="0.35">
      <c r="A615" s="52" t="s">
        <v>6063</v>
      </c>
      <c r="C615" s="30" t="s">
        <v>20980</v>
      </c>
      <c r="D615" s="30" t="str">
        <f>"""TRUST Nav"",""HSPMTB2016"",""21"",""1"",""85224"""</f>
        <v>"TRUST Nav","HSPMTB2016","21","1","85224"</v>
      </c>
      <c r="I615" s="52" t="str">
        <f t="shared" si="122"/>
        <v>KK-04617|42309|TRT-80-10</v>
      </c>
      <c r="J615" s="52" t="str">
        <f t="shared" si="125"/>
        <v>KK-04617</v>
      </c>
      <c r="K615" s="52" t="str">
        <f t="shared" si="126"/>
        <v>Rudolf Hendricus Poluan</v>
      </c>
      <c r="L615" s="52" t="str">
        <f t="shared" si="121"/>
        <v>TRT-80-10</v>
      </c>
      <c r="M615" s="82">
        <v>42309</v>
      </c>
      <c r="N615" s="2">
        <v>20000</v>
      </c>
    </row>
    <row r="616" spans="1:14" x14ac:dyDescent="0.35">
      <c r="A616" s="52" t="s">
        <v>6063</v>
      </c>
      <c r="C616" s="30" t="s">
        <v>20980</v>
      </c>
      <c r="D616" s="30" t="str">
        <f>"""TRUST Nav"",""HSPMTB2016"",""21"",""1"",""85225"""</f>
        <v>"TRUST Nav","HSPMTB2016","21","1","85225"</v>
      </c>
      <c r="I616" s="52" t="str">
        <f t="shared" si="122"/>
        <v>KK-04617|42339|TRT-80-10</v>
      </c>
      <c r="J616" s="52" t="str">
        <f t="shared" si="125"/>
        <v>KK-04617</v>
      </c>
      <c r="K616" s="52" t="str">
        <f t="shared" si="126"/>
        <v>Rudolf Hendricus Poluan</v>
      </c>
      <c r="L616" s="52" t="str">
        <f t="shared" si="121"/>
        <v>TRT-80-10</v>
      </c>
      <c r="M616" s="82">
        <v>42339</v>
      </c>
      <c r="N616" s="2">
        <v>20000</v>
      </c>
    </row>
    <row r="617" spans="1:14" x14ac:dyDescent="0.35">
      <c r="A617" s="52" t="s">
        <v>6063</v>
      </c>
      <c r="C617" s="30" t="s">
        <v>20980</v>
      </c>
      <c r="D617" s="30" t="str">
        <f>"""TRUST Nav"",""HSPMTB2016"",""21"",""1"",""3532"""</f>
        <v>"TRUST Nav","HSPMTB2016","21","1","3532"</v>
      </c>
      <c r="I617" s="52" t="str">
        <f t="shared" si="122"/>
        <v>KK-04619|42186|TRT-80-10</v>
      </c>
      <c r="J617" s="52" t="str">
        <f t="shared" ref="J617:J628" si="127">"KK-04619"</f>
        <v>KK-04619</v>
      </c>
      <c r="K617" s="52" t="str">
        <f t="shared" ref="K617:K628" si="128">"Sandy Wijaya"</f>
        <v>Sandy Wijaya</v>
      </c>
      <c r="L617" s="52" t="str">
        <f t="shared" si="121"/>
        <v>TRT-80-10</v>
      </c>
      <c r="M617" s="82">
        <v>42186</v>
      </c>
      <c r="N617" s="2">
        <v>25000.000000000004</v>
      </c>
    </row>
    <row r="618" spans="1:14" x14ac:dyDescent="0.35">
      <c r="A618" s="52" t="s">
        <v>6063</v>
      </c>
      <c r="C618" s="30" t="s">
        <v>20980</v>
      </c>
      <c r="D618" s="30" t="str">
        <f>"""TRUST Nav"",""HSPMTB2016"",""21"",""1"",""3533"""</f>
        <v>"TRUST Nav","HSPMTB2016","21","1","3533"</v>
      </c>
      <c r="I618" s="52" t="str">
        <f t="shared" si="122"/>
        <v>KK-04619|42217|TRT-80-10</v>
      </c>
      <c r="J618" s="52" t="str">
        <f t="shared" si="127"/>
        <v>KK-04619</v>
      </c>
      <c r="K618" s="52" t="str">
        <f t="shared" si="128"/>
        <v>Sandy Wijaya</v>
      </c>
      <c r="L618" s="52" t="str">
        <f t="shared" si="121"/>
        <v>TRT-80-10</v>
      </c>
      <c r="M618" s="82">
        <v>42217</v>
      </c>
      <c r="N618" s="2">
        <v>25000.000000000004</v>
      </c>
    </row>
    <row r="619" spans="1:14" x14ac:dyDescent="0.35">
      <c r="A619" s="52" t="s">
        <v>6063</v>
      </c>
      <c r="C619" s="30" t="s">
        <v>20980</v>
      </c>
      <c r="D619" s="30" t="str">
        <f>"""TRUST Nav"",""HSPMTB2016"",""21"",""1"",""3534"""</f>
        <v>"TRUST Nav","HSPMTB2016","21","1","3534"</v>
      </c>
      <c r="I619" s="52" t="str">
        <f t="shared" si="122"/>
        <v>KK-04619|42248|TRT-80-10</v>
      </c>
      <c r="J619" s="52" t="str">
        <f t="shared" si="127"/>
        <v>KK-04619</v>
      </c>
      <c r="K619" s="52" t="str">
        <f t="shared" si="128"/>
        <v>Sandy Wijaya</v>
      </c>
      <c r="L619" s="52" t="str">
        <f t="shared" si="121"/>
        <v>TRT-80-10</v>
      </c>
      <c r="M619" s="82">
        <v>42248</v>
      </c>
      <c r="N619" s="2">
        <v>25000.000000000004</v>
      </c>
    </row>
    <row r="620" spans="1:14" x14ac:dyDescent="0.35">
      <c r="A620" s="52" t="s">
        <v>6063</v>
      </c>
      <c r="C620" s="30" t="s">
        <v>20980</v>
      </c>
      <c r="D620" s="30" t="str">
        <f>"""TRUST Nav"",""HSPMTB2016"",""21"",""1"",""3535"""</f>
        <v>"TRUST Nav","HSPMTB2016","21","1","3535"</v>
      </c>
      <c r="I620" s="52" t="str">
        <f t="shared" si="122"/>
        <v>KK-04619|42278|TRT-80-10</v>
      </c>
      <c r="J620" s="52" t="str">
        <f t="shared" si="127"/>
        <v>KK-04619</v>
      </c>
      <c r="K620" s="52" t="str">
        <f t="shared" si="128"/>
        <v>Sandy Wijaya</v>
      </c>
      <c r="L620" s="52" t="str">
        <f t="shared" si="121"/>
        <v>TRT-80-10</v>
      </c>
      <c r="M620" s="82">
        <v>42278</v>
      </c>
      <c r="N620" s="2">
        <v>25000.000000000004</v>
      </c>
    </row>
    <row r="621" spans="1:14" x14ac:dyDescent="0.35">
      <c r="A621" s="52" t="s">
        <v>6063</v>
      </c>
      <c r="C621" s="30" t="s">
        <v>20980</v>
      </c>
      <c r="D621" s="30" t="str">
        <f>"""TRUST Nav"",""HSPMTB2016"",""21"",""1"",""3536"""</f>
        <v>"TRUST Nav","HSPMTB2016","21","1","3536"</v>
      </c>
      <c r="I621" s="52" t="str">
        <f t="shared" si="122"/>
        <v>KK-04619|42309|TRT-80-10</v>
      </c>
      <c r="J621" s="52" t="str">
        <f t="shared" si="127"/>
        <v>KK-04619</v>
      </c>
      <c r="K621" s="52" t="str">
        <f t="shared" si="128"/>
        <v>Sandy Wijaya</v>
      </c>
      <c r="L621" s="52" t="str">
        <f t="shared" si="121"/>
        <v>TRT-80-10</v>
      </c>
      <c r="M621" s="82">
        <v>42309</v>
      </c>
      <c r="N621" s="2">
        <v>25000.000000000004</v>
      </c>
    </row>
    <row r="622" spans="1:14" x14ac:dyDescent="0.35">
      <c r="A622" s="52" t="s">
        <v>6063</v>
      </c>
      <c r="C622" s="30" t="s">
        <v>20980</v>
      </c>
      <c r="D622" s="30" t="str">
        <f>"""TRUST Nav"",""HSPMTB2016"",""21"",""1"",""3537"""</f>
        <v>"TRUST Nav","HSPMTB2016","21","1","3537"</v>
      </c>
      <c r="I622" s="52" t="str">
        <f t="shared" si="122"/>
        <v>KK-04619|42339|TRT-80-10</v>
      </c>
      <c r="J622" s="52" t="str">
        <f t="shared" si="127"/>
        <v>KK-04619</v>
      </c>
      <c r="K622" s="52" t="str">
        <f t="shared" si="128"/>
        <v>Sandy Wijaya</v>
      </c>
      <c r="L622" s="52" t="str">
        <f t="shared" si="121"/>
        <v>TRT-80-10</v>
      </c>
      <c r="M622" s="82">
        <v>42339</v>
      </c>
      <c r="N622" s="2">
        <v>25000.000000000004</v>
      </c>
    </row>
    <row r="623" spans="1:14" x14ac:dyDescent="0.35">
      <c r="A623" s="52" t="s">
        <v>6063</v>
      </c>
      <c r="C623" s="30" t="s">
        <v>20980</v>
      </c>
      <c r="D623" s="30" t="str">
        <f>"""TRUST Nav"",""HSPMTB2016"",""21"",""1"",""37331"""</f>
        <v>"TRUST Nav","HSPMTB2016","21","1","37331"</v>
      </c>
      <c r="I623" s="52" t="str">
        <f t="shared" si="122"/>
        <v>KK-04619|42368|TRT-80-10</v>
      </c>
      <c r="J623" s="52" t="str">
        <f t="shared" si="127"/>
        <v>KK-04619</v>
      </c>
      <c r="K623" s="52" t="str">
        <f t="shared" si="128"/>
        <v>Sandy Wijaya</v>
      </c>
      <c r="L623" s="52" t="str">
        <f t="shared" si="121"/>
        <v>TRT-80-10</v>
      </c>
      <c r="M623" s="82">
        <v>42368</v>
      </c>
      <c r="N623" s="2">
        <v>25000.000000000004</v>
      </c>
    </row>
    <row r="624" spans="1:14" x14ac:dyDescent="0.35">
      <c r="A624" s="52" t="s">
        <v>6063</v>
      </c>
      <c r="C624" s="30" t="s">
        <v>20980</v>
      </c>
      <c r="D624" s="30" t="str">
        <f>"""TRUST Nav"",""HSPMTB2016"",""21"",""1"",""37332"""</f>
        <v>"TRUST Nav","HSPMTB2016","21","1","37332"</v>
      </c>
      <c r="I624" s="52" t="str">
        <f t="shared" si="122"/>
        <v>KK-04619|42368|TRT-80-10</v>
      </c>
      <c r="J624" s="52" t="str">
        <f t="shared" si="127"/>
        <v>KK-04619</v>
      </c>
      <c r="K624" s="52" t="str">
        <f t="shared" si="128"/>
        <v>Sandy Wijaya</v>
      </c>
      <c r="L624" s="52" t="str">
        <f t="shared" si="121"/>
        <v>TRT-80-10</v>
      </c>
      <c r="M624" s="82">
        <v>42368</v>
      </c>
      <c r="N624" s="2">
        <v>25000.000000000004</v>
      </c>
    </row>
    <row r="625" spans="1:14" x14ac:dyDescent="0.35">
      <c r="A625" s="52" t="s">
        <v>6063</v>
      </c>
      <c r="C625" s="30" t="s">
        <v>20980</v>
      </c>
      <c r="D625" s="30" t="str">
        <f>"""TRUST Nav"",""HSPMTB2016"",""21"",""1"",""37333"""</f>
        <v>"TRUST Nav","HSPMTB2016","21","1","37333"</v>
      </c>
      <c r="I625" s="52" t="str">
        <f t="shared" si="122"/>
        <v>KK-04619|42368|TRT-80-10</v>
      </c>
      <c r="J625" s="52" t="str">
        <f t="shared" si="127"/>
        <v>KK-04619</v>
      </c>
      <c r="K625" s="52" t="str">
        <f t="shared" si="128"/>
        <v>Sandy Wijaya</v>
      </c>
      <c r="L625" s="52" t="str">
        <f t="shared" si="121"/>
        <v>TRT-80-10</v>
      </c>
      <c r="M625" s="82">
        <v>42368</v>
      </c>
      <c r="N625" s="2">
        <v>25000.000000000004</v>
      </c>
    </row>
    <row r="626" spans="1:14" x14ac:dyDescent="0.35">
      <c r="A626" s="52" t="s">
        <v>6063</v>
      </c>
      <c r="C626" s="30" t="s">
        <v>20980</v>
      </c>
      <c r="D626" s="30" t="str">
        <f>"""TRUST Nav"",""HSPMTB2016"",""21"",""1"",""37334"""</f>
        <v>"TRUST Nav","HSPMTB2016","21","1","37334"</v>
      </c>
      <c r="I626" s="52" t="str">
        <f t="shared" si="122"/>
        <v>KK-04619|42368|TRT-80-10</v>
      </c>
      <c r="J626" s="52" t="str">
        <f t="shared" si="127"/>
        <v>KK-04619</v>
      </c>
      <c r="K626" s="52" t="str">
        <f t="shared" si="128"/>
        <v>Sandy Wijaya</v>
      </c>
      <c r="L626" s="52" t="str">
        <f t="shared" si="121"/>
        <v>TRT-80-10</v>
      </c>
      <c r="M626" s="82">
        <v>42368</v>
      </c>
      <c r="N626" s="2">
        <v>25000.000000000004</v>
      </c>
    </row>
    <row r="627" spans="1:14" x14ac:dyDescent="0.35">
      <c r="A627" s="52" t="s">
        <v>6063</v>
      </c>
      <c r="C627" s="30" t="s">
        <v>20980</v>
      </c>
      <c r="D627" s="30" t="str">
        <f>"""TRUST Nav"",""HSPMTB2016"",""21"",""1"",""37335"""</f>
        <v>"TRUST Nav","HSPMTB2016","21","1","37335"</v>
      </c>
      <c r="I627" s="52" t="str">
        <f t="shared" si="122"/>
        <v>KK-04619|42368|TRT-80-10</v>
      </c>
      <c r="J627" s="52" t="str">
        <f t="shared" si="127"/>
        <v>KK-04619</v>
      </c>
      <c r="K627" s="52" t="str">
        <f t="shared" si="128"/>
        <v>Sandy Wijaya</v>
      </c>
      <c r="L627" s="52" t="str">
        <f t="shared" si="121"/>
        <v>TRT-80-10</v>
      </c>
      <c r="M627" s="82">
        <v>42368</v>
      </c>
      <c r="N627" s="2">
        <v>25000.000000000004</v>
      </c>
    </row>
    <row r="628" spans="1:14" x14ac:dyDescent="0.35">
      <c r="A628" s="52" t="s">
        <v>6063</v>
      </c>
      <c r="C628" s="30" t="s">
        <v>20980</v>
      </c>
      <c r="D628" s="30" t="str">
        <f>"""TRUST Nav"",""HSPMTB2016"",""21"",""1"",""37336"""</f>
        <v>"TRUST Nav","HSPMTB2016","21","1","37336"</v>
      </c>
      <c r="I628" s="52" t="str">
        <f t="shared" si="122"/>
        <v>KK-04619|42368|TRT-80-10</v>
      </c>
      <c r="J628" s="52" t="str">
        <f t="shared" si="127"/>
        <v>KK-04619</v>
      </c>
      <c r="K628" s="52" t="str">
        <f t="shared" si="128"/>
        <v>Sandy Wijaya</v>
      </c>
      <c r="L628" s="52" t="str">
        <f t="shared" si="121"/>
        <v>TRT-80-10</v>
      </c>
      <c r="M628" s="82">
        <v>42368</v>
      </c>
      <c r="N628" s="2">
        <v>25000.000000000004</v>
      </c>
    </row>
    <row r="629" spans="1:14" x14ac:dyDescent="0.35">
      <c r="A629" s="52" t="s">
        <v>6063</v>
      </c>
      <c r="C629" s="30" t="s">
        <v>20980</v>
      </c>
      <c r="D629" s="30" t="str">
        <f>"""TRUST Nav"",""HSPMTB2016"",""21"",""1"",""3538"""</f>
        <v>"TRUST Nav","HSPMTB2016","21","1","3538"</v>
      </c>
      <c r="I629" s="52" t="str">
        <f t="shared" si="122"/>
        <v>KK-04620|42186|TRT-80-10</v>
      </c>
      <c r="J629" s="52" t="str">
        <f t="shared" ref="J629:J646" si="129">"KK-04620"</f>
        <v>KK-04620</v>
      </c>
      <c r="K629" s="52" t="str">
        <f t="shared" ref="K629:K646" si="130">"Stefanus Tudy Luchman"</f>
        <v>Stefanus Tudy Luchman</v>
      </c>
      <c r="L629" s="52" t="str">
        <f t="shared" si="121"/>
        <v>TRT-80-10</v>
      </c>
      <c r="M629" s="82">
        <v>42186</v>
      </c>
      <c r="N629" s="2">
        <v>150000</v>
      </c>
    </row>
    <row r="630" spans="1:14" x14ac:dyDescent="0.35">
      <c r="A630" s="52" t="s">
        <v>6063</v>
      </c>
      <c r="C630" s="30" t="s">
        <v>20980</v>
      </c>
      <c r="D630" s="30" t="str">
        <f>"""TRUST Nav"",""HSPMTB2016"",""21"",""1"",""3539"""</f>
        <v>"TRUST Nav","HSPMTB2016","21","1","3539"</v>
      </c>
      <c r="I630" s="52" t="str">
        <f t="shared" si="122"/>
        <v>KK-04620|42217|TRT-80-10</v>
      </c>
      <c r="J630" s="52" t="str">
        <f t="shared" si="129"/>
        <v>KK-04620</v>
      </c>
      <c r="K630" s="52" t="str">
        <f t="shared" si="130"/>
        <v>Stefanus Tudy Luchman</v>
      </c>
      <c r="L630" s="52" t="str">
        <f t="shared" si="121"/>
        <v>TRT-80-10</v>
      </c>
      <c r="M630" s="82">
        <v>42217</v>
      </c>
      <c r="N630" s="2">
        <v>150000</v>
      </c>
    </row>
    <row r="631" spans="1:14" x14ac:dyDescent="0.35">
      <c r="A631" s="52" t="s">
        <v>6063</v>
      </c>
      <c r="C631" s="30" t="s">
        <v>20980</v>
      </c>
      <c r="D631" s="30" t="str">
        <f>"""TRUST Nav"",""HSPMTB2016"",""21"",""1"",""3540"""</f>
        <v>"TRUST Nav","HSPMTB2016","21","1","3540"</v>
      </c>
      <c r="I631" s="52" t="str">
        <f t="shared" si="122"/>
        <v>KK-04620|42248|TRT-80-10</v>
      </c>
      <c r="J631" s="52" t="str">
        <f t="shared" si="129"/>
        <v>KK-04620</v>
      </c>
      <c r="K631" s="52" t="str">
        <f t="shared" si="130"/>
        <v>Stefanus Tudy Luchman</v>
      </c>
      <c r="L631" s="52" t="str">
        <f t="shared" si="121"/>
        <v>TRT-80-10</v>
      </c>
      <c r="M631" s="82">
        <v>42248</v>
      </c>
      <c r="N631" s="2">
        <v>150000</v>
      </c>
    </row>
    <row r="632" spans="1:14" x14ac:dyDescent="0.35">
      <c r="A632" s="52" t="s">
        <v>6063</v>
      </c>
      <c r="C632" s="30" t="s">
        <v>20980</v>
      </c>
      <c r="D632" s="30" t="str">
        <f>"""TRUST Nav"",""HSPMTB2016"",""21"",""1"",""3541"""</f>
        <v>"TRUST Nav","HSPMTB2016","21","1","3541"</v>
      </c>
      <c r="I632" s="52" t="str">
        <f t="shared" si="122"/>
        <v>KK-04620|42278|TRT-80-10</v>
      </c>
      <c r="J632" s="52" t="str">
        <f t="shared" si="129"/>
        <v>KK-04620</v>
      </c>
      <c r="K632" s="52" t="str">
        <f t="shared" si="130"/>
        <v>Stefanus Tudy Luchman</v>
      </c>
      <c r="L632" s="52" t="str">
        <f t="shared" si="121"/>
        <v>TRT-80-10</v>
      </c>
      <c r="M632" s="82">
        <v>42278</v>
      </c>
      <c r="N632" s="2">
        <v>150000</v>
      </c>
    </row>
    <row r="633" spans="1:14" x14ac:dyDescent="0.35">
      <c r="A633" s="52" t="s">
        <v>6063</v>
      </c>
      <c r="C633" s="30" t="s">
        <v>20980</v>
      </c>
      <c r="D633" s="30" t="str">
        <f>"""TRUST Nav"",""HSPMTB2016"",""21"",""1"",""3542"""</f>
        <v>"TRUST Nav","HSPMTB2016","21","1","3542"</v>
      </c>
      <c r="I633" s="52" t="str">
        <f t="shared" si="122"/>
        <v>KK-04620|42309|TRT-80-10</v>
      </c>
      <c r="J633" s="52" t="str">
        <f t="shared" si="129"/>
        <v>KK-04620</v>
      </c>
      <c r="K633" s="52" t="str">
        <f t="shared" si="130"/>
        <v>Stefanus Tudy Luchman</v>
      </c>
      <c r="L633" s="52" t="str">
        <f t="shared" si="121"/>
        <v>TRT-80-10</v>
      </c>
      <c r="M633" s="82">
        <v>42309</v>
      </c>
      <c r="N633" s="2">
        <v>150000</v>
      </c>
    </row>
    <row r="634" spans="1:14" x14ac:dyDescent="0.35">
      <c r="A634" s="52" t="s">
        <v>6063</v>
      </c>
      <c r="C634" s="30" t="s">
        <v>20980</v>
      </c>
      <c r="D634" s="30" t="str">
        <f>"""TRUST Nav"",""HSPMTB2016"",""21"",""1"",""3543"""</f>
        <v>"TRUST Nav","HSPMTB2016","21","1","3543"</v>
      </c>
      <c r="I634" s="52" t="str">
        <f t="shared" si="122"/>
        <v>KK-04620|42339|TRT-80-10</v>
      </c>
      <c r="J634" s="52" t="str">
        <f t="shared" si="129"/>
        <v>KK-04620</v>
      </c>
      <c r="K634" s="52" t="str">
        <f t="shared" si="130"/>
        <v>Stefanus Tudy Luchman</v>
      </c>
      <c r="L634" s="52" t="str">
        <f t="shared" si="121"/>
        <v>TRT-80-10</v>
      </c>
      <c r="M634" s="82">
        <v>42339</v>
      </c>
      <c r="N634" s="2">
        <v>150000</v>
      </c>
    </row>
    <row r="635" spans="1:14" x14ac:dyDescent="0.35">
      <c r="A635" s="52" t="s">
        <v>6063</v>
      </c>
      <c r="C635" s="30" t="s">
        <v>20980</v>
      </c>
      <c r="D635" s="30" t="str">
        <f>"""TRUST Nav"",""HSPMTB2016"",""21"",""1"",""37337"""</f>
        <v>"TRUST Nav","HSPMTB2016","21","1","37337"</v>
      </c>
      <c r="I635" s="52" t="str">
        <f t="shared" si="122"/>
        <v>KK-04620|42368|TRT-80-10</v>
      </c>
      <c r="J635" s="52" t="str">
        <f t="shared" si="129"/>
        <v>KK-04620</v>
      </c>
      <c r="K635" s="52" t="str">
        <f t="shared" si="130"/>
        <v>Stefanus Tudy Luchman</v>
      </c>
      <c r="L635" s="52" t="str">
        <f t="shared" si="121"/>
        <v>TRT-80-10</v>
      </c>
      <c r="M635" s="82">
        <v>42368</v>
      </c>
      <c r="N635" s="2">
        <v>150000</v>
      </c>
    </row>
    <row r="636" spans="1:14" x14ac:dyDescent="0.35">
      <c r="A636" s="52" t="s">
        <v>6063</v>
      </c>
      <c r="C636" s="30" t="s">
        <v>20980</v>
      </c>
      <c r="D636" s="30" t="str">
        <f>"""TRUST Nav"",""HSPMTB2016"",""21"",""1"",""37338"""</f>
        <v>"TRUST Nav","HSPMTB2016","21","1","37338"</v>
      </c>
      <c r="I636" s="52" t="str">
        <f t="shared" si="122"/>
        <v>KK-04620|42368|TRT-80-10</v>
      </c>
      <c r="J636" s="52" t="str">
        <f t="shared" si="129"/>
        <v>KK-04620</v>
      </c>
      <c r="K636" s="52" t="str">
        <f t="shared" si="130"/>
        <v>Stefanus Tudy Luchman</v>
      </c>
      <c r="L636" s="52" t="str">
        <f t="shared" si="121"/>
        <v>TRT-80-10</v>
      </c>
      <c r="M636" s="82">
        <v>42368</v>
      </c>
      <c r="N636" s="2">
        <v>150000</v>
      </c>
    </row>
    <row r="637" spans="1:14" x14ac:dyDescent="0.35">
      <c r="A637" s="52" t="s">
        <v>6063</v>
      </c>
      <c r="C637" s="30" t="s">
        <v>20980</v>
      </c>
      <c r="D637" s="30" t="str">
        <f>"""TRUST Nav"",""HSPMTB2016"",""21"",""1"",""37339"""</f>
        <v>"TRUST Nav","HSPMTB2016","21","1","37339"</v>
      </c>
      <c r="I637" s="52" t="str">
        <f t="shared" si="122"/>
        <v>KK-04620|42368|TRT-80-10</v>
      </c>
      <c r="J637" s="52" t="str">
        <f t="shared" si="129"/>
        <v>KK-04620</v>
      </c>
      <c r="K637" s="52" t="str">
        <f t="shared" si="130"/>
        <v>Stefanus Tudy Luchman</v>
      </c>
      <c r="L637" s="52" t="str">
        <f t="shared" si="121"/>
        <v>TRT-80-10</v>
      </c>
      <c r="M637" s="82">
        <v>42368</v>
      </c>
      <c r="N637" s="2">
        <v>150000</v>
      </c>
    </row>
    <row r="638" spans="1:14" x14ac:dyDescent="0.35">
      <c r="A638" s="52" t="s">
        <v>6063</v>
      </c>
      <c r="C638" s="30" t="s">
        <v>20980</v>
      </c>
      <c r="D638" s="30" t="str">
        <f>"""TRUST Nav"",""HSPMTB2016"",""21"",""1"",""37340"""</f>
        <v>"TRUST Nav","HSPMTB2016","21","1","37340"</v>
      </c>
      <c r="I638" s="52" t="str">
        <f t="shared" si="122"/>
        <v>KK-04620|42368|TRT-80-10</v>
      </c>
      <c r="J638" s="52" t="str">
        <f t="shared" si="129"/>
        <v>KK-04620</v>
      </c>
      <c r="K638" s="52" t="str">
        <f t="shared" si="130"/>
        <v>Stefanus Tudy Luchman</v>
      </c>
      <c r="L638" s="52" t="str">
        <f t="shared" si="121"/>
        <v>TRT-80-10</v>
      </c>
      <c r="M638" s="82">
        <v>42368</v>
      </c>
      <c r="N638" s="2">
        <v>150000</v>
      </c>
    </row>
    <row r="639" spans="1:14" x14ac:dyDescent="0.35">
      <c r="A639" s="52" t="s">
        <v>6063</v>
      </c>
      <c r="C639" s="30" t="s">
        <v>20980</v>
      </c>
      <c r="D639" s="30" t="str">
        <f>"""TRUST Nav"",""HSPMTB2016"",""21"",""1"",""37341"""</f>
        <v>"TRUST Nav","HSPMTB2016","21","1","37341"</v>
      </c>
      <c r="I639" s="52" t="str">
        <f t="shared" si="122"/>
        <v>KK-04620|42368|TRT-80-10</v>
      </c>
      <c r="J639" s="52" t="str">
        <f t="shared" si="129"/>
        <v>KK-04620</v>
      </c>
      <c r="K639" s="52" t="str">
        <f t="shared" si="130"/>
        <v>Stefanus Tudy Luchman</v>
      </c>
      <c r="L639" s="52" t="str">
        <f t="shared" si="121"/>
        <v>TRT-80-10</v>
      </c>
      <c r="M639" s="82">
        <v>42368</v>
      </c>
      <c r="N639" s="2">
        <v>150000</v>
      </c>
    </row>
    <row r="640" spans="1:14" x14ac:dyDescent="0.35">
      <c r="A640" s="52" t="s">
        <v>6063</v>
      </c>
      <c r="C640" s="30" t="s">
        <v>20980</v>
      </c>
      <c r="D640" s="30" t="str">
        <f>"""TRUST Nav"",""HSPMTB2016"",""21"",""1"",""37342"""</f>
        <v>"TRUST Nav","HSPMTB2016","21","1","37342"</v>
      </c>
      <c r="I640" s="52" t="str">
        <f t="shared" si="122"/>
        <v>KK-04620|42368|TRT-80-10</v>
      </c>
      <c r="J640" s="52" t="str">
        <f t="shared" si="129"/>
        <v>KK-04620</v>
      </c>
      <c r="K640" s="52" t="str">
        <f t="shared" si="130"/>
        <v>Stefanus Tudy Luchman</v>
      </c>
      <c r="L640" s="52" t="str">
        <f t="shared" si="121"/>
        <v>TRT-80-10</v>
      </c>
      <c r="M640" s="82">
        <v>42368</v>
      </c>
      <c r="N640" s="2">
        <v>150000</v>
      </c>
    </row>
    <row r="641" spans="1:14" x14ac:dyDescent="0.35">
      <c r="A641" s="52" t="s">
        <v>6063</v>
      </c>
      <c r="C641" s="30" t="s">
        <v>20980</v>
      </c>
      <c r="D641" s="30" t="str">
        <f>"""TRUST Nav"",""HSPMTB2016"",""21"",""1"",""73428"""</f>
        <v>"TRUST Nav","HSPMTB2016","21","1","73428"</v>
      </c>
      <c r="I641" s="52" t="str">
        <f t="shared" si="122"/>
        <v>KK-04620|42370|TRT-80-10</v>
      </c>
      <c r="J641" s="52" t="str">
        <f t="shared" si="129"/>
        <v>KK-04620</v>
      </c>
      <c r="K641" s="52" t="str">
        <f t="shared" si="130"/>
        <v>Stefanus Tudy Luchman</v>
      </c>
      <c r="L641" s="52" t="str">
        <f t="shared" si="121"/>
        <v>TRT-80-10</v>
      </c>
      <c r="M641" s="82">
        <v>42370</v>
      </c>
      <c r="N641" s="2">
        <v>150000</v>
      </c>
    </row>
    <row r="642" spans="1:14" x14ac:dyDescent="0.35">
      <c r="A642" s="52" t="s">
        <v>6063</v>
      </c>
      <c r="C642" s="30" t="s">
        <v>20980</v>
      </c>
      <c r="D642" s="30" t="str">
        <f>"""TRUST Nav"",""HSPMTB2016"",""21"",""1"",""73429"""</f>
        <v>"TRUST Nav","HSPMTB2016","21","1","73429"</v>
      </c>
      <c r="I642" s="52" t="str">
        <f t="shared" si="122"/>
        <v>KK-04620|42401|TRT-80-10</v>
      </c>
      <c r="J642" s="52" t="str">
        <f t="shared" si="129"/>
        <v>KK-04620</v>
      </c>
      <c r="K642" s="52" t="str">
        <f t="shared" si="130"/>
        <v>Stefanus Tudy Luchman</v>
      </c>
      <c r="L642" s="52" t="str">
        <f t="shared" si="121"/>
        <v>TRT-80-10</v>
      </c>
      <c r="M642" s="82">
        <v>42401</v>
      </c>
      <c r="N642" s="2">
        <v>150000</v>
      </c>
    </row>
    <row r="643" spans="1:14" x14ac:dyDescent="0.35">
      <c r="A643" s="52" t="s">
        <v>6063</v>
      </c>
      <c r="C643" s="30" t="s">
        <v>20980</v>
      </c>
      <c r="D643" s="30" t="str">
        <f>"""TRUST Nav"",""HSPMTB2016"",""21"",""1"",""73430"""</f>
        <v>"TRUST Nav","HSPMTB2016","21","1","73430"</v>
      </c>
      <c r="I643" s="52" t="str">
        <f t="shared" si="122"/>
        <v>KK-04620|42430|TRT-80-10</v>
      </c>
      <c r="J643" s="52" t="str">
        <f t="shared" si="129"/>
        <v>KK-04620</v>
      </c>
      <c r="K643" s="52" t="str">
        <f t="shared" si="130"/>
        <v>Stefanus Tudy Luchman</v>
      </c>
      <c r="L643" s="52" t="str">
        <f t="shared" si="121"/>
        <v>TRT-80-10</v>
      </c>
      <c r="M643" s="82">
        <v>42430</v>
      </c>
      <c r="N643" s="2">
        <v>150000</v>
      </c>
    </row>
    <row r="644" spans="1:14" x14ac:dyDescent="0.35">
      <c r="A644" s="52" t="s">
        <v>6063</v>
      </c>
      <c r="C644" s="30" t="s">
        <v>20980</v>
      </c>
      <c r="D644" s="30" t="str">
        <f>"""TRUST Nav"",""HSPMTB2016"",""21"",""1"",""73431"""</f>
        <v>"TRUST Nav","HSPMTB2016","21","1","73431"</v>
      </c>
      <c r="I644" s="52" t="str">
        <f t="shared" si="122"/>
        <v>KK-04620|42461|TRT-80-10</v>
      </c>
      <c r="J644" s="52" t="str">
        <f t="shared" si="129"/>
        <v>KK-04620</v>
      </c>
      <c r="K644" s="52" t="str">
        <f t="shared" si="130"/>
        <v>Stefanus Tudy Luchman</v>
      </c>
      <c r="L644" s="52" t="str">
        <f t="shared" si="121"/>
        <v>TRT-80-10</v>
      </c>
      <c r="M644" s="82">
        <v>42461</v>
      </c>
      <c r="N644" s="2">
        <v>150000</v>
      </c>
    </row>
    <row r="645" spans="1:14" x14ac:dyDescent="0.35">
      <c r="A645" s="52" t="s">
        <v>6063</v>
      </c>
      <c r="C645" s="30" t="s">
        <v>20980</v>
      </c>
      <c r="D645" s="30" t="str">
        <f>"""TRUST Nav"",""HSPMTB2016"",""21"",""1"",""73432"""</f>
        <v>"TRUST Nav","HSPMTB2016","21","1","73432"</v>
      </c>
      <c r="I645" s="52" t="str">
        <f t="shared" si="122"/>
        <v>KK-04620|42491|TRT-80-10</v>
      </c>
      <c r="J645" s="52" t="str">
        <f t="shared" si="129"/>
        <v>KK-04620</v>
      </c>
      <c r="K645" s="52" t="str">
        <f t="shared" si="130"/>
        <v>Stefanus Tudy Luchman</v>
      </c>
      <c r="L645" s="52" t="str">
        <f t="shared" si="121"/>
        <v>TRT-80-10</v>
      </c>
      <c r="M645" s="82">
        <v>42491</v>
      </c>
      <c r="N645" s="2">
        <v>150000</v>
      </c>
    </row>
    <row r="646" spans="1:14" x14ac:dyDescent="0.35">
      <c r="A646" s="52" t="s">
        <v>6063</v>
      </c>
      <c r="C646" s="30" t="s">
        <v>20980</v>
      </c>
      <c r="D646" s="30" t="str">
        <f>"""TRUST Nav"",""HSPMTB2016"",""21"",""1"",""73433"""</f>
        <v>"TRUST Nav","HSPMTB2016","21","1","73433"</v>
      </c>
      <c r="I646" s="52" t="str">
        <f t="shared" si="122"/>
        <v>KK-04620|42522|TRT-80-10</v>
      </c>
      <c r="J646" s="52" t="str">
        <f t="shared" si="129"/>
        <v>KK-04620</v>
      </c>
      <c r="K646" s="52" t="str">
        <f t="shared" si="130"/>
        <v>Stefanus Tudy Luchman</v>
      </c>
      <c r="L646" s="52" t="str">
        <f t="shared" si="121"/>
        <v>TRT-80-10</v>
      </c>
      <c r="M646" s="82">
        <v>42522</v>
      </c>
      <c r="N646" s="2">
        <v>150000</v>
      </c>
    </row>
    <row r="647" spans="1:14" x14ac:dyDescent="0.35">
      <c r="A647" s="52" t="s">
        <v>6063</v>
      </c>
      <c r="C647" s="30" t="s">
        <v>20980</v>
      </c>
      <c r="D647" s="30" t="str">
        <f>"""TRUST Nav"",""HSPMTB2016"",""21"",""1"",""3544"""</f>
        <v>"TRUST Nav","HSPMTB2016","21","1","3544"</v>
      </c>
      <c r="I647" s="52" t="str">
        <f t="shared" si="122"/>
        <v>KK-04621|42186|TRT-80-10</v>
      </c>
      <c r="J647" s="52" t="str">
        <f t="shared" ref="J647:J664" si="131">"KK-04621"</f>
        <v>KK-04621</v>
      </c>
      <c r="K647" s="52" t="str">
        <f t="shared" ref="K647:K664" si="132">"Tommy Prasetyo Utomo"</f>
        <v>Tommy Prasetyo Utomo</v>
      </c>
      <c r="L647" s="52" t="str">
        <f t="shared" si="121"/>
        <v>TRT-80-10</v>
      </c>
      <c r="M647" s="82">
        <v>42186</v>
      </c>
      <c r="N647" s="2">
        <v>25000.000000000004</v>
      </c>
    </row>
    <row r="648" spans="1:14" x14ac:dyDescent="0.35">
      <c r="A648" s="52" t="s">
        <v>6063</v>
      </c>
      <c r="C648" s="30" t="s">
        <v>20980</v>
      </c>
      <c r="D648" s="30" t="str">
        <f>"""TRUST Nav"",""HSPMTB2016"",""21"",""1"",""3545"""</f>
        <v>"TRUST Nav","HSPMTB2016","21","1","3545"</v>
      </c>
      <c r="I648" s="52" t="str">
        <f t="shared" si="122"/>
        <v>KK-04621|42217|TRT-80-10</v>
      </c>
      <c r="J648" s="52" t="str">
        <f t="shared" si="131"/>
        <v>KK-04621</v>
      </c>
      <c r="K648" s="52" t="str">
        <f t="shared" si="132"/>
        <v>Tommy Prasetyo Utomo</v>
      </c>
      <c r="L648" s="52" t="str">
        <f t="shared" si="121"/>
        <v>TRT-80-10</v>
      </c>
      <c r="M648" s="82">
        <v>42217</v>
      </c>
      <c r="N648" s="2">
        <v>25000.000000000004</v>
      </c>
    </row>
    <row r="649" spans="1:14" x14ac:dyDescent="0.35">
      <c r="A649" s="52" t="s">
        <v>6063</v>
      </c>
      <c r="C649" s="30" t="s">
        <v>20980</v>
      </c>
      <c r="D649" s="30" t="str">
        <f>"""TRUST Nav"",""HSPMTB2016"",""21"",""1"",""3546"""</f>
        <v>"TRUST Nav","HSPMTB2016","21","1","3546"</v>
      </c>
      <c r="I649" s="52" t="str">
        <f t="shared" si="122"/>
        <v>KK-04621|42248|TRT-80-10</v>
      </c>
      <c r="J649" s="52" t="str">
        <f t="shared" si="131"/>
        <v>KK-04621</v>
      </c>
      <c r="K649" s="52" t="str">
        <f t="shared" si="132"/>
        <v>Tommy Prasetyo Utomo</v>
      </c>
      <c r="L649" s="52" t="str">
        <f t="shared" si="121"/>
        <v>TRT-80-10</v>
      </c>
      <c r="M649" s="82">
        <v>42248</v>
      </c>
      <c r="N649" s="2">
        <v>25000.000000000004</v>
      </c>
    </row>
    <row r="650" spans="1:14" x14ac:dyDescent="0.35">
      <c r="A650" s="52" t="s">
        <v>6063</v>
      </c>
      <c r="C650" s="30" t="s">
        <v>20980</v>
      </c>
      <c r="D650" s="30" t="str">
        <f>"""TRUST Nav"",""HSPMTB2016"",""21"",""1"",""3547"""</f>
        <v>"TRUST Nav","HSPMTB2016","21","1","3547"</v>
      </c>
      <c r="I650" s="52" t="str">
        <f t="shared" si="122"/>
        <v>KK-04621|42278|TRT-80-10</v>
      </c>
      <c r="J650" s="52" t="str">
        <f t="shared" si="131"/>
        <v>KK-04621</v>
      </c>
      <c r="K650" s="52" t="str">
        <f t="shared" si="132"/>
        <v>Tommy Prasetyo Utomo</v>
      </c>
      <c r="L650" s="52" t="str">
        <f t="shared" ref="L650:L713" si="133">"TRT-80-10"</f>
        <v>TRT-80-10</v>
      </c>
      <c r="M650" s="82">
        <v>42278</v>
      </c>
      <c r="N650" s="2">
        <v>25000.000000000004</v>
      </c>
    </row>
    <row r="651" spans="1:14" x14ac:dyDescent="0.35">
      <c r="A651" s="52" t="s">
        <v>6063</v>
      </c>
      <c r="C651" s="30" t="s">
        <v>20980</v>
      </c>
      <c r="D651" s="30" t="str">
        <f>"""TRUST Nav"",""HSPMTB2016"",""21"",""1"",""3548"""</f>
        <v>"TRUST Nav","HSPMTB2016","21","1","3548"</v>
      </c>
      <c r="I651" s="52" t="str">
        <f t="shared" ref="I651:I714" si="134">CONCATENATE(J651,"|",M651,"|",L651)</f>
        <v>KK-04621|42309|TRT-80-10</v>
      </c>
      <c r="J651" s="52" t="str">
        <f t="shared" si="131"/>
        <v>KK-04621</v>
      </c>
      <c r="K651" s="52" t="str">
        <f t="shared" si="132"/>
        <v>Tommy Prasetyo Utomo</v>
      </c>
      <c r="L651" s="52" t="str">
        <f t="shared" si="133"/>
        <v>TRT-80-10</v>
      </c>
      <c r="M651" s="82">
        <v>42309</v>
      </c>
      <c r="N651" s="2">
        <v>25000.000000000004</v>
      </c>
    </row>
    <row r="652" spans="1:14" x14ac:dyDescent="0.35">
      <c r="A652" s="52" t="s">
        <v>6063</v>
      </c>
      <c r="C652" s="30" t="s">
        <v>20980</v>
      </c>
      <c r="D652" s="30" t="str">
        <f>"""TRUST Nav"",""HSPMTB2016"",""21"",""1"",""3549"""</f>
        <v>"TRUST Nav","HSPMTB2016","21","1","3549"</v>
      </c>
      <c r="I652" s="52" t="str">
        <f t="shared" si="134"/>
        <v>KK-04621|42339|TRT-80-10</v>
      </c>
      <c r="J652" s="52" t="str">
        <f t="shared" si="131"/>
        <v>KK-04621</v>
      </c>
      <c r="K652" s="52" t="str">
        <f t="shared" si="132"/>
        <v>Tommy Prasetyo Utomo</v>
      </c>
      <c r="L652" s="52" t="str">
        <f t="shared" si="133"/>
        <v>TRT-80-10</v>
      </c>
      <c r="M652" s="82">
        <v>42339</v>
      </c>
      <c r="N652" s="2">
        <v>25000.000000000004</v>
      </c>
    </row>
    <row r="653" spans="1:14" x14ac:dyDescent="0.35">
      <c r="A653" s="52" t="s">
        <v>6063</v>
      </c>
      <c r="C653" s="30" t="s">
        <v>20980</v>
      </c>
      <c r="D653" s="30" t="str">
        <f>"""TRUST Nav"",""HSPMTB2016"",""21"",""1"",""37343"""</f>
        <v>"TRUST Nav","HSPMTB2016","21","1","37343"</v>
      </c>
      <c r="I653" s="52" t="str">
        <f t="shared" si="134"/>
        <v>KK-04621|42368|TRT-80-10</v>
      </c>
      <c r="J653" s="52" t="str">
        <f t="shared" si="131"/>
        <v>KK-04621</v>
      </c>
      <c r="K653" s="52" t="str">
        <f t="shared" si="132"/>
        <v>Tommy Prasetyo Utomo</v>
      </c>
      <c r="L653" s="52" t="str">
        <f t="shared" si="133"/>
        <v>TRT-80-10</v>
      </c>
      <c r="M653" s="82">
        <v>42368</v>
      </c>
      <c r="N653" s="2">
        <v>25000.000000000004</v>
      </c>
    </row>
    <row r="654" spans="1:14" x14ac:dyDescent="0.35">
      <c r="A654" s="52" t="s">
        <v>6063</v>
      </c>
      <c r="C654" s="30" t="s">
        <v>20980</v>
      </c>
      <c r="D654" s="30" t="str">
        <f>"""TRUST Nav"",""HSPMTB2016"",""21"",""1"",""37344"""</f>
        <v>"TRUST Nav","HSPMTB2016","21","1","37344"</v>
      </c>
      <c r="I654" s="52" t="str">
        <f t="shared" si="134"/>
        <v>KK-04621|42368|TRT-80-10</v>
      </c>
      <c r="J654" s="52" t="str">
        <f t="shared" si="131"/>
        <v>KK-04621</v>
      </c>
      <c r="K654" s="52" t="str">
        <f t="shared" si="132"/>
        <v>Tommy Prasetyo Utomo</v>
      </c>
      <c r="L654" s="52" t="str">
        <f t="shared" si="133"/>
        <v>TRT-80-10</v>
      </c>
      <c r="M654" s="82">
        <v>42368</v>
      </c>
      <c r="N654" s="2">
        <v>25000.000000000004</v>
      </c>
    </row>
    <row r="655" spans="1:14" x14ac:dyDescent="0.35">
      <c r="A655" s="52" t="s">
        <v>6063</v>
      </c>
      <c r="C655" s="30" t="s">
        <v>20980</v>
      </c>
      <c r="D655" s="30" t="str">
        <f>"""TRUST Nav"",""HSPMTB2016"",""21"",""1"",""37345"""</f>
        <v>"TRUST Nav","HSPMTB2016","21","1","37345"</v>
      </c>
      <c r="I655" s="52" t="str">
        <f t="shared" si="134"/>
        <v>KK-04621|42368|TRT-80-10</v>
      </c>
      <c r="J655" s="52" t="str">
        <f t="shared" si="131"/>
        <v>KK-04621</v>
      </c>
      <c r="K655" s="52" t="str">
        <f t="shared" si="132"/>
        <v>Tommy Prasetyo Utomo</v>
      </c>
      <c r="L655" s="52" t="str">
        <f t="shared" si="133"/>
        <v>TRT-80-10</v>
      </c>
      <c r="M655" s="82">
        <v>42368</v>
      </c>
      <c r="N655" s="2">
        <v>25000.000000000004</v>
      </c>
    </row>
    <row r="656" spans="1:14" x14ac:dyDescent="0.35">
      <c r="A656" s="52" t="s">
        <v>6063</v>
      </c>
      <c r="C656" s="30" t="s">
        <v>20980</v>
      </c>
      <c r="D656" s="30" t="str">
        <f>"""TRUST Nav"",""HSPMTB2016"",""21"",""1"",""37346"""</f>
        <v>"TRUST Nav","HSPMTB2016","21","1","37346"</v>
      </c>
      <c r="I656" s="52" t="str">
        <f t="shared" si="134"/>
        <v>KK-04621|42368|TRT-80-10</v>
      </c>
      <c r="J656" s="52" t="str">
        <f t="shared" si="131"/>
        <v>KK-04621</v>
      </c>
      <c r="K656" s="52" t="str">
        <f t="shared" si="132"/>
        <v>Tommy Prasetyo Utomo</v>
      </c>
      <c r="L656" s="52" t="str">
        <f t="shared" si="133"/>
        <v>TRT-80-10</v>
      </c>
      <c r="M656" s="82">
        <v>42368</v>
      </c>
      <c r="N656" s="2">
        <v>25000.000000000004</v>
      </c>
    </row>
    <row r="657" spans="1:14" x14ac:dyDescent="0.35">
      <c r="A657" s="52" t="s">
        <v>6063</v>
      </c>
      <c r="C657" s="30" t="s">
        <v>20980</v>
      </c>
      <c r="D657" s="30" t="str">
        <f>"""TRUST Nav"",""HSPMTB2016"",""21"",""1"",""37347"""</f>
        <v>"TRUST Nav","HSPMTB2016","21","1","37347"</v>
      </c>
      <c r="I657" s="52" t="str">
        <f t="shared" si="134"/>
        <v>KK-04621|42368|TRT-80-10</v>
      </c>
      <c r="J657" s="52" t="str">
        <f t="shared" si="131"/>
        <v>KK-04621</v>
      </c>
      <c r="K657" s="52" t="str">
        <f t="shared" si="132"/>
        <v>Tommy Prasetyo Utomo</v>
      </c>
      <c r="L657" s="52" t="str">
        <f t="shared" si="133"/>
        <v>TRT-80-10</v>
      </c>
      <c r="M657" s="82">
        <v>42368</v>
      </c>
      <c r="N657" s="2">
        <v>25000.000000000004</v>
      </c>
    </row>
    <row r="658" spans="1:14" x14ac:dyDescent="0.35">
      <c r="A658" s="52" t="s">
        <v>6063</v>
      </c>
      <c r="C658" s="30" t="s">
        <v>20980</v>
      </c>
      <c r="D658" s="30" t="str">
        <f>"""TRUST Nav"",""HSPMTB2016"",""21"",""1"",""37348"""</f>
        <v>"TRUST Nav","HSPMTB2016","21","1","37348"</v>
      </c>
      <c r="I658" s="52" t="str">
        <f t="shared" si="134"/>
        <v>KK-04621|42368|TRT-80-10</v>
      </c>
      <c r="J658" s="52" t="str">
        <f t="shared" si="131"/>
        <v>KK-04621</v>
      </c>
      <c r="K658" s="52" t="str">
        <f t="shared" si="132"/>
        <v>Tommy Prasetyo Utomo</v>
      </c>
      <c r="L658" s="52" t="str">
        <f t="shared" si="133"/>
        <v>TRT-80-10</v>
      </c>
      <c r="M658" s="82">
        <v>42368</v>
      </c>
      <c r="N658" s="2">
        <v>25000.000000000004</v>
      </c>
    </row>
    <row r="659" spans="1:14" x14ac:dyDescent="0.35">
      <c r="A659" s="52" t="s">
        <v>6063</v>
      </c>
      <c r="C659" s="30" t="s">
        <v>20980</v>
      </c>
      <c r="D659" s="30" t="str">
        <f>"""TRUST Nav"",""HSPMTB2016"",""21"",""1"",""73434"""</f>
        <v>"TRUST Nav","HSPMTB2016","21","1","73434"</v>
      </c>
      <c r="I659" s="52" t="str">
        <f t="shared" si="134"/>
        <v>KK-04621|42370|TRT-80-10</v>
      </c>
      <c r="J659" s="52" t="str">
        <f t="shared" si="131"/>
        <v>KK-04621</v>
      </c>
      <c r="K659" s="52" t="str">
        <f t="shared" si="132"/>
        <v>Tommy Prasetyo Utomo</v>
      </c>
      <c r="L659" s="52" t="str">
        <f t="shared" si="133"/>
        <v>TRT-80-10</v>
      </c>
      <c r="M659" s="82">
        <v>42370</v>
      </c>
      <c r="N659" s="2">
        <v>25000.000000000004</v>
      </c>
    </row>
    <row r="660" spans="1:14" x14ac:dyDescent="0.35">
      <c r="A660" s="52" t="s">
        <v>6063</v>
      </c>
      <c r="C660" s="30" t="s">
        <v>20980</v>
      </c>
      <c r="D660" s="30" t="str">
        <f>"""TRUST Nav"",""HSPMTB2016"",""21"",""1"",""85226"""</f>
        <v>"TRUST Nav","HSPMTB2016","21","1","85226"</v>
      </c>
      <c r="I660" s="52" t="str">
        <f t="shared" si="134"/>
        <v>KK-04621|42401|TRT-80-10</v>
      </c>
      <c r="J660" s="52" t="str">
        <f t="shared" si="131"/>
        <v>KK-04621</v>
      </c>
      <c r="K660" s="52" t="str">
        <f t="shared" si="132"/>
        <v>Tommy Prasetyo Utomo</v>
      </c>
      <c r="L660" s="52" t="str">
        <f t="shared" si="133"/>
        <v>TRT-80-10</v>
      </c>
      <c r="M660" s="82">
        <v>42401</v>
      </c>
      <c r="N660" s="2">
        <v>25000.000000000004</v>
      </c>
    </row>
    <row r="661" spans="1:14" x14ac:dyDescent="0.35">
      <c r="A661" s="52" t="s">
        <v>6063</v>
      </c>
      <c r="C661" s="30" t="s">
        <v>20980</v>
      </c>
      <c r="D661" s="30" t="str">
        <f>"""TRUST Nav"",""HSPMTB2016"",""21"",""1"",""122037"""</f>
        <v>"TRUST Nav","HSPMTB2016","21","1","122037"</v>
      </c>
      <c r="I661" s="52" t="str">
        <f t="shared" si="134"/>
        <v>KK-04621|42430|TRT-80-10</v>
      </c>
      <c r="J661" s="52" t="str">
        <f t="shared" si="131"/>
        <v>KK-04621</v>
      </c>
      <c r="K661" s="52" t="str">
        <f t="shared" si="132"/>
        <v>Tommy Prasetyo Utomo</v>
      </c>
      <c r="L661" s="52" t="str">
        <f t="shared" si="133"/>
        <v>TRT-80-10</v>
      </c>
      <c r="M661" s="82">
        <v>42430</v>
      </c>
      <c r="N661" s="2">
        <v>25000.000000000004</v>
      </c>
    </row>
    <row r="662" spans="1:14" x14ac:dyDescent="0.35">
      <c r="A662" s="52" t="s">
        <v>6063</v>
      </c>
      <c r="C662" s="30" t="s">
        <v>20980</v>
      </c>
      <c r="D662" s="30" t="str">
        <f>"""TRUST Nav"",""HSPMTB2016"",""21"",""1"",""122038"""</f>
        <v>"TRUST Nav","HSPMTB2016","21","1","122038"</v>
      </c>
      <c r="I662" s="52" t="str">
        <f t="shared" si="134"/>
        <v>KK-04621|42461|TRT-80-10</v>
      </c>
      <c r="J662" s="52" t="str">
        <f t="shared" si="131"/>
        <v>KK-04621</v>
      </c>
      <c r="K662" s="52" t="str">
        <f t="shared" si="132"/>
        <v>Tommy Prasetyo Utomo</v>
      </c>
      <c r="L662" s="52" t="str">
        <f t="shared" si="133"/>
        <v>TRT-80-10</v>
      </c>
      <c r="M662" s="82">
        <v>42461</v>
      </c>
      <c r="N662" s="2">
        <v>25000.000000000004</v>
      </c>
    </row>
    <row r="663" spans="1:14" x14ac:dyDescent="0.35">
      <c r="A663" s="52" t="s">
        <v>6063</v>
      </c>
      <c r="C663" s="30" t="s">
        <v>20980</v>
      </c>
      <c r="D663" s="30" t="str">
        <f>"""TRUST Nav"",""HSPMTB2016"",""21"",""1"",""122039"""</f>
        <v>"TRUST Nav","HSPMTB2016","21","1","122039"</v>
      </c>
      <c r="I663" s="52" t="str">
        <f t="shared" si="134"/>
        <v>KK-04621|42491|TRT-80-10</v>
      </c>
      <c r="J663" s="52" t="str">
        <f t="shared" si="131"/>
        <v>KK-04621</v>
      </c>
      <c r="K663" s="52" t="str">
        <f t="shared" si="132"/>
        <v>Tommy Prasetyo Utomo</v>
      </c>
      <c r="L663" s="52" t="str">
        <f t="shared" si="133"/>
        <v>TRT-80-10</v>
      </c>
      <c r="M663" s="82">
        <v>42491</v>
      </c>
      <c r="N663" s="2">
        <v>25000.000000000004</v>
      </c>
    </row>
    <row r="664" spans="1:14" x14ac:dyDescent="0.35">
      <c r="A664" s="52" t="s">
        <v>6063</v>
      </c>
      <c r="C664" s="30" t="s">
        <v>20980</v>
      </c>
      <c r="D664" s="30" t="str">
        <f>"""TRUST Nav"",""HSPMTB2016"",""21"",""1"",""122040"""</f>
        <v>"TRUST Nav","HSPMTB2016","21","1","122040"</v>
      </c>
      <c r="I664" s="52" t="str">
        <f t="shared" si="134"/>
        <v>KK-04621|42522|TRT-80-10</v>
      </c>
      <c r="J664" s="52" t="str">
        <f t="shared" si="131"/>
        <v>KK-04621</v>
      </c>
      <c r="K664" s="52" t="str">
        <f t="shared" si="132"/>
        <v>Tommy Prasetyo Utomo</v>
      </c>
      <c r="L664" s="52" t="str">
        <f t="shared" si="133"/>
        <v>TRT-80-10</v>
      </c>
      <c r="M664" s="82">
        <v>42522</v>
      </c>
      <c r="N664" s="2">
        <v>25000.000000000004</v>
      </c>
    </row>
    <row r="665" spans="1:14" x14ac:dyDescent="0.35">
      <c r="A665" s="52" t="s">
        <v>6063</v>
      </c>
      <c r="C665" s="30" t="s">
        <v>20980</v>
      </c>
      <c r="D665" s="30" t="str">
        <f>"""TRUST Nav"",""HSPMTB2016"",""21"",""1"",""3550"""</f>
        <v>"TRUST Nav","HSPMTB2016","21","1","3550"</v>
      </c>
      <c r="I665" s="52" t="str">
        <f t="shared" si="134"/>
        <v>KK-04622|42186|TRT-80-10</v>
      </c>
      <c r="J665" s="52" t="str">
        <f t="shared" ref="J665:J683" si="135">"KK-04622"</f>
        <v>KK-04622</v>
      </c>
      <c r="K665" s="52" t="str">
        <f t="shared" ref="K665:K683" si="136">"Tri Saptono Vinsentius "</f>
        <v xml:space="preserve">Tri Saptono Vinsentius </v>
      </c>
      <c r="L665" s="52" t="str">
        <f t="shared" si="133"/>
        <v>TRT-80-10</v>
      </c>
      <c r="M665" s="82">
        <v>42186</v>
      </c>
      <c r="N665" s="2">
        <v>25000.000000000004</v>
      </c>
    </row>
    <row r="666" spans="1:14" x14ac:dyDescent="0.35">
      <c r="A666" s="52" t="s">
        <v>6063</v>
      </c>
      <c r="C666" s="30" t="s">
        <v>20980</v>
      </c>
      <c r="D666" s="30" t="str">
        <f>"""TRUST Nav"",""HSPMTB2016"",""21"",""1"",""3551"""</f>
        <v>"TRUST Nav","HSPMTB2016","21","1","3551"</v>
      </c>
      <c r="I666" s="52" t="str">
        <f t="shared" si="134"/>
        <v>KK-04622|42217|TRT-80-10</v>
      </c>
      <c r="J666" s="52" t="str">
        <f t="shared" si="135"/>
        <v>KK-04622</v>
      </c>
      <c r="K666" s="52" t="str">
        <f t="shared" si="136"/>
        <v xml:space="preserve">Tri Saptono Vinsentius </v>
      </c>
      <c r="L666" s="52" t="str">
        <f t="shared" si="133"/>
        <v>TRT-80-10</v>
      </c>
      <c r="M666" s="82">
        <v>42217</v>
      </c>
      <c r="N666" s="2">
        <v>25000.000000000004</v>
      </c>
    </row>
    <row r="667" spans="1:14" x14ac:dyDescent="0.35">
      <c r="A667" s="52" t="s">
        <v>6063</v>
      </c>
      <c r="C667" s="30" t="s">
        <v>20980</v>
      </c>
      <c r="D667" s="30" t="str">
        <f>"""TRUST Nav"",""HSPMTB2016"",""21"",""1"",""3552"""</f>
        <v>"TRUST Nav","HSPMTB2016","21","1","3552"</v>
      </c>
      <c r="I667" s="52" t="str">
        <f t="shared" si="134"/>
        <v>KK-04622|42248|TRT-80-10</v>
      </c>
      <c r="J667" s="52" t="str">
        <f t="shared" si="135"/>
        <v>KK-04622</v>
      </c>
      <c r="K667" s="52" t="str">
        <f t="shared" si="136"/>
        <v xml:space="preserve">Tri Saptono Vinsentius </v>
      </c>
      <c r="L667" s="52" t="str">
        <f t="shared" si="133"/>
        <v>TRT-80-10</v>
      </c>
      <c r="M667" s="82">
        <v>42248</v>
      </c>
      <c r="N667" s="2">
        <v>25000.000000000004</v>
      </c>
    </row>
    <row r="668" spans="1:14" x14ac:dyDescent="0.35">
      <c r="A668" s="52" t="s">
        <v>6063</v>
      </c>
      <c r="C668" s="30" t="s">
        <v>20980</v>
      </c>
      <c r="D668" s="30" t="str">
        <f>"""TRUST Nav"",""HSPMTB2016"",""21"",""1"",""3553"""</f>
        <v>"TRUST Nav","HSPMTB2016","21","1","3553"</v>
      </c>
      <c r="I668" s="52" t="str">
        <f t="shared" si="134"/>
        <v>KK-04622|42278|TRT-80-10</v>
      </c>
      <c r="J668" s="52" t="str">
        <f t="shared" si="135"/>
        <v>KK-04622</v>
      </c>
      <c r="K668" s="52" t="str">
        <f t="shared" si="136"/>
        <v xml:space="preserve">Tri Saptono Vinsentius </v>
      </c>
      <c r="L668" s="52" t="str">
        <f t="shared" si="133"/>
        <v>TRT-80-10</v>
      </c>
      <c r="M668" s="82">
        <v>42278</v>
      </c>
      <c r="N668" s="2">
        <v>25000.000000000004</v>
      </c>
    </row>
    <row r="669" spans="1:14" x14ac:dyDescent="0.35">
      <c r="A669" s="52" t="s">
        <v>6063</v>
      </c>
      <c r="C669" s="30" t="s">
        <v>20980</v>
      </c>
      <c r="D669" s="30" t="str">
        <f>"""TRUST Nav"",""HSPMTB2016"",""21"",""1"",""3554"""</f>
        <v>"TRUST Nav","HSPMTB2016","21","1","3554"</v>
      </c>
      <c r="I669" s="52" t="str">
        <f t="shared" si="134"/>
        <v>KK-04622|42309|TRT-80-10</v>
      </c>
      <c r="J669" s="52" t="str">
        <f t="shared" si="135"/>
        <v>KK-04622</v>
      </c>
      <c r="K669" s="52" t="str">
        <f t="shared" si="136"/>
        <v xml:space="preserve">Tri Saptono Vinsentius </v>
      </c>
      <c r="L669" s="52" t="str">
        <f t="shared" si="133"/>
        <v>TRT-80-10</v>
      </c>
      <c r="M669" s="82">
        <v>42309</v>
      </c>
      <c r="N669" s="2">
        <v>25000.000000000004</v>
      </c>
    </row>
    <row r="670" spans="1:14" x14ac:dyDescent="0.35">
      <c r="A670" s="52" t="s">
        <v>6063</v>
      </c>
      <c r="C670" s="30" t="s">
        <v>20980</v>
      </c>
      <c r="D670" s="30" t="str">
        <f>"""TRUST Nav"",""HSPMTB2016"",""21"",""1"",""3555"""</f>
        <v>"TRUST Nav","HSPMTB2016","21","1","3555"</v>
      </c>
      <c r="I670" s="52" t="str">
        <f t="shared" si="134"/>
        <v>KK-04622|42339|TRT-80-10</v>
      </c>
      <c r="J670" s="52" t="str">
        <f t="shared" si="135"/>
        <v>KK-04622</v>
      </c>
      <c r="K670" s="52" t="str">
        <f t="shared" si="136"/>
        <v xml:space="preserve">Tri Saptono Vinsentius </v>
      </c>
      <c r="L670" s="52" t="str">
        <f t="shared" si="133"/>
        <v>TRT-80-10</v>
      </c>
      <c r="M670" s="82">
        <v>42339</v>
      </c>
      <c r="N670" s="2">
        <v>25000.000000000004</v>
      </c>
    </row>
    <row r="671" spans="1:14" x14ac:dyDescent="0.35">
      <c r="A671" s="52" t="s">
        <v>6063</v>
      </c>
      <c r="C671" s="30" t="s">
        <v>20980</v>
      </c>
      <c r="D671" s="30" t="str">
        <f>"""TRUST Nav"",""HSPMTB2016"",""21"",""1"",""37349"""</f>
        <v>"TRUST Nav","HSPMTB2016","21","1","37349"</v>
      </c>
      <c r="I671" s="52" t="str">
        <f t="shared" si="134"/>
        <v>KK-04622|42368|TRT-80-10</v>
      </c>
      <c r="J671" s="52" t="str">
        <f t="shared" si="135"/>
        <v>KK-04622</v>
      </c>
      <c r="K671" s="52" t="str">
        <f t="shared" si="136"/>
        <v xml:space="preserve">Tri Saptono Vinsentius </v>
      </c>
      <c r="L671" s="52" t="str">
        <f t="shared" si="133"/>
        <v>TRT-80-10</v>
      </c>
      <c r="M671" s="82">
        <v>42368</v>
      </c>
      <c r="N671" s="2">
        <v>25000.000000000004</v>
      </c>
    </row>
    <row r="672" spans="1:14" x14ac:dyDescent="0.35">
      <c r="A672" s="52" t="s">
        <v>6063</v>
      </c>
      <c r="C672" s="30" t="s">
        <v>20980</v>
      </c>
      <c r="D672" s="30" t="str">
        <f>"""TRUST Nav"",""HSPMTB2016"",""21"",""1"",""37350"""</f>
        <v>"TRUST Nav","HSPMTB2016","21","1","37350"</v>
      </c>
      <c r="I672" s="52" t="str">
        <f t="shared" si="134"/>
        <v>KK-04622|42368|TRT-80-10</v>
      </c>
      <c r="J672" s="52" t="str">
        <f t="shared" si="135"/>
        <v>KK-04622</v>
      </c>
      <c r="K672" s="52" t="str">
        <f t="shared" si="136"/>
        <v xml:space="preserve">Tri Saptono Vinsentius </v>
      </c>
      <c r="L672" s="52" t="str">
        <f t="shared" si="133"/>
        <v>TRT-80-10</v>
      </c>
      <c r="M672" s="82">
        <v>42368</v>
      </c>
      <c r="N672" s="2">
        <v>25000.000000000004</v>
      </c>
    </row>
    <row r="673" spans="1:14" x14ac:dyDescent="0.35">
      <c r="A673" s="52" t="s">
        <v>6063</v>
      </c>
      <c r="C673" s="30" t="s">
        <v>20980</v>
      </c>
      <c r="D673" s="30" t="str">
        <f>"""TRUST Nav"",""HSPMTB2016"",""21"",""1"",""37351"""</f>
        <v>"TRUST Nav","HSPMTB2016","21","1","37351"</v>
      </c>
      <c r="I673" s="52" t="str">
        <f t="shared" si="134"/>
        <v>KK-04622|42368|TRT-80-10</v>
      </c>
      <c r="J673" s="52" t="str">
        <f t="shared" si="135"/>
        <v>KK-04622</v>
      </c>
      <c r="K673" s="52" t="str">
        <f t="shared" si="136"/>
        <v xml:space="preserve">Tri Saptono Vinsentius </v>
      </c>
      <c r="L673" s="52" t="str">
        <f t="shared" si="133"/>
        <v>TRT-80-10</v>
      </c>
      <c r="M673" s="82">
        <v>42368</v>
      </c>
      <c r="N673" s="2">
        <v>25000.000000000004</v>
      </c>
    </row>
    <row r="674" spans="1:14" x14ac:dyDescent="0.35">
      <c r="A674" s="52" t="s">
        <v>6063</v>
      </c>
      <c r="C674" s="30" t="s">
        <v>20980</v>
      </c>
      <c r="D674" s="30" t="str">
        <f>"""TRUST Nav"",""HSPMTB2016"",""21"",""1"",""37352"""</f>
        <v>"TRUST Nav","HSPMTB2016","21","1","37352"</v>
      </c>
      <c r="I674" s="52" t="str">
        <f t="shared" si="134"/>
        <v>KK-04622|42368|TRT-80-10</v>
      </c>
      <c r="J674" s="52" t="str">
        <f t="shared" si="135"/>
        <v>KK-04622</v>
      </c>
      <c r="K674" s="52" t="str">
        <f t="shared" si="136"/>
        <v xml:space="preserve">Tri Saptono Vinsentius </v>
      </c>
      <c r="L674" s="52" t="str">
        <f t="shared" si="133"/>
        <v>TRT-80-10</v>
      </c>
      <c r="M674" s="82">
        <v>42368</v>
      </c>
      <c r="N674" s="2">
        <v>25000.000000000004</v>
      </c>
    </row>
    <row r="675" spans="1:14" x14ac:dyDescent="0.35">
      <c r="A675" s="52" t="s">
        <v>6063</v>
      </c>
      <c r="C675" s="30" t="s">
        <v>20980</v>
      </c>
      <c r="D675" s="30" t="str">
        <f>"""TRUST Nav"",""HSPMTB2016"",""21"",""1"",""37353"""</f>
        <v>"TRUST Nav","HSPMTB2016","21","1","37353"</v>
      </c>
      <c r="I675" s="52" t="str">
        <f t="shared" si="134"/>
        <v>KK-04622|42368|TRT-80-10</v>
      </c>
      <c r="J675" s="52" t="str">
        <f t="shared" si="135"/>
        <v>KK-04622</v>
      </c>
      <c r="K675" s="52" t="str">
        <f t="shared" si="136"/>
        <v xml:space="preserve">Tri Saptono Vinsentius </v>
      </c>
      <c r="L675" s="52" t="str">
        <f t="shared" si="133"/>
        <v>TRT-80-10</v>
      </c>
      <c r="M675" s="82">
        <v>42368</v>
      </c>
      <c r="N675" s="2">
        <v>25000.000000000004</v>
      </c>
    </row>
    <row r="676" spans="1:14" x14ac:dyDescent="0.35">
      <c r="A676" s="52" t="s">
        <v>6063</v>
      </c>
      <c r="C676" s="30" t="s">
        <v>20980</v>
      </c>
      <c r="D676" s="30" t="str">
        <f>"""TRUST Nav"",""HSPMTB2016"",""21"",""1"",""37354"""</f>
        <v>"TRUST Nav","HSPMTB2016","21","1","37354"</v>
      </c>
      <c r="I676" s="52" t="str">
        <f t="shared" si="134"/>
        <v>KK-04622|42368|TRT-80-10</v>
      </c>
      <c r="J676" s="52" t="str">
        <f t="shared" si="135"/>
        <v>KK-04622</v>
      </c>
      <c r="K676" s="52" t="str">
        <f t="shared" si="136"/>
        <v xml:space="preserve">Tri Saptono Vinsentius </v>
      </c>
      <c r="L676" s="52" t="str">
        <f t="shared" si="133"/>
        <v>TRT-80-10</v>
      </c>
      <c r="M676" s="82">
        <v>42368</v>
      </c>
      <c r="N676" s="2">
        <v>25000.000000000004</v>
      </c>
    </row>
    <row r="677" spans="1:14" x14ac:dyDescent="0.35">
      <c r="A677" s="52" t="s">
        <v>6063</v>
      </c>
      <c r="C677" s="30" t="s">
        <v>20980</v>
      </c>
      <c r="D677" s="30" t="str">
        <f>"""TRUST Nav"",""HSPMTB2016"",""21"",""1"",""85227"""</f>
        <v>"TRUST Nav","HSPMTB2016","21","1","85227"</v>
      </c>
      <c r="I677" s="52" t="str">
        <f t="shared" si="134"/>
        <v>KK-04622|42370|TRT-80-10</v>
      </c>
      <c r="J677" s="52" t="str">
        <f t="shared" si="135"/>
        <v>KK-04622</v>
      </c>
      <c r="K677" s="52" t="str">
        <f t="shared" si="136"/>
        <v xml:space="preserve">Tri Saptono Vinsentius </v>
      </c>
      <c r="L677" s="52" t="str">
        <f t="shared" si="133"/>
        <v>TRT-80-10</v>
      </c>
      <c r="M677" s="82">
        <v>42370</v>
      </c>
      <c r="N677" s="2">
        <v>35000</v>
      </c>
    </row>
    <row r="678" spans="1:14" x14ac:dyDescent="0.35">
      <c r="A678" s="52" t="s">
        <v>6063</v>
      </c>
      <c r="C678" s="30" t="s">
        <v>20980</v>
      </c>
      <c r="D678" s="30" t="str">
        <f>"""TRUST Nav"",""HSPMTB2016"",""21"",""1"",""116873"""</f>
        <v>"TRUST Nav","HSPMTB2016","21","1","116873"</v>
      </c>
      <c r="I678" s="52" t="str">
        <f t="shared" si="134"/>
        <v>KK-04622|42401|TRT-80-10</v>
      </c>
      <c r="J678" s="52" t="str">
        <f t="shared" si="135"/>
        <v>KK-04622</v>
      </c>
      <c r="K678" s="52" t="str">
        <f t="shared" si="136"/>
        <v xml:space="preserve">Tri Saptono Vinsentius </v>
      </c>
      <c r="L678" s="52" t="str">
        <f t="shared" si="133"/>
        <v>TRT-80-10</v>
      </c>
      <c r="M678" s="82">
        <v>42401</v>
      </c>
      <c r="N678" s="2">
        <v>35000</v>
      </c>
    </row>
    <row r="679" spans="1:14" x14ac:dyDescent="0.35">
      <c r="A679" s="52" t="s">
        <v>6063</v>
      </c>
      <c r="C679" s="30" t="s">
        <v>20980</v>
      </c>
      <c r="D679" s="30" t="str">
        <f>"""TRUST Nav"",""HSPMTB2016"",""21"",""1"",""116874"""</f>
        <v>"TRUST Nav","HSPMTB2016","21","1","116874"</v>
      </c>
      <c r="I679" s="52" t="str">
        <f t="shared" si="134"/>
        <v>KK-04622|42430|TRT-80-10</v>
      </c>
      <c r="J679" s="52" t="str">
        <f t="shared" si="135"/>
        <v>KK-04622</v>
      </c>
      <c r="K679" s="52" t="str">
        <f t="shared" si="136"/>
        <v xml:space="preserve">Tri Saptono Vinsentius </v>
      </c>
      <c r="L679" s="52" t="str">
        <f t="shared" si="133"/>
        <v>TRT-80-10</v>
      </c>
      <c r="M679" s="82">
        <v>42430</v>
      </c>
      <c r="N679" s="2">
        <v>35000</v>
      </c>
    </row>
    <row r="680" spans="1:14" x14ac:dyDescent="0.35">
      <c r="A680" s="52" t="s">
        <v>6063</v>
      </c>
      <c r="C680" s="30" t="s">
        <v>20980</v>
      </c>
      <c r="D680" s="30" t="str">
        <f>"""TRUST Nav"",""HSPMTB2016"",""21"",""1"",""116875"""</f>
        <v>"TRUST Nav","HSPMTB2016","21","1","116875"</v>
      </c>
      <c r="I680" s="52" t="str">
        <f t="shared" si="134"/>
        <v>KK-04622|42461|TRT-80-10</v>
      </c>
      <c r="J680" s="52" t="str">
        <f t="shared" si="135"/>
        <v>KK-04622</v>
      </c>
      <c r="K680" s="52" t="str">
        <f t="shared" si="136"/>
        <v xml:space="preserve">Tri Saptono Vinsentius </v>
      </c>
      <c r="L680" s="52" t="str">
        <f t="shared" si="133"/>
        <v>TRT-80-10</v>
      </c>
      <c r="M680" s="82">
        <v>42461</v>
      </c>
      <c r="N680" s="2">
        <v>35000</v>
      </c>
    </row>
    <row r="681" spans="1:14" x14ac:dyDescent="0.35">
      <c r="A681" s="52" t="s">
        <v>6063</v>
      </c>
      <c r="C681" s="30" t="s">
        <v>20980</v>
      </c>
      <c r="D681" s="30" t="str">
        <f>"""TRUST Nav"",""HSPMTB2016"",""21"",""1"",""116876"""</f>
        <v>"TRUST Nav","HSPMTB2016","21","1","116876"</v>
      </c>
      <c r="I681" s="52" t="str">
        <f t="shared" si="134"/>
        <v>KK-04622|42491|TRT-80-10</v>
      </c>
      <c r="J681" s="52" t="str">
        <f t="shared" si="135"/>
        <v>KK-04622</v>
      </c>
      <c r="K681" s="52" t="str">
        <f t="shared" si="136"/>
        <v xml:space="preserve">Tri Saptono Vinsentius </v>
      </c>
      <c r="L681" s="52" t="str">
        <f t="shared" si="133"/>
        <v>TRT-80-10</v>
      </c>
      <c r="M681" s="82">
        <v>42491</v>
      </c>
      <c r="N681" s="2">
        <v>35000</v>
      </c>
    </row>
    <row r="682" spans="1:14" x14ac:dyDescent="0.35">
      <c r="A682" s="52" t="s">
        <v>6063</v>
      </c>
      <c r="C682" s="30" t="s">
        <v>20980</v>
      </c>
      <c r="D682" s="30" t="str">
        <f>"""TRUST Nav"",""HSPMTB2016"",""21"",""1"",""122041"""</f>
        <v>"TRUST Nav","HSPMTB2016","21","1","122041"</v>
      </c>
      <c r="I682" s="52" t="str">
        <f t="shared" si="134"/>
        <v>KK-04622|42522|TRT-80-10</v>
      </c>
      <c r="J682" s="52" t="str">
        <f t="shared" si="135"/>
        <v>KK-04622</v>
      </c>
      <c r="K682" s="52" t="str">
        <f t="shared" si="136"/>
        <v xml:space="preserve">Tri Saptono Vinsentius </v>
      </c>
      <c r="L682" s="52" t="str">
        <f t="shared" si="133"/>
        <v>TRT-80-10</v>
      </c>
      <c r="M682" s="82">
        <v>42522</v>
      </c>
      <c r="N682" s="2">
        <v>35000</v>
      </c>
    </row>
    <row r="683" spans="1:14" x14ac:dyDescent="0.35">
      <c r="A683" s="52" t="s">
        <v>6063</v>
      </c>
      <c r="C683" s="30" t="s">
        <v>20980</v>
      </c>
      <c r="D683" s="30" t="str">
        <f>"""TRUST Nav"",""HSPMTB2016"",""21"",""1"",""122042"""</f>
        <v>"TRUST Nav","HSPMTB2016","21","1","122042"</v>
      </c>
      <c r="I683" s="52" t="str">
        <f t="shared" si="134"/>
        <v>KK-04622|42552|TRT-80-10</v>
      </c>
      <c r="J683" s="52" t="str">
        <f t="shared" si="135"/>
        <v>KK-04622</v>
      </c>
      <c r="K683" s="52" t="str">
        <f t="shared" si="136"/>
        <v xml:space="preserve">Tri Saptono Vinsentius </v>
      </c>
      <c r="L683" s="52" t="str">
        <f t="shared" si="133"/>
        <v>TRT-80-10</v>
      </c>
      <c r="M683" s="82">
        <v>42552</v>
      </c>
      <c r="N683" s="2">
        <v>35000</v>
      </c>
    </row>
    <row r="684" spans="1:14" x14ac:dyDescent="0.35">
      <c r="A684" s="52" t="s">
        <v>6063</v>
      </c>
      <c r="C684" s="30" t="s">
        <v>20980</v>
      </c>
      <c r="D684" s="30" t="str">
        <f>"""TRUST Nav"",""HSPMTB2016"",""21"",""1"",""3556"""</f>
        <v>"TRUST Nav","HSPMTB2016","21","1","3556"</v>
      </c>
      <c r="I684" s="52" t="str">
        <f t="shared" si="134"/>
        <v>KK-04624|42186|TRT-80-10</v>
      </c>
      <c r="J684" s="52" t="str">
        <f t="shared" ref="J684:J704" si="137">"KK-04624"</f>
        <v>KK-04624</v>
      </c>
      <c r="K684" s="52" t="str">
        <f t="shared" ref="K684:K704" si="138">"Yohanes Hendy Setiawan"</f>
        <v>Yohanes Hendy Setiawan</v>
      </c>
      <c r="L684" s="52" t="str">
        <f t="shared" si="133"/>
        <v>TRT-80-10</v>
      </c>
      <c r="M684" s="82">
        <v>42186</v>
      </c>
      <c r="N684" s="2">
        <v>40000</v>
      </c>
    </row>
    <row r="685" spans="1:14" x14ac:dyDescent="0.35">
      <c r="A685" s="52" t="s">
        <v>6063</v>
      </c>
      <c r="C685" s="30" t="s">
        <v>20980</v>
      </c>
      <c r="D685" s="30" t="str">
        <f>"""TRUST Nav"",""HSPMTB2016"",""21"",""1"",""3557"""</f>
        <v>"TRUST Nav","HSPMTB2016","21","1","3557"</v>
      </c>
      <c r="I685" s="52" t="str">
        <f t="shared" si="134"/>
        <v>KK-04624|42217|TRT-80-10</v>
      </c>
      <c r="J685" s="52" t="str">
        <f t="shared" si="137"/>
        <v>KK-04624</v>
      </c>
      <c r="K685" s="52" t="str">
        <f t="shared" si="138"/>
        <v>Yohanes Hendy Setiawan</v>
      </c>
      <c r="L685" s="52" t="str">
        <f t="shared" si="133"/>
        <v>TRT-80-10</v>
      </c>
      <c r="M685" s="82">
        <v>42217</v>
      </c>
      <c r="N685" s="2">
        <v>40000</v>
      </c>
    </row>
    <row r="686" spans="1:14" x14ac:dyDescent="0.35">
      <c r="A686" s="52" t="s">
        <v>6063</v>
      </c>
      <c r="C686" s="30" t="s">
        <v>20980</v>
      </c>
      <c r="D686" s="30" t="str">
        <f>"""TRUST Nav"",""HSPMTB2016"",""21"",""1"",""3558"""</f>
        <v>"TRUST Nav","HSPMTB2016","21","1","3558"</v>
      </c>
      <c r="I686" s="52" t="str">
        <f t="shared" si="134"/>
        <v>KK-04624|42248|TRT-80-10</v>
      </c>
      <c r="J686" s="52" t="str">
        <f t="shared" si="137"/>
        <v>KK-04624</v>
      </c>
      <c r="K686" s="52" t="str">
        <f t="shared" si="138"/>
        <v>Yohanes Hendy Setiawan</v>
      </c>
      <c r="L686" s="52" t="str">
        <f t="shared" si="133"/>
        <v>TRT-80-10</v>
      </c>
      <c r="M686" s="82">
        <v>42248</v>
      </c>
      <c r="N686" s="2">
        <v>40000</v>
      </c>
    </row>
    <row r="687" spans="1:14" x14ac:dyDescent="0.35">
      <c r="A687" s="52" t="s">
        <v>6063</v>
      </c>
      <c r="C687" s="30" t="s">
        <v>20980</v>
      </c>
      <c r="D687" s="30" t="str">
        <f>"""TRUST Nav"",""HSPMTB2016"",""21"",""1"",""3559"""</f>
        <v>"TRUST Nav","HSPMTB2016","21","1","3559"</v>
      </c>
      <c r="I687" s="52" t="str">
        <f t="shared" si="134"/>
        <v>KK-04624|42278|TRT-80-10</v>
      </c>
      <c r="J687" s="52" t="str">
        <f t="shared" si="137"/>
        <v>KK-04624</v>
      </c>
      <c r="K687" s="52" t="str">
        <f t="shared" si="138"/>
        <v>Yohanes Hendy Setiawan</v>
      </c>
      <c r="L687" s="52" t="str">
        <f t="shared" si="133"/>
        <v>TRT-80-10</v>
      </c>
      <c r="M687" s="82">
        <v>42278</v>
      </c>
      <c r="N687" s="2">
        <v>40000</v>
      </c>
    </row>
    <row r="688" spans="1:14" x14ac:dyDescent="0.35">
      <c r="A688" s="52" t="s">
        <v>6063</v>
      </c>
      <c r="C688" s="30" t="s">
        <v>20980</v>
      </c>
      <c r="D688" s="30" t="str">
        <f>"""TRUST Nav"",""HSPMTB2016"",""21"",""1"",""3560"""</f>
        <v>"TRUST Nav","HSPMTB2016","21","1","3560"</v>
      </c>
      <c r="I688" s="52" t="str">
        <f t="shared" si="134"/>
        <v>KK-04624|42309|TRT-80-10</v>
      </c>
      <c r="J688" s="52" t="str">
        <f t="shared" si="137"/>
        <v>KK-04624</v>
      </c>
      <c r="K688" s="52" t="str">
        <f t="shared" si="138"/>
        <v>Yohanes Hendy Setiawan</v>
      </c>
      <c r="L688" s="52" t="str">
        <f t="shared" si="133"/>
        <v>TRT-80-10</v>
      </c>
      <c r="M688" s="82">
        <v>42309</v>
      </c>
      <c r="N688" s="2">
        <v>40000</v>
      </c>
    </row>
    <row r="689" spans="1:14" x14ac:dyDescent="0.35">
      <c r="A689" s="52" t="s">
        <v>6063</v>
      </c>
      <c r="C689" s="30" t="s">
        <v>20980</v>
      </c>
      <c r="D689" s="30" t="str">
        <f>"""TRUST Nav"",""HSPMTB2016"",""21"",""1"",""3561"""</f>
        <v>"TRUST Nav","HSPMTB2016","21","1","3561"</v>
      </c>
      <c r="I689" s="52" t="str">
        <f t="shared" si="134"/>
        <v>KK-04624|42339|TRT-80-10</v>
      </c>
      <c r="J689" s="52" t="str">
        <f t="shared" si="137"/>
        <v>KK-04624</v>
      </c>
      <c r="K689" s="52" t="str">
        <f t="shared" si="138"/>
        <v>Yohanes Hendy Setiawan</v>
      </c>
      <c r="L689" s="52" t="str">
        <f t="shared" si="133"/>
        <v>TRT-80-10</v>
      </c>
      <c r="M689" s="82">
        <v>42339</v>
      </c>
      <c r="N689" s="2">
        <v>40000</v>
      </c>
    </row>
    <row r="690" spans="1:14" x14ac:dyDescent="0.35">
      <c r="A690" s="52" t="s">
        <v>6063</v>
      </c>
      <c r="C690" s="30" t="s">
        <v>20980</v>
      </c>
      <c r="D690" s="30" t="str">
        <f>"""TRUST Nav"",""HSPMTB2016"",""21"",""1"",""37355"""</f>
        <v>"TRUST Nav","HSPMTB2016","21","1","37355"</v>
      </c>
      <c r="I690" s="52" t="str">
        <f t="shared" si="134"/>
        <v>KK-04624|42368|TRT-80-10</v>
      </c>
      <c r="J690" s="52" t="str">
        <f t="shared" si="137"/>
        <v>KK-04624</v>
      </c>
      <c r="K690" s="52" t="str">
        <f t="shared" si="138"/>
        <v>Yohanes Hendy Setiawan</v>
      </c>
      <c r="L690" s="52" t="str">
        <f t="shared" si="133"/>
        <v>TRT-80-10</v>
      </c>
      <c r="M690" s="82">
        <v>42368</v>
      </c>
      <c r="N690" s="2">
        <v>40000</v>
      </c>
    </row>
    <row r="691" spans="1:14" x14ac:dyDescent="0.35">
      <c r="A691" s="52" t="s">
        <v>6063</v>
      </c>
      <c r="C691" s="30" t="s">
        <v>20980</v>
      </c>
      <c r="D691" s="30" t="str">
        <f>"""TRUST Nav"",""HSPMTB2016"",""21"",""1"",""37356"""</f>
        <v>"TRUST Nav","HSPMTB2016","21","1","37356"</v>
      </c>
      <c r="I691" s="52" t="str">
        <f t="shared" si="134"/>
        <v>KK-04624|42368|TRT-80-10</v>
      </c>
      <c r="J691" s="52" t="str">
        <f t="shared" si="137"/>
        <v>KK-04624</v>
      </c>
      <c r="K691" s="52" t="str">
        <f t="shared" si="138"/>
        <v>Yohanes Hendy Setiawan</v>
      </c>
      <c r="L691" s="52" t="str">
        <f t="shared" si="133"/>
        <v>TRT-80-10</v>
      </c>
      <c r="M691" s="82">
        <v>42368</v>
      </c>
      <c r="N691" s="2">
        <v>40000</v>
      </c>
    </row>
    <row r="692" spans="1:14" x14ac:dyDescent="0.35">
      <c r="A692" s="52" t="s">
        <v>6063</v>
      </c>
      <c r="C692" s="30" t="s">
        <v>20980</v>
      </c>
      <c r="D692" s="30" t="str">
        <f>"""TRUST Nav"",""HSPMTB2016"",""21"",""1"",""37357"""</f>
        <v>"TRUST Nav","HSPMTB2016","21","1","37357"</v>
      </c>
      <c r="I692" s="52" t="str">
        <f t="shared" si="134"/>
        <v>KK-04624|42368|TRT-80-10</v>
      </c>
      <c r="J692" s="52" t="str">
        <f t="shared" si="137"/>
        <v>KK-04624</v>
      </c>
      <c r="K692" s="52" t="str">
        <f t="shared" si="138"/>
        <v>Yohanes Hendy Setiawan</v>
      </c>
      <c r="L692" s="52" t="str">
        <f t="shared" si="133"/>
        <v>TRT-80-10</v>
      </c>
      <c r="M692" s="82">
        <v>42368</v>
      </c>
      <c r="N692" s="2">
        <v>40000</v>
      </c>
    </row>
    <row r="693" spans="1:14" x14ac:dyDescent="0.35">
      <c r="A693" s="52" t="s">
        <v>6063</v>
      </c>
      <c r="C693" s="30" t="s">
        <v>20980</v>
      </c>
      <c r="D693" s="30" t="str">
        <f>"""TRUST Nav"",""HSPMTB2016"",""21"",""1"",""37358"""</f>
        <v>"TRUST Nav","HSPMTB2016","21","1","37358"</v>
      </c>
      <c r="I693" s="52" t="str">
        <f t="shared" si="134"/>
        <v>KK-04624|42368|TRT-80-10</v>
      </c>
      <c r="J693" s="52" t="str">
        <f t="shared" si="137"/>
        <v>KK-04624</v>
      </c>
      <c r="K693" s="52" t="str">
        <f t="shared" si="138"/>
        <v>Yohanes Hendy Setiawan</v>
      </c>
      <c r="L693" s="52" t="str">
        <f t="shared" si="133"/>
        <v>TRT-80-10</v>
      </c>
      <c r="M693" s="82">
        <v>42368</v>
      </c>
      <c r="N693" s="2">
        <v>40000</v>
      </c>
    </row>
    <row r="694" spans="1:14" x14ac:dyDescent="0.35">
      <c r="A694" s="52" t="s">
        <v>6063</v>
      </c>
      <c r="C694" s="30" t="s">
        <v>20980</v>
      </c>
      <c r="D694" s="30" t="str">
        <f>"""TRUST Nav"",""HSPMTB2016"",""21"",""1"",""37359"""</f>
        <v>"TRUST Nav","HSPMTB2016","21","1","37359"</v>
      </c>
      <c r="I694" s="52" t="str">
        <f t="shared" si="134"/>
        <v>KK-04624|42368|TRT-80-10</v>
      </c>
      <c r="J694" s="52" t="str">
        <f t="shared" si="137"/>
        <v>KK-04624</v>
      </c>
      <c r="K694" s="52" t="str">
        <f t="shared" si="138"/>
        <v>Yohanes Hendy Setiawan</v>
      </c>
      <c r="L694" s="52" t="str">
        <f t="shared" si="133"/>
        <v>TRT-80-10</v>
      </c>
      <c r="M694" s="82">
        <v>42368</v>
      </c>
      <c r="N694" s="2">
        <v>40000</v>
      </c>
    </row>
    <row r="695" spans="1:14" x14ac:dyDescent="0.35">
      <c r="A695" s="52" t="s">
        <v>6063</v>
      </c>
      <c r="C695" s="30" t="s">
        <v>20980</v>
      </c>
      <c r="D695" s="30" t="str">
        <f>"""TRUST Nav"",""HSPMTB2016"",""21"",""1"",""37360"""</f>
        <v>"TRUST Nav","HSPMTB2016","21","1","37360"</v>
      </c>
      <c r="I695" s="52" t="str">
        <f t="shared" si="134"/>
        <v>KK-04624|42368|TRT-80-10</v>
      </c>
      <c r="J695" s="52" t="str">
        <f t="shared" si="137"/>
        <v>KK-04624</v>
      </c>
      <c r="K695" s="52" t="str">
        <f t="shared" si="138"/>
        <v>Yohanes Hendy Setiawan</v>
      </c>
      <c r="L695" s="52" t="str">
        <f t="shared" si="133"/>
        <v>TRT-80-10</v>
      </c>
      <c r="M695" s="82">
        <v>42368</v>
      </c>
      <c r="N695" s="2">
        <v>40000</v>
      </c>
    </row>
    <row r="696" spans="1:14" x14ac:dyDescent="0.35">
      <c r="A696" s="52" t="s">
        <v>6063</v>
      </c>
      <c r="C696" s="30" t="s">
        <v>20980</v>
      </c>
      <c r="D696" s="30" t="str">
        <f>"""TRUST Nav"",""HSPMTB2016"",""21"",""1"",""85228"""</f>
        <v>"TRUST Nav","HSPMTB2016","21","1","85228"</v>
      </c>
      <c r="I696" s="52" t="str">
        <f t="shared" si="134"/>
        <v>KK-04624|42370|TRT-80-10</v>
      </c>
      <c r="J696" s="52" t="str">
        <f t="shared" si="137"/>
        <v>KK-04624</v>
      </c>
      <c r="K696" s="52" t="str">
        <f t="shared" si="138"/>
        <v>Yohanes Hendy Setiawan</v>
      </c>
      <c r="L696" s="52" t="str">
        <f t="shared" si="133"/>
        <v>TRT-80-10</v>
      </c>
      <c r="M696" s="82">
        <v>42370</v>
      </c>
      <c r="N696" s="2">
        <v>40000</v>
      </c>
    </row>
    <row r="697" spans="1:14" x14ac:dyDescent="0.35">
      <c r="A697" s="52" t="s">
        <v>6063</v>
      </c>
      <c r="C697" s="30" t="s">
        <v>20980</v>
      </c>
      <c r="D697" s="30" t="str">
        <f>"""TRUST Nav"",""HSPMTB2016"",""21"",""1"",""85229"""</f>
        <v>"TRUST Nav","HSPMTB2016","21","1","85229"</v>
      </c>
      <c r="I697" s="52" t="str">
        <f t="shared" si="134"/>
        <v>KK-04624|42401|TRT-80-10</v>
      </c>
      <c r="J697" s="52" t="str">
        <f t="shared" si="137"/>
        <v>KK-04624</v>
      </c>
      <c r="K697" s="52" t="str">
        <f t="shared" si="138"/>
        <v>Yohanes Hendy Setiawan</v>
      </c>
      <c r="L697" s="52" t="str">
        <f t="shared" si="133"/>
        <v>TRT-80-10</v>
      </c>
      <c r="M697" s="82">
        <v>42401</v>
      </c>
      <c r="N697" s="2">
        <v>40000</v>
      </c>
    </row>
    <row r="698" spans="1:14" x14ac:dyDescent="0.35">
      <c r="A698" s="52" t="s">
        <v>6063</v>
      </c>
      <c r="C698" s="30" t="s">
        <v>20980</v>
      </c>
      <c r="D698" s="30" t="str">
        <f>"""TRUST Nav"",""HSPMTB2016"",""21"",""1"",""85230"""</f>
        <v>"TRUST Nav","HSPMTB2016","21","1","85230"</v>
      </c>
      <c r="I698" s="52" t="str">
        <f t="shared" si="134"/>
        <v>KK-04624|42430|TRT-80-10</v>
      </c>
      <c r="J698" s="52" t="str">
        <f t="shared" si="137"/>
        <v>KK-04624</v>
      </c>
      <c r="K698" s="52" t="str">
        <f t="shared" si="138"/>
        <v>Yohanes Hendy Setiawan</v>
      </c>
      <c r="L698" s="52" t="str">
        <f t="shared" si="133"/>
        <v>TRT-80-10</v>
      </c>
      <c r="M698" s="82">
        <v>42430</v>
      </c>
      <c r="N698" s="2">
        <v>40000</v>
      </c>
    </row>
    <row r="699" spans="1:14" x14ac:dyDescent="0.35">
      <c r="A699" s="52" t="s">
        <v>6063</v>
      </c>
      <c r="C699" s="30" t="s">
        <v>20980</v>
      </c>
      <c r="D699" s="30" t="str">
        <f>"""TRUST Nav"",""HSPMTB2016"",""21"",""1"",""85231"""</f>
        <v>"TRUST Nav","HSPMTB2016","21","1","85231"</v>
      </c>
      <c r="I699" s="52" t="str">
        <f t="shared" si="134"/>
        <v>KK-04624|42461|TRT-80-10</v>
      </c>
      <c r="J699" s="52" t="str">
        <f t="shared" si="137"/>
        <v>KK-04624</v>
      </c>
      <c r="K699" s="52" t="str">
        <f t="shared" si="138"/>
        <v>Yohanes Hendy Setiawan</v>
      </c>
      <c r="L699" s="52" t="str">
        <f t="shared" si="133"/>
        <v>TRT-80-10</v>
      </c>
      <c r="M699" s="82">
        <v>42461</v>
      </c>
      <c r="N699" s="2">
        <v>40000</v>
      </c>
    </row>
    <row r="700" spans="1:14" x14ac:dyDescent="0.35">
      <c r="A700" s="52" t="s">
        <v>6063</v>
      </c>
      <c r="C700" s="30" t="s">
        <v>20980</v>
      </c>
      <c r="D700" s="30" t="str">
        <f>"""TRUST Nav"",""HSPMTB2016"",""21"",""1"",""85232"""</f>
        <v>"TRUST Nav","HSPMTB2016","21","1","85232"</v>
      </c>
      <c r="I700" s="52" t="str">
        <f t="shared" si="134"/>
        <v>KK-04624|42491|TRT-80-10</v>
      </c>
      <c r="J700" s="52" t="str">
        <f t="shared" si="137"/>
        <v>KK-04624</v>
      </c>
      <c r="K700" s="52" t="str">
        <f t="shared" si="138"/>
        <v>Yohanes Hendy Setiawan</v>
      </c>
      <c r="L700" s="52" t="str">
        <f t="shared" si="133"/>
        <v>TRT-80-10</v>
      </c>
      <c r="M700" s="82">
        <v>42491</v>
      </c>
      <c r="N700" s="2">
        <v>40000</v>
      </c>
    </row>
    <row r="701" spans="1:14" x14ac:dyDescent="0.35">
      <c r="A701" s="52" t="s">
        <v>6063</v>
      </c>
      <c r="C701" s="30" t="s">
        <v>20980</v>
      </c>
      <c r="D701" s="30" t="str">
        <f>"""TRUST Nav"",""HSPMTB2016"",""21"",""1"",""85233"""</f>
        <v>"TRUST Nav","HSPMTB2016","21","1","85233"</v>
      </c>
      <c r="I701" s="52" t="str">
        <f t="shared" si="134"/>
        <v>KK-04624|42522|TRT-80-10</v>
      </c>
      <c r="J701" s="52" t="str">
        <f t="shared" si="137"/>
        <v>KK-04624</v>
      </c>
      <c r="K701" s="52" t="str">
        <f t="shared" si="138"/>
        <v>Yohanes Hendy Setiawan</v>
      </c>
      <c r="L701" s="52" t="str">
        <f t="shared" si="133"/>
        <v>TRT-80-10</v>
      </c>
      <c r="M701" s="82">
        <v>42522</v>
      </c>
      <c r="N701" s="2">
        <v>40000</v>
      </c>
    </row>
    <row r="702" spans="1:14" x14ac:dyDescent="0.35">
      <c r="A702" s="52" t="s">
        <v>6063</v>
      </c>
      <c r="C702" s="30" t="s">
        <v>20980</v>
      </c>
      <c r="D702" s="30" t="str">
        <f>"""TRUST Nav"",""HSPMTB2016"",""21"",""1"",""122049"""</f>
        <v>"TRUST Nav","HSPMTB2016","21","1","122049"</v>
      </c>
      <c r="I702" s="52" t="str">
        <f t="shared" si="134"/>
        <v>KK-04624|42552|TRT-80-10</v>
      </c>
      <c r="J702" s="52" t="str">
        <f t="shared" si="137"/>
        <v>KK-04624</v>
      </c>
      <c r="K702" s="52" t="str">
        <f t="shared" si="138"/>
        <v>Yohanes Hendy Setiawan</v>
      </c>
      <c r="L702" s="52" t="str">
        <f t="shared" si="133"/>
        <v>TRT-80-10</v>
      </c>
      <c r="M702" s="82">
        <v>42552</v>
      </c>
      <c r="N702" s="2">
        <v>40000</v>
      </c>
    </row>
    <row r="703" spans="1:14" x14ac:dyDescent="0.35">
      <c r="A703" s="52" t="s">
        <v>6063</v>
      </c>
      <c r="C703" s="30" t="s">
        <v>20980</v>
      </c>
      <c r="D703" s="30" t="str">
        <f>"""TRUST Nav"",""HSPMTB2016"",""21"",""1"",""122050"""</f>
        <v>"TRUST Nav","HSPMTB2016","21","1","122050"</v>
      </c>
      <c r="I703" s="52" t="str">
        <f t="shared" si="134"/>
        <v>KK-04624|42583|TRT-80-10</v>
      </c>
      <c r="J703" s="52" t="str">
        <f t="shared" si="137"/>
        <v>KK-04624</v>
      </c>
      <c r="K703" s="52" t="str">
        <f t="shared" si="138"/>
        <v>Yohanes Hendy Setiawan</v>
      </c>
      <c r="L703" s="52" t="str">
        <f t="shared" si="133"/>
        <v>TRT-80-10</v>
      </c>
      <c r="M703" s="82">
        <v>42583</v>
      </c>
      <c r="N703" s="2">
        <v>40000</v>
      </c>
    </row>
    <row r="704" spans="1:14" x14ac:dyDescent="0.35">
      <c r="A704" s="52" t="s">
        <v>6063</v>
      </c>
      <c r="C704" s="30" t="s">
        <v>20980</v>
      </c>
      <c r="D704" s="30" t="str">
        <f>"""TRUST Nav"",""HSPMTB2016"",""21"",""1"",""122051"""</f>
        <v>"TRUST Nav","HSPMTB2016","21","1","122051"</v>
      </c>
      <c r="I704" s="52" t="str">
        <f t="shared" si="134"/>
        <v>KK-04624|42614|TRT-80-10</v>
      </c>
      <c r="J704" s="52" t="str">
        <f t="shared" si="137"/>
        <v>KK-04624</v>
      </c>
      <c r="K704" s="52" t="str">
        <f t="shared" si="138"/>
        <v>Yohanes Hendy Setiawan</v>
      </c>
      <c r="L704" s="52" t="str">
        <f t="shared" si="133"/>
        <v>TRT-80-10</v>
      </c>
      <c r="M704" s="82">
        <v>42614</v>
      </c>
      <c r="N704" s="2">
        <v>40000</v>
      </c>
    </row>
    <row r="705" spans="1:14" x14ac:dyDescent="0.35">
      <c r="A705" s="52" t="s">
        <v>6063</v>
      </c>
      <c r="C705" s="30" t="s">
        <v>20980</v>
      </c>
      <c r="D705" s="30" t="str">
        <f>"""TRUST Nav"",""HSPMTB2016"",""21"",""1"",""3562"""</f>
        <v>"TRUST Nav","HSPMTB2016","21","1","3562"</v>
      </c>
      <c r="I705" s="52" t="str">
        <f t="shared" si="134"/>
        <v>KK-04625|42186|TRT-80-10</v>
      </c>
      <c r="J705" s="52" t="str">
        <f t="shared" ref="J705:J720" si="139">"KK-04625"</f>
        <v>KK-04625</v>
      </c>
      <c r="K705" s="52" t="str">
        <f t="shared" ref="K705:K720" si="140">"Yunius Samara"</f>
        <v>Yunius Samara</v>
      </c>
      <c r="L705" s="52" t="str">
        <f t="shared" si="133"/>
        <v>TRT-80-10</v>
      </c>
      <c r="M705" s="82">
        <v>42186</v>
      </c>
      <c r="N705" s="2">
        <v>100000.00000000001</v>
      </c>
    </row>
    <row r="706" spans="1:14" x14ac:dyDescent="0.35">
      <c r="A706" s="52" t="s">
        <v>6063</v>
      </c>
      <c r="C706" s="30" t="s">
        <v>20980</v>
      </c>
      <c r="D706" s="30" t="str">
        <f>"""TRUST Nav"",""HSPMTB2016"",""21"",""1"",""3563"""</f>
        <v>"TRUST Nav","HSPMTB2016","21","1","3563"</v>
      </c>
      <c r="I706" s="52" t="str">
        <f t="shared" si="134"/>
        <v>KK-04625|42217|TRT-80-10</v>
      </c>
      <c r="J706" s="52" t="str">
        <f t="shared" si="139"/>
        <v>KK-04625</v>
      </c>
      <c r="K706" s="52" t="str">
        <f t="shared" si="140"/>
        <v>Yunius Samara</v>
      </c>
      <c r="L706" s="52" t="str">
        <f t="shared" si="133"/>
        <v>TRT-80-10</v>
      </c>
      <c r="M706" s="82">
        <v>42217</v>
      </c>
      <c r="N706" s="2">
        <v>100000.00000000001</v>
      </c>
    </row>
    <row r="707" spans="1:14" x14ac:dyDescent="0.35">
      <c r="A707" s="52" t="s">
        <v>6063</v>
      </c>
      <c r="C707" s="30" t="s">
        <v>20980</v>
      </c>
      <c r="D707" s="30" t="str">
        <f>"""TRUST Nav"",""HSPMTB2016"",""21"",""1"",""3564"""</f>
        <v>"TRUST Nav","HSPMTB2016","21","1","3564"</v>
      </c>
      <c r="I707" s="52" t="str">
        <f t="shared" si="134"/>
        <v>KK-04625|42248|TRT-80-10</v>
      </c>
      <c r="J707" s="52" t="str">
        <f t="shared" si="139"/>
        <v>KK-04625</v>
      </c>
      <c r="K707" s="52" t="str">
        <f t="shared" si="140"/>
        <v>Yunius Samara</v>
      </c>
      <c r="L707" s="52" t="str">
        <f t="shared" si="133"/>
        <v>TRT-80-10</v>
      </c>
      <c r="M707" s="82">
        <v>42248</v>
      </c>
      <c r="N707" s="2">
        <v>100000.00000000001</v>
      </c>
    </row>
    <row r="708" spans="1:14" x14ac:dyDescent="0.35">
      <c r="A708" s="52" t="s">
        <v>6063</v>
      </c>
      <c r="C708" s="30" t="s">
        <v>20980</v>
      </c>
      <c r="D708" s="30" t="str">
        <f>"""TRUST Nav"",""HSPMTB2016"",""21"",""1"",""3565"""</f>
        <v>"TRUST Nav","HSPMTB2016","21","1","3565"</v>
      </c>
      <c r="I708" s="52" t="str">
        <f t="shared" si="134"/>
        <v>KK-04625|42278|TRT-80-10</v>
      </c>
      <c r="J708" s="52" t="str">
        <f t="shared" si="139"/>
        <v>KK-04625</v>
      </c>
      <c r="K708" s="52" t="str">
        <f t="shared" si="140"/>
        <v>Yunius Samara</v>
      </c>
      <c r="L708" s="52" t="str">
        <f t="shared" si="133"/>
        <v>TRT-80-10</v>
      </c>
      <c r="M708" s="82">
        <v>42278</v>
      </c>
      <c r="N708" s="2">
        <v>100000.00000000001</v>
      </c>
    </row>
    <row r="709" spans="1:14" x14ac:dyDescent="0.35">
      <c r="A709" s="52" t="s">
        <v>6063</v>
      </c>
      <c r="C709" s="30" t="s">
        <v>20980</v>
      </c>
      <c r="D709" s="30" t="str">
        <f>"""TRUST Nav"",""HSPMTB2016"",""21"",""1"",""3566"""</f>
        <v>"TRUST Nav","HSPMTB2016","21","1","3566"</v>
      </c>
      <c r="I709" s="52" t="str">
        <f t="shared" si="134"/>
        <v>KK-04625|42309|TRT-80-10</v>
      </c>
      <c r="J709" s="52" t="str">
        <f t="shared" si="139"/>
        <v>KK-04625</v>
      </c>
      <c r="K709" s="52" t="str">
        <f t="shared" si="140"/>
        <v>Yunius Samara</v>
      </c>
      <c r="L709" s="52" t="str">
        <f t="shared" si="133"/>
        <v>TRT-80-10</v>
      </c>
      <c r="M709" s="82">
        <v>42309</v>
      </c>
      <c r="N709" s="2">
        <v>100000.00000000001</v>
      </c>
    </row>
    <row r="710" spans="1:14" x14ac:dyDescent="0.35">
      <c r="A710" s="52" t="s">
        <v>6063</v>
      </c>
      <c r="C710" s="30" t="s">
        <v>20980</v>
      </c>
      <c r="D710" s="30" t="str">
        <f>"""TRUST Nav"",""HSPMTB2016"",""21"",""1"",""3567"""</f>
        <v>"TRUST Nav","HSPMTB2016","21","1","3567"</v>
      </c>
      <c r="I710" s="52" t="str">
        <f t="shared" si="134"/>
        <v>KK-04625|42339|TRT-80-10</v>
      </c>
      <c r="J710" s="52" t="str">
        <f t="shared" si="139"/>
        <v>KK-04625</v>
      </c>
      <c r="K710" s="52" t="str">
        <f t="shared" si="140"/>
        <v>Yunius Samara</v>
      </c>
      <c r="L710" s="52" t="str">
        <f t="shared" si="133"/>
        <v>TRT-80-10</v>
      </c>
      <c r="M710" s="82">
        <v>42339</v>
      </c>
      <c r="N710" s="2">
        <v>100000.00000000001</v>
      </c>
    </row>
    <row r="711" spans="1:14" x14ac:dyDescent="0.35">
      <c r="A711" s="52" t="s">
        <v>6063</v>
      </c>
      <c r="C711" s="30" t="s">
        <v>20980</v>
      </c>
      <c r="D711" s="30" t="str">
        <f>"""TRUST Nav"",""HSPMTB2016"",""21"",""1"",""37361"""</f>
        <v>"TRUST Nav","HSPMTB2016","21","1","37361"</v>
      </c>
      <c r="I711" s="52" t="str">
        <f t="shared" si="134"/>
        <v>KK-04625|42368|TRT-80-10</v>
      </c>
      <c r="J711" s="52" t="str">
        <f t="shared" si="139"/>
        <v>KK-04625</v>
      </c>
      <c r="K711" s="52" t="str">
        <f t="shared" si="140"/>
        <v>Yunius Samara</v>
      </c>
      <c r="L711" s="52" t="str">
        <f t="shared" si="133"/>
        <v>TRT-80-10</v>
      </c>
      <c r="M711" s="82">
        <v>42368</v>
      </c>
      <c r="N711" s="2">
        <v>100000.00000000001</v>
      </c>
    </row>
    <row r="712" spans="1:14" x14ac:dyDescent="0.35">
      <c r="A712" s="52" t="s">
        <v>6063</v>
      </c>
      <c r="C712" s="30" t="s">
        <v>20980</v>
      </c>
      <c r="D712" s="30" t="str">
        <f>"""TRUST Nav"",""HSPMTB2016"",""21"",""1"",""37362"""</f>
        <v>"TRUST Nav","HSPMTB2016","21","1","37362"</v>
      </c>
      <c r="I712" s="52" t="str">
        <f t="shared" si="134"/>
        <v>KK-04625|42368|TRT-80-10</v>
      </c>
      <c r="J712" s="52" t="str">
        <f t="shared" si="139"/>
        <v>KK-04625</v>
      </c>
      <c r="K712" s="52" t="str">
        <f t="shared" si="140"/>
        <v>Yunius Samara</v>
      </c>
      <c r="L712" s="52" t="str">
        <f t="shared" si="133"/>
        <v>TRT-80-10</v>
      </c>
      <c r="M712" s="82">
        <v>42368</v>
      </c>
      <c r="N712" s="2">
        <v>100000.00000000001</v>
      </c>
    </row>
    <row r="713" spans="1:14" x14ac:dyDescent="0.35">
      <c r="A713" s="52" t="s">
        <v>6063</v>
      </c>
      <c r="C713" s="30" t="s">
        <v>20980</v>
      </c>
      <c r="D713" s="30" t="str">
        <f>"""TRUST Nav"",""HSPMTB2016"",""21"",""1"",""37363"""</f>
        <v>"TRUST Nav","HSPMTB2016","21","1","37363"</v>
      </c>
      <c r="I713" s="52" t="str">
        <f t="shared" si="134"/>
        <v>KK-04625|42368|TRT-80-10</v>
      </c>
      <c r="J713" s="52" t="str">
        <f t="shared" si="139"/>
        <v>KK-04625</v>
      </c>
      <c r="K713" s="52" t="str">
        <f t="shared" si="140"/>
        <v>Yunius Samara</v>
      </c>
      <c r="L713" s="52" t="str">
        <f t="shared" si="133"/>
        <v>TRT-80-10</v>
      </c>
      <c r="M713" s="82">
        <v>42368</v>
      </c>
      <c r="N713" s="2">
        <v>100000.00000000001</v>
      </c>
    </row>
    <row r="714" spans="1:14" x14ac:dyDescent="0.35">
      <c r="A714" s="52" t="s">
        <v>6063</v>
      </c>
      <c r="C714" s="30" t="s">
        <v>20980</v>
      </c>
      <c r="D714" s="30" t="str">
        <f>"""TRUST Nav"",""HSPMTB2016"",""21"",""1"",""37364"""</f>
        <v>"TRUST Nav","HSPMTB2016","21","1","37364"</v>
      </c>
      <c r="I714" s="52" t="str">
        <f t="shared" si="134"/>
        <v>KK-04625|42368|TRT-80-10</v>
      </c>
      <c r="J714" s="52" t="str">
        <f t="shared" si="139"/>
        <v>KK-04625</v>
      </c>
      <c r="K714" s="52" t="str">
        <f t="shared" si="140"/>
        <v>Yunius Samara</v>
      </c>
      <c r="L714" s="52" t="str">
        <f t="shared" ref="L714:L771" si="141">"TRT-80-10"</f>
        <v>TRT-80-10</v>
      </c>
      <c r="M714" s="82">
        <v>42368</v>
      </c>
      <c r="N714" s="2">
        <v>100000.00000000001</v>
      </c>
    </row>
    <row r="715" spans="1:14" x14ac:dyDescent="0.35">
      <c r="A715" s="52" t="s">
        <v>6063</v>
      </c>
      <c r="C715" s="30" t="s">
        <v>20980</v>
      </c>
      <c r="D715" s="30" t="str">
        <f>"""TRUST Nav"",""HSPMTB2016"",""21"",""1"",""37365"""</f>
        <v>"TRUST Nav","HSPMTB2016","21","1","37365"</v>
      </c>
      <c r="I715" s="52" t="str">
        <f t="shared" ref="I715:I771" si="142">CONCATENATE(J715,"|",M715,"|",L715)</f>
        <v>KK-04625|42368|TRT-80-10</v>
      </c>
      <c r="J715" s="52" t="str">
        <f t="shared" si="139"/>
        <v>KK-04625</v>
      </c>
      <c r="K715" s="52" t="str">
        <f t="shared" si="140"/>
        <v>Yunius Samara</v>
      </c>
      <c r="L715" s="52" t="str">
        <f t="shared" si="141"/>
        <v>TRT-80-10</v>
      </c>
      <c r="M715" s="82">
        <v>42368</v>
      </c>
      <c r="N715" s="2">
        <v>100000.00000000001</v>
      </c>
    </row>
    <row r="716" spans="1:14" x14ac:dyDescent="0.35">
      <c r="A716" s="52" t="s">
        <v>6063</v>
      </c>
      <c r="C716" s="30" t="s">
        <v>20980</v>
      </c>
      <c r="D716" s="30" t="str">
        <f>"""TRUST Nav"",""HSPMTB2016"",""21"",""1"",""37366"""</f>
        <v>"TRUST Nav","HSPMTB2016","21","1","37366"</v>
      </c>
      <c r="I716" s="52" t="str">
        <f t="shared" si="142"/>
        <v>KK-04625|42368|TRT-80-10</v>
      </c>
      <c r="J716" s="52" t="str">
        <f t="shared" si="139"/>
        <v>KK-04625</v>
      </c>
      <c r="K716" s="52" t="str">
        <f t="shared" si="140"/>
        <v>Yunius Samara</v>
      </c>
      <c r="L716" s="52" t="str">
        <f t="shared" si="141"/>
        <v>TRT-80-10</v>
      </c>
      <c r="M716" s="82">
        <v>42368</v>
      </c>
      <c r="N716" s="2">
        <v>100000.00000000001</v>
      </c>
    </row>
    <row r="717" spans="1:14" x14ac:dyDescent="0.35">
      <c r="A717" s="52" t="s">
        <v>6063</v>
      </c>
      <c r="C717" s="30" t="s">
        <v>20980</v>
      </c>
      <c r="D717" s="30" t="str">
        <f>"""TRUST Nav"",""HSPMTB2016"",""21"",""1"",""73435"""</f>
        <v>"TRUST Nav","HSPMTB2016","21","1","73435"</v>
      </c>
      <c r="I717" s="52" t="str">
        <f t="shared" si="142"/>
        <v>KK-04625|42370|TRT-80-10</v>
      </c>
      <c r="J717" s="52" t="str">
        <f t="shared" si="139"/>
        <v>KK-04625</v>
      </c>
      <c r="K717" s="52" t="str">
        <f t="shared" si="140"/>
        <v>Yunius Samara</v>
      </c>
      <c r="L717" s="52" t="str">
        <f t="shared" si="141"/>
        <v>TRT-80-10</v>
      </c>
      <c r="M717" s="82">
        <v>42370</v>
      </c>
      <c r="N717" s="2">
        <v>100000.00000000001</v>
      </c>
    </row>
    <row r="718" spans="1:14" x14ac:dyDescent="0.35">
      <c r="A718" s="52" t="s">
        <v>6063</v>
      </c>
      <c r="C718" s="30" t="s">
        <v>20980</v>
      </c>
      <c r="D718" s="30" t="str">
        <f>"""TRUST Nav"",""HSPMTB2016"",""21"",""1"",""102562"""</f>
        <v>"TRUST Nav","HSPMTB2016","21","1","102562"</v>
      </c>
      <c r="I718" s="52" t="str">
        <f t="shared" si="142"/>
        <v>KK-04625|42401|TRT-80-10</v>
      </c>
      <c r="J718" s="52" t="str">
        <f t="shared" si="139"/>
        <v>KK-04625</v>
      </c>
      <c r="K718" s="52" t="str">
        <f t="shared" si="140"/>
        <v>Yunius Samara</v>
      </c>
      <c r="L718" s="52" t="str">
        <f t="shared" si="141"/>
        <v>TRT-80-10</v>
      </c>
      <c r="M718" s="82">
        <v>42401</v>
      </c>
      <c r="N718" s="2">
        <v>100000.00000000001</v>
      </c>
    </row>
    <row r="719" spans="1:14" x14ac:dyDescent="0.35">
      <c r="A719" s="52" t="s">
        <v>6063</v>
      </c>
      <c r="C719" s="30" t="s">
        <v>20980</v>
      </c>
      <c r="D719" s="30" t="str">
        <f>"""TRUST Nav"",""HSPMTB2016"",""21"",""1"",""102563"""</f>
        <v>"TRUST Nav","HSPMTB2016","21","1","102563"</v>
      </c>
      <c r="I719" s="52" t="str">
        <f t="shared" si="142"/>
        <v>KK-04625|42430|TRT-80-10</v>
      </c>
      <c r="J719" s="52" t="str">
        <f t="shared" si="139"/>
        <v>KK-04625</v>
      </c>
      <c r="K719" s="52" t="str">
        <f t="shared" si="140"/>
        <v>Yunius Samara</v>
      </c>
      <c r="L719" s="52" t="str">
        <f t="shared" si="141"/>
        <v>TRT-80-10</v>
      </c>
      <c r="M719" s="82">
        <v>42430</v>
      </c>
      <c r="N719" s="2">
        <v>100000.00000000001</v>
      </c>
    </row>
    <row r="720" spans="1:14" x14ac:dyDescent="0.35">
      <c r="A720" s="52" t="s">
        <v>6063</v>
      </c>
      <c r="C720" s="30" t="s">
        <v>20980</v>
      </c>
      <c r="D720" s="30" t="str">
        <f>"""TRUST Nav"",""HSPMTB2016"",""21"",""1"",""102564"""</f>
        <v>"TRUST Nav","HSPMTB2016","21","1","102564"</v>
      </c>
      <c r="I720" s="52" t="str">
        <f t="shared" si="142"/>
        <v>KK-04625|42461|TRT-80-10</v>
      </c>
      <c r="J720" s="52" t="str">
        <f t="shared" si="139"/>
        <v>KK-04625</v>
      </c>
      <c r="K720" s="52" t="str">
        <f t="shared" si="140"/>
        <v>Yunius Samara</v>
      </c>
      <c r="L720" s="52" t="str">
        <f t="shared" si="141"/>
        <v>TRT-80-10</v>
      </c>
      <c r="M720" s="82">
        <v>42461</v>
      </c>
      <c r="N720" s="2">
        <v>100000.00000000001</v>
      </c>
    </row>
    <row r="721" spans="1:14" x14ac:dyDescent="0.35">
      <c r="A721" s="52" t="s">
        <v>6063</v>
      </c>
      <c r="C721" s="30" t="s">
        <v>20980</v>
      </c>
      <c r="D721" s="30" t="str">
        <f>"""TRUST Nav"",""HSPMTB2016"",""21"",""1"",""3568"""</f>
        <v>"TRUST Nav","HSPMTB2016","21","1","3568"</v>
      </c>
      <c r="I721" s="52" t="str">
        <f t="shared" si="142"/>
        <v>KK-04626|42186|TRT-80-10</v>
      </c>
      <c r="J721" s="52" t="str">
        <f t="shared" ref="J721:J740" si="143">"KK-04626"</f>
        <v>KK-04626</v>
      </c>
      <c r="K721" s="52" t="str">
        <f t="shared" ref="K721:K740" si="144">"Hadi Suwana"</f>
        <v>Hadi Suwana</v>
      </c>
      <c r="L721" s="52" t="str">
        <f t="shared" si="141"/>
        <v>TRT-80-10</v>
      </c>
      <c r="M721" s="82">
        <v>42186</v>
      </c>
      <c r="N721" s="2">
        <v>25000.000000000004</v>
      </c>
    </row>
    <row r="722" spans="1:14" x14ac:dyDescent="0.35">
      <c r="A722" s="52" t="s">
        <v>6063</v>
      </c>
      <c r="C722" s="30" t="s">
        <v>20980</v>
      </c>
      <c r="D722" s="30" t="str">
        <f>"""TRUST Nav"",""HSPMTB2016"",""21"",""1"",""3569"""</f>
        <v>"TRUST Nav","HSPMTB2016","21","1","3569"</v>
      </c>
      <c r="I722" s="52" t="str">
        <f t="shared" si="142"/>
        <v>KK-04626|42217|TRT-80-10</v>
      </c>
      <c r="J722" s="52" t="str">
        <f t="shared" si="143"/>
        <v>KK-04626</v>
      </c>
      <c r="K722" s="52" t="str">
        <f t="shared" si="144"/>
        <v>Hadi Suwana</v>
      </c>
      <c r="L722" s="52" t="str">
        <f t="shared" si="141"/>
        <v>TRT-80-10</v>
      </c>
      <c r="M722" s="82">
        <v>42217</v>
      </c>
      <c r="N722" s="2">
        <v>25000.000000000004</v>
      </c>
    </row>
    <row r="723" spans="1:14" x14ac:dyDescent="0.35">
      <c r="A723" s="52" t="s">
        <v>6063</v>
      </c>
      <c r="C723" s="30" t="s">
        <v>20980</v>
      </c>
      <c r="D723" s="30" t="str">
        <f>"""TRUST Nav"",""HSPMTB2016"",""21"",""1"",""3570"""</f>
        <v>"TRUST Nav","HSPMTB2016","21","1","3570"</v>
      </c>
      <c r="I723" s="52" t="str">
        <f t="shared" si="142"/>
        <v>KK-04626|42248|TRT-80-10</v>
      </c>
      <c r="J723" s="52" t="str">
        <f t="shared" si="143"/>
        <v>KK-04626</v>
      </c>
      <c r="K723" s="52" t="str">
        <f t="shared" si="144"/>
        <v>Hadi Suwana</v>
      </c>
      <c r="L723" s="52" t="str">
        <f t="shared" si="141"/>
        <v>TRT-80-10</v>
      </c>
      <c r="M723" s="82">
        <v>42248</v>
      </c>
      <c r="N723" s="2">
        <v>25000.000000000004</v>
      </c>
    </row>
    <row r="724" spans="1:14" x14ac:dyDescent="0.35">
      <c r="A724" s="52" t="s">
        <v>6063</v>
      </c>
      <c r="C724" s="30" t="s">
        <v>20980</v>
      </c>
      <c r="D724" s="30" t="str">
        <f>"""TRUST Nav"",""HSPMTB2016"",""21"",""1"",""3571"""</f>
        <v>"TRUST Nav","HSPMTB2016","21","1","3571"</v>
      </c>
      <c r="I724" s="52" t="str">
        <f t="shared" si="142"/>
        <v>KK-04626|42278|TRT-80-10</v>
      </c>
      <c r="J724" s="52" t="str">
        <f t="shared" si="143"/>
        <v>KK-04626</v>
      </c>
      <c r="K724" s="52" t="str">
        <f t="shared" si="144"/>
        <v>Hadi Suwana</v>
      </c>
      <c r="L724" s="52" t="str">
        <f t="shared" si="141"/>
        <v>TRT-80-10</v>
      </c>
      <c r="M724" s="82">
        <v>42278</v>
      </c>
      <c r="N724" s="2">
        <v>25000.000000000004</v>
      </c>
    </row>
    <row r="725" spans="1:14" x14ac:dyDescent="0.35">
      <c r="A725" s="52" t="s">
        <v>6063</v>
      </c>
      <c r="C725" s="30" t="s">
        <v>20980</v>
      </c>
      <c r="D725" s="30" t="str">
        <f>"""TRUST Nav"",""HSPMTB2016"",""21"",""1"",""3572"""</f>
        <v>"TRUST Nav","HSPMTB2016","21","1","3572"</v>
      </c>
      <c r="I725" s="52" t="str">
        <f t="shared" si="142"/>
        <v>KK-04626|42309|TRT-80-10</v>
      </c>
      <c r="J725" s="52" t="str">
        <f t="shared" si="143"/>
        <v>KK-04626</v>
      </c>
      <c r="K725" s="52" t="str">
        <f t="shared" si="144"/>
        <v>Hadi Suwana</v>
      </c>
      <c r="L725" s="52" t="str">
        <f t="shared" si="141"/>
        <v>TRT-80-10</v>
      </c>
      <c r="M725" s="82">
        <v>42309</v>
      </c>
      <c r="N725" s="2">
        <v>25000.000000000004</v>
      </c>
    </row>
    <row r="726" spans="1:14" x14ac:dyDescent="0.35">
      <c r="A726" s="52" t="s">
        <v>6063</v>
      </c>
      <c r="C726" s="30" t="s">
        <v>20980</v>
      </c>
      <c r="D726" s="30" t="str">
        <f>"""TRUST Nav"",""HSPMTB2016"",""21"",""1"",""3573"""</f>
        <v>"TRUST Nav","HSPMTB2016","21","1","3573"</v>
      </c>
      <c r="I726" s="52" t="str">
        <f t="shared" si="142"/>
        <v>KK-04626|42339|TRT-80-10</v>
      </c>
      <c r="J726" s="52" t="str">
        <f t="shared" si="143"/>
        <v>KK-04626</v>
      </c>
      <c r="K726" s="52" t="str">
        <f t="shared" si="144"/>
        <v>Hadi Suwana</v>
      </c>
      <c r="L726" s="52" t="str">
        <f t="shared" si="141"/>
        <v>TRT-80-10</v>
      </c>
      <c r="M726" s="82">
        <v>42339</v>
      </c>
      <c r="N726" s="2">
        <v>25000.000000000004</v>
      </c>
    </row>
    <row r="727" spans="1:14" x14ac:dyDescent="0.35">
      <c r="A727" s="52" t="s">
        <v>6063</v>
      </c>
      <c r="C727" s="30" t="s">
        <v>20980</v>
      </c>
      <c r="D727" s="30" t="str">
        <f>"""TRUST Nav"",""HSPMTB2016"",""21"",""1"",""37367"""</f>
        <v>"TRUST Nav","HSPMTB2016","21","1","37367"</v>
      </c>
      <c r="I727" s="52" t="str">
        <f t="shared" si="142"/>
        <v>KK-04626|42368|TRT-80-10</v>
      </c>
      <c r="J727" s="52" t="str">
        <f t="shared" si="143"/>
        <v>KK-04626</v>
      </c>
      <c r="K727" s="52" t="str">
        <f t="shared" si="144"/>
        <v>Hadi Suwana</v>
      </c>
      <c r="L727" s="52" t="str">
        <f t="shared" si="141"/>
        <v>TRT-80-10</v>
      </c>
      <c r="M727" s="82">
        <v>42368</v>
      </c>
      <c r="N727" s="2">
        <v>25000.000000000004</v>
      </c>
    </row>
    <row r="728" spans="1:14" x14ac:dyDescent="0.35">
      <c r="A728" s="52" t="s">
        <v>6063</v>
      </c>
      <c r="C728" s="30" t="s">
        <v>20980</v>
      </c>
      <c r="D728" s="30" t="str">
        <f>"""TRUST Nav"",""HSPMTB2016"",""21"",""1"",""37368"""</f>
        <v>"TRUST Nav","HSPMTB2016","21","1","37368"</v>
      </c>
      <c r="I728" s="52" t="str">
        <f t="shared" si="142"/>
        <v>KK-04626|42368|TRT-80-10</v>
      </c>
      <c r="J728" s="52" t="str">
        <f t="shared" si="143"/>
        <v>KK-04626</v>
      </c>
      <c r="K728" s="52" t="str">
        <f t="shared" si="144"/>
        <v>Hadi Suwana</v>
      </c>
      <c r="L728" s="52" t="str">
        <f t="shared" si="141"/>
        <v>TRT-80-10</v>
      </c>
      <c r="M728" s="82">
        <v>42368</v>
      </c>
      <c r="N728" s="2">
        <v>25000.000000000004</v>
      </c>
    </row>
    <row r="729" spans="1:14" x14ac:dyDescent="0.35">
      <c r="A729" s="52" t="s">
        <v>6063</v>
      </c>
      <c r="C729" s="30" t="s">
        <v>20980</v>
      </c>
      <c r="D729" s="30" t="str">
        <f>"""TRUST Nav"",""HSPMTB2016"",""21"",""1"",""37369"""</f>
        <v>"TRUST Nav","HSPMTB2016","21","1","37369"</v>
      </c>
      <c r="I729" s="52" t="str">
        <f t="shared" si="142"/>
        <v>KK-04626|42368|TRT-80-10</v>
      </c>
      <c r="J729" s="52" t="str">
        <f t="shared" si="143"/>
        <v>KK-04626</v>
      </c>
      <c r="K729" s="52" t="str">
        <f t="shared" si="144"/>
        <v>Hadi Suwana</v>
      </c>
      <c r="L729" s="52" t="str">
        <f t="shared" si="141"/>
        <v>TRT-80-10</v>
      </c>
      <c r="M729" s="82">
        <v>42368</v>
      </c>
      <c r="N729" s="2">
        <v>25000.000000000004</v>
      </c>
    </row>
    <row r="730" spans="1:14" x14ac:dyDescent="0.35">
      <c r="A730" s="52" t="s">
        <v>6063</v>
      </c>
      <c r="C730" s="30" t="s">
        <v>20980</v>
      </c>
      <c r="D730" s="30" t="str">
        <f>"""TRUST Nav"",""HSPMTB2016"",""21"",""1"",""37370"""</f>
        <v>"TRUST Nav","HSPMTB2016","21","1","37370"</v>
      </c>
      <c r="I730" s="52" t="str">
        <f t="shared" si="142"/>
        <v>KK-04626|42368|TRT-80-10</v>
      </c>
      <c r="J730" s="52" t="str">
        <f t="shared" si="143"/>
        <v>KK-04626</v>
      </c>
      <c r="K730" s="52" t="str">
        <f t="shared" si="144"/>
        <v>Hadi Suwana</v>
      </c>
      <c r="L730" s="52" t="str">
        <f t="shared" si="141"/>
        <v>TRT-80-10</v>
      </c>
      <c r="M730" s="82">
        <v>42368</v>
      </c>
      <c r="N730" s="2">
        <v>25000.000000000004</v>
      </c>
    </row>
    <row r="731" spans="1:14" x14ac:dyDescent="0.35">
      <c r="A731" s="52" t="s">
        <v>6063</v>
      </c>
      <c r="C731" s="30" t="s">
        <v>20980</v>
      </c>
      <c r="D731" s="30" t="str">
        <f>"""TRUST Nav"",""HSPMTB2016"",""21"",""1"",""37371"""</f>
        <v>"TRUST Nav","HSPMTB2016","21","1","37371"</v>
      </c>
      <c r="I731" s="52" t="str">
        <f t="shared" si="142"/>
        <v>KK-04626|42368|TRT-80-10</v>
      </c>
      <c r="J731" s="52" t="str">
        <f t="shared" si="143"/>
        <v>KK-04626</v>
      </c>
      <c r="K731" s="52" t="str">
        <f t="shared" si="144"/>
        <v>Hadi Suwana</v>
      </c>
      <c r="L731" s="52" t="str">
        <f t="shared" si="141"/>
        <v>TRT-80-10</v>
      </c>
      <c r="M731" s="82">
        <v>42368</v>
      </c>
      <c r="N731" s="2">
        <v>25000.000000000004</v>
      </c>
    </row>
    <row r="732" spans="1:14" x14ac:dyDescent="0.35">
      <c r="A732" s="52" t="s">
        <v>6063</v>
      </c>
      <c r="C732" s="30" t="s">
        <v>20980</v>
      </c>
      <c r="D732" s="30" t="str">
        <f>"""TRUST Nav"",""HSPMTB2016"",""21"",""1"",""37372"""</f>
        <v>"TRUST Nav","HSPMTB2016","21","1","37372"</v>
      </c>
      <c r="I732" s="52" t="str">
        <f t="shared" si="142"/>
        <v>KK-04626|42368|TRT-80-10</v>
      </c>
      <c r="J732" s="52" t="str">
        <f t="shared" si="143"/>
        <v>KK-04626</v>
      </c>
      <c r="K732" s="52" t="str">
        <f t="shared" si="144"/>
        <v>Hadi Suwana</v>
      </c>
      <c r="L732" s="52" t="str">
        <f t="shared" si="141"/>
        <v>TRT-80-10</v>
      </c>
      <c r="M732" s="82">
        <v>42368</v>
      </c>
      <c r="N732" s="2">
        <v>25000.000000000004</v>
      </c>
    </row>
    <row r="733" spans="1:14" x14ac:dyDescent="0.35">
      <c r="A733" s="52" t="s">
        <v>6063</v>
      </c>
      <c r="C733" s="30" t="s">
        <v>20980</v>
      </c>
      <c r="D733" s="30" t="str">
        <f>"""TRUST Nav"",""HSPMTB2016"",""21"",""1"",""73419"""</f>
        <v>"TRUST Nav","HSPMTB2016","21","1","73419"</v>
      </c>
      <c r="I733" s="52" t="str">
        <f t="shared" si="142"/>
        <v>KK-04626|42370|TRT-80-10</v>
      </c>
      <c r="J733" s="52" t="str">
        <f t="shared" si="143"/>
        <v>KK-04626</v>
      </c>
      <c r="K733" s="52" t="str">
        <f t="shared" si="144"/>
        <v>Hadi Suwana</v>
      </c>
      <c r="L733" s="52" t="str">
        <f t="shared" si="141"/>
        <v>TRT-80-10</v>
      </c>
      <c r="M733" s="82">
        <v>42370</v>
      </c>
      <c r="N733" s="2">
        <v>25000.000000000004</v>
      </c>
    </row>
    <row r="734" spans="1:14" x14ac:dyDescent="0.35">
      <c r="A734" s="52" t="s">
        <v>6063</v>
      </c>
      <c r="C734" s="30" t="s">
        <v>20980</v>
      </c>
      <c r="D734" s="30" t="str">
        <f>"""TRUST Nav"",""HSPMTB2016"",""21"",""1"",""73420"""</f>
        <v>"TRUST Nav","HSPMTB2016","21","1","73420"</v>
      </c>
      <c r="I734" s="52" t="str">
        <f t="shared" si="142"/>
        <v>KK-04626|42401|TRT-80-10</v>
      </c>
      <c r="J734" s="52" t="str">
        <f t="shared" si="143"/>
        <v>KK-04626</v>
      </c>
      <c r="K734" s="52" t="str">
        <f t="shared" si="144"/>
        <v>Hadi Suwana</v>
      </c>
      <c r="L734" s="52" t="str">
        <f t="shared" si="141"/>
        <v>TRT-80-10</v>
      </c>
      <c r="M734" s="82">
        <v>42401</v>
      </c>
      <c r="N734" s="2">
        <v>25000.000000000004</v>
      </c>
    </row>
    <row r="735" spans="1:14" x14ac:dyDescent="0.35">
      <c r="A735" s="52" t="s">
        <v>6063</v>
      </c>
      <c r="C735" s="30" t="s">
        <v>20980</v>
      </c>
      <c r="D735" s="30" t="str">
        <f>"""TRUST Nav"",""HSPMTB2016"",""21"",""1"",""73421"""</f>
        <v>"TRUST Nav","HSPMTB2016","21","1","73421"</v>
      </c>
      <c r="I735" s="52" t="str">
        <f t="shared" si="142"/>
        <v>KK-04626|42430|TRT-80-10</v>
      </c>
      <c r="J735" s="52" t="str">
        <f t="shared" si="143"/>
        <v>KK-04626</v>
      </c>
      <c r="K735" s="52" t="str">
        <f t="shared" si="144"/>
        <v>Hadi Suwana</v>
      </c>
      <c r="L735" s="52" t="str">
        <f t="shared" si="141"/>
        <v>TRT-80-10</v>
      </c>
      <c r="M735" s="82">
        <v>42430</v>
      </c>
      <c r="N735" s="2">
        <v>25000.000000000004</v>
      </c>
    </row>
    <row r="736" spans="1:14" x14ac:dyDescent="0.35">
      <c r="A736" s="52" t="s">
        <v>6063</v>
      </c>
      <c r="C736" s="30" t="s">
        <v>20980</v>
      </c>
      <c r="D736" s="30" t="str">
        <f>"""TRUST Nav"",""HSPMTB2016"",""21"",""1"",""73422"""</f>
        <v>"TRUST Nav","HSPMTB2016","21","1","73422"</v>
      </c>
      <c r="I736" s="52" t="str">
        <f t="shared" si="142"/>
        <v>KK-04626|42461|TRT-80-10</v>
      </c>
      <c r="J736" s="52" t="str">
        <f t="shared" si="143"/>
        <v>KK-04626</v>
      </c>
      <c r="K736" s="52" t="str">
        <f t="shared" si="144"/>
        <v>Hadi Suwana</v>
      </c>
      <c r="L736" s="52" t="str">
        <f t="shared" si="141"/>
        <v>TRT-80-10</v>
      </c>
      <c r="M736" s="82">
        <v>42461</v>
      </c>
      <c r="N736" s="2">
        <v>25000.000000000004</v>
      </c>
    </row>
    <row r="737" spans="1:14" x14ac:dyDescent="0.35">
      <c r="A737" s="52" t="s">
        <v>6063</v>
      </c>
      <c r="C737" s="30" t="s">
        <v>20980</v>
      </c>
      <c r="D737" s="30" t="str">
        <f>"""TRUST Nav"",""HSPMTB2016"",""21"",""1"",""122020"""</f>
        <v>"TRUST Nav","HSPMTB2016","21","1","122020"</v>
      </c>
      <c r="I737" s="52" t="str">
        <f t="shared" si="142"/>
        <v>KK-04626|42491|TRT-80-10</v>
      </c>
      <c r="J737" s="52" t="str">
        <f t="shared" si="143"/>
        <v>KK-04626</v>
      </c>
      <c r="K737" s="52" t="str">
        <f t="shared" si="144"/>
        <v>Hadi Suwana</v>
      </c>
      <c r="L737" s="52" t="str">
        <f t="shared" si="141"/>
        <v>TRT-80-10</v>
      </c>
      <c r="M737" s="82">
        <v>42491</v>
      </c>
      <c r="N737" s="2">
        <v>25000.000000000004</v>
      </c>
    </row>
    <row r="738" spans="1:14" x14ac:dyDescent="0.35">
      <c r="A738" s="52" t="s">
        <v>6063</v>
      </c>
      <c r="C738" s="30" t="s">
        <v>20980</v>
      </c>
      <c r="D738" s="30" t="str">
        <f>"""TRUST Nav"",""HSPMTB2016"",""21"",""1"",""122021"""</f>
        <v>"TRUST Nav","HSPMTB2016","21","1","122021"</v>
      </c>
      <c r="I738" s="52" t="str">
        <f t="shared" si="142"/>
        <v>KK-04626|42522|TRT-80-10</v>
      </c>
      <c r="J738" s="52" t="str">
        <f t="shared" si="143"/>
        <v>KK-04626</v>
      </c>
      <c r="K738" s="52" t="str">
        <f t="shared" si="144"/>
        <v>Hadi Suwana</v>
      </c>
      <c r="L738" s="52" t="str">
        <f t="shared" si="141"/>
        <v>TRT-80-10</v>
      </c>
      <c r="M738" s="82">
        <v>42522</v>
      </c>
      <c r="N738" s="2">
        <v>25000.000000000004</v>
      </c>
    </row>
    <row r="739" spans="1:14" x14ac:dyDescent="0.35">
      <c r="A739" s="52" t="s">
        <v>6063</v>
      </c>
      <c r="C739" s="30" t="s">
        <v>20980</v>
      </c>
      <c r="D739" s="30" t="str">
        <f>"""TRUST Nav"",""HSPMTB2016"",""21"",""1"",""122022"""</f>
        <v>"TRUST Nav","HSPMTB2016","21","1","122022"</v>
      </c>
      <c r="I739" s="52" t="str">
        <f t="shared" si="142"/>
        <v>KK-04626|42552|TRT-80-10</v>
      </c>
      <c r="J739" s="52" t="str">
        <f t="shared" si="143"/>
        <v>KK-04626</v>
      </c>
      <c r="K739" s="52" t="str">
        <f t="shared" si="144"/>
        <v>Hadi Suwana</v>
      </c>
      <c r="L739" s="52" t="str">
        <f t="shared" si="141"/>
        <v>TRT-80-10</v>
      </c>
      <c r="M739" s="82">
        <v>42552</v>
      </c>
      <c r="N739" s="2">
        <v>25000.000000000004</v>
      </c>
    </row>
    <row r="740" spans="1:14" x14ac:dyDescent="0.35">
      <c r="A740" s="52" t="s">
        <v>6063</v>
      </c>
      <c r="C740" s="30" t="s">
        <v>20980</v>
      </c>
      <c r="D740" s="30" t="str">
        <f>"""TRUST Nav"",""HSPMTB2016"",""21"",""1"",""122023"""</f>
        <v>"TRUST Nav","HSPMTB2016","21","1","122023"</v>
      </c>
      <c r="I740" s="52" t="str">
        <f t="shared" si="142"/>
        <v>KK-04626|42583|TRT-80-10</v>
      </c>
      <c r="J740" s="52" t="str">
        <f t="shared" si="143"/>
        <v>KK-04626</v>
      </c>
      <c r="K740" s="52" t="str">
        <f t="shared" si="144"/>
        <v>Hadi Suwana</v>
      </c>
      <c r="L740" s="52" t="str">
        <f t="shared" si="141"/>
        <v>TRT-80-10</v>
      </c>
      <c r="M740" s="82">
        <v>42583</v>
      </c>
      <c r="N740" s="2">
        <v>25000.000000000004</v>
      </c>
    </row>
    <row r="741" spans="1:14" x14ac:dyDescent="0.35">
      <c r="A741" s="52" t="s">
        <v>6063</v>
      </c>
      <c r="C741" s="30" t="s">
        <v>20980</v>
      </c>
      <c r="D741" s="30" t="str">
        <f>"""TRUST Nav"",""HSPMTB2016"",""21"",""1"",""122009"""</f>
        <v>"TRUST Nav","HSPMTB2016","21","1","122009"</v>
      </c>
      <c r="I741" s="52" t="str">
        <f t="shared" si="142"/>
        <v>KK-05048|42370|TRT-80-10</v>
      </c>
      <c r="J741" s="52" t="str">
        <f>"KK-05048"</f>
        <v>KK-05048</v>
      </c>
      <c r="K741" s="52" t="str">
        <f>"Alfonsus Denny Martaguna"</f>
        <v>Alfonsus Denny Martaguna</v>
      </c>
      <c r="L741" s="52" t="str">
        <f t="shared" si="141"/>
        <v>TRT-80-10</v>
      </c>
      <c r="M741" s="82">
        <v>42370</v>
      </c>
      <c r="N741" s="2">
        <v>10000</v>
      </c>
    </row>
    <row r="742" spans="1:14" x14ac:dyDescent="0.35">
      <c r="A742" s="52" t="s">
        <v>6063</v>
      </c>
      <c r="C742" s="30" t="s">
        <v>20980</v>
      </c>
      <c r="D742" s="30" t="str">
        <f>"""TRUST Nav"",""HSPMTB2016"",""21"",""1"",""122010"""</f>
        <v>"TRUST Nav","HSPMTB2016","21","1","122010"</v>
      </c>
      <c r="I742" s="52" t="str">
        <f t="shared" si="142"/>
        <v>KK-05048|42401|TRT-80-10</v>
      </c>
      <c r="J742" s="52" t="str">
        <f>"KK-05048"</f>
        <v>KK-05048</v>
      </c>
      <c r="K742" s="52" t="str">
        <f>"Alfonsus Denny Martaguna"</f>
        <v>Alfonsus Denny Martaguna</v>
      </c>
      <c r="L742" s="52" t="str">
        <f t="shared" si="141"/>
        <v>TRT-80-10</v>
      </c>
      <c r="M742" s="82">
        <v>42401</v>
      </c>
      <c r="N742" s="2">
        <v>10000</v>
      </c>
    </row>
    <row r="743" spans="1:14" x14ac:dyDescent="0.35">
      <c r="A743" s="52" t="s">
        <v>6063</v>
      </c>
      <c r="C743" s="30" t="s">
        <v>20980</v>
      </c>
      <c r="D743" s="30" t="str">
        <f>"""TRUST Nav"",""HSPMTB2016"",""21"",""1"",""122011"""</f>
        <v>"TRUST Nav","HSPMTB2016","21","1","122011"</v>
      </c>
      <c r="I743" s="52" t="str">
        <f t="shared" si="142"/>
        <v>KK-05048|42430|TRT-80-10</v>
      </c>
      <c r="J743" s="52" t="str">
        <f>"KK-05048"</f>
        <v>KK-05048</v>
      </c>
      <c r="K743" s="52" t="str">
        <f>"Alfonsus Denny Martaguna"</f>
        <v>Alfonsus Denny Martaguna</v>
      </c>
      <c r="L743" s="52" t="str">
        <f t="shared" si="141"/>
        <v>TRT-80-10</v>
      </c>
      <c r="M743" s="82">
        <v>42430</v>
      </c>
      <c r="N743" s="2">
        <v>10000</v>
      </c>
    </row>
    <row r="744" spans="1:14" x14ac:dyDescent="0.35">
      <c r="A744" s="52" t="s">
        <v>6063</v>
      </c>
      <c r="C744" s="30" t="s">
        <v>20980</v>
      </c>
      <c r="D744" s="30" t="str">
        <f>"""TRUST Nav"",""HSPMTB2016"",""21"",""1"",""122012"""</f>
        <v>"TRUST Nav","HSPMTB2016","21","1","122012"</v>
      </c>
      <c r="I744" s="52" t="str">
        <f t="shared" si="142"/>
        <v>KK-05048|42461|TRT-80-10</v>
      </c>
      <c r="J744" s="52" t="str">
        <f>"KK-05048"</f>
        <v>KK-05048</v>
      </c>
      <c r="K744" s="52" t="str">
        <f>"Alfonsus Denny Martaguna"</f>
        <v>Alfonsus Denny Martaguna</v>
      </c>
      <c r="L744" s="52" t="str">
        <f t="shared" si="141"/>
        <v>TRT-80-10</v>
      </c>
      <c r="M744" s="82">
        <v>42461</v>
      </c>
      <c r="N744" s="2">
        <v>10000</v>
      </c>
    </row>
    <row r="745" spans="1:14" x14ac:dyDescent="0.35">
      <c r="A745" s="52" t="s">
        <v>6063</v>
      </c>
      <c r="C745" s="30" t="s">
        <v>20980</v>
      </c>
      <c r="D745" s="30" t="str">
        <f>"""TRUST Nav"",""HSPMTB2016"",""21"",""1"",""122028"""</f>
        <v>"TRUST Nav","HSPMTB2016","21","1","122028"</v>
      </c>
      <c r="I745" s="52" t="str">
        <f t="shared" si="142"/>
        <v>KK-05052|42186|TRT-80-10</v>
      </c>
      <c r="J745" s="52" t="str">
        <f t="shared" ref="J745:J753" si="145">"KK-05052"</f>
        <v>KK-05052</v>
      </c>
      <c r="K745" s="52" t="str">
        <f t="shared" ref="K745:K753" si="146">"Julius Margono Teguh Nugroho"</f>
        <v>Julius Margono Teguh Nugroho</v>
      </c>
      <c r="L745" s="52" t="str">
        <f t="shared" si="141"/>
        <v>TRT-80-10</v>
      </c>
      <c r="M745" s="82">
        <v>42186</v>
      </c>
      <c r="N745" s="2">
        <v>15000</v>
      </c>
    </row>
    <row r="746" spans="1:14" x14ac:dyDescent="0.35">
      <c r="A746" s="52" t="s">
        <v>6063</v>
      </c>
      <c r="C746" s="30" t="s">
        <v>20980</v>
      </c>
      <c r="D746" s="30" t="str">
        <f>"""TRUST Nav"",""HSPMTB2016"",""21"",""1"",""122029"""</f>
        <v>"TRUST Nav","HSPMTB2016","21","1","122029"</v>
      </c>
      <c r="I746" s="52" t="str">
        <f t="shared" si="142"/>
        <v>KK-05052|42217|TRT-80-10</v>
      </c>
      <c r="J746" s="52" t="str">
        <f t="shared" si="145"/>
        <v>KK-05052</v>
      </c>
      <c r="K746" s="52" t="str">
        <f t="shared" si="146"/>
        <v>Julius Margono Teguh Nugroho</v>
      </c>
      <c r="L746" s="52" t="str">
        <f t="shared" si="141"/>
        <v>TRT-80-10</v>
      </c>
      <c r="M746" s="82">
        <v>42217</v>
      </c>
      <c r="N746" s="2">
        <v>15000</v>
      </c>
    </row>
    <row r="747" spans="1:14" x14ac:dyDescent="0.35">
      <c r="A747" s="52" t="s">
        <v>6063</v>
      </c>
      <c r="C747" s="30" t="s">
        <v>20980</v>
      </c>
      <c r="D747" s="30" t="str">
        <f>"""TRUST Nav"",""HSPMTB2016"",""21"",""1"",""122030"""</f>
        <v>"TRUST Nav","HSPMTB2016","21","1","122030"</v>
      </c>
      <c r="I747" s="52" t="str">
        <f t="shared" si="142"/>
        <v>KK-05052|42248|TRT-80-10</v>
      </c>
      <c r="J747" s="52" t="str">
        <f t="shared" si="145"/>
        <v>KK-05052</v>
      </c>
      <c r="K747" s="52" t="str">
        <f t="shared" si="146"/>
        <v>Julius Margono Teguh Nugroho</v>
      </c>
      <c r="L747" s="52" t="str">
        <f t="shared" si="141"/>
        <v>TRT-80-10</v>
      </c>
      <c r="M747" s="82">
        <v>42248</v>
      </c>
      <c r="N747" s="2">
        <v>15000</v>
      </c>
    </row>
    <row r="748" spans="1:14" x14ac:dyDescent="0.35">
      <c r="A748" s="52" t="s">
        <v>6063</v>
      </c>
      <c r="C748" s="30" t="s">
        <v>20980</v>
      </c>
      <c r="D748" s="30" t="str">
        <f>"""TRUST Nav"",""HSPMTB2016"",""21"",""1"",""122031"""</f>
        <v>"TRUST Nav","HSPMTB2016","21","1","122031"</v>
      </c>
      <c r="I748" s="52" t="str">
        <f t="shared" si="142"/>
        <v>KK-05052|42278|TRT-80-10</v>
      </c>
      <c r="J748" s="52" t="str">
        <f t="shared" si="145"/>
        <v>KK-05052</v>
      </c>
      <c r="K748" s="52" t="str">
        <f t="shared" si="146"/>
        <v>Julius Margono Teguh Nugroho</v>
      </c>
      <c r="L748" s="52" t="str">
        <f t="shared" si="141"/>
        <v>TRT-80-10</v>
      </c>
      <c r="M748" s="82">
        <v>42278</v>
      </c>
      <c r="N748" s="2">
        <v>15000</v>
      </c>
    </row>
    <row r="749" spans="1:14" x14ac:dyDescent="0.35">
      <c r="A749" s="52" t="s">
        <v>6063</v>
      </c>
      <c r="C749" s="30" t="s">
        <v>20980</v>
      </c>
      <c r="D749" s="30" t="str">
        <f>"""TRUST Nav"",""HSPMTB2016"",""21"",""1"",""122032"""</f>
        <v>"TRUST Nav","HSPMTB2016","21","1","122032"</v>
      </c>
      <c r="I749" s="52" t="str">
        <f t="shared" si="142"/>
        <v>KK-05052|42309|TRT-80-10</v>
      </c>
      <c r="J749" s="52" t="str">
        <f t="shared" si="145"/>
        <v>KK-05052</v>
      </c>
      <c r="K749" s="52" t="str">
        <f t="shared" si="146"/>
        <v>Julius Margono Teguh Nugroho</v>
      </c>
      <c r="L749" s="52" t="str">
        <f t="shared" si="141"/>
        <v>TRT-80-10</v>
      </c>
      <c r="M749" s="82">
        <v>42309</v>
      </c>
      <c r="N749" s="2">
        <v>15000</v>
      </c>
    </row>
    <row r="750" spans="1:14" x14ac:dyDescent="0.35">
      <c r="A750" s="52" t="s">
        <v>6063</v>
      </c>
      <c r="C750" s="30" t="s">
        <v>20980</v>
      </c>
      <c r="D750" s="30" t="str">
        <f>"""TRUST Nav"",""HSPMTB2016"",""21"",""1"",""122033"""</f>
        <v>"TRUST Nav","HSPMTB2016","21","1","122033"</v>
      </c>
      <c r="I750" s="52" t="str">
        <f t="shared" si="142"/>
        <v>KK-05052|42339|TRT-80-10</v>
      </c>
      <c r="J750" s="52" t="str">
        <f t="shared" si="145"/>
        <v>KK-05052</v>
      </c>
      <c r="K750" s="52" t="str">
        <f t="shared" si="146"/>
        <v>Julius Margono Teguh Nugroho</v>
      </c>
      <c r="L750" s="52" t="str">
        <f t="shared" si="141"/>
        <v>TRT-80-10</v>
      </c>
      <c r="M750" s="82">
        <v>42339</v>
      </c>
      <c r="N750" s="2">
        <v>15000</v>
      </c>
    </row>
    <row r="751" spans="1:14" x14ac:dyDescent="0.35">
      <c r="A751" s="52" t="s">
        <v>6063</v>
      </c>
      <c r="C751" s="30" t="s">
        <v>20980</v>
      </c>
      <c r="D751" s="30" t="str">
        <f>"""TRUST Nav"",""HSPMTB2016"",""21"",""1"",""122034"""</f>
        <v>"TRUST Nav","HSPMTB2016","21","1","122034"</v>
      </c>
      <c r="I751" s="52" t="str">
        <f t="shared" si="142"/>
        <v>KK-05052|42370|TRT-80-10</v>
      </c>
      <c r="J751" s="52" t="str">
        <f t="shared" si="145"/>
        <v>KK-05052</v>
      </c>
      <c r="K751" s="52" t="str">
        <f t="shared" si="146"/>
        <v>Julius Margono Teguh Nugroho</v>
      </c>
      <c r="L751" s="52" t="str">
        <f t="shared" si="141"/>
        <v>TRT-80-10</v>
      </c>
      <c r="M751" s="82">
        <v>42370</v>
      </c>
      <c r="N751" s="2">
        <v>15000</v>
      </c>
    </row>
    <row r="752" spans="1:14" x14ac:dyDescent="0.35">
      <c r="A752" s="52" t="s">
        <v>6063</v>
      </c>
      <c r="C752" s="30" t="s">
        <v>20980</v>
      </c>
      <c r="D752" s="30" t="str">
        <f>"""TRUST Nav"",""HSPMTB2016"",""21"",""1"",""122035"""</f>
        <v>"TRUST Nav","HSPMTB2016","21","1","122035"</v>
      </c>
      <c r="I752" s="52" t="str">
        <f t="shared" si="142"/>
        <v>KK-05052|42401|TRT-80-10</v>
      </c>
      <c r="J752" s="52" t="str">
        <f t="shared" si="145"/>
        <v>KK-05052</v>
      </c>
      <c r="K752" s="52" t="str">
        <f t="shared" si="146"/>
        <v>Julius Margono Teguh Nugroho</v>
      </c>
      <c r="L752" s="52" t="str">
        <f t="shared" si="141"/>
        <v>TRT-80-10</v>
      </c>
      <c r="M752" s="82">
        <v>42401</v>
      </c>
      <c r="N752" s="2">
        <v>15000</v>
      </c>
    </row>
    <row r="753" spans="1:14" x14ac:dyDescent="0.35">
      <c r="A753" s="52" t="s">
        <v>6063</v>
      </c>
      <c r="C753" s="30" t="s">
        <v>20980</v>
      </c>
      <c r="D753" s="30" t="str">
        <f>"""TRUST Nav"",""HSPMTB2016"",""21"",""1"",""122036"""</f>
        <v>"TRUST Nav","HSPMTB2016","21","1","122036"</v>
      </c>
      <c r="I753" s="52" t="str">
        <f t="shared" si="142"/>
        <v>KK-05052|42430|TRT-80-10</v>
      </c>
      <c r="J753" s="52" t="str">
        <f t="shared" si="145"/>
        <v>KK-05052</v>
      </c>
      <c r="K753" s="52" t="str">
        <f t="shared" si="146"/>
        <v>Julius Margono Teguh Nugroho</v>
      </c>
      <c r="L753" s="52" t="str">
        <f t="shared" si="141"/>
        <v>TRT-80-10</v>
      </c>
      <c r="M753" s="82">
        <v>42430</v>
      </c>
      <c r="N753" s="2">
        <v>15000</v>
      </c>
    </row>
    <row r="754" spans="1:14" x14ac:dyDescent="0.35">
      <c r="A754" s="52" t="s">
        <v>6063</v>
      </c>
      <c r="C754" s="30" t="s">
        <v>20980</v>
      </c>
      <c r="D754" s="30" t="str">
        <f>"""TRUST Nav"",""HSPMTB2016"",""21"",""1"",""129703"""</f>
        <v>"TRUST Nav","HSPMTB2016","21","1","129703"</v>
      </c>
      <c r="I754" s="52" t="str">
        <f t="shared" si="142"/>
        <v>KK-05053|42370|TRT-80-10</v>
      </c>
      <c r="J754" s="52" t="str">
        <f t="shared" ref="J754:J765" si="147">"KK-05053"</f>
        <v>KK-05053</v>
      </c>
      <c r="K754" s="52" t="str">
        <f t="shared" ref="K754:K765" si="148">"Pieter Hiu Stanley Setiono"</f>
        <v>Pieter Hiu Stanley Setiono</v>
      </c>
      <c r="L754" s="52" t="str">
        <f t="shared" si="141"/>
        <v>TRT-80-10</v>
      </c>
      <c r="M754" s="82">
        <v>42370</v>
      </c>
      <c r="N754" s="2">
        <v>500000</v>
      </c>
    </row>
    <row r="755" spans="1:14" x14ac:dyDescent="0.35">
      <c r="A755" s="52" t="s">
        <v>6063</v>
      </c>
      <c r="C755" s="30" t="s">
        <v>20980</v>
      </c>
      <c r="D755" s="30" t="str">
        <f>"""TRUST Nav"",""HSPMTB2016"",""21"",""1"",""129704"""</f>
        <v>"TRUST Nav","HSPMTB2016","21","1","129704"</v>
      </c>
      <c r="I755" s="52" t="str">
        <f t="shared" si="142"/>
        <v>KK-05053|42401|TRT-80-10</v>
      </c>
      <c r="J755" s="52" t="str">
        <f t="shared" si="147"/>
        <v>KK-05053</v>
      </c>
      <c r="K755" s="52" t="str">
        <f t="shared" si="148"/>
        <v>Pieter Hiu Stanley Setiono</v>
      </c>
      <c r="L755" s="52" t="str">
        <f t="shared" si="141"/>
        <v>TRT-80-10</v>
      </c>
      <c r="M755" s="82">
        <v>42401</v>
      </c>
      <c r="N755" s="2">
        <v>500000</v>
      </c>
    </row>
    <row r="756" spans="1:14" x14ac:dyDescent="0.35">
      <c r="A756" s="52" t="s">
        <v>6063</v>
      </c>
      <c r="C756" s="30" t="s">
        <v>20980</v>
      </c>
      <c r="D756" s="30" t="str">
        <f>"""TRUST Nav"",""HSPMTB2016"",""21"",""1"",""129705"""</f>
        <v>"TRUST Nav","HSPMTB2016","21","1","129705"</v>
      </c>
      <c r="I756" s="52" t="str">
        <f t="shared" si="142"/>
        <v>KK-05053|42430|TRT-80-10</v>
      </c>
      <c r="J756" s="52" t="str">
        <f t="shared" si="147"/>
        <v>KK-05053</v>
      </c>
      <c r="K756" s="52" t="str">
        <f t="shared" si="148"/>
        <v>Pieter Hiu Stanley Setiono</v>
      </c>
      <c r="L756" s="52" t="str">
        <f t="shared" si="141"/>
        <v>TRT-80-10</v>
      </c>
      <c r="M756" s="82">
        <v>42430</v>
      </c>
      <c r="N756" s="2">
        <v>500000</v>
      </c>
    </row>
    <row r="757" spans="1:14" x14ac:dyDescent="0.35">
      <c r="A757" s="52" t="s">
        <v>6063</v>
      </c>
      <c r="C757" s="30" t="s">
        <v>20980</v>
      </c>
      <c r="D757" s="30" t="str">
        <f>"""TRUST Nav"",""HSPMTB2016"",""21"",""1"",""129706"""</f>
        <v>"TRUST Nav","HSPMTB2016","21","1","129706"</v>
      </c>
      <c r="I757" s="52" t="str">
        <f t="shared" si="142"/>
        <v>KK-05053|42461|TRT-80-10</v>
      </c>
      <c r="J757" s="52" t="str">
        <f t="shared" si="147"/>
        <v>KK-05053</v>
      </c>
      <c r="K757" s="52" t="str">
        <f t="shared" si="148"/>
        <v>Pieter Hiu Stanley Setiono</v>
      </c>
      <c r="L757" s="52" t="str">
        <f t="shared" si="141"/>
        <v>TRT-80-10</v>
      </c>
      <c r="M757" s="82">
        <v>42461</v>
      </c>
      <c r="N757" s="2">
        <v>500000</v>
      </c>
    </row>
    <row r="758" spans="1:14" x14ac:dyDescent="0.35">
      <c r="A758" s="52" t="s">
        <v>6063</v>
      </c>
      <c r="C758" s="30" t="s">
        <v>20980</v>
      </c>
      <c r="D758" s="30" t="str">
        <f>"""TRUST Nav"",""HSPMTB2016"",""21"",""1"",""129707"""</f>
        <v>"TRUST Nav","HSPMTB2016","21","1","129707"</v>
      </c>
      <c r="I758" s="52" t="str">
        <f t="shared" si="142"/>
        <v>KK-05053|42491|TRT-80-10</v>
      </c>
      <c r="J758" s="52" t="str">
        <f t="shared" si="147"/>
        <v>KK-05053</v>
      </c>
      <c r="K758" s="52" t="str">
        <f t="shared" si="148"/>
        <v>Pieter Hiu Stanley Setiono</v>
      </c>
      <c r="L758" s="52" t="str">
        <f t="shared" si="141"/>
        <v>TRT-80-10</v>
      </c>
      <c r="M758" s="82">
        <v>42491</v>
      </c>
      <c r="N758" s="2">
        <v>500000</v>
      </c>
    </row>
    <row r="759" spans="1:14" x14ac:dyDescent="0.35">
      <c r="A759" s="52" t="s">
        <v>6063</v>
      </c>
      <c r="C759" s="30" t="s">
        <v>20980</v>
      </c>
      <c r="D759" s="30" t="str">
        <f>"""TRUST Nav"",""HSPMTB2016"",""21"",""1"",""129708"""</f>
        <v>"TRUST Nav","HSPMTB2016","21","1","129708"</v>
      </c>
      <c r="I759" s="52" t="str">
        <f t="shared" si="142"/>
        <v>KK-05053|42522|TRT-80-10</v>
      </c>
      <c r="J759" s="52" t="str">
        <f t="shared" si="147"/>
        <v>KK-05053</v>
      </c>
      <c r="K759" s="52" t="str">
        <f t="shared" si="148"/>
        <v>Pieter Hiu Stanley Setiono</v>
      </c>
      <c r="L759" s="52" t="str">
        <f t="shared" si="141"/>
        <v>TRT-80-10</v>
      </c>
      <c r="M759" s="82">
        <v>42522</v>
      </c>
      <c r="N759" s="2">
        <v>500000</v>
      </c>
    </row>
    <row r="760" spans="1:14" x14ac:dyDescent="0.35">
      <c r="A760" s="52" t="s">
        <v>6063</v>
      </c>
      <c r="C760" s="30" t="s">
        <v>20980</v>
      </c>
      <c r="D760" s="30" t="str">
        <f>"""TRUST Nav"",""HSPMTB2016"",""21"",""1"",""129709"""</f>
        <v>"TRUST Nav","HSPMTB2016","21","1","129709"</v>
      </c>
      <c r="I760" s="52" t="str">
        <f t="shared" si="142"/>
        <v>KK-05053|42552|TRT-80-10</v>
      </c>
      <c r="J760" s="52" t="str">
        <f t="shared" si="147"/>
        <v>KK-05053</v>
      </c>
      <c r="K760" s="52" t="str">
        <f t="shared" si="148"/>
        <v>Pieter Hiu Stanley Setiono</v>
      </c>
      <c r="L760" s="52" t="str">
        <f t="shared" si="141"/>
        <v>TRT-80-10</v>
      </c>
      <c r="M760" s="82">
        <v>42552</v>
      </c>
      <c r="N760" s="2">
        <v>500000</v>
      </c>
    </row>
    <row r="761" spans="1:14" x14ac:dyDescent="0.35">
      <c r="A761" s="52" t="s">
        <v>6063</v>
      </c>
      <c r="C761" s="30" t="s">
        <v>20980</v>
      </c>
      <c r="D761" s="30" t="str">
        <f>"""TRUST Nav"",""HSPMTB2016"",""21"",""1"",""129710"""</f>
        <v>"TRUST Nav","HSPMTB2016","21","1","129710"</v>
      </c>
      <c r="I761" s="52" t="str">
        <f t="shared" si="142"/>
        <v>KK-05053|42583|TRT-80-10</v>
      </c>
      <c r="J761" s="52" t="str">
        <f t="shared" si="147"/>
        <v>KK-05053</v>
      </c>
      <c r="K761" s="52" t="str">
        <f t="shared" si="148"/>
        <v>Pieter Hiu Stanley Setiono</v>
      </c>
      <c r="L761" s="52" t="str">
        <f t="shared" si="141"/>
        <v>TRT-80-10</v>
      </c>
      <c r="M761" s="82">
        <v>42583</v>
      </c>
      <c r="N761" s="2">
        <v>500000</v>
      </c>
    </row>
    <row r="762" spans="1:14" x14ac:dyDescent="0.35">
      <c r="A762" s="52" t="s">
        <v>6063</v>
      </c>
      <c r="C762" s="30" t="s">
        <v>20980</v>
      </c>
      <c r="D762" s="30" t="str">
        <f>"""TRUST Nav"",""HSPMTB2016"",""21"",""1"",""129711"""</f>
        <v>"TRUST Nav","HSPMTB2016","21","1","129711"</v>
      </c>
      <c r="I762" s="52" t="str">
        <f t="shared" si="142"/>
        <v>KK-05053|42614|TRT-80-10</v>
      </c>
      <c r="J762" s="52" t="str">
        <f t="shared" si="147"/>
        <v>KK-05053</v>
      </c>
      <c r="K762" s="52" t="str">
        <f t="shared" si="148"/>
        <v>Pieter Hiu Stanley Setiono</v>
      </c>
      <c r="L762" s="52" t="str">
        <f t="shared" si="141"/>
        <v>TRT-80-10</v>
      </c>
      <c r="M762" s="82">
        <v>42614</v>
      </c>
      <c r="N762" s="2">
        <v>500000</v>
      </c>
    </row>
    <row r="763" spans="1:14" x14ac:dyDescent="0.35">
      <c r="A763" s="52" t="s">
        <v>6063</v>
      </c>
      <c r="C763" s="30" t="s">
        <v>20980</v>
      </c>
      <c r="D763" s="30" t="str">
        <f>"""TRUST Nav"",""HSPMTB2016"",""21"",""1"",""129712"""</f>
        <v>"TRUST Nav","HSPMTB2016","21","1","129712"</v>
      </c>
      <c r="I763" s="52" t="str">
        <f t="shared" si="142"/>
        <v>KK-05053|42644|TRT-80-10</v>
      </c>
      <c r="J763" s="52" t="str">
        <f t="shared" si="147"/>
        <v>KK-05053</v>
      </c>
      <c r="K763" s="52" t="str">
        <f t="shared" si="148"/>
        <v>Pieter Hiu Stanley Setiono</v>
      </c>
      <c r="L763" s="52" t="str">
        <f t="shared" si="141"/>
        <v>TRT-80-10</v>
      </c>
      <c r="M763" s="82">
        <v>42644</v>
      </c>
      <c r="N763" s="2">
        <v>500000</v>
      </c>
    </row>
    <row r="764" spans="1:14" x14ac:dyDescent="0.35">
      <c r="A764" s="52" t="s">
        <v>6063</v>
      </c>
      <c r="C764" s="30" t="s">
        <v>20980</v>
      </c>
      <c r="D764" s="30" t="str">
        <f>"""TRUST Nav"",""HSPMTB2016"",""21"",""1"",""129713"""</f>
        <v>"TRUST Nav","HSPMTB2016","21","1","129713"</v>
      </c>
      <c r="I764" s="52" t="str">
        <f t="shared" si="142"/>
        <v>KK-05053|42675|TRT-80-10</v>
      </c>
      <c r="J764" s="52" t="str">
        <f t="shared" si="147"/>
        <v>KK-05053</v>
      </c>
      <c r="K764" s="52" t="str">
        <f t="shared" si="148"/>
        <v>Pieter Hiu Stanley Setiono</v>
      </c>
      <c r="L764" s="52" t="str">
        <f t="shared" si="141"/>
        <v>TRT-80-10</v>
      </c>
      <c r="M764" s="82">
        <v>42675</v>
      </c>
      <c r="N764" s="2">
        <v>500000</v>
      </c>
    </row>
    <row r="765" spans="1:14" x14ac:dyDescent="0.35">
      <c r="A765" s="52" t="s">
        <v>6063</v>
      </c>
      <c r="C765" s="30" t="s">
        <v>20980</v>
      </c>
      <c r="D765" s="30" t="str">
        <f>"""TRUST Nav"",""HSPMTB2016"",""21"",""1"",""129714"""</f>
        <v>"TRUST Nav","HSPMTB2016","21","1","129714"</v>
      </c>
      <c r="I765" s="52" t="str">
        <f t="shared" si="142"/>
        <v>KK-05053|42705|TRT-80-10</v>
      </c>
      <c r="J765" s="52" t="str">
        <f t="shared" si="147"/>
        <v>KK-05053</v>
      </c>
      <c r="K765" s="52" t="str">
        <f t="shared" si="148"/>
        <v>Pieter Hiu Stanley Setiono</v>
      </c>
      <c r="L765" s="52" t="str">
        <f t="shared" si="141"/>
        <v>TRT-80-10</v>
      </c>
      <c r="M765" s="82">
        <v>42705</v>
      </c>
      <c r="N765" s="2">
        <v>500000</v>
      </c>
    </row>
    <row r="766" spans="1:14" x14ac:dyDescent="0.35">
      <c r="A766" s="52" t="s">
        <v>6063</v>
      </c>
      <c r="C766" s="30" t="s">
        <v>20980</v>
      </c>
      <c r="D766" s="30" t="str">
        <f>"""TRUST Nav"",""HSPMTB2016"",""21"",""1"",""122043"""</f>
        <v>"TRUST Nav","HSPMTB2016","21","1","122043"</v>
      </c>
      <c r="I766" s="52" t="str">
        <f t="shared" si="142"/>
        <v>KK-05056|42370|TRT-80-10</v>
      </c>
      <c r="J766" s="52" t="str">
        <f t="shared" ref="J766:J771" si="149">"KK-05056"</f>
        <v>KK-05056</v>
      </c>
      <c r="K766" s="52" t="str">
        <f t="shared" ref="K766:K771" si="150">"Yandi Setiawan"</f>
        <v>Yandi Setiawan</v>
      </c>
      <c r="L766" s="52" t="str">
        <f t="shared" si="141"/>
        <v>TRT-80-10</v>
      </c>
      <c r="M766" s="82">
        <v>42370</v>
      </c>
      <c r="N766" s="2">
        <v>25000.000000000004</v>
      </c>
    </row>
    <row r="767" spans="1:14" x14ac:dyDescent="0.35">
      <c r="A767" s="52" t="s">
        <v>6063</v>
      </c>
      <c r="C767" s="30" t="s">
        <v>20980</v>
      </c>
      <c r="D767" s="30" t="str">
        <f>"""TRUST Nav"",""HSPMTB2016"",""21"",""1"",""122044"""</f>
        <v>"TRUST Nav","HSPMTB2016","21","1","122044"</v>
      </c>
      <c r="I767" s="52" t="str">
        <f t="shared" si="142"/>
        <v>KK-05056|42401|TRT-80-10</v>
      </c>
      <c r="J767" s="52" t="str">
        <f t="shared" si="149"/>
        <v>KK-05056</v>
      </c>
      <c r="K767" s="52" t="str">
        <f t="shared" si="150"/>
        <v>Yandi Setiawan</v>
      </c>
      <c r="L767" s="52" t="str">
        <f t="shared" si="141"/>
        <v>TRT-80-10</v>
      </c>
      <c r="M767" s="82">
        <v>42401</v>
      </c>
      <c r="N767" s="2">
        <v>25000.000000000004</v>
      </c>
    </row>
    <row r="768" spans="1:14" x14ac:dyDescent="0.35">
      <c r="A768" s="52" t="s">
        <v>6063</v>
      </c>
      <c r="C768" s="30" t="s">
        <v>20980</v>
      </c>
      <c r="D768" s="30" t="str">
        <f>"""TRUST Nav"",""HSPMTB2016"",""21"",""1"",""122045"""</f>
        <v>"TRUST Nav","HSPMTB2016","21","1","122045"</v>
      </c>
      <c r="I768" s="52" t="str">
        <f t="shared" si="142"/>
        <v>KK-05056|42430|TRT-80-10</v>
      </c>
      <c r="J768" s="52" t="str">
        <f t="shared" si="149"/>
        <v>KK-05056</v>
      </c>
      <c r="K768" s="52" t="str">
        <f t="shared" si="150"/>
        <v>Yandi Setiawan</v>
      </c>
      <c r="L768" s="52" t="str">
        <f t="shared" si="141"/>
        <v>TRT-80-10</v>
      </c>
      <c r="M768" s="82">
        <v>42430</v>
      </c>
      <c r="N768" s="2">
        <v>25000.000000000004</v>
      </c>
    </row>
    <row r="769" spans="1:14" x14ac:dyDescent="0.35">
      <c r="A769" s="52" t="s">
        <v>6063</v>
      </c>
      <c r="C769" s="30" t="s">
        <v>20980</v>
      </c>
      <c r="D769" s="30" t="str">
        <f>"""TRUST Nav"",""HSPMTB2016"",""21"",""1"",""122046"""</f>
        <v>"TRUST Nav","HSPMTB2016","21","1","122046"</v>
      </c>
      <c r="I769" s="52" t="str">
        <f t="shared" si="142"/>
        <v>KK-05056|42461|TRT-80-10</v>
      </c>
      <c r="J769" s="52" t="str">
        <f t="shared" si="149"/>
        <v>KK-05056</v>
      </c>
      <c r="K769" s="52" t="str">
        <f t="shared" si="150"/>
        <v>Yandi Setiawan</v>
      </c>
      <c r="L769" s="52" t="str">
        <f t="shared" si="141"/>
        <v>TRT-80-10</v>
      </c>
      <c r="M769" s="82">
        <v>42461</v>
      </c>
      <c r="N769" s="2">
        <v>25000.000000000004</v>
      </c>
    </row>
    <row r="770" spans="1:14" x14ac:dyDescent="0.35">
      <c r="A770" s="52" t="s">
        <v>6063</v>
      </c>
      <c r="C770" s="30" t="s">
        <v>20980</v>
      </c>
      <c r="D770" s="30" t="str">
        <f>"""TRUST Nav"",""HSPMTB2016"",""21"",""1"",""122047"""</f>
        <v>"TRUST Nav","HSPMTB2016","21","1","122047"</v>
      </c>
      <c r="I770" s="52" t="str">
        <f t="shared" si="142"/>
        <v>KK-05056|42491|TRT-80-10</v>
      </c>
      <c r="J770" s="52" t="str">
        <f t="shared" si="149"/>
        <v>KK-05056</v>
      </c>
      <c r="K770" s="52" t="str">
        <f t="shared" si="150"/>
        <v>Yandi Setiawan</v>
      </c>
      <c r="L770" s="52" t="str">
        <f t="shared" si="141"/>
        <v>TRT-80-10</v>
      </c>
      <c r="M770" s="82">
        <v>42491</v>
      </c>
      <c r="N770" s="2">
        <v>25000.000000000004</v>
      </c>
    </row>
    <row r="771" spans="1:14" x14ac:dyDescent="0.35">
      <c r="A771" s="52" t="s">
        <v>6063</v>
      </c>
      <c r="C771" s="30" t="s">
        <v>20980</v>
      </c>
      <c r="D771" s="30" t="str">
        <f>"""TRUST Nav"",""HSPMTB2016"",""21"",""1"",""122048"""</f>
        <v>"TRUST Nav","HSPMTB2016","21","1","122048"</v>
      </c>
      <c r="I771" s="52" t="str">
        <f t="shared" si="142"/>
        <v>KK-05056|42522|TRT-80-10</v>
      </c>
      <c r="J771" s="52" t="str">
        <f t="shared" si="149"/>
        <v>KK-05056</v>
      </c>
      <c r="K771" s="52" t="str">
        <f t="shared" si="150"/>
        <v>Yandi Setiawan</v>
      </c>
      <c r="L771" s="52" t="str">
        <f t="shared" si="141"/>
        <v>TRT-80-10</v>
      </c>
      <c r="M771" s="82">
        <v>42522</v>
      </c>
      <c r="N771" s="2">
        <v>25000.000000000004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8"/>
  </sheetPr>
  <dimension ref="A1:X43"/>
  <sheetViews>
    <sheetView showGridLines="0" workbookViewId="0">
      <pane xSplit="3" ySplit="9" topLeftCell="D10" activePane="bottomRight" state="frozenSplit"/>
      <selection pane="topRight" activeCell="D1" sqref="D1"/>
      <selection pane="bottomLeft" activeCell="A10" sqref="A10"/>
      <selection pane="bottomRight" activeCell="D6" sqref="D6"/>
    </sheetView>
  </sheetViews>
  <sheetFormatPr defaultColWidth="9.1796875" defaultRowHeight="14.5" x14ac:dyDescent="0.35"/>
  <cols>
    <col min="1" max="1" width="9.1796875" style="52" hidden="1" customWidth="1"/>
    <col min="2" max="2" width="20.7265625" style="48" customWidth="1"/>
    <col min="3" max="3" width="31.90625" style="48" customWidth="1"/>
    <col min="4" max="4" width="15.26953125" style="48" customWidth="1"/>
    <col min="5" max="5" width="8.90625" style="48" customWidth="1"/>
    <col min="6" max="10" width="7.36328125" style="48" customWidth="1"/>
    <col min="11" max="17" width="8.90625" style="48" customWidth="1"/>
    <col min="18" max="23" width="7.36328125" style="48" customWidth="1"/>
    <col min="24" max="24" width="10.7265625" style="48" customWidth="1"/>
    <col min="25" max="16384" width="9.1796875" style="48"/>
  </cols>
  <sheetData>
    <row r="1" spans="1:24" s="52" customFormat="1" hidden="1" x14ac:dyDescent="0.35">
      <c r="A1" s="52" t="s">
        <v>16529</v>
      </c>
    </row>
    <row r="2" spans="1:24" s="84" customFormat="1" ht="18.5" x14ac:dyDescent="0.45">
      <c r="A2" s="52"/>
      <c r="B2" s="83">
        <f>Options!B4</f>
        <v>0</v>
      </c>
      <c r="C2" s="34" t="str">
        <f>IF(B2="Protected","","Admin Mode: Excel tidak terkunci, jangan dibagikan ke lingkungan")</f>
        <v>Admin Mode: Excel tidak terkunci, jangan dibagikan ke lingkungan</v>
      </c>
    </row>
    <row r="3" spans="1:24" ht="23.5" x14ac:dyDescent="0.55000000000000004">
      <c r="C3" s="79" t="s">
        <v>48</v>
      </c>
    </row>
    <row r="5" spans="1:24" x14ac:dyDescent="0.35">
      <c r="C5" s="80" t="s">
        <v>1</v>
      </c>
      <c r="D5" s="52" t="s">
        <v>20975</v>
      </c>
      <c r="E5" s="52" t="s">
        <v>20976</v>
      </c>
    </row>
    <row r="6" spans="1:24" x14ac:dyDescent="0.35">
      <c r="C6" s="85" t="s">
        <v>6</v>
      </c>
      <c r="D6" s="89" t="s">
        <v>59</v>
      </c>
    </row>
    <row r="8" spans="1:24" x14ac:dyDescent="0.35">
      <c r="C8" s="85" t="s">
        <v>64</v>
      </c>
      <c r="D8" s="85" t="s">
        <v>63</v>
      </c>
    </row>
    <row r="9" spans="1:24" x14ac:dyDescent="0.35">
      <c r="C9" s="86" t="s">
        <v>60</v>
      </c>
      <c r="D9" s="28" t="s">
        <v>61</v>
      </c>
      <c r="E9" s="28">
        <v>42186</v>
      </c>
      <c r="F9" s="28">
        <v>42217</v>
      </c>
      <c r="G9" s="28">
        <v>42248</v>
      </c>
      <c r="H9" s="28">
        <v>42278</v>
      </c>
      <c r="I9" s="28">
        <v>42309</v>
      </c>
      <c r="J9" s="28">
        <v>42339</v>
      </c>
      <c r="K9" s="28">
        <v>42368</v>
      </c>
      <c r="L9" s="28">
        <v>42370</v>
      </c>
      <c r="M9" s="28">
        <v>42401</v>
      </c>
      <c r="N9" s="28">
        <v>42430</v>
      </c>
      <c r="O9" s="28">
        <v>42461</v>
      </c>
      <c r="P9" s="28">
        <v>42491</v>
      </c>
      <c r="Q9" s="28">
        <v>42522</v>
      </c>
      <c r="R9" s="28">
        <v>42552</v>
      </c>
      <c r="S9" s="28">
        <v>42583</v>
      </c>
      <c r="T9" s="28">
        <v>42614</v>
      </c>
      <c r="U9" s="28">
        <v>42644</v>
      </c>
      <c r="V9" s="28">
        <v>42675</v>
      </c>
      <c r="W9" s="28">
        <v>42705</v>
      </c>
      <c r="X9" s="28" t="s">
        <v>62</v>
      </c>
    </row>
    <row r="10" spans="1:24" x14ac:dyDescent="0.35">
      <c r="C10" s="87" t="s">
        <v>8</v>
      </c>
      <c r="D10" s="1"/>
      <c r="E10" s="1">
        <v>1015000</v>
      </c>
      <c r="F10" s="1">
        <v>966000</v>
      </c>
      <c r="G10" s="1">
        <v>966000</v>
      </c>
      <c r="H10" s="1">
        <v>966000</v>
      </c>
      <c r="I10" s="1">
        <v>966000</v>
      </c>
      <c r="J10" s="1">
        <v>966000</v>
      </c>
      <c r="K10" s="1"/>
      <c r="L10" s="1">
        <v>1405000</v>
      </c>
      <c r="M10" s="1">
        <v>1405000</v>
      </c>
      <c r="N10" s="1">
        <v>1405000</v>
      </c>
      <c r="O10" s="1">
        <v>1365000</v>
      </c>
      <c r="P10" s="1">
        <v>1205000</v>
      </c>
      <c r="Q10" s="1">
        <v>1205000</v>
      </c>
      <c r="R10" s="1">
        <v>975000</v>
      </c>
      <c r="S10" s="1">
        <v>770000</v>
      </c>
      <c r="T10" s="1">
        <v>645000</v>
      </c>
      <c r="U10" s="1">
        <v>505000</v>
      </c>
      <c r="V10" s="1">
        <v>505000</v>
      </c>
      <c r="W10" s="1">
        <v>505000</v>
      </c>
      <c r="X10" s="1">
        <v>17740000</v>
      </c>
    </row>
    <row r="11" spans="1:24" x14ac:dyDescent="0.35">
      <c r="C11" s="88" t="s">
        <v>20983</v>
      </c>
      <c r="D11" s="1"/>
      <c r="E11" s="1">
        <v>25000.000000000004</v>
      </c>
      <c r="F11" s="1">
        <v>25000.000000000004</v>
      </c>
      <c r="G11" s="1">
        <v>25000.000000000004</v>
      </c>
      <c r="H11" s="1">
        <v>25000.000000000004</v>
      </c>
      <c r="I11" s="1">
        <v>25000.000000000004</v>
      </c>
      <c r="J11" s="1">
        <v>25000.000000000004</v>
      </c>
      <c r="K11" s="1"/>
      <c r="L11" s="1">
        <v>25000.000000000004</v>
      </c>
      <c r="M11" s="1">
        <v>25000.000000000004</v>
      </c>
      <c r="N11" s="1">
        <v>25000.000000000004</v>
      </c>
      <c r="O11" s="1">
        <v>25000.000000000004</v>
      </c>
      <c r="P11" s="1"/>
      <c r="Q11" s="1"/>
      <c r="R11" s="1"/>
      <c r="S11" s="1"/>
      <c r="T11" s="1"/>
      <c r="U11" s="1"/>
      <c r="V11" s="1"/>
      <c r="W11" s="1"/>
      <c r="X11" s="1">
        <v>250000.00000000003</v>
      </c>
    </row>
    <row r="12" spans="1:24" x14ac:dyDescent="0.35">
      <c r="C12" s="88" t="s">
        <v>21005</v>
      </c>
      <c r="D12" s="1"/>
      <c r="E12" s="1"/>
      <c r="F12" s="1"/>
      <c r="G12" s="1"/>
      <c r="H12" s="1"/>
      <c r="I12" s="1"/>
      <c r="J12" s="1"/>
      <c r="K12" s="1"/>
      <c r="L12" s="1">
        <v>10000</v>
      </c>
      <c r="M12" s="1">
        <v>10000</v>
      </c>
      <c r="N12" s="1">
        <v>10000</v>
      </c>
      <c r="O12" s="1">
        <v>10000</v>
      </c>
      <c r="P12" s="1"/>
      <c r="Q12" s="1"/>
      <c r="R12" s="1"/>
      <c r="S12" s="1"/>
      <c r="T12" s="1"/>
      <c r="U12" s="1"/>
      <c r="V12" s="1"/>
      <c r="W12" s="1"/>
      <c r="X12" s="1">
        <v>40000</v>
      </c>
    </row>
    <row r="13" spans="1:24" x14ac:dyDescent="0.35">
      <c r="C13" s="88" t="s">
        <v>20982</v>
      </c>
      <c r="D13" s="1"/>
      <c r="E13" s="1">
        <v>20000</v>
      </c>
      <c r="F13" s="1">
        <v>20000</v>
      </c>
      <c r="G13" s="1">
        <v>20000</v>
      </c>
      <c r="H13" s="1">
        <v>20000</v>
      </c>
      <c r="I13" s="1">
        <v>20000</v>
      </c>
      <c r="J13" s="1">
        <v>20000</v>
      </c>
      <c r="K13" s="1"/>
      <c r="L13" s="1">
        <v>20000</v>
      </c>
      <c r="M13" s="1">
        <v>20000</v>
      </c>
      <c r="N13" s="1">
        <v>20000</v>
      </c>
      <c r="O13" s="1">
        <v>20000</v>
      </c>
      <c r="P13" s="1">
        <v>20000</v>
      </c>
      <c r="Q13" s="1">
        <v>20000</v>
      </c>
      <c r="R13" s="1">
        <v>20000</v>
      </c>
      <c r="S13" s="1">
        <v>20000</v>
      </c>
      <c r="T13" s="1">
        <v>20000</v>
      </c>
      <c r="U13" s="1"/>
      <c r="V13" s="1"/>
      <c r="W13" s="1"/>
      <c r="X13" s="1">
        <v>300000</v>
      </c>
    </row>
    <row r="14" spans="1:24" x14ac:dyDescent="0.35">
      <c r="C14" s="88" t="s">
        <v>20984</v>
      </c>
      <c r="D14" s="1"/>
      <c r="E14" s="1">
        <v>50000.000000000007</v>
      </c>
      <c r="F14" s="1">
        <v>50000.000000000007</v>
      </c>
      <c r="G14" s="1">
        <v>50000.000000000007</v>
      </c>
      <c r="H14" s="1">
        <v>50000.000000000007</v>
      </c>
      <c r="I14" s="1">
        <v>50000.000000000007</v>
      </c>
      <c r="J14" s="1">
        <v>50000.000000000007</v>
      </c>
      <c r="K14" s="1"/>
      <c r="L14" s="1">
        <v>50000.000000000007</v>
      </c>
      <c r="M14" s="1">
        <v>50000.000000000007</v>
      </c>
      <c r="N14" s="1">
        <v>50000.000000000007</v>
      </c>
      <c r="O14" s="1">
        <v>50000.000000000007</v>
      </c>
      <c r="P14" s="1">
        <v>50000.000000000007</v>
      </c>
      <c r="Q14" s="1">
        <v>50000.000000000007</v>
      </c>
      <c r="R14" s="1">
        <v>50000.000000000007</v>
      </c>
      <c r="S14" s="1">
        <v>50000.000000000007</v>
      </c>
      <c r="T14" s="1">
        <v>50000.000000000007</v>
      </c>
      <c r="U14" s="1"/>
      <c r="V14" s="1"/>
      <c r="W14" s="1"/>
      <c r="X14" s="1">
        <v>750000.00000000012</v>
      </c>
    </row>
    <row r="15" spans="1:24" x14ac:dyDescent="0.35">
      <c r="C15" s="88" t="s">
        <v>83</v>
      </c>
      <c r="D15" s="1"/>
      <c r="E15" s="1">
        <v>15000</v>
      </c>
      <c r="F15" s="1">
        <v>15000</v>
      </c>
      <c r="G15" s="1">
        <v>15000</v>
      </c>
      <c r="H15" s="1">
        <v>15000</v>
      </c>
      <c r="I15" s="1">
        <v>15000</v>
      </c>
      <c r="J15" s="1">
        <v>15000</v>
      </c>
      <c r="K15" s="1"/>
      <c r="L15" s="1"/>
      <c r="M15" s="1"/>
      <c r="N15" s="1"/>
      <c r="O15" s="1"/>
      <c r="P15" s="1"/>
      <c r="Q15" s="1"/>
      <c r="R15" s="1"/>
      <c r="S15" s="1"/>
      <c r="T15" s="1"/>
      <c r="U15" s="1"/>
      <c r="V15" s="1"/>
      <c r="W15" s="1"/>
      <c r="X15" s="1">
        <v>90000</v>
      </c>
    </row>
    <row r="16" spans="1:24" x14ac:dyDescent="0.35">
      <c r="C16" s="88" t="s">
        <v>20985</v>
      </c>
      <c r="D16" s="1"/>
      <c r="E16" s="1">
        <v>20000</v>
      </c>
      <c r="F16" s="1">
        <v>20000</v>
      </c>
      <c r="G16" s="1">
        <v>20000</v>
      </c>
      <c r="H16" s="1">
        <v>20000</v>
      </c>
      <c r="I16" s="1">
        <v>20000</v>
      </c>
      <c r="J16" s="1">
        <v>20000</v>
      </c>
      <c r="K16" s="1"/>
      <c r="L16" s="1">
        <v>20000</v>
      </c>
      <c r="M16" s="1">
        <v>20000</v>
      </c>
      <c r="N16" s="1">
        <v>20000</v>
      </c>
      <c r="O16" s="1">
        <v>20000</v>
      </c>
      <c r="P16" s="1">
        <v>20000</v>
      </c>
      <c r="Q16" s="1">
        <v>20000</v>
      </c>
      <c r="R16" s="1">
        <v>20000</v>
      </c>
      <c r="S16" s="1"/>
      <c r="T16" s="1"/>
      <c r="U16" s="1"/>
      <c r="V16" s="1"/>
      <c r="W16" s="1"/>
      <c r="X16" s="1">
        <v>260000</v>
      </c>
    </row>
    <row r="17" spans="3:24" x14ac:dyDescent="0.35">
      <c r="C17" s="88" t="s">
        <v>20986</v>
      </c>
      <c r="D17" s="1"/>
      <c r="E17" s="1">
        <v>10000</v>
      </c>
      <c r="F17" s="1">
        <v>6000</v>
      </c>
      <c r="G17" s="1">
        <v>6000</v>
      </c>
      <c r="H17" s="1">
        <v>6000</v>
      </c>
      <c r="I17" s="1">
        <v>6000</v>
      </c>
      <c r="J17" s="1">
        <v>6000</v>
      </c>
      <c r="K17" s="1"/>
      <c r="L17" s="1">
        <v>5000</v>
      </c>
      <c r="M17" s="1">
        <v>5000</v>
      </c>
      <c r="N17" s="1">
        <v>5000</v>
      </c>
      <c r="O17" s="1">
        <v>5000</v>
      </c>
      <c r="P17" s="1">
        <v>5000</v>
      </c>
      <c r="Q17" s="1">
        <v>5000</v>
      </c>
      <c r="R17" s="1">
        <v>5000</v>
      </c>
      <c r="S17" s="1">
        <v>5000</v>
      </c>
      <c r="T17" s="1">
        <v>5000</v>
      </c>
      <c r="U17" s="1">
        <v>5000</v>
      </c>
      <c r="V17" s="1">
        <v>5000</v>
      </c>
      <c r="W17" s="1">
        <v>5000</v>
      </c>
      <c r="X17" s="1">
        <v>100000</v>
      </c>
    </row>
    <row r="18" spans="3:24" x14ac:dyDescent="0.35">
      <c r="C18" s="88" t="s">
        <v>21004</v>
      </c>
      <c r="D18" s="1"/>
      <c r="E18" s="1">
        <v>60000</v>
      </c>
      <c r="F18" s="1">
        <v>15000</v>
      </c>
      <c r="G18" s="1">
        <v>15000</v>
      </c>
      <c r="H18" s="1">
        <v>15000</v>
      </c>
      <c r="I18" s="1">
        <v>15000</v>
      </c>
      <c r="J18" s="1">
        <v>15000</v>
      </c>
      <c r="K18" s="1"/>
      <c r="L18" s="1"/>
      <c r="M18" s="1"/>
      <c r="N18" s="1"/>
      <c r="O18" s="1"/>
      <c r="P18" s="1"/>
      <c r="Q18" s="1"/>
      <c r="R18" s="1"/>
      <c r="S18" s="1"/>
      <c r="T18" s="1"/>
      <c r="U18" s="1"/>
      <c r="V18" s="1"/>
      <c r="W18" s="1"/>
      <c r="X18" s="1">
        <v>135000</v>
      </c>
    </row>
    <row r="19" spans="3:24" x14ac:dyDescent="0.35">
      <c r="C19" s="88" t="s">
        <v>21003</v>
      </c>
      <c r="D19" s="1"/>
      <c r="E19" s="1">
        <v>25000.000000000004</v>
      </c>
      <c r="F19" s="1">
        <v>25000.000000000004</v>
      </c>
      <c r="G19" s="1">
        <v>25000.000000000004</v>
      </c>
      <c r="H19" s="1">
        <v>25000.000000000004</v>
      </c>
      <c r="I19" s="1">
        <v>25000.000000000004</v>
      </c>
      <c r="J19" s="1">
        <v>25000.000000000004</v>
      </c>
      <c r="K19" s="1"/>
      <c r="L19" s="1">
        <v>25000.000000000004</v>
      </c>
      <c r="M19" s="1">
        <v>25000.000000000004</v>
      </c>
      <c r="N19" s="1">
        <v>25000.000000000004</v>
      </c>
      <c r="O19" s="1">
        <v>25000.000000000004</v>
      </c>
      <c r="P19" s="1">
        <v>25000.000000000004</v>
      </c>
      <c r="Q19" s="1">
        <v>25000.000000000004</v>
      </c>
      <c r="R19" s="1">
        <v>25000.000000000004</v>
      </c>
      <c r="S19" s="1">
        <v>25000.000000000004</v>
      </c>
      <c r="T19" s="1"/>
      <c r="U19" s="1"/>
      <c r="V19" s="1"/>
      <c r="W19" s="1"/>
      <c r="X19" s="1">
        <v>350000.00000000006</v>
      </c>
    </row>
    <row r="20" spans="3:24" x14ac:dyDescent="0.35">
      <c r="C20" s="88" t="s">
        <v>20987</v>
      </c>
      <c r="D20" s="1"/>
      <c r="E20" s="1">
        <v>50000.000000000007</v>
      </c>
      <c r="F20" s="1">
        <v>50000.000000000007</v>
      </c>
      <c r="G20" s="1">
        <v>50000.000000000007</v>
      </c>
      <c r="H20" s="1">
        <v>50000.000000000007</v>
      </c>
      <c r="I20" s="1">
        <v>50000.000000000007</v>
      </c>
      <c r="J20" s="1">
        <v>50000.000000000007</v>
      </c>
      <c r="K20" s="1"/>
      <c r="L20" s="1">
        <v>25000.000000000004</v>
      </c>
      <c r="M20" s="1">
        <v>25000.000000000004</v>
      </c>
      <c r="N20" s="1">
        <v>25000.000000000004</v>
      </c>
      <c r="O20" s="1"/>
      <c r="P20" s="1"/>
      <c r="Q20" s="1"/>
      <c r="R20" s="1"/>
      <c r="S20" s="1"/>
      <c r="T20" s="1"/>
      <c r="U20" s="1"/>
      <c r="V20" s="1"/>
      <c r="W20" s="1"/>
      <c r="X20" s="1">
        <v>375000.00000000006</v>
      </c>
    </row>
    <row r="21" spans="3:24" x14ac:dyDescent="0.35">
      <c r="C21" s="88" t="s">
        <v>20988</v>
      </c>
      <c r="D21" s="1"/>
      <c r="E21" s="1">
        <v>50000.000000000007</v>
      </c>
      <c r="F21" s="1">
        <v>50000.000000000007</v>
      </c>
      <c r="G21" s="1">
        <v>50000.000000000007</v>
      </c>
      <c r="H21" s="1">
        <v>50000.000000000007</v>
      </c>
      <c r="I21" s="1">
        <v>50000.000000000007</v>
      </c>
      <c r="J21" s="1">
        <v>50000.000000000007</v>
      </c>
      <c r="K21" s="1"/>
      <c r="L21" s="1">
        <v>50000.000000000007</v>
      </c>
      <c r="M21" s="1">
        <v>50000.000000000007</v>
      </c>
      <c r="N21" s="1">
        <v>50000.000000000007</v>
      </c>
      <c r="O21" s="1">
        <v>50000.000000000007</v>
      </c>
      <c r="P21" s="1">
        <v>50000.000000000007</v>
      </c>
      <c r="Q21" s="1">
        <v>50000.000000000007</v>
      </c>
      <c r="R21" s="1"/>
      <c r="S21" s="1"/>
      <c r="T21" s="1"/>
      <c r="U21" s="1"/>
      <c r="V21" s="1"/>
      <c r="W21" s="1"/>
      <c r="X21" s="1">
        <v>600000.00000000012</v>
      </c>
    </row>
    <row r="22" spans="3:24" x14ac:dyDescent="0.35">
      <c r="C22" s="88" t="s">
        <v>20989</v>
      </c>
      <c r="D22" s="1"/>
      <c r="E22" s="1">
        <v>150000</v>
      </c>
      <c r="F22" s="1">
        <v>150000</v>
      </c>
      <c r="G22" s="1">
        <v>150000</v>
      </c>
      <c r="H22" s="1">
        <v>150000</v>
      </c>
      <c r="I22" s="1">
        <v>150000</v>
      </c>
      <c r="J22" s="1">
        <v>150000</v>
      </c>
      <c r="K22" s="1"/>
      <c r="L22" s="1">
        <v>150000</v>
      </c>
      <c r="M22" s="1">
        <v>150000</v>
      </c>
      <c r="N22" s="1">
        <v>150000</v>
      </c>
      <c r="O22" s="1">
        <v>150000</v>
      </c>
      <c r="P22" s="1">
        <v>150000</v>
      </c>
      <c r="Q22" s="1">
        <v>150000</v>
      </c>
      <c r="R22" s="1">
        <v>150000</v>
      </c>
      <c r="S22" s="1"/>
      <c r="T22" s="1"/>
      <c r="U22" s="1"/>
      <c r="V22" s="1"/>
      <c r="W22" s="1"/>
      <c r="X22" s="1">
        <v>1950000</v>
      </c>
    </row>
    <row r="23" spans="3:24" x14ac:dyDescent="0.35">
      <c r="C23" s="88" t="s">
        <v>20990</v>
      </c>
      <c r="D23" s="1"/>
      <c r="E23" s="1">
        <v>30000</v>
      </c>
      <c r="F23" s="1">
        <v>30000</v>
      </c>
      <c r="G23" s="1">
        <v>30000</v>
      </c>
      <c r="H23" s="1">
        <v>30000</v>
      </c>
      <c r="I23" s="1">
        <v>30000</v>
      </c>
      <c r="J23" s="1">
        <v>30000</v>
      </c>
      <c r="K23" s="1"/>
      <c r="L23" s="1">
        <v>30000</v>
      </c>
      <c r="M23" s="1">
        <v>30000</v>
      </c>
      <c r="N23" s="1">
        <v>30000</v>
      </c>
      <c r="O23" s="1">
        <v>30000</v>
      </c>
      <c r="P23" s="1">
        <v>30000</v>
      </c>
      <c r="Q23" s="1">
        <v>30000</v>
      </c>
      <c r="R23" s="1">
        <v>30000</v>
      </c>
      <c r="S23" s="1">
        <v>30000</v>
      </c>
      <c r="T23" s="1"/>
      <c r="U23" s="1"/>
      <c r="V23" s="1"/>
      <c r="W23" s="1"/>
      <c r="X23" s="1">
        <v>420000</v>
      </c>
    </row>
    <row r="24" spans="3:24" x14ac:dyDescent="0.35">
      <c r="C24" s="88" t="s">
        <v>20994</v>
      </c>
      <c r="D24" s="1"/>
      <c r="E24" s="1">
        <v>20000</v>
      </c>
      <c r="F24" s="1">
        <v>20000</v>
      </c>
      <c r="G24" s="1">
        <v>20000</v>
      </c>
      <c r="H24" s="1">
        <v>20000</v>
      </c>
      <c r="I24" s="1">
        <v>20000</v>
      </c>
      <c r="J24" s="1">
        <v>20000</v>
      </c>
      <c r="K24" s="1"/>
      <c r="L24" s="1">
        <v>20000</v>
      </c>
      <c r="M24" s="1">
        <v>20000</v>
      </c>
      <c r="N24" s="1">
        <v>20000</v>
      </c>
      <c r="O24" s="1">
        <v>20000</v>
      </c>
      <c r="P24" s="1">
        <v>20000</v>
      </c>
      <c r="Q24" s="1">
        <v>20000</v>
      </c>
      <c r="R24" s="1">
        <v>20000</v>
      </c>
      <c r="S24" s="1">
        <v>20000</v>
      </c>
      <c r="T24" s="1"/>
      <c r="U24" s="1"/>
      <c r="V24" s="1"/>
      <c r="W24" s="1"/>
      <c r="X24" s="1">
        <v>280000</v>
      </c>
    </row>
    <row r="25" spans="3:24" x14ac:dyDescent="0.35">
      <c r="C25" s="88" t="s">
        <v>20991</v>
      </c>
      <c r="D25" s="1"/>
      <c r="E25" s="1">
        <v>25000.000000000004</v>
      </c>
      <c r="F25" s="1">
        <v>25000.000000000004</v>
      </c>
      <c r="G25" s="1">
        <v>25000.000000000004</v>
      </c>
      <c r="H25" s="1">
        <v>25000.000000000004</v>
      </c>
      <c r="I25" s="1">
        <v>25000.000000000004</v>
      </c>
      <c r="J25" s="1">
        <v>25000.000000000004</v>
      </c>
      <c r="K25" s="1"/>
      <c r="L25" s="1">
        <v>25000.000000000004</v>
      </c>
      <c r="M25" s="1">
        <v>25000.000000000004</v>
      </c>
      <c r="N25" s="1">
        <v>25000.000000000004</v>
      </c>
      <c r="O25" s="1">
        <v>25000.000000000004</v>
      </c>
      <c r="P25" s="1"/>
      <c r="Q25" s="1"/>
      <c r="R25" s="1"/>
      <c r="S25" s="1"/>
      <c r="T25" s="1"/>
      <c r="U25" s="1"/>
      <c r="V25" s="1"/>
      <c r="W25" s="1"/>
      <c r="X25" s="1">
        <v>250000.00000000003</v>
      </c>
    </row>
    <row r="26" spans="3:24" x14ac:dyDescent="0.35">
      <c r="C26" s="88" t="s">
        <v>21006</v>
      </c>
      <c r="D26" s="1"/>
      <c r="E26" s="1">
        <v>15000</v>
      </c>
      <c r="F26" s="1">
        <v>15000</v>
      </c>
      <c r="G26" s="1">
        <v>15000</v>
      </c>
      <c r="H26" s="1">
        <v>15000</v>
      </c>
      <c r="I26" s="1">
        <v>15000</v>
      </c>
      <c r="J26" s="1">
        <v>15000</v>
      </c>
      <c r="K26" s="1"/>
      <c r="L26" s="1">
        <v>15000</v>
      </c>
      <c r="M26" s="1">
        <v>15000</v>
      </c>
      <c r="N26" s="1">
        <v>15000</v>
      </c>
      <c r="O26" s="1"/>
      <c r="P26" s="1"/>
      <c r="Q26" s="1"/>
      <c r="R26" s="1"/>
      <c r="S26" s="1"/>
      <c r="T26" s="1"/>
      <c r="U26" s="1"/>
      <c r="V26" s="1"/>
      <c r="W26" s="1"/>
      <c r="X26" s="1">
        <v>135000</v>
      </c>
    </row>
    <row r="27" spans="3:24" x14ac:dyDescent="0.35">
      <c r="C27" s="88" t="s">
        <v>20992</v>
      </c>
      <c r="D27" s="1"/>
      <c r="E27" s="1">
        <v>10000</v>
      </c>
      <c r="F27" s="1">
        <v>10000</v>
      </c>
      <c r="G27" s="1">
        <v>10000</v>
      </c>
      <c r="H27" s="1">
        <v>10000</v>
      </c>
      <c r="I27" s="1">
        <v>10000</v>
      </c>
      <c r="J27" s="1">
        <v>10000</v>
      </c>
      <c r="K27" s="1"/>
      <c r="L27" s="1">
        <v>10000</v>
      </c>
      <c r="M27" s="1">
        <v>10000</v>
      </c>
      <c r="N27" s="1">
        <v>10000</v>
      </c>
      <c r="O27" s="1">
        <v>10000</v>
      </c>
      <c r="P27" s="1">
        <v>10000</v>
      </c>
      <c r="Q27" s="1">
        <v>10000</v>
      </c>
      <c r="R27" s="1">
        <v>30000</v>
      </c>
      <c r="S27" s="1">
        <v>30000</v>
      </c>
      <c r="T27" s="1">
        <v>30000</v>
      </c>
      <c r="U27" s="1"/>
      <c r="V27" s="1"/>
      <c r="W27" s="1"/>
      <c r="X27" s="1">
        <v>210000</v>
      </c>
    </row>
    <row r="28" spans="3:24" x14ac:dyDescent="0.35">
      <c r="C28" s="88" t="s">
        <v>20993</v>
      </c>
      <c r="D28" s="1"/>
      <c r="E28" s="1">
        <v>5000</v>
      </c>
      <c r="F28" s="1">
        <v>5000</v>
      </c>
      <c r="G28" s="1">
        <v>5000</v>
      </c>
      <c r="H28" s="1">
        <v>5000</v>
      </c>
      <c r="I28" s="1">
        <v>5000</v>
      </c>
      <c r="J28" s="1">
        <v>5000</v>
      </c>
      <c r="K28" s="1"/>
      <c r="L28" s="1"/>
      <c r="M28" s="1"/>
      <c r="N28" s="1"/>
      <c r="O28" s="1"/>
      <c r="P28" s="1"/>
      <c r="Q28" s="1"/>
      <c r="R28" s="1"/>
      <c r="S28" s="1"/>
      <c r="T28" s="1"/>
      <c r="U28" s="1"/>
      <c r="V28" s="1"/>
      <c r="W28" s="1"/>
      <c r="X28" s="1">
        <v>30000</v>
      </c>
    </row>
    <row r="29" spans="3:24" x14ac:dyDescent="0.35">
      <c r="C29" s="88" t="s">
        <v>21008</v>
      </c>
      <c r="D29" s="1"/>
      <c r="E29" s="1"/>
      <c r="F29" s="1"/>
      <c r="G29" s="1"/>
      <c r="H29" s="1"/>
      <c r="I29" s="1"/>
      <c r="J29" s="1"/>
      <c r="K29" s="1"/>
      <c r="L29" s="1">
        <v>500000</v>
      </c>
      <c r="M29" s="1">
        <v>500000</v>
      </c>
      <c r="N29" s="1">
        <v>500000</v>
      </c>
      <c r="O29" s="1">
        <v>500000</v>
      </c>
      <c r="P29" s="1">
        <v>500000</v>
      </c>
      <c r="Q29" s="1">
        <v>500000</v>
      </c>
      <c r="R29" s="1">
        <v>500000</v>
      </c>
      <c r="S29" s="1">
        <v>500000</v>
      </c>
      <c r="T29" s="1">
        <v>500000</v>
      </c>
      <c r="U29" s="1">
        <v>500000</v>
      </c>
      <c r="V29" s="1">
        <v>500000</v>
      </c>
      <c r="W29" s="1">
        <v>500000</v>
      </c>
      <c r="X29" s="1">
        <v>6000000</v>
      </c>
    </row>
    <row r="30" spans="3:24" x14ac:dyDescent="0.35">
      <c r="C30" s="88" t="s">
        <v>20995</v>
      </c>
      <c r="D30" s="1"/>
      <c r="E30" s="1">
        <v>50000.000000000007</v>
      </c>
      <c r="F30" s="1">
        <v>50000.000000000007</v>
      </c>
      <c r="G30" s="1">
        <v>50000.000000000007</v>
      </c>
      <c r="H30" s="1">
        <v>50000.000000000007</v>
      </c>
      <c r="I30" s="1">
        <v>50000.000000000007</v>
      </c>
      <c r="J30" s="1">
        <v>50000.000000000007</v>
      </c>
      <c r="K30" s="1"/>
      <c r="L30" s="1">
        <v>50000.000000000007</v>
      </c>
      <c r="M30" s="1">
        <v>50000.000000000007</v>
      </c>
      <c r="N30" s="1">
        <v>50000.000000000007</v>
      </c>
      <c r="O30" s="1">
        <v>50000.000000000007</v>
      </c>
      <c r="P30" s="1">
        <v>50000.000000000007</v>
      </c>
      <c r="Q30" s="1">
        <v>50000.000000000007</v>
      </c>
      <c r="R30" s="1">
        <v>50000.000000000007</v>
      </c>
      <c r="S30" s="1">
        <v>50000.000000000007</v>
      </c>
      <c r="T30" s="1"/>
      <c r="U30" s="1"/>
      <c r="V30" s="1"/>
      <c r="W30" s="1"/>
      <c r="X30" s="1">
        <v>700000.00000000012</v>
      </c>
    </row>
    <row r="31" spans="3:24" x14ac:dyDescent="0.35">
      <c r="C31" s="88" t="s">
        <v>20996</v>
      </c>
      <c r="D31" s="1"/>
      <c r="E31" s="1">
        <v>20000</v>
      </c>
      <c r="F31" s="1">
        <v>20000</v>
      </c>
      <c r="G31" s="1">
        <v>20000</v>
      </c>
      <c r="H31" s="1">
        <v>20000</v>
      </c>
      <c r="I31" s="1">
        <v>20000</v>
      </c>
      <c r="J31" s="1">
        <v>20000</v>
      </c>
      <c r="K31" s="1"/>
      <c r="L31" s="1"/>
      <c r="M31" s="1"/>
      <c r="N31" s="1"/>
      <c r="O31" s="1"/>
      <c r="P31" s="1"/>
      <c r="Q31" s="1"/>
      <c r="R31" s="1"/>
      <c r="S31" s="1"/>
      <c r="T31" s="1"/>
      <c r="U31" s="1"/>
      <c r="V31" s="1"/>
      <c r="W31" s="1"/>
      <c r="X31" s="1">
        <v>120000</v>
      </c>
    </row>
    <row r="32" spans="3:24" x14ac:dyDescent="0.35">
      <c r="C32" s="88" t="s">
        <v>20997</v>
      </c>
      <c r="D32" s="1"/>
      <c r="E32" s="1">
        <v>25000.000000000004</v>
      </c>
      <c r="F32" s="1">
        <v>25000.000000000004</v>
      </c>
      <c r="G32" s="1">
        <v>25000.000000000004</v>
      </c>
      <c r="H32" s="1">
        <v>25000.000000000004</v>
      </c>
      <c r="I32" s="1">
        <v>25000.000000000004</v>
      </c>
      <c r="J32" s="1">
        <v>25000.000000000004</v>
      </c>
      <c r="K32" s="1"/>
      <c r="L32" s="1"/>
      <c r="M32" s="1"/>
      <c r="N32" s="1"/>
      <c r="O32" s="1"/>
      <c r="P32" s="1"/>
      <c r="Q32" s="1"/>
      <c r="R32" s="1"/>
      <c r="S32" s="1"/>
      <c r="T32" s="1"/>
      <c r="U32" s="1"/>
      <c r="V32" s="1"/>
      <c r="W32" s="1"/>
      <c r="X32" s="1">
        <v>150000.00000000003</v>
      </c>
    </row>
    <row r="33" spans="3:24" x14ac:dyDescent="0.35">
      <c r="C33" s="88" t="s">
        <v>20998</v>
      </c>
      <c r="D33" s="1"/>
      <c r="E33" s="1">
        <v>150000</v>
      </c>
      <c r="F33" s="1">
        <v>150000</v>
      </c>
      <c r="G33" s="1">
        <v>150000</v>
      </c>
      <c r="H33" s="1">
        <v>150000</v>
      </c>
      <c r="I33" s="1">
        <v>150000</v>
      </c>
      <c r="J33" s="1">
        <v>150000</v>
      </c>
      <c r="K33" s="1"/>
      <c r="L33" s="1">
        <v>150000</v>
      </c>
      <c r="M33" s="1">
        <v>150000</v>
      </c>
      <c r="N33" s="1">
        <v>150000</v>
      </c>
      <c r="O33" s="1">
        <v>150000</v>
      </c>
      <c r="P33" s="1">
        <v>150000</v>
      </c>
      <c r="Q33" s="1">
        <v>150000</v>
      </c>
      <c r="R33" s="1"/>
      <c r="S33" s="1"/>
      <c r="T33" s="1"/>
      <c r="U33" s="1"/>
      <c r="V33" s="1"/>
      <c r="W33" s="1"/>
      <c r="X33" s="1">
        <v>1800000</v>
      </c>
    </row>
    <row r="34" spans="3:24" x14ac:dyDescent="0.35">
      <c r="C34" s="88" t="s">
        <v>20999</v>
      </c>
      <c r="D34" s="1"/>
      <c r="E34" s="1">
        <v>25000.000000000004</v>
      </c>
      <c r="F34" s="1">
        <v>25000.000000000004</v>
      </c>
      <c r="G34" s="1">
        <v>25000.000000000004</v>
      </c>
      <c r="H34" s="1">
        <v>25000.000000000004</v>
      </c>
      <c r="I34" s="1">
        <v>25000.000000000004</v>
      </c>
      <c r="J34" s="1">
        <v>25000.000000000004</v>
      </c>
      <c r="K34" s="1"/>
      <c r="L34" s="1">
        <v>25000.000000000004</v>
      </c>
      <c r="M34" s="1">
        <v>25000.000000000004</v>
      </c>
      <c r="N34" s="1">
        <v>25000.000000000004</v>
      </c>
      <c r="O34" s="1">
        <v>25000.000000000004</v>
      </c>
      <c r="P34" s="1">
        <v>25000.000000000004</v>
      </c>
      <c r="Q34" s="1">
        <v>25000.000000000004</v>
      </c>
      <c r="R34" s="1"/>
      <c r="S34" s="1"/>
      <c r="T34" s="1"/>
      <c r="U34" s="1"/>
      <c r="V34" s="1"/>
      <c r="W34" s="1"/>
      <c r="X34" s="1">
        <v>300000.00000000006</v>
      </c>
    </row>
    <row r="35" spans="3:24" x14ac:dyDescent="0.35">
      <c r="C35" s="88" t="s">
        <v>21000</v>
      </c>
      <c r="D35" s="1"/>
      <c r="E35" s="1">
        <v>25000.000000000004</v>
      </c>
      <c r="F35" s="1">
        <v>25000.000000000004</v>
      </c>
      <c r="G35" s="1">
        <v>25000.000000000004</v>
      </c>
      <c r="H35" s="1">
        <v>25000.000000000004</v>
      </c>
      <c r="I35" s="1">
        <v>25000.000000000004</v>
      </c>
      <c r="J35" s="1">
        <v>25000.000000000004</v>
      </c>
      <c r="K35" s="1"/>
      <c r="L35" s="1">
        <v>35000</v>
      </c>
      <c r="M35" s="1">
        <v>35000</v>
      </c>
      <c r="N35" s="1">
        <v>35000</v>
      </c>
      <c r="O35" s="1">
        <v>35000</v>
      </c>
      <c r="P35" s="1">
        <v>35000</v>
      </c>
      <c r="Q35" s="1">
        <v>35000</v>
      </c>
      <c r="R35" s="1">
        <v>35000</v>
      </c>
      <c r="S35" s="1"/>
      <c r="T35" s="1"/>
      <c r="U35" s="1"/>
      <c r="V35" s="1"/>
      <c r="W35" s="1"/>
      <c r="X35" s="1">
        <v>395000</v>
      </c>
    </row>
    <row r="36" spans="3:24" x14ac:dyDescent="0.35">
      <c r="C36" s="88" t="s">
        <v>21007</v>
      </c>
      <c r="D36" s="1"/>
      <c r="E36" s="1"/>
      <c r="F36" s="1"/>
      <c r="G36" s="1"/>
      <c r="H36" s="1"/>
      <c r="I36" s="1"/>
      <c r="J36" s="1"/>
      <c r="K36" s="1"/>
      <c r="L36" s="1">
        <v>25000.000000000004</v>
      </c>
      <c r="M36" s="1">
        <v>25000.000000000004</v>
      </c>
      <c r="N36" s="1">
        <v>25000.000000000004</v>
      </c>
      <c r="O36" s="1">
        <v>25000.000000000004</v>
      </c>
      <c r="P36" s="1">
        <v>25000.000000000004</v>
      </c>
      <c r="Q36" s="1">
        <v>25000.000000000004</v>
      </c>
      <c r="R36" s="1"/>
      <c r="S36" s="1"/>
      <c r="T36" s="1"/>
      <c r="U36" s="1"/>
      <c r="V36" s="1"/>
      <c r="W36" s="1"/>
      <c r="X36" s="1">
        <v>150000.00000000003</v>
      </c>
    </row>
    <row r="37" spans="3:24" x14ac:dyDescent="0.35">
      <c r="C37" s="88" t="s">
        <v>21001</v>
      </c>
      <c r="D37" s="1"/>
      <c r="E37" s="1">
        <v>40000</v>
      </c>
      <c r="F37" s="1">
        <v>40000</v>
      </c>
      <c r="G37" s="1">
        <v>40000</v>
      </c>
      <c r="H37" s="1">
        <v>40000</v>
      </c>
      <c r="I37" s="1">
        <v>40000</v>
      </c>
      <c r="J37" s="1">
        <v>40000</v>
      </c>
      <c r="K37" s="1"/>
      <c r="L37" s="1">
        <v>40000</v>
      </c>
      <c r="M37" s="1">
        <v>40000</v>
      </c>
      <c r="N37" s="1">
        <v>40000</v>
      </c>
      <c r="O37" s="1">
        <v>40000</v>
      </c>
      <c r="P37" s="1">
        <v>40000</v>
      </c>
      <c r="Q37" s="1">
        <v>40000</v>
      </c>
      <c r="R37" s="1">
        <v>40000</v>
      </c>
      <c r="S37" s="1">
        <v>40000</v>
      </c>
      <c r="T37" s="1">
        <v>40000</v>
      </c>
      <c r="U37" s="1"/>
      <c r="V37" s="1"/>
      <c r="W37" s="1"/>
      <c r="X37" s="1">
        <v>600000</v>
      </c>
    </row>
    <row r="38" spans="3:24" x14ac:dyDescent="0.35">
      <c r="C38" s="88" t="s">
        <v>21002</v>
      </c>
      <c r="D38" s="1"/>
      <c r="E38" s="1">
        <v>100000.00000000001</v>
      </c>
      <c r="F38" s="1">
        <v>100000.00000000001</v>
      </c>
      <c r="G38" s="1">
        <v>100000.00000000001</v>
      </c>
      <c r="H38" s="1">
        <v>100000.00000000001</v>
      </c>
      <c r="I38" s="1">
        <v>100000.00000000001</v>
      </c>
      <c r="J38" s="1">
        <v>100000.00000000001</v>
      </c>
      <c r="K38" s="1"/>
      <c r="L38" s="1">
        <v>100000.00000000001</v>
      </c>
      <c r="M38" s="1">
        <v>100000.00000000001</v>
      </c>
      <c r="N38" s="1">
        <v>100000.00000000001</v>
      </c>
      <c r="O38" s="1">
        <v>100000.00000000001</v>
      </c>
      <c r="P38" s="1"/>
      <c r="Q38" s="1"/>
      <c r="R38" s="1"/>
      <c r="S38" s="1"/>
      <c r="T38" s="1"/>
      <c r="U38" s="1"/>
      <c r="V38" s="1"/>
      <c r="W38" s="1"/>
      <c r="X38" s="1">
        <v>1000000.0000000001</v>
      </c>
    </row>
    <row r="39" spans="3:24" x14ac:dyDescent="0.35">
      <c r="C39" s="87" t="s">
        <v>61</v>
      </c>
      <c r="D39" s="1"/>
      <c r="E39" s="1"/>
      <c r="F39" s="1"/>
      <c r="G39" s="1"/>
      <c r="H39" s="1"/>
      <c r="I39" s="1"/>
      <c r="J39" s="1"/>
      <c r="K39" s="1"/>
      <c r="L39" s="1"/>
      <c r="M39" s="1"/>
      <c r="N39" s="1"/>
      <c r="O39" s="1"/>
      <c r="P39" s="1"/>
      <c r="Q39" s="1"/>
      <c r="R39" s="1"/>
      <c r="S39" s="1"/>
      <c r="T39" s="1"/>
      <c r="U39" s="1"/>
      <c r="V39" s="1"/>
      <c r="W39" s="1"/>
      <c r="X39" s="1"/>
    </row>
    <row r="40" spans="3:24" x14ac:dyDescent="0.35">
      <c r="C40" s="88" t="s">
        <v>61</v>
      </c>
      <c r="D40" s="1"/>
      <c r="E40" s="1"/>
      <c r="F40" s="1"/>
      <c r="G40" s="1"/>
      <c r="H40" s="1"/>
      <c r="I40" s="1"/>
      <c r="J40" s="1"/>
      <c r="K40" s="1"/>
      <c r="L40" s="1"/>
      <c r="M40" s="1"/>
      <c r="N40" s="1"/>
      <c r="O40" s="1"/>
      <c r="P40" s="1"/>
      <c r="Q40" s="1"/>
      <c r="R40" s="1"/>
      <c r="S40" s="1"/>
      <c r="T40" s="1"/>
      <c r="U40" s="1"/>
      <c r="V40" s="1"/>
      <c r="W40" s="1"/>
      <c r="X40" s="1"/>
    </row>
    <row r="41" spans="3:24" x14ac:dyDescent="0.35">
      <c r="C41" s="87" t="s">
        <v>21014</v>
      </c>
      <c r="D41" s="1"/>
      <c r="E41" s="1"/>
      <c r="F41" s="1"/>
      <c r="G41" s="1"/>
      <c r="H41" s="1"/>
      <c r="I41" s="1"/>
      <c r="J41" s="1"/>
      <c r="K41" s="1">
        <v>5520000</v>
      </c>
      <c r="L41" s="1">
        <v>20000</v>
      </c>
      <c r="M41" s="1"/>
      <c r="N41" s="1"/>
      <c r="O41" s="1"/>
      <c r="P41" s="1"/>
      <c r="Q41" s="1"/>
      <c r="R41" s="1"/>
      <c r="S41" s="1"/>
      <c r="T41" s="1"/>
      <c r="U41" s="1"/>
      <c r="V41" s="1"/>
      <c r="W41" s="1"/>
      <c r="X41" s="1">
        <v>5540000</v>
      </c>
    </row>
    <row r="42" spans="3:24" x14ac:dyDescent="0.35">
      <c r="C42" s="88"/>
      <c r="D42" s="1"/>
      <c r="E42" s="1"/>
      <c r="F42" s="1"/>
      <c r="G42" s="1"/>
      <c r="H42" s="1"/>
      <c r="I42" s="1"/>
      <c r="J42" s="1"/>
      <c r="K42" s="1">
        <v>5520000</v>
      </c>
      <c r="L42" s="1">
        <v>20000</v>
      </c>
      <c r="M42" s="1"/>
      <c r="N42" s="1"/>
      <c r="O42" s="1"/>
      <c r="P42" s="1"/>
      <c r="Q42" s="1"/>
      <c r="R42" s="1"/>
      <c r="S42" s="1"/>
      <c r="T42" s="1"/>
      <c r="U42" s="1"/>
      <c r="V42" s="1"/>
      <c r="W42" s="1"/>
      <c r="X42" s="1">
        <v>5540000</v>
      </c>
    </row>
    <row r="43" spans="3:24" x14ac:dyDescent="0.35">
      <c r="C43" s="87" t="s">
        <v>62</v>
      </c>
      <c r="D43" s="1"/>
      <c r="E43" s="1">
        <v>1015000</v>
      </c>
      <c r="F43" s="1">
        <v>966000</v>
      </c>
      <c r="G43" s="1">
        <v>966000</v>
      </c>
      <c r="H43" s="1">
        <v>966000</v>
      </c>
      <c r="I43" s="1">
        <v>966000</v>
      </c>
      <c r="J43" s="1">
        <v>966000</v>
      </c>
      <c r="K43" s="1">
        <v>5520000</v>
      </c>
      <c r="L43" s="1">
        <v>1425000</v>
      </c>
      <c r="M43" s="1">
        <v>1405000</v>
      </c>
      <c r="N43" s="1">
        <v>1405000</v>
      </c>
      <c r="O43" s="1">
        <v>1365000</v>
      </c>
      <c r="P43" s="1">
        <v>1205000</v>
      </c>
      <c r="Q43" s="1">
        <v>1205000</v>
      </c>
      <c r="R43" s="1">
        <v>975000</v>
      </c>
      <c r="S43" s="1">
        <v>770000</v>
      </c>
      <c r="T43" s="1">
        <v>645000</v>
      </c>
      <c r="U43" s="1">
        <v>505000</v>
      </c>
      <c r="V43" s="1">
        <v>505000</v>
      </c>
      <c r="W43" s="1">
        <v>505000</v>
      </c>
      <c r="X43" s="1">
        <v>23280000</v>
      </c>
    </row>
  </sheetData>
  <conditionalFormatting sqref="C2:AB2">
    <cfRule type="expression" dxfId="38" priority="1">
      <formula>IF($B$2="Protected",FALSE,TRUE)</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sheetPr>
  <dimension ref="A1:BL57"/>
  <sheetViews>
    <sheetView showGridLines="0" workbookViewId="0">
      <pane xSplit="12" ySplit="12" topLeftCell="M13" activePane="bottomRight" state="frozenSplit"/>
      <selection activeCell="I1" sqref="I1"/>
      <selection pane="topRight" activeCell="M1" sqref="M1"/>
      <selection pane="bottomLeft" activeCell="I13" sqref="I13"/>
      <selection pane="bottomRight" activeCell="L12" sqref="L12"/>
    </sheetView>
  </sheetViews>
  <sheetFormatPr defaultColWidth="9.1796875" defaultRowHeight="14.5" x14ac:dyDescent="0.35"/>
  <cols>
    <col min="1" max="1" width="9.1796875" style="30" hidden="1" customWidth="1"/>
    <col min="2" max="8" width="9.1796875" style="32" hidden="1" customWidth="1"/>
    <col min="9" max="9" width="1.7265625" style="33" hidden="1" customWidth="1"/>
    <col min="10" max="10" width="4.7265625" style="32" customWidth="1"/>
    <col min="11" max="11" width="12.81640625" style="32" customWidth="1"/>
    <col min="12" max="12" width="33.81640625" style="32" bestFit="1" customWidth="1"/>
    <col min="13" max="13" width="9.1796875" style="32" hidden="1" customWidth="1"/>
    <col min="14" max="21" width="9.1796875" style="32" customWidth="1"/>
    <col min="22" max="24" width="9.7265625" style="32" customWidth="1"/>
    <col min="25" max="25" width="9.1796875" style="32" customWidth="1"/>
    <col min="26" max="37" width="9.1796875" style="32"/>
    <col min="38" max="38" width="11" style="32" customWidth="1"/>
    <col min="39" max="39" width="9.1796875" style="32" customWidth="1"/>
    <col min="40" max="40" width="1.7265625" style="33" hidden="1" customWidth="1"/>
    <col min="41" max="52" width="9.1796875" style="32" hidden="1" customWidth="1"/>
    <col min="53" max="54" width="9.54296875" style="32" hidden="1" customWidth="1"/>
    <col min="55" max="55" width="9.81640625" style="32" hidden="1" customWidth="1"/>
    <col min="56" max="64" width="9.1796875" style="32" hidden="1" customWidth="1"/>
    <col min="65" max="65" width="9.1796875" style="32" customWidth="1"/>
    <col min="66" max="16384" width="9.1796875" style="32"/>
  </cols>
  <sheetData>
    <row r="1" spans="1:64" s="30" customFormat="1" hidden="1" x14ac:dyDescent="0.35">
      <c r="A1" s="30" t="s">
        <v>16531</v>
      </c>
      <c r="B1" s="30" t="s">
        <v>22</v>
      </c>
      <c r="C1" s="30" t="s">
        <v>22</v>
      </c>
      <c r="D1" s="30" t="s">
        <v>22</v>
      </c>
      <c r="E1" s="30" t="s">
        <v>22</v>
      </c>
      <c r="F1" s="30" t="s">
        <v>22</v>
      </c>
      <c r="G1" s="30" t="s">
        <v>22</v>
      </c>
      <c r="H1" s="30" t="s">
        <v>22</v>
      </c>
      <c r="I1" s="30" t="s">
        <v>22</v>
      </c>
      <c r="L1" s="30" t="s">
        <v>21</v>
      </c>
      <c r="M1" s="30" t="s">
        <v>22</v>
      </c>
      <c r="AN1" s="30" t="s">
        <v>22</v>
      </c>
      <c r="AO1" s="30" t="s">
        <v>22</v>
      </c>
      <c r="AP1" s="30" t="s">
        <v>22</v>
      </c>
      <c r="AQ1" s="30" t="s">
        <v>22</v>
      </c>
      <c r="AR1" s="30" t="s">
        <v>22</v>
      </c>
      <c r="AS1" s="30" t="s">
        <v>22</v>
      </c>
      <c r="AT1" s="30" t="s">
        <v>22</v>
      </c>
      <c r="AU1" s="30" t="s">
        <v>22</v>
      </c>
      <c r="AV1" s="30" t="s">
        <v>22</v>
      </c>
      <c r="AW1" s="30" t="s">
        <v>22</v>
      </c>
      <c r="AX1" s="30" t="s">
        <v>22</v>
      </c>
      <c r="AY1" s="30" t="s">
        <v>22</v>
      </c>
      <c r="AZ1" s="30" t="s">
        <v>22</v>
      </c>
      <c r="BA1" s="30" t="s">
        <v>22</v>
      </c>
      <c r="BB1" s="30" t="s">
        <v>22</v>
      </c>
      <c r="BC1" s="30" t="s">
        <v>22</v>
      </c>
      <c r="BD1" s="30" t="s">
        <v>22</v>
      </c>
      <c r="BE1" s="30" t="s">
        <v>22</v>
      </c>
      <c r="BF1" s="30" t="s">
        <v>22</v>
      </c>
      <c r="BG1" s="30" t="s">
        <v>22</v>
      </c>
      <c r="BH1" s="30" t="s">
        <v>22</v>
      </c>
      <c r="BI1" s="30" t="s">
        <v>22</v>
      </c>
      <c r="BJ1" s="30" t="s">
        <v>22</v>
      </c>
      <c r="BK1" s="30" t="s">
        <v>22</v>
      </c>
      <c r="BL1" s="30" t="s">
        <v>22</v>
      </c>
    </row>
    <row r="2" spans="1:64" ht="18.5" x14ac:dyDescent="0.45">
      <c r="A2" s="31"/>
      <c r="K2" s="34" t="str">
        <f>IF(H4="Protected","","Admin Mode: Excel tidak terkunci, jangan dibagikan ke lingkungan")</f>
        <v>Admin Mode: Excel tidak terkunci, jangan dibagikan ke lingkungan</v>
      </c>
    </row>
    <row r="3" spans="1:64" ht="23.5" x14ac:dyDescent="0.55000000000000004">
      <c r="H3" s="126" t="s">
        <v>38</v>
      </c>
      <c r="J3" s="35" t="s">
        <v>67</v>
      </c>
      <c r="AO3" s="32" t="s">
        <v>35</v>
      </c>
    </row>
    <row r="4" spans="1:64" x14ac:dyDescent="0.35">
      <c r="C4" s="36"/>
      <c r="H4" s="30">
        <f>Options!B4</f>
        <v>0</v>
      </c>
      <c r="T4" s="37"/>
      <c r="U4" s="38" t="s">
        <v>81</v>
      </c>
      <c r="AO4" s="32" t="s">
        <v>84</v>
      </c>
    </row>
    <row r="5" spans="1:64" ht="29" x14ac:dyDescent="0.35">
      <c r="F5" s="39" t="s">
        <v>47</v>
      </c>
      <c r="K5" s="39" t="s">
        <v>1</v>
      </c>
      <c r="L5" s="30" t="s">
        <v>20975</v>
      </c>
      <c r="M5" s="30" t="s">
        <v>20976</v>
      </c>
      <c r="T5" s="40"/>
      <c r="U5" s="38" t="s">
        <v>71</v>
      </c>
      <c r="AO5" s="32" t="s">
        <v>36</v>
      </c>
    </row>
    <row r="6" spans="1:64" x14ac:dyDescent="0.35">
      <c r="F6" s="30" t="s">
        <v>46</v>
      </c>
      <c r="K6" s="39" t="s">
        <v>44</v>
      </c>
      <c r="L6" s="30" t="s">
        <v>68</v>
      </c>
      <c r="M6" s="30" t="s">
        <v>21011</v>
      </c>
    </row>
    <row r="8" spans="1:64" hidden="1" x14ac:dyDescent="0.35">
      <c r="A8" s="30" t="s">
        <v>22</v>
      </c>
      <c r="D8" s="32" t="s">
        <v>115</v>
      </c>
      <c r="M8" s="30" t="b">
        <f ca="1">CELL("col")=CELL("col",M8)</f>
        <v>0</v>
      </c>
      <c r="N8" s="30" t="b">
        <f t="shared" ref="N8:AK8" ca="1" si="0">CELL("col")=CELL("col",N8)</f>
        <v>0</v>
      </c>
      <c r="O8" s="30" t="b">
        <f t="shared" ca="1" si="0"/>
        <v>0</v>
      </c>
      <c r="P8" s="30" t="b">
        <f t="shared" ca="1" si="0"/>
        <v>0</v>
      </c>
      <c r="Q8" s="30" t="b">
        <f t="shared" ca="1" si="0"/>
        <v>0</v>
      </c>
      <c r="R8" s="30" t="b">
        <f t="shared" ca="1" si="0"/>
        <v>0</v>
      </c>
      <c r="S8" s="30" t="b">
        <f t="shared" ca="1" si="0"/>
        <v>0</v>
      </c>
      <c r="T8" s="30" t="b">
        <f t="shared" ca="1" si="0"/>
        <v>0</v>
      </c>
      <c r="U8" s="30" t="b">
        <f t="shared" ca="1" si="0"/>
        <v>0</v>
      </c>
      <c r="V8" s="30" t="b">
        <f t="shared" ca="1" si="0"/>
        <v>0</v>
      </c>
      <c r="W8" s="30" t="b">
        <f t="shared" ca="1" si="0"/>
        <v>0</v>
      </c>
      <c r="X8" s="30" t="b">
        <f t="shared" ca="1" si="0"/>
        <v>0</v>
      </c>
      <c r="Y8" s="30" t="b">
        <f t="shared" ca="1" si="0"/>
        <v>0</v>
      </c>
      <c r="Z8" s="30" t="b">
        <f t="shared" ca="1" si="0"/>
        <v>0</v>
      </c>
      <c r="AA8" s="30" t="b">
        <f t="shared" ca="1" si="0"/>
        <v>0</v>
      </c>
      <c r="AB8" s="30" t="b">
        <f t="shared" ca="1" si="0"/>
        <v>0</v>
      </c>
      <c r="AC8" s="30" t="b">
        <f t="shared" ca="1" si="0"/>
        <v>0</v>
      </c>
      <c r="AD8" s="30" t="b">
        <f t="shared" ca="1" si="0"/>
        <v>0</v>
      </c>
      <c r="AE8" s="30" t="b">
        <f t="shared" ca="1" si="0"/>
        <v>0</v>
      </c>
      <c r="AF8" s="30" t="b">
        <f t="shared" ca="1" si="0"/>
        <v>0</v>
      </c>
      <c r="AG8" s="30" t="b">
        <f t="shared" ca="1" si="0"/>
        <v>0</v>
      </c>
      <c r="AH8" s="30" t="b">
        <f t="shared" ca="1" si="0"/>
        <v>0</v>
      </c>
      <c r="AI8" s="30" t="b">
        <f t="shared" ca="1" si="0"/>
        <v>0</v>
      </c>
      <c r="AJ8" s="30" t="b">
        <f t="shared" ca="1" si="0"/>
        <v>0</v>
      </c>
      <c r="AK8" s="30" t="b">
        <f t="shared" ca="1" si="0"/>
        <v>0</v>
      </c>
    </row>
    <row r="9" spans="1:64" hidden="1" x14ac:dyDescent="0.35">
      <c r="A9" s="30" t="s">
        <v>22</v>
      </c>
      <c r="D9" s="32" t="s">
        <v>72</v>
      </c>
      <c r="M9" s="30">
        <f>COUNTIF(N12:AK12,"&gt;0")</f>
        <v>0</v>
      </c>
      <c r="N9" s="30">
        <f>IF(N$12=0,0,1)</f>
        <v>0</v>
      </c>
      <c r="O9" s="30">
        <f t="shared" ref="O9:AK9" si="1">IF(N9=$M$9,0,
        IF(O$12=0,N9,N9+1))</f>
        <v>0</v>
      </c>
      <c r="P9" s="30">
        <f t="shared" si="1"/>
        <v>0</v>
      </c>
      <c r="Q9" s="30">
        <f t="shared" si="1"/>
        <v>0</v>
      </c>
      <c r="R9" s="30">
        <f t="shared" si="1"/>
        <v>0</v>
      </c>
      <c r="S9" s="41">
        <f t="shared" si="1"/>
        <v>0</v>
      </c>
      <c r="T9" s="42">
        <f t="shared" si="1"/>
        <v>0</v>
      </c>
      <c r="U9" s="30">
        <f t="shared" si="1"/>
        <v>0</v>
      </c>
      <c r="V9" s="30">
        <f t="shared" si="1"/>
        <v>0</v>
      </c>
      <c r="W9" s="30">
        <f t="shared" si="1"/>
        <v>0</v>
      </c>
      <c r="X9" s="30">
        <f t="shared" si="1"/>
        <v>0</v>
      </c>
      <c r="Y9" s="30">
        <f t="shared" si="1"/>
        <v>0</v>
      </c>
      <c r="Z9" s="30">
        <f t="shared" si="1"/>
        <v>0</v>
      </c>
      <c r="AA9" s="30">
        <f t="shared" si="1"/>
        <v>0</v>
      </c>
      <c r="AB9" s="30">
        <f t="shared" si="1"/>
        <v>0</v>
      </c>
      <c r="AC9" s="30">
        <f t="shared" si="1"/>
        <v>0</v>
      </c>
      <c r="AD9" s="30">
        <f t="shared" si="1"/>
        <v>0</v>
      </c>
      <c r="AE9" s="41">
        <f t="shared" si="1"/>
        <v>0</v>
      </c>
      <c r="AF9" s="42">
        <f t="shared" si="1"/>
        <v>0</v>
      </c>
      <c r="AG9" s="30">
        <f t="shared" si="1"/>
        <v>0</v>
      </c>
      <c r="AH9" s="30">
        <f t="shared" si="1"/>
        <v>0</v>
      </c>
      <c r="AI9" s="30">
        <f t="shared" si="1"/>
        <v>0</v>
      </c>
      <c r="AJ9" s="30">
        <f t="shared" si="1"/>
        <v>0</v>
      </c>
      <c r="AK9" s="30">
        <f t="shared" si="1"/>
        <v>0</v>
      </c>
    </row>
    <row r="10" spans="1:64" x14ac:dyDescent="0.35">
      <c r="C10" s="126" t="s">
        <v>116</v>
      </c>
      <c r="D10" s="126" t="s">
        <v>43</v>
      </c>
      <c r="E10" s="126" t="s">
        <v>39</v>
      </c>
      <c r="F10" s="126" t="s">
        <v>40</v>
      </c>
      <c r="G10" s="126" t="s">
        <v>41</v>
      </c>
      <c r="H10" s="126" t="s">
        <v>42</v>
      </c>
      <c r="J10" s="141"/>
      <c r="K10" s="140" t="s">
        <v>2</v>
      </c>
      <c r="L10" s="140" t="s">
        <v>3</v>
      </c>
      <c r="M10" s="126"/>
      <c r="N10" s="133">
        <f>T10-1</f>
        <v>2015</v>
      </c>
      <c r="O10" s="134"/>
      <c r="P10" s="134"/>
      <c r="Q10" s="134"/>
      <c r="R10" s="134"/>
      <c r="S10" s="135"/>
      <c r="T10" s="136">
        <v>2016</v>
      </c>
      <c r="U10" s="136"/>
      <c r="V10" s="136"/>
      <c r="W10" s="136"/>
      <c r="X10" s="136"/>
      <c r="Y10" s="136"/>
      <c r="Z10" s="136"/>
      <c r="AA10" s="136"/>
      <c r="AB10" s="136"/>
      <c r="AC10" s="136"/>
      <c r="AD10" s="136"/>
      <c r="AE10" s="137"/>
      <c r="AF10" s="138">
        <f>T10+1</f>
        <v>2017</v>
      </c>
      <c r="AG10" s="134"/>
      <c r="AH10" s="134"/>
      <c r="AI10" s="134"/>
      <c r="AJ10" s="134"/>
      <c r="AK10" s="139"/>
      <c r="AL10" s="141" t="s">
        <v>82</v>
      </c>
      <c r="AO10" s="133">
        <f>AU10-1</f>
        <v>2015</v>
      </c>
      <c r="AP10" s="134"/>
      <c r="AQ10" s="134"/>
      <c r="AR10" s="134"/>
      <c r="AS10" s="134"/>
      <c r="AT10" s="135"/>
      <c r="AU10" s="136">
        <v>2016</v>
      </c>
      <c r="AV10" s="136"/>
      <c r="AW10" s="136"/>
      <c r="AX10" s="136"/>
      <c r="AY10" s="136"/>
      <c r="AZ10" s="136"/>
      <c r="BA10" s="136"/>
      <c r="BB10" s="136"/>
      <c r="BC10" s="136"/>
      <c r="BD10" s="136"/>
      <c r="BE10" s="136"/>
      <c r="BF10" s="137"/>
      <c r="BG10" s="138">
        <f>AU10+1</f>
        <v>2017</v>
      </c>
      <c r="BH10" s="134"/>
      <c r="BI10" s="134"/>
      <c r="BJ10" s="134"/>
      <c r="BK10" s="134"/>
      <c r="BL10" s="139"/>
    </row>
    <row r="11" spans="1:64" x14ac:dyDescent="0.35">
      <c r="C11" s="36"/>
      <c r="D11" s="30">
        <f>ROW(N13)</f>
        <v>13</v>
      </c>
      <c r="E11" s="30">
        <f>COLUMN(N13)</f>
        <v>14</v>
      </c>
      <c r="F11" s="30">
        <f>COLUMN(AK13)</f>
        <v>37</v>
      </c>
      <c r="G11" s="30">
        <f>F11-E11+1</f>
        <v>24</v>
      </c>
      <c r="H11" s="30">
        <f>COUNT(J13:J56)</f>
        <v>43</v>
      </c>
      <c r="J11" s="142"/>
      <c r="K11" s="140"/>
      <c r="L11" s="140"/>
      <c r="M11" s="126" t="s">
        <v>4</v>
      </c>
      <c r="N11" s="5">
        <f>DATE($N$10,7,1)</f>
        <v>42186</v>
      </c>
      <c r="O11" s="5">
        <f>DATE($N$10,8,1)</f>
        <v>42217</v>
      </c>
      <c r="P11" s="5">
        <f>DATE($N$10,9,1)</f>
        <v>42248</v>
      </c>
      <c r="Q11" s="5">
        <f>DATE($N$10,10,1)</f>
        <v>42278</v>
      </c>
      <c r="R11" s="5">
        <f>DATE($N$10,11,1)</f>
        <v>42309</v>
      </c>
      <c r="S11" s="6">
        <f>DATE($N$10,12,1)</f>
        <v>42339</v>
      </c>
      <c r="T11" s="29">
        <f>DATE($T$10,1,1)</f>
        <v>42370</v>
      </c>
      <c r="U11" s="5">
        <f>DATE($T$10,2,1)</f>
        <v>42401</v>
      </c>
      <c r="V11" s="5">
        <f>DATE($T$10,3,1)</f>
        <v>42430</v>
      </c>
      <c r="W11" s="5">
        <f>DATE($T$10,4,1)</f>
        <v>42461</v>
      </c>
      <c r="X11" s="5">
        <f>DATE($T$10,5,1)</f>
        <v>42491</v>
      </c>
      <c r="Y11" s="14">
        <f>DATE($T$10,6,1)</f>
        <v>42522</v>
      </c>
      <c r="Z11" s="5">
        <f>DATE($T$10,7,1)</f>
        <v>42552</v>
      </c>
      <c r="AA11" s="5">
        <f>DATE($T$10,8,1)</f>
        <v>42583</v>
      </c>
      <c r="AB11" s="5">
        <f>DATE($T$10,9,1)</f>
        <v>42614</v>
      </c>
      <c r="AC11" s="5">
        <f>DATE($T$10,10,1)</f>
        <v>42644</v>
      </c>
      <c r="AD11" s="5">
        <f>DATE($T$10,11,1)</f>
        <v>42675</v>
      </c>
      <c r="AE11" s="6">
        <f>DATE($T$10,12,1)</f>
        <v>42705</v>
      </c>
      <c r="AF11" s="29">
        <f>DATE($AF$10,1,1)</f>
        <v>42736</v>
      </c>
      <c r="AG11" s="29">
        <f>DATE($AF$10,2,1)</f>
        <v>42767</v>
      </c>
      <c r="AH11" s="29">
        <f>DATE($AF$10,3,1)</f>
        <v>42795</v>
      </c>
      <c r="AI11" s="29">
        <f>DATE($AF$10,4,1)</f>
        <v>42826</v>
      </c>
      <c r="AJ11" s="29">
        <f>DATE($AF$10,5,1)</f>
        <v>42856</v>
      </c>
      <c r="AK11" s="29">
        <f>DATE($AF$10,6,1)</f>
        <v>42887</v>
      </c>
      <c r="AL11" s="142"/>
      <c r="AO11" s="44">
        <f>DATE($N$10,7,1)</f>
        <v>42186</v>
      </c>
      <c r="AP11" s="44">
        <f>DATE($N$10,8,1)</f>
        <v>42217</v>
      </c>
      <c r="AQ11" s="44">
        <f>DATE($N$10,9,1)</f>
        <v>42248</v>
      </c>
      <c r="AR11" s="44">
        <f>DATE($N$10,10,1)</f>
        <v>42278</v>
      </c>
      <c r="AS11" s="44">
        <f>DATE($N$10,11,1)</f>
        <v>42309</v>
      </c>
      <c r="AT11" s="45">
        <f>DATE($N$10,12,1)</f>
        <v>42339</v>
      </c>
      <c r="AU11" s="125">
        <f>DATE($T$10,1,1)</f>
        <v>42370</v>
      </c>
      <c r="AV11" s="44">
        <f>DATE($T$10,2,1)</f>
        <v>42401</v>
      </c>
      <c r="AW11" s="44">
        <f>DATE($T$10,3,1)</f>
        <v>42430</v>
      </c>
      <c r="AX11" s="44">
        <f>DATE($T$10,4,1)</f>
        <v>42461</v>
      </c>
      <c r="AY11" s="44">
        <f>DATE($T$10,5,1)</f>
        <v>42491</v>
      </c>
      <c r="AZ11" s="44">
        <f>DATE($T$10,6,1)</f>
        <v>42522</v>
      </c>
      <c r="BA11" s="44">
        <f>DATE($T$10,7,1)</f>
        <v>42552</v>
      </c>
      <c r="BB11" s="44">
        <f>DATE($T$10,8,1)</f>
        <v>42583</v>
      </c>
      <c r="BC11" s="44">
        <f>DATE($T$10,9,1)</f>
        <v>42614</v>
      </c>
      <c r="BD11" s="44">
        <f>DATE($T$10,10,1)</f>
        <v>42644</v>
      </c>
      <c r="BE11" s="44">
        <f>DATE($T$10,11,1)</f>
        <v>42675</v>
      </c>
      <c r="BF11" s="45">
        <f>DATE($T$10,12,1)</f>
        <v>42705</v>
      </c>
      <c r="BG11" s="125">
        <f>DATE($AF$10,1,1)</f>
        <v>42736</v>
      </c>
      <c r="BH11" s="125">
        <f>DATE($AF$10,2,1)</f>
        <v>42767</v>
      </c>
      <c r="BI11" s="125">
        <f>DATE($AF$10,3,1)</f>
        <v>42795</v>
      </c>
      <c r="BJ11" s="125">
        <f>DATE($AF$10,4,1)</f>
        <v>42826</v>
      </c>
      <c r="BK11" s="125">
        <f>DATE($AF$10,5,1)</f>
        <v>42856</v>
      </c>
      <c r="BL11" s="125">
        <f>DATE($AF$10,6,1)</f>
        <v>42887</v>
      </c>
    </row>
    <row r="12" spans="1:64" x14ac:dyDescent="0.35">
      <c r="C12" s="36"/>
      <c r="H12" s="30">
        <f>COUNTIF(AL13:AL56,"&gt;0")</f>
        <v>0</v>
      </c>
      <c r="J12" s="126" t="s">
        <v>10</v>
      </c>
      <c r="K12" s="140"/>
      <c r="L12" s="126" t="s">
        <v>5</v>
      </c>
      <c r="M12" s="46"/>
      <c r="N12" s="7">
        <f t="shared" ref="N12:AK12" si="2">SUBTOTAL(9,N13:N56)</f>
        <v>0</v>
      </c>
      <c r="O12" s="7">
        <f t="shared" si="2"/>
        <v>0</v>
      </c>
      <c r="P12" s="7">
        <f t="shared" si="2"/>
        <v>0</v>
      </c>
      <c r="Q12" s="7">
        <f t="shared" si="2"/>
        <v>0</v>
      </c>
      <c r="R12" s="7">
        <f t="shared" si="2"/>
        <v>0</v>
      </c>
      <c r="S12" s="12">
        <f t="shared" si="2"/>
        <v>0</v>
      </c>
      <c r="T12" s="10">
        <f t="shared" si="2"/>
        <v>0</v>
      </c>
      <c r="U12" s="7">
        <f t="shared" si="2"/>
        <v>0</v>
      </c>
      <c r="V12" s="7">
        <f t="shared" si="2"/>
        <v>0</v>
      </c>
      <c r="W12" s="7">
        <f t="shared" si="2"/>
        <v>0</v>
      </c>
      <c r="X12" s="13">
        <f t="shared" si="2"/>
        <v>0</v>
      </c>
      <c r="Y12" s="16">
        <f t="shared" si="2"/>
        <v>0</v>
      </c>
      <c r="Z12" s="8">
        <f t="shared" si="2"/>
        <v>0</v>
      </c>
      <c r="AA12" s="7">
        <f t="shared" si="2"/>
        <v>0</v>
      </c>
      <c r="AB12" s="7">
        <f t="shared" si="2"/>
        <v>0</v>
      </c>
      <c r="AC12" s="7">
        <f t="shared" si="2"/>
        <v>0</v>
      </c>
      <c r="AD12" s="7">
        <f t="shared" si="2"/>
        <v>0</v>
      </c>
      <c r="AE12" s="12">
        <f t="shared" si="2"/>
        <v>0</v>
      </c>
      <c r="AF12" s="10">
        <f t="shared" si="2"/>
        <v>0</v>
      </c>
      <c r="AG12" s="7">
        <f t="shared" si="2"/>
        <v>0</v>
      </c>
      <c r="AH12" s="7">
        <f t="shared" si="2"/>
        <v>0</v>
      </c>
      <c r="AI12" s="7">
        <f t="shared" si="2"/>
        <v>0</v>
      </c>
      <c r="AJ12" s="7">
        <f t="shared" si="2"/>
        <v>0</v>
      </c>
      <c r="AK12" s="7">
        <f t="shared" si="2"/>
        <v>0</v>
      </c>
      <c r="AL12" s="7">
        <f>SUBTOTAL(9,AL13:AL56)</f>
        <v>0</v>
      </c>
    </row>
    <row r="13" spans="1:64" x14ac:dyDescent="0.35">
      <c r="C13" s="30" t="b">
        <f ca="1">CELL("row")=CELL("row",C13)</f>
        <v>0</v>
      </c>
      <c r="D13" s="30" t="s">
        <v>20978</v>
      </c>
      <c r="H13" s="30">
        <f>IF(AND($AL13=0,$J13=1)=TRUE,0,
        IF(AND($AL13&gt;0,$J13=1)=TRUE,1,
              IF(AND(H12=$H$12,$J13&gt;1)=TRUE,0,
                    IF(AND($AL13=0,$J13&gt;1),H12,
                         H12+1))))</f>
        <v>0</v>
      </c>
      <c r="J13" s="30">
        <f>IF(J12="No.",1,J12+1)</f>
        <v>1</v>
      </c>
      <c r="K13" s="30" t="str">
        <f>"KK-04598"</f>
        <v>KK-04598</v>
      </c>
      <c r="L13" s="30" t="str">
        <f>"Alex Sudytio"</f>
        <v>Alex Sudytio</v>
      </c>
      <c r="M13" s="30"/>
      <c r="N13" s="129"/>
      <c r="O13" s="129"/>
      <c r="P13" s="129"/>
      <c r="Q13" s="129"/>
      <c r="R13" s="129"/>
      <c r="S13" s="129"/>
      <c r="T13" s="130"/>
      <c r="U13" s="131"/>
      <c r="V13" s="131"/>
      <c r="W13" s="131"/>
      <c r="X13" s="4"/>
      <c r="Y13" s="15"/>
      <c r="Z13" s="4"/>
      <c r="AA13" s="4"/>
      <c r="AB13" s="4"/>
      <c r="AC13" s="4"/>
      <c r="AD13" s="4"/>
      <c r="AE13" s="4"/>
      <c r="AF13" s="11"/>
      <c r="AG13" s="4"/>
      <c r="AH13" s="4"/>
      <c r="AI13" s="4"/>
      <c r="AJ13" s="4"/>
      <c r="AK13" s="4"/>
      <c r="AL13" s="9">
        <f>SUM(N13:AK13)</f>
        <v>0</v>
      </c>
      <c r="AO13" s="47">
        <f>IF(COUNTIFS(IuranSYSebelumnya!$J$330:$J$772,$K13,IuranSYSebelumnya!$M$330:$M$772,AO$11,IuranSYSebelumnya!$L$330:$L$772,$M$5)&gt;0,
        VLOOKUP(CONCATENATE($K13,"|",AO$11,"|",$M$5),IuranSYSebelumnya!$I$330:$N$772,5,FALSE),
        IF(COUNTIFS(IuranSYSebelumnya!$J$330:$J$772,$K13,IuranSYSebelumnya!$M$330:$M$772,AO$11,IuranSYSebelumnya!$L$330:$L$772,"&lt;&gt;"&amp;$M$5)&gt;0,
              "Iuran dari Lingkungan lain",
              ""))</f>
        <v>42186</v>
      </c>
      <c r="AP13" s="47">
        <f>IF(COUNTIFS(IuranSYSebelumnya!$J$330:$J$772,$K13,IuranSYSebelumnya!$M$330:$M$772,AP$11,IuranSYSebelumnya!$L$330:$L$772,$M$5)&gt;0,
        VLOOKUP(CONCATENATE($K13,"|",AP$11,"|",$M$5),IuranSYSebelumnya!$I$330:$N$772,5,FALSE),
        IF(COUNTIFS(IuranSYSebelumnya!$J$330:$J$772,$K13,IuranSYSebelumnya!$M$330:$M$772,AP$11,IuranSYSebelumnya!$L$330:$L$772,"&lt;&gt;"&amp;$M$5)&gt;0,
              "Iuran dari Lingkungan lain",
              ""))</f>
        <v>42217</v>
      </c>
      <c r="AQ13" s="47">
        <f>IF(COUNTIFS(IuranSYSebelumnya!$J$330:$J$772,$K13,IuranSYSebelumnya!$M$330:$M$772,AQ$11,IuranSYSebelumnya!$L$330:$L$772,$M$5)&gt;0,
        VLOOKUP(CONCATENATE($K13,"|",AQ$11,"|",$M$5),IuranSYSebelumnya!$I$330:$N$772,5,FALSE),
        IF(COUNTIFS(IuranSYSebelumnya!$J$330:$J$772,$K13,IuranSYSebelumnya!$M$330:$M$772,AQ$11,IuranSYSebelumnya!$L$330:$L$772,"&lt;&gt;"&amp;$M$5)&gt;0,
              "Iuran dari Lingkungan lain",
              ""))</f>
        <v>42248</v>
      </c>
      <c r="AR13" s="47">
        <f>IF(COUNTIFS(IuranSYSebelumnya!$J$330:$J$772,$K13,IuranSYSebelumnya!$M$330:$M$772,AR$11,IuranSYSebelumnya!$L$330:$L$772,$M$5)&gt;0,
        VLOOKUP(CONCATENATE($K13,"|",AR$11,"|",$M$5),IuranSYSebelumnya!$I$330:$N$772,5,FALSE),
        IF(COUNTIFS(IuranSYSebelumnya!$J$330:$J$772,$K13,IuranSYSebelumnya!$M$330:$M$772,AR$11,IuranSYSebelumnya!$L$330:$L$772,"&lt;&gt;"&amp;$M$5)&gt;0,
              "Iuran dari Lingkungan lain",
              ""))</f>
        <v>42278</v>
      </c>
      <c r="AS13" s="47">
        <f>IF(COUNTIFS(IuranSYSebelumnya!$J$330:$J$772,$K13,IuranSYSebelumnya!$M$330:$M$772,AS$11,IuranSYSebelumnya!$L$330:$L$772,$M$5)&gt;0,
        VLOOKUP(CONCATENATE($K13,"|",AS$11,"|",$M$5),IuranSYSebelumnya!$I$330:$N$772,5,FALSE),
        IF(COUNTIFS(IuranSYSebelumnya!$J$330:$J$772,$K13,IuranSYSebelumnya!$M$330:$M$772,AS$11,IuranSYSebelumnya!$L$330:$L$772,"&lt;&gt;"&amp;$M$5)&gt;0,
              "Iuran dari Lingkungan lain",
              ""))</f>
        <v>42309</v>
      </c>
      <c r="AT13" s="47">
        <f>IF(COUNTIFS(IuranSYSebelumnya!$J$330:$J$772,$K13,IuranSYSebelumnya!$M$330:$M$772,AT$11,IuranSYSebelumnya!$L$330:$L$772,$M$5)&gt;0,
        VLOOKUP(CONCATENATE($K13,"|",AT$11,"|",$M$5),IuranSYSebelumnya!$I$330:$N$772,5,FALSE),
        IF(COUNTIFS(IuranSYSebelumnya!$J$330:$J$772,$K13,IuranSYSebelumnya!$M$330:$M$772,AT$11,IuranSYSebelumnya!$L$330:$L$772,"&lt;&gt;"&amp;$M$5)&gt;0,
              "Iuran dari Lingkungan lain",
              ""))</f>
        <v>42339</v>
      </c>
      <c r="AU13" s="47">
        <f>IF(COUNTIFS(IuranSYSebelumnya!$J$330:$J$772,$K13,IuranSYSebelumnya!$M$330:$M$772,AU$11,IuranSYSebelumnya!$L$330:$L$772,$M$5)&gt;0,
        VLOOKUP(CONCATENATE($K13,"|",AU$11,"|",$M$5),IuranSYSebelumnya!$I$330:$N$772,5,FALSE),
        IF(COUNTIFS(IuranSYSebelumnya!$J$330:$J$772,$K13,IuranSYSebelumnya!$M$330:$M$772,AU$11,IuranSYSebelumnya!$L$330:$L$772,"&lt;&gt;"&amp;$M$5)&gt;0,
              "Iuran dari Lingkungan lain",
              ""))</f>
        <v>42370</v>
      </c>
      <c r="AV13" s="47">
        <f>IF(COUNTIFS(IuranSYSebelumnya!$J$330:$J$772,$K13,IuranSYSebelumnya!$M$330:$M$772,AV$11,IuranSYSebelumnya!$L$330:$L$772,$M$5)&gt;0,
        VLOOKUP(CONCATENATE($K13,"|",AV$11,"|",$M$5),IuranSYSebelumnya!$I$330:$N$772,5,FALSE),
        IF(COUNTIFS(IuranSYSebelumnya!$J$330:$J$772,$K13,IuranSYSebelumnya!$M$330:$M$772,AV$11,IuranSYSebelumnya!$L$330:$L$772,"&lt;&gt;"&amp;$M$5)&gt;0,
              "Iuran dari Lingkungan lain",
              ""))</f>
        <v>42401</v>
      </c>
      <c r="AW13" s="47">
        <f>IF(COUNTIFS(IuranSYSebelumnya!$J$330:$J$772,$K13,IuranSYSebelumnya!$M$330:$M$772,AW$11,IuranSYSebelumnya!$L$330:$L$772,$M$5)&gt;0,
        VLOOKUP(CONCATENATE($K13,"|",AW$11,"|",$M$5),IuranSYSebelumnya!$I$330:$N$772,5,FALSE),
        IF(COUNTIFS(IuranSYSebelumnya!$J$330:$J$772,$K13,IuranSYSebelumnya!$M$330:$M$772,AW$11,IuranSYSebelumnya!$L$330:$L$772,"&lt;&gt;"&amp;$M$5)&gt;0,
              "Iuran dari Lingkungan lain",
              ""))</f>
        <v>42430</v>
      </c>
      <c r="AX13" s="47">
        <f>IF(COUNTIFS(IuranSYSebelumnya!$J$330:$J$772,$K13,IuranSYSebelumnya!$M$330:$M$772,AX$11,IuranSYSebelumnya!$L$330:$L$772,$M$5)&gt;0,
        VLOOKUP(CONCATENATE($K13,"|",AX$11,"|",$M$5),IuranSYSebelumnya!$I$330:$N$772,5,FALSE),
        IF(COUNTIFS(IuranSYSebelumnya!$J$330:$J$772,$K13,IuranSYSebelumnya!$M$330:$M$772,AX$11,IuranSYSebelumnya!$L$330:$L$772,"&lt;&gt;"&amp;$M$5)&gt;0,
              "Iuran dari Lingkungan lain",
              ""))</f>
        <v>42461</v>
      </c>
      <c r="AY13" s="47" t="str">
        <f>IF(COUNTIFS(IuranSYSebelumnya!$J$330:$J$772,$K13,IuranSYSebelumnya!$M$330:$M$772,AY$11,IuranSYSebelumnya!$L$330:$L$772,$M$5)&gt;0,
        VLOOKUP(CONCATENATE($K13,"|",AY$11,"|",$M$5),IuranSYSebelumnya!$I$330:$N$772,5,FALSE),
        IF(COUNTIFS(IuranSYSebelumnya!$J$330:$J$772,$K13,IuranSYSebelumnya!$M$330:$M$772,AY$11,IuranSYSebelumnya!$L$330:$L$772,"&lt;&gt;"&amp;$M$5)&gt;0,
              "Iuran dari Lingkungan lain",
              ""))</f>
        <v/>
      </c>
      <c r="AZ13" s="47" t="str">
        <f>IF(COUNTIFS(IuranSYSebelumnya!$J$330:$J$772,$K13,IuranSYSebelumnya!$M$330:$M$772,AZ$11,IuranSYSebelumnya!$L$330:$L$772,$M$5)&gt;0,
        VLOOKUP(CONCATENATE($K13,"|",AZ$11,"|",$M$5),IuranSYSebelumnya!$I$330:$N$772,5,FALSE),
        IF(COUNTIFS(IuranSYSebelumnya!$J$330:$J$772,$K13,IuranSYSebelumnya!$M$330:$M$772,AZ$11,IuranSYSebelumnya!$L$330:$L$772,"&lt;&gt;"&amp;$M$5)&gt;0,
              "Iuran dari Lingkungan lain",
              ""))</f>
        <v/>
      </c>
      <c r="BA13" s="47" t="str">
        <f>IF(COUNTIFS(IuranSYSebelumnya!$J$330:$J$772,$K13,IuranSYSebelumnya!$M$330:$M$772,BA$11,IuranSYSebelumnya!$L$330:$L$772,$M$5)&gt;0,
        VLOOKUP(CONCATENATE($K13,"|",BA$11,"|",$M$5),IuranSYSebelumnya!$I$330:$N$772,5,FALSE),
        IF(COUNTIFS(IuranSYSebelumnya!$J$330:$J$772,$K13,IuranSYSebelumnya!$M$330:$M$772,BA$11,IuranSYSebelumnya!$L$330:$L$772,"&lt;&gt;"&amp;$M$5)&gt;0,
              "Iuran dari Lingkungan lain",
              ""))</f>
        <v/>
      </c>
      <c r="BB13" s="47" t="str">
        <f>IF(COUNTIFS(IuranSYSebelumnya!$J$330:$J$772,$K13,IuranSYSebelumnya!$M$330:$M$772,BB$11,IuranSYSebelumnya!$L$330:$L$772,$M$5)&gt;0,
        VLOOKUP(CONCATENATE($K13,"|",BB$11,"|",$M$5),IuranSYSebelumnya!$I$330:$N$772,5,FALSE),
        IF(COUNTIFS(IuranSYSebelumnya!$J$330:$J$772,$K13,IuranSYSebelumnya!$M$330:$M$772,BB$11,IuranSYSebelumnya!$L$330:$L$772,"&lt;&gt;"&amp;$M$5)&gt;0,
              "Iuran dari Lingkungan lain",
              ""))</f>
        <v/>
      </c>
      <c r="BC13" s="47" t="str">
        <f>IF(COUNTIFS(IuranSYSebelumnya!$J$330:$J$772,$K13,IuranSYSebelumnya!$M$330:$M$772,BC$11,IuranSYSebelumnya!$L$330:$L$772,$M$5)&gt;0,
        VLOOKUP(CONCATENATE($K13,"|",BC$11,"|",$M$5),IuranSYSebelumnya!$I$330:$N$772,5,FALSE),
        IF(COUNTIFS(IuranSYSebelumnya!$J$330:$J$772,$K13,IuranSYSebelumnya!$M$330:$M$772,BC$11,IuranSYSebelumnya!$L$330:$L$772,"&lt;&gt;"&amp;$M$5)&gt;0,
              "Iuran dari Lingkungan lain",
              ""))</f>
        <v/>
      </c>
      <c r="BD13" s="47" t="str">
        <f>IF(COUNTIFS(IuranSYSebelumnya!$J$330:$J$772,$K13,IuranSYSebelumnya!$M$330:$M$772,BD$11,IuranSYSebelumnya!$L$330:$L$772,$M$5)&gt;0,
        VLOOKUP(CONCATENATE($K13,"|",BD$11,"|",$M$5),IuranSYSebelumnya!$I$330:$N$772,5,FALSE),
        IF(COUNTIFS(IuranSYSebelumnya!$J$330:$J$772,$K13,IuranSYSebelumnya!$M$330:$M$772,BD$11,IuranSYSebelumnya!$L$330:$L$772,"&lt;&gt;"&amp;$M$5)&gt;0,
              "Iuran dari Lingkungan lain",
              ""))</f>
        <v/>
      </c>
      <c r="BE13" s="47" t="str">
        <f>IF(COUNTIFS(IuranSYSebelumnya!$J$330:$J$772,$K13,IuranSYSebelumnya!$M$330:$M$772,BE$11,IuranSYSebelumnya!$L$330:$L$772,$M$5)&gt;0,
        VLOOKUP(CONCATENATE($K13,"|",BE$11,"|",$M$5),IuranSYSebelumnya!$I$330:$N$772,5,FALSE),
        IF(COUNTIFS(IuranSYSebelumnya!$J$330:$J$772,$K13,IuranSYSebelumnya!$M$330:$M$772,BE$11,IuranSYSebelumnya!$L$330:$L$772,"&lt;&gt;"&amp;$M$5)&gt;0,
              "Iuran dari Lingkungan lain",
              ""))</f>
        <v/>
      </c>
      <c r="BF13" s="47" t="str">
        <f>IF(COUNTIFS(IuranSYSebelumnya!$J$330:$J$772,$K13,IuranSYSebelumnya!$M$330:$M$772,BF$11,IuranSYSebelumnya!$L$330:$L$772,$M$5)&gt;0,
        VLOOKUP(CONCATENATE($K13,"|",BF$11,"|",$M$5),IuranSYSebelumnya!$I$330:$N$772,5,FALSE),
        IF(COUNTIFS(IuranSYSebelumnya!$J$330:$J$772,$K13,IuranSYSebelumnya!$M$330:$M$772,BF$11,IuranSYSebelumnya!$L$330:$L$772,"&lt;&gt;"&amp;$M$5)&gt;0,
              "Iuran dari Lingkungan lain",
              ""))</f>
        <v/>
      </c>
      <c r="BG13" s="47" t="str">
        <f>IF(COUNTIFS(IuranSYSebelumnya!$J$330:$J$772,$K13,IuranSYSebelumnya!$M$330:$M$772,BG$11,IuranSYSebelumnya!$L$330:$L$772,$M$5)&gt;0,
        VLOOKUP(CONCATENATE($K13,"|",BG$11,"|",$M$5),IuranSYSebelumnya!$I$330:$N$772,5,FALSE),
        IF(COUNTIFS(IuranSYSebelumnya!$J$330:$J$772,$K13,IuranSYSebelumnya!$M$330:$M$772,BG$11,IuranSYSebelumnya!$L$330:$L$772,"&lt;&gt;"&amp;$M$5)&gt;0,
              "Iuran dari Lingkungan lain",
              ""))</f>
        <v/>
      </c>
      <c r="BH13" s="47" t="str">
        <f>IF(COUNTIFS(IuranSYSebelumnya!$J$330:$J$772,$K13,IuranSYSebelumnya!$M$330:$M$772,BH$11,IuranSYSebelumnya!$L$330:$L$772,$M$5)&gt;0,
        VLOOKUP(CONCATENATE($K13,"|",BH$11,"|",$M$5),IuranSYSebelumnya!$I$330:$N$772,5,FALSE),
        IF(COUNTIFS(IuranSYSebelumnya!$J$330:$J$772,$K13,IuranSYSebelumnya!$M$330:$M$772,BH$11,IuranSYSebelumnya!$L$330:$L$772,"&lt;&gt;"&amp;$M$5)&gt;0,
              "Iuran dari Lingkungan lain",
              ""))</f>
        <v/>
      </c>
      <c r="BI13" s="47" t="str">
        <f>IF(COUNTIFS(IuranSYSebelumnya!$J$330:$J$772,$K13,IuranSYSebelumnya!$M$330:$M$772,BI$11,IuranSYSebelumnya!$L$330:$L$772,$M$5)&gt;0,
        VLOOKUP(CONCATENATE($K13,"|",BI$11,"|",$M$5),IuranSYSebelumnya!$I$330:$N$772,5,FALSE),
        IF(COUNTIFS(IuranSYSebelumnya!$J$330:$J$772,$K13,IuranSYSebelumnya!$M$330:$M$772,BI$11,IuranSYSebelumnya!$L$330:$L$772,"&lt;&gt;"&amp;$M$5)&gt;0,
              "Iuran dari Lingkungan lain",
              ""))</f>
        <v/>
      </c>
      <c r="BJ13" s="47" t="str">
        <f>IF(COUNTIFS(IuranSYSebelumnya!$J$330:$J$772,$K13,IuranSYSebelumnya!$M$330:$M$772,BJ$11,IuranSYSebelumnya!$L$330:$L$772,$M$5)&gt;0,
        VLOOKUP(CONCATENATE($K13,"|",BJ$11,"|",$M$5),IuranSYSebelumnya!$I$330:$N$772,5,FALSE),
        IF(COUNTIFS(IuranSYSebelumnya!$J$330:$J$772,$K13,IuranSYSebelumnya!$M$330:$M$772,BJ$11,IuranSYSebelumnya!$L$330:$L$772,"&lt;&gt;"&amp;$M$5)&gt;0,
              "Iuran dari Lingkungan lain",
              ""))</f>
        <v/>
      </c>
      <c r="BK13" s="47" t="str">
        <f>IF(COUNTIFS(IuranSYSebelumnya!$J$330:$J$772,$K13,IuranSYSebelumnya!$M$330:$M$772,BK$11,IuranSYSebelumnya!$L$330:$L$772,$M$5)&gt;0,
        VLOOKUP(CONCATENATE($K13,"|",BK$11,"|",$M$5),IuranSYSebelumnya!$I$330:$N$772,5,FALSE),
        IF(COUNTIFS(IuranSYSebelumnya!$J$330:$J$772,$K13,IuranSYSebelumnya!$M$330:$M$772,BK$11,IuranSYSebelumnya!$L$330:$L$772,"&lt;&gt;"&amp;$M$5)&gt;0,
              "Iuran dari Lingkungan lain",
              ""))</f>
        <v/>
      </c>
      <c r="BL13" s="47" t="str">
        <f>IF(COUNTIFS(IuranSYSebelumnya!$J$330:$J$772,$K13,IuranSYSebelumnya!$M$330:$M$772,BL$11,IuranSYSebelumnya!$L$330:$L$772,$M$5)&gt;0,
        VLOOKUP(CONCATENATE($K13,"|",BL$11,"|",$M$5),IuranSYSebelumnya!$I$330:$N$772,5,FALSE),
        IF(COUNTIFS(IuranSYSebelumnya!$J$330:$J$772,$K13,IuranSYSebelumnya!$M$330:$M$772,BL$11,IuranSYSebelumnya!$L$330:$L$772,"&lt;&gt;"&amp;$M$5)&gt;0,
              "Iuran dari Lingkungan lain",
              ""))</f>
        <v/>
      </c>
    </row>
    <row r="14" spans="1:64" x14ac:dyDescent="0.35">
      <c r="A14" s="30" t="s">
        <v>6063</v>
      </c>
      <c r="C14" s="30" t="b">
        <f t="shared" ref="C14:C55" ca="1" si="3">CELL("row")=CELL("row",C14)</f>
        <v>0</v>
      </c>
      <c r="D14" s="30" t="str">
        <f>"""TRUST Nav"",""HSPMTB2016"",""18"",""1"",""KK-05048"""</f>
        <v>"TRUST Nav","HSPMTB2016","18","1","KK-05048"</v>
      </c>
      <c r="H14" s="30">
        <f t="shared" ref="H14:H55" si="4">IF(AND($AL14=0,$J14=1)=TRUE,0,
        IF(AND($AL14&gt;0,$J14=1)=TRUE,1,
              IF(AND(H13=$H$12,$J14&gt;1)=TRUE,0,
                    IF(AND($AL14=0,$J14&gt;1),H13,
                         H13+1))))</f>
        <v>0</v>
      </c>
      <c r="J14" s="30">
        <f t="shared" ref="J14:J55" si="5">IF(J13="No.",1,J13+1)</f>
        <v>2</v>
      </c>
      <c r="K14" s="30" t="str">
        <f>"KK-05048"</f>
        <v>KK-05048</v>
      </c>
      <c r="L14" s="30" t="str">
        <f>"Alfonsus Denny Martaguna"</f>
        <v>Alfonsus Denny Martaguna</v>
      </c>
      <c r="M14" s="30"/>
      <c r="N14" s="3"/>
      <c r="O14" s="3"/>
      <c r="P14" s="3"/>
      <c r="Q14" s="3"/>
      <c r="R14" s="3"/>
      <c r="S14" s="3"/>
      <c r="T14" s="130"/>
      <c r="U14" s="131"/>
      <c r="V14" s="131"/>
      <c r="W14" s="131"/>
      <c r="X14" s="4"/>
      <c r="Y14" s="15"/>
      <c r="Z14" s="4"/>
      <c r="AA14" s="4"/>
      <c r="AB14" s="4"/>
      <c r="AC14" s="4"/>
      <c r="AD14" s="4"/>
      <c r="AE14" s="4"/>
      <c r="AF14" s="11"/>
      <c r="AG14" s="4"/>
      <c r="AH14" s="4"/>
      <c r="AI14" s="4"/>
      <c r="AJ14" s="4"/>
      <c r="AK14" s="4"/>
      <c r="AL14" s="9">
        <f t="shared" ref="AL14:AL55" si="6">SUM(N14:AK14)</f>
        <v>0</v>
      </c>
      <c r="AO14" s="47" t="str">
        <f>IF(COUNTIFS(IuranSYSebelumnya!$J$330:$J$772,$K14,IuranSYSebelumnya!$M$330:$M$772,AO$11,IuranSYSebelumnya!$L$330:$L$772,$M$5)&gt;0,
        VLOOKUP(CONCATENATE($K14,"|",AO$11,"|",$M$5),IuranSYSebelumnya!$I$330:$N$772,5,FALSE),
        IF(COUNTIFS(IuranSYSebelumnya!$J$330:$J$772,$K14,IuranSYSebelumnya!$M$330:$M$772,AO$11,IuranSYSebelumnya!$L$330:$L$772,"&lt;&gt;"&amp;$M$5)&gt;0,
              "Iuran dari Lingkungan lain",
              ""))</f>
        <v/>
      </c>
      <c r="AP14" s="47" t="str">
        <f>IF(COUNTIFS(IuranSYSebelumnya!$J$330:$J$772,$K14,IuranSYSebelumnya!$M$330:$M$772,AP$11,IuranSYSebelumnya!$L$330:$L$772,$M$5)&gt;0,
        VLOOKUP(CONCATENATE($K14,"|",AP$11,"|",$M$5),IuranSYSebelumnya!$I$330:$N$772,5,FALSE),
        IF(COUNTIFS(IuranSYSebelumnya!$J$330:$J$772,$K14,IuranSYSebelumnya!$M$330:$M$772,AP$11,IuranSYSebelumnya!$L$330:$L$772,"&lt;&gt;"&amp;$M$5)&gt;0,
              "Iuran dari Lingkungan lain",
              ""))</f>
        <v/>
      </c>
      <c r="AQ14" s="47" t="str">
        <f>IF(COUNTIFS(IuranSYSebelumnya!$J$330:$J$772,$K14,IuranSYSebelumnya!$M$330:$M$772,AQ$11,IuranSYSebelumnya!$L$330:$L$772,$M$5)&gt;0,
        VLOOKUP(CONCATENATE($K14,"|",AQ$11,"|",$M$5),IuranSYSebelumnya!$I$330:$N$772,5,FALSE),
        IF(COUNTIFS(IuranSYSebelumnya!$J$330:$J$772,$K14,IuranSYSebelumnya!$M$330:$M$772,AQ$11,IuranSYSebelumnya!$L$330:$L$772,"&lt;&gt;"&amp;$M$5)&gt;0,
              "Iuran dari Lingkungan lain",
              ""))</f>
        <v/>
      </c>
      <c r="AR14" s="47" t="str">
        <f>IF(COUNTIFS(IuranSYSebelumnya!$J$330:$J$772,$K14,IuranSYSebelumnya!$M$330:$M$772,AR$11,IuranSYSebelumnya!$L$330:$L$772,$M$5)&gt;0,
        VLOOKUP(CONCATENATE($K14,"|",AR$11,"|",$M$5),IuranSYSebelumnya!$I$330:$N$772,5,FALSE),
        IF(COUNTIFS(IuranSYSebelumnya!$J$330:$J$772,$K14,IuranSYSebelumnya!$M$330:$M$772,AR$11,IuranSYSebelumnya!$L$330:$L$772,"&lt;&gt;"&amp;$M$5)&gt;0,
              "Iuran dari Lingkungan lain",
              ""))</f>
        <v/>
      </c>
      <c r="AS14" s="47" t="str">
        <f>IF(COUNTIFS(IuranSYSebelumnya!$J$330:$J$772,$K14,IuranSYSebelumnya!$M$330:$M$772,AS$11,IuranSYSebelumnya!$L$330:$L$772,$M$5)&gt;0,
        VLOOKUP(CONCATENATE($K14,"|",AS$11,"|",$M$5),IuranSYSebelumnya!$I$330:$N$772,5,FALSE),
        IF(COUNTIFS(IuranSYSebelumnya!$J$330:$J$772,$K14,IuranSYSebelumnya!$M$330:$M$772,AS$11,IuranSYSebelumnya!$L$330:$L$772,"&lt;&gt;"&amp;$M$5)&gt;0,
              "Iuran dari Lingkungan lain",
              ""))</f>
        <v/>
      </c>
      <c r="AT14" s="47" t="str">
        <f>IF(COUNTIFS(IuranSYSebelumnya!$J$330:$J$772,$K14,IuranSYSebelumnya!$M$330:$M$772,AT$11,IuranSYSebelumnya!$L$330:$L$772,$M$5)&gt;0,
        VLOOKUP(CONCATENATE($K14,"|",AT$11,"|",$M$5),IuranSYSebelumnya!$I$330:$N$772,5,FALSE),
        IF(COUNTIFS(IuranSYSebelumnya!$J$330:$J$772,$K14,IuranSYSebelumnya!$M$330:$M$772,AT$11,IuranSYSebelumnya!$L$330:$L$772,"&lt;&gt;"&amp;$M$5)&gt;0,
              "Iuran dari Lingkungan lain",
              ""))</f>
        <v/>
      </c>
      <c r="AU14" s="47">
        <f>IF(COUNTIFS(IuranSYSebelumnya!$J$330:$J$772,$K14,IuranSYSebelumnya!$M$330:$M$772,AU$11,IuranSYSebelumnya!$L$330:$L$772,$M$5)&gt;0,
        VLOOKUP(CONCATENATE($K14,"|",AU$11,"|",$M$5),IuranSYSebelumnya!$I$330:$N$772,5,FALSE),
        IF(COUNTIFS(IuranSYSebelumnya!$J$330:$J$772,$K14,IuranSYSebelumnya!$M$330:$M$772,AU$11,IuranSYSebelumnya!$L$330:$L$772,"&lt;&gt;"&amp;$M$5)&gt;0,
              "Iuran dari Lingkungan lain",
              ""))</f>
        <v>42370</v>
      </c>
      <c r="AV14" s="47">
        <f>IF(COUNTIFS(IuranSYSebelumnya!$J$330:$J$772,$K14,IuranSYSebelumnya!$M$330:$M$772,AV$11,IuranSYSebelumnya!$L$330:$L$772,$M$5)&gt;0,
        VLOOKUP(CONCATENATE($K14,"|",AV$11,"|",$M$5),IuranSYSebelumnya!$I$330:$N$772,5,FALSE),
        IF(COUNTIFS(IuranSYSebelumnya!$J$330:$J$772,$K14,IuranSYSebelumnya!$M$330:$M$772,AV$11,IuranSYSebelumnya!$L$330:$L$772,"&lt;&gt;"&amp;$M$5)&gt;0,
              "Iuran dari Lingkungan lain",
              ""))</f>
        <v>42401</v>
      </c>
      <c r="AW14" s="47">
        <f>IF(COUNTIFS(IuranSYSebelumnya!$J$330:$J$772,$K14,IuranSYSebelumnya!$M$330:$M$772,AW$11,IuranSYSebelumnya!$L$330:$L$772,$M$5)&gt;0,
        VLOOKUP(CONCATENATE($K14,"|",AW$11,"|",$M$5),IuranSYSebelumnya!$I$330:$N$772,5,FALSE),
        IF(COUNTIFS(IuranSYSebelumnya!$J$330:$J$772,$K14,IuranSYSebelumnya!$M$330:$M$772,AW$11,IuranSYSebelumnya!$L$330:$L$772,"&lt;&gt;"&amp;$M$5)&gt;0,
              "Iuran dari Lingkungan lain",
              ""))</f>
        <v>42430</v>
      </c>
      <c r="AX14" s="47">
        <f>IF(COUNTIFS(IuranSYSebelumnya!$J$330:$J$772,$K14,IuranSYSebelumnya!$M$330:$M$772,AX$11,IuranSYSebelumnya!$L$330:$L$772,$M$5)&gt;0,
        VLOOKUP(CONCATENATE($K14,"|",AX$11,"|",$M$5),IuranSYSebelumnya!$I$330:$N$772,5,FALSE),
        IF(COUNTIFS(IuranSYSebelumnya!$J$330:$J$772,$K14,IuranSYSebelumnya!$M$330:$M$772,AX$11,IuranSYSebelumnya!$L$330:$L$772,"&lt;&gt;"&amp;$M$5)&gt;0,
              "Iuran dari Lingkungan lain",
              ""))</f>
        <v>42461</v>
      </c>
      <c r="AY14" s="47" t="str">
        <f>IF(COUNTIFS(IuranSYSebelumnya!$J$330:$J$772,$K14,IuranSYSebelumnya!$M$330:$M$772,AY$11,IuranSYSebelumnya!$L$330:$L$772,$M$5)&gt;0,
        VLOOKUP(CONCATENATE($K14,"|",AY$11,"|",$M$5),IuranSYSebelumnya!$I$330:$N$772,5,FALSE),
        IF(COUNTIFS(IuranSYSebelumnya!$J$330:$J$772,$K14,IuranSYSebelumnya!$M$330:$M$772,AY$11,IuranSYSebelumnya!$L$330:$L$772,"&lt;&gt;"&amp;$M$5)&gt;0,
              "Iuran dari Lingkungan lain",
              ""))</f>
        <v/>
      </c>
      <c r="AZ14" s="47" t="str">
        <f>IF(COUNTIFS(IuranSYSebelumnya!$J$330:$J$772,$K14,IuranSYSebelumnya!$M$330:$M$772,AZ$11,IuranSYSebelumnya!$L$330:$L$772,$M$5)&gt;0,
        VLOOKUP(CONCATENATE($K14,"|",AZ$11,"|",$M$5),IuranSYSebelumnya!$I$330:$N$772,5,FALSE),
        IF(COUNTIFS(IuranSYSebelumnya!$J$330:$J$772,$K14,IuranSYSebelumnya!$M$330:$M$772,AZ$11,IuranSYSebelumnya!$L$330:$L$772,"&lt;&gt;"&amp;$M$5)&gt;0,
              "Iuran dari Lingkungan lain",
              ""))</f>
        <v/>
      </c>
      <c r="BA14" s="47" t="str">
        <f>IF(COUNTIFS(IuranSYSebelumnya!$J$330:$J$772,$K14,IuranSYSebelumnya!$M$330:$M$772,BA$11,IuranSYSebelumnya!$L$330:$L$772,$M$5)&gt;0,
        VLOOKUP(CONCATENATE($K14,"|",BA$11,"|",$M$5),IuranSYSebelumnya!$I$330:$N$772,5,FALSE),
        IF(COUNTIFS(IuranSYSebelumnya!$J$330:$J$772,$K14,IuranSYSebelumnya!$M$330:$M$772,BA$11,IuranSYSebelumnya!$L$330:$L$772,"&lt;&gt;"&amp;$M$5)&gt;0,
              "Iuran dari Lingkungan lain",
              ""))</f>
        <v/>
      </c>
      <c r="BB14" s="47" t="str">
        <f>IF(COUNTIFS(IuranSYSebelumnya!$J$330:$J$772,$K14,IuranSYSebelumnya!$M$330:$M$772,BB$11,IuranSYSebelumnya!$L$330:$L$772,$M$5)&gt;0,
        VLOOKUP(CONCATENATE($K14,"|",BB$11,"|",$M$5),IuranSYSebelumnya!$I$330:$N$772,5,FALSE),
        IF(COUNTIFS(IuranSYSebelumnya!$J$330:$J$772,$K14,IuranSYSebelumnya!$M$330:$M$772,BB$11,IuranSYSebelumnya!$L$330:$L$772,"&lt;&gt;"&amp;$M$5)&gt;0,
              "Iuran dari Lingkungan lain",
              ""))</f>
        <v/>
      </c>
      <c r="BC14" s="47" t="str">
        <f>IF(COUNTIFS(IuranSYSebelumnya!$J$330:$J$772,$K14,IuranSYSebelumnya!$M$330:$M$772,BC$11,IuranSYSebelumnya!$L$330:$L$772,$M$5)&gt;0,
        VLOOKUP(CONCATENATE($K14,"|",BC$11,"|",$M$5),IuranSYSebelumnya!$I$330:$N$772,5,FALSE),
        IF(COUNTIFS(IuranSYSebelumnya!$J$330:$J$772,$K14,IuranSYSebelumnya!$M$330:$M$772,BC$11,IuranSYSebelumnya!$L$330:$L$772,"&lt;&gt;"&amp;$M$5)&gt;0,
              "Iuran dari Lingkungan lain",
              ""))</f>
        <v/>
      </c>
      <c r="BD14" s="47" t="str">
        <f>IF(COUNTIFS(IuranSYSebelumnya!$J$330:$J$772,$K14,IuranSYSebelumnya!$M$330:$M$772,BD$11,IuranSYSebelumnya!$L$330:$L$772,$M$5)&gt;0,
        VLOOKUP(CONCATENATE($K14,"|",BD$11,"|",$M$5),IuranSYSebelumnya!$I$330:$N$772,5,FALSE),
        IF(COUNTIFS(IuranSYSebelumnya!$J$330:$J$772,$K14,IuranSYSebelumnya!$M$330:$M$772,BD$11,IuranSYSebelumnya!$L$330:$L$772,"&lt;&gt;"&amp;$M$5)&gt;0,
              "Iuran dari Lingkungan lain",
              ""))</f>
        <v/>
      </c>
      <c r="BE14" s="47" t="str">
        <f>IF(COUNTIFS(IuranSYSebelumnya!$J$330:$J$772,$K14,IuranSYSebelumnya!$M$330:$M$772,BE$11,IuranSYSebelumnya!$L$330:$L$772,$M$5)&gt;0,
        VLOOKUP(CONCATENATE($K14,"|",BE$11,"|",$M$5),IuranSYSebelumnya!$I$330:$N$772,5,FALSE),
        IF(COUNTIFS(IuranSYSebelumnya!$J$330:$J$772,$K14,IuranSYSebelumnya!$M$330:$M$772,BE$11,IuranSYSebelumnya!$L$330:$L$772,"&lt;&gt;"&amp;$M$5)&gt;0,
              "Iuran dari Lingkungan lain",
              ""))</f>
        <v/>
      </c>
      <c r="BF14" s="47" t="str">
        <f>IF(COUNTIFS(IuranSYSebelumnya!$J$330:$J$772,$K14,IuranSYSebelumnya!$M$330:$M$772,BF$11,IuranSYSebelumnya!$L$330:$L$772,$M$5)&gt;0,
        VLOOKUP(CONCATENATE($K14,"|",BF$11,"|",$M$5),IuranSYSebelumnya!$I$330:$N$772,5,FALSE),
        IF(COUNTIFS(IuranSYSebelumnya!$J$330:$J$772,$K14,IuranSYSebelumnya!$M$330:$M$772,BF$11,IuranSYSebelumnya!$L$330:$L$772,"&lt;&gt;"&amp;$M$5)&gt;0,
              "Iuran dari Lingkungan lain",
              ""))</f>
        <v/>
      </c>
      <c r="BG14" s="47" t="str">
        <f>IF(COUNTIFS(IuranSYSebelumnya!$J$330:$J$772,$K14,IuranSYSebelumnya!$M$330:$M$772,BG$11,IuranSYSebelumnya!$L$330:$L$772,$M$5)&gt;0,
        VLOOKUP(CONCATENATE($K14,"|",BG$11,"|",$M$5),IuranSYSebelumnya!$I$330:$N$772,5,FALSE),
        IF(COUNTIFS(IuranSYSebelumnya!$J$330:$J$772,$K14,IuranSYSebelumnya!$M$330:$M$772,BG$11,IuranSYSebelumnya!$L$330:$L$772,"&lt;&gt;"&amp;$M$5)&gt;0,
              "Iuran dari Lingkungan lain",
              ""))</f>
        <v/>
      </c>
      <c r="BH14" s="47" t="str">
        <f>IF(COUNTIFS(IuranSYSebelumnya!$J$330:$J$772,$K14,IuranSYSebelumnya!$M$330:$M$772,BH$11,IuranSYSebelumnya!$L$330:$L$772,$M$5)&gt;0,
        VLOOKUP(CONCATENATE($K14,"|",BH$11,"|",$M$5),IuranSYSebelumnya!$I$330:$N$772,5,FALSE),
        IF(COUNTIFS(IuranSYSebelumnya!$J$330:$J$772,$K14,IuranSYSebelumnya!$M$330:$M$772,BH$11,IuranSYSebelumnya!$L$330:$L$772,"&lt;&gt;"&amp;$M$5)&gt;0,
              "Iuran dari Lingkungan lain",
              ""))</f>
        <v/>
      </c>
      <c r="BI14" s="47" t="str">
        <f>IF(COUNTIFS(IuranSYSebelumnya!$J$330:$J$772,$K14,IuranSYSebelumnya!$M$330:$M$772,BI$11,IuranSYSebelumnya!$L$330:$L$772,$M$5)&gt;0,
        VLOOKUP(CONCATENATE($K14,"|",BI$11,"|",$M$5),IuranSYSebelumnya!$I$330:$N$772,5,FALSE),
        IF(COUNTIFS(IuranSYSebelumnya!$J$330:$J$772,$K14,IuranSYSebelumnya!$M$330:$M$772,BI$11,IuranSYSebelumnya!$L$330:$L$772,"&lt;&gt;"&amp;$M$5)&gt;0,
              "Iuran dari Lingkungan lain",
              ""))</f>
        <v/>
      </c>
      <c r="BJ14" s="47" t="str">
        <f>IF(COUNTIFS(IuranSYSebelumnya!$J$330:$J$772,$K14,IuranSYSebelumnya!$M$330:$M$772,BJ$11,IuranSYSebelumnya!$L$330:$L$772,$M$5)&gt;0,
        VLOOKUP(CONCATENATE($K14,"|",BJ$11,"|",$M$5),IuranSYSebelumnya!$I$330:$N$772,5,FALSE),
        IF(COUNTIFS(IuranSYSebelumnya!$J$330:$J$772,$K14,IuranSYSebelumnya!$M$330:$M$772,BJ$11,IuranSYSebelumnya!$L$330:$L$772,"&lt;&gt;"&amp;$M$5)&gt;0,
              "Iuran dari Lingkungan lain",
              ""))</f>
        <v/>
      </c>
      <c r="BK14" s="47" t="str">
        <f>IF(COUNTIFS(IuranSYSebelumnya!$J$330:$J$772,$K14,IuranSYSebelumnya!$M$330:$M$772,BK$11,IuranSYSebelumnya!$L$330:$L$772,$M$5)&gt;0,
        VLOOKUP(CONCATENATE($K14,"|",BK$11,"|",$M$5),IuranSYSebelumnya!$I$330:$N$772,5,FALSE),
        IF(COUNTIFS(IuranSYSebelumnya!$J$330:$J$772,$K14,IuranSYSebelumnya!$M$330:$M$772,BK$11,IuranSYSebelumnya!$L$330:$L$772,"&lt;&gt;"&amp;$M$5)&gt;0,
              "Iuran dari Lingkungan lain",
              ""))</f>
        <v/>
      </c>
      <c r="BL14" s="47" t="str">
        <f>IF(COUNTIFS(IuranSYSebelumnya!$J$330:$J$772,$K14,IuranSYSebelumnya!$M$330:$M$772,BL$11,IuranSYSebelumnya!$L$330:$L$772,$M$5)&gt;0,
        VLOOKUP(CONCATENATE($K14,"|",BL$11,"|",$M$5),IuranSYSebelumnya!$I$330:$N$772,5,FALSE),
        IF(COUNTIFS(IuranSYSebelumnya!$J$330:$J$772,$K14,IuranSYSebelumnya!$M$330:$M$772,BL$11,IuranSYSebelumnya!$L$330:$L$772,"&lt;&gt;"&amp;$M$5)&gt;0,
              "Iuran dari Lingkungan lain",
              ""))</f>
        <v/>
      </c>
    </row>
    <row r="15" spans="1:64" x14ac:dyDescent="0.35">
      <c r="A15" s="30" t="s">
        <v>6063</v>
      </c>
      <c r="C15" s="30" t="b">
        <f t="shared" ca="1" si="3"/>
        <v>0</v>
      </c>
      <c r="D15" s="30" t="str">
        <f>"""TRUST Nav"",""HSPMTB2016"",""18"",""1"",""KK-05057"""</f>
        <v>"TRUST Nav","HSPMTB2016","18","1","KK-05057"</v>
      </c>
      <c r="H15" s="30">
        <f t="shared" si="4"/>
        <v>0</v>
      </c>
      <c r="J15" s="30">
        <f t="shared" si="5"/>
        <v>3</v>
      </c>
      <c r="K15" s="30" t="str">
        <f>"KK-05057"</f>
        <v>KK-05057</v>
      </c>
      <c r="L15" s="30" t="str">
        <f>"Angelo Edwin Salim"</f>
        <v>Angelo Edwin Salim</v>
      </c>
      <c r="M15" s="30"/>
      <c r="N15" s="3"/>
      <c r="O15" s="3"/>
      <c r="P15" s="3"/>
      <c r="Q15" s="3"/>
      <c r="R15" s="3"/>
      <c r="S15" s="3"/>
      <c r="T15" s="11"/>
      <c r="U15" s="4"/>
      <c r="V15" s="4"/>
      <c r="W15" s="4"/>
      <c r="X15" s="4"/>
      <c r="Y15" s="15"/>
      <c r="Z15" s="4"/>
      <c r="AA15" s="4"/>
      <c r="AB15" s="4"/>
      <c r="AC15" s="4"/>
      <c r="AD15" s="4"/>
      <c r="AE15" s="4"/>
      <c r="AF15" s="11"/>
      <c r="AG15" s="4"/>
      <c r="AH15" s="4"/>
      <c r="AI15" s="4"/>
      <c r="AJ15" s="4"/>
      <c r="AK15" s="4"/>
      <c r="AL15" s="9">
        <f t="shared" si="6"/>
        <v>0</v>
      </c>
      <c r="AO15" s="47" t="str">
        <f>IF(COUNTIFS(IuranSYSebelumnya!$J$330:$J$772,$K15,IuranSYSebelumnya!$M$330:$M$772,AO$11,IuranSYSebelumnya!$L$330:$L$772,$M$5)&gt;0,
        VLOOKUP(CONCATENATE($K15,"|",AO$11,"|",$M$5),IuranSYSebelumnya!$I$330:$N$772,5,FALSE),
        IF(COUNTIFS(IuranSYSebelumnya!$J$330:$J$772,$K15,IuranSYSebelumnya!$M$330:$M$772,AO$11,IuranSYSebelumnya!$L$330:$L$772,"&lt;&gt;"&amp;$M$5)&gt;0,
              "Iuran dari Lingkungan lain",
              ""))</f>
        <v/>
      </c>
      <c r="AP15" s="47" t="str">
        <f>IF(COUNTIFS(IuranSYSebelumnya!$J$330:$J$772,$K15,IuranSYSebelumnya!$M$330:$M$772,AP$11,IuranSYSebelumnya!$L$330:$L$772,$M$5)&gt;0,
        VLOOKUP(CONCATENATE($K15,"|",AP$11,"|",$M$5),IuranSYSebelumnya!$I$330:$N$772,5,FALSE),
        IF(COUNTIFS(IuranSYSebelumnya!$J$330:$J$772,$K15,IuranSYSebelumnya!$M$330:$M$772,AP$11,IuranSYSebelumnya!$L$330:$L$772,"&lt;&gt;"&amp;$M$5)&gt;0,
              "Iuran dari Lingkungan lain",
              ""))</f>
        <v/>
      </c>
      <c r="AQ15" s="47" t="str">
        <f>IF(COUNTIFS(IuranSYSebelumnya!$J$330:$J$772,$K15,IuranSYSebelumnya!$M$330:$M$772,AQ$11,IuranSYSebelumnya!$L$330:$L$772,$M$5)&gt;0,
        VLOOKUP(CONCATENATE($K15,"|",AQ$11,"|",$M$5),IuranSYSebelumnya!$I$330:$N$772,5,FALSE),
        IF(COUNTIFS(IuranSYSebelumnya!$J$330:$J$772,$K15,IuranSYSebelumnya!$M$330:$M$772,AQ$11,IuranSYSebelumnya!$L$330:$L$772,"&lt;&gt;"&amp;$M$5)&gt;0,
              "Iuran dari Lingkungan lain",
              ""))</f>
        <v/>
      </c>
      <c r="AR15" s="47" t="str">
        <f>IF(COUNTIFS(IuranSYSebelumnya!$J$330:$J$772,$K15,IuranSYSebelumnya!$M$330:$M$772,AR$11,IuranSYSebelumnya!$L$330:$L$772,$M$5)&gt;0,
        VLOOKUP(CONCATENATE($K15,"|",AR$11,"|",$M$5),IuranSYSebelumnya!$I$330:$N$772,5,FALSE),
        IF(COUNTIFS(IuranSYSebelumnya!$J$330:$J$772,$K15,IuranSYSebelumnya!$M$330:$M$772,AR$11,IuranSYSebelumnya!$L$330:$L$772,"&lt;&gt;"&amp;$M$5)&gt;0,
              "Iuran dari Lingkungan lain",
              ""))</f>
        <v/>
      </c>
      <c r="AS15" s="47" t="str">
        <f>IF(COUNTIFS(IuranSYSebelumnya!$J$330:$J$772,$K15,IuranSYSebelumnya!$M$330:$M$772,AS$11,IuranSYSebelumnya!$L$330:$L$772,$M$5)&gt;0,
        VLOOKUP(CONCATENATE($K15,"|",AS$11,"|",$M$5),IuranSYSebelumnya!$I$330:$N$772,5,FALSE),
        IF(COUNTIFS(IuranSYSebelumnya!$J$330:$J$772,$K15,IuranSYSebelumnya!$M$330:$M$772,AS$11,IuranSYSebelumnya!$L$330:$L$772,"&lt;&gt;"&amp;$M$5)&gt;0,
              "Iuran dari Lingkungan lain",
              ""))</f>
        <v/>
      </c>
      <c r="AT15" s="47" t="str">
        <f>IF(COUNTIFS(IuranSYSebelumnya!$J$330:$J$772,$K15,IuranSYSebelumnya!$M$330:$M$772,AT$11,IuranSYSebelumnya!$L$330:$L$772,$M$5)&gt;0,
        VLOOKUP(CONCATENATE($K15,"|",AT$11,"|",$M$5),IuranSYSebelumnya!$I$330:$N$772,5,FALSE),
        IF(COUNTIFS(IuranSYSebelumnya!$J$330:$J$772,$K15,IuranSYSebelumnya!$M$330:$M$772,AT$11,IuranSYSebelumnya!$L$330:$L$772,"&lt;&gt;"&amp;$M$5)&gt;0,
              "Iuran dari Lingkungan lain",
              ""))</f>
        <v/>
      </c>
      <c r="AU15" s="47" t="str">
        <f>IF(COUNTIFS(IuranSYSebelumnya!$J$330:$J$772,$K15,IuranSYSebelumnya!$M$330:$M$772,AU$11,IuranSYSebelumnya!$L$330:$L$772,$M$5)&gt;0,
        VLOOKUP(CONCATENATE($K15,"|",AU$11,"|",$M$5),IuranSYSebelumnya!$I$330:$N$772,5,FALSE),
        IF(COUNTIFS(IuranSYSebelumnya!$J$330:$J$772,$K15,IuranSYSebelumnya!$M$330:$M$772,AU$11,IuranSYSebelumnya!$L$330:$L$772,"&lt;&gt;"&amp;$M$5)&gt;0,
              "Iuran dari Lingkungan lain",
              ""))</f>
        <v/>
      </c>
      <c r="AV15" s="47" t="str">
        <f>IF(COUNTIFS(IuranSYSebelumnya!$J$330:$J$772,$K15,IuranSYSebelumnya!$M$330:$M$772,AV$11,IuranSYSebelumnya!$L$330:$L$772,$M$5)&gt;0,
        VLOOKUP(CONCATENATE($K15,"|",AV$11,"|",$M$5),IuranSYSebelumnya!$I$330:$N$772,5,FALSE),
        IF(COUNTIFS(IuranSYSebelumnya!$J$330:$J$772,$K15,IuranSYSebelumnya!$M$330:$M$772,AV$11,IuranSYSebelumnya!$L$330:$L$772,"&lt;&gt;"&amp;$M$5)&gt;0,
              "Iuran dari Lingkungan lain",
              ""))</f>
        <v/>
      </c>
      <c r="AW15" s="47" t="str">
        <f>IF(COUNTIFS(IuranSYSebelumnya!$J$330:$J$772,$K15,IuranSYSebelumnya!$M$330:$M$772,AW$11,IuranSYSebelumnya!$L$330:$L$772,$M$5)&gt;0,
        VLOOKUP(CONCATENATE($K15,"|",AW$11,"|",$M$5),IuranSYSebelumnya!$I$330:$N$772,5,FALSE),
        IF(COUNTIFS(IuranSYSebelumnya!$J$330:$J$772,$K15,IuranSYSebelumnya!$M$330:$M$772,AW$11,IuranSYSebelumnya!$L$330:$L$772,"&lt;&gt;"&amp;$M$5)&gt;0,
              "Iuran dari Lingkungan lain",
              ""))</f>
        <v/>
      </c>
      <c r="AX15" s="47" t="str">
        <f>IF(COUNTIFS(IuranSYSebelumnya!$J$330:$J$772,$K15,IuranSYSebelumnya!$M$330:$M$772,AX$11,IuranSYSebelumnya!$L$330:$L$772,$M$5)&gt;0,
        VLOOKUP(CONCATENATE($K15,"|",AX$11,"|",$M$5),IuranSYSebelumnya!$I$330:$N$772,5,FALSE),
        IF(COUNTIFS(IuranSYSebelumnya!$J$330:$J$772,$K15,IuranSYSebelumnya!$M$330:$M$772,AX$11,IuranSYSebelumnya!$L$330:$L$772,"&lt;&gt;"&amp;$M$5)&gt;0,
              "Iuran dari Lingkungan lain",
              ""))</f>
        <v/>
      </c>
      <c r="AY15" s="47" t="str">
        <f>IF(COUNTIFS(IuranSYSebelumnya!$J$330:$J$772,$K15,IuranSYSebelumnya!$M$330:$M$772,AY$11,IuranSYSebelumnya!$L$330:$L$772,$M$5)&gt;0,
        VLOOKUP(CONCATENATE($K15,"|",AY$11,"|",$M$5),IuranSYSebelumnya!$I$330:$N$772,5,FALSE),
        IF(COUNTIFS(IuranSYSebelumnya!$J$330:$J$772,$K15,IuranSYSebelumnya!$M$330:$M$772,AY$11,IuranSYSebelumnya!$L$330:$L$772,"&lt;&gt;"&amp;$M$5)&gt;0,
              "Iuran dari Lingkungan lain",
              ""))</f>
        <v/>
      </c>
      <c r="AZ15" s="47" t="str">
        <f>IF(COUNTIFS(IuranSYSebelumnya!$J$330:$J$772,$K15,IuranSYSebelumnya!$M$330:$M$772,AZ$11,IuranSYSebelumnya!$L$330:$L$772,$M$5)&gt;0,
        VLOOKUP(CONCATENATE($K15,"|",AZ$11,"|",$M$5),IuranSYSebelumnya!$I$330:$N$772,5,FALSE),
        IF(COUNTIFS(IuranSYSebelumnya!$J$330:$J$772,$K15,IuranSYSebelumnya!$M$330:$M$772,AZ$11,IuranSYSebelumnya!$L$330:$L$772,"&lt;&gt;"&amp;$M$5)&gt;0,
              "Iuran dari Lingkungan lain",
              ""))</f>
        <v/>
      </c>
      <c r="BA15" s="47" t="str">
        <f>IF(COUNTIFS(IuranSYSebelumnya!$J$330:$J$772,$K15,IuranSYSebelumnya!$M$330:$M$772,BA$11,IuranSYSebelumnya!$L$330:$L$772,$M$5)&gt;0,
        VLOOKUP(CONCATENATE($K15,"|",BA$11,"|",$M$5),IuranSYSebelumnya!$I$330:$N$772,5,FALSE),
        IF(COUNTIFS(IuranSYSebelumnya!$J$330:$J$772,$K15,IuranSYSebelumnya!$M$330:$M$772,BA$11,IuranSYSebelumnya!$L$330:$L$772,"&lt;&gt;"&amp;$M$5)&gt;0,
              "Iuran dari Lingkungan lain",
              ""))</f>
        <v/>
      </c>
      <c r="BB15" s="47" t="str">
        <f>IF(COUNTIFS(IuranSYSebelumnya!$J$330:$J$772,$K15,IuranSYSebelumnya!$M$330:$M$772,BB$11,IuranSYSebelumnya!$L$330:$L$772,$M$5)&gt;0,
        VLOOKUP(CONCATENATE($K15,"|",BB$11,"|",$M$5),IuranSYSebelumnya!$I$330:$N$772,5,FALSE),
        IF(COUNTIFS(IuranSYSebelumnya!$J$330:$J$772,$K15,IuranSYSebelumnya!$M$330:$M$772,BB$11,IuranSYSebelumnya!$L$330:$L$772,"&lt;&gt;"&amp;$M$5)&gt;0,
              "Iuran dari Lingkungan lain",
              ""))</f>
        <v/>
      </c>
      <c r="BC15" s="47" t="str">
        <f>IF(COUNTIFS(IuranSYSebelumnya!$J$330:$J$772,$K15,IuranSYSebelumnya!$M$330:$M$772,BC$11,IuranSYSebelumnya!$L$330:$L$772,$M$5)&gt;0,
        VLOOKUP(CONCATENATE($K15,"|",BC$11,"|",$M$5),IuranSYSebelumnya!$I$330:$N$772,5,FALSE),
        IF(COUNTIFS(IuranSYSebelumnya!$J$330:$J$772,$K15,IuranSYSebelumnya!$M$330:$M$772,BC$11,IuranSYSebelumnya!$L$330:$L$772,"&lt;&gt;"&amp;$M$5)&gt;0,
              "Iuran dari Lingkungan lain",
              ""))</f>
        <v/>
      </c>
      <c r="BD15" s="47" t="str">
        <f>IF(COUNTIFS(IuranSYSebelumnya!$J$330:$J$772,$K15,IuranSYSebelumnya!$M$330:$M$772,BD$11,IuranSYSebelumnya!$L$330:$L$772,$M$5)&gt;0,
        VLOOKUP(CONCATENATE($K15,"|",BD$11,"|",$M$5),IuranSYSebelumnya!$I$330:$N$772,5,FALSE),
        IF(COUNTIFS(IuranSYSebelumnya!$J$330:$J$772,$K15,IuranSYSebelumnya!$M$330:$M$772,BD$11,IuranSYSebelumnya!$L$330:$L$772,"&lt;&gt;"&amp;$M$5)&gt;0,
              "Iuran dari Lingkungan lain",
              ""))</f>
        <v/>
      </c>
      <c r="BE15" s="47" t="str">
        <f>IF(COUNTIFS(IuranSYSebelumnya!$J$330:$J$772,$K15,IuranSYSebelumnya!$M$330:$M$772,BE$11,IuranSYSebelumnya!$L$330:$L$772,$M$5)&gt;0,
        VLOOKUP(CONCATENATE($K15,"|",BE$11,"|",$M$5),IuranSYSebelumnya!$I$330:$N$772,5,FALSE),
        IF(COUNTIFS(IuranSYSebelumnya!$J$330:$J$772,$K15,IuranSYSebelumnya!$M$330:$M$772,BE$11,IuranSYSebelumnya!$L$330:$L$772,"&lt;&gt;"&amp;$M$5)&gt;0,
              "Iuran dari Lingkungan lain",
              ""))</f>
        <v/>
      </c>
      <c r="BF15" s="47" t="str">
        <f>IF(COUNTIFS(IuranSYSebelumnya!$J$330:$J$772,$K15,IuranSYSebelumnya!$M$330:$M$772,BF$11,IuranSYSebelumnya!$L$330:$L$772,$M$5)&gt;0,
        VLOOKUP(CONCATENATE($K15,"|",BF$11,"|",$M$5),IuranSYSebelumnya!$I$330:$N$772,5,FALSE),
        IF(COUNTIFS(IuranSYSebelumnya!$J$330:$J$772,$K15,IuranSYSebelumnya!$M$330:$M$772,BF$11,IuranSYSebelumnya!$L$330:$L$772,"&lt;&gt;"&amp;$M$5)&gt;0,
              "Iuran dari Lingkungan lain",
              ""))</f>
        <v/>
      </c>
      <c r="BG15" s="47" t="str">
        <f>IF(COUNTIFS(IuranSYSebelumnya!$J$330:$J$772,$K15,IuranSYSebelumnya!$M$330:$M$772,BG$11,IuranSYSebelumnya!$L$330:$L$772,$M$5)&gt;0,
        VLOOKUP(CONCATENATE($K15,"|",BG$11,"|",$M$5),IuranSYSebelumnya!$I$330:$N$772,5,FALSE),
        IF(COUNTIFS(IuranSYSebelumnya!$J$330:$J$772,$K15,IuranSYSebelumnya!$M$330:$M$772,BG$11,IuranSYSebelumnya!$L$330:$L$772,"&lt;&gt;"&amp;$M$5)&gt;0,
              "Iuran dari Lingkungan lain",
              ""))</f>
        <v/>
      </c>
      <c r="BH15" s="47" t="str">
        <f>IF(COUNTIFS(IuranSYSebelumnya!$J$330:$J$772,$K15,IuranSYSebelumnya!$M$330:$M$772,BH$11,IuranSYSebelumnya!$L$330:$L$772,$M$5)&gt;0,
        VLOOKUP(CONCATENATE($K15,"|",BH$11,"|",$M$5),IuranSYSebelumnya!$I$330:$N$772,5,FALSE),
        IF(COUNTIFS(IuranSYSebelumnya!$J$330:$J$772,$K15,IuranSYSebelumnya!$M$330:$M$772,BH$11,IuranSYSebelumnya!$L$330:$L$772,"&lt;&gt;"&amp;$M$5)&gt;0,
              "Iuran dari Lingkungan lain",
              ""))</f>
        <v/>
      </c>
      <c r="BI15" s="47" t="str">
        <f>IF(COUNTIFS(IuranSYSebelumnya!$J$330:$J$772,$K15,IuranSYSebelumnya!$M$330:$M$772,BI$11,IuranSYSebelumnya!$L$330:$L$772,$M$5)&gt;0,
        VLOOKUP(CONCATENATE($K15,"|",BI$11,"|",$M$5),IuranSYSebelumnya!$I$330:$N$772,5,FALSE),
        IF(COUNTIFS(IuranSYSebelumnya!$J$330:$J$772,$K15,IuranSYSebelumnya!$M$330:$M$772,BI$11,IuranSYSebelumnya!$L$330:$L$772,"&lt;&gt;"&amp;$M$5)&gt;0,
              "Iuran dari Lingkungan lain",
              ""))</f>
        <v/>
      </c>
      <c r="BJ15" s="47" t="str">
        <f>IF(COUNTIFS(IuranSYSebelumnya!$J$330:$J$772,$K15,IuranSYSebelumnya!$M$330:$M$772,BJ$11,IuranSYSebelumnya!$L$330:$L$772,$M$5)&gt;0,
        VLOOKUP(CONCATENATE($K15,"|",BJ$11,"|",$M$5),IuranSYSebelumnya!$I$330:$N$772,5,FALSE),
        IF(COUNTIFS(IuranSYSebelumnya!$J$330:$J$772,$K15,IuranSYSebelumnya!$M$330:$M$772,BJ$11,IuranSYSebelumnya!$L$330:$L$772,"&lt;&gt;"&amp;$M$5)&gt;0,
              "Iuran dari Lingkungan lain",
              ""))</f>
        <v/>
      </c>
      <c r="BK15" s="47" t="str">
        <f>IF(COUNTIFS(IuranSYSebelumnya!$J$330:$J$772,$K15,IuranSYSebelumnya!$M$330:$M$772,BK$11,IuranSYSebelumnya!$L$330:$L$772,$M$5)&gt;0,
        VLOOKUP(CONCATENATE($K15,"|",BK$11,"|",$M$5),IuranSYSebelumnya!$I$330:$N$772,5,FALSE),
        IF(COUNTIFS(IuranSYSebelumnya!$J$330:$J$772,$K15,IuranSYSebelumnya!$M$330:$M$772,BK$11,IuranSYSebelumnya!$L$330:$L$772,"&lt;&gt;"&amp;$M$5)&gt;0,
              "Iuran dari Lingkungan lain",
              ""))</f>
        <v/>
      </c>
      <c r="BL15" s="47" t="str">
        <f>IF(COUNTIFS(IuranSYSebelumnya!$J$330:$J$772,$K15,IuranSYSebelumnya!$M$330:$M$772,BL$11,IuranSYSebelumnya!$L$330:$L$772,$M$5)&gt;0,
        VLOOKUP(CONCATENATE($K15,"|",BL$11,"|",$M$5),IuranSYSebelumnya!$I$330:$N$772,5,FALSE),
        IF(COUNTIFS(IuranSYSebelumnya!$J$330:$J$772,$K15,IuranSYSebelumnya!$M$330:$M$772,BL$11,IuranSYSebelumnya!$L$330:$L$772,"&lt;&gt;"&amp;$M$5)&gt;0,
              "Iuran dari Lingkungan lain",
              ""))</f>
        <v/>
      </c>
    </row>
    <row r="16" spans="1:64" x14ac:dyDescent="0.35">
      <c r="A16" s="30" t="s">
        <v>6063</v>
      </c>
      <c r="C16" s="30" t="b">
        <f t="shared" ca="1" si="3"/>
        <v>0</v>
      </c>
      <c r="D16" s="30" t="str">
        <f>"""TRUST Nav"",""HSPMTB2016"",""18"",""1"",""KK-05055"""</f>
        <v>"TRUST Nav","HSPMTB2016","18","1","KK-05055"</v>
      </c>
      <c r="H16" s="30">
        <f t="shared" si="4"/>
        <v>0</v>
      </c>
      <c r="J16" s="30">
        <f t="shared" si="5"/>
        <v>4</v>
      </c>
      <c r="K16" s="30" t="str">
        <f>"KK-05055"</f>
        <v>KK-05055</v>
      </c>
      <c r="L16" s="30" t="str">
        <f>"Antonius Eliseus Rasi Wanggae"</f>
        <v>Antonius Eliseus Rasi Wanggae</v>
      </c>
      <c r="M16" s="30"/>
      <c r="N16" s="3"/>
      <c r="O16" s="3"/>
      <c r="P16" s="3"/>
      <c r="Q16" s="3"/>
      <c r="R16" s="3"/>
      <c r="S16" s="3"/>
      <c r="T16" s="11"/>
      <c r="U16" s="4"/>
      <c r="V16" s="4"/>
      <c r="W16" s="4"/>
      <c r="X16" s="4"/>
      <c r="Y16" s="15"/>
      <c r="Z16" s="4"/>
      <c r="AA16" s="4"/>
      <c r="AB16" s="4"/>
      <c r="AC16" s="4"/>
      <c r="AD16" s="4"/>
      <c r="AE16" s="4"/>
      <c r="AF16" s="11"/>
      <c r="AG16" s="4"/>
      <c r="AH16" s="4"/>
      <c r="AI16" s="4"/>
      <c r="AJ16" s="4"/>
      <c r="AK16" s="4"/>
      <c r="AL16" s="9">
        <f t="shared" si="6"/>
        <v>0</v>
      </c>
      <c r="AO16" s="47" t="str">
        <f>IF(COUNTIFS(IuranSYSebelumnya!$J$330:$J$772,$K16,IuranSYSebelumnya!$M$330:$M$772,AO$11,IuranSYSebelumnya!$L$330:$L$772,$M$5)&gt;0,
        VLOOKUP(CONCATENATE($K16,"|",AO$11,"|",$M$5),IuranSYSebelumnya!$I$330:$N$772,5,FALSE),
        IF(COUNTIFS(IuranSYSebelumnya!$J$330:$J$772,$K16,IuranSYSebelumnya!$M$330:$M$772,AO$11,IuranSYSebelumnya!$L$330:$L$772,"&lt;&gt;"&amp;$M$5)&gt;0,
              "Iuran dari Lingkungan lain",
              ""))</f>
        <v/>
      </c>
      <c r="AP16" s="47" t="str">
        <f>IF(COUNTIFS(IuranSYSebelumnya!$J$330:$J$772,$K16,IuranSYSebelumnya!$M$330:$M$772,AP$11,IuranSYSebelumnya!$L$330:$L$772,$M$5)&gt;0,
        VLOOKUP(CONCATENATE($K16,"|",AP$11,"|",$M$5),IuranSYSebelumnya!$I$330:$N$772,5,FALSE),
        IF(COUNTIFS(IuranSYSebelumnya!$J$330:$J$772,$K16,IuranSYSebelumnya!$M$330:$M$772,AP$11,IuranSYSebelumnya!$L$330:$L$772,"&lt;&gt;"&amp;$M$5)&gt;0,
              "Iuran dari Lingkungan lain",
              ""))</f>
        <v/>
      </c>
      <c r="AQ16" s="47" t="str">
        <f>IF(COUNTIFS(IuranSYSebelumnya!$J$330:$J$772,$K16,IuranSYSebelumnya!$M$330:$M$772,AQ$11,IuranSYSebelumnya!$L$330:$L$772,$M$5)&gt;0,
        VLOOKUP(CONCATENATE($K16,"|",AQ$11,"|",$M$5),IuranSYSebelumnya!$I$330:$N$772,5,FALSE),
        IF(COUNTIFS(IuranSYSebelumnya!$J$330:$J$772,$K16,IuranSYSebelumnya!$M$330:$M$772,AQ$11,IuranSYSebelumnya!$L$330:$L$772,"&lt;&gt;"&amp;$M$5)&gt;0,
              "Iuran dari Lingkungan lain",
              ""))</f>
        <v/>
      </c>
      <c r="AR16" s="47" t="str">
        <f>IF(COUNTIFS(IuranSYSebelumnya!$J$330:$J$772,$K16,IuranSYSebelumnya!$M$330:$M$772,AR$11,IuranSYSebelumnya!$L$330:$L$772,$M$5)&gt;0,
        VLOOKUP(CONCATENATE($K16,"|",AR$11,"|",$M$5),IuranSYSebelumnya!$I$330:$N$772,5,FALSE),
        IF(COUNTIFS(IuranSYSebelumnya!$J$330:$J$772,$K16,IuranSYSebelumnya!$M$330:$M$772,AR$11,IuranSYSebelumnya!$L$330:$L$772,"&lt;&gt;"&amp;$M$5)&gt;0,
              "Iuran dari Lingkungan lain",
              ""))</f>
        <v/>
      </c>
      <c r="AS16" s="47" t="str">
        <f>IF(COUNTIFS(IuranSYSebelumnya!$J$330:$J$772,$K16,IuranSYSebelumnya!$M$330:$M$772,AS$11,IuranSYSebelumnya!$L$330:$L$772,$M$5)&gt;0,
        VLOOKUP(CONCATENATE($K16,"|",AS$11,"|",$M$5),IuranSYSebelumnya!$I$330:$N$772,5,FALSE),
        IF(COUNTIFS(IuranSYSebelumnya!$J$330:$J$772,$K16,IuranSYSebelumnya!$M$330:$M$772,AS$11,IuranSYSebelumnya!$L$330:$L$772,"&lt;&gt;"&amp;$M$5)&gt;0,
              "Iuran dari Lingkungan lain",
              ""))</f>
        <v/>
      </c>
      <c r="AT16" s="47" t="str">
        <f>IF(COUNTIFS(IuranSYSebelumnya!$J$330:$J$772,$K16,IuranSYSebelumnya!$M$330:$M$772,AT$11,IuranSYSebelumnya!$L$330:$L$772,$M$5)&gt;0,
        VLOOKUP(CONCATENATE($K16,"|",AT$11,"|",$M$5),IuranSYSebelumnya!$I$330:$N$772,5,FALSE),
        IF(COUNTIFS(IuranSYSebelumnya!$J$330:$J$772,$K16,IuranSYSebelumnya!$M$330:$M$772,AT$11,IuranSYSebelumnya!$L$330:$L$772,"&lt;&gt;"&amp;$M$5)&gt;0,
              "Iuran dari Lingkungan lain",
              ""))</f>
        <v/>
      </c>
      <c r="AU16" s="47" t="str">
        <f>IF(COUNTIFS(IuranSYSebelumnya!$J$330:$J$772,$K16,IuranSYSebelumnya!$M$330:$M$772,AU$11,IuranSYSebelumnya!$L$330:$L$772,$M$5)&gt;0,
        VLOOKUP(CONCATENATE($K16,"|",AU$11,"|",$M$5),IuranSYSebelumnya!$I$330:$N$772,5,FALSE),
        IF(COUNTIFS(IuranSYSebelumnya!$J$330:$J$772,$K16,IuranSYSebelumnya!$M$330:$M$772,AU$11,IuranSYSebelumnya!$L$330:$L$772,"&lt;&gt;"&amp;$M$5)&gt;0,
              "Iuran dari Lingkungan lain",
              ""))</f>
        <v/>
      </c>
      <c r="AV16" s="47" t="str">
        <f>IF(COUNTIFS(IuranSYSebelumnya!$J$330:$J$772,$K16,IuranSYSebelumnya!$M$330:$M$772,AV$11,IuranSYSebelumnya!$L$330:$L$772,$M$5)&gt;0,
        VLOOKUP(CONCATENATE($K16,"|",AV$11,"|",$M$5),IuranSYSebelumnya!$I$330:$N$772,5,FALSE),
        IF(COUNTIFS(IuranSYSebelumnya!$J$330:$J$772,$K16,IuranSYSebelumnya!$M$330:$M$772,AV$11,IuranSYSebelumnya!$L$330:$L$772,"&lt;&gt;"&amp;$M$5)&gt;0,
              "Iuran dari Lingkungan lain",
              ""))</f>
        <v/>
      </c>
      <c r="AW16" s="47" t="str">
        <f>IF(COUNTIFS(IuranSYSebelumnya!$J$330:$J$772,$K16,IuranSYSebelumnya!$M$330:$M$772,AW$11,IuranSYSebelumnya!$L$330:$L$772,$M$5)&gt;0,
        VLOOKUP(CONCATENATE($K16,"|",AW$11,"|",$M$5),IuranSYSebelumnya!$I$330:$N$772,5,FALSE),
        IF(COUNTIFS(IuranSYSebelumnya!$J$330:$J$772,$K16,IuranSYSebelumnya!$M$330:$M$772,AW$11,IuranSYSebelumnya!$L$330:$L$772,"&lt;&gt;"&amp;$M$5)&gt;0,
              "Iuran dari Lingkungan lain",
              ""))</f>
        <v/>
      </c>
      <c r="AX16" s="47" t="str">
        <f>IF(COUNTIFS(IuranSYSebelumnya!$J$330:$J$772,$K16,IuranSYSebelumnya!$M$330:$M$772,AX$11,IuranSYSebelumnya!$L$330:$L$772,$M$5)&gt;0,
        VLOOKUP(CONCATENATE($K16,"|",AX$11,"|",$M$5),IuranSYSebelumnya!$I$330:$N$772,5,FALSE),
        IF(COUNTIFS(IuranSYSebelumnya!$J$330:$J$772,$K16,IuranSYSebelumnya!$M$330:$M$772,AX$11,IuranSYSebelumnya!$L$330:$L$772,"&lt;&gt;"&amp;$M$5)&gt;0,
              "Iuran dari Lingkungan lain",
              ""))</f>
        <v/>
      </c>
      <c r="AY16" s="47" t="str">
        <f>IF(COUNTIFS(IuranSYSebelumnya!$J$330:$J$772,$K16,IuranSYSebelumnya!$M$330:$M$772,AY$11,IuranSYSebelumnya!$L$330:$L$772,$M$5)&gt;0,
        VLOOKUP(CONCATENATE($K16,"|",AY$11,"|",$M$5),IuranSYSebelumnya!$I$330:$N$772,5,FALSE),
        IF(COUNTIFS(IuranSYSebelumnya!$J$330:$J$772,$K16,IuranSYSebelumnya!$M$330:$M$772,AY$11,IuranSYSebelumnya!$L$330:$L$772,"&lt;&gt;"&amp;$M$5)&gt;0,
              "Iuran dari Lingkungan lain",
              ""))</f>
        <v/>
      </c>
      <c r="AZ16" s="47" t="str">
        <f>IF(COUNTIFS(IuranSYSebelumnya!$J$330:$J$772,$K16,IuranSYSebelumnya!$M$330:$M$772,AZ$11,IuranSYSebelumnya!$L$330:$L$772,$M$5)&gt;0,
        VLOOKUP(CONCATENATE($K16,"|",AZ$11,"|",$M$5),IuranSYSebelumnya!$I$330:$N$772,5,FALSE),
        IF(COUNTIFS(IuranSYSebelumnya!$J$330:$J$772,$K16,IuranSYSebelumnya!$M$330:$M$772,AZ$11,IuranSYSebelumnya!$L$330:$L$772,"&lt;&gt;"&amp;$M$5)&gt;0,
              "Iuran dari Lingkungan lain",
              ""))</f>
        <v/>
      </c>
      <c r="BA16" s="47" t="str">
        <f>IF(COUNTIFS(IuranSYSebelumnya!$J$330:$J$772,$K16,IuranSYSebelumnya!$M$330:$M$772,BA$11,IuranSYSebelumnya!$L$330:$L$772,$M$5)&gt;0,
        VLOOKUP(CONCATENATE($K16,"|",BA$11,"|",$M$5),IuranSYSebelumnya!$I$330:$N$772,5,FALSE),
        IF(COUNTIFS(IuranSYSebelumnya!$J$330:$J$772,$K16,IuranSYSebelumnya!$M$330:$M$772,BA$11,IuranSYSebelumnya!$L$330:$L$772,"&lt;&gt;"&amp;$M$5)&gt;0,
              "Iuran dari Lingkungan lain",
              ""))</f>
        <v/>
      </c>
      <c r="BB16" s="47" t="str">
        <f>IF(COUNTIFS(IuranSYSebelumnya!$J$330:$J$772,$K16,IuranSYSebelumnya!$M$330:$M$772,BB$11,IuranSYSebelumnya!$L$330:$L$772,$M$5)&gt;0,
        VLOOKUP(CONCATENATE($K16,"|",BB$11,"|",$M$5),IuranSYSebelumnya!$I$330:$N$772,5,FALSE),
        IF(COUNTIFS(IuranSYSebelumnya!$J$330:$J$772,$K16,IuranSYSebelumnya!$M$330:$M$772,BB$11,IuranSYSebelumnya!$L$330:$L$772,"&lt;&gt;"&amp;$M$5)&gt;0,
              "Iuran dari Lingkungan lain",
              ""))</f>
        <v/>
      </c>
      <c r="BC16" s="47" t="str">
        <f>IF(COUNTIFS(IuranSYSebelumnya!$J$330:$J$772,$K16,IuranSYSebelumnya!$M$330:$M$772,BC$11,IuranSYSebelumnya!$L$330:$L$772,$M$5)&gt;0,
        VLOOKUP(CONCATENATE($K16,"|",BC$11,"|",$M$5),IuranSYSebelumnya!$I$330:$N$772,5,FALSE),
        IF(COUNTIFS(IuranSYSebelumnya!$J$330:$J$772,$K16,IuranSYSebelumnya!$M$330:$M$772,BC$11,IuranSYSebelumnya!$L$330:$L$772,"&lt;&gt;"&amp;$M$5)&gt;0,
              "Iuran dari Lingkungan lain",
              ""))</f>
        <v/>
      </c>
      <c r="BD16" s="47" t="str">
        <f>IF(COUNTIFS(IuranSYSebelumnya!$J$330:$J$772,$K16,IuranSYSebelumnya!$M$330:$M$772,BD$11,IuranSYSebelumnya!$L$330:$L$772,$M$5)&gt;0,
        VLOOKUP(CONCATENATE($K16,"|",BD$11,"|",$M$5),IuranSYSebelumnya!$I$330:$N$772,5,FALSE),
        IF(COUNTIFS(IuranSYSebelumnya!$J$330:$J$772,$K16,IuranSYSebelumnya!$M$330:$M$772,BD$11,IuranSYSebelumnya!$L$330:$L$772,"&lt;&gt;"&amp;$M$5)&gt;0,
              "Iuran dari Lingkungan lain",
              ""))</f>
        <v/>
      </c>
      <c r="BE16" s="47" t="str">
        <f>IF(COUNTIFS(IuranSYSebelumnya!$J$330:$J$772,$K16,IuranSYSebelumnya!$M$330:$M$772,BE$11,IuranSYSebelumnya!$L$330:$L$772,$M$5)&gt;0,
        VLOOKUP(CONCATENATE($K16,"|",BE$11,"|",$M$5),IuranSYSebelumnya!$I$330:$N$772,5,FALSE),
        IF(COUNTIFS(IuranSYSebelumnya!$J$330:$J$772,$K16,IuranSYSebelumnya!$M$330:$M$772,BE$11,IuranSYSebelumnya!$L$330:$L$772,"&lt;&gt;"&amp;$M$5)&gt;0,
              "Iuran dari Lingkungan lain",
              ""))</f>
        <v/>
      </c>
      <c r="BF16" s="47" t="str">
        <f>IF(COUNTIFS(IuranSYSebelumnya!$J$330:$J$772,$K16,IuranSYSebelumnya!$M$330:$M$772,BF$11,IuranSYSebelumnya!$L$330:$L$772,$M$5)&gt;0,
        VLOOKUP(CONCATENATE($K16,"|",BF$11,"|",$M$5),IuranSYSebelumnya!$I$330:$N$772,5,FALSE),
        IF(COUNTIFS(IuranSYSebelumnya!$J$330:$J$772,$K16,IuranSYSebelumnya!$M$330:$M$772,BF$11,IuranSYSebelumnya!$L$330:$L$772,"&lt;&gt;"&amp;$M$5)&gt;0,
              "Iuran dari Lingkungan lain",
              ""))</f>
        <v/>
      </c>
      <c r="BG16" s="47" t="str">
        <f>IF(COUNTIFS(IuranSYSebelumnya!$J$330:$J$772,$K16,IuranSYSebelumnya!$M$330:$M$772,BG$11,IuranSYSebelumnya!$L$330:$L$772,$M$5)&gt;0,
        VLOOKUP(CONCATENATE($K16,"|",BG$11,"|",$M$5),IuranSYSebelumnya!$I$330:$N$772,5,FALSE),
        IF(COUNTIFS(IuranSYSebelumnya!$J$330:$J$772,$K16,IuranSYSebelumnya!$M$330:$M$772,BG$11,IuranSYSebelumnya!$L$330:$L$772,"&lt;&gt;"&amp;$M$5)&gt;0,
              "Iuran dari Lingkungan lain",
              ""))</f>
        <v/>
      </c>
      <c r="BH16" s="47" t="str">
        <f>IF(COUNTIFS(IuranSYSebelumnya!$J$330:$J$772,$K16,IuranSYSebelumnya!$M$330:$M$772,BH$11,IuranSYSebelumnya!$L$330:$L$772,$M$5)&gt;0,
        VLOOKUP(CONCATENATE($K16,"|",BH$11,"|",$M$5),IuranSYSebelumnya!$I$330:$N$772,5,FALSE),
        IF(COUNTIFS(IuranSYSebelumnya!$J$330:$J$772,$K16,IuranSYSebelumnya!$M$330:$M$772,BH$11,IuranSYSebelumnya!$L$330:$L$772,"&lt;&gt;"&amp;$M$5)&gt;0,
              "Iuran dari Lingkungan lain",
              ""))</f>
        <v/>
      </c>
      <c r="BI16" s="47" t="str">
        <f>IF(COUNTIFS(IuranSYSebelumnya!$J$330:$J$772,$K16,IuranSYSebelumnya!$M$330:$M$772,BI$11,IuranSYSebelumnya!$L$330:$L$772,$M$5)&gt;0,
        VLOOKUP(CONCATENATE($K16,"|",BI$11,"|",$M$5),IuranSYSebelumnya!$I$330:$N$772,5,FALSE),
        IF(COUNTIFS(IuranSYSebelumnya!$J$330:$J$772,$K16,IuranSYSebelumnya!$M$330:$M$772,BI$11,IuranSYSebelumnya!$L$330:$L$772,"&lt;&gt;"&amp;$M$5)&gt;0,
              "Iuran dari Lingkungan lain",
              ""))</f>
        <v/>
      </c>
      <c r="BJ16" s="47" t="str">
        <f>IF(COUNTIFS(IuranSYSebelumnya!$J$330:$J$772,$K16,IuranSYSebelumnya!$M$330:$M$772,BJ$11,IuranSYSebelumnya!$L$330:$L$772,$M$5)&gt;0,
        VLOOKUP(CONCATENATE($K16,"|",BJ$11,"|",$M$5),IuranSYSebelumnya!$I$330:$N$772,5,FALSE),
        IF(COUNTIFS(IuranSYSebelumnya!$J$330:$J$772,$K16,IuranSYSebelumnya!$M$330:$M$772,BJ$11,IuranSYSebelumnya!$L$330:$L$772,"&lt;&gt;"&amp;$M$5)&gt;0,
              "Iuran dari Lingkungan lain",
              ""))</f>
        <v/>
      </c>
      <c r="BK16" s="47" t="str">
        <f>IF(COUNTIFS(IuranSYSebelumnya!$J$330:$J$772,$K16,IuranSYSebelumnya!$M$330:$M$772,BK$11,IuranSYSebelumnya!$L$330:$L$772,$M$5)&gt;0,
        VLOOKUP(CONCATENATE($K16,"|",BK$11,"|",$M$5),IuranSYSebelumnya!$I$330:$N$772,5,FALSE),
        IF(COUNTIFS(IuranSYSebelumnya!$J$330:$J$772,$K16,IuranSYSebelumnya!$M$330:$M$772,BK$11,IuranSYSebelumnya!$L$330:$L$772,"&lt;&gt;"&amp;$M$5)&gt;0,
              "Iuran dari Lingkungan lain",
              ""))</f>
        <v/>
      </c>
      <c r="BL16" s="47" t="str">
        <f>IF(COUNTIFS(IuranSYSebelumnya!$J$330:$J$772,$K16,IuranSYSebelumnya!$M$330:$M$772,BL$11,IuranSYSebelumnya!$L$330:$L$772,$M$5)&gt;0,
        VLOOKUP(CONCATENATE($K16,"|",BL$11,"|",$M$5),IuranSYSebelumnya!$I$330:$N$772,5,FALSE),
        IF(COUNTIFS(IuranSYSebelumnya!$J$330:$J$772,$K16,IuranSYSebelumnya!$M$330:$M$772,BL$11,IuranSYSebelumnya!$L$330:$L$772,"&lt;&gt;"&amp;$M$5)&gt;0,
              "Iuran dari Lingkungan lain",
              ""))</f>
        <v/>
      </c>
    </row>
    <row r="17" spans="1:64" x14ac:dyDescent="0.35">
      <c r="A17" s="30" t="s">
        <v>6063</v>
      </c>
      <c r="C17" s="30" t="b">
        <f t="shared" ca="1" si="3"/>
        <v>0</v>
      </c>
      <c r="D17" s="30" t="str">
        <f>"""TRUST Nav"",""HSPMTB2016"",""18"",""1"",""KK-04597"""</f>
        <v>"TRUST Nav","HSPMTB2016","18","1","KK-04597"</v>
      </c>
      <c r="H17" s="30">
        <f t="shared" si="4"/>
        <v>0</v>
      </c>
      <c r="J17" s="30">
        <f t="shared" si="5"/>
        <v>5</v>
      </c>
      <c r="K17" s="30" t="str">
        <f>"KK-04597"</f>
        <v>KK-04597</v>
      </c>
      <c r="L17" s="30" t="str">
        <f>"Arief Wibawa"</f>
        <v>Arief Wibawa</v>
      </c>
      <c r="M17" s="30"/>
      <c r="N17" s="129"/>
      <c r="O17" s="129"/>
      <c r="P17" s="129"/>
      <c r="Q17" s="129"/>
      <c r="R17" s="129"/>
      <c r="S17" s="129"/>
      <c r="T17" s="130"/>
      <c r="U17" s="131"/>
      <c r="V17" s="131"/>
      <c r="W17" s="131"/>
      <c r="X17" s="131"/>
      <c r="Y17" s="132"/>
      <c r="Z17" s="131"/>
      <c r="AA17" s="131"/>
      <c r="AB17" s="131"/>
      <c r="AC17" s="4"/>
      <c r="AD17" s="4"/>
      <c r="AE17" s="4"/>
      <c r="AF17" s="11"/>
      <c r="AG17" s="4"/>
      <c r="AH17" s="4"/>
      <c r="AI17" s="4"/>
      <c r="AJ17" s="4"/>
      <c r="AK17" s="4"/>
      <c r="AL17" s="9">
        <f t="shared" si="6"/>
        <v>0</v>
      </c>
      <c r="AO17" s="47">
        <f>IF(COUNTIFS(IuranSYSebelumnya!$J$330:$J$772,$K17,IuranSYSebelumnya!$M$330:$M$772,AO$11,IuranSYSebelumnya!$L$330:$L$772,$M$5)&gt;0,
        VLOOKUP(CONCATENATE($K17,"|",AO$11,"|",$M$5),IuranSYSebelumnya!$I$330:$N$772,5,FALSE),
        IF(COUNTIFS(IuranSYSebelumnya!$J$330:$J$772,$K17,IuranSYSebelumnya!$M$330:$M$772,AO$11,IuranSYSebelumnya!$L$330:$L$772,"&lt;&gt;"&amp;$M$5)&gt;0,
              "Iuran dari Lingkungan lain",
              ""))</f>
        <v>42186</v>
      </c>
      <c r="AP17" s="47">
        <f>IF(COUNTIFS(IuranSYSebelumnya!$J$330:$J$772,$K17,IuranSYSebelumnya!$M$330:$M$772,AP$11,IuranSYSebelumnya!$L$330:$L$772,$M$5)&gt;0,
        VLOOKUP(CONCATENATE($K17,"|",AP$11,"|",$M$5),IuranSYSebelumnya!$I$330:$N$772,5,FALSE),
        IF(COUNTIFS(IuranSYSebelumnya!$J$330:$J$772,$K17,IuranSYSebelumnya!$M$330:$M$772,AP$11,IuranSYSebelumnya!$L$330:$L$772,"&lt;&gt;"&amp;$M$5)&gt;0,
              "Iuran dari Lingkungan lain",
              ""))</f>
        <v>42217</v>
      </c>
      <c r="AQ17" s="47">
        <f>IF(COUNTIFS(IuranSYSebelumnya!$J$330:$J$772,$K17,IuranSYSebelumnya!$M$330:$M$772,AQ$11,IuranSYSebelumnya!$L$330:$L$772,$M$5)&gt;0,
        VLOOKUP(CONCATENATE($K17,"|",AQ$11,"|",$M$5),IuranSYSebelumnya!$I$330:$N$772,5,FALSE),
        IF(COUNTIFS(IuranSYSebelumnya!$J$330:$J$772,$K17,IuranSYSebelumnya!$M$330:$M$772,AQ$11,IuranSYSebelumnya!$L$330:$L$772,"&lt;&gt;"&amp;$M$5)&gt;0,
              "Iuran dari Lingkungan lain",
              ""))</f>
        <v>42248</v>
      </c>
      <c r="AR17" s="47">
        <f>IF(COUNTIFS(IuranSYSebelumnya!$J$330:$J$772,$K17,IuranSYSebelumnya!$M$330:$M$772,AR$11,IuranSYSebelumnya!$L$330:$L$772,$M$5)&gt;0,
        VLOOKUP(CONCATENATE($K17,"|",AR$11,"|",$M$5),IuranSYSebelumnya!$I$330:$N$772,5,FALSE),
        IF(COUNTIFS(IuranSYSebelumnya!$J$330:$J$772,$K17,IuranSYSebelumnya!$M$330:$M$772,AR$11,IuranSYSebelumnya!$L$330:$L$772,"&lt;&gt;"&amp;$M$5)&gt;0,
              "Iuran dari Lingkungan lain",
              ""))</f>
        <v>42278</v>
      </c>
      <c r="AS17" s="47">
        <f>IF(COUNTIFS(IuranSYSebelumnya!$J$330:$J$772,$K17,IuranSYSebelumnya!$M$330:$M$772,AS$11,IuranSYSebelumnya!$L$330:$L$772,$M$5)&gt;0,
        VLOOKUP(CONCATENATE($K17,"|",AS$11,"|",$M$5),IuranSYSebelumnya!$I$330:$N$772,5,FALSE),
        IF(COUNTIFS(IuranSYSebelumnya!$J$330:$J$772,$K17,IuranSYSebelumnya!$M$330:$M$772,AS$11,IuranSYSebelumnya!$L$330:$L$772,"&lt;&gt;"&amp;$M$5)&gt;0,
              "Iuran dari Lingkungan lain",
              ""))</f>
        <v>42309</v>
      </c>
      <c r="AT17" s="47">
        <f>IF(COUNTIFS(IuranSYSebelumnya!$J$330:$J$772,$K17,IuranSYSebelumnya!$M$330:$M$772,AT$11,IuranSYSebelumnya!$L$330:$L$772,$M$5)&gt;0,
        VLOOKUP(CONCATENATE($K17,"|",AT$11,"|",$M$5),IuranSYSebelumnya!$I$330:$N$772,5,FALSE),
        IF(COUNTIFS(IuranSYSebelumnya!$J$330:$J$772,$K17,IuranSYSebelumnya!$M$330:$M$772,AT$11,IuranSYSebelumnya!$L$330:$L$772,"&lt;&gt;"&amp;$M$5)&gt;0,
              "Iuran dari Lingkungan lain",
              ""))</f>
        <v>42339</v>
      </c>
      <c r="AU17" s="47">
        <f>IF(COUNTIFS(IuranSYSebelumnya!$J$330:$J$772,$K17,IuranSYSebelumnya!$M$330:$M$772,AU$11,IuranSYSebelumnya!$L$330:$L$772,$M$5)&gt;0,
        VLOOKUP(CONCATENATE($K17,"|",AU$11,"|",$M$5),IuranSYSebelumnya!$I$330:$N$772,5,FALSE),
        IF(COUNTIFS(IuranSYSebelumnya!$J$330:$J$772,$K17,IuranSYSebelumnya!$M$330:$M$772,AU$11,IuranSYSebelumnya!$L$330:$L$772,"&lt;&gt;"&amp;$M$5)&gt;0,
              "Iuran dari Lingkungan lain",
              ""))</f>
        <v>42370</v>
      </c>
      <c r="AV17" s="47">
        <f>IF(COUNTIFS(IuranSYSebelumnya!$J$330:$J$772,$K17,IuranSYSebelumnya!$M$330:$M$772,AV$11,IuranSYSebelumnya!$L$330:$L$772,$M$5)&gt;0,
        VLOOKUP(CONCATENATE($K17,"|",AV$11,"|",$M$5),IuranSYSebelumnya!$I$330:$N$772,5,FALSE),
        IF(COUNTIFS(IuranSYSebelumnya!$J$330:$J$772,$K17,IuranSYSebelumnya!$M$330:$M$772,AV$11,IuranSYSebelumnya!$L$330:$L$772,"&lt;&gt;"&amp;$M$5)&gt;0,
              "Iuran dari Lingkungan lain",
              ""))</f>
        <v>42401</v>
      </c>
      <c r="AW17" s="47">
        <f>IF(COUNTIFS(IuranSYSebelumnya!$J$330:$J$772,$K17,IuranSYSebelumnya!$M$330:$M$772,AW$11,IuranSYSebelumnya!$L$330:$L$772,$M$5)&gt;0,
        VLOOKUP(CONCATENATE($K17,"|",AW$11,"|",$M$5),IuranSYSebelumnya!$I$330:$N$772,5,FALSE),
        IF(COUNTIFS(IuranSYSebelumnya!$J$330:$J$772,$K17,IuranSYSebelumnya!$M$330:$M$772,AW$11,IuranSYSebelumnya!$L$330:$L$772,"&lt;&gt;"&amp;$M$5)&gt;0,
              "Iuran dari Lingkungan lain",
              ""))</f>
        <v>42430</v>
      </c>
      <c r="AX17" s="47">
        <f>IF(COUNTIFS(IuranSYSebelumnya!$J$330:$J$772,$K17,IuranSYSebelumnya!$M$330:$M$772,AX$11,IuranSYSebelumnya!$L$330:$L$772,$M$5)&gt;0,
        VLOOKUP(CONCATENATE($K17,"|",AX$11,"|",$M$5),IuranSYSebelumnya!$I$330:$N$772,5,FALSE),
        IF(COUNTIFS(IuranSYSebelumnya!$J$330:$J$772,$K17,IuranSYSebelumnya!$M$330:$M$772,AX$11,IuranSYSebelumnya!$L$330:$L$772,"&lt;&gt;"&amp;$M$5)&gt;0,
              "Iuran dari Lingkungan lain",
              ""))</f>
        <v>42461</v>
      </c>
      <c r="AY17" s="47">
        <f>IF(COUNTIFS(IuranSYSebelumnya!$J$330:$J$772,$K17,IuranSYSebelumnya!$M$330:$M$772,AY$11,IuranSYSebelumnya!$L$330:$L$772,$M$5)&gt;0,
        VLOOKUP(CONCATENATE($K17,"|",AY$11,"|",$M$5),IuranSYSebelumnya!$I$330:$N$772,5,FALSE),
        IF(COUNTIFS(IuranSYSebelumnya!$J$330:$J$772,$K17,IuranSYSebelumnya!$M$330:$M$772,AY$11,IuranSYSebelumnya!$L$330:$L$772,"&lt;&gt;"&amp;$M$5)&gt;0,
              "Iuran dari Lingkungan lain",
              ""))</f>
        <v>42491</v>
      </c>
      <c r="AZ17" s="47">
        <f>IF(COUNTIFS(IuranSYSebelumnya!$J$330:$J$772,$K17,IuranSYSebelumnya!$M$330:$M$772,AZ$11,IuranSYSebelumnya!$L$330:$L$772,$M$5)&gt;0,
        VLOOKUP(CONCATENATE($K17,"|",AZ$11,"|",$M$5),IuranSYSebelumnya!$I$330:$N$772,5,FALSE),
        IF(COUNTIFS(IuranSYSebelumnya!$J$330:$J$772,$K17,IuranSYSebelumnya!$M$330:$M$772,AZ$11,IuranSYSebelumnya!$L$330:$L$772,"&lt;&gt;"&amp;$M$5)&gt;0,
              "Iuran dari Lingkungan lain",
              ""))</f>
        <v>42522</v>
      </c>
      <c r="BA17" s="47">
        <f>IF(COUNTIFS(IuranSYSebelumnya!$J$330:$J$772,$K17,IuranSYSebelumnya!$M$330:$M$772,BA$11,IuranSYSebelumnya!$L$330:$L$772,$M$5)&gt;0,
        VLOOKUP(CONCATENATE($K17,"|",BA$11,"|",$M$5),IuranSYSebelumnya!$I$330:$N$772,5,FALSE),
        IF(COUNTIFS(IuranSYSebelumnya!$J$330:$J$772,$K17,IuranSYSebelumnya!$M$330:$M$772,BA$11,IuranSYSebelumnya!$L$330:$L$772,"&lt;&gt;"&amp;$M$5)&gt;0,
              "Iuran dari Lingkungan lain",
              ""))</f>
        <v>42552</v>
      </c>
      <c r="BB17" s="47">
        <f>IF(COUNTIFS(IuranSYSebelumnya!$J$330:$J$772,$K17,IuranSYSebelumnya!$M$330:$M$772,BB$11,IuranSYSebelumnya!$L$330:$L$772,$M$5)&gt;0,
        VLOOKUP(CONCATENATE($K17,"|",BB$11,"|",$M$5),IuranSYSebelumnya!$I$330:$N$772,5,FALSE),
        IF(COUNTIFS(IuranSYSebelumnya!$J$330:$J$772,$K17,IuranSYSebelumnya!$M$330:$M$772,BB$11,IuranSYSebelumnya!$L$330:$L$772,"&lt;&gt;"&amp;$M$5)&gt;0,
              "Iuran dari Lingkungan lain",
              ""))</f>
        <v>42583</v>
      </c>
      <c r="BC17" s="47">
        <f>IF(COUNTIFS(IuranSYSebelumnya!$J$330:$J$772,$K17,IuranSYSebelumnya!$M$330:$M$772,BC$11,IuranSYSebelumnya!$L$330:$L$772,$M$5)&gt;0,
        VLOOKUP(CONCATENATE($K17,"|",BC$11,"|",$M$5),IuranSYSebelumnya!$I$330:$N$772,5,FALSE),
        IF(COUNTIFS(IuranSYSebelumnya!$J$330:$J$772,$K17,IuranSYSebelumnya!$M$330:$M$772,BC$11,IuranSYSebelumnya!$L$330:$L$772,"&lt;&gt;"&amp;$M$5)&gt;0,
              "Iuran dari Lingkungan lain",
              ""))</f>
        <v>42614</v>
      </c>
      <c r="BD17" s="47" t="str">
        <f>IF(COUNTIFS(IuranSYSebelumnya!$J$330:$J$772,$K17,IuranSYSebelumnya!$M$330:$M$772,BD$11,IuranSYSebelumnya!$L$330:$L$772,$M$5)&gt;0,
        VLOOKUP(CONCATENATE($K17,"|",BD$11,"|",$M$5),IuranSYSebelumnya!$I$330:$N$772,5,FALSE),
        IF(COUNTIFS(IuranSYSebelumnya!$J$330:$J$772,$K17,IuranSYSebelumnya!$M$330:$M$772,BD$11,IuranSYSebelumnya!$L$330:$L$772,"&lt;&gt;"&amp;$M$5)&gt;0,
              "Iuran dari Lingkungan lain",
              ""))</f>
        <v/>
      </c>
      <c r="BE17" s="47" t="str">
        <f>IF(COUNTIFS(IuranSYSebelumnya!$J$330:$J$772,$K17,IuranSYSebelumnya!$M$330:$M$772,BE$11,IuranSYSebelumnya!$L$330:$L$772,$M$5)&gt;0,
        VLOOKUP(CONCATENATE($K17,"|",BE$11,"|",$M$5),IuranSYSebelumnya!$I$330:$N$772,5,FALSE),
        IF(COUNTIFS(IuranSYSebelumnya!$J$330:$J$772,$K17,IuranSYSebelumnya!$M$330:$M$772,BE$11,IuranSYSebelumnya!$L$330:$L$772,"&lt;&gt;"&amp;$M$5)&gt;0,
              "Iuran dari Lingkungan lain",
              ""))</f>
        <v/>
      </c>
      <c r="BF17" s="47" t="str">
        <f>IF(COUNTIFS(IuranSYSebelumnya!$J$330:$J$772,$K17,IuranSYSebelumnya!$M$330:$M$772,BF$11,IuranSYSebelumnya!$L$330:$L$772,$M$5)&gt;0,
        VLOOKUP(CONCATENATE($K17,"|",BF$11,"|",$M$5),IuranSYSebelumnya!$I$330:$N$772,5,FALSE),
        IF(COUNTIFS(IuranSYSebelumnya!$J$330:$J$772,$K17,IuranSYSebelumnya!$M$330:$M$772,BF$11,IuranSYSebelumnya!$L$330:$L$772,"&lt;&gt;"&amp;$M$5)&gt;0,
              "Iuran dari Lingkungan lain",
              ""))</f>
        <v/>
      </c>
      <c r="BG17" s="47" t="str">
        <f>IF(COUNTIFS(IuranSYSebelumnya!$J$330:$J$772,$K17,IuranSYSebelumnya!$M$330:$M$772,BG$11,IuranSYSebelumnya!$L$330:$L$772,$M$5)&gt;0,
        VLOOKUP(CONCATENATE($K17,"|",BG$11,"|",$M$5),IuranSYSebelumnya!$I$330:$N$772,5,FALSE),
        IF(COUNTIFS(IuranSYSebelumnya!$J$330:$J$772,$K17,IuranSYSebelumnya!$M$330:$M$772,BG$11,IuranSYSebelumnya!$L$330:$L$772,"&lt;&gt;"&amp;$M$5)&gt;0,
              "Iuran dari Lingkungan lain",
              ""))</f>
        <v/>
      </c>
      <c r="BH17" s="47" t="str">
        <f>IF(COUNTIFS(IuranSYSebelumnya!$J$330:$J$772,$K17,IuranSYSebelumnya!$M$330:$M$772,BH$11,IuranSYSebelumnya!$L$330:$L$772,$M$5)&gt;0,
        VLOOKUP(CONCATENATE($K17,"|",BH$11,"|",$M$5),IuranSYSebelumnya!$I$330:$N$772,5,FALSE),
        IF(COUNTIFS(IuranSYSebelumnya!$J$330:$J$772,$K17,IuranSYSebelumnya!$M$330:$M$772,BH$11,IuranSYSebelumnya!$L$330:$L$772,"&lt;&gt;"&amp;$M$5)&gt;0,
              "Iuran dari Lingkungan lain",
              ""))</f>
        <v/>
      </c>
      <c r="BI17" s="47" t="str">
        <f>IF(COUNTIFS(IuranSYSebelumnya!$J$330:$J$772,$K17,IuranSYSebelumnya!$M$330:$M$772,BI$11,IuranSYSebelumnya!$L$330:$L$772,$M$5)&gt;0,
        VLOOKUP(CONCATENATE($K17,"|",BI$11,"|",$M$5),IuranSYSebelumnya!$I$330:$N$772,5,FALSE),
        IF(COUNTIFS(IuranSYSebelumnya!$J$330:$J$772,$K17,IuranSYSebelumnya!$M$330:$M$772,BI$11,IuranSYSebelumnya!$L$330:$L$772,"&lt;&gt;"&amp;$M$5)&gt;0,
              "Iuran dari Lingkungan lain",
              ""))</f>
        <v/>
      </c>
      <c r="BJ17" s="47" t="str">
        <f>IF(COUNTIFS(IuranSYSebelumnya!$J$330:$J$772,$K17,IuranSYSebelumnya!$M$330:$M$772,BJ$11,IuranSYSebelumnya!$L$330:$L$772,$M$5)&gt;0,
        VLOOKUP(CONCATENATE($K17,"|",BJ$11,"|",$M$5),IuranSYSebelumnya!$I$330:$N$772,5,FALSE),
        IF(COUNTIFS(IuranSYSebelumnya!$J$330:$J$772,$K17,IuranSYSebelumnya!$M$330:$M$772,BJ$11,IuranSYSebelumnya!$L$330:$L$772,"&lt;&gt;"&amp;$M$5)&gt;0,
              "Iuran dari Lingkungan lain",
              ""))</f>
        <v/>
      </c>
      <c r="BK17" s="47" t="str">
        <f>IF(COUNTIFS(IuranSYSebelumnya!$J$330:$J$772,$K17,IuranSYSebelumnya!$M$330:$M$772,BK$11,IuranSYSebelumnya!$L$330:$L$772,$M$5)&gt;0,
        VLOOKUP(CONCATENATE($K17,"|",BK$11,"|",$M$5),IuranSYSebelumnya!$I$330:$N$772,5,FALSE),
        IF(COUNTIFS(IuranSYSebelumnya!$J$330:$J$772,$K17,IuranSYSebelumnya!$M$330:$M$772,BK$11,IuranSYSebelumnya!$L$330:$L$772,"&lt;&gt;"&amp;$M$5)&gt;0,
              "Iuran dari Lingkungan lain",
              ""))</f>
        <v/>
      </c>
      <c r="BL17" s="47" t="str">
        <f>IF(COUNTIFS(IuranSYSebelumnya!$J$330:$J$772,$K17,IuranSYSebelumnya!$M$330:$M$772,BL$11,IuranSYSebelumnya!$L$330:$L$772,$M$5)&gt;0,
        VLOOKUP(CONCATENATE($K17,"|",BL$11,"|",$M$5),IuranSYSebelumnya!$I$330:$N$772,5,FALSE),
        IF(COUNTIFS(IuranSYSebelumnya!$J$330:$J$772,$K17,IuranSYSebelumnya!$M$330:$M$772,BL$11,IuranSYSebelumnya!$L$330:$L$772,"&lt;&gt;"&amp;$M$5)&gt;0,
              "Iuran dari Lingkungan lain",
              ""))</f>
        <v/>
      </c>
    </row>
    <row r="18" spans="1:64" x14ac:dyDescent="0.35">
      <c r="A18" s="30" t="s">
        <v>6063</v>
      </c>
      <c r="C18" s="30" t="b">
        <f t="shared" ca="1" si="3"/>
        <v>0</v>
      </c>
      <c r="D18" s="30" t="str">
        <f>"""TRUST Nav"",""HSPMTB2016"",""18"",""1"",""KK-04599"""</f>
        <v>"TRUST Nav","HSPMTB2016","18","1","KK-04599"</v>
      </c>
      <c r="H18" s="30">
        <f t="shared" si="4"/>
        <v>0</v>
      </c>
      <c r="J18" s="30">
        <f t="shared" si="5"/>
        <v>6</v>
      </c>
      <c r="K18" s="30" t="str">
        <f>"KK-04599"</f>
        <v>KK-04599</v>
      </c>
      <c r="L18" s="30" t="str">
        <f>"Bernardus Yogie Dirga Gunawan"</f>
        <v>Bernardus Yogie Dirga Gunawan</v>
      </c>
      <c r="M18" s="30"/>
      <c r="N18" s="129"/>
      <c r="O18" s="129"/>
      <c r="P18" s="129"/>
      <c r="Q18" s="129"/>
      <c r="R18" s="129"/>
      <c r="S18" s="129"/>
      <c r="T18" s="130"/>
      <c r="U18" s="131"/>
      <c r="V18" s="131"/>
      <c r="W18" s="131"/>
      <c r="X18" s="131"/>
      <c r="Y18" s="132"/>
      <c r="Z18" s="131"/>
      <c r="AA18" s="131"/>
      <c r="AB18" s="131"/>
      <c r="AC18" s="4"/>
      <c r="AD18" s="4"/>
      <c r="AE18" s="4"/>
      <c r="AF18" s="11"/>
      <c r="AG18" s="4"/>
      <c r="AH18" s="4"/>
      <c r="AI18" s="4"/>
      <c r="AJ18" s="4"/>
      <c r="AK18" s="4"/>
      <c r="AL18" s="9">
        <f t="shared" si="6"/>
        <v>0</v>
      </c>
      <c r="AO18" s="47">
        <f>IF(COUNTIFS(IuranSYSebelumnya!$J$330:$J$772,$K18,IuranSYSebelumnya!$M$330:$M$772,AO$11,IuranSYSebelumnya!$L$330:$L$772,$M$5)&gt;0,
        VLOOKUP(CONCATENATE($K18,"|",AO$11,"|",$M$5),IuranSYSebelumnya!$I$330:$N$772,5,FALSE),
        IF(COUNTIFS(IuranSYSebelumnya!$J$330:$J$772,$K18,IuranSYSebelumnya!$M$330:$M$772,AO$11,IuranSYSebelumnya!$L$330:$L$772,"&lt;&gt;"&amp;$M$5)&gt;0,
              "Iuran dari Lingkungan lain",
              ""))</f>
        <v>42186</v>
      </c>
      <c r="AP18" s="47">
        <f>IF(COUNTIFS(IuranSYSebelumnya!$J$330:$J$772,$K18,IuranSYSebelumnya!$M$330:$M$772,AP$11,IuranSYSebelumnya!$L$330:$L$772,$M$5)&gt;0,
        VLOOKUP(CONCATENATE($K18,"|",AP$11,"|",$M$5),IuranSYSebelumnya!$I$330:$N$772,5,FALSE),
        IF(COUNTIFS(IuranSYSebelumnya!$J$330:$J$772,$K18,IuranSYSebelumnya!$M$330:$M$772,AP$11,IuranSYSebelumnya!$L$330:$L$772,"&lt;&gt;"&amp;$M$5)&gt;0,
              "Iuran dari Lingkungan lain",
              ""))</f>
        <v>42217</v>
      </c>
      <c r="AQ18" s="47">
        <f>IF(COUNTIFS(IuranSYSebelumnya!$J$330:$J$772,$K18,IuranSYSebelumnya!$M$330:$M$772,AQ$11,IuranSYSebelumnya!$L$330:$L$772,$M$5)&gt;0,
        VLOOKUP(CONCATENATE($K18,"|",AQ$11,"|",$M$5),IuranSYSebelumnya!$I$330:$N$772,5,FALSE),
        IF(COUNTIFS(IuranSYSebelumnya!$J$330:$J$772,$K18,IuranSYSebelumnya!$M$330:$M$772,AQ$11,IuranSYSebelumnya!$L$330:$L$772,"&lt;&gt;"&amp;$M$5)&gt;0,
              "Iuran dari Lingkungan lain",
              ""))</f>
        <v>42248</v>
      </c>
      <c r="AR18" s="47">
        <f>IF(COUNTIFS(IuranSYSebelumnya!$J$330:$J$772,$K18,IuranSYSebelumnya!$M$330:$M$772,AR$11,IuranSYSebelumnya!$L$330:$L$772,$M$5)&gt;0,
        VLOOKUP(CONCATENATE($K18,"|",AR$11,"|",$M$5),IuranSYSebelumnya!$I$330:$N$772,5,FALSE),
        IF(COUNTIFS(IuranSYSebelumnya!$J$330:$J$772,$K18,IuranSYSebelumnya!$M$330:$M$772,AR$11,IuranSYSebelumnya!$L$330:$L$772,"&lt;&gt;"&amp;$M$5)&gt;0,
              "Iuran dari Lingkungan lain",
              ""))</f>
        <v>42278</v>
      </c>
      <c r="AS18" s="47">
        <f>IF(COUNTIFS(IuranSYSebelumnya!$J$330:$J$772,$K18,IuranSYSebelumnya!$M$330:$M$772,AS$11,IuranSYSebelumnya!$L$330:$L$772,$M$5)&gt;0,
        VLOOKUP(CONCATENATE($K18,"|",AS$11,"|",$M$5),IuranSYSebelumnya!$I$330:$N$772,5,FALSE),
        IF(COUNTIFS(IuranSYSebelumnya!$J$330:$J$772,$K18,IuranSYSebelumnya!$M$330:$M$772,AS$11,IuranSYSebelumnya!$L$330:$L$772,"&lt;&gt;"&amp;$M$5)&gt;0,
              "Iuran dari Lingkungan lain",
              ""))</f>
        <v>42309</v>
      </c>
      <c r="AT18" s="47">
        <f>IF(COUNTIFS(IuranSYSebelumnya!$J$330:$J$772,$K18,IuranSYSebelumnya!$M$330:$M$772,AT$11,IuranSYSebelumnya!$L$330:$L$772,$M$5)&gt;0,
        VLOOKUP(CONCATENATE($K18,"|",AT$11,"|",$M$5),IuranSYSebelumnya!$I$330:$N$772,5,FALSE),
        IF(COUNTIFS(IuranSYSebelumnya!$J$330:$J$772,$K18,IuranSYSebelumnya!$M$330:$M$772,AT$11,IuranSYSebelumnya!$L$330:$L$772,"&lt;&gt;"&amp;$M$5)&gt;0,
              "Iuran dari Lingkungan lain",
              ""))</f>
        <v>42339</v>
      </c>
      <c r="AU18" s="47">
        <f>IF(COUNTIFS(IuranSYSebelumnya!$J$330:$J$772,$K18,IuranSYSebelumnya!$M$330:$M$772,AU$11,IuranSYSebelumnya!$L$330:$L$772,$M$5)&gt;0,
        VLOOKUP(CONCATENATE($K18,"|",AU$11,"|",$M$5),IuranSYSebelumnya!$I$330:$N$772,5,FALSE),
        IF(COUNTIFS(IuranSYSebelumnya!$J$330:$J$772,$K18,IuranSYSebelumnya!$M$330:$M$772,AU$11,IuranSYSebelumnya!$L$330:$L$772,"&lt;&gt;"&amp;$M$5)&gt;0,
              "Iuran dari Lingkungan lain",
              ""))</f>
        <v>42370</v>
      </c>
      <c r="AV18" s="47">
        <f>IF(COUNTIFS(IuranSYSebelumnya!$J$330:$J$772,$K18,IuranSYSebelumnya!$M$330:$M$772,AV$11,IuranSYSebelumnya!$L$330:$L$772,$M$5)&gt;0,
        VLOOKUP(CONCATENATE($K18,"|",AV$11,"|",$M$5),IuranSYSebelumnya!$I$330:$N$772,5,FALSE),
        IF(COUNTIFS(IuranSYSebelumnya!$J$330:$J$772,$K18,IuranSYSebelumnya!$M$330:$M$772,AV$11,IuranSYSebelumnya!$L$330:$L$772,"&lt;&gt;"&amp;$M$5)&gt;0,
              "Iuran dari Lingkungan lain",
              ""))</f>
        <v>42401</v>
      </c>
      <c r="AW18" s="47">
        <f>IF(COUNTIFS(IuranSYSebelumnya!$J$330:$J$772,$K18,IuranSYSebelumnya!$M$330:$M$772,AW$11,IuranSYSebelumnya!$L$330:$L$772,$M$5)&gt;0,
        VLOOKUP(CONCATENATE($K18,"|",AW$11,"|",$M$5),IuranSYSebelumnya!$I$330:$N$772,5,FALSE),
        IF(COUNTIFS(IuranSYSebelumnya!$J$330:$J$772,$K18,IuranSYSebelumnya!$M$330:$M$772,AW$11,IuranSYSebelumnya!$L$330:$L$772,"&lt;&gt;"&amp;$M$5)&gt;0,
              "Iuran dari Lingkungan lain",
              ""))</f>
        <v>42430</v>
      </c>
      <c r="AX18" s="47">
        <f>IF(COUNTIFS(IuranSYSebelumnya!$J$330:$J$772,$K18,IuranSYSebelumnya!$M$330:$M$772,AX$11,IuranSYSebelumnya!$L$330:$L$772,$M$5)&gt;0,
        VLOOKUP(CONCATENATE($K18,"|",AX$11,"|",$M$5),IuranSYSebelumnya!$I$330:$N$772,5,FALSE),
        IF(COUNTIFS(IuranSYSebelumnya!$J$330:$J$772,$K18,IuranSYSebelumnya!$M$330:$M$772,AX$11,IuranSYSebelumnya!$L$330:$L$772,"&lt;&gt;"&amp;$M$5)&gt;0,
              "Iuran dari Lingkungan lain",
              ""))</f>
        <v>42461</v>
      </c>
      <c r="AY18" s="47">
        <f>IF(COUNTIFS(IuranSYSebelumnya!$J$330:$J$772,$K18,IuranSYSebelumnya!$M$330:$M$772,AY$11,IuranSYSebelumnya!$L$330:$L$772,$M$5)&gt;0,
        VLOOKUP(CONCATENATE($K18,"|",AY$11,"|",$M$5),IuranSYSebelumnya!$I$330:$N$772,5,FALSE),
        IF(COUNTIFS(IuranSYSebelumnya!$J$330:$J$772,$K18,IuranSYSebelumnya!$M$330:$M$772,AY$11,IuranSYSebelumnya!$L$330:$L$772,"&lt;&gt;"&amp;$M$5)&gt;0,
              "Iuran dari Lingkungan lain",
              ""))</f>
        <v>42491</v>
      </c>
      <c r="AZ18" s="47">
        <f>IF(COUNTIFS(IuranSYSebelumnya!$J$330:$J$772,$K18,IuranSYSebelumnya!$M$330:$M$772,AZ$11,IuranSYSebelumnya!$L$330:$L$772,$M$5)&gt;0,
        VLOOKUP(CONCATENATE($K18,"|",AZ$11,"|",$M$5),IuranSYSebelumnya!$I$330:$N$772,5,FALSE),
        IF(COUNTIFS(IuranSYSebelumnya!$J$330:$J$772,$K18,IuranSYSebelumnya!$M$330:$M$772,AZ$11,IuranSYSebelumnya!$L$330:$L$772,"&lt;&gt;"&amp;$M$5)&gt;0,
              "Iuran dari Lingkungan lain",
              ""))</f>
        <v>42522</v>
      </c>
      <c r="BA18" s="47">
        <f>IF(COUNTIFS(IuranSYSebelumnya!$J$330:$J$772,$K18,IuranSYSebelumnya!$M$330:$M$772,BA$11,IuranSYSebelumnya!$L$330:$L$772,$M$5)&gt;0,
        VLOOKUP(CONCATENATE($K18,"|",BA$11,"|",$M$5),IuranSYSebelumnya!$I$330:$N$772,5,FALSE),
        IF(COUNTIFS(IuranSYSebelumnya!$J$330:$J$772,$K18,IuranSYSebelumnya!$M$330:$M$772,BA$11,IuranSYSebelumnya!$L$330:$L$772,"&lt;&gt;"&amp;$M$5)&gt;0,
              "Iuran dari Lingkungan lain",
              ""))</f>
        <v>42552</v>
      </c>
      <c r="BB18" s="47">
        <f>IF(COUNTIFS(IuranSYSebelumnya!$J$330:$J$772,$K18,IuranSYSebelumnya!$M$330:$M$772,BB$11,IuranSYSebelumnya!$L$330:$L$772,$M$5)&gt;0,
        VLOOKUP(CONCATENATE($K18,"|",BB$11,"|",$M$5),IuranSYSebelumnya!$I$330:$N$772,5,FALSE),
        IF(COUNTIFS(IuranSYSebelumnya!$J$330:$J$772,$K18,IuranSYSebelumnya!$M$330:$M$772,BB$11,IuranSYSebelumnya!$L$330:$L$772,"&lt;&gt;"&amp;$M$5)&gt;0,
              "Iuran dari Lingkungan lain",
              ""))</f>
        <v>42583</v>
      </c>
      <c r="BC18" s="47">
        <f>IF(COUNTIFS(IuranSYSebelumnya!$J$330:$J$772,$K18,IuranSYSebelumnya!$M$330:$M$772,BC$11,IuranSYSebelumnya!$L$330:$L$772,$M$5)&gt;0,
        VLOOKUP(CONCATENATE($K18,"|",BC$11,"|",$M$5),IuranSYSebelumnya!$I$330:$N$772,5,FALSE),
        IF(COUNTIFS(IuranSYSebelumnya!$J$330:$J$772,$K18,IuranSYSebelumnya!$M$330:$M$772,BC$11,IuranSYSebelumnya!$L$330:$L$772,"&lt;&gt;"&amp;$M$5)&gt;0,
              "Iuran dari Lingkungan lain",
              ""))</f>
        <v>42614</v>
      </c>
      <c r="BD18" s="47" t="str">
        <f>IF(COUNTIFS(IuranSYSebelumnya!$J$330:$J$772,$K18,IuranSYSebelumnya!$M$330:$M$772,BD$11,IuranSYSebelumnya!$L$330:$L$772,$M$5)&gt;0,
        VLOOKUP(CONCATENATE($K18,"|",BD$11,"|",$M$5),IuranSYSebelumnya!$I$330:$N$772,5,FALSE),
        IF(COUNTIFS(IuranSYSebelumnya!$J$330:$J$772,$K18,IuranSYSebelumnya!$M$330:$M$772,BD$11,IuranSYSebelumnya!$L$330:$L$772,"&lt;&gt;"&amp;$M$5)&gt;0,
              "Iuran dari Lingkungan lain",
              ""))</f>
        <v/>
      </c>
      <c r="BE18" s="47" t="str">
        <f>IF(COUNTIFS(IuranSYSebelumnya!$J$330:$J$772,$K18,IuranSYSebelumnya!$M$330:$M$772,BE$11,IuranSYSebelumnya!$L$330:$L$772,$M$5)&gt;0,
        VLOOKUP(CONCATENATE($K18,"|",BE$11,"|",$M$5),IuranSYSebelumnya!$I$330:$N$772,5,FALSE),
        IF(COUNTIFS(IuranSYSebelumnya!$J$330:$J$772,$K18,IuranSYSebelumnya!$M$330:$M$772,BE$11,IuranSYSebelumnya!$L$330:$L$772,"&lt;&gt;"&amp;$M$5)&gt;0,
              "Iuran dari Lingkungan lain",
              ""))</f>
        <v/>
      </c>
      <c r="BF18" s="47" t="str">
        <f>IF(COUNTIFS(IuranSYSebelumnya!$J$330:$J$772,$K18,IuranSYSebelumnya!$M$330:$M$772,BF$11,IuranSYSebelumnya!$L$330:$L$772,$M$5)&gt;0,
        VLOOKUP(CONCATENATE($K18,"|",BF$11,"|",$M$5),IuranSYSebelumnya!$I$330:$N$772,5,FALSE),
        IF(COUNTIFS(IuranSYSebelumnya!$J$330:$J$772,$K18,IuranSYSebelumnya!$M$330:$M$772,BF$11,IuranSYSebelumnya!$L$330:$L$772,"&lt;&gt;"&amp;$M$5)&gt;0,
              "Iuran dari Lingkungan lain",
              ""))</f>
        <v/>
      </c>
      <c r="BG18" s="47" t="str">
        <f>IF(COUNTIFS(IuranSYSebelumnya!$J$330:$J$772,$K18,IuranSYSebelumnya!$M$330:$M$772,BG$11,IuranSYSebelumnya!$L$330:$L$772,$M$5)&gt;0,
        VLOOKUP(CONCATENATE($K18,"|",BG$11,"|",$M$5),IuranSYSebelumnya!$I$330:$N$772,5,FALSE),
        IF(COUNTIFS(IuranSYSebelumnya!$J$330:$J$772,$K18,IuranSYSebelumnya!$M$330:$M$772,BG$11,IuranSYSebelumnya!$L$330:$L$772,"&lt;&gt;"&amp;$M$5)&gt;0,
              "Iuran dari Lingkungan lain",
              ""))</f>
        <v/>
      </c>
      <c r="BH18" s="47" t="str">
        <f>IF(COUNTIFS(IuranSYSebelumnya!$J$330:$J$772,$K18,IuranSYSebelumnya!$M$330:$M$772,BH$11,IuranSYSebelumnya!$L$330:$L$772,$M$5)&gt;0,
        VLOOKUP(CONCATENATE($K18,"|",BH$11,"|",$M$5),IuranSYSebelumnya!$I$330:$N$772,5,FALSE),
        IF(COUNTIFS(IuranSYSebelumnya!$J$330:$J$772,$K18,IuranSYSebelumnya!$M$330:$M$772,BH$11,IuranSYSebelumnya!$L$330:$L$772,"&lt;&gt;"&amp;$M$5)&gt;0,
              "Iuran dari Lingkungan lain",
              ""))</f>
        <v/>
      </c>
      <c r="BI18" s="47" t="str">
        <f>IF(COUNTIFS(IuranSYSebelumnya!$J$330:$J$772,$K18,IuranSYSebelumnya!$M$330:$M$772,BI$11,IuranSYSebelumnya!$L$330:$L$772,$M$5)&gt;0,
        VLOOKUP(CONCATENATE($K18,"|",BI$11,"|",$M$5),IuranSYSebelumnya!$I$330:$N$772,5,FALSE),
        IF(COUNTIFS(IuranSYSebelumnya!$J$330:$J$772,$K18,IuranSYSebelumnya!$M$330:$M$772,BI$11,IuranSYSebelumnya!$L$330:$L$772,"&lt;&gt;"&amp;$M$5)&gt;0,
              "Iuran dari Lingkungan lain",
              ""))</f>
        <v/>
      </c>
      <c r="BJ18" s="47" t="str">
        <f>IF(COUNTIFS(IuranSYSebelumnya!$J$330:$J$772,$K18,IuranSYSebelumnya!$M$330:$M$772,BJ$11,IuranSYSebelumnya!$L$330:$L$772,$M$5)&gt;0,
        VLOOKUP(CONCATENATE($K18,"|",BJ$11,"|",$M$5),IuranSYSebelumnya!$I$330:$N$772,5,FALSE),
        IF(COUNTIFS(IuranSYSebelumnya!$J$330:$J$772,$K18,IuranSYSebelumnya!$M$330:$M$772,BJ$11,IuranSYSebelumnya!$L$330:$L$772,"&lt;&gt;"&amp;$M$5)&gt;0,
              "Iuran dari Lingkungan lain",
              ""))</f>
        <v/>
      </c>
      <c r="BK18" s="47" t="str">
        <f>IF(COUNTIFS(IuranSYSebelumnya!$J$330:$J$772,$K18,IuranSYSebelumnya!$M$330:$M$772,BK$11,IuranSYSebelumnya!$L$330:$L$772,$M$5)&gt;0,
        VLOOKUP(CONCATENATE($K18,"|",BK$11,"|",$M$5),IuranSYSebelumnya!$I$330:$N$772,5,FALSE),
        IF(COUNTIFS(IuranSYSebelumnya!$J$330:$J$772,$K18,IuranSYSebelumnya!$M$330:$M$772,BK$11,IuranSYSebelumnya!$L$330:$L$772,"&lt;&gt;"&amp;$M$5)&gt;0,
              "Iuran dari Lingkungan lain",
              ""))</f>
        <v/>
      </c>
      <c r="BL18" s="47" t="str">
        <f>IF(COUNTIFS(IuranSYSebelumnya!$J$330:$J$772,$K18,IuranSYSebelumnya!$M$330:$M$772,BL$11,IuranSYSebelumnya!$L$330:$L$772,$M$5)&gt;0,
        VLOOKUP(CONCATENATE($K18,"|",BL$11,"|",$M$5),IuranSYSebelumnya!$I$330:$N$772,5,FALSE),
        IF(COUNTIFS(IuranSYSebelumnya!$J$330:$J$772,$K18,IuranSYSebelumnya!$M$330:$M$772,BL$11,IuranSYSebelumnya!$L$330:$L$772,"&lt;&gt;"&amp;$M$5)&gt;0,
              "Iuran dari Lingkungan lain",
              ""))</f>
        <v/>
      </c>
    </row>
    <row r="19" spans="1:64" x14ac:dyDescent="0.35">
      <c r="A19" s="30" t="s">
        <v>6063</v>
      </c>
      <c r="C19" s="30" t="b">
        <f t="shared" ca="1" si="3"/>
        <v>0</v>
      </c>
      <c r="D19" s="30" t="str">
        <f>"""TRUST Nav"",""HSPMTB2016"",""18"",""1"",""KK-04600"""</f>
        <v>"TRUST Nav","HSPMTB2016","18","1","KK-04600"</v>
      </c>
      <c r="H19" s="30">
        <f t="shared" si="4"/>
        <v>0</v>
      </c>
      <c r="J19" s="30">
        <f t="shared" si="5"/>
        <v>7</v>
      </c>
      <c r="K19" s="30" t="str">
        <f>"KK-04600"</f>
        <v>KK-04600</v>
      </c>
      <c r="L19" s="30" t="str">
        <f>"Bing Subroto"</f>
        <v>Bing Subroto</v>
      </c>
      <c r="M19" s="30"/>
      <c r="N19" s="129"/>
      <c r="O19" s="129"/>
      <c r="P19" s="129"/>
      <c r="Q19" s="129"/>
      <c r="R19" s="129"/>
      <c r="S19" s="129"/>
      <c r="T19" s="11"/>
      <c r="U19" s="4"/>
      <c r="V19" s="4"/>
      <c r="W19" s="4"/>
      <c r="X19" s="4"/>
      <c r="Y19" s="15"/>
      <c r="Z19" s="4"/>
      <c r="AA19" s="4"/>
      <c r="AB19" s="4"/>
      <c r="AC19" s="4"/>
      <c r="AD19" s="4"/>
      <c r="AE19" s="4"/>
      <c r="AF19" s="11"/>
      <c r="AG19" s="4"/>
      <c r="AH19" s="4"/>
      <c r="AI19" s="4"/>
      <c r="AJ19" s="4"/>
      <c r="AK19" s="4"/>
      <c r="AL19" s="9">
        <f t="shared" si="6"/>
        <v>0</v>
      </c>
      <c r="AO19" s="47">
        <f>IF(COUNTIFS(IuranSYSebelumnya!$J$330:$J$772,$K19,IuranSYSebelumnya!$M$330:$M$772,AO$11,IuranSYSebelumnya!$L$330:$L$772,$M$5)&gt;0,
        VLOOKUP(CONCATENATE($K19,"|",AO$11,"|",$M$5),IuranSYSebelumnya!$I$330:$N$772,5,FALSE),
        IF(COUNTIFS(IuranSYSebelumnya!$J$330:$J$772,$K19,IuranSYSebelumnya!$M$330:$M$772,AO$11,IuranSYSebelumnya!$L$330:$L$772,"&lt;&gt;"&amp;$M$5)&gt;0,
              "Iuran dari Lingkungan lain",
              ""))</f>
        <v>42186</v>
      </c>
      <c r="AP19" s="47">
        <f>IF(COUNTIFS(IuranSYSebelumnya!$J$330:$J$772,$K19,IuranSYSebelumnya!$M$330:$M$772,AP$11,IuranSYSebelumnya!$L$330:$L$772,$M$5)&gt;0,
        VLOOKUP(CONCATENATE($K19,"|",AP$11,"|",$M$5),IuranSYSebelumnya!$I$330:$N$772,5,FALSE),
        IF(COUNTIFS(IuranSYSebelumnya!$J$330:$J$772,$K19,IuranSYSebelumnya!$M$330:$M$772,AP$11,IuranSYSebelumnya!$L$330:$L$772,"&lt;&gt;"&amp;$M$5)&gt;0,
              "Iuran dari Lingkungan lain",
              ""))</f>
        <v>42217</v>
      </c>
      <c r="AQ19" s="47">
        <f>IF(COUNTIFS(IuranSYSebelumnya!$J$330:$J$772,$K19,IuranSYSebelumnya!$M$330:$M$772,AQ$11,IuranSYSebelumnya!$L$330:$L$772,$M$5)&gt;0,
        VLOOKUP(CONCATENATE($K19,"|",AQ$11,"|",$M$5),IuranSYSebelumnya!$I$330:$N$772,5,FALSE),
        IF(COUNTIFS(IuranSYSebelumnya!$J$330:$J$772,$K19,IuranSYSebelumnya!$M$330:$M$772,AQ$11,IuranSYSebelumnya!$L$330:$L$772,"&lt;&gt;"&amp;$M$5)&gt;0,
              "Iuran dari Lingkungan lain",
              ""))</f>
        <v>42248</v>
      </c>
      <c r="AR19" s="47">
        <f>IF(COUNTIFS(IuranSYSebelumnya!$J$330:$J$772,$K19,IuranSYSebelumnya!$M$330:$M$772,AR$11,IuranSYSebelumnya!$L$330:$L$772,$M$5)&gt;0,
        VLOOKUP(CONCATENATE($K19,"|",AR$11,"|",$M$5),IuranSYSebelumnya!$I$330:$N$772,5,FALSE),
        IF(COUNTIFS(IuranSYSebelumnya!$J$330:$J$772,$K19,IuranSYSebelumnya!$M$330:$M$772,AR$11,IuranSYSebelumnya!$L$330:$L$772,"&lt;&gt;"&amp;$M$5)&gt;0,
              "Iuran dari Lingkungan lain",
              ""))</f>
        <v>42278</v>
      </c>
      <c r="AS19" s="47">
        <f>IF(COUNTIFS(IuranSYSebelumnya!$J$330:$J$772,$K19,IuranSYSebelumnya!$M$330:$M$772,AS$11,IuranSYSebelumnya!$L$330:$L$772,$M$5)&gt;0,
        VLOOKUP(CONCATENATE($K19,"|",AS$11,"|",$M$5),IuranSYSebelumnya!$I$330:$N$772,5,FALSE),
        IF(COUNTIFS(IuranSYSebelumnya!$J$330:$J$772,$K19,IuranSYSebelumnya!$M$330:$M$772,AS$11,IuranSYSebelumnya!$L$330:$L$772,"&lt;&gt;"&amp;$M$5)&gt;0,
              "Iuran dari Lingkungan lain",
              ""))</f>
        <v>42309</v>
      </c>
      <c r="AT19" s="47">
        <f>IF(COUNTIFS(IuranSYSebelumnya!$J$330:$J$772,$K19,IuranSYSebelumnya!$M$330:$M$772,AT$11,IuranSYSebelumnya!$L$330:$L$772,$M$5)&gt;0,
        VLOOKUP(CONCATENATE($K19,"|",AT$11,"|",$M$5),IuranSYSebelumnya!$I$330:$N$772,5,FALSE),
        IF(COUNTIFS(IuranSYSebelumnya!$J$330:$J$772,$K19,IuranSYSebelumnya!$M$330:$M$772,AT$11,IuranSYSebelumnya!$L$330:$L$772,"&lt;&gt;"&amp;$M$5)&gt;0,
              "Iuran dari Lingkungan lain",
              ""))</f>
        <v>42339</v>
      </c>
      <c r="AU19" s="47" t="str">
        <f>IF(COUNTIFS(IuranSYSebelumnya!$J$330:$J$772,$K19,IuranSYSebelumnya!$M$330:$M$772,AU$11,IuranSYSebelumnya!$L$330:$L$772,$M$5)&gt;0,
        VLOOKUP(CONCATENATE($K19,"|",AU$11,"|",$M$5),IuranSYSebelumnya!$I$330:$N$772,5,FALSE),
        IF(COUNTIFS(IuranSYSebelumnya!$J$330:$J$772,$K19,IuranSYSebelumnya!$M$330:$M$772,AU$11,IuranSYSebelumnya!$L$330:$L$772,"&lt;&gt;"&amp;$M$5)&gt;0,
              "Iuran dari Lingkungan lain",
              ""))</f>
        <v/>
      </c>
      <c r="AV19" s="47" t="str">
        <f>IF(COUNTIFS(IuranSYSebelumnya!$J$330:$J$772,$K19,IuranSYSebelumnya!$M$330:$M$772,AV$11,IuranSYSebelumnya!$L$330:$L$772,$M$5)&gt;0,
        VLOOKUP(CONCATENATE($K19,"|",AV$11,"|",$M$5),IuranSYSebelumnya!$I$330:$N$772,5,FALSE),
        IF(COUNTIFS(IuranSYSebelumnya!$J$330:$J$772,$K19,IuranSYSebelumnya!$M$330:$M$772,AV$11,IuranSYSebelumnya!$L$330:$L$772,"&lt;&gt;"&amp;$M$5)&gt;0,
              "Iuran dari Lingkungan lain",
              ""))</f>
        <v/>
      </c>
      <c r="AW19" s="47" t="str">
        <f>IF(COUNTIFS(IuranSYSebelumnya!$J$330:$J$772,$K19,IuranSYSebelumnya!$M$330:$M$772,AW$11,IuranSYSebelumnya!$L$330:$L$772,$M$5)&gt;0,
        VLOOKUP(CONCATENATE($K19,"|",AW$11,"|",$M$5),IuranSYSebelumnya!$I$330:$N$772,5,FALSE),
        IF(COUNTIFS(IuranSYSebelumnya!$J$330:$J$772,$K19,IuranSYSebelumnya!$M$330:$M$772,AW$11,IuranSYSebelumnya!$L$330:$L$772,"&lt;&gt;"&amp;$M$5)&gt;0,
              "Iuran dari Lingkungan lain",
              ""))</f>
        <v/>
      </c>
      <c r="AX19" s="47" t="str">
        <f>IF(COUNTIFS(IuranSYSebelumnya!$J$330:$J$772,$K19,IuranSYSebelumnya!$M$330:$M$772,AX$11,IuranSYSebelumnya!$L$330:$L$772,$M$5)&gt;0,
        VLOOKUP(CONCATENATE($K19,"|",AX$11,"|",$M$5),IuranSYSebelumnya!$I$330:$N$772,5,FALSE),
        IF(COUNTIFS(IuranSYSebelumnya!$J$330:$J$772,$K19,IuranSYSebelumnya!$M$330:$M$772,AX$11,IuranSYSebelumnya!$L$330:$L$772,"&lt;&gt;"&amp;$M$5)&gt;0,
              "Iuran dari Lingkungan lain",
              ""))</f>
        <v/>
      </c>
      <c r="AY19" s="47" t="str">
        <f>IF(COUNTIFS(IuranSYSebelumnya!$J$330:$J$772,$K19,IuranSYSebelumnya!$M$330:$M$772,AY$11,IuranSYSebelumnya!$L$330:$L$772,$M$5)&gt;0,
        VLOOKUP(CONCATENATE($K19,"|",AY$11,"|",$M$5),IuranSYSebelumnya!$I$330:$N$772,5,FALSE),
        IF(COUNTIFS(IuranSYSebelumnya!$J$330:$J$772,$K19,IuranSYSebelumnya!$M$330:$M$772,AY$11,IuranSYSebelumnya!$L$330:$L$772,"&lt;&gt;"&amp;$M$5)&gt;0,
              "Iuran dari Lingkungan lain",
              ""))</f>
        <v/>
      </c>
      <c r="AZ19" s="47" t="str">
        <f>IF(COUNTIFS(IuranSYSebelumnya!$J$330:$J$772,$K19,IuranSYSebelumnya!$M$330:$M$772,AZ$11,IuranSYSebelumnya!$L$330:$L$772,$M$5)&gt;0,
        VLOOKUP(CONCATENATE($K19,"|",AZ$11,"|",$M$5),IuranSYSebelumnya!$I$330:$N$772,5,FALSE),
        IF(COUNTIFS(IuranSYSebelumnya!$J$330:$J$772,$K19,IuranSYSebelumnya!$M$330:$M$772,AZ$11,IuranSYSebelumnya!$L$330:$L$772,"&lt;&gt;"&amp;$M$5)&gt;0,
              "Iuran dari Lingkungan lain",
              ""))</f>
        <v/>
      </c>
      <c r="BA19" s="47" t="str">
        <f>IF(COUNTIFS(IuranSYSebelumnya!$J$330:$J$772,$K19,IuranSYSebelumnya!$M$330:$M$772,BA$11,IuranSYSebelumnya!$L$330:$L$772,$M$5)&gt;0,
        VLOOKUP(CONCATENATE($K19,"|",BA$11,"|",$M$5),IuranSYSebelumnya!$I$330:$N$772,5,FALSE),
        IF(COUNTIFS(IuranSYSebelumnya!$J$330:$J$772,$K19,IuranSYSebelumnya!$M$330:$M$772,BA$11,IuranSYSebelumnya!$L$330:$L$772,"&lt;&gt;"&amp;$M$5)&gt;0,
              "Iuran dari Lingkungan lain",
              ""))</f>
        <v/>
      </c>
      <c r="BB19" s="47" t="str">
        <f>IF(COUNTIFS(IuranSYSebelumnya!$J$330:$J$772,$K19,IuranSYSebelumnya!$M$330:$M$772,BB$11,IuranSYSebelumnya!$L$330:$L$772,$M$5)&gt;0,
        VLOOKUP(CONCATENATE($K19,"|",BB$11,"|",$M$5),IuranSYSebelumnya!$I$330:$N$772,5,FALSE),
        IF(COUNTIFS(IuranSYSebelumnya!$J$330:$J$772,$K19,IuranSYSebelumnya!$M$330:$M$772,BB$11,IuranSYSebelumnya!$L$330:$L$772,"&lt;&gt;"&amp;$M$5)&gt;0,
              "Iuran dari Lingkungan lain",
              ""))</f>
        <v/>
      </c>
      <c r="BC19" s="47" t="str">
        <f>IF(COUNTIFS(IuranSYSebelumnya!$J$330:$J$772,$K19,IuranSYSebelumnya!$M$330:$M$772,BC$11,IuranSYSebelumnya!$L$330:$L$772,$M$5)&gt;0,
        VLOOKUP(CONCATENATE($K19,"|",BC$11,"|",$M$5),IuranSYSebelumnya!$I$330:$N$772,5,FALSE),
        IF(COUNTIFS(IuranSYSebelumnya!$J$330:$J$772,$K19,IuranSYSebelumnya!$M$330:$M$772,BC$11,IuranSYSebelumnya!$L$330:$L$772,"&lt;&gt;"&amp;$M$5)&gt;0,
              "Iuran dari Lingkungan lain",
              ""))</f>
        <v/>
      </c>
      <c r="BD19" s="47" t="str">
        <f>IF(COUNTIFS(IuranSYSebelumnya!$J$330:$J$772,$K19,IuranSYSebelumnya!$M$330:$M$772,BD$11,IuranSYSebelumnya!$L$330:$L$772,$M$5)&gt;0,
        VLOOKUP(CONCATENATE($K19,"|",BD$11,"|",$M$5),IuranSYSebelumnya!$I$330:$N$772,5,FALSE),
        IF(COUNTIFS(IuranSYSebelumnya!$J$330:$J$772,$K19,IuranSYSebelumnya!$M$330:$M$772,BD$11,IuranSYSebelumnya!$L$330:$L$772,"&lt;&gt;"&amp;$M$5)&gt;0,
              "Iuran dari Lingkungan lain",
              ""))</f>
        <v/>
      </c>
      <c r="BE19" s="47" t="str">
        <f>IF(COUNTIFS(IuranSYSebelumnya!$J$330:$J$772,$K19,IuranSYSebelumnya!$M$330:$M$772,BE$11,IuranSYSebelumnya!$L$330:$L$772,$M$5)&gt;0,
        VLOOKUP(CONCATENATE($K19,"|",BE$11,"|",$M$5),IuranSYSebelumnya!$I$330:$N$772,5,FALSE),
        IF(COUNTIFS(IuranSYSebelumnya!$J$330:$J$772,$K19,IuranSYSebelumnya!$M$330:$M$772,BE$11,IuranSYSebelumnya!$L$330:$L$772,"&lt;&gt;"&amp;$M$5)&gt;0,
              "Iuran dari Lingkungan lain",
              ""))</f>
        <v/>
      </c>
      <c r="BF19" s="47" t="str">
        <f>IF(COUNTIFS(IuranSYSebelumnya!$J$330:$J$772,$K19,IuranSYSebelumnya!$M$330:$M$772,BF$11,IuranSYSebelumnya!$L$330:$L$772,$M$5)&gt;0,
        VLOOKUP(CONCATENATE($K19,"|",BF$11,"|",$M$5),IuranSYSebelumnya!$I$330:$N$772,5,FALSE),
        IF(COUNTIFS(IuranSYSebelumnya!$J$330:$J$772,$K19,IuranSYSebelumnya!$M$330:$M$772,BF$11,IuranSYSebelumnya!$L$330:$L$772,"&lt;&gt;"&amp;$M$5)&gt;0,
              "Iuran dari Lingkungan lain",
              ""))</f>
        <v/>
      </c>
      <c r="BG19" s="47" t="str">
        <f>IF(COUNTIFS(IuranSYSebelumnya!$J$330:$J$772,$K19,IuranSYSebelumnya!$M$330:$M$772,BG$11,IuranSYSebelumnya!$L$330:$L$772,$M$5)&gt;0,
        VLOOKUP(CONCATENATE($K19,"|",BG$11,"|",$M$5),IuranSYSebelumnya!$I$330:$N$772,5,FALSE),
        IF(COUNTIFS(IuranSYSebelumnya!$J$330:$J$772,$K19,IuranSYSebelumnya!$M$330:$M$772,BG$11,IuranSYSebelumnya!$L$330:$L$772,"&lt;&gt;"&amp;$M$5)&gt;0,
              "Iuran dari Lingkungan lain",
              ""))</f>
        <v/>
      </c>
      <c r="BH19" s="47" t="str">
        <f>IF(COUNTIFS(IuranSYSebelumnya!$J$330:$J$772,$K19,IuranSYSebelumnya!$M$330:$M$772,BH$11,IuranSYSebelumnya!$L$330:$L$772,$M$5)&gt;0,
        VLOOKUP(CONCATENATE($K19,"|",BH$11,"|",$M$5),IuranSYSebelumnya!$I$330:$N$772,5,FALSE),
        IF(COUNTIFS(IuranSYSebelumnya!$J$330:$J$772,$K19,IuranSYSebelumnya!$M$330:$M$772,BH$11,IuranSYSebelumnya!$L$330:$L$772,"&lt;&gt;"&amp;$M$5)&gt;0,
              "Iuran dari Lingkungan lain",
              ""))</f>
        <v/>
      </c>
      <c r="BI19" s="47" t="str">
        <f>IF(COUNTIFS(IuranSYSebelumnya!$J$330:$J$772,$K19,IuranSYSebelumnya!$M$330:$M$772,BI$11,IuranSYSebelumnya!$L$330:$L$772,$M$5)&gt;0,
        VLOOKUP(CONCATENATE($K19,"|",BI$11,"|",$M$5),IuranSYSebelumnya!$I$330:$N$772,5,FALSE),
        IF(COUNTIFS(IuranSYSebelumnya!$J$330:$J$772,$K19,IuranSYSebelumnya!$M$330:$M$772,BI$11,IuranSYSebelumnya!$L$330:$L$772,"&lt;&gt;"&amp;$M$5)&gt;0,
              "Iuran dari Lingkungan lain",
              ""))</f>
        <v/>
      </c>
      <c r="BJ19" s="47" t="str">
        <f>IF(COUNTIFS(IuranSYSebelumnya!$J$330:$J$772,$K19,IuranSYSebelumnya!$M$330:$M$772,BJ$11,IuranSYSebelumnya!$L$330:$L$772,$M$5)&gt;0,
        VLOOKUP(CONCATENATE($K19,"|",BJ$11,"|",$M$5),IuranSYSebelumnya!$I$330:$N$772,5,FALSE),
        IF(COUNTIFS(IuranSYSebelumnya!$J$330:$J$772,$K19,IuranSYSebelumnya!$M$330:$M$772,BJ$11,IuranSYSebelumnya!$L$330:$L$772,"&lt;&gt;"&amp;$M$5)&gt;0,
              "Iuran dari Lingkungan lain",
              ""))</f>
        <v/>
      </c>
      <c r="BK19" s="47" t="str">
        <f>IF(COUNTIFS(IuranSYSebelumnya!$J$330:$J$772,$K19,IuranSYSebelumnya!$M$330:$M$772,BK$11,IuranSYSebelumnya!$L$330:$L$772,$M$5)&gt;0,
        VLOOKUP(CONCATENATE($K19,"|",BK$11,"|",$M$5),IuranSYSebelumnya!$I$330:$N$772,5,FALSE),
        IF(COUNTIFS(IuranSYSebelumnya!$J$330:$J$772,$K19,IuranSYSebelumnya!$M$330:$M$772,BK$11,IuranSYSebelumnya!$L$330:$L$772,"&lt;&gt;"&amp;$M$5)&gt;0,
              "Iuran dari Lingkungan lain",
              ""))</f>
        <v/>
      </c>
      <c r="BL19" s="47" t="str">
        <f>IF(COUNTIFS(IuranSYSebelumnya!$J$330:$J$772,$K19,IuranSYSebelumnya!$M$330:$M$772,BL$11,IuranSYSebelumnya!$L$330:$L$772,$M$5)&gt;0,
        VLOOKUP(CONCATENATE($K19,"|",BL$11,"|",$M$5),IuranSYSebelumnya!$I$330:$N$772,5,FALSE),
        IF(COUNTIFS(IuranSYSebelumnya!$J$330:$J$772,$K19,IuranSYSebelumnya!$M$330:$M$772,BL$11,IuranSYSebelumnya!$L$330:$L$772,"&lt;&gt;"&amp;$M$5)&gt;0,
              "Iuran dari Lingkungan lain",
              ""))</f>
        <v/>
      </c>
    </row>
    <row r="20" spans="1:64" x14ac:dyDescent="0.35">
      <c r="A20" s="30" t="s">
        <v>6063</v>
      </c>
      <c r="C20" s="30" t="b">
        <f t="shared" ca="1" si="3"/>
        <v>0</v>
      </c>
      <c r="D20" s="30" t="str">
        <f>"""TRUST Nav"",""HSPMTB2016"",""18"",""1"",""KK-04601"""</f>
        <v>"TRUST Nav","HSPMTB2016","18","1","KK-04601"</v>
      </c>
      <c r="H20" s="30">
        <f t="shared" si="4"/>
        <v>0</v>
      </c>
      <c r="J20" s="30">
        <f t="shared" si="5"/>
        <v>8</v>
      </c>
      <c r="K20" s="30" t="str">
        <f>"KK-04601"</f>
        <v>KK-04601</v>
      </c>
      <c r="L20" s="30" t="str">
        <f>"Boen Yoen Tet (Teddy)"</f>
        <v>Boen Yoen Tet (Teddy)</v>
      </c>
      <c r="M20" s="30"/>
      <c r="N20" s="129"/>
      <c r="O20" s="129"/>
      <c r="P20" s="129"/>
      <c r="Q20" s="129"/>
      <c r="R20" s="129"/>
      <c r="S20" s="129"/>
      <c r="T20" s="130"/>
      <c r="U20" s="131"/>
      <c r="V20" s="131"/>
      <c r="W20" s="131"/>
      <c r="X20" s="131"/>
      <c r="Y20" s="132"/>
      <c r="Z20" s="131"/>
      <c r="AA20" s="4"/>
      <c r="AB20" s="4"/>
      <c r="AC20" s="4"/>
      <c r="AD20" s="4"/>
      <c r="AE20" s="4"/>
      <c r="AF20" s="11"/>
      <c r="AG20" s="4"/>
      <c r="AH20" s="4"/>
      <c r="AI20" s="4"/>
      <c r="AJ20" s="4"/>
      <c r="AK20" s="4"/>
      <c r="AL20" s="9">
        <f t="shared" si="6"/>
        <v>0</v>
      </c>
      <c r="AO20" s="47">
        <f>IF(COUNTIFS(IuranSYSebelumnya!$J$330:$J$772,$K20,IuranSYSebelumnya!$M$330:$M$772,AO$11,IuranSYSebelumnya!$L$330:$L$772,$M$5)&gt;0,
        VLOOKUP(CONCATENATE($K20,"|",AO$11,"|",$M$5),IuranSYSebelumnya!$I$330:$N$772,5,FALSE),
        IF(COUNTIFS(IuranSYSebelumnya!$J$330:$J$772,$K20,IuranSYSebelumnya!$M$330:$M$772,AO$11,IuranSYSebelumnya!$L$330:$L$772,"&lt;&gt;"&amp;$M$5)&gt;0,
              "Iuran dari Lingkungan lain",
              ""))</f>
        <v>42186</v>
      </c>
      <c r="AP20" s="47">
        <f>IF(COUNTIFS(IuranSYSebelumnya!$J$330:$J$772,$K20,IuranSYSebelumnya!$M$330:$M$772,AP$11,IuranSYSebelumnya!$L$330:$L$772,$M$5)&gt;0,
        VLOOKUP(CONCATENATE($K20,"|",AP$11,"|",$M$5),IuranSYSebelumnya!$I$330:$N$772,5,FALSE),
        IF(COUNTIFS(IuranSYSebelumnya!$J$330:$J$772,$K20,IuranSYSebelumnya!$M$330:$M$772,AP$11,IuranSYSebelumnya!$L$330:$L$772,"&lt;&gt;"&amp;$M$5)&gt;0,
              "Iuran dari Lingkungan lain",
              ""))</f>
        <v>42217</v>
      </c>
      <c r="AQ20" s="47">
        <f>IF(COUNTIFS(IuranSYSebelumnya!$J$330:$J$772,$K20,IuranSYSebelumnya!$M$330:$M$772,AQ$11,IuranSYSebelumnya!$L$330:$L$772,$M$5)&gt;0,
        VLOOKUP(CONCATENATE($K20,"|",AQ$11,"|",$M$5),IuranSYSebelumnya!$I$330:$N$772,5,FALSE),
        IF(COUNTIFS(IuranSYSebelumnya!$J$330:$J$772,$K20,IuranSYSebelumnya!$M$330:$M$772,AQ$11,IuranSYSebelumnya!$L$330:$L$772,"&lt;&gt;"&amp;$M$5)&gt;0,
              "Iuran dari Lingkungan lain",
              ""))</f>
        <v>42248</v>
      </c>
      <c r="AR20" s="47">
        <f>IF(COUNTIFS(IuranSYSebelumnya!$J$330:$J$772,$K20,IuranSYSebelumnya!$M$330:$M$772,AR$11,IuranSYSebelumnya!$L$330:$L$772,$M$5)&gt;0,
        VLOOKUP(CONCATENATE($K20,"|",AR$11,"|",$M$5),IuranSYSebelumnya!$I$330:$N$772,5,FALSE),
        IF(COUNTIFS(IuranSYSebelumnya!$J$330:$J$772,$K20,IuranSYSebelumnya!$M$330:$M$772,AR$11,IuranSYSebelumnya!$L$330:$L$772,"&lt;&gt;"&amp;$M$5)&gt;0,
              "Iuran dari Lingkungan lain",
              ""))</f>
        <v>42278</v>
      </c>
      <c r="AS20" s="47">
        <f>IF(COUNTIFS(IuranSYSebelumnya!$J$330:$J$772,$K20,IuranSYSebelumnya!$M$330:$M$772,AS$11,IuranSYSebelumnya!$L$330:$L$772,$M$5)&gt;0,
        VLOOKUP(CONCATENATE($K20,"|",AS$11,"|",$M$5),IuranSYSebelumnya!$I$330:$N$772,5,FALSE),
        IF(COUNTIFS(IuranSYSebelumnya!$J$330:$J$772,$K20,IuranSYSebelumnya!$M$330:$M$772,AS$11,IuranSYSebelumnya!$L$330:$L$772,"&lt;&gt;"&amp;$M$5)&gt;0,
              "Iuran dari Lingkungan lain",
              ""))</f>
        <v>42309</v>
      </c>
      <c r="AT20" s="47">
        <f>IF(COUNTIFS(IuranSYSebelumnya!$J$330:$J$772,$K20,IuranSYSebelumnya!$M$330:$M$772,AT$11,IuranSYSebelumnya!$L$330:$L$772,$M$5)&gt;0,
        VLOOKUP(CONCATENATE($K20,"|",AT$11,"|",$M$5),IuranSYSebelumnya!$I$330:$N$772,5,FALSE),
        IF(COUNTIFS(IuranSYSebelumnya!$J$330:$J$772,$K20,IuranSYSebelumnya!$M$330:$M$772,AT$11,IuranSYSebelumnya!$L$330:$L$772,"&lt;&gt;"&amp;$M$5)&gt;0,
              "Iuran dari Lingkungan lain",
              ""))</f>
        <v>42339</v>
      </c>
      <c r="AU20" s="47">
        <f>IF(COUNTIFS(IuranSYSebelumnya!$J$330:$J$772,$K20,IuranSYSebelumnya!$M$330:$M$772,AU$11,IuranSYSebelumnya!$L$330:$L$772,$M$5)&gt;0,
        VLOOKUP(CONCATENATE($K20,"|",AU$11,"|",$M$5),IuranSYSebelumnya!$I$330:$N$772,5,FALSE),
        IF(COUNTIFS(IuranSYSebelumnya!$J$330:$J$772,$K20,IuranSYSebelumnya!$M$330:$M$772,AU$11,IuranSYSebelumnya!$L$330:$L$772,"&lt;&gt;"&amp;$M$5)&gt;0,
              "Iuran dari Lingkungan lain",
              ""))</f>
        <v>42370</v>
      </c>
      <c r="AV20" s="47">
        <f>IF(COUNTIFS(IuranSYSebelumnya!$J$330:$J$772,$K20,IuranSYSebelumnya!$M$330:$M$772,AV$11,IuranSYSebelumnya!$L$330:$L$772,$M$5)&gt;0,
        VLOOKUP(CONCATENATE($K20,"|",AV$11,"|",$M$5),IuranSYSebelumnya!$I$330:$N$772,5,FALSE),
        IF(COUNTIFS(IuranSYSebelumnya!$J$330:$J$772,$K20,IuranSYSebelumnya!$M$330:$M$772,AV$11,IuranSYSebelumnya!$L$330:$L$772,"&lt;&gt;"&amp;$M$5)&gt;0,
              "Iuran dari Lingkungan lain",
              ""))</f>
        <v>42401</v>
      </c>
      <c r="AW20" s="47">
        <f>IF(COUNTIFS(IuranSYSebelumnya!$J$330:$J$772,$K20,IuranSYSebelumnya!$M$330:$M$772,AW$11,IuranSYSebelumnya!$L$330:$L$772,$M$5)&gt;0,
        VLOOKUP(CONCATENATE($K20,"|",AW$11,"|",$M$5),IuranSYSebelumnya!$I$330:$N$772,5,FALSE),
        IF(COUNTIFS(IuranSYSebelumnya!$J$330:$J$772,$K20,IuranSYSebelumnya!$M$330:$M$772,AW$11,IuranSYSebelumnya!$L$330:$L$772,"&lt;&gt;"&amp;$M$5)&gt;0,
              "Iuran dari Lingkungan lain",
              ""))</f>
        <v>42430</v>
      </c>
      <c r="AX20" s="47">
        <f>IF(COUNTIFS(IuranSYSebelumnya!$J$330:$J$772,$K20,IuranSYSebelumnya!$M$330:$M$772,AX$11,IuranSYSebelumnya!$L$330:$L$772,$M$5)&gt;0,
        VLOOKUP(CONCATENATE($K20,"|",AX$11,"|",$M$5),IuranSYSebelumnya!$I$330:$N$772,5,FALSE),
        IF(COUNTIFS(IuranSYSebelumnya!$J$330:$J$772,$K20,IuranSYSebelumnya!$M$330:$M$772,AX$11,IuranSYSebelumnya!$L$330:$L$772,"&lt;&gt;"&amp;$M$5)&gt;0,
              "Iuran dari Lingkungan lain",
              ""))</f>
        <v>42461</v>
      </c>
      <c r="AY20" s="47">
        <f>IF(COUNTIFS(IuranSYSebelumnya!$J$330:$J$772,$K20,IuranSYSebelumnya!$M$330:$M$772,AY$11,IuranSYSebelumnya!$L$330:$L$772,$M$5)&gt;0,
        VLOOKUP(CONCATENATE($K20,"|",AY$11,"|",$M$5),IuranSYSebelumnya!$I$330:$N$772,5,FALSE),
        IF(COUNTIFS(IuranSYSebelumnya!$J$330:$J$772,$K20,IuranSYSebelumnya!$M$330:$M$772,AY$11,IuranSYSebelumnya!$L$330:$L$772,"&lt;&gt;"&amp;$M$5)&gt;0,
              "Iuran dari Lingkungan lain",
              ""))</f>
        <v>42491</v>
      </c>
      <c r="AZ20" s="47">
        <f>IF(COUNTIFS(IuranSYSebelumnya!$J$330:$J$772,$K20,IuranSYSebelumnya!$M$330:$M$772,AZ$11,IuranSYSebelumnya!$L$330:$L$772,$M$5)&gt;0,
        VLOOKUP(CONCATENATE($K20,"|",AZ$11,"|",$M$5),IuranSYSebelumnya!$I$330:$N$772,5,FALSE),
        IF(COUNTIFS(IuranSYSebelumnya!$J$330:$J$772,$K20,IuranSYSebelumnya!$M$330:$M$772,AZ$11,IuranSYSebelumnya!$L$330:$L$772,"&lt;&gt;"&amp;$M$5)&gt;0,
              "Iuran dari Lingkungan lain",
              ""))</f>
        <v>42522</v>
      </c>
      <c r="BA20" s="47">
        <f>IF(COUNTIFS(IuranSYSebelumnya!$J$330:$J$772,$K20,IuranSYSebelumnya!$M$330:$M$772,BA$11,IuranSYSebelumnya!$L$330:$L$772,$M$5)&gt;0,
        VLOOKUP(CONCATENATE($K20,"|",BA$11,"|",$M$5),IuranSYSebelumnya!$I$330:$N$772,5,FALSE),
        IF(COUNTIFS(IuranSYSebelumnya!$J$330:$J$772,$K20,IuranSYSebelumnya!$M$330:$M$772,BA$11,IuranSYSebelumnya!$L$330:$L$772,"&lt;&gt;"&amp;$M$5)&gt;0,
              "Iuran dari Lingkungan lain",
              ""))</f>
        <v>42552</v>
      </c>
      <c r="BB20" s="47" t="str">
        <f>IF(COUNTIFS(IuranSYSebelumnya!$J$330:$J$772,$K20,IuranSYSebelumnya!$M$330:$M$772,BB$11,IuranSYSebelumnya!$L$330:$L$772,$M$5)&gt;0,
        VLOOKUP(CONCATENATE($K20,"|",BB$11,"|",$M$5),IuranSYSebelumnya!$I$330:$N$772,5,FALSE),
        IF(COUNTIFS(IuranSYSebelumnya!$J$330:$J$772,$K20,IuranSYSebelumnya!$M$330:$M$772,BB$11,IuranSYSebelumnya!$L$330:$L$772,"&lt;&gt;"&amp;$M$5)&gt;0,
              "Iuran dari Lingkungan lain",
              ""))</f>
        <v/>
      </c>
      <c r="BC20" s="47" t="str">
        <f>IF(COUNTIFS(IuranSYSebelumnya!$J$330:$J$772,$K20,IuranSYSebelumnya!$M$330:$M$772,BC$11,IuranSYSebelumnya!$L$330:$L$772,$M$5)&gt;0,
        VLOOKUP(CONCATENATE($K20,"|",BC$11,"|",$M$5),IuranSYSebelumnya!$I$330:$N$772,5,FALSE),
        IF(COUNTIFS(IuranSYSebelumnya!$J$330:$J$772,$K20,IuranSYSebelumnya!$M$330:$M$772,BC$11,IuranSYSebelumnya!$L$330:$L$772,"&lt;&gt;"&amp;$M$5)&gt;0,
              "Iuran dari Lingkungan lain",
              ""))</f>
        <v/>
      </c>
      <c r="BD20" s="47" t="str">
        <f>IF(COUNTIFS(IuranSYSebelumnya!$J$330:$J$772,$K20,IuranSYSebelumnya!$M$330:$M$772,BD$11,IuranSYSebelumnya!$L$330:$L$772,$M$5)&gt;0,
        VLOOKUP(CONCATENATE($K20,"|",BD$11,"|",$M$5),IuranSYSebelumnya!$I$330:$N$772,5,FALSE),
        IF(COUNTIFS(IuranSYSebelumnya!$J$330:$J$772,$K20,IuranSYSebelumnya!$M$330:$M$772,BD$11,IuranSYSebelumnya!$L$330:$L$772,"&lt;&gt;"&amp;$M$5)&gt;0,
              "Iuran dari Lingkungan lain",
              ""))</f>
        <v/>
      </c>
      <c r="BE20" s="47" t="str">
        <f>IF(COUNTIFS(IuranSYSebelumnya!$J$330:$J$772,$K20,IuranSYSebelumnya!$M$330:$M$772,BE$11,IuranSYSebelumnya!$L$330:$L$772,$M$5)&gt;0,
        VLOOKUP(CONCATENATE($K20,"|",BE$11,"|",$M$5),IuranSYSebelumnya!$I$330:$N$772,5,FALSE),
        IF(COUNTIFS(IuranSYSebelumnya!$J$330:$J$772,$K20,IuranSYSebelumnya!$M$330:$M$772,BE$11,IuranSYSebelumnya!$L$330:$L$772,"&lt;&gt;"&amp;$M$5)&gt;0,
              "Iuran dari Lingkungan lain",
              ""))</f>
        <v/>
      </c>
      <c r="BF20" s="47" t="str">
        <f>IF(COUNTIFS(IuranSYSebelumnya!$J$330:$J$772,$K20,IuranSYSebelumnya!$M$330:$M$772,BF$11,IuranSYSebelumnya!$L$330:$L$772,$M$5)&gt;0,
        VLOOKUP(CONCATENATE($K20,"|",BF$11,"|",$M$5),IuranSYSebelumnya!$I$330:$N$772,5,FALSE),
        IF(COUNTIFS(IuranSYSebelumnya!$J$330:$J$772,$K20,IuranSYSebelumnya!$M$330:$M$772,BF$11,IuranSYSebelumnya!$L$330:$L$772,"&lt;&gt;"&amp;$M$5)&gt;0,
              "Iuran dari Lingkungan lain",
              ""))</f>
        <v/>
      </c>
      <c r="BG20" s="47" t="str">
        <f>IF(COUNTIFS(IuranSYSebelumnya!$J$330:$J$772,$K20,IuranSYSebelumnya!$M$330:$M$772,BG$11,IuranSYSebelumnya!$L$330:$L$772,$M$5)&gt;0,
        VLOOKUP(CONCATENATE($K20,"|",BG$11,"|",$M$5),IuranSYSebelumnya!$I$330:$N$772,5,FALSE),
        IF(COUNTIFS(IuranSYSebelumnya!$J$330:$J$772,$K20,IuranSYSebelumnya!$M$330:$M$772,BG$11,IuranSYSebelumnya!$L$330:$L$772,"&lt;&gt;"&amp;$M$5)&gt;0,
              "Iuran dari Lingkungan lain",
              ""))</f>
        <v/>
      </c>
      <c r="BH20" s="47" t="str">
        <f>IF(COUNTIFS(IuranSYSebelumnya!$J$330:$J$772,$K20,IuranSYSebelumnya!$M$330:$M$772,BH$11,IuranSYSebelumnya!$L$330:$L$772,$M$5)&gt;0,
        VLOOKUP(CONCATENATE($K20,"|",BH$11,"|",$M$5),IuranSYSebelumnya!$I$330:$N$772,5,FALSE),
        IF(COUNTIFS(IuranSYSebelumnya!$J$330:$J$772,$K20,IuranSYSebelumnya!$M$330:$M$772,BH$11,IuranSYSebelumnya!$L$330:$L$772,"&lt;&gt;"&amp;$M$5)&gt;0,
              "Iuran dari Lingkungan lain",
              ""))</f>
        <v/>
      </c>
      <c r="BI20" s="47" t="str">
        <f>IF(COUNTIFS(IuranSYSebelumnya!$J$330:$J$772,$K20,IuranSYSebelumnya!$M$330:$M$772,BI$11,IuranSYSebelumnya!$L$330:$L$772,$M$5)&gt;0,
        VLOOKUP(CONCATENATE($K20,"|",BI$11,"|",$M$5),IuranSYSebelumnya!$I$330:$N$772,5,FALSE),
        IF(COUNTIFS(IuranSYSebelumnya!$J$330:$J$772,$K20,IuranSYSebelumnya!$M$330:$M$772,BI$11,IuranSYSebelumnya!$L$330:$L$772,"&lt;&gt;"&amp;$M$5)&gt;0,
              "Iuran dari Lingkungan lain",
              ""))</f>
        <v/>
      </c>
      <c r="BJ20" s="47" t="str">
        <f>IF(COUNTIFS(IuranSYSebelumnya!$J$330:$J$772,$K20,IuranSYSebelumnya!$M$330:$M$772,BJ$11,IuranSYSebelumnya!$L$330:$L$772,$M$5)&gt;0,
        VLOOKUP(CONCATENATE($K20,"|",BJ$11,"|",$M$5),IuranSYSebelumnya!$I$330:$N$772,5,FALSE),
        IF(COUNTIFS(IuranSYSebelumnya!$J$330:$J$772,$K20,IuranSYSebelumnya!$M$330:$M$772,BJ$11,IuranSYSebelumnya!$L$330:$L$772,"&lt;&gt;"&amp;$M$5)&gt;0,
              "Iuran dari Lingkungan lain",
              ""))</f>
        <v/>
      </c>
      <c r="BK20" s="47" t="str">
        <f>IF(COUNTIFS(IuranSYSebelumnya!$J$330:$J$772,$K20,IuranSYSebelumnya!$M$330:$M$772,BK$11,IuranSYSebelumnya!$L$330:$L$772,$M$5)&gt;0,
        VLOOKUP(CONCATENATE($K20,"|",BK$11,"|",$M$5),IuranSYSebelumnya!$I$330:$N$772,5,FALSE),
        IF(COUNTIFS(IuranSYSebelumnya!$J$330:$J$772,$K20,IuranSYSebelumnya!$M$330:$M$772,BK$11,IuranSYSebelumnya!$L$330:$L$772,"&lt;&gt;"&amp;$M$5)&gt;0,
              "Iuran dari Lingkungan lain",
              ""))</f>
        <v/>
      </c>
      <c r="BL20" s="47" t="str">
        <f>IF(COUNTIFS(IuranSYSebelumnya!$J$330:$J$772,$K20,IuranSYSebelumnya!$M$330:$M$772,BL$11,IuranSYSebelumnya!$L$330:$L$772,$M$5)&gt;0,
        VLOOKUP(CONCATENATE($K20,"|",BL$11,"|",$M$5),IuranSYSebelumnya!$I$330:$N$772,5,FALSE),
        IF(COUNTIFS(IuranSYSebelumnya!$J$330:$J$772,$K20,IuranSYSebelumnya!$M$330:$M$772,BL$11,IuranSYSebelumnya!$L$330:$L$772,"&lt;&gt;"&amp;$M$5)&gt;0,
              "Iuran dari Lingkungan lain",
              ""))</f>
        <v/>
      </c>
    </row>
    <row r="21" spans="1:64" x14ac:dyDescent="0.35">
      <c r="A21" s="30" t="s">
        <v>6063</v>
      </c>
      <c r="C21" s="30" t="b">
        <f t="shared" ca="1" si="3"/>
        <v>0</v>
      </c>
      <c r="D21" s="30" t="str">
        <f>"""TRUST Nav"",""HSPMTB2016"",""18"",""1"",""KK-04602"""</f>
        <v>"TRUST Nav","HSPMTB2016","18","1","KK-04602"</v>
      </c>
      <c r="H21" s="30">
        <f t="shared" si="4"/>
        <v>0</v>
      </c>
      <c r="J21" s="30">
        <f t="shared" si="5"/>
        <v>9</v>
      </c>
      <c r="K21" s="30" t="str">
        <f>"KK-04602"</f>
        <v>KK-04602</v>
      </c>
      <c r="L21" s="30" t="str">
        <f>"Budiarto"</f>
        <v>Budiarto</v>
      </c>
      <c r="M21" s="30"/>
      <c r="N21" s="129"/>
      <c r="O21" s="129"/>
      <c r="P21" s="129"/>
      <c r="Q21" s="129"/>
      <c r="R21" s="129"/>
      <c r="S21" s="129"/>
      <c r="T21" s="130"/>
      <c r="U21" s="131"/>
      <c r="V21" s="131"/>
      <c r="W21" s="131"/>
      <c r="X21" s="131"/>
      <c r="Y21" s="132"/>
      <c r="Z21" s="131"/>
      <c r="AA21" s="131"/>
      <c r="AB21" s="131"/>
      <c r="AC21" s="131"/>
      <c r="AD21" s="131"/>
      <c r="AE21" s="131"/>
      <c r="AF21" s="11"/>
      <c r="AG21" s="4"/>
      <c r="AH21" s="4"/>
      <c r="AI21" s="4"/>
      <c r="AJ21" s="4"/>
      <c r="AK21" s="4"/>
      <c r="AL21" s="9">
        <f t="shared" si="6"/>
        <v>0</v>
      </c>
      <c r="AO21" s="47">
        <f>IF(COUNTIFS(IuranSYSebelumnya!$J$330:$J$772,$K21,IuranSYSebelumnya!$M$330:$M$772,AO$11,IuranSYSebelumnya!$L$330:$L$772,$M$5)&gt;0,
        VLOOKUP(CONCATENATE($K21,"|",AO$11,"|",$M$5),IuranSYSebelumnya!$I$330:$N$772,5,FALSE),
        IF(COUNTIFS(IuranSYSebelumnya!$J$330:$J$772,$K21,IuranSYSebelumnya!$M$330:$M$772,AO$11,IuranSYSebelumnya!$L$330:$L$772,"&lt;&gt;"&amp;$M$5)&gt;0,
              "Iuran dari Lingkungan lain",
              ""))</f>
        <v>42186</v>
      </c>
      <c r="AP21" s="47">
        <f>IF(COUNTIFS(IuranSYSebelumnya!$J$330:$J$772,$K21,IuranSYSebelumnya!$M$330:$M$772,AP$11,IuranSYSebelumnya!$L$330:$L$772,$M$5)&gt;0,
        VLOOKUP(CONCATENATE($K21,"|",AP$11,"|",$M$5),IuranSYSebelumnya!$I$330:$N$772,5,FALSE),
        IF(COUNTIFS(IuranSYSebelumnya!$J$330:$J$772,$K21,IuranSYSebelumnya!$M$330:$M$772,AP$11,IuranSYSebelumnya!$L$330:$L$772,"&lt;&gt;"&amp;$M$5)&gt;0,
              "Iuran dari Lingkungan lain",
              ""))</f>
        <v>42217</v>
      </c>
      <c r="AQ21" s="47">
        <f>IF(COUNTIFS(IuranSYSebelumnya!$J$330:$J$772,$K21,IuranSYSebelumnya!$M$330:$M$772,AQ$11,IuranSYSebelumnya!$L$330:$L$772,$M$5)&gt;0,
        VLOOKUP(CONCATENATE($K21,"|",AQ$11,"|",$M$5),IuranSYSebelumnya!$I$330:$N$772,5,FALSE),
        IF(COUNTIFS(IuranSYSebelumnya!$J$330:$J$772,$K21,IuranSYSebelumnya!$M$330:$M$772,AQ$11,IuranSYSebelumnya!$L$330:$L$772,"&lt;&gt;"&amp;$M$5)&gt;0,
              "Iuran dari Lingkungan lain",
              ""))</f>
        <v>42248</v>
      </c>
      <c r="AR21" s="47">
        <f>IF(COUNTIFS(IuranSYSebelumnya!$J$330:$J$772,$K21,IuranSYSebelumnya!$M$330:$M$772,AR$11,IuranSYSebelumnya!$L$330:$L$772,$M$5)&gt;0,
        VLOOKUP(CONCATENATE($K21,"|",AR$11,"|",$M$5),IuranSYSebelumnya!$I$330:$N$772,5,FALSE),
        IF(COUNTIFS(IuranSYSebelumnya!$J$330:$J$772,$K21,IuranSYSebelumnya!$M$330:$M$772,AR$11,IuranSYSebelumnya!$L$330:$L$772,"&lt;&gt;"&amp;$M$5)&gt;0,
              "Iuran dari Lingkungan lain",
              ""))</f>
        <v>42278</v>
      </c>
      <c r="AS21" s="47">
        <f>IF(COUNTIFS(IuranSYSebelumnya!$J$330:$J$772,$K21,IuranSYSebelumnya!$M$330:$M$772,AS$11,IuranSYSebelumnya!$L$330:$L$772,$M$5)&gt;0,
        VLOOKUP(CONCATENATE($K21,"|",AS$11,"|",$M$5),IuranSYSebelumnya!$I$330:$N$772,5,FALSE),
        IF(COUNTIFS(IuranSYSebelumnya!$J$330:$J$772,$K21,IuranSYSebelumnya!$M$330:$M$772,AS$11,IuranSYSebelumnya!$L$330:$L$772,"&lt;&gt;"&amp;$M$5)&gt;0,
              "Iuran dari Lingkungan lain",
              ""))</f>
        <v>42309</v>
      </c>
      <c r="AT21" s="47">
        <f>IF(COUNTIFS(IuranSYSebelumnya!$J$330:$J$772,$K21,IuranSYSebelumnya!$M$330:$M$772,AT$11,IuranSYSebelumnya!$L$330:$L$772,$M$5)&gt;0,
        VLOOKUP(CONCATENATE($K21,"|",AT$11,"|",$M$5),IuranSYSebelumnya!$I$330:$N$772,5,FALSE),
        IF(COUNTIFS(IuranSYSebelumnya!$J$330:$J$772,$K21,IuranSYSebelumnya!$M$330:$M$772,AT$11,IuranSYSebelumnya!$L$330:$L$772,"&lt;&gt;"&amp;$M$5)&gt;0,
              "Iuran dari Lingkungan lain",
              ""))</f>
        <v>42339</v>
      </c>
      <c r="AU21" s="47">
        <f>IF(COUNTIFS(IuranSYSebelumnya!$J$330:$J$772,$K21,IuranSYSebelumnya!$M$330:$M$772,AU$11,IuranSYSebelumnya!$L$330:$L$772,$M$5)&gt;0,
        VLOOKUP(CONCATENATE($K21,"|",AU$11,"|",$M$5),IuranSYSebelumnya!$I$330:$N$772,5,FALSE),
        IF(COUNTIFS(IuranSYSebelumnya!$J$330:$J$772,$K21,IuranSYSebelumnya!$M$330:$M$772,AU$11,IuranSYSebelumnya!$L$330:$L$772,"&lt;&gt;"&amp;$M$5)&gt;0,
              "Iuran dari Lingkungan lain",
              ""))</f>
        <v>42370</v>
      </c>
      <c r="AV21" s="47">
        <f>IF(COUNTIFS(IuranSYSebelumnya!$J$330:$J$772,$K21,IuranSYSebelumnya!$M$330:$M$772,AV$11,IuranSYSebelumnya!$L$330:$L$772,$M$5)&gt;0,
        VLOOKUP(CONCATENATE($K21,"|",AV$11,"|",$M$5),IuranSYSebelumnya!$I$330:$N$772,5,FALSE),
        IF(COUNTIFS(IuranSYSebelumnya!$J$330:$J$772,$K21,IuranSYSebelumnya!$M$330:$M$772,AV$11,IuranSYSebelumnya!$L$330:$L$772,"&lt;&gt;"&amp;$M$5)&gt;0,
              "Iuran dari Lingkungan lain",
              ""))</f>
        <v>42401</v>
      </c>
      <c r="AW21" s="47">
        <f>IF(COUNTIFS(IuranSYSebelumnya!$J$330:$J$772,$K21,IuranSYSebelumnya!$M$330:$M$772,AW$11,IuranSYSebelumnya!$L$330:$L$772,$M$5)&gt;0,
        VLOOKUP(CONCATENATE($K21,"|",AW$11,"|",$M$5),IuranSYSebelumnya!$I$330:$N$772,5,FALSE),
        IF(COUNTIFS(IuranSYSebelumnya!$J$330:$J$772,$K21,IuranSYSebelumnya!$M$330:$M$772,AW$11,IuranSYSebelumnya!$L$330:$L$772,"&lt;&gt;"&amp;$M$5)&gt;0,
              "Iuran dari Lingkungan lain",
              ""))</f>
        <v>42430</v>
      </c>
      <c r="AX21" s="47">
        <f>IF(COUNTIFS(IuranSYSebelumnya!$J$330:$J$772,$K21,IuranSYSebelumnya!$M$330:$M$772,AX$11,IuranSYSebelumnya!$L$330:$L$772,$M$5)&gt;0,
        VLOOKUP(CONCATENATE($K21,"|",AX$11,"|",$M$5),IuranSYSebelumnya!$I$330:$N$772,5,FALSE),
        IF(COUNTIFS(IuranSYSebelumnya!$J$330:$J$772,$K21,IuranSYSebelumnya!$M$330:$M$772,AX$11,IuranSYSebelumnya!$L$330:$L$772,"&lt;&gt;"&amp;$M$5)&gt;0,
              "Iuran dari Lingkungan lain",
              ""))</f>
        <v>42461</v>
      </c>
      <c r="AY21" s="47">
        <f>IF(COUNTIFS(IuranSYSebelumnya!$J$330:$J$772,$K21,IuranSYSebelumnya!$M$330:$M$772,AY$11,IuranSYSebelumnya!$L$330:$L$772,$M$5)&gt;0,
        VLOOKUP(CONCATENATE($K21,"|",AY$11,"|",$M$5),IuranSYSebelumnya!$I$330:$N$772,5,FALSE),
        IF(COUNTIFS(IuranSYSebelumnya!$J$330:$J$772,$K21,IuranSYSebelumnya!$M$330:$M$772,AY$11,IuranSYSebelumnya!$L$330:$L$772,"&lt;&gt;"&amp;$M$5)&gt;0,
              "Iuran dari Lingkungan lain",
              ""))</f>
        <v>42491</v>
      </c>
      <c r="AZ21" s="47">
        <f>IF(COUNTIFS(IuranSYSebelumnya!$J$330:$J$772,$K21,IuranSYSebelumnya!$M$330:$M$772,AZ$11,IuranSYSebelumnya!$L$330:$L$772,$M$5)&gt;0,
        VLOOKUP(CONCATENATE($K21,"|",AZ$11,"|",$M$5),IuranSYSebelumnya!$I$330:$N$772,5,FALSE),
        IF(COUNTIFS(IuranSYSebelumnya!$J$330:$J$772,$K21,IuranSYSebelumnya!$M$330:$M$772,AZ$11,IuranSYSebelumnya!$L$330:$L$772,"&lt;&gt;"&amp;$M$5)&gt;0,
              "Iuran dari Lingkungan lain",
              ""))</f>
        <v>42522</v>
      </c>
      <c r="BA21" s="47">
        <f>IF(COUNTIFS(IuranSYSebelumnya!$J$330:$J$772,$K21,IuranSYSebelumnya!$M$330:$M$772,BA$11,IuranSYSebelumnya!$L$330:$L$772,$M$5)&gt;0,
        VLOOKUP(CONCATENATE($K21,"|",BA$11,"|",$M$5),IuranSYSebelumnya!$I$330:$N$772,5,FALSE),
        IF(COUNTIFS(IuranSYSebelumnya!$J$330:$J$772,$K21,IuranSYSebelumnya!$M$330:$M$772,BA$11,IuranSYSebelumnya!$L$330:$L$772,"&lt;&gt;"&amp;$M$5)&gt;0,
              "Iuran dari Lingkungan lain",
              ""))</f>
        <v>42552</v>
      </c>
      <c r="BB21" s="47">
        <f>IF(COUNTIFS(IuranSYSebelumnya!$J$330:$J$772,$K21,IuranSYSebelumnya!$M$330:$M$772,BB$11,IuranSYSebelumnya!$L$330:$L$772,$M$5)&gt;0,
        VLOOKUP(CONCATENATE($K21,"|",BB$11,"|",$M$5),IuranSYSebelumnya!$I$330:$N$772,5,FALSE),
        IF(COUNTIFS(IuranSYSebelumnya!$J$330:$J$772,$K21,IuranSYSebelumnya!$M$330:$M$772,BB$11,IuranSYSebelumnya!$L$330:$L$772,"&lt;&gt;"&amp;$M$5)&gt;0,
              "Iuran dari Lingkungan lain",
              ""))</f>
        <v>42583</v>
      </c>
      <c r="BC21" s="47">
        <f>IF(COUNTIFS(IuranSYSebelumnya!$J$330:$J$772,$K21,IuranSYSebelumnya!$M$330:$M$772,BC$11,IuranSYSebelumnya!$L$330:$L$772,$M$5)&gt;0,
        VLOOKUP(CONCATENATE($K21,"|",BC$11,"|",$M$5),IuranSYSebelumnya!$I$330:$N$772,5,FALSE),
        IF(COUNTIFS(IuranSYSebelumnya!$J$330:$J$772,$K21,IuranSYSebelumnya!$M$330:$M$772,BC$11,IuranSYSebelumnya!$L$330:$L$772,"&lt;&gt;"&amp;$M$5)&gt;0,
              "Iuran dari Lingkungan lain",
              ""))</f>
        <v>42614</v>
      </c>
      <c r="BD21" s="47">
        <f>IF(COUNTIFS(IuranSYSebelumnya!$J$330:$J$772,$K21,IuranSYSebelumnya!$M$330:$M$772,BD$11,IuranSYSebelumnya!$L$330:$L$772,$M$5)&gt;0,
        VLOOKUP(CONCATENATE($K21,"|",BD$11,"|",$M$5),IuranSYSebelumnya!$I$330:$N$772,5,FALSE),
        IF(COUNTIFS(IuranSYSebelumnya!$J$330:$J$772,$K21,IuranSYSebelumnya!$M$330:$M$772,BD$11,IuranSYSebelumnya!$L$330:$L$772,"&lt;&gt;"&amp;$M$5)&gt;0,
              "Iuran dari Lingkungan lain",
              ""))</f>
        <v>42644</v>
      </c>
      <c r="BE21" s="47">
        <f>IF(COUNTIFS(IuranSYSebelumnya!$J$330:$J$772,$K21,IuranSYSebelumnya!$M$330:$M$772,BE$11,IuranSYSebelumnya!$L$330:$L$772,$M$5)&gt;0,
        VLOOKUP(CONCATENATE($K21,"|",BE$11,"|",$M$5),IuranSYSebelumnya!$I$330:$N$772,5,FALSE),
        IF(COUNTIFS(IuranSYSebelumnya!$J$330:$J$772,$K21,IuranSYSebelumnya!$M$330:$M$772,BE$11,IuranSYSebelumnya!$L$330:$L$772,"&lt;&gt;"&amp;$M$5)&gt;0,
              "Iuran dari Lingkungan lain",
              ""))</f>
        <v>42675</v>
      </c>
      <c r="BF21" s="47">
        <f>IF(COUNTIFS(IuranSYSebelumnya!$J$330:$J$772,$K21,IuranSYSebelumnya!$M$330:$M$772,BF$11,IuranSYSebelumnya!$L$330:$L$772,$M$5)&gt;0,
        VLOOKUP(CONCATENATE($K21,"|",BF$11,"|",$M$5),IuranSYSebelumnya!$I$330:$N$772,5,FALSE),
        IF(COUNTIFS(IuranSYSebelumnya!$J$330:$J$772,$K21,IuranSYSebelumnya!$M$330:$M$772,BF$11,IuranSYSebelumnya!$L$330:$L$772,"&lt;&gt;"&amp;$M$5)&gt;0,
              "Iuran dari Lingkungan lain",
              ""))</f>
        <v>42705</v>
      </c>
      <c r="BG21" s="47" t="str">
        <f>IF(COUNTIFS(IuranSYSebelumnya!$J$330:$J$772,$K21,IuranSYSebelumnya!$M$330:$M$772,BG$11,IuranSYSebelumnya!$L$330:$L$772,$M$5)&gt;0,
        VLOOKUP(CONCATENATE($K21,"|",BG$11,"|",$M$5),IuranSYSebelumnya!$I$330:$N$772,5,FALSE),
        IF(COUNTIFS(IuranSYSebelumnya!$J$330:$J$772,$K21,IuranSYSebelumnya!$M$330:$M$772,BG$11,IuranSYSebelumnya!$L$330:$L$772,"&lt;&gt;"&amp;$M$5)&gt;0,
              "Iuran dari Lingkungan lain",
              ""))</f>
        <v/>
      </c>
      <c r="BH21" s="47" t="str">
        <f>IF(COUNTIFS(IuranSYSebelumnya!$J$330:$J$772,$K21,IuranSYSebelumnya!$M$330:$M$772,BH$11,IuranSYSebelumnya!$L$330:$L$772,$M$5)&gt;0,
        VLOOKUP(CONCATENATE($K21,"|",BH$11,"|",$M$5),IuranSYSebelumnya!$I$330:$N$772,5,FALSE),
        IF(COUNTIFS(IuranSYSebelumnya!$J$330:$J$772,$K21,IuranSYSebelumnya!$M$330:$M$772,BH$11,IuranSYSebelumnya!$L$330:$L$772,"&lt;&gt;"&amp;$M$5)&gt;0,
              "Iuran dari Lingkungan lain",
              ""))</f>
        <v/>
      </c>
      <c r="BI21" s="47" t="str">
        <f>IF(COUNTIFS(IuranSYSebelumnya!$J$330:$J$772,$K21,IuranSYSebelumnya!$M$330:$M$772,BI$11,IuranSYSebelumnya!$L$330:$L$772,$M$5)&gt;0,
        VLOOKUP(CONCATENATE($K21,"|",BI$11,"|",$M$5),IuranSYSebelumnya!$I$330:$N$772,5,FALSE),
        IF(COUNTIFS(IuranSYSebelumnya!$J$330:$J$772,$K21,IuranSYSebelumnya!$M$330:$M$772,BI$11,IuranSYSebelumnya!$L$330:$L$772,"&lt;&gt;"&amp;$M$5)&gt;0,
              "Iuran dari Lingkungan lain",
              ""))</f>
        <v/>
      </c>
      <c r="BJ21" s="47" t="str">
        <f>IF(COUNTIFS(IuranSYSebelumnya!$J$330:$J$772,$K21,IuranSYSebelumnya!$M$330:$M$772,BJ$11,IuranSYSebelumnya!$L$330:$L$772,$M$5)&gt;0,
        VLOOKUP(CONCATENATE($K21,"|",BJ$11,"|",$M$5),IuranSYSebelumnya!$I$330:$N$772,5,FALSE),
        IF(COUNTIFS(IuranSYSebelumnya!$J$330:$J$772,$K21,IuranSYSebelumnya!$M$330:$M$772,BJ$11,IuranSYSebelumnya!$L$330:$L$772,"&lt;&gt;"&amp;$M$5)&gt;0,
              "Iuran dari Lingkungan lain",
              ""))</f>
        <v/>
      </c>
      <c r="BK21" s="47" t="str">
        <f>IF(COUNTIFS(IuranSYSebelumnya!$J$330:$J$772,$K21,IuranSYSebelumnya!$M$330:$M$772,BK$11,IuranSYSebelumnya!$L$330:$L$772,$M$5)&gt;0,
        VLOOKUP(CONCATENATE($K21,"|",BK$11,"|",$M$5),IuranSYSebelumnya!$I$330:$N$772,5,FALSE),
        IF(COUNTIFS(IuranSYSebelumnya!$J$330:$J$772,$K21,IuranSYSebelumnya!$M$330:$M$772,BK$11,IuranSYSebelumnya!$L$330:$L$772,"&lt;&gt;"&amp;$M$5)&gt;0,
              "Iuran dari Lingkungan lain",
              ""))</f>
        <v/>
      </c>
      <c r="BL21" s="47" t="str">
        <f>IF(COUNTIFS(IuranSYSebelumnya!$J$330:$J$772,$K21,IuranSYSebelumnya!$M$330:$M$772,BL$11,IuranSYSebelumnya!$L$330:$L$772,$M$5)&gt;0,
        VLOOKUP(CONCATENATE($K21,"|",BL$11,"|",$M$5),IuranSYSebelumnya!$I$330:$N$772,5,FALSE),
        IF(COUNTIFS(IuranSYSebelumnya!$J$330:$J$772,$K21,IuranSYSebelumnya!$M$330:$M$772,BL$11,IuranSYSebelumnya!$L$330:$L$772,"&lt;&gt;"&amp;$M$5)&gt;0,
              "Iuran dari Lingkungan lain",
              ""))</f>
        <v/>
      </c>
    </row>
    <row r="22" spans="1:64" x14ac:dyDescent="0.35">
      <c r="A22" s="30" t="s">
        <v>6063</v>
      </c>
      <c r="C22" s="30" t="b">
        <f t="shared" ca="1" si="3"/>
        <v>0</v>
      </c>
      <c r="D22" s="30" t="str">
        <f>"""TRUST Nav"",""HSPMTB2016"",""18"",""1"",""KK-04603"""</f>
        <v>"TRUST Nav","HSPMTB2016","18","1","KK-04603"</v>
      </c>
      <c r="H22" s="30">
        <f t="shared" si="4"/>
        <v>0</v>
      </c>
      <c r="J22" s="30">
        <f t="shared" si="5"/>
        <v>10</v>
      </c>
      <c r="K22" s="30" t="str">
        <f>"KK-04603"</f>
        <v>KK-04603</v>
      </c>
      <c r="L22" s="30" t="str">
        <f>"Devi Clark Munthe"</f>
        <v>Devi Clark Munthe</v>
      </c>
      <c r="M22" s="30"/>
      <c r="N22" s="3"/>
      <c r="O22" s="3"/>
      <c r="P22" s="3"/>
      <c r="Q22" s="3"/>
      <c r="R22" s="3"/>
      <c r="S22" s="3"/>
      <c r="T22" s="11"/>
      <c r="U22" s="4"/>
      <c r="V22" s="4"/>
      <c r="W22" s="4"/>
      <c r="X22" s="4"/>
      <c r="Y22" s="15"/>
      <c r="Z22" s="4"/>
      <c r="AA22" s="4"/>
      <c r="AB22" s="4"/>
      <c r="AC22" s="4"/>
      <c r="AD22" s="4"/>
      <c r="AE22" s="4"/>
      <c r="AF22" s="11"/>
      <c r="AG22" s="4"/>
      <c r="AH22" s="4"/>
      <c r="AI22" s="4"/>
      <c r="AJ22" s="4"/>
      <c r="AK22" s="4"/>
      <c r="AL22" s="9">
        <f t="shared" si="6"/>
        <v>0</v>
      </c>
      <c r="AO22" s="47" t="str">
        <f>IF(COUNTIFS(IuranSYSebelumnya!$J$330:$J$772,$K22,IuranSYSebelumnya!$M$330:$M$772,AO$11,IuranSYSebelumnya!$L$330:$L$772,$M$5)&gt;0,
        VLOOKUP(CONCATENATE($K22,"|",AO$11,"|",$M$5),IuranSYSebelumnya!$I$330:$N$772,5,FALSE),
        IF(COUNTIFS(IuranSYSebelumnya!$J$330:$J$772,$K22,IuranSYSebelumnya!$M$330:$M$772,AO$11,IuranSYSebelumnya!$L$330:$L$772,"&lt;&gt;"&amp;$M$5)&gt;0,
              "Iuran dari Lingkungan lain",
              ""))</f>
        <v/>
      </c>
      <c r="AP22" s="47" t="str">
        <f>IF(COUNTIFS(IuranSYSebelumnya!$J$330:$J$772,$K22,IuranSYSebelumnya!$M$330:$M$772,AP$11,IuranSYSebelumnya!$L$330:$L$772,$M$5)&gt;0,
        VLOOKUP(CONCATENATE($K22,"|",AP$11,"|",$M$5),IuranSYSebelumnya!$I$330:$N$772,5,FALSE),
        IF(COUNTIFS(IuranSYSebelumnya!$J$330:$J$772,$K22,IuranSYSebelumnya!$M$330:$M$772,AP$11,IuranSYSebelumnya!$L$330:$L$772,"&lt;&gt;"&amp;$M$5)&gt;0,
              "Iuran dari Lingkungan lain",
              ""))</f>
        <v/>
      </c>
      <c r="AQ22" s="47" t="str">
        <f>IF(COUNTIFS(IuranSYSebelumnya!$J$330:$J$772,$K22,IuranSYSebelumnya!$M$330:$M$772,AQ$11,IuranSYSebelumnya!$L$330:$L$772,$M$5)&gt;0,
        VLOOKUP(CONCATENATE($K22,"|",AQ$11,"|",$M$5),IuranSYSebelumnya!$I$330:$N$772,5,FALSE),
        IF(COUNTIFS(IuranSYSebelumnya!$J$330:$J$772,$K22,IuranSYSebelumnya!$M$330:$M$772,AQ$11,IuranSYSebelumnya!$L$330:$L$772,"&lt;&gt;"&amp;$M$5)&gt;0,
              "Iuran dari Lingkungan lain",
              ""))</f>
        <v/>
      </c>
      <c r="AR22" s="47" t="str">
        <f>IF(COUNTIFS(IuranSYSebelumnya!$J$330:$J$772,$K22,IuranSYSebelumnya!$M$330:$M$772,AR$11,IuranSYSebelumnya!$L$330:$L$772,$M$5)&gt;0,
        VLOOKUP(CONCATENATE($K22,"|",AR$11,"|",$M$5),IuranSYSebelumnya!$I$330:$N$772,5,FALSE),
        IF(COUNTIFS(IuranSYSebelumnya!$J$330:$J$772,$K22,IuranSYSebelumnya!$M$330:$M$772,AR$11,IuranSYSebelumnya!$L$330:$L$772,"&lt;&gt;"&amp;$M$5)&gt;0,
              "Iuran dari Lingkungan lain",
              ""))</f>
        <v/>
      </c>
      <c r="AS22" s="47" t="str">
        <f>IF(COUNTIFS(IuranSYSebelumnya!$J$330:$J$772,$K22,IuranSYSebelumnya!$M$330:$M$772,AS$11,IuranSYSebelumnya!$L$330:$L$772,$M$5)&gt;0,
        VLOOKUP(CONCATENATE($K22,"|",AS$11,"|",$M$5),IuranSYSebelumnya!$I$330:$N$772,5,FALSE),
        IF(COUNTIFS(IuranSYSebelumnya!$J$330:$J$772,$K22,IuranSYSebelumnya!$M$330:$M$772,AS$11,IuranSYSebelumnya!$L$330:$L$772,"&lt;&gt;"&amp;$M$5)&gt;0,
              "Iuran dari Lingkungan lain",
              ""))</f>
        <v/>
      </c>
      <c r="AT22" s="47" t="str">
        <f>IF(COUNTIFS(IuranSYSebelumnya!$J$330:$J$772,$K22,IuranSYSebelumnya!$M$330:$M$772,AT$11,IuranSYSebelumnya!$L$330:$L$772,$M$5)&gt;0,
        VLOOKUP(CONCATENATE($K22,"|",AT$11,"|",$M$5),IuranSYSebelumnya!$I$330:$N$772,5,FALSE),
        IF(COUNTIFS(IuranSYSebelumnya!$J$330:$J$772,$K22,IuranSYSebelumnya!$M$330:$M$772,AT$11,IuranSYSebelumnya!$L$330:$L$772,"&lt;&gt;"&amp;$M$5)&gt;0,
              "Iuran dari Lingkungan lain",
              ""))</f>
        <v/>
      </c>
      <c r="AU22" s="47" t="str">
        <f>IF(COUNTIFS(IuranSYSebelumnya!$J$330:$J$772,$K22,IuranSYSebelumnya!$M$330:$M$772,AU$11,IuranSYSebelumnya!$L$330:$L$772,$M$5)&gt;0,
        VLOOKUP(CONCATENATE($K22,"|",AU$11,"|",$M$5),IuranSYSebelumnya!$I$330:$N$772,5,FALSE),
        IF(COUNTIFS(IuranSYSebelumnya!$J$330:$J$772,$K22,IuranSYSebelumnya!$M$330:$M$772,AU$11,IuranSYSebelumnya!$L$330:$L$772,"&lt;&gt;"&amp;$M$5)&gt;0,
              "Iuran dari Lingkungan lain",
              ""))</f>
        <v/>
      </c>
      <c r="AV22" s="47" t="str">
        <f>IF(COUNTIFS(IuranSYSebelumnya!$J$330:$J$772,$K22,IuranSYSebelumnya!$M$330:$M$772,AV$11,IuranSYSebelumnya!$L$330:$L$772,$M$5)&gt;0,
        VLOOKUP(CONCATENATE($K22,"|",AV$11,"|",$M$5),IuranSYSebelumnya!$I$330:$N$772,5,FALSE),
        IF(COUNTIFS(IuranSYSebelumnya!$J$330:$J$772,$K22,IuranSYSebelumnya!$M$330:$M$772,AV$11,IuranSYSebelumnya!$L$330:$L$772,"&lt;&gt;"&amp;$M$5)&gt;0,
              "Iuran dari Lingkungan lain",
              ""))</f>
        <v/>
      </c>
      <c r="AW22" s="47" t="str">
        <f>IF(COUNTIFS(IuranSYSebelumnya!$J$330:$J$772,$K22,IuranSYSebelumnya!$M$330:$M$772,AW$11,IuranSYSebelumnya!$L$330:$L$772,$M$5)&gt;0,
        VLOOKUP(CONCATENATE($K22,"|",AW$11,"|",$M$5),IuranSYSebelumnya!$I$330:$N$772,5,FALSE),
        IF(COUNTIFS(IuranSYSebelumnya!$J$330:$J$772,$K22,IuranSYSebelumnya!$M$330:$M$772,AW$11,IuranSYSebelumnya!$L$330:$L$772,"&lt;&gt;"&amp;$M$5)&gt;0,
              "Iuran dari Lingkungan lain",
              ""))</f>
        <v/>
      </c>
      <c r="AX22" s="47" t="str">
        <f>IF(COUNTIFS(IuranSYSebelumnya!$J$330:$J$772,$K22,IuranSYSebelumnya!$M$330:$M$772,AX$11,IuranSYSebelumnya!$L$330:$L$772,$M$5)&gt;0,
        VLOOKUP(CONCATENATE($K22,"|",AX$11,"|",$M$5),IuranSYSebelumnya!$I$330:$N$772,5,FALSE),
        IF(COUNTIFS(IuranSYSebelumnya!$J$330:$J$772,$K22,IuranSYSebelumnya!$M$330:$M$772,AX$11,IuranSYSebelumnya!$L$330:$L$772,"&lt;&gt;"&amp;$M$5)&gt;0,
              "Iuran dari Lingkungan lain",
              ""))</f>
        <v/>
      </c>
      <c r="AY22" s="47" t="str">
        <f>IF(COUNTIFS(IuranSYSebelumnya!$J$330:$J$772,$K22,IuranSYSebelumnya!$M$330:$M$772,AY$11,IuranSYSebelumnya!$L$330:$L$772,$M$5)&gt;0,
        VLOOKUP(CONCATENATE($K22,"|",AY$11,"|",$M$5),IuranSYSebelumnya!$I$330:$N$772,5,FALSE),
        IF(COUNTIFS(IuranSYSebelumnya!$J$330:$J$772,$K22,IuranSYSebelumnya!$M$330:$M$772,AY$11,IuranSYSebelumnya!$L$330:$L$772,"&lt;&gt;"&amp;$M$5)&gt;0,
              "Iuran dari Lingkungan lain",
              ""))</f>
        <v/>
      </c>
      <c r="AZ22" s="47" t="str">
        <f>IF(COUNTIFS(IuranSYSebelumnya!$J$330:$J$772,$K22,IuranSYSebelumnya!$M$330:$M$772,AZ$11,IuranSYSebelumnya!$L$330:$L$772,$M$5)&gt;0,
        VLOOKUP(CONCATENATE($K22,"|",AZ$11,"|",$M$5),IuranSYSebelumnya!$I$330:$N$772,5,FALSE),
        IF(COUNTIFS(IuranSYSebelumnya!$J$330:$J$772,$K22,IuranSYSebelumnya!$M$330:$M$772,AZ$11,IuranSYSebelumnya!$L$330:$L$772,"&lt;&gt;"&amp;$M$5)&gt;0,
              "Iuran dari Lingkungan lain",
              ""))</f>
        <v/>
      </c>
      <c r="BA22" s="47" t="str">
        <f>IF(COUNTIFS(IuranSYSebelumnya!$J$330:$J$772,$K22,IuranSYSebelumnya!$M$330:$M$772,BA$11,IuranSYSebelumnya!$L$330:$L$772,$M$5)&gt;0,
        VLOOKUP(CONCATENATE($K22,"|",BA$11,"|",$M$5),IuranSYSebelumnya!$I$330:$N$772,5,FALSE),
        IF(COUNTIFS(IuranSYSebelumnya!$J$330:$J$772,$K22,IuranSYSebelumnya!$M$330:$M$772,BA$11,IuranSYSebelumnya!$L$330:$L$772,"&lt;&gt;"&amp;$M$5)&gt;0,
              "Iuran dari Lingkungan lain",
              ""))</f>
        <v/>
      </c>
      <c r="BB22" s="47" t="str">
        <f>IF(COUNTIFS(IuranSYSebelumnya!$J$330:$J$772,$K22,IuranSYSebelumnya!$M$330:$M$772,BB$11,IuranSYSebelumnya!$L$330:$L$772,$M$5)&gt;0,
        VLOOKUP(CONCATENATE($K22,"|",BB$11,"|",$M$5),IuranSYSebelumnya!$I$330:$N$772,5,FALSE),
        IF(COUNTIFS(IuranSYSebelumnya!$J$330:$J$772,$K22,IuranSYSebelumnya!$M$330:$M$772,BB$11,IuranSYSebelumnya!$L$330:$L$772,"&lt;&gt;"&amp;$M$5)&gt;0,
              "Iuran dari Lingkungan lain",
              ""))</f>
        <v/>
      </c>
      <c r="BC22" s="47" t="str">
        <f>IF(COUNTIFS(IuranSYSebelumnya!$J$330:$J$772,$K22,IuranSYSebelumnya!$M$330:$M$772,BC$11,IuranSYSebelumnya!$L$330:$L$772,$M$5)&gt;0,
        VLOOKUP(CONCATENATE($K22,"|",BC$11,"|",$M$5),IuranSYSebelumnya!$I$330:$N$772,5,FALSE),
        IF(COUNTIFS(IuranSYSebelumnya!$J$330:$J$772,$K22,IuranSYSebelumnya!$M$330:$M$772,BC$11,IuranSYSebelumnya!$L$330:$L$772,"&lt;&gt;"&amp;$M$5)&gt;0,
              "Iuran dari Lingkungan lain",
              ""))</f>
        <v/>
      </c>
      <c r="BD22" s="47" t="str">
        <f>IF(COUNTIFS(IuranSYSebelumnya!$J$330:$J$772,$K22,IuranSYSebelumnya!$M$330:$M$772,BD$11,IuranSYSebelumnya!$L$330:$L$772,$M$5)&gt;0,
        VLOOKUP(CONCATENATE($K22,"|",BD$11,"|",$M$5),IuranSYSebelumnya!$I$330:$N$772,5,FALSE),
        IF(COUNTIFS(IuranSYSebelumnya!$J$330:$J$772,$K22,IuranSYSebelumnya!$M$330:$M$772,BD$11,IuranSYSebelumnya!$L$330:$L$772,"&lt;&gt;"&amp;$M$5)&gt;0,
              "Iuran dari Lingkungan lain",
              ""))</f>
        <v/>
      </c>
      <c r="BE22" s="47" t="str">
        <f>IF(COUNTIFS(IuranSYSebelumnya!$J$330:$J$772,$K22,IuranSYSebelumnya!$M$330:$M$772,BE$11,IuranSYSebelumnya!$L$330:$L$772,$M$5)&gt;0,
        VLOOKUP(CONCATENATE($K22,"|",BE$11,"|",$M$5),IuranSYSebelumnya!$I$330:$N$772,5,FALSE),
        IF(COUNTIFS(IuranSYSebelumnya!$J$330:$J$772,$K22,IuranSYSebelumnya!$M$330:$M$772,BE$11,IuranSYSebelumnya!$L$330:$L$772,"&lt;&gt;"&amp;$M$5)&gt;0,
              "Iuran dari Lingkungan lain",
              ""))</f>
        <v/>
      </c>
      <c r="BF22" s="47" t="str">
        <f>IF(COUNTIFS(IuranSYSebelumnya!$J$330:$J$772,$K22,IuranSYSebelumnya!$M$330:$M$772,BF$11,IuranSYSebelumnya!$L$330:$L$772,$M$5)&gt;0,
        VLOOKUP(CONCATENATE($K22,"|",BF$11,"|",$M$5),IuranSYSebelumnya!$I$330:$N$772,5,FALSE),
        IF(COUNTIFS(IuranSYSebelumnya!$J$330:$J$772,$K22,IuranSYSebelumnya!$M$330:$M$772,BF$11,IuranSYSebelumnya!$L$330:$L$772,"&lt;&gt;"&amp;$M$5)&gt;0,
              "Iuran dari Lingkungan lain",
              ""))</f>
        <v/>
      </c>
      <c r="BG22" s="47" t="str">
        <f>IF(COUNTIFS(IuranSYSebelumnya!$J$330:$J$772,$K22,IuranSYSebelumnya!$M$330:$M$772,BG$11,IuranSYSebelumnya!$L$330:$L$772,$M$5)&gt;0,
        VLOOKUP(CONCATENATE($K22,"|",BG$11,"|",$M$5),IuranSYSebelumnya!$I$330:$N$772,5,FALSE),
        IF(COUNTIFS(IuranSYSebelumnya!$J$330:$J$772,$K22,IuranSYSebelumnya!$M$330:$M$772,BG$11,IuranSYSebelumnya!$L$330:$L$772,"&lt;&gt;"&amp;$M$5)&gt;0,
              "Iuran dari Lingkungan lain",
              ""))</f>
        <v/>
      </c>
      <c r="BH22" s="47" t="str">
        <f>IF(COUNTIFS(IuranSYSebelumnya!$J$330:$J$772,$K22,IuranSYSebelumnya!$M$330:$M$772,BH$11,IuranSYSebelumnya!$L$330:$L$772,$M$5)&gt;0,
        VLOOKUP(CONCATENATE($K22,"|",BH$11,"|",$M$5),IuranSYSebelumnya!$I$330:$N$772,5,FALSE),
        IF(COUNTIFS(IuranSYSebelumnya!$J$330:$J$772,$K22,IuranSYSebelumnya!$M$330:$M$772,BH$11,IuranSYSebelumnya!$L$330:$L$772,"&lt;&gt;"&amp;$M$5)&gt;0,
              "Iuran dari Lingkungan lain",
              ""))</f>
        <v/>
      </c>
      <c r="BI22" s="47" t="str">
        <f>IF(COUNTIFS(IuranSYSebelumnya!$J$330:$J$772,$K22,IuranSYSebelumnya!$M$330:$M$772,BI$11,IuranSYSebelumnya!$L$330:$L$772,$M$5)&gt;0,
        VLOOKUP(CONCATENATE($K22,"|",BI$11,"|",$M$5),IuranSYSebelumnya!$I$330:$N$772,5,FALSE),
        IF(COUNTIFS(IuranSYSebelumnya!$J$330:$J$772,$K22,IuranSYSebelumnya!$M$330:$M$772,BI$11,IuranSYSebelumnya!$L$330:$L$772,"&lt;&gt;"&amp;$M$5)&gt;0,
              "Iuran dari Lingkungan lain",
              ""))</f>
        <v/>
      </c>
      <c r="BJ22" s="47" t="str">
        <f>IF(COUNTIFS(IuranSYSebelumnya!$J$330:$J$772,$K22,IuranSYSebelumnya!$M$330:$M$772,BJ$11,IuranSYSebelumnya!$L$330:$L$772,$M$5)&gt;0,
        VLOOKUP(CONCATENATE($K22,"|",BJ$11,"|",$M$5),IuranSYSebelumnya!$I$330:$N$772,5,FALSE),
        IF(COUNTIFS(IuranSYSebelumnya!$J$330:$J$772,$K22,IuranSYSebelumnya!$M$330:$M$772,BJ$11,IuranSYSebelumnya!$L$330:$L$772,"&lt;&gt;"&amp;$M$5)&gt;0,
              "Iuran dari Lingkungan lain",
              ""))</f>
        <v/>
      </c>
      <c r="BK22" s="47" t="str">
        <f>IF(COUNTIFS(IuranSYSebelumnya!$J$330:$J$772,$K22,IuranSYSebelumnya!$M$330:$M$772,BK$11,IuranSYSebelumnya!$L$330:$L$772,$M$5)&gt;0,
        VLOOKUP(CONCATENATE($K22,"|",BK$11,"|",$M$5),IuranSYSebelumnya!$I$330:$N$772,5,FALSE),
        IF(COUNTIFS(IuranSYSebelumnya!$J$330:$J$772,$K22,IuranSYSebelumnya!$M$330:$M$772,BK$11,IuranSYSebelumnya!$L$330:$L$772,"&lt;&gt;"&amp;$M$5)&gt;0,
              "Iuran dari Lingkungan lain",
              ""))</f>
        <v/>
      </c>
      <c r="BL22" s="47" t="str">
        <f>IF(COUNTIFS(IuranSYSebelumnya!$J$330:$J$772,$K22,IuranSYSebelumnya!$M$330:$M$772,BL$11,IuranSYSebelumnya!$L$330:$L$772,$M$5)&gt;0,
        VLOOKUP(CONCATENATE($K22,"|",BL$11,"|",$M$5),IuranSYSebelumnya!$I$330:$N$772,5,FALSE),
        IF(COUNTIFS(IuranSYSebelumnya!$J$330:$J$772,$K22,IuranSYSebelumnya!$M$330:$M$772,BL$11,IuranSYSebelumnya!$L$330:$L$772,"&lt;&gt;"&amp;$M$5)&gt;0,
              "Iuran dari Lingkungan lain",
              ""))</f>
        <v/>
      </c>
    </row>
    <row r="23" spans="1:64" x14ac:dyDescent="0.35">
      <c r="A23" s="30" t="s">
        <v>6063</v>
      </c>
      <c r="C23" s="30" t="b">
        <f t="shared" ca="1" si="3"/>
        <v>0</v>
      </c>
      <c r="D23" s="30" t="str">
        <f>"""TRUST Nav"",""HSPMTB2016"",""18"",""1"",""KK-04604"""</f>
        <v>"TRUST Nav","HSPMTB2016","18","1","KK-04604"</v>
      </c>
      <c r="H23" s="30">
        <f t="shared" si="4"/>
        <v>0</v>
      </c>
      <c r="J23" s="30">
        <f t="shared" si="5"/>
        <v>11</v>
      </c>
      <c r="K23" s="30" t="str">
        <f>"KK-04604"</f>
        <v>KK-04604</v>
      </c>
      <c r="L23" s="30" t="str">
        <f>"Edward"</f>
        <v>Edward</v>
      </c>
      <c r="M23" s="30"/>
      <c r="N23" s="129"/>
      <c r="O23" s="129"/>
      <c r="P23" s="129"/>
      <c r="Q23" s="129"/>
      <c r="R23" s="129"/>
      <c r="S23" s="129"/>
      <c r="T23" s="11"/>
      <c r="U23" s="4"/>
      <c r="V23" s="4"/>
      <c r="W23" s="4"/>
      <c r="X23" s="4"/>
      <c r="Y23" s="15"/>
      <c r="Z23" s="4"/>
      <c r="AA23" s="4"/>
      <c r="AB23" s="4"/>
      <c r="AC23" s="4"/>
      <c r="AD23" s="4"/>
      <c r="AE23" s="4"/>
      <c r="AF23" s="11"/>
      <c r="AG23" s="4"/>
      <c r="AH23" s="4"/>
      <c r="AI23" s="4"/>
      <c r="AJ23" s="4"/>
      <c r="AK23" s="4"/>
      <c r="AL23" s="9">
        <f t="shared" si="6"/>
        <v>0</v>
      </c>
      <c r="AO23" s="47">
        <f>IF(COUNTIFS(IuranSYSebelumnya!$J$330:$J$772,$K23,IuranSYSebelumnya!$M$330:$M$772,AO$11,IuranSYSebelumnya!$L$330:$L$772,$M$5)&gt;0,
        VLOOKUP(CONCATENATE($K23,"|",AO$11,"|",$M$5),IuranSYSebelumnya!$I$330:$N$772,5,FALSE),
        IF(COUNTIFS(IuranSYSebelumnya!$J$330:$J$772,$K23,IuranSYSebelumnya!$M$330:$M$772,AO$11,IuranSYSebelumnya!$L$330:$L$772,"&lt;&gt;"&amp;$M$5)&gt;0,
              "Iuran dari Lingkungan lain",
              ""))</f>
        <v>42186</v>
      </c>
      <c r="AP23" s="47">
        <f>IF(COUNTIFS(IuranSYSebelumnya!$J$330:$J$772,$K23,IuranSYSebelumnya!$M$330:$M$772,AP$11,IuranSYSebelumnya!$L$330:$L$772,$M$5)&gt;0,
        VLOOKUP(CONCATENATE($K23,"|",AP$11,"|",$M$5),IuranSYSebelumnya!$I$330:$N$772,5,FALSE),
        IF(COUNTIFS(IuranSYSebelumnya!$J$330:$J$772,$K23,IuranSYSebelumnya!$M$330:$M$772,AP$11,IuranSYSebelumnya!$L$330:$L$772,"&lt;&gt;"&amp;$M$5)&gt;0,
              "Iuran dari Lingkungan lain",
              ""))</f>
        <v>42217</v>
      </c>
      <c r="AQ23" s="47">
        <f>IF(COUNTIFS(IuranSYSebelumnya!$J$330:$J$772,$K23,IuranSYSebelumnya!$M$330:$M$772,AQ$11,IuranSYSebelumnya!$L$330:$L$772,$M$5)&gt;0,
        VLOOKUP(CONCATENATE($K23,"|",AQ$11,"|",$M$5),IuranSYSebelumnya!$I$330:$N$772,5,FALSE),
        IF(COUNTIFS(IuranSYSebelumnya!$J$330:$J$772,$K23,IuranSYSebelumnya!$M$330:$M$772,AQ$11,IuranSYSebelumnya!$L$330:$L$772,"&lt;&gt;"&amp;$M$5)&gt;0,
              "Iuran dari Lingkungan lain",
              ""))</f>
        <v>42248</v>
      </c>
      <c r="AR23" s="47">
        <f>IF(COUNTIFS(IuranSYSebelumnya!$J$330:$J$772,$K23,IuranSYSebelumnya!$M$330:$M$772,AR$11,IuranSYSebelumnya!$L$330:$L$772,$M$5)&gt;0,
        VLOOKUP(CONCATENATE($K23,"|",AR$11,"|",$M$5),IuranSYSebelumnya!$I$330:$N$772,5,FALSE),
        IF(COUNTIFS(IuranSYSebelumnya!$J$330:$J$772,$K23,IuranSYSebelumnya!$M$330:$M$772,AR$11,IuranSYSebelumnya!$L$330:$L$772,"&lt;&gt;"&amp;$M$5)&gt;0,
              "Iuran dari Lingkungan lain",
              ""))</f>
        <v>42278</v>
      </c>
      <c r="AS23" s="47">
        <f>IF(COUNTIFS(IuranSYSebelumnya!$J$330:$J$772,$K23,IuranSYSebelumnya!$M$330:$M$772,AS$11,IuranSYSebelumnya!$L$330:$L$772,$M$5)&gt;0,
        VLOOKUP(CONCATENATE($K23,"|",AS$11,"|",$M$5),IuranSYSebelumnya!$I$330:$N$772,5,FALSE),
        IF(COUNTIFS(IuranSYSebelumnya!$J$330:$J$772,$K23,IuranSYSebelumnya!$M$330:$M$772,AS$11,IuranSYSebelumnya!$L$330:$L$772,"&lt;&gt;"&amp;$M$5)&gt;0,
              "Iuran dari Lingkungan lain",
              ""))</f>
        <v>42309</v>
      </c>
      <c r="AT23" s="47">
        <f>IF(COUNTIFS(IuranSYSebelumnya!$J$330:$J$772,$K23,IuranSYSebelumnya!$M$330:$M$772,AT$11,IuranSYSebelumnya!$L$330:$L$772,$M$5)&gt;0,
        VLOOKUP(CONCATENATE($K23,"|",AT$11,"|",$M$5),IuranSYSebelumnya!$I$330:$N$772,5,FALSE),
        IF(COUNTIFS(IuranSYSebelumnya!$J$330:$J$772,$K23,IuranSYSebelumnya!$M$330:$M$772,AT$11,IuranSYSebelumnya!$L$330:$L$772,"&lt;&gt;"&amp;$M$5)&gt;0,
              "Iuran dari Lingkungan lain",
              ""))</f>
        <v>42339</v>
      </c>
      <c r="AU23" s="47" t="str">
        <f>IF(COUNTIFS(IuranSYSebelumnya!$J$330:$J$772,$K23,IuranSYSebelumnya!$M$330:$M$772,AU$11,IuranSYSebelumnya!$L$330:$L$772,$M$5)&gt;0,
        VLOOKUP(CONCATENATE($K23,"|",AU$11,"|",$M$5),IuranSYSebelumnya!$I$330:$N$772,5,FALSE),
        IF(COUNTIFS(IuranSYSebelumnya!$J$330:$J$772,$K23,IuranSYSebelumnya!$M$330:$M$772,AU$11,IuranSYSebelumnya!$L$330:$L$772,"&lt;&gt;"&amp;$M$5)&gt;0,
              "Iuran dari Lingkungan lain",
              ""))</f>
        <v/>
      </c>
      <c r="AV23" s="47" t="str">
        <f>IF(COUNTIFS(IuranSYSebelumnya!$J$330:$J$772,$K23,IuranSYSebelumnya!$M$330:$M$772,AV$11,IuranSYSebelumnya!$L$330:$L$772,$M$5)&gt;0,
        VLOOKUP(CONCATENATE($K23,"|",AV$11,"|",$M$5),IuranSYSebelumnya!$I$330:$N$772,5,FALSE),
        IF(COUNTIFS(IuranSYSebelumnya!$J$330:$J$772,$K23,IuranSYSebelumnya!$M$330:$M$772,AV$11,IuranSYSebelumnya!$L$330:$L$772,"&lt;&gt;"&amp;$M$5)&gt;0,
              "Iuran dari Lingkungan lain",
              ""))</f>
        <v/>
      </c>
      <c r="AW23" s="47" t="str">
        <f>IF(COUNTIFS(IuranSYSebelumnya!$J$330:$J$772,$K23,IuranSYSebelumnya!$M$330:$M$772,AW$11,IuranSYSebelumnya!$L$330:$L$772,$M$5)&gt;0,
        VLOOKUP(CONCATENATE($K23,"|",AW$11,"|",$M$5),IuranSYSebelumnya!$I$330:$N$772,5,FALSE),
        IF(COUNTIFS(IuranSYSebelumnya!$J$330:$J$772,$K23,IuranSYSebelumnya!$M$330:$M$772,AW$11,IuranSYSebelumnya!$L$330:$L$772,"&lt;&gt;"&amp;$M$5)&gt;0,
              "Iuran dari Lingkungan lain",
              ""))</f>
        <v/>
      </c>
      <c r="AX23" s="47" t="str">
        <f>IF(COUNTIFS(IuranSYSebelumnya!$J$330:$J$772,$K23,IuranSYSebelumnya!$M$330:$M$772,AX$11,IuranSYSebelumnya!$L$330:$L$772,$M$5)&gt;0,
        VLOOKUP(CONCATENATE($K23,"|",AX$11,"|",$M$5),IuranSYSebelumnya!$I$330:$N$772,5,FALSE),
        IF(COUNTIFS(IuranSYSebelumnya!$J$330:$J$772,$K23,IuranSYSebelumnya!$M$330:$M$772,AX$11,IuranSYSebelumnya!$L$330:$L$772,"&lt;&gt;"&amp;$M$5)&gt;0,
              "Iuran dari Lingkungan lain",
              ""))</f>
        <v/>
      </c>
      <c r="AY23" s="47" t="str">
        <f>IF(COUNTIFS(IuranSYSebelumnya!$J$330:$J$772,$K23,IuranSYSebelumnya!$M$330:$M$772,AY$11,IuranSYSebelumnya!$L$330:$L$772,$M$5)&gt;0,
        VLOOKUP(CONCATENATE($K23,"|",AY$11,"|",$M$5),IuranSYSebelumnya!$I$330:$N$772,5,FALSE),
        IF(COUNTIFS(IuranSYSebelumnya!$J$330:$J$772,$K23,IuranSYSebelumnya!$M$330:$M$772,AY$11,IuranSYSebelumnya!$L$330:$L$772,"&lt;&gt;"&amp;$M$5)&gt;0,
              "Iuran dari Lingkungan lain",
              ""))</f>
        <v/>
      </c>
      <c r="AZ23" s="47" t="str">
        <f>IF(COUNTIFS(IuranSYSebelumnya!$J$330:$J$772,$K23,IuranSYSebelumnya!$M$330:$M$772,AZ$11,IuranSYSebelumnya!$L$330:$L$772,$M$5)&gt;0,
        VLOOKUP(CONCATENATE($K23,"|",AZ$11,"|",$M$5),IuranSYSebelumnya!$I$330:$N$772,5,FALSE),
        IF(COUNTIFS(IuranSYSebelumnya!$J$330:$J$772,$K23,IuranSYSebelumnya!$M$330:$M$772,AZ$11,IuranSYSebelumnya!$L$330:$L$772,"&lt;&gt;"&amp;$M$5)&gt;0,
              "Iuran dari Lingkungan lain",
              ""))</f>
        <v/>
      </c>
      <c r="BA23" s="47" t="str">
        <f>IF(COUNTIFS(IuranSYSebelumnya!$J$330:$J$772,$K23,IuranSYSebelumnya!$M$330:$M$772,BA$11,IuranSYSebelumnya!$L$330:$L$772,$M$5)&gt;0,
        VLOOKUP(CONCATENATE($K23,"|",BA$11,"|",$M$5),IuranSYSebelumnya!$I$330:$N$772,5,FALSE),
        IF(COUNTIFS(IuranSYSebelumnya!$J$330:$J$772,$K23,IuranSYSebelumnya!$M$330:$M$772,BA$11,IuranSYSebelumnya!$L$330:$L$772,"&lt;&gt;"&amp;$M$5)&gt;0,
              "Iuran dari Lingkungan lain",
              ""))</f>
        <v/>
      </c>
      <c r="BB23" s="47" t="str">
        <f>IF(COUNTIFS(IuranSYSebelumnya!$J$330:$J$772,$K23,IuranSYSebelumnya!$M$330:$M$772,BB$11,IuranSYSebelumnya!$L$330:$L$772,$M$5)&gt;0,
        VLOOKUP(CONCATENATE($K23,"|",BB$11,"|",$M$5),IuranSYSebelumnya!$I$330:$N$772,5,FALSE),
        IF(COUNTIFS(IuranSYSebelumnya!$J$330:$J$772,$K23,IuranSYSebelumnya!$M$330:$M$772,BB$11,IuranSYSebelumnya!$L$330:$L$772,"&lt;&gt;"&amp;$M$5)&gt;0,
              "Iuran dari Lingkungan lain",
              ""))</f>
        <v/>
      </c>
      <c r="BC23" s="47" t="str">
        <f>IF(COUNTIFS(IuranSYSebelumnya!$J$330:$J$772,$K23,IuranSYSebelumnya!$M$330:$M$772,BC$11,IuranSYSebelumnya!$L$330:$L$772,$M$5)&gt;0,
        VLOOKUP(CONCATENATE($K23,"|",BC$11,"|",$M$5),IuranSYSebelumnya!$I$330:$N$772,5,FALSE),
        IF(COUNTIFS(IuranSYSebelumnya!$J$330:$J$772,$K23,IuranSYSebelumnya!$M$330:$M$772,BC$11,IuranSYSebelumnya!$L$330:$L$772,"&lt;&gt;"&amp;$M$5)&gt;0,
              "Iuran dari Lingkungan lain",
              ""))</f>
        <v/>
      </c>
      <c r="BD23" s="47" t="str">
        <f>IF(COUNTIFS(IuranSYSebelumnya!$J$330:$J$772,$K23,IuranSYSebelumnya!$M$330:$M$772,BD$11,IuranSYSebelumnya!$L$330:$L$772,$M$5)&gt;0,
        VLOOKUP(CONCATENATE($K23,"|",BD$11,"|",$M$5),IuranSYSebelumnya!$I$330:$N$772,5,FALSE),
        IF(COUNTIFS(IuranSYSebelumnya!$J$330:$J$772,$K23,IuranSYSebelumnya!$M$330:$M$772,BD$11,IuranSYSebelumnya!$L$330:$L$772,"&lt;&gt;"&amp;$M$5)&gt;0,
              "Iuran dari Lingkungan lain",
              ""))</f>
        <v/>
      </c>
      <c r="BE23" s="47" t="str">
        <f>IF(COUNTIFS(IuranSYSebelumnya!$J$330:$J$772,$K23,IuranSYSebelumnya!$M$330:$M$772,BE$11,IuranSYSebelumnya!$L$330:$L$772,$M$5)&gt;0,
        VLOOKUP(CONCATENATE($K23,"|",BE$11,"|",$M$5),IuranSYSebelumnya!$I$330:$N$772,5,FALSE),
        IF(COUNTIFS(IuranSYSebelumnya!$J$330:$J$772,$K23,IuranSYSebelumnya!$M$330:$M$772,BE$11,IuranSYSebelumnya!$L$330:$L$772,"&lt;&gt;"&amp;$M$5)&gt;0,
              "Iuran dari Lingkungan lain",
              ""))</f>
        <v/>
      </c>
      <c r="BF23" s="47" t="str">
        <f>IF(COUNTIFS(IuranSYSebelumnya!$J$330:$J$772,$K23,IuranSYSebelumnya!$M$330:$M$772,BF$11,IuranSYSebelumnya!$L$330:$L$772,$M$5)&gt;0,
        VLOOKUP(CONCATENATE($K23,"|",BF$11,"|",$M$5),IuranSYSebelumnya!$I$330:$N$772,5,FALSE),
        IF(COUNTIFS(IuranSYSebelumnya!$J$330:$J$772,$K23,IuranSYSebelumnya!$M$330:$M$772,BF$11,IuranSYSebelumnya!$L$330:$L$772,"&lt;&gt;"&amp;$M$5)&gt;0,
              "Iuran dari Lingkungan lain",
              ""))</f>
        <v/>
      </c>
      <c r="BG23" s="47" t="str">
        <f>IF(COUNTIFS(IuranSYSebelumnya!$J$330:$J$772,$K23,IuranSYSebelumnya!$M$330:$M$772,BG$11,IuranSYSebelumnya!$L$330:$L$772,$M$5)&gt;0,
        VLOOKUP(CONCATENATE($K23,"|",BG$11,"|",$M$5),IuranSYSebelumnya!$I$330:$N$772,5,FALSE),
        IF(COUNTIFS(IuranSYSebelumnya!$J$330:$J$772,$K23,IuranSYSebelumnya!$M$330:$M$772,BG$11,IuranSYSebelumnya!$L$330:$L$772,"&lt;&gt;"&amp;$M$5)&gt;0,
              "Iuran dari Lingkungan lain",
              ""))</f>
        <v/>
      </c>
      <c r="BH23" s="47" t="str">
        <f>IF(COUNTIFS(IuranSYSebelumnya!$J$330:$J$772,$K23,IuranSYSebelumnya!$M$330:$M$772,BH$11,IuranSYSebelumnya!$L$330:$L$772,$M$5)&gt;0,
        VLOOKUP(CONCATENATE($K23,"|",BH$11,"|",$M$5),IuranSYSebelumnya!$I$330:$N$772,5,FALSE),
        IF(COUNTIFS(IuranSYSebelumnya!$J$330:$J$772,$K23,IuranSYSebelumnya!$M$330:$M$772,BH$11,IuranSYSebelumnya!$L$330:$L$772,"&lt;&gt;"&amp;$M$5)&gt;0,
              "Iuran dari Lingkungan lain",
              ""))</f>
        <v/>
      </c>
      <c r="BI23" s="47" t="str">
        <f>IF(COUNTIFS(IuranSYSebelumnya!$J$330:$J$772,$K23,IuranSYSebelumnya!$M$330:$M$772,BI$11,IuranSYSebelumnya!$L$330:$L$772,$M$5)&gt;0,
        VLOOKUP(CONCATENATE($K23,"|",BI$11,"|",$M$5),IuranSYSebelumnya!$I$330:$N$772,5,FALSE),
        IF(COUNTIFS(IuranSYSebelumnya!$J$330:$J$772,$K23,IuranSYSebelumnya!$M$330:$M$772,BI$11,IuranSYSebelumnya!$L$330:$L$772,"&lt;&gt;"&amp;$M$5)&gt;0,
              "Iuran dari Lingkungan lain",
              ""))</f>
        <v/>
      </c>
      <c r="BJ23" s="47" t="str">
        <f>IF(COUNTIFS(IuranSYSebelumnya!$J$330:$J$772,$K23,IuranSYSebelumnya!$M$330:$M$772,BJ$11,IuranSYSebelumnya!$L$330:$L$772,$M$5)&gt;0,
        VLOOKUP(CONCATENATE($K23,"|",BJ$11,"|",$M$5),IuranSYSebelumnya!$I$330:$N$772,5,FALSE),
        IF(COUNTIFS(IuranSYSebelumnya!$J$330:$J$772,$K23,IuranSYSebelumnya!$M$330:$M$772,BJ$11,IuranSYSebelumnya!$L$330:$L$772,"&lt;&gt;"&amp;$M$5)&gt;0,
              "Iuran dari Lingkungan lain",
              ""))</f>
        <v/>
      </c>
      <c r="BK23" s="47" t="str">
        <f>IF(COUNTIFS(IuranSYSebelumnya!$J$330:$J$772,$K23,IuranSYSebelumnya!$M$330:$M$772,BK$11,IuranSYSebelumnya!$L$330:$L$772,$M$5)&gt;0,
        VLOOKUP(CONCATENATE($K23,"|",BK$11,"|",$M$5),IuranSYSebelumnya!$I$330:$N$772,5,FALSE),
        IF(COUNTIFS(IuranSYSebelumnya!$J$330:$J$772,$K23,IuranSYSebelumnya!$M$330:$M$772,BK$11,IuranSYSebelumnya!$L$330:$L$772,"&lt;&gt;"&amp;$M$5)&gt;0,
              "Iuran dari Lingkungan lain",
              ""))</f>
        <v/>
      </c>
      <c r="BL23" s="47" t="str">
        <f>IF(COUNTIFS(IuranSYSebelumnya!$J$330:$J$772,$K23,IuranSYSebelumnya!$M$330:$M$772,BL$11,IuranSYSebelumnya!$L$330:$L$772,$M$5)&gt;0,
        VLOOKUP(CONCATENATE($K23,"|",BL$11,"|",$M$5),IuranSYSebelumnya!$I$330:$N$772,5,FALSE),
        IF(COUNTIFS(IuranSYSebelumnya!$J$330:$J$772,$K23,IuranSYSebelumnya!$M$330:$M$772,BL$11,IuranSYSebelumnya!$L$330:$L$772,"&lt;&gt;"&amp;$M$5)&gt;0,
              "Iuran dari Lingkungan lain",
              ""))</f>
        <v/>
      </c>
    </row>
    <row r="24" spans="1:64" x14ac:dyDescent="0.35">
      <c r="A24" s="30" t="s">
        <v>6063</v>
      </c>
      <c r="C24" s="30" t="b">
        <f t="shared" ca="1" si="3"/>
        <v>0</v>
      </c>
      <c r="D24" s="30" t="str">
        <f>"""TRUST Nav"",""HSPMTB2016"",""18"",""1"",""KK-05047"""</f>
        <v>"TRUST Nav","HSPMTB2016","18","1","KK-05047"</v>
      </c>
      <c r="H24" s="30">
        <f t="shared" si="4"/>
        <v>0</v>
      </c>
      <c r="J24" s="30">
        <f t="shared" si="5"/>
        <v>12</v>
      </c>
      <c r="K24" s="30" t="str">
        <f>"KK-05047"</f>
        <v>KK-05047</v>
      </c>
      <c r="L24" s="30" t="str">
        <f>"Frans Stevanus Sembiring"</f>
        <v>Frans Stevanus Sembiring</v>
      </c>
      <c r="M24" s="30"/>
      <c r="N24" s="3"/>
      <c r="O24" s="3"/>
      <c r="P24" s="3"/>
      <c r="Q24" s="3"/>
      <c r="R24" s="3"/>
      <c r="S24" s="3"/>
      <c r="T24" s="11"/>
      <c r="U24" s="4"/>
      <c r="V24" s="4"/>
      <c r="W24" s="4"/>
      <c r="X24" s="4"/>
      <c r="Y24" s="15"/>
      <c r="Z24" s="4"/>
      <c r="AA24" s="4"/>
      <c r="AB24" s="4"/>
      <c r="AC24" s="4"/>
      <c r="AD24" s="4"/>
      <c r="AE24" s="4"/>
      <c r="AF24" s="11"/>
      <c r="AG24" s="4"/>
      <c r="AH24" s="4"/>
      <c r="AI24" s="4"/>
      <c r="AJ24" s="4"/>
      <c r="AK24" s="4"/>
      <c r="AL24" s="9">
        <f t="shared" si="6"/>
        <v>0</v>
      </c>
      <c r="AO24" s="47" t="str">
        <f>IF(COUNTIFS(IuranSYSebelumnya!$J$330:$J$772,$K24,IuranSYSebelumnya!$M$330:$M$772,AO$11,IuranSYSebelumnya!$L$330:$L$772,$M$5)&gt;0,
        VLOOKUP(CONCATENATE($K24,"|",AO$11,"|",$M$5),IuranSYSebelumnya!$I$330:$N$772,5,FALSE),
        IF(COUNTIFS(IuranSYSebelumnya!$J$330:$J$772,$K24,IuranSYSebelumnya!$M$330:$M$772,AO$11,IuranSYSebelumnya!$L$330:$L$772,"&lt;&gt;"&amp;$M$5)&gt;0,
              "Iuran dari Lingkungan lain",
              ""))</f>
        <v/>
      </c>
      <c r="AP24" s="47" t="str">
        <f>IF(COUNTIFS(IuranSYSebelumnya!$J$330:$J$772,$K24,IuranSYSebelumnya!$M$330:$M$772,AP$11,IuranSYSebelumnya!$L$330:$L$772,$M$5)&gt;0,
        VLOOKUP(CONCATENATE($K24,"|",AP$11,"|",$M$5),IuranSYSebelumnya!$I$330:$N$772,5,FALSE),
        IF(COUNTIFS(IuranSYSebelumnya!$J$330:$J$772,$K24,IuranSYSebelumnya!$M$330:$M$772,AP$11,IuranSYSebelumnya!$L$330:$L$772,"&lt;&gt;"&amp;$M$5)&gt;0,
              "Iuran dari Lingkungan lain",
              ""))</f>
        <v/>
      </c>
      <c r="AQ24" s="47" t="str">
        <f>IF(COUNTIFS(IuranSYSebelumnya!$J$330:$J$772,$K24,IuranSYSebelumnya!$M$330:$M$772,AQ$11,IuranSYSebelumnya!$L$330:$L$772,$M$5)&gt;0,
        VLOOKUP(CONCATENATE($K24,"|",AQ$11,"|",$M$5),IuranSYSebelumnya!$I$330:$N$772,5,FALSE),
        IF(COUNTIFS(IuranSYSebelumnya!$J$330:$J$772,$K24,IuranSYSebelumnya!$M$330:$M$772,AQ$11,IuranSYSebelumnya!$L$330:$L$772,"&lt;&gt;"&amp;$M$5)&gt;0,
              "Iuran dari Lingkungan lain",
              ""))</f>
        <v/>
      </c>
      <c r="AR24" s="47" t="str">
        <f>IF(COUNTIFS(IuranSYSebelumnya!$J$330:$J$772,$K24,IuranSYSebelumnya!$M$330:$M$772,AR$11,IuranSYSebelumnya!$L$330:$L$772,$M$5)&gt;0,
        VLOOKUP(CONCATENATE($K24,"|",AR$11,"|",$M$5),IuranSYSebelumnya!$I$330:$N$772,5,FALSE),
        IF(COUNTIFS(IuranSYSebelumnya!$J$330:$J$772,$K24,IuranSYSebelumnya!$M$330:$M$772,AR$11,IuranSYSebelumnya!$L$330:$L$772,"&lt;&gt;"&amp;$M$5)&gt;0,
              "Iuran dari Lingkungan lain",
              ""))</f>
        <v/>
      </c>
      <c r="AS24" s="47" t="str">
        <f>IF(COUNTIFS(IuranSYSebelumnya!$J$330:$J$772,$K24,IuranSYSebelumnya!$M$330:$M$772,AS$11,IuranSYSebelumnya!$L$330:$L$772,$M$5)&gt;0,
        VLOOKUP(CONCATENATE($K24,"|",AS$11,"|",$M$5),IuranSYSebelumnya!$I$330:$N$772,5,FALSE),
        IF(COUNTIFS(IuranSYSebelumnya!$J$330:$J$772,$K24,IuranSYSebelumnya!$M$330:$M$772,AS$11,IuranSYSebelumnya!$L$330:$L$772,"&lt;&gt;"&amp;$M$5)&gt;0,
              "Iuran dari Lingkungan lain",
              ""))</f>
        <v/>
      </c>
      <c r="AT24" s="47" t="str">
        <f>IF(COUNTIFS(IuranSYSebelumnya!$J$330:$J$772,$K24,IuranSYSebelumnya!$M$330:$M$772,AT$11,IuranSYSebelumnya!$L$330:$L$772,$M$5)&gt;0,
        VLOOKUP(CONCATENATE($K24,"|",AT$11,"|",$M$5),IuranSYSebelumnya!$I$330:$N$772,5,FALSE),
        IF(COUNTIFS(IuranSYSebelumnya!$J$330:$J$772,$K24,IuranSYSebelumnya!$M$330:$M$772,AT$11,IuranSYSebelumnya!$L$330:$L$772,"&lt;&gt;"&amp;$M$5)&gt;0,
              "Iuran dari Lingkungan lain",
              ""))</f>
        <v/>
      </c>
      <c r="AU24" s="47" t="str">
        <f>IF(COUNTIFS(IuranSYSebelumnya!$J$330:$J$772,$K24,IuranSYSebelumnya!$M$330:$M$772,AU$11,IuranSYSebelumnya!$L$330:$L$772,$M$5)&gt;0,
        VLOOKUP(CONCATENATE($K24,"|",AU$11,"|",$M$5),IuranSYSebelumnya!$I$330:$N$772,5,FALSE),
        IF(COUNTIFS(IuranSYSebelumnya!$J$330:$J$772,$K24,IuranSYSebelumnya!$M$330:$M$772,AU$11,IuranSYSebelumnya!$L$330:$L$772,"&lt;&gt;"&amp;$M$5)&gt;0,
              "Iuran dari Lingkungan lain",
              ""))</f>
        <v/>
      </c>
      <c r="AV24" s="47" t="str">
        <f>IF(COUNTIFS(IuranSYSebelumnya!$J$330:$J$772,$K24,IuranSYSebelumnya!$M$330:$M$772,AV$11,IuranSYSebelumnya!$L$330:$L$772,$M$5)&gt;0,
        VLOOKUP(CONCATENATE($K24,"|",AV$11,"|",$M$5),IuranSYSebelumnya!$I$330:$N$772,5,FALSE),
        IF(COUNTIFS(IuranSYSebelumnya!$J$330:$J$772,$K24,IuranSYSebelumnya!$M$330:$M$772,AV$11,IuranSYSebelumnya!$L$330:$L$772,"&lt;&gt;"&amp;$M$5)&gt;0,
              "Iuran dari Lingkungan lain",
              ""))</f>
        <v/>
      </c>
      <c r="AW24" s="47" t="str">
        <f>IF(COUNTIFS(IuranSYSebelumnya!$J$330:$J$772,$K24,IuranSYSebelumnya!$M$330:$M$772,AW$11,IuranSYSebelumnya!$L$330:$L$772,$M$5)&gt;0,
        VLOOKUP(CONCATENATE($K24,"|",AW$11,"|",$M$5),IuranSYSebelumnya!$I$330:$N$772,5,FALSE),
        IF(COUNTIFS(IuranSYSebelumnya!$J$330:$J$772,$K24,IuranSYSebelumnya!$M$330:$M$772,AW$11,IuranSYSebelumnya!$L$330:$L$772,"&lt;&gt;"&amp;$M$5)&gt;0,
              "Iuran dari Lingkungan lain",
              ""))</f>
        <v/>
      </c>
      <c r="AX24" s="47" t="str">
        <f>IF(COUNTIFS(IuranSYSebelumnya!$J$330:$J$772,$K24,IuranSYSebelumnya!$M$330:$M$772,AX$11,IuranSYSebelumnya!$L$330:$L$772,$M$5)&gt;0,
        VLOOKUP(CONCATENATE($K24,"|",AX$11,"|",$M$5),IuranSYSebelumnya!$I$330:$N$772,5,FALSE),
        IF(COUNTIFS(IuranSYSebelumnya!$J$330:$J$772,$K24,IuranSYSebelumnya!$M$330:$M$772,AX$11,IuranSYSebelumnya!$L$330:$L$772,"&lt;&gt;"&amp;$M$5)&gt;0,
              "Iuran dari Lingkungan lain",
              ""))</f>
        <v/>
      </c>
      <c r="AY24" s="47" t="str">
        <f>IF(COUNTIFS(IuranSYSebelumnya!$J$330:$J$772,$K24,IuranSYSebelumnya!$M$330:$M$772,AY$11,IuranSYSebelumnya!$L$330:$L$772,$M$5)&gt;0,
        VLOOKUP(CONCATENATE($K24,"|",AY$11,"|",$M$5),IuranSYSebelumnya!$I$330:$N$772,5,FALSE),
        IF(COUNTIFS(IuranSYSebelumnya!$J$330:$J$772,$K24,IuranSYSebelumnya!$M$330:$M$772,AY$11,IuranSYSebelumnya!$L$330:$L$772,"&lt;&gt;"&amp;$M$5)&gt;0,
              "Iuran dari Lingkungan lain",
              ""))</f>
        <v/>
      </c>
      <c r="AZ24" s="47" t="str">
        <f>IF(COUNTIFS(IuranSYSebelumnya!$J$330:$J$772,$K24,IuranSYSebelumnya!$M$330:$M$772,AZ$11,IuranSYSebelumnya!$L$330:$L$772,$M$5)&gt;0,
        VLOOKUP(CONCATENATE($K24,"|",AZ$11,"|",$M$5),IuranSYSebelumnya!$I$330:$N$772,5,FALSE),
        IF(COUNTIFS(IuranSYSebelumnya!$J$330:$J$772,$K24,IuranSYSebelumnya!$M$330:$M$772,AZ$11,IuranSYSebelumnya!$L$330:$L$772,"&lt;&gt;"&amp;$M$5)&gt;0,
              "Iuran dari Lingkungan lain",
              ""))</f>
        <v/>
      </c>
      <c r="BA24" s="47" t="str">
        <f>IF(COUNTIFS(IuranSYSebelumnya!$J$330:$J$772,$K24,IuranSYSebelumnya!$M$330:$M$772,BA$11,IuranSYSebelumnya!$L$330:$L$772,$M$5)&gt;0,
        VLOOKUP(CONCATENATE($K24,"|",BA$11,"|",$M$5),IuranSYSebelumnya!$I$330:$N$772,5,FALSE),
        IF(COUNTIFS(IuranSYSebelumnya!$J$330:$J$772,$K24,IuranSYSebelumnya!$M$330:$M$772,BA$11,IuranSYSebelumnya!$L$330:$L$772,"&lt;&gt;"&amp;$M$5)&gt;0,
              "Iuran dari Lingkungan lain",
              ""))</f>
        <v/>
      </c>
      <c r="BB24" s="47" t="str">
        <f>IF(COUNTIFS(IuranSYSebelumnya!$J$330:$J$772,$K24,IuranSYSebelumnya!$M$330:$M$772,BB$11,IuranSYSebelumnya!$L$330:$L$772,$M$5)&gt;0,
        VLOOKUP(CONCATENATE($K24,"|",BB$11,"|",$M$5),IuranSYSebelumnya!$I$330:$N$772,5,FALSE),
        IF(COUNTIFS(IuranSYSebelumnya!$J$330:$J$772,$K24,IuranSYSebelumnya!$M$330:$M$772,BB$11,IuranSYSebelumnya!$L$330:$L$772,"&lt;&gt;"&amp;$M$5)&gt;0,
              "Iuran dari Lingkungan lain",
              ""))</f>
        <v/>
      </c>
      <c r="BC24" s="47" t="str">
        <f>IF(COUNTIFS(IuranSYSebelumnya!$J$330:$J$772,$K24,IuranSYSebelumnya!$M$330:$M$772,BC$11,IuranSYSebelumnya!$L$330:$L$772,$M$5)&gt;0,
        VLOOKUP(CONCATENATE($K24,"|",BC$11,"|",$M$5),IuranSYSebelumnya!$I$330:$N$772,5,FALSE),
        IF(COUNTIFS(IuranSYSebelumnya!$J$330:$J$772,$K24,IuranSYSebelumnya!$M$330:$M$772,BC$11,IuranSYSebelumnya!$L$330:$L$772,"&lt;&gt;"&amp;$M$5)&gt;0,
              "Iuran dari Lingkungan lain",
              ""))</f>
        <v/>
      </c>
      <c r="BD24" s="47" t="str">
        <f>IF(COUNTIFS(IuranSYSebelumnya!$J$330:$J$772,$K24,IuranSYSebelumnya!$M$330:$M$772,BD$11,IuranSYSebelumnya!$L$330:$L$772,$M$5)&gt;0,
        VLOOKUP(CONCATENATE($K24,"|",BD$11,"|",$M$5),IuranSYSebelumnya!$I$330:$N$772,5,FALSE),
        IF(COUNTIFS(IuranSYSebelumnya!$J$330:$J$772,$K24,IuranSYSebelumnya!$M$330:$M$772,BD$11,IuranSYSebelumnya!$L$330:$L$772,"&lt;&gt;"&amp;$M$5)&gt;0,
              "Iuran dari Lingkungan lain",
              ""))</f>
        <v/>
      </c>
      <c r="BE24" s="47" t="str">
        <f>IF(COUNTIFS(IuranSYSebelumnya!$J$330:$J$772,$K24,IuranSYSebelumnya!$M$330:$M$772,BE$11,IuranSYSebelumnya!$L$330:$L$772,$M$5)&gt;0,
        VLOOKUP(CONCATENATE($K24,"|",BE$11,"|",$M$5),IuranSYSebelumnya!$I$330:$N$772,5,FALSE),
        IF(COUNTIFS(IuranSYSebelumnya!$J$330:$J$772,$K24,IuranSYSebelumnya!$M$330:$M$772,BE$11,IuranSYSebelumnya!$L$330:$L$772,"&lt;&gt;"&amp;$M$5)&gt;0,
              "Iuran dari Lingkungan lain",
              ""))</f>
        <v/>
      </c>
      <c r="BF24" s="47" t="str">
        <f>IF(COUNTIFS(IuranSYSebelumnya!$J$330:$J$772,$K24,IuranSYSebelumnya!$M$330:$M$772,BF$11,IuranSYSebelumnya!$L$330:$L$772,$M$5)&gt;0,
        VLOOKUP(CONCATENATE($K24,"|",BF$11,"|",$M$5),IuranSYSebelumnya!$I$330:$N$772,5,FALSE),
        IF(COUNTIFS(IuranSYSebelumnya!$J$330:$J$772,$K24,IuranSYSebelumnya!$M$330:$M$772,BF$11,IuranSYSebelumnya!$L$330:$L$772,"&lt;&gt;"&amp;$M$5)&gt;0,
              "Iuran dari Lingkungan lain",
              ""))</f>
        <v/>
      </c>
      <c r="BG24" s="47" t="str">
        <f>IF(COUNTIFS(IuranSYSebelumnya!$J$330:$J$772,$K24,IuranSYSebelumnya!$M$330:$M$772,BG$11,IuranSYSebelumnya!$L$330:$L$772,$M$5)&gt;0,
        VLOOKUP(CONCATENATE($K24,"|",BG$11,"|",$M$5),IuranSYSebelumnya!$I$330:$N$772,5,FALSE),
        IF(COUNTIFS(IuranSYSebelumnya!$J$330:$J$772,$K24,IuranSYSebelumnya!$M$330:$M$772,BG$11,IuranSYSebelumnya!$L$330:$L$772,"&lt;&gt;"&amp;$M$5)&gt;0,
              "Iuran dari Lingkungan lain",
              ""))</f>
        <v/>
      </c>
      <c r="BH24" s="47" t="str">
        <f>IF(COUNTIFS(IuranSYSebelumnya!$J$330:$J$772,$K24,IuranSYSebelumnya!$M$330:$M$772,BH$11,IuranSYSebelumnya!$L$330:$L$772,$M$5)&gt;0,
        VLOOKUP(CONCATENATE($K24,"|",BH$11,"|",$M$5),IuranSYSebelumnya!$I$330:$N$772,5,FALSE),
        IF(COUNTIFS(IuranSYSebelumnya!$J$330:$J$772,$K24,IuranSYSebelumnya!$M$330:$M$772,BH$11,IuranSYSebelumnya!$L$330:$L$772,"&lt;&gt;"&amp;$M$5)&gt;0,
              "Iuran dari Lingkungan lain",
              ""))</f>
        <v/>
      </c>
      <c r="BI24" s="47" t="str">
        <f>IF(COUNTIFS(IuranSYSebelumnya!$J$330:$J$772,$K24,IuranSYSebelumnya!$M$330:$M$772,BI$11,IuranSYSebelumnya!$L$330:$L$772,$M$5)&gt;0,
        VLOOKUP(CONCATENATE($K24,"|",BI$11,"|",$M$5),IuranSYSebelumnya!$I$330:$N$772,5,FALSE),
        IF(COUNTIFS(IuranSYSebelumnya!$J$330:$J$772,$K24,IuranSYSebelumnya!$M$330:$M$772,BI$11,IuranSYSebelumnya!$L$330:$L$772,"&lt;&gt;"&amp;$M$5)&gt;0,
              "Iuran dari Lingkungan lain",
              ""))</f>
        <v/>
      </c>
      <c r="BJ24" s="47" t="str">
        <f>IF(COUNTIFS(IuranSYSebelumnya!$J$330:$J$772,$K24,IuranSYSebelumnya!$M$330:$M$772,BJ$11,IuranSYSebelumnya!$L$330:$L$772,$M$5)&gt;0,
        VLOOKUP(CONCATENATE($K24,"|",BJ$11,"|",$M$5),IuranSYSebelumnya!$I$330:$N$772,5,FALSE),
        IF(COUNTIFS(IuranSYSebelumnya!$J$330:$J$772,$K24,IuranSYSebelumnya!$M$330:$M$772,BJ$11,IuranSYSebelumnya!$L$330:$L$772,"&lt;&gt;"&amp;$M$5)&gt;0,
              "Iuran dari Lingkungan lain",
              ""))</f>
        <v/>
      </c>
      <c r="BK24" s="47" t="str">
        <f>IF(COUNTIFS(IuranSYSebelumnya!$J$330:$J$772,$K24,IuranSYSebelumnya!$M$330:$M$772,BK$11,IuranSYSebelumnya!$L$330:$L$772,$M$5)&gt;0,
        VLOOKUP(CONCATENATE($K24,"|",BK$11,"|",$M$5),IuranSYSebelumnya!$I$330:$N$772,5,FALSE),
        IF(COUNTIFS(IuranSYSebelumnya!$J$330:$J$772,$K24,IuranSYSebelumnya!$M$330:$M$772,BK$11,IuranSYSebelumnya!$L$330:$L$772,"&lt;&gt;"&amp;$M$5)&gt;0,
              "Iuran dari Lingkungan lain",
              ""))</f>
        <v/>
      </c>
      <c r="BL24" s="47" t="str">
        <f>IF(COUNTIFS(IuranSYSebelumnya!$J$330:$J$772,$K24,IuranSYSebelumnya!$M$330:$M$772,BL$11,IuranSYSebelumnya!$L$330:$L$772,$M$5)&gt;0,
        VLOOKUP(CONCATENATE($K24,"|",BL$11,"|",$M$5),IuranSYSebelumnya!$I$330:$N$772,5,FALSE),
        IF(COUNTIFS(IuranSYSebelumnya!$J$330:$J$772,$K24,IuranSYSebelumnya!$M$330:$M$772,BL$11,IuranSYSebelumnya!$L$330:$L$772,"&lt;&gt;"&amp;$M$5)&gt;0,
              "Iuran dari Lingkungan lain",
              ""))</f>
        <v/>
      </c>
    </row>
    <row r="25" spans="1:64" x14ac:dyDescent="0.35">
      <c r="A25" s="30" t="s">
        <v>6063</v>
      </c>
      <c r="C25" s="30" t="b">
        <f t="shared" ca="1" si="3"/>
        <v>0</v>
      </c>
      <c r="D25" s="30" t="str">
        <f>"""TRUST Nav"",""HSPMTB2016"",""18"",""1"",""KK-04626"""</f>
        <v>"TRUST Nav","HSPMTB2016","18","1","KK-04626"</v>
      </c>
      <c r="H25" s="30">
        <f t="shared" si="4"/>
        <v>0</v>
      </c>
      <c r="J25" s="30">
        <f t="shared" si="5"/>
        <v>13</v>
      </c>
      <c r="K25" s="30" t="str">
        <f>"KK-04626"</f>
        <v>KK-04626</v>
      </c>
      <c r="L25" s="30" t="str">
        <f>"Hadi Suwana"</f>
        <v>Hadi Suwana</v>
      </c>
      <c r="M25" s="30"/>
      <c r="N25" s="129"/>
      <c r="O25" s="129"/>
      <c r="P25" s="129"/>
      <c r="Q25" s="129"/>
      <c r="R25" s="129"/>
      <c r="S25" s="129"/>
      <c r="T25" s="130"/>
      <c r="U25" s="131"/>
      <c r="V25" s="131"/>
      <c r="W25" s="131"/>
      <c r="X25" s="131"/>
      <c r="Y25" s="132"/>
      <c r="Z25" s="131"/>
      <c r="AA25" s="131"/>
      <c r="AB25" s="4"/>
      <c r="AC25" s="4"/>
      <c r="AD25" s="4"/>
      <c r="AE25" s="4"/>
      <c r="AF25" s="11"/>
      <c r="AG25" s="4"/>
      <c r="AH25" s="4"/>
      <c r="AI25" s="4"/>
      <c r="AJ25" s="4"/>
      <c r="AK25" s="4"/>
      <c r="AL25" s="9">
        <f t="shared" si="6"/>
        <v>0</v>
      </c>
      <c r="AO25" s="47">
        <f>IF(COUNTIFS(IuranSYSebelumnya!$J$330:$J$772,$K25,IuranSYSebelumnya!$M$330:$M$772,AO$11,IuranSYSebelumnya!$L$330:$L$772,$M$5)&gt;0,
        VLOOKUP(CONCATENATE($K25,"|",AO$11,"|",$M$5),IuranSYSebelumnya!$I$330:$N$772,5,FALSE),
        IF(COUNTIFS(IuranSYSebelumnya!$J$330:$J$772,$K25,IuranSYSebelumnya!$M$330:$M$772,AO$11,IuranSYSebelumnya!$L$330:$L$772,"&lt;&gt;"&amp;$M$5)&gt;0,
              "Iuran dari Lingkungan lain",
              ""))</f>
        <v>42186</v>
      </c>
      <c r="AP25" s="47">
        <f>IF(COUNTIFS(IuranSYSebelumnya!$J$330:$J$772,$K25,IuranSYSebelumnya!$M$330:$M$772,AP$11,IuranSYSebelumnya!$L$330:$L$772,$M$5)&gt;0,
        VLOOKUP(CONCATENATE($K25,"|",AP$11,"|",$M$5),IuranSYSebelumnya!$I$330:$N$772,5,FALSE),
        IF(COUNTIFS(IuranSYSebelumnya!$J$330:$J$772,$K25,IuranSYSebelumnya!$M$330:$M$772,AP$11,IuranSYSebelumnya!$L$330:$L$772,"&lt;&gt;"&amp;$M$5)&gt;0,
              "Iuran dari Lingkungan lain",
              ""))</f>
        <v>42217</v>
      </c>
      <c r="AQ25" s="47">
        <f>IF(COUNTIFS(IuranSYSebelumnya!$J$330:$J$772,$K25,IuranSYSebelumnya!$M$330:$M$772,AQ$11,IuranSYSebelumnya!$L$330:$L$772,$M$5)&gt;0,
        VLOOKUP(CONCATENATE($K25,"|",AQ$11,"|",$M$5),IuranSYSebelumnya!$I$330:$N$772,5,FALSE),
        IF(COUNTIFS(IuranSYSebelumnya!$J$330:$J$772,$K25,IuranSYSebelumnya!$M$330:$M$772,AQ$11,IuranSYSebelumnya!$L$330:$L$772,"&lt;&gt;"&amp;$M$5)&gt;0,
              "Iuran dari Lingkungan lain",
              ""))</f>
        <v>42248</v>
      </c>
      <c r="AR25" s="47">
        <f>IF(COUNTIFS(IuranSYSebelumnya!$J$330:$J$772,$K25,IuranSYSebelumnya!$M$330:$M$772,AR$11,IuranSYSebelumnya!$L$330:$L$772,$M$5)&gt;0,
        VLOOKUP(CONCATENATE($K25,"|",AR$11,"|",$M$5),IuranSYSebelumnya!$I$330:$N$772,5,FALSE),
        IF(COUNTIFS(IuranSYSebelumnya!$J$330:$J$772,$K25,IuranSYSebelumnya!$M$330:$M$772,AR$11,IuranSYSebelumnya!$L$330:$L$772,"&lt;&gt;"&amp;$M$5)&gt;0,
              "Iuran dari Lingkungan lain",
              ""))</f>
        <v>42278</v>
      </c>
      <c r="AS25" s="47">
        <f>IF(COUNTIFS(IuranSYSebelumnya!$J$330:$J$772,$K25,IuranSYSebelumnya!$M$330:$M$772,AS$11,IuranSYSebelumnya!$L$330:$L$772,$M$5)&gt;0,
        VLOOKUP(CONCATENATE($K25,"|",AS$11,"|",$M$5),IuranSYSebelumnya!$I$330:$N$772,5,FALSE),
        IF(COUNTIFS(IuranSYSebelumnya!$J$330:$J$772,$K25,IuranSYSebelumnya!$M$330:$M$772,AS$11,IuranSYSebelumnya!$L$330:$L$772,"&lt;&gt;"&amp;$M$5)&gt;0,
              "Iuran dari Lingkungan lain",
              ""))</f>
        <v>42309</v>
      </c>
      <c r="AT25" s="47">
        <f>IF(COUNTIFS(IuranSYSebelumnya!$J$330:$J$772,$K25,IuranSYSebelumnya!$M$330:$M$772,AT$11,IuranSYSebelumnya!$L$330:$L$772,$M$5)&gt;0,
        VLOOKUP(CONCATENATE($K25,"|",AT$11,"|",$M$5),IuranSYSebelumnya!$I$330:$N$772,5,FALSE),
        IF(COUNTIFS(IuranSYSebelumnya!$J$330:$J$772,$K25,IuranSYSebelumnya!$M$330:$M$772,AT$11,IuranSYSebelumnya!$L$330:$L$772,"&lt;&gt;"&amp;$M$5)&gt;0,
              "Iuran dari Lingkungan lain",
              ""))</f>
        <v>42339</v>
      </c>
      <c r="AU25" s="47">
        <f>IF(COUNTIFS(IuranSYSebelumnya!$J$330:$J$772,$K25,IuranSYSebelumnya!$M$330:$M$772,AU$11,IuranSYSebelumnya!$L$330:$L$772,$M$5)&gt;0,
        VLOOKUP(CONCATENATE($K25,"|",AU$11,"|",$M$5),IuranSYSebelumnya!$I$330:$N$772,5,FALSE),
        IF(COUNTIFS(IuranSYSebelumnya!$J$330:$J$772,$K25,IuranSYSebelumnya!$M$330:$M$772,AU$11,IuranSYSebelumnya!$L$330:$L$772,"&lt;&gt;"&amp;$M$5)&gt;0,
              "Iuran dari Lingkungan lain",
              ""))</f>
        <v>42370</v>
      </c>
      <c r="AV25" s="47">
        <f>IF(COUNTIFS(IuranSYSebelumnya!$J$330:$J$772,$K25,IuranSYSebelumnya!$M$330:$M$772,AV$11,IuranSYSebelumnya!$L$330:$L$772,$M$5)&gt;0,
        VLOOKUP(CONCATENATE($K25,"|",AV$11,"|",$M$5),IuranSYSebelumnya!$I$330:$N$772,5,FALSE),
        IF(COUNTIFS(IuranSYSebelumnya!$J$330:$J$772,$K25,IuranSYSebelumnya!$M$330:$M$772,AV$11,IuranSYSebelumnya!$L$330:$L$772,"&lt;&gt;"&amp;$M$5)&gt;0,
              "Iuran dari Lingkungan lain",
              ""))</f>
        <v>42401</v>
      </c>
      <c r="AW25" s="47">
        <f>IF(COUNTIFS(IuranSYSebelumnya!$J$330:$J$772,$K25,IuranSYSebelumnya!$M$330:$M$772,AW$11,IuranSYSebelumnya!$L$330:$L$772,$M$5)&gt;0,
        VLOOKUP(CONCATENATE($K25,"|",AW$11,"|",$M$5),IuranSYSebelumnya!$I$330:$N$772,5,FALSE),
        IF(COUNTIFS(IuranSYSebelumnya!$J$330:$J$772,$K25,IuranSYSebelumnya!$M$330:$M$772,AW$11,IuranSYSebelumnya!$L$330:$L$772,"&lt;&gt;"&amp;$M$5)&gt;0,
              "Iuran dari Lingkungan lain",
              ""))</f>
        <v>42430</v>
      </c>
      <c r="AX25" s="47">
        <f>IF(COUNTIFS(IuranSYSebelumnya!$J$330:$J$772,$K25,IuranSYSebelumnya!$M$330:$M$772,AX$11,IuranSYSebelumnya!$L$330:$L$772,$M$5)&gt;0,
        VLOOKUP(CONCATENATE($K25,"|",AX$11,"|",$M$5),IuranSYSebelumnya!$I$330:$N$772,5,FALSE),
        IF(COUNTIFS(IuranSYSebelumnya!$J$330:$J$772,$K25,IuranSYSebelumnya!$M$330:$M$772,AX$11,IuranSYSebelumnya!$L$330:$L$772,"&lt;&gt;"&amp;$M$5)&gt;0,
              "Iuran dari Lingkungan lain",
              ""))</f>
        <v>42461</v>
      </c>
      <c r="AY25" s="47">
        <f>IF(COUNTIFS(IuranSYSebelumnya!$J$330:$J$772,$K25,IuranSYSebelumnya!$M$330:$M$772,AY$11,IuranSYSebelumnya!$L$330:$L$772,$M$5)&gt;0,
        VLOOKUP(CONCATENATE($K25,"|",AY$11,"|",$M$5),IuranSYSebelumnya!$I$330:$N$772,5,FALSE),
        IF(COUNTIFS(IuranSYSebelumnya!$J$330:$J$772,$K25,IuranSYSebelumnya!$M$330:$M$772,AY$11,IuranSYSebelumnya!$L$330:$L$772,"&lt;&gt;"&amp;$M$5)&gt;0,
              "Iuran dari Lingkungan lain",
              ""))</f>
        <v>42491</v>
      </c>
      <c r="AZ25" s="47">
        <f>IF(COUNTIFS(IuranSYSebelumnya!$J$330:$J$772,$K25,IuranSYSebelumnya!$M$330:$M$772,AZ$11,IuranSYSebelumnya!$L$330:$L$772,$M$5)&gt;0,
        VLOOKUP(CONCATENATE($K25,"|",AZ$11,"|",$M$5),IuranSYSebelumnya!$I$330:$N$772,5,FALSE),
        IF(COUNTIFS(IuranSYSebelumnya!$J$330:$J$772,$K25,IuranSYSebelumnya!$M$330:$M$772,AZ$11,IuranSYSebelumnya!$L$330:$L$772,"&lt;&gt;"&amp;$M$5)&gt;0,
              "Iuran dari Lingkungan lain",
              ""))</f>
        <v>42522</v>
      </c>
      <c r="BA25" s="47">
        <f>IF(COUNTIFS(IuranSYSebelumnya!$J$330:$J$772,$K25,IuranSYSebelumnya!$M$330:$M$772,BA$11,IuranSYSebelumnya!$L$330:$L$772,$M$5)&gt;0,
        VLOOKUP(CONCATENATE($K25,"|",BA$11,"|",$M$5),IuranSYSebelumnya!$I$330:$N$772,5,FALSE),
        IF(COUNTIFS(IuranSYSebelumnya!$J$330:$J$772,$K25,IuranSYSebelumnya!$M$330:$M$772,BA$11,IuranSYSebelumnya!$L$330:$L$772,"&lt;&gt;"&amp;$M$5)&gt;0,
              "Iuran dari Lingkungan lain",
              ""))</f>
        <v>42552</v>
      </c>
      <c r="BB25" s="47">
        <f>IF(COUNTIFS(IuranSYSebelumnya!$J$330:$J$772,$K25,IuranSYSebelumnya!$M$330:$M$772,BB$11,IuranSYSebelumnya!$L$330:$L$772,$M$5)&gt;0,
        VLOOKUP(CONCATENATE($K25,"|",BB$11,"|",$M$5),IuranSYSebelumnya!$I$330:$N$772,5,FALSE),
        IF(COUNTIFS(IuranSYSebelumnya!$J$330:$J$772,$K25,IuranSYSebelumnya!$M$330:$M$772,BB$11,IuranSYSebelumnya!$L$330:$L$772,"&lt;&gt;"&amp;$M$5)&gt;0,
              "Iuran dari Lingkungan lain",
              ""))</f>
        <v>42583</v>
      </c>
      <c r="BC25" s="47" t="str">
        <f>IF(COUNTIFS(IuranSYSebelumnya!$J$330:$J$772,$K25,IuranSYSebelumnya!$M$330:$M$772,BC$11,IuranSYSebelumnya!$L$330:$L$772,$M$5)&gt;0,
        VLOOKUP(CONCATENATE($K25,"|",BC$11,"|",$M$5),IuranSYSebelumnya!$I$330:$N$772,5,FALSE),
        IF(COUNTIFS(IuranSYSebelumnya!$J$330:$J$772,$K25,IuranSYSebelumnya!$M$330:$M$772,BC$11,IuranSYSebelumnya!$L$330:$L$772,"&lt;&gt;"&amp;$M$5)&gt;0,
              "Iuran dari Lingkungan lain",
              ""))</f>
        <v/>
      </c>
      <c r="BD25" s="47" t="str">
        <f>IF(COUNTIFS(IuranSYSebelumnya!$J$330:$J$772,$K25,IuranSYSebelumnya!$M$330:$M$772,BD$11,IuranSYSebelumnya!$L$330:$L$772,$M$5)&gt;0,
        VLOOKUP(CONCATENATE($K25,"|",BD$11,"|",$M$5),IuranSYSebelumnya!$I$330:$N$772,5,FALSE),
        IF(COUNTIFS(IuranSYSebelumnya!$J$330:$J$772,$K25,IuranSYSebelumnya!$M$330:$M$772,BD$11,IuranSYSebelumnya!$L$330:$L$772,"&lt;&gt;"&amp;$M$5)&gt;0,
              "Iuran dari Lingkungan lain",
              ""))</f>
        <v/>
      </c>
      <c r="BE25" s="47" t="str">
        <f>IF(COUNTIFS(IuranSYSebelumnya!$J$330:$J$772,$K25,IuranSYSebelumnya!$M$330:$M$772,BE$11,IuranSYSebelumnya!$L$330:$L$772,$M$5)&gt;0,
        VLOOKUP(CONCATENATE($K25,"|",BE$11,"|",$M$5),IuranSYSebelumnya!$I$330:$N$772,5,FALSE),
        IF(COUNTIFS(IuranSYSebelumnya!$J$330:$J$772,$K25,IuranSYSebelumnya!$M$330:$M$772,BE$11,IuranSYSebelumnya!$L$330:$L$772,"&lt;&gt;"&amp;$M$5)&gt;0,
              "Iuran dari Lingkungan lain",
              ""))</f>
        <v/>
      </c>
      <c r="BF25" s="47" t="str">
        <f>IF(COUNTIFS(IuranSYSebelumnya!$J$330:$J$772,$K25,IuranSYSebelumnya!$M$330:$M$772,BF$11,IuranSYSebelumnya!$L$330:$L$772,$M$5)&gt;0,
        VLOOKUP(CONCATENATE($K25,"|",BF$11,"|",$M$5),IuranSYSebelumnya!$I$330:$N$772,5,FALSE),
        IF(COUNTIFS(IuranSYSebelumnya!$J$330:$J$772,$K25,IuranSYSebelumnya!$M$330:$M$772,BF$11,IuranSYSebelumnya!$L$330:$L$772,"&lt;&gt;"&amp;$M$5)&gt;0,
              "Iuran dari Lingkungan lain",
              ""))</f>
        <v/>
      </c>
      <c r="BG25" s="47" t="str">
        <f>IF(COUNTIFS(IuranSYSebelumnya!$J$330:$J$772,$K25,IuranSYSebelumnya!$M$330:$M$772,BG$11,IuranSYSebelumnya!$L$330:$L$772,$M$5)&gt;0,
        VLOOKUP(CONCATENATE($K25,"|",BG$11,"|",$M$5),IuranSYSebelumnya!$I$330:$N$772,5,FALSE),
        IF(COUNTIFS(IuranSYSebelumnya!$J$330:$J$772,$K25,IuranSYSebelumnya!$M$330:$M$772,BG$11,IuranSYSebelumnya!$L$330:$L$772,"&lt;&gt;"&amp;$M$5)&gt;0,
              "Iuran dari Lingkungan lain",
              ""))</f>
        <v/>
      </c>
      <c r="BH25" s="47" t="str">
        <f>IF(COUNTIFS(IuranSYSebelumnya!$J$330:$J$772,$K25,IuranSYSebelumnya!$M$330:$M$772,BH$11,IuranSYSebelumnya!$L$330:$L$772,$M$5)&gt;0,
        VLOOKUP(CONCATENATE($K25,"|",BH$11,"|",$M$5),IuranSYSebelumnya!$I$330:$N$772,5,FALSE),
        IF(COUNTIFS(IuranSYSebelumnya!$J$330:$J$772,$K25,IuranSYSebelumnya!$M$330:$M$772,BH$11,IuranSYSebelumnya!$L$330:$L$772,"&lt;&gt;"&amp;$M$5)&gt;0,
              "Iuran dari Lingkungan lain",
              ""))</f>
        <v/>
      </c>
      <c r="BI25" s="47" t="str">
        <f>IF(COUNTIFS(IuranSYSebelumnya!$J$330:$J$772,$K25,IuranSYSebelumnya!$M$330:$M$772,BI$11,IuranSYSebelumnya!$L$330:$L$772,$M$5)&gt;0,
        VLOOKUP(CONCATENATE($K25,"|",BI$11,"|",$M$5),IuranSYSebelumnya!$I$330:$N$772,5,FALSE),
        IF(COUNTIFS(IuranSYSebelumnya!$J$330:$J$772,$K25,IuranSYSebelumnya!$M$330:$M$772,BI$11,IuranSYSebelumnya!$L$330:$L$772,"&lt;&gt;"&amp;$M$5)&gt;0,
              "Iuran dari Lingkungan lain",
              ""))</f>
        <v/>
      </c>
      <c r="BJ25" s="47" t="str">
        <f>IF(COUNTIFS(IuranSYSebelumnya!$J$330:$J$772,$K25,IuranSYSebelumnya!$M$330:$M$772,BJ$11,IuranSYSebelumnya!$L$330:$L$772,$M$5)&gt;0,
        VLOOKUP(CONCATENATE($K25,"|",BJ$11,"|",$M$5),IuranSYSebelumnya!$I$330:$N$772,5,FALSE),
        IF(COUNTIFS(IuranSYSebelumnya!$J$330:$J$772,$K25,IuranSYSebelumnya!$M$330:$M$772,BJ$11,IuranSYSebelumnya!$L$330:$L$772,"&lt;&gt;"&amp;$M$5)&gt;0,
              "Iuran dari Lingkungan lain",
              ""))</f>
        <v/>
      </c>
      <c r="BK25" s="47" t="str">
        <f>IF(COUNTIFS(IuranSYSebelumnya!$J$330:$J$772,$K25,IuranSYSebelumnya!$M$330:$M$772,BK$11,IuranSYSebelumnya!$L$330:$L$772,$M$5)&gt;0,
        VLOOKUP(CONCATENATE($K25,"|",BK$11,"|",$M$5),IuranSYSebelumnya!$I$330:$N$772,5,FALSE),
        IF(COUNTIFS(IuranSYSebelumnya!$J$330:$J$772,$K25,IuranSYSebelumnya!$M$330:$M$772,BK$11,IuranSYSebelumnya!$L$330:$L$772,"&lt;&gt;"&amp;$M$5)&gt;0,
              "Iuran dari Lingkungan lain",
              ""))</f>
        <v/>
      </c>
      <c r="BL25" s="47" t="str">
        <f>IF(COUNTIFS(IuranSYSebelumnya!$J$330:$J$772,$K25,IuranSYSebelumnya!$M$330:$M$772,BL$11,IuranSYSebelumnya!$L$330:$L$772,$M$5)&gt;0,
        VLOOKUP(CONCATENATE($K25,"|",BL$11,"|",$M$5),IuranSYSebelumnya!$I$330:$N$772,5,FALSE),
        IF(COUNTIFS(IuranSYSebelumnya!$J$330:$J$772,$K25,IuranSYSebelumnya!$M$330:$M$772,BL$11,IuranSYSebelumnya!$L$330:$L$772,"&lt;&gt;"&amp;$M$5)&gt;0,
              "Iuran dari Lingkungan lain",
              ""))</f>
        <v/>
      </c>
    </row>
    <row r="26" spans="1:64" x14ac:dyDescent="0.35">
      <c r="A26" s="30" t="s">
        <v>6063</v>
      </c>
      <c r="C26" s="30" t="b">
        <f t="shared" ca="1" si="3"/>
        <v>0</v>
      </c>
      <c r="D26" s="30" t="str">
        <f>"""TRUST Nav"",""HSPMTB2016"",""18"",""1"",""KK-04605"""</f>
        <v>"TRUST Nav","HSPMTB2016","18","1","KK-04605"</v>
      </c>
      <c r="H26" s="30">
        <f t="shared" si="4"/>
        <v>0</v>
      </c>
      <c r="J26" s="30">
        <f t="shared" si="5"/>
        <v>14</v>
      </c>
      <c r="K26" s="30" t="str">
        <f>"KK-04605"</f>
        <v>KK-04605</v>
      </c>
      <c r="L26" s="30" t="str">
        <f>"Handoyo Krismanto"</f>
        <v>Handoyo Krismanto</v>
      </c>
      <c r="M26" s="30"/>
      <c r="N26" s="129"/>
      <c r="O26" s="129"/>
      <c r="P26" s="129"/>
      <c r="Q26" s="129"/>
      <c r="R26" s="129"/>
      <c r="S26" s="129"/>
      <c r="T26" s="130"/>
      <c r="U26" s="131"/>
      <c r="V26" s="131"/>
      <c r="W26" s="4"/>
      <c r="X26" s="4"/>
      <c r="Y26" s="15"/>
      <c r="Z26" s="4"/>
      <c r="AA26" s="4"/>
      <c r="AB26" s="4"/>
      <c r="AC26" s="4"/>
      <c r="AD26" s="4"/>
      <c r="AE26" s="4"/>
      <c r="AF26" s="11"/>
      <c r="AG26" s="4"/>
      <c r="AH26" s="4"/>
      <c r="AI26" s="4"/>
      <c r="AJ26" s="4"/>
      <c r="AK26" s="4"/>
      <c r="AL26" s="9">
        <f t="shared" si="6"/>
        <v>0</v>
      </c>
      <c r="AO26" s="47">
        <f>IF(COUNTIFS(IuranSYSebelumnya!$J$330:$J$772,$K26,IuranSYSebelumnya!$M$330:$M$772,AO$11,IuranSYSebelumnya!$L$330:$L$772,$M$5)&gt;0,
        VLOOKUP(CONCATENATE($K26,"|",AO$11,"|",$M$5),IuranSYSebelumnya!$I$330:$N$772,5,FALSE),
        IF(COUNTIFS(IuranSYSebelumnya!$J$330:$J$772,$K26,IuranSYSebelumnya!$M$330:$M$772,AO$11,IuranSYSebelumnya!$L$330:$L$772,"&lt;&gt;"&amp;$M$5)&gt;0,
              "Iuran dari Lingkungan lain",
              ""))</f>
        <v>42186</v>
      </c>
      <c r="AP26" s="47">
        <f>IF(COUNTIFS(IuranSYSebelumnya!$J$330:$J$772,$K26,IuranSYSebelumnya!$M$330:$M$772,AP$11,IuranSYSebelumnya!$L$330:$L$772,$M$5)&gt;0,
        VLOOKUP(CONCATENATE($K26,"|",AP$11,"|",$M$5),IuranSYSebelumnya!$I$330:$N$772,5,FALSE),
        IF(COUNTIFS(IuranSYSebelumnya!$J$330:$J$772,$K26,IuranSYSebelumnya!$M$330:$M$772,AP$11,IuranSYSebelumnya!$L$330:$L$772,"&lt;&gt;"&amp;$M$5)&gt;0,
              "Iuran dari Lingkungan lain",
              ""))</f>
        <v>42217</v>
      </c>
      <c r="AQ26" s="47">
        <f>IF(COUNTIFS(IuranSYSebelumnya!$J$330:$J$772,$K26,IuranSYSebelumnya!$M$330:$M$772,AQ$11,IuranSYSebelumnya!$L$330:$L$772,$M$5)&gt;0,
        VLOOKUP(CONCATENATE($K26,"|",AQ$11,"|",$M$5),IuranSYSebelumnya!$I$330:$N$772,5,FALSE),
        IF(COUNTIFS(IuranSYSebelumnya!$J$330:$J$772,$K26,IuranSYSebelumnya!$M$330:$M$772,AQ$11,IuranSYSebelumnya!$L$330:$L$772,"&lt;&gt;"&amp;$M$5)&gt;0,
              "Iuran dari Lingkungan lain",
              ""))</f>
        <v>42248</v>
      </c>
      <c r="AR26" s="47">
        <f>IF(COUNTIFS(IuranSYSebelumnya!$J$330:$J$772,$K26,IuranSYSebelumnya!$M$330:$M$772,AR$11,IuranSYSebelumnya!$L$330:$L$772,$M$5)&gt;0,
        VLOOKUP(CONCATENATE($K26,"|",AR$11,"|",$M$5),IuranSYSebelumnya!$I$330:$N$772,5,FALSE),
        IF(COUNTIFS(IuranSYSebelumnya!$J$330:$J$772,$K26,IuranSYSebelumnya!$M$330:$M$772,AR$11,IuranSYSebelumnya!$L$330:$L$772,"&lt;&gt;"&amp;$M$5)&gt;0,
              "Iuran dari Lingkungan lain",
              ""))</f>
        <v>42278</v>
      </c>
      <c r="AS26" s="47">
        <f>IF(COUNTIFS(IuranSYSebelumnya!$J$330:$J$772,$K26,IuranSYSebelumnya!$M$330:$M$772,AS$11,IuranSYSebelumnya!$L$330:$L$772,$M$5)&gt;0,
        VLOOKUP(CONCATENATE($K26,"|",AS$11,"|",$M$5),IuranSYSebelumnya!$I$330:$N$772,5,FALSE),
        IF(COUNTIFS(IuranSYSebelumnya!$J$330:$J$772,$K26,IuranSYSebelumnya!$M$330:$M$772,AS$11,IuranSYSebelumnya!$L$330:$L$772,"&lt;&gt;"&amp;$M$5)&gt;0,
              "Iuran dari Lingkungan lain",
              ""))</f>
        <v>42309</v>
      </c>
      <c r="AT26" s="47">
        <f>IF(COUNTIFS(IuranSYSebelumnya!$J$330:$J$772,$K26,IuranSYSebelumnya!$M$330:$M$772,AT$11,IuranSYSebelumnya!$L$330:$L$772,$M$5)&gt;0,
        VLOOKUP(CONCATENATE($K26,"|",AT$11,"|",$M$5),IuranSYSebelumnya!$I$330:$N$772,5,FALSE),
        IF(COUNTIFS(IuranSYSebelumnya!$J$330:$J$772,$K26,IuranSYSebelumnya!$M$330:$M$772,AT$11,IuranSYSebelumnya!$L$330:$L$772,"&lt;&gt;"&amp;$M$5)&gt;0,
              "Iuran dari Lingkungan lain",
              ""))</f>
        <v>42339</v>
      </c>
      <c r="AU26" s="47">
        <f>IF(COUNTIFS(IuranSYSebelumnya!$J$330:$J$772,$K26,IuranSYSebelumnya!$M$330:$M$772,AU$11,IuranSYSebelumnya!$L$330:$L$772,$M$5)&gt;0,
        VLOOKUP(CONCATENATE($K26,"|",AU$11,"|",$M$5),IuranSYSebelumnya!$I$330:$N$772,5,FALSE),
        IF(COUNTIFS(IuranSYSebelumnya!$J$330:$J$772,$K26,IuranSYSebelumnya!$M$330:$M$772,AU$11,IuranSYSebelumnya!$L$330:$L$772,"&lt;&gt;"&amp;$M$5)&gt;0,
              "Iuran dari Lingkungan lain",
              ""))</f>
        <v>42370</v>
      </c>
      <c r="AV26" s="47">
        <f>IF(COUNTIFS(IuranSYSebelumnya!$J$330:$J$772,$K26,IuranSYSebelumnya!$M$330:$M$772,AV$11,IuranSYSebelumnya!$L$330:$L$772,$M$5)&gt;0,
        VLOOKUP(CONCATENATE($K26,"|",AV$11,"|",$M$5),IuranSYSebelumnya!$I$330:$N$772,5,FALSE),
        IF(COUNTIFS(IuranSYSebelumnya!$J$330:$J$772,$K26,IuranSYSebelumnya!$M$330:$M$772,AV$11,IuranSYSebelumnya!$L$330:$L$772,"&lt;&gt;"&amp;$M$5)&gt;0,
              "Iuran dari Lingkungan lain",
              ""))</f>
        <v>42401</v>
      </c>
      <c r="AW26" s="47">
        <f>IF(COUNTIFS(IuranSYSebelumnya!$J$330:$J$772,$K26,IuranSYSebelumnya!$M$330:$M$772,AW$11,IuranSYSebelumnya!$L$330:$L$772,$M$5)&gt;0,
        VLOOKUP(CONCATENATE($K26,"|",AW$11,"|",$M$5),IuranSYSebelumnya!$I$330:$N$772,5,FALSE),
        IF(COUNTIFS(IuranSYSebelumnya!$J$330:$J$772,$K26,IuranSYSebelumnya!$M$330:$M$772,AW$11,IuranSYSebelumnya!$L$330:$L$772,"&lt;&gt;"&amp;$M$5)&gt;0,
              "Iuran dari Lingkungan lain",
              ""))</f>
        <v>42430</v>
      </c>
      <c r="AX26" s="47" t="str">
        <f>IF(COUNTIFS(IuranSYSebelumnya!$J$330:$J$772,$K26,IuranSYSebelumnya!$M$330:$M$772,AX$11,IuranSYSebelumnya!$L$330:$L$772,$M$5)&gt;0,
        VLOOKUP(CONCATENATE($K26,"|",AX$11,"|",$M$5),IuranSYSebelumnya!$I$330:$N$772,5,FALSE),
        IF(COUNTIFS(IuranSYSebelumnya!$J$330:$J$772,$K26,IuranSYSebelumnya!$M$330:$M$772,AX$11,IuranSYSebelumnya!$L$330:$L$772,"&lt;&gt;"&amp;$M$5)&gt;0,
              "Iuran dari Lingkungan lain",
              ""))</f>
        <v/>
      </c>
      <c r="AY26" s="47" t="str">
        <f>IF(COUNTIFS(IuranSYSebelumnya!$J$330:$J$772,$K26,IuranSYSebelumnya!$M$330:$M$772,AY$11,IuranSYSebelumnya!$L$330:$L$772,$M$5)&gt;0,
        VLOOKUP(CONCATENATE($K26,"|",AY$11,"|",$M$5),IuranSYSebelumnya!$I$330:$N$772,5,FALSE),
        IF(COUNTIFS(IuranSYSebelumnya!$J$330:$J$772,$K26,IuranSYSebelumnya!$M$330:$M$772,AY$11,IuranSYSebelumnya!$L$330:$L$772,"&lt;&gt;"&amp;$M$5)&gt;0,
              "Iuran dari Lingkungan lain",
              ""))</f>
        <v/>
      </c>
      <c r="AZ26" s="47" t="str">
        <f>IF(COUNTIFS(IuranSYSebelumnya!$J$330:$J$772,$K26,IuranSYSebelumnya!$M$330:$M$772,AZ$11,IuranSYSebelumnya!$L$330:$L$772,$M$5)&gt;0,
        VLOOKUP(CONCATENATE($K26,"|",AZ$11,"|",$M$5),IuranSYSebelumnya!$I$330:$N$772,5,FALSE),
        IF(COUNTIFS(IuranSYSebelumnya!$J$330:$J$772,$K26,IuranSYSebelumnya!$M$330:$M$772,AZ$11,IuranSYSebelumnya!$L$330:$L$772,"&lt;&gt;"&amp;$M$5)&gt;0,
              "Iuran dari Lingkungan lain",
              ""))</f>
        <v/>
      </c>
      <c r="BA26" s="47" t="str">
        <f>IF(COUNTIFS(IuranSYSebelumnya!$J$330:$J$772,$K26,IuranSYSebelumnya!$M$330:$M$772,BA$11,IuranSYSebelumnya!$L$330:$L$772,$M$5)&gt;0,
        VLOOKUP(CONCATENATE($K26,"|",BA$11,"|",$M$5),IuranSYSebelumnya!$I$330:$N$772,5,FALSE),
        IF(COUNTIFS(IuranSYSebelumnya!$J$330:$J$772,$K26,IuranSYSebelumnya!$M$330:$M$772,BA$11,IuranSYSebelumnya!$L$330:$L$772,"&lt;&gt;"&amp;$M$5)&gt;0,
              "Iuran dari Lingkungan lain",
              ""))</f>
        <v/>
      </c>
      <c r="BB26" s="47" t="str">
        <f>IF(COUNTIFS(IuranSYSebelumnya!$J$330:$J$772,$K26,IuranSYSebelumnya!$M$330:$M$772,BB$11,IuranSYSebelumnya!$L$330:$L$772,$M$5)&gt;0,
        VLOOKUP(CONCATENATE($K26,"|",BB$11,"|",$M$5),IuranSYSebelumnya!$I$330:$N$772,5,FALSE),
        IF(COUNTIFS(IuranSYSebelumnya!$J$330:$J$772,$K26,IuranSYSebelumnya!$M$330:$M$772,BB$11,IuranSYSebelumnya!$L$330:$L$772,"&lt;&gt;"&amp;$M$5)&gt;0,
              "Iuran dari Lingkungan lain",
              ""))</f>
        <v/>
      </c>
      <c r="BC26" s="47" t="str">
        <f>IF(COUNTIFS(IuranSYSebelumnya!$J$330:$J$772,$K26,IuranSYSebelumnya!$M$330:$M$772,BC$11,IuranSYSebelumnya!$L$330:$L$772,$M$5)&gt;0,
        VLOOKUP(CONCATENATE($K26,"|",BC$11,"|",$M$5),IuranSYSebelumnya!$I$330:$N$772,5,FALSE),
        IF(COUNTIFS(IuranSYSebelumnya!$J$330:$J$772,$K26,IuranSYSebelumnya!$M$330:$M$772,BC$11,IuranSYSebelumnya!$L$330:$L$772,"&lt;&gt;"&amp;$M$5)&gt;0,
              "Iuran dari Lingkungan lain",
              ""))</f>
        <v/>
      </c>
      <c r="BD26" s="47" t="str">
        <f>IF(COUNTIFS(IuranSYSebelumnya!$J$330:$J$772,$K26,IuranSYSebelumnya!$M$330:$M$772,BD$11,IuranSYSebelumnya!$L$330:$L$772,$M$5)&gt;0,
        VLOOKUP(CONCATENATE($K26,"|",BD$11,"|",$M$5),IuranSYSebelumnya!$I$330:$N$772,5,FALSE),
        IF(COUNTIFS(IuranSYSebelumnya!$J$330:$J$772,$K26,IuranSYSebelumnya!$M$330:$M$772,BD$11,IuranSYSebelumnya!$L$330:$L$772,"&lt;&gt;"&amp;$M$5)&gt;0,
              "Iuran dari Lingkungan lain",
              ""))</f>
        <v/>
      </c>
      <c r="BE26" s="47" t="str">
        <f>IF(COUNTIFS(IuranSYSebelumnya!$J$330:$J$772,$K26,IuranSYSebelumnya!$M$330:$M$772,BE$11,IuranSYSebelumnya!$L$330:$L$772,$M$5)&gt;0,
        VLOOKUP(CONCATENATE($K26,"|",BE$11,"|",$M$5),IuranSYSebelumnya!$I$330:$N$772,5,FALSE),
        IF(COUNTIFS(IuranSYSebelumnya!$J$330:$J$772,$K26,IuranSYSebelumnya!$M$330:$M$772,BE$11,IuranSYSebelumnya!$L$330:$L$772,"&lt;&gt;"&amp;$M$5)&gt;0,
              "Iuran dari Lingkungan lain",
              ""))</f>
        <v/>
      </c>
      <c r="BF26" s="47" t="str">
        <f>IF(COUNTIFS(IuranSYSebelumnya!$J$330:$J$772,$K26,IuranSYSebelumnya!$M$330:$M$772,BF$11,IuranSYSebelumnya!$L$330:$L$772,$M$5)&gt;0,
        VLOOKUP(CONCATENATE($K26,"|",BF$11,"|",$M$5),IuranSYSebelumnya!$I$330:$N$772,5,FALSE),
        IF(COUNTIFS(IuranSYSebelumnya!$J$330:$J$772,$K26,IuranSYSebelumnya!$M$330:$M$772,BF$11,IuranSYSebelumnya!$L$330:$L$772,"&lt;&gt;"&amp;$M$5)&gt;0,
              "Iuran dari Lingkungan lain",
              ""))</f>
        <v/>
      </c>
      <c r="BG26" s="47" t="str">
        <f>IF(COUNTIFS(IuranSYSebelumnya!$J$330:$J$772,$K26,IuranSYSebelumnya!$M$330:$M$772,BG$11,IuranSYSebelumnya!$L$330:$L$772,$M$5)&gt;0,
        VLOOKUP(CONCATENATE($K26,"|",BG$11,"|",$M$5),IuranSYSebelumnya!$I$330:$N$772,5,FALSE),
        IF(COUNTIFS(IuranSYSebelumnya!$J$330:$J$772,$K26,IuranSYSebelumnya!$M$330:$M$772,BG$11,IuranSYSebelumnya!$L$330:$L$772,"&lt;&gt;"&amp;$M$5)&gt;0,
              "Iuran dari Lingkungan lain",
              ""))</f>
        <v/>
      </c>
      <c r="BH26" s="47" t="str">
        <f>IF(COUNTIFS(IuranSYSebelumnya!$J$330:$J$772,$K26,IuranSYSebelumnya!$M$330:$M$772,BH$11,IuranSYSebelumnya!$L$330:$L$772,$M$5)&gt;0,
        VLOOKUP(CONCATENATE($K26,"|",BH$11,"|",$M$5),IuranSYSebelumnya!$I$330:$N$772,5,FALSE),
        IF(COUNTIFS(IuranSYSebelumnya!$J$330:$J$772,$K26,IuranSYSebelumnya!$M$330:$M$772,BH$11,IuranSYSebelumnya!$L$330:$L$772,"&lt;&gt;"&amp;$M$5)&gt;0,
              "Iuran dari Lingkungan lain",
              ""))</f>
        <v/>
      </c>
      <c r="BI26" s="47" t="str">
        <f>IF(COUNTIFS(IuranSYSebelumnya!$J$330:$J$772,$K26,IuranSYSebelumnya!$M$330:$M$772,BI$11,IuranSYSebelumnya!$L$330:$L$772,$M$5)&gt;0,
        VLOOKUP(CONCATENATE($K26,"|",BI$11,"|",$M$5),IuranSYSebelumnya!$I$330:$N$772,5,FALSE),
        IF(COUNTIFS(IuranSYSebelumnya!$J$330:$J$772,$K26,IuranSYSebelumnya!$M$330:$M$772,BI$11,IuranSYSebelumnya!$L$330:$L$772,"&lt;&gt;"&amp;$M$5)&gt;0,
              "Iuran dari Lingkungan lain",
              ""))</f>
        <v/>
      </c>
      <c r="BJ26" s="47" t="str">
        <f>IF(COUNTIFS(IuranSYSebelumnya!$J$330:$J$772,$K26,IuranSYSebelumnya!$M$330:$M$772,BJ$11,IuranSYSebelumnya!$L$330:$L$772,$M$5)&gt;0,
        VLOOKUP(CONCATENATE($K26,"|",BJ$11,"|",$M$5),IuranSYSebelumnya!$I$330:$N$772,5,FALSE),
        IF(COUNTIFS(IuranSYSebelumnya!$J$330:$J$772,$K26,IuranSYSebelumnya!$M$330:$M$772,BJ$11,IuranSYSebelumnya!$L$330:$L$772,"&lt;&gt;"&amp;$M$5)&gt;0,
              "Iuran dari Lingkungan lain",
              ""))</f>
        <v/>
      </c>
      <c r="BK26" s="47" t="str">
        <f>IF(COUNTIFS(IuranSYSebelumnya!$J$330:$J$772,$K26,IuranSYSebelumnya!$M$330:$M$772,BK$11,IuranSYSebelumnya!$L$330:$L$772,$M$5)&gt;0,
        VLOOKUP(CONCATENATE($K26,"|",BK$11,"|",$M$5),IuranSYSebelumnya!$I$330:$N$772,5,FALSE),
        IF(COUNTIFS(IuranSYSebelumnya!$J$330:$J$772,$K26,IuranSYSebelumnya!$M$330:$M$772,BK$11,IuranSYSebelumnya!$L$330:$L$772,"&lt;&gt;"&amp;$M$5)&gt;0,
              "Iuran dari Lingkungan lain",
              ""))</f>
        <v/>
      </c>
      <c r="BL26" s="47" t="str">
        <f>IF(COUNTIFS(IuranSYSebelumnya!$J$330:$J$772,$K26,IuranSYSebelumnya!$M$330:$M$772,BL$11,IuranSYSebelumnya!$L$330:$L$772,$M$5)&gt;0,
        VLOOKUP(CONCATENATE($K26,"|",BL$11,"|",$M$5),IuranSYSebelumnya!$I$330:$N$772,5,FALSE),
        IF(COUNTIFS(IuranSYSebelumnya!$J$330:$J$772,$K26,IuranSYSebelumnya!$M$330:$M$772,BL$11,IuranSYSebelumnya!$L$330:$L$772,"&lt;&gt;"&amp;$M$5)&gt;0,
              "Iuran dari Lingkungan lain",
              ""))</f>
        <v/>
      </c>
    </row>
    <row r="27" spans="1:64" x14ac:dyDescent="0.35">
      <c r="A27" s="30" t="s">
        <v>6063</v>
      </c>
      <c r="C27" s="30" t="b">
        <f t="shared" ca="1" si="3"/>
        <v>0</v>
      </c>
      <c r="D27" s="30" t="str">
        <f>"""TRUST Nav"",""HSPMTB2016"",""18"",""1"",""KK-04606"""</f>
        <v>"TRUST Nav","HSPMTB2016","18","1","KK-04606"</v>
      </c>
      <c r="H27" s="30">
        <f t="shared" si="4"/>
        <v>0</v>
      </c>
      <c r="J27" s="30">
        <f t="shared" si="5"/>
        <v>15</v>
      </c>
      <c r="K27" s="30" t="str">
        <f>"KK-04606"</f>
        <v>KK-04606</v>
      </c>
      <c r="L27" s="30" t="str">
        <f>"Hendra Kurniawan"</f>
        <v>Hendra Kurniawan</v>
      </c>
      <c r="M27" s="30"/>
      <c r="N27" s="129"/>
      <c r="O27" s="129"/>
      <c r="P27" s="129"/>
      <c r="Q27" s="129"/>
      <c r="R27" s="129"/>
      <c r="S27" s="129"/>
      <c r="T27" s="130"/>
      <c r="U27" s="131"/>
      <c r="V27" s="131"/>
      <c r="W27" s="131"/>
      <c r="X27" s="131"/>
      <c r="Y27" s="132"/>
      <c r="Z27" s="4"/>
      <c r="AA27" s="4"/>
      <c r="AB27" s="4"/>
      <c r="AC27" s="4"/>
      <c r="AD27" s="4"/>
      <c r="AE27" s="4"/>
      <c r="AF27" s="11"/>
      <c r="AG27" s="4"/>
      <c r="AH27" s="4"/>
      <c r="AI27" s="4"/>
      <c r="AJ27" s="4"/>
      <c r="AK27" s="4"/>
      <c r="AL27" s="9">
        <f t="shared" si="6"/>
        <v>0</v>
      </c>
      <c r="AO27" s="47">
        <f>IF(COUNTIFS(IuranSYSebelumnya!$J$330:$J$772,$K27,IuranSYSebelumnya!$M$330:$M$772,AO$11,IuranSYSebelumnya!$L$330:$L$772,$M$5)&gt;0,
        VLOOKUP(CONCATENATE($K27,"|",AO$11,"|",$M$5),IuranSYSebelumnya!$I$330:$N$772,5,FALSE),
        IF(COUNTIFS(IuranSYSebelumnya!$J$330:$J$772,$K27,IuranSYSebelumnya!$M$330:$M$772,AO$11,IuranSYSebelumnya!$L$330:$L$772,"&lt;&gt;"&amp;$M$5)&gt;0,
              "Iuran dari Lingkungan lain",
              ""))</f>
        <v>42186</v>
      </c>
      <c r="AP27" s="47">
        <f>IF(COUNTIFS(IuranSYSebelumnya!$J$330:$J$772,$K27,IuranSYSebelumnya!$M$330:$M$772,AP$11,IuranSYSebelumnya!$L$330:$L$772,$M$5)&gt;0,
        VLOOKUP(CONCATENATE($K27,"|",AP$11,"|",$M$5),IuranSYSebelumnya!$I$330:$N$772,5,FALSE),
        IF(COUNTIFS(IuranSYSebelumnya!$J$330:$J$772,$K27,IuranSYSebelumnya!$M$330:$M$772,AP$11,IuranSYSebelumnya!$L$330:$L$772,"&lt;&gt;"&amp;$M$5)&gt;0,
              "Iuran dari Lingkungan lain",
              ""))</f>
        <v>42217</v>
      </c>
      <c r="AQ27" s="47">
        <f>IF(COUNTIFS(IuranSYSebelumnya!$J$330:$J$772,$K27,IuranSYSebelumnya!$M$330:$M$772,AQ$11,IuranSYSebelumnya!$L$330:$L$772,$M$5)&gt;0,
        VLOOKUP(CONCATENATE($K27,"|",AQ$11,"|",$M$5),IuranSYSebelumnya!$I$330:$N$772,5,FALSE),
        IF(COUNTIFS(IuranSYSebelumnya!$J$330:$J$772,$K27,IuranSYSebelumnya!$M$330:$M$772,AQ$11,IuranSYSebelumnya!$L$330:$L$772,"&lt;&gt;"&amp;$M$5)&gt;0,
              "Iuran dari Lingkungan lain",
              ""))</f>
        <v>42248</v>
      </c>
      <c r="AR27" s="47">
        <f>IF(COUNTIFS(IuranSYSebelumnya!$J$330:$J$772,$K27,IuranSYSebelumnya!$M$330:$M$772,AR$11,IuranSYSebelumnya!$L$330:$L$772,$M$5)&gt;0,
        VLOOKUP(CONCATENATE($K27,"|",AR$11,"|",$M$5),IuranSYSebelumnya!$I$330:$N$772,5,FALSE),
        IF(COUNTIFS(IuranSYSebelumnya!$J$330:$J$772,$K27,IuranSYSebelumnya!$M$330:$M$772,AR$11,IuranSYSebelumnya!$L$330:$L$772,"&lt;&gt;"&amp;$M$5)&gt;0,
              "Iuran dari Lingkungan lain",
              ""))</f>
        <v>42278</v>
      </c>
      <c r="AS27" s="47">
        <f>IF(COUNTIFS(IuranSYSebelumnya!$J$330:$J$772,$K27,IuranSYSebelumnya!$M$330:$M$772,AS$11,IuranSYSebelumnya!$L$330:$L$772,$M$5)&gt;0,
        VLOOKUP(CONCATENATE($K27,"|",AS$11,"|",$M$5),IuranSYSebelumnya!$I$330:$N$772,5,FALSE),
        IF(COUNTIFS(IuranSYSebelumnya!$J$330:$J$772,$K27,IuranSYSebelumnya!$M$330:$M$772,AS$11,IuranSYSebelumnya!$L$330:$L$772,"&lt;&gt;"&amp;$M$5)&gt;0,
              "Iuran dari Lingkungan lain",
              ""))</f>
        <v>42309</v>
      </c>
      <c r="AT27" s="47">
        <f>IF(COUNTIFS(IuranSYSebelumnya!$J$330:$J$772,$K27,IuranSYSebelumnya!$M$330:$M$772,AT$11,IuranSYSebelumnya!$L$330:$L$772,$M$5)&gt;0,
        VLOOKUP(CONCATENATE($K27,"|",AT$11,"|",$M$5),IuranSYSebelumnya!$I$330:$N$772,5,FALSE),
        IF(COUNTIFS(IuranSYSebelumnya!$J$330:$J$772,$K27,IuranSYSebelumnya!$M$330:$M$772,AT$11,IuranSYSebelumnya!$L$330:$L$772,"&lt;&gt;"&amp;$M$5)&gt;0,
              "Iuran dari Lingkungan lain",
              ""))</f>
        <v>42339</v>
      </c>
      <c r="AU27" s="47">
        <f>IF(COUNTIFS(IuranSYSebelumnya!$J$330:$J$772,$K27,IuranSYSebelumnya!$M$330:$M$772,AU$11,IuranSYSebelumnya!$L$330:$L$772,$M$5)&gt;0,
        VLOOKUP(CONCATENATE($K27,"|",AU$11,"|",$M$5),IuranSYSebelumnya!$I$330:$N$772,5,FALSE),
        IF(COUNTIFS(IuranSYSebelumnya!$J$330:$J$772,$K27,IuranSYSebelumnya!$M$330:$M$772,AU$11,IuranSYSebelumnya!$L$330:$L$772,"&lt;&gt;"&amp;$M$5)&gt;0,
              "Iuran dari Lingkungan lain",
              ""))</f>
        <v>42370</v>
      </c>
      <c r="AV27" s="47">
        <f>IF(COUNTIFS(IuranSYSebelumnya!$J$330:$J$772,$K27,IuranSYSebelumnya!$M$330:$M$772,AV$11,IuranSYSebelumnya!$L$330:$L$772,$M$5)&gt;0,
        VLOOKUP(CONCATENATE($K27,"|",AV$11,"|",$M$5),IuranSYSebelumnya!$I$330:$N$772,5,FALSE),
        IF(COUNTIFS(IuranSYSebelumnya!$J$330:$J$772,$K27,IuranSYSebelumnya!$M$330:$M$772,AV$11,IuranSYSebelumnya!$L$330:$L$772,"&lt;&gt;"&amp;$M$5)&gt;0,
              "Iuran dari Lingkungan lain",
              ""))</f>
        <v>42401</v>
      </c>
      <c r="AW27" s="47">
        <f>IF(COUNTIFS(IuranSYSebelumnya!$J$330:$J$772,$K27,IuranSYSebelumnya!$M$330:$M$772,AW$11,IuranSYSebelumnya!$L$330:$L$772,$M$5)&gt;0,
        VLOOKUP(CONCATENATE($K27,"|",AW$11,"|",$M$5),IuranSYSebelumnya!$I$330:$N$772,5,FALSE),
        IF(COUNTIFS(IuranSYSebelumnya!$J$330:$J$772,$K27,IuranSYSebelumnya!$M$330:$M$772,AW$11,IuranSYSebelumnya!$L$330:$L$772,"&lt;&gt;"&amp;$M$5)&gt;0,
              "Iuran dari Lingkungan lain",
              ""))</f>
        <v>42430</v>
      </c>
      <c r="AX27" s="47">
        <f>IF(COUNTIFS(IuranSYSebelumnya!$J$330:$J$772,$K27,IuranSYSebelumnya!$M$330:$M$772,AX$11,IuranSYSebelumnya!$L$330:$L$772,$M$5)&gt;0,
        VLOOKUP(CONCATENATE($K27,"|",AX$11,"|",$M$5),IuranSYSebelumnya!$I$330:$N$772,5,FALSE),
        IF(COUNTIFS(IuranSYSebelumnya!$J$330:$J$772,$K27,IuranSYSebelumnya!$M$330:$M$772,AX$11,IuranSYSebelumnya!$L$330:$L$772,"&lt;&gt;"&amp;$M$5)&gt;0,
              "Iuran dari Lingkungan lain",
              ""))</f>
        <v>42461</v>
      </c>
      <c r="AY27" s="47">
        <f>IF(COUNTIFS(IuranSYSebelumnya!$J$330:$J$772,$K27,IuranSYSebelumnya!$M$330:$M$772,AY$11,IuranSYSebelumnya!$L$330:$L$772,$M$5)&gt;0,
        VLOOKUP(CONCATENATE($K27,"|",AY$11,"|",$M$5),IuranSYSebelumnya!$I$330:$N$772,5,FALSE),
        IF(COUNTIFS(IuranSYSebelumnya!$J$330:$J$772,$K27,IuranSYSebelumnya!$M$330:$M$772,AY$11,IuranSYSebelumnya!$L$330:$L$772,"&lt;&gt;"&amp;$M$5)&gt;0,
              "Iuran dari Lingkungan lain",
              ""))</f>
        <v>42491</v>
      </c>
      <c r="AZ27" s="47">
        <f>IF(COUNTIFS(IuranSYSebelumnya!$J$330:$J$772,$K27,IuranSYSebelumnya!$M$330:$M$772,AZ$11,IuranSYSebelumnya!$L$330:$L$772,$M$5)&gt;0,
        VLOOKUP(CONCATENATE($K27,"|",AZ$11,"|",$M$5),IuranSYSebelumnya!$I$330:$N$772,5,FALSE),
        IF(COUNTIFS(IuranSYSebelumnya!$J$330:$J$772,$K27,IuranSYSebelumnya!$M$330:$M$772,AZ$11,IuranSYSebelumnya!$L$330:$L$772,"&lt;&gt;"&amp;$M$5)&gt;0,
              "Iuran dari Lingkungan lain",
              ""))</f>
        <v>42522</v>
      </c>
      <c r="BA27" s="47" t="str">
        <f>IF(COUNTIFS(IuranSYSebelumnya!$J$330:$J$772,$K27,IuranSYSebelumnya!$M$330:$M$772,BA$11,IuranSYSebelumnya!$L$330:$L$772,$M$5)&gt;0,
        VLOOKUP(CONCATENATE($K27,"|",BA$11,"|",$M$5),IuranSYSebelumnya!$I$330:$N$772,5,FALSE),
        IF(COUNTIFS(IuranSYSebelumnya!$J$330:$J$772,$K27,IuranSYSebelumnya!$M$330:$M$772,BA$11,IuranSYSebelumnya!$L$330:$L$772,"&lt;&gt;"&amp;$M$5)&gt;0,
              "Iuran dari Lingkungan lain",
              ""))</f>
        <v/>
      </c>
      <c r="BB27" s="47" t="str">
        <f>IF(COUNTIFS(IuranSYSebelumnya!$J$330:$J$772,$K27,IuranSYSebelumnya!$M$330:$M$772,BB$11,IuranSYSebelumnya!$L$330:$L$772,$M$5)&gt;0,
        VLOOKUP(CONCATENATE($K27,"|",BB$11,"|",$M$5),IuranSYSebelumnya!$I$330:$N$772,5,FALSE),
        IF(COUNTIFS(IuranSYSebelumnya!$J$330:$J$772,$K27,IuranSYSebelumnya!$M$330:$M$772,BB$11,IuranSYSebelumnya!$L$330:$L$772,"&lt;&gt;"&amp;$M$5)&gt;0,
              "Iuran dari Lingkungan lain",
              ""))</f>
        <v/>
      </c>
      <c r="BC27" s="47" t="str">
        <f>IF(COUNTIFS(IuranSYSebelumnya!$J$330:$J$772,$K27,IuranSYSebelumnya!$M$330:$M$772,BC$11,IuranSYSebelumnya!$L$330:$L$772,$M$5)&gt;0,
        VLOOKUP(CONCATENATE($K27,"|",BC$11,"|",$M$5),IuranSYSebelumnya!$I$330:$N$772,5,FALSE),
        IF(COUNTIFS(IuranSYSebelumnya!$J$330:$J$772,$K27,IuranSYSebelumnya!$M$330:$M$772,BC$11,IuranSYSebelumnya!$L$330:$L$772,"&lt;&gt;"&amp;$M$5)&gt;0,
              "Iuran dari Lingkungan lain",
              ""))</f>
        <v/>
      </c>
      <c r="BD27" s="47" t="str">
        <f>IF(COUNTIFS(IuranSYSebelumnya!$J$330:$J$772,$K27,IuranSYSebelumnya!$M$330:$M$772,BD$11,IuranSYSebelumnya!$L$330:$L$772,$M$5)&gt;0,
        VLOOKUP(CONCATENATE($K27,"|",BD$11,"|",$M$5),IuranSYSebelumnya!$I$330:$N$772,5,FALSE),
        IF(COUNTIFS(IuranSYSebelumnya!$J$330:$J$772,$K27,IuranSYSebelumnya!$M$330:$M$772,BD$11,IuranSYSebelumnya!$L$330:$L$772,"&lt;&gt;"&amp;$M$5)&gt;0,
              "Iuran dari Lingkungan lain",
              ""))</f>
        <v/>
      </c>
      <c r="BE27" s="47" t="str">
        <f>IF(COUNTIFS(IuranSYSebelumnya!$J$330:$J$772,$K27,IuranSYSebelumnya!$M$330:$M$772,BE$11,IuranSYSebelumnya!$L$330:$L$772,$M$5)&gt;0,
        VLOOKUP(CONCATENATE($K27,"|",BE$11,"|",$M$5),IuranSYSebelumnya!$I$330:$N$772,5,FALSE),
        IF(COUNTIFS(IuranSYSebelumnya!$J$330:$J$772,$K27,IuranSYSebelumnya!$M$330:$M$772,BE$11,IuranSYSebelumnya!$L$330:$L$772,"&lt;&gt;"&amp;$M$5)&gt;0,
              "Iuran dari Lingkungan lain",
              ""))</f>
        <v/>
      </c>
      <c r="BF27" s="47" t="str">
        <f>IF(COUNTIFS(IuranSYSebelumnya!$J$330:$J$772,$K27,IuranSYSebelumnya!$M$330:$M$772,BF$11,IuranSYSebelumnya!$L$330:$L$772,$M$5)&gt;0,
        VLOOKUP(CONCATENATE($K27,"|",BF$11,"|",$M$5),IuranSYSebelumnya!$I$330:$N$772,5,FALSE),
        IF(COUNTIFS(IuranSYSebelumnya!$J$330:$J$772,$K27,IuranSYSebelumnya!$M$330:$M$772,BF$11,IuranSYSebelumnya!$L$330:$L$772,"&lt;&gt;"&amp;$M$5)&gt;0,
              "Iuran dari Lingkungan lain",
              ""))</f>
        <v/>
      </c>
      <c r="BG27" s="47" t="str">
        <f>IF(COUNTIFS(IuranSYSebelumnya!$J$330:$J$772,$K27,IuranSYSebelumnya!$M$330:$M$772,BG$11,IuranSYSebelumnya!$L$330:$L$772,$M$5)&gt;0,
        VLOOKUP(CONCATENATE($K27,"|",BG$11,"|",$M$5),IuranSYSebelumnya!$I$330:$N$772,5,FALSE),
        IF(COUNTIFS(IuranSYSebelumnya!$J$330:$J$772,$K27,IuranSYSebelumnya!$M$330:$M$772,BG$11,IuranSYSebelumnya!$L$330:$L$772,"&lt;&gt;"&amp;$M$5)&gt;0,
              "Iuran dari Lingkungan lain",
              ""))</f>
        <v/>
      </c>
      <c r="BH27" s="47" t="str">
        <f>IF(COUNTIFS(IuranSYSebelumnya!$J$330:$J$772,$K27,IuranSYSebelumnya!$M$330:$M$772,BH$11,IuranSYSebelumnya!$L$330:$L$772,$M$5)&gt;0,
        VLOOKUP(CONCATENATE($K27,"|",BH$11,"|",$M$5),IuranSYSebelumnya!$I$330:$N$772,5,FALSE),
        IF(COUNTIFS(IuranSYSebelumnya!$J$330:$J$772,$K27,IuranSYSebelumnya!$M$330:$M$772,BH$11,IuranSYSebelumnya!$L$330:$L$772,"&lt;&gt;"&amp;$M$5)&gt;0,
              "Iuran dari Lingkungan lain",
              ""))</f>
        <v/>
      </c>
      <c r="BI27" s="47" t="str">
        <f>IF(COUNTIFS(IuranSYSebelumnya!$J$330:$J$772,$K27,IuranSYSebelumnya!$M$330:$M$772,BI$11,IuranSYSebelumnya!$L$330:$L$772,$M$5)&gt;0,
        VLOOKUP(CONCATENATE($K27,"|",BI$11,"|",$M$5),IuranSYSebelumnya!$I$330:$N$772,5,FALSE),
        IF(COUNTIFS(IuranSYSebelumnya!$J$330:$J$772,$K27,IuranSYSebelumnya!$M$330:$M$772,BI$11,IuranSYSebelumnya!$L$330:$L$772,"&lt;&gt;"&amp;$M$5)&gt;0,
              "Iuran dari Lingkungan lain",
              ""))</f>
        <v/>
      </c>
      <c r="BJ27" s="47" t="str">
        <f>IF(COUNTIFS(IuranSYSebelumnya!$J$330:$J$772,$K27,IuranSYSebelumnya!$M$330:$M$772,BJ$11,IuranSYSebelumnya!$L$330:$L$772,$M$5)&gt;0,
        VLOOKUP(CONCATENATE($K27,"|",BJ$11,"|",$M$5),IuranSYSebelumnya!$I$330:$N$772,5,FALSE),
        IF(COUNTIFS(IuranSYSebelumnya!$J$330:$J$772,$K27,IuranSYSebelumnya!$M$330:$M$772,BJ$11,IuranSYSebelumnya!$L$330:$L$772,"&lt;&gt;"&amp;$M$5)&gt;0,
              "Iuran dari Lingkungan lain",
              ""))</f>
        <v/>
      </c>
      <c r="BK27" s="47" t="str">
        <f>IF(COUNTIFS(IuranSYSebelumnya!$J$330:$J$772,$K27,IuranSYSebelumnya!$M$330:$M$772,BK$11,IuranSYSebelumnya!$L$330:$L$772,$M$5)&gt;0,
        VLOOKUP(CONCATENATE($K27,"|",BK$11,"|",$M$5),IuranSYSebelumnya!$I$330:$N$772,5,FALSE),
        IF(COUNTIFS(IuranSYSebelumnya!$J$330:$J$772,$K27,IuranSYSebelumnya!$M$330:$M$772,BK$11,IuranSYSebelumnya!$L$330:$L$772,"&lt;&gt;"&amp;$M$5)&gt;0,
              "Iuran dari Lingkungan lain",
              ""))</f>
        <v/>
      </c>
      <c r="BL27" s="47" t="str">
        <f>IF(COUNTIFS(IuranSYSebelumnya!$J$330:$J$772,$K27,IuranSYSebelumnya!$M$330:$M$772,BL$11,IuranSYSebelumnya!$L$330:$L$772,$M$5)&gt;0,
        VLOOKUP(CONCATENATE($K27,"|",BL$11,"|",$M$5),IuranSYSebelumnya!$I$330:$N$772,5,FALSE),
        IF(COUNTIFS(IuranSYSebelumnya!$J$330:$J$772,$K27,IuranSYSebelumnya!$M$330:$M$772,BL$11,IuranSYSebelumnya!$L$330:$L$772,"&lt;&gt;"&amp;$M$5)&gt;0,
              "Iuran dari Lingkungan lain",
              ""))</f>
        <v/>
      </c>
    </row>
    <row r="28" spans="1:64" x14ac:dyDescent="0.35">
      <c r="A28" s="30" t="s">
        <v>6063</v>
      </c>
      <c r="C28" s="30" t="b">
        <f t="shared" ca="1" si="3"/>
        <v>0</v>
      </c>
      <c r="D28" s="30" t="str">
        <f>"""TRUST Nav"",""HSPMTB2016"",""18"",""1"",""KK-04607"""</f>
        <v>"TRUST Nav","HSPMTB2016","18","1","KK-04607"</v>
      </c>
      <c r="H28" s="30">
        <f t="shared" si="4"/>
        <v>0</v>
      </c>
      <c r="J28" s="30">
        <f t="shared" si="5"/>
        <v>16</v>
      </c>
      <c r="K28" s="30" t="str">
        <f>"KK-04607"</f>
        <v>KK-04607</v>
      </c>
      <c r="L28" s="30" t="str">
        <f>"Hendro Hartono"</f>
        <v>Hendro Hartono</v>
      </c>
      <c r="M28" s="30"/>
      <c r="N28" s="129"/>
      <c r="O28" s="129"/>
      <c r="P28" s="129"/>
      <c r="Q28" s="129"/>
      <c r="R28" s="129"/>
      <c r="S28" s="129"/>
      <c r="T28" s="130"/>
      <c r="U28" s="131"/>
      <c r="V28" s="131"/>
      <c r="W28" s="131"/>
      <c r="X28" s="131"/>
      <c r="Y28" s="132"/>
      <c r="Z28" s="131"/>
      <c r="AA28" s="4"/>
      <c r="AB28" s="4"/>
      <c r="AC28" s="4"/>
      <c r="AD28" s="4"/>
      <c r="AE28" s="4"/>
      <c r="AF28" s="11"/>
      <c r="AG28" s="4"/>
      <c r="AH28" s="4"/>
      <c r="AI28" s="4"/>
      <c r="AJ28" s="4"/>
      <c r="AK28" s="4"/>
      <c r="AL28" s="9">
        <f t="shared" si="6"/>
        <v>0</v>
      </c>
      <c r="AO28" s="47">
        <f>IF(COUNTIFS(IuranSYSebelumnya!$J$330:$J$772,$K28,IuranSYSebelumnya!$M$330:$M$772,AO$11,IuranSYSebelumnya!$L$330:$L$772,$M$5)&gt;0,
        VLOOKUP(CONCATENATE($K28,"|",AO$11,"|",$M$5),IuranSYSebelumnya!$I$330:$N$772,5,FALSE),
        IF(COUNTIFS(IuranSYSebelumnya!$J$330:$J$772,$K28,IuranSYSebelumnya!$M$330:$M$772,AO$11,IuranSYSebelumnya!$L$330:$L$772,"&lt;&gt;"&amp;$M$5)&gt;0,
              "Iuran dari Lingkungan lain",
              ""))</f>
        <v>42186</v>
      </c>
      <c r="AP28" s="47">
        <f>IF(COUNTIFS(IuranSYSebelumnya!$J$330:$J$772,$K28,IuranSYSebelumnya!$M$330:$M$772,AP$11,IuranSYSebelumnya!$L$330:$L$772,$M$5)&gt;0,
        VLOOKUP(CONCATENATE($K28,"|",AP$11,"|",$M$5),IuranSYSebelumnya!$I$330:$N$772,5,FALSE),
        IF(COUNTIFS(IuranSYSebelumnya!$J$330:$J$772,$K28,IuranSYSebelumnya!$M$330:$M$772,AP$11,IuranSYSebelumnya!$L$330:$L$772,"&lt;&gt;"&amp;$M$5)&gt;0,
              "Iuran dari Lingkungan lain",
              ""))</f>
        <v>42217</v>
      </c>
      <c r="AQ28" s="47">
        <f>IF(COUNTIFS(IuranSYSebelumnya!$J$330:$J$772,$K28,IuranSYSebelumnya!$M$330:$M$772,AQ$11,IuranSYSebelumnya!$L$330:$L$772,$M$5)&gt;0,
        VLOOKUP(CONCATENATE($K28,"|",AQ$11,"|",$M$5),IuranSYSebelumnya!$I$330:$N$772,5,FALSE),
        IF(COUNTIFS(IuranSYSebelumnya!$J$330:$J$772,$K28,IuranSYSebelumnya!$M$330:$M$772,AQ$11,IuranSYSebelumnya!$L$330:$L$772,"&lt;&gt;"&amp;$M$5)&gt;0,
              "Iuran dari Lingkungan lain",
              ""))</f>
        <v>42248</v>
      </c>
      <c r="AR28" s="47">
        <f>IF(COUNTIFS(IuranSYSebelumnya!$J$330:$J$772,$K28,IuranSYSebelumnya!$M$330:$M$772,AR$11,IuranSYSebelumnya!$L$330:$L$772,$M$5)&gt;0,
        VLOOKUP(CONCATENATE($K28,"|",AR$11,"|",$M$5),IuranSYSebelumnya!$I$330:$N$772,5,FALSE),
        IF(COUNTIFS(IuranSYSebelumnya!$J$330:$J$772,$K28,IuranSYSebelumnya!$M$330:$M$772,AR$11,IuranSYSebelumnya!$L$330:$L$772,"&lt;&gt;"&amp;$M$5)&gt;0,
              "Iuran dari Lingkungan lain",
              ""))</f>
        <v>42278</v>
      </c>
      <c r="AS28" s="47">
        <f>IF(COUNTIFS(IuranSYSebelumnya!$J$330:$J$772,$K28,IuranSYSebelumnya!$M$330:$M$772,AS$11,IuranSYSebelumnya!$L$330:$L$772,$M$5)&gt;0,
        VLOOKUP(CONCATENATE($K28,"|",AS$11,"|",$M$5),IuranSYSebelumnya!$I$330:$N$772,5,FALSE),
        IF(COUNTIFS(IuranSYSebelumnya!$J$330:$J$772,$K28,IuranSYSebelumnya!$M$330:$M$772,AS$11,IuranSYSebelumnya!$L$330:$L$772,"&lt;&gt;"&amp;$M$5)&gt;0,
              "Iuran dari Lingkungan lain",
              ""))</f>
        <v>42309</v>
      </c>
      <c r="AT28" s="47">
        <f>IF(COUNTIFS(IuranSYSebelumnya!$J$330:$J$772,$K28,IuranSYSebelumnya!$M$330:$M$772,AT$11,IuranSYSebelumnya!$L$330:$L$772,$M$5)&gt;0,
        VLOOKUP(CONCATENATE($K28,"|",AT$11,"|",$M$5),IuranSYSebelumnya!$I$330:$N$772,5,FALSE),
        IF(COUNTIFS(IuranSYSebelumnya!$J$330:$J$772,$K28,IuranSYSebelumnya!$M$330:$M$772,AT$11,IuranSYSebelumnya!$L$330:$L$772,"&lt;&gt;"&amp;$M$5)&gt;0,
              "Iuran dari Lingkungan lain",
              ""))</f>
        <v>42339</v>
      </c>
      <c r="AU28" s="47">
        <f>IF(COUNTIFS(IuranSYSebelumnya!$J$330:$J$772,$K28,IuranSYSebelumnya!$M$330:$M$772,AU$11,IuranSYSebelumnya!$L$330:$L$772,$M$5)&gt;0,
        VLOOKUP(CONCATENATE($K28,"|",AU$11,"|",$M$5),IuranSYSebelumnya!$I$330:$N$772,5,FALSE),
        IF(COUNTIFS(IuranSYSebelumnya!$J$330:$J$772,$K28,IuranSYSebelumnya!$M$330:$M$772,AU$11,IuranSYSebelumnya!$L$330:$L$772,"&lt;&gt;"&amp;$M$5)&gt;0,
              "Iuran dari Lingkungan lain",
              ""))</f>
        <v>42370</v>
      </c>
      <c r="AV28" s="47">
        <f>IF(COUNTIFS(IuranSYSebelumnya!$J$330:$J$772,$K28,IuranSYSebelumnya!$M$330:$M$772,AV$11,IuranSYSebelumnya!$L$330:$L$772,$M$5)&gt;0,
        VLOOKUP(CONCATENATE($K28,"|",AV$11,"|",$M$5),IuranSYSebelumnya!$I$330:$N$772,5,FALSE),
        IF(COUNTIFS(IuranSYSebelumnya!$J$330:$J$772,$K28,IuranSYSebelumnya!$M$330:$M$772,AV$11,IuranSYSebelumnya!$L$330:$L$772,"&lt;&gt;"&amp;$M$5)&gt;0,
              "Iuran dari Lingkungan lain",
              ""))</f>
        <v>42401</v>
      </c>
      <c r="AW28" s="47">
        <f>IF(COUNTIFS(IuranSYSebelumnya!$J$330:$J$772,$K28,IuranSYSebelumnya!$M$330:$M$772,AW$11,IuranSYSebelumnya!$L$330:$L$772,$M$5)&gt;0,
        VLOOKUP(CONCATENATE($K28,"|",AW$11,"|",$M$5),IuranSYSebelumnya!$I$330:$N$772,5,FALSE),
        IF(COUNTIFS(IuranSYSebelumnya!$J$330:$J$772,$K28,IuranSYSebelumnya!$M$330:$M$772,AW$11,IuranSYSebelumnya!$L$330:$L$772,"&lt;&gt;"&amp;$M$5)&gt;0,
              "Iuran dari Lingkungan lain",
              ""))</f>
        <v>42430</v>
      </c>
      <c r="AX28" s="47">
        <f>IF(COUNTIFS(IuranSYSebelumnya!$J$330:$J$772,$K28,IuranSYSebelumnya!$M$330:$M$772,AX$11,IuranSYSebelumnya!$L$330:$L$772,$M$5)&gt;0,
        VLOOKUP(CONCATENATE($K28,"|",AX$11,"|",$M$5),IuranSYSebelumnya!$I$330:$N$772,5,FALSE),
        IF(COUNTIFS(IuranSYSebelumnya!$J$330:$J$772,$K28,IuranSYSebelumnya!$M$330:$M$772,AX$11,IuranSYSebelumnya!$L$330:$L$772,"&lt;&gt;"&amp;$M$5)&gt;0,
              "Iuran dari Lingkungan lain",
              ""))</f>
        <v>42461</v>
      </c>
      <c r="AY28" s="47">
        <f>IF(COUNTIFS(IuranSYSebelumnya!$J$330:$J$772,$K28,IuranSYSebelumnya!$M$330:$M$772,AY$11,IuranSYSebelumnya!$L$330:$L$772,$M$5)&gt;0,
        VLOOKUP(CONCATENATE($K28,"|",AY$11,"|",$M$5),IuranSYSebelumnya!$I$330:$N$772,5,FALSE),
        IF(COUNTIFS(IuranSYSebelumnya!$J$330:$J$772,$K28,IuranSYSebelumnya!$M$330:$M$772,AY$11,IuranSYSebelumnya!$L$330:$L$772,"&lt;&gt;"&amp;$M$5)&gt;0,
              "Iuran dari Lingkungan lain",
              ""))</f>
        <v>42491</v>
      </c>
      <c r="AZ28" s="47">
        <f>IF(COUNTIFS(IuranSYSebelumnya!$J$330:$J$772,$K28,IuranSYSebelumnya!$M$330:$M$772,AZ$11,IuranSYSebelumnya!$L$330:$L$772,$M$5)&gt;0,
        VLOOKUP(CONCATENATE($K28,"|",AZ$11,"|",$M$5),IuranSYSebelumnya!$I$330:$N$772,5,FALSE),
        IF(COUNTIFS(IuranSYSebelumnya!$J$330:$J$772,$K28,IuranSYSebelumnya!$M$330:$M$772,AZ$11,IuranSYSebelumnya!$L$330:$L$772,"&lt;&gt;"&amp;$M$5)&gt;0,
              "Iuran dari Lingkungan lain",
              ""))</f>
        <v>42522</v>
      </c>
      <c r="BA28" s="47">
        <f>IF(COUNTIFS(IuranSYSebelumnya!$J$330:$J$772,$K28,IuranSYSebelumnya!$M$330:$M$772,BA$11,IuranSYSebelumnya!$L$330:$L$772,$M$5)&gt;0,
        VLOOKUP(CONCATENATE($K28,"|",BA$11,"|",$M$5),IuranSYSebelumnya!$I$330:$N$772,5,FALSE),
        IF(COUNTIFS(IuranSYSebelumnya!$J$330:$J$772,$K28,IuranSYSebelumnya!$M$330:$M$772,BA$11,IuranSYSebelumnya!$L$330:$L$772,"&lt;&gt;"&amp;$M$5)&gt;0,
              "Iuran dari Lingkungan lain",
              ""))</f>
        <v>42552</v>
      </c>
      <c r="BB28" s="47" t="str">
        <f>IF(COUNTIFS(IuranSYSebelumnya!$J$330:$J$772,$K28,IuranSYSebelumnya!$M$330:$M$772,BB$11,IuranSYSebelumnya!$L$330:$L$772,$M$5)&gt;0,
        VLOOKUP(CONCATENATE($K28,"|",BB$11,"|",$M$5),IuranSYSebelumnya!$I$330:$N$772,5,FALSE),
        IF(COUNTIFS(IuranSYSebelumnya!$J$330:$J$772,$K28,IuranSYSebelumnya!$M$330:$M$772,BB$11,IuranSYSebelumnya!$L$330:$L$772,"&lt;&gt;"&amp;$M$5)&gt;0,
              "Iuran dari Lingkungan lain",
              ""))</f>
        <v/>
      </c>
      <c r="BC28" s="47" t="str">
        <f>IF(COUNTIFS(IuranSYSebelumnya!$J$330:$J$772,$K28,IuranSYSebelumnya!$M$330:$M$772,BC$11,IuranSYSebelumnya!$L$330:$L$772,$M$5)&gt;0,
        VLOOKUP(CONCATENATE($K28,"|",BC$11,"|",$M$5),IuranSYSebelumnya!$I$330:$N$772,5,FALSE),
        IF(COUNTIFS(IuranSYSebelumnya!$J$330:$J$772,$K28,IuranSYSebelumnya!$M$330:$M$772,BC$11,IuranSYSebelumnya!$L$330:$L$772,"&lt;&gt;"&amp;$M$5)&gt;0,
              "Iuran dari Lingkungan lain",
              ""))</f>
        <v/>
      </c>
      <c r="BD28" s="47" t="str">
        <f>IF(COUNTIFS(IuranSYSebelumnya!$J$330:$J$772,$K28,IuranSYSebelumnya!$M$330:$M$772,BD$11,IuranSYSebelumnya!$L$330:$L$772,$M$5)&gt;0,
        VLOOKUP(CONCATENATE($K28,"|",BD$11,"|",$M$5),IuranSYSebelumnya!$I$330:$N$772,5,FALSE),
        IF(COUNTIFS(IuranSYSebelumnya!$J$330:$J$772,$K28,IuranSYSebelumnya!$M$330:$M$772,BD$11,IuranSYSebelumnya!$L$330:$L$772,"&lt;&gt;"&amp;$M$5)&gt;0,
              "Iuran dari Lingkungan lain",
              ""))</f>
        <v/>
      </c>
      <c r="BE28" s="47" t="str">
        <f>IF(COUNTIFS(IuranSYSebelumnya!$J$330:$J$772,$K28,IuranSYSebelumnya!$M$330:$M$772,BE$11,IuranSYSebelumnya!$L$330:$L$772,$M$5)&gt;0,
        VLOOKUP(CONCATENATE($K28,"|",BE$11,"|",$M$5),IuranSYSebelumnya!$I$330:$N$772,5,FALSE),
        IF(COUNTIFS(IuranSYSebelumnya!$J$330:$J$772,$K28,IuranSYSebelumnya!$M$330:$M$772,BE$11,IuranSYSebelumnya!$L$330:$L$772,"&lt;&gt;"&amp;$M$5)&gt;0,
              "Iuran dari Lingkungan lain",
              ""))</f>
        <v/>
      </c>
      <c r="BF28" s="47" t="str">
        <f>IF(COUNTIFS(IuranSYSebelumnya!$J$330:$J$772,$K28,IuranSYSebelumnya!$M$330:$M$772,BF$11,IuranSYSebelumnya!$L$330:$L$772,$M$5)&gt;0,
        VLOOKUP(CONCATENATE($K28,"|",BF$11,"|",$M$5),IuranSYSebelumnya!$I$330:$N$772,5,FALSE),
        IF(COUNTIFS(IuranSYSebelumnya!$J$330:$J$772,$K28,IuranSYSebelumnya!$M$330:$M$772,BF$11,IuranSYSebelumnya!$L$330:$L$772,"&lt;&gt;"&amp;$M$5)&gt;0,
              "Iuran dari Lingkungan lain",
              ""))</f>
        <v/>
      </c>
      <c r="BG28" s="47" t="str">
        <f>IF(COUNTIFS(IuranSYSebelumnya!$J$330:$J$772,$K28,IuranSYSebelumnya!$M$330:$M$772,BG$11,IuranSYSebelumnya!$L$330:$L$772,$M$5)&gt;0,
        VLOOKUP(CONCATENATE($K28,"|",BG$11,"|",$M$5),IuranSYSebelumnya!$I$330:$N$772,5,FALSE),
        IF(COUNTIFS(IuranSYSebelumnya!$J$330:$J$772,$K28,IuranSYSebelumnya!$M$330:$M$772,BG$11,IuranSYSebelumnya!$L$330:$L$772,"&lt;&gt;"&amp;$M$5)&gt;0,
              "Iuran dari Lingkungan lain",
              ""))</f>
        <v/>
      </c>
      <c r="BH28" s="47" t="str">
        <f>IF(COUNTIFS(IuranSYSebelumnya!$J$330:$J$772,$K28,IuranSYSebelumnya!$M$330:$M$772,BH$11,IuranSYSebelumnya!$L$330:$L$772,$M$5)&gt;0,
        VLOOKUP(CONCATENATE($K28,"|",BH$11,"|",$M$5),IuranSYSebelumnya!$I$330:$N$772,5,FALSE),
        IF(COUNTIFS(IuranSYSebelumnya!$J$330:$J$772,$K28,IuranSYSebelumnya!$M$330:$M$772,BH$11,IuranSYSebelumnya!$L$330:$L$772,"&lt;&gt;"&amp;$M$5)&gt;0,
              "Iuran dari Lingkungan lain",
              ""))</f>
        <v/>
      </c>
      <c r="BI28" s="47" t="str">
        <f>IF(COUNTIFS(IuranSYSebelumnya!$J$330:$J$772,$K28,IuranSYSebelumnya!$M$330:$M$772,BI$11,IuranSYSebelumnya!$L$330:$L$772,$M$5)&gt;0,
        VLOOKUP(CONCATENATE($K28,"|",BI$11,"|",$M$5),IuranSYSebelumnya!$I$330:$N$772,5,FALSE),
        IF(COUNTIFS(IuranSYSebelumnya!$J$330:$J$772,$K28,IuranSYSebelumnya!$M$330:$M$772,BI$11,IuranSYSebelumnya!$L$330:$L$772,"&lt;&gt;"&amp;$M$5)&gt;0,
              "Iuran dari Lingkungan lain",
              ""))</f>
        <v/>
      </c>
      <c r="BJ28" s="47" t="str">
        <f>IF(COUNTIFS(IuranSYSebelumnya!$J$330:$J$772,$K28,IuranSYSebelumnya!$M$330:$M$772,BJ$11,IuranSYSebelumnya!$L$330:$L$772,$M$5)&gt;0,
        VLOOKUP(CONCATENATE($K28,"|",BJ$11,"|",$M$5),IuranSYSebelumnya!$I$330:$N$772,5,FALSE),
        IF(COUNTIFS(IuranSYSebelumnya!$J$330:$J$772,$K28,IuranSYSebelumnya!$M$330:$M$772,BJ$11,IuranSYSebelumnya!$L$330:$L$772,"&lt;&gt;"&amp;$M$5)&gt;0,
              "Iuran dari Lingkungan lain",
              ""))</f>
        <v/>
      </c>
      <c r="BK28" s="47" t="str">
        <f>IF(COUNTIFS(IuranSYSebelumnya!$J$330:$J$772,$K28,IuranSYSebelumnya!$M$330:$M$772,BK$11,IuranSYSebelumnya!$L$330:$L$772,$M$5)&gt;0,
        VLOOKUP(CONCATENATE($K28,"|",BK$11,"|",$M$5),IuranSYSebelumnya!$I$330:$N$772,5,FALSE),
        IF(COUNTIFS(IuranSYSebelumnya!$J$330:$J$772,$K28,IuranSYSebelumnya!$M$330:$M$772,BK$11,IuranSYSebelumnya!$L$330:$L$772,"&lt;&gt;"&amp;$M$5)&gt;0,
              "Iuran dari Lingkungan lain",
              ""))</f>
        <v/>
      </c>
      <c r="BL28" s="47" t="str">
        <f>IF(COUNTIFS(IuranSYSebelumnya!$J$330:$J$772,$K28,IuranSYSebelumnya!$M$330:$M$772,BL$11,IuranSYSebelumnya!$L$330:$L$772,$M$5)&gt;0,
        VLOOKUP(CONCATENATE($K28,"|",BL$11,"|",$M$5),IuranSYSebelumnya!$I$330:$N$772,5,FALSE),
        IF(COUNTIFS(IuranSYSebelumnya!$J$330:$J$772,$K28,IuranSYSebelumnya!$M$330:$M$772,BL$11,IuranSYSebelumnya!$L$330:$L$772,"&lt;&gt;"&amp;$M$5)&gt;0,
              "Iuran dari Lingkungan lain",
              ""))</f>
        <v/>
      </c>
    </row>
    <row r="29" spans="1:64" x14ac:dyDescent="0.35">
      <c r="A29" s="30" t="s">
        <v>6063</v>
      </c>
      <c r="C29" s="30" t="b">
        <f t="shared" ca="1" si="3"/>
        <v>0</v>
      </c>
      <c r="D29" s="30" t="str">
        <f>"""TRUST Nav"",""HSPMTB2016"",""18"",""1"",""KK-04608"""</f>
        <v>"TRUST Nav","HSPMTB2016","18","1","KK-04608"</v>
      </c>
      <c r="H29" s="30">
        <f t="shared" si="4"/>
        <v>0</v>
      </c>
      <c r="J29" s="30">
        <f t="shared" si="5"/>
        <v>17</v>
      </c>
      <c r="K29" s="30" t="str">
        <f>"KK-04608"</f>
        <v>KK-04608</v>
      </c>
      <c r="L29" s="30" t="str">
        <f>"Heru Prawono"</f>
        <v>Heru Prawono</v>
      </c>
      <c r="M29" s="30"/>
      <c r="N29" s="129"/>
      <c r="O29" s="129"/>
      <c r="P29" s="129"/>
      <c r="Q29" s="129"/>
      <c r="R29" s="129"/>
      <c r="S29" s="129"/>
      <c r="T29" s="130"/>
      <c r="U29" s="131"/>
      <c r="V29" s="131"/>
      <c r="W29" s="131"/>
      <c r="X29" s="131"/>
      <c r="Y29" s="132"/>
      <c r="Z29" s="131"/>
      <c r="AA29" s="131"/>
      <c r="AB29" s="4"/>
      <c r="AC29" s="4"/>
      <c r="AD29" s="4"/>
      <c r="AE29" s="4"/>
      <c r="AF29" s="11"/>
      <c r="AG29" s="4"/>
      <c r="AH29" s="4"/>
      <c r="AI29" s="4"/>
      <c r="AJ29" s="4"/>
      <c r="AK29" s="4"/>
      <c r="AL29" s="9">
        <f t="shared" si="6"/>
        <v>0</v>
      </c>
      <c r="AO29" s="47">
        <f>IF(COUNTIFS(IuranSYSebelumnya!$J$330:$J$772,$K29,IuranSYSebelumnya!$M$330:$M$772,AO$11,IuranSYSebelumnya!$L$330:$L$772,$M$5)&gt;0,
        VLOOKUP(CONCATENATE($K29,"|",AO$11,"|",$M$5),IuranSYSebelumnya!$I$330:$N$772,5,FALSE),
        IF(COUNTIFS(IuranSYSebelumnya!$J$330:$J$772,$K29,IuranSYSebelumnya!$M$330:$M$772,AO$11,IuranSYSebelumnya!$L$330:$L$772,"&lt;&gt;"&amp;$M$5)&gt;0,
              "Iuran dari Lingkungan lain",
              ""))</f>
        <v>42186</v>
      </c>
      <c r="AP29" s="47">
        <f>IF(COUNTIFS(IuranSYSebelumnya!$J$330:$J$772,$K29,IuranSYSebelumnya!$M$330:$M$772,AP$11,IuranSYSebelumnya!$L$330:$L$772,$M$5)&gt;0,
        VLOOKUP(CONCATENATE($K29,"|",AP$11,"|",$M$5),IuranSYSebelumnya!$I$330:$N$772,5,FALSE),
        IF(COUNTIFS(IuranSYSebelumnya!$J$330:$J$772,$K29,IuranSYSebelumnya!$M$330:$M$772,AP$11,IuranSYSebelumnya!$L$330:$L$772,"&lt;&gt;"&amp;$M$5)&gt;0,
              "Iuran dari Lingkungan lain",
              ""))</f>
        <v>42217</v>
      </c>
      <c r="AQ29" s="47">
        <f>IF(COUNTIFS(IuranSYSebelumnya!$J$330:$J$772,$K29,IuranSYSebelumnya!$M$330:$M$772,AQ$11,IuranSYSebelumnya!$L$330:$L$772,$M$5)&gt;0,
        VLOOKUP(CONCATENATE($K29,"|",AQ$11,"|",$M$5),IuranSYSebelumnya!$I$330:$N$772,5,FALSE),
        IF(COUNTIFS(IuranSYSebelumnya!$J$330:$J$772,$K29,IuranSYSebelumnya!$M$330:$M$772,AQ$11,IuranSYSebelumnya!$L$330:$L$772,"&lt;&gt;"&amp;$M$5)&gt;0,
              "Iuran dari Lingkungan lain",
              ""))</f>
        <v>42248</v>
      </c>
      <c r="AR29" s="47">
        <f>IF(COUNTIFS(IuranSYSebelumnya!$J$330:$J$772,$K29,IuranSYSebelumnya!$M$330:$M$772,AR$11,IuranSYSebelumnya!$L$330:$L$772,$M$5)&gt;0,
        VLOOKUP(CONCATENATE($K29,"|",AR$11,"|",$M$5),IuranSYSebelumnya!$I$330:$N$772,5,FALSE),
        IF(COUNTIFS(IuranSYSebelumnya!$J$330:$J$772,$K29,IuranSYSebelumnya!$M$330:$M$772,AR$11,IuranSYSebelumnya!$L$330:$L$772,"&lt;&gt;"&amp;$M$5)&gt;0,
              "Iuran dari Lingkungan lain",
              ""))</f>
        <v>42278</v>
      </c>
      <c r="AS29" s="47">
        <f>IF(COUNTIFS(IuranSYSebelumnya!$J$330:$J$772,$K29,IuranSYSebelumnya!$M$330:$M$772,AS$11,IuranSYSebelumnya!$L$330:$L$772,$M$5)&gt;0,
        VLOOKUP(CONCATENATE($K29,"|",AS$11,"|",$M$5),IuranSYSebelumnya!$I$330:$N$772,5,FALSE),
        IF(COUNTIFS(IuranSYSebelumnya!$J$330:$J$772,$K29,IuranSYSebelumnya!$M$330:$M$772,AS$11,IuranSYSebelumnya!$L$330:$L$772,"&lt;&gt;"&amp;$M$5)&gt;0,
              "Iuran dari Lingkungan lain",
              ""))</f>
        <v>42309</v>
      </c>
      <c r="AT29" s="47">
        <f>IF(COUNTIFS(IuranSYSebelumnya!$J$330:$J$772,$K29,IuranSYSebelumnya!$M$330:$M$772,AT$11,IuranSYSebelumnya!$L$330:$L$772,$M$5)&gt;0,
        VLOOKUP(CONCATENATE($K29,"|",AT$11,"|",$M$5),IuranSYSebelumnya!$I$330:$N$772,5,FALSE),
        IF(COUNTIFS(IuranSYSebelumnya!$J$330:$J$772,$K29,IuranSYSebelumnya!$M$330:$M$772,AT$11,IuranSYSebelumnya!$L$330:$L$772,"&lt;&gt;"&amp;$M$5)&gt;0,
              "Iuran dari Lingkungan lain",
              ""))</f>
        <v>42339</v>
      </c>
      <c r="AU29" s="47">
        <f>IF(COUNTIFS(IuranSYSebelumnya!$J$330:$J$772,$K29,IuranSYSebelumnya!$M$330:$M$772,AU$11,IuranSYSebelumnya!$L$330:$L$772,$M$5)&gt;0,
        VLOOKUP(CONCATENATE($K29,"|",AU$11,"|",$M$5),IuranSYSebelumnya!$I$330:$N$772,5,FALSE),
        IF(COUNTIFS(IuranSYSebelumnya!$J$330:$J$772,$K29,IuranSYSebelumnya!$M$330:$M$772,AU$11,IuranSYSebelumnya!$L$330:$L$772,"&lt;&gt;"&amp;$M$5)&gt;0,
              "Iuran dari Lingkungan lain",
              ""))</f>
        <v>42370</v>
      </c>
      <c r="AV29" s="47">
        <f>IF(COUNTIFS(IuranSYSebelumnya!$J$330:$J$772,$K29,IuranSYSebelumnya!$M$330:$M$772,AV$11,IuranSYSebelumnya!$L$330:$L$772,$M$5)&gt;0,
        VLOOKUP(CONCATENATE($K29,"|",AV$11,"|",$M$5),IuranSYSebelumnya!$I$330:$N$772,5,FALSE),
        IF(COUNTIFS(IuranSYSebelumnya!$J$330:$J$772,$K29,IuranSYSebelumnya!$M$330:$M$772,AV$11,IuranSYSebelumnya!$L$330:$L$772,"&lt;&gt;"&amp;$M$5)&gt;0,
              "Iuran dari Lingkungan lain",
              ""))</f>
        <v>42401</v>
      </c>
      <c r="AW29" s="47">
        <f>IF(COUNTIFS(IuranSYSebelumnya!$J$330:$J$772,$K29,IuranSYSebelumnya!$M$330:$M$772,AW$11,IuranSYSebelumnya!$L$330:$L$772,$M$5)&gt;0,
        VLOOKUP(CONCATENATE($K29,"|",AW$11,"|",$M$5),IuranSYSebelumnya!$I$330:$N$772,5,FALSE),
        IF(COUNTIFS(IuranSYSebelumnya!$J$330:$J$772,$K29,IuranSYSebelumnya!$M$330:$M$772,AW$11,IuranSYSebelumnya!$L$330:$L$772,"&lt;&gt;"&amp;$M$5)&gt;0,
              "Iuran dari Lingkungan lain",
              ""))</f>
        <v>42430</v>
      </c>
      <c r="AX29" s="47">
        <f>IF(COUNTIFS(IuranSYSebelumnya!$J$330:$J$772,$K29,IuranSYSebelumnya!$M$330:$M$772,AX$11,IuranSYSebelumnya!$L$330:$L$772,$M$5)&gt;0,
        VLOOKUP(CONCATENATE($K29,"|",AX$11,"|",$M$5),IuranSYSebelumnya!$I$330:$N$772,5,FALSE),
        IF(COUNTIFS(IuranSYSebelumnya!$J$330:$J$772,$K29,IuranSYSebelumnya!$M$330:$M$772,AX$11,IuranSYSebelumnya!$L$330:$L$772,"&lt;&gt;"&amp;$M$5)&gt;0,
              "Iuran dari Lingkungan lain",
              ""))</f>
        <v>42461</v>
      </c>
      <c r="AY29" s="47">
        <f>IF(COUNTIFS(IuranSYSebelumnya!$J$330:$J$772,$K29,IuranSYSebelumnya!$M$330:$M$772,AY$11,IuranSYSebelumnya!$L$330:$L$772,$M$5)&gt;0,
        VLOOKUP(CONCATENATE($K29,"|",AY$11,"|",$M$5),IuranSYSebelumnya!$I$330:$N$772,5,FALSE),
        IF(COUNTIFS(IuranSYSebelumnya!$J$330:$J$772,$K29,IuranSYSebelumnya!$M$330:$M$772,AY$11,IuranSYSebelumnya!$L$330:$L$772,"&lt;&gt;"&amp;$M$5)&gt;0,
              "Iuran dari Lingkungan lain",
              ""))</f>
        <v>42491</v>
      </c>
      <c r="AZ29" s="47">
        <f>IF(COUNTIFS(IuranSYSebelumnya!$J$330:$J$772,$K29,IuranSYSebelumnya!$M$330:$M$772,AZ$11,IuranSYSebelumnya!$L$330:$L$772,$M$5)&gt;0,
        VLOOKUP(CONCATENATE($K29,"|",AZ$11,"|",$M$5),IuranSYSebelumnya!$I$330:$N$772,5,FALSE),
        IF(COUNTIFS(IuranSYSebelumnya!$J$330:$J$772,$K29,IuranSYSebelumnya!$M$330:$M$772,AZ$11,IuranSYSebelumnya!$L$330:$L$772,"&lt;&gt;"&amp;$M$5)&gt;0,
              "Iuran dari Lingkungan lain",
              ""))</f>
        <v>42522</v>
      </c>
      <c r="BA29" s="47">
        <f>IF(COUNTIFS(IuranSYSebelumnya!$J$330:$J$772,$K29,IuranSYSebelumnya!$M$330:$M$772,BA$11,IuranSYSebelumnya!$L$330:$L$772,$M$5)&gt;0,
        VLOOKUP(CONCATENATE($K29,"|",BA$11,"|",$M$5),IuranSYSebelumnya!$I$330:$N$772,5,FALSE),
        IF(COUNTIFS(IuranSYSebelumnya!$J$330:$J$772,$K29,IuranSYSebelumnya!$M$330:$M$772,BA$11,IuranSYSebelumnya!$L$330:$L$772,"&lt;&gt;"&amp;$M$5)&gt;0,
              "Iuran dari Lingkungan lain",
              ""))</f>
        <v>42552</v>
      </c>
      <c r="BB29" s="47">
        <f>IF(COUNTIFS(IuranSYSebelumnya!$J$330:$J$772,$K29,IuranSYSebelumnya!$M$330:$M$772,BB$11,IuranSYSebelumnya!$L$330:$L$772,$M$5)&gt;0,
        VLOOKUP(CONCATENATE($K29,"|",BB$11,"|",$M$5),IuranSYSebelumnya!$I$330:$N$772,5,FALSE),
        IF(COUNTIFS(IuranSYSebelumnya!$J$330:$J$772,$K29,IuranSYSebelumnya!$M$330:$M$772,BB$11,IuranSYSebelumnya!$L$330:$L$772,"&lt;&gt;"&amp;$M$5)&gt;0,
              "Iuran dari Lingkungan lain",
              ""))</f>
        <v>42583</v>
      </c>
      <c r="BC29" s="47" t="str">
        <f>IF(COUNTIFS(IuranSYSebelumnya!$J$330:$J$772,$K29,IuranSYSebelumnya!$M$330:$M$772,BC$11,IuranSYSebelumnya!$L$330:$L$772,$M$5)&gt;0,
        VLOOKUP(CONCATENATE($K29,"|",BC$11,"|",$M$5),IuranSYSebelumnya!$I$330:$N$772,5,FALSE),
        IF(COUNTIFS(IuranSYSebelumnya!$J$330:$J$772,$K29,IuranSYSebelumnya!$M$330:$M$772,BC$11,IuranSYSebelumnya!$L$330:$L$772,"&lt;&gt;"&amp;$M$5)&gt;0,
              "Iuran dari Lingkungan lain",
              ""))</f>
        <v/>
      </c>
      <c r="BD29" s="47" t="str">
        <f>IF(COUNTIFS(IuranSYSebelumnya!$J$330:$J$772,$K29,IuranSYSebelumnya!$M$330:$M$772,BD$11,IuranSYSebelumnya!$L$330:$L$772,$M$5)&gt;0,
        VLOOKUP(CONCATENATE($K29,"|",BD$11,"|",$M$5),IuranSYSebelumnya!$I$330:$N$772,5,FALSE),
        IF(COUNTIFS(IuranSYSebelumnya!$J$330:$J$772,$K29,IuranSYSebelumnya!$M$330:$M$772,BD$11,IuranSYSebelumnya!$L$330:$L$772,"&lt;&gt;"&amp;$M$5)&gt;0,
              "Iuran dari Lingkungan lain",
              ""))</f>
        <v/>
      </c>
      <c r="BE29" s="47" t="str">
        <f>IF(COUNTIFS(IuranSYSebelumnya!$J$330:$J$772,$K29,IuranSYSebelumnya!$M$330:$M$772,BE$11,IuranSYSebelumnya!$L$330:$L$772,$M$5)&gt;0,
        VLOOKUP(CONCATENATE($K29,"|",BE$11,"|",$M$5),IuranSYSebelumnya!$I$330:$N$772,5,FALSE),
        IF(COUNTIFS(IuranSYSebelumnya!$J$330:$J$772,$K29,IuranSYSebelumnya!$M$330:$M$772,BE$11,IuranSYSebelumnya!$L$330:$L$772,"&lt;&gt;"&amp;$M$5)&gt;0,
              "Iuran dari Lingkungan lain",
              ""))</f>
        <v/>
      </c>
      <c r="BF29" s="47" t="str">
        <f>IF(COUNTIFS(IuranSYSebelumnya!$J$330:$J$772,$K29,IuranSYSebelumnya!$M$330:$M$772,BF$11,IuranSYSebelumnya!$L$330:$L$772,$M$5)&gt;0,
        VLOOKUP(CONCATENATE($K29,"|",BF$11,"|",$M$5),IuranSYSebelumnya!$I$330:$N$772,5,FALSE),
        IF(COUNTIFS(IuranSYSebelumnya!$J$330:$J$772,$K29,IuranSYSebelumnya!$M$330:$M$772,BF$11,IuranSYSebelumnya!$L$330:$L$772,"&lt;&gt;"&amp;$M$5)&gt;0,
              "Iuran dari Lingkungan lain",
              ""))</f>
        <v/>
      </c>
      <c r="BG29" s="47" t="str">
        <f>IF(COUNTIFS(IuranSYSebelumnya!$J$330:$J$772,$K29,IuranSYSebelumnya!$M$330:$M$772,BG$11,IuranSYSebelumnya!$L$330:$L$772,$M$5)&gt;0,
        VLOOKUP(CONCATENATE($K29,"|",BG$11,"|",$M$5),IuranSYSebelumnya!$I$330:$N$772,5,FALSE),
        IF(COUNTIFS(IuranSYSebelumnya!$J$330:$J$772,$K29,IuranSYSebelumnya!$M$330:$M$772,BG$11,IuranSYSebelumnya!$L$330:$L$772,"&lt;&gt;"&amp;$M$5)&gt;0,
              "Iuran dari Lingkungan lain",
              ""))</f>
        <v/>
      </c>
      <c r="BH29" s="47" t="str">
        <f>IF(COUNTIFS(IuranSYSebelumnya!$J$330:$J$772,$K29,IuranSYSebelumnya!$M$330:$M$772,BH$11,IuranSYSebelumnya!$L$330:$L$772,$M$5)&gt;0,
        VLOOKUP(CONCATENATE($K29,"|",BH$11,"|",$M$5),IuranSYSebelumnya!$I$330:$N$772,5,FALSE),
        IF(COUNTIFS(IuranSYSebelumnya!$J$330:$J$772,$K29,IuranSYSebelumnya!$M$330:$M$772,BH$11,IuranSYSebelumnya!$L$330:$L$772,"&lt;&gt;"&amp;$M$5)&gt;0,
              "Iuran dari Lingkungan lain",
              ""))</f>
        <v/>
      </c>
      <c r="BI29" s="47" t="str">
        <f>IF(COUNTIFS(IuranSYSebelumnya!$J$330:$J$772,$K29,IuranSYSebelumnya!$M$330:$M$772,BI$11,IuranSYSebelumnya!$L$330:$L$772,$M$5)&gt;0,
        VLOOKUP(CONCATENATE($K29,"|",BI$11,"|",$M$5),IuranSYSebelumnya!$I$330:$N$772,5,FALSE),
        IF(COUNTIFS(IuranSYSebelumnya!$J$330:$J$772,$K29,IuranSYSebelumnya!$M$330:$M$772,BI$11,IuranSYSebelumnya!$L$330:$L$772,"&lt;&gt;"&amp;$M$5)&gt;0,
              "Iuran dari Lingkungan lain",
              ""))</f>
        <v/>
      </c>
      <c r="BJ29" s="47" t="str">
        <f>IF(COUNTIFS(IuranSYSebelumnya!$J$330:$J$772,$K29,IuranSYSebelumnya!$M$330:$M$772,BJ$11,IuranSYSebelumnya!$L$330:$L$772,$M$5)&gt;0,
        VLOOKUP(CONCATENATE($K29,"|",BJ$11,"|",$M$5),IuranSYSebelumnya!$I$330:$N$772,5,FALSE),
        IF(COUNTIFS(IuranSYSebelumnya!$J$330:$J$772,$K29,IuranSYSebelumnya!$M$330:$M$772,BJ$11,IuranSYSebelumnya!$L$330:$L$772,"&lt;&gt;"&amp;$M$5)&gt;0,
              "Iuran dari Lingkungan lain",
              ""))</f>
        <v/>
      </c>
      <c r="BK29" s="47" t="str">
        <f>IF(COUNTIFS(IuranSYSebelumnya!$J$330:$J$772,$K29,IuranSYSebelumnya!$M$330:$M$772,BK$11,IuranSYSebelumnya!$L$330:$L$772,$M$5)&gt;0,
        VLOOKUP(CONCATENATE($K29,"|",BK$11,"|",$M$5),IuranSYSebelumnya!$I$330:$N$772,5,FALSE),
        IF(COUNTIFS(IuranSYSebelumnya!$J$330:$J$772,$K29,IuranSYSebelumnya!$M$330:$M$772,BK$11,IuranSYSebelumnya!$L$330:$L$772,"&lt;&gt;"&amp;$M$5)&gt;0,
              "Iuran dari Lingkungan lain",
              ""))</f>
        <v/>
      </c>
      <c r="BL29" s="47" t="str">
        <f>IF(COUNTIFS(IuranSYSebelumnya!$J$330:$J$772,$K29,IuranSYSebelumnya!$M$330:$M$772,BL$11,IuranSYSebelumnya!$L$330:$L$772,$M$5)&gt;0,
        VLOOKUP(CONCATENATE($K29,"|",BL$11,"|",$M$5),IuranSYSebelumnya!$I$330:$N$772,5,FALSE),
        IF(COUNTIFS(IuranSYSebelumnya!$J$330:$J$772,$K29,IuranSYSebelumnya!$M$330:$M$772,BL$11,IuranSYSebelumnya!$L$330:$L$772,"&lt;&gt;"&amp;$M$5)&gt;0,
              "Iuran dari Lingkungan lain",
              ""))</f>
        <v/>
      </c>
    </row>
    <row r="30" spans="1:64" x14ac:dyDescent="0.35">
      <c r="A30" s="30" t="s">
        <v>6063</v>
      </c>
      <c r="C30" s="30" t="b">
        <f t="shared" ca="1" si="3"/>
        <v>0</v>
      </c>
      <c r="D30" s="30" t="str">
        <f>"""TRUST Nav"",""HSPMTB2016"",""18"",""1"",""KK-05046"""</f>
        <v>"TRUST Nav","HSPMTB2016","18","1","KK-05046"</v>
      </c>
      <c r="H30" s="30">
        <f t="shared" si="4"/>
        <v>0</v>
      </c>
      <c r="J30" s="30">
        <f t="shared" si="5"/>
        <v>18</v>
      </c>
      <c r="K30" s="30" t="str">
        <f>"KK-05046"</f>
        <v>KK-05046</v>
      </c>
      <c r="L30" s="30" t="str">
        <f>"Ignasius Indra Kentjana"</f>
        <v>Ignasius Indra Kentjana</v>
      </c>
      <c r="M30" s="30"/>
      <c r="N30" s="3"/>
      <c r="O30" s="3"/>
      <c r="P30" s="3"/>
      <c r="Q30" s="3"/>
      <c r="R30" s="3"/>
      <c r="S30" s="3"/>
      <c r="T30" s="11"/>
      <c r="U30" s="4"/>
      <c r="V30" s="4"/>
      <c r="W30" s="4"/>
      <c r="X30" s="4"/>
      <c r="Y30" s="15"/>
      <c r="Z30" s="4"/>
      <c r="AA30" s="4"/>
      <c r="AB30" s="4"/>
      <c r="AC30" s="4"/>
      <c r="AD30" s="4"/>
      <c r="AE30" s="4"/>
      <c r="AF30" s="11"/>
      <c r="AG30" s="4"/>
      <c r="AH30" s="4"/>
      <c r="AI30" s="4"/>
      <c r="AJ30" s="4"/>
      <c r="AK30" s="4"/>
      <c r="AL30" s="9">
        <f t="shared" si="6"/>
        <v>0</v>
      </c>
      <c r="AO30" s="47" t="str">
        <f>IF(COUNTIFS(IuranSYSebelumnya!$J$330:$J$772,$K30,IuranSYSebelumnya!$M$330:$M$772,AO$11,IuranSYSebelumnya!$L$330:$L$772,$M$5)&gt;0,
        VLOOKUP(CONCATENATE($K30,"|",AO$11,"|",$M$5),IuranSYSebelumnya!$I$330:$N$772,5,FALSE),
        IF(COUNTIFS(IuranSYSebelumnya!$J$330:$J$772,$K30,IuranSYSebelumnya!$M$330:$M$772,AO$11,IuranSYSebelumnya!$L$330:$L$772,"&lt;&gt;"&amp;$M$5)&gt;0,
              "Iuran dari Lingkungan lain",
              ""))</f>
        <v/>
      </c>
      <c r="AP30" s="47" t="str">
        <f>IF(COUNTIFS(IuranSYSebelumnya!$J$330:$J$772,$K30,IuranSYSebelumnya!$M$330:$M$772,AP$11,IuranSYSebelumnya!$L$330:$L$772,$M$5)&gt;0,
        VLOOKUP(CONCATENATE($K30,"|",AP$11,"|",$M$5),IuranSYSebelumnya!$I$330:$N$772,5,FALSE),
        IF(COUNTIFS(IuranSYSebelumnya!$J$330:$J$772,$K30,IuranSYSebelumnya!$M$330:$M$772,AP$11,IuranSYSebelumnya!$L$330:$L$772,"&lt;&gt;"&amp;$M$5)&gt;0,
              "Iuran dari Lingkungan lain",
              ""))</f>
        <v/>
      </c>
      <c r="AQ30" s="47" t="str">
        <f>IF(COUNTIFS(IuranSYSebelumnya!$J$330:$J$772,$K30,IuranSYSebelumnya!$M$330:$M$772,AQ$11,IuranSYSebelumnya!$L$330:$L$772,$M$5)&gt;0,
        VLOOKUP(CONCATENATE($K30,"|",AQ$11,"|",$M$5),IuranSYSebelumnya!$I$330:$N$772,5,FALSE),
        IF(COUNTIFS(IuranSYSebelumnya!$J$330:$J$772,$K30,IuranSYSebelumnya!$M$330:$M$772,AQ$11,IuranSYSebelumnya!$L$330:$L$772,"&lt;&gt;"&amp;$M$5)&gt;0,
              "Iuran dari Lingkungan lain",
              ""))</f>
        <v/>
      </c>
      <c r="AR30" s="47" t="str">
        <f>IF(COUNTIFS(IuranSYSebelumnya!$J$330:$J$772,$K30,IuranSYSebelumnya!$M$330:$M$772,AR$11,IuranSYSebelumnya!$L$330:$L$772,$M$5)&gt;0,
        VLOOKUP(CONCATENATE($K30,"|",AR$11,"|",$M$5),IuranSYSebelumnya!$I$330:$N$772,5,FALSE),
        IF(COUNTIFS(IuranSYSebelumnya!$J$330:$J$772,$K30,IuranSYSebelumnya!$M$330:$M$772,AR$11,IuranSYSebelumnya!$L$330:$L$772,"&lt;&gt;"&amp;$M$5)&gt;0,
              "Iuran dari Lingkungan lain",
              ""))</f>
        <v/>
      </c>
      <c r="AS30" s="47" t="str">
        <f>IF(COUNTIFS(IuranSYSebelumnya!$J$330:$J$772,$K30,IuranSYSebelumnya!$M$330:$M$772,AS$11,IuranSYSebelumnya!$L$330:$L$772,$M$5)&gt;0,
        VLOOKUP(CONCATENATE($K30,"|",AS$11,"|",$M$5),IuranSYSebelumnya!$I$330:$N$772,5,FALSE),
        IF(COUNTIFS(IuranSYSebelumnya!$J$330:$J$772,$K30,IuranSYSebelumnya!$M$330:$M$772,AS$11,IuranSYSebelumnya!$L$330:$L$772,"&lt;&gt;"&amp;$M$5)&gt;0,
              "Iuran dari Lingkungan lain",
              ""))</f>
        <v/>
      </c>
      <c r="AT30" s="47" t="str">
        <f>IF(COUNTIFS(IuranSYSebelumnya!$J$330:$J$772,$K30,IuranSYSebelumnya!$M$330:$M$772,AT$11,IuranSYSebelumnya!$L$330:$L$772,$M$5)&gt;0,
        VLOOKUP(CONCATENATE($K30,"|",AT$11,"|",$M$5),IuranSYSebelumnya!$I$330:$N$772,5,FALSE),
        IF(COUNTIFS(IuranSYSebelumnya!$J$330:$J$772,$K30,IuranSYSebelumnya!$M$330:$M$772,AT$11,IuranSYSebelumnya!$L$330:$L$772,"&lt;&gt;"&amp;$M$5)&gt;0,
              "Iuran dari Lingkungan lain",
              ""))</f>
        <v/>
      </c>
      <c r="AU30" s="47" t="str">
        <f>IF(COUNTIFS(IuranSYSebelumnya!$J$330:$J$772,$K30,IuranSYSebelumnya!$M$330:$M$772,AU$11,IuranSYSebelumnya!$L$330:$L$772,$M$5)&gt;0,
        VLOOKUP(CONCATENATE($K30,"|",AU$11,"|",$M$5),IuranSYSebelumnya!$I$330:$N$772,5,FALSE),
        IF(COUNTIFS(IuranSYSebelumnya!$J$330:$J$772,$K30,IuranSYSebelumnya!$M$330:$M$772,AU$11,IuranSYSebelumnya!$L$330:$L$772,"&lt;&gt;"&amp;$M$5)&gt;0,
              "Iuran dari Lingkungan lain",
              ""))</f>
        <v/>
      </c>
      <c r="AV30" s="47" t="str">
        <f>IF(COUNTIFS(IuranSYSebelumnya!$J$330:$J$772,$K30,IuranSYSebelumnya!$M$330:$M$772,AV$11,IuranSYSebelumnya!$L$330:$L$772,$M$5)&gt;0,
        VLOOKUP(CONCATENATE($K30,"|",AV$11,"|",$M$5),IuranSYSebelumnya!$I$330:$N$772,5,FALSE),
        IF(COUNTIFS(IuranSYSebelumnya!$J$330:$J$772,$K30,IuranSYSebelumnya!$M$330:$M$772,AV$11,IuranSYSebelumnya!$L$330:$L$772,"&lt;&gt;"&amp;$M$5)&gt;0,
              "Iuran dari Lingkungan lain",
              ""))</f>
        <v/>
      </c>
      <c r="AW30" s="47" t="str">
        <f>IF(COUNTIFS(IuranSYSebelumnya!$J$330:$J$772,$K30,IuranSYSebelumnya!$M$330:$M$772,AW$11,IuranSYSebelumnya!$L$330:$L$772,$M$5)&gt;0,
        VLOOKUP(CONCATENATE($K30,"|",AW$11,"|",$M$5),IuranSYSebelumnya!$I$330:$N$772,5,FALSE),
        IF(COUNTIFS(IuranSYSebelumnya!$J$330:$J$772,$K30,IuranSYSebelumnya!$M$330:$M$772,AW$11,IuranSYSebelumnya!$L$330:$L$772,"&lt;&gt;"&amp;$M$5)&gt;0,
              "Iuran dari Lingkungan lain",
              ""))</f>
        <v/>
      </c>
      <c r="AX30" s="47" t="str">
        <f>IF(COUNTIFS(IuranSYSebelumnya!$J$330:$J$772,$K30,IuranSYSebelumnya!$M$330:$M$772,AX$11,IuranSYSebelumnya!$L$330:$L$772,$M$5)&gt;0,
        VLOOKUP(CONCATENATE($K30,"|",AX$11,"|",$M$5),IuranSYSebelumnya!$I$330:$N$772,5,FALSE),
        IF(COUNTIFS(IuranSYSebelumnya!$J$330:$J$772,$K30,IuranSYSebelumnya!$M$330:$M$772,AX$11,IuranSYSebelumnya!$L$330:$L$772,"&lt;&gt;"&amp;$M$5)&gt;0,
              "Iuran dari Lingkungan lain",
              ""))</f>
        <v/>
      </c>
      <c r="AY30" s="47" t="str">
        <f>IF(COUNTIFS(IuranSYSebelumnya!$J$330:$J$772,$K30,IuranSYSebelumnya!$M$330:$M$772,AY$11,IuranSYSebelumnya!$L$330:$L$772,$M$5)&gt;0,
        VLOOKUP(CONCATENATE($K30,"|",AY$11,"|",$M$5),IuranSYSebelumnya!$I$330:$N$772,5,FALSE),
        IF(COUNTIFS(IuranSYSebelumnya!$J$330:$J$772,$K30,IuranSYSebelumnya!$M$330:$M$772,AY$11,IuranSYSebelumnya!$L$330:$L$772,"&lt;&gt;"&amp;$M$5)&gt;0,
              "Iuran dari Lingkungan lain",
              ""))</f>
        <v/>
      </c>
      <c r="AZ30" s="47" t="str">
        <f>IF(COUNTIFS(IuranSYSebelumnya!$J$330:$J$772,$K30,IuranSYSebelumnya!$M$330:$M$772,AZ$11,IuranSYSebelumnya!$L$330:$L$772,$M$5)&gt;0,
        VLOOKUP(CONCATENATE($K30,"|",AZ$11,"|",$M$5),IuranSYSebelumnya!$I$330:$N$772,5,FALSE),
        IF(COUNTIFS(IuranSYSebelumnya!$J$330:$J$772,$K30,IuranSYSebelumnya!$M$330:$M$772,AZ$11,IuranSYSebelumnya!$L$330:$L$772,"&lt;&gt;"&amp;$M$5)&gt;0,
              "Iuran dari Lingkungan lain",
              ""))</f>
        <v/>
      </c>
      <c r="BA30" s="47" t="str">
        <f>IF(COUNTIFS(IuranSYSebelumnya!$J$330:$J$772,$K30,IuranSYSebelumnya!$M$330:$M$772,BA$11,IuranSYSebelumnya!$L$330:$L$772,$M$5)&gt;0,
        VLOOKUP(CONCATENATE($K30,"|",BA$11,"|",$M$5),IuranSYSebelumnya!$I$330:$N$772,5,FALSE),
        IF(COUNTIFS(IuranSYSebelumnya!$J$330:$J$772,$K30,IuranSYSebelumnya!$M$330:$M$772,BA$11,IuranSYSebelumnya!$L$330:$L$772,"&lt;&gt;"&amp;$M$5)&gt;0,
              "Iuran dari Lingkungan lain",
              ""))</f>
        <v/>
      </c>
      <c r="BB30" s="47" t="str">
        <f>IF(COUNTIFS(IuranSYSebelumnya!$J$330:$J$772,$K30,IuranSYSebelumnya!$M$330:$M$772,BB$11,IuranSYSebelumnya!$L$330:$L$772,$M$5)&gt;0,
        VLOOKUP(CONCATENATE($K30,"|",BB$11,"|",$M$5),IuranSYSebelumnya!$I$330:$N$772,5,FALSE),
        IF(COUNTIFS(IuranSYSebelumnya!$J$330:$J$772,$K30,IuranSYSebelumnya!$M$330:$M$772,BB$11,IuranSYSebelumnya!$L$330:$L$772,"&lt;&gt;"&amp;$M$5)&gt;0,
              "Iuran dari Lingkungan lain",
              ""))</f>
        <v/>
      </c>
      <c r="BC30" s="47" t="str">
        <f>IF(COUNTIFS(IuranSYSebelumnya!$J$330:$J$772,$K30,IuranSYSebelumnya!$M$330:$M$772,BC$11,IuranSYSebelumnya!$L$330:$L$772,$M$5)&gt;0,
        VLOOKUP(CONCATENATE($K30,"|",BC$11,"|",$M$5),IuranSYSebelumnya!$I$330:$N$772,5,FALSE),
        IF(COUNTIFS(IuranSYSebelumnya!$J$330:$J$772,$K30,IuranSYSebelumnya!$M$330:$M$772,BC$11,IuranSYSebelumnya!$L$330:$L$772,"&lt;&gt;"&amp;$M$5)&gt;0,
              "Iuran dari Lingkungan lain",
              ""))</f>
        <v/>
      </c>
      <c r="BD30" s="47" t="str">
        <f>IF(COUNTIFS(IuranSYSebelumnya!$J$330:$J$772,$K30,IuranSYSebelumnya!$M$330:$M$772,BD$11,IuranSYSebelumnya!$L$330:$L$772,$M$5)&gt;0,
        VLOOKUP(CONCATENATE($K30,"|",BD$11,"|",$M$5),IuranSYSebelumnya!$I$330:$N$772,5,FALSE),
        IF(COUNTIFS(IuranSYSebelumnya!$J$330:$J$772,$K30,IuranSYSebelumnya!$M$330:$M$772,BD$11,IuranSYSebelumnya!$L$330:$L$772,"&lt;&gt;"&amp;$M$5)&gt;0,
              "Iuran dari Lingkungan lain",
              ""))</f>
        <v/>
      </c>
      <c r="BE30" s="47" t="str">
        <f>IF(COUNTIFS(IuranSYSebelumnya!$J$330:$J$772,$K30,IuranSYSebelumnya!$M$330:$M$772,BE$11,IuranSYSebelumnya!$L$330:$L$772,$M$5)&gt;0,
        VLOOKUP(CONCATENATE($K30,"|",BE$11,"|",$M$5),IuranSYSebelumnya!$I$330:$N$772,5,FALSE),
        IF(COUNTIFS(IuranSYSebelumnya!$J$330:$J$772,$K30,IuranSYSebelumnya!$M$330:$M$772,BE$11,IuranSYSebelumnya!$L$330:$L$772,"&lt;&gt;"&amp;$M$5)&gt;0,
              "Iuran dari Lingkungan lain",
              ""))</f>
        <v/>
      </c>
      <c r="BF30" s="47" t="str">
        <f>IF(COUNTIFS(IuranSYSebelumnya!$J$330:$J$772,$K30,IuranSYSebelumnya!$M$330:$M$772,BF$11,IuranSYSebelumnya!$L$330:$L$772,$M$5)&gt;0,
        VLOOKUP(CONCATENATE($K30,"|",BF$11,"|",$M$5),IuranSYSebelumnya!$I$330:$N$772,5,FALSE),
        IF(COUNTIFS(IuranSYSebelumnya!$J$330:$J$772,$K30,IuranSYSebelumnya!$M$330:$M$772,BF$11,IuranSYSebelumnya!$L$330:$L$772,"&lt;&gt;"&amp;$M$5)&gt;0,
              "Iuran dari Lingkungan lain",
              ""))</f>
        <v/>
      </c>
      <c r="BG30" s="47" t="str">
        <f>IF(COUNTIFS(IuranSYSebelumnya!$J$330:$J$772,$K30,IuranSYSebelumnya!$M$330:$M$772,BG$11,IuranSYSebelumnya!$L$330:$L$772,$M$5)&gt;0,
        VLOOKUP(CONCATENATE($K30,"|",BG$11,"|",$M$5),IuranSYSebelumnya!$I$330:$N$772,5,FALSE),
        IF(COUNTIFS(IuranSYSebelumnya!$J$330:$J$772,$K30,IuranSYSebelumnya!$M$330:$M$772,BG$11,IuranSYSebelumnya!$L$330:$L$772,"&lt;&gt;"&amp;$M$5)&gt;0,
              "Iuran dari Lingkungan lain",
              ""))</f>
        <v/>
      </c>
      <c r="BH30" s="47" t="str">
        <f>IF(COUNTIFS(IuranSYSebelumnya!$J$330:$J$772,$K30,IuranSYSebelumnya!$M$330:$M$772,BH$11,IuranSYSebelumnya!$L$330:$L$772,$M$5)&gt;0,
        VLOOKUP(CONCATENATE($K30,"|",BH$11,"|",$M$5),IuranSYSebelumnya!$I$330:$N$772,5,FALSE),
        IF(COUNTIFS(IuranSYSebelumnya!$J$330:$J$772,$K30,IuranSYSebelumnya!$M$330:$M$772,BH$11,IuranSYSebelumnya!$L$330:$L$772,"&lt;&gt;"&amp;$M$5)&gt;0,
              "Iuran dari Lingkungan lain",
              ""))</f>
        <v/>
      </c>
      <c r="BI30" s="47" t="str">
        <f>IF(COUNTIFS(IuranSYSebelumnya!$J$330:$J$772,$K30,IuranSYSebelumnya!$M$330:$M$772,BI$11,IuranSYSebelumnya!$L$330:$L$772,$M$5)&gt;0,
        VLOOKUP(CONCATENATE($K30,"|",BI$11,"|",$M$5),IuranSYSebelumnya!$I$330:$N$772,5,FALSE),
        IF(COUNTIFS(IuranSYSebelumnya!$J$330:$J$772,$K30,IuranSYSebelumnya!$M$330:$M$772,BI$11,IuranSYSebelumnya!$L$330:$L$772,"&lt;&gt;"&amp;$M$5)&gt;0,
              "Iuran dari Lingkungan lain",
              ""))</f>
        <v/>
      </c>
      <c r="BJ30" s="47" t="str">
        <f>IF(COUNTIFS(IuranSYSebelumnya!$J$330:$J$772,$K30,IuranSYSebelumnya!$M$330:$M$772,BJ$11,IuranSYSebelumnya!$L$330:$L$772,$M$5)&gt;0,
        VLOOKUP(CONCATENATE($K30,"|",BJ$11,"|",$M$5),IuranSYSebelumnya!$I$330:$N$772,5,FALSE),
        IF(COUNTIFS(IuranSYSebelumnya!$J$330:$J$772,$K30,IuranSYSebelumnya!$M$330:$M$772,BJ$11,IuranSYSebelumnya!$L$330:$L$772,"&lt;&gt;"&amp;$M$5)&gt;0,
              "Iuran dari Lingkungan lain",
              ""))</f>
        <v/>
      </c>
      <c r="BK30" s="47" t="str">
        <f>IF(COUNTIFS(IuranSYSebelumnya!$J$330:$J$772,$K30,IuranSYSebelumnya!$M$330:$M$772,BK$11,IuranSYSebelumnya!$L$330:$L$772,$M$5)&gt;0,
        VLOOKUP(CONCATENATE($K30,"|",BK$11,"|",$M$5),IuranSYSebelumnya!$I$330:$N$772,5,FALSE),
        IF(COUNTIFS(IuranSYSebelumnya!$J$330:$J$772,$K30,IuranSYSebelumnya!$M$330:$M$772,BK$11,IuranSYSebelumnya!$L$330:$L$772,"&lt;&gt;"&amp;$M$5)&gt;0,
              "Iuran dari Lingkungan lain",
              ""))</f>
        <v/>
      </c>
      <c r="BL30" s="47" t="str">
        <f>IF(COUNTIFS(IuranSYSebelumnya!$J$330:$J$772,$K30,IuranSYSebelumnya!$M$330:$M$772,BL$11,IuranSYSebelumnya!$L$330:$L$772,$M$5)&gt;0,
        VLOOKUP(CONCATENATE($K30,"|",BL$11,"|",$M$5),IuranSYSebelumnya!$I$330:$N$772,5,FALSE),
        IF(COUNTIFS(IuranSYSebelumnya!$J$330:$J$772,$K30,IuranSYSebelumnya!$M$330:$M$772,BL$11,IuranSYSebelumnya!$L$330:$L$772,"&lt;&gt;"&amp;$M$5)&gt;0,
              "Iuran dari Lingkungan lain",
              ""))</f>
        <v/>
      </c>
    </row>
    <row r="31" spans="1:64" x14ac:dyDescent="0.35">
      <c r="A31" s="30" t="s">
        <v>6063</v>
      </c>
      <c r="C31" s="30" t="b">
        <f t="shared" ca="1" si="3"/>
        <v>0</v>
      </c>
      <c r="D31" s="30" t="str">
        <f>"""TRUST Nav"",""HSPMTB2016"",""18"",""1"",""KK-04613"""</f>
        <v>"TRUST Nav","HSPMTB2016","18","1","KK-04613"</v>
      </c>
      <c r="H31" s="30">
        <f t="shared" si="4"/>
        <v>0</v>
      </c>
      <c r="J31" s="30">
        <f t="shared" si="5"/>
        <v>19</v>
      </c>
      <c r="K31" s="30" t="str">
        <f>"KK-04613"</f>
        <v>KK-04613</v>
      </c>
      <c r="L31" s="30" t="str">
        <f>"Ignatius Yanto Hardoyo"</f>
        <v>Ignatius Yanto Hardoyo</v>
      </c>
      <c r="M31" s="30"/>
      <c r="N31" s="129"/>
      <c r="O31" s="129"/>
      <c r="P31" s="129"/>
      <c r="Q31" s="129"/>
      <c r="R31" s="129"/>
      <c r="S31" s="129"/>
      <c r="T31" s="130"/>
      <c r="U31" s="131"/>
      <c r="V31" s="131"/>
      <c r="W31" s="131"/>
      <c r="X31" s="131"/>
      <c r="Y31" s="132"/>
      <c r="Z31" s="131"/>
      <c r="AA31" s="131"/>
      <c r="AB31" s="4"/>
      <c r="AC31" s="4"/>
      <c r="AD31" s="4"/>
      <c r="AE31" s="4"/>
      <c r="AF31" s="11"/>
      <c r="AG31" s="4"/>
      <c r="AH31" s="4"/>
      <c r="AI31" s="4"/>
      <c r="AJ31" s="4"/>
      <c r="AK31" s="4"/>
      <c r="AL31" s="9">
        <f t="shared" si="6"/>
        <v>0</v>
      </c>
      <c r="AO31" s="47">
        <f>IF(COUNTIFS(IuranSYSebelumnya!$J$330:$J$772,$K31,IuranSYSebelumnya!$M$330:$M$772,AO$11,IuranSYSebelumnya!$L$330:$L$772,$M$5)&gt;0,
        VLOOKUP(CONCATENATE($K31,"|",AO$11,"|",$M$5),IuranSYSebelumnya!$I$330:$N$772,5,FALSE),
        IF(COUNTIFS(IuranSYSebelumnya!$J$330:$J$772,$K31,IuranSYSebelumnya!$M$330:$M$772,AO$11,IuranSYSebelumnya!$L$330:$L$772,"&lt;&gt;"&amp;$M$5)&gt;0,
              "Iuran dari Lingkungan lain",
              ""))</f>
        <v>42186</v>
      </c>
      <c r="AP31" s="47">
        <f>IF(COUNTIFS(IuranSYSebelumnya!$J$330:$J$772,$K31,IuranSYSebelumnya!$M$330:$M$772,AP$11,IuranSYSebelumnya!$L$330:$L$772,$M$5)&gt;0,
        VLOOKUP(CONCATENATE($K31,"|",AP$11,"|",$M$5),IuranSYSebelumnya!$I$330:$N$772,5,FALSE),
        IF(COUNTIFS(IuranSYSebelumnya!$J$330:$J$772,$K31,IuranSYSebelumnya!$M$330:$M$772,AP$11,IuranSYSebelumnya!$L$330:$L$772,"&lt;&gt;"&amp;$M$5)&gt;0,
              "Iuran dari Lingkungan lain",
              ""))</f>
        <v>42217</v>
      </c>
      <c r="AQ31" s="47">
        <f>IF(COUNTIFS(IuranSYSebelumnya!$J$330:$J$772,$K31,IuranSYSebelumnya!$M$330:$M$772,AQ$11,IuranSYSebelumnya!$L$330:$L$772,$M$5)&gt;0,
        VLOOKUP(CONCATENATE($K31,"|",AQ$11,"|",$M$5),IuranSYSebelumnya!$I$330:$N$772,5,FALSE),
        IF(COUNTIFS(IuranSYSebelumnya!$J$330:$J$772,$K31,IuranSYSebelumnya!$M$330:$M$772,AQ$11,IuranSYSebelumnya!$L$330:$L$772,"&lt;&gt;"&amp;$M$5)&gt;0,
              "Iuran dari Lingkungan lain",
              ""))</f>
        <v>42248</v>
      </c>
      <c r="AR31" s="47">
        <f>IF(COUNTIFS(IuranSYSebelumnya!$J$330:$J$772,$K31,IuranSYSebelumnya!$M$330:$M$772,AR$11,IuranSYSebelumnya!$L$330:$L$772,$M$5)&gt;0,
        VLOOKUP(CONCATENATE($K31,"|",AR$11,"|",$M$5),IuranSYSebelumnya!$I$330:$N$772,5,FALSE),
        IF(COUNTIFS(IuranSYSebelumnya!$J$330:$J$772,$K31,IuranSYSebelumnya!$M$330:$M$772,AR$11,IuranSYSebelumnya!$L$330:$L$772,"&lt;&gt;"&amp;$M$5)&gt;0,
              "Iuran dari Lingkungan lain",
              ""))</f>
        <v>42278</v>
      </c>
      <c r="AS31" s="47">
        <f>IF(COUNTIFS(IuranSYSebelumnya!$J$330:$J$772,$K31,IuranSYSebelumnya!$M$330:$M$772,AS$11,IuranSYSebelumnya!$L$330:$L$772,$M$5)&gt;0,
        VLOOKUP(CONCATENATE($K31,"|",AS$11,"|",$M$5),IuranSYSebelumnya!$I$330:$N$772,5,FALSE),
        IF(COUNTIFS(IuranSYSebelumnya!$J$330:$J$772,$K31,IuranSYSebelumnya!$M$330:$M$772,AS$11,IuranSYSebelumnya!$L$330:$L$772,"&lt;&gt;"&amp;$M$5)&gt;0,
              "Iuran dari Lingkungan lain",
              ""))</f>
        <v>42309</v>
      </c>
      <c r="AT31" s="47">
        <f>IF(COUNTIFS(IuranSYSebelumnya!$J$330:$J$772,$K31,IuranSYSebelumnya!$M$330:$M$772,AT$11,IuranSYSebelumnya!$L$330:$L$772,$M$5)&gt;0,
        VLOOKUP(CONCATENATE($K31,"|",AT$11,"|",$M$5),IuranSYSebelumnya!$I$330:$N$772,5,FALSE),
        IF(COUNTIFS(IuranSYSebelumnya!$J$330:$J$772,$K31,IuranSYSebelumnya!$M$330:$M$772,AT$11,IuranSYSebelumnya!$L$330:$L$772,"&lt;&gt;"&amp;$M$5)&gt;0,
              "Iuran dari Lingkungan lain",
              ""))</f>
        <v>42339</v>
      </c>
      <c r="AU31" s="47">
        <f>IF(COUNTIFS(IuranSYSebelumnya!$J$330:$J$772,$K31,IuranSYSebelumnya!$M$330:$M$772,AU$11,IuranSYSebelumnya!$L$330:$L$772,$M$5)&gt;0,
        VLOOKUP(CONCATENATE($K31,"|",AU$11,"|",$M$5),IuranSYSebelumnya!$I$330:$N$772,5,FALSE),
        IF(COUNTIFS(IuranSYSebelumnya!$J$330:$J$772,$K31,IuranSYSebelumnya!$M$330:$M$772,AU$11,IuranSYSebelumnya!$L$330:$L$772,"&lt;&gt;"&amp;$M$5)&gt;0,
              "Iuran dari Lingkungan lain",
              ""))</f>
        <v>42370</v>
      </c>
      <c r="AV31" s="47">
        <f>IF(COUNTIFS(IuranSYSebelumnya!$J$330:$J$772,$K31,IuranSYSebelumnya!$M$330:$M$772,AV$11,IuranSYSebelumnya!$L$330:$L$772,$M$5)&gt;0,
        VLOOKUP(CONCATENATE($K31,"|",AV$11,"|",$M$5),IuranSYSebelumnya!$I$330:$N$772,5,FALSE),
        IF(COUNTIFS(IuranSYSebelumnya!$J$330:$J$772,$K31,IuranSYSebelumnya!$M$330:$M$772,AV$11,IuranSYSebelumnya!$L$330:$L$772,"&lt;&gt;"&amp;$M$5)&gt;0,
              "Iuran dari Lingkungan lain",
              ""))</f>
        <v>42401</v>
      </c>
      <c r="AW31" s="47">
        <f>IF(COUNTIFS(IuranSYSebelumnya!$J$330:$J$772,$K31,IuranSYSebelumnya!$M$330:$M$772,AW$11,IuranSYSebelumnya!$L$330:$L$772,$M$5)&gt;0,
        VLOOKUP(CONCATENATE($K31,"|",AW$11,"|",$M$5),IuranSYSebelumnya!$I$330:$N$772,5,FALSE),
        IF(COUNTIFS(IuranSYSebelumnya!$J$330:$J$772,$K31,IuranSYSebelumnya!$M$330:$M$772,AW$11,IuranSYSebelumnya!$L$330:$L$772,"&lt;&gt;"&amp;$M$5)&gt;0,
              "Iuran dari Lingkungan lain",
              ""))</f>
        <v>42430</v>
      </c>
      <c r="AX31" s="47">
        <f>IF(COUNTIFS(IuranSYSebelumnya!$J$330:$J$772,$K31,IuranSYSebelumnya!$M$330:$M$772,AX$11,IuranSYSebelumnya!$L$330:$L$772,$M$5)&gt;0,
        VLOOKUP(CONCATENATE($K31,"|",AX$11,"|",$M$5),IuranSYSebelumnya!$I$330:$N$772,5,FALSE),
        IF(COUNTIFS(IuranSYSebelumnya!$J$330:$J$772,$K31,IuranSYSebelumnya!$M$330:$M$772,AX$11,IuranSYSebelumnya!$L$330:$L$772,"&lt;&gt;"&amp;$M$5)&gt;0,
              "Iuran dari Lingkungan lain",
              ""))</f>
        <v>42461</v>
      </c>
      <c r="AY31" s="47">
        <f>IF(COUNTIFS(IuranSYSebelumnya!$J$330:$J$772,$K31,IuranSYSebelumnya!$M$330:$M$772,AY$11,IuranSYSebelumnya!$L$330:$L$772,$M$5)&gt;0,
        VLOOKUP(CONCATENATE($K31,"|",AY$11,"|",$M$5),IuranSYSebelumnya!$I$330:$N$772,5,FALSE),
        IF(COUNTIFS(IuranSYSebelumnya!$J$330:$J$772,$K31,IuranSYSebelumnya!$M$330:$M$772,AY$11,IuranSYSebelumnya!$L$330:$L$772,"&lt;&gt;"&amp;$M$5)&gt;0,
              "Iuran dari Lingkungan lain",
              ""))</f>
        <v>42491</v>
      </c>
      <c r="AZ31" s="47">
        <f>IF(COUNTIFS(IuranSYSebelumnya!$J$330:$J$772,$K31,IuranSYSebelumnya!$M$330:$M$772,AZ$11,IuranSYSebelumnya!$L$330:$L$772,$M$5)&gt;0,
        VLOOKUP(CONCATENATE($K31,"|",AZ$11,"|",$M$5),IuranSYSebelumnya!$I$330:$N$772,5,FALSE),
        IF(COUNTIFS(IuranSYSebelumnya!$J$330:$J$772,$K31,IuranSYSebelumnya!$M$330:$M$772,AZ$11,IuranSYSebelumnya!$L$330:$L$772,"&lt;&gt;"&amp;$M$5)&gt;0,
              "Iuran dari Lingkungan lain",
              ""))</f>
        <v>42522</v>
      </c>
      <c r="BA31" s="47">
        <f>IF(COUNTIFS(IuranSYSebelumnya!$J$330:$J$772,$K31,IuranSYSebelumnya!$M$330:$M$772,BA$11,IuranSYSebelumnya!$L$330:$L$772,$M$5)&gt;0,
        VLOOKUP(CONCATENATE($K31,"|",BA$11,"|",$M$5),IuranSYSebelumnya!$I$330:$N$772,5,FALSE),
        IF(COUNTIFS(IuranSYSebelumnya!$J$330:$J$772,$K31,IuranSYSebelumnya!$M$330:$M$772,BA$11,IuranSYSebelumnya!$L$330:$L$772,"&lt;&gt;"&amp;$M$5)&gt;0,
              "Iuran dari Lingkungan lain",
              ""))</f>
        <v>42552</v>
      </c>
      <c r="BB31" s="47">
        <f>IF(COUNTIFS(IuranSYSebelumnya!$J$330:$J$772,$K31,IuranSYSebelumnya!$M$330:$M$772,BB$11,IuranSYSebelumnya!$L$330:$L$772,$M$5)&gt;0,
        VLOOKUP(CONCATENATE($K31,"|",BB$11,"|",$M$5),IuranSYSebelumnya!$I$330:$N$772,5,FALSE),
        IF(COUNTIFS(IuranSYSebelumnya!$J$330:$J$772,$K31,IuranSYSebelumnya!$M$330:$M$772,BB$11,IuranSYSebelumnya!$L$330:$L$772,"&lt;&gt;"&amp;$M$5)&gt;0,
              "Iuran dari Lingkungan lain",
              ""))</f>
        <v>42583</v>
      </c>
      <c r="BC31" s="47" t="str">
        <f>IF(COUNTIFS(IuranSYSebelumnya!$J$330:$J$772,$K31,IuranSYSebelumnya!$M$330:$M$772,BC$11,IuranSYSebelumnya!$L$330:$L$772,$M$5)&gt;0,
        VLOOKUP(CONCATENATE($K31,"|",BC$11,"|",$M$5),IuranSYSebelumnya!$I$330:$N$772,5,FALSE),
        IF(COUNTIFS(IuranSYSebelumnya!$J$330:$J$772,$K31,IuranSYSebelumnya!$M$330:$M$772,BC$11,IuranSYSebelumnya!$L$330:$L$772,"&lt;&gt;"&amp;$M$5)&gt;0,
              "Iuran dari Lingkungan lain",
              ""))</f>
        <v/>
      </c>
      <c r="BD31" s="47" t="str">
        <f>IF(COUNTIFS(IuranSYSebelumnya!$J$330:$J$772,$K31,IuranSYSebelumnya!$M$330:$M$772,BD$11,IuranSYSebelumnya!$L$330:$L$772,$M$5)&gt;0,
        VLOOKUP(CONCATENATE($K31,"|",BD$11,"|",$M$5),IuranSYSebelumnya!$I$330:$N$772,5,FALSE),
        IF(COUNTIFS(IuranSYSebelumnya!$J$330:$J$772,$K31,IuranSYSebelumnya!$M$330:$M$772,BD$11,IuranSYSebelumnya!$L$330:$L$772,"&lt;&gt;"&amp;$M$5)&gt;0,
              "Iuran dari Lingkungan lain",
              ""))</f>
        <v/>
      </c>
      <c r="BE31" s="47" t="str">
        <f>IF(COUNTIFS(IuranSYSebelumnya!$J$330:$J$772,$K31,IuranSYSebelumnya!$M$330:$M$772,BE$11,IuranSYSebelumnya!$L$330:$L$772,$M$5)&gt;0,
        VLOOKUP(CONCATENATE($K31,"|",BE$11,"|",$M$5),IuranSYSebelumnya!$I$330:$N$772,5,FALSE),
        IF(COUNTIFS(IuranSYSebelumnya!$J$330:$J$772,$K31,IuranSYSebelumnya!$M$330:$M$772,BE$11,IuranSYSebelumnya!$L$330:$L$772,"&lt;&gt;"&amp;$M$5)&gt;0,
              "Iuran dari Lingkungan lain",
              ""))</f>
        <v/>
      </c>
      <c r="BF31" s="47" t="str">
        <f>IF(COUNTIFS(IuranSYSebelumnya!$J$330:$J$772,$K31,IuranSYSebelumnya!$M$330:$M$772,BF$11,IuranSYSebelumnya!$L$330:$L$772,$M$5)&gt;0,
        VLOOKUP(CONCATENATE($K31,"|",BF$11,"|",$M$5),IuranSYSebelumnya!$I$330:$N$772,5,FALSE),
        IF(COUNTIFS(IuranSYSebelumnya!$J$330:$J$772,$K31,IuranSYSebelumnya!$M$330:$M$772,BF$11,IuranSYSebelumnya!$L$330:$L$772,"&lt;&gt;"&amp;$M$5)&gt;0,
              "Iuran dari Lingkungan lain",
              ""))</f>
        <v/>
      </c>
      <c r="BG31" s="47" t="str">
        <f>IF(COUNTIFS(IuranSYSebelumnya!$J$330:$J$772,$K31,IuranSYSebelumnya!$M$330:$M$772,BG$11,IuranSYSebelumnya!$L$330:$L$772,$M$5)&gt;0,
        VLOOKUP(CONCATENATE($K31,"|",BG$11,"|",$M$5),IuranSYSebelumnya!$I$330:$N$772,5,FALSE),
        IF(COUNTIFS(IuranSYSebelumnya!$J$330:$J$772,$K31,IuranSYSebelumnya!$M$330:$M$772,BG$11,IuranSYSebelumnya!$L$330:$L$772,"&lt;&gt;"&amp;$M$5)&gt;0,
              "Iuran dari Lingkungan lain",
              ""))</f>
        <v/>
      </c>
      <c r="BH31" s="47" t="str">
        <f>IF(COUNTIFS(IuranSYSebelumnya!$J$330:$J$772,$K31,IuranSYSebelumnya!$M$330:$M$772,BH$11,IuranSYSebelumnya!$L$330:$L$772,$M$5)&gt;0,
        VLOOKUP(CONCATENATE($K31,"|",BH$11,"|",$M$5),IuranSYSebelumnya!$I$330:$N$772,5,FALSE),
        IF(COUNTIFS(IuranSYSebelumnya!$J$330:$J$772,$K31,IuranSYSebelumnya!$M$330:$M$772,BH$11,IuranSYSebelumnya!$L$330:$L$772,"&lt;&gt;"&amp;$M$5)&gt;0,
              "Iuran dari Lingkungan lain",
              ""))</f>
        <v/>
      </c>
      <c r="BI31" s="47" t="str">
        <f>IF(COUNTIFS(IuranSYSebelumnya!$J$330:$J$772,$K31,IuranSYSebelumnya!$M$330:$M$772,BI$11,IuranSYSebelumnya!$L$330:$L$772,$M$5)&gt;0,
        VLOOKUP(CONCATENATE($K31,"|",BI$11,"|",$M$5),IuranSYSebelumnya!$I$330:$N$772,5,FALSE),
        IF(COUNTIFS(IuranSYSebelumnya!$J$330:$J$772,$K31,IuranSYSebelumnya!$M$330:$M$772,BI$11,IuranSYSebelumnya!$L$330:$L$772,"&lt;&gt;"&amp;$M$5)&gt;0,
              "Iuran dari Lingkungan lain",
              ""))</f>
        <v/>
      </c>
      <c r="BJ31" s="47" t="str">
        <f>IF(COUNTIFS(IuranSYSebelumnya!$J$330:$J$772,$K31,IuranSYSebelumnya!$M$330:$M$772,BJ$11,IuranSYSebelumnya!$L$330:$L$772,$M$5)&gt;0,
        VLOOKUP(CONCATENATE($K31,"|",BJ$11,"|",$M$5),IuranSYSebelumnya!$I$330:$N$772,5,FALSE),
        IF(COUNTIFS(IuranSYSebelumnya!$J$330:$J$772,$K31,IuranSYSebelumnya!$M$330:$M$772,BJ$11,IuranSYSebelumnya!$L$330:$L$772,"&lt;&gt;"&amp;$M$5)&gt;0,
              "Iuran dari Lingkungan lain",
              ""))</f>
        <v/>
      </c>
      <c r="BK31" s="47" t="str">
        <f>IF(COUNTIFS(IuranSYSebelumnya!$J$330:$J$772,$K31,IuranSYSebelumnya!$M$330:$M$772,BK$11,IuranSYSebelumnya!$L$330:$L$772,$M$5)&gt;0,
        VLOOKUP(CONCATENATE($K31,"|",BK$11,"|",$M$5),IuranSYSebelumnya!$I$330:$N$772,5,FALSE),
        IF(COUNTIFS(IuranSYSebelumnya!$J$330:$J$772,$K31,IuranSYSebelumnya!$M$330:$M$772,BK$11,IuranSYSebelumnya!$L$330:$L$772,"&lt;&gt;"&amp;$M$5)&gt;0,
              "Iuran dari Lingkungan lain",
              ""))</f>
        <v/>
      </c>
      <c r="BL31" s="47" t="str">
        <f>IF(COUNTIFS(IuranSYSebelumnya!$J$330:$J$772,$K31,IuranSYSebelumnya!$M$330:$M$772,BL$11,IuranSYSebelumnya!$L$330:$L$772,$M$5)&gt;0,
        VLOOKUP(CONCATENATE($K31,"|",BL$11,"|",$M$5),IuranSYSebelumnya!$I$330:$N$772,5,FALSE),
        IF(COUNTIFS(IuranSYSebelumnya!$J$330:$J$772,$K31,IuranSYSebelumnya!$M$330:$M$772,BL$11,IuranSYSebelumnya!$L$330:$L$772,"&lt;&gt;"&amp;$M$5)&gt;0,
              "Iuran dari Lingkungan lain",
              ""))</f>
        <v/>
      </c>
    </row>
    <row r="32" spans="1:64" x14ac:dyDescent="0.35">
      <c r="A32" s="30" t="s">
        <v>6063</v>
      </c>
      <c r="C32" s="30" t="b">
        <f t="shared" ca="1" si="3"/>
        <v>0</v>
      </c>
      <c r="D32" s="30" t="str">
        <f>"""TRUST Nav"",""HSPMTB2016"",""18"",""1"",""KK-04609"""</f>
        <v>"TRUST Nav","HSPMTB2016","18","1","KK-04609"</v>
      </c>
      <c r="H32" s="30">
        <f t="shared" si="4"/>
        <v>0</v>
      </c>
      <c r="J32" s="30">
        <f t="shared" si="5"/>
        <v>20</v>
      </c>
      <c r="K32" s="30" t="str">
        <f>"KK-04609"</f>
        <v>KK-04609</v>
      </c>
      <c r="L32" s="30" t="str">
        <f>"Jofenwali"</f>
        <v>Jofenwali</v>
      </c>
      <c r="M32" s="30"/>
      <c r="N32" s="129"/>
      <c r="O32" s="129"/>
      <c r="P32" s="129"/>
      <c r="Q32" s="129"/>
      <c r="R32" s="129"/>
      <c r="S32" s="129"/>
      <c r="T32" s="130"/>
      <c r="U32" s="131"/>
      <c r="V32" s="131"/>
      <c r="W32" s="131"/>
      <c r="X32" s="4"/>
      <c r="Y32" s="15"/>
      <c r="Z32" s="4"/>
      <c r="AA32" s="4"/>
      <c r="AB32" s="4"/>
      <c r="AC32" s="4"/>
      <c r="AD32" s="4"/>
      <c r="AE32" s="4"/>
      <c r="AF32" s="11"/>
      <c r="AG32" s="4"/>
      <c r="AH32" s="4"/>
      <c r="AI32" s="4"/>
      <c r="AJ32" s="4"/>
      <c r="AK32" s="4"/>
      <c r="AL32" s="9">
        <f t="shared" si="6"/>
        <v>0</v>
      </c>
      <c r="AO32" s="47">
        <f>IF(COUNTIFS(IuranSYSebelumnya!$J$330:$J$772,$K32,IuranSYSebelumnya!$M$330:$M$772,AO$11,IuranSYSebelumnya!$L$330:$L$772,$M$5)&gt;0,
        VLOOKUP(CONCATENATE($K32,"|",AO$11,"|",$M$5),IuranSYSebelumnya!$I$330:$N$772,5,FALSE),
        IF(COUNTIFS(IuranSYSebelumnya!$J$330:$J$772,$K32,IuranSYSebelumnya!$M$330:$M$772,AO$11,IuranSYSebelumnya!$L$330:$L$772,"&lt;&gt;"&amp;$M$5)&gt;0,
              "Iuran dari Lingkungan lain",
              ""))</f>
        <v>42186</v>
      </c>
      <c r="AP32" s="47">
        <f>IF(COUNTIFS(IuranSYSebelumnya!$J$330:$J$772,$K32,IuranSYSebelumnya!$M$330:$M$772,AP$11,IuranSYSebelumnya!$L$330:$L$772,$M$5)&gt;0,
        VLOOKUP(CONCATENATE($K32,"|",AP$11,"|",$M$5),IuranSYSebelumnya!$I$330:$N$772,5,FALSE),
        IF(COUNTIFS(IuranSYSebelumnya!$J$330:$J$772,$K32,IuranSYSebelumnya!$M$330:$M$772,AP$11,IuranSYSebelumnya!$L$330:$L$772,"&lt;&gt;"&amp;$M$5)&gt;0,
              "Iuran dari Lingkungan lain",
              ""))</f>
        <v>42217</v>
      </c>
      <c r="AQ32" s="47">
        <f>IF(COUNTIFS(IuranSYSebelumnya!$J$330:$J$772,$K32,IuranSYSebelumnya!$M$330:$M$772,AQ$11,IuranSYSebelumnya!$L$330:$L$772,$M$5)&gt;0,
        VLOOKUP(CONCATENATE($K32,"|",AQ$11,"|",$M$5),IuranSYSebelumnya!$I$330:$N$772,5,FALSE),
        IF(COUNTIFS(IuranSYSebelumnya!$J$330:$J$772,$K32,IuranSYSebelumnya!$M$330:$M$772,AQ$11,IuranSYSebelumnya!$L$330:$L$772,"&lt;&gt;"&amp;$M$5)&gt;0,
              "Iuran dari Lingkungan lain",
              ""))</f>
        <v>42248</v>
      </c>
      <c r="AR32" s="47">
        <f>IF(COUNTIFS(IuranSYSebelumnya!$J$330:$J$772,$K32,IuranSYSebelumnya!$M$330:$M$772,AR$11,IuranSYSebelumnya!$L$330:$L$772,$M$5)&gt;0,
        VLOOKUP(CONCATENATE($K32,"|",AR$11,"|",$M$5),IuranSYSebelumnya!$I$330:$N$772,5,FALSE),
        IF(COUNTIFS(IuranSYSebelumnya!$J$330:$J$772,$K32,IuranSYSebelumnya!$M$330:$M$772,AR$11,IuranSYSebelumnya!$L$330:$L$772,"&lt;&gt;"&amp;$M$5)&gt;0,
              "Iuran dari Lingkungan lain",
              ""))</f>
        <v>42278</v>
      </c>
      <c r="AS32" s="47">
        <f>IF(COUNTIFS(IuranSYSebelumnya!$J$330:$J$772,$K32,IuranSYSebelumnya!$M$330:$M$772,AS$11,IuranSYSebelumnya!$L$330:$L$772,$M$5)&gt;0,
        VLOOKUP(CONCATENATE($K32,"|",AS$11,"|",$M$5),IuranSYSebelumnya!$I$330:$N$772,5,FALSE),
        IF(COUNTIFS(IuranSYSebelumnya!$J$330:$J$772,$K32,IuranSYSebelumnya!$M$330:$M$772,AS$11,IuranSYSebelumnya!$L$330:$L$772,"&lt;&gt;"&amp;$M$5)&gt;0,
              "Iuran dari Lingkungan lain",
              ""))</f>
        <v>42309</v>
      </c>
      <c r="AT32" s="47">
        <f>IF(COUNTIFS(IuranSYSebelumnya!$J$330:$J$772,$K32,IuranSYSebelumnya!$M$330:$M$772,AT$11,IuranSYSebelumnya!$L$330:$L$772,$M$5)&gt;0,
        VLOOKUP(CONCATENATE($K32,"|",AT$11,"|",$M$5),IuranSYSebelumnya!$I$330:$N$772,5,FALSE),
        IF(COUNTIFS(IuranSYSebelumnya!$J$330:$J$772,$K32,IuranSYSebelumnya!$M$330:$M$772,AT$11,IuranSYSebelumnya!$L$330:$L$772,"&lt;&gt;"&amp;$M$5)&gt;0,
              "Iuran dari Lingkungan lain",
              ""))</f>
        <v>42339</v>
      </c>
      <c r="AU32" s="47">
        <f>IF(COUNTIFS(IuranSYSebelumnya!$J$330:$J$772,$K32,IuranSYSebelumnya!$M$330:$M$772,AU$11,IuranSYSebelumnya!$L$330:$L$772,$M$5)&gt;0,
        VLOOKUP(CONCATENATE($K32,"|",AU$11,"|",$M$5),IuranSYSebelumnya!$I$330:$N$772,5,FALSE),
        IF(COUNTIFS(IuranSYSebelumnya!$J$330:$J$772,$K32,IuranSYSebelumnya!$M$330:$M$772,AU$11,IuranSYSebelumnya!$L$330:$L$772,"&lt;&gt;"&amp;$M$5)&gt;0,
              "Iuran dari Lingkungan lain",
              ""))</f>
        <v>42370</v>
      </c>
      <c r="AV32" s="47">
        <f>IF(COUNTIFS(IuranSYSebelumnya!$J$330:$J$772,$K32,IuranSYSebelumnya!$M$330:$M$772,AV$11,IuranSYSebelumnya!$L$330:$L$772,$M$5)&gt;0,
        VLOOKUP(CONCATENATE($K32,"|",AV$11,"|",$M$5),IuranSYSebelumnya!$I$330:$N$772,5,FALSE),
        IF(COUNTIFS(IuranSYSebelumnya!$J$330:$J$772,$K32,IuranSYSebelumnya!$M$330:$M$772,AV$11,IuranSYSebelumnya!$L$330:$L$772,"&lt;&gt;"&amp;$M$5)&gt;0,
              "Iuran dari Lingkungan lain",
              ""))</f>
        <v>42401</v>
      </c>
      <c r="AW32" s="47">
        <f>IF(COUNTIFS(IuranSYSebelumnya!$J$330:$J$772,$K32,IuranSYSebelumnya!$M$330:$M$772,AW$11,IuranSYSebelumnya!$L$330:$L$772,$M$5)&gt;0,
        VLOOKUP(CONCATENATE($K32,"|",AW$11,"|",$M$5),IuranSYSebelumnya!$I$330:$N$772,5,FALSE),
        IF(COUNTIFS(IuranSYSebelumnya!$J$330:$J$772,$K32,IuranSYSebelumnya!$M$330:$M$772,AW$11,IuranSYSebelumnya!$L$330:$L$772,"&lt;&gt;"&amp;$M$5)&gt;0,
              "Iuran dari Lingkungan lain",
              ""))</f>
        <v>42430</v>
      </c>
      <c r="AX32" s="47">
        <f>IF(COUNTIFS(IuranSYSebelumnya!$J$330:$J$772,$K32,IuranSYSebelumnya!$M$330:$M$772,AX$11,IuranSYSebelumnya!$L$330:$L$772,$M$5)&gt;0,
        VLOOKUP(CONCATENATE($K32,"|",AX$11,"|",$M$5),IuranSYSebelumnya!$I$330:$N$772,5,FALSE),
        IF(COUNTIFS(IuranSYSebelumnya!$J$330:$J$772,$K32,IuranSYSebelumnya!$M$330:$M$772,AX$11,IuranSYSebelumnya!$L$330:$L$772,"&lt;&gt;"&amp;$M$5)&gt;0,
              "Iuran dari Lingkungan lain",
              ""))</f>
        <v>42461</v>
      </c>
      <c r="AY32" s="47" t="str">
        <f>IF(COUNTIFS(IuranSYSebelumnya!$J$330:$J$772,$K32,IuranSYSebelumnya!$M$330:$M$772,AY$11,IuranSYSebelumnya!$L$330:$L$772,$M$5)&gt;0,
        VLOOKUP(CONCATENATE($K32,"|",AY$11,"|",$M$5),IuranSYSebelumnya!$I$330:$N$772,5,FALSE),
        IF(COUNTIFS(IuranSYSebelumnya!$J$330:$J$772,$K32,IuranSYSebelumnya!$M$330:$M$772,AY$11,IuranSYSebelumnya!$L$330:$L$772,"&lt;&gt;"&amp;$M$5)&gt;0,
              "Iuran dari Lingkungan lain",
              ""))</f>
        <v/>
      </c>
      <c r="AZ32" s="47" t="str">
        <f>IF(COUNTIFS(IuranSYSebelumnya!$J$330:$J$772,$K32,IuranSYSebelumnya!$M$330:$M$772,AZ$11,IuranSYSebelumnya!$L$330:$L$772,$M$5)&gt;0,
        VLOOKUP(CONCATENATE($K32,"|",AZ$11,"|",$M$5),IuranSYSebelumnya!$I$330:$N$772,5,FALSE),
        IF(COUNTIFS(IuranSYSebelumnya!$J$330:$J$772,$K32,IuranSYSebelumnya!$M$330:$M$772,AZ$11,IuranSYSebelumnya!$L$330:$L$772,"&lt;&gt;"&amp;$M$5)&gt;0,
              "Iuran dari Lingkungan lain",
              ""))</f>
        <v/>
      </c>
      <c r="BA32" s="47" t="str">
        <f>IF(COUNTIFS(IuranSYSebelumnya!$J$330:$J$772,$K32,IuranSYSebelumnya!$M$330:$M$772,BA$11,IuranSYSebelumnya!$L$330:$L$772,$M$5)&gt;0,
        VLOOKUP(CONCATENATE($K32,"|",BA$11,"|",$M$5),IuranSYSebelumnya!$I$330:$N$772,5,FALSE),
        IF(COUNTIFS(IuranSYSebelumnya!$J$330:$J$772,$K32,IuranSYSebelumnya!$M$330:$M$772,BA$11,IuranSYSebelumnya!$L$330:$L$772,"&lt;&gt;"&amp;$M$5)&gt;0,
              "Iuran dari Lingkungan lain",
              ""))</f>
        <v/>
      </c>
      <c r="BB32" s="47" t="str">
        <f>IF(COUNTIFS(IuranSYSebelumnya!$J$330:$J$772,$K32,IuranSYSebelumnya!$M$330:$M$772,BB$11,IuranSYSebelumnya!$L$330:$L$772,$M$5)&gt;0,
        VLOOKUP(CONCATENATE($K32,"|",BB$11,"|",$M$5),IuranSYSebelumnya!$I$330:$N$772,5,FALSE),
        IF(COUNTIFS(IuranSYSebelumnya!$J$330:$J$772,$K32,IuranSYSebelumnya!$M$330:$M$772,BB$11,IuranSYSebelumnya!$L$330:$L$772,"&lt;&gt;"&amp;$M$5)&gt;0,
              "Iuran dari Lingkungan lain",
              ""))</f>
        <v/>
      </c>
      <c r="BC32" s="47" t="str">
        <f>IF(COUNTIFS(IuranSYSebelumnya!$J$330:$J$772,$K32,IuranSYSebelumnya!$M$330:$M$772,BC$11,IuranSYSebelumnya!$L$330:$L$772,$M$5)&gt;0,
        VLOOKUP(CONCATENATE($K32,"|",BC$11,"|",$M$5),IuranSYSebelumnya!$I$330:$N$772,5,FALSE),
        IF(COUNTIFS(IuranSYSebelumnya!$J$330:$J$772,$K32,IuranSYSebelumnya!$M$330:$M$772,BC$11,IuranSYSebelumnya!$L$330:$L$772,"&lt;&gt;"&amp;$M$5)&gt;0,
              "Iuran dari Lingkungan lain",
              ""))</f>
        <v/>
      </c>
      <c r="BD32" s="47" t="str">
        <f>IF(COUNTIFS(IuranSYSebelumnya!$J$330:$J$772,$K32,IuranSYSebelumnya!$M$330:$M$772,BD$11,IuranSYSebelumnya!$L$330:$L$772,$M$5)&gt;0,
        VLOOKUP(CONCATENATE($K32,"|",BD$11,"|",$M$5),IuranSYSebelumnya!$I$330:$N$772,5,FALSE),
        IF(COUNTIFS(IuranSYSebelumnya!$J$330:$J$772,$K32,IuranSYSebelumnya!$M$330:$M$772,BD$11,IuranSYSebelumnya!$L$330:$L$772,"&lt;&gt;"&amp;$M$5)&gt;0,
              "Iuran dari Lingkungan lain",
              ""))</f>
        <v/>
      </c>
      <c r="BE32" s="47" t="str">
        <f>IF(COUNTIFS(IuranSYSebelumnya!$J$330:$J$772,$K32,IuranSYSebelumnya!$M$330:$M$772,BE$11,IuranSYSebelumnya!$L$330:$L$772,$M$5)&gt;0,
        VLOOKUP(CONCATENATE($K32,"|",BE$11,"|",$M$5),IuranSYSebelumnya!$I$330:$N$772,5,FALSE),
        IF(COUNTIFS(IuranSYSebelumnya!$J$330:$J$772,$K32,IuranSYSebelumnya!$M$330:$M$772,BE$11,IuranSYSebelumnya!$L$330:$L$772,"&lt;&gt;"&amp;$M$5)&gt;0,
              "Iuran dari Lingkungan lain",
              ""))</f>
        <v/>
      </c>
      <c r="BF32" s="47" t="str">
        <f>IF(COUNTIFS(IuranSYSebelumnya!$J$330:$J$772,$K32,IuranSYSebelumnya!$M$330:$M$772,BF$11,IuranSYSebelumnya!$L$330:$L$772,$M$5)&gt;0,
        VLOOKUP(CONCATENATE($K32,"|",BF$11,"|",$M$5),IuranSYSebelumnya!$I$330:$N$772,5,FALSE),
        IF(COUNTIFS(IuranSYSebelumnya!$J$330:$J$772,$K32,IuranSYSebelumnya!$M$330:$M$772,BF$11,IuranSYSebelumnya!$L$330:$L$772,"&lt;&gt;"&amp;$M$5)&gt;0,
              "Iuran dari Lingkungan lain",
              ""))</f>
        <v/>
      </c>
      <c r="BG32" s="47" t="str">
        <f>IF(COUNTIFS(IuranSYSebelumnya!$J$330:$J$772,$K32,IuranSYSebelumnya!$M$330:$M$772,BG$11,IuranSYSebelumnya!$L$330:$L$772,$M$5)&gt;0,
        VLOOKUP(CONCATENATE($K32,"|",BG$11,"|",$M$5),IuranSYSebelumnya!$I$330:$N$772,5,FALSE),
        IF(COUNTIFS(IuranSYSebelumnya!$J$330:$J$772,$K32,IuranSYSebelumnya!$M$330:$M$772,BG$11,IuranSYSebelumnya!$L$330:$L$772,"&lt;&gt;"&amp;$M$5)&gt;0,
              "Iuran dari Lingkungan lain",
              ""))</f>
        <v/>
      </c>
      <c r="BH32" s="47" t="str">
        <f>IF(COUNTIFS(IuranSYSebelumnya!$J$330:$J$772,$K32,IuranSYSebelumnya!$M$330:$M$772,BH$11,IuranSYSebelumnya!$L$330:$L$772,$M$5)&gt;0,
        VLOOKUP(CONCATENATE($K32,"|",BH$11,"|",$M$5),IuranSYSebelumnya!$I$330:$N$772,5,FALSE),
        IF(COUNTIFS(IuranSYSebelumnya!$J$330:$J$772,$K32,IuranSYSebelumnya!$M$330:$M$772,BH$11,IuranSYSebelumnya!$L$330:$L$772,"&lt;&gt;"&amp;$M$5)&gt;0,
              "Iuran dari Lingkungan lain",
              ""))</f>
        <v/>
      </c>
      <c r="BI32" s="47" t="str">
        <f>IF(COUNTIFS(IuranSYSebelumnya!$J$330:$J$772,$K32,IuranSYSebelumnya!$M$330:$M$772,BI$11,IuranSYSebelumnya!$L$330:$L$772,$M$5)&gt;0,
        VLOOKUP(CONCATENATE($K32,"|",BI$11,"|",$M$5),IuranSYSebelumnya!$I$330:$N$772,5,FALSE),
        IF(COUNTIFS(IuranSYSebelumnya!$J$330:$J$772,$K32,IuranSYSebelumnya!$M$330:$M$772,BI$11,IuranSYSebelumnya!$L$330:$L$772,"&lt;&gt;"&amp;$M$5)&gt;0,
              "Iuran dari Lingkungan lain",
              ""))</f>
        <v/>
      </c>
      <c r="BJ32" s="47" t="str">
        <f>IF(COUNTIFS(IuranSYSebelumnya!$J$330:$J$772,$K32,IuranSYSebelumnya!$M$330:$M$772,BJ$11,IuranSYSebelumnya!$L$330:$L$772,$M$5)&gt;0,
        VLOOKUP(CONCATENATE($K32,"|",BJ$11,"|",$M$5),IuranSYSebelumnya!$I$330:$N$772,5,FALSE),
        IF(COUNTIFS(IuranSYSebelumnya!$J$330:$J$772,$K32,IuranSYSebelumnya!$M$330:$M$772,BJ$11,IuranSYSebelumnya!$L$330:$L$772,"&lt;&gt;"&amp;$M$5)&gt;0,
              "Iuran dari Lingkungan lain",
              ""))</f>
        <v/>
      </c>
      <c r="BK32" s="47" t="str">
        <f>IF(COUNTIFS(IuranSYSebelumnya!$J$330:$J$772,$K32,IuranSYSebelumnya!$M$330:$M$772,BK$11,IuranSYSebelumnya!$L$330:$L$772,$M$5)&gt;0,
        VLOOKUP(CONCATENATE($K32,"|",BK$11,"|",$M$5),IuranSYSebelumnya!$I$330:$N$772,5,FALSE),
        IF(COUNTIFS(IuranSYSebelumnya!$J$330:$J$772,$K32,IuranSYSebelumnya!$M$330:$M$772,BK$11,IuranSYSebelumnya!$L$330:$L$772,"&lt;&gt;"&amp;$M$5)&gt;0,
              "Iuran dari Lingkungan lain",
              ""))</f>
        <v/>
      </c>
      <c r="BL32" s="47" t="str">
        <f>IF(COUNTIFS(IuranSYSebelumnya!$J$330:$J$772,$K32,IuranSYSebelumnya!$M$330:$M$772,BL$11,IuranSYSebelumnya!$L$330:$L$772,$M$5)&gt;0,
        VLOOKUP(CONCATENATE($K32,"|",BL$11,"|",$M$5),IuranSYSebelumnya!$I$330:$N$772,5,FALSE),
        IF(COUNTIFS(IuranSYSebelumnya!$J$330:$J$772,$K32,IuranSYSebelumnya!$M$330:$M$772,BL$11,IuranSYSebelumnya!$L$330:$L$772,"&lt;&gt;"&amp;$M$5)&gt;0,
              "Iuran dari Lingkungan lain",
              ""))</f>
        <v/>
      </c>
    </row>
    <row r="33" spans="1:64" x14ac:dyDescent="0.35">
      <c r="A33" s="30" t="s">
        <v>6063</v>
      </c>
      <c r="C33" s="30" t="b">
        <f t="shared" ca="1" si="3"/>
        <v>0</v>
      </c>
      <c r="D33" s="30" t="str">
        <f>"""TRUST Nav"",""HSPMTB2016"",""18"",""1"",""KK-05052"""</f>
        <v>"TRUST Nav","HSPMTB2016","18","1","KK-05052"</v>
      </c>
      <c r="H33" s="30">
        <f t="shared" si="4"/>
        <v>0</v>
      </c>
      <c r="J33" s="30">
        <f t="shared" si="5"/>
        <v>21</v>
      </c>
      <c r="K33" s="30" t="str">
        <f>"KK-05052"</f>
        <v>KK-05052</v>
      </c>
      <c r="L33" s="30" t="str">
        <f>"Julius Margono Teguh Nugroho"</f>
        <v>Julius Margono Teguh Nugroho</v>
      </c>
      <c r="M33" s="30"/>
      <c r="N33" s="129"/>
      <c r="O33" s="129"/>
      <c r="P33" s="129"/>
      <c r="Q33" s="129"/>
      <c r="R33" s="129"/>
      <c r="S33" s="129"/>
      <c r="T33" s="130"/>
      <c r="U33" s="131"/>
      <c r="V33" s="131"/>
      <c r="W33" s="4"/>
      <c r="X33" s="4"/>
      <c r="Y33" s="15"/>
      <c r="Z33" s="4"/>
      <c r="AA33" s="4"/>
      <c r="AB33" s="4"/>
      <c r="AC33" s="4"/>
      <c r="AD33" s="4"/>
      <c r="AE33" s="4"/>
      <c r="AF33" s="11"/>
      <c r="AG33" s="4"/>
      <c r="AH33" s="4"/>
      <c r="AI33" s="4"/>
      <c r="AJ33" s="4"/>
      <c r="AK33" s="4"/>
      <c r="AL33" s="9">
        <f t="shared" si="6"/>
        <v>0</v>
      </c>
      <c r="AO33" s="47">
        <f>IF(COUNTIFS(IuranSYSebelumnya!$J$330:$J$772,$K33,IuranSYSebelumnya!$M$330:$M$772,AO$11,IuranSYSebelumnya!$L$330:$L$772,$M$5)&gt;0,
        VLOOKUP(CONCATENATE($K33,"|",AO$11,"|",$M$5),IuranSYSebelumnya!$I$330:$N$772,5,FALSE),
        IF(COUNTIFS(IuranSYSebelumnya!$J$330:$J$772,$K33,IuranSYSebelumnya!$M$330:$M$772,AO$11,IuranSYSebelumnya!$L$330:$L$772,"&lt;&gt;"&amp;$M$5)&gt;0,
              "Iuran dari Lingkungan lain",
              ""))</f>
        <v>42186</v>
      </c>
      <c r="AP33" s="47">
        <f>IF(COUNTIFS(IuranSYSebelumnya!$J$330:$J$772,$K33,IuranSYSebelumnya!$M$330:$M$772,AP$11,IuranSYSebelumnya!$L$330:$L$772,$M$5)&gt;0,
        VLOOKUP(CONCATENATE($K33,"|",AP$11,"|",$M$5),IuranSYSebelumnya!$I$330:$N$772,5,FALSE),
        IF(COUNTIFS(IuranSYSebelumnya!$J$330:$J$772,$K33,IuranSYSebelumnya!$M$330:$M$772,AP$11,IuranSYSebelumnya!$L$330:$L$772,"&lt;&gt;"&amp;$M$5)&gt;0,
              "Iuran dari Lingkungan lain",
              ""))</f>
        <v>42217</v>
      </c>
      <c r="AQ33" s="47">
        <f>IF(COUNTIFS(IuranSYSebelumnya!$J$330:$J$772,$K33,IuranSYSebelumnya!$M$330:$M$772,AQ$11,IuranSYSebelumnya!$L$330:$L$772,$M$5)&gt;0,
        VLOOKUP(CONCATENATE($K33,"|",AQ$11,"|",$M$5),IuranSYSebelumnya!$I$330:$N$772,5,FALSE),
        IF(COUNTIFS(IuranSYSebelumnya!$J$330:$J$772,$K33,IuranSYSebelumnya!$M$330:$M$772,AQ$11,IuranSYSebelumnya!$L$330:$L$772,"&lt;&gt;"&amp;$M$5)&gt;0,
              "Iuran dari Lingkungan lain",
              ""))</f>
        <v>42248</v>
      </c>
      <c r="AR33" s="47">
        <f>IF(COUNTIFS(IuranSYSebelumnya!$J$330:$J$772,$K33,IuranSYSebelumnya!$M$330:$M$772,AR$11,IuranSYSebelumnya!$L$330:$L$772,$M$5)&gt;0,
        VLOOKUP(CONCATENATE($K33,"|",AR$11,"|",$M$5),IuranSYSebelumnya!$I$330:$N$772,5,FALSE),
        IF(COUNTIFS(IuranSYSebelumnya!$J$330:$J$772,$K33,IuranSYSebelumnya!$M$330:$M$772,AR$11,IuranSYSebelumnya!$L$330:$L$772,"&lt;&gt;"&amp;$M$5)&gt;0,
              "Iuran dari Lingkungan lain",
              ""))</f>
        <v>42278</v>
      </c>
      <c r="AS33" s="47">
        <f>IF(COUNTIFS(IuranSYSebelumnya!$J$330:$J$772,$K33,IuranSYSebelumnya!$M$330:$M$772,AS$11,IuranSYSebelumnya!$L$330:$L$772,$M$5)&gt;0,
        VLOOKUP(CONCATENATE($K33,"|",AS$11,"|",$M$5),IuranSYSebelumnya!$I$330:$N$772,5,FALSE),
        IF(COUNTIFS(IuranSYSebelumnya!$J$330:$J$772,$K33,IuranSYSebelumnya!$M$330:$M$772,AS$11,IuranSYSebelumnya!$L$330:$L$772,"&lt;&gt;"&amp;$M$5)&gt;0,
              "Iuran dari Lingkungan lain",
              ""))</f>
        <v>42309</v>
      </c>
      <c r="AT33" s="47">
        <f>IF(COUNTIFS(IuranSYSebelumnya!$J$330:$J$772,$K33,IuranSYSebelumnya!$M$330:$M$772,AT$11,IuranSYSebelumnya!$L$330:$L$772,$M$5)&gt;0,
        VLOOKUP(CONCATENATE($K33,"|",AT$11,"|",$M$5),IuranSYSebelumnya!$I$330:$N$772,5,FALSE),
        IF(COUNTIFS(IuranSYSebelumnya!$J$330:$J$772,$K33,IuranSYSebelumnya!$M$330:$M$772,AT$11,IuranSYSebelumnya!$L$330:$L$772,"&lt;&gt;"&amp;$M$5)&gt;0,
              "Iuran dari Lingkungan lain",
              ""))</f>
        <v>42339</v>
      </c>
      <c r="AU33" s="47">
        <f>IF(COUNTIFS(IuranSYSebelumnya!$J$330:$J$772,$K33,IuranSYSebelumnya!$M$330:$M$772,AU$11,IuranSYSebelumnya!$L$330:$L$772,$M$5)&gt;0,
        VLOOKUP(CONCATENATE($K33,"|",AU$11,"|",$M$5),IuranSYSebelumnya!$I$330:$N$772,5,FALSE),
        IF(COUNTIFS(IuranSYSebelumnya!$J$330:$J$772,$K33,IuranSYSebelumnya!$M$330:$M$772,AU$11,IuranSYSebelumnya!$L$330:$L$772,"&lt;&gt;"&amp;$M$5)&gt;0,
              "Iuran dari Lingkungan lain",
              ""))</f>
        <v>42370</v>
      </c>
      <c r="AV33" s="47">
        <f>IF(COUNTIFS(IuranSYSebelumnya!$J$330:$J$772,$K33,IuranSYSebelumnya!$M$330:$M$772,AV$11,IuranSYSebelumnya!$L$330:$L$772,$M$5)&gt;0,
        VLOOKUP(CONCATENATE($K33,"|",AV$11,"|",$M$5),IuranSYSebelumnya!$I$330:$N$772,5,FALSE),
        IF(COUNTIFS(IuranSYSebelumnya!$J$330:$J$772,$K33,IuranSYSebelumnya!$M$330:$M$772,AV$11,IuranSYSebelumnya!$L$330:$L$772,"&lt;&gt;"&amp;$M$5)&gt;0,
              "Iuran dari Lingkungan lain",
              ""))</f>
        <v>42401</v>
      </c>
      <c r="AW33" s="47">
        <f>IF(COUNTIFS(IuranSYSebelumnya!$J$330:$J$772,$K33,IuranSYSebelumnya!$M$330:$M$772,AW$11,IuranSYSebelumnya!$L$330:$L$772,$M$5)&gt;0,
        VLOOKUP(CONCATENATE($K33,"|",AW$11,"|",$M$5),IuranSYSebelumnya!$I$330:$N$772,5,FALSE),
        IF(COUNTIFS(IuranSYSebelumnya!$J$330:$J$772,$K33,IuranSYSebelumnya!$M$330:$M$772,AW$11,IuranSYSebelumnya!$L$330:$L$772,"&lt;&gt;"&amp;$M$5)&gt;0,
              "Iuran dari Lingkungan lain",
              ""))</f>
        <v>42430</v>
      </c>
      <c r="AX33" s="47" t="str">
        <f>IF(COUNTIFS(IuranSYSebelumnya!$J$330:$J$772,$K33,IuranSYSebelumnya!$M$330:$M$772,AX$11,IuranSYSebelumnya!$L$330:$L$772,$M$5)&gt;0,
        VLOOKUP(CONCATENATE($K33,"|",AX$11,"|",$M$5),IuranSYSebelumnya!$I$330:$N$772,5,FALSE),
        IF(COUNTIFS(IuranSYSebelumnya!$J$330:$J$772,$K33,IuranSYSebelumnya!$M$330:$M$772,AX$11,IuranSYSebelumnya!$L$330:$L$772,"&lt;&gt;"&amp;$M$5)&gt;0,
              "Iuran dari Lingkungan lain",
              ""))</f>
        <v/>
      </c>
      <c r="AY33" s="47" t="str">
        <f>IF(COUNTIFS(IuranSYSebelumnya!$J$330:$J$772,$K33,IuranSYSebelumnya!$M$330:$M$772,AY$11,IuranSYSebelumnya!$L$330:$L$772,$M$5)&gt;0,
        VLOOKUP(CONCATENATE($K33,"|",AY$11,"|",$M$5),IuranSYSebelumnya!$I$330:$N$772,5,FALSE),
        IF(COUNTIFS(IuranSYSebelumnya!$J$330:$J$772,$K33,IuranSYSebelumnya!$M$330:$M$772,AY$11,IuranSYSebelumnya!$L$330:$L$772,"&lt;&gt;"&amp;$M$5)&gt;0,
              "Iuran dari Lingkungan lain",
              ""))</f>
        <v/>
      </c>
      <c r="AZ33" s="47" t="str">
        <f>IF(COUNTIFS(IuranSYSebelumnya!$J$330:$J$772,$K33,IuranSYSebelumnya!$M$330:$M$772,AZ$11,IuranSYSebelumnya!$L$330:$L$772,$M$5)&gt;0,
        VLOOKUP(CONCATENATE($K33,"|",AZ$11,"|",$M$5),IuranSYSebelumnya!$I$330:$N$772,5,FALSE),
        IF(COUNTIFS(IuranSYSebelumnya!$J$330:$J$772,$K33,IuranSYSebelumnya!$M$330:$M$772,AZ$11,IuranSYSebelumnya!$L$330:$L$772,"&lt;&gt;"&amp;$M$5)&gt;0,
              "Iuran dari Lingkungan lain",
              ""))</f>
        <v/>
      </c>
      <c r="BA33" s="47" t="str">
        <f>IF(COUNTIFS(IuranSYSebelumnya!$J$330:$J$772,$K33,IuranSYSebelumnya!$M$330:$M$772,BA$11,IuranSYSebelumnya!$L$330:$L$772,$M$5)&gt;0,
        VLOOKUP(CONCATENATE($K33,"|",BA$11,"|",$M$5),IuranSYSebelumnya!$I$330:$N$772,5,FALSE),
        IF(COUNTIFS(IuranSYSebelumnya!$J$330:$J$772,$K33,IuranSYSebelumnya!$M$330:$M$772,BA$11,IuranSYSebelumnya!$L$330:$L$772,"&lt;&gt;"&amp;$M$5)&gt;0,
              "Iuran dari Lingkungan lain",
              ""))</f>
        <v/>
      </c>
      <c r="BB33" s="47" t="str">
        <f>IF(COUNTIFS(IuranSYSebelumnya!$J$330:$J$772,$K33,IuranSYSebelumnya!$M$330:$M$772,BB$11,IuranSYSebelumnya!$L$330:$L$772,$M$5)&gt;0,
        VLOOKUP(CONCATENATE($K33,"|",BB$11,"|",$M$5),IuranSYSebelumnya!$I$330:$N$772,5,FALSE),
        IF(COUNTIFS(IuranSYSebelumnya!$J$330:$J$772,$K33,IuranSYSebelumnya!$M$330:$M$772,BB$11,IuranSYSebelumnya!$L$330:$L$772,"&lt;&gt;"&amp;$M$5)&gt;0,
              "Iuran dari Lingkungan lain",
              ""))</f>
        <v/>
      </c>
      <c r="BC33" s="47" t="str">
        <f>IF(COUNTIFS(IuranSYSebelumnya!$J$330:$J$772,$K33,IuranSYSebelumnya!$M$330:$M$772,BC$11,IuranSYSebelumnya!$L$330:$L$772,$M$5)&gt;0,
        VLOOKUP(CONCATENATE($K33,"|",BC$11,"|",$M$5),IuranSYSebelumnya!$I$330:$N$772,5,FALSE),
        IF(COUNTIFS(IuranSYSebelumnya!$J$330:$J$772,$K33,IuranSYSebelumnya!$M$330:$M$772,BC$11,IuranSYSebelumnya!$L$330:$L$772,"&lt;&gt;"&amp;$M$5)&gt;0,
              "Iuran dari Lingkungan lain",
              ""))</f>
        <v/>
      </c>
      <c r="BD33" s="47" t="str">
        <f>IF(COUNTIFS(IuranSYSebelumnya!$J$330:$J$772,$K33,IuranSYSebelumnya!$M$330:$M$772,BD$11,IuranSYSebelumnya!$L$330:$L$772,$M$5)&gt;0,
        VLOOKUP(CONCATENATE($K33,"|",BD$11,"|",$M$5),IuranSYSebelumnya!$I$330:$N$772,5,FALSE),
        IF(COUNTIFS(IuranSYSebelumnya!$J$330:$J$772,$K33,IuranSYSebelumnya!$M$330:$M$772,BD$11,IuranSYSebelumnya!$L$330:$L$772,"&lt;&gt;"&amp;$M$5)&gt;0,
              "Iuran dari Lingkungan lain",
              ""))</f>
        <v/>
      </c>
      <c r="BE33" s="47" t="str">
        <f>IF(COUNTIFS(IuranSYSebelumnya!$J$330:$J$772,$K33,IuranSYSebelumnya!$M$330:$M$772,BE$11,IuranSYSebelumnya!$L$330:$L$772,$M$5)&gt;0,
        VLOOKUP(CONCATENATE($K33,"|",BE$11,"|",$M$5),IuranSYSebelumnya!$I$330:$N$772,5,FALSE),
        IF(COUNTIFS(IuranSYSebelumnya!$J$330:$J$772,$K33,IuranSYSebelumnya!$M$330:$M$772,BE$11,IuranSYSebelumnya!$L$330:$L$772,"&lt;&gt;"&amp;$M$5)&gt;0,
              "Iuran dari Lingkungan lain",
              ""))</f>
        <v/>
      </c>
      <c r="BF33" s="47" t="str">
        <f>IF(COUNTIFS(IuranSYSebelumnya!$J$330:$J$772,$K33,IuranSYSebelumnya!$M$330:$M$772,BF$11,IuranSYSebelumnya!$L$330:$L$772,$M$5)&gt;0,
        VLOOKUP(CONCATENATE($K33,"|",BF$11,"|",$M$5),IuranSYSebelumnya!$I$330:$N$772,5,FALSE),
        IF(COUNTIFS(IuranSYSebelumnya!$J$330:$J$772,$K33,IuranSYSebelumnya!$M$330:$M$772,BF$11,IuranSYSebelumnya!$L$330:$L$772,"&lt;&gt;"&amp;$M$5)&gt;0,
              "Iuran dari Lingkungan lain",
              ""))</f>
        <v/>
      </c>
      <c r="BG33" s="47" t="str">
        <f>IF(COUNTIFS(IuranSYSebelumnya!$J$330:$J$772,$K33,IuranSYSebelumnya!$M$330:$M$772,BG$11,IuranSYSebelumnya!$L$330:$L$772,$M$5)&gt;0,
        VLOOKUP(CONCATENATE($K33,"|",BG$11,"|",$M$5),IuranSYSebelumnya!$I$330:$N$772,5,FALSE),
        IF(COUNTIFS(IuranSYSebelumnya!$J$330:$J$772,$K33,IuranSYSebelumnya!$M$330:$M$772,BG$11,IuranSYSebelumnya!$L$330:$L$772,"&lt;&gt;"&amp;$M$5)&gt;0,
              "Iuran dari Lingkungan lain",
              ""))</f>
        <v/>
      </c>
      <c r="BH33" s="47" t="str">
        <f>IF(COUNTIFS(IuranSYSebelumnya!$J$330:$J$772,$K33,IuranSYSebelumnya!$M$330:$M$772,BH$11,IuranSYSebelumnya!$L$330:$L$772,$M$5)&gt;0,
        VLOOKUP(CONCATENATE($K33,"|",BH$11,"|",$M$5),IuranSYSebelumnya!$I$330:$N$772,5,FALSE),
        IF(COUNTIFS(IuranSYSebelumnya!$J$330:$J$772,$K33,IuranSYSebelumnya!$M$330:$M$772,BH$11,IuranSYSebelumnya!$L$330:$L$772,"&lt;&gt;"&amp;$M$5)&gt;0,
              "Iuran dari Lingkungan lain",
              ""))</f>
        <v/>
      </c>
      <c r="BI33" s="47" t="str">
        <f>IF(COUNTIFS(IuranSYSebelumnya!$J$330:$J$772,$K33,IuranSYSebelumnya!$M$330:$M$772,BI$11,IuranSYSebelumnya!$L$330:$L$772,$M$5)&gt;0,
        VLOOKUP(CONCATENATE($K33,"|",BI$11,"|",$M$5),IuranSYSebelumnya!$I$330:$N$772,5,FALSE),
        IF(COUNTIFS(IuranSYSebelumnya!$J$330:$J$772,$K33,IuranSYSebelumnya!$M$330:$M$772,BI$11,IuranSYSebelumnya!$L$330:$L$772,"&lt;&gt;"&amp;$M$5)&gt;0,
              "Iuran dari Lingkungan lain",
              ""))</f>
        <v/>
      </c>
      <c r="BJ33" s="47" t="str">
        <f>IF(COUNTIFS(IuranSYSebelumnya!$J$330:$J$772,$K33,IuranSYSebelumnya!$M$330:$M$772,BJ$11,IuranSYSebelumnya!$L$330:$L$772,$M$5)&gt;0,
        VLOOKUP(CONCATENATE($K33,"|",BJ$11,"|",$M$5),IuranSYSebelumnya!$I$330:$N$772,5,FALSE),
        IF(COUNTIFS(IuranSYSebelumnya!$J$330:$J$772,$K33,IuranSYSebelumnya!$M$330:$M$772,BJ$11,IuranSYSebelumnya!$L$330:$L$772,"&lt;&gt;"&amp;$M$5)&gt;0,
              "Iuran dari Lingkungan lain",
              ""))</f>
        <v/>
      </c>
      <c r="BK33" s="47" t="str">
        <f>IF(COUNTIFS(IuranSYSebelumnya!$J$330:$J$772,$K33,IuranSYSebelumnya!$M$330:$M$772,BK$11,IuranSYSebelumnya!$L$330:$L$772,$M$5)&gt;0,
        VLOOKUP(CONCATENATE($K33,"|",BK$11,"|",$M$5),IuranSYSebelumnya!$I$330:$N$772,5,FALSE),
        IF(COUNTIFS(IuranSYSebelumnya!$J$330:$J$772,$K33,IuranSYSebelumnya!$M$330:$M$772,BK$11,IuranSYSebelumnya!$L$330:$L$772,"&lt;&gt;"&amp;$M$5)&gt;0,
              "Iuran dari Lingkungan lain",
              ""))</f>
        <v/>
      </c>
      <c r="BL33" s="47" t="str">
        <f>IF(COUNTIFS(IuranSYSebelumnya!$J$330:$J$772,$K33,IuranSYSebelumnya!$M$330:$M$772,BL$11,IuranSYSebelumnya!$L$330:$L$772,$M$5)&gt;0,
        VLOOKUP(CONCATENATE($K33,"|",BL$11,"|",$M$5),IuranSYSebelumnya!$I$330:$N$772,5,FALSE),
        IF(COUNTIFS(IuranSYSebelumnya!$J$330:$J$772,$K33,IuranSYSebelumnya!$M$330:$M$772,BL$11,IuranSYSebelumnya!$L$330:$L$772,"&lt;&gt;"&amp;$M$5)&gt;0,
              "Iuran dari Lingkungan lain",
              ""))</f>
        <v/>
      </c>
    </row>
    <row r="34" spans="1:64" x14ac:dyDescent="0.35">
      <c r="A34" s="30" t="s">
        <v>6063</v>
      </c>
      <c r="C34" s="30" t="b">
        <f t="shared" ca="1" si="3"/>
        <v>0</v>
      </c>
      <c r="D34" s="30" t="str">
        <f>"""TRUST Nav"",""HSPMTB2016"",""18"",""1"",""KK-04611"""</f>
        <v>"TRUST Nav","HSPMTB2016","18","1","KK-04611"</v>
      </c>
      <c r="H34" s="30">
        <f t="shared" si="4"/>
        <v>0</v>
      </c>
      <c r="J34" s="30">
        <f t="shared" si="5"/>
        <v>22</v>
      </c>
      <c r="K34" s="30" t="str">
        <f>"KK-04611"</f>
        <v>KK-04611</v>
      </c>
      <c r="L34" s="30" t="str">
        <f>"Leonardus Tjhin Tje Ming"</f>
        <v>Leonardus Tjhin Tje Ming</v>
      </c>
      <c r="M34" s="30"/>
      <c r="N34" s="129"/>
      <c r="O34" s="129"/>
      <c r="P34" s="129"/>
      <c r="Q34" s="129"/>
      <c r="R34" s="129"/>
      <c r="S34" s="129"/>
      <c r="T34" s="130"/>
      <c r="U34" s="131"/>
      <c r="V34" s="131"/>
      <c r="W34" s="131"/>
      <c r="X34" s="131"/>
      <c r="Y34" s="132"/>
      <c r="Z34" s="131"/>
      <c r="AA34" s="131"/>
      <c r="AB34" s="131"/>
      <c r="AC34" s="4"/>
      <c r="AD34" s="4"/>
      <c r="AE34" s="4"/>
      <c r="AF34" s="11"/>
      <c r="AG34" s="4"/>
      <c r="AH34" s="4"/>
      <c r="AI34" s="4"/>
      <c r="AJ34" s="4"/>
      <c r="AK34" s="4"/>
      <c r="AL34" s="9">
        <f t="shared" si="6"/>
        <v>0</v>
      </c>
      <c r="AO34" s="47">
        <f>IF(COUNTIFS(IuranSYSebelumnya!$J$330:$J$772,$K34,IuranSYSebelumnya!$M$330:$M$772,AO$11,IuranSYSebelumnya!$L$330:$L$772,$M$5)&gt;0,
        VLOOKUP(CONCATENATE($K34,"|",AO$11,"|",$M$5),IuranSYSebelumnya!$I$330:$N$772,5,FALSE),
        IF(COUNTIFS(IuranSYSebelumnya!$J$330:$J$772,$K34,IuranSYSebelumnya!$M$330:$M$772,AO$11,IuranSYSebelumnya!$L$330:$L$772,"&lt;&gt;"&amp;$M$5)&gt;0,
              "Iuran dari Lingkungan lain",
              ""))</f>
        <v>42186</v>
      </c>
      <c r="AP34" s="47">
        <f>IF(COUNTIFS(IuranSYSebelumnya!$J$330:$J$772,$K34,IuranSYSebelumnya!$M$330:$M$772,AP$11,IuranSYSebelumnya!$L$330:$L$772,$M$5)&gt;0,
        VLOOKUP(CONCATENATE($K34,"|",AP$11,"|",$M$5),IuranSYSebelumnya!$I$330:$N$772,5,FALSE),
        IF(COUNTIFS(IuranSYSebelumnya!$J$330:$J$772,$K34,IuranSYSebelumnya!$M$330:$M$772,AP$11,IuranSYSebelumnya!$L$330:$L$772,"&lt;&gt;"&amp;$M$5)&gt;0,
              "Iuran dari Lingkungan lain",
              ""))</f>
        <v>42217</v>
      </c>
      <c r="AQ34" s="47">
        <f>IF(COUNTIFS(IuranSYSebelumnya!$J$330:$J$772,$K34,IuranSYSebelumnya!$M$330:$M$772,AQ$11,IuranSYSebelumnya!$L$330:$L$772,$M$5)&gt;0,
        VLOOKUP(CONCATENATE($K34,"|",AQ$11,"|",$M$5),IuranSYSebelumnya!$I$330:$N$772,5,FALSE),
        IF(COUNTIFS(IuranSYSebelumnya!$J$330:$J$772,$K34,IuranSYSebelumnya!$M$330:$M$772,AQ$11,IuranSYSebelumnya!$L$330:$L$772,"&lt;&gt;"&amp;$M$5)&gt;0,
              "Iuran dari Lingkungan lain",
              ""))</f>
        <v>42248</v>
      </c>
      <c r="AR34" s="47">
        <f>IF(COUNTIFS(IuranSYSebelumnya!$J$330:$J$772,$K34,IuranSYSebelumnya!$M$330:$M$772,AR$11,IuranSYSebelumnya!$L$330:$L$772,$M$5)&gt;0,
        VLOOKUP(CONCATENATE($K34,"|",AR$11,"|",$M$5),IuranSYSebelumnya!$I$330:$N$772,5,FALSE),
        IF(COUNTIFS(IuranSYSebelumnya!$J$330:$J$772,$K34,IuranSYSebelumnya!$M$330:$M$772,AR$11,IuranSYSebelumnya!$L$330:$L$772,"&lt;&gt;"&amp;$M$5)&gt;0,
              "Iuran dari Lingkungan lain",
              ""))</f>
        <v>42278</v>
      </c>
      <c r="AS34" s="47">
        <f>IF(COUNTIFS(IuranSYSebelumnya!$J$330:$J$772,$K34,IuranSYSebelumnya!$M$330:$M$772,AS$11,IuranSYSebelumnya!$L$330:$L$772,$M$5)&gt;0,
        VLOOKUP(CONCATENATE($K34,"|",AS$11,"|",$M$5),IuranSYSebelumnya!$I$330:$N$772,5,FALSE),
        IF(COUNTIFS(IuranSYSebelumnya!$J$330:$J$772,$K34,IuranSYSebelumnya!$M$330:$M$772,AS$11,IuranSYSebelumnya!$L$330:$L$772,"&lt;&gt;"&amp;$M$5)&gt;0,
              "Iuran dari Lingkungan lain",
              ""))</f>
        <v>42309</v>
      </c>
      <c r="AT34" s="47">
        <f>IF(COUNTIFS(IuranSYSebelumnya!$J$330:$J$772,$K34,IuranSYSebelumnya!$M$330:$M$772,AT$11,IuranSYSebelumnya!$L$330:$L$772,$M$5)&gt;0,
        VLOOKUP(CONCATENATE($K34,"|",AT$11,"|",$M$5),IuranSYSebelumnya!$I$330:$N$772,5,FALSE),
        IF(COUNTIFS(IuranSYSebelumnya!$J$330:$J$772,$K34,IuranSYSebelumnya!$M$330:$M$772,AT$11,IuranSYSebelumnya!$L$330:$L$772,"&lt;&gt;"&amp;$M$5)&gt;0,
              "Iuran dari Lingkungan lain",
              ""))</f>
        <v>42339</v>
      </c>
      <c r="AU34" s="47">
        <f>IF(COUNTIFS(IuranSYSebelumnya!$J$330:$J$772,$K34,IuranSYSebelumnya!$M$330:$M$772,AU$11,IuranSYSebelumnya!$L$330:$L$772,$M$5)&gt;0,
        VLOOKUP(CONCATENATE($K34,"|",AU$11,"|",$M$5),IuranSYSebelumnya!$I$330:$N$772,5,FALSE),
        IF(COUNTIFS(IuranSYSebelumnya!$J$330:$J$772,$K34,IuranSYSebelumnya!$M$330:$M$772,AU$11,IuranSYSebelumnya!$L$330:$L$772,"&lt;&gt;"&amp;$M$5)&gt;0,
              "Iuran dari Lingkungan lain",
              ""))</f>
        <v>42370</v>
      </c>
      <c r="AV34" s="47">
        <f>IF(COUNTIFS(IuranSYSebelumnya!$J$330:$J$772,$K34,IuranSYSebelumnya!$M$330:$M$772,AV$11,IuranSYSebelumnya!$L$330:$L$772,$M$5)&gt;0,
        VLOOKUP(CONCATENATE($K34,"|",AV$11,"|",$M$5),IuranSYSebelumnya!$I$330:$N$772,5,FALSE),
        IF(COUNTIFS(IuranSYSebelumnya!$J$330:$J$772,$K34,IuranSYSebelumnya!$M$330:$M$772,AV$11,IuranSYSebelumnya!$L$330:$L$772,"&lt;&gt;"&amp;$M$5)&gt;0,
              "Iuran dari Lingkungan lain",
              ""))</f>
        <v>42401</v>
      </c>
      <c r="AW34" s="47">
        <f>IF(COUNTIFS(IuranSYSebelumnya!$J$330:$J$772,$K34,IuranSYSebelumnya!$M$330:$M$772,AW$11,IuranSYSebelumnya!$L$330:$L$772,$M$5)&gt;0,
        VLOOKUP(CONCATENATE($K34,"|",AW$11,"|",$M$5),IuranSYSebelumnya!$I$330:$N$772,5,FALSE),
        IF(COUNTIFS(IuranSYSebelumnya!$J$330:$J$772,$K34,IuranSYSebelumnya!$M$330:$M$772,AW$11,IuranSYSebelumnya!$L$330:$L$772,"&lt;&gt;"&amp;$M$5)&gt;0,
              "Iuran dari Lingkungan lain",
              ""))</f>
        <v>42430</v>
      </c>
      <c r="AX34" s="47">
        <f>IF(COUNTIFS(IuranSYSebelumnya!$J$330:$J$772,$K34,IuranSYSebelumnya!$M$330:$M$772,AX$11,IuranSYSebelumnya!$L$330:$L$772,$M$5)&gt;0,
        VLOOKUP(CONCATENATE($K34,"|",AX$11,"|",$M$5),IuranSYSebelumnya!$I$330:$N$772,5,FALSE),
        IF(COUNTIFS(IuranSYSebelumnya!$J$330:$J$772,$K34,IuranSYSebelumnya!$M$330:$M$772,AX$11,IuranSYSebelumnya!$L$330:$L$772,"&lt;&gt;"&amp;$M$5)&gt;0,
              "Iuran dari Lingkungan lain",
              ""))</f>
        <v>42461</v>
      </c>
      <c r="AY34" s="47">
        <f>IF(COUNTIFS(IuranSYSebelumnya!$J$330:$J$772,$K34,IuranSYSebelumnya!$M$330:$M$772,AY$11,IuranSYSebelumnya!$L$330:$L$772,$M$5)&gt;0,
        VLOOKUP(CONCATENATE($K34,"|",AY$11,"|",$M$5),IuranSYSebelumnya!$I$330:$N$772,5,FALSE),
        IF(COUNTIFS(IuranSYSebelumnya!$J$330:$J$772,$K34,IuranSYSebelumnya!$M$330:$M$772,AY$11,IuranSYSebelumnya!$L$330:$L$772,"&lt;&gt;"&amp;$M$5)&gt;0,
              "Iuran dari Lingkungan lain",
              ""))</f>
        <v>42491</v>
      </c>
      <c r="AZ34" s="47">
        <f>IF(COUNTIFS(IuranSYSebelumnya!$J$330:$J$772,$K34,IuranSYSebelumnya!$M$330:$M$772,AZ$11,IuranSYSebelumnya!$L$330:$L$772,$M$5)&gt;0,
        VLOOKUP(CONCATENATE($K34,"|",AZ$11,"|",$M$5),IuranSYSebelumnya!$I$330:$N$772,5,FALSE),
        IF(COUNTIFS(IuranSYSebelumnya!$J$330:$J$772,$K34,IuranSYSebelumnya!$M$330:$M$772,AZ$11,IuranSYSebelumnya!$L$330:$L$772,"&lt;&gt;"&amp;$M$5)&gt;0,
              "Iuran dari Lingkungan lain",
              ""))</f>
        <v>42522</v>
      </c>
      <c r="BA34" s="47">
        <f>IF(COUNTIFS(IuranSYSebelumnya!$J$330:$J$772,$K34,IuranSYSebelumnya!$M$330:$M$772,BA$11,IuranSYSebelumnya!$L$330:$L$772,$M$5)&gt;0,
        VLOOKUP(CONCATENATE($K34,"|",BA$11,"|",$M$5),IuranSYSebelumnya!$I$330:$N$772,5,FALSE),
        IF(COUNTIFS(IuranSYSebelumnya!$J$330:$J$772,$K34,IuranSYSebelumnya!$M$330:$M$772,BA$11,IuranSYSebelumnya!$L$330:$L$772,"&lt;&gt;"&amp;$M$5)&gt;0,
              "Iuran dari Lingkungan lain",
              ""))</f>
        <v>42552</v>
      </c>
      <c r="BB34" s="47">
        <f>IF(COUNTIFS(IuranSYSebelumnya!$J$330:$J$772,$K34,IuranSYSebelumnya!$M$330:$M$772,BB$11,IuranSYSebelumnya!$L$330:$L$772,$M$5)&gt;0,
        VLOOKUP(CONCATENATE($K34,"|",BB$11,"|",$M$5),IuranSYSebelumnya!$I$330:$N$772,5,FALSE),
        IF(COUNTIFS(IuranSYSebelumnya!$J$330:$J$772,$K34,IuranSYSebelumnya!$M$330:$M$772,BB$11,IuranSYSebelumnya!$L$330:$L$772,"&lt;&gt;"&amp;$M$5)&gt;0,
              "Iuran dari Lingkungan lain",
              ""))</f>
        <v>42583</v>
      </c>
      <c r="BC34" s="47">
        <f>IF(COUNTIFS(IuranSYSebelumnya!$J$330:$J$772,$K34,IuranSYSebelumnya!$M$330:$M$772,BC$11,IuranSYSebelumnya!$L$330:$L$772,$M$5)&gt;0,
        VLOOKUP(CONCATENATE($K34,"|",BC$11,"|",$M$5),IuranSYSebelumnya!$I$330:$N$772,5,FALSE),
        IF(COUNTIFS(IuranSYSebelumnya!$J$330:$J$772,$K34,IuranSYSebelumnya!$M$330:$M$772,BC$11,IuranSYSebelumnya!$L$330:$L$772,"&lt;&gt;"&amp;$M$5)&gt;0,
              "Iuran dari Lingkungan lain",
              ""))</f>
        <v>42614</v>
      </c>
      <c r="BD34" s="47" t="str">
        <f>IF(COUNTIFS(IuranSYSebelumnya!$J$330:$J$772,$K34,IuranSYSebelumnya!$M$330:$M$772,BD$11,IuranSYSebelumnya!$L$330:$L$772,$M$5)&gt;0,
        VLOOKUP(CONCATENATE($K34,"|",BD$11,"|",$M$5),IuranSYSebelumnya!$I$330:$N$772,5,FALSE),
        IF(COUNTIFS(IuranSYSebelumnya!$J$330:$J$772,$K34,IuranSYSebelumnya!$M$330:$M$772,BD$11,IuranSYSebelumnya!$L$330:$L$772,"&lt;&gt;"&amp;$M$5)&gt;0,
              "Iuran dari Lingkungan lain",
              ""))</f>
        <v/>
      </c>
      <c r="BE34" s="47" t="str">
        <f>IF(COUNTIFS(IuranSYSebelumnya!$J$330:$J$772,$K34,IuranSYSebelumnya!$M$330:$M$772,BE$11,IuranSYSebelumnya!$L$330:$L$772,$M$5)&gt;0,
        VLOOKUP(CONCATENATE($K34,"|",BE$11,"|",$M$5),IuranSYSebelumnya!$I$330:$N$772,5,FALSE),
        IF(COUNTIFS(IuranSYSebelumnya!$J$330:$J$772,$K34,IuranSYSebelumnya!$M$330:$M$772,BE$11,IuranSYSebelumnya!$L$330:$L$772,"&lt;&gt;"&amp;$M$5)&gt;0,
              "Iuran dari Lingkungan lain",
              ""))</f>
        <v/>
      </c>
      <c r="BF34" s="47" t="str">
        <f>IF(COUNTIFS(IuranSYSebelumnya!$J$330:$J$772,$K34,IuranSYSebelumnya!$M$330:$M$772,BF$11,IuranSYSebelumnya!$L$330:$L$772,$M$5)&gt;0,
        VLOOKUP(CONCATENATE($K34,"|",BF$11,"|",$M$5),IuranSYSebelumnya!$I$330:$N$772,5,FALSE),
        IF(COUNTIFS(IuranSYSebelumnya!$J$330:$J$772,$K34,IuranSYSebelumnya!$M$330:$M$772,BF$11,IuranSYSebelumnya!$L$330:$L$772,"&lt;&gt;"&amp;$M$5)&gt;0,
              "Iuran dari Lingkungan lain",
              ""))</f>
        <v/>
      </c>
      <c r="BG34" s="47" t="str">
        <f>IF(COUNTIFS(IuranSYSebelumnya!$J$330:$J$772,$K34,IuranSYSebelumnya!$M$330:$M$772,BG$11,IuranSYSebelumnya!$L$330:$L$772,$M$5)&gt;0,
        VLOOKUP(CONCATENATE($K34,"|",BG$11,"|",$M$5),IuranSYSebelumnya!$I$330:$N$772,5,FALSE),
        IF(COUNTIFS(IuranSYSebelumnya!$J$330:$J$772,$K34,IuranSYSebelumnya!$M$330:$M$772,BG$11,IuranSYSebelumnya!$L$330:$L$772,"&lt;&gt;"&amp;$M$5)&gt;0,
              "Iuran dari Lingkungan lain",
              ""))</f>
        <v/>
      </c>
      <c r="BH34" s="47" t="str">
        <f>IF(COUNTIFS(IuranSYSebelumnya!$J$330:$J$772,$K34,IuranSYSebelumnya!$M$330:$M$772,BH$11,IuranSYSebelumnya!$L$330:$L$772,$M$5)&gt;0,
        VLOOKUP(CONCATENATE($K34,"|",BH$11,"|",$M$5),IuranSYSebelumnya!$I$330:$N$772,5,FALSE),
        IF(COUNTIFS(IuranSYSebelumnya!$J$330:$J$772,$K34,IuranSYSebelumnya!$M$330:$M$772,BH$11,IuranSYSebelumnya!$L$330:$L$772,"&lt;&gt;"&amp;$M$5)&gt;0,
              "Iuran dari Lingkungan lain",
              ""))</f>
        <v/>
      </c>
      <c r="BI34" s="47" t="str">
        <f>IF(COUNTIFS(IuranSYSebelumnya!$J$330:$J$772,$K34,IuranSYSebelumnya!$M$330:$M$772,BI$11,IuranSYSebelumnya!$L$330:$L$772,$M$5)&gt;0,
        VLOOKUP(CONCATENATE($K34,"|",BI$11,"|",$M$5),IuranSYSebelumnya!$I$330:$N$772,5,FALSE),
        IF(COUNTIFS(IuranSYSebelumnya!$J$330:$J$772,$K34,IuranSYSebelumnya!$M$330:$M$772,BI$11,IuranSYSebelumnya!$L$330:$L$772,"&lt;&gt;"&amp;$M$5)&gt;0,
              "Iuran dari Lingkungan lain",
              ""))</f>
        <v/>
      </c>
      <c r="BJ34" s="47" t="str">
        <f>IF(COUNTIFS(IuranSYSebelumnya!$J$330:$J$772,$K34,IuranSYSebelumnya!$M$330:$M$772,BJ$11,IuranSYSebelumnya!$L$330:$L$772,$M$5)&gt;0,
        VLOOKUP(CONCATENATE($K34,"|",BJ$11,"|",$M$5),IuranSYSebelumnya!$I$330:$N$772,5,FALSE),
        IF(COUNTIFS(IuranSYSebelumnya!$J$330:$J$772,$K34,IuranSYSebelumnya!$M$330:$M$772,BJ$11,IuranSYSebelumnya!$L$330:$L$772,"&lt;&gt;"&amp;$M$5)&gt;0,
              "Iuran dari Lingkungan lain",
              ""))</f>
        <v/>
      </c>
      <c r="BK34" s="47" t="str">
        <f>IF(COUNTIFS(IuranSYSebelumnya!$J$330:$J$772,$K34,IuranSYSebelumnya!$M$330:$M$772,BK$11,IuranSYSebelumnya!$L$330:$L$772,$M$5)&gt;0,
        VLOOKUP(CONCATENATE($K34,"|",BK$11,"|",$M$5),IuranSYSebelumnya!$I$330:$N$772,5,FALSE),
        IF(COUNTIFS(IuranSYSebelumnya!$J$330:$J$772,$K34,IuranSYSebelumnya!$M$330:$M$772,BK$11,IuranSYSebelumnya!$L$330:$L$772,"&lt;&gt;"&amp;$M$5)&gt;0,
              "Iuran dari Lingkungan lain",
              ""))</f>
        <v/>
      </c>
      <c r="BL34" s="47" t="str">
        <f>IF(COUNTIFS(IuranSYSebelumnya!$J$330:$J$772,$K34,IuranSYSebelumnya!$M$330:$M$772,BL$11,IuranSYSebelumnya!$L$330:$L$772,$M$5)&gt;0,
        VLOOKUP(CONCATENATE($K34,"|",BL$11,"|",$M$5),IuranSYSebelumnya!$I$330:$N$772,5,FALSE),
        IF(COUNTIFS(IuranSYSebelumnya!$J$330:$J$772,$K34,IuranSYSebelumnya!$M$330:$M$772,BL$11,IuranSYSebelumnya!$L$330:$L$772,"&lt;&gt;"&amp;$M$5)&gt;0,
              "Iuran dari Lingkungan lain",
              ""))</f>
        <v/>
      </c>
    </row>
    <row r="35" spans="1:64" x14ac:dyDescent="0.35">
      <c r="A35" s="30" t="s">
        <v>6063</v>
      </c>
      <c r="C35" s="30" t="b">
        <f t="shared" ca="1" si="3"/>
        <v>0</v>
      </c>
      <c r="D35" s="30" t="str">
        <f>"""TRUST Nav"",""HSPMTB2016"",""18"",""1"",""KK-04612"""</f>
        <v>"TRUST Nav","HSPMTB2016","18","1","KK-04612"</v>
      </c>
      <c r="H35" s="30">
        <f t="shared" si="4"/>
        <v>0</v>
      </c>
      <c r="J35" s="30">
        <f t="shared" si="5"/>
        <v>23</v>
      </c>
      <c r="K35" s="30" t="str">
        <f>"KK-04612"</f>
        <v>KK-04612</v>
      </c>
      <c r="L35" s="30" t="str">
        <f>"Lie Bui Tjung"</f>
        <v>Lie Bui Tjung</v>
      </c>
      <c r="M35" s="30"/>
      <c r="N35" s="129"/>
      <c r="O35" s="129"/>
      <c r="P35" s="129"/>
      <c r="Q35" s="129"/>
      <c r="R35" s="129"/>
      <c r="S35" s="129"/>
      <c r="T35" s="11"/>
      <c r="U35" s="4"/>
      <c r="V35" s="4"/>
      <c r="W35" s="4"/>
      <c r="X35" s="4"/>
      <c r="Y35" s="15"/>
      <c r="Z35" s="4"/>
      <c r="AA35" s="4"/>
      <c r="AB35" s="4"/>
      <c r="AC35" s="4"/>
      <c r="AD35" s="4"/>
      <c r="AE35" s="4"/>
      <c r="AF35" s="11"/>
      <c r="AG35" s="4"/>
      <c r="AH35" s="4"/>
      <c r="AI35" s="4"/>
      <c r="AJ35" s="4"/>
      <c r="AK35" s="4"/>
      <c r="AL35" s="9">
        <f t="shared" si="6"/>
        <v>0</v>
      </c>
      <c r="AO35" s="47">
        <f>IF(COUNTIFS(IuranSYSebelumnya!$J$330:$J$772,$K35,IuranSYSebelumnya!$M$330:$M$772,AO$11,IuranSYSebelumnya!$L$330:$L$772,$M$5)&gt;0,
        VLOOKUP(CONCATENATE($K35,"|",AO$11,"|",$M$5),IuranSYSebelumnya!$I$330:$N$772,5,FALSE),
        IF(COUNTIFS(IuranSYSebelumnya!$J$330:$J$772,$K35,IuranSYSebelumnya!$M$330:$M$772,AO$11,IuranSYSebelumnya!$L$330:$L$772,"&lt;&gt;"&amp;$M$5)&gt;0,
              "Iuran dari Lingkungan lain",
              ""))</f>
        <v>42186</v>
      </c>
      <c r="AP35" s="47">
        <f>IF(COUNTIFS(IuranSYSebelumnya!$J$330:$J$772,$K35,IuranSYSebelumnya!$M$330:$M$772,AP$11,IuranSYSebelumnya!$L$330:$L$772,$M$5)&gt;0,
        VLOOKUP(CONCATENATE($K35,"|",AP$11,"|",$M$5),IuranSYSebelumnya!$I$330:$N$772,5,FALSE),
        IF(COUNTIFS(IuranSYSebelumnya!$J$330:$J$772,$K35,IuranSYSebelumnya!$M$330:$M$772,AP$11,IuranSYSebelumnya!$L$330:$L$772,"&lt;&gt;"&amp;$M$5)&gt;0,
              "Iuran dari Lingkungan lain",
              ""))</f>
        <v>42217</v>
      </c>
      <c r="AQ35" s="47">
        <f>IF(COUNTIFS(IuranSYSebelumnya!$J$330:$J$772,$K35,IuranSYSebelumnya!$M$330:$M$772,AQ$11,IuranSYSebelumnya!$L$330:$L$772,$M$5)&gt;0,
        VLOOKUP(CONCATENATE($K35,"|",AQ$11,"|",$M$5),IuranSYSebelumnya!$I$330:$N$772,5,FALSE),
        IF(COUNTIFS(IuranSYSebelumnya!$J$330:$J$772,$K35,IuranSYSebelumnya!$M$330:$M$772,AQ$11,IuranSYSebelumnya!$L$330:$L$772,"&lt;&gt;"&amp;$M$5)&gt;0,
              "Iuran dari Lingkungan lain",
              ""))</f>
        <v>42248</v>
      </c>
      <c r="AR35" s="47">
        <f>IF(COUNTIFS(IuranSYSebelumnya!$J$330:$J$772,$K35,IuranSYSebelumnya!$M$330:$M$772,AR$11,IuranSYSebelumnya!$L$330:$L$772,$M$5)&gt;0,
        VLOOKUP(CONCATENATE($K35,"|",AR$11,"|",$M$5),IuranSYSebelumnya!$I$330:$N$772,5,FALSE),
        IF(COUNTIFS(IuranSYSebelumnya!$J$330:$J$772,$K35,IuranSYSebelumnya!$M$330:$M$772,AR$11,IuranSYSebelumnya!$L$330:$L$772,"&lt;&gt;"&amp;$M$5)&gt;0,
              "Iuran dari Lingkungan lain",
              ""))</f>
        <v>42278</v>
      </c>
      <c r="AS35" s="47">
        <f>IF(COUNTIFS(IuranSYSebelumnya!$J$330:$J$772,$K35,IuranSYSebelumnya!$M$330:$M$772,AS$11,IuranSYSebelumnya!$L$330:$L$772,$M$5)&gt;0,
        VLOOKUP(CONCATENATE($K35,"|",AS$11,"|",$M$5),IuranSYSebelumnya!$I$330:$N$772,5,FALSE),
        IF(COUNTIFS(IuranSYSebelumnya!$J$330:$J$772,$K35,IuranSYSebelumnya!$M$330:$M$772,AS$11,IuranSYSebelumnya!$L$330:$L$772,"&lt;&gt;"&amp;$M$5)&gt;0,
              "Iuran dari Lingkungan lain",
              ""))</f>
        <v>42309</v>
      </c>
      <c r="AT35" s="47">
        <f>IF(COUNTIFS(IuranSYSebelumnya!$J$330:$J$772,$K35,IuranSYSebelumnya!$M$330:$M$772,AT$11,IuranSYSebelumnya!$L$330:$L$772,$M$5)&gt;0,
        VLOOKUP(CONCATENATE($K35,"|",AT$11,"|",$M$5),IuranSYSebelumnya!$I$330:$N$772,5,FALSE),
        IF(COUNTIFS(IuranSYSebelumnya!$J$330:$J$772,$K35,IuranSYSebelumnya!$M$330:$M$772,AT$11,IuranSYSebelumnya!$L$330:$L$772,"&lt;&gt;"&amp;$M$5)&gt;0,
              "Iuran dari Lingkungan lain",
              ""))</f>
        <v>42339</v>
      </c>
      <c r="AU35" s="47" t="str">
        <f>IF(COUNTIFS(IuranSYSebelumnya!$J$330:$J$772,$K35,IuranSYSebelumnya!$M$330:$M$772,AU$11,IuranSYSebelumnya!$L$330:$L$772,$M$5)&gt;0,
        VLOOKUP(CONCATENATE($K35,"|",AU$11,"|",$M$5),IuranSYSebelumnya!$I$330:$N$772,5,FALSE),
        IF(COUNTIFS(IuranSYSebelumnya!$J$330:$J$772,$K35,IuranSYSebelumnya!$M$330:$M$772,AU$11,IuranSYSebelumnya!$L$330:$L$772,"&lt;&gt;"&amp;$M$5)&gt;0,
              "Iuran dari Lingkungan lain",
              ""))</f>
        <v/>
      </c>
      <c r="AV35" s="47" t="str">
        <f>IF(COUNTIFS(IuranSYSebelumnya!$J$330:$J$772,$K35,IuranSYSebelumnya!$M$330:$M$772,AV$11,IuranSYSebelumnya!$L$330:$L$772,$M$5)&gt;0,
        VLOOKUP(CONCATENATE($K35,"|",AV$11,"|",$M$5),IuranSYSebelumnya!$I$330:$N$772,5,FALSE),
        IF(COUNTIFS(IuranSYSebelumnya!$J$330:$J$772,$K35,IuranSYSebelumnya!$M$330:$M$772,AV$11,IuranSYSebelumnya!$L$330:$L$772,"&lt;&gt;"&amp;$M$5)&gt;0,
              "Iuran dari Lingkungan lain",
              ""))</f>
        <v/>
      </c>
      <c r="AW35" s="47" t="str">
        <f>IF(COUNTIFS(IuranSYSebelumnya!$J$330:$J$772,$K35,IuranSYSebelumnya!$M$330:$M$772,AW$11,IuranSYSebelumnya!$L$330:$L$772,$M$5)&gt;0,
        VLOOKUP(CONCATENATE($K35,"|",AW$11,"|",$M$5),IuranSYSebelumnya!$I$330:$N$772,5,FALSE),
        IF(COUNTIFS(IuranSYSebelumnya!$J$330:$J$772,$K35,IuranSYSebelumnya!$M$330:$M$772,AW$11,IuranSYSebelumnya!$L$330:$L$772,"&lt;&gt;"&amp;$M$5)&gt;0,
              "Iuran dari Lingkungan lain",
              ""))</f>
        <v/>
      </c>
      <c r="AX35" s="47" t="str">
        <f>IF(COUNTIFS(IuranSYSebelumnya!$J$330:$J$772,$K35,IuranSYSebelumnya!$M$330:$M$772,AX$11,IuranSYSebelumnya!$L$330:$L$772,$M$5)&gt;0,
        VLOOKUP(CONCATENATE($K35,"|",AX$11,"|",$M$5),IuranSYSebelumnya!$I$330:$N$772,5,FALSE),
        IF(COUNTIFS(IuranSYSebelumnya!$J$330:$J$772,$K35,IuranSYSebelumnya!$M$330:$M$772,AX$11,IuranSYSebelumnya!$L$330:$L$772,"&lt;&gt;"&amp;$M$5)&gt;0,
              "Iuran dari Lingkungan lain",
              ""))</f>
        <v/>
      </c>
      <c r="AY35" s="47" t="str">
        <f>IF(COUNTIFS(IuranSYSebelumnya!$J$330:$J$772,$K35,IuranSYSebelumnya!$M$330:$M$772,AY$11,IuranSYSebelumnya!$L$330:$L$772,$M$5)&gt;0,
        VLOOKUP(CONCATENATE($K35,"|",AY$11,"|",$M$5),IuranSYSebelumnya!$I$330:$N$772,5,FALSE),
        IF(COUNTIFS(IuranSYSebelumnya!$J$330:$J$772,$K35,IuranSYSebelumnya!$M$330:$M$772,AY$11,IuranSYSebelumnya!$L$330:$L$772,"&lt;&gt;"&amp;$M$5)&gt;0,
              "Iuran dari Lingkungan lain",
              ""))</f>
        <v/>
      </c>
      <c r="AZ35" s="47" t="str">
        <f>IF(COUNTIFS(IuranSYSebelumnya!$J$330:$J$772,$K35,IuranSYSebelumnya!$M$330:$M$772,AZ$11,IuranSYSebelumnya!$L$330:$L$772,$M$5)&gt;0,
        VLOOKUP(CONCATENATE($K35,"|",AZ$11,"|",$M$5),IuranSYSebelumnya!$I$330:$N$772,5,FALSE),
        IF(COUNTIFS(IuranSYSebelumnya!$J$330:$J$772,$K35,IuranSYSebelumnya!$M$330:$M$772,AZ$11,IuranSYSebelumnya!$L$330:$L$772,"&lt;&gt;"&amp;$M$5)&gt;0,
              "Iuran dari Lingkungan lain",
              ""))</f>
        <v/>
      </c>
      <c r="BA35" s="47" t="str">
        <f>IF(COUNTIFS(IuranSYSebelumnya!$J$330:$J$772,$K35,IuranSYSebelumnya!$M$330:$M$772,BA$11,IuranSYSebelumnya!$L$330:$L$772,$M$5)&gt;0,
        VLOOKUP(CONCATENATE($K35,"|",BA$11,"|",$M$5),IuranSYSebelumnya!$I$330:$N$772,5,FALSE),
        IF(COUNTIFS(IuranSYSebelumnya!$J$330:$J$772,$K35,IuranSYSebelumnya!$M$330:$M$772,BA$11,IuranSYSebelumnya!$L$330:$L$772,"&lt;&gt;"&amp;$M$5)&gt;0,
              "Iuran dari Lingkungan lain",
              ""))</f>
        <v/>
      </c>
      <c r="BB35" s="47" t="str">
        <f>IF(COUNTIFS(IuranSYSebelumnya!$J$330:$J$772,$K35,IuranSYSebelumnya!$M$330:$M$772,BB$11,IuranSYSebelumnya!$L$330:$L$772,$M$5)&gt;0,
        VLOOKUP(CONCATENATE($K35,"|",BB$11,"|",$M$5),IuranSYSebelumnya!$I$330:$N$772,5,FALSE),
        IF(COUNTIFS(IuranSYSebelumnya!$J$330:$J$772,$K35,IuranSYSebelumnya!$M$330:$M$772,BB$11,IuranSYSebelumnya!$L$330:$L$772,"&lt;&gt;"&amp;$M$5)&gt;0,
              "Iuran dari Lingkungan lain",
              ""))</f>
        <v/>
      </c>
      <c r="BC35" s="47" t="str">
        <f>IF(COUNTIFS(IuranSYSebelumnya!$J$330:$J$772,$K35,IuranSYSebelumnya!$M$330:$M$772,BC$11,IuranSYSebelumnya!$L$330:$L$772,$M$5)&gt;0,
        VLOOKUP(CONCATENATE($K35,"|",BC$11,"|",$M$5),IuranSYSebelumnya!$I$330:$N$772,5,FALSE),
        IF(COUNTIFS(IuranSYSebelumnya!$J$330:$J$772,$K35,IuranSYSebelumnya!$M$330:$M$772,BC$11,IuranSYSebelumnya!$L$330:$L$772,"&lt;&gt;"&amp;$M$5)&gt;0,
              "Iuran dari Lingkungan lain",
              ""))</f>
        <v/>
      </c>
      <c r="BD35" s="47" t="str">
        <f>IF(COUNTIFS(IuranSYSebelumnya!$J$330:$J$772,$K35,IuranSYSebelumnya!$M$330:$M$772,BD$11,IuranSYSebelumnya!$L$330:$L$772,$M$5)&gt;0,
        VLOOKUP(CONCATENATE($K35,"|",BD$11,"|",$M$5),IuranSYSebelumnya!$I$330:$N$772,5,FALSE),
        IF(COUNTIFS(IuranSYSebelumnya!$J$330:$J$772,$K35,IuranSYSebelumnya!$M$330:$M$772,BD$11,IuranSYSebelumnya!$L$330:$L$772,"&lt;&gt;"&amp;$M$5)&gt;0,
              "Iuran dari Lingkungan lain",
              ""))</f>
        <v/>
      </c>
      <c r="BE35" s="47" t="str">
        <f>IF(COUNTIFS(IuranSYSebelumnya!$J$330:$J$772,$K35,IuranSYSebelumnya!$M$330:$M$772,BE$11,IuranSYSebelumnya!$L$330:$L$772,$M$5)&gt;0,
        VLOOKUP(CONCATENATE($K35,"|",BE$11,"|",$M$5),IuranSYSebelumnya!$I$330:$N$772,5,FALSE),
        IF(COUNTIFS(IuranSYSebelumnya!$J$330:$J$772,$K35,IuranSYSebelumnya!$M$330:$M$772,BE$11,IuranSYSebelumnya!$L$330:$L$772,"&lt;&gt;"&amp;$M$5)&gt;0,
              "Iuran dari Lingkungan lain",
              ""))</f>
        <v/>
      </c>
      <c r="BF35" s="47" t="str">
        <f>IF(COUNTIFS(IuranSYSebelumnya!$J$330:$J$772,$K35,IuranSYSebelumnya!$M$330:$M$772,BF$11,IuranSYSebelumnya!$L$330:$L$772,$M$5)&gt;0,
        VLOOKUP(CONCATENATE($K35,"|",BF$11,"|",$M$5),IuranSYSebelumnya!$I$330:$N$772,5,FALSE),
        IF(COUNTIFS(IuranSYSebelumnya!$J$330:$J$772,$K35,IuranSYSebelumnya!$M$330:$M$772,BF$11,IuranSYSebelumnya!$L$330:$L$772,"&lt;&gt;"&amp;$M$5)&gt;0,
              "Iuran dari Lingkungan lain",
              ""))</f>
        <v/>
      </c>
      <c r="BG35" s="47" t="str">
        <f>IF(COUNTIFS(IuranSYSebelumnya!$J$330:$J$772,$K35,IuranSYSebelumnya!$M$330:$M$772,BG$11,IuranSYSebelumnya!$L$330:$L$772,$M$5)&gt;0,
        VLOOKUP(CONCATENATE($K35,"|",BG$11,"|",$M$5),IuranSYSebelumnya!$I$330:$N$772,5,FALSE),
        IF(COUNTIFS(IuranSYSebelumnya!$J$330:$J$772,$K35,IuranSYSebelumnya!$M$330:$M$772,BG$11,IuranSYSebelumnya!$L$330:$L$772,"&lt;&gt;"&amp;$M$5)&gt;0,
              "Iuran dari Lingkungan lain",
              ""))</f>
        <v/>
      </c>
      <c r="BH35" s="47" t="str">
        <f>IF(COUNTIFS(IuranSYSebelumnya!$J$330:$J$772,$K35,IuranSYSebelumnya!$M$330:$M$772,BH$11,IuranSYSebelumnya!$L$330:$L$772,$M$5)&gt;0,
        VLOOKUP(CONCATENATE($K35,"|",BH$11,"|",$M$5),IuranSYSebelumnya!$I$330:$N$772,5,FALSE),
        IF(COUNTIFS(IuranSYSebelumnya!$J$330:$J$772,$K35,IuranSYSebelumnya!$M$330:$M$772,BH$11,IuranSYSebelumnya!$L$330:$L$772,"&lt;&gt;"&amp;$M$5)&gt;0,
              "Iuran dari Lingkungan lain",
              ""))</f>
        <v/>
      </c>
      <c r="BI35" s="47" t="str">
        <f>IF(COUNTIFS(IuranSYSebelumnya!$J$330:$J$772,$K35,IuranSYSebelumnya!$M$330:$M$772,BI$11,IuranSYSebelumnya!$L$330:$L$772,$M$5)&gt;0,
        VLOOKUP(CONCATENATE($K35,"|",BI$11,"|",$M$5),IuranSYSebelumnya!$I$330:$N$772,5,FALSE),
        IF(COUNTIFS(IuranSYSebelumnya!$J$330:$J$772,$K35,IuranSYSebelumnya!$M$330:$M$772,BI$11,IuranSYSebelumnya!$L$330:$L$772,"&lt;&gt;"&amp;$M$5)&gt;0,
              "Iuran dari Lingkungan lain",
              ""))</f>
        <v/>
      </c>
      <c r="BJ35" s="47" t="str">
        <f>IF(COUNTIFS(IuranSYSebelumnya!$J$330:$J$772,$K35,IuranSYSebelumnya!$M$330:$M$772,BJ$11,IuranSYSebelumnya!$L$330:$L$772,$M$5)&gt;0,
        VLOOKUP(CONCATENATE($K35,"|",BJ$11,"|",$M$5),IuranSYSebelumnya!$I$330:$N$772,5,FALSE),
        IF(COUNTIFS(IuranSYSebelumnya!$J$330:$J$772,$K35,IuranSYSebelumnya!$M$330:$M$772,BJ$11,IuranSYSebelumnya!$L$330:$L$772,"&lt;&gt;"&amp;$M$5)&gt;0,
              "Iuran dari Lingkungan lain",
              ""))</f>
        <v/>
      </c>
      <c r="BK35" s="47" t="str">
        <f>IF(COUNTIFS(IuranSYSebelumnya!$J$330:$J$772,$K35,IuranSYSebelumnya!$M$330:$M$772,BK$11,IuranSYSebelumnya!$L$330:$L$772,$M$5)&gt;0,
        VLOOKUP(CONCATENATE($K35,"|",BK$11,"|",$M$5),IuranSYSebelumnya!$I$330:$N$772,5,FALSE),
        IF(COUNTIFS(IuranSYSebelumnya!$J$330:$J$772,$K35,IuranSYSebelumnya!$M$330:$M$772,BK$11,IuranSYSebelumnya!$L$330:$L$772,"&lt;&gt;"&amp;$M$5)&gt;0,
              "Iuran dari Lingkungan lain",
              ""))</f>
        <v/>
      </c>
      <c r="BL35" s="47" t="str">
        <f>IF(COUNTIFS(IuranSYSebelumnya!$J$330:$J$772,$K35,IuranSYSebelumnya!$M$330:$M$772,BL$11,IuranSYSebelumnya!$L$330:$L$772,$M$5)&gt;0,
        VLOOKUP(CONCATENATE($K35,"|",BL$11,"|",$M$5),IuranSYSebelumnya!$I$330:$N$772,5,FALSE),
        IF(COUNTIFS(IuranSYSebelumnya!$J$330:$J$772,$K35,IuranSYSebelumnya!$M$330:$M$772,BL$11,IuranSYSebelumnya!$L$330:$L$772,"&lt;&gt;"&amp;$M$5)&gt;0,
              "Iuran dari Lingkungan lain",
              ""))</f>
        <v/>
      </c>
    </row>
    <row r="36" spans="1:64" x14ac:dyDescent="0.35">
      <c r="A36" s="30" t="s">
        <v>6063</v>
      </c>
      <c r="C36" s="30" t="b">
        <f t="shared" ca="1" si="3"/>
        <v>0</v>
      </c>
      <c r="D36" s="30" t="str">
        <f>"""TRUST Nav"",""HSPMTB2016"",""18"",""1"",""KK-04614"""</f>
        <v>"TRUST Nav","HSPMTB2016","18","1","KK-04614"</v>
      </c>
      <c r="H36" s="30">
        <f t="shared" si="4"/>
        <v>0</v>
      </c>
      <c r="J36" s="30">
        <f t="shared" si="5"/>
        <v>24</v>
      </c>
      <c r="K36" s="30" t="str">
        <f>"KK-04614"</f>
        <v>KK-04614</v>
      </c>
      <c r="L36" s="30" t="str">
        <f>"Michael Permadi"</f>
        <v>Michael Permadi</v>
      </c>
      <c r="M36" s="30"/>
      <c r="N36" s="3"/>
      <c r="O36" s="3"/>
      <c r="P36" s="3"/>
      <c r="Q36" s="3"/>
      <c r="R36" s="3"/>
      <c r="S36" s="3"/>
      <c r="T36" s="11"/>
      <c r="U36" s="4"/>
      <c r="V36" s="4"/>
      <c r="W36" s="4"/>
      <c r="X36" s="4"/>
      <c r="Y36" s="15"/>
      <c r="Z36" s="4"/>
      <c r="AA36" s="4"/>
      <c r="AB36" s="4"/>
      <c r="AC36" s="4"/>
      <c r="AD36" s="4"/>
      <c r="AE36" s="4"/>
      <c r="AF36" s="11"/>
      <c r="AG36" s="4"/>
      <c r="AH36" s="4"/>
      <c r="AI36" s="4"/>
      <c r="AJ36" s="4"/>
      <c r="AK36" s="4"/>
      <c r="AL36" s="9">
        <f t="shared" si="6"/>
        <v>0</v>
      </c>
      <c r="AO36" s="47" t="str">
        <f>IF(COUNTIFS(IuranSYSebelumnya!$J$330:$J$772,$K36,IuranSYSebelumnya!$M$330:$M$772,AO$11,IuranSYSebelumnya!$L$330:$L$772,$M$5)&gt;0,
        VLOOKUP(CONCATENATE($K36,"|",AO$11,"|",$M$5),IuranSYSebelumnya!$I$330:$N$772,5,FALSE),
        IF(COUNTIFS(IuranSYSebelumnya!$J$330:$J$772,$K36,IuranSYSebelumnya!$M$330:$M$772,AO$11,IuranSYSebelumnya!$L$330:$L$772,"&lt;&gt;"&amp;$M$5)&gt;0,
              "Iuran dari Lingkungan lain",
              ""))</f>
        <v/>
      </c>
      <c r="AP36" s="47" t="str">
        <f>IF(COUNTIFS(IuranSYSebelumnya!$J$330:$J$772,$K36,IuranSYSebelumnya!$M$330:$M$772,AP$11,IuranSYSebelumnya!$L$330:$L$772,$M$5)&gt;0,
        VLOOKUP(CONCATENATE($K36,"|",AP$11,"|",$M$5),IuranSYSebelumnya!$I$330:$N$772,5,FALSE),
        IF(COUNTIFS(IuranSYSebelumnya!$J$330:$J$772,$K36,IuranSYSebelumnya!$M$330:$M$772,AP$11,IuranSYSebelumnya!$L$330:$L$772,"&lt;&gt;"&amp;$M$5)&gt;0,
              "Iuran dari Lingkungan lain",
              ""))</f>
        <v/>
      </c>
      <c r="AQ36" s="47" t="str">
        <f>IF(COUNTIFS(IuranSYSebelumnya!$J$330:$J$772,$K36,IuranSYSebelumnya!$M$330:$M$772,AQ$11,IuranSYSebelumnya!$L$330:$L$772,$M$5)&gt;0,
        VLOOKUP(CONCATENATE($K36,"|",AQ$11,"|",$M$5),IuranSYSebelumnya!$I$330:$N$772,5,FALSE),
        IF(COUNTIFS(IuranSYSebelumnya!$J$330:$J$772,$K36,IuranSYSebelumnya!$M$330:$M$772,AQ$11,IuranSYSebelumnya!$L$330:$L$772,"&lt;&gt;"&amp;$M$5)&gt;0,
              "Iuran dari Lingkungan lain",
              ""))</f>
        <v/>
      </c>
      <c r="AR36" s="47" t="str">
        <f>IF(COUNTIFS(IuranSYSebelumnya!$J$330:$J$772,$K36,IuranSYSebelumnya!$M$330:$M$772,AR$11,IuranSYSebelumnya!$L$330:$L$772,$M$5)&gt;0,
        VLOOKUP(CONCATENATE($K36,"|",AR$11,"|",$M$5),IuranSYSebelumnya!$I$330:$N$772,5,FALSE),
        IF(COUNTIFS(IuranSYSebelumnya!$J$330:$J$772,$K36,IuranSYSebelumnya!$M$330:$M$772,AR$11,IuranSYSebelumnya!$L$330:$L$772,"&lt;&gt;"&amp;$M$5)&gt;0,
              "Iuran dari Lingkungan lain",
              ""))</f>
        <v/>
      </c>
      <c r="AS36" s="47" t="str">
        <f>IF(COUNTIFS(IuranSYSebelumnya!$J$330:$J$772,$K36,IuranSYSebelumnya!$M$330:$M$772,AS$11,IuranSYSebelumnya!$L$330:$L$772,$M$5)&gt;0,
        VLOOKUP(CONCATENATE($K36,"|",AS$11,"|",$M$5),IuranSYSebelumnya!$I$330:$N$772,5,FALSE),
        IF(COUNTIFS(IuranSYSebelumnya!$J$330:$J$772,$K36,IuranSYSebelumnya!$M$330:$M$772,AS$11,IuranSYSebelumnya!$L$330:$L$772,"&lt;&gt;"&amp;$M$5)&gt;0,
              "Iuran dari Lingkungan lain",
              ""))</f>
        <v/>
      </c>
      <c r="AT36" s="47" t="str">
        <f>IF(COUNTIFS(IuranSYSebelumnya!$J$330:$J$772,$K36,IuranSYSebelumnya!$M$330:$M$772,AT$11,IuranSYSebelumnya!$L$330:$L$772,$M$5)&gt;0,
        VLOOKUP(CONCATENATE($K36,"|",AT$11,"|",$M$5),IuranSYSebelumnya!$I$330:$N$772,5,FALSE),
        IF(COUNTIFS(IuranSYSebelumnya!$J$330:$J$772,$K36,IuranSYSebelumnya!$M$330:$M$772,AT$11,IuranSYSebelumnya!$L$330:$L$772,"&lt;&gt;"&amp;$M$5)&gt;0,
              "Iuran dari Lingkungan lain",
              ""))</f>
        <v/>
      </c>
      <c r="AU36" s="47" t="str">
        <f>IF(COUNTIFS(IuranSYSebelumnya!$J$330:$J$772,$K36,IuranSYSebelumnya!$M$330:$M$772,AU$11,IuranSYSebelumnya!$L$330:$L$772,$M$5)&gt;0,
        VLOOKUP(CONCATENATE($K36,"|",AU$11,"|",$M$5),IuranSYSebelumnya!$I$330:$N$772,5,FALSE),
        IF(COUNTIFS(IuranSYSebelumnya!$J$330:$J$772,$K36,IuranSYSebelumnya!$M$330:$M$772,AU$11,IuranSYSebelumnya!$L$330:$L$772,"&lt;&gt;"&amp;$M$5)&gt;0,
              "Iuran dari Lingkungan lain",
              ""))</f>
        <v/>
      </c>
      <c r="AV36" s="47" t="str">
        <f>IF(COUNTIFS(IuranSYSebelumnya!$J$330:$J$772,$K36,IuranSYSebelumnya!$M$330:$M$772,AV$11,IuranSYSebelumnya!$L$330:$L$772,$M$5)&gt;0,
        VLOOKUP(CONCATENATE($K36,"|",AV$11,"|",$M$5),IuranSYSebelumnya!$I$330:$N$772,5,FALSE),
        IF(COUNTIFS(IuranSYSebelumnya!$J$330:$J$772,$K36,IuranSYSebelumnya!$M$330:$M$772,AV$11,IuranSYSebelumnya!$L$330:$L$772,"&lt;&gt;"&amp;$M$5)&gt;0,
              "Iuran dari Lingkungan lain",
              ""))</f>
        <v/>
      </c>
      <c r="AW36" s="47" t="str">
        <f>IF(COUNTIFS(IuranSYSebelumnya!$J$330:$J$772,$K36,IuranSYSebelumnya!$M$330:$M$772,AW$11,IuranSYSebelumnya!$L$330:$L$772,$M$5)&gt;0,
        VLOOKUP(CONCATENATE($K36,"|",AW$11,"|",$M$5),IuranSYSebelumnya!$I$330:$N$772,5,FALSE),
        IF(COUNTIFS(IuranSYSebelumnya!$J$330:$J$772,$K36,IuranSYSebelumnya!$M$330:$M$772,AW$11,IuranSYSebelumnya!$L$330:$L$772,"&lt;&gt;"&amp;$M$5)&gt;0,
              "Iuran dari Lingkungan lain",
              ""))</f>
        <v/>
      </c>
      <c r="AX36" s="47" t="str">
        <f>IF(COUNTIFS(IuranSYSebelumnya!$J$330:$J$772,$K36,IuranSYSebelumnya!$M$330:$M$772,AX$11,IuranSYSebelumnya!$L$330:$L$772,$M$5)&gt;0,
        VLOOKUP(CONCATENATE($K36,"|",AX$11,"|",$M$5),IuranSYSebelumnya!$I$330:$N$772,5,FALSE),
        IF(COUNTIFS(IuranSYSebelumnya!$J$330:$J$772,$K36,IuranSYSebelumnya!$M$330:$M$772,AX$11,IuranSYSebelumnya!$L$330:$L$772,"&lt;&gt;"&amp;$M$5)&gt;0,
              "Iuran dari Lingkungan lain",
              ""))</f>
        <v/>
      </c>
      <c r="AY36" s="47" t="str">
        <f>IF(COUNTIFS(IuranSYSebelumnya!$J$330:$J$772,$K36,IuranSYSebelumnya!$M$330:$M$772,AY$11,IuranSYSebelumnya!$L$330:$L$772,$M$5)&gt;0,
        VLOOKUP(CONCATENATE($K36,"|",AY$11,"|",$M$5),IuranSYSebelumnya!$I$330:$N$772,5,FALSE),
        IF(COUNTIFS(IuranSYSebelumnya!$J$330:$J$772,$K36,IuranSYSebelumnya!$M$330:$M$772,AY$11,IuranSYSebelumnya!$L$330:$L$772,"&lt;&gt;"&amp;$M$5)&gt;0,
              "Iuran dari Lingkungan lain",
              ""))</f>
        <v/>
      </c>
      <c r="AZ36" s="47" t="str">
        <f>IF(COUNTIFS(IuranSYSebelumnya!$J$330:$J$772,$K36,IuranSYSebelumnya!$M$330:$M$772,AZ$11,IuranSYSebelumnya!$L$330:$L$772,$M$5)&gt;0,
        VLOOKUP(CONCATENATE($K36,"|",AZ$11,"|",$M$5),IuranSYSebelumnya!$I$330:$N$772,5,FALSE),
        IF(COUNTIFS(IuranSYSebelumnya!$J$330:$J$772,$K36,IuranSYSebelumnya!$M$330:$M$772,AZ$11,IuranSYSebelumnya!$L$330:$L$772,"&lt;&gt;"&amp;$M$5)&gt;0,
              "Iuran dari Lingkungan lain",
              ""))</f>
        <v/>
      </c>
      <c r="BA36" s="47" t="str">
        <f>IF(COUNTIFS(IuranSYSebelumnya!$J$330:$J$772,$K36,IuranSYSebelumnya!$M$330:$M$772,BA$11,IuranSYSebelumnya!$L$330:$L$772,$M$5)&gt;0,
        VLOOKUP(CONCATENATE($K36,"|",BA$11,"|",$M$5),IuranSYSebelumnya!$I$330:$N$772,5,FALSE),
        IF(COUNTIFS(IuranSYSebelumnya!$J$330:$J$772,$K36,IuranSYSebelumnya!$M$330:$M$772,BA$11,IuranSYSebelumnya!$L$330:$L$772,"&lt;&gt;"&amp;$M$5)&gt;0,
              "Iuran dari Lingkungan lain",
              ""))</f>
        <v/>
      </c>
      <c r="BB36" s="47" t="str">
        <f>IF(COUNTIFS(IuranSYSebelumnya!$J$330:$J$772,$K36,IuranSYSebelumnya!$M$330:$M$772,BB$11,IuranSYSebelumnya!$L$330:$L$772,$M$5)&gt;0,
        VLOOKUP(CONCATENATE($K36,"|",BB$11,"|",$M$5),IuranSYSebelumnya!$I$330:$N$772,5,FALSE),
        IF(COUNTIFS(IuranSYSebelumnya!$J$330:$J$772,$K36,IuranSYSebelumnya!$M$330:$M$772,BB$11,IuranSYSebelumnya!$L$330:$L$772,"&lt;&gt;"&amp;$M$5)&gt;0,
              "Iuran dari Lingkungan lain",
              ""))</f>
        <v/>
      </c>
      <c r="BC36" s="47" t="str">
        <f>IF(COUNTIFS(IuranSYSebelumnya!$J$330:$J$772,$K36,IuranSYSebelumnya!$M$330:$M$772,BC$11,IuranSYSebelumnya!$L$330:$L$772,$M$5)&gt;0,
        VLOOKUP(CONCATENATE($K36,"|",BC$11,"|",$M$5),IuranSYSebelumnya!$I$330:$N$772,5,FALSE),
        IF(COUNTIFS(IuranSYSebelumnya!$J$330:$J$772,$K36,IuranSYSebelumnya!$M$330:$M$772,BC$11,IuranSYSebelumnya!$L$330:$L$772,"&lt;&gt;"&amp;$M$5)&gt;0,
              "Iuran dari Lingkungan lain",
              ""))</f>
        <v/>
      </c>
      <c r="BD36" s="47" t="str">
        <f>IF(COUNTIFS(IuranSYSebelumnya!$J$330:$J$772,$K36,IuranSYSebelumnya!$M$330:$M$772,BD$11,IuranSYSebelumnya!$L$330:$L$772,$M$5)&gt;0,
        VLOOKUP(CONCATENATE($K36,"|",BD$11,"|",$M$5),IuranSYSebelumnya!$I$330:$N$772,5,FALSE),
        IF(COUNTIFS(IuranSYSebelumnya!$J$330:$J$772,$K36,IuranSYSebelumnya!$M$330:$M$772,BD$11,IuranSYSebelumnya!$L$330:$L$772,"&lt;&gt;"&amp;$M$5)&gt;0,
              "Iuran dari Lingkungan lain",
              ""))</f>
        <v/>
      </c>
      <c r="BE36" s="47" t="str">
        <f>IF(COUNTIFS(IuranSYSebelumnya!$J$330:$J$772,$K36,IuranSYSebelumnya!$M$330:$M$772,BE$11,IuranSYSebelumnya!$L$330:$L$772,$M$5)&gt;0,
        VLOOKUP(CONCATENATE($K36,"|",BE$11,"|",$M$5),IuranSYSebelumnya!$I$330:$N$772,5,FALSE),
        IF(COUNTIFS(IuranSYSebelumnya!$J$330:$J$772,$K36,IuranSYSebelumnya!$M$330:$M$772,BE$11,IuranSYSebelumnya!$L$330:$L$772,"&lt;&gt;"&amp;$M$5)&gt;0,
              "Iuran dari Lingkungan lain",
              ""))</f>
        <v/>
      </c>
      <c r="BF36" s="47" t="str">
        <f>IF(COUNTIFS(IuranSYSebelumnya!$J$330:$J$772,$K36,IuranSYSebelumnya!$M$330:$M$772,BF$11,IuranSYSebelumnya!$L$330:$L$772,$M$5)&gt;0,
        VLOOKUP(CONCATENATE($K36,"|",BF$11,"|",$M$5),IuranSYSebelumnya!$I$330:$N$772,5,FALSE),
        IF(COUNTIFS(IuranSYSebelumnya!$J$330:$J$772,$K36,IuranSYSebelumnya!$M$330:$M$772,BF$11,IuranSYSebelumnya!$L$330:$L$772,"&lt;&gt;"&amp;$M$5)&gt;0,
              "Iuran dari Lingkungan lain",
              ""))</f>
        <v/>
      </c>
      <c r="BG36" s="47" t="str">
        <f>IF(COUNTIFS(IuranSYSebelumnya!$J$330:$J$772,$K36,IuranSYSebelumnya!$M$330:$M$772,BG$11,IuranSYSebelumnya!$L$330:$L$772,$M$5)&gt;0,
        VLOOKUP(CONCATENATE($K36,"|",BG$11,"|",$M$5),IuranSYSebelumnya!$I$330:$N$772,5,FALSE),
        IF(COUNTIFS(IuranSYSebelumnya!$J$330:$J$772,$K36,IuranSYSebelumnya!$M$330:$M$772,BG$11,IuranSYSebelumnya!$L$330:$L$772,"&lt;&gt;"&amp;$M$5)&gt;0,
              "Iuran dari Lingkungan lain",
              ""))</f>
        <v/>
      </c>
      <c r="BH36" s="47" t="str">
        <f>IF(COUNTIFS(IuranSYSebelumnya!$J$330:$J$772,$K36,IuranSYSebelumnya!$M$330:$M$772,BH$11,IuranSYSebelumnya!$L$330:$L$772,$M$5)&gt;0,
        VLOOKUP(CONCATENATE($K36,"|",BH$11,"|",$M$5),IuranSYSebelumnya!$I$330:$N$772,5,FALSE),
        IF(COUNTIFS(IuranSYSebelumnya!$J$330:$J$772,$K36,IuranSYSebelumnya!$M$330:$M$772,BH$11,IuranSYSebelumnya!$L$330:$L$772,"&lt;&gt;"&amp;$M$5)&gt;0,
              "Iuran dari Lingkungan lain",
              ""))</f>
        <v/>
      </c>
      <c r="BI36" s="47" t="str">
        <f>IF(COUNTIFS(IuranSYSebelumnya!$J$330:$J$772,$K36,IuranSYSebelumnya!$M$330:$M$772,BI$11,IuranSYSebelumnya!$L$330:$L$772,$M$5)&gt;0,
        VLOOKUP(CONCATENATE($K36,"|",BI$11,"|",$M$5),IuranSYSebelumnya!$I$330:$N$772,5,FALSE),
        IF(COUNTIFS(IuranSYSebelumnya!$J$330:$J$772,$K36,IuranSYSebelumnya!$M$330:$M$772,BI$11,IuranSYSebelumnya!$L$330:$L$772,"&lt;&gt;"&amp;$M$5)&gt;0,
              "Iuran dari Lingkungan lain",
              ""))</f>
        <v/>
      </c>
      <c r="BJ36" s="47" t="str">
        <f>IF(COUNTIFS(IuranSYSebelumnya!$J$330:$J$772,$K36,IuranSYSebelumnya!$M$330:$M$772,BJ$11,IuranSYSebelumnya!$L$330:$L$772,$M$5)&gt;0,
        VLOOKUP(CONCATENATE($K36,"|",BJ$11,"|",$M$5),IuranSYSebelumnya!$I$330:$N$772,5,FALSE),
        IF(COUNTIFS(IuranSYSebelumnya!$J$330:$J$772,$K36,IuranSYSebelumnya!$M$330:$M$772,BJ$11,IuranSYSebelumnya!$L$330:$L$772,"&lt;&gt;"&amp;$M$5)&gt;0,
              "Iuran dari Lingkungan lain",
              ""))</f>
        <v/>
      </c>
      <c r="BK36" s="47" t="str">
        <f>IF(COUNTIFS(IuranSYSebelumnya!$J$330:$J$772,$K36,IuranSYSebelumnya!$M$330:$M$772,BK$11,IuranSYSebelumnya!$L$330:$L$772,$M$5)&gt;0,
        VLOOKUP(CONCATENATE($K36,"|",BK$11,"|",$M$5),IuranSYSebelumnya!$I$330:$N$772,5,FALSE),
        IF(COUNTIFS(IuranSYSebelumnya!$J$330:$J$772,$K36,IuranSYSebelumnya!$M$330:$M$772,BK$11,IuranSYSebelumnya!$L$330:$L$772,"&lt;&gt;"&amp;$M$5)&gt;0,
              "Iuran dari Lingkungan lain",
              ""))</f>
        <v/>
      </c>
      <c r="BL36" s="47" t="str">
        <f>IF(COUNTIFS(IuranSYSebelumnya!$J$330:$J$772,$K36,IuranSYSebelumnya!$M$330:$M$772,BL$11,IuranSYSebelumnya!$L$330:$L$772,$M$5)&gt;0,
        VLOOKUP(CONCATENATE($K36,"|",BL$11,"|",$M$5),IuranSYSebelumnya!$I$330:$N$772,5,FALSE),
        IF(COUNTIFS(IuranSYSebelumnya!$J$330:$J$772,$K36,IuranSYSebelumnya!$M$330:$M$772,BL$11,IuranSYSebelumnya!$L$330:$L$772,"&lt;&gt;"&amp;$M$5)&gt;0,
              "Iuran dari Lingkungan lain",
              ""))</f>
        <v/>
      </c>
    </row>
    <row r="37" spans="1:64" x14ac:dyDescent="0.35">
      <c r="A37" s="30" t="s">
        <v>6063</v>
      </c>
      <c r="C37" s="30" t="b">
        <f t="shared" ca="1" si="3"/>
        <v>0</v>
      </c>
      <c r="D37" s="30" t="str">
        <f>"""TRUST Nav"",""HSPMTB2016"",""18"",""1"",""KK-05049"""</f>
        <v>"TRUST Nav","HSPMTB2016","18","1","KK-05049"</v>
      </c>
      <c r="H37" s="30">
        <f t="shared" si="4"/>
        <v>0</v>
      </c>
      <c r="J37" s="30">
        <f t="shared" si="5"/>
        <v>25</v>
      </c>
      <c r="K37" s="30" t="str">
        <f>"KK-05049"</f>
        <v>KK-05049</v>
      </c>
      <c r="L37" s="30" t="str">
        <f>"Mikael Tan Norman Hakim"</f>
        <v>Mikael Tan Norman Hakim</v>
      </c>
      <c r="M37" s="30"/>
      <c r="N37" s="3"/>
      <c r="O37" s="3"/>
      <c r="P37" s="3"/>
      <c r="Q37" s="3"/>
      <c r="R37" s="3"/>
      <c r="S37" s="3"/>
      <c r="T37" s="11"/>
      <c r="U37" s="4"/>
      <c r="V37" s="4"/>
      <c r="W37" s="4"/>
      <c r="X37" s="4"/>
      <c r="Y37" s="15"/>
      <c r="Z37" s="4"/>
      <c r="AA37" s="4"/>
      <c r="AB37" s="4"/>
      <c r="AC37" s="4"/>
      <c r="AD37" s="4"/>
      <c r="AE37" s="4"/>
      <c r="AF37" s="11"/>
      <c r="AG37" s="4"/>
      <c r="AH37" s="4"/>
      <c r="AI37" s="4"/>
      <c r="AJ37" s="4"/>
      <c r="AK37" s="4"/>
      <c r="AL37" s="9">
        <f t="shared" si="6"/>
        <v>0</v>
      </c>
      <c r="AO37" s="47" t="str">
        <f>IF(COUNTIFS(IuranSYSebelumnya!$J$330:$J$772,$K37,IuranSYSebelumnya!$M$330:$M$772,AO$11,IuranSYSebelumnya!$L$330:$L$772,$M$5)&gt;0,
        VLOOKUP(CONCATENATE($K37,"|",AO$11,"|",$M$5),IuranSYSebelumnya!$I$330:$N$772,5,FALSE),
        IF(COUNTIFS(IuranSYSebelumnya!$J$330:$J$772,$K37,IuranSYSebelumnya!$M$330:$M$772,AO$11,IuranSYSebelumnya!$L$330:$L$772,"&lt;&gt;"&amp;$M$5)&gt;0,
              "Iuran dari Lingkungan lain",
              ""))</f>
        <v/>
      </c>
      <c r="AP37" s="47" t="str">
        <f>IF(COUNTIFS(IuranSYSebelumnya!$J$330:$J$772,$K37,IuranSYSebelumnya!$M$330:$M$772,AP$11,IuranSYSebelumnya!$L$330:$L$772,$M$5)&gt;0,
        VLOOKUP(CONCATENATE($K37,"|",AP$11,"|",$M$5),IuranSYSebelumnya!$I$330:$N$772,5,FALSE),
        IF(COUNTIFS(IuranSYSebelumnya!$J$330:$J$772,$K37,IuranSYSebelumnya!$M$330:$M$772,AP$11,IuranSYSebelumnya!$L$330:$L$772,"&lt;&gt;"&amp;$M$5)&gt;0,
              "Iuran dari Lingkungan lain",
              ""))</f>
        <v/>
      </c>
      <c r="AQ37" s="47" t="str">
        <f>IF(COUNTIFS(IuranSYSebelumnya!$J$330:$J$772,$K37,IuranSYSebelumnya!$M$330:$M$772,AQ$11,IuranSYSebelumnya!$L$330:$L$772,$M$5)&gt;0,
        VLOOKUP(CONCATENATE($K37,"|",AQ$11,"|",$M$5),IuranSYSebelumnya!$I$330:$N$772,5,FALSE),
        IF(COUNTIFS(IuranSYSebelumnya!$J$330:$J$772,$K37,IuranSYSebelumnya!$M$330:$M$772,AQ$11,IuranSYSebelumnya!$L$330:$L$772,"&lt;&gt;"&amp;$M$5)&gt;0,
              "Iuran dari Lingkungan lain",
              ""))</f>
        <v/>
      </c>
      <c r="AR37" s="47" t="str">
        <f>IF(COUNTIFS(IuranSYSebelumnya!$J$330:$J$772,$K37,IuranSYSebelumnya!$M$330:$M$772,AR$11,IuranSYSebelumnya!$L$330:$L$772,$M$5)&gt;0,
        VLOOKUP(CONCATENATE($K37,"|",AR$11,"|",$M$5),IuranSYSebelumnya!$I$330:$N$772,5,FALSE),
        IF(COUNTIFS(IuranSYSebelumnya!$J$330:$J$772,$K37,IuranSYSebelumnya!$M$330:$M$772,AR$11,IuranSYSebelumnya!$L$330:$L$772,"&lt;&gt;"&amp;$M$5)&gt;0,
              "Iuran dari Lingkungan lain",
              ""))</f>
        <v/>
      </c>
      <c r="AS37" s="47" t="str">
        <f>IF(COUNTIFS(IuranSYSebelumnya!$J$330:$J$772,$K37,IuranSYSebelumnya!$M$330:$M$772,AS$11,IuranSYSebelumnya!$L$330:$L$772,$M$5)&gt;0,
        VLOOKUP(CONCATENATE($K37,"|",AS$11,"|",$M$5),IuranSYSebelumnya!$I$330:$N$772,5,FALSE),
        IF(COUNTIFS(IuranSYSebelumnya!$J$330:$J$772,$K37,IuranSYSebelumnya!$M$330:$M$772,AS$11,IuranSYSebelumnya!$L$330:$L$772,"&lt;&gt;"&amp;$M$5)&gt;0,
              "Iuran dari Lingkungan lain",
              ""))</f>
        <v/>
      </c>
      <c r="AT37" s="47" t="str">
        <f>IF(COUNTIFS(IuranSYSebelumnya!$J$330:$J$772,$K37,IuranSYSebelumnya!$M$330:$M$772,AT$11,IuranSYSebelumnya!$L$330:$L$772,$M$5)&gt;0,
        VLOOKUP(CONCATENATE($K37,"|",AT$11,"|",$M$5),IuranSYSebelumnya!$I$330:$N$772,5,FALSE),
        IF(COUNTIFS(IuranSYSebelumnya!$J$330:$J$772,$K37,IuranSYSebelumnya!$M$330:$M$772,AT$11,IuranSYSebelumnya!$L$330:$L$772,"&lt;&gt;"&amp;$M$5)&gt;0,
              "Iuran dari Lingkungan lain",
              ""))</f>
        <v/>
      </c>
      <c r="AU37" s="47" t="str">
        <f>IF(COUNTIFS(IuranSYSebelumnya!$J$330:$J$772,$K37,IuranSYSebelumnya!$M$330:$M$772,AU$11,IuranSYSebelumnya!$L$330:$L$772,$M$5)&gt;0,
        VLOOKUP(CONCATENATE($K37,"|",AU$11,"|",$M$5),IuranSYSebelumnya!$I$330:$N$772,5,FALSE),
        IF(COUNTIFS(IuranSYSebelumnya!$J$330:$J$772,$K37,IuranSYSebelumnya!$M$330:$M$772,AU$11,IuranSYSebelumnya!$L$330:$L$772,"&lt;&gt;"&amp;$M$5)&gt;0,
              "Iuran dari Lingkungan lain",
              ""))</f>
        <v/>
      </c>
      <c r="AV37" s="47" t="str">
        <f>IF(COUNTIFS(IuranSYSebelumnya!$J$330:$J$772,$K37,IuranSYSebelumnya!$M$330:$M$772,AV$11,IuranSYSebelumnya!$L$330:$L$772,$M$5)&gt;0,
        VLOOKUP(CONCATENATE($K37,"|",AV$11,"|",$M$5),IuranSYSebelumnya!$I$330:$N$772,5,FALSE),
        IF(COUNTIFS(IuranSYSebelumnya!$J$330:$J$772,$K37,IuranSYSebelumnya!$M$330:$M$772,AV$11,IuranSYSebelumnya!$L$330:$L$772,"&lt;&gt;"&amp;$M$5)&gt;0,
              "Iuran dari Lingkungan lain",
              ""))</f>
        <v/>
      </c>
      <c r="AW37" s="47" t="str">
        <f>IF(COUNTIFS(IuranSYSebelumnya!$J$330:$J$772,$K37,IuranSYSebelumnya!$M$330:$M$772,AW$11,IuranSYSebelumnya!$L$330:$L$772,$M$5)&gt;0,
        VLOOKUP(CONCATENATE($K37,"|",AW$11,"|",$M$5),IuranSYSebelumnya!$I$330:$N$772,5,FALSE),
        IF(COUNTIFS(IuranSYSebelumnya!$J$330:$J$772,$K37,IuranSYSebelumnya!$M$330:$M$772,AW$11,IuranSYSebelumnya!$L$330:$L$772,"&lt;&gt;"&amp;$M$5)&gt;0,
              "Iuran dari Lingkungan lain",
              ""))</f>
        <v/>
      </c>
      <c r="AX37" s="47" t="str">
        <f>IF(COUNTIFS(IuranSYSebelumnya!$J$330:$J$772,$K37,IuranSYSebelumnya!$M$330:$M$772,AX$11,IuranSYSebelumnya!$L$330:$L$772,$M$5)&gt;0,
        VLOOKUP(CONCATENATE($K37,"|",AX$11,"|",$M$5),IuranSYSebelumnya!$I$330:$N$772,5,FALSE),
        IF(COUNTIFS(IuranSYSebelumnya!$J$330:$J$772,$K37,IuranSYSebelumnya!$M$330:$M$772,AX$11,IuranSYSebelumnya!$L$330:$L$772,"&lt;&gt;"&amp;$M$5)&gt;0,
              "Iuran dari Lingkungan lain",
              ""))</f>
        <v/>
      </c>
      <c r="AY37" s="47" t="str">
        <f>IF(COUNTIFS(IuranSYSebelumnya!$J$330:$J$772,$K37,IuranSYSebelumnya!$M$330:$M$772,AY$11,IuranSYSebelumnya!$L$330:$L$772,$M$5)&gt;0,
        VLOOKUP(CONCATENATE($K37,"|",AY$11,"|",$M$5),IuranSYSebelumnya!$I$330:$N$772,5,FALSE),
        IF(COUNTIFS(IuranSYSebelumnya!$J$330:$J$772,$K37,IuranSYSebelumnya!$M$330:$M$772,AY$11,IuranSYSebelumnya!$L$330:$L$772,"&lt;&gt;"&amp;$M$5)&gt;0,
              "Iuran dari Lingkungan lain",
              ""))</f>
        <v/>
      </c>
      <c r="AZ37" s="47" t="str">
        <f>IF(COUNTIFS(IuranSYSebelumnya!$J$330:$J$772,$K37,IuranSYSebelumnya!$M$330:$M$772,AZ$11,IuranSYSebelumnya!$L$330:$L$772,$M$5)&gt;0,
        VLOOKUP(CONCATENATE($K37,"|",AZ$11,"|",$M$5),IuranSYSebelumnya!$I$330:$N$772,5,FALSE),
        IF(COUNTIFS(IuranSYSebelumnya!$J$330:$J$772,$K37,IuranSYSebelumnya!$M$330:$M$772,AZ$11,IuranSYSebelumnya!$L$330:$L$772,"&lt;&gt;"&amp;$M$5)&gt;0,
              "Iuran dari Lingkungan lain",
              ""))</f>
        <v/>
      </c>
      <c r="BA37" s="47" t="str">
        <f>IF(COUNTIFS(IuranSYSebelumnya!$J$330:$J$772,$K37,IuranSYSebelumnya!$M$330:$M$772,BA$11,IuranSYSebelumnya!$L$330:$L$772,$M$5)&gt;0,
        VLOOKUP(CONCATENATE($K37,"|",BA$11,"|",$M$5),IuranSYSebelumnya!$I$330:$N$772,5,FALSE),
        IF(COUNTIFS(IuranSYSebelumnya!$J$330:$J$772,$K37,IuranSYSebelumnya!$M$330:$M$772,BA$11,IuranSYSebelumnya!$L$330:$L$772,"&lt;&gt;"&amp;$M$5)&gt;0,
              "Iuran dari Lingkungan lain",
              ""))</f>
        <v/>
      </c>
      <c r="BB37" s="47" t="str">
        <f>IF(COUNTIFS(IuranSYSebelumnya!$J$330:$J$772,$K37,IuranSYSebelumnya!$M$330:$M$772,BB$11,IuranSYSebelumnya!$L$330:$L$772,$M$5)&gt;0,
        VLOOKUP(CONCATENATE($K37,"|",BB$11,"|",$M$5),IuranSYSebelumnya!$I$330:$N$772,5,FALSE),
        IF(COUNTIFS(IuranSYSebelumnya!$J$330:$J$772,$K37,IuranSYSebelumnya!$M$330:$M$772,BB$11,IuranSYSebelumnya!$L$330:$L$772,"&lt;&gt;"&amp;$M$5)&gt;0,
              "Iuran dari Lingkungan lain",
              ""))</f>
        <v/>
      </c>
      <c r="BC37" s="47" t="str">
        <f>IF(COUNTIFS(IuranSYSebelumnya!$J$330:$J$772,$K37,IuranSYSebelumnya!$M$330:$M$772,BC$11,IuranSYSebelumnya!$L$330:$L$772,$M$5)&gt;0,
        VLOOKUP(CONCATENATE($K37,"|",BC$11,"|",$M$5),IuranSYSebelumnya!$I$330:$N$772,5,FALSE),
        IF(COUNTIFS(IuranSYSebelumnya!$J$330:$J$772,$K37,IuranSYSebelumnya!$M$330:$M$772,BC$11,IuranSYSebelumnya!$L$330:$L$772,"&lt;&gt;"&amp;$M$5)&gt;0,
              "Iuran dari Lingkungan lain",
              ""))</f>
        <v/>
      </c>
      <c r="BD37" s="47" t="str">
        <f>IF(COUNTIFS(IuranSYSebelumnya!$J$330:$J$772,$K37,IuranSYSebelumnya!$M$330:$M$772,BD$11,IuranSYSebelumnya!$L$330:$L$772,$M$5)&gt;0,
        VLOOKUP(CONCATENATE($K37,"|",BD$11,"|",$M$5),IuranSYSebelumnya!$I$330:$N$772,5,FALSE),
        IF(COUNTIFS(IuranSYSebelumnya!$J$330:$J$772,$K37,IuranSYSebelumnya!$M$330:$M$772,BD$11,IuranSYSebelumnya!$L$330:$L$772,"&lt;&gt;"&amp;$M$5)&gt;0,
              "Iuran dari Lingkungan lain",
              ""))</f>
        <v/>
      </c>
      <c r="BE37" s="47" t="str">
        <f>IF(COUNTIFS(IuranSYSebelumnya!$J$330:$J$772,$K37,IuranSYSebelumnya!$M$330:$M$772,BE$11,IuranSYSebelumnya!$L$330:$L$772,$M$5)&gt;0,
        VLOOKUP(CONCATENATE($K37,"|",BE$11,"|",$M$5),IuranSYSebelumnya!$I$330:$N$772,5,FALSE),
        IF(COUNTIFS(IuranSYSebelumnya!$J$330:$J$772,$K37,IuranSYSebelumnya!$M$330:$M$772,BE$11,IuranSYSebelumnya!$L$330:$L$772,"&lt;&gt;"&amp;$M$5)&gt;0,
              "Iuran dari Lingkungan lain",
              ""))</f>
        <v/>
      </c>
      <c r="BF37" s="47" t="str">
        <f>IF(COUNTIFS(IuranSYSebelumnya!$J$330:$J$772,$K37,IuranSYSebelumnya!$M$330:$M$772,BF$11,IuranSYSebelumnya!$L$330:$L$772,$M$5)&gt;0,
        VLOOKUP(CONCATENATE($K37,"|",BF$11,"|",$M$5),IuranSYSebelumnya!$I$330:$N$772,5,FALSE),
        IF(COUNTIFS(IuranSYSebelumnya!$J$330:$J$772,$K37,IuranSYSebelumnya!$M$330:$M$772,BF$11,IuranSYSebelumnya!$L$330:$L$772,"&lt;&gt;"&amp;$M$5)&gt;0,
              "Iuran dari Lingkungan lain",
              ""))</f>
        <v/>
      </c>
      <c r="BG37" s="47" t="str">
        <f>IF(COUNTIFS(IuranSYSebelumnya!$J$330:$J$772,$K37,IuranSYSebelumnya!$M$330:$M$772,BG$11,IuranSYSebelumnya!$L$330:$L$772,$M$5)&gt;0,
        VLOOKUP(CONCATENATE($K37,"|",BG$11,"|",$M$5),IuranSYSebelumnya!$I$330:$N$772,5,FALSE),
        IF(COUNTIFS(IuranSYSebelumnya!$J$330:$J$772,$K37,IuranSYSebelumnya!$M$330:$M$772,BG$11,IuranSYSebelumnya!$L$330:$L$772,"&lt;&gt;"&amp;$M$5)&gt;0,
              "Iuran dari Lingkungan lain",
              ""))</f>
        <v/>
      </c>
      <c r="BH37" s="47" t="str">
        <f>IF(COUNTIFS(IuranSYSebelumnya!$J$330:$J$772,$K37,IuranSYSebelumnya!$M$330:$M$772,BH$11,IuranSYSebelumnya!$L$330:$L$772,$M$5)&gt;0,
        VLOOKUP(CONCATENATE($K37,"|",BH$11,"|",$M$5),IuranSYSebelumnya!$I$330:$N$772,5,FALSE),
        IF(COUNTIFS(IuranSYSebelumnya!$J$330:$J$772,$K37,IuranSYSebelumnya!$M$330:$M$772,BH$11,IuranSYSebelumnya!$L$330:$L$772,"&lt;&gt;"&amp;$M$5)&gt;0,
              "Iuran dari Lingkungan lain",
              ""))</f>
        <v/>
      </c>
      <c r="BI37" s="47" t="str">
        <f>IF(COUNTIFS(IuranSYSebelumnya!$J$330:$J$772,$K37,IuranSYSebelumnya!$M$330:$M$772,BI$11,IuranSYSebelumnya!$L$330:$L$772,$M$5)&gt;0,
        VLOOKUP(CONCATENATE($K37,"|",BI$11,"|",$M$5),IuranSYSebelumnya!$I$330:$N$772,5,FALSE),
        IF(COUNTIFS(IuranSYSebelumnya!$J$330:$J$772,$K37,IuranSYSebelumnya!$M$330:$M$772,BI$11,IuranSYSebelumnya!$L$330:$L$772,"&lt;&gt;"&amp;$M$5)&gt;0,
              "Iuran dari Lingkungan lain",
              ""))</f>
        <v/>
      </c>
      <c r="BJ37" s="47" t="str">
        <f>IF(COUNTIFS(IuranSYSebelumnya!$J$330:$J$772,$K37,IuranSYSebelumnya!$M$330:$M$772,BJ$11,IuranSYSebelumnya!$L$330:$L$772,$M$5)&gt;0,
        VLOOKUP(CONCATENATE($K37,"|",BJ$11,"|",$M$5),IuranSYSebelumnya!$I$330:$N$772,5,FALSE),
        IF(COUNTIFS(IuranSYSebelumnya!$J$330:$J$772,$K37,IuranSYSebelumnya!$M$330:$M$772,BJ$11,IuranSYSebelumnya!$L$330:$L$772,"&lt;&gt;"&amp;$M$5)&gt;0,
              "Iuran dari Lingkungan lain",
              ""))</f>
        <v/>
      </c>
      <c r="BK37" s="47" t="str">
        <f>IF(COUNTIFS(IuranSYSebelumnya!$J$330:$J$772,$K37,IuranSYSebelumnya!$M$330:$M$772,BK$11,IuranSYSebelumnya!$L$330:$L$772,$M$5)&gt;0,
        VLOOKUP(CONCATENATE($K37,"|",BK$11,"|",$M$5),IuranSYSebelumnya!$I$330:$N$772,5,FALSE),
        IF(COUNTIFS(IuranSYSebelumnya!$J$330:$J$772,$K37,IuranSYSebelumnya!$M$330:$M$772,BK$11,IuranSYSebelumnya!$L$330:$L$772,"&lt;&gt;"&amp;$M$5)&gt;0,
              "Iuran dari Lingkungan lain",
              ""))</f>
        <v/>
      </c>
      <c r="BL37" s="47" t="str">
        <f>IF(COUNTIFS(IuranSYSebelumnya!$J$330:$J$772,$K37,IuranSYSebelumnya!$M$330:$M$772,BL$11,IuranSYSebelumnya!$L$330:$L$772,$M$5)&gt;0,
        VLOOKUP(CONCATENATE($K37,"|",BL$11,"|",$M$5),IuranSYSebelumnya!$I$330:$N$772,5,FALSE),
        IF(COUNTIFS(IuranSYSebelumnya!$J$330:$J$772,$K37,IuranSYSebelumnya!$M$330:$M$772,BL$11,IuranSYSebelumnya!$L$330:$L$772,"&lt;&gt;"&amp;$M$5)&gt;0,
              "Iuran dari Lingkungan lain",
              ""))</f>
        <v/>
      </c>
    </row>
    <row r="38" spans="1:64" x14ac:dyDescent="0.35">
      <c r="A38" s="30" t="s">
        <v>6063</v>
      </c>
      <c r="C38" s="30" t="b">
        <f t="shared" ca="1" si="3"/>
        <v>0</v>
      </c>
      <c r="D38" s="30" t="str">
        <f>"""TRUST Nav"",""HSPMTB2016"",""18"",""1"",""KK-05051"""</f>
        <v>"TRUST Nav","HSPMTB2016","18","1","KK-05051"</v>
      </c>
      <c r="H38" s="30">
        <f t="shared" si="4"/>
        <v>0</v>
      </c>
      <c r="J38" s="30">
        <f t="shared" si="5"/>
        <v>26</v>
      </c>
      <c r="K38" s="30" t="str">
        <f>"KK-05051"</f>
        <v>KK-05051</v>
      </c>
      <c r="L38" s="30" t="str">
        <f>"Nicolaas Oktavianto Sutjondro Putro"</f>
        <v>Nicolaas Oktavianto Sutjondro Putro</v>
      </c>
      <c r="M38" s="30"/>
      <c r="N38" s="3"/>
      <c r="O38" s="3"/>
      <c r="P38" s="3"/>
      <c r="Q38" s="3"/>
      <c r="R38" s="3"/>
      <c r="S38" s="3"/>
      <c r="T38" s="11"/>
      <c r="U38" s="4"/>
      <c r="V38" s="4"/>
      <c r="W38" s="4"/>
      <c r="X38" s="4"/>
      <c r="Y38" s="15"/>
      <c r="Z38" s="4"/>
      <c r="AA38" s="4"/>
      <c r="AB38" s="4"/>
      <c r="AC38" s="4"/>
      <c r="AD38" s="4"/>
      <c r="AE38" s="4"/>
      <c r="AF38" s="11"/>
      <c r="AG38" s="4"/>
      <c r="AH38" s="4"/>
      <c r="AI38" s="4"/>
      <c r="AJ38" s="4"/>
      <c r="AK38" s="4"/>
      <c r="AL38" s="9">
        <f t="shared" si="6"/>
        <v>0</v>
      </c>
      <c r="AO38" s="47" t="str">
        <f>IF(COUNTIFS(IuranSYSebelumnya!$J$330:$J$772,$K38,IuranSYSebelumnya!$M$330:$M$772,AO$11,IuranSYSebelumnya!$L$330:$L$772,$M$5)&gt;0,
        VLOOKUP(CONCATENATE($K38,"|",AO$11,"|",$M$5),IuranSYSebelumnya!$I$330:$N$772,5,FALSE),
        IF(COUNTIFS(IuranSYSebelumnya!$J$330:$J$772,$K38,IuranSYSebelumnya!$M$330:$M$772,AO$11,IuranSYSebelumnya!$L$330:$L$772,"&lt;&gt;"&amp;$M$5)&gt;0,
              "Iuran dari Lingkungan lain",
              ""))</f>
        <v/>
      </c>
      <c r="AP38" s="47" t="str">
        <f>IF(COUNTIFS(IuranSYSebelumnya!$J$330:$J$772,$K38,IuranSYSebelumnya!$M$330:$M$772,AP$11,IuranSYSebelumnya!$L$330:$L$772,$M$5)&gt;0,
        VLOOKUP(CONCATENATE($K38,"|",AP$11,"|",$M$5),IuranSYSebelumnya!$I$330:$N$772,5,FALSE),
        IF(COUNTIFS(IuranSYSebelumnya!$J$330:$J$772,$K38,IuranSYSebelumnya!$M$330:$M$772,AP$11,IuranSYSebelumnya!$L$330:$L$772,"&lt;&gt;"&amp;$M$5)&gt;0,
              "Iuran dari Lingkungan lain",
              ""))</f>
        <v/>
      </c>
      <c r="AQ38" s="47" t="str">
        <f>IF(COUNTIFS(IuranSYSebelumnya!$J$330:$J$772,$K38,IuranSYSebelumnya!$M$330:$M$772,AQ$11,IuranSYSebelumnya!$L$330:$L$772,$M$5)&gt;0,
        VLOOKUP(CONCATENATE($K38,"|",AQ$11,"|",$M$5),IuranSYSebelumnya!$I$330:$N$772,5,FALSE),
        IF(COUNTIFS(IuranSYSebelumnya!$J$330:$J$772,$K38,IuranSYSebelumnya!$M$330:$M$772,AQ$11,IuranSYSebelumnya!$L$330:$L$772,"&lt;&gt;"&amp;$M$5)&gt;0,
              "Iuran dari Lingkungan lain",
              ""))</f>
        <v/>
      </c>
      <c r="AR38" s="47" t="str">
        <f>IF(COUNTIFS(IuranSYSebelumnya!$J$330:$J$772,$K38,IuranSYSebelumnya!$M$330:$M$772,AR$11,IuranSYSebelumnya!$L$330:$L$772,$M$5)&gt;0,
        VLOOKUP(CONCATENATE($K38,"|",AR$11,"|",$M$5),IuranSYSebelumnya!$I$330:$N$772,5,FALSE),
        IF(COUNTIFS(IuranSYSebelumnya!$J$330:$J$772,$K38,IuranSYSebelumnya!$M$330:$M$772,AR$11,IuranSYSebelumnya!$L$330:$L$772,"&lt;&gt;"&amp;$M$5)&gt;0,
              "Iuran dari Lingkungan lain",
              ""))</f>
        <v/>
      </c>
      <c r="AS38" s="47" t="str">
        <f>IF(COUNTIFS(IuranSYSebelumnya!$J$330:$J$772,$K38,IuranSYSebelumnya!$M$330:$M$772,AS$11,IuranSYSebelumnya!$L$330:$L$772,$M$5)&gt;0,
        VLOOKUP(CONCATENATE($K38,"|",AS$11,"|",$M$5),IuranSYSebelumnya!$I$330:$N$772,5,FALSE),
        IF(COUNTIFS(IuranSYSebelumnya!$J$330:$J$772,$K38,IuranSYSebelumnya!$M$330:$M$772,AS$11,IuranSYSebelumnya!$L$330:$L$772,"&lt;&gt;"&amp;$M$5)&gt;0,
              "Iuran dari Lingkungan lain",
              ""))</f>
        <v/>
      </c>
      <c r="AT38" s="47" t="str">
        <f>IF(COUNTIFS(IuranSYSebelumnya!$J$330:$J$772,$K38,IuranSYSebelumnya!$M$330:$M$772,AT$11,IuranSYSebelumnya!$L$330:$L$772,$M$5)&gt;0,
        VLOOKUP(CONCATENATE($K38,"|",AT$11,"|",$M$5),IuranSYSebelumnya!$I$330:$N$772,5,FALSE),
        IF(COUNTIFS(IuranSYSebelumnya!$J$330:$J$772,$K38,IuranSYSebelumnya!$M$330:$M$772,AT$11,IuranSYSebelumnya!$L$330:$L$772,"&lt;&gt;"&amp;$M$5)&gt;0,
              "Iuran dari Lingkungan lain",
              ""))</f>
        <v/>
      </c>
      <c r="AU38" s="47" t="str">
        <f>IF(COUNTIFS(IuranSYSebelumnya!$J$330:$J$772,$K38,IuranSYSebelumnya!$M$330:$M$772,AU$11,IuranSYSebelumnya!$L$330:$L$772,$M$5)&gt;0,
        VLOOKUP(CONCATENATE($K38,"|",AU$11,"|",$M$5),IuranSYSebelumnya!$I$330:$N$772,5,FALSE),
        IF(COUNTIFS(IuranSYSebelumnya!$J$330:$J$772,$K38,IuranSYSebelumnya!$M$330:$M$772,AU$11,IuranSYSebelumnya!$L$330:$L$772,"&lt;&gt;"&amp;$M$5)&gt;0,
              "Iuran dari Lingkungan lain",
              ""))</f>
        <v/>
      </c>
      <c r="AV38" s="47" t="str">
        <f>IF(COUNTIFS(IuranSYSebelumnya!$J$330:$J$772,$K38,IuranSYSebelumnya!$M$330:$M$772,AV$11,IuranSYSebelumnya!$L$330:$L$772,$M$5)&gt;0,
        VLOOKUP(CONCATENATE($K38,"|",AV$11,"|",$M$5),IuranSYSebelumnya!$I$330:$N$772,5,FALSE),
        IF(COUNTIFS(IuranSYSebelumnya!$J$330:$J$772,$K38,IuranSYSebelumnya!$M$330:$M$772,AV$11,IuranSYSebelumnya!$L$330:$L$772,"&lt;&gt;"&amp;$M$5)&gt;0,
              "Iuran dari Lingkungan lain",
              ""))</f>
        <v/>
      </c>
      <c r="AW38" s="47" t="str">
        <f>IF(COUNTIFS(IuranSYSebelumnya!$J$330:$J$772,$K38,IuranSYSebelumnya!$M$330:$M$772,AW$11,IuranSYSebelumnya!$L$330:$L$772,$M$5)&gt;0,
        VLOOKUP(CONCATENATE($K38,"|",AW$11,"|",$M$5),IuranSYSebelumnya!$I$330:$N$772,5,FALSE),
        IF(COUNTIFS(IuranSYSebelumnya!$J$330:$J$772,$K38,IuranSYSebelumnya!$M$330:$M$772,AW$11,IuranSYSebelumnya!$L$330:$L$772,"&lt;&gt;"&amp;$M$5)&gt;0,
              "Iuran dari Lingkungan lain",
              ""))</f>
        <v/>
      </c>
      <c r="AX38" s="47" t="str">
        <f>IF(COUNTIFS(IuranSYSebelumnya!$J$330:$J$772,$K38,IuranSYSebelumnya!$M$330:$M$772,AX$11,IuranSYSebelumnya!$L$330:$L$772,$M$5)&gt;0,
        VLOOKUP(CONCATENATE($K38,"|",AX$11,"|",$M$5),IuranSYSebelumnya!$I$330:$N$772,5,FALSE),
        IF(COUNTIFS(IuranSYSebelumnya!$J$330:$J$772,$K38,IuranSYSebelumnya!$M$330:$M$772,AX$11,IuranSYSebelumnya!$L$330:$L$772,"&lt;&gt;"&amp;$M$5)&gt;0,
              "Iuran dari Lingkungan lain",
              ""))</f>
        <v/>
      </c>
      <c r="AY38" s="47" t="str">
        <f>IF(COUNTIFS(IuranSYSebelumnya!$J$330:$J$772,$K38,IuranSYSebelumnya!$M$330:$M$772,AY$11,IuranSYSebelumnya!$L$330:$L$772,$M$5)&gt;0,
        VLOOKUP(CONCATENATE($K38,"|",AY$11,"|",$M$5),IuranSYSebelumnya!$I$330:$N$772,5,FALSE),
        IF(COUNTIFS(IuranSYSebelumnya!$J$330:$J$772,$K38,IuranSYSebelumnya!$M$330:$M$772,AY$11,IuranSYSebelumnya!$L$330:$L$772,"&lt;&gt;"&amp;$M$5)&gt;0,
              "Iuran dari Lingkungan lain",
              ""))</f>
        <v/>
      </c>
      <c r="AZ38" s="47" t="str">
        <f>IF(COUNTIFS(IuranSYSebelumnya!$J$330:$J$772,$K38,IuranSYSebelumnya!$M$330:$M$772,AZ$11,IuranSYSebelumnya!$L$330:$L$772,$M$5)&gt;0,
        VLOOKUP(CONCATENATE($K38,"|",AZ$11,"|",$M$5),IuranSYSebelumnya!$I$330:$N$772,5,FALSE),
        IF(COUNTIFS(IuranSYSebelumnya!$J$330:$J$772,$K38,IuranSYSebelumnya!$M$330:$M$772,AZ$11,IuranSYSebelumnya!$L$330:$L$772,"&lt;&gt;"&amp;$M$5)&gt;0,
              "Iuran dari Lingkungan lain",
              ""))</f>
        <v/>
      </c>
      <c r="BA38" s="47" t="str">
        <f>IF(COUNTIFS(IuranSYSebelumnya!$J$330:$J$772,$K38,IuranSYSebelumnya!$M$330:$M$772,BA$11,IuranSYSebelumnya!$L$330:$L$772,$M$5)&gt;0,
        VLOOKUP(CONCATENATE($K38,"|",BA$11,"|",$M$5),IuranSYSebelumnya!$I$330:$N$772,5,FALSE),
        IF(COUNTIFS(IuranSYSebelumnya!$J$330:$J$772,$K38,IuranSYSebelumnya!$M$330:$M$772,BA$11,IuranSYSebelumnya!$L$330:$L$772,"&lt;&gt;"&amp;$M$5)&gt;0,
              "Iuran dari Lingkungan lain",
              ""))</f>
        <v/>
      </c>
      <c r="BB38" s="47" t="str">
        <f>IF(COUNTIFS(IuranSYSebelumnya!$J$330:$J$772,$K38,IuranSYSebelumnya!$M$330:$M$772,BB$11,IuranSYSebelumnya!$L$330:$L$772,$M$5)&gt;0,
        VLOOKUP(CONCATENATE($K38,"|",BB$11,"|",$M$5),IuranSYSebelumnya!$I$330:$N$772,5,FALSE),
        IF(COUNTIFS(IuranSYSebelumnya!$J$330:$J$772,$K38,IuranSYSebelumnya!$M$330:$M$772,BB$11,IuranSYSebelumnya!$L$330:$L$772,"&lt;&gt;"&amp;$M$5)&gt;0,
              "Iuran dari Lingkungan lain",
              ""))</f>
        <v/>
      </c>
      <c r="BC38" s="47" t="str">
        <f>IF(COUNTIFS(IuranSYSebelumnya!$J$330:$J$772,$K38,IuranSYSebelumnya!$M$330:$M$772,BC$11,IuranSYSebelumnya!$L$330:$L$772,$M$5)&gt;0,
        VLOOKUP(CONCATENATE($K38,"|",BC$11,"|",$M$5),IuranSYSebelumnya!$I$330:$N$772,5,FALSE),
        IF(COUNTIFS(IuranSYSebelumnya!$J$330:$J$772,$K38,IuranSYSebelumnya!$M$330:$M$772,BC$11,IuranSYSebelumnya!$L$330:$L$772,"&lt;&gt;"&amp;$M$5)&gt;0,
              "Iuran dari Lingkungan lain",
              ""))</f>
        <v/>
      </c>
      <c r="BD38" s="47" t="str">
        <f>IF(COUNTIFS(IuranSYSebelumnya!$J$330:$J$772,$K38,IuranSYSebelumnya!$M$330:$M$772,BD$11,IuranSYSebelumnya!$L$330:$L$772,$M$5)&gt;0,
        VLOOKUP(CONCATENATE($K38,"|",BD$11,"|",$M$5),IuranSYSebelumnya!$I$330:$N$772,5,FALSE),
        IF(COUNTIFS(IuranSYSebelumnya!$J$330:$J$772,$K38,IuranSYSebelumnya!$M$330:$M$772,BD$11,IuranSYSebelumnya!$L$330:$L$772,"&lt;&gt;"&amp;$M$5)&gt;0,
              "Iuran dari Lingkungan lain",
              ""))</f>
        <v/>
      </c>
      <c r="BE38" s="47" t="str">
        <f>IF(COUNTIFS(IuranSYSebelumnya!$J$330:$J$772,$K38,IuranSYSebelumnya!$M$330:$M$772,BE$11,IuranSYSebelumnya!$L$330:$L$772,$M$5)&gt;0,
        VLOOKUP(CONCATENATE($K38,"|",BE$11,"|",$M$5),IuranSYSebelumnya!$I$330:$N$772,5,FALSE),
        IF(COUNTIFS(IuranSYSebelumnya!$J$330:$J$772,$K38,IuranSYSebelumnya!$M$330:$M$772,BE$11,IuranSYSebelumnya!$L$330:$L$772,"&lt;&gt;"&amp;$M$5)&gt;0,
              "Iuran dari Lingkungan lain",
              ""))</f>
        <v/>
      </c>
      <c r="BF38" s="47" t="str">
        <f>IF(COUNTIFS(IuranSYSebelumnya!$J$330:$J$772,$K38,IuranSYSebelumnya!$M$330:$M$772,BF$11,IuranSYSebelumnya!$L$330:$L$772,$M$5)&gt;0,
        VLOOKUP(CONCATENATE($K38,"|",BF$11,"|",$M$5),IuranSYSebelumnya!$I$330:$N$772,5,FALSE),
        IF(COUNTIFS(IuranSYSebelumnya!$J$330:$J$772,$K38,IuranSYSebelumnya!$M$330:$M$772,BF$11,IuranSYSebelumnya!$L$330:$L$772,"&lt;&gt;"&amp;$M$5)&gt;0,
              "Iuran dari Lingkungan lain",
              ""))</f>
        <v/>
      </c>
      <c r="BG38" s="47" t="str">
        <f>IF(COUNTIFS(IuranSYSebelumnya!$J$330:$J$772,$K38,IuranSYSebelumnya!$M$330:$M$772,BG$11,IuranSYSebelumnya!$L$330:$L$772,$M$5)&gt;0,
        VLOOKUP(CONCATENATE($K38,"|",BG$11,"|",$M$5),IuranSYSebelumnya!$I$330:$N$772,5,FALSE),
        IF(COUNTIFS(IuranSYSebelumnya!$J$330:$J$772,$K38,IuranSYSebelumnya!$M$330:$M$772,BG$11,IuranSYSebelumnya!$L$330:$L$772,"&lt;&gt;"&amp;$M$5)&gt;0,
              "Iuran dari Lingkungan lain",
              ""))</f>
        <v/>
      </c>
      <c r="BH38" s="47" t="str">
        <f>IF(COUNTIFS(IuranSYSebelumnya!$J$330:$J$772,$K38,IuranSYSebelumnya!$M$330:$M$772,BH$11,IuranSYSebelumnya!$L$330:$L$772,$M$5)&gt;0,
        VLOOKUP(CONCATENATE($K38,"|",BH$11,"|",$M$5),IuranSYSebelumnya!$I$330:$N$772,5,FALSE),
        IF(COUNTIFS(IuranSYSebelumnya!$J$330:$J$772,$K38,IuranSYSebelumnya!$M$330:$M$772,BH$11,IuranSYSebelumnya!$L$330:$L$772,"&lt;&gt;"&amp;$M$5)&gt;0,
              "Iuran dari Lingkungan lain",
              ""))</f>
        <v/>
      </c>
      <c r="BI38" s="47" t="str">
        <f>IF(COUNTIFS(IuranSYSebelumnya!$J$330:$J$772,$K38,IuranSYSebelumnya!$M$330:$M$772,BI$11,IuranSYSebelumnya!$L$330:$L$772,$M$5)&gt;0,
        VLOOKUP(CONCATENATE($K38,"|",BI$11,"|",$M$5),IuranSYSebelumnya!$I$330:$N$772,5,FALSE),
        IF(COUNTIFS(IuranSYSebelumnya!$J$330:$J$772,$K38,IuranSYSebelumnya!$M$330:$M$772,BI$11,IuranSYSebelumnya!$L$330:$L$772,"&lt;&gt;"&amp;$M$5)&gt;0,
              "Iuran dari Lingkungan lain",
              ""))</f>
        <v/>
      </c>
      <c r="BJ38" s="47" t="str">
        <f>IF(COUNTIFS(IuranSYSebelumnya!$J$330:$J$772,$K38,IuranSYSebelumnya!$M$330:$M$772,BJ$11,IuranSYSebelumnya!$L$330:$L$772,$M$5)&gt;0,
        VLOOKUP(CONCATENATE($K38,"|",BJ$11,"|",$M$5),IuranSYSebelumnya!$I$330:$N$772,5,FALSE),
        IF(COUNTIFS(IuranSYSebelumnya!$J$330:$J$772,$K38,IuranSYSebelumnya!$M$330:$M$772,BJ$11,IuranSYSebelumnya!$L$330:$L$772,"&lt;&gt;"&amp;$M$5)&gt;0,
              "Iuran dari Lingkungan lain",
              ""))</f>
        <v/>
      </c>
      <c r="BK38" s="47" t="str">
        <f>IF(COUNTIFS(IuranSYSebelumnya!$J$330:$J$772,$K38,IuranSYSebelumnya!$M$330:$M$772,BK$11,IuranSYSebelumnya!$L$330:$L$772,$M$5)&gt;0,
        VLOOKUP(CONCATENATE($K38,"|",BK$11,"|",$M$5),IuranSYSebelumnya!$I$330:$N$772,5,FALSE),
        IF(COUNTIFS(IuranSYSebelumnya!$J$330:$J$772,$K38,IuranSYSebelumnya!$M$330:$M$772,BK$11,IuranSYSebelumnya!$L$330:$L$772,"&lt;&gt;"&amp;$M$5)&gt;0,
              "Iuran dari Lingkungan lain",
              ""))</f>
        <v/>
      </c>
      <c r="BL38" s="47" t="str">
        <f>IF(COUNTIFS(IuranSYSebelumnya!$J$330:$J$772,$K38,IuranSYSebelumnya!$M$330:$M$772,BL$11,IuranSYSebelumnya!$L$330:$L$772,$M$5)&gt;0,
        VLOOKUP(CONCATENATE($K38,"|",BL$11,"|",$M$5),IuranSYSebelumnya!$I$330:$N$772,5,FALSE),
        IF(COUNTIFS(IuranSYSebelumnya!$J$330:$J$772,$K38,IuranSYSebelumnya!$M$330:$M$772,BL$11,IuranSYSebelumnya!$L$330:$L$772,"&lt;&gt;"&amp;$M$5)&gt;0,
              "Iuran dari Lingkungan lain",
              ""))</f>
        <v/>
      </c>
    </row>
    <row r="39" spans="1:64" x14ac:dyDescent="0.35">
      <c r="A39" s="30" t="s">
        <v>6063</v>
      </c>
      <c r="C39" s="30" t="b">
        <f t="shared" ca="1" si="3"/>
        <v>0</v>
      </c>
      <c r="D39" s="30" t="str">
        <f>"""TRUST Nav"",""HSPMTB2016"",""18"",""1"",""KK-04615"""</f>
        <v>"TRUST Nav","HSPMTB2016","18","1","KK-04615"</v>
      </c>
      <c r="H39" s="30">
        <f t="shared" si="4"/>
        <v>0</v>
      </c>
      <c r="J39" s="30">
        <f t="shared" si="5"/>
        <v>27</v>
      </c>
      <c r="K39" s="30" t="str">
        <f>"KK-04615"</f>
        <v>KK-04615</v>
      </c>
      <c r="L39" s="30" t="str">
        <f>"Pandu Pamungkas Sejati"</f>
        <v>Pandu Pamungkas Sejati</v>
      </c>
      <c r="M39" s="30"/>
      <c r="N39" s="3"/>
      <c r="O39" s="3"/>
      <c r="P39" s="3"/>
      <c r="Q39" s="3"/>
      <c r="R39" s="3"/>
      <c r="S39" s="3"/>
      <c r="T39" s="11"/>
      <c r="U39" s="4"/>
      <c r="V39" s="4"/>
      <c r="W39" s="4"/>
      <c r="X39" s="4"/>
      <c r="Y39" s="15"/>
      <c r="Z39" s="4"/>
      <c r="AA39" s="4"/>
      <c r="AB39" s="4"/>
      <c r="AC39" s="4"/>
      <c r="AD39" s="4"/>
      <c r="AE39" s="4"/>
      <c r="AF39" s="11"/>
      <c r="AG39" s="4"/>
      <c r="AH39" s="4"/>
      <c r="AI39" s="4"/>
      <c r="AJ39" s="4"/>
      <c r="AK39" s="4"/>
      <c r="AL39" s="9">
        <f t="shared" si="6"/>
        <v>0</v>
      </c>
      <c r="AO39" s="47" t="str">
        <f>IF(COUNTIFS(IuranSYSebelumnya!$J$330:$J$772,$K39,IuranSYSebelumnya!$M$330:$M$772,AO$11,IuranSYSebelumnya!$L$330:$L$772,$M$5)&gt;0,
        VLOOKUP(CONCATENATE($K39,"|",AO$11,"|",$M$5),IuranSYSebelumnya!$I$330:$N$772,5,FALSE),
        IF(COUNTIFS(IuranSYSebelumnya!$J$330:$J$772,$K39,IuranSYSebelumnya!$M$330:$M$772,AO$11,IuranSYSebelumnya!$L$330:$L$772,"&lt;&gt;"&amp;$M$5)&gt;0,
              "Iuran dari Lingkungan lain",
              ""))</f>
        <v/>
      </c>
      <c r="AP39" s="47" t="str">
        <f>IF(COUNTIFS(IuranSYSebelumnya!$J$330:$J$772,$K39,IuranSYSebelumnya!$M$330:$M$772,AP$11,IuranSYSebelumnya!$L$330:$L$772,$M$5)&gt;0,
        VLOOKUP(CONCATENATE($K39,"|",AP$11,"|",$M$5),IuranSYSebelumnya!$I$330:$N$772,5,FALSE),
        IF(COUNTIFS(IuranSYSebelumnya!$J$330:$J$772,$K39,IuranSYSebelumnya!$M$330:$M$772,AP$11,IuranSYSebelumnya!$L$330:$L$772,"&lt;&gt;"&amp;$M$5)&gt;0,
              "Iuran dari Lingkungan lain",
              ""))</f>
        <v/>
      </c>
      <c r="AQ39" s="47" t="str">
        <f>IF(COUNTIFS(IuranSYSebelumnya!$J$330:$J$772,$K39,IuranSYSebelumnya!$M$330:$M$772,AQ$11,IuranSYSebelumnya!$L$330:$L$772,$M$5)&gt;0,
        VLOOKUP(CONCATENATE($K39,"|",AQ$11,"|",$M$5),IuranSYSebelumnya!$I$330:$N$772,5,FALSE),
        IF(COUNTIFS(IuranSYSebelumnya!$J$330:$J$772,$K39,IuranSYSebelumnya!$M$330:$M$772,AQ$11,IuranSYSebelumnya!$L$330:$L$772,"&lt;&gt;"&amp;$M$5)&gt;0,
              "Iuran dari Lingkungan lain",
              ""))</f>
        <v/>
      </c>
      <c r="AR39" s="47" t="str">
        <f>IF(COUNTIFS(IuranSYSebelumnya!$J$330:$J$772,$K39,IuranSYSebelumnya!$M$330:$M$772,AR$11,IuranSYSebelumnya!$L$330:$L$772,$M$5)&gt;0,
        VLOOKUP(CONCATENATE($K39,"|",AR$11,"|",$M$5),IuranSYSebelumnya!$I$330:$N$772,5,FALSE),
        IF(COUNTIFS(IuranSYSebelumnya!$J$330:$J$772,$K39,IuranSYSebelumnya!$M$330:$M$772,AR$11,IuranSYSebelumnya!$L$330:$L$772,"&lt;&gt;"&amp;$M$5)&gt;0,
              "Iuran dari Lingkungan lain",
              ""))</f>
        <v/>
      </c>
      <c r="AS39" s="47" t="str">
        <f>IF(COUNTIFS(IuranSYSebelumnya!$J$330:$J$772,$K39,IuranSYSebelumnya!$M$330:$M$772,AS$11,IuranSYSebelumnya!$L$330:$L$772,$M$5)&gt;0,
        VLOOKUP(CONCATENATE($K39,"|",AS$11,"|",$M$5),IuranSYSebelumnya!$I$330:$N$772,5,FALSE),
        IF(COUNTIFS(IuranSYSebelumnya!$J$330:$J$772,$K39,IuranSYSebelumnya!$M$330:$M$772,AS$11,IuranSYSebelumnya!$L$330:$L$772,"&lt;&gt;"&amp;$M$5)&gt;0,
              "Iuran dari Lingkungan lain",
              ""))</f>
        <v/>
      </c>
      <c r="AT39" s="47" t="str">
        <f>IF(COUNTIFS(IuranSYSebelumnya!$J$330:$J$772,$K39,IuranSYSebelumnya!$M$330:$M$772,AT$11,IuranSYSebelumnya!$L$330:$L$772,$M$5)&gt;0,
        VLOOKUP(CONCATENATE($K39,"|",AT$11,"|",$M$5),IuranSYSebelumnya!$I$330:$N$772,5,FALSE),
        IF(COUNTIFS(IuranSYSebelumnya!$J$330:$J$772,$K39,IuranSYSebelumnya!$M$330:$M$772,AT$11,IuranSYSebelumnya!$L$330:$L$772,"&lt;&gt;"&amp;$M$5)&gt;0,
              "Iuran dari Lingkungan lain",
              ""))</f>
        <v/>
      </c>
      <c r="AU39" s="47" t="str">
        <f>IF(COUNTIFS(IuranSYSebelumnya!$J$330:$J$772,$K39,IuranSYSebelumnya!$M$330:$M$772,AU$11,IuranSYSebelumnya!$L$330:$L$772,$M$5)&gt;0,
        VLOOKUP(CONCATENATE($K39,"|",AU$11,"|",$M$5),IuranSYSebelumnya!$I$330:$N$772,5,FALSE),
        IF(COUNTIFS(IuranSYSebelumnya!$J$330:$J$772,$K39,IuranSYSebelumnya!$M$330:$M$772,AU$11,IuranSYSebelumnya!$L$330:$L$772,"&lt;&gt;"&amp;$M$5)&gt;0,
              "Iuran dari Lingkungan lain",
              ""))</f>
        <v/>
      </c>
      <c r="AV39" s="47" t="str">
        <f>IF(COUNTIFS(IuranSYSebelumnya!$J$330:$J$772,$K39,IuranSYSebelumnya!$M$330:$M$772,AV$11,IuranSYSebelumnya!$L$330:$L$772,$M$5)&gt;0,
        VLOOKUP(CONCATENATE($K39,"|",AV$11,"|",$M$5),IuranSYSebelumnya!$I$330:$N$772,5,FALSE),
        IF(COUNTIFS(IuranSYSebelumnya!$J$330:$J$772,$K39,IuranSYSebelumnya!$M$330:$M$772,AV$11,IuranSYSebelumnya!$L$330:$L$772,"&lt;&gt;"&amp;$M$5)&gt;0,
              "Iuran dari Lingkungan lain",
              ""))</f>
        <v/>
      </c>
      <c r="AW39" s="47" t="str">
        <f>IF(COUNTIFS(IuranSYSebelumnya!$J$330:$J$772,$K39,IuranSYSebelumnya!$M$330:$M$772,AW$11,IuranSYSebelumnya!$L$330:$L$772,$M$5)&gt;0,
        VLOOKUP(CONCATENATE($K39,"|",AW$11,"|",$M$5),IuranSYSebelumnya!$I$330:$N$772,5,FALSE),
        IF(COUNTIFS(IuranSYSebelumnya!$J$330:$J$772,$K39,IuranSYSebelumnya!$M$330:$M$772,AW$11,IuranSYSebelumnya!$L$330:$L$772,"&lt;&gt;"&amp;$M$5)&gt;0,
              "Iuran dari Lingkungan lain",
              ""))</f>
        <v/>
      </c>
      <c r="AX39" s="47" t="str">
        <f>IF(COUNTIFS(IuranSYSebelumnya!$J$330:$J$772,$K39,IuranSYSebelumnya!$M$330:$M$772,AX$11,IuranSYSebelumnya!$L$330:$L$772,$M$5)&gt;0,
        VLOOKUP(CONCATENATE($K39,"|",AX$11,"|",$M$5),IuranSYSebelumnya!$I$330:$N$772,5,FALSE),
        IF(COUNTIFS(IuranSYSebelumnya!$J$330:$J$772,$K39,IuranSYSebelumnya!$M$330:$M$772,AX$11,IuranSYSebelumnya!$L$330:$L$772,"&lt;&gt;"&amp;$M$5)&gt;0,
              "Iuran dari Lingkungan lain",
              ""))</f>
        <v/>
      </c>
      <c r="AY39" s="47" t="str">
        <f>IF(COUNTIFS(IuranSYSebelumnya!$J$330:$J$772,$K39,IuranSYSebelumnya!$M$330:$M$772,AY$11,IuranSYSebelumnya!$L$330:$L$772,$M$5)&gt;0,
        VLOOKUP(CONCATENATE($K39,"|",AY$11,"|",$M$5),IuranSYSebelumnya!$I$330:$N$772,5,FALSE),
        IF(COUNTIFS(IuranSYSebelumnya!$J$330:$J$772,$K39,IuranSYSebelumnya!$M$330:$M$772,AY$11,IuranSYSebelumnya!$L$330:$L$772,"&lt;&gt;"&amp;$M$5)&gt;0,
              "Iuran dari Lingkungan lain",
              ""))</f>
        <v/>
      </c>
      <c r="AZ39" s="47" t="str">
        <f>IF(COUNTIFS(IuranSYSebelumnya!$J$330:$J$772,$K39,IuranSYSebelumnya!$M$330:$M$772,AZ$11,IuranSYSebelumnya!$L$330:$L$772,$M$5)&gt;0,
        VLOOKUP(CONCATENATE($K39,"|",AZ$11,"|",$M$5),IuranSYSebelumnya!$I$330:$N$772,5,FALSE),
        IF(COUNTIFS(IuranSYSebelumnya!$J$330:$J$772,$K39,IuranSYSebelumnya!$M$330:$M$772,AZ$11,IuranSYSebelumnya!$L$330:$L$772,"&lt;&gt;"&amp;$M$5)&gt;0,
              "Iuran dari Lingkungan lain",
              ""))</f>
        <v/>
      </c>
      <c r="BA39" s="47" t="str">
        <f>IF(COUNTIFS(IuranSYSebelumnya!$J$330:$J$772,$K39,IuranSYSebelumnya!$M$330:$M$772,BA$11,IuranSYSebelumnya!$L$330:$L$772,$M$5)&gt;0,
        VLOOKUP(CONCATENATE($K39,"|",BA$11,"|",$M$5),IuranSYSebelumnya!$I$330:$N$772,5,FALSE),
        IF(COUNTIFS(IuranSYSebelumnya!$J$330:$J$772,$K39,IuranSYSebelumnya!$M$330:$M$772,BA$11,IuranSYSebelumnya!$L$330:$L$772,"&lt;&gt;"&amp;$M$5)&gt;0,
              "Iuran dari Lingkungan lain",
              ""))</f>
        <v/>
      </c>
      <c r="BB39" s="47" t="str">
        <f>IF(COUNTIFS(IuranSYSebelumnya!$J$330:$J$772,$K39,IuranSYSebelumnya!$M$330:$M$772,BB$11,IuranSYSebelumnya!$L$330:$L$772,$M$5)&gt;0,
        VLOOKUP(CONCATENATE($K39,"|",BB$11,"|",$M$5),IuranSYSebelumnya!$I$330:$N$772,5,FALSE),
        IF(COUNTIFS(IuranSYSebelumnya!$J$330:$J$772,$K39,IuranSYSebelumnya!$M$330:$M$772,BB$11,IuranSYSebelumnya!$L$330:$L$772,"&lt;&gt;"&amp;$M$5)&gt;0,
              "Iuran dari Lingkungan lain",
              ""))</f>
        <v/>
      </c>
      <c r="BC39" s="47" t="str">
        <f>IF(COUNTIFS(IuranSYSebelumnya!$J$330:$J$772,$K39,IuranSYSebelumnya!$M$330:$M$772,BC$11,IuranSYSebelumnya!$L$330:$L$772,$M$5)&gt;0,
        VLOOKUP(CONCATENATE($K39,"|",BC$11,"|",$M$5),IuranSYSebelumnya!$I$330:$N$772,5,FALSE),
        IF(COUNTIFS(IuranSYSebelumnya!$J$330:$J$772,$K39,IuranSYSebelumnya!$M$330:$M$772,BC$11,IuranSYSebelumnya!$L$330:$L$772,"&lt;&gt;"&amp;$M$5)&gt;0,
              "Iuran dari Lingkungan lain",
              ""))</f>
        <v/>
      </c>
      <c r="BD39" s="47" t="str">
        <f>IF(COUNTIFS(IuranSYSebelumnya!$J$330:$J$772,$K39,IuranSYSebelumnya!$M$330:$M$772,BD$11,IuranSYSebelumnya!$L$330:$L$772,$M$5)&gt;0,
        VLOOKUP(CONCATENATE($K39,"|",BD$11,"|",$M$5),IuranSYSebelumnya!$I$330:$N$772,5,FALSE),
        IF(COUNTIFS(IuranSYSebelumnya!$J$330:$J$772,$K39,IuranSYSebelumnya!$M$330:$M$772,BD$11,IuranSYSebelumnya!$L$330:$L$772,"&lt;&gt;"&amp;$M$5)&gt;0,
              "Iuran dari Lingkungan lain",
              ""))</f>
        <v/>
      </c>
      <c r="BE39" s="47" t="str">
        <f>IF(COUNTIFS(IuranSYSebelumnya!$J$330:$J$772,$K39,IuranSYSebelumnya!$M$330:$M$772,BE$11,IuranSYSebelumnya!$L$330:$L$772,$M$5)&gt;0,
        VLOOKUP(CONCATENATE($K39,"|",BE$11,"|",$M$5),IuranSYSebelumnya!$I$330:$N$772,5,FALSE),
        IF(COUNTIFS(IuranSYSebelumnya!$J$330:$J$772,$K39,IuranSYSebelumnya!$M$330:$M$772,BE$11,IuranSYSebelumnya!$L$330:$L$772,"&lt;&gt;"&amp;$M$5)&gt;0,
              "Iuran dari Lingkungan lain",
              ""))</f>
        <v/>
      </c>
      <c r="BF39" s="47" t="str">
        <f>IF(COUNTIFS(IuranSYSebelumnya!$J$330:$J$772,$K39,IuranSYSebelumnya!$M$330:$M$772,BF$11,IuranSYSebelumnya!$L$330:$L$772,$M$5)&gt;0,
        VLOOKUP(CONCATENATE($K39,"|",BF$11,"|",$M$5),IuranSYSebelumnya!$I$330:$N$772,5,FALSE),
        IF(COUNTIFS(IuranSYSebelumnya!$J$330:$J$772,$K39,IuranSYSebelumnya!$M$330:$M$772,BF$11,IuranSYSebelumnya!$L$330:$L$772,"&lt;&gt;"&amp;$M$5)&gt;0,
              "Iuran dari Lingkungan lain",
              ""))</f>
        <v/>
      </c>
      <c r="BG39" s="47" t="str">
        <f>IF(COUNTIFS(IuranSYSebelumnya!$J$330:$J$772,$K39,IuranSYSebelumnya!$M$330:$M$772,BG$11,IuranSYSebelumnya!$L$330:$L$772,$M$5)&gt;0,
        VLOOKUP(CONCATENATE($K39,"|",BG$11,"|",$M$5),IuranSYSebelumnya!$I$330:$N$772,5,FALSE),
        IF(COUNTIFS(IuranSYSebelumnya!$J$330:$J$772,$K39,IuranSYSebelumnya!$M$330:$M$772,BG$11,IuranSYSebelumnya!$L$330:$L$772,"&lt;&gt;"&amp;$M$5)&gt;0,
              "Iuran dari Lingkungan lain",
              ""))</f>
        <v/>
      </c>
      <c r="BH39" s="47" t="str">
        <f>IF(COUNTIFS(IuranSYSebelumnya!$J$330:$J$772,$K39,IuranSYSebelumnya!$M$330:$M$772,BH$11,IuranSYSebelumnya!$L$330:$L$772,$M$5)&gt;0,
        VLOOKUP(CONCATENATE($K39,"|",BH$11,"|",$M$5),IuranSYSebelumnya!$I$330:$N$772,5,FALSE),
        IF(COUNTIFS(IuranSYSebelumnya!$J$330:$J$772,$K39,IuranSYSebelumnya!$M$330:$M$772,BH$11,IuranSYSebelumnya!$L$330:$L$772,"&lt;&gt;"&amp;$M$5)&gt;0,
              "Iuran dari Lingkungan lain",
              ""))</f>
        <v/>
      </c>
      <c r="BI39" s="47" t="str">
        <f>IF(COUNTIFS(IuranSYSebelumnya!$J$330:$J$772,$K39,IuranSYSebelumnya!$M$330:$M$772,BI$11,IuranSYSebelumnya!$L$330:$L$772,$M$5)&gt;0,
        VLOOKUP(CONCATENATE($K39,"|",BI$11,"|",$M$5),IuranSYSebelumnya!$I$330:$N$772,5,FALSE),
        IF(COUNTIFS(IuranSYSebelumnya!$J$330:$J$772,$K39,IuranSYSebelumnya!$M$330:$M$772,BI$11,IuranSYSebelumnya!$L$330:$L$772,"&lt;&gt;"&amp;$M$5)&gt;0,
              "Iuran dari Lingkungan lain",
              ""))</f>
        <v/>
      </c>
      <c r="BJ39" s="47" t="str">
        <f>IF(COUNTIFS(IuranSYSebelumnya!$J$330:$J$772,$K39,IuranSYSebelumnya!$M$330:$M$772,BJ$11,IuranSYSebelumnya!$L$330:$L$772,$M$5)&gt;0,
        VLOOKUP(CONCATENATE($K39,"|",BJ$11,"|",$M$5),IuranSYSebelumnya!$I$330:$N$772,5,FALSE),
        IF(COUNTIFS(IuranSYSebelumnya!$J$330:$J$772,$K39,IuranSYSebelumnya!$M$330:$M$772,BJ$11,IuranSYSebelumnya!$L$330:$L$772,"&lt;&gt;"&amp;$M$5)&gt;0,
              "Iuran dari Lingkungan lain",
              ""))</f>
        <v/>
      </c>
      <c r="BK39" s="47" t="str">
        <f>IF(COUNTIFS(IuranSYSebelumnya!$J$330:$J$772,$K39,IuranSYSebelumnya!$M$330:$M$772,BK$11,IuranSYSebelumnya!$L$330:$L$772,$M$5)&gt;0,
        VLOOKUP(CONCATENATE($K39,"|",BK$11,"|",$M$5),IuranSYSebelumnya!$I$330:$N$772,5,FALSE),
        IF(COUNTIFS(IuranSYSebelumnya!$J$330:$J$772,$K39,IuranSYSebelumnya!$M$330:$M$772,BK$11,IuranSYSebelumnya!$L$330:$L$772,"&lt;&gt;"&amp;$M$5)&gt;0,
              "Iuran dari Lingkungan lain",
              ""))</f>
        <v/>
      </c>
      <c r="BL39" s="47" t="str">
        <f>IF(COUNTIFS(IuranSYSebelumnya!$J$330:$J$772,$K39,IuranSYSebelumnya!$M$330:$M$772,BL$11,IuranSYSebelumnya!$L$330:$L$772,$M$5)&gt;0,
        VLOOKUP(CONCATENATE($K39,"|",BL$11,"|",$M$5),IuranSYSebelumnya!$I$330:$N$772,5,FALSE),
        IF(COUNTIFS(IuranSYSebelumnya!$J$330:$J$772,$K39,IuranSYSebelumnya!$M$330:$M$772,BL$11,IuranSYSebelumnya!$L$330:$L$772,"&lt;&gt;"&amp;$M$5)&gt;0,
              "Iuran dari Lingkungan lain",
              ""))</f>
        <v/>
      </c>
    </row>
    <row r="40" spans="1:64" x14ac:dyDescent="0.35">
      <c r="A40" s="30" t="s">
        <v>6063</v>
      </c>
      <c r="C40" s="30" t="b">
        <f t="shared" ca="1" si="3"/>
        <v>0</v>
      </c>
      <c r="D40" s="30" t="str">
        <f>"""TRUST Nav"",""HSPMTB2016"",""18"",""1"",""KK-05045"""</f>
        <v>"TRUST Nav","HSPMTB2016","18","1","KK-05045"</v>
      </c>
      <c r="H40" s="30">
        <f t="shared" si="4"/>
        <v>0</v>
      </c>
      <c r="J40" s="30">
        <f t="shared" si="5"/>
        <v>28</v>
      </c>
      <c r="K40" s="30" t="str">
        <f>"KK-05045"</f>
        <v>KK-05045</v>
      </c>
      <c r="L40" s="30" t="str">
        <f>"Petrus Jeffry Widjaja"</f>
        <v>Petrus Jeffry Widjaja</v>
      </c>
      <c r="M40" s="30"/>
      <c r="N40" s="3"/>
      <c r="O40" s="3"/>
      <c r="P40" s="3"/>
      <c r="Q40" s="3"/>
      <c r="R40" s="3"/>
      <c r="S40" s="3"/>
      <c r="T40" s="11"/>
      <c r="U40" s="4"/>
      <c r="V40" s="4"/>
      <c r="W40" s="4"/>
      <c r="X40" s="4"/>
      <c r="Y40" s="15"/>
      <c r="Z40" s="4"/>
      <c r="AA40" s="4"/>
      <c r="AB40" s="4"/>
      <c r="AC40" s="4"/>
      <c r="AD40" s="4"/>
      <c r="AE40" s="4"/>
      <c r="AF40" s="11"/>
      <c r="AG40" s="4"/>
      <c r="AH40" s="4"/>
      <c r="AI40" s="4"/>
      <c r="AJ40" s="4"/>
      <c r="AK40" s="4"/>
      <c r="AL40" s="9">
        <f t="shared" si="6"/>
        <v>0</v>
      </c>
      <c r="AO40" s="47" t="str">
        <f>IF(COUNTIFS(IuranSYSebelumnya!$J$330:$J$772,$K40,IuranSYSebelumnya!$M$330:$M$772,AO$11,IuranSYSebelumnya!$L$330:$L$772,$M$5)&gt;0,
        VLOOKUP(CONCATENATE($K40,"|",AO$11,"|",$M$5),IuranSYSebelumnya!$I$330:$N$772,5,FALSE),
        IF(COUNTIFS(IuranSYSebelumnya!$J$330:$J$772,$K40,IuranSYSebelumnya!$M$330:$M$772,AO$11,IuranSYSebelumnya!$L$330:$L$772,"&lt;&gt;"&amp;$M$5)&gt;0,
              "Iuran dari Lingkungan lain",
              ""))</f>
        <v/>
      </c>
      <c r="AP40" s="47" t="str">
        <f>IF(COUNTIFS(IuranSYSebelumnya!$J$330:$J$772,$K40,IuranSYSebelumnya!$M$330:$M$772,AP$11,IuranSYSebelumnya!$L$330:$L$772,$M$5)&gt;0,
        VLOOKUP(CONCATENATE($K40,"|",AP$11,"|",$M$5),IuranSYSebelumnya!$I$330:$N$772,5,FALSE),
        IF(COUNTIFS(IuranSYSebelumnya!$J$330:$J$772,$K40,IuranSYSebelumnya!$M$330:$M$772,AP$11,IuranSYSebelumnya!$L$330:$L$772,"&lt;&gt;"&amp;$M$5)&gt;0,
              "Iuran dari Lingkungan lain",
              ""))</f>
        <v/>
      </c>
      <c r="AQ40" s="47" t="str">
        <f>IF(COUNTIFS(IuranSYSebelumnya!$J$330:$J$772,$K40,IuranSYSebelumnya!$M$330:$M$772,AQ$11,IuranSYSebelumnya!$L$330:$L$772,$M$5)&gt;0,
        VLOOKUP(CONCATENATE($K40,"|",AQ$11,"|",$M$5),IuranSYSebelumnya!$I$330:$N$772,5,FALSE),
        IF(COUNTIFS(IuranSYSebelumnya!$J$330:$J$772,$K40,IuranSYSebelumnya!$M$330:$M$772,AQ$11,IuranSYSebelumnya!$L$330:$L$772,"&lt;&gt;"&amp;$M$5)&gt;0,
              "Iuran dari Lingkungan lain",
              ""))</f>
        <v/>
      </c>
      <c r="AR40" s="47" t="str">
        <f>IF(COUNTIFS(IuranSYSebelumnya!$J$330:$J$772,$K40,IuranSYSebelumnya!$M$330:$M$772,AR$11,IuranSYSebelumnya!$L$330:$L$772,$M$5)&gt;0,
        VLOOKUP(CONCATENATE($K40,"|",AR$11,"|",$M$5),IuranSYSebelumnya!$I$330:$N$772,5,FALSE),
        IF(COUNTIFS(IuranSYSebelumnya!$J$330:$J$772,$K40,IuranSYSebelumnya!$M$330:$M$772,AR$11,IuranSYSebelumnya!$L$330:$L$772,"&lt;&gt;"&amp;$M$5)&gt;0,
              "Iuran dari Lingkungan lain",
              ""))</f>
        <v/>
      </c>
      <c r="AS40" s="47" t="str">
        <f>IF(COUNTIFS(IuranSYSebelumnya!$J$330:$J$772,$K40,IuranSYSebelumnya!$M$330:$M$772,AS$11,IuranSYSebelumnya!$L$330:$L$772,$M$5)&gt;0,
        VLOOKUP(CONCATENATE($K40,"|",AS$11,"|",$M$5),IuranSYSebelumnya!$I$330:$N$772,5,FALSE),
        IF(COUNTIFS(IuranSYSebelumnya!$J$330:$J$772,$K40,IuranSYSebelumnya!$M$330:$M$772,AS$11,IuranSYSebelumnya!$L$330:$L$772,"&lt;&gt;"&amp;$M$5)&gt;0,
              "Iuran dari Lingkungan lain",
              ""))</f>
        <v/>
      </c>
      <c r="AT40" s="47" t="str">
        <f>IF(COUNTIFS(IuranSYSebelumnya!$J$330:$J$772,$K40,IuranSYSebelumnya!$M$330:$M$772,AT$11,IuranSYSebelumnya!$L$330:$L$772,$M$5)&gt;0,
        VLOOKUP(CONCATENATE($K40,"|",AT$11,"|",$M$5),IuranSYSebelumnya!$I$330:$N$772,5,FALSE),
        IF(COUNTIFS(IuranSYSebelumnya!$J$330:$J$772,$K40,IuranSYSebelumnya!$M$330:$M$772,AT$11,IuranSYSebelumnya!$L$330:$L$772,"&lt;&gt;"&amp;$M$5)&gt;0,
              "Iuran dari Lingkungan lain",
              ""))</f>
        <v/>
      </c>
      <c r="AU40" s="47" t="str">
        <f>IF(COUNTIFS(IuranSYSebelumnya!$J$330:$J$772,$K40,IuranSYSebelumnya!$M$330:$M$772,AU$11,IuranSYSebelumnya!$L$330:$L$772,$M$5)&gt;0,
        VLOOKUP(CONCATENATE($K40,"|",AU$11,"|",$M$5),IuranSYSebelumnya!$I$330:$N$772,5,FALSE),
        IF(COUNTIFS(IuranSYSebelumnya!$J$330:$J$772,$K40,IuranSYSebelumnya!$M$330:$M$772,AU$11,IuranSYSebelumnya!$L$330:$L$772,"&lt;&gt;"&amp;$M$5)&gt;0,
              "Iuran dari Lingkungan lain",
              ""))</f>
        <v/>
      </c>
      <c r="AV40" s="47" t="str">
        <f>IF(COUNTIFS(IuranSYSebelumnya!$J$330:$J$772,$K40,IuranSYSebelumnya!$M$330:$M$772,AV$11,IuranSYSebelumnya!$L$330:$L$772,$M$5)&gt;0,
        VLOOKUP(CONCATENATE($K40,"|",AV$11,"|",$M$5),IuranSYSebelumnya!$I$330:$N$772,5,FALSE),
        IF(COUNTIFS(IuranSYSebelumnya!$J$330:$J$772,$K40,IuranSYSebelumnya!$M$330:$M$772,AV$11,IuranSYSebelumnya!$L$330:$L$772,"&lt;&gt;"&amp;$M$5)&gt;0,
              "Iuran dari Lingkungan lain",
              ""))</f>
        <v/>
      </c>
      <c r="AW40" s="47" t="str">
        <f>IF(COUNTIFS(IuranSYSebelumnya!$J$330:$J$772,$K40,IuranSYSebelumnya!$M$330:$M$772,AW$11,IuranSYSebelumnya!$L$330:$L$772,$M$5)&gt;0,
        VLOOKUP(CONCATENATE($K40,"|",AW$11,"|",$M$5),IuranSYSebelumnya!$I$330:$N$772,5,FALSE),
        IF(COUNTIFS(IuranSYSebelumnya!$J$330:$J$772,$K40,IuranSYSebelumnya!$M$330:$M$772,AW$11,IuranSYSebelumnya!$L$330:$L$772,"&lt;&gt;"&amp;$M$5)&gt;0,
              "Iuran dari Lingkungan lain",
              ""))</f>
        <v/>
      </c>
      <c r="AX40" s="47" t="str">
        <f>IF(COUNTIFS(IuranSYSebelumnya!$J$330:$J$772,$K40,IuranSYSebelumnya!$M$330:$M$772,AX$11,IuranSYSebelumnya!$L$330:$L$772,$M$5)&gt;0,
        VLOOKUP(CONCATENATE($K40,"|",AX$11,"|",$M$5),IuranSYSebelumnya!$I$330:$N$772,5,FALSE),
        IF(COUNTIFS(IuranSYSebelumnya!$J$330:$J$772,$K40,IuranSYSebelumnya!$M$330:$M$772,AX$11,IuranSYSebelumnya!$L$330:$L$772,"&lt;&gt;"&amp;$M$5)&gt;0,
              "Iuran dari Lingkungan lain",
              ""))</f>
        <v/>
      </c>
      <c r="AY40" s="47" t="str">
        <f>IF(COUNTIFS(IuranSYSebelumnya!$J$330:$J$772,$K40,IuranSYSebelumnya!$M$330:$M$772,AY$11,IuranSYSebelumnya!$L$330:$L$772,$M$5)&gt;0,
        VLOOKUP(CONCATENATE($K40,"|",AY$11,"|",$M$5),IuranSYSebelumnya!$I$330:$N$772,5,FALSE),
        IF(COUNTIFS(IuranSYSebelumnya!$J$330:$J$772,$K40,IuranSYSebelumnya!$M$330:$M$772,AY$11,IuranSYSebelumnya!$L$330:$L$772,"&lt;&gt;"&amp;$M$5)&gt;0,
              "Iuran dari Lingkungan lain",
              ""))</f>
        <v/>
      </c>
      <c r="AZ40" s="47" t="str">
        <f>IF(COUNTIFS(IuranSYSebelumnya!$J$330:$J$772,$K40,IuranSYSebelumnya!$M$330:$M$772,AZ$11,IuranSYSebelumnya!$L$330:$L$772,$M$5)&gt;0,
        VLOOKUP(CONCATENATE($K40,"|",AZ$11,"|",$M$5),IuranSYSebelumnya!$I$330:$N$772,5,FALSE),
        IF(COUNTIFS(IuranSYSebelumnya!$J$330:$J$772,$K40,IuranSYSebelumnya!$M$330:$M$772,AZ$11,IuranSYSebelumnya!$L$330:$L$772,"&lt;&gt;"&amp;$M$5)&gt;0,
              "Iuran dari Lingkungan lain",
              ""))</f>
        <v/>
      </c>
      <c r="BA40" s="47" t="str">
        <f>IF(COUNTIFS(IuranSYSebelumnya!$J$330:$J$772,$K40,IuranSYSebelumnya!$M$330:$M$772,BA$11,IuranSYSebelumnya!$L$330:$L$772,$M$5)&gt;0,
        VLOOKUP(CONCATENATE($K40,"|",BA$11,"|",$M$5),IuranSYSebelumnya!$I$330:$N$772,5,FALSE),
        IF(COUNTIFS(IuranSYSebelumnya!$J$330:$J$772,$K40,IuranSYSebelumnya!$M$330:$M$772,BA$11,IuranSYSebelumnya!$L$330:$L$772,"&lt;&gt;"&amp;$M$5)&gt;0,
              "Iuran dari Lingkungan lain",
              ""))</f>
        <v/>
      </c>
      <c r="BB40" s="47" t="str">
        <f>IF(COUNTIFS(IuranSYSebelumnya!$J$330:$J$772,$K40,IuranSYSebelumnya!$M$330:$M$772,BB$11,IuranSYSebelumnya!$L$330:$L$772,$M$5)&gt;0,
        VLOOKUP(CONCATENATE($K40,"|",BB$11,"|",$M$5),IuranSYSebelumnya!$I$330:$N$772,5,FALSE),
        IF(COUNTIFS(IuranSYSebelumnya!$J$330:$J$772,$K40,IuranSYSebelumnya!$M$330:$M$772,BB$11,IuranSYSebelumnya!$L$330:$L$772,"&lt;&gt;"&amp;$M$5)&gt;0,
              "Iuran dari Lingkungan lain",
              ""))</f>
        <v/>
      </c>
      <c r="BC40" s="47" t="str">
        <f>IF(COUNTIFS(IuranSYSebelumnya!$J$330:$J$772,$K40,IuranSYSebelumnya!$M$330:$M$772,BC$11,IuranSYSebelumnya!$L$330:$L$772,$M$5)&gt;0,
        VLOOKUP(CONCATENATE($K40,"|",BC$11,"|",$M$5),IuranSYSebelumnya!$I$330:$N$772,5,FALSE),
        IF(COUNTIFS(IuranSYSebelumnya!$J$330:$J$772,$K40,IuranSYSebelumnya!$M$330:$M$772,BC$11,IuranSYSebelumnya!$L$330:$L$772,"&lt;&gt;"&amp;$M$5)&gt;0,
              "Iuran dari Lingkungan lain",
              ""))</f>
        <v/>
      </c>
      <c r="BD40" s="47" t="str">
        <f>IF(COUNTIFS(IuranSYSebelumnya!$J$330:$J$772,$K40,IuranSYSebelumnya!$M$330:$M$772,BD$11,IuranSYSebelumnya!$L$330:$L$772,$M$5)&gt;0,
        VLOOKUP(CONCATENATE($K40,"|",BD$11,"|",$M$5),IuranSYSebelumnya!$I$330:$N$772,5,FALSE),
        IF(COUNTIFS(IuranSYSebelumnya!$J$330:$J$772,$K40,IuranSYSebelumnya!$M$330:$M$772,BD$11,IuranSYSebelumnya!$L$330:$L$772,"&lt;&gt;"&amp;$M$5)&gt;0,
              "Iuran dari Lingkungan lain",
              ""))</f>
        <v/>
      </c>
      <c r="BE40" s="47" t="str">
        <f>IF(COUNTIFS(IuranSYSebelumnya!$J$330:$J$772,$K40,IuranSYSebelumnya!$M$330:$M$772,BE$11,IuranSYSebelumnya!$L$330:$L$772,$M$5)&gt;0,
        VLOOKUP(CONCATENATE($K40,"|",BE$11,"|",$M$5),IuranSYSebelumnya!$I$330:$N$772,5,FALSE),
        IF(COUNTIFS(IuranSYSebelumnya!$J$330:$J$772,$K40,IuranSYSebelumnya!$M$330:$M$772,BE$11,IuranSYSebelumnya!$L$330:$L$772,"&lt;&gt;"&amp;$M$5)&gt;0,
              "Iuran dari Lingkungan lain",
              ""))</f>
        <v/>
      </c>
      <c r="BF40" s="47" t="str">
        <f>IF(COUNTIFS(IuranSYSebelumnya!$J$330:$J$772,$K40,IuranSYSebelumnya!$M$330:$M$772,BF$11,IuranSYSebelumnya!$L$330:$L$772,$M$5)&gt;0,
        VLOOKUP(CONCATENATE($K40,"|",BF$11,"|",$M$5),IuranSYSebelumnya!$I$330:$N$772,5,FALSE),
        IF(COUNTIFS(IuranSYSebelumnya!$J$330:$J$772,$K40,IuranSYSebelumnya!$M$330:$M$772,BF$11,IuranSYSebelumnya!$L$330:$L$772,"&lt;&gt;"&amp;$M$5)&gt;0,
              "Iuran dari Lingkungan lain",
              ""))</f>
        <v/>
      </c>
      <c r="BG40" s="47" t="str">
        <f>IF(COUNTIFS(IuranSYSebelumnya!$J$330:$J$772,$K40,IuranSYSebelumnya!$M$330:$M$772,BG$11,IuranSYSebelumnya!$L$330:$L$772,$M$5)&gt;0,
        VLOOKUP(CONCATENATE($K40,"|",BG$11,"|",$M$5),IuranSYSebelumnya!$I$330:$N$772,5,FALSE),
        IF(COUNTIFS(IuranSYSebelumnya!$J$330:$J$772,$K40,IuranSYSebelumnya!$M$330:$M$772,BG$11,IuranSYSebelumnya!$L$330:$L$772,"&lt;&gt;"&amp;$M$5)&gt;0,
              "Iuran dari Lingkungan lain",
              ""))</f>
        <v/>
      </c>
      <c r="BH40" s="47" t="str">
        <f>IF(COUNTIFS(IuranSYSebelumnya!$J$330:$J$772,$K40,IuranSYSebelumnya!$M$330:$M$772,BH$11,IuranSYSebelumnya!$L$330:$L$772,$M$5)&gt;0,
        VLOOKUP(CONCATENATE($K40,"|",BH$11,"|",$M$5),IuranSYSebelumnya!$I$330:$N$772,5,FALSE),
        IF(COUNTIFS(IuranSYSebelumnya!$J$330:$J$772,$K40,IuranSYSebelumnya!$M$330:$M$772,BH$11,IuranSYSebelumnya!$L$330:$L$772,"&lt;&gt;"&amp;$M$5)&gt;0,
              "Iuran dari Lingkungan lain",
              ""))</f>
        <v/>
      </c>
      <c r="BI40" s="47" t="str">
        <f>IF(COUNTIFS(IuranSYSebelumnya!$J$330:$J$772,$K40,IuranSYSebelumnya!$M$330:$M$772,BI$11,IuranSYSebelumnya!$L$330:$L$772,$M$5)&gt;0,
        VLOOKUP(CONCATENATE($K40,"|",BI$11,"|",$M$5),IuranSYSebelumnya!$I$330:$N$772,5,FALSE),
        IF(COUNTIFS(IuranSYSebelumnya!$J$330:$J$772,$K40,IuranSYSebelumnya!$M$330:$M$772,BI$11,IuranSYSebelumnya!$L$330:$L$772,"&lt;&gt;"&amp;$M$5)&gt;0,
              "Iuran dari Lingkungan lain",
              ""))</f>
        <v/>
      </c>
      <c r="BJ40" s="47" t="str">
        <f>IF(COUNTIFS(IuranSYSebelumnya!$J$330:$J$772,$K40,IuranSYSebelumnya!$M$330:$M$772,BJ$11,IuranSYSebelumnya!$L$330:$L$772,$M$5)&gt;0,
        VLOOKUP(CONCATENATE($K40,"|",BJ$11,"|",$M$5),IuranSYSebelumnya!$I$330:$N$772,5,FALSE),
        IF(COUNTIFS(IuranSYSebelumnya!$J$330:$J$772,$K40,IuranSYSebelumnya!$M$330:$M$772,BJ$11,IuranSYSebelumnya!$L$330:$L$772,"&lt;&gt;"&amp;$M$5)&gt;0,
              "Iuran dari Lingkungan lain",
              ""))</f>
        <v/>
      </c>
      <c r="BK40" s="47" t="str">
        <f>IF(COUNTIFS(IuranSYSebelumnya!$J$330:$J$772,$K40,IuranSYSebelumnya!$M$330:$M$772,BK$11,IuranSYSebelumnya!$L$330:$L$772,$M$5)&gt;0,
        VLOOKUP(CONCATENATE($K40,"|",BK$11,"|",$M$5),IuranSYSebelumnya!$I$330:$N$772,5,FALSE),
        IF(COUNTIFS(IuranSYSebelumnya!$J$330:$J$772,$K40,IuranSYSebelumnya!$M$330:$M$772,BK$11,IuranSYSebelumnya!$L$330:$L$772,"&lt;&gt;"&amp;$M$5)&gt;0,
              "Iuran dari Lingkungan lain",
              ""))</f>
        <v/>
      </c>
      <c r="BL40" s="47" t="str">
        <f>IF(COUNTIFS(IuranSYSebelumnya!$J$330:$J$772,$K40,IuranSYSebelumnya!$M$330:$M$772,BL$11,IuranSYSebelumnya!$L$330:$L$772,$M$5)&gt;0,
        VLOOKUP(CONCATENATE($K40,"|",BL$11,"|",$M$5),IuranSYSebelumnya!$I$330:$N$772,5,FALSE),
        IF(COUNTIFS(IuranSYSebelumnya!$J$330:$J$772,$K40,IuranSYSebelumnya!$M$330:$M$772,BL$11,IuranSYSebelumnya!$L$330:$L$772,"&lt;&gt;"&amp;$M$5)&gt;0,
              "Iuran dari Lingkungan lain",
              ""))</f>
        <v/>
      </c>
    </row>
    <row r="41" spans="1:64" x14ac:dyDescent="0.35">
      <c r="A41" s="30" t="s">
        <v>6063</v>
      </c>
      <c r="C41" s="30" t="b">
        <f t="shared" ca="1" si="3"/>
        <v>0</v>
      </c>
      <c r="D41" s="30" t="str">
        <f>"""TRUST Nav"",""HSPMTB2016"",""18"",""1"",""KK-05053"""</f>
        <v>"TRUST Nav","HSPMTB2016","18","1","KK-05053"</v>
      </c>
      <c r="H41" s="30">
        <f t="shared" si="4"/>
        <v>0</v>
      </c>
      <c r="J41" s="30">
        <f t="shared" si="5"/>
        <v>29</v>
      </c>
      <c r="K41" s="30" t="str">
        <f>"KK-05053"</f>
        <v>KK-05053</v>
      </c>
      <c r="L41" s="30" t="str">
        <f>"Pieter Hiu Stanley Setiono"</f>
        <v>Pieter Hiu Stanley Setiono</v>
      </c>
      <c r="M41" s="30"/>
      <c r="N41" s="3"/>
      <c r="O41" s="3"/>
      <c r="P41" s="3"/>
      <c r="Q41" s="3"/>
      <c r="R41" s="3"/>
      <c r="S41" s="3"/>
      <c r="T41" s="130"/>
      <c r="U41" s="131"/>
      <c r="V41" s="131"/>
      <c r="W41" s="131"/>
      <c r="X41" s="131"/>
      <c r="Y41" s="132"/>
      <c r="Z41" s="131"/>
      <c r="AA41" s="131"/>
      <c r="AB41" s="131"/>
      <c r="AC41" s="131"/>
      <c r="AD41" s="131"/>
      <c r="AE41" s="131"/>
      <c r="AF41" s="11"/>
      <c r="AG41" s="4"/>
      <c r="AH41" s="4"/>
      <c r="AI41" s="4"/>
      <c r="AJ41" s="4"/>
      <c r="AK41" s="4"/>
      <c r="AL41" s="9">
        <f t="shared" si="6"/>
        <v>0</v>
      </c>
      <c r="AO41" s="47" t="str">
        <f>IF(COUNTIFS(IuranSYSebelumnya!$J$330:$J$772,$K41,IuranSYSebelumnya!$M$330:$M$772,AO$11,IuranSYSebelumnya!$L$330:$L$772,$M$5)&gt;0,
        VLOOKUP(CONCATENATE($K41,"|",AO$11,"|",$M$5),IuranSYSebelumnya!$I$330:$N$772,5,FALSE),
        IF(COUNTIFS(IuranSYSebelumnya!$J$330:$J$772,$K41,IuranSYSebelumnya!$M$330:$M$772,AO$11,IuranSYSebelumnya!$L$330:$L$772,"&lt;&gt;"&amp;$M$5)&gt;0,
              "Iuran dari Lingkungan lain",
              ""))</f>
        <v/>
      </c>
      <c r="AP41" s="47" t="str">
        <f>IF(COUNTIFS(IuranSYSebelumnya!$J$330:$J$772,$K41,IuranSYSebelumnya!$M$330:$M$772,AP$11,IuranSYSebelumnya!$L$330:$L$772,$M$5)&gt;0,
        VLOOKUP(CONCATENATE($K41,"|",AP$11,"|",$M$5),IuranSYSebelumnya!$I$330:$N$772,5,FALSE),
        IF(COUNTIFS(IuranSYSebelumnya!$J$330:$J$772,$K41,IuranSYSebelumnya!$M$330:$M$772,AP$11,IuranSYSebelumnya!$L$330:$L$772,"&lt;&gt;"&amp;$M$5)&gt;0,
              "Iuran dari Lingkungan lain",
              ""))</f>
        <v/>
      </c>
      <c r="AQ41" s="47" t="str">
        <f>IF(COUNTIFS(IuranSYSebelumnya!$J$330:$J$772,$K41,IuranSYSebelumnya!$M$330:$M$772,AQ$11,IuranSYSebelumnya!$L$330:$L$772,$M$5)&gt;0,
        VLOOKUP(CONCATENATE($K41,"|",AQ$11,"|",$M$5),IuranSYSebelumnya!$I$330:$N$772,5,FALSE),
        IF(COUNTIFS(IuranSYSebelumnya!$J$330:$J$772,$K41,IuranSYSebelumnya!$M$330:$M$772,AQ$11,IuranSYSebelumnya!$L$330:$L$772,"&lt;&gt;"&amp;$M$5)&gt;0,
              "Iuran dari Lingkungan lain",
              ""))</f>
        <v/>
      </c>
      <c r="AR41" s="47" t="str">
        <f>IF(COUNTIFS(IuranSYSebelumnya!$J$330:$J$772,$K41,IuranSYSebelumnya!$M$330:$M$772,AR$11,IuranSYSebelumnya!$L$330:$L$772,$M$5)&gt;0,
        VLOOKUP(CONCATENATE($K41,"|",AR$11,"|",$M$5),IuranSYSebelumnya!$I$330:$N$772,5,FALSE),
        IF(COUNTIFS(IuranSYSebelumnya!$J$330:$J$772,$K41,IuranSYSebelumnya!$M$330:$M$772,AR$11,IuranSYSebelumnya!$L$330:$L$772,"&lt;&gt;"&amp;$M$5)&gt;0,
              "Iuran dari Lingkungan lain",
              ""))</f>
        <v/>
      </c>
      <c r="AS41" s="47" t="str">
        <f>IF(COUNTIFS(IuranSYSebelumnya!$J$330:$J$772,$K41,IuranSYSebelumnya!$M$330:$M$772,AS$11,IuranSYSebelumnya!$L$330:$L$772,$M$5)&gt;0,
        VLOOKUP(CONCATENATE($K41,"|",AS$11,"|",$M$5),IuranSYSebelumnya!$I$330:$N$772,5,FALSE),
        IF(COUNTIFS(IuranSYSebelumnya!$J$330:$J$772,$K41,IuranSYSebelumnya!$M$330:$M$772,AS$11,IuranSYSebelumnya!$L$330:$L$772,"&lt;&gt;"&amp;$M$5)&gt;0,
              "Iuran dari Lingkungan lain",
              ""))</f>
        <v/>
      </c>
      <c r="AT41" s="47" t="str">
        <f>IF(COUNTIFS(IuranSYSebelumnya!$J$330:$J$772,$K41,IuranSYSebelumnya!$M$330:$M$772,AT$11,IuranSYSebelumnya!$L$330:$L$772,$M$5)&gt;0,
        VLOOKUP(CONCATENATE($K41,"|",AT$11,"|",$M$5),IuranSYSebelumnya!$I$330:$N$772,5,FALSE),
        IF(COUNTIFS(IuranSYSebelumnya!$J$330:$J$772,$K41,IuranSYSebelumnya!$M$330:$M$772,AT$11,IuranSYSebelumnya!$L$330:$L$772,"&lt;&gt;"&amp;$M$5)&gt;0,
              "Iuran dari Lingkungan lain",
              ""))</f>
        <v/>
      </c>
      <c r="AU41" s="47">
        <f>IF(COUNTIFS(IuranSYSebelumnya!$J$330:$J$772,$K41,IuranSYSebelumnya!$M$330:$M$772,AU$11,IuranSYSebelumnya!$L$330:$L$772,$M$5)&gt;0,
        VLOOKUP(CONCATENATE($K41,"|",AU$11,"|",$M$5),IuranSYSebelumnya!$I$330:$N$772,5,FALSE),
        IF(COUNTIFS(IuranSYSebelumnya!$J$330:$J$772,$K41,IuranSYSebelumnya!$M$330:$M$772,AU$11,IuranSYSebelumnya!$L$330:$L$772,"&lt;&gt;"&amp;$M$5)&gt;0,
              "Iuran dari Lingkungan lain",
              ""))</f>
        <v>42370</v>
      </c>
      <c r="AV41" s="47">
        <f>IF(COUNTIFS(IuranSYSebelumnya!$J$330:$J$772,$K41,IuranSYSebelumnya!$M$330:$M$772,AV$11,IuranSYSebelumnya!$L$330:$L$772,$M$5)&gt;0,
        VLOOKUP(CONCATENATE($K41,"|",AV$11,"|",$M$5),IuranSYSebelumnya!$I$330:$N$772,5,FALSE),
        IF(COUNTIFS(IuranSYSebelumnya!$J$330:$J$772,$K41,IuranSYSebelumnya!$M$330:$M$772,AV$11,IuranSYSebelumnya!$L$330:$L$772,"&lt;&gt;"&amp;$M$5)&gt;0,
              "Iuran dari Lingkungan lain",
              ""))</f>
        <v>42401</v>
      </c>
      <c r="AW41" s="47">
        <f>IF(COUNTIFS(IuranSYSebelumnya!$J$330:$J$772,$K41,IuranSYSebelumnya!$M$330:$M$772,AW$11,IuranSYSebelumnya!$L$330:$L$772,$M$5)&gt;0,
        VLOOKUP(CONCATENATE($K41,"|",AW$11,"|",$M$5),IuranSYSebelumnya!$I$330:$N$772,5,FALSE),
        IF(COUNTIFS(IuranSYSebelumnya!$J$330:$J$772,$K41,IuranSYSebelumnya!$M$330:$M$772,AW$11,IuranSYSebelumnya!$L$330:$L$772,"&lt;&gt;"&amp;$M$5)&gt;0,
              "Iuran dari Lingkungan lain",
              ""))</f>
        <v>42430</v>
      </c>
      <c r="AX41" s="47">
        <f>IF(COUNTIFS(IuranSYSebelumnya!$J$330:$J$772,$K41,IuranSYSebelumnya!$M$330:$M$772,AX$11,IuranSYSebelumnya!$L$330:$L$772,$M$5)&gt;0,
        VLOOKUP(CONCATENATE($K41,"|",AX$11,"|",$M$5),IuranSYSebelumnya!$I$330:$N$772,5,FALSE),
        IF(COUNTIFS(IuranSYSebelumnya!$J$330:$J$772,$K41,IuranSYSebelumnya!$M$330:$M$772,AX$11,IuranSYSebelumnya!$L$330:$L$772,"&lt;&gt;"&amp;$M$5)&gt;0,
              "Iuran dari Lingkungan lain",
              ""))</f>
        <v>42461</v>
      </c>
      <c r="AY41" s="47">
        <f>IF(COUNTIFS(IuranSYSebelumnya!$J$330:$J$772,$K41,IuranSYSebelumnya!$M$330:$M$772,AY$11,IuranSYSebelumnya!$L$330:$L$772,$M$5)&gt;0,
        VLOOKUP(CONCATENATE($K41,"|",AY$11,"|",$M$5),IuranSYSebelumnya!$I$330:$N$772,5,FALSE),
        IF(COUNTIFS(IuranSYSebelumnya!$J$330:$J$772,$K41,IuranSYSebelumnya!$M$330:$M$772,AY$11,IuranSYSebelumnya!$L$330:$L$772,"&lt;&gt;"&amp;$M$5)&gt;0,
              "Iuran dari Lingkungan lain",
              ""))</f>
        <v>42491</v>
      </c>
      <c r="AZ41" s="47">
        <f>IF(COUNTIFS(IuranSYSebelumnya!$J$330:$J$772,$K41,IuranSYSebelumnya!$M$330:$M$772,AZ$11,IuranSYSebelumnya!$L$330:$L$772,$M$5)&gt;0,
        VLOOKUP(CONCATENATE($K41,"|",AZ$11,"|",$M$5),IuranSYSebelumnya!$I$330:$N$772,5,FALSE),
        IF(COUNTIFS(IuranSYSebelumnya!$J$330:$J$772,$K41,IuranSYSebelumnya!$M$330:$M$772,AZ$11,IuranSYSebelumnya!$L$330:$L$772,"&lt;&gt;"&amp;$M$5)&gt;0,
              "Iuran dari Lingkungan lain",
              ""))</f>
        <v>42522</v>
      </c>
      <c r="BA41" s="47">
        <f>IF(COUNTIFS(IuranSYSebelumnya!$J$330:$J$772,$K41,IuranSYSebelumnya!$M$330:$M$772,BA$11,IuranSYSebelumnya!$L$330:$L$772,$M$5)&gt;0,
        VLOOKUP(CONCATENATE($K41,"|",BA$11,"|",$M$5),IuranSYSebelumnya!$I$330:$N$772,5,FALSE),
        IF(COUNTIFS(IuranSYSebelumnya!$J$330:$J$772,$K41,IuranSYSebelumnya!$M$330:$M$772,BA$11,IuranSYSebelumnya!$L$330:$L$772,"&lt;&gt;"&amp;$M$5)&gt;0,
              "Iuran dari Lingkungan lain",
              ""))</f>
        <v>42552</v>
      </c>
      <c r="BB41" s="47">
        <f>IF(COUNTIFS(IuranSYSebelumnya!$J$330:$J$772,$K41,IuranSYSebelumnya!$M$330:$M$772,BB$11,IuranSYSebelumnya!$L$330:$L$772,$M$5)&gt;0,
        VLOOKUP(CONCATENATE($K41,"|",BB$11,"|",$M$5),IuranSYSebelumnya!$I$330:$N$772,5,FALSE),
        IF(COUNTIFS(IuranSYSebelumnya!$J$330:$J$772,$K41,IuranSYSebelumnya!$M$330:$M$772,BB$11,IuranSYSebelumnya!$L$330:$L$772,"&lt;&gt;"&amp;$M$5)&gt;0,
              "Iuran dari Lingkungan lain",
              ""))</f>
        <v>42583</v>
      </c>
      <c r="BC41" s="47">
        <f>IF(COUNTIFS(IuranSYSebelumnya!$J$330:$J$772,$K41,IuranSYSebelumnya!$M$330:$M$772,BC$11,IuranSYSebelumnya!$L$330:$L$772,$M$5)&gt;0,
        VLOOKUP(CONCATENATE($K41,"|",BC$11,"|",$M$5),IuranSYSebelumnya!$I$330:$N$772,5,FALSE),
        IF(COUNTIFS(IuranSYSebelumnya!$J$330:$J$772,$K41,IuranSYSebelumnya!$M$330:$M$772,BC$11,IuranSYSebelumnya!$L$330:$L$772,"&lt;&gt;"&amp;$M$5)&gt;0,
              "Iuran dari Lingkungan lain",
              ""))</f>
        <v>42614</v>
      </c>
      <c r="BD41" s="47">
        <f>IF(COUNTIFS(IuranSYSebelumnya!$J$330:$J$772,$K41,IuranSYSebelumnya!$M$330:$M$772,BD$11,IuranSYSebelumnya!$L$330:$L$772,$M$5)&gt;0,
        VLOOKUP(CONCATENATE($K41,"|",BD$11,"|",$M$5),IuranSYSebelumnya!$I$330:$N$772,5,FALSE),
        IF(COUNTIFS(IuranSYSebelumnya!$J$330:$J$772,$K41,IuranSYSebelumnya!$M$330:$M$772,BD$11,IuranSYSebelumnya!$L$330:$L$772,"&lt;&gt;"&amp;$M$5)&gt;0,
              "Iuran dari Lingkungan lain",
              ""))</f>
        <v>42644</v>
      </c>
      <c r="BE41" s="47">
        <f>IF(COUNTIFS(IuranSYSebelumnya!$J$330:$J$772,$K41,IuranSYSebelumnya!$M$330:$M$772,BE$11,IuranSYSebelumnya!$L$330:$L$772,$M$5)&gt;0,
        VLOOKUP(CONCATENATE($K41,"|",BE$11,"|",$M$5),IuranSYSebelumnya!$I$330:$N$772,5,FALSE),
        IF(COUNTIFS(IuranSYSebelumnya!$J$330:$J$772,$K41,IuranSYSebelumnya!$M$330:$M$772,BE$11,IuranSYSebelumnya!$L$330:$L$772,"&lt;&gt;"&amp;$M$5)&gt;0,
              "Iuran dari Lingkungan lain",
              ""))</f>
        <v>42675</v>
      </c>
      <c r="BF41" s="47">
        <f>IF(COUNTIFS(IuranSYSebelumnya!$J$330:$J$772,$K41,IuranSYSebelumnya!$M$330:$M$772,BF$11,IuranSYSebelumnya!$L$330:$L$772,$M$5)&gt;0,
        VLOOKUP(CONCATENATE($K41,"|",BF$11,"|",$M$5),IuranSYSebelumnya!$I$330:$N$772,5,FALSE),
        IF(COUNTIFS(IuranSYSebelumnya!$J$330:$J$772,$K41,IuranSYSebelumnya!$M$330:$M$772,BF$11,IuranSYSebelumnya!$L$330:$L$772,"&lt;&gt;"&amp;$M$5)&gt;0,
              "Iuran dari Lingkungan lain",
              ""))</f>
        <v>42705</v>
      </c>
      <c r="BG41" s="47" t="str">
        <f>IF(COUNTIFS(IuranSYSebelumnya!$J$330:$J$772,$K41,IuranSYSebelumnya!$M$330:$M$772,BG$11,IuranSYSebelumnya!$L$330:$L$772,$M$5)&gt;0,
        VLOOKUP(CONCATENATE($K41,"|",BG$11,"|",$M$5),IuranSYSebelumnya!$I$330:$N$772,5,FALSE),
        IF(COUNTIFS(IuranSYSebelumnya!$J$330:$J$772,$K41,IuranSYSebelumnya!$M$330:$M$772,BG$11,IuranSYSebelumnya!$L$330:$L$772,"&lt;&gt;"&amp;$M$5)&gt;0,
              "Iuran dari Lingkungan lain",
              ""))</f>
        <v/>
      </c>
      <c r="BH41" s="47" t="str">
        <f>IF(COUNTIFS(IuranSYSebelumnya!$J$330:$J$772,$K41,IuranSYSebelumnya!$M$330:$M$772,BH$11,IuranSYSebelumnya!$L$330:$L$772,$M$5)&gt;0,
        VLOOKUP(CONCATENATE($K41,"|",BH$11,"|",$M$5),IuranSYSebelumnya!$I$330:$N$772,5,FALSE),
        IF(COUNTIFS(IuranSYSebelumnya!$J$330:$J$772,$K41,IuranSYSebelumnya!$M$330:$M$772,BH$11,IuranSYSebelumnya!$L$330:$L$772,"&lt;&gt;"&amp;$M$5)&gt;0,
              "Iuran dari Lingkungan lain",
              ""))</f>
        <v/>
      </c>
      <c r="BI41" s="47" t="str">
        <f>IF(COUNTIFS(IuranSYSebelumnya!$J$330:$J$772,$K41,IuranSYSebelumnya!$M$330:$M$772,BI$11,IuranSYSebelumnya!$L$330:$L$772,$M$5)&gt;0,
        VLOOKUP(CONCATENATE($K41,"|",BI$11,"|",$M$5),IuranSYSebelumnya!$I$330:$N$772,5,FALSE),
        IF(COUNTIFS(IuranSYSebelumnya!$J$330:$J$772,$K41,IuranSYSebelumnya!$M$330:$M$772,BI$11,IuranSYSebelumnya!$L$330:$L$772,"&lt;&gt;"&amp;$M$5)&gt;0,
              "Iuran dari Lingkungan lain",
              ""))</f>
        <v/>
      </c>
      <c r="BJ41" s="47" t="str">
        <f>IF(COUNTIFS(IuranSYSebelumnya!$J$330:$J$772,$K41,IuranSYSebelumnya!$M$330:$M$772,BJ$11,IuranSYSebelumnya!$L$330:$L$772,$M$5)&gt;0,
        VLOOKUP(CONCATENATE($K41,"|",BJ$11,"|",$M$5),IuranSYSebelumnya!$I$330:$N$772,5,FALSE),
        IF(COUNTIFS(IuranSYSebelumnya!$J$330:$J$772,$K41,IuranSYSebelumnya!$M$330:$M$772,BJ$11,IuranSYSebelumnya!$L$330:$L$772,"&lt;&gt;"&amp;$M$5)&gt;0,
              "Iuran dari Lingkungan lain",
              ""))</f>
        <v/>
      </c>
      <c r="BK41" s="47" t="str">
        <f>IF(COUNTIFS(IuranSYSebelumnya!$J$330:$J$772,$K41,IuranSYSebelumnya!$M$330:$M$772,BK$11,IuranSYSebelumnya!$L$330:$L$772,$M$5)&gt;0,
        VLOOKUP(CONCATENATE($K41,"|",BK$11,"|",$M$5),IuranSYSebelumnya!$I$330:$N$772,5,FALSE),
        IF(COUNTIFS(IuranSYSebelumnya!$J$330:$J$772,$K41,IuranSYSebelumnya!$M$330:$M$772,BK$11,IuranSYSebelumnya!$L$330:$L$772,"&lt;&gt;"&amp;$M$5)&gt;0,
              "Iuran dari Lingkungan lain",
              ""))</f>
        <v/>
      </c>
      <c r="BL41" s="47" t="str">
        <f>IF(COUNTIFS(IuranSYSebelumnya!$J$330:$J$772,$K41,IuranSYSebelumnya!$M$330:$M$772,BL$11,IuranSYSebelumnya!$L$330:$L$772,$M$5)&gt;0,
        VLOOKUP(CONCATENATE($K41,"|",BL$11,"|",$M$5),IuranSYSebelumnya!$I$330:$N$772,5,FALSE),
        IF(COUNTIFS(IuranSYSebelumnya!$J$330:$J$772,$K41,IuranSYSebelumnya!$M$330:$M$772,BL$11,IuranSYSebelumnya!$L$330:$L$772,"&lt;&gt;"&amp;$M$5)&gt;0,
              "Iuran dari Lingkungan lain",
              ""))</f>
        <v/>
      </c>
    </row>
    <row r="42" spans="1:64" x14ac:dyDescent="0.35">
      <c r="A42" s="30" t="s">
        <v>6063</v>
      </c>
      <c r="C42" s="30" t="b">
        <f t="shared" ca="1" si="3"/>
        <v>0</v>
      </c>
      <c r="D42" s="30" t="str">
        <f>"""TRUST Nav"",""HSPMTB2016"",""18"",""1"",""KK-04616"""</f>
        <v>"TRUST Nav","HSPMTB2016","18","1","KK-04616"</v>
      </c>
      <c r="H42" s="30">
        <f t="shared" si="4"/>
        <v>0</v>
      </c>
      <c r="J42" s="30">
        <f t="shared" si="5"/>
        <v>30</v>
      </c>
      <c r="K42" s="30" t="str">
        <f>"KK-04616"</f>
        <v>KK-04616</v>
      </c>
      <c r="L42" s="30" t="str">
        <f>"Purnama Tanuseputra"</f>
        <v>Purnama Tanuseputra</v>
      </c>
      <c r="M42" s="30"/>
      <c r="N42" s="129"/>
      <c r="O42" s="129"/>
      <c r="P42" s="129"/>
      <c r="Q42" s="129"/>
      <c r="R42" s="129"/>
      <c r="S42" s="129"/>
      <c r="T42" s="130"/>
      <c r="U42" s="131"/>
      <c r="V42" s="131"/>
      <c r="W42" s="131"/>
      <c r="X42" s="131"/>
      <c r="Y42" s="132"/>
      <c r="Z42" s="131"/>
      <c r="AA42" s="131"/>
      <c r="AB42" s="4"/>
      <c r="AC42" s="4"/>
      <c r="AD42" s="4"/>
      <c r="AE42" s="4"/>
      <c r="AF42" s="11"/>
      <c r="AG42" s="4"/>
      <c r="AH42" s="4"/>
      <c r="AI42" s="4"/>
      <c r="AJ42" s="4"/>
      <c r="AK42" s="4"/>
      <c r="AL42" s="9">
        <f t="shared" si="6"/>
        <v>0</v>
      </c>
      <c r="AO42" s="47">
        <f>IF(COUNTIFS(IuranSYSebelumnya!$J$330:$J$772,$K42,IuranSYSebelumnya!$M$330:$M$772,AO$11,IuranSYSebelumnya!$L$330:$L$772,$M$5)&gt;0,
        VLOOKUP(CONCATENATE($K42,"|",AO$11,"|",$M$5),IuranSYSebelumnya!$I$330:$N$772,5,FALSE),
        IF(COUNTIFS(IuranSYSebelumnya!$J$330:$J$772,$K42,IuranSYSebelumnya!$M$330:$M$772,AO$11,IuranSYSebelumnya!$L$330:$L$772,"&lt;&gt;"&amp;$M$5)&gt;0,
              "Iuran dari Lingkungan lain",
              ""))</f>
        <v>42186</v>
      </c>
      <c r="AP42" s="47">
        <f>IF(COUNTIFS(IuranSYSebelumnya!$J$330:$J$772,$K42,IuranSYSebelumnya!$M$330:$M$772,AP$11,IuranSYSebelumnya!$L$330:$L$772,$M$5)&gt;0,
        VLOOKUP(CONCATENATE($K42,"|",AP$11,"|",$M$5),IuranSYSebelumnya!$I$330:$N$772,5,FALSE),
        IF(COUNTIFS(IuranSYSebelumnya!$J$330:$J$772,$K42,IuranSYSebelumnya!$M$330:$M$772,AP$11,IuranSYSebelumnya!$L$330:$L$772,"&lt;&gt;"&amp;$M$5)&gt;0,
              "Iuran dari Lingkungan lain",
              ""))</f>
        <v>42217</v>
      </c>
      <c r="AQ42" s="47">
        <f>IF(COUNTIFS(IuranSYSebelumnya!$J$330:$J$772,$K42,IuranSYSebelumnya!$M$330:$M$772,AQ$11,IuranSYSebelumnya!$L$330:$L$772,$M$5)&gt;0,
        VLOOKUP(CONCATENATE($K42,"|",AQ$11,"|",$M$5),IuranSYSebelumnya!$I$330:$N$772,5,FALSE),
        IF(COUNTIFS(IuranSYSebelumnya!$J$330:$J$772,$K42,IuranSYSebelumnya!$M$330:$M$772,AQ$11,IuranSYSebelumnya!$L$330:$L$772,"&lt;&gt;"&amp;$M$5)&gt;0,
              "Iuran dari Lingkungan lain",
              ""))</f>
        <v>42248</v>
      </c>
      <c r="AR42" s="47">
        <f>IF(COUNTIFS(IuranSYSebelumnya!$J$330:$J$772,$K42,IuranSYSebelumnya!$M$330:$M$772,AR$11,IuranSYSebelumnya!$L$330:$L$772,$M$5)&gt;0,
        VLOOKUP(CONCATENATE($K42,"|",AR$11,"|",$M$5),IuranSYSebelumnya!$I$330:$N$772,5,FALSE),
        IF(COUNTIFS(IuranSYSebelumnya!$J$330:$J$772,$K42,IuranSYSebelumnya!$M$330:$M$772,AR$11,IuranSYSebelumnya!$L$330:$L$772,"&lt;&gt;"&amp;$M$5)&gt;0,
              "Iuran dari Lingkungan lain",
              ""))</f>
        <v>42278</v>
      </c>
      <c r="AS42" s="47">
        <f>IF(COUNTIFS(IuranSYSebelumnya!$J$330:$J$772,$K42,IuranSYSebelumnya!$M$330:$M$772,AS$11,IuranSYSebelumnya!$L$330:$L$772,$M$5)&gt;0,
        VLOOKUP(CONCATENATE($K42,"|",AS$11,"|",$M$5),IuranSYSebelumnya!$I$330:$N$772,5,FALSE),
        IF(COUNTIFS(IuranSYSebelumnya!$J$330:$J$772,$K42,IuranSYSebelumnya!$M$330:$M$772,AS$11,IuranSYSebelumnya!$L$330:$L$772,"&lt;&gt;"&amp;$M$5)&gt;0,
              "Iuran dari Lingkungan lain",
              ""))</f>
        <v>42309</v>
      </c>
      <c r="AT42" s="47">
        <f>IF(COUNTIFS(IuranSYSebelumnya!$J$330:$J$772,$K42,IuranSYSebelumnya!$M$330:$M$772,AT$11,IuranSYSebelumnya!$L$330:$L$772,$M$5)&gt;0,
        VLOOKUP(CONCATENATE($K42,"|",AT$11,"|",$M$5),IuranSYSebelumnya!$I$330:$N$772,5,FALSE),
        IF(COUNTIFS(IuranSYSebelumnya!$J$330:$J$772,$K42,IuranSYSebelumnya!$M$330:$M$772,AT$11,IuranSYSebelumnya!$L$330:$L$772,"&lt;&gt;"&amp;$M$5)&gt;0,
              "Iuran dari Lingkungan lain",
              ""))</f>
        <v>42339</v>
      </c>
      <c r="AU42" s="47">
        <f>IF(COUNTIFS(IuranSYSebelumnya!$J$330:$J$772,$K42,IuranSYSebelumnya!$M$330:$M$772,AU$11,IuranSYSebelumnya!$L$330:$L$772,$M$5)&gt;0,
        VLOOKUP(CONCATENATE($K42,"|",AU$11,"|",$M$5),IuranSYSebelumnya!$I$330:$N$772,5,FALSE),
        IF(COUNTIFS(IuranSYSebelumnya!$J$330:$J$772,$K42,IuranSYSebelumnya!$M$330:$M$772,AU$11,IuranSYSebelumnya!$L$330:$L$772,"&lt;&gt;"&amp;$M$5)&gt;0,
              "Iuran dari Lingkungan lain",
              ""))</f>
        <v>42370</v>
      </c>
      <c r="AV42" s="47">
        <f>IF(COUNTIFS(IuranSYSebelumnya!$J$330:$J$772,$K42,IuranSYSebelumnya!$M$330:$M$772,AV$11,IuranSYSebelumnya!$L$330:$L$772,$M$5)&gt;0,
        VLOOKUP(CONCATENATE($K42,"|",AV$11,"|",$M$5),IuranSYSebelumnya!$I$330:$N$772,5,FALSE),
        IF(COUNTIFS(IuranSYSebelumnya!$J$330:$J$772,$K42,IuranSYSebelumnya!$M$330:$M$772,AV$11,IuranSYSebelumnya!$L$330:$L$772,"&lt;&gt;"&amp;$M$5)&gt;0,
              "Iuran dari Lingkungan lain",
              ""))</f>
        <v>42401</v>
      </c>
      <c r="AW42" s="47">
        <f>IF(COUNTIFS(IuranSYSebelumnya!$J$330:$J$772,$K42,IuranSYSebelumnya!$M$330:$M$772,AW$11,IuranSYSebelumnya!$L$330:$L$772,$M$5)&gt;0,
        VLOOKUP(CONCATENATE($K42,"|",AW$11,"|",$M$5),IuranSYSebelumnya!$I$330:$N$772,5,FALSE),
        IF(COUNTIFS(IuranSYSebelumnya!$J$330:$J$772,$K42,IuranSYSebelumnya!$M$330:$M$772,AW$11,IuranSYSebelumnya!$L$330:$L$772,"&lt;&gt;"&amp;$M$5)&gt;0,
              "Iuran dari Lingkungan lain",
              ""))</f>
        <v>42430</v>
      </c>
      <c r="AX42" s="47">
        <f>IF(COUNTIFS(IuranSYSebelumnya!$J$330:$J$772,$K42,IuranSYSebelumnya!$M$330:$M$772,AX$11,IuranSYSebelumnya!$L$330:$L$772,$M$5)&gt;0,
        VLOOKUP(CONCATENATE($K42,"|",AX$11,"|",$M$5),IuranSYSebelumnya!$I$330:$N$772,5,FALSE),
        IF(COUNTIFS(IuranSYSebelumnya!$J$330:$J$772,$K42,IuranSYSebelumnya!$M$330:$M$772,AX$11,IuranSYSebelumnya!$L$330:$L$772,"&lt;&gt;"&amp;$M$5)&gt;0,
              "Iuran dari Lingkungan lain",
              ""))</f>
        <v>42461</v>
      </c>
      <c r="AY42" s="47">
        <f>IF(COUNTIFS(IuranSYSebelumnya!$J$330:$J$772,$K42,IuranSYSebelumnya!$M$330:$M$772,AY$11,IuranSYSebelumnya!$L$330:$L$772,$M$5)&gt;0,
        VLOOKUP(CONCATENATE($K42,"|",AY$11,"|",$M$5),IuranSYSebelumnya!$I$330:$N$772,5,FALSE),
        IF(COUNTIFS(IuranSYSebelumnya!$J$330:$J$772,$K42,IuranSYSebelumnya!$M$330:$M$772,AY$11,IuranSYSebelumnya!$L$330:$L$772,"&lt;&gt;"&amp;$M$5)&gt;0,
              "Iuran dari Lingkungan lain",
              ""))</f>
        <v>42491</v>
      </c>
      <c r="AZ42" s="47">
        <f>IF(COUNTIFS(IuranSYSebelumnya!$J$330:$J$772,$K42,IuranSYSebelumnya!$M$330:$M$772,AZ$11,IuranSYSebelumnya!$L$330:$L$772,$M$5)&gt;0,
        VLOOKUP(CONCATENATE($K42,"|",AZ$11,"|",$M$5),IuranSYSebelumnya!$I$330:$N$772,5,FALSE),
        IF(COUNTIFS(IuranSYSebelumnya!$J$330:$J$772,$K42,IuranSYSebelumnya!$M$330:$M$772,AZ$11,IuranSYSebelumnya!$L$330:$L$772,"&lt;&gt;"&amp;$M$5)&gt;0,
              "Iuran dari Lingkungan lain",
              ""))</f>
        <v>42522</v>
      </c>
      <c r="BA42" s="47">
        <f>IF(COUNTIFS(IuranSYSebelumnya!$J$330:$J$772,$K42,IuranSYSebelumnya!$M$330:$M$772,BA$11,IuranSYSebelumnya!$L$330:$L$772,$M$5)&gt;0,
        VLOOKUP(CONCATENATE($K42,"|",BA$11,"|",$M$5),IuranSYSebelumnya!$I$330:$N$772,5,FALSE),
        IF(COUNTIFS(IuranSYSebelumnya!$J$330:$J$772,$K42,IuranSYSebelumnya!$M$330:$M$772,BA$11,IuranSYSebelumnya!$L$330:$L$772,"&lt;&gt;"&amp;$M$5)&gt;0,
              "Iuran dari Lingkungan lain",
              ""))</f>
        <v>42552</v>
      </c>
      <c r="BB42" s="47">
        <f>IF(COUNTIFS(IuranSYSebelumnya!$J$330:$J$772,$K42,IuranSYSebelumnya!$M$330:$M$772,BB$11,IuranSYSebelumnya!$L$330:$L$772,$M$5)&gt;0,
        VLOOKUP(CONCATENATE($K42,"|",BB$11,"|",$M$5),IuranSYSebelumnya!$I$330:$N$772,5,FALSE),
        IF(COUNTIFS(IuranSYSebelumnya!$J$330:$J$772,$K42,IuranSYSebelumnya!$M$330:$M$772,BB$11,IuranSYSebelumnya!$L$330:$L$772,"&lt;&gt;"&amp;$M$5)&gt;0,
              "Iuran dari Lingkungan lain",
              ""))</f>
        <v>42583</v>
      </c>
      <c r="BC42" s="47" t="str">
        <f>IF(COUNTIFS(IuranSYSebelumnya!$J$330:$J$772,$K42,IuranSYSebelumnya!$M$330:$M$772,BC$11,IuranSYSebelumnya!$L$330:$L$772,$M$5)&gt;0,
        VLOOKUP(CONCATENATE($K42,"|",BC$11,"|",$M$5),IuranSYSebelumnya!$I$330:$N$772,5,FALSE),
        IF(COUNTIFS(IuranSYSebelumnya!$J$330:$J$772,$K42,IuranSYSebelumnya!$M$330:$M$772,BC$11,IuranSYSebelumnya!$L$330:$L$772,"&lt;&gt;"&amp;$M$5)&gt;0,
              "Iuran dari Lingkungan lain",
              ""))</f>
        <v/>
      </c>
      <c r="BD42" s="47" t="str">
        <f>IF(COUNTIFS(IuranSYSebelumnya!$J$330:$J$772,$K42,IuranSYSebelumnya!$M$330:$M$772,BD$11,IuranSYSebelumnya!$L$330:$L$772,$M$5)&gt;0,
        VLOOKUP(CONCATENATE($K42,"|",BD$11,"|",$M$5),IuranSYSebelumnya!$I$330:$N$772,5,FALSE),
        IF(COUNTIFS(IuranSYSebelumnya!$J$330:$J$772,$K42,IuranSYSebelumnya!$M$330:$M$772,BD$11,IuranSYSebelumnya!$L$330:$L$772,"&lt;&gt;"&amp;$M$5)&gt;0,
              "Iuran dari Lingkungan lain",
              ""))</f>
        <v/>
      </c>
      <c r="BE42" s="47" t="str">
        <f>IF(COUNTIFS(IuranSYSebelumnya!$J$330:$J$772,$K42,IuranSYSebelumnya!$M$330:$M$772,BE$11,IuranSYSebelumnya!$L$330:$L$772,$M$5)&gt;0,
        VLOOKUP(CONCATENATE($K42,"|",BE$11,"|",$M$5),IuranSYSebelumnya!$I$330:$N$772,5,FALSE),
        IF(COUNTIFS(IuranSYSebelumnya!$J$330:$J$772,$K42,IuranSYSebelumnya!$M$330:$M$772,BE$11,IuranSYSebelumnya!$L$330:$L$772,"&lt;&gt;"&amp;$M$5)&gt;0,
              "Iuran dari Lingkungan lain",
              ""))</f>
        <v/>
      </c>
      <c r="BF42" s="47" t="str">
        <f>IF(COUNTIFS(IuranSYSebelumnya!$J$330:$J$772,$K42,IuranSYSebelumnya!$M$330:$M$772,BF$11,IuranSYSebelumnya!$L$330:$L$772,$M$5)&gt;0,
        VLOOKUP(CONCATENATE($K42,"|",BF$11,"|",$M$5),IuranSYSebelumnya!$I$330:$N$772,5,FALSE),
        IF(COUNTIFS(IuranSYSebelumnya!$J$330:$J$772,$K42,IuranSYSebelumnya!$M$330:$M$772,BF$11,IuranSYSebelumnya!$L$330:$L$772,"&lt;&gt;"&amp;$M$5)&gt;0,
              "Iuran dari Lingkungan lain",
              ""))</f>
        <v/>
      </c>
      <c r="BG42" s="47" t="str">
        <f>IF(COUNTIFS(IuranSYSebelumnya!$J$330:$J$772,$K42,IuranSYSebelumnya!$M$330:$M$772,BG$11,IuranSYSebelumnya!$L$330:$L$772,$M$5)&gt;0,
        VLOOKUP(CONCATENATE($K42,"|",BG$11,"|",$M$5),IuranSYSebelumnya!$I$330:$N$772,5,FALSE),
        IF(COUNTIFS(IuranSYSebelumnya!$J$330:$J$772,$K42,IuranSYSebelumnya!$M$330:$M$772,BG$11,IuranSYSebelumnya!$L$330:$L$772,"&lt;&gt;"&amp;$M$5)&gt;0,
              "Iuran dari Lingkungan lain",
              ""))</f>
        <v/>
      </c>
      <c r="BH42" s="47" t="str">
        <f>IF(COUNTIFS(IuranSYSebelumnya!$J$330:$J$772,$K42,IuranSYSebelumnya!$M$330:$M$772,BH$11,IuranSYSebelumnya!$L$330:$L$772,$M$5)&gt;0,
        VLOOKUP(CONCATENATE($K42,"|",BH$11,"|",$M$5),IuranSYSebelumnya!$I$330:$N$772,5,FALSE),
        IF(COUNTIFS(IuranSYSebelumnya!$J$330:$J$772,$K42,IuranSYSebelumnya!$M$330:$M$772,BH$11,IuranSYSebelumnya!$L$330:$L$772,"&lt;&gt;"&amp;$M$5)&gt;0,
              "Iuran dari Lingkungan lain",
              ""))</f>
        <v/>
      </c>
      <c r="BI42" s="47" t="str">
        <f>IF(COUNTIFS(IuranSYSebelumnya!$J$330:$J$772,$K42,IuranSYSebelumnya!$M$330:$M$772,BI$11,IuranSYSebelumnya!$L$330:$L$772,$M$5)&gt;0,
        VLOOKUP(CONCATENATE($K42,"|",BI$11,"|",$M$5),IuranSYSebelumnya!$I$330:$N$772,5,FALSE),
        IF(COUNTIFS(IuranSYSebelumnya!$J$330:$J$772,$K42,IuranSYSebelumnya!$M$330:$M$772,BI$11,IuranSYSebelumnya!$L$330:$L$772,"&lt;&gt;"&amp;$M$5)&gt;0,
              "Iuran dari Lingkungan lain",
              ""))</f>
        <v/>
      </c>
      <c r="BJ42" s="47" t="str">
        <f>IF(COUNTIFS(IuranSYSebelumnya!$J$330:$J$772,$K42,IuranSYSebelumnya!$M$330:$M$772,BJ$11,IuranSYSebelumnya!$L$330:$L$772,$M$5)&gt;0,
        VLOOKUP(CONCATENATE($K42,"|",BJ$11,"|",$M$5),IuranSYSebelumnya!$I$330:$N$772,5,FALSE),
        IF(COUNTIFS(IuranSYSebelumnya!$J$330:$J$772,$K42,IuranSYSebelumnya!$M$330:$M$772,BJ$11,IuranSYSebelumnya!$L$330:$L$772,"&lt;&gt;"&amp;$M$5)&gt;0,
              "Iuran dari Lingkungan lain",
              ""))</f>
        <v/>
      </c>
      <c r="BK42" s="47" t="str">
        <f>IF(COUNTIFS(IuranSYSebelumnya!$J$330:$J$772,$K42,IuranSYSebelumnya!$M$330:$M$772,BK$11,IuranSYSebelumnya!$L$330:$L$772,$M$5)&gt;0,
        VLOOKUP(CONCATENATE($K42,"|",BK$11,"|",$M$5),IuranSYSebelumnya!$I$330:$N$772,5,FALSE),
        IF(COUNTIFS(IuranSYSebelumnya!$J$330:$J$772,$K42,IuranSYSebelumnya!$M$330:$M$772,BK$11,IuranSYSebelumnya!$L$330:$L$772,"&lt;&gt;"&amp;$M$5)&gt;0,
              "Iuran dari Lingkungan lain",
              ""))</f>
        <v/>
      </c>
      <c r="BL42" s="47" t="str">
        <f>IF(COUNTIFS(IuranSYSebelumnya!$J$330:$J$772,$K42,IuranSYSebelumnya!$M$330:$M$772,BL$11,IuranSYSebelumnya!$L$330:$L$772,$M$5)&gt;0,
        VLOOKUP(CONCATENATE($K42,"|",BL$11,"|",$M$5),IuranSYSebelumnya!$I$330:$N$772,5,FALSE),
        IF(COUNTIFS(IuranSYSebelumnya!$J$330:$J$772,$K42,IuranSYSebelumnya!$M$330:$M$772,BL$11,IuranSYSebelumnya!$L$330:$L$772,"&lt;&gt;"&amp;$M$5)&gt;0,
              "Iuran dari Lingkungan lain",
              ""))</f>
        <v/>
      </c>
    </row>
    <row r="43" spans="1:64" x14ac:dyDescent="0.35">
      <c r="A43" s="30" t="s">
        <v>6063</v>
      </c>
      <c r="C43" s="30" t="b">
        <f t="shared" ca="1" si="3"/>
        <v>0</v>
      </c>
      <c r="D43" s="30" t="str">
        <f>"""TRUST Nav"",""HSPMTB2016"",""18"",""1"",""KK-05050"""</f>
        <v>"TRUST Nav","HSPMTB2016","18","1","KK-05050"</v>
      </c>
      <c r="H43" s="30">
        <f t="shared" si="4"/>
        <v>0</v>
      </c>
      <c r="J43" s="30">
        <f t="shared" si="5"/>
        <v>31</v>
      </c>
      <c r="K43" s="30" t="str">
        <f>"KK-05050"</f>
        <v>KK-05050</v>
      </c>
      <c r="L43" s="30" t="str">
        <f>"Robertus Robin Sulaiman"</f>
        <v>Robertus Robin Sulaiman</v>
      </c>
      <c r="M43" s="30"/>
      <c r="N43" s="3"/>
      <c r="O43" s="3"/>
      <c r="P43" s="3"/>
      <c r="Q43" s="3"/>
      <c r="R43" s="3"/>
      <c r="S43" s="3"/>
      <c r="T43" s="11"/>
      <c r="U43" s="4"/>
      <c r="V43" s="4"/>
      <c r="W43" s="4"/>
      <c r="X43" s="4"/>
      <c r="Y43" s="15"/>
      <c r="Z43" s="4"/>
      <c r="AA43" s="4"/>
      <c r="AB43" s="4"/>
      <c r="AC43" s="4"/>
      <c r="AD43" s="4"/>
      <c r="AE43" s="4"/>
      <c r="AF43" s="11"/>
      <c r="AG43" s="4"/>
      <c r="AH43" s="4"/>
      <c r="AI43" s="4"/>
      <c r="AJ43" s="4"/>
      <c r="AK43" s="4"/>
      <c r="AL43" s="9">
        <f t="shared" si="6"/>
        <v>0</v>
      </c>
      <c r="AO43" s="47" t="str">
        <f>IF(COUNTIFS(IuranSYSebelumnya!$J$330:$J$772,$K43,IuranSYSebelumnya!$M$330:$M$772,AO$11,IuranSYSebelumnya!$L$330:$L$772,$M$5)&gt;0,
        VLOOKUP(CONCATENATE($K43,"|",AO$11,"|",$M$5),IuranSYSebelumnya!$I$330:$N$772,5,FALSE),
        IF(COUNTIFS(IuranSYSebelumnya!$J$330:$J$772,$K43,IuranSYSebelumnya!$M$330:$M$772,AO$11,IuranSYSebelumnya!$L$330:$L$772,"&lt;&gt;"&amp;$M$5)&gt;0,
              "Iuran dari Lingkungan lain",
              ""))</f>
        <v/>
      </c>
      <c r="AP43" s="47" t="str">
        <f>IF(COUNTIFS(IuranSYSebelumnya!$J$330:$J$772,$K43,IuranSYSebelumnya!$M$330:$M$772,AP$11,IuranSYSebelumnya!$L$330:$L$772,$M$5)&gt;0,
        VLOOKUP(CONCATENATE($K43,"|",AP$11,"|",$M$5),IuranSYSebelumnya!$I$330:$N$772,5,FALSE),
        IF(COUNTIFS(IuranSYSebelumnya!$J$330:$J$772,$K43,IuranSYSebelumnya!$M$330:$M$772,AP$11,IuranSYSebelumnya!$L$330:$L$772,"&lt;&gt;"&amp;$M$5)&gt;0,
              "Iuran dari Lingkungan lain",
              ""))</f>
        <v/>
      </c>
      <c r="AQ43" s="47" t="str">
        <f>IF(COUNTIFS(IuranSYSebelumnya!$J$330:$J$772,$K43,IuranSYSebelumnya!$M$330:$M$772,AQ$11,IuranSYSebelumnya!$L$330:$L$772,$M$5)&gt;0,
        VLOOKUP(CONCATENATE($K43,"|",AQ$11,"|",$M$5),IuranSYSebelumnya!$I$330:$N$772,5,FALSE),
        IF(COUNTIFS(IuranSYSebelumnya!$J$330:$J$772,$K43,IuranSYSebelumnya!$M$330:$M$772,AQ$11,IuranSYSebelumnya!$L$330:$L$772,"&lt;&gt;"&amp;$M$5)&gt;0,
              "Iuran dari Lingkungan lain",
              ""))</f>
        <v/>
      </c>
      <c r="AR43" s="47" t="str">
        <f>IF(COUNTIFS(IuranSYSebelumnya!$J$330:$J$772,$K43,IuranSYSebelumnya!$M$330:$M$772,AR$11,IuranSYSebelumnya!$L$330:$L$772,$M$5)&gt;0,
        VLOOKUP(CONCATENATE($K43,"|",AR$11,"|",$M$5),IuranSYSebelumnya!$I$330:$N$772,5,FALSE),
        IF(COUNTIFS(IuranSYSebelumnya!$J$330:$J$772,$K43,IuranSYSebelumnya!$M$330:$M$772,AR$11,IuranSYSebelumnya!$L$330:$L$772,"&lt;&gt;"&amp;$M$5)&gt;0,
              "Iuran dari Lingkungan lain",
              ""))</f>
        <v/>
      </c>
      <c r="AS43" s="47" t="str">
        <f>IF(COUNTIFS(IuranSYSebelumnya!$J$330:$J$772,$K43,IuranSYSebelumnya!$M$330:$M$772,AS$11,IuranSYSebelumnya!$L$330:$L$772,$M$5)&gt;0,
        VLOOKUP(CONCATENATE($K43,"|",AS$11,"|",$M$5),IuranSYSebelumnya!$I$330:$N$772,5,FALSE),
        IF(COUNTIFS(IuranSYSebelumnya!$J$330:$J$772,$K43,IuranSYSebelumnya!$M$330:$M$772,AS$11,IuranSYSebelumnya!$L$330:$L$772,"&lt;&gt;"&amp;$M$5)&gt;0,
              "Iuran dari Lingkungan lain",
              ""))</f>
        <v/>
      </c>
      <c r="AT43" s="47" t="str">
        <f>IF(COUNTIFS(IuranSYSebelumnya!$J$330:$J$772,$K43,IuranSYSebelumnya!$M$330:$M$772,AT$11,IuranSYSebelumnya!$L$330:$L$772,$M$5)&gt;0,
        VLOOKUP(CONCATENATE($K43,"|",AT$11,"|",$M$5),IuranSYSebelumnya!$I$330:$N$772,5,FALSE),
        IF(COUNTIFS(IuranSYSebelumnya!$J$330:$J$772,$K43,IuranSYSebelumnya!$M$330:$M$772,AT$11,IuranSYSebelumnya!$L$330:$L$772,"&lt;&gt;"&amp;$M$5)&gt;0,
              "Iuran dari Lingkungan lain",
              ""))</f>
        <v/>
      </c>
      <c r="AU43" s="47" t="str">
        <f>IF(COUNTIFS(IuranSYSebelumnya!$J$330:$J$772,$K43,IuranSYSebelumnya!$M$330:$M$772,AU$11,IuranSYSebelumnya!$L$330:$L$772,$M$5)&gt;0,
        VLOOKUP(CONCATENATE($K43,"|",AU$11,"|",$M$5),IuranSYSebelumnya!$I$330:$N$772,5,FALSE),
        IF(COUNTIFS(IuranSYSebelumnya!$J$330:$J$772,$K43,IuranSYSebelumnya!$M$330:$M$772,AU$11,IuranSYSebelumnya!$L$330:$L$772,"&lt;&gt;"&amp;$M$5)&gt;0,
              "Iuran dari Lingkungan lain",
              ""))</f>
        <v/>
      </c>
      <c r="AV43" s="47" t="str">
        <f>IF(COUNTIFS(IuranSYSebelumnya!$J$330:$J$772,$K43,IuranSYSebelumnya!$M$330:$M$772,AV$11,IuranSYSebelumnya!$L$330:$L$772,$M$5)&gt;0,
        VLOOKUP(CONCATENATE($K43,"|",AV$11,"|",$M$5),IuranSYSebelumnya!$I$330:$N$772,5,FALSE),
        IF(COUNTIFS(IuranSYSebelumnya!$J$330:$J$772,$K43,IuranSYSebelumnya!$M$330:$M$772,AV$11,IuranSYSebelumnya!$L$330:$L$772,"&lt;&gt;"&amp;$M$5)&gt;0,
              "Iuran dari Lingkungan lain",
              ""))</f>
        <v/>
      </c>
      <c r="AW43" s="47" t="str">
        <f>IF(COUNTIFS(IuranSYSebelumnya!$J$330:$J$772,$K43,IuranSYSebelumnya!$M$330:$M$772,AW$11,IuranSYSebelumnya!$L$330:$L$772,$M$5)&gt;0,
        VLOOKUP(CONCATENATE($K43,"|",AW$11,"|",$M$5),IuranSYSebelumnya!$I$330:$N$772,5,FALSE),
        IF(COUNTIFS(IuranSYSebelumnya!$J$330:$J$772,$K43,IuranSYSebelumnya!$M$330:$M$772,AW$11,IuranSYSebelumnya!$L$330:$L$772,"&lt;&gt;"&amp;$M$5)&gt;0,
              "Iuran dari Lingkungan lain",
              ""))</f>
        <v/>
      </c>
      <c r="AX43" s="47" t="str">
        <f>IF(COUNTIFS(IuranSYSebelumnya!$J$330:$J$772,$K43,IuranSYSebelumnya!$M$330:$M$772,AX$11,IuranSYSebelumnya!$L$330:$L$772,$M$5)&gt;0,
        VLOOKUP(CONCATENATE($K43,"|",AX$11,"|",$M$5),IuranSYSebelumnya!$I$330:$N$772,5,FALSE),
        IF(COUNTIFS(IuranSYSebelumnya!$J$330:$J$772,$K43,IuranSYSebelumnya!$M$330:$M$772,AX$11,IuranSYSebelumnya!$L$330:$L$772,"&lt;&gt;"&amp;$M$5)&gt;0,
              "Iuran dari Lingkungan lain",
              ""))</f>
        <v/>
      </c>
      <c r="AY43" s="47" t="str">
        <f>IF(COUNTIFS(IuranSYSebelumnya!$J$330:$J$772,$K43,IuranSYSebelumnya!$M$330:$M$772,AY$11,IuranSYSebelumnya!$L$330:$L$772,$M$5)&gt;0,
        VLOOKUP(CONCATENATE($K43,"|",AY$11,"|",$M$5),IuranSYSebelumnya!$I$330:$N$772,5,FALSE),
        IF(COUNTIFS(IuranSYSebelumnya!$J$330:$J$772,$K43,IuranSYSebelumnya!$M$330:$M$772,AY$11,IuranSYSebelumnya!$L$330:$L$772,"&lt;&gt;"&amp;$M$5)&gt;0,
              "Iuran dari Lingkungan lain",
              ""))</f>
        <v/>
      </c>
      <c r="AZ43" s="47" t="str">
        <f>IF(COUNTIFS(IuranSYSebelumnya!$J$330:$J$772,$K43,IuranSYSebelumnya!$M$330:$M$772,AZ$11,IuranSYSebelumnya!$L$330:$L$772,$M$5)&gt;0,
        VLOOKUP(CONCATENATE($K43,"|",AZ$11,"|",$M$5),IuranSYSebelumnya!$I$330:$N$772,5,FALSE),
        IF(COUNTIFS(IuranSYSebelumnya!$J$330:$J$772,$K43,IuranSYSebelumnya!$M$330:$M$772,AZ$11,IuranSYSebelumnya!$L$330:$L$772,"&lt;&gt;"&amp;$M$5)&gt;0,
              "Iuran dari Lingkungan lain",
              ""))</f>
        <v/>
      </c>
      <c r="BA43" s="47" t="str">
        <f>IF(COUNTIFS(IuranSYSebelumnya!$J$330:$J$772,$K43,IuranSYSebelumnya!$M$330:$M$772,BA$11,IuranSYSebelumnya!$L$330:$L$772,$M$5)&gt;0,
        VLOOKUP(CONCATENATE($K43,"|",BA$11,"|",$M$5),IuranSYSebelumnya!$I$330:$N$772,5,FALSE),
        IF(COUNTIFS(IuranSYSebelumnya!$J$330:$J$772,$K43,IuranSYSebelumnya!$M$330:$M$772,BA$11,IuranSYSebelumnya!$L$330:$L$772,"&lt;&gt;"&amp;$M$5)&gt;0,
              "Iuran dari Lingkungan lain",
              ""))</f>
        <v/>
      </c>
      <c r="BB43" s="47" t="str">
        <f>IF(COUNTIFS(IuranSYSebelumnya!$J$330:$J$772,$K43,IuranSYSebelumnya!$M$330:$M$772,BB$11,IuranSYSebelumnya!$L$330:$L$772,$M$5)&gt;0,
        VLOOKUP(CONCATENATE($K43,"|",BB$11,"|",$M$5),IuranSYSebelumnya!$I$330:$N$772,5,FALSE),
        IF(COUNTIFS(IuranSYSebelumnya!$J$330:$J$772,$K43,IuranSYSebelumnya!$M$330:$M$772,BB$11,IuranSYSebelumnya!$L$330:$L$772,"&lt;&gt;"&amp;$M$5)&gt;0,
              "Iuran dari Lingkungan lain",
              ""))</f>
        <v/>
      </c>
      <c r="BC43" s="47" t="str">
        <f>IF(COUNTIFS(IuranSYSebelumnya!$J$330:$J$772,$K43,IuranSYSebelumnya!$M$330:$M$772,BC$11,IuranSYSebelumnya!$L$330:$L$772,$M$5)&gt;0,
        VLOOKUP(CONCATENATE($K43,"|",BC$11,"|",$M$5),IuranSYSebelumnya!$I$330:$N$772,5,FALSE),
        IF(COUNTIFS(IuranSYSebelumnya!$J$330:$J$772,$K43,IuranSYSebelumnya!$M$330:$M$772,BC$11,IuranSYSebelumnya!$L$330:$L$772,"&lt;&gt;"&amp;$M$5)&gt;0,
              "Iuran dari Lingkungan lain",
              ""))</f>
        <v/>
      </c>
      <c r="BD43" s="47" t="str">
        <f>IF(COUNTIFS(IuranSYSebelumnya!$J$330:$J$772,$K43,IuranSYSebelumnya!$M$330:$M$772,BD$11,IuranSYSebelumnya!$L$330:$L$772,$M$5)&gt;0,
        VLOOKUP(CONCATENATE($K43,"|",BD$11,"|",$M$5),IuranSYSebelumnya!$I$330:$N$772,5,FALSE),
        IF(COUNTIFS(IuranSYSebelumnya!$J$330:$J$772,$K43,IuranSYSebelumnya!$M$330:$M$772,BD$11,IuranSYSebelumnya!$L$330:$L$772,"&lt;&gt;"&amp;$M$5)&gt;0,
              "Iuran dari Lingkungan lain",
              ""))</f>
        <v/>
      </c>
      <c r="BE43" s="47" t="str">
        <f>IF(COUNTIFS(IuranSYSebelumnya!$J$330:$J$772,$K43,IuranSYSebelumnya!$M$330:$M$772,BE$11,IuranSYSebelumnya!$L$330:$L$772,$M$5)&gt;0,
        VLOOKUP(CONCATENATE($K43,"|",BE$11,"|",$M$5),IuranSYSebelumnya!$I$330:$N$772,5,FALSE),
        IF(COUNTIFS(IuranSYSebelumnya!$J$330:$J$772,$K43,IuranSYSebelumnya!$M$330:$M$772,BE$11,IuranSYSebelumnya!$L$330:$L$772,"&lt;&gt;"&amp;$M$5)&gt;0,
              "Iuran dari Lingkungan lain",
              ""))</f>
        <v/>
      </c>
      <c r="BF43" s="47" t="str">
        <f>IF(COUNTIFS(IuranSYSebelumnya!$J$330:$J$772,$K43,IuranSYSebelumnya!$M$330:$M$772,BF$11,IuranSYSebelumnya!$L$330:$L$772,$M$5)&gt;0,
        VLOOKUP(CONCATENATE($K43,"|",BF$11,"|",$M$5),IuranSYSebelumnya!$I$330:$N$772,5,FALSE),
        IF(COUNTIFS(IuranSYSebelumnya!$J$330:$J$772,$K43,IuranSYSebelumnya!$M$330:$M$772,BF$11,IuranSYSebelumnya!$L$330:$L$772,"&lt;&gt;"&amp;$M$5)&gt;0,
              "Iuran dari Lingkungan lain",
              ""))</f>
        <v/>
      </c>
      <c r="BG43" s="47" t="str">
        <f>IF(COUNTIFS(IuranSYSebelumnya!$J$330:$J$772,$K43,IuranSYSebelumnya!$M$330:$M$772,BG$11,IuranSYSebelumnya!$L$330:$L$772,$M$5)&gt;0,
        VLOOKUP(CONCATENATE($K43,"|",BG$11,"|",$M$5),IuranSYSebelumnya!$I$330:$N$772,5,FALSE),
        IF(COUNTIFS(IuranSYSebelumnya!$J$330:$J$772,$K43,IuranSYSebelumnya!$M$330:$M$772,BG$11,IuranSYSebelumnya!$L$330:$L$772,"&lt;&gt;"&amp;$M$5)&gt;0,
              "Iuran dari Lingkungan lain",
              ""))</f>
        <v/>
      </c>
      <c r="BH43" s="47" t="str">
        <f>IF(COUNTIFS(IuranSYSebelumnya!$J$330:$J$772,$K43,IuranSYSebelumnya!$M$330:$M$772,BH$11,IuranSYSebelumnya!$L$330:$L$772,$M$5)&gt;0,
        VLOOKUP(CONCATENATE($K43,"|",BH$11,"|",$M$5),IuranSYSebelumnya!$I$330:$N$772,5,FALSE),
        IF(COUNTIFS(IuranSYSebelumnya!$J$330:$J$772,$K43,IuranSYSebelumnya!$M$330:$M$772,BH$11,IuranSYSebelumnya!$L$330:$L$772,"&lt;&gt;"&amp;$M$5)&gt;0,
              "Iuran dari Lingkungan lain",
              ""))</f>
        <v/>
      </c>
      <c r="BI43" s="47" t="str">
        <f>IF(COUNTIFS(IuranSYSebelumnya!$J$330:$J$772,$K43,IuranSYSebelumnya!$M$330:$M$772,BI$11,IuranSYSebelumnya!$L$330:$L$772,$M$5)&gt;0,
        VLOOKUP(CONCATENATE($K43,"|",BI$11,"|",$M$5),IuranSYSebelumnya!$I$330:$N$772,5,FALSE),
        IF(COUNTIFS(IuranSYSebelumnya!$J$330:$J$772,$K43,IuranSYSebelumnya!$M$330:$M$772,BI$11,IuranSYSebelumnya!$L$330:$L$772,"&lt;&gt;"&amp;$M$5)&gt;0,
              "Iuran dari Lingkungan lain",
              ""))</f>
        <v/>
      </c>
      <c r="BJ43" s="47" t="str">
        <f>IF(COUNTIFS(IuranSYSebelumnya!$J$330:$J$772,$K43,IuranSYSebelumnya!$M$330:$M$772,BJ$11,IuranSYSebelumnya!$L$330:$L$772,$M$5)&gt;0,
        VLOOKUP(CONCATENATE($K43,"|",BJ$11,"|",$M$5),IuranSYSebelumnya!$I$330:$N$772,5,FALSE),
        IF(COUNTIFS(IuranSYSebelumnya!$J$330:$J$772,$K43,IuranSYSebelumnya!$M$330:$M$772,BJ$11,IuranSYSebelumnya!$L$330:$L$772,"&lt;&gt;"&amp;$M$5)&gt;0,
              "Iuran dari Lingkungan lain",
              ""))</f>
        <v/>
      </c>
      <c r="BK43" s="47" t="str">
        <f>IF(COUNTIFS(IuranSYSebelumnya!$J$330:$J$772,$K43,IuranSYSebelumnya!$M$330:$M$772,BK$11,IuranSYSebelumnya!$L$330:$L$772,$M$5)&gt;0,
        VLOOKUP(CONCATENATE($K43,"|",BK$11,"|",$M$5),IuranSYSebelumnya!$I$330:$N$772,5,FALSE),
        IF(COUNTIFS(IuranSYSebelumnya!$J$330:$J$772,$K43,IuranSYSebelumnya!$M$330:$M$772,BK$11,IuranSYSebelumnya!$L$330:$L$772,"&lt;&gt;"&amp;$M$5)&gt;0,
              "Iuran dari Lingkungan lain",
              ""))</f>
        <v/>
      </c>
      <c r="BL43" s="47" t="str">
        <f>IF(COUNTIFS(IuranSYSebelumnya!$J$330:$J$772,$K43,IuranSYSebelumnya!$M$330:$M$772,BL$11,IuranSYSebelumnya!$L$330:$L$772,$M$5)&gt;0,
        VLOOKUP(CONCATENATE($K43,"|",BL$11,"|",$M$5),IuranSYSebelumnya!$I$330:$N$772,5,FALSE),
        IF(COUNTIFS(IuranSYSebelumnya!$J$330:$J$772,$K43,IuranSYSebelumnya!$M$330:$M$772,BL$11,IuranSYSebelumnya!$L$330:$L$772,"&lt;&gt;"&amp;$M$5)&gt;0,
              "Iuran dari Lingkungan lain",
              ""))</f>
        <v/>
      </c>
    </row>
    <row r="44" spans="1:64" x14ac:dyDescent="0.35">
      <c r="A44" s="30" t="s">
        <v>6063</v>
      </c>
      <c r="C44" s="30" t="b">
        <f t="shared" ca="1" si="3"/>
        <v>0</v>
      </c>
      <c r="D44" s="30" t="str">
        <f>"""TRUST Nav"",""HSPMTB2016"",""18"",""1"",""KK-04617"""</f>
        <v>"TRUST Nav","HSPMTB2016","18","1","KK-04617"</v>
      </c>
      <c r="H44" s="30">
        <f t="shared" si="4"/>
        <v>0</v>
      </c>
      <c r="J44" s="30">
        <f t="shared" si="5"/>
        <v>32</v>
      </c>
      <c r="K44" s="30" t="str">
        <f>"KK-04617"</f>
        <v>KK-04617</v>
      </c>
      <c r="L44" s="30" t="str">
        <f>"Rudolf Hendricus Poluan"</f>
        <v>Rudolf Hendricus Poluan</v>
      </c>
      <c r="M44" s="30"/>
      <c r="N44" s="129"/>
      <c r="O44" s="129"/>
      <c r="P44" s="129"/>
      <c r="Q44" s="129"/>
      <c r="R44" s="129"/>
      <c r="S44" s="129"/>
      <c r="T44" s="11"/>
      <c r="U44" s="4"/>
      <c r="V44" s="4"/>
      <c r="W44" s="4"/>
      <c r="X44" s="4"/>
      <c r="Y44" s="15"/>
      <c r="Z44" s="4"/>
      <c r="AA44" s="4"/>
      <c r="AB44" s="4"/>
      <c r="AC44" s="4"/>
      <c r="AD44" s="4"/>
      <c r="AE44" s="4"/>
      <c r="AF44" s="11"/>
      <c r="AG44" s="4"/>
      <c r="AH44" s="4"/>
      <c r="AI44" s="4"/>
      <c r="AJ44" s="4"/>
      <c r="AK44" s="4"/>
      <c r="AL44" s="9">
        <f t="shared" si="6"/>
        <v>0</v>
      </c>
      <c r="AO44" s="47">
        <f>IF(COUNTIFS(IuranSYSebelumnya!$J$330:$J$772,$K44,IuranSYSebelumnya!$M$330:$M$772,AO$11,IuranSYSebelumnya!$L$330:$L$772,$M$5)&gt;0,
        VLOOKUP(CONCATENATE($K44,"|",AO$11,"|",$M$5),IuranSYSebelumnya!$I$330:$N$772,5,FALSE),
        IF(COUNTIFS(IuranSYSebelumnya!$J$330:$J$772,$K44,IuranSYSebelumnya!$M$330:$M$772,AO$11,IuranSYSebelumnya!$L$330:$L$772,"&lt;&gt;"&amp;$M$5)&gt;0,
              "Iuran dari Lingkungan lain",
              ""))</f>
        <v>42186</v>
      </c>
      <c r="AP44" s="47">
        <f>IF(COUNTIFS(IuranSYSebelumnya!$J$330:$J$772,$K44,IuranSYSebelumnya!$M$330:$M$772,AP$11,IuranSYSebelumnya!$L$330:$L$772,$M$5)&gt;0,
        VLOOKUP(CONCATENATE($K44,"|",AP$11,"|",$M$5),IuranSYSebelumnya!$I$330:$N$772,5,FALSE),
        IF(COUNTIFS(IuranSYSebelumnya!$J$330:$J$772,$K44,IuranSYSebelumnya!$M$330:$M$772,AP$11,IuranSYSebelumnya!$L$330:$L$772,"&lt;&gt;"&amp;$M$5)&gt;0,
              "Iuran dari Lingkungan lain",
              ""))</f>
        <v>42217</v>
      </c>
      <c r="AQ44" s="47">
        <f>IF(COUNTIFS(IuranSYSebelumnya!$J$330:$J$772,$K44,IuranSYSebelumnya!$M$330:$M$772,AQ$11,IuranSYSebelumnya!$L$330:$L$772,$M$5)&gt;0,
        VLOOKUP(CONCATENATE($K44,"|",AQ$11,"|",$M$5),IuranSYSebelumnya!$I$330:$N$772,5,FALSE),
        IF(COUNTIFS(IuranSYSebelumnya!$J$330:$J$772,$K44,IuranSYSebelumnya!$M$330:$M$772,AQ$11,IuranSYSebelumnya!$L$330:$L$772,"&lt;&gt;"&amp;$M$5)&gt;0,
              "Iuran dari Lingkungan lain",
              ""))</f>
        <v>42248</v>
      </c>
      <c r="AR44" s="47">
        <f>IF(COUNTIFS(IuranSYSebelumnya!$J$330:$J$772,$K44,IuranSYSebelumnya!$M$330:$M$772,AR$11,IuranSYSebelumnya!$L$330:$L$772,$M$5)&gt;0,
        VLOOKUP(CONCATENATE($K44,"|",AR$11,"|",$M$5),IuranSYSebelumnya!$I$330:$N$772,5,FALSE),
        IF(COUNTIFS(IuranSYSebelumnya!$J$330:$J$772,$K44,IuranSYSebelumnya!$M$330:$M$772,AR$11,IuranSYSebelumnya!$L$330:$L$772,"&lt;&gt;"&amp;$M$5)&gt;0,
              "Iuran dari Lingkungan lain",
              ""))</f>
        <v>42278</v>
      </c>
      <c r="AS44" s="47">
        <f>IF(COUNTIFS(IuranSYSebelumnya!$J$330:$J$772,$K44,IuranSYSebelumnya!$M$330:$M$772,AS$11,IuranSYSebelumnya!$L$330:$L$772,$M$5)&gt;0,
        VLOOKUP(CONCATENATE($K44,"|",AS$11,"|",$M$5),IuranSYSebelumnya!$I$330:$N$772,5,FALSE),
        IF(COUNTIFS(IuranSYSebelumnya!$J$330:$J$772,$K44,IuranSYSebelumnya!$M$330:$M$772,AS$11,IuranSYSebelumnya!$L$330:$L$772,"&lt;&gt;"&amp;$M$5)&gt;0,
              "Iuran dari Lingkungan lain",
              ""))</f>
        <v>42309</v>
      </c>
      <c r="AT44" s="47">
        <f>IF(COUNTIFS(IuranSYSebelumnya!$J$330:$J$772,$K44,IuranSYSebelumnya!$M$330:$M$772,AT$11,IuranSYSebelumnya!$L$330:$L$772,$M$5)&gt;0,
        VLOOKUP(CONCATENATE($K44,"|",AT$11,"|",$M$5),IuranSYSebelumnya!$I$330:$N$772,5,FALSE),
        IF(COUNTIFS(IuranSYSebelumnya!$J$330:$J$772,$K44,IuranSYSebelumnya!$M$330:$M$772,AT$11,IuranSYSebelumnya!$L$330:$L$772,"&lt;&gt;"&amp;$M$5)&gt;0,
              "Iuran dari Lingkungan lain",
              ""))</f>
        <v>42339</v>
      </c>
      <c r="AU44" s="47" t="str">
        <f>IF(COUNTIFS(IuranSYSebelumnya!$J$330:$J$772,$K44,IuranSYSebelumnya!$M$330:$M$772,AU$11,IuranSYSebelumnya!$L$330:$L$772,$M$5)&gt;0,
        VLOOKUP(CONCATENATE($K44,"|",AU$11,"|",$M$5),IuranSYSebelumnya!$I$330:$N$772,5,FALSE),
        IF(COUNTIFS(IuranSYSebelumnya!$J$330:$J$772,$K44,IuranSYSebelumnya!$M$330:$M$772,AU$11,IuranSYSebelumnya!$L$330:$L$772,"&lt;&gt;"&amp;$M$5)&gt;0,
              "Iuran dari Lingkungan lain",
              ""))</f>
        <v/>
      </c>
      <c r="AV44" s="47" t="str">
        <f>IF(COUNTIFS(IuranSYSebelumnya!$J$330:$J$772,$K44,IuranSYSebelumnya!$M$330:$M$772,AV$11,IuranSYSebelumnya!$L$330:$L$772,$M$5)&gt;0,
        VLOOKUP(CONCATENATE($K44,"|",AV$11,"|",$M$5),IuranSYSebelumnya!$I$330:$N$772,5,FALSE),
        IF(COUNTIFS(IuranSYSebelumnya!$J$330:$J$772,$K44,IuranSYSebelumnya!$M$330:$M$772,AV$11,IuranSYSebelumnya!$L$330:$L$772,"&lt;&gt;"&amp;$M$5)&gt;0,
              "Iuran dari Lingkungan lain",
              ""))</f>
        <v/>
      </c>
      <c r="AW44" s="47" t="str">
        <f>IF(COUNTIFS(IuranSYSebelumnya!$J$330:$J$772,$K44,IuranSYSebelumnya!$M$330:$M$772,AW$11,IuranSYSebelumnya!$L$330:$L$772,$M$5)&gt;0,
        VLOOKUP(CONCATENATE($K44,"|",AW$11,"|",$M$5),IuranSYSebelumnya!$I$330:$N$772,5,FALSE),
        IF(COUNTIFS(IuranSYSebelumnya!$J$330:$J$772,$K44,IuranSYSebelumnya!$M$330:$M$772,AW$11,IuranSYSebelumnya!$L$330:$L$772,"&lt;&gt;"&amp;$M$5)&gt;0,
              "Iuran dari Lingkungan lain",
              ""))</f>
        <v/>
      </c>
      <c r="AX44" s="47" t="str">
        <f>IF(COUNTIFS(IuranSYSebelumnya!$J$330:$J$772,$K44,IuranSYSebelumnya!$M$330:$M$772,AX$11,IuranSYSebelumnya!$L$330:$L$772,$M$5)&gt;0,
        VLOOKUP(CONCATENATE($K44,"|",AX$11,"|",$M$5),IuranSYSebelumnya!$I$330:$N$772,5,FALSE),
        IF(COUNTIFS(IuranSYSebelumnya!$J$330:$J$772,$K44,IuranSYSebelumnya!$M$330:$M$772,AX$11,IuranSYSebelumnya!$L$330:$L$772,"&lt;&gt;"&amp;$M$5)&gt;0,
              "Iuran dari Lingkungan lain",
              ""))</f>
        <v/>
      </c>
      <c r="AY44" s="47" t="str">
        <f>IF(COUNTIFS(IuranSYSebelumnya!$J$330:$J$772,$K44,IuranSYSebelumnya!$M$330:$M$772,AY$11,IuranSYSebelumnya!$L$330:$L$772,$M$5)&gt;0,
        VLOOKUP(CONCATENATE($K44,"|",AY$11,"|",$M$5),IuranSYSebelumnya!$I$330:$N$772,5,FALSE),
        IF(COUNTIFS(IuranSYSebelumnya!$J$330:$J$772,$K44,IuranSYSebelumnya!$M$330:$M$772,AY$11,IuranSYSebelumnya!$L$330:$L$772,"&lt;&gt;"&amp;$M$5)&gt;0,
              "Iuran dari Lingkungan lain",
              ""))</f>
        <v/>
      </c>
      <c r="AZ44" s="47" t="str">
        <f>IF(COUNTIFS(IuranSYSebelumnya!$J$330:$J$772,$K44,IuranSYSebelumnya!$M$330:$M$772,AZ$11,IuranSYSebelumnya!$L$330:$L$772,$M$5)&gt;0,
        VLOOKUP(CONCATENATE($K44,"|",AZ$11,"|",$M$5),IuranSYSebelumnya!$I$330:$N$772,5,FALSE),
        IF(COUNTIFS(IuranSYSebelumnya!$J$330:$J$772,$K44,IuranSYSebelumnya!$M$330:$M$772,AZ$11,IuranSYSebelumnya!$L$330:$L$772,"&lt;&gt;"&amp;$M$5)&gt;0,
              "Iuran dari Lingkungan lain",
              ""))</f>
        <v/>
      </c>
      <c r="BA44" s="47" t="str">
        <f>IF(COUNTIFS(IuranSYSebelumnya!$J$330:$J$772,$K44,IuranSYSebelumnya!$M$330:$M$772,BA$11,IuranSYSebelumnya!$L$330:$L$772,$M$5)&gt;0,
        VLOOKUP(CONCATENATE($K44,"|",BA$11,"|",$M$5),IuranSYSebelumnya!$I$330:$N$772,5,FALSE),
        IF(COUNTIFS(IuranSYSebelumnya!$J$330:$J$772,$K44,IuranSYSebelumnya!$M$330:$M$772,BA$11,IuranSYSebelumnya!$L$330:$L$772,"&lt;&gt;"&amp;$M$5)&gt;0,
              "Iuran dari Lingkungan lain",
              ""))</f>
        <v/>
      </c>
      <c r="BB44" s="47" t="str">
        <f>IF(COUNTIFS(IuranSYSebelumnya!$J$330:$J$772,$K44,IuranSYSebelumnya!$M$330:$M$772,BB$11,IuranSYSebelumnya!$L$330:$L$772,$M$5)&gt;0,
        VLOOKUP(CONCATENATE($K44,"|",BB$11,"|",$M$5),IuranSYSebelumnya!$I$330:$N$772,5,FALSE),
        IF(COUNTIFS(IuranSYSebelumnya!$J$330:$J$772,$K44,IuranSYSebelumnya!$M$330:$M$772,BB$11,IuranSYSebelumnya!$L$330:$L$772,"&lt;&gt;"&amp;$M$5)&gt;0,
              "Iuran dari Lingkungan lain",
              ""))</f>
        <v/>
      </c>
      <c r="BC44" s="47" t="str">
        <f>IF(COUNTIFS(IuranSYSebelumnya!$J$330:$J$772,$K44,IuranSYSebelumnya!$M$330:$M$772,BC$11,IuranSYSebelumnya!$L$330:$L$772,$M$5)&gt;0,
        VLOOKUP(CONCATENATE($K44,"|",BC$11,"|",$M$5),IuranSYSebelumnya!$I$330:$N$772,5,FALSE),
        IF(COUNTIFS(IuranSYSebelumnya!$J$330:$J$772,$K44,IuranSYSebelumnya!$M$330:$M$772,BC$11,IuranSYSebelumnya!$L$330:$L$772,"&lt;&gt;"&amp;$M$5)&gt;0,
              "Iuran dari Lingkungan lain",
              ""))</f>
        <v/>
      </c>
      <c r="BD44" s="47" t="str">
        <f>IF(COUNTIFS(IuranSYSebelumnya!$J$330:$J$772,$K44,IuranSYSebelumnya!$M$330:$M$772,BD$11,IuranSYSebelumnya!$L$330:$L$772,$M$5)&gt;0,
        VLOOKUP(CONCATENATE($K44,"|",BD$11,"|",$M$5),IuranSYSebelumnya!$I$330:$N$772,5,FALSE),
        IF(COUNTIFS(IuranSYSebelumnya!$J$330:$J$772,$K44,IuranSYSebelumnya!$M$330:$M$772,BD$11,IuranSYSebelumnya!$L$330:$L$772,"&lt;&gt;"&amp;$M$5)&gt;0,
              "Iuran dari Lingkungan lain",
              ""))</f>
        <v/>
      </c>
      <c r="BE44" s="47" t="str">
        <f>IF(COUNTIFS(IuranSYSebelumnya!$J$330:$J$772,$K44,IuranSYSebelumnya!$M$330:$M$772,BE$11,IuranSYSebelumnya!$L$330:$L$772,$M$5)&gt;0,
        VLOOKUP(CONCATENATE($K44,"|",BE$11,"|",$M$5),IuranSYSebelumnya!$I$330:$N$772,5,FALSE),
        IF(COUNTIFS(IuranSYSebelumnya!$J$330:$J$772,$K44,IuranSYSebelumnya!$M$330:$M$772,BE$11,IuranSYSebelumnya!$L$330:$L$772,"&lt;&gt;"&amp;$M$5)&gt;0,
              "Iuran dari Lingkungan lain",
              ""))</f>
        <v/>
      </c>
      <c r="BF44" s="47" t="str">
        <f>IF(COUNTIFS(IuranSYSebelumnya!$J$330:$J$772,$K44,IuranSYSebelumnya!$M$330:$M$772,BF$11,IuranSYSebelumnya!$L$330:$L$772,$M$5)&gt;0,
        VLOOKUP(CONCATENATE($K44,"|",BF$11,"|",$M$5),IuranSYSebelumnya!$I$330:$N$772,5,FALSE),
        IF(COUNTIFS(IuranSYSebelumnya!$J$330:$J$772,$K44,IuranSYSebelumnya!$M$330:$M$772,BF$11,IuranSYSebelumnya!$L$330:$L$772,"&lt;&gt;"&amp;$M$5)&gt;0,
              "Iuran dari Lingkungan lain",
              ""))</f>
        <v/>
      </c>
      <c r="BG44" s="47" t="str">
        <f>IF(COUNTIFS(IuranSYSebelumnya!$J$330:$J$772,$K44,IuranSYSebelumnya!$M$330:$M$772,BG$11,IuranSYSebelumnya!$L$330:$L$772,$M$5)&gt;0,
        VLOOKUP(CONCATENATE($K44,"|",BG$11,"|",$M$5),IuranSYSebelumnya!$I$330:$N$772,5,FALSE),
        IF(COUNTIFS(IuranSYSebelumnya!$J$330:$J$772,$K44,IuranSYSebelumnya!$M$330:$M$772,BG$11,IuranSYSebelumnya!$L$330:$L$772,"&lt;&gt;"&amp;$M$5)&gt;0,
              "Iuran dari Lingkungan lain",
              ""))</f>
        <v/>
      </c>
      <c r="BH44" s="47" t="str">
        <f>IF(COUNTIFS(IuranSYSebelumnya!$J$330:$J$772,$K44,IuranSYSebelumnya!$M$330:$M$772,BH$11,IuranSYSebelumnya!$L$330:$L$772,$M$5)&gt;0,
        VLOOKUP(CONCATENATE($K44,"|",BH$11,"|",$M$5),IuranSYSebelumnya!$I$330:$N$772,5,FALSE),
        IF(COUNTIFS(IuranSYSebelumnya!$J$330:$J$772,$K44,IuranSYSebelumnya!$M$330:$M$772,BH$11,IuranSYSebelumnya!$L$330:$L$772,"&lt;&gt;"&amp;$M$5)&gt;0,
              "Iuran dari Lingkungan lain",
              ""))</f>
        <v/>
      </c>
      <c r="BI44" s="47" t="str">
        <f>IF(COUNTIFS(IuranSYSebelumnya!$J$330:$J$772,$K44,IuranSYSebelumnya!$M$330:$M$772,BI$11,IuranSYSebelumnya!$L$330:$L$772,$M$5)&gt;0,
        VLOOKUP(CONCATENATE($K44,"|",BI$11,"|",$M$5),IuranSYSebelumnya!$I$330:$N$772,5,FALSE),
        IF(COUNTIFS(IuranSYSebelumnya!$J$330:$J$772,$K44,IuranSYSebelumnya!$M$330:$M$772,BI$11,IuranSYSebelumnya!$L$330:$L$772,"&lt;&gt;"&amp;$M$5)&gt;0,
              "Iuran dari Lingkungan lain",
              ""))</f>
        <v/>
      </c>
      <c r="BJ44" s="47" t="str">
        <f>IF(COUNTIFS(IuranSYSebelumnya!$J$330:$J$772,$K44,IuranSYSebelumnya!$M$330:$M$772,BJ$11,IuranSYSebelumnya!$L$330:$L$772,$M$5)&gt;0,
        VLOOKUP(CONCATENATE($K44,"|",BJ$11,"|",$M$5),IuranSYSebelumnya!$I$330:$N$772,5,FALSE),
        IF(COUNTIFS(IuranSYSebelumnya!$J$330:$J$772,$K44,IuranSYSebelumnya!$M$330:$M$772,BJ$11,IuranSYSebelumnya!$L$330:$L$772,"&lt;&gt;"&amp;$M$5)&gt;0,
              "Iuran dari Lingkungan lain",
              ""))</f>
        <v/>
      </c>
      <c r="BK44" s="47" t="str">
        <f>IF(COUNTIFS(IuranSYSebelumnya!$J$330:$J$772,$K44,IuranSYSebelumnya!$M$330:$M$772,BK$11,IuranSYSebelumnya!$L$330:$L$772,$M$5)&gt;0,
        VLOOKUP(CONCATENATE($K44,"|",BK$11,"|",$M$5),IuranSYSebelumnya!$I$330:$N$772,5,FALSE),
        IF(COUNTIFS(IuranSYSebelumnya!$J$330:$J$772,$K44,IuranSYSebelumnya!$M$330:$M$772,BK$11,IuranSYSebelumnya!$L$330:$L$772,"&lt;&gt;"&amp;$M$5)&gt;0,
              "Iuran dari Lingkungan lain",
              ""))</f>
        <v/>
      </c>
      <c r="BL44" s="47" t="str">
        <f>IF(COUNTIFS(IuranSYSebelumnya!$J$330:$J$772,$K44,IuranSYSebelumnya!$M$330:$M$772,BL$11,IuranSYSebelumnya!$L$330:$L$772,$M$5)&gt;0,
        VLOOKUP(CONCATENATE($K44,"|",BL$11,"|",$M$5),IuranSYSebelumnya!$I$330:$N$772,5,FALSE),
        IF(COUNTIFS(IuranSYSebelumnya!$J$330:$J$772,$K44,IuranSYSebelumnya!$M$330:$M$772,BL$11,IuranSYSebelumnya!$L$330:$L$772,"&lt;&gt;"&amp;$M$5)&gt;0,
              "Iuran dari Lingkungan lain",
              ""))</f>
        <v/>
      </c>
    </row>
    <row r="45" spans="1:64" x14ac:dyDescent="0.35">
      <c r="A45" s="30" t="s">
        <v>6063</v>
      </c>
      <c r="C45" s="30" t="b">
        <f t="shared" ca="1" si="3"/>
        <v>0</v>
      </c>
      <c r="D45" s="30" t="str">
        <f>"""TRUST Nav"",""HSPMTB2016"",""18"",""1"",""KK-04618"""</f>
        <v>"TRUST Nav","HSPMTB2016","18","1","KK-04618"</v>
      </c>
      <c r="H45" s="30">
        <f t="shared" si="4"/>
        <v>0</v>
      </c>
      <c r="J45" s="30">
        <f t="shared" si="5"/>
        <v>33</v>
      </c>
      <c r="K45" s="30" t="str">
        <f>"KK-04618"</f>
        <v>KK-04618</v>
      </c>
      <c r="L45" s="30" t="str">
        <f>"Samuel Munyi Lim"</f>
        <v>Samuel Munyi Lim</v>
      </c>
      <c r="M45" s="30"/>
      <c r="N45" s="3"/>
      <c r="O45" s="3"/>
      <c r="P45" s="3"/>
      <c r="Q45" s="3"/>
      <c r="R45" s="3"/>
      <c r="S45" s="3"/>
      <c r="T45" s="11"/>
      <c r="U45" s="4"/>
      <c r="V45" s="4"/>
      <c r="W45" s="4"/>
      <c r="X45" s="4"/>
      <c r="Y45" s="15"/>
      <c r="Z45" s="4"/>
      <c r="AA45" s="4"/>
      <c r="AB45" s="4"/>
      <c r="AC45" s="4"/>
      <c r="AD45" s="4"/>
      <c r="AE45" s="4"/>
      <c r="AF45" s="11"/>
      <c r="AG45" s="4"/>
      <c r="AH45" s="4"/>
      <c r="AI45" s="4"/>
      <c r="AJ45" s="4"/>
      <c r="AK45" s="4"/>
      <c r="AL45" s="9">
        <f t="shared" si="6"/>
        <v>0</v>
      </c>
      <c r="AO45" s="47" t="str">
        <f>IF(COUNTIFS(IuranSYSebelumnya!$J$330:$J$772,$K45,IuranSYSebelumnya!$M$330:$M$772,AO$11,IuranSYSebelumnya!$L$330:$L$772,$M$5)&gt;0,
        VLOOKUP(CONCATENATE($K45,"|",AO$11,"|",$M$5),IuranSYSebelumnya!$I$330:$N$772,5,FALSE),
        IF(COUNTIFS(IuranSYSebelumnya!$J$330:$J$772,$K45,IuranSYSebelumnya!$M$330:$M$772,AO$11,IuranSYSebelumnya!$L$330:$L$772,"&lt;&gt;"&amp;$M$5)&gt;0,
              "Iuran dari Lingkungan lain",
              ""))</f>
        <v/>
      </c>
      <c r="AP45" s="47" t="str">
        <f>IF(COUNTIFS(IuranSYSebelumnya!$J$330:$J$772,$K45,IuranSYSebelumnya!$M$330:$M$772,AP$11,IuranSYSebelumnya!$L$330:$L$772,$M$5)&gt;0,
        VLOOKUP(CONCATENATE($K45,"|",AP$11,"|",$M$5),IuranSYSebelumnya!$I$330:$N$772,5,FALSE),
        IF(COUNTIFS(IuranSYSebelumnya!$J$330:$J$772,$K45,IuranSYSebelumnya!$M$330:$M$772,AP$11,IuranSYSebelumnya!$L$330:$L$772,"&lt;&gt;"&amp;$M$5)&gt;0,
              "Iuran dari Lingkungan lain",
              ""))</f>
        <v/>
      </c>
      <c r="AQ45" s="47" t="str">
        <f>IF(COUNTIFS(IuranSYSebelumnya!$J$330:$J$772,$K45,IuranSYSebelumnya!$M$330:$M$772,AQ$11,IuranSYSebelumnya!$L$330:$L$772,$M$5)&gt;0,
        VLOOKUP(CONCATENATE($K45,"|",AQ$11,"|",$M$5),IuranSYSebelumnya!$I$330:$N$772,5,FALSE),
        IF(COUNTIFS(IuranSYSebelumnya!$J$330:$J$772,$K45,IuranSYSebelumnya!$M$330:$M$772,AQ$11,IuranSYSebelumnya!$L$330:$L$772,"&lt;&gt;"&amp;$M$5)&gt;0,
              "Iuran dari Lingkungan lain",
              ""))</f>
        <v/>
      </c>
      <c r="AR45" s="47" t="str">
        <f>IF(COUNTIFS(IuranSYSebelumnya!$J$330:$J$772,$K45,IuranSYSebelumnya!$M$330:$M$772,AR$11,IuranSYSebelumnya!$L$330:$L$772,$M$5)&gt;0,
        VLOOKUP(CONCATENATE($K45,"|",AR$11,"|",$M$5),IuranSYSebelumnya!$I$330:$N$772,5,FALSE),
        IF(COUNTIFS(IuranSYSebelumnya!$J$330:$J$772,$K45,IuranSYSebelumnya!$M$330:$M$772,AR$11,IuranSYSebelumnya!$L$330:$L$772,"&lt;&gt;"&amp;$M$5)&gt;0,
              "Iuran dari Lingkungan lain",
              ""))</f>
        <v/>
      </c>
      <c r="AS45" s="47" t="str">
        <f>IF(COUNTIFS(IuranSYSebelumnya!$J$330:$J$772,$K45,IuranSYSebelumnya!$M$330:$M$772,AS$11,IuranSYSebelumnya!$L$330:$L$772,$M$5)&gt;0,
        VLOOKUP(CONCATENATE($K45,"|",AS$11,"|",$M$5),IuranSYSebelumnya!$I$330:$N$772,5,FALSE),
        IF(COUNTIFS(IuranSYSebelumnya!$J$330:$J$772,$K45,IuranSYSebelumnya!$M$330:$M$772,AS$11,IuranSYSebelumnya!$L$330:$L$772,"&lt;&gt;"&amp;$M$5)&gt;0,
              "Iuran dari Lingkungan lain",
              ""))</f>
        <v/>
      </c>
      <c r="AT45" s="47" t="str">
        <f>IF(COUNTIFS(IuranSYSebelumnya!$J$330:$J$772,$K45,IuranSYSebelumnya!$M$330:$M$772,AT$11,IuranSYSebelumnya!$L$330:$L$772,$M$5)&gt;0,
        VLOOKUP(CONCATENATE($K45,"|",AT$11,"|",$M$5),IuranSYSebelumnya!$I$330:$N$772,5,FALSE),
        IF(COUNTIFS(IuranSYSebelumnya!$J$330:$J$772,$K45,IuranSYSebelumnya!$M$330:$M$772,AT$11,IuranSYSebelumnya!$L$330:$L$772,"&lt;&gt;"&amp;$M$5)&gt;0,
              "Iuran dari Lingkungan lain",
              ""))</f>
        <v/>
      </c>
      <c r="AU45" s="47" t="str">
        <f>IF(COUNTIFS(IuranSYSebelumnya!$J$330:$J$772,$K45,IuranSYSebelumnya!$M$330:$M$772,AU$11,IuranSYSebelumnya!$L$330:$L$772,$M$5)&gt;0,
        VLOOKUP(CONCATENATE($K45,"|",AU$11,"|",$M$5),IuranSYSebelumnya!$I$330:$N$772,5,FALSE),
        IF(COUNTIFS(IuranSYSebelumnya!$J$330:$J$772,$K45,IuranSYSebelumnya!$M$330:$M$772,AU$11,IuranSYSebelumnya!$L$330:$L$772,"&lt;&gt;"&amp;$M$5)&gt;0,
              "Iuran dari Lingkungan lain",
              ""))</f>
        <v/>
      </c>
      <c r="AV45" s="47" t="str">
        <f>IF(COUNTIFS(IuranSYSebelumnya!$J$330:$J$772,$K45,IuranSYSebelumnya!$M$330:$M$772,AV$11,IuranSYSebelumnya!$L$330:$L$772,$M$5)&gt;0,
        VLOOKUP(CONCATENATE($K45,"|",AV$11,"|",$M$5),IuranSYSebelumnya!$I$330:$N$772,5,FALSE),
        IF(COUNTIFS(IuranSYSebelumnya!$J$330:$J$772,$K45,IuranSYSebelumnya!$M$330:$M$772,AV$11,IuranSYSebelumnya!$L$330:$L$772,"&lt;&gt;"&amp;$M$5)&gt;0,
              "Iuran dari Lingkungan lain",
              ""))</f>
        <v/>
      </c>
      <c r="AW45" s="47" t="str">
        <f>IF(COUNTIFS(IuranSYSebelumnya!$J$330:$J$772,$K45,IuranSYSebelumnya!$M$330:$M$772,AW$11,IuranSYSebelumnya!$L$330:$L$772,$M$5)&gt;0,
        VLOOKUP(CONCATENATE($K45,"|",AW$11,"|",$M$5),IuranSYSebelumnya!$I$330:$N$772,5,FALSE),
        IF(COUNTIFS(IuranSYSebelumnya!$J$330:$J$772,$K45,IuranSYSebelumnya!$M$330:$M$772,AW$11,IuranSYSebelumnya!$L$330:$L$772,"&lt;&gt;"&amp;$M$5)&gt;0,
              "Iuran dari Lingkungan lain",
              ""))</f>
        <v/>
      </c>
      <c r="AX45" s="47" t="str">
        <f>IF(COUNTIFS(IuranSYSebelumnya!$J$330:$J$772,$K45,IuranSYSebelumnya!$M$330:$M$772,AX$11,IuranSYSebelumnya!$L$330:$L$772,$M$5)&gt;0,
        VLOOKUP(CONCATENATE($K45,"|",AX$11,"|",$M$5),IuranSYSebelumnya!$I$330:$N$772,5,FALSE),
        IF(COUNTIFS(IuranSYSebelumnya!$J$330:$J$772,$K45,IuranSYSebelumnya!$M$330:$M$772,AX$11,IuranSYSebelumnya!$L$330:$L$772,"&lt;&gt;"&amp;$M$5)&gt;0,
              "Iuran dari Lingkungan lain",
              ""))</f>
        <v/>
      </c>
      <c r="AY45" s="47" t="str">
        <f>IF(COUNTIFS(IuranSYSebelumnya!$J$330:$J$772,$K45,IuranSYSebelumnya!$M$330:$M$772,AY$11,IuranSYSebelumnya!$L$330:$L$772,$M$5)&gt;0,
        VLOOKUP(CONCATENATE($K45,"|",AY$11,"|",$M$5),IuranSYSebelumnya!$I$330:$N$772,5,FALSE),
        IF(COUNTIFS(IuranSYSebelumnya!$J$330:$J$772,$K45,IuranSYSebelumnya!$M$330:$M$772,AY$11,IuranSYSebelumnya!$L$330:$L$772,"&lt;&gt;"&amp;$M$5)&gt;0,
              "Iuran dari Lingkungan lain",
              ""))</f>
        <v/>
      </c>
      <c r="AZ45" s="47" t="str">
        <f>IF(COUNTIFS(IuranSYSebelumnya!$J$330:$J$772,$K45,IuranSYSebelumnya!$M$330:$M$772,AZ$11,IuranSYSebelumnya!$L$330:$L$772,$M$5)&gt;0,
        VLOOKUP(CONCATENATE($K45,"|",AZ$11,"|",$M$5),IuranSYSebelumnya!$I$330:$N$772,5,FALSE),
        IF(COUNTIFS(IuranSYSebelumnya!$J$330:$J$772,$K45,IuranSYSebelumnya!$M$330:$M$772,AZ$11,IuranSYSebelumnya!$L$330:$L$772,"&lt;&gt;"&amp;$M$5)&gt;0,
              "Iuran dari Lingkungan lain",
              ""))</f>
        <v/>
      </c>
      <c r="BA45" s="47" t="str">
        <f>IF(COUNTIFS(IuranSYSebelumnya!$J$330:$J$772,$K45,IuranSYSebelumnya!$M$330:$M$772,BA$11,IuranSYSebelumnya!$L$330:$L$772,$M$5)&gt;0,
        VLOOKUP(CONCATENATE($K45,"|",BA$11,"|",$M$5),IuranSYSebelumnya!$I$330:$N$772,5,FALSE),
        IF(COUNTIFS(IuranSYSebelumnya!$J$330:$J$772,$K45,IuranSYSebelumnya!$M$330:$M$772,BA$11,IuranSYSebelumnya!$L$330:$L$772,"&lt;&gt;"&amp;$M$5)&gt;0,
              "Iuran dari Lingkungan lain",
              ""))</f>
        <v/>
      </c>
      <c r="BB45" s="47" t="str">
        <f>IF(COUNTIFS(IuranSYSebelumnya!$J$330:$J$772,$K45,IuranSYSebelumnya!$M$330:$M$772,BB$11,IuranSYSebelumnya!$L$330:$L$772,$M$5)&gt;0,
        VLOOKUP(CONCATENATE($K45,"|",BB$11,"|",$M$5),IuranSYSebelumnya!$I$330:$N$772,5,FALSE),
        IF(COUNTIFS(IuranSYSebelumnya!$J$330:$J$772,$K45,IuranSYSebelumnya!$M$330:$M$772,BB$11,IuranSYSebelumnya!$L$330:$L$772,"&lt;&gt;"&amp;$M$5)&gt;0,
              "Iuran dari Lingkungan lain",
              ""))</f>
        <v/>
      </c>
      <c r="BC45" s="47" t="str">
        <f>IF(COUNTIFS(IuranSYSebelumnya!$J$330:$J$772,$K45,IuranSYSebelumnya!$M$330:$M$772,BC$11,IuranSYSebelumnya!$L$330:$L$772,$M$5)&gt;0,
        VLOOKUP(CONCATENATE($K45,"|",BC$11,"|",$M$5),IuranSYSebelumnya!$I$330:$N$772,5,FALSE),
        IF(COUNTIFS(IuranSYSebelumnya!$J$330:$J$772,$K45,IuranSYSebelumnya!$M$330:$M$772,BC$11,IuranSYSebelumnya!$L$330:$L$772,"&lt;&gt;"&amp;$M$5)&gt;0,
              "Iuran dari Lingkungan lain",
              ""))</f>
        <v/>
      </c>
      <c r="BD45" s="47" t="str">
        <f>IF(COUNTIFS(IuranSYSebelumnya!$J$330:$J$772,$K45,IuranSYSebelumnya!$M$330:$M$772,BD$11,IuranSYSebelumnya!$L$330:$L$772,$M$5)&gt;0,
        VLOOKUP(CONCATENATE($K45,"|",BD$11,"|",$M$5),IuranSYSebelumnya!$I$330:$N$772,5,FALSE),
        IF(COUNTIFS(IuranSYSebelumnya!$J$330:$J$772,$K45,IuranSYSebelumnya!$M$330:$M$772,BD$11,IuranSYSebelumnya!$L$330:$L$772,"&lt;&gt;"&amp;$M$5)&gt;0,
              "Iuran dari Lingkungan lain",
              ""))</f>
        <v/>
      </c>
      <c r="BE45" s="47" t="str">
        <f>IF(COUNTIFS(IuranSYSebelumnya!$J$330:$J$772,$K45,IuranSYSebelumnya!$M$330:$M$772,BE$11,IuranSYSebelumnya!$L$330:$L$772,$M$5)&gt;0,
        VLOOKUP(CONCATENATE($K45,"|",BE$11,"|",$M$5),IuranSYSebelumnya!$I$330:$N$772,5,FALSE),
        IF(COUNTIFS(IuranSYSebelumnya!$J$330:$J$772,$K45,IuranSYSebelumnya!$M$330:$M$772,BE$11,IuranSYSebelumnya!$L$330:$L$772,"&lt;&gt;"&amp;$M$5)&gt;0,
              "Iuran dari Lingkungan lain",
              ""))</f>
        <v/>
      </c>
      <c r="BF45" s="47" t="str">
        <f>IF(COUNTIFS(IuranSYSebelumnya!$J$330:$J$772,$K45,IuranSYSebelumnya!$M$330:$M$772,BF$11,IuranSYSebelumnya!$L$330:$L$772,$M$5)&gt;0,
        VLOOKUP(CONCATENATE($K45,"|",BF$11,"|",$M$5),IuranSYSebelumnya!$I$330:$N$772,5,FALSE),
        IF(COUNTIFS(IuranSYSebelumnya!$J$330:$J$772,$K45,IuranSYSebelumnya!$M$330:$M$772,BF$11,IuranSYSebelumnya!$L$330:$L$772,"&lt;&gt;"&amp;$M$5)&gt;0,
              "Iuran dari Lingkungan lain",
              ""))</f>
        <v/>
      </c>
      <c r="BG45" s="47" t="str">
        <f>IF(COUNTIFS(IuranSYSebelumnya!$J$330:$J$772,$K45,IuranSYSebelumnya!$M$330:$M$772,BG$11,IuranSYSebelumnya!$L$330:$L$772,$M$5)&gt;0,
        VLOOKUP(CONCATENATE($K45,"|",BG$11,"|",$M$5),IuranSYSebelumnya!$I$330:$N$772,5,FALSE),
        IF(COUNTIFS(IuranSYSebelumnya!$J$330:$J$772,$K45,IuranSYSebelumnya!$M$330:$M$772,BG$11,IuranSYSebelumnya!$L$330:$L$772,"&lt;&gt;"&amp;$M$5)&gt;0,
              "Iuran dari Lingkungan lain",
              ""))</f>
        <v/>
      </c>
      <c r="BH45" s="47" t="str">
        <f>IF(COUNTIFS(IuranSYSebelumnya!$J$330:$J$772,$K45,IuranSYSebelumnya!$M$330:$M$772,BH$11,IuranSYSebelumnya!$L$330:$L$772,$M$5)&gt;0,
        VLOOKUP(CONCATENATE($K45,"|",BH$11,"|",$M$5),IuranSYSebelumnya!$I$330:$N$772,5,FALSE),
        IF(COUNTIFS(IuranSYSebelumnya!$J$330:$J$772,$K45,IuranSYSebelumnya!$M$330:$M$772,BH$11,IuranSYSebelumnya!$L$330:$L$772,"&lt;&gt;"&amp;$M$5)&gt;0,
              "Iuran dari Lingkungan lain",
              ""))</f>
        <v/>
      </c>
      <c r="BI45" s="47" t="str">
        <f>IF(COUNTIFS(IuranSYSebelumnya!$J$330:$J$772,$K45,IuranSYSebelumnya!$M$330:$M$772,BI$11,IuranSYSebelumnya!$L$330:$L$772,$M$5)&gt;0,
        VLOOKUP(CONCATENATE($K45,"|",BI$11,"|",$M$5),IuranSYSebelumnya!$I$330:$N$772,5,FALSE),
        IF(COUNTIFS(IuranSYSebelumnya!$J$330:$J$772,$K45,IuranSYSebelumnya!$M$330:$M$772,BI$11,IuranSYSebelumnya!$L$330:$L$772,"&lt;&gt;"&amp;$M$5)&gt;0,
              "Iuran dari Lingkungan lain",
              ""))</f>
        <v/>
      </c>
      <c r="BJ45" s="47" t="str">
        <f>IF(COUNTIFS(IuranSYSebelumnya!$J$330:$J$772,$K45,IuranSYSebelumnya!$M$330:$M$772,BJ$11,IuranSYSebelumnya!$L$330:$L$772,$M$5)&gt;0,
        VLOOKUP(CONCATENATE($K45,"|",BJ$11,"|",$M$5),IuranSYSebelumnya!$I$330:$N$772,5,FALSE),
        IF(COUNTIFS(IuranSYSebelumnya!$J$330:$J$772,$K45,IuranSYSebelumnya!$M$330:$M$772,BJ$11,IuranSYSebelumnya!$L$330:$L$772,"&lt;&gt;"&amp;$M$5)&gt;0,
              "Iuran dari Lingkungan lain",
              ""))</f>
        <v/>
      </c>
      <c r="BK45" s="47" t="str">
        <f>IF(COUNTIFS(IuranSYSebelumnya!$J$330:$J$772,$K45,IuranSYSebelumnya!$M$330:$M$772,BK$11,IuranSYSebelumnya!$L$330:$L$772,$M$5)&gt;0,
        VLOOKUP(CONCATENATE($K45,"|",BK$11,"|",$M$5),IuranSYSebelumnya!$I$330:$N$772,5,FALSE),
        IF(COUNTIFS(IuranSYSebelumnya!$J$330:$J$772,$K45,IuranSYSebelumnya!$M$330:$M$772,BK$11,IuranSYSebelumnya!$L$330:$L$772,"&lt;&gt;"&amp;$M$5)&gt;0,
              "Iuran dari Lingkungan lain",
              ""))</f>
        <v/>
      </c>
      <c r="BL45" s="47" t="str">
        <f>IF(COUNTIFS(IuranSYSebelumnya!$J$330:$J$772,$K45,IuranSYSebelumnya!$M$330:$M$772,BL$11,IuranSYSebelumnya!$L$330:$L$772,$M$5)&gt;0,
        VLOOKUP(CONCATENATE($K45,"|",BL$11,"|",$M$5),IuranSYSebelumnya!$I$330:$N$772,5,FALSE),
        IF(COUNTIFS(IuranSYSebelumnya!$J$330:$J$772,$K45,IuranSYSebelumnya!$M$330:$M$772,BL$11,IuranSYSebelumnya!$L$330:$L$772,"&lt;&gt;"&amp;$M$5)&gt;0,
              "Iuran dari Lingkungan lain",
              ""))</f>
        <v/>
      </c>
    </row>
    <row r="46" spans="1:64" x14ac:dyDescent="0.35">
      <c r="A46" s="30" t="s">
        <v>6063</v>
      </c>
      <c r="C46" s="30" t="b">
        <f t="shared" ca="1" si="3"/>
        <v>0</v>
      </c>
      <c r="D46" s="30" t="str">
        <f>"""TRUST Nav"",""HSPMTB2016"",""18"",""1"",""KK-04619"""</f>
        <v>"TRUST Nav","HSPMTB2016","18","1","KK-04619"</v>
      </c>
      <c r="H46" s="30">
        <f t="shared" si="4"/>
        <v>0</v>
      </c>
      <c r="J46" s="30">
        <f t="shared" si="5"/>
        <v>34</v>
      </c>
      <c r="K46" s="30" t="str">
        <f>"KK-04619"</f>
        <v>KK-04619</v>
      </c>
      <c r="L46" s="30" t="str">
        <f>"Sandy Wijaya"</f>
        <v>Sandy Wijaya</v>
      </c>
      <c r="M46" s="30"/>
      <c r="N46" s="129"/>
      <c r="O46" s="129"/>
      <c r="P46" s="129"/>
      <c r="Q46" s="129"/>
      <c r="R46" s="129"/>
      <c r="S46" s="129"/>
      <c r="T46" s="11"/>
      <c r="U46" s="4"/>
      <c r="V46" s="4"/>
      <c r="W46" s="4"/>
      <c r="X46" s="4"/>
      <c r="Y46" s="15"/>
      <c r="Z46" s="4"/>
      <c r="AA46" s="4"/>
      <c r="AB46" s="4"/>
      <c r="AC46" s="4"/>
      <c r="AD46" s="4"/>
      <c r="AE46" s="4"/>
      <c r="AF46" s="11"/>
      <c r="AG46" s="4"/>
      <c r="AH46" s="4"/>
      <c r="AI46" s="4"/>
      <c r="AJ46" s="4"/>
      <c r="AK46" s="4"/>
      <c r="AL46" s="9">
        <f t="shared" si="6"/>
        <v>0</v>
      </c>
      <c r="AO46" s="47">
        <f>IF(COUNTIFS(IuranSYSebelumnya!$J$330:$J$772,$K46,IuranSYSebelumnya!$M$330:$M$772,AO$11,IuranSYSebelumnya!$L$330:$L$772,$M$5)&gt;0,
        VLOOKUP(CONCATENATE($K46,"|",AO$11,"|",$M$5),IuranSYSebelumnya!$I$330:$N$772,5,FALSE),
        IF(COUNTIFS(IuranSYSebelumnya!$J$330:$J$772,$K46,IuranSYSebelumnya!$M$330:$M$772,AO$11,IuranSYSebelumnya!$L$330:$L$772,"&lt;&gt;"&amp;$M$5)&gt;0,
              "Iuran dari Lingkungan lain",
              ""))</f>
        <v>42186</v>
      </c>
      <c r="AP46" s="47">
        <f>IF(COUNTIFS(IuranSYSebelumnya!$J$330:$J$772,$K46,IuranSYSebelumnya!$M$330:$M$772,AP$11,IuranSYSebelumnya!$L$330:$L$772,$M$5)&gt;0,
        VLOOKUP(CONCATENATE($K46,"|",AP$11,"|",$M$5),IuranSYSebelumnya!$I$330:$N$772,5,FALSE),
        IF(COUNTIFS(IuranSYSebelumnya!$J$330:$J$772,$K46,IuranSYSebelumnya!$M$330:$M$772,AP$11,IuranSYSebelumnya!$L$330:$L$772,"&lt;&gt;"&amp;$M$5)&gt;0,
              "Iuran dari Lingkungan lain",
              ""))</f>
        <v>42217</v>
      </c>
      <c r="AQ46" s="47">
        <f>IF(COUNTIFS(IuranSYSebelumnya!$J$330:$J$772,$K46,IuranSYSebelumnya!$M$330:$M$772,AQ$11,IuranSYSebelumnya!$L$330:$L$772,$M$5)&gt;0,
        VLOOKUP(CONCATENATE($K46,"|",AQ$11,"|",$M$5),IuranSYSebelumnya!$I$330:$N$772,5,FALSE),
        IF(COUNTIFS(IuranSYSebelumnya!$J$330:$J$772,$K46,IuranSYSebelumnya!$M$330:$M$772,AQ$11,IuranSYSebelumnya!$L$330:$L$772,"&lt;&gt;"&amp;$M$5)&gt;0,
              "Iuran dari Lingkungan lain",
              ""))</f>
        <v>42248</v>
      </c>
      <c r="AR46" s="47">
        <f>IF(COUNTIFS(IuranSYSebelumnya!$J$330:$J$772,$K46,IuranSYSebelumnya!$M$330:$M$772,AR$11,IuranSYSebelumnya!$L$330:$L$772,$M$5)&gt;0,
        VLOOKUP(CONCATENATE($K46,"|",AR$11,"|",$M$5),IuranSYSebelumnya!$I$330:$N$772,5,FALSE),
        IF(COUNTIFS(IuranSYSebelumnya!$J$330:$J$772,$K46,IuranSYSebelumnya!$M$330:$M$772,AR$11,IuranSYSebelumnya!$L$330:$L$772,"&lt;&gt;"&amp;$M$5)&gt;0,
              "Iuran dari Lingkungan lain",
              ""))</f>
        <v>42278</v>
      </c>
      <c r="AS46" s="47">
        <f>IF(COUNTIFS(IuranSYSebelumnya!$J$330:$J$772,$K46,IuranSYSebelumnya!$M$330:$M$772,AS$11,IuranSYSebelumnya!$L$330:$L$772,$M$5)&gt;0,
        VLOOKUP(CONCATENATE($K46,"|",AS$11,"|",$M$5),IuranSYSebelumnya!$I$330:$N$772,5,FALSE),
        IF(COUNTIFS(IuranSYSebelumnya!$J$330:$J$772,$K46,IuranSYSebelumnya!$M$330:$M$772,AS$11,IuranSYSebelumnya!$L$330:$L$772,"&lt;&gt;"&amp;$M$5)&gt;0,
              "Iuran dari Lingkungan lain",
              ""))</f>
        <v>42309</v>
      </c>
      <c r="AT46" s="47">
        <f>IF(COUNTIFS(IuranSYSebelumnya!$J$330:$J$772,$K46,IuranSYSebelumnya!$M$330:$M$772,AT$11,IuranSYSebelumnya!$L$330:$L$772,$M$5)&gt;0,
        VLOOKUP(CONCATENATE($K46,"|",AT$11,"|",$M$5),IuranSYSebelumnya!$I$330:$N$772,5,FALSE),
        IF(COUNTIFS(IuranSYSebelumnya!$J$330:$J$772,$K46,IuranSYSebelumnya!$M$330:$M$772,AT$11,IuranSYSebelumnya!$L$330:$L$772,"&lt;&gt;"&amp;$M$5)&gt;0,
              "Iuran dari Lingkungan lain",
              ""))</f>
        <v>42339</v>
      </c>
      <c r="AU46" s="47" t="str">
        <f>IF(COUNTIFS(IuranSYSebelumnya!$J$330:$J$772,$K46,IuranSYSebelumnya!$M$330:$M$772,AU$11,IuranSYSebelumnya!$L$330:$L$772,$M$5)&gt;0,
        VLOOKUP(CONCATENATE($K46,"|",AU$11,"|",$M$5),IuranSYSebelumnya!$I$330:$N$772,5,FALSE),
        IF(COUNTIFS(IuranSYSebelumnya!$J$330:$J$772,$K46,IuranSYSebelumnya!$M$330:$M$772,AU$11,IuranSYSebelumnya!$L$330:$L$772,"&lt;&gt;"&amp;$M$5)&gt;0,
              "Iuran dari Lingkungan lain",
              ""))</f>
        <v/>
      </c>
      <c r="AV46" s="47" t="str">
        <f>IF(COUNTIFS(IuranSYSebelumnya!$J$330:$J$772,$K46,IuranSYSebelumnya!$M$330:$M$772,AV$11,IuranSYSebelumnya!$L$330:$L$772,$M$5)&gt;0,
        VLOOKUP(CONCATENATE($K46,"|",AV$11,"|",$M$5),IuranSYSebelumnya!$I$330:$N$772,5,FALSE),
        IF(COUNTIFS(IuranSYSebelumnya!$J$330:$J$772,$K46,IuranSYSebelumnya!$M$330:$M$772,AV$11,IuranSYSebelumnya!$L$330:$L$772,"&lt;&gt;"&amp;$M$5)&gt;0,
              "Iuran dari Lingkungan lain",
              ""))</f>
        <v/>
      </c>
      <c r="AW46" s="47" t="str">
        <f>IF(COUNTIFS(IuranSYSebelumnya!$J$330:$J$772,$K46,IuranSYSebelumnya!$M$330:$M$772,AW$11,IuranSYSebelumnya!$L$330:$L$772,$M$5)&gt;0,
        VLOOKUP(CONCATENATE($K46,"|",AW$11,"|",$M$5),IuranSYSebelumnya!$I$330:$N$772,5,FALSE),
        IF(COUNTIFS(IuranSYSebelumnya!$J$330:$J$772,$K46,IuranSYSebelumnya!$M$330:$M$772,AW$11,IuranSYSebelumnya!$L$330:$L$772,"&lt;&gt;"&amp;$M$5)&gt;0,
              "Iuran dari Lingkungan lain",
              ""))</f>
        <v/>
      </c>
      <c r="AX46" s="47" t="str">
        <f>IF(COUNTIFS(IuranSYSebelumnya!$J$330:$J$772,$K46,IuranSYSebelumnya!$M$330:$M$772,AX$11,IuranSYSebelumnya!$L$330:$L$772,$M$5)&gt;0,
        VLOOKUP(CONCATENATE($K46,"|",AX$11,"|",$M$5),IuranSYSebelumnya!$I$330:$N$772,5,FALSE),
        IF(COUNTIFS(IuranSYSebelumnya!$J$330:$J$772,$K46,IuranSYSebelumnya!$M$330:$M$772,AX$11,IuranSYSebelumnya!$L$330:$L$772,"&lt;&gt;"&amp;$M$5)&gt;0,
              "Iuran dari Lingkungan lain",
              ""))</f>
        <v/>
      </c>
      <c r="AY46" s="47" t="str">
        <f>IF(COUNTIFS(IuranSYSebelumnya!$J$330:$J$772,$K46,IuranSYSebelumnya!$M$330:$M$772,AY$11,IuranSYSebelumnya!$L$330:$L$772,$M$5)&gt;0,
        VLOOKUP(CONCATENATE($K46,"|",AY$11,"|",$M$5),IuranSYSebelumnya!$I$330:$N$772,5,FALSE),
        IF(COUNTIFS(IuranSYSebelumnya!$J$330:$J$772,$K46,IuranSYSebelumnya!$M$330:$M$772,AY$11,IuranSYSebelumnya!$L$330:$L$772,"&lt;&gt;"&amp;$M$5)&gt;0,
              "Iuran dari Lingkungan lain",
              ""))</f>
        <v/>
      </c>
      <c r="AZ46" s="47" t="str">
        <f>IF(COUNTIFS(IuranSYSebelumnya!$J$330:$J$772,$K46,IuranSYSebelumnya!$M$330:$M$772,AZ$11,IuranSYSebelumnya!$L$330:$L$772,$M$5)&gt;0,
        VLOOKUP(CONCATENATE($K46,"|",AZ$11,"|",$M$5),IuranSYSebelumnya!$I$330:$N$772,5,FALSE),
        IF(COUNTIFS(IuranSYSebelumnya!$J$330:$J$772,$K46,IuranSYSebelumnya!$M$330:$M$772,AZ$11,IuranSYSebelumnya!$L$330:$L$772,"&lt;&gt;"&amp;$M$5)&gt;0,
              "Iuran dari Lingkungan lain",
              ""))</f>
        <v/>
      </c>
      <c r="BA46" s="47" t="str">
        <f>IF(COUNTIFS(IuranSYSebelumnya!$J$330:$J$772,$K46,IuranSYSebelumnya!$M$330:$M$772,BA$11,IuranSYSebelumnya!$L$330:$L$772,$M$5)&gt;0,
        VLOOKUP(CONCATENATE($K46,"|",BA$11,"|",$M$5),IuranSYSebelumnya!$I$330:$N$772,5,FALSE),
        IF(COUNTIFS(IuranSYSebelumnya!$J$330:$J$772,$K46,IuranSYSebelumnya!$M$330:$M$772,BA$11,IuranSYSebelumnya!$L$330:$L$772,"&lt;&gt;"&amp;$M$5)&gt;0,
              "Iuran dari Lingkungan lain",
              ""))</f>
        <v/>
      </c>
      <c r="BB46" s="47" t="str">
        <f>IF(COUNTIFS(IuranSYSebelumnya!$J$330:$J$772,$K46,IuranSYSebelumnya!$M$330:$M$772,BB$11,IuranSYSebelumnya!$L$330:$L$772,$M$5)&gt;0,
        VLOOKUP(CONCATENATE($K46,"|",BB$11,"|",$M$5),IuranSYSebelumnya!$I$330:$N$772,5,FALSE),
        IF(COUNTIFS(IuranSYSebelumnya!$J$330:$J$772,$K46,IuranSYSebelumnya!$M$330:$M$772,BB$11,IuranSYSebelumnya!$L$330:$L$772,"&lt;&gt;"&amp;$M$5)&gt;0,
              "Iuran dari Lingkungan lain",
              ""))</f>
        <v/>
      </c>
      <c r="BC46" s="47" t="str">
        <f>IF(COUNTIFS(IuranSYSebelumnya!$J$330:$J$772,$K46,IuranSYSebelumnya!$M$330:$M$772,BC$11,IuranSYSebelumnya!$L$330:$L$772,$M$5)&gt;0,
        VLOOKUP(CONCATENATE($K46,"|",BC$11,"|",$M$5),IuranSYSebelumnya!$I$330:$N$772,5,FALSE),
        IF(COUNTIFS(IuranSYSebelumnya!$J$330:$J$772,$K46,IuranSYSebelumnya!$M$330:$M$772,BC$11,IuranSYSebelumnya!$L$330:$L$772,"&lt;&gt;"&amp;$M$5)&gt;0,
              "Iuran dari Lingkungan lain",
              ""))</f>
        <v/>
      </c>
      <c r="BD46" s="47" t="str">
        <f>IF(COUNTIFS(IuranSYSebelumnya!$J$330:$J$772,$K46,IuranSYSebelumnya!$M$330:$M$772,BD$11,IuranSYSebelumnya!$L$330:$L$772,$M$5)&gt;0,
        VLOOKUP(CONCATENATE($K46,"|",BD$11,"|",$M$5),IuranSYSebelumnya!$I$330:$N$772,5,FALSE),
        IF(COUNTIFS(IuranSYSebelumnya!$J$330:$J$772,$K46,IuranSYSebelumnya!$M$330:$M$772,BD$11,IuranSYSebelumnya!$L$330:$L$772,"&lt;&gt;"&amp;$M$5)&gt;0,
              "Iuran dari Lingkungan lain",
              ""))</f>
        <v/>
      </c>
      <c r="BE46" s="47" t="str">
        <f>IF(COUNTIFS(IuranSYSebelumnya!$J$330:$J$772,$K46,IuranSYSebelumnya!$M$330:$M$772,BE$11,IuranSYSebelumnya!$L$330:$L$772,$M$5)&gt;0,
        VLOOKUP(CONCATENATE($K46,"|",BE$11,"|",$M$5),IuranSYSebelumnya!$I$330:$N$772,5,FALSE),
        IF(COUNTIFS(IuranSYSebelumnya!$J$330:$J$772,$K46,IuranSYSebelumnya!$M$330:$M$772,BE$11,IuranSYSebelumnya!$L$330:$L$772,"&lt;&gt;"&amp;$M$5)&gt;0,
              "Iuran dari Lingkungan lain",
              ""))</f>
        <v/>
      </c>
      <c r="BF46" s="47" t="str">
        <f>IF(COUNTIFS(IuranSYSebelumnya!$J$330:$J$772,$K46,IuranSYSebelumnya!$M$330:$M$772,BF$11,IuranSYSebelumnya!$L$330:$L$772,$M$5)&gt;0,
        VLOOKUP(CONCATENATE($K46,"|",BF$11,"|",$M$5),IuranSYSebelumnya!$I$330:$N$772,5,FALSE),
        IF(COUNTIFS(IuranSYSebelumnya!$J$330:$J$772,$K46,IuranSYSebelumnya!$M$330:$M$772,BF$11,IuranSYSebelumnya!$L$330:$L$772,"&lt;&gt;"&amp;$M$5)&gt;0,
              "Iuran dari Lingkungan lain",
              ""))</f>
        <v/>
      </c>
      <c r="BG46" s="47" t="str">
        <f>IF(COUNTIFS(IuranSYSebelumnya!$J$330:$J$772,$K46,IuranSYSebelumnya!$M$330:$M$772,BG$11,IuranSYSebelumnya!$L$330:$L$772,$M$5)&gt;0,
        VLOOKUP(CONCATENATE($K46,"|",BG$11,"|",$M$5),IuranSYSebelumnya!$I$330:$N$772,5,FALSE),
        IF(COUNTIFS(IuranSYSebelumnya!$J$330:$J$772,$K46,IuranSYSebelumnya!$M$330:$M$772,BG$11,IuranSYSebelumnya!$L$330:$L$772,"&lt;&gt;"&amp;$M$5)&gt;0,
              "Iuran dari Lingkungan lain",
              ""))</f>
        <v/>
      </c>
      <c r="BH46" s="47" t="str">
        <f>IF(COUNTIFS(IuranSYSebelumnya!$J$330:$J$772,$K46,IuranSYSebelumnya!$M$330:$M$772,BH$11,IuranSYSebelumnya!$L$330:$L$772,$M$5)&gt;0,
        VLOOKUP(CONCATENATE($K46,"|",BH$11,"|",$M$5),IuranSYSebelumnya!$I$330:$N$772,5,FALSE),
        IF(COUNTIFS(IuranSYSebelumnya!$J$330:$J$772,$K46,IuranSYSebelumnya!$M$330:$M$772,BH$11,IuranSYSebelumnya!$L$330:$L$772,"&lt;&gt;"&amp;$M$5)&gt;0,
              "Iuran dari Lingkungan lain",
              ""))</f>
        <v/>
      </c>
      <c r="BI46" s="47" t="str">
        <f>IF(COUNTIFS(IuranSYSebelumnya!$J$330:$J$772,$K46,IuranSYSebelumnya!$M$330:$M$772,BI$11,IuranSYSebelumnya!$L$330:$L$772,$M$5)&gt;0,
        VLOOKUP(CONCATENATE($K46,"|",BI$11,"|",$M$5),IuranSYSebelumnya!$I$330:$N$772,5,FALSE),
        IF(COUNTIFS(IuranSYSebelumnya!$J$330:$J$772,$K46,IuranSYSebelumnya!$M$330:$M$772,BI$11,IuranSYSebelumnya!$L$330:$L$772,"&lt;&gt;"&amp;$M$5)&gt;0,
              "Iuran dari Lingkungan lain",
              ""))</f>
        <v/>
      </c>
      <c r="BJ46" s="47" t="str">
        <f>IF(COUNTIFS(IuranSYSebelumnya!$J$330:$J$772,$K46,IuranSYSebelumnya!$M$330:$M$772,BJ$11,IuranSYSebelumnya!$L$330:$L$772,$M$5)&gt;0,
        VLOOKUP(CONCATENATE($K46,"|",BJ$11,"|",$M$5),IuranSYSebelumnya!$I$330:$N$772,5,FALSE),
        IF(COUNTIFS(IuranSYSebelumnya!$J$330:$J$772,$K46,IuranSYSebelumnya!$M$330:$M$772,BJ$11,IuranSYSebelumnya!$L$330:$L$772,"&lt;&gt;"&amp;$M$5)&gt;0,
              "Iuran dari Lingkungan lain",
              ""))</f>
        <v/>
      </c>
      <c r="BK46" s="47" t="str">
        <f>IF(COUNTIFS(IuranSYSebelumnya!$J$330:$J$772,$K46,IuranSYSebelumnya!$M$330:$M$772,BK$11,IuranSYSebelumnya!$L$330:$L$772,$M$5)&gt;0,
        VLOOKUP(CONCATENATE($K46,"|",BK$11,"|",$M$5),IuranSYSebelumnya!$I$330:$N$772,5,FALSE),
        IF(COUNTIFS(IuranSYSebelumnya!$J$330:$J$772,$K46,IuranSYSebelumnya!$M$330:$M$772,BK$11,IuranSYSebelumnya!$L$330:$L$772,"&lt;&gt;"&amp;$M$5)&gt;0,
              "Iuran dari Lingkungan lain",
              ""))</f>
        <v/>
      </c>
      <c r="BL46" s="47" t="str">
        <f>IF(COUNTIFS(IuranSYSebelumnya!$J$330:$J$772,$K46,IuranSYSebelumnya!$M$330:$M$772,BL$11,IuranSYSebelumnya!$L$330:$L$772,$M$5)&gt;0,
        VLOOKUP(CONCATENATE($K46,"|",BL$11,"|",$M$5),IuranSYSebelumnya!$I$330:$N$772,5,FALSE),
        IF(COUNTIFS(IuranSYSebelumnya!$J$330:$J$772,$K46,IuranSYSebelumnya!$M$330:$M$772,BL$11,IuranSYSebelumnya!$L$330:$L$772,"&lt;&gt;"&amp;$M$5)&gt;0,
              "Iuran dari Lingkungan lain",
              ""))</f>
        <v/>
      </c>
    </row>
    <row r="47" spans="1:64" x14ac:dyDescent="0.35">
      <c r="A47" s="30" t="s">
        <v>6063</v>
      </c>
      <c r="C47" s="30" t="b">
        <f t="shared" ca="1" si="3"/>
        <v>0</v>
      </c>
      <c r="D47" s="30" t="str">
        <f>"""TRUST Nav"",""HSPMTB2016"",""18"",""1"",""KK-05044"""</f>
        <v>"TRUST Nav","HSPMTB2016","18","1","KK-05044"</v>
      </c>
      <c r="H47" s="30">
        <f t="shared" si="4"/>
        <v>0</v>
      </c>
      <c r="J47" s="30">
        <f t="shared" si="5"/>
        <v>35</v>
      </c>
      <c r="K47" s="30" t="str">
        <f>"KK-05044"</f>
        <v>KK-05044</v>
      </c>
      <c r="L47" s="30" t="str">
        <f>"Simon Petrus Rizal"</f>
        <v>Simon Petrus Rizal</v>
      </c>
      <c r="M47" s="30"/>
      <c r="N47" s="3"/>
      <c r="O47" s="3"/>
      <c r="P47" s="3"/>
      <c r="Q47" s="3"/>
      <c r="R47" s="3"/>
      <c r="S47" s="3"/>
      <c r="T47" s="11"/>
      <c r="U47" s="4"/>
      <c r="V47" s="4"/>
      <c r="W47" s="4"/>
      <c r="X47" s="4"/>
      <c r="Y47" s="15"/>
      <c r="Z47" s="4"/>
      <c r="AA47" s="4"/>
      <c r="AB47" s="4"/>
      <c r="AC47" s="4"/>
      <c r="AD47" s="4"/>
      <c r="AE47" s="4"/>
      <c r="AF47" s="11"/>
      <c r="AG47" s="4"/>
      <c r="AH47" s="4"/>
      <c r="AI47" s="4"/>
      <c r="AJ47" s="4"/>
      <c r="AK47" s="4"/>
      <c r="AL47" s="9">
        <f t="shared" si="6"/>
        <v>0</v>
      </c>
      <c r="AO47" s="47" t="str">
        <f>IF(COUNTIFS(IuranSYSebelumnya!$J$330:$J$772,$K47,IuranSYSebelumnya!$M$330:$M$772,AO$11,IuranSYSebelumnya!$L$330:$L$772,$M$5)&gt;0,
        VLOOKUP(CONCATENATE($K47,"|",AO$11,"|",$M$5),IuranSYSebelumnya!$I$330:$N$772,5,FALSE),
        IF(COUNTIFS(IuranSYSebelumnya!$J$330:$J$772,$K47,IuranSYSebelumnya!$M$330:$M$772,AO$11,IuranSYSebelumnya!$L$330:$L$772,"&lt;&gt;"&amp;$M$5)&gt;0,
              "Iuran dari Lingkungan lain",
              ""))</f>
        <v/>
      </c>
      <c r="AP47" s="47" t="str">
        <f>IF(COUNTIFS(IuranSYSebelumnya!$J$330:$J$772,$K47,IuranSYSebelumnya!$M$330:$M$772,AP$11,IuranSYSebelumnya!$L$330:$L$772,$M$5)&gt;0,
        VLOOKUP(CONCATENATE($K47,"|",AP$11,"|",$M$5),IuranSYSebelumnya!$I$330:$N$772,5,FALSE),
        IF(COUNTIFS(IuranSYSebelumnya!$J$330:$J$772,$K47,IuranSYSebelumnya!$M$330:$M$772,AP$11,IuranSYSebelumnya!$L$330:$L$772,"&lt;&gt;"&amp;$M$5)&gt;0,
              "Iuran dari Lingkungan lain",
              ""))</f>
        <v/>
      </c>
      <c r="AQ47" s="47" t="str">
        <f>IF(COUNTIFS(IuranSYSebelumnya!$J$330:$J$772,$K47,IuranSYSebelumnya!$M$330:$M$772,AQ$11,IuranSYSebelumnya!$L$330:$L$772,$M$5)&gt;0,
        VLOOKUP(CONCATENATE($K47,"|",AQ$11,"|",$M$5),IuranSYSebelumnya!$I$330:$N$772,5,FALSE),
        IF(COUNTIFS(IuranSYSebelumnya!$J$330:$J$772,$K47,IuranSYSebelumnya!$M$330:$M$772,AQ$11,IuranSYSebelumnya!$L$330:$L$772,"&lt;&gt;"&amp;$M$5)&gt;0,
              "Iuran dari Lingkungan lain",
              ""))</f>
        <v/>
      </c>
      <c r="AR47" s="47" t="str">
        <f>IF(COUNTIFS(IuranSYSebelumnya!$J$330:$J$772,$K47,IuranSYSebelumnya!$M$330:$M$772,AR$11,IuranSYSebelumnya!$L$330:$L$772,$M$5)&gt;0,
        VLOOKUP(CONCATENATE($K47,"|",AR$11,"|",$M$5),IuranSYSebelumnya!$I$330:$N$772,5,FALSE),
        IF(COUNTIFS(IuranSYSebelumnya!$J$330:$J$772,$K47,IuranSYSebelumnya!$M$330:$M$772,AR$11,IuranSYSebelumnya!$L$330:$L$772,"&lt;&gt;"&amp;$M$5)&gt;0,
              "Iuran dari Lingkungan lain",
              ""))</f>
        <v/>
      </c>
      <c r="AS47" s="47" t="str">
        <f>IF(COUNTIFS(IuranSYSebelumnya!$J$330:$J$772,$K47,IuranSYSebelumnya!$M$330:$M$772,AS$11,IuranSYSebelumnya!$L$330:$L$772,$M$5)&gt;0,
        VLOOKUP(CONCATENATE($K47,"|",AS$11,"|",$M$5),IuranSYSebelumnya!$I$330:$N$772,5,FALSE),
        IF(COUNTIFS(IuranSYSebelumnya!$J$330:$J$772,$K47,IuranSYSebelumnya!$M$330:$M$772,AS$11,IuranSYSebelumnya!$L$330:$L$772,"&lt;&gt;"&amp;$M$5)&gt;0,
              "Iuran dari Lingkungan lain",
              ""))</f>
        <v/>
      </c>
      <c r="AT47" s="47" t="str">
        <f>IF(COUNTIFS(IuranSYSebelumnya!$J$330:$J$772,$K47,IuranSYSebelumnya!$M$330:$M$772,AT$11,IuranSYSebelumnya!$L$330:$L$772,$M$5)&gt;0,
        VLOOKUP(CONCATENATE($K47,"|",AT$11,"|",$M$5),IuranSYSebelumnya!$I$330:$N$772,5,FALSE),
        IF(COUNTIFS(IuranSYSebelumnya!$J$330:$J$772,$K47,IuranSYSebelumnya!$M$330:$M$772,AT$11,IuranSYSebelumnya!$L$330:$L$772,"&lt;&gt;"&amp;$M$5)&gt;0,
              "Iuran dari Lingkungan lain",
              ""))</f>
        <v/>
      </c>
      <c r="AU47" s="47" t="str">
        <f>IF(COUNTIFS(IuranSYSebelumnya!$J$330:$J$772,$K47,IuranSYSebelumnya!$M$330:$M$772,AU$11,IuranSYSebelumnya!$L$330:$L$772,$M$5)&gt;0,
        VLOOKUP(CONCATENATE($K47,"|",AU$11,"|",$M$5),IuranSYSebelumnya!$I$330:$N$772,5,FALSE),
        IF(COUNTIFS(IuranSYSebelumnya!$J$330:$J$772,$K47,IuranSYSebelumnya!$M$330:$M$772,AU$11,IuranSYSebelumnya!$L$330:$L$772,"&lt;&gt;"&amp;$M$5)&gt;0,
              "Iuran dari Lingkungan lain",
              ""))</f>
        <v/>
      </c>
      <c r="AV47" s="47" t="str">
        <f>IF(COUNTIFS(IuranSYSebelumnya!$J$330:$J$772,$K47,IuranSYSebelumnya!$M$330:$M$772,AV$11,IuranSYSebelumnya!$L$330:$L$772,$M$5)&gt;0,
        VLOOKUP(CONCATENATE($K47,"|",AV$11,"|",$M$5),IuranSYSebelumnya!$I$330:$N$772,5,FALSE),
        IF(COUNTIFS(IuranSYSebelumnya!$J$330:$J$772,$K47,IuranSYSebelumnya!$M$330:$M$772,AV$11,IuranSYSebelumnya!$L$330:$L$772,"&lt;&gt;"&amp;$M$5)&gt;0,
              "Iuran dari Lingkungan lain",
              ""))</f>
        <v/>
      </c>
      <c r="AW47" s="47" t="str">
        <f>IF(COUNTIFS(IuranSYSebelumnya!$J$330:$J$772,$K47,IuranSYSebelumnya!$M$330:$M$772,AW$11,IuranSYSebelumnya!$L$330:$L$772,$M$5)&gt;0,
        VLOOKUP(CONCATENATE($K47,"|",AW$11,"|",$M$5),IuranSYSebelumnya!$I$330:$N$772,5,FALSE),
        IF(COUNTIFS(IuranSYSebelumnya!$J$330:$J$772,$K47,IuranSYSebelumnya!$M$330:$M$772,AW$11,IuranSYSebelumnya!$L$330:$L$772,"&lt;&gt;"&amp;$M$5)&gt;0,
              "Iuran dari Lingkungan lain",
              ""))</f>
        <v/>
      </c>
      <c r="AX47" s="47" t="str">
        <f>IF(COUNTIFS(IuranSYSebelumnya!$J$330:$J$772,$K47,IuranSYSebelumnya!$M$330:$M$772,AX$11,IuranSYSebelumnya!$L$330:$L$772,$M$5)&gt;0,
        VLOOKUP(CONCATENATE($K47,"|",AX$11,"|",$M$5),IuranSYSebelumnya!$I$330:$N$772,5,FALSE),
        IF(COUNTIFS(IuranSYSebelumnya!$J$330:$J$772,$K47,IuranSYSebelumnya!$M$330:$M$772,AX$11,IuranSYSebelumnya!$L$330:$L$772,"&lt;&gt;"&amp;$M$5)&gt;0,
              "Iuran dari Lingkungan lain",
              ""))</f>
        <v/>
      </c>
      <c r="AY47" s="47" t="str">
        <f>IF(COUNTIFS(IuranSYSebelumnya!$J$330:$J$772,$K47,IuranSYSebelumnya!$M$330:$M$772,AY$11,IuranSYSebelumnya!$L$330:$L$772,$M$5)&gt;0,
        VLOOKUP(CONCATENATE($K47,"|",AY$11,"|",$M$5),IuranSYSebelumnya!$I$330:$N$772,5,FALSE),
        IF(COUNTIFS(IuranSYSebelumnya!$J$330:$J$772,$K47,IuranSYSebelumnya!$M$330:$M$772,AY$11,IuranSYSebelumnya!$L$330:$L$772,"&lt;&gt;"&amp;$M$5)&gt;0,
              "Iuran dari Lingkungan lain",
              ""))</f>
        <v/>
      </c>
      <c r="AZ47" s="47" t="str">
        <f>IF(COUNTIFS(IuranSYSebelumnya!$J$330:$J$772,$K47,IuranSYSebelumnya!$M$330:$M$772,AZ$11,IuranSYSebelumnya!$L$330:$L$772,$M$5)&gt;0,
        VLOOKUP(CONCATENATE($K47,"|",AZ$11,"|",$M$5),IuranSYSebelumnya!$I$330:$N$772,5,FALSE),
        IF(COUNTIFS(IuranSYSebelumnya!$J$330:$J$772,$K47,IuranSYSebelumnya!$M$330:$M$772,AZ$11,IuranSYSebelumnya!$L$330:$L$772,"&lt;&gt;"&amp;$M$5)&gt;0,
              "Iuran dari Lingkungan lain",
              ""))</f>
        <v/>
      </c>
      <c r="BA47" s="47" t="str">
        <f>IF(COUNTIFS(IuranSYSebelumnya!$J$330:$J$772,$K47,IuranSYSebelumnya!$M$330:$M$772,BA$11,IuranSYSebelumnya!$L$330:$L$772,$M$5)&gt;0,
        VLOOKUP(CONCATENATE($K47,"|",BA$11,"|",$M$5),IuranSYSebelumnya!$I$330:$N$772,5,FALSE),
        IF(COUNTIFS(IuranSYSebelumnya!$J$330:$J$772,$K47,IuranSYSebelumnya!$M$330:$M$772,BA$11,IuranSYSebelumnya!$L$330:$L$772,"&lt;&gt;"&amp;$M$5)&gt;0,
              "Iuran dari Lingkungan lain",
              ""))</f>
        <v/>
      </c>
      <c r="BB47" s="47" t="str">
        <f>IF(COUNTIFS(IuranSYSebelumnya!$J$330:$J$772,$K47,IuranSYSebelumnya!$M$330:$M$772,BB$11,IuranSYSebelumnya!$L$330:$L$772,$M$5)&gt;0,
        VLOOKUP(CONCATENATE($K47,"|",BB$11,"|",$M$5),IuranSYSebelumnya!$I$330:$N$772,5,FALSE),
        IF(COUNTIFS(IuranSYSebelumnya!$J$330:$J$772,$K47,IuranSYSebelumnya!$M$330:$M$772,BB$11,IuranSYSebelumnya!$L$330:$L$772,"&lt;&gt;"&amp;$M$5)&gt;0,
              "Iuran dari Lingkungan lain",
              ""))</f>
        <v/>
      </c>
      <c r="BC47" s="47" t="str">
        <f>IF(COUNTIFS(IuranSYSebelumnya!$J$330:$J$772,$K47,IuranSYSebelumnya!$M$330:$M$772,BC$11,IuranSYSebelumnya!$L$330:$L$772,$M$5)&gt;0,
        VLOOKUP(CONCATENATE($K47,"|",BC$11,"|",$M$5),IuranSYSebelumnya!$I$330:$N$772,5,FALSE),
        IF(COUNTIFS(IuranSYSebelumnya!$J$330:$J$772,$K47,IuranSYSebelumnya!$M$330:$M$772,BC$11,IuranSYSebelumnya!$L$330:$L$772,"&lt;&gt;"&amp;$M$5)&gt;0,
              "Iuran dari Lingkungan lain",
              ""))</f>
        <v/>
      </c>
      <c r="BD47" s="47" t="str">
        <f>IF(COUNTIFS(IuranSYSebelumnya!$J$330:$J$772,$K47,IuranSYSebelumnya!$M$330:$M$772,BD$11,IuranSYSebelumnya!$L$330:$L$772,$M$5)&gt;0,
        VLOOKUP(CONCATENATE($K47,"|",BD$11,"|",$M$5),IuranSYSebelumnya!$I$330:$N$772,5,FALSE),
        IF(COUNTIFS(IuranSYSebelumnya!$J$330:$J$772,$K47,IuranSYSebelumnya!$M$330:$M$772,BD$11,IuranSYSebelumnya!$L$330:$L$772,"&lt;&gt;"&amp;$M$5)&gt;0,
              "Iuran dari Lingkungan lain",
              ""))</f>
        <v/>
      </c>
      <c r="BE47" s="47" t="str">
        <f>IF(COUNTIFS(IuranSYSebelumnya!$J$330:$J$772,$K47,IuranSYSebelumnya!$M$330:$M$772,BE$11,IuranSYSebelumnya!$L$330:$L$772,$M$5)&gt;0,
        VLOOKUP(CONCATENATE($K47,"|",BE$11,"|",$M$5),IuranSYSebelumnya!$I$330:$N$772,5,FALSE),
        IF(COUNTIFS(IuranSYSebelumnya!$J$330:$J$772,$K47,IuranSYSebelumnya!$M$330:$M$772,BE$11,IuranSYSebelumnya!$L$330:$L$772,"&lt;&gt;"&amp;$M$5)&gt;0,
              "Iuran dari Lingkungan lain",
              ""))</f>
        <v/>
      </c>
      <c r="BF47" s="47" t="str">
        <f>IF(COUNTIFS(IuranSYSebelumnya!$J$330:$J$772,$K47,IuranSYSebelumnya!$M$330:$M$772,BF$11,IuranSYSebelumnya!$L$330:$L$772,$M$5)&gt;0,
        VLOOKUP(CONCATENATE($K47,"|",BF$11,"|",$M$5),IuranSYSebelumnya!$I$330:$N$772,5,FALSE),
        IF(COUNTIFS(IuranSYSebelumnya!$J$330:$J$772,$K47,IuranSYSebelumnya!$M$330:$M$772,BF$11,IuranSYSebelumnya!$L$330:$L$772,"&lt;&gt;"&amp;$M$5)&gt;0,
              "Iuran dari Lingkungan lain",
              ""))</f>
        <v/>
      </c>
      <c r="BG47" s="47" t="str">
        <f>IF(COUNTIFS(IuranSYSebelumnya!$J$330:$J$772,$K47,IuranSYSebelumnya!$M$330:$M$772,BG$11,IuranSYSebelumnya!$L$330:$L$772,$M$5)&gt;0,
        VLOOKUP(CONCATENATE($K47,"|",BG$11,"|",$M$5),IuranSYSebelumnya!$I$330:$N$772,5,FALSE),
        IF(COUNTIFS(IuranSYSebelumnya!$J$330:$J$772,$K47,IuranSYSebelumnya!$M$330:$M$772,BG$11,IuranSYSebelumnya!$L$330:$L$772,"&lt;&gt;"&amp;$M$5)&gt;0,
              "Iuran dari Lingkungan lain",
              ""))</f>
        <v/>
      </c>
      <c r="BH47" s="47" t="str">
        <f>IF(COUNTIFS(IuranSYSebelumnya!$J$330:$J$772,$K47,IuranSYSebelumnya!$M$330:$M$772,BH$11,IuranSYSebelumnya!$L$330:$L$772,$M$5)&gt;0,
        VLOOKUP(CONCATENATE($K47,"|",BH$11,"|",$M$5),IuranSYSebelumnya!$I$330:$N$772,5,FALSE),
        IF(COUNTIFS(IuranSYSebelumnya!$J$330:$J$772,$K47,IuranSYSebelumnya!$M$330:$M$772,BH$11,IuranSYSebelumnya!$L$330:$L$772,"&lt;&gt;"&amp;$M$5)&gt;0,
              "Iuran dari Lingkungan lain",
              ""))</f>
        <v/>
      </c>
      <c r="BI47" s="47" t="str">
        <f>IF(COUNTIFS(IuranSYSebelumnya!$J$330:$J$772,$K47,IuranSYSebelumnya!$M$330:$M$772,BI$11,IuranSYSebelumnya!$L$330:$L$772,$M$5)&gt;0,
        VLOOKUP(CONCATENATE($K47,"|",BI$11,"|",$M$5),IuranSYSebelumnya!$I$330:$N$772,5,FALSE),
        IF(COUNTIFS(IuranSYSebelumnya!$J$330:$J$772,$K47,IuranSYSebelumnya!$M$330:$M$772,BI$11,IuranSYSebelumnya!$L$330:$L$772,"&lt;&gt;"&amp;$M$5)&gt;0,
              "Iuran dari Lingkungan lain",
              ""))</f>
        <v/>
      </c>
      <c r="BJ47" s="47" t="str">
        <f>IF(COUNTIFS(IuranSYSebelumnya!$J$330:$J$772,$K47,IuranSYSebelumnya!$M$330:$M$772,BJ$11,IuranSYSebelumnya!$L$330:$L$772,$M$5)&gt;0,
        VLOOKUP(CONCATENATE($K47,"|",BJ$11,"|",$M$5),IuranSYSebelumnya!$I$330:$N$772,5,FALSE),
        IF(COUNTIFS(IuranSYSebelumnya!$J$330:$J$772,$K47,IuranSYSebelumnya!$M$330:$M$772,BJ$11,IuranSYSebelumnya!$L$330:$L$772,"&lt;&gt;"&amp;$M$5)&gt;0,
              "Iuran dari Lingkungan lain",
              ""))</f>
        <v/>
      </c>
      <c r="BK47" s="47" t="str">
        <f>IF(COUNTIFS(IuranSYSebelumnya!$J$330:$J$772,$K47,IuranSYSebelumnya!$M$330:$M$772,BK$11,IuranSYSebelumnya!$L$330:$L$772,$M$5)&gt;0,
        VLOOKUP(CONCATENATE($K47,"|",BK$11,"|",$M$5),IuranSYSebelumnya!$I$330:$N$772,5,FALSE),
        IF(COUNTIFS(IuranSYSebelumnya!$J$330:$J$772,$K47,IuranSYSebelumnya!$M$330:$M$772,BK$11,IuranSYSebelumnya!$L$330:$L$772,"&lt;&gt;"&amp;$M$5)&gt;0,
              "Iuran dari Lingkungan lain",
              ""))</f>
        <v/>
      </c>
      <c r="BL47" s="47" t="str">
        <f>IF(COUNTIFS(IuranSYSebelumnya!$J$330:$J$772,$K47,IuranSYSebelumnya!$M$330:$M$772,BL$11,IuranSYSebelumnya!$L$330:$L$772,$M$5)&gt;0,
        VLOOKUP(CONCATENATE($K47,"|",BL$11,"|",$M$5),IuranSYSebelumnya!$I$330:$N$772,5,FALSE),
        IF(COUNTIFS(IuranSYSebelumnya!$J$330:$J$772,$K47,IuranSYSebelumnya!$M$330:$M$772,BL$11,IuranSYSebelumnya!$L$330:$L$772,"&lt;&gt;"&amp;$M$5)&gt;0,
              "Iuran dari Lingkungan lain",
              ""))</f>
        <v/>
      </c>
    </row>
    <row r="48" spans="1:64" x14ac:dyDescent="0.35">
      <c r="A48" s="30" t="s">
        <v>6063</v>
      </c>
      <c r="C48" s="30" t="b">
        <f t="shared" ca="1" si="3"/>
        <v>0</v>
      </c>
      <c r="D48" s="30" t="str">
        <f>"""TRUST Nav"",""HSPMTB2016"",""18"",""1"",""KK-04620"""</f>
        <v>"TRUST Nav","HSPMTB2016","18","1","KK-04620"</v>
      </c>
      <c r="H48" s="30">
        <f t="shared" si="4"/>
        <v>0</v>
      </c>
      <c r="J48" s="30">
        <f t="shared" si="5"/>
        <v>36</v>
      </c>
      <c r="K48" s="30" t="str">
        <f>"KK-04620"</f>
        <v>KK-04620</v>
      </c>
      <c r="L48" s="30" t="str">
        <f>"Stefanus Tudy Luchman"</f>
        <v>Stefanus Tudy Luchman</v>
      </c>
      <c r="M48" s="30"/>
      <c r="N48" s="129"/>
      <c r="O48" s="129"/>
      <c r="P48" s="129"/>
      <c r="Q48" s="129"/>
      <c r="R48" s="129"/>
      <c r="S48" s="129"/>
      <c r="T48" s="130"/>
      <c r="U48" s="131"/>
      <c r="V48" s="131"/>
      <c r="W48" s="131"/>
      <c r="X48" s="131"/>
      <c r="Y48" s="132"/>
      <c r="Z48" s="4"/>
      <c r="AA48" s="4"/>
      <c r="AB48" s="4"/>
      <c r="AC48" s="4"/>
      <c r="AD48" s="4"/>
      <c r="AE48" s="4"/>
      <c r="AF48" s="11"/>
      <c r="AG48" s="4"/>
      <c r="AH48" s="4"/>
      <c r="AI48" s="4"/>
      <c r="AJ48" s="4"/>
      <c r="AK48" s="4"/>
      <c r="AL48" s="9">
        <f t="shared" si="6"/>
        <v>0</v>
      </c>
      <c r="AO48" s="47">
        <f>IF(COUNTIFS(IuranSYSebelumnya!$J$330:$J$772,$K48,IuranSYSebelumnya!$M$330:$M$772,AO$11,IuranSYSebelumnya!$L$330:$L$772,$M$5)&gt;0,
        VLOOKUP(CONCATENATE($K48,"|",AO$11,"|",$M$5),IuranSYSebelumnya!$I$330:$N$772,5,FALSE),
        IF(COUNTIFS(IuranSYSebelumnya!$J$330:$J$772,$K48,IuranSYSebelumnya!$M$330:$M$772,AO$11,IuranSYSebelumnya!$L$330:$L$772,"&lt;&gt;"&amp;$M$5)&gt;0,
              "Iuran dari Lingkungan lain",
              ""))</f>
        <v>42186</v>
      </c>
      <c r="AP48" s="47">
        <f>IF(COUNTIFS(IuranSYSebelumnya!$J$330:$J$772,$K48,IuranSYSebelumnya!$M$330:$M$772,AP$11,IuranSYSebelumnya!$L$330:$L$772,$M$5)&gt;0,
        VLOOKUP(CONCATENATE($K48,"|",AP$11,"|",$M$5),IuranSYSebelumnya!$I$330:$N$772,5,FALSE),
        IF(COUNTIFS(IuranSYSebelumnya!$J$330:$J$772,$K48,IuranSYSebelumnya!$M$330:$M$772,AP$11,IuranSYSebelumnya!$L$330:$L$772,"&lt;&gt;"&amp;$M$5)&gt;0,
              "Iuran dari Lingkungan lain",
              ""))</f>
        <v>42217</v>
      </c>
      <c r="AQ48" s="47">
        <f>IF(COUNTIFS(IuranSYSebelumnya!$J$330:$J$772,$K48,IuranSYSebelumnya!$M$330:$M$772,AQ$11,IuranSYSebelumnya!$L$330:$L$772,$M$5)&gt;0,
        VLOOKUP(CONCATENATE($K48,"|",AQ$11,"|",$M$5),IuranSYSebelumnya!$I$330:$N$772,5,FALSE),
        IF(COUNTIFS(IuranSYSebelumnya!$J$330:$J$772,$K48,IuranSYSebelumnya!$M$330:$M$772,AQ$11,IuranSYSebelumnya!$L$330:$L$772,"&lt;&gt;"&amp;$M$5)&gt;0,
              "Iuran dari Lingkungan lain",
              ""))</f>
        <v>42248</v>
      </c>
      <c r="AR48" s="47">
        <f>IF(COUNTIFS(IuranSYSebelumnya!$J$330:$J$772,$K48,IuranSYSebelumnya!$M$330:$M$772,AR$11,IuranSYSebelumnya!$L$330:$L$772,$M$5)&gt;0,
        VLOOKUP(CONCATENATE($K48,"|",AR$11,"|",$M$5),IuranSYSebelumnya!$I$330:$N$772,5,FALSE),
        IF(COUNTIFS(IuranSYSebelumnya!$J$330:$J$772,$K48,IuranSYSebelumnya!$M$330:$M$772,AR$11,IuranSYSebelumnya!$L$330:$L$772,"&lt;&gt;"&amp;$M$5)&gt;0,
              "Iuran dari Lingkungan lain",
              ""))</f>
        <v>42278</v>
      </c>
      <c r="AS48" s="47">
        <f>IF(COUNTIFS(IuranSYSebelumnya!$J$330:$J$772,$K48,IuranSYSebelumnya!$M$330:$M$772,AS$11,IuranSYSebelumnya!$L$330:$L$772,$M$5)&gt;0,
        VLOOKUP(CONCATENATE($K48,"|",AS$11,"|",$M$5),IuranSYSebelumnya!$I$330:$N$772,5,FALSE),
        IF(COUNTIFS(IuranSYSebelumnya!$J$330:$J$772,$K48,IuranSYSebelumnya!$M$330:$M$772,AS$11,IuranSYSebelumnya!$L$330:$L$772,"&lt;&gt;"&amp;$M$5)&gt;0,
              "Iuran dari Lingkungan lain",
              ""))</f>
        <v>42309</v>
      </c>
      <c r="AT48" s="47">
        <f>IF(COUNTIFS(IuranSYSebelumnya!$J$330:$J$772,$K48,IuranSYSebelumnya!$M$330:$M$772,AT$11,IuranSYSebelumnya!$L$330:$L$772,$M$5)&gt;0,
        VLOOKUP(CONCATENATE($K48,"|",AT$11,"|",$M$5),IuranSYSebelumnya!$I$330:$N$772,5,FALSE),
        IF(COUNTIFS(IuranSYSebelumnya!$J$330:$J$772,$K48,IuranSYSebelumnya!$M$330:$M$772,AT$11,IuranSYSebelumnya!$L$330:$L$772,"&lt;&gt;"&amp;$M$5)&gt;0,
              "Iuran dari Lingkungan lain",
              ""))</f>
        <v>42339</v>
      </c>
      <c r="AU48" s="47">
        <f>IF(COUNTIFS(IuranSYSebelumnya!$J$330:$J$772,$K48,IuranSYSebelumnya!$M$330:$M$772,AU$11,IuranSYSebelumnya!$L$330:$L$772,$M$5)&gt;0,
        VLOOKUP(CONCATENATE($K48,"|",AU$11,"|",$M$5),IuranSYSebelumnya!$I$330:$N$772,5,FALSE),
        IF(COUNTIFS(IuranSYSebelumnya!$J$330:$J$772,$K48,IuranSYSebelumnya!$M$330:$M$772,AU$11,IuranSYSebelumnya!$L$330:$L$772,"&lt;&gt;"&amp;$M$5)&gt;0,
              "Iuran dari Lingkungan lain",
              ""))</f>
        <v>42370</v>
      </c>
      <c r="AV48" s="47">
        <f>IF(COUNTIFS(IuranSYSebelumnya!$J$330:$J$772,$K48,IuranSYSebelumnya!$M$330:$M$772,AV$11,IuranSYSebelumnya!$L$330:$L$772,$M$5)&gt;0,
        VLOOKUP(CONCATENATE($K48,"|",AV$11,"|",$M$5),IuranSYSebelumnya!$I$330:$N$772,5,FALSE),
        IF(COUNTIFS(IuranSYSebelumnya!$J$330:$J$772,$K48,IuranSYSebelumnya!$M$330:$M$772,AV$11,IuranSYSebelumnya!$L$330:$L$772,"&lt;&gt;"&amp;$M$5)&gt;0,
              "Iuran dari Lingkungan lain",
              ""))</f>
        <v>42401</v>
      </c>
      <c r="AW48" s="47">
        <f>IF(COUNTIFS(IuranSYSebelumnya!$J$330:$J$772,$K48,IuranSYSebelumnya!$M$330:$M$772,AW$11,IuranSYSebelumnya!$L$330:$L$772,$M$5)&gt;0,
        VLOOKUP(CONCATENATE($K48,"|",AW$11,"|",$M$5),IuranSYSebelumnya!$I$330:$N$772,5,FALSE),
        IF(COUNTIFS(IuranSYSebelumnya!$J$330:$J$772,$K48,IuranSYSebelumnya!$M$330:$M$772,AW$11,IuranSYSebelumnya!$L$330:$L$772,"&lt;&gt;"&amp;$M$5)&gt;0,
              "Iuran dari Lingkungan lain",
              ""))</f>
        <v>42430</v>
      </c>
      <c r="AX48" s="47">
        <f>IF(COUNTIFS(IuranSYSebelumnya!$J$330:$J$772,$K48,IuranSYSebelumnya!$M$330:$M$772,AX$11,IuranSYSebelumnya!$L$330:$L$772,$M$5)&gt;0,
        VLOOKUP(CONCATENATE($K48,"|",AX$11,"|",$M$5),IuranSYSebelumnya!$I$330:$N$772,5,FALSE),
        IF(COUNTIFS(IuranSYSebelumnya!$J$330:$J$772,$K48,IuranSYSebelumnya!$M$330:$M$772,AX$11,IuranSYSebelumnya!$L$330:$L$772,"&lt;&gt;"&amp;$M$5)&gt;0,
              "Iuran dari Lingkungan lain",
              ""))</f>
        <v>42461</v>
      </c>
      <c r="AY48" s="47">
        <f>IF(COUNTIFS(IuranSYSebelumnya!$J$330:$J$772,$K48,IuranSYSebelumnya!$M$330:$M$772,AY$11,IuranSYSebelumnya!$L$330:$L$772,$M$5)&gt;0,
        VLOOKUP(CONCATENATE($K48,"|",AY$11,"|",$M$5),IuranSYSebelumnya!$I$330:$N$772,5,FALSE),
        IF(COUNTIFS(IuranSYSebelumnya!$J$330:$J$772,$K48,IuranSYSebelumnya!$M$330:$M$772,AY$11,IuranSYSebelumnya!$L$330:$L$772,"&lt;&gt;"&amp;$M$5)&gt;0,
              "Iuran dari Lingkungan lain",
              ""))</f>
        <v>42491</v>
      </c>
      <c r="AZ48" s="47">
        <f>IF(COUNTIFS(IuranSYSebelumnya!$J$330:$J$772,$K48,IuranSYSebelumnya!$M$330:$M$772,AZ$11,IuranSYSebelumnya!$L$330:$L$772,$M$5)&gt;0,
        VLOOKUP(CONCATENATE($K48,"|",AZ$11,"|",$M$5),IuranSYSebelumnya!$I$330:$N$772,5,FALSE),
        IF(COUNTIFS(IuranSYSebelumnya!$J$330:$J$772,$K48,IuranSYSebelumnya!$M$330:$M$772,AZ$11,IuranSYSebelumnya!$L$330:$L$772,"&lt;&gt;"&amp;$M$5)&gt;0,
              "Iuran dari Lingkungan lain",
              ""))</f>
        <v>42522</v>
      </c>
      <c r="BA48" s="47" t="str">
        <f>IF(COUNTIFS(IuranSYSebelumnya!$J$330:$J$772,$K48,IuranSYSebelumnya!$M$330:$M$772,BA$11,IuranSYSebelumnya!$L$330:$L$772,$M$5)&gt;0,
        VLOOKUP(CONCATENATE($K48,"|",BA$11,"|",$M$5),IuranSYSebelumnya!$I$330:$N$772,5,FALSE),
        IF(COUNTIFS(IuranSYSebelumnya!$J$330:$J$772,$K48,IuranSYSebelumnya!$M$330:$M$772,BA$11,IuranSYSebelumnya!$L$330:$L$772,"&lt;&gt;"&amp;$M$5)&gt;0,
              "Iuran dari Lingkungan lain",
              ""))</f>
        <v/>
      </c>
      <c r="BB48" s="47" t="str">
        <f>IF(COUNTIFS(IuranSYSebelumnya!$J$330:$J$772,$K48,IuranSYSebelumnya!$M$330:$M$772,BB$11,IuranSYSebelumnya!$L$330:$L$772,$M$5)&gt;0,
        VLOOKUP(CONCATENATE($K48,"|",BB$11,"|",$M$5),IuranSYSebelumnya!$I$330:$N$772,5,FALSE),
        IF(COUNTIFS(IuranSYSebelumnya!$J$330:$J$772,$K48,IuranSYSebelumnya!$M$330:$M$772,BB$11,IuranSYSebelumnya!$L$330:$L$772,"&lt;&gt;"&amp;$M$5)&gt;0,
              "Iuran dari Lingkungan lain",
              ""))</f>
        <v/>
      </c>
      <c r="BC48" s="47" t="str">
        <f>IF(COUNTIFS(IuranSYSebelumnya!$J$330:$J$772,$K48,IuranSYSebelumnya!$M$330:$M$772,BC$11,IuranSYSebelumnya!$L$330:$L$772,$M$5)&gt;0,
        VLOOKUP(CONCATENATE($K48,"|",BC$11,"|",$M$5),IuranSYSebelumnya!$I$330:$N$772,5,FALSE),
        IF(COUNTIFS(IuranSYSebelumnya!$J$330:$J$772,$K48,IuranSYSebelumnya!$M$330:$M$772,BC$11,IuranSYSebelumnya!$L$330:$L$772,"&lt;&gt;"&amp;$M$5)&gt;0,
              "Iuran dari Lingkungan lain",
              ""))</f>
        <v/>
      </c>
      <c r="BD48" s="47" t="str">
        <f>IF(COUNTIFS(IuranSYSebelumnya!$J$330:$J$772,$K48,IuranSYSebelumnya!$M$330:$M$772,BD$11,IuranSYSebelumnya!$L$330:$L$772,$M$5)&gt;0,
        VLOOKUP(CONCATENATE($K48,"|",BD$11,"|",$M$5),IuranSYSebelumnya!$I$330:$N$772,5,FALSE),
        IF(COUNTIFS(IuranSYSebelumnya!$J$330:$J$772,$K48,IuranSYSebelumnya!$M$330:$M$772,BD$11,IuranSYSebelumnya!$L$330:$L$772,"&lt;&gt;"&amp;$M$5)&gt;0,
              "Iuran dari Lingkungan lain",
              ""))</f>
        <v/>
      </c>
      <c r="BE48" s="47" t="str">
        <f>IF(COUNTIFS(IuranSYSebelumnya!$J$330:$J$772,$K48,IuranSYSebelumnya!$M$330:$M$772,BE$11,IuranSYSebelumnya!$L$330:$L$772,$M$5)&gt;0,
        VLOOKUP(CONCATENATE($K48,"|",BE$11,"|",$M$5),IuranSYSebelumnya!$I$330:$N$772,5,FALSE),
        IF(COUNTIFS(IuranSYSebelumnya!$J$330:$J$772,$K48,IuranSYSebelumnya!$M$330:$M$772,BE$11,IuranSYSebelumnya!$L$330:$L$772,"&lt;&gt;"&amp;$M$5)&gt;0,
              "Iuran dari Lingkungan lain",
              ""))</f>
        <v/>
      </c>
      <c r="BF48" s="47" t="str">
        <f>IF(COUNTIFS(IuranSYSebelumnya!$J$330:$J$772,$K48,IuranSYSebelumnya!$M$330:$M$772,BF$11,IuranSYSebelumnya!$L$330:$L$772,$M$5)&gt;0,
        VLOOKUP(CONCATENATE($K48,"|",BF$11,"|",$M$5),IuranSYSebelumnya!$I$330:$N$772,5,FALSE),
        IF(COUNTIFS(IuranSYSebelumnya!$J$330:$J$772,$K48,IuranSYSebelumnya!$M$330:$M$772,BF$11,IuranSYSebelumnya!$L$330:$L$772,"&lt;&gt;"&amp;$M$5)&gt;0,
              "Iuran dari Lingkungan lain",
              ""))</f>
        <v/>
      </c>
      <c r="BG48" s="47" t="str">
        <f>IF(COUNTIFS(IuranSYSebelumnya!$J$330:$J$772,$K48,IuranSYSebelumnya!$M$330:$M$772,BG$11,IuranSYSebelumnya!$L$330:$L$772,$M$5)&gt;0,
        VLOOKUP(CONCATENATE($K48,"|",BG$11,"|",$M$5),IuranSYSebelumnya!$I$330:$N$772,5,FALSE),
        IF(COUNTIFS(IuranSYSebelumnya!$J$330:$J$772,$K48,IuranSYSebelumnya!$M$330:$M$772,BG$11,IuranSYSebelumnya!$L$330:$L$772,"&lt;&gt;"&amp;$M$5)&gt;0,
              "Iuran dari Lingkungan lain",
              ""))</f>
        <v/>
      </c>
      <c r="BH48" s="47" t="str">
        <f>IF(COUNTIFS(IuranSYSebelumnya!$J$330:$J$772,$K48,IuranSYSebelumnya!$M$330:$M$772,BH$11,IuranSYSebelumnya!$L$330:$L$772,$M$5)&gt;0,
        VLOOKUP(CONCATENATE($K48,"|",BH$11,"|",$M$5),IuranSYSebelumnya!$I$330:$N$772,5,FALSE),
        IF(COUNTIFS(IuranSYSebelumnya!$J$330:$J$772,$K48,IuranSYSebelumnya!$M$330:$M$772,BH$11,IuranSYSebelumnya!$L$330:$L$772,"&lt;&gt;"&amp;$M$5)&gt;0,
              "Iuran dari Lingkungan lain",
              ""))</f>
        <v/>
      </c>
      <c r="BI48" s="47" t="str">
        <f>IF(COUNTIFS(IuranSYSebelumnya!$J$330:$J$772,$K48,IuranSYSebelumnya!$M$330:$M$772,BI$11,IuranSYSebelumnya!$L$330:$L$772,$M$5)&gt;0,
        VLOOKUP(CONCATENATE($K48,"|",BI$11,"|",$M$5),IuranSYSebelumnya!$I$330:$N$772,5,FALSE),
        IF(COUNTIFS(IuranSYSebelumnya!$J$330:$J$772,$K48,IuranSYSebelumnya!$M$330:$M$772,BI$11,IuranSYSebelumnya!$L$330:$L$772,"&lt;&gt;"&amp;$M$5)&gt;0,
              "Iuran dari Lingkungan lain",
              ""))</f>
        <v/>
      </c>
      <c r="BJ48" s="47" t="str">
        <f>IF(COUNTIFS(IuranSYSebelumnya!$J$330:$J$772,$K48,IuranSYSebelumnya!$M$330:$M$772,BJ$11,IuranSYSebelumnya!$L$330:$L$772,$M$5)&gt;0,
        VLOOKUP(CONCATENATE($K48,"|",BJ$11,"|",$M$5),IuranSYSebelumnya!$I$330:$N$772,5,FALSE),
        IF(COUNTIFS(IuranSYSebelumnya!$J$330:$J$772,$K48,IuranSYSebelumnya!$M$330:$M$772,BJ$11,IuranSYSebelumnya!$L$330:$L$772,"&lt;&gt;"&amp;$M$5)&gt;0,
              "Iuran dari Lingkungan lain",
              ""))</f>
        <v/>
      </c>
      <c r="BK48" s="47" t="str">
        <f>IF(COUNTIFS(IuranSYSebelumnya!$J$330:$J$772,$K48,IuranSYSebelumnya!$M$330:$M$772,BK$11,IuranSYSebelumnya!$L$330:$L$772,$M$5)&gt;0,
        VLOOKUP(CONCATENATE($K48,"|",BK$11,"|",$M$5),IuranSYSebelumnya!$I$330:$N$772,5,FALSE),
        IF(COUNTIFS(IuranSYSebelumnya!$J$330:$J$772,$K48,IuranSYSebelumnya!$M$330:$M$772,BK$11,IuranSYSebelumnya!$L$330:$L$772,"&lt;&gt;"&amp;$M$5)&gt;0,
              "Iuran dari Lingkungan lain",
              ""))</f>
        <v/>
      </c>
      <c r="BL48" s="47" t="str">
        <f>IF(COUNTIFS(IuranSYSebelumnya!$J$330:$J$772,$K48,IuranSYSebelumnya!$M$330:$M$772,BL$11,IuranSYSebelumnya!$L$330:$L$772,$M$5)&gt;0,
        VLOOKUP(CONCATENATE($K48,"|",BL$11,"|",$M$5),IuranSYSebelumnya!$I$330:$N$772,5,FALSE),
        IF(COUNTIFS(IuranSYSebelumnya!$J$330:$J$772,$K48,IuranSYSebelumnya!$M$330:$M$772,BL$11,IuranSYSebelumnya!$L$330:$L$772,"&lt;&gt;"&amp;$M$5)&gt;0,
              "Iuran dari Lingkungan lain",
              ""))</f>
        <v/>
      </c>
    </row>
    <row r="49" spans="1:64" x14ac:dyDescent="0.35">
      <c r="A49" s="30" t="s">
        <v>6063</v>
      </c>
      <c r="C49" s="30" t="b">
        <f t="shared" ca="1" si="3"/>
        <v>0</v>
      </c>
      <c r="D49" s="30" t="str">
        <f>"""TRUST Nav"",""HSPMTB2016"",""18"",""1"",""KK-04621"""</f>
        <v>"TRUST Nav","HSPMTB2016","18","1","KK-04621"</v>
      </c>
      <c r="H49" s="30">
        <f t="shared" si="4"/>
        <v>0</v>
      </c>
      <c r="J49" s="30">
        <f t="shared" si="5"/>
        <v>37</v>
      </c>
      <c r="K49" s="30" t="str">
        <f>"KK-04621"</f>
        <v>KK-04621</v>
      </c>
      <c r="L49" s="30" t="str">
        <f>"Tommy Prasetyo Utomo"</f>
        <v>Tommy Prasetyo Utomo</v>
      </c>
      <c r="M49" s="30"/>
      <c r="N49" s="129"/>
      <c r="O49" s="129"/>
      <c r="P49" s="129"/>
      <c r="Q49" s="129"/>
      <c r="R49" s="129"/>
      <c r="S49" s="129"/>
      <c r="T49" s="130"/>
      <c r="U49" s="131"/>
      <c r="V49" s="131"/>
      <c r="W49" s="131"/>
      <c r="X49" s="131"/>
      <c r="Y49" s="132"/>
      <c r="Z49" s="4"/>
      <c r="AA49" s="4"/>
      <c r="AB49" s="4"/>
      <c r="AC49" s="4"/>
      <c r="AD49" s="4"/>
      <c r="AE49" s="4"/>
      <c r="AF49" s="11"/>
      <c r="AG49" s="4"/>
      <c r="AH49" s="4"/>
      <c r="AI49" s="4"/>
      <c r="AJ49" s="4"/>
      <c r="AK49" s="4"/>
      <c r="AL49" s="9">
        <f t="shared" si="6"/>
        <v>0</v>
      </c>
      <c r="AO49" s="47">
        <f>IF(COUNTIFS(IuranSYSebelumnya!$J$330:$J$772,$K49,IuranSYSebelumnya!$M$330:$M$772,AO$11,IuranSYSebelumnya!$L$330:$L$772,$M$5)&gt;0,
        VLOOKUP(CONCATENATE($K49,"|",AO$11,"|",$M$5),IuranSYSebelumnya!$I$330:$N$772,5,FALSE),
        IF(COUNTIFS(IuranSYSebelumnya!$J$330:$J$772,$K49,IuranSYSebelumnya!$M$330:$M$772,AO$11,IuranSYSebelumnya!$L$330:$L$772,"&lt;&gt;"&amp;$M$5)&gt;0,
              "Iuran dari Lingkungan lain",
              ""))</f>
        <v>42186</v>
      </c>
      <c r="AP49" s="47">
        <f>IF(COUNTIFS(IuranSYSebelumnya!$J$330:$J$772,$K49,IuranSYSebelumnya!$M$330:$M$772,AP$11,IuranSYSebelumnya!$L$330:$L$772,$M$5)&gt;0,
        VLOOKUP(CONCATENATE($K49,"|",AP$11,"|",$M$5),IuranSYSebelumnya!$I$330:$N$772,5,FALSE),
        IF(COUNTIFS(IuranSYSebelumnya!$J$330:$J$772,$K49,IuranSYSebelumnya!$M$330:$M$772,AP$11,IuranSYSebelumnya!$L$330:$L$772,"&lt;&gt;"&amp;$M$5)&gt;0,
              "Iuran dari Lingkungan lain",
              ""))</f>
        <v>42217</v>
      </c>
      <c r="AQ49" s="47">
        <f>IF(COUNTIFS(IuranSYSebelumnya!$J$330:$J$772,$K49,IuranSYSebelumnya!$M$330:$M$772,AQ$11,IuranSYSebelumnya!$L$330:$L$772,$M$5)&gt;0,
        VLOOKUP(CONCATENATE($K49,"|",AQ$11,"|",$M$5),IuranSYSebelumnya!$I$330:$N$772,5,FALSE),
        IF(COUNTIFS(IuranSYSebelumnya!$J$330:$J$772,$K49,IuranSYSebelumnya!$M$330:$M$772,AQ$11,IuranSYSebelumnya!$L$330:$L$772,"&lt;&gt;"&amp;$M$5)&gt;0,
              "Iuran dari Lingkungan lain",
              ""))</f>
        <v>42248</v>
      </c>
      <c r="AR49" s="47">
        <f>IF(COUNTIFS(IuranSYSebelumnya!$J$330:$J$772,$K49,IuranSYSebelumnya!$M$330:$M$772,AR$11,IuranSYSebelumnya!$L$330:$L$772,$M$5)&gt;0,
        VLOOKUP(CONCATENATE($K49,"|",AR$11,"|",$M$5),IuranSYSebelumnya!$I$330:$N$772,5,FALSE),
        IF(COUNTIFS(IuranSYSebelumnya!$J$330:$J$772,$K49,IuranSYSebelumnya!$M$330:$M$772,AR$11,IuranSYSebelumnya!$L$330:$L$772,"&lt;&gt;"&amp;$M$5)&gt;0,
              "Iuran dari Lingkungan lain",
              ""))</f>
        <v>42278</v>
      </c>
      <c r="AS49" s="47">
        <f>IF(COUNTIFS(IuranSYSebelumnya!$J$330:$J$772,$K49,IuranSYSebelumnya!$M$330:$M$772,AS$11,IuranSYSebelumnya!$L$330:$L$772,$M$5)&gt;0,
        VLOOKUP(CONCATENATE($K49,"|",AS$11,"|",$M$5),IuranSYSebelumnya!$I$330:$N$772,5,FALSE),
        IF(COUNTIFS(IuranSYSebelumnya!$J$330:$J$772,$K49,IuranSYSebelumnya!$M$330:$M$772,AS$11,IuranSYSebelumnya!$L$330:$L$772,"&lt;&gt;"&amp;$M$5)&gt;0,
              "Iuran dari Lingkungan lain",
              ""))</f>
        <v>42309</v>
      </c>
      <c r="AT49" s="47">
        <f>IF(COUNTIFS(IuranSYSebelumnya!$J$330:$J$772,$K49,IuranSYSebelumnya!$M$330:$M$772,AT$11,IuranSYSebelumnya!$L$330:$L$772,$M$5)&gt;0,
        VLOOKUP(CONCATENATE($K49,"|",AT$11,"|",$M$5),IuranSYSebelumnya!$I$330:$N$772,5,FALSE),
        IF(COUNTIFS(IuranSYSebelumnya!$J$330:$J$772,$K49,IuranSYSebelumnya!$M$330:$M$772,AT$11,IuranSYSebelumnya!$L$330:$L$772,"&lt;&gt;"&amp;$M$5)&gt;0,
              "Iuran dari Lingkungan lain",
              ""))</f>
        <v>42339</v>
      </c>
      <c r="AU49" s="47">
        <f>IF(COUNTIFS(IuranSYSebelumnya!$J$330:$J$772,$K49,IuranSYSebelumnya!$M$330:$M$772,AU$11,IuranSYSebelumnya!$L$330:$L$772,$M$5)&gt;0,
        VLOOKUP(CONCATENATE($K49,"|",AU$11,"|",$M$5),IuranSYSebelumnya!$I$330:$N$772,5,FALSE),
        IF(COUNTIFS(IuranSYSebelumnya!$J$330:$J$772,$K49,IuranSYSebelumnya!$M$330:$M$772,AU$11,IuranSYSebelumnya!$L$330:$L$772,"&lt;&gt;"&amp;$M$5)&gt;0,
              "Iuran dari Lingkungan lain",
              ""))</f>
        <v>42370</v>
      </c>
      <c r="AV49" s="47">
        <f>IF(COUNTIFS(IuranSYSebelumnya!$J$330:$J$772,$K49,IuranSYSebelumnya!$M$330:$M$772,AV$11,IuranSYSebelumnya!$L$330:$L$772,$M$5)&gt;0,
        VLOOKUP(CONCATENATE($K49,"|",AV$11,"|",$M$5),IuranSYSebelumnya!$I$330:$N$772,5,FALSE),
        IF(COUNTIFS(IuranSYSebelumnya!$J$330:$J$772,$K49,IuranSYSebelumnya!$M$330:$M$772,AV$11,IuranSYSebelumnya!$L$330:$L$772,"&lt;&gt;"&amp;$M$5)&gt;0,
              "Iuran dari Lingkungan lain",
              ""))</f>
        <v>42401</v>
      </c>
      <c r="AW49" s="47">
        <f>IF(COUNTIFS(IuranSYSebelumnya!$J$330:$J$772,$K49,IuranSYSebelumnya!$M$330:$M$772,AW$11,IuranSYSebelumnya!$L$330:$L$772,$M$5)&gt;0,
        VLOOKUP(CONCATENATE($K49,"|",AW$11,"|",$M$5),IuranSYSebelumnya!$I$330:$N$772,5,FALSE),
        IF(COUNTIFS(IuranSYSebelumnya!$J$330:$J$772,$K49,IuranSYSebelumnya!$M$330:$M$772,AW$11,IuranSYSebelumnya!$L$330:$L$772,"&lt;&gt;"&amp;$M$5)&gt;0,
              "Iuran dari Lingkungan lain",
              ""))</f>
        <v>42430</v>
      </c>
      <c r="AX49" s="47">
        <f>IF(COUNTIFS(IuranSYSebelumnya!$J$330:$J$772,$K49,IuranSYSebelumnya!$M$330:$M$772,AX$11,IuranSYSebelumnya!$L$330:$L$772,$M$5)&gt;0,
        VLOOKUP(CONCATENATE($K49,"|",AX$11,"|",$M$5),IuranSYSebelumnya!$I$330:$N$772,5,FALSE),
        IF(COUNTIFS(IuranSYSebelumnya!$J$330:$J$772,$K49,IuranSYSebelumnya!$M$330:$M$772,AX$11,IuranSYSebelumnya!$L$330:$L$772,"&lt;&gt;"&amp;$M$5)&gt;0,
              "Iuran dari Lingkungan lain",
              ""))</f>
        <v>42461</v>
      </c>
      <c r="AY49" s="47">
        <f>IF(COUNTIFS(IuranSYSebelumnya!$J$330:$J$772,$K49,IuranSYSebelumnya!$M$330:$M$772,AY$11,IuranSYSebelumnya!$L$330:$L$772,$M$5)&gt;0,
        VLOOKUP(CONCATENATE($K49,"|",AY$11,"|",$M$5),IuranSYSebelumnya!$I$330:$N$772,5,FALSE),
        IF(COUNTIFS(IuranSYSebelumnya!$J$330:$J$772,$K49,IuranSYSebelumnya!$M$330:$M$772,AY$11,IuranSYSebelumnya!$L$330:$L$772,"&lt;&gt;"&amp;$M$5)&gt;0,
              "Iuran dari Lingkungan lain",
              ""))</f>
        <v>42491</v>
      </c>
      <c r="AZ49" s="47">
        <f>IF(COUNTIFS(IuranSYSebelumnya!$J$330:$J$772,$K49,IuranSYSebelumnya!$M$330:$M$772,AZ$11,IuranSYSebelumnya!$L$330:$L$772,$M$5)&gt;0,
        VLOOKUP(CONCATENATE($K49,"|",AZ$11,"|",$M$5),IuranSYSebelumnya!$I$330:$N$772,5,FALSE),
        IF(COUNTIFS(IuranSYSebelumnya!$J$330:$J$772,$K49,IuranSYSebelumnya!$M$330:$M$772,AZ$11,IuranSYSebelumnya!$L$330:$L$772,"&lt;&gt;"&amp;$M$5)&gt;0,
              "Iuran dari Lingkungan lain",
              ""))</f>
        <v>42522</v>
      </c>
      <c r="BA49" s="47" t="str">
        <f>IF(COUNTIFS(IuranSYSebelumnya!$J$330:$J$772,$K49,IuranSYSebelumnya!$M$330:$M$772,BA$11,IuranSYSebelumnya!$L$330:$L$772,$M$5)&gt;0,
        VLOOKUP(CONCATENATE($K49,"|",BA$11,"|",$M$5),IuranSYSebelumnya!$I$330:$N$772,5,FALSE),
        IF(COUNTIFS(IuranSYSebelumnya!$J$330:$J$772,$K49,IuranSYSebelumnya!$M$330:$M$772,BA$11,IuranSYSebelumnya!$L$330:$L$772,"&lt;&gt;"&amp;$M$5)&gt;0,
              "Iuran dari Lingkungan lain",
              ""))</f>
        <v/>
      </c>
      <c r="BB49" s="47" t="str">
        <f>IF(COUNTIFS(IuranSYSebelumnya!$J$330:$J$772,$K49,IuranSYSebelumnya!$M$330:$M$772,BB$11,IuranSYSebelumnya!$L$330:$L$772,$M$5)&gt;0,
        VLOOKUP(CONCATENATE($K49,"|",BB$11,"|",$M$5),IuranSYSebelumnya!$I$330:$N$772,5,FALSE),
        IF(COUNTIFS(IuranSYSebelumnya!$J$330:$J$772,$K49,IuranSYSebelumnya!$M$330:$M$772,BB$11,IuranSYSebelumnya!$L$330:$L$772,"&lt;&gt;"&amp;$M$5)&gt;0,
              "Iuran dari Lingkungan lain",
              ""))</f>
        <v/>
      </c>
      <c r="BC49" s="47" t="str">
        <f>IF(COUNTIFS(IuranSYSebelumnya!$J$330:$J$772,$K49,IuranSYSebelumnya!$M$330:$M$772,BC$11,IuranSYSebelumnya!$L$330:$L$772,$M$5)&gt;0,
        VLOOKUP(CONCATENATE($K49,"|",BC$11,"|",$M$5),IuranSYSebelumnya!$I$330:$N$772,5,FALSE),
        IF(COUNTIFS(IuranSYSebelumnya!$J$330:$J$772,$K49,IuranSYSebelumnya!$M$330:$M$772,BC$11,IuranSYSebelumnya!$L$330:$L$772,"&lt;&gt;"&amp;$M$5)&gt;0,
              "Iuran dari Lingkungan lain",
              ""))</f>
        <v/>
      </c>
      <c r="BD49" s="47" t="str">
        <f>IF(COUNTIFS(IuranSYSebelumnya!$J$330:$J$772,$K49,IuranSYSebelumnya!$M$330:$M$772,BD$11,IuranSYSebelumnya!$L$330:$L$772,$M$5)&gt;0,
        VLOOKUP(CONCATENATE($K49,"|",BD$11,"|",$M$5),IuranSYSebelumnya!$I$330:$N$772,5,FALSE),
        IF(COUNTIFS(IuranSYSebelumnya!$J$330:$J$772,$K49,IuranSYSebelumnya!$M$330:$M$772,BD$11,IuranSYSebelumnya!$L$330:$L$772,"&lt;&gt;"&amp;$M$5)&gt;0,
              "Iuran dari Lingkungan lain",
              ""))</f>
        <v/>
      </c>
      <c r="BE49" s="47" t="str">
        <f>IF(COUNTIFS(IuranSYSebelumnya!$J$330:$J$772,$K49,IuranSYSebelumnya!$M$330:$M$772,BE$11,IuranSYSebelumnya!$L$330:$L$772,$M$5)&gt;0,
        VLOOKUP(CONCATENATE($K49,"|",BE$11,"|",$M$5),IuranSYSebelumnya!$I$330:$N$772,5,FALSE),
        IF(COUNTIFS(IuranSYSebelumnya!$J$330:$J$772,$K49,IuranSYSebelumnya!$M$330:$M$772,BE$11,IuranSYSebelumnya!$L$330:$L$772,"&lt;&gt;"&amp;$M$5)&gt;0,
              "Iuran dari Lingkungan lain",
              ""))</f>
        <v/>
      </c>
      <c r="BF49" s="47" t="str">
        <f>IF(COUNTIFS(IuranSYSebelumnya!$J$330:$J$772,$K49,IuranSYSebelumnya!$M$330:$M$772,BF$11,IuranSYSebelumnya!$L$330:$L$772,$M$5)&gt;0,
        VLOOKUP(CONCATENATE($K49,"|",BF$11,"|",$M$5),IuranSYSebelumnya!$I$330:$N$772,5,FALSE),
        IF(COUNTIFS(IuranSYSebelumnya!$J$330:$J$772,$K49,IuranSYSebelumnya!$M$330:$M$772,BF$11,IuranSYSebelumnya!$L$330:$L$772,"&lt;&gt;"&amp;$M$5)&gt;0,
              "Iuran dari Lingkungan lain",
              ""))</f>
        <v/>
      </c>
      <c r="BG49" s="47" t="str">
        <f>IF(COUNTIFS(IuranSYSebelumnya!$J$330:$J$772,$K49,IuranSYSebelumnya!$M$330:$M$772,BG$11,IuranSYSebelumnya!$L$330:$L$772,$M$5)&gt;0,
        VLOOKUP(CONCATENATE($K49,"|",BG$11,"|",$M$5),IuranSYSebelumnya!$I$330:$N$772,5,FALSE),
        IF(COUNTIFS(IuranSYSebelumnya!$J$330:$J$772,$K49,IuranSYSebelumnya!$M$330:$M$772,BG$11,IuranSYSebelumnya!$L$330:$L$772,"&lt;&gt;"&amp;$M$5)&gt;0,
              "Iuran dari Lingkungan lain",
              ""))</f>
        <v/>
      </c>
      <c r="BH49" s="47" t="str">
        <f>IF(COUNTIFS(IuranSYSebelumnya!$J$330:$J$772,$K49,IuranSYSebelumnya!$M$330:$M$772,BH$11,IuranSYSebelumnya!$L$330:$L$772,$M$5)&gt;0,
        VLOOKUP(CONCATENATE($K49,"|",BH$11,"|",$M$5),IuranSYSebelumnya!$I$330:$N$772,5,FALSE),
        IF(COUNTIFS(IuranSYSebelumnya!$J$330:$J$772,$K49,IuranSYSebelumnya!$M$330:$M$772,BH$11,IuranSYSebelumnya!$L$330:$L$772,"&lt;&gt;"&amp;$M$5)&gt;0,
              "Iuran dari Lingkungan lain",
              ""))</f>
        <v/>
      </c>
      <c r="BI49" s="47" t="str">
        <f>IF(COUNTIFS(IuranSYSebelumnya!$J$330:$J$772,$K49,IuranSYSebelumnya!$M$330:$M$772,BI$11,IuranSYSebelumnya!$L$330:$L$772,$M$5)&gt;0,
        VLOOKUP(CONCATENATE($K49,"|",BI$11,"|",$M$5),IuranSYSebelumnya!$I$330:$N$772,5,FALSE),
        IF(COUNTIFS(IuranSYSebelumnya!$J$330:$J$772,$K49,IuranSYSebelumnya!$M$330:$M$772,BI$11,IuranSYSebelumnya!$L$330:$L$772,"&lt;&gt;"&amp;$M$5)&gt;0,
              "Iuran dari Lingkungan lain",
              ""))</f>
        <v/>
      </c>
      <c r="BJ49" s="47" t="str">
        <f>IF(COUNTIFS(IuranSYSebelumnya!$J$330:$J$772,$K49,IuranSYSebelumnya!$M$330:$M$772,BJ$11,IuranSYSebelumnya!$L$330:$L$772,$M$5)&gt;0,
        VLOOKUP(CONCATENATE($K49,"|",BJ$11,"|",$M$5),IuranSYSebelumnya!$I$330:$N$772,5,FALSE),
        IF(COUNTIFS(IuranSYSebelumnya!$J$330:$J$772,$K49,IuranSYSebelumnya!$M$330:$M$772,BJ$11,IuranSYSebelumnya!$L$330:$L$772,"&lt;&gt;"&amp;$M$5)&gt;0,
              "Iuran dari Lingkungan lain",
              ""))</f>
        <v/>
      </c>
      <c r="BK49" s="47" t="str">
        <f>IF(COUNTIFS(IuranSYSebelumnya!$J$330:$J$772,$K49,IuranSYSebelumnya!$M$330:$M$772,BK$11,IuranSYSebelumnya!$L$330:$L$772,$M$5)&gt;0,
        VLOOKUP(CONCATENATE($K49,"|",BK$11,"|",$M$5),IuranSYSebelumnya!$I$330:$N$772,5,FALSE),
        IF(COUNTIFS(IuranSYSebelumnya!$J$330:$J$772,$K49,IuranSYSebelumnya!$M$330:$M$772,BK$11,IuranSYSebelumnya!$L$330:$L$772,"&lt;&gt;"&amp;$M$5)&gt;0,
              "Iuran dari Lingkungan lain",
              ""))</f>
        <v/>
      </c>
      <c r="BL49" s="47" t="str">
        <f>IF(COUNTIFS(IuranSYSebelumnya!$J$330:$J$772,$K49,IuranSYSebelumnya!$M$330:$M$772,BL$11,IuranSYSebelumnya!$L$330:$L$772,$M$5)&gt;0,
        VLOOKUP(CONCATENATE($K49,"|",BL$11,"|",$M$5),IuranSYSebelumnya!$I$330:$N$772,5,FALSE),
        IF(COUNTIFS(IuranSYSebelumnya!$J$330:$J$772,$K49,IuranSYSebelumnya!$M$330:$M$772,BL$11,IuranSYSebelumnya!$L$330:$L$772,"&lt;&gt;"&amp;$M$5)&gt;0,
              "Iuran dari Lingkungan lain",
              ""))</f>
        <v/>
      </c>
    </row>
    <row r="50" spans="1:64" x14ac:dyDescent="0.35">
      <c r="A50" s="30" t="s">
        <v>6063</v>
      </c>
      <c r="C50" s="30" t="b">
        <f t="shared" ca="1" si="3"/>
        <v>0</v>
      </c>
      <c r="D50" s="30" t="str">
        <f>"""TRUST Nav"",""HSPMTB2016"",""18"",""1"",""KK-04622"""</f>
        <v>"TRUST Nav","HSPMTB2016","18","1","KK-04622"</v>
      </c>
      <c r="H50" s="30">
        <f t="shared" si="4"/>
        <v>0</v>
      </c>
      <c r="J50" s="30">
        <f t="shared" si="5"/>
        <v>38</v>
      </c>
      <c r="K50" s="30" t="str">
        <f>"KK-04622"</f>
        <v>KK-04622</v>
      </c>
      <c r="L50" s="30" t="str">
        <f>"Tri Saptono Vinsentius "</f>
        <v xml:space="preserve">Tri Saptono Vinsentius </v>
      </c>
      <c r="M50" s="30"/>
      <c r="N50" s="129"/>
      <c r="O50" s="129"/>
      <c r="P50" s="129"/>
      <c r="Q50" s="129"/>
      <c r="R50" s="129"/>
      <c r="S50" s="129"/>
      <c r="T50" s="130"/>
      <c r="U50" s="131"/>
      <c r="V50" s="131"/>
      <c r="W50" s="131"/>
      <c r="X50" s="131"/>
      <c r="Y50" s="132"/>
      <c r="Z50" s="131"/>
      <c r="AA50" s="4"/>
      <c r="AB50" s="4"/>
      <c r="AC50" s="4"/>
      <c r="AD50" s="4"/>
      <c r="AE50" s="4"/>
      <c r="AF50" s="11"/>
      <c r="AG50" s="4"/>
      <c r="AH50" s="4"/>
      <c r="AI50" s="4"/>
      <c r="AJ50" s="4"/>
      <c r="AK50" s="4"/>
      <c r="AL50" s="9">
        <f t="shared" si="6"/>
        <v>0</v>
      </c>
      <c r="AO50" s="47">
        <f>IF(COUNTIFS(IuranSYSebelumnya!$J$330:$J$772,$K50,IuranSYSebelumnya!$M$330:$M$772,AO$11,IuranSYSebelumnya!$L$330:$L$772,$M$5)&gt;0,
        VLOOKUP(CONCATENATE($K50,"|",AO$11,"|",$M$5),IuranSYSebelumnya!$I$330:$N$772,5,FALSE),
        IF(COUNTIFS(IuranSYSebelumnya!$J$330:$J$772,$K50,IuranSYSebelumnya!$M$330:$M$772,AO$11,IuranSYSebelumnya!$L$330:$L$772,"&lt;&gt;"&amp;$M$5)&gt;0,
              "Iuran dari Lingkungan lain",
              ""))</f>
        <v>42186</v>
      </c>
      <c r="AP50" s="47">
        <f>IF(COUNTIFS(IuranSYSebelumnya!$J$330:$J$772,$K50,IuranSYSebelumnya!$M$330:$M$772,AP$11,IuranSYSebelumnya!$L$330:$L$772,$M$5)&gt;0,
        VLOOKUP(CONCATENATE($K50,"|",AP$11,"|",$M$5),IuranSYSebelumnya!$I$330:$N$772,5,FALSE),
        IF(COUNTIFS(IuranSYSebelumnya!$J$330:$J$772,$K50,IuranSYSebelumnya!$M$330:$M$772,AP$11,IuranSYSebelumnya!$L$330:$L$772,"&lt;&gt;"&amp;$M$5)&gt;0,
              "Iuran dari Lingkungan lain",
              ""))</f>
        <v>42217</v>
      </c>
      <c r="AQ50" s="47">
        <f>IF(COUNTIFS(IuranSYSebelumnya!$J$330:$J$772,$K50,IuranSYSebelumnya!$M$330:$M$772,AQ$11,IuranSYSebelumnya!$L$330:$L$772,$M$5)&gt;0,
        VLOOKUP(CONCATENATE($K50,"|",AQ$11,"|",$M$5),IuranSYSebelumnya!$I$330:$N$772,5,FALSE),
        IF(COUNTIFS(IuranSYSebelumnya!$J$330:$J$772,$K50,IuranSYSebelumnya!$M$330:$M$772,AQ$11,IuranSYSebelumnya!$L$330:$L$772,"&lt;&gt;"&amp;$M$5)&gt;0,
              "Iuran dari Lingkungan lain",
              ""))</f>
        <v>42248</v>
      </c>
      <c r="AR50" s="47">
        <f>IF(COUNTIFS(IuranSYSebelumnya!$J$330:$J$772,$K50,IuranSYSebelumnya!$M$330:$M$772,AR$11,IuranSYSebelumnya!$L$330:$L$772,$M$5)&gt;0,
        VLOOKUP(CONCATENATE($K50,"|",AR$11,"|",$M$5),IuranSYSebelumnya!$I$330:$N$772,5,FALSE),
        IF(COUNTIFS(IuranSYSebelumnya!$J$330:$J$772,$K50,IuranSYSebelumnya!$M$330:$M$772,AR$11,IuranSYSebelumnya!$L$330:$L$772,"&lt;&gt;"&amp;$M$5)&gt;0,
              "Iuran dari Lingkungan lain",
              ""))</f>
        <v>42278</v>
      </c>
      <c r="AS50" s="47">
        <f>IF(COUNTIFS(IuranSYSebelumnya!$J$330:$J$772,$K50,IuranSYSebelumnya!$M$330:$M$772,AS$11,IuranSYSebelumnya!$L$330:$L$772,$M$5)&gt;0,
        VLOOKUP(CONCATENATE($K50,"|",AS$11,"|",$M$5),IuranSYSebelumnya!$I$330:$N$772,5,FALSE),
        IF(COUNTIFS(IuranSYSebelumnya!$J$330:$J$772,$K50,IuranSYSebelumnya!$M$330:$M$772,AS$11,IuranSYSebelumnya!$L$330:$L$772,"&lt;&gt;"&amp;$M$5)&gt;0,
              "Iuran dari Lingkungan lain",
              ""))</f>
        <v>42309</v>
      </c>
      <c r="AT50" s="47">
        <f>IF(COUNTIFS(IuranSYSebelumnya!$J$330:$J$772,$K50,IuranSYSebelumnya!$M$330:$M$772,AT$11,IuranSYSebelumnya!$L$330:$L$772,$M$5)&gt;0,
        VLOOKUP(CONCATENATE($K50,"|",AT$11,"|",$M$5),IuranSYSebelumnya!$I$330:$N$772,5,FALSE),
        IF(COUNTIFS(IuranSYSebelumnya!$J$330:$J$772,$K50,IuranSYSebelumnya!$M$330:$M$772,AT$11,IuranSYSebelumnya!$L$330:$L$772,"&lt;&gt;"&amp;$M$5)&gt;0,
              "Iuran dari Lingkungan lain",
              ""))</f>
        <v>42339</v>
      </c>
      <c r="AU50" s="47">
        <f>IF(COUNTIFS(IuranSYSebelumnya!$J$330:$J$772,$K50,IuranSYSebelumnya!$M$330:$M$772,AU$11,IuranSYSebelumnya!$L$330:$L$772,$M$5)&gt;0,
        VLOOKUP(CONCATENATE($K50,"|",AU$11,"|",$M$5),IuranSYSebelumnya!$I$330:$N$772,5,FALSE),
        IF(COUNTIFS(IuranSYSebelumnya!$J$330:$J$772,$K50,IuranSYSebelumnya!$M$330:$M$772,AU$11,IuranSYSebelumnya!$L$330:$L$772,"&lt;&gt;"&amp;$M$5)&gt;0,
              "Iuran dari Lingkungan lain",
              ""))</f>
        <v>42370</v>
      </c>
      <c r="AV50" s="47">
        <f>IF(COUNTIFS(IuranSYSebelumnya!$J$330:$J$772,$K50,IuranSYSebelumnya!$M$330:$M$772,AV$11,IuranSYSebelumnya!$L$330:$L$772,$M$5)&gt;0,
        VLOOKUP(CONCATENATE($K50,"|",AV$11,"|",$M$5),IuranSYSebelumnya!$I$330:$N$772,5,FALSE),
        IF(COUNTIFS(IuranSYSebelumnya!$J$330:$J$772,$K50,IuranSYSebelumnya!$M$330:$M$772,AV$11,IuranSYSebelumnya!$L$330:$L$772,"&lt;&gt;"&amp;$M$5)&gt;0,
              "Iuran dari Lingkungan lain",
              ""))</f>
        <v>42401</v>
      </c>
      <c r="AW50" s="47">
        <f>IF(COUNTIFS(IuranSYSebelumnya!$J$330:$J$772,$K50,IuranSYSebelumnya!$M$330:$M$772,AW$11,IuranSYSebelumnya!$L$330:$L$772,$M$5)&gt;0,
        VLOOKUP(CONCATENATE($K50,"|",AW$11,"|",$M$5),IuranSYSebelumnya!$I$330:$N$772,5,FALSE),
        IF(COUNTIFS(IuranSYSebelumnya!$J$330:$J$772,$K50,IuranSYSebelumnya!$M$330:$M$772,AW$11,IuranSYSebelumnya!$L$330:$L$772,"&lt;&gt;"&amp;$M$5)&gt;0,
              "Iuran dari Lingkungan lain",
              ""))</f>
        <v>42430</v>
      </c>
      <c r="AX50" s="47">
        <f>IF(COUNTIFS(IuranSYSebelumnya!$J$330:$J$772,$K50,IuranSYSebelumnya!$M$330:$M$772,AX$11,IuranSYSebelumnya!$L$330:$L$772,$M$5)&gt;0,
        VLOOKUP(CONCATENATE($K50,"|",AX$11,"|",$M$5),IuranSYSebelumnya!$I$330:$N$772,5,FALSE),
        IF(COUNTIFS(IuranSYSebelumnya!$J$330:$J$772,$K50,IuranSYSebelumnya!$M$330:$M$772,AX$11,IuranSYSebelumnya!$L$330:$L$772,"&lt;&gt;"&amp;$M$5)&gt;0,
              "Iuran dari Lingkungan lain",
              ""))</f>
        <v>42461</v>
      </c>
      <c r="AY50" s="47">
        <f>IF(COUNTIFS(IuranSYSebelumnya!$J$330:$J$772,$K50,IuranSYSebelumnya!$M$330:$M$772,AY$11,IuranSYSebelumnya!$L$330:$L$772,$M$5)&gt;0,
        VLOOKUP(CONCATENATE($K50,"|",AY$11,"|",$M$5),IuranSYSebelumnya!$I$330:$N$772,5,FALSE),
        IF(COUNTIFS(IuranSYSebelumnya!$J$330:$J$772,$K50,IuranSYSebelumnya!$M$330:$M$772,AY$11,IuranSYSebelumnya!$L$330:$L$772,"&lt;&gt;"&amp;$M$5)&gt;0,
              "Iuran dari Lingkungan lain",
              ""))</f>
        <v>42491</v>
      </c>
      <c r="AZ50" s="47">
        <f>IF(COUNTIFS(IuranSYSebelumnya!$J$330:$J$772,$K50,IuranSYSebelumnya!$M$330:$M$772,AZ$11,IuranSYSebelumnya!$L$330:$L$772,$M$5)&gt;0,
        VLOOKUP(CONCATENATE($K50,"|",AZ$11,"|",$M$5),IuranSYSebelumnya!$I$330:$N$772,5,FALSE),
        IF(COUNTIFS(IuranSYSebelumnya!$J$330:$J$772,$K50,IuranSYSebelumnya!$M$330:$M$772,AZ$11,IuranSYSebelumnya!$L$330:$L$772,"&lt;&gt;"&amp;$M$5)&gt;0,
              "Iuran dari Lingkungan lain",
              ""))</f>
        <v>42522</v>
      </c>
      <c r="BA50" s="47">
        <f>IF(COUNTIFS(IuranSYSebelumnya!$J$330:$J$772,$K50,IuranSYSebelumnya!$M$330:$M$772,BA$11,IuranSYSebelumnya!$L$330:$L$772,$M$5)&gt;0,
        VLOOKUP(CONCATENATE($K50,"|",BA$11,"|",$M$5),IuranSYSebelumnya!$I$330:$N$772,5,FALSE),
        IF(COUNTIFS(IuranSYSebelumnya!$J$330:$J$772,$K50,IuranSYSebelumnya!$M$330:$M$772,BA$11,IuranSYSebelumnya!$L$330:$L$772,"&lt;&gt;"&amp;$M$5)&gt;0,
              "Iuran dari Lingkungan lain",
              ""))</f>
        <v>42552</v>
      </c>
      <c r="BB50" s="47" t="str">
        <f>IF(COUNTIFS(IuranSYSebelumnya!$J$330:$J$772,$K50,IuranSYSebelumnya!$M$330:$M$772,BB$11,IuranSYSebelumnya!$L$330:$L$772,$M$5)&gt;0,
        VLOOKUP(CONCATENATE($K50,"|",BB$11,"|",$M$5),IuranSYSebelumnya!$I$330:$N$772,5,FALSE),
        IF(COUNTIFS(IuranSYSebelumnya!$J$330:$J$772,$K50,IuranSYSebelumnya!$M$330:$M$772,BB$11,IuranSYSebelumnya!$L$330:$L$772,"&lt;&gt;"&amp;$M$5)&gt;0,
              "Iuran dari Lingkungan lain",
              ""))</f>
        <v/>
      </c>
      <c r="BC50" s="47" t="str">
        <f>IF(COUNTIFS(IuranSYSebelumnya!$J$330:$J$772,$K50,IuranSYSebelumnya!$M$330:$M$772,BC$11,IuranSYSebelumnya!$L$330:$L$772,$M$5)&gt;0,
        VLOOKUP(CONCATENATE($K50,"|",BC$11,"|",$M$5),IuranSYSebelumnya!$I$330:$N$772,5,FALSE),
        IF(COUNTIFS(IuranSYSebelumnya!$J$330:$J$772,$K50,IuranSYSebelumnya!$M$330:$M$772,BC$11,IuranSYSebelumnya!$L$330:$L$772,"&lt;&gt;"&amp;$M$5)&gt;0,
              "Iuran dari Lingkungan lain",
              ""))</f>
        <v/>
      </c>
      <c r="BD50" s="47" t="str">
        <f>IF(COUNTIFS(IuranSYSebelumnya!$J$330:$J$772,$K50,IuranSYSebelumnya!$M$330:$M$772,BD$11,IuranSYSebelumnya!$L$330:$L$772,$M$5)&gt;0,
        VLOOKUP(CONCATENATE($K50,"|",BD$11,"|",$M$5),IuranSYSebelumnya!$I$330:$N$772,5,FALSE),
        IF(COUNTIFS(IuranSYSebelumnya!$J$330:$J$772,$K50,IuranSYSebelumnya!$M$330:$M$772,BD$11,IuranSYSebelumnya!$L$330:$L$772,"&lt;&gt;"&amp;$M$5)&gt;0,
              "Iuran dari Lingkungan lain",
              ""))</f>
        <v/>
      </c>
      <c r="BE50" s="47" t="str">
        <f>IF(COUNTIFS(IuranSYSebelumnya!$J$330:$J$772,$K50,IuranSYSebelumnya!$M$330:$M$772,BE$11,IuranSYSebelumnya!$L$330:$L$772,$M$5)&gt;0,
        VLOOKUP(CONCATENATE($K50,"|",BE$11,"|",$M$5),IuranSYSebelumnya!$I$330:$N$772,5,FALSE),
        IF(COUNTIFS(IuranSYSebelumnya!$J$330:$J$772,$K50,IuranSYSebelumnya!$M$330:$M$772,BE$11,IuranSYSebelumnya!$L$330:$L$772,"&lt;&gt;"&amp;$M$5)&gt;0,
              "Iuran dari Lingkungan lain",
              ""))</f>
        <v/>
      </c>
      <c r="BF50" s="47" t="str">
        <f>IF(COUNTIFS(IuranSYSebelumnya!$J$330:$J$772,$K50,IuranSYSebelumnya!$M$330:$M$772,BF$11,IuranSYSebelumnya!$L$330:$L$772,$M$5)&gt;0,
        VLOOKUP(CONCATENATE($K50,"|",BF$11,"|",$M$5),IuranSYSebelumnya!$I$330:$N$772,5,FALSE),
        IF(COUNTIFS(IuranSYSebelumnya!$J$330:$J$772,$K50,IuranSYSebelumnya!$M$330:$M$772,BF$11,IuranSYSebelumnya!$L$330:$L$772,"&lt;&gt;"&amp;$M$5)&gt;0,
              "Iuran dari Lingkungan lain",
              ""))</f>
        <v/>
      </c>
      <c r="BG50" s="47" t="str">
        <f>IF(COUNTIFS(IuranSYSebelumnya!$J$330:$J$772,$K50,IuranSYSebelumnya!$M$330:$M$772,BG$11,IuranSYSebelumnya!$L$330:$L$772,$M$5)&gt;0,
        VLOOKUP(CONCATENATE($K50,"|",BG$11,"|",$M$5),IuranSYSebelumnya!$I$330:$N$772,5,FALSE),
        IF(COUNTIFS(IuranSYSebelumnya!$J$330:$J$772,$K50,IuranSYSebelumnya!$M$330:$M$772,BG$11,IuranSYSebelumnya!$L$330:$L$772,"&lt;&gt;"&amp;$M$5)&gt;0,
              "Iuran dari Lingkungan lain",
              ""))</f>
        <v/>
      </c>
      <c r="BH50" s="47" t="str">
        <f>IF(COUNTIFS(IuranSYSebelumnya!$J$330:$J$772,$K50,IuranSYSebelumnya!$M$330:$M$772,BH$11,IuranSYSebelumnya!$L$330:$L$772,$M$5)&gt;0,
        VLOOKUP(CONCATENATE($K50,"|",BH$11,"|",$M$5),IuranSYSebelumnya!$I$330:$N$772,5,FALSE),
        IF(COUNTIFS(IuranSYSebelumnya!$J$330:$J$772,$K50,IuranSYSebelumnya!$M$330:$M$772,BH$11,IuranSYSebelumnya!$L$330:$L$772,"&lt;&gt;"&amp;$M$5)&gt;0,
              "Iuran dari Lingkungan lain",
              ""))</f>
        <v/>
      </c>
      <c r="BI50" s="47" t="str">
        <f>IF(COUNTIFS(IuranSYSebelumnya!$J$330:$J$772,$K50,IuranSYSebelumnya!$M$330:$M$772,BI$11,IuranSYSebelumnya!$L$330:$L$772,$M$5)&gt;0,
        VLOOKUP(CONCATENATE($K50,"|",BI$11,"|",$M$5),IuranSYSebelumnya!$I$330:$N$772,5,FALSE),
        IF(COUNTIFS(IuranSYSebelumnya!$J$330:$J$772,$K50,IuranSYSebelumnya!$M$330:$M$772,BI$11,IuranSYSebelumnya!$L$330:$L$772,"&lt;&gt;"&amp;$M$5)&gt;0,
              "Iuran dari Lingkungan lain",
              ""))</f>
        <v/>
      </c>
      <c r="BJ50" s="47" t="str">
        <f>IF(COUNTIFS(IuranSYSebelumnya!$J$330:$J$772,$K50,IuranSYSebelumnya!$M$330:$M$772,BJ$11,IuranSYSebelumnya!$L$330:$L$772,$M$5)&gt;0,
        VLOOKUP(CONCATENATE($K50,"|",BJ$11,"|",$M$5),IuranSYSebelumnya!$I$330:$N$772,5,FALSE),
        IF(COUNTIFS(IuranSYSebelumnya!$J$330:$J$772,$K50,IuranSYSebelumnya!$M$330:$M$772,BJ$11,IuranSYSebelumnya!$L$330:$L$772,"&lt;&gt;"&amp;$M$5)&gt;0,
              "Iuran dari Lingkungan lain",
              ""))</f>
        <v/>
      </c>
      <c r="BK50" s="47" t="str">
        <f>IF(COUNTIFS(IuranSYSebelumnya!$J$330:$J$772,$K50,IuranSYSebelumnya!$M$330:$M$772,BK$11,IuranSYSebelumnya!$L$330:$L$772,$M$5)&gt;0,
        VLOOKUP(CONCATENATE($K50,"|",BK$11,"|",$M$5),IuranSYSebelumnya!$I$330:$N$772,5,FALSE),
        IF(COUNTIFS(IuranSYSebelumnya!$J$330:$J$772,$K50,IuranSYSebelumnya!$M$330:$M$772,BK$11,IuranSYSebelumnya!$L$330:$L$772,"&lt;&gt;"&amp;$M$5)&gt;0,
              "Iuran dari Lingkungan lain",
              ""))</f>
        <v/>
      </c>
      <c r="BL50" s="47" t="str">
        <f>IF(COUNTIFS(IuranSYSebelumnya!$J$330:$J$772,$K50,IuranSYSebelumnya!$M$330:$M$772,BL$11,IuranSYSebelumnya!$L$330:$L$772,$M$5)&gt;0,
        VLOOKUP(CONCATENATE($K50,"|",BL$11,"|",$M$5),IuranSYSebelumnya!$I$330:$N$772,5,FALSE),
        IF(COUNTIFS(IuranSYSebelumnya!$J$330:$J$772,$K50,IuranSYSebelumnya!$M$330:$M$772,BL$11,IuranSYSebelumnya!$L$330:$L$772,"&lt;&gt;"&amp;$M$5)&gt;0,
              "Iuran dari Lingkungan lain",
              ""))</f>
        <v/>
      </c>
    </row>
    <row r="51" spans="1:64" x14ac:dyDescent="0.35">
      <c r="A51" s="30" t="s">
        <v>6063</v>
      </c>
      <c r="C51" s="30" t="b">
        <f t="shared" ca="1" si="3"/>
        <v>0</v>
      </c>
      <c r="D51" s="30" t="str">
        <f>"""TRUST Nav"",""HSPMTB2016"",""18"",""1"",""KK-05056"""</f>
        <v>"TRUST Nav","HSPMTB2016","18","1","KK-05056"</v>
      </c>
      <c r="H51" s="30">
        <f t="shared" si="4"/>
        <v>0</v>
      </c>
      <c r="J51" s="30">
        <f t="shared" si="5"/>
        <v>39</v>
      </c>
      <c r="K51" s="30" t="str">
        <f>"KK-05056"</f>
        <v>KK-05056</v>
      </c>
      <c r="L51" s="30" t="str">
        <f>"Yandi Setiawan"</f>
        <v>Yandi Setiawan</v>
      </c>
      <c r="M51" s="30"/>
      <c r="N51" s="3"/>
      <c r="O51" s="3"/>
      <c r="P51" s="3"/>
      <c r="Q51" s="3"/>
      <c r="R51" s="3"/>
      <c r="S51" s="3"/>
      <c r="T51" s="130"/>
      <c r="U51" s="131"/>
      <c r="V51" s="131"/>
      <c r="W51" s="131"/>
      <c r="X51" s="131"/>
      <c r="Y51" s="132"/>
      <c r="Z51" s="4"/>
      <c r="AA51" s="4"/>
      <c r="AB51" s="4"/>
      <c r="AC51" s="4"/>
      <c r="AD51" s="4"/>
      <c r="AE51" s="4"/>
      <c r="AF51" s="11"/>
      <c r="AG51" s="4"/>
      <c r="AH51" s="4"/>
      <c r="AI51" s="4"/>
      <c r="AJ51" s="4"/>
      <c r="AK51" s="4"/>
      <c r="AL51" s="9">
        <f t="shared" si="6"/>
        <v>0</v>
      </c>
      <c r="AO51" s="47" t="str">
        <f>IF(COUNTIFS(IuranSYSebelumnya!$J$330:$J$772,$K51,IuranSYSebelumnya!$M$330:$M$772,AO$11,IuranSYSebelumnya!$L$330:$L$772,$M$5)&gt;0,
        VLOOKUP(CONCATENATE($K51,"|",AO$11,"|",$M$5),IuranSYSebelumnya!$I$330:$N$772,5,FALSE),
        IF(COUNTIFS(IuranSYSebelumnya!$J$330:$J$772,$K51,IuranSYSebelumnya!$M$330:$M$772,AO$11,IuranSYSebelumnya!$L$330:$L$772,"&lt;&gt;"&amp;$M$5)&gt;0,
              "Iuran dari Lingkungan lain",
              ""))</f>
        <v/>
      </c>
      <c r="AP51" s="47" t="str">
        <f>IF(COUNTIFS(IuranSYSebelumnya!$J$330:$J$772,$K51,IuranSYSebelumnya!$M$330:$M$772,AP$11,IuranSYSebelumnya!$L$330:$L$772,$M$5)&gt;0,
        VLOOKUP(CONCATENATE($K51,"|",AP$11,"|",$M$5),IuranSYSebelumnya!$I$330:$N$772,5,FALSE),
        IF(COUNTIFS(IuranSYSebelumnya!$J$330:$J$772,$K51,IuranSYSebelumnya!$M$330:$M$772,AP$11,IuranSYSebelumnya!$L$330:$L$772,"&lt;&gt;"&amp;$M$5)&gt;0,
              "Iuran dari Lingkungan lain",
              ""))</f>
        <v/>
      </c>
      <c r="AQ51" s="47" t="str">
        <f>IF(COUNTIFS(IuranSYSebelumnya!$J$330:$J$772,$K51,IuranSYSebelumnya!$M$330:$M$772,AQ$11,IuranSYSebelumnya!$L$330:$L$772,$M$5)&gt;0,
        VLOOKUP(CONCATENATE($K51,"|",AQ$11,"|",$M$5),IuranSYSebelumnya!$I$330:$N$772,5,FALSE),
        IF(COUNTIFS(IuranSYSebelumnya!$J$330:$J$772,$K51,IuranSYSebelumnya!$M$330:$M$772,AQ$11,IuranSYSebelumnya!$L$330:$L$772,"&lt;&gt;"&amp;$M$5)&gt;0,
              "Iuran dari Lingkungan lain",
              ""))</f>
        <v/>
      </c>
      <c r="AR51" s="47" t="str">
        <f>IF(COUNTIFS(IuranSYSebelumnya!$J$330:$J$772,$K51,IuranSYSebelumnya!$M$330:$M$772,AR$11,IuranSYSebelumnya!$L$330:$L$772,$M$5)&gt;0,
        VLOOKUP(CONCATENATE($K51,"|",AR$11,"|",$M$5),IuranSYSebelumnya!$I$330:$N$772,5,FALSE),
        IF(COUNTIFS(IuranSYSebelumnya!$J$330:$J$772,$K51,IuranSYSebelumnya!$M$330:$M$772,AR$11,IuranSYSebelumnya!$L$330:$L$772,"&lt;&gt;"&amp;$M$5)&gt;0,
              "Iuran dari Lingkungan lain",
              ""))</f>
        <v/>
      </c>
      <c r="AS51" s="47" t="str">
        <f>IF(COUNTIFS(IuranSYSebelumnya!$J$330:$J$772,$K51,IuranSYSebelumnya!$M$330:$M$772,AS$11,IuranSYSebelumnya!$L$330:$L$772,$M$5)&gt;0,
        VLOOKUP(CONCATENATE($K51,"|",AS$11,"|",$M$5),IuranSYSebelumnya!$I$330:$N$772,5,FALSE),
        IF(COUNTIFS(IuranSYSebelumnya!$J$330:$J$772,$K51,IuranSYSebelumnya!$M$330:$M$772,AS$11,IuranSYSebelumnya!$L$330:$L$772,"&lt;&gt;"&amp;$M$5)&gt;0,
              "Iuran dari Lingkungan lain",
              ""))</f>
        <v/>
      </c>
      <c r="AT51" s="47" t="str">
        <f>IF(COUNTIFS(IuranSYSebelumnya!$J$330:$J$772,$K51,IuranSYSebelumnya!$M$330:$M$772,AT$11,IuranSYSebelumnya!$L$330:$L$772,$M$5)&gt;0,
        VLOOKUP(CONCATENATE($K51,"|",AT$11,"|",$M$5),IuranSYSebelumnya!$I$330:$N$772,5,FALSE),
        IF(COUNTIFS(IuranSYSebelumnya!$J$330:$J$772,$K51,IuranSYSebelumnya!$M$330:$M$772,AT$11,IuranSYSebelumnya!$L$330:$L$772,"&lt;&gt;"&amp;$M$5)&gt;0,
              "Iuran dari Lingkungan lain",
              ""))</f>
        <v/>
      </c>
      <c r="AU51" s="47">
        <f>IF(COUNTIFS(IuranSYSebelumnya!$J$330:$J$772,$K51,IuranSYSebelumnya!$M$330:$M$772,AU$11,IuranSYSebelumnya!$L$330:$L$772,$M$5)&gt;0,
        VLOOKUP(CONCATENATE($K51,"|",AU$11,"|",$M$5),IuranSYSebelumnya!$I$330:$N$772,5,FALSE),
        IF(COUNTIFS(IuranSYSebelumnya!$J$330:$J$772,$K51,IuranSYSebelumnya!$M$330:$M$772,AU$11,IuranSYSebelumnya!$L$330:$L$772,"&lt;&gt;"&amp;$M$5)&gt;0,
              "Iuran dari Lingkungan lain",
              ""))</f>
        <v>42370</v>
      </c>
      <c r="AV51" s="47">
        <f>IF(COUNTIFS(IuranSYSebelumnya!$J$330:$J$772,$K51,IuranSYSebelumnya!$M$330:$M$772,AV$11,IuranSYSebelumnya!$L$330:$L$772,$M$5)&gt;0,
        VLOOKUP(CONCATENATE($K51,"|",AV$11,"|",$M$5),IuranSYSebelumnya!$I$330:$N$772,5,FALSE),
        IF(COUNTIFS(IuranSYSebelumnya!$J$330:$J$772,$K51,IuranSYSebelumnya!$M$330:$M$772,AV$11,IuranSYSebelumnya!$L$330:$L$772,"&lt;&gt;"&amp;$M$5)&gt;0,
              "Iuran dari Lingkungan lain",
              ""))</f>
        <v>42401</v>
      </c>
      <c r="AW51" s="47">
        <f>IF(COUNTIFS(IuranSYSebelumnya!$J$330:$J$772,$K51,IuranSYSebelumnya!$M$330:$M$772,AW$11,IuranSYSebelumnya!$L$330:$L$772,$M$5)&gt;0,
        VLOOKUP(CONCATENATE($K51,"|",AW$11,"|",$M$5),IuranSYSebelumnya!$I$330:$N$772,5,FALSE),
        IF(COUNTIFS(IuranSYSebelumnya!$J$330:$J$772,$K51,IuranSYSebelumnya!$M$330:$M$772,AW$11,IuranSYSebelumnya!$L$330:$L$772,"&lt;&gt;"&amp;$M$5)&gt;0,
              "Iuran dari Lingkungan lain",
              ""))</f>
        <v>42430</v>
      </c>
      <c r="AX51" s="47">
        <f>IF(COUNTIFS(IuranSYSebelumnya!$J$330:$J$772,$K51,IuranSYSebelumnya!$M$330:$M$772,AX$11,IuranSYSebelumnya!$L$330:$L$772,$M$5)&gt;0,
        VLOOKUP(CONCATENATE($K51,"|",AX$11,"|",$M$5),IuranSYSebelumnya!$I$330:$N$772,5,FALSE),
        IF(COUNTIFS(IuranSYSebelumnya!$J$330:$J$772,$K51,IuranSYSebelumnya!$M$330:$M$772,AX$11,IuranSYSebelumnya!$L$330:$L$772,"&lt;&gt;"&amp;$M$5)&gt;0,
              "Iuran dari Lingkungan lain",
              ""))</f>
        <v>42461</v>
      </c>
      <c r="AY51" s="47">
        <f>IF(COUNTIFS(IuranSYSebelumnya!$J$330:$J$772,$K51,IuranSYSebelumnya!$M$330:$M$772,AY$11,IuranSYSebelumnya!$L$330:$L$772,$M$5)&gt;0,
        VLOOKUP(CONCATENATE($K51,"|",AY$11,"|",$M$5),IuranSYSebelumnya!$I$330:$N$772,5,FALSE),
        IF(COUNTIFS(IuranSYSebelumnya!$J$330:$J$772,$K51,IuranSYSebelumnya!$M$330:$M$772,AY$11,IuranSYSebelumnya!$L$330:$L$772,"&lt;&gt;"&amp;$M$5)&gt;0,
              "Iuran dari Lingkungan lain",
              ""))</f>
        <v>42491</v>
      </c>
      <c r="AZ51" s="47">
        <f>IF(COUNTIFS(IuranSYSebelumnya!$J$330:$J$772,$K51,IuranSYSebelumnya!$M$330:$M$772,AZ$11,IuranSYSebelumnya!$L$330:$L$772,$M$5)&gt;0,
        VLOOKUP(CONCATENATE($K51,"|",AZ$11,"|",$M$5),IuranSYSebelumnya!$I$330:$N$772,5,FALSE),
        IF(COUNTIFS(IuranSYSebelumnya!$J$330:$J$772,$K51,IuranSYSebelumnya!$M$330:$M$772,AZ$11,IuranSYSebelumnya!$L$330:$L$772,"&lt;&gt;"&amp;$M$5)&gt;0,
              "Iuran dari Lingkungan lain",
              ""))</f>
        <v>42522</v>
      </c>
      <c r="BA51" s="47" t="str">
        <f>IF(COUNTIFS(IuranSYSebelumnya!$J$330:$J$772,$K51,IuranSYSebelumnya!$M$330:$M$772,BA$11,IuranSYSebelumnya!$L$330:$L$772,$M$5)&gt;0,
        VLOOKUP(CONCATENATE($K51,"|",BA$11,"|",$M$5),IuranSYSebelumnya!$I$330:$N$772,5,FALSE),
        IF(COUNTIFS(IuranSYSebelumnya!$J$330:$J$772,$K51,IuranSYSebelumnya!$M$330:$M$772,BA$11,IuranSYSebelumnya!$L$330:$L$772,"&lt;&gt;"&amp;$M$5)&gt;0,
              "Iuran dari Lingkungan lain",
              ""))</f>
        <v/>
      </c>
      <c r="BB51" s="47" t="str">
        <f>IF(COUNTIFS(IuranSYSebelumnya!$J$330:$J$772,$K51,IuranSYSebelumnya!$M$330:$M$772,BB$11,IuranSYSebelumnya!$L$330:$L$772,$M$5)&gt;0,
        VLOOKUP(CONCATENATE($K51,"|",BB$11,"|",$M$5),IuranSYSebelumnya!$I$330:$N$772,5,FALSE),
        IF(COUNTIFS(IuranSYSebelumnya!$J$330:$J$772,$K51,IuranSYSebelumnya!$M$330:$M$772,BB$11,IuranSYSebelumnya!$L$330:$L$772,"&lt;&gt;"&amp;$M$5)&gt;0,
              "Iuran dari Lingkungan lain",
              ""))</f>
        <v/>
      </c>
      <c r="BC51" s="47" t="str">
        <f>IF(COUNTIFS(IuranSYSebelumnya!$J$330:$J$772,$K51,IuranSYSebelumnya!$M$330:$M$772,BC$11,IuranSYSebelumnya!$L$330:$L$772,$M$5)&gt;0,
        VLOOKUP(CONCATENATE($K51,"|",BC$11,"|",$M$5),IuranSYSebelumnya!$I$330:$N$772,5,FALSE),
        IF(COUNTIFS(IuranSYSebelumnya!$J$330:$J$772,$K51,IuranSYSebelumnya!$M$330:$M$772,BC$11,IuranSYSebelumnya!$L$330:$L$772,"&lt;&gt;"&amp;$M$5)&gt;0,
              "Iuran dari Lingkungan lain",
              ""))</f>
        <v/>
      </c>
      <c r="BD51" s="47" t="str">
        <f>IF(COUNTIFS(IuranSYSebelumnya!$J$330:$J$772,$K51,IuranSYSebelumnya!$M$330:$M$772,BD$11,IuranSYSebelumnya!$L$330:$L$772,$M$5)&gt;0,
        VLOOKUP(CONCATENATE($K51,"|",BD$11,"|",$M$5),IuranSYSebelumnya!$I$330:$N$772,5,FALSE),
        IF(COUNTIFS(IuranSYSebelumnya!$J$330:$J$772,$K51,IuranSYSebelumnya!$M$330:$M$772,BD$11,IuranSYSebelumnya!$L$330:$L$772,"&lt;&gt;"&amp;$M$5)&gt;0,
              "Iuran dari Lingkungan lain",
              ""))</f>
        <v/>
      </c>
      <c r="BE51" s="47" t="str">
        <f>IF(COUNTIFS(IuranSYSebelumnya!$J$330:$J$772,$K51,IuranSYSebelumnya!$M$330:$M$772,BE$11,IuranSYSebelumnya!$L$330:$L$772,$M$5)&gt;0,
        VLOOKUP(CONCATENATE($K51,"|",BE$11,"|",$M$5),IuranSYSebelumnya!$I$330:$N$772,5,FALSE),
        IF(COUNTIFS(IuranSYSebelumnya!$J$330:$J$772,$K51,IuranSYSebelumnya!$M$330:$M$772,BE$11,IuranSYSebelumnya!$L$330:$L$772,"&lt;&gt;"&amp;$M$5)&gt;0,
              "Iuran dari Lingkungan lain",
              ""))</f>
        <v/>
      </c>
      <c r="BF51" s="47" t="str">
        <f>IF(COUNTIFS(IuranSYSebelumnya!$J$330:$J$772,$K51,IuranSYSebelumnya!$M$330:$M$772,BF$11,IuranSYSebelumnya!$L$330:$L$772,$M$5)&gt;0,
        VLOOKUP(CONCATENATE($K51,"|",BF$11,"|",$M$5),IuranSYSebelumnya!$I$330:$N$772,5,FALSE),
        IF(COUNTIFS(IuranSYSebelumnya!$J$330:$J$772,$K51,IuranSYSebelumnya!$M$330:$M$772,BF$11,IuranSYSebelumnya!$L$330:$L$772,"&lt;&gt;"&amp;$M$5)&gt;0,
              "Iuran dari Lingkungan lain",
              ""))</f>
        <v/>
      </c>
      <c r="BG51" s="47" t="str">
        <f>IF(COUNTIFS(IuranSYSebelumnya!$J$330:$J$772,$K51,IuranSYSebelumnya!$M$330:$M$772,BG$11,IuranSYSebelumnya!$L$330:$L$772,$M$5)&gt;0,
        VLOOKUP(CONCATENATE($K51,"|",BG$11,"|",$M$5),IuranSYSebelumnya!$I$330:$N$772,5,FALSE),
        IF(COUNTIFS(IuranSYSebelumnya!$J$330:$J$772,$K51,IuranSYSebelumnya!$M$330:$M$772,BG$11,IuranSYSebelumnya!$L$330:$L$772,"&lt;&gt;"&amp;$M$5)&gt;0,
              "Iuran dari Lingkungan lain",
              ""))</f>
        <v/>
      </c>
      <c r="BH51" s="47" t="str">
        <f>IF(COUNTIFS(IuranSYSebelumnya!$J$330:$J$772,$K51,IuranSYSebelumnya!$M$330:$M$772,BH$11,IuranSYSebelumnya!$L$330:$L$772,$M$5)&gt;0,
        VLOOKUP(CONCATENATE($K51,"|",BH$11,"|",$M$5),IuranSYSebelumnya!$I$330:$N$772,5,FALSE),
        IF(COUNTIFS(IuranSYSebelumnya!$J$330:$J$772,$K51,IuranSYSebelumnya!$M$330:$M$772,BH$11,IuranSYSebelumnya!$L$330:$L$772,"&lt;&gt;"&amp;$M$5)&gt;0,
              "Iuran dari Lingkungan lain",
              ""))</f>
        <v/>
      </c>
      <c r="BI51" s="47" t="str">
        <f>IF(COUNTIFS(IuranSYSebelumnya!$J$330:$J$772,$K51,IuranSYSebelumnya!$M$330:$M$772,BI$11,IuranSYSebelumnya!$L$330:$L$772,$M$5)&gt;0,
        VLOOKUP(CONCATENATE($K51,"|",BI$11,"|",$M$5),IuranSYSebelumnya!$I$330:$N$772,5,FALSE),
        IF(COUNTIFS(IuranSYSebelumnya!$J$330:$J$772,$K51,IuranSYSebelumnya!$M$330:$M$772,BI$11,IuranSYSebelumnya!$L$330:$L$772,"&lt;&gt;"&amp;$M$5)&gt;0,
              "Iuran dari Lingkungan lain",
              ""))</f>
        <v/>
      </c>
      <c r="BJ51" s="47" t="str">
        <f>IF(COUNTIFS(IuranSYSebelumnya!$J$330:$J$772,$K51,IuranSYSebelumnya!$M$330:$M$772,BJ$11,IuranSYSebelumnya!$L$330:$L$772,$M$5)&gt;0,
        VLOOKUP(CONCATENATE($K51,"|",BJ$11,"|",$M$5),IuranSYSebelumnya!$I$330:$N$772,5,FALSE),
        IF(COUNTIFS(IuranSYSebelumnya!$J$330:$J$772,$K51,IuranSYSebelumnya!$M$330:$M$772,BJ$11,IuranSYSebelumnya!$L$330:$L$772,"&lt;&gt;"&amp;$M$5)&gt;0,
              "Iuran dari Lingkungan lain",
              ""))</f>
        <v/>
      </c>
      <c r="BK51" s="47" t="str">
        <f>IF(COUNTIFS(IuranSYSebelumnya!$J$330:$J$772,$K51,IuranSYSebelumnya!$M$330:$M$772,BK$11,IuranSYSebelumnya!$L$330:$L$772,$M$5)&gt;0,
        VLOOKUP(CONCATENATE($K51,"|",BK$11,"|",$M$5),IuranSYSebelumnya!$I$330:$N$772,5,FALSE),
        IF(COUNTIFS(IuranSYSebelumnya!$J$330:$J$772,$K51,IuranSYSebelumnya!$M$330:$M$772,BK$11,IuranSYSebelumnya!$L$330:$L$772,"&lt;&gt;"&amp;$M$5)&gt;0,
              "Iuran dari Lingkungan lain",
              ""))</f>
        <v/>
      </c>
      <c r="BL51" s="47" t="str">
        <f>IF(COUNTIFS(IuranSYSebelumnya!$J$330:$J$772,$K51,IuranSYSebelumnya!$M$330:$M$772,BL$11,IuranSYSebelumnya!$L$330:$L$772,$M$5)&gt;0,
        VLOOKUP(CONCATENATE($K51,"|",BL$11,"|",$M$5),IuranSYSebelumnya!$I$330:$N$772,5,FALSE),
        IF(COUNTIFS(IuranSYSebelumnya!$J$330:$J$772,$K51,IuranSYSebelumnya!$M$330:$M$772,BL$11,IuranSYSebelumnya!$L$330:$L$772,"&lt;&gt;"&amp;$M$5)&gt;0,
              "Iuran dari Lingkungan lain",
              ""))</f>
        <v/>
      </c>
    </row>
    <row r="52" spans="1:64" x14ac:dyDescent="0.35">
      <c r="A52" s="30" t="s">
        <v>6063</v>
      </c>
      <c r="C52" s="30" t="b">
        <f t="shared" ca="1" si="3"/>
        <v>0</v>
      </c>
      <c r="D52" s="30" t="str">
        <f>"""TRUST Nav"",""HSPMTB2016"",""18"",""1"",""KK-04623"""</f>
        <v>"TRUST Nav","HSPMTB2016","18","1","KK-04623"</v>
      </c>
      <c r="H52" s="30">
        <f t="shared" si="4"/>
        <v>0</v>
      </c>
      <c r="J52" s="30">
        <f t="shared" si="5"/>
        <v>40</v>
      </c>
      <c r="K52" s="30" t="str">
        <f>"KK-04623"</f>
        <v>KK-04623</v>
      </c>
      <c r="L52" s="30" t="str">
        <f>"Yohanes Ferry Maulanda"</f>
        <v>Yohanes Ferry Maulanda</v>
      </c>
      <c r="M52" s="30"/>
      <c r="N52" s="3"/>
      <c r="O52" s="3"/>
      <c r="P52" s="3"/>
      <c r="Q52" s="3"/>
      <c r="R52" s="3"/>
      <c r="S52" s="3"/>
      <c r="T52" s="11"/>
      <c r="U52" s="4"/>
      <c r="V52" s="4"/>
      <c r="W52" s="4"/>
      <c r="X52" s="4"/>
      <c r="Y52" s="15"/>
      <c r="Z52" s="4"/>
      <c r="AA52" s="4"/>
      <c r="AB52" s="4"/>
      <c r="AC52" s="4"/>
      <c r="AD52" s="4"/>
      <c r="AE52" s="4"/>
      <c r="AF52" s="11"/>
      <c r="AG52" s="4"/>
      <c r="AH52" s="4"/>
      <c r="AI52" s="4"/>
      <c r="AJ52" s="4"/>
      <c r="AK52" s="4"/>
      <c r="AL52" s="9">
        <f t="shared" si="6"/>
        <v>0</v>
      </c>
      <c r="AO52" s="47" t="str">
        <f>IF(COUNTIFS(IuranSYSebelumnya!$J$330:$J$772,$K52,IuranSYSebelumnya!$M$330:$M$772,AO$11,IuranSYSebelumnya!$L$330:$L$772,$M$5)&gt;0,
        VLOOKUP(CONCATENATE($K52,"|",AO$11,"|",$M$5),IuranSYSebelumnya!$I$330:$N$772,5,FALSE),
        IF(COUNTIFS(IuranSYSebelumnya!$J$330:$J$772,$K52,IuranSYSebelumnya!$M$330:$M$772,AO$11,IuranSYSebelumnya!$L$330:$L$772,"&lt;&gt;"&amp;$M$5)&gt;0,
              "Iuran dari Lingkungan lain",
              ""))</f>
        <v/>
      </c>
      <c r="AP52" s="47" t="str">
        <f>IF(COUNTIFS(IuranSYSebelumnya!$J$330:$J$772,$K52,IuranSYSebelumnya!$M$330:$M$772,AP$11,IuranSYSebelumnya!$L$330:$L$772,$M$5)&gt;0,
        VLOOKUP(CONCATENATE($K52,"|",AP$11,"|",$M$5),IuranSYSebelumnya!$I$330:$N$772,5,FALSE),
        IF(COUNTIFS(IuranSYSebelumnya!$J$330:$J$772,$K52,IuranSYSebelumnya!$M$330:$M$772,AP$11,IuranSYSebelumnya!$L$330:$L$772,"&lt;&gt;"&amp;$M$5)&gt;0,
              "Iuran dari Lingkungan lain",
              ""))</f>
        <v/>
      </c>
      <c r="AQ52" s="47" t="str">
        <f>IF(COUNTIFS(IuranSYSebelumnya!$J$330:$J$772,$K52,IuranSYSebelumnya!$M$330:$M$772,AQ$11,IuranSYSebelumnya!$L$330:$L$772,$M$5)&gt;0,
        VLOOKUP(CONCATENATE($K52,"|",AQ$11,"|",$M$5),IuranSYSebelumnya!$I$330:$N$772,5,FALSE),
        IF(COUNTIFS(IuranSYSebelumnya!$J$330:$J$772,$K52,IuranSYSebelumnya!$M$330:$M$772,AQ$11,IuranSYSebelumnya!$L$330:$L$772,"&lt;&gt;"&amp;$M$5)&gt;0,
              "Iuran dari Lingkungan lain",
              ""))</f>
        <v/>
      </c>
      <c r="AR52" s="47" t="str">
        <f>IF(COUNTIFS(IuranSYSebelumnya!$J$330:$J$772,$K52,IuranSYSebelumnya!$M$330:$M$772,AR$11,IuranSYSebelumnya!$L$330:$L$772,$M$5)&gt;0,
        VLOOKUP(CONCATENATE($K52,"|",AR$11,"|",$M$5),IuranSYSebelumnya!$I$330:$N$772,5,FALSE),
        IF(COUNTIFS(IuranSYSebelumnya!$J$330:$J$772,$K52,IuranSYSebelumnya!$M$330:$M$772,AR$11,IuranSYSebelumnya!$L$330:$L$772,"&lt;&gt;"&amp;$M$5)&gt;0,
              "Iuran dari Lingkungan lain",
              ""))</f>
        <v/>
      </c>
      <c r="AS52" s="47" t="str">
        <f>IF(COUNTIFS(IuranSYSebelumnya!$J$330:$J$772,$K52,IuranSYSebelumnya!$M$330:$M$772,AS$11,IuranSYSebelumnya!$L$330:$L$772,$M$5)&gt;0,
        VLOOKUP(CONCATENATE($K52,"|",AS$11,"|",$M$5),IuranSYSebelumnya!$I$330:$N$772,5,FALSE),
        IF(COUNTIFS(IuranSYSebelumnya!$J$330:$J$772,$K52,IuranSYSebelumnya!$M$330:$M$772,AS$11,IuranSYSebelumnya!$L$330:$L$772,"&lt;&gt;"&amp;$M$5)&gt;0,
              "Iuran dari Lingkungan lain",
              ""))</f>
        <v/>
      </c>
      <c r="AT52" s="47" t="str">
        <f>IF(COUNTIFS(IuranSYSebelumnya!$J$330:$J$772,$K52,IuranSYSebelumnya!$M$330:$M$772,AT$11,IuranSYSebelumnya!$L$330:$L$772,$M$5)&gt;0,
        VLOOKUP(CONCATENATE($K52,"|",AT$11,"|",$M$5),IuranSYSebelumnya!$I$330:$N$772,5,FALSE),
        IF(COUNTIFS(IuranSYSebelumnya!$J$330:$J$772,$K52,IuranSYSebelumnya!$M$330:$M$772,AT$11,IuranSYSebelumnya!$L$330:$L$772,"&lt;&gt;"&amp;$M$5)&gt;0,
              "Iuran dari Lingkungan lain",
              ""))</f>
        <v/>
      </c>
      <c r="AU52" s="47" t="str">
        <f>IF(COUNTIFS(IuranSYSebelumnya!$J$330:$J$772,$K52,IuranSYSebelumnya!$M$330:$M$772,AU$11,IuranSYSebelumnya!$L$330:$L$772,$M$5)&gt;0,
        VLOOKUP(CONCATENATE($K52,"|",AU$11,"|",$M$5),IuranSYSebelumnya!$I$330:$N$772,5,FALSE),
        IF(COUNTIFS(IuranSYSebelumnya!$J$330:$J$772,$K52,IuranSYSebelumnya!$M$330:$M$772,AU$11,IuranSYSebelumnya!$L$330:$L$772,"&lt;&gt;"&amp;$M$5)&gt;0,
              "Iuran dari Lingkungan lain",
              ""))</f>
        <v/>
      </c>
      <c r="AV52" s="47" t="str">
        <f>IF(COUNTIFS(IuranSYSebelumnya!$J$330:$J$772,$K52,IuranSYSebelumnya!$M$330:$M$772,AV$11,IuranSYSebelumnya!$L$330:$L$772,$M$5)&gt;0,
        VLOOKUP(CONCATENATE($K52,"|",AV$11,"|",$M$5),IuranSYSebelumnya!$I$330:$N$772,5,FALSE),
        IF(COUNTIFS(IuranSYSebelumnya!$J$330:$J$772,$K52,IuranSYSebelumnya!$M$330:$M$772,AV$11,IuranSYSebelumnya!$L$330:$L$772,"&lt;&gt;"&amp;$M$5)&gt;0,
              "Iuran dari Lingkungan lain",
              ""))</f>
        <v/>
      </c>
      <c r="AW52" s="47" t="str">
        <f>IF(COUNTIFS(IuranSYSebelumnya!$J$330:$J$772,$K52,IuranSYSebelumnya!$M$330:$M$772,AW$11,IuranSYSebelumnya!$L$330:$L$772,$M$5)&gt;0,
        VLOOKUP(CONCATENATE($K52,"|",AW$11,"|",$M$5),IuranSYSebelumnya!$I$330:$N$772,5,FALSE),
        IF(COUNTIFS(IuranSYSebelumnya!$J$330:$J$772,$K52,IuranSYSebelumnya!$M$330:$M$772,AW$11,IuranSYSebelumnya!$L$330:$L$772,"&lt;&gt;"&amp;$M$5)&gt;0,
              "Iuran dari Lingkungan lain",
              ""))</f>
        <v/>
      </c>
      <c r="AX52" s="47" t="str">
        <f>IF(COUNTIFS(IuranSYSebelumnya!$J$330:$J$772,$K52,IuranSYSebelumnya!$M$330:$M$772,AX$11,IuranSYSebelumnya!$L$330:$L$772,$M$5)&gt;0,
        VLOOKUP(CONCATENATE($K52,"|",AX$11,"|",$M$5),IuranSYSebelumnya!$I$330:$N$772,5,FALSE),
        IF(COUNTIFS(IuranSYSebelumnya!$J$330:$J$772,$K52,IuranSYSebelumnya!$M$330:$M$772,AX$11,IuranSYSebelumnya!$L$330:$L$772,"&lt;&gt;"&amp;$M$5)&gt;0,
              "Iuran dari Lingkungan lain",
              ""))</f>
        <v/>
      </c>
      <c r="AY52" s="47" t="str">
        <f>IF(COUNTIFS(IuranSYSebelumnya!$J$330:$J$772,$K52,IuranSYSebelumnya!$M$330:$M$772,AY$11,IuranSYSebelumnya!$L$330:$L$772,$M$5)&gt;0,
        VLOOKUP(CONCATENATE($K52,"|",AY$11,"|",$M$5),IuranSYSebelumnya!$I$330:$N$772,5,FALSE),
        IF(COUNTIFS(IuranSYSebelumnya!$J$330:$J$772,$K52,IuranSYSebelumnya!$M$330:$M$772,AY$11,IuranSYSebelumnya!$L$330:$L$772,"&lt;&gt;"&amp;$M$5)&gt;0,
              "Iuran dari Lingkungan lain",
              ""))</f>
        <v/>
      </c>
      <c r="AZ52" s="47" t="str">
        <f>IF(COUNTIFS(IuranSYSebelumnya!$J$330:$J$772,$K52,IuranSYSebelumnya!$M$330:$M$772,AZ$11,IuranSYSebelumnya!$L$330:$L$772,$M$5)&gt;0,
        VLOOKUP(CONCATENATE($K52,"|",AZ$11,"|",$M$5),IuranSYSebelumnya!$I$330:$N$772,5,FALSE),
        IF(COUNTIFS(IuranSYSebelumnya!$J$330:$J$772,$K52,IuranSYSebelumnya!$M$330:$M$772,AZ$11,IuranSYSebelumnya!$L$330:$L$772,"&lt;&gt;"&amp;$M$5)&gt;0,
              "Iuran dari Lingkungan lain",
              ""))</f>
        <v/>
      </c>
      <c r="BA52" s="47" t="str">
        <f>IF(COUNTIFS(IuranSYSebelumnya!$J$330:$J$772,$K52,IuranSYSebelumnya!$M$330:$M$772,BA$11,IuranSYSebelumnya!$L$330:$L$772,$M$5)&gt;0,
        VLOOKUP(CONCATENATE($K52,"|",BA$11,"|",$M$5),IuranSYSebelumnya!$I$330:$N$772,5,FALSE),
        IF(COUNTIFS(IuranSYSebelumnya!$J$330:$J$772,$K52,IuranSYSebelumnya!$M$330:$M$772,BA$11,IuranSYSebelumnya!$L$330:$L$772,"&lt;&gt;"&amp;$M$5)&gt;0,
              "Iuran dari Lingkungan lain",
              ""))</f>
        <v/>
      </c>
      <c r="BB52" s="47" t="str">
        <f>IF(COUNTIFS(IuranSYSebelumnya!$J$330:$J$772,$K52,IuranSYSebelumnya!$M$330:$M$772,BB$11,IuranSYSebelumnya!$L$330:$L$772,$M$5)&gt;0,
        VLOOKUP(CONCATENATE($K52,"|",BB$11,"|",$M$5),IuranSYSebelumnya!$I$330:$N$772,5,FALSE),
        IF(COUNTIFS(IuranSYSebelumnya!$J$330:$J$772,$K52,IuranSYSebelumnya!$M$330:$M$772,BB$11,IuranSYSebelumnya!$L$330:$L$772,"&lt;&gt;"&amp;$M$5)&gt;0,
              "Iuran dari Lingkungan lain",
              ""))</f>
        <v/>
      </c>
      <c r="BC52" s="47" t="str">
        <f>IF(COUNTIFS(IuranSYSebelumnya!$J$330:$J$772,$K52,IuranSYSebelumnya!$M$330:$M$772,BC$11,IuranSYSebelumnya!$L$330:$L$772,$M$5)&gt;0,
        VLOOKUP(CONCATENATE($K52,"|",BC$11,"|",$M$5),IuranSYSebelumnya!$I$330:$N$772,5,FALSE),
        IF(COUNTIFS(IuranSYSebelumnya!$J$330:$J$772,$K52,IuranSYSebelumnya!$M$330:$M$772,BC$11,IuranSYSebelumnya!$L$330:$L$772,"&lt;&gt;"&amp;$M$5)&gt;0,
              "Iuran dari Lingkungan lain",
              ""))</f>
        <v/>
      </c>
      <c r="BD52" s="47" t="str">
        <f>IF(COUNTIFS(IuranSYSebelumnya!$J$330:$J$772,$K52,IuranSYSebelumnya!$M$330:$M$772,BD$11,IuranSYSebelumnya!$L$330:$L$772,$M$5)&gt;0,
        VLOOKUP(CONCATENATE($K52,"|",BD$11,"|",$M$5),IuranSYSebelumnya!$I$330:$N$772,5,FALSE),
        IF(COUNTIFS(IuranSYSebelumnya!$J$330:$J$772,$K52,IuranSYSebelumnya!$M$330:$M$772,BD$11,IuranSYSebelumnya!$L$330:$L$772,"&lt;&gt;"&amp;$M$5)&gt;0,
              "Iuran dari Lingkungan lain",
              ""))</f>
        <v/>
      </c>
      <c r="BE52" s="47" t="str">
        <f>IF(COUNTIFS(IuranSYSebelumnya!$J$330:$J$772,$K52,IuranSYSebelumnya!$M$330:$M$772,BE$11,IuranSYSebelumnya!$L$330:$L$772,$M$5)&gt;0,
        VLOOKUP(CONCATENATE($K52,"|",BE$11,"|",$M$5),IuranSYSebelumnya!$I$330:$N$772,5,FALSE),
        IF(COUNTIFS(IuranSYSebelumnya!$J$330:$J$772,$K52,IuranSYSebelumnya!$M$330:$M$772,BE$11,IuranSYSebelumnya!$L$330:$L$772,"&lt;&gt;"&amp;$M$5)&gt;0,
              "Iuran dari Lingkungan lain",
              ""))</f>
        <v/>
      </c>
      <c r="BF52" s="47" t="str">
        <f>IF(COUNTIFS(IuranSYSebelumnya!$J$330:$J$772,$K52,IuranSYSebelumnya!$M$330:$M$772,BF$11,IuranSYSebelumnya!$L$330:$L$772,$M$5)&gt;0,
        VLOOKUP(CONCATENATE($K52,"|",BF$11,"|",$M$5),IuranSYSebelumnya!$I$330:$N$772,5,FALSE),
        IF(COUNTIFS(IuranSYSebelumnya!$J$330:$J$772,$K52,IuranSYSebelumnya!$M$330:$M$772,BF$11,IuranSYSebelumnya!$L$330:$L$772,"&lt;&gt;"&amp;$M$5)&gt;0,
              "Iuran dari Lingkungan lain",
              ""))</f>
        <v/>
      </c>
      <c r="BG52" s="47" t="str">
        <f>IF(COUNTIFS(IuranSYSebelumnya!$J$330:$J$772,$K52,IuranSYSebelumnya!$M$330:$M$772,BG$11,IuranSYSebelumnya!$L$330:$L$772,$M$5)&gt;0,
        VLOOKUP(CONCATENATE($K52,"|",BG$11,"|",$M$5),IuranSYSebelumnya!$I$330:$N$772,5,FALSE),
        IF(COUNTIFS(IuranSYSebelumnya!$J$330:$J$772,$K52,IuranSYSebelumnya!$M$330:$M$772,BG$11,IuranSYSebelumnya!$L$330:$L$772,"&lt;&gt;"&amp;$M$5)&gt;0,
              "Iuran dari Lingkungan lain",
              ""))</f>
        <v/>
      </c>
      <c r="BH52" s="47" t="str">
        <f>IF(COUNTIFS(IuranSYSebelumnya!$J$330:$J$772,$K52,IuranSYSebelumnya!$M$330:$M$772,BH$11,IuranSYSebelumnya!$L$330:$L$772,$M$5)&gt;0,
        VLOOKUP(CONCATENATE($K52,"|",BH$11,"|",$M$5),IuranSYSebelumnya!$I$330:$N$772,5,FALSE),
        IF(COUNTIFS(IuranSYSebelumnya!$J$330:$J$772,$K52,IuranSYSebelumnya!$M$330:$M$772,BH$11,IuranSYSebelumnya!$L$330:$L$772,"&lt;&gt;"&amp;$M$5)&gt;0,
              "Iuran dari Lingkungan lain",
              ""))</f>
        <v/>
      </c>
      <c r="BI52" s="47" t="str">
        <f>IF(COUNTIFS(IuranSYSebelumnya!$J$330:$J$772,$K52,IuranSYSebelumnya!$M$330:$M$772,BI$11,IuranSYSebelumnya!$L$330:$L$772,$M$5)&gt;0,
        VLOOKUP(CONCATENATE($K52,"|",BI$11,"|",$M$5),IuranSYSebelumnya!$I$330:$N$772,5,FALSE),
        IF(COUNTIFS(IuranSYSebelumnya!$J$330:$J$772,$K52,IuranSYSebelumnya!$M$330:$M$772,BI$11,IuranSYSebelumnya!$L$330:$L$772,"&lt;&gt;"&amp;$M$5)&gt;0,
              "Iuran dari Lingkungan lain",
              ""))</f>
        <v/>
      </c>
      <c r="BJ52" s="47" t="str">
        <f>IF(COUNTIFS(IuranSYSebelumnya!$J$330:$J$772,$K52,IuranSYSebelumnya!$M$330:$M$772,BJ$11,IuranSYSebelumnya!$L$330:$L$772,$M$5)&gt;0,
        VLOOKUP(CONCATENATE($K52,"|",BJ$11,"|",$M$5),IuranSYSebelumnya!$I$330:$N$772,5,FALSE),
        IF(COUNTIFS(IuranSYSebelumnya!$J$330:$J$772,$K52,IuranSYSebelumnya!$M$330:$M$772,BJ$11,IuranSYSebelumnya!$L$330:$L$772,"&lt;&gt;"&amp;$M$5)&gt;0,
              "Iuran dari Lingkungan lain",
              ""))</f>
        <v/>
      </c>
      <c r="BK52" s="47" t="str">
        <f>IF(COUNTIFS(IuranSYSebelumnya!$J$330:$J$772,$K52,IuranSYSebelumnya!$M$330:$M$772,BK$11,IuranSYSebelumnya!$L$330:$L$772,$M$5)&gt;0,
        VLOOKUP(CONCATENATE($K52,"|",BK$11,"|",$M$5),IuranSYSebelumnya!$I$330:$N$772,5,FALSE),
        IF(COUNTIFS(IuranSYSebelumnya!$J$330:$J$772,$K52,IuranSYSebelumnya!$M$330:$M$772,BK$11,IuranSYSebelumnya!$L$330:$L$772,"&lt;&gt;"&amp;$M$5)&gt;0,
              "Iuran dari Lingkungan lain",
              ""))</f>
        <v/>
      </c>
      <c r="BL52" s="47" t="str">
        <f>IF(COUNTIFS(IuranSYSebelumnya!$J$330:$J$772,$K52,IuranSYSebelumnya!$M$330:$M$772,BL$11,IuranSYSebelumnya!$L$330:$L$772,$M$5)&gt;0,
        VLOOKUP(CONCATENATE($K52,"|",BL$11,"|",$M$5),IuranSYSebelumnya!$I$330:$N$772,5,FALSE),
        IF(COUNTIFS(IuranSYSebelumnya!$J$330:$J$772,$K52,IuranSYSebelumnya!$M$330:$M$772,BL$11,IuranSYSebelumnya!$L$330:$L$772,"&lt;&gt;"&amp;$M$5)&gt;0,
              "Iuran dari Lingkungan lain",
              ""))</f>
        <v/>
      </c>
    </row>
    <row r="53" spans="1:64" x14ac:dyDescent="0.35">
      <c r="A53" s="30" t="s">
        <v>6063</v>
      </c>
      <c r="C53" s="30" t="b">
        <f t="shared" ca="1" si="3"/>
        <v>0</v>
      </c>
      <c r="D53" s="30" t="str">
        <f>"""TRUST Nav"",""HSPMTB2016"",""18"",""1"",""KK-04624"""</f>
        <v>"TRUST Nav","HSPMTB2016","18","1","KK-04624"</v>
      </c>
      <c r="H53" s="30">
        <f t="shared" si="4"/>
        <v>0</v>
      </c>
      <c r="J53" s="30">
        <f t="shared" si="5"/>
        <v>41</v>
      </c>
      <c r="K53" s="30" t="str">
        <f>"KK-04624"</f>
        <v>KK-04624</v>
      </c>
      <c r="L53" s="30" t="str">
        <f>"Yohanes Hendy Setiawan"</f>
        <v>Yohanes Hendy Setiawan</v>
      </c>
      <c r="M53" s="30"/>
      <c r="N53" s="129"/>
      <c r="O53" s="129"/>
      <c r="P53" s="129"/>
      <c r="Q53" s="129"/>
      <c r="R53" s="129"/>
      <c r="S53" s="129"/>
      <c r="T53" s="130"/>
      <c r="U53" s="131"/>
      <c r="V53" s="131"/>
      <c r="W53" s="131"/>
      <c r="X53" s="131"/>
      <c r="Y53" s="132"/>
      <c r="Z53" s="131"/>
      <c r="AA53" s="131"/>
      <c r="AB53" s="131"/>
      <c r="AC53" s="4"/>
      <c r="AD53" s="4"/>
      <c r="AE53" s="4"/>
      <c r="AF53" s="11"/>
      <c r="AG53" s="4"/>
      <c r="AH53" s="4"/>
      <c r="AI53" s="4"/>
      <c r="AJ53" s="4"/>
      <c r="AK53" s="4"/>
      <c r="AL53" s="9">
        <f t="shared" si="6"/>
        <v>0</v>
      </c>
      <c r="AO53" s="47">
        <f>IF(COUNTIFS(IuranSYSebelumnya!$J$330:$J$772,$K53,IuranSYSebelumnya!$M$330:$M$772,AO$11,IuranSYSebelumnya!$L$330:$L$772,$M$5)&gt;0,
        VLOOKUP(CONCATENATE($K53,"|",AO$11,"|",$M$5),IuranSYSebelumnya!$I$330:$N$772,5,FALSE),
        IF(COUNTIFS(IuranSYSebelumnya!$J$330:$J$772,$K53,IuranSYSebelumnya!$M$330:$M$772,AO$11,IuranSYSebelumnya!$L$330:$L$772,"&lt;&gt;"&amp;$M$5)&gt;0,
              "Iuran dari Lingkungan lain",
              ""))</f>
        <v>42186</v>
      </c>
      <c r="AP53" s="47">
        <f>IF(COUNTIFS(IuranSYSebelumnya!$J$330:$J$772,$K53,IuranSYSebelumnya!$M$330:$M$772,AP$11,IuranSYSebelumnya!$L$330:$L$772,$M$5)&gt;0,
        VLOOKUP(CONCATENATE($K53,"|",AP$11,"|",$M$5),IuranSYSebelumnya!$I$330:$N$772,5,FALSE),
        IF(COUNTIFS(IuranSYSebelumnya!$J$330:$J$772,$K53,IuranSYSebelumnya!$M$330:$M$772,AP$11,IuranSYSebelumnya!$L$330:$L$772,"&lt;&gt;"&amp;$M$5)&gt;0,
              "Iuran dari Lingkungan lain",
              ""))</f>
        <v>42217</v>
      </c>
      <c r="AQ53" s="47">
        <f>IF(COUNTIFS(IuranSYSebelumnya!$J$330:$J$772,$K53,IuranSYSebelumnya!$M$330:$M$772,AQ$11,IuranSYSebelumnya!$L$330:$L$772,$M$5)&gt;0,
        VLOOKUP(CONCATENATE($K53,"|",AQ$11,"|",$M$5),IuranSYSebelumnya!$I$330:$N$772,5,FALSE),
        IF(COUNTIFS(IuranSYSebelumnya!$J$330:$J$772,$K53,IuranSYSebelumnya!$M$330:$M$772,AQ$11,IuranSYSebelumnya!$L$330:$L$772,"&lt;&gt;"&amp;$M$5)&gt;0,
              "Iuran dari Lingkungan lain",
              ""))</f>
        <v>42248</v>
      </c>
      <c r="AR53" s="47">
        <f>IF(COUNTIFS(IuranSYSebelumnya!$J$330:$J$772,$K53,IuranSYSebelumnya!$M$330:$M$772,AR$11,IuranSYSebelumnya!$L$330:$L$772,$M$5)&gt;0,
        VLOOKUP(CONCATENATE($K53,"|",AR$11,"|",$M$5),IuranSYSebelumnya!$I$330:$N$772,5,FALSE),
        IF(COUNTIFS(IuranSYSebelumnya!$J$330:$J$772,$K53,IuranSYSebelumnya!$M$330:$M$772,AR$11,IuranSYSebelumnya!$L$330:$L$772,"&lt;&gt;"&amp;$M$5)&gt;0,
              "Iuran dari Lingkungan lain",
              ""))</f>
        <v>42278</v>
      </c>
      <c r="AS53" s="47">
        <f>IF(COUNTIFS(IuranSYSebelumnya!$J$330:$J$772,$K53,IuranSYSebelumnya!$M$330:$M$772,AS$11,IuranSYSebelumnya!$L$330:$L$772,$M$5)&gt;0,
        VLOOKUP(CONCATENATE($K53,"|",AS$11,"|",$M$5),IuranSYSebelumnya!$I$330:$N$772,5,FALSE),
        IF(COUNTIFS(IuranSYSebelumnya!$J$330:$J$772,$K53,IuranSYSebelumnya!$M$330:$M$772,AS$11,IuranSYSebelumnya!$L$330:$L$772,"&lt;&gt;"&amp;$M$5)&gt;0,
              "Iuran dari Lingkungan lain",
              ""))</f>
        <v>42309</v>
      </c>
      <c r="AT53" s="47">
        <f>IF(COUNTIFS(IuranSYSebelumnya!$J$330:$J$772,$K53,IuranSYSebelumnya!$M$330:$M$772,AT$11,IuranSYSebelumnya!$L$330:$L$772,$M$5)&gt;0,
        VLOOKUP(CONCATENATE($K53,"|",AT$11,"|",$M$5),IuranSYSebelumnya!$I$330:$N$772,5,FALSE),
        IF(COUNTIFS(IuranSYSebelumnya!$J$330:$J$772,$K53,IuranSYSebelumnya!$M$330:$M$772,AT$11,IuranSYSebelumnya!$L$330:$L$772,"&lt;&gt;"&amp;$M$5)&gt;0,
              "Iuran dari Lingkungan lain",
              ""))</f>
        <v>42339</v>
      </c>
      <c r="AU53" s="47">
        <f>IF(COUNTIFS(IuranSYSebelumnya!$J$330:$J$772,$K53,IuranSYSebelumnya!$M$330:$M$772,AU$11,IuranSYSebelumnya!$L$330:$L$772,$M$5)&gt;0,
        VLOOKUP(CONCATENATE($K53,"|",AU$11,"|",$M$5),IuranSYSebelumnya!$I$330:$N$772,5,FALSE),
        IF(COUNTIFS(IuranSYSebelumnya!$J$330:$J$772,$K53,IuranSYSebelumnya!$M$330:$M$772,AU$11,IuranSYSebelumnya!$L$330:$L$772,"&lt;&gt;"&amp;$M$5)&gt;0,
              "Iuran dari Lingkungan lain",
              ""))</f>
        <v>42370</v>
      </c>
      <c r="AV53" s="47">
        <f>IF(COUNTIFS(IuranSYSebelumnya!$J$330:$J$772,$K53,IuranSYSebelumnya!$M$330:$M$772,AV$11,IuranSYSebelumnya!$L$330:$L$772,$M$5)&gt;0,
        VLOOKUP(CONCATENATE($K53,"|",AV$11,"|",$M$5),IuranSYSebelumnya!$I$330:$N$772,5,FALSE),
        IF(COUNTIFS(IuranSYSebelumnya!$J$330:$J$772,$K53,IuranSYSebelumnya!$M$330:$M$772,AV$11,IuranSYSebelumnya!$L$330:$L$772,"&lt;&gt;"&amp;$M$5)&gt;0,
              "Iuran dari Lingkungan lain",
              ""))</f>
        <v>42401</v>
      </c>
      <c r="AW53" s="47">
        <f>IF(COUNTIFS(IuranSYSebelumnya!$J$330:$J$772,$K53,IuranSYSebelumnya!$M$330:$M$772,AW$11,IuranSYSebelumnya!$L$330:$L$772,$M$5)&gt;0,
        VLOOKUP(CONCATENATE($K53,"|",AW$11,"|",$M$5),IuranSYSebelumnya!$I$330:$N$772,5,FALSE),
        IF(COUNTIFS(IuranSYSebelumnya!$J$330:$J$772,$K53,IuranSYSebelumnya!$M$330:$M$772,AW$11,IuranSYSebelumnya!$L$330:$L$772,"&lt;&gt;"&amp;$M$5)&gt;0,
              "Iuran dari Lingkungan lain",
              ""))</f>
        <v>42430</v>
      </c>
      <c r="AX53" s="47">
        <f>IF(COUNTIFS(IuranSYSebelumnya!$J$330:$J$772,$K53,IuranSYSebelumnya!$M$330:$M$772,AX$11,IuranSYSebelumnya!$L$330:$L$772,$M$5)&gt;0,
        VLOOKUP(CONCATENATE($K53,"|",AX$11,"|",$M$5),IuranSYSebelumnya!$I$330:$N$772,5,FALSE),
        IF(COUNTIFS(IuranSYSebelumnya!$J$330:$J$772,$K53,IuranSYSebelumnya!$M$330:$M$772,AX$11,IuranSYSebelumnya!$L$330:$L$772,"&lt;&gt;"&amp;$M$5)&gt;0,
              "Iuran dari Lingkungan lain",
              ""))</f>
        <v>42461</v>
      </c>
      <c r="AY53" s="47">
        <f>IF(COUNTIFS(IuranSYSebelumnya!$J$330:$J$772,$K53,IuranSYSebelumnya!$M$330:$M$772,AY$11,IuranSYSebelumnya!$L$330:$L$772,$M$5)&gt;0,
        VLOOKUP(CONCATENATE($K53,"|",AY$11,"|",$M$5),IuranSYSebelumnya!$I$330:$N$772,5,FALSE),
        IF(COUNTIFS(IuranSYSebelumnya!$J$330:$J$772,$K53,IuranSYSebelumnya!$M$330:$M$772,AY$11,IuranSYSebelumnya!$L$330:$L$772,"&lt;&gt;"&amp;$M$5)&gt;0,
              "Iuran dari Lingkungan lain",
              ""))</f>
        <v>42491</v>
      </c>
      <c r="AZ53" s="47">
        <f>IF(COUNTIFS(IuranSYSebelumnya!$J$330:$J$772,$K53,IuranSYSebelumnya!$M$330:$M$772,AZ$11,IuranSYSebelumnya!$L$330:$L$772,$M$5)&gt;0,
        VLOOKUP(CONCATENATE($K53,"|",AZ$11,"|",$M$5),IuranSYSebelumnya!$I$330:$N$772,5,FALSE),
        IF(COUNTIFS(IuranSYSebelumnya!$J$330:$J$772,$K53,IuranSYSebelumnya!$M$330:$M$772,AZ$11,IuranSYSebelumnya!$L$330:$L$772,"&lt;&gt;"&amp;$M$5)&gt;0,
              "Iuran dari Lingkungan lain",
              ""))</f>
        <v>42522</v>
      </c>
      <c r="BA53" s="47">
        <f>IF(COUNTIFS(IuranSYSebelumnya!$J$330:$J$772,$K53,IuranSYSebelumnya!$M$330:$M$772,BA$11,IuranSYSebelumnya!$L$330:$L$772,$M$5)&gt;0,
        VLOOKUP(CONCATENATE($K53,"|",BA$11,"|",$M$5),IuranSYSebelumnya!$I$330:$N$772,5,FALSE),
        IF(COUNTIFS(IuranSYSebelumnya!$J$330:$J$772,$K53,IuranSYSebelumnya!$M$330:$M$772,BA$11,IuranSYSebelumnya!$L$330:$L$772,"&lt;&gt;"&amp;$M$5)&gt;0,
              "Iuran dari Lingkungan lain",
              ""))</f>
        <v>42552</v>
      </c>
      <c r="BB53" s="47">
        <f>IF(COUNTIFS(IuranSYSebelumnya!$J$330:$J$772,$K53,IuranSYSebelumnya!$M$330:$M$772,BB$11,IuranSYSebelumnya!$L$330:$L$772,$M$5)&gt;0,
        VLOOKUP(CONCATENATE($K53,"|",BB$11,"|",$M$5),IuranSYSebelumnya!$I$330:$N$772,5,FALSE),
        IF(COUNTIFS(IuranSYSebelumnya!$J$330:$J$772,$K53,IuranSYSebelumnya!$M$330:$M$772,BB$11,IuranSYSebelumnya!$L$330:$L$772,"&lt;&gt;"&amp;$M$5)&gt;0,
              "Iuran dari Lingkungan lain",
              ""))</f>
        <v>42583</v>
      </c>
      <c r="BC53" s="47">
        <f>IF(COUNTIFS(IuranSYSebelumnya!$J$330:$J$772,$K53,IuranSYSebelumnya!$M$330:$M$772,BC$11,IuranSYSebelumnya!$L$330:$L$772,$M$5)&gt;0,
        VLOOKUP(CONCATENATE($K53,"|",BC$11,"|",$M$5),IuranSYSebelumnya!$I$330:$N$772,5,FALSE),
        IF(COUNTIFS(IuranSYSebelumnya!$J$330:$J$772,$K53,IuranSYSebelumnya!$M$330:$M$772,BC$11,IuranSYSebelumnya!$L$330:$L$772,"&lt;&gt;"&amp;$M$5)&gt;0,
              "Iuran dari Lingkungan lain",
              ""))</f>
        <v>42614</v>
      </c>
      <c r="BD53" s="47" t="str">
        <f>IF(COUNTIFS(IuranSYSebelumnya!$J$330:$J$772,$K53,IuranSYSebelumnya!$M$330:$M$772,BD$11,IuranSYSebelumnya!$L$330:$L$772,$M$5)&gt;0,
        VLOOKUP(CONCATENATE($K53,"|",BD$11,"|",$M$5),IuranSYSebelumnya!$I$330:$N$772,5,FALSE),
        IF(COUNTIFS(IuranSYSebelumnya!$J$330:$J$772,$K53,IuranSYSebelumnya!$M$330:$M$772,BD$11,IuranSYSebelumnya!$L$330:$L$772,"&lt;&gt;"&amp;$M$5)&gt;0,
              "Iuran dari Lingkungan lain",
              ""))</f>
        <v/>
      </c>
      <c r="BE53" s="47" t="str">
        <f>IF(COUNTIFS(IuranSYSebelumnya!$J$330:$J$772,$K53,IuranSYSebelumnya!$M$330:$M$772,BE$11,IuranSYSebelumnya!$L$330:$L$772,$M$5)&gt;0,
        VLOOKUP(CONCATENATE($K53,"|",BE$11,"|",$M$5),IuranSYSebelumnya!$I$330:$N$772,5,FALSE),
        IF(COUNTIFS(IuranSYSebelumnya!$J$330:$J$772,$K53,IuranSYSebelumnya!$M$330:$M$772,BE$11,IuranSYSebelumnya!$L$330:$L$772,"&lt;&gt;"&amp;$M$5)&gt;0,
              "Iuran dari Lingkungan lain",
              ""))</f>
        <v/>
      </c>
      <c r="BF53" s="47" t="str">
        <f>IF(COUNTIFS(IuranSYSebelumnya!$J$330:$J$772,$K53,IuranSYSebelumnya!$M$330:$M$772,BF$11,IuranSYSebelumnya!$L$330:$L$772,$M$5)&gt;0,
        VLOOKUP(CONCATENATE($K53,"|",BF$11,"|",$M$5),IuranSYSebelumnya!$I$330:$N$772,5,FALSE),
        IF(COUNTIFS(IuranSYSebelumnya!$J$330:$J$772,$K53,IuranSYSebelumnya!$M$330:$M$772,BF$11,IuranSYSebelumnya!$L$330:$L$772,"&lt;&gt;"&amp;$M$5)&gt;0,
              "Iuran dari Lingkungan lain",
              ""))</f>
        <v/>
      </c>
      <c r="BG53" s="47" t="str">
        <f>IF(COUNTIFS(IuranSYSebelumnya!$J$330:$J$772,$K53,IuranSYSebelumnya!$M$330:$M$772,BG$11,IuranSYSebelumnya!$L$330:$L$772,$M$5)&gt;0,
        VLOOKUP(CONCATENATE($K53,"|",BG$11,"|",$M$5),IuranSYSebelumnya!$I$330:$N$772,5,FALSE),
        IF(COUNTIFS(IuranSYSebelumnya!$J$330:$J$772,$K53,IuranSYSebelumnya!$M$330:$M$772,BG$11,IuranSYSebelumnya!$L$330:$L$772,"&lt;&gt;"&amp;$M$5)&gt;0,
              "Iuran dari Lingkungan lain",
              ""))</f>
        <v/>
      </c>
      <c r="BH53" s="47" t="str">
        <f>IF(COUNTIFS(IuranSYSebelumnya!$J$330:$J$772,$K53,IuranSYSebelumnya!$M$330:$M$772,BH$11,IuranSYSebelumnya!$L$330:$L$772,$M$5)&gt;0,
        VLOOKUP(CONCATENATE($K53,"|",BH$11,"|",$M$5),IuranSYSebelumnya!$I$330:$N$772,5,FALSE),
        IF(COUNTIFS(IuranSYSebelumnya!$J$330:$J$772,$K53,IuranSYSebelumnya!$M$330:$M$772,BH$11,IuranSYSebelumnya!$L$330:$L$772,"&lt;&gt;"&amp;$M$5)&gt;0,
              "Iuran dari Lingkungan lain",
              ""))</f>
        <v/>
      </c>
      <c r="BI53" s="47" t="str">
        <f>IF(COUNTIFS(IuranSYSebelumnya!$J$330:$J$772,$K53,IuranSYSebelumnya!$M$330:$M$772,BI$11,IuranSYSebelumnya!$L$330:$L$772,$M$5)&gt;0,
        VLOOKUP(CONCATENATE($K53,"|",BI$11,"|",$M$5),IuranSYSebelumnya!$I$330:$N$772,5,FALSE),
        IF(COUNTIFS(IuranSYSebelumnya!$J$330:$J$772,$K53,IuranSYSebelumnya!$M$330:$M$772,BI$11,IuranSYSebelumnya!$L$330:$L$772,"&lt;&gt;"&amp;$M$5)&gt;0,
              "Iuran dari Lingkungan lain",
              ""))</f>
        <v/>
      </c>
      <c r="BJ53" s="47" t="str">
        <f>IF(COUNTIFS(IuranSYSebelumnya!$J$330:$J$772,$K53,IuranSYSebelumnya!$M$330:$M$772,BJ$11,IuranSYSebelumnya!$L$330:$L$772,$M$5)&gt;0,
        VLOOKUP(CONCATENATE($K53,"|",BJ$11,"|",$M$5),IuranSYSebelumnya!$I$330:$N$772,5,FALSE),
        IF(COUNTIFS(IuranSYSebelumnya!$J$330:$J$772,$K53,IuranSYSebelumnya!$M$330:$M$772,BJ$11,IuranSYSebelumnya!$L$330:$L$772,"&lt;&gt;"&amp;$M$5)&gt;0,
              "Iuran dari Lingkungan lain",
              ""))</f>
        <v/>
      </c>
      <c r="BK53" s="47" t="str">
        <f>IF(COUNTIFS(IuranSYSebelumnya!$J$330:$J$772,$K53,IuranSYSebelumnya!$M$330:$M$772,BK$11,IuranSYSebelumnya!$L$330:$L$772,$M$5)&gt;0,
        VLOOKUP(CONCATENATE($K53,"|",BK$11,"|",$M$5),IuranSYSebelumnya!$I$330:$N$772,5,FALSE),
        IF(COUNTIFS(IuranSYSebelumnya!$J$330:$J$772,$K53,IuranSYSebelumnya!$M$330:$M$772,BK$11,IuranSYSebelumnya!$L$330:$L$772,"&lt;&gt;"&amp;$M$5)&gt;0,
              "Iuran dari Lingkungan lain",
              ""))</f>
        <v/>
      </c>
      <c r="BL53" s="47" t="str">
        <f>IF(COUNTIFS(IuranSYSebelumnya!$J$330:$J$772,$K53,IuranSYSebelumnya!$M$330:$M$772,BL$11,IuranSYSebelumnya!$L$330:$L$772,$M$5)&gt;0,
        VLOOKUP(CONCATENATE($K53,"|",BL$11,"|",$M$5),IuranSYSebelumnya!$I$330:$N$772,5,FALSE),
        IF(COUNTIFS(IuranSYSebelumnya!$J$330:$J$772,$K53,IuranSYSebelumnya!$M$330:$M$772,BL$11,IuranSYSebelumnya!$L$330:$L$772,"&lt;&gt;"&amp;$M$5)&gt;0,
              "Iuran dari Lingkungan lain",
              ""))</f>
        <v/>
      </c>
    </row>
    <row r="54" spans="1:64" x14ac:dyDescent="0.35">
      <c r="A54" s="30" t="s">
        <v>6063</v>
      </c>
      <c r="C54" s="30" t="b">
        <f t="shared" ca="1" si="3"/>
        <v>0</v>
      </c>
      <c r="D54" s="30" t="str">
        <f>"""TRUST Nav"",""HSPMTB2016"",""18"",""1"",""KK-05054"""</f>
        <v>"TRUST Nav","HSPMTB2016","18","1","KK-05054"</v>
      </c>
      <c r="H54" s="30">
        <f t="shared" si="4"/>
        <v>0</v>
      </c>
      <c r="J54" s="30">
        <f t="shared" si="5"/>
        <v>42</v>
      </c>
      <c r="K54" s="30" t="str">
        <f>"KK-05054"</f>
        <v>KK-05054</v>
      </c>
      <c r="L54" s="30" t="str">
        <f>"Yohanes Kasriel Ruslim"</f>
        <v>Yohanes Kasriel Ruslim</v>
      </c>
      <c r="M54" s="30"/>
      <c r="N54" s="3"/>
      <c r="O54" s="3"/>
      <c r="P54" s="3"/>
      <c r="Q54" s="3"/>
      <c r="R54" s="3"/>
      <c r="S54" s="3"/>
      <c r="T54" s="11"/>
      <c r="U54" s="4"/>
      <c r="V54" s="4"/>
      <c r="W54" s="4"/>
      <c r="X54" s="4"/>
      <c r="Y54" s="15"/>
      <c r="Z54" s="4"/>
      <c r="AA54" s="4"/>
      <c r="AB54" s="4"/>
      <c r="AC54" s="4"/>
      <c r="AD54" s="4"/>
      <c r="AE54" s="4"/>
      <c r="AF54" s="11"/>
      <c r="AG54" s="4"/>
      <c r="AH54" s="4"/>
      <c r="AI54" s="4"/>
      <c r="AJ54" s="4"/>
      <c r="AK54" s="4"/>
      <c r="AL54" s="9">
        <f t="shared" si="6"/>
        <v>0</v>
      </c>
      <c r="AO54" s="47" t="str">
        <f>IF(COUNTIFS(IuranSYSebelumnya!$J$330:$J$772,$K54,IuranSYSebelumnya!$M$330:$M$772,AO$11,IuranSYSebelumnya!$L$330:$L$772,$M$5)&gt;0,
        VLOOKUP(CONCATENATE($K54,"|",AO$11,"|",$M$5),IuranSYSebelumnya!$I$330:$N$772,5,FALSE),
        IF(COUNTIFS(IuranSYSebelumnya!$J$330:$J$772,$K54,IuranSYSebelumnya!$M$330:$M$772,AO$11,IuranSYSebelumnya!$L$330:$L$772,"&lt;&gt;"&amp;$M$5)&gt;0,
              "Iuran dari Lingkungan lain",
              ""))</f>
        <v/>
      </c>
      <c r="AP54" s="47" t="str">
        <f>IF(COUNTIFS(IuranSYSebelumnya!$J$330:$J$772,$K54,IuranSYSebelumnya!$M$330:$M$772,AP$11,IuranSYSebelumnya!$L$330:$L$772,$M$5)&gt;0,
        VLOOKUP(CONCATENATE($K54,"|",AP$11,"|",$M$5),IuranSYSebelumnya!$I$330:$N$772,5,FALSE),
        IF(COUNTIFS(IuranSYSebelumnya!$J$330:$J$772,$K54,IuranSYSebelumnya!$M$330:$M$772,AP$11,IuranSYSebelumnya!$L$330:$L$772,"&lt;&gt;"&amp;$M$5)&gt;0,
              "Iuran dari Lingkungan lain",
              ""))</f>
        <v/>
      </c>
      <c r="AQ54" s="47" t="str">
        <f>IF(COUNTIFS(IuranSYSebelumnya!$J$330:$J$772,$K54,IuranSYSebelumnya!$M$330:$M$772,AQ$11,IuranSYSebelumnya!$L$330:$L$772,$M$5)&gt;0,
        VLOOKUP(CONCATENATE($K54,"|",AQ$11,"|",$M$5),IuranSYSebelumnya!$I$330:$N$772,5,FALSE),
        IF(COUNTIFS(IuranSYSebelumnya!$J$330:$J$772,$K54,IuranSYSebelumnya!$M$330:$M$772,AQ$11,IuranSYSebelumnya!$L$330:$L$772,"&lt;&gt;"&amp;$M$5)&gt;0,
              "Iuran dari Lingkungan lain",
              ""))</f>
        <v/>
      </c>
      <c r="AR54" s="47" t="str">
        <f>IF(COUNTIFS(IuranSYSebelumnya!$J$330:$J$772,$K54,IuranSYSebelumnya!$M$330:$M$772,AR$11,IuranSYSebelumnya!$L$330:$L$772,$M$5)&gt;0,
        VLOOKUP(CONCATENATE($K54,"|",AR$11,"|",$M$5),IuranSYSebelumnya!$I$330:$N$772,5,FALSE),
        IF(COUNTIFS(IuranSYSebelumnya!$J$330:$J$772,$K54,IuranSYSebelumnya!$M$330:$M$772,AR$11,IuranSYSebelumnya!$L$330:$L$772,"&lt;&gt;"&amp;$M$5)&gt;0,
              "Iuran dari Lingkungan lain",
              ""))</f>
        <v/>
      </c>
      <c r="AS54" s="47" t="str">
        <f>IF(COUNTIFS(IuranSYSebelumnya!$J$330:$J$772,$K54,IuranSYSebelumnya!$M$330:$M$772,AS$11,IuranSYSebelumnya!$L$330:$L$772,$M$5)&gt;0,
        VLOOKUP(CONCATENATE($K54,"|",AS$11,"|",$M$5),IuranSYSebelumnya!$I$330:$N$772,5,FALSE),
        IF(COUNTIFS(IuranSYSebelumnya!$J$330:$J$772,$K54,IuranSYSebelumnya!$M$330:$M$772,AS$11,IuranSYSebelumnya!$L$330:$L$772,"&lt;&gt;"&amp;$M$5)&gt;0,
              "Iuran dari Lingkungan lain",
              ""))</f>
        <v/>
      </c>
      <c r="AT54" s="47" t="str">
        <f>IF(COUNTIFS(IuranSYSebelumnya!$J$330:$J$772,$K54,IuranSYSebelumnya!$M$330:$M$772,AT$11,IuranSYSebelumnya!$L$330:$L$772,$M$5)&gt;0,
        VLOOKUP(CONCATENATE($K54,"|",AT$11,"|",$M$5),IuranSYSebelumnya!$I$330:$N$772,5,FALSE),
        IF(COUNTIFS(IuranSYSebelumnya!$J$330:$J$772,$K54,IuranSYSebelumnya!$M$330:$M$772,AT$11,IuranSYSebelumnya!$L$330:$L$772,"&lt;&gt;"&amp;$M$5)&gt;0,
              "Iuran dari Lingkungan lain",
              ""))</f>
        <v/>
      </c>
      <c r="AU54" s="47" t="str">
        <f>IF(COUNTIFS(IuranSYSebelumnya!$J$330:$J$772,$K54,IuranSYSebelumnya!$M$330:$M$772,AU$11,IuranSYSebelumnya!$L$330:$L$772,$M$5)&gt;0,
        VLOOKUP(CONCATENATE($K54,"|",AU$11,"|",$M$5),IuranSYSebelumnya!$I$330:$N$772,5,FALSE),
        IF(COUNTIFS(IuranSYSebelumnya!$J$330:$J$772,$K54,IuranSYSebelumnya!$M$330:$M$772,AU$11,IuranSYSebelumnya!$L$330:$L$772,"&lt;&gt;"&amp;$M$5)&gt;0,
              "Iuran dari Lingkungan lain",
              ""))</f>
        <v/>
      </c>
      <c r="AV54" s="47" t="str">
        <f>IF(COUNTIFS(IuranSYSebelumnya!$J$330:$J$772,$K54,IuranSYSebelumnya!$M$330:$M$772,AV$11,IuranSYSebelumnya!$L$330:$L$772,$M$5)&gt;0,
        VLOOKUP(CONCATENATE($K54,"|",AV$11,"|",$M$5),IuranSYSebelumnya!$I$330:$N$772,5,FALSE),
        IF(COUNTIFS(IuranSYSebelumnya!$J$330:$J$772,$K54,IuranSYSebelumnya!$M$330:$M$772,AV$11,IuranSYSebelumnya!$L$330:$L$772,"&lt;&gt;"&amp;$M$5)&gt;0,
              "Iuran dari Lingkungan lain",
              ""))</f>
        <v/>
      </c>
      <c r="AW54" s="47" t="str">
        <f>IF(COUNTIFS(IuranSYSebelumnya!$J$330:$J$772,$K54,IuranSYSebelumnya!$M$330:$M$772,AW$11,IuranSYSebelumnya!$L$330:$L$772,$M$5)&gt;0,
        VLOOKUP(CONCATENATE($K54,"|",AW$11,"|",$M$5),IuranSYSebelumnya!$I$330:$N$772,5,FALSE),
        IF(COUNTIFS(IuranSYSebelumnya!$J$330:$J$772,$K54,IuranSYSebelumnya!$M$330:$M$772,AW$11,IuranSYSebelumnya!$L$330:$L$772,"&lt;&gt;"&amp;$M$5)&gt;0,
              "Iuran dari Lingkungan lain",
              ""))</f>
        <v/>
      </c>
      <c r="AX54" s="47" t="str">
        <f>IF(COUNTIFS(IuranSYSebelumnya!$J$330:$J$772,$K54,IuranSYSebelumnya!$M$330:$M$772,AX$11,IuranSYSebelumnya!$L$330:$L$772,$M$5)&gt;0,
        VLOOKUP(CONCATENATE($K54,"|",AX$11,"|",$M$5),IuranSYSebelumnya!$I$330:$N$772,5,FALSE),
        IF(COUNTIFS(IuranSYSebelumnya!$J$330:$J$772,$K54,IuranSYSebelumnya!$M$330:$M$772,AX$11,IuranSYSebelumnya!$L$330:$L$772,"&lt;&gt;"&amp;$M$5)&gt;0,
              "Iuran dari Lingkungan lain",
              ""))</f>
        <v/>
      </c>
      <c r="AY54" s="47" t="str">
        <f>IF(COUNTIFS(IuranSYSebelumnya!$J$330:$J$772,$K54,IuranSYSebelumnya!$M$330:$M$772,AY$11,IuranSYSebelumnya!$L$330:$L$772,$M$5)&gt;0,
        VLOOKUP(CONCATENATE($K54,"|",AY$11,"|",$M$5),IuranSYSebelumnya!$I$330:$N$772,5,FALSE),
        IF(COUNTIFS(IuranSYSebelumnya!$J$330:$J$772,$K54,IuranSYSebelumnya!$M$330:$M$772,AY$11,IuranSYSebelumnya!$L$330:$L$772,"&lt;&gt;"&amp;$M$5)&gt;0,
              "Iuran dari Lingkungan lain",
              ""))</f>
        <v/>
      </c>
      <c r="AZ54" s="47" t="str">
        <f>IF(COUNTIFS(IuranSYSebelumnya!$J$330:$J$772,$K54,IuranSYSebelumnya!$M$330:$M$772,AZ$11,IuranSYSebelumnya!$L$330:$L$772,$M$5)&gt;0,
        VLOOKUP(CONCATENATE($K54,"|",AZ$11,"|",$M$5),IuranSYSebelumnya!$I$330:$N$772,5,FALSE),
        IF(COUNTIFS(IuranSYSebelumnya!$J$330:$J$772,$K54,IuranSYSebelumnya!$M$330:$M$772,AZ$11,IuranSYSebelumnya!$L$330:$L$772,"&lt;&gt;"&amp;$M$5)&gt;0,
              "Iuran dari Lingkungan lain",
              ""))</f>
        <v/>
      </c>
      <c r="BA54" s="47" t="str">
        <f>IF(COUNTIFS(IuranSYSebelumnya!$J$330:$J$772,$K54,IuranSYSebelumnya!$M$330:$M$772,BA$11,IuranSYSebelumnya!$L$330:$L$772,$M$5)&gt;0,
        VLOOKUP(CONCATENATE($K54,"|",BA$11,"|",$M$5),IuranSYSebelumnya!$I$330:$N$772,5,FALSE),
        IF(COUNTIFS(IuranSYSebelumnya!$J$330:$J$772,$K54,IuranSYSebelumnya!$M$330:$M$772,BA$11,IuranSYSebelumnya!$L$330:$L$772,"&lt;&gt;"&amp;$M$5)&gt;0,
              "Iuran dari Lingkungan lain",
              ""))</f>
        <v/>
      </c>
      <c r="BB54" s="47" t="str">
        <f>IF(COUNTIFS(IuranSYSebelumnya!$J$330:$J$772,$K54,IuranSYSebelumnya!$M$330:$M$772,BB$11,IuranSYSebelumnya!$L$330:$L$772,$M$5)&gt;0,
        VLOOKUP(CONCATENATE($K54,"|",BB$11,"|",$M$5),IuranSYSebelumnya!$I$330:$N$772,5,FALSE),
        IF(COUNTIFS(IuranSYSebelumnya!$J$330:$J$772,$K54,IuranSYSebelumnya!$M$330:$M$772,BB$11,IuranSYSebelumnya!$L$330:$L$772,"&lt;&gt;"&amp;$M$5)&gt;0,
              "Iuran dari Lingkungan lain",
              ""))</f>
        <v/>
      </c>
      <c r="BC54" s="47" t="str">
        <f>IF(COUNTIFS(IuranSYSebelumnya!$J$330:$J$772,$K54,IuranSYSebelumnya!$M$330:$M$772,BC$11,IuranSYSebelumnya!$L$330:$L$772,$M$5)&gt;0,
        VLOOKUP(CONCATENATE($K54,"|",BC$11,"|",$M$5),IuranSYSebelumnya!$I$330:$N$772,5,FALSE),
        IF(COUNTIFS(IuranSYSebelumnya!$J$330:$J$772,$K54,IuranSYSebelumnya!$M$330:$M$772,BC$11,IuranSYSebelumnya!$L$330:$L$772,"&lt;&gt;"&amp;$M$5)&gt;0,
              "Iuran dari Lingkungan lain",
              ""))</f>
        <v/>
      </c>
      <c r="BD54" s="47" t="str">
        <f>IF(COUNTIFS(IuranSYSebelumnya!$J$330:$J$772,$K54,IuranSYSebelumnya!$M$330:$M$772,BD$11,IuranSYSebelumnya!$L$330:$L$772,$M$5)&gt;0,
        VLOOKUP(CONCATENATE($K54,"|",BD$11,"|",$M$5),IuranSYSebelumnya!$I$330:$N$772,5,FALSE),
        IF(COUNTIFS(IuranSYSebelumnya!$J$330:$J$772,$K54,IuranSYSebelumnya!$M$330:$M$772,BD$11,IuranSYSebelumnya!$L$330:$L$772,"&lt;&gt;"&amp;$M$5)&gt;0,
              "Iuran dari Lingkungan lain",
              ""))</f>
        <v/>
      </c>
      <c r="BE54" s="47" t="str">
        <f>IF(COUNTIFS(IuranSYSebelumnya!$J$330:$J$772,$K54,IuranSYSebelumnya!$M$330:$M$772,BE$11,IuranSYSebelumnya!$L$330:$L$772,$M$5)&gt;0,
        VLOOKUP(CONCATENATE($K54,"|",BE$11,"|",$M$5),IuranSYSebelumnya!$I$330:$N$772,5,FALSE),
        IF(COUNTIFS(IuranSYSebelumnya!$J$330:$J$772,$K54,IuranSYSebelumnya!$M$330:$M$772,BE$11,IuranSYSebelumnya!$L$330:$L$772,"&lt;&gt;"&amp;$M$5)&gt;0,
              "Iuran dari Lingkungan lain",
              ""))</f>
        <v/>
      </c>
      <c r="BF54" s="47" t="str">
        <f>IF(COUNTIFS(IuranSYSebelumnya!$J$330:$J$772,$K54,IuranSYSebelumnya!$M$330:$M$772,BF$11,IuranSYSebelumnya!$L$330:$L$772,$M$5)&gt;0,
        VLOOKUP(CONCATENATE($K54,"|",BF$11,"|",$M$5),IuranSYSebelumnya!$I$330:$N$772,5,FALSE),
        IF(COUNTIFS(IuranSYSebelumnya!$J$330:$J$772,$K54,IuranSYSebelumnya!$M$330:$M$772,BF$11,IuranSYSebelumnya!$L$330:$L$772,"&lt;&gt;"&amp;$M$5)&gt;0,
              "Iuran dari Lingkungan lain",
              ""))</f>
        <v/>
      </c>
      <c r="BG54" s="47" t="str">
        <f>IF(COUNTIFS(IuranSYSebelumnya!$J$330:$J$772,$K54,IuranSYSebelumnya!$M$330:$M$772,BG$11,IuranSYSebelumnya!$L$330:$L$772,$M$5)&gt;0,
        VLOOKUP(CONCATENATE($K54,"|",BG$11,"|",$M$5),IuranSYSebelumnya!$I$330:$N$772,5,FALSE),
        IF(COUNTIFS(IuranSYSebelumnya!$J$330:$J$772,$K54,IuranSYSebelumnya!$M$330:$M$772,BG$11,IuranSYSebelumnya!$L$330:$L$772,"&lt;&gt;"&amp;$M$5)&gt;0,
              "Iuran dari Lingkungan lain",
              ""))</f>
        <v/>
      </c>
      <c r="BH54" s="47" t="str">
        <f>IF(COUNTIFS(IuranSYSebelumnya!$J$330:$J$772,$K54,IuranSYSebelumnya!$M$330:$M$772,BH$11,IuranSYSebelumnya!$L$330:$L$772,$M$5)&gt;0,
        VLOOKUP(CONCATENATE($K54,"|",BH$11,"|",$M$5),IuranSYSebelumnya!$I$330:$N$772,5,FALSE),
        IF(COUNTIFS(IuranSYSebelumnya!$J$330:$J$772,$K54,IuranSYSebelumnya!$M$330:$M$772,BH$11,IuranSYSebelumnya!$L$330:$L$772,"&lt;&gt;"&amp;$M$5)&gt;0,
              "Iuran dari Lingkungan lain",
              ""))</f>
        <v/>
      </c>
      <c r="BI54" s="47" t="str">
        <f>IF(COUNTIFS(IuranSYSebelumnya!$J$330:$J$772,$K54,IuranSYSebelumnya!$M$330:$M$772,BI$11,IuranSYSebelumnya!$L$330:$L$772,$M$5)&gt;0,
        VLOOKUP(CONCATENATE($K54,"|",BI$11,"|",$M$5),IuranSYSebelumnya!$I$330:$N$772,5,FALSE),
        IF(COUNTIFS(IuranSYSebelumnya!$J$330:$J$772,$K54,IuranSYSebelumnya!$M$330:$M$772,BI$11,IuranSYSebelumnya!$L$330:$L$772,"&lt;&gt;"&amp;$M$5)&gt;0,
              "Iuran dari Lingkungan lain",
              ""))</f>
        <v/>
      </c>
      <c r="BJ54" s="47" t="str">
        <f>IF(COUNTIFS(IuranSYSebelumnya!$J$330:$J$772,$K54,IuranSYSebelumnya!$M$330:$M$772,BJ$11,IuranSYSebelumnya!$L$330:$L$772,$M$5)&gt;0,
        VLOOKUP(CONCATENATE($K54,"|",BJ$11,"|",$M$5),IuranSYSebelumnya!$I$330:$N$772,5,FALSE),
        IF(COUNTIFS(IuranSYSebelumnya!$J$330:$J$772,$K54,IuranSYSebelumnya!$M$330:$M$772,BJ$11,IuranSYSebelumnya!$L$330:$L$772,"&lt;&gt;"&amp;$M$5)&gt;0,
              "Iuran dari Lingkungan lain",
              ""))</f>
        <v/>
      </c>
      <c r="BK54" s="47" t="str">
        <f>IF(COUNTIFS(IuranSYSebelumnya!$J$330:$J$772,$K54,IuranSYSebelumnya!$M$330:$M$772,BK$11,IuranSYSebelumnya!$L$330:$L$772,$M$5)&gt;0,
        VLOOKUP(CONCATENATE($K54,"|",BK$11,"|",$M$5),IuranSYSebelumnya!$I$330:$N$772,5,FALSE),
        IF(COUNTIFS(IuranSYSebelumnya!$J$330:$J$772,$K54,IuranSYSebelumnya!$M$330:$M$772,BK$11,IuranSYSebelumnya!$L$330:$L$772,"&lt;&gt;"&amp;$M$5)&gt;0,
              "Iuran dari Lingkungan lain",
              ""))</f>
        <v/>
      </c>
      <c r="BL54" s="47" t="str">
        <f>IF(COUNTIFS(IuranSYSebelumnya!$J$330:$J$772,$K54,IuranSYSebelumnya!$M$330:$M$772,BL$11,IuranSYSebelumnya!$L$330:$L$772,$M$5)&gt;0,
        VLOOKUP(CONCATENATE($K54,"|",BL$11,"|",$M$5),IuranSYSebelumnya!$I$330:$N$772,5,FALSE),
        IF(COUNTIFS(IuranSYSebelumnya!$J$330:$J$772,$K54,IuranSYSebelumnya!$M$330:$M$772,BL$11,IuranSYSebelumnya!$L$330:$L$772,"&lt;&gt;"&amp;$M$5)&gt;0,
              "Iuran dari Lingkungan lain",
              ""))</f>
        <v/>
      </c>
    </row>
    <row r="55" spans="1:64" x14ac:dyDescent="0.35">
      <c r="A55" s="30" t="s">
        <v>6063</v>
      </c>
      <c r="C55" s="30" t="b">
        <f t="shared" ca="1" si="3"/>
        <v>0</v>
      </c>
      <c r="D55" s="30" t="str">
        <f>"""TRUST Nav"",""HSPMTB2016"",""18"",""1"",""KK-04625"""</f>
        <v>"TRUST Nav","HSPMTB2016","18","1","KK-04625"</v>
      </c>
      <c r="H55" s="30">
        <f t="shared" si="4"/>
        <v>0</v>
      </c>
      <c r="J55" s="30">
        <f t="shared" si="5"/>
        <v>43</v>
      </c>
      <c r="K55" s="30" t="str">
        <f>"KK-04625"</f>
        <v>KK-04625</v>
      </c>
      <c r="L55" s="30" t="str">
        <f>"Yunius Samara"</f>
        <v>Yunius Samara</v>
      </c>
      <c r="M55" s="30"/>
      <c r="N55" s="129"/>
      <c r="O55" s="129"/>
      <c r="P55" s="129"/>
      <c r="Q55" s="129"/>
      <c r="R55" s="129"/>
      <c r="S55" s="129"/>
      <c r="T55" s="130"/>
      <c r="U55" s="131"/>
      <c r="V55" s="131"/>
      <c r="W55" s="131"/>
      <c r="X55" s="4"/>
      <c r="Y55" s="15"/>
      <c r="Z55" s="4"/>
      <c r="AA55" s="4"/>
      <c r="AB55" s="4"/>
      <c r="AC55" s="4"/>
      <c r="AD55" s="4"/>
      <c r="AE55" s="4"/>
      <c r="AF55" s="11"/>
      <c r="AG55" s="4"/>
      <c r="AH55" s="4"/>
      <c r="AI55" s="4"/>
      <c r="AJ55" s="4"/>
      <c r="AK55" s="4"/>
      <c r="AL55" s="9">
        <f t="shared" si="6"/>
        <v>0</v>
      </c>
      <c r="AO55" s="47">
        <f>IF(COUNTIFS(IuranSYSebelumnya!$J$330:$J$772,$K55,IuranSYSebelumnya!$M$330:$M$772,AO$11,IuranSYSebelumnya!$L$330:$L$772,$M$5)&gt;0,
        VLOOKUP(CONCATENATE($K55,"|",AO$11,"|",$M$5),IuranSYSebelumnya!$I$330:$N$772,5,FALSE),
        IF(COUNTIFS(IuranSYSebelumnya!$J$330:$J$772,$K55,IuranSYSebelumnya!$M$330:$M$772,AO$11,IuranSYSebelumnya!$L$330:$L$772,"&lt;&gt;"&amp;$M$5)&gt;0,
              "Iuran dari Lingkungan lain",
              ""))</f>
        <v>42186</v>
      </c>
      <c r="AP55" s="47">
        <f>IF(COUNTIFS(IuranSYSebelumnya!$J$330:$J$772,$K55,IuranSYSebelumnya!$M$330:$M$772,AP$11,IuranSYSebelumnya!$L$330:$L$772,$M$5)&gt;0,
        VLOOKUP(CONCATENATE($K55,"|",AP$11,"|",$M$5),IuranSYSebelumnya!$I$330:$N$772,5,FALSE),
        IF(COUNTIFS(IuranSYSebelumnya!$J$330:$J$772,$K55,IuranSYSebelumnya!$M$330:$M$772,AP$11,IuranSYSebelumnya!$L$330:$L$772,"&lt;&gt;"&amp;$M$5)&gt;0,
              "Iuran dari Lingkungan lain",
              ""))</f>
        <v>42217</v>
      </c>
      <c r="AQ55" s="47">
        <f>IF(COUNTIFS(IuranSYSebelumnya!$J$330:$J$772,$K55,IuranSYSebelumnya!$M$330:$M$772,AQ$11,IuranSYSebelumnya!$L$330:$L$772,$M$5)&gt;0,
        VLOOKUP(CONCATENATE($K55,"|",AQ$11,"|",$M$5),IuranSYSebelumnya!$I$330:$N$772,5,FALSE),
        IF(COUNTIFS(IuranSYSebelumnya!$J$330:$J$772,$K55,IuranSYSebelumnya!$M$330:$M$772,AQ$11,IuranSYSebelumnya!$L$330:$L$772,"&lt;&gt;"&amp;$M$5)&gt;0,
              "Iuran dari Lingkungan lain",
              ""))</f>
        <v>42248</v>
      </c>
      <c r="AR55" s="47">
        <f>IF(COUNTIFS(IuranSYSebelumnya!$J$330:$J$772,$K55,IuranSYSebelumnya!$M$330:$M$772,AR$11,IuranSYSebelumnya!$L$330:$L$772,$M$5)&gt;0,
        VLOOKUP(CONCATENATE($K55,"|",AR$11,"|",$M$5),IuranSYSebelumnya!$I$330:$N$772,5,FALSE),
        IF(COUNTIFS(IuranSYSebelumnya!$J$330:$J$772,$K55,IuranSYSebelumnya!$M$330:$M$772,AR$11,IuranSYSebelumnya!$L$330:$L$772,"&lt;&gt;"&amp;$M$5)&gt;0,
              "Iuran dari Lingkungan lain",
              ""))</f>
        <v>42278</v>
      </c>
      <c r="AS55" s="47">
        <f>IF(COUNTIFS(IuranSYSebelumnya!$J$330:$J$772,$K55,IuranSYSebelumnya!$M$330:$M$772,AS$11,IuranSYSebelumnya!$L$330:$L$772,$M$5)&gt;0,
        VLOOKUP(CONCATENATE($K55,"|",AS$11,"|",$M$5),IuranSYSebelumnya!$I$330:$N$772,5,FALSE),
        IF(COUNTIFS(IuranSYSebelumnya!$J$330:$J$772,$K55,IuranSYSebelumnya!$M$330:$M$772,AS$11,IuranSYSebelumnya!$L$330:$L$772,"&lt;&gt;"&amp;$M$5)&gt;0,
              "Iuran dari Lingkungan lain",
              ""))</f>
        <v>42309</v>
      </c>
      <c r="AT55" s="47">
        <f>IF(COUNTIFS(IuranSYSebelumnya!$J$330:$J$772,$K55,IuranSYSebelumnya!$M$330:$M$772,AT$11,IuranSYSebelumnya!$L$330:$L$772,$M$5)&gt;0,
        VLOOKUP(CONCATENATE($K55,"|",AT$11,"|",$M$5),IuranSYSebelumnya!$I$330:$N$772,5,FALSE),
        IF(COUNTIFS(IuranSYSebelumnya!$J$330:$J$772,$K55,IuranSYSebelumnya!$M$330:$M$772,AT$11,IuranSYSebelumnya!$L$330:$L$772,"&lt;&gt;"&amp;$M$5)&gt;0,
              "Iuran dari Lingkungan lain",
              ""))</f>
        <v>42339</v>
      </c>
      <c r="AU55" s="47">
        <f>IF(COUNTIFS(IuranSYSebelumnya!$J$330:$J$772,$K55,IuranSYSebelumnya!$M$330:$M$772,AU$11,IuranSYSebelumnya!$L$330:$L$772,$M$5)&gt;0,
        VLOOKUP(CONCATENATE($K55,"|",AU$11,"|",$M$5),IuranSYSebelumnya!$I$330:$N$772,5,FALSE),
        IF(COUNTIFS(IuranSYSebelumnya!$J$330:$J$772,$K55,IuranSYSebelumnya!$M$330:$M$772,AU$11,IuranSYSebelumnya!$L$330:$L$772,"&lt;&gt;"&amp;$M$5)&gt;0,
              "Iuran dari Lingkungan lain",
              ""))</f>
        <v>42370</v>
      </c>
      <c r="AV55" s="47">
        <f>IF(COUNTIFS(IuranSYSebelumnya!$J$330:$J$772,$K55,IuranSYSebelumnya!$M$330:$M$772,AV$11,IuranSYSebelumnya!$L$330:$L$772,$M$5)&gt;0,
        VLOOKUP(CONCATENATE($K55,"|",AV$11,"|",$M$5),IuranSYSebelumnya!$I$330:$N$772,5,FALSE),
        IF(COUNTIFS(IuranSYSebelumnya!$J$330:$J$772,$K55,IuranSYSebelumnya!$M$330:$M$772,AV$11,IuranSYSebelumnya!$L$330:$L$772,"&lt;&gt;"&amp;$M$5)&gt;0,
              "Iuran dari Lingkungan lain",
              ""))</f>
        <v>42401</v>
      </c>
      <c r="AW55" s="47">
        <f>IF(COUNTIFS(IuranSYSebelumnya!$J$330:$J$772,$K55,IuranSYSebelumnya!$M$330:$M$772,AW$11,IuranSYSebelumnya!$L$330:$L$772,$M$5)&gt;0,
        VLOOKUP(CONCATENATE($K55,"|",AW$11,"|",$M$5),IuranSYSebelumnya!$I$330:$N$772,5,FALSE),
        IF(COUNTIFS(IuranSYSebelumnya!$J$330:$J$772,$K55,IuranSYSebelumnya!$M$330:$M$772,AW$11,IuranSYSebelumnya!$L$330:$L$772,"&lt;&gt;"&amp;$M$5)&gt;0,
              "Iuran dari Lingkungan lain",
              ""))</f>
        <v>42430</v>
      </c>
      <c r="AX55" s="47">
        <f>IF(COUNTIFS(IuranSYSebelumnya!$J$330:$J$772,$K55,IuranSYSebelumnya!$M$330:$M$772,AX$11,IuranSYSebelumnya!$L$330:$L$772,$M$5)&gt;0,
        VLOOKUP(CONCATENATE($K55,"|",AX$11,"|",$M$5),IuranSYSebelumnya!$I$330:$N$772,5,FALSE),
        IF(COUNTIFS(IuranSYSebelumnya!$J$330:$J$772,$K55,IuranSYSebelumnya!$M$330:$M$772,AX$11,IuranSYSebelumnya!$L$330:$L$772,"&lt;&gt;"&amp;$M$5)&gt;0,
              "Iuran dari Lingkungan lain",
              ""))</f>
        <v>42461</v>
      </c>
      <c r="AY55" s="47" t="str">
        <f>IF(COUNTIFS(IuranSYSebelumnya!$J$330:$J$772,$K55,IuranSYSebelumnya!$M$330:$M$772,AY$11,IuranSYSebelumnya!$L$330:$L$772,$M$5)&gt;0,
        VLOOKUP(CONCATENATE($K55,"|",AY$11,"|",$M$5),IuranSYSebelumnya!$I$330:$N$772,5,FALSE),
        IF(COUNTIFS(IuranSYSebelumnya!$J$330:$J$772,$K55,IuranSYSebelumnya!$M$330:$M$772,AY$11,IuranSYSebelumnya!$L$330:$L$772,"&lt;&gt;"&amp;$M$5)&gt;0,
              "Iuran dari Lingkungan lain",
              ""))</f>
        <v/>
      </c>
      <c r="AZ55" s="47" t="str">
        <f>IF(COUNTIFS(IuranSYSebelumnya!$J$330:$J$772,$K55,IuranSYSebelumnya!$M$330:$M$772,AZ$11,IuranSYSebelumnya!$L$330:$L$772,$M$5)&gt;0,
        VLOOKUP(CONCATENATE($K55,"|",AZ$11,"|",$M$5),IuranSYSebelumnya!$I$330:$N$772,5,FALSE),
        IF(COUNTIFS(IuranSYSebelumnya!$J$330:$J$772,$K55,IuranSYSebelumnya!$M$330:$M$772,AZ$11,IuranSYSebelumnya!$L$330:$L$772,"&lt;&gt;"&amp;$M$5)&gt;0,
              "Iuran dari Lingkungan lain",
              ""))</f>
        <v/>
      </c>
      <c r="BA55" s="47" t="str">
        <f>IF(COUNTIFS(IuranSYSebelumnya!$J$330:$J$772,$K55,IuranSYSebelumnya!$M$330:$M$772,BA$11,IuranSYSebelumnya!$L$330:$L$772,$M$5)&gt;0,
        VLOOKUP(CONCATENATE($K55,"|",BA$11,"|",$M$5),IuranSYSebelumnya!$I$330:$N$772,5,FALSE),
        IF(COUNTIFS(IuranSYSebelumnya!$J$330:$J$772,$K55,IuranSYSebelumnya!$M$330:$M$772,BA$11,IuranSYSebelumnya!$L$330:$L$772,"&lt;&gt;"&amp;$M$5)&gt;0,
              "Iuran dari Lingkungan lain",
              ""))</f>
        <v/>
      </c>
      <c r="BB55" s="47" t="str">
        <f>IF(COUNTIFS(IuranSYSebelumnya!$J$330:$J$772,$K55,IuranSYSebelumnya!$M$330:$M$772,BB$11,IuranSYSebelumnya!$L$330:$L$772,$M$5)&gt;0,
        VLOOKUP(CONCATENATE($K55,"|",BB$11,"|",$M$5),IuranSYSebelumnya!$I$330:$N$772,5,FALSE),
        IF(COUNTIFS(IuranSYSebelumnya!$J$330:$J$772,$K55,IuranSYSebelumnya!$M$330:$M$772,BB$11,IuranSYSebelumnya!$L$330:$L$772,"&lt;&gt;"&amp;$M$5)&gt;0,
              "Iuran dari Lingkungan lain",
              ""))</f>
        <v/>
      </c>
      <c r="BC55" s="47" t="str">
        <f>IF(COUNTIFS(IuranSYSebelumnya!$J$330:$J$772,$K55,IuranSYSebelumnya!$M$330:$M$772,BC$11,IuranSYSebelumnya!$L$330:$L$772,$M$5)&gt;0,
        VLOOKUP(CONCATENATE($K55,"|",BC$11,"|",$M$5),IuranSYSebelumnya!$I$330:$N$772,5,FALSE),
        IF(COUNTIFS(IuranSYSebelumnya!$J$330:$J$772,$K55,IuranSYSebelumnya!$M$330:$M$772,BC$11,IuranSYSebelumnya!$L$330:$L$772,"&lt;&gt;"&amp;$M$5)&gt;0,
              "Iuran dari Lingkungan lain",
              ""))</f>
        <v/>
      </c>
      <c r="BD55" s="47" t="str">
        <f>IF(COUNTIFS(IuranSYSebelumnya!$J$330:$J$772,$K55,IuranSYSebelumnya!$M$330:$M$772,BD$11,IuranSYSebelumnya!$L$330:$L$772,$M$5)&gt;0,
        VLOOKUP(CONCATENATE($K55,"|",BD$11,"|",$M$5),IuranSYSebelumnya!$I$330:$N$772,5,FALSE),
        IF(COUNTIFS(IuranSYSebelumnya!$J$330:$J$772,$K55,IuranSYSebelumnya!$M$330:$M$772,BD$11,IuranSYSebelumnya!$L$330:$L$772,"&lt;&gt;"&amp;$M$5)&gt;0,
              "Iuran dari Lingkungan lain",
              ""))</f>
        <v/>
      </c>
      <c r="BE55" s="47" t="str">
        <f>IF(COUNTIFS(IuranSYSebelumnya!$J$330:$J$772,$K55,IuranSYSebelumnya!$M$330:$M$772,BE$11,IuranSYSebelumnya!$L$330:$L$772,$M$5)&gt;0,
        VLOOKUP(CONCATENATE($K55,"|",BE$11,"|",$M$5),IuranSYSebelumnya!$I$330:$N$772,5,FALSE),
        IF(COUNTIFS(IuranSYSebelumnya!$J$330:$J$772,$K55,IuranSYSebelumnya!$M$330:$M$772,BE$11,IuranSYSebelumnya!$L$330:$L$772,"&lt;&gt;"&amp;$M$5)&gt;0,
              "Iuran dari Lingkungan lain",
              ""))</f>
        <v/>
      </c>
      <c r="BF55" s="47" t="str">
        <f>IF(COUNTIFS(IuranSYSebelumnya!$J$330:$J$772,$K55,IuranSYSebelumnya!$M$330:$M$772,BF$11,IuranSYSebelumnya!$L$330:$L$772,$M$5)&gt;0,
        VLOOKUP(CONCATENATE($K55,"|",BF$11,"|",$M$5),IuranSYSebelumnya!$I$330:$N$772,5,FALSE),
        IF(COUNTIFS(IuranSYSebelumnya!$J$330:$J$772,$K55,IuranSYSebelumnya!$M$330:$M$772,BF$11,IuranSYSebelumnya!$L$330:$L$772,"&lt;&gt;"&amp;$M$5)&gt;0,
              "Iuran dari Lingkungan lain",
              ""))</f>
        <v/>
      </c>
      <c r="BG55" s="47" t="str">
        <f>IF(COUNTIFS(IuranSYSebelumnya!$J$330:$J$772,$K55,IuranSYSebelumnya!$M$330:$M$772,BG$11,IuranSYSebelumnya!$L$330:$L$772,$M$5)&gt;0,
        VLOOKUP(CONCATENATE($K55,"|",BG$11,"|",$M$5),IuranSYSebelumnya!$I$330:$N$772,5,FALSE),
        IF(COUNTIFS(IuranSYSebelumnya!$J$330:$J$772,$K55,IuranSYSebelumnya!$M$330:$M$772,BG$11,IuranSYSebelumnya!$L$330:$L$772,"&lt;&gt;"&amp;$M$5)&gt;0,
              "Iuran dari Lingkungan lain",
              ""))</f>
        <v/>
      </c>
      <c r="BH55" s="47" t="str">
        <f>IF(COUNTIFS(IuranSYSebelumnya!$J$330:$J$772,$K55,IuranSYSebelumnya!$M$330:$M$772,BH$11,IuranSYSebelumnya!$L$330:$L$772,$M$5)&gt;0,
        VLOOKUP(CONCATENATE($K55,"|",BH$11,"|",$M$5),IuranSYSebelumnya!$I$330:$N$772,5,FALSE),
        IF(COUNTIFS(IuranSYSebelumnya!$J$330:$J$772,$K55,IuranSYSebelumnya!$M$330:$M$772,BH$11,IuranSYSebelumnya!$L$330:$L$772,"&lt;&gt;"&amp;$M$5)&gt;0,
              "Iuran dari Lingkungan lain",
              ""))</f>
        <v/>
      </c>
      <c r="BI55" s="47" t="str">
        <f>IF(COUNTIFS(IuranSYSebelumnya!$J$330:$J$772,$K55,IuranSYSebelumnya!$M$330:$M$772,BI$11,IuranSYSebelumnya!$L$330:$L$772,$M$5)&gt;0,
        VLOOKUP(CONCATENATE($K55,"|",BI$11,"|",$M$5),IuranSYSebelumnya!$I$330:$N$772,5,FALSE),
        IF(COUNTIFS(IuranSYSebelumnya!$J$330:$J$772,$K55,IuranSYSebelumnya!$M$330:$M$772,BI$11,IuranSYSebelumnya!$L$330:$L$772,"&lt;&gt;"&amp;$M$5)&gt;0,
              "Iuran dari Lingkungan lain",
              ""))</f>
        <v/>
      </c>
      <c r="BJ55" s="47" t="str">
        <f>IF(COUNTIFS(IuranSYSebelumnya!$J$330:$J$772,$K55,IuranSYSebelumnya!$M$330:$M$772,BJ$11,IuranSYSebelumnya!$L$330:$L$772,$M$5)&gt;0,
        VLOOKUP(CONCATENATE($K55,"|",BJ$11,"|",$M$5),IuranSYSebelumnya!$I$330:$N$772,5,FALSE),
        IF(COUNTIFS(IuranSYSebelumnya!$J$330:$J$772,$K55,IuranSYSebelumnya!$M$330:$M$772,BJ$11,IuranSYSebelumnya!$L$330:$L$772,"&lt;&gt;"&amp;$M$5)&gt;0,
              "Iuran dari Lingkungan lain",
              ""))</f>
        <v/>
      </c>
      <c r="BK55" s="47" t="str">
        <f>IF(COUNTIFS(IuranSYSebelumnya!$J$330:$J$772,$K55,IuranSYSebelumnya!$M$330:$M$772,BK$11,IuranSYSebelumnya!$L$330:$L$772,$M$5)&gt;0,
        VLOOKUP(CONCATENATE($K55,"|",BK$11,"|",$M$5),IuranSYSebelumnya!$I$330:$N$772,5,FALSE),
        IF(COUNTIFS(IuranSYSebelumnya!$J$330:$J$772,$K55,IuranSYSebelumnya!$M$330:$M$772,BK$11,IuranSYSebelumnya!$L$330:$L$772,"&lt;&gt;"&amp;$M$5)&gt;0,
              "Iuran dari Lingkungan lain",
              ""))</f>
        <v/>
      </c>
      <c r="BL55" s="47" t="str">
        <f>IF(COUNTIFS(IuranSYSebelumnya!$J$330:$J$772,$K55,IuranSYSebelumnya!$M$330:$M$772,BL$11,IuranSYSebelumnya!$L$330:$L$772,$M$5)&gt;0,
        VLOOKUP(CONCATENATE($K55,"|",BL$11,"|",$M$5),IuranSYSebelumnya!$I$330:$N$772,5,FALSE),
        IF(COUNTIFS(IuranSYSebelumnya!$J$330:$J$772,$K55,IuranSYSebelumnya!$M$330:$M$772,BL$11,IuranSYSebelumnya!$L$330:$L$772,"&lt;&gt;"&amp;$M$5)&gt;0,
              "Iuran dari Lingkungan lain",
              ""))</f>
        <v/>
      </c>
    </row>
    <row r="56" spans="1:64" hidden="1" x14ac:dyDescent="0.35">
      <c r="A56" s="30" t="s">
        <v>22</v>
      </c>
    </row>
    <row r="57" spans="1:64" x14ac:dyDescent="0.35">
      <c r="AO57" s="38"/>
    </row>
  </sheetData>
  <mergeCells count="10">
    <mergeCell ref="T10:AE10"/>
    <mergeCell ref="J10:J11"/>
    <mergeCell ref="K10:K12"/>
    <mergeCell ref="L10:L11"/>
    <mergeCell ref="N10:S10"/>
    <mergeCell ref="AF10:AK10"/>
    <mergeCell ref="AL10:AL11"/>
    <mergeCell ref="AO10:AT10"/>
    <mergeCell ref="AU10:BF10"/>
    <mergeCell ref="BG10:BL10"/>
  </mergeCells>
  <conditionalFormatting sqref="J2:AL2">
    <cfRule type="expression" dxfId="26" priority="9">
      <formula>IF($H$4="Protected",FALSE,TRUE)</formula>
    </cfRule>
  </conditionalFormatting>
  <conditionalFormatting sqref="N13:AK13 N56:AK56">
    <cfRule type="expression" dxfId="25" priority="10" stopIfTrue="1">
      <formula>IF(AO13="Iuran dari Lingkungan lain",TRUE,FALSE)</formula>
    </cfRule>
    <cfRule type="expression" dxfId="24" priority="11">
      <formula>IF(ISNUMBER(AO13),TRUE,FALSE)</formula>
    </cfRule>
  </conditionalFormatting>
  <conditionalFormatting sqref="M11:AK11">
    <cfRule type="expression" dxfId="23" priority="5">
      <formula>M$8=TRUE</formula>
    </cfRule>
  </conditionalFormatting>
  <conditionalFormatting sqref="L13 L56">
    <cfRule type="expression" dxfId="22" priority="298">
      <formula>$C13=TRUE</formula>
    </cfRule>
  </conditionalFormatting>
  <conditionalFormatting sqref="N14:AK55">
    <cfRule type="expression" dxfId="21" priority="1" stopIfTrue="1">
      <formula>IF(AO14="Iuran dari Lingkungan lain",TRUE,FALSE)</formula>
    </cfRule>
    <cfRule type="expression" dxfId="20" priority="2">
      <formula>IF(ISNUMBER(AO14),TRUE,FALSE)</formula>
    </cfRule>
  </conditionalFormatting>
  <conditionalFormatting sqref="L14:L55">
    <cfRule type="expression" dxfId="19" priority="3">
      <formula>$C14=TRUE</formula>
    </cfRule>
  </conditionalFormatting>
  <dataValidations count="1">
    <dataValidation type="whole" operator="greaterThan" allowBlank="1" showInputMessage="1" showErrorMessage="1" errorTitle="Data Yang Dimasukkan Salah!" error="Silahkan masukkan angka &gt; 1000" sqref="N13:AK56">
      <formula1>1000</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sheetPr>
  <dimension ref="A1:AF113"/>
  <sheetViews>
    <sheetView showGridLines="0" topLeftCell="E6" zoomScaleNormal="100" workbookViewId="0">
      <selection activeCell="G7" sqref="G7"/>
    </sheetView>
  </sheetViews>
  <sheetFormatPr defaultColWidth="9.1796875" defaultRowHeight="14.5" x14ac:dyDescent="0.35"/>
  <cols>
    <col min="1" max="1" width="9.1796875" style="52" hidden="1" customWidth="1"/>
    <col min="2" max="2" width="5.54296875" style="48" hidden="1" customWidth="1"/>
    <col min="3" max="3" width="4.7265625" style="48" hidden="1" customWidth="1"/>
    <col min="4" max="4" width="1.7265625" style="54" hidden="1" customWidth="1"/>
    <col min="5" max="5" width="3.7265625" style="48" customWidth="1"/>
    <col min="6" max="6" width="7.7265625" style="48" customWidth="1"/>
    <col min="7" max="7" width="31.1796875" style="48" bestFit="1" customWidth="1"/>
    <col min="8" max="8" width="10.54296875" style="48" customWidth="1"/>
    <col min="9" max="32" width="6.7265625" style="48" customWidth="1"/>
    <col min="33" max="16384" width="9.1796875" style="48"/>
  </cols>
  <sheetData>
    <row r="1" spans="1:32" s="52" customFormat="1" hidden="1" x14ac:dyDescent="0.35">
      <c r="A1" s="30" t="s">
        <v>17565</v>
      </c>
      <c r="B1" s="53" t="s">
        <v>22</v>
      </c>
      <c r="C1" s="52" t="s">
        <v>22</v>
      </c>
      <c r="D1" s="52" t="s">
        <v>22</v>
      </c>
      <c r="G1" s="52" t="s">
        <v>21</v>
      </c>
    </row>
    <row r="2" spans="1:32" hidden="1" x14ac:dyDescent="0.35">
      <c r="A2" s="52" t="s">
        <v>22</v>
      </c>
    </row>
    <row r="3" spans="1:32" hidden="1" x14ac:dyDescent="0.35">
      <c r="A3" s="52" t="s">
        <v>22</v>
      </c>
      <c r="C3" s="48" t="s">
        <v>73</v>
      </c>
      <c r="E3" s="55" t="s">
        <v>74</v>
      </c>
      <c r="F3" s="55"/>
      <c r="G3" s="55">
        <f>COUNTIF(SantoYusuf!$N$9:$AK$9,"&gt;0")</f>
        <v>0</v>
      </c>
      <c r="H3" s="55"/>
      <c r="I3" s="56">
        <v>1</v>
      </c>
      <c r="J3" s="56">
        <f t="shared" ref="J3:AF3" si="0">IF(I$3=$G$3,0,
       IF(I$3=0,0,I$3+1))</f>
        <v>2</v>
      </c>
      <c r="K3" s="56">
        <f t="shared" si="0"/>
        <v>3</v>
      </c>
      <c r="L3" s="56">
        <f t="shared" si="0"/>
        <v>4</v>
      </c>
      <c r="M3" s="56">
        <f t="shared" si="0"/>
        <v>5</v>
      </c>
      <c r="N3" s="56">
        <f t="shared" si="0"/>
        <v>6</v>
      </c>
      <c r="O3" s="56">
        <f t="shared" si="0"/>
        <v>7</v>
      </c>
      <c r="P3" s="56">
        <f t="shared" si="0"/>
        <v>8</v>
      </c>
      <c r="Q3" s="56">
        <f t="shared" si="0"/>
        <v>9</v>
      </c>
      <c r="R3" s="56">
        <f t="shared" si="0"/>
        <v>10</v>
      </c>
      <c r="S3" s="56">
        <f t="shared" si="0"/>
        <v>11</v>
      </c>
      <c r="T3" s="56">
        <f t="shared" si="0"/>
        <v>12</v>
      </c>
      <c r="U3" s="56">
        <f t="shared" si="0"/>
        <v>13</v>
      </c>
      <c r="V3" s="56">
        <f t="shared" si="0"/>
        <v>14</v>
      </c>
      <c r="W3" s="56">
        <f t="shared" si="0"/>
        <v>15</v>
      </c>
      <c r="X3" s="56">
        <f t="shared" si="0"/>
        <v>16</v>
      </c>
      <c r="Y3" s="56">
        <f t="shared" si="0"/>
        <v>17</v>
      </c>
      <c r="Z3" s="56">
        <f t="shared" si="0"/>
        <v>18</v>
      </c>
      <c r="AA3" s="56">
        <f t="shared" si="0"/>
        <v>19</v>
      </c>
      <c r="AB3" s="56">
        <f t="shared" si="0"/>
        <v>20</v>
      </c>
      <c r="AC3" s="56">
        <f t="shared" si="0"/>
        <v>21</v>
      </c>
      <c r="AD3" s="56">
        <f t="shared" si="0"/>
        <v>22</v>
      </c>
      <c r="AE3" s="56">
        <f t="shared" si="0"/>
        <v>23</v>
      </c>
      <c r="AF3" s="56">
        <f t="shared" si="0"/>
        <v>24</v>
      </c>
    </row>
    <row r="4" spans="1:32" hidden="1" x14ac:dyDescent="0.35">
      <c r="A4" s="52" t="s">
        <v>22</v>
      </c>
      <c r="C4" s="48">
        <f>SantoYusuf!$H$12</f>
        <v>0</v>
      </c>
      <c r="E4" s="57" t="s">
        <v>75</v>
      </c>
      <c r="F4" s="57"/>
      <c r="G4" s="57"/>
      <c r="H4" s="57"/>
      <c r="I4" s="58" t="e">
        <f>MATCH(I$11,SantoYusuf!$L$11:$AK$11,0)</f>
        <v>#N/A</v>
      </c>
      <c r="J4" s="58" t="e">
        <f>MATCH(J$11,SantoYusuf!$L$11:$AK$11,0)</f>
        <v>#N/A</v>
      </c>
      <c r="K4" s="58" t="e">
        <f>MATCH(K$11,SantoYusuf!$L$11:$AK$11,0)</f>
        <v>#N/A</v>
      </c>
      <c r="L4" s="58" t="e">
        <f>MATCH(L$11,SantoYusuf!$L$11:$AK$11,0)</f>
        <v>#N/A</v>
      </c>
      <c r="M4" s="58" t="e">
        <f>MATCH(M$11,SantoYusuf!$L$11:$AK$11,0)</f>
        <v>#N/A</v>
      </c>
      <c r="N4" s="58" t="e">
        <f>MATCH(N$11,SantoYusuf!$L$11:$AK$11,0)</f>
        <v>#N/A</v>
      </c>
      <c r="O4" s="58" t="e">
        <f>MATCH(O$11,SantoYusuf!$L$11:$AK$11,0)</f>
        <v>#N/A</v>
      </c>
      <c r="P4" s="58" t="e">
        <f>MATCH(P$11,SantoYusuf!$L$11:$AK$11,0)</f>
        <v>#N/A</v>
      </c>
      <c r="Q4" s="58" t="e">
        <f>MATCH(Q$11,SantoYusuf!$L$11:$AK$11,0)</f>
        <v>#N/A</v>
      </c>
      <c r="R4" s="58" t="e">
        <f>MATCH(R$11,SantoYusuf!$L$11:$AK$11,0)</f>
        <v>#N/A</v>
      </c>
      <c r="S4" s="58" t="e">
        <f>MATCH(S$11,SantoYusuf!$L$11:$AK$11,0)</f>
        <v>#N/A</v>
      </c>
      <c r="T4" s="58" t="e">
        <f>MATCH(T$11,SantoYusuf!$L$11:$AK$11,0)</f>
        <v>#N/A</v>
      </c>
      <c r="U4" s="58" t="e">
        <f>MATCH(U$11,SantoYusuf!$L$11:$AK$11,0)</f>
        <v>#N/A</v>
      </c>
      <c r="V4" s="58" t="e">
        <f>MATCH(V$11,SantoYusuf!$L$11:$AK$11,0)</f>
        <v>#N/A</v>
      </c>
      <c r="W4" s="58" t="e">
        <f>MATCH(W$11,SantoYusuf!$L$11:$AK$11,0)</f>
        <v>#N/A</v>
      </c>
      <c r="X4" s="58" t="e">
        <f>MATCH(X$11,SantoYusuf!$L$11:$AK$11,0)</f>
        <v>#N/A</v>
      </c>
      <c r="Y4" s="58" t="e">
        <f>MATCH(Y$11,SantoYusuf!$L$11:$AK$11,0)</f>
        <v>#N/A</v>
      </c>
      <c r="Z4" s="58" t="e">
        <f>MATCH(Z$11,SantoYusuf!$L$11:$AK$11,0)</f>
        <v>#N/A</v>
      </c>
      <c r="AA4" s="58" t="e">
        <f>MATCH(AA$11,SantoYusuf!$L$11:$AK$11,0)</f>
        <v>#N/A</v>
      </c>
      <c r="AB4" s="58" t="e">
        <f>MATCH(AB$11,SantoYusuf!$L$11:$AK$11,0)</f>
        <v>#N/A</v>
      </c>
      <c r="AC4" s="58" t="e">
        <f>MATCH(AC$11,SantoYusuf!$L$11:$AK$11,0)</f>
        <v>#N/A</v>
      </c>
      <c r="AD4" s="58" t="e">
        <f>MATCH(AD$11,SantoYusuf!$L$11:$AK$11,0)</f>
        <v>#N/A</v>
      </c>
      <c r="AE4" s="58" t="e">
        <f>MATCH(AE$11,SantoYusuf!$L$11:$AK$11,0)</f>
        <v>#N/A</v>
      </c>
      <c r="AF4" s="58" t="e">
        <f>MATCH(AF$11,SantoYusuf!$L$11:$AK$11,0)</f>
        <v>#N/A</v>
      </c>
    </row>
    <row r="5" spans="1:32" s="54" customFormat="1" ht="10" hidden="1" customHeight="1" x14ac:dyDescent="0.35">
      <c r="A5" s="52" t="s">
        <v>22</v>
      </c>
    </row>
    <row r="6" spans="1:32" s="60" customFormat="1" ht="15" customHeight="1" x14ac:dyDescent="0.35">
      <c r="A6" s="59"/>
      <c r="D6" s="61"/>
      <c r="G6" s="62" t="s">
        <v>79</v>
      </c>
      <c r="J6" s="63" t="s">
        <v>90</v>
      </c>
      <c r="L6" s="153" t="str">
        <f>IF(PrintDS!$L$6="","",PrintDS!$L$6)</f>
        <v/>
      </c>
      <c r="M6" s="153"/>
    </row>
    <row r="7" spans="1:32" s="60" customFormat="1" ht="15.5" x14ac:dyDescent="0.35">
      <c r="A7" s="59"/>
      <c r="D7" s="61"/>
      <c r="G7" s="65" t="s">
        <v>80</v>
      </c>
      <c r="H7" s="62"/>
      <c r="J7" s="145" t="s">
        <v>77</v>
      </c>
      <c r="K7" s="145"/>
      <c r="L7" s="145"/>
      <c r="M7" s="145" t="s">
        <v>12</v>
      </c>
      <c r="N7" s="145"/>
      <c r="O7" s="145"/>
      <c r="P7" s="145" t="s">
        <v>20</v>
      </c>
      <c r="Q7" s="145"/>
      <c r="R7" s="145"/>
    </row>
    <row r="8" spans="1:32" s="60" customFormat="1" ht="32.5" customHeight="1" x14ac:dyDescent="0.5">
      <c r="A8" s="59"/>
      <c r="D8" s="61"/>
      <c r="G8" s="66" t="s">
        <v>88</v>
      </c>
      <c r="H8" s="146" t="s">
        <v>20975</v>
      </c>
      <c r="I8" s="146"/>
      <c r="J8" s="67" t="str">
        <f>IF(ISNUMBER($L$6)=FALSE,"Mohon kembali ke Sheet PrintDS, dan isi Tanggal Penyetoran","")</f>
        <v>Mohon kembali ke Sheet PrintDS, dan isi Tanggal Penyetoran</v>
      </c>
      <c r="K8" s="68"/>
      <c r="L8" s="69"/>
      <c r="M8" s="70"/>
      <c r="N8" s="68"/>
      <c r="O8" s="69"/>
      <c r="P8" s="70"/>
      <c r="Q8" s="68"/>
      <c r="R8" s="69"/>
    </row>
    <row r="9" spans="1:32" s="60" customFormat="1" ht="32.5" customHeight="1" x14ac:dyDescent="0.25">
      <c r="A9" s="59"/>
      <c r="D9" s="61"/>
      <c r="G9" s="71" t="s">
        <v>85</v>
      </c>
      <c r="H9" s="147">
        <f>TotalDS+TotalSY</f>
        <v>0</v>
      </c>
      <c r="I9" s="147"/>
      <c r="J9" s="75"/>
      <c r="K9" s="73"/>
      <c r="L9" s="74"/>
      <c r="M9" s="75"/>
      <c r="N9" s="73"/>
      <c r="O9" s="74"/>
      <c r="P9" s="75"/>
      <c r="Q9" s="73"/>
      <c r="R9" s="74"/>
    </row>
    <row r="10" spans="1:32" s="60" customFormat="1" ht="15.65" customHeight="1" x14ac:dyDescent="0.25">
      <c r="A10" s="59"/>
      <c r="D10" s="61"/>
      <c r="J10" s="148" t="s">
        <v>76</v>
      </c>
      <c r="K10" s="149"/>
      <c r="L10" s="150"/>
      <c r="M10" s="148" t="s">
        <v>13</v>
      </c>
      <c r="N10" s="149"/>
      <c r="O10" s="150"/>
      <c r="P10" s="148" t="s">
        <v>89</v>
      </c>
      <c r="Q10" s="149"/>
      <c r="R10" s="150"/>
    </row>
    <row r="11" spans="1:32" s="60" customFormat="1" ht="10.5" x14ac:dyDescent="0.25">
      <c r="A11" s="59"/>
      <c r="D11" s="61"/>
      <c r="E11" s="151" t="s">
        <v>10</v>
      </c>
      <c r="F11" s="151" t="s">
        <v>2</v>
      </c>
      <c r="G11" s="151" t="s">
        <v>3</v>
      </c>
      <c r="H11" s="76" t="s">
        <v>82</v>
      </c>
      <c r="I11" s="144" t="str">
        <f>IF(ISNUMBER($L$6)=FALSE,"",
IF(I$3=0,"",HLOOKUP(1,SantoYusuf!$N$9:$AK$11,3,FALSE)))</f>
        <v/>
      </c>
      <c r="J11" s="144" t="str">
        <f>IF(ISNUMBER($L$6)=FALSE,"",
IF(J$3=0,"",DATE(YEAR(I11),MONTH(I11)+1,1)))</f>
        <v/>
      </c>
      <c r="K11" s="144" t="str">
        <f t="shared" ref="K11:AF11" si="1">IF(ISNUMBER($L$6)=FALSE,"",
IF(K$3=0,"",DATE(YEAR(J11),MONTH(J11)+1,1)))</f>
        <v/>
      </c>
      <c r="L11" s="144" t="str">
        <f t="shared" si="1"/>
        <v/>
      </c>
      <c r="M11" s="144" t="str">
        <f t="shared" si="1"/>
        <v/>
      </c>
      <c r="N11" s="144" t="str">
        <f t="shared" si="1"/>
        <v/>
      </c>
      <c r="O11" s="144" t="str">
        <f t="shared" si="1"/>
        <v/>
      </c>
      <c r="P11" s="144" t="str">
        <f t="shared" si="1"/>
        <v/>
      </c>
      <c r="Q11" s="144" t="str">
        <f t="shared" si="1"/>
        <v/>
      </c>
      <c r="R11" s="144" t="str">
        <f t="shared" si="1"/>
        <v/>
      </c>
      <c r="S11" s="144" t="str">
        <f t="shared" si="1"/>
        <v/>
      </c>
      <c r="T11" s="144" t="str">
        <f t="shared" si="1"/>
        <v/>
      </c>
      <c r="U11" s="144" t="str">
        <f t="shared" si="1"/>
        <v/>
      </c>
      <c r="V11" s="144" t="str">
        <f t="shared" si="1"/>
        <v/>
      </c>
      <c r="W11" s="144" t="str">
        <f t="shared" si="1"/>
        <v/>
      </c>
      <c r="X11" s="144" t="str">
        <f t="shared" si="1"/>
        <v/>
      </c>
      <c r="Y11" s="144" t="str">
        <f t="shared" si="1"/>
        <v/>
      </c>
      <c r="Z11" s="144" t="str">
        <f t="shared" si="1"/>
        <v/>
      </c>
      <c r="AA11" s="144" t="str">
        <f t="shared" si="1"/>
        <v/>
      </c>
      <c r="AB11" s="144" t="str">
        <f t="shared" si="1"/>
        <v/>
      </c>
      <c r="AC11" s="144" t="str">
        <f t="shared" si="1"/>
        <v/>
      </c>
      <c r="AD11" s="144" t="str">
        <f t="shared" si="1"/>
        <v/>
      </c>
      <c r="AE11" s="144" t="str">
        <f t="shared" si="1"/>
        <v/>
      </c>
      <c r="AF11" s="144" t="str">
        <f t="shared" si="1"/>
        <v/>
      </c>
    </row>
    <row r="12" spans="1:32" s="60" customFormat="1" ht="15.75" customHeight="1" x14ac:dyDescent="0.25">
      <c r="A12" s="59"/>
      <c r="D12" s="61"/>
      <c r="E12" s="151"/>
      <c r="F12" s="151"/>
      <c r="G12" s="151"/>
      <c r="H12" s="152">
        <f t="shared" ref="H12" si="2">SUM(H13:H113)</f>
        <v>0</v>
      </c>
      <c r="I12" s="144"/>
      <c r="J12" s="144"/>
      <c r="K12" s="144"/>
      <c r="L12" s="144"/>
      <c r="M12" s="144"/>
      <c r="N12" s="144"/>
      <c r="O12" s="144"/>
      <c r="P12" s="144"/>
      <c r="Q12" s="144"/>
      <c r="R12" s="144"/>
      <c r="S12" s="144"/>
      <c r="T12" s="144"/>
      <c r="U12" s="144"/>
      <c r="V12" s="144"/>
      <c r="W12" s="144"/>
      <c r="X12" s="144"/>
      <c r="Y12" s="144"/>
      <c r="Z12" s="144"/>
      <c r="AA12" s="144"/>
      <c r="AB12" s="144"/>
      <c r="AC12" s="144"/>
      <c r="AD12" s="144"/>
      <c r="AE12" s="144"/>
      <c r="AF12" s="144"/>
    </row>
    <row r="13" spans="1:32" s="60" customFormat="1" ht="10.5" x14ac:dyDescent="0.25">
      <c r="A13" s="59"/>
      <c r="D13" s="61"/>
      <c r="E13" s="151"/>
      <c r="F13" s="151"/>
      <c r="G13" s="151"/>
      <c r="H13" s="152"/>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4"/>
    </row>
    <row r="14" spans="1:32" s="60" customFormat="1" ht="10.5" x14ac:dyDescent="0.25">
      <c r="A14" s="59"/>
      <c r="C14" s="59">
        <v>1</v>
      </c>
      <c r="D14" s="61"/>
      <c r="E14" s="77" t="str">
        <f>IF(ISNUMBER($L$6)=FALSE,"",
IF($C14=0,"",$C14))</f>
        <v/>
      </c>
      <c r="F14" s="77" t="str">
        <f>IF(ISNUMBER($L$6)=FALSE,"",
IF($C14=0,"",VLOOKUP($E14,SantoYusuf!$H$13:$L$56,4,FALSE)))</f>
        <v/>
      </c>
      <c r="G14" s="77" t="str">
        <f>IF(ISNUMBER($L$6)=FALSE,"",
IF($C14=0,"",VLOOKUP($E14,SantoYusuf!$H$13:$L$56,5,FALSE)))</f>
        <v/>
      </c>
      <c r="H14" s="17" t="str">
        <f>IF(ISNUMBER($L$6)=FALSE,"",
IF($C14=0,"",SUM(I14:AF14)))</f>
        <v/>
      </c>
      <c r="I14" s="18" t="str">
        <f>IF(ISNUMBER($L$6)=FALSE,"",
        IF(ISERROR(VLOOKUP($G14,SantoYusuf!$L$13:$AK$56,I$4,FALSE))=TRUE,"",
              VLOOKUP($G14,SantoYusuf!$L$13:$AK$56,I$4,FALSE)))</f>
        <v/>
      </c>
      <c r="J14" s="18" t="str">
        <f>IF(ISNUMBER($L$6)=FALSE,"",
        IF(ISERROR(VLOOKUP($G14,SantoYusuf!$L$13:$AK$56,J$4,FALSE))=TRUE,"",
              VLOOKUP($G14,SantoYusuf!$L$13:$AK$56,J$4,FALSE)))</f>
        <v/>
      </c>
      <c r="K14" s="18" t="str">
        <f>IF(ISNUMBER($L$6)=FALSE,"",
        IF(ISERROR(VLOOKUP($G14,SantoYusuf!$L$13:$AK$56,K$4,FALSE))=TRUE,"",
              VLOOKUP($G14,SantoYusuf!$L$13:$AK$56,K$4,FALSE)))</f>
        <v/>
      </c>
      <c r="L14" s="18" t="str">
        <f>IF(ISNUMBER($L$6)=FALSE,"",
        IF(ISERROR(VLOOKUP($G14,SantoYusuf!$L$13:$AK$56,L$4,FALSE))=TRUE,"",
              VLOOKUP($G14,SantoYusuf!$L$13:$AK$56,L$4,FALSE)))</f>
        <v/>
      </c>
      <c r="M14" s="18" t="str">
        <f>IF(ISNUMBER($L$6)=FALSE,"",
        IF(ISERROR(VLOOKUP($G14,SantoYusuf!$L$13:$AK$56,M$4,FALSE))=TRUE,"",
              VLOOKUP($G14,SantoYusuf!$L$13:$AK$56,M$4,FALSE)))</f>
        <v/>
      </c>
      <c r="N14" s="18" t="str">
        <f>IF(ISNUMBER($L$6)=FALSE,"",
        IF(ISERROR(VLOOKUP($G14,SantoYusuf!$L$13:$AK$56,N$4,FALSE))=TRUE,"",
              VLOOKUP($G14,SantoYusuf!$L$13:$AK$56,N$4,FALSE)))</f>
        <v/>
      </c>
      <c r="O14" s="18" t="str">
        <f>IF(ISNUMBER($L$6)=FALSE,"",
        IF(ISERROR(VLOOKUP($G14,SantoYusuf!$L$13:$AK$56,O$4,FALSE))=TRUE,"",
              VLOOKUP($G14,SantoYusuf!$L$13:$AK$56,O$4,FALSE)))</f>
        <v/>
      </c>
      <c r="P14" s="18" t="str">
        <f>IF(ISNUMBER($L$6)=FALSE,"",
        IF(ISERROR(VLOOKUP($G14,SantoYusuf!$L$13:$AK$56,P$4,FALSE))=TRUE,"",
              VLOOKUP($G14,SantoYusuf!$L$13:$AK$56,P$4,FALSE)))</f>
        <v/>
      </c>
      <c r="Q14" s="18" t="str">
        <f>IF(ISNUMBER($L$6)=FALSE,"",
        IF(ISERROR(VLOOKUP($G14,SantoYusuf!$L$13:$AK$56,Q$4,FALSE))=TRUE,"",
              VLOOKUP($G14,SantoYusuf!$L$13:$AK$56,Q$4,FALSE)))</f>
        <v/>
      </c>
      <c r="R14" s="18" t="str">
        <f>IF(ISNUMBER($L$6)=FALSE,"",
        IF(ISERROR(VLOOKUP($G14,SantoYusuf!$L$13:$AK$56,R$4,FALSE))=TRUE,"",
              VLOOKUP($G14,SantoYusuf!$L$13:$AK$56,R$4,FALSE)))</f>
        <v/>
      </c>
      <c r="S14" s="18" t="str">
        <f>IF(ISNUMBER($L$6)=FALSE,"",
        IF(ISERROR(VLOOKUP($G14,SantoYusuf!$L$13:$AK$56,S$4,FALSE))=TRUE,"",
              VLOOKUP($G14,SantoYusuf!$L$13:$AK$56,S$4,FALSE)))</f>
        <v/>
      </c>
      <c r="T14" s="18" t="str">
        <f>IF(ISNUMBER($L$6)=FALSE,"",
        IF(ISERROR(VLOOKUP($G14,SantoYusuf!$L$13:$AK$56,T$4,FALSE))=TRUE,"",
              VLOOKUP($G14,SantoYusuf!$L$13:$AK$56,T$4,FALSE)))</f>
        <v/>
      </c>
      <c r="U14" s="18" t="str">
        <f>IF(ISNUMBER($L$6)=FALSE,"",
        IF(ISERROR(VLOOKUP($G14,SantoYusuf!$L$13:$AK$56,U$4,FALSE))=TRUE,"",
              VLOOKUP($G14,SantoYusuf!$L$13:$AK$56,U$4,FALSE)))</f>
        <v/>
      </c>
      <c r="V14" s="18" t="str">
        <f>IF(ISNUMBER($L$6)=FALSE,"",
        IF(ISERROR(VLOOKUP($G14,SantoYusuf!$L$13:$AK$56,V$4,FALSE))=TRUE,"",
              VLOOKUP($G14,SantoYusuf!$L$13:$AK$56,V$4,FALSE)))</f>
        <v/>
      </c>
      <c r="W14" s="18" t="str">
        <f>IF(ISNUMBER($L$6)=FALSE,"",
        IF(ISERROR(VLOOKUP($G14,SantoYusuf!$L$13:$AK$56,W$4,FALSE))=TRUE,"",
              VLOOKUP($G14,SantoYusuf!$L$13:$AK$56,W$4,FALSE)))</f>
        <v/>
      </c>
      <c r="X14" s="18" t="str">
        <f>IF(ISNUMBER($L$6)=FALSE,"",
        IF(ISERROR(VLOOKUP($G14,SantoYusuf!$L$13:$AK$56,X$4,FALSE))=TRUE,"",
              VLOOKUP($G14,SantoYusuf!$L$13:$AK$56,X$4,FALSE)))</f>
        <v/>
      </c>
      <c r="Y14" s="18" t="str">
        <f>IF(ISNUMBER($L$6)=FALSE,"",
        IF(ISERROR(VLOOKUP($G14,SantoYusuf!$L$13:$AK$56,Y$4,FALSE))=TRUE,"",
              VLOOKUP($G14,SantoYusuf!$L$13:$AK$56,Y$4,FALSE)))</f>
        <v/>
      </c>
      <c r="Z14" s="18" t="str">
        <f>IF(ISNUMBER($L$6)=FALSE,"",
        IF(ISERROR(VLOOKUP($G14,SantoYusuf!$L$13:$AK$56,Z$4,FALSE))=TRUE,"",
              VLOOKUP($G14,SantoYusuf!$L$13:$AK$56,Z$4,FALSE)))</f>
        <v/>
      </c>
      <c r="AA14" s="18" t="str">
        <f>IF(ISNUMBER($L$6)=FALSE,"",
        IF(ISERROR(VLOOKUP($G14,SantoYusuf!$L$13:$AK$56,AA$4,FALSE))=TRUE,"",
              VLOOKUP($G14,SantoYusuf!$L$13:$AK$56,AA$4,FALSE)))</f>
        <v/>
      </c>
      <c r="AB14" s="18" t="str">
        <f>IF(ISNUMBER($L$6)=FALSE,"",
        IF(ISERROR(VLOOKUP($G14,SantoYusuf!$L$13:$AK$56,AB$4,FALSE))=TRUE,"",
              VLOOKUP($G14,SantoYusuf!$L$13:$AK$56,AB$4,FALSE)))</f>
        <v/>
      </c>
      <c r="AC14" s="18" t="str">
        <f>IF(ISNUMBER($L$6)=FALSE,"",
        IF(ISERROR(VLOOKUP($G14,SantoYusuf!$L$13:$AK$56,AC$4,FALSE))=TRUE,"",
              VLOOKUP($G14,SantoYusuf!$L$13:$AK$56,AC$4,FALSE)))</f>
        <v/>
      </c>
      <c r="AD14" s="18" t="str">
        <f>IF(ISNUMBER($L$6)=FALSE,"",
        IF(ISERROR(VLOOKUP($G14,SantoYusuf!$L$13:$AK$56,AD$4,FALSE))=TRUE,"",
              VLOOKUP($G14,SantoYusuf!$L$13:$AK$56,AD$4,FALSE)))</f>
        <v/>
      </c>
      <c r="AE14" s="18" t="str">
        <f>IF(ISNUMBER($L$6)=FALSE,"",
        IF(ISERROR(VLOOKUP($G14,SantoYusuf!$L$13:$AK$56,AE$4,FALSE))=TRUE,"",
              VLOOKUP($G14,SantoYusuf!$L$13:$AK$56,AE$4,FALSE)))</f>
        <v/>
      </c>
      <c r="AF14" s="18" t="str">
        <f>IF(ISNUMBER($L$6)=FALSE,"",
        IF(ISERROR(VLOOKUP($G14,SantoYusuf!$L$13:$AK$56,AF$4,FALSE))=TRUE,"",
              VLOOKUP($G14,SantoYusuf!$L$13:$AK$56,AF$4,FALSE)))</f>
        <v/>
      </c>
    </row>
    <row r="15" spans="1:32" s="60" customFormat="1" ht="10.5" x14ac:dyDescent="0.25">
      <c r="A15" s="59"/>
      <c r="C15" s="59">
        <f t="shared" ref="C15:C78" si="3">IF($C14=$C$4,0,
       IF($C14=0,0,$C14+1))</f>
        <v>2</v>
      </c>
      <c r="D15" s="61"/>
      <c r="E15" s="77" t="str">
        <f t="shared" ref="E15:E78" si="4">IF(ISNUMBER($L$6)=FALSE,"",
IF($C15=0,"",$C15))</f>
        <v/>
      </c>
      <c r="F15" s="77" t="str">
        <f>IF(ISNUMBER($L$6)=FALSE,"",
IF($C15=0,"",VLOOKUP($E15,SantoYusuf!$H$13:$L$56,4,FALSE)))</f>
        <v/>
      </c>
      <c r="G15" s="77" t="str">
        <f>IF(ISNUMBER($L$6)=FALSE,"",
IF($C15=0,"",VLOOKUP($E15,SantoYusuf!$H$13:$L$56,5,FALSE)))</f>
        <v/>
      </c>
      <c r="H15" s="17" t="str">
        <f t="shared" ref="H15:H78" si="5">IF(ISNUMBER($L$6)=FALSE,"",
IF($C15=0,"",SUM(I15:AF15)))</f>
        <v/>
      </c>
      <c r="I15" s="18" t="str">
        <f>IF(ISNUMBER($L$6)=FALSE,"",
        IF(ISERROR(VLOOKUP($G15,SantoYusuf!$L$13:$AK$56,I$4,FALSE))=TRUE,"",
              VLOOKUP($G15,SantoYusuf!$L$13:$AK$56,I$4,FALSE)))</f>
        <v/>
      </c>
      <c r="J15" s="18" t="str">
        <f>IF(ISNUMBER($L$6)=FALSE,"",
        IF(ISERROR(VLOOKUP($G15,SantoYusuf!$L$13:$AK$56,J$4,FALSE))=TRUE,"",
              VLOOKUP($G15,SantoYusuf!$L$13:$AK$56,J$4,FALSE)))</f>
        <v/>
      </c>
      <c r="K15" s="18" t="str">
        <f>IF(ISNUMBER($L$6)=FALSE,"",
        IF(ISERROR(VLOOKUP($G15,SantoYusuf!$L$13:$AK$56,K$4,FALSE))=TRUE,"",
              VLOOKUP($G15,SantoYusuf!$L$13:$AK$56,K$4,FALSE)))</f>
        <v/>
      </c>
      <c r="L15" s="18" t="str">
        <f>IF(ISNUMBER($L$6)=FALSE,"",
        IF(ISERROR(VLOOKUP($G15,SantoYusuf!$L$13:$AK$56,L$4,FALSE))=TRUE,"",
              VLOOKUP($G15,SantoYusuf!$L$13:$AK$56,L$4,FALSE)))</f>
        <v/>
      </c>
      <c r="M15" s="18" t="str">
        <f>IF(ISNUMBER($L$6)=FALSE,"",
        IF(ISERROR(VLOOKUP($G15,SantoYusuf!$L$13:$AK$56,M$4,FALSE))=TRUE,"",
              VLOOKUP($G15,SantoYusuf!$L$13:$AK$56,M$4,FALSE)))</f>
        <v/>
      </c>
      <c r="N15" s="18" t="str">
        <f>IF(ISNUMBER($L$6)=FALSE,"",
        IF(ISERROR(VLOOKUP($G15,SantoYusuf!$L$13:$AK$56,N$4,FALSE))=TRUE,"",
              VLOOKUP($G15,SantoYusuf!$L$13:$AK$56,N$4,FALSE)))</f>
        <v/>
      </c>
      <c r="O15" s="18" t="str">
        <f>IF(ISNUMBER($L$6)=FALSE,"",
        IF(ISERROR(VLOOKUP($G15,SantoYusuf!$L$13:$AK$56,O$4,FALSE))=TRUE,"",
              VLOOKUP($G15,SantoYusuf!$L$13:$AK$56,O$4,FALSE)))</f>
        <v/>
      </c>
      <c r="P15" s="18" t="str">
        <f>IF(ISNUMBER($L$6)=FALSE,"",
        IF(ISERROR(VLOOKUP($G15,SantoYusuf!$L$13:$AK$56,P$4,FALSE))=TRUE,"",
              VLOOKUP($G15,SantoYusuf!$L$13:$AK$56,P$4,FALSE)))</f>
        <v/>
      </c>
      <c r="Q15" s="18" t="str">
        <f>IF(ISNUMBER($L$6)=FALSE,"",
        IF(ISERROR(VLOOKUP($G15,SantoYusuf!$L$13:$AK$56,Q$4,FALSE))=TRUE,"",
              VLOOKUP($G15,SantoYusuf!$L$13:$AK$56,Q$4,FALSE)))</f>
        <v/>
      </c>
      <c r="R15" s="18" t="str">
        <f>IF(ISNUMBER($L$6)=FALSE,"",
        IF(ISERROR(VLOOKUP($G15,SantoYusuf!$L$13:$AK$56,R$4,FALSE))=TRUE,"",
              VLOOKUP($G15,SantoYusuf!$L$13:$AK$56,R$4,FALSE)))</f>
        <v/>
      </c>
      <c r="S15" s="18" t="str">
        <f>IF(ISNUMBER($L$6)=FALSE,"",
        IF(ISERROR(VLOOKUP($G15,SantoYusuf!$L$13:$AK$56,S$4,FALSE))=TRUE,"",
              VLOOKUP($G15,SantoYusuf!$L$13:$AK$56,S$4,FALSE)))</f>
        <v/>
      </c>
      <c r="T15" s="18" t="str">
        <f>IF(ISNUMBER($L$6)=FALSE,"",
        IF(ISERROR(VLOOKUP($G15,SantoYusuf!$L$13:$AK$56,T$4,FALSE))=TRUE,"",
              VLOOKUP($G15,SantoYusuf!$L$13:$AK$56,T$4,FALSE)))</f>
        <v/>
      </c>
      <c r="U15" s="18" t="str">
        <f>IF(ISNUMBER($L$6)=FALSE,"",
        IF(ISERROR(VLOOKUP($G15,SantoYusuf!$L$13:$AK$56,U$4,FALSE))=TRUE,"",
              VLOOKUP($G15,SantoYusuf!$L$13:$AK$56,U$4,FALSE)))</f>
        <v/>
      </c>
      <c r="V15" s="18" t="str">
        <f>IF(ISNUMBER($L$6)=FALSE,"",
        IF(ISERROR(VLOOKUP($G15,SantoYusuf!$L$13:$AK$56,V$4,FALSE))=TRUE,"",
              VLOOKUP($G15,SantoYusuf!$L$13:$AK$56,V$4,FALSE)))</f>
        <v/>
      </c>
      <c r="W15" s="18" t="str">
        <f>IF(ISNUMBER($L$6)=FALSE,"",
        IF(ISERROR(VLOOKUP($G15,SantoYusuf!$L$13:$AK$56,W$4,FALSE))=TRUE,"",
              VLOOKUP($G15,SantoYusuf!$L$13:$AK$56,W$4,FALSE)))</f>
        <v/>
      </c>
      <c r="X15" s="18" t="str">
        <f>IF(ISNUMBER($L$6)=FALSE,"",
        IF(ISERROR(VLOOKUP($G15,SantoYusuf!$L$13:$AK$56,X$4,FALSE))=TRUE,"",
              VLOOKUP($G15,SantoYusuf!$L$13:$AK$56,X$4,FALSE)))</f>
        <v/>
      </c>
      <c r="Y15" s="18" t="str">
        <f>IF(ISNUMBER($L$6)=FALSE,"",
        IF(ISERROR(VLOOKUP($G15,SantoYusuf!$L$13:$AK$56,Y$4,FALSE))=TRUE,"",
              VLOOKUP($G15,SantoYusuf!$L$13:$AK$56,Y$4,FALSE)))</f>
        <v/>
      </c>
      <c r="Z15" s="18" t="str">
        <f>IF(ISNUMBER($L$6)=FALSE,"",
        IF(ISERROR(VLOOKUP($G15,SantoYusuf!$L$13:$AK$56,Z$4,FALSE))=TRUE,"",
              VLOOKUP($G15,SantoYusuf!$L$13:$AK$56,Z$4,FALSE)))</f>
        <v/>
      </c>
      <c r="AA15" s="18" t="str">
        <f>IF(ISNUMBER($L$6)=FALSE,"",
        IF(ISERROR(VLOOKUP($G15,SantoYusuf!$L$13:$AK$56,AA$4,FALSE))=TRUE,"",
              VLOOKUP($G15,SantoYusuf!$L$13:$AK$56,AA$4,FALSE)))</f>
        <v/>
      </c>
      <c r="AB15" s="18" t="str">
        <f>IF(ISNUMBER($L$6)=FALSE,"",
        IF(ISERROR(VLOOKUP($G15,SantoYusuf!$L$13:$AK$56,AB$4,FALSE))=TRUE,"",
              VLOOKUP($G15,SantoYusuf!$L$13:$AK$56,AB$4,FALSE)))</f>
        <v/>
      </c>
      <c r="AC15" s="18" t="str">
        <f>IF(ISNUMBER($L$6)=FALSE,"",
        IF(ISERROR(VLOOKUP($G15,SantoYusuf!$L$13:$AK$56,AC$4,FALSE))=TRUE,"",
              VLOOKUP($G15,SantoYusuf!$L$13:$AK$56,AC$4,FALSE)))</f>
        <v/>
      </c>
      <c r="AD15" s="18" t="str">
        <f>IF(ISNUMBER($L$6)=FALSE,"",
        IF(ISERROR(VLOOKUP($G15,SantoYusuf!$L$13:$AK$56,AD$4,FALSE))=TRUE,"",
              VLOOKUP($G15,SantoYusuf!$L$13:$AK$56,AD$4,FALSE)))</f>
        <v/>
      </c>
      <c r="AE15" s="18" t="str">
        <f>IF(ISNUMBER($L$6)=FALSE,"",
        IF(ISERROR(VLOOKUP($G15,SantoYusuf!$L$13:$AK$56,AE$4,FALSE))=TRUE,"",
              VLOOKUP($G15,SantoYusuf!$L$13:$AK$56,AE$4,FALSE)))</f>
        <v/>
      </c>
      <c r="AF15" s="18" t="str">
        <f>IF(ISNUMBER($L$6)=FALSE,"",
        IF(ISERROR(VLOOKUP($G15,SantoYusuf!$L$13:$AK$56,AF$4,FALSE))=TRUE,"",
              VLOOKUP($G15,SantoYusuf!$L$13:$AK$56,AF$4,FALSE)))</f>
        <v/>
      </c>
    </row>
    <row r="16" spans="1:32" s="60" customFormat="1" ht="10.5" x14ac:dyDescent="0.25">
      <c r="A16" s="59"/>
      <c r="C16" s="59">
        <f t="shared" si="3"/>
        <v>3</v>
      </c>
      <c r="D16" s="61"/>
      <c r="E16" s="77" t="str">
        <f t="shared" si="4"/>
        <v/>
      </c>
      <c r="F16" s="77" t="str">
        <f>IF(ISNUMBER($L$6)=FALSE,"",
IF($C16=0,"",VLOOKUP($E16,SantoYusuf!$H$13:$L$56,4,FALSE)))</f>
        <v/>
      </c>
      <c r="G16" s="77" t="str">
        <f>IF(ISNUMBER($L$6)=FALSE,"",
IF($C16=0,"",VLOOKUP($E16,SantoYusuf!$H$13:$L$56,5,FALSE)))</f>
        <v/>
      </c>
      <c r="H16" s="17" t="str">
        <f t="shared" si="5"/>
        <v/>
      </c>
      <c r="I16" s="18" t="str">
        <f>IF(ISNUMBER($L$6)=FALSE,"",
        IF(ISERROR(VLOOKUP($G16,SantoYusuf!$L$13:$AK$56,I$4,FALSE))=TRUE,"",
              VLOOKUP($G16,SantoYusuf!$L$13:$AK$56,I$4,FALSE)))</f>
        <v/>
      </c>
      <c r="J16" s="18" t="str">
        <f>IF(ISNUMBER($L$6)=FALSE,"",
        IF(ISERROR(VLOOKUP($G16,SantoYusuf!$L$13:$AK$56,J$4,FALSE))=TRUE,"",
              VLOOKUP($G16,SantoYusuf!$L$13:$AK$56,J$4,FALSE)))</f>
        <v/>
      </c>
      <c r="K16" s="18" t="str">
        <f>IF(ISNUMBER($L$6)=FALSE,"",
        IF(ISERROR(VLOOKUP($G16,SantoYusuf!$L$13:$AK$56,K$4,FALSE))=TRUE,"",
              VLOOKUP($G16,SantoYusuf!$L$13:$AK$56,K$4,FALSE)))</f>
        <v/>
      </c>
      <c r="L16" s="18" t="str">
        <f>IF(ISNUMBER($L$6)=FALSE,"",
        IF(ISERROR(VLOOKUP($G16,SantoYusuf!$L$13:$AK$56,L$4,FALSE))=TRUE,"",
              VLOOKUP($G16,SantoYusuf!$L$13:$AK$56,L$4,FALSE)))</f>
        <v/>
      </c>
      <c r="M16" s="18" t="str">
        <f>IF(ISNUMBER($L$6)=FALSE,"",
        IF(ISERROR(VLOOKUP($G16,SantoYusuf!$L$13:$AK$56,M$4,FALSE))=TRUE,"",
              VLOOKUP($G16,SantoYusuf!$L$13:$AK$56,M$4,FALSE)))</f>
        <v/>
      </c>
      <c r="N16" s="18" t="str">
        <f>IF(ISNUMBER($L$6)=FALSE,"",
        IF(ISERROR(VLOOKUP($G16,SantoYusuf!$L$13:$AK$56,N$4,FALSE))=TRUE,"",
              VLOOKUP($G16,SantoYusuf!$L$13:$AK$56,N$4,FALSE)))</f>
        <v/>
      </c>
      <c r="O16" s="18" t="str">
        <f>IF(ISNUMBER($L$6)=FALSE,"",
        IF(ISERROR(VLOOKUP($G16,SantoYusuf!$L$13:$AK$56,O$4,FALSE))=TRUE,"",
              VLOOKUP($G16,SantoYusuf!$L$13:$AK$56,O$4,FALSE)))</f>
        <v/>
      </c>
      <c r="P16" s="18" t="str">
        <f>IF(ISNUMBER($L$6)=FALSE,"",
        IF(ISERROR(VLOOKUP($G16,SantoYusuf!$L$13:$AK$56,P$4,FALSE))=TRUE,"",
              VLOOKUP($G16,SantoYusuf!$L$13:$AK$56,P$4,FALSE)))</f>
        <v/>
      </c>
      <c r="Q16" s="18" t="str">
        <f>IF(ISNUMBER($L$6)=FALSE,"",
        IF(ISERROR(VLOOKUP($G16,SantoYusuf!$L$13:$AK$56,Q$4,FALSE))=TRUE,"",
              VLOOKUP($G16,SantoYusuf!$L$13:$AK$56,Q$4,FALSE)))</f>
        <v/>
      </c>
      <c r="R16" s="18" t="str">
        <f>IF(ISNUMBER($L$6)=FALSE,"",
        IF(ISERROR(VLOOKUP($G16,SantoYusuf!$L$13:$AK$56,R$4,FALSE))=TRUE,"",
              VLOOKUP($G16,SantoYusuf!$L$13:$AK$56,R$4,FALSE)))</f>
        <v/>
      </c>
      <c r="S16" s="18" t="str">
        <f>IF(ISNUMBER($L$6)=FALSE,"",
        IF(ISERROR(VLOOKUP($G16,SantoYusuf!$L$13:$AK$56,S$4,FALSE))=TRUE,"",
              VLOOKUP($G16,SantoYusuf!$L$13:$AK$56,S$4,FALSE)))</f>
        <v/>
      </c>
      <c r="T16" s="18" t="str">
        <f>IF(ISNUMBER($L$6)=FALSE,"",
        IF(ISERROR(VLOOKUP($G16,SantoYusuf!$L$13:$AK$56,T$4,FALSE))=TRUE,"",
              VLOOKUP($G16,SantoYusuf!$L$13:$AK$56,T$4,FALSE)))</f>
        <v/>
      </c>
      <c r="U16" s="18" t="str">
        <f>IF(ISNUMBER($L$6)=FALSE,"",
        IF(ISERROR(VLOOKUP($G16,SantoYusuf!$L$13:$AK$56,U$4,FALSE))=TRUE,"",
              VLOOKUP($G16,SantoYusuf!$L$13:$AK$56,U$4,FALSE)))</f>
        <v/>
      </c>
      <c r="V16" s="18" t="str">
        <f>IF(ISNUMBER($L$6)=FALSE,"",
        IF(ISERROR(VLOOKUP($G16,SantoYusuf!$L$13:$AK$56,V$4,FALSE))=TRUE,"",
              VLOOKUP($G16,SantoYusuf!$L$13:$AK$56,V$4,FALSE)))</f>
        <v/>
      </c>
      <c r="W16" s="18" t="str">
        <f>IF(ISNUMBER($L$6)=FALSE,"",
        IF(ISERROR(VLOOKUP($G16,SantoYusuf!$L$13:$AK$56,W$4,FALSE))=TRUE,"",
              VLOOKUP($G16,SantoYusuf!$L$13:$AK$56,W$4,FALSE)))</f>
        <v/>
      </c>
      <c r="X16" s="18" t="str">
        <f>IF(ISNUMBER($L$6)=FALSE,"",
        IF(ISERROR(VLOOKUP($G16,SantoYusuf!$L$13:$AK$56,X$4,FALSE))=TRUE,"",
              VLOOKUP($G16,SantoYusuf!$L$13:$AK$56,X$4,FALSE)))</f>
        <v/>
      </c>
      <c r="Y16" s="18" t="str">
        <f>IF(ISNUMBER($L$6)=FALSE,"",
        IF(ISERROR(VLOOKUP($G16,SantoYusuf!$L$13:$AK$56,Y$4,FALSE))=TRUE,"",
              VLOOKUP($G16,SantoYusuf!$L$13:$AK$56,Y$4,FALSE)))</f>
        <v/>
      </c>
      <c r="Z16" s="18" t="str">
        <f>IF(ISNUMBER($L$6)=FALSE,"",
        IF(ISERROR(VLOOKUP($G16,SantoYusuf!$L$13:$AK$56,Z$4,FALSE))=TRUE,"",
              VLOOKUP($G16,SantoYusuf!$L$13:$AK$56,Z$4,FALSE)))</f>
        <v/>
      </c>
      <c r="AA16" s="18" t="str">
        <f>IF(ISNUMBER($L$6)=FALSE,"",
        IF(ISERROR(VLOOKUP($G16,SantoYusuf!$L$13:$AK$56,AA$4,FALSE))=TRUE,"",
              VLOOKUP($G16,SantoYusuf!$L$13:$AK$56,AA$4,FALSE)))</f>
        <v/>
      </c>
      <c r="AB16" s="18" t="str">
        <f>IF(ISNUMBER($L$6)=FALSE,"",
        IF(ISERROR(VLOOKUP($G16,SantoYusuf!$L$13:$AK$56,AB$4,FALSE))=TRUE,"",
              VLOOKUP($G16,SantoYusuf!$L$13:$AK$56,AB$4,FALSE)))</f>
        <v/>
      </c>
      <c r="AC16" s="18" t="str">
        <f>IF(ISNUMBER($L$6)=FALSE,"",
        IF(ISERROR(VLOOKUP($G16,SantoYusuf!$L$13:$AK$56,AC$4,FALSE))=TRUE,"",
              VLOOKUP($G16,SantoYusuf!$L$13:$AK$56,AC$4,FALSE)))</f>
        <v/>
      </c>
      <c r="AD16" s="18" t="str">
        <f>IF(ISNUMBER($L$6)=FALSE,"",
        IF(ISERROR(VLOOKUP($G16,SantoYusuf!$L$13:$AK$56,AD$4,FALSE))=TRUE,"",
              VLOOKUP($G16,SantoYusuf!$L$13:$AK$56,AD$4,FALSE)))</f>
        <v/>
      </c>
      <c r="AE16" s="18" t="str">
        <f>IF(ISNUMBER($L$6)=FALSE,"",
        IF(ISERROR(VLOOKUP($G16,SantoYusuf!$L$13:$AK$56,AE$4,FALSE))=TRUE,"",
              VLOOKUP($G16,SantoYusuf!$L$13:$AK$56,AE$4,FALSE)))</f>
        <v/>
      </c>
      <c r="AF16" s="18" t="str">
        <f>IF(ISNUMBER($L$6)=FALSE,"",
        IF(ISERROR(VLOOKUP($G16,SantoYusuf!$L$13:$AK$56,AF$4,FALSE))=TRUE,"",
              VLOOKUP($G16,SantoYusuf!$L$13:$AK$56,AF$4,FALSE)))</f>
        <v/>
      </c>
    </row>
    <row r="17" spans="1:32" s="60" customFormat="1" ht="10.5" x14ac:dyDescent="0.25">
      <c r="A17" s="59"/>
      <c r="C17" s="59">
        <f t="shared" si="3"/>
        <v>4</v>
      </c>
      <c r="D17" s="61"/>
      <c r="E17" s="77" t="str">
        <f t="shared" si="4"/>
        <v/>
      </c>
      <c r="F17" s="77" t="str">
        <f>IF(ISNUMBER($L$6)=FALSE,"",
IF($C17=0,"",VLOOKUP($E17,SantoYusuf!$H$13:$L$56,4,FALSE)))</f>
        <v/>
      </c>
      <c r="G17" s="77" t="str">
        <f>IF(ISNUMBER($L$6)=FALSE,"",
IF($C17=0,"",VLOOKUP($E17,SantoYusuf!$H$13:$L$56,5,FALSE)))</f>
        <v/>
      </c>
      <c r="H17" s="17" t="str">
        <f t="shared" si="5"/>
        <v/>
      </c>
      <c r="I17" s="18" t="str">
        <f>IF(ISNUMBER($L$6)=FALSE,"",
        IF(ISERROR(VLOOKUP($G17,SantoYusuf!$L$13:$AK$56,I$4,FALSE))=TRUE,"",
              VLOOKUP($G17,SantoYusuf!$L$13:$AK$56,I$4,FALSE)))</f>
        <v/>
      </c>
      <c r="J17" s="18" t="str">
        <f>IF(ISNUMBER($L$6)=FALSE,"",
        IF(ISERROR(VLOOKUP($G17,SantoYusuf!$L$13:$AK$56,J$4,FALSE))=TRUE,"",
              VLOOKUP($G17,SantoYusuf!$L$13:$AK$56,J$4,FALSE)))</f>
        <v/>
      </c>
      <c r="K17" s="18" t="str">
        <f>IF(ISNUMBER($L$6)=FALSE,"",
        IF(ISERROR(VLOOKUP($G17,SantoYusuf!$L$13:$AK$56,K$4,FALSE))=TRUE,"",
              VLOOKUP($G17,SantoYusuf!$L$13:$AK$56,K$4,FALSE)))</f>
        <v/>
      </c>
      <c r="L17" s="18" t="str">
        <f>IF(ISNUMBER($L$6)=FALSE,"",
        IF(ISERROR(VLOOKUP($G17,SantoYusuf!$L$13:$AK$56,L$4,FALSE))=TRUE,"",
              VLOOKUP($G17,SantoYusuf!$L$13:$AK$56,L$4,FALSE)))</f>
        <v/>
      </c>
      <c r="M17" s="18" t="str">
        <f>IF(ISNUMBER($L$6)=FALSE,"",
        IF(ISERROR(VLOOKUP($G17,SantoYusuf!$L$13:$AK$56,M$4,FALSE))=TRUE,"",
              VLOOKUP($G17,SantoYusuf!$L$13:$AK$56,M$4,FALSE)))</f>
        <v/>
      </c>
      <c r="N17" s="18" t="str">
        <f>IF(ISNUMBER($L$6)=FALSE,"",
        IF(ISERROR(VLOOKUP($G17,SantoYusuf!$L$13:$AK$56,N$4,FALSE))=TRUE,"",
              VLOOKUP($G17,SantoYusuf!$L$13:$AK$56,N$4,FALSE)))</f>
        <v/>
      </c>
      <c r="O17" s="18" t="str">
        <f>IF(ISNUMBER($L$6)=FALSE,"",
        IF(ISERROR(VLOOKUP($G17,SantoYusuf!$L$13:$AK$56,O$4,FALSE))=TRUE,"",
              VLOOKUP($G17,SantoYusuf!$L$13:$AK$56,O$4,FALSE)))</f>
        <v/>
      </c>
      <c r="P17" s="18" t="str">
        <f>IF(ISNUMBER($L$6)=FALSE,"",
        IF(ISERROR(VLOOKUP($G17,SantoYusuf!$L$13:$AK$56,P$4,FALSE))=TRUE,"",
              VLOOKUP($G17,SantoYusuf!$L$13:$AK$56,P$4,FALSE)))</f>
        <v/>
      </c>
      <c r="Q17" s="18" t="str">
        <f>IF(ISNUMBER($L$6)=FALSE,"",
        IF(ISERROR(VLOOKUP($G17,SantoYusuf!$L$13:$AK$56,Q$4,FALSE))=TRUE,"",
              VLOOKUP($G17,SantoYusuf!$L$13:$AK$56,Q$4,FALSE)))</f>
        <v/>
      </c>
      <c r="R17" s="18" t="str">
        <f>IF(ISNUMBER($L$6)=FALSE,"",
        IF(ISERROR(VLOOKUP($G17,SantoYusuf!$L$13:$AK$56,R$4,FALSE))=TRUE,"",
              VLOOKUP($G17,SantoYusuf!$L$13:$AK$56,R$4,FALSE)))</f>
        <v/>
      </c>
      <c r="S17" s="18" t="str">
        <f>IF(ISNUMBER($L$6)=FALSE,"",
        IF(ISERROR(VLOOKUP($G17,SantoYusuf!$L$13:$AK$56,S$4,FALSE))=TRUE,"",
              VLOOKUP($G17,SantoYusuf!$L$13:$AK$56,S$4,FALSE)))</f>
        <v/>
      </c>
      <c r="T17" s="18" t="str">
        <f>IF(ISNUMBER($L$6)=FALSE,"",
        IF(ISERROR(VLOOKUP($G17,SantoYusuf!$L$13:$AK$56,T$4,FALSE))=TRUE,"",
              VLOOKUP($G17,SantoYusuf!$L$13:$AK$56,T$4,FALSE)))</f>
        <v/>
      </c>
      <c r="U17" s="18" t="str">
        <f>IF(ISNUMBER($L$6)=FALSE,"",
        IF(ISERROR(VLOOKUP($G17,SantoYusuf!$L$13:$AK$56,U$4,FALSE))=TRUE,"",
              VLOOKUP($G17,SantoYusuf!$L$13:$AK$56,U$4,FALSE)))</f>
        <v/>
      </c>
      <c r="V17" s="18" t="str">
        <f>IF(ISNUMBER($L$6)=FALSE,"",
        IF(ISERROR(VLOOKUP($G17,SantoYusuf!$L$13:$AK$56,V$4,FALSE))=TRUE,"",
              VLOOKUP($G17,SantoYusuf!$L$13:$AK$56,V$4,FALSE)))</f>
        <v/>
      </c>
      <c r="W17" s="18" t="str">
        <f>IF(ISNUMBER($L$6)=FALSE,"",
        IF(ISERROR(VLOOKUP($G17,SantoYusuf!$L$13:$AK$56,W$4,FALSE))=TRUE,"",
              VLOOKUP($G17,SantoYusuf!$L$13:$AK$56,W$4,FALSE)))</f>
        <v/>
      </c>
      <c r="X17" s="18" t="str">
        <f>IF(ISNUMBER($L$6)=FALSE,"",
        IF(ISERROR(VLOOKUP($G17,SantoYusuf!$L$13:$AK$56,X$4,FALSE))=TRUE,"",
              VLOOKUP($G17,SantoYusuf!$L$13:$AK$56,X$4,FALSE)))</f>
        <v/>
      </c>
      <c r="Y17" s="18" t="str">
        <f>IF(ISNUMBER($L$6)=FALSE,"",
        IF(ISERROR(VLOOKUP($G17,SantoYusuf!$L$13:$AK$56,Y$4,FALSE))=TRUE,"",
              VLOOKUP($G17,SantoYusuf!$L$13:$AK$56,Y$4,FALSE)))</f>
        <v/>
      </c>
      <c r="Z17" s="18" t="str">
        <f>IF(ISNUMBER($L$6)=FALSE,"",
        IF(ISERROR(VLOOKUP($G17,SantoYusuf!$L$13:$AK$56,Z$4,FALSE))=TRUE,"",
              VLOOKUP($G17,SantoYusuf!$L$13:$AK$56,Z$4,FALSE)))</f>
        <v/>
      </c>
      <c r="AA17" s="18" t="str">
        <f>IF(ISNUMBER($L$6)=FALSE,"",
        IF(ISERROR(VLOOKUP($G17,SantoYusuf!$L$13:$AK$56,AA$4,FALSE))=TRUE,"",
              VLOOKUP($G17,SantoYusuf!$L$13:$AK$56,AA$4,FALSE)))</f>
        <v/>
      </c>
      <c r="AB17" s="18" t="str">
        <f>IF(ISNUMBER($L$6)=FALSE,"",
        IF(ISERROR(VLOOKUP($G17,SantoYusuf!$L$13:$AK$56,AB$4,FALSE))=TRUE,"",
              VLOOKUP($G17,SantoYusuf!$L$13:$AK$56,AB$4,FALSE)))</f>
        <v/>
      </c>
      <c r="AC17" s="18" t="str">
        <f>IF(ISNUMBER($L$6)=FALSE,"",
        IF(ISERROR(VLOOKUP($G17,SantoYusuf!$L$13:$AK$56,AC$4,FALSE))=TRUE,"",
              VLOOKUP($G17,SantoYusuf!$L$13:$AK$56,AC$4,FALSE)))</f>
        <v/>
      </c>
      <c r="AD17" s="18" t="str">
        <f>IF(ISNUMBER($L$6)=FALSE,"",
        IF(ISERROR(VLOOKUP($G17,SantoYusuf!$L$13:$AK$56,AD$4,FALSE))=TRUE,"",
              VLOOKUP($G17,SantoYusuf!$L$13:$AK$56,AD$4,FALSE)))</f>
        <v/>
      </c>
      <c r="AE17" s="18" t="str">
        <f>IF(ISNUMBER($L$6)=FALSE,"",
        IF(ISERROR(VLOOKUP($G17,SantoYusuf!$L$13:$AK$56,AE$4,FALSE))=TRUE,"",
              VLOOKUP($G17,SantoYusuf!$L$13:$AK$56,AE$4,FALSE)))</f>
        <v/>
      </c>
      <c r="AF17" s="18" t="str">
        <f>IF(ISNUMBER($L$6)=FALSE,"",
        IF(ISERROR(VLOOKUP($G17,SantoYusuf!$L$13:$AK$56,AF$4,FALSE))=TRUE,"",
              VLOOKUP($G17,SantoYusuf!$L$13:$AK$56,AF$4,FALSE)))</f>
        <v/>
      </c>
    </row>
    <row r="18" spans="1:32" s="60" customFormat="1" ht="10.5" x14ac:dyDescent="0.25">
      <c r="A18" s="59"/>
      <c r="C18" s="59">
        <f t="shared" si="3"/>
        <v>5</v>
      </c>
      <c r="D18" s="61"/>
      <c r="E18" s="77" t="str">
        <f t="shared" si="4"/>
        <v/>
      </c>
      <c r="F18" s="77" t="str">
        <f>IF(ISNUMBER($L$6)=FALSE,"",
IF($C18=0,"",VLOOKUP($E18,SantoYusuf!$H$13:$L$56,4,FALSE)))</f>
        <v/>
      </c>
      <c r="G18" s="77" t="str">
        <f>IF(ISNUMBER($L$6)=FALSE,"",
IF($C18=0,"",VLOOKUP($E18,SantoYusuf!$H$13:$L$56,5,FALSE)))</f>
        <v/>
      </c>
      <c r="H18" s="17" t="str">
        <f t="shared" si="5"/>
        <v/>
      </c>
      <c r="I18" s="18" t="str">
        <f>IF(ISNUMBER($L$6)=FALSE,"",
        IF(ISERROR(VLOOKUP($G18,SantoYusuf!$L$13:$AK$56,I$4,FALSE))=TRUE,"",
              VLOOKUP($G18,SantoYusuf!$L$13:$AK$56,I$4,FALSE)))</f>
        <v/>
      </c>
      <c r="J18" s="18" t="str">
        <f>IF(ISNUMBER($L$6)=FALSE,"",
        IF(ISERROR(VLOOKUP($G18,SantoYusuf!$L$13:$AK$56,J$4,FALSE))=TRUE,"",
              VLOOKUP($G18,SantoYusuf!$L$13:$AK$56,J$4,FALSE)))</f>
        <v/>
      </c>
      <c r="K18" s="18" t="str">
        <f>IF(ISNUMBER($L$6)=FALSE,"",
        IF(ISERROR(VLOOKUP($G18,SantoYusuf!$L$13:$AK$56,K$4,FALSE))=TRUE,"",
              VLOOKUP($G18,SantoYusuf!$L$13:$AK$56,K$4,FALSE)))</f>
        <v/>
      </c>
      <c r="L18" s="18" t="str">
        <f>IF(ISNUMBER($L$6)=FALSE,"",
        IF(ISERROR(VLOOKUP($G18,SantoYusuf!$L$13:$AK$56,L$4,FALSE))=TRUE,"",
              VLOOKUP($G18,SantoYusuf!$L$13:$AK$56,L$4,FALSE)))</f>
        <v/>
      </c>
      <c r="M18" s="18" t="str">
        <f>IF(ISNUMBER($L$6)=FALSE,"",
        IF(ISERROR(VLOOKUP($G18,SantoYusuf!$L$13:$AK$56,M$4,FALSE))=TRUE,"",
              VLOOKUP($G18,SantoYusuf!$L$13:$AK$56,M$4,FALSE)))</f>
        <v/>
      </c>
      <c r="N18" s="18" t="str">
        <f>IF(ISNUMBER($L$6)=FALSE,"",
        IF(ISERROR(VLOOKUP($G18,SantoYusuf!$L$13:$AK$56,N$4,FALSE))=TRUE,"",
              VLOOKUP($G18,SantoYusuf!$L$13:$AK$56,N$4,FALSE)))</f>
        <v/>
      </c>
      <c r="O18" s="18" t="str">
        <f>IF(ISNUMBER($L$6)=FALSE,"",
        IF(ISERROR(VLOOKUP($G18,SantoYusuf!$L$13:$AK$56,O$4,FALSE))=TRUE,"",
              VLOOKUP($G18,SantoYusuf!$L$13:$AK$56,O$4,FALSE)))</f>
        <v/>
      </c>
      <c r="P18" s="18" t="str">
        <f>IF(ISNUMBER($L$6)=FALSE,"",
        IF(ISERROR(VLOOKUP($G18,SantoYusuf!$L$13:$AK$56,P$4,FALSE))=TRUE,"",
              VLOOKUP($G18,SantoYusuf!$L$13:$AK$56,P$4,FALSE)))</f>
        <v/>
      </c>
      <c r="Q18" s="18" t="str">
        <f>IF(ISNUMBER($L$6)=FALSE,"",
        IF(ISERROR(VLOOKUP($G18,SantoYusuf!$L$13:$AK$56,Q$4,FALSE))=TRUE,"",
              VLOOKUP($G18,SantoYusuf!$L$13:$AK$56,Q$4,FALSE)))</f>
        <v/>
      </c>
      <c r="R18" s="18" t="str">
        <f>IF(ISNUMBER($L$6)=FALSE,"",
        IF(ISERROR(VLOOKUP($G18,SantoYusuf!$L$13:$AK$56,R$4,FALSE))=TRUE,"",
              VLOOKUP($G18,SantoYusuf!$L$13:$AK$56,R$4,FALSE)))</f>
        <v/>
      </c>
      <c r="S18" s="18" t="str">
        <f>IF(ISNUMBER($L$6)=FALSE,"",
        IF(ISERROR(VLOOKUP($G18,SantoYusuf!$L$13:$AK$56,S$4,FALSE))=TRUE,"",
              VLOOKUP($G18,SantoYusuf!$L$13:$AK$56,S$4,FALSE)))</f>
        <v/>
      </c>
      <c r="T18" s="18" t="str">
        <f>IF(ISNUMBER($L$6)=FALSE,"",
        IF(ISERROR(VLOOKUP($G18,SantoYusuf!$L$13:$AK$56,T$4,FALSE))=TRUE,"",
              VLOOKUP($G18,SantoYusuf!$L$13:$AK$56,T$4,FALSE)))</f>
        <v/>
      </c>
      <c r="U18" s="18" t="str">
        <f>IF(ISNUMBER($L$6)=FALSE,"",
        IF(ISERROR(VLOOKUP($G18,SantoYusuf!$L$13:$AK$56,U$4,FALSE))=TRUE,"",
              VLOOKUP($G18,SantoYusuf!$L$13:$AK$56,U$4,FALSE)))</f>
        <v/>
      </c>
      <c r="V18" s="18" t="str">
        <f>IF(ISNUMBER($L$6)=FALSE,"",
        IF(ISERROR(VLOOKUP($G18,SantoYusuf!$L$13:$AK$56,V$4,FALSE))=TRUE,"",
              VLOOKUP($G18,SantoYusuf!$L$13:$AK$56,V$4,FALSE)))</f>
        <v/>
      </c>
      <c r="W18" s="18" t="str">
        <f>IF(ISNUMBER($L$6)=FALSE,"",
        IF(ISERROR(VLOOKUP($G18,SantoYusuf!$L$13:$AK$56,W$4,FALSE))=TRUE,"",
              VLOOKUP($G18,SantoYusuf!$L$13:$AK$56,W$4,FALSE)))</f>
        <v/>
      </c>
      <c r="X18" s="18" t="str">
        <f>IF(ISNUMBER($L$6)=FALSE,"",
        IF(ISERROR(VLOOKUP($G18,SantoYusuf!$L$13:$AK$56,X$4,FALSE))=TRUE,"",
              VLOOKUP($G18,SantoYusuf!$L$13:$AK$56,X$4,FALSE)))</f>
        <v/>
      </c>
      <c r="Y18" s="18" t="str">
        <f>IF(ISNUMBER($L$6)=FALSE,"",
        IF(ISERROR(VLOOKUP($G18,SantoYusuf!$L$13:$AK$56,Y$4,FALSE))=TRUE,"",
              VLOOKUP($G18,SantoYusuf!$L$13:$AK$56,Y$4,FALSE)))</f>
        <v/>
      </c>
      <c r="Z18" s="18" t="str">
        <f>IF(ISNUMBER($L$6)=FALSE,"",
        IF(ISERROR(VLOOKUP($G18,SantoYusuf!$L$13:$AK$56,Z$4,FALSE))=TRUE,"",
              VLOOKUP($G18,SantoYusuf!$L$13:$AK$56,Z$4,FALSE)))</f>
        <v/>
      </c>
      <c r="AA18" s="18" t="str">
        <f>IF(ISNUMBER($L$6)=FALSE,"",
        IF(ISERROR(VLOOKUP($G18,SantoYusuf!$L$13:$AK$56,AA$4,FALSE))=TRUE,"",
              VLOOKUP($G18,SantoYusuf!$L$13:$AK$56,AA$4,FALSE)))</f>
        <v/>
      </c>
      <c r="AB18" s="18" t="str">
        <f>IF(ISNUMBER($L$6)=FALSE,"",
        IF(ISERROR(VLOOKUP($G18,SantoYusuf!$L$13:$AK$56,AB$4,FALSE))=TRUE,"",
              VLOOKUP($G18,SantoYusuf!$L$13:$AK$56,AB$4,FALSE)))</f>
        <v/>
      </c>
      <c r="AC18" s="18" t="str">
        <f>IF(ISNUMBER($L$6)=FALSE,"",
        IF(ISERROR(VLOOKUP($G18,SantoYusuf!$L$13:$AK$56,AC$4,FALSE))=TRUE,"",
              VLOOKUP($G18,SantoYusuf!$L$13:$AK$56,AC$4,FALSE)))</f>
        <v/>
      </c>
      <c r="AD18" s="18" t="str">
        <f>IF(ISNUMBER($L$6)=FALSE,"",
        IF(ISERROR(VLOOKUP($G18,SantoYusuf!$L$13:$AK$56,AD$4,FALSE))=TRUE,"",
              VLOOKUP($G18,SantoYusuf!$L$13:$AK$56,AD$4,FALSE)))</f>
        <v/>
      </c>
      <c r="AE18" s="18" t="str">
        <f>IF(ISNUMBER($L$6)=FALSE,"",
        IF(ISERROR(VLOOKUP($G18,SantoYusuf!$L$13:$AK$56,AE$4,FALSE))=TRUE,"",
              VLOOKUP($G18,SantoYusuf!$L$13:$AK$56,AE$4,FALSE)))</f>
        <v/>
      </c>
      <c r="AF18" s="18" t="str">
        <f>IF(ISNUMBER($L$6)=FALSE,"",
        IF(ISERROR(VLOOKUP($G18,SantoYusuf!$L$13:$AK$56,AF$4,FALSE))=TRUE,"",
              VLOOKUP($G18,SantoYusuf!$L$13:$AK$56,AF$4,FALSE)))</f>
        <v/>
      </c>
    </row>
    <row r="19" spans="1:32" s="60" customFormat="1" ht="10.5" x14ac:dyDescent="0.25">
      <c r="A19" s="59"/>
      <c r="C19" s="59">
        <f t="shared" si="3"/>
        <v>6</v>
      </c>
      <c r="D19" s="61"/>
      <c r="E19" s="77" t="str">
        <f t="shared" si="4"/>
        <v/>
      </c>
      <c r="F19" s="77" t="str">
        <f>IF(ISNUMBER($L$6)=FALSE,"",
IF($C19=0,"",VLOOKUP($E19,SantoYusuf!$H$13:$L$56,4,FALSE)))</f>
        <v/>
      </c>
      <c r="G19" s="77" t="str">
        <f>IF(ISNUMBER($L$6)=FALSE,"",
IF($C19=0,"",VLOOKUP($E19,SantoYusuf!$H$13:$L$56,5,FALSE)))</f>
        <v/>
      </c>
      <c r="H19" s="17" t="str">
        <f t="shared" si="5"/>
        <v/>
      </c>
      <c r="I19" s="18" t="str">
        <f>IF(ISNUMBER($L$6)=FALSE,"",
        IF(ISERROR(VLOOKUP($G19,SantoYusuf!$L$13:$AK$56,I$4,FALSE))=TRUE,"",
              VLOOKUP($G19,SantoYusuf!$L$13:$AK$56,I$4,FALSE)))</f>
        <v/>
      </c>
      <c r="J19" s="18" t="str">
        <f>IF(ISNUMBER($L$6)=FALSE,"",
        IF(ISERROR(VLOOKUP($G19,SantoYusuf!$L$13:$AK$56,J$4,FALSE))=TRUE,"",
              VLOOKUP($G19,SantoYusuf!$L$13:$AK$56,J$4,FALSE)))</f>
        <v/>
      </c>
      <c r="K19" s="18" t="str">
        <f>IF(ISNUMBER($L$6)=FALSE,"",
        IF(ISERROR(VLOOKUP($G19,SantoYusuf!$L$13:$AK$56,K$4,FALSE))=TRUE,"",
              VLOOKUP($G19,SantoYusuf!$L$13:$AK$56,K$4,FALSE)))</f>
        <v/>
      </c>
      <c r="L19" s="18" t="str">
        <f>IF(ISNUMBER($L$6)=FALSE,"",
        IF(ISERROR(VLOOKUP($G19,SantoYusuf!$L$13:$AK$56,L$4,FALSE))=TRUE,"",
              VLOOKUP($G19,SantoYusuf!$L$13:$AK$56,L$4,FALSE)))</f>
        <v/>
      </c>
      <c r="M19" s="18" t="str">
        <f>IF(ISNUMBER($L$6)=FALSE,"",
        IF(ISERROR(VLOOKUP($G19,SantoYusuf!$L$13:$AK$56,M$4,FALSE))=TRUE,"",
              VLOOKUP($G19,SantoYusuf!$L$13:$AK$56,M$4,FALSE)))</f>
        <v/>
      </c>
      <c r="N19" s="18" t="str">
        <f>IF(ISNUMBER($L$6)=FALSE,"",
        IF(ISERROR(VLOOKUP($G19,SantoYusuf!$L$13:$AK$56,N$4,FALSE))=TRUE,"",
              VLOOKUP($G19,SantoYusuf!$L$13:$AK$56,N$4,FALSE)))</f>
        <v/>
      </c>
      <c r="O19" s="18" t="str">
        <f>IF(ISNUMBER($L$6)=FALSE,"",
        IF(ISERROR(VLOOKUP($G19,SantoYusuf!$L$13:$AK$56,O$4,FALSE))=TRUE,"",
              VLOOKUP($G19,SantoYusuf!$L$13:$AK$56,O$4,FALSE)))</f>
        <v/>
      </c>
      <c r="P19" s="18" t="str">
        <f>IF(ISNUMBER($L$6)=FALSE,"",
        IF(ISERROR(VLOOKUP($G19,SantoYusuf!$L$13:$AK$56,P$4,FALSE))=TRUE,"",
              VLOOKUP($G19,SantoYusuf!$L$13:$AK$56,P$4,FALSE)))</f>
        <v/>
      </c>
      <c r="Q19" s="18" t="str">
        <f>IF(ISNUMBER($L$6)=FALSE,"",
        IF(ISERROR(VLOOKUP($G19,SantoYusuf!$L$13:$AK$56,Q$4,FALSE))=TRUE,"",
              VLOOKUP($G19,SantoYusuf!$L$13:$AK$56,Q$4,FALSE)))</f>
        <v/>
      </c>
      <c r="R19" s="18" t="str">
        <f>IF(ISNUMBER($L$6)=FALSE,"",
        IF(ISERROR(VLOOKUP($G19,SantoYusuf!$L$13:$AK$56,R$4,FALSE))=TRUE,"",
              VLOOKUP($G19,SantoYusuf!$L$13:$AK$56,R$4,FALSE)))</f>
        <v/>
      </c>
      <c r="S19" s="18" t="str">
        <f>IF(ISNUMBER($L$6)=FALSE,"",
        IF(ISERROR(VLOOKUP($G19,SantoYusuf!$L$13:$AK$56,S$4,FALSE))=TRUE,"",
              VLOOKUP($G19,SantoYusuf!$L$13:$AK$56,S$4,FALSE)))</f>
        <v/>
      </c>
      <c r="T19" s="18" t="str">
        <f>IF(ISNUMBER($L$6)=FALSE,"",
        IF(ISERROR(VLOOKUP($G19,SantoYusuf!$L$13:$AK$56,T$4,FALSE))=TRUE,"",
              VLOOKUP($G19,SantoYusuf!$L$13:$AK$56,T$4,FALSE)))</f>
        <v/>
      </c>
      <c r="U19" s="18" t="str">
        <f>IF(ISNUMBER($L$6)=FALSE,"",
        IF(ISERROR(VLOOKUP($G19,SantoYusuf!$L$13:$AK$56,U$4,FALSE))=TRUE,"",
              VLOOKUP($G19,SantoYusuf!$L$13:$AK$56,U$4,FALSE)))</f>
        <v/>
      </c>
      <c r="V19" s="18" t="str">
        <f>IF(ISNUMBER($L$6)=FALSE,"",
        IF(ISERROR(VLOOKUP($G19,SantoYusuf!$L$13:$AK$56,V$4,FALSE))=TRUE,"",
              VLOOKUP($G19,SantoYusuf!$L$13:$AK$56,V$4,FALSE)))</f>
        <v/>
      </c>
      <c r="W19" s="18" t="str">
        <f>IF(ISNUMBER($L$6)=FALSE,"",
        IF(ISERROR(VLOOKUP($G19,SantoYusuf!$L$13:$AK$56,W$4,FALSE))=TRUE,"",
              VLOOKUP($G19,SantoYusuf!$L$13:$AK$56,W$4,FALSE)))</f>
        <v/>
      </c>
      <c r="X19" s="18" t="str">
        <f>IF(ISNUMBER($L$6)=FALSE,"",
        IF(ISERROR(VLOOKUP($G19,SantoYusuf!$L$13:$AK$56,X$4,FALSE))=TRUE,"",
              VLOOKUP($G19,SantoYusuf!$L$13:$AK$56,X$4,FALSE)))</f>
        <v/>
      </c>
      <c r="Y19" s="18" t="str">
        <f>IF(ISNUMBER($L$6)=FALSE,"",
        IF(ISERROR(VLOOKUP($G19,SantoYusuf!$L$13:$AK$56,Y$4,FALSE))=TRUE,"",
              VLOOKUP($G19,SantoYusuf!$L$13:$AK$56,Y$4,FALSE)))</f>
        <v/>
      </c>
      <c r="Z19" s="18" t="str">
        <f>IF(ISNUMBER($L$6)=FALSE,"",
        IF(ISERROR(VLOOKUP($G19,SantoYusuf!$L$13:$AK$56,Z$4,FALSE))=TRUE,"",
              VLOOKUP($G19,SantoYusuf!$L$13:$AK$56,Z$4,FALSE)))</f>
        <v/>
      </c>
      <c r="AA19" s="18" t="str">
        <f>IF(ISNUMBER($L$6)=FALSE,"",
        IF(ISERROR(VLOOKUP($G19,SantoYusuf!$L$13:$AK$56,AA$4,FALSE))=TRUE,"",
              VLOOKUP($G19,SantoYusuf!$L$13:$AK$56,AA$4,FALSE)))</f>
        <v/>
      </c>
      <c r="AB19" s="18" t="str">
        <f>IF(ISNUMBER($L$6)=FALSE,"",
        IF(ISERROR(VLOOKUP($G19,SantoYusuf!$L$13:$AK$56,AB$4,FALSE))=TRUE,"",
              VLOOKUP($G19,SantoYusuf!$L$13:$AK$56,AB$4,FALSE)))</f>
        <v/>
      </c>
      <c r="AC19" s="18" t="str">
        <f>IF(ISNUMBER($L$6)=FALSE,"",
        IF(ISERROR(VLOOKUP($G19,SantoYusuf!$L$13:$AK$56,AC$4,FALSE))=TRUE,"",
              VLOOKUP($G19,SantoYusuf!$L$13:$AK$56,AC$4,FALSE)))</f>
        <v/>
      </c>
      <c r="AD19" s="18" t="str">
        <f>IF(ISNUMBER($L$6)=FALSE,"",
        IF(ISERROR(VLOOKUP($G19,SantoYusuf!$L$13:$AK$56,AD$4,FALSE))=TRUE,"",
              VLOOKUP($G19,SantoYusuf!$L$13:$AK$56,AD$4,FALSE)))</f>
        <v/>
      </c>
      <c r="AE19" s="18" t="str">
        <f>IF(ISNUMBER($L$6)=FALSE,"",
        IF(ISERROR(VLOOKUP($G19,SantoYusuf!$L$13:$AK$56,AE$4,FALSE))=TRUE,"",
              VLOOKUP($G19,SantoYusuf!$L$13:$AK$56,AE$4,FALSE)))</f>
        <v/>
      </c>
      <c r="AF19" s="18" t="str">
        <f>IF(ISNUMBER($L$6)=FALSE,"",
        IF(ISERROR(VLOOKUP($G19,SantoYusuf!$L$13:$AK$56,AF$4,FALSE))=TRUE,"",
              VLOOKUP($G19,SantoYusuf!$L$13:$AK$56,AF$4,FALSE)))</f>
        <v/>
      </c>
    </row>
    <row r="20" spans="1:32" s="60" customFormat="1" ht="10.5" x14ac:dyDescent="0.25">
      <c r="A20" s="59"/>
      <c r="C20" s="59">
        <f t="shared" si="3"/>
        <v>7</v>
      </c>
      <c r="D20" s="61"/>
      <c r="E20" s="77" t="str">
        <f t="shared" si="4"/>
        <v/>
      </c>
      <c r="F20" s="77" t="str">
        <f>IF(ISNUMBER($L$6)=FALSE,"",
IF($C20=0,"",VLOOKUP($E20,SantoYusuf!$H$13:$L$56,4,FALSE)))</f>
        <v/>
      </c>
      <c r="G20" s="77" t="str">
        <f>IF(ISNUMBER($L$6)=FALSE,"",
IF($C20=0,"",VLOOKUP($E20,SantoYusuf!$H$13:$L$56,5,FALSE)))</f>
        <v/>
      </c>
      <c r="H20" s="17" t="str">
        <f t="shared" si="5"/>
        <v/>
      </c>
      <c r="I20" s="18" t="str">
        <f>IF(ISNUMBER($L$6)=FALSE,"",
        IF(ISERROR(VLOOKUP($G20,SantoYusuf!$L$13:$AK$56,I$4,FALSE))=TRUE,"",
              VLOOKUP($G20,SantoYusuf!$L$13:$AK$56,I$4,FALSE)))</f>
        <v/>
      </c>
      <c r="J20" s="18" t="str">
        <f>IF(ISNUMBER($L$6)=FALSE,"",
        IF(ISERROR(VLOOKUP($G20,SantoYusuf!$L$13:$AK$56,J$4,FALSE))=TRUE,"",
              VLOOKUP($G20,SantoYusuf!$L$13:$AK$56,J$4,FALSE)))</f>
        <v/>
      </c>
      <c r="K20" s="18" t="str">
        <f>IF(ISNUMBER($L$6)=FALSE,"",
        IF(ISERROR(VLOOKUP($G20,SantoYusuf!$L$13:$AK$56,K$4,FALSE))=TRUE,"",
              VLOOKUP($G20,SantoYusuf!$L$13:$AK$56,K$4,FALSE)))</f>
        <v/>
      </c>
      <c r="L20" s="18" t="str">
        <f>IF(ISNUMBER($L$6)=FALSE,"",
        IF(ISERROR(VLOOKUP($G20,SantoYusuf!$L$13:$AK$56,L$4,FALSE))=TRUE,"",
              VLOOKUP($G20,SantoYusuf!$L$13:$AK$56,L$4,FALSE)))</f>
        <v/>
      </c>
      <c r="M20" s="18" t="str">
        <f>IF(ISNUMBER($L$6)=FALSE,"",
        IF(ISERROR(VLOOKUP($G20,SantoYusuf!$L$13:$AK$56,M$4,FALSE))=TRUE,"",
              VLOOKUP($G20,SantoYusuf!$L$13:$AK$56,M$4,FALSE)))</f>
        <v/>
      </c>
      <c r="N20" s="18" t="str">
        <f>IF(ISNUMBER($L$6)=FALSE,"",
        IF(ISERROR(VLOOKUP($G20,SantoYusuf!$L$13:$AK$56,N$4,FALSE))=TRUE,"",
              VLOOKUP($G20,SantoYusuf!$L$13:$AK$56,N$4,FALSE)))</f>
        <v/>
      </c>
      <c r="O20" s="18" t="str">
        <f>IF(ISNUMBER($L$6)=FALSE,"",
        IF(ISERROR(VLOOKUP($G20,SantoYusuf!$L$13:$AK$56,O$4,FALSE))=TRUE,"",
              VLOOKUP($G20,SantoYusuf!$L$13:$AK$56,O$4,FALSE)))</f>
        <v/>
      </c>
      <c r="P20" s="18" t="str">
        <f>IF(ISNUMBER($L$6)=FALSE,"",
        IF(ISERROR(VLOOKUP($G20,SantoYusuf!$L$13:$AK$56,P$4,FALSE))=TRUE,"",
              VLOOKUP($G20,SantoYusuf!$L$13:$AK$56,P$4,FALSE)))</f>
        <v/>
      </c>
      <c r="Q20" s="18" t="str">
        <f>IF(ISNUMBER($L$6)=FALSE,"",
        IF(ISERROR(VLOOKUP($G20,SantoYusuf!$L$13:$AK$56,Q$4,FALSE))=TRUE,"",
              VLOOKUP($G20,SantoYusuf!$L$13:$AK$56,Q$4,FALSE)))</f>
        <v/>
      </c>
      <c r="R20" s="18" t="str">
        <f>IF(ISNUMBER($L$6)=FALSE,"",
        IF(ISERROR(VLOOKUP($G20,SantoYusuf!$L$13:$AK$56,R$4,FALSE))=TRUE,"",
              VLOOKUP($G20,SantoYusuf!$L$13:$AK$56,R$4,FALSE)))</f>
        <v/>
      </c>
      <c r="S20" s="18" t="str">
        <f>IF(ISNUMBER($L$6)=FALSE,"",
        IF(ISERROR(VLOOKUP($G20,SantoYusuf!$L$13:$AK$56,S$4,FALSE))=TRUE,"",
              VLOOKUP($G20,SantoYusuf!$L$13:$AK$56,S$4,FALSE)))</f>
        <v/>
      </c>
      <c r="T20" s="18" t="str">
        <f>IF(ISNUMBER($L$6)=FALSE,"",
        IF(ISERROR(VLOOKUP($G20,SantoYusuf!$L$13:$AK$56,T$4,FALSE))=TRUE,"",
              VLOOKUP($G20,SantoYusuf!$L$13:$AK$56,T$4,FALSE)))</f>
        <v/>
      </c>
      <c r="U20" s="18" t="str">
        <f>IF(ISNUMBER($L$6)=FALSE,"",
        IF(ISERROR(VLOOKUP($G20,SantoYusuf!$L$13:$AK$56,U$4,FALSE))=TRUE,"",
              VLOOKUP($G20,SantoYusuf!$L$13:$AK$56,U$4,FALSE)))</f>
        <v/>
      </c>
      <c r="V20" s="18" t="str">
        <f>IF(ISNUMBER($L$6)=FALSE,"",
        IF(ISERROR(VLOOKUP($G20,SantoYusuf!$L$13:$AK$56,V$4,FALSE))=TRUE,"",
              VLOOKUP($G20,SantoYusuf!$L$13:$AK$56,V$4,FALSE)))</f>
        <v/>
      </c>
      <c r="W20" s="18" t="str">
        <f>IF(ISNUMBER($L$6)=FALSE,"",
        IF(ISERROR(VLOOKUP($G20,SantoYusuf!$L$13:$AK$56,W$4,FALSE))=TRUE,"",
              VLOOKUP($G20,SantoYusuf!$L$13:$AK$56,W$4,FALSE)))</f>
        <v/>
      </c>
      <c r="X20" s="18" t="str">
        <f>IF(ISNUMBER($L$6)=FALSE,"",
        IF(ISERROR(VLOOKUP($G20,SantoYusuf!$L$13:$AK$56,X$4,FALSE))=TRUE,"",
              VLOOKUP($G20,SantoYusuf!$L$13:$AK$56,X$4,FALSE)))</f>
        <v/>
      </c>
      <c r="Y20" s="18" t="str">
        <f>IF(ISNUMBER($L$6)=FALSE,"",
        IF(ISERROR(VLOOKUP($G20,SantoYusuf!$L$13:$AK$56,Y$4,FALSE))=TRUE,"",
              VLOOKUP($G20,SantoYusuf!$L$13:$AK$56,Y$4,FALSE)))</f>
        <v/>
      </c>
      <c r="Z20" s="18" t="str">
        <f>IF(ISNUMBER($L$6)=FALSE,"",
        IF(ISERROR(VLOOKUP($G20,SantoYusuf!$L$13:$AK$56,Z$4,FALSE))=TRUE,"",
              VLOOKUP($G20,SantoYusuf!$L$13:$AK$56,Z$4,FALSE)))</f>
        <v/>
      </c>
      <c r="AA20" s="18" t="str">
        <f>IF(ISNUMBER($L$6)=FALSE,"",
        IF(ISERROR(VLOOKUP($G20,SantoYusuf!$L$13:$AK$56,AA$4,FALSE))=TRUE,"",
              VLOOKUP($G20,SantoYusuf!$L$13:$AK$56,AA$4,FALSE)))</f>
        <v/>
      </c>
      <c r="AB20" s="18" t="str">
        <f>IF(ISNUMBER($L$6)=FALSE,"",
        IF(ISERROR(VLOOKUP($G20,SantoYusuf!$L$13:$AK$56,AB$4,FALSE))=TRUE,"",
              VLOOKUP($G20,SantoYusuf!$L$13:$AK$56,AB$4,FALSE)))</f>
        <v/>
      </c>
      <c r="AC20" s="18" t="str">
        <f>IF(ISNUMBER($L$6)=FALSE,"",
        IF(ISERROR(VLOOKUP($G20,SantoYusuf!$L$13:$AK$56,AC$4,FALSE))=TRUE,"",
              VLOOKUP($G20,SantoYusuf!$L$13:$AK$56,AC$4,FALSE)))</f>
        <v/>
      </c>
      <c r="AD20" s="18" t="str">
        <f>IF(ISNUMBER($L$6)=FALSE,"",
        IF(ISERROR(VLOOKUP($G20,SantoYusuf!$L$13:$AK$56,AD$4,FALSE))=TRUE,"",
              VLOOKUP($G20,SantoYusuf!$L$13:$AK$56,AD$4,FALSE)))</f>
        <v/>
      </c>
      <c r="AE20" s="18" t="str">
        <f>IF(ISNUMBER($L$6)=FALSE,"",
        IF(ISERROR(VLOOKUP($G20,SantoYusuf!$L$13:$AK$56,AE$4,FALSE))=TRUE,"",
              VLOOKUP($G20,SantoYusuf!$L$13:$AK$56,AE$4,FALSE)))</f>
        <v/>
      </c>
      <c r="AF20" s="18" t="str">
        <f>IF(ISNUMBER($L$6)=FALSE,"",
        IF(ISERROR(VLOOKUP($G20,SantoYusuf!$L$13:$AK$56,AF$4,FALSE))=TRUE,"",
              VLOOKUP($G20,SantoYusuf!$L$13:$AK$56,AF$4,FALSE)))</f>
        <v/>
      </c>
    </row>
    <row r="21" spans="1:32" s="60" customFormat="1" ht="10.5" x14ac:dyDescent="0.25">
      <c r="A21" s="59"/>
      <c r="C21" s="59">
        <f t="shared" si="3"/>
        <v>8</v>
      </c>
      <c r="D21" s="61"/>
      <c r="E21" s="77" t="str">
        <f t="shared" si="4"/>
        <v/>
      </c>
      <c r="F21" s="77" t="str">
        <f>IF(ISNUMBER($L$6)=FALSE,"",
IF($C21=0,"",VLOOKUP($E21,SantoYusuf!$H$13:$L$56,4,FALSE)))</f>
        <v/>
      </c>
      <c r="G21" s="77" t="str">
        <f>IF(ISNUMBER($L$6)=FALSE,"",
IF($C21=0,"",VLOOKUP($E21,SantoYusuf!$H$13:$L$56,5,FALSE)))</f>
        <v/>
      </c>
      <c r="H21" s="17" t="str">
        <f t="shared" si="5"/>
        <v/>
      </c>
      <c r="I21" s="18" t="str">
        <f>IF(ISNUMBER($L$6)=FALSE,"",
        IF(ISERROR(VLOOKUP($G21,SantoYusuf!$L$13:$AK$56,I$4,FALSE))=TRUE,"",
              VLOOKUP($G21,SantoYusuf!$L$13:$AK$56,I$4,FALSE)))</f>
        <v/>
      </c>
      <c r="J21" s="18" t="str">
        <f>IF(ISNUMBER($L$6)=FALSE,"",
        IF(ISERROR(VLOOKUP($G21,SantoYusuf!$L$13:$AK$56,J$4,FALSE))=TRUE,"",
              VLOOKUP($G21,SantoYusuf!$L$13:$AK$56,J$4,FALSE)))</f>
        <v/>
      </c>
      <c r="K21" s="18" t="str">
        <f>IF(ISNUMBER($L$6)=FALSE,"",
        IF(ISERROR(VLOOKUP($G21,SantoYusuf!$L$13:$AK$56,K$4,FALSE))=TRUE,"",
              VLOOKUP($G21,SantoYusuf!$L$13:$AK$56,K$4,FALSE)))</f>
        <v/>
      </c>
      <c r="L21" s="18" t="str">
        <f>IF(ISNUMBER($L$6)=FALSE,"",
        IF(ISERROR(VLOOKUP($G21,SantoYusuf!$L$13:$AK$56,L$4,FALSE))=TRUE,"",
              VLOOKUP($G21,SantoYusuf!$L$13:$AK$56,L$4,FALSE)))</f>
        <v/>
      </c>
      <c r="M21" s="18" t="str">
        <f>IF(ISNUMBER($L$6)=FALSE,"",
        IF(ISERROR(VLOOKUP($G21,SantoYusuf!$L$13:$AK$56,M$4,FALSE))=TRUE,"",
              VLOOKUP($G21,SantoYusuf!$L$13:$AK$56,M$4,FALSE)))</f>
        <v/>
      </c>
      <c r="N21" s="18" t="str">
        <f>IF(ISNUMBER($L$6)=FALSE,"",
        IF(ISERROR(VLOOKUP($G21,SantoYusuf!$L$13:$AK$56,N$4,FALSE))=TRUE,"",
              VLOOKUP($G21,SantoYusuf!$L$13:$AK$56,N$4,FALSE)))</f>
        <v/>
      </c>
      <c r="O21" s="18" t="str">
        <f>IF(ISNUMBER($L$6)=FALSE,"",
        IF(ISERROR(VLOOKUP($G21,SantoYusuf!$L$13:$AK$56,O$4,FALSE))=TRUE,"",
              VLOOKUP($G21,SantoYusuf!$L$13:$AK$56,O$4,FALSE)))</f>
        <v/>
      </c>
      <c r="P21" s="18" t="str">
        <f>IF(ISNUMBER($L$6)=FALSE,"",
        IF(ISERROR(VLOOKUP($G21,SantoYusuf!$L$13:$AK$56,P$4,FALSE))=TRUE,"",
              VLOOKUP($G21,SantoYusuf!$L$13:$AK$56,P$4,FALSE)))</f>
        <v/>
      </c>
      <c r="Q21" s="18" t="str">
        <f>IF(ISNUMBER($L$6)=FALSE,"",
        IF(ISERROR(VLOOKUP($G21,SantoYusuf!$L$13:$AK$56,Q$4,FALSE))=TRUE,"",
              VLOOKUP($G21,SantoYusuf!$L$13:$AK$56,Q$4,FALSE)))</f>
        <v/>
      </c>
      <c r="R21" s="18" t="str">
        <f>IF(ISNUMBER($L$6)=FALSE,"",
        IF(ISERROR(VLOOKUP($G21,SantoYusuf!$L$13:$AK$56,R$4,FALSE))=TRUE,"",
              VLOOKUP($G21,SantoYusuf!$L$13:$AK$56,R$4,FALSE)))</f>
        <v/>
      </c>
      <c r="S21" s="18" t="str">
        <f>IF(ISNUMBER($L$6)=FALSE,"",
        IF(ISERROR(VLOOKUP($G21,SantoYusuf!$L$13:$AK$56,S$4,FALSE))=TRUE,"",
              VLOOKUP($G21,SantoYusuf!$L$13:$AK$56,S$4,FALSE)))</f>
        <v/>
      </c>
      <c r="T21" s="18" t="str">
        <f>IF(ISNUMBER($L$6)=FALSE,"",
        IF(ISERROR(VLOOKUP($G21,SantoYusuf!$L$13:$AK$56,T$4,FALSE))=TRUE,"",
              VLOOKUP($G21,SantoYusuf!$L$13:$AK$56,T$4,FALSE)))</f>
        <v/>
      </c>
      <c r="U21" s="18" t="str">
        <f>IF(ISNUMBER($L$6)=FALSE,"",
        IF(ISERROR(VLOOKUP($G21,SantoYusuf!$L$13:$AK$56,U$4,FALSE))=TRUE,"",
              VLOOKUP($G21,SantoYusuf!$L$13:$AK$56,U$4,FALSE)))</f>
        <v/>
      </c>
      <c r="V21" s="18" t="str">
        <f>IF(ISNUMBER($L$6)=FALSE,"",
        IF(ISERROR(VLOOKUP($G21,SantoYusuf!$L$13:$AK$56,V$4,FALSE))=TRUE,"",
              VLOOKUP($G21,SantoYusuf!$L$13:$AK$56,V$4,FALSE)))</f>
        <v/>
      </c>
      <c r="W21" s="18" t="str">
        <f>IF(ISNUMBER($L$6)=FALSE,"",
        IF(ISERROR(VLOOKUP($G21,SantoYusuf!$L$13:$AK$56,W$4,FALSE))=TRUE,"",
              VLOOKUP($G21,SantoYusuf!$L$13:$AK$56,W$4,FALSE)))</f>
        <v/>
      </c>
      <c r="X21" s="18" t="str">
        <f>IF(ISNUMBER($L$6)=FALSE,"",
        IF(ISERROR(VLOOKUP($G21,SantoYusuf!$L$13:$AK$56,X$4,FALSE))=TRUE,"",
              VLOOKUP($G21,SantoYusuf!$L$13:$AK$56,X$4,FALSE)))</f>
        <v/>
      </c>
      <c r="Y21" s="18" t="str">
        <f>IF(ISNUMBER($L$6)=FALSE,"",
        IF(ISERROR(VLOOKUP($G21,SantoYusuf!$L$13:$AK$56,Y$4,FALSE))=TRUE,"",
              VLOOKUP($G21,SantoYusuf!$L$13:$AK$56,Y$4,FALSE)))</f>
        <v/>
      </c>
      <c r="Z21" s="18" t="str">
        <f>IF(ISNUMBER($L$6)=FALSE,"",
        IF(ISERROR(VLOOKUP($G21,SantoYusuf!$L$13:$AK$56,Z$4,FALSE))=TRUE,"",
              VLOOKUP($G21,SantoYusuf!$L$13:$AK$56,Z$4,FALSE)))</f>
        <v/>
      </c>
      <c r="AA21" s="18" t="str">
        <f>IF(ISNUMBER($L$6)=FALSE,"",
        IF(ISERROR(VLOOKUP($G21,SantoYusuf!$L$13:$AK$56,AA$4,FALSE))=TRUE,"",
              VLOOKUP($G21,SantoYusuf!$L$13:$AK$56,AA$4,FALSE)))</f>
        <v/>
      </c>
      <c r="AB21" s="18" t="str">
        <f>IF(ISNUMBER($L$6)=FALSE,"",
        IF(ISERROR(VLOOKUP($G21,SantoYusuf!$L$13:$AK$56,AB$4,FALSE))=TRUE,"",
              VLOOKUP($G21,SantoYusuf!$L$13:$AK$56,AB$4,FALSE)))</f>
        <v/>
      </c>
      <c r="AC21" s="18" t="str">
        <f>IF(ISNUMBER($L$6)=FALSE,"",
        IF(ISERROR(VLOOKUP($G21,SantoYusuf!$L$13:$AK$56,AC$4,FALSE))=TRUE,"",
              VLOOKUP($G21,SantoYusuf!$L$13:$AK$56,AC$4,FALSE)))</f>
        <v/>
      </c>
      <c r="AD21" s="18" t="str">
        <f>IF(ISNUMBER($L$6)=FALSE,"",
        IF(ISERROR(VLOOKUP($G21,SantoYusuf!$L$13:$AK$56,AD$4,FALSE))=TRUE,"",
              VLOOKUP($G21,SantoYusuf!$L$13:$AK$56,AD$4,FALSE)))</f>
        <v/>
      </c>
      <c r="AE21" s="18" t="str">
        <f>IF(ISNUMBER($L$6)=FALSE,"",
        IF(ISERROR(VLOOKUP($G21,SantoYusuf!$L$13:$AK$56,AE$4,FALSE))=TRUE,"",
              VLOOKUP($G21,SantoYusuf!$L$13:$AK$56,AE$4,FALSE)))</f>
        <v/>
      </c>
      <c r="AF21" s="18" t="str">
        <f>IF(ISNUMBER($L$6)=FALSE,"",
        IF(ISERROR(VLOOKUP($G21,SantoYusuf!$L$13:$AK$56,AF$4,FALSE))=TRUE,"",
              VLOOKUP($G21,SantoYusuf!$L$13:$AK$56,AF$4,FALSE)))</f>
        <v/>
      </c>
    </row>
    <row r="22" spans="1:32" s="60" customFormat="1" ht="10.5" x14ac:dyDescent="0.25">
      <c r="A22" s="59"/>
      <c r="C22" s="59">
        <f t="shared" si="3"/>
        <v>9</v>
      </c>
      <c r="D22" s="61"/>
      <c r="E22" s="77" t="str">
        <f t="shared" si="4"/>
        <v/>
      </c>
      <c r="F22" s="77" t="str">
        <f>IF(ISNUMBER($L$6)=FALSE,"",
IF($C22=0,"",VLOOKUP($E22,SantoYusuf!$H$13:$L$56,4,FALSE)))</f>
        <v/>
      </c>
      <c r="G22" s="77" t="str">
        <f>IF(ISNUMBER($L$6)=FALSE,"",
IF($C22=0,"",VLOOKUP($E22,SantoYusuf!$H$13:$L$56,5,FALSE)))</f>
        <v/>
      </c>
      <c r="H22" s="17" t="str">
        <f t="shared" si="5"/>
        <v/>
      </c>
      <c r="I22" s="18" t="str">
        <f>IF(ISNUMBER($L$6)=FALSE,"",
        IF(ISERROR(VLOOKUP($G22,SantoYusuf!$L$13:$AK$56,I$4,FALSE))=TRUE,"",
              VLOOKUP($G22,SantoYusuf!$L$13:$AK$56,I$4,FALSE)))</f>
        <v/>
      </c>
      <c r="J22" s="18" t="str">
        <f>IF(ISNUMBER($L$6)=FALSE,"",
        IF(ISERROR(VLOOKUP($G22,SantoYusuf!$L$13:$AK$56,J$4,FALSE))=TRUE,"",
              VLOOKUP($G22,SantoYusuf!$L$13:$AK$56,J$4,FALSE)))</f>
        <v/>
      </c>
      <c r="K22" s="18" t="str">
        <f>IF(ISNUMBER($L$6)=FALSE,"",
        IF(ISERROR(VLOOKUP($G22,SantoYusuf!$L$13:$AK$56,K$4,FALSE))=TRUE,"",
              VLOOKUP($G22,SantoYusuf!$L$13:$AK$56,K$4,FALSE)))</f>
        <v/>
      </c>
      <c r="L22" s="18" t="str">
        <f>IF(ISNUMBER($L$6)=FALSE,"",
        IF(ISERROR(VLOOKUP($G22,SantoYusuf!$L$13:$AK$56,L$4,FALSE))=TRUE,"",
              VLOOKUP($G22,SantoYusuf!$L$13:$AK$56,L$4,FALSE)))</f>
        <v/>
      </c>
      <c r="M22" s="18" t="str">
        <f>IF(ISNUMBER($L$6)=FALSE,"",
        IF(ISERROR(VLOOKUP($G22,SantoYusuf!$L$13:$AK$56,M$4,FALSE))=TRUE,"",
              VLOOKUP($G22,SantoYusuf!$L$13:$AK$56,M$4,FALSE)))</f>
        <v/>
      </c>
      <c r="N22" s="18" t="str">
        <f>IF(ISNUMBER($L$6)=FALSE,"",
        IF(ISERROR(VLOOKUP($G22,SantoYusuf!$L$13:$AK$56,N$4,FALSE))=TRUE,"",
              VLOOKUP($G22,SantoYusuf!$L$13:$AK$56,N$4,FALSE)))</f>
        <v/>
      </c>
      <c r="O22" s="18" t="str">
        <f>IF(ISNUMBER($L$6)=FALSE,"",
        IF(ISERROR(VLOOKUP($G22,SantoYusuf!$L$13:$AK$56,O$4,FALSE))=TRUE,"",
              VLOOKUP($G22,SantoYusuf!$L$13:$AK$56,O$4,FALSE)))</f>
        <v/>
      </c>
      <c r="P22" s="18" t="str">
        <f>IF(ISNUMBER($L$6)=FALSE,"",
        IF(ISERROR(VLOOKUP($G22,SantoYusuf!$L$13:$AK$56,P$4,FALSE))=TRUE,"",
              VLOOKUP($G22,SantoYusuf!$L$13:$AK$56,P$4,FALSE)))</f>
        <v/>
      </c>
      <c r="Q22" s="18" t="str">
        <f>IF(ISNUMBER($L$6)=FALSE,"",
        IF(ISERROR(VLOOKUP($G22,SantoYusuf!$L$13:$AK$56,Q$4,FALSE))=TRUE,"",
              VLOOKUP($G22,SantoYusuf!$L$13:$AK$56,Q$4,FALSE)))</f>
        <v/>
      </c>
      <c r="R22" s="18" t="str">
        <f>IF(ISNUMBER($L$6)=FALSE,"",
        IF(ISERROR(VLOOKUP($G22,SantoYusuf!$L$13:$AK$56,R$4,FALSE))=TRUE,"",
              VLOOKUP($G22,SantoYusuf!$L$13:$AK$56,R$4,FALSE)))</f>
        <v/>
      </c>
      <c r="S22" s="18" t="str">
        <f>IF(ISNUMBER($L$6)=FALSE,"",
        IF(ISERROR(VLOOKUP($G22,SantoYusuf!$L$13:$AK$56,S$4,FALSE))=TRUE,"",
              VLOOKUP($G22,SantoYusuf!$L$13:$AK$56,S$4,FALSE)))</f>
        <v/>
      </c>
      <c r="T22" s="18" t="str">
        <f>IF(ISNUMBER($L$6)=FALSE,"",
        IF(ISERROR(VLOOKUP($G22,SantoYusuf!$L$13:$AK$56,T$4,FALSE))=TRUE,"",
              VLOOKUP($G22,SantoYusuf!$L$13:$AK$56,T$4,FALSE)))</f>
        <v/>
      </c>
      <c r="U22" s="18" t="str">
        <f>IF(ISNUMBER($L$6)=FALSE,"",
        IF(ISERROR(VLOOKUP($G22,SantoYusuf!$L$13:$AK$56,U$4,FALSE))=TRUE,"",
              VLOOKUP($G22,SantoYusuf!$L$13:$AK$56,U$4,FALSE)))</f>
        <v/>
      </c>
      <c r="V22" s="18" t="str">
        <f>IF(ISNUMBER($L$6)=FALSE,"",
        IF(ISERROR(VLOOKUP($G22,SantoYusuf!$L$13:$AK$56,V$4,FALSE))=TRUE,"",
              VLOOKUP($G22,SantoYusuf!$L$13:$AK$56,V$4,FALSE)))</f>
        <v/>
      </c>
      <c r="W22" s="18" t="str">
        <f>IF(ISNUMBER($L$6)=FALSE,"",
        IF(ISERROR(VLOOKUP($G22,SantoYusuf!$L$13:$AK$56,W$4,FALSE))=TRUE,"",
              VLOOKUP($G22,SantoYusuf!$L$13:$AK$56,W$4,FALSE)))</f>
        <v/>
      </c>
      <c r="X22" s="18" t="str">
        <f>IF(ISNUMBER($L$6)=FALSE,"",
        IF(ISERROR(VLOOKUP($G22,SantoYusuf!$L$13:$AK$56,X$4,FALSE))=TRUE,"",
              VLOOKUP($G22,SantoYusuf!$L$13:$AK$56,X$4,FALSE)))</f>
        <v/>
      </c>
      <c r="Y22" s="18" t="str">
        <f>IF(ISNUMBER($L$6)=FALSE,"",
        IF(ISERROR(VLOOKUP($G22,SantoYusuf!$L$13:$AK$56,Y$4,FALSE))=TRUE,"",
              VLOOKUP($G22,SantoYusuf!$L$13:$AK$56,Y$4,FALSE)))</f>
        <v/>
      </c>
      <c r="Z22" s="18" t="str">
        <f>IF(ISNUMBER($L$6)=FALSE,"",
        IF(ISERROR(VLOOKUP($G22,SantoYusuf!$L$13:$AK$56,Z$4,FALSE))=TRUE,"",
              VLOOKUP($G22,SantoYusuf!$L$13:$AK$56,Z$4,FALSE)))</f>
        <v/>
      </c>
      <c r="AA22" s="18" t="str">
        <f>IF(ISNUMBER($L$6)=FALSE,"",
        IF(ISERROR(VLOOKUP($G22,SantoYusuf!$L$13:$AK$56,AA$4,FALSE))=TRUE,"",
              VLOOKUP($G22,SantoYusuf!$L$13:$AK$56,AA$4,FALSE)))</f>
        <v/>
      </c>
      <c r="AB22" s="18" t="str">
        <f>IF(ISNUMBER($L$6)=FALSE,"",
        IF(ISERROR(VLOOKUP($G22,SantoYusuf!$L$13:$AK$56,AB$4,FALSE))=TRUE,"",
              VLOOKUP($G22,SantoYusuf!$L$13:$AK$56,AB$4,FALSE)))</f>
        <v/>
      </c>
      <c r="AC22" s="18" t="str">
        <f>IF(ISNUMBER($L$6)=FALSE,"",
        IF(ISERROR(VLOOKUP($G22,SantoYusuf!$L$13:$AK$56,AC$4,FALSE))=TRUE,"",
              VLOOKUP($G22,SantoYusuf!$L$13:$AK$56,AC$4,FALSE)))</f>
        <v/>
      </c>
      <c r="AD22" s="18" t="str">
        <f>IF(ISNUMBER($L$6)=FALSE,"",
        IF(ISERROR(VLOOKUP($G22,SantoYusuf!$L$13:$AK$56,AD$4,FALSE))=TRUE,"",
              VLOOKUP($G22,SantoYusuf!$L$13:$AK$56,AD$4,FALSE)))</f>
        <v/>
      </c>
      <c r="AE22" s="18" t="str">
        <f>IF(ISNUMBER($L$6)=FALSE,"",
        IF(ISERROR(VLOOKUP($G22,SantoYusuf!$L$13:$AK$56,AE$4,FALSE))=TRUE,"",
              VLOOKUP($G22,SantoYusuf!$L$13:$AK$56,AE$4,FALSE)))</f>
        <v/>
      </c>
      <c r="AF22" s="18" t="str">
        <f>IF(ISNUMBER($L$6)=FALSE,"",
        IF(ISERROR(VLOOKUP($G22,SantoYusuf!$L$13:$AK$56,AF$4,FALSE))=TRUE,"",
              VLOOKUP($G22,SantoYusuf!$L$13:$AK$56,AF$4,FALSE)))</f>
        <v/>
      </c>
    </row>
    <row r="23" spans="1:32" s="60" customFormat="1" ht="10.5" x14ac:dyDescent="0.25">
      <c r="A23" s="59"/>
      <c r="C23" s="59">
        <f t="shared" si="3"/>
        <v>10</v>
      </c>
      <c r="D23" s="61"/>
      <c r="E23" s="77" t="str">
        <f t="shared" si="4"/>
        <v/>
      </c>
      <c r="F23" s="77" t="str">
        <f>IF(ISNUMBER($L$6)=FALSE,"",
IF($C23=0,"",VLOOKUP($E23,SantoYusuf!$H$13:$L$56,4,FALSE)))</f>
        <v/>
      </c>
      <c r="G23" s="77" t="str">
        <f>IF(ISNUMBER($L$6)=FALSE,"",
IF($C23=0,"",VLOOKUP($E23,SantoYusuf!$H$13:$L$56,5,FALSE)))</f>
        <v/>
      </c>
      <c r="H23" s="17" t="str">
        <f t="shared" si="5"/>
        <v/>
      </c>
      <c r="I23" s="18" t="str">
        <f>IF(ISNUMBER($L$6)=FALSE,"",
        IF(ISERROR(VLOOKUP($G23,SantoYusuf!$L$13:$AK$56,I$4,FALSE))=TRUE,"",
              VLOOKUP($G23,SantoYusuf!$L$13:$AK$56,I$4,FALSE)))</f>
        <v/>
      </c>
      <c r="J23" s="18" t="str">
        <f>IF(ISNUMBER($L$6)=FALSE,"",
        IF(ISERROR(VLOOKUP($G23,SantoYusuf!$L$13:$AK$56,J$4,FALSE))=TRUE,"",
              VLOOKUP($G23,SantoYusuf!$L$13:$AK$56,J$4,FALSE)))</f>
        <v/>
      </c>
      <c r="K23" s="18" t="str">
        <f>IF(ISNUMBER($L$6)=FALSE,"",
        IF(ISERROR(VLOOKUP($G23,SantoYusuf!$L$13:$AK$56,K$4,FALSE))=TRUE,"",
              VLOOKUP($G23,SantoYusuf!$L$13:$AK$56,K$4,FALSE)))</f>
        <v/>
      </c>
      <c r="L23" s="18" t="str">
        <f>IF(ISNUMBER($L$6)=FALSE,"",
        IF(ISERROR(VLOOKUP($G23,SantoYusuf!$L$13:$AK$56,L$4,FALSE))=TRUE,"",
              VLOOKUP($G23,SantoYusuf!$L$13:$AK$56,L$4,FALSE)))</f>
        <v/>
      </c>
      <c r="M23" s="18" t="str">
        <f>IF(ISNUMBER($L$6)=FALSE,"",
        IF(ISERROR(VLOOKUP($G23,SantoYusuf!$L$13:$AK$56,M$4,FALSE))=TRUE,"",
              VLOOKUP($G23,SantoYusuf!$L$13:$AK$56,M$4,FALSE)))</f>
        <v/>
      </c>
      <c r="N23" s="18" t="str">
        <f>IF(ISNUMBER($L$6)=FALSE,"",
        IF(ISERROR(VLOOKUP($G23,SantoYusuf!$L$13:$AK$56,N$4,FALSE))=TRUE,"",
              VLOOKUP($G23,SantoYusuf!$L$13:$AK$56,N$4,FALSE)))</f>
        <v/>
      </c>
      <c r="O23" s="18" t="str">
        <f>IF(ISNUMBER($L$6)=FALSE,"",
        IF(ISERROR(VLOOKUP($G23,SantoYusuf!$L$13:$AK$56,O$4,FALSE))=TRUE,"",
              VLOOKUP($G23,SantoYusuf!$L$13:$AK$56,O$4,FALSE)))</f>
        <v/>
      </c>
      <c r="P23" s="18" t="str">
        <f>IF(ISNUMBER($L$6)=FALSE,"",
        IF(ISERROR(VLOOKUP($G23,SantoYusuf!$L$13:$AK$56,P$4,FALSE))=TRUE,"",
              VLOOKUP($G23,SantoYusuf!$L$13:$AK$56,P$4,FALSE)))</f>
        <v/>
      </c>
      <c r="Q23" s="18" t="str">
        <f>IF(ISNUMBER($L$6)=FALSE,"",
        IF(ISERROR(VLOOKUP($G23,SantoYusuf!$L$13:$AK$56,Q$4,FALSE))=TRUE,"",
              VLOOKUP($G23,SantoYusuf!$L$13:$AK$56,Q$4,FALSE)))</f>
        <v/>
      </c>
      <c r="R23" s="18" t="str">
        <f>IF(ISNUMBER($L$6)=FALSE,"",
        IF(ISERROR(VLOOKUP($G23,SantoYusuf!$L$13:$AK$56,R$4,FALSE))=TRUE,"",
              VLOOKUP($G23,SantoYusuf!$L$13:$AK$56,R$4,FALSE)))</f>
        <v/>
      </c>
      <c r="S23" s="18" t="str">
        <f>IF(ISNUMBER($L$6)=FALSE,"",
        IF(ISERROR(VLOOKUP($G23,SantoYusuf!$L$13:$AK$56,S$4,FALSE))=TRUE,"",
              VLOOKUP($G23,SantoYusuf!$L$13:$AK$56,S$4,FALSE)))</f>
        <v/>
      </c>
      <c r="T23" s="18" t="str">
        <f>IF(ISNUMBER($L$6)=FALSE,"",
        IF(ISERROR(VLOOKUP($G23,SantoYusuf!$L$13:$AK$56,T$4,FALSE))=TRUE,"",
              VLOOKUP($G23,SantoYusuf!$L$13:$AK$56,T$4,FALSE)))</f>
        <v/>
      </c>
      <c r="U23" s="18" t="str">
        <f>IF(ISNUMBER($L$6)=FALSE,"",
        IF(ISERROR(VLOOKUP($G23,SantoYusuf!$L$13:$AK$56,U$4,FALSE))=TRUE,"",
              VLOOKUP($G23,SantoYusuf!$L$13:$AK$56,U$4,FALSE)))</f>
        <v/>
      </c>
      <c r="V23" s="18" t="str">
        <f>IF(ISNUMBER($L$6)=FALSE,"",
        IF(ISERROR(VLOOKUP($G23,SantoYusuf!$L$13:$AK$56,V$4,FALSE))=TRUE,"",
              VLOOKUP($G23,SantoYusuf!$L$13:$AK$56,V$4,FALSE)))</f>
        <v/>
      </c>
      <c r="W23" s="18" t="str">
        <f>IF(ISNUMBER($L$6)=FALSE,"",
        IF(ISERROR(VLOOKUP($G23,SantoYusuf!$L$13:$AK$56,W$4,FALSE))=TRUE,"",
              VLOOKUP($G23,SantoYusuf!$L$13:$AK$56,W$4,FALSE)))</f>
        <v/>
      </c>
      <c r="X23" s="18" t="str">
        <f>IF(ISNUMBER($L$6)=FALSE,"",
        IF(ISERROR(VLOOKUP($G23,SantoYusuf!$L$13:$AK$56,X$4,FALSE))=TRUE,"",
              VLOOKUP($G23,SantoYusuf!$L$13:$AK$56,X$4,FALSE)))</f>
        <v/>
      </c>
      <c r="Y23" s="18" t="str">
        <f>IF(ISNUMBER($L$6)=FALSE,"",
        IF(ISERROR(VLOOKUP($G23,SantoYusuf!$L$13:$AK$56,Y$4,FALSE))=TRUE,"",
              VLOOKUP($G23,SantoYusuf!$L$13:$AK$56,Y$4,FALSE)))</f>
        <v/>
      </c>
      <c r="Z23" s="18" t="str">
        <f>IF(ISNUMBER($L$6)=FALSE,"",
        IF(ISERROR(VLOOKUP($G23,SantoYusuf!$L$13:$AK$56,Z$4,FALSE))=TRUE,"",
              VLOOKUP($G23,SantoYusuf!$L$13:$AK$56,Z$4,FALSE)))</f>
        <v/>
      </c>
      <c r="AA23" s="18" t="str">
        <f>IF(ISNUMBER($L$6)=FALSE,"",
        IF(ISERROR(VLOOKUP($G23,SantoYusuf!$L$13:$AK$56,AA$4,FALSE))=TRUE,"",
              VLOOKUP($G23,SantoYusuf!$L$13:$AK$56,AA$4,FALSE)))</f>
        <v/>
      </c>
      <c r="AB23" s="18" t="str">
        <f>IF(ISNUMBER($L$6)=FALSE,"",
        IF(ISERROR(VLOOKUP($G23,SantoYusuf!$L$13:$AK$56,AB$4,FALSE))=TRUE,"",
              VLOOKUP($G23,SantoYusuf!$L$13:$AK$56,AB$4,FALSE)))</f>
        <v/>
      </c>
      <c r="AC23" s="18" t="str">
        <f>IF(ISNUMBER($L$6)=FALSE,"",
        IF(ISERROR(VLOOKUP($G23,SantoYusuf!$L$13:$AK$56,AC$4,FALSE))=TRUE,"",
              VLOOKUP($G23,SantoYusuf!$L$13:$AK$56,AC$4,FALSE)))</f>
        <v/>
      </c>
      <c r="AD23" s="18" t="str">
        <f>IF(ISNUMBER($L$6)=FALSE,"",
        IF(ISERROR(VLOOKUP($G23,SantoYusuf!$L$13:$AK$56,AD$4,FALSE))=TRUE,"",
              VLOOKUP($G23,SantoYusuf!$L$13:$AK$56,AD$4,FALSE)))</f>
        <v/>
      </c>
      <c r="AE23" s="18" t="str">
        <f>IF(ISNUMBER($L$6)=FALSE,"",
        IF(ISERROR(VLOOKUP($G23,SantoYusuf!$L$13:$AK$56,AE$4,FALSE))=TRUE,"",
              VLOOKUP($G23,SantoYusuf!$L$13:$AK$56,AE$4,FALSE)))</f>
        <v/>
      </c>
      <c r="AF23" s="18" t="str">
        <f>IF(ISNUMBER($L$6)=FALSE,"",
        IF(ISERROR(VLOOKUP($G23,SantoYusuf!$L$13:$AK$56,AF$4,FALSE))=TRUE,"",
              VLOOKUP($G23,SantoYusuf!$L$13:$AK$56,AF$4,FALSE)))</f>
        <v/>
      </c>
    </row>
    <row r="24" spans="1:32" s="60" customFormat="1" ht="10.5" x14ac:dyDescent="0.25">
      <c r="A24" s="59"/>
      <c r="C24" s="59">
        <f t="shared" si="3"/>
        <v>11</v>
      </c>
      <c r="D24" s="61"/>
      <c r="E24" s="77" t="str">
        <f t="shared" si="4"/>
        <v/>
      </c>
      <c r="F24" s="77" t="str">
        <f>IF(ISNUMBER($L$6)=FALSE,"",
IF($C24=0,"",VLOOKUP($E24,SantoYusuf!$H$13:$L$56,4,FALSE)))</f>
        <v/>
      </c>
      <c r="G24" s="77" t="str">
        <f>IF(ISNUMBER($L$6)=FALSE,"",
IF($C24=0,"",VLOOKUP($E24,SantoYusuf!$H$13:$L$56,5,FALSE)))</f>
        <v/>
      </c>
      <c r="H24" s="17" t="str">
        <f t="shared" si="5"/>
        <v/>
      </c>
      <c r="I24" s="18" t="str">
        <f>IF(ISNUMBER($L$6)=FALSE,"",
        IF(ISERROR(VLOOKUP($G24,SantoYusuf!$L$13:$AK$56,I$4,FALSE))=TRUE,"",
              VLOOKUP($G24,SantoYusuf!$L$13:$AK$56,I$4,FALSE)))</f>
        <v/>
      </c>
      <c r="J24" s="18" t="str">
        <f>IF(ISNUMBER($L$6)=FALSE,"",
        IF(ISERROR(VLOOKUP($G24,SantoYusuf!$L$13:$AK$56,J$4,FALSE))=TRUE,"",
              VLOOKUP($G24,SantoYusuf!$L$13:$AK$56,J$4,FALSE)))</f>
        <v/>
      </c>
      <c r="K24" s="18" t="str">
        <f>IF(ISNUMBER($L$6)=FALSE,"",
        IF(ISERROR(VLOOKUP($G24,SantoYusuf!$L$13:$AK$56,K$4,FALSE))=TRUE,"",
              VLOOKUP($G24,SantoYusuf!$L$13:$AK$56,K$4,FALSE)))</f>
        <v/>
      </c>
      <c r="L24" s="18" t="str">
        <f>IF(ISNUMBER($L$6)=FALSE,"",
        IF(ISERROR(VLOOKUP($G24,SantoYusuf!$L$13:$AK$56,L$4,FALSE))=TRUE,"",
              VLOOKUP($G24,SantoYusuf!$L$13:$AK$56,L$4,FALSE)))</f>
        <v/>
      </c>
      <c r="M24" s="18" t="str">
        <f>IF(ISNUMBER($L$6)=FALSE,"",
        IF(ISERROR(VLOOKUP($G24,SantoYusuf!$L$13:$AK$56,M$4,FALSE))=TRUE,"",
              VLOOKUP($G24,SantoYusuf!$L$13:$AK$56,M$4,FALSE)))</f>
        <v/>
      </c>
      <c r="N24" s="18" t="str">
        <f>IF(ISNUMBER($L$6)=FALSE,"",
        IF(ISERROR(VLOOKUP($G24,SantoYusuf!$L$13:$AK$56,N$4,FALSE))=TRUE,"",
              VLOOKUP($G24,SantoYusuf!$L$13:$AK$56,N$4,FALSE)))</f>
        <v/>
      </c>
      <c r="O24" s="18" t="str">
        <f>IF(ISNUMBER($L$6)=FALSE,"",
        IF(ISERROR(VLOOKUP($G24,SantoYusuf!$L$13:$AK$56,O$4,FALSE))=TRUE,"",
              VLOOKUP($G24,SantoYusuf!$L$13:$AK$56,O$4,FALSE)))</f>
        <v/>
      </c>
      <c r="P24" s="18" t="str">
        <f>IF(ISNUMBER($L$6)=FALSE,"",
        IF(ISERROR(VLOOKUP($G24,SantoYusuf!$L$13:$AK$56,P$4,FALSE))=TRUE,"",
              VLOOKUP($G24,SantoYusuf!$L$13:$AK$56,P$4,FALSE)))</f>
        <v/>
      </c>
      <c r="Q24" s="18" t="str">
        <f>IF(ISNUMBER($L$6)=FALSE,"",
        IF(ISERROR(VLOOKUP($G24,SantoYusuf!$L$13:$AK$56,Q$4,FALSE))=TRUE,"",
              VLOOKUP($G24,SantoYusuf!$L$13:$AK$56,Q$4,FALSE)))</f>
        <v/>
      </c>
      <c r="R24" s="18" t="str">
        <f>IF(ISNUMBER($L$6)=FALSE,"",
        IF(ISERROR(VLOOKUP($G24,SantoYusuf!$L$13:$AK$56,R$4,FALSE))=TRUE,"",
              VLOOKUP($G24,SantoYusuf!$L$13:$AK$56,R$4,FALSE)))</f>
        <v/>
      </c>
      <c r="S24" s="18" t="str">
        <f>IF(ISNUMBER($L$6)=FALSE,"",
        IF(ISERROR(VLOOKUP($G24,SantoYusuf!$L$13:$AK$56,S$4,FALSE))=TRUE,"",
              VLOOKUP($G24,SantoYusuf!$L$13:$AK$56,S$4,FALSE)))</f>
        <v/>
      </c>
      <c r="T24" s="18" t="str">
        <f>IF(ISNUMBER($L$6)=FALSE,"",
        IF(ISERROR(VLOOKUP($G24,SantoYusuf!$L$13:$AK$56,T$4,FALSE))=TRUE,"",
              VLOOKUP($G24,SantoYusuf!$L$13:$AK$56,T$4,FALSE)))</f>
        <v/>
      </c>
      <c r="U24" s="18" t="str">
        <f>IF(ISNUMBER($L$6)=FALSE,"",
        IF(ISERROR(VLOOKUP($G24,SantoYusuf!$L$13:$AK$56,U$4,FALSE))=TRUE,"",
              VLOOKUP($G24,SantoYusuf!$L$13:$AK$56,U$4,FALSE)))</f>
        <v/>
      </c>
      <c r="V24" s="18" t="str">
        <f>IF(ISNUMBER($L$6)=FALSE,"",
        IF(ISERROR(VLOOKUP($G24,SantoYusuf!$L$13:$AK$56,V$4,FALSE))=TRUE,"",
              VLOOKUP($G24,SantoYusuf!$L$13:$AK$56,V$4,FALSE)))</f>
        <v/>
      </c>
      <c r="W24" s="18" t="str">
        <f>IF(ISNUMBER($L$6)=FALSE,"",
        IF(ISERROR(VLOOKUP($G24,SantoYusuf!$L$13:$AK$56,W$4,FALSE))=TRUE,"",
              VLOOKUP($G24,SantoYusuf!$L$13:$AK$56,W$4,FALSE)))</f>
        <v/>
      </c>
      <c r="X24" s="18" t="str">
        <f>IF(ISNUMBER($L$6)=FALSE,"",
        IF(ISERROR(VLOOKUP($G24,SantoYusuf!$L$13:$AK$56,X$4,FALSE))=TRUE,"",
              VLOOKUP($G24,SantoYusuf!$L$13:$AK$56,X$4,FALSE)))</f>
        <v/>
      </c>
      <c r="Y24" s="18" t="str">
        <f>IF(ISNUMBER($L$6)=FALSE,"",
        IF(ISERROR(VLOOKUP($G24,SantoYusuf!$L$13:$AK$56,Y$4,FALSE))=TRUE,"",
              VLOOKUP($G24,SantoYusuf!$L$13:$AK$56,Y$4,FALSE)))</f>
        <v/>
      </c>
      <c r="Z24" s="18" t="str">
        <f>IF(ISNUMBER($L$6)=FALSE,"",
        IF(ISERROR(VLOOKUP($G24,SantoYusuf!$L$13:$AK$56,Z$4,FALSE))=TRUE,"",
              VLOOKUP($G24,SantoYusuf!$L$13:$AK$56,Z$4,FALSE)))</f>
        <v/>
      </c>
      <c r="AA24" s="18" t="str">
        <f>IF(ISNUMBER($L$6)=FALSE,"",
        IF(ISERROR(VLOOKUP($G24,SantoYusuf!$L$13:$AK$56,AA$4,FALSE))=TRUE,"",
              VLOOKUP($G24,SantoYusuf!$L$13:$AK$56,AA$4,FALSE)))</f>
        <v/>
      </c>
      <c r="AB24" s="18" t="str">
        <f>IF(ISNUMBER($L$6)=FALSE,"",
        IF(ISERROR(VLOOKUP($G24,SantoYusuf!$L$13:$AK$56,AB$4,FALSE))=TRUE,"",
              VLOOKUP($G24,SantoYusuf!$L$13:$AK$56,AB$4,FALSE)))</f>
        <v/>
      </c>
      <c r="AC24" s="18" t="str">
        <f>IF(ISNUMBER($L$6)=FALSE,"",
        IF(ISERROR(VLOOKUP($G24,SantoYusuf!$L$13:$AK$56,AC$4,FALSE))=TRUE,"",
              VLOOKUP($G24,SantoYusuf!$L$13:$AK$56,AC$4,FALSE)))</f>
        <v/>
      </c>
      <c r="AD24" s="18" t="str">
        <f>IF(ISNUMBER($L$6)=FALSE,"",
        IF(ISERROR(VLOOKUP($G24,SantoYusuf!$L$13:$AK$56,AD$4,FALSE))=TRUE,"",
              VLOOKUP($G24,SantoYusuf!$L$13:$AK$56,AD$4,FALSE)))</f>
        <v/>
      </c>
      <c r="AE24" s="18" t="str">
        <f>IF(ISNUMBER($L$6)=FALSE,"",
        IF(ISERROR(VLOOKUP($G24,SantoYusuf!$L$13:$AK$56,AE$4,FALSE))=TRUE,"",
              VLOOKUP($G24,SantoYusuf!$L$13:$AK$56,AE$4,FALSE)))</f>
        <v/>
      </c>
      <c r="AF24" s="18" t="str">
        <f>IF(ISNUMBER($L$6)=FALSE,"",
        IF(ISERROR(VLOOKUP($G24,SantoYusuf!$L$13:$AK$56,AF$4,FALSE))=TRUE,"",
              VLOOKUP($G24,SantoYusuf!$L$13:$AK$56,AF$4,FALSE)))</f>
        <v/>
      </c>
    </row>
    <row r="25" spans="1:32" s="60" customFormat="1" ht="10.5" x14ac:dyDescent="0.25">
      <c r="A25" s="59"/>
      <c r="C25" s="59">
        <f t="shared" si="3"/>
        <v>12</v>
      </c>
      <c r="D25" s="61"/>
      <c r="E25" s="77" t="str">
        <f t="shared" si="4"/>
        <v/>
      </c>
      <c r="F25" s="77" t="str">
        <f>IF(ISNUMBER($L$6)=FALSE,"",
IF($C25=0,"",VLOOKUP($E25,SantoYusuf!$H$13:$L$56,4,FALSE)))</f>
        <v/>
      </c>
      <c r="G25" s="77" t="str">
        <f>IF(ISNUMBER($L$6)=FALSE,"",
IF($C25=0,"",VLOOKUP($E25,SantoYusuf!$H$13:$L$56,5,FALSE)))</f>
        <v/>
      </c>
      <c r="H25" s="17" t="str">
        <f t="shared" si="5"/>
        <v/>
      </c>
      <c r="I25" s="18" t="str">
        <f>IF(ISNUMBER($L$6)=FALSE,"",
        IF(ISERROR(VLOOKUP($G25,SantoYusuf!$L$13:$AK$56,I$4,FALSE))=TRUE,"",
              VLOOKUP($G25,SantoYusuf!$L$13:$AK$56,I$4,FALSE)))</f>
        <v/>
      </c>
      <c r="J25" s="18" t="str">
        <f>IF(ISNUMBER($L$6)=FALSE,"",
        IF(ISERROR(VLOOKUP($G25,SantoYusuf!$L$13:$AK$56,J$4,FALSE))=TRUE,"",
              VLOOKUP($G25,SantoYusuf!$L$13:$AK$56,J$4,FALSE)))</f>
        <v/>
      </c>
      <c r="K25" s="18" t="str">
        <f>IF(ISNUMBER($L$6)=FALSE,"",
        IF(ISERROR(VLOOKUP($G25,SantoYusuf!$L$13:$AK$56,K$4,FALSE))=TRUE,"",
              VLOOKUP($G25,SantoYusuf!$L$13:$AK$56,K$4,FALSE)))</f>
        <v/>
      </c>
      <c r="L25" s="18" t="str">
        <f>IF(ISNUMBER($L$6)=FALSE,"",
        IF(ISERROR(VLOOKUP($G25,SantoYusuf!$L$13:$AK$56,L$4,FALSE))=TRUE,"",
              VLOOKUP($G25,SantoYusuf!$L$13:$AK$56,L$4,FALSE)))</f>
        <v/>
      </c>
      <c r="M25" s="18" t="str">
        <f>IF(ISNUMBER($L$6)=FALSE,"",
        IF(ISERROR(VLOOKUP($G25,SantoYusuf!$L$13:$AK$56,M$4,FALSE))=TRUE,"",
              VLOOKUP($G25,SantoYusuf!$L$13:$AK$56,M$4,FALSE)))</f>
        <v/>
      </c>
      <c r="N25" s="18" t="str">
        <f>IF(ISNUMBER($L$6)=FALSE,"",
        IF(ISERROR(VLOOKUP($G25,SantoYusuf!$L$13:$AK$56,N$4,FALSE))=TRUE,"",
              VLOOKUP($G25,SantoYusuf!$L$13:$AK$56,N$4,FALSE)))</f>
        <v/>
      </c>
      <c r="O25" s="18" t="str">
        <f>IF(ISNUMBER($L$6)=FALSE,"",
        IF(ISERROR(VLOOKUP($G25,SantoYusuf!$L$13:$AK$56,O$4,FALSE))=TRUE,"",
              VLOOKUP($G25,SantoYusuf!$L$13:$AK$56,O$4,FALSE)))</f>
        <v/>
      </c>
      <c r="P25" s="18" t="str">
        <f>IF(ISNUMBER($L$6)=FALSE,"",
        IF(ISERROR(VLOOKUP($G25,SantoYusuf!$L$13:$AK$56,P$4,FALSE))=TRUE,"",
              VLOOKUP($G25,SantoYusuf!$L$13:$AK$56,P$4,FALSE)))</f>
        <v/>
      </c>
      <c r="Q25" s="18" t="str">
        <f>IF(ISNUMBER($L$6)=FALSE,"",
        IF(ISERROR(VLOOKUP($G25,SantoYusuf!$L$13:$AK$56,Q$4,FALSE))=TRUE,"",
              VLOOKUP($G25,SantoYusuf!$L$13:$AK$56,Q$4,FALSE)))</f>
        <v/>
      </c>
      <c r="R25" s="18" t="str">
        <f>IF(ISNUMBER($L$6)=FALSE,"",
        IF(ISERROR(VLOOKUP($G25,SantoYusuf!$L$13:$AK$56,R$4,FALSE))=TRUE,"",
              VLOOKUP($G25,SantoYusuf!$L$13:$AK$56,R$4,FALSE)))</f>
        <v/>
      </c>
      <c r="S25" s="18" t="str">
        <f>IF(ISNUMBER($L$6)=FALSE,"",
        IF(ISERROR(VLOOKUP($G25,SantoYusuf!$L$13:$AK$56,S$4,FALSE))=TRUE,"",
              VLOOKUP($G25,SantoYusuf!$L$13:$AK$56,S$4,FALSE)))</f>
        <v/>
      </c>
      <c r="T25" s="18" t="str">
        <f>IF(ISNUMBER($L$6)=FALSE,"",
        IF(ISERROR(VLOOKUP($G25,SantoYusuf!$L$13:$AK$56,T$4,FALSE))=TRUE,"",
              VLOOKUP($G25,SantoYusuf!$L$13:$AK$56,T$4,FALSE)))</f>
        <v/>
      </c>
      <c r="U25" s="18" t="str">
        <f>IF(ISNUMBER($L$6)=FALSE,"",
        IF(ISERROR(VLOOKUP($G25,SantoYusuf!$L$13:$AK$56,U$4,FALSE))=TRUE,"",
              VLOOKUP($G25,SantoYusuf!$L$13:$AK$56,U$4,FALSE)))</f>
        <v/>
      </c>
      <c r="V25" s="18" t="str">
        <f>IF(ISNUMBER($L$6)=FALSE,"",
        IF(ISERROR(VLOOKUP($G25,SantoYusuf!$L$13:$AK$56,V$4,FALSE))=TRUE,"",
              VLOOKUP($G25,SantoYusuf!$L$13:$AK$56,V$4,FALSE)))</f>
        <v/>
      </c>
      <c r="W25" s="18" t="str">
        <f>IF(ISNUMBER($L$6)=FALSE,"",
        IF(ISERROR(VLOOKUP($G25,SantoYusuf!$L$13:$AK$56,W$4,FALSE))=TRUE,"",
              VLOOKUP($G25,SantoYusuf!$L$13:$AK$56,W$4,FALSE)))</f>
        <v/>
      </c>
      <c r="X25" s="18" t="str">
        <f>IF(ISNUMBER($L$6)=FALSE,"",
        IF(ISERROR(VLOOKUP($G25,SantoYusuf!$L$13:$AK$56,X$4,FALSE))=TRUE,"",
              VLOOKUP($G25,SantoYusuf!$L$13:$AK$56,X$4,FALSE)))</f>
        <v/>
      </c>
      <c r="Y25" s="18" t="str">
        <f>IF(ISNUMBER($L$6)=FALSE,"",
        IF(ISERROR(VLOOKUP($G25,SantoYusuf!$L$13:$AK$56,Y$4,FALSE))=TRUE,"",
              VLOOKUP($G25,SantoYusuf!$L$13:$AK$56,Y$4,FALSE)))</f>
        <v/>
      </c>
      <c r="Z25" s="18" t="str">
        <f>IF(ISNUMBER($L$6)=FALSE,"",
        IF(ISERROR(VLOOKUP($G25,SantoYusuf!$L$13:$AK$56,Z$4,FALSE))=TRUE,"",
              VLOOKUP($G25,SantoYusuf!$L$13:$AK$56,Z$4,FALSE)))</f>
        <v/>
      </c>
      <c r="AA25" s="18" t="str">
        <f>IF(ISNUMBER($L$6)=FALSE,"",
        IF(ISERROR(VLOOKUP($G25,SantoYusuf!$L$13:$AK$56,AA$4,FALSE))=TRUE,"",
              VLOOKUP($G25,SantoYusuf!$L$13:$AK$56,AA$4,FALSE)))</f>
        <v/>
      </c>
      <c r="AB25" s="18" t="str">
        <f>IF(ISNUMBER($L$6)=FALSE,"",
        IF(ISERROR(VLOOKUP($G25,SantoYusuf!$L$13:$AK$56,AB$4,FALSE))=TRUE,"",
              VLOOKUP($G25,SantoYusuf!$L$13:$AK$56,AB$4,FALSE)))</f>
        <v/>
      </c>
      <c r="AC25" s="18" t="str">
        <f>IF(ISNUMBER($L$6)=FALSE,"",
        IF(ISERROR(VLOOKUP($G25,SantoYusuf!$L$13:$AK$56,AC$4,FALSE))=TRUE,"",
              VLOOKUP($G25,SantoYusuf!$L$13:$AK$56,AC$4,FALSE)))</f>
        <v/>
      </c>
      <c r="AD25" s="18" t="str">
        <f>IF(ISNUMBER($L$6)=FALSE,"",
        IF(ISERROR(VLOOKUP($G25,SantoYusuf!$L$13:$AK$56,AD$4,FALSE))=TRUE,"",
              VLOOKUP($G25,SantoYusuf!$L$13:$AK$56,AD$4,FALSE)))</f>
        <v/>
      </c>
      <c r="AE25" s="18" t="str">
        <f>IF(ISNUMBER($L$6)=FALSE,"",
        IF(ISERROR(VLOOKUP($G25,SantoYusuf!$L$13:$AK$56,AE$4,FALSE))=TRUE,"",
              VLOOKUP($G25,SantoYusuf!$L$13:$AK$56,AE$4,FALSE)))</f>
        <v/>
      </c>
      <c r="AF25" s="18" t="str">
        <f>IF(ISNUMBER($L$6)=FALSE,"",
        IF(ISERROR(VLOOKUP($G25,SantoYusuf!$L$13:$AK$56,AF$4,FALSE))=TRUE,"",
              VLOOKUP($G25,SantoYusuf!$L$13:$AK$56,AF$4,FALSE)))</f>
        <v/>
      </c>
    </row>
    <row r="26" spans="1:32" s="60" customFormat="1" ht="10.5" x14ac:dyDescent="0.25">
      <c r="A26" s="59"/>
      <c r="C26" s="59">
        <f t="shared" si="3"/>
        <v>13</v>
      </c>
      <c r="D26" s="61"/>
      <c r="E26" s="77" t="str">
        <f t="shared" si="4"/>
        <v/>
      </c>
      <c r="F26" s="77" t="str">
        <f>IF(ISNUMBER($L$6)=FALSE,"",
IF($C26=0,"",VLOOKUP($E26,SantoYusuf!$H$13:$L$56,4,FALSE)))</f>
        <v/>
      </c>
      <c r="G26" s="77" t="str">
        <f>IF(ISNUMBER($L$6)=FALSE,"",
IF($C26=0,"",VLOOKUP($E26,SantoYusuf!$H$13:$L$56,5,FALSE)))</f>
        <v/>
      </c>
      <c r="H26" s="17" t="str">
        <f t="shared" si="5"/>
        <v/>
      </c>
      <c r="I26" s="18" t="str">
        <f>IF(ISNUMBER($L$6)=FALSE,"",
        IF(ISERROR(VLOOKUP($G26,SantoYusuf!$L$13:$AK$56,I$4,FALSE))=TRUE,"",
              VLOOKUP($G26,SantoYusuf!$L$13:$AK$56,I$4,FALSE)))</f>
        <v/>
      </c>
      <c r="J26" s="18" t="str">
        <f>IF(ISNUMBER($L$6)=FALSE,"",
        IF(ISERROR(VLOOKUP($G26,SantoYusuf!$L$13:$AK$56,J$4,FALSE))=TRUE,"",
              VLOOKUP($G26,SantoYusuf!$L$13:$AK$56,J$4,FALSE)))</f>
        <v/>
      </c>
      <c r="K26" s="18" t="str">
        <f>IF(ISNUMBER($L$6)=FALSE,"",
        IF(ISERROR(VLOOKUP($G26,SantoYusuf!$L$13:$AK$56,K$4,FALSE))=TRUE,"",
              VLOOKUP($G26,SantoYusuf!$L$13:$AK$56,K$4,FALSE)))</f>
        <v/>
      </c>
      <c r="L26" s="18" t="str">
        <f>IF(ISNUMBER($L$6)=FALSE,"",
        IF(ISERROR(VLOOKUP($G26,SantoYusuf!$L$13:$AK$56,L$4,FALSE))=TRUE,"",
              VLOOKUP($G26,SantoYusuf!$L$13:$AK$56,L$4,FALSE)))</f>
        <v/>
      </c>
      <c r="M26" s="18" t="str">
        <f>IF(ISNUMBER($L$6)=FALSE,"",
        IF(ISERROR(VLOOKUP($G26,SantoYusuf!$L$13:$AK$56,M$4,FALSE))=TRUE,"",
              VLOOKUP($G26,SantoYusuf!$L$13:$AK$56,M$4,FALSE)))</f>
        <v/>
      </c>
      <c r="N26" s="18" t="str">
        <f>IF(ISNUMBER($L$6)=FALSE,"",
        IF(ISERROR(VLOOKUP($G26,SantoYusuf!$L$13:$AK$56,N$4,FALSE))=TRUE,"",
              VLOOKUP($G26,SantoYusuf!$L$13:$AK$56,N$4,FALSE)))</f>
        <v/>
      </c>
      <c r="O26" s="18" t="str">
        <f>IF(ISNUMBER($L$6)=FALSE,"",
        IF(ISERROR(VLOOKUP($G26,SantoYusuf!$L$13:$AK$56,O$4,FALSE))=TRUE,"",
              VLOOKUP($G26,SantoYusuf!$L$13:$AK$56,O$4,FALSE)))</f>
        <v/>
      </c>
      <c r="P26" s="18" t="str">
        <f>IF(ISNUMBER($L$6)=FALSE,"",
        IF(ISERROR(VLOOKUP($G26,SantoYusuf!$L$13:$AK$56,P$4,FALSE))=TRUE,"",
              VLOOKUP($G26,SantoYusuf!$L$13:$AK$56,P$4,FALSE)))</f>
        <v/>
      </c>
      <c r="Q26" s="18" t="str">
        <f>IF(ISNUMBER($L$6)=FALSE,"",
        IF(ISERROR(VLOOKUP($G26,SantoYusuf!$L$13:$AK$56,Q$4,FALSE))=TRUE,"",
              VLOOKUP($G26,SantoYusuf!$L$13:$AK$56,Q$4,FALSE)))</f>
        <v/>
      </c>
      <c r="R26" s="18" t="str">
        <f>IF(ISNUMBER($L$6)=FALSE,"",
        IF(ISERROR(VLOOKUP($G26,SantoYusuf!$L$13:$AK$56,R$4,FALSE))=TRUE,"",
              VLOOKUP($G26,SantoYusuf!$L$13:$AK$56,R$4,FALSE)))</f>
        <v/>
      </c>
      <c r="S26" s="18" t="str">
        <f>IF(ISNUMBER($L$6)=FALSE,"",
        IF(ISERROR(VLOOKUP($G26,SantoYusuf!$L$13:$AK$56,S$4,FALSE))=TRUE,"",
              VLOOKUP($G26,SantoYusuf!$L$13:$AK$56,S$4,FALSE)))</f>
        <v/>
      </c>
      <c r="T26" s="18" t="str">
        <f>IF(ISNUMBER($L$6)=FALSE,"",
        IF(ISERROR(VLOOKUP($G26,SantoYusuf!$L$13:$AK$56,T$4,FALSE))=TRUE,"",
              VLOOKUP($G26,SantoYusuf!$L$13:$AK$56,T$4,FALSE)))</f>
        <v/>
      </c>
      <c r="U26" s="18" t="str">
        <f>IF(ISNUMBER($L$6)=FALSE,"",
        IF(ISERROR(VLOOKUP($G26,SantoYusuf!$L$13:$AK$56,U$4,FALSE))=TRUE,"",
              VLOOKUP($G26,SantoYusuf!$L$13:$AK$56,U$4,FALSE)))</f>
        <v/>
      </c>
      <c r="V26" s="18" t="str">
        <f>IF(ISNUMBER($L$6)=FALSE,"",
        IF(ISERROR(VLOOKUP($G26,SantoYusuf!$L$13:$AK$56,V$4,FALSE))=TRUE,"",
              VLOOKUP($G26,SantoYusuf!$L$13:$AK$56,V$4,FALSE)))</f>
        <v/>
      </c>
      <c r="W26" s="18" t="str">
        <f>IF(ISNUMBER($L$6)=FALSE,"",
        IF(ISERROR(VLOOKUP($G26,SantoYusuf!$L$13:$AK$56,W$4,FALSE))=TRUE,"",
              VLOOKUP($G26,SantoYusuf!$L$13:$AK$56,W$4,FALSE)))</f>
        <v/>
      </c>
      <c r="X26" s="18" t="str">
        <f>IF(ISNUMBER($L$6)=FALSE,"",
        IF(ISERROR(VLOOKUP($G26,SantoYusuf!$L$13:$AK$56,X$4,FALSE))=TRUE,"",
              VLOOKUP($G26,SantoYusuf!$L$13:$AK$56,X$4,FALSE)))</f>
        <v/>
      </c>
      <c r="Y26" s="18" t="str">
        <f>IF(ISNUMBER($L$6)=FALSE,"",
        IF(ISERROR(VLOOKUP($G26,SantoYusuf!$L$13:$AK$56,Y$4,FALSE))=TRUE,"",
              VLOOKUP($G26,SantoYusuf!$L$13:$AK$56,Y$4,FALSE)))</f>
        <v/>
      </c>
      <c r="Z26" s="18" t="str">
        <f>IF(ISNUMBER($L$6)=FALSE,"",
        IF(ISERROR(VLOOKUP($G26,SantoYusuf!$L$13:$AK$56,Z$4,FALSE))=TRUE,"",
              VLOOKUP($G26,SantoYusuf!$L$13:$AK$56,Z$4,FALSE)))</f>
        <v/>
      </c>
      <c r="AA26" s="18" t="str">
        <f>IF(ISNUMBER($L$6)=FALSE,"",
        IF(ISERROR(VLOOKUP($G26,SantoYusuf!$L$13:$AK$56,AA$4,FALSE))=TRUE,"",
              VLOOKUP($G26,SantoYusuf!$L$13:$AK$56,AA$4,FALSE)))</f>
        <v/>
      </c>
      <c r="AB26" s="18" t="str">
        <f>IF(ISNUMBER($L$6)=FALSE,"",
        IF(ISERROR(VLOOKUP($G26,SantoYusuf!$L$13:$AK$56,AB$4,FALSE))=TRUE,"",
              VLOOKUP($G26,SantoYusuf!$L$13:$AK$56,AB$4,FALSE)))</f>
        <v/>
      </c>
      <c r="AC26" s="18" t="str">
        <f>IF(ISNUMBER($L$6)=FALSE,"",
        IF(ISERROR(VLOOKUP($G26,SantoYusuf!$L$13:$AK$56,AC$4,FALSE))=TRUE,"",
              VLOOKUP($G26,SantoYusuf!$L$13:$AK$56,AC$4,FALSE)))</f>
        <v/>
      </c>
      <c r="AD26" s="18" t="str">
        <f>IF(ISNUMBER($L$6)=FALSE,"",
        IF(ISERROR(VLOOKUP($G26,SantoYusuf!$L$13:$AK$56,AD$4,FALSE))=TRUE,"",
              VLOOKUP($G26,SantoYusuf!$L$13:$AK$56,AD$4,FALSE)))</f>
        <v/>
      </c>
      <c r="AE26" s="18" t="str">
        <f>IF(ISNUMBER($L$6)=FALSE,"",
        IF(ISERROR(VLOOKUP($G26,SantoYusuf!$L$13:$AK$56,AE$4,FALSE))=TRUE,"",
              VLOOKUP($G26,SantoYusuf!$L$13:$AK$56,AE$4,FALSE)))</f>
        <v/>
      </c>
      <c r="AF26" s="18" t="str">
        <f>IF(ISNUMBER($L$6)=FALSE,"",
        IF(ISERROR(VLOOKUP($G26,SantoYusuf!$L$13:$AK$56,AF$4,FALSE))=TRUE,"",
              VLOOKUP($G26,SantoYusuf!$L$13:$AK$56,AF$4,FALSE)))</f>
        <v/>
      </c>
    </row>
    <row r="27" spans="1:32" s="60" customFormat="1" ht="10.5" x14ac:dyDescent="0.25">
      <c r="A27" s="59"/>
      <c r="C27" s="59">
        <f t="shared" si="3"/>
        <v>14</v>
      </c>
      <c r="D27" s="61"/>
      <c r="E27" s="77" t="str">
        <f t="shared" si="4"/>
        <v/>
      </c>
      <c r="F27" s="77" t="str">
        <f>IF(ISNUMBER($L$6)=FALSE,"",
IF($C27=0,"",VLOOKUP($E27,SantoYusuf!$H$13:$L$56,4,FALSE)))</f>
        <v/>
      </c>
      <c r="G27" s="77" t="str">
        <f>IF(ISNUMBER($L$6)=FALSE,"",
IF($C27=0,"",VLOOKUP($E27,SantoYusuf!$H$13:$L$56,5,FALSE)))</f>
        <v/>
      </c>
      <c r="H27" s="17" t="str">
        <f t="shared" si="5"/>
        <v/>
      </c>
      <c r="I27" s="18" t="str">
        <f>IF(ISNUMBER($L$6)=FALSE,"",
        IF(ISERROR(VLOOKUP($G27,SantoYusuf!$L$13:$AK$56,I$4,FALSE))=TRUE,"",
              VLOOKUP($G27,SantoYusuf!$L$13:$AK$56,I$4,FALSE)))</f>
        <v/>
      </c>
      <c r="J27" s="18" t="str">
        <f>IF(ISNUMBER($L$6)=FALSE,"",
        IF(ISERROR(VLOOKUP($G27,SantoYusuf!$L$13:$AK$56,J$4,FALSE))=TRUE,"",
              VLOOKUP($G27,SantoYusuf!$L$13:$AK$56,J$4,FALSE)))</f>
        <v/>
      </c>
      <c r="K27" s="18" t="str">
        <f>IF(ISNUMBER($L$6)=FALSE,"",
        IF(ISERROR(VLOOKUP($G27,SantoYusuf!$L$13:$AK$56,K$4,FALSE))=TRUE,"",
              VLOOKUP($G27,SantoYusuf!$L$13:$AK$56,K$4,FALSE)))</f>
        <v/>
      </c>
      <c r="L27" s="18" t="str">
        <f>IF(ISNUMBER($L$6)=FALSE,"",
        IF(ISERROR(VLOOKUP($G27,SantoYusuf!$L$13:$AK$56,L$4,FALSE))=TRUE,"",
              VLOOKUP($G27,SantoYusuf!$L$13:$AK$56,L$4,FALSE)))</f>
        <v/>
      </c>
      <c r="M27" s="18" t="str">
        <f>IF(ISNUMBER($L$6)=FALSE,"",
        IF(ISERROR(VLOOKUP($G27,SantoYusuf!$L$13:$AK$56,M$4,FALSE))=TRUE,"",
              VLOOKUP($G27,SantoYusuf!$L$13:$AK$56,M$4,FALSE)))</f>
        <v/>
      </c>
      <c r="N27" s="18" t="str">
        <f>IF(ISNUMBER($L$6)=FALSE,"",
        IF(ISERROR(VLOOKUP($G27,SantoYusuf!$L$13:$AK$56,N$4,FALSE))=TRUE,"",
              VLOOKUP($G27,SantoYusuf!$L$13:$AK$56,N$4,FALSE)))</f>
        <v/>
      </c>
      <c r="O27" s="18" t="str">
        <f>IF(ISNUMBER($L$6)=FALSE,"",
        IF(ISERROR(VLOOKUP($G27,SantoYusuf!$L$13:$AK$56,O$4,FALSE))=TRUE,"",
              VLOOKUP($G27,SantoYusuf!$L$13:$AK$56,O$4,FALSE)))</f>
        <v/>
      </c>
      <c r="P27" s="18" t="str">
        <f>IF(ISNUMBER($L$6)=FALSE,"",
        IF(ISERROR(VLOOKUP($G27,SantoYusuf!$L$13:$AK$56,P$4,FALSE))=TRUE,"",
              VLOOKUP($G27,SantoYusuf!$L$13:$AK$56,P$4,FALSE)))</f>
        <v/>
      </c>
      <c r="Q27" s="18" t="str">
        <f>IF(ISNUMBER($L$6)=FALSE,"",
        IF(ISERROR(VLOOKUP($G27,SantoYusuf!$L$13:$AK$56,Q$4,FALSE))=TRUE,"",
              VLOOKUP($G27,SantoYusuf!$L$13:$AK$56,Q$4,FALSE)))</f>
        <v/>
      </c>
      <c r="R27" s="18" t="str">
        <f>IF(ISNUMBER($L$6)=FALSE,"",
        IF(ISERROR(VLOOKUP($G27,SantoYusuf!$L$13:$AK$56,R$4,FALSE))=TRUE,"",
              VLOOKUP($G27,SantoYusuf!$L$13:$AK$56,R$4,FALSE)))</f>
        <v/>
      </c>
      <c r="S27" s="18" t="str">
        <f>IF(ISNUMBER($L$6)=FALSE,"",
        IF(ISERROR(VLOOKUP($G27,SantoYusuf!$L$13:$AK$56,S$4,FALSE))=TRUE,"",
              VLOOKUP($G27,SantoYusuf!$L$13:$AK$56,S$4,FALSE)))</f>
        <v/>
      </c>
      <c r="T27" s="18" t="str">
        <f>IF(ISNUMBER($L$6)=FALSE,"",
        IF(ISERROR(VLOOKUP($G27,SantoYusuf!$L$13:$AK$56,T$4,FALSE))=TRUE,"",
              VLOOKUP($G27,SantoYusuf!$L$13:$AK$56,T$4,FALSE)))</f>
        <v/>
      </c>
      <c r="U27" s="18" t="str">
        <f>IF(ISNUMBER($L$6)=FALSE,"",
        IF(ISERROR(VLOOKUP($G27,SantoYusuf!$L$13:$AK$56,U$4,FALSE))=TRUE,"",
              VLOOKUP($G27,SantoYusuf!$L$13:$AK$56,U$4,FALSE)))</f>
        <v/>
      </c>
      <c r="V27" s="18" t="str">
        <f>IF(ISNUMBER($L$6)=FALSE,"",
        IF(ISERROR(VLOOKUP($G27,SantoYusuf!$L$13:$AK$56,V$4,FALSE))=TRUE,"",
              VLOOKUP($G27,SantoYusuf!$L$13:$AK$56,V$4,FALSE)))</f>
        <v/>
      </c>
      <c r="W27" s="18" t="str">
        <f>IF(ISNUMBER($L$6)=FALSE,"",
        IF(ISERROR(VLOOKUP($G27,SantoYusuf!$L$13:$AK$56,W$4,FALSE))=TRUE,"",
              VLOOKUP($G27,SantoYusuf!$L$13:$AK$56,W$4,FALSE)))</f>
        <v/>
      </c>
      <c r="X27" s="18" t="str">
        <f>IF(ISNUMBER($L$6)=FALSE,"",
        IF(ISERROR(VLOOKUP($G27,SantoYusuf!$L$13:$AK$56,X$4,FALSE))=TRUE,"",
              VLOOKUP($G27,SantoYusuf!$L$13:$AK$56,X$4,FALSE)))</f>
        <v/>
      </c>
      <c r="Y27" s="18" t="str">
        <f>IF(ISNUMBER($L$6)=FALSE,"",
        IF(ISERROR(VLOOKUP($G27,SantoYusuf!$L$13:$AK$56,Y$4,FALSE))=TRUE,"",
              VLOOKUP($G27,SantoYusuf!$L$13:$AK$56,Y$4,FALSE)))</f>
        <v/>
      </c>
      <c r="Z27" s="18" t="str">
        <f>IF(ISNUMBER($L$6)=FALSE,"",
        IF(ISERROR(VLOOKUP($G27,SantoYusuf!$L$13:$AK$56,Z$4,FALSE))=TRUE,"",
              VLOOKUP($G27,SantoYusuf!$L$13:$AK$56,Z$4,FALSE)))</f>
        <v/>
      </c>
      <c r="AA27" s="18" t="str">
        <f>IF(ISNUMBER($L$6)=FALSE,"",
        IF(ISERROR(VLOOKUP($G27,SantoYusuf!$L$13:$AK$56,AA$4,FALSE))=TRUE,"",
              VLOOKUP($G27,SantoYusuf!$L$13:$AK$56,AA$4,FALSE)))</f>
        <v/>
      </c>
      <c r="AB27" s="18" t="str">
        <f>IF(ISNUMBER($L$6)=FALSE,"",
        IF(ISERROR(VLOOKUP($G27,SantoYusuf!$L$13:$AK$56,AB$4,FALSE))=TRUE,"",
              VLOOKUP($G27,SantoYusuf!$L$13:$AK$56,AB$4,FALSE)))</f>
        <v/>
      </c>
      <c r="AC27" s="18" t="str">
        <f>IF(ISNUMBER($L$6)=FALSE,"",
        IF(ISERROR(VLOOKUP($G27,SantoYusuf!$L$13:$AK$56,AC$4,FALSE))=TRUE,"",
              VLOOKUP($G27,SantoYusuf!$L$13:$AK$56,AC$4,FALSE)))</f>
        <v/>
      </c>
      <c r="AD27" s="18" t="str">
        <f>IF(ISNUMBER($L$6)=FALSE,"",
        IF(ISERROR(VLOOKUP($G27,SantoYusuf!$L$13:$AK$56,AD$4,FALSE))=TRUE,"",
              VLOOKUP($G27,SantoYusuf!$L$13:$AK$56,AD$4,FALSE)))</f>
        <v/>
      </c>
      <c r="AE27" s="18" t="str">
        <f>IF(ISNUMBER($L$6)=FALSE,"",
        IF(ISERROR(VLOOKUP($G27,SantoYusuf!$L$13:$AK$56,AE$4,FALSE))=TRUE,"",
              VLOOKUP($G27,SantoYusuf!$L$13:$AK$56,AE$4,FALSE)))</f>
        <v/>
      </c>
      <c r="AF27" s="18" t="str">
        <f>IF(ISNUMBER($L$6)=FALSE,"",
        IF(ISERROR(VLOOKUP($G27,SantoYusuf!$L$13:$AK$56,AF$4,FALSE))=TRUE,"",
              VLOOKUP($G27,SantoYusuf!$L$13:$AK$56,AF$4,FALSE)))</f>
        <v/>
      </c>
    </row>
    <row r="28" spans="1:32" s="60" customFormat="1" ht="10.5" x14ac:dyDescent="0.25">
      <c r="A28" s="59"/>
      <c r="C28" s="59">
        <f t="shared" si="3"/>
        <v>15</v>
      </c>
      <c r="D28" s="61"/>
      <c r="E28" s="77" t="str">
        <f t="shared" si="4"/>
        <v/>
      </c>
      <c r="F28" s="77" t="str">
        <f>IF(ISNUMBER($L$6)=FALSE,"",
IF($C28=0,"",VLOOKUP($E28,SantoYusuf!$H$13:$L$56,4,FALSE)))</f>
        <v/>
      </c>
      <c r="G28" s="77" t="str">
        <f>IF(ISNUMBER($L$6)=FALSE,"",
IF($C28=0,"",VLOOKUP($E28,SantoYusuf!$H$13:$L$56,5,FALSE)))</f>
        <v/>
      </c>
      <c r="H28" s="17" t="str">
        <f t="shared" si="5"/>
        <v/>
      </c>
      <c r="I28" s="18" t="str">
        <f>IF(ISNUMBER($L$6)=FALSE,"",
        IF(ISERROR(VLOOKUP($G28,SantoYusuf!$L$13:$AK$56,I$4,FALSE))=TRUE,"",
              VLOOKUP($G28,SantoYusuf!$L$13:$AK$56,I$4,FALSE)))</f>
        <v/>
      </c>
      <c r="J28" s="18" t="str">
        <f>IF(ISNUMBER($L$6)=FALSE,"",
        IF(ISERROR(VLOOKUP($G28,SantoYusuf!$L$13:$AK$56,J$4,FALSE))=TRUE,"",
              VLOOKUP($G28,SantoYusuf!$L$13:$AK$56,J$4,FALSE)))</f>
        <v/>
      </c>
      <c r="K28" s="18" t="str">
        <f>IF(ISNUMBER($L$6)=FALSE,"",
        IF(ISERROR(VLOOKUP($G28,SantoYusuf!$L$13:$AK$56,K$4,FALSE))=TRUE,"",
              VLOOKUP($G28,SantoYusuf!$L$13:$AK$56,K$4,FALSE)))</f>
        <v/>
      </c>
      <c r="L28" s="18" t="str">
        <f>IF(ISNUMBER($L$6)=FALSE,"",
        IF(ISERROR(VLOOKUP($G28,SantoYusuf!$L$13:$AK$56,L$4,FALSE))=TRUE,"",
              VLOOKUP($G28,SantoYusuf!$L$13:$AK$56,L$4,FALSE)))</f>
        <v/>
      </c>
      <c r="M28" s="18" t="str">
        <f>IF(ISNUMBER($L$6)=FALSE,"",
        IF(ISERROR(VLOOKUP($G28,SantoYusuf!$L$13:$AK$56,M$4,FALSE))=TRUE,"",
              VLOOKUP($G28,SantoYusuf!$L$13:$AK$56,M$4,FALSE)))</f>
        <v/>
      </c>
      <c r="N28" s="18" t="str">
        <f>IF(ISNUMBER($L$6)=FALSE,"",
        IF(ISERROR(VLOOKUP($G28,SantoYusuf!$L$13:$AK$56,N$4,FALSE))=TRUE,"",
              VLOOKUP($G28,SantoYusuf!$L$13:$AK$56,N$4,FALSE)))</f>
        <v/>
      </c>
      <c r="O28" s="18" t="str">
        <f>IF(ISNUMBER($L$6)=FALSE,"",
        IF(ISERROR(VLOOKUP($G28,SantoYusuf!$L$13:$AK$56,O$4,FALSE))=TRUE,"",
              VLOOKUP($G28,SantoYusuf!$L$13:$AK$56,O$4,FALSE)))</f>
        <v/>
      </c>
      <c r="P28" s="18" t="str">
        <f>IF(ISNUMBER($L$6)=FALSE,"",
        IF(ISERROR(VLOOKUP($G28,SantoYusuf!$L$13:$AK$56,P$4,FALSE))=TRUE,"",
              VLOOKUP($G28,SantoYusuf!$L$13:$AK$56,P$4,FALSE)))</f>
        <v/>
      </c>
      <c r="Q28" s="18" t="str">
        <f>IF(ISNUMBER($L$6)=FALSE,"",
        IF(ISERROR(VLOOKUP($G28,SantoYusuf!$L$13:$AK$56,Q$4,FALSE))=TRUE,"",
              VLOOKUP($G28,SantoYusuf!$L$13:$AK$56,Q$4,FALSE)))</f>
        <v/>
      </c>
      <c r="R28" s="18" t="str">
        <f>IF(ISNUMBER($L$6)=FALSE,"",
        IF(ISERROR(VLOOKUP($G28,SantoYusuf!$L$13:$AK$56,R$4,FALSE))=TRUE,"",
              VLOOKUP($G28,SantoYusuf!$L$13:$AK$56,R$4,FALSE)))</f>
        <v/>
      </c>
      <c r="S28" s="18" t="str">
        <f>IF(ISNUMBER($L$6)=FALSE,"",
        IF(ISERROR(VLOOKUP($G28,SantoYusuf!$L$13:$AK$56,S$4,FALSE))=TRUE,"",
              VLOOKUP($G28,SantoYusuf!$L$13:$AK$56,S$4,FALSE)))</f>
        <v/>
      </c>
      <c r="T28" s="18" t="str">
        <f>IF(ISNUMBER($L$6)=FALSE,"",
        IF(ISERROR(VLOOKUP($G28,SantoYusuf!$L$13:$AK$56,T$4,FALSE))=TRUE,"",
              VLOOKUP($G28,SantoYusuf!$L$13:$AK$56,T$4,FALSE)))</f>
        <v/>
      </c>
      <c r="U28" s="18" t="str">
        <f>IF(ISNUMBER($L$6)=FALSE,"",
        IF(ISERROR(VLOOKUP($G28,SantoYusuf!$L$13:$AK$56,U$4,FALSE))=TRUE,"",
              VLOOKUP($G28,SantoYusuf!$L$13:$AK$56,U$4,FALSE)))</f>
        <v/>
      </c>
      <c r="V28" s="18" t="str">
        <f>IF(ISNUMBER($L$6)=FALSE,"",
        IF(ISERROR(VLOOKUP($G28,SantoYusuf!$L$13:$AK$56,V$4,FALSE))=TRUE,"",
              VLOOKUP($G28,SantoYusuf!$L$13:$AK$56,V$4,FALSE)))</f>
        <v/>
      </c>
      <c r="W28" s="18" t="str">
        <f>IF(ISNUMBER($L$6)=FALSE,"",
        IF(ISERROR(VLOOKUP($G28,SantoYusuf!$L$13:$AK$56,W$4,FALSE))=TRUE,"",
              VLOOKUP($G28,SantoYusuf!$L$13:$AK$56,W$4,FALSE)))</f>
        <v/>
      </c>
      <c r="X28" s="18" t="str">
        <f>IF(ISNUMBER($L$6)=FALSE,"",
        IF(ISERROR(VLOOKUP($G28,SantoYusuf!$L$13:$AK$56,X$4,FALSE))=TRUE,"",
              VLOOKUP($G28,SantoYusuf!$L$13:$AK$56,X$4,FALSE)))</f>
        <v/>
      </c>
      <c r="Y28" s="18" t="str">
        <f>IF(ISNUMBER($L$6)=FALSE,"",
        IF(ISERROR(VLOOKUP($G28,SantoYusuf!$L$13:$AK$56,Y$4,FALSE))=TRUE,"",
              VLOOKUP($G28,SantoYusuf!$L$13:$AK$56,Y$4,FALSE)))</f>
        <v/>
      </c>
      <c r="Z28" s="18" t="str">
        <f>IF(ISNUMBER($L$6)=FALSE,"",
        IF(ISERROR(VLOOKUP($G28,SantoYusuf!$L$13:$AK$56,Z$4,FALSE))=TRUE,"",
              VLOOKUP($G28,SantoYusuf!$L$13:$AK$56,Z$4,FALSE)))</f>
        <v/>
      </c>
      <c r="AA28" s="18" t="str">
        <f>IF(ISNUMBER($L$6)=FALSE,"",
        IF(ISERROR(VLOOKUP($G28,SantoYusuf!$L$13:$AK$56,AA$4,FALSE))=TRUE,"",
              VLOOKUP($G28,SantoYusuf!$L$13:$AK$56,AA$4,FALSE)))</f>
        <v/>
      </c>
      <c r="AB28" s="18" t="str">
        <f>IF(ISNUMBER($L$6)=FALSE,"",
        IF(ISERROR(VLOOKUP($G28,SantoYusuf!$L$13:$AK$56,AB$4,FALSE))=TRUE,"",
              VLOOKUP($G28,SantoYusuf!$L$13:$AK$56,AB$4,FALSE)))</f>
        <v/>
      </c>
      <c r="AC28" s="18" t="str">
        <f>IF(ISNUMBER($L$6)=FALSE,"",
        IF(ISERROR(VLOOKUP($G28,SantoYusuf!$L$13:$AK$56,AC$4,FALSE))=TRUE,"",
              VLOOKUP($G28,SantoYusuf!$L$13:$AK$56,AC$4,FALSE)))</f>
        <v/>
      </c>
      <c r="AD28" s="18" t="str">
        <f>IF(ISNUMBER($L$6)=FALSE,"",
        IF(ISERROR(VLOOKUP($G28,SantoYusuf!$L$13:$AK$56,AD$4,FALSE))=TRUE,"",
              VLOOKUP($G28,SantoYusuf!$L$13:$AK$56,AD$4,FALSE)))</f>
        <v/>
      </c>
      <c r="AE28" s="18" t="str">
        <f>IF(ISNUMBER($L$6)=FALSE,"",
        IF(ISERROR(VLOOKUP($G28,SantoYusuf!$L$13:$AK$56,AE$4,FALSE))=TRUE,"",
              VLOOKUP($G28,SantoYusuf!$L$13:$AK$56,AE$4,FALSE)))</f>
        <v/>
      </c>
      <c r="AF28" s="18" t="str">
        <f>IF(ISNUMBER($L$6)=FALSE,"",
        IF(ISERROR(VLOOKUP($G28,SantoYusuf!$L$13:$AK$56,AF$4,FALSE))=TRUE,"",
              VLOOKUP($G28,SantoYusuf!$L$13:$AK$56,AF$4,FALSE)))</f>
        <v/>
      </c>
    </row>
    <row r="29" spans="1:32" s="60" customFormat="1" ht="10.5" x14ac:dyDescent="0.25">
      <c r="A29" s="59"/>
      <c r="C29" s="59">
        <f t="shared" si="3"/>
        <v>16</v>
      </c>
      <c r="D29" s="61"/>
      <c r="E29" s="77" t="str">
        <f t="shared" si="4"/>
        <v/>
      </c>
      <c r="F29" s="77" t="str">
        <f>IF(ISNUMBER($L$6)=FALSE,"",
IF($C29=0,"",VLOOKUP($E29,SantoYusuf!$H$13:$L$56,4,FALSE)))</f>
        <v/>
      </c>
      <c r="G29" s="77" t="str">
        <f>IF(ISNUMBER($L$6)=FALSE,"",
IF($C29=0,"",VLOOKUP($E29,SantoYusuf!$H$13:$L$56,5,FALSE)))</f>
        <v/>
      </c>
      <c r="H29" s="17" t="str">
        <f t="shared" si="5"/>
        <v/>
      </c>
      <c r="I29" s="18" t="str">
        <f>IF(ISNUMBER($L$6)=FALSE,"",
        IF(ISERROR(VLOOKUP($G29,SantoYusuf!$L$13:$AK$56,I$4,FALSE))=TRUE,"",
              VLOOKUP($G29,SantoYusuf!$L$13:$AK$56,I$4,FALSE)))</f>
        <v/>
      </c>
      <c r="J29" s="18" t="str">
        <f>IF(ISNUMBER($L$6)=FALSE,"",
        IF(ISERROR(VLOOKUP($G29,SantoYusuf!$L$13:$AK$56,J$4,FALSE))=TRUE,"",
              VLOOKUP($G29,SantoYusuf!$L$13:$AK$56,J$4,FALSE)))</f>
        <v/>
      </c>
      <c r="K29" s="18" t="str">
        <f>IF(ISNUMBER($L$6)=FALSE,"",
        IF(ISERROR(VLOOKUP($G29,SantoYusuf!$L$13:$AK$56,K$4,FALSE))=TRUE,"",
              VLOOKUP($G29,SantoYusuf!$L$13:$AK$56,K$4,FALSE)))</f>
        <v/>
      </c>
      <c r="L29" s="18" t="str">
        <f>IF(ISNUMBER($L$6)=FALSE,"",
        IF(ISERROR(VLOOKUP($G29,SantoYusuf!$L$13:$AK$56,L$4,FALSE))=TRUE,"",
              VLOOKUP($G29,SantoYusuf!$L$13:$AK$56,L$4,FALSE)))</f>
        <v/>
      </c>
      <c r="M29" s="18" t="str">
        <f>IF(ISNUMBER($L$6)=FALSE,"",
        IF(ISERROR(VLOOKUP($G29,SantoYusuf!$L$13:$AK$56,M$4,FALSE))=TRUE,"",
              VLOOKUP($G29,SantoYusuf!$L$13:$AK$56,M$4,FALSE)))</f>
        <v/>
      </c>
      <c r="N29" s="18" t="str">
        <f>IF(ISNUMBER($L$6)=FALSE,"",
        IF(ISERROR(VLOOKUP($G29,SantoYusuf!$L$13:$AK$56,N$4,FALSE))=TRUE,"",
              VLOOKUP($G29,SantoYusuf!$L$13:$AK$56,N$4,FALSE)))</f>
        <v/>
      </c>
      <c r="O29" s="18" t="str">
        <f>IF(ISNUMBER($L$6)=FALSE,"",
        IF(ISERROR(VLOOKUP($G29,SantoYusuf!$L$13:$AK$56,O$4,FALSE))=TRUE,"",
              VLOOKUP($G29,SantoYusuf!$L$13:$AK$56,O$4,FALSE)))</f>
        <v/>
      </c>
      <c r="P29" s="18" t="str">
        <f>IF(ISNUMBER($L$6)=FALSE,"",
        IF(ISERROR(VLOOKUP($G29,SantoYusuf!$L$13:$AK$56,P$4,FALSE))=TRUE,"",
              VLOOKUP($G29,SantoYusuf!$L$13:$AK$56,P$4,FALSE)))</f>
        <v/>
      </c>
      <c r="Q29" s="18" t="str">
        <f>IF(ISNUMBER($L$6)=FALSE,"",
        IF(ISERROR(VLOOKUP($G29,SantoYusuf!$L$13:$AK$56,Q$4,FALSE))=TRUE,"",
              VLOOKUP($G29,SantoYusuf!$L$13:$AK$56,Q$4,FALSE)))</f>
        <v/>
      </c>
      <c r="R29" s="18" t="str">
        <f>IF(ISNUMBER($L$6)=FALSE,"",
        IF(ISERROR(VLOOKUP($G29,SantoYusuf!$L$13:$AK$56,R$4,FALSE))=TRUE,"",
              VLOOKUP($G29,SantoYusuf!$L$13:$AK$56,R$4,FALSE)))</f>
        <v/>
      </c>
      <c r="S29" s="18" t="str">
        <f>IF(ISNUMBER($L$6)=FALSE,"",
        IF(ISERROR(VLOOKUP($G29,SantoYusuf!$L$13:$AK$56,S$4,FALSE))=TRUE,"",
              VLOOKUP($G29,SantoYusuf!$L$13:$AK$56,S$4,FALSE)))</f>
        <v/>
      </c>
      <c r="T29" s="18" t="str">
        <f>IF(ISNUMBER($L$6)=FALSE,"",
        IF(ISERROR(VLOOKUP($G29,SantoYusuf!$L$13:$AK$56,T$4,FALSE))=TRUE,"",
              VLOOKUP($G29,SantoYusuf!$L$13:$AK$56,T$4,FALSE)))</f>
        <v/>
      </c>
      <c r="U29" s="18" t="str">
        <f>IF(ISNUMBER($L$6)=FALSE,"",
        IF(ISERROR(VLOOKUP($G29,SantoYusuf!$L$13:$AK$56,U$4,FALSE))=TRUE,"",
              VLOOKUP($G29,SantoYusuf!$L$13:$AK$56,U$4,FALSE)))</f>
        <v/>
      </c>
      <c r="V29" s="18" t="str">
        <f>IF(ISNUMBER($L$6)=FALSE,"",
        IF(ISERROR(VLOOKUP($G29,SantoYusuf!$L$13:$AK$56,V$4,FALSE))=TRUE,"",
              VLOOKUP($G29,SantoYusuf!$L$13:$AK$56,V$4,FALSE)))</f>
        <v/>
      </c>
      <c r="W29" s="18" t="str">
        <f>IF(ISNUMBER($L$6)=FALSE,"",
        IF(ISERROR(VLOOKUP($G29,SantoYusuf!$L$13:$AK$56,W$4,FALSE))=TRUE,"",
              VLOOKUP($G29,SantoYusuf!$L$13:$AK$56,W$4,FALSE)))</f>
        <v/>
      </c>
      <c r="X29" s="18" t="str">
        <f>IF(ISNUMBER($L$6)=FALSE,"",
        IF(ISERROR(VLOOKUP($G29,SantoYusuf!$L$13:$AK$56,X$4,FALSE))=TRUE,"",
              VLOOKUP($G29,SantoYusuf!$L$13:$AK$56,X$4,FALSE)))</f>
        <v/>
      </c>
      <c r="Y29" s="18" t="str">
        <f>IF(ISNUMBER($L$6)=FALSE,"",
        IF(ISERROR(VLOOKUP($G29,SantoYusuf!$L$13:$AK$56,Y$4,FALSE))=TRUE,"",
              VLOOKUP($G29,SantoYusuf!$L$13:$AK$56,Y$4,FALSE)))</f>
        <v/>
      </c>
      <c r="Z29" s="18" t="str">
        <f>IF(ISNUMBER($L$6)=FALSE,"",
        IF(ISERROR(VLOOKUP($G29,SantoYusuf!$L$13:$AK$56,Z$4,FALSE))=TRUE,"",
              VLOOKUP($G29,SantoYusuf!$L$13:$AK$56,Z$4,FALSE)))</f>
        <v/>
      </c>
      <c r="AA29" s="18" t="str">
        <f>IF(ISNUMBER($L$6)=FALSE,"",
        IF(ISERROR(VLOOKUP($G29,SantoYusuf!$L$13:$AK$56,AA$4,FALSE))=TRUE,"",
              VLOOKUP($G29,SantoYusuf!$L$13:$AK$56,AA$4,FALSE)))</f>
        <v/>
      </c>
      <c r="AB29" s="18" t="str">
        <f>IF(ISNUMBER($L$6)=FALSE,"",
        IF(ISERROR(VLOOKUP($G29,SantoYusuf!$L$13:$AK$56,AB$4,FALSE))=TRUE,"",
              VLOOKUP($G29,SantoYusuf!$L$13:$AK$56,AB$4,FALSE)))</f>
        <v/>
      </c>
      <c r="AC29" s="18" t="str">
        <f>IF(ISNUMBER($L$6)=FALSE,"",
        IF(ISERROR(VLOOKUP($G29,SantoYusuf!$L$13:$AK$56,AC$4,FALSE))=TRUE,"",
              VLOOKUP($G29,SantoYusuf!$L$13:$AK$56,AC$4,FALSE)))</f>
        <v/>
      </c>
      <c r="AD29" s="18" t="str">
        <f>IF(ISNUMBER($L$6)=FALSE,"",
        IF(ISERROR(VLOOKUP($G29,SantoYusuf!$L$13:$AK$56,AD$4,FALSE))=TRUE,"",
              VLOOKUP($G29,SantoYusuf!$L$13:$AK$56,AD$4,FALSE)))</f>
        <v/>
      </c>
      <c r="AE29" s="18" t="str">
        <f>IF(ISNUMBER($L$6)=FALSE,"",
        IF(ISERROR(VLOOKUP($G29,SantoYusuf!$L$13:$AK$56,AE$4,FALSE))=TRUE,"",
              VLOOKUP($G29,SantoYusuf!$L$13:$AK$56,AE$4,FALSE)))</f>
        <v/>
      </c>
      <c r="AF29" s="18" t="str">
        <f>IF(ISNUMBER($L$6)=FALSE,"",
        IF(ISERROR(VLOOKUP($G29,SantoYusuf!$L$13:$AK$56,AF$4,FALSE))=TRUE,"",
              VLOOKUP($G29,SantoYusuf!$L$13:$AK$56,AF$4,FALSE)))</f>
        <v/>
      </c>
    </row>
    <row r="30" spans="1:32" s="60" customFormat="1" ht="10.5" x14ac:dyDescent="0.25">
      <c r="A30" s="59"/>
      <c r="C30" s="59">
        <f t="shared" si="3"/>
        <v>17</v>
      </c>
      <c r="D30" s="61"/>
      <c r="E30" s="77" t="str">
        <f t="shared" si="4"/>
        <v/>
      </c>
      <c r="F30" s="77" t="str">
        <f>IF(ISNUMBER($L$6)=FALSE,"",
IF($C30=0,"",VLOOKUP($E30,SantoYusuf!$H$13:$L$56,4,FALSE)))</f>
        <v/>
      </c>
      <c r="G30" s="77" t="str">
        <f>IF(ISNUMBER($L$6)=FALSE,"",
IF($C30=0,"",VLOOKUP($E30,SantoYusuf!$H$13:$L$56,5,FALSE)))</f>
        <v/>
      </c>
      <c r="H30" s="17" t="str">
        <f t="shared" si="5"/>
        <v/>
      </c>
      <c r="I30" s="18" t="str">
        <f>IF(ISNUMBER($L$6)=FALSE,"",
        IF(ISERROR(VLOOKUP($G30,SantoYusuf!$L$13:$AK$56,I$4,FALSE))=TRUE,"",
              VLOOKUP($G30,SantoYusuf!$L$13:$AK$56,I$4,FALSE)))</f>
        <v/>
      </c>
      <c r="J30" s="18" t="str">
        <f>IF(ISNUMBER($L$6)=FALSE,"",
        IF(ISERROR(VLOOKUP($G30,SantoYusuf!$L$13:$AK$56,J$4,FALSE))=TRUE,"",
              VLOOKUP($G30,SantoYusuf!$L$13:$AK$56,J$4,FALSE)))</f>
        <v/>
      </c>
      <c r="K30" s="18" t="str">
        <f>IF(ISNUMBER($L$6)=FALSE,"",
        IF(ISERROR(VLOOKUP($G30,SantoYusuf!$L$13:$AK$56,K$4,FALSE))=TRUE,"",
              VLOOKUP($G30,SantoYusuf!$L$13:$AK$56,K$4,FALSE)))</f>
        <v/>
      </c>
      <c r="L30" s="18" t="str">
        <f>IF(ISNUMBER($L$6)=FALSE,"",
        IF(ISERROR(VLOOKUP($G30,SantoYusuf!$L$13:$AK$56,L$4,FALSE))=TRUE,"",
              VLOOKUP($G30,SantoYusuf!$L$13:$AK$56,L$4,FALSE)))</f>
        <v/>
      </c>
      <c r="M30" s="18" t="str">
        <f>IF(ISNUMBER($L$6)=FALSE,"",
        IF(ISERROR(VLOOKUP($G30,SantoYusuf!$L$13:$AK$56,M$4,FALSE))=TRUE,"",
              VLOOKUP($G30,SantoYusuf!$L$13:$AK$56,M$4,FALSE)))</f>
        <v/>
      </c>
      <c r="N30" s="18" t="str">
        <f>IF(ISNUMBER($L$6)=FALSE,"",
        IF(ISERROR(VLOOKUP($G30,SantoYusuf!$L$13:$AK$56,N$4,FALSE))=TRUE,"",
              VLOOKUP($G30,SantoYusuf!$L$13:$AK$56,N$4,FALSE)))</f>
        <v/>
      </c>
      <c r="O30" s="18" t="str">
        <f>IF(ISNUMBER($L$6)=FALSE,"",
        IF(ISERROR(VLOOKUP($G30,SantoYusuf!$L$13:$AK$56,O$4,FALSE))=TRUE,"",
              VLOOKUP($G30,SantoYusuf!$L$13:$AK$56,O$4,FALSE)))</f>
        <v/>
      </c>
      <c r="P30" s="18" t="str">
        <f>IF(ISNUMBER($L$6)=FALSE,"",
        IF(ISERROR(VLOOKUP($G30,SantoYusuf!$L$13:$AK$56,P$4,FALSE))=TRUE,"",
              VLOOKUP($G30,SantoYusuf!$L$13:$AK$56,P$4,FALSE)))</f>
        <v/>
      </c>
      <c r="Q30" s="18" t="str">
        <f>IF(ISNUMBER($L$6)=FALSE,"",
        IF(ISERROR(VLOOKUP($G30,SantoYusuf!$L$13:$AK$56,Q$4,FALSE))=TRUE,"",
              VLOOKUP($G30,SantoYusuf!$L$13:$AK$56,Q$4,FALSE)))</f>
        <v/>
      </c>
      <c r="R30" s="18" t="str">
        <f>IF(ISNUMBER($L$6)=FALSE,"",
        IF(ISERROR(VLOOKUP($G30,SantoYusuf!$L$13:$AK$56,R$4,FALSE))=TRUE,"",
              VLOOKUP($G30,SantoYusuf!$L$13:$AK$56,R$4,FALSE)))</f>
        <v/>
      </c>
      <c r="S30" s="18" t="str">
        <f>IF(ISNUMBER($L$6)=FALSE,"",
        IF(ISERROR(VLOOKUP($G30,SantoYusuf!$L$13:$AK$56,S$4,FALSE))=TRUE,"",
              VLOOKUP($G30,SantoYusuf!$L$13:$AK$56,S$4,FALSE)))</f>
        <v/>
      </c>
      <c r="T30" s="18" t="str">
        <f>IF(ISNUMBER($L$6)=FALSE,"",
        IF(ISERROR(VLOOKUP($G30,SantoYusuf!$L$13:$AK$56,T$4,FALSE))=TRUE,"",
              VLOOKUP($G30,SantoYusuf!$L$13:$AK$56,T$4,FALSE)))</f>
        <v/>
      </c>
      <c r="U30" s="18" t="str">
        <f>IF(ISNUMBER($L$6)=FALSE,"",
        IF(ISERROR(VLOOKUP($G30,SantoYusuf!$L$13:$AK$56,U$4,FALSE))=TRUE,"",
              VLOOKUP($G30,SantoYusuf!$L$13:$AK$56,U$4,FALSE)))</f>
        <v/>
      </c>
      <c r="V30" s="18" t="str">
        <f>IF(ISNUMBER($L$6)=FALSE,"",
        IF(ISERROR(VLOOKUP($G30,SantoYusuf!$L$13:$AK$56,V$4,FALSE))=TRUE,"",
              VLOOKUP($G30,SantoYusuf!$L$13:$AK$56,V$4,FALSE)))</f>
        <v/>
      </c>
      <c r="W30" s="18" t="str">
        <f>IF(ISNUMBER($L$6)=FALSE,"",
        IF(ISERROR(VLOOKUP($G30,SantoYusuf!$L$13:$AK$56,W$4,FALSE))=TRUE,"",
              VLOOKUP($G30,SantoYusuf!$L$13:$AK$56,W$4,FALSE)))</f>
        <v/>
      </c>
      <c r="X30" s="18" t="str">
        <f>IF(ISNUMBER($L$6)=FALSE,"",
        IF(ISERROR(VLOOKUP($G30,SantoYusuf!$L$13:$AK$56,X$4,FALSE))=TRUE,"",
              VLOOKUP($G30,SantoYusuf!$L$13:$AK$56,X$4,FALSE)))</f>
        <v/>
      </c>
      <c r="Y30" s="18" t="str">
        <f>IF(ISNUMBER($L$6)=FALSE,"",
        IF(ISERROR(VLOOKUP($G30,SantoYusuf!$L$13:$AK$56,Y$4,FALSE))=TRUE,"",
              VLOOKUP($G30,SantoYusuf!$L$13:$AK$56,Y$4,FALSE)))</f>
        <v/>
      </c>
      <c r="Z30" s="18" t="str">
        <f>IF(ISNUMBER($L$6)=FALSE,"",
        IF(ISERROR(VLOOKUP($G30,SantoYusuf!$L$13:$AK$56,Z$4,FALSE))=TRUE,"",
              VLOOKUP($G30,SantoYusuf!$L$13:$AK$56,Z$4,FALSE)))</f>
        <v/>
      </c>
      <c r="AA30" s="18" t="str">
        <f>IF(ISNUMBER($L$6)=FALSE,"",
        IF(ISERROR(VLOOKUP($G30,SantoYusuf!$L$13:$AK$56,AA$4,FALSE))=TRUE,"",
              VLOOKUP($G30,SantoYusuf!$L$13:$AK$56,AA$4,FALSE)))</f>
        <v/>
      </c>
      <c r="AB30" s="18" t="str">
        <f>IF(ISNUMBER($L$6)=FALSE,"",
        IF(ISERROR(VLOOKUP($G30,SantoYusuf!$L$13:$AK$56,AB$4,FALSE))=TRUE,"",
              VLOOKUP($G30,SantoYusuf!$L$13:$AK$56,AB$4,FALSE)))</f>
        <v/>
      </c>
      <c r="AC30" s="18" t="str">
        <f>IF(ISNUMBER($L$6)=FALSE,"",
        IF(ISERROR(VLOOKUP($G30,SantoYusuf!$L$13:$AK$56,AC$4,FALSE))=TRUE,"",
              VLOOKUP($G30,SantoYusuf!$L$13:$AK$56,AC$4,FALSE)))</f>
        <v/>
      </c>
      <c r="AD30" s="18" t="str">
        <f>IF(ISNUMBER($L$6)=FALSE,"",
        IF(ISERROR(VLOOKUP($G30,SantoYusuf!$L$13:$AK$56,AD$4,FALSE))=TRUE,"",
              VLOOKUP($G30,SantoYusuf!$L$13:$AK$56,AD$4,FALSE)))</f>
        <v/>
      </c>
      <c r="AE30" s="18" t="str">
        <f>IF(ISNUMBER($L$6)=FALSE,"",
        IF(ISERROR(VLOOKUP($G30,SantoYusuf!$L$13:$AK$56,AE$4,FALSE))=TRUE,"",
              VLOOKUP($G30,SantoYusuf!$L$13:$AK$56,AE$4,FALSE)))</f>
        <v/>
      </c>
      <c r="AF30" s="18" t="str">
        <f>IF(ISNUMBER($L$6)=FALSE,"",
        IF(ISERROR(VLOOKUP($G30,SantoYusuf!$L$13:$AK$56,AF$4,FALSE))=TRUE,"",
              VLOOKUP($G30,SantoYusuf!$L$13:$AK$56,AF$4,FALSE)))</f>
        <v/>
      </c>
    </row>
    <row r="31" spans="1:32" s="60" customFormat="1" ht="10.5" x14ac:dyDescent="0.25">
      <c r="A31" s="59"/>
      <c r="C31" s="59">
        <f t="shared" si="3"/>
        <v>18</v>
      </c>
      <c r="D31" s="61"/>
      <c r="E31" s="77" t="str">
        <f t="shared" si="4"/>
        <v/>
      </c>
      <c r="F31" s="77" t="str">
        <f>IF(ISNUMBER($L$6)=FALSE,"",
IF($C31=0,"",VLOOKUP($E31,SantoYusuf!$H$13:$L$56,4,FALSE)))</f>
        <v/>
      </c>
      <c r="G31" s="77" t="str">
        <f>IF(ISNUMBER($L$6)=FALSE,"",
IF($C31=0,"",VLOOKUP($E31,SantoYusuf!$H$13:$L$56,5,FALSE)))</f>
        <v/>
      </c>
      <c r="H31" s="17" t="str">
        <f t="shared" si="5"/>
        <v/>
      </c>
      <c r="I31" s="18" t="str">
        <f>IF(ISNUMBER($L$6)=FALSE,"",
        IF(ISERROR(VLOOKUP($G31,SantoYusuf!$L$13:$AK$56,I$4,FALSE))=TRUE,"",
              VLOOKUP($G31,SantoYusuf!$L$13:$AK$56,I$4,FALSE)))</f>
        <v/>
      </c>
      <c r="J31" s="18" t="str">
        <f>IF(ISNUMBER($L$6)=FALSE,"",
        IF(ISERROR(VLOOKUP($G31,SantoYusuf!$L$13:$AK$56,J$4,FALSE))=TRUE,"",
              VLOOKUP($G31,SantoYusuf!$L$13:$AK$56,J$4,FALSE)))</f>
        <v/>
      </c>
      <c r="K31" s="18" t="str">
        <f>IF(ISNUMBER($L$6)=FALSE,"",
        IF(ISERROR(VLOOKUP($G31,SantoYusuf!$L$13:$AK$56,K$4,FALSE))=TRUE,"",
              VLOOKUP($G31,SantoYusuf!$L$13:$AK$56,K$4,FALSE)))</f>
        <v/>
      </c>
      <c r="L31" s="18" t="str">
        <f>IF(ISNUMBER($L$6)=FALSE,"",
        IF(ISERROR(VLOOKUP($G31,SantoYusuf!$L$13:$AK$56,L$4,FALSE))=TRUE,"",
              VLOOKUP($G31,SantoYusuf!$L$13:$AK$56,L$4,FALSE)))</f>
        <v/>
      </c>
      <c r="M31" s="18" t="str">
        <f>IF(ISNUMBER($L$6)=FALSE,"",
        IF(ISERROR(VLOOKUP($G31,SantoYusuf!$L$13:$AK$56,M$4,FALSE))=TRUE,"",
              VLOOKUP($G31,SantoYusuf!$L$13:$AK$56,M$4,FALSE)))</f>
        <v/>
      </c>
      <c r="N31" s="18" t="str">
        <f>IF(ISNUMBER($L$6)=FALSE,"",
        IF(ISERROR(VLOOKUP($G31,SantoYusuf!$L$13:$AK$56,N$4,FALSE))=TRUE,"",
              VLOOKUP($G31,SantoYusuf!$L$13:$AK$56,N$4,FALSE)))</f>
        <v/>
      </c>
      <c r="O31" s="18" t="str">
        <f>IF(ISNUMBER($L$6)=FALSE,"",
        IF(ISERROR(VLOOKUP($G31,SantoYusuf!$L$13:$AK$56,O$4,FALSE))=TRUE,"",
              VLOOKUP($G31,SantoYusuf!$L$13:$AK$56,O$4,FALSE)))</f>
        <v/>
      </c>
      <c r="P31" s="18" t="str">
        <f>IF(ISNUMBER($L$6)=FALSE,"",
        IF(ISERROR(VLOOKUP($G31,SantoYusuf!$L$13:$AK$56,P$4,FALSE))=TRUE,"",
              VLOOKUP($G31,SantoYusuf!$L$13:$AK$56,P$4,FALSE)))</f>
        <v/>
      </c>
      <c r="Q31" s="18" t="str">
        <f>IF(ISNUMBER($L$6)=FALSE,"",
        IF(ISERROR(VLOOKUP($G31,SantoYusuf!$L$13:$AK$56,Q$4,FALSE))=TRUE,"",
              VLOOKUP($G31,SantoYusuf!$L$13:$AK$56,Q$4,FALSE)))</f>
        <v/>
      </c>
      <c r="R31" s="18" t="str">
        <f>IF(ISNUMBER($L$6)=FALSE,"",
        IF(ISERROR(VLOOKUP($G31,SantoYusuf!$L$13:$AK$56,R$4,FALSE))=TRUE,"",
              VLOOKUP($G31,SantoYusuf!$L$13:$AK$56,R$4,FALSE)))</f>
        <v/>
      </c>
      <c r="S31" s="18" t="str">
        <f>IF(ISNUMBER($L$6)=FALSE,"",
        IF(ISERROR(VLOOKUP($G31,SantoYusuf!$L$13:$AK$56,S$4,FALSE))=TRUE,"",
              VLOOKUP($G31,SantoYusuf!$L$13:$AK$56,S$4,FALSE)))</f>
        <v/>
      </c>
      <c r="T31" s="18" t="str">
        <f>IF(ISNUMBER($L$6)=FALSE,"",
        IF(ISERROR(VLOOKUP($G31,SantoYusuf!$L$13:$AK$56,T$4,FALSE))=TRUE,"",
              VLOOKUP($G31,SantoYusuf!$L$13:$AK$56,T$4,FALSE)))</f>
        <v/>
      </c>
      <c r="U31" s="18" t="str">
        <f>IF(ISNUMBER($L$6)=FALSE,"",
        IF(ISERROR(VLOOKUP($G31,SantoYusuf!$L$13:$AK$56,U$4,FALSE))=TRUE,"",
              VLOOKUP($G31,SantoYusuf!$L$13:$AK$56,U$4,FALSE)))</f>
        <v/>
      </c>
      <c r="V31" s="18" t="str">
        <f>IF(ISNUMBER($L$6)=FALSE,"",
        IF(ISERROR(VLOOKUP($G31,SantoYusuf!$L$13:$AK$56,V$4,FALSE))=TRUE,"",
              VLOOKUP($G31,SantoYusuf!$L$13:$AK$56,V$4,FALSE)))</f>
        <v/>
      </c>
      <c r="W31" s="18" t="str">
        <f>IF(ISNUMBER($L$6)=FALSE,"",
        IF(ISERROR(VLOOKUP($G31,SantoYusuf!$L$13:$AK$56,W$4,FALSE))=TRUE,"",
              VLOOKUP($G31,SantoYusuf!$L$13:$AK$56,W$4,FALSE)))</f>
        <v/>
      </c>
      <c r="X31" s="18" t="str">
        <f>IF(ISNUMBER($L$6)=FALSE,"",
        IF(ISERROR(VLOOKUP($G31,SantoYusuf!$L$13:$AK$56,X$4,FALSE))=TRUE,"",
              VLOOKUP($G31,SantoYusuf!$L$13:$AK$56,X$4,FALSE)))</f>
        <v/>
      </c>
      <c r="Y31" s="18" t="str">
        <f>IF(ISNUMBER($L$6)=FALSE,"",
        IF(ISERROR(VLOOKUP($G31,SantoYusuf!$L$13:$AK$56,Y$4,FALSE))=TRUE,"",
              VLOOKUP($G31,SantoYusuf!$L$13:$AK$56,Y$4,FALSE)))</f>
        <v/>
      </c>
      <c r="Z31" s="18" t="str">
        <f>IF(ISNUMBER($L$6)=FALSE,"",
        IF(ISERROR(VLOOKUP($G31,SantoYusuf!$L$13:$AK$56,Z$4,FALSE))=TRUE,"",
              VLOOKUP($G31,SantoYusuf!$L$13:$AK$56,Z$4,FALSE)))</f>
        <v/>
      </c>
      <c r="AA31" s="18" t="str">
        <f>IF(ISNUMBER($L$6)=FALSE,"",
        IF(ISERROR(VLOOKUP($G31,SantoYusuf!$L$13:$AK$56,AA$4,FALSE))=TRUE,"",
              VLOOKUP($G31,SantoYusuf!$L$13:$AK$56,AA$4,FALSE)))</f>
        <v/>
      </c>
      <c r="AB31" s="18" t="str">
        <f>IF(ISNUMBER($L$6)=FALSE,"",
        IF(ISERROR(VLOOKUP($G31,SantoYusuf!$L$13:$AK$56,AB$4,FALSE))=TRUE,"",
              VLOOKUP($G31,SantoYusuf!$L$13:$AK$56,AB$4,FALSE)))</f>
        <v/>
      </c>
      <c r="AC31" s="18" t="str">
        <f>IF(ISNUMBER($L$6)=FALSE,"",
        IF(ISERROR(VLOOKUP($G31,SantoYusuf!$L$13:$AK$56,AC$4,FALSE))=TRUE,"",
              VLOOKUP($G31,SantoYusuf!$L$13:$AK$56,AC$4,FALSE)))</f>
        <v/>
      </c>
      <c r="AD31" s="18" t="str">
        <f>IF(ISNUMBER($L$6)=FALSE,"",
        IF(ISERROR(VLOOKUP($G31,SantoYusuf!$L$13:$AK$56,AD$4,FALSE))=TRUE,"",
              VLOOKUP($G31,SantoYusuf!$L$13:$AK$56,AD$4,FALSE)))</f>
        <v/>
      </c>
      <c r="AE31" s="18" t="str">
        <f>IF(ISNUMBER($L$6)=FALSE,"",
        IF(ISERROR(VLOOKUP($G31,SantoYusuf!$L$13:$AK$56,AE$4,FALSE))=TRUE,"",
              VLOOKUP($G31,SantoYusuf!$L$13:$AK$56,AE$4,FALSE)))</f>
        <v/>
      </c>
      <c r="AF31" s="18" t="str">
        <f>IF(ISNUMBER($L$6)=FALSE,"",
        IF(ISERROR(VLOOKUP($G31,SantoYusuf!$L$13:$AK$56,AF$4,FALSE))=TRUE,"",
              VLOOKUP($G31,SantoYusuf!$L$13:$AK$56,AF$4,FALSE)))</f>
        <v/>
      </c>
    </row>
    <row r="32" spans="1:32" s="60" customFormat="1" ht="10.5" x14ac:dyDescent="0.25">
      <c r="A32" s="59"/>
      <c r="C32" s="59">
        <f t="shared" si="3"/>
        <v>19</v>
      </c>
      <c r="D32" s="61"/>
      <c r="E32" s="77" t="str">
        <f t="shared" si="4"/>
        <v/>
      </c>
      <c r="F32" s="77" t="str">
        <f>IF(ISNUMBER($L$6)=FALSE,"",
IF($C32=0,"",VLOOKUP($E32,SantoYusuf!$H$13:$L$56,4,FALSE)))</f>
        <v/>
      </c>
      <c r="G32" s="77" t="str">
        <f>IF(ISNUMBER($L$6)=FALSE,"",
IF($C32=0,"",VLOOKUP($E32,SantoYusuf!$H$13:$L$56,5,FALSE)))</f>
        <v/>
      </c>
      <c r="H32" s="17" t="str">
        <f t="shared" si="5"/>
        <v/>
      </c>
      <c r="I32" s="18" t="str">
        <f>IF(ISNUMBER($L$6)=FALSE,"",
        IF(ISERROR(VLOOKUP($G32,SantoYusuf!$L$13:$AK$56,I$4,FALSE))=TRUE,"",
              VLOOKUP($G32,SantoYusuf!$L$13:$AK$56,I$4,FALSE)))</f>
        <v/>
      </c>
      <c r="J32" s="18" t="str">
        <f>IF(ISNUMBER($L$6)=FALSE,"",
        IF(ISERROR(VLOOKUP($G32,SantoYusuf!$L$13:$AK$56,J$4,FALSE))=TRUE,"",
              VLOOKUP($G32,SantoYusuf!$L$13:$AK$56,J$4,FALSE)))</f>
        <v/>
      </c>
      <c r="K32" s="18" t="str">
        <f>IF(ISNUMBER($L$6)=FALSE,"",
        IF(ISERROR(VLOOKUP($G32,SantoYusuf!$L$13:$AK$56,K$4,FALSE))=TRUE,"",
              VLOOKUP($G32,SantoYusuf!$L$13:$AK$56,K$4,FALSE)))</f>
        <v/>
      </c>
      <c r="L32" s="18" t="str">
        <f>IF(ISNUMBER($L$6)=FALSE,"",
        IF(ISERROR(VLOOKUP($G32,SantoYusuf!$L$13:$AK$56,L$4,FALSE))=TRUE,"",
              VLOOKUP($G32,SantoYusuf!$L$13:$AK$56,L$4,FALSE)))</f>
        <v/>
      </c>
      <c r="M32" s="18" t="str">
        <f>IF(ISNUMBER($L$6)=FALSE,"",
        IF(ISERROR(VLOOKUP($G32,SantoYusuf!$L$13:$AK$56,M$4,FALSE))=TRUE,"",
              VLOOKUP($G32,SantoYusuf!$L$13:$AK$56,M$4,FALSE)))</f>
        <v/>
      </c>
      <c r="N32" s="18" t="str">
        <f>IF(ISNUMBER($L$6)=FALSE,"",
        IF(ISERROR(VLOOKUP($G32,SantoYusuf!$L$13:$AK$56,N$4,FALSE))=TRUE,"",
              VLOOKUP($G32,SantoYusuf!$L$13:$AK$56,N$4,FALSE)))</f>
        <v/>
      </c>
      <c r="O32" s="18" t="str">
        <f>IF(ISNUMBER($L$6)=FALSE,"",
        IF(ISERROR(VLOOKUP($G32,SantoYusuf!$L$13:$AK$56,O$4,FALSE))=TRUE,"",
              VLOOKUP($G32,SantoYusuf!$L$13:$AK$56,O$4,FALSE)))</f>
        <v/>
      </c>
      <c r="P32" s="18" t="str">
        <f>IF(ISNUMBER($L$6)=FALSE,"",
        IF(ISERROR(VLOOKUP($G32,SantoYusuf!$L$13:$AK$56,P$4,FALSE))=TRUE,"",
              VLOOKUP($G32,SantoYusuf!$L$13:$AK$56,P$4,FALSE)))</f>
        <v/>
      </c>
      <c r="Q32" s="18" t="str">
        <f>IF(ISNUMBER($L$6)=FALSE,"",
        IF(ISERROR(VLOOKUP($G32,SantoYusuf!$L$13:$AK$56,Q$4,FALSE))=TRUE,"",
              VLOOKUP($G32,SantoYusuf!$L$13:$AK$56,Q$4,FALSE)))</f>
        <v/>
      </c>
      <c r="R32" s="18" t="str">
        <f>IF(ISNUMBER($L$6)=FALSE,"",
        IF(ISERROR(VLOOKUP($G32,SantoYusuf!$L$13:$AK$56,R$4,FALSE))=TRUE,"",
              VLOOKUP($G32,SantoYusuf!$L$13:$AK$56,R$4,FALSE)))</f>
        <v/>
      </c>
      <c r="S32" s="18" t="str">
        <f>IF(ISNUMBER($L$6)=FALSE,"",
        IF(ISERROR(VLOOKUP($G32,SantoYusuf!$L$13:$AK$56,S$4,FALSE))=TRUE,"",
              VLOOKUP($G32,SantoYusuf!$L$13:$AK$56,S$4,FALSE)))</f>
        <v/>
      </c>
      <c r="T32" s="18" t="str">
        <f>IF(ISNUMBER($L$6)=FALSE,"",
        IF(ISERROR(VLOOKUP($G32,SantoYusuf!$L$13:$AK$56,T$4,FALSE))=TRUE,"",
              VLOOKUP($G32,SantoYusuf!$L$13:$AK$56,T$4,FALSE)))</f>
        <v/>
      </c>
      <c r="U32" s="18" t="str">
        <f>IF(ISNUMBER($L$6)=FALSE,"",
        IF(ISERROR(VLOOKUP($G32,SantoYusuf!$L$13:$AK$56,U$4,FALSE))=TRUE,"",
              VLOOKUP($G32,SantoYusuf!$L$13:$AK$56,U$4,FALSE)))</f>
        <v/>
      </c>
      <c r="V32" s="18" t="str">
        <f>IF(ISNUMBER($L$6)=FALSE,"",
        IF(ISERROR(VLOOKUP($G32,SantoYusuf!$L$13:$AK$56,V$4,FALSE))=TRUE,"",
              VLOOKUP($G32,SantoYusuf!$L$13:$AK$56,V$4,FALSE)))</f>
        <v/>
      </c>
      <c r="W32" s="18" t="str">
        <f>IF(ISNUMBER($L$6)=FALSE,"",
        IF(ISERROR(VLOOKUP($G32,SantoYusuf!$L$13:$AK$56,W$4,FALSE))=TRUE,"",
              VLOOKUP($G32,SantoYusuf!$L$13:$AK$56,W$4,FALSE)))</f>
        <v/>
      </c>
      <c r="X32" s="18" t="str">
        <f>IF(ISNUMBER($L$6)=FALSE,"",
        IF(ISERROR(VLOOKUP($G32,SantoYusuf!$L$13:$AK$56,X$4,FALSE))=TRUE,"",
              VLOOKUP($G32,SantoYusuf!$L$13:$AK$56,X$4,FALSE)))</f>
        <v/>
      </c>
      <c r="Y32" s="18" t="str">
        <f>IF(ISNUMBER($L$6)=FALSE,"",
        IF(ISERROR(VLOOKUP($G32,SantoYusuf!$L$13:$AK$56,Y$4,FALSE))=TRUE,"",
              VLOOKUP($G32,SantoYusuf!$L$13:$AK$56,Y$4,FALSE)))</f>
        <v/>
      </c>
      <c r="Z32" s="18" t="str">
        <f>IF(ISNUMBER($L$6)=FALSE,"",
        IF(ISERROR(VLOOKUP($G32,SantoYusuf!$L$13:$AK$56,Z$4,FALSE))=TRUE,"",
              VLOOKUP($G32,SantoYusuf!$L$13:$AK$56,Z$4,FALSE)))</f>
        <v/>
      </c>
      <c r="AA32" s="18" t="str">
        <f>IF(ISNUMBER($L$6)=FALSE,"",
        IF(ISERROR(VLOOKUP($G32,SantoYusuf!$L$13:$AK$56,AA$4,FALSE))=TRUE,"",
              VLOOKUP($G32,SantoYusuf!$L$13:$AK$56,AA$4,FALSE)))</f>
        <v/>
      </c>
      <c r="AB32" s="18" t="str">
        <f>IF(ISNUMBER($L$6)=FALSE,"",
        IF(ISERROR(VLOOKUP($G32,SantoYusuf!$L$13:$AK$56,AB$4,FALSE))=TRUE,"",
              VLOOKUP($G32,SantoYusuf!$L$13:$AK$56,AB$4,FALSE)))</f>
        <v/>
      </c>
      <c r="AC32" s="18" t="str">
        <f>IF(ISNUMBER($L$6)=FALSE,"",
        IF(ISERROR(VLOOKUP($G32,SantoYusuf!$L$13:$AK$56,AC$4,FALSE))=TRUE,"",
              VLOOKUP($G32,SantoYusuf!$L$13:$AK$56,AC$4,FALSE)))</f>
        <v/>
      </c>
      <c r="AD32" s="18" t="str">
        <f>IF(ISNUMBER($L$6)=FALSE,"",
        IF(ISERROR(VLOOKUP($G32,SantoYusuf!$L$13:$AK$56,AD$4,FALSE))=TRUE,"",
              VLOOKUP($G32,SantoYusuf!$L$13:$AK$56,AD$4,FALSE)))</f>
        <v/>
      </c>
      <c r="AE32" s="18" t="str">
        <f>IF(ISNUMBER($L$6)=FALSE,"",
        IF(ISERROR(VLOOKUP($G32,SantoYusuf!$L$13:$AK$56,AE$4,FALSE))=TRUE,"",
              VLOOKUP($G32,SantoYusuf!$L$13:$AK$56,AE$4,FALSE)))</f>
        <v/>
      </c>
      <c r="AF32" s="18" t="str">
        <f>IF(ISNUMBER($L$6)=FALSE,"",
        IF(ISERROR(VLOOKUP($G32,SantoYusuf!$L$13:$AK$56,AF$4,FALSE))=TRUE,"",
              VLOOKUP($G32,SantoYusuf!$L$13:$AK$56,AF$4,FALSE)))</f>
        <v/>
      </c>
    </row>
    <row r="33" spans="1:32" s="60" customFormat="1" ht="10.5" x14ac:dyDescent="0.25">
      <c r="A33" s="59"/>
      <c r="C33" s="59">
        <f t="shared" si="3"/>
        <v>20</v>
      </c>
      <c r="D33" s="61"/>
      <c r="E33" s="77" t="str">
        <f t="shared" si="4"/>
        <v/>
      </c>
      <c r="F33" s="77" t="str">
        <f>IF(ISNUMBER($L$6)=FALSE,"",
IF($C33=0,"",VLOOKUP($E33,SantoYusuf!$H$13:$L$56,4,FALSE)))</f>
        <v/>
      </c>
      <c r="G33" s="77" t="str">
        <f>IF(ISNUMBER($L$6)=FALSE,"",
IF($C33=0,"",VLOOKUP($E33,SantoYusuf!$H$13:$L$56,5,FALSE)))</f>
        <v/>
      </c>
      <c r="H33" s="17" t="str">
        <f t="shared" si="5"/>
        <v/>
      </c>
      <c r="I33" s="18" t="str">
        <f>IF(ISNUMBER($L$6)=FALSE,"",
        IF(ISERROR(VLOOKUP($G33,SantoYusuf!$L$13:$AK$56,I$4,FALSE))=TRUE,"",
              VLOOKUP($G33,SantoYusuf!$L$13:$AK$56,I$4,FALSE)))</f>
        <v/>
      </c>
      <c r="J33" s="18" t="str">
        <f>IF(ISNUMBER($L$6)=FALSE,"",
        IF(ISERROR(VLOOKUP($G33,SantoYusuf!$L$13:$AK$56,J$4,FALSE))=TRUE,"",
              VLOOKUP($G33,SantoYusuf!$L$13:$AK$56,J$4,FALSE)))</f>
        <v/>
      </c>
      <c r="K33" s="18" t="str">
        <f>IF(ISNUMBER($L$6)=FALSE,"",
        IF(ISERROR(VLOOKUP($G33,SantoYusuf!$L$13:$AK$56,K$4,FALSE))=TRUE,"",
              VLOOKUP($G33,SantoYusuf!$L$13:$AK$56,K$4,FALSE)))</f>
        <v/>
      </c>
      <c r="L33" s="18" t="str">
        <f>IF(ISNUMBER($L$6)=FALSE,"",
        IF(ISERROR(VLOOKUP($G33,SantoYusuf!$L$13:$AK$56,L$4,FALSE))=TRUE,"",
              VLOOKUP($G33,SantoYusuf!$L$13:$AK$56,L$4,FALSE)))</f>
        <v/>
      </c>
      <c r="M33" s="18" t="str">
        <f>IF(ISNUMBER($L$6)=FALSE,"",
        IF(ISERROR(VLOOKUP($G33,SantoYusuf!$L$13:$AK$56,M$4,FALSE))=TRUE,"",
              VLOOKUP($G33,SantoYusuf!$L$13:$AK$56,M$4,FALSE)))</f>
        <v/>
      </c>
      <c r="N33" s="18" t="str">
        <f>IF(ISNUMBER($L$6)=FALSE,"",
        IF(ISERROR(VLOOKUP($G33,SantoYusuf!$L$13:$AK$56,N$4,FALSE))=TRUE,"",
              VLOOKUP($G33,SantoYusuf!$L$13:$AK$56,N$4,FALSE)))</f>
        <v/>
      </c>
      <c r="O33" s="18" t="str">
        <f>IF(ISNUMBER($L$6)=FALSE,"",
        IF(ISERROR(VLOOKUP($G33,SantoYusuf!$L$13:$AK$56,O$4,FALSE))=TRUE,"",
              VLOOKUP($G33,SantoYusuf!$L$13:$AK$56,O$4,FALSE)))</f>
        <v/>
      </c>
      <c r="P33" s="18" t="str">
        <f>IF(ISNUMBER($L$6)=FALSE,"",
        IF(ISERROR(VLOOKUP($G33,SantoYusuf!$L$13:$AK$56,P$4,FALSE))=TRUE,"",
              VLOOKUP($G33,SantoYusuf!$L$13:$AK$56,P$4,FALSE)))</f>
        <v/>
      </c>
      <c r="Q33" s="18" t="str">
        <f>IF(ISNUMBER($L$6)=FALSE,"",
        IF(ISERROR(VLOOKUP($G33,SantoYusuf!$L$13:$AK$56,Q$4,FALSE))=TRUE,"",
              VLOOKUP($G33,SantoYusuf!$L$13:$AK$56,Q$4,FALSE)))</f>
        <v/>
      </c>
      <c r="R33" s="18" t="str">
        <f>IF(ISNUMBER($L$6)=FALSE,"",
        IF(ISERROR(VLOOKUP($G33,SantoYusuf!$L$13:$AK$56,R$4,FALSE))=TRUE,"",
              VLOOKUP($G33,SantoYusuf!$L$13:$AK$56,R$4,FALSE)))</f>
        <v/>
      </c>
      <c r="S33" s="18" t="str">
        <f>IF(ISNUMBER($L$6)=FALSE,"",
        IF(ISERROR(VLOOKUP($G33,SantoYusuf!$L$13:$AK$56,S$4,FALSE))=TRUE,"",
              VLOOKUP($G33,SantoYusuf!$L$13:$AK$56,S$4,FALSE)))</f>
        <v/>
      </c>
      <c r="T33" s="18" t="str">
        <f>IF(ISNUMBER($L$6)=FALSE,"",
        IF(ISERROR(VLOOKUP($G33,SantoYusuf!$L$13:$AK$56,T$4,FALSE))=TRUE,"",
              VLOOKUP($G33,SantoYusuf!$L$13:$AK$56,T$4,FALSE)))</f>
        <v/>
      </c>
      <c r="U33" s="18" t="str">
        <f>IF(ISNUMBER($L$6)=FALSE,"",
        IF(ISERROR(VLOOKUP($G33,SantoYusuf!$L$13:$AK$56,U$4,FALSE))=TRUE,"",
              VLOOKUP($G33,SantoYusuf!$L$13:$AK$56,U$4,FALSE)))</f>
        <v/>
      </c>
      <c r="V33" s="18" t="str">
        <f>IF(ISNUMBER($L$6)=FALSE,"",
        IF(ISERROR(VLOOKUP($G33,SantoYusuf!$L$13:$AK$56,V$4,FALSE))=TRUE,"",
              VLOOKUP($G33,SantoYusuf!$L$13:$AK$56,V$4,FALSE)))</f>
        <v/>
      </c>
      <c r="W33" s="18" t="str">
        <f>IF(ISNUMBER($L$6)=FALSE,"",
        IF(ISERROR(VLOOKUP($G33,SantoYusuf!$L$13:$AK$56,W$4,FALSE))=TRUE,"",
              VLOOKUP($G33,SantoYusuf!$L$13:$AK$56,W$4,FALSE)))</f>
        <v/>
      </c>
      <c r="X33" s="18" t="str">
        <f>IF(ISNUMBER($L$6)=FALSE,"",
        IF(ISERROR(VLOOKUP($G33,SantoYusuf!$L$13:$AK$56,X$4,FALSE))=TRUE,"",
              VLOOKUP($G33,SantoYusuf!$L$13:$AK$56,X$4,FALSE)))</f>
        <v/>
      </c>
      <c r="Y33" s="18" t="str">
        <f>IF(ISNUMBER($L$6)=FALSE,"",
        IF(ISERROR(VLOOKUP($G33,SantoYusuf!$L$13:$AK$56,Y$4,FALSE))=TRUE,"",
              VLOOKUP($G33,SantoYusuf!$L$13:$AK$56,Y$4,FALSE)))</f>
        <v/>
      </c>
      <c r="Z33" s="18" t="str">
        <f>IF(ISNUMBER($L$6)=FALSE,"",
        IF(ISERROR(VLOOKUP($G33,SantoYusuf!$L$13:$AK$56,Z$4,FALSE))=TRUE,"",
              VLOOKUP($G33,SantoYusuf!$L$13:$AK$56,Z$4,FALSE)))</f>
        <v/>
      </c>
      <c r="AA33" s="18" t="str">
        <f>IF(ISNUMBER($L$6)=FALSE,"",
        IF(ISERROR(VLOOKUP($G33,SantoYusuf!$L$13:$AK$56,AA$4,FALSE))=TRUE,"",
              VLOOKUP($G33,SantoYusuf!$L$13:$AK$56,AA$4,FALSE)))</f>
        <v/>
      </c>
      <c r="AB33" s="18" t="str">
        <f>IF(ISNUMBER($L$6)=FALSE,"",
        IF(ISERROR(VLOOKUP($G33,SantoYusuf!$L$13:$AK$56,AB$4,FALSE))=TRUE,"",
              VLOOKUP($G33,SantoYusuf!$L$13:$AK$56,AB$4,FALSE)))</f>
        <v/>
      </c>
      <c r="AC33" s="18" t="str">
        <f>IF(ISNUMBER($L$6)=FALSE,"",
        IF(ISERROR(VLOOKUP($G33,SantoYusuf!$L$13:$AK$56,AC$4,FALSE))=TRUE,"",
              VLOOKUP($G33,SantoYusuf!$L$13:$AK$56,AC$4,FALSE)))</f>
        <v/>
      </c>
      <c r="AD33" s="18" t="str">
        <f>IF(ISNUMBER($L$6)=FALSE,"",
        IF(ISERROR(VLOOKUP($G33,SantoYusuf!$L$13:$AK$56,AD$4,FALSE))=TRUE,"",
              VLOOKUP($G33,SantoYusuf!$L$13:$AK$56,AD$4,FALSE)))</f>
        <v/>
      </c>
      <c r="AE33" s="18" t="str">
        <f>IF(ISNUMBER($L$6)=FALSE,"",
        IF(ISERROR(VLOOKUP($G33,SantoYusuf!$L$13:$AK$56,AE$4,FALSE))=TRUE,"",
              VLOOKUP($G33,SantoYusuf!$L$13:$AK$56,AE$4,FALSE)))</f>
        <v/>
      </c>
      <c r="AF33" s="18" t="str">
        <f>IF(ISNUMBER($L$6)=FALSE,"",
        IF(ISERROR(VLOOKUP($G33,SantoYusuf!$L$13:$AK$56,AF$4,FALSE))=TRUE,"",
              VLOOKUP($G33,SantoYusuf!$L$13:$AK$56,AF$4,FALSE)))</f>
        <v/>
      </c>
    </row>
    <row r="34" spans="1:32" s="60" customFormat="1" ht="10.5" x14ac:dyDescent="0.25">
      <c r="A34" s="59"/>
      <c r="C34" s="59">
        <f t="shared" si="3"/>
        <v>21</v>
      </c>
      <c r="D34" s="61"/>
      <c r="E34" s="77" t="str">
        <f t="shared" si="4"/>
        <v/>
      </c>
      <c r="F34" s="77" t="str">
        <f>IF(ISNUMBER($L$6)=FALSE,"",
IF($C34=0,"",VLOOKUP($E34,SantoYusuf!$H$13:$L$56,4,FALSE)))</f>
        <v/>
      </c>
      <c r="G34" s="77" t="str">
        <f>IF(ISNUMBER($L$6)=FALSE,"",
IF($C34=0,"",VLOOKUP($E34,SantoYusuf!$H$13:$L$56,5,FALSE)))</f>
        <v/>
      </c>
      <c r="H34" s="17" t="str">
        <f t="shared" si="5"/>
        <v/>
      </c>
      <c r="I34" s="18" t="str">
        <f>IF(ISNUMBER($L$6)=FALSE,"",
        IF(ISERROR(VLOOKUP($G34,SantoYusuf!$L$13:$AK$56,I$4,FALSE))=TRUE,"",
              VLOOKUP($G34,SantoYusuf!$L$13:$AK$56,I$4,FALSE)))</f>
        <v/>
      </c>
      <c r="J34" s="18" t="str">
        <f>IF(ISNUMBER($L$6)=FALSE,"",
        IF(ISERROR(VLOOKUP($G34,SantoYusuf!$L$13:$AK$56,J$4,FALSE))=TRUE,"",
              VLOOKUP($G34,SantoYusuf!$L$13:$AK$56,J$4,FALSE)))</f>
        <v/>
      </c>
      <c r="K34" s="18" t="str">
        <f>IF(ISNUMBER($L$6)=FALSE,"",
        IF(ISERROR(VLOOKUP($G34,SantoYusuf!$L$13:$AK$56,K$4,FALSE))=TRUE,"",
              VLOOKUP($G34,SantoYusuf!$L$13:$AK$56,K$4,FALSE)))</f>
        <v/>
      </c>
      <c r="L34" s="18" t="str">
        <f>IF(ISNUMBER($L$6)=FALSE,"",
        IF(ISERROR(VLOOKUP($G34,SantoYusuf!$L$13:$AK$56,L$4,FALSE))=TRUE,"",
              VLOOKUP($G34,SantoYusuf!$L$13:$AK$56,L$4,FALSE)))</f>
        <v/>
      </c>
      <c r="M34" s="18" t="str">
        <f>IF(ISNUMBER($L$6)=FALSE,"",
        IF(ISERROR(VLOOKUP($G34,SantoYusuf!$L$13:$AK$56,M$4,FALSE))=TRUE,"",
              VLOOKUP($G34,SantoYusuf!$L$13:$AK$56,M$4,FALSE)))</f>
        <v/>
      </c>
      <c r="N34" s="18" t="str">
        <f>IF(ISNUMBER($L$6)=FALSE,"",
        IF(ISERROR(VLOOKUP($G34,SantoYusuf!$L$13:$AK$56,N$4,FALSE))=TRUE,"",
              VLOOKUP($G34,SantoYusuf!$L$13:$AK$56,N$4,FALSE)))</f>
        <v/>
      </c>
      <c r="O34" s="18" t="str">
        <f>IF(ISNUMBER($L$6)=FALSE,"",
        IF(ISERROR(VLOOKUP($G34,SantoYusuf!$L$13:$AK$56,O$4,FALSE))=TRUE,"",
              VLOOKUP($G34,SantoYusuf!$L$13:$AK$56,O$4,FALSE)))</f>
        <v/>
      </c>
      <c r="P34" s="18" t="str">
        <f>IF(ISNUMBER($L$6)=FALSE,"",
        IF(ISERROR(VLOOKUP($G34,SantoYusuf!$L$13:$AK$56,P$4,FALSE))=TRUE,"",
              VLOOKUP($G34,SantoYusuf!$L$13:$AK$56,P$4,FALSE)))</f>
        <v/>
      </c>
      <c r="Q34" s="18" t="str">
        <f>IF(ISNUMBER($L$6)=FALSE,"",
        IF(ISERROR(VLOOKUP($G34,SantoYusuf!$L$13:$AK$56,Q$4,FALSE))=TRUE,"",
              VLOOKUP($G34,SantoYusuf!$L$13:$AK$56,Q$4,FALSE)))</f>
        <v/>
      </c>
      <c r="R34" s="18" t="str">
        <f>IF(ISNUMBER($L$6)=FALSE,"",
        IF(ISERROR(VLOOKUP($G34,SantoYusuf!$L$13:$AK$56,R$4,FALSE))=TRUE,"",
              VLOOKUP($G34,SantoYusuf!$L$13:$AK$56,R$4,FALSE)))</f>
        <v/>
      </c>
      <c r="S34" s="18" t="str">
        <f>IF(ISNUMBER($L$6)=FALSE,"",
        IF(ISERROR(VLOOKUP($G34,SantoYusuf!$L$13:$AK$56,S$4,FALSE))=TRUE,"",
              VLOOKUP($G34,SantoYusuf!$L$13:$AK$56,S$4,FALSE)))</f>
        <v/>
      </c>
      <c r="T34" s="18" t="str">
        <f>IF(ISNUMBER($L$6)=FALSE,"",
        IF(ISERROR(VLOOKUP($G34,SantoYusuf!$L$13:$AK$56,T$4,FALSE))=TRUE,"",
              VLOOKUP($G34,SantoYusuf!$L$13:$AK$56,T$4,FALSE)))</f>
        <v/>
      </c>
      <c r="U34" s="18" t="str">
        <f>IF(ISNUMBER($L$6)=FALSE,"",
        IF(ISERROR(VLOOKUP($G34,SantoYusuf!$L$13:$AK$56,U$4,FALSE))=TRUE,"",
              VLOOKUP($G34,SantoYusuf!$L$13:$AK$56,U$4,FALSE)))</f>
        <v/>
      </c>
      <c r="V34" s="18" t="str">
        <f>IF(ISNUMBER($L$6)=FALSE,"",
        IF(ISERROR(VLOOKUP($G34,SantoYusuf!$L$13:$AK$56,V$4,FALSE))=TRUE,"",
              VLOOKUP($G34,SantoYusuf!$L$13:$AK$56,V$4,FALSE)))</f>
        <v/>
      </c>
      <c r="W34" s="18" t="str">
        <f>IF(ISNUMBER($L$6)=FALSE,"",
        IF(ISERROR(VLOOKUP($G34,SantoYusuf!$L$13:$AK$56,W$4,FALSE))=TRUE,"",
              VLOOKUP($G34,SantoYusuf!$L$13:$AK$56,W$4,FALSE)))</f>
        <v/>
      </c>
      <c r="X34" s="18" t="str">
        <f>IF(ISNUMBER($L$6)=FALSE,"",
        IF(ISERROR(VLOOKUP($G34,SantoYusuf!$L$13:$AK$56,X$4,FALSE))=TRUE,"",
              VLOOKUP($G34,SantoYusuf!$L$13:$AK$56,X$4,FALSE)))</f>
        <v/>
      </c>
      <c r="Y34" s="18" t="str">
        <f>IF(ISNUMBER($L$6)=FALSE,"",
        IF(ISERROR(VLOOKUP($G34,SantoYusuf!$L$13:$AK$56,Y$4,FALSE))=TRUE,"",
              VLOOKUP($G34,SantoYusuf!$L$13:$AK$56,Y$4,FALSE)))</f>
        <v/>
      </c>
      <c r="Z34" s="18" t="str">
        <f>IF(ISNUMBER($L$6)=FALSE,"",
        IF(ISERROR(VLOOKUP($G34,SantoYusuf!$L$13:$AK$56,Z$4,FALSE))=TRUE,"",
              VLOOKUP($G34,SantoYusuf!$L$13:$AK$56,Z$4,FALSE)))</f>
        <v/>
      </c>
      <c r="AA34" s="18" t="str">
        <f>IF(ISNUMBER($L$6)=FALSE,"",
        IF(ISERROR(VLOOKUP($G34,SantoYusuf!$L$13:$AK$56,AA$4,FALSE))=TRUE,"",
              VLOOKUP($G34,SantoYusuf!$L$13:$AK$56,AA$4,FALSE)))</f>
        <v/>
      </c>
      <c r="AB34" s="18" t="str">
        <f>IF(ISNUMBER($L$6)=FALSE,"",
        IF(ISERROR(VLOOKUP($G34,SantoYusuf!$L$13:$AK$56,AB$4,FALSE))=TRUE,"",
              VLOOKUP($G34,SantoYusuf!$L$13:$AK$56,AB$4,FALSE)))</f>
        <v/>
      </c>
      <c r="AC34" s="18" t="str">
        <f>IF(ISNUMBER($L$6)=FALSE,"",
        IF(ISERROR(VLOOKUP($G34,SantoYusuf!$L$13:$AK$56,AC$4,FALSE))=TRUE,"",
              VLOOKUP($G34,SantoYusuf!$L$13:$AK$56,AC$4,FALSE)))</f>
        <v/>
      </c>
      <c r="AD34" s="18" t="str">
        <f>IF(ISNUMBER($L$6)=FALSE,"",
        IF(ISERROR(VLOOKUP($G34,SantoYusuf!$L$13:$AK$56,AD$4,FALSE))=TRUE,"",
              VLOOKUP($G34,SantoYusuf!$L$13:$AK$56,AD$4,FALSE)))</f>
        <v/>
      </c>
      <c r="AE34" s="18" t="str">
        <f>IF(ISNUMBER($L$6)=FALSE,"",
        IF(ISERROR(VLOOKUP($G34,SantoYusuf!$L$13:$AK$56,AE$4,FALSE))=TRUE,"",
              VLOOKUP($G34,SantoYusuf!$L$13:$AK$56,AE$4,FALSE)))</f>
        <v/>
      </c>
      <c r="AF34" s="18" t="str">
        <f>IF(ISNUMBER($L$6)=FALSE,"",
        IF(ISERROR(VLOOKUP($G34,SantoYusuf!$L$13:$AK$56,AF$4,FALSE))=TRUE,"",
              VLOOKUP($G34,SantoYusuf!$L$13:$AK$56,AF$4,FALSE)))</f>
        <v/>
      </c>
    </row>
    <row r="35" spans="1:32" s="60" customFormat="1" ht="10.5" x14ac:dyDescent="0.25">
      <c r="A35" s="59"/>
      <c r="C35" s="59">
        <f t="shared" si="3"/>
        <v>22</v>
      </c>
      <c r="D35" s="61"/>
      <c r="E35" s="77" t="str">
        <f t="shared" si="4"/>
        <v/>
      </c>
      <c r="F35" s="77" t="str">
        <f>IF(ISNUMBER($L$6)=FALSE,"",
IF($C35=0,"",VLOOKUP($E35,SantoYusuf!$H$13:$L$56,4,FALSE)))</f>
        <v/>
      </c>
      <c r="G35" s="77" t="str">
        <f>IF(ISNUMBER($L$6)=FALSE,"",
IF($C35=0,"",VLOOKUP($E35,SantoYusuf!$H$13:$L$56,5,FALSE)))</f>
        <v/>
      </c>
      <c r="H35" s="17" t="str">
        <f t="shared" si="5"/>
        <v/>
      </c>
      <c r="I35" s="18" t="str">
        <f>IF(ISNUMBER($L$6)=FALSE,"",
        IF(ISERROR(VLOOKUP($G35,SantoYusuf!$L$13:$AK$56,I$4,FALSE))=TRUE,"",
              VLOOKUP($G35,SantoYusuf!$L$13:$AK$56,I$4,FALSE)))</f>
        <v/>
      </c>
      <c r="J35" s="18" t="str">
        <f>IF(ISNUMBER($L$6)=FALSE,"",
        IF(ISERROR(VLOOKUP($G35,SantoYusuf!$L$13:$AK$56,J$4,FALSE))=TRUE,"",
              VLOOKUP($G35,SantoYusuf!$L$13:$AK$56,J$4,FALSE)))</f>
        <v/>
      </c>
      <c r="K35" s="18" t="str">
        <f>IF(ISNUMBER($L$6)=FALSE,"",
        IF(ISERROR(VLOOKUP($G35,SantoYusuf!$L$13:$AK$56,K$4,FALSE))=TRUE,"",
              VLOOKUP($G35,SantoYusuf!$L$13:$AK$56,K$4,FALSE)))</f>
        <v/>
      </c>
      <c r="L35" s="18" t="str">
        <f>IF(ISNUMBER($L$6)=FALSE,"",
        IF(ISERROR(VLOOKUP($G35,SantoYusuf!$L$13:$AK$56,L$4,FALSE))=TRUE,"",
              VLOOKUP($G35,SantoYusuf!$L$13:$AK$56,L$4,FALSE)))</f>
        <v/>
      </c>
      <c r="M35" s="18" t="str">
        <f>IF(ISNUMBER($L$6)=FALSE,"",
        IF(ISERROR(VLOOKUP($G35,SantoYusuf!$L$13:$AK$56,M$4,FALSE))=TRUE,"",
              VLOOKUP($G35,SantoYusuf!$L$13:$AK$56,M$4,FALSE)))</f>
        <v/>
      </c>
      <c r="N35" s="18" t="str">
        <f>IF(ISNUMBER($L$6)=FALSE,"",
        IF(ISERROR(VLOOKUP($G35,SantoYusuf!$L$13:$AK$56,N$4,FALSE))=TRUE,"",
              VLOOKUP($G35,SantoYusuf!$L$13:$AK$56,N$4,FALSE)))</f>
        <v/>
      </c>
      <c r="O35" s="18" t="str">
        <f>IF(ISNUMBER($L$6)=FALSE,"",
        IF(ISERROR(VLOOKUP($G35,SantoYusuf!$L$13:$AK$56,O$4,FALSE))=TRUE,"",
              VLOOKUP($G35,SantoYusuf!$L$13:$AK$56,O$4,FALSE)))</f>
        <v/>
      </c>
      <c r="P35" s="18" t="str">
        <f>IF(ISNUMBER($L$6)=FALSE,"",
        IF(ISERROR(VLOOKUP($G35,SantoYusuf!$L$13:$AK$56,P$4,FALSE))=TRUE,"",
              VLOOKUP($G35,SantoYusuf!$L$13:$AK$56,P$4,FALSE)))</f>
        <v/>
      </c>
      <c r="Q35" s="18" t="str">
        <f>IF(ISNUMBER($L$6)=FALSE,"",
        IF(ISERROR(VLOOKUP($G35,SantoYusuf!$L$13:$AK$56,Q$4,FALSE))=TRUE,"",
              VLOOKUP($G35,SantoYusuf!$L$13:$AK$56,Q$4,FALSE)))</f>
        <v/>
      </c>
      <c r="R35" s="18" t="str">
        <f>IF(ISNUMBER($L$6)=FALSE,"",
        IF(ISERROR(VLOOKUP($G35,SantoYusuf!$L$13:$AK$56,R$4,FALSE))=TRUE,"",
              VLOOKUP($G35,SantoYusuf!$L$13:$AK$56,R$4,FALSE)))</f>
        <v/>
      </c>
      <c r="S35" s="18" t="str">
        <f>IF(ISNUMBER($L$6)=FALSE,"",
        IF(ISERROR(VLOOKUP($G35,SantoYusuf!$L$13:$AK$56,S$4,FALSE))=TRUE,"",
              VLOOKUP($G35,SantoYusuf!$L$13:$AK$56,S$4,FALSE)))</f>
        <v/>
      </c>
      <c r="T35" s="18" t="str">
        <f>IF(ISNUMBER($L$6)=FALSE,"",
        IF(ISERROR(VLOOKUP($G35,SantoYusuf!$L$13:$AK$56,T$4,FALSE))=TRUE,"",
              VLOOKUP($G35,SantoYusuf!$L$13:$AK$56,T$4,FALSE)))</f>
        <v/>
      </c>
      <c r="U35" s="18" t="str">
        <f>IF(ISNUMBER($L$6)=FALSE,"",
        IF(ISERROR(VLOOKUP($G35,SantoYusuf!$L$13:$AK$56,U$4,FALSE))=TRUE,"",
              VLOOKUP($G35,SantoYusuf!$L$13:$AK$56,U$4,FALSE)))</f>
        <v/>
      </c>
      <c r="V35" s="18" t="str">
        <f>IF(ISNUMBER($L$6)=FALSE,"",
        IF(ISERROR(VLOOKUP($G35,SantoYusuf!$L$13:$AK$56,V$4,FALSE))=TRUE,"",
              VLOOKUP($G35,SantoYusuf!$L$13:$AK$56,V$4,FALSE)))</f>
        <v/>
      </c>
      <c r="W35" s="18" t="str">
        <f>IF(ISNUMBER($L$6)=FALSE,"",
        IF(ISERROR(VLOOKUP($G35,SantoYusuf!$L$13:$AK$56,W$4,FALSE))=TRUE,"",
              VLOOKUP($G35,SantoYusuf!$L$13:$AK$56,W$4,FALSE)))</f>
        <v/>
      </c>
      <c r="X35" s="18" t="str">
        <f>IF(ISNUMBER($L$6)=FALSE,"",
        IF(ISERROR(VLOOKUP($G35,SantoYusuf!$L$13:$AK$56,X$4,FALSE))=TRUE,"",
              VLOOKUP($G35,SantoYusuf!$L$13:$AK$56,X$4,FALSE)))</f>
        <v/>
      </c>
      <c r="Y35" s="18" t="str">
        <f>IF(ISNUMBER($L$6)=FALSE,"",
        IF(ISERROR(VLOOKUP($G35,SantoYusuf!$L$13:$AK$56,Y$4,FALSE))=TRUE,"",
              VLOOKUP($G35,SantoYusuf!$L$13:$AK$56,Y$4,FALSE)))</f>
        <v/>
      </c>
      <c r="Z35" s="18" t="str">
        <f>IF(ISNUMBER($L$6)=FALSE,"",
        IF(ISERROR(VLOOKUP($G35,SantoYusuf!$L$13:$AK$56,Z$4,FALSE))=TRUE,"",
              VLOOKUP($G35,SantoYusuf!$L$13:$AK$56,Z$4,FALSE)))</f>
        <v/>
      </c>
      <c r="AA35" s="18" t="str">
        <f>IF(ISNUMBER($L$6)=FALSE,"",
        IF(ISERROR(VLOOKUP($G35,SantoYusuf!$L$13:$AK$56,AA$4,FALSE))=TRUE,"",
              VLOOKUP($G35,SantoYusuf!$L$13:$AK$56,AA$4,FALSE)))</f>
        <v/>
      </c>
      <c r="AB35" s="18" t="str">
        <f>IF(ISNUMBER($L$6)=FALSE,"",
        IF(ISERROR(VLOOKUP($G35,SantoYusuf!$L$13:$AK$56,AB$4,FALSE))=TRUE,"",
              VLOOKUP($G35,SantoYusuf!$L$13:$AK$56,AB$4,FALSE)))</f>
        <v/>
      </c>
      <c r="AC35" s="18" t="str">
        <f>IF(ISNUMBER($L$6)=FALSE,"",
        IF(ISERROR(VLOOKUP($G35,SantoYusuf!$L$13:$AK$56,AC$4,FALSE))=TRUE,"",
              VLOOKUP($G35,SantoYusuf!$L$13:$AK$56,AC$4,FALSE)))</f>
        <v/>
      </c>
      <c r="AD35" s="18" t="str">
        <f>IF(ISNUMBER($L$6)=FALSE,"",
        IF(ISERROR(VLOOKUP($G35,SantoYusuf!$L$13:$AK$56,AD$4,FALSE))=TRUE,"",
              VLOOKUP($G35,SantoYusuf!$L$13:$AK$56,AD$4,FALSE)))</f>
        <v/>
      </c>
      <c r="AE35" s="18" t="str">
        <f>IF(ISNUMBER($L$6)=FALSE,"",
        IF(ISERROR(VLOOKUP($G35,SantoYusuf!$L$13:$AK$56,AE$4,FALSE))=TRUE,"",
              VLOOKUP($G35,SantoYusuf!$L$13:$AK$56,AE$4,FALSE)))</f>
        <v/>
      </c>
      <c r="AF35" s="18" t="str">
        <f>IF(ISNUMBER($L$6)=FALSE,"",
        IF(ISERROR(VLOOKUP($G35,SantoYusuf!$L$13:$AK$56,AF$4,FALSE))=TRUE,"",
              VLOOKUP($G35,SantoYusuf!$L$13:$AK$56,AF$4,FALSE)))</f>
        <v/>
      </c>
    </row>
    <row r="36" spans="1:32" s="60" customFormat="1" ht="10.5" x14ac:dyDescent="0.25">
      <c r="A36" s="59"/>
      <c r="C36" s="59">
        <f t="shared" si="3"/>
        <v>23</v>
      </c>
      <c r="D36" s="61"/>
      <c r="E36" s="77" t="str">
        <f t="shared" si="4"/>
        <v/>
      </c>
      <c r="F36" s="77" t="str">
        <f>IF(ISNUMBER($L$6)=FALSE,"",
IF($C36=0,"",VLOOKUP($E36,SantoYusuf!$H$13:$L$56,4,FALSE)))</f>
        <v/>
      </c>
      <c r="G36" s="77" t="str">
        <f>IF(ISNUMBER($L$6)=FALSE,"",
IF($C36=0,"",VLOOKUP($E36,SantoYusuf!$H$13:$L$56,5,FALSE)))</f>
        <v/>
      </c>
      <c r="H36" s="17" t="str">
        <f t="shared" si="5"/>
        <v/>
      </c>
      <c r="I36" s="18" t="str">
        <f>IF(ISNUMBER($L$6)=FALSE,"",
        IF(ISERROR(VLOOKUP($G36,SantoYusuf!$L$13:$AK$56,I$4,FALSE))=TRUE,"",
              VLOOKUP($G36,SantoYusuf!$L$13:$AK$56,I$4,FALSE)))</f>
        <v/>
      </c>
      <c r="J36" s="18" t="str">
        <f>IF(ISNUMBER($L$6)=FALSE,"",
        IF(ISERROR(VLOOKUP($G36,SantoYusuf!$L$13:$AK$56,J$4,FALSE))=TRUE,"",
              VLOOKUP($G36,SantoYusuf!$L$13:$AK$56,J$4,FALSE)))</f>
        <v/>
      </c>
      <c r="K36" s="18" t="str">
        <f>IF(ISNUMBER($L$6)=FALSE,"",
        IF(ISERROR(VLOOKUP($G36,SantoYusuf!$L$13:$AK$56,K$4,FALSE))=TRUE,"",
              VLOOKUP($G36,SantoYusuf!$L$13:$AK$56,K$4,FALSE)))</f>
        <v/>
      </c>
      <c r="L36" s="18" t="str">
        <f>IF(ISNUMBER($L$6)=FALSE,"",
        IF(ISERROR(VLOOKUP($G36,SantoYusuf!$L$13:$AK$56,L$4,FALSE))=TRUE,"",
              VLOOKUP($G36,SantoYusuf!$L$13:$AK$56,L$4,FALSE)))</f>
        <v/>
      </c>
      <c r="M36" s="18" t="str">
        <f>IF(ISNUMBER($L$6)=FALSE,"",
        IF(ISERROR(VLOOKUP($G36,SantoYusuf!$L$13:$AK$56,M$4,FALSE))=TRUE,"",
              VLOOKUP($G36,SantoYusuf!$L$13:$AK$56,M$4,FALSE)))</f>
        <v/>
      </c>
      <c r="N36" s="18" t="str">
        <f>IF(ISNUMBER($L$6)=FALSE,"",
        IF(ISERROR(VLOOKUP($G36,SantoYusuf!$L$13:$AK$56,N$4,FALSE))=TRUE,"",
              VLOOKUP($G36,SantoYusuf!$L$13:$AK$56,N$4,FALSE)))</f>
        <v/>
      </c>
      <c r="O36" s="18" t="str">
        <f>IF(ISNUMBER($L$6)=FALSE,"",
        IF(ISERROR(VLOOKUP($G36,SantoYusuf!$L$13:$AK$56,O$4,FALSE))=TRUE,"",
              VLOOKUP($G36,SantoYusuf!$L$13:$AK$56,O$4,FALSE)))</f>
        <v/>
      </c>
      <c r="P36" s="18" t="str">
        <f>IF(ISNUMBER($L$6)=FALSE,"",
        IF(ISERROR(VLOOKUP($G36,SantoYusuf!$L$13:$AK$56,P$4,FALSE))=TRUE,"",
              VLOOKUP($G36,SantoYusuf!$L$13:$AK$56,P$4,FALSE)))</f>
        <v/>
      </c>
      <c r="Q36" s="18" t="str">
        <f>IF(ISNUMBER($L$6)=FALSE,"",
        IF(ISERROR(VLOOKUP($G36,SantoYusuf!$L$13:$AK$56,Q$4,FALSE))=TRUE,"",
              VLOOKUP($G36,SantoYusuf!$L$13:$AK$56,Q$4,FALSE)))</f>
        <v/>
      </c>
      <c r="R36" s="18" t="str">
        <f>IF(ISNUMBER($L$6)=FALSE,"",
        IF(ISERROR(VLOOKUP($G36,SantoYusuf!$L$13:$AK$56,R$4,FALSE))=TRUE,"",
              VLOOKUP($G36,SantoYusuf!$L$13:$AK$56,R$4,FALSE)))</f>
        <v/>
      </c>
      <c r="S36" s="18" t="str">
        <f>IF(ISNUMBER($L$6)=FALSE,"",
        IF(ISERROR(VLOOKUP($G36,SantoYusuf!$L$13:$AK$56,S$4,FALSE))=TRUE,"",
              VLOOKUP($G36,SantoYusuf!$L$13:$AK$56,S$4,FALSE)))</f>
        <v/>
      </c>
      <c r="T36" s="18" t="str">
        <f>IF(ISNUMBER($L$6)=FALSE,"",
        IF(ISERROR(VLOOKUP($G36,SantoYusuf!$L$13:$AK$56,T$4,FALSE))=TRUE,"",
              VLOOKUP($G36,SantoYusuf!$L$13:$AK$56,T$4,FALSE)))</f>
        <v/>
      </c>
      <c r="U36" s="18" t="str">
        <f>IF(ISNUMBER($L$6)=FALSE,"",
        IF(ISERROR(VLOOKUP($G36,SantoYusuf!$L$13:$AK$56,U$4,FALSE))=TRUE,"",
              VLOOKUP($G36,SantoYusuf!$L$13:$AK$56,U$4,FALSE)))</f>
        <v/>
      </c>
      <c r="V36" s="18" t="str">
        <f>IF(ISNUMBER($L$6)=FALSE,"",
        IF(ISERROR(VLOOKUP($G36,SantoYusuf!$L$13:$AK$56,V$4,FALSE))=TRUE,"",
              VLOOKUP($G36,SantoYusuf!$L$13:$AK$56,V$4,FALSE)))</f>
        <v/>
      </c>
      <c r="W36" s="18" t="str">
        <f>IF(ISNUMBER($L$6)=FALSE,"",
        IF(ISERROR(VLOOKUP($G36,SantoYusuf!$L$13:$AK$56,W$4,FALSE))=TRUE,"",
              VLOOKUP($G36,SantoYusuf!$L$13:$AK$56,W$4,FALSE)))</f>
        <v/>
      </c>
      <c r="X36" s="18" t="str">
        <f>IF(ISNUMBER($L$6)=FALSE,"",
        IF(ISERROR(VLOOKUP($G36,SantoYusuf!$L$13:$AK$56,X$4,FALSE))=TRUE,"",
              VLOOKUP($G36,SantoYusuf!$L$13:$AK$56,X$4,FALSE)))</f>
        <v/>
      </c>
      <c r="Y36" s="18" t="str">
        <f>IF(ISNUMBER($L$6)=FALSE,"",
        IF(ISERROR(VLOOKUP($G36,SantoYusuf!$L$13:$AK$56,Y$4,FALSE))=TRUE,"",
              VLOOKUP($G36,SantoYusuf!$L$13:$AK$56,Y$4,FALSE)))</f>
        <v/>
      </c>
      <c r="Z36" s="18" t="str">
        <f>IF(ISNUMBER($L$6)=FALSE,"",
        IF(ISERROR(VLOOKUP($G36,SantoYusuf!$L$13:$AK$56,Z$4,FALSE))=TRUE,"",
              VLOOKUP($G36,SantoYusuf!$L$13:$AK$56,Z$4,FALSE)))</f>
        <v/>
      </c>
      <c r="AA36" s="18" t="str">
        <f>IF(ISNUMBER($L$6)=FALSE,"",
        IF(ISERROR(VLOOKUP($G36,SantoYusuf!$L$13:$AK$56,AA$4,FALSE))=TRUE,"",
              VLOOKUP($G36,SantoYusuf!$L$13:$AK$56,AA$4,FALSE)))</f>
        <v/>
      </c>
      <c r="AB36" s="18" t="str">
        <f>IF(ISNUMBER($L$6)=FALSE,"",
        IF(ISERROR(VLOOKUP($G36,SantoYusuf!$L$13:$AK$56,AB$4,FALSE))=TRUE,"",
              VLOOKUP($G36,SantoYusuf!$L$13:$AK$56,AB$4,FALSE)))</f>
        <v/>
      </c>
      <c r="AC36" s="18" t="str">
        <f>IF(ISNUMBER($L$6)=FALSE,"",
        IF(ISERROR(VLOOKUP($G36,SantoYusuf!$L$13:$AK$56,AC$4,FALSE))=TRUE,"",
              VLOOKUP($G36,SantoYusuf!$L$13:$AK$56,AC$4,FALSE)))</f>
        <v/>
      </c>
      <c r="AD36" s="18" t="str">
        <f>IF(ISNUMBER($L$6)=FALSE,"",
        IF(ISERROR(VLOOKUP($G36,SantoYusuf!$L$13:$AK$56,AD$4,FALSE))=TRUE,"",
              VLOOKUP($G36,SantoYusuf!$L$13:$AK$56,AD$4,FALSE)))</f>
        <v/>
      </c>
      <c r="AE36" s="18" t="str">
        <f>IF(ISNUMBER($L$6)=FALSE,"",
        IF(ISERROR(VLOOKUP($G36,SantoYusuf!$L$13:$AK$56,AE$4,FALSE))=TRUE,"",
              VLOOKUP($G36,SantoYusuf!$L$13:$AK$56,AE$4,FALSE)))</f>
        <v/>
      </c>
      <c r="AF36" s="18" t="str">
        <f>IF(ISNUMBER($L$6)=FALSE,"",
        IF(ISERROR(VLOOKUP($G36,SantoYusuf!$L$13:$AK$56,AF$4,FALSE))=TRUE,"",
              VLOOKUP($G36,SantoYusuf!$L$13:$AK$56,AF$4,FALSE)))</f>
        <v/>
      </c>
    </row>
    <row r="37" spans="1:32" s="60" customFormat="1" ht="10.5" x14ac:dyDescent="0.25">
      <c r="A37" s="59"/>
      <c r="C37" s="59">
        <f t="shared" si="3"/>
        <v>24</v>
      </c>
      <c r="D37" s="61"/>
      <c r="E37" s="77" t="str">
        <f t="shared" si="4"/>
        <v/>
      </c>
      <c r="F37" s="77" t="str">
        <f>IF(ISNUMBER($L$6)=FALSE,"",
IF($C37=0,"",VLOOKUP($E37,SantoYusuf!$H$13:$L$56,4,FALSE)))</f>
        <v/>
      </c>
      <c r="G37" s="77" t="str">
        <f>IF(ISNUMBER($L$6)=FALSE,"",
IF($C37=0,"",VLOOKUP($E37,SantoYusuf!$H$13:$L$56,5,FALSE)))</f>
        <v/>
      </c>
      <c r="H37" s="17" t="str">
        <f t="shared" si="5"/>
        <v/>
      </c>
      <c r="I37" s="18" t="str">
        <f>IF(ISNUMBER($L$6)=FALSE,"",
        IF(ISERROR(VLOOKUP($G37,SantoYusuf!$L$13:$AK$56,I$4,FALSE))=TRUE,"",
              VLOOKUP($G37,SantoYusuf!$L$13:$AK$56,I$4,FALSE)))</f>
        <v/>
      </c>
      <c r="J37" s="18" t="str">
        <f>IF(ISNUMBER($L$6)=FALSE,"",
        IF(ISERROR(VLOOKUP($G37,SantoYusuf!$L$13:$AK$56,J$4,FALSE))=TRUE,"",
              VLOOKUP($G37,SantoYusuf!$L$13:$AK$56,J$4,FALSE)))</f>
        <v/>
      </c>
      <c r="K37" s="18" t="str">
        <f>IF(ISNUMBER($L$6)=FALSE,"",
        IF(ISERROR(VLOOKUP($G37,SantoYusuf!$L$13:$AK$56,K$4,FALSE))=TRUE,"",
              VLOOKUP($G37,SantoYusuf!$L$13:$AK$56,K$4,FALSE)))</f>
        <v/>
      </c>
      <c r="L37" s="18" t="str">
        <f>IF(ISNUMBER($L$6)=FALSE,"",
        IF(ISERROR(VLOOKUP($G37,SantoYusuf!$L$13:$AK$56,L$4,FALSE))=TRUE,"",
              VLOOKUP($G37,SantoYusuf!$L$13:$AK$56,L$4,FALSE)))</f>
        <v/>
      </c>
      <c r="M37" s="18" t="str">
        <f>IF(ISNUMBER($L$6)=FALSE,"",
        IF(ISERROR(VLOOKUP($G37,SantoYusuf!$L$13:$AK$56,M$4,FALSE))=TRUE,"",
              VLOOKUP($G37,SantoYusuf!$L$13:$AK$56,M$4,FALSE)))</f>
        <v/>
      </c>
      <c r="N37" s="18" t="str">
        <f>IF(ISNUMBER($L$6)=FALSE,"",
        IF(ISERROR(VLOOKUP($G37,SantoYusuf!$L$13:$AK$56,N$4,FALSE))=TRUE,"",
              VLOOKUP($G37,SantoYusuf!$L$13:$AK$56,N$4,FALSE)))</f>
        <v/>
      </c>
      <c r="O37" s="18" t="str">
        <f>IF(ISNUMBER($L$6)=FALSE,"",
        IF(ISERROR(VLOOKUP($G37,SantoYusuf!$L$13:$AK$56,O$4,FALSE))=TRUE,"",
              VLOOKUP($G37,SantoYusuf!$L$13:$AK$56,O$4,FALSE)))</f>
        <v/>
      </c>
      <c r="P37" s="18" t="str">
        <f>IF(ISNUMBER($L$6)=FALSE,"",
        IF(ISERROR(VLOOKUP($G37,SantoYusuf!$L$13:$AK$56,P$4,FALSE))=TRUE,"",
              VLOOKUP($G37,SantoYusuf!$L$13:$AK$56,P$4,FALSE)))</f>
        <v/>
      </c>
      <c r="Q37" s="18" t="str">
        <f>IF(ISNUMBER($L$6)=FALSE,"",
        IF(ISERROR(VLOOKUP($G37,SantoYusuf!$L$13:$AK$56,Q$4,FALSE))=TRUE,"",
              VLOOKUP($G37,SantoYusuf!$L$13:$AK$56,Q$4,FALSE)))</f>
        <v/>
      </c>
      <c r="R37" s="18" t="str">
        <f>IF(ISNUMBER($L$6)=FALSE,"",
        IF(ISERROR(VLOOKUP($G37,SantoYusuf!$L$13:$AK$56,R$4,FALSE))=TRUE,"",
              VLOOKUP($G37,SantoYusuf!$L$13:$AK$56,R$4,FALSE)))</f>
        <v/>
      </c>
      <c r="S37" s="18" t="str">
        <f>IF(ISNUMBER($L$6)=FALSE,"",
        IF(ISERROR(VLOOKUP($G37,SantoYusuf!$L$13:$AK$56,S$4,FALSE))=TRUE,"",
              VLOOKUP($G37,SantoYusuf!$L$13:$AK$56,S$4,FALSE)))</f>
        <v/>
      </c>
      <c r="T37" s="18" t="str">
        <f>IF(ISNUMBER($L$6)=FALSE,"",
        IF(ISERROR(VLOOKUP($G37,SantoYusuf!$L$13:$AK$56,T$4,FALSE))=TRUE,"",
              VLOOKUP($G37,SantoYusuf!$L$13:$AK$56,T$4,FALSE)))</f>
        <v/>
      </c>
      <c r="U37" s="18" t="str">
        <f>IF(ISNUMBER($L$6)=FALSE,"",
        IF(ISERROR(VLOOKUP($G37,SantoYusuf!$L$13:$AK$56,U$4,FALSE))=TRUE,"",
              VLOOKUP($G37,SantoYusuf!$L$13:$AK$56,U$4,FALSE)))</f>
        <v/>
      </c>
      <c r="V37" s="18" t="str">
        <f>IF(ISNUMBER($L$6)=FALSE,"",
        IF(ISERROR(VLOOKUP($G37,SantoYusuf!$L$13:$AK$56,V$4,FALSE))=TRUE,"",
              VLOOKUP($G37,SantoYusuf!$L$13:$AK$56,V$4,FALSE)))</f>
        <v/>
      </c>
      <c r="W37" s="18" t="str">
        <f>IF(ISNUMBER($L$6)=FALSE,"",
        IF(ISERROR(VLOOKUP($G37,SantoYusuf!$L$13:$AK$56,W$4,FALSE))=TRUE,"",
              VLOOKUP($G37,SantoYusuf!$L$13:$AK$56,W$4,FALSE)))</f>
        <v/>
      </c>
      <c r="X37" s="18" t="str">
        <f>IF(ISNUMBER($L$6)=FALSE,"",
        IF(ISERROR(VLOOKUP($G37,SantoYusuf!$L$13:$AK$56,X$4,FALSE))=TRUE,"",
              VLOOKUP($G37,SantoYusuf!$L$13:$AK$56,X$4,FALSE)))</f>
        <v/>
      </c>
      <c r="Y37" s="18" t="str">
        <f>IF(ISNUMBER($L$6)=FALSE,"",
        IF(ISERROR(VLOOKUP($G37,SantoYusuf!$L$13:$AK$56,Y$4,FALSE))=TRUE,"",
              VLOOKUP($G37,SantoYusuf!$L$13:$AK$56,Y$4,FALSE)))</f>
        <v/>
      </c>
      <c r="Z37" s="18" t="str">
        <f>IF(ISNUMBER($L$6)=FALSE,"",
        IF(ISERROR(VLOOKUP($G37,SantoYusuf!$L$13:$AK$56,Z$4,FALSE))=TRUE,"",
              VLOOKUP($G37,SantoYusuf!$L$13:$AK$56,Z$4,FALSE)))</f>
        <v/>
      </c>
      <c r="AA37" s="18" t="str">
        <f>IF(ISNUMBER($L$6)=FALSE,"",
        IF(ISERROR(VLOOKUP($G37,SantoYusuf!$L$13:$AK$56,AA$4,FALSE))=TRUE,"",
              VLOOKUP($G37,SantoYusuf!$L$13:$AK$56,AA$4,FALSE)))</f>
        <v/>
      </c>
      <c r="AB37" s="18" t="str">
        <f>IF(ISNUMBER($L$6)=FALSE,"",
        IF(ISERROR(VLOOKUP($G37,SantoYusuf!$L$13:$AK$56,AB$4,FALSE))=TRUE,"",
              VLOOKUP($G37,SantoYusuf!$L$13:$AK$56,AB$4,FALSE)))</f>
        <v/>
      </c>
      <c r="AC37" s="18" t="str">
        <f>IF(ISNUMBER($L$6)=FALSE,"",
        IF(ISERROR(VLOOKUP($G37,SantoYusuf!$L$13:$AK$56,AC$4,FALSE))=TRUE,"",
              VLOOKUP($G37,SantoYusuf!$L$13:$AK$56,AC$4,FALSE)))</f>
        <v/>
      </c>
      <c r="AD37" s="18" t="str">
        <f>IF(ISNUMBER($L$6)=FALSE,"",
        IF(ISERROR(VLOOKUP($G37,SantoYusuf!$L$13:$AK$56,AD$4,FALSE))=TRUE,"",
              VLOOKUP($G37,SantoYusuf!$L$13:$AK$56,AD$4,FALSE)))</f>
        <v/>
      </c>
      <c r="AE37" s="18" t="str">
        <f>IF(ISNUMBER($L$6)=FALSE,"",
        IF(ISERROR(VLOOKUP($G37,SantoYusuf!$L$13:$AK$56,AE$4,FALSE))=TRUE,"",
              VLOOKUP($G37,SantoYusuf!$L$13:$AK$56,AE$4,FALSE)))</f>
        <v/>
      </c>
      <c r="AF37" s="18" t="str">
        <f>IF(ISNUMBER($L$6)=FALSE,"",
        IF(ISERROR(VLOOKUP($G37,SantoYusuf!$L$13:$AK$56,AF$4,FALSE))=TRUE,"",
              VLOOKUP($G37,SantoYusuf!$L$13:$AK$56,AF$4,FALSE)))</f>
        <v/>
      </c>
    </row>
    <row r="38" spans="1:32" s="60" customFormat="1" ht="10.5" x14ac:dyDescent="0.25">
      <c r="A38" s="59"/>
      <c r="C38" s="59">
        <f t="shared" si="3"/>
        <v>25</v>
      </c>
      <c r="D38" s="61"/>
      <c r="E38" s="77" t="str">
        <f t="shared" si="4"/>
        <v/>
      </c>
      <c r="F38" s="77" t="str">
        <f>IF(ISNUMBER($L$6)=FALSE,"",
IF($C38=0,"",VLOOKUP($E38,SantoYusuf!$H$13:$L$56,4,FALSE)))</f>
        <v/>
      </c>
      <c r="G38" s="77" t="str">
        <f>IF(ISNUMBER($L$6)=FALSE,"",
IF($C38=0,"",VLOOKUP($E38,SantoYusuf!$H$13:$L$56,5,FALSE)))</f>
        <v/>
      </c>
      <c r="H38" s="17" t="str">
        <f t="shared" si="5"/>
        <v/>
      </c>
      <c r="I38" s="18" t="str">
        <f>IF(ISNUMBER($L$6)=FALSE,"",
        IF(ISERROR(VLOOKUP($G38,SantoYusuf!$L$13:$AK$56,I$4,FALSE))=TRUE,"",
              VLOOKUP($G38,SantoYusuf!$L$13:$AK$56,I$4,FALSE)))</f>
        <v/>
      </c>
      <c r="J38" s="18" t="str">
        <f>IF(ISNUMBER($L$6)=FALSE,"",
        IF(ISERROR(VLOOKUP($G38,SantoYusuf!$L$13:$AK$56,J$4,FALSE))=TRUE,"",
              VLOOKUP($G38,SantoYusuf!$L$13:$AK$56,J$4,FALSE)))</f>
        <v/>
      </c>
      <c r="K38" s="18" t="str">
        <f>IF(ISNUMBER($L$6)=FALSE,"",
        IF(ISERROR(VLOOKUP($G38,SantoYusuf!$L$13:$AK$56,K$4,FALSE))=TRUE,"",
              VLOOKUP($G38,SantoYusuf!$L$13:$AK$56,K$4,FALSE)))</f>
        <v/>
      </c>
      <c r="L38" s="18" t="str">
        <f>IF(ISNUMBER($L$6)=FALSE,"",
        IF(ISERROR(VLOOKUP($G38,SantoYusuf!$L$13:$AK$56,L$4,FALSE))=TRUE,"",
              VLOOKUP($G38,SantoYusuf!$L$13:$AK$56,L$4,FALSE)))</f>
        <v/>
      </c>
      <c r="M38" s="18" t="str">
        <f>IF(ISNUMBER($L$6)=FALSE,"",
        IF(ISERROR(VLOOKUP($G38,SantoYusuf!$L$13:$AK$56,M$4,FALSE))=TRUE,"",
              VLOOKUP($G38,SantoYusuf!$L$13:$AK$56,M$4,FALSE)))</f>
        <v/>
      </c>
      <c r="N38" s="18" t="str">
        <f>IF(ISNUMBER($L$6)=FALSE,"",
        IF(ISERROR(VLOOKUP($G38,SantoYusuf!$L$13:$AK$56,N$4,FALSE))=TRUE,"",
              VLOOKUP($G38,SantoYusuf!$L$13:$AK$56,N$4,FALSE)))</f>
        <v/>
      </c>
      <c r="O38" s="18" t="str">
        <f>IF(ISNUMBER($L$6)=FALSE,"",
        IF(ISERROR(VLOOKUP($G38,SantoYusuf!$L$13:$AK$56,O$4,FALSE))=TRUE,"",
              VLOOKUP($G38,SantoYusuf!$L$13:$AK$56,O$4,FALSE)))</f>
        <v/>
      </c>
      <c r="P38" s="18" t="str">
        <f>IF(ISNUMBER($L$6)=FALSE,"",
        IF(ISERROR(VLOOKUP($G38,SantoYusuf!$L$13:$AK$56,P$4,FALSE))=TRUE,"",
              VLOOKUP($G38,SantoYusuf!$L$13:$AK$56,P$4,FALSE)))</f>
        <v/>
      </c>
      <c r="Q38" s="18" t="str">
        <f>IF(ISNUMBER($L$6)=FALSE,"",
        IF(ISERROR(VLOOKUP($G38,SantoYusuf!$L$13:$AK$56,Q$4,FALSE))=TRUE,"",
              VLOOKUP($G38,SantoYusuf!$L$13:$AK$56,Q$4,FALSE)))</f>
        <v/>
      </c>
      <c r="R38" s="18" t="str">
        <f>IF(ISNUMBER($L$6)=FALSE,"",
        IF(ISERROR(VLOOKUP($G38,SantoYusuf!$L$13:$AK$56,R$4,FALSE))=TRUE,"",
              VLOOKUP($G38,SantoYusuf!$L$13:$AK$56,R$4,FALSE)))</f>
        <v/>
      </c>
      <c r="S38" s="18" t="str">
        <f>IF(ISNUMBER($L$6)=FALSE,"",
        IF(ISERROR(VLOOKUP($G38,SantoYusuf!$L$13:$AK$56,S$4,FALSE))=TRUE,"",
              VLOOKUP($G38,SantoYusuf!$L$13:$AK$56,S$4,FALSE)))</f>
        <v/>
      </c>
      <c r="T38" s="18" t="str">
        <f>IF(ISNUMBER($L$6)=FALSE,"",
        IF(ISERROR(VLOOKUP($G38,SantoYusuf!$L$13:$AK$56,T$4,FALSE))=TRUE,"",
              VLOOKUP($G38,SantoYusuf!$L$13:$AK$56,T$4,FALSE)))</f>
        <v/>
      </c>
      <c r="U38" s="18" t="str">
        <f>IF(ISNUMBER($L$6)=FALSE,"",
        IF(ISERROR(VLOOKUP($G38,SantoYusuf!$L$13:$AK$56,U$4,FALSE))=TRUE,"",
              VLOOKUP($G38,SantoYusuf!$L$13:$AK$56,U$4,FALSE)))</f>
        <v/>
      </c>
      <c r="V38" s="18" t="str">
        <f>IF(ISNUMBER($L$6)=FALSE,"",
        IF(ISERROR(VLOOKUP($G38,SantoYusuf!$L$13:$AK$56,V$4,FALSE))=TRUE,"",
              VLOOKUP($G38,SantoYusuf!$L$13:$AK$56,V$4,FALSE)))</f>
        <v/>
      </c>
      <c r="W38" s="18" t="str">
        <f>IF(ISNUMBER($L$6)=FALSE,"",
        IF(ISERROR(VLOOKUP($G38,SantoYusuf!$L$13:$AK$56,W$4,FALSE))=TRUE,"",
              VLOOKUP($G38,SantoYusuf!$L$13:$AK$56,W$4,FALSE)))</f>
        <v/>
      </c>
      <c r="X38" s="18" t="str">
        <f>IF(ISNUMBER($L$6)=FALSE,"",
        IF(ISERROR(VLOOKUP($G38,SantoYusuf!$L$13:$AK$56,X$4,FALSE))=TRUE,"",
              VLOOKUP($G38,SantoYusuf!$L$13:$AK$56,X$4,FALSE)))</f>
        <v/>
      </c>
      <c r="Y38" s="18" t="str">
        <f>IF(ISNUMBER($L$6)=FALSE,"",
        IF(ISERROR(VLOOKUP($G38,SantoYusuf!$L$13:$AK$56,Y$4,FALSE))=TRUE,"",
              VLOOKUP($G38,SantoYusuf!$L$13:$AK$56,Y$4,FALSE)))</f>
        <v/>
      </c>
      <c r="Z38" s="18" t="str">
        <f>IF(ISNUMBER($L$6)=FALSE,"",
        IF(ISERROR(VLOOKUP($G38,SantoYusuf!$L$13:$AK$56,Z$4,FALSE))=TRUE,"",
              VLOOKUP($G38,SantoYusuf!$L$13:$AK$56,Z$4,FALSE)))</f>
        <v/>
      </c>
      <c r="AA38" s="18" t="str">
        <f>IF(ISNUMBER($L$6)=FALSE,"",
        IF(ISERROR(VLOOKUP($G38,SantoYusuf!$L$13:$AK$56,AA$4,FALSE))=TRUE,"",
              VLOOKUP($G38,SantoYusuf!$L$13:$AK$56,AA$4,FALSE)))</f>
        <v/>
      </c>
      <c r="AB38" s="18" t="str">
        <f>IF(ISNUMBER($L$6)=FALSE,"",
        IF(ISERROR(VLOOKUP($G38,SantoYusuf!$L$13:$AK$56,AB$4,FALSE))=TRUE,"",
              VLOOKUP($G38,SantoYusuf!$L$13:$AK$56,AB$4,FALSE)))</f>
        <v/>
      </c>
      <c r="AC38" s="18" t="str">
        <f>IF(ISNUMBER($L$6)=FALSE,"",
        IF(ISERROR(VLOOKUP($G38,SantoYusuf!$L$13:$AK$56,AC$4,FALSE))=TRUE,"",
              VLOOKUP($G38,SantoYusuf!$L$13:$AK$56,AC$4,FALSE)))</f>
        <v/>
      </c>
      <c r="AD38" s="18" t="str">
        <f>IF(ISNUMBER($L$6)=FALSE,"",
        IF(ISERROR(VLOOKUP($G38,SantoYusuf!$L$13:$AK$56,AD$4,FALSE))=TRUE,"",
              VLOOKUP($G38,SantoYusuf!$L$13:$AK$56,AD$4,FALSE)))</f>
        <v/>
      </c>
      <c r="AE38" s="18" t="str">
        <f>IF(ISNUMBER($L$6)=FALSE,"",
        IF(ISERROR(VLOOKUP($G38,SantoYusuf!$L$13:$AK$56,AE$4,FALSE))=TRUE,"",
              VLOOKUP($G38,SantoYusuf!$L$13:$AK$56,AE$4,FALSE)))</f>
        <v/>
      </c>
      <c r="AF38" s="18" t="str">
        <f>IF(ISNUMBER($L$6)=FALSE,"",
        IF(ISERROR(VLOOKUP($G38,SantoYusuf!$L$13:$AK$56,AF$4,FALSE))=TRUE,"",
              VLOOKUP($G38,SantoYusuf!$L$13:$AK$56,AF$4,FALSE)))</f>
        <v/>
      </c>
    </row>
    <row r="39" spans="1:32" s="60" customFormat="1" ht="10.5" x14ac:dyDescent="0.25">
      <c r="A39" s="59"/>
      <c r="C39" s="59">
        <f t="shared" si="3"/>
        <v>26</v>
      </c>
      <c r="D39" s="61"/>
      <c r="E39" s="77" t="str">
        <f t="shared" si="4"/>
        <v/>
      </c>
      <c r="F39" s="77" t="str">
        <f>IF(ISNUMBER($L$6)=FALSE,"",
IF($C39=0,"",VLOOKUP($E39,SantoYusuf!$H$13:$L$56,4,FALSE)))</f>
        <v/>
      </c>
      <c r="G39" s="77" t="str">
        <f>IF(ISNUMBER($L$6)=FALSE,"",
IF($C39=0,"",VLOOKUP($E39,SantoYusuf!$H$13:$L$56,5,FALSE)))</f>
        <v/>
      </c>
      <c r="H39" s="17" t="str">
        <f t="shared" si="5"/>
        <v/>
      </c>
      <c r="I39" s="18" t="str">
        <f>IF(ISNUMBER($L$6)=FALSE,"",
        IF(ISERROR(VLOOKUP($G39,SantoYusuf!$L$13:$AK$56,I$4,FALSE))=TRUE,"",
              VLOOKUP($G39,SantoYusuf!$L$13:$AK$56,I$4,FALSE)))</f>
        <v/>
      </c>
      <c r="J39" s="18" t="str">
        <f>IF(ISNUMBER($L$6)=FALSE,"",
        IF(ISERROR(VLOOKUP($G39,SantoYusuf!$L$13:$AK$56,J$4,FALSE))=TRUE,"",
              VLOOKUP($G39,SantoYusuf!$L$13:$AK$56,J$4,FALSE)))</f>
        <v/>
      </c>
      <c r="K39" s="18" t="str">
        <f>IF(ISNUMBER($L$6)=FALSE,"",
        IF(ISERROR(VLOOKUP($G39,SantoYusuf!$L$13:$AK$56,K$4,FALSE))=TRUE,"",
              VLOOKUP($G39,SantoYusuf!$L$13:$AK$56,K$4,FALSE)))</f>
        <v/>
      </c>
      <c r="L39" s="18" t="str">
        <f>IF(ISNUMBER($L$6)=FALSE,"",
        IF(ISERROR(VLOOKUP($G39,SantoYusuf!$L$13:$AK$56,L$4,FALSE))=TRUE,"",
              VLOOKUP($G39,SantoYusuf!$L$13:$AK$56,L$4,FALSE)))</f>
        <v/>
      </c>
      <c r="M39" s="18" t="str">
        <f>IF(ISNUMBER($L$6)=FALSE,"",
        IF(ISERROR(VLOOKUP($G39,SantoYusuf!$L$13:$AK$56,M$4,FALSE))=TRUE,"",
              VLOOKUP($G39,SantoYusuf!$L$13:$AK$56,M$4,FALSE)))</f>
        <v/>
      </c>
      <c r="N39" s="18" t="str">
        <f>IF(ISNUMBER($L$6)=FALSE,"",
        IF(ISERROR(VLOOKUP($G39,SantoYusuf!$L$13:$AK$56,N$4,FALSE))=TRUE,"",
              VLOOKUP($G39,SantoYusuf!$L$13:$AK$56,N$4,FALSE)))</f>
        <v/>
      </c>
      <c r="O39" s="18" t="str">
        <f>IF(ISNUMBER($L$6)=FALSE,"",
        IF(ISERROR(VLOOKUP($G39,SantoYusuf!$L$13:$AK$56,O$4,FALSE))=TRUE,"",
              VLOOKUP($G39,SantoYusuf!$L$13:$AK$56,O$4,FALSE)))</f>
        <v/>
      </c>
      <c r="P39" s="18" t="str">
        <f>IF(ISNUMBER($L$6)=FALSE,"",
        IF(ISERROR(VLOOKUP($G39,SantoYusuf!$L$13:$AK$56,P$4,FALSE))=TRUE,"",
              VLOOKUP($G39,SantoYusuf!$L$13:$AK$56,P$4,FALSE)))</f>
        <v/>
      </c>
      <c r="Q39" s="18" t="str">
        <f>IF(ISNUMBER($L$6)=FALSE,"",
        IF(ISERROR(VLOOKUP($G39,SantoYusuf!$L$13:$AK$56,Q$4,FALSE))=TRUE,"",
              VLOOKUP($G39,SantoYusuf!$L$13:$AK$56,Q$4,FALSE)))</f>
        <v/>
      </c>
      <c r="R39" s="18" t="str">
        <f>IF(ISNUMBER($L$6)=FALSE,"",
        IF(ISERROR(VLOOKUP($G39,SantoYusuf!$L$13:$AK$56,R$4,FALSE))=TRUE,"",
              VLOOKUP($G39,SantoYusuf!$L$13:$AK$56,R$4,FALSE)))</f>
        <v/>
      </c>
      <c r="S39" s="18" t="str">
        <f>IF(ISNUMBER($L$6)=FALSE,"",
        IF(ISERROR(VLOOKUP($G39,SantoYusuf!$L$13:$AK$56,S$4,FALSE))=TRUE,"",
              VLOOKUP($G39,SantoYusuf!$L$13:$AK$56,S$4,FALSE)))</f>
        <v/>
      </c>
      <c r="T39" s="18" t="str">
        <f>IF(ISNUMBER($L$6)=FALSE,"",
        IF(ISERROR(VLOOKUP($G39,SantoYusuf!$L$13:$AK$56,T$4,FALSE))=TRUE,"",
              VLOOKUP($G39,SantoYusuf!$L$13:$AK$56,T$4,FALSE)))</f>
        <v/>
      </c>
      <c r="U39" s="18" t="str">
        <f>IF(ISNUMBER($L$6)=FALSE,"",
        IF(ISERROR(VLOOKUP($G39,SantoYusuf!$L$13:$AK$56,U$4,FALSE))=TRUE,"",
              VLOOKUP($G39,SantoYusuf!$L$13:$AK$56,U$4,FALSE)))</f>
        <v/>
      </c>
      <c r="V39" s="18" t="str">
        <f>IF(ISNUMBER($L$6)=FALSE,"",
        IF(ISERROR(VLOOKUP($G39,SantoYusuf!$L$13:$AK$56,V$4,FALSE))=TRUE,"",
              VLOOKUP($G39,SantoYusuf!$L$13:$AK$56,V$4,FALSE)))</f>
        <v/>
      </c>
      <c r="W39" s="18" t="str">
        <f>IF(ISNUMBER($L$6)=FALSE,"",
        IF(ISERROR(VLOOKUP($G39,SantoYusuf!$L$13:$AK$56,W$4,FALSE))=TRUE,"",
              VLOOKUP($G39,SantoYusuf!$L$13:$AK$56,W$4,FALSE)))</f>
        <v/>
      </c>
      <c r="X39" s="18" t="str">
        <f>IF(ISNUMBER($L$6)=FALSE,"",
        IF(ISERROR(VLOOKUP($G39,SantoYusuf!$L$13:$AK$56,X$4,FALSE))=TRUE,"",
              VLOOKUP($G39,SantoYusuf!$L$13:$AK$56,X$4,FALSE)))</f>
        <v/>
      </c>
      <c r="Y39" s="18" t="str">
        <f>IF(ISNUMBER($L$6)=FALSE,"",
        IF(ISERROR(VLOOKUP($G39,SantoYusuf!$L$13:$AK$56,Y$4,FALSE))=TRUE,"",
              VLOOKUP($G39,SantoYusuf!$L$13:$AK$56,Y$4,FALSE)))</f>
        <v/>
      </c>
      <c r="Z39" s="18" t="str">
        <f>IF(ISNUMBER($L$6)=FALSE,"",
        IF(ISERROR(VLOOKUP($G39,SantoYusuf!$L$13:$AK$56,Z$4,FALSE))=TRUE,"",
              VLOOKUP($G39,SantoYusuf!$L$13:$AK$56,Z$4,FALSE)))</f>
        <v/>
      </c>
      <c r="AA39" s="18" t="str">
        <f>IF(ISNUMBER($L$6)=FALSE,"",
        IF(ISERROR(VLOOKUP($G39,SantoYusuf!$L$13:$AK$56,AA$4,FALSE))=TRUE,"",
              VLOOKUP($G39,SantoYusuf!$L$13:$AK$56,AA$4,FALSE)))</f>
        <v/>
      </c>
      <c r="AB39" s="18" t="str">
        <f>IF(ISNUMBER($L$6)=FALSE,"",
        IF(ISERROR(VLOOKUP($G39,SantoYusuf!$L$13:$AK$56,AB$4,FALSE))=TRUE,"",
              VLOOKUP($G39,SantoYusuf!$L$13:$AK$56,AB$4,FALSE)))</f>
        <v/>
      </c>
      <c r="AC39" s="18" t="str">
        <f>IF(ISNUMBER($L$6)=FALSE,"",
        IF(ISERROR(VLOOKUP($G39,SantoYusuf!$L$13:$AK$56,AC$4,FALSE))=TRUE,"",
              VLOOKUP($G39,SantoYusuf!$L$13:$AK$56,AC$4,FALSE)))</f>
        <v/>
      </c>
      <c r="AD39" s="18" t="str">
        <f>IF(ISNUMBER($L$6)=FALSE,"",
        IF(ISERROR(VLOOKUP($G39,SantoYusuf!$L$13:$AK$56,AD$4,FALSE))=TRUE,"",
              VLOOKUP($G39,SantoYusuf!$L$13:$AK$56,AD$4,FALSE)))</f>
        <v/>
      </c>
      <c r="AE39" s="18" t="str">
        <f>IF(ISNUMBER($L$6)=FALSE,"",
        IF(ISERROR(VLOOKUP($G39,SantoYusuf!$L$13:$AK$56,AE$4,FALSE))=TRUE,"",
              VLOOKUP($G39,SantoYusuf!$L$13:$AK$56,AE$4,FALSE)))</f>
        <v/>
      </c>
      <c r="AF39" s="18" t="str">
        <f>IF(ISNUMBER($L$6)=FALSE,"",
        IF(ISERROR(VLOOKUP($G39,SantoYusuf!$L$13:$AK$56,AF$4,FALSE))=TRUE,"",
              VLOOKUP($G39,SantoYusuf!$L$13:$AK$56,AF$4,FALSE)))</f>
        <v/>
      </c>
    </row>
    <row r="40" spans="1:32" s="60" customFormat="1" ht="10.5" x14ac:dyDescent="0.25">
      <c r="A40" s="59"/>
      <c r="C40" s="59">
        <f t="shared" si="3"/>
        <v>27</v>
      </c>
      <c r="D40" s="61"/>
      <c r="E40" s="77" t="str">
        <f t="shared" si="4"/>
        <v/>
      </c>
      <c r="F40" s="77" t="str">
        <f>IF(ISNUMBER($L$6)=FALSE,"",
IF($C40=0,"",VLOOKUP($E40,SantoYusuf!$H$13:$L$56,4,FALSE)))</f>
        <v/>
      </c>
      <c r="G40" s="77" t="str">
        <f>IF(ISNUMBER($L$6)=FALSE,"",
IF($C40=0,"",VLOOKUP($E40,SantoYusuf!$H$13:$L$56,5,FALSE)))</f>
        <v/>
      </c>
      <c r="H40" s="17" t="str">
        <f t="shared" si="5"/>
        <v/>
      </c>
      <c r="I40" s="18" t="str">
        <f>IF(ISNUMBER($L$6)=FALSE,"",
        IF(ISERROR(VLOOKUP($G40,SantoYusuf!$L$13:$AK$56,I$4,FALSE))=TRUE,"",
              VLOOKUP($G40,SantoYusuf!$L$13:$AK$56,I$4,FALSE)))</f>
        <v/>
      </c>
      <c r="J40" s="18" t="str">
        <f>IF(ISNUMBER($L$6)=FALSE,"",
        IF(ISERROR(VLOOKUP($G40,SantoYusuf!$L$13:$AK$56,J$4,FALSE))=TRUE,"",
              VLOOKUP($G40,SantoYusuf!$L$13:$AK$56,J$4,FALSE)))</f>
        <v/>
      </c>
      <c r="K40" s="18" t="str">
        <f>IF(ISNUMBER($L$6)=FALSE,"",
        IF(ISERROR(VLOOKUP($G40,SantoYusuf!$L$13:$AK$56,K$4,FALSE))=TRUE,"",
              VLOOKUP($G40,SantoYusuf!$L$13:$AK$56,K$4,FALSE)))</f>
        <v/>
      </c>
      <c r="L40" s="18" t="str">
        <f>IF(ISNUMBER($L$6)=FALSE,"",
        IF(ISERROR(VLOOKUP($G40,SantoYusuf!$L$13:$AK$56,L$4,FALSE))=TRUE,"",
              VLOOKUP($G40,SantoYusuf!$L$13:$AK$56,L$4,FALSE)))</f>
        <v/>
      </c>
      <c r="M40" s="18" t="str">
        <f>IF(ISNUMBER($L$6)=FALSE,"",
        IF(ISERROR(VLOOKUP($G40,SantoYusuf!$L$13:$AK$56,M$4,FALSE))=TRUE,"",
              VLOOKUP($G40,SantoYusuf!$L$13:$AK$56,M$4,FALSE)))</f>
        <v/>
      </c>
      <c r="N40" s="18" t="str">
        <f>IF(ISNUMBER($L$6)=FALSE,"",
        IF(ISERROR(VLOOKUP($G40,SantoYusuf!$L$13:$AK$56,N$4,FALSE))=TRUE,"",
              VLOOKUP($G40,SantoYusuf!$L$13:$AK$56,N$4,FALSE)))</f>
        <v/>
      </c>
      <c r="O40" s="18" t="str">
        <f>IF(ISNUMBER($L$6)=FALSE,"",
        IF(ISERROR(VLOOKUP($G40,SantoYusuf!$L$13:$AK$56,O$4,FALSE))=TRUE,"",
              VLOOKUP($G40,SantoYusuf!$L$13:$AK$56,O$4,FALSE)))</f>
        <v/>
      </c>
      <c r="P40" s="18" t="str">
        <f>IF(ISNUMBER($L$6)=FALSE,"",
        IF(ISERROR(VLOOKUP($G40,SantoYusuf!$L$13:$AK$56,P$4,FALSE))=TRUE,"",
              VLOOKUP($G40,SantoYusuf!$L$13:$AK$56,P$4,FALSE)))</f>
        <v/>
      </c>
      <c r="Q40" s="18" t="str">
        <f>IF(ISNUMBER($L$6)=FALSE,"",
        IF(ISERROR(VLOOKUP($G40,SantoYusuf!$L$13:$AK$56,Q$4,FALSE))=TRUE,"",
              VLOOKUP($G40,SantoYusuf!$L$13:$AK$56,Q$4,FALSE)))</f>
        <v/>
      </c>
      <c r="R40" s="18" t="str">
        <f>IF(ISNUMBER($L$6)=FALSE,"",
        IF(ISERROR(VLOOKUP($G40,SantoYusuf!$L$13:$AK$56,R$4,FALSE))=TRUE,"",
              VLOOKUP($G40,SantoYusuf!$L$13:$AK$56,R$4,FALSE)))</f>
        <v/>
      </c>
      <c r="S40" s="18" t="str">
        <f>IF(ISNUMBER($L$6)=FALSE,"",
        IF(ISERROR(VLOOKUP($G40,SantoYusuf!$L$13:$AK$56,S$4,FALSE))=TRUE,"",
              VLOOKUP($G40,SantoYusuf!$L$13:$AK$56,S$4,FALSE)))</f>
        <v/>
      </c>
      <c r="T40" s="18" t="str">
        <f>IF(ISNUMBER($L$6)=FALSE,"",
        IF(ISERROR(VLOOKUP($G40,SantoYusuf!$L$13:$AK$56,T$4,FALSE))=TRUE,"",
              VLOOKUP($G40,SantoYusuf!$L$13:$AK$56,T$4,FALSE)))</f>
        <v/>
      </c>
      <c r="U40" s="18" t="str">
        <f>IF(ISNUMBER($L$6)=FALSE,"",
        IF(ISERROR(VLOOKUP($G40,SantoYusuf!$L$13:$AK$56,U$4,FALSE))=TRUE,"",
              VLOOKUP($G40,SantoYusuf!$L$13:$AK$56,U$4,FALSE)))</f>
        <v/>
      </c>
      <c r="V40" s="18" t="str">
        <f>IF(ISNUMBER($L$6)=FALSE,"",
        IF(ISERROR(VLOOKUP($G40,SantoYusuf!$L$13:$AK$56,V$4,FALSE))=TRUE,"",
              VLOOKUP($G40,SantoYusuf!$L$13:$AK$56,V$4,FALSE)))</f>
        <v/>
      </c>
      <c r="W40" s="18" t="str">
        <f>IF(ISNUMBER($L$6)=FALSE,"",
        IF(ISERROR(VLOOKUP($G40,SantoYusuf!$L$13:$AK$56,W$4,FALSE))=TRUE,"",
              VLOOKUP($G40,SantoYusuf!$L$13:$AK$56,W$4,FALSE)))</f>
        <v/>
      </c>
      <c r="X40" s="18" t="str">
        <f>IF(ISNUMBER($L$6)=FALSE,"",
        IF(ISERROR(VLOOKUP($G40,SantoYusuf!$L$13:$AK$56,X$4,FALSE))=TRUE,"",
              VLOOKUP($G40,SantoYusuf!$L$13:$AK$56,X$4,FALSE)))</f>
        <v/>
      </c>
      <c r="Y40" s="18" t="str">
        <f>IF(ISNUMBER($L$6)=FALSE,"",
        IF(ISERROR(VLOOKUP($G40,SantoYusuf!$L$13:$AK$56,Y$4,FALSE))=TRUE,"",
              VLOOKUP($G40,SantoYusuf!$L$13:$AK$56,Y$4,FALSE)))</f>
        <v/>
      </c>
      <c r="Z40" s="18" t="str">
        <f>IF(ISNUMBER($L$6)=FALSE,"",
        IF(ISERROR(VLOOKUP($G40,SantoYusuf!$L$13:$AK$56,Z$4,FALSE))=TRUE,"",
              VLOOKUP($G40,SantoYusuf!$L$13:$AK$56,Z$4,FALSE)))</f>
        <v/>
      </c>
      <c r="AA40" s="18" t="str">
        <f>IF(ISNUMBER($L$6)=FALSE,"",
        IF(ISERROR(VLOOKUP($G40,SantoYusuf!$L$13:$AK$56,AA$4,FALSE))=TRUE,"",
              VLOOKUP($G40,SantoYusuf!$L$13:$AK$56,AA$4,FALSE)))</f>
        <v/>
      </c>
      <c r="AB40" s="18" t="str">
        <f>IF(ISNUMBER($L$6)=FALSE,"",
        IF(ISERROR(VLOOKUP($G40,SantoYusuf!$L$13:$AK$56,AB$4,FALSE))=TRUE,"",
              VLOOKUP($G40,SantoYusuf!$L$13:$AK$56,AB$4,FALSE)))</f>
        <v/>
      </c>
      <c r="AC40" s="18" t="str">
        <f>IF(ISNUMBER($L$6)=FALSE,"",
        IF(ISERROR(VLOOKUP($G40,SantoYusuf!$L$13:$AK$56,AC$4,FALSE))=TRUE,"",
              VLOOKUP($G40,SantoYusuf!$L$13:$AK$56,AC$4,FALSE)))</f>
        <v/>
      </c>
      <c r="AD40" s="18" t="str">
        <f>IF(ISNUMBER($L$6)=FALSE,"",
        IF(ISERROR(VLOOKUP($G40,SantoYusuf!$L$13:$AK$56,AD$4,FALSE))=TRUE,"",
              VLOOKUP($G40,SantoYusuf!$L$13:$AK$56,AD$4,FALSE)))</f>
        <v/>
      </c>
      <c r="AE40" s="18" t="str">
        <f>IF(ISNUMBER($L$6)=FALSE,"",
        IF(ISERROR(VLOOKUP($G40,SantoYusuf!$L$13:$AK$56,AE$4,FALSE))=TRUE,"",
              VLOOKUP($G40,SantoYusuf!$L$13:$AK$56,AE$4,FALSE)))</f>
        <v/>
      </c>
      <c r="AF40" s="18" t="str">
        <f>IF(ISNUMBER($L$6)=FALSE,"",
        IF(ISERROR(VLOOKUP($G40,SantoYusuf!$L$13:$AK$56,AF$4,FALSE))=TRUE,"",
              VLOOKUP($G40,SantoYusuf!$L$13:$AK$56,AF$4,FALSE)))</f>
        <v/>
      </c>
    </row>
    <row r="41" spans="1:32" s="60" customFormat="1" ht="10.5" x14ac:dyDescent="0.25">
      <c r="A41" s="59"/>
      <c r="C41" s="59">
        <f t="shared" si="3"/>
        <v>28</v>
      </c>
      <c r="D41" s="61"/>
      <c r="E41" s="77" t="str">
        <f t="shared" si="4"/>
        <v/>
      </c>
      <c r="F41" s="77" t="str">
        <f>IF(ISNUMBER($L$6)=FALSE,"",
IF($C41=0,"",VLOOKUP($E41,SantoYusuf!$H$13:$L$56,4,FALSE)))</f>
        <v/>
      </c>
      <c r="G41" s="77" t="str">
        <f>IF(ISNUMBER($L$6)=FALSE,"",
IF($C41=0,"",VLOOKUP($E41,SantoYusuf!$H$13:$L$56,5,FALSE)))</f>
        <v/>
      </c>
      <c r="H41" s="17" t="str">
        <f t="shared" si="5"/>
        <v/>
      </c>
      <c r="I41" s="18" t="str">
        <f>IF(ISNUMBER($L$6)=FALSE,"",
        IF(ISERROR(VLOOKUP($G41,SantoYusuf!$L$13:$AK$56,I$4,FALSE))=TRUE,"",
              VLOOKUP($G41,SantoYusuf!$L$13:$AK$56,I$4,FALSE)))</f>
        <v/>
      </c>
      <c r="J41" s="18" t="str">
        <f>IF(ISNUMBER($L$6)=FALSE,"",
        IF(ISERROR(VLOOKUP($G41,SantoYusuf!$L$13:$AK$56,J$4,FALSE))=TRUE,"",
              VLOOKUP($G41,SantoYusuf!$L$13:$AK$56,J$4,FALSE)))</f>
        <v/>
      </c>
      <c r="K41" s="18" t="str">
        <f>IF(ISNUMBER($L$6)=FALSE,"",
        IF(ISERROR(VLOOKUP($G41,SantoYusuf!$L$13:$AK$56,K$4,FALSE))=TRUE,"",
              VLOOKUP($G41,SantoYusuf!$L$13:$AK$56,K$4,FALSE)))</f>
        <v/>
      </c>
      <c r="L41" s="18" t="str">
        <f>IF(ISNUMBER($L$6)=FALSE,"",
        IF(ISERROR(VLOOKUP($G41,SantoYusuf!$L$13:$AK$56,L$4,FALSE))=TRUE,"",
              VLOOKUP($G41,SantoYusuf!$L$13:$AK$56,L$4,FALSE)))</f>
        <v/>
      </c>
      <c r="M41" s="18" t="str">
        <f>IF(ISNUMBER($L$6)=FALSE,"",
        IF(ISERROR(VLOOKUP($G41,SantoYusuf!$L$13:$AK$56,M$4,FALSE))=TRUE,"",
              VLOOKUP($G41,SantoYusuf!$L$13:$AK$56,M$4,FALSE)))</f>
        <v/>
      </c>
      <c r="N41" s="18" t="str">
        <f>IF(ISNUMBER($L$6)=FALSE,"",
        IF(ISERROR(VLOOKUP($G41,SantoYusuf!$L$13:$AK$56,N$4,FALSE))=TRUE,"",
              VLOOKUP($G41,SantoYusuf!$L$13:$AK$56,N$4,FALSE)))</f>
        <v/>
      </c>
      <c r="O41" s="18" t="str">
        <f>IF(ISNUMBER($L$6)=FALSE,"",
        IF(ISERROR(VLOOKUP($G41,SantoYusuf!$L$13:$AK$56,O$4,FALSE))=TRUE,"",
              VLOOKUP($G41,SantoYusuf!$L$13:$AK$56,O$4,FALSE)))</f>
        <v/>
      </c>
      <c r="P41" s="18" t="str">
        <f>IF(ISNUMBER($L$6)=FALSE,"",
        IF(ISERROR(VLOOKUP($G41,SantoYusuf!$L$13:$AK$56,P$4,FALSE))=TRUE,"",
              VLOOKUP($G41,SantoYusuf!$L$13:$AK$56,P$4,FALSE)))</f>
        <v/>
      </c>
      <c r="Q41" s="18" t="str">
        <f>IF(ISNUMBER($L$6)=FALSE,"",
        IF(ISERROR(VLOOKUP($G41,SantoYusuf!$L$13:$AK$56,Q$4,FALSE))=TRUE,"",
              VLOOKUP($G41,SantoYusuf!$L$13:$AK$56,Q$4,FALSE)))</f>
        <v/>
      </c>
      <c r="R41" s="18" t="str">
        <f>IF(ISNUMBER($L$6)=FALSE,"",
        IF(ISERROR(VLOOKUP($G41,SantoYusuf!$L$13:$AK$56,R$4,FALSE))=TRUE,"",
              VLOOKUP($G41,SantoYusuf!$L$13:$AK$56,R$4,FALSE)))</f>
        <v/>
      </c>
      <c r="S41" s="18" t="str">
        <f>IF(ISNUMBER($L$6)=FALSE,"",
        IF(ISERROR(VLOOKUP($G41,SantoYusuf!$L$13:$AK$56,S$4,FALSE))=TRUE,"",
              VLOOKUP($G41,SantoYusuf!$L$13:$AK$56,S$4,FALSE)))</f>
        <v/>
      </c>
      <c r="T41" s="18" t="str">
        <f>IF(ISNUMBER($L$6)=FALSE,"",
        IF(ISERROR(VLOOKUP($G41,SantoYusuf!$L$13:$AK$56,T$4,FALSE))=TRUE,"",
              VLOOKUP($G41,SantoYusuf!$L$13:$AK$56,T$4,FALSE)))</f>
        <v/>
      </c>
      <c r="U41" s="18" t="str">
        <f>IF(ISNUMBER($L$6)=FALSE,"",
        IF(ISERROR(VLOOKUP($G41,SantoYusuf!$L$13:$AK$56,U$4,FALSE))=TRUE,"",
              VLOOKUP($G41,SantoYusuf!$L$13:$AK$56,U$4,FALSE)))</f>
        <v/>
      </c>
      <c r="V41" s="18" t="str">
        <f>IF(ISNUMBER($L$6)=FALSE,"",
        IF(ISERROR(VLOOKUP($G41,SantoYusuf!$L$13:$AK$56,V$4,FALSE))=TRUE,"",
              VLOOKUP($G41,SantoYusuf!$L$13:$AK$56,V$4,FALSE)))</f>
        <v/>
      </c>
      <c r="W41" s="18" t="str">
        <f>IF(ISNUMBER($L$6)=FALSE,"",
        IF(ISERROR(VLOOKUP($G41,SantoYusuf!$L$13:$AK$56,W$4,FALSE))=TRUE,"",
              VLOOKUP($G41,SantoYusuf!$L$13:$AK$56,W$4,FALSE)))</f>
        <v/>
      </c>
      <c r="X41" s="18" t="str">
        <f>IF(ISNUMBER($L$6)=FALSE,"",
        IF(ISERROR(VLOOKUP($G41,SantoYusuf!$L$13:$AK$56,X$4,FALSE))=TRUE,"",
              VLOOKUP($G41,SantoYusuf!$L$13:$AK$56,X$4,FALSE)))</f>
        <v/>
      </c>
      <c r="Y41" s="18" t="str">
        <f>IF(ISNUMBER($L$6)=FALSE,"",
        IF(ISERROR(VLOOKUP($G41,SantoYusuf!$L$13:$AK$56,Y$4,FALSE))=TRUE,"",
              VLOOKUP($G41,SantoYusuf!$L$13:$AK$56,Y$4,FALSE)))</f>
        <v/>
      </c>
      <c r="Z41" s="18" t="str">
        <f>IF(ISNUMBER($L$6)=FALSE,"",
        IF(ISERROR(VLOOKUP($G41,SantoYusuf!$L$13:$AK$56,Z$4,FALSE))=TRUE,"",
              VLOOKUP($G41,SantoYusuf!$L$13:$AK$56,Z$4,FALSE)))</f>
        <v/>
      </c>
      <c r="AA41" s="18" t="str">
        <f>IF(ISNUMBER($L$6)=FALSE,"",
        IF(ISERROR(VLOOKUP($G41,SantoYusuf!$L$13:$AK$56,AA$4,FALSE))=TRUE,"",
              VLOOKUP($G41,SantoYusuf!$L$13:$AK$56,AA$4,FALSE)))</f>
        <v/>
      </c>
      <c r="AB41" s="18" t="str">
        <f>IF(ISNUMBER($L$6)=FALSE,"",
        IF(ISERROR(VLOOKUP($G41,SantoYusuf!$L$13:$AK$56,AB$4,FALSE))=TRUE,"",
              VLOOKUP($G41,SantoYusuf!$L$13:$AK$56,AB$4,FALSE)))</f>
        <v/>
      </c>
      <c r="AC41" s="18" t="str">
        <f>IF(ISNUMBER($L$6)=FALSE,"",
        IF(ISERROR(VLOOKUP($G41,SantoYusuf!$L$13:$AK$56,AC$4,FALSE))=TRUE,"",
              VLOOKUP($G41,SantoYusuf!$L$13:$AK$56,AC$4,FALSE)))</f>
        <v/>
      </c>
      <c r="AD41" s="18" t="str">
        <f>IF(ISNUMBER($L$6)=FALSE,"",
        IF(ISERROR(VLOOKUP($G41,SantoYusuf!$L$13:$AK$56,AD$4,FALSE))=TRUE,"",
              VLOOKUP($G41,SantoYusuf!$L$13:$AK$56,AD$4,FALSE)))</f>
        <v/>
      </c>
      <c r="AE41" s="18" t="str">
        <f>IF(ISNUMBER($L$6)=FALSE,"",
        IF(ISERROR(VLOOKUP($G41,SantoYusuf!$L$13:$AK$56,AE$4,FALSE))=TRUE,"",
              VLOOKUP($G41,SantoYusuf!$L$13:$AK$56,AE$4,FALSE)))</f>
        <v/>
      </c>
      <c r="AF41" s="18" t="str">
        <f>IF(ISNUMBER($L$6)=FALSE,"",
        IF(ISERROR(VLOOKUP($G41,SantoYusuf!$L$13:$AK$56,AF$4,FALSE))=TRUE,"",
              VLOOKUP($G41,SantoYusuf!$L$13:$AK$56,AF$4,FALSE)))</f>
        <v/>
      </c>
    </row>
    <row r="42" spans="1:32" s="60" customFormat="1" ht="10.5" x14ac:dyDescent="0.25">
      <c r="A42" s="59"/>
      <c r="C42" s="59">
        <f t="shared" si="3"/>
        <v>29</v>
      </c>
      <c r="D42" s="61"/>
      <c r="E42" s="77" t="str">
        <f t="shared" si="4"/>
        <v/>
      </c>
      <c r="F42" s="77" t="str">
        <f>IF(ISNUMBER($L$6)=FALSE,"",
IF($C42=0,"",VLOOKUP($E42,SantoYusuf!$H$13:$L$56,4,FALSE)))</f>
        <v/>
      </c>
      <c r="G42" s="77" t="str">
        <f>IF(ISNUMBER($L$6)=FALSE,"",
IF($C42=0,"",VLOOKUP($E42,SantoYusuf!$H$13:$L$56,5,FALSE)))</f>
        <v/>
      </c>
      <c r="H42" s="17" t="str">
        <f t="shared" si="5"/>
        <v/>
      </c>
      <c r="I42" s="18" t="str">
        <f>IF(ISNUMBER($L$6)=FALSE,"",
        IF(ISERROR(VLOOKUP($G42,SantoYusuf!$L$13:$AK$56,I$4,FALSE))=TRUE,"",
              VLOOKUP($G42,SantoYusuf!$L$13:$AK$56,I$4,FALSE)))</f>
        <v/>
      </c>
      <c r="J42" s="18" t="str">
        <f>IF(ISNUMBER($L$6)=FALSE,"",
        IF(ISERROR(VLOOKUP($G42,SantoYusuf!$L$13:$AK$56,J$4,FALSE))=TRUE,"",
              VLOOKUP($G42,SantoYusuf!$L$13:$AK$56,J$4,FALSE)))</f>
        <v/>
      </c>
      <c r="K42" s="18" t="str">
        <f>IF(ISNUMBER($L$6)=FALSE,"",
        IF(ISERROR(VLOOKUP($G42,SantoYusuf!$L$13:$AK$56,K$4,FALSE))=TRUE,"",
              VLOOKUP($G42,SantoYusuf!$L$13:$AK$56,K$4,FALSE)))</f>
        <v/>
      </c>
      <c r="L42" s="18" t="str">
        <f>IF(ISNUMBER($L$6)=FALSE,"",
        IF(ISERROR(VLOOKUP($G42,SantoYusuf!$L$13:$AK$56,L$4,FALSE))=TRUE,"",
              VLOOKUP($G42,SantoYusuf!$L$13:$AK$56,L$4,FALSE)))</f>
        <v/>
      </c>
      <c r="M42" s="18" t="str">
        <f>IF(ISNUMBER($L$6)=FALSE,"",
        IF(ISERROR(VLOOKUP($G42,SantoYusuf!$L$13:$AK$56,M$4,FALSE))=TRUE,"",
              VLOOKUP($G42,SantoYusuf!$L$13:$AK$56,M$4,FALSE)))</f>
        <v/>
      </c>
      <c r="N42" s="18" t="str">
        <f>IF(ISNUMBER($L$6)=FALSE,"",
        IF(ISERROR(VLOOKUP($G42,SantoYusuf!$L$13:$AK$56,N$4,FALSE))=TRUE,"",
              VLOOKUP($G42,SantoYusuf!$L$13:$AK$56,N$4,FALSE)))</f>
        <v/>
      </c>
      <c r="O42" s="18" t="str">
        <f>IF(ISNUMBER($L$6)=FALSE,"",
        IF(ISERROR(VLOOKUP($G42,SantoYusuf!$L$13:$AK$56,O$4,FALSE))=TRUE,"",
              VLOOKUP($G42,SantoYusuf!$L$13:$AK$56,O$4,FALSE)))</f>
        <v/>
      </c>
      <c r="P42" s="18" t="str">
        <f>IF(ISNUMBER($L$6)=FALSE,"",
        IF(ISERROR(VLOOKUP($G42,SantoYusuf!$L$13:$AK$56,P$4,FALSE))=TRUE,"",
              VLOOKUP($G42,SantoYusuf!$L$13:$AK$56,P$4,FALSE)))</f>
        <v/>
      </c>
      <c r="Q42" s="18" t="str">
        <f>IF(ISNUMBER($L$6)=FALSE,"",
        IF(ISERROR(VLOOKUP($G42,SantoYusuf!$L$13:$AK$56,Q$4,FALSE))=TRUE,"",
              VLOOKUP($G42,SantoYusuf!$L$13:$AK$56,Q$4,FALSE)))</f>
        <v/>
      </c>
      <c r="R42" s="18" t="str">
        <f>IF(ISNUMBER($L$6)=FALSE,"",
        IF(ISERROR(VLOOKUP($G42,SantoYusuf!$L$13:$AK$56,R$4,FALSE))=TRUE,"",
              VLOOKUP($G42,SantoYusuf!$L$13:$AK$56,R$4,FALSE)))</f>
        <v/>
      </c>
      <c r="S42" s="18" t="str">
        <f>IF(ISNUMBER($L$6)=FALSE,"",
        IF(ISERROR(VLOOKUP($G42,SantoYusuf!$L$13:$AK$56,S$4,FALSE))=TRUE,"",
              VLOOKUP($G42,SantoYusuf!$L$13:$AK$56,S$4,FALSE)))</f>
        <v/>
      </c>
      <c r="T42" s="18" t="str">
        <f>IF(ISNUMBER($L$6)=FALSE,"",
        IF(ISERROR(VLOOKUP($G42,SantoYusuf!$L$13:$AK$56,T$4,FALSE))=TRUE,"",
              VLOOKUP($G42,SantoYusuf!$L$13:$AK$56,T$4,FALSE)))</f>
        <v/>
      </c>
      <c r="U42" s="18" t="str">
        <f>IF(ISNUMBER($L$6)=FALSE,"",
        IF(ISERROR(VLOOKUP($G42,SantoYusuf!$L$13:$AK$56,U$4,FALSE))=TRUE,"",
              VLOOKUP($G42,SantoYusuf!$L$13:$AK$56,U$4,FALSE)))</f>
        <v/>
      </c>
      <c r="V42" s="18" t="str">
        <f>IF(ISNUMBER($L$6)=FALSE,"",
        IF(ISERROR(VLOOKUP($G42,SantoYusuf!$L$13:$AK$56,V$4,FALSE))=TRUE,"",
              VLOOKUP($G42,SantoYusuf!$L$13:$AK$56,V$4,FALSE)))</f>
        <v/>
      </c>
      <c r="W42" s="18" t="str">
        <f>IF(ISNUMBER($L$6)=FALSE,"",
        IF(ISERROR(VLOOKUP($G42,SantoYusuf!$L$13:$AK$56,W$4,FALSE))=TRUE,"",
              VLOOKUP($G42,SantoYusuf!$L$13:$AK$56,W$4,FALSE)))</f>
        <v/>
      </c>
      <c r="X42" s="18" t="str">
        <f>IF(ISNUMBER($L$6)=FALSE,"",
        IF(ISERROR(VLOOKUP($G42,SantoYusuf!$L$13:$AK$56,X$4,FALSE))=TRUE,"",
              VLOOKUP($G42,SantoYusuf!$L$13:$AK$56,X$4,FALSE)))</f>
        <v/>
      </c>
      <c r="Y42" s="18" t="str">
        <f>IF(ISNUMBER($L$6)=FALSE,"",
        IF(ISERROR(VLOOKUP($G42,SantoYusuf!$L$13:$AK$56,Y$4,FALSE))=TRUE,"",
              VLOOKUP($G42,SantoYusuf!$L$13:$AK$56,Y$4,FALSE)))</f>
        <v/>
      </c>
      <c r="Z42" s="18" t="str">
        <f>IF(ISNUMBER($L$6)=FALSE,"",
        IF(ISERROR(VLOOKUP($G42,SantoYusuf!$L$13:$AK$56,Z$4,FALSE))=TRUE,"",
              VLOOKUP($G42,SantoYusuf!$L$13:$AK$56,Z$4,FALSE)))</f>
        <v/>
      </c>
      <c r="AA42" s="18" t="str">
        <f>IF(ISNUMBER($L$6)=FALSE,"",
        IF(ISERROR(VLOOKUP($G42,SantoYusuf!$L$13:$AK$56,AA$4,FALSE))=TRUE,"",
              VLOOKUP($G42,SantoYusuf!$L$13:$AK$56,AA$4,FALSE)))</f>
        <v/>
      </c>
      <c r="AB42" s="18" t="str">
        <f>IF(ISNUMBER($L$6)=FALSE,"",
        IF(ISERROR(VLOOKUP($G42,SantoYusuf!$L$13:$AK$56,AB$4,FALSE))=TRUE,"",
              VLOOKUP($G42,SantoYusuf!$L$13:$AK$56,AB$4,FALSE)))</f>
        <v/>
      </c>
      <c r="AC42" s="18" t="str">
        <f>IF(ISNUMBER($L$6)=FALSE,"",
        IF(ISERROR(VLOOKUP($G42,SantoYusuf!$L$13:$AK$56,AC$4,FALSE))=TRUE,"",
              VLOOKUP($G42,SantoYusuf!$L$13:$AK$56,AC$4,FALSE)))</f>
        <v/>
      </c>
      <c r="AD42" s="18" t="str">
        <f>IF(ISNUMBER($L$6)=FALSE,"",
        IF(ISERROR(VLOOKUP($G42,SantoYusuf!$L$13:$AK$56,AD$4,FALSE))=TRUE,"",
              VLOOKUP($G42,SantoYusuf!$L$13:$AK$56,AD$4,FALSE)))</f>
        <v/>
      </c>
      <c r="AE42" s="18" t="str">
        <f>IF(ISNUMBER($L$6)=FALSE,"",
        IF(ISERROR(VLOOKUP($G42,SantoYusuf!$L$13:$AK$56,AE$4,FALSE))=TRUE,"",
              VLOOKUP($G42,SantoYusuf!$L$13:$AK$56,AE$4,FALSE)))</f>
        <v/>
      </c>
      <c r="AF42" s="18" t="str">
        <f>IF(ISNUMBER($L$6)=FALSE,"",
        IF(ISERROR(VLOOKUP($G42,SantoYusuf!$L$13:$AK$56,AF$4,FALSE))=TRUE,"",
              VLOOKUP($G42,SantoYusuf!$L$13:$AK$56,AF$4,FALSE)))</f>
        <v/>
      </c>
    </row>
    <row r="43" spans="1:32" s="60" customFormat="1" ht="10.5" x14ac:dyDescent="0.25">
      <c r="A43" s="59"/>
      <c r="C43" s="59">
        <f t="shared" si="3"/>
        <v>30</v>
      </c>
      <c r="D43" s="61"/>
      <c r="E43" s="77" t="str">
        <f t="shared" si="4"/>
        <v/>
      </c>
      <c r="F43" s="77" t="str">
        <f>IF(ISNUMBER($L$6)=FALSE,"",
IF($C43=0,"",VLOOKUP($E43,SantoYusuf!$H$13:$L$56,4,FALSE)))</f>
        <v/>
      </c>
      <c r="G43" s="77" t="str">
        <f>IF(ISNUMBER($L$6)=FALSE,"",
IF($C43=0,"",VLOOKUP($E43,SantoYusuf!$H$13:$L$56,5,FALSE)))</f>
        <v/>
      </c>
      <c r="H43" s="17" t="str">
        <f t="shared" si="5"/>
        <v/>
      </c>
      <c r="I43" s="18" t="str">
        <f>IF(ISNUMBER($L$6)=FALSE,"",
        IF(ISERROR(VLOOKUP($G43,SantoYusuf!$L$13:$AK$56,I$4,FALSE))=TRUE,"",
              VLOOKUP($G43,SantoYusuf!$L$13:$AK$56,I$4,FALSE)))</f>
        <v/>
      </c>
      <c r="J43" s="18" t="str">
        <f>IF(ISNUMBER($L$6)=FALSE,"",
        IF(ISERROR(VLOOKUP($G43,SantoYusuf!$L$13:$AK$56,J$4,FALSE))=TRUE,"",
              VLOOKUP($G43,SantoYusuf!$L$13:$AK$56,J$4,FALSE)))</f>
        <v/>
      </c>
      <c r="K43" s="18" t="str">
        <f>IF(ISNUMBER($L$6)=FALSE,"",
        IF(ISERROR(VLOOKUP($G43,SantoYusuf!$L$13:$AK$56,K$4,FALSE))=TRUE,"",
              VLOOKUP($G43,SantoYusuf!$L$13:$AK$56,K$4,FALSE)))</f>
        <v/>
      </c>
      <c r="L43" s="18" t="str">
        <f>IF(ISNUMBER($L$6)=FALSE,"",
        IF(ISERROR(VLOOKUP($G43,SantoYusuf!$L$13:$AK$56,L$4,FALSE))=TRUE,"",
              VLOOKUP($G43,SantoYusuf!$L$13:$AK$56,L$4,FALSE)))</f>
        <v/>
      </c>
      <c r="M43" s="18" t="str">
        <f>IF(ISNUMBER($L$6)=FALSE,"",
        IF(ISERROR(VLOOKUP($G43,SantoYusuf!$L$13:$AK$56,M$4,FALSE))=TRUE,"",
              VLOOKUP($G43,SantoYusuf!$L$13:$AK$56,M$4,FALSE)))</f>
        <v/>
      </c>
      <c r="N43" s="18" t="str">
        <f>IF(ISNUMBER($L$6)=FALSE,"",
        IF(ISERROR(VLOOKUP($G43,SantoYusuf!$L$13:$AK$56,N$4,FALSE))=TRUE,"",
              VLOOKUP($G43,SantoYusuf!$L$13:$AK$56,N$4,FALSE)))</f>
        <v/>
      </c>
      <c r="O43" s="18" t="str">
        <f>IF(ISNUMBER($L$6)=FALSE,"",
        IF(ISERROR(VLOOKUP($G43,SantoYusuf!$L$13:$AK$56,O$4,FALSE))=TRUE,"",
              VLOOKUP($G43,SantoYusuf!$L$13:$AK$56,O$4,FALSE)))</f>
        <v/>
      </c>
      <c r="P43" s="18" t="str">
        <f>IF(ISNUMBER($L$6)=FALSE,"",
        IF(ISERROR(VLOOKUP($G43,SantoYusuf!$L$13:$AK$56,P$4,FALSE))=TRUE,"",
              VLOOKUP($G43,SantoYusuf!$L$13:$AK$56,P$4,FALSE)))</f>
        <v/>
      </c>
      <c r="Q43" s="18" t="str">
        <f>IF(ISNUMBER($L$6)=FALSE,"",
        IF(ISERROR(VLOOKUP($G43,SantoYusuf!$L$13:$AK$56,Q$4,FALSE))=TRUE,"",
              VLOOKUP($G43,SantoYusuf!$L$13:$AK$56,Q$4,FALSE)))</f>
        <v/>
      </c>
      <c r="R43" s="18" t="str">
        <f>IF(ISNUMBER($L$6)=FALSE,"",
        IF(ISERROR(VLOOKUP($G43,SantoYusuf!$L$13:$AK$56,R$4,FALSE))=TRUE,"",
              VLOOKUP($G43,SantoYusuf!$L$13:$AK$56,R$4,FALSE)))</f>
        <v/>
      </c>
      <c r="S43" s="18" t="str">
        <f>IF(ISNUMBER($L$6)=FALSE,"",
        IF(ISERROR(VLOOKUP($G43,SantoYusuf!$L$13:$AK$56,S$4,FALSE))=TRUE,"",
              VLOOKUP($G43,SantoYusuf!$L$13:$AK$56,S$4,FALSE)))</f>
        <v/>
      </c>
      <c r="T43" s="18" t="str">
        <f>IF(ISNUMBER($L$6)=FALSE,"",
        IF(ISERROR(VLOOKUP($G43,SantoYusuf!$L$13:$AK$56,T$4,FALSE))=TRUE,"",
              VLOOKUP($G43,SantoYusuf!$L$13:$AK$56,T$4,FALSE)))</f>
        <v/>
      </c>
      <c r="U43" s="18" t="str">
        <f>IF(ISNUMBER($L$6)=FALSE,"",
        IF(ISERROR(VLOOKUP($G43,SantoYusuf!$L$13:$AK$56,U$4,FALSE))=TRUE,"",
              VLOOKUP($G43,SantoYusuf!$L$13:$AK$56,U$4,FALSE)))</f>
        <v/>
      </c>
      <c r="V43" s="18" t="str">
        <f>IF(ISNUMBER($L$6)=FALSE,"",
        IF(ISERROR(VLOOKUP($G43,SantoYusuf!$L$13:$AK$56,V$4,FALSE))=TRUE,"",
              VLOOKUP($G43,SantoYusuf!$L$13:$AK$56,V$4,FALSE)))</f>
        <v/>
      </c>
      <c r="W43" s="18" t="str">
        <f>IF(ISNUMBER($L$6)=FALSE,"",
        IF(ISERROR(VLOOKUP($G43,SantoYusuf!$L$13:$AK$56,W$4,FALSE))=TRUE,"",
              VLOOKUP($G43,SantoYusuf!$L$13:$AK$56,W$4,FALSE)))</f>
        <v/>
      </c>
      <c r="X43" s="18" t="str">
        <f>IF(ISNUMBER($L$6)=FALSE,"",
        IF(ISERROR(VLOOKUP($G43,SantoYusuf!$L$13:$AK$56,X$4,FALSE))=TRUE,"",
              VLOOKUP($G43,SantoYusuf!$L$13:$AK$56,X$4,FALSE)))</f>
        <v/>
      </c>
      <c r="Y43" s="18" t="str">
        <f>IF(ISNUMBER($L$6)=FALSE,"",
        IF(ISERROR(VLOOKUP($G43,SantoYusuf!$L$13:$AK$56,Y$4,FALSE))=TRUE,"",
              VLOOKUP($G43,SantoYusuf!$L$13:$AK$56,Y$4,FALSE)))</f>
        <v/>
      </c>
      <c r="Z43" s="18" t="str">
        <f>IF(ISNUMBER($L$6)=FALSE,"",
        IF(ISERROR(VLOOKUP($G43,SantoYusuf!$L$13:$AK$56,Z$4,FALSE))=TRUE,"",
              VLOOKUP($G43,SantoYusuf!$L$13:$AK$56,Z$4,FALSE)))</f>
        <v/>
      </c>
      <c r="AA43" s="18" t="str">
        <f>IF(ISNUMBER($L$6)=FALSE,"",
        IF(ISERROR(VLOOKUP($G43,SantoYusuf!$L$13:$AK$56,AA$4,FALSE))=TRUE,"",
              VLOOKUP($G43,SantoYusuf!$L$13:$AK$56,AA$4,FALSE)))</f>
        <v/>
      </c>
      <c r="AB43" s="18" t="str">
        <f>IF(ISNUMBER($L$6)=FALSE,"",
        IF(ISERROR(VLOOKUP($G43,SantoYusuf!$L$13:$AK$56,AB$4,FALSE))=TRUE,"",
              VLOOKUP($G43,SantoYusuf!$L$13:$AK$56,AB$4,FALSE)))</f>
        <v/>
      </c>
      <c r="AC43" s="18" t="str">
        <f>IF(ISNUMBER($L$6)=FALSE,"",
        IF(ISERROR(VLOOKUP($G43,SantoYusuf!$L$13:$AK$56,AC$4,FALSE))=TRUE,"",
              VLOOKUP($G43,SantoYusuf!$L$13:$AK$56,AC$4,FALSE)))</f>
        <v/>
      </c>
      <c r="AD43" s="18" t="str">
        <f>IF(ISNUMBER($L$6)=FALSE,"",
        IF(ISERROR(VLOOKUP($G43,SantoYusuf!$L$13:$AK$56,AD$4,FALSE))=TRUE,"",
              VLOOKUP($G43,SantoYusuf!$L$13:$AK$56,AD$4,FALSE)))</f>
        <v/>
      </c>
      <c r="AE43" s="18" t="str">
        <f>IF(ISNUMBER($L$6)=FALSE,"",
        IF(ISERROR(VLOOKUP($G43,SantoYusuf!$L$13:$AK$56,AE$4,FALSE))=TRUE,"",
              VLOOKUP($G43,SantoYusuf!$L$13:$AK$56,AE$4,FALSE)))</f>
        <v/>
      </c>
      <c r="AF43" s="18" t="str">
        <f>IF(ISNUMBER($L$6)=FALSE,"",
        IF(ISERROR(VLOOKUP($G43,SantoYusuf!$L$13:$AK$56,AF$4,FALSE))=TRUE,"",
              VLOOKUP($G43,SantoYusuf!$L$13:$AK$56,AF$4,FALSE)))</f>
        <v/>
      </c>
    </row>
    <row r="44" spans="1:32" s="60" customFormat="1" ht="10.5" x14ac:dyDescent="0.25">
      <c r="A44" s="59"/>
      <c r="C44" s="59">
        <f t="shared" si="3"/>
        <v>31</v>
      </c>
      <c r="D44" s="61"/>
      <c r="E44" s="77" t="str">
        <f t="shared" si="4"/>
        <v/>
      </c>
      <c r="F44" s="77" t="str">
        <f>IF(ISNUMBER($L$6)=FALSE,"",
IF($C44=0,"",VLOOKUP($E44,SantoYusuf!$H$13:$L$56,4,FALSE)))</f>
        <v/>
      </c>
      <c r="G44" s="77" t="str">
        <f>IF(ISNUMBER($L$6)=FALSE,"",
IF($C44=0,"",VLOOKUP($E44,SantoYusuf!$H$13:$L$56,5,FALSE)))</f>
        <v/>
      </c>
      <c r="H44" s="17" t="str">
        <f t="shared" si="5"/>
        <v/>
      </c>
      <c r="I44" s="18" t="str">
        <f>IF(ISNUMBER($L$6)=FALSE,"",
        IF(ISERROR(VLOOKUP($G44,SantoYusuf!$L$13:$AK$56,I$4,FALSE))=TRUE,"",
              VLOOKUP($G44,SantoYusuf!$L$13:$AK$56,I$4,FALSE)))</f>
        <v/>
      </c>
      <c r="J44" s="18" t="str">
        <f>IF(ISNUMBER($L$6)=FALSE,"",
        IF(ISERROR(VLOOKUP($G44,SantoYusuf!$L$13:$AK$56,J$4,FALSE))=TRUE,"",
              VLOOKUP($G44,SantoYusuf!$L$13:$AK$56,J$4,FALSE)))</f>
        <v/>
      </c>
      <c r="K44" s="18" t="str">
        <f>IF(ISNUMBER($L$6)=FALSE,"",
        IF(ISERROR(VLOOKUP($G44,SantoYusuf!$L$13:$AK$56,K$4,FALSE))=TRUE,"",
              VLOOKUP($G44,SantoYusuf!$L$13:$AK$56,K$4,FALSE)))</f>
        <v/>
      </c>
      <c r="L44" s="18" t="str">
        <f>IF(ISNUMBER($L$6)=FALSE,"",
        IF(ISERROR(VLOOKUP($G44,SantoYusuf!$L$13:$AK$56,L$4,FALSE))=TRUE,"",
              VLOOKUP($G44,SantoYusuf!$L$13:$AK$56,L$4,FALSE)))</f>
        <v/>
      </c>
      <c r="M44" s="18" t="str">
        <f>IF(ISNUMBER($L$6)=FALSE,"",
        IF(ISERROR(VLOOKUP($G44,SantoYusuf!$L$13:$AK$56,M$4,FALSE))=TRUE,"",
              VLOOKUP($G44,SantoYusuf!$L$13:$AK$56,M$4,FALSE)))</f>
        <v/>
      </c>
      <c r="N44" s="18" t="str">
        <f>IF(ISNUMBER($L$6)=FALSE,"",
        IF(ISERROR(VLOOKUP($G44,SantoYusuf!$L$13:$AK$56,N$4,FALSE))=TRUE,"",
              VLOOKUP($G44,SantoYusuf!$L$13:$AK$56,N$4,FALSE)))</f>
        <v/>
      </c>
      <c r="O44" s="18" t="str">
        <f>IF(ISNUMBER($L$6)=FALSE,"",
        IF(ISERROR(VLOOKUP($G44,SantoYusuf!$L$13:$AK$56,O$4,FALSE))=TRUE,"",
              VLOOKUP($G44,SantoYusuf!$L$13:$AK$56,O$4,FALSE)))</f>
        <v/>
      </c>
      <c r="P44" s="18" t="str">
        <f>IF(ISNUMBER($L$6)=FALSE,"",
        IF(ISERROR(VLOOKUP($G44,SantoYusuf!$L$13:$AK$56,P$4,FALSE))=TRUE,"",
              VLOOKUP($G44,SantoYusuf!$L$13:$AK$56,P$4,FALSE)))</f>
        <v/>
      </c>
      <c r="Q44" s="18" t="str">
        <f>IF(ISNUMBER($L$6)=FALSE,"",
        IF(ISERROR(VLOOKUP($G44,SantoYusuf!$L$13:$AK$56,Q$4,FALSE))=TRUE,"",
              VLOOKUP($G44,SantoYusuf!$L$13:$AK$56,Q$4,FALSE)))</f>
        <v/>
      </c>
      <c r="R44" s="18" t="str">
        <f>IF(ISNUMBER($L$6)=FALSE,"",
        IF(ISERROR(VLOOKUP($G44,SantoYusuf!$L$13:$AK$56,R$4,FALSE))=TRUE,"",
              VLOOKUP($G44,SantoYusuf!$L$13:$AK$56,R$4,FALSE)))</f>
        <v/>
      </c>
      <c r="S44" s="18" t="str">
        <f>IF(ISNUMBER($L$6)=FALSE,"",
        IF(ISERROR(VLOOKUP($G44,SantoYusuf!$L$13:$AK$56,S$4,FALSE))=TRUE,"",
              VLOOKUP($G44,SantoYusuf!$L$13:$AK$56,S$4,FALSE)))</f>
        <v/>
      </c>
      <c r="T44" s="18" t="str">
        <f>IF(ISNUMBER($L$6)=FALSE,"",
        IF(ISERROR(VLOOKUP($G44,SantoYusuf!$L$13:$AK$56,T$4,FALSE))=TRUE,"",
              VLOOKUP($G44,SantoYusuf!$L$13:$AK$56,T$4,FALSE)))</f>
        <v/>
      </c>
      <c r="U44" s="18" t="str">
        <f>IF(ISNUMBER($L$6)=FALSE,"",
        IF(ISERROR(VLOOKUP($G44,SantoYusuf!$L$13:$AK$56,U$4,FALSE))=TRUE,"",
              VLOOKUP($G44,SantoYusuf!$L$13:$AK$56,U$4,FALSE)))</f>
        <v/>
      </c>
      <c r="V44" s="18" t="str">
        <f>IF(ISNUMBER($L$6)=FALSE,"",
        IF(ISERROR(VLOOKUP($G44,SantoYusuf!$L$13:$AK$56,V$4,FALSE))=TRUE,"",
              VLOOKUP($G44,SantoYusuf!$L$13:$AK$56,V$4,FALSE)))</f>
        <v/>
      </c>
      <c r="W44" s="18" t="str">
        <f>IF(ISNUMBER($L$6)=FALSE,"",
        IF(ISERROR(VLOOKUP($G44,SantoYusuf!$L$13:$AK$56,W$4,FALSE))=TRUE,"",
              VLOOKUP($G44,SantoYusuf!$L$13:$AK$56,W$4,FALSE)))</f>
        <v/>
      </c>
      <c r="X44" s="18" t="str">
        <f>IF(ISNUMBER($L$6)=FALSE,"",
        IF(ISERROR(VLOOKUP($G44,SantoYusuf!$L$13:$AK$56,X$4,FALSE))=TRUE,"",
              VLOOKUP($G44,SantoYusuf!$L$13:$AK$56,X$4,FALSE)))</f>
        <v/>
      </c>
      <c r="Y44" s="18" t="str">
        <f>IF(ISNUMBER($L$6)=FALSE,"",
        IF(ISERROR(VLOOKUP($G44,SantoYusuf!$L$13:$AK$56,Y$4,FALSE))=TRUE,"",
              VLOOKUP($G44,SantoYusuf!$L$13:$AK$56,Y$4,FALSE)))</f>
        <v/>
      </c>
      <c r="Z44" s="18" t="str">
        <f>IF(ISNUMBER($L$6)=FALSE,"",
        IF(ISERROR(VLOOKUP($G44,SantoYusuf!$L$13:$AK$56,Z$4,FALSE))=TRUE,"",
              VLOOKUP($G44,SantoYusuf!$L$13:$AK$56,Z$4,FALSE)))</f>
        <v/>
      </c>
      <c r="AA44" s="18" t="str">
        <f>IF(ISNUMBER($L$6)=FALSE,"",
        IF(ISERROR(VLOOKUP($G44,SantoYusuf!$L$13:$AK$56,AA$4,FALSE))=TRUE,"",
              VLOOKUP($G44,SantoYusuf!$L$13:$AK$56,AA$4,FALSE)))</f>
        <v/>
      </c>
      <c r="AB44" s="18" t="str">
        <f>IF(ISNUMBER($L$6)=FALSE,"",
        IF(ISERROR(VLOOKUP($G44,SantoYusuf!$L$13:$AK$56,AB$4,FALSE))=TRUE,"",
              VLOOKUP($G44,SantoYusuf!$L$13:$AK$56,AB$4,FALSE)))</f>
        <v/>
      </c>
      <c r="AC44" s="18" t="str">
        <f>IF(ISNUMBER($L$6)=FALSE,"",
        IF(ISERROR(VLOOKUP($G44,SantoYusuf!$L$13:$AK$56,AC$4,FALSE))=TRUE,"",
              VLOOKUP($G44,SantoYusuf!$L$13:$AK$56,AC$4,FALSE)))</f>
        <v/>
      </c>
      <c r="AD44" s="18" t="str">
        <f>IF(ISNUMBER($L$6)=FALSE,"",
        IF(ISERROR(VLOOKUP($G44,SantoYusuf!$L$13:$AK$56,AD$4,FALSE))=TRUE,"",
              VLOOKUP($G44,SantoYusuf!$L$13:$AK$56,AD$4,FALSE)))</f>
        <v/>
      </c>
      <c r="AE44" s="18" t="str">
        <f>IF(ISNUMBER($L$6)=FALSE,"",
        IF(ISERROR(VLOOKUP($G44,SantoYusuf!$L$13:$AK$56,AE$4,FALSE))=TRUE,"",
              VLOOKUP($G44,SantoYusuf!$L$13:$AK$56,AE$4,FALSE)))</f>
        <v/>
      </c>
      <c r="AF44" s="18" t="str">
        <f>IF(ISNUMBER($L$6)=FALSE,"",
        IF(ISERROR(VLOOKUP($G44,SantoYusuf!$L$13:$AK$56,AF$4,FALSE))=TRUE,"",
              VLOOKUP($G44,SantoYusuf!$L$13:$AK$56,AF$4,FALSE)))</f>
        <v/>
      </c>
    </row>
    <row r="45" spans="1:32" s="60" customFormat="1" ht="10.5" x14ac:dyDescent="0.25">
      <c r="A45" s="59"/>
      <c r="C45" s="59">
        <f t="shared" si="3"/>
        <v>32</v>
      </c>
      <c r="D45" s="61"/>
      <c r="E45" s="77" t="str">
        <f t="shared" si="4"/>
        <v/>
      </c>
      <c r="F45" s="77" t="str">
        <f>IF(ISNUMBER($L$6)=FALSE,"",
IF($C45=0,"",VLOOKUP($E45,SantoYusuf!$H$13:$L$56,4,FALSE)))</f>
        <v/>
      </c>
      <c r="G45" s="77" t="str">
        <f>IF(ISNUMBER($L$6)=FALSE,"",
IF($C45=0,"",VLOOKUP($E45,SantoYusuf!$H$13:$L$56,5,FALSE)))</f>
        <v/>
      </c>
      <c r="H45" s="17" t="str">
        <f t="shared" si="5"/>
        <v/>
      </c>
      <c r="I45" s="18" t="str">
        <f>IF(ISNUMBER($L$6)=FALSE,"",
        IF(ISERROR(VLOOKUP($G45,SantoYusuf!$L$13:$AK$56,I$4,FALSE))=TRUE,"",
              VLOOKUP($G45,SantoYusuf!$L$13:$AK$56,I$4,FALSE)))</f>
        <v/>
      </c>
      <c r="J45" s="18" t="str">
        <f>IF(ISNUMBER($L$6)=FALSE,"",
        IF(ISERROR(VLOOKUP($G45,SantoYusuf!$L$13:$AK$56,J$4,FALSE))=TRUE,"",
              VLOOKUP($G45,SantoYusuf!$L$13:$AK$56,J$4,FALSE)))</f>
        <v/>
      </c>
      <c r="K45" s="18" t="str">
        <f>IF(ISNUMBER($L$6)=FALSE,"",
        IF(ISERROR(VLOOKUP($G45,SantoYusuf!$L$13:$AK$56,K$4,FALSE))=TRUE,"",
              VLOOKUP($G45,SantoYusuf!$L$13:$AK$56,K$4,FALSE)))</f>
        <v/>
      </c>
      <c r="L45" s="18" t="str">
        <f>IF(ISNUMBER($L$6)=FALSE,"",
        IF(ISERROR(VLOOKUP($G45,SantoYusuf!$L$13:$AK$56,L$4,FALSE))=TRUE,"",
              VLOOKUP($G45,SantoYusuf!$L$13:$AK$56,L$4,FALSE)))</f>
        <v/>
      </c>
      <c r="M45" s="18" t="str">
        <f>IF(ISNUMBER($L$6)=FALSE,"",
        IF(ISERROR(VLOOKUP($G45,SantoYusuf!$L$13:$AK$56,M$4,FALSE))=TRUE,"",
              VLOOKUP($G45,SantoYusuf!$L$13:$AK$56,M$4,FALSE)))</f>
        <v/>
      </c>
      <c r="N45" s="18" t="str">
        <f>IF(ISNUMBER($L$6)=FALSE,"",
        IF(ISERROR(VLOOKUP($G45,SantoYusuf!$L$13:$AK$56,N$4,FALSE))=TRUE,"",
              VLOOKUP($G45,SantoYusuf!$L$13:$AK$56,N$4,FALSE)))</f>
        <v/>
      </c>
      <c r="O45" s="18" t="str">
        <f>IF(ISNUMBER($L$6)=FALSE,"",
        IF(ISERROR(VLOOKUP($G45,SantoYusuf!$L$13:$AK$56,O$4,FALSE))=TRUE,"",
              VLOOKUP($G45,SantoYusuf!$L$13:$AK$56,O$4,FALSE)))</f>
        <v/>
      </c>
      <c r="P45" s="18" t="str">
        <f>IF(ISNUMBER($L$6)=FALSE,"",
        IF(ISERROR(VLOOKUP($G45,SantoYusuf!$L$13:$AK$56,P$4,FALSE))=TRUE,"",
              VLOOKUP($G45,SantoYusuf!$L$13:$AK$56,P$4,FALSE)))</f>
        <v/>
      </c>
      <c r="Q45" s="18" t="str">
        <f>IF(ISNUMBER($L$6)=FALSE,"",
        IF(ISERROR(VLOOKUP($G45,SantoYusuf!$L$13:$AK$56,Q$4,FALSE))=TRUE,"",
              VLOOKUP($G45,SantoYusuf!$L$13:$AK$56,Q$4,FALSE)))</f>
        <v/>
      </c>
      <c r="R45" s="18" t="str">
        <f>IF(ISNUMBER($L$6)=FALSE,"",
        IF(ISERROR(VLOOKUP($G45,SantoYusuf!$L$13:$AK$56,R$4,FALSE))=TRUE,"",
              VLOOKUP($G45,SantoYusuf!$L$13:$AK$56,R$4,FALSE)))</f>
        <v/>
      </c>
      <c r="S45" s="18" t="str">
        <f>IF(ISNUMBER($L$6)=FALSE,"",
        IF(ISERROR(VLOOKUP($G45,SantoYusuf!$L$13:$AK$56,S$4,FALSE))=TRUE,"",
              VLOOKUP($G45,SantoYusuf!$L$13:$AK$56,S$4,FALSE)))</f>
        <v/>
      </c>
      <c r="T45" s="18" t="str">
        <f>IF(ISNUMBER($L$6)=FALSE,"",
        IF(ISERROR(VLOOKUP($G45,SantoYusuf!$L$13:$AK$56,T$4,FALSE))=TRUE,"",
              VLOOKUP($G45,SantoYusuf!$L$13:$AK$56,T$4,FALSE)))</f>
        <v/>
      </c>
      <c r="U45" s="18" t="str">
        <f>IF(ISNUMBER($L$6)=FALSE,"",
        IF(ISERROR(VLOOKUP($G45,SantoYusuf!$L$13:$AK$56,U$4,FALSE))=TRUE,"",
              VLOOKUP($G45,SantoYusuf!$L$13:$AK$56,U$4,FALSE)))</f>
        <v/>
      </c>
      <c r="V45" s="18" t="str">
        <f>IF(ISNUMBER($L$6)=FALSE,"",
        IF(ISERROR(VLOOKUP($G45,SantoYusuf!$L$13:$AK$56,V$4,FALSE))=TRUE,"",
              VLOOKUP($G45,SantoYusuf!$L$13:$AK$56,V$4,FALSE)))</f>
        <v/>
      </c>
      <c r="W45" s="18" t="str">
        <f>IF(ISNUMBER($L$6)=FALSE,"",
        IF(ISERROR(VLOOKUP($G45,SantoYusuf!$L$13:$AK$56,W$4,FALSE))=TRUE,"",
              VLOOKUP($G45,SantoYusuf!$L$13:$AK$56,W$4,FALSE)))</f>
        <v/>
      </c>
      <c r="X45" s="18" t="str">
        <f>IF(ISNUMBER($L$6)=FALSE,"",
        IF(ISERROR(VLOOKUP($G45,SantoYusuf!$L$13:$AK$56,X$4,FALSE))=TRUE,"",
              VLOOKUP($G45,SantoYusuf!$L$13:$AK$56,X$4,FALSE)))</f>
        <v/>
      </c>
      <c r="Y45" s="18" t="str">
        <f>IF(ISNUMBER($L$6)=FALSE,"",
        IF(ISERROR(VLOOKUP($G45,SantoYusuf!$L$13:$AK$56,Y$4,FALSE))=TRUE,"",
              VLOOKUP($G45,SantoYusuf!$L$13:$AK$56,Y$4,FALSE)))</f>
        <v/>
      </c>
      <c r="Z45" s="18" t="str">
        <f>IF(ISNUMBER($L$6)=FALSE,"",
        IF(ISERROR(VLOOKUP($G45,SantoYusuf!$L$13:$AK$56,Z$4,FALSE))=TRUE,"",
              VLOOKUP($G45,SantoYusuf!$L$13:$AK$56,Z$4,FALSE)))</f>
        <v/>
      </c>
      <c r="AA45" s="18" t="str">
        <f>IF(ISNUMBER($L$6)=FALSE,"",
        IF(ISERROR(VLOOKUP($G45,SantoYusuf!$L$13:$AK$56,AA$4,FALSE))=TRUE,"",
              VLOOKUP($G45,SantoYusuf!$L$13:$AK$56,AA$4,FALSE)))</f>
        <v/>
      </c>
      <c r="AB45" s="18" t="str">
        <f>IF(ISNUMBER($L$6)=FALSE,"",
        IF(ISERROR(VLOOKUP($G45,SantoYusuf!$L$13:$AK$56,AB$4,FALSE))=TRUE,"",
              VLOOKUP($G45,SantoYusuf!$L$13:$AK$56,AB$4,FALSE)))</f>
        <v/>
      </c>
      <c r="AC45" s="18" t="str">
        <f>IF(ISNUMBER($L$6)=FALSE,"",
        IF(ISERROR(VLOOKUP($G45,SantoYusuf!$L$13:$AK$56,AC$4,FALSE))=TRUE,"",
              VLOOKUP($G45,SantoYusuf!$L$13:$AK$56,AC$4,FALSE)))</f>
        <v/>
      </c>
      <c r="AD45" s="18" t="str">
        <f>IF(ISNUMBER($L$6)=FALSE,"",
        IF(ISERROR(VLOOKUP($G45,SantoYusuf!$L$13:$AK$56,AD$4,FALSE))=TRUE,"",
              VLOOKUP($G45,SantoYusuf!$L$13:$AK$56,AD$4,FALSE)))</f>
        <v/>
      </c>
      <c r="AE45" s="18" t="str">
        <f>IF(ISNUMBER($L$6)=FALSE,"",
        IF(ISERROR(VLOOKUP($G45,SantoYusuf!$L$13:$AK$56,AE$4,FALSE))=TRUE,"",
              VLOOKUP($G45,SantoYusuf!$L$13:$AK$56,AE$4,FALSE)))</f>
        <v/>
      </c>
      <c r="AF45" s="18" t="str">
        <f>IF(ISNUMBER($L$6)=FALSE,"",
        IF(ISERROR(VLOOKUP($G45,SantoYusuf!$L$13:$AK$56,AF$4,FALSE))=TRUE,"",
              VLOOKUP($G45,SantoYusuf!$L$13:$AK$56,AF$4,FALSE)))</f>
        <v/>
      </c>
    </row>
    <row r="46" spans="1:32" s="60" customFormat="1" ht="10.5" x14ac:dyDescent="0.25">
      <c r="A46" s="59"/>
      <c r="C46" s="59">
        <f t="shared" si="3"/>
        <v>33</v>
      </c>
      <c r="D46" s="61"/>
      <c r="E46" s="77" t="str">
        <f t="shared" si="4"/>
        <v/>
      </c>
      <c r="F46" s="77" t="str">
        <f>IF(ISNUMBER($L$6)=FALSE,"",
IF($C46=0,"",VLOOKUP($E46,SantoYusuf!$H$13:$L$56,4,FALSE)))</f>
        <v/>
      </c>
      <c r="G46" s="77" t="str">
        <f>IF(ISNUMBER($L$6)=FALSE,"",
IF($C46=0,"",VLOOKUP($E46,SantoYusuf!$H$13:$L$56,5,FALSE)))</f>
        <v/>
      </c>
      <c r="H46" s="17" t="str">
        <f t="shared" si="5"/>
        <v/>
      </c>
      <c r="I46" s="18" t="str">
        <f>IF(ISNUMBER($L$6)=FALSE,"",
        IF(ISERROR(VLOOKUP($G46,SantoYusuf!$L$13:$AK$56,I$4,FALSE))=TRUE,"",
              VLOOKUP($G46,SantoYusuf!$L$13:$AK$56,I$4,FALSE)))</f>
        <v/>
      </c>
      <c r="J46" s="18" t="str">
        <f>IF(ISNUMBER($L$6)=FALSE,"",
        IF(ISERROR(VLOOKUP($G46,SantoYusuf!$L$13:$AK$56,J$4,FALSE))=TRUE,"",
              VLOOKUP($G46,SantoYusuf!$L$13:$AK$56,J$4,FALSE)))</f>
        <v/>
      </c>
      <c r="K46" s="18" t="str">
        <f>IF(ISNUMBER($L$6)=FALSE,"",
        IF(ISERROR(VLOOKUP($G46,SantoYusuf!$L$13:$AK$56,K$4,FALSE))=TRUE,"",
              VLOOKUP($G46,SantoYusuf!$L$13:$AK$56,K$4,FALSE)))</f>
        <v/>
      </c>
      <c r="L46" s="18" t="str">
        <f>IF(ISNUMBER($L$6)=FALSE,"",
        IF(ISERROR(VLOOKUP($G46,SantoYusuf!$L$13:$AK$56,L$4,FALSE))=TRUE,"",
              VLOOKUP($G46,SantoYusuf!$L$13:$AK$56,L$4,FALSE)))</f>
        <v/>
      </c>
      <c r="M46" s="18" t="str">
        <f>IF(ISNUMBER($L$6)=FALSE,"",
        IF(ISERROR(VLOOKUP($G46,SantoYusuf!$L$13:$AK$56,M$4,FALSE))=TRUE,"",
              VLOOKUP($G46,SantoYusuf!$L$13:$AK$56,M$4,FALSE)))</f>
        <v/>
      </c>
      <c r="N46" s="18" t="str">
        <f>IF(ISNUMBER($L$6)=FALSE,"",
        IF(ISERROR(VLOOKUP($G46,SantoYusuf!$L$13:$AK$56,N$4,FALSE))=TRUE,"",
              VLOOKUP($G46,SantoYusuf!$L$13:$AK$56,N$4,FALSE)))</f>
        <v/>
      </c>
      <c r="O46" s="18" t="str">
        <f>IF(ISNUMBER($L$6)=FALSE,"",
        IF(ISERROR(VLOOKUP($G46,SantoYusuf!$L$13:$AK$56,O$4,FALSE))=TRUE,"",
              VLOOKUP($G46,SantoYusuf!$L$13:$AK$56,O$4,FALSE)))</f>
        <v/>
      </c>
      <c r="P46" s="18" t="str">
        <f>IF(ISNUMBER($L$6)=FALSE,"",
        IF(ISERROR(VLOOKUP($G46,SantoYusuf!$L$13:$AK$56,P$4,FALSE))=TRUE,"",
              VLOOKUP($G46,SantoYusuf!$L$13:$AK$56,P$4,FALSE)))</f>
        <v/>
      </c>
      <c r="Q46" s="18" t="str">
        <f>IF(ISNUMBER($L$6)=FALSE,"",
        IF(ISERROR(VLOOKUP($G46,SantoYusuf!$L$13:$AK$56,Q$4,FALSE))=TRUE,"",
              VLOOKUP($G46,SantoYusuf!$L$13:$AK$56,Q$4,FALSE)))</f>
        <v/>
      </c>
      <c r="R46" s="18" t="str">
        <f>IF(ISNUMBER($L$6)=FALSE,"",
        IF(ISERROR(VLOOKUP($G46,SantoYusuf!$L$13:$AK$56,R$4,FALSE))=TRUE,"",
              VLOOKUP($G46,SantoYusuf!$L$13:$AK$56,R$4,FALSE)))</f>
        <v/>
      </c>
      <c r="S46" s="18" t="str">
        <f>IF(ISNUMBER($L$6)=FALSE,"",
        IF(ISERROR(VLOOKUP($G46,SantoYusuf!$L$13:$AK$56,S$4,FALSE))=TRUE,"",
              VLOOKUP($G46,SantoYusuf!$L$13:$AK$56,S$4,FALSE)))</f>
        <v/>
      </c>
      <c r="T46" s="18" t="str">
        <f>IF(ISNUMBER($L$6)=FALSE,"",
        IF(ISERROR(VLOOKUP($G46,SantoYusuf!$L$13:$AK$56,T$4,FALSE))=TRUE,"",
              VLOOKUP($G46,SantoYusuf!$L$13:$AK$56,T$4,FALSE)))</f>
        <v/>
      </c>
      <c r="U46" s="18" t="str">
        <f>IF(ISNUMBER($L$6)=FALSE,"",
        IF(ISERROR(VLOOKUP($G46,SantoYusuf!$L$13:$AK$56,U$4,FALSE))=TRUE,"",
              VLOOKUP($G46,SantoYusuf!$L$13:$AK$56,U$4,FALSE)))</f>
        <v/>
      </c>
      <c r="V46" s="18" t="str">
        <f>IF(ISNUMBER($L$6)=FALSE,"",
        IF(ISERROR(VLOOKUP($G46,SantoYusuf!$L$13:$AK$56,V$4,FALSE))=TRUE,"",
              VLOOKUP($G46,SantoYusuf!$L$13:$AK$56,V$4,FALSE)))</f>
        <v/>
      </c>
      <c r="W46" s="18" t="str">
        <f>IF(ISNUMBER($L$6)=FALSE,"",
        IF(ISERROR(VLOOKUP($G46,SantoYusuf!$L$13:$AK$56,W$4,FALSE))=TRUE,"",
              VLOOKUP($G46,SantoYusuf!$L$13:$AK$56,W$4,FALSE)))</f>
        <v/>
      </c>
      <c r="X46" s="18" t="str">
        <f>IF(ISNUMBER($L$6)=FALSE,"",
        IF(ISERROR(VLOOKUP($G46,SantoYusuf!$L$13:$AK$56,X$4,FALSE))=TRUE,"",
              VLOOKUP($G46,SantoYusuf!$L$13:$AK$56,X$4,FALSE)))</f>
        <v/>
      </c>
      <c r="Y46" s="18" t="str">
        <f>IF(ISNUMBER($L$6)=FALSE,"",
        IF(ISERROR(VLOOKUP($G46,SantoYusuf!$L$13:$AK$56,Y$4,FALSE))=TRUE,"",
              VLOOKUP($G46,SantoYusuf!$L$13:$AK$56,Y$4,FALSE)))</f>
        <v/>
      </c>
      <c r="Z46" s="18" t="str">
        <f>IF(ISNUMBER($L$6)=FALSE,"",
        IF(ISERROR(VLOOKUP($G46,SantoYusuf!$L$13:$AK$56,Z$4,FALSE))=TRUE,"",
              VLOOKUP($G46,SantoYusuf!$L$13:$AK$56,Z$4,FALSE)))</f>
        <v/>
      </c>
      <c r="AA46" s="18" t="str">
        <f>IF(ISNUMBER($L$6)=FALSE,"",
        IF(ISERROR(VLOOKUP($G46,SantoYusuf!$L$13:$AK$56,AA$4,FALSE))=TRUE,"",
              VLOOKUP($G46,SantoYusuf!$L$13:$AK$56,AA$4,FALSE)))</f>
        <v/>
      </c>
      <c r="AB46" s="18" t="str">
        <f>IF(ISNUMBER($L$6)=FALSE,"",
        IF(ISERROR(VLOOKUP($G46,SantoYusuf!$L$13:$AK$56,AB$4,FALSE))=TRUE,"",
              VLOOKUP($G46,SantoYusuf!$L$13:$AK$56,AB$4,FALSE)))</f>
        <v/>
      </c>
      <c r="AC46" s="18" t="str">
        <f>IF(ISNUMBER($L$6)=FALSE,"",
        IF(ISERROR(VLOOKUP($G46,SantoYusuf!$L$13:$AK$56,AC$4,FALSE))=TRUE,"",
              VLOOKUP($G46,SantoYusuf!$L$13:$AK$56,AC$4,FALSE)))</f>
        <v/>
      </c>
      <c r="AD46" s="18" t="str">
        <f>IF(ISNUMBER($L$6)=FALSE,"",
        IF(ISERROR(VLOOKUP($G46,SantoYusuf!$L$13:$AK$56,AD$4,FALSE))=TRUE,"",
              VLOOKUP($G46,SantoYusuf!$L$13:$AK$56,AD$4,FALSE)))</f>
        <v/>
      </c>
      <c r="AE46" s="18" t="str">
        <f>IF(ISNUMBER($L$6)=FALSE,"",
        IF(ISERROR(VLOOKUP($G46,SantoYusuf!$L$13:$AK$56,AE$4,FALSE))=TRUE,"",
              VLOOKUP($G46,SantoYusuf!$L$13:$AK$56,AE$4,FALSE)))</f>
        <v/>
      </c>
      <c r="AF46" s="18" t="str">
        <f>IF(ISNUMBER($L$6)=FALSE,"",
        IF(ISERROR(VLOOKUP($G46,SantoYusuf!$L$13:$AK$56,AF$4,FALSE))=TRUE,"",
              VLOOKUP($G46,SantoYusuf!$L$13:$AK$56,AF$4,FALSE)))</f>
        <v/>
      </c>
    </row>
    <row r="47" spans="1:32" s="60" customFormat="1" ht="10.5" x14ac:dyDescent="0.25">
      <c r="A47" s="59"/>
      <c r="C47" s="59">
        <f t="shared" si="3"/>
        <v>34</v>
      </c>
      <c r="D47" s="61"/>
      <c r="E47" s="77" t="str">
        <f t="shared" si="4"/>
        <v/>
      </c>
      <c r="F47" s="77" t="str">
        <f>IF(ISNUMBER($L$6)=FALSE,"",
IF($C47=0,"",VLOOKUP($E47,SantoYusuf!$H$13:$L$56,4,FALSE)))</f>
        <v/>
      </c>
      <c r="G47" s="77" t="str">
        <f>IF(ISNUMBER($L$6)=FALSE,"",
IF($C47=0,"",VLOOKUP($E47,SantoYusuf!$H$13:$L$56,5,FALSE)))</f>
        <v/>
      </c>
      <c r="H47" s="17" t="str">
        <f t="shared" si="5"/>
        <v/>
      </c>
      <c r="I47" s="18" t="str">
        <f>IF(ISNUMBER($L$6)=FALSE,"",
        IF(ISERROR(VLOOKUP($G47,SantoYusuf!$L$13:$AK$56,I$4,FALSE))=TRUE,"",
              VLOOKUP($G47,SantoYusuf!$L$13:$AK$56,I$4,FALSE)))</f>
        <v/>
      </c>
      <c r="J47" s="18" t="str">
        <f>IF(ISNUMBER($L$6)=FALSE,"",
        IF(ISERROR(VLOOKUP($G47,SantoYusuf!$L$13:$AK$56,J$4,FALSE))=TRUE,"",
              VLOOKUP($G47,SantoYusuf!$L$13:$AK$56,J$4,FALSE)))</f>
        <v/>
      </c>
      <c r="K47" s="18" t="str">
        <f>IF(ISNUMBER($L$6)=FALSE,"",
        IF(ISERROR(VLOOKUP($G47,SantoYusuf!$L$13:$AK$56,K$4,FALSE))=TRUE,"",
              VLOOKUP($G47,SantoYusuf!$L$13:$AK$56,K$4,FALSE)))</f>
        <v/>
      </c>
      <c r="L47" s="18" t="str">
        <f>IF(ISNUMBER($L$6)=FALSE,"",
        IF(ISERROR(VLOOKUP($G47,SantoYusuf!$L$13:$AK$56,L$4,FALSE))=TRUE,"",
              VLOOKUP($G47,SantoYusuf!$L$13:$AK$56,L$4,FALSE)))</f>
        <v/>
      </c>
      <c r="M47" s="18" t="str">
        <f>IF(ISNUMBER($L$6)=FALSE,"",
        IF(ISERROR(VLOOKUP($G47,SantoYusuf!$L$13:$AK$56,M$4,FALSE))=TRUE,"",
              VLOOKUP($G47,SantoYusuf!$L$13:$AK$56,M$4,FALSE)))</f>
        <v/>
      </c>
      <c r="N47" s="18" t="str">
        <f>IF(ISNUMBER($L$6)=FALSE,"",
        IF(ISERROR(VLOOKUP($G47,SantoYusuf!$L$13:$AK$56,N$4,FALSE))=TRUE,"",
              VLOOKUP($G47,SantoYusuf!$L$13:$AK$56,N$4,FALSE)))</f>
        <v/>
      </c>
      <c r="O47" s="18" t="str">
        <f>IF(ISNUMBER($L$6)=FALSE,"",
        IF(ISERROR(VLOOKUP($G47,SantoYusuf!$L$13:$AK$56,O$4,FALSE))=TRUE,"",
              VLOOKUP($G47,SantoYusuf!$L$13:$AK$56,O$4,FALSE)))</f>
        <v/>
      </c>
      <c r="P47" s="18" t="str">
        <f>IF(ISNUMBER($L$6)=FALSE,"",
        IF(ISERROR(VLOOKUP($G47,SantoYusuf!$L$13:$AK$56,P$4,FALSE))=TRUE,"",
              VLOOKUP($G47,SantoYusuf!$L$13:$AK$56,P$4,FALSE)))</f>
        <v/>
      </c>
      <c r="Q47" s="18" t="str">
        <f>IF(ISNUMBER($L$6)=FALSE,"",
        IF(ISERROR(VLOOKUP($G47,SantoYusuf!$L$13:$AK$56,Q$4,FALSE))=TRUE,"",
              VLOOKUP($G47,SantoYusuf!$L$13:$AK$56,Q$4,FALSE)))</f>
        <v/>
      </c>
      <c r="R47" s="18" t="str">
        <f>IF(ISNUMBER($L$6)=FALSE,"",
        IF(ISERROR(VLOOKUP($G47,SantoYusuf!$L$13:$AK$56,R$4,FALSE))=TRUE,"",
              VLOOKUP($G47,SantoYusuf!$L$13:$AK$56,R$4,FALSE)))</f>
        <v/>
      </c>
      <c r="S47" s="18" t="str">
        <f>IF(ISNUMBER($L$6)=FALSE,"",
        IF(ISERROR(VLOOKUP($G47,SantoYusuf!$L$13:$AK$56,S$4,FALSE))=TRUE,"",
              VLOOKUP($G47,SantoYusuf!$L$13:$AK$56,S$4,FALSE)))</f>
        <v/>
      </c>
      <c r="T47" s="18" t="str">
        <f>IF(ISNUMBER($L$6)=FALSE,"",
        IF(ISERROR(VLOOKUP($G47,SantoYusuf!$L$13:$AK$56,T$4,FALSE))=TRUE,"",
              VLOOKUP($G47,SantoYusuf!$L$13:$AK$56,T$4,FALSE)))</f>
        <v/>
      </c>
      <c r="U47" s="18" t="str">
        <f>IF(ISNUMBER($L$6)=FALSE,"",
        IF(ISERROR(VLOOKUP($G47,SantoYusuf!$L$13:$AK$56,U$4,FALSE))=TRUE,"",
              VLOOKUP($G47,SantoYusuf!$L$13:$AK$56,U$4,FALSE)))</f>
        <v/>
      </c>
      <c r="V47" s="18" t="str">
        <f>IF(ISNUMBER($L$6)=FALSE,"",
        IF(ISERROR(VLOOKUP($G47,SantoYusuf!$L$13:$AK$56,V$4,FALSE))=TRUE,"",
              VLOOKUP($G47,SantoYusuf!$L$13:$AK$56,V$4,FALSE)))</f>
        <v/>
      </c>
      <c r="W47" s="18" t="str">
        <f>IF(ISNUMBER($L$6)=FALSE,"",
        IF(ISERROR(VLOOKUP($G47,SantoYusuf!$L$13:$AK$56,W$4,FALSE))=TRUE,"",
              VLOOKUP($G47,SantoYusuf!$L$13:$AK$56,W$4,FALSE)))</f>
        <v/>
      </c>
      <c r="X47" s="18" t="str">
        <f>IF(ISNUMBER($L$6)=FALSE,"",
        IF(ISERROR(VLOOKUP($G47,SantoYusuf!$L$13:$AK$56,X$4,FALSE))=TRUE,"",
              VLOOKUP($G47,SantoYusuf!$L$13:$AK$56,X$4,FALSE)))</f>
        <v/>
      </c>
      <c r="Y47" s="18" t="str">
        <f>IF(ISNUMBER($L$6)=FALSE,"",
        IF(ISERROR(VLOOKUP($G47,SantoYusuf!$L$13:$AK$56,Y$4,FALSE))=TRUE,"",
              VLOOKUP($G47,SantoYusuf!$L$13:$AK$56,Y$4,FALSE)))</f>
        <v/>
      </c>
      <c r="Z47" s="18" t="str">
        <f>IF(ISNUMBER($L$6)=FALSE,"",
        IF(ISERROR(VLOOKUP($G47,SantoYusuf!$L$13:$AK$56,Z$4,FALSE))=TRUE,"",
              VLOOKUP($G47,SantoYusuf!$L$13:$AK$56,Z$4,FALSE)))</f>
        <v/>
      </c>
      <c r="AA47" s="18" t="str">
        <f>IF(ISNUMBER($L$6)=FALSE,"",
        IF(ISERROR(VLOOKUP($G47,SantoYusuf!$L$13:$AK$56,AA$4,FALSE))=TRUE,"",
              VLOOKUP($G47,SantoYusuf!$L$13:$AK$56,AA$4,FALSE)))</f>
        <v/>
      </c>
      <c r="AB47" s="18" t="str">
        <f>IF(ISNUMBER($L$6)=FALSE,"",
        IF(ISERROR(VLOOKUP($G47,SantoYusuf!$L$13:$AK$56,AB$4,FALSE))=TRUE,"",
              VLOOKUP($G47,SantoYusuf!$L$13:$AK$56,AB$4,FALSE)))</f>
        <v/>
      </c>
      <c r="AC47" s="18" t="str">
        <f>IF(ISNUMBER($L$6)=FALSE,"",
        IF(ISERROR(VLOOKUP($G47,SantoYusuf!$L$13:$AK$56,AC$4,FALSE))=TRUE,"",
              VLOOKUP($G47,SantoYusuf!$L$13:$AK$56,AC$4,FALSE)))</f>
        <v/>
      </c>
      <c r="AD47" s="18" t="str">
        <f>IF(ISNUMBER($L$6)=FALSE,"",
        IF(ISERROR(VLOOKUP($G47,SantoYusuf!$L$13:$AK$56,AD$4,FALSE))=TRUE,"",
              VLOOKUP($G47,SantoYusuf!$L$13:$AK$56,AD$4,FALSE)))</f>
        <v/>
      </c>
      <c r="AE47" s="18" t="str">
        <f>IF(ISNUMBER($L$6)=FALSE,"",
        IF(ISERROR(VLOOKUP($G47,SantoYusuf!$L$13:$AK$56,AE$4,FALSE))=TRUE,"",
              VLOOKUP($G47,SantoYusuf!$L$13:$AK$56,AE$4,FALSE)))</f>
        <v/>
      </c>
      <c r="AF47" s="18" t="str">
        <f>IF(ISNUMBER($L$6)=FALSE,"",
        IF(ISERROR(VLOOKUP($G47,SantoYusuf!$L$13:$AK$56,AF$4,FALSE))=TRUE,"",
              VLOOKUP($G47,SantoYusuf!$L$13:$AK$56,AF$4,FALSE)))</f>
        <v/>
      </c>
    </row>
    <row r="48" spans="1:32" s="60" customFormat="1" ht="10.5" x14ac:dyDescent="0.25">
      <c r="A48" s="59"/>
      <c r="C48" s="59">
        <f t="shared" si="3"/>
        <v>35</v>
      </c>
      <c r="D48" s="61"/>
      <c r="E48" s="77" t="str">
        <f t="shared" si="4"/>
        <v/>
      </c>
      <c r="F48" s="77" t="str">
        <f>IF(ISNUMBER($L$6)=FALSE,"",
IF($C48=0,"",VLOOKUP($E48,SantoYusuf!$H$13:$L$56,4,FALSE)))</f>
        <v/>
      </c>
      <c r="G48" s="77" t="str">
        <f>IF(ISNUMBER($L$6)=FALSE,"",
IF($C48=0,"",VLOOKUP($E48,SantoYusuf!$H$13:$L$56,5,FALSE)))</f>
        <v/>
      </c>
      <c r="H48" s="17" t="str">
        <f t="shared" si="5"/>
        <v/>
      </c>
      <c r="I48" s="18" t="str">
        <f>IF(ISNUMBER($L$6)=FALSE,"",
        IF(ISERROR(VLOOKUP($G48,SantoYusuf!$L$13:$AK$56,I$4,FALSE))=TRUE,"",
              VLOOKUP($G48,SantoYusuf!$L$13:$AK$56,I$4,FALSE)))</f>
        <v/>
      </c>
      <c r="J48" s="18" t="str">
        <f>IF(ISNUMBER($L$6)=FALSE,"",
        IF(ISERROR(VLOOKUP($G48,SantoYusuf!$L$13:$AK$56,J$4,FALSE))=TRUE,"",
              VLOOKUP($G48,SantoYusuf!$L$13:$AK$56,J$4,FALSE)))</f>
        <v/>
      </c>
      <c r="K48" s="18" t="str">
        <f>IF(ISNUMBER($L$6)=FALSE,"",
        IF(ISERROR(VLOOKUP($G48,SantoYusuf!$L$13:$AK$56,K$4,FALSE))=TRUE,"",
              VLOOKUP($G48,SantoYusuf!$L$13:$AK$56,K$4,FALSE)))</f>
        <v/>
      </c>
      <c r="L48" s="18" t="str">
        <f>IF(ISNUMBER($L$6)=FALSE,"",
        IF(ISERROR(VLOOKUP($G48,SantoYusuf!$L$13:$AK$56,L$4,FALSE))=TRUE,"",
              VLOOKUP($G48,SantoYusuf!$L$13:$AK$56,L$4,FALSE)))</f>
        <v/>
      </c>
      <c r="M48" s="18" t="str">
        <f>IF(ISNUMBER($L$6)=FALSE,"",
        IF(ISERROR(VLOOKUP($G48,SantoYusuf!$L$13:$AK$56,M$4,FALSE))=TRUE,"",
              VLOOKUP($G48,SantoYusuf!$L$13:$AK$56,M$4,FALSE)))</f>
        <v/>
      </c>
      <c r="N48" s="18" t="str">
        <f>IF(ISNUMBER($L$6)=FALSE,"",
        IF(ISERROR(VLOOKUP($G48,SantoYusuf!$L$13:$AK$56,N$4,FALSE))=TRUE,"",
              VLOOKUP($G48,SantoYusuf!$L$13:$AK$56,N$4,FALSE)))</f>
        <v/>
      </c>
      <c r="O48" s="18" t="str">
        <f>IF(ISNUMBER($L$6)=FALSE,"",
        IF(ISERROR(VLOOKUP($G48,SantoYusuf!$L$13:$AK$56,O$4,FALSE))=TRUE,"",
              VLOOKUP($G48,SantoYusuf!$L$13:$AK$56,O$4,FALSE)))</f>
        <v/>
      </c>
      <c r="P48" s="18" t="str">
        <f>IF(ISNUMBER($L$6)=FALSE,"",
        IF(ISERROR(VLOOKUP($G48,SantoYusuf!$L$13:$AK$56,P$4,FALSE))=TRUE,"",
              VLOOKUP($G48,SantoYusuf!$L$13:$AK$56,P$4,FALSE)))</f>
        <v/>
      </c>
      <c r="Q48" s="18" t="str">
        <f>IF(ISNUMBER($L$6)=FALSE,"",
        IF(ISERROR(VLOOKUP($G48,SantoYusuf!$L$13:$AK$56,Q$4,FALSE))=TRUE,"",
              VLOOKUP($G48,SantoYusuf!$L$13:$AK$56,Q$4,FALSE)))</f>
        <v/>
      </c>
      <c r="R48" s="18" t="str">
        <f>IF(ISNUMBER($L$6)=FALSE,"",
        IF(ISERROR(VLOOKUP($G48,SantoYusuf!$L$13:$AK$56,R$4,FALSE))=TRUE,"",
              VLOOKUP($G48,SantoYusuf!$L$13:$AK$56,R$4,FALSE)))</f>
        <v/>
      </c>
      <c r="S48" s="18" t="str">
        <f>IF(ISNUMBER($L$6)=FALSE,"",
        IF(ISERROR(VLOOKUP($G48,SantoYusuf!$L$13:$AK$56,S$4,FALSE))=TRUE,"",
              VLOOKUP($G48,SantoYusuf!$L$13:$AK$56,S$4,FALSE)))</f>
        <v/>
      </c>
      <c r="T48" s="18" t="str">
        <f>IF(ISNUMBER($L$6)=FALSE,"",
        IF(ISERROR(VLOOKUP($G48,SantoYusuf!$L$13:$AK$56,T$4,FALSE))=TRUE,"",
              VLOOKUP($G48,SantoYusuf!$L$13:$AK$56,T$4,FALSE)))</f>
        <v/>
      </c>
      <c r="U48" s="18" t="str">
        <f>IF(ISNUMBER($L$6)=FALSE,"",
        IF(ISERROR(VLOOKUP($G48,SantoYusuf!$L$13:$AK$56,U$4,FALSE))=TRUE,"",
              VLOOKUP($G48,SantoYusuf!$L$13:$AK$56,U$4,FALSE)))</f>
        <v/>
      </c>
      <c r="V48" s="18" t="str">
        <f>IF(ISNUMBER($L$6)=FALSE,"",
        IF(ISERROR(VLOOKUP($G48,SantoYusuf!$L$13:$AK$56,V$4,FALSE))=TRUE,"",
              VLOOKUP($G48,SantoYusuf!$L$13:$AK$56,V$4,FALSE)))</f>
        <v/>
      </c>
      <c r="W48" s="18" t="str">
        <f>IF(ISNUMBER($L$6)=FALSE,"",
        IF(ISERROR(VLOOKUP($G48,SantoYusuf!$L$13:$AK$56,W$4,FALSE))=TRUE,"",
              VLOOKUP($G48,SantoYusuf!$L$13:$AK$56,W$4,FALSE)))</f>
        <v/>
      </c>
      <c r="X48" s="18" t="str">
        <f>IF(ISNUMBER($L$6)=FALSE,"",
        IF(ISERROR(VLOOKUP($G48,SantoYusuf!$L$13:$AK$56,X$4,FALSE))=TRUE,"",
              VLOOKUP($G48,SantoYusuf!$L$13:$AK$56,X$4,FALSE)))</f>
        <v/>
      </c>
      <c r="Y48" s="18" t="str">
        <f>IF(ISNUMBER($L$6)=FALSE,"",
        IF(ISERROR(VLOOKUP($G48,SantoYusuf!$L$13:$AK$56,Y$4,FALSE))=TRUE,"",
              VLOOKUP($G48,SantoYusuf!$L$13:$AK$56,Y$4,FALSE)))</f>
        <v/>
      </c>
      <c r="Z48" s="18" t="str">
        <f>IF(ISNUMBER($L$6)=FALSE,"",
        IF(ISERROR(VLOOKUP($G48,SantoYusuf!$L$13:$AK$56,Z$4,FALSE))=TRUE,"",
              VLOOKUP($G48,SantoYusuf!$L$13:$AK$56,Z$4,FALSE)))</f>
        <v/>
      </c>
      <c r="AA48" s="18" t="str">
        <f>IF(ISNUMBER($L$6)=FALSE,"",
        IF(ISERROR(VLOOKUP($G48,SantoYusuf!$L$13:$AK$56,AA$4,FALSE))=TRUE,"",
              VLOOKUP($G48,SantoYusuf!$L$13:$AK$56,AA$4,FALSE)))</f>
        <v/>
      </c>
      <c r="AB48" s="18" t="str">
        <f>IF(ISNUMBER($L$6)=FALSE,"",
        IF(ISERROR(VLOOKUP($G48,SantoYusuf!$L$13:$AK$56,AB$4,FALSE))=TRUE,"",
              VLOOKUP($G48,SantoYusuf!$L$13:$AK$56,AB$4,FALSE)))</f>
        <v/>
      </c>
      <c r="AC48" s="18" t="str">
        <f>IF(ISNUMBER($L$6)=FALSE,"",
        IF(ISERROR(VLOOKUP($G48,SantoYusuf!$L$13:$AK$56,AC$4,FALSE))=TRUE,"",
              VLOOKUP($G48,SantoYusuf!$L$13:$AK$56,AC$4,FALSE)))</f>
        <v/>
      </c>
      <c r="AD48" s="18" t="str">
        <f>IF(ISNUMBER($L$6)=FALSE,"",
        IF(ISERROR(VLOOKUP($G48,SantoYusuf!$L$13:$AK$56,AD$4,FALSE))=TRUE,"",
              VLOOKUP($G48,SantoYusuf!$L$13:$AK$56,AD$4,FALSE)))</f>
        <v/>
      </c>
      <c r="AE48" s="18" t="str">
        <f>IF(ISNUMBER($L$6)=FALSE,"",
        IF(ISERROR(VLOOKUP($G48,SantoYusuf!$L$13:$AK$56,AE$4,FALSE))=TRUE,"",
              VLOOKUP($G48,SantoYusuf!$L$13:$AK$56,AE$4,FALSE)))</f>
        <v/>
      </c>
      <c r="AF48" s="18" t="str">
        <f>IF(ISNUMBER($L$6)=FALSE,"",
        IF(ISERROR(VLOOKUP($G48,SantoYusuf!$L$13:$AK$56,AF$4,FALSE))=TRUE,"",
              VLOOKUP($G48,SantoYusuf!$L$13:$AK$56,AF$4,FALSE)))</f>
        <v/>
      </c>
    </row>
    <row r="49" spans="1:32" s="60" customFormat="1" ht="10.5" x14ac:dyDescent="0.25">
      <c r="A49" s="59"/>
      <c r="C49" s="59">
        <f t="shared" si="3"/>
        <v>36</v>
      </c>
      <c r="D49" s="61"/>
      <c r="E49" s="77" t="str">
        <f t="shared" si="4"/>
        <v/>
      </c>
      <c r="F49" s="77" t="str">
        <f>IF(ISNUMBER($L$6)=FALSE,"",
IF($C49=0,"",VLOOKUP($E49,SantoYusuf!$H$13:$L$56,4,FALSE)))</f>
        <v/>
      </c>
      <c r="G49" s="77" t="str">
        <f>IF(ISNUMBER($L$6)=FALSE,"",
IF($C49=0,"",VLOOKUP($E49,SantoYusuf!$H$13:$L$56,5,FALSE)))</f>
        <v/>
      </c>
      <c r="H49" s="17" t="str">
        <f t="shared" si="5"/>
        <v/>
      </c>
      <c r="I49" s="18" t="str">
        <f>IF(ISNUMBER($L$6)=FALSE,"",
        IF(ISERROR(VLOOKUP($G49,SantoYusuf!$L$13:$AK$56,I$4,FALSE))=TRUE,"",
              VLOOKUP($G49,SantoYusuf!$L$13:$AK$56,I$4,FALSE)))</f>
        <v/>
      </c>
      <c r="J49" s="18" t="str">
        <f>IF(ISNUMBER($L$6)=FALSE,"",
        IF(ISERROR(VLOOKUP($G49,SantoYusuf!$L$13:$AK$56,J$4,FALSE))=TRUE,"",
              VLOOKUP($G49,SantoYusuf!$L$13:$AK$56,J$4,FALSE)))</f>
        <v/>
      </c>
      <c r="K49" s="18" t="str">
        <f>IF(ISNUMBER($L$6)=FALSE,"",
        IF(ISERROR(VLOOKUP($G49,SantoYusuf!$L$13:$AK$56,K$4,FALSE))=TRUE,"",
              VLOOKUP($G49,SantoYusuf!$L$13:$AK$56,K$4,FALSE)))</f>
        <v/>
      </c>
      <c r="L49" s="18" t="str">
        <f>IF(ISNUMBER($L$6)=FALSE,"",
        IF(ISERROR(VLOOKUP($G49,SantoYusuf!$L$13:$AK$56,L$4,FALSE))=TRUE,"",
              VLOOKUP($G49,SantoYusuf!$L$13:$AK$56,L$4,FALSE)))</f>
        <v/>
      </c>
      <c r="M49" s="18" t="str">
        <f>IF(ISNUMBER($L$6)=FALSE,"",
        IF(ISERROR(VLOOKUP($G49,SantoYusuf!$L$13:$AK$56,M$4,FALSE))=TRUE,"",
              VLOOKUP($G49,SantoYusuf!$L$13:$AK$56,M$4,FALSE)))</f>
        <v/>
      </c>
      <c r="N49" s="18" t="str">
        <f>IF(ISNUMBER($L$6)=FALSE,"",
        IF(ISERROR(VLOOKUP($G49,SantoYusuf!$L$13:$AK$56,N$4,FALSE))=TRUE,"",
              VLOOKUP($G49,SantoYusuf!$L$13:$AK$56,N$4,FALSE)))</f>
        <v/>
      </c>
      <c r="O49" s="18" t="str">
        <f>IF(ISNUMBER($L$6)=FALSE,"",
        IF(ISERROR(VLOOKUP($G49,SantoYusuf!$L$13:$AK$56,O$4,FALSE))=TRUE,"",
              VLOOKUP($G49,SantoYusuf!$L$13:$AK$56,O$4,FALSE)))</f>
        <v/>
      </c>
      <c r="P49" s="18" t="str">
        <f>IF(ISNUMBER($L$6)=FALSE,"",
        IF(ISERROR(VLOOKUP($G49,SantoYusuf!$L$13:$AK$56,P$4,FALSE))=TRUE,"",
              VLOOKUP($G49,SantoYusuf!$L$13:$AK$56,P$4,FALSE)))</f>
        <v/>
      </c>
      <c r="Q49" s="18" t="str">
        <f>IF(ISNUMBER($L$6)=FALSE,"",
        IF(ISERROR(VLOOKUP($G49,SantoYusuf!$L$13:$AK$56,Q$4,FALSE))=TRUE,"",
              VLOOKUP($G49,SantoYusuf!$L$13:$AK$56,Q$4,FALSE)))</f>
        <v/>
      </c>
      <c r="R49" s="18" t="str">
        <f>IF(ISNUMBER($L$6)=FALSE,"",
        IF(ISERROR(VLOOKUP($G49,SantoYusuf!$L$13:$AK$56,R$4,FALSE))=TRUE,"",
              VLOOKUP($G49,SantoYusuf!$L$13:$AK$56,R$4,FALSE)))</f>
        <v/>
      </c>
      <c r="S49" s="18" t="str">
        <f>IF(ISNUMBER($L$6)=FALSE,"",
        IF(ISERROR(VLOOKUP($G49,SantoYusuf!$L$13:$AK$56,S$4,FALSE))=TRUE,"",
              VLOOKUP($G49,SantoYusuf!$L$13:$AK$56,S$4,FALSE)))</f>
        <v/>
      </c>
      <c r="T49" s="18" t="str">
        <f>IF(ISNUMBER($L$6)=FALSE,"",
        IF(ISERROR(VLOOKUP($G49,SantoYusuf!$L$13:$AK$56,T$4,FALSE))=TRUE,"",
              VLOOKUP($G49,SantoYusuf!$L$13:$AK$56,T$4,FALSE)))</f>
        <v/>
      </c>
      <c r="U49" s="18" t="str">
        <f>IF(ISNUMBER($L$6)=FALSE,"",
        IF(ISERROR(VLOOKUP($G49,SantoYusuf!$L$13:$AK$56,U$4,FALSE))=TRUE,"",
              VLOOKUP($G49,SantoYusuf!$L$13:$AK$56,U$4,FALSE)))</f>
        <v/>
      </c>
      <c r="V49" s="18" t="str">
        <f>IF(ISNUMBER($L$6)=FALSE,"",
        IF(ISERROR(VLOOKUP($G49,SantoYusuf!$L$13:$AK$56,V$4,FALSE))=TRUE,"",
              VLOOKUP($G49,SantoYusuf!$L$13:$AK$56,V$4,FALSE)))</f>
        <v/>
      </c>
      <c r="W49" s="18" t="str">
        <f>IF(ISNUMBER($L$6)=FALSE,"",
        IF(ISERROR(VLOOKUP($G49,SantoYusuf!$L$13:$AK$56,W$4,FALSE))=TRUE,"",
              VLOOKUP($G49,SantoYusuf!$L$13:$AK$56,W$4,FALSE)))</f>
        <v/>
      </c>
      <c r="X49" s="18" t="str">
        <f>IF(ISNUMBER($L$6)=FALSE,"",
        IF(ISERROR(VLOOKUP($G49,SantoYusuf!$L$13:$AK$56,X$4,FALSE))=TRUE,"",
              VLOOKUP($G49,SantoYusuf!$L$13:$AK$56,X$4,FALSE)))</f>
        <v/>
      </c>
      <c r="Y49" s="18" t="str">
        <f>IF(ISNUMBER($L$6)=FALSE,"",
        IF(ISERROR(VLOOKUP($G49,SantoYusuf!$L$13:$AK$56,Y$4,FALSE))=TRUE,"",
              VLOOKUP($G49,SantoYusuf!$L$13:$AK$56,Y$4,FALSE)))</f>
        <v/>
      </c>
      <c r="Z49" s="18" t="str">
        <f>IF(ISNUMBER($L$6)=FALSE,"",
        IF(ISERROR(VLOOKUP($G49,SantoYusuf!$L$13:$AK$56,Z$4,FALSE))=TRUE,"",
              VLOOKUP($G49,SantoYusuf!$L$13:$AK$56,Z$4,FALSE)))</f>
        <v/>
      </c>
      <c r="AA49" s="18" t="str">
        <f>IF(ISNUMBER($L$6)=FALSE,"",
        IF(ISERROR(VLOOKUP($G49,SantoYusuf!$L$13:$AK$56,AA$4,FALSE))=TRUE,"",
              VLOOKUP($G49,SantoYusuf!$L$13:$AK$56,AA$4,FALSE)))</f>
        <v/>
      </c>
      <c r="AB49" s="18" t="str">
        <f>IF(ISNUMBER($L$6)=FALSE,"",
        IF(ISERROR(VLOOKUP($G49,SantoYusuf!$L$13:$AK$56,AB$4,FALSE))=TRUE,"",
              VLOOKUP($G49,SantoYusuf!$L$13:$AK$56,AB$4,FALSE)))</f>
        <v/>
      </c>
      <c r="AC49" s="18" t="str">
        <f>IF(ISNUMBER($L$6)=FALSE,"",
        IF(ISERROR(VLOOKUP($G49,SantoYusuf!$L$13:$AK$56,AC$4,FALSE))=TRUE,"",
              VLOOKUP($G49,SantoYusuf!$L$13:$AK$56,AC$4,FALSE)))</f>
        <v/>
      </c>
      <c r="AD49" s="18" t="str">
        <f>IF(ISNUMBER($L$6)=FALSE,"",
        IF(ISERROR(VLOOKUP($G49,SantoYusuf!$L$13:$AK$56,AD$4,FALSE))=TRUE,"",
              VLOOKUP($G49,SantoYusuf!$L$13:$AK$56,AD$4,FALSE)))</f>
        <v/>
      </c>
      <c r="AE49" s="18" t="str">
        <f>IF(ISNUMBER($L$6)=FALSE,"",
        IF(ISERROR(VLOOKUP($G49,SantoYusuf!$L$13:$AK$56,AE$4,FALSE))=TRUE,"",
              VLOOKUP($G49,SantoYusuf!$L$13:$AK$56,AE$4,FALSE)))</f>
        <v/>
      </c>
      <c r="AF49" s="18" t="str">
        <f>IF(ISNUMBER($L$6)=FALSE,"",
        IF(ISERROR(VLOOKUP($G49,SantoYusuf!$L$13:$AK$56,AF$4,FALSE))=TRUE,"",
              VLOOKUP($G49,SantoYusuf!$L$13:$AK$56,AF$4,FALSE)))</f>
        <v/>
      </c>
    </row>
    <row r="50" spans="1:32" s="60" customFormat="1" ht="10.5" x14ac:dyDescent="0.25">
      <c r="A50" s="59"/>
      <c r="C50" s="59">
        <f t="shared" si="3"/>
        <v>37</v>
      </c>
      <c r="D50" s="61"/>
      <c r="E50" s="77" t="str">
        <f t="shared" si="4"/>
        <v/>
      </c>
      <c r="F50" s="77" t="str">
        <f>IF(ISNUMBER($L$6)=FALSE,"",
IF($C50=0,"",VLOOKUP($E50,SantoYusuf!$H$13:$L$56,4,FALSE)))</f>
        <v/>
      </c>
      <c r="G50" s="77" t="str">
        <f>IF(ISNUMBER($L$6)=FALSE,"",
IF($C50=0,"",VLOOKUP($E50,SantoYusuf!$H$13:$L$56,5,FALSE)))</f>
        <v/>
      </c>
      <c r="H50" s="17" t="str">
        <f t="shared" si="5"/>
        <v/>
      </c>
      <c r="I50" s="18" t="str">
        <f>IF(ISNUMBER($L$6)=FALSE,"",
        IF(ISERROR(VLOOKUP($G50,SantoYusuf!$L$13:$AK$56,I$4,FALSE))=TRUE,"",
              VLOOKUP($G50,SantoYusuf!$L$13:$AK$56,I$4,FALSE)))</f>
        <v/>
      </c>
      <c r="J50" s="18" t="str">
        <f>IF(ISNUMBER($L$6)=FALSE,"",
        IF(ISERROR(VLOOKUP($G50,SantoYusuf!$L$13:$AK$56,J$4,FALSE))=TRUE,"",
              VLOOKUP($G50,SantoYusuf!$L$13:$AK$56,J$4,FALSE)))</f>
        <v/>
      </c>
      <c r="K50" s="18" t="str">
        <f>IF(ISNUMBER($L$6)=FALSE,"",
        IF(ISERROR(VLOOKUP($G50,SantoYusuf!$L$13:$AK$56,K$4,FALSE))=TRUE,"",
              VLOOKUP($G50,SantoYusuf!$L$13:$AK$56,K$4,FALSE)))</f>
        <v/>
      </c>
      <c r="L50" s="18" t="str">
        <f>IF(ISNUMBER($L$6)=FALSE,"",
        IF(ISERROR(VLOOKUP($G50,SantoYusuf!$L$13:$AK$56,L$4,FALSE))=TRUE,"",
              VLOOKUP($G50,SantoYusuf!$L$13:$AK$56,L$4,FALSE)))</f>
        <v/>
      </c>
      <c r="M50" s="18" t="str">
        <f>IF(ISNUMBER($L$6)=FALSE,"",
        IF(ISERROR(VLOOKUP($G50,SantoYusuf!$L$13:$AK$56,M$4,FALSE))=TRUE,"",
              VLOOKUP($G50,SantoYusuf!$L$13:$AK$56,M$4,FALSE)))</f>
        <v/>
      </c>
      <c r="N50" s="18" t="str">
        <f>IF(ISNUMBER($L$6)=FALSE,"",
        IF(ISERROR(VLOOKUP($G50,SantoYusuf!$L$13:$AK$56,N$4,FALSE))=TRUE,"",
              VLOOKUP($G50,SantoYusuf!$L$13:$AK$56,N$4,FALSE)))</f>
        <v/>
      </c>
      <c r="O50" s="18" t="str">
        <f>IF(ISNUMBER($L$6)=FALSE,"",
        IF(ISERROR(VLOOKUP($G50,SantoYusuf!$L$13:$AK$56,O$4,FALSE))=TRUE,"",
              VLOOKUP($G50,SantoYusuf!$L$13:$AK$56,O$4,FALSE)))</f>
        <v/>
      </c>
      <c r="P50" s="18" t="str">
        <f>IF(ISNUMBER($L$6)=FALSE,"",
        IF(ISERROR(VLOOKUP($G50,SantoYusuf!$L$13:$AK$56,P$4,FALSE))=TRUE,"",
              VLOOKUP($G50,SantoYusuf!$L$13:$AK$56,P$4,FALSE)))</f>
        <v/>
      </c>
      <c r="Q50" s="18" t="str">
        <f>IF(ISNUMBER($L$6)=FALSE,"",
        IF(ISERROR(VLOOKUP($G50,SantoYusuf!$L$13:$AK$56,Q$4,FALSE))=TRUE,"",
              VLOOKUP($G50,SantoYusuf!$L$13:$AK$56,Q$4,FALSE)))</f>
        <v/>
      </c>
      <c r="R50" s="18" t="str">
        <f>IF(ISNUMBER($L$6)=FALSE,"",
        IF(ISERROR(VLOOKUP($G50,SantoYusuf!$L$13:$AK$56,R$4,FALSE))=TRUE,"",
              VLOOKUP($G50,SantoYusuf!$L$13:$AK$56,R$4,FALSE)))</f>
        <v/>
      </c>
      <c r="S50" s="18" t="str">
        <f>IF(ISNUMBER($L$6)=FALSE,"",
        IF(ISERROR(VLOOKUP($G50,SantoYusuf!$L$13:$AK$56,S$4,FALSE))=TRUE,"",
              VLOOKUP($G50,SantoYusuf!$L$13:$AK$56,S$4,FALSE)))</f>
        <v/>
      </c>
      <c r="T50" s="18" t="str">
        <f>IF(ISNUMBER($L$6)=FALSE,"",
        IF(ISERROR(VLOOKUP($G50,SantoYusuf!$L$13:$AK$56,T$4,FALSE))=TRUE,"",
              VLOOKUP($G50,SantoYusuf!$L$13:$AK$56,T$4,FALSE)))</f>
        <v/>
      </c>
      <c r="U50" s="18" t="str">
        <f>IF(ISNUMBER($L$6)=FALSE,"",
        IF(ISERROR(VLOOKUP($G50,SantoYusuf!$L$13:$AK$56,U$4,FALSE))=TRUE,"",
              VLOOKUP($G50,SantoYusuf!$L$13:$AK$56,U$4,FALSE)))</f>
        <v/>
      </c>
      <c r="V50" s="18" t="str">
        <f>IF(ISNUMBER($L$6)=FALSE,"",
        IF(ISERROR(VLOOKUP($G50,SantoYusuf!$L$13:$AK$56,V$4,FALSE))=TRUE,"",
              VLOOKUP($G50,SantoYusuf!$L$13:$AK$56,V$4,FALSE)))</f>
        <v/>
      </c>
      <c r="W50" s="18" t="str">
        <f>IF(ISNUMBER($L$6)=FALSE,"",
        IF(ISERROR(VLOOKUP($G50,SantoYusuf!$L$13:$AK$56,W$4,FALSE))=TRUE,"",
              VLOOKUP($G50,SantoYusuf!$L$13:$AK$56,W$4,FALSE)))</f>
        <v/>
      </c>
      <c r="X50" s="18" t="str">
        <f>IF(ISNUMBER($L$6)=FALSE,"",
        IF(ISERROR(VLOOKUP($G50,SantoYusuf!$L$13:$AK$56,X$4,FALSE))=TRUE,"",
              VLOOKUP($G50,SantoYusuf!$L$13:$AK$56,X$4,FALSE)))</f>
        <v/>
      </c>
      <c r="Y50" s="18" t="str">
        <f>IF(ISNUMBER($L$6)=FALSE,"",
        IF(ISERROR(VLOOKUP($G50,SantoYusuf!$L$13:$AK$56,Y$4,FALSE))=TRUE,"",
              VLOOKUP($G50,SantoYusuf!$L$13:$AK$56,Y$4,FALSE)))</f>
        <v/>
      </c>
      <c r="Z50" s="18" t="str">
        <f>IF(ISNUMBER($L$6)=FALSE,"",
        IF(ISERROR(VLOOKUP($G50,SantoYusuf!$L$13:$AK$56,Z$4,FALSE))=TRUE,"",
              VLOOKUP($G50,SantoYusuf!$L$13:$AK$56,Z$4,FALSE)))</f>
        <v/>
      </c>
      <c r="AA50" s="18" t="str">
        <f>IF(ISNUMBER($L$6)=FALSE,"",
        IF(ISERROR(VLOOKUP($G50,SantoYusuf!$L$13:$AK$56,AA$4,FALSE))=TRUE,"",
              VLOOKUP($G50,SantoYusuf!$L$13:$AK$56,AA$4,FALSE)))</f>
        <v/>
      </c>
      <c r="AB50" s="18" t="str">
        <f>IF(ISNUMBER($L$6)=FALSE,"",
        IF(ISERROR(VLOOKUP($G50,SantoYusuf!$L$13:$AK$56,AB$4,FALSE))=TRUE,"",
              VLOOKUP($G50,SantoYusuf!$L$13:$AK$56,AB$4,FALSE)))</f>
        <v/>
      </c>
      <c r="AC50" s="18" t="str">
        <f>IF(ISNUMBER($L$6)=FALSE,"",
        IF(ISERROR(VLOOKUP($G50,SantoYusuf!$L$13:$AK$56,AC$4,FALSE))=TRUE,"",
              VLOOKUP($G50,SantoYusuf!$L$13:$AK$56,AC$4,FALSE)))</f>
        <v/>
      </c>
      <c r="AD50" s="18" t="str">
        <f>IF(ISNUMBER($L$6)=FALSE,"",
        IF(ISERROR(VLOOKUP($G50,SantoYusuf!$L$13:$AK$56,AD$4,FALSE))=TRUE,"",
              VLOOKUP($G50,SantoYusuf!$L$13:$AK$56,AD$4,FALSE)))</f>
        <v/>
      </c>
      <c r="AE50" s="18" t="str">
        <f>IF(ISNUMBER($L$6)=FALSE,"",
        IF(ISERROR(VLOOKUP($G50,SantoYusuf!$L$13:$AK$56,AE$4,FALSE))=TRUE,"",
              VLOOKUP($G50,SantoYusuf!$L$13:$AK$56,AE$4,FALSE)))</f>
        <v/>
      </c>
      <c r="AF50" s="18" t="str">
        <f>IF(ISNUMBER($L$6)=FALSE,"",
        IF(ISERROR(VLOOKUP($G50,SantoYusuf!$L$13:$AK$56,AF$4,FALSE))=TRUE,"",
              VLOOKUP($G50,SantoYusuf!$L$13:$AK$56,AF$4,FALSE)))</f>
        <v/>
      </c>
    </row>
    <row r="51" spans="1:32" s="60" customFormat="1" ht="10.5" x14ac:dyDescent="0.25">
      <c r="A51" s="59"/>
      <c r="C51" s="59">
        <f t="shared" si="3"/>
        <v>38</v>
      </c>
      <c r="D51" s="61"/>
      <c r="E51" s="77" t="str">
        <f t="shared" si="4"/>
        <v/>
      </c>
      <c r="F51" s="77" t="str">
        <f>IF(ISNUMBER($L$6)=FALSE,"",
IF($C51=0,"",VLOOKUP($E51,SantoYusuf!$H$13:$L$56,4,FALSE)))</f>
        <v/>
      </c>
      <c r="G51" s="77" t="str">
        <f>IF(ISNUMBER($L$6)=FALSE,"",
IF($C51=0,"",VLOOKUP($E51,SantoYusuf!$H$13:$L$56,5,FALSE)))</f>
        <v/>
      </c>
      <c r="H51" s="17" t="str">
        <f t="shared" si="5"/>
        <v/>
      </c>
      <c r="I51" s="18" t="str">
        <f>IF(ISNUMBER($L$6)=FALSE,"",
        IF(ISERROR(VLOOKUP($G51,SantoYusuf!$L$13:$AK$56,I$4,FALSE))=TRUE,"",
              VLOOKUP($G51,SantoYusuf!$L$13:$AK$56,I$4,FALSE)))</f>
        <v/>
      </c>
      <c r="J51" s="18" t="str">
        <f>IF(ISNUMBER($L$6)=FALSE,"",
        IF(ISERROR(VLOOKUP($G51,SantoYusuf!$L$13:$AK$56,J$4,FALSE))=TRUE,"",
              VLOOKUP($G51,SantoYusuf!$L$13:$AK$56,J$4,FALSE)))</f>
        <v/>
      </c>
      <c r="K51" s="18" t="str">
        <f>IF(ISNUMBER($L$6)=FALSE,"",
        IF(ISERROR(VLOOKUP($G51,SantoYusuf!$L$13:$AK$56,K$4,FALSE))=TRUE,"",
              VLOOKUP($G51,SantoYusuf!$L$13:$AK$56,K$4,FALSE)))</f>
        <v/>
      </c>
      <c r="L51" s="18" t="str">
        <f>IF(ISNUMBER($L$6)=FALSE,"",
        IF(ISERROR(VLOOKUP($G51,SantoYusuf!$L$13:$AK$56,L$4,FALSE))=TRUE,"",
              VLOOKUP($G51,SantoYusuf!$L$13:$AK$56,L$4,FALSE)))</f>
        <v/>
      </c>
      <c r="M51" s="18" t="str">
        <f>IF(ISNUMBER($L$6)=FALSE,"",
        IF(ISERROR(VLOOKUP($G51,SantoYusuf!$L$13:$AK$56,M$4,FALSE))=TRUE,"",
              VLOOKUP($G51,SantoYusuf!$L$13:$AK$56,M$4,FALSE)))</f>
        <v/>
      </c>
      <c r="N51" s="18" t="str">
        <f>IF(ISNUMBER($L$6)=FALSE,"",
        IF(ISERROR(VLOOKUP($G51,SantoYusuf!$L$13:$AK$56,N$4,FALSE))=TRUE,"",
              VLOOKUP($G51,SantoYusuf!$L$13:$AK$56,N$4,FALSE)))</f>
        <v/>
      </c>
      <c r="O51" s="18" t="str">
        <f>IF(ISNUMBER($L$6)=FALSE,"",
        IF(ISERROR(VLOOKUP($G51,SantoYusuf!$L$13:$AK$56,O$4,FALSE))=TRUE,"",
              VLOOKUP($G51,SantoYusuf!$L$13:$AK$56,O$4,FALSE)))</f>
        <v/>
      </c>
      <c r="P51" s="18" t="str">
        <f>IF(ISNUMBER($L$6)=FALSE,"",
        IF(ISERROR(VLOOKUP($G51,SantoYusuf!$L$13:$AK$56,P$4,FALSE))=TRUE,"",
              VLOOKUP($G51,SantoYusuf!$L$13:$AK$56,P$4,FALSE)))</f>
        <v/>
      </c>
      <c r="Q51" s="18" t="str">
        <f>IF(ISNUMBER($L$6)=FALSE,"",
        IF(ISERROR(VLOOKUP($G51,SantoYusuf!$L$13:$AK$56,Q$4,FALSE))=TRUE,"",
              VLOOKUP($G51,SantoYusuf!$L$13:$AK$56,Q$4,FALSE)))</f>
        <v/>
      </c>
      <c r="R51" s="18" t="str">
        <f>IF(ISNUMBER($L$6)=FALSE,"",
        IF(ISERROR(VLOOKUP($G51,SantoYusuf!$L$13:$AK$56,R$4,FALSE))=TRUE,"",
              VLOOKUP($G51,SantoYusuf!$L$13:$AK$56,R$4,FALSE)))</f>
        <v/>
      </c>
      <c r="S51" s="18" t="str">
        <f>IF(ISNUMBER($L$6)=FALSE,"",
        IF(ISERROR(VLOOKUP($G51,SantoYusuf!$L$13:$AK$56,S$4,FALSE))=TRUE,"",
              VLOOKUP($G51,SantoYusuf!$L$13:$AK$56,S$4,FALSE)))</f>
        <v/>
      </c>
      <c r="T51" s="18" t="str">
        <f>IF(ISNUMBER($L$6)=FALSE,"",
        IF(ISERROR(VLOOKUP($G51,SantoYusuf!$L$13:$AK$56,T$4,FALSE))=TRUE,"",
              VLOOKUP($G51,SantoYusuf!$L$13:$AK$56,T$4,FALSE)))</f>
        <v/>
      </c>
      <c r="U51" s="18" t="str">
        <f>IF(ISNUMBER($L$6)=FALSE,"",
        IF(ISERROR(VLOOKUP($G51,SantoYusuf!$L$13:$AK$56,U$4,FALSE))=TRUE,"",
              VLOOKUP($G51,SantoYusuf!$L$13:$AK$56,U$4,FALSE)))</f>
        <v/>
      </c>
      <c r="V51" s="18" t="str">
        <f>IF(ISNUMBER($L$6)=FALSE,"",
        IF(ISERROR(VLOOKUP($G51,SantoYusuf!$L$13:$AK$56,V$4,FALSE))=TRUE,"",
              VLOOKUP($G51,SantoYusuf!$L$13:$AK$56,V$4,FALSE)))</f>
        <v/>
      </c>
      <c r="W51" s="18" t="str">
        <f>IF(ISNUMBER($L$6)=FALSE,"",
        IF(ISERROR(VLOOKUP($G51,SantoYusuf!$L$13:$AK$56,W$4,FALSE))=TRUE,"",
              VLOOKUP($G51,SantoYusuf!$L$13:$AK$56,W$4,FALSE)))</f>
        <v/>
      </c>
      <c r="X51" s="18" t="str">
        <f>IF(ISNUMBER($L$6)=FALSE,"",
        IF(ISERROR(VLOOKUP($G51,SantoYusuf!$L$13:$AK$56,X$4,FALSE))=TRUE,"",
              VLOOKUP($G51,SantoYusuf!$L$13:$AK$56,X$4,FALSE)))</f>
        <v/>
      </c>
      <c r="Y51" s="18" t="str">
        <f>IF(ISNUMBER($L$6)=FALSE,"",
        IF(ISERROR(VLOOKUP($G51,SantoYusuf!$L$13:$AK$56,Y$4,FALSE))=TRUE,"",
              VLOOKUP($G51,SantoYusuf!$L$13:$AK$56,Y$4,FALSE)))</f>
        <v/>
      </c>
      <c r="Z51" s="18" t="str">
        <f>IF(ISNUMBER($L$6)=FALSE,"",
        IF(ISERROR(VLOOKUP($G51,SantoYusuf!$L$13:$AK$56,Z$4,FALSE))=TRUE,"",
              VLOOKUP($G51,SantoYusuf!$L$13:$AK$56,Z$4,FALSE)))</f>
        <v/>
      </c>
      <c r="AA51" s="18" t="str">
        <f>IF(ISNUMBER($L$6)=FALSE,"",
        IF(ISERROR(VLOOKUP($G51,SantoYusuf!$L$13:$AK$56,AA$4,FALSE))=TRUE,"",
              VLOOKUP($G51,SantoYusuf!$L$13:$AK$56,AA$4,FALSE)))</f>
        <v/>
      </c>
      <c r="AB51" s="18" t="str">
        <f>IF(ISNUMBER($L$6)=FALSE,"",
        IF(ISERROR(VLOOKUP($G51,SantoYusuf!$L$13:$AK$56,AB$4,FALSE))=TRUE,"",
              VLOOKUP($G51,SantoYusuf!$L$13:$AK$56,AB$4,FALSE)))</f>
        <v/>
      </c>
      <c r="AC51" s="18" t="str">
        <f>IF(ISNUMBER($L$6)=FALSE,"",
        IF(ISERROR(VLOOKUP($G51,SantoYusuf!$L$13:$AK$56,AC$4,FALSE))=TRUE,"",
              VLOOKUP($G51,SantoYusuf!$L$13:$AK$56,AC$4,FALSE)))</f>
        <v/>
      </c>
      <c r="AD51" s="18" t="str">
        <f>IF(ISNUMBER($L$6)=FALSE,"",
        IF(ISERROR(VLOOKUP($G51,SantoYusuf!$L$13:$AK$56,AD$4,FALSE))=TRUE,"",
              VLOOKUP($G51,SantoYusuf!$L$13:$AK$56,AD$4,FALSE)))</f>
        <v/>
      </c>
      <c r="AE51" s="18" t="str">
        <f>IF(ISNUMBER($L$6)=FALSE,"",
        IF(ISERROR(VLOOKUP($G51,SantoYusuf!$L$13:$AK$56,AE$4,FALSE))=TRUE,"",
              VLOOKUP($G51,SantoYusuf!$L$13:$AK$56,AE$4,FALSE)))</f>
        <v/>
      </c>
      <c r="AF51" s="18" t="str">
        <f>IF(ISNUMBER($L$6)=FALSE,"",
        IF(ISERROR(VLOOKUP($G51,SantoYusuf!$L$13:$AK$56,AF$4,FALSE))=TRUE,"",
              VLOOKUP($G51,SantoYusuf!$L$13:$AK$56,AF$4,FALSE)))</f>
        <v/>
      </c>
    </row>
    <row r="52" spans="1:32" s="60" customFormat="1" ht="10.5" x14ac:dyDescent="0.25">
      <c r="A52" s="59"/>
      <c r="C52" s="59">
        <f t="shared" si="3"/>
        <v>39</v>
      </c>
      <c r="D52" s="61"/>
      <c r="E52" s="77" t="str">
        <f t="shared" si="4"/>
        <v/>
      </c>
      <c r="F52" s="77" t="str">
        <f>IF(ISNUMBER($L$6)=FALSE,"",
IF($C52=0,"",VLOOKUP($E52,SantoYusuf!$H$13:$L$56,4,FALSE)))</f>
        <v/>
      </c>
      <c r="G52" s="77" t="str">
        <f>IF(ISNUMBER($L$6)=FALSE,"",
IF($C52=0,"",VLOOKUP($E52,SantoYusuf!$H$13:$L$56,5,FALSE)))</f>
        <v/>
      </c>
      <c r="H52" s="17" t="str">
        <f t="shared" si="5"/>
        <v/>
      </c>
      <c r="I52" s="18" t="str">
        <f>IF(ISNUMBER($L$6)=FALSE,"",
        IF(ISERROR(VLOOKUP($G52,SantoYusuf!$L$13:$AK$56,I$4,FALSE))=TRUE,"",
              VLOOKUP($G52,SantoYusuf!$L$13:$AK$56,I$4,FALSE)))</f>
        <v/>
      </c>
      <c r="J52" s="18" t="str">
        <f>IF(ISNUMBER($L$6)=FALSE,"",
        IF(ISERROR(VLOOKUP($G52,SantoYusuf!$L$13:$AK$56,J$4,FALSE))=TRUE,"",
              VLOOKUP($G52,SantoYusuf!$L$13:$AK$56,J$4,FALSE)))</f>
        <v/>
      </c>
      <c r="K52" s="18" t="str">
        <f>IF(ISNUMBER($L$6)=FALSE,"",
        IF(ISERROR(VLOOKUP($G52,SantoYusuf!$L$13:$AK$56,K$4,FALSE))=TRUE,"",
              VLOOKUP($G52,SantoYusuf!$L$13:$AK$56,K$4,FALSE)))</f>
        <v/>
      </c>
      <c r="L52" s="18" t="str">
        <f>IF(ISNUMBER($L$6)=FALSE,"",
        IF(ISERROR(VLOOKUP($G52,SantoYusuf!$L$13:$AK$56,L$4,FALSE))=TRUE,"",
              VLOOKUP($G52,SantoYusuf!$L$13:$AK$56,L$4,FALSE)))</f>
        <v/>
      </c>
      <c r="M52" s="18" t="str">
        <f>IF(ISNUMBER($L$6)=FALSE,"",
        IF(ISERROR(VLOOKUP($G52,SantoYusuf!$L$13:$AK$56,M$4,FALSE))=TRUE,"",
              VLOOKUP($G52,SantoYusuf!$L$13:$AK$56,M$4,FALSE)))</f>
        <v/>
      </c>
      <c r="N52" s="18" t="str">
        <f>IF(ISNUMBER($L$6)=FALSE,"",
        IF(ISERROR(VLOOKUP($G52,SantoYusuf!$L$13:$AK$56,N$4,FALSE))=TRUE,"",
              VLOOKUP($G52,SantoYusuf!$L$13:$AK$56,N$4,FALSE)))</f>
        <v/>
      </c>
      <c r="O52" s="18" t="str">
        <f>IF(ISNUMBER($L$6)=FALSE,"",
        IF(ISERROR(VLOOKUP($G52,SantoYusuf!$L$13:$AK$56,O$4,FALSE))=TRUE,"",
              VLOOKUP($G52,SantoYusuf!$L$13:$AK$56,O$4,FALSE)))</f>
        <v/>
      </c>
      <c r="P52" s="18" t="str">
        <f>IF(ISNUMBER($L$6)=FALSE,"",
        IF(ISERROR(VLOOKUP($G52,SantoYusuf!$L$13:$AK$56,P$4,FALSE))=TRUE,"",
              VLOOKUP($G52,SantoYusuf!$L$13:$AK$56,P$4,FALSE)))</f>
        <v/>
      </c>
      <c r="Q52" s="18" t="str">
        <f>IF(ISNUMBER($L$6)=FALSE,"",
        IF(ISERROR(VLOOKUP($G52,SantoYusuf!$L$13:$AK$56,Q$4,FALSE))=TRUE,"",
              VLOOKUP($G52,SantoYusuf!$L$13:$AK$56,Q$4,FALSE)))</f>
        <v/>
      </c>
      <c r="R52" s="18" t="str">
        <f>IF(ISNUMBER($L$6)=FALSE,"",
        IF(ISERROR(VLOOKUP($G52,SantoYusuf!$L$13:$AK$56,R$4,FALSE))=TRUE,"",
              VLOOKUP($G52,SantoYusuf!$L$13:$AK$56,R$4,FALSE)))</f>
        <v/>
      </c>
      <c r="S52" s="18" t="str">
        <f>IF(ISNUMBER($L$6)=FALSE,"",
        IF(ISERROR(VLOOKUP($G52,SantoYusuf!$L$13:$AK$56,S$4,FALSE))=TRUE,"",
              VLOOKUP($G52,SantoYusuf!$L$13:$AK$56,S$4,FALSE)))</f>
        <v/>
      </c>
      <c r="T52" s="18" t="str">
        <f>IF(ISNUMBER($L$6)=FALSE,"",
        IF(ISERROR(VLOOKUP($G52,SantoYusuf!$L$13:$AK$56,T$4,FALSE))=TRUE,"",
              VLOOKUP($G52,SantoYusuf!$L$13:$AK$56,T$4,FALSE)))</f>
        <v/>
      </c>
      <c r="U52" s="18" t="str">
        <f>IF(ISNUMBER($L$6)=FALSE,"",
        IF(ISERROR(VLOOKUP($G52,SantoYusuf!$L$13:$AK$56,U$4,FALSE))=TRUE,"",
              VLOOKUP($G52,SantoYusuf!$L$13:$AK$56,U$4,FALSE)))</f>
        <v/>
      </c>
      <c r="V52" s="18" t="str">
        <f>IF(ISNUMBER($L$6)=FALSE,"",
        IF(ISERROR(VLOOKUP($G52,SantoYusuf!$L$13:$AK$56,V$4,FALSE))=TRUE,"",
              VLOOKUP($G52,SantoYusuf!$L$13:$AK$56,V$4,FALSE)))</f>
        <v/>
      </c>
      <c r="W52" s="18" t="str">
        <f>IF(ISNUMBER($L$6)=FALSE,"",
        IF(ISERROR(VLOOKUP($G52,SantoYusuf!$L$13:$AK$56,W$4,FALSE))=TRUE,"",
              VLOOKUP($G52,SantoYusuf!$L$13:$AK$56,W$4,FALSE)))</f>
        <v/>
      </c>
      <c r="X52" s="18" t="str">
        <f>IF(ISNUMBER($L$6)=FALSE,"",
        IF(ISERROR(VLOOKUP($G52,SantoYusuf!$L$13:$AK$56,X$4,FALSE))=TRUE,"",
              VLOOKUP($G52,SantoYusuf!$L$13:$AK$56,X$4,FALSE)))</f>
        <v/>
      </c>
      <c r="Y52" s="18" t="str">
        <f>IF(ISNUMBER($L$6)=FALSE,"",
        IF(ISERROR(VLOOKUP($G52,SantoYusuf!$L$13:$AK$56,Y$4,FALSE))=TRUE,"",
              VLOOKUP($G52,SantoYusuf!$L$13:$AK$56,Y$4,FALSE)))</f>
        <v/>
      </c>
      <c r="Z52" s="18" t="str">
        <f>IF(ISNUMBER($L$6)=FALSE,"",
        IF(ISERROR(VLOOKUP($G52,SantoYusuf!$L$13:$AK$56,Z$4,FALSE))=TRUE,"",
              VLOOKUP($G52,SantoYusuf!$L$13:$AK$56,Z$4,FALSE)))</f>
        <v/>
      </c>
      <c r="AA52" s="18" t="str">
        <f>IF(ISNUMBER($L$6)=FALSE,"",
        IF(ISERROR(VLOOKUP($G52,SantoYusuf!$L$13:$AK$56,AA$4,FALSE))=TRUE,"",
              VLOOKUP($G52,SantoYusuf!$L$13:$AK$56,AA$4,FALSE)))</f>
        <v/>
      </c>
      <c r="AB52" s="18" t="str">
        <f>IF(ISNUMBER($L$6)=FALSE,"",
        IF(ISERROR(VLOOKUP($G52,SantoYusuf!$L$13:$AK$56,AB$4,FALSE))=TRUE,"",
              VLOOKUP($G52,SantoYusuf!$L$13:$AK$56,AB$4,FALSE)))</f>
        <v/>
      </c>
      <c r="AC52" s="18" t="str">
        <f>IF(ISNUMBER($L$6)=FALSE,"",
        IF(ISERROR(VLOOKUP($G52,SantoYusuf!$L$13:$AK$56,AC$4,FALSE))=TRUE,"",
              VLOOKUP($G52,SantoYusuf!$L$13:$AK$56,AC$4,FALSE)))</f>
        <v/>
      </c>
      <c r="AD52" s="18" t="str">
        <f>IF(ISNUMBER($L$6)=FALSE,"",
        IF(ISERROR(VLOOKUP($G52,SantoYusuf!$L$13:$AK$56,AD$4,FALSE))=TRUE,"",
              VLOOKUP($G52,SantoYusuf!$L$13:$AK$56,AD$4,FALSE)))</f>
        <v/>
      </c>
      <c r="AE52" s="18" t="str">
        <f>IF(ISNUMBER($L$6)=FALSE,"",
        IF(ISERROR(VLOOKUP($G52,SantoYusuf!$L$13:$AK$56,AE$4,FALSE))=TRUE,"",
              VLOOKUP($G52,SantoYusuf!$L$13:$AK$56,AE$4,FALSE)))</f>
        <v/>
      </c>
      <c r="AF52" s="18" t="str">
        <f>IF(ISNUMBER($L$6)=FALSE,"",
        IF(ISERROR(VLOOKUP($G52,SantoYusuf!$L$13:$AK$56,AF$4,FALSE))=TRUE,"",
              VLOOKUP($G52,SantoYusuf!$L$13:$AK$56,AF$4,FALSE)))</f>
        <v/>
      </c>
    </row>
    <row r="53" spans="1:32" s="60" customFormat="1" ht="10.5" x14ac:dyDescent="0.25">
      <c r="A53" s="59"/>
      <c r="C53" s="59">
        <f t="shared" si="3"/>
        <v>40</v>
      </c>
      <c r="D53" s="61"/>
      <c r="E53" s="77" t="str">
        <f t="shared" si="4"/>
        <v/>
      </c>
      <c r="F53" s="77" t="str">
        <f>IF(ISNUMBER($L$6)=FALSE,"",
IF($C53=0,"",VLOOKUP($E53,SantoYusuf!$H$13:$L$56,4,FALSE)))</f>
        <v/>
      </c>
      <c r="G53" s="77" t="str">
        <f>IF(ISNUMBER($L$6)=FALSE,"",
IF($C53=0,"",VLOOKUP($E53,SantoYusuf!$H$13:$L$56,5,FALSE)))</f>
        <v/>
      </c>
      <c r="H53" s="17" t="str">
        <f t="shared" si="5"/>
        <v/>
      </c>
      <c r="I53" s="18" t="str">
        <f>IF(ISNUMBER($L$6)=FALSE,"",
        IF(ISERROR(VLOOKUP($G53,SantoYusuf!$L$13:$AK$56,I$4,FALSE))=TRUE,"",
              VLOOKUP($G53,SantoYusuf!$L$13:$AK$56,I$4,FALSE)))</f>
        <v/>
      </c>
      <c r="J53" s="18" t="str">
        <f>IF(ISNUMBER($L$6)=FALSE,"",
        IF(ISERROR(VLOOKUP($G53,SantoYusuf!$L$13:$AK$56,J$4,FALSE))=TRUE,"",
              VLOOKUP($G53,SantoYusuf!$L$13:$AK$56,J$4,FALSE)))</f>
        <v/>
      </c>
      <c r="K53" s="18" t="str">
        <f>IF(ISNUMBER($L$6)=FALSE,"",
        IF(ISERROR(VLOOKUP($G53,SantoYusuf!$L$13:$AK$56,K$4,FALSE))=TRUE,"",
              VLOOKUP($G53,SantoYusuf!$L$13:$AK$56,K$4,FALSE)))</f>
        <v/>
      </c>
      <c r="L53" s="18" t="str">
        <f>IF(ISNUMBER($L$6)=FALSE,"",
        IF(ISERROR(VLOOKUP($G53,SantoYusuf!$L$13:$AK$56,L$4,FALSE))=TRUE,"",
              VLOOKUP($G53,SantoYusuf!$L$13:$AK$56,L$4,FALSE)))</f>
        <v/>
      </c>
      <c r="M53" s="18" t="str">
        <f>IF(ISNUMBER($L$6)=FALSE,"",
        IF(ISERROR(VLOOKUP($G53,SantoYusuf!$L$13:$AK$56,M$4,FALSE))=TRUE,"",
              VLOOKUP($G53,SantoYusuf!$L$13:$AK$56,M$4,FALSE)))</f>
        <v/>
      </c>
      <c r="N53" s="18" t="str">
        <f>IF(ISNUMBER($L$6)=FALSE,"",
        IF(ISERROR(VLOOKUP($G53,SantoYusuf!$L$13:$AK$56,N$4,FALSE))=TRUE,"",
              VLOOKUP($G53,SantoYusuf!$L$13:$AK$56,N$4,FALSE)))</f>
        <v/>
      </c>
      <c r="O53" s="18" t="str">
        <f>IF(ISNUMBER($L$6)=FALSE,"",
        IF(ISERROR(VLOOKUP($G53,SantoYusuf!$L$13:$AK$56,O$4,FALSE))=TRUE,"",
              VLOOKUP($G53,SantoYusuf!$L$13:$AK$56,O$4,FALSE)))</f>
        <v/>
      </c>
      <c r="P53" s="18" t="str">
        <f>IF(ISNUMBER($L$6)=FALSE,"",
        IF(ISERROR(VLOOKUP($G53,SantoYusuf!$L$13:$AK$56,P$4,FALSE))=TRUE,"",
              VLOOKUP($G53,SantoYusuf!$L$13:$AK$56,P$4,FALSE)))</f>
        <v/>
      </c>
      <c r="Q53" s="18" t="str">
        <f>IF(ISNUMBER($L$6)=FALSE,"",
        IF(ISERROR(VLOOKUP($G53,SantoYusuf!$L$13:$AK$56,Q$4,FALSE))=TRUE,"",
              VLOOKUP($G53,SantoYusuf!$L$13:$AK$56,Q$4,FALSE)))</f>
        <v/>
      </c>
      <c r="R53" s="18" t="str">
        <f>IF(ISNUMBER($L$6)=FALSE,"",
        IF(ISERROR(VLOOKUP($G53,SantoYusuf!$L$13:$AK$56,R$4,FALSE))=TRUE,"",
              VLOOKUP($G53,SantoYusuf!$L$13:$AK$56,R$4,FALSE)))</f>
        <v/>
      </c>
      <c r="S53" s="18" t="str">
        <f>IF(ISNUMBER($L$6)=FALSE,"",
        IF(ISERROR(VLOOKUP($G53,SantoYusuf!$L$13:$AK$56,S$4,FALSE))=TRUE,"",
              VLOOKUP($G53,SantoYusuf!$L$13:$AK$56,S$4,FALSE)))</f>
        <v/>
      </c>
      <c r="T53" s="18" t="str">
        <f>IF(ISNUMBER($L$6)=FALSE,"",
        IF(ISERROR(VLOOKUP($G53,SantoYusuf!$L$13:$AK$56,T$4,FALSE))=TRUE,"",
              VLOOKUP($G53,SantoYusuf!$L$13:$AK$56,T$4,FALSE)))</f>
        <v/>
      </c>
      <c r="U53" s="18" t="str">
        <f>IF(ISNUMBER($L$6)=FALSE,"",
        IF(ISERROR(VLOOKUP($G53,SantoYusuf!$L$13:$AK$56,U$4,FALSE))=TRUE,"",
              VLOOKUP($G53,SantoYusuf!$L$13:$AK$56,U$4,FALSE)))</f>
        <v/>
      </c>
      <c r="V53" s="18" t="str">
        <f>IF(ISNUMBER($L$6)=FALSE,"",
        IF(ISERROR(VLOOKUP($G53,SantoYusuf!$L$13:$AK$56,V$4,FALSE))=TRUE,"",
              VLOOKUP($G53,SantoYusuf!$L$13:$AK$56,V$4,FALSE)))</f>
        <v/>
      </c>
      <c r="W53" s="18" t="str">
        <f>IF(ISNUMBER($L$6)=FALSE,"",
        IF(ISERROR(VLOOKUP($G53,SantoYusuf!$L$13:$AK$56,W$4,FALSE))=TRUE,"",
              VLOOKUP($G53,SantoYusuf!$L$13:$AK$56,W$4,FALSE)))</f>
        <v/>
      </c>
      <c r="X53" s="18" t="str">
        <f>IF(ISNUMBER($L$6)=FALSE,"",
        IF(ISERROR(VLOOKUP($G53,SantoYusuf!$L$13:$AK$56,X$4,FALSE))=TRUE,"",
              VLOOKUP($G53,SantoYusuf!$L$13:$AK$56,X$4,FALSE)))</f>
        <v/>
      </c>
      <c r="Y53" s="18" t="str">
        <f>IF(ISNUMBER($L$6)=FALSE,"",
        IF(ISERROR(VLOOKUP($G53,SantoYusuf!$L$13:$AK$56,Y$4,FALSE))=TRUE,"",
              VLOOKUP($G53,SantoYusuf!$L$13:$AK$56,Y$4,FALSE)))</f>
        <v/>
      </c>
      <c r="Z53" s="18" t="str">
        <f>IF(ISNUMBER($L$6)=FALSE,"",
        IF(ISERROR(VLOOKUP($G53,SantoYusuf!$L$13:$AK$56,Z$4,FALSE))=TRUE,"",
              VLOOKUP($G53,SantoYusuf!$L$13:$AK$56,Z$4,FALSE)))</f>
        <v/>
      </c>
      <c r="AA53" s="18" t="str">
        <f>IF(ISNUMBER($L$6)=FALSE,"",
        IF(ISERROR(VLOOKUP($G53,SantoYusuf!$L$13:$AK$56,AA$4,FALSE))=TRUE,"",
              VLOOKUP($G53,SantoYusuf!$L$13:$AK$56,AA$4,FALSE)))</f>
        <v/>
      </c>
      <c r="AB53" s="18" t="str">
        <f>IF(ISNUMBER($L$6)=FALSE,"",
        IF(ISERROR(VLOOKUP($G53,SantoYusuf!$L$13:$AK$56,AB$4,FALSE))=TRUE,"",
              VLOOKUP($G53,SantoYusuf!$L$13:$AK$56,AB$4,FALSE)))</f>
        <v/>
      </c>
      <c r="AC53" s="18" t="str">
        <f>IF(ISNUMBER($L$6)=FALSE,"",
        IF(ISERROR(VLOOKUP($G53,SantoYusuf!$L$13:$AK$56,AC$4,FALSE))=TRUE,"",
              VLOOKUP($G53,SantoYusuf!$L$13:$AK$56,AC$4,FALSE)))</f>
        <v/>
      </c>
      <c r="AD53" s="18" t="str">
        <f>IF(ISNUMBER($L$6)=FALSE,"",
        IF(ISERROR(VLOOKUP($G53,SantoYusuf!$L$13:$AK$56,AD$4,FALSE))=TRUE,"",
              VLOOKUP($G53,SantoYusuf!$L$13:$AK$56,AD$4,FALSE)))</f>
        <v/>
      </c>
      <c r="AE53" s="18" t="str">
        <f>IF(ISNUMBER($L$6)=FALSE,"",
        IF(ISERROR(VLOOKUP($G53,SantoYusuf!$L$13:$AK$56,AE$4,FALSE))=TRUE,"",
              VLOOKUP($G53,SantoYusuf!$L$13:$AK$56,AE$4,FALSE)))</f>
        <v/>
      </c>
      <c r="AF53" s="18" t="str">
        <f>IF(ISNUMBER($L$6)=FALSE,"",
        IF(ISERROR(VLOOKUP($G53,SantoYusuf!$L$13:$AK$56,AF$4,FALSE))=TRUE,"",
              VLOOKUP($G53,SantoYusuf!$L$13:$AK$56,AF$4,FALSE)))</f>
        <v/>
      </c>
    </row>
    <row r="54" spans="1:32" s="60" customFormat="1" ht="10.5" x14ac:dyDescent="0.25">
      <c r="A54" s="59"/>
      <c r="C54" s="59">
        <f t="shared" si="3"/>
        <v>41</v>
      </c>
      <c r="D54" s="61"/>
      <c r="E54" s="77" t="str">
        <f t="shared" si="4"/>
        <v/>
      </c>
      <c r="F54" s="77" t="str">
        <f>IF(ISNUMBER($L$6)=FALSE,"",
IF($C54=0,"",VLOOKUP($E54,SantoYusuf!$H$13:$L$56,4,FALSE)))</f>
        <v/>
      </c>
      <c r="G54" s="77" t="str">
        <f>IF(ISNUMBER($L$6)=FALSE,"",
IF($C54=0,"",VLOOKUP($E54,SantoYusuf!$H$13:$L$56,5,FALSE)))</f>
        <v/>
      </c>
      <c r="H54" s="17" t="str">
        <f t="shared" si="5"/>
        <v/>
      </c>
      <c r="I54" s="18" t="str">
        <f>IF(ISNUMBER($L$6)=FALSE,"",
        IF(ISERROR(VLOOKUP($G54,SantoYusuf!$L$13:$AK$56,I$4,FALSE))=TRUE,"",
              VLOOKUP($G54,SantoYusuf!$L$13:$AK$56,I$4,FALSE)))</f>
        <v/>
      </c>
      <c r="J54" s="18" t="str">
        <f>IF(ISNUMBER($L$6)=FALSE,"",
        IF(ISERROR(VLOOKUP($G54,SantoYusuf!$L$13:$AK$56,J$4,FALSE))=TRUE,"",
              VLOOKUP($G54,SantoYusuf!$L$13:$AK$56,J$4,FALSE)))</f>
        <v/>
      </c>
      <c r="K54" s="18" t="str">
        <f>IF(ISNUMBER($L$6)=FALSE,"",
        IF(ISERROR(VLOOKUP($G54,SantoYusuf!$L$13:$AK$56,K$4,FALSE))=TRUE,"",
              VLOOKUP($G54,SantoYusuf!$L$13:$AK$56,K$4,FALSE)))</f>
        <v/>
      </c>
      <c r="L54" s="18" t="str">
        <f>IF(ISNUMBER($L$6)=FALSE,"",
        IF(ISERROR(VLOOKUP($G54,SantoYusuf!$L$13:$AK$56,L$4,FALSE))=TRUE,"",
              VLOOKUP($G54,SantoYusuf!$L$13:$AK$56,L$4,FALSE)))</f>
        <v/>
      </c>
      <c r="M54" s="18" t="str">
        <f>IF(ISNUMBER($L$6)=FALSE,"",
        IF(ISERROR(VLOOKUP($G54,SantoYusuf!$L$13:$AK$56,M$4,FALSE))=TRUE,"",
              VLOOKUP($G54,SantoYusuf!$L$13:$AK$56,M$4,FALSE)))</f>
        <v/>
      </c>
      <c r="N54" s="18" t="str">
        <f>IF(ISNUMBER($L$6)=FALSE,"",
        IF(ISERROR(VLOOKUP($G54,SantoYusuf!$L$13:$AK$56,N$4,FALSE))=TRUE,"",
              VLOOKUP($G54,SantoYusuf!$L$13:$AK$56,N$4,FALSE)))</f>
        <v/>
      </c>
      <c r="O54" s="18" t="str">
        <f>IF(ISNUMBER($L$6)=FALSE,"",
        IF(ISERROR(VLOOKUP($G54,SantoYusuf!$L$13:$AK$56,O$4,FALSE))=TRUE,"",
              VLOOKUP($G54,SantoYusuf!$L$13:$AK$56,O$4,FALSE)))</f>
        <v/>
      </c>
      <c r="P54" s="18" t="str">
        <f>IF(ISNUMBER($L$6)=FALSE,"",
        IF(ISERROR(VLOOKUP($G54,SantoYusuf!$L$13:$AK$56,P$4,FALSE))=TRUE,"",
              VLOOKUP($G54,SantoYusuf!$L$13:$AK$56,P$4,FALSE)))</f>
        <v/>
      </c>
      <c r="Q54" s="18" t="str">
        <f>IF(ISNUMBER($L$6)=FALSE,"",
        IF(ISERROR(VLOOKUP($G54,SantoYusuf!$L$13:$AK$56,Q$4,FALSE))=TRUE,"",
              VLOOKUP($G54,SantoYusuf!$L$13:$AK$56,Q$4,FALSE)))</f>
        <v/>
      </c>
      <c r="R54" s="18" t="str">
        <f>IF(ISNUMBER($L$6)=FALSE,"",
        IF(ISERROR(VLOOKUP($G54,SantoYusuf!$L$13:$AK$56,R$4,FALSE))=TRUE,"",
              VLOOKUP($G54,SantoYusuf!$L$13:$AK$56,R$4,FALSE)))</f>
        <v/>
      </c>
      <c r="S54" s="18" t="str">
        <f>IF(ISNUMBER($L$6)=FALSE,"",
        IF(ISERROR(VLOOKUP($G54,SantoYusuf!$L$13:$AK$56,S$4,FALSE))=TRUE,"",
              VLOOKUP($G54,SantoYusuf!$L$13:$AK$56,S$4,FALSE)))</f>
        <v/>
      </c>
      <c r="T54" s="18" t="str">
        <f>IF(ISNUMBER($L$6)=FALSE,"",
        IF(ISERROR(VLOOKUP($G54,SantoYusuf!$L$13:$AK$56,T$4,FALSE))=TRUE,"",
              VLOOKUP($G54,SantoYusuf!$L$13:$AK$56,T$4,FALSE)))</f>
        <v/>
      </c>
      <c r="U54" s="18" t="str">
        <f>IF(ISNUMBER($L$6)=FALSE,"",
        IF(ISERROR(VLOOKUP($G54,SantoYusuf!$L$13:$AK$56,U$4,FALSE))=TRUE,"",
              VLOOKUP($G54,SantoYusuf!$L$13:$AK$56,U$4,FALSE)))</f>
        <v/>
      </c>
      <c r="V54" s="18" t="str">
        <f>IF(ISNUMBER($L$6)=FALSE,"",
        IF(ISERROR(VLOOKUP($G54,SantoYusuf!$L$13:$AK$56,V$4,FALSE))=TRUE,"",
              VLOOKUP($G54,SantoYusuf!$L$13:$AK$56,V$4,FALSE)))</f>
        <v/>
      </c>
      <c r="W54" s="18" t="str">
        <f>IF(ISNUMBER($L$6)=FALSE,"",
        IF(ISERROR(VLOOKUP($G54,SantoYusuf!$L$13:$AK$56,W$4,FALSE))=TRUE,"",
              VLOOKUP($G54,SantoYusuf!$L$13:$AK$56,W$4,FALSE)))</f>
        <v/>
      </c>
      <c r="X54" s="18" t="str">
        <f>IF(ISNUMBER($L$6)=FALSE,"",
        IF(ISERROR(VLOOKUP($G54,SantoYusuf!$L$13:$AK$56,X$4,FALSE))=TRUE,"",
              VLOOKUP($G54,SantoYusuf!$L$13:$AK$56,X$4,FALSE)))</f>
        <v/>
      </c>
      <c r="Y54" s="18" t="str">
        <f>IF(ISNUMBER($L$6)=FALSE,"",
        IF(ISERROR(VLOOKUP($G54,SantoYusuf!$L$13:$AK$56,Y$4,FALSE))=TRUE,"",
              VLOOKUP($G54,SantoYusuf!$L$13:$AK$56,Y$4,FALSE)))</f>
        <v/>
      </c>
      <c r="Z54" s="18" t="str">
        <f>IF(ISNUMBER($L$6)=FALSE,"",
        IF(ISERROR(VLOOKUP($G54,SantoYusuf!$L$13:$AK$56,Z$4,FALSE))=TRUE,"",
              VLOOKUP($G54,SantoYusuf!$L$13:$AK$56,Z$4,FALSE)))</f>
        <v/>
      </c>
      <c r="AA54" s="18" t="str">
        <f>IF(ISNUMBER($L$6)=FALSE,"",
        IF(ISERROR(VLOOKUP($G54,SantoYusuf!$L$13:$AK$56,AA$4,FALSE))=TRUE,"",
              VLOOKUP($G54,SantoYusuf!$L$13:$AK$56,AA$4,FALSE)))</f>
        <v/>
      </c>
      <c r="AB54" s="18" t="str">
        <f>IF(ISNUMBER($L$6)=FALSE,"",
        IF(ISERROR(VLOOKUP($G54,SantoYusuf!$L$13:$AK$56,AB$4,FALSE))=TRUE,"",
              VLOOKUP($G54,SantoYusuf!$L$13:$AK$56,AB$4,FALSE)))</f>
        <v/>
      </c>
      <c r="AC54" s="18" t="str">
        <f>IF(ISNUMBER($L$6)=FALSE,"",
        IF(ISERROR(VLOOKUP($G54,SantoYusuf!$L$13:$AK$56,AC$4,FALSE))=TRUE,"",
              VLOOKUP($G54,SantoYusuf!$L$13:$AK$56,AC$4,FALSE)))</f>
        <v/>
      </c>
      <c r="AD54" s="18" t="str">
        <f>IF(ISNUMBER($L$6)=FALSE,"",
        IF(ISERROR(VLOOKUP($G54,SantoYusuf!$L$13:$AK$56,AD$4,FALSE))=TRUE,"",
              VLOOKUP($G54,SantoYusuf!$L$13:$AK$56,AD$4,FALSE)))</f>
        <v/>
      </c>
      <c r="AE54" s="18" t="str">
        <f>IF(ISNUMBER($L$6)=FALSE,"",
        IF(ISERROR(VLOOKUP($G54,SantoYusuf!$L$13:$AK$56,AE$4,FALSE))=TRUE,"",
              VLOOKUP($G54,SantoYusuf!$L$13:$AK$56,AE$4,FALSE)))</f>
        <v/>
      </c>
      <c r="AF54" s="18" t="str">
        <f>IF(ISNUMBER($L$6)=FALSE,"",
        IF(ISERROR(VLOOKUP($G54,SantoYusuf!$L$13:$AK$56,AF$4,FALSE))=TRUE,"",
              VLOOKUP($G54,SantoYusuf!$L$13:$AK$56,AF$4,FALSE)))</f>
        <v/>
      </c>
    </row>
    <row r="55" spans="1:32" s="60" customFormat="1" ht="10.5" x14ac:dyDescent="0.25">
      <c r="A55" s="59"/>
      <c r="C55" s="59">
        <f t="shared" si="3"/>
        <v>42</v>
      </c>
      <c r="D55" s="61"/>
      <c r="E55" s="77" t="str">
        <f t="shared" si="4"/>
        <v/>
      </c>
      <c r="F55" s="77" t="str">
        <f>IF(ISNUMBER($L$6)=FALSE,"",
IF($C55=0,"",VLOOKUP($E55,SantoYusuf!$H$13:$L$56,4,FALSE)))</f>
        <v/>
      </c>
      <c r="G55" s="77" t="str">
        <f>IF(ISNUMBER($L$6)=FALSE,"",
IF($C55=0,"",VLOOKUP($E55,SantoYusuf!$H$13:$L$56,5,FALSE)))</f>
        <v/>
      </c>
      <c r="H55" s="17" t="str">
        <f t="shared" si="5"/>
        <v/>
      </c>
      <c r="I55" s="18" t="str">
        <f>IF(ISNUMBER($L$6)=FALSE,"",
        IF(ISERROR(VLOOKUP($G55,SantoYusuf!$L$13:$AK$56,I$4,FALSE))=TRUE,"",
              VLOOKUP($G55,SantoYusuf!$L$13:$AK$56,I$4,FALSE)))</f>
        <v/>
      </c>
      <c r="J55" s="18" t="str">
        <f>IF(ISNUMBER($L$6)=FALSE,"",
        IF(ISERROR(VLOOKUP($G55,SantoYusuf!$L$13:$AK$56,J$4,FALSE))=TRUE,"",
              VLOOKUP($G55,SantoYusuf!$L$13:$AK$56,J$4,FALSE)))</f>
        <v/>
      </c>
      <c r="K55" s="18" t="str">
        <f>IF(ISNUMBER($L$6)=FALSE,"",
        IF(ISERROR(VLOOKUP($G55,SantoYusuf!$L$13:$AK$56,K$4,FALSE))=TRUE,"",
              VLOOKUP($G55,SantoYusuf!$L$13:$AK$56,K$4,FALSE)))</f>
        <v/>
      </c>
      <c r="L55" s="18" t="str">
        <f>IF(ISNUMBER($L$6)=FALSE,"",
        IF(ISERROR(VLOOKUP($G55,SantoYusuf!$L$13:$AK$56,L$4,FALSE))=TRUE,"",
              VLOOKUP($G55,SantoYusuf!$L$13:$AK$56,L$4,FALSE)))</f>
        <v/>
      </c>
      <c r="M55" s="18" t="str">
        <f>IF(ISNUMBER($L$6)=FALSE,"",
        IF(ISERROR(VLOOKUP($G55,SantoYusuf!$L$13:$AK$56,M$4,FALSE))=TRUE,"",
              VLOOKUP($G55,SantoYusuf!$L$13:$AK$56,M$4,FALSE)))</f>
        <v/>
      </c>
      <c r="N55" s="18" t="str">
        <f>IF(ISNUMBER($L$6)=FALSE,"",
        IF(ISERROR(VLOOKUP($G55,SantoYusuf!$L$13:$AK$56,N$4,FALSE))=TRUE,"",
              VLOOKUP($G55,SantoYusuf!$L$13:$AK$56,N$4,FALSE)))</f>
        <v/>
      </c>
      <c r="O55" s="18" t="str">
        <f>IF(ISNUMBER($L$6)=FALSE,"",
        IF(ISERROR(VLOOKUP($G55,SantoYusuf!$L$13:$AK$56,O$4,FALSE))=TRUE,"",
              VLOOKUP($G55,SantoYusuf!$L$13:$AK$56,O$4,FALSE)))</f>
        <v/>
      </c>
      <c r="P55" s="18" t="str">
        <f>IF(ISNUMBER($L$6)=FALSE,"",
        IF(ISERROR(VLOOKUP($G55,SantoYusuf!$L$13:$AK$56,P$4,FALSE))=TRUE,"",
              VLOOKUP($G55,SantoYusuf!$L$13:$AK$56,P$4,FALSE)))</f>
        <v/>
      </c>
      <c r="Q55" s="18" t="str">
        <f>IF(ISNUMBER($L$6)=FALSE,"",
        IF(ISERROR(VLOOKUP($G55,SantoYusuf!$L$13:$AK$56,Q$4,FALSE))=TRUE,"",
              VLOOKUP($G55,SantoYusuf!$L$13:$AK$56,Q$4,FALSE)))</f>
        <v/>
      </c>
      <c r="R55" s="18" t="str">
        <f>IF(ISNUMBER($L$6)=FALSE,"",
        IF(ISERROR(VLOOKUP($G55,SantoYusuf!$L$13:$AK$56,R$4,FALSE))=TRUE,"",
              VLOOKUP($G55,SantoYusuf!$L$13:$AK$56,R$4,FALSE)))</f>
        <v/>
      </c>
      <c r="S55" s="18" t="str">
        <f>IF(ISNUMBER($L$6)=FALSE,"",
        IF(ISERROR(VLOOKUP($G55,SantoYusuf!$L$13:$AK$56,S$4,FALSE))=TRUE,"",
              VLOOKUP($G55,SantoYusuf!$L$13:$AK$56,S$4,FALSE)))</f>
        <v/>
      </c>
      <c r="T55" s="18" t="str">
        <f>IF(ISNUMBER($L$6)=FALSE,"",
        IF(ISERROR(VLOOKUP($G55,SantoYusuf!$L$13:$AK$56,T$4,FALSE))=TRUE,"",
              VLOOKUP($G55,SantoYusuf!$L$13:$AK$56,T$4,FALSE)))</f>
        <v/>
      </c>
      <c r="U55" s="18" t="str">
        <f>IF(ISNUMBER($L$6)=FALSE,"",
        IF(ISERROR(VLOOKUP($G55,SantoYusuf!$L$13:$AK$56,U$4,FALSE))=TRUE,"",
              VLOOKUP($G55,SantoYusuf!$L$13:$AK$56,U$4,FALSE)))</f>
        <v/>
      </c>
      <c r="V55" s="18" t="str">
        <f>IF(ISNUMBER($L$6)=FALSE,"",
        IF(ISERROR(VLOOKUP($G55,SantoYusuf!$L$13:$AK$56,V$4,FALSE))=TRUE,"",
              VLOOKUP($G55,SantoYusuf!$L$13:$AK$56,V$4,FALSE)))</f>
        <v/>
      </c>
      <c r="W55" s="18" t="str">
        <f>IF(ISNUMBER($L$6)=FALSE,"",
        IF(ISERROR(VLOOKUP($G55,SantoYusuf!$L$13:$AK$56,W$4,FALSE))=TRUE,"",
              VLOOKUP($G55,SantoYusuf!$L$13:$AK$56,W$4,FALSE)))</f>
        <v/>
      </c>
      <c r="X55" s="18" t="str">
        <f>IF(ISNUMBER($L$6)=FALSE,"",
        IF(ISERROR(VLOOKUP($G55,SantoYusuf!$L$13:$AK$56,X$4,FALSE))=TRUE,"",
              VLOOKUP($G55,SantoYusuf!$L$13:$AK$56,X$4,FALSE)))</f>
        <v/>
      </c>
      <c r="Y55" s="18" t="str">
        <f>IF(ISNUMBER($L$6)=FALSE,"",
        IF(ISERROR(VLOOKUP($G55,SantoYusuf!$L$13:$AK$56,Y$4,FALSE))=TRUE,"",
              VLOOKUP($G55,SantoYusuf!$L$13:$AK$56,Y$4,FALSE)))</f>
        <v/>
      </c>
      <c r="Z55" s="18" t="str">
        <f>IF(ISNUMBER($L$6)=FALSE,"",
        IF(ISERROR(VLOOKUP($G55,SantoYusuf!$L$13:$AK$56,Z$4,FALSE))=TRUE,"",
              VLOOKUP($G55,SantoYusuf!$L$13:$AK$56,Z$4,FALSE)))</f>
        <v/>
      </c>
      <c r="AA55" s="18" t="str">
        <f>IF(ISNUMBER($L$6)=FALSE,"",
        IF(ISERROR(VLOOKUP($G55,SantoYusuf!$L$13:$AK$56,AA$4,FALSE))=TRUE,"",
              VLOOKUP($G55,SantoYusuf!$L$13:$AK$56,AA$4,FALSE)))</f>
        <v/>
      </c>
      <c r="AB55" s="18" t="str">
        <f>IF(ISNUMBER($L$6)=FALSE,"",
        IF(ISERROR(VLOOKUP($G55,SantoYusuf!$L$13:$AK$56,AB$4,FALSE))=TRUE,"",
              VLOOKUP($G55,SantoYusuf!$L$13:$AK$56,AB$4,FALSE)))</f>
        <v/>
      </c>
      <c r="AC55" s="18" t="str">
        <f>IF(ISNUMBER($L$6)=FALSE,"",
        IF(ISERROR(VLOOKUP($G55,SantoYusuf!$L$13:$AK$56,AC$4,FALSE))=TRUE,"",
              VLOOKUP($G55,SantoYusuf!$L$13:$AK$56,AC$4,FALSE)))</f>
        <v/>
      </c>
      <c r="AD55" s="18" t="str">
        <f>IF(ISNUMBER($L$6)=FALSE,"",
        IF(ISERROR(VLOOKUP($G55,SantoYusuf!$L$13:$AK$56,AD$4,FALSE))=TRUE,"",
              VLOOKUP($G55,SantoYusuf!$L$13:$AK$56,AD$4,FALSE)))</f>
        <v/>
      </c>
      <c r="AE55" s="18" t="str">
        <f>IF(ISNUMBER($L$6)=FALSE,"",
        IF(ISERROR(VLOOKUP($G55,SantoYusuf!$L$13:$AK$56,AE$4,FALSE))=TRUE,"",
              VLOOKUP($G55,SantoYusuf!$L$13:$AK$56,AE$4,FALSE)))</f>
        <v/>
      </c>
      <c r="AF55" s="18" t="str">
        <f>IF(ISNUMBER($L$6)=FALSE,"",
        IF(ISERROR(VLOOKUP($G55,SantoYusuf!$L$13:$AK$56,AF$4,FALSE))=TRUE,"",
              VLOOKUP($G55,SantoYusuf!$L$13:$AK$56,AF$4,FALSE)))</f>
        <v/>
      </c>
    </row>
    <row r="56" spans="1:32" s="60" customFormat="1" ht="10.5" x14ac:dyDescent="0.25">
      <c r="A56" s="59"/>
      <c r="C56" s="59">
        <f t="shared" si="3"/>
        <v>43</v>
      </c>
      <c r="D56" s="61"/>
      <c r="E56" s="77" t="str">
        <f t="shared" si="4"/>
        <v/>
      </c>
      <c r="F56" s="77" t="str">
        <f>IF(ISNUMBER($L$6)=FALSE,"",
IF($C56=0,"",VLOOKUP($E56,SantoYusuf!$H$13:$L$56,4,FALSE)))</f>
        <v/>
      </c>
      <c r="G56" s="77" t="str">
        <f>IF(ISNUMBER($L$6)=FALSE,"",
IF($C56=0,"",VLOOKUP($E56,SantoYusuf!$H$13:$L$56,5,FALSE)))</f>
        <v/>
      </c>
      <c r="H56" s="17" t="str">
        <f t="shared" si="5"/>
        <v/>
      </c>
      <c r="I56" s="18" t="str">
        <f>IF(ISNUMBER($L$6)=FALSE,"",
        IF(ISERROR(VLOOKUP($G56,SantoYusuf!$L$13:$AK$56,I$4,FALSE))=TRUE,"",
              VLOOKUP($G56,SantoYusuf!$L$13:$AK$56,I$4,FALSE)))</f>
        <v/>
      </c>
      <c r="J56" s="18" t="str">
        <f>IF(ISNUMBER($L$6)=FALSE,"",
        IF(ISERROR(VLOOKUP($G56,SantoYusuf!$L$13:$AK$56,J$4,FALSE))=TRUE,"",
              VLOOKUP($G56,SantoYusuf!$L$13:$AK$56,J$4,FALSE)))</f>
        <v/>
      </c>
      <c r="K56" s="18" t="str">
        <f>IF(ISNUMBER($L$6)=FALSE,"",
        IF(ISERROR(VLOOKUP($G56,SantoYusuf!$L$13:$AK$56,K$4,FALSE))=TRUE,"",
              VLOOKUP($G56,SantoYusuf!$L$13:$AK$56,K$4,FALSE)))</f>
        <v/>
      </c>
      <c r="L56" s="18" t="str">
        <f>IF(ISNUMBER($L$6)=FALSE,"",
        IF(ISERROR(VLOOKUP($G56,SantoYusuf!$L$13:$AK$56,L$4,FALSE))=TRUE,"",
              VLOOKUP($G56,SantoYusuf!$L$13:$AK$56,L$4,FALSE)))</f>
        <v/>
      </c>
      <c r="M56" s="18" t="str">
        <f>IF(ISNUMBER($L$6)=FALSE,"",
        IF(ISERROR(VLOOKUP($G56,SantoYusuf!$L$13:$AK$56,M$4,FALSE))=TRUE,"",
              VLOOKUP($G56,SantoYusuf!$L$13:$AK$56,M$4,FALSE)))</f>
        <v/>
      </c>
      <c r="N56" s="18" t="str">
        <f>IF(ISNUMBER($L$6)=FALSE,"",
        IF(ISERROR(VLOOKUP($G56,SantoYusuf!$L$13:$AK$56,N$4,FALSE))=TRUE,"",
              VLOOKUP($G56,SantoYusuf!$L$13:$AK$56,N$4,FALSE)))</f>
        <v/>
      </c>
      <c r="O56" s="18" t="str">
        <f>IF(ISNUMBER($L$6)=FALSE,"",
        IF(ISERROR(VLOOKUP($G56,SantoYusuf!$L$13:$AK$56,O$4,FALSE))=TRUE,"",
              VLOOKUP($G56,SantoYusuf!$L$13:$AK$56,O$4,FALSE)))</f>
        <v/>
      </c>
      <c r="P56" s="18" t="str">
        <f>IF(ISNUMBER($L$6)=FALSE,"",
        IF(ISERROR(VLOOKUP($G56,SantoYusuf!$L$13:$AK$56,P$4,FALSE))=TRUE,"",
              VLOOKUP($G56,SantoYusuf!$L$13:$AK$56,P$4,FALSE)))</f>
        <v/>
      </c>
      <c r="Q56" s="18" t="str">
        <f>IF(ISNUMBER($L$6)=FALSE,"",
        IF(ISERROR(VLOOKUP($G56,SantoYusuf!$L$13:$AK$56,Q$4,FALSE))=TRUE,"",
              VLOOKUP($G56,SantoYusuf!$L$13:$AK$56,Q$4,FALSE)))</f>
        <v/>
      </c>
      <c r="R56" s="18" t="str">
        <f>IF(ISNUMBER($L$6)=FALSE,"",
        IF(ISERROR(VLOOKUP($G56,SantoYusuf!$L$13:$AK$56,R$4,FALSE))=TRUE,"",
              VLOOKUP($G56,SantoYusuf!$L$13:$AK$56,R$4,FALSE)))</f>
        <v/>
      </c>
      <c r="S56" s="18" t="str">
        <f>IF(ISNUMBER($L$6)=FALSE,"",
        IF(ISERROR(VLOOKUP($G56,SantoYusuf!$L$13:$AK$56,S$4,FALSE))=TRUE,"",
              VLOOKUP($G56,SantoYusuf!$L$13:$AK$56,S$4,FALSE)))</f>
        <v/>
      </c>
      <c r="T56" s="18" t="str">
        <f>IF(ISNUMBER($L$6)=FALSE,"",
        IF(ISERROR(VLOOKUP($G56,SantoYusuf!$L$13:$AK$56,T$4,FALSE))=TRUE,"",
              VLOOKUP($G56,SantoYusuf!$L$13:$AK$56,T$4,FALSE)))</f>
        <v/>
      </c>
      <c r="U56" s="18" t="str">
        <f>IF(ISNUMBER($L$6)=FALSE,"",
        IF(ISERROR(VLOOKUP($G56,SantoYusuf!$L$13:$AK$56,U$4,FALSE))=TRUE,"",
              VLOOKUP($G56,SantoYusuf!$L$13:$AK$56,U$4,FALSE)))</f>
        <v/>
      </c>
      <c r="V56" s="18" t="str">
        <f>IF(ISNUMBER($L$6)=FALSE,"",
        IF(ISERROR(VLOOKUP($G56,SantoYusuf!$L$13:$AK$56,V$4,FALSE))=TRUE,"",
              VLOOKUP($G56,SantoYusuf!$L$13:$AK$56,V$4,FALSE)))</f>
        <v/>
      </c>
      <c r="W56" s="18" t="str">
        <f>IF(ISNUMBER($L$6)=FALSE,"",
        IF(ISERROR(VLOOKUP($G56,SantoYusuf!$L$13:$AK$56,W$4,FALSE))=TRUE,"",
              VLOOKUP($G56,SantoYusuf!$L$13:$AK$56,W$4,FALSE)))</f>
        <v/>
      </c>
      <c r="X56" s="18" t="str">
        <f>IF(ISNUMBER($L$6)=FALSE,"",
        IF(ISERROR(VLOOKUP($G56,SantoYusuf!$L$13:$AK$56,X$4,FALSE))=TRUE,"",
              VLOOKUP($G56,SantoYusuf!$L$13:$AK$56,X$4,FALSE)))</f>
        <v/>
      </c>
      <c r="Y56" s="18" t="str">
        <f>IF(ISNUMBER($L$6)=FALSE,"",
        IF(ISERROR(VLOOKUP($G56,SantoYusuf!$L$13:$AK$56,Y$4,FALSE))=TRUE,"",
              VLOOKUP($G56,SantoYusuf!$L$13:$AK$56,Y$4,FALSE)))</f>
        <v/>
      </c>
      <c r="Z56" s="18" t="str">
        <f>IF(ISNUMBER($L$6)=FALSE,"",
        IF(ISERROR(VLOOKUP($G56,SantoYusuf!$L$13:$AK$56,Z$4,FALSE))=TRUE,"",
              VLOOKUP($G56,SantoYusuf!$L$13:$AK$56,Z$4,FALSE)))</f>
        <v/>
      </c>
      <c r="AA56" s="18" t="str">
        <f>IF(ISNUMBER($L$6)=FALSE,"",
        IF(ISERROR(VLOOKUP($G56,SantoYusuf!$L$13:$AK$56,AA$4,FALSE))=TRUE,"",
              VLOOKUP($G56,SantoYusuf!$L$13:$AK$56,AA$4,FALSE)))</f>
        <v/>
      </c>
      <c r="AB56" s="18" t="str">
        <f>IF(ISNUMBER($L$6)=FALSE,"",
        IF(ISERROR(VLOOKUP($G56,SantoYusuf!$L$13:$AK$56,AB$4,FALSE))=TRUE,"",
              VLOOKUP($G56,SantoYusuf!$L$13:$AK$56,AB$4,FALSE)))</f>
        <v/>
      </c>
      <c r="AC56" s="18" t="str">
        <f>IF(ISNUMBER($L$6)=FALSE,"",
        IF(ISERROR(VLOOKUP($G56,SantoYusuf!$L$13:$AK$56,AC$4,FALSE))=TRUE,"",
              VLOOKUP($G56,SantoYusuf!$L$13:$AK$56,AC$4,FALSE)))</f>
        <v/>
      </c>
      <c r="AD56" s="18" t="str">
        <f>IF(ISNUMBER($L$6)=FALSE,"",
        IF(ISERROR(VLOOKUP($G56,SantoYusuf!$L$13:$AK$56,AD$4,FALSE))=TRUE,"",
              VLOOKUP($G56,SantoYusuf!$L$13:$AK$56,AD$4,FALSE)))</f>
        <v/>
      </c>
      <c r="AE56" s="18" t="str">
        <f>IF(ISNUMBER($L$6)=FALSE,"",
        IF(ISERROR(VLOOKUP($G56,SantoYusuf!$L$13:$AK$56,AE$4,FALSE))=TRUE,"",
              VLOOKUP($G56,SantoYusuf!$L$13:$AK$56,AE$4,FALSE)))</f>
        <v/>
      </c>
      <c r="AF56" s="18" t="str">
        <f>IF(ISNUMBER($L$6)=FALSE,"",
        IF(ISERROR(VLOOKUP($G56,SantoYusuf!$L$13:$AK$56,AF$4,FALSE))=TRUE,"",
              VLOOKUP($G56,SantoYusuf!$L$13:$AK$56,AF$4,FALSE)))</f>
        <v/>
      </c>
    </row>
    <row r="57" spans="1:32" s="60" customFormat="1" ht="10.5" x14ac:dyDescent="0.25">
      <c r="A57" s="59"/>
      <c r="C57" s="59">
        <f t="shared" si="3"/>
        <v>44</v>
      </c>
      <c r="D57" s="61"/>
      <c r="E57" s="77" t="str">
        <f t="shared" si="4"/>
        <v/>
      </c>
      <c r="F57" s="77" t="str">
        <f>IF(ISNUMBER($L$6)=FALSE,"",
IF($C57=0,"",VLOOKUP($E57,SantoYusuf!$H$13:$L$56,4,FALSE)))</f>
        <v/>
      </c>
      <c r="G57" s="77" t="str">
        <f>IF(ISNUMBER($L$6)=FALSE,"",
IF($C57=0,"",VLOOKUP($E57,SantoYusuf!$H$13:$L$56,5,FALSE)))</f>
        <v/>
      </c>
      <c r="H57" s="17" t="str">
        <f t="shared" si="5"/>
        <v/>
      </c>
      <c r="I57" s="18" t="str">
        <f>IF(ISNUMBER($L$6)=FALSE,"",
        IF(ISERROR(VLOOKUP($G57,SantoYusuf!$L$13:$AK$56,I$4,FALSE))=TRUE,"",
              VLOOKUP($G57,SantoYusuf!$L$13:$AK$56,I$4,FALSE)))</f>
        <v/>
      </c>
      <c r="J57" s="18" t="str">
        <f>IF(ISNUMBER($L$6)=FALSE,"",
        IF(ISERROR(VLOOKUP($G57,SantoYusuf!$L$13:$AK$56,J$4,FALSE))=TRUE,"",
              VLOOKUP($G57,SantoYusuf!$L$13:$AK$56,J$4,FALSE)))</f>
        <v/>
      </c>
      <c r="K57" s="18" t="str">
        <f>IF(ISNUMBER($L$6)=FALSE,"",
        IF(ISERROR(VLOOKUP($G57,SantoYusuf!$L$13:$AK$56,K$4,FALSE))=TRUE,"",
              VLOOKUP($G57,SantoYusuf!$L$13:$AK$56,K$4,FALSE)))</f>
        <v/>
      </c>
      <c r="L57" s="18" t="str">
        <f>IF(ISNUMBER($L$6)=FALSE,"",
        IF(ISERROR(VLOOKUP($G57,SantoYusuf!$L$13:$AK$56,L$4,FALSE))=TRUE,"",
              VLOOKUP($G57,SantoYusuf!$L$13:$AK$56,L$4,FALSE)))</f>
        <v/>
      </c>
      <c r="M57" s="18" t="str">
        <f>IF(ISNUMBER($L$6)=FALSE,"",
        IF(ISERROR(VLOOKUP($G57,SantoYusuf!$L$13:$AK$56,M$4,FALSE))=TRUE,"",
              VLOOKUP($G57,SantoYusuf!$L$13:$AK$56,M$4,FALSE)))</f>
        <v/>
      </c>
      <c r="N57" s="18" t="str">
        <f>IF(ISNUMBER($L$6)=FALSE,"",
        IF(ISERROR(VLOOKUP($G57,SantoYusuf!$L$13:$AK$56,N$4,FALSE))=TRUE,"",
              VLOOKUP($G57,SantoYusuf!$L$13:$AK$56,N$4,FALSE)))</f>
        <v/>
      </c>
      <c r="O57" s="18" t="str">
        <f>IF(ISNUMBER($L$6)=FALSE,"",
        IF(ISERROR(VLOOKUP($G57,SantoYusuf!$L$13:$AK$56,O$4,FALSE))=TRUE,"",
              VLOOKUP($G57,SantoYusuf!$L$13:$AK$56,O$4,FALSE)))</f>
        <v/>
      </c>
      <c r="P57" s="18" t="str">
        <f>IF(ISNUMBER($L$6)=FALSE,"",
        IF(ISERROR(VLOOKUP($G57,SantoYusuf!$L$13:$AK$56,P$4,FALSE))=TRUE,"",
              VLOOKUP($G57,SantoYusuf!$L$13:$AK$56,P$4,FALSE)))</f>
        <v/>
      </c>
      <c r="Q57" s="18" t="str">
        <f>IF(ISNUMBER($L$6)=FALSE,"",
        IF(ISERROR(VLOOKUP($G57,SantoYusuf!$L$13:$AK$56,Q$4,FALSE))=TRUE,"",
              VLOOKUP($G57,SantoYusuf!$L$13:$AK$56,Q$4,FALSE)))</f>
        <v/>
      </c>
      <c r="R57" s="18" t="str">
        <f>IF(ISNUMBER($L$6)=FALSE,"",
        IF(ISERROR(VLOOKUP($G57,SantoYusuf!$L$13:$AK$56,R$4,FALSE))=TRUE,"",
              VLOOKUP($G57,SantoYusuf!$L$13:$AK$56,R$4,FALSE)))</f>
        <v/>
      </c>
      <c r="S57" s="18" t="str">
        <f>IF(ISNUMBER($L$6)=FALSE,"",
        IF(ISERROR(VLOOKUP($G57,SantoYusuf!$L$13:$AK$56,S$4,FALSE))=TRUE,"",
              VLOOKUP($G57,SantoYusuf!$L$13:$AK$56,S$4,FALSE)))</f>
        <v/>
      </c>
      <c r="T57" s="18" t="str">
        <f>IF(ISNUMBER($L$6)=FALSE,"",
        IF(ISERROR(VLOOKUP($G57,SantoYusuf!$L$13:$AK$56,T$4,FALSE))=TRUE,"",
              VLOOKUP($G57,SantoYusuf!$L$13:$AK$56,T$4,FALSE)))</f>
        <v/>
      </c>
      <c r="U57" s="18" t="str">
        <f>IF(ISNUMBER($L$6)=FALSE,"",
        IF(ISERROR(VLOOKUP($G57,SantoYusuf!$L$13:$AK$56,U$4,FALSE))=TRUE,"",
              VLOOKUP($G57,SantoYusuf!$L$13:$AK$56,U$4,FALSE)))</f>
        <v/>
      </c>
      <c r="V57" s="18" t="str">
        <f>IF(ISNUMBER($L$6)=FALSE,"",
        IF(ISERROR(VLOOKUP($G57,SantoYusuf!$L$13:$AK$56,V$4,FALSE))=TRUE,"",
              VLOOKUP($G57,SantoYusuf!$L$13:$AK$56,V$4,FALSE)))</f>
        <v/>
      </c>
      <c r="W57" s="18" t="str">
        <f>IF(ISNUMBER($L$6)=FALSE,"",
        IF(ISERROR(VLOOKUP($G57,SantoYusuf!$L$13:$AK$56,W$4,FALSE))=TRUE,"",
              VLOOKUP($G57,SantoYusuf!$L$13:$AK$56,W$4,FALSE)))</f>
        <v/>
      </c>
      <c r="X57" s="18" t="str">
        <f>IF(ISNUMBER($L$6)=FALSE,"",
        IF(ISERROR(VLOOKUP($G57,SantoYusuf!$L$13:$AK$56,X$4,FALSE))=TRUE,"",
              VLOOKUP($G57,SantoYusuf!$L$13:$AK$56,X$4,FALSE)))</f>
        <v/>
      </c>
      <c r="Y57" s="18" t="str">
        <f>IF(ISNUMBER($L$6)=FALSE,"",
        IF(ISERROR(VLOOKUP($G57,SantoYusuf!$L$13:$AK$56,Y$4,FALSE))=TRUE,"",
              VLOOKUP($G57,SantoYusuf!$L$13:$AK$56,Y$4,FALSE)))</f>
        <v/>
      </c>
      <c r="Z57" s="18" t="str">
        <f>IF(ISNUMBER($L$6)=FALSE,"",
        IF(ISERROR(VLOOKUP($G57,SantoYusuf!$L$13:$AK$56,Z$4,FALSE))=TRUE,"",
              VLOOKUP($G57,SantoYusuf!$L$13:$AK$56,Z$4,FALSE)))</f>
        <v/>
      </c>
      <c r="AA57" s="18" t="str">
        <f>IF(ISNUMBER($L$6)=FALSE,"",
        IF(ISERROR(VLOOKUP($G57,SantoYusuf!$L$13:$AK$56,AA$4,FALSE))=TRUE,"",
              VLOOKUP($G57,SantoYusuf!$L$13:$AK$56,AA$4,FALSE)))</f>
        <v/>
      </c>
      <c r="AB57" s="18" t="str">
        <f>IF(ISNUMBER($L$6)=FALSE,"",
        IF(ISERROR(VLOOKUP($G57,SantoYusuf!$L$13:$AK$56,AB$4,FALSE))=TRUE,"",
              VLOOKUP($G57,SantoYusuf!$L$13:$AK$56,AB$4,FALSE)))</f>
        <v/>
      </c>
      <c r="AC57" s="18" t="str">
        <f>IF(ISNUMBER($L$6)=FALSE,"",
        IF(ISERROR(VLOOKUP($G57,SantoYusuf!$L$13:$AK$56,AC$4,FALSE))=TRUE,"",
              VLOOKUP($G57,SantoYusuf!$L$13:$AK$56,AC$4,FALSE)))</f>
        <v/>
      </c>
      <c r="AD57" s="18" t="str">
        <f>IF(ISNUMBER($L$6)=FALSE,"",
        IF(ISERROR(VLOOKUP($G57,SantoYusuf!$L$13:$AK$56,AD$4,FALSE))=TRUE,"",
              VLOOKUP($G57,SantoYusuf!$L$13:$AK$56,AD$4,FALSE)))</f>
        <v/>
      </c>
      <c r="AE57" s="18" t="str">
        <f>IF(ISNUMBER($L$6)=FALSE,"",
        IF(ISERROR(VLOOKUP($G57,SantoYusuf!$L$13:$AK$56,AE$4,FALSE))=TRUE,"",
              VLOOKUP($G57,SantoYusuf!$L$13:$AK$56,AE$4,FALSE)))</f>
        <v/>
      </c>
      <c r="AF57" s="18" t="str">
        <f>IF(ISNUMBER($L$6)=FALSE,"",
        IF(ISERROR(VLOOKUP($G57,SantoYusuf!$L$13:$AK$56,AF$4,FALSE))=TRUE,"",
              VLOOKUP($G57,SantoYusuf!$L$13:$AK$56,AF$4,FALSE)))</f>
        <v/>
      </c>
    </row>
    <row r="58" spans="1:32" s="60" customFormat="1" ht="10.5" x14ac:dyDescent="0.25">
      <c r="A58" s="59"/>
      <c r="C58" s="59">
        <f t="shared" si="3"/>
        <v>45</v>
      </c>
      <c r="D58" s="61"/>
      <c r="E58" s="77" t="str">
        <f t="shared" si="4"/>
        <v/>
      </c>
      <c r="F58" s="77" t="str">
        <f>IF(ISNUMBER($L$6)=FALSE,"",
IF($C58=0,"",VLOOKUP($E58,SantoYusuf!$H$13:$L$56,4,FALSE)))</f>
        <v/>
      </c>
      <c r="G58" s="77" t="str">
        <f>IF(ISNUMBER($L$6)=FALSE,"",
IF($C58=0,"",VLOOKUP($E58,SantoYusuf!$H$13:$L$56,5,FALSE)))</f>
        <v/>
      </c>
      <c r="H58" s="17" t="str">
        <f t="shared" si="5"/>
        <v/>
      </c>
      <c r="I58" s="18" t="str">
        <f>IF(ISNUMBER($L$6)=FALSE,"",
        IF(ISERROR(VLOOKUP($G58,SantoYusuf!$L$13:$AK$56,I$4,FALSE))=TRUE,"",
              VLOOKUP($G58,SantoYusuf!$L$13:$AK$56,I$4,FALSE)))</f>
        <v/>
      </c>
      <c r="J58" s="18" t="str">
        <f>IF(ISNUMBER($L$6)=FALSE,"",
        IF(ISERROR(VLOOKUP($G58,SantoYusuf!$L$13:$AK$56,J$4,FALSE))=TRUE,"",
              VLOOKUP($G58,SantoYusuf!$L$13:$AK$56,J$4,FALSE)))</f>
        <v/>
      </c>
      <c r="K58" s="18" t="str">
        <f>IF(ISNUMBER($L$6)=FALSE,"",
        IF(ISERROR(VLOOKUP($G58,SantoYusuf!$L$13:$AK$56,K$4,FALSE))=TRUE,"",
              VLOOKUP($G58,SantoYusuf!$L$13:$AK$56,K$4,FALSE)))</f>
        <v/>
      </c>
      <c r="L58" s="18" t="str">
        <f>IF(ISNUMBER($L$6)=FALSE,"",
        IF(ISERROR(VLOOKUP($G58,SantoYusuf!$L$13:$AK$56,L$4,FALSE))=TRUE,"",
              VLOOKUP($G58,SantoYusuf!$L$13:$AK$56,L$4,FALSE)))</f>
        <v/>
      </c>
      <c r="M58" s="18" t="str">
        <f>IF(ISNUMBER($L$6)=FALSE,"",
        IF(ISERROR(VLOOKUP($G58,SantoYusuf!$L$13:$AK$56,M$4,FALSE))=TRUE,"",
              VLOOKUP($G58,SantoYusuf!$L$13:$AK$56,M$4,FALSE)))</f>
        <v/>
      </c>
      <c r="N58" s="18" t="str">
        <f>IF(ISNUMBER($L$6)=FALSE,"",
        IF(ISERROR(VLOOKUP($G58,SantoYusuf!$L$13:$AK$56,N$4,FALSE))=TRUE,"",
              VLOOKUP($G58,SantoYusuf!$L$13:$AK$56,N$4,FALSE)))</f>
        <v/>
      </c>
      <c r="O58" s="18" t="str">
        <f>IF(ISNUMBER($L$6)=FALSE,"",
        IF(ISERROR(VLOOKUP($G58,SantoYusuf!$L$13:$AK$56,O$4,FALSE))=TRUE,"",
              VLOOKUP($G58,SantoYusuf!$L$13:$AK$56,O$4,FALSE)))</f>
        <v/>
      </c>
      <c r="P58" s="18" t="str">
        <f>IF(ISNUMBER($L$6)=FALSE,"",
        IF(ISERROR(VLOOKUP($G58,SantoYusuf!$L$13:$AK$56,P$4,FALSE))=TRUE,"",
              VLOOKUP($G58,SantoYusuf!$L$13:$AK$56,P$4,FALSE)))</f>
        <v/>
      </c>
      <c r="Q58" s="18" t="str">
        <f>IF(ISNUMBER($L$6)=FALSE,"",
        IF(ISERROR(VLOOKUP($G58,SantoYusuf!$L$13:$AK$56,Q$4,FALSE))=TRUE,"",
              VLOOKUP($G58,SantoYusuf!$L$13:$AK$56,Q$4,FALSE)))</f>
        <v/>
      </c>
      <c r="R58" s="18" t="str">
        <f>IF(ISNUMBER($L$6)=FALSE,"",
        IF(ISERROR(VLOOKUP($G58,SantoYusuf!$L$13:$AK$56,R$4,FALSE))=TRUE,"",
              VLOOKUP($G58,SantoYusuf!$L$13:$AK$56,R$4,FALSE)))</f>
        <v/>
      </c>
      <c r="S58" s="18" t="str">
        <f>IF(ISNUMBER($L$6)=FALSE,"",
        IF(ISERROR(VLOOKUP($G58,SantoYusuf!$L$13:$AK$56,S$4,FALSE))=TRUE,"",
              VLOOKUP($G58,SantoYusuf!$L$13:$AK$56,S$4,FALSE)))</f>
        <v/>
      </c>
      <c r="T58" s="18" t="str">
        <f>IF(ISNUMBER($L$6)=FALSE,"",
        IF(ISERROR(VLOOKUP($G58,SantoYusuf!$L$13:$AK$56,T$4,FALSE))=TRUE,"",
              VLOOKUP($G58,SantoYusuf!$L$13:$AK$56,T$4,FALSE)))</f>
        <v/>
      </c>
      <c r="U58" s="18" t="str">
        <f>IF(ISNUMBER($L$6)=FALSE,"",
        IF(ISERROR(VLOOKUP($G58,SantoYusuf!$L$13:$AK$56,U$4,FALSE))=TRUE,"",
              VLOOKUP($G58,SantoYusuf!$L$13:$AK$56,U$4,FALSE)))</f>
        <v/>
      </c>
      <c r="V58" s="18" t="str">
        <f>IF(ISNUMBER($L$6)=FALSE,"",
        IF(ISERROR(VLOOKUP($G58,SantoYusuf!$L$13:$AK$56,V$4,FALSE))=TRUE,"",
              VLOOKUP($G58,SantoYusuf!$L$13:$AK$56,V$4,FALSE)))</f>
        <v/>
      </c>
      <c r="W58" s="18" t="str">
        <f>IF(ISNUMBER($L$6)=FALSE,"",
        IF(ISERROR(VLOOKUP($G58,SantoYusuf!$L$13:$AK$56,W$4,FALSE))=TRUE,"",
              VLOOKUP($G58,SantoYusuf!$L$13:$AK$56,W$4,FALSE)))</f>
        <v/>
      </c>
      <c r="X58" s="18" t="str">
        <f>IF(ISNUMBER($L$6)=FALSE,"",
        IF(ISERROR(VLOOKUP($G58,SantoYusuf!$L$13:$AK$56,X$4,FALSE))=TRUE,"",
              VLOOKUP($G58,SantoYusuf!$L$13:$AK$56,X$4,FALSE)))</f>
        <v/>
      </c>
      <c r="Y58" s="18" t="str">
        <f>IF(ISNUMBER($L$6)=FALSE,"",
        IF(ISERROR(VLOOKUP($G58,SantoYusuf!$L$13:$AK$56,Y$4,FALSE))=TRUE,"",
              VLOOKUP($G58,SantoYusuf!$L$13:$AK$56,Y$4,FALSE)))</f>
        <v/>
      </c>
      <c r="Z58" s="18" t="str">
        <f>IF(ISNUMBER($L$6)=FALSE,"",
        IF(ISERROR(VLOOKUP($G58,SantoYusuf!$L$13:$AK$56,Z$4,FALSE))=TRUE,"",
              VLOOKUP($G58,SantoYusuf!$L$13:$AK$56,Z$4,FALSE)))</f>
        <v/>
      </c>
      <c r="AA58" s="18" t="str">
        <f>IF(ISNUMBER($L$6)=FALSE,"",
        IF(ISERROR(VLOOKUP($G58,SantoYusuf!$L$13:$AK$56,AA$4,FALSE))=TRUE,"",
              VLOOKUP($G58,SantoYusuf!$L$13:$AK$56,AA$4,FALSE)))</f>
        <v/>
      </c>
      <c r="AB58" s="18" t="str">
        <f>IF(ISNUMBER($L$6)=FALSE,"",
        IF(ISERROR(VLOOKUP($G58,SantoYusuf!$L$13:$AK$56,AB$4,FALSE))=TRUE,"",
              VLOOKUP($G58,SantoYusuf!$L$13:$AK$56,AB$4,FALSE)))</f>
        <v/>
      </c>
      <c r="AC58" s="18" t="str">
        <f>IF(ISNUMBER($L$6)=FALSE,"",
        IF(ISERROR(VLOOKUP($G58,SantoYusuf!$L$13:$AK$56,AC$4,FALSE))=TRUE,"",
              VLOOKUP($G58,SantoYusuf!$L$13:$AK$56,AC$4,FALSE)))</f>
        <v/>
      </c>
      <c r="AD58" s="18" t="str">
        <f>IF(ISNUMBER($L$6)=FALSE,"",
        IF(ISERROR(VLOOKUP($G58,SantoYusuf!$L$13:$AK$56,AD$4,FALSE))=TRUE,"",
              VLOOKUP($G58,SantoYusuf!$L$13:$AK$56,AD$4,FALSE)))</f>
        <v/>
      </c>
      <c r="AE58" s="18" t="str">
        <f>IF(ISNUMBER($L$6)=FALSE,"",
        IF(ISERROR(VLOOKUP($G58,SantoYusuf!$L$13:$AK$56,AE$4,FALSE))=TRUE,"",
              VLOOKUP($G58,SantoYusuf!$L$13:$AK$56,AE$4,FALSE)))</f>
        <v/>
      </c>
      <c r="AF58" s="18" t="str">
        <f>IF(ISNUMBER($L$6)=FALSE,"",
        IF(ISERROR(VLOOKUP($G58,SantoYusuf!$L$13:$AK$56,AF$4,FALSE))=TRUE,"",
              VLOOKUP($G58,SantoYusuf!$L$13:$AK$56,AF$4,FALSE)))</f>
        <v/>
      </c>
    </row>
    <row r="59" spans="1:32" s="60" customFormat="1" ht="10.5" x14ac:dyDescent="0.25">
      <c r="A59" s="59"/>
      <c r="C59" s="59">
        <f t="shared" si="3"/>
        <v>46</v>
      </c>
      <c r="D59" s="61"/>
      <c r="E59" s="77" t="str">
        <f t="shared" si="4"/>
        <v/>
      </c>
      <c r="F59" s="77" t="str">
        <f>IF(ISNUMBER($L$6)=FALSE,"",
IF($C59=0,"",VLOOKUP($E59,SantoYusuf!$H$13:$L$56,4,FALSE)))</f>
        <v/>
      </c>
      <c r="G59" s="77" t="str">
        <f>IF(ISNUMBER($L$6)=FALSE,"",
IF($C59=0,"",VLOOKUP($E59,SantoYusuf!$H$13:$L$56,5,FALSE)))</f>
        <v/>
      </c>
      <c r="H59" s="17" t="str">
        <f t="shared" si="5"/>
        <v/>
      </c>
      <c r="I59" s="18" t="str">
        <f>IF(ISNUMBER($L$6)=FALSE,"",
        IF(ISERROR(VLOOKUP($G59,SantoYusuf!$L$13:$AK$56,I$4,FALSE))=TRUE,"",
              VLOOKUP($G59,SantoYusuf!$L$13:$AK$56,I$4,FALSE)))</f>
        <v/>
      </c>
      <c r="J59" s="18" t="str">
        <f>IF(ISNUMBER($L$6)=FALSE,"",
        IF(ISERROR(VLOOKUP($G59,SantoYusuf!$L$13:$AK$56,J$4,FALSE))=TRUE,"",
              VLOOKUP($G59,SantoYusuf!$L$13:$AK$56,J$4,FALSE)))</f>
        <v/>
      </c>
      <c r="K59" s="18" t="str">
        <f>IF(ISNUMBER($L$6)=FALSE,"",
        IF(ISERROR(VLOOKUP($G59,SantoYusuf!$L$13:$AK$56,K$4,FALSE))=TRUE,"",
              VLOOKUP($G59,SantoYusuf!$L$13:$AK$56,K$4,FALSE)))</f>
        <v/>
      </c>
      <c r="L59" s="18" t="str">
        <f>IF(ISNUMBER($L$6)=FALSE,"",
        IF(ISERROR(VLOOKUP($G59,SantoYusuf!$L$13:$AK$56,L$4,FALSE))=TRUE,"",
              VLOOKUP($G59,SantoYusuf!$L$13:$AK$56,L$4,FALSE)))</f>
        <v/>
      </c>
      <c r="M59" s="18" t="str">
        <f>IF(ISNUMBER($L$6)=FALSE,"",
        IF(ISERROR(VLOOKUP($G59,SantoYusuf!$L$13:$AK$56,M$4,FALSE))=TRUE,"",
              VLOOKUP($G59,SantoYusuf!$L$13:$AK$56,M$4,FALSE)))</f>
        <v/>
      </c>
      <c r="N59" s="18" t="str">
        <f>IF(ISNUMBER($L$6)=FALSE,"",
        IF(ISERROR(VLOOKUP($G59,SantoYusuf!$L$13:$AK$56,N$4,FALSE))=TRUE,"",
              VLOOKUP($G59,SantoYusuf!$L$13:$AK$56,N$4,FALSE)))</f>
        <v/>
      </c>
      <c r="O59" s="18" t="str">
        <f>IF(ISNUMBER($L$6)=FALSE,"",
        IF(ISERROR(VLOOKUP($G59,SantoYusuf!$L$13:$AK$56,O$4,FALSE))=TRUE,"",
              VLOOKUP($G59,SantoYusuf!$L$13:$AK$56,O$4,FALSE)))</f>
        <v/>
      </c>
      <c r="P59" s="18" t="str">
        <f>IF(ISNUMBER($L$6)=FALSE,"",
        IF(ISERROR(VLOOKUP($G59,SantoYusuf!$L$13:$AK$56,P$4,FALSE))=TRUE,"",
              VLOOKUP($G59,SantoYusuf!$L$13:$AK$56,P$4,FALSE)))</f>
        <v/>
      </c>
      <c r="Q59" s="18" t="str">
        <f>IF(ISNUMBER($L$6)=FALSE,"",
        IF(ISERROR(VLOOKUP($G59,SantoYusuf!$L$13:$AK$56,Q$4,FALSE))=TRUE,"",
              VLOOKUP($G59,SantoYusuf!$L$13:$AK$56,Q$4,FALSE)))</f>
        <v/>
      </c>
      <c r="R59" s="18" t="str">
        <f>IF(ISNUMBER($L$6)=FALSE,"",
        IF(ISERROR(VLOOKUP($G59,SantoYusuf!$L$13:$AK$56,R$4,FALSE))=TRUE,"",
              VLOOKUP($G59,SantoYusuf!$L$13:$AK$56,R$4,FALSE)))</f>
        <v/>
      </c>
      <c r="S59" s="18" t="str">
        <f>IF(ISNUMBER($L$6)=FALSE,"",
        IF(ISERROR(VLOOKUP($G59,SantoYusuf!$L$13:$AK$56,S$4,FALSE))=TRUE,"",
              VLOOKUP($G59,SantoYusuf!$L$13:$AK$56,S$4,FALSE)))</f>
        <v/>
      </c>
      <c r="T59" s="18" t="str">
        <f>IF(ISNUMBER($L$6)=FALSE,"",
        IF(ISERROR(VLOOKUP($G59,SantoYusuf!$L$13:$AK$56,T$4,FALSE))=TRUE,"",
              VLOOKUP($G59,SantoYusuf!$L$13:$AK$56,T$4,FALSE)))</f>
        <v/>
      </c>
      <c r="U59" s="18" t="str">
        <f>IF(ISNUMBER($L$6)=FALSE,"",
        IF(ISERROR(VLOOKUP($G59,SantoYusuf!$L$13:$AK$56,U$4,FALSE))=TRUE,"",
              VLOOKUP($G59,SantoYusuf!$L$13:$AK$56,U$4,FALSE)))</f>
        <v/>
      </c>
      <c r="V59" s="18" t="str">
        <f>IF(ISNUMBER($L$6)=FALSE,"",
        IF(ISERROR(VLOOKUP($G59,SantoYusuf!$L$13:$AK$56,V$4,FALSE))=TRUE,"",
              VLOOKUP($G59,SantoYusuf!$L$13:$AK$56,V$4,FALSE)))</f>
        <v/>
      </c>
      <c r="W59" s="18" t="str">
        <f>IF(ISNUMBER($L$6)=FALSE,"",
        IF(ISERROR(VLOOKUP($G59,SantoYusuf!$L$13:$AK$56,W$4,FALSE))=TRUE,"",
              VLOOKUP($G59,SantoYusuf!$L$13:$AK$56,W$4,FALSE)))</f>
        <v/>
      </c>
      <c r="X59" s="18" t="str">
        <f>IF(ISNUMBER($L$6)=FALSE,"",
        IF(ISERROR(VLOOKUP($G59,SantoYusuf!$L$13:$AK$56,X$4,FALSE))=TRUE,"",
              VLOOKUP($G59,SantoYusuf!$L$13:$AK$56,X$4,FALSE)))</f>
        <v/>
      </c>
      <c r="Y59" s="18" t="str">
        <f>IF(ISNUMBER($L$6)=FALSE,"",
        IF(ISERROR(VLOOKUP($G59,SantoYusuf!$L$13:$AK$56,Y$4,FALSE))=TRUE,"",
              VLOOKUP($G59,SantoYusuf!$L$13:$AK$56,Y$4,FALSE)))</f>
        <v/>
      </c>
      <c r="Z59" s="18" t="str">
        <f>IF(ISNUMBER($L$6)=FALSE,"",
        IF(ISERROR(VLOOKUP($G59,SantoYusuf!$L$13:$AK$56,Z$4,FALSE))=TRUE,"",
              VLOOKUP($G59,SantoYusuf!$L$13:$AK$56,Z$4,FALSE)))</f>
        <v/>
      </c>
      <c r="AA59" s="18" t="str">
        <f>IF(ISNUMBER($L$6)=FALSE,"",
        IF(ISERROR(VLOOKUP($G59,SantoYusuf!$L$13:$AK$56,AA$4,FALSE))=TRUE,"",
              VLOOKUP($G59,SantoYusuf!$L$13:$AK$56,AA$4,FALSE)))</f>
        <v/>
      </c>
      <c r="AB59" s="18" t="str">
        <f>IF(ISNUMBER($L$6)=FALSE,"",
        IF(ISERROR(VLOOKUP($G59,SantoYusuf!$L$13:$AK$56,AB$4,FALSE))=TRUE,"",
              VLOOKUP($G59,SantoYusuf!$L$13:$AK$56,AB$4,FALSE)))</f>
        <v/>
      </c>
      <c r="AC59" s="18" t="str">
        <f>IF(ISNUMBER($L$6)=FALSE,"",
        IF(ISERROR(VLOOKUP($G59,SantoYusuf!$L$13:$AK$56,AC$4,FALSE))=TRUE,"",
              VLOOKUP($G59,SantoYusuf!$L$13:$AK$56,AC$4,FALSE)))</f>
        <v/>
      </c>
      <c r="AD59" s="18" t="str">
        <f>IF(ISNUMBER($L$6)=FALSE,"",
        IF(ISERROR(VLOOKUP($G59,SantoYusuf!$L$13:$AK$56,AD$4,FALSE))=TRUE,"",
              VLOOKUP($G59,SantoYusuf!$L$13:$AK$56,AD$4,FALSE)))</f>
        <v/>
      </c>
      <c r="AE59" s="18" t="str">
        <f>IF(ISNUMBER($L$6)=FALSE,"",
        IF(ISERROR(VLOOKUP($G59,SantoYusuf!$L$13:$AK$56,AE$4,FALSE))=TRUE,"",
              VLOOKUP($G59,SantoYusuf!$L$13:$AK$56,AE$4,FALSE)))</f>
        <v/>
      </c>
      <c r="AF59" s="18" t="str">
        <f>IF(ISNUMBER($L$6)=FALSE,"",
        IF(ISERROR(VLOOKUP($G59,SantoYusuf!$L$13:$AK$56,AF$4,FALSE))=TRUE,"",
              VLOOKUP($G59,SantoYusuf!$L$13:$AK$56,AF$4,FALSE)))</f>
        <v/>
      </c>
    </row>
    <row r="60" spans="1:32" s="60" customFormat="1" ht="10.5" x14ac:dyDescent="0.25">
      <c r="A60" s="59"/>
      <c r="C60" s="59">
        <f t="shared" si="3"/>
        <v>47</v>
      </c>
      <c r="D60" s="61"/>
      <c r="E60" s="77" t="str">
        <f t="shared" si="4"/>
        <v/>
      </c>
      <c r="F60" s="77" t="str">
        <f>IF(ISNUMBER($L$6)=FALSE,"",
IF($C60=0,"",VLOOKUP($E60,SantoYusuf!$H$13:$L$56,4,FALSE)))</f>
        <v/>
      </c>
      <c r="G60" s="77" t="str">
        <f>IF(ISNUMBER($L$6)=FALSE,"",
IF($C60=0,"",VLOOKUP($E60,SantoYusuf!$H$13:$L$56,5,FALSE)))</f>
        <v/>
      </c>
      <c r="H60" s="17" t="str">
        <f t="shared" si="5"/>
        <v/>
      </c>
      <c r="I60" s="18" t="str">
        <f>IF(ISNUMBER($L$6)=FALSE,"",
        IF(ISERROR(VLOOKUP($G60,SantoYusuf!$L$13:$AK$56,I$4,FALSE))=TRUE,"",
              VLOOKUP($G60,SantoYusuf!$L$13:$AK$56,I$4,FALSE)))</f>
        <v/>
      </c>
      <c r="J60" s="18" t="str">
        <f>IF(ISNUMBER($L$6)=FALSE,"",
        IF(ISERROR(VLOOKUP($G60,SantoYusuf!$L$13:$AK$56,J$4,FALSE))=TRUE,"",
              VLOOKUP($G60,SantoYusuf!$L$13:$AK$56,J$4,FALSE)))</f>
        <v/>
      </c>
      <c r="K60" s="18" t="str">
        <f>IF(ISNUMBER($L$6)=FALSE,"",
        IF(ISERROR(VLOOKUP($G60,SantoYusuf!$L$13:$AK$56,K$4,FALSE))=TRUE,"",
              VLOOKUP($G60,SantoYusuf!$L$13:$AK$56,K$4,FALSE)))</f>
        <v/>
      </c>
      <c r="L60" s="18" t="str">
        <f>IF(ISNUMBER($L$6)=FALSE,"",
        IF(ISERROR(VLOOKUP($G60,SantoYusuf!$L$13:$AK$56,L$4,FALSE))=TRUE,"",
              VLOOKUP($G60,SantoYusuf!$L$13:$AK$56,L$4,FALSE)))</f>
        <v/>
      </c>
      <c r="M60" s="18" t="str">
        <f>IF(ISNUMBER($L$6)=FALSE,"",
        IF(ISERROR(VLOOKUP($G60,SantoYusuf!$L$13:$AK$56,M$4,FALSE))=TRUE,"",
              VLOOKUP($G60,SantoYusuf!$L$13:$AK$56,M$4,FALSE)))</f>
        <v/>
      </c>
      <c r="N60" s="18" t="str">
        <f>IF(ISNUMBER($L$6)=FALSE,"",
        IF(ISERROR(VLOOKUP($G60,SantoYusuf!$L$13:$AK$56,N$4,FALSE))=TRUE,"",
              VLOOKUP($G60,SantoYusuf!$L$13:$AK$56,N$4,FALSE)))</f>
        <v/>
      </c>
      <c r="O60" s="18" t="str">
        <f>IF(ISNUMBER($L$6)=FALSE,"",
        IF(ISERROR(VLOOKUP($G60,SantoYusuf!$L$13:$AK$56,O$4,FALSE))=TRUE,"",
              VLOOKUP($G60,SantoYusuf!$L$13:$AK$56,O$4,FALSE)))</f>
        <v/>
      </c>
      <c r="P60" s="18" t="str">
        <f>IF(ISNUMBER($L$6)=FALSE,"",
        IF(ISERROR(VLOOKUP($G60,SantoYusuf!$L$13:$AK$56,P$4,FALSE))=TRUE,"",
              VLOOKUP($G60,SantoYusuf!$L$13:$AK$56,P$4,FALSE)))</f>
        <v/>
      </c>
      <c r="Q60" s="18" t="str">
        <f>IF(ISNUMBER($L$6)=FALSE,"",
        IF(ISERROR(VLOOKUP($G60,SantoYusuf!$L$13:$AK$56,Q$4,FALSE))=TRUE,"",
              VLOOKUP($G60,SantoYusuf!$L$13:$AK$56,Q$4,FALSE)))</f>
        <v/>
      </c>
      <c r="R60" s="18" t="str">
        <f>IF(ISNUMBER($L$6)=FALSE,"",
        IF(ISERROR(VLOOKUP($G60,SantoYusuf!$L$13:$AK$56,R$4,FALSE))=TRUE,"",
              VLOOKUP($G60,SantoYusuf!$L$13:$AK$56,R$4,FALSE)))</f>
        <v/>
      </c>
      <c r="S60" s="18" t="str">
        <f>IF(ISNUMBER($L$6)=FALSE,"",
        IF(ISERROR(VLOOKUP($G60,SantoYusuf!$L$13:$AK$56,S$4,FALSE))=TRUE,"",
              VLOOKUP($G60,SantoYusuf!$L$13:$AK$56,S$4,FALSE)))</f>
        <v/>
      </c>
      <c r="T60" s="18" t="str">
        <f>IF(ISNUMBER($L$6)=FALSE,"",
        IF(ISERROR(VLOOKUP($G60,SantoYusuf!$L$13:$AK$56,T$4,FALSE))=TRUE,"",
              VLOOKUP($G60,SantoYusuf!$L$13:$AK$56,T$4,FALSE)))</f>
        <v/>
      </c>
      <c r="U60" s="18" t="str">
        <f>IF(ISNUMBER($L$6)=FALSE,"",
        IF(ISERROR(VLOOKUP($G60,SantoYusuf!$L$13:$AK$56,U$4,FALSE))=TRUE,"",
              VLOOKUP($G60,SantoYusuf!$L$13:$AK$56,U$4,FALSE)))</f>
        <v/>
      </c>
      <c r="V60" s="18" t="str">
        <f>IF(ISNUMBER($L$6)=FALSE,"",
        IF(ISERROR(VLOOKUP($G60,SantoYusuf!$L$13:$AK$56,V$4,FALSE))=TRUE,"",
              VLOOKUP($G60,SantoYusuf!$L$13:$AK$56,V$4,FALSE)))</f>
        <v/>
      </c>
      <c r="W60" s="18" t="str">
        <f>IF(ISNUMBER($L$6)=FALSE,"",
        IF(ISERROR(VLOOKUP($G60,SantoYusuf!$L$13:$AK$56,W$4,FALSE))=TRUE,"",
              VLOOKUP($G60,SantoYusuf!$L$13:$AK$56,W$4,FALSE)))</f>
        <v/>
      </c>
      <c r="X60" s="18" t="str">
        <f>IF(ISNUMBER($L$6)=FALSE,"",
        IF(ISERROR(VLOOKUP($G60,SantoYusuf!$L$13:$AK$56,X$4,FALSE))=TRUE,"",
              VLOOKUP($G60,SantoYusuf!$L$13:$AK$56,X$4,FALSE)))</f>
        <v/>
      </c>
      <c r="Y60" s="18" t="str">
        <f>IF(ISNUMBER($L$6)=FALSE,"",
        IF(ISERROR(VLOOKUP($G60,SantoYusuf!$L$13:$AK$56,Y$4,FALSE))=TRUE,"",
              VLOOKUP($G60,SantoYusuf!$L$13:$AK$56,Y$4,FALSE)))</f>
        <v/>
      </c>
      <c r="Z60" s="18" t="str">
        <f>IF(ISNUMBER($L$6)=FALSE,"",
        IF(ISERROR(VLOOKUP($G60,SantoYusuf!$L$13:$AK$56,Z$4,FALSE))=TRUE,"",
              VLOOKUP($G60,SantoYusuf!$L$13:$AK$56,Z$4,FALSE)))</f>
        <v/>
      </c>
      <c r="AA60" s="18" t="str">
        <f>IF(ISNUMBER($L$6)=FALSE,"",
        IF(ISERROR(VLOOKUP($G60,SantoYusuf!$L$13:$AK$56,AA$4,FALSE))=TRUE,"",
              VLOOKUP($G60,SantoYusuf!$L$13:$AK$56,AA$4,FALSE)))</f>
        <v/>
      </c>
      <c r="AB60" s="18" t="str">
        <f>IF(ISNUMBER($L$6)=FALSE,"",
        IF(ISERROR(VLOOKUP($G60,SantoYusuf!$L$13:$AK$56,AB$4,FALSE))=TRUE,"",
              VLOOKUP($G60,SantoYusuf!$L$13:$AK$56,AB$4,FALSE)))</f>
        <v/>
      </c>
      <c r="AC60" s="18" t="str">
        <f>IF(ISNUMBER($L$6)=FALSE,"",
        IF(ISERROR(VLOOKUP($G60,SantoYusuf!$L$13:$AK$56,AC$4,FALSE))=TRUE,"",
              VLOOKUP($G60,SantoYusuf!$L$13:$AK$56,AC$4,FALSE)))</f>
        <v/>
      </c>
      <c r="AD60" s="18" t="str">
        <f>IF(ISNUMBER($L$6)=FALSE,"",
        IF(ISERROR(VLOOKUP($G60,SantoYusuf!$L$13:$AK$56,AD$4,FALSE))=TRUE,"",
              VLOOKUP($G60,SantoYusuf!$L$13:$AK$56,AD$4,FALSE)))</f>
        <v/>
      </c>
      <c r="AE60" s="18" t="str">
        <f>IF(ISNUMBER($L$6)=FALSE,"",
        IF(ISERROR(VLOOKUP($G60,SantoYusuf!$L$13:$AK$56,AE$4,FALSE))=TRUE,"",
              VLOOKUP($G60,SantoYusuf!$L$13:$AK$56,AE$4,FALSE)))</f>
        <v/>
      </c>
      <c r="AF60" s="18" t="str">
        <f>IF(ISNUMBER($L$6)=FALSE,"",
        IF(ISERROR(VLOOKUP($G60,SantoYusuf!$L$13:$AK$56,AF$4,FALSE))=TRUE,"",
              VLOOKUP($G60,SantoYusuf!$L$13:$AK$56,AF$4,FALSE)))</f>
        <v/>
      </c>
    </row>
    <row r="61" spans="1:32" s="60" customFormat="1" ht="10.5" x14ac:dyDescent="0.25">
      <c r="A61" s="59"/>
      <c r="C61" s="59">
        <f t="shared" si="3"/>
        <v>48</v>
      </c>
      <c r="D61" s="61"/>
      <c r="E61" s="77" t="str">
        <f t="shared" si="4"/>
        <v/>
      </c>
      <c r="F61" s="77" t="str">
        <f>IF(ISNUMBER($L$6)=FALSE,"",
IF($C61=0,"",VLOOKUP($E61,SantoYusuf!$H$13:$L$56,4,FALSE)))</f>
        <v/>
      </c>
      <c r="G61" s="77" t="str">
        <f>IF(ISNUMBER($L$6)=FALSE,"",
IF($C61=0,"",VLOOKUP($E61,SantoYusuf!$H$13:$L$56,5,FALSE)))</f>
        <v/>
      </c>
      <c r="H61" s="17" t="str">
        <f t="shared" si="5"/>
        <v/>
      </c>
      <c r="I61" s="18" t="str">
        <f>IF(ISNUMBER($L$6)=FALSE,"",
        IF(ISERROR(VLOOKUP($G61,SantoYusuf!$L$13:$AK$56,I$4,FALSE))=TRUE,"",
              VLOOKUP($G61,SantoYusuf!$L$13:$AK$56,I$4,FALSE)))</f>
        <v/>
      </c>
      <c r="J61" s="18" t="str">
        <f>IF(ISNUMBER($L$6)=FALSE,"",
        IF(ISERROR(VLOOKUP($G61,SantoYusuf!$L$13:$AK$56,J$4,FALSE))=TRUE,"",
              VLOOKUP($G61,SantoYusuf!$L$13:$AK$56,J$4,FALSE)))</f>
        <v/>
      </c>
      <c r="K61" s="18" t="str">
        <f>IF(ISNUMBER($L$6)=FALSE,"",
        IF(ISERROR(VLOOKUP($G61,SantoYusuf!$L$13:$AK$56,K$4,FALSE))=TRUE,"",
              VLOOKUP($G61,SantoYusuf!$L$13:$AK$56,K$4,FALSE)))</f>
        <v/>
      </c>
      <c r="L61" s="18" t="str">
        <f>IF(ISNUMBER($L$6)=FALSE,"",
        IF(ISERROR(VLOOKUP($G61,SantoYusuf!$L$13:$AK$56,L$4,FALSE))=TRUE,"",
              VLOOKUP($G61,SantoYusuf!$L$13:$AK$56,L$4,FALSE)))</f>
        <v/>
      </c>
      <c r="M61" s="18" t="str">
        <f>IF(ISNUMBER($L$6)=FALSE,"",
        IF(ISERROR(VLOOKUP($G61,SantoYusuf!$L$13:$AK$56,M$4,FALSE))=TRUE,"",
              VLOOKUP($G61,SantoYusuf!$L$13:$AK$56,M$4,FALSE)))</f>
        <v/>
      </c>
      <c r="N61" s="18" t="str">
        <f>IF(ISNUMBER($L$6)=FALSE,"",
        IF(ISERROR(VLOOKUP($G61,SantoYusuf!$L$13:$AK$56,N$4,FALSE))=TRUE,"",
              VLOOKUP($G61,SantoYusuf!$L$13:$AK$56,N$4,FALSE)))</f>
        <v/>
      </c>
      <c r="O61" s="18" t="str">
        <f>IF(ISNUMBER($L$6)=FALSE,"",
        IF(ISERROR(VLOOKUP($G61,SantoYusuf!$L$13:$AK$56,O$4,FALSE))=TRUE,"",
              VLOOKUP($G61,SantoYusuf!$L$13:$AK$56,O$4,FALSE)))</f>
        <v/>
      </c>
      <c r="P61" s="18" t="str">
        <f>IF(ISNUMBER($L$6)=FALSE,"",
        IF(ISERROR(VLOOKUP($G61,SantoYusuf!$L$13:$AK$56,P$4,FALSE))=TRUE,"",
              VLOOKUP($G61,SantoYusuf!$L$13:$AK$56,P$4,FALSE)))</f>
        <v/>
      </c>
      <c r="Q61" s="18" t="str">
        <f>IF(ISNUMBER($L$6)=FALSE,"",
        IF(ISERROR(VLOOKUP($G61,SantoYusuf!$L$13:$AK$56,Q$4,FALSE))=TRUE,"",
              VLOOKUP($G61,SantoYusuf!$L$13:$AK$56,Q$4,FALSE)))</f>
        <v/>
      </c>
      <c r="R61" s="18" t="str">
        <f>IF(ISNUMBER($L$6)=FALSE,"",
        IF(ISERROR(VLOOKUP($G61,SantoYusuf!$L$13:$AK$56,R$4,FALSE))=TRUE,"",
              VLOOKUP($G61,SantoYusuf!$L$13:$AK$56,R$4,FALSE)))</f>
        <v/>
      </c>
      <c r="S61" s="18" t="str">
        <f>IF(ISNUMBER($L$6)=FALSE,"",
        IF(ISERROR(VLOOKUP($G61,SantoYusuf!$L$13:$AK$56,S$4,FALSE))=TRUE,"",
              VLOOKUP($G61,SantoYusuf!$L$13:$AK$56,S$4,FALSE)))</f>
        <v/>
      </c>
      <c r="T61" s="18" t="str">
        <f>IF(ISNUMBER($L$6)=FALSE,"",
        IF(ISERROR(VLOOKUP($G61,SantoYusuf!$L$13:$AK$56,T$4,FALSE))=TRUE,"",
              VLOOKUP($G61,SantoYusuf!$L$13:$AK$56,T$4,FALSE)))</f>
        <v/>
      </c>
      <c r="U61" s="18" t="str">
        <f>IF(ISNUMBER($L$6)=FALSE,"",
        IF(ISERROR(VLOOKUP($G61,SantoYusuf!$L$13:$AK$56,U$4,FALSE))=TRUE,"",
              VLOOKUP($G61,SantoYusuf!$L$13:$AK$56,U$4,FALSE)))</f>
        <v/>
      </c>
      <c r="V61" s="18" t="str">
        <f>IF(ISNUMBER($L$6)=FALSE,"",
        IF(ISERROR(VLOOKUP($G61,SantoYusuf!$L$13:$AK$56,V$4,FALSE))=TRUE,"",
              VLOOKUP($G61,SantoYusuf!$L$13:$AK$56,V$4,FALSE)))</f>
        <v/>
      </c>
      <c r="W61" s="18" t="str">
        <f>IF(ISNUMBER($L$6)=FALSE,"",
        IF(ISERROR(VLOOKUP($G61,SantoYusuf!$L$13:$AK$56,W$4,FALSE))=TRUE,"",
              VLOOKUP($G61,SantoYusuf!$L$13:$AK$56,W$4,FALSE)))</f>
        <v/>
      </c>
      <c r="X61" s="18" t="str">
        <f>IF(ISNUMBER($L$6)=FALSE,"",
        IF(ISERROR(VLOOKUP($G61,SantoYusuf!$L$13:$AK$56,X$4,FALSE))=TRUE,"",
              VLOOKUP($G61,SantoYusuf!$L$13:$AK$56,X$4,FALSE)))</f>
        <v/>
      </c>
      <c r="Y61" s="18" t="str">
        <f>IF(ISNUMBER($L$6)=FALSE,"",
        IF(ISERROR(VLOOKUP($G61,SantoYusuf!$L$13:$AK$56,Y$4,FALSE))=TRUE,"",
              VLOOKUP($G61,SantoYusuf!$L$13:$AK$56,Y$4,FALSE)))</f>
        <v/>
      </c>
      <c r="Z61" s="18" t="str">
        <f>IF(ISNUMBER($L$6)=FALSE,"",
        IF(ISERROR(VLOOKUP($G61,SantoYusuf!$L$13:$AK$56,Z$4,FALSE))=TRUE,"",
              VLOOKUP($G61,SantoYusuf!$L$13:$AK$56,Z$4,FALSE)))</f>
        <v/>
      </c>
      <c r="AA61" s="18" t="str">
        <f>IF(ISNUMBER($L$6)=FALSE,"",
        IF(ISERROR(VLOOKUP($G61,SantoYusuf!$L$13:$AK$56,AA$4,FALSE))=TRUE,"",
              VLOOKUP($G61,SantoYusuf!$L$13:$AK$56,AA$4,FALSE)))</f>
        <v/>
      </c>
      <c r="AB61" s="18" t="str">
        <f>IF(ISNUMBER($L$6)=FALSE,"",
        IF(ISERROR(VLOOKUP($G61,SantoYusuf!$L$13:$AK$56,AB$4,FALSE))=TRUE,"",
              VLOOKUP($G61,SantoYusuf!$L$13:$AK$56,AB$4,FALSE)))</f>
        <v/>
      </c>
      <c r="AC61" s="18" t="str">
        <f>IF(ISNUMBER($L$6)=FALSE,"",
        IF(ISERROR(VLOOKUP($G61,SantoYusuf!$L$13:$AK$56,AC$4,FALSE))=TRUE,"",
              VLOOKUP($G61,SantoYusuf!$L$13:$AK$56,AC$4,FALSE)))</f>
        <v/>
      </c>
      <c r="AD61" s="18" t="str">
        <f>IF(ISNUMBER($L$6)=FALSE,"",
        IF(ISERROR(VLOOKUP($G61,SantoYusuf!$L$13:$AK$56,AD$4,FALSE))=TRUE,"",
              VLOOKUP($G61,SantoYusuf!$L$13:$AK$56,AD$4,FALSE)))</f>
        <v/>
      </c>
      <c r="AE61" s="18" t="str">
        <f>IF(ISNUMBER($L$6)=FALSE,"",
        IF(ISERROR(VLOOKUP($G61,SantoYusuf!$L$13:$AK$56,AE$4,FALSE))=TRUE,"",
              VLOOKUP($G61,SantoYusuf!$L$13:$AK$56,AE$4,FALSE)))</f>
        <v/>
      </c>
      <c r="AF61" s="18" t="str">
        <f>IF(ISNUMBER($L$6)=FALSE,"",
        IF(ISERROR(VLOOKUP($G61,SantoYusuf!$L$13:$AK$56,AF$4,FALSE))=TRUE,"",
              VLOOKUP($G61,SantoYusuf!$L$13:$AK$56,AF$4,FALSE)))</f>
        <v/>
      </c>
    </row>
    <row r="62" spans="1:32" s="60" customFormat="1" ht="10.5" x14ac:dyDescent="0.25">
      <c r="A62" s="59"/>
      <c r="C62" s="59">
        <f t="shared" si="3"/>
        <v>49</v>
      </c>
      <c r="D62" s="61"/>
      <c r="E62" s="77" t="str">
        <f t="shared" si="4"/>
        <v/>
      </c>
      <c r="F62" s="77" t="str">
        <f>IF(ISNUMBER($L$6)=FALSE,"",
IF($C62=0,"",VLOOKUP($E62,SantoYusuf!$H$13:$L$56,4,FALSE)))</f>
        <v/>
      </c>
      <c r="G62" s="77" t="str">
        <f>IF(ISNUMBER($L$6)=FALSE,"",
IF($C62=0,"",VLOOKUP($E62,SantoYusuf!$H$13:$L$56,5,FALSE)))</f>
        <v/>
      </c>
      <c r="H62" s="17" t="str">
        <f t="shared" si="5"/>
        <v/>
      </c>
      <c r="I62" s="18" t="str">
        <f>IF(ISNUMBER($L$6)=FALSE,"",
        IF(ISERROR(VLOOKUP($G62,SantoYusuf!$L$13:$AK$56,I$4,FALSE))=TRUE,"",
              VLOOKUP($G62,SantoYusuf!$L$13:$AK$56,I$4,FALSE)))</f>
        <v/>
      </c>
      <c r="J62" s="18" t="str">
        <f>IF(ISNUMBER($L$6)=FALSE,"",
        IF(ISERROR(VLOOKUP($G62,SantoYusuf!$L$13:$AK$56,J$4,FALSE))=TRUE,"",
              VLOOKUP($G62,SantoYusuf!$L$13:$AK$56,J$4,FALSE)))</f>
        <v/>
      </c>
      <c r="K62" s="18" t="str">
        <f>IF(ISNUMBER($L$6)=FALSE,"",
        IF(ISERROR(VLOOKUP($G62,SantoYusuf!$L$13:$AK$56,K$4,FALSE))=TRUE,"",
              VLOOKUP($G62,SantoYusuf!$L$13:$AK$56,K$4,FALSE)))</f>
        <v/>
      </c>
      <c r="L62" s="18" t="str">
        <f>IF(ISNUMBER($L$6)=FALSE,"",
        IF(ISERROR(VLOOKUP($G62,SantoYusuf!$L$13:$AK$56,L$4,FALSE))=TRUE,"",
              VLOOKUP($G62,SantoYusuf!$L$13:$AK$56,L$4,FALSE)))</f>
        <v/>
      </c>
      <c r="M62" s="18" t="str">
        <f>IF(ISNUMBER($L$6)=FALSE,"",
        IF(ISERROR(VLOOKUP($G62,SantoYusuf!$L$13:$AK$56,M$4,FALSE))=TRUE,"",
              VLOOKUP($G62,SantoYusuf!$L$13:$AK$56,M$4,FALSE)))</f>
        <v/>
      </c>
      <c r="N62" s="18" t="str">
        <f>IF(ISNUMBER($L$6)=FALSE,"",
        IF(ISERROR(VLOOKUP($G62,SantoYusuf!$L$13:$AK$56,N$4,FALSE))=TRUE,"",
              VLOOKUP($G62,SantoYusuf!$L$13:$AK$56,N$4,FALSE)))</f>
        <v/>
      </c>
      <c r="O62" s="18" t="str">
        <f>IF(ISNUMBER($L$6)=FALSE,"",
        IF(ISERROR(VLOOKUP($G62,SantoYusuf!$L$13:$AK$56,O$4,FALSE))=TRUE,"",
              VLOOKUP($G62,SantoYusuf!$L$13:$AK$56,O$4,FALSE)))</f>
        <v/>
      </c>
      <c r="P62" s="18" t="str">
        <f>IF(ISNUMBER($L$6)=FALSE,"",
        IF(ISERROR(VLOOKUP($G62,SantoYusuf!$L$13:$AK$56,P$4,FALSE))=TRUE,"",
              VLOOKUP($G62,SantoYusuf!$L$13:$AK$56,P$4,FALSE)))</f>
        <v/>
      </c>
      <c r="Q62" s="18" t="str">
        <f>IF(ISNUMBER($L$6)=FALSE,"",
        IF(ISERROR(VLOOKUP($G62,SantoYusuf!$L$13:$AK$56,Q$4,FALSE))=TRUE,"",
              VLOOKUP($G62,SantoYusuf!$L$13:$AK$56,Q$4,FALSE)))</f>
        <v/>
      </c>
      <c r="R62" s="18" t="str">
        <f>IF(ISNUMBER($L$6)=FALSE,"",
        IF(ISERROR(VLOOKUP($G62,SantoYusuf!$L$13:$AK$56,R$4,FALSE))=TRUE,"",
              VLOOKUP($G62,SantoYusuf!$L$13:$AK$56,R$4,FALSE)))</f>
        <v/>
      </c>
      <c r="S62" s="18" t="str">
        <f>IF(ISNUMBER($L$6)=FALSE,"",
        IF(ISERROR(VLOOKUP($G62,SantoYusuf!$L$13:$AK$56,S$4,FALSE))=TRUE,"",
              VLOOKUP($G62,SantoYusuf!$L$13:$AK$56,S$4,FALSE)))</f>
        <v/>
      </c>
      <c r="T62" s="18" t="str">
        <f>IF(ISNUMBER($L$6)=FALSE,"",
        IF(ISERROR(VLOOKUP($G62,SantoYusuf!$L$13:$AK$56,T$4,FALSE))=TRUE,"",
              VLOOKUP($G62,SantoYusuf!$L$13:$AK$56,T$4,FALSE)))</f>
        <v/>
      </c>
      <c r="U62" s="18" t="str">
        <f>IF(ISNUMBER($L$6)=FALSE,"",
        IF(ISERROR(VLOOKUP($G62,SantoYusuf!$L$13:$AK$56,U$4,FALSE))=TRUE,"",
              VLOOKUP($G62,SantoYusuf!$L$13:$AK$56,U$4,FALSE)))</f>
        <v/>
      </c>
      <c r="V62" s="18" t="str">
        <f>IF(ISNUMBER($L$6)=FALSE,"",
        IF(ISERROR(VLOOKUP($G62,SantoYusuf!$L$13:$AK$56,V$4,FALSE))=TRUE,"",
              VLOOKUP($G62,SantoYusuf!$L$13:$AK$56,V$4,FALSE)))</f>
        <v/>
      </c>
      <c r="W62" s="18" t="str">
        <f>IF(ISNUMBER($L$6)=FALSE,"",
        IF(ISERROR(VLOOKUP($G62,SantoYusuf!$L$13:$AK$56,W$4,FALSE))=TRUE,"",
              VLOOKUP($G62,SantoYusuf!$L$13:$AK$56,W$4,FALSE)))</f>
        <v/>
      </c>
      <c r="X62" s="18" t="str">
        <f>IF(ISNUMBER($L$6)=FALSE,"",
        IF(ISERROR(VLOOKUP($G62,SantoYusuf!$L$13:$AK$56,X$4,FALSE))=TRUE,"",
              VLOOKUP($G62,SantoYusuf!$L$13:$AK$56,X$4,FALSE)))</f>
        <v/>
      </c>
      <c r="Y62" s="18" t="str">
        <f>IF(ISNUMBER($L$6)=FALSE,"",
        IF(ISERROR(VLOOKUP($G62,SantoYusuf!$L$13:$AK$56,Y$4,FALSE))=TRUE,"",
              VLOOKUP($G62,SantoYusuf!$L$13:$AK$56,Y$4,FALSE)))</f>
        <v/>
      </c>
      <c r="Z62" s="18" t="str">
        <f>IF(ISNUMBER($L$6)=FALSE,"",
        IF(ISERROR(VLOOKUP($G62,SantoYusuf!$L$13:$AK$56,Z$4,FALSE))=TRUE,"",
              VLOOKUP($G62,SantoYusuf!$L$13:$AK$56,Z$4,FALSE)))</f>
        <v/>
      </c>
      <c r="AA62" s="18" t="str">
        <f>IF(ISNUMBER($L$6)=FALSE,"",
        IF(ISERROR(VLOOKUP($G62,SantoYusuf!$L$13:$AK$56,AA$4,FALSE))=TRUE,"",
              VLOOKUP($G62,SantoYusuf!$L$13:$AK$56,AA$4,FALSE)))</f>
        <v/>
      </c>
      <c r="AB62" s="18" t="str">
        <f>IF(ISNUMBER($L$6)=FALSE,"",
        IF(ISERROR(VLOOKUP($G62,SantoYusuf!$L$13:$AK$56,AB$4,FALSE))=TRUE,"",
              VLOOKUP($G62,SantoYusuf!$L$13:$AK$56,AB$4,FALSE)))</f>
        <v/>
      </c>
      <c r="AC62" s="18" t="str">
        <f>IF(ISNUMBER($L$6)=FALSE,"",
        IF(ISERROR(VLOOKUP($G62,SantoYusuf!$L$13:$AK$56,AC$4,FALSE))=TRUE,"",
              VLOOKUP($G62,SantoYusuf!$L$13:$AK$56,AC$4,FALSE)))</f>
        <v/>
      </c>
      <c r="AD62" s="18" t="str">
        <f>IF(ISNUMBER($L$6)=FALSE,"",
        IF(ISERROR(VLOOKUP($G62,SantoYusuf!$L$13:$AK$56,AD$4,FALSE))=TRUE,"",
              VLOOKUP($G62,SantoYusuf!$L$13:$AK$56,AD$4,FALSE)))</f>
        <v/>
      </c>
      <c r="AE62" s="18" t="str">
        <f>IF(ISNUMBER($L$6)=FALSE,"",
        IF(ISERROR(VLOOKUP($G62,SantoYusuf!$L$13:$AK$56,AE$4,FALSE))=TRUE,"",
              VLOOKUP($G62,SantoYusuf!$L$13:$AK$56,AE$4,FALSE)))</f>
        <v/>
      </c>
      <c r="AF62" s="18" t="str">
        <f>IF(ISNUMBER($L$6)=FALSE,"",
        IF(ISERROR(VLOOKUP($G62,SantoYusuf!$L$13:$AK$56,AF$4,FALSE))=TRUE,"",
              VLOOKUP($G62,SantoYusuf!$L$13:$AK$56,AF$4,FALSE)))</f>
        <v/>
      </c>
    </row>
    <row r="63" spans="1:32" s="60" customFormat="1" ht="10.5" x14ac:dyDescent="0.25">
      <c r="A63" s="59"/>
      <c r="C63" s="59">
        <f t="shared" si="3"/>
        <v>50</v>
      </c>
      <c r="D63" s="61"/>
      <c r="E63" s="77" t="str">
        <f t="shared" si="4"/>
        <v/>
      </c>
      <c r="F63" s="77" t="str">
        <f>IF(ISNUMBER($L$6)=FALSE,"",
IF($C63=0,"",VLOOKUP($E63,SantoYusuf!$H$13:$L$56,4,FALSE)))</f>
        <v/>
      </c>
      <c r="G63" s="77" t="str">
        <f>IF(ISNUMBER($L$6)=FALSE,"",
IF($C63=0,"",VLOOKUP($E63,SantoYusuf!$H$13:$L$56,5,FALSE)))</f>
        <v/>
      </c>
      <c r="H63" s="17" t="str">
        <f t="shared" si="5"/>
        <v/>
      </c>
      <c r="I63" s="18" t="str">
        <f>IF(ISNUMBER($L$6)=FALSE,"",
        IF(ISERROR(VLOOKUP($G63,SantoYusuf!$L$13:$AK$56,I$4,FALSE))=TRUE,"",
              VLOOKUP($G63,SantoYusuf!$L$13:$AK$56,I$4,FALSE)))</f>
        <v/>
      </c>
      <c r="J63" s="18" t="str">
        <f>IF(ISNUMBER($L$6)=FALSE,"",
        IF(ISERROR(VLOOKUP($G63,SantoYusuf!$L$13:$AK$56,J$4,FALSE))=TRUE,"",
              VLOOKUP($G63,SantoYusuf!$L$13:$AK$56,J$4,FALSE)))</f>
        <v/>
      </c>
      <c r="K63" s="18" t="str">
        <f>IF(ISNUMBER($L$6)=FALSE,"",
        IF(ISERROR(VLOOKUP($G63,SantoYusuf!$L$13:$AK$56,K$4,FALSE))=TRUE,"",
              VLOOKUP($G63,SantoYusuf!$L$13:$AK$56,K$4,FALSE)))</f>
        <v/>
      </c>
      <c r="L63" s="18" t="str">
        <f>IF(ISNUMBER($L$6)=FALSE,"",
        IF(ISERROR(VLOOKUP($G63,SantoYusuf!$L$13:$AK$56,L$4,FALSE))=TRUE,"",
              VLOOKUP($G63,SantoYusuf!$L$13:$AK$56,L$4,FALSE)))</f>
        <v/>
      </c>
      <c r="M63" s="18" t="str">
        <f>IF(ISNUMBER($L$6)=FALSE,"",
        IF(ISERROR(VLOOKUP($G63,SantoYusuf!$L$13:$AK$56,M$4,FALSE))=TRUE,"",
              VLOOKUP($G63,SantoYusuf!$L$13:$AK$56,M$4,FALSE)))</f>
        <v/>
      </c>
      <c r="N63" s="18" t="str">
        <f>IF(ISNUMBER($L$6)=FALSE,"",
        IF(ISERROR(VLOOKUP($G63,SantoYusuf!$L$13:$AK$56,N$4,FALSE))=TRUE,"",
              VLOOKUP($G63,SantoYusuf!$L$13:$AK$56,N$4,FALSE)))</f>
        <v/>
      </c>
      <c r="O63" s="18" t="str">
        <f>IF(ISNUMBER($L$6)=FALSE,"",
        IF(ISERROR(VLOOKUP($G63,SantoYusuf!$L$13:$AK$56,O$4,FALSE))=TRUE,"",
              VLOOKUP($G63,SantoYusuf!$L$13:$AK$56,O$4,FALSE)))</f>
        <v/>
      </c>
      <c r="P63" s="18" t="str">
        <f>IF(ISNUMBER($L$6)=FALSE,"",
        IF(ISERROR(VLOOKUP($G63,SantoYusuf!$L$13:$AK$56,P$4,FALSE))=TRUE,"",
              VLOOKUP($G63,SantoYusuf!$L$13:$AK$56,P$4,FALSE)))</f>
        <v/>
      </c>
      <c r="Q63" s="18" t="str">
        <f>IF(ISNUMBER($L$6)=FALSE,"",
        IF(ISERROR(VLOOKUP($G63,SantoYusuf!$L$13:$AK$56,Q$4,FALSE))=TRUE,"",
              VLOOKUP($G63,SantoYusuf!$L$13:$AK$56,Q$4,FALSE)))</f>
        <v/>
      </c>
      <c r="R63" s="18" t="str">
        <f>IF(ISNUMBER($L$6)=FALSE,"",
        IF(ISERROR(VLOOKUP($G63,SantoYusuf!$L$13:$AK$56,R$4,FALSE))=TRUE,"",
              VLOOKUP($G63,SantoYusuf!$L$13:$AK$56,R$4,FALSE)))</f>
        <v/>
      </c>
      <c r="S63" s="18" t="str">
        <f>IF(ISNUMBER($L$6)=FALSE,"",
        IF(ISERROR(VLOOKUP($G63,SantoYusuf!$L$13:$AK$56,S$4,FALSE))=TRUE,"",
              VLOOKUP($G63,SantoYusuf!$L$13:$AK$56,S$4,FALSE)))</f>
        <v/>
      </c>
      <c r="T63" s="18" t="str">
        <f>IF(ISNUMBER($L$6)=FALSE,"",
        IF(ISERROR(VLOOKUP($G63,SantoYusuf!$L$13:$AK$56,T$4,FALSE))=TRUE,"",
              VLOOKUP($G63,SantoYusuf!$L$13:$AK$56,T$4,FALSE)))</f>
        <v/>
      </c>
      <c r="U63" s="18" t="str">
        <f>IF(ISNUMBER($L$6)=FALSE,"",
        IF(ISERROR(VLOOKUP($G63,SantoYusuf!$L$13:$AK$56,U$4,FALSE))=TRUE,"",
              VLOOKUP($G63,SantoYusuf!$L$13:$AK$56,U$4,FALSE)))</f>
        <v/>
      </c>
      <c r="V63" s="18" t="str">
        <f>IF(ISNUMBER($L$6)=FALSE,"",
        IF(ISERROR(VLOOKUP($G63,SantoYusuf!$L$13:$AK$56,V$4,FALSE))=TRUE,"",
              VLOOKUP($G63,SantoYusuf!$L$13:$AK$56,V$4,FALSE)))</f>
        <v/>
      </c>
      <c r="W63" s="18" t="str">
        <f>IF(ISNUMBER($L$6)=FALSE,"",
        IF(ISERROR(VLOOKUP($G63,SantoYusuf!$L$13:$AK$56,W$4,FALSE))=TRUE,"",
              VLOOKUP($G63,SantoYusuf!$L$13:$AK$56,W$4,FALSE)))</f>
        <v/>
      </c>
      <c r="X63" s="18" t="str">
        <f>IF(ISNUMBER($L$6)=FALSE,"",
        IF(ISERROR(VLOOKUP($G63,SantoYusuf!$L$13:$AK$56,X$4,FALSE))=TRUE,"",
              VLOOKUP($G63,SantoYusuf!$L$13:$AK$56,X$4,FALSE)))</f>
        <v/>
      </c>
      <c r="Y63" s="18" t="str">
        <f>IF(ISNUMBER($L$6)=FALSE,"",
        IF(ISERROR(VLOOKUP($G63,SantoYusuf!$L$13:$AK$56,Y$4,FALSE))=TRUE,"",
              VLOOKUP($G63,SantoYusuf!$L$13:$AK$56,Y$4,FALSE)))</f>
        <v/>
      </c>
      <c r="Z63" s="18" t="str">
        <f>IF(ISNUMBER($L$6)=FALSE,"",
        IF(ISERROR(VLOOKUP($G63,SantoYusuf!$L$13:$AK$56,Z$4,FALSE))=TRUE,"",
              VLOOKUP($G63,SantoYusuf!$L$13:$AK$56,Z$4,FALSE)))</f>
        <v/>
      </c>
      <c r="AA63" s="18" t="str">
        <f>IF(ISNUMBER($L$6)=FALSE,"",
        IF(ISERROR(VLOOKUP($G63,SantoYusuf!$L$13:$AK$56,AA$4,FALSE))=TRUE,"",
              VLOOKUP($G63,SantoYusuf!$L$13:$AK$56,AA$4,FALSE)))</f>
        <v/>
      </c>
      <c r="AB63" s="18" t="str">
        <f>IF(ISNUMBER($L$6)=FALSE,"",
        IF(ISERROR(VLOOKUP($G63,SantoYusuf!$L$13:$AK$56,AB$4,FALSE))=TRUE,"",
              VLOOKUP($G63,SantoYusuf!$L$13:$AK$56,AB$4,FALSE)))</f>
        <v/>
      </c>
      <c r="AC63" s="18" t="str">
        <f>IF(ISNUMBER($L$6)=FALSE,"",
        IF(ISERROR(VLOOKUP($G63,SantoYusuf!$L$13:$AK$56,AC$4,FALSE))=TRUE,"",
              VLOOKUP($G63,SantoYusuf!$L$13:$AK$56,AC$4,FALSE)))</f>
        <v/>
      </c>
      <c r="AD63" s="18" t="str">
        <f>IF(ISNUMBER($L$6)=FALSE,"",
        IF(ISERROR(VLOOKUP($G63,SantoYusuf!$L$13:$AK$56,AD$4,FALSE))=TRUE,"",
              VLOOKUP($G63,SantoYusuf!$L$13:$AK$56,AD$4,FALSE)))</f>
        <v/>
      </c>
      <c r="AE63" s="18" t="str">
        <f>IF(ISNUMBER($L$6)=FALSE,"",
        IF(ISERROR(VLOOKUP($G63,SantoYusuf!$L$13:$AK$56,AE$4,FALSE))=TRUE,"",
              VLOOKUP($G63,SantoYusuf!$L$13:$AK$56,AE$4,FALSE)))</f>
        <v/>
      </c>
      <c r="AF63" s="18" t="str">
        <f>IF(ISNUMBER($L$6)=FALSE,"",
        IF(ISERROR(VLOOKUP($G63,SantoYusuf!$L$13:$AK$56,AF$4,FALSE))=TRUE,"",
              VLOOKUP($G63,SantoYusuf!$L$13:$AK$56,AF$4,FALSE)))</f>
        <v/>
      </c>
    </row>
    <row r="64" spans="1:32" s="60" customFormat="1" ht="10.5" x14ac:dyDescent="0.25">
      <c r="A64" s="59"/>
      <c r="C64" s="59">
        <f t="shared" si="3"/>
        <v>51</v>
      </c>
      <c r="D64" s="61"/>
      <c r="E64" s="77" t="str">
        <f t="shared" si="4"/>
        <v/>
      </c>
      <c r="F64" s="77" t="str">
        <f>IF(ISNUMBER($L$6)=FALSE,"",
IF($C64=0,"",VLOOKUP($E64,SantoYusuf!$H$13:$L$56,4,FALSE)))</f>
        <v/>
      </c>
      <c r="G64" s="77" t="str">
        <f>IF(ISNUMBER($L$6)=FALSE,"",
IF($C64=0,"",VLOOKUP($E64,SantoYusuf!$H$13:$L$56,5,FALSE)))</f>
        <v/>
      </c>
      <c r="H64" s="17" t="str">
        <f t="shared" si="5"/>
        <v/>
      </c>
      <c r="I64" s="18" t="str">
        <f>IF(ISNUMBER($L$6)=FALSE,"",
        IF(ISERROR(VLOOKUP($G64,SantoYusuf!$L$13:$AK$56,I$4,FALSE))=TRUE,"",
              VLOOKUP($G64,SantoYusuf!$L$13:$AK$56,I$4,FALSE)))</f>
        <v/>
      </c>
      <c r="J64" s="18" t="str">
        <f>IF(ISNUMBER($L$6)=FALSE,"",
        IF(ISERROR(VLOOKUP($G64,SantoYusuf!$L$13:$AK$56,J$4,FALSE))=TRUE,"",
              VLOOKUP($G64,SantoYusuf!$L$13:$AK$56,J$4,FALSE)))</f>
        <v/>
      </c>
      <c r="K64" s="18" t="str">
        <f>IF(ISNUMBER($L$6)=FALSE,"",
        IF(ISERROR(VLOOKUP($G64,SantoYusuf!$L$13:$AK$56,K$4,FALSE))=TRUE,"",
              VLOOKUP($G64,SantoYusuf!$L$13:$AK$56,K$4,FALSE)))</f>
        <v/>
      </c>
      <c r="L64" s="18" t="str">
        <f>IF(ISNUMBER($L$6)=FALSE,"",
        IF(ISERROR(VLOOKUP($G64,SantoYusuf!$L$13:$AK$56,L$4,FALSE))=TRUE,"",
              VLOOKUP($G64,SantoYusuf!$L$13:$AK$56,L$4,FALSE)))</f>
        <v/>
      </c>
      <c r="M64" s="18" t="str">
        <f>IF(ISNUMBER($L$6)=FALSE,"",
        IF(ISERROR(VLOOKUP($G64,SantoYusuf!$L$13:$AK$56,M$4,FALSE))=TRUE,"",
              VLOOKUP($G64,SantoYusuf!$L$13:$AK$56,M$4,FALSE)))</f>
        <v/>
      </c>
      <c r="N64" s="18" t="str">
        <f>IF(ISNUMBER($L$6)=FALSE,"",
        IF(ISERROR(VLOOKUP($G64,SantoYusuf!$L$13:$AK$56,N$4,FALSE))=TRUE,"",
              VLOOKUP($G64,SantoYusuf!$L$13:$AK$56,N$4,FALSE)))</f>
        <v/>
      </c>
      <c r="O64" s="18" t="str">
        <f>IF(ISNUMBER($L$6)=FALSE,"",
        IF(ISERROR(VLOOKUP($G64,SantoYusuf!$L$13:$AK$56,O$4,FALSE))=TRUE,"",
              VLOOKUP($G64,SantoYusuf!$L$13:$AK$56,O$4,FALSE)))</f>
        <v/>
      </c>
      <c r="P64" s="18" t="str">
        <f>IF(ISNUMBER($L$6)=FALSE,"",
        IF(ISERROR(VLOOKUP($G64,SantoYusuf!$L$13:$AK$56,P$4,FALSE))=TRUE,"",
              VLOOKUP($G64,SantoYusuf!$L$13:$AK$56,P$4,FALSE)))</f>
        <v/>
      </c>
      <c r="Q64" s="18" t="str">
        <f>IF(ISNUMBER($L$6)=FALSE,"",
        IF(ISERROR(VLOOKUP($G64,SantoYusuf!$L$13:$AK$56,Q$4,FALSE))=TRUE,"",
              VLOOKUP($G64,SantoYusuf!$L$13:$AK$56,Q$4,FALSE)))</f>
        <v/>
      </c>
      <c r="R64" s="18" t="str">
        <f>IF(ISNUMBER($L$6)=FALSE,"",
        IF(ISERROR(VLOOKUP($G64,SantoYusuf!$L$13:$AK$56,R$4,FALSE))=TRUE,"",
              VLOOKUP($G64,SantoYusuf!$L$13:$AK$56,R$4,FALSE)))</f>
        <v/>
      </c>
      <c r="S64" s="18" t="str">
        <f>IF(ISNUMBER($L$6)=FALSE,"",
        IF(ISERROR(VLOOKUP($G64,SantoYusuf!$L$13:$AK$56,S$4,FALSE))=TRUE,"",
              VLOOKUP($G64,SantoYusuf!$L$13:$AK$56,S$4,FALSE)))</f>
        <v/>
      </c>
      <c r="T64" s="18" t="str">
        <f>IF(ISNUMBER($L$6)=FALSE,"",
        IF(ISERROR(VLOOKUP($G64,SantoYusuf!$L$13:$AK$56,T$4,FALSE))=TRUE,"",
              VLOOKUP($G64,SantoYusuf!$L$13:$AK$56,T$4,FALSE)))</f>
        <v/>
      </c>
      <c r="U64" s="18" t="str">
        <f>IF(ISNUMBER($L$6)=FALSE,"",
        IF(ISERROR(VLOOKUP($G64,SantoYusuf!$L$13:$AK$56,U$4,FALSE))=TRUE,"",
              VLOOKUP($G64,SantoYusuf!$L$13:$AK$56,U$4,FALSE)))</f>
        <v/>
      </c>
      <c r="V64" s="18" t="str">
        <f>IF(ISNUMBER($L$6)=FALSE,"",
        IF(ISERROR(VLOOKUP($G64,SantoYusuf!$L$13:$AK$56,V$4,FALSE))=TRUE,"",
              VLOOKUP($G64,SantoYusuf!$L$13:$AK$56,V$4,FALSE)))</f>
        <v/>
      </c>
      <c r="W64" s="18" t="str">
        <f>IF(ISNUMBER($L$6)=FALSE,"",
        IF(ISERROR(VLOOKUP($G64,SantoYusuf!$L$13:$AK$56,W$4,FALSE))=TRUE,"",
              VLOOKUP($G64,SantoYusuf!$L$13:$AK$56,W$4,FALSE)))</f>
        <v/>
      </c>
      <c r="X64" s="18" t="str">
        <f>IF(ISNUMBER($L$6)=FALSE,"",
        IF(ISERROR(VLOOKUP($G64,SantoYusuf!$L$13:$AK$56,X$4,FALSE))=TRUE,"",
              VLOOKUP($G64,SantoYusuf!$L$13:$AK$56,X$4,FALSE)))</f>
        <v/>
      </c>
      <c r="Y64" s="18" t="str">
        <f>IF(ISNUMBER($L$6)=FALSE,"",
        IF(ISERROR(VLOOKUP($G64,SantoYusuf!$L$13:$AK$56,Y$4,FALSE))=TRUE,"",
              VLOOKUP($G64,SantoYusuf!$L$13:$AK$56,Y$4,FALSE)))</f>
        <v/>
      </c>
      <c r="Z64" s="18" t="str">
        <f>IF(ISNUMBER($L$6)=FALSE,"",
        IF(ISERROR(VLOOKUP($G64,SantoYusuf!$L$13:$AK$56,Z$4,FALSE))=TRUE,"",
              VLOOKUP($G64,SantoYusuf!$L$13:$AK$56,Z$4,FALSE)))</f>
        <v/>
      </c>
      <c r="AA64" s="18" t="str">
        <f>IF(ISNUMBER($L$6)=FALSE,"",
        IF(ISERROR(VLOOKUP($G64,SantoYusuf!$L$13:$AK$56,AA$4,FALSE))=TRUE,"",
              VLOOKUP($G64,SantoYusuf!$L$13:$AK$56,AA$4,FALSE)))</f>
        <v/>
      </c>
      <c r="AB64" s="18" t="str">
        <f>IF(ISNUMBER($L$6)=FALSE,"",
        IF(ISERROR(VLOOKUP($G64,SantoYusuf!$L$13:$AK$56,AB$4,FALSE))=TRUE,"",
              VLOOKUP($G64,SantoYusuf!$L$13:$AK$56,AB$4,FALSE)))</f>
        <v/>
      </c>
      <c r="AC64" s="18" t="str">
        <f>IF(ISNUMBER($L$6)=FALSE,"",
        IF(ISERROR(VLOOKUP($G64,SantoYusuf!$L$13:$AK$56,AC$4,FALSE))=TRUE,"",
              VLOOKUP($G64,SantoYusuf!$L$13:$AK$56,AC$4,FALSE)))</f>
        <v/>
      </c>
      <c r="AD64" s="18" t="str">
        <f>IF(ISNUMBER($L$6)=FALSE,"",
        IF(ISERROR(VLOOKUP($G64,SantoYusuf!$L$13:$AK$56,AD$4,FALSE))=TRUE,"",
              VLOOKUP($G64,SantoYusuf!$L$13:$AK$56,AD$4,FALSE)))</f>
        <v/>
      </c>
      <c r="AE64" s="18" t="str">
        <f>IF(ISNUMBER($L$6)=FALSE,"",
        IF(ISERROR(VLOOKUP($G64,SantoYusuf!$L$13:$AK$56,AE$4,FALSE))=TRUE,"",
              VLOOKUP($G64,SantoYusuf!$L$13:$AK$56,AE$4,FALSE)))</f>
        <v/>
      </c>
      <c r="AF64" s="18" t="str">
        <f>IF(ISNUMBER($L$6)=FALSE,"",
        IF(ISERROR(VLOOKUP($G64,SantoYusuf!$L$13:$AK$56,AF$4,FALSE))=TRUE,"",
              VLOOKUP($G64,SantoYusuf!$L$13:$AK$56,AF$4,FALSE)))</f>
        <v/>
      </c>
    </row>
    <row r="65" spans="1:32" s="60" customFormat="1" ht="10.5" x14ac:dyDescent="0.25">
      <c r="A65" s="59"/>
      <c r="C65" s="59">
        <f t="shared" si="3"/>
        <v>52</v>
      </c>
      <c r="D65" s="61"/>
      <c r="E65" s="77" t="str">
        <f t="shared" si="4"/>
        <v/>
      </c>
      <c r="F65" s="77" t="str">
        <f>IF(ISNUMBER($L$6)=FALSE,"",
IF($C65=0,"",VLOOKUP($E65,SantoYusuf!$H$13:$L$56,4,FALSE)))</f>
        <v/>
      </c>
      <c r="G65" s="77" t="str">
        <f>IF(ISNUMBER($L$6)=FALSE,"",
IF($C65=0,"",VLOOKUP($E65,SantoYusuf!$H$13:$L$56,5,FALSE)))</f>
        <v/>
      </c>
      <c r="H65" s="17" t="str">
        <f t="shared" si="5"/>
        <v/>
      </c>
      <c r="I65" s="18" t="str">
        <f>IF(ISNUMBER($L$6)=FALSE,"",
        IF(ISERROR(VLOOKUP($G65,SantoYusuf!$L$13:$AK$56,I$4,FALSE))=TRUE,"",
              VLOOKUP($G65,SantoYusuf!$L$13:$AK$56,I$4,FALSE)))</f>
        <v/>
      </c>
      <c r="J65" s="18" t="str">
        <f>IF(ISNUMBER($L$6)=FALSE,"",
        IF(ISERROR(VLOOKUP($G65,SantoYusuf!$L$13:$AK$56,J$4,FALSE))=TRUE,"",
              VLOOKUP($G65,SantoYusuf!$L$13:$AK$56,J$4,FALSE)))</f>
        <v/>
      </c>
      <c r="K65" s="18" t="str">
        <f>IF(ISNUMBER($L$6)=FALSE,"",
        IF(ISERROR(VLOOKUP($G65,SantoYusuf!$L$13:$AK$56,K$4,FALSE))=TRUE,"",
              VLOOKUP($G65,SantoYusuf!$L$13:$AK$56,K$4,FALSE)))</f>
        <v/>
      </c>
      <c r="L65" s="18" t="str">
        <f>IF(ISNUMBER($L$6)=FALSE,"",
        IF(ISERROR(VLOOKUP($G65,SantoYusuf!$L$13:$AK$56,L$4,FALSE))=TRUE,"",
              VLOOKUP($G65,SantoYusuf!$L$13:$AK$56,L$4,FALSE)))</f>
        <v/>
      </c>
      <c r="M65" s="18" t="str">
        <f>IF(ISNUMBER($L$6)=FALSE,"",
        IF(ISERROR(VLOOKUP($G65,SantoYusuf!$L$13:$AK$56,M$4,FALSE))=TRUE,"",
              VLOOKUP($G65,SantoYusuf!$L$13:$AK$56,M$4,FALSE)))</f>
        <v/>
      </c>
      <c r="N65" s="18" t="str">
        <f>IF(ISNUMBER($L$6)=FALSE,"",
        IF(ISERROR(VLOOKUP($G65,SantoYusuf!$L$13:$AK$56,N$4,FALSE))=TRUE,"",
              VLOOKUP($G65,SantoYusuf!$L$13:$AK$56,N$4,FALSE)))</f>
        <v/>
      </c>
      <c r="O65" s="18" t="str">
        <f>IF(ISNUMBER($L$6)=FALSE,"",
        IF(ISERROR(VLOOKUP($G65,SantoYusuf!$L$13:$AK$56,O$4,FALSE))=TRUE,"",
              VLOOKUP($G65,SantoYusuf!$L$13:$AK$56,O$4,FALSE)))</f>
        <v/>
      </c>
      <c r="P65" s="18" t="str">
        <f>IF(ISNUMBER($L$6)=FALSE,"",
        IF(ISERROR(VLOOKUP($G65,SantoYusuf!$L$13:$AK$56,P$4,FALSE))=TRUE,"",
              VLOOKUP($G65,SantoYusuf!$L$13:$AK$56,P$4,FALSE)))</f>
        <v/>
      </c>
      <c r="Q65" s="18" t="str">
        <f>IF(ISNUMBER($L$6)=FALSE,"",
        IF(ISERROR(VLOOKUP($G65,SantoYusuf!$L$13:$AK$56,Q$4,FALSE))=TRUE,"",
              VLOOKUP($G65,SantoYusuf!$L$13:$AK$56,Q$4,FALSE)))</f>
        <v/>
      </c>
      <c r="R65" s="18" t="str">
        <f>IF(ISNUMBER($L$6)=FALSE,"",
        IF(ISERROR(VLOOKUP($G65,SantoYusuf!$L$13:$AK$56,R$4,FALSE))=TRUE,"",
              VLOOKUP($G65,SantoYusuf!$L$13:$AK$56,R$4,FALSE)))</f>
        <v/>
      </c>
      <c r="S65" s="18" t="str">
        <f>IF(ISNUMBER($L$6)=FALSE,"",
        IF(ISERROR(VLOOKUP($G65,SantoYusuf!$L$13:$AK$56,S$4,FALSE))=TRUE,"",
              VLOOKUP($G65,SantoYusuf!$L$13:$AK$56,S$4,FALSE)))</f>
        <v/>
      </c>
      <c r="T65" s="18" t="str">
        <f>IF(ISNUMBER($L$6)=FALSE,"",
        IF(ISERROR(VLOOKUP($G65,SantoYusuf!$L$13:$AK$56,T$4,FALSE))=TRUE,"",
              VLOOKUP($G65,SantoYusuf!$L$13:$AK$56,T$4,FALSE)))</f>
        <v/>
      </c>
      <c r="U65" s="18" t="str">
        <f>IF(ISNUMBER($L$6)=FALSE,"",
        IF(ISERROR(VLOOKUP($G65,SantoYusuf!$L$13:$AK$56,U$4,FALSE))=TRUE,"",
              VLOOKUP($G65,SantoYusuf!$L$13:$AK$56,U$4,FALSE)))</f>
        <v/>
      </c>
      <c r="V65" s="18" t="str">
        <f>IF(ISNUMBER($L$6)=FALSE,"",
        IF(ISERROR(VLOOKUP($G65,SantoYusuf!$L$13:$AK$56,V$4,FALSE))=TRUE,"",
              VLOOKUP($G65,SantoYusuf!$L$13:$AK$56,V$4,FALSE)))</f>
        <v/>
      </c>
      <c r="W65" s="18" t="str">
        <f>IF(ISNUMBER($L$6)=FALSE,"",
        IF(ISERROR(VLOOKUP($G65,SantoYusuf!$L$13:$AK$56,W$4,FALSE))=TRUE,"",
              VLOOKUP($G65,SantoYusuf!$L$13:$AK$56,W$4,FALSE)))</f>
        <v/>
      </c>
      <c r="X65" s="18" t="str">
        <f>IF(ISNUMBER($L$6)=FALSE,"",
        IF(ISERROR(VLOOKUP($G65,SantoYusuf!$L$13:$AK$56,X$4,FALSE))=TRUE,"",
              VLOOKUP($G65,SantoYusuf!$L$13:$AK$56,X$4,FALSE)))</f>
        <v/>
      </c>
      <c r="Y65" s="18" t="str">
        <f>IF(ISNUMBER($L$6)=FALSE,"",
        IF(ISERROR(VLOOKUP($G65,SantoYusuf!$L$13:$AK$56,Y$4,FALSE))=TRUE,"",
              VLOOKUP($G65,SantoYusuf!$L$13:$AK$56,Y$4,FALSE)))</f>
        <v/>
      </c>
      <c r="Z65" s="18" t="str">
        <f>IF(ISNUMBER($L$6)=FALSE,"",
        IF(ISERROR(VLOOKUP($G65,SantoYusuf!$L$13:$AK$56,Z$4,FALSE))=TRUE,"",
              VLOOKUP($G65,SantoYusuf!$L$13:$AK$56,Z$4,FALSE)))</f>
        <v/>
      </c>
      <c r="AA65" s="18" t="str">
        <f>IF(ISNUMBER($L$6)=FALSE,"",
        IF(ISERROR(VLOOKUP($G65,SantoYusuf!$L$13:$AK$56,AA$4,FALSE))=TRUE,"",
              VLOOKUP($G65,SantoYusuf!$L$13:$AK$56,AA$4,FALSE)))</f>
        <v/>
      </c>
      <c r="AB65" s="18" t="str">
        <f>IF(ISNUMBER($L$6)=FALSE,"",
        IF(ISERROR(VLOOKUP($G65,SantoYusuf!$L$13:$AK$56,AB$4,FALSE))=TRUE,"",
              VLOOKUP($G65,SantoYusuf!$L$13:$AK$56,AB$4,FALSE)))</f>
        <v/>
      </c>
      <c r="AC65" s="18" t="str">
        <f>IF(ISNUMBER($L$6)=FALSE,"",
        IF(ISERROR(VLOOKUP($G65,SantoYusuf!$L$13:$AK$56,AC$4,FALSE))=TRUE,"",
              VLOOKUP($G65,SantoYusuf!$L$13:$AK$56,AC$4,FALSE)))</f>
        <v/>
      </c>
      <c r="AD65" s="18" t="str">
        <f>IF(ISNUMBER($L$6)=FALSE,"",
        IF(ISERROR(VLOOKUP($G65,SantoYusuf!$L$13:$AK$56,AD$4,FALSE))=TRUE,"",
              VLOOKUP($G65,SantoYusuf!$L$13:$AK$56,AD$4,FALSE)))</f>
        <v/>
      </c>
      <c r="AE65" s="18" t="str">
        <f>IF(ISNUMBER($L$6)=FALSE,"",
        IF(ISERROR(VLOOKUP($G65,SantoYusuf!$L$13:$AK$56,AE$4,FALSE))=TRUE,"",
              VLOOKUP($G65,SantoYusuf!$L$13:$AK$56,AE$4,FALSE)))</f>
        <v/>
      </c>
      <c r="AF65" s="18" t="str">
        <f>IF(ISNUMBER($L$6)=FALSE,"",
        IF(ISERROR(VLOOKUP($G65,SantoYusuf!$L$13:$AK$56,AF$4,FALSE))=TRUE,"",
              VLOOKUP($G65,SantoYusuf!$L$13:$AK$56,AF$4,FALSE)))</f>
        <v/>
      </c>
    </row>
    <row r="66" spans="1:32" s="60" customFormat="1" ht="10.5" x14ac:dyDescent="0.25">
      <c r="A66" s="59"/>
      <c r="C66" s="59">
        <f t="shared" si="3"/>
        <v>53</v>
      </c>
      <c r="D66" s="61"/>
      <c r="E66" s="77" t="str">
        <f t="shared" si="4"/>
        <v/>
      </c>
      <c r="F66" s="77" t="str">
        <f>IF(ISNUMBER($L$6)=FALSE,"",
IF($C66=0,"",VLOOKUP($E66,SantoYusuf!$H$13:$L$56,4,FALSE)))</f>
        <v/>
      </c>
      <c r="G66" s="77" t="str">
        <f>IF(ISNUMBER($L$6)=FALSE,"",
IF($C66=0,"",VLOOKUP($E66,SantoYusuf!$H$13:$L$56,5,FALSE)))</f>
        <v/>
      </c>
      <c r="H66" s="17" t="str">
        <f t="shared" si="5"/>
        <v/>
      </c>
      <c r="I66" s="18" t="str">
        <f>IF(ISNUMBER($L$6)=FALSE,"",
        IF(ISERROR(VLOOKUP($G66,SantoYusuf!$L$13:$AK$56,I$4,FALSE))=TRUE,"",
              VLOOKUP($G66,SantoYusuf!$L$13:$AK$56,I$4,FALSE)))</f>
        <v/>
      </c>
      <c r="J66" s="18" t="str">
        <f>IF(ISNUMBER($L$6)=FALSE,"",
        IF(ISERROR(VLOOKUP($G66,SantoYusuf!$L$13:$AK$56,J$4,FALSE))=TRUE,"",
              VLOOKUP($G66,SantoYusuf!$L$13:$AK$56,J$4,FALSE)))</f>
        <v/>
      </c>
      <c r="K66" s="18" t="str">
        <f>IF(ISNUMBER($L$6)=FALSE,"",
        IF(ISERROR(VLOOKUP($G66,SantoYusuf!$L$13:$AK$56,K$4,FALSE))=TRUE,"",
              VLOOKUP($G66,SantoYusuf!$L$13:$AK$56,K$4,FALSE)))</f>
        <v/>
      </c>
      <c r="L66" s="18" t="str">
        <f>IF(ISNUMBER($L$6)=FALSE,"",
        IF(ISERROR(VLOOKUP($G66,SantoYusuf!$L$13:$AK$56,L$4,FALSE))=TRUE,"",
              VLOOKUP($G66,SantoYusuf!$L$13:$AK$56,L$4,FALSE)))</f>
        <v/>
      </c>
      <c r="M66" s="18" t="str">
        <f>IF(ISNUMBER($L$6)=FALSE,"",
        IF(ISERROR(VLOOKUP($G66,SantoYusuf!$L$13:$AK$56,M$4,FALSE))=TRUE,"",
              VLOOKUP($G66,SantoYusuf!$L$13:$AK$56,M$4,FALSE)))</f>
        <v/>
      </c>
      <c r="N66" s="18" t="str">
        <f>IF(ISNUMBER($L$6)=FALSE,"",
        IF(ISERROR(VLOOKUP($G66,SantoYusuf!$L$13:$AK$56,N$4,FALSE))=TRUE,"",
              VLOOKUP($G66,SantoYusuf!$L$13:$AK$56,N$4,FALSE)))</f>
        <v/>
      </c>
      <c r="O66" s="18" t="str">
        <f>IF(ISNUMBER($L$6)=FALSE,"",
        IF(ISERROR(VLOOKUP($G66,SantoYusuf!$L$13:$AK$56,O$4,FALSE))=TRUE,"",
              VLOOKUP($G66,SantoYusuf!$L$13:$AK$56,O$4,FALSE)))</f>
        <v/>
      </c>
      <c r="P66" s="18" t="str">
        <f>IF(ISNUMBER($L$6)=FALSE,"",
        IF(ISERROR(VLOOKUP($G66,SantoYusuf!$L$13:$AK$56,P$4,FALSE))=TRUE,"",
              VLOOKUP($G66,SantoYusuf!$L$13:$AK$56,P$4,FALSE)))</f>
        <v/>
      </c>
      <c r="Q66" s="18" t="str">
        <f>IF(ISNUMBER($L$6)=FALSE,"",
        IF(ISERROR(VLOOKUP($G66,SantoYusuf!$L$13:$AK$56,Q$4,FALSE))=TRUE,"",
              VLOOKUP($G66,SantoYusuf!$L$13:$AK$56,Q$4,FALSE)))</f>
        <v/>
      </c>
      <c r="R66" s="18" t="str">
        <f>IF(ISNUMBER($L$6)=FALSE,"",
        IF(ISERROR(VLOOKUP($G66,SantoYusuf!$L$13:$AK$56,R$4,FALSE))=TRUE,"",
              VLOOKUP($G66,SantoYusuf!$L$13:$AK$56,R$4,FALSE)))</f>
        <v/>
      </c>
      <c r="S66" s="18" t="str">
        <f>IF(ISNUMBER($L$6)=FALSE,"",
        IF(ISERROR(VLOOKUP($G66,SantoYusuf!$L$13:$AK$56,S$4,FALSE))=TRUE,"",
              VLOOKUP($G66,SantoYusuf!$L$13:$AK$56,S$4,FALSE)))</f>
        <v/>
      </c>
      <c r="T66" s="18" t="str">
        <f>IF(ISNUMBER($L$6)=FALSE,"",
        IF(ISERROR(VLOOKUP($G66,SantoYusuf!$L$13:$AK$56,T$4,FALSE))=TRUE,"",
              VLOOKUP($G66,SantoYusuf!$L$13:$AK$56,T$4,FALSE)))</f>
        <v/>
      </c>
      <c r="U66" s="18" t="str">
        <f>IF(ISNUMBER($L$6)=FALSE,"",
        IF(ISERROR(VLOOKUP($G66,SantoYusuf!$L$13:$AK$56,U$4,FALSE))=TRUE,"",
              VLOOKUP($G66,SantoYusuf!$L$13:$AK$56,U$4,FALSE)))</f>
        <v/>
      </c>
      <c r="V66" s="18" t="str">
        <f>IF(ISNUMBER($L$6)=FALSE,"",
        IF(ISERROR(VLOOKUP($G66,SantoYusuf!$L$13:$AK$56,V$4,FALSE))=TRUE,"",
              VLOOKUP($G66,SantoYusuf!$L$13:$AK$56,V$4,FALSE)))</f>
        <v/>
      </c>
      <c r="W66" s="18" t="str">
        <f>IF(ISNUMBER($L$6)=FALSE,"",
        IF(ISERROR(VLOOKUP($G66,SantoYusuf!$L$13:$AK$56,W$4,FALSE))=TRUE,"",
              VLOOKUP($G66,SantoYusuf!$L$13:$AK$56,W$4,FALSE)))</f>
        <v/>
      </c>
      <c r="X66" s="18" t="str">
        <f>IF(ISNUMBER($L$6)=FALSE,"",
        IF(ISERROR(VLOOKUP($G66,SantoYusuf!$L$13:$AK$56,X$4,FALSE))=TRUE,"",
              VLOOKUP($G66,SantoYusuf!$L$13:$AK$56,X$4,FALSE)))</f>
        <v/>
      </c>
      <c r="Y66" s="18" t="str">
        <f>IF(ISNUMBER($L$6)=FALSE,"",
        IF(ISERROR(VLOOKUP($G66,SantoYusuf!$L$13:$AK$56,Y$4,FALSE))=TRUE,"",
              VLOOKUP($G66,SantoYusuf!$L$13:$AK$56,Y$4,FALSE)))</f>
        <v/>
      </c>
      <c r="Z66" s="18" t="str">
        <f>IF(ISNUMBER($L$6)=FALSE,"",
        IF(ISERROR(VLOOKUP($G66,SantoYusuf!$L$13:$AK$56,Z$4,FALSE))=TRUE,"",
              VLOOKUP($G66,SantoYusuf!$L$13:$AK$56,Z$4,FALSE)))</f>
        <v/>
      </c>
      <c r="AA66" s="18" t="str">
        <f>IF(ISNUMBER($L$6)=FALSE,"",
        IF(ISERROR(VLOOKUP($G66,SantoYusuf!$L$13:$AK$56,AA$4,FALSE))=TRUE,"",
              VLOOKUP($G66,SantoYusuf!$L$13:$AK$56,AA$4,FALSE)))</f>
        <v/>
      </c>
      <c r="AB66" s="18" t="str">
        <f>IF(ISNUMBER($L$6)=FALSE,"",
        IF(ISERROR(VLOOKUP($G66,SantoYusuf!$L$13:$AK$56,AB$4,FALSE))=TRUE,"",
              VLOOKUP($G66,SantoYusuf!$L$13:$AK$56,AB$4,FALSE)))</f>
        <v/>
      </c>
      <c r="AC66" s="18" t="str">
        <f>IF(ISNUMBER($L$6)=FALSE,"",
        IF(ISERROR(VLOOKUP($G66,SantoYusuf!$L$13:$AK$56,AC$4,FALSE))=TRUE,"",
              VLOOKUP($G66,SantoYusuf!$L$13:$AK$56,AC$4,FALSE)))</f>
        <v/>
      </c>
      <c r="AD66" s="18" t="str">
        <f>IF(ISNUMBER($L$6)=FALSE,"",
        IF(ISERROR(VLOOKUP($G66,SantoYusuf!$L$13:$AK$56,AD$4,FALSE))=TRUE,"",
              VLOOKUP($G66,SantoYusuf!$L$13:$AK$56,AD$4,FALSE)))</f>
        <v/>
      </c>
      <c r="AE66" s="18" t="str">
        <f>IF(ISNUMBER($L$6)=FALSE,"",
        IF(ISERROR(VLOOKUP($G66,SantoYusuf!$L$13:$AK$56,AE$4,FALSE))=TRUE,"",
              VLOOKUP($G66,SantoYusuf!$L$13:$AK$56,AE$4,FALSE)))</f>
        <v/>
      </c>
      <c r="AF66" s="18" t="str">
        <f>IF(ISNUMBER($L$6)=FALSE,"",
        IF(ISERROR(VLOOKUP($G66,SantoYusuf!$L$13:$AK$56,AF$4,FALSE))=TRUE,"",
              VLOOKUP($G66,SantoYusuf!$L$13:$AK$56,AF$4,FALSE)))</f>
        <v/>
      </c>
    </row>
    <row r="67" spans="1:32" s="60" customFormat="1" ht="10.5" x14ac:dyDescent="0.25">
      <c r="A67" s="59"/>
      <c r="C67" s="59">
        <f t="shared" si="3"/>
        <v>54</v>
      </c>
      <c r="D67" s="61"/>
      <c r="E67" s="77" t="str">
        <f t="shared" si="4"/>
        <v/>
      </c>
      <c r="F67" s="77" t="str">
        <f>IF(ISNUMBER($L$6)=FALSE,"",
IF($C67=0,"",VLOOKUP($E67,SantoYusuf!$H$13:$L$56,4,FALSE)))</f>
        <v/>
      </c>
      <c r="G67" s="77" t="str">
        <f>IF(ISNUMBER($L$6)=FALSE,"",
IF($C67=0,"",VLOOKUP($E67,SantoYusuf!$H$13:$L$56,5,FALSE)))</f>
        <v/>
      </c>
      <c r="H67" s="17" t="str">
        <f t="shared" si="5"/>
        <v/>
      </c>
      <c r="I67" s="18" t="str">
        <f>IF(ISNUMBER($L$6)=FALSE,"",
        IF(ISERROR(VLOOKUP($G67,SantoYusuf!$L$13:$AK$56,I$4,FALSE))=TRUE,"",
              VLOOKUP($G67,SantoYusuf!$L$13:$AK$56,I$4,FALSE)))</f>
        <v/>
      </c>
      <c r="J67" s="18" t="str">
        <f>IF(ISNUMBER($L$6)=FALSE,"",
        IF(ISERROR(VLOOKUP($G67,SantoYusuf!$L$13:$AK$56,J$4,FALSE))=TRUE,"",
              VLOOKUP($G67,SantoYusuf!$L$13:$AK$56,J$4,FALSE)))</f>
        <v/>
      </c>
      <c r="K67" s="18" t="str">
        <f>IF(ISNUMBER($L$6)=FALSE,"",
        IF(ISERROR(VLOOKUP($G67,SantoYusuf!$L$13:$AK$56,K$4,FALSE))=TRUE,"",
              VLOOKUP($G67,SantoYusuf!$L$13:$AK$56,K$4,FALSE)))</f>
        <v/>
      </c>
      <c r="L67" s="18" t="str">
        <f>IF(ISNUMBER($L$6)=FALSE,"",
        IF(ISERROR(VLOOKUP($G67,SantoYusuf!$L$13:$AK$56,L$4,FALSE))=TRUE,"",
              VLOOKUP($G67,SantoYusuf!$L$13:$AK$56,L$4,FALSE)))</f>
        <v/>
      </c>
      <c r="M67" s="18" t="str">
        <f>IF(ISNUMBER($L$6)=FALSE,"",
        IF(ISERROR(VLOOKUP($G67,SantoYusuf!$L$13:$AK$56,M$4,FALSE))=TRUE,"",
              VLOOKUP($G67,SantoYusuf!$L$13:$AK$56,M$4,FALSE)))</f>
        <v/>
      </c>
      <c r="N67" s="18" t="str">
        <f>IF(ISNUMBER($L$6)=FALSE,"",
        IF(ISERROR(VLOOKUP($G67,SantoYusuf!$L$13:$AK$56,N$4,FALSE))=TRUE,"",
              VLOOKUP($G67,SantoYusuf!$L$13:$AK$56,N$4,FALSE)))</f>
        <v/>
      </c>
      <c r="O67" s="18" t="str">
        <f>IF(ISNUMBER($L$6)=FALSE,"",
        IF(ISERROR(VLOOKUP($G67,SantoYusuf!$L$13:$AK$56,O$4,FALSE))=TRUE,"",
              VLOOKUP($G67,SantoYusuf!$L$13:$AK$56,O$4,FALSE)))</f>
        <v/>
      </c>
      <c r="P67" s="18" t="str">
        <f>IF(ISNUMBER($L$6)=FALSE,"",
        IF(ISERROR(VLOOKUP($G67,SantoYusuf!$L$13:$AK$56,P$4,FALSE))=TRUE,"",
              VLOOKUP($G67,SantoYusuf!$L$13:$AK$56,P$4,FALSE)))</f>
        <v/>
      </c>
      <c r="Q67" s="18" t="str">
        <f>IF(ISNUMBER($L$6)=FALSE,"",
        IF(ISERROR(VLOOKUP($G67,SantoYusuf!$L$13:$AK$56,Q$4,FALSE))=TRUE,"",
              VLOOKUP($G67,SantoYusuf!$L$13:$AK$56,Q$4,FALSE)))</f>
        <v/>
      </c>
      <c r="R67" s="18" t="str">
        <f>IF(ISNUMBER($L$6)=FALSE,"",
        IF(ISERROR(VLOOKUP($G67,SantoYusuf!$L$13:$AK$56,R$4,FALSE))=TRUE,"",
              VLOOKUP($G67,SantoYusuf!$L$13:$AK$56,R$4,FALSE)))</f>
        <v/>
      </c>
      <c r="S67" s="18" t="str">
        <f>IF(ISNUMBER($L$6)=FALSE,"",
        IF(ISERROR(VLOOKUP($G67,SantoYusuf!$L$13:$AK$56,S$4,FALSE))=TRUE,"",
              VLOOKUP($G67,SantoYusuf!$L$13:$AK$56,S$4,FALSE)))</f>
        <v/>
      </c>
      <c r="T67" s="18" t="str">
        <f>IF(ISNUMBER($L$6)=FALSE,"",
        IF(ISERROR(VLOOKUP($G67,SantoYusuf!$L$13:$AK$56,T$4,FALSE))=TRUE,"",
              VLOOKUP($G67,SantoYusuf!$L$13:$AK$56,T$4,FALSE)))</f>
        <v/>
      </c>
      <c r="U67" s="18" t="str">
        <f>IF(ISNUMBER($L$6)=FALSE,"",
        IF(ISERROR(VLOOKUP($G67,SantoYusuf!$L$13:$AK$56,U$4,FALSE))=TRUE,"",
              VLOOKUP($G67,SantoYusuf!$L$13:$AK$56,U$4,FALSE)))</f>
        <v/>
      </c>
      <c r="V67" s="18" t="str">
        <f>IF(ISNUMBER($L$6)=FALSE,"",
        IF(ISERROR(VLOOKUP($G67,SantoYusuf!$L$13:$AK$56,V$4,FALSE))=TRUE,"",
              VLOOKUP($G67,SantoYusuf!$L$13:$AK$56,V$4,FALSE)))</f>
        <v/>
      </c>
      <c r="W67" s="18" t="str">
        <f>IF(ISNUMBER($L$6)=FALSE,"",
        IF(ISERROR(VLOOKUP($G67,SantoYusuf!$L$13:$AK$56,W$4,FALSE))=TRUE,"",
              VLOOKUP($G67,SantoYusuf!$L$13:$AK$56,W$4,FALSE)))</f>
        <v/>
      </c>
      <c r="X67" s="18" t="str">
        <f>IF(ISNUMBER($L$6)=FALSE,"",
        IF(ISERROR(VLOOKUP($G67,SantoYusuf!$L$13:$AK$56,X$4,FALSE))=TRUE,"",
              VLOOKUP($G67,SantoYusuf!$L$13:$AK$56,X$4,FALSE)))</f>
        <v/>
      </c>
      <c r="Y67" s="18" t="str">
        <f>IF(ISNUMBER($L$6)=FALSE,"",
        IF(ISERROR(VLOOKUP($G67,SantoYusuf!$L$13:$AK$56,Y$4,FALSE))=TRUE,"",
              VLOOKUP($G67,SantoYusuf!$L$13:$AK$56,Y$4,FALSE)))</f>
        <v/>
      </c>
      <c r="Z67" s="18" t="str">
        <f>IF(ISNUMBER($L$6)=FALSE,"",
        IF(ISERROR(VLOOKUP($G67,SantoYusuf!$L$13:$AK$56,Z$4,FALSE))=TRUE,"",
              VLOOKUP($G67,SantoYusuf!$L$13:$AK$56,Z$4,FALSE)))</f>
        <v/>
      </c>
      <c r="AA67" s="18" t="str">
        <f>IF(ISNUMBER($L$6)=FALSE,"",
        IF(ISERROR(VLOOKUP($G67,SantoYusuf!$L$13:$AK$56,AA$4,FALSE))=TRUE,"",
              VLOOKUP($G67,SantoYusuf!$L$13:$AK$56,AA$4,FALSE)))</f>
        <v/>
      </c>
      <c r="AB67" s="18" t="str">
        <f>IF(ISNUMBER($L$6)=FALSE,"",
        IF(ISERROR(VLOOKUP($G67,SantoYusuf!$L$13:$AK$56,AB$4,FALSE))=TRUE,"",
              VLOOKUP($G67,SantoYusuf!$L$13:$AK$56,AB$4,FALSE)))</f>
        <v/>
      </c>
      <c r="AC67" s="18" t="str">
        <f>IF(ISNUMBER($L$6)=FALSE,"",
        IF(ISERROR(VLOOKUP($G67,SantoYusuf!$L$13:$AK$56,AC$4,FALSE))=TRUE,"",
              VLOOKUP($G67,SantoYusuf!$L$13:$AK$56,AC$4,FALSE)))</f>
        <v/>
      </c>
      <c r="AD67" s="18" t="str">
        <f>IF(ISNUMBER($L$6)=FALSE,"",
        IF(ISERROR(VLOOKUP($G67,SantoYusuf!$L$13:$AK$56,AD$4,FALSE))=TRUE,"",
              VLOOKUP($G67,SantoYusuf!$L$13:$AK$56,AD$4,FALSE)))</f>
        <v/>
      </c>
      <c r="AE67" s="18" t="str">
        <f>IF(ISNUMBER($L$6)=FALSE,"",
        IF(ISERROR(VLOOKUP($G67,SantoYusuf!$L$13:$AK$56,AE$4,FALSE))=TRUE,"",
              VLOOKUP($G67,SantoYusuf!$L$13:$AK$56,AE$4,FALSE)))</f>
        <v/>
      </c>
      <c r="AF67" s="18" t="str">
        <f>IF(ISNUMBER($L$6)=FALSE,"",
        IF(ISERROR(VLOOKUP($G67,SantoYusuf!$L$13:$AK$56,AF$4,FALSE))=TRUE,"",
              VLOOKUP($G67,SantoYusuf!$L$13:$AK$56,AF$4,FALSE)))</f>
        <v/>
      </c>
    </row>
    <row r="68" spans="1:32" s="60" customFormat="1" ht="10.5" x14ac:dyDescent="0.25">
      <c r="A68" s="59"/>
      <c r="C68" s="59">
        <f t="shared" si="3"/>
        <v>55</v>
      </c>
      <c r="D68" s="61"/>
      <c r="E68" s="77" t="str">
        <f t="shared" si="4"/>
        <v/>
      </c>
      <c r="F68" s="77" t="str">
        <f>IF(ISNUMBER($L$6)=FALSE,"",
IF($C68=0,"",VLOOKUP($E68,SantoYusuf!$H$13:$L$56,4,FALSE)))</f>
        <v/>
      </c>
      <c r="G68" s="77" t="str">
        <f>IF(ISNUMBER($L$6)=FALSE,"",
IF($C68=0,"",VLOOKUP($E68,SantoYusuf!$H$13:$L$56,5,FALSE)))</f>
        <v/>
      </c>
      <c r="H68" s="17" t="str">
        <f t="shared" si="5"/>
        <v/>
      </c>
      <c r="I68" s="18" t="str">
        <f>IF(ISNUMBER($L$6)=FALSE,"",
        IF(ISERROR(VLOOKUP($G68,SantoYusuf!$L$13:$AK$56,I$4,FALSE))=TRUE,"",
              VLOOKUP($G68,SantoYusuf!$L$13:$AK$56,I$4,FALSE)))</f>
        <v/>
      </c>
      <c r="J68" s="18" t="str">
        <f>IF(ISNUMBER($L$6)=FALSE,"",
        IF(ISERROR(VLOOKUP($G68,SantoYusuf!$L$13:$AK$56,J$4,FALSE))=TRUE,"",
              VLOOKUP($G68,SantoYusuf!$L$13:$AK$56,J$4,FALSE)))</f>
        <v/>
      </c>
      <c r="K68" s="18" t="str">
        <f>IF(ISNUMBER($L$6)=FALSE,"",
        IF(ISERROR(VLOOKUP($G68,SantoYusuf!$L$13:$AK$56,K$4,FALSE))=TRUE,"",
              VLOOKUP($G68,SantoYusuf!$L$13:$AK$56,K$4,FALSE)))</f>
        <v/>
      </c>
      <c r="L68" s="18" t="str">
        <f>IF(ISNUMBER($L$6)=FALSE,"",
        IF(ISERROR(VLOOKUP($G68,SantoYusuf!$L$13:$AK$56,L$4,FALSE))=TRUE,"",
              VLOOKUP($G68,SantoYusuf!$L$13:$AK$56,L$4,FALSE)))</f>
        <v/>
      </c>
      <c r="M68" s="18" t="str">
        <f>IF(ISNUMBER($L$6)=FALSE,"",
        IF(ISERROR(VLOOKUP($G68,SantoYusuf!$L$13:$AK$56,M$4,FALSE))=TRUE,"",
              VLOOKUP($G68,SantoYusuf!$L$13:$AK$56,M$4,FALSE)))</f>
        <v/>
      </c>
      <c r="N68" s="18" t="str">
        <f>IF(ISNUMBER($L$6)=FALSE,"",
        IF(ISERROR(VLOOKUP($G68,SantoYusuf!$L$13:$AK$56,N$4,FALSE))=TRUE,"",
              VLOOKUP($G68,SantoYusuf!$L$13:$AK$56,N$4,FALSE)))</f>
        <v/>
      </c>
      <c r="O68" s="18" t="str">
        <f>IF(ISNUMBER($L$6)=FALSE,"",
        IF(ISERROR(VLOOKUP($G68,SantoYusuf!$L$13:$AK$56,O$4,FALSE))=TRUE,"",
              VLOOKUP($G68,SantoYusuf!$L$13:$AK$56,O$4,FALSE)))</f>
        <v/>
      </c>
      <c r="P68" s="18" t="str">
        <f>IF(ISNUMBER($L$6)=FALSE,"",
        IF(ISERROR(VLOOKUP($G68,SantoYusuf!$L$13:$AK$56,P$4,FALSE))=TRUE,"",
              VLOOKUP($G68,SantoYusuf!$L$13:$AK$56,P$4,FALSE)))</f>
        <v/>
      </c>
      <c r="Q68" s="18" t="str">
        <f>IF(ISNUMBER($L$6)=FALSE,"",
        IF(ISERROR(VLOOKUP($G68,SantoYusuf!$L$13:$AK$56,Q$4,FALSE))=TRUE,"",
              VLOOKUP($G68,SantoYusuf!$L$13:$AK$56,Q$4,FALSE)))</f>
        <v/>
      </c>
      <c r="R68" s="18" t="str">
        <f>IF(ISNUMBER($L$6)=FALSE,"",
        IF(ISERROR(VLOOKUP($G68,SantoYusuf!$L$13:$AK$56,R$4,FALSE))=TRUE,"",
              VLOOKUP($G68,SantoYusuf!$L$13:$AK$56,R$4,FALSE)))</f>
        <v/>
      </c>
      <c r="S68" s="18" t="str">
        <f>IF(ISNUMBER($L$6)=FALSE,"",
        IF(ISERROR(VLOOKUP($G68,SantoYusuf!$L$13:$AK$56,S$4,FALSE))=TRUE,"",
              VLOOKUP($G68,SantoYusuf!$L$13:$AK$56,S$4,FALSE)))</f>
        <v/>
      </c>
      <c r="T68" s="18" t="str">
        <f>IF(ISNUMBER($L$6)=FALSE,"",
        IF(ISERROR(VLOOKUP($G68,SantoYusuf!$L$13:$AK$56,T$4,FALSE))=TRUE,"",
              VLOOKUP($G68,SantoYusuf!$L$13:$AK$56,T$4,FALSE)))</f>
        <v/>
      </c>
      <c r="U68" s="18" t="str">
        <f>IF(ISNUMBER($L$6)=FALSE,"",
        IF(ISERROR(VLOOKUP($G68,SantoYusuf!$L$13:$AK$56,U$4,FALSE))=TRUE,"",
              VLOOKUP($G68,SantoYusuf!$L$13:$AK$56,U$4,FALSE)))</f>
        <v/>
      </c>
      <c r="V68" s="18" t="str">
        <f>IF(ISNUMBER($L$6)=FALSE,"",
        IF(ISERROR(VLOOKUP($G68,SantoYusuf!$L$13:$AK$56,V$4,FALSE))=TRUE,"",
              VLOOKUP($G68,SantoYusuf!$L$13:$AK$56,V$4,FALSE)))</f>
        <v/>
      </c>
      <c r="W68" s="18" t="str">
        <f>IF(ISNUMBER($L$6)=FALSE,"",
        IF(ISERROR(VLOOKUP($G68,SantoYusuf!$L$13:$AK$56,W$4,FALSE))=TRUE,"",
              VLOOKUP($G68,SantoYusuf!$L$13:$AK$56,W$4,FALSE)))</f>
        <v/>
      </c>
      <c r="X68" s="18" t="str">
        <f>IF(ISNUMBER($L$6)=FALSE,"",
        IF(ISERROR(VLOOKUP($G68,SantoYusuf!$L$13:$AK$56,X$4,FALSE))=TRUE,"",
              VLOOKUP($G68,SantoYusuf!$L$13:$AK$56,X$4,FALSE)))</f>
        <v/>
      </c>
      <c r="Y68" s="18" t="str">
        <f>IF(ISNUMBER($L$6)=FALSE,"",
        IF(ISERROR(VLOOKUP($G68,SantoYusuf!$L$13:$AK$56,Y$4,FALSE))=TRUE,"",
              VLOOKUP($G68,SantoYusuf!$L$13:$AK$56,Y$4,FALSE)))</f>
        <v/>
      </c>
      <c r="Z68" s="18" t="str">
        <f>IF(ISNUMBER($L$6)=FALSE,"",
        IF(ISERROR(VLOOKUP($G68,SantoYusuf!$L$13:$AK$56,Z$4,FALSE))=TRUE,"",
              VLOOKUP($G68,SantoYusuf!$L$13:$AK$56,Z$4,FALSE)))</f>
        <v/>
      </c>
      <c r="AA68" s="18" t="str">
        <f>IF(ISNUMBER($L$6)=FALSE,"",
        IF(ISERROR(VLOOKUP($G68,SantoYusuf!$L$13:$AK$56,AA$4,FALSE))=TRUE,"",
              VLOOKUP($G68,SantoYusuf!$L$13:$AK$56,AA$4,FALSE)))</f>
        <v/>
      </c>
      <c r="AB68" s="18" t="str">
        <f>IF(ISNUMBER($L$6)=FALSE,"",
        IF(ISERROR(VLOOKUP($G68,SantoYusuf!$L$13:$AK$56,AB$4,FALSE))=TRUE,"",
              VLOOKUP($G68,SantoYusuf!$L$13:$AK$56,AB$4,FALSE)))</f>
        <v/>
      </c>
      <c r="AC68" s="18" t="str">
        <f>IF(ISNUMBER($L$6)=FALSE,"",
        IF(ISERROR(VLOOKUP($G68,SantoYusuf!$L$13:$AK$56,AC$4,FALSE))=TRUE,"",
              VLOOKUP($G68,SantoYusuf!$L$13:$AK$56,AC$4,FALSE)))</f>
        <v/>
      </c>
      <c r="AD68" s="18" t="str">
        <f>IF(ISNUMBER($L$6)=FALSE,"",
        IF(ISERROR(VLOOKUP($G68,SantoYusuf!$L$13:$AK$56,AD$4,FALSE))=TRUE,"",
              VLOOKUP($G68,SantoYusuf!$L$13:$AK$56,AD$4,FALSE)))</f>
        <v/>
      </c>
      <c r="AE68" s="18" t="str">
        <f>IF(ISNUMBER($L$6)=FALSE,"",
        IF(ISERROR(VLOOKUP($G68,SantoYusuf!$L$13:$AK$56,AE$4,FALSE))=TRUE,"",
              VLOOKUP($G68,SantoYusuf!$L$13:$AK$56,AE$4,FALSE)))</f>
        <v/>
      </c>
      <c r="AF68" s="18" t="str">
        <f>IF(ISNUMBER($L$6)=FALSE,"",
        IF(ISERROR(VLOOKUP($G68,SantoYusuf!$L$13:$AK$56,AF$4,FALSE))=TRUE,"",
              VLOOKUP($G68,SantoYusuf!$L$13:$AK$56,AF$4,FALSE)))</f>
        <v/>
      </c>
    </row>
    <row r="69" spans="1:32" s="60" customFormat="1" ht="10.5" x14ac:dyDescent="0.25">
      <c r="A69" s="59"/>
      <c r="C69" s="59">
        <f t="shared" si="3"/>
        <v>56</v>
      </c>
      <c r="D69" s="61"/>
      <c r="E69" s="77" t="str">
        <f t="shared" si="4"/>
        <v/>
      </c>
      <c r="F69" s="77" t="str">
        <f>IF(ISNUMBER($L$6)=FALSE,"",
IF($C69=0,"",VLOOKUP($E69,SantoYusuf!$H$13:$L$56,4,FALSE)))</f>
        <v/>
      </c>
      <c r="G69" s="77" t="str">
        <f>IF(ISNUMBER($L$6)=FALSE,"",
IF($C69=0,"",VLOOKUP($E69,SantoYusuf!$H$13:$L$56,5,FALSE)))</f>
        <v/>
      </c>
      <c r="H69" s="17" t="str">
        <f t="shared" si="5"/>
        <v/>
      </c>
      <c r="I69" s="18" t="str">
        <f>IF(ISNUMBER($L$6)=FALSE,"",
        IF(ISERROR(VLOOKUP($G69,SantoYusuf!$L$13:$AK$56,I$4,FALSE))=TRUE,"",
              VLOOKUP($G69,SantoYusuf!$L$13:$AK$56,I$4,FALSE)))</f>
        <v/>
      </c>
      <c r="J69" s="18" t="str">
        <f>IF(ISNUMBER($L$6)=FALSE,"",
        IF(ISERROR(VLOOKUP($G69,SantoYusuf!$L$13:$AK$56,J$4,FALSE))=TRUE,"",
              VLOOKUP($G69,SantoYusuf!$L$13:$AK$56,J$4,FALSE)))</f>
        <v/>
      </c>
      <c r="K69" s="18" t="str">
        <f>IF(ISNUMBER($L$6)=FALSE,"",
        IF(ISERROR(VLOOKUP($G69,SantoYusuf!$L$13:$AK$56,K$4,FALSE))=TRUE,"",
              VLOOKUP($G69,SantoYusuf!$L$13:$AK$56,K$4,FALSE)))</f>
        <v/>
      </c>
      <c r="L69" s="18" t="str">
        <f>IF(ISNUMBER($L$6)=FALSE,"",
        IF(ISERROR(VLOOKUP($G69,SantoYusuf!$L$13:$AK$56,L$4,FALSE))=TRUE,"",
              VLOOKUP($G69,SantoYusuf!$L$13:$AK$56,L$4,FALSE)))</f>
        <v/>
      </c>
      <c r="M69" s="18" t="str">
        <f>IF(ISNUMBER($L$6)=FALSE,"",
        IF(ISERROR(VLOOKUP($G69,SantoYusuf!$L$13:$AK$56,M$4,FALSE))=TRUE,"",
              VLOOKUP($G69,SantoYusuf!$L$13:$AK$56,M$4,FALSE)))</f>
        <v/>
      </c>
      <c r="N69" s="18" t="str">
        <f>IF(ISNUMBER($L$6)=FALSE,"",
        IF(ISERROR(VLOOKUP($G69,SantoYusuf!$L$13:$AK$56,N$4,FALSE))=TRUE,"",
              VLOOKUP($G69,SantoYusuf!$L$13:$AK$56,N$4,FALSE)))</f>
        <v/>
      </c>
      <c r="O69" s="18" t="str">
        <f>IF(ISNUMBER($L$6)=FALSE,"",
        IF(ISERROR(VLOOKUP($G69,SantoYusuf!$L$13:$AK$56,O$4,FALSE))=TRUE,"",
              VLOOKUP($G69,SantoYusuf!$L$13:$AK$56,O$4,FALSE)))</f>
        <v/>
      </c>
      <c r="P69" s="18" t="str">
        <f>IF(ISNUMBER($L$6)=FALSE,"",
        IF(ISERROR(VLOOKUP($G69,SantoYusuf!$L$13:$AK$56,P$4,FALSE))=TRUE,"",
              VLOOKUP($G69,SantoYusuf!$L$13:$AK$56,P$4,FALSE)))</f>
        <v/>
      </c>
      <c r="Q69" s="18" t="str">
        <f>IF(ISNUMBER($L$6)=FALSE,"",
        IF(ISERROR(VLOOKUP($G69,SantoYusuf!$L$13:$AK$56,Q$4,FALSE))=TRUE,"",
              VLOOKUP($G69,SantoYusuf!$L$13:$AK$56,Q$4,FALSE)))</f>
        <v/>
      </c>
      <c r="R69" s="18" t="str">
        <f>IF(ISNUMBER($L$6)=FALSE,"",
        IF(ISERROR(VLOOKUP($G69,SantoYusuf!$L$13:$AK$56,R$4,FALSE))=TRUE,"",
              VLOOKUP($G69,SantoYusuf!$L$13:$AK$56,R$4,FALSE)))</f>
        <v/>
      </c>
      <c r="S69" s="18" t="str">
        <f>IF(ISNUMBER($L$6)=FALSE,"",
        IF(ISERROR(VLOOKUP($G69,SantoYusuf!$L$13:$AK$56,S$4,FALSE))=TRUE,"",
              VLOOKUP($G69,SantoYusuf!$L$13:$AK$56,S$4,FALSE)))</f>
        <v/>
      </c>
      <c r="T69" s="18" t="str">
        <f>IF(ISNUMBER($L$6)=FALSE,"",
        IF(ISERROR(VLOOKUP($G69,SantoYusuf!$L$13:$AK$56,T$4,FALSE))=TRUE,"",
              VLOOKUP($G69,SantoYusuf!$L$13:$AK$56,T$4,FALSE)))</f>
        <v/>
      </c>
      <c r="U69" s="18" t="str">
        <f>IF(ISNUMBER($L$6)=FALSE,"",
        IF(ISERROR(VLOOKUP($G69,SantoYusuf!$L$13:$AK$56,U$4,FALSE))=TRUE,"",
              VLOOKUP($G69,SantoYusuf!$L$13:$AK$56,U$4,FALSE)))</f>
        <v/>
      </c>
      <c r="V69" s="18" t="str">
        <f>IF(ISNUMBER($L$6)=FALSE,"",
        IF(ISERROR(VLOOKUP($G69,SantoYusuf!$L$13:$AK$56,V$4,FALSE))=TRUE,"",
              VLOOKUP($G69,SantoYusuf!$L$13:$AK$56,V$4,FALSE)))</f>
        <v/>
      </c>
      <c r="W69" s="18" t="str">
        <f>IF(ISNUMBER($L$6)=FALSE,"",
        IF(ISERROR(VLOOKUP($G69,SantoYusuf!$L$13:$AK$56,W$4,FALSE))=TRUE,"",
              VLOOKUP($G69,SantoYusuf!$L$13:$AK$56,W$4,FALSE)))</f>
        <v/>
      </c>
      <c r="X69" s="18" t="str">
        <f>IF(ISNUMBER($L$6)=FALSE,"",
        IF(ISERROR(VLOOKUP($G69,SantoYusuf!$L$13:$AK$56,X$4,FALSE))=TRUE,"",
              VLOOKUP($G69,SantoYusuf!$L$13:$AK$56,X$4,FALSE)))</f>
        <v/>
      </c>
      <c r="Y69" s="18" t="str">
        <f>IF(ISNUMBER($L$6)=FALSE,"",
        IF(ISERROR(VLOOKUP($G69,SantoYusuf!$L$13:$AK$56,Y$4,FALSE))=TRUE,"",
              VLOOKUP($G69,SantoYusuf!$L$13:$AK$56,Y$4,FALSE)))</f>
        <v/>
      </c>
      <c r="Z69" s="18" t="str">
        <f>IF(ISNUMBER($L$6)=FALSE,"",
        IF(ISERROR(VLOOKUP($G69,SantoYusuf!$L$13:$AK$56,Z$4,FALSE))=TRUE,"",
              VLOOKUP($G69,SantoYusuf!$L$13:$AK$56,Z$4,FALSE)))</f>
        <v/>
      </c>
      <c r="AA69" s="18" t="str">
        <f>IF(ISNUMBER($L$6)=FALSE,"",
        IF(ISERROR(VLOOKUP($G69,SantoYusuf!$L$13:$AK$56,AA$4,FALSE))=TRUE,"",
              VLOOKUP($G69,SantoYusuf!$L$13:$AK$56,AA$4,FALSE)))</f>
        <v/>
      </c>
      <c r="AB69" s="18" t="str">
        <f>IF(ISNUMBER($L$6)=FALSE,"",
        IF(ISERROR(VLOOKUP($G69,SantoYusuf!$L$13:$AK$56,AB$4,FALSE))=TRUE,"",
              VLOOKUP($G69,SantoYusuf!$L$13:$AK$56,AB$4,FALSE)))</f>
        <v/>
      </c>
      <c r="AC69" s="18" t="str">
        <f>IF(ISNUMBER($L$6)=FALSE,"",
        IF(ISERROR(VLOOKUP($G69,SantoYusuf!$L$13:$AK$56,AC$4,FALSE))=TRUE,"",
              VLOOKUP($G69,SantoYusuf!$L$13:$AK$56,AC$4,FALSE)))</f>
        <v/>
      </c>
      <c r="AD69" s="18" t="str">
        <f>IF(ISNUMBER($L$6)=FALSE,"",
        IF(ISERROR(VLOOKUP($G69,SantoYusuf!$L$13:$AK$56,AD$4,FALSE))=TRUE,"",
              VLOOKUP($G69,SantoYusuf!$L$13:$AK$56,AD$4,FALSE)))</f>
        <v/>
      </c>
      <c r="AE69" s="18" t="str">
        <f>IF(ISNUMBER($L$6)=FALSE,"",
        IF(ISERROR(VLOOKUP($G69,SantoYusuf!$L$13:$AK$56,AE$4,FALSE))=TRUE,"",
              VLOOKUP($G69,SantoYusuf!$L$13:$AK$56,AE$4,FALSE)))</f>
        <v/>
      </c>
      <c r="AF69" s="18" t="str">
        <f>IF(ISNUMBER($L$6)=FALSE,"",
        IF(ISERROR(VLOOKUP($G69,SantoYusuf!$L$13:$AK$56,AF$4,FALSE))=TRUE,"",
              VLOOKUP($G69,SantoYusuf!$L$13:$AK$56,AF$4,FALSE)))</f>
        <v/>
      </c>
    </row>
    <row r="70" spans="1:32" s="60" customFormat="1" ht="10.5" x14ac:dyDescent="0.25">
      <c r="A70" s="59"/>
      <c r="C70" s="59">
        <f t="shared" si="3"/>
        <v>57</v>
      </c>
      <c r="D70" s="61"/>
      <c r="E70" s="77" t="str">
        <f t="shared" si="4"/>
        <v/>
      </c>
      <c r="F70" s="77" t="str">
        <f>IF(ISNUMBER($L$6)=FALSE,"",
IF($C70=0,"",VLOOKUP($E70,SantoYusuf!$H$13:$L$56,4,FALSE)))</f>
        <v/>
      </c>
      <c r="G70" s="77" t="str">
        <f>IF(ISNUMBER($L$6)=FALSE,"",
IF($C70=0,"",VLOOKUP($E70,SantoYusuf!$H$13:$L$56,5,FALSE)))</f>
        <v/>
      </c>
      <c r="H70" s="17" t="str">
        <f t="shared" si="5"/>
        <v/>
      </c>
      <c r="I70" s="18" t="str">
        <f>IF(ISNUMBER($L$6)=FALSE,"",
        IF(ISERROR(VLOOKUP($G70,SantoYusuf!$L$13:$AK$56,I$4,FALSE))=TRUE,"",
              VLOOKUP($G70,SantoYusuf!$L$13:$AK$56,I$4,FALSE)))</f>
        <v/>
      </c>
      <c r="J70" s="18" t="str">
        <f>IF(ISNUMBER($L$6)=FALSE,"",
        IF(ISERROR(VLOOKUP($G70,SantoYusuf!$L$13:$AK$56,J$4,FALSE))=TRUE,"",
              VLOOKUP($G70,SantoYusuf!$L$13:$AK$56,J$4,FALSE)))</f>
        <v/>
      </c>
      <c r="K70" s="18" t="str">
        <f>IF(ISNUMBER($L$6)=FALSE,"",
        IF(ISERROR(VLOOKUP($G70,SantoYusuf!$L$13:$AK$56,K$4,FALSE))=TRUE,"",
              VLOOKUP($G70,SantoYusuf!$L$13:$AK$56,K$4,FALSE)))</f>
        <v/>
      </c>
      <c r="L70" s="18" t="str">
        <f>IF(ISNUMBER($L$6)=FALSE,"",
        IF(ISERROR(VLOOKUP($G70,SantoYusuf!$L$13:$AK$56,L$4,FALSE))=TRUE,"",
              VLOOKUP($G70,SantoYusuf!$L$13:$AK$56,L$4,FALSE)))</f>
        <v/>
      </c>
      <c r="M70" s="18" t="str">
        <f>IF(ISNUMBER($L$6)=FALSE,"",
        IF(ISERROR(VLOOKUP($G70,SantoYusuf!$L$13:$AK$56,M$4,FALSE))=TRUE,"",
              VLOOKUP($G70,SantoYusuf!$L$13:$AK$56,M$4,FALSE)))</f>
        <v/>
      </c>
      <c r="N70" s="18" t="str">
        <f>IF(ISNUMBER($L$6)=FALSE,"",
        IF(ISERROR(VLOOKUP($G70,SantoYusuf!$L$13:$AK$56,N$4,FALSE))=TRUE,"",
              VLOOKUP($G70,SantoYusuf!$L$13:$AK$56,N$4,FALSE)))</f>
        <v/>
      </c>
      <c r="O70" s="18" t="str">
        <f>IF(ISNUMBER($L$6)=FALSE,"",
        IF(ISERROR(VLOOKUP($G70,SantoYusuf!$L$13:$AK$56,O$4,FALSE))=TRUE,"",
              VLOOKUP($G70,SantoYusuf!$L$13:$AK$56,O$4,FALSE)))</f>
        <v/>
      </c>
      <c r="P70" s="18" t="str">
        <f>IF(ISNUMBER($L$6)=FALSE,"",
        IF(ISERROR(VLOOKUP($G70,SantoYusuf!$L$13:$AK$56,P$4,FALSE))=TRUE,"",
              VLOOKUP($G70,SantoYusuf!$L$13:$AK$56,P$4,FALSE)))</f>
        <v/>
      </c>
      <c r="Q70" s="18" t="str">
        <f>IF(ISNUMBER($L$6)=FALSE,"",
        IF(ISERROR(VLOOKUP($G70,SantoYusuf!$L$13:$AK$56,Q$4,FALSE))=TRUE,"",
              VLOOKUP($G70,SantoYusuf!$L$13:$AK$56,Q$4,FALSE)))</f>
        <v/>
      </c>
      <c r="R70" s="18" t="str">
        <f>IF(ISNUMBER($L$6)=FALSE,"",
        IF(ISERROR(VLOOKUP($G70,SantoYusuf!$L$13:$AK$56,R$4,FALSE))=TRUE,"",
              VLOOKUP($G70,SantoYusuf!$L$13:$AK$56,R$4,FALSE)))</f>
        <v/>
      </c>
      <c r="S70" s="18" t="str">
        <f>IF(ISNUMBER($L$6)=FALSE,"",
        IF(ISERROR(VLOOKUP($G70,SantoYusuf!$L$13:$AK$56,S$4,FALSE))=TRUE,"",
              VLOOKUP($G70,SantoYusuf!$L$13:$AK$56,S$4,FALSE)))</f>
        <v/>
      </c>
      <c r="T70" s="18" t="str">
        <f>IF(ISNUMBER($L$6)=FALSE,"",
        IF(ISERROR(VLOOKUP($G70,SantoYusuf!$L$13:$AK$56,T$4,FALSE))=TRUE,"",
              VLOOKUP($G70,SantoYusuf!$L$13:$AK$56,T$4,FALSE)))</f>
        <v/>
      </c>
      <c r="U70" s="18" t="str">
        <f>IF(ISNUMBER($L$6)=FALSE,"",
        IF(ISERROR(VLOOKUP($G70,SantoYusuf!$L$13:$AK$56,U$4,FALSE))=TRUE,"",
              VLOOKUP($G70,SantoYusuf!$L$13:$AK$56,U$4,FALSE)))</f>
        <v/>
      </c>
      <c r="V70" s="18" t="str">
        <f>IF(ISNUMBER($L$6)=FALSE,"",
        IF(ISERROR(VLOOKUP($G70,SantoYusuf!$L$13:$AK$56,V$4,FALSE))=TRUE,"",
              VLOOKUP($G70,SantoYusuf!$L$13:$AK$56,V$4,FALSE)))</f>
        <v/>
      </c>
      <c r="W70" s="18" t="str">
        <f>IF(ISNUMBER($L$6)=FALSE,"",
        IF(ISERROR(VLOOKUP($G70,SantoYusuf!$L$13:$AK$56,W$4,FALSE))=TRUE,"",
              VLOOKUP($G70,SantoYusuf!$L$13:$AK$56,W$4,FALSE)))</f>
        <v/>
      </c>
      <c r="X70" s="18" t="str">
        <f>IF(ISNUMBER($L$6)=FALSE,"",
        IF(ISERROR(VLOOKUP($G70,SantoYusuf!$L$13:$AK$56,X$4,FALSE))=TRUE,"",
              VLOOKUP($G70,SantoYusuf!$L$13:$AK$56,X$4,FALSE)))</f>
        <v/>
      </c>
      <c r="Y70" s="18" t="str">
        <f>IF(ISNUMBER($L$6)=FALSE,"",
        IF(ISERROR(VLOOKUP($G70,SantoYusuf!$L$13:$AK$56,Y$4,FALSE))=TRUE,"",
              VLOOKUP($G70,SantoYusuf!$L$13:$AK$56,Y$4,FALSE)))</f>
        <v/>
      </c>
      <c r="Z70" s="18" t="str">
        <f>IF(ISNUMBER($L$6)=FALSE,"",
        IF(ISERROR(VLOOKUP($G70,SantoYusuf!$L$13:$AK$56,Z$4,FALSE))=TRUE,"",
              VLOOKUP($G70,SantoYusuf!$L$13:$AK$56,Z$4,FALSE)))</f>
        <v/>
      </c>
      <c r="AA70" s="18" t="str">
        <f>IF(ISNUMBER($L$6)=FALSE,"",
        IF(ISERROR(VLOOKUP($G70,SantoYusuf!$L$13:$AK$56,AA$4,FALSE))=TRUE,"",
              VLOOKUP($G70,SantoYusuf!$L$13:$AK$56,AA$4,FALSE)))</f>
        <v/>
      </c>
      <c r="AB70" s="18" t="str">
        <f>IF(ISNUMBER($L$6)=FALSE,"",
        IF(ISERROR(VLOOKUP($G70,SantoYusuf!$L$13:$AK$56,AB$4,FALSE))=TRUE,"",
              VLOOKUP($G70,SantoYusuf!$L$13:$AK$56,AB$4,FALSE)))</f>
        <v/>
      </c>
      <c r="AC70" s="18" t="str">
        <f>IF(ISNUMBER($L$6)=FALSE,"",
        IF(ISERROR(VLOOKUP($G70,SantoYusuf!$L$13:$AK$56,AC$4,FALSE))=TRUE,"",
              VLOOKUP($G70,SantoYusuf!$L$13:$AK$56,AC$4,FALSE)))</f>
        <v/>
      </c>
      <c r="AD70" s="18" t="str">
        <f>IF(ISNUMBER($L$6)=FALSE,"",
        IF(ISERROR(VLOOKUP($G70,SantoYusuf!$L$13:$AK$56,AD$4,FALSE))=TRUE,"",
              VLOOKUP($G70,SantoYusuf!$L$13:$AK$56,AD$4,FALSE)))</f>
        <v/>
      </c>
      <c r="AE70" s="18" t="str">
        <f>IF(ISNUMBER($L$6)=FALSE,"",
        IF(ISERROR(VLOOKUP($G70,SantoYusuf!$L$13:$AK$56,AE$4,FALSE))=TRUE,"",
              VLOOKUP($G70,SantoYusuf!$L$13:$AK$56,AE$4,FALSE)))</f>
        <v/>
      </c>
      <c r="AF70" s="18" t="str">
        <f>IF(ISNUMBER($L$6)=FALSE,"",
        IF(ISERROR(VLOOKUP($G70,SantoYusuf!$L$13:$AK$56,AF$4,FALSE))=TRUE,"",
              VLOOKUP($G70,SantoYusuf!$L$13:$AK$56,AF$4,FALSE)))</f>
        <v/>
      </c>
    </row>
    <row r="71" spans="1:32" s="60" customFormat="1" ht="10.5" x14ac:dyDescent="0.25">
      <c r="A71" s="59"/>
      <c r="C71" s="59">
        <f t="shared" si="3"/>
        <v>58</v>
      </c>
      <c r="D71" s="61"/>
      <c r="E71" s="77" t="str">
        <f t="shared" si="4"/>
        <v/>
      </c>
      <c r="F71" s="77" t="str">
        <f>IF(ISNUMBER($L$6)=FALSE,"",
IF($C71=0,"",VLOOKUP($E71,SantoYusuf!$H$13:$L$56,4,FALSE)))</f>
        <v/>
      </c>
      <c r="G71" s="77" t="str">
        <f>IF(ISNUMBER($L$6)=FALSE,"",
IF($C71=0,"",VLOOKUP($E71,SantoYusuf!$H$13:$L$56,5,FALSE)))</f>
        <v/>
      </c>
      <c r="H71" s="17" t="str">
        <f t="shared" si="5"/>
        <v/>
      </c>
      <c r="I71" s="18" t="str">
        <f>IF(ISNUMBER($L$6)=FALSE,"",
        IF(ISERROR(VLOOKUP($G71,SantoYusuf!$L$13:$AK$56,I$4,FALSE))=TRUE,"",
              VLOOKUP($G71,SantoYusuf!$L$13:$AK$56,I$4,FALSE)))</f>
        <v/>
      </c>
      <c r="J71" s="18" t="str">
        <f>IF(ISNUMBER($L$6)=FALSE,"",
        IF(ISERROR(VLOOKUP($G71,SantoYusuf!$L$13:$AK$56,J$4,FALSE))=TRUE,"",
              VLOOKUP($G71,SantoYusuf!$L$13:$AK$56,J$4,FALSE)))</f>
        <v/>
      </c>
      <c r="K71" s="18" t="str">
        <f>IF(ISNUMBER($L$6)=FALSE,"",
        IF(ISERROR(VLOOKUP($G71,SantoYusuf!$L$13:$AK$56,K$4,FALSE))=TRUE,"",
              VLOOKUP($G71,SantoYusuf!$L$13:$AK$56,K$4,FALSE)))</f>
        <v/>
      </c>
      <c r="L71" s="18" t="str">
        <f>IF(ISNUMBER($L$6)=FALSE,"",
        IF(ISERROR(VLOOKUP($G71,SantoYusuf!$L$13:$AK$56,L$4,FALSE))=TRUE,"",
              VLOOKUP($G71,SantoYusuf!$L$13:$AK$56,L$4,FALSE)))</f>
        <v/>
      </c>
      <c r="M71" s="18" t="str">
        <f>IF(ISNUMBER($L$6)=FALSE,"",
        IF(ISERROR(VLOOKUP($G71,SantoYusuf!$L$13:$AK$56,M$4,FALSE))=TRUE,"",
              VLOOKUP($G71,SantoYusuf!$L$13:$AK$56,M$4,FALSE)))</f>
        <v/>
      </c>
      <c r="N71" s="18" t="str">
        <f>IF(ISNUMBER($L$6)=FALSE,"",
        IF(ISERROR(VLOOKUP($G71,SantoYusuf!$L$13:$AK$56,N$4,FALSE))=TRUE,"",
              VLOOKUP($G71,SantoYusuf!$L$13:$AK$56,N$4,FALSE)))</f>
        <v/>
      </c>
      <c r="O71" s="18" t="str">
        <f>IF(ISNUMBER($L$6)=FALSE,"",
        IF(ISERROR(VLOOKUP($G71,SantoYusuf!$L$13:$AK$56,O$4,FALSE))=TRUE,"",
              VLOOKUP($G71,SantoYusuf!$L$13:$AK$56,O$4,FALSE)))</f>
        <v/>
      </c>
      <c r="P71" s="18" t="str">
        <f>IF(ISNUMBER($L$6)=FALSE,"",
        IF(ISERROR(VLOOKUP($G71,SantoYusuf!$L$13:$AK$56,P$4,FALSE))=TRUE,"",
              VLOOKUP($G71,SantoYusuf!$L$13:$AK$56,P$4,FALSE)))</f>
        <v/>
      </c>
      <c r="Q71" s="18" t="str">
        <f>IF(ISNUMBER($L$6)=FALSE,"",
        IF(ISERROR(VLOOKUP($G71,SantoYusuf!$L$13:$AK$56,Q$4,FALSE))=TRUE,"",
              VLOOKUP($G71,SantoYusuf!$L$13:$AK$56,Q$4,FALSE)))</f>
        <v/>
      </c>
      <c r="R71" s="18" t="str">
        <f>IF(ISNUMBER($L$6)=FALSE,"",
        IF(ISERROR(VLOOKUP($G71,SantoYusuf!$L$13:$AK$56,R$4,FALSE))=TRUE,"",
              VLOOKUP($G71,SantoYusuf!$L$13:$AK$56,R$4,FALSE)))</f>
        <v/>
      </c>
      <c r="S71" s="18" t="str">
        <f>IF(ISNUMBER($L$6)=FALSE,"",
        IF(ISERROR(VLOOKUP($G71,SantoYusuf!$L$13:$AK$56,S$4,FALSE))=TRUE,"",
              VLOOKUP($G71,SantoYusuf!$L$13:$AK$56,S$4,FALSE)))</f>
        <v/>
      </c>
      <c r="T71" s="18" t="str">
        <f>IF(ISNUMBER($L$6)=FALSE,"",
        IF(ISERROR(VLOOKUP($G71,SantoYusuf!$L$13:$AK$56,T$4,FALSE))=TRUE,"",
              VLOOKUP($G71,SantoYusuf!$L$13:$AK$56,T$4,FALSE)))</f>
        <v/>
      </c>
      <c r="U71" s="18" t="str">
        <f>IF(ISNUMBER($L$6)=FALSE,"",
        IF(ISERROR(VLOOKUP($G71,SantoYusuf!$L$13:$AK$56,U$4,FALSE))=TRUE,"",
              VLOOKUP($G71,SantoYusuf!$L$13:$AK$56,U$4,FALSE)))</f>
        <v/>
      </c>
      <c r="V71" s="18" t="str">
        <f>IF(ISNUMBER($L$6)=FALSE,"",
        IF(ISERROR(VLOOKUP($G71,SantoYusuf!$L$13:$AK$56,V$4,FALSE))=TRUE,"",
              VLOOKUP($G71,SantoYusuf!$L$13:$AK$56,V$4,FALSE)))</f>
        <v/>
      </c>
      <c r="W71" s="18" t="str">
        <f>IF(ISNUMBER($L$6)=FALSE,"",
        IF(ISERROR(VLOOKUP($G71,SantoYusuf!$L$13:$AK$56,W$4,FALSE))=TRUE,"",
              VLOOKUP($G71,SantoYusuf!$L$13:$AK$56,W$4,FALSE)))</f>
        <v/>
      </c>
      <c r="X71" s="18" t="str">
        <f>IF(ISNUMBER($L$6)=FALSE,"",
        IF(ISERROR(VLOOKUP($G71,SantoYusuf!$L$13:$AK$56,X$4,FALSE))=TRUE,"",
              VLOOKUP($G71,SantoYusuf!$L$13:$AK$56,X$4,FALSE)))</f>
        <v/>
      </c>
      <c r="Y71" s="18" t="str">
        <f>IF(ISNUMBER($L$6)=FALSE,"",
        IF(ISERROR(VLOOKUP($G71,SantoYusuf!$L$13:$AK$56,Y$4,FALSE))=TRUE,"",
              VLOOKUP($G71,SantoYusuf!$L$13:$AK$56,Y$4,FALSE)))</f>
        <v/>
      </c>
      <c r="Z71" s="18" t="str">
        <f>IF(ISNUMBER($L$6)=FALSE,"",
        IF(ISERROR(VLOOKUP($G71,SantoYusuf!$L$13:$AK$56,Z$4,FALSE))=TRUE,"",
              VLOOKUP($G71,SantoYusuf!$L$13:$AK$56,Z$4,FALSE)))</f>
        <v/>
      </c>
      <c r="AA71" s="18" t="str">
        <f>IF(ISNUMBER($L$6)=FALSE,"",
        IF(ISERROR(VLOOKUP($G71,SantoYusuf!$L$13:$AK$56,AA$4,FALSE))=TRUE,"",
              VLOOKUP($G71,SantoYusuf!$L$13:$AK$56,AA$4,FALSE)))</f>
        <v/>
      </c>
      <c r="AB71" s="18" t="str">
        <f>IF(ISNUMBER($L$6)=FALSE,"",
        IF(ISERROR(VLOOKUP($G71,SantoYusuf!$L$13:$AK$56,AB$4,FALSE))=TRUE,"",
              VLOOKUP($G71,SantoYusuf!$L$13:$AK$56,AB$4,FALSE)))</f>
        <v/>
      </c>
      <c r="AC71" s="18" t="str">
        <f>IF(ISNUMBER($L$6)=FALSE,"",
        IF(ISERROR(VLOOKUP($G71,SantoYusuf!$L$13:$AK$56,AC$4,FALSE))=TRUE,"",
              VLOOKUP($G71,SantoYusuf!$L$13:$AK$56,AC$4,FALSE)))</f>
        <v/>
      </c>
      <c r="AD71" s="18" t="str">
        <f>IF(ISNUMBER($L$6)=FALSE,"",
        IF(ISERROR(VLOOKUP($G71,SantoYusuf!$L$13:$AK$56,AD$4,FALSE))=TRUE,"",
              VLOOKUP($G71,SantoYusuf!$L$13:$AK$56,AD$4,FALSE)))</f>
        <v/>
      </c>
      <c r="AE71" s="18" t="str">
        <f>IF(ISNUMBER($L$6)=FALSE,"",
        IF(ISERROR(VLOOKUP($G71,SantoYusuf!$L$13:$AK$56,AE$4,FALSE))=TRUE,"",
              VLOOKUP($G71,SantoYusuf!$L$13:$AK$56,AE$4,FALSE)))</f>
        <v/>
      </c>
      <c r="AF71" s="18" t="str">
        <f>IF(ISNUMBER($L$6)=FALSE,"",
        IF(ISERROR(VLOOKUP($G71,SantoYusuf!$L$13:$AK$56,AF$4,FALSE))=TRUE,"",
              VLOOKUP($G71,SantoYusuf!$L$13:$AK$56,AF$4,FALSE)))</f>
        <v/>
      </c>
    </row>
    <row r="72" spans="1:32" s="60" customFormat="1" ht="10.5" x14ac:dyDescent="0.25">
      <c r="A72" s="59"/>
      <c r="C72" s="59">
        <f t="shared" si="3"/>
        <v>59</v>
      </c>
      <c r="D72" s="61"/>
      <c r="E72" s="77" t="str">
        <f t="shared" si="4"/>
        <v/>
      </c>
      <c r="F72" s="77" t="str">
        <f>IF(ISNUMBER($L$6)=FALSE,"",
IF($C72=0,"",VLOOKUP($E72,SantoYusuf!$H$13:$L$56,4,FALSE)))</f>
        <v/>
      </c>
      <c r="G72" s="77" t="str">
        <f>IF(ISNUMBER($L$6)=FALSE,"",
IF($C72=0,"",VLOOKUP($E72,SantoYusuf!$H$13:$L$56,5,FALSE)))</f>
        <v/>
      </c>
      <c r="H72" s="17" t="str">
        <f t="shared" si="5"/>
        <v/>
      </c>
      <c r="I72" s="18" t="str">
        <f>IF(ISNUMBER($L$6)=FALSE,"",
        IF(ISERROR(VLOOKUP($G72,SantoYusuf!$L$13:$AK$56,I$4,FALSE))=TRUE,"",
              VLOOKUP($G72,SantoYusuf!$L$13:$AK$56,I$4,FALSE)))</f>
        <v/>
      </c>
      <c r="J72" s="18" t="str">
        <f>IF(ISNUMBER($L$6)=FALSE,"",
        IF(ISERROR(VLOOKUP($G72,SantoYusuf!$L$13:$AK$56,J$4,FALSE))=TRUE,"",
              VLOOKUP($G72,SantoYusuf!$L$13:$AK$56,J$4,FALSE)))</f>
        <v/>
      </c>
      <c r="K72" s="18" t="str">
        <f>IF(ISNUMBER($L$6)=FALSE,"",
        IF(ISERROR(VLOOKUP($G72,SantoYusuf!$L$13:$AK$56,K$4,FALSE))=TRUE,"",
              VLOOKUP($G72,SantoYusuf!$L$13:$AK$56,K$4,FALSE)))</f>
        <v/>
      </c>
      <c r="L72" s="18" t="str">
        <f>IF(ISNUMBER($L$6)=FALSE,"",
        IF(ISERROR(VLOOKUP($G72,SantoYusuf!$L$13:$AK$56,L$4,FALSE))=TRUE,"",
              VLOOKUP($G72,SantoYusuf!$L$13:$AK$56,L$4,FALSE)))</f>
        <v/>
      </c>
      <c r="M72" s="18" t="str">
        <f>IF(ISNUMBER($L$6)=FALSE,"",
        IF(ISERROR(VLOOKUP($G72,SantoYusuf!$L$13:$AK$56,M$4,FALSE))=TRUE,"",
              VLOOKUP($G72,SantoYusuf!$L$13:$AK$56,M$4,FALSE)))</f>
        <v/>
      </c>
      <c r="N72" s="18" t="str">
        <f>IF(ISNUMBER($L$6)=FALSE,"",
        IF(ISERROR(VLOOKUP($G72,SantoYusuf!$L$13:$AK$56,N$4,FALSE))=TRUE,"",
              VLOOKUP($G72,SantoYusuf!$L$13:$AK$56,N$4,FALSE)))</f>
        <v/>
      </c>
      <c r="O72" s="18" t="str">
        <f>IF(ISNUMBER($L$6)=FALSE,"",
        IF(ISERROR(VLOOKUP($G72,SantoYusuf!$L$13:$AK$56,O$4,FALSE))=TRUE,"",
              VLOOKUP($G72,SantoYusuf!$L$13:$AK$56,O$4,FALSE)))</f>
        <v/>
      </c>
      <c r="P72" s="18" t="str">
        <f>IF(ISNUMBER($L$6)=FALSE,"",
        IF(ISERROR(VLOOKUP($G72,SantoYusuf!$L$13:$AK$56,P$4,FALSE))=TRUE,"",
              VLOOKUP($G72,SantoYusuf!$L$13:$AK$56,P$4,FALSE)))</f>
        <v/>
      </c>
      <c r="Q72" s="18" t="str">
        <f>IF(ISNUMBER($L$6)=FALSE,"",
        IF(ISERROR(VLOOKUP($G72,SantoYusuf!$L$13:$AK$56,Q$4,FALSE))=TRUE,"",
              VLOOKUP($G72,SantoYusuf!$L$13:$AK$56,Q$4,FALSE)))</f>
        <v/>
      </c>
      <c r="R72" s="18" t="str">
        <f>IF(ISNUMBER($L$6)=FALSE,"",
        IF(ISERROR(VLOOKUP($G72,SantoYusuf!$L$13:$AK$56,R$4,FALSE))=TRUE,"",
              VLOOKUP($G72,SantoYusuf!$L$13:$AK$56,R$4,FALSE)))</f>
        <v/>
      </c>
      <c r="S72" s="18" t="str">
        <f>IF(ISNUMBER($L$6)=FALSE,"",
        IF(ISERROR(VLOOKUP($G72,SantoYusuf!$L$13:$AK$56,S$4,FALSE))=TRUE,"",
              VLOOKUP($G72,SantoYusuf!$L$13:$AK$56,S$4,FALSE)))</f>
        <v/>
      </c>
      <c r="T72" s="18" t="str">
        <f>IF(ISNUMBER($L$6)=FALSE,"",
        IF(ISERROR(VLOOKUP($G72,SantoYusuf!$L$13:$AK$56,T$4,FALSE))=TRUE,"",
              VLOOKUP($G72,SantoYusuf!$L$13:$AK$56,T$4,FALSE)))</f>
        <v/>
      </c>
      <c r="U72" s="18" t="str">
        <f>IF(ISNUMBER($L$6)=FALSE,"",
        IF(ISERROR(VLOOKUP($G72,SantoYusuf!$L$13:$AK$56,U$4,FALSE))=TRUE,"",
              VLOOKUP($G72,SantoYusuf!$L$13:$AK$56,U$4,FALSE)))</f>
        <v/>
      </c>
      <c r="V72" s="18" t="str">
        <f>IF(ISNUMBER($L$6)=FALSE,"",
        IF(ISERROR(VLOOKUP($G72,SantoYusuf!$L$13:$AK$56,V$4,FALSE))=TRUE,"",
              VLOOKUP($G72,SantoYusuf!$L$13:$AK$56,V$4,FALSE)))</f>
        <v/>
      </c>
      <c r="W72" s="18" t="str">
        <f>IF(ISNUMBER($L$6)=FALSE,"",
        IF(ISERROR(VLOOKUP($G72,SantoYusuf!$L$13:$AK$56,W$4,FALSE))=TRUE,"",
              VLOOKUP($G72,SantoYusuf!$L$13:$AK$56,W$4,FALSE)))</f>
        <v/>
      </c>
      <c r="X72" s="18" t="str">
        <f>IF(ISNUMBER($L$6)=FALSE,"",
        IF(ISERROR(VLOOKUP($G72,SantoYusuf!$L$13:$AK$56,X$4,FALSE))=TRUE,"",
              VLOOKUP($G72,SantoYusuf!$L$13:$AK$56,X$4,FALSE)))</f>
        <v/>
      </c>
      <c r="Y72" s="18" t="str">
        <f>IF(ISNUMBER($L$6)=FALSE,"",
        IF(ISERROR(VLOOKUP($G72,SantoYusuf!$L$13:$AK$56,Y$4,FALSE))=TRUE,"",
              VLOOKUP($G72,SantoYusuf!$L$13:$AK$56,Y$4,FALSE)))</f>
        <v/>
      </c>
      <c r="Z72" s="18" t="str">
        <f>IF(ISNUMBER($L$6)=FALSE,"",
        IF(ISERROR(VLOOKUP($G72,SantoYusuf!$L$13:$AK$56,Z$4,FALSE))=TRUE,"",
              VLOOKUP($G72,SantoYusuf!$L$13:$AK$56,Z$4,FALSE)))</f>
        <v/>
      </c>
      <c r="AA72" s="18" t="str">
        <f>IF(ISNUMBER($L$6)=FALSE,"",
        IF(ISERROR(VLOOKUP($G72,SantoYusuf!$L$13:$AK$56,AA$4,FALSE))=TRUE,"",
              VLOOKUP($G72,SantoYusuf!$L$13:$AK$56,AA$4,FALSE)))</f>
        <v/>
      </c>
      <c r="AB72" s="18" t="str">
        <f>IF(ISNUMBER($L$6)=FALSE,"",
        IF(ISERROR(VLOOKUP($G72,SantoYusuf!$L$13:$AK$56,AB$4,FALSE))=TRUE,"",
              VLOOKUP($G72,SantoYusuf!$L$13:$AK$56,AB$4,FALSE)))</f>
        <v/>
      </c>
      <c r="AC72" s="18" t="str">
        <f>IF(ISNUMBER($L$6)=FALSE,"",
        IF(ISERROR(VLOOKUP($G72,SantoYusuf!$L$13:$AK$56,AC$4,FALSE))=TRUE,"",
              VLOOKUP($G72,SantoYusuf!$L$13:$AK$56,AC$4,FALSE)))</f>
        <v/>
      </c>
      <c r="AD72" s="18" t="str">
        <f>IF(ISNUMBER($L$6)=FALSE,"",
        IF(ISERROR(VLOOKUP($G72,SantoYusuf!$L$13:$AK$56,AD$4,FALSE))=TRUE,"",
              VLOOKUP($G72,SantoYusuf!$L$13:$AK$56,AD$4,FALSE)))</f>
        <v/>
      </c>
      <c r="AE72" s="18" t="str">
        <f>IF(ISNUMBER($L$6)=FALSE,"",
        IF(ISERROR(VLOOKUP($G72,SantoYusuf!$L$13:$AK$56,AE$4,FALSE))=TRUE,"",
              VLOOKUP($G72,SantoYusuf!$L$13:$AK$56,AE$4,FALSE)))</f>
        <v/>
      </c>
      <c r="AF72" s="18" t="str">
        <f>IF(ISNUMBER($L$6)=FALSE,"",
        IF(ISERROR(VLOOKUP($G72,SantoYusuf!$L$13:$AK$56,AF$4,FALSE))=TRUE,"",
              VLOOKUP($G72,SantoYusuf!$L$13:$AK$56,AF$4,FALSE)))</f>
        <v/>
      </c>
    </row>
    <row r="73" spans="1:32" s="60" customFormat="1" ht="10.5" x14ac:dyDescent="0.25">
      <c r="A73" s="59"/>
      <c r="C73" s="59">
        <f t="shared" si="3"/>
        <v>60</v>
      </c>
      <c r="D73" s="61"/>
      <c r="E73" s="77" t="str">
        <f t="shared" si="4"/>
        <v/>
      </c>
      <c r="F73" s="77" t="str">
        <f>IF(ISNUMBER($L$6)=FALSE,"",
IF($C73=0,"",VLOOKUP($E73,SantoYusuf!$H$13:$L$56,4,FALSE)))</f>
        <v/>
      </c>
      <c r="G73" s="77" t="str">
        <f>IF(ISNUMBER($L$6)=FALSE,"",
IF($C73=0,"",VLOOKUP($E73,SantoYusuf!$H$13:$L$56,5,FALSE)))</f>
        <v/>
      </c>
      <c r="H73" s="17" t="str">
        <f t="shared" si="5"/>
        <v/>
      </c>
      <c r="I73" s="18" t="str">
        <f>IF(ISNUMBER($L$6)=FALSE,"",
        IF(ISERROR(VLOOKUP($G73,SantoYusuf!$L$13:$AK$56,I$4,FALSE))=TRUE,"",
              VLOOKUP($G73,SantoYusuf!$L$13:$AK$56,I$4,FALSE)))</f>
        <v/>
      </c>
      <c r="J73" s="18" t="str">
        <f>IF(ISNUMBER($L$6)=FALSE,"",
        IF(ISERROR(VLOOKUP($G73,SantoYusuf!$L$13:$AK$56,J$4,FALSE))=TRUE,"",
              VLOOKUP($G73,SantoYusuf!$L$13:$AK$56,J$4,FALSE)))</f>
        <v/>
      </c>
      <c r="K73" s="18" t="str">
        <f>IF(ISNUMBER($L$6)=FALSE,"",
        IF(ISERROR(VLOOKUP($G73,SantoYusuf!$L$13:$AK$56,K$4,FALSE))=TRUE,"",
              VLOOKUP($G73,SantoYusuf!$L$13:$AK$56,K$4,FALSE)))</f>
        <v/>
      </c>
      <c r="L73" s="18" t="str">
        <f>IF(ISNUMBER($L$6)=FALSE,"",
        IF(ISERROR(VLOOKUP($G73,SantoYusuf!$L$13:$AK$56,L$4,FALSE))=TRUE,"",
              VLOOKUP($G73,SantoYusuf!$L$13:$AK$56,L$4,FALSE)))</f>
        <v/>
      </c>
      <c r="M73" s="18" t="str">
        <f>IF(ISNUMBER($L$6)=FALSE,"",
        IF(ISERROR(VLOOKUP($G73,SantoYusuf!$L$13:$AK$56,M$4,FALSE))=TRUE,"",
              VLOOKUP($G73,SantoYusuf!$L$13:$AK$56,M$4,FALSE)))</f>
        <v/>
      </c>
      <c r="N73" s="18" t="str">
        <f>IF(ISNUMBER($L$6)=FALSE,"",
        IF(ISERROR(VLOOKUP($G73,SantoYusuf!$L$13:$AK$56,N$4,FALSE))=TRUE,"",
              VLOOKUP($G73,SantoYusuf!$L$13:$AK$56,N$4,FALSE)))</f>
        <v/>
      </c>
      <c r="O73" s="18" t="str">
        <f>IF(ISNUMBER($L$6)=FALSE,"",
        IF(ISERROR(VLOOKUP($G73,SantoYusuf!$L$13:$AK$56,O$4,FALSE))=TRUE,"",
              VLOOKUP($G73,SantoYusuf!$L$13:$AK$56,O$4,FALSE)))</f>
        <v/>
      </c>
      <c r="P73" s="18" t="str">
        <f>IF(ISNUMBER($L$6)=FALSE,"",
        IF(ISERROR(VLOOKUP($G73,SantoYusuf!$L$13:$AK$56,P$4,FALSE))=TRUE,"",
              VLOOKUP($G73,SantoYusuf!$L$13:$AK$56,P$4,FALSE)))</f>
        <v/>
      </c>
      <c r="Q73" s="18" t="str">
        <f>IF(ISNUMBER($L$6)=FALSE,"",
        IF(ISERROR(VLOOKUP($G73,SantoYusuf!$L$13:$AK$56,Q$4,FALSE))=TRUE,"",
              VLOOKUP($G73,SantoYusuf!$L$13:$AK$56,Q$4,FALSE)))</f>
        <v/>
      </c>
      <c r="R73" s="18" t="str">
        <f>IF(ISNUMBER($L$6)=FALSE,"",
        IF(ISERROR(VLOOKUP($G73,SantoYusuf!$L$13:$AK$56,R$4,FALSE))=TRUE,"",
              VLOOKUP($G73,SantoYusuf!$L$13:$AK$56,R$4,FALSE)))</f>
        <v/>
      </c>
      <c r="S73" s="18" t="str">
        <f>IF(ISNUMBER($L$6)=FALSE,"",
        IF(ISERROR(VLOOKUP($G73,SantoYusuf!$L$13:$AK$56,S$4,FALSE))=TRUE,"",
              VLOOKUP($G73,SantoYusuf!$L$13:$AK$56,S$4,FALSE)))</f>
        <v/>
      </c>
      <c r="T73" s="18" t="str">
        <f>IF(ISNUMBER($L$6)=FALSE,"",
        IF(ISERROR(VLOOKUP($G73,SantoYusuf!$L$13:$AK$56,T$4,FALSE))=TRUE,"",
              VLOOKUP($G73,SantoYusuf!$L$13:$AK$56,T$4,FALSE)))</f>
        <v/>
      </c>
      <c r="U73" s="18" t="str">
        <f>IF(ISNUMBER($L$6)=FALSE,"",
        IF(ISERROR(VLOOKUP($G73,SantoYusuf!$L$13:$AK$56,U$4,FALSE))=TRUE,"",
              VLOOKUP($G73,SantoYusuf!$L$13:$AK$56,U$4,FALSE)))</f>
        <v/>
      </c>
      <c r="V73" s="18" t="str">
        <f>IF(ISNUMBER($L$6)=FALSE,"",
        IF(ISERROR(VLOOKUP($G73,SantoYusuf!$L$13:$AK$56,V$4,FALSE))=TRUE,"",
              VLOOKUP($G73,SantoYusuf!$L$13:$AK$56,V$4,FALSE)))</f>
        <v/>
      </c>
      <c r="W73" s="18" t="str">
        <f>IF(ISNUMBER($L$6)=FALSE,"",
        IF(ISERROR(VLOOKUP($G73,SantoYusuf!$L$13:$AK$56,W$4,FALSE))=TRUE,"",
              VLOOKUP($G73,SantoYusuf!$L$13:$AK$56,W$4,FALSE)))</f>
        <v/>
      </c>
      <c r="X73" s="18" t="str">
        <f>IF(ISNUMBER($L$6)=FALSE,"",
        IF(ISERROR(VLOOKUP($G73,SantoYusuf!$L$13:$AK$56,X$4,FALSE))=TRUE,"",
              VLOOKUP($G73,SantoYusuf!$L$13:$AK$56,X$4,FALSE)))</f>
        <v/>
      </c>
      <c r="Y73" s="18" t="str">
        <f>IF(ISNUMBER($L$6)=FALSE,"",
        IF(ISERROR(VLOOKUP($G73,SantoYusuf!$L$13:$AK$56,Y$4,FALSE))=TRUE,"",
              VLOOKUP($G73,SantoYusuf!$L$13:$AK$56,Y$4,FALSE)))</f>
        <v/>
      </c>
      <c r="Z73" s="18" t="str">
        <f>IF(ISNUMBER($L$6)=FALSE,"",
        IF(ISERROR(VLOOKUP($G73,SantoYusuf!$L$13:$AK$56,Z$4,FALSE))=TRUE,"",
              VLOOKUP($G73,SantoYusuf!$L$13:$AK$56,Z$4,FALSE)))</f>
        <v/>
      </c>
      <c r="AA73" s="18" t="str">
        <f>IF(ISNUMBER($L$6)=FALSE,"",
        IF(ISERROR(VLOOKUP($G73,SantoYusuf!$L$13:$AK$56,AA$4,FALSE))=TRUE,"",
              VLOOKUP($G73,SantoYusuf!$L$13:$AK$56,AA$4,FALSE)))</f>
        <v/>
      </c>
      <c r="AB73" s="18" t="str">
        <f>IF(ISNUMBER($L$6)=FALSE,"",
        IF(ISERROR(VLOOKUP($G73,SantoYusuf!$L$13:$AK$56,AB$4,FALSE))=TRUE,"",
              VLOOKUP($G73,SantoYusuf!$L$13:$AK$56,AB$4,FALSE)))</f>
        <v/>
      </c>
      <c r="AC73" s="18" t="str">
        <f>IF(ISNUMBER($L$6)=FALSE,"",
        IF(ISERROR(VLOOKUP($G73,SantoYusuf!$L$13:$AK$56,AC$4,FALSE))=TRUE,"",
              VLOOKUP($G73,SantoYusuf!$L$13:$AK$56,AC$4,FALSE)))</f>
        <v/>
      </c>
      <c r="AD73" s="18" t="str">
        <f>IF(ISNUMBER($L$6)=FALSE,"",
        IF(ISERROR(VLOOKUP($G73,SantoYusuf!$L$13:$AK$56,AD$4,FALSE))=TRUE,"",
              VLOOKUP($G73,SantoYusuf!$L$13:$AK$56,AD$4,FALSE)))</f>
        <v/>
      </c>
      <c r="AE73" s="18" t="str">
        <f>IF(ISNUMBER($L$6)=FALSE,"",
        IF(ISERROR(VLOOKUP($G73,SantoYusuf!$L$13:$AK$56,AE$4,FALSE))=TRUE,"",
              VLOOKUP($G73,SantoYusuf!$L$13:$AK$56,AE$4,FALSE)))</f>
        <v/>
      </c>
      <c r="AF73" s="18" t="str">
        <f>IF(ISNUMBER($L$6)=FALSE,"",
        IF(ISERROR(VLOOKUP($G73,SantoYusuf!$L$13:$AK$56,AF$4,FALSE))=TRUE,"",
              VLOOKUP($G73,SantoYusuf!$L$13:$AK$56,AF$4,FALSE)))</f>
        <v/>
      </c>
    </row>
    <row r="74" spans="1:32" s="60" customFormat="1" ht="10.5" x14ac:dyDescent="0.25">
      <c r="A74" s="59"/>
      <c r="C74" s="59">
        <f t="shared" si="3"/>
        <v>61</v>
      </c>
      <c r="D74" s="61"/>
      <c r="E74" s="77" t="str">
        <f t="shared" si="4"/>
        <v/>
      </c>
      <c r="F74" s="77" t="str">
        <f>IF(ISNUMBER($L$6)=FALSE,"",
IF($C74=0,"",VLOOKUP($E74,SantoYusuf!$H$13:$L$56,4,FALSE)))</f>
        <v/>
      </c>
      <c r="G74" s="77" t="str">
        <f>IF(ISNUMBER($L$6)=FALSE,"",
IF($C74=0,"",VLOOKUP($E74,SantoYusuf!$H$13:$L$56,5,FALSE)))</f>
        <v/>
      </c>
      <c r="H74" s="17" t="str">
        <f t="shared" si="5"/>
        <v/>
      </c>
      <c r="I74" s="18" t="str">
        <f>IF(ISNUMBER($L$6)=FALSE,"",
        IF(ISERROR(VLOOKUP($G74,SantoYusuf!$L$13:$AK$56,I$4,FALSE))=TRUE,"",
              VLOOKUP($G74,SantoYusuf!$L$13:$AK$56,I$4,FALSE)))</f>
        <v/>
      </c>
      <c r="J74" s="18" t="str">
        <f>IF(ISNUMBER($L$6)=FALSE,"",
        IF(ISERROR(VLOOKUP($G74,SantoYusuf!$L$13:$AK$56,J$4,FALSE))=TRUE,"",
              VLOOKUP($G74,SantoYusuf!$L$13:$AK$56,J$4,FALSE)))</f>
        <v/>
      </c>
      <c r="K74" s="18" t="str">
        <f>IF(ISNUMBER($L$6)=FALSE,"",
        IF(ISERROR(VLOOKUP($G74,SantoYusuf!$L$13:$AK$56,K$4,FALSE))=TRUE,"",
              VLOOKUP($G74,SantoYusuf!$L$13:$AK$56,K$4,FALSE)))</f>
        <v/>
      </c>
      <c r="L74" s="18" t="str">
        <f>IF(ISNUMBER($L$6)=FALSE,"",
        IF(ISERROR(VLOOKUP($G74,SantoYusuf!$L$13:$AK$56,L$4,FALSE))=TRUE,"",
              VLOOKUP($G74,SantoYusuf!$L$13:$AK$56,L$4,FALSE)))</f>
        <v/>
      </c>
      <c r="M74" s="18" t="str">
        <f>IF(ISNUMBER($L$6)=FALSE,"",
        IF(ISERROR(VLOOKUP($G74,SantoYusuf!$L$13:$AK$56,M$4,FALSE))=TRUE,"",
              VLOOKUP($G74,SantoYusuf!$L$13:$AK$56,M$4,FALSE)))</f>
        <v/>
      </c>
      <c r="N74" s="18" t="str">
        <f>IF(ISNUMBER($L$6)=FALSE,"",
        IF(ISERROR(VLOOKUP($G74,SantoYusuf!$L$13:$AK$56,N$4,FALSE))=TRUE,"",
              VLOOKUP($G74,SantoYusuf!$L$13:$AK$56,N$4,FALSE)))</f>
        <v/>
      </c>
      <c r="O74" s="18" t="str">
        <f>IF(ISNUMBER($L$6)=FALSE,"",
        IF(ISERROR(VLOOKUP($G74,SantoYusuf!$L$13:$AK$56,O$4,FALSE))=TRUE,"",
              VLOOKUP($G74,SantoYusuf!$L$13:$AK$56,O$4,FALSE)))</f>
        <v/>
      </c>
      <c r="P74" s="18" t="str">
        <f>IF(ISNUMBER($L$6)=FALSE,"",
        IF(ISERROR(VLOOKUP($G74,SantoYusuf!$L$13:$AK$56,P$4,FALSE))=TRUE,"",
              VLOOKUP($G74,SantoYusuf!$L$13:$AK$56,P$4,FALSE)))</f>
        <v/>
      </c>
      <c r="Q74" s="18" t="str">
        <f>IF(ISNUMBER($L$6)=FALSE,"",
        IF(ISERROR(VLOOKUP($G74,SantoYusuf!$L$13:$AK$56,Q$4,FALSE))=TRUE,"",
              VLOOKUP($G74,SantoYusuf!$L$13:$AK$56,Q$4,FALSE)))</f>
        <v/>
      </c>
      <c r="R74" s="18" t="str">
        <f>IF(ISNUMBER($L$6)=FALSE,"",
        IF(ISERROR(VLOOKUP($G74,SantoYusuf!$L$13:$AK$56,R$4,FALSE))=TRUE,"",
              VLOOKUP($G74,SantoYusuf!$L$13:$AK$56,R$4,FALSE)))</f>
        <v/>
      </c>
      <c r="S74" s="18" t="str">
        <f>IF(ISNUMBER($L$6)=FALSE,"",
        IF(ISERROR(VLOOKUP($G74,SantoYusuf!$L$13:$AK$56,S$4,FALSE))=TRUE,"",
              VLOOKUP($G74,SantoYusuf!$L$13:$AK$56,S$4,FALSE)))</f>
        <v/>
      </c>
      <c r="T74" s="18" t="str">
        <f>IF(ISNUMBER($L$6)=FALSE,"",
        IF(ISERROR(VLOOKUP($G74,SantoYusuf!$L$13:$AK$56,T$4,FALSE))=TRUE,"",
              VLOOKUP($G74,SantoYusuf!$L$13:$AK$56,T$4,FALSE)))</f>
        <v/>
      </c>
      <c r="U74" s="18" t="str">
        <f>IF(ISNUMBER($L$6)=FALSE,"",
        IF(ISERROR(VLOOKUP($G74,SantoYusuf!$L$13:$AK$56,U$4,FALSE))=TRUE,"",
              VLOOKUP($G74,SantoYusuf!$L$13:$AK$56,U$4,FALSE)))</f>
        <v/>
      </c>
      <c r="V74" s="18" t="str">
        <f>IF(ISNUMBER($L$6)=FALSE,"",
        IF(ISERROR(VLOOKUP($G74,SantoYusuf!$L$13:$AK$56,V$4,FALSE))=TRUE,"",
              VLOOKUP($G74,SantoYusuf!$L$13:$AK$56,V$4,FALSE)))</f>
        <v/>
      </c>
      <c r="W74" s="18" t="str">
        <f>IF(ISNUMBER($L$6)=FALSE,"",
        IF(ISERROR(VLOOKUP($G74,SantoYusuf!$L$13:$AK$56,W$4,FALSE))=TRUE,"",
              VLOOKUP($G74,SantoYusuf!$L$13:$AK$56,W$4,FALSE)))</f>
        <v/>
      </c>
      <c r="X74" s="18" t="str">
        <f>IF(ISNUMBER($L$6)=FALSE,"",
        IF(ISERROR(VLOOKUP($G74,SantoYusuf!$L$13:$AK$56,X$4,FALSE))=TRUE,"",
              VLOOKUP($G74,SantoYusuf!$L$13:$AK$56,X$4,FALSE)))</f>
        <v/>
      </c>
      <c r="Y74" s="18" t="str">
        <f>IF(ISNUMBER($L$6)=FALSE,"",
        IF(ISERROR(VLOOKUP($G74,SantoYusuf!$L$13:$AK$56,Y$4,FALSE))=TRUE,"",
              VLOOKUP($G74,SantoYusuf!$L$13:$AK$56,Y$4,FALSE)))</f>
        <v/>
      </c>
      <c r="Z74" s="18" t="str">
        <f>IF(ISNUMBER($L$6)=FALSE,"",
        IF(ISERROR(VLOOKUP($G74,SantoYusuf!$L$13:$AK$56,Z$4,FALSE))=TRUE,"",
              VLOOKUP($G74,SantoYusuf!$L$13:$AK$56,Z$4,FALSE)))</f>
        <v/>
      </c>
      <c r="AA74" s="18" t="str">
        <f>IF(ISNUMBER($L$6)=FALSE,"",
        IF(ISERROR(VLOOKUP($G74,SantoYusuf!$L$13:$AK$56,AA$4,FALSE))=TRUE,"",
              VLOOKUP($G74,SantoYusuf!$L$13:$AK$56,AA$4,FALSE)))</f>
        <v/>
      </c>
      <c r="AB74" s="18" t="str">
        <f>IF(ISNUMBER($L$6)=FALSE,"",
        IF(ISERROR(VLOOKUP($G74,SantoYusuf!$L$13:$AK$56,AB$4,FALSE))=TRUE,"",
              VLOOKUP($G74,SantoYusuf!$L$13:$AK$56,AB$4,FALSE)))</f>
        <v/>
      </c>
      <c r="AC74" s="18" t="str">
        <f>IF(ISNUMBER($L$6)=FALSE,"",
        IF(ISERROR(VLOOKUP($G74,SantoYusuf!$L$13:$AK$56,AC$4,FALSE))=TRUE,"",
              VLOOKUP($G74,SantoYusuf!$L$13:$AK$56,AC$4,FALSE)))</f>
        <v/>
      </c>
      <c r="AD74" s="18" t="str">
        <f>IF(ISNUMBER($L$6)=FALSE,"",
        IF(ISERROR(VLOOKUP($G74,SantoYusuf!$L$13:$AK$56,AD$4,FALSE))=TRUE,"",
              VLOOKUP($G74,SantoYusuf!$L$13:$AK$56,AD$4,FALSE)))</f>
        <v/>
      </c>
      <c r="AE74" s="18" t="str">
        <f>IF(ISNUMBER($L$6)=FALSE,"",
        IF(ISERROR(VLOOKUP($G74,SantoYusuf!$L$13:$AK$56,AE$4,FALSE))=TRUE,"",
              VLOOKUP($G74,SantoYusuf!$L$13:$AK$56,AE$4,FALSE)))</f>
        <v/>
      </c>
      <c r="AF74" s="18" t="str">
        <f>IF(ISNUMBER($L$6)=FALSE,"",
        IF(ISERROR(VLOOKUP($G74,SantoYusuf!$L$13:$AK$56,AF$4,FALSE))=TRUE,"",
              VLOOKUP($G74,SantoYusuf!$L$13:$AK$56,AF$4,FALSE)))</f>
        <v/>
      </c>
    </row>
    <row r="75" spans="1:32" s="60" customFormat="1" ht="10.5" x14ac:dyDescent="0.25">
      <c r="A75" s="59"/>
      <c r="C75" s="59">
        <f t="shared" si="3"/>
        <v>62</v>
      </c>
      <c r="D75" s="61"/>
      <c r="E75" s="77" t="str">
        <f t="shared" si="4"/>
        <v/>
      </c>
      <c r="F75" s="77" t="str">
        <f>IF(ISNUMBER($L$6)=FALSE,"",
IF($C75=0,"",VLOOKUP($E75,SantoYusuf!$H$13:$L$56,4,FALSE)))</f>
        <v/>
      </c>
      <c r="G75" s="77" t="str">
        <f>IF(ISNUMBER($L$6)=FALSE,"",
IF($C75=0,"",VLOOKUP($E75,SantoYusuf!$H$13:$L$56,5,FALSE)))</f>
        <v/>
      </c>
      <c r="H75" s="17" t="str">
        <f t="shared" si="5"/>
        <v/>
      </c>
      <c r="I75" s="18" t="str">
        <f>IF(ISNUMBER($L$6)=FALSE,"",
        IF(ISERROR(VLOOKUP($G75,SantoYusuf!$L$13:$AK$56,I$4,FALSE))=TRUE,"",
              VLOOKUP($G75,SantoYusuf!$L$13:$AK$56,I$4,FALSE)))</f>
        <v/>
      </c>
      <c r="J75" s="18" t="str">
        <f>IF(ISNUMBER($L$6)=FALSE,"",
        IF(ISERROR(VLOOKUP($G75,SantoYusuf!$L$13:$AK$56,J$4,FALSE))=TRUE,"",
              VLOOKUP($G75,SantoYusuf!$L$13:$AK$56,J$4,FALSE)))</f>
        <v/>
      </c>
      <c r="K75" s="18" t="str">
        <f>IF(ISNUMBER($L$6)=FALSE,"",
        IF(ISERROR(VLOOKUP($G75,SantoYusuf!$L$13:$AK$56,K$4,FALSE))=TRUE,"",
              VLOOKUP($G75,SantoYusuf!$L$13:$AK$56,K$4,FALSE)))</f>
        <v/>
      </c>
      <c r="L75" s="18" t="str">
        <f>IF(ISNUMBER($L$6)=FALSE,"",
        IF(ISERROR(VLOOKUP($G75,SantoYusuf!$L$13:$AK$56,L$4,FALSE))=TRUE,"",
              VLOOKUP($G75,SantoYusuf!$L$13:$AK$56,L$4,FALSE)))</f>
        <v/>
      </c>
      <c r="M75" s="18" t="str">
        <f>IF(ISNUMBER($L$6)=FALSE,"",
        IF(ISERROR(VLOOKUP($G75,SantoYusuf!$L$13:$AK$56,M$4,FALSE))=TRUE,"",
              VLOOKUP($G75,SantoYusuf!$L$13:$AK$56,M$4,FALSE)))</f>
        <v/>
      </c>
      <c r="N75" s="18" t="str">
        <f>IF(ISNUMBER($L$6)=FALSE,"",
        IF(ISERROR(VLOOKUP($G75,SantoYusuf!$L$13:$AK$56,N$4,FALSE))=TRUE,"",
              VLOOKUP($G75,SantoYusuf!$L$13:$AK$56,N$4,FALSE)))</f>
        <v/>
      </c>
      <c r="O75" s="18" t="str">
        <f>IF(ISNUMBER($L$6)=FALSE,"",
        IF(ISERROR(VLOOKUP($G75,SantoYusuf!$L$13:$AK$56,O$4,FALSE))=TRUE,"",
              VLOOKUP($G75,SantoYusuf!$L$13:$AK$56,O$4,FALSE)))</f>
        <v/>
      </c>
      <c r="P75" s="18" t="str">
        <f>IF(ISNUMBER($L$6)=FALSE,"",
        IF(ISERROR(VLOOKUP($G75,SantoYusuf!$L$13:$AK$56,P$4,FALSE))=TRUE,"",
              VLOOKUP($G75,SantoYusuf!$L$13:$AK$56,P$4,FALSE)))</f>
        <v/>
      </c>
      <c r="Q75" s="18" t="str">
        <f>IF(ISNUMBER($L$6)=FALSE,"",
        IF(ISERROR(VLOOKUP($G75,SantoYusuf!$L$13:$AK$56,Q$4,FALSE))=TRUE,"",
              VLOOKUP($G75,SantoYusuf!$L$13:$AK$56,Q$4,FALSE)))</f>
        <v/>
      </c>
      <c r="R75" s="18" t="str">
        <f>IF(ISNUMBER($L$6)=FALSE,"",
        IF(ISERROR(VLOOKUP($G75,SantoYusuf!$L$13:$AK$56,R$4,FALSE))=TRUE,"",
              VLOOKUP($G75,SantoYusuf!$L$13:$AK$56,R$4,FALSE)))</f>
        <v/>
      </c>
      <c r="S75" s="18" t="str">
        <f>IF(ISNUMBER($L$6)=FALSE,"",
        IF(ISERROR(VLOOKUP($G75,SantoYusuf!$L$13:$AK$56,S$4,FALSE))=TRUE,"",
              VLOOKUP($G75,SantoYusuf!$L$13:$AK$56,S$4,FALSE)))</f>
        <v/>
      </c>
      <c r="T75" s="18" t="str">
        <f>IF(ISNUMBER($L$6)=FALSE,"",
        IF(ISERROR(VLOOKUP($G75,SantoYusuf!$L$13:$AK$56,T$4,FALSE))=TRUE,"",
              VLOOKUP($G75,SantoYusuf!$L$13:$AK$56,T$4,FALSE)))</f>
        <v/>
      </c>
      <c r="U75" s="18" t="str">
        <f>IF(ISNUMBER($L$6)=FALSE,"",
        IF(ISERROR(VLOOKUP($G75,SantoYusuf!$L$13:$AK$56,U$4,FALSE))=TRUE,"",
              VLOOKUP($G75,SantoYusuf!$L$13:$AK$56,U$4,FALSE)))</f>
        <v/>
      </c>
      <c r="V75" s="18" t="str">
        <f>IF(ISNUMBER($L$6)=FALSE,"",
        IF(ISERROR(VLOOKUP($G75,SantoYusuf!$L$13:$AK$56,V$4,FALSE))=TRUE,"",
              VLOOKUP($G75,SantoYusuf!$L$13:$AK$56,V$4,FALSE)))</f>
        <v/>
      </c>
      <c r="W75" s="18" t="str">
        <f>IF(ISNUMBER($L$6)=FALSE,"",
        IF(ISERROR(VLOOKUP($G75,SantoYusuf!$L$13:$AK$56,W$4,FALSE))=TRUE,"",
              VLOOKUP($G75,SantoYusuf!$L$13:$AK$56,W$4,FALSE)))</f>
        <v/>
      </c>
      <c r="X75" s="18" t="str">
        <f>IF(ISNUMBER($L$6)=FALSE,"",
        IF(ISERROR(VLOOKUP($G75,SantoYusuf!$L$13:$AK$56,X$4,FALSE))=TRUE,"",
              VLOOKUP($G75,SantoYusuf!$L$13:$AK$56,X$4,FALSE)))</f>
        <v/>
      </c>
      <c r="Y75" s="18" t="str">
        <f>IF(ISNUMBER($L$6)=FALSE,"",
        IF(ISERROR(VLOOKUP($G75,SantoYusuf!$L$13:$AK$56,Y$4,FALSE))=TRUE,"",
              VLOOKUP($G75,SantoYusuf!$L$13:$AK$56,Y$4,FALSE)))</f>
        <v/>
      </c>
      <c r="Z75" s="18" t="str">
        <f>IF(ISNUMBER($L$6)=FALSE,"",
        IF(ISERROR(VLOOKUP($G75,SantoYusuf!$L$13:$AK$56,Z$4,FALSE))=TRUE,"",
              VLOOKUP($G75,SantoYusuf!$L$13:$AK$56,Z$4,FALSE)))</f>
        <v/>
      </c>
      <c r="AA75" s="18" t="str">
        <f>IF(ISNUMBER($L$6)=FALSE,"",
        IF(ISERROR(VLOOKUP($G75,SantoYusuf!$L$13:$AK$56,AA$4,FALSE))=TRUE,"",
              VLOOKUP($G75,SantoYusuf!$L$13:$AK$56,AA$4,FALSE)))</f>
        <v/>
      </c>
      <c r="AB75" s="18" t="str">
        <f>IF(ISNUMBER($L$6)=FALSE,"",
        IF(ISERROR(VLOOKUP($G75,SantoYusuf!$L$13:$AK$56,AB$4,FALSE))=TRUE,"",
              VLOOKUP($G75,SantoYusuf!$L$13:$AK$56,AB$4,FALSE)))</f>
        <v/>
      </c>
      <c r="AC75" s="18" t="str">
        <f>IF(ISNUMBER($L$6)=FALSE,"",
        IF(ISERROR(VLOOKUP($G75,SantoYusuf!$L$13:$AK$56,AC$4,FALSE))=TRUE,"",
              VLOOKUP($G75,SantoYusuf!$L$13:$AK$56,AC$4,FALSE)))</f>
        <v/>
      </c>
      <c r="AD75" s="18" t="str">
        <f>IF(ISNUMBER($L$6)=FALSE,"",
        IF(ISERROR(VLOOKUP($G75,SantoYusuf!$L$13:$AK$56,AD$4,FALSE))=TRUE,"",
              VLOOKUP($G75,SantoYusuf!$L$13:$AK$56,AD$4,FALSE)))</f>
        <v/>
      </c>
      <c r="AE75" s="18" t="str">
        <f>IF(ISNUMBER($L$6)=FALSE,"",
        IF(ISERROR(VLOOKUP($G75,SantoYusuf!$L$13:$AK$56,AE$4,FALSE))=TRUE,"",
              VLOOKUP($G75,SantoYusuf!$L$13:$AK$56,AE$4,FALSE)))</f>
        <v/>
      </c>
      <c r="AF75" s="18" t="str">
        <f>IF(ISNUMBER($L$6)=FALSE,"",
        IF(ISERROR(VLOOKUP($G75,SantoYusuf!$L$13:$AK$56,AF$4,FALSE))=TRUE,"",
              VLOOKUP($G75,SantoYusuf!$L$13:$AK$56,AF$4,FALSE)))</f>
        <v/>
      </c>
    </row>
    <row r="76" spans="1:32" s="60" customFormat="1" ht="10.5" x14ac:dyDescent="0.25">
      <c r="A76" s="59"/>
      <c r="C76" s="59">
        <f t="shared" si="3"/>
        <v>63</v>
      </c>
      <c r="D76" s="61"/>
      <c r="E76" s="77" t="str">
        <f t="shared" si="4"/>
        <v/>
      </c>
      <c r="F76" s="77" t="str">
        <f>IF(ISNUMBER($L$6)=FALSE,"",
IF($C76=0,"",VLOOKUP($E76,SantoYusuf!$H$13:$L$56,4,FALSE)))</f>
        <v/>
      </c>
      <c r="G76" s="77" t="str">
        <f>IF(ISNUMBER($L$6)=FALSE,"",
IF($C76=0,"",VLOOKUP($E76,SantoYusuf!$H$13:$L$56,5,FALSE)))</f>
        <v/>
      </c>
      <c r="H76" s="17" t="str">
        <f t="shared" si="5"/>
        <v/>
      </c>
      <c r="I76" s="18" t="str">
        <f>IF(ISNUMBER($L$6)=FALSE,"",
        IF(ISERROR(VLOOKUP($G76,SantoYusuf!$L$13:$AK$56,I$4,FALSE))=TRUE,"",
              VLOOKUP($G76,SantoYusuf!$L$13:$AK$56,I$4,FALSE)))</f>
        <v/>
      </c>
      <c r="J76" s="18" t="str">
        <f>IF(ISNUMBER($L$6)=FALSE,"",
        IF(ISERROR(VLOOKUP($G76,SantoYusuf!$L$13:$AK$56,J$4,FALSE))=TRUE,"",
              VLOOKUP($G76,SantoYusuf!$L$13:$AK$56,J$4,FALSE)))</f>
        <v/>
      </c>
      <c r="K76" s="18" t="str">
        <f>IF(ISNUMBER($L$6)=FALSE,"",
        IF(ISERROR(VLOOKUP($G76,SantoYusuf!$L$13:$AK$56,K$4,FALSE))=TRUE,"",
              VLOOKUP($G76,SantoYusuf!$L$13:$AK$56,K$4,FALSE)))</f>
        <v/>
      </c>
      <c r="L76" s="18" t="str">
        <f>IF(ISNUMBER($L$6)=FALSE,"",
        IF(ISERROR(VLOOKUP($G76,SantoYusuf!$L$13:$AK$56,L$4,FALSE))=TRUE,"",
              VLOOKUP($G76,SantoYusuf!$L$13:$AK$56,L$4,FALSE)))</f>
        <v/>
      </c>
      <c r="M76" s="18" t="str">
        <f>IF(ISNUMBER($L$6)=FALSE,"",
        IF(ISERROR(VLOOKUP($G76,SantoYusuf!$L$13:$AK$56,M$4,FALSE))=TRUE,"",
              VLOOKUP($G76,SantoYusuf!$L$13:$AK$56,M$4,FALSE)))</f>
        <v/>
      </c>
      <c r="N76" s="18" t="str">
        <f>IF(ISNUMBER($L$6)=FALSE,"",
        IF(ISERROR(VLOOKUP($G76,SantoYusuf!$L$13:$AK$56,N$4,FALSE))=TRUE,"",
              VLOOKUP($G76,SantoYusuf!$L$13:$AK$56,N$4,FALSE)))</f>
        <v/>
      </c>
      <c r="O76" s="18" t="str">
        <f>IF(ISNUMBER($L$6)=FALSE,"",
        IF(ISERROR(VLOOKUP($G76,SantoYusuf!$L$13:$AK$56,O$4,FALSE))=TRUE,"",
              VLOOKUP($G76,SantoYusuf!$L$13:$AK$56,O$4,FALSE)))</f>
        <v/>
      </c>
      <c r="P76" s="18" t="str">
        <f>IF(ISNUMBER($L$6)=FALSE,"",
        IF(ISERROR(VLOOKUP($G76,SantoYusuf!$L$13:$AK$56,P$4,FALSE))=TRUE,"",
              VLOOKUP($G76,SantoYusuf!$L$13:$AK$56,P$4,FALSE)))</f>
        <v/>
      </c>
      <c r="Q76" s="18" t="str">
        <f>IF(ISNUMBER($L$6)=FALSE,"",
        IF(ISERROR(VLOOKUP($G76,SantoYusuf!$L$13:$AK$56,Q$4,FALSE))=TRUE,"",
              VLOOKUP($G76,SantoYusuf!$L$13:$AK$56,Q$4,FALSE)))</f>
        <v/>
      </c>
      <c r="R76" s="18" t="str">
        <f>IF(ISNUMBER($L$6)=FALSE,"",
        IF(ISERROR(VLOOKUP($G76,SantoYusuf!$L$13:$AK$56,R$4,FALSE))=TRUE,"",
              VLOOKUP($G76,SantoYusuf!$L$13:$AK$56,R$4,FALSE)))</f>
        <v/>
      </c>
      <c r="S76" s="18" t="str">
        <f>IF(ISNUMBER($L$6)=FALSE,"",
        IF(ISERROR(VLOOKUP($G76,SantoYusuf!$L$13:$AK$56,S$4,FALSE))=TRUE,"",
              VLOOKUP($G76,SantoYusuf!$L$13:$AK$56,S$4,FALSE)))</f>
        <v/>
      </c>
      <c r="T76" s="18" t="str">
        <f>IF(ISNUMBER($L$6)=FALSE,"",
        IF(ISERROR(VLOOKUP($G76,SantoYusuf!$L$13:$AK$56,T$4,FALSE))=TRUE,"",
              VLOOKUP($G76,SantoYusuf!$L$13:$AK$56,T$4,FALSE)))</f>
        <v/>
      </c>
      <c r="U76" s="18" t="str">
        <f>IF(ISNUMBER($L$6)=FALSE,"",
        IF(ISERROR(VLOOKUP($G76,SantoYusuf!$L$13:$AK$56,U$4,FALSE))=TRUE,"",
              VLOOKUP($G76,SantoYusuf!$L$13:$AK$56,U$4,FALSE)))</f>
        <v/>
      </c>
      <c r="V76" s="18" t="str">
        <f>IF(ISNUMBER($L$6)=FALSE,"",
        IF(ISERROR(VLOOKUP($G76,SantoYusuf!$L$13:$AK$56,V$4,FALSE))=TRUE,"",
              VLOOKUP($G76,SantoYusuf!$L$13:$AK$56,V$4,FALSE)))</f>
        <v/>
      </c>
      <c r="W76" s="18" t="str">
        <f>IF(ISNUMBER($L$6)=FALSE,"",
        IF(ISERROR(VLOOKUP($G76,SantoYusuf!$L$13:$AK$56,W$4,FALSE))=TRUE,"",
              VLOOKUP($G76,SantoYusuf!$L$13:$AK$56,W$4,FALSE)))</f>
        <v/>
      </c>
      <c r="X76" s="18" t="str">
        <f>IF(ISNUMBER($L$6)=FALSE,"",
        IF(ISERROR(VLOOKUP($G76,SantoYusuf!$L$13:$AK$56,X$4,FALSE))=TRUE,"",
              VLOOKUP($G76,SantoYusuf!$L$13:$AK$56,X$4,FALSE)))</f>
        <v/>
      </c>
      <c r="Y76" s="18" t="str">
        <f>IF(ISNUMBER($L$6)=FALSE,"",
        IF(ISERROR(VLOOKUP($G76,SantoYusuf!$L$13:$AK$56,Y$4,FALSE))=TRUE,"",
              VLOOKUP($G76,SantoYusuf!$L$13:$AK$56,Y$4,FALSE)))</f>
        <v/>
      </c>
      <c r="Z76" s="18" t="str">
        <f>IF(ISNUMBER($L$6)=FALSE,"",
        IF(ISERROR(VLOOKUP($G76,SantoYusuf!$L$13:$AK$56,Z$4,FALSE))=TRUE,"",
              VLOOKUP($G76,SantoYusuf!$L$13:$AK$56,Z$4,FALSE)))</f>
        <v/>
      </c>
      <c r="AA76" s="18" t="str">
        <f>IF(ISNUMBER($L$6)=FALSE,"",
        IF(ISERROR(VLOOKUP($G76,SantoYusuf!$L$13:$AK$56,AA$4,FALSE))=TRUE,"",
              VLOOKUP($G76,SantoYusuf!$L$13:$AK$56,AA$4,FALSE)))</f>
        <v/>
      </c>
      <c r="AB76" s="18" t="str">
        <f>IF(ISNUMBER($L$6)=FALSE,"",
        IF(ISERROR(VLOOKUP($G76,SantoYusuf!$L$13:$AK$56,AB$4,FALSE))=TRUE,"",
              VLOOKUP($G76,SantoYusuf!$L$13:$AK$56,AB$4,FALSE)))</f>
        <v/>
      </c>
      <c r="AC76" s="18" t="str">
        <f>IF(ISNUMBER($L$6)=FALSE,"",
        IF(ISERROR(VLOOKUP($G76,SantoYusuf!$L$13:$AK$56,AC$4,FALSE))=TRUE,"",
              VLOOKUP($G76,SantoYusuf!$L$13:$AK$56,AC$4,FALSE)))</f>
        <v/>
      </c>
      <c r="AD76" s="18" t="str">
        <f>IF(ISNUMBER($L$6)=FALSE,"",
        IF(ISERROR(VLOOKUP($G76,SantoYusuf!$L$13:$AK$56,AD$4,FALSE))=TRUE,"",
              VLOOKUP($G76,SantoYusuf!$L$13:$AK$56,AD$4,FALSE)))</f>
        <v/>
      </c>
      <c r="AE76" s="18" t="str">
        <f>IF(ISNUMBER($L$6)=FALSE,"",
        IF(ISERROR(VLOOKUP($G76,SantoYusuf!$L$13:$AK$56,AE$4,FALSE))=TRUE,"",
              VLOOKUP($G76,SantoYusuf!$L$13:$AK$56,AE$4,FALSE)))</f>
        <v/>
      </c>
      <c r="AF76" s="18" t="str">
        <f>IF(ISNUMBER($L$6)=FALSE,"",
        IF(ISERROR(VLOOKUP($G76,SantoYusuf!$L$13:$AK$56,AF$4,FALSE))=TRUE,"",
              VLOOKUP($G76,SantoYusuf!$L$13:$AK$56,AF$4,FALSE)))</f>
        <v/>
      </c>
    </row>
    <row r="77" spans="1:32" s="60" customFormat="1" ht="10.5" x14ac:dyDescent="0.25">
      <c r="A77" s="59"/>
      <c r="C77" s="59">
        <f t="shared" si="3"/>
        <v>64</v>
      </c>
      <c r="D77" s="61"/>
      <c r="E77" s="77" t="str">
        <f t="shared" si="4"/>
        <v/>
      </c>
      <c r="F77" s="77" t="str">
        <f>IF(ISNUMBER($L$6)=FALSE,"",
IF($C77=0,"",VLOOKUP($E77,SantoYusuf!$H$13:$L$56,4,FALSE)))</f>
        <v/>
      </c>
      <c r="G77" s="77" t="str">
        <f>IF(ISNUMBER($L$6)=FALSE,"",
IF($C77=0,"",VLOOKUP($E77,SantoYusuf!$H$13:$L$56,5,FALSE)))</f>
        <v/>
      </c>
      <c r="H77" s="17" t="str">
        <f t="shared" si="5"/>
        <v/>
      </c>
      <c r="I77" s="18" t="str">
        <f>IF(ISNUMBER($L$6)=FALSE,"",
        IF(ISERROR(VLOOKUP($G77,SantoYusuf!$L$13:$AK$56,I$4,FALSE))=TRUE,"",
              VLOOKUP($G77,SantoYusuf!$L$13:$AK$56,I$4,FALSE)))</f>
        <v/>
      </c>
      <c r="J77" s="18" t="str">
        <f>IF(ISNUMBER($L$6)=FALSE,"",
        IF(ISERROR(VLOOKUP($G77,SantoYusuf!$L$13:$AK$56,J$4,FALSE))=TRUE,"",
              VLOOKUP($G77,SantoYusuf!$L$13:$AK$56,J$4,FALSE)))</f>
        <v/>
      </c>
      <c r="K77" s="18" t="str">
        <f>IF(ISNUMBER($L$6)=FALSE,"",
        IF(ISERROR(VLOOKUP($G77,SantoYusuf!$L$13:$AK$56,K$4,FALSE))=TRUE,"",
              VLOOKUP($G77,SantoYusuf!$L$13:$AK$56,K$4,FALSE)))</f>
        <v/>
      </c>
      <c r="L77" s="18" t="str">
        <f>IF(ISNUMBER($L$6)=FALSE,"",
        IF(ISERROR(VLOOKUP($G77,SantoYusuf!$L$13:$AK$56,L$4,FALSE))=TRUE,"",
              VLOOKUP($G77,SantoYusuf!$L$13:$AK$56,L$4,FALSE)))</f>
        <v/>
      </c>
      <c r="M77" s="18" t="str">
        <f>IF(ISNUMBER($L$6)=FALSE,"",
        IF(ISERROR(VLOOKUP($G77,SantoYusuf!$L$13:$AK$56,M$4,FALSE))=TRUE,"",
              VLOOKUP($G77,SantoYusuf!$L$13:$AK$56,M$4,FALSE)))</f>
        <v/>
      </c>
      <c r="N77" s="18" t="str">
        <f>IF(ISNUMBER($L$6)=FALSE,"",
        IF(ISERROR(VLOOKUP($G77,SantoYusuf!$L$13:$AK$56,N$4,FALSE))=TRUE,"",
              VLOOKUP($G77,SantoYusuf!$L$13:$AK$56,N$4,FALSE)))</f>
        <v/>
      </c>
      <c r="O77" s="18" t="str">
        <f>IF(ISNUMBER($L$6)=FALSE,"",
        IF(ISERROR(VLOOKUP($G77,SantoYusuf!$L$13:$AK$56,O$4,FALSE))=TRUE,"",
              VLOOKUP($G77,SantoYusuf!$L$13:$AK$56,O$4,FALSE)))</f>
        <v/>
      </c>
      <c r="P77" s="18" t="str">
        <f>IF(ISNUMBER($L$6)=FALSE,"",
        IF(ISERROR(VLOOKUP($G77,SantoYusuf!$L$13:$AK$56,P$4,FALSE))=TRUE,"",
              VLOOKUP($G77,SantoYusuf!$L$13:$AK$56,P$4,FALSE)))</f>
        <v/>
      </c>
      <c r="Q77" s="18" t="str">
        <f>IF(ISNUMBER($L$6)=FALSE,"",
        IF(ISERROR(VLOOKUP($G77,SantoYusuf!$L$13:$AK$56,Q$4,FALSE))=TRUE,"",
              VLOOKUP($G77,SantoYusuf!$L$13:$AK$56,Q$4,FALSE)))</f>
        <v/>
      </c>
      <c r="R77" s="18" t="str">
        <f>IF(ISNUMBER($L$6)=FALSE,"",
        IF(ISERROR(VLOOKUP($G77,SantoYusuf!$L$13:$AK$56,R$4,FALSE))=TRUE,"",
              VLOOKUP($G77,SantoYusuf!$L$13:$AK$56,R$4,FALSE)))</f>
        <v/>
      </c>
      <c r="S77" s="18" t="str">
        <f>IF(ISNUMBER($L$6)=FALSE,"",
        IF(ISERROR(VLOOKUP($G77,SantoYusuf!$L$13:$AK$56,S$4,FALSE))=TRUE,"",
              VLOOKUP($G77,SantoYusuf!$L$13:$AK$56,S$4,FALSE)))</f>
        <v/>
      </c>
      <c r="T77" s="18" t="str">
        <f>IF(ISNUMBER($L$6)=FALSE,"",
        IF(ISERROR(VLOOKUP($G77,SantoYusuf!$L$13:$AK$56,T$4,FALSE))=TRUE,"",
              VLOOKUP($G77,SantoYusuf!$L$13:$AK$56,T$4,FALSE)))</f>
        <v/>
      </c>
      <c r="U77" s="18" t="str">
        <f>IF(ISNUMBER($L$6)=FALSE,"",
        IF(ISERROR(VLOOKUP($G77,SantoYusuf!$L$13:$AK$56,U$4,FALSE))=TRUE,"",
              VLOOKUP($G77,SantoYusuf!$L$13:$AK$56,U$4,FALSE)))</f>
        <v/>
      </c>
      <c r="V77" s="18" t="str">
        <f>IF(ISNUMBER($L$6)=FALSE,"",
        IF(ISERROR(VLOOKUP($G77,SantoYusuf!$L$13:$AK$56,V$4,FALSE))=TRUE,"",
              VLOOKUP($G77,SantoYusuf!$L$13:$AK$56,V$4,FALSE)))</f>
        <v/>
      </c>
      <c r="W77" s="18" t="str">
        <f>IF(ISNUMBER($L$6)=FALSE,"",
        IF(ISERROR(VLOOKUP($G77,SantoYusuf!$L$13:$AK$56,W$4,FALSE))=TRUE,"",
              VLOOKUP($G77,SantoYusuf!$L$13:$AK$56,W$4,FALSE)))</f>
        <v/>
      </c>
      <c r="X77" s="18" t="str">
        <f>IF(ISNUMBER($L$6)=FALSE,"",
        IF(ISERROR(VLOOKUP($G77,SantoYusuf!$L$13:$AK$56,X$4,FALSE))=TRUE,"",
              VLOOKUP($G77,SantoYusuf!$L$13:$AK$56,X$4,FALSE)))</f>
        <v/>
      </c>
      <c r="Y77" s="18" t="str">
        <f>IF(ISNUMBER($L$6)=FALSE,"",
        IF(ISERROR(VLOOKUP($G77,SantoYusuf!$L$13:$AK$56,Y$4,FALSE))=TRUE,"",
              VLOOKUP($G77,SantoYusuf!$L$13:$AK$56,Y$4,FALSE)))</f>
        <v/>
      </c>
      <c r="Z77" s="18" t="str">
        <f>IF(ISNUMBER($L$6)=FALSE,"",
        IF(ISERROR(VLOOKUP($G77,SantoYusuf!$L$13:$AK$56,Z$4,FALSE))=TRUE,"",
              VLOOKUP($G77,SantoYusuf!$L$13:$AK$56,Z$4,FALSE)))</f>
        <v/>
      </c>
      <c r="AA77" s="18" t="str">
        <f>IF(ISNUMBER($L$6)=FALSE,"",
        IF(ISERROR(VLOOKUP($G77,SantoYusuf!$L$13:$AK$56,AA$4,FALSE))=TRUE,"",
              VLOOKUP($G77,SantoYusuf!$L$13:$AK$56,AA$4,FALSE)))</f>
        <v/>
      </c>
      <c r="AB77" s="18" t="str">
        <f>IF(ISNUMBER($L$6)=FALSE,"",
        IF(ISERROR(VLOOKUP($G77,SantoYusuf!$L$13:$AK$56,AB$4,FALSE))=TRUE,"",
              VLOOKUP($G77,SantoYusuf!$L$13:$AK$56,AB$4,FALSE)))</f>
        <v/>
      </c>
      <c r="AC77" s="18" t="str">
        <f>IF(ISNUMBER($L$6)=FALSE,"",
        IF(ISERROR(VLOOKUP($G77,SantoYusuf!$L$13:$AK$56,AC$4,FALSE))=TRUE,"",
              VLOOKUP($G77,SantoYusuf!$L$13:$AK$56,AC$4,FALSE)))</f>
        <v/>
      </c>
      <c r="AD77" s="18" t="str">
        <f>IF(ISNUMBER($L$6)=FALSE,"",
        IF(ISERROR(VLOOKUP($G77,SantoYusuf!$L$13:$AK$56,AD$4,FALSE))=TRUE,"",
              VLOOKUP($G77,SantoYusuf!$L$13:$AK$56,AD$4,FALSE)))</f>
        <v/>
      </c>
      <c r="AE77" s="18" t="str">
        <f>IF(ISNUMBER($L$6)=FALSE,"",
        IF(ISERROR(VLOOKUP($G77,SantoYusuf!$L$13:$AK$56,AE$4,FALSE))=TRUE,"",
              VLOOKUP($G77,SantoYusuf!$L$13:$AK$56,AE$4,FALSE)))</f>
        <v/>
      </c>
      <c r="AF77" s="18" t="str">
        <f>IF(ISNUMBER($L$6)=FALSE,"",
        IF(ISERROR(VLOOKUP($G77,SantoYusuf!$L$13:$AK$56,AF$4,FALSE))=TRUE,"",
              VLOOKUP($G77,SantoYusuf!$L$13:$AK$56,AF$4,FALSE)))</f>
        <v/>
      </c>
    </row>
    <row r="78" spans="1:32" s="60" customFormat="1" ht="10.5" x14ac:dyDescent="0.25">
      <c r="A78" s="59"/>
      <c r="C78" s="59">
        <f t="shared" si="3"/>
        <v>65</v>
      </c>
      <c r="D78" s="61"/>
      <c r="E78" s="77" t="str">
        <f t="shared" si="4"/>
        <v/>
      </c>
      <c r="F78" s="77" t="str">
        <f>IF(ISNUMBER($L$6)=FALSE,"",
IF($C78=0,"",VLOOKUP($E78,SantoYusuf!$H$13:$L$56,4,FALSE)))</f>
        <v/>
      </c>
      <c r="G78" s="77" t="str">
        <f>IF(ISNUMBER($L$6)=FALSE,"",
IF($C78=0,"",VLOOKUP($E78,SantoYusuf!$H$13:$L$56,5,FALSE)))</f>
        <v/>
      </c>
      <c r="H78" s="17" t="str">
        <f t="shared" si="5"/>
        <v/>
      </c>
      <c r="I78" s="18" t="str">
        <f>IF(ISNUMBER($L$6)=FALSE,"",
        IF(ISERROR(VLOOKUP($G78,SantoYusuf!$L$13:$AK$56,I$4,FALSE))=TRUE,"",
              VLOOKUP($G78,SantoYusuf!$L$13:$AK$56,I$4,FALSE)))</f>
        <v/>
      </c>
      <c r="J78" s="18" t="str">
        <f>IF(ISNUMBER($L$6)=FALSE,"",
        IF(ISERROR(VLOOKUP($G78,SantoYusuf!$L$13:$AK$56,J$4,FALSE))=TRUE,"",
              VLOOKUP($G78,SantoYusuf!$L$13:$AK$56,J$4,FALSE)))</f>
        <v/>
      </c>
      <c r="K78" s="18" t="str">
        <f>IF(ISNUMBER($L$6)=FALSE,"",
        IF(ISERROR(VLOOKUP($G78,SantoYusuf!$L$13:$AK$56,K$4,FALSE))=TRUE,"",
              VLOOKUP($G78,SantoYusuf!$L$13:$AK$56,K$4,FALSE)))</f>
        <v/>
      </c>
      <c r="L78" s="18" t="str">
        <f>IF(ISNUMBER($L$6)=FALSE,"",
        IF(ISERROR(VLOOKUP($G78,SantoYusuf!$L$13:$AK$56,L$4,FALSE))=TRUE,"",
              VLOOKUP($G78,SantoYusuf!$L$13:$AK$56,L$4,FALSE)))</f>
        <v/>
      </c>
      <c r="M78" s="18" t="str">
        <f>IF(ISNUMBER($L$6)=FALSE,"",
        IF(ISERROR(VLOOKUP($G78,SantoYusuf!$L$13:$AK$56,M$4,FALSE))=TRUE,"",
              VLOOKUP($G78,SantoYusuf!$L$13:$AK$56,M$4,FALSE)))</f>
        <v/>
      </c>
      <c r="N78" s="18" t="str">
        <f>IF(ISNUMBER($L$6)=FALSE,"",
        IF(ISERROR(VLOOKUP($G78,SantoYusuf!$L$13:$AK$56,N$4,FALSE))=TRUE,"",
              VLOOKUP($G78,SantoYusuf!$L$13:$AK$56,N$4,FALSE)))</f>
        <v/>
      </c>
      <c r="O78" s="18" t="str">
        <f>IF(ISNUMBER($L$6)=FALSE,"",
        IF(ISERROR(VLOOKUP($G78,SantoYusuf!$L$13:$AK$56,O$4,FALSE))=TRUE,"",
              VLOOKUP($G78,SantoYusuf!$L$13:$AK$56,O$4,FALSE)))</f>
        <v/>
      </c>
      <c r="P78" s="18" t="str">
        <f>IF(ISNUMBER($L$6)=FALSE,"",
        IF(ISERROR(VLOOKUP($G78,SantoYusuf!$L$13:$AK$56,P$4,FALSE))=TRUE,"",
              VLOOKUP($G78,SantoYusuf!$L$13:$AK$56,P$4,FALSE)))</f>
        <v/>
      </c>
      <c r="Q78" s="18" t="str">
        <f>IF(ISNUMBER($L$6)=FALSE,"",
        IF(ISERROR(VLOOKUP($G78,SantoYusuf!$L$13:$AK$56,Q$4,FALSE))=TRUE,"",
              VLOOKUP($G78,SantoYusuf!$L$13:$AK$56,Q$4,FALSE)))</f>
        <v/>
      </c>
      <c r="R78" s="18" t="str">
        <f>IF(ISNUMBER($L$6)=FALSE,"",
        IF(ISERROR(VLOOKUP($G78,SantoYusuf!$L$13:$AK$56,R$4,FALSE))=TRUE,"",
              VLOOKUP($G78,SantoYusuf!$L$13:$AK$56,R$4,FALSE)))</f>
        <v/>
      </c>
      <c r="S78" s="18" t="str">
        <f>IF(ISNUMBER($L$6)=FALSE,"",
        IF(ISERROR(VLOOKUP($G78,SantoYusuf!$L$13:$AK$56,S$4,FALSE))=TRUE,"",
              VLOOKUP($G78,SantoYusuf!$L$13:$AK$56,S$4,FALSE)))</f>
        <v/>
      </c>
      <c r="T78" s="18" t="str">
        <f>IF(ISNUMBER($L$6)=FALSE,"",
        IF(ISERROR(VLOOKUP($G78,SantoYusuf!$L$13:$AK$56,T$4,FALSE))=TRUE,"",
              VLOOKUP($G78,SantoYusuf!$L$13:$AK$56,T$4,FALSE)))</f>
        <v/>
      </c>
      <c r="U78" s="18" t="str">
        <f>IF(ISNUMBER($L$6)=FALSE,"",
        IF(ISERROR(VLOOKUP($G78,SantoYusuf!$L$13:$AK$56,U$4,FALSE))=TRUE,"",
              VLOOKUP($G78,SantoYusuf!$L$13:$AK$56,U$4,FALSE)))</f>
        <v/>
      </c>
      <c r="V78" s="18" t="str">
        <f>IF(ISNUMBER($L$6)=FALSE,"",
        IF(ISERROR(VLOOKUP($G78,SantoYusuf!$L$13:$AK$56,V$4,FALSE))=TRUE,"",
              VLOOKUP($G78,SantoYusuf!$L$13:$AK$56,V$4,FALSE)))</f>
        <v/>
      </c>
      <c r="W78" s="18" t="str">
        <f>IF(ISNUMBER($L$6)=FALSE,"",
        IF(ISERROR(VLOOKUP($G78,SantoYusuf!$L$13:$AK$56,W$4,FALSE))=TRUE,"",
              VLOOKUP($G78,SantoYusuf!$L$13:$AK$56,W$4,FALSE)))</f>
        <v/>
      </c>
      <c r="X78" s="18" t="str">
        <f>IF(ISNUMBER($L$6)=FALSE,"",
        IF(ISERROR(VLOOKUP($G78,SantoYusuf!$L$13:$AK$56,X$4,FALSE))=TRUE,"",
              VLOOKUP($G78,SantoYusuf!$L$13:$AK$56,X$4,FALSE)))</f>
        <v/>
      </c>
      <c r="Y78" s="18" t="str">
        <f>IF(ISNUMBER($L$6)=FALSE,"",
        IF(ISERROR(VLOOKUP($G78,SantoYusuf!$L$13:$AK$56,Y$4,FALSE))=TRUE,"",
              VLOOKUP($G78,SantoYusuf!$L$13:$AK$56,Y$4,FALSE)))</f>
        <v/>
      </c>
      <c r="Z78" s="18" t="str">
        <f>IF(ISNUMBER($L$6)=FALSE,"",
        IF(ISERROR(VLOOKUP($G78,SantoYusuf!$L$13:$AK$56,Z$4,FALSE))=TRUE,"",
              VLOOKUP($G78,SantoYusuf!$L$13:$AK$56,Z$4,FALSE)))</f>
        <v/>
      </c>
      <c r="AA78" s="18" t="str">
        <f>IF(ISNUMBER($L$6)=FALSE,"",
        IF(ISERROR(VLOOKUP($G78,SantoYusuf!$L$13:$AK$56,AA$4,FALSE))=TRUE,"",
              VLOOKUP($G78,SantoYusuf!$L$13:$AK$56,AA$4,FALSE)))</f>
        <v/>
      </c>
      <c r="AB78" s="18" t="str">
        <f>IF(ISNUMBER($L$6)=FALSE,"",
        IF(ISERROR(VLOOKUP($G78,SantoYusuf!$L$13:$AK$56,AB$4,FALSE))=TRUE,"",
              VLOOKUP($G78,SantoYusuf!$L$13:$AK$56,AB$4,FALSE)))</f>
        <v/>
      </c>
      <c r="AC78" s="18" t="str">
        <f>IF(ISNUMBER($L$6)=FALSE,"",
        IF(ISERROR(VLOOKUP($G78,SantoYusuf!$L$13:$AK$56,AC$4,FALSE))=TRUE,"",
              VLOOKUP($G78,SantoYusuf!$L$13:$AK$56,AC$4,FALSE)))</f>
        <v/>
      </c>
      <c r="AD78" s="18" t="str">
        <f>IF(ISNUMBER($L$6)=FALSE,"",
        IF(ISERROR(VLOOKUP($G78,SantoYusuf!$L$13:$AK$56,AD$4,FALSE))=TRUE,"",
              VLOOKUP($G78,SantoYusuf!$L$13:$AK$56,AD$4,FALSE)))</f>
        <v/>
      </c>
      <c r="AE78" s="18" t="str">
        <f>IF(ISNUMBER($L$6)=FALSE,"",
        IF(ISERROR(VLOOKUP($G78,SantoYusuf!$L$13:$AK$56,AE$4,FALSE))=TRUE,"",
              VLOOKUP($G78,SantoYusuf!$L$13:$AK$56,AE$4,FALSE)))</f>
        <v/>
      </c>
      <c r="AF78" s="18" t="str">
        <f>IF(ISNUMBER($L$6)=FALSE,"",
        IF(ISERROR(VLOOKUP($G78,SantoYusuf!$L$13:$AK$56,AF$4,FALSE))=TRUE,"",
              VLOOKUP($G78,SantoYusuf!$L$13:$AK$56,AF$4,FALSE)))</f>
        <v/>
      </c>
    </row>
    <row r="79" spans="1:32" s="60" customFormat="1" ht="10.5" x14ac:dyDescent="0.25">
      <c r="A79" s="59"/>
      <c r="C79" s="59">
        <f t="shared" ref="C79:C113" si="6">IF($C78=$C$4,0,
       IF($C78=0,0,$C78+1))</f>
        <v>66</v>
      </c>
      <c r="D79" s="61"/>
      <c r="E79" s="77" t="str">
        <f t="shared" ref="E79:E113" si="7">IF(ISNUMBER($L$6)=FALSE,"",
IF($C79=0,"",$C79))</f>
        <v/>
      </c>
      <c r="F79" s="77" t="str">
        <f>IF(ISNUMBER($L$6)=FALSE,"",
IF($C79=0,"",VLOOKUP($E79,SantoYusuf!$H$13:$L$56,4,FALSE)))</f>
        <v/>
      </c>
      <c r="G79" s="77" t="str">
        <f>IF(ISNUMBER($L$6)=FALSE,"",
IF($C79=0,"",VLOOKUP($E79,SantoYusuf!$H$13:$L$56,5,FALSE)))</f>
        <v/>
      </c>
      <c r="H79" s="17" t="str">
        <f t="shared" ref="H79:H113" si="8">IF(ISNUMBER($L$6)=FALSE,"",
IF($C79=0,"",SUM(I79:AF79)))</f>
        <v/>
      </c>
      <c r="I79" s="18" t="str">
        <f>IF(ISNUMBER($L$6)=FALSE,"",
        IF(ISERROR(VLOOKUP($G79,SantoYusuf!$L$13:$AK$56,I$4,FALSE))=TRUE,"",
              VLOOKUP($G79,SantoYusuf!$L$13:$AK$56,I$4,FALSE)))</f>
        <v/>
      </c>
      <c r="J79" s="18" t="str">
        <f>IF(ISNUMBER($L$6)=FALSE,"",
        IF(ISERROR(VLOOKUP($G79,SantoYusuf!$L$13:$AK$56,J$4,FALSE))=TRUE,"",
              VLOOKUP($G79,SantoYusuf!$L$13:$AK$56,J$4,FALSE)))</f>
        <v/>
      </c>
      <c r="K79" s="18" t="str">
        <f>IF(ISNUMBER($L$6)=FALSE,"",
        IF(ISERROR(VLOOKUP($G79,SantoYusuf!$L$13:$AK$56,K$4,FALSE))=TRUE,"",
              VLOOKUP($G79,SantoYusuf!$L$13:$AK$56,K$4,FALSE)))</f>
        <v/>
      </c>
      <c r="L79" s="18" t="str">
        <f>IF(ISNUMBER($L$6)=FALSE,"",
        IF(ISERROR(VLOOKUP($G79,SantoYusuf!$L$13:$AK$56,L$4,FALSE))=TRUE,"",
              VLOOKUP($G79,SantoYusuf!$L$13:$AK$56,L$4,FALSE)))</f>
        <v/>
      </c>
      <c r="M79" s="18" t="str">
        <f>IF(ISNUMBER($L$6)=FALSE,"",
        IF(ISERROR(VLOOKUP($G79,SantoYusuf!$L$13:$AK$56,M$4,FALSE))=TRUE,"",
              VLOOKUP($G79,SantoYusuf!$L$13:$AK$56,M$4,FALSE)))</f>
        <v/>
      </c>
      <c r="N79" s="18" t="str">
        <f>IF(ISNUMBER($L$6)=FALSE,"",
        IF(ISERROR(VLOOKUP($G79,SantoYusuf!$L$13:$AK$56,N$4,FALSE))=TRUE,"",
              VLOOKUP($G79,SantoYusuf!$L$13:$AK$56,N$4,FALSE)))</f>
        <v/>
      </c>
      <c r="O79" s="18" t="str">
        <f>IF(ISNUMBER($L$6)=FALSE,"",
        IF(ISERROR(VLOOKUP($G79,SantoYusuf!$L$13:$AK$56,O$4,FALSE))=TRUE,"",
              VLOOKUP($G79,SantoYusuf!$L$13:$AK$56,O$4,FALSE)))</f>
        <v/>
      </c>
      <c r="P79" s="18" t="str">
        <f>IF(ISNUMBER($L$6)=FALSE,"",
        IF(ISERROR(VLOOKUP($G79,SantoYusuf!$L$13:$AK$56,P$4,FALSE))=TRUE,"",
              VLOOKUP($G79,SantoYusuf!$L$13:$AK$56,P$4,FALSE)))</f>
        <v/>
      </c>
      <c r="Q79" s="18" t="str">
        <f>IF(ISNUMBER($L$6)=FALSE,"",
        IF(ISERROR(VLOOKUP($G79,SantoYusuf!$L$13:$AK$56,Q$4,FALSE))=TRUE,"",
              VLOOKUP($G79,SantoYusuf!$L$13:$AK$56,Q$4,FALSE)))</f>
        <v/>
      </c>
      <c r="R79" s="18" t="str">
        <f>IF(ISNUMBER($L$6)=FALSE,"",
        IF(ISERROR(VLOOKUP($G79,SantoYusuf!$L$13:$AK$56,R$4,FALSE))=TRUE,"",
              VLOOKUP($G79,SantoYusuf!$L$13:$AK$56,R$4,FALSE)))</f>
        <v/>
      </c>
      <c r="S79" s="18" t="str">
        <f>IF(ISNUMBER($L$6)=FALSE,"",
        IF(ISERROR(VLOOKUP($G79,SantoYusuf!$L$13:$AK$56,S$4,FALSE))=TRUE,"",
              VLOOKUP($G79,SantoYusuf!$L$13:$AK$56,S$4,FALSE)))</f>
        <v/>
      </c>
      <c r="T79" s="18" t="str">
        <f>IF(ISNUMBER($L$6)=FALSE,"",
        IF(ISERROR(VLOOKUP($G79,SantoYusuf!$L$13:$AK$56,T$4,FALSE))=TRUE,"",
              VLOOKUP($G79,SantoYusuf!$L$13:$AK$56,T$4,FALSE)))</f>
        <v/>
      </c>
      <c r="U79" s="18" t="str">
        <f>IF(ISNUMBER($L$6)=FALSE,"",
        IF(ISERROR(VLOOKUP($G79,SantoYusuf!$L$13:$AK$56,U$4,FALSE))=TRUE,"",
              VLOOKUP($G79,SantoYusuf!$L$13:$AK$56,U$4,FALSE)))</f>
        <v/>
      </c>
      <c r="V79" s="18" t="str">
        <f>IF(ISNUMBER($L$6)=FALSE,"",
        IF(ISERROR(VLOOKUP($G79,SantoYusuf!$L$13:$AK$56,V$4,FALSE))=TRUE,"",
              VLOOKUP($G79,SantoYusuf!$L$13:$AK$56,V$4,FALSE)))</f>
        <v/>
      </c>
      <c r="W79" s="18" t="str">
        <f>IF(ISNUMBER($L$6)=FALSE,"",
        IF(ISERROR(VLOOKUP($G79,SantoYusuf!$L$13:$AK$56,W$4,FALSE))=TRUE,"",
              VLOOKUP($G79,SantoYusuf!$L$13:$AK$56,W$4,FALSE)))</f>
        <v/>
      </c>
      <c r="X79" s="18" t="str">
        <f>IF(ISNUMBER($L$6)=FALSE,"",
        IF(ISERROR(VLOOKUP($G79,SantoYusuf!$L$13:$AK$56,X$4,FALSE))=TRUE,"",
              VLOOKUP($G79,SantoYusuf!$L$13:$AK$56,X$4,FALSE)))</f>
        <v/>
      </c>
      <c r="Y79" s="18" t="str">
        <f>IF(ISNUMBER($L$6)=FALSE,"",
        IF(ISERROR(VLOOKUP($G79,SantoYusuf!$L$13:$AK$56,Y$4,FALSE))=TRUE,"",
              VLOOKUP($G79,SantoYusuf!$L$13:$AK$56,Y$4,FALSE)))</f>
        <v/>
      </c>
      <c r="Z79" s="18" t="str">
        <f>IF(ISNUMBER($L$6)=FALSE,"",
        IF(ISERROR(VLOOKUP($G79,SantoYusuf!$L$13:$AK$56,Z$4,FALSE))=TRUE,"",
              VLOOKUP($G79,SantoYusuf!$L$13:$AK$56,Z$4,FALSE)))</f>
        <v/>
      </c>
      <c r="AA79" s="18" t="str">
        <f>IF(ISNUMBER($L$6)=FALSE,"",
        IF(ISERROR(VLOOKUP($G79,SantoYusuf!$L$13:$AK$56,AA$4,FALSE))=TRUE,"",
              VLOOKUP($G79,SantoYusuf!$L$13:$AK$56,AA$4,FALSE)))</f>
        <v/>
      </c>
      <c r="AB79" s="18" t="str">
        <f>IF(ISNUMBER($L$6)=FALSE,"",
        IF(ISERROR(VLOOKUP($G79,SantoYusuf!$L$13:$AK$56,AB$4,FALSE))=TRUE,"",
              VLOOKUP($G79,SantoYusuf!$L$13:$AK$56,AB$4,FALSE)))</f>
        <v/>
      </c>
      <c r="AC79" s="18" t="str">
        <f>IF(ISNUMBER($L$6)=FALSE,"",
        IF(ISERROR(VLOOKUP($G79,SantoYusuf!$L$13:$AK$56,AC$4,FALSE))=TRUE,"",
              VLOOKUP($G79,SantoYusuf!$L$13:$AK$56,AC$4,FALSE)))</f>
        <v/>
      </c>
      <c r="AD79" s="18" t="str">
        <f>IF(ISNUMBER($L$6)=FALSE,"",
        IF(ISERROR(VLOOKUP($G79,SantoYusuf!$L$13:$AK$56,AD$4,FALSE))=TRUE,"",
              VLOOKUP($G79,SantoYusuf!$L$13:$AK$56,AD$4,FALSE)))</f>
        <v/>
      </c>
      <c r="AE79" s="18" t="str">
        <f>IF(ISNUMBER($L$6)=FALSE,"",
        IF(ISERROR(VLOOKUP($G79,SantoYusuf!$L$13:$AK$56,AE$4,FALSE))=TRUE,"",
              VLOOKUP($G79,SantoYusuf!$L$13:$AK$56,AE$4,FALSE)))</f>
        <v/>
      </c>
      <c r="AF79" s="18" t="str">
        <f>IF(ISNUMBER($L$6)=FALSE,"",
        IF(ISERROR(VLOOKUP($G79,SantoYusuf!$L$13:$AK$56,AF$4,FALSE))=TRUE,"",
              VLOOKUP($G79,SantoYusuf!$L$13:$AK$56,AF$4,FALSE)))</f>
        <v/>
      </c>
    </row>
    <row r="80" spans="1:32" s="60" customFormat="1" ht="10.5" x14ac:dyDescent="0.25">
      <c r="A80" s="59"/>
      <c r="C80" s="59">
        <f t="shared" si="6"/>
        <v>67</v>
      </c>
      <c r="D80" s="61"/>
      <c r="E80" s="77" t="str">
        <f t="shared" si="7"/>
        <v/>
      </c>
      <c r="F80" s="77" t="str">
        <f>IF(ISNUMBER($L$6)=FALSE,"",
IF($C80=0,"",VLOOKUP($E80,SantoYusuf!$H$13:$L$56,4,FALSE)))</f>
        <v/>
      </c>
      <c r="G80" s="77" t="str">
        <f>IF(ISNUMBER($L$6)=FALSE,"",
IF($C80=0,"",VLOOKUP($E80,SantoYusuf!$H$13:$L$56,5,FALSE)))</f>
        <v/>
      </c>
      <c r="H80" s="17" t="str">
        <f t="shared" si="8"/>
        <v/>
      </c>
      <c r="I80" s="18" t="str">
        <f>IF(ISNUMBER($L$6)=FALSE,"",
        IF(ISERROR(VLOOKUP($G80,SantoYusuf!$L$13:$AK$56,I$4,FALSE))=TRUE,"",
              VLOOKUP($G80,SantoYusuf!$L$13:$AK$56,I$4,FALSE)))</f>
        <v/>
      </c>
      <c r="J80" s="18" t="str">
        <f>IF(ISNUMBER($L$6)=FALSE,"",
        IF(ISERROR(VLOOKUP($G80,SantoYusuf!$L$13:$AK$56,J$4,FALSE))=TRUE,"",
              VLOOKUP($G80,SantoYusuf!$L$13:$AK$56,J$4,FALSE)))</f>
        <v/>
      </c>
      <c r="K80" s="18" t="str">
        <f>IF(ISNUMBER($L$6)=FALSE,"",
        IF(ISERROR(VLOOKUP($G80,SantoYusuf!$L$13:$AK$56,K$4,FALSE))=TRUE,"",
              VLOOKUP($G80,SantoYusuf!$L$13:$AK$56,K$4,FALSE)))</f>
        <v/>
      </c>
      <c r="L80" s="18" t="str">
        <f>IF(ISNUMBER($L$6)=FALSE,"",
        IF(ISERROR(VLOOKUP($G80,SantoYusuf!$L$13:$AK$56,L$4,FALSE))=TRUE,"",
              VLOOKUP($G80,SantoYusuf!$L$13:$AK$56,L$4,FALSE)))</f>
        <v/>
      </c>
      <c r="M80" s="18" t="str">
        <f>IF(ISNUMBER($L$6)=FALSE,"",
        IF(ISERROR(VLOOKUP($G80,SantoYusuf!$L$13:$AK$56,M$4,FALSE))=TRUE,"",
              VLOOKUP($G80,SantoYusuf!$L$13:$AK$56,M$4,FALSE)))</f>
        <v/>
      </c>
      <c r="N80" s="18" t="str">
        <f>IF(ISNUMBER($L$6)=FALSE,"",
        IF(ISERROR(VLOOKUP($G80,SantoYusuf!$L$13:$AK$56,N$4,FALSE))=TRUE,"",
              VLOOKUP($G80,SantoYusuf!$L$13:$AK$56,N$4,FALSE)))</f>
        <v/>
      </c>
      <c r="O80" s="18" t="str">
        <f>IF(ISNUMBER($L$6)=FALSE,"",
        IF(ISERROR(VLOOKUP($G80,SantoYusuf!$L$13:$AK$56,O$4,FALSE))=TRUE,"",
              VLOOKUP($G80,SantoYusuf!$L$13:$AK$56,O$4,FALSE)))</f>
        <v/>
      </c>
      <c r="P80" s="18" t="str">
        <f>IF(ISNUMBER($L$6)=FALSE,"",
        IF(ISERROR(VLOOKUP($G80,SantoYusuf!$L$13:$AK$56,P$4,FALSE))=TRUE,"",
              VLOOKUP($G80,SantoYusuf!$L$13:$AK$56,P$4,FALSE)))</f>
        <v/>
      </c>
      <c r="Q80" s="18" t="str">
        <f>IF(ISNUMBER($L$6)=FALSE,"",
        IF(ISERROR(VLOOKUP($G80,SantoYusuf!$L$13:$AK$56,Q$4,FALSE))=TRUE,"",
              VLOOKUP($G80,SantoYusuf!$L$13:$AK$56,Q$4,FALSE)))</f>
        <v/>
      </c>
      <c r="R80" s="18" t="str">
        <f>IF(ISNUMBER($L$6)=FALSE,"",
        IF(ISERROR(VLOOKUP($G80,SantoYusuf!$L$13:$AK$56,R$4,FALSE))=TRUE,"",
              VLOOKUP($G80,SantoYusuf!$L$13:$AK$56,R$4,FALSE)))</f>
        <v/>
      </c>
      <c r="S80" s="18" t="str">
        <f>IF(ISNUMBER($L$6)=FALSE,"",
        IF(ISERROR(VLOOKUP($G80,SantoYusuf!$L$13:$AK$56,S$4,FALSE))=TRUE,"",
              VLOOKUP($G80,SantoYusuf!$L$13:$AK$56,S$4,FALSE)))</f>
        <v/>
      </c>
      <c r="T80" s="18" t="str">
        <f>IF(ISNUMBER($L$6)=FALSE,"",
        IF(ISERROR(VLOOKUP($G80,SantoYusuf!$L$13:$AK$56,T$4,FALSE))=TRUE,"",
              VLOOKUP($G80,SantoYusuf!$L$13:$AK$56,T$4,FALSE)))</f>
        <v/>
      </c>
      <c r="U80" s="18" t="str">
        <f>IF(ISNUMBER($L$6)=FALSE,"",
        IF(ISERROR(VLOOKUP($G80,SantoYusuf!$L$13:$AK$56,U$4,FALSE))=TRUE,"",
              VLOOKUP($G80,SantoYusuf!$L$13:$AK$56,U$4,FALSE)))</f>
        <v/>
      </c>
      <c r="V80" s="18" t="str">
        <f>IF(ISNUMBER($L$6)=FALSE,"",
        IF(ISERROR(VLOOKUP($G80,SantoYusuf!$L$13:$AK$56,V$4,FALSE))=TRUE,"",
              VLOOKUP($G80,SantoYusuf!$L$13:$AK$56,V$4,FALSE)))</f>
        <v/>
      </c>
      <c r="W80" s="18" t="str">
        <f>IF(ISNUMBER($L$6)=FALSE,"",
        IF(ISERROR(VLOOKUP($G80,SantoYusuf!$L$13:$AK$56,W$4,FALSE))=TRUE,"",
              VLOOKUP($G80,SantoYusuf!$L$13:$AK$56,W$4,FALSE)))</f>
        <v/>
      </c>
      <c r="X80" s="18" t="str">
        <f>IF(ISNUMBER($L$6)=FALSE,"",
        IF(ISERROR(VLOOKUP($G80,SantoYusuf!$L$13:$AK$56,X$4,FALSE))=TRUE,"",
              VLOOKUP($G80,SantoYusuf!$L$13:$AK$56,X$4,FALSE)))</f>
        <v/>
      </c>
      <c r="Y80" s="18" t="str">
        <f>IF(ISNUMBER($L$6)=FALSE,"",
        IF(ISERROR(VLOOKUP($G80,SantoYusuf!$L$13:$AK$56,Y$4,FALSE))=TRUE,"",
              VLOOKUP($G80,SantoYusuf!$L$13:$AK$56,Y$4,FALSE)))</f>
        <v/>
      </c>
      <c r="Z80" s="18" t="str">
        <f>IF(ISNUMBER($L$6)=FALSE,"",
        IF(ISERROR(VLOOKUP($G80,SantoYusuf!$L$13:$AK$56,Z$4,FALSE))=TRUE,"",
              VLOOKUP($G80,SantoYusuf!$L$13:$AK$56,Z$4,FALSE)))</f>
        <v/>
      </c>
      <c r="AA80" s="18" t="str">
        <f>IF(ISNUMBER($L$6)=FALSE,"",
        IF(ISERROR(VLOOKUP($G80,SantoYusuf!$L$13:$AK$56,AA$4,FALSE))=TRUE,"",
              VLOOKUP($G80,SantoYusuf!$L$13:$AK$56,AA$4,FALSE)))</f>
        <v/>
      </c>
      <c r="AB80" s="18" t="str">
        <f>IF(ISNUMBER($L$6)=FALSE,"",
        IF(ISERROR(VLOOKUP($G80,SantoYusuf!$L$13:$AK$56,AB$4,FALSE))=TRUE,"",
              VLOOKUP($G80,SantoYusuf!$L$13:$AK$56,AB$4,FALSE)))</f>
        <v/>
      </c>
      <c r="AC80" s="18" t="str">
        <f>IF(ISNUMBER($L$6)=FALSE,"",
        IF(ISERROR(VLOOKUP($G80,SantoYusuf!$L$13:$AK$56,AC$4,FALSE))=TRUE,"",
              VLOOKUP($G80,SantoYusuf!$L$13:$AK$56,AC$4,FALSE)))</f>
        <v/>
      </c>
      <c r="AD80" s="18" t="str">
        <f>IF(ISNUMBER($L$6)=FALSE,"",
        IF(ISERROR(VLOOKUP($G80,SantoYusuf!$L$13:$AK$56,AD$4,FALSE))=TRUE,"",
              VLOOKUP($G80,SantoYusuf!$L$13:$AK$56,AD$4,FALSE)))</f>
        <v/>
      </c>
      <c r="AE80" s="18" t="str">
        <f>IF(ISNUMBER($L$6)=FALSE,"",
        IF(ISERROR(VLOOKUP($G80,SantoYusuf!$L$13:$AK$56,AE$4,FALSE))=TRUE,"",
              VLOOKUP($G80,SantoYusuf!$L$13:$AK$56,AE$4,FALSE)))</f>
        <v/>
      </c>
      <c r="AF80" s="18" t="str">
        <f>IF(ISNUMBER($L$6)=FALSE,"",
        IF(ISERROR(VLOOKUP($G80,SantoYusuf!$L$13:$AK$56,AF$4,FALSE))=TRUE,"",
              VLOOKUP($G80,SantoYusuf!$L$13:$AK$56,AF$4,FALSE)))</f>
        <v/>
      </c>
    </row>
    <row r="81" spans="1:32" s="60" customFormat="1" ht="10.5" x14ac:dyDescent="0.25">
      <c r="A81" s="59"/>
      <c r="C81" s="59">
        <f t="shared" si="6"/>
        <v>68</v>
      </c>
      <c r="D81" s="61"/>
      <c r="E81" s="77" t="str">
        <f t="shared" si="7"/>
        <v/>
      </c>
      <c r="F81" s="77" t="str">
        <f>IF(ISNUMBER($L$6)=FALSE,"",
IF($C81=0,"",VLOOKUP($E81,SantoYusuf!$H$13:$L$56,4,FALSE)))</f>
        <v/>
      </c>
      <c r="G81" s="77" t="str">
        <f>IF(ISNUMBER($L$6)=FALSE,"",
IF($C81=0,"",VLOOKUP($E81,SantoYusuf!$H$13:$L$56,5,FALSE)))</f>
        <v/>
      </c>
      <c r="H81" s="17" t="str">
        <f t="shared" si="8"/>
        <v/>
      </c>
      <c r="I81" s="18" t="str">
        <f>IF(ISNUMBER($L$6)=FALSE,"",
        IF(ISERROR(VLOOKUP($G81,SantoYusuf!$L$13:$AK$56,I$4,FALSE))=TRUE,"",
              VLOOKUP($G81,SantoYusuf!$L$13:$AK$56,I$4,FALSE)))</f>
        <v/>
      </c>
      <c r="J81" s="18" t="str">
        <f>IF(ISNUMBER($L$6)=FALSE,"",
        IF(ISERROR(VLOOKUP($G81,SantoYusuf!$L$13:$AK$56,J$4,FALSE))=TRUE,"",
              VLOOKUP($G81,SantoYusuf!$L$13:$AK$56,J$4,FALSE)))</f>
        <v/>
      </c>
      <c r="K81" s="18" t="str">
        <f>IF(ISNUMBER($L$6)=FALSE,"",
        IF(ISERROR(VLOOKUP($G81,SantoYusuf!$L$13:$AK$56,K$4,FALSE))=TRUE,"",
              VLOOKUP($G81,SantoYusuf!$L$13:$AK$56,K$4,FALSE)))</f>
        <v/>
      </c>
      <c r="L81" s="18" t="str">
        <f>IF(ISNUMBER($L$6)=FALSE,"",
        IF(ISERROR(VLOOKUP($G81,SantoYusuf!$L$13:$AK$56,L$4,FALSE))=TRUE,"",
              VLOOKUP($G81,SantoYusuf!$L$13:$AK$56,L$4,FALSE)))</f>
        <v/>
      </c>
      <c r="M81" s="18" t="str">
        <f>IF(ISNUMBER($L$6)=FALSE,"",
        IF(ISERROR(VLOOKUP($G81,SantoYusuf!$L$13:$AK$56,M$4,FALSE))=TRUE,"",
              VLOOKUP($G81,SantoYusuf!$L$13:$AK$56,M$4,FALSE)))</f>
        <v/>
      </c>
      <c r="N81" s="18" t="str">
        <f>IF(ISNUMBER($L$6)=FALSE,"",
        IF(ISERROR(VLOOKUP($G81,SantoYusuf!$L$13:$AK$56,N$4,FALSE))=TRUE,"",
              VLOOKUP($G81,SantoYusuf!$L$13:$AK$56,N$4,FALSE)))</f>
        <v/>
      </c>
      <c r="O81" s="18" t="str">
        <f>IF(ISNUMBER($L$6)=FALSE,"",
        IF(ISERROR(VLOOKUP($G81,SantoYusuf!$L$13:$AK$56,O$4,FALSE))=TRUE,"",
              VLOOKUP($G81,SantoYusuf!$L$13:$AK$56,O$4,FALSE)))</f>
        <v/>
      </c>
      <c r="P81" s="18" t="str">
        <f>IF(ISNUMBER($L$6)=FALSE,"",
        IF(ISERROR(VLOOKUP($G81,SantoYusuf!$L$13:$AK$56,P$4,FALSE))=TRUE,"",
              VLOOKUP($G81,SantoYusuf!$L$13:$AK$56,P$4,FALSE)))</f>
        <v/>
      </c>
      <c r="Q81" s="18" t="str">
        <f>IF(ISNUMBER($L$6)=FALSE,"",
        IF(ISERROR(VLOOKUP($G81,SantoYusuf!$L$13:$AK$56,Q$4,FALSE))=TRUE,"",
              VLOOKUP($G81,SantoYusuf!$L$13:$AK$56,Q$4,FALSE)))</f>
        <v/>
      </c>
      <c r="R81" s="18" t="str">
        <f>IF(ISNUMBER($L$6)=FALSE,"",
        IF(ISERROR(VLOOKUP($G81,SantoYusuf!$L$13:$AK$56,R$4,FALSE))=TRUE,"",
              VLOOKUP($G81,SantoYusuf!$L$13:$AK$56,R$4,FALSE)))</f>
        <v/>
      </c>
      <c r="S81" s="18" t="str">
        <f>IF(ISNUMBER($L$6)=FALSE,"",
        IF(ISERROR(VLOOKUP($G81,SantoYusuf!$L$13:$AK$56,S$4,FALSE))=TRUE,"",
              VLOOKUP($G81,SantoYusuf!$L$13:$AK$56,S$4,FALSE)))</f>
        <v/>
      </c>
      <c r="T81" s="18" t="str">
        <f>IF(ISNUMBER($L$6)=FALSE,"",
        IF(ISERROR(VLOOKUP($G81,SantoYusuf!$L$13:$AK$56,T$4,FALSE))=TRUE,"",
              VLOOKUP($G81,SantoYusuf!$L$13:$AK$56,T$4,FALSE)))</f>
        <v/>
      </c>
      <c r="U81" s="18" t="str">
        <f>IF(ISNUMBER($L$6)=FALSE,"",
        IF(ISERROR(VLOOKUP($G81,SantoYusuf!$L$13:$AK$56,U$4,FALSE))=TRUE,"",
              VLOOKUP($G81,SantoYusuf!$L$13:$AK$56,U$4,FALSE)))</f>
        <v/>
      </c>
      <c r="V81" s="18" t="str">
        <f>IF(ISNUMBER($L$6)=FALSE,"",
        IF(ISERROR(VLOOKUP($G81,SantoYusuf!$L$13:$AK$56,V$4,FALSE))=TRUE,"",
              VLOOKUP($G81,SantoYusuf!$L$13:$AK$56,V$4,FALSE)))</f>
        <v/>
      </c>
      <c r="W81" s="18" t="str">
        <f>IF(ISNUMBER($L$6)=FALSE,"",
        IF(ISERROR(VLOOKUP($G81,SantoYusuf!$L$13:$AK$56,W$4,FALSE))=TRUE,"",
              VLOOKUP($G81,SantoYusuf!$L$13:$AK$56,W$4,FALSE)))</f>
        <v/>
      </c>
      <c r="X81" s="18" t="str">
        <f>IF(ISNUMBER($L$6)=FALSE,"",
        IF(ISERROR(VLOOKUP($G81,SantoYusuf!$L$13:$AK$56,X$4,FALSE))=TRUE,"",
              VLOOKUP($G81,SantoYusuf!$L$13:$AK$56,X$4,FALSE)))</f>
        <v/>
      </c>
      <c r="Y81" s="18" t="str">
        <f>IF(ISNUMBER($L$6)=FALSE,"",
        IF(ISERROR(VLOOKUP($G81,SantoYusuf!$L$13:$AK$56,Y$4,FALSE))=TRUE,"",
              VLOOKUP($G81,SantoYusuf!$L$13:$AK$56,Y$4,FALSE)))</f>
        <v/>
      </c>
      <c r="Z81" s="18" t="str">
        <f>IF(ISNUMBER($L$6)=FALSE,"",
        IF(ISERROR(VLOOKUP($G81,SantoYusuf!$L$13:$AK$56,Z$4,FALSE))=TRUE,"",
              VLOOKUP($G81,SantoYusuf!$L$13:$AK$56,Z$4,FALSE)))</f>
        <v/>
      </c>
      <c r="AA81" s="18" t="str">
        <f>IF(ISNUMBER($L$6)=FALSE,"",
        IF(ISERROR(VLOOKUP($G81,SantoYusuf!$L$13:$AK$56,AA$4,FALSE))=TRUE,"",
              VLOOKUP($G81,SantoYusuf!$L$13:$AK$56,AA$4,FALSE)))</f>
        <v/>
      </c>
      <c r="AB81" s="18" t="str">
        <f>IF(ISNUMBER($L$6)=FALSE,"",
        IF(ISERROR(VLOOKUP($G81,SantoYusuf!$L$13:$AK$56,AB$4,FALSE))=TRUE,"",
              VLOOKUP($G81,SantoYusuf!$L$13:$AK$56,AB$4,FALSE)))</f>
        <v/>
      </c>
      <c r="AC81" s="18" t="str">
        <f>IF(ISNUMBER($L$6)=FALSE,"",
        IF(ISERROR(VLOOKUP($G81,SantoYusuf!$L$13:$AK$56,AC$4,FALSE))=TRUE,"",
              VLOOKUP($G81,SantoYusuf!$L$13:$AK$56,AC$4,FALSE)))</f>
        <v/>
      </c>
      <c r="AD81" s="18" t="str">
        <f>IF(ISNUMBER($L$6)=FALSE,"",
        IF(ISERROR(VLOOKUP($G81,SantoYusuf!$L$13:$AK$56,AD$4,FALSE))=TRUE,"",
              VLOOKUP($G81,SantoYusuf!$L$13:$AK$56,AD$4,FALSE)))</f>
        <v/>
      </c>
      <c r="AE81" s="18" t="str">
        <f>IF(ISNUMBER($L$6)=FALSE,"",
        IF(ISERROR(VLOOKUP($G81,SantoYusuf!$L$13:$AK$56,AE$4,FALSE))=TRUE,"",
              VLOOKUP($G81,SantoYusuf!$L$13:$AK$56,AE$4,FALSE)))</f>
        <v/>
      </c>
      <c r="AF81" s="18" t="str">
        <f>IF(ISNUMBER($L$6)=FALSE,"",
        IF(ISERROR(VLOOKUP($G81,SantoYusuf!$L$13:$AK$56,AF$4,FALSE))=TRUE,"",
              VLOOKUP($G81,SantoYusuf!$L$13:$AK$56,AF$4,FALSE)))</f>
        <v/>
      </c>
    </row>
    <row r="82" spans="1:32" s="60" customFormat="1" ht="10.5" x14ac:dyDescent="0.25">
      <c r="A82" s="59"/>
      <c r="C82" s="59">
        <f t="shared" si="6"/>
        <v>69</v>
      </c>
      <c r="D82" s="61"/>
      <c r="E82" s="77" t="str">
        <f t="shared" si="7"/>
        <v/>
      </c>
      <c r="F82" s="77" t="str">
        <f>IF(ISNUMBER($L$6)=FALSE,"",
IF($C82=0,"",VLOOKUP($E82,SantoYusuf!$H$13:$L$56,4,FALSE)))</f>
        <v/>
      </c>
      <c r="G82" s="77" t="str">
        <f>IF(ISNUMBER($L$6)=FALSE,"",
IF($C82=0,"",VLOOKUP($E82,SantoYusuf!$H$13:$L$56,5,FALSE)))</f>
        <v/>
      </c>
      <c r="H82" s="17" t="str">
        <f t="shared" si="8"/>
        <v/>
      </c>
      <c r="I82" s="18" t="str">
        <f>IF(ISNUMBER($L$6)=FALSE,"",
        IF(ISERROR(VLOOKUP($G82,SantoYusuf!$L$13:$AK$56,I$4,FALSE))=TRUE,"",
              VLOOKUP($G82,SantoYusuf!$L$13:$AK$56,I$4,FALSE)))</f>
        <v/>
      </c>
      <c r="J82" s="18" t="str">
        <f>IF(ISNUMBER($L$6)=FALSE,"",
        IF(ISERROR(VLOOKUP($G82,SantoYusuf!$L$13:$AK$56,J$4,FALSE))=TRUE,"",
              VLOOKUP($G82,SantoYusuf!$L$13:$AK$56,J$4,FALSE)))</f>
        <v/>
      </c>
      <c r="K82" s="18" t="str">
        <f>IF(ISNUMBER($L$6)=FALSE,"",
        IF(ISERROR(VLOOKUP($G82,SantoYusuf!$L$13:$AK$56,K$4,FALSE))=TRUE,"",
              VLOOKUP($G82,SantoYusuf!$L$13:$AK$56,K$4,FALSE)))</f>
        <v/>
      </c>
      <c r="L82" s="18" t="str">
        <f>IF(ISNUMBER($L$6)=FALSE,"",
        IF(ISERROR(VLOOKUP($G82,SantoYusuf!$L$13:$AK$56,L$4,FALSE))=TRUE,"",
              VLOOKUP($G82,SantoYusuf!$L$13:$AK$56,L$4,FALSE)))</f>
        <v/>
      </c>
      <c r="M82" s="18" t="str">
        <f>IF(ISNUMBER($L$6)=FALSE,"",
        IF(ISERROR(VLOOKUP($G82,SantoYusuf!$L$13:$AK$56,M$4,FALSE))=TRUE,"",
              VLOOKUP($G82,SantoYusuf!$L$13:$AK$56,M$4,FALSE)))</f>
        <v/>
      </c>
      <c r="N82" s="18" t="str">
        <f>IF(ISNUMBER($L$6)=FALSE,"",
        IF(ISERROR(VLOOKUP($G82,SantoYusuf!$L$13:$AK$56,N$4,FALSE))=TRUE,"",
              VLOOKUP($G82,SantoYusuf!$L$13:$AK$56,N$4,FALSE)))</f>
        <v/>
      </c>
      <c r="O82" s="18" t="str">
        <f>IF(ISNUMBER($L$6)=FALSE,"",
        IF(ISERROR(VLOOKUP($G82,SantoYusuf!$L$13:$AK$56,O$4,FALSE))=TRUE,"",
              VLOOKUP($G82,SantoYusuf!$L$13:$AK$56,O$4,FALSE)))</f>
        <v/>
      </c>
      <c r="P82" s="18" t="str">
        <f>IF(ISNUMBER($L$6)=FALSE,"",
        IF(ISERROR(VLOOKUP($G82,SantoYusuf!$L$13:$AK$56,P$4,FALSE))=TRUE,"",
              VLOOKUP($G82,SantoYusuf!$L$13:$AK$56,P$4,FALSE)))</f>
        <v/>
      </c>
      <c r="Q82" s="18" t="str">
        <f>IF(ISNUMBER($L$6)=FALSE,"",
        IF(ISERROR(VLOOKUP($G82,SantoYusuf!$L$13:$AK$56,Q$4,FALSE))=TRUE,"",
              VLOOKUP($G82,SantoYusuf!$L$13:$AK$56,Q$4,FALSE)))</f>
        <v/>
      </c>
      <c r="R82" s="18" t="str">
        <f>IF(ISNUMBER($L$6)=FALSE,"",
        IF(ISERROR(VLOOKUP($G82,SantoYusuf!$L$13:$AK$56,R$4,FALSE))=TRUE,"",
              VLOOKUP($G82,SantoYusuf!$L$13:$AK$56,R$4,FALSE)))</f>
        <v/>
      </c>
      <c r="S82" s="18" t="str">
        <f>IF(ISNUMBER($L$6)=FALSE,"",
        IF(ISERROR(VLOOKUP($G82,SantoYusuf!$L$13:$AK$56,S$4,FALSE))=TRUE,"",
              VLOOKUP($G82,SantoYusuf!$L$13:$AK$56,S$4,FALSE)))</f>
        <v/>
      </c>
      <c r="T82" s="18" t="str">
        <f>IF(ISNUMBER($L$6)=FALSE,"",
        IF(ISERROR(VLOOKUP($G82,SantoYusuf!$L$13:$AK$56,T$4,FALSE))=TRUE,"",
              VLOOKUP($G82,SantoYusuf!$L$13:$AK$56,T$4,FALSE)))</f>
        <v/>
      </c>
      <c r="U82" s="18" t="str">
        <f>IF(ISNUMBER($L$6)=FALSE,"",
        IF(ISERROR(VLOOKUP($G82,SantoYusuf!$L$13:$AK$56,U$4,FALSE))=TRUE,"",
              VLOOKUP($G82,SantoYusuf!$L$13:$AK$56,U$4,FALSE)))</f>
        <v/>
      </c>
      <c r="V82" s="18" t="str">
        <f>IF(ISNUMBER($L$6)=FALSE,"",
        IF(ISERROR(VLOOKUP($G82,SantoYusuf!$L$13:$AK$56,V$4,FALSE))=TRUE,"",
              VLOOKUP($G82,SantoYusuf!$L$13:$AK$56,V$4,FALSE)))</f>
        <v/>
      </c>
      <c r="W82" s="18" t="str">
        <f>IF(ISNUMBER($L$6)=FALSE,"",
        IF(ISERROR(VLOOKUP($G82,SantoYusuf!$L$13:$AK$56,W$4,FALSE))=TRUE,"",
              VLOOKUP($G82,SantoYusuf!$L$13:$AK$56,W$4,FALSE)))</f>
        <v/>
      </c>
      <c r="X82" s="18" t="str">
        <f>IF(ISNUMBER($L$6)=FALSE,"",
        IF(ISERROR(VLOOKUP($G82,SantoYusuf!$L$13:$AK$56,X$4,FALSE))=TRUE,"",
              VLOOKUP($G82,SantoYusuf!$L$13:$AK$56,X$4,FALSE)))</f>
        <v/>
      </c>
      <c r="Y82" s="18" t="str">
        <f>IF(ISNUMBER($L$6)=FALSE,"",
        IF(ISERROR(VLOOKUP($G82,SantoYusuf!$L$13:$AK$56,Y$4,FALSE))=TRUE,"",
              VLOOKUP($G82,SantoYusuf!$L$13:$AK$56,Y$4,FALSE)))</f>
        <v/>
      </c>
      <c r="Z82" s="18" t="str">
        <f>IF(ISNUMBER($L$6)=FALSE,"",
        IF(ISERROR(VLOOKUP($G82,SantoYusuf!$L$13:$AK$56,Z$4,FALSE))=TRUE,"",
              VLOOKUP($G82,SantoYusuf!$L$13:$AK$56,Z$4,FALSE)))</f>
        <v/>
      </c>
      <c r="AA82" s="18" t="str">
        <f>IF(ISNUMBER($L$6)=FALSE,"",
        IF(ISERROR(VLOOKUP($G82,SantoYusuf!$L$13:$AK$56,AA$4,FALSE))=TRUE,"",
              VLOOKUP($G82,SantoYusuf!$L$13:$AK$56,AA$4,FALSE)))</f>
        <v/>
      </c>
      <c r="AB82" s="18" t="str">
        <f>IF(ISNUMBER($L$6)=FALSE,"",
        IF(ISERROR(VLOOKUP($G82,SantoYusuf!$L$13:$AK$56,AB$4,FALSE))=TRUE,"",
              VLOOKUP($G82,SantoYusuf!$L$13:$AK$56,AB$4,FALSE)))</f>
        <v/>
      </c>
      <c r="AC82" s="18" t="str">
        <f>IF(ISNUMBER($L$6)=FALSE,"",
        IF(ISERROR(VLOOKUP($G82,SantoYusuf!$L$13:$AK$56,AC$4,FALSE))=TRUE,"",
              VLOOKUP($G82,SantoYusuf!$L$13:$AK$56,AC$4,FALSE)))</f>
        <v/>
      </c>
      <c r="AD82" s="18" t="str">
        <f>IF(ISNUMBER($L$6)=FALSE,"",
        IF(ISERROR(VLOOKUP($G82,SantoYusuf!$L$13:$AK$56,AD$4,FALSE))=TRUE,"",
              VLOOKUP($G82,SantoYusuf!$L$13:$AK$56,AD$4,FALSE)))</f>
        <v/>
      </c>
      <c r="AE82" s="18" t="str">
        <f>IF(ISNUMBER($L$6)=FALSE,"",
        IF(ISERROR(VLOOKUP($G82,SantoYusuf!$L$13:$AK$56,AE$4,FALSE))=TRUE,"",
              VLOOKUP($G82,SantoYusuf!$L$13:$AK$56,AE$4,FALSE)))</f>
        <v/>
      </c>
      <c r="AF82" s="18" t="str">
        <f>IF(ISNUMBER($L$6)=FALSE,"",
        IF(ISERROR(VLOOKUP($G82,SantoYusuf!$L$13:$AK$56,AF$4,FALSE))=TRUE,"",
              VLOOKUP($G82,SantoYusuf!$L$13:$AK$56,AF$4,FALSE)))</f>
        <v/>
      </c>
    </row>
    <row r="83" spans="1:32" s="60" customFormat="1" ht="10.5" x14ac:dyDescent="0.25">
      <c r="A83" s="59"/>
      <c r="C83" s="59">
        <f t="shared" si="6"/>
        <v>70</v>
      </c>
      <c r="D83" s="61"/>
      <c r="E83" s="77" t="str">
        <f t="shared" si="7"/>
        <v/>
      </c>
      <c r="F83" s="77" t="str">
        <f>IF(ISNUMBER($L$6)=FALSE,"",
IF($C83=0,"",VLOOKUP($E83,SantoYusuf!$H$13:$L$56,4,FALSE)))</f>
        <v/>
      </c>
      <c r="G83" s="77" t="str">
        <f>IF(ISNUMBER($L$6)=FALSE,"",
IF($C83=0,"",VLOOKUP($E83,SantoYusuf!$H$13:$L$56,5,FALSE)))</f>
        <v/>
      </c>
      <c r="H83" s="17" t="str">
        <f t="shared" si="8"/>
        <v/>
      </c>
      <c r="I83" s="18" t="str">
        <f>IF(ISNUMBER($L$6)=FALSE,"",
        IF(ISERROR(VLOOKUP($G83,SantoYusuf!$L$13:$AK$56,I$4,FALSE))=TRUE,"",
              VLOOKUP($G83,SantoYusuf!$L$13:$AK$56,I$4,FALSE)))</f>
        <v/>
      </c>
      <c r="J83" s="18" t="str">
        <f>IF(ISNUMBER($L$6)=FALSE,"",
        IF(ISERROR(VLOOKUP($G83,SantoYusuf!$L$13:$AK$56,J$4,FALSE))=TRUE,"",
              VLOOKUP($G83,SantoYusuf!$L$13:$AK$56,J$4,FALSE)))</f>
        <v/>
      </c>
      <c r="K83" s="18" t="str">
        <f>IF(ISNUMBER($L$6)=FALSE,"",
        IF(ISERROR(VLOOKUP($G83,SantoYusuf!$L$13:$AK$56,K$4,FALSE))=TRUE,"",
              VLOOKUP($G83,SantoYusuf!$L$13:$AK$56,K$4,FALSE)))</f>
        <v/>
      </c>
      <c r="L83" s="18" t="str">
        <f>IF(ISNUMBER($L$6)=FALSE,"",
        IF(ISERROR(VLOOKUP($G83,SantoYusuf!$L$13:$AK$56,L$4,FALSE))=TRUE,"",
              VLOOKUP($G83,SantoYusuf!$L$13:$AK$56,L$4,FALSE)))</f>
        <v/>
      </c>
      <c r="M83" s="18" t="str">
        <f>IF(ISNUMBER($L$6)=FALSE,"",
        IF(ISERROR(VLOOKUP($G83,SantoYusuf!$L$13:$AK$56,M$4,FALSE))=TRUE,"",
              VLOOKUP($G83,SantoYusuf!$L$13:$AK$56,M$4,FALSE)))</f>
        <v/>
      </c>
      <c r="N83" s="18" t="str">
        <f>IF(ISNUMBER($L$6)=FALSE,"",
        IF(ISERROR(VLOOKUP($G83,SantoYusuf!$L$13:$AK$56,N$4,FALSE))=TRUE,"",
              VLOOKUP($G83,SantoYusuf!$L$13:$AK$56,N$4,FALSE)))</f>
        <v/>
      </c>
      <c r="O83" s="18" t="str">
        <f>IF(ISNUMBER($L$6)=FALSE,"",
        IF(ISERROR(VLOOKUP($G83,SantoYusuf!$L$13:$AK$56,O$4,FALSE))=TRUE,"",
              VLOOKUP($G83,SantoYusuf!$L$13:$AK$56,O$4,FALSE)))</f>
        <v/>
      </c>
      <c r="P83" s="18" t="str">
        <f>IF(ISNUMBER($L$6)=FALSE,"",
        IF(ISERROR(VLOOKUP($G83,SantoYusuf!$L$13:$AK$56,P$4,FALSE))=TRUE,"",
              VLOOKUP($G83,SantoYusuf!$L$13:$AK$56,P$4,FALSE)))</f>
        <v/>
      </c>
      <c r="Q83" s="18" t="str">
        <f>IF(ISNUMBER($L$6)=FALSE,"",
        IF(ISERROR(VLOOKUP($G83,SantoYusuf!$L$13:$AK$56,Q$4,FALSE))=TRUE,"",
              VLOOKUP($G83,SantoYusuf!$L$13:$AK$56,Q$4,FALSE)))</f>
        <v/>
      </c>
      <c r="R83" s="18" t="str">
        <f>IF(ISNUMBER($L$6)=FALSE,"",
        IF(ISERROR(VLOOKUP($G83,SantoYusuf!$L$13:$AK$56,R$4,FALSE))=TRUE,"",
              VLOOKUP($G83,SantoYusuf!$L$13:$AK$56,R$4,FALSE)))</f>
        <v/>
      </c>
      <c r="S83" s="18" t="str">
        <f>IF(ISNUMBER($L$6)=FALSE,"",
        IF(ISERROR(VLOOKUP($G83,SantoYusuf!$L$13:$AK$56,S$4,FALSE))=TRUE,"",
              VLOOKUP($G83,SantoYusuf!$L$13:$AK$56,S$4,FALSE)))</f>
        <v/>
      </c>
      <c r="T83" s="18" t="str">
        <f>IF(ISNUMBER($L$6)=FALSE,"",
        IF(ISERROR(VLOOKUP($G83,SantoYusuf!$L$13:$AK$56,T$4,FALSE))=TRUE,"",
              VLOOKUP($G83,SantoYusuf!$L$13:$AK$56,T$4,FALSE)))</f>
        <v/>
      </c>
      <c r="U83" s="18" t="str">
        <f>IF(ISNUMBER($L$6)=FALSE,"",
        IF(ISERROR(VLOOKUP($G83,SantoYusuf!$L$13:$AK$56,U$4,FALSE))=TRUE,"",
              VLOOKUP($G83,SantoYusuf!$L$13:$AK$56,U$4,FALSE)))</f>
        <v/>
      </c>
      <c r="V83" s="18" t="str">
        <f>IF(ISNUMBER($L$6)=FALSE,"",
        IF(ISERROR(VLOOKUP($G83,SantoYusuf!$L$13:$AK$56,V$4,FALSE))=TRUE,"",
              VLOOKUP($G83,SantoYusuf!$L$13:$AK$56,V$4,FALSE)))</f>
        <v/>
      </c>
      <c r="W83" s="18" t="str">
        <f>IF(ISNUMBER($L$6)=FALSE,"",
        IF(ISERROR(VLOOKUP($G83,SantoYusuf!$L$13:$AK$56,W$4,FALSE))=TRUE,"",
              VLOOKUP($G83,SantoYusuf!$L$13:$AK$56,W$4,FALSE)))</f>
        <v/>
      </c>
      <c r="X83" s="18" t="str">
        <f>IF(ISNUMBER($L$6)=FALSE,"",
        IF(ISERROR(VLOOKUP($G83,SantoYusuf!$L$13:$AK$56,X$4,FALSE))=TRUE,"",
              VLOOKUP($G83,SantoYusuf!$L$13:$AK$56,X$4,FALSE)))</f>
        <v/>
      </c>
      <c r="Y83" s="18" t="str">
        <f>IF(ISNUMBER($L$6)=FALSE,"",
        IF(ISERROR(VLOOKUP($G83,SantoYusuf!$L$13:$AK$56,Y$4,FALSE))=TRUE,"",
              VLOOKUP($G83,SantoYusuf!$L$13:$AK$56,Y$4,FALSE)))</f>
        <v/>
      </c>
      <c r="Z83" s="18" t="str">
        <f>IF(ISNUMBER($L$6)=FALSE,"",
        IF(ISERROR(VLOOKUP($G83,SantoYusuf!$L$13:$AK$56,Z$4,FALSE))=TRUE,"",
              VLOOKUP($G83,SantoYusuf!$L$13:$AK$56,Z$4,FALSE)))</f>
        <v/>
      </c>
      <c r="AA83" s="18" t="str">
        <f>IF(ISNUMBER($L$6)=FALSE,"",
        IF(ISERROR(VLOOKUP($G83,SantoYusuf!$L$13:$AK$56,AA$4,FALSE))=TRUE,"",
              VLOOKUP($G83,SantoYusuf!$L$13:$AK$56,AA$4,FALSE)))</f>
        <v/>
      </c>
      <c r="AB83" s="18" t="str">
        <f>IF(ISNUMBER($L$6)=FALSE,"",
        IF(ISERROR(VLOOKUP($G83,SantoYusuf!$L$13:$AK$56,AB$4,FALSE))=TRUE,"",
              VLOOKUP($G83,SantoYusuf!$L$13:$AK$56,AB$4,FALSE)))</f>
        <v/>
      </c>
      <c r="AC83" s="18" t="str">
        <f>IF(ISNUMBER($L$6)=FALSE,"",
        IF(ISERROR(VLOOKUP($G83,SantoYusuf!$L$13:$AK$56,AC$4,FALSE))=TRUE,"",
              VLOOKUP($G83,SantoYusuf!$L$13:$AK$56,AC$4,FALSE)))</f>
        <v/>
      </c>
      <c r="AD83" s="18" t="str">
        <f>IF(ISNUMBER($L$6)=FALSE,"",
        IF(ISERROR(VLOOKUP($G83,SantoYusuf!$L$13:$AK$56,AD$4,FALSE))=TRUE,"",
              VLOOKUP($G83,SantoYusuf!$L$13:$AK$56,AD$4,FALSE)))</f>
        <v/>
      </c>
      <c r="AE83" s="18" t="str">
        <f>IF(ISNUMBER($L$6)=FALSE,"",
        IF(ISERROR(VLOOKUP($G83,SantoYusuf!$L$13:$AK$56,AE$4,FALSE))=TRUE,"",
              VLOOKUP($G83,SantoYusuf!$L$13:$AK$56,AE$4,FALSE)))</f>
        <v/>
      </c>
      <c r="AF83" s="18" t="str">
        <f>IF(ISNUMBER($L$6)=FALSE,"",
        IF(ISERROR(VLOOKUP($G83,SantoYusuf!$L$13:$AK$56,AF$4,FALSE))=TRUE,"",
              VLOOKUP($G83,SantoYusuf!$L$13:$AK$56,AF$4,FALSE)))</f>
        <v/>
      </c>
    </row>
    <row r="84" spans="1:32" s="60" customFormat="1" ht="10.5" x14ac:dyDescent="0.25">
      <c r="A84" s="59"/>
      <c r="C84" s="59">
        <f t="shared" si="6"/>
        <v>71</v>
      </c>
      <c r="D84" s="61"/>
      <c r="E84" s="77" t="str">
        <f t="shared" si="7"/>
        <v/>
      </c>
      <c r="F84" s="77" t="str">
        <f>IF(ISNUMBER($L$6)=FALSE,"",
IF($C84=0,"",VLOOKUP($E84,SantoYusuf!$H$13:$L$56,4,FALSE)))</f>
        <v/>
      </c>
      <c r="G84" s="77" t="str">
        <f>IF(ISNUMBER($L$6)=FALSE,"",
IF($C84=0,"",VLOOKUP($E84,SantoYusuf!$H$13:$L$56,5,FALSE)))</f>
        <v/>
      </c>
      <c r="H84" s="17" t="str">
        <f t="shared" si="8"/>
        <v/>
      </c>
      <c r="I84" s="18" t="str">
        <f>IF(ISNUMBER($L$6)=FALSE,"",
        IF(ISERROR(VLOOKUP($G84,SantoYusuf!$L$13:$AK$56,I$4,FALSE))=TRUE,"",
              VLOOKUP($G84,SantoYusuf!$L$13:$AK$56,I$4,FALSE)))</f>
        <v/>
      </c>
      <c r="J84" s="18" t="str">
        <f>IF(ISNUMBER($L$6)=FALSE,"",
        IF(ISERROR(VLOOKUP($G84,SantoYusuf!$L$13:$AK$56,J$4,FALSE))=TRUE,"",
              VLOOKUP($G84,SantoYusuf!$L$13:$AK$56,J$4,FALSE)))</f>
        <v/>
      </c>
      <c r="K84" s="18" t="str">
        <f>IF(ISNUMBER($L$6)=FALSE,"",
        IF(ISERROR(VLOOKUP($G84,SantoYusuf!$L$13:$AK$56,K$4,FALSE))=TRUE,"",
              VLOOKUP($G84,SantoYusuf!$L$13:$AK$56,K$4,FALSE)))</f>
        <v/>
      </c>
      <c r="L84" s="18" t="str">
        <f>IF(ISNUMBER($L$6)=FALSE,"",
        IF(ISERROR(VLOOKUP($G84,SantoYusuf!$L$13:$AK$56,L$4,FALSE))=TRUE,"",
              VLOOKUP($G84,SantoYusuf!$L$13:$AK$56,L$4,FALSE)))</f>
        <v/>
      </c>
      <c r="M84" s="18" t="str">
        <f>IF(ISNUMBER($L$6)=FALSE,"",
        IF(ISERROR(VLOOKUP($G84,SantoYusuf!$L$13:$AK$56,M$4,FALSE))=TRUE,"",
              VLOOKUP($G84,SantoYusuf!$L$13:$AK$56,M$4,FALSE)))</f>
        <v/>
      </c>
      <c r="N84" s="18" t="str">
        <f>IF(ISNUMBER($L$6)=FALSE,"",
        IF(ISERROR(VLOOKUP($G84,SantoYusuf!$L$13:$AK$56,N$4,FALSE))=TRUE,"",
              VLOOKUP($G84,SantoYusuf!$L$13:$AK$56,N$4,FALSE)))</f>
        <v/>
      </c>
      <c r="O84" s="18" t="str">
        <f>IF(ISNUMBER($L$6)=FALSE,"",
        IF(ISERROR(VLOOKUP($G84,SantoYusuf!$L$13:$AK$56,O$4,FALSE))=TRUE,"",
              VLOOKUP($G84,SantoYusuf!$L$13:$AK$56,O$4,FALSE)))</f>
        <v/>
      </c>
      <c r="P84" s="18" t="str">
        <f>IF(ISNUMBER($L$6)=FALSE,"",
        IF(ISERROR(VLOOKUP($G84,SantoYusuf!$L$13:$AK$56,P$4,FALSE))=TRUE,"",
              VLOOKUP($G84,SantoYusuf!$L$13:$AK$56,P$4,FALSE)))</f>
        <v/>
      </c>
      <c r="Q84" s="18" t="str">
        <f>IF(ISNUMBER($L$6)=FALSE,"",
        IF(ISERROR(VLOOKUP($G84,SantoYusuf!$L$13:$AK$56,Q$4,FALSE))=TRUE,"",
              VLOOKUP($G84,SantoYusuf!$L$13:$AK$56,Q$4,FALSE)))</f>
        <v/>
      </c>
      <c r="R84" s="18" t="str">
        <f>IF(ISNUMBER($L$6)=FALSE,"",
        IF(ISERROR(VLOOKUP($G84,SantoYusuf!$L$13:$AK$56,R$4,FALSE))=TRUE,"",
              VLOOKUP($G84,SantoYusuf!$L$13:$AK$56,R$4,FALSE)))</f>
        <v/>
      </c>
      <c r="S84" s="18" t="str">
        <f>IF(ISNUMBER($L$6)=FALSE,"",
        IF(ISERROR(VLOOKUP($G84,SantoYusuf!$L$13:$AK$56,S$4,FALSE))=TRUE,"",
              VLOOKUP($G84,SantoYusuf!$L$13:$AK$56,S$4,FALSE)))</f>
        <v/>
      </c>
      <c r="T84" s="18" t="str">
        <f>IF(ISNUMBER($L$6)=FALSE,"",
        IF(ISERROR(VLOOKUP($G84,SantoYusuf!$L$13:$AK$56,T$4,FALSE))=TRUE,"",
              VLOOKUP($G84,SantoYusuf!$L$13:$AK$56,T$4,FALSE)))</f>
        <v/>
      </c>
      <c r="U84" s="18" t="str">
        <f>IF(ISNUMBER($L$6)=FALSE,"",
        IF(ISERROR(VLOOKUP($G84,SantoYusuf!$L$13:$AK$56,U$4,FALSE))=TRUE,"",
              VLOOKUP($G84,SantoYusuf!$L$13:$AK$56,U$4,FALSE)))</f>
        <v/>
      </c>
      <c r="V84" s="18" t="str">
        <f>IF(ISNUMBER($L$6)=FALSE,"",
        IF(ISERROR(VLOOKUP($G84,SantoYusuf!$L$13:$AK$56,V$4,FALSE))=TRUE,"",
              VLOOKUP($G84,SantoYusuf!$L$13:$AK$56,V$4,FALSE)))</f>
        <v/>
      </c>
      <c r="W84" s="18" t="str">
        <f>IF(ISNUMBER($L$6)=FALSE,"",
        IF(ISERROR(VLOOKUP($G84,SantoYusuf!$L$13:$AK$56,W$4,FALSE))=TRUE,"",
              VLOOKUP($G84,SantoYusuf!$L$13:$AK$56,W$4,FALSE)))</f>
        <v/>
      </c>
      <c r="X84" s="18" t="str">
        <f>IF(ISNUMBER($L$6)=FALSE,"",
        IF(ISERROR(VLOOKUP($G84,SantoYusuf!$L$13:$AK$56,X$4,FALSE))=TRUE,"",
              VLOOKUP($G84,SantoYusuf!$L$13:$AK$56,X$4,FALSE)))</f>
        <v/>
      </c>
      <c r="Y84" s="18" t="str">
        <f>IF(ISNUMBER($L$6)=FALSE,"",
        IF(ISERROR(VLOOKUP($G84,SantoYusuf!$L$13:$AK$56,Y$4,FALSE))=TRUE,"",
              VLOOKUP($G84,SantoYusuf!$L$13:$AK$56,Y$4,FALSE)))</f>
        <v/>
      </c>
      <c r="Z84" s="18" t="str">
        <f>IF(ISNUMBER($L$6)=FALSE,"",
        IF(ISERROR(VLOOKUP($G84,SantoYusuf!$L$13:$AK$56,Z$4,FALSE))=TRUE,"",
              VLOOKUP($G84,SantoYusuf!$L$13:$AK$56,Z$4,FALSE)))</f>
        <v/>
      </c>
      <c r="AA84" s="18" t="str">
        <f>IF(ISNUMBER($L$6)=FALSE,"",
        IF(ISERROR(VLOOKUP($G84,SantoYusuf!$L$13:$AK$56,AA$4,FALSE))=TRUE,"",
              VLOOKUP($G84,SantoYusuf!$L$13:$AK$56,AA$4,FALSE)))</f>
        <v/>
      </c>
      <c r="AB84" s="18" t="str">
        <f>IF(ISNUMBER($L$6)=FALSE,"",
        IF(ISERROR(VLOOKUP($G84,SantoYusuf!$L$13:$AK$56,AB$4,FALSE))=TRUE,"",
              VLOOKUP($G84,SantoYusuf!$L$13:$AK$56,AB$4,FALSE)))</f>
        <v/>
      </c>
      <c r="AC84" s="18" t="str">
        <f>IF(ISNUMBER($L$6)=FALSE,"",
        IF(ISERROR(VLOOKUP($G84,SantoYusuf!$L$13:$AK$56,AC$4,FALSE))=TRUE,"",
              VLOOKUP($G84,SantoYusuf!$L$13:$AK$56,AC$4,FALSE)))</f>
        <v/>
      </c>
      <c r="AD84" s="18" t="str">
        <f>IF(ISNUMBER($L$6)=FALSE,"",
        IF(ISERROR(VLOOKUP($G84,SantoYusuf!$L$13:$AK$56,AD$4,FALSE))=TRUE,"",
              VLOOKUP($G84,SantoYusuf!$L$13:$AK$56,AD$4,FALSE)))</f>
        <v/>
      </c>
      <c r="AE84" s="18" t="str">
        <f>IF(ISNUMBER($L$6)=FALSE,"",
        IF(ISERROR(VLOOKUP($G84,SantoYusuf!$L$13:$AK$56,AE$4,FALSE))=TRUE,"",
              VLOOKUP($G84,SantoYusuf!$L$13:$AK$56,AE$4,FALSE)))</f>
        <v/>
      </c>
      <c r="AF84" s="18" t="str">
        <f>IF(ISNUMBER($L$6)=FALSE,"",
        IF(ISERROR(VLOOKUP($G84,SantoYusuf!$L$13:$AK$56,AF$4,FALSE))=TRUE,"",
              VLOOKUP($G84,SantoYusuf!$L$13:$AK$56,AF$4,FALSE)))</f>
        <v/>
      </c>
    </row>
    <row r="85" spans="1:32" s="60" customFormat="1" ht="10.5" x14ac:dyDescent="0.25">
      <c r="A85" s="59"/>
      <c r="C85" s="59">
        <f t="shared" si="6"/>
        <v>72</v>
      </c>
      <c r="D85" s="61"/>
      <c r="E85" s="77" t="str">
        <f t="shared" si="7"/>
        <v/>
      </c>
      <c r="F85" s="77" t="str">
        <f>IF(ISNUMBER($L$6)=FALSE,"",
IF($C85=0,"",VLOOKUP($E85,SantoYusuf!$H$13:$L$56,4,FALSE)))</f>
        <v/>
      </c>
      <c r="G85" s="77" t="str">
        <f>IF(ISNUMBER($L$6)=FALSE,"",
IF($C85=0,"",VLOOKUP($E85,SantoYusuf!$H$13:$L$56,5,FALSE)))</f>
        <v/>
      </c>
      <c r="H85" s="17" t="str">
        <f t="shared" si="8"/>
        <v/>
      </c>
      <c r="I85" s="18" t="str">
        <f>IF(ISNUMBER($L$6)=FALSE,"",
        IF(ISERROR(VLOOKUP($G85,SantoYusuf!$L$13:$AK$56,I$4,FALSE))=TRUE,"",
              VLOOKUP($G85,SantoYusuf!$L$13:$AK$56,I$4,FALSE)))</f>
        <v/>
      </c>
      <c r="J85" s="18" t="str">
        <f>IF(ISNUMBER($L$6)=FALSE,"",
        IF(ISERROR(VLOOKUP($G85,SantoYusuf!$L$13:$AK$56,J$4,FALSE))=TRUE,"",
              VLOOKUP($G85,SantoYusuf!$L$13:$AK$56,J$4,FALSE)))</f>
        <v/>
      </c>
      <c r="K85" s="18" t="str">
        <f>IF(ISNUMBER($L$6)=FALSE,"",
        IF(ISERROR(VLOOKUP($G85,SantoYusuf!$L$13:$AK$56,K$4,FALSE))=TRUE,"",
              VLOOKUP($G85,SantoYusuf!$L$13:$AK$56,K$4,FALSE)))</f>
        <v/>
      </c>
      <c r="L85" s="18" t="str">
        <f>IF(ISNUMBER($L$6)=FALSE,"",
        IF(ISERROR(VLOOKUP($G85,SantoYusuf!$L$13:$AK$56,L$4,FALSE))=TRUE,"",
              VLOOKUP($G85,SantoYusuf!$L$13:$AK$56,L$4,FALSE)))</f>
        <v/>
      </c>
      <c r="M85" s="18" t="str">
        <f>IF(ISNUMBER($L$6)=FALSE,"",
        IF(ISERROR(VLOOKUP($G85,SantoYusuf!$L$13:$AK$56,M$4,FALSE))=TRUE,"",
              VLOOKUP($G85,SantoYusuf!$L$13:$AK$56,M$4,FALSE)))</f>
        <v/>
      </c>
      <c r="N85" s="18" t="str">
        <f>IF(ISNUMBER($L$6)=FALSE,"",
        IF(ISERROR(VLOOKUP($G85,SantoYusuf!$L$13:$AK$56,N$4,FALSE))=TRUE,"",
              VLOOKUP($G85,SantoYusuf!$L$13:$AK$56,N$4,FALSE)))</f>
        <v/>
      </c>
      <c r="O85" s="18" t="str">
        <f>IF(ISNUMBER($L$6)=FALSE,"",
        IF(ISERROR(VLOOKUP($G85,SantoYusuf!$L$13:$AK$56,O$4,FALSE))=TRUE,"",
              VLOOKUP($G85,SantoYusuf!$L$13:$AK$56,O$4,FALSE)))</f>
        <v/>
      </c>
      <c r="P85" s="18" t="str">
        <f>IF(ISNUMBER($L$6)=FALSE,"",
        IF(ISERROR(VLOOKUP($G85,SantoYusuf!$L$13:$AK$56,P$4,FALSE))=TRUE,"",
              VLOOKUP($G85,SantoYusuf!$L$13:$AK$56,P$4,FALSE)))</f>
        <v/>
      </c>
      <c r="Q85" s="18" t="str">
        <f>IF(ISNUMBER($L$6)=FALSE,"",
        IF(ISERROR(VLOOKUP($G85,SantoYusuf!$L$13:$AK$56,Q$4,FALSE))=TRUE,"",
              VLOOKUP($G85,SantoYusuf!$L$13:$AK$56,Q$4,FALSE)))</f>
        <v/>
      </c>
      <c r="R85" s="18" t="str">
        <f>IF(ISNUMBER($L$6)=FALSE,"",
        IF(ISERROR(VLOOKUP($G85,SantoYusuf!$L$13:$AK$56,R$4,FALSE))=TRUE,"",
              VLOOKUP($G85,SantoYusuf!$L$13:$AK$56,R$4,FALSE)))</f>
        <v/>
      </c>
      <c r="S85" s="18" t="str">
        <f>IF(ISNUMBER($L$6)=FALSE,"",
        IF(ISERROR(VLOOKUP($G85,SantoYusuf!$L$13:$AK$56,S$4,FALSE))=TRUE,"",
              VLOOKUP($G85,SantoYusuf!$L$13:$AK$56,S$4,FALSE)))</f>
        <v/>
      </c>
      <c r="T85" s="18" t="str">
        <f>IF(ISNUMBER($L$6)=FALSE,"",
        IF(ISERROR(VLOOKUP($G85,SantoYusuf!$L$13:$AK$56,T$4,FALSE))=TRUE,"",
              VLOOKUP($G85,SantoYusuf!$L$13:$AK$56,T$4,FALSE)))</f>
        <v/>
      </c>
      <c r="U85" s="18" t="str">
        <f>IF(ISNUMBER($L$6)=FALSE,"",
        IF(ISERROR(VLOOKUP($G85,SantoYusuf!$L$13:$AK$56,U$4,FALSE))=TRUE,"",
              VLOOKUP($G85,SantoYusuf!$L$13:$AK$56,U$4,FALSE)))</f>
        <v/>
      </c>
      <c r="V85" s="18" t="str">
        <f>IF(ISNUMBER($L$6)=FALSE,"",
        IF(ISERROR(VLOOKUP($G85,SantoYusuf!$L$13:$AK$56,V$4,FALSE))=TRUE,"",
              VLOOKUP($G85,SantoYusuf!$L$13:$AK$56,V$4,FALSE)))</f>
        <v/>
      </c>
      <c r="W85" s="18" t="str">
        <f>IF(ISNUMBER($L$6)=FALSE,"",
        IF(ISERROR(VLOOKUP($G85,SantoYusuf!$L$13:$AK$56,W$4,FALSE))=TRUE,"",
              VLOOKUP($G85,SantoYusuf!$L$13:$AK$56,W$4,FALSE)))</f>
        <v/>
      </c>
      <c r="X85" s="18" t="str">
        <f>IF(ISNUMBER($L$6)=FALSE,"",
        IF(ISERROR(VLOOKUP($G85,SantoYusuf!$L$13:$AK$56,X$4,FALSE))=TRUE,"",
              VLOOKUP($G85,SantoYusuf!$L$13:$AK$56,X$4,FALSE)))</f>
        <v/>
      </c>
      <c r="Y85" s="18" t="str">
        <f>IF(ISNUMBER($L$6)=FALSE,"",
        IF(ISERROR(VLOOKUP($G85,SantoYusuf!$L$13:$AK$56,Y$4,FALSE))=TRUE,"",
              VLOOKUP($G85,SantoYusuf!$L$13:$AK$56,Y$4,FALSE)))</f>
        <v/>
      </c>
      <c r="Z85" s="18" t="str">
        <f>IF(ISNUMBER($L$6)=FALSE,"",
        IF(ISERROR(VLOOKUP($G85,SantoYusuf!$L$13:$AK$56,Z$4,FALSE))=TRUE,"",
              VLOOKUP($G85,SantoYusuf!$L$13:$AK$56,Z$4,FALSE)))</f>
        <v/>
      </c>
      <c r="AA85" s="18" t="str">
        <f>IF(ISNUMBER($L$6)=FALSE,"",
        IF(ISERROR(VLOOKUP($G85,SantoYusuf!$L$13:$AK$56,AA$4,FALSE))=TRUE,"",
              VLOOKUP($G85,SantoYusuf!$L$13:$AK$56,AA$4,FALSE)))</f>
        <v/>
      </c>
      <c r="AB85" s="18" t="str">
        <f>IF(ISNUMBER($L$6)=FALSE,"",
        IF(ISERROR(VLOOKUP($G85,SantoYusuf!$L$13:$AK$56,AB$4,FALSE))=TRUE,"",
              VLOOKUP($G85,SantoYusuf!$L$13:$AK$56,AB$4,FALSE)))</f>
        <v/>
      </c>
      <c r="AC85" s="18" t="str">
        <f>IF(ISNUMBER($L$6)=FALSE,"",
        IF(ISERROR(VLOOKUP($G85,SantoYusuf!$L$13:$AK$56,AC$4,FALSE))=TRUE,"",
              VLOOKUP($G85,SantoYusuf!$L$13:$AK$56,AC$4,FALSE)))</f>
        <v/>
      </c>
      <c r="AD85" s="18" t="str">
        <f>IF(ISNUMBER($L$6)=FALSE,"",
        IF(ISERROR(VLOOKUP($G85,SantoYusuf!$L$13:$AK$56,AD$4,FALSE))=TRUE,"",
              VLOOKUP($G85,SantoYusuf!$L$13:$AK$56,AD$4,FALSE)))</f>
        <v/>
      </c>
      <c r="AE85" s="18" t="str">
        <f>IF(ISNUMBER($L$6)=FALSE,"",
        IF(ISERROR(VLOOKUP($G85,SantoYusuf!$L$13:$AK$56,AE$4,FALSE))=TRUE,"",
              VLOOKUP($G85,SantoYusuf!$L$13:$AK$56,AE$4,FALSE)))</f>
        <v/>
      </c>
      <c r="AF85" s="18" t="str">
        <f>IF(ISNUMBER($L$6)=FALSE,"",
        IF(ISERROR(VLOOKUP($G85,SantoYusuf!$L$13:$AK$56,AF$4,FALSE))=TRUE,"",
              VLOOKUP($G85,SantoYusuf!$L$13:$AK$56,AF$4,FALSE)))</f>
        <v/>
      </c>
    </row>
    <row r="86" spans="1:32" s="60" customFormat="1" ht="10.5" x14ac:dyDescent="0.25">
      <c r="A86" s="59"/>
      <c r="C86" s="59">
        <f t="shared" si="6"/>
        <v>73</v>
      </c>
      <c r="D86" s="61"/>
      <c r="E86" s="77" t="str">
        <f t="shared" si="7"/>
        <v/>
      </c>
      <c r="F86" s="77" t="str">
        <f>IF(ISNUMBER($L$6)=FALSE,"",
IF($C86=0,"",VLOOKUP($E86,SantoYusuf!$H$13:$L$56,4,FALSE)))</f>
        <v/>
      </c>
      <c r="G86" s="77" t="str">
        <f>IF(ISNUMBER($L$6)=FALSE,"",
IF($C86=0,"",VLOOKUP($E86,SantoYusuf!$H$13:$L$56,5,FALSE)))</f>
        <v/>
      </c>
      <c r="H86" s="17" t="str">
        <f t="shared" si="8"/>
        <v/>
      </c>
      <c r="I86" s="18" t="str">
        <f>IF(ISNUMBER($L$6)=FALSE,"",
        IF(ISERROR(VLOOKUP($G86,SantoYusuf!$L$13:$AK$56,I$4,FALSE))=TRUE,"",
              VLOOKUP($G86,SantoYusuf!$L$13:$AK$56,I$4,FALSE)))</f>
        <v/>
      </c>
      <c r="J86" s="18" t="str">
        <f>IF(ISNUMBER($L$6)=FALSE,"",
        IF(ISERROR(VLOOKUP($G86,SantoYusuf!$L$13:$AK$56,J$4,FALSE))=TRUE,"",
              VLOOKUP($G86,SantoYusuf!$L$13:$AK$56,J$4,FALSE)))</f>
        <v/>
      </c>
      <c r="K86" s="18" t="str">
        <f>IF(ISNUMBER($L$6)=FALSE,"",
        IF(ISERROR(VLOOKUP($G86,SantoYusuf!$L$13:$AK$56,K$4,FALSE))=TRUE,"",
              VLOOKUP($G86,SantoYusuf!$L$13:$AK$56,K$4,FALSE)))</f>
        <v/>
      </c>
      <c r="L86" s="18" t="str">
        <f>IF(ISNUMBER($L$6)=FALSE,"",
        IF(ISERROR(VLOOKUP($G86,SantoYusuf!$L$13:$AK$56,L$4,FALSE))=TRUE,"",
              VLOOKUP($G86,SantoYusuf!$L$13:$AK$56,L$4,FALSE)))</f>
        <v/>
      </c>
      <c r="M86" s="18" t="str">
        <f>IF(ISNUMBER($L$6)=FALSE,"",
        IF(ISERROR(VLOOKUP($G86,SantoYusuf!$L$13:$AK$56,M$4,FALSE))=TRUE,"",
              VLOOKUP($G86,SantoYusuf!$L$13:$AK$56,M$4,FALSE)))</f>
        <v/>
      </c>
      <c r="N86" s="18" t="str">
        <f>IF(ISNUMBER($L$6)=FALSE,"",
        IF(ISERROR(VLOOKUP($G86,SantoYusuf!$L$13:$AK$56,N$4,FALSE))=TRUE,"",
              VLOOKUP($G86,SantoYusuf!$L$13:$AK$56,N$4,FALSE)))</f>
        <v/>
      </c>
      <c r="O86" s="18" t="str">
        <f>IF(ISNUMBER($L$6)=FALSE,"",
        IF(ISERROR(VLOOKUP($G86,SantoYusuf!$L$13:$AK$56,O$4,FALSE))=TRUE,"",
              VLOOKUP($G86,SantoYusuf!$L$13:$AK$56,O$4,FALSE)))</f>
        <v/>
      </c>
      <c r="P86" s="18" t="str">
        <f>IF(ISNUMBER($L$6)=FALSE,"",
        IF(ISERROR(VLOOKUP($G86,SantoYusuf!$L$13:$AK$56,P$4,FALSE))=TRUE,"",
              VLOOKUP($G86,SantoYusuf!$L$13:$AK$56,P$4,FALSE)))</f>
        <v/>
      </c>
      <c r="Q86" s="18" t="str">
        <f>IF(ISNUMBER($L$6)=FALSE,"",
        IF(ISERROR(VLOOKUP($G86,SantoYusuf!$L$13:$AK$56,Q$4,FALSE))=TRUE,"",
              VLOOKUP($G86,SantoYusuf!$L$13:$AK$56,Q$4,FALSE)))</f>
        <v/>
      </c>
      <c r="R86" s="18" t="str">
        <f>IF(ISNUMBER($L$6)=FALSE,"",
        IF(ISERROR(VLOOKUP($G86,SantoYusuf!$L$13:$AK$56,R$4,FALSE))=TRUE,"",
              VLOOKUP($G86,SantoYusuf!$L$13:$AK$56,R$4,FALSE)))</f>
        <v/>
      </c>
      <c r="S86" s="18" t="str">
        <f>IF(ISNUMBER($L$6)=FALSE,"",
        IF(ISERROR(VLOOKUP($G86,SantoYusuf!$L$13:$AK$56,S$4,FALSE))=TRUE,"",
              VLOOKUP($G86,SantoYusuf!$L$13:$AK$56,S$4,FALSE)))</f>
        <v/>
      </c>
      <c r="T86" s="18" t="str">
        <f>IF(ISNUMBER($L$6)=FALSE,"",
        IF(ISERROR(VLOOKUP($G86,SantoYusuf!$L$13:$AK$56,T$4,FALSE))=TRUE,"",
              VLOOKUP($G86,SantoYusuf!$L$13:$AK$56,T$4,FALSE)))</f>
        <v/>
      </c>
      <c r="U86" s="18" t="str">
        <f>IF(ISNUMBER($L$6)=FALSE,"",
        IF(ISERROR(VLOOKUP($G86,SantoYusuf!$L$13:$AK$56,U$4,FALSE))=TRUE,"",
              VLOOKUP($G86,SantoYusuf!$L$13:$AK$56,U$4,FALSE)))</f>
        <v/>
      </c>
      <c r="V86" s="18" t="str">
        <f>IF(ISNUMBER($L$6)=FALSE,"",
        IF(ISERROR(VLOOKUP($G86,SantoYusuf!$L$13:$AK$56,V$4,FALSE))=TRUE,"",
              VLOOKUP($G86,SantoYusuf!$L$13:$AK$56,V$4,FALSE)))</f>
        <v/>
      </c>
      <c r="W86" s="18" t="str">
        <f>IF(ISNUMBER($L$6)=FALSE,"",
        IF(ISERROR(VLOOKUP($G86,SantoYusuf!$L$13:$AK$56,W$4,FALSE))=TRUE,"",
              VLOOKUP($G86,SantoYusuf!$L$13:$AK$56,W$4,FALSE)))</f>
        <v/>
      </c>
      <c r="X86" s="18" t="str">
        <f>IF(ISNUMBER($L$6)=FALSE,"",
        IF(ISERROR(VLOOKUP($G86,SantoYusuf!$L$13:$AK$56,X$4,FALSE))=TRUE,"",
              VLOOKUP($G86,SantoYusuf!$L$13:$AK$56,X$4,FALSE)))</f>
        <v/>
      </c>
      <c r="Y86" s="18" t="str">
        <f>IF(ISNUMBER($L$6)=FALSE,"",
        IF(ISERROR(VLOOKUP($G86,SantoYusuf!$L$13:$AK$56,Y$4,FALSE))=TRUE,"",
              VLOOKUP($G86,SantoYusuf!$L$13:$AK$56,Y$4,FALSE)))</f>
        <v/>
      </c>
      <c r="Z86" s="18" t="str">
        <f>IF(ISNUMBER($L$6)=FALSE,"",
        IF(ISERROR(VLOOKUP($G86,SantoYusuf!$L$13:$AK$56,Z$4,FALSE))=TRUE,"",
              VLOOKUP($G86,SantoYusuf!$L$13:$AK$56,Z$4,FALSE)))</f>
        <v/>
      </c>
      <c r="AA86" s="18" t="str">
        <f>IF(ISNUMBER($L$6)=FALSE,"",
        IF(ISERROR(VLOOKUP($G86,SantoYusuf!$L$13:$AK$56,AA$4,FALSE))=TRUE,"",
              VLOOKUP($G86,SantoYusuf!$L$13:$AK$56,AA$4,FALSE)))</f>
        <v/>
      </c>
      <c r="AB86" s="18" t="str">
        <f>IF(ISNUMBER($L$6)=FALSE,"",
        IF(ISERROR(VLOOKUP($G86,SantoYusuf!$L$13:$AK$56,AB$4,FALSE))=TRUE,"",
              VLOOKUP($G86,SantoYusuf!$L$13:$AK$56,AB$4,FALSE)))</f>
        <v/>
      </c>
      <c r="AC86" s="18" t="str">
        <f>IF(ISNUMBER($L$6)=FALSE,"",
        IF(ISERROR(VLOOKUP($G86,SantoYusuf!$L$13:$AK$56,AC$4,FALSE))=TRUE,"",
              VLOOKUP($G86,SantoYusuf!$L$13:$AK$56,AC$4,FALSE)))</f>
        <v/>
      </c>
      <c r="AD86" s="18" t="str">
        <f>IF(ISNUMBER($L$6)=FALSE,"",
        IF(ISERROR(VLOOKUP($G86,SantoYusuf!$L$13:$AK$56,AD$4,FALSE))=TRUE,"",
              VLOOKUP($G86,SantoYusuf!$L$13:$AK$56,AD$4,FALSE)))</f>
        <v/>
      </c>
      <c r="AE86" s="18" t="str">
        <f>IF(ISNUMBER($L$6)=FALSE,"",
        IF(ISERROR(VLOOKUP($G86,SantoYusuf!$L$13:$AK$56,AE$4,FALSE))=TRUE,"",
              VLOOKUP($G86,SantoYusuf!$L$13:$AK$56,AE$4,FALSE)))</f>
        <v/>
      </c>
      <c r="AF86" s="18" t="str">
        <f>IF(ISNUMBER($L$6)=FALSE,"",
        IF(ISERROR(VLOOKUP($G86,SantoYusuf!$L$13:$AK$56,AF$4,FALSE))=TRUE,"",
              VLOOKUP($G86,SantoYusuf!$L$13:$AK$56,AF$4,FALSE)))</f>
        <v/>
      </c>
    </row>
    <row r="87" spans="1:32" s="60" customFormat="1" ht="10.5" x14ac:dyDescent="0.25">
      <c r="A87" s="59"/>
      <c r="C87" s="59">
        <f t="shared" si="6"/>
        <v>74</v>
      </c>
      <c r="D87" s="61"/>
      <c r="E87" s="77" t="str">
        <f t="shared" si="7"/>
        <v/>
      </c>
      <c r="F87" s="77" t="str">
        <f>IF(ISNUMBER($L$6)=FALSE,"",
IF($C87=0,"",VLOOKUP($E87,SantoYusuf!$H$13:$L$56,4,FALSE)))</f>
        <v/>
      </c>
      <c r="G87" s="77" t="str">
        <f>IF(ISNUMBER($L$6)=FALSE,"",
IF($C87=0,"",VLOOKUP($E87,SantoYusuf!$H$13:$L$56,5,FALSE)))</f>
        <v/>
      </c>
      <c r="H87" s="17" t="str">
        <f t="shared" si="8"/>
        <v/>
      </c>
      <c r="I87" s="18" t="str">
        <f>IF(ISNUMBER($L$6)=FALSE,"",
        IF(ISERROR(VLOOKUP($G87,SantoYusuf!$L$13:$AK$56,I$4,FALSE))=TRUE,"",
              VLOOKUP($G87,SantoYusuf!$L$13:$AK$56,I$4,FALSE)))</f>
        <v/>
      </c>
      <c r="J87" s="18" t="str">
        <f>IF(ISNUMBER($L$6)=FALSE,"",
        IF(ISERROR(VLOOKUP($G87,SantoYusuf!$L$13:$AK$56,J$4,FALSE))=TRUE,"",
              VLOOKUP($G87,SantoYusuf!$L$13:$AK$56,J$4,FALSE)))</f>
        <v/>
      </c>
      <c r="K87" s="18" t="str">
        <f>IF(ISNUMBER($L$6)=FALSE,"",
        IF(ISERROR(VLOOKUP($G87,SantoYusuf!$L$13:$AK$56,K$4,FALSE))=TRUE,"",
              VLOOKUP($G87,SantoYusuf!$L$13:$AK$56,K$4,FALSE)))</f>
        <v/>
      </c>
      <c r="L87" s="18" t="str">
        <f>IF(ISNUMBER($L$6)=FALSE,"",
        IF(ISERROR(VLOOKUP($G87,SantoYusuf!$L$13:$AK$56,L$4,FALSE))=TRUE,"",
              VLOOKUP($G87,SantoYusuf!$L$13:$AK$56,L$4,FALSE)))</f>
        <v/>
      </c>
      <c r="M87" s="18" t="str">
        <f>IF(ISNUMBER($L$6)=FALSE,"",
        IF(ISERROR(VLOOKUP($G87,SantoYusuf!$L$13:$AK$56,M$4,FALSE))=TRUE,"",
              VLOOKUP($G87,SantoYusuf!$L$13:$AK$56,M$4,FALSE)))</f>
        <v/>
      </c>
      <c r="N87" s="18" t="str">
        <f>IF(ISNUMBER($L$6)=FALSE,"",
        IF(ISERROR(VLOOKUP($G87,SantoYusuf!$L$13:$AK$56,N$4,FALSE))=TRUE,"",
              VLOOKUP($G87,SantoYusuf!$L$13:$AK$56,N$4,FALSE)))</f>
        <v/>
      </c>
      <c r="O87" s="18" t="str">
        <f>IF(ISNUMBER($L$6)=FALSE,"",
        IF(ISERROR(VLOOKUP($G87,SantoYusuf!$L$13:$AK$56,O$4,FALSE))=TRUE,"",
              VLOOKUP($G87,SantoYusuf!$L$13:$AK$56,O$4,FALSE)))</f>
        <v/>
      </c>
      <c r="P87" s="18" t="str">
        <f>IF(ISNUMBER($L$6)=FALSE,"",
        IF(ISERROR(VLOOKUP($G87,SantoYusuf!$L$13:$AK$56,P$4,FALSE))=TRUE,"",
              VLOOKUP($G87,SantoYusuf!$L$13:$AK$56,P$4,FALSE)))</f>
        <v/>
      </c>
      <c r="Q87" s="18" t="str">
        <f>IF(ISNUMBER($L$6)=FALSE,"",
        IF(ISERROR(VLOOKUP($G87,SantoYusuf!$L$13:$AK$56,Q$4,FALSE))=TRUE,"",
              VLOOKUP($G87,SantoYusuf!$L$13:$AK$56,Q$4,FALSE)))</f>
        <v/>
      </c>
      <c r="R87" s="18" t="str">
        <f>IF(ISNUMBER($L$6)=FALSE,"",
        IF(ISERROR(VLOOKUP($G87,SantoYusuf!$L$13:$AK$56,R$4,FALSE))=TRUE,"",
              VLOOKUP($G87,SantoYusuf!$L$13:$AK$56,R$4,FALSE)))</f>
        <v/>
      </c>
      <c r="S87" s="18" t="str">
        <f>IF(ISNUMBER($L$6)=FALSE,"",
        IF(ISERROR(VLOOKUP($G87,SantoYusuf!$L$13:$AK$56,S$4,FALSE))=TRUE,"",
              VLOOKUP($G87,SantoYusuf!$L$13:$AK$56,S$4,FALSE)))</f>
        <v/>
      </c>
      <c r="T87" s="18" t="str">
        <f>IF(ISNUMBER($L$6)=FALSE,"",
        IF(ISERROR(VLOOKUP($G87,SantoYusuf!$L$13:$AK$56,T$4,FALSE))=TRUE,"",
              VLOOKUP($G87,SantoYusuf!$L$13:$AK$56,T$4,FALSE)))</f>
        <v/>
      </c>
      <c r="U87" s="18" t="str">
        <f>IF(ISNUMBER($L$6)=FALSE,"",
        IF(ISERROR(VLOOKUP($G87,SantoYusuf!$L$13:$AK$56,U$4,FALSE))=TRUE,"",
              VLOOKUP($G87,SantoYusuf!$L$13:$AK$56,U$4,FALSE)))</f>
        <v/>
      </c>
      <c r="V87" s="18" t="str">
        <f>IF(ISNUMBER($L$6)=FALSE,"",
        IF(ISERROR(VLOOKUP($G87,SantoYusuf!$L$13:$AK$56,V$4,FALSE))=TRUE,"",
              VLOOKUP($G87,SantoYusuf!$L$13:$AK$56,V$4,FALSE)))</f>
        <v/>
      </c>
      <c r="W87" s="18" t="str">
        <f>IF(ISNUMBER($L$6)=FALSE,"",
        IF(ISERROR(VLOOKUP($G87,SantoYusuf!$L$13:$AK$56,W$4,FALSE))=TRUE,"",
              VLOOKUP($G87,SantoYusuf!$L$13:$AK$56,W$4,FALSE)))</f>
        <v/>
      </c>
      <c r="X87" s="18" t="str">
        <f>IF(ISNUMBER($L$6)=FALSE,"",
        IF(ISERROR(VLOOKUP($G87,SantoYusuf!$L$13:$AK$56,X$4,FALSE))=TRUE,"",
              VLOOKUP($G87,SantoYusuf!$L$13:$AK$56,X$4,FALSE)))</f>
        <v/>
      </c>
      <c r="Y87" s="18" t="str">
        <f>IF(ISNUMBER($L$6)=FALSE,"",
        IF(ISERROR(VLOOKUP($G87,SantoYusuf!$L$13:$AK$56,Y$4,FALSE))=TRUE,"",
              VLOOKUP($G87,SantoYusuf!$L$13:$AK$56,Y$4,FALSE)))</f>
        <v/>
      </c>
      <c r="Z87" s="18" t="str">
        <f>IF(ISNUMBER($L$6)=FALSE,"",
        IF(ISERROR(VLOOKUP($G87,SantoYusuf!$L$13:$AK$56,Z$4,FALSE))=TRUE,"",
              VLOOKUP($G87,SantoYusuf!$L$13:$AK$56,Z$4,FALSE)))</f>
        <v/>
      </c>
      <c r="AA87" s="18" t="str">
        <f>IF(ISNUMBER($L$6)=FALSE,"",
        IF(ISERROR(VLOOKUP($G87,SantoYusuf!$L$13:$AK$56,AA$4,FALSE))=TRUE,"",
              VLOOKUP($G87,SantoYusuf!$L$13:$AK$56,AA$4,FALSE)))</f>
        <v/>
      </c>
      <c r="AB87" s="18" t="str">
        <f>IF(ISNUMBER($L$6)=FALSE,"",
        IF(ISERROR(VLOOKUP($G87,SantoYusuf!$L$13:$AK$56,AB$4,FALSE))=TRUE,"",
              VLOOKUP($G87,SantoYusuf!$L$13:$AK$56,AB$4,FALSE)))</f>
        <v/>
      </c>
      <c r="AC87" s="18" t="str">
        <f>IF(ISNUMBER($L$6)=FALSE,"",
        IF(ISERROR(VLOOKUP($G87,SantoYusuf!$L$13:$AK$56,AC$4,FALSE))=TRUE,"",
              VLOOKUP($G87,SantoYusuf!$L$13:$AK$56,AC$4,FALSE)))</f>
        <v/>
      </c>
      <c r="AD87" s="18" t="str">
        <f>IF(ISNUMBER($L$6)=FALSE,"",
        IF(ISERROR(VLOOKUP($G87,SantoYusuf!$L$13:$AK$56,AD$4,FALSE))=TRUE,"",
              VLOOKUP($G87,SantoYusuf!$L$13:$AK$56,AD$4,FALSE)))</f>
        <v/>
      </c>
      <c r="AE87" s="18" t="str">
        <f>IF(ISNUMBER($L$6)=FALSE,"",
        IF(ISERROR(VLOOKUP($G87,SantoYusuf!$L$13:$AK$56,AE$4,FALSE))=TRUE,"",
              VLOOKUP($G87,SantoYusuf!$L$13:$AK$56,AE$4,FALSE)))</f>
        <v/>
      </c>
      <c r="AF87" s="18" t="str">
        <f>IF(ISNUMBER($L$6)=FALSE,"",
        IF(ISERROR(VLOOKUP($G87,SantoYusuf!$L$13:$AK$56,AF$4,FALSE))=TRUE,"",
              VLOOKUP($G87,SantoYusuf!$L$13:$AK$56,AF$4,FALSE)))</f>
        <v/>
      </c>
    </row>
    <row r="88" spans="1:32" s="60" customFormat="1" ht="10.5" x14ac:dyDescent="0.25">
      <c r="A88" s="59"/>
      <c r="C88" s="59">
        <f t="shared" si="6"/>
        <v>75</v>
      </c>
      <c r="D88" s="61"/>
      <c r="E88" s="77" t="str">
        <f t="shared" si="7"/>
        <v/>
      </c>
      <c r="F88" s="77" t="str">
        <f>IF(ISNUMBER($L$6)=FALSE,"",
IF($C88=0,"",VLOOKUP($E88,SantoYusuf!$H$13:$L$56,4,FALSE)))</f>
        <v/>
      </c>
      <c r="G88" s="77" t="str">
        <f>IF(ISNUMBER($L$6)=FALSE,"",
IF($C88=0,"",VLOOKUP($E88,SantoYusuf!$H$13:$L$56,5,FALSE)))</f>
        <v/>
      </c>
      <c r="H88" s="17" t="str">
        <f t="shared" si="8"/>
        <v/>
      </c>
      <c r="I88" s="18" t="str">
        <f>IF(ISNUMBER($L$6)=FALSE,"",
        IF(ISERROR(VLOOKUP($G88,SantoYusuf!$L$13:$AK$56,I$4,FALSE))=TRUE,"",
              VLOOKUP($G88,SantoYusuf!$L$13:$AK$56,I$4,FALSE)))</f>
        <v/>
      </c>
      <c r="J88" s="18" t="str">
        <f>IF(ISNUMBER($L$6)=FALSE,"",
        IF(ISERROR(VLOOKUP($G88,SantoYusuf!$L$13:$AK$56,J$4,FALSE))=TRUE,"",
              VLOOKUP($G88,SantoYusuf!$L$13:$AK$56,J$4,FALSE)))</f>
        <v/>
      </c>
      <c r="K88" s="18" t="str">
        <f>IF(ISNUMBER($L$6)=FALSE,"",
        IF(ISERROR(VLOOKUP($G88,SantoYusuf!$L$13:$AK$56,K$4,FALSE))=TRUE,"",
              VLOOKUP($G88,SantoYusuf!$L$13:$AK$56,K$4,FALSE)))</f>
        <v/>
      </c>
      <c r="L88" s="18" t="str">
        <f>IF(ISNUMBER($L$6)=FALSE,"",
        IF(ISERROR(VLOOKUP($G88,SantoYusuf!$L$13:$AK$56,L$4,FALSE))=TRUE,"",
              VLOOKUP($G88,SantoYusuf!$L$13:$AK$56,L$4,FALSE)))</f>
        <v/>
      </c>
      <c r="M88" s="18" t="str">
        <f>IF(ISNUMBER($L$6)=FALSE,"",
        IF(ISERROR(VLOOKUP($G88,SantoYusuf!$L$13:$AK$56,M$4,FALSE))=TRUE,"",
              VLOOKUP($G88,SantoYusuf!$L$13:$AK$56,M$4,FALSE)))</f>
        <v/>
      </c>
      <c r="N88" s="18" t="str">
        <f>IF(ISNUMBER($L$6)=FALSE,"",
        IF(ISERROR(VLOOKUP($G88,SantoYusuf!$L$13:$AK$56,N$4,FALSE))=TRUE,"",
              VLOOKUP($G88,SantoYusuf!$L$13:$AK$56,N$4,FALSE)))</f>
        <v/>
      </c>
      <c r="O88" s="18" t="str">
        <f>IF(ISNUMBER($L$6)=FALSE,"",
        IF(ISERROR(VLOOKUP($G88,SantoYusuf!$L$13:$AK$56,O$4,FALSE))=TRUE,"",
              VLOOKUP($G88,SantoYusuf!$L$13:$AK$56,O$4,FALSE)))</f>
        <v/>
      </c>
      <c r="P88" s="18" t="str">
        <f>IF(ISNUMBER($L$6)=FALSE,"",
        IF(ISERROR(VLOOKUP($G88,SantoYusuf!$L$13:$AK$56,P$4,FALSE))=TRUE,"",
              VLOOKUP($G88,SantoYusuf!$L$13:$AK$56,P$4,FALSE)))</f>
        <v/>
      </c>
      <c r="Q88" s="18" t="str">
        <f>IF(ISNUMBER($L$6)=FALSE,"",
        IF(ISERROR(VLOOKUP($G88,SantoYusuf!$L$13:$AK$56,Q$4,FALSE))=TRUE,"",
              VLOOKUP($G88,SantoYusuf!$L$13:$AK$56,Q$4,FALSE)))</f>
        <v/>
      </c>
      <c r="R88" s="18" t="str">
        <f>IF(ISNUMBER($L$6)=FALSE,"",
        IF(ISERROR(VLOOKUP($G88,SantoYusuf!$L$13:$AK$56,R$4,FALSE))=TRUE,"",
              VLOOKUP($G88,SantoYusuf!$L$13:$AK$56,R$4,FALSE)))</f>
        <v/>
      </c>
      <c r="S88" s="18" t="str">
        <f>IF(ISNUMBER($L$6)=FALSE,"",
        IF(ISERROR(VLOOKUP($G88,SantoYusuf!$L$13:$AK$56,S$4,FALSE))=TRUE,"",
              VLOOKUP($G88,SantoYusuf!$L$13:$AK$56,S$4,FALSE)))</f>
        <v/>
      </c>
      <c r="T88" s="18" t="str">
        <f>IF(ISNUMBER($L$6)=FALSE,"",
        IF(ISERROR(VLOOKUP($G88,SantoYusuf!$L$13:$AK$56,T$4,FALSE))=TRUE,"",
              VLOOKUP($G88,SantoYusuf!$L$13:$AK$56,T$4,FALSE)))</f>
        <v/>
      </c>
      <c r="U88" s="18" t="str">
        <f>IF(ISNUMBER($L$6)=FALSE,"",
        IF(ISERROR(VLOOKUP($G88,SantoYusuf!$L$13:$AK$56,U$4,FALSE))=TRUE,"",
              VLOOKUP($G88,SantoYusuf!$L$13:$AK$56,U$4,FALSE)))</f>
        <v/>
      </c>
      <c r="V88" s="18" t="str">
        <f>IF(ISNUMBER($L$6)=FALSE,"",
        IF(ISERROR(VLOOKUP($G88,SantoYusuf!$L$13:$AK$56,V$4,FALSE))=TRUE,"",
              VLOOKUP($G88,SantoYusuf!$L$13:$AK$56,V$4,FALSE)))</f>
        <v/>
      </c>
      <c r="W88" s="18" t="str">
        <f>IF(ISNUMBER($L$6)=FALSE,"",
        IF(ISERROR(VLOOKUP($G88,SantoYusuf!$L$13:$AK$56,W$4,FALSE))=TRUE,"",
              VLOOKUP($G88,SantoYusuf!$L$13:$AK$56,W$4,FALSE)))</f>
        <v/>
      </c>
      <c r="X88" s="18" t="str">
        <f>IF(ISNUMBER($L$6)=FALSE,"",
        IF(ISERROR(VLOOKUP($G88,SantoYusuf!$L$13:$AK$56,X$4,FALSE))=TRUE,"",
              VLOOKUP($G88,SantoYusuf!$L$13:$AK$56,X$4,FALSE)))</f>
        <v/>
      </c>
      <c r="Y88" s="18" t="str">
        <f>IF(ISNUMBER($L$6)=FALSE,"",
        IF(ISERROR(VLOOKUP($G88,SantoYusuf!$L$13:$AK$56,Y$4,FALSE))=TRUE,"",
              VLOOKUP($G88,SantoYusuf!$L$13:$AK$56,Y$4,FALSE)))</f>
        <v/>
      </c>
      <c r="Z88" s="18" t="str">
        <f>IF(ISNUMBER($L$6)=FALSE,"",
        IF(ISERROR(VLOOKUP($G88,SantoYusuf!$L$13:$AK$56,Z$4,FALSE))=TRUE,"",
              VLOOKUP($G88,SantoYusuf!$L$13:$AK$56,Z$4,FALSE)))</f>
        <v/>
      </c>
      <c r="AA88" s="18" t="str">
        <f>IF(ISNUMBER($L$6)=FALSE,"",
        IF(ISERROR(VLOOKUP($G88,SantoYusuf!$L$13:$AK$56,AA$4,FALSE))=TRUE,"",
              VLOOKUP($G88,SantoYusuf!$L$13:$AK$56,AA$4,FALSE)))</f>
        <v/>
      </c>
      <c r="AB88" s="18" t="str">
        <f>IF(ISNUMBER($L$6)=FALSE,"",
        IF(ISERROR(VLOOKUP($G88,SantoYusuf!$L$13:$AK$56,AB$4,FALSE))=TRUE,"",
              VLOOKUP($G88,SantoYusuf!$L$13:$AK$56,AB$4,FALSE)))</f>
        <v/>
      </c>
      <c r="AC88" s="18" t="str">
        <f>IF(ISNUMBER($L$6)=FALSE,"",
        IF(ISERROR(VLOOKUP($G88,SantoYusuf!$L$13:$AK$56,AC$4,FALSE))=TRUE,"",
              VLOOKUP($G88,SantoYusuf!$L$13:$AK$56,AC$4,FALSE)))</f>
        <v/>
      </c>
      <c r="AD88" s="18" t="str">
        <f>IF(ISNUMBER($L$6)=FALSE,"",
        IF(ISERROR(VLOOKUP($G88,SantoYusuf!$L$13:$AK$56,AD$4,FALSE))=TRUE,"",
              VLOOKUP($G88,SantoYusuf!$L$13:$AK$56,AD$4,FALSE)))</f>
        <v/>
      </c>
      <c r="AE88" s="18" t="str">
        <f>IF(ISNUMBER($L$6)=FALSE,"",
        IF(ISERROR(VLOOKUP($G88,SantoYusuf!$L$13:$AK$56,AE$4,FALSE))=TRUE,"",
              VLOOKUP($G88,SantoYusuf!$L$13:$AK$56,AE$4,FALSE)))</f>
        <v/>
      </c>
      <c r="AF88" s="18" t="str">
        <f>IF(ISNUMBER($L$6)=FALSE,"",
        IF(ISERROR(VLOOKUP($G88,SantoYusuf!$L$13:$AK$56,AF$4,FALSE))=TRUE,"",
              VLOOKUP($G88,SantoYusuf!$L$13:$AK$56,AF$4,FALSE)))</f>
        <v/>
      </c>
    </row>
    <row r="89" spans="1:32" s="60" customFormat="1" ht="10.5" x14ac:dyDescent="0.25">
      <c r="A89" s="59"/>
      <c r="C89" s="59">
        <f t="shared" si="6"/>
        <v>76</v>
      </c>
      <c r="D89" s="61"/>
      <c r="E89" s="77" t="str">
        <f t="shared" si="7"/>
        <v/>
      </c>
      <c r="F89" s="77" t="str">
        <f>IF(ISNUMBER($L$6)=FALSE,"",
IF($C89=0,"",VLOOKUP($E89,SantoYusuf!$H$13:$L$56,4,FALSE)))</f>
        <v/>
      </c>
      <c r="G89" s="77" t="str">
        <f>IF(ISNUMBER($L$6)=FALSE,"",
IF($C89=0,"",VLOOKUP($E89,SantoYusuf!$H$13:$L$56,5,FALSE)))</f>
        <v/>
      </c>
      <c r="H89" s="17" t="str">
        <f t="shared" si="8"/>
        <v/>
      </c>
      <c r="I89" s="18" t="str">
        <f>IF(ISNUMBER($L$6)=FALSE,"",
        IF(ISERROR(VLOOKUP($G89,SantoYusuf!$L$13:$AK$56,I$4,FALSE))=TRUE,"",
              VLOOKUP($G89,SantoYusuf!$L$13:$AK$56,I$4,FALSE)))</f>
        <v/>
      </c>
      <c r="J89" s="18" t="str">
        <f>IF(ISNUMBER($L$6)=FALSE,"",
        IF(ISERROR(VLOOKUP($G89,SantoYusuf!$L$13:$AK$56,J$4,FALSE))=TRUE,"",
              VLOOKUP($G89,SantoYusuf!$L$13:$AK$56,J$4,FALSE)))</f>
        <v/>
      </c>
      <c r="K89" s="18" t="str">
        <f>IF(ISNUMBER($L$6)=FALSE,"",
        IF(ISERROR(VLOOKUP($G89,SantoYusuf!$L$13:$AK$56,K$4,FALSE))=TRUE,"",
              VLOOKUP($G89,SantoYusuf!$L$13:$AK$56,K$4,FALSE)))</f>
        <v/>
      </c>
      <c r="L89" s="18" t="str">
        <f>IF(ISNUMBER($L$6)=FALSE,"",
        IF(ISERROR(VLOOKUP($G89,SantoYusuf!$L$13:$AK$56,L$4,FALSE))=TRUE,"",
              VLOOKUP($G89,SantoYusuf!$L$13:$AK$56,L$4,FALSE)))</f>
        <v/>
      </c>
      <c r="M89" s="18" t="str">
        <f>IF(ISNUMBER($L$6)=FALSE,"",
        IF(ISERROR(VLOOKUP($G89,SantoYusuf!$L$13:$AK$56,M$4,FALSE))=TRUE,"",
              VLOOKUP($G89,SantoYusuf!$L$13:$AK$56,M$4,FALSE)))</f>
        <v/>
      </c>
      <c r="N89" s="18" t="str">
        <f>IF(ISNUMBER($L$6)=FALSE,"",
        IF(ISERROR(VLOOKUP($G89,SantoYusuf!$L$13:$AK$56,N$4,FALSE))=TRUE,"",
              VLOOKUP($G89,SantoYusuf!$L$13:$AK$56,N$4,FALSE)))</f>
        <v/>
      </c>
      <c r="O89" s="18" t="str">
        <f>IF(ISNUMBER($L$6)=FALSE,"",
        IF(ISERROR(VLOOKUP($G89,SantoYusuf!$L$13:$AK$56,O$4,FALSE))=TRUE,"",
              VLOOKUP($G89,SantoYusuf!$L$13:$AK$56,O$4,FALSE)))</f>
        <v/>
      </c>
      <c r="P89" s="18" t="str">
        <f>IF(ISNUMBER($L$6)=FALSE,"",
        IF(ISERROR(VLOOKUP($G89,SantoYusuf!$L$13:$AK$56,P$4,FALSE))=TRUE,"",
              VLOOKUP($G89,SantoYusuf!$L$13:$AK$56,P$4,FALSE)))</f>
        <v/>
      </c>
      <c r="Q89" s="18" t="str">
        <f>IF(ISNUMBER($L$6)=FALSE,"",
        IF(ISERROR(VLOOKUP($G89,SantoYusuf!$L$13:$AK$56,Q$4,FALSE))=TRUE,"",
              VLOOKUP($G89,SantoYusuf!$L$13:$AK$56,Q$4,FALSE)))</f>
        <v/>
      </c>
      <c r="R89" s="18" t="str">
        <f>IF(ISNUMBER($L$6)=FALSE,"",
        IF(ISERROR(VLOOKUP($G89,SantoYusuf!$L$13:$AK$56,R$4,FALSE))=TRUE,"",
              VLOOKUP($G89,SantoYusuf!$L$13:$AK$56,R$4,FALSE)))</f>
        <v/>
      </c>
      <c r="S89" s="18" t="str">
        <f>IF(ISNUMBER($L$6)=FALSE,"",
        IF(ISERROR(VLOOKUP($G89,SantoYusuf!$L$13:$AK$56,S$4,FALSE))=TRUE,"",
              VLOOKUP($G89,SantoYusuf!$L$13:$AK$56,S$4,FALSE)))</f>
        <v/>
      </c>
      <c r="T89" s="18" t="str">
        <f>IF(ISNUMBER($L$6)=FALSE,"",
        IF(ISERROR(VLOOKUP($G89,SantoYusuf!$L$13:$AK$56,T$4,FALSE))=TRUE,"",
              VLOOKUP($G89,SantoYusuf!$L$13:$AK$56,T$4,FALSE)))</f>
        <v/>
      </c>
      <c r="U89" s="18" t="str">
        <f>IF(ISNUMBER($L$6)=FALSE,"",
        IF(ISERROR(VLOOKUP($G89,SantoYusuf!$L$13:$AK$56,U$4,FALSE))=TRUE,"",
              VLOOKUP($G89,SantoYusuf!$L$13:$AK$56,U$4,FALSE)))</f>
        <v/>
      </c>
      <c r="V89" s="18" t="str">
        <f>IF(ISNUMBER($L$6)=FALSE,"",
        IF(ISERROR(VLOOKUP($G89,SantoYusuf!$L$13:$AK$56,V$4,FALSE))=TRUE,"",
              VLOOKUP($G89,SantoYusuf!$L$13:$AK$56,V$4,FALSE)))</f>
        <v/>
      </c>
      <c r="W89" s="18" t="str">
        <f>IF(ISNUMBER($L$6)=FALSE,"",
        IF(ISERROR(VLOOKUP($G89,SantoYusuf!$L$13:$AK$56,W$4,FALSE))=TRUE,"",
              VLOOKUP($G89,SantoYusuf!$L$13:$AK$56,W$4,FALSE)))</f>
        <v/>
      </c>
      <c r="X89" s="18" t="str">
        <f>IF(ISNUMBER($L$6)=FALSE,"",
        IF(ISERROR(VLOOKUP($G89,SantoYusuf!$L$13:$AK$56,X$4,FALSE))=TRUE,"",
              VLOOKUP($G89,SantoYusuf!$L$13:$AK$56,X$4,FALSE)))</f>
        <v/>
      </c>
      <c r="Y89" s="18" t="str">
        <f>IF(ISNUMBER($L$6)=FALSE,"",
        IF(ISERROR(VLOOKUP($G89,SantoYusuf!$L$13:$AK$56,Y$4,FALSE))=TRUE,"",
              VLOOKUP($G89,SantoYusuf!$L$13:$AK$56,Y$4,FALSE)))</f>
        <v/>
      </c>
      <c r="Z89" s="18" t="str">
        <f>IF(ISNUMBER($L$6)=FALSE,"",
        IF(ISERROR(VLOOKUP($G89,SantoYusuf!$L$13:$AK$56,Z$4,FALSE))=TRUE,"",
              VLOOKUP($G89,SantoYusuf!$L$13:$AK$56,Z$4,FALSE)))</f>
        <v/>
      </c>
      <c r="AA89" s="18" t="str">
        <f>IF(ISNUMBER($L$6)=FALSE,"",
        IF(ISERROR(VLOOKUP($G89,SantoYusuf!$L$13:$AK$56,AA$4,FALSE))=TRUE,"",
              VLOOKUP($G89,SantoYusuf!$L$13:$AK$56,AA$4,FALSE)))</f>
        <v/>
      </c>
      <c r="AB89" s="18" t="str">
        <f>IF(ISNUMBER($L$6)=FALSE,"",
        IF(ISERROR(VLOOKUP($G89,SantoYusuf!$L$13:$AK$56,AB$4,FALSE))=TRUE,"",
              VLOOKUP($G89,SantoYusuf!$L$13:$AK$56,AB$4,FALSE)))</f>
        <v/>
      </c>
      <c r="AC89" s="18" t="str">
        <f>IF(ISNUMBER($L$6)=FALSE,"",
        IF(ISERROR(VLOOKUP($G89,SantoYusuf!$L$13:$AK$56,AC$4,FALSE))=TRUE,"",
              VLOOKUP($G89,SantoYusuf!$L$13:$AK$56,AC$4,FALSE)))</f>
        <v/>
      </c>
      <c r="AD89" s="18" t="str">
        <f>IF(ISNUMBER($L$6)=FALSE,"",
        IF(ISERROR(VLOOKUP($G89,SantoYusuf!$L$13:$AK$56,AD$4,FALSE))=TRUE,"",
              VLOOKUP($G89,SantoYusuf!$L$13:$AK$56,AD$4,FALSE)))</f>
        <v/>
      </c>
      <c r="AE89" s="18" t="str">
        <f>IF(ISNUMBER($L$6)=FALSE,"",
        IF(ISERROR(VLOOKUP($G89,SantoYusuf!$L$13:$AK$56,AE$4,FALSE))=TRUE,"",
              VLOOKUP($G89,SantoYusuf!$L$13:$AK$56,AE$4,FALSE)))</f>
        <v/>
      </c>
      <c r="AF89" s="18" t="str">
        <f>IF(ISNUMBER($L$6)=FALSE,"",
        IF(ISERROR(VLOOKUP($G89,SantoYusuf!$L$13:$AK$56,AF$4,FALSE))=TRUE,"",
              VLOOKUP($G89,SantoYusuf!$L$13:$AK$56,AF$4,FALSE)))</f>
        <v/>
      </c>
    </row>
    <row r="90" spans="1:32" s="60" customFormat="1" ht="10.5" x14ac:dyDescent="0.25">
      <c r="A90" s="59"/>
      <c r="C90" s="59">
        <f t="shared" si="6"/>
        <v>77</v>
      </c>
      <c r="D90" s="61"/>
      <c r="E90" s="77" t="str">
        <f t="shared" si="7"/>
        <v/>
      </c>
      <c r="F90" s="77" t="str">
        <f>IF(ISNUMBER($L$6)=FALSE,"",
IF($C90=0,"",VLOOKUP($E90,SantoYusuf!$H$13:$L$56,4,FALSE)))</f>
        <v/>
      </c>
      <c r="G90" s="77" t="str">
        <f>IF(ISNUMBER($L$6)=FALSE,"",
IF($C90=0,"",VLOOKUP($E90,SantoYusuf!$H$13:$L$56,5,FALSE)))</f>
        <v/>
      </c>
      <c r="H90" s="17" t="str">
        <f t="shared" si="8"/>
        <v/>
      </c>
      <c r="I90" s="18" t="str">
        <f>IF(ISNUMBER($L$6)=FALSE,"",
        IF(ISERROR(VLOOKUP($G90,SantoYusuf!$L$13:$AK$56,I$4,FALSE))=TRUE,"",
              VLOOKUP($G90,SantoYusuf!$L$13:$AK$56,I$4,FALSE)))</f>
        <v/>
      </c>
      <c r="J90" s="18" t="str">
        <f>IF(ISNUMBER($L$6)=FALSE,"",
        IF(ISERROR(VLOOKUP($G90,SantoYusuf!$L$13:$AK$56,J$4,FALSE))=TRUE,"",
              VLOOKUP($G90,SantoYusuf!$L$13:$AK$56,J$4,FALSE)))</f>
        <v/>
      </c>
      <c r="K90" s="18" t="str">
        <f>IF(ISNUMBER($L$6)=FALSE,"",
        IF(ISERROR(VLOOKUP($G90,SantoYusuf!$L$13:$AK$56,K$4,FALSE))=TRUE,"",
              VLOOKUP($G90,SantoYusuf!$L$13:$AK$56,K$4,FALSE)))</f>
        <v/>
      </c>
      <c r="L90" s="18" t="str">
        <f>IF(ISNUMBER($L$6)=FALSE,"",
        IF(ISERROR(VLOOKUP($G90,SantoYusuf!$L$13:$AK$56,L$4,FALSE))=TRUE,"",
              VLOOKUP($G90,SantoYusuf!$L$13:$AK$56,L$4,FALSE)))</f>
        <v/>
      </c>
      <c r="M90" s="18" t="str">
        <f>IF(ISNUMBER($L$6)=FALSE,"",
        IF(ISERROR(VLOOKUP($G90,SantoYusuf!$L$13:$AK$56,M$4,FALSE))=TRUE,"",
              VLOOKUP($G90,SantoYusuf!$L$13:$AK$56,M$4,FALSE)))</f>
        <v/>
      </c>
      <c r="N90" s="18" t="str">
        <f>IF(ISNUMBER($L$6)=FALSE,"",
        IF(ISERROR(VLOOKUP($G90,SantoYusuf!$L$13:$AK$56,N$4,FALSE))=TRUE,"",
              VLOOKUP($G90,SantoYusuf!$L$13:$AK$56,N$4,FALSE)))</f>
        <v/>
      </c>
      <c r="O90" s="18" t="str">
        <f>IF(ISNUMBER($L$6)=FALSE,"",
        IF(ISERROR(VLOOKUP($G90,SantoYusuf!$L$13:$AK$56,O$4,FALSE))=TRUE,"",
              VLOOKUP($G90,SantoYusuf!$L$13:$AK$56,O$4,FALSE)))</f>
        <v/>
      </c>
      <c r="P90" s="18" t="str">
        <f>IF(ISNUMBER($L$6)=FALSE,"",
        IF(ISERROR(VLOOKUP($G90,SantoYusuf!$L$13:$AK$56,P$4,FALSE))=TRUE,"",
              VLOOKUP($G90,SantoYusuf!$L$13:$AK$56,P$4,FALSE)))</f>
        <v/>
      </c>
      <c r="Q90" s="18" t="str">
        <f>IF(ISNUMBER($L$6)=FALSE,"",
        IF(ISERROR(VLOOKUP($G90,SantoYusuf!$L$13:$AK$56,Q$4,FALSE))=TRUE,"",
              VLOOKUP($G90,SantoYusuf!$L$13:$AK$56,Q$4,FALSE)))</f>
        <v/>
      </c>
      <c r="R90" s="18" t="str">
        <f>IF(ISNUMBER($L$6)=FALSE,"",
        IF(ISERROR(VLOOKUP($G90,SantoYusuf!$L$13:$AK$56,R$4,FALSE))=TRUE,"",
              VLOOKUP($G90,SantoYusuf!$L$13:$AK$56,R$4,FALSE)))</f>
        <v/>
      </c>
      <c r="S90" s="18" t="str">
        <f>IF(ISNUMBER($L$6)=FALSE,"",
        IF(ISERROR(VLOOKUP($G90,SantoYusuf!$L$13:$AK$56,S$4,FALSE))=TRUE,"",
              VLOOKUP($G90,SantoYusuf!$L$13:$AK$56,S$4,FALSE)))</f>
        <v/>
      </c>
      <c r="T90" s="18" t="str">
        <f>IF(ISNUMBER($L$6)=FALSE,"",
        IF(ISERROR(VLOOKUP($G90,SantoYusuf!$L$13:$AK$56,T$4,FALSE))=TRUE,"",
              VLOOKUP($G90,SantoYusuf!$L$13:$AK$56,T$4,FALSE)))</f>
        <v/>
      </c>
      <c r="U90" s="18" t="str">
        <f>IF(ISNUMBER($L$6)=FALSE,"",
        IF(ISERROR(VLOOKUP($G90,SantoYusuf!$L$13:$AK$56,U$4,FALSE))=TRUE,"",
              VLOOKUP($G90,SantoYusuf!$L$13:$AK$56,U$4,FALSE)))</f>
        <v/>
      </c>
      <c r="V90" s="18" t="str">
        <f>IF(ISNUMBER($L$6)=FALSE,"",
        IF(ISERROR(VLOOKUP($G90,SantoYusuf!$L$13:$AK$56,V$4,FALSE))=TRUE,"",
              VLOOKUP($G90,SantoYusuf!$L$13:$AK$56,V$4,FALSE)))</f>
        <v/>
      </c>
      <c r="W90" s="18" t="str">
        <f>IF(ISNUMBER($L$6)=FALSE,"",
        IF(ISERROR(VLOOKUP($G90,SantoYusuf!$L$13:$AK$56,W$4,FALSE))=TRUE,"",
              VLOOKUP($G90,SantoYusuf!$L$13:$AK$56,W$4,FALSE)))</f>
        <v/>
      </c>
      <c r="X90" s="18" t="str">
        <f>IF(ISNUMBER($L$6)=FALSE,"",
        IF(ISERROR(VLOOKUP($G90,SantoYusuf!$L$13:$AK$56,X$4,FALSE))=TRUE,"",
              VLOOKUP($G90,SantoYusuf!$L$13:$AK$56,X$4,FALSE)))</f>
        <v/>
      </c>
      <c r="Y90" s="18" t="str">
        <f>IF(ISNUMBER($L$6)=FALSE,"",
        IF(ISERROR(VLOOKUP($G90,SantoYusuf!$L$13:$AK$56,Y$4,FALSE))=TRUE,"",
              VLOOKUP($G90,SantoYusuf!$L$13:$AK$56,Y$4,FALSE)))</f>
        <v/>
      </c>
      <c r="Z90" s="18" t="str">
        <f>IF(ISNUMBER($L$6)=FALSE,"",
        IF(ISERROR(VLOOKUP($G90,SantoYusuf!$L$13:$AK$56,Z$4,FALSE))=TRUE,"",
              VLOOKUP($G90,SantoYusuf!$L$13:$AK$56,Z$4,FALSE)))</f>
        <v/>
      </c>
      <c r="AA90" s="18" t="str">
        <f>IF(ISNUMBER($L$6)=FALSE,"",
        IF(ISERROR(VLOOKUP($G90,SantoYusuf!$L$13:$AK$56,AA$4,FALSE))=TRUE,"",
              VLOOKUP($G90,SantoYusuf!$L$13:$AK$56,AA$4,FALSE)))</f>
        <v/>
      </c>
      <c r="AB90" s="18" t="str">
        <f>IF(ISNUMBER($L$6)=FALSE,"",
        IF(ISERROR(VLOOKUP($G90,SantoYusuf!$L$13:$AK$56,AB$4,FALSE))=TRUE,"",
              VLOOKUP($G90,SantoYusuf!$L$13:$AK$56,AB$4,FALSE)))</f>
        <v/>
      </c>
      <c r="AC90" s="18" t="str">
        <f>IF(ISNUMBER($L$6)=FALSE,"",
        IF(ISERROR(VLOOKUP($G90,SantoYusuf!$L$13:$AK$56,AC$4,FALSE))=TRUE,"",
              VLOOKUP($G90,SantoYusuf!$L$13:$AK$56,AC$4,FALSE)))</f>
        <v/>
      </c>
      <c r="AD90" s="18" t="str">
        <f>IF(ISNUMBER($L$6)=FALSE,"",
        IF(ISERROR(VLOOKUP($G90,SantoYusuf!$L$13:$AK$56,AD$4,FALSE))=TRUE,"",
              VLOOKUP($G90,SantoYusuf!$L$13:$AK$56,AD$4,FALSE)))</f>
        <v/>
      </c>
      <c r="AE90" s="18" t="str">
        <f>IF(ISNUMBER($L$6)=FALSE,"",
        IF(ISERROR(VLOOKUP($G90,SantoYusuf!$L$13:$AK$56,AE$4,FALSE))=TRUE,"",
              VLOOKUP($G90,SantoYusuf!$L$13:$AK$56,AE$4,FALSE)))</f>
        <v/>
      </c>
      <c r="AF90" s="18" t="str">
        <f>IF(ISNUMBER($L$6)=FALSE,"",
        IF(ISERROR(VLOOKUP($G90,SantoYusuf!$L$13:$AK$56,AF$4,FALSE))=TRUE,"",
              VLOOKUP($G90,SantoYusuf!$L$13:$AK$56,AF$4,FALSE)))</f>
        <v/>
      </c>
    </row>
    <row r="91" spans="1:32" s="60" customFormat="1" ht="10.5" x14ac:dyDescent="0.25">
      <c r="A91" s="59"/>
      <c r="C91" s="59">
        <f t="shared" si="6"/>
        <v>78</v>
      </c>
      <c r="D91" s="61"/>
      <c r="E91" s="77" t="str">
        <f t="shared" si="7"/>
        <v/>
      </c>
      <c r="F91" s="77" t="str">
        <f>IF(ISNUMBER($L$6)=FALSE,"",
IF($C91=0,"",VLOOKUP($E91,SantoYusuf!$H$13:$L$56,4,FALSE)))</f>
        <v/>
      </c>
      <c r="G91" s="77" t="str">
        <f>IF(ISNUMBER($L$6)=FALSE,"",
IF($C91=0,"",VLOOKUP($E91,SantoYusuf!$H$13:$L$56,5,FALSE)))</f>
        <v/>
      </c>
      <c r="H91" s="17" t="str">
        <f t="shared" si="8"/>
        <v/>
      </c>
      <c r="I91" s="18" t="str">
        <f>IF(ISNUMBER($L$6)=FALSE,"",
        IF(ISERROR(VLOOKUP($G91,SantoYusuf!$L$13:$AK$56,I$4,FALSE))=TRUE,"",
              VLOOKUP($G91,SantoYusuf!$L$13:$AK$56,I$4,FALSE)))</f>
        <v/>
      </c>
      <c r="J91" s="18" t="str">
        <f>IF(ISNUMBER($L$6)=FALSE,"",
        IF(ISERROR(VLOOKUP($G91,SantoYusuf!$L$13:$AK$56,J$4,FALSE))=TRUE,"",
              VLOOKUP($G91,SantoYusuf!$L$13:$AK$56,J$4,FALSE)))</f>
        <v/>
      </c>
      <c r="K91" s="18" t="str">
        <f>IF(ISNUMBER($L$6)=FALSE,"",
        IF(ISERROR(VLOOKUP($G91,SantoYusuf!$L$13:$AK$56,K$4,FALSE))=TRUE,"",
              VLOOKUP($G91,SantoYusuf!$L$13:$AK$56,K$4,FALSE)))</f>
        <v/>
      </c>
      <c r="L91" s="18" t="str">
        <f>IF(ISNUMBER($L$6)=FALSE,"",
        IF(ISERROR(VLOOKUP($G91,SantoYusuf!$L$13:$AK$56,L$4,FALSE))=TRUE,"",
              VLOOKUP($G91,SantoYusuf!$L$13:$AK$56,L$4,FALSE)))</f>
        <v/>
      </c>
      <c r="M91" s="18" t="str">
        <f>IF(ISNUMBER($L$6)=FALSE,"",
        IF(ISERROR(VLOOKUP($G91,SantoYusuf!$L$13:$AK$56,M$4,FALSE))=TRUE,"",
              VLOOKUP($G91,SantoYusuf!$L$13:$AK$56,M$4,FALSE)))</f>
        <v/>
      </c>
      <c r="N91" s="18" t="str">
        <f>IF(ISNUMBER($L$6)=FALSE,"",
        IF(ISERROR(VLOOKUP($G91,SantoYusuf!$L$13:$AK$56,N$4,FALSE))=TRUE,"",
              VLOOKUP($G91,SantoYusuf!$L$13:$AK$56,N$4,FALSE)))</f>
        <v/>
      </c>
      <c r="O91" s="18" t="str">
        <f>IF(ISNUMBER($L$6)=FALSE,"",
        IF(ISERROR(VLOOKUP($G91,SantoYusuf!$L$13:$AK$56,O$4,FALSE))=TRUE,"",
              VLOOKUP($G91,SantoYusuf!$L$13:$AK$56,O$4,FALSE)))</f>
        <v/>
      </c>
      <c r="P91" s="18" t="str">
        <f>IF(ISNUMBER($L$6)=FALSE,"",
        IF(ISERROR(VLOOKUP($G91,SantoYusuf!$L$13:$AK$56,P$4,FALSE))=TRUE,"",
              VLOOKUP($G91,SantoYusuf!$L$13:$AK$56,P$4,FALSE)))</f>
        <v/>
      </c>
      <c r="Q91" s="18" t="str">
        <f>IF(ISNUMBER($L$6)=FALSE,"",
        IF(ISERROR(VLOOKUP($G91,SantoYusuf!$L$13:$AK$56,Q$4,FALSE))=TRUE,"",
              VLOOKUP($G91,SantoYusuf!$L$13:$AK$56,Q$4,FALSE)))</f>
        <v/>
      </c>
      <c r="R91" s="18" t="str">
        <f>IF(ISNUMBER($L$6)=FALSE,"",
        IF(ISERROR(VLOOKUP($G91,SantoYusuf!$L$13:$AK$56,R$4,FALSE))=TRUE,"",
              VLOOKUP($G91,SantoYusuf!$L$13:$AK$56,R$4,FALSE)))</f>
        <v/>
      </c>
      <c r="S91" s="18" t="str">
        <f>IF(ISNUMBER($L$6)=FALSE,"",
        IF(ISERROR(VLOOKUP($G91,SantoYusuf!$L$13:$AK$56,S$4,FALSE))=TRUE,"",
              VLOOKUP($G91,SantoYusuf!$L$13:$AK$56,S$4,FALSE)))</f>
        <v/>
      </c>
      <c r="T91" s="18" t="str">
        <f>IF(ISNUMBER($L$6)=FALSE,"",
        IF(ISERROR(VLOOKUP($G91,SantoYusuf!$L$13:$AK$56,T$4,FALSE))=TRUE,"",
              VLOOKUP($G91,SantoYusuf!$L$13:$AK$56,T$4,FALSE)))</f>
        <v/>
      </c>
      <c r="U91" s="18" t="str">
        <f>IF(ISNUMBER($L$6)=FALSE,"",
        IF(ISERROR(VLOOKUP($G91,SantoYusuf!$L$13:$AK$56,U$4,FALSE))=TRUE,"",
              VLOOKUP($G91,SantoYusuf!$L$13:$AK$56,U$4,FALSE)))</f>
        <v/>
      </c>
      <c r="V91" s="18" t="str">
        <f>IF(ISNUMBER($L$6)=FALSE,"",
        IF(ISERROR(VLOOKUP($G91,SantoYusuf!$L$13:$AK$56,V$4,FALSE))=TRUE,"",
              VLOOKUP($G91,SantoYusuf!$L$13:$AK$56,V$4,FALSE)))</f>
        <v/>
      </c>
      <c r="W91" s="18" t="str">
        <f>IF(ISNUMBER($L$6)=FALSE,"",
        IF(ISERROR(VLOOKUP($G91,SantoYusuf!$L$13:$AK$56,W$4,FALSE))=TRUE,"",
              VLOOKUP($G91,SantoYusuf!$L$13:$AK$56,W$4,FALSE)))</f>
        <v/>
      </c>
      <c r="X91" s="18" t="str">
        <f>IF(ISNUMBER($L$6)=FALSE,"",
        IF(ISERROR(VLOOKUP($G91,SantoYusuf!$L$13:$AK$56,X$4,FALSE))=TRUE,"",
              VLOOKUP($G91,SantoYusuf!$L$13:$AK$56,X$4,FALSE)))</f>
        <v/>
      </c>
      <c r="Y91" s="18" t="str">
        <f>IF(ISNUMBER($L$6)=FALSE,"",
        IF(ISERROR(VLOOKUP($G91,SantoYusuf!$L$13:$AK$56,Y$4,FALSE))=TRUE,"",
              VLOOKUP($G91,SantoYusuf!$L$13:$AK$56,Y$4,FALSE)))</f>
        <v/>
      </c>
      <c r="Z91" s="18" t="str">
        <f>IF(ISNUMBER($L$6)=FALSE,"",
        IF(ISERROR(VLOOKUP($G91,SantoYusuf!$L$13:$AK$56,Z$4,FALSE))=TRUE,"",
              VLOOKUP($G91,SantoYusuf!$L$13:$AK$56,Z$4,FALSE)))</f>
        <v/>
      </c>
      <c r="AA91" s="18" t="str">
        <f>IF(ISNUMBER($L$6)=FALSE,"",
        IF(ISERROR(VLOOKUP($G91,SantoYusuf!$L$13:$AK$56,AA$4,FALSE))=TRUE,"",
              VLOOKUP($G91,SantoYusuf!$L$13:$AK$56,AA$4,FALSE)))</f>
        <v/>
      </c>
      <c r="AB91" s="18" t="str">
        <f>IF(ISNUMBER($L$6)=FALSE,"",
        IF(ISERROR(VLOOKUP($G91,SantoYusuf!$L$13:$AK$56,AB$4,FALSE))=TRUE,"",
              VLOOKUP($G91,SantoYusuf!$L$13:$AK$56,AB$4,FALSE)))</f>
        <v/>
      </c>
      <c r="AC91" s="18" t="str">
        <f>IF(ISNUMBER($L$6)=FALSE,"",
        IF(ISERROR(VLOOKUP($G91,SantoYusuf!$L$13:$AK$56,AC$4,FALSE))=TRUE,"",
              VLOOKUP($G91,SantoYusuf!$L$13:$AK$56,AC$4,FALSE)))</f>
        <v/>
      </c>
      <c r="AD91" s="18" t="str">
        <f>IF(ISNUMBER($L$6)=FALSE,"",
        IF(ISERROR(VLOOKUP($G91,SantoYusuf!$L$13:$AK$56,AD$4,FALSE))=TRUE,"",
              VLOOKUP($G91,SantoYusuf!$L$13:$AK$56,AD$4,FALSE)))</f>
        <v/>
      </c>
      <c r="AE91" s="18" t="str">
        <f>IF(ISNUMBER($L$6)=FALSE,"",
        IF(ISERROR(VLOOKUP($G91,SantoYusuf!$L$13:$AK$56,AE$4,FALSE))=TRUE,"",
              VLOOKUP($G91,SantoYusuf!$L$13:$AK$56,AE$4,FALSE)))</f>
        <v/>
      </c>
      <c r="AF91" s="18" t="str">
        <f>IF(ISNUMBER($L$6)=FALSE,"",
        IF(ISERROR(VLOOKUP($G91,SantoYusuf!$L$13:$AK$56,AF$4,FALSE))=TRUE,"",
              VLOOKUP($G91,SantoYusuf!$L$13:$AK$56,AF$4,FALSE)))</f>
        <v/>
      </c>
    </row>
    <row r="92" spans="1:32" s="60" customFormat="1" ht="10.5" x14ac:dyDescent="0.25">
      <c r="A92" s="59"/>
      <c r="C92" s="59">
        <f t="shared" si="6"/>
        <v>79</v>
      </c>
      <c r="D92" s="61"/>
      <c r="E92" s="77" t="str">
        <f t="shared" si="7"/>
        <v/>
      </c>
      <c r="F92" s="77" t="str">
        <f>IF(ISNUMBER($L$6)=FALSE,"",
IF($C92=0,"",VLOOKUP($E92,SantoYusuf!$H$13:$L$56,4,FALSE)))</f>
        <v/>
      </c>
      <c r="G92" s="77" t="str">
        <f>IF(ISNUMBER($L$6)=FALSE,"",
IF($C92=0,"",VLOOKUP($E92,SantoYusuf!$H$13:$L$56,5,FALSE)))</f>
        <v/>
      </c>
      <c r="H92" s="17" t="str">
        <f t="shared" si="8"/>
        <v/>
      </c>
      <c r="I92" s="18" t="str">
        <f>IF(ISNUMBER($L$6)=FALSE,"",
        IF(ISERROR(VLOOKUP($G92,SantoYusuf!$L$13:$AK$56,I$4,FALSE))=TRUE,"",
              VLOOKUP($G92,SantoYusuf!$L$13:$AK$56,I$4,FALSE)))</f>
        <v/>
      </c>
      <c r="J92" s="18" t="str">
        <f>IF(ISNUMBER($L$6)=FALSE,"",
        IF(ISERROR(VLOOKUP($G92,SantoYusuf!$L$13:$AK$56,J$4,FALSE))=TRUE,"",
              VLOOKUP($G92,SantoYusuf!$L$13:$AK$56,J$4,FALSE)))</f>
        <v/>
      </c>
      <c r="K92" s="18" t="str">
        <f>IF(ISNUMBER($L$6)=FALSE,"",
        IF(ISERROR(VLOOKUP($G92,SantoYusuf!$L$13:$AK$56,K$4,FALSE))=TRUE,"",
              VLOOKUP($G92,SantoYusuf!$L$13:$AK$56,K$4,FALSE)))</f>
        <v/>
      </c>
      <c r="L92" s="18" t="str">
        <f>IF(ISNUMBER($L$6)=FALSE,"",
        IF(ISERROR(VLOOKUP($G92,SantoYusuf!$L$13:$AK$56,L$4,FALSE))=TRUE,"",
              VLOOKUP($G92,SantoYusuf!$L$13:$AK$56,L$4,FALSE)))</f>
        <v/>
      </c>
      <c r="M92" s="18" t="str">
        <f>IF(ISNUMBER($L$6)=FALSE,"",
        IF(ISERROR(VLOOKUP($G92,SantoYusuf!$L$13:$AK$56,M$4,FALSE))=TRUE,"",
              VLOOKUP($G92,SantoYusuf!$L$13:$AK$56,M$4,FALSE)))</f>
        <v/>
      </c>
      <c r="N92" s="18" t="str">
        <f>IF(ISNUMBER($L$6)=FALSE,"",
        IF(ISERROR(VLOOKUP($G92,SantoYusuf!$L$13:$AK$56,N$4,FALSE))=TRUE,"",
              VLOOKUP($G92,SantoYusuf!$L$13:$AK$56,N$4,FALSE)))</f>
        <v/>
      </c>
      <c r="O92" s="18" t="str">
        <f>IF(ISNUMBER($L$6)=FALSE,"",
        IF(ISERROR(VLOOKUP($G92,SantoYusuf!$L$13:$AK$56,O$4,FALSE))=TRUE,"",
              VLOOKUP($G92,SantoYusuf!$L$13:$AK$56,O$4,FALSE)))</f>
        <v/>
      </c>
      <c r="P92" s="18" t="str">
        <f>IF(ISNUMBER($L$6)=FALSE,"",
        IF(ISERROR(VLOOKUP($G92,SantoYusuf!$L$13:$AK$56,P$4,FALSE))=TRUE,"",
              VLOOKUP($G92,SantoYusuf!$L$13:$AK$56,P$4,FALSE)))</f>
        <v/>
      </c>
      <c r="Q92" s="18" t="str">
        <f>IF(ISNUMBER($L$6)=FALSE,"",
        IF(ISERROR(VLOOKUP($G92,SantoYusuf!$L$13:$AK$56,Q$4,FALSE))=TRUE,"",
              VLOOKUP($G92,SantoYusuf!$L$13:$AK$56,Q$4,FALSE)))</f>
        <v/>
      </c>
      <c r="R92" s="18" t="str">
        <f>IF(ISNUMBER($L$6)=FALSE,"",
        IF(ISERROR(VLOOKUP($G92,SantoYusuf!$L$13:$AK$56,R$4,FALSE))=TRUE,"",
              VLOOKUP($G92,SantoYusuf!$L$13:$AK$56,R$4,FALSE)))</f>
        <v/>
      </c>
      <c r="S92" s="18" t="str">
        <f>IF(ISNUMBER($L$6)=FALSE,"",
        IF(ISERROR(VLOOKUP($G92,SantoYusuf!$L$13:$AK$56,S$4,FALSE))=TRUE,"",
              VLOOKUP($G92,SantoYusuf!$L$13:$AK$56,S$4,FALSE)))</f>
        <v/>
      </c>
      <c r="T92" s="18" t="str">
        <f>IF(ISNUMBER($L$6)=FALSE,"",
        IF(ISERROR(VLOOKUP($G92,SantoYusuf!$L$13:$AK$56,T$4,FALSE))=TRUE,"",
              VLOOKUP($G92,SantoYusuf!$L$13:$AK$56,T$4,FALSE)))</f>
        <v/>
      </c>
      <c r="U92" s="18" t="str">
        <f>IF(ISNUMBER($L$6)=FALSE,"",
        IF(ISERROR(VLOOKUP($G92,SantoYusuf!$L$13:$AK$56,U$4,FALSE))=TRUE,"",
              VLOOKUP($G92,SantoYusuf!$L$13:$AK$56,U$4,FALSE)))</f>
        <v/>
      </c>
      <c r="V92" s="18" t="str">
        <f>IF(ISNUMBER($L$6)=FALSE,"",
        IF(ISERROR(VLOOKUP($G92,SantoYusuf!$L$13:$AK$56,V$4,FALSE))=TRUE,"",
              VLOOKUP($G92,SantoYusuf!$L$13:$AK$56,V$4,FALSE)))</f>
        <v/>
      </c>
      <c r="W92" s="18" t="str">
        <f>IF(ISNUMBER($L$6)=FALSE,"",
        IF(ISERROR(VLOOKUP($G92,SantoYusuf!$L$13:$AK$56,W$4,FALSE))=TRUE,"",
              VLOOKUP($G92,SantoYusuf!$L$13:$AK$56,W$4,FALSE)))</f>
        <v/>
      </c>
      <c r="X92" s="18" t="str">
        <f>IF(ISNUMBER($L$6)=FALSE,"",
        IF(ISERROR(VLOOKUP($G92,SantoYusuf!$L$13:$AK$56,X$4,FALSE))=TRUE,"",
              VLOOKUP($G92,SantoYusuf!$L$13:$AK$56,X$4,FALSE)))</f>
        <v/>
      </c>
      <c r="Y92" s="18" t="str">
        <f>IF(ISNUMBER($L$6)=FALSE,"",
        IF(ISERROR(VLOOKUP($G92,SantoYusuf!$L$13:$AK$56,Y$4,FALSE))=TRUE,"",
              VLOOKUP($G92,SantoYusuf!$L$13:$AK$56,Y$4,FALSE)))</f>
        <v/>
      </c>
      <c r="Z92" s="18" t="str">
        <f>IF(ISNUMBER($L$6)=FALSE,"",
        IF(ISERROR(VLOOKUP($G92,SantoYusuf!$L$13:$AK$56,Z$4,FALSE))=TRUE,"",
              VLOOKUP($G92,SantoYusuf!$L$13:$AK$56,Z$4,FALSE)))</f>
        <v/>
      </c>
      <c r="AA92" s="18" t="str">
        <f>IF(ISNUMBER($L$6)=FALSE,"",
        IF(ISERROR(VLOOKUP($G92,SantoYusuf!$L$13:$AK$56,AA$4,FALSE))=TRUE,"",
              VLOOKUP($G92,SantoYusuf!$L$13:$AK$56,AA$4,FALSE)))</f>
        <v/>
      </c>
      <c r="AB92" s="18" t="str">
        <f>IF(ISNUMBER($L$6)=FALSE,"",
        IF(ISERROR(VLOOKUP($G92,SantoYusuf!$L$13:$AK$56,AB$4,FALSE))=TRUE,"",
              VLOOKUP($G92,SantoYusuf!$L$13:$AK$56,AB$4,FALSE)))</f>
        <v/>
      </c>
      <c r="AC92" s="18" t="str">
        <f>IF(ISNUMBER($L$6)=FALSE,"",
        IF(ISERROR(VLOOKUP($G92,SantoYusuf!$L$13:$AK$56,AC$4,FALSE))=TRUE,"",
              VLOOKUP($G92,SantoYusuf!$L$13:$AK$56,AC$4,FALSE)))</f>
        <v/>
      </c>
      <c r="AD92" s="18" t="str">
        <f>IF(ISNUMBER($L$6)=FALSE,"",
        IF(ISERROR(VLOOKUP($G92,SantoYusuf!$L$13:$AK$56,AD$4,FALSE))=TRUE,"",
              VLOOKUP($G92,SantoYusuf!$L$13:$AK$56,AD$4,FALSE)))</f>
        <v/>
      </c>
      <c r="AE92" s="18" t="str">
        <f>IF(ISNUMBER($L$6)=FALSE,"",
        IF(ISERROR(VLOOKUP($G92,SantoYusuf!$L$13:$AK$56,AE$4,FALSE))=TRUE,"",
              VLOOKUP($G92,SantoYusuf!$L$13:$AK$56,AE$4,FALSE)))</f>
        <v/>
      </c>
      <c r="AF92" s="18" t="str">
        <f>IF(ISNUMBER($L$6)=FALSE,"",
        IF(ISERROR(VLOOKUP($G92,SantoYusuf!$L$13:$AK$56,AF$4,FALSE))=TRUE,"",
              VLOOKUP($G92,SantoYusuf!$L$13:$AK$56,AF$4,FALSE)))</f>
        <v/>
      </c>
    </row>
    <row r="93" spans="1:32" s="60" customFormat="1" ht="10.5" x14ac:dyDescent="0.25">
      <c r="A93" s="59"/>
      <c r="C93" s="59">
        <f t="shared" si="6"/>
        <v>80</v>
      </c>
      <c r="D93" s="61"/>
      <c r="E93" s="77" t="str">
        <f t="shared" si="7"/>
        <v/>
      </c>
      <c r="F93" s="77" t="str">
        <f>IF(ISNUMBER($L$6)=FALSE,"",
IF($C93=0,"",VLOOKUP($E93,SantoYusuf!$H$13:$L$56,4,FALSE)))</f>
        <v/>
      </c>
      <c r="G93" s="77" t="str">
        <f>IF(ISNUMBER($L$6)=FALSE,"",
IF($C93=0,"",VLOOKUP($E93,SantoYusuf!$H$13:$L$56,5,FALSE)))</f>
        <v/>
      </c>
      <c r="H93" s="17" t="str">
        <f t="shared" si="8"/>
        <v/>
      </c>
      <c r="I93" s="18" t="str">
        <f>IF(ISNUMBER($L$6)=FALSE,"",
        IF(ISERROR(VLOOKUP($G93,SantoYusuf!$L$13:$AK$56,I$4,FALSE))=TRUE,"",
              VLOOKUP($G93,SantoYusuf!$L$13:$AK$56,I$4,FALSE)))</f>
        <v/>
      </c>
      <c r="J93" s="18" t="str">
        <f>IF(ISNUMBER($L$6)=FALSE,"",
        IF(ISERROR(VLOOKUP($G93,SantoYusuf!$L$13:$AK$56,J$4,FALSE))=TRUE,"",
              VLOOKUP($G93,SantoYusuf!$L$13:$AK$56,J$4,FALSE)))</f>
        <v/>
      </c>
      <c r="K93" s="18" t="str">
        <f>IF(ISNUMBER($L$6)=FALSE,"",
        IF(ISERROR(VLOOKUP($G93,SantoYusuf!$L$13:$AK$56,K$4,FALSE))=TRUE,"",
              VLOOKUP($G93,SantoYusuf!$L$13:$AK$56,K$4,FALSE)))</f>
        <v/>
      </c>
      <c r="L93" s="18" t="str">
        <f>IF(ISNUMBER($L$6)=FALSE,"",
        IF(ISERROR(VLOOKUP($G93,SantoYusuf!$L$13:$AK$56,L$4,FALSE))=TRUE,"",
              VLOOKUP($G93,SantoYusuf!$L$13:$AK$56,L$4,FALSE)))</f>
        <v/>
      </c>
      <c r="M93" s="18" t="str">
        <f>IF(ISNUMBER($L$6)=FALSE,"",
        IF(ISERROR(VLOOKUP($G93,SantoYusuf!$L$13:$AK$56,M$4,FALSE))=TRUE,"",
              VLOOKUP($G93,SantoYusuf!$L$13:$AK$56,M$4,FALSE)))</f>
        <v/>
      </c>
      <c r="N93" s="18" t="str">
        <f>IF(ISNUMBER($L$6)=FALSE,"",
        IF(ISERROR(VLOOKUP($G93,SantoYusuf!$L$13:$AK$56,N$4,FALSE))=TRUE,"",
              VLOOKUP($G93,SantoYusuf!$L$13:$AK$56,N$4,FALSE)))</f>
        <v/>
      </c>
      <c r="O93" s="18" t="str">
        <f>IF(ISNUMBER($L$6)=FALSE,"",
        IF(ISERROR(VLOOKUP($G93,SantoYusuf!$L$13:$AK$56,O$4,FALSE))=TRUE,"",
              VLOOKUP($G93,SantoYusuf!$L$13:$AK$56,O$4,FALSE)))</f>
        <v/>
      </c>
      <c r="P93" s="18" t="str">
        <f>IF(ISNUMBER($L$6)=FALSE,"",
        IF(ISERROR(VLOOKUP($G93,SantoYusuf!$L$13:$AK$56,P$4,FALSE))=TRUE,"",
              VLOOKUP($G93,SantoYusuf!$L$13:$AK$56,P$4,FALSE)))</f>
        <v/>
      </c>
      <c r="Q93" s="18" t="str">
        <f>IF(ISNUMBER($L$6)=FALSE,"",
        IF(ISERROR(VLOOKUP($G93,SantoYusuf!$L$13:$AK$56,Q$4,FALSE))=TRUE,"",
              VLOOKUP($G93,SantoYusuf!$L$13:$AK$56,Q$4,FALSE)))</f>
        <v/>
      </c>
      <c r="R93" s="18" t="str">
        <f>IF(ISNUMBER($L$6)=FALSE,"",
        IF(ISERROR(VLOOKUP($G93,SantoYusuf!$L$13:$AK$56,R$4,FALSE))=TRUE,"",
              VLOOKUP($G93,SantoYusuf!$L$13:$AK$56,R$4,FALSE)))</f>
        <v/>
      </c>
      <c r="S93" s="18" t="str">
        <f>IF(ISNUMBER($L$6)=FALSE,"",
        IF(ISERROR(VLOOKUP($G93,SantoYusuf!$L$13:$AK$56,S$4,FALSE))=TRUE,"",
              VLOOKUP($G93,SantoYusuf!$L$13:$AK$56,S$4,FALSE)))</f>
        <v/>
      </c>
      <c r="T93" s="18" t="str">
        <f>IF(ISNUMBER($L$6)=FALSE,"",
        IF(ISERROR(VLOOKUP($G93,SantoYusuf!$L$13:$AK$56,T$4,FALSE))=TRUE,"",
              VLOOKUP($G93,SantoYusuf!$L$13:$AK$56,T$4,FALSE)))</f>
        <v/>
      </c>
      <c r="U93" s="18" t="str">
        <f>IF(ISNUMBER($L$6)=FALSE,"",
        IF(ISERROR(VLOOKUP($G93,SantoYusuf!$L$13:$AK$56,U$4,FALSE))=TRUE,"",
              VLOOKUP($G93,SantoYusuf!$L$13:$AK$56,U$4,FALSE)))</f>
        <v/>
      </c>
      <c r="V93" s="18" t="str">
        <f>IF(ISNUMBER($L$6)=FALSE,"",
        IF(ISERROR(VLOOKUP($G93,SantoYusuf!$L$13:$AK$56,V$4,FALSE))=TRUE,"",
              VLOOKUP($G93,SantoYusuf!$L$13:$AK$56,V$4,FALSE)))</f>
        <v/>
      </c>
      <c r="W93" s="18" t="str">
        <f>IF(ISNUMBER($L$6)=FALSE,"",
        IF(ISERROR(VLOOKUP($G93,SantoYusuf!$L$13:$AK$56,W$4,FALSE))=TRUE,"",
              VLOOKUP($G93,SantoYusuf!$L$13:$AK$56,W$4,FALSE)))</f>
        <v/>
      </c>
      <c r="X93" s="18" t="str">
        <f>IF(ISNUMBER($L$6)=FALSE,"",
        IF(ISERROR(VLOOKUP($G93,SantoYusuf!$L$13:$AK$56,X$4,FALSE))=TRUE,"",
              VLOOKUP($G93,SantoYusuf!$L$13:$AK$56,X$4,FALSE)))</f>
        <v/>
      </c>
      <c r="Y93" s="18" t="str">
        <f>IF(ISNUMBER($L$6)=FALSE,"",
        IF(ISERROR(VLOOKUP($G93,SantoYusuf!$L$13:$AK$56,Y$4,FALSE))=TRUE,"",
              VLOOKUP($G93,SantoYusuf!$L$13:$AK$56,Y$4,FALSE)))</f>
        <v/>
      </c>
      <c r="Z93" s="18" t="str">
        <f>IF(ISNUMBER($L$6)=FALSE,"",
        IF(ISERROR(VLOOKUP($G93,SantoYusuf!$L$13:$AK$56,Z$4,FALSE))=TRUE,"",
              VLOOKUP($G93,SantoYusuf!$L$13:$AK$56,Z$4,FALSE)))</f>
        <v/>
      </c>
      <c r="AA93" s="18" t="str">
        <f>IF(ISNUMBER($L$6)=FALSE,"",
        IF(ISERROR(VLOOKUP($G93,SantoYusuf!$L$13:$AK$56,AA$4,FALSE))=TRUE,"",
              VLOOKUP($G93,SantoYusuf!$L$13:$AK$56,AA$4,FALSE)))</f>
        <v/>
      </c>
      <c r="AB93" s="18" t="str">
        <f>IF(ISNUMBER($L$6)=FALSE,"",
        IF(ISERROR(VLOOKUP($G93,SantoYusuf!$L$13:$AK$56,AB$4,FALSE))=TRUE,"",
              VLOOKUP($G93,SantoYusuf!$L$13:$AK$56,AB$4,FALSE)))</f>
        <v/>
      </c>
      <c r="AC93" s="18" t="str">
        <f>IF(ISNUMBER($L$6)=FALSE,"",
        IF(ISERROR(VLOOKUP($G93,SantoYusuf!$L$13:$AK$56,AC$4,FALSE))=TRUE,"",
              VLOOKUP($G93,SantoYusuf!$L$13:$AK$56,AC$4,FALSE)))</f>
        <v/>
      </c>
      <c r="AD93" s="18" t="str">
        <f>IF(ISNUMBER($L$6)=FALSE,"",
        IF(ISERROR(VLOOKUP($G93,SantoYusuf!$L$13:$AK$56,AD$4,FALSE))=TRUE,"",
              VLOOKUP($G93,SantoYusuf!$L$13:$AK$56,AD$4,FALSE)))</f>
        <v/>
      </c>
      <c r="AE93" s="18" t="str">
        <f>IF(ISNUMBER($L$6)=FALSE,"",
        IF(ISERROR(VLOOKUP($G93,SantoYusuf!$L$13:$AK$56,AE$4,FALSE))=TRUE,"",
              VLOOKUP($G93,SantoYusuf!$L$13:$AK$56,AE$4,FALSE)))</f>
        <v/>
      </c>
      <c r="AF93" s="18" t="str">
        <f>IF(ISNUMBER($L$6)=FALSE,"",
        IF(ISERROR(VLOOKUP($G93,SantoYusuf!$L$13:$AK$56,AF$4,FALSE))=TRUE,"",
              VLOOKUP($G93,SantoYusuf!$L$13:$AK$56,AF$4,FALSE)))</f>
        <v/>
      </c>
    </row>
    <row r="94" spans="1:32" s="60" customFormat="1" ht="10.5" x14ac:dyDescent="0.25">
      <c r="A94" s="59"/>
      <c r="C94" s="59">
        <f t="shared" si="6"/>
        <v>81</v>
      </c>
      <c r="D94" s="61"/>
      <c r="E94" s="77" t="str">
        <f t="shared" si="7"/>
        <v/>
      </c>
      <c r="F94" s="77" t="str">
        <f>IF(ISNUMBER($L$6)=FALSE,"",
IF($C94=0,"",VLOOKUP($E94,SantoYusuf!$H$13:$L$56,4,FALSE)))</f>
        <v/>
      </c>
      <c r="G94" s="77" t="str">
        <f>IF(ISNUMBER($L$6)=FALSE,"",
IF($C94=0,"",VLOOKUP($E94,SantoYusuf!$H$13:$L$56,5,FALSE)))</f>
        <v/>
      </c>
      <c r="H94" s="17" t="str">
        <f t="shared" si="8"/>
        <v/>
      </c>
      <c r="I94" s="18" t="str">
        <f>IF(ISNUMBER($L$6)=FALSE,"",
        IF(ISERROR(VLOOKUP($G94,SantoYusuf!$L$13:$AK$56,I$4,FALSE))=TRUE,"",
              VLOOKUP($G94,SantoYusuf!$L$13:$AK$56,I$4,FALSE)))</f>
        <v/>
      </c>
      <c r="J94" s="18" t="str">
        <f>IF(ISNUMBER($L$6)=FALSE,"",
        IF(ISERROR(VLOOKUP($G94,SantoYusuf!$L$13:$AK$56,J$4,FALSE))=TRUE,"",
              VLOOKUP($G94,SantoYusuf!$L$13:$AK$56,J$4,FALSE)))</f>
        <v/>
      </c>
      <c r="K94" s="18" t="str">
        <f>IF(ISNUMBER($L$6)=FALSE,"",
        IF(ISERROR(VLOOKUP($G94,SantoYusuf!$L$13:$AK$56,K$4,FALSE))=TRUE,"",
              VLOOKUP($G94,SantoYusuf!$L$13:$AK$56,K$4,FALSE)))</f>
        <v/>
      </c>
      <c r="L94" s="18" t="str">
        <f>IF(ISNUMBER($L$6)=FALSE,"",
        IF(ISERROR(VLOOKUP($G94,SantoYusuf!$L$13:$AK$56,L$4,FALSE))=TRUE,"",
              VLOOKUP($G94,SantoYusuf!$L$13:$AK$56,L$4,FALSE)))</f>
        <v/>
      </c>
      <c r="M94" s="18" t="str">
        <f>IF(ISNUMBER($L$6)=FALSE,"",
        IF(ISERROR(VLOOKUP($G94,SantoYusuf!$L$13:$AK$56,M$4,FALSE))=TRUE,"",
              VLOOKUP($G94,SantoYusuf!$L$13:$AK$56,M$4,FALSE)))</f>
        <v/>
      </c>
      <c r="N94" s="18" t="str">
        <f>IF(ISNUMBER($L$6)=FALSE,"",
        IF(ISERROR(VLOOKUP($G94,SantoYusuf!$L$13:$AK$56,N$4,FALSE))=TRUE,"",
              VLOOKUP($G94,SantoYusuf!$L$13:$AK$56,N$4,FALSE)))</f>
        <v/>
      </c>
      <c r="O94" s="18" t="str">
        <f>IF(ISNUMBER($L$6)=FALSE,"",
        IF(ISERROR(VLOOKUP($G94,SantoYusuf!$L$13:$AK$56,O$4,FALSE))=TRUE,"",
              VLOOKUP($G94,SantoYusuf!$L$13:$AK$56,O$4,FALSE)))</f>
        <v/>
      </c>
      <c r="P94" s="18" t="str">
        <f>IF(ISNUMBER($L$6)=FALSE,"",
        IF(ISERROR(VLOOKUP($G94,SantoYusuf!$L$13:$AK$56,P$4,FALSE))=TRUE,"",
              VLOOKUP($G94,SantoYusuf!$L$13:$AK$56,P$4,FALSE)))</f>
        <v/>
      </c>
      <c r="Q94" s="18" t="str">
        <f>IF(ISNUMBER($L$6)=FALSE,"",
        IF(ISERROR(VLOOKUP($G94,SantoYusuf!$L$13:$AK$56,Q$4,FALSE))=TRUE,"",
              VLOOKUP($G94,SantoYusuf!$L$13:$AK$56,Q$4,FALSE)))</f>
        <v/>
      </c>
      <c r="R94" s="18" t="str">
        <f>IF(ISNUMBER($L$6)=FALSE,"",
        IF(ISERROR(VLOOKUP($G94,SantoYusuf!$L$13:$AK$56,R$4,FALSE))=TRUE,"",
              VLOOKUP($G94,SantoYusuf!$L$13:$AK$56,R$4,FALSE)))</f>
        <v/>
      </c>
      <c r="S94" s="18" t="str">
        <f>IF(ISNUMBER($L$6)=FALSE,"",
        IF(ISERROR(VLOOKUP($G94,SantoYusuf!$L$13:$AK$56,S$4,FALSE))=TRUE,"",
              VLOOKUP($G94,SantoYusuf!$L$13:$AK$56,S$4,FALSE)))</f>
        <v/>
      </c>
      <c r="T94" s="18" t="str">
        <f>IF(ISNUMBER($L$6)=FALSE,"",
        IF(ISERROR(VLOOKUP($G94,SantoYusuf!$L$13:$AK$56,T$4,FALSE))=TRUE,"",
              VLOOKUP($G94,SantoYusuf!$L$13:$AK$56,T$4,FALSE)))</f>
        <v/>
      </c>
      <c r="U94" s="18" t="str">
        <f>IF(ISNUMBER($L$6)=FALSE,"",
        IF(ISERROR(VLOOKUP($G94,SantoYusuf!$L$13:$AK$56,U$4,FALSE))=TRUE,"",
              VLOOKUP($G94,SantoYusuf!$L$13:$AK$56,U$4,FALSE)))</f>
        <v/>
      </c>
      <c r="V94" s="18" t="str">
        <f>IF(ISNUMBER($L$6)=FALSE,"",
        IF(ISERROR(VLOOKUP($G94,SantoYusuf!$L$13:$AK$56,V$4,FALSE))=TRUE,"",
              VLOOKUP($G94,SantoYusuf!$L$13:$AK$56,V$4,FALSE)))</f>
        <v/>
      </c>
      <c r="W94" s="18" t="str">
        <f>IF(ISNUMBER($L$6)=FALSE,"",
        IF(ISERROR(VLOOKUP($G94,SantoYusuf!$L$13:$AK$56,W$4,FALSE))=TRUE,"",
              VLOOKUP($G94,SantoYusuf!$L$13:$AK$56,W$4,FALSE)))</f>
        <v/>
      </c>
      <c r="X94" s="18" t="str">
        <f>IF(ISNUMBER($L$6)=FALSE,"",
        IF(ISERROR(VLOOKUP($G94,SantoYusuf!$L$13:$AK$56,X$4,FALSE))=TRUE,"",
              VLOOKUP($G94,SantoYusuf!$L$13:$AK$56,X$4,FALSE)))</f>
        <v/>
      </c>
      <c r="Y94" s="18" t="str">
        <f>IF(ISNUMBER($L$6)=FALSE,"",
        IF(ISERROR(VLOOKUP($G94,SantoYusuf!$L$13:$AK$56,Y$4,FALSE))=TRUE,"",
              VLOOKUP($G94,SantoYusuf!$L$13:$AK$56,Y$4,FALSE)))</f>
        <v/>
      </c>
      <c r="Z94" s="18" t="str">
        <f>IF(ISNUMBER($L$6)=FALSE,"",
        IF(ISERROR(VLOOKUP($G94,SantoYusuf!$L$13:$AK$56,Z$4,FALSE))=TRUE,"",
              VLOOKUP($G94,SantoYusuf!$L$13:$AK$56,Z$4,FALSE)))</f>
        <v/>
      </c>
      <c r="AA94" s="18" t="str">
        <f>IF(ISNUMBER($L$6)=FALSE,"",
        IF(ISERROR(VLOOKUP($G94,SantoYusuf!$L$13:$AK$56,AA$4,FALSE))=TRUE,"",
              VLOOKUP($G94,SantoYusuf!$L$13:$AK$56,AA$4,FALSE)))</f>
        <v/>
      </c>
      <c r="AB94" s="18" t="str">
        <f>IF(ISNUMBER($L$6)=FALSE,"",
        IF(ISERROR(VLOOKUP($G94,SantoYusuf!$L$13:$AK$56,AB$4,FALSE))=TRUE,"",
              VLOOKUP($G94,SantoYusuf!$L$13:$AK$56,AB$4,FALSE)))</f>
        <v/>
      </c>
      <c r="AC94" s="18" t="str">
        <f>IF(ISNUMBER($L$6)=FALSE,"",
        IF(ISERROR(VLOOKUP($G94,SantoYusuf!$L$13:$AK$56,AC$4,FALSE))=TRUE,"",
              VLOOKUP($G94,SantoYusuf!$L$13:$AK$56,AC$4,FALSE)))</f>
        <v/>
      </c>
      <c r="AD94" s="18" t="str">
        <f>IF(ISNUMBER($L$6)=FALSE,"",
        IF(ISERROR(VLOOKUP($G94,SantoYusuf!$L$13:$AK$56,AD$4,FALSE))=TRUE,"",
              VLOOKUP($G94,SantoYusuf!$L$13:$AK$56,AD$4,FALSE)))</f>
        <v/>
      </c>
      <c r="AE94" s="18" t="str">
        <f>IF(ISNUMBER($L$6)=FALSE,"",
        IF(ISERROR(VLOOKUP($G94,SantoYusuf!$L$13:$AK$56,AE$4,FALSE))=TRUE,"",
              VLOOKUP($G94,SantoYusuf!$L$13:$AK$56,AE$4,FALSE)))</f>
        <v/>
      </c>
      <c r="AF94" s="18" t="str">
        <f>IF(ISNUMBER($L$6)=FALSE,"",
        IF(ISERROR(VLOOKUP($G94,SantoYusuf!$L$13:$AK$56,AF$4,FALSE))=TRUE,"",
              VLOOKUP($G94,SantoYusuf!$L$13:$AK$56,AF$4,FALSE)))</f>
        <v/>
      </c>
    </row>
    <row r="95" spans="1:32" s="60" customFormat="1" ht="10.5" x14ac:dyDescent="0.25">
      <c r="A95" s="59"/>
      <c r="C95" s="59">
        <f t="shared" si="6"/>
        <v>82</v>
      </c>
      <c r="D95" s="61"/>
      <c r="E95" s="77" t="str">
        <f t="shared" si="7"/>
        <v/>
      </c>
      <c r="F95" s="77" t="str">
        <f>IF(ISNUMBER($L$6)=FALSE,"",
IF($C95=0,"",VLOOKUP($E95,SantoYusuf!$H$13:$L$56,4,FALSE)))</f>
        <v/>
      </c>
      <c r="G95" s="77" t="str">
        <f>IF(ISNUMBER($L$6)=FALSE,"",
IF($C95=0,"",VLOOKUP($E95,SantoYusuf!$H$13:$L$56,5,FALSE)))</f>
        <v/>
      </c>
      <c r="H95" s="17" t="str">
        <f t="shared" si="8"/>
        <v/>
      </c>
      <c r="I95" s="18" t="str">
        <f>IF(ISNUMBER($L$6)=FALSE,"",
        IF(ISERROR(VLOOKUP($G95,SantoYusuf!$L$13:$AK$56,I$4,FALSE))=TRUE,"",
              VLOOKUP($G95,SantoYusuf!$L$13:$AK$56,I$4,FALSE)))</f>
        <v/>
      </c>
      <c r="J95" s="18" t="str">
        <f>IF(ISNUMBER($L$6)=FALSE,"",
        IF(ISERROR(VLOOKUP($G95,SantoYusuf!$L$13:$AK$56,J$4,FALSE))=TRUE,"",
              VLOOKUP($G95,SantoYusuf!$L$13:$AK$56,J$4,FALSE)))</f>
        <v/>
      </c>
      <c r="K95" s="18" t="str">
        <f>IF(ISNUMBER($L$6)=FALSE,"",
        IF(ISERROR(VLOOKUP($G95,SantoYusuf!$L$13:$AK$56,K$4,FALSE))=TRUE,"",
              VLOOKUP($G95,SantoYusuf!$L$13:$AK$56,K$4,FALSE)))</f>
        <v/>
      </c>
      <c r="L95" s="18" t="str">
        <f>IF(ISNUMBER($L$6)=FALSE,"",
        IF(ISERROR(VLOOKUP($G95,SantoYusuf!$L$13:$AK$56,L$4,FALSE))=TRUE,"",
              VLOOKUP($G95,SantoYusuf!$L$13:$AK$56,L$4,FALSE)))</f>
        <v/>
      </c>
      <c r="M95" s="18" t="str">
        <f>IF(ISNUMBER($L$6)=FALSE,"",
        IF(ISERROR(VLOOKUP($G95,SantoYusuf!$L$13:$AK$56,M$4,FALSE))=TRUE,"",
              VLOOKUP($G95,SantoYusuf!$L$13:$AK$56,M$4,FALSE)))</f>
        <v/>
      </c>
      <c r="N95" s="18" t="str">
        <f>IF(ISNUMBER($L$6)=FALSE,"",
        IF(ISERROR(VLOOKUP($G95,SantoYusuf!$L$13:$AK$56,N$4,FALSE))=TRUE,"",
              VLOOKUP($G95,SantoYusuf!$L$13:$AK$56,N$4,FALSE)))</f>
        <v/>
      </c>
      <c r="O95" s="18" t="str">
        <f>IF(ISNUMBER($L$6)=FALSE,"",
        IF(ISERROR(VLOOKUP($G95,SantoYusuf!$L$13:$AK$56,O$4,FALSE))=TRUE,"",
              VLOOKUP($G95,SantoYusuf!$L$13:$AK$56,O$4,FALSE)))</f>
        <v/>
      </c>
      <c r="P95" s="18" t="str">
        <f>IF(ISNUMBER($L$6)=FALSE,"",
        IF(ISERROR(VLOOKUP($G95,SantoYusuf!$L$13:$AK$56,P$4,FALSE))=TRUE,"",
              VLOOKUP($G95,SantoYusuf!$L$13:$AK$56,P$4,FALSE)))</f>
        <v/>
      </c>
      <c r="Q95" s="18" t="str">
        <f>IF(ISNUMBER($L$6)=FALSE,"",
        IF(ISERROR(VLOOKUP($G95,SantoYusuf!$L$13:$AK$56,Q$4,FALSE))=TRUE,"",
              VLOOKUP($G95,SantoYusuf!$L$13:$AK$56,Q$4,FALSE)))</f>
        <v/>
      </c>
      <c r="R95" s="18" t="str">
        <f>IF(ISNUMBER($L$6)=FALSE,"",
        IF(ISERROR(VLOOKUP($G95,SantoYusuf!$L$13:$AK$56,R$4,FALSE))=TRUE,"",
              VLOOKUP($G95,SantoYusuf!$L$13:$AK$56,R$4,FALSE)))</f>
        <v/>
      </c>
      <c r="S95" s="18" t="str">
        <f>IF(ISNUMBER($L$6)=FALSE,"",
        IF(ISERROR(VLOOKUP($G95,SantoYusuf!$L$13:$AK$56,S$4,FALSE))=TRUE,"",
              VLOOKUP($G95,SantoYusuf!$L$13:$AK$56,S$4,FALSE)))</f>
        <v/>
      </c>
      <c r="T95" s="18" t="str">
        <f>IF(ISNUMBER($L$6)=FALSE,"",
        IF(ISERROR(VLOOKUP($G95,SantoYusuf!$L$13:$AK$56,T$4,FALSE))=TRUE,"",
              VLOOKUP($G95,SantoYusuf!$L$13:$AK$56,T$4,FALSE)))</f>
        <v/>
      </c>
      <c r="U95" s="18" t="str">
        <f>IF(ISNUMBER($L$6)=FALSE,"",
        IF(ISERROR(VLOOKUP($G95,SantoYusuf!$L$13:$AK$56,U$4,FALSE))=TRUE,"",
              VLOOKUP($G95,SantoYusuf!$L$13:$AK$56,U$4,FALSE)))</f>
        <v/>
      </c>
      <c r="V95" s="18" t="str">
        <f>IF(ISNUMBER($L$6)=FALSE,"",
        IF(ISERROR(VLOOKUP($G95,SantoYusuf!$L$13:$AK$56,V$4,FALSE))=TRUE,"",
              VLOOKUP($G95,SantoYusuf!$L$13:$AK$56,V$4,FALSE)))</f>
        <v/>
      </c>
      <c r="W95" s="18" t="str">
        <f>IF(ISNUMBER($L$6)=FALSE,"",
        IF(ISERROR(VLOOKUP($G95,SantoYusuf!$L$13:$AK$56,W$4,FALSE))=TRUE,"",
              VLOOKUP($G95,SantoYusuf!$L$13:$AK$56,W$4,FALSE)))</f>
        <v/>
      </c>
      <c r="X95" s="18" t="str">
        <f>IF(ISNUMBER($L$6)=FALSE,"",
        IF(ISERROR(VLOOKUP($G95,SantoYusuf!$L$13:$AK$56,X$4,FALSE))=TRUE,"",
              VLOOKUP($G95,SantoYusuf!$L$13:$AK$56,X$4,FALSE)))</f>
        <v/>
      </c>
      <c r="Y95" s="18" t="str">
        <f>IF(ISNUMBER($L$6)=FALSE,"",
        IF(ISERROR(VLOOKUP($G95,SantoYusuf!$L$13:$AK$56,Y$4,FALSE))=TRUE,"",
              VLOOKUP($G95,SantoYusuf!$L$13:$AK$56,Y$4,FALSE)))</f>
        <v/>
      </c>
      <c r="Z95" s="18" t="str">
        <f>IF(ISNUMBER($L$6)=FALSE,"",
        IF(ISERROR(VLOOKUP($G95,SantoYusuf!$L$13:$AK$56,Z$4,FALSE))=TRUE,"",
              VLOOKUP($G95,SantoYusuf!$L$13:$AK$56,Z$4,FALSE)))</f>
        <v/>
      </c>
      <c r="AA95" s="18" t="str">
        <f>IF(ISNUMBER($L$6)=FALSE,"",
        IF(ISERROR(VLOOKUP($G95,SantoYusuf!$L$13:$AK$56,AA$4,FALSE))=TRUE,"",
              VLOOKUP($G95,SantoYusuf!$L$13:$AK$56,AA$4,FALSE)))</f>
        <v/>
      </c>
      <c r="AB95" s="18" t="str">
        <f>IF(ISNUMBER($L$6)=FALSE,"",
        IF(ISERROR(VLOOKUP($G95,SantoYusuf!$L$13:$AK$56,AB$4,FALSE))=TRUE,"",
              VLOOKUP($G95,SantoYusuf!$L$13:$AK$56,AB$4,FALSE)))</f>
        <v/>
      </c>
      <c r="AC95" s="18" t="str">
        <f>IF(ISNUMBER($L$6)=FALSE,"",
        IF(ISERROR(VLOOKUP($G95,SantoYusuf!$L$13:$AK$56,AC$4,FALSE))=TRUE,"",
              VLOOKUP($G95,SantoYusuf!$L$13:$AK$56,AC$4,FALSE)))</f>
        <v/>
      </c>
      <c r="AD95" s="18" t="str">
        <f>IF(ISNUMBER($L$6)=FALSE,"",
        IF(ISERROR(VLOOKUP($G95,SantoYusuf!$L$13:$AK$56,AD$4,FALSE))=TRUE,"",
              VLOOKUP($G95,SantoYusuf!$L$13:$AK$56,AD$4,FALSE)))</f>
        <v/>
      </c>
      <c r="AE95" s="18" t="str">
        <f>IF(ISNUMBER($L$6)=FALSE,"",
        IF(ISERROR(VLOOKUP($G95,SantoYusuf!$L$13:$AK$56,AE$4,FALSE))=TRUE,"",
              VLOOKUP($G95,SantoYusuf!$L$13:$AK$56,AE$4,FALSE)))</f>
        <v/>
      </c>
      <c r="AF95" s="18" t="str">
        <f>IF(ISNUMBER($L$6)=FALSE,"",
        IF(ISERROR(VLOOKUP($G95,SantoYusuf!$L$13:$AK$56,AF$4,FALSE))=TRUE,"",
              VLOOKUP($G95,SantoYusuf!$L$13:$AK$56,AF$4,FALSE)))</f>
        <v/>
      </c>
    </row>
    <row r="96" spans="1:32" s="60" customFormat="1" ht="10.5" x14ac:dyDescent="0.25">
      <c r="A96" s="59"/>
      <c r="C96" s="59">
        <f t="shared" si="6"/>
        <v>83</v>
      </c>
      <c r="D96" s="61"/>
      <c r="E96" s="77" t="str">
        <f t="shared" si="7"/>
        <v/>
      </c>
      <c r="F96" s="77" t="str">
        <f>IF(ISNUMBER($L$6)=FALSE,"",
IF($C96=0,"",VLOOKUP($E96,SantoYusuf!$H$13:$L$56,4,FALSE)))</f>
        <v/>
      </c>
      <c r="G96" s="77" t="str">
        <f>IF(ISNUMBER($L$6)=FALSE,"",
IF($C96=0,"",VLOOKUP($E96,SantoYusuf!$H$13:$L$56,5,FALSE)))</f>
        <v/>
      </c>
      <c r="H96" s="17" t="str">
        <f t="shared" si="8"/>
        <v/>
      </c>
      <c r="I96" s="18" t="str">
        <f>IF(ISNUMBER($L$6)=FALSE,"",
        IF(ISERROR(VLOOKUP($G96,SantoYusuf!$L$13:$AK$56,I$4,FALSE))=TRUE,"",
              VLOOKUP($G96,SantoYusuf!$L$13:$AK$56,I$4,FALSE)))</f>
        <v/>
      </c>
      <c r="J96" s="18" t="str">
        <f>IF(ISNUMBER($L$6)=FALSE,"",
        IF(ISERROR(VLOOKUP($G96,SantoYusuf!$L$13:$AK$56,J$4,FALSE))=TRUE,"",
              VLOOKUP($G96,SantoYusuf!$L$13:$AK$56,J$4,FALSE)))</f>
        <v/>
      </c>
      <c r="K96" s="18" t="str">
        <f>IF(ISNUMBER($L$6)=FALSE,"",
        IF(ISERROR(VLOOKUP($G96,SantoYusuf!$L$13:$AK$56,K$4,FALSE))=TRUE,"",
              VLOOKUP($G96,SantoYusuf!$L$13:$AK$56,K$4,FALSE)))</f>
        <v/>
      </c>
      <c r="L96" s="18" t="str">
        <f>IF(ISNUMBER($L$6)=FALSE,"",
        IF(ISERROR(VLOOKUP($G96,SantoYusuf!$L$13:$AK$56,L$4,FALSE))=TRUE,"",
              VLOOKUP($G96,SantoYusuf!$L$13:$AK$56,L$4,FALSE)))</f>
        <v/>
      </c>
      <c r="M96" s="18" t="str">
        <f>IF(ISNUMBER($L$6)=FALSE,"",
        IF(ISERROR(VLOOKUP($G96,SantoYusuf!$L$13:$AK$56,M$4,FALSE))=TRUE,"",
              VLOOKUP($G96,SantoYusuf!$L$13:$AK$56,M$4,FALSE)))</f>
        <v/>
      </c>
      <c r="N96" s="18" t="str">
        <f>IF(ISNUMBER($L$6)=FALSE,"",
        IF(ISERROR(VLOOKUP($G96,SantoYusuf!$L$13:$AK$56,N$4,FALSE))=TRUE,"",
              VLOOKUP($G96,SantoYusuf!$L$13:$AK$56,N$4,FALSE)))</f>
        <v/>
      </c>
      <c r="O96" s="18" t="str">
        <f>IF(ISNUMBER($L$6)=FALSE,"",
        IF(ISERROR(VLOOKUP($G96,SantoYusuf!$L$13:$AK$56,O$4,FALSE))=TRUE,"",
              VLOOKUP($G96,SantoYusuf!$L$13:$AK$56,O$4,FALSE)))</f>
        <v/>
      </c>
      <c r="P96" s="18" t="str">
        <f>IF(ISNUMBER($L$6)=FALSE,"",
        IF(ISERROR(VLOOKUP($G96,SantoYusuf!$L$13:$AK$56,P$4,FALSE))=TRUE,"",
              VLOOKUP($G96,SantoYusuf!$L$13:$AK$56,P$4,FALSE)))</f>
        <v/>
      </c>
      <c r="Q96" s="18" t="str">
        <f>IF(ISNUMBER($L$6)=FALSE,"",
        IF(ISERROR(VLOOKUP($G96,SantoYusuf!$L$13:$AK$56,Q$4,FALSE))=TRUE,"",
              VLOOKUP($G96,SantoYusuf!$L$13:$AK$56,Q$4,FALSE)))</f>
        <v/>
      </c>
      <c r="R96" s="18" t="str">
        <f>IF(ISNUMBER($L$6)=FALSE,"",
        IF(ISERROR(VLOOKUP($G96,SantoYusuf!$L$13:$AK$56,R$4,FALSE))=TRUE,"",
              VLOOKUP($G96,SantoYusuf!$L$13:$AK$56,R$4,FALSE)))</f>
        <v/>
      </c>
      <c r="S96" s="18" t="str">
        <f>IF(ISNUMBER($L$6)=FALSE,"",
        IF(ISERROR(VLOOKUP($G96,SantoYusuf!$L$13:$AK$56,S$4,FALSE))=TRUE,"",
              VLOOKUP($G96,SantoYusuf!$L$13:$AK$56,S$4,FALSE)))</f>
        <v/>
      </c>
      <c r="T96" s="18" t="str">
        <f>IF(ISNUMBER($L$6)=FALSE,"",
        IF(ISERROR(VLOOKUP($G96,SantoYusuf!$L$13:$AK$56,T$4,FALSE))=TRUE,"",
              VLOOKUP($G96,SantoYusuf!$L$13:$AK$56,T$4,FALSE)))</f>
        <v/>
      </c>
      <c r="U96" s="18" t="str">
        <f>IF(ISNUMBER($L$6)=FALSE,"",
        IF(ISERROR(VLOOKUP($G96,SantoYusuf!$L$13:$AK$56,U$4,FALSE))=TRUE,"",
              VLOOKUP($G96,SantoYusuf!$L$13:$AK$56,U$4,FALSE)))</f>
        <v/>
      </c>
      <c r="V96" s="18" t="str">
        <f>IF(ISNUMBER($L$6)=FALSE,"",
        IF(ISERROR(VLOOKUP($G96,SantoYusuf!$L$13:$AK$56,V$4,FALSE))=TRUE,"",
              VLOOKUP($G96,SantoYusuf!$L$13:$AK$56,V$4,FALSE)))</f>
        <v/>
      </c>
      <c r="W96" s="18" t="str">
        <f>IF(ISNUMBER($L$6)=FALSE,"",
        IF(ISERROR(VLOOKUP($G96,SantoYusuf!$L$13:$AK$56,W$4,FALSE))=TRUE,"",
              VLOOKUP($G96,SantoYusuf!$L$13:$AK$56,W$4,FALSE)))</f>
        <v/>
      </c>
      <c r="X96" s="18" t="str">
        <f>IF(ISNUMBER($L$6)=FALSE,"",
        IF(ISERROR(VLOOKUP($G96,SantoYusuf!$L$13:$AK$56,X$4,FALSE))=TRUE,"",
              VLOOKUP($G96,SantoYusuf!$L$13:$AK$56,X$4,FALSE)))</f>
        <v/>
      </c>
      <c r="Y96" s="18" t="str">
        <f>IF(ISNUMBER($L$6)=FALSE,"",
        IF(ISERROR(VLOOKUP($G96,SantoYusuf!$L$13:$AK$56,Y$4,FALSE))=TRUE,"",
              VLOOKUP($G96,SantoYusuf!$L$13:$AK$56,Y$4,FALSE)))</f>
        <v/>
      </c>
      <c r="Z96" s="18" t="str">
        <f>IF(ISNUMBER($L$6)=FALSE,"",
        IF(ISERROR(VLOOKUP($G96,SantoYusuf!$L$13:$AK$56,Z$4,FALSE))=TRUE,"",
              VLOOKUP($G96,SantoYusuf!$L$13:$AK$56,Z$4,FALSE)))</f>
        <v/>
      </c>
      <c r="AA96" s="18" t="str">
        <f>IF(ISNUMBER($L$6)=FALSE,"",
        IF(ISERROR(VLOOKUP($G96,SantoYusuf!$L$13:$AK$56,AA$4,FALSE))=TRUE,"",
              VLOOKUP($G96,SantoYusuf!$L$13:$AK$56,AA$4,FALSE)))</f>
        <v/>
      </c>
      <c r="AB96" s="18" t="str">
        <f>IF(ISNUMBER($L$6)=FALSE,"",
        IF(ISERROR(VLOOKUP($G96,SantoYusuf!$L$13:$AK$56,AB$4,FALSE))=TRUE,"",
              VLOOKUP($G96,SantoYusuf!$L$13:$AK$56,AB$4,FALSE)))</f>
        <v/>
      </c>
      <c r="AC96" s="18" t="str">
        <f>IF(ISNUMBER($L$6)=FALSE,"",
        IF(ISERROR(VLOOKUP($G96,SantoYusuf!$L$13:$AK$56,AC$4,FALSE))=TRUE,"",
              VLOOKUP($G96,SantoYusuf!$L$13:$AK$56,AC$4,FALSE)))</f>
        <v/>
      </c>
      <c r="AD96" s="18" t="str">
        <f>IF(ISNUMBER($L$6)=FALSE,"",
        IF(ISERROR(VLOOKUP($G96,SantoYusuf!$L$13:$AK$56,AD$4,FALSE))=TRUE,"",
              VLOOKUP($G96,SantoYusuf!$L$13:$AK$56,AD$4,FALSE)))</f>
        <v/>
      </c>
      <c r="AE96" s="18" t="str">
        <f>IF(ISNUMBER($L$6)=FALSE,"",
        IF(ISERROR(VLOOKUP($G96,SantoYusuf!$L$13:$AK$56,AE$4,FALSE))=TRUE,"",
              VLOOKUP($G96,SantoYusuf!$L$13:$AK$56,AE$4,FALSE)))</f>
        <v/>
      </c>
      <c r="AF96" s="18" t="str">
        <f>IF(ISNUMBER($L$6)=FALSE,"",
        IF(ISERROR(VLOOKUP($G96,SantoYusuf!$L$13:$AK$56,AF$4,FALSE))=TRUE,"",
              VLOOKUP($G96,SantoYusuf!$L$13:$AK$56,AF$4,FALSE)))</f>
        <v/>
      </c>
    </row>
    <row r="97" spans="1:32" s="60" customFormat="1" ht="10.5" x14ac:dyDescent="0.25">
      <c r="A97" s="59"/>
      <c r="C97" s="59">
        <f t="shared" si="6"/>
        <v>84</v>
      </c>
      <c r="D97" s="61"/>
      <c r="E97" s="77" t="str">
        <f t="shared" si="7"/>
        <v/>
      </c>
      <c r="F97" s="77" t="str">
        <f>IF(ISNUMBER($L$6)=FALSE,"",
IF($C97=0,"",VLOOKUP($E97,SantoYusuf!$H$13:$L$56,4,FALSE)))</f>
        <v/>
      </c>
      <c r="G97" s="77" t="str">
        <f>IF(ISNUMBER($L$6)=FALSE,"",
IF($C97=0,"",VLOOKUP($E97,SantoYusuf!$H$13:$L$56,5,FALSE)))</f>
        <v/>
      </c>
      <c r="H97" s="17" t="str">
        <f t="shared" si="8"/>
        <v/>
      </c>
      <c r="I97" s="18" t="str">
        <f>IF(ISNUMBER($L$6)=FALSE,"",
        IF(ISERROR(VLOOKUP($G97,SantoYusuf!$L$13:$AK$56,I$4,FALSE))=TRUE,"",
              VLOOKUP($G97,SantoYusuf!$L$13:$AK$56,I$4,FALSE)))</f>
        <v/>
      </c>
      <c r="J97" s="18" t="str">
        <f>IF(ISNUMBER($L$6)=FALSE,"",
        IF(ISERROR(VLOOKUP($G97,SantoYusuf!$L$13:$AK$56,J$4,FALSE))=TRUE,"",
              VLOOKUP($G97,SantoYusuf!$L$13:$AK$56,J$4,FALSE)))</f>
        <v/>
      </c>
      <c r="K97" s="18" t="str">
        <f>IF(ISNUMBER($L$6)=FALSE,"",
        IF(ISERROR(VLOOKUP($G97,SantoYusuf!$L$13:$AK$56,K$4,FALSE))=TRUE,"",
              VLOOKUP($G97,SantoYusuf!$L$13:$AK$56,K$4,FALSE)))</f>
        <v/>
      </c>
      <c r="L97" s="18" t="str">
        <f>IF(ISNUMBER($L$6)=FALSE,"",
        IF(ISERROR(VLOOKUP($G97,SantoYusuf!$L$13:$AK$56,L$4,FALSE))=TRUE,"",
              VLOOKUP($G97,SantoYusuf!$L$13:$AK$56,L$4,FALSE)))</f>
        <v/>
      </c>
      <c r="M97" s="18" t="str">
        <f>IF(ISNUMBER($L$6)=FALSE,"",
        IF(ISERROR(VLOOKUP($G97,SantoYusuf!$L$13:$AK$56,M$4,FALSE))=TRUE,"",
              VLOOKUP($G97,SantoYusuf!$L$13:$AK$56,M$4,FALSE)))</f>
        <v/>
      </c>
      <c r="N97" s="18" t="str">
        <f>IF(ISNUMBER($L$6)=FALSE,"",
        IF(ISERROR(VLOOKUP($G97,SantoYusuf!$L$13:$AK$56,N$4,FALSE))=TRUE,"",
              VLOOKUP($G97,SantoYusuf!$L$13:$AK$56,N$4,FALSE)))</f>
        <v/>
      </c>
      <c r="O97" s="18" t="str">
        <f>IF(ISNUMBER($L$6)=FALSE,"",
        IF(ISERROR(VLOOKUP($G97,SantoYusuf!$L$13:$AK$56,O$4,FALSE))=TRUE,"",
              VLOOKUP($G97,SantoYusuf!$L$13:$AK$56,O$4,FALSE)))</f>
        <v/>
      </c>
      <c r="P97" s="18" t="str">
        <f>IF(ISNUMBER($L$6)=FALSE,"",
        IF(ISERROR(VLOOKUP($G97,SantoYusuf!$L$13:$AK$56,P$4,FALSE))=TRUE,"",
              VLOOKUP($G97,SantoYusuf!$L$13:$AK$56,P$4,FALSE)))</f>
        <v/>
      </c>
      <c r="Q97" s="18" t="str">
        <f>IF(ISNUMBER($L$6)=FALSE,"",
        IF(ISERROR(VLOOKUP($G97,SantoYusuf!$L$13:$AK$56,Q$4,FALSE))=TRUE,"",
              VLOOKUP($G97,SantoYusuf!$L$13:$AK$56,Q$4,FALSE)))</f>
        <v/>
      </c>
      <c r="R97" s="18" t="str">
        <f>IF(ISNUMBER($L$6)=FALSE,"",
        IF(ISERROR(VLOOKUP($G97,SantoYusuf!$L$13:$AK$56,R$4,FALSE))=TRUE,"",
              VLOOKUP($G97,SantoYusuf!$L$13:$AK$56,R$4,FALSE)))</f>
        <v/>
      </c>
      <c r="S97" s="18" t="str">
        <f>IF(ISNUMBER($L$6)=FALSE,"",
        IF(ISERROR(VLOOKUP($G97,SantoYusuf!$L$13:$AK$56,S$4,FALSE))=TRUE,"",
              VLOOKUP($G97,SantoYusuf!$L$13:$AK$56,S$4,FALSE)))</f>
        <v/>
      </c>
      <c r="T97" s="18" t="str">
        <f>IF(ISNUMBER($L$6)=FALSE,"",
        IF(ISERROR(VLOOKUP($G97,SantoYusuf!$L$13:$AK$56,T$4,FALSE))=TRUE,"",
              VLOOKUP($G97,SantoYusuf!$L$13:$AK$56,T$4,FALSE)))</f>
        <v/>
      </c>
      <c r="U97" s="18" t="str">
        <f>IF(ISNUMBER($L$6)=FALSE,"",
        IF(ISERROR(VLOOKUP($G97,SantoYusuf!$L$13:$AK$56,U$4,FALSE))=TRUE,"",
              VLOOKUP($G97,SantoYusuf!$L$13:$AK$56,U$4,FALSE)))</f>
        <v/>
      </c>
      <c r="V97" s="18" t="str">
        <f>IF(ISNUMBER($L$6)=FALSE,"",
        IF(ISERROR(VLOOKUP($G97,SantoYusuf!$L$13:$AK$56,V$4,FALSE))=TRUE,"",
              VLOOKUP($G97,SantoYusuf!$L$13:$AK$56,V$4,FALSE)))</f>
        <v/>
      </c>
      <c r="W97" s="18" t="str">
        <f>IF(ISNUMBER($L$6)=FALSE,"",
        IF(ISERROR(VLOOKUP($G97,SantoYusuf!$L$13:$AK$56,W$4,FALSE))=TRUE,"",
              VLOOKUP($G97,SantoYusuf!$L$13:$AK$56,W$4,FALSE)))</f>
        <v/>
      </c>
      <c r="X97" s="18" t="str">
        <f>IF(ISNUMBER($L$6)=FALSE,"",
        IF(ISERROR(VLOOKUP($G97,SantoYusuf!$L$13:$AK$56,X$4,FALSE))=TRUE,"",
              VLOOKUP($G97,SantoYusuf!$L$13:$AK$56,X$4,FALSE)))</f>
        <v/>
      </c>
      <c r="Y97" s="18" t="str">
        <f>IF(ISNUMBER($L$6)=FALSE,"",
        IF(ISERROR(VLOOKUP($G97,SantoYusuf!$L$13:$AK$56,Y$4,FALSE))=TRUE,"",
              VLOOKUP($G97,SantoYusuf!$L$13:$AK$56,Y$4,FALSE)))</f>
        <v/>
      </c>
      <c r="Z97" s="18" t="str">
        <f>IF(ISNUMBER($L$6)=FALSE,"",
        IF(ISERROR(VLOOKUP($G97,SantoYusuf!$L$13:$AK$56,Z$4,FALSE))=TRUE,"",
              VLOOKUP($G97,SantoYusuf!$L$13:$AK$56,Z$4,FALSE)))</f>
        <v/>
      </c>
      <c r="AA97" s="18" t="str">
        <f>IF(ISNUMBER($L$6)=FALSE,"",
        IF(ISERROR(VLOOKUP($G97,SantoYusuf!$L$13:$AK$56,AA$4,FALSE))=TRUE,"",
              VLOOKUP($G97,SantoYusuf!$L$13:$AK$56,AA$4,FALSE)))</f>
        <v/>
      </c>
      <c r="AB97" s="18" t="str">
        <f>IF(ISNUMBER($L$6)=FALSE,"",
        IF(ISERROR(VLOOKUP($G97,SantoYusuf!$L$13:$AK$56,AB$4,FALSE))=TRUE,"",
              VLOOKUP($G97,SantoYusuf!$L$13:$AK$56,AB$4,FALSE)))</f>
        <v/>
      </c>
      <c r="AC97" s="18" t="str">
        <f>IF(ISNUMBER($L$6)=FALSE,"",
        IF(ISERROR(VLOOKUP($G97,SantoYusuf!$L$13:$AK$56,AC$4,FALSE))=TRUE,"",
              VLOOKUP($G97,SantoYusuf!$L$13:$AK$56,AC$4,FALSE)))</f>
        <v/>
      </c>
      <c r="AD97" s="18" t="str">
        <f>IF(ISNUMBER($L$6)=FALSE,"",
        IF(ISERROR(VLOOKUP($G97,SantoYusuf!$L$13:$AK$56,AD$4,FALSE))=TRUE,"",
              VLOOKUP($G97,SantoYusuf!$L$13:$AK$56,AD$4,FALSE)))</f>
        <v/>
      </c>
      <c r="AE97" s="18" t="str">
        <f>IF(ISNUMBER($L$6)=FALSE,"",
        IF(ISERROR(VLOOKUP($G97,SantoYusuf!$L$13:$AK$56,AE$4,FALSE))=TRUE,"",
              VLOOKUP($G97,SantoYusuf!$L$13:$AK$56,AE$4,FALSE)))</f>
        <v/>
      </c>
      <c r="AF97" s="18" t="str">
        <f>IF(ISNUMBER($L$6)=FALSE,"",
        IF(ISERROR(VLOOKUP($G97,SantoYusuf!$L$13:$AK$56,AF$4,FALSE))=TRUE,"",
              VLOOKUP($G97,SantoYusuf!$L$13:$AK$56,AF$4,FALSE)))</f>
        <v/>
      </c>
    </row>
    <row r="98" spans="1:32" s="60" customFormat="1" ht="10.5" x14ac:dyDescent="0.25">
      <c r="A98" s="59"/>
      <c r="C98" s="59">
        <f t="shared" si="6"/>
        <v>85</v>
      </c>
      <c r="D98" s="61"/>
      <c r="E98" s="77" t="str">
        <f t="shared" si="7"/>
        <v/>
      </c>
      <c r="F98" s="77" t="str">
        <f>IF(ISNUMBER($L$6)=FALSE,"",
IF($C98=0,"",VLOOKUP($E98,SantoYusuf!$H$13:$L$56,4,FALSE)))</f>
        <v/>
      </c>
      <c r="G98" s="77" t="str">
        <f>IF(ISNUMBER($L$6)=FALSE,"",
IF($C98=0,"",VLOOKUP($E98,SantoYusuf!$H$13:$L$56,5,FALSE)))</f>
        <v/>
      </c>
      <c r="H98" s="17" t="str">
        <f t="shared" si="8"/>
        <v/>
      </c>
      <c r="I98" s="18" t="str">
        <f>IF(ISNUMBER($L$6)=FALSE,"",
        IF(ISERROR(VLOOKUP($G98,SantoYusuf!$L$13:$AK$56,I$4,FALSE))=TRUE,"",
              VLOOKUP($G98,SantoYusuf!$L$13:$AK$56,I$4,FALSE)))</f>
        <v/>
      </c>
      <c r="J98" s="18" t="str">
        <f>IF(ISNUMBER($L$6)=FALSE,"",
        IF(ISERROR(VLOOKUP($G98,SantoYusuf!$L$13:$AK$56,J$4,FALSE))=TRUE,"",
              VLOOKUP($G98,SantoYusuf!$L$13:$AK$56,J$4,FALSE)))</f>
        <v/>
      </c>
      <c r="K98" s="18" t="str">
        <f>IF(ISNUMBER($L$6)=FALSE,"",
        IF(ISERROR(VLOOKUP($G98,SantoYusuf!$L$13:$AK$56,K$4,FALSE))=TRUE,"",
              VLOOKUP($G98,SantoYusuf!$L$13:$AK$56,K$4,FALSE)))</f>
        <v/>
      </c>
      <c r="L98" s="18" t="str">
        <f>IF(ISNUMBER($L$6)=FALSE,"",
        IF(ISERROR(VLOOKUP($G98,SantoYusuf!$L$13:$AK$56,L$4,FALSE))=TRUE,"",
              VLOOKUP($G98,SantoYusuf!$L$13:$AK$56,L$4,FALSE)))</f>
        <v/>
      </c>
      <c r="M98" s="18" t="str">
        <f>IF(ISNUMBER($L$6)=FALSE,"",
        IF(ISERROR(VLOOKUP($G98,SantoYusuf!$L$13:$AK$56,M$4,FALSE))=TRUE,"",
              VLOOKUP($G98,SantoYusuf!$L$13:$AK$56,M$4,FALSE)))</f>
        <v/>
      </c>
      <c r="N98" s="18" t="str">
        <f>IF(ISNUMBER($L$6)=FALSE,"",
        IF(ISERROR(VLOOKUP($G98,SantoYusuf!$L$13:$AK$56,N$4,FALSE))=TRUE,"",
              VLOOKUP($G98,SantoYusuf!$L$13:$AK$56,N$4,FALSE)))</f>
        <v/>
      </c>
      <c r="O98" s="18" t="str">
        <f>IF(ISNUMBER($L$6)=FALSE,"",
        IF(ISERROR(VLOOKUP($G98,SantoYusuf!$L$13:$AK$56,O$4,FALSE))=TRUE,"",
              VLOOKUP($G98,SantoYusuf!$L$13:$AK$56,O$4,FALSE)))</f>
        <v/>
      </c>
      <c r="P98" s="18" t="str">
        <f>IF(ISNUMBER($L$6)=FALSE,"",
        IF(ISERROR(VLOOKUP($G98,SantoYusuf!$L$13:$AK$56,P$4,FALSE))=TRUE,"",
              VLOOKUP($G98,SantoYusuf!$L$13:$AK$56,P$4,FALSE)))</f>
        <v/>
      </c>
      <c r="Q98" s="18" t="str">
        <f>IF(ISNUMBER($L$6)=FALSE,"",
        IF(ISERROR(VLOOKUP($G98,SantoYusuf!$L$13:$AK$56,Q$4,FALSE))=TRUE,"",
              VLOOKUP($G98,SantoYusuf!$L$13:$AK$56,Q$4,FALSE)))</f>
        <v/>
      </c>
      <c r="R98" s="18" t="str">
        <f>IF(ISNUMBER($L$6)=FALSE,"",
        IF(ISERROR(VLOOKUP($G98,SantoYusuf!$L$13:$AK$56,R$4,FALSE))=TRUE,"",
              VLOOKUP($G98,SantoYusuf!$L$13:$AK$56,R$4,FALSE)))</f>
        <v/>
      </c>
      <c r="S98" s="18" t="str">
        <f>IF(ISNUMBER($L$6)=FALSE,"",
        IF(ISERROR(VLOOKUP($G98,SantoYusuf!$L$13:$AK$56,S$4,FALSE))=TRUE,"",
              VLOOKUP($G98,SantoYusuf!$L$13:$AK$56,S$4,FALSE)))</f>
        <v/>
      </c>
      <c r="T98" s="18" t="str">
        <f>IF(ISNUMBER($L$6)=FALSE,"",
        IF(ISERROR(VLOOKUP($G98,SantoYusuf!$L$13:$AK$56,T$4,FALSE))=TRUE,"",
              VLOOKUP($G98,SantoYusuf!$L$13:$AK$56,T$4,FALSE)))</f>
        <v/>
      </c>
      <c r="U98" s="18" t="str">
        <f>IF(ISNUMBER($L$6)=FALSE,"",
        IF(ISERROR(VLOOKUP($G98,SantoYusuf!$L$13:$AK$56,U$4,FALSE))=TRUE,"",
              VLOOKUP($G98,SantoYusuf!$L$13:$AK$56,U$4,FALSE)))</f>
        <v/>
      </c>
      <c r="V98" s="18" t="str">
        <f>IF(ISNUMBER($L$6)=FALSE,"",
        IF(ISERROR(VLOOKUP($G98,SantoYusuf!$L$13:$AK$56,V$4,FALSE))=TRUE,"",
              VLOOKUP($G98,SantoYusuf!$L$13:$AK$56,V$4,FALSE)))</f>
        <v/>
      </c>
      <c r="W98" s="18" t="str">
        <f>IF(ISNUMBER($L$6)=FALSE,"",
        IF(ISERROR(VLOOKUP($G98,SantoYusuf!$L$13:$AK$56,W$4,FALSE))=TRUE,"",
              VLOOKUP($G98,SantoYusuf!$L$13:$AK$56,W$4,FALSE)))</f>
        <v/>
      </c>
      <c r="X98" s="18" t="str">
        <f>IF(ISNUMBER($L$6)=FALSE,"",
        IF(ISERROR(VLOOKUP($G98,SantoYusuf!$L$13:$AK$56,X$4,FALSE))=TRUE,"",
              VLOOKUP($G98,SantoYusuf!$L$13:$AK$56,X$4,FALSE)))</f>
        <v/>
      </c>
      <c r="Y98" s="18" t="str">
        <f>IF(ISNUMBER($L$6)=FALSE,"",
        IF(ISERROR(VLOOKUP($G98,SantoYusuf!$L$13:$AK$56,Y$4,FALSE))=TRUE,"",
              VLOOKUP($G98,SantoYusuf!$L$13:$AK$56,Y$4,FALSE)))</f>
        <v/>
      </c>
      <c r="Z98" s="18" t="str">
        <f>IF(ISNUMBER($L$6)=FALSE,"",
        IF(ISERROR(VLOOKUP($G98,SantoYusuf!$L$13:$AK$56,Z$4,FALSE))=TRUE,"",
              VLOOKUP($G98,SantoYusuf!$L$13:$AK$56,Z$4,FALSE)))</f>
        <v/>
      </c>
      <c r="AA98" s="18" t="str">
        <f>IF(ISNUMBER($L$6)=FALSE,"",
        IF(ISERROR(VLOOKUP($G98,SantoYusuf!$L$13:$AK$56,AA$4,FALSE))=TRUE,"",
              VLOOKUP($G98,SantoYusuf!$L$13:$AK$56,AA$4,FALSE)))</f>
        <v/>
      </c>
      <c r="AB98" s="18" t="str">
        <f>IF(ISNUMBER($L$6)=FALSE,"",
        IF(ISERROR(VLOOKUP($G98,SantoYusuf!$L$13:$AK$56,AB$4,FALSE))=TRUE,"",
              VLOOKUP($G98,SantoYusuf!$L$13:$AK$56,AB$4,FALSE)))</f>
        <v/>
      </c>
      <c r="AC98" s="18" t="str">
        <f>IF(ISNUMBER($L$6)=FALSE,"",
        IF(ISERROR(VLOOKUP($G98,SantoYusuf!$L$13:$AK$56,AC$4,FALSE))=TRUE,"",
              VLOOKUP($G98,SantoYusuf!$L$13:$AK$56,AC$4,FALSE)))</f>
        <v/>
      </c>
      <c r="AD98" s="18" t="str">
        <f>IF(ISNUMBER($L$6)=FALSE,"",
        IF(ISERROR(VLOOKUP($G98,SantoYusuf!$L$13:$AK$56,AD$4,FALSE))=TRUE,"",
              VLOOKUP($G98,SantoYusuf!$L$13:$AK$56,AD$4,FALSE)))</f>
        <v/>
      </c>
      <c r="AE98" s="18" t="str">
        <f>IF(ISNUMBER($L$6)=FALSE,"",
        IF(ISERROR(VLOOKUP($G98,SantoYusuf!$L$13:$AK$56,AE$4,FALSE))=TRUE,"",
              VLOOKUP($G98,SantoYusuf!$L$13:$AK$56,AE$4,FALSE)))</f>
        <v/>
      </c>
      <c r="AF98" s="18" t="str">
        <f>IF(ISNUMBER($L$6)=FALSE,"",
        IF(ISERROR(VLOOKUP($G98,SantoYusuf!$L$13:$AK$56,AF$4,FALSE))=TRUE,"",
              VLOOKUP($G98,SantoYusuf!$L$13:$AK$56,AF$4,FALSE)))</f>
        <v/>
      </c>
    </row>
    <row r="99" spans="1:32" s="60" customFormat="1" ht="10.5" x14ac:dyDescent="0.25">
      <c r="A99" s="59"/>
      <c r="C99" s="59">
        <f t="shared" si="6"/>
        <v>86</v>
      </c>
      <c r="D99" s="61"/>
      <c r="E99" s="77" t="str">
        <f t="shared" si="7"/>
        <v/>
      </c>
      <c r="F99" s="77" t="str">
        <f>IF(ISNUMBER($L$6)=FALSE,"",
IF($C99=0,"",VLOOKUP($E99,SantoYusuf!$H$13:$L$56,4,FALSE)))</f>
        <v/>
      </c>
      <c r="G99" s="77" t="str">
        <f>IF(ISNUMBER($L$6)=FALSE,"",
IF($C99=0,"",VLOOKUP($E99,SantoYusuf!$H$13:$L$56,5,FALSE)))</f>
        <v/>
      </c>
      <c r="H99" s="17" t="str">
        <f t="shared" si="8"/>
        <v/>
      </c>
      <c r="I99" s="18" t="str">
        <f>IF(ISNUMBER($L$6)=FALSE,"",
        IF(ISERROR(VLOOKUP($G99,SantoYusuf!$L$13:$AK$56,I$4,FALSE))=TRUE,"",
              VLOOKUP($G99,SantoYusuf!$L$13:$AK$56,I$4,FALSE)))</f>
        <v/>
      </c>
      <c r="J99" s="18" t="str">
        <f>IF(ISNUMBER($L$6)=FALSE,"",
        IF(ISERROR(VLOOKUP($G99,SantoYusuf!$L$13:$AK$56,J$4,FALSE))=TRUE,"",
              VLOOKUP($G99,SantoYusuf!$L$13:$AK$56,J$4,FALSE)))</f>
        <v/>
      </c>
      <c r="K99" s="18" t="str">
        <f>IF(ISNUMBER($L$6)=FALSE,"",
        IF(ISERROR(VLOOKUP($G99,SantoYusuf!$L$13:$AK$56,K$4,FALSE))=TRUE,"",
              VLOOKUP($G99,SantoYusuf!$L$13:$AK$56,K$4,FALSE)))</f>
        <v/>
      </c>
      <c r="L99" s="18" t="str">
        <f>IF(ISNUMBER($L$6)=FALSE,"",
        IF(ISERROR(VLOOKUP($G99,SantoYusuf!$L$13:$AK$56,L$4,FALSE))=TRUE,"",
              VLOOKUP($G99,SantoYusuf!$L$13:$AK$56,L$4,FALSE)))</f>
        <v/>
      </c>
      <c r="M99" s="18" t="str">
        <f>IF(ISNUMBER($L$6)=FALSE,"",
        IF(ISERROR(VLOOKUP($G99,SantoYusuf!$L$13:$AK$56,M$4,FALSE))=TRUE,"",
              VLOOKUP($G99,SantoYusuf!$L$13:$AK$56,M$4,FALSE)))</f>
        <v/>
      </c>
      <c r="N99" s="18" t="str">
        <f>IF(ISNUMBER($L$6)=FALSE,"",
        IF(ISERROR(VLOOKUP($G99,SantoYusuf!$L$13:$AK$56,N$4,FALSE))=TRUE,"",
              VLOOKUP($G99,SantoYusuf!$L$13:$AK$56,N$4,FALSE)))</f>
        <v/>
      </c>
      <c r="O99" s="18" t="str">
        <f>IF(ISNUMBER($L$6)=FALSE,"",
        IF(ISERROR(VLOOKUP($G99,SantoYusuf!$L$13:$AK$56,O$4,FALSE))=TRUE,"",
              VLOOKUP($G99,SantoYusuf!$L$13:$AK$56,O$4,FALSE)))</f>
        <v/>
      </c>
      <c r="P99" s="18" t="str">
        <f>IF(ISNUMBER($L$6)=FALSE,"",
        IF(ISERROR(VLOOKUP($G99,SantoYusuf!$L$13:$AK$56,P$4,FALSE))=TRUE,"",
              VLOOKUP($G99,SantoYusuf!$L$13:$AK$56,P$4,FALSE)))</f>
        <v/>
      </c>
      <c r="Q99" s="18" t="str">
        <f>IF(ISNUMBER($L$6)=FALSE,"",
        IF(ISERROR(VLOOKUP($G99,SantoYusuf!$L$13:$AK$56,Q$4,FALSE))=TRUE,"",
              VLOOKUP($G99,SantoYusuf!$L$13:$AK$56,Q$4,FALSE)))</f>
        <v/>
      </c>
      <c r="R99" s="18" t="str">
        <f>IF(ISNUMBER($L$6)=FALSE,"",
        IF(ISERROR(VLOOKUP($G99,SantoYusuf!$L$13:$AK$56,R$4,FALSE))=TRUE,"",
              VLOOKUP($G99,SantoYusuf!$L$13:$AK$56,R$4,FALSE)))</f>
        <v/>
      </c>
      <c r="S99" s="18" t="str">
        <f>IF(ISNUMBER($L$6)=FALSE,"",
        IF(ISERROR(VLOOKUP($G99,SantoYusuf!$L$13:$AK$56,S$4,FALSE))=TRUE,"",
              VLOOKUP($G99,SantoYusuf!$L$13:$AK$56,S$4,FALSE)))</f>
        <v/>
      </c>
      <c r="T99" s="18" t="str">
        <f>IF(ISNUMBER($L$6)=FALSE,"",
        IF(ISERROR(VLOOKUP($G99,SantoYusuf!$L$13:$AK$56,T$4,FALSE))=TRUE,"",
              VLOOKUP($G99,SantoYusuf!$L$13:$AK$56,T$4,FALSE)))</f>
        <v/>
      </c>
      <c r="U99" s="18" t="str">
        <f>IF(ISNUMBER($L$6)=FALSE,"",
        IF(ISERROR(VLOOKUP($G99,SantoYusuf!$L$13:$AK$56,U$4,FALSE))=TRUE,"",
              VLOOKUP($G99,SantoYusuf!$L$13:$AK$56,U$4,FALSE)))</f>
        <v/>
      </c>
      <c r="V99" s="18" t="str">
        <f>IF(ISNUMBER($L$6)=FALSE,"",
        IF(ISERROR(VLOOKUP($G99,SantoYusuf!$L$13:$AK$56,V$4,FALSE))=TRUE,"",
              VLOOKUP($G99,SantoYusuf!$L$13:$AK$56,V$4,FALSE)))</f>
        <v/>
      </c>
      <c r="W99" s="18" t="str">
        <f>IF(ISNUMBER($L$6)=FALSE,"",
        IF(ISERROR(VLOOKUP($G99,SantoYusuf!$L$13:$AK$56,W$4,FALSE))=TRUE,"",
              VLOOKUP($G99,SantoYusuf!$L$13:$AK$56,W$4,FALSE)))</f>
        <v/>
      </c>
      <c r="X99" s="18" t="str">
        <f>IF(ISNUMBER($L$6)=FALSE,"",
        IF(ISERROR(VLOOKUP($G99,SantoYusuf!$L$13:$AK$56,X$4,FALSE))=TRUE,"",
              VLOOKUP($G99,SantoYusuf!$L$13:$AK$56,X$4,FALSE)))</f>
        <v/>
      </c>
      <c r="Y99" s="18" t="str">
        <f>IF(ISNUMBER($L$6)=FALSE,"",
        IF(ISERROR(VLOOKUP($G99,SantoYusuf!$L$13:$AK$56,Y$4,FALSE))=TRUE,"",
              VLOOKUP($G99,SantoYusuf!$L$13:$AK$56,Y$4,FALSE)))</f>
        <v/>
      </c>
      <c r="Z99" s="18" t="str">
        <f>IF(ISNUMBER($L$6)=FALSE,"",
        IF(ISERROR(VLOOKUP($G99,SantoYusuf!$L$13:$AK$56,Z$4,FALSE))=TRUE,"",
              VLOOKUP($G99,SantoYusuf!$L$13:$AK$56,Z$4,FALSE)))</f>
        <v/>
      </c>
      <c r="AA99" s="18" t="str">
        <f>IF(ISNUMBER($L$6)=FALSE,"",
        IF(ISERROR(VLOOKUP($G99,SantoYusuf!$L$13:$AK$56,AA$4,FALSE))=TRUE,"",
              VLOOKUP($G99,SantoYusuf!$L$13:$AK$56,AA$4,FALSE)))</f>
        <v/>
      </c>
      <c r="AB99" s="18" t="str">
        <f>IF(ISNUMBER($L$6)=FALSE,"",
        IF(ISERROR(VLOOKUP($G99,SantoYusuf!$L$13:$AK$56,AB$4,FALSE))=TRUE,"",
              VLOOKUP($G99,SantoYusuf!$L$13:$AK$56,AB$4,FALSE)))</f>
        <v/>
      </c>
      <c r="AC99" s="18" t="str">
        <f>IF(ISNUMBER($L$6)=FALSE,"",
        IF(ISERROR(VLOOKUP($G99,SantoYusuf!$L$13:$AK$56,AC$4,FALSE))=TRUE,"",
              VLOOKUP($G99,SantoYusuf!$L$13:$AK$56,AC$4,FALSE)))</f>
        <v/>
      </c>
      <c r="AD99" s="18" t="str">
        <f>IF(ISNUMBER($L$6)=FALSE,"",
        IF(ISERROR(VLOOKUP($G99,SantoYusuf!$L$13:$AK$56,AD$4,FALSE))=TRUE,"",
              VLOOKUP($G99,SantoYusuf!$L$13:$AK$56,AD$4,FALSE)))</f>
        <v/>
      </c>
      <c r="AE99" s="18" t="str">
        <f>IF(ISNUMBER($L$6)=FALSE,"",
        IF(ISERROR(VLOOKUP($G99,SantoYusuf!$L$13:$AK$56,AE$4,FALSE))=TRUE,"",
              VLOOKUP($G99,SantoYusuf!$L$13:$AK$56,AE$4,FALSE)))</f>
        <v/>
      </c>
      <c r="AF99" s="18" t="str">
        <f>IF(ISNUMBER($L$6)=FALSE,"",
        IF(ISERROR(VLOOKUP($G99,SantoYusuf!$L$13:$AK$56,AF$4,FALSE))=TRUE,"",
              VLOOKUP($G99,SantoYusuf!$L$13:$AK$56,AF$4,FALSE)))</f>
        <v/>
      </c>
    </row>
    <row r="100" spans="1:32" s="60" customFormat="1" ht="10.5" x14ac:dyDescent="0.25">
      <c r="A100" s="59"/>
      <c r="C100" s="59">
        <f t="shared" si="6"/>
        <v>87</v>
      </c>
      <c r="D100" s="61"/>
      <c r="E100" s="77" t="str">
        <f t="shared" si="7"/>
        <v/>
      </c>
      <c r="F100" s="77" t="str">
        <f>IF(ISNUMBER($L$6)=FALSE,"",
IF($C100=0,"",VLOOKUP($E100,SantoYusuf!$H$13:$L$56,4,FALSE)))</f>
        <v/>
      </c>
      <c r="G100" s="77" t="str">
        <f>IF(ISNUMBER($L$6)=FALSE,"",
IF($C100=0,"",VLOOKUP($E100,SantoYusuf!$H$13:$L$56,5,FALSE)))</f>
        <v/>
      </c>
      <c r="H100" s="17" t="str">
        <f t="shared" si="8"/>
        <v/>
      </c>
      <c r="I100" s="18" t="str">
        <f>IF(ISNUMBER($L$6)=FALSE,"",
        IF(ISERROR(VLOOKUP($G100,SantoYusuf!$L$13:$AK$56,I$4,FALSE))=TRUE,"",
              VLOOKUP($G100,SantoYusuf!$L$13:$AK$56,I$4,FALSE)))</f>
        <v/>
      </c>
      <c r="J100" s="18" t="str">
        <f>IF(ISNUMBER($L$6)=FALSE,"",
        IF(ISERROR(VLOOKUP($G100,SantoYusuf!$L$13:$AK$56,J$4,FALSE))=TRUE,"",
              VLOOKUP($G100,SantoYusuf!$L$13:$AK$56,J$4,FALSE)))</f>
        <v/>
      </c>
      <c r="K100" s="18" t="str">
        <f>IF(ISNUMBER($L$6)=FALSE,"",
        IF(ISERROR(VLOOKUP($G100,SantoYusuf!$L$13:$AK$56,K$4,FALSE))=TRUE,"",
              VLOOKUP($G100,SantoYusuf!$L$13:$AK$56,K$4,FALSE)))</f>
        <v/>
      </c>
      <c r="L100" s="18" t="str">
        <f>IF(ISNUMBER($L$6)=FALSE,"",
        IF(ISERROR(VLOOKUP($G100,SantoYusuf!$L$13:$AK$56,L$4,FALSE))=TRUE,"",
              VLOOKUP($G100,SantoYusuf!$L$13:$AK$56,L$4,FALSE)))</f>
        <v/>
      </c>
      <c r="M100" s="18" t="str">
        <f>IF(ISNUMBER($L$6)=FALSE,"",
        IF(ISERROR(VLOOKUP($G100,SantoYusuf!$L$13:$AK$56,M$4,FALSE))=TRUE,"",
              VLOOKUP($G100,SantoYusuf!$L$13:$AK$56,M$4,FALSE)))</f>
        <v/>
      </c>
      <c r="N100" s="18" t="str">
        <f>IF(ISNUMBER($L$6)=FALSE,"",
        IF(ISERROR(VLOOKUP($G100,SantoYusuf!$L$13:$AK$56,N$4,FALSE))=TRUE,"",
              VLOOKUP($G100,SantoYusuf!$L$13:$AK$56,N$4,FALSE)))</f>
        <v/>
      </c>
      <c r="O100" s="18" t="str">
        <f>IF(ISNUMBER($L$6)=FALSE,"",
        IF(ISERROR(VLOOKUP($G100,SantoYusuf!$L$13:$AK$56,O$4,FALSE))=TRUE,"",
              VLOOKUP($G100,SantoYusuf!$L$13:$AK$56,O$4,FALSE)))</f>
        <v/>
      </c>
      <c r="P100" s="18" t="str">
        <f>IF(ISNUMBER($L$6)=FALSE,"",
        IF(ISERROR(VLOOKUP($G100,SantoYusuf!$L$13:$AK$56,P$4,FALSE))=TRUE,"",
              VLOOKUP($G100,SantoYusuf!$L$13:$AK$56,P$4,FALSE)))</f>
        <v/>
      </c>
      <c r="Q100" s="18" t="str">
        <f>IF(ISNUMBER($L$6)=FALSE,"",
        IF(ISERROR(VLOOKUP($G100,SantoYusuf!$L$13:$AK$56,Q$4,FALSE))=TRUE,"",
              VLOOKUP($G100,SantoYusuf!$L$13:$AK$56,Q$4,FALSE)))</f>
        <v/>
      </c>
      <c r="R100" s="18" t="str">
        <f>IF(ISNUMBER($L$6)=FALSE,"",
        IF(ISERROR(VLOOKUP($G100,SantoYusuf!$L$13:$AK$56,R$4,FALSE))=TRUE,"",
              VLOOKUP($G100,SantoYusuf!$L$13:$AK$56,R$4,FALSE)))</f>
        <v/>
      </c>
      <c r="S100" s="18" t="str">
        <f>IF(ISNUMBER($L$6)=FALSE,"",
        IF(ISERROR(VLOOKUP($G100,SantoYusuf!$L$13:$AK$56,S$4,FALSE))=TRUE,"",
              VLOOKUP($G100,SantoYusuf!$L$13:$AK$56,S$4,FALSE)))</f>
        <v/>
      </c>
      <c r="T100" s="18" t="str">
        <f>IF(ISNUMBER($L$6)=FALSE,"",
        IF(ISERROR(VLOOKUP($G100,SantoYusuf!$L$13:$AK$56,T$4,FALSE))=TRUE,"",
              VLOOKUP($G100,SantoYusuf!$L$13:$AK$56,T$4,FALSE)))</f>
        <v/>
      </c>
      <c r="U100" s="18" t="str">
        <f>IF(ISNUMBER($L$6)=FALSE,"",
        IF(ISERROR(VLOOKUP($G100,SantoYusuf!$L$13:$AK$56,U$4,FALSE))=TRUE,"",
              VLOOKUP($G100,SantoYusuf!$L$13:$AK$56,U$4,FALSE)))</f>
        <v/>
      </c>
      <c r="V100" s="18" t="str">
        <f>IF(ISNUMBER($L$6)=FALSE,"",
        IF(ISERROR(VLOOKUP($G100,SantoYusuf!$L$13:$AK$56,V$4,FALSE))=TRUE,"",
              VLOOKUP($G100,SantoYusuf!$L$13:$AK$56,V$4,FALSE)))</f>
        <v/>
      </c>
      <c r="W100" s="18" t="str">
        <f>IF(ISNUMBER($L$6)=FALSE,"",
        IF(ISERROR(VLOOKUP($G100,SantoYusuf!$L$13:$AK$56,W$4,FALSE))=TRUE,"",
              VLOOKUP($G100,SantoYusuf!$L$13:$AK$56,W$4,FALSE)))</f>
        <v/>
      </c>
      <c r="X100" s="18" t="str">
        <f>IF(ISNUMBER($L$6)=FALSE,"",
        IF(ISERROR(VLOOKUP($G100,SantoYusuf!$L$13:$AK$56,X$4,FALSE))=TRUE,"",
              VLOOKUP($G100,SantoYusuf!$L$13:$AK$56,X$4,FALSE)))</f>
        <v/>
      </c>
      <c r="Y100" s="18" t="str">
        <f>IF(ISNUMBER($L$6)=FALSE,"",
        IF(ISERROR(VLOOKUP($G100,SantoYusuf!$L$13:$AK$56,Y$4,FALSE))=TRUE,"",
              VLOOKUP($G100,SantoYusuf!$L$13:$AK$56,Y$4,FALSE)))</f>
        <v/>
      </c>
      <c r="Z100" s="18" t="str">
        <f>IF(ISNUMBER($L$6)=FALSE,"",
        IF(ISERROR(VLOOKUP($G100,SantoYusuf!$L$13:$AK$56,Z$4,FALSE))=TRUE,"",
              VLOOKUP($G100,SantoYusuf!$L$13:$AK$56,Z$4,FALSE)))</f>
        <v/>
      </c>
      <c r="AA100" s="18" t="str">
        <f>IF(ISNUMBER($L$6)=FALSE,"",
        IF(ISERROR(VLOOKUP($G100,SantoYusuf!$L$13:$AK$56,AA$4,FALSE))=TRUE,"",
              VLOOKUP($G100,SantoYusuf!$L$13:$AK$56,AA$4,FALSE)))</f>
        <v/>
      </c>
      <c r="AB100" s="18" t="str">
        <f>IF(ISNUMBER($L$6)=FALSE,"",
        IF(ISERROR(VLOOKUP($G100,SantoYusuf!$L$13:$AK$56,AB$4,FALSE))=TRUE,"",
              VLOOKUP($G100,SantoYusuf!$L$13:$AK$56,AB$4,FALSE)))</f>
        <v/>
      </c>
      <c r="AC100" s="18" t="str">
        <f>IF(ISNUMBER($L$6)=FALSE,"",
        IF(ISERROR(VLOOKUP($G100,SantoYusuf!$L$13:$AK$56,AC$4,FALSE))=TRUE,"",
              VLOOKUP($G100,SantoYusuf!$L$13:$AK$56,AC$4,FALSE)))</f>
        <v/>
      </c>
      <c r="AD100" s="18" t="str">
        <f>IF(ISNUMBER($L$6)=FALSE,"",
        IF(ISERROR(VLOOKUP($G100,SantoYusuf!$L$13:$AK$56,AD$4,FALSE))=TRUE,"",
              VLOOKUP($G100,SantoYusuf!$L$13:$AK$56,AD$4,FALSE)))</f>
        <v/>
      </c>
      <c r="AE100" s="18" t="str">
        <f>IF(ISNUMBER($L$6)=FALSE,"",
        IF(ISERROR(VLOOKUP($G100,SantoYusuf!$L$13:$AK$56,AE$4,FALSE))=TRUE,"",
              VLOOKUP($G100,SantoYusuf!$L$13:$AK$56,AE$4,FALSE)))</f>
        <v/>
      </c>
      <c r="AF100" s="18" t="str">
        <f>IF(ISNUMBER($L$6)=FALSE,"",
        IF(ISERROR(VLOOKUP($G100,SantoYusuf!$L$13:$AK$56,AF$4,FALSE))=TRUE,"",
              VLOOKUP($G100,SantoYusuf!$L$13:$AK$56,AF$4,FALSE)))</f>
        <v/>
      </c>
    </row>
    <row r="101" spans="1:32" s="60" customFormat="1" ht="10.5" x14ac:dyDescent="0.25">
      <c r="A101" s="59"/>
      <c r="C101" s="59">
        <f t="shared" si="6"/>
        <v>88</v>
      </c>
      <c r="D101" s="61"/>
      <c r="E101" s="77" t="str">
        <f t="shared" si="7"/>
        <v/>
      </c>
      <c r="F101" s="77" t="str">
        <f>IF(ISNUMBER($L$6)=FALSE,"",
IF($C101=0,"",VLOOKUP($E101,SantoYusuf!$H$13:$L$56,4,FALSE)))</f>
        <v/>
      </c>
      <c r="G101" s="77" t="str">
        <f>IF(ISNUMBER($L$6)=FALSE,"",
IF($C101=0,"",VLOOKUP($E101,SantoYusuf!$H$13:$L$56,5,FALSE)))</f>
        <v/>
      </c>
      <c r="H101" s="17" t="str">
        <f t="shared" si="8"/>
        <v/>
      </c>
      <c r="I101" s="18" t="str">
        <f>IF(ISNUMBER($L$6)=FALSE,"",
        IF(ISERROR(VLOOKUP($G101,SantoYusuf!$L$13:$AK$56,I$4,FALSE))=TRUE,"",
              VLOOKUP($G101,SantoYusuf!$L$13:$AK$56,I$4,FALSE)))</f>
        <v/>
      </c>
      <c r="J101" s="18" t="str">
        <f>IF(ISNUMBER($L$6)=FALSE,"",
        IF(ISERROR(VLOOKUP($G101,SantoYusuf!$L$13:$AK$56,J$4,FALSE))=TRUE,"",
              VLOOKUP($G101,SantoYusuf!$L$13:$AK$56,J$4,FALSE)))</f>
        <v/>
      </c>
      <c r="K101" s="18" t="str">
        <f>IF(ISNUMBER($L$6)=FALSE,"",
        IF(ISERROR(VLOOKUP($G101,SantoYusuf!$L$13:$AK$56,K$4,FALSE))=TRUE,"",
              VLOOKUP($G101,SantoYusuf!$L$13:$AK$56,K$4,FALSE)))</f>
        <v/>
      </c>
      <c r="L101" s="18" t="str">
        <f>IF(ISNUMBER($L$6)=FALSE,"",
        IF(ISERROR(VLOOKUP($G101,SantoYusuf!$L$13:$AK$56,L$4,FALSE))=TRUE,"",
              VLOOKUP($G101,SantoYusuf!$L$13:$AK$56,L$4,FALSE)))</f>
        <v/>
      </c>
      <c r="M101" s="18" t="str">
        <f>IF(ISNUMBER($L$6)=FALSE,"",
        IF(ISERROR(VLOOKUP($G101,SantoYusuf!$L$13:$AK$56,M$4,FALSE))=TRUE,"",
              VLOOKUP($G101,SantoYusuf!$L$13:$AK$56,M$4,FALSE)))</f>
        <v/>
      </c>
      <c r="N101" s="18" t="str">
        <f>IF(ISNUMBER($L$6)=FALSE,"",
        IF(ISERROR(VLOOKUP($G101,SantoYusuf!$L$13:$AK$56,N$4,FALSE))=TRUE,"",
              VLOOKUP($G101,SantoYusuf!$L$13:$AK$56,N$4,FALSE)))</f>
        <v/>
      </c>
      <c r="O101" s="18" t="str">
        <f>IF(ISNUMBER($L$6)=FALSE,"",
        IF(ISERROR(VLOOKUP($G101,SantoYusuf!$L$13:$AK$56,O$4,FALSE))=TRUE,"",
              VLOOKUP($G101,SantoYusuf!$L$13:$AK$56,O$4,FALSE)))</f>
        <v/>
      </c>
      <c r="P101" s="18" t="str">
        <f>IF(ISNUMBER($L$6)=FALSE,"",
        IF(ISERROR(VLOOKUP($G101,SantoYusuf!$L$13:$AK$56,P$4,FALSE))=TRUE,"",
              VLOOKUP($G101,SantoYusuf!$L$13:$AK$56,P$4,FALSE)))</f>
        <v/>
      </c>
      <c r="Q101" s="18" t="str">
        <f>IF(ISNUMBER($L$6)=FALSE,"",
        IF(ISERROR(VLOOKUP($G101,SantoYusuf!$L$13:$AK$56,Q$4,FALSE))=TRUE,"",
              VLOOKUP($G101,SantoYusuf!$L$13:$AK$56,Q$4,FALSE)))</f>
        <v/>
      </c>
      <c r="R101" s="18" t="str">
        <f>IF(ISNUMBER($L$6)=FALSE,"",
        IF(ISERROR(VLOOKUP($G101,SantoYusuf!$L$13:$AK$56,R$4,FALSE))=TRUE,"",
              VLOOKUP($G101,SantoYusuf!$L$13:$AK$56,R$4,FALSE)))</f>
        <v/>
      </c>
      <c r="S101" s="18" t="str">
        <f>IF(ISNUMBER($L$6)=FALSE,"",
        IF(ISERROR(VLOOKUP($G101,SantoYusuf!$L$13:$AK$56,S$4,FALSE))=TRUE,"",
              VLOOKUP($G101,SantoYusuf!$L$13:$AK$56,S$4,FALSE)))</f>
        <v/>
      </c>
      <c r="T101" s="18" t="str">
        <f>IF(ISNUMBER($L$6)=FALSE,"",
        IF(ISERROR(VLOOKUP($G101,SantoYusuf!$L$13:$AK$56,T$4,FALSE))=TRUE,"",
              VLOOKUP($G101,SantoYusuf!$L$13:$AK$56,T$4,FALSE)))</f>
        <v/>
      </c>
      <c r="U101" s="18" t="str">
        <f>IF(ISNUMBER($L$6)=FALSE,"",
        IF(ISERROR(VLOOKUP($G101,SantoYusuf!$L$13:$AK$56,U$4,FALSE))=TRUE,"",
              VLOOKUP($G101,SantoYusuf!$L$13:$AK$56,U$4,FALSE)))</f>
        <v/>
      </c>
      <c r="V101" s="18" t="str">
        <f>IF(ISNUMBER($L$6)=FALSE,"",
        IF(ISERROR(VLOOKUP($G101,SantoYusuf!$L$13:$AK$56,V$4,FALSE))=TRUE,"",
              VLOOKUP($G101,SantoYusuf!$L$13:$AK$56,V$4,FALSE)))</f>
        <v/>
      </c>
      <c r="W101" s="18" t="str">
        <f>IF(ISNUMBER($L$6)=FALSE,"",
        IF(ISERROR(VLOOKUP($G101,SantoYusuf!$L$13:$AK$56,W$4,FALSE))=TRUE,"",
              VLOOKUP($G101,SantoYusuf!$L$13:$AK$56,W$4,FALSE)))</f>
        <v/>
      </c>
      <c r="X101" s="18" t="str">
        <f>IF(ISNUMBER($L$6)=FALSE,"",
        IF(ISERROR(VLOOKUP($G101,SantoYusuf!$L$13:$AK$56,X$4,FALSE))=TRUE,"",
              VLOOKUP($G101,SantoYusuf!$L$13:$AK$56,X$4,FALSE)))</f>
        <v/>
      </c>
      <c r="Y101" s="18" t="str">
        <f>IF(ISNUMBER($L$6)=FALSE,"",
        IF(ISERROR(VLOOKUP($G101,SantoYusuf!$L$13:$AK$56,Y$4,FALSE))=TRUE,"",
              VLOOKUP($G101,SantoYusuf!$L$13:$AK$56,Y$4,FALSE)))</f>
        <v/>
      </c>
      <c r="Z101" s="18" t="str">
        <f>IF(ISNUMBER($L$6)=FALSE,"",
        IF(ISERROR(VLOOKUP($G101,SantoYusuf!$L$13:$AK$56,Z$4,FALSE))=TRUE,"",
              VLOOKUP($G101,SantoYusuf!$L$13:$AK$56,Z$4,FALSE)))</f>
        <v/>
      </c>
      <c r="AA101" s="18" t="str">
        <f>IF(ISNUMBER($L$6)=FALSE,"",
        IF(ISERROR(VLOOKUP($G101,SantoYusuf!$L$13:$AK$56,AA$4,FALSE))=TRUE,"",
              VLOOKUP($G101,SantoYusuf!$L$13:$AK$56,AA$4,FALSE)))</f>
        <v/>
      </c>
      <c r="AB101" s="18" t="str">
        <f>IF(ISNUMBER($L$6)=FALSE,"",
        IF(ISERROR(VLOOKUP($G101,SantoYusuf!$L$13:$AK$56,AB$4,FALSE))=TRUE,"",
              VLOOKUP($G101,SantoYusuf!$L$13:$AK$56,AB$4,FALSE)))</f>
        <v/>
      </c>
      <c r="AC101" s="18" t="str">
        <f>IF(ISNUMBER($L$6)=FALSE,"",
        IF(ISERROR(VLOOKUP($G101,SantoYusuf!$L$13:$AK$56,AC$4,FALSE))=TRUE,"",
              VLOOKUP($G101,SantoYusuf!$L$13:$AK$56,AC$4,FALSE)))</f>
        <v/>
      </c>
      <c r="AD101" s="18" t="str">
        <f>IF(ISNUMBER($L$6)=FALSE,"",
        IF(ISERROR(VLOOKUP($G101,SantoYusuf!$L$13:$AK$56,AD$4,FALSE))=TRUE,"",
              VLOOKUP($G101,SantoYusuf!$L$13:$AK$56,AD$4,FALSE)))</f>
        <v/>
      </c>
      <c r="AE101" s="18" t="str">
        <f>IF(ISNUMBER($L$6)=FALSE,"",
        IF(ISERROR(VLOOKUP($G101,SantoYusuf!$L$13:$AK$56,AE$4,FALSE))=TRUE,"",
              VLOOKUP($G101,SantoYusuf!$L$13:$AK$56,AE$4,FALSE)))</f>
        <v/>
      </c>
      <c r="AF101" s="18" t="str">
        <f>IF(ISNUMBER($L$6)=FALSE,"",
        IF(ISERROR(VLOOKUP($G101,SantoYusuf!$L$13:$AK$56,AF$4,FALSE))=TRUE,"",
              VLOOKUP($G101,SantoYusuf!$L$13:$AK$56,AF$4,FALSE)))</f>
        <v/>
      </c>
    </row>
    <row r="102" spans="1:32" s="60" customFormat="1" ht="10.5" x14ac:dyDescent="0.25">
      <c r="A102" s="59"/>
      <c r="C102" s="59">
        <f t="shared" si="6"/>
        <v>89</v>
      </c>
      <c r="D102" s="61"/>
      <c r="E102" s="77" t="str">
        <f t="shared" si="7"/>
        <v/>
      </c>
      <c r="F102" s="77" t="str">
        <f>IF(ISNUMBER($L$6)=FALSE,"",
IF($C102=0,"",VLOOKUP($E102,SantoYusuf!$H$13:$L$56,4,FALSE)))</f>
        <v/>
      </c>
      <c r="G102" s="77" t="str">
        <f>IF(ISNUMBER($L$6)=FALSE,"",
IF($C102=0,"",VLOOKUP($E102,SantoYusuf!$H$13:$L$56,5,FALSE)))</f>
        <v/>
      </c>
      <c r="H102" s="17" t="str">
        <f t="shared" si="8"/>
        <v/>
      </c>
      <c r="I102" s="18" t="str">
        <f>IF(ISNUMBER($L$6)=FALSE,"",
        IF(ISERROR(VLOOKUP($G102,SantoYusuf!$L$13:$AK$56,I$4,FALSE))=TRUE,"",
              VLOOKUP($G102,SantoYusuf!$L$13:$AK$56,I$4,FALSE)))</f>
        <v/>
      </c>
      <c r="J102" s="18" t="str">
        <f>IF(ISNUMBER($L$6)=FALSE,"",
        IF(ISERROR(VLOOKUP($G102,SantoYusuf!$L$13:$AK$56,J$4,FALSE))=TRUE,"",
              VLOOKUP($G102,SantoYusuf!$L$13:$AK$56,J$4,FALSE)))</f>
        <v/>
      </c>
      <c r="K102" s="18" t="str">
        <f>IF(ISNUMBER($L$6)=FALSE,"",
        IF(ISERROR(VLOOKUP($G102,SantoYusuf!$L$13:$AK$56,K$4,FALSE))=TRUE,"",
              VLOOKUP($G102,SantoYusuf!$L$13:$AK$56,K$4,FALSE)))</f>
        <v/>
      </c>
      <c r="L102" s="18" t="str">
        <f>IF(ISNUMBER($L$6)=FALSE,"",
        IF(ISERROR(VLOOKUP($G102,SantoYusuf!$L$13:$AK$56,L$4,FALSE))=TRUE,"",
              VLOOKUP($G102,SantoYusuf!$L$13:$AK$56,L$4,FALSE)))</f>
        <v/>
      </c>
      <c r="M102" s="18" t="str">
        <f>IF(ISNUMBER($L$6)=FALSE,"",
        IF(ISERROR(VLOOKUP($G102,SantoYusuf!$L$13:$AK$56,M$4,FALSE))=TRUE,"",
              VLOOKUP($G102,SantoYusuf!$L$13:$AK$56,M$4,FALSE)))</f>
        <v/>
      </c>
      <c r="N102" s="18" t="str">
        <f>IF(ISNUMBER($L$6)=FALSE,"",
        IF(ISERROR(VLOOKUP($G102,SantoYusuf!$L$13:$AK$56,N$4,FALSE))=TRUE,"",
              VLOOKUP($G102,SantoYusuf!$L$13:$AK$56,N$4,FALSE)))</f>
        <v/>
      </c>
      <c r="O102" s="18" t="str">
        <f>IF(ISNUMBER($L$6)=FALSE,"",
        IF(ISERROR(VLOOKUP($G102,SantoYusuf!$L$13:$AK$56,O$4,FALSE))=TRUE,"",
              VLOOKUP($G102,SantoYusuf!$L$13:$AK$56,O$4,FALSE)))</f>
        <v/>
      </c>
      <c r="P102" s="18" t="str">
        <f>IF(ISNUMBER($L$6)=FALSE,"",
        IF(ISERROR(VLOOKUP($G102,SantoYusuf!$L$13:$AK$56,P$4,FALSE))=TRUE,"",
              VLOOKUP($G102,SantoYusuf!$L$13:$AK$56,P$4,FALSE)))</f>
        <v/>
      </c>
      <c r="Q102" s="18" t="str">
        <f>IF(ISNUMBER($L$6)=FALSE,"",
        IF(ISERROR(VLOOKUP($G102,SantoYusuf!$L$13:$AK$56,Q$4,FALSE))=TRUE,"",
              VLOOKUP($G102,SantoYusuf!$L$13:$AK$56,Q$4,FALSE)))</f>
        <v/>
      </c>
      <c r="R102" s="18" t="str">
        <f>IF(ISNUMBER($L$6)=FALSE,"",
        IF(ISERROR(VLOOKUP($G102,SantoYusuf!$L$13:$AK$56,R$4,FALSE))=TRUE,"",
              VLOOKUP($G102,SantoYusuf!$L$13:$AK$56,R$4,FALSE)))</f>
        <v/>
      </c>
      <c r="S102" s="18" t="str">
        <f>IF(ISNUMBER($L$6)=FALSE,"",
        IF(ISERROR(VLOOKUP($G102,SantoYusuf!$L$13:$AK$56,S$4,FALSE))=TRUE,"",
              VLOOKUP($G102,SantoYusuf!$L$13:$AK$56,S$4,FALSE)))</f>
        <v/>
      </c>
      <c r="T102" s="18" t="str">
        <f>IF(ISNUMBER($L$6)=FALSE,"",
        IF(ISERROR(VLOOKUP($G102,SantoYusuf!$L$13:$AK$56,T$4,FALSE))=TRUE,"",
              VLOOKUP($G102,SantoYusuf!$L$13:$AK$56,T$4,FALSE)))</f>
        <v/>
      </c>
      <c r="U102" s="18" t="str">
        <f>IF(ISNUMBER($L$6)=FALSE,"",
        IF(ISERROR(VLOOKUP($G102,SantoYusuf!$L$13:$AK$56,U$4,FALSE))=TRUE,"",
              VLOOKUP($G102,SantoYusuf!$L$13:$AK$56,U$4,FALSE)))</f>
        <v/>
      </c>
      <c r="V102" s="18" t="str">
        <f>IF(ISNUMBER($L$6)=FALSE,"",
        IF(ISERROR(VLOOKUP($G102,SantoYusuf!$L$13:$AK$56,V$4,FALSE))=TRUE,"",
              VLOOKUP($G102,SantoYusuf!$L$13:$AK$56,V$4,FALSE)))</f>
        <v/>
      </c>
      <c r="W102" s="18" t="str">
        <f>IF(ISNUMBER($L$6)=FALSE,"",
        IF(ISERROR(VLOOKUP($G102,SantoYusuf!$L$13:$AK$56,W$4,FALSE))=TRUE,"",
              VLOOKUP($G102,SantoYusuf!$L$13:$AK$56,W$4,FALSE)))</f>
        <v/>
      </c>
      <c r="X102" s="18" t="str">
        <f>IF(ISNUMBER($L$6)=FALSE,"",
        IF(ISERROR(VLOOKUP($G102,SantoYusuf!$L$13:$AK$56,X$4,FALSE))=TRUE,"",
              VLOOKUP($G102,SantoYusuf!$L$13:$AK$56,X$4,FALSE)))</f>
        <v/>
      </c>
      <c r="Y102" s="18" t="str">
        <f>IF(ISNUMBER($L$6)=FALSE,"",
        IF(ISERROR(VLOOKUP($G102,SantoYusuf!$L$13:$AK$56,Y$4,FALSE))=TRUE,"",
              VLOOKUP($G102,SantoYusuf!$L$13:$AK$56,Y$4,FALSE)))</f>
        <v/>
      </c>
      <c r="Z102" s="18" t="str">
        <f>IF(ISNUMBER($L$6)=FALSE,"",
        IF(ISERROR(VLOOKUP($G102,SantoYusuf!$L$13:$AK$56,Z$4,FALSE))=TRUE,"",
              VLOOKUP($G102,SantoYusuf!$L$13:$AK$56,Z$4,FALSE)))</f>
        <v/>
      </c>
      <c r="AA102" s="18" t="str">
        <f>IF(ISNUMBER($L$6)=FALSE,"",
        IF(ISERROR(VLOOKUP($G102,SantoYusuf!$L$13:$AK$56,AA$4,FALSE))=TRUE,"",
              VLOOKUP($G102,SantoYusuf!$L$13:$AK$56,AA$4,FALSE)))</f>
        <v/>
      </c>
      <c r="AB102" s="18" t="str">
        <f>IF(ISNUMBER($L$6)=FALSE,"",
        IF(ISERROR(VLOOKUP($G102,SantoYusuf!$L$13:$AK$56,AB$4,FALSE))=TRUE,"",
              VLOOKUP($G102,SantoYusuf!$L$13:$AK$56,AB$4,FALSE)))</f>
        <v/>
      </c>
      <c r="AC102" s="18" t="str">
        <f>IF(ISNUMBER($L$6)=FALSE,"",
        IF(ISERROR(VLOOKUP($G102,SantoYusuf!$L$13:$AK$56,AC$4,FALSE))=TRUE,"",
              VLOOKUP($G102,SantoYusuf!$L$13:$AK$56,AC$4,FALSE)))</f>
        <v/>
      </c>
      <c r="AD102" s="18" t="str">
        <f>IF(ISNUMBER($L$6)=FALSE,"",
        IF(ISERROR(VLOOKUP($G102,SantoYusuf!$L$13:$AK$56,AD$4,FALSE))=TRUE,"",
              VLOOKUP($G102,SantoYusuf!$L$13:$AK$56,AD$4,FALSE)))</f>
        <v/>
      </c>
      <c r="AE102" s="18" t="str">
        <f>IF(ISNUMBER($L$6)=FALSE,"",
        IF(ISERROR(VLOOKUP($G102,SantoYusuf!$L$13:$AK$56,AE$4,FALSE))=TRUE,"",
              VLOOKUP($G102,SantoYusuf!$L$13:$AK$56,AE$4,FALSE)))</f>
        <v/>
      </c>
      <c r="AF102" s="18" t="str">
        <f>IF(ISNUMBER($L$6)=FALSE,"",
        IF(ISERROR(VLOOKUP($G102,SantoYusuf!$L$13:$AK$56,AF$4,FALSE))=TRUE,"",
              VLOOKUP($G102,SantoYusuf!$L$13:$AK$56,AF$4,FALSE)))</f>
        <v/>
      </c>
    </row>
    <row r="103" spans="1:32" s="60" customFormat="1" ht="10.5" x14ac:dyDescent="0.25">
      <c r="A103" s="59"/>
      <c r="C103" s="59">
        <f t="shared" si="6"/>
        <v>90</v>
      </c>
      <c r="D103" s="61"/>
      <c r="E103" s="77" t="str">
        <f t="shared" si="7"/>
        <v/>
      </c>
      <c r="F103" s="77" t="str">
        <f>IF(ISNUMBER($L$6)=FALSE,"",
IF($C103=0,"",VLOOKUP($E103,SantoYusuf!$H$13:$L$56,4,FALSE)))</f>
        <v/>
      </c>
      <c r="G103" s="77" t="str">
        <f>IF(ISNUMBER($L$6)=FALSE,"",
IF($C103=0,"",VLOOKUP($E103,SantoYusuf!$H$13:$L$56,5,FALSE)))</f>
        <v/>
      </c>
      <c r="H103" s="17" t="str">
        <f t="shared" si="8"/>
        <v/>
      </c>
      <c r="I103" s="18" t="str">
        <f>IF(ISNUMBER($L$6)=FALSE,"",
        IF(ISERROR(VLOOKUP($G103,SantoYusuf!$L$13:$AK$56,I$4,FALSE))=TRUE,"",
              VLOOKUP($G103,SantoYusuf!$L$13:$AK$56,I$4,FALSE)))</f>
        <v/>
      </c>
      <c r="J103" s="18" t="str">
        <f>IF(ISNUMBER($L$6)=FALSE,"",
        IF(ISERROR(VLOOKUP($G103,SantoYusuf!$L$13:$AK$56,J$4,FALSE))=TRUE,"",
              VLOOKUP($G103,SantoYusuf!$L$13:$AK$56,J$4,FALSE)))</f>
        <v/>
      </c>
      <c r="K103" s="18" t="str">
        <f>IF(ISNUMBER($L$6)=FALSE,"",
        IF(ISERROR(VLOOKUP($G103,SantoYusuf!$L$13:$AK$56,K$4,FALSE))=TRUE,"",
              VLOOKUP($G103,SantoYusuf!$L$13:$AK$56,K$4,FALSE)))</f>
        <v/>
      </c>
      <c r="L103" s="18" t="str">
        <f>IF(ISNUMBER($L$6)=FALSE,"",
        IF(ISERROR(VLOOKUP($G103,SantoYusuf!$L$13:$AK$56,L$4,FALSE))=TRUE,"",
              VLOOKUP($G103,SantoYusuf!$L$13:$AK$56,L$4,FALSE)))</f>
        <v/>
      </c>
      <c r="M103" s="18" t="str">
        <f>IF(ISNUMBER($L$6)=FALSE,"",
        IF(ISERROR(VLOOKUP($G103,SantoYusuf!$L$13:$AK$56,M$4,FALSE))=TRUE,"",
              VLOOKUP($G103,SantoYusuf!$L$13:$AK$56,M$4,FALSE)))</f>
        <v/>
      </c>
      <c r="N103" s="18" t="str">
        <f>IF(ISNUMBER($L$6)=FALSE,"",
        IF(ISERROR(VLOOKUP($G103,SantoYusuf!$L$13:$AK$56,N$4,FALSE))=TRUE,"",
              VLOOKUP($G103,SantoYusuf!$L$13:$AK$56,N$4,FALSE)))</f>
        <v/>
      </c>
      <c r="O103" s="18" t="str">
        <f>IF(ISNUMBER($L$6)=FALSE,"",
        IF(ISERROR(VLOOKUP($G103,SantoYusuf!$L$13:$AK$56,O$4,FALSE))=TRUE,"",
              VLOOKUP($G103,SantoYusuf!$L$13:$AK$56,O$4,FALSE)))</f>
        <v/>
      </c>
      <c r="P103" s="18" t="str">
        <f>IF(ISNUMBER($L$6)=FALSE,"",
        IF(ISERROR(VLOOKUP($G103,SantoYusuf!$L$13:$AK$56,P$4,FALSE))=TRUE,"",
              VLOOKUP($G103,SantoYusuf!$L$13:$AK$56,P$4,FALSE)))</f>
        <v/>
      </c>
      <c r="Q103" s="18" t="str">
        <f>IF(ISNUMBER($L$6)=FALSE,"",
        IF(ISERROR(VLOOKUP($G103,SantoYusuf!$L$13:$AK$56,Q$4,FALSE))=TRUE,"",
              VLOOKUP($G103,SantoYusuf!$L$13:$AK$56,Q$4,FALSE)))</f>
        <v/>
      </c>
      <c r="R103" s="18" t="str">
        <f>IF(ISNUMBER($L$6)=FALSE,"",
        IF(ISERROR(VLOOKUP($G103,SantoYusuf!$L$13:$AK$56,R$4,FALSE))=TRUE,"",
              VLOOKUP($G103,SantoYusuf!$L$13:$AK$56,R$4,FALSE)))</f>
        <v/>
      </c>
      <c r="S103" s="18" t="str">
        <f>IF(ISNUMBER($L$6)=FALSE,"",
        IF(ISERROR(VLOOKUP($G103,SantoYusuf!$L$13:$AK$56,S$4,FALSE))=TRUE,"",
              VLOOKUP($G103,SantoYusuf!$L$13:$AK$56,S$4,FALSE)))</f>
        <v/>
      </c>
      <c r="T103" s="18" t="str">
        <f>IF(ISNUMBER($L$6)=FALSE,"",
        IF(ISERROR(VLOOKUP($G103,SantoYusuf!$L$13:$AK$56,T$4,FALSE))=TRUE,"",
              VLOOKUP($G103,SantoYusuf!$L$13:$AK$56,T$4,FALSE)))</f>
        <v/>
      </c>
      <c r="U103" s="18" t="str">
        <f>IF(ISNUMBER($L$6)=FALSE,"",
        IF(ISERROR(VLOOKUP($G103,SantoYusuf!$L$13:$AK$56,U$4,FALSE))=TRUE,"",
              VLOOKUP($G103,SantoYusuf!$L$13:$AK$56,U$4,FALSE)))</f>
        <v/>
      </c>
      <c r="V103" s="18" t="str">
        <f>IF(ISNUMBER($L$6)=FALSE,"",
        IF(ISERROR(VLOOKUP($G103,SantoYusuf!$L$13:$AK$56,V$4,FALSE))=TRUE,"",
              VLOOKUP($G103,SantoYusuf!$L$13:$AK$56,V$4,FALSE)))</f>
        <v/>
      </c>
      <c r="W103" s="18" t="str">
        <f>IF(ISNUMBER($L$6)=FALSE,"",
        IF(ISERROR(VLOOKUP($G103,SantoYusuf!$L$13:$AK$56,W$4,FALSE))=TRUE,"",
              VLOOKUP($G103,SantoYusuf!$L$13:$AK$56,W$4,FALSE)))</f>
        <v/>
      </c>
      <c r="X103" s="18" t="str">
        <f>IF(ISNUMBER($L$6)=FALSE,"",
        IF(ISERROR(VLOOKUP($G103,SantoYusuf!$L$13:$AK$56,X$4,FALSE))=TRUE,"",
              VLOOKUP($G103,SantoYusuf!$L$13:$AK$56,X$4,FALSE)))</f>
        <v/>
      </c>
      <c r="Y103" s="18" t="str">
        <f>IF(ISNUMBER($L$6)=FALSE,"",
        IF(ISERROR(VLOOKUP($G103,SantoYusuf!$L$13:$AK$56,Y$4,FALSE))=TRUE,"",
              VLOOKUP($G103,SantoYusuf!$L$13:$AK$56,Y$4,FALSE)))</f>
        <v/>
      </c>
      <c r="Z103" s="18" t="str">
        <f>IF(ISNUMBER($L$6)=FALSE,"",
        IF(ISERROR(VLOOKUP($G103,SantoYusuf!$L$13:$AK$56,Z$4,FALSE))=TRUE,"",
              VLOOKUP($G103,SantoYusuf!$L$13:$AK$56,Z$4,FALSE)))</f>
        <v/>
      </c>
      <c r="AA103" s="18" t="str">
        <f>IF(ISNUMBER($L$6)=FALSE,"",
        IF(ISERROR(VLOOKUP($G103,SantoYusuf!$L$13:$AK$56,AA$4,FALSE))=TRUE,"",
              VLOOKUP($G103,SantoYusuf!$L$13:$AK$56,AA$4,FALSE)))</f>
        <v/>
      </c>
      <c r="AB103" s="18" t="str">
        <f>IF(ISNUMBER($L$6)=FALSE,"",
        IF(ISERROR(VLOOKUP($G103,SantoYusuf!$L$13:$AK$56,AB$4,FALSE))=TRUE,"",
              VLOOKUP($G103,SantoYusuf!$L$13:$AK$56,AB$4,FALSE)))</f>
        <v/>
      </c>
      <c r="AC103" s="18" t="str">
        <f>IF(ISNUMBER($L$6)=FALSE,"",
        IF(ISERROR(VLOOKUP($G103,SantoYusuf!$L$13:$AK$56,AC$4,FALSE))=TRUE,"",
              VLOOKUP($G103,SantoYusuf!$L$13:$AK$56,AC$4,FALSE)))</f>
        <v/>
      </c>
      <c r="AD103" s="18" t="str">
        <f>IF(ISNUMBER($L$6)=FALSE,"",
        IF(ISERROR(VLOOKUP($G103,SantoYusuf!$L$13:$AK$56,AD$4,FALSE))=TRUE,"",
              VLOOKUP($G103,SantoYusuf!$L$13:$AK$56,AD$4,FALSE)))</f>
        <v/>
      </c>
      <c r="AE103" s="18" t="str">
        <f>IF(ISNUMBER($L$6)=FALSE,"",
        IF(ISERROR(VLOOKUP($G103,SantoYusuf!$L$13:$AK$56,AE$4,FALSE))=TRUE,"",
              VLOOKUP($G103,SantoYusuf!$L$13:$AK$56,AE$4,FALSE)))</f>
        <v/>
      </c>
      <c r="AF103" s="18" t="str">
        <f>IF(ISNUMBER($L$6)=FALSE,"",
        IF(ISERROR(VLOOKUP($G103,SantoYusuf!$L$13:$AK$56,AF$4,FALSE))=TRUE,"",
              VLOOKUP($G103,SantoYusuf!$L$13:$AK$56,AF$4,FALSE)))</f>
        <v/>
      </c>
    </row>
    <row r="104" spans="1:32" s="60" customFormat="1" ht="10.5" x14ac:dyDescent="0.25">
      <c r="A104" s="59"/>
      <c r="C104" s="59">
        <f t="shared" si="6"/>
        <v>91</v>
      </c>
      <c r="D104" s="61"/>
      <c r="E104" s="77" t="str">
        <f t="shared" si="7"/>
        <v/>
      </c>
      <c r="F104" s="77" t="str">
        <f>IF(ISNUMBER($L$6)=FALSE,"",
IF($C104=0,"",VLOOKUP($E104,SantoYusuf!$H$13:$L$56,4,FALSE)))</f>
        <v/>
      </c>
      <c r="G104" s="77" t="str">
        <f>IF(ISNUMBER($L$6)=FALSE,"",
IF($C104=0,"",VLOOKUP($E104,SantoYusuf!$H$13:$L$56,5,FALSE)))</f>
        <v/>
      </c>
      <c r="H104" s="17" t="str">
        <f t="shared" si="8"/>
        <v/>
      </c>
      <c r="I104" s="18" t="str">
        <f>IF(ISNUMBER($L$6)=FALSE,"",
        IF(ISERROR(VLOOKUP($G104,SantoYusuf!$L$13:$AK$56,I$4,FALSE))=TRUE,"",
              VLOOKUP($G104,SantoYusuf!$L$13:$AK$56,I$4,FALSE)))</f>
        <v/>
      </c>
      <c r="J104" s="18" t="str">
        <f>IF(ISNUMBER($L$6)=FALSE,"",
        IF(ISERROR(VLOOKUP($G104,SantoYusuf!$L$13:$AK$56,J$4,FALSE))=TRUE,"",
              VLOOKUP($G104,SantoYusuf!$L$13:$AK$56,J$4,FALSE)))</f>
        <v/>
      </c>
      <c r="K104" s="18" t="str">
        <f>IF(ISNUMBER($L$6)=FALSE,"",
        IF(ISERROR(VLOOKUP($G104,SantoYusuf!$L$13:$AK$56,K$4,FALSE))=TRUE,"",
              VLOOKUP($G104,SantoYusuf!$L$13:$AK$56,K$4,FALSE)))</f>
        <v/>
      </c>
      <c r="L104" s="18" t="str">
        <f>IF(ISNUMBER($L$6)=FALSE,"",
        IF(ISERROR(VLOOKUP($G104,SantoYusuf!$L$13:$AK$56,L$4,FALSE))=TRUE,"",
              VLOOKUP($G104,SantoYusuf!$L$13:$AK$56,L$4,FALSE)))</f>
        <v/>
      </c>
      <c r="M104" s="18" t="str">
        <f>IF(ISNUMBER($L$6)=FALSE,"",
        IF(ISERROR(VLOOKUP($G104,SantoYusuf!$L$13:$AK$56,M$4,FALSE))=TRUE,"",
              VLOOKUP($G104,SantoYusuf!$L$13:$AK$56,M$4,FALSE)))</f>
        <v/>
      </c>
      <c r="N104" s="18" t="str">
        <f>IF(ISNUMBER($L$6)=FALSE,"",
        IF(ISERROR(VLOOKUP($G104,SantoYusuf!$L$13:$AK$56,N$4,FALSE))=TRUE,"",
              VLOOKUP($G104,SantoYusuf!$L$13:$AK$56,N$4,FALSE)))</f>
        <v/>
      </c>
      <c r="O104" s="18" t="str">
        <f>IF(ISNUMBER($L$6)=FALSE,"",
        IF(ISERROR(VLOOKUP($G104,SantoYusuf!$L$13:$AK$56,O$4,FALSE))=TRUE,"",
              VLOOKUP($G104,SantoYusuf!$L$13:$AK$56,O$4,FALSE)))</f>
        <v/>
      </c>
      <c r="P104" s="18" t="str">
        <f>IF(ISNUMBER($L$6)=FALSE,"",
        IF(ISERROR(VLOOKUP($G104,SantoYusuf!$L$13:$AK$56,P$4,FALSE))=TRUE,"",
              VLOOKUP($G104,SantoYusuf!$L$13:$AK$56,P$4,FALSE)))</f>
        <v/>
      </c>
      <c r="Q104" s="18" t="str">
        <f>IF(ISNUMBER($L$6)=FALSE,"",
        IF(ISERROR(VLOOKUP($G104,SantoYusuf!$L$13:$AK$56,Q$4,FALSE))=TRUE,"",
              VLOOKUP($G104,SantoYusuf!$L$13:$AK$56,Q$4,FALSE)))</f>
        <v/>
      </c>
      <c r="R104" s="18" t="str">
        <f>IF(ISNUMBER($L$6)=FALSE,"",
        IF(ISERROR(VLOOKUP($G104,SantoYusuf!$L$13:$AK$56,R$4,FALSE))=TRUE,"",
              VLOOKUP($G104,SantoYusuf!$L$13:$AK$56,R$4,FALSE)))</f>
        <v/>
      </c>
      <c r="S104" s="18" t="str">
        <f>IF(ISNUMBER($L$6)=FALSE,"",
        IF(ISERROR(VLOOKUP($G104,SantoYusuf!$L$13:$AK$56,S$4,FALSE))=TRUE,"",
              VLOOKUP($G104,SantoYusuf!$L$13:$AK$56,S$4,FALSE)))</f>
        <v/>
      </c>
      <c r="T104" s="18" t="str">
        <f>IF(ISNUMBER($L$6)=FALSE,"",
        IF(ISERROR(VLOOKUP($G104,SantoYusuf!$L$13:$AK$56,T$4,FALSE))=TRUE,"",
              VLOOKUP($G104,SantoYusuf!$L$13:$AK$56,T$4,FALSE)))</f>
        <v/>
      </c>
      <c r="U104" s="18" t="str">
        <f>IF(ISNUMBER($L$6)=FALSE,"",
        IF(ISERROR(VLOOKUP($G104,SantoYusuf!$L$13:$AK$56,U$4,FALSE))=TRUE,"",
              VLOOKUP($G104,SantoYusuf!$L$13:$AK$56,U$4,FALSE)))</f>
        <v/>
      </c>
      <c r="V104" s="18" t="str">
        <f>IF(ISNUMBER($L$6)=FALSE,"",
        IF(ISERROR(VLOOKUP($G104,SantoYusuf!$L$13:$AK$56,V$4,FALSE))=TRUE,"",
              VLOOKUP($G104,SantoYusuf!$L$13:$AK$56,V$4,FALSE)))</f>
        <v/>
      </c>
      <c r="W104" s="18" t="str">
        <f>IF(ISNUMBER($L$6)=FALSE,"",
        IF(ISERROR(VLOOKUP($G104,SantoYusuf!$L$13:$AK$56,W$4,FALSE))=TRUE,"",
              VLOOKUP($G104,SantoYusuf!$L$13:$AK$56,W$4,FALSE)))</f>
        <v/>
      </c>
      <c r="X104" s="18" t="str">
        <f>IF(ISNUMBER($L$6)=FALSE,"",
        IF(ISERROR(VLOOKUP($G104,SantoYusuf!$L$13:$AK$56,X$4,FALSE))=TRUE,"",
              VLOOKUP($G104,SantoYusuf!$L$13:$AK$56,X$4,FALSE)))</f>
        <v/>
      </c>
      <c r="Y104" s="18" t="str">
        <f>IF(ISNUMBER($L$6)=FALSE,"",
        IF(ISERROR(VLOOKUP($G104,SantoYusuf!$L$13:$AK$56,Y$4,FALSE))=TRUE,"",
              VLOOKUP($G104,SantoYusuf!$L$13:$AK$56,Y$4,FALSE)))</f>
        <v/>
      </c>
      <c r="Z104" s="18" t="str">
        <f>IF(ISNUMBER($L$6)=FALSE,"",
        IF(ISERROR(VLOOKUP($G104,SantoYusuf!$L$13:$AK$56,Z$4,FALSE))=TRUE,"",
              VLOOKUP($G104,SantoYusuf!$L$13:$AK$56,Z$4,FALSE)))</f>
        <v/>
      </c>
      <c r="AA104" s="18" t="str">
        <f>IF(ISNUMBER($L$6)=FALSE,"",
        IF(ISERROR(VLOOKUP($G104,SantoYusuf!$L$13:$AK$56,AA$4,FALSE))=TRUE,"",
              VLOOKUP($G104,SantoYusuf!$L$13:$AK$56,AA$4,FALSE)))</f>
        <v/>
      </c>
      <c r="AB104" s="18" t="str">
        <f>IF(ISNUMBER($L$6)=FALSE,"",
        IF(ISERROR(VLOOKUP($G104,SantoYusuf!$L$13:$AK$56,AB$4,FALSE))=TRUE,"",
              VLOOKUP($G104,SantoYusuf!$L$13:$AK$56,AB$4,FALSE)))</f>
        <v/>
      </c>
      <c r="AC104" s="18" t="str">
        <f>IF(ISNUMBER($L$6)=FALSE,"",
        IF(ISERROR(VLOOKUP($G104,SantoYusuf!$L$13:$AK$56,AC$4,FALSE))=TRUE,"",
              VLOOKUP($G104,SantoYusuf!$L$13:$AK$56,AC$4,FALSE)))</f>
        <v/>
      </c>
      <c r="AD104" s="18" t="str">
        <f>IF(ISNUMBER($L$6)=FALSE,"",
        IF(ISERROR(VLOOKUP($G104,SantoYusuf!$L$13:$AK$56,AD$4,FALSE))=TRUE,"",
              VLOOKUP($G104,SantoYusuf!$L$13:$AK$56,AD$4,FALSE)))</f>
        <v/>
      </c>
      <c r="AE104" s="18" t="str">
        <f>IF(ISNUMBER($L$6)=FALSE,"",
        IF(ISERROR(VLOOKUP($G104,SantoYusuf!$L$13:$AK$56,AE$4,FALSE))=TRUE,"",
              VLOOKUP($G104,SantoYusuf!$L$13:$AK$56,AE$4,FALSE)))</f>
        <v/>
      </c>
      <c r="AF104" s="18" t="str">
        <f>IF(ISNUMBER($L$6)=FALSE,"",
        IF(ISERROR(VLOOKUP($G104,SantoYusuf!$L$13:$AK$56,AF$4,FALSE))=TRUE,"",
              VLOOKUP($G104,SantoYusuf!$L$13:$AK$56,AF$4,FALSE)))</f>
        <v/>
      </c>
    </row>
    <row r="105" spans="1:32" s="60" customFormat="1" ht="10.5" x14ac:dyDescent="0.25">
      <c r="A105" s="59"/>
      <c r="C105" s="59">
        <f t="shared" si="6"/>
        <v>92</v>
      </c>
      <c r="D105" s="61"/>
      <c r="E105" s="77" t="str">
        <f t="shared" si="7"/>
        <v/>
      </c>
      <c r="F105" s="77" t="str">
        <f>IF(ISNUMBER($L$6)=FALSE,"",
IF($C105=0,"",VLOOKUP($E105,SantoYusuf!$H$13:$L$56,4,FALSE)))</f>
        <v/>
      </c>
      <c r="G105" s="77" t="str">
        <f>IF(ISNUMBER($L$6)=FALSE,"",
IF($C105=0,"",VLOOKUP($E105,SantoYusuf!$H$13:$L$56,5,FALSE)))</f>
        <v/>
      </c>
      <c r="H105" s="17" t="str">
        <f t="shared" si="8"/>
        <v/>
      </c>
      <c r="I105" s="18" t="str">
        <f>IF(ISNUMBER($L$6)=FALSE,"",
        IF(ISERROR(VLOOKUP($G105,SantoYusuf!$L$13:$AK$56,I$4,FALSE))=TRUE,"",
              VLOOKUP($G105,SantoYusuf!$L$13:$AK$56,I$4,FALSE)))</f>
        <v/>
      </c>
      <c r="J105" s="18" t="str">
        <f>IF(ISNUMBER($L$6)=FALSE,"",
        IF(ISERROR(VLOOKUP($G105,SantoYusuf!$L$13:$AK$56,J$4,FALSE))=TRUE,"",
              VLOOKUP($G105,SantoYusuf!$L$13:$AK$56,J$4,FALSE)))</f>
        <v/>
      </c>
      <c r="K105" s="18" t="str">
        <f>IF(ISNUMBER($L$6)=FALSE,"",
        IF(ISERROR(VLOOKUP($G105,SantoYusuf!$L$13:$AK$56,K$4,FALSE))=TRUE,"",
              VLOOKUP($G105,SantoYusuf!$L$13:$AK$56,K$4,FALSE)))</f>
        <v/>
      </c>
      <c r="L105" s="18" t="str">
        <f>IF(ISNUMBER($L$6)=FALSE,"",
        IF(ISERROR(VLOOKUP($G105,SantoYusuf!$L$13:$AK$56,L$4,FALSE))=TRUE,"",
              VLOOKUP($G105,SantoYusuf!$L$13:$AK$56,L$4,FALSE)))</f>
        <v/>
      </c>
      <c r="M105" s="18" t="str">
        <f>IF(ISNUMBER($L$6)=FALSE,"",
        IF(ISERROR(VLOOKUP($G105,SantoYusuf!$L$13:$AK$56,M$4,FALSE))=TRUE,"",
              VLOOKUP($G105,SantoYusuf!$L$13:$AK$56,M$4,FALSE)))</f>
        <v/>
      </c>
      <c r="N105" s="18" t="str">
        <f>IF(ISNUMBER($L$6)=FALSE,"",
        IF(ISERROR(VLOOKUP($G105,SantoYusuf!$L$13:$AK$56,N$4,FALSE))=TRUE,"",
              VLOOKUP($G105,SantoYusuf!$L$13:$AK$56,N$4,FALSE)))</f>
        <v/>
      </c>
      <c r="O105" s="18" t="str">
        <f>IF(ISNUMBER($L$6)=FALSE,"",
        IF(ISERROR(VLOOKUP($G105,SantoYusuf!$L$13:$AK$56,O$4,FALSE))=TRUE,"",
              VLOOKUP($G105,SantoYusuf!$L$13:$AK$56,O$4,FALSE)))</f>
        <v/>
      </c>
      <c r="P105" s="18" t="str">
        <f>IF(ISNUMBER($L$6)=FALSE,"",
        IF(ISERROR(VLOOKUP($G105,SantoYusuf!$L$13:$AK$56,P$4,FALSE))=TRUE,"",
              VLOOKUP($G105,SantoYusuf!$L$13:$AK$56,P$4,FALSE)))</f>
        <v/>
      </c>
      <c r="Q105" s="18" t="str">
        <f>IF(ISNUMBER($L$6)=FALSE,"",
        IF(ISERROR(VLOOKUP($G105,SantoYusuf!$L$13:$AK$56,Q$4,FALSE))=TRUE,"",
              VLOOKUP($G105,SantoYusuf!$L$13:$AK$56,Q$4,FALSE)))</f>
        <v/>
      </c>
      <c r="R105" s="18" t="str">
        <f>IF(ISNUMBER($L$6)=FALSE,"",
        IF(ISERROR(VLOOKUP($G105,SantoYusuf!$L$13:$AK$56,R$4,FALSE))=TRUE,"",
              VLOOKUP($G105,SantoYusuf!$L$13:$AK$56,R$4,FALSE)))</f>
        <v/>
      </c>
      <c r="S105" s="18" t="str">
        <f>IF(ISNUMBER($L$6)=FALSE,"",
        IF(ISERROR(VLOOKUP($G105,SantoYusuf!$L$13:$AK$56,S$4,FALSE))=TRUE,"",
              VLOOKUP($G105,SantoYusuf!$L$13:$AK$56,S$4,FALSE)))</f>
        <v/>
      </c>
      <c r="T105" s="18" t="str">
        <f>IF(ISNUMBER($L$6)=FALSE,"",
        IF(ISERROR(VLOOKUP($G105,SantoYusuf!$L$13:$AK$56,T$4,FALSE))=TRUE,"",
              VLOOKUP($G105,SantoYusuf!$L$13:$AK$56,T$4,FALSE)))</f>
        <v/>
      </c>
      <c r="U105" s="18" t="str">
        <f>IF(ISNUMBER($L$6)=FALSE,"",
        IF(ISERROR(VLOOKUP($G105,SantoYusuf!$L$13:$AK$56,U$4,FALSE))=TRUE,"",
              VLOOKUP($G105,SantoYusuf!$L$13:$AK$56,U$4,FALSE)))</f>
        <v/>
      </c>
      <c r="V105" s="18" t="str">
        <f>IF(ISNUMBER($L$6)=FALSE,"",
        IF(ISERROR(VLOOKUP($G105,SantoYusuf!$L$13:$AK$56,V$4,FALSE))=TRUE,"",
              VLOOKUP($G105,SantoYusuf!$L$13:$AK$56,V$4,FALSE)))</f>
        <v/>
      </c>
      <c r="W105" s="18" t="str">
        <f>IF(ISNUMBER($L$6)=FALSE,"",
        IF(ISERROR(VLOOKUP($G105,SantoYusuf!$L$13:$AK$56,W$4,FALSE))=TRUE,"",
              VLOOKUP($G105,SantoYusuf!$L$13:$AK$56,W$4,FALSE)))</f>
        <v/>
      </c>
      <c r="X105" s="18" t="str">
        <f>IF(ISNUMBER($L$6)=FALSE,"",
        IF(ISERROR(VLOOKUP($G105,SantoYusuf!$L$13:$AK$56,X$4,FALSE))=TRUE,"",
              VLOOKUP($G105,SantoYusuf!$L$13:$AK$56,X$4,FALSE)))</f>
        <v/>
      </c>
      <c r="Y105" s="18" t="str">
        <f>IF(ISNUMBER($L$6)=FALSE,"",
        IF(ISERROR(VLOOKUP($G105,SantoYusuf!$L$13:$AK$56,Y$4,FALSE))=TRUE,"",
              VLOOKUP($G105,SantoYusuf!$L$13:$AK$56,Y$4,FALSE)))</f>
        <v/>
      </c>
      <c r="Z105" s="18" t="str">
        <f>IF(ISNUMBER($L$6)=FALSE,"",
        IF(ISERROR(VLOOKUP($G105,SantoYusuf!$L$13:$AK$56,Z$4,FALSE))=TRUE,"",
              VLOOKUP($G105,SantoYusuf!$L$13:$AK$56,Z$4,FALSE)))</f>
        <v/>
      </c>
      <c r="AA105" s="18" t="str">
        <f>IF(ISNUMBER($L$6)=FALSE,"",
        IF(ISERROR(VLOOKUP($G105,SantoYusuf!$L$13:$AK$56,AA$4,FALSE))=TRUE,"",
              VLOOKUP($G105,SantoYusuf!$L$13:$AK$56,AA$4,FALSE)))</f>
        <v/>
      </c>
      <c r="AB105" s="18" t="str">
        <f>IF(ISNUMBER($L$6)=FALSE,"",
        IF(ISERROR(VLOOKUP($G105,SantoYusuf!$L$13:$AK$56,AB$4,FALSE))=TRUE,"",
              VLOOKUP($G105,SantoYusuf!$L$13:$AK$56,AB$4,FALSE)))</f>
        <v/>
      </c>
      <c r="AC105" s="18" t="str">
        <f>IF(ISNUMBER($L$6)=FALSE,"",
        IF(ISERROR(VLOOKUP($G105,SantoYusuf!$L$13:$AK$56,AC$4,FALSE))=TRUE,"",
              VLOOKUP($G105,SantoYusuf!$L$13:$AK$56,AC$4,FALSE)))</f>
        <v/>
      </c>
      <c r="AD105" s="18" t="str">
        <f>IF(ISNUMBER($L$6)=FALSE,"",
        IF(ISERROR(VLOOKUP($G105,SantoYusuf!$L$13:$AK$56,AD$4,FALSE))=TRUE,"",
              VLOOKUP($G105,SantoYusuf!$L$13:$AK$56,AD$4,FALSE)))</f>
        <v/>
      </c>
      <c r="AE105" s="18" t="str">
        <f>IF(ISNUMBER($L$6)=FALSE,"",
        IF(ISERROR(VLOOKUP($G105,SantoYusuf!$L$13:$AK$56,AE$4,FALSE))=TRUE,"",
              VLOOKUP($G105,SantoYusuf!$L$13:$AK$56,AE$4,FALSE)))</f>
        <v/>
      </c>
      <c r="AF105" s="18" t="str">
        <f>IF(ISNUMBER($L$6)=FALSE,"",
        IF(ISERROR(VLOOKUP($G105,SantoYusuf!$L$13:$AK$56,AF$4,FALSE))=TRUE,"",
              VLOOKUP($G105,SantoYusuf!$L$13:$AK$56,AF$4,FALSE)))</f>
        <v/>
      </c>
    </row>
    <row r="106" spans="1:32" s="60" customFormat="1" ht="10.5" x14ac:dyDescent="0.25">
      <c r="A106" s="59"/>
      <c r="C106" s="59">
        <f t="shared" si="6"/>
        <v>93</v>
      </c>
      <c r="D106" s="61"/>
      <c r="E106" s="77" t="str">
        <f t="shared" si="7"/>
        <v/>
      </c>
      <c r="F106" s="77" t="str">
        <f>IF(ISNUMBER($L$6)=FALSE,"",
IF($C106=0,"",VLOOKUP($E106,SantoYusuf!$H$13:$L$56,4,FALSE)))</f>
        <v/>
      </c>
      <c r="G106" s="77" t="str">
        <f>IF(ISNUMBER($L$6)=FALSE,"",
IF($C106=0,"",VLOOKUP($E106,SantoYusuf!$H$13:$L$56,5,FALSE)))</f>
        <v/>
      </c>
      <c r="H106" s="17" t="str">
        <f t="shared" si="8"/>
        <v/>
      </c>
      <c r="I106" s="18" t="str">
        <f>IF(ISNUMBER($L$6)=FALSE,"",
        IF(ISERROR(VLOOKUP($G106,SantoYusuf!$L$13:$AK$56,I$4,FALSE))=TRUE,"",
              VLOOKUP($G106,SantoYusuf!$L$13:$AK$56,I$4,FALSE)))</f>
        <v/>
      </c>
      <c r="J106" s="18" t="str">
        <f>IF(ISNUMBER($L$6)=FALSE,"",
        IF(ISERROR(VLOOKUP($G106,SantoYusuf!$L$13:$AK$56,J$4,FALSE))=TRUE,"",
              VLOOKUP($G106,SantoYusuf!$L$13:$AK$56,J$4,FALSE)))</f>
        <v/>
      </c>
      <c r="K106" s="18" t="str">
        <f>IF(ISNUMBER($L$6)=FALSE,"",
        IF(ISERROR(VLOOKUP($G106,SantoYusuf!$L$13:$AK$56,K$4,FALSE))=TRUE,"",
              VLOOKUP($G106,SantoYusuf!$L$13:$AK$56,K$4,FALSE)))</f>
        <v/>
      </c>
      <c r="L106" s="18" t="str">
        <f>IF(ISNUMBER($L$6)=FALSE,"",
        IF(ISERROR(VLOOKUP($G106,SantoYusuf!$L$13:$AK$56,L$4,FALSE))=TRUE,"",
              VLOOKUP($G106,SantoYusuf!$L$13:$AK$56,L$4,FALSE)))</f>
        <v/>
      </c>
      <c r="M106" s="18" t="str">
        <f>IF(ISNUMBER($L$6)=FALSE,"",
        IF(ISERROR(VLOOKUP($G106,SantoYusuf!$L$13:$AK$56,M$4,FALSE))=TRUE,"",
              VLOOKUP($G106,SantoYusuf!$L$13:$AK$56,M$4,FALSE)))</f>
        <v/>
      </c>
      <c r="N106" s="18" t="str">
        <f>IF(ISNUMBER($L$6)=FALSE,"",
        IF(ISERROR(VLOOKUP($G106,SantoYusuf!$L$13:$AK$56,N$4,FALSE))=TRUE,"",
              VLOOKUP($G106,SantoYusuf!$L$13:$AK$56,N$4,FALSE)))</f>
        <v/>
      </c>
      <c r="O106" s="18" t="str">
        <f>IF(ISNUMBER($L$6)=FALSE,"",
        IF(ISERROR(VLOOKUP($G106,SantoYusuf!$L$13:$AK$56,O$4,FALSE))=TRUE,"",
              VLOOKUP($G106,SantoYusuf!$L$13:$AK$56,O$4,FALSE)))</f>
        <v/>
      </c>
      <c r="P106" s="18" t="str">
        <f>IF(ISNUMBER($L$6)=FALSE,"",
        IF(ISERROR(VLOOKUP($G106,SantoYusuf!$L$13:$AK$56,P$4,FALSE))=TRUE,"",
              VLOOKUP($G106,SantoYusuf!$L$13:$AK$56,P$4,FALSE)))</f>
        <v/>
      </c>
      <c r="Q106" s="18" t="str">
        <f>IF(ISNUMBER($L$6)=FALSE,"",
        IF(ISERROR(VLOOKUP($G106,SantoYusuf!$L$13:$AK$56,Q$4,FALSE))=TRUE,"",
              VLOOKUP($G106,SantoYusuf!$L$13:$AK$56,Q$4,FALSE)))</f>
        <v/>
      </c>
      <c r="R106" s="18" t="str">
        <f>IF(ISNUMBER($L$6)=FALSE,"",
        IF(ISERROR(VLOOKUP($G106,SantoYusuf!$L$13:$AK$56,R$4,FALSE))=TRUE,"",
              VLOOKUP($G106,SantoYusuf!$L$13:$AK$56,R$4,FALSE)))</f>
        <v/>
      </c>
      <c r="S106" s="18" t="str">
        <f>IF(ISNUMBER($L$6)=FALSE,"",
        IF(ISERROR(VLOOKUP($G106,SantoYusuf!$L$13:$AK$56,S$4,FALSE))=TRUE,"",
              VLOOKUP($G106,SantoYusuf!$L$13:$AK$56,S$4,FALSE)))</f>
        <v/>
      </c>
      <c r="T106" s="18" t="str">
        <f>IF(ISNUMBER($L$6)=FALSE,"",
        IF(ISERROR(VLOOKUP($G106,SantoYusuf!$L$13:$AK$56,T$4,FALSE))=TRUE,"",
              VLOOKUP($G106,SantoYusuf!$L$13:$AK$56,T$4,FALSE)))</f>
        <v/>
      </c>
      <c r="U106" s="18" t="str">
        <f>IF(ISNUMBER($L$6)=FALSE,"",
        IF(ISERROR(VLOOKUP($G106,SantoYusuf!$L$13:$AK$56,U$4,FALSE))=TRUE,"",
              VLOOKUP($G106,SantoYusuf!$L$13:$AK$56,U$4,FALSE)))</f>
        <v/>
      </c>
      <c r="V106" s="18" t="str">
        <f>IF(ISNUMBER($L$6)=FALSE,"",
        IF(ISERROR(VLOOKUP($G106,SantoYusuf!$L$13:$AK$56,V$4,FALSE))=TRUE,"",
              VLOOKUP($G106,SantoYusuf!$L$13:$AK$56,V$4,FALSE)))</f>
        <v/>
      </c>
      <c r="W106" s="18" t="str">
        <f>IF(ISNUMBER($L$6)=FALSE,"",
        IF(ISERROR(VLOOKUP($G106,SantoYusuf!$L$13:$AK$56,W$4,FALSE))=TRUE,"",
              VLOOKUP($G106,SantoYusuf!$L$13:$AK$56,W$4,FALSE)))</f>
        <v/>
      </c>
      <c r="X106" s="18" t="str">
        <f>IF(ISNUMBER($L$6)=FALSE,"",
        IF(ISERROR(VLOOKUP($G106,SantoYusuf!$L$13:$AK$56,X$4,FALSE))=TRUE,"",
              VLOOKUP($G106,SantoYusuf!$L$13:$AK$56,X$4,FALSE)))</f>
        <v/>
      </c>
      <c r="Y106" s="18" t="str">
        <f>IF(ISNUMBER($L$6)=FALSE,"",
        IF(ISERROR(VLOOKUP($G106,SantoYusuf!$L$13:$AK$56,Y$4,FALSE))=TRUE,"",
              VLOOKUP($G106,SantoYusuf!$L$13:$AK$56,Y$4,FALSE)))</f>
        <v/>
      </c>
      <c r="Z106" s="18" t="str">
        <f>IF(ISNUMBER($L$6)=FALSE,"",
        IF(ISERROR(VLOOKUP($G106,SantoYusuf!$L$13:$AK$56,Z$4,FALSE))=TRUE,"",
              VLOOKUP($G106,SantoYusuf!$L$13:$AK$56,Z$4,FALSE)))</f>
        <v/>
      </c>
      <c r="AA106" s="18" t="str">
        <f>IF(ISNUMBER($L$6)=FALSE,"",
        IF(ISERROR(VLOOKUP($G106,SantoYusuf!$L$13:$AK$56,AA$4,FALSE))=TRUE,"",
              VLOOKUP($G106,SantoYusuf!$L$13:$AK$56,AA$4,FALSE)))</f>
        <v/>
      </c>
      <c r="AB106" s="18" t="str">
        <f>IF(ISNUMBER($L$6)=FALSE,"",
        IF(ISERROR(VLOOKUP($G106,SantoYusuf!$L$13:$AK$56,AB$4,FALSE))=TRUE,"",
              VLOOKUP($G106,SantoYusuf!$L$13:$AK$56,AB$4,FALSE)))</f>
        <v/>
      </c>
      <c r="AC106" s="18" t="str">
        <f>IF(ISNUMBER($L$6)=FALSE,"",
        IF(ISERROR(VLOOKUP($G106,SantoYusuf!$L$13:$AK$56,AC$4,FALSE))=TRUE,"",
              VLOOKUP($G106,SantoYusuf!$L$13:$AK$56,AC$4,FALSE)))</f>
        <v/>
      </c>
      <c r="AD106" s="18" t="str">
        <f>IF(ISNUMBER($L$6)=FALSE,"",
        IF(ISERROR(VLOOKUP($G106,SantoYusuf!$L$13:$AK$56,AD$4,FALSE))=TRUE,"",
              VLOOKUP($G106,SantoYusuf!$L$13:$AK$56,AD$4,FALSE)))</f>
        <v/>
      </c>
      <c r="AE106" s="18" t="str">
        <f>IF(ISNUMBER($L$6)=FALSE,"",
        IF(ISERROR(VLOOKUP($G106,SantoYusuf!$L$13:$AK$56,AE$4,FALSE))=TRUE,"",
              VLOOKUP($G106,SantoYusuf!$L$13:$AK$56,AE$4,FALSE)))</f>
        <v/>
      </c>
      <c r="AF106" s="18" t="str">
        <f>IF(ISNUMBER($L$6)=FALSE,"",
        IF(ISERROR(VLOOKUP($G106,SantoYusuf!$L$13:$AK$56,AF$4,FALSE))=TRUE,"",
              VLOOKUP($G106,SantoYusuf!$L$13:$AK$56,AF$4,FALSE)))</f>
        <v/>
      </c>
    </row>
    <row r="107" spans="1:32" s="60" customFormat="1" ht="10.5" x14ac:dyDescent="0.25">
      <c r="A107" s="59"/>
      <c r="C107" s="59">
        <f t="shared" si="6"/>
        <v>94</v>
      </c>
      <c r="D107" s="61"/>
      <c r="E107" s="77" t="str">
        <f t="shared" si="7"/>
        <v/>
      </c>
      <c r="F107" s="77" t="str">
        <f>IF(ISNUMBER($L$6)=FALSE,"",
IF($C107=0,"",VLOOKUP($E107,SantoYusuf!$H$13:$L$56,4,FALSE)))</f>
        <v/>
      </c>
      <c r="G107" s="77" t="str">
        <f>IF(ISNUMBER($L$6)=FALSE,"",
IF($C107=0,"",VLOOKUP($E107,SantoYusuf!$H$13:$L$56,5,FALSE)))</f>
        <v/>
      </c>
      <c r="H107" s="17" t="str">
        <f t="shared" si="8"/>
        <v/>
      </c>
      <c r="I107" s="18" t="str">
        <f>IF(ISNUMBER($L$6)=FALSE,"",
        IF(ISERROR(VLOOKUP($G107,SantoYusuf!$L$13:$AK$56,I$4,FALSE))=TRUE,"",
              VLOOKUP($G107,SantoYusuf!$L$13:$AK$56,I$4,FALSE)))</f>
        <v/>
      </c>
      <c r="J107" s="18" t="str">
        <f>IF(ISNUMBER($L$6)=FALSE,"",
        IF(ISERROR(VLOOKUP($G107,SantoYusuf!$L$13:$AK$56,J$4,FALSE))=TRUE,"",
              VLOOKUP($G107,SantoYusuf!$L$13:$AK$56,J$4,FALSE)))</f>
        <v/>
      </c>
      <c r="K107" s="18" t="str">
        <f>IF(ISNUMBER($L$6)=FALSE,"",
        IF(ISERROR(VLOOKUP($G107,SantoYusuf!$L$13:$AK$56,K$4,FALSE))=TRUE,"",
              VLOOKUP($G107,SantoYusuf!$L$13:$AK$56,K$4,FALSE)))</f>
        <v/>
      </c>
      <c r="L107" s="18" t="str">
        <f>IF(ISNUMBER($L$6)=FALSE,"",
        IF(ISERROR(VLOOKUP($G107,SantoYusuf!$L$13:$AK$56,L$4,FALSE))=TRUE,"",
              VLOOKUP($G107,SantoYusuf!$L$13:$AK$56,L$4,FALSE)))</f>
        <v/>
      </c>
      <c r="M107" s="18" t="str">
        <f>IF(ISNUMBER($L$6)=FALSE,"",
        IF(ISERROR(VLOOKUP($G107,SantoYusuf!$L$13:$AK$56,M$4,FALSE))=TRUE,"",
              VLOOKUP($G107,SantoYusuf!$L$13:$AK$56,M$4,FALSE)))</f>
        <v/>
      </c>
      <c r="N107" s="18" t="str">
        <f>IF(ISNUMBER($L$6)=FALSE,"",
        IF(ISERROR(VLOOKUP($G107,SantoYusuf!$L$13:$AK$56,N$4,FALSE))=TRUE,"",
              VLOOKUP($G107,SantoYusuf!$L$13:$AK$56,N$4,FALSE)))</f>
        <v/>
      </c>
      <c r="O107" s="18" t="str">
        <f>IF(ISNUMBER($L$6)=FALSE,"",
        IF(ISERROR(VLOOKUP($G107,SantoYusuf!$L$13:$AK$56,O$4,FALSE))=TRUE,"",
              VLOOKUP($G107,SantoYusuf!$L$13:$AK$56,O$4,FALSE)))</f>
        <v/>
      </c>
      <c r="P107" s="18" t="str">
        <f>IF(ISNUMBER($L$6)=FALSE,"",
        IF(ISERROR(VLOOKUP($G107,SantoYusuf!$L$13:$AK$56,P$4,FALSE))=TRUE,"",
              VLOOKUP($G107,SantoYusuf!$L$13:$AK$56,P$4,FALSE)))</f>
        <v/>
      </c>
      <c r="Q107" s="18" t="str">
        <f>IF(ISNUMBER($L$6)=FALSE,"",
        IF(ISERROR(VLOOKUP($G107,SantoYusuf!$L$13:$AK$56,Q$4,FALSE))=TRUE,"",
              VLOOKUP($G107,SantoYusuf!$L$13:$AK$56,Q$4,FALSE)))</f>
        <v/>
      </c>
      <c r="R107" s="18" t="str">
        <f>IF(ISNUMBER($L$6)=FALSE,"",
        IF(ISERROR(VLOOKUP($G107,SantoYusuf!$L$13:$AK$56,R$4,FALSE))=TRUE,"",
              VLOOKUP($G107,SantoYusuf!$L$13:$AK$56,R$4,FALSE)))</f>
        <v/>
      </c>
      <c r="S107" s="18" t="str">
        <f>IF(ISNUMBER($L$6)=FALSE,"",
        IF(ISERROR(VLOOKUP($G107,SantoYusuf!$L$13:$AK$56,S$4,FALSE))=TRUE,"",
              VLOOKUP($G107,SantoYusuf!$L$13:$AK$56,S$4,FALSE)))</f>
        <v/>
      </c>
      <c r="T107" s="18" t="str">
        <f>IF(ISNUMBER($L$6)=FALSE,"",
        IF(ISERROR(VLOOKUP($G107,SantoYusuf!$L$13:$AK$56,T$4,FALSE))=TRUE,"",
              VLOOKUP($G107,SantoYusuf!$L$13:$AK$56,T$4,FALSE)))</f>
        <v/>
      </c>
      <c r="U107" s="18" t="str">
        <f>IF(ISNUMBER($L$6)=FALSE,"",
        IF(ISERROR(VLOOKUP($G107,SantoYusuf!$L$13:$AK$56,U$4,FALSE))=TRUE,"",
              VLOOKUP($G107,SantoYusuf!$L$13:$AK$56,U$4,FALSE)))</f>
        <v/>
      </c>
      <c r="V107" s="18" t="str">
        <f>IF(ISNUMBER($L$6)=FALSE,"",
        IF(ISERROR(VLOOKUP($G107,SantoYusuf!$L$13:$AK$56,V$4,FALSE))=TRUE,"",
              VLOOKUP($G107,SantoYusuf!$L$13:$AK$56,V$4,FALSE)))</f>
        <v/>
      </c>
      <c r="W107" s="18" t="str">
        <f>IF(ISNUMBER($L$6)=FALSE,"",
        IF(ISERROR(VLOOKUP($G107,SantoYusuf!$L$13:$AK$56,W$4,FALSE))=TRUE,"",
              VLOOKUP($G107,SantoYusuf!$L$13:$AK$56,W$4,FALSE)))</f>
        <v/>
      </c>
      <c r="X107" s="18" t="str">
        <f>IF(ISNUMBER($L$6)=FALSE,"",
        IF(ISERROR(VLOOKUP($G107,SantoYusuf!$L$13:$AK$56,X$4,FALSE))=TRUE,"",
              VLOOKUP($G107,SantoYusuf!$L$13:$AK$56,X$4,FALSE)))</f>
        <v/>
      </c>
      <c r="Y107" s="18" t="str">
        <f>IF(ISNUMBER($L$6)=FALSE,"",
        IF(ISERROR(VLOOKUP($G107,SantoYusuf!$L$13:$AK$56,Y$4,FALSE))=TRUE,"",
              VLOOKUP($G107,SantoYusuf!$L$13:$AK$56,Y$4,FALSE)))</f>
        <v/>
      </c>
      <c r="Z107" s="18" t="str">
        <f>IF(ISNUMBER($L$6)=FALSE,"",
        IF(ISERROR(VLOOKUP($G107,SantoYusuf!$L$13:$AK$56,Z$4,FALSE))=TRUE,"",
              VLOOKUP($G107,SantoYusuf!$L$13:$AK$56,Z$4,FALSE)))</f>
        <v/>
      </c>
      <c r="AA107" s="18" t="str">
        <f>IF(ISNUMBER($L$6)=FALSE,"",
        IF(ISERROR(VLOOKUP($G107,SantoYusuf!$L$13:$AK$56,AA$4,FALSE))=TRUE,"",
              VLOOKUP($G107,SantoYusuf!$L$13:$AK$56,AA$4,FALSE)))</f>
        <v/>
      </c>
      <c r="AB107" s="18" t="str">
        <f>IF(ISNUMBER($L$6)=FALSE,"",
        IF(ISERROR(VLOOKUP($G107,SantoYusuf!$L$13:$AK$56,AB$4,FALSE))=TRUE,"",
              VLOOKUP($G107,SantoYusuf!$L$13:$AK$56,AB$4,FALSE)))</f>
        <v/>
      </c>
      <c r="AC107" s="18" t="str">
        <f>IF(ISNUMBER($L$6)=FALSE,"",
        IF(ISERROR(VLOOKUP($G107,SantoYusuf!$L$13:$AK$56,AC$4,FALSE))=TRUE,"",
              VLOOKUP($G107,SantoYusuf!$L$13:$AK$56,AC$4,FALSE)))</f>
        <v/>
      </c>
      <c r="AD107" s="18" t="str">
        <f>IF(ISNUMBER($L$6)=FALSE,"",
        IF(ISERROR(VLOOKUP($G107,SantoYusuf!$L$13:$AK$56,AD$4,FALSE))=TRUE,"",
              VLOOKUP($G107,SantoYusuf!$L$13:$AK$56,AD$4,FALSE)))</f>
        <v/>
      </c>
      <c r="AE107" s="18" t="str">
        <f>IF(ISNUMBER($L$6)=FALSE,"",
        IF(ISERROR(VLOOKUP($G107,SantoYusuf!$L$13:$AK$56,AE$4,FALSE))=TRUE,"",
              VLOOKUP($G107,SantoYusuf!$L$13:$AK$56,AE$4,FALSE)))</f>
        <v/>
      </c>
      <c r="AF107" s="18" t="str">
        <f>IF(ISNUMBER($L$6)=FALSE,"",
        IF(ISERROR(VLOOKUP($G107,SantoYusuf!$L$13:$AK$56,AF$4,FALSE))=TRUE,"",
              VLOOKUP($G107,SantoYusuf!$L$13:$AK$56,AF$4,FALSE)))</f>
        <v/>
      </c>
    </row>
    <row r="108" spans="1:32" s="60" customFormat="1" ht="10.5" x14ac:dyDescent="0.25">
      <c r="A108" s="59"/>
      <c r="C108" s="59">
        <f t="shared" si="6"/>
        <v>95</v>
      </c>
      <c r="D108" s="61"/>
      <c r="E108" s="77" t="str">
        <f t="shared" si="7"/>
        <v/>
      </c>
      <c r="F108" s="77" t="str">
        <f>IF(ISNUMBER($L$6)=FALSE,"",
IF($C108=0,"",VLOOKUP($E108,SantoYusuf!$H$13:$L$56,4,FALSE)))</f>
        <v/>
      </c>
      <c r="G108" s="77" t="str">
        <f>IF(ISNUMBER($L$6)=FALSE,"",
IF($C108=0,"",VLOOKUP($E108,SantoYusuf!$H$13:$L$56,5,FALSE)))</f>
        <v/>
      </c>
      <c r="H108" s="17" t="str">
        <f t="shared" si="8"/>
        <v/>
      </c>
      <c r="I108" s="18" t="str">
        <f>IF(ISNUMBER($L$6)=FALSE,"",
        IF(ISERROR(VLOOKUP($G108,SantoYusuf!$L$13:$AK$56,I$4,FALSE))=TRUE,"",
              VLOOKUP($G108,SantoYusuf!$L$13:$AK$56,I$4,FALSE)))</f>
        <v/>
      </c>
      <c r="J108" s="18" t="str">
        <f>IF(ISNUMBER($L$6)=FALSE,"",
        IF(ISERROR(VLOOKUP($G108,SantoYusuf!$L$13:$AK$56,J$4,FALSE))=TRUE,"",
              VLOOKUP($G108,SantoYusuf!$L$13:$AK$56,J$4,FALSE)))</f>
        <v/>
      </c>
      <c r="K108" s="18" t="str">
        <f>IF(ISNUMBER($L$6)=FALSE,"",
        IF(ISERROR(VLOOKUP($G108,SantoYusuf!$L$13:$AK$56,K$4,FALSE))=TRUE,"",
              VLOOKUP($G108,SantoYusuf!$L$13:$AK$56,K$4,FALSE)))</f>
        <v/>
      </c>
      <c r="L108" s="18" t="str">
        <f>IF(ISNUMBER($L$6)=FALSE,"",
        IF(ISERROR(VLOOKUP($G108,SantoYusuf!$L$13:$AK$56,L$4,FALSE))=TRUE,"",
              VLOOKUP($G108,SantoYusuf!$L$13:$AK$56,L$4,FALSE)))</f>
        <v/>
      </c>
      <c r="M108" s="18" t="str">
        <f>IF(ISNUMBER($L$6)=FALSE,"",
        IF(ISERROR(VLOOKUP($G108,SantoYusuf!$L$13:$AK$56,M$4,FALSE))=TRUE,"",
              VLOOKUP($G108,SantoYusuf!$L$13:$AK$56,M$4,FALSE)))</f>
        <v/>
      </c>
      <c r="N108" s="18" t="str">
        <f>IF(ISNUMBER($L$6)=FALSE,"",
        IF(ISERROR(VLOOKUP($G108,SantoYusuf!$L$13:$AK$56,N$4,FALSE))=TRUE,"",
              VLOOKUP($G108,SantoYusuf!$L$13:$AK$56,N$4,FALSE)))</f>
        <v/>
      </c>
      <c r="O108" s="18" t="str">
        <f>IF(ISNUMBER($L$6)=FALSE,"",
        IF(ISERROR(VLOOKUP($G108,SantoYusuf!$L$13:$AK$56,O$4,FALSE))=TRUE,"",
              VLOOKUP($G108,SantoYusuf!$L$13:$AK$56,O$4,FALSE)))</f>
        <v/>
      </c>
      <c r="P108" s="18" t="str">
        <f>IF(ISNUMBER($L$6)=FALSE,"",
        IF(ISERROR(VLOOKUP($G108,SantoYusuf!$L$13:$AK$56,P$4,FALSE))=TRUE,"",
              VLOOKUP($G108,SantoYusuf!$L$13:$AK$56,P$4,FALSE)))</f>
        <v/>
      </c>
      <c r="Q108" s="18" t="str">
        <f>IF(ISNUMBER($L$6)=FALSE,"",
        IF(ISERROR(VLOOKUP($G108,SantoYusuf!$L$13:$AK$56,Q$4,FALSE))=TRUE,"",
              VLOOKUP($G108,SantoYusuf!$L$13:$AK$56,Q$4,FALSE)))</f>
        <v/>
      </c>
      <c r="R108" s="18" t="str">
        <f>IF(ISNUMBER($L$6)=FALSE,"",
        IF(ISERROR(VLOOKUP($G108,SantoYusuf!$L$13:$AK$56,R$4,FALSE))=TRUE,"",
              VLOOKUP($G108,SantoYusuf!$L$13:$AK$56,R$4,FALSE)))</f>
        <v/>
      </c>
      <c r="S108" s="18" t="str">
        <f>IF(ISNUMBER($L$6)=FALSE,"",
        IF(ISERROR(VLOOKUP($G108,SantoYusuf!$L$13:$AK$56,S$4,FALSE))=TRUE,"",
              VLOOKUP($G108,SantoYusuf!$L$13:$AK$56,S$4,FALSE)))</f>
        <v/>
      </c>
      <c r="T108" s="18" t="str">
        <f>IF(ISNUMBER($L$6)=FALSE,"",
        IF(ISERROR(VLOOKUP($G108,SantoYusuf!$L$13:$AK$56,T$4,FALSE))=TRUE,"",
              VLOOKUP($G108,SantoYusuf!$L$13:$AK$56,T$4,FALSE)))</f>
        <v/>
      </c>
      <c r="U108" s="18" t="str">
        <f>IF(ISNUMBER($L$6)=FALSE,"",
        IF(ISERROR(VLOOKUP($G108,SantoYusuf!$L$13:$AK$56,U$4,FALSE))=TRUE,"",
              VLOOKUP($G108,SantoYusuf!$L$13:$AK$56,U$4,FALSE)))</f>
        <v/>
      </c>
      <c r="V108" s="18" t="str">
        <f>IF(ISNUMBER($L$6)=FALSE,"",
        IF(ISERROR(VLOOKUP($G108,SantoYusuf!$L$13:$AK$56,V$4,FALSE))=TRUE,"",
              VLOOKUP($G108,SantoYusuf!$L$13:$AK$56,V$4,FALSE)))</f>
        <v/>
      </c>
      <c r="W108" s="18" t="str">
        <f>IF(ISNUMBER($L$6)=FALSE,"",
        IF(ISERROR(VLOOKUP($G108,SantoYusuf!$L$13:$AK$56,W$4,FALSE))=TRUE,"",
              VLOOKUP($G108,SantoYusuf!$L$13:$AK$56,W$4,FALSE)))</f>
        <v/>
      </c>
      <c r="X108" s="18" t="str">
        <f>IF(ISNUMBER($L$6)=FALSE,"",
        IF(ISERROR(VLOOKUP($G108,SantoYusuf!$L$13:$AK$56,X$4,FALSE))=TRUE,"",
              VLOOKUP($G108,SantoYusuf!$L$13:$AK$56,X$4,FALSE)))</f>
        <v/>
      </c>
      <c r="Y108" s="18" t="str">
        <f>IF(ISNUMBER($L$6)=FALSE,"",
        IF(ISERROR(VLOOKUP($G108,SantoYusuf!$L$13:$AK$56,Y$4,FALSE))=TRUE,"",
              VLOOKUP($G108,SantoYusuf!$L$13:$AK$56,Y$4,FALSE)))</f>
        <v/>
      </c>
      <c r="Z108" s="18" t="str">
        <f>IF(ISNUMBER($L$6)=FALSE,"",
        IF(ISERROR(VLOOKUP($G108,SantoYusuf!$L$13:$AK$56,Z$4,FALSE))=TRUE,"",
              VLOOKUP($G108,SantoYusuf!$L$13:$AK$56,Z$4,FALSE)))</f>
        <v/>
      </c>
      <c r="AA108" s="18" t="str">
        <f>IF(ISNUMBER($L$6)=FALSE,"",
        IF(ISERROR(VLOOKUP($G108,SantoYusuf!$L$13:$AK$56,AA$4,FALSE))=TRUE,"",
              VLOOKUP($G108,SantoYusuf!$L$13:$AK$56,AA$4,FALSE)))</f>
        <v/>
      </c>
      <c r="AB108" s="18" t="str">
        <f>IF(ISNUMBER($L$6)=FALSE,"",
        IF(ISERROR(VLOOKUP($G108,SantoYusuf!$L$13:$AK$56,AB$4,FALSE))=TRUE,"",
              VLOOKUP($G108,SantoYusuf!$L$13:$AK$56,AB$4,FALSE)))</f>
        <v/>
      </c>
      <c r="AC108" s="18" t="str">
        <f>IF(ISNUMBER($L$6)=FALSE,"",
        IF(ISERROR(VLOOKUP($G108,SantoYusuf!$L$13:$AK$56,AC$4,FALSE))=TRUE,"",
              VLOOKUP($G108,SantoYusuf!$L$13:$AK$56,AC$4,FALSE)))</f>
        <v/>
      </c>
      <c r="AD108" s="18" t="str">
        <f>IF(ISNUMBER($L$6)=FALSE,"",
        IF(ISERROR(VLOOKUP($G108,SantoYusuf!$L$13:$AK$56,AD$4,FALSE))=TRUE,"",
              VLOOKUP($G108,SantoYusuf!$L$13:$AK$56,AD$4,FALSE)))</f>
        <v/>
      </c>
      <c r="AE108" s="18" t="str">
        <f>IF(ISNUMBER($L$6)=FALSE,"",
        IF(ISERROR(VLOOKUP($G108,SantoYusuf!$L$13:$AK$56,AE$4,FALSE))=TRUE,"",
              VLOOKUP($G108,SantoYusuf!$L$13:$AK$56,AE$4,FALSE)))</f>
        <v/>
      </c>
      <c r="AF108" s="18" t="str">
        <f>IF(ISNUMBER($L$6)=FALSE,"",
        IF(ISERROR(VLOOKUP($G108,SantoYusuf!$L$13:$AK$56,AF$4,FALSE))=TRUE,"",
              VLOOKUP($G108,SantoYusuf!$L$13:$AK$56,AF$4,FALSE)))</f>
        <v/>
      </c>
    </row>
    <row r="109" spans="1:32" s="60" customFormat="1" ht="10.5" x14ac:dyDescent="0.25">
      <c r="A109" s="59"/>
      <c r="C109" s="59">
        <f t="shared" si="6"/>
        <v>96</v>
      </c>
      <c r="D109" s="61"/>
      <c r="E109" s="77" t="str">
        <f t="shared" si="7"/>
        <v/>
      </c>
      <c r="F109" s="77" t="str">
        <f>IF(ISNUMBER($L$6)=FALSE,"",
IF($C109=0,"",VLOOKUP($E109,SantoYusuf!$H$13:$L$56,4,FALSE)))</f>
        <v/>
      </c>
      <c r="G109" s="77" t="str">
        <f>IF(ISNUMBER($L$6)=FALSE,"",
IF($C109=0,"",VLOOKUP($E109,SantoYusuf!$H$13:$L$56,5,FALSE)))</f>
        <v/>
      </c>
      <c r="H109" s="17" t="str">
        <f t="shared" si="8"/>
        <v/>
      </c>
      <c r="I109" s="18" t="str">
        <f>IF(ISNUMBER($L$6)=FALSE,"",
        IF(ISERROR(VLOOKUP($G109,SantoYusuf!$L$13:$AK$56,I$4,FALSE))=TRUE,"",
              VLOOKUP($G109,SantoYusuf!$L$13:$AK$56,I$4,FALSE)))</f>
        <v/>
      </c>
      <c r="J109" s="18" t="str">
        <f>IF(ISNUMBER($L$6)=FALSE,"",
        IF(ISERROR(VLOOKUP($G109,SantoYusuf!$L$13:$AK$56,J$4,FALSE))=TRUE,"",
              VLOOKUP($G109,SantoYusuf!$L$13:$AK$56,J$4,FALSE)))</f>
        <v/>
      </c>
      <c r="K109" s="18" t="str">
        <f>IF(ISNUMBER($L$6)=FALSE,"",
        IF(ISERROR(VLOOKUP($G109,SantoYusuf!$L$13:$AK$56,K$4,FALSE))=TRUE,"",
              VLOOKUP($G109,SantoYusuf!$L$13:$AK$56,K$4,FALSE)))</f>
        <v/>
      </c>
      <c r="L109" s="18" t="str">
        <f>IF(ISNUMBER($L$6)=FALSE,"",
        IF(ISERROR(VLOOKUP($G109,SantoYusuf!$L$13:$AK$56,L$4,FALSE))=TRUE,"",
              VLOOKUP($G109,SantoYusuf!$L$13:$AK$56,L$4,FALSE)))</f>
        <v/>
      </c>
      <c r="M109" s="18" t="str">
        <f>IF(ISNUMBER($L$6)=FALSE,"",
        IF(ISERROR(VLOOKUP($G109,SantoYusuf!$L$13:$AK$56,M$4,FALSE))=TRUE,"",
              VLOOKUP($G109,SantoYusuf!$L$13:$AK$56,M$4,FALSE)))</f>
        <v/>
      </c>
      <c r="N109" s="18" t="str">
        <f>IF(ISNUMBER($L$6)=FALSE,"",
        IF(ISERROR(VLOOKUP($G109,SantoYusuf!$L$13:$AK$56,N$4,FALSE))=TRUE,"",
              VLOOKUP($G109,SantoYusuf!$L$13:$AK$56,N$4,FALSE)))</f>
        <v/>
      </c>
      <c r="O109" s="18" t="str">
        <f>IF(ISNUMBER($L$6)=FALSE,"",
        IF(ISERROR(VLOOKUP($G109,SantoYusuf!$L$13:$AK$56,O$4,FALSE))=TRUE,"",
              VLOOKUP($G109,SantoYusuf!$L$13:$AK$56,O$4,FALSE)))</f>
        <v/>
      </c>
      <c r="P109" s="18" t="str">
        <f>IF(ISNUMBER($L$6)=FALSE,"",
        IF(ISERROR(VLOOKUP($G109,SantoYusuf!$L$13:$AK$56,P$4,FALSE))=TRUE,"",
              VLOOKUP($G109,SantoYusuf!$L$13:$AK$56,P$4,FALSE)))</f>
        <v/>
      </c>
      <c r="Q109" s="18" t="str">
        <f>IF(ISNUMBER($L$6)=FALSE,"",
        IF(ISERROR(VLOOKUP($G109,SantoYusuf!$L$13:$AK$56,Q$4,FALSE))=TRUE,"",
              VLOOKUP($G109,SantoYusuf!$L$13:$AK$56,Q$4,FALSE)))</f>
        <v/>
      </c>
      <c r="R109" s="18" t="str">
        <f>IF(ISNUMBER($L$6)=FALSE,"",
        IF(ISERROR(VLOOKUP($G109,SantoYusuf!$L$13:$AK$56,R$4,FALSE))=TRUE,"",
              VLOOKUP($G109,SantoYusuf!$L$13:$AK$56,R$4,FALSE)))</f>
        <v/>
      </c>
      <c r="S109" s="18" t="str">
        <f>IF(ISNUMBER($L$6)=FALSE,"",
        IF(ISERROR(VLOOKUP($G109,SantoYusuf!$L$13:$AK$56,S$4,FALSE))=TRUE,"",
              VLOOKUP($G109,SantoYusuf!$L$13:$AK$56,S$4,FALSE)))</f>
        <v/>
      </c>
      <c r="T109" s="18" t="str">
        <f>IF(ISNUMBER($L$6)=FALSE,"",
        IF(ISERROR(VLOOKUP($G109,SantoYusuf!$L$13:$AK$56,T$4,FALSE))=TRUE,"",
              VLOOKUP($G109,SantoYusuf!$L$13:$AK$56,T$4,FALSE)))</f>
        <v/>
      </c>
      <c r="U109" s="18" t="str">
        <f>IF(ISNUMBER($L$6)=FALSE,"",
        IF(ISERROR(VLOOKUP($G109,SantoYusuf!$L$13:$AK$56,U$4,FALSE))=TRUE,"",
              VLOOKUP($G109,SantoYusuf!$L$13:$AK$56,U$4,FALSE)))</f>
        <v/>
      </c>
      <c r="V109" s="18" t="str">
        <f>IF(ISNUMBER($L$6)=FALSE,"",
        IF(ISERROR(VLOOKUP($G109,SantoYusuf!$L$13:$AK$56,V$4,FALSE))=TRUE,"",
              VLOOKUP($G109,SantoYusuf!$L$13:$AK$56,V$4,FALSE)))</f>
        <v/>
      </c>
      <c r="W109" s="18" t="str">
        <f>IF(ISNUMBER($L$6)=FALSE,"",
        IF(ISERROR(VLOOKUP($G109,SantoYusuf!$L$13:$AK$56,W$4,FALSE))=TRUE,"",
              VLOOKUP($G109,SantoYusuf!$L$13:$AK$56,W$4,FALSE)))</f>
        <v/>
      </c>
      <c r="X109" s="18" t="str">
        <f>IF(ISNUMBER($L$6)=FALSE,"",
        IF(ISERROR(VLOOKUP($G109,SantoYusuf!$L$13:$AK$56,X$4,FALSE))=TRUE,"",
              VLOOKUP($G109,SantoYusuf!$L$13:$AK$56,X$4,FALSE)))</f>
        <v/>
      </c>
      <c r="Y109" s="18" t="str">
        <f>IF(ISNUMBER($L$6)=FALSE,"",
        IF(ISERROR(VLOOKUP($G109,SantoYusuf!$L$13:$AK$56,Y$4,FALSE))=TRUE,"",
              VLOOKUP($G109,SantoYusuf!$L$13:$AK$56,Y$4,FALSE)))</f>
        <v/>
      </c>
      <c r="Z109" s="18" t="str">
        <f>IF(ISNUMBER($L$6)=FALSE,"",
        IF(ISERROR(VLOOKUP($G109,SantoYusuf!$L$13:$AK$56,Z$4,FALSE))=TRUE,"",
              VLOOKUP($G109,SantoYusuf!$L$13:$AK$56,Z$4,FALSE)))</f>
        <v/>
      </c>
      <c r="AA109" s="18" t="str">
        <f>IF(ISNUMBER($L$6)=FALSE,"",
        IF(ISERROR(VLOOKUP($G109,SantoYusuf!$L$13:$AK$56,AA$4,FALSE))=TRUE,"",
              VLOOKUP($G109,SantoYusuf!$L$13:$AK$56,AA$4,FALSE)))</f>
        <v/>
      </c>
      <c r="AB109" s="18" t="str">
        <f>IF(ISNUMBER($L$6)=FALSE,"",
        IF(ISERROR(VLOOKUP($G109,SantoYusuf!$L$13:$AK$56,AB$4,FALSE))=TRUE,"",
              VLOOKUP($G109,SantoYusuf!$L$13:$AK$56,AB$4,FALSE)))</f>
        <v/>
      </c>
      <c r="AC109" s="18" t="str">
        <f>IF(ISNUMBER($L$6)=FALSE,"",
        IF(ISERROR(VLOOKUP($G109,SantoYusuf!$L$13:$AK$56,AC$4,FALSE))=TRUE,"",
              VLOOKUP($G109,SantoYusuf!$L$13:$AK$56,AC$4,FALSE)))</f>
        <v/>
      </c>
      <c r="AD109" s="18" t="str">
        <f>IF(ISNUMBER($L$6)=FALSE,"",
        IF(ISERROR(VLOOKUP($G109,SantoYusuf!$L$13:$AK$56,AD$4,FALSE))=TRUE,"",
              VLOOKUP($G109,SantoYusuf!$L$13:$AK$56,AD$4,FALSE)))</f>
        <v/>
      </c>
      <c r="AE109" s="18" t="str">
        <f>IF(ISNUMBER($L$6)=FALSE,"",
        IF(ISERROR(VLOOKUP($G109,SantoYusuf!$L$13:$AK$56,AE$4,FALSE))=TRUE,"",
              VLOOKUP($G109,SantoYusuf!$L$13:$AK$56,AE$4,FALSE)))</f>
        <v/>
      </c>
      <c r="AF109" s="18" t="str">
        <f>IF(ISNUMBER($L$6)=FALSE,"",
        IF(ISERROR(VLOOKUP($G109,SantoYusuf!$L$13:$AK$56,AF$4,FALSE))=TRUE,"",
              VLOOKUP($G109,SantoYusuf!$L$13:$AK$56,AF$4,FALSE)))</f>
        <v/>
      </c>
    </row>
    <row r="110" spans="1:32" s="60" customFormat="1" ht="10.5" x14ac:dyDescent="0.25">
      <c r="A110" s="59"/>
      <c r="C110" s="59">
        <f t="shared" si="6"/>
        <v>97</v>
      </c>
      <c r="D110" s="61"/>
      <c r="E110" s="77" t="str">
        <f t="shared" si="7"/>
        <v/>
      </c>
      <c r="F110" s="77" t="str">
        <f>IF(ISNUMBER($L$6)=FALSE,"",
IF($C110=0,"",VLOOKUP($E110,SantoYusuf!$H$13:$L$56,4,FALSE)))</f>
        <v/>
      </c>
      <c r="G110" s="77" t="str">
        <f>IF(ISNUMBER($L$6)=FALSE,"",
IF($C110=0,"",VLOOKUP($E110,SantoYusuf!$H$13:$L$56,5,FALSE)))</f>
        <v/>
      </c>
      <c r="H110" s="17" t="str">
        <f t="shared" si="8"/>
        <v/>
      </c>
      <c r="I110" s="18" t="str">
        <f>IF(ISNUMBER($L$6)=FALSE,"",
        IF(ISERROR(VLOOKUP($G110,SantoYusuf!$L$13:$AK$56,I$4,FALSE))=TRUE,"",
              VLOOKUP($G110,SantoYusuf!$L$13:$AK$56,I$4,FALSE)))</f>
        <v/>
      </c>
      <c r="J110" s="18" t="str">
        <f>IF(ISNUMBER($L$6)=FALSE,"",
        IF(ISERROR(VLOOKUP($G110,SantoYusuf!$L$13:$AK$56,J$4,FALSE))=TRUE,"",
              VLOOKUP($G110,SantoYusuf!$L$13:$AK$56,J$4,FALSE)))</f>
        <v/>
      </c>
      <c r="K110" s="18" t="str">
        <f>IF(ISNUMBER($L$6)=FALSE,"",
        IF(ISERROR(VLOOKUP($G110,SantoYusuf!$L$13:$AK$56,K$4,FALSE))=TRUE,"",
              VLOOKUP($G110,SantoYusuf!$L$13:$AK$56,K$4,FALSE)))</f>
        <v/>
      </c>
      <c r="L110" s="18" t="str">
        <f>IF(ISNUMBER($L$6)=FALSE,"",
        IF(ISERROR(VLOOKUP($G110,SantoYusuf!$L$13:$AK$56,L$4,FALSE))=TRUE,"",
              VLOOKUP($G110,SantoYusuf!$L$13:$AK$56,L$4,FALSE)))</f>
        <v/>
      </c>
      <c r="M110" s="18" t="str">
        <f>IF(ISNUMBER($L$6)=FALSE,"",
        IF(ISERROR(VLOOKUP($G110,SantoYusuf!$L$13:$AK$56,M$4,FALSE))=TRUE,"",
              VLOOKUP($G110,SantoYusuf!$L$13:$AK$56,M$4,FALSE)))</f>
        <v/>
      </c>
      <c r="N110" s="18" t="str">
        <f>IF(ISNUMBER($L$6)=FALSE,"",
        IF(ISERROR(VLOOKUP($G110,SantoYusuf!$L$13:$AK$56,N$4,FALSE))=TRUE,"",
              VLOOKUP($G110,SantoYusuf!$L$13:$AK$56,N$4,FALSE)))</f>
        <v/>
      </c>
      <c r="O110" s="18" t="str">
        <f>IF(ISNUMBER($L$6)=FALSE,"",
        IF(ISERROR(VLOOKUP($G110,SantoYusuf!$L$13:$AK$56,O$4,FALSE))=TRUE,"",
              VLOOKUP($G110,SantoYusuf!$L$13:$AK$56,O$4,FALSE)))</f>
        <v/>
      </c>
      <c r="P110" s="18" t="str">
        <f>IF(ISNUMBER($L$6)=FALSE,"",
        IF(ISERROR(VLOOKUP($G110,SantoYusuf!$L$13:$AK$56,P$4,FALSE))=TRUE,"",
              VLOOKUP($G110,SantoYusuf!$L$13:$AK$56,P$4,FALSE)))</f>
        <v/>
      </c>
      <c r="Q110" s="18" t="str">
        <f>IF(ISNUMBER($L$6)=FALSE,"",
        IF(ISERROR(VLOOKUP($G110,SantoYusuf!$L$13:$AK$56,Q$4,FALSE))=TRUE,"",
              VLOOKUP($G110,SantoYusuf!$L$13:$AK$56,Q$4,FALSE)))</f>
        <v/>
      </c>
      <c r="R110" s="18" t="str">
        <f>IF(ISNUMBER($L$6)=FALSE,"",
        IF(ISERROR(VLOOKUP($G110,SantoYusuf!$L$13:$AK$56,R$4,FALSE))=TRUE,"",
              VLOOKUP($G110,SantoYusuf!$L$13:$AK$56,R$4,FALSE)))</f>
        <v/>
      </c>
      <c r="S110" s="18" t="str">
        <f>IF(ISNUMBER($L$6)=FALSE,"",
        IF(ISERROR(VLOOKUP($G110,SantoYusuf!$L$13:$AK$56,S$4,FALSE))=TRUE,"",
              VLOOKUP($G110,SantoYusuf!$L$13:$AK$56,S$4,FALSE)))</f>
        <v/>
      </c>
      <c r="T110" s="18" t="str">
        <f>IF(ISNUMBER($L$6)=FALSE,"",
        IF(ISERROR(VLOOKUP($G110,SantoYusuf!$L$13:$AK$56,T$4,FALSE))=TRUE,"",
              VLOOKUP($G110,SantoYusuf!$L$13:$AK$56,T$4,FALSE)))</f>
        <v/>
      </c>
      <c r="U110" s="18" t="str">
        <f>IF(ISNUMBER($L$6)=FALSE,"",
        IF(ISERROR(VLOOKUP($G110,SantoYusuf!$L$13:$AK$56,U$4,FALSE))=TRUE,"",
              VLOOKUP($G110,SantoYusuf!$L$13:$AK$56,U$4,FALSE)))</f>
        <v/>
      </c>
      <c r="V110" s="18" t="str">
        <f>IF(ISNUMBER($L$6)=FALSE,"",
        IF(ISERROR(VLOOKUP($G110,SantoYusuf!$L$13:$AK$56,V$4,FALSE))=TRUE,"",
              VLOOKUP($G110,SantoYusuf!$L$13:$AK$56,V$4,FALSE)))</f>
        <v/>
      </c>
      <c r="W110" s="18" t="str">
        <f>IF(ISNUMBER($L$6)=FALSE,"",
        IF(ISERROR(VLOOKUP($G110,SantoYusuf!$L$13:$AK$56,W$4,FALSE))=TRUE,"",
              VLOOKUP($G110,SantoYusuf!$L$13:$AK$56,W$4,FALSE)))</f>
        <v/>
      </c>
      <c r="X110" s="18" t="str">
        <f>IF(ISNUMBER($L$6)=FALSE,"",
        IF(ISERROR(VLOOKUP($G110,SantoYusuf!$L$13:$AK$56,X$4,FALSE))=TRUE,"",
              VLOOKUP($G110,SantoYusuf!$L$13:$AK$56,X$4,FALSE)))</f>
        <v/>
      </c>
      <c r="Y110" s="18" t="str">
        <f>IF(ISNUMBER($L$6)=FALSE,"",
        IF(ISERROR(VLOOKUP($G110,SantoYusuf!$L$13:$AK$56,Y$4,FALSE))=TRUE,"",
              VLOOKUP($G110,SantoYusuf!$L$13:$AK$56,Y$4,FALSE)))</f>
        <v/>
      </c>
      <c r="Z110" s="18" t="str">
        <f>IF(ISNUMBER($L$6)=FALSE,"",
        IF(ISERROR(VLOOKUP($G110,SantoYusuf!$L$13:$AK$56,Z$4,FALSE))=TRUE,"",
              VLOOKUP($G110,SantoYusuf!$L$13:$AK$56,Z$4,FALSE)))</f>
        <v/>
      </c>
      <c r="AA110" s="18" t="str">
        <f>IF(ISNUMBER($L$6)=FALSE,"",
        IF(ISERROR(VLOOKUP($G110,SantoYusuf!$L$13:$AK$56,AA$4,FALSE))=TRUE,"",
              VLOOKUP($G110,SantoYusuf!$L$13:$AK$56,AA$4,FALSE)))</f>
        <v/>
      </c>
      <c r="AB110" s="18" t="str">
        <f>IF(ISNUMBER($L$6)=FALSE,"",
        IF(ISERROR(VLOOKUP($G110,SantoYusuf!$L$13:$AK$56,AB$4,FALSE))=TRUE,"",
              VLOOKUP($G110,SantoYusuf!$L$13:$AK$56,AB$4,FALSE)))</f>
        <v/>
      </c>
      <c r="AC110" s="18" t="str">
        <f>IF(ISNUMBER($L$6)=FALSE,"",
        IF(ISERROR(VLOOKUP($G110,SantoYusuf!$L$13:$AK$56,AC$4,FALSE))=TRUE,"",
              VLOOKUP($G110,SantoYusuf!$L$13:$AK$56,AC$4,FALSE)))</f>
        <v/>
      </c>
      <c r="AD110" s="18" t="str">
        <f>IF(ISNUMBER($L$6)=FALSE,"",
        IF(ISERROR(VLOOKUP($G110,SantoYusuf!$L$13:$AK$56,AD$4,FALSE))=TRUE,"",
              VLOOKUP($G110,SantoYusuf!$L$13:$AK$56,AD$4,FALSE)))</f>
        <v/>
      </c>
      <c r="AE110" s="18" t="str">
        <f>IF(ISNUMBER($L$6)=FALSE,"",
        IF(ISERROR(VLOOKUP($G110,SantoYusuf!$L$13:$AK$56,AE$4,FALSE))=TRUE,"",
              VLOOKUP($G110,SantoYusuf!$L$13:$AK$56,AE$4,FALSE)))</f>
        <v/>
      </c>
      <c r="AF110" s="18" t="str">
        <f>IF(ISNUMBER($L$6)=FALSE,"",
        IF(ISERROR(VLOOKUP($G110,SantoYusuf!$L$13:$AK$56,AF$4,FALSE))=TRUE,"",
              VLOOKUP($G110,SantoYusuf!$L$13:$AK$56,AF$4,FALSE)))</f>
        <v/>
      </c>
    </row>
    <row r="111" spans="1:32" s="60" customFormat="1" ht="10.5" x14ac:dyDescent="0.25">
      <c r="A111" s="59"/>
      <c r="C111" s="59">
        <f t="shared" si="6"/>
        <v>98</v>
      </c>
      <c r="D111" s="61"/>
      <c r="E111" s="77" t="str">
        <f t="shared" si="7"/>
        <v/>
      </c>
      <c r="F111" s="77" t="str">
        <f>IF(ISNUMBER($L$6)=FALSE,"",
IF($C111=0,"",VLOOKUP($E111,SantoYusuf!$H$13:$L$56,4,FALSE)))</f>
        <v/>
      </c>
      <c r="G111" s="77" t="str">
        <f>IF(ISNUMBER($L$6)=FALSE,"",
IF($C111=0,"",VLOOKUP($E111,SantoYusuf!$H$13:$L$56,5,FALSE)))</f>
        <v/>
      </c>
      <c r="H111" s="17" t="str">
        <f t="shared" si="8"/>
        <v/>
      </c>
      <c r="I111" s="18" t="str">
        <f>IF(ISNUMBER($L$6)=FALSE,"",
        IF(ISERROR(VLOOKUP($G111,SantoYusuf!$L$13:$AK$56,I$4,FALSE))=TRUE,"",
              VLOOKUP($G111,SantoYusuf!$L$13:$AK$56,I$4,FALSE)))</f>
        <v/>
      </c>
      <c r="J111" s="18" t="str">
        <f>IF(ISNUMBER($L$6)=FALSE,"",
        IF(ISERROR(VLOOKUP($G111,SantoYusuf!$L$13:$AK$56,J$4,FALSE))=TRUE,"",
              VLOOKUP($G111,SantoYusuf!$L$13:$AK$56,J$4,FALSE)))</f>
        <v/>
      </c>
      <c r="K111" s="18" t="str">
        <f>IF(ISNUMBER($L$6)=FALSE,"",
        IF(ISERROR(VLOOKUP($G111,SantoYusuf!$L$13:$AK$56,K$4,FALSE))=TRUE,"",
              VLOOKUP($G111,SantoYusuf!$L$13:$AK$56,K$4,FALSE)))</f>
        <v/>
      </c>
      <c r="L111" s="18" t="str">
        <f>IF(ISNUMBER($L$6)=FALSE,"",
        IF(ISERROR(VLOOKUP($G111,SantoYusuf!$L$13:$AK$56,L$4,FALSE))=TRUE,"",
              VLOOKUP($G111,SantoYusuf!$L$13:$AK$56,L$4,FALSE)))</f>
        <v/>
      </c>
      <c r="M111" s="18" t="str">
        <f>IF(ISNUMBER($L$6)=FALSE,"",
        IF(ISERROR(VLOOKUP($G111,SantoYusuf!$L$13:$AK$56,M$4,FALSE))=TRUE,"",
              VLOOKUP($G111,SantoYusuf!$L$13:$AK$56,M$4,FALSE)))</f>
        <v/>
      </c>
      <c r="N111" s="18" t="str">
        <f>IF(ISNUMBER($L$6)=FALSE,"",
        IF(ISERROR(VLOOKUP($G111,SantoYusuf!$L$13:$AK$56,N$4,FALSE))=TRUE,"",
              VLOOKUP($G111,SantoYusuf!$L$13:$AK$56,N$4,FALSE)))</f>
        <v/>
      </c>
      <c r="O111" s="18" t="str">
        <f>IF(ISNUMBER($L$6)=FALSE,"",
        IF(ISERROR(VLOOKUP($G111,SantoYusuf!$L$13:$AK$56,O$4,FALSE))=TRUE,"",
              VLOOKUP($G111,SantoYusuf!$L$13:$AK$56,O$4,FALSE)))</f>
        <v/>
      </c>
      <c r="P111" s="18" t="str">
        <f>IF(ISNUMBER($L$6)=FALSE,"",
        IF(ISERROR(VLOOKUP($G111,SantoYusuf!$L$13:$AK$56,P$4,FALSE))=TRUE,"",
              VLOOKUP($G111,SantoYusuf!$L$13:$AK$56,P$4,FALSE)))</f>
        <v/>
      </c>
      <c r="Q111" s="18" t="str">
        <f>IF(ISNUMBER($L$6)=FALSE,"",
        IF(ISERROR(VLOOKUP($G111,SantoYusuf!$L$13:$AK$56,Q$4,FALSE))=TRUE,"",
              VLOOKUP($G111,SantoYusuf!$L$13:$AK$56,Q$4,FALSE)))</f>
        <v/>
      </c>
      <c r="R111" s="18" t="str">
        <f>IF(ISNUMBER($L$6)=FALSE,"",
        IF(ISERROR(VLOOKUP($G111,SantoYusuf!$L$13:$AK$56,R$4,FALSE))=TRUE,"",
              VLOOKUP($G111,SantoYusuf!$L$13:$AK$56,R$4,FALSE)))</f>
        <v/>
      </c>
      <c r="S111" s="18" t="str">
        <f>IF(ISNUMBER($L$6)=FALSE,"",
        IF(ISERROR(VLOOKUP($G111,SantoYusuf!$L$13:$AK$56,S$4,FALSE))=TRUE,"",
              VLOOKUP($G111,SantoYusuf!$L$13:$AK$56,S$4,FALSE)))</f>
        <v/>
      </c>
      <c r="T111" s="18" t="str">
        <f>IF(ISNUMBER($L$6)=FALSE,"",
        IF(ISERROR(VLOOKUP($G111,SantoYusuf!$L$13:$AK$56,T$4,FALSE))=TRUE,"",
              VLOOKUP($G111,SantoYusuf!$L$13:$AK$56,T$4,FALSE)))</f>
        <v/>
      </c>
      <c r="U111" s="18" t="str">
        <f>IF(ISNUMBER($L$6)=FALSE,"",
        IF(ISERROR(VLOOKUP($G111,SantoYusuf!$L$13:$AK$56,U$4,FALSE))=TRUE,"",
              VLOOKUP($G111,SantoYusuf!$L$13:$AK$56,U$4,FALSE)))</f>
        <v/>
      </c>
      <c r="V111" s="18" t="str">
        <f>IF(ISNUMBER($L$6)=FALSE,"",
        IF(ISERROR(VLOOKUP($G111,SantoYusuf!$L$13:$AK$56,V$4,FALSE))=TRUE,"",
              VLOOKUP($G111,SantoYusuf!$L$13:$AK$56,V$4,FALSE)))</f>
        <v/>
      </c>
      <c r="W111" s="18" t="str">
        <f>IF(ISNUMBER($L$6)=FALSE,"",
        IF(ISERROR(VLOOKUP($G111,SantoYusuf!$L$13:$AK$56,W$4,FALSE))=TRUE,"",
              VLOOKUP($G111,SantoYusuf!$L$13:$AK$56,W$4,FALSE)))</f>
        <v/>
      </c>
      <c r="X111" s="18" t="str">
        <f>IF(ISNUMBER($L$6)=FALSE,"",
        IF(ISERROR(VLOOKUP($G111,SantoYusuf!$L$13:$AK$56,X$4,FALSE))=TRUE,"",
              VLOOKUP($G111,SantoYusuf!$L$13:$AK$56,X$4,FALSE)))</f>
        <v/>
      </c>
      <c r="Y111" s="18" t="str">
        <f>IF(ISNUMBER($L$6)=FALSE,"",
        IF(ISERROR(VLOOKUP($G111,SantoYusuf!$L$13:$AK$56,Y$4,FALSE))=TRUE,"",
              VLOOKUP($G111,SantoYusuf!$L$13:$AK$56,Y$4,FALSE)))</f>
        <v/>
      </c>
      <c r="Z111" s="18" t="str">
        <f>IF(ISNUMBER($L$6)=FALSE,"",
        IF(ISERROR(VLOOKUP($G111,SantoYusuf!$L$13:$AK$56,Z$4,FALSE))=TRUE,"",
              VLOOKUP($G111,SantoYusuf!$L$13:$AK$56,Z$4,FALSE)))</f>
        <v/>
      </c>
      <c r="AA111" s="18" t="str">
        <f>IF(ISNUMBER($L$6)=FALSE,"",
        IF(ISERROR(VLOOKUP($G111,SantoYusuf!$L$13:$AK$56,AA$4,FALSE))=TRUE,"",
              VLOOKUP($G111,SantoYusuf!$L$13:$AK$56,AA$4,FALSE)))</f>
        <v/>
      </c>
      <c r="AB111" s="18" t="str">
        <f>IF(ISNUMBER($L$6)=FALSE,"",
        IF(ISERROR(VLOOKUP($G111,SantoYusuf!$L$13:$AK$56,AB$4,FALSE))=TRUE,"",
              VLOOKUP($G111,SantoYusuf!$L$13:$AK$56,AB$4,FALSE)))</f>
        <v/>
      </c>
      <c r="AC111" s="18" t="str">
        <f>IF(ISNUMBER($L$6)=FALSE,"",
        IF(ISERROR(VLOOKUP($G111,SantoYusuf!$L$13:$AK$56,AC$4,FALSE))=TRUE,"",
              VLOOKUP($G111,SantoYusuf!$L$13:$AK$56,AC$4,FALSE)))</f>
        <v/>
      </c>
      <c r="AD111" s="18" t="str">
        <f>IF(ISNUMBER($L$6)=FALSE,"",
        IF(ISERROR(VLOOKUP($G111,SantoYusuf!$L$13:$AK$56,AD$4,FALSE))=TRUE,"",
              VLOOKUP($G111,SantoYusuf!$L$13:$AK$56,AD$4,FALSE)))</f>
        <v/>
      </c>
      <c r="AE111" s="18" t="str">
        <f>IF(ISNUMBER($L$6)=FALSE,"",
        IF(ISERROR(VLOOKUP($G111,SantoYusuf!$L$13:$AK$56,AE$4,FALSE))=TRUE,"",
              VLOOKUP($G111,SantoYusuf!$L$13:$AK$56,AE$4,FALSE)))</f>
        <v/>
      </c>
      <c r="AF111" s="18" t="str">
        <f>IF(ISNUMBER($L$6)=FALSE,"",
        IF(ISERROR(VLOOKUP($G111,SantoYusuf!$L$13:$AK$56,AF$4,FALSE))=TRUE,"",
              VLOOKUP($G111,SantoYusuf!$L$13:$AK$56,AF$4,FALSE)))</f>
        <v/>
      </c>
    </row>
    <row r="112" spans="1:32" s="60" customFormat="1" ht="10.5" x14ac:dyDescent="0.25">
      <c r="A112" s="59"/>
      <c r="C112" s="59">
        <f t="shared" si="6"/>
        <v>99</v>
      </c>
      <c r="D112" s="61"/>
      <c r="E112" s="77" t="str">
        <f t="shared" si="7"/>
        <v/>
      </c>
      <c r="F112" s="77" t="str">
        <f>IF(ISNUMBER($L$6)=FALSE,"",
IF($C112=0,"",VLOOKUP($E112,SantoYusuf!$H$13:$L$56,4,FALSE)))</f>
        <v/>
      </c>
      <c r="G112" s="77" t="str">
        <f>IF(ISNUMBER($L$6)=FALSE,"",
IF($C112=0,"",VLOOKUP($E112,SantoYusuf!$H$13:$L$56,5,FALSE)))</f>
        <v/>
      </c>
      <c r="H112" s="17" t="str">
        <f t="shared" si="8"/>
        <v/>
      </c>
      <c r="I112" s="18" t="str">
        <f>IF(ISNUMBER($L$6)=FALSE,"",
        IF(ISERROR(VLOOKUP($G112,SantoYusuf!$L$13:$AK$56,I$4,FALSE))=TRUE,"",
              VLOOKUP($G112,SantoYusuf!$L$13:$AK$56,I$4,FALSE)))</f>
        <v/>
      </c>
      <c r="J112" s="18" t="str">
        <f>IF(ISNUMBER($L$6)=FALSE,"",
        IF(ISERROR(VLOOKUP($G112,SantoYusuf!$L$13:$AK$56,J$4,FALSE))=TRUE,"",
              VLOOKUP($G112,SantoYusuf!$L$13:$AK$56,J$4,FALSE)))</f>
        <v/>
      </c>
      <c r="K112" s="18" t="str">
        <f>IF(ISNUMBER($L$6)=FALSE,"",
        IF(ISERROR(VLOOKUP($G112,SantoYusuf!$L$13:$AK$56,K$4,FALSE))=TRUE,"",
              VLOOKUP($G112,SantoYusuf!$L$13:$AK$56,K$4,FALSE)))</f>
        <v/>
      </c>
      <c r="L112" s="18" t="str">
        <f>IF(ISNUMBER($L$6)=FALSE,"",
        IF(ISERROR(VLOOKUP($G112,SantoYusuf!$L$13:$AK$56,L$4,FALSE))=TRUE,"",
              VLOOKUP($G112,SantoYusuf!$L$13:$AK$56,L$4,FALSE)))</f>
        <v/>
      </c>
      <c r="M112" s="18" t="str">
        <f>IF(ISNUMBER($L$6)=FALSE,"",
        IF(ISERROR(VLOOKUP($G112,SantoYusuf!$L$13:$AK$56,M$4,FALSE))=TRUE,"",
              VLOOKUP($G112,SantoYusuf!$L$13:$AK$56,M$4,FALSE)))</f>
        <v/>
      </c>
      <c r="N112" s="18" t="str">
        <f>IF(ISNUMBER($L$6)=FALSE,"",
        IF(ISERROR(VLOOKUP($G112,SantoYusuf!$L$13:$AK$56,N$4,FALSE))=TRUE,"",
              VLOOKUP($G112,SantoYusuf!$L$13:$AK$56,N$4,FALSE)))</f>
        <v/>
      </c>
      <c r="O112" s="18" t="str">
        <f>IF(ISNUMBER($L$6)=FALSE,"",
        IF(ISERROR(VLOOKUP($G112,SantoYusuf!$L$13:$AK$56,O$4,FALSE))=TRUE,"",
              VLOOKUP($G112,SantoYusuf!$L$13:$AK$56,O$4,FALSE)))</f>
        <v/>
      </c>
      <c r="P112" s="18" t="str">
        <f>IF(ISNUMBER($L$6)=FALSE,"",
        IF(ISERROR(VLOOKUP($G112,SantoYusuf!$L$13:$AK$56,P$4,FALSE))=TRUE,"",
              VLOOKUP($G112,SantoYusuf!$L$13:$AK$56,P$4,FALSE)))</f>
        <v/>
      </c>
      <c r="Q112" s="18" t="str">
        <f>IF(ISNUMBER($L$6)=FALSE,"",
        IF(ISERROR(VLOOKUP($G112,SantoYusuf!$L$13:$AK$56,Q$4,FALSE))=TRUE,"",
              VLOOKUP($G112,SantoYusuf!$L$13:$AK$56,Q$4,FALSE)))</f>
        <v/>
      </c>
      <c r="R112" s="18" t="str">
        <f>IF(ISNUMBER($L$6)=FALSE,"",
        IF(ISERROR(VLOOKUP($G112,SantoYusuf!$L$13:$AK$56,R$4,FALSE))=TRUE,"",
              VLOOKUP($G112,SantoYusuf!$L$13:$AK$56,R$4,FALSE)))</f>
        <v/>
      </c>
      <c r="S112" s="18" t="str">
        <f>IF(ISNUMBER($L$6)=FALSE,"",
        IF(ISERROR(VLOOKUP($G112,SantoYusuf!$L$13:$AK$56,S$4,FALSE))=TRUE,"",
              VLOOKUP($G112,SantoYusuf!$L$13:$AK$56,S$4,FALSE)))</f>
        <v/>
      </c>
      <c r="T112" s="18" t="str">
        <f>IF(ISNUMBER($L$6)=FALSE,"",
        IF(ISERROR(VLOOKUP($G112,SantoYusuf!$L$13:$AK$56,T$4,FALSE))=TRUE,"",
              VLOOKUP($G112,SantoYusuf!$L$13:$AK$56,T$4,FALSE)))</f>
        <v/>
      </c>
      <c r="U112" s="18" t="str">
        <f>IF(ISNUMBER($L$6)=FALSE,"",
        IF(ISERROR(VLOOKUP($G112,SantoYusuf!$L$13:$AK$56,U$4,FALSE))=TRUE,"",
              VLOOKUP($G112,SantoYusuf!$L$13:$AK$56,U$4,FALSE)))</f>
        <v/>
      </c>
      <c r="V112" s="18" t="str">
        <f>IF(ISNUMBER($L$6)=FALSE,"",
        IF(ISERROR(VLOOKUP($G112,SantoYusuf!$L$13:$AK$56,V$4,FALSE))=TRUE,"",
              VLOOKUP($G112,SantoYusuf!$L$13:$AK$56,V$4,FALSE)))</f>
        <v/>
      </c>
      <c r="W112" s="18" t="str">
        <f>IF(ISNUMBER($L$6)=FALSE,"",
        IF(ISERROR(VLOOKUP($G112,SantoYusuf!$L$13:$AK$56,W$4,FALSE))=TRUE,"",
              VLOOKUP($G112,SantoYusuf!$L$13:$AK$56,W$4,FALSE)))</f>
        <v/>
      </c>
      <c r="X112" s="18" t="str">
        <f>IF(ISNUMBER($L$6)=FALSE,"",
        IF(ISERROR(VLOOKUP($G112,SantoYusuf!$L$13:$AK$56,X$4,FALSE))=TRUE,"",
              VLOOKUP($G112,SantoYusuf!$L$13:$AK$56,X$4,FALSE)))</f>
        <v/>
      </c>
      <c r="Y112" s="18" t="str">
        <f>IF(ISNUMBER($L$6)=FALSE,"",
        IF(ISERROR(VLOOKUP($G112,SantoYusuf!$L$13:$AK$56,Y$4,FALSE))=TRUE,"",
              VLOOKUP($G112,SantoYusuf!$L$13:$AK$56,Y$4,FALSE)))</f>
        <v/>
      </c>
      <c r="Z112" s="18" t="str">
        <f>IF(ISNUMBER($L$6)=FALSE,"",
        IF(ISERROR(VLOOKUP($G112,SantoYusuf!$L$13:$AK$56,Z$4,FALSE))=TRUE,"",
              VLOOKUP($G112,SantoYusuf!$L$13:$AK$56,Z$4,FALSE)))</f>
        <v/>
      </c>
      <c r="AA112" s="18" t="str">
        <f>IF(ISNUMBER($L$6)=FALSE,"",
        IF(ISERROR(VLOOKUP($G112,SantoYusuf!$L$13:$AK$56,AA$4,FALSE))=TRUE,"",
              VLOOKUP($G112,SantoYusuf!$L$13:$AK$56,AA$4,FALSE)))</f>
        <v/>
      </c>
      <c r="AB112" s="18" t="str">
        <f>IF(ISNUMBER($L$6)=FALSE,"",
        IF(ISERROR(VLOOKUP($G112,SantoYusuf!$L$13:$AK$56,AB$4,FALSE))=TRUE,"",
              VLOOKUP($G112,SantoYusuf!$L$13:$AK$56,AB$4,FALSE)))</f>
        <v/>
      </c>
      <c r="AC112" s="18" t="str">
        <f>IF(ISNUMBER($L$6)=FALSE,"",
        IF(ISERROR(VLOOKUP($G112,SantoYusuf!$L$13:$AK$56,AC$4,FALSE))=TRUE,"",
              VLOOKUP($G112,SantoYusuf!$L$13:$AK$56,AC$4,FALSE)))</f>
        <v/>
      </c>
      <c r="AD112" s="18" t="str">
        <f>IF(ISNUMBER($L$6)=FALSE,"",
        IF(ISERROR(VLOOKUP($G112,SantoYusuf!$L$13:$AK$56,AD$4,FALSE))=TRUE,"",
              VLOOKUP($G112,SantoYusuf!$L$13:$AK$56,AD$4,FALSE)))</f>
        <v/>
      </c>
      <c r="AE112" s="18" t="str">
        <f>IF(ISNUMBER($L$6)=FALSE,"",
        IF(ISERROR(VLOOKUP($G112,SantoYusuf!$L$13:$AK$56,AE$4,FALSE))=TRUE,"",
              VLOOKUP($G112,SantoYusuf!$L$13:$AK$56,AE$4,FALSE)))</f>
        <v/>
      </c>
      <c r="AF112" s="18" t="str">
        <f>IF(ISNUMBER($L$6)=FALSE,"",
        IF(ISERROR(VLOOKUP($G112,SantoYusuf!$L$13:$AK$56,AF$4,FALSE))=TRUE,"",
              VLOOKUP($G112,SantoYusuf!$L$13:$AK$56,AF$4,FALSE)))</f>
        <v/>
      </c>
    </row>
    <row r="113" spans="1:32" s="60" customFormat="1" ht="10.5" x14ac:dyDescent="0.25">
      <c r="A113" s="59"/>
      <c r="C113" s="59">
        <f t="shared" si="6"/>
        <v>100</v>
      </c>
      <c r="D113" s="61"/>
      <c r="E113" s="77" t="str">
        <f t="shared" si="7"/>
        <v/>
      </c>
      <c r="F113" s="77" t="str">
        <f>IF(ISNUMBER($L$6)=FALSE,"",
IF($C113=0,"",VLOOKUP($E113,SantoYusuf!$H$13:$L$56,4,FALSE)))</f>
        <v/>
      </c>
      <c r="G113" s="77" t="str">
        <f>IF(ISNUMBER($L$6)=FALSE,"",
IF($C113=0,"",VLOOKUP($E113,SantoYusuf!$H$13:$L$56,5,FALSE)))</f>
        <v/>
      </c>
      <c r="H113" s="17" t="str">
        <f t="shared" si="8"/>
        <v/>
      </c>
      <c r="I113" s="18" t="str">
        <f>IF(ISNUMBER($L$6)=FALSE,"",
        IF(ISERROR(VLOOKUP($G113,SantoYusuf!$L$13:$AK$56,I$4,FALSE))=TRUE,"",
              VLOOKUP($G113,SantoYusuf!$L$13:$AK$56,I$4,FALSE)))</f>
        <v/>
      </c>
      <c r="J113" s="18" t="str">
        <f>IF(ISNUMBER($L$6)=FALSE,"",
        IF(ISERROR(VLOOKUP($G113,SantoYusuf!$L$13:$AK$56,J$4,FALSE))=TRUE,"",
              VLOOKUP($G113,SantoYusuf!$L$13:$AK$56,J$4,FALSE)))</f>
        <v/>
      </c>
      <c r="K113" s="18" t="str">
        <f>IF(ISNUMBER($L$6)=FALSE,"",
        IF(ISERROR(VLOOKUP($G113,SantoYusuf!$L$13:$AK$56,K$4,FALSE))=TRUE,"",
              VLOOKUP($G113,SantoYusuf!$L$13:$AK$56,K$4,FALSE)))</f>
        <v/>
      </c>
      <c r="L113" s="18" t="str">
        <f>IF(ISNUMBER($L$6)=FALSE,"",
        IF(ISERROR(VLOOKUP($G113,SantoYusuf!$L$13:$AK$56,L$4,FALSE))=TRUE,"",
              VLOOKUP($G113,SantoYusuf!$L$13:$AK$56,L$4,FALSE)))</f>
        <v/>
      </c>
      <c r="M113" s="18" t="str">
        <f>IF(ISNUMBER($L$6)=FALSE,"",
        IF(ISERROR(VLOOKUP($G113,SantoYusuf!$L$13:$AK$56,M$4,FALSE))=TRUE,"",
              VLOOKUP($G113,SantoYusuf!$L$13:$AK$56,M$4,FALSE)))</f>
        <v/>
      </c>
      <c r="N113" s="18" t="str">
        <f>IF(ISNUMBER($L$6)=FALSE,"",
        IF(ISERROR(VLOOKUP($G113,SantoYusuf!$L$13:$AK$56,N$4,FALSE))=TRUE,"",
              VLOOKUP($G113,SantoYusuf!$L$13:$AK$56,N$4,FALSE)))</f>
        <v/>
      </c>
      <c r="O113" s="18" t="str">
        <f>IF(ISNUMBER($L$6)=FALSE,"",
        IF(ISERROR(VLOOKUP($G113,SantoYusuf!$L$13:$AK$56,O$4,FALSE))=TRUE,"",
              VLOOKUP($G113,SantoYusuf!$L$13:$AK$56,O$4,FALSE)))</f>
        <v/>
      </c>
      <c r="P113" s="18" t="str">
        <f>IF(ISNUMBER($L$6)=FALSE,"",
        IF(ISERROR(VLOOKUP($G113,SantoYusuf!$L$13:$AK$56,P$4,FALSE))=TRUE,"",
              VLOOKUP($G113,SantoYusuf!$L$13:$AK$56,P$4,FALSE)))</f>
        <v/>
      </c>
      <c r="Q113" s="18" t="str">
        <f>IF(ISNUMBER($L$6)=FALSE,"",
        IF(ISERROR(VLOOKUP($G113,SantoYusuf!$L$13:$AK$56,Q$4,FALSE))=TRUE,"",
              VLOOKUP($G113,SantoYusuf!$L$13:$AK$56,Q$4,FALSE)))</f>
        <v/>
      </c>
      <c r="R113" s="18" t="str">
        <f>IF(ISNUMBER($L$6)=FALSE,"",
        IF(ISERROR(VLOOKUP($G113,SantoYusuf!$L$13:$AK$56,R$4,FALSE))=TRUE,"",
              VLOOKUP($G113,SantoYusuf!$L$13:$AK$56,R$4,FALSE)))</f>
        <v/>
      </c>
      <c r="S113" s="18" t="str">
        <f>IF(ISNUMBER($L$6)=FALSE,"",
        IF(ISERROR(VLOOKUP($G113,SantoYusuf!$L$13:$AK$56,S$4,FALSE))=TRUE,"",
              VLOOKUP($G113,SantoYusuf!$L$13:$AK$56,S$4,FALSE)))</f>
        <v/>
      </c>
      <c r="T113" s="18" t="str">
        <f>IF(ISNUMBER($L$6)=FALSE,"",
        IF(ISERROR(VLOOKUP($G113,SantoYusuf!$L$13:$AK$56,T$4,FALSE))=TRUE,"",
              VLOOKUP($G113,SantoYusuf!$L$13:$AK$56,T$4,FALSE)))</f>
        <v/>
      </c>
      <c r="U113" s="18" t="str">
        <f>IF(ISNUMBER($L$6)=FALSE,"",
        IF(ISERROR(VLOOKUP($G113,SantoYusuf!$L$13:$AK$56,U$4,FALSE))=TRUE,"",
              VLOOKUP($G113,SantoYusuf!$L$13:$AK$56,U$4,FALSE)))</f>
        <v/>
      </c>
      <c r="V113" s="18" t="str">
        <f>IF(ISNUMBER($L$6)=FALSE,"",
        IF(ISERROR(VLOOKUP($G113,SantoYusuf!$L$13:$AK$56,V$4,FALSE))=TRUE,"",
              VLOOKUP($G113,SantoYusuf!$L$13:$AK$56,V$4,FALSE)))</f>
        <v/>
      </c>
      <c r="W113" s="18" t="str">
        <f>IF(ISNUMBER($L$6)=FALSE,"",
        IF(ISERROR(VLOOKUP($G113,SantoYusuf!$L$13:$AK$56,W$4,FALSE))=TRUE,"",
              VLOOKUP($G113,SantoYusuf!$L$13:$AK$56,W$4,FALSE)))</f>
        <v/>
      </c>
      <c r="X113" s="18" t="str">
        <f>IF(ISNUMBER($L$6)=FALSE,"",
        IF(ISERROR(VLOOKUP($G113,SantoYusuf!$L$13:$AK$56,X$4,FALSE))=TRUE,"",
              VLOOKUP($G113,SantoYusuf!$L$13:$AK$56,X$4,FALSE)))</f>
        <v/>
      </c>
      <c r="Y113" s="18" t="str">
        <f>IF(ISNUMBER($L$6)=FALSE,"",
        IF(ISERROR(VLOOKUP($G113,SantoYusuf!$L$13:$AK$56,Y$4,FALSE))=TRUE,"",
              VLOOKUP($G113,SantoYusuf!$L$13:$AK$56,Y$4,FALSE)))</f>
        <v/>
      </c>
      <c r="Z113" s="18" t="str">
        <f>IF(ISNUMBER($L$6)=FALSE,"",
        IF(ISERROR(VLOOKUP($G113,SantoYusuf!$L$13:$AK$56,Z$4,FALSE))=TRUE,"",
              VLOOKUP($G113,SantoYusuf!$L$13:$AK$56,Z$4,FALSE)))</f>
        <v/>
      </c>
      <c r="AA113" s="18" t="str">
        <f>IF(ISNUMBER($L$6)=FALSE,"",
        IF(ISERROR(VLOOKUP($G113,SantoYusuf!$L$13:$AK$56,AA$4,FALSE))=TRUE,"",
              VLOOKUP($G113,SantoYusuf!$L$13:$AK$56,AA$4,FALSE)))</f>
        <v/>
      </c>
      <c r="AB113" s="18" t="str">
        <f>IF(ISNUMBER($L$6)=FALSE,"",
        IF(ISERROR(VLOOKUP($G113,SantoYusuf!$L$13:$AK$56,AB$4,FALSE))=TRUE,"",
              VLOOKUP($G113,SantoYusuf!$L$13:$AK$56,AB$4,FALSE)))</f>
        <v/>
      </c>
      <c r="AC113" s="18" t="str">
        <f>IF(ISNUMBER($L$6)=FALSE,"",
        IF(ISERROR(VLOOKUP($G113,SantoYusuf!$L$13:$AK$56,AC$4,FALSE))=TRUE,"",
              VLOOKUP($G113,SantoYusuf!$L$13:$AK$56,AC$4,FALSE)))</f>
        <v/>
      </c>
      <c r="AD113" s="18" t="str">
        <f>IF(ISNUMBER($L$6)=FALSE,"",
        IF(ISERROR(VLOOKUP($G113,SantoYusuf!$L$13:$AK$56,AD$4,FALSE))=TRUE,"",
              VLOOKUP($G113,SantoYusuf!$L$13:$AK$56,AD$4,FALSE)))</f>
        <v/>
      </c>
      <c r="AE113" s="18" t="str">
        <f>IF(ISNUMBER($L$6)=FALSE,"",
        IF(ISERROR(VLOOKUP($G113,SantoYusuf!$L$13:$AK$56,AE$4,FALSE))=TRUE,"",
              VLOOKUP($G113,SantoYusuf!$L$13:$AK$56,AE$4,FALSE)))</f>
        <v/>
      </c>
      <c r="AF113" s="18" t="str">
        <f>IF(ISNUMBER($L$6)=FALSE,"",
        IF(ISERROR(VLOOKUP($G113,SantoYusuf!$L$13:$AK$56,AF$4,FALSE))=TRUE,"",
              VLOOKUP($G113,SantoYusuf!$L$13:$AK$56,AF$4,FALSE)))</f>
        <v/>
      </c>
    </row>
  </sheetData>
  <mergeCells count="37">
    <mergeCell ref="H8:I8"/>
    <mergeCell ref="H9:I9"/>
    <mergeCell ref="J10:L10"/>
    <mergeCell ref="M10:O10"/>
    <mergeCell ref="P10:R10"/>
    <mergeCell ref="E11:E13"/>
    <mergeCell ref="F11:F13"/>
    <mergeCell ref="G11:G13"/>
    <mergeCell ref="H12:H13"/>
    <mergeCell ref="AD11:AD13"/>
    <mergeCell ref="R11:R13"/>
    <mergeCell ref="S11:S13"/>
    <mergeCell ref="T11:T13"/>
    <mergeCell ref="U11:U13"/>
    <mergeCell ref="V11:V13"/>
    <mergeCell ref="W11:W13"/>
    <mergeCell ref="Q11:Q13"/>
    <mergeCell ref="I11:I13"/>
    <mergeCell ref="J11:J13"/>
    <mergeCell ref="K11:K13"/>
    <mergeCell ref="L11:L13"/>
    <mergeCell ref="L6:M6"/>
    <mergeCell ref="AE11:AE13"/>
    <mergeCell ref="AF11:AF13"/>
    <mergeCell ref="X11:X13"/>
    <mergeCell ref="Y11:Y13"/>
    <mergeCell ref="Z11:Z13"/>
    <mergeCell ref="AA11:AA13"/>
    <mergeCell ref="AB11:AB13"/>
    <mergeCell ref="AC11:AC13"/>
    <mergeCell ref="M11:M13"/>
    <mergeCell ref="N11:N13"/>
    <mergeCell ref="O11:O13"/>
    <mergeCell ref="P11:P13"/>
    <mergeCell ref="J7:L7"/>
    <mergeCell ref="M7:O7"/>
    <mergeCell ref="P7:R7"/>
  </mergeCells>
  <conditionalFormatting sqref="E14:H113">
    <cfRule type="expression" dxfId="18" priority="3">
      <formula>ISNUMBER($E14)</formula>
    </cfRule>
  </conditionalFormatting>
  <conditionalFormatting sqref="I11:AF13">
    <cfRule type="expression" dxfId="17" priority="2">
      <formula>ISNUMBER(I$11)</formula>
    </cfRule>
  </conditionalFormatting>
  <conditionalFormatting sqref="I14:AF113">
    <cfRule type="expression" dxfId="16" priority="1">
      <formula>AND(ISNUMBER($E14),ISNUMBER(I$11))</formula>
    </cfRule>
  </conditionalFormatting>
  <pageMargins left="0.25" right="0.25" top="0.75" bottom="0.75" header="0.3" footer="0.3"/>
  <pageSetup paperSize="9" orientation="landscape" r:id="rId1"/>
  <headerFooter>
    <oddHeader>&amp;C
&amp;G</oddHeader>
    <oddFooter>Page &amp;P of &amp;N</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sheetPr>
  <dimension ref="A1:Q771"/>
  <sheetViews>
    <sheetView topLeftCell="I2" workbookViewId="0">
      <selection activeCell="I3" sqref="I3"/>
    </sheetView>
  </sheetViews>
  <sheetFormatPr defaultColWidth="9.1796875" defaultRowHeight="14.5" x14ac:dyDescent="0.35"/>
  <cols>
    <col min="1" max="1" width="9.1796875" style="52" hidden="1" customWidth="1"/>
    <col min="2" max="7" width="9.1796875" style="48" hidden="1" customWidth="1"/>
    <col min="8" max="8" width="1.7265625" style="54" hidden="1" customWidth="1"/>
    <col min="9" max="9" width="25.54296875" style="48" customWidth="1"/>
    <col min="10" max="10" width="27.453125" style="48" bestFit="1" customWidth="1"/>
    <col min="11" max="11" width="29.7265625" style="48" bestFit="1" customWidth="1"/>
    <col min="12" max="12" width="17.453125" style="48" bestFit="1" customWidth="1"/>
    <col min="13" max="13" width="29.7265625" style="48" bestFit="1" customWidth="1"/>
    <col min="14" max="14" width="9.1796875" style="48" bestFit="1" customWidth="1"/>
    <col min="15" max="15" width="14.81640625" style="48" bestFit="1" customWidth="1"/>
    <col min="16" max="16" width="33.26953125" style="48" bestFit="1" customWidth="1"/>
    <col min="17" max="17" width="12.1796875" style="48" bestFit="1" customWidth="1"/>
    <col min="18" max="19" width="9.1796875" style="48"/>
    <col min="20" max="22" width="9.7265625" style="48" bestFit="1" customWidth="1"/>
    <col min="23" max="35" width="9.1796875" style="48"/>
    <col min="36" max="36" width="11" style="48" customWidth="1"/>
    <col min="37" max="16384" width="9.1796875" style="48"/>
  </cols>
  <sheetData>
    <row r="1" spans="1:17" s="52" customFormat="1" hidden="1" x14ac:dyDescent="0.35">
      <c r="A1" s="52" t="s">
        <v>20167</v>
      </c>
      <c r="B1" s="30" t="s">
        <v>22</v>
      </c>
      <c r="C1" s="30" t="s">
        <v>22</v>
      </c>
      <c r="D1" s="30" t="s">
        <v>22</v>
      </c>
      <c r="E1" s="30" t="s">
        <v>22</v>
      </c>
      <c r="F1" s="30" t="s">
        <v>22</v>
      </c>
      <c r="G1" s="30" t="s">
        <v>22</v>
      </c>
      <c r="H1" s="30" t="s">
        <v>22</v>
      </c>
      <c r="J1" s="52" t="s">
        <v>21</v>
      </c>
      <c r="K1" s="52" t="s">
        <v>21</v>
      </c>
      <c r="L1" s="52" t="s">
        <v>21</v>
      </c>
      <c r="M1" s="52" t="s">
        <v>21</v>
      </c>
      <c r="N1" s="52" t="s">
        <v>21</v>
      </c>
      <c r="O1" s="52" t="s">
        <v>21</v>
      </c>
      <c r="P1" s="52" t="s">
        <v>21</v>
      </c>
      <c r="Q1" s="52" t="s">
        <v>21</v>
      </c>
    </row>
    <row r="2" spans="1:17" x14ac:dyDescent="0.35">
      <c r="A2" s="78"/>
    </row>
    <row r="3" spans="1:17" ht="23.5" x14ac:dyDescent="0.55000000000000004">
      <c r="I3" s="79" t="s">
        <v>69</v>
      </c>
    </row>
    <row r="5" spans="1:17" x14ac:dyDescent="0.35">
      <c r="I5" s="80" t="s">
        <v>1</v>
      </c>
      <c r="J5" s="52" t="s">
        <v>20975</v>
      </c>
      <c r="K5" s="52" t="s">
        <v>20976</v>
      </c>
    </row>
    <row r="6" spans="1:17" x14ac:dyDescent="0.35">
      <c r="I6" s="39" t="s">
        <v>44</v>
      </c>
      <c r="J6" s="30" t="s">
        <v>68</v>
      </c>
      <c r="K6" s="30" t="s">
        <v>21011</v>
      </c>
    </row>
    <row r="7" spans="1:17" x14ac:dyDescent="0.35">
      <c r="I7" s="80" t="s">
        <v>66</v>
      </c>
      <c r="J7" s="82">
        <f>DATE(YEAR($K$7)-1,7,1)</f>
        <v>42186</v>
      </c>
      <c r="K7" s="82">
        <v>42664</v>
      </c>
    </row>
    <row r="8" spans="1:17" x14ac:dyDescent="0.35">
      <c r="D8" s="81"/>
      <c r="I8" s="80" t="s">
        <v>65</v>
      </c>
      <c r="J8" s="52" t="s">
        <v>20979</v>
      </c>
    </row>
    <row r="10" spans="1:17" x14ac:dyDescent="0.35">
      <c r="I10" s="48" t="s">
        <v>50</v>
      </c>
    </row>
    <row r="11" spans="1:17" x14ac:dyDescent="0.35">
      <c r="I11" s="48" t="s">
        <v>49</v>
      </c>
    </row>
    <row r="12" spans="1:17" x14ac:dyDescent="0.35">
      <c r="D12" s="80" t="s">
        <v>34</v>
      </c>
      <c r="I12" s="80" t="s">
        <v>37</v>
      </c>
      <c r="J12" s="80" t="s">
        <v>6</v>
      </c>
      <c r="K12" s="80" t="s">
        <v>34</v>
      </c>
      <c r="L12" s="80" t="s">
        <v>2</v>
      </c>
      <c r="M12" s="80" t="s">
        <v>11</v>
      </c>
      <c r="N12" s="80" t="s">
        <v>32</v>
      </c>
      <c r="O12" s="80" t="s">
        <v>9</v>
      </c>
      <c r="P12" s="80" t="s">
        <v>7</v>
      </c>
      <c r="Q12" s="80" t="s">
        <v>33</v>
      </c>
    </row>
    <row r="13" spans="1:17" x14ac:dyDescent="0.35">
      <c r="C13" s="52" t="s">
        <v>21012</v>
      </c>
      <c r="D13" s="52" t="str">
        <f>" "</f>
        <v xml:space="preserve"> </v>
      </c>
      <c r="I13" s="52" t="str">
        <f>CONCATENATE(L13,"|",O13)</f>
        <v>|42368</v>
      </c>
      <c r="J13" s="82">
        <v>42368</v>
      </c>
      <c r="K13" s="52" t="str">
        <f>IF($D13="Customer",$D13,"G/L")</f>
        <v>G/L</v>
      </c>
      <c r="L13" s="52"/>
      <c r="M13" s="52" t="s">
        <v>20981</v>
      </c>
      <c r="N13" s="2">
        <v>4980000</v>
      </c>
      <c r="O13" s="82">
        <v>42368</v>
      </c>
      <c r="P13" s="52" t="str">
        <f>"KPSY - Andreas Rasul 2015"</f>
        <v>KPSY - Andreas Rasul 2015</v>
      </c>
      <c r="Q13" s="52" t="str">
        <f t="shared" ref="Q13:Q76" si="0">"KPS-10-05"</f>
        <v>KPS-10-05</v>
      </c>
    </row>
    <row r="14" spans="1:17" x14ac:dyDescent="0.35">
      <c r="A14" s="52" t="s">
        <v>6063</v>
      </c>
      <c r="C14" s="52" t="str">
        <f>"""TRUST Nav"",""HSPMTB2016"",""17"",""1"",""3575"""</f>
        <v>"TRUST Nav","HSPMTB2016","17","1","3575"</v>
      </c>
      <c r="D14" s="52" t="str">
        <f t="shared" ref="D14:D45" si="1">"Customer"</f>
        <v>Customer</v>
      </c>
      <c r="I14" s="52" t="str">
        <f t="shared" ref="I14:I77" si="2">CONCATENATE(L14,"|",O14)</f>
        <v>KK-04597|42186</v>
      </c>
      <c r="J14" s="82">
        <v>42368</v>
      </c>
      <c r="K14" s="52" t="str">
        <f t="shared" ref="K14:K77" si="3">IF($D14="Customer",$D14,"G/L")</f>
        <v>Customer</v>
      </c>
      <c r="L14" s="52" t="str">
        <f t="shared" ref="L14:L19" si="4">"KK-04597"</f>
        <v>KK-04597</v>
      </c>
      <c r="M14" s="52" t="s">
        <v>20982</v>
      </c>
      <c r="N14" s="2">
        <v>20000</v>
      </c>
      <c r="O14" s="82">
        <v>42186</v>
      </c>
      <c r="P14" s="52" t="str">
        <f t="shared" ref="P14:P19" si="5">"SY - Arief Wibawa"</f>
        <v>SY - Arief Wibawa</v>
      </c>
      <c r="Q14" s="52" t="str">
        <f t="shared" si="0"/>
        <v>KPS-10-05</v>
      </c>
    </row>
    <row r="15" spans="1:17" x14ac:dyDescent="0.35">
      <c r="A15" s="52" t="s">
        <v>6063</v>
      </c>
      <c r="C15" s="52" t="str">
        <f>"""TRUST Nav"",""HSPMTB2016"",""17"",""1"",""3576"""</f>
        <v>"TRUST Nav","HSPMTB2016","17","1","3576"</v>
      </c>
      <c r="D15" s="52" t="str">
        <f t="shared" si="1"/>
        <v>Customer</v>
      </c>
      <c r="I15" s="52" t="str">
        <f t="shared" si="2"/>
        <v>KK-04597|42217</v>
      </c>
      <c r="J15" s="82">
        <v>42368</v>
      </c>
      <c r="K15" s="52" t="str">
        <f t="shared" si="3"/>
        <v>Customer</v>
      </c>
      <c r="L15" s="52" t="str">
        <f t="shared" si="4"/>
        <v>KK-04597</v>
      </c>
      <c r="M15" s="52" t="s">
        <v>20982</v>
      </c>
      <c r="N15" s="2">
        <v>20000</v>
      </c>
      <c r="O15" s="82">
        <v>42217</v>
      </c>
      <c r="P15" s="52" t="str">
        <f t="shared" si="5"/>
        <v>SY - Arief Wibawa</v>
      </c>
      <c r="Q15" s="52" t="str">
        <f t="shared" si="0"/>
        <v>KPS-10-05</v>
      </c>
    </row>
    <row r="16" spans="1:17" x14ac:dyDescent="0.35">
      <c r="A16" s="52" t="s">
        <v>6063</v>
      </c>
      <c r="C16" s="52" t="str">
        <f>"""TRUST Nav"",""HSPMTB2016"",""17"",""1"",""3577"""</f>
        <v>"TRUST Nav","HSPMTB2016","17","1","3577"</v>
      </c>
      <c r="D16" s="52" t="str">
        <f t="shared" si="1"/>
        <v>Customer</v>
      </c>
      <c r="I16" s="52" t="str">
        <f t="shared" si="2"/>
        <v>KK-04597|42248</v>
      </c>
      <c r="J16" s="82">
        <v>42368</v>
      </c>
      <c r="K16" s="52" t="str">
        <f t="shared" si="3"/>
        <v>Customer</v>
      </c>
      <c r="L16" s="52" t="str">
        <f t="shared" si="4"/>
        <v>KK-04597</v>
      </c>
      <c r="M16" s="52" t="s">
        <v>20982</v>
      </c>
      <c r="N16" s="2">
        <v>20000</v>
      </c>
      <c r="O16" s="82">
        <v>42248</v>
      </c>
      <c r="P16" s="52" t="str">
        <f t="shared" si="5"/>
        <v>SY - Arief Wibawa</v>
      </c>
      <c r="Q16" s="52" t="str">
        <f t="shared" si="0"/>
        <v>KPS-10-05</v>
      </c>
    </row>
    <row r="17" spans="1:17" x14ac:dyDescent="0.35">
      <c r="A17" s="52" t="s">
        <v>6063</v>
      </c>
      <c r="C17" s="52" t="str">
        <f>"""TRUST Nav"",""HSPMTB2016"",""17"",""1"",""3578"""</f>
        <v>"TRUST Nav","HSPMTB2016","17","1","3578"</v>
      </c>
      <c r="D17" s="52" t="str">
        <f t="shared" si="1"/>
        <v>Customer</v>
      </c>
      <c r="I17" s="52" t="str">
        <f t="shared" si="2"/>
        <v>KK-04597|42278</v>
      </c>
      <c r="J17" s="82">
        <v>42368</v>
      </c>
      <c r="K17" s="52" t="str">
        <f t="shared" si="3"/>
        <v>Customer</v>
      </c>
      <c r="L17" s="52" t="str">
        <f t="shared" si="4"/>
        <v>KK-04597</v>
      </c>
      <c r="M17" s="52" t="s">
        <v>20982</v>
      </c>
      <c r="N17" s="2">
        <v>20000</v>
      </c>
      <c r="O17" s="82">
        <v>42278</v>
      </c>
      <c r="P17" s="52" t="str">
        <f t="shared" si="5"/>
        <v>SY - Arief Wibawa</v>
      </c>
      <c r="Q17" s="52" t="str">
        <f t="shared" si="0"/>
        <v>KPS-10-05</v>
      </c>
    </row>
    <row r="18" spans="1:17" x14ac:dyDescent="0.35">
      <c r="A18" s="52" t="s">
        <v>6063</v>
      </c>
      <c r="C18" s="52" t="str">
        <f>"""TRUST Nav"",""HSPMTB2016"",""17"",""1"",""3579"""</f>
        <v>"TRUST Nav","HSPMTB2016","17","1","3579"</v>
      </c>
      <c r="D18" s="52" t="str">
        <f t="shared" si="1"/>
        <v>Customer</v>
      </c>
      <c r="I18" s="52" t="str">
        <f t="shared" si="2"/>
        <v>KK-04597|42309</v>
      </c>
      <c r="J18" s="82">
        <v>42368</v>
      </c>
      <c r="K18" s="52" t="str">
        <f t="shared" si="3"/>
        <v>Customer</v>
      </c>
      <c r="L18" s="52" t="str">
        <f t="shared" si="4"/>
        <v>KK-04597</v>
      </c>
      <c r="M18" s="52" t="s">
        <v>20982</v>
      </c>
      <c r="N18" s="2">
        <v>20000</v>
      </c>
      <c r="O18" s="82">
        <v>42309</v>
      </c>
      <c r="P18" s="52" t="str">
        <f t="shared" si="5"/>
        <v>SY - Arief Wibawa</v>
      </c>
      <c r="Q18" s="52" t="str">
        <f t="shared" si="0"/>
        <v>KPS-10-05</v>
      </c>
    </row>
    <row r="19" spans="1:17" x14ac:dyDescent="0.35">
      <c r="A19" s="52" t="s">
        <v>6063</v>
      </c>
      <c r="C19" s="52" t="str">
        <f>"""TRUST Nav"",""HSPMTB2016"",""17"",""1"",""3580"""</f>
        <v>"TRUST Nav","HSPMTB2016","17","1","3580"</v>
      </c>
      <c r="D19" s="52" t="str">
        <f t="shared" si="1"/>
        <v>Customer</v>
      </c>
      <c r="I19" s="52" t="str">
        <f t="shared" si="2"/>
        <v>KK-04597|42339</v>
      </c>
      <c r="J19" s="82">
        <v>42368</v>
      </c>
      <c r="K19" s="52" t="str">
        <f t="shared" si="3"/>
        <v>Customer</v>
      </c>
      <c r="L19" s="52" t="str">
        <f t="shared" si="4"/>
        <v>KK-04597</v>
      </c>
      <c r="M19" s="52" t="s">
        <v>20982</v>
      </c>
      <c r="N19" s="2">
        <v>20000</v>
      </c>
      <c r="O19" s="82">
        <v>42339</v>
      </c>
      <c r="P19" s="52" t="str">
        <f t="shared" si="5"/>
        <v>SY - Arief Wibawa</v>
      </c>
      <c r="Q19" s="52" t="str">
        <f t="shared" si="0"/>
        <v>KPS-10-05</v>
      </c>
    </row>
    <row r="20" spans="1:17" x14ac:dyDescent="0.35">
      <c r="A20" s="52" t="s">
        <v>6063</v>
      </c>
      <c r="C20" s="52" t="str">
        <f>"""TRUST Nav"",""HSPMTB2016"",""17"",""1"",""3581"""</f>
        <v>"TRUST Nav","HSPMTB2016","17","1","3581"</v>
      </c>
      <c r="D20" s="52" t="str">
        <f t="shared" si="1"/>
        <v>Customer</v>
      </c>
      <c r="I20" s="52" t="str">
        <f t="shared" si="2"/>
        <v>KK-04598|42186</v>
      </c>
      <c r="J20" s="82">
        <v>42368</v>
      </c>
      <c r="K20" s="52" t="str">
        <f t="shared" si="3"/>
        <v>Customer</v>
      </c>
      <c r="L20" s="52" t="str">
        <f t="shared" ref="L20:L25" si="6">"KK-04598"</f>
        <v>KK-04598</v>
      </c>
      <c r="M20" s="52" t="s">
        <v>20983</v>
      </c>
      <c r="N20" s="2">
        <v>25000.000000000004</v>
      </c>
      <c r="O20" s="82">
        <v>42186</v>
      </c>
      <c r="P20" s="52" t="str">
        <f t="shared" ref="P20:P25" si="7">"SY - Alex Sudytio"</f>
        <v>SY - Alex Sudytio</v>
      </c>
      <c r="Q20" s="52" t="str">
        <f t="shared" si="0"/>
        <v>KPS-10-05</v>
      </c>
    </row>
    <row r="21" spans="1:17" x14ac:dyDescent="0.35">
      <c r="A21" s="52" t="s">
        <v>6063</v>
      </c>
      <c r="C21" s="52" t="str">
        <f>"""TRUST Nav"",""HSPMTB2016"",""17"",""1"",""3582"""</f>
        <v>"TRUST Nav","HSPMTB2016","17","1","3582"</v>
      </c>
      <c r="D21" s="52" t="str">
        <f t="shared" si="1"/>
        <v>Customer</v>
      </c>
      <c r="I21" s="52" t="str">
        <f t="shared" si="2"/>
        <v>KK-04598|42217</v>
      </c>
      <c r="J21" s="82">
        <v>42368</v>
      </c>
      <c r="K21" s="52" t="str">
        <f t="shared" si="3"/>
        <v>Customer</v>
      </c>
      <c r="L21" s="52" t="str">
        <f t="shared" si="6"/>
        <v>KK-04598</v>
      </c>
      <c r="M21" s="52" t="s">
        <v>20983</v>
      </c>
      <c r="N21" s="2">
        <v>25000.000000000004</v>
      </c>
      <c r="O21" s="82">
        <v>42217</v>
      </c>
      <c r="P21" s="52" t="str">
        <f t="shared" si="7"/>
        <v>SY - Alex Sudytio</v>
      </c>
      <c r="Q21" s="52" t="str">
        <f t="shared" si="0"/>
        <v>KPS-10-05</v>
      </c>
    </row>
    <row r="22" spans="1:17" x14ac:dyDescent="0.35">
      <c r="A22" s="52" t="s">
        <v>6063</v>
      </c>
      <c r="C22" s="52" t="str">
        <f>"""TRUST Nav"",""HSPMTB2016"",""17"",""1"",""3583"""</f>
        <v>"TRUST Nav","HSPMTB2016","17","1","3583"</v>
      </c>
      <c r="D22" s="52" t="str">
        <f t="shared" si="1"/>
        <v>Customer</v>
      </c>
      <c r="I22" s="52" t="str">
        <f t="shared" si="2"/>
        <v>KK-04598|42248</v>
      </c>
      <c r="J22" s="82">
        <v>42368</v>
      </c>
      <c r="K22" s="52" t="str">
        <f t="shared" si="3"/>
        <v>Customer</v>
      </c>
      <c r="L22" s="52" t="str">
        <f t="shared" si="6"/>
        <v>KK-04598</v>
      </c>
      <c r="M22" s="52" t="s">
        <v>20983</v>
      </c>
      <c r="N22" s="2">
        <v>25000.000000000004</v>
      </c>
      <c r="O22" s="82">
        <v>42248</v>
      </c>
      <c r="P22" s="52" t="str">
        <f t="shared" si="7"/>
        <v>SY - Alex Sudytio</v>
      </c>
      <c r="Q22" s="52" t="str">
        <f t="shared" si="0"/>
        <v>KPS-10-05</v>
      </c>
    </row>
    <row r="23" spans="1:17" x14ac:dyDescent="0.35">
      <c r="A23" s="52" t="s">
        <v>6063</v>
      </c>
      <c r="C23" s="52" t="str">
        <f>"""TRUST Nav"",""HSPMTB2016"",""17"",""1"",""3584"""</f>
        <v>"TRUST Nav","HSPMTB2016","17","1","3584"</v>
      </c>
      <c r="D23" s="52" t="str">
        <f t="shared" si="1"/>
        <v>Customer</v>
      </c>
      <c r="I23" s="52" t="str">
        <f t="shared" si="2"/>
        <v>KK-04598|42278</v>
      </c>
      <c r="J23" s="82">
        <v>42368</v>
      </c>
      <c r="K23" s="52" t="str">
        <f t="shared" si="3"/>
        <v>Customer</v>
      </c>
      <c r="L23" s="52" t="str">
        <f t="shared" si="6"/>
        <v>KK-04598</v>
      </c>
      <c r="M23" s="52" t="s">
        <v>20983</v>
      </c>
      <c r="N23" s="2">
        <v>25000.000000000004</v>
      </c>
      <c r="O23" s="82">
        <v>42278</v>
      </c>
      <c r="P23" s="52" t="str">
        <f t="shared" si="7"/>
        <v>SY - Alex Sudytio</v>
      </c>
      <c r="Q23" s="52" t="str">
        <f t="shared" si="0"/>
        <v>KPS-10-05</v>
      </c>
    </row>
    <row r="24" spans="1:17" x14ac:dyDescent="0.35">
      <c r="A24" s="52" t="s">
        <v>6063</v>
      </c>
      <c r="C24" s="52" t="str">
        <f>"""TRUST Nav"",""HSPMTB2016"",""17"",""1"",""3585"""</f>
        <v>"TRUST Nav","HSPMTB2016","17","1","3585"</v>
      </c>
      <c r="D24" s="52" t="str">
        <f t="shared" si="1"/>
        <v>Customer</v>
      </c>
      <c r="I24" s="52" t="str">
        <f t="shared" si="2"/>
        <v>KK-04598|42309</v>
      </c>
      <c r="J24" s="82">
        <v>42368</v>
      </c>
      <c r="K24" s="52" t="str">
        <f t="shared" si="3"/>
        <v>Customer</v>
      </c>
      <c r="L24" s="52" t="str">
        <f t="shared" si="6"/>
        <v>KK-04598</v>
      </c>
      <c r="M24" s="52" t="s">
        <v>20983</v>
      </c>
      <c r="N24" s="2">
        <v>25000.000000000004</v>
      </c>
      <c r="O24" s="82">
        <v>42309</v>
      </c>
      <c r="P24" s="52" t="str">
        <f t="shared" si="7"/>
        <v>SY - Alex Sudytio</v>
      </c>
      <c r="Q24" s="52" t="str">
        <f t="shared" si="0"/>
        <v>KPS-10-05</v>
      </c>
    </row>
    <row r="25" spans="1:17" x14ac:dyDescent="0.35">
      <c r="A25" s="52" t="s">
        <v>6063</v>
      </c>
      <c r="C25" s="52" t="str">
        <f>"""TRUST Nav"",""HSPMTB2016"",""17"",""1"",""3586"""</f>
        <v>"TRUST Nav","HSPMTB2016","17","1","3586"</v>
      </c>
      <c r="D25" s="52" t="str">
        <f t="shared" si="1"/>
        <v>Customer</v>
      </c>
      <c r="I25" s="52" t="str">
        <f t="shared" si="2"/>
        <v>KK-04598|42339</v>
      </c>
      <c r="J25" s="82">
        <v>42368</v>
      </c>
      <c r="K25" s="52" t="str">
        <f t="shared" si="3"/>
        <v>Customer</v>
      </c>
      <c r="L25" s="52" t="str">
        <f t="shared" si="6"/>
        <v>KK-04598</v>
      </c>
      <c r="M25" s="52" t="s">
        <v>20983</v>
      </c>
      <c r="N25" s="2">
        <v>25000.000000000004</v>
      </c>
      <c r="O25" s="82">
        <v>42339</v>
      </c>
      <c r="P25" s="52" t="str">
        <f t="shared" si="7"/>
        <v>SY - Alex Sudytio</v>
      </c>
      <c r="Q25" s="52" t="str">
        <f t="shared" si="0"/>
        <v>KPS-10-05</v>
      </c>
    </row>
    <row r="26" spans="1:17" x14ac:dyDescent="0.35">
      <c r="A26" s="52" t="s">
        <v>6063</v>
      </c>
      <c r="C26" s="52" t="str">
        <f>"""TRUST Nav"",""HSPMTB2016"",""17"",""1"",""3587"""</f>
        <v>"TRUST Nav","HSPMTB2016","17","1","3587"</v>
      </c>
      <c r="D26" s="52" t="str">
        <f t="shared" si="1"/>
        <v>Customer</v>
      </c>
      <c r="I26" s="52" t="str">
        <f t="shared" si="2"/>
        <v>KK-04599|42186</v>
      </c>
      <c r="J26" s="82">
        <v>42368</v>
      </c>
      <c r="K26" s="52" t="str">
        <f t="shared" si="3"/>
        <v>Customer</v>
      </c>
      <c r="L26" s="52" t="str">
        <f t="shared" ref="L26:L31" si="8">"KK-04599"</f>
        <v>KK-04599</v>
      </c>
      <c r="M26" s="52" t="s">
        <v>20984</v>
      </c>
      <c r="N26" s="2">
        <v>50000.000000000007</v>
      </c>
      <c r="O26" s="82">
        <v>42186</v>
      </c>
      <c r="P26" s="52" t="str">
        <f t="shared" ref="P26:P31" si="9">"SY - Bernardus Yogie Dirga Gunawan"</f>
        <v>SY - Bernardus Yogie Dirga Gunawan</v>
      </c>
      <c r="Q26" s="52" t="str">
        <f t="shared" si="0"/>
        <v>KPS-10-05</v>
      </c>
    </row>
    <row r="27" spans="1:17" x14ac:dyDescent="0.35">
      <c r="A27" s="52" t="s">
        <v>6063</v>
      </c>
      <c r="C27" s="52" t="str">
        <f>"""TRUST Nav"",""HSPMTB2016"",""17"",""1"",""3588"""</f>
        <v>"TRUST Nav","HSPMTB2016","17","1","3588"</v>
      </c>
      <c r="D27" s="52" t="str">
        <f t="shared" si="1"/>
        <v>Customer</v>
      </c>
      <c r="I27" s="52" t="str">
        <f t="shared" si="2"/>
        <v>KK-04599|42217</v>
      </c>
      <c r="J27" s="82">
        <v>42368</v>
      </c>
      <c r="K27" s="52" t="str">
        <f t="shared" si="3"/>
        <v>Customer</v>
      </c>
      <c r="L27" s="52" t="str">
        <f t="shared" si="8"/>
        <v>KK-04599</v>
      </c>
      <c r="M27" s="52" t="s">
        <v>20984</v>
      </c>
      <c r="N27" s="2">
        <v>50000.000000000007</v>
      </c>
      <c r="O27" s="82">
        <v>42217</v>
      </c>
      <c r="P27" s="52" t="str">
        <f t="shared" si="9"/>
        <v>SY - Bernardus Yogie Dirga Gunawan</v>
      </c>
      <c r="Q27" s="52" t="str">
        <f t="shared" si="0"/>
        <v>KPS-10-05</v>
      </c>
    </row>
    <row r="28" spans="1:17" x14ac:dyDescent="0.35">
      <c r="A28" s="52" t="s">
        <v>6063</v>
      </c>
      <c r="C28" s="52" t="str">
        <f>"""TRUST Nav"",""HSPMTB2016"",""17"",""1"",""3589"""</f>
        <v>"TRUST Nav","HSPMTB2016","17","1","3589"</v>
      </c>
      <c r="D28" s="52" t="str">
        <f t="shared" si="1"/>
        <v>Customer</v>
      </c>
      <c r="I28" s="52" t="str">
        <f t="shared" si="2"/>
        <v>KK-04599|42248</v>
      </c>
      <c r="J28" s="82">
        <v>42368</v>
      </c>
      <c r="K28" s="52" t="str">
        <f t="shared" si="3"/>
        <v>Customer</v>
      </c>
      <c r="L28" s="52" t="str">
        <f t="shared" si="8"/>
        <v>KK-04599</v>
      </c>
      <c r="M28" s="52" t="s">
        <v>20984</v>
      </c>
      <c r="N28" s="2">
        <v>50000.000000000007</v>
      </c>
      <c r="O28" s="82">
        <v>42248</v>
      </c>
      <c r="P28" s="52" t="str">
        <f t="shared" si="9"/>
        <v>SY - Bernardus Yogie Dirga Gunawan</v>
      </c>
      <c r="Q28" s="52" t="str">
        <f t="shared" si="0"/>
        <v>KPS-10-05</v>
      </c>
    </row>
    <row r="29" spans="1:17" x14ac:dyDescent="0.35">
      <c r="A29" s="52" t="s">
        <v>6063</v>
      </c>
      <c r="C29" s="52" t="str">
        <f>"""TRUST Nav"",""HSPMTB2016"",""17"",""1"",""3590"""</f>
        <v>"TRUST Nav","HSPMTB2016","17","1","3590"</v>
      </c>
      <c r="D29" s="52" t="str">
        <f t="shared" si="1"/>
        <v>Customer</v>
      </c>
      <c r="I29" s="52" t="str">
        <f t="shared" si="2"/>
        <v>KK-04599|42278</v>
      </c>
      <c r="J29" s="82">
        <v>42368</v>
      </c>
      <c r="K29" s="52" t="str">
        <f t="shared" si="3"/>
        <v>Customer</v>
      </c>
      <c r="L29" s="52" t="str">
        <f t="shared" si="8"/>
        <v>KK-04599</v>
      </c>
      <c r="M29" s="52" t="s">
        <v>20984</v>
      </c>
      <c r="N29" s="2">
        <v>50000.000000000007</v>
      </c>
      <c r="O29" s="82">
        <v>42278</v>
      </c>
      <c r="P29" s="52" t="str">
        <f t="shared" si="9"/>
        <v>SY - Bernardus Yogie Dirga Gunawan</v>
      </c>
      <c r="Q29" s="52" t="str">
        <f t="shared" si="0"/>
        <v>KPS-10-05</v>
      </c>
    </row>
    <row r="30" spans="1:17" x14ac:dyDescent="0.35">
      <c r="A30" s="52" t="s">
        <v>6063</v>
      </c>
      <c r="C30" s="52" t="str">
        <f>"""TRUST Nav"",""HSPMTB2016"",""17"",""1"",""3591"""</f>
        <v>"TRUST Nav","HSPMTB2016","17","1","3591"</v>
      </c>
      <c r="D30" s="52" t="str">
        <f t="shared" si="1"/>
        <v>Customer</v>
      </c>
      <c r="I30" s="52" t="str">
        <f t="shared" si="2"/>
        <v>KK-04599|42309</v>
      </c>
      <c r="J30" s="82">
        <v>42368</v>
      </c>
      <c r="K30" s="52" t="str">
        <f t="shared" si="3"/>
        <v>Customer</v>
      </c>
      <c r="L30" s="52" t="str">
        <f t="shared" si="8"/>
        <v>KK-04599</v>
      </c>
      <c r="M30" s="52" t="s">
        <v>20984</v>
      </c>
      <c r="N30" s="2">
        <v>50000.000000000007</v>
      </c>
      <c r="O30" s="82">
        <v>42309</v>
      </c>
      <c r="P30" s="52" t="str">
        <f t="shared" si="9"/>
        <v>SY - Bernardus Yogie Dirga Gunawan</v>
      </c>
      <c r="Q30" s="52" t="str">
        <f t="shared" si="0"/>
        <v>KPS-10-05</v>
      </c>
    </row>
    <row r="31" spans="1:17" x14ac:dyDescent="0.35">
      <c r="A31" s="52" t="s">
        <v>6063</v>
      </c>
      <c r="C31" s="52" t="str">
        <f>"""TRUST Nav"",""HSPMTB2016"",""17"",""1"",""3592"""</f>
        <v>"TRUST Nav","HSPMTB2016","17","1","3592"</v>
      </c>
      <c r="D31" s="52" t="str">
        <f t="shared" si="1"/>
        <v>Customer</v>
      </c>
      <c r="I31" s="52" t="str">
        <f t="shared" si="2"/>
        <v>KK-04599|42339</v>
      </c>
      <c r="J31" s="82">
        <v>42368</v>
      </c>
      <c r="K31" s="52" t="str">
        <f t="shared" si="3"/>
        <v>Customer</v>
      </c>
      <c r="L31" s="52" t="str">
        <f t="shared" si="8"/>
        <v>KK-04599</v>
      </c>
      <c r="M31" s="52" t="s">
        <v>20984</v>
      </c>
      <c r="N31" s="2">
        <v>50000.000000000007</v>
      </c>
      <c r="O31" s="82">
        <v>42339</v>
      </c>
      <c r="P31" s="52" t="str">
        <f t="shared" si="9"/>
        <v>SY - Bernardus Yogie Dirga Gunawan</v>
      </c>
      <c r="Q31" s="52" t="str">
        <f t="shared" si="0"/>
        <v>KPS-10-05</v>
      </c>
    </row>
    <row r="32" spans="1:17" x14ac:dyDescent="0.35">
      <c r="A32" s="52" t="s">
        <v>6063</v>
      </c>
      <c r="C32" s="52" t="str">
        <f>"""TRUST Nav"",""HSPMTB2016"",""17"",""1"",""3593"""</f>
        <v>"TRUST Nav","HSPMTB2016","17","1","3593"</v>
      </c>
      <c r="D32" s="52" t="str">
        <f t="shared" si="1"/>
        <v>Customer</v>
      </c>
      <c r="I32" s="52" t="str">
        <f t="shared" si="2"/>
        <v>KK-04600|42186</v>
      </c>
      <c r="J32" s="82">
        <v>42368</v>
      </c>
      <c r="K32" s="52" t="str">
        <f t="shared" si="3"/>
        <v>Customer</v>
      </c>
      <c r="L32" s="52" t="str">
        <f t="shared" ref="L32:L37" si="10">"KK-04600"</f>
        <v>KK-04600</v>
      </c>
      <c r="M32" s="52" t="s">
        <v>83</v>
      </c>
      <c r="N32" s="2">
        <v>20000</v>
      </c>
      <c r="O32" s="82">
        <v>42186</v>
      </c>
      <c r="P32" s="52" t="str">
        <f t="shared" ref="P32:P37" si="11">"SY - Bing Subroto"</f>
        <v>SY - Bing Subroto</v>
      </c>
      <c r="Q32" s="52" t="str">
        <f t="shared" si="0"/>
        <v>KPS-10-05</v>
      </c>
    </row>
    <row r="33" spans="1:17" x14ac:dyDescent="0.35">
      <c r="A33" s="52" t="s">
        <v>6063</v>
      </c>
      <c r="C33" s="52" t="str">
        <f>"""TRUST Nav"",""HSPMTB2016"",""17"",""1"",""3594"""</f>
        <v>"TRUST Nav","HSPMTB2016","17","1","3594"</v>
      </c>
      <c r="D33" s="52" t="str">
        <f t="shared" si="1"/>
        <v>Customer</v>
      </c>
      <c r="I33" s="52" t="str">
        <f t="shared" si="2"/>
        <v>KK-04600|42217</v>
      </c>
      <c r="J33" s="82">
        <v>42368</v>
      </c>
      <c r="K33" s="52" t="str">
        <f t="shared" si="3"/>
        <v>Customer</v>
      </c>
      <c r="L33" s="52" t="str">
        <f t="shared" si="10"/>
        <v>KK-04600</v>
      </c>
      <c r="M33" s="52" t="s">
        <v>83</v>
      </c>
      <c r="N33" s="2">
        <v>20000</v>
      </c>
      <c r="O33" s="82">
        <v>42217</v>
      </c>
      <c r="P33" s="52" t="str">
        <f t="shared" si="11"/>
        <v>SY - Bing Subroto</v>
      </c>
      <c r="Q33" s="52" t="str">
        <f t="shared" si="0"/>
        <v>KPS-10-05</v>
      </c>
    </row>
    <row r="34" spans="1:17" x14ac:dyDescent="0.35">
      <c r="A34" s="52" t="s">
        <v>6063</v>
      </c>
      <c r="C34" s="52" t="str">
        <f>"""TRUST Nav"",""HSPMTB2016"",""17"",""1"",""3595"""</f>
        <v>"TRUST Nav","HSPMTB2016","17","1","3595"</v>
      </c>
      <c r="D34" s="52" t="str">
        <f t="shared" si="1"/>
        <v>Customer</v>
      </c>
      <c r="I34" s="52" t="str">
        <f t="shared" si="2"/>
        <v>KK-04600|42248</v>
      </c>
      <c r="J34" s="82">
        <v>42368</v>
      </c>
      <c r="K34" s="52" t="str">
        <f t="shared" si="3"/>
        <v>Customer</v>
      </c>
      <c r="L34" s="52" t="str">
        <f t="shared" si="10"/>
        <v>KK-04600</v>
      </c>
      <c r="M34" s="52" t="s">
        <v>83</v>
      </c>
      <c r="N34" s="2">
        <v>20000</v>
      </c>
      <c r="O34" s="82">
        <v>42248</v>
      </c>
      <c r="P34" s="52" t="str">
        <f t="shared" si="11"/>
        <v>SY - Bing Subroto</v>
      </c>
      <c r="Q34" s="52" t="str">
        <f t="shared" si="0"/>
        <v>KPS-10-05</v>
      </c>
    </row>
    <row r="35" spans="1:17" x14ac:dyDescent="0.35">
      <c r="A35" s="52" t="s">
        <v>6063</v>
      </c>
      <c r="C35" s="52" t="str">
        <f>"""TRUST Nav"",""HSPMTB2016"",""17"",""1"",""3596"""</f>
        <v>"TRUST Nav","HSPMTB2016","17","1","3596"</v>
      </c>
      <c r="D35" s="52" t="str">
        <f t="shared" si="1"/>
        <v>Customer</v>
      </c>
      <c r="I35" s="52" t="str">
        <f t="shared" si="2"/>
        <v>KK-04600|42278</v>
      </c>
      <c r="J35" s="82">
        <v>42368</v>
      </c>
      <c r="K35" s="52" t="str">
        <f t="shared" si="3"/>
        <v>Customer</v>
      </c>
      <c r="L35" s="52" t="str">
        <f t="shared" si="10"/>
        <v>KK-04600</v>
      </c>
      <c r="M35" s="52" t="s">
        <v>83</v>
      </c>
      <c r="N35" s="2">
        <v>20000</v>
      </c>
      <c r="O35" s="82">
        <v>42278</v>
      </c>
      <c r="P35" s="52" t="str">
        <f t="shared" si="11"/>
        <v>SY - Bing Subroto</v>
      </c>
      <c r="Q35" s="52" t="str">
        <f t="shared" si="0"/>
        <v>KPS-10-05</v>
      </c>
    </row>
    <row r="36" spans="1:17" x14ac:dyDescent="0.35">
      <c r="A36" s="52" t="s">
        <v>6063</v>
      </c>
      <c r="C36" s="52" t="str">
        <f>"""TRUST Nav"",""HSPMTB2016"",""17"",""1"",""3597"""</f>
        <v>"TRUST Nav","HSPMTB2016","17","1","3597"</v>
      </c>
      <c r="D36" s="52" t="str">
        <f t="shared" si="1"/>
        <v>Customer</v>
      </c>
      <c r="I36" s="52" t="str">
        <f t="shared" si="2"/>
        <v>KK-04600|42309</v>
      </c>
      <c r="J36" s="82">
        <v>42368</v>
      </c>
      <c r="K36" s="52" t="str">
        <f t="shared" si="3"/>
        <v>Customer</v>
      </c>
      <c r="L36" s="52" t="str">
        <f t="shared" si="10"/>
        <v>KK-04600</v>
      </c>
      <c r="M36" s="52" t="s">
        <v>83</v>
      </c>
      <c r="N36" s="2">
        <v>20000</v>
      </c>
      <c r="O36" s="82">
        <v>42309</v>
      </c>
      <c r="P36" s="52" t="str">
        <f t="shared" si="11"/>
        <v>SY - Bing Subroto</v>
      </c>
      <c r="Q36" s="52" t="str">
        <f t="shared" si="0"/>
        <v>KPS-10-05</v>
      </c>
    </row>
    <row r="37" spans="1:17" x14ac:dyDescent="0.35">
      <c r="A37" s="52" t="s">
        <v>6063</v>
      </c>
      <c r="C37" s="52" t="str">
        <f>"""TRUST Nav"",""HSPMTB2016"",""17"",""1"",""3598"""</f>
        <v>"TRUST Nav","HSPMTB2016","17","1","3598"</v>
      </c>
      <c r="D37" s="52" t="str">
        <f t="shared" si="1"/>
        <v>Customer</v>
      </c>
      <c r="I37" s="52" t="str">
        <f t="shared" si="2"/>
        <v>KK-04600|42339</v>
      </c>
      <c r="J37" s="82">
        <v>42368</v>
      </c>
      <c r="K37" s="52" t="str">
        <f t="shared" si="3"/>
        <v>Customer</v>
      </c>
      <c r="L37" s="52" t="str">
        <f t="shared" si="10"/>
        <v>KK-04600</v>
      </c>
      <c r="M37" s="52" t="s">
        <v>83</v>
      </c>
      <c r="N37" s="2">
        <v>20000</v>
      </c>
      <c r="O37" s="82">
        <v>42339</v>
      </c>
      <c r="P37" s="52" t="str">
        <f t="shared" si="11"/>
        <v>SY - Bing Subroto</v>
      </c>
      <c r="Q37" s="52" t="str">
        <f t="shared" si="0"/>
        <v>KPS-10-05</v>
      </c>
    </row>
    <row r="38" spans="1:17" x14ac:dyDescent="0.35">
      <c r="A38" s="52" t="s">
        <v>6063</v>
      </c>
      <c r="C38" s="52" t="str">
        <f>"""TRUST Nav"",""HSPMTB2016"",""17"",""1"",""3599"""</f>
        <v>"TRUST Nav","HSPMTB2016","17","1","3599"</v>
      </c>
      <c r="D38" s="52" t="str">
        <f t="shared" si="1"/>
        <v>Customer</v>
      </c>
      <c r="I38" s="52" t="str">
        <f t="shared" si="2"/>
        <v>KK-04601|42186</v>
      </c>
      <c r="J38" s="82">
        <v>42368</v>
      </c>
      <c r="K38" s="52" t="str">
        <f t="shared" si="3"/>
        <v>Customer</v>
      </c>
      <c r="L38" s="52" t="str">
        <f t="shared" ref="L38:L43" si="12">"KK-04601"</f>
        <v>KK-04601</v>
      </c>
      <c r="M38" s="52" t="s">
        <v>20985</v>
      </c>
      <c r="N38" s="2">
        <v>20000</v>
      </c>
      <c r="O38" s="82">
        <v>42186</v>
      </c>
      <c r="P38" s="52" t="str">
        <f t="shared" ref="P38:P43" si="13">"SY - Boen Yoen Tet (Teddy)"</f>
        <v>SY - Boen Yoen Tet (Teddy)</v>
      </c>
      <c r="Q38" s="52" t="str">
        <f t="shared" si="0"/>
        <v>KPS-10-05</v>
      </c>
    </row>
    <row r="39" spans="1:17" x14ac:dyDescent="0.35">
      <c r="A39" s="52" t="s">
        <v>6063</v>
      </c>
      <c r="C39" s="52" t="str">
        <f>"""TRUST Nav"",""HSPMTB2016"",""17"",""1"",""3600"""</f>
        <v>"TRUST Nav","HSPMTB2016","17","1","3600"</v>
      </c>
      <c r="D39" s="52" t="str">
        <f t="shared" si="1"/>
        <v>Customer</v>
      </c>
      <c r="I39" s="52" t="str">
        <f t="shared" si="2"/>
        <v>KK-04601|42217</v>
      </c>
      <c r="J39" s="82">
        <v>42368</v>
      </c>
      <c r="K39" s="52" t="str">
        <f t="shared" si="3"/>
        <v>Customer</v>
      </c>
      <c r="L39" s="52" t="str">
        <f t="shared" si="12"/>
        <v>KK-04601</v>
      </c>
      <c r="M39" s="52" t="s">
        <v>20985</v>
      </c>
      <c r="N39" s="2">
        <v>20000</v>
      </c>
      <c r="O39" s="82">
        <v>42217</v>
      </c>
      <c r="P39" s="52" t="str">
        <f t="shared" si="13"/>
        <v>SY - Boen Yoen Tet (Teddy)</v>
      </c>
      <c r="Q39" s="52" t="str">
        <f t="shared" si="0"/>
        <v>KPS-10-05</v>
      </c>
    </row>
    <row r="40" spans="1:17" x14ac:dyDescent="0.35">
      <c r="A40" s="52" t="s">
        <v>6063</v>
      </c>
      <c r="C40" s="52" t="str">
        <f>"""TRUST Nav"",""HSPMTB2016"",""17"",""1"",""3601"""</f>
        <v>"TRUST Nav","HSPMTB2016","17","1","3601"</v>
      </c>
      <c r="D40" s="52" t="str">
        <f t="shared" si="1"/>
        <v>Customer</v>
      </c>
      <c r="I40" s="52" t="str">
        <f t="shared" si="2"/>
        <v>KK-04601|42248</v>
      </c>
      <c r="J40" s="82">
        <v>42368</v>
      </c>
      <c r="K40" s="52" t="str">
        <f t="shared" si="3"/>
        <v>Customer</v>
      </c>
      <c r="L40" s="52" t="str">
        <f t="shared" si="12"/>
        <v>KK-04601</v>
      </c>
      <c r="M40" s="52" t="s">
        <v>20985</v>
      </c>
      <c r="N40" s="2">
        <v>20000</v>
      </c>
      <c r="O40" s="82">
        <v>42248</v>
      </c>
      <c r="P40" s="52" t="str">
        <f t="shared" si="13"/>
        <v>SY - Boen Yoen Tet (Teddy)</v>
      </c>
      <c r="Q40" s="52" t="str">
        <f t="shared" si="0"/>
        <v>KPS-10-05</v>
      </c>
    </row>
    <row r="41" spans="1:17" x14ac:dyDescent="0.35">
      <c r="A41" s="52" t="s">
        <v>6063</v>
      </c>
      <c r="C41" s="52" t="str">
        <f>"""TRUST Nav"",""HSPMTB2016"",""17"",""1"",""3602"""</f>
        <v>"TRUST Nav","HSPMTB2016","17","1","3602"</v>
      </c>
      <c r="D41" s="52" t="str">
        <f t="shared" si="1"/>
        <v>Customer</v>
      </c>
      <c r="I41" s="52" t="str">
        <f t="shared" si="2"/>
        <v>KK-04601|42278</v>
      </c>
      <c r="J41" s="82">
        <v>42368</v>
      </c>
      <c r="K41" s="52" t="str">
        <f t="shared" si="3"/>
        <v>Customer</v>
      </c>
      <c r="L41" s="52" t="str">
        <f t="shared" si="12"/>
        <v>KK-04601</v>
      </c>
      <c r="M41" s="52" t="s">
        <v>20985</v>
      </c>
      <c r="N41" s="2">
        <v>20000</v>
      </c>
      <c r="O41" s="82">
        <v>42278</v>
      </c>
      <c r="P41" s="52" t="str">
        <f t="shared" si="13"/>
        <v>SY - Boen Yoen Tet (Teddy)</v>
      </c>
      <c r="Q41" s="52" t="str">
        <f t="shared" si="0"/>
        <v>KPS-10-05</v>
      </c>
    </row>
    <row r="42" spans="1:17" x14ac:dyDescent="0.35">
      <c r="A42" s="52" t="s">
        <v>6063</v>
      </c>
      <c r="C42" s="52" t="str">
        <f>"""TRUST Nav"",""HSPMTB2016"",""17"",""1"",""3603"""</f>
        <v>"TRUST Nav","HSPMTB2016","17","1","3603"</v>
      </c>
      <c r="D42" s="52" t="str">
        <f t="shared" si="1"/>
        <v>Customer</v>
      </c>
      <c r="I42" s="52" t="str">
        <f t="shared" si="2"/>
        <v>KK-04601|42309</v>
      </c>
      <c r="J42" s="82">
        <v>42368</v>
      </c>
      <c r="K42" s="52" t="str">
        <f t="shared" si="3"/>
        <v>Customer</v>
      </c>
      <c r="L42" s="52" t="str">
        <f t="shared" si="12"/>
        <v>KK-04601</v>
      </c>
      <c r="M42" s="52" t="s">
        <v>20985</v>
      </c>
      <c r="N42" s="2">
        <v>20000</v>
      </c>
      <c r="O42" s="82">
        <v>42309</v>
      </c>
      <c r="P42" s="52" t="str">
        <f t="shared" si="13"/>
        <v>SY - Boen Yoen Tet (Teddy)</v>
      </c>
      <c r="Q42" s="52" t="str">
        <f t="shared" si="0"/>
        <v>KPS-10-05</v>
      </c>
    </row>
    <row r="43" spans="1:17" x14ac:dyDescent="0.35">
      <c r="A43" s="52" t="s">
        <v>6063</v>
      </c>
      <c r="C43" s="52" t="str">
        <f>"""TRUST Nav"",""HSPMTB2016"",""17"",""1"",""3604"""</f>
        <v>"TRUST Nav","HSPMTB2016","17","1","3604"</v>
      </c>
      <c r="D43" s="52" t="str">
        <f t="shared" si="1"/>
        <v>Customer</v>
      </c>
      <c r="I43" s="52" t="str">
        <f t="shared" si="2"/>
        <v>KK-04601|42339</v>
      </c>
      <c r="J43" s="82">
        <v>42368</v>
      </c>
      <c r="K43" s="52" t="str">
        <f t="shared" si="3"/>
        <v>Customer</v>
      </c>
      <c r="L43" s="52" t="str">
        <f t="shared" si="12"/>
        <v>KK-04601</v>
      </c>
      <c r="M43" s="52" t="s">
        <v>20985</v>
      </c>
      <c r="N43" s="2">
        <v>20000</v>
      </c>
      <c r="O43" s="82">
        <v>42339</v>
      </c>
      <c r="P43" s="52" t="str">
        <f t="shared" si="13"/>
        <v>SY - Boen Yoen Tet (Teddy)</v>
      </c>
      <c r="Q43" s="52" t="str">
        <f t="shared" si="0"/>
        <v>KPS-10-05</v>
      </c>
    </row>
    <row r="44" spans="1:17" x14ac:dyDescent="0.35">
      <c r="A44" s="52" t="s">
        <v>6063</v>
      </c>
      <c r="C44" s="52" t="str">
        <f>"""TRUST Nav"",""HSPMTB2016"",""17"",""1"",""3605"""</f>
        <v>"TRUST Nav","HSPMTB2016","17","1","3605"</v>
      </c>
      <c r="D44" s="52" t="str">
        <f t="shared" si="1"/>
        <v>Customer</v>
      </c>
      <c r="I44" s="52" t="str">
        <f t="shared" si="2"/>
        <v>KK-04602|42186</v>
      </c>
      <c r="J44" s="82">
        <v>42368</v>
      </c>
      <c r="K44" s="52" t="str">
        <f t="shared" si="3"/>
        <v>Customer</v>
      </c>
      <c r="L44" s="52" t="str">
        <f t="shared" ref="L44:L49" si="14">"KK-04602"</f>
        <v>KK-04602</v>
      </c>
      <c r="M44" s="52" t="s">
        <v>20986</v>
      </c>
      <c r="N44" s="2">
        <v>10000</v>
      </c>
      <c r="O44" s="82">
        <v>42186</v>
      </c>
      <c r="P44" s="52" t="str">
        <f t="shared" ref="P44:P49" si="15">"SY - Budiarto"</f>
        <v>SY - Budiarto</v>
      </c>
      <c r="Q44" s="52" t="str">
        <f t="shared" si="0"/>
        <v>KPS-10-05</v>
      </c>
    </row>
    <row r="45" spans="1:17" x14ac:dyDescent="0.35">
      <c r="A45" s="52" t="s">
        <v>6063</v>
      </c>
      <c r="C45" s="52" t="str">
        <f>"""TRUST Nav"",""HSPMTB2016"",""17"",""1"",""3606"""</f>
        <v>"TRUST Nav","HSPMTB2016","17","1","3606"</v>
      </c>
      <c r="D45" s="52" t="str">
        <f t="shared" si="1"/>
        <v>Customer</v>
      </c>
      <c r="I45" s="52" t="str">
        <f t="shared" si="2"/>
        <v>KK-04602|42217</v>
      </c>
      <c r="J45" s="82">
        <v>42368</v>
      </c>
      <c r="K45" s="52" t="str">
        <f t="shared" si="3"/>
        <v>Customer</v>
      </c>
      <c r="L45" s="52" t="str">
        <f t="shared" si="14"/>
        <v>KK-04602</v>
      </c>
      <c r="M45" s="52" t="s">
        <v>20986</v>
      </c>
      <c r="N45" s="2">
        <v>6000</v>
      </c>
      <c r="O45" s="82">
        <v>42217</v>
      </c>
      <c r="P45" s="52" t="str">
        <f t="shared" si="15"/>
        <v>SY - Budiarto</v>
      </c>
      <c r="Q45" s="52" t="str">
        <f t="shared" si="0"/>
        <v>KPS-10-05</v>
      </c>
    </row>
    <row r="46" spans="1:17" x14ac:dyDescent="0.35">
      <c r="A46" s="52" t="s">
        <v>6063</v>
      </c>
      <c r="C46" s="52" t="str">
        <f>"""TRUST Nav"",""HSPMTB2016"",""17"",""1"",""3607"""</f>
        <v>"TRUST Nav","HSPMTB2016","17","1","3607"</v>
      </c>
      <c r="D46" s="52" t="str">
        <f t="shared" ref="D46:D77" si="16">"Customer"</f>
        <v>Customer</v>
      </c>
      <c r="I46" s="52" t="str">
        <f t="shared" si="2"/>
        <v>KK-04602|42248</v>
      </c>
      <c r="J46" s="82">
        <v>42368</v>
      </c>
      <c r="K46" s="52" t="str">
        <f t="shared" si="3"/>
        <v>Customer</v>
      </c>
      <c r="L46" s="52" t="str">
        <f t="shared" si="14"/>
        <v>KK-04602</v>
      </c>
      <c r="M46" s="52" t="s">
        <v>20986</v>
      </c>
      <c r="N46" s="2">
        <v>6000</v>
      </c>
      <c r="O46" s="82">
        <v>42248</v>
      </c>
      <c r="P46" s="52" t="str">
        <f t="shared" si="15"/>
        <v>SY - Budiarto</v>
      </c>
      <c r="Q46" s="52" t="str">
        <f t="shared" si="0"/>
        <v>KPS-10-05</v>
      </c>
    </row>
    <row r="47" spans="1:17" x14ac:dyDescent="0.35">
      <c r="A47" s="52" t="s">
        <v>6063</v>
      </c>
      <c r="C47" s="52" t="str">
        <f>"""TRUST Nav"",""HSPMTB2016"",""17"",""1"",""3608"""</f>
        <v>"TRUST Nav","HSPMTB2016","17","1","3608"</v>
      </c>
      <c r="D47" s="52" t="str">
        <f t="shared" si="16"/>
        <v>Customer</v>
      </c>
      <c r="I47" s="52" t="str">
        <f t="shared" si="2"/>
        <v>KK-04602|42278</v>
      </c>
      <c r="J47" s="82">
        <v>42368</v>
      </c>
      <c r="K47" s="52" t="str">
        <f t="shared" si="3"/>
        <v>Customer</v>
      </c>
      <c r="L47" s="52" t="str">
        <f t="shared" si="14"/>
        <v>KK-04602</v>
      </c>
      <c r="M47" s="52" t="s">
        <v>20986</v>
      </c>
      <c r="N47" s="2">
        <v>6000</v>
      </c>
      <c r="O47" s="82">
        <v>42278</v>
      </c>
      <c r="P47" s="52" t="str">
        <f t="shared" si="15"/>
        <v>SY - Budiarto</v>
      </c>
      <c r="Q47" s="52" t="str">
        <f t="shared" si="0"/>
        <v>KPS-10-05</v>
      </c>
    </row>
    <row r="48" spans="1:17" x14ac:dyDescent="0.35">
      <c r="A48" s="52" t="s">
        <v>6063</v>
      </c>
      <c r="C48" s="52" t="str">
        <f>"""TRUST Nav"",""HSPMTB2016"",""17"",""1"",""3609"""</f>
        <v>"TRUST Nav","HSPMTB2016","17","1","3609"</v>
      </c>
      <c r="D48" s="52" t="str">
        <f t="shared" si="16"/>
        <v>Customer</v>
      </c>
      <c r="I48" s="52" t="str">
        <f t="shared" si="2"/>
        <v>KK-04602|42309</v>
      </c>
      <c r="J48" s="82">
        <v>42368</v>
      </c>
      <c r="K48" s="52" t="str">
        <f t="shared" si="3"/>
        <v>Customer</v>
      </c>
      <c r="L48" s="52" t="str">
        <f t="shared" si="14"/>
        <v>KK-04602</v>
      </c>
      <c r="M48" s="52" t="s">
        <v>20986</v>
      </c>
      <c r="N48" s="2">
        <v>6000</v>
      </c>
      <c r="O48" s="82">
        <v>42309</v>
      </c>
      <c r="P48" s="52" t="str">
        <f t="shared" si="15"/>
        <v>SY - Budiarto</v>
      </c>
      <c r="Q48" s="52" t="str">
        <f t="shared" si="0"/>
        <v>KPS-10-05</v>
      </c>
    </row>
    <row r="49" spans="1:17" x14ac:dyDescent="0.35">
      <c r="A49" s="52" t="s">
        <v>6063</v>
      </c>
      <c r="C49" s="52" t="str">
        <f>"""TRUST Nav"",""HSPMTB2016"",""17"",""1"",""3610"""</f>
        <v>"TRUST Nav","HSPMTB2016","17","1","3610"</v>
      </c>
      <c r="D49" s="52" t="str">
        <f t="shared" si="16"/>
        <v>Customer</v>
      </c>
      <c r="I49" s="52" t="str">
        <f t="shared" si="2"/>
        <v>KK-04602|42339</v>
      </c>
      <c r="J49" s="82">
        <v>42368</v>
      </c>
      <c r="K49" s="52" t="str">
        <f t="shared" si="3"/>
        <v>Customer</v>
      </c>
      <c r="L49" s="52" t="str">
        <f t="shared" si="14"/>
        <v>KK-04602</v>
      </c>
      <c r="M49" s="52" t="s">
        <v>20986</v>
      </c>
      <c r="N49" s="2">
        <v>6000</v>
      </c>
      <c r="O49" s="82">
        <v>42339</v>
      </c>
      <c r="P49" s="52" t="str">
        <f t="shared" si="15"/>
        <v>SY - Budiarto</v>
      </c>
      <c r="Q49" s="52" t="str">
        <f t="shared" si="0"/>
        <v>KPS-10-05</v>
      </c>
    </row>
    <row r="50" spans="1:17" x14ac:dyDescent="0.35">
      <c r="A50" s="52" t="s">
        <v>6063</v>
      </c>
      <c r="C50" s="52" t="str">
        <f>"""TRUST Nav"",""HSPMTB2016"",""17"",""1"",""3611"""</f>
        <v>"TRUST Nav","HSPMTB2016","17","1","3611"</v>
      </c>
      <c r="D50" s="52" t="str">
        <f t="shared" si="16"/>
        <v>Customer</v>
      </c>
      <c r="I50" s="52" t="str">
        <f t="shared" si="2"/>
        <v>KK-04605|42186</v>
      </c>
      <c r="J50" s="82">
        <v>42368</v>
      </c>
      <c r="K50" s="52" t="str">
        <f t="shared" si="3"/>
        <v>Customer</v>
      </c>
      <c r="L50" s="52" t="str">
        <f t="shared" ref="L50:L55" si="17">"KK-04605"</f>
        <v>KK-04605</v>
      </c>
      <c r="M50" s="52" t="s">
        <v>20987</v>
      </c>
      <c r="N50" s="2">
        <v>25000.000000000004</v>
      </c>
      <c r="O50" s="82">
        <v>42186</v>
      </c>
      <c r="P50" s="52" t="str">
        <f t="shared" ref="P50:P55" si="18">"SY - Handoyo Krismanto"</f>
        <v>SY - Handoyo Krismanto</v>
      </c>
      <c r="Q50" s="52" t="str">
        <f t="shared" si="0"/>
        <v>KPS-10-05</v>
      </c>
    </row>
    <row r="51" spans="1:17" x14ac:dyDescent="0.35">
      <c r="A51" s="52" t="s">
        <v>6063</v>
      </c>
      <c r="C51" s="52" t="str">
        <f>"""TRUST Nav"",""HSPMTB2016"",""17"",""1"",""3612"""</f>
        <v>"TRUST Nav","HSPMTB2016","17","1","3612"</v>
      </c>
      <c r="D51" s="52" t="str">
        <f t="shared" si="16"/>
        <v>Customer</v>
      </c>
      <c r="I51" s="52" t="str">
        <f t="shared" si="2"/>
        <v>KK-04605|42217</v>
      </c>
      <c r="J51" s="82">
        <v>42368</v>
      </c>
      <c r="K51" s="52" t="str">
        <f t="shared" si="3"/>
        <v>Customer</v>
      </c>
      <c r="L51" s="52" t="str">
        <f t="shared" si="17"/>
        <v>KK-04605</v>
      </c>
      <c r="M51" s="52" t="s">
        <v>20987</v>
      </c>
      <c r="N51" s="2">
        <v>25000.000000000004</v>
      </c>
      <c r="O51" s="82">
        <v>42217</v>
      </c>
      <c r="P51" s="52" t="str">
        <f t="shared" si="18"/>
        <v>SY - Handoyo Krismanto</v>
      </c>
      <c r="Q51" s="52" t="str">
        <f t="shared" si="0"/>
        <v>KPS-10-05</v>
      </c>
    </row>
    <row r="52" spans="1:17" x14ac:dyDescent="0.35">
      <c r="A52" s="52" t="s">
        <v>6063</v>
      </c>
      <c r="C52" s="52" t="str">
        <f>"""TRUST Nav"",""HSPMTB2016"",""17"",""1"",""3613"""</f>
        <v>"TRUST Nav","HSPMTB2016","17","1","3613"</v>
      </c>
      <c r="D52" s="52" t="str">
        <f t="shared" si="16"/>
        <v>Customer</v>
      </c>
      <c r="I52" s="52" t="str">
        <f t="shared" si="2"/>
        <v>KK-04605|42248</v>
      </c>
      <c r="J52" s="82">
        <v>42368</v>
      </c>
      <c r="K52" s="52" t="str">
        <f t="shared" si="3"/>
        <v>Customer</v>
      </c>
      <c r="L52" s="52" t="str">
        <f t="shared" si="17"/>
        <v>KK-04605</v>
      </c>
      <c r="M52" s="52" t="s">
        <v>20987</v>
      </c>
      <c r="N52" s="2">
        <v>25000.000000000004</v>
      </c>
      <c r="O52" s="82">
        <v>42248</v>
      </c>
      <c r="P52" s="52" t="str">
        <f t="shared" si="18"/>
        <v>SY - Handoyo Krismanto</v>
      </c>
      <c r="Q52" s="52" t="str">
        <f t="shared" si="0"/>
        <v>KPS-10-05</v>
      </c>
    </row>
    <row r="53" spans="1:17" x14ac:dyDescent="0.35">
      <c r="A53" s="52" t="s">
        <v>6063</v>
      </c>
      <c r="C53" s="52" t="str">
        <f>"""TRUST Nav"",""HSPMTB2016"",""17"",""1"",""3614"""</f>
        <v>"TRUST Nav","HSPMTB2016","17","1","3614"</v>
      </c>
      <c r="D53" s="52" t="str">
        <f t="shared" si="16"/>
        <v>Customer</v>
      </c>
      <c r="I53" s="52" t="str">
        <f t="shared" si="2"/>
        <v>KK-04605|42278</v>
      </c>
      <c r="J53" s="82">
        <v>42368</v>
      </c>
      <c r="K53" s="52" t="str">
        <f t="shared" si="3"/>
        <v>Customer</v>
      </c>
      <c r="L53" s="52" t="str">
        <f t="shared" si="17"/>
        <v>KK-04605</v>
      </c>
      <c r="M53" s="52" t="s">
        <v>20987</v>
      </c>
      <c r="N53" s="2">
        <v>25000.000000000004</v>
      </c>
      <c r="O53" s="82">
        <v>42278</v>
      </c>
      <c r="P53" s="52" t="str">
        <f t="shared" si="18"/>
        <v>SY - Handoyo Krismanto</v>
      </c>
      <c r="Q53" s="52" t="str">
        <f t="shared" si="0"/>
        <v>KPS-10-05</v>
      </c>
    </row>
    <row r="54" spans="1:17" x14ac:dyDescent="0.35">
      <c r="A54" s="52" t="s">
        <v>6063</v>
      </c>
      <c r="C54" s="52" t="str">
        <f>"""TRUST Nav"",""HSPMTB2016"",""17"",""1"",""3615"""</f>
        <v>"TRUST Nav","HSPMTB2016","17","1","3615"</v>
      </c>
      <c r="D54" s="52" t="str">
        <f t="shared" si="16"/>
        <v>Customer</v>
      </c>
      <c r="I54" s="52" t="str">
        <f t="shared" si="2"/>
        <v>KK-04605|42309</v>
      </c>
      <c r="J54" s="82">
        <v>42368</v>
      </c>
      <c r="K54" s="52" t="str">
        <f t="shared" si="3"/>
        <v>Customer</v>
      </c>
      <c r="L54" s="52" t="str">
        <f t="shared" si="17"/>
        <v>KK-04605</v>
      </c>
      <c r="M54" s="52" t="s">
        <v>20987</v>
      </c>
      <c r="N54" s="2">
        <v>25000.000000000004</v>
      </c>
      <c r="O54" s="82">
        <v>42309</v>
      </c>
      <c r="P54" s="52" t="str">
        <f t="shared" si="18"/>
        <v>SY - Handoyo Krismanto</v>
      </c>
      <c r="Q54" s="52" t="str">
        <f t="shared" si="0"/>
        <v>KPS-10-05</v>
      </c>
    </row>
    <row r="55" spans="1:17" x14ac:dyDescent="0.35">
      <c r="A55" s="52" t="s">
        <v>6063</v>
      </c>
      <c r="C55" s="52" t="str">
        <f>"""TRUST Nav"",""HSPMTB2016"",""17"",""1"",""3616"""</f>
        <v>"TRUST Nav","HSPMTB2016","17","1","3616"</v>
      </c>
      <c r="D55" s="52" t="str">
        <f t="shared" si="16"/>
        <v>Customer</v>
      </c>
      <c r="I55" s="52" t="str">
        <f t="shared" si="2"/>
        <v>KK-04605|42339</v>
      </c>
      <c r="J55" s="82">
        <v>42368</v>
      </c>
      <c r="K55" s="52" t="str">
        <f t="shared" si="3"/>
        <v>Customer</v>
      </c>
      <c r="L55" s="52" t="str">
        <f t="shared" si="17"/>
        <v>KK-04605</v>
      </c>
      <c r="M55" s="52" t="s">
        <v>20987</v>
      </c>
      <c r="N55" s="2">
        <v>25000.000000000004</v>
      </c>
      <c r="O55" s="82">
        <v>42339</v>
      </c>
      <c r="P55" s="52" t="str">
        <f t="shared" si="18"/>
        <v>SY - Handoyo Krismanto</v>
      </c>
      <c r="Q55" s="52" t="str">
        <f t="shared" si="0"/>
        <v>KPS-10-05</v>
      </c>
    </row>
    <row r="56" spans="1:17" x14ac:dyDescent="0.35">
      <c r="A56" s="52" t="s">
        <v>6063</v>
      </c>
      <c r="C56" s="52" t="str">
        <f>"""TRUST Nav"",""HSPMTB2016"",""17"",""1"",""3617"""</f>
        <v>"TRUST Nav","HSPMTB2016","17","1","3617"</v>
      </c>
      <c r="D56" s="52" t="str">
        <f t="shared" si="16"/>
        <v>Customer</v>
      </c>
      <c r="I56" s="52" t="str">
        <f t="shared" si="2"/>
        <v>KK-04606|42186</v>
      </c>
      <c r="J56" s="82">
        <v>42368</v>
      </c>
      <c r="K56" s="52" t="str">
        <f t="shared" si="3"/>
        <v>Customer</v>
      </c>
      <c r="L56" s="52" t="str">
        <f t="shared" ref="L56:L61" si="19">"KK-04606"</f>
        <v>KK-04606</v>
      </c>
      <c r="M56" s="52" t="s">
        <v>20988</v>
      </c>
      <c r="N56" s="2">
        <v>50000.000000000007</v>
      </c>
      <c r="O56" s="82">
        <v>42186</v>
      </c>
      <c r="P56" s="52" t="str">
        <f t="shared" ref="P56:P61" si="20">"SY - Hendra Kurniawan"</f>
        <v>SY - Hendra Kurniawan</v>
      </c>
      <c r="Q56" s="52" t="str">
        <f t="shared" si="0"/>
        <v>KPS-10-05</v>
      </c>
    </row>
    <row r="57" spans="1:17" x14ac:dyDescent="0.35">
      <c r="A57" s="52" t="s">
        <v>6063</v>
      </c>
      <c r="C57" s="52" t="str">
        <f>"""TRUST Nav"",""HSPMTB2016"",""17"",""1"",""3618"""</f>
        <v>"TRUST Nav","HSPMTB2016","17","1","3618"</v>
      </c>
      <c r="D57" s="52" t="str">
        <f t="shared" si="16"/>
        <v>Customer</v>
      </c>
      <c r="I57" s="52" t="str">
        <f t="shared" si="2"/>
        <v>KK-04606|42217</v>
      </c>
      <c r="J57" s="82">
        <v>42368</v>
      </c>
      <c r="K57" s="52" t="str">
        <f t="shared" si="3"/>
        <v>Customer</v>
      </c>
      <c r="L57" s="52" t="str">
        <f t="shared" si="19"/>
        <v>KK-04606</v>
      </c>
      <c r="M57" s="52" t="s">
        <v>20988</v>
      </c>
      <c r="N57" s="2">
        <v>50000.000000000007</v>
      </c>
      <c r="O57" s="82">
        <v>42217</v>
      </c>
      <c r="P57" s="52" t="str">
        <f t="shared" si="20"/>
        <v>SY - Hendra Kurniawan</v>
      </c>
      <c r="Q57" s="52" t="str">
        <f t="shared" si="0"/>
        <v>KPS-10-05</v>
      </c>
    </row>
    <row r="58" spans="1:17" x14ac:dyDescent="0.35">
      <c r="A58" s="52" t="s">
        <v>6063</v>
      </c>
      <c r="C58" s="52" t="str">
        <f>"""TRUST Nav"",""HSPMTB2016"",""17"",""1"",""3619"""</f>
        <v>"TRUST Nav","HSPMTB2016","17","1","3619"</v>
      </c>
      <c r="D58" s="52" t="str">
        <f t="shared" si="16"/>
        <v>Customer</v>
      </c>
      <c r="I58" s="52" t="str">
        <f t="shared" si="2"/>
        <v>KK-04606|42248</v>
      </c>
      <c r="J58" s="82">
        <v>42368</v>
      </c>
      <c r="K58" s="52" t="str">
        <f t="shared" si="3"/>
        <v>Customer</v>
      </c>
      <c r="L58" s="52" t="str">
        <f t="shared" si="19"/>
        <v>KK-04606</v>
      </c>
      <c r="M58" s="52" t="s">
        <v>20988</v>
      </c>
      <c r="N58" s="2">
        <v>50000.000000000007</v>
      </c>
      <c r="O58" s="82">
        <v>42248</v>
      </c>
      <c r="P58" s="52" t="str">
        <f t="shared" si="20"/>
        <v>SY - Hendra Kurniawan</v>
      </c>
      <c r="Q58" s="52" t="str">
        <f t="shared" si="0"/>
        <v>KPS-10-05</v>
      </c>
    </row>
    <row r="59" spans="1:17" x14ac:dyDescent="0.35">
      <c r="A59" s="52" t="s">
        <v>6063</v>
      </c>
      <c r="C59" s="52" t="str">
        <f>"""TRUST Nav"",""HSPMTB2016"",""17"",""1"",""3620"""</f>
        <v>"TRUST Nav","HSPMTB2016","17","1","3620"</v>
      </c>
      <c r="D59" s="52" t="str">
        <f t="shared" si="16"/>
        <v>Customer</v>
      </c>
      <c r="I59" s="52" t="str">
        <f t="shared" si="2"/>
        <v>KK-04606|42278</v>
      </c>
      <c r="J59" s="82">
        <v>42368</v>
      </c>
      <c r="K59" s="52" t="str">
        <f t="shared" si="3"/>
        <v>Customer</v>
      </c>
      <c r="L59" s="52" t="str">
        <f t="shared" si="19"/>
        <v>KK-04606</v>
      </c>
      <c r="M59" s="52" t="s">
        <v>20988</v>
      </c>
      <c r="N59" s="2">
        <v>50000.000000000007</v>
      </c>
      <c r="O59" s="82">
        <v>42278</v>
      </c>
      <c r="P59" s="52" t="str">
        <f t="shared" si="20"/>
        <v>SY - Hendra Kurniawan</v>
      </c>
      <c r="Q59" s="52" t="str">
        <f t="shared" si="0"/>
        <v>KPS-10-05</v>
      </c>
    </row>
    <row r="60" spans="1:17" x14ac:dyDescent="0.35">
      <c r="A60" s="52" t="s">
        <v>6063</v>
      </c>
      <c r="C60" s="52" t="str">
        <f>"""TRUST Nav"",""HSPMTB2016"",""17"",""1"",""3621"""</f>
        <v>"TRUST Nav","HSPMTB2016","17","1","3621"</v>
      </c>
      <c r="D60" s="52" t="str">
        <f t="shared" si="16"/>
        <v>Customer</v>
      </c>
      <c r="I60" s="52" t="str">
        <f t="shared" si="2"/>
        <v>KK-04606|42309</v>
      </c>
      <c r="J60" s="82">
        <v>42368</v>
      </c>
      <c r="K60" s="52" t="str">
        <f t="shared" si="3"/>
        <v>Customer</v>
      </c>
      <c r="L60" s="52" t="str">
        <f t="shared" si="19"/>
        <v>KK-04606</v>
      </c>
      <c r="M60" s="52" t="s">
        <v>20988</v>
      </c>
      <c r="N60" s="2">
        <v>50000.000000000007</v>
      </c>
      <c r="O60" s="82">
        <v>42309</v>
      </c>
      <c r="P60" s="52" t="str">
        <f t="shared" si="20"/>
        <v>SY - Hendra Kurniawan</v>
      </c>
      <c r="Q60" s="52" t="str">
        <f t="shared" si="0"/>
        <v>KPS-10-05</v>
      </c>
    </row>
    <row r="61" spans="1:17" x14ac:dyDescent="0.35">
      <c r="A61" s="52" t="s">
        <v>6063</v>
      </c>
      <c r="C61" s="52" t="str">
        <f>"""TRUST Nav"",""HSPMTB2016"",""17"",""1"",""3622"""</f>
        <v>"TRUST Nav","HSPMTB2016","17","1","3622"</v>
      </c>
      <c r="D61" s="52" t="str">
        <f t="shared" si="16"/>
        <v>Customer</v>
      </c>
      <c r="I61" s="52" t="str">
        <f t="shared" si="2"/>
        <v>KK-04606|42339</v>
      </c>
      <c r="J61" s="82">
        <v>42368</v>
      </c>
      <c r="K61" s="52" t="str">
        <f t="shared" si="3"/>
        <v>Customer</v>
      </c>
      <c r="L61" s="52" t="str">
        <f t="shared" si="19"/>
        <v>KK-04606</v>
      </c>
      <c r="M61" s="52" t="s">
        <v>20988</v>
      </c>
      <c r="N61" s="2">
        <v>50000.000000000007</v>
      </c>
      <c r="O61" s="82">
        <v>42339</v>
      </c>
      <c r="P61" s="52" t="str">
        <f t="shared" si="20"/>
        <v>SY - Hendra Kurniawan</v>
      </c>
      <c r="Q61" s="52" t="str">
        <f t="shared" si="0"/>
        <v>KPS-10-05</v>
      </c>
    </row>
    <row r="62" spans="1:17" x14ac:dyDescent="0.35">
      <c r="A62" s="52" t="s">
        <v>6063</v>
      </c>
      <c r="C62" s="52" t="str">
        <f>"""TRUST Nav"",""HSPMTB2016"",""17"",""1"",""3623"""</f>
        <v>"TRUST Nav","HSPMTB2016","17","1","3623"</v>
      </c>
      <c r="D62" s="52" t="str">
        <f t="shared" si="16"/>
        <v>Customer</v>
      </c>
      <c r="I62" s="52" t="str">
        <f t="shared" si="2"/>
        <v>KK-04607|42186</v>
      </c>
      <c r="J62" s="82">
        <v>42368</v>
      </c>
      <c r="K62" s="52" t="str">
        <f t="shared" si="3"/>
        <v>Customer</v>
      </c>
      <c r="L62" s="52" t="str">
        <f t="shared" ref="L62:L67" si="21">"KK-04607"</f>
        <v>KK-04607</v>
      </c>
      <c r="M62" s="52" t="s">
        <v>20989</v>
      </c>
      <c r="N62" s="2">
        <v>75000</v>
      </c>
      <c r="O62" s="82">
        <v>42186</v>
      </c>
      <c r="P62" s="52" t="str">
        <f t="shared" ref="P62:P67" si="22">"SY - Hendro Hartono"</f>
        <v>SY - Hendro Hartono</v>
      </c>
      <c r="Q62" s="52" t="str">
        <f t="shared" si="0"/>
        <v>KPS-10-05</v>
      </c>
    </row>
    <row r="63" spans="1:17" x14ac:dyDescent="0.35">
      <c r="A63" s="52" t="s">
        <v>6063</v>
      </c>
      <c r="C63" s="52" t="str">
        <f>"""TRUST Nav"",""HSPMTB2016"",""17"",""1"",""3624"""</f>
        <v>"TRUST Nav","HSPMTB2016","17","1","3624"</v>
      </c>
      <c r="D63" s="52" t="str">
        <f t="shared" si="16"/>
        <v>Customer</v>
      </c>
      <c r="I63" s="52" t="str">
        <f t="shared" si="2"/>
        <v>KK-04607|42217</v>
      </c>
      <c r="J63" s="82">
        <v>42368</v>
      </c>
      <c r="K63" s="52" t="str">
        <f t="shared" si="3"/>
        <v>Customer</v>
      </c>
      <c r="L63" s="52" t="str">
        <f t="shared" si="21"/>
        <v>KK-04607</v>
      </c>
      <c r="M63" s="52" t="s">
        <v>20989</v>
      </c>
      <c r="N63" s="2">
        <v>75000</v>
      </c>
      <c r="O63" s="82">
        <v>42217</v>
      </c>
      <c r="P63" s="52" t="str">
        <f t="shared" si="22"/>
        <v>SY - Hendro Hartono</v>
      </c>
      <c r="Q63" s="52" t="str">
        <f t="shared" si="0"/>
        <v>KPS-10-05</v>
      </c>
    </row>
    <row r="64" spans="1:17" x14ac:dyDescent="0.35">
      <c r="A64" s="52" t="s">
        <v>6063</v>
      </c>
      <c r="C64" s="52" t="str">
        <f>"""TRUST Nav"",""HSPMTB2016"",""17"",""1"",""3625"""</f>
        <v>"TRUST Nav","HSPMTB2016","17","1","3625"</v>
      </c>
      <c r="D64" s="52" t="str">
        <f t="shared" si="16"/>
        <v>Customer</v>
      </c>
      <c r="I64" s="52" t="str">
        <f t="shared" si="2"/>
        <v>KK-04607|42248</v>
      </c>
      <c r="J64" s="82">
        <v>42368</v>
      </c>
      <c r="K64" s="52" t="str">
        <f t="shared" si="3"/>
        <v>Customer</v>
      </c>
      <c r="L64" s="52" t="str">
        <f t="shared" si="21"/>
        <v>KK-04607</v>
      </c>
      <c r="M64" s="52" t="s">
        <v>20989</v>
      </c>
      <c r="N64" s="2">
        <v>75000</v>
      </c>
      <c r="O64" s="82">
        <v>42248</v>
      </c>
      <c r="P64" s="52" t="str">
        <f t="shared" si="22"/>
        <v>SY - Hendro Hartono</v>
      </c>
      <c r="Q64" s="52" t="str">
        <f t="shared" si="0"/>
        <v>KPS-10-05</v>
      </c>
    </row>
    <row r="65" spans="1:17" x14ac:dyDescent="0.35">
      <c r="A65" s="52" t="s">
        <v>6063</v>
      </c>
      <c r="C65" s="52" t="str">
        <f>"""TRUST Nav"",""HSPMTB2016"",""17"",""1"",""3626"""</f>
        <v>"TRUST Nav","HSPMTB2016","17","1","3626"</v>
      </c>
      <c r="D65" s="52" t="str">
        <f t="shared" si="16"/>
        <v>Customer</v>
      </c>
      <c r="I65" s="52" t="str">
        <f t="shared" si="2"/>
        <v>KK-04607|42278</v>
      </c>
      <c r="J65" s="82">
        <v>42368</v>
      </c>
      <c r="K65" s="52" t="str">
        <f t="shared" si="3"/>
        <v>Customer</v>
      </c>
      <c r="L65" s="52" t="str">
        <f t="shared" si="21"/>
        <v>KK-04607</v>
      </c>
      <c r="M65" s="52" t="s">
        <v>20989</v>
      </c>
      <c r="N65" s="2">
        <v>75000</v>
      </c>
      <c r="O65" s="82">
        <v>42278</v>
      </c>
      <c r="P65" s="52" t="str">
        <f t="shared" si="22"/>
        <v>SY - Hendro Hartono</v>
      </c>
      <c r="Q65" s="52" t="str">
        <f t="shared" si="0"/>
        <v>KPS-10-05</v>
      </c>
    </row>
    <row r="66" spans="1:17" x14ac:dyDescent="0.35">
      <c r="A66" s="52" t="s">
        <v>6063</v>
      </c>
      <c r="C66" s="52" t="str">
        <f>"""TRUST Nav"",""HSPMTB2016"",""17"",""1"",""3627"""</f>
        <v>"TRUST Nav","HSPMTB2016","17","1","3627"</v>
      </c>
      <c r="D66" s="52" t="str">
        <f t="shared" si="16"/>
        <v>Customer</v>
      </c>
      <c r="I66" s="52" t="str">
        <f t="shared" si="2"/>
        <v>KK-04607|42309</v>
      </c>
      <c r="J66" s="82">
        <v>42368</v>
      </c>
      <c r="K66" s="52" t="str">
        <f t="shared" si="3"/>
        <v>Customer</v>
      </c>
      <c r="L66" s="52" t="str">
        <f t="shared" si="21"/>
        <v>KK-04607</v>
      </c>
      <c r="M66" s="52" t="s">
        <v>20989</v>
      </c>
      <c r="N66" s="2">
        <v>75000</v>
      </c>
      <c r="O66" s="82">
        <v>42309</v>
      </c>
      <c r="P66" s="52" t="str">
        <f t="shared" si="22"/>
        <v>SY - Hendro Hartono</v>
      </c>
      <c r="Q66" s="52" t="str">
        <f t="shared" si="0"/>
        <v>KPS-10-05</v>
      </c>
    </row>
    <row r="67" spans="1:17" x14ac:dyDescent="0.35">
      <c r="A67" s="52" t="s">
        <v>6063</v>
      </c>
      <c r="C67" s="52" t="str">
        <f>"""TRUST Nav"",""HSPMTB2016"",""17"",""1"",""3628"""</f>
        <v>"TRUST Nav","HSPMTB2016","17","1","3628"</v>
      </c>
      <c r="D67" s="52" t="str">
        <f t="shared" si="16"/>
        <v>Customer</v>
      </c>
      <c r="I67" s="52" t="str">
        <f t="shared" si="2"/>
        <v>KK-04607|42339</v>
      </c>
      <c r="J67" s="82">
        <v>42368</v>
      </c>
      <c r="K67" s="52" t="str">
        <f t="shared" si="3"/>
        <v>Customer</v>
      </c>
      <c r="L67" s="52" t="str">
        <f t="shared" si="21"/>
        <v>KK-04607</v>
      </c>
      <c r="M67" s="52" t="s">
        <v>20989</v>
      </c>
      <c r="N67" s="2">
        <v>75000</v>
      </c>
      <c r="O67" s="82">
        <v>42339</v>
      </c>
      <c r="P67" s="52" t="str">
        <f t="shared" si="22"/>
        <v>SY - Hendro Hartono</v>
      </c>
      <c r="Q67" s="52" t="str">
        <f t="shared" si="0"/>
        <v>KPS-10-05</v>
      </c>
    </row>
    <row r="68" spans="1:17" x14ac:dyDescent="0.35">
      <c r="A68" s="52" t="s">
        <v>6063</v>
      </c>
      <c r="C68" s="52" t="str">
        <f>"""TRUST Nav"",""HSPMTB2016"",""17"",""1"",""3629"""</f>
        <v>"TRUST Nav","HSPMTB2016","17","1","3629"</v>
      </c>
      <c r="D68" s="52" t="str">
        <f t="shared" si="16"/>
        <v>Customer</v>
      </c>
      <c r="I68" s="52" t="str">
        <f t="shared" si="2"/>
        <v>KK-04608|42186</v>
      </c>
      <c r="J68" s="82">
        <v>42368</v>
      </c>
      <c r="K68" s="52" t="str">
        <f t="shared" si="3"/>
        <v>Customer</v>
      </c>
      <c r="L68" s="52" t="str">
        <f t="shared" ref="L68:L73" si="23">"KK-04608"</f>
        <v>KK-04608</v>
      </c>
      <c r="M68" s="52" t="s">
        <v>20990</v>
      </c>
      <c r="N68" s="2">
        <v>30000</v>
      </c>
      <c r="O68" s="82">
        <v>42186</v>
      </c>
      <c r="P68" s="52" t="str">
        <f t="shared" ref="P68:P73" si="24">"SY - Heru Prawono"</f>
        <v>SY - Heru Prawono</v>
      </c>
      <c r="Q68" s="52" t="str">
        <f t="shared" si="0"/>
        <v>KPS-10-05</v>
      </c>
    </row>
    <row r="69" spans="1:17" x14ac:dyDescent="0.35">
      <c r="A69" s="52" t="s">
        <v>6063</v>
      </c>
      <c r="C69" s="52" t="str">
        <f>"""TRUST Nav"",""HSPMTB2016"",""17"",""1"",""3630"""</f>
        <v>"TRUST Nav","HSPMTB2016","17","1","3630"</v>
      </c>
      <c r="D69" s="52" t="str">
        <f t="shared" si="16"/>
        <v>Customer</v>
      </c>
      <c r="I69" s="52" t="str">
        <f t="shared" si="2"/>
        <v>KK-04608|42217</v>
      </c>
      <c r="J69" s="82">
        <v>42368</v>
      </c>
      <c r="K69" s="52" t="str">
        <f t="shared" si="3"/>
        <v>Customer</v>
      </c>
      <c r="L69" s="52" t="str">
        <f t="shared" si="23"/>
        <v>KK-04608</v>
      </c>
      <c r="M69" s="52" t="s">
        <v>20990</v>
      </c>
      <c r="N69" s="2">
        <v>30000</v>
      </c>
      <c r="O69" s="82">
        <v>42217</v>
      </c>
      <c r="P69" s="52" t="str">
        <f t="shared" si="24"/>
        <v>SY - Heru Prawono</v>
      </c>
      <c r="Q69" s="52" t="str">
        <f t="shared" si="0"/>
        <v>KPS-10-05</v>
      </c>
    </row>
    <row r="70" spans="1:17" x14ac:dyDescent="0.35">
      <c r="A70" s="52" t="s">
        <v>6063</v>
      </c>
      <c r="C70" s="52" t="str">
        <f>"""TRUST Nav"",""HSPMTB2016"",""17"",""1"",""3631"""</f>
        <v>"TRUST Nav","HSPMTB2016","17","1","3631"</v>
      </c>
      <c r="D70" s="52" t="str">
        <f t="shared" si="16"/>
        <v>Customer</v>
      </c>
      <c r="I70" s="52" t="str">
        <f t="shared" si="2"/>
        <v>KK-04608|42248</v>
      </c>
      <c r="J70" s="82">
        <v>42368</v>
      </c>
      <c r="K70" s="52" t="str">
        <f t="shared" si="3"/>
        <v>Customer</v>
      </c>
      <c r="L70" s="52" t="str">
        <f t="shared" si="23"/>
        <v>KK-04608</v>
      </c>
      <c r="M70" s="52" t="s">
        <v>20990</v>
      </c>
      <c r="N70" s="2">
        <v>30000</v>
      </c>
      <c r="O70" s="82">
        <v>42248</v>
      </c>
      <c r="P70" s="52" t="str">
        <f t="shared" si="24"/>
        <v>SY - Heru Prawono</v>
      </c>
      <c r="Q70" s="52" t="str">
        <f t="shared" si="0"/>
        <v>KPS-10-05</v>
      </c>
    </row>
    <row r="71" spans="1:17" x14ac:dyDescent="0.35">
      <c r="A71" s="52" t="s">
        <v>6063</v>
      </c>
      <c r="C71" s="52" t="str">
        <f>"""TRUST Nav"",""HSPMTB2016"",""17"",""1"",""3632"""</f>
        <v>"TRUST Nav","HSPMTB2016","17","1","3632"</v>
      </c>
      <c r="D71" s="52" t="str">
        <f t="shared" si="16"/>
        <v>Customer</v>
      </c>
      <c r="I71" s="52" t="str">
        <f t="shared" si="2"/>
        <v>KK-04608|42278</v>
      </c>
      <c r="J71" s="82">
        <v>42368</v>
      </c>
      <c r="K71" s="52" t="str">
        <f t="shared" si="3"/>
        <v>Customer</v>
      </c>
      <c r="L71" s="52" t="str">
        <f t="shared" si="23"/>
        <v>KK-04608</v>
      </c>
      <c r="M71" s="52" t="s">
        <v>20990</v>
      </c>
      <c r="N71" s="2">
        <v>30000</v>
      </c>
      <c r="O71" s="82">
        <v>42278</v>
      </c>
      <c r="P71" s="52" t="str">
        <f t="shared" si="24"/>
        <v>SY - Heru Prawono</v>
      </c>
      <c r="Q71" s="52" t="str">
        <f t="shared" si="0"/>
        <v>KPS-10-05</v>
      </c>
    </row>
    <row r="72" spans="1:17" x14ac:dyDescent="0.35">
      <c r="A72" s="52" t="s">
        <v>6063</v>
      </c>
      <c r="C72" s="52" t="str">
        <f>"""TRUST Nav"",""HSPMTB2016"",""17"",""1"",""3633"""</f>
        <v>"TRUST Nav","HSPMTB2016","17","1","3633"</v>
      </c>
      <c r="D72" s="52" t="str">
        <f t="shared" si="16"/>
        <v>Customer</v>
      </c>
      <c r="I72" s="52" t="str">
        <f t="shared" si="2"/>
        <v>KK-04608|42309</v>
      </c>
      <c r="J72" s="82">
        <v>42368</v>
      </c>
      <c r="K72" s="52" t="str">
        <f t="shared" si="3"/>
        <v>Customer</v>
      </c>
      <c r="L72" s="52" t="str">
        <f t="shared" si="23"/>
        <v>KK-04608</v>
      </c>
      <c r="M72" s="52" t="s">
        <v>20990</v>
      </c>
      <c r="N72" s="2">
        <v>30000</v>
      </c>
      <c r="O72" s="82">
        <v>42309</v>
      </c>
      <c r="P72" s="52" t="str">
        <f t="shared" si="24"/>
        <v>SY - Heru Prawono</v>
      </c>
      <c r="Q72" s="52" t="str">
        <f t="shared" si="0"/>
        <v>KPS-10-05</v>
      </c>
    </row>
    <row r="73" spans="1:17" x14ac:dyDescent="0.35">
      <c r="A73" s="52" t="s">
        <v>6063</v>
      </c>
      <c r="C73" s="52" t="str">
        <f>"""TRUST Nav"",""HSPMTB2016"",""17"",""1"",""3634"""</f>
        <v>"TRUST Nav","HSPMTB2016","17","1","3634"</v>
      </c>
      <c r="D73" s="52" t="str">
        <f t="shared" si="16"/>
        <v>Customer</v>
      </c>
      <c r="I73" s="52" t="str">
        <f t="shared" si="2"/>
        <v>KK-04608|42339</v>
      </c>
      <c r="J73" s="82">
        <v>42368</v>
      </c>
      <c r="K73" s="52" t="str">
        <f t="shared" si="3"/>
        <v>Customer</v>
      </c>
      <c r="L73" s="52" t="str">
        <f t="shared" si="23"/>
        <v>KK-04608</v>
      </c>
      <c r="M73" s="52" t="s">
        <v>20990</v>
      </c>
      <c r="N73" s="2">
        <v>30000</v>
      </c>
      <c r="O73" s="82">
        <v>42339</v>
      </c>
      <c r="P73" s="52" t="str">
        <f t="shared" si="24"/>
        <v>SY - Heru Prawono</v>
      </c>
      <c r="Q73" s="52" t="str">
        <f t="shared" si="0"/>
        <v>KPS-10-05</v>
      </c>
    </row>
    <row r="74" spans="1:17" x14ac:dyDescent="0.35">
      <c r="A74" s="52" t="s">
        <v>6063</v>
      </c>
      <c r="C74" s="52" t="str">
        <f>"""TRUST Nav"",""HSPMTB2016"",""17"",""1"",""3635"""</f>
        <v>"TRUST Nav","HSPMTB2016","17","1","3635"</v>
      </c>
      <c r="D74" s="52" t="str">
        <f t="shared" si="16"/>
        <v>Customer</v>
      </c>
      <c r="I74" s="52" t="str">
        <f t="shared" si="2"/>
        <v>KK-04609|42186</v>
      </c>
      <c r="J74" s="82">
        <v>42368</v>
      </c>
      <c r="K74" s="52" t="str">
        <f t="shared" si="3"/>
        <v>Customer</v>
      </c>
      <c r="L74" s="52" t="str">
        <f t="shared" ref="L74:L79" si="25">"KK-04609"</f>
        <v>KK-04609</v>
      </c>
      <c r="M74" s="52" t="s">
        <v>20991</v>
      </c>
      <c r="N74" s="2">
        <v>25000.000000000004</v>
      </c>
      <c r="O74" s="82">
        <v>42186</v>
      </c>
      <c r="P74" s="52" t="str">
        <f t="shared" ref="P74:P79" si="26">"SY - Jofenwali"</f>
        <v>SY - Jofenwali</v>
      </c>
      <c r="Q74" s="52" t="str">
        <f t="shared" si="0"/>
        <v>KPS-10-05</v>
      </c>
    </row>
    <row r="75" spans="1:17" x14ac:dyDescent="0.35">
      <c r="A75" s="52" t="s">
        <v>6063</v>
      </c>
      <c r="C75" s="52" t="str">
        <f>"""TRUST Nav"",""HSPMTB2016"",""17"",""1"",""3636"""</f>
        <v>"TRUST Nav","HSPMTB2016","17","1","3636"</v>
      </c>
      <c r="D75" s="52" t="str">
        <f t="shared" si="16"/>
        <v>Customer</v>
      </c>
      <c r="I75" s="52" t="str">
        <f t="shared" si="2"/>
        <v>KK-04609|42217</v>
      </c>
      <c r="J75" s="82">
        <v>42368</v>
      </c>
      <c r="K75" s="52" t="str">
        <f t="shared" si="3"/>
        <v>Customer</v>
      </c>
      <c r="L75" s="52" t="str">
        <f t="shared" si="25"/>
        <v>KK-04609</v>
      </c>
      <c r="M75" s="52" t="s">
        <v>20991</v>
      </c>
      <c r="N75" s="2">
        <v>25000.000000000004</v>
      </c>
      <c r="O75" s="82">
        <v>42217</v>
      </c>
      <c r="P75" s="52" t="str">
        <f t="shared" si="26"/>
        <v>SY - Jofenwali</v>
      </c>
      <c r="Q75" s="52" t="str">
        <f t="shared" si="0"/>
        <v>KPS-10-05</v>
      </c>
    </row>
    <row r="76" spans="1:17" x14ac:dyDescent="0.35">
      <c r="A76" s="52" t="s">
        <v>6063</v>
      </c>
      <c r="C76" s="52" t="str">
        <f>"""TRUST Nav"",""HSPMTB2016"",""17"",""1"",""3637"""</f>
        <v>"TRUST Nav","HSPMTB2016","17","1","3637"</v>
      </c>
      <c r="D76" s="52" t="str">
        <f t="shared" si="16"/>
        <v>Customer</v>
      </c>
      <c r="I76" s="52" t="str">
        <f t="shared" si="2"/>
        <v>KK-04609|42248</v>
      </c>
      <c r="J76" s="82">
        <v>42368</v>
      </c>
      <c r="K76" s="52" t="str">
        <f t="shared" si="3"/>
        <v>Customer</v>
      </c>
      <c r="L76" s="52" t="str">
        <f t="shared" si="25"/>
        <v>KK-04609</v>
      </c>
      <c r="M76" s="52" t="s">
        <v>20991</v>
      </c>
      <c r="N76" s="2">
        <v>25000.000000000004</v>
      </c>
      <c r="O76" s="82">
        <v>42248</v>
      </c>
      <c r="P76" s="52" t="str">
        <f t="shared" si="26"/>
        <v>SY - Jofenwali</v>
      </c>
      <c r="Q76" s="52" t="str">
        <f t="shared" si="0"/>
        <v>KPS-10-05</v>
      </c>
    </row>
    <row r="77" spans="1:17" x14ac:dyDescent="0.35">
      <c r="A77" s="52" t="s">
        <v>6063</v>
      </c>
      <c r="C77" s="52" t="str">
        <f>"""TRUST Nav"",""HSPMTB2016"",""17"",""1"",""3638"""</f>
        <v>"TRUST Nav","HSPMTB2016","17","1","3638"</v>
      </c>
      <c r="D77" s="52" t="str">
        <f t="shared" si="16"/>
        <v>Customer</v>
      </c>
      <c r="I77" s="52" t="str">
        <f t="shared" si="2"/>
        <v>KK-04609|42278</v>
      </c>
      <c r="J77" s="82">
        <v>42368</v>
      </c>
      <c r="K77" s="52" t="str">
        <f t="shared" si="3"/>
        <v>Customer</v>
      </c>
      <c r="L77" s="52" t="str">
        <f t="shared" si="25"/>
        <v>KK-04609</v>
      </c>
      <c r="M77" s="52" t="s">
        <v>20991</v>
      </c>
      <c r="N77" s="2">
        <v>25000.000000000004</v>
      </c>
      <c r="O77" s="82">
        <v>42278</v>
      </c>
      <c r="P77" s="52" t="str">
        <f t="shared" si="26"/>
        <v>SY - Jofenwali</v>
      </c>
      <c r="Q77" s="52" t="str">
        <f t="shared" ref="Q77:Q140" si="27">"KPS-10-05"</f>
        <v>KPS-10-05</v>
      </c>
    </row>
    <row r="78" spans="1:17" x14ac:dyDescent="0.35">
      <c r="A78" s="52" t="s">
        <v>6063</v>
      </c>
      <c r="C78" s="52" t="str">
        <f>"""TRUST Nav"",""HSPMTB2016"",""17"",""1"",""3639"""</f>
        <v>"TRUST Nav","HSPMTB2016","17","1","3639"</v>
      </c>
      <c r="D78" s="52" t="str">
        <f t="shared" ref="D78:D109" si="28">"Customer"</f>
        <v>Customer</v>
      </c>
      <c r="I78" s="52" t="str">
        <f t="shared" ref="I78:I141" si="29">CONCATENATE(L78,"|",O78)</f>
        <v>KK-04609|42309</v>
      </c>
      <c r="J78" s="82">
        <v>42368</v>
      </c>
      <c r="K78" s="52" t="str">
        <f t="shared" ref="K78:K141" si="30">IF($D78="Customer",$D78,"G/L")</f>
        <v>Customer</v>
      </c>
      <c r="L78" s="52" t="str">
        <f t="shared" si="25"/>
        <v>KK-04609</v>
      </c>
      <c r="M78" s="52" t="s">
        <v>20991</v>
      </c>
      <c r="N78" s="2">
        <v>25000.000000000004</v>
      </c>
      <c r="O78" s="82">
        <v>42309</v>
      </c>
      <c r="P78" s="52" t="str">
        <f t="shared" si="26"/>
        <v>SY - Jofenwali</v>
      </c>
      <c r="Q78" s="52" t="str">
        <f t="shared" si="27"/>
        <v>KPS-10-05</v>
      </c>
    </row>
    <row r="79" spans="1:17" x14ac:dyDescent="0.35">
      <c r="A79" s="52" t="s">
        <v>6063</v>
      </c>
      <c r="C79" s="52" t="str">
        <f>"""TRUST Nav"",""HSPMTB2016"",""17"",""1"",""3640"""</f>
        <v>"TRUST Nav","HSPMTB2016","17","1","3640"</v>
      </c>
      <c r="D79" s="52" t="str">
        <f t="shared" si="28"/>
        <v>Customer</v>
      </c>
      <c r="I79" s="52" t="str">
        <f t="shared" si="29"/>
        <v>KK-04609|42339</v>
      </c>
      <c r="J79" s="82">
        <v>42368</v>
      </c>
      <c r="K79" s="52" t="str">
        <f t="shared" si="30"/>
        <v>Customer</v>
      </c>
      <c r="L79" s="52" t="str">
        <f t="shared" si="25"/>
        <v>KK-04609</v>
      </c>
      <c r="M79" s="52" t="s">
        <v>20991</v>
      </c>
      <c r="N79" s="2">
        <v>25000.000000000004</v>
      </c>
      <c r="O79" s="82">
        <v>42339</v>
      </c>
      <c r="P79" s="52" t="str">
        <f t="shared" si="26"/>
        <v>SY - Jofenwali</v>
      </c>
      <c r="Q79" s="52" t="str">
        <f t="shared" si="27"/>
        <v>KPS-10-05</v>
      </c>
    </row>
    <row r="80" spans="1:17" x14ac:dyDescent="0.35">
      <c r="A80" s="52" t="s">
        <v>6063</v>
      </c>
      <c r="C80" s="52" t="str">
        <f>"""TRUST Nav"",""HSPMTB2016"",""17"",""1"",""3641"""</f>
        <v>"TRUST Nav","HSPMTB2016","17","1","3641"</v>
      </c>
      <c r="D80" s="52" t="str">
        <f t="shared" si="28"/>
        <v>Customer</v>
      </c>
      <c r="I80" s="52" t="str">
        <f t="shared" si="29"/>
        <v>KK-04611|42186</v>
      </c>
      <c r="J80" s="82">
        <v>42368</v>
      </c>
      <c r="K80" s="52" t="str">
        <f t="shared" si="30"/>
        <v>Customer</v>
      </c>
      <c r="L80" s="52" t="str">
        <f t="shared" ref="L80:L85" si="31">"KK-04611"</f>
        <v>KK-04611</v>
      </c>
      <c r="M80" s="52" t="s">
        <v>20992</v>
      </c>
      <c r="N80" s="2">
        <v>10000</v>
      </c>
      <c r="O80" s="82">
        <v>42186</v>
      </c>
      <c r="P80" s="52" t="str">
        <f t="shared" ref="P80:P85" si="32">"SY - Leonardus Tjhin Tje Ming"</f>
        <v>SY - Leonardus Tjhin Tje Ming</v>
      </c>
      <c r="Q80" s="52" t="str">
        <f t="shared" si="27"/>
        <v>KPS-10-05</v>
      </c>
    </row>
    <row r="81" spans="1:17" x14ac:dyDescent="0.35">
      <c r="A81" s="52" t="s">
        <v>6063</v>
      </c>
      <c r="C81" s="52" t="str">
        <f>"""TRUST Nav"",""HSPMTB2016"",""17"",""1"",""3642"""</f>
        <v>"TRUST Nav","HSPMTB2016","17","1","3642"</v>
      </c>
      <c r="D81" s="52" t="str">
        <f t="shared" si="28"/>
        <v>Customer</v>
      </c>
      <c r="I81" s="52" t="str">
        <f t="shared" si="29"/>
        <v>KK-04611|42217</v>
      </c>
      <c r="J81" s="82">
        <v>42368</v>
      </c>
      <c r="K81" s="52" t="str">
        <f t="shared" si="30"/>
        <v>Customer</v>
      </c>
      <c r="L81" s="52" t="str">
        <f t="shared" si="31"/>
        <v>KK-04611</v>
      </c>
      <c r="M81" s="52" t="s">
        <v>20992</v>
      </c>
      <c r="N81" s="2">
        <v>10000</v>
      </c>
      <c r="O81" s="82">
        <v>42217</v>
      </c>
      <c r="P81" s="52" t="str">
        <f t="shared" si="32"/>
        <v>SY - Leonardus Tjhin Tje Ming</v>
      </c>
      <c r="Q81" s="52" t="str">
        <f t="shared" si="27"/>
        <v>KPS-10-05</v>
      </c>
    </row>
    <row r="82" spans="1:17" x14ac:dyDescent="0.35">
      <c r="A82" s="52" t="s">
        <v>6063</v>
      </c>
      <c r="C82" s="52" t="str">
        <f>"""TRUST Nav"",""HSPMTB2016"",""17"",""1"",""3643"""</f>
        <v>"TRUST Nav","HSPMTB2016","17","1","3643"</v>
      </c>
      <c r="D82" s="52" t="str">
        <f t="shared" si="28"/>
        <v>Customer</v>
      </c>
      <c r="I82" s="52" t="str">
        <f t="shared" si="29"/>
        <v>KK-04611|42248</v>
      </c>
      <c r="J82" s="82">
        <v>42368</v>
      </c>
      <c r="K82" s="52" t="str">
        <f t="shared" si="30"/>
        <v>Customer</v>
      </c>
      <c r="L82" s="52" t="str">
        <f t="shared" si="31"/>
        <v>KK-04611</v>
      </c>
      <c r="M82" s="52" t="s">
        <v>20992</v>
      </c>
      <c r="N82" s="2">
        <v>10000</v>
      </c>
      <c r="O82" s="82">
        <v>42248</v>
      </c>
      <c r="P82" s="52" t="str">
        <f t="shared" si="32"/>
        <v>SY - Leonardus Tjhin Tje Ming</v>
      </c>
      <c r="Q82" s="52" t="str">
        <f t="shared" si="27"/>
        <v>KPS-10-05</v>
      </c>
    </row>
    <row r="83" spans="1:17" x14ac:dyDescent="0.35">
      <c r="A83" s="52" t="s">
        <v>6063</v>
      </c>
      <c r="C83" s="52" t="str">
        <f>"""TRUST Nav"",""HSPMTB2016"",""17"",""1"",""3644"""</f>
        <v>"TRUST Nav","HSPMTB2016","17","1","3644"</v>
      </c>
      <c r="D83" s="52" t="str">
        <f t="shared" si="28"/>
        <v>Customer</v>
      </c>
      <c r="I83" s="52" t="str">
        <f t="shared" si="29"/>
        <v>KK-04611|42278</v>
      </c>
      <c r="J83" s="82">
        <v>42368</v>
      </c>
      <c r="K83" s="52" t="str">
        <f t="shared" si="30"/>
        <v>Customer</v>
      </c>
      <c r="L83" s="52" t="str">
        <f t="shared" si="31"/>
        <v>KK-04611</v>
      </c>
      <c r="M83" s="52" t="s">
        <v>20992</v>
      </c>
      <c r="N83" s="2">
        <v>10000</v>
      </c>
      <c r="O83" s="82">
        <v>42278</v>
      </c>
      <c r="P83" s="52" t="str">
        <f t="shared" si="32"/>
        <v>SY - Leonardus Tjhin Tje Ming</v>
      </c>
      <c r="Q83" s="52" t="str">
        <f t="shared" si="27"/>
        <v>KPS-10-05</v>
      </c>
    </row>
    <row r="84" spans="1:17" x14ac:dyDescent="0.35">
      <c r="A84" s="52" t="s">
        <v>6063</v>
      </c>
      <c r="C84" s="52" t="str">
        <f>"""TRUST Nav"",""HSPMTB2016"",""17"",""1"",""3645"""</f>
        <v>"TRUST Nav","HSPMTB2016","17","1","3645"</v>
      </c>
      <c r="D84" s="52" t="str">
        <f t="shared" si="28"/>
        <v>Customer</v>
      </c>
      <c r="I84" s="52" t="str">
        <f t="shared" si="29"/>
        <v>KK-04611|42309</v>
      </c>
      <c r="J84" s="82">
        <v>42368</v>
      </c>
      <c r="K84" s="52" t="str">
        <f t="shared" si="30"/>
        <v>Customer</v>
      </c>
      <c r="L84" s="52" t="str">
        <f t="shared" si="31"/>
        <v>KK-04611</v>
      </c>
      <c r="M84" s="52" t="s">
        <v>20992</v>
      </c>
      <c r="N84" s="2">
        <v>10000</v>
      </c>
      <c r="O84" s="82">
        <v>42309</v>
      </c>
      <c r="P84" s="52" t="str">
        <f t="shared" si="32"/>
        <v>SY - Leonardus Tjhin Tje Ming</v>
      </c>
      <c r="Q84" s="52" t="str">
        <f t="shared" si="27"/>
        <v>KPS-10-05</v>
      </c>
    </row>
    <row r="85" spans="1:17" x14ac:dyDescent="0.35">
      <c r="A85" s="52" t="s">
        <v>6063</v>
      </c>
      <c r="C85" s="52" t="str">
        <f>"""TRUST Nav"",""HSPMTB2016"",""17"",""1"",""3646"""</f>
        <v>"TRUST Nav","HSPMTB2016","17","1","3646"</v>
      </c>
      <c r="D85" s="52" t="str">
        <f t="shared" si="28"/>
        <v>Customer</v>
      </c>
      <c r="I85" s="52" t="str">
        <f t="shared" si="29"/>
        <v>KK-04611|42339</v>
      </c>
      <c r="J85" s="82">
        <v>42368</v>
      </c>
      <c r="K85" s="52" t="str">
        <f t="shared" si="30"/>
        <v>Customer</v>
      </c>
      <c r="L85" s="52" t="str">
        <f t="shared" si="31"/>
        <v>KK-04611</v>
      </c>
      <c r="M85" s="52" t="s">
        <v>20992</v>
      </c>
      <c r="N85" s="2">
        <v>10000</v>
      </c>
      <c r="O85" s="82">
        <v>42339</v>
      </c>
      <c r="P85" s="52" t="str">
        <f t="shared" si="32"/>
        <v>SY - Leonardus Tjhin Tje Ming</v>
      </c>
      <c r="Q85" s="52" t="str">
        <f t="shared" si="27"/>
        <v>KPS-10-05</v>
      </c>
    </row>
    <row r="86" spans="1:17" x14ac:dyDescent="0.35">
      <c r="A86" s="52" t="s">
        <v>6063</v>
      </c>
      <c r="C86" s="52" t="str">
        <f>"""TRUST Nav"",""HSPMTB2016"",""17"",""1"",""3647"""</f>
        <v>"TRUST Nav","HSPMTB2016","17","1","3647"</v>
      </c>
      <c r="D86" s="52" t="str">
        <f t="shared" si="28"/>
        <v>Customer</v>
      </c>
      <c r="I86" s="52" t="str">
        <f t="shared" si="29"/>
        <v>KK-04612|42186</v>
      </c>
      <c r="J86" s="82">
        <v>42368</v>
      </c>
      <c r="K86" s="52" t="str">
        <f t="shared" si="30"/>
        <v>Customer</v>
      </c>
      <c r="L86" s="52" t="str">
        <f t="shared" ref="L86:L91" si="33">"KK-04612"</f>
        <v>KK-04612</v>
      </c>
      <c r="M86" s="52" t="s">
        <v>20993</v>
      </c>
      <c r="N86" s="2">
        <v>5000</v>
      </c>
      <c r="O86" s="82">
        <v>42186</v>
      </c>
      <c r="P86" s="52" t="str">
        <f t="shared" ref="P86:P91" si="34">"SY - Lie Bui Tjung"</f>
        <v>SY - Lie Bui Tjung</v>
      </c>
      <c r="Q86" s="52" t="str">
        <f t="shared" si="27"/>
        <v>KPS-10-05</v>
      </c>
    </row>
    <row r="87" spans="1:17" x14ac:dyDescent="0.35">
      <c r="A87" s="52" t="s">
        <v>6063</v>
      </c>
      <c r="C87" s="52" t="str">
        <f>"""TRUST Nav"",""HSPMTB2016"",""17"",""1"",""3648"""</f>
        <v>"TRUST Nav","HSPMTB2016","17","1","3648"</v>
      </c>
      <c r="D87" s="52" t="str">
        <f t="shared" si="28"/>
        <v>Customer</v>
      </c>
      <c r="I87" s="52" t="str">
        <f t="shared" si="29"/>
        <v>KK-04612|42217</v>
      </c>
      <c r="J87" s="82">
        <v>42368</v>
      </c>
      <c r="K87" s="52" t="str">
        <f t="shared" si="30"/>
        <v>Customer</v>
      </c>
      <c r="L87" s="52" t="str">
        <f t="shared" si="33"/>
        <v>KK-04612</v>
      </c>
      <c r="M87" s="52" t="s">
        <v>20993</v>
      </c>
      <c r="N87" s="2">
        <v>5000</v>
      </c>
      <c r="O87" s="82">
        <v>42217</v>
      </c>
      <c r="P87" s="52" t="str">
        <f t="shared" si="34"/>
        <v>SY - Lie Bui Tjung</v>
      </c>
      <c r="Q87" s="52" t="str">
        <f t="shared" si="27"/>
        <v>KPS-10-05</v>
      </c>
    </row>
    <row r="88" spans="1:17" x14ac:dyDescent="0.35">
      <c r="A88" s="52" t="s">
        <v>6063</v>
      </c>
      <c r="C88" s="52" t="str">
        <f>"""TRUST Nav"",""HSPMTB2016"",""17"",""1"",""3649"""</f>
        <v>"TRUST Nav","HSPMTB2016","17","1","3649"</v>
      </c>
      <c r="D88" s="52" t="str">
        <f t="shared" si="28"/>
        <v>Customer</v>
      </c>
      <c r="I88" s="52" t="str">
        <f t="shared" si="29"/>
        <v>KK-04612|42248</v>
      </c>
      <c r="J88" s="82">
        <v>42368</v>
      </c>
      <c r="K88" s="52" t="str">
        <f t="shared" si="30"/>
        <v>Customer</v>
      </c>
      <c r="L88" s="52" t="str">
        <f t="shared" si="33"/>
        <v>KK-04612</v>
      </c>
      <c r="M88" s="52" t="s">
        <v>20993</v>
      </c>
      <c r="N88" s="2">
        <v>5000</v>
      </c>
      <c r="O88" s="82">
        <v>42248</v>
      </c>
      <c r="P88" s="52" t="str">
        <f t="shared" si="34"/>
        <v>SY - Lie Bui Tjung</v>
      </c>
      <c r="Q88" s="52" t="str">
        <f t="shared" si="27"/>
        <v>KPS-10-05</v>
      </c>
    </row>
    <row r="89" spans="1:17" x14ac:dyDescent="0.35">
      <c r="A89" s="52" t="s">
        <v>6063</v>
      </c>
      <c r="C89" s="52" t="str">
        <f>"""TRUST Nav"",""HSPMTB2016"",""17"",""1"",""3650"""</f>
        <v>"TRUST Nav","HSPMTB2016","17","1","3650"</v>
      </c>
      <c r="D89" s="52" t="str">
        <f t="shared" si="28"/>
        <v>Customer</v>
      </c>
      <c r="I89" s="52" t="str">
        <f t="shared" si="29"/>
        <v>KK-04612|42278</v>
      </c>
      <c r="J89" s="82">
        <v>42368</v>
      </c>
      <c r="K89" s="52" t="str">
        <f t="shared" si="30"/>
        <v>Customer</v>
      </c>
      <c r="L89" s="52" t="str">
        <f t="shared" si="33"/>
        <v>KK-04612</v>
      </c>
      <c r="M89" s="52" t="s">
        <v>20993</v>
      </c>
      <c r="N89" s="2">
        <v>5000</v>
      </c>
      <c r="O89" s="82">
        <v>42278</v>
      </c>
      <c r="P89" s="52" t="str">
        <f t="shared" si="34"/>
        <v>SY - Lie Bui Tjung</v>
      </c>
      <c r="Q89" s="52" t="str">
        <f t="shared" si="27"/>
        <v>KPS-10-05</v>
      </c>
    </row>
    <row r="90" spans="1:17" x14ac:dyDescent="0.35">
      <c r="A90" s="52" t="s">
        <v>6063</v>
      </c>
      <c r="C90" s="52" t="str">
        <f>"""TRUST Nav"",""HSPMTB2016"",""17"",""1"",""3651"""</f>
        <v>"TRUST Nav","HSPMTB2016","17","1","3651"</v>
      </c>
      <c r="D90" s="52" t="str">
        <f t="shared" si="28"/>
        <v>Customer</v>
      </c>
      <c r="I90" s="52" t="str">
        <f t="shared" si="29"/>
        <v>KK-04612|42309</v>
      </c>
      <c r="J90" s="82">
        <v>42368</v>
      </c>
      <c r="K90" s="52" t="str">
        <f t="shared" si="30"/>
        <v>Customer</v>
      </c>
      <c r="L90" s="52" t="str">
        <f t="shared" si="33"/>
        <v>KK-04612</v>
      </c>
      <c r="M90" s="52" t="s">
        <v>20993</v>
      </c>
      <c r="N90" s="2">
        <v>5000</v>
      </c>
      <c r="O90" s="82">
        <v>42309</v>
      </c>
      <c r="P90" s="52" t="str">
        <f t="shared" si="34"/>
        <v>SY - Lie Bui Tjung</v>
      </c>
      <c r="Q90" s="52" t="str">
        <f t="shared" si="27"/>
        <v>KPS-10-05</v>
      </c>
    </row>
    <row r="91" spans="1:17" x14ac:dyDescent="0.35">
      <c r="A91" s="52" t="s">
        <v>6063</v>
      </c>
      <c r="C91" s="52" t="str">
        <f>"""TRUST Nav"",""HSPMTB2016"",""17"",""1"",""3652"""</f>
        <v>"TRUST Nav","HSPMTB2016","17","1","3652"</v>
      </c>
      <c r="D91" s="52" t="str">
        <f t="shared" si="28"/>
        <v>Customer</v>
      </c>
      <c r="I91" s="52" t="str">
        <f t="shared" si="29"/>
        <v>KK-04612|42339</v>
      </c>
      <c r="J91" s="82">
        <v>42368</v>
      </c>
      <c r="K91" s="52" t="str">
        <f t="shared" si="30"/>
        <v>Customer</v>
      </c>
      <c r="L91" s="52" t="str">
        <f t="shared" si="33"/>
        <v>KK-04612</v>
      </c>
      <c r="M91" s="52" t="s">
        <v>20993</v>
      </c>
      <c r="N91" s="2">
        <v>5000</v>
      </c>
      <c r="O91" s="82">
        <v>42339</v>
      </c>
      <c r="P91" s="52" t="str">
        <f t="shared" si="34"/>
        <v>SY - Lie Bui Tjung</v>
      </c>
      <c r="Q91" s="52" t="str">
        <f t="shared" si="27"/>
        <v>KPS-10-05</v>
      </c>
    </row>
    <row r="92" spans="1:17" x14ac:dyDescent="0.35">
      <c r="A92" s="52" t="s">
        <v>6063</v>
      </c>
      <c r="C92" s="52" t="str">
        <f>"""TRUST Nav"",""HSPMTB2016"",""17"",""1"",""3653"""</f>
        <v>"TRUST Nav","HSPMTB2016","17","1","3653"</v>
      </c>
      <c r="D92" s="52" t="str">
        <f t="shared" si="28"/>
        <v>Customer</v>
      </c>
      <c r="I92" s="52" t="str">
        <f t="shared" si="29"/>
        <v>KK-04613|42186</v>
      </c>
      <c r="J92" s="82">
        <v>42368</v>
      </c>
      <c r="K92" s="52" t="str">
        <f t="shared" si="30"/>
        <v>Customer</v>
      </c>
      <c r="L92" s="52" t="str">
        <f t="shared" ref="L92:L97" si="35">"KK-04613"</f>
        <v>KK-04613</v>
      </c>
      <c r="M92" s="52" t="s">
        <v>20994</v>
      </c>
      <c r="N92" s="2">
        <v>20000</v>
      </c>
      <c r="O92" s="82">
        <v>42186</v>
      </c>
      <c r="P92" s="52" t="str">
        <f t="shared" ref="P92:P97" si="36">"SY - Lucia Septiana.P"</f>
        <v>SY - Lucia Septiana.P</v>
      </c>
      <c r="Q92" s="52" t="str">
        <f t="shared" si="27"/>
        <v>KPS-10-05</v>
      </c>
    </row>
    <row r="93" spans="1:17" x14ac:dyDescent="0.35">
      <c r="A93" s="52" t="s">
        <v>6063</v>
      </c>
      <c r="C93" s="52" t="str">
        <f>"""TRUST Nav"",""HSPMTB2016"",""17"",""1"",""3654"""</f>
        <v>"TRUST Nav","HSPMTB2016","17","1","3654"</v>
      </c>
      <c r="D93" s="52" t="str">
        <f t="shared" si="28"/>
        <v>Customer</v>
      </c>
      <c r="I93" s="52" t="str">
        <f t="shared" si="29"/>
        <v>KK-04613|42217</v>
      </c>
      <c r="J93" s="82">
        <v>42368</v>
      </c>
      <c r="K93" s="52" t="str">
        <f t="shared" si="30"/>
        <v>Customer</v>
      </c>
      <c r="L93" s="52" t="str">
        <f t="shared" si="35"/>
        <v>KK-04613</v>
      </c>
      <c r="M93" s="52" t="s">
        <v>20994</v>
      </c>
      <c r="N93" s="2">
        <v>20000</v>
      </c>
      <c r="O93" s="82">
        <v>42217</v>
      </c>
      <c r="P93" s="52" t="str">
        <f t="shared" si="36"/>
        <v>SY - Lucia Septiana.P</v>
      </c>
      <c r="Q93" s="52" t="str">
        <f t="shared" si="27"/>
        <v>KPS-10-05</v>
      </c>
    </row>
    <row r="94" spans="1:17" x14ac:dyDescent="0.35">
      <c r="A94" s="52" t="s">
        <v>6063</v>
      </c>
      <c r="C94" s="52" t="str">
        <f>"""TRUST Nav"",""HSPMTB2016"",""17"",""1"",""3655"""</f>
        <v>"TRUST Nav","HSPMTB2016","17","1","3655"</v>
      </c>
      <c r="D94" s="52" t="str">
        <f t="shared" si="28"/>
        <v>Customer</v>
      </c>
      <c r="I94" s="52" t="str">
        <f t="shared" si="29"/>
        <v>KK-04613|42248</v>
      </c>
      <c r="J94" s="82">
        <v>42368</v>
      </c>
      <c r="K94" s="52" t="str">
        <f t="shared" si="30"/>
        <v>Customer</v>
      </c>
      <c r="L94" s="52" t="str">
        <f t="shared" si="35"/>
        <v>KK-04613</v>
      </c>
      <c r="M94" s="52" t="s">
        <v>20994</v>
      </c>
      <c r="N94" s="2">
        <v>20000</v>
      </c>
      <c r="O94" s="82">
        <v>42248</v>
      </c>
      <c r="P94" s="52" t="str">
        <f t="shared" si="36"/>
        <v>SY - Lucia Septiana.P</v>
      </c>
      <c r="Q94" s="52" t="str">
        <f t="shared" si="27"/>
        <v>KPS-10-05</v>
      </c>
    </row>
    <row r="95" spans="1:17" x14ac:dyDescent="0.35">
      <c r="A95" s="52" t="s">
        <v>6063</v>
      </c>
      <c r="C95" s="52" t="str">
        <f>"""TRUST Nav"",""HSPMTB2016"",""17"",""1"",""3656"""</f>
        <v>"TRUST Nav","HSPMTB2016","17","1","3656"</v>
      </c>
      <c r="D95" s="52" t="str">
        <f t="shared" si="28"/>
        <v>Customer</v>
      </c>
      <c r="I95" s="52" t="str">
        <f t="shared" si="29"/>
        <v>KK-04613|42278</v>
      </c>
      <c r="J95" s="82">
        <v>42368</v>
      </c>
      <c r="K95" s="52" t="str">
        <f t="shared" si="30"/>
        <v>Customer</v>
      </c>
      <c r="L95" s="52" t="str">
        <f t="shared" si="35"/>
        <v>KK-04613</v>
      </c>
      <c r="M95" s="52" t="s">
        <v>20994</v>
      </c>
      <c r="N95" s="2">
        <v>20000</v>
      </c>
      <c r="O95" s="82">
        <v>42278</v>
      </c>
      <c r="P95" s="52" t="str">
        <f t="shared" si="36"/>
        <v>SY - Lucia Septiana.P</v>
      </c>
      <c r="Q95" s="52" t="str">
        <f t="shared" si="27"/>
        <v>KPS-10-05</v>
      </c>
    </row>
    <row r="96" spans="1:17" x14ac:dyDescent="0.35">
      <c r="A96" s="52" t="s">
        <v>6063</v>
      </c>
      <c r="C96" s="52" t="str">
        <f>"""TRUST Nav"",""HSPMTB2016"",""17"",""1"",""3657"""</f>
        <v>"TRUST Nav","HSPMTB2016","17","1","3657"</v>
      </c>
      <c r="D96" s="52" t="str">
        <f t="shared" si="28"/>
        <v>Customer</v>
      </c>
      <c r="I96" s="52" t="str">
        <f t="shared" si="29"/>
        <v>KK-04613|42309</v>
      </c>
      <c r="J96" s="82">
        <v>42368</v>
      </c>
      <c r="K96" s="52" t="str">
        <f t="shared" si="30"/>
        <v>Customer</v>
      </c>
      <c r="L96" s="52" t="str">
        <f t="shared" si="35"/>
        <v>KK-04613</v>
      </c>
      <c r="M96" s="52" t="s">
        <v>20994</v>
      </c>
      <c r="N96" s="2">
        <v>20000</v>
      </c>
      <c r="O96" s="82">
        <v>42309</v>
      </c>
      <c r="P96" s="52" t="str">
        <f t="shared" si="36"/>
        <v>SY - Lucia Septiana.P</v>
      </c>
      <c r="Q96" s="52" t="str">
        <f t="shared" si="27"/>
        <v>KPS-10-05</v>
      </c>
    </row>
    <row r="97" spans="1:17" x14ac:dyDescent="0.35">
      <c r="A97" s="52" t="s">
        <v>6063</v>
      </c>
      <c r="C97" s="52" t="str">
        <f>"""TRUST Nav"",""HSPMTB2016"",""17"",""1"",""3658"""</f>
        <v>"TRUST Nav","HSPMTB2016","17","1","3658"</v>
      </c>
      <c r="D97" s="52" t="str">
        <f t="shared" si="28"/>
        <v>Customer</v>
      </c>
      <c r="I97" s="52" t="str">
        <f t="shared" si="29"/>
        <v>KK-04613|42339</v>
      </c>
      <c r="J97" s="82">
        <v>42368</v>
      </c>
      <c r="K97" s="52" t="str">
        <f t="shared" si="30"/>
        <v>Customer</v>
      </c>
      <c r="L97" s="52" t="str">
        <f t="shared" si="35"/>
        <v>KK-04613</v>
      </c>
      <c r="M97" s="52" t="s">
        <v>20994</v>
      </c>
      <c r="N97" s="2">
        <v>20000</v>
      </c>
      <c r="O97" s="82">
        <v>42339</v>
      </c>
      <c r="P97" s="52" t="str">
        <f t="shared" si="36"/>
        <v>SY - Lucia Septiana.P</v>
      </c>
      <c r="Q97" s="52" t="str">
        <f t="shared" si="27"/>
        <v>KPS-10-05</v>
      </c>
    </row>
    <row r="98" spans="1:17" x14ac:dyDescent="0.35">
      <c r="A98" s="52" t="s">
        <v>6063</v>
      </c>
      <c r="C98" s="52" t="str">
        <f>"""TRUST Nav"",""HSPMTB2016"",""17"",""1"",""3659"""</f>
        <v>"TRUST Nav","HSPMTB2016","17","1","3659"</v>
      </c>
      <c r="D98" s="52" t="str">
        <f t="shared" si="28"/>
        <v>Customer</v>
      </c>
      <c r="I98" s="52" t="str">
        <f t="shared" si="29"/>
        <v>KK-04616|42186</v>
      </c>
      <c r="J98" s="82">
        <v>42368</v>
      </c>
      <c r="K98" s="52" t="str">
        <f t="shared" si="30"/>
        <v>Customer</v>
      </c>
      <c r="L98" s="52" t="str">
        <f t="shared" ref="L98:L103" si="37">"KK-04616"</f>
        <v>KK-04616</v>
      </c>
      <c r="M98" s="52" t="s">
        <v>20995</v>
      </c>
      <c r="N98" s="2">
        <v>50000.000000000007</v>
      </c>
      <c r="O98" s="82">
        <v>42186</v>
      </c>
      <c r="P98" s="52" t="str">
        <f t="shared" ref="P98:P103" si="38">"SY - Purnama Tanuseputra"</f>
        <v>SY - Purnama Tanuseputra</v>
      </c>
      <c r="Q98" s="52" t="str">
        <f t="shared" si="27"/>
        <v>KPS-10-05</v>
      </c>
    </row>
    <row r="99" spans="1:17" x14ac:dyDescent="0.35">
      <c r="A99" s="52" t="s">
        <v>6063</v>
      </c>
      <c r="C99" s="52" t="str">
        <f>"""TRUST Nav"",""HSPMTB2016"",""17"",""1"",""3660"""</f>
        <v>"TRUST Nav","HSPMTB2016","17","1","3660"</v>
      </c>
      <c r="D99" s="52" t="str">
        <f t="shared" si="28"/>
        <v>Customer</v>
      </c>
      <c r="I99" s="52" t="str">
        <f t="shared" si="29"/>
        <v>KK-04616|42217</v>
      </c>
      <c r="J99" s="82">
        <v>42368</v>
      </c>
      <c r="K99" s="52" t="str">
        <f t="shared" si="30"/>
        <v>Customer</v>
      </c>
      <c r="L99" s="52" t="str">
        <f t="shared" si="37"/>
        <v>KK-04616</v>
      </c>
      <c r="M99" s="52" t="s">
        <v>20995</v>
      </c>
      <c r="N99" s="2">
        <v>50000.000000000007</v>
      </c>
      <c r="O99" s="82">
        <v>42217</v>
      </c>
      <c r="P99" s="52" t="str">
        <f t="shared" si="38"/>
        <v>SY - Purnama Tanuseputra</v>
      </c>
      <c r="Q99" s="52" t="str">
        <f t="shared" si="27"/>
        <v>KPS-10-05</v>
      </c>
    </row>
    <row r="100" spans="1:17" x14ac:dyDescent="0.35">
      <c r="A100" s="52" t="s">
        <v>6063</v>
      </c>
      <c r="C100" s="52" t="str">
        <f>"""TRUST Nav"",""HSPMTB2016"",""17"",""1"",""3661"""</f>
        <v>"TRUST Nav","HSPMTB2016","17","1","3661"</v>
      </c>
      <c r="D100" s="52" t="str">
        <f t="shared" si="28"/>
        <v>Customer</v>
      </c>
      <c r="I100" s="52" t="str">
        <f t="shared" si="29"/>
        <v>KK-04616|42248</v>
      </c>
      <c r="J100" s="82">
        <v>42368</v>
      </c>
      <c r="K100" s="52" t="str">
        <f t="shared" si="30"/>
        <v>Customer</v>
      </c>
      <c r="L100" s="52" t="str">
        <f t="shared" si="37"/>
        <v>KK-04616</v>
      </c>
      <c r="M100" s="52" t="s">
        <v>20995</v>
      </c>
      <c r="N100" s="2">
        <v>50000.000000000007</v>
      </c>
      <c r="O100" s="82">
        <v>42248</v>
      </c>
      <c r="P100" s="52" t="str">
        <f t="shared" si="38"/>
        <v>SY - Purnama Tanuseputra</v>
      </c>
      <c r="Q100" s="52" t="str">
        <f t="shared" si="27"/>
        <v>KPS-10-05</v>
      </c>
    </row>
    <row r="101" spans="1:17" x14ac:dyDescent="0.35">
      <c r="A101" s="52" t="s">
        <v>6063</v>
      </c>
      <c r="C101" s="52" t="str">
        <f>"""TRUST Nav"",""HSPMTB2016"",""17"",""1"",""3662"""</f>
        <v>"TRUST Nav","HSPMTB2016","17","1","3662"</v>
      </c>
      <c r="D101" s="52" t="str">
        <f t="shared" si="28"/>
        <v>Customer</v>
      </c>
      <c r="I101" s="52" t="str">
        <f t="shared" si="29"/>
        <v>KK-04616|42278</v>
      </c>
      <c r="J101" s="82">
        <v>42368</v>
      </c>
      <c r="K101" s="52" t="str">
        <f t="shared" si="30"/>
        <v>Customer</v>
      </c>
      <c r="L101" s="52" t="str">
        <f t="shared" si="37"/>
        <v>KK-04616</v>
      </c>
      <c r="M101" s="52" t="s">
        <v>20995</v>
      </c>
      <c r="N101" s="2">
        <v>50000.000000000007</v>
      </c>
      <c r="O101" s="82">
        <v>42278</v>
      </c>
      <c r="P101" s="52" t="str">
        <f t="shared" si="38"/>
        <v>SY - Purnama Tanuseputra</v>
      </c>
      <c r="Q101" s="52" t="str">
        <f t="shared" si="27"/>
        <v>KPS-10-05</v>
      </c>
    </row>
    <row r="102" spans="1:17" x14ac:dyDescent="0.35">
      <c r="A102" s="52" t="s">
        <v>6063</v>
      </c>
      <c r="C102" s="52" t="str">
        <f>"""TRUST Nav"",""HSPMTB2016"",""17"",""1"",""3663"""</f>
        <v>"TRUST Nav","HSPMTB2016","17","1","3663"</v>
      </c>
      <c r="D102" s="52" t="str">
        <f t="shared" si="28"/>
        <v>Customer</v>
      </c>
      <c r="I102" s="52" t="str">
        <f t="shared" si="29"/>
        <v>KK-04616|42309</v>
      </c>
      <c r="J102" s="82">
        <v>42368</v>
      </c>
      <c r="K102" s="52" t="str">
        <f t="shared" si="30"/>
        <v>Customer</v>
      </c>
      <c r="L102" s="52" t="str">
        <f t="shared" si="37"/>
        <v>KK-04616</v>
      </c>
      <c r="M102" s="52" t="s">
        <v>20995</v>
      </c>
      <c r="N102" s="2">
        <v>50000.000000000007</v>
      </c>
      <c r="O102" s="82">
        <v>42309</v>
      </c>
      <c r="P102" s="52" t="str">
        <f t="shared" si="38"/>
        <v>SY - Purnama Tanuseputra</v>
      </c>
      <c r="Q102" s="52" t="str">
        <f t="shared" si="27"/>
        <v>KPS-10-05</v>
      </c>
    </row>
    <row r="103" spans="1:17" x14ac:dyDescent="0.35">
      <c r="A103" s="52" t="s">
        <v>6063</v>
      </c>
      <c r="C103" s="52" t="str">
        <f>"""TRUST Nav"",""HSPMTB2016"",""17"",""1"",""3664"""</f>
        <v>"TRUST Nav","HSPMTB2016","17","1","3664"</v>
      </c>
      <c r="D103" s="52" t="str">
        <f t="shared" si="28"/>
        <v>Customer</v>
      </c>
      <c r="I103" s="52" t="str">
        <f t="shared" si="29"/>
        <v>KK-04616|42339</v>
      </c>
      <c r="J103" s="82">
        <v>42368</v>
      </c>
      <c r="K103" s="52" t="str">
        <f t="shared" si="30"/>
        <v>Customer</v>
      </c>
      <c r="L103" s="52" t="str">
        <f t="shared" si="37"/>
        <v>KK-04616</v>
      </c>
      <c r="M103" s="52" t="s">
        <v>20995</v>
      </c>
      <c r="N103" s="2">
        <v>50000.000000000007</v>
      </c>
      <c r="O103" s="82">
        <v>42339</v>
      </c>
      <c r="P103" s="52" t="str">
        <f t="shared" si="38"/>
        <v>SY - Purnama Tanuseputra</v>
      </c>
      <c r="Q103" s="52" t="str">
        <f t="shared" si="27"/>
        <v>KPS-10-05</v>
      </c>
    </row>
    <row r="104" spans="1:17" x14ac:dyDescent="0.35">
      <c r="A104" s="52" t="s">
        <v>6063</v>
      </c>
      <c r="C104" s="52" t="str">
        <f>"""TRUST Nav"",""HSPMTB2016"",""17"",""1"",""3665"""</f>
        <v>"TRUST Nav","HSPMTB2016","17","1","3665"</v>
      </c>
      <c r="D104" s="52" t="str">
        <f t="shared" si="28"/>
        <v>Customer</v>
      </c>
      <c r="I104" s="52" t="str">
        <f t="shared" si="29"/>
        <v>KK-04617|42186</v>
      </c>
      <c r="J104" s="82">
        <v>42368</v>
      </c>
      <c r="K104" s="52" t="str">
        <f t="shared" si="30"/>
        <v>Customer</v>
      </c>
      <c r="L104" s="52" t="str">
        <f>"KK-04617"</f>
        <v>KK-04617</v>
      </c>
      <c r="M104" s="52" t="s">
        <v>20996</v>
      </c>
      <c r="N104" s="2">
        <v>20000</v>
      </c>
      <c r="O104" s="82">
        <v>42186</v>
      </c>
      <c r="P104" s="52" t="str">
        <f>"SY - Rudolf Hendricus Poluan"</f>
        <v>SY - Rudolf Hendricus Poluan</v>
      </c>
      <c r="Q104" s="52" t="str">
        <f t="shared" si="27"/>
        <v>KPS-10-05</v>
      </c>
    </row>
    <row r="105" spans="1:17" x14ac:dyDescent="0.35">
      <c r="A105" s="52" t="s">
        <v>6063</v>
      </c>
      <c r="C105" s="52" t="str">
        <f>"""TRUST Nav"",""HSPMTB2016"",""17"",""1"",""3666"""</f>
        <v>"TRUST Nav","HSPMTB2016","17","1","3666"</v>
      </c>
      <c r="D105" s="52" t="str">
        <f t="shared" si="28"/>
        <v>Customer</v>
      </c>
      <c r="I105" s="52" t="str">
        <f t="shared" si="29"/>
        <v>KK-04619|42186</v>
      </c>
      <c r="J105" s="82">
        <v>42368</v>
      </c>
      <c r="K105" s="52" t="str">
        <f t="shared" si="30"/>
        <v>Customer</v>
      </c>
      <c r="L105" s="52" t="str">
        <f t="shared" ref="L105:L110" si="39">"KK-04619"</f>
        <v>KK-04619</v>
      </c>
      <c r="M105" s="52" t="s">
        <v>20997</v>
      </c>
      <c r="N105" s="2">
        <v>25000.000000000004</v>
      </c>
      <c r="O105" s="82">
        <v>42186</v>
      </c>
      <c r="P105" s="52" t="str">
        <f t="shared" ref="P105:P110" si="40">"SY - Sandy Wijaya"</f>
        <v>SY - Sandy Wijaya</v>
      </c>
      <c r="Q105" s="52" t="str">
        <f t="shared" si="27"/>
        <v>KPS-10-05</v>
      </c>
    </row>
    <row r="106" spans="1:17" x14ac:dyDescent="0.35">
      <c r="A106" s="52" t="s">
        <v>6063</v>
      </c>
      <c r="C106" s="52" t="str">
        <f>"""TRUST Nav"",""HSPMTB2016"",""17"",""1"",""3667"""</f>
        <v>"TRUST Nav","HSPMTB2016","17","1","3667"</v>
      </c>
      <c r="D106" s="52" t="str">
        <f t="shared" si="28"/>
        <v>Customer</v>
      </c>
      <c r="I106" s="52" t="str">
        <f t="shared" si="29"/>
        <v>KK-04619|42217</v>
      </c>
      <c r="J106" s="82">
        <v>42368</v>
      </c>
      <c r="K106" s="52" t="str">
        <f t="shared" si="30"/>
        <v>Customer</v>
      </c>
      <c r="L106" s="52" t="str">
        <f t="shared" si="39"/>
        <v>KK-04619</v>
      </c>
      <c r="M106" s="52" t="s">
        <v>20997</v>
      </c>
      <c r="N106" s="2">
        <v>25000.000000000004</v>
      </c>
      <c r="O106" s="82">
        <v>42217</v>
      </c>
      <c r="P106" s="52" t="str">
        <f t="shared" si="40"/>
        <v>SY - Sandy Wijaya</v>
      </c>
      <c r="Q106" s="52" t="str">
        <f t="shared" si="27"/>
        <v>KPS-10-05</v>
      </c>
    </row>
    <row r="107" spans="1:17" x14ac:dyDescent="0.35">
      <c r="A107" s="52" t="s">
        <v>6063</v>
      </c>
      <c r="C107" s="52" t="str">
        <f>"""TRUST Nav"",""HSPMTB2016"",""17"",""1"",""3668"""</f>
        <v>"TRUST Nav","HSPMTB2016","17","1","3668"</v>
      </c>
      <c r="D107" s="52" t="str">
        <f t="shared" si="28"/>
        <v>Customer</v>
      </c>
      <c r="I107" s="52" t="str">
        <f t="shared" si="29"/>
        <v>KK-04619|42248</v>
      </c>
      <c r="J107" s="82">
        <v>42368</v>
      </c>
      <c r="K107" s="52" t="str">
        <f t="shared" si="30"/>
        <v>Customer</v>
      </c>
      <c r="L107" s="52" t="str">
        <f t="shared" si="39"/>
        <v>KK-04619</v>
      </c>
      <c r="M107" s="52" t="s">
        <v>20997</v>
      </c>
      <c r="N107" s="2">
        <v>25000.000000000004</v>
      </c>
      <c r="O107" s="82">
        <v>42248</v>
      </c>
      <c r="P107" s="52" t="str">
        <f t="shared" si="40"/>
        <v>SY - Sandy Wijaya</v>
      </c>
      <c r="Q107" s="52" t="str">
        <f t="shared" si="27"/>
        <v>KPS-10-05</v>
      </c>
    </row>
    <row r="108" spans="1:17" x14ac:dyDescent="0.35">
      <c r="A108" s="52" t="s">
        <v>6063</v>
      </c>
      <c r="C108" s="52" t="str">
        <f>"""TRUST Nav"",""HSPMTB2016"",""17"",""1"",""3669"""</f>
        <v>"TRUST Nav","HSPMTB2016","17","1","3669"</v>
      </c>
      <c r="D108" s="52" t="str">
        <f t="shared" si="28"/>
        <v>Customer</v>
      </c>
      <c r="I108" s="52" t="str">
        <f t="shared" si="29"/>
        <v>KK-04619|42278</v>
      </c>
      <c r="J108" s="82">
        <v>42368</v>
      </c>
      <c r="K108" s="52" t="str">
        <f t="shared" si="30"/>
        <v>Customer</v>
      </c>
      <c r="L108" s="52" t="str">
        <f t="shared" si="39"/>
        <v>KK-04619</v>
      </c>
      <c r="M108" s="52" t="s">
        <v>20997</v>
      </c>
      <c r="N108" s="2">
        <v>25000.000000000004</v>
      </c>
      <c r="O108" s="82">
        <v>42278</v>
      </c>
      <c r="P108" s="52" t="str">
        <f t="shared" si="40"/>
        <v>SY - Sandy Wijaya</v>
      </c>
      <c r="Q108" s="52" t="str">
        <f t="shared" si="27"/>
        <v>KPS-10-05</v>
      </c>
    </row>
    <row r="109" spans="1:17" x14ac:dyDescent="0.35">
      <c r="A109" s="52" t="s">
        <v>6063</v>
      </c>
      <c r="C109" s="52" t="str">
        <f>"""TRUST Nav"",""HSPMTB2016"",""17"",""1"",""3670"""</f>
        <v>"TRUST Nav","HSPMTB2016","17","1","3670"</v>
      </c>
      <c r="D109" s="52" t="str">
        <f t="shared" si="28"/>
        <v>Customer</v>
      </c>
      <c r="I109" s="52" t="str">
        <f t="shared" si="29"/>
        <v>KK-04619|42309</v>
      </c>
      <c r="J109" s="82">
        <v>42368</v>
      </c>
      <c r="K109" s="52" t="str">
        <f t="shared" si="30"/>
        <v>Customer</v>
      </c>
      <c r="L109" s="52" t="str">
        <f t="shared" si="39"/>
        <v>KK-04619</v>
      </c>
      <c r="M109" s="52" t="s">
        <v>20997</v>
      </c>
      <c r="N109" s="2">
        <v>25000.000000000004</v>
      </c>
      <c r="O109" s="82">
        <v>42309</v>
      </c>
      <c r="P109" s="52" t="str">
        <f t="shared" si="40"/>
        <v>SY - Sandy Wijaya</v>
      </c>
      <c r="Q109" s="52" t="str">
        <f t="shared" si="27"/>
        <v>KPS-10-05</v>
      </c>
    </row>
    <row r="110" spans="1:17" x14ac:dyDescent="0.35">
      <c r="A110" s="52" t="s">
        <v>6063</v>
      </c>
      <c r="C110" s="52" t="str">
        <f>"""TRUST Nav"",""HSPMTB2016"",""17"",""1"",""3671"""</f>
        <v>"TRUST Nav","HSPMTB2016","17","1","3671"</v>
      </c>
      <c r="D110" s="52" t="str">
        <f t="shared" ref="D110:D146" si="41">"Customer"</f>
        <v>Customer</v>
      </c>
      <c r="I110" s="52" t="str">
        <f t="shared" si="29"/>
        <v>KK-04619|42339</v>
      </c>
      <c r="J110" s="82">
        <v>42368</v>
      </c>
      <c r="K110" s="52" t="str">
        <f t="shared" si="30"/>
        <v>Customer</v>
      </c>
      <c r="L110" s="52" t="str">
        <f t="shared" si="39"/>
        <v>KK-04619</v>
      </c>
      <c r="M110" s="52" t="s">
        <v>20997</v>
      </c>
      <c r="N110" s="2">
        <v>25000.000000000004</v>
      </c>
      <c r="O110" s="82">
        <v>42339</v>
      </c>
      <c r="P110" s="52" t="str">
        <f t="shared" si="40"/>
        <v>SY - Sandy Wijaya</v>
      </c>
      <c r="Q110" s="52" t="str">
        <f t="shared" si="27"/>
        <v>KPS-10-05</v>
      </c>
    </row>
    <row r="111" spans="1:17" x14ac:dyDescent="0.35">
      <c r="A111" s="52" t="s">
        <v>6063</v>
      </c>
      <c r="C111" s="52" t="str">
        <f>"""TRUST Nav"",""HSPMTB2016"",""17"",""1"",""3672"""</f>
        <v>"TRUST Nav","HSPMTB2016","17","1","3672"</v>
      </c>
      <c r="D111" s="52" t="str">
        <f t="shared" si="41"/>
        <v>Customer</v>
      </c>
      <c r="I111" s="52" t="str">
        <f t="shared" si="29"/>
        <v>KK-04620|42186</v>
      </c>
      <c r="J111" s="82">
        <v>42368</v>
      </c>
      <c r="K111" s="52" t="str">
        <f t="shared" si="30"/>
        <v>Customer</v>
      </c>
      <c r="L111" s="52" t="str">
        <f t="shared" ref="L111:L116" si="42">"KK-04620"</f>
        <v>KK-04620</v>
      </c>
      <c r="M111" s="52" t="s">
        <v>20998</v>
      </c>
      <c r="N111" s="2">
        <v>150000</v>
      </c>
      <c r="O111" s="82">
        <v>42186</v>
      </c>
      <c r="P111" s="52" t="str">
        <f t="shared" ref="P111:P116" si="43">"SY - Stefanus Tudy Luchman"</f>
        <v>SY - Stefanus Tudy Luchman</v>
      </c>
      <c r="Q111" s="52" t="str">
        <f t="shared" si="27"/>
        <v>KPS-10-05</v>
      </c>
    </row>
    <row r="112" spans="1:17" x14ac:dyDescent="0.35">
      <c r="A112" s="52" t="s">
        <v>6063</v>
      </c>
      <c r="C112" s="52" t="str">
        <f>"""TRUST Nav"",""HSPMTB2016"",""17"",""1"",""3673"""</f>
        <v>"TRUST Nav","HSPMTB2016","17","1","3673"</v>
      </c>
      <c r="D112" s="52" t="str">
        <f t="shared" si="41"/>
        <v>Customer</v>
      </c>
      <c r="I112" s="52" t="str">
        <f t="shared" si="29"/>
        <v>KK-04620|42217</v>
      </c>
      <c r="J112" s="82">
        <v>42368</v>
      </c>
      <c r="K112" s="52" t="str">
        <f t="shared" si="30"/>
        <v>Customer</v>
      </c>
      <c r="L112" s="52" t="str">
        <f t="shared" si="42"/>
        <v>KK-04620</v>
      </c>
      <c r="M112" s="52" t="s">
        <v>20998</v>
      </c>
      <c r="N112" s="2">
        <v>150000</v>
      </c>
      <c r="O112" s="82">
        <v>42217</v>
      </c>
      <c r="P112" s="52" t="str">
        <f t="shared" si="43"/>
        <v>SY - Stefanus Tudy Luchman</v>
      </c>
      <c r="Q112" s="52" t="str">
        <f t="shared" si="27"/>
        <v>KPS-10-05</v>
      </c>
    </row>
    <row r="113" spans="1:17" x14ac:dyDescent="0.35">
      <c r="A113" s="52" t="s">
        <v>6063</v>
      </c>
      <c r="C113" s="52" t="str">
        <f>"""TRUST Nav"",""HSPMTB2016"",""17"",""1"",""3674"""</f>
        <v>"TRUST Nav","HSPMTB2016","17","1","3674"</v>
      </c>
      <c r="D113" s="52" t="str">
        <f t="shared" si="41"/>
        <v>Customer</v>
      </c>
      <c r="I113" s="52" t="str">
        <f t="shared" si="29"/>
        <v>KK-04620|42248</v>
      </c>
      <c r="J113" s="82">
        <v>42368</v>
      </c>
      <c r="K113" s="52" t="str">
        <f t="shared" si="30"/>
        <v>Customer</v>
      </c>
      <c r="L113" s="52" t="str">
        <f t="shared" si="42"/>
        <v>KK-04620</v>
      </c>
      <c r="M113" s="52" t="s">
        <v>20998</v>
      </c>
      <c r="N113" s="2">
        <v>150000</v>
      </c>
      <c r="O113" s="82">
        <v>42248</v>
      </c>
      <c r="P113" s="52" t="str">
        <f t="shared" si="43"/>
        <v>SY - Stefanus Tudy Luchman</v>
      </c>
      <c r="Q113" s="52" t="str">
        <f t="shared" si="27"/>
        <v>KPS-10-05</v>
      </c>
    </row>
    <row r="114" spans="1:17" x14ac:dyDescent="0.35">
      <c r="A114" s="52" t="s">
        <v>6063</v>
      </c>
      <c r="C114" s="52" t="str">
        <f>"""TRUST Nav"",""HSPMTB2016"",""17"",""1"",""3675"""</f>
        <v>"TRUST Nav","HSPMTB2016","17","1","3675"</v>
      </c>
      <c r="D114" s="52" t="str">
        <f t="shared" si="41"/>
        <v>Customer</v>
      </c>
      <c r="I114" s="52" t="str">
        <f t="shared" si="29"/>
        <v>KK-04620|42278</v>
      </c>
      <c r="J114" s="82">
        <v>42368</v>
      </c>
      <c r="K114" s="52" t="str">
        <f t="shared" si="30"/>
        <v>Customer</v>
      </c>
      <c r="L114" s="52" t="str">
        <f t="shared" si="42"/>
        <v>KK-04620</v>
      </c>
      <c r="M114" s="52" t="s">
        <v>20998</v>
      </c>
      <c r="N114" s="2">
        <v>150000</v>
      </c>
      <c r="O114" s="82">
        <v>42278</v>
      </c>
      <c r="P114" s="52" t="str">
        <f t="shared" si="43"/>
        <v>SY - Stefanus Tudy Luchman</v>
      </c>
      <c r="Q114" s="52" t="str">
        <f t="shared" si="27"/>
        <v>KPS-10-05</v>
      </c>
    </row>
    <row r="115" spans="1:17" x14ac:dyDescent="0.35">
      <c r="A115" s="52" t="s">
        <v>6063</v>
      </c>
      <c r="C115" s="52" t="str">
        <f>"""TRUST Nav"",""HSPMTB2016"",""17"",""1"",""3676"""</f>
        <v>"TRUST Nav","HSPMTB2016","17","1","3676"</v>
      </c>
      <c r="D115" s="52" t="str">
        <f t="shared" si="41"/>
        <v>Customer</v>
      </c>
      <c r="I115" s="52" t="str">
        <f t="shared" si="29"/>
        <v>KK-04620|42309</v>
      </c>
      <c r="J115" s="82">
        <v>42368</v>
      </c>
      <c r="K115" s="52" t="str">
        <f t="shared" si="30"/>
        <v>Customer</v>
      </c>
      <c r="L115" s="52" t="str">
        <f t="shared" si="42"/>
        <v>KK-04620</v>
      </c>
      <c r="M115" s="52" t="s">
        <v>20998</v>
      </c>
      <c r="N115" s="2">
        <v>150000</v>
      </c>
      <c r="O115" s="82">
        <v>42309</v>
      </c>
      <c r="P115" s="52" t="str">
        <f t="shared" si="43"/>
        <v>SY - Stefanus Tudy Luchman</v>
      </c>
      <c r="Q115" s="52" t="str">
        <f t="shared" si="27"/>
        <v>KPS-10-05</v>
      </c>
    </row>
    <row r="116" spans="1:17" x14ac:dyDescent="0.35">
      <c r="A116" s="52" t="s">
        <v>6063</v>
      </c>
      <c r="C116" s="52" t="str">
        <f>"""TRUST Nav"",""HSPMTB2016"",""17"",""1"",""3677"""</f>
        <v>"TRUST Nav","HSPMTB2016","17","1","3677"</v>
      </c>
      <c r="D116" s="52" t="str">
        <f t="shared" si="41"/>
        <v>Customer</v>
      </c>
      <c r="I116" s="52" t="str">
        <f t="shared" si="29"/>
        <v>KK-04620|42339</v>
      </c>
      <c r="J116" s="82">
        <v>42368</v>
      </c>
      <c r="K116" s="52" t="str">
        <f t="shared" si="30"/>
        <v>Customer</v>
      </c>
      <c r="L116" s="52" t="str">
        <f t="shared" si="42"/>
        <v>KK-04620</v>
      </c>
      <c r="M116" s="52" t="s">
        <v>20998</v>
      </c>
      <c r="N116" s="2">
        <v>150000</v>
      </c>
      <c r="O116" s="82">
        <v>42339</v>
      </c>
      <c r="P116" s="52" t="str">
        <f t="shared" si="43"/>
        <v>SY - Stefanus Tudy Luchman</v>
      </c>
      <c r="Q116" s="52" t="str">
        <f t="shared" si="27"/>
        <v>KPS-10-05</v>
      </c>
    </row>
    <row r="117" spans="1:17" x14ac:dyDescent="0.35">
      <c r="A117" s="52" t="s">
        <v>6063</v>
      </c>
      <c r="C117" s="52" t="str">
        <f>"""TRUST Nav"",""HSPMTB2016"",""17"",""1"",""3678"""</f>
        <v>"TRUST Nav","HSPMTB2016","17","1","3678"</v>
      </c>
      <c r="D117" s="52" t="str">
        <f t="shared" si="41"/>
        <v>Customer</v>
      </c>
      <c r="I117" s="52" t="str">
        <f t="shared" si="29"/>
        <v>KK-04621|42186</v>
      </c>
      <c r="J117" s="82">
        <v>42368</v>
      </c>
      <c r="K117" s="52" t="str">
        <f t="shared" si="30"/>
        <v>Customer</v>
      </c>
      <c r="L117" s="52" t="str">
        <f t="shared" ref="L117:L122" si="44">"KK-04621"</f>
        <v>KK-04621</v>
      </c>
      <c r="M117" s="52" t="s">
        <v>20999</v>
      </c>
      <c r="N117" s="2">
        <v>25000.000000000004</v>
      </c>
      <c r="O117" s="82">
        <v>42186</v>
      </c>
      <c r="P117" s="52" t="str">
        <f t="shared" ref="P117:P122" si="45">"SY - Tommy Prasetyo Utomo"</f>
        <v>SY - Tommy Prasetyo Utomo</v>
      </c>
      <c r="Q117" s="52" t="str">
        <f t="shared" si="27"/>
        <v>KPS-10-05</v>
      </c>
    </row>
    <row r="118" spans="1:17" x14ac:dyDescent="0.35">
      <c r="A118" s="52" t="s">
        <v>6063</v>
      </c>
      <c r="C118" s="52" t="str">
        <f>"""TRUST Nav"",""HSPMTB2016"",""17"",""1"",""3679"""</f>
        <v>"TRUST Nav","HSPMTB2016","17","1","3679"</v>
      </c>
      <c r="D118" s="52" t="str">
        <f t="shared" si="41"/>
        <v>Customer</v>
      </c>
      <c r="I118" s="52" t="str">
        <f t="shared" si="29"/>
        <v>KK-04621|42217</v>
      </c>
      <c r="J118" s="82">
        <v>42368</v>
      </c>
      <c r="K118" s="52" t="str">
        <f t="shared" si="30"/>
        <v>Customer</v>
      </c>
      <c r="L118" s="52" t="str">
        <f t="shared" si="44"/>
        <v>KK-04621</v>
      </c>
      <c r="M118" s="52" t="s">
        <v>20999</v>
      </c>
      <c r="N118" s="2">
        <v>25000.000000000004</v>
      </c>
      <c r="O118" s="82">
        <v>42217</v>
      </c>
      <c r="P118" s="52" t="str">
        <f t="shared" si="45"/>
        <v>SY - Tommy Prasetyo Utomo</v>
      </c>
      <c r="Q118" s="52" t="str">
        <f t="shared" si="27"/>
        <v>KPS-10-05</v>
      </c>
    </row>
    <row r="119" spans="1:17" x14ac:dyDescent="0.35">
      <c r="A119" s="52" t="s">
        <v>6063</v>
      </c>
      <c r="C119" s="52" t="str">
        <f>"""TRUST Nav"",""HSPMTB2016"",""17"",""1"",""3680"""</f>
        <v>"TRUST Nav","HSPMTB2016","17","1","3680"</v>
      </c>
      <c r="D119" s="52" t="str">
        <f t="shared" si="41"/>
        <v>Customer</v>
      </c>
      <c r="I119" s="52" t="str">
        <f t="shared" si="29"/>
        <v>KK-04621|42248</v>
      </c>
      <c r="J119" s="82">
        <v>42368</v>
      </c>
      <c r="K119" s="52" t="str">
        <f t="shared" si="30"/>
        <v>Customer</v>
      </c>
      <c r="L119" s="52" t="str">
        <f t="shared" si="44"/>
        <v>KK-04621</v>
      </c>
      <c r="M119" s="52" t="s">
        <v>20999</v>
      </c>
      <c r="N119" s="2">
        <v>25000.000000000004</v>
      </c>
      <c r="O119" s="82">
        <v>42248</v>
      </c>
      <c r="P119" s="52" t="str">
        <f t="shared" si="45"/>
        <v>SY - Tommy Prasetyo Utomo</v>
      </c>
      <c r="Q119" s="52" t="str">
        <f t="shared" si="27"/>
        <v>KPS-10-05</v>
      </c>
    </row>
    <row r="120" spans="1:17" x14ac:dyDescent="0.35">
      <c r="A120" s="52" t="s">
        <v>6063</v>
      </c>
      <c r="C120" s="52" t="str">
        <f>"""TRUST Nav"",""HSPMTB2016"",""17"",""1"",""3681"""</f>
        <v>"TRUST Nav","HSPMTB2016","17","1","3681"</v>
      </c>
      <c r="D120" s="52" t="str">
        <f t="shared" si="41"/>
        <v>Customer</v>
      </c>
      <c r="I120" s="52" t="str">
        <f t="shared" si="29"/>
        <v>KK-04621|42278</v>
      </c>
      <c r="J120" s="82">
        <v>42368</v>
      </c>
      <c r="K120" s="52" t="str">
        <f t="shared" si="30"/>
        <v>Customer</v>
      </c>
      <c r="L120" s="52" t="str">
        <f t="shared" si="44"/>
        <v>KK-04621</v>
      </c>
      <c r="M120" s="52" t="s">
        <v>20999</v>
      </c>
      <c r="N120" s="2">
        <v>25000.000000000004</v>
      </c>
      <c r="O120" s="82">
        <v>42278</v>
      </c>
      <c r="P120" s="52" t="str">
        <f t="shared" si="45"/>
        <v>SY - Tommy Prasetyo Utomo</v>
      </c>
      <c r="Q120" s="52" t="str">
        <f t="shared" si="27"/>
        <v>KPS-10-05</v>
      </c>
    </row>
    <row r="121" spans="1:17" x14ac:dyDescent="0.35">
      <c r="A121" s="52" t="s">
        <v>6063</v>
      </c>
      <c r="C121" s="52" t="str">
        <f>"""TRUST Nav"",""HSPMTB2016"",""17"",""1"",""3682"""</f>
        <v>"TRUST Nav","HSPMTB2016","17","1","3682"</v>
      </c>
      <c r="D121" s="52" t="str">
        <f t="shared" si="41"/>
        <v>Customer</v>
      </c>
      <c r="I121" s="52" t="str">
        <f t="shared" si="29"/>
        <v>KK-04621|42309</v>
      </c>
      <c r="J121" s="82">
        <v>42368</v>
      </c>
      <c r="K121" s="52" t="str">
        <f t="shared" si="30"/>
        <v>Customer</v>
      </c>
      <c r="L121" s="52" t="str">
        <f t="shared" si="44"/>
        <v>KK-04621</v>
      </c>
      <c r="M121" s="52" t="s">
        <v>20999</v>
      </c>
      <c r="N121" s="2">
        <v>25000.000000000004</v>
      </c>
      <c r="O121" s="82">
        <v>42309</v>
      </c>
      <c r="P121" s="52" t="str">
        <f t="shared" si="45"/>
        <v>SY - Tommy Prasetyo Utomo</v>
      </c>
      <c r="Q121" s="52" t="str">
        <f t="shared" si="27"/>
        <v>KPS-10-05</v>
      </c>
    </row>
    <row r="122" spans="1:17" x14ac:dyDescent="0.35">
      <c r="A122" s="52" t="s">
        <v>6063</v>
      </c>
      <c r="C122" s="52" t="str">
        <f>"""TRUST Nav"",""HSPMTB2016"",""17"",""1"",""3683"""</f>
        <v>"TRUST Nav","HSPMTB2016","17","1","3683"</v>
      </c>
      <c r="D122" s="52" t="str">
        <f t="shared" si="41"/>
        <v>Customer</v>
      </c>
      <c r="I122" s="52" t="str">
        <f t="shared" si="29"/>
        <v>KK-04621|42339</v>
      </c>
      <c r="J122" s="82">
        <v>42368</v>
      </c>
      <c r="K122" s="52" t="str">
        <f t="shared" si="30"/>
        <v>Customer</v>
      </c>
      <c r="L122" s="52" t="str">
        <f t="shared" si="44"/>
        <v>KK-04621</v>
      </c>
      <c r="M122" s="52" t="s">
        <v>20999</v>
      </c>
      <c r="N122" s="2">
        <v>25000.000000000004</v>
      </c>
      <c r="O122" s="82">
        <v>42339</v>
      </c>
      <c r="P122" s="52" t="str">
        <f t="shared" si="45"/>
        <v>SY - Tommy Prasetyo Utomo</v>
      </c>
      <c r="Q122" s="52" t="str">
        <f t="shared" si="27"/>
        <v>KPS-10-05</v>
      </c>
    </row>
    <row r="123" spans="1:17" x14ac:dyDescent="0.35">
      <c r="A123" s="52" t="s">
        <v>6063</v>
      </c>
      <c r="C123" s="52" t="str">
        <f>"""TRUST Nav"",""HSPMTB2016"",""17"",""1"",""3684"""</f>
        <v>"TRUST Nav","HSPMTB2016","17","1","3684"</v>
      </c>
      <c r="D123" s="52" t="str">
        <f t="shared" si="41"/>
        <v>Customer</v>
      </c>
      <c r="I123" s="52" t="str">
        <f t="shared" si="29"/>
        <v>KK-04622|42186</v>
      </c>
      <c r="J123" s="82">
        <v>42368</v>
      </c>
      <c r="K123" s="52" t="str">
        <f t="shared" si="30"/>
        <v>Customer</v>
      </c>
      <c r="L123" s="52" t="str">
        <f t="shared" ref="L123:L128" si="46">"KK-04622"</f>
        <v>KK-04622</v>
      </c>
      <c r="M123" s="52" t="s">
        <v>21000</v>
      </c>
      <c r="N123" s="2">
        <v>30000</v>
      </c>
      <c r="O123" s="82">
        <v>42186</v>
      </c>
      <c r="P123" s="52" t="str">
        <f t="shared" ref="P123:P128" si="47">"SY - Tri Saptono Vinsentius "</f>
        <v xml:space="preserve">SY - Tri Saptono Vinsentius </v>
      </c>
      <c r="Q123" s="52" t="str">
        <f t="shared" si="27"/>
        <v>KPS-10-05</v>
      </c>
    </row>
    <row r="124" spans="1:17" x14ac:dyDescent="0.35">
      <c r="A124" s="52" t="s">
        <v>6063</v>
      </c>
      <c r="C124" s="52" t="str">
        <f>"""TRUST Nav"",""HSPMTB2016"",""17"",""1"",""3685"""</f>
        <v>"TRUST Nav","HSPMTB2016","17","1","3685"</v>
      </c>
      <c r="D124" s="52" t="str">
        <f t="shared" si="41"/>
        <v>Customer</v>
      </c>
      <c r="I124" s="52" t="str">
        <f t="shared" si="29"/>
        <v>KK-04622|42217</v>
      </c>
      <c r="J124" s="82">
        <v>42368</v>
      </c>
      <c r="K124" s="52" t="str">
        <f t="shared" si="30"/>
        <v>Customer</v>
      </c>
      <c r="L124" s="52" t="str">
        <f t="shared" si="46"/>
        <v>KK-04622</v>
      </c>
      <c r="M124" s="52" t="s">
        <v>21000</v>
      </c>
      <c r="N124" s="2">
        <v>30000</v>
      </c>
      <c r="O124" s="82">
        <v>42217</v>
      </c>
      <c r="P124" s="52" t="str">
        <f t="shared" si="47"/>
        <v xml:space="preserve">SY - Tri Saptono Vinsentius </v>
      </c>
      <c r="Q124" s="52" t="str">
        <f t="shared" si="27"/>
        <v>KPS-10-05</v>
      </c>
    </row>
    <row r="125" spans="1:17" x14ac:dyDescent="0.35">
      <c r="A125" s="52" t="s">
        <v>6063</v>
      </c>
      <c r="C125" s="52" t="str">
        <f>"""TRUST Nav"",""HSPMTB2016"",""17"",""1"",""3686"""</f>
        <v>"TRUST Nav","HSPMTB2016","17","1","3686"</v>
      </c>
      <c r="D125" s="52" t="str">
        <f t="shared" si="41"/>
        <v>Customer</v>
      </c>
      <c r="I125" s="52" t="str">
        <f t="shared" si="29"/>
        <v>KK-04622|42248</v>
      </c>
      <c r="J125" s="82">
        <v>42368</v>
      </c>
      <c r="K125" s="52" t="str">
        <f t="shared" si="30"/>
        <v>Customer</v>
      </c>
      <c r="L125" s="52" t="str">
        <f t="shared" si="46"/>
        <v>KK-04622</v>
      </c>
      <c r="M125" s="52" t="s">
        <v>21000</v>
      </c>
      <c r="N125" s="2">
        <v>30000</v>
      </c>
      <c r="O125" s="82">
        <v>42248</v>
      </c>
      <c r="P125" s="52" t="str">
        <f t="shared" si="47"/>
        <v xml:space="preserve">SY - Tri Saptono Vinsentius </v>
      </c>
      <c r="Q125" s="52" t="str">
        <f t="shared" si="27"/>
        <v>KPS-10-05</v>
      </c>
    </row>
    <row r="126" spans="1:17" x14ac:dyDescent="0.35">
      <c r="A126" s="52" t="s">
        <v>6063</v>
      </c>
      <c r="C126" s="52" t="str">
        <f>"""TRUST Nav"",""HSPMTB2016"",""17"",""1"",""3687"""</f>
        <v>"TRUST Nav","HSPMTB2016","17","1","3687"</v>
      </c>
      <c r="D126" s="52" t="str">
        <f t="shared" si="41"/>
        <v>Customer</v>
      </c>
      <c r="I126" s="52" t="str">
        <f t="shared" si="29"/>
        <v>KK-04622|42278</v>
      </c>
      <c r="J126" s="82">
        <v>42368</v>
      </c>
      <c r="K126" s="52" t="str">
        <f t="shared" si="30"/>
        <v>Customer</v>
      </c>
      <c r="L126" s="52" t="str">
        <f t="shared" si="46"/>
        <v>KK-04622</v>
      </c>
      <c r="M126" s="52" t="s">
        <v>21000</v>
      </c>
      <c r="N126" s="2">
        <v>30000</v>
      </c>
      <c r="O126" s="82">
        <v>42278</v>
      </c>
      <c r="P126" s="52" t="str">
        <f t="shared" si="47"/>
        <v xml:space="preserve">SY - Tri Saptono Vinsentius </v>
      </c>
      <c r="Q126" s="52" t="str">
        <f t="shared" si="27"/>
        <v>KPS-10-05</v>
      </c>
    </row>
    <row r="127" spans="1:17" x14ac:dyDescent="0.35">
      <c r="A127" s="52" t="s">
        <v>6063</v>
      </c>
      <c r="C127" s="52" t="str">
        <f>"""TRUST Nav"",""HSPMTB2016"",""17"",""1"",""3688"""</f>
        <v>"TRUST Nav","HSPMTB2016","17","1","3688"</v>
      </c>
      <c r="D127" s="52" t="str">
        <f t="shared" si="41"/>
        <v>Customer</v>
      </c>
      <c r="I127" s="52" t="str">
        <f t="shared" si="29"/>
        <v>KK-04622|42309</v>
      </c>
      <c r="J127" s="82">
        <v>42368</v>
      </c>
      <c r="K127" s="52" t="str">
        <f t="shared" si="30"/>
        <v>Customer</v>
      </c>
      <c r="L127" s="52" t="str">
        <f t="shared" si="46"/>
        <v>KK-04622</v>
      </c>
      <c r="M127" s="52" t="s">
        <v>21000</v>
      </c>
      <c r="N127" s="2">
        <v>30000</v>
      </c>
      <c r="O127" s="82">
        <v>42309</v>
      </c>
      <c r="P127" s="52" t="str">
        <f t="shared" si="47"/>
        <v xml:space="preserve">SY - Tri Saptono Vinsentius </v>
      </c>
      <c r="Q127" s="52" t="str">
        <f t="shared" si="27"/>
        <v>KPS-10-05</v>
      </c>
    </row>
    <row r="128" spans="1:17" x14ac:dyDescent="0.35">
      <c r="A128" s="52" t="s">
        <v>6063</v>
      </c>
      <c r="C128" s="52" t="str">
        <f>"""TRUST Nav"",""HSPMTB2016"",""17"",""1"",""3689"""</f>
        <v>"TRUST Nav","HSPMTB2016","17","1","3689"</v>
      </c>
      <c r="D128" s="52" t="str">
        <f t="shared" si="41"/>
        <v>Customer</v>
      </c>
      <c r="I128" s="52" t="str">
        <f t="shared" si="29"/>
        <v>KK-04622|42339</v>
      </c>
      <c r="J128" s="82">
        <v>42368</v>
      </c>
      <c r="K128" s="52" t="str">
        <f t="shared" si="30"/>
        <v>Customer</v>
      </c>
      <c r="L128" s="52" t="str">
        <f t="shared" si="46"/>
        <v>KK-04622</v>
      </c>
      <c r="M128" s="52" t="s">
        <v>21000</v>
      </c>
      <c r="N128" s="2">
        <v>30000</v>
      </c>
      <c r="O128" s="82">
        <v>42339</v>
      </c>
      <c r="P128" s="52" t="str">
        <f t="shared" si="47"/>
        <v xml:space="preserve">SY - Tri Saptono Vinsentius </v>
      </c>
      <c r="Q128" s="52" t="str">
        <f t="shared" si="27"/>
        <v>KPS-10-05</v>
      </c>
    </row>
    <row r="129" spans="1:17" x14ac:dyDescent="0.35">
      <c r="A129" s="52" t="s">
        <v>6063</v>
      </c>
      <c r="C129" s="52" t="str">
        <f>"""TRUST Nav"",""HSPMTB2016"",""17"",""1"",""3690"""</f>
        <v>"TRUST Nav","HSPMTB2016","17","1","3690"</v>
      </c>
      <c r="D129" s="52" t="str">
        <f t="shared" si="41"/>
        <v>Customer</v>
      </c>
      <c r="I129" s="52" t="str">
        <f t="shared" si="29"/>
        <v>KK-04624|42186</v>
      </c>
      <c r="J129" s="82">
        <v>42368</v>
      </c>
      <c r="K129" s="52" t="str">
        <f t="shared" si="30"/>
        <v>Customer</v>
      </c>
      <c r="L129" s="52" t="str">
        <f t="shared" ref="L129:L134" si="48">"KK-04624"</f>
        <v>KK-04624</v>
      </c>
      <c r="M129" s="52" t="s">
        <v>21001</v>
      </c>
      <c r="N129" s="2">
        <v>40000</v>
      </c>
      <c r="O129" s="82">
        <v>42186</v>
      </c>
      <c r="P129" s="52" t="str">
        <f t="shared" ref="P129:P134" si="49">"SY - Yohanes Hendy Setiawan"</f>
        <v>SY - Yohanes Hendy Setiawan</v>
      </c>
      <c r="Q129" s="52" t="str">
        <f t="shared" si="27"/>
        <v>KPS-10-05</v>
      </c>
    </row>
    <row r="130" spans="1:17" x14ac:dyDescent="0.35">
      <c r="A130" s="52" t="s">
        <v>6063</v>
      </c>
      <c r="C130" s="52" t="str">
        <f>"""TRUST Nav"",""HSPMTB2016"",""17"",""1"",""3691"""</f>
        <v>"TRUST Nav","HSPMTB2016","17","1","3691"</v>
      </c>
      <c r="D130" s="52" t="str">
        <f t="shared" si="41"/>
        <v>Customer</v>
      </c>
      <c r="I130" s="52" t="str">
        <f t="shared" si="29"/>
        <v>KK-04624|42217</v>
      </c>
      <c r="J130" s="82">
        <v>42368</v>
      </c>
      <c r="K130" s="52" t="str">
        <f t="shared" si="30"/>
        <v>Customer</v>
      </c>
      <c r="L130" s="52" t="str">
        <f t="shared" si="48"/>
        <v>KK-04624</v>
      </c>
      <c r="M130" s="52" t="s">
        <v>21001</v>
      </c>
      <c r="N130" s="2">
        <v>40000</v>
      </c>
      <c r="O130" s="82">
        <v>42217</v>
      </c>
      <c r="P130" s="52" t="str">
        <f t="shared" si="49"/>
        <v>SY - Yohanes Hendy Setiawan</v>
      </c>
      <c r="Q130" s="52" t="str">
        <f t="shared" si="27"/>
        <v>KPS-10-05</v>
      </c>
    </row>
    <row r="131" spans="1:17" x14ac:dyDescent="0.35">
      <c r="A131" s="52" t="s">
        <v>6063</v>
      </c>
      <c r="C131" s="52" t="str">
        <f>"""TRUST Nav"",""HSPMTB2016"",""17"",""1"",""3692"""</f>
        <v>"TRUST Nav","HSPMTB2016","17","1","3692"</v>
      </c>
      <c r="D131" s="52" t="str">
        <f t="shared" si="41"/>
        <v>Customer</v>
      </c>
      <c r="I131" s="52" t="str">
        <f t="shared" si="29"/>
        <v>KK-04624|42248</v>
      </c>
      <c r="J131" s="82">
        <v>42368</v>
      </c>
      <c r="K131" s="52" t="str">
        <f t="shared" si="30"/>
        <v>Customer</v>
      </c>
      <c r="L131" s="52" t="str">
        <f t="shared" si="48"/>
        <v>KK-04624</v>
      </c>
      <c r="M131" s="52" t="s">
        <v>21001</v>
      </c>
      <c r="N131" s="2">
        <v>40000</v>
      </c>
      <c r="O131" s="82">
        <v>42248</v>
      </c>
      <c r="P131" s="52" t="str">
        <f t="shared" si="49"/>
        <v>SY - Yohanes Hendy Setiawan</v>
      </c>
      <c r="Q131" s="52" t="str">
        <f t="shared" si="27"/>
        <v>KPS-10-05</v>
      </c>
    </row>
    <row r="132" spans="1:17" x14ac:dyDescent="0.35">
      <c r="A132" s="52" t="s">
        <v>6063</v>
      </c>
      <c r="C132" s="52" t="str">
        <f>"""TRUST Nav"",""HSPMTB2016"",""17"",""1"",""3693"""</f>
        <v>"TRUST Nav","HSPMTB2016","17","1","3693"</v>
      </c>
      <c r="D132" s="52" t="str">
        <f t="shared" si="41"/>
        <v>Customer</v>
      </c>
      <c r="I132" s="52" t="str">
        <f t="shared" si="29"/>
        <v>KK-04624|42278</v>
      </c>
      <c r="J132" s="82">
        <v>42368</v>
      </c>
      <c r="K132" s="52" t="str">
        <f t="shared" si="30"/>
        <v>Customer</v>
      </c>
      <c r="L132" s="52" t="str">
        <f t="shared" si="48"/>
        <v>KK-04624</v>
      </c>
      <c r="M132" s="52" t="s">
        <v>21001</v>
      </c>
      <c r="N132" s="2">
        <v>40000</v>
      </c>
      <c r="O132" s="82">
        <v>42278</v>
      </c>
      <c r="P132" s="52" t="str">
        <f t="shared" si="49"/>
        <v>SY - Yohanes Hendy Setiawan</v>
      </c>
      <c r="Q132" s="52" t="str">
        <f t="shared" si="27"/>
        <v>KPS-10-05</v>
      </c>
    </row>
    <row r="133" spans="1:17" x14ac:dyDescent="0.35">
      <c r="A133" s="52" t="s">
        <v>6063</v>
      </c>
      <c r="C133" s="52" t="str">
        <f>"""TRUST Nav"",""HSPMTB2016"",""17"",""1"",""3694"""</f>
        <v>"TRUST Nav","HSPMTB2016","17","1","3694"</v>
      </c>
      <c r="D133" s="52" t="str">
        <f t="shared" si="41"/>
        <v>Customer</v>
      </c>
      <c r="I133" s="52" t="str">
        <f t="shared" si="29"/>
        <v>KK-04624|42309</v>
      </c>
      <c r="J133" s="82">
        <v>42368</v>
      </c>
      <c r="K133" s="52" t="str">
        <f t="shared" si="30"/>
        <v>Customer</v>
      </c>
      <c r="L133" s="52" t="str">
        <f t="shared" si="48"/>
        <v>KK-04624</v>
      </c>
      <c r="M133" s="52" t="s">
        <v>21001</v>
      </c>
      <c r="N133" s="2">
        <v>40000</v>
      </c>
      <c r="O133" s="82">
        <v>42309</v>
      </c>
      <c r="P133" s="52" t="str">
        <f t="shared" si="49"/>
        <v>SY - Yohanes Hendy Setiawan</v>
      </c>
      <c r="Q133" s="52" t="str">
        <f t="shared" si="27"/>
        <v>KPS-10-05</v>
      </c>
    </row>
    <row r="134" spans="1:17" x14ac:dyDescent="0.35">
      <c r="A134" s="52" t="s">
        <v>6063</v>
      </c>
      <c r="C134" s="52" t="str">
        <f>"""TRUST Nav"",""HSPMTB2016"",""17"",""1"",""3695"""</f>
        <v>"TRUST Nav","HSPMTB2016","17","1","3695"</v>
      </c>
      <c r="D134" s="52" t="str">
        <f t="shared" si="41"/>
        <v>Customer</v>
      </c>
      <c r="I134" s="52" t="str">
        <f t="shared" si="29"/>
        <v>KK-04624|42339</v>
      </c>
      <c r="J134" s="82">
        <v>42368</v>
      </c>
      <c r="K134" s="52" t="str">
        <f t="shared" si="30"/>
        <v>Customer</v>
      </c>
      <c r="L134" s="52" t="str">
        <f t="shared" si="48"/>
        <v>KK-04624</v>
      </c>
      <c r="M134" s="52" t="s">
        <v>21001</v>
      </c>
      <c r="N134" s="2">
        <v>40000</v>
      </c>
      <c r="O134" s="82">
        <v>42339</v>
      </c>
      <c r="P134" s="52" t="str">
        <f t="shared" si="49"/>
        <v>SY - Yohanes Hendy Setiawan</v>
      </c>
      <c r="Q134" s="52" t="str">
        <f t="shared" si="27"/>
        <v>KPS-10-05</v>
      </c>
    </row>
    <row r="135" spans="1:17" x14ac:dyDescent="0.35">
      <c r="A135" s="52" t="s">
        <v>6063</v>
      </c>
      <c r="C135" s="52" t="str">
        <f>"""TRUST Nav"",""HSPMTB2016"",""17"",""1"",""3696"""</f>
        <v>"TRUST Nav","HSPMTB2016","17","1","3696"</v>
      </c>
      <c r="D135" s="52" t="str">
        <f t="shared" si="41"/>
        <v>Customer</v>
      </c>
      <c r="I135" s="52" t="str">
        <f t="shared" si="29"/>
        <v>KK-04625|42186</v>
      </c>
      <c r="J135" s="82">
        <v>42368</v>
      </c>
      <c r="K135" s="52" t="str">
        <f t="shared" si="30"/>
        <v>Customer</v>
      </c>
      <c r="L135" s="52" t="str">
        <f t="shared" ref="L135:L140" si="50">"KK-04625"</f>
        <v>KK-04625</v>
      </c>
      <c r="M135" s="52" t="s">
        <v>21002</v>
      </c>
      <c r="N135" s="2">
        <v>100000.00000000001</v>
      </c>
      <c r="O135" s="82">
        <v>42186</v>
      </c>
      <c r="P135" s="52" t="str">
        <f t="shared" ref="P135:P140" si="51">"SY - Yunius Samara"</f>
        <v>SY - Yunius Samara</v>
      </c>
      <c r="Q135" s="52" t="str">
        <f t="shared" si="27"/>
        <v>KPS-10-05</v>
      </c>
    </row>
    <row r="136" spans="1:17" x14ac:dyDescent="0.35">
      <c r="A136" s="52" t="s">
        <v>6063</v>
      </c>
      <c r="C136" s="52" t="str">
        <f>"""TRUST Nav"",""HSPMTB2016"",""17"",""1"",""3697"""</f>
        <v>"TRUST Nav","HSPMTB2016","17","1","3697"</v>
      </c>
      <c r="D136" s="52" t="str">
        <f t="shared" si="41"/>
        <v>Customer</v>
      </c>
      <c r="I136" s="52" t="str">
        <f t="shared" si="29"/>
        <v>KK-04625|42217</v>
      </c>
      <c r="J136" s="82">
        <v>42368</v>
      </c>
      <c r="K136" s="52" t="str">
        <f t="shared" si="30"/>
        <v>Customer</v>
      </c>
      <c r="L136" s="52" t="str">
        <f t="shared" si="50"/>
        <v>KK-04625</v>
      </c>
      <c r="M136" s="52" t="s">
        <v>21002</v>
      </c>
      <c r="N136" s="2">
        <v>100000.00000000001</v>
      </c>
      <c r="O136" s="82">
        <v>42217</v>
      </c>
      <c r="P136" s="52" t="str">
        <f t="shared" si="51"/>
        <v>SY - Yunius Samara</v>
      </c>
      <c r="Q136" s="52" t="str">
        <f t="shared" si="27"/>
        <v>KPS-10-05</v>
      </c>
    </row>
    <row r="137" spans="1:17" x14ac:dyDescent="0.35">
      <c r="A137" s="52" t="s">
        <v>6063</v>
      </c>
      <c r="C137" s="52" t="str">
        <f>"""TRUST Nav"",""HSPMTB2016"",""17"",""1"",""3698"""</f>
        <v>"TRUST Nav","HSPMTB2016","17","1","3698"</v>
      </c>
      <c r="D137" s="52" t="str">
        <f t="shared" si="41"/>
        <v>Customer</v>
      </c>
      <c r="I137" s="52" t="str">
        <f t="shared" si="29"/>
        <v>KK-04625|42248</v>
      </c>
      <c r="J137" s="82">
        <v>42368</v>
      </c>
      <c r="K137" s="52" t="str">
        <f t="shared" si="30"/>
        <v>Customer</v>
      </c>
      <c r="L137" s="52" t="str">
        <f t="shared" si="50"/>
        <v>KK-04625</v>
      </c>
      <c r="M137" s="52" t="s">
        <v>21002</v>
      </c>
      <c r="N137" s="2">
        <v>100000.00000000001</v>
      </c>
      <c r="O137" s="82">
        <v>42248</v>
      </c>
      <c r="P137" s="52" t="str">
        <f t="shared" si="51"/>
        <v>SY - Yunius Samara</v>
      </c>
      <c r="Q137" s="52" t="str">
        <f t="shared" si="27"/>
        <v>KPS-10-05</v>
      </c>
    </row>
    <row r="138" spans="1:17" x14ac:dyDescent="0.35">
      <c r="A138" s="52" t="s">
        <v>6063</v>
      </c>
      <c r="C138" s="52" t="str">
        <f>"""TRUST Nav"",""HSPMTB2016"",""17"",""1"",""3699"""</f>
        <v>"TRUST Nav","HSPMTB2016","17","1","3699"</v>
      </c>
      <c r="D138" s="52" t="str">
        <f t="shared" si="41"/>
        <v>Customer</v>
      </c>
      <c r="I138" s="52" t="str">
        <f t="shared" si="29"/>
        <v>KK-04625|42278</v>
      </c>
      <c r="J138" s="82">
        <v>42368</v>
      </c>
      <c r="K138" s="52" t="str">
        <f t="shared" si="30"/>
        <v>Customer</v>
      </c>
      <c r="L138" s="52" t="str">
        <f t="shared" si="50"/>
        <v>KK-04625</v>
      </c>
      <c r="M138" s="52" t="s">
        <v>21002</v>
      </c>
      <c r="N138" s="2">
        <v>100000.00000000001</v>
      </c>
      <c r="O138" s="82">
        <v>42278</v>
      </c>
      <c r="P138" s="52" t="str">
        <f t="shared" si="51"/>
        <v>SY - Yunius Samara</v>
      </c>
      <c r="Q138" s="52" t="str">
        <f t="shared" si="27"/>
        <v>KPS-10-05</v>
      </c>
    </row>
    <row r="139" spans="1:17" x14ac:dyDescent="0.35">
      <c r="A139" s="52" t="s">
        <v>6063</v>
      </c>
      <c r="C139" s="52" t="str">
        <f>"""TRUST Nav"",""HSPMTB2016"",""17"",""1"",""3700"""</f>
        <v>"TRUST Nav","HSPMTB2016","17","1","3700"</v>
      </c>
      <c r="D139" s="52" t="str">
        <f t="shared" si="41"/>
        <v>Customer</v>
      </c>
      <c r="I139" s="52" t="str">
        <f t="shared" si="29"/>
        <v>KK-04625|42309</v>
      </c>
      <c r="J139" s="82">
        <v>42368</v>
      </c>
      <c r="K139" s="52" t="str">
        <f t="shared" si="30"/>
        <v>Customer</v>
      </c>
      <c r="L139" s="52" t="str">
        <f t="shared" si="50"/>
        <v>KK-04625</v>
      </c>
      <c r="M139" s="52" t="s">
        <v>21002</v>
      </c>
      <c r="N139" s="2">
        <v>100000.00000000001</v>
      </c>
      <c r="O139" s="82">
        <v>42309</v>
      </c>
      <c r="P139" s="52" t="str">
        <f t="shared" si="51"/>
        <v>SY - Yunius Samara</v>
      </c>
      <c r="Q139" s="52" t="str">
        <f t="shared" si="27"/>
        <v>KPS-10-05</v>
      </c>
    </row>
    <row r="140" spans="1:17" x14ac:dyDescent="0.35">
      <c r="A140" s="52" t="s">
        <v>6063</v>
      </c>
      <c r="C140" s="52" t="str">
        <f>"""TRUST Nav"",""HSPMTB2016"",""17"",""1"",""3701"""</f>
        <v>"TRUST Nav","HSPMTB2016","17","1","3701"</v>
      </c>
      <c r="D140" s="52" t="str">
        <f t="shared" si="41"/>
        <v>Customer</v>
      </c>
      <c r="I140" s="52" t="str">
        <f t="shared" si="29"/>
        <v>KK-04625|42339</v>
      </c>
      <c r="J140" s="82">
        <v>42368</v>
      </c>
      <c r="K140" s="52" t="str">
        <f t="shared" si="30"/>
        <v>Customer</v>
      </c>
      <c r="L140" s="52" t="str">
        <f t="shared" si="50"/>
        <v>KK-04625</v>
      </c>
      <c r="M140" s="52" t="s">
        <v>21002</v>
      </c>
      <c r="N140" s="2">
        <v>100000.00000000001</v>
      </c>
      <c r="O140" s="82">
        <v>42339</v>
      </c>
      <c r="P140" s="52" t="str">
        <f t="shared" si="51"/>
        <v>SY - Yunius Samara</v>
      </c>
      <c r="Q140" s="52" t="str">
        <f t="shared" si="27"/>
        <v>KPS-10-05</v>
      </c>
    </row>
    <row r="141" spans="1:17" x14ac:dyDescent="0.35">
      <c r="A141" s="52" t="s">
        <v>6063</v>
      </c>
      <c r="C141" s="52" t="str">
        <f>"""TRUST Nav"",""HSPMTB2016"",""17"",""1"",""3702"""</f>
        <v>"TRUST Nav","HSPMTB2016","17","1","3702"</v>
      </c>
      <c r="D141" s="52" t="str">
        <f t="shared" si="41"/>
        <v>Customer</v>
      </c>
      <c r="I141" s="52" t="str">
        <f t="shared" si="29"/>
        <v>KK-04626|42186</v>
      </c>
      <c r="J141" s="82">
        <v>42368</v>
      </c>
      <c r="K141" s="52" t="str">
        <f t="shared" si="30"/>
        <v>Customer</v>
      </c>
      <c r="L141" s="52" t="str">
        <f t="shared" ref="L141:L146" si="52">"KK-04626"</f>
        <v>KK-04626</v>
      </c>
      <c r="M141" s="52" t="s">
        <v>21003</v>
      </c>
      <c r="N141" s="2">
        <v>25000.000000000004</v>
      </c>
      <c r="O141" s="82">
        <v>42186</v>
      </c>
      <c r="P141" s="52" t="str">
        <f t="shared" ref="P141:P146" si="53">"SY - Hadi Suwana"</f>
        <v>SY - Hadi Suwana</v>
      </c>
      <c r="Q141" s="52" t="str">
        <f t="shared" ref="Q141:Q204" si="54">"KPS-10-05"</f>
        <v>KPS-10-05</v>
      </c>
    </row>
    <row r="142" spans="1:17" x14ac:dyDescent="0.35">
      <c r="A142" s="52" t="s">
        <v>6063</v>
      </c>
      <c r="C142" s="52" t="str">
        <f>"""TRUST Nav"",""HSPMTB2016"",""17"",""1"",""3703"""</f>
        <v>"TRUST Nav","HSPMTB2016","17","1","3703"</v>
      </c>
      <c r="D142" s="52" t="str">
        <f t="shared" si="41"/>
        <v>Customer</v>
      </c>
      <c r="I142" s="52" t="str">
        <f t="shared" ref="I142:I205" si="55">CONCATENATE(L142,"|",O142)</f>
        <v>KK-04626|42217</v>
      </c>
      <c r="J142" s="82">
        <v>42368</v>
      </c>
      <c r="K142" s="52" t="str">
        <f t="shared" ref="K142:K205" si="56">IF($D142="Customer",$D142,"G/L")</f>
        <v>Customer</v>
      </c>
      <c r="L142" s="52" t="str">
        <f t="shared" si="52"/>
        <v>KK-04626</v>
      </c>
      <c r="M142" s="52" t="s">
        <v>21003</v>
      </c>
      <c r="N142" s="2">
        <v>25000.000000000004</v>
      </c>
      <c r="O142" s="82">
        <v>42217</v>
      </c>
      <c r="P142" s="52" t="str">
        <f t="shared" si="53"/>
        <v>SY - Hadi Suwana</v>
      </c>
      <c r="Q142" s="52" t="str">
        <f t="shared" si="54"/>
        <v>KPS-10-05</v>
      </c>
    </row>
    <row r="143" spans="1:17" x14ac:dyDescent="0.35">
      <c r="A143" s="52" t="s">
        <v>6063</v>
      </c>
      <c r="C143" s="52" t="str">
        <f>"""TRUST Nav"",""HSPMTB2016"",""17"",""1"",""3704"""</f>
        <v>"TRUST Nav","HSPMTB2016","17","1","3704"</v>
      </c>
      <c r="D143" s="52" t="str">
        <f t="shared" si="41"/>
        <v>Customer</v>
      </c>
      <c r="I143" s="52" t="str">
        <f t="shared" si="55"/>
        <v>KK-04626|42248</v>
      </c>
      <c r="J143" s="82">
        <v>42368</v>
      </c>
      <c r="K143" s="52" t="str">
        <f t="shared" si="56"/>
        <v>Customer</v>
      </c>
      <c r="L143" s="52" t="str">
        <f t="shared" si="52"/>
        <v>KK-04626</v>
      </c>
      <c r="M143" s="52" t="s">
        <v>21003</v>
      </c>
      <c r="N143" s="2">
        <v>25000.000000000004</v>
      </c>
      <c r="O143" s="82">
        <v>42248</v>
      </c>
      <c r="P143" s="52" t="str">
        <f t="shared" si="53"/>
        <v>SY - Hadi Suwana</v>
      </c>
      <c r="Q143" s="52" t="str">
        <f t="shared" si="54"/>
        <v>KPS-10-05</v>
      </c>
    </row>
    <row r="144" spans="1:17" x14ac:dyDescent="0.35">
      <c r="A144" s="52" t="s">
        <v>6063</v>
      </c>
      <c r="C144" s="52" t="str">
        <f>"""TRUST Nav"",""HSPMTB2016"",""17"",""1"",""3705"""</f>
        <v>"TRUST Nav","HSPMTB2016","17","1","3705"</v>
      </c>
      <c r="D144" s="52" t="str">
        <f t="shared" si="41"/>
        <v>Customer</v>
      </c>
      <c r="I144" s="52" t="str">
        <f t="shared" si="55"/>
        <v>KK-04626|42278</v>
      </c>
      <c r="J144" s="82">
        <v>42368</v>
      </c>
      <c r="K144" s="52" t="str">
        <f t="shared" si="56"/>
        <v>Customer</v>
      </c>
      <c r="L144" s="52" t="str">
        <f t="shared" si="52"/>
        <v>KK-04626</v>
      </c>
      <c r="M144" s="52" t="s">
        <v>21003</v>
      </c>
      <c r="N144" s="2">
        <v>25000.000000000004</v>
      </c>
      <c r="O144" s="82">
        <v>42278</v>
      </c>
      <c r="P144" s="52" t="str">
        <f t="shared" si="53"/>
        <v>SY - Hadi Suwana</v>
      </c>
      <c r="Q144" s="52" t="str">
        <f t="shared" si="54"/>
        <v>KPS-10-05</v>
      </c>
    </row>
    <row r="145" spans="1:17" x14ac:dyDescent="0.35">
      <c r="A145" s="52" t="s">
        <v>6063</v>
      </c>
      <c r="C145" s="52" t="str">
        <f>"""TRUST Nav"",""HSPMTB2016"",""17"",""1"",""3706"""</f>
        <v>"TRUST Nav","HSPMTB2016","17","1","3706"</v>
      </c>
      <c r="D145" s="52" t="str">
        <f t="shared" si="41"/>
        <v>Customer</v>
      </c>
      <c r="I145" s="52" t="str">
        <f t="shared" si="55"/>
        <v>KK-04626|42309</v>
      </c>
      <c r="J145" s="82">
        <v>42368</v>
      </c>
      <c r="K145" s="52" t="str">
        <f t="shared" si="56"/>
        <v>Customer</v>
      </c>
      <c r="L145" s="52" t="str">
        <f t="shared" si="52"/>
        <v>KK-04626</v>
      </c>
      <c r="M145" s="52" t="s">
        <v>21003</v>
      </c>
      <c r="N145" s="2">
        <v>25000.000000000004</v>
      </c>
      <c r="O145" s="82">
        <v>42309</v>
      </c>
      <c r="P145" s="52" t="str">
        <f t="shared" si="53"/>
        <v>SY - Hadi Suwana</v>
      </c>
      <c r="Q145" s="52" t="str">
        <f t="shared" si="54"/>
        <v>KPS-10-05</v>
      </c>
    </row>
    <row r="146" spans="1:17" x14ac:dyDescent="0.35">
      <c r="A146" s="52" t="s">
        <v>6063</v>
      </c>
      <c r="C146" s="52" t="str">
        <f>"""TRUST Nav"",""HSPMTB2016"",""17"",""1"",""3707"""</f>
        <v>"TRUST Nav","HSPMTB2016","17","1","3707"</v>
      </c>
      <c r="D146" s="52" t="str">
        <f t="shared" si="41"/>
        <v>Customer</v>
      </c>
      <c r="I146" s="52" t="str">
        <f t="shared" si="55"/>
        <v>KK-04626|42339</v>
      </c>
      <c r="J146" s="82">
        <v>42368</v>
      </c>
      <c r="K146" s="52" t="str">
        <f t="shared" si="56"/>
        <v>Customer</v>
      </c>
      <c r="L146" s="52" t="str">
        <f t="shared" si="52"/>
        <v>KK-04626</v>
      </c>
      <c r="M146" s="52" t="s">
        <v>21003</v>
      </c>
      <c r="N146" s="2">
        <v>25000.000000000004</v>
      </c>
      <c r="O146" s="82">
        <v>42339</v>
      </c>
      <c r="P146" s="52" t="str">
        <f t="shared" si="53"/>
        <v>SY - Hadi Suwana</v>
      </c>
      <c r="Q146" s="52" t="str">
        <f t="shared" si="54"/>
        <v>KPS-10-05</v>
      </c>
    </row>
    <row r="147" spans="1:17" x14ac:dyDescent="0.35">
      <c r="A147" s="52" t="s">
        <v>6063</v>
      </c>
      <c r="C147" s="52" t="str">
        <f>"""TRUST Nav"",""HSPMTB2016"",""17"",""1"",""73457"""</f>
        <v>"TRUST Nav","HSPMTB2016","17","1","73457"</v>
      </c>
      <c r="D147" s="52" t="str">
        <f>" "</f>
        <v xml:space="preserve"> </v>
      </c>
      <c r="I147" s="52" t="str">
        <f t="shared" si="55"/>
        <v>|42370</v>
      </c>
      <c r="J147" s="82">
        <v>42400</v>
      </c>
      <c r="K147" s="52" t="str">
        <f t="shared" si="56"/>
        <v>G/L</v>
      </c>
      <c r="L147" s="52"/>
      <c r="M147" s="52" t="s">
        <v>20981</v>
      </c>
      <c r="N147" s="2">
        <v>20000</v>
      </c>
      <c r="O147" s="82">
        <v>42370</v>
      </c>
      <c r="P147" s="52" t="str">
        <f>"SY - Andreas Rasul"</f>
        <v>SY - Andreas Rasul</v>
      </c>
      <c r="Q147" s="52" t="str">
        <f t="shared" si="54"/>
        <v>KPS-10-05</v>
      </c>
    </row>
    <row r="148" spans="1:17" x14ac:dyDescent="0.35">
      <c r="A148" s="52" t="s">
        <v>6063</v>
      </c>
      <c r="C148" s="52" t="str">
        <f>"""TRUST Nav"",""HSPMTB2016"",""17"",""1"",""73438"""</f>
        <v>"TRUST Nav","HSPMTB2016","17","1","73438"</v>
      </c>
      <c r="D148" s="52" t="str">
        <f t="shared" ref="D148:D179" si="57">"Customer"</f>
        <v>Customer</v>
      </c>
      <c r="I148" s="52" t="str">
        <f t="shared" si="55"/>
        <v>KK-04599|42370</v>
      </c>
      <c r="J148" s="82">
        <v>42400</v>
      </c>
      <c r="K148" s="52" t="str">
        <f t="shared" si="56"/>
        <v>Customer</v>
      </c>
      <c r="L148" s="52" t="str">
        <f>"KK-04599"</f>
        <v>KK-04599</v>
      </c>
      <c r="M148" s="52" t="s">
        <v>20984</v>
      </c>
      <c r="N148" s="2">
        <v>50000.000000000007</v>
      </c>
      <c r="O148" s="82">
        <v>42370</v>
      </c>
      <c r="P148" s="52" t="str">
        <f>"SY - Bernardus Yogie Dirga Gunawan"</f>
        <v>SY - Bernardus Yogie Dirga Gunawan</v>
      </c>
      <c r="Q148" s="52" t="str">
        <f t="shared" si="54"/>
        <v>KPS-10-05</v>
      </c>
    </row>
    <row r="149" spans="1:17" x14ac:dyDescent="0.35">
      <c r="A149" s="52" t="s">
        <v>6063</v>
      </c>
      <c r="C149" s="52" t="str">
        <f>"""TRUST Nav"",""HSPMTB2016"",""17"",""1"",""73439"""</f>
        <v>"TRUST Nav","HSPMTB2016","17","1","73439"</v>
      </c>
      <c r="D149" s="52" t="str">
        <f t="shared" si="57"/>
        <v>Customer</v>
      </c>
      <c r="I149" s="52" t="str">
        <f t="shared" si="55"/>
        <v>KK-04599|42401</v>
      </c>
      <c r="J149" s="82">
        <v>42400</v>
      </c>
      <c r="K149" s="52" t="str">
        <f t="shared" si="56"/>
        <v>Customer</v>
      </c>
      <c r="L149" s="52" t="str">
        <f>"KK-04599"</f>
        <v>KK-04599</v>
      </c>
      <c r="M149" s="52" t="s">
        <v>20984</v>
      </c>
      <c r="N149" s="2">
        <v>50000.000000000007</v>
      </c>
      <c r="O149" s="82">
        <v>42401</v>
      </c>
      <c r="P149" s="52" t="str">
        <f>"SY - Bernardus Yogie Dirga Gunawan"</f>
        <v>SY - Bernardus Yogie Dirga Gunawan</v>
      </c>
      <c r="Q149" s="52" t="str">
        <f t="shared" si="54"/>
        <v>KPS-10-05</v>
      </c>
    </row>
    <row r="150" spans="1:17" x14ac:dyDescent="0.35">
      <c r="A150" s="52" t="s">
        <v>6063</v>
      </c>
      <c r="C150" s="52" t="str">
        <f>"""TRUST Nav"",""HSPMTB2016"",""17"",""1"",""73440"""</f>
        <v>"TRUST Nav","HSPMTB2016","17","1","73440"</v>
      </c>
      <c r="D150" s="52" t="str">
        <f t="shared" si="57"/>
        <v>Customer</v>
      </c>
      <c r="I150" s="52" t="str">
        <f t="shared" si="55"/>
        <v>KK-04626|42370</v>
      </c>
      <c r="J150" s="82">
        <v>42400</v>
      </c>
      <c r="K150" s="52" t="str">
        <f t="shared" si="56"/>
        <v>Customer</v>
      </c>
      <c r="L150" s="52" t="str">
        <f>"KK-04626"</f>
        <v>KK-04626</v>
      </c>
      <c r="M150" s="52" t="s">
        <v>21003</v>
      </c>
      <c r="N150" s="2">
        <v>25000.000000000004</v>
      </c>
      <c r="O150" s="82">
        <v>42370</v>
      </c>
      <c r="P150" s="52" t="str">
        <f>"SY - Hadi Suwana"</f>
        <v>SY - Hadi Suwana</v>
      </c>
      <c r="Q150" s="52" t="str">
        <f t="shared" si="54"/>
        <v>KPS-10-05</v>
      </c>
    </row>
    <row r="151" spans="1:17" x14ac:dyDescent="0.35">
      <c r="A151" s="52" t="s">
        <v>6063</v>
      </c>
      <c r="C151" s="52" t="str">
        <f>"""TRUST Nav"",""HSPMTB2016"",""17"",""1"",""73441"""</f>
        <v>"TRUST Nav","HSPMTB2016","17","1","73441"</v>
      </c>
      <c r="D151" s="52" t="str">
        <f t="shared" si="57"/>
        <v>Customer</v>
      </c>
      <c r="I151" s="52" t="str">
        <f t="shared" si="55"/>
        <v>KK-04626|42401</v>
      </c>
      <c r="J151" s="82">
        <v>42400</v>
      </c>
      <c r="K151" s="52" t="str">
        <f t="shared" si="56"/>
        <v>Customer</v>
      </c>
      <c r="L151" s="52" t="str">
        <f>"KK-04626"</f>
        <v>KK-04626</v>
      </c>
      <c r="M151" s="52" t="s">
        <v>21003</v>
      </c>
      <c r="N151" s="2">
        <v>25000.000000000004</v>
      </c>
      <c r="O151" s="82">
        <v>42401</v>
      </c>
      <c r="P151" s="52" t="str">
        <f>"SY - Hadi Suwana"</f>
        <v>SY - Hadi Suwana</v>
      </c>
      <c r="Q151" s="52" t="str">
        <f t="shared" si="54"/>
        <v>KPS-10-05</v>
      </c>
    </row>
    <row r="152" spans="1:17" x14ac:dyDescent="0.35">
      <c r="A152" s="52" t="s">
        <v>6063</v>
      </c>
      <c r="C152" s="52" t="str">
        <f>"""TRUST Nav"",""HSPMTB2016"",""17"",""1"",""73442"""</f>
        <v>"TRUST Nav","HSPMTB2016","17","1","73442"</v>
      </c>
      <c r="D152" s="52" t="str">
        <f t="shared" si="57"/>
        <v>Customer</v>
      </c>
      <c r="I152" s="52" t="str">
        <f t="shared" si="55"/>
        <v>KK-04626|42430</v>
      </c>
      <c r="J152" s="82">
        <v>42400</v>
      </c>
      <c r="K152" s="52" t="str">
        <f t="shared" si="56"/>
        <v>Customer</v>
      </c>
      <c r="L152" s="52" t="str">
        <f>"KK-04626"</f>
        <v>KK-04626</v>
      </c>
      <c r="M152" s="52" t="s">
        <v>21003</v>
      </c>
      <c r="N152" s="2">
        <v>25000.000000000004</v>
      </c>
      <c r="O152" s="82">
        <v>42430</v>
      </c>
      <c r="P152" s="52" t="str">
        <f>"SY - Hadi Suwana"</f>
        <v>SY - Hadi Suwana</v>
      </c>
      <c r="Q152" s="52" t="str">
        <f t="shared" si="54"/>
        <v>KPS-10-05</v>
      </c>
    </row>
    <row r="153" spans="1:17" x14ac:dyDescent="0.35">
      <c r="A153" s="52" t="s">
        <v>6063</v>
      </c>
      <c r="C153" s="52" t="str">
        <f>"""TRUST Nav"",""HSPMTB2016"",""17"",""1"",""73443"""</f>
        <v>"TRUST Nav","HSPMTB2016","17","1","73443"</v>
      </c>
      <c r="D153" s="52" t="str">
        <f t="shared" si="57"/>
        <v>Customer</v>
      </c>
      <c r="I153" s="52" t="str">
        <f t="shared" si="55"/>
        <v>KK-04626|42461</v>
      </c>
      <c r="J153" s="82">
        <v>42400</v>
      </c>
      <c r="K153" s="52" t="str">
        <f t="shared" si="56"/>
        <v>Customer</v>
      </c>
      <c r="L153" s="52" t="str">
        <f>"KK-04626"</f>
        <v>KK-04626</v>
      </c>
      <c r="M153" s="52" t="s">
        <v>21003</v>
      </c>
      <c r="N153" s="2">
        <v>25000.000000000004</v>
      </c>
      <c r="O153" s="82">
        <v>42461</v>
      </c>
      <c r="P153" s="52" t="str">
        <f>"SY - Hadi Suwana"</f>
        <v>SY - Hadi Suwana</v>
      </c>
      <c r="Q153" s="52" t="str">
        <f t="shared" si="54"/>
        <v>KPS-10-05</v>
      </c>
    </row>
    <row r="154" spans="1:17" x14ac:dyDescent="0.35">
      <c r="A154" s="52" t="s">
        <v>6063</v>
      </c>
      <c r="C154" s="52" t="str">
        <f>"""TRUST Nav"",""HSPMTB2016"",""17"",""1"",""73444"""</f>
        <v>"TRUST Nav","HSPMTB2016","17","1","73444"</v>
      </c>
      <c r="D154" s="52" t="str">
        <f t="shared" si="57"/>
        <v>Customer</v>
      </c>
      <c r="I154" s="52" t="str">
        <f t="shared" si="55"/>
        <v>KK-04607|42370</v>
      </c>
      <c r="J154" s="82">
        <v>42400</v>
      </c>
      <c r="K154" s="52" t="str">
        <f t="shared" si="56"/>
        <v>Customer</v>
      </c>
      <c r="L154" s="52" t="str">
        <f>"KK-04607"</f>
        <v>KK-04607</v>
      </c>
      <c r="M154" s="52" t="s">
        <v>20989</v>
      </c>
      <c r="N154" s="2">
        <v>75000</v>
      </c>
      <c r="O154" s="82">
        <v>42370</v>
      </c>
      <c r="P154" s="52" t="str">
        <f>"SY - Hendro Hartono"</f>
        <v>SY - Hendro Hartono</v>
      </c>
      <c r="Q154" s="52" t="str">
        <f t="shared" si="54"/>
        <v>KPS-10-05</v>
      </c>
    </row>
    <row r="155" spans="1:17" x14ac:dyDescent="0.35">
      <c r="A155" s="52" t="s">
        <v>6063</v>
      </c>
      <c r="C155" s="52" t="str">
        <f>"""TRUST Nav"",""HSPMTB2016"",""17"",""1"",""73445"""</f>
        <v>"TRUST Nav","HSPMTB2016","17","1","73445"</v>
      </c>
      <c r="D155" s="52" t="str">
        <f t="shared" si="57"/>
        <v>Customer</v>
      </c>
      <c r="I155" s="52" t="str">
        <f t="shared" si="55"/>
        <v>KK-04608|42370</v>
      </c>
      <c r="J155" s="82">
        <v>42400</v>
      </c>
      <c r="K155" s="52" t="str">
        <f t="shared" si="56"/>
        <v>Customer</v>
      </c>
      <c r="L155" s="52" t="str">
        <f>"KK-04608"</f>
        <v>KK-04608</v>
      </c>
      <c r="M155" s="52" t="s">
        <v>20990</v>
      </c>
      <c r="N155" s="2">
        <v>30000</v>
      </c>
      <c r="O155" s="82">
        <v>42370</v>
      </c>
      <c r="P155" s="52" t="str">
        <f>"SY - Heru Prawono"</f>
        <v>SY - Heru Prawono</v>
      </c>
      <c r="Q155" s="52" t="str">
        <f t="shared" si="54"/>
        <v>KPS-10-05</v>
      </c>
    </row>
    <row r="156" spans="1:17" x14ac:dyDescent="0.35">
      <c r="A156" s="52" t="s">
        <v>6063</v>
      </c>
      <c r="C156" s="52" t="str">
        <f>"""TRUST Nav"",""HSPMTB2016"",""17"",""1"",""73446"""</f>
        <v>"TRUST Nav","HSPMTB2016","17","1","73446"</v>
      </c>
      <c r="D156" s="52" t="str">
        <f t="shared" si="57"/>
        <v>Customer</v>
      </c>
      <c r="I156" s="52" t="str">
        <f t="shared" si="55"/>
        <v>KK-04611|42370</v>
      </c>
      <c r="J156" s="82">
        <v>42400</v>
      </c>
      <c r="K156" s="52" t="str">
        <f t="shared" si="56"/>
        <v>Customer</v>
      </c>
      <c r="L156" s="52" t="str">
        <f>"KK-04611"</f>
        <v>KK-04611</v>
      </c>
      <c r="M156" s="52" t="s">
        <v>20992</v>
      </c>
      <c r="N156" s="2">
        <v>10000</v>
      </c>
      <c r="O156" s="82">
        <v>42370</v>
      </c>
      <c r="P156" s="52" t="str">
        <f>"SY - Leonardus Tjhin Tje Ming"</f>
        <v>SY - Leonardus Tjhin Tje Ming</v>
      </c>
      <c r="Q156" s="52" t="str">
        <f t="shared" si="54"/>
        <v>KPS-10-05</v>
      </c>
    </row>
    <row r="157" spans="1:17" x14ac:dyDescent="0.35">
      <c r="A157" s="52" t="s">
        <v>6063</v>
      </c>
      <c r="C157" s="52" t="str">
        <f>"""TRUST Nav"",""HSPMTB2016"",""17"",""1"",""73447"""</f>
        <v>"TRUST Nav","HSPMTB2016","17","1","73447"</v>
      </c>
      <c r="D157" s="52" t="str">
        <f t="shared" si="57"/>
        <v>Customer</v>
      </c>
      <c r="I157" s="52" t="str">
        <f t="shared" si="55"/>
        <v>KK-04611|42401</v>
      </c>
      <c r="J157" s="82">
        <v>42400</v>
      </c>
      <c r="K157" s="52" t="str">
        <f t="shared" si="56"/>
        <v>Customer</v>
      </c>
      <c r="L157" s="52" t="str">
        <f>"KK-04611"</f>
        <v>KK-04611</v>
      </c>
      <c r="M157" s="52" t="s">
        <v>20992</v>
      </c>
      <c r="N157" s="2">
        <v>10000</v>
      </c>
      <c r="O157" s="82">
        <v>42401</v>
      </c>
      <c r="P157" s="52" t="str">
        <f>"SY - Leonardus Tjhin Tje Ming"</f>
        <v>SY - Leonardus Tjhin Tje Ming</v>
      </c>
      <c r="Q157" s="52" t="str">
        <f t="shared" si="54"/>
        <v>KPS-10-05</v>
      </c>
    </row>
    <row r="158" spans="1:17" x14ac:dyDescent="0.35">
      <c r="A158" s="52" t="s">
        <v>6063</v>
      </c>
      <c r="C158" s="52" t="str">
        <f>"""TRUST Nav"",""HSPMTB2016"",""17"",""1"",""73448"""</f>
        <v>"TRUST Nav","HSPMTB2016","17","1","73448"</v>
      </c>
      <c r="D158" s="52" t="str">
        <f t="shared" si="57"/>
        <v>Customer</v>
      </c>
      <c r="I158" s="52" t="str">
        <f t="shared" si="55"/>
        <v>KK-04611|42430</v>
      </c>
      <c r="J158" s="82">
        <v>42400</v>
      </c>
      <c r="K158" s="52" t="str">
        <f t="shared" si="56"/>
        <v>Customer</v>
      </c>
      <c r="L158" s="52" t="str">
        <f>"KK-04611"</f>
        <v>KK-04611</v>
      </c>
      <c r="M158" s="52" t="s">
        <v>20992</v>
      </c>
      <c r="N158" s="2">
        <v>10000</v>
      </c>
      <c r="O158" s="82">
        <v>42430</v>
      </c>
      <c r="P158" s="52" t="str">
        <f>"SY - Leonardus Tjhin Tje Ming"</f>
        <v>SY - Leonardus Tjhin Tje Ming</v>
      </c>
      <c r="Q158" s="52" t="str">
        <f t="shared" si="54"/>
        <v>KPS-10-05</v>
      </c>
    </row>
    <row r="159" spans="1:17" x14ac:dyDescent="0.35">
      <c r="A159" s="52" t="s">
        <v>6063</v>
      </c>
      <c r="C159" s="52" t="str">
        <f>"""TRUST Nav"",""HSPMTB2016"",""17"",""1"",""73449"""</f>
        <v>"TRUST Nav","HSPMTB2016","17","1","73449"</v>
      </c>
      <c r="D159" s="52" t="str">
        <f t="shared" si="57"/>
        <v>Customer</v>
      </c>
      <c r="I159" s="52" t="str">
        <f t="shared" si="55"/>
        <v>KK-04620|42370</v>
      </c>
      <c r="J159" s="82">
        <v>42400</v>
      </c>
      <c r="K159" s="52" t="str">
        <f t="shared" si="56"/>
        <v>Customer</v>
      </c>
      <c r="L159" s="52" t="str">
        <f t="shared" ref="L159:L164" si="58">"KK-04620"</f>
        <v>KK-04620</v>
      </c>
      <c r="M159" s="52" t="s">
        <v>20998</v>
      </c>
      <c r="N159" s="2">
        <v>150000</v>
      </c>
      <c r="O159" s="82">
        <v>42370</v>
      </c>
      <c r="P159" s="52" t="str">
        <f t="shared" ref="P159:P164" si="59">"SY - Stefanus Tudy Luchman"</f>
        <v>SY - Stefanus Tudy Luchman</v>
      </c>
      <c r="Q159" s="52" t="str">
        <f t="shared" si="54"/>
        <v>KPS-10-05</v>
      </c>
    </row>
    <row r="160" spans="1:17" x14ac:dyDescent="0.35">
      <c r="A160" s="52" t="s">
        <v>6063</v>
      </c>
      <c r="C160" s="52" t="str">
        <f>"""TRUST Nav"",""HSPMTB2016"",""17"",""1"",""73450"""</f>
        <v>"TRUST Nav","HSPMTB2016","17","1","73450"</v>
      </c>
      <c r="D160" s="52" t="str">
        <f t="shared" si="57"/>
        <v>Customer</v>
      </c>
      <c r="I160" s="52" t="str">
        <f t="shared" si="55"/>
        <v>KK-04620|42401</v>
      </c>
      <c r="J160" s="82">
        <v>42400</v>
      </c>
      <c r="K160" s="52" t="str">
        <f t="shared" si="56"/>
        <v>Customer</v>
      </c>
      <c r="L160" s="52" t="str">
        <f t="shared" si="58"/>
        <v>KK-04620</v>
      </c>
      <c r="M160" s="52" t="s">
        <v>20998</v>
      </c>
      <c r="N160" s="2">
        <v>150000</v>
      </c>
      <c r="O160" s="82">
        <v>42401</v>
      </c>
      <c r="P160" s="52" t="str">
        <f t="shared" si="59"/>
        <v>SY - Stefanus Tudy Luchman</v>
      </c>
      <c r="Q160" s="52" t="str">
        <f t="shared" si="54"/>
        <v>KPS-10-05</v>
      </c>
    </row>
    <row r="161" spans="1:17" x14ac:dyDescent="0.35">
      <c r="A161" s="52" t="s">
        <v>6063</v>
      </c>
      <c r="C161" s="52" t="str">
        <f>"""TRUST Nav"",""HSPMTB2016"",""17"",""1"",""73451"""</f>
        <v>"TRUST Nav","HSPMTB2016","17","1","73451"</v>
      </c>
      <c r="D161" s="52" t="str">
        <f t="shared" si="57"/>
        <v>Customer</v>
      </c>
      <c r="I161" s="52" t="str">
        <f t="shared" si="55"/>
        <v>KK-04620|42430</v>
      </c>
      <c r="J161" s="82">
        <v>42400</v>
      </c>
      <c r="K161" s="52" t="str">
        <f t="shared" si="56"/>
        <v>Customer</v>
      </c>
      <c r="L161" s="52" t="str">
        <f t="shared" si="58"/>
        <v>KK-04620</v>
      </c>
      <c r="M161" s="52" t="s">
        <v>20998</v>
      </c>
      <c r="N161" s="2">
        <v>150000</v>
      </c>
      <c r="O161" s="82">
        <v>42430</v>
      </c>
      <c r="P161" s="52" t="str">
        <f t="shared" si="59"/>
        <v>SY - Stefanus Tudy Luchman</v>
      </c>
      <c r="Q161" s="52" t="str">
        <f t="shared" si="54"/>
        <v>KPS-10-05</v>
      </c>
    </row>
    <row r="162" spans="1:17" x14ac:dyDescent="0.35">
      <c r="A162" s="52" t="s">
        <v>6063</v>
      </c>
      <c r="C162" s="52" t="str">
        <f>"""TRUST Nav"",""HSPMTB2016"",""17"",""1"",""73452"""</f>
        <v>"TRUST Nav","HSPMTB2016","17","1","73452"</v>
      </c>
      <c r="D162" s="52" t="str">
        <f t="shared" si="57"/>
        <v>Customer</v>
      </c>
      <c r="I162" s="52" t="str">
        <f t="shared" si="55"/>
        <v>KK-04620|42461</v>
      </c>
      <c r="J162" s="82">
        <v>42400</v>
      </c>
      <c r="K162" s="52" t="str">
        <f t="shared" si="56"/>
        <v>Customer</v>
      </c>
      <c r="L162" s="52" t="str">
        <f t="shared" si="58"/>
        <v>KK-04620</v>
      </c>
      <c r="M162" s="52" t="s">
        <v>20998</v>
      </c>
      <c r="N162" s="2">
        <v>150000</v>
      </c>
      <c r="O162" s="82">
        <v>42461</v>
      </c>
      <c r="P162" s="52" t="str">
        <f t="shared" si="59"/>
        <v>SY - Stefanus Tudy Luchman</v>
      </c>
      <c r="Q162" s="52" t="str">
        <f t="shared" si="54"/>
        <v>KPS-10-05</v>
      </c>
    </row>
    <row r="163" spans="1:17" x14ac:dyDescent="0.35">
      <c r="A163" s="52" t="s">
        <v>6063</v>
      </c>
      <c r="C163" s="52" t="str">
        <f>"""TRUST Nav"",""HSPMTB2016"",""17"",""1"",""73453"""</f>
        <v>"TRUST Nav","HSPMTB2016","17","1","73453"</v>
      </c>
      <c r="D163" s="52" t="str">
        <f t="shared" si="57"/>
        <v>Customer</v>
      </c>
      <c r="I163" s="52" t="str">
        <f t="shared" si="55"/>
        <v>KK-04620|42491</v>
      </c>
      <c r="J163" s="82">
        <v>42400</v>
      </c>
      <c r="K163" s="52" t="str">
        <f t="shared" si="56"/>
        <v>Customer</v>
      </c>
      <c r="L163" s="52" t="str">
        <f t="shared" si="58"/>
        <v>KK-04620</v>
      </c>
      <c r="M163" s="52" t="s">
        <v>20998</v>
      </c>
      <c r="N163" s="2">
        <v>150000</v>
      </c>
      <c r="O163" s="82">
        <v>42491</v>
      </c>
      <c r="P163" s="52" t="str">
        <f t="shared" si="59"/>
        <v>SY - Stefanus Tudy Luchman</v>
      </c>
      <c r="Q163" s="52" t="str">
        <f t="shared" si="54"/>
        <v>KPS-10-05</v>
      </c>
    </row>
    <row r="164" spans="1:17" x14ac:dyDescent="0.35">
      <c r="A164" s="52" t="s">
        <v>6063</v>
      </c>
      <c r="C164" s="52" t="str">
        <f>"""TRUST Nav"",""HSPMTB2016"",""17"",""1"",""73454"""</f>
        <v>"TRUST Nav","HSPMTB2016","17","1","73454"</v>
      </c>
      <c r="D164" s="52" t="str">
        <f t="shared" si="57"/>
        <v>Customer</v>
      </c>
      <c r="I164" s="52" t="str">
        <f t="shared" si="55"/>
        <v>KK-04620|42522</v>
      </c>
      <c r="J164" s="82">
        <v>42400</v>
      </c>
      <c r="K164" s="52" t="str">
        <f t="shared" si="56"/>
        <v>Customer</v>
      </c>
      <c r="L164" s="52" t="str">
        <f t="shared" si="58"/>
        <v>KK-04620</v>
      </c>
      <c r="M164" s="52" t="s">
        <v>20998</v>
      </c>
      <c r="N164" s="2">
        <v>150000</v>
      </c>
      <c r="O164" s="82">
        <v>42522</v>
      </c>
      <c r="P164" s="52" t="str">
        <f t="shared" si="59"/>
        <v>SY - Stefanus Tudy Luchman</v>
      </c>
      <c r="Q164" s="52" t="str">
        <f t="shared" si="54"/>
        <v>KPS-10-05</v>
      </c>
    </row>
    <row r="165" spans="1:17" x14ac:dyDescent="0.35">
      <c r="A165" s="52" t="s">
        <v>6063</v>
      </c>
      <c r="C165" s="52" t="str">
        <f>"""TRUST Nav"",""HSPMTB2016"",""17"",""1"",""73455"""</f>
        <v>"TRUST Nav","HSPMTB2016","17","1","73455"</v>
      </c>
      <c r="D165" s="52" t="str">
        <f t="shared" si="57"/>
        <v>Customer</v>
      </c>
      <c r="I165" s="52" t="str">
        <f t="shared" si="55"/>
        <v>KK-04621|42370</v>
      </c>
      <c r="J165" s="82">
        <v>42400</v>
      </c>
      <c r="K165" s="52" t="str">
        <f t="shared" si="56"/>
        <v>Customer</v>
      </c>
      <c r="L165" s="52" t="str">
        <f>"KK-04621"</f>
        <v>KK-04621</v>
      </c>
      <c r="M165" s="52" t="s">
        <v>20999</v>
      </c>
      <c r="N165" s="2">
        <v>25000.000000000004</v>
      </c>
      <c r="O165" s="82">
        <v>42370</v>
      </c>
      <c r="P165" s="52" t="str">
        <f>"SY - Tommy Prasetyo Utomo"</f>
        <v>SY - Tommy Prasetyo Utomo</v>
      </c>
      <c r="Q165" s="52" t="str">
        <f t="shared" si="54"/>
        <v>KPS-10-05</v>
      </c>
    </row>
    <row r="166" spans="1:17" x14ac:dyDescent="0.35">
      <c r="A166" s="52" t="s">
        <v>6063</v>
      </c>
      <c r="C166" s="52" t="str">
        <f>"""TRUST Nav"",""HSPMTB2016"",""17"",""1"",""73456"""</f>
        <v>"TRUST Nav","HSPMTB2016","17","1","73456"</v>
      </c>
      <c r="D166" s="52" t="str">
        <f t="shared" si="57"/>
        <v>Customer</v>
      </c>
      <c r="I166" s="52" t="str">
        <f t="shared" si="55"/>
        <v>KK-04625|42370</v>
      </c>
      <c r="J166" s="82">
        <v>42400</v>
      </c>
      <c r="K166" s="52" t="str">
        <f t="shared" si="56"/>
        <v>Customer</v>
      </c>
      <c r="L166" s="52" t="str">
        <f>"KK-04625"</f>
        <v>KK-04625</v>
      </c>
      <c r="M166" s="52" t="s">
        <v>21002</v>
      </c>
      <c r="N166" s="2">
        <v>100000.00000000001</v>
      </c>
      <c r="O166" s="82">
        <v>42370</v>
      </c>
      <c r="P166" s="52" t="str">
        <f>"SY - Yunius Samara"</f>
        <v>SY - Yunius Samara</v>
      </c>
      <c r="Q166" s="52" t="str">
        <f t="shared" si="54"/>
        <v>KPS-10-05</v>
      </c>
    </row>
    <row r="167" spans="1:17" x14ac:dyDescent="0.35">
      <c r="A167" s="52" t="s">
        <v>6063</v>
      </c>
      <c r="C167" s="52" t="str">
        <f>"""TRUST Nav"",""HSPMTB2016"",""17"",""1"",""85235"""</f>
        <v>"TRUST Nav","HSPMTB2016","17","1","85235"</v>
      </c>
      <c r="D167" s="52" t="str">
        <f t="shared" si="57"/>
        <v>Customer</v>
      </c>
      <c r="I167" s="52" t="str">
        <f t="shared" si="55"/>
        <v>KK-04597|42370</v>
      </c>
      <c r="J167" s="82">
        <v>42428</v>
      </c>
      <c r="K167" s="52" t="str">
        <f t="shared" si="56"/>
        <v>Customer</v>
      </c>
      <c r="L167" s="52" t="str">
        <f>"KK-04597"</f>
        <v>KK-04597</v>
      </c>
      <c r="M167" s="52" t="s">
        <v>20982</v>
      </c>
      <c r="N167" s="2">
        <v>20000</v>
      </c>
      <c r="O167" s="82">
        <v>42370</v>
      </c>
      <c r="P167" s="52" t="str">
        <f>"SY - Arief Wibawa"</f>
        <v>SY - Arief Wibawa</v>
      </c>
      <c r="Q167" s="52" t="str">
        <f t="shared" si="54"/>
        <v>KPS-10-05</v>
      </c>
    </row>
    <row r="168" spans="1:17" x14ac:dyDescent="0.35">
      <c r="A168" s="52" t="s">
        <v>6063</v>
      </c>
      <c r="C168" s="52" t="str">
        <f>"""TRUST Nav"",""HSPMTB2016"",""17"",""1"",""85236"""</f>
        <v>"TRUST Nav","HSPMTB2016","17","1","85236"</v>
      </c>
      <c r="D168" s="52" t="str">
        <f t="shared" si="57"/>
        <v>Customer</v>
      </c>
      <c r="I168" s="52" t="str">
        <f t="shared" si="55"/>
        <v>KK-04597|42401</v>
      </c>
      <c r="J168" s="82">
        <v>42428</v>
      </c>
      <c r="K168" s="52" t="str">
        <f t="shared" si="56"/>
        <v>Customer</v>
      </c>
      <c r="L168" s="52" t="str">
        <f>"KK-04597"</f>
        <v>KK-04597</v>
      </c>
      <c r="M168" s="52" t="s">
        <v>20982</v>
      </c>
      <c r="N168" s="2">
        <v>20000</v>
      </c>
      <c r="O168" s="82">
        <v>42401</v>
      </c>
      <c r="P168" s="52" t="str">
        <f>"SY - Arief Wibawa"</f>
        <v>SY - Arief Wibawa</v>
      </c>
      <c r="Q168" s="52" t="str">
        <f t="shared" si="54"/>
        <v>KPS-10-05</v>
      </c>
    </row>
    <row r="169" spans="1:17" x14ac:dyDescent="0.35">
      <c r="A169" s="52" t="s">
        <v>6063</v>
      </c>
      <c r="C169" s="52" t="str">
        <f>"""TRUST Nav"",""HSPMTB2016"",""17"",""1"",""85237"""</f>
        <v>"TRUST Nav","HSPMTB2016","17","1","85237"</v>
      </c>
      <c r="D169" s="52" t="str">
        <f t="shared" si="57"/>
        <v>Customer</v>
      </c>
      <c r="I169" s="52" t="str">
        <f t="shared" si="55"/>
        <v>KK-04597|42430</v>
      </c>
      <c r="J169" s="82">
        <v>42428</v>
      </c>
      <c r="K169" s="52" t="str">
        <f t="shared" si="56"/>
        <v>Customer</v>
      </c>
      <c r="L169" s="52" t="str">
        <f>"KK-04597"</f>
        <v>KK-04597</v>
      </c>
      <c r="M169" s="52" t="s">
        <v>20982</v>
      </c>
      <c r="N169" s="2">
        <v>20000</v>
      </c>
      <c r="O169" s="82">
        <v>42430</v>
      </c>
      <c r="P169" s="52" t="str">
        <f>"SY - Arief Wibawa"</f>
        <v>SY - Arief Wibawa</v>
      </c>
      <c r="Q169" s="52" t="str">
        <f t="shared" si="54"/>
        <v>KPS-10-05</v>
      </c>
    </row>
    <row r="170" spans="1:17" x14ac:dyDescent="0.35">
      <c r="A170" s="52" t="s">
        <v>6063</v>
      </c>
      <c r="C170" s="52" t="str">
        <f>"""TRUST Nav"",""HSPMTB2016"",""17"",""1"",""85238"""</f>
        <v>"TRUST Nav","HSPMTB2016","17","1","85238"</v>
      </c>
      <c r="D170" s="52" t="str">
        <f t="shared" si="57"/>
        <v>Customer</v>
      </c>
      <c r="I170" s="52" t="str">
        <f t="shared" si="55"/>
        <v>KK-04604|42186</v>
      </c>
      <c r="J170" s="82">
        <v>42428</v>
      </c>
      <c r="K170" s="52" t="str">
        <f t="shared" si="56"/>
        <v>Customer</v>
      </c>
      <c r="L170" s="52" t="str">
        <f t="shared" ref="L170:L175" si="60">"KK-04604"</f>
        <v>KK-04604</v>
      </c>
      <c r="M170" s="52" t="s">
        <v>21004</v>
      </c>
      <c r="N170" s="2">
        <v>60000</v>
      </c>
      <c r="O170" s="82">
        <v>42186</v>
      </c>
      <c r="P170" s="52" t="str">
        <f t="shared" ref="P170:P175" si="61">"SY - Dobbie Poniman"</f>
        <v>SY - Dobbie Poniman</v>
      </c>
      <c r="Q170" s="52" t="str">
        <f t="shared" si="54"/>
        <v>KPS-10-05</v>
      </c>
    </row>
    <row r="171" spans="1:17" x14ac:dyDescent="0.35">
      <c r="A171" s="52" t="s">
        <v>6063</v>
      </c>
      <c r="C171" s="52" t="str">
        <f>"""TRUST Nav"",""HSPMTB2016"",""17"",""1"",""85239"""</f>
        <v>"TRUST Nav","HSPMTB2016","17","1","85239"</v>
      </c>
      <c r="D171" s="52" t="str">
        <f t="shared" si="57"/>
        <v>Customer</v>
      </c>
      <c r="I171" s="52" t="str">
        <f t="shared" si="55"/>
        <v>KK-04604|42217</v>
      </c>
      <c r="J171" s="82">
        <v>42428</v>
      </c>
      <c r="K171" s="52" t="str">
        <f t="shared" si="56"/>
        <v>Customer</v>
      </c>
      <c r="L171" s="52" t="str">
        <f t="shared" si="60"/>
        <v>KK-04604</v>
      </c>
      <c r="M171" s="52" t="s">
        <v>21004</v>
      </c>
      <c r="N171" s="2">
        <v>15000</v>
      </c>
      <c r="O171" s="82">
        <v>42217</v>
      </c>
      <c r="P171" s="52" t="str">
        <f t="shared" si="61"/>
        <v>SY - Dobbie Poniman</v>
      </c>
      <c r="Q171" s="52" t="str">
        <f t="shared" si="54"/>
        <v>KPS-10-05</v>
      </c>
    </row>
    <row r="172" spans="1:17" x14ac:dyDescent="0.35">
      <c r="A172" s="52" t="s">
        <v>6063</v>
      </c>
      <c r="C172" s="52" t="str">
        <f>"""TRUST Nav"",""HSPMTB2016"",""17"",""1"",""85240"""</f>
        <v>"TRUST Nav","HSPMTB2016","17","1","85240"</v>
      </c>
      <c r="D172" s="52" t="str">
        <f t="shared" si="57"/>
        <v>Customer</v>
      </c>
      <c r="I172" s="52" t="str">
        <f t="shared" si="55"/>
        <v>KK-04604|42248</v>
      </c>
      <c r="J172" s="82">
        <v>42428</v>
      </c>
      <c r="K172" s="52" t="str">
        <f t="shared" si="56"/>
        <v>Customer</v>
      </c>
      <c r="L172" s="52" t="str">
        <f t="shared" si="60"/>
        <v>KK-04604</v>
      </c>
      <c r="M172" s="52" t="s">
        <v>21004</v>
      </c>
      <c r="N172" s="2">
        <v>15000</v>
      </c>
      <c r="O172" s="82">
        <v>42248</v>
      </c>
      <c r="P172" s="52" t="str">
        <f t="shared" si="61"/>
        <v>SY - Dobbie Poniman</v>
      </c>
      <c r="Q172" s="52" t="str">
        <f t="shared" si="54"/>
        <v>KPS-10-05</v>
      </c>
    </row>
    <row r="173" spans="1:17" x14ac:dyDescent="0.35">
      <c r="A173" s="52" t="s">
        <v>6063</v>
      </c>
      <c r="C173" s="52" t="str">
        <f>"""TRUST Nav"",""HSPMTB2016"",""17"",""1"",""85241"""</f>
        <v>"TRUST Nav","HSPMTB2016","17","1","85241"</v>
      </c>
      <c r="D173" s="52" t="str">
        <f t="shared" si="57"/>
        <v>Customer</v>
      </c>
      <c r="I173" s="52" t="str">
        <f t="shared" si="55"/>
        <v>KK-04604|42278</v>
      </c>
      <c r="J173" s="82">
        <v>42428</v>
      </c>
      <c r="K173" s="52" t="str">
        <f t="shared" si="56"/>
        <v>Customer</v>
      </c>
      <c r="L173" s="52" t="str">
        <f t="shared" si="60"/>
        <v>KK-04604</v>
      </c>
      <c r="M173" s="52" t="s">
        <v>21004</v>
      </c>
      <c r="N173" s="2">
        <v>15000</v>
      </c>
      <c r="O173" s="82">
        <v>42278</v>
      </c>
      <c r="P173" s="52" t="str">
        <f t="shared" si="61"/>
        <v>SY - Dobbie Poniman</v>
      </c>
      <c r="Q173" s="52" t="str">
        <f t="shared" si="54"/>
        <v>KPS-10-05</v>
      </c>
    </row>
    <row r="174" spans="1:17" x14ac:dyDescent="0.35">
      <c r="A174" s="52" t="s">
        <v>6063</v>
      </c>
      <c r="C174" s="52" t="str">
        <f>"""TRUST Nav"",""HSPMTB2016"",""17"",""1"",""85242"""</f>
        <v>"TRUST Nav","HSPMTB2016","17","1","85242"</v>
      </c>
      <c r="D174" s="52" t="str">
        <f t="shared" si="57"/>
        <v>Customer</v>
      </c>
      <c r="I174" s="52" t="str">
        <f t="shared" si="55"/>
        <v>KK-04604|42309</v>
      </c>
      <c r="J174" s="82">
        <v>42428</v>
      </c>
      <c r="K174" s="52" t="str">
        <f t="shared" si="56"/>
        <v>Customer</v>
      </c>
      <c r="L174" s="52" t="str">
        <f t="shared" si="60"/>
        <v>KK-04604</v>
      </c>
      <c r="M174" s="52" t="s">
        <v>21004</v>
      </c>
      <c r="N174" s="2">
        <v>15000</v>
      </c>
      <c r="O174" s="82">
        <v>42309</v>
      </c>
      <c r="P174" s="52" t="str">
        <f t="shared" si="61"/>
        <v>SY - Dobbie Poniman</v>
      </c>
      <c r="Q174" s="52" t="str">
        <f t="shared" si="54"/>
        <v>KPS-10-05</v>
      </c>
    </row>
    <row r="175" spans="1:17" x14ac:dyDescent="0.35">
      <c r="A175" s="52" t="s">
        <v>6063</v>
      </c>
      <c r="C175" s="52" t="str">
        <f>"""TRUST Nav"",""HSPMTB2016"",""17"",""1"",""85243"""</f>
        <v>"TRUST Nav","HSPMTB2016","17","1","85243"</v>
      </c>
      <c r="D175" s="52" t="str">
        <f t="shared" si="57"/>
        <v>Customer</v>
      </c>
      <c r="I175" s="52" t="str">
        <f t="shared" si="55"/>
        <v>KK-04604|42339</v>
      </c>
      <c r="J175" s="82">
        <v>42428</v>
      </c>
      <c r="K175" s="52" t="str">
        <f t="shared" si="56"/>
        <v>Customer</v>
      </c>
      <c r="L175" s="52" t="str">
        <f t="shared" si="60"/>
        <v>KK-04604</v>
      </c>
      <c r="M175" s="52" t="s">
        <v>21004</v>
      </c>
      <c r="N175" s="2">
        <v>15000</v>
      </c>
      <c r="O175" s="82">
        <v>42339</v>
      </c>
      <c r="P175" s="52" t="str">
        <f t="shared" si="61"/>
        <v>SY - Dobbie Poniman</v>
      </c>
      <c r="Q175" s="52" t="str">
        <f t="shared" si="54"/>
        <v>KPS-10-05</v>
      </c>
    </row>
    <row r="176" spans="1:17" x14ac:dyDescent="0.35">
      <c r="A176" s="52" t="s">
        <v>6063</v>
      </c>
      <c r="C176" s="52" t="str">
        <f>"""TRUST Nav"",""HSPMTB2016"",""17"",""1"",""85244"""</f>
        <v>"TRUST Nav","HSPMTB2016","17","1","85244"</v>
      </c>
      <c r="D176" s="52" t="str">
        <f t="shared" si="57"/>
        <v>Customer</v>
      </c>
      <c r="I176" s="52" t="str">
        <f t="shared" si="55"/>
        <v>KK-04606|42370</v>
      </c>
      <c r="J176" s="82">
        <v>42428</v>
      </c>
      <c r="K176" s="52" t="str">
        <f t="shared" si="56"/>
        <v>Customer</v>
      </c>
      <c r="L176" s="52" t="str">
        <f>"KK-04606"</f>
        <v>KK-04606</v>
      </c>
      <c r="M176" s="52" t="s">
        <v>20988</v>
      </c>
      <c r="N176" s="2">
        <v>50000.000000000007</v>
      </c>
      <c r="O176" s="82">
        <v>42370</v>
      </c>
      <c r="P176" s="52" t="str">
        <f>"SY - Hendra Kurniawan"</f>
        <v>SY - Hendra Kurniawan</v>
      </c>
      <c r="Q176" s="52" t="str">
        <f t="shared" si="54"/>
        <v>KPS-10-05</v>
      </c>
    </row>
    <row r="177" spans="1:17" x14ac:dyDescent="0.35">
      <c r="A177" s="52" t="s">
        <v>6063</v>
      </c>
      <c r="C177" s="52" t="str">
        <f>"""TRUST Nav"",""HSPMTB2016"",""17"",""1"",""85245"""</f>
        <v>"TRUST Nav","HSPMTB2016","17","1","85245"</v>
      </c>
      <c r="D177" s="52" t="str">
        <f t="shared" si="57"/>
        <v>Customer</v>
      </c>
      <c r="I177" s="52" t="str">
        <f t="shared" si="55"/>
        <v>KK-04606|42401</v>
      </c>
      <c r="J177" s="82">
        <v>42428</v>
      </c>
      <c r="K177" s="52" t="str">
        <f t="shared" si="56"/>
        <v>Customer</v>
      </c>
      <c r="L177" s="52" t="str">
        <f>"KK-04606"</f>
        <v>KK-04606</v>
      </c>
      <c r="M177" s="52" t="s">
        <v>20988</v>
      </c>
      <c r="N177" s="2">
        <v>50000.000000000007</v>
      </c>
      <c r="O177" s="82">
        <v>42401</v>
      </c>
      <c r="P177" s="52" t="str">
        <f>"SY - Hendra Kurniawan"</f>
        <v>SY - Hendra Kurniawan</v>
      </c>
      <c r="Q177" s="52" t="str">
        <f t="shared" si="54"/>
        <v>KPS-10-05</v>
      </c>
    </row>
    <row r="178" spans="1:17" x14ac:dyDescent="0.35">
      <c r="A178" s="52" t="s">
        <v>6063</v>
      </c>
      <c r="C178" s="52" t="str">
        <f>"""TRUST Nav"",""HSPMTB2016"",""17"",""1"",""85246"""</f>
        <v>"TRUST Nav","HSPMTB2016","17","1","85246"</v>
      </c>
      <c r="D178" s="52" t="str">
        <f t="shared" si="57"/>
        <v>Customer</v>
      </c>
      <c r="I178" s="52" t="str">
        <f t="shared" si="55"/>
        <v>KK-04606|42430</v>
      </c>
      <c r="J178" s="82">
        <v>42428</v>
      </c>
      <c r="K178" s="52" t="str">
        <f t="shared" si="56"/>
        <v>Customer</v>
      </c>
      <c r="L178" s="52" t="str">
        <f>"KK-04606"</f>
        <v>KK-04606</v>
      </c>
      <c r="M178" s="52" t="s">
        <v>20988</v>
      </c>
      <c r="N178" s="2">
        <v>50000.000000000007</v>
      </c>
      <c r="O178" s="82">
        <v>42430</v>
      </c>
      <c r="P178" s="52" t="str">
        <f>"SY - Hendra Kurniawan"</f>
        <v>SY - Hendra Kurniawan</v>
      </c>
      <c r="Q178" s="52" t="str">
        <f t="shared" si="54"/>
        <v>KPS-10-05</v>
      </c>
    </row>
    <row r="179" spans="1:17" x14ac:dyDescent="0.35">
      <c r="A179" s="52" t="s">
        <v>6063</v>
      </c>
      <c r="C179" s="52" t="str">
        <f>"""TRUST Nav"",""HSPMTB2016"",""17"",""1"",""85247"""</f>
        <v>"TRUST Nav","HSPMTB2016","17","1","85247"</v>
      </c>
      <c r="D179" s="52" t="str">
        <f t="shared" si="57"/>
        <v>Customer</v>
      </c>
      <c r="I179" s="52" t="str">
        <f t="shared" si="55"/>
        <v>KK-04608|42401</v>
      </c>
      <c r="J179" s="82">
        <v>42428</v>
      </c>
      <c r="K179" s="52" t="str">
        <f t="shared" si="56"/>
        <v>Customer</v>
      </c>
      <c r="L179" s="52" t="str">
        <f>"KK-04608"</f>
        <v>KK-04608</v>
      </c>
      <c r="M179" s="52" t="s">
        <v>20990</v>
      </c>
      <c r="N179" s="2">
        <v>30000</v>
      </c>
      <c r="O179" s="82">
        <v>42401</v>
      </c>
      <c r="P179" s="52" t="str">
        <f>"SY - Heru Prawono"</f>
        <v>SY - Heru Prawono</v>
      </c>
      <c r="Q179" s="52" t="str">
        <f t="shared" si="54"/>
        <v>KPS-10-05</v>
      </c>
    </row>
    <row r="180" spans="1:17" x14ac:dyDescent="0.35">
      <c r="A180" s="52" t="s">
        <v>6063</v>
      </c>
      <c r="C180" s="52" t="str">
        <f>"""TRUST Nav"",""HSPMTB2016"",""17"",""1"",""85248"""</f>
        <v>"TRUST Nav","HSPMTB2016","17","1","85248"</v>
      </c>
      <c r="D180" s="52" t="str">
        <f t="shared" ref="D180:D211" si="62">"Customer"</f>
        <v>Customer</v>
      </c>
      <c r="I180" s="52" t="str">
        <f t="shared" si="55"/>
        <v>KK-04609|42370</v>
      </c>
      <c r="J180" s="82">
        <v>42428</v>
      </c>
      <c r="K180" s="52" t="str">
        <f t="shared" si="56"/>
        <v>Customer</v>
      </c>
      <c r="L180" s="52" t="str">
        <f>"KK-04609"</f>
        <v>KK-04609</v>
      </c>
      <c r="M180" s="52" t="s">
        <v>20991</v>
      </c>
      <c r="N180" s="2">
        <v>25000.000000000004</v>
      </c>
      <c r="O180" s="82">
        <v>42370</v>
      </c>
      <c r="P180" s="52" t="str">
        <f>"SY - Jofenwali"</f>
        <v>SY - Jofenwali</v>
      </c>
      <c r="Q180" s="52" t="str">
        <f t="shared" si="54"/>
        <v>KPS-10-05</v>
      </c>
    </row>
    <row r="181" spans="1:17" x14ac:dyDescent="0.35">
      <c r="A181" s="52" t="s">
        <v>6063</v>
      </c>
      <c r="C181" s="52" t="str">
        <f>"""TRUST Nav"",""HSPMTB2016"",""17"",""1"",""85249"""</f>
        <v>"TRUST Nav","HSPMTB2016","17","1","85249"</v>
      </c>
      <c r="D181" s="52" t="str">
        <f t="shared" si="62"/>
        <v>Customer</v>
      </c>
      <c r="I181" s="52" t="str">
        <f t="shared" si="55"/>
        <v>KK-04609|42401</v>
      </c>
      <c r="J181" s="82">
        <v>42428</v>
      </c>
      <c r="K181" s="52" t="str">
        <f t="shared" si="56"/>
        <v>Customer</v>
      </c>
      <c r="L181" s="52" t="str">
        <f>"KK-04609"</f>
        <v>KK-04609</v>
      </c>
      <c r="M181" s="52" t="s">
        <v>20991</v>
      </c>
      <c r="N181" s="2">
        <v>25000.000000000004</v>
      </c>
      <c r="O181" s="82">
        <v>42401</v>
      </c>
      <c r="P181" s="52" t="str">
        <f>"SY - Jofenwali"</f>
        <v>SY - Jofenwali</v>
      </c>
      <c r="Q181" s="52" t="str">
        <f t="shared" si="54"/>
        <v>KPS-10-05</v>
      </c>
    </row>
    <row r="182" spans="1:17" x14ac:dyDescent="0.35">
      <c r="A182" s="52" t="s">
        <v>6063</v>
      </c>
      <c r="C182" s="52" t="str">
        <f>"""TRUST Nav"",""HSPMTB2016"",""17"",""1"",""85250"""</f>
        <v>"TRUST Nav","HSPMTB2016","17","1","85250"</v>
      </c>
      <c r="D182" s="52" t="str">
        <f t="shared" si="62"/>
        <v>Customer</v>
      </c>
      <c r="I182" s="52" t="str">
        <f t="shared" si="55"/>
        <v>KK-04613|42370</v>
      </c>
      <c r="J182" s="82">
        <v>42428</v>
      </c>
      <c r="K182" s="52" t="str">
        <f t="shared" si="56"/>
        <v>Customer</v>
      </c>
      <c r="L182" s="52" t="str">
        <f>"KK-04613"</f>
        <v>KK-04613</v>
      </c>
      <c r="M182" s="52" t="s">
        <v>20994</v>
      </c>
      <c r="N182" s="2">
        <v>20000</v>
      </c>
      <c r="O182" s="82">
        <v>42370</v>
      </c>
      <c r="P182" s="52" t="str">
        <f>"SY - Lucia Septiana.P"</f>
        <v>SY - Lucia Septiana.P</v>
      </c>
      <c r="Q182" s="52" t="str">
        <f t="shared" si="54"/>
        <v>KPS-10-05</v>
      </c>
    </row>
    <row r="183" spans="1:17" x14ac:dyDescent="0.35">
      <c r="A183" s="52" t="s">
        <v>6063</v>
      </c>
      <c r="C183" s="52" t="str">
        <f>"""TRUST Nav"",""HSPMTB2016"",""17"",""1"",""85251"""</f>
        <v>"TRUST Nav","HSPMTB2016","17","1","85251"</v>
      </c>
      <c r="D183" s="52" t="str">
        <f t="shared" si="62"/>
        <v>Customer</v>
      </c>
      <c r="I183" s="52" t="str">
        <f t="shared" si="55"/>
        <v>KK-04613|42401</v>
      </c>
      <c r="J183" s="82">
        <v>42428</v>
      </c>
      <c r="K183" s="52" t="str">
        <f t="shared" si="56"/>
        <v>Customer</v>
      </c>
      <c r="L183" s="52" t="str">
        <f>"KK-04613"</f>
        <v>KK-04613</v>
      </c>
      <c r="M183" s="52" t="s">
        <v>20994</v>
      </c>
      <c r="N183" s="2">
        <v>20000</v>
      </c>
      <c r="O183" s="82">
        <v>42401</v>
      </c>
      <c r="P183" s="52" t="str">
        <f>"SY - Lucia Septiana.P"</f>
        <v>SY - Lucia Septiana.P</v>
      </c>
      <c r="Q183" s="52" t="str">
        <f t="shared" si="54"/>
        <v>KPS-10-05</v>
      </c>
    </row>
    <row r="184" spans="1:17" x14ac:dyDescent="0.35">
      <c r="A184" s="52" t="s">
        <v>6063</v>
      </c>
      <c r="C184" s="52" t="str">
        <f>"""TRUST Nav"",""HSPMTB2016"",""17"",""1"",""85252"""</f>
        <v>"TRUST Nav","HSPMTB2016","17","1","85252"</v>
      </c>
      <c r="D184" s="52" t="str">
        <f t="shared" si="62"/>
        <v>Customer</v>
      </c>
      <c r="I184" s="52" t="str">
        <f t="shared" si="55"/>
        <v>KK-04613|42430</v>
      </c>
      <c r="J184" s="82">
        <v>42428</v>
      </c>
      <c r="K184" s="52" t="str">
        <f t="shared" si="56"/>
        <v>Customer</v>
      </c>
      <c r="L184" s="52" t="str">
        <f>"KK-04613"</f>
        <v>KK-04613</v>
      </c>
      <c r="M184" s="52" t="s">
        <v>20994</v>
      </c>
      <c r="N184" s="2">
        <v>20000</v>
      </c>
      <c r="O184" s="82">
        <v>42430</v>
      </c>
      <c r="P184" s="52" t="str">
        <f>"SY - Lucia Septiana.P"</f>
        <v>SY - Lucia Septiana.P</v>
      </c>
      <c r="Q184" s="52" t="str">
        <f t="shared" si="54"/>
        <v>KPS-10-05</v>
      </c>
    </row>
    <row r="185" spans="1:17" x14ac:dyDescent="0.35">
      <c r="A185" s="52" t="s">
        <v>6063</v>
      </c>
      <c r="C185" s="52" t="str">
        <f>"""TRUST Nav"",""HSPMTB2016"",""17"",""1"",""85253"""</f>
        <v>"TRUST Nav","HSPMTB2016","17","1","85253"</v>
      </c>
      <c r="D185" s="52" t="str">
        <f t="shared" si="62"/>
        <v>Customer</v>
      </c>
      <c r="I185" s="52" t="str">
        <f t="shared" si="55"/>
        <v>KK-04613|42461</v>
      </c>
      <c r="J185" s="82">
        <v>42428</v>
      </c>
      <c r="K185" s="52" t="str">
        <f t="shared" si="56"/>
        <v>Customer</v>
      </c>
      <c r="L185" s="52" t="str">
        <f>"KK-04613"</f>
        <v>KK-04613</v>
      </c>
      <c r="M185" s="52" t="s">
        <v>20994</v>
      </c>
      <c r="N185" s="2">
        <v>20000</v>
      </c>
      <c r="O185" s="82">
        <v>42461</v>
      </c>
      <c r="P185" s="52" t="str">
        <f>"SY - Lucia Septiana.P"</f>
        <v>SY - Lucia Septiana.P</v>
      </c>
      <c r="Q185" s="52" t="str">
        <f t="shared" si="54"/>
        <v>KPS-10-05</v>
      </c>
    </row>
    <row r="186" spans="1:17" x14ac:dyDescent="0.35">
      <c r="A186" s="52" t="s">
        <v>6063</v>
      </c>
      <c r="C186" s="52" t="str">
        <f>"""TRUST Nav"",""HSPMTB2016"",""17"",""1"",""85254"""</f>
        <v>"TRUST Nav","HSPMTB2016","17","1","85254"</v>
      </c>
      <c r="D186" s="52" t="str">
        <f t="shared" si="62"/>
        <v>Customer</v>
      </c>
      <c r="I186" s="52" t="str">
        <f t="shared" si="55"/>
        <v>KK-04617|42217</v>
      </c>
      <c r="J186" s="82">
        <v>42428</v>
      </c>
      <c r="K186" s="52" t="str">
        <f t="shared" si="56"/>
        <v>Customer</v>
      </c>
      <c r="L186" s="52" t="str">
        <f>"KK-04617"</f>
        <v>KK-04617</v>
      </c>
      <c r="M186" s="52" t="s">
        <v>20996</v>
      </c>
      <c r="N186" s="2">
        <v>20000</v>
      </c>
      <c r="O186" s="82">
        <v>42217</v>
      </c>
      <c r="P186" s="52" t="str">
        <f>"SY - Rudolf Hendricus Poluan"</f>
        <v>SY - Rudolf Hendricus Poluan</v>
      </c>
      <c r="Q186" s="52" t="str">
        <f t="shared" si="54"/>
        <v>KPS-10-05</v>
      </c>
    </row>
    <row r="187" spans="1:17" x14ac:dyDescent="0.35">
      <c r="A187" s="52" t="s">
        <v>6063</v>
      </c>
      <c r="C187" s="52" t="str">
        <f>"""TRUST Nav"",""HSPMTB2016"",""17"",""1"",""85255"""</f>
        <v>"TRUST Nav","HSPMTB2016","17","1","85255"</v>
      </c>
      <c r="D187" s="52" t="str">
        <f t="shared" si="62"/>
        <v>Customer</v>
      </c>
      <c r="I187" s="52" t="str">
        <f t="shared" si="55"/>
        <v>KK-04617|42248</v>
      </c>
      <c r="J187" s="82">
        <v>42428</v>
      </c>
      <c r="K187" s="52" t="str">
        <f t="shared" si="56"/>
        <v>Customer</v>
      </c>
      <c r="L187" s="52" t="str">
        <f>"KK-04617"</f>
        <v>KK-04617</v>
      </c>
      <c r="M187" s="52" t="s">
        <v>20996</v>
      </c>
      <c r="N187" s="2">
        <v>20000</v>
      </c>
      <c r="O187" s="82">
        <v>42248</v>
      </c>
      <c r="P187" s="52" t="str">
        <f>"SY - Rudolf Hendricus Poluan"</f>
        <v>SY - Rudolf Hendricus Poluan</v>
      </c>
      <c r="Q187" s="52" t="str">
        <f t="shared" si="54"/>
        <v>KPS-10-05</v>
      </c>
    </row>
    <row r="188" spans="1:17" x14ac:dyDescent="0.35">
      <c r="A188" s="52" t="s">
        <v>6063</v>
      </c>
      <c r="C188" s="52" t="str">
        <f>"""TRUST Nav"",""HSPMTB2016"",""17"",""1"",""85256"""</f>
        <v>"TRUST Nav","HSPMTB2016","17","1","85256"</v>
      </c>
      <c r="D188" s="52" t="str">
        <f t="shared" si="62"/>
        <v>Customer</v>
      </c>
      <c r="I188" s="52" t="str">
        <f t="shared" si="55"/>
        <v>KK-04617|42278</v>
      </c>
      <c r="J188" s="82">
        <v>42428</v>
      </c>
      <c r="K188" s="52" t="str">
        <f t="shared" si="56"/>
        <v>Customer</v>
      </c>
      <c r="L188" s="52" t="str">
        <f>"KK-04617"</f>
        <v>KK-04617</v>
      </c>
      <c r="M188" s="52" t="s">
        <v>20996</v>
      </c>
      <c r="N188" s="2">
        <v>20000</v>
      </c>
      <c r="O188" s="82">
        <v>42278</v>
      </c>
      <c r="P188" s="52" t="str">
        <f>"SY - Rudolf Hendricus Poluan"</f>
        <v>SY - Rudolf Hendricus Poluan</v>
      </c>
      <c r="Q188" s="52" t="str">
        <f t="shared" si="54"/>
        <v>KPS-10-05</v>
      </c>
    </row>
    <row r="189" spans="1:17" x14ac:dyDescent="0.35">
      <c r="A189" s="52" t="s">
        <v>6063</v>
      </c>
      <c r="C189" s="52" t="str">
        <f>"""TRUST Nav"",""HSPMTB2016"",""17"",""1"",""85257"""</f>
        <v>"TRUST Nav","HSPMTB2016","17","1","85257"</v>
      </c>
      <c r="D189" s="52" t="str">
        <f t="shared" si="62"/>
        <v>Customer</v>
      </c>
      <c r="I189" s="52" t="str">
        <f t="shared" si="55"/>
        <v>KK-04617|42309</v>
      </c>
      <c r="J189" s="82">
        <v>42428</v>
      </c>
      <c r="K189" s="52" t="str">
        <f t="shared" si="56"/>
        <v>Customer</v>
      </c>
      <c r="L189" s="52" t="str">
        <f>"KK-04617"</f>
        <v>KK-04617</v>
      </c>
      <c r="M189" s="52" t="s">
        <v>20996</v>
      </c>
      <c r="N189" s="2">
        <v>20000</v>
      </c>
      <c r="O189" s="82">
        <v>42309</v>
      </c>
      <c r="P189" s="52" t="str">
        <f>"SY - Rudolf Hendricus Poluan"</f>
        <v>SY - Rudolf Hendricus Poluan</v>
      </c>
      <c r="Q189" s="52" t="str">
        <f t="shared" si="54"/>
        <v>KPS-10-05</v>
      </c>
    </row>
    <row r="190" spans="1:17" x14ac:dyDescent="0.35">
      <c r="A190" s="52" t="s">
        <v>6063</v>
      </c>
      <c r="C190" s="52" t="str">
        <f>"""TRUST Nav"",""HSPMTB2016"",""17"",""1"",""85258"""</f>
        <v>"TRUST Nav","HSPMTB2016","17","1","85258"</v>
      </c>
      <c r="D190" s="52" t="str">
        <f t="shared" si="62"/>
        <v>Customer</v>
      </c>
      <c r="I190" s="52" t="str">
        <f t="shared" si="55"/>
        <v>KK-04617|42339</v>
      </c>
      <c r="J190" s="82">
        <v>42428</v>
      </c>
      <c r="K190" s="52" t="str">
        <f t="shared" si="56"/>
        <v>Customer</v>
      </c>
      <c r="L190" s="52" t="str">
        <f>"KK-04617"</f>
        <v>KK-04617</v>
      </c>
      <c r="M190" s="52" t="s">
        <v>20996</v>
      </c>
      <c r="N190" s="2">
        <v>20000</v>
      </c>
      <c r="O190" s="82">
        <v>42339</v>
      </c>
      <c r="P190" s="52" t="str">
        <f>"SY - Rudolf Hendricus Poluan"</f>
        <v>SY - Rudolf Hendricus Poluan</v>
      </c>
      <c r="Q190" s="52" t="str">
        <f t="shared" si="54"/>
        <v>KPS-10-05</v>
      </c>
    </row>
    <row r="191" spans="1:17" x14ac:dyDescent="0.35">
      <c r="A191" s="52" t="s">
        <v>6063</v>
      </c>
      <c r="C191" s="52" t="str">
        <f>"""TRUST Nav"",""HSPMTB2016"",""17"",""1"",""85259"""</f>
        <v>"TRUST Nav","HSPMTB2016","17","1","85259"</v>
      </c>
      <c r="D191" s="52" t="str">
        <f t="shared" si="62"/>
        <v>Customer</v>
      </c>
      <c r="I191" s="52" t="str">
        <f t="shared" si="55"/>
        <v>KK-04621|42401</v>
      </c>
      <c r="J191" s="82">
        <v>42428</v>
      </c>
      <c r="K191" s="52" t="str">
        <f t="shared" si="56"/>
        <v>Customer</v>
      </c>
      <c r="L191" s="52" t="str">
        <f>"KK-04621"</f>
        <v>KK-04621</v>
      </c>
      <c r="M191" s="52" t="s">
        <v>20999</v>
      </c>
      <c r="N191" s="2">
        <v>25000.000000000004</v>
      </c>
      <c r="O191" s="82">
        <v>42401</v>
      </c>
      <c r="P191" s="52" t="str">
        <f>"SY - Tommy Prasetyo Utomo"</f>
        <v>SY - Tommy Prasetyo Utomo</v>
      </c>
      <c r="Q191" s="52" t="str">
        <f t="shared" si="54"/>
        <v>KPS-10-05</v>
      </c>
    </row>
    <row r="192" spans="1:17" x14ac:dyDescent="0.35">
      <c r="A192" s="52" t="s">
        <v>6063</v>
      </c>
      <c r="C192" s="52" t="str">
        <f>"""TRUST Nav"",""HSPMTB2016"",""17"",""1"",""85260"""</f>
        <v>"TRUST Nav","HSPMTB2016","17","1","85260"</v>
      </c>
      <c r="D192" s="52" t="str">
        <f t="shared" si="62"/>
        <v>Customer</v>
      </c>
      <c r="I192" s="52" t="str">
        <f t="shared" si="55"/>
        <v>KK-04622|42370</v>
      </c>
      <c r="J192" s="82">
        <v>42428</v>
      </c>
      <c r="K192" s="52" t="str">
        <f t="shared" si="56"/>
        <v>Customer</v>
      </c>
      <c r="L192" s="52" t="str">
        <f>"KK-04622"</f>
        <v>KK-04622</v>
      </c>
      <c r="M192" s="52" t="s">
        <v>21000</v>
      </c>
      <c r="N192" s="2">
        <v>35000</v>
      </c>
      <c r="O192" s="82">
        <v>42370</v>
      </c>
      <c r="P192" s="52" t="str">
        <f>"SY - Tri Saptono Vinsentius "</f>
        <v xml:space="preserve">SY - Tri Saptono Vinsentius </v>
      </c>
      <c r="Q192" s="52" t="str">
        <f t="shared" si="54"/>
        <v>KPS-10-05</v>
      </c>
    </row>
    <row r="193" spans="1:17" x14ac:dyDescent="0.35">
      <c r="A193" s="52" t="s">
        <v>6063</v>
      </c>
      <c r="C193" s="52" t="str">
        <f>"""TRUST Nav"",""HSPMTB2016"",""17"",""1"",""85261"""</f>
        <v>"TRUST Nav","HSPMTB2016","17","1","85261"</v>
      </c>
      <c r="D193" s="52" t="str">
        <f t="shared" si="62"/>
        <v>Customer</v>
      </c>
      <c r="I193" s="52" t="str">
        <f t="shared" si="55"/>
        <v>KK-04624|42370</v>
      </c>
      <c r="J193" s="82">
        <v>42428</v>
      </c>
      <c r="K193" s="52" t="str">
        <f t="shared" si="56"/>
        <v>Customer</v>
      </c>
      <c r="L193" s="52" t="str">
        <f t="shared" ref="L193:L198" si="63">"KK-04624"</f>
        <v>KK-04624</v>
      </c>
      <c r="M193" s="52" t="s">
        <v>21001</v>
      </c>
      <c r="N193" s="2">
        <v>40000</v>
      </c>
      <c r="O193" s="82">
        <v>42370</v>
      </c>
      <c r="P193" s="52" t="str">
        <f t="shared" ref="P193:P198" si="64">"SY - Yohanes Hendy Setiawan"</f>
        <v>SY - Yohanes Hendy Setiawan</v>
      </c>
      <c r="Q193" s="52" t="str">
        <f t="shared" si="54"/>
        <v>KPS-10-05</v>
      </c>
    </row>
    <row r="194" spans="1:17" x14ac:dyDescent="0.35">
      <c r="A194" s="52" t="s">
        <v>6063</v>
      </c>
      <c r="C194" s="52" t="str">
        <f>"""TRUST Nav"",""HSPMTB2016"",""17"",""1"",""85262"""</f>
        <v>"TRUST Nav","HSPMTB2016","17","1","85262"</v>
      </c>
      <c r="D194" s="52" t="str">
        <f t="shared" si="62"/>
        <v>Customer</v>
      </c>
      <c r="I194" s="52" t="str">
        <f t="shared" si="55"/>
        <v>KK-04624|42401</v>
      </c>
      <c r="J194" s="82">
        <v>42428</v>
      </c>
      <c r="K194" s="52" t="str">
        <f t="shared" si="56"/>
        <v>Customer</v>
      </c>
      <c r="L194" s="52" t="str">
        <f t="shared" si="63"/>
        <v>KK-04624</v>
      </c>
      <c r="M194" s="52" t="s">
        <v>21001</v>
      </c>
      <c r="N194" s="2">
        <v>40000</v>
      </c>
      <c r="O194" s="82">
        <v>42401</v>
      </c>
      <c r="P194" s="52" t="str">
        <f t="shared" si="64"/>
        <v>SY - Yohanes Hendy Setiawan</v>
      </c>
      <c r="Q194" s="52" t="str">
        <f t="shared" si="54"/>
        <v>KPS-10-05</v>
      </c>
    </row>
    <row r="195" spans="1:17" x14ac:dyDescent="0.35">
      <c r="A195" s="52" t="s">
        <v>6063</v>
      </c>
      <c r="C195" s="52" t="str">
        <f>"""TRUST Nav"",""HSPMTB2016"",""17"",""1"",""85263"""</f>
        <v>"TRUST Nav","HSPMTB2016","17","1","85263"</v>
      </c>
      <c r="D195" s="52" t="str">
        <f t="shared" si="62"/>
        <v>Customer</v>
      </c>
      <c r="I195" s="52" t="str">
        <f t="shared" si="55"/>
        <v>KK-04624|42430</v>
      </c>
      <c r="J195" s="82">
        <v>42428</v>
      </c>
      <c r="K195" s="52" t="str">
        <f t="shared" si="56"/>
        <v>Customer</v>
      </c>
      <c r="L195" s="52" t="str">
        <f t="shared" si="63"/>
        <v>KK-04624</v>
      </c>
      <c r="M195" s="52" t="s">
        <v>21001</v>
      </c>
      <c r="N195" s="2">
        <v>40000</v>
      </c>
      <c r="O195" s="82">
        <v>42430</v>
      </c>
      <c r="P195" s="52" t="str">
        <f t="shared" si="64"/>
        <v>SY - Yohanes Hendy Setiawan</v>
      </c>
      <c r="Q195" s="52" t="str">
        <f t="shared" si="54"/>
        <v>KPS-10-05</v>
      </c>
    </row>
    <row r="196" spans="1:17" x14ac:dyDescent="0.35">
      <c r="A196" s="52" t="s">
        <v>6063</v>
      </c>
      <c r="C196" s="52" t="str">
        <f>"""TRUST Nav"",""HSPMTB2016"",""17"",""1"",""85264"""</f>
        <v>"TRUST Nav","HSPMTB2016","17","1","85264"</v>
      </c>
      <c r="D196" s="52" t="str">
        <f t="shared" si="62"/>
        <v>Customer</v>
      </c>
      <c r="I196" s="52" t="str">
        <f t="shared" si="55"/>
        <v>KK-04624|42461</v>
      </c>
      <c r="J196" s="82">
        <v>42428</v>
      </c>
      <c r="K196" s="52" t="str">
        <f t="shared" si="56"/>
        <v>Customer</v>
      </c>
      <c r="L196" s="52" t="str">
        <f t="shared" si="63"/>
        <v>KK-04624</v>
      </c>
      <c r="M196" s="52" t="s">
        <v>21001</v>
      </c>
      <c r="N196" s="2">
        <v>40000</v>
      </c>
      <c r="O196" s="82">
        <v>42461</v>
      </c>
      <c r="P196" s="52" t="str">
        <f t="shared" si="64"/>
        <v>SY - Yohanes Hendy Setiawan</v>
      </c>
      <c r="Q196" s="52" t="str">
        <f t="shared" si="54"/>
        <v>KPS-10-05</v>
      </c>
    </row>
    <row r="197" spans="1:17" x14ac:dyDescent="0.35">
      <c r="A197" s="52" t="s">
        <v>6063</v>
      </c>
      <c r="C197" s="52" t="str">
        <f>"""TRUST Nav"",""HSPMTB2016"",""17"",""1"",""85265"""</f>
        <v>"TRUST Nav","HSPMTB2016","17","1","85265"</v>
      </c>
      <c r="D197" s="52" t="str">
        <f t="shared" si="62"/>
        <v>Customer</v>
      </c>
      <c r="I197" s="52" t="str">
        <f t="shared" si="55"/>
        <v>KK-04624|42491</v>
      </c>
      <c r="J197" s="82">
        <v>42428</v>
      </c>
      <c r="K197" s="52" t="str">
        <f t="shared" si="56"/>
        <v>Customer</v>
      </c>
      <c r="L197" s="52" t="str">
        <f t="shared" si="63"/>
        <v>KK-04624</v>
      </c>
      <c r="M197" s="52" t="s">
        <v>21001</v>
      </c>
      <c r="N197" s="2">
        <v>40000</v>
      </c>
      <c r="O197" s="82">
        <v>42491</v>
      </c>
      <c r="P197" s="52" t="str">
        <f t="shared" si="64"/>
        <v>SY - Yohanes Hendy Setiawan</v>
      </c>
      <c r="Q197" s="52" t="str">
        <f t="shared" si="54"/>
        <v>KPS-10-05</v>
      </c>
    </row>
    <row r="198" spans="1:17" x14ac:dyDescent="0.35">
      <c r="A198" s="52" t="s">
        <v>6063</v>
      </c>
      <c r="C198" s="52" t="str">
        <f>"""TRUST Nav"",""HSPMTB2016"",""17"",""1"",""85266"""</f>
        <v>"TRUST Nav","HSPMTB2016","17","1","85266"</v>
      </c>
      <c r="D198" s="52" t="str">
        <f t="shared" si="62"/>
        <v>Customer</v>
      </c>
      <c r="I198" s="52" t="str">
        <f t="shared" si="55"/>
        <v>KK-04624|42522</v>
      </c>
      <c r="J198" s="82">
        <v>42428</v>
      </c>
      <c r="K198" s="52" t="str">
        <f t="shared" si="56"/>
        <v>Customer</v>
      </c>
      <c r="L198" s="52" t="str">
        <f t="shared" si="63"/>
        <v>KK-04624</v>
      </c>
      <c r="M198" s="52" t="s">
        <v>21001</v>
      </c>
      <c r="N198" s="2">
        <v>40000</v>
      </c>
      <c r="O198" s="82">
        <v>42522</v>
      </c>
      <c r="P198" s="52" t="str">
        <f t="shared" si="64"/>
        <v>SY - Yohanes Hendy Setiawan</v>
      </c>
      <c r="Q198" s="52" t="str">
        <f t="shared" si="54"/>
        <v>KPS-10-05</v>
      </c>
    </row>
    <row r="199" spans="1:17" x14ac:dyDescent="0.35">
      <c r="A199" s="52" t="s">
        <v>6063</v>
      </c>
      <c r="C199" s="52" t="str">
        <f>"""TRUST Nav"",""HSPMTB2016"",""17"",""1"",""102566"""</f>
        <v>"TRUST Nav","HSPMTB2016","17","1","102566"</v>
      </c>
      <c r="D199" s="52" t="str">
        <f t="shared" si="62"/>
        <v>Customer</v>
      </c>
      <c r="I199" s="52" t="str">
        <f t="shared" si="55"/>
        <v>KK-04601|42370</v>
      </c>
      <c r="J199" s="82">
        <v>42477</v>
      </c>
      <c r="K199" s="52" t="str">
        <f t="shared" si="56"/>
        <v>Customer</v>
      </c>
      <c r="L199" s="52" t="str">
        <f>"KK-04601"</f>
        <v>KK-04601</v>
      </c>
      <c r="M199" s="52" t="s">
        <v>20985</v>
      </c>
      <c r="N199" s="2">
        <v>20000</v>
      </c>
      <c r="O199" s="82">
        <v>42370</v>
      </c>
      <c r="P199" s="52" t="str">
        <f>"SY - Boen Yoen Tet (Teddy)"</f>
        <v>SY - Boen Yoen Tet (Teddy)</v>
      </c>
      <c r="Q199" s="52" t="str">
        <f t="shared" si="54"/>
        <v>KPS-10-05</v>
      </c>
    </row>
    <row r="200" spans="1:17" x14ac:dyDescent="0.35">
      <c r="A200" s="52" t="s">
        <v>6063</v>
      </c>
      <c r="C200" s="52" t="str">
        <f>"""TRUST Nav"",""HSPMTB2016"",""17"",""1"",""102567"""</f>
        <v>"TRUST Nav","HSPMTB2016","17","1","102567"</v>
      </c>
      <c r="D200" s="52" t="str">
        <f t="shared" si="62"/>
        <v>Customer</v>
      </c>
      <c r="I200" s="52" t="str">
        <f t="shared" si="55"/>
        <v>KK-04601|42401</v>
      </c>
      <c r="J200" s="82">
        <v>42477</v>
      </c>
      <c r="K200" s="52" t="str">
        <f t="shared" si="56"/>
        <v>Customer</v>
      </c>
      <c r="L200" s="52" t="str">
        <f>"KK-04601"</f>
        <v>KK-04601</v>
      </c>
      <c r="M200" s="52" t="s">
        <v>20985</v>
      </c>
      <c r="N200" s="2">
        <v>20000</v>
      </c>
      <c r="O200" s="82">
        <v>42401</v>
      </c>
      <c r="P200" s="52" t="str">
        <f>"SY - Boen Yoen Tet (Teddy)"</f>
        <v>SY - Boen Yoen Tet (Teddy)</v>
      </c>
      <c r="Q200" s="52" t="str">
        <f t="shared" si="54"/>
        <v>KPS-10-05</v>
      </c>
    </row>
    <row r="201" spans="1:17" x14ac:dyDescent="0.35">
      <c r="A201" s="52" t="s">
        <v>6063</v>
      </c>
      <c r="C201" s="52" t="str">
        <f>"""TRUST Nav"",""HSPMTB2016"",""17"",""1"",""102568"""</f>
        <v>"TRUST Nav","HSPMTB2016","17","1","102568"</v>
      </c>
      <c r="D201" s="52" t="str">
        <f t="shared" si="62"/>
        <v>Customer</v>
      </c>
      <c r="I201" s="52" t="str">
        <f t="shared" si="55"/>
        <v>KK-04601|42430</v>
      </c>
      <c r="J201" s="82">
        <v>42477</v>
      </c>
      <c r="K201" s="52" t="str">
        <f t="shared" si="56"/>
        <v>Customer</v>
      </c>
      <c r="L201" s="52" t="str">
        <f>"KK-04601"</f>
        <v>KK-04601</v>
      </c>
      <c r="M201" s="52" t="s">
        <v>20985</v>
      </c>
      <c r="N201" s="2">
        <v>20000</v>
      </c>
      <c r="O201" s="82">
        <v>42430</v>
      </c>
      <c r="P201" s="52" t="str">
        <f>"SY - Boen Yoen Tet (Teddy)"</f>
        <v>SY - Boen Yoen Tet (Teddy)</v>
      </c>
      <c r="Q201" s="52" t="str">
        <f t="shared" si="54"/>
        <v>KPS-10-05</v>
      </c>
    </row>
    <row r="202" spans="1:17" x14ac:dyDescent="0.35">
      <c r="A202" s="52" t="s">
        <v>6063</v>
      </c>
      <c r="C202" s="52" t="str">
        <f>"""TRUST Nav"",""HSPMTB2016"",""17"",""1"",""102569"""</f>
        <v>"TRUST Nav","HSPMTB2016","17","1","102569"</v>
      </c>
      <c r="D202" s="52" t="str">
        <f t="shared" si="62"/>
        <v>Customer</v>
      </c>
      <c r="I202" s="52" t="str">
        <f t="shared" si="55"/>
        <v>KK-04601|42461</v>
      </c>
      <c r="J202" s="82">
        <v>42477</v>
      </c>
      <c r="K202" s="52" t="str">
        <f t="shared" si="56"/>
        <v>Customer</v>
      </c>
      <c r="L202" s="52" t="str">
        <f>"KK-04601"</f>
        <v>KK-04601</v>
      </c>
      <c r="M202" s="52" t="s">
        <v>20985</v>
      </c>
      <c r="N202" s="2">
        <v>20000</v>
      </c>
      <c r="O202" s="82">
        <v>42461</v>
      </c>
      <c r="P202" s="52" t="str">
        <f>"SY - Boen Yoen Tet (Teddy)"</f>
        <v>SY - Boen Yoen Tet (Teddy)</v>
      </c>
      <c r="Q202" s="52" t="str">
        <f t="shared" si="54"/>
        <v>KPS-10-05</v>
      </c>
    </row>
    <row r="203" spans="1:17" x14ac:dyDescent="0.35">
      <c r="A203" s="52" t="s">
        <v>6063</v>
      </c>
      <c r="C203" s="52" t="str">
        <f>"""TRUST Nav"",""HSPMTB2016"",""17"",""1"",""102570"""</f>
        <v>"TRUST Nav","HSPMTB2016","17","1","102570"</v>
      </c>
      <c r="D203" s="52" t="str">
        <f t="shared" si="62"/>
        <v>Customer</v>
      </c>
      <c r="I203" s="52" t="str">
        <f t="shared" si="55"/>
        <v>KK-04605|42370</v>
      </c>
      <c r="J203" s="82">
        <v>42477</v>
      </c>
      <c r="K203" s="52" t="str">
        <f t="shared" si="56"/>
        <v>Customer</v>
      </c>
      <c r="L203" s="52" t="str">
        <f>"KK-04605"</f>
        <v>KK-04605</v>
      </c>
      <c r="M203" s="52" t="s">
        <v>20987</v>
      </c>
      <c r="N203" s="2">
        <v>25000.000000000004</v>
      </c>
      <c r="O203" s="82">
        <v>42370</v>
      </c>
      <c r="P203" s="52" t="str">
        <f>"SY - Handoyo Krismanto"</f>
        <v>SY - Handoyo Krismanto</v>
      </c>
      <c r="Q203" s="52" t="str">
        <f t="shared" si="54"/>
        <v>KPS-10-05</v>
      </c>
    </row>
    <row r="204" spans="1:17" x14ac:dyDescent="0.35">
      <c r="A204" s="52" t="s">
        <v>6063</v>
      </c>
      <c r="C204" s="52" t="str">
        <f>"""TRUST Nav"",""HSPMTB2016"",""17"",""1"",""102571"""</f>
        <v>"TRUST Nav","HSPMTB2016","17","1","102571"</v>
      </c>
      <c r="D204" s="52" t="str">
        <f t="shared" si="62"/>
        <v>Customer</v>
      </c>
      <c r="I204" s="52" t="str">
        <f t="shared" si="55"/>
        <v>KK-04605|42401</v>
      </c>
      <c r="J204" s="82">
        <v>42477</v>
      </c>
      <c r="K204" s="52" t="str">
        <f t="shared" si="56"/>
        <v>Customer</v>
      </c>
      <c r="L204" s="52" t="str">
        <f>"KK-04605"</f>
        <v>KK-04605</v>
      </c>
      <c r="M204" s="52" t="s">
        <v>20987</v>
      </c>
      <c r="N204" s="2">
        <v>25000.000000000004</v>
      </c>
      <c r="O204" s="82">
        <v>42401</v>
      </c>
      <c r="P204" s="52" t="str">
        <f>"SY - Handoyo Krismanto"</f>
        <v>SY - Handoyo Krismanto</v>
      </c>
      <c r="Q204" s="52" t="str">
        <f t="shared" si="54"/>
        <v>KPS-10-05</v>
      </c>
    </row>
    <row r="205" spans="1:17" x14ac:dyDescent="0.35">
      <c r="A205" s="52" t="s">
        <v>6063</v>
      </c>
      <c r="C205" s="52" t="str">
        <f>"""TRUST Nav"",""HSPMTB2016"",""17"",""1"",""102572"""</f>
        <v>"TRUST Nav","HSPMTB2016","17","1","102572"</v>
      </c>
      <c r="D205" s="52" t="str">
        <f t="shared" si="62"/>
        <v>Customer</v>
      </c>
      <c r="I205" s="52" t="str">
        <f t="shared" si="55"/>
        <v>KK-04605|42430</v>
      </c>
      <c r="J205" s="82">
        <v>42477</v>
      </c>
      <c r="K205" s="52" t="str">
        <f t="shared" si="56"/>
        <v>Customer</v>
      </c>
      <c r="L205" s="52" t="str">
        <f>"KK-04605"</f>
        <v>KK-04605</v>
      </c>
      <c r="M205" s="52" t="s">
        <v>20987</v>
      </c>
      <c r="N205" s="2">
        <v>25000.000000000004</v>
      </c>
      <c r="O205" s="82">
        <v>42430</v>
      </c>
      <c r="P205" s="52" t="str">
        <f>"SY - Handoyo Krismanto"</f>
        <v>SY - Handoyo Krismanto</v>
      </c>
      <c r="Q205" s="52" t="str">
        <f t="shared" ref="Q205:Q268" si="65">"KPS-10-05"</f>
        <v>KPS-10-05</v>
      </c>
    </row>
    <row r="206" spans="1:17" x14ac:dyDescent="0.35">
      <c r="A206" s="52" t="s">
        <v>6063</v>
      </c>
      <c r="C206" s="52" t="str">
        <f>"""TRUST Nav"",""HSPMTB2016"",""17"",""1"",""102573"""</f>
        <v>"TRUST Nav","HSPMTB2016","17","1","102573"</v>
      </c>
      <c r="D206" s="52" t="str">
        <f t="shared" si="62"/>
        <v>Customer</v>
      </c>
      <c r="I206" s="52" t="str">
        <f t="shared" ref="I206:I269" si="66">CONCATENATE(L206,"|",O206)</f>
        <v>KK-04607|42401</v>
      </c>
      <c r="J206" s="82">
        <v>42477</v>
      </c>
      <c r="K206" s="52" t="str">
        <f t="shared" ref="K206:K269" si="67">IF($D206="Customer",$D206,"G/L")</f>
        <v>Customer</v>
      </c>
      <c r="L206" s="52" t="str">
        <f>"KK-04607"</f>
        <v>KK-04607</v>
      </c>
      <c r="M206" s="52" t="s">
        <v>20989</v>
      </c>
      <c r="N206" s="2">
        <v>75000</v>
      </c>
      <c r="O206" s="82">
        <v>42401</v>
      </c>
      <c r="P206" s="52" t="str">
        <f>"SY - Hendro Hartono"</f>
        <v>SY - Hendro Hartono</v>
      </c>
      <c r="Q206" s="52" t="str">
        <f t="shared" si="65"/>
        <v>KPS-10-05</v>
      </c>
    </row>
    <row r="207" spans="1:17" x14ac:dyDescent="0.35">
      <c r="A207" s="52" t="s">
        <v>6063</v>
      </c>
      <c r="C207" s="52" t="str">
        <f>"""TRUST Nav"",""HSPMTB2016"",""17"",""1"",""102574"""</f>
        <v>"TRUST Nav","HSPMTB2016","17","1","102574"</v>
      </c>
      <c r="D207" s="52" t="str">
        <f t="shared" si="62"/>
        <v>Customer</v>
      </c>
      <c r="I207" s="52" t="str">
        <f t="shared" si="66"/>
        <v>KK-04608|42430</v>
      </c>
      <c r="J207" s="82">
        <v>42477</v>
      </c>
      <c r="K207" s="52" t="str">
        <f t="shared" si="67"/>
        <v>Customer</v>
      </c>
      <c r="L207" s="52" t="str">
        <f>"KK-04608"</f>
        <v>KK-04608</v>
      </c>
      <c r="M207" s="52" t="s">
        <v>20990</v>
      </c>
      <c r="N207" s="2">
        <v>30000</v>
      </c>
      <c r="O207" s="82">
        <v>42430</v>
      </c>
      <c r="P207" s="52" t="str">
        <f>"SY - Heru Prawono"</f>
        <v>SY - Heru Prawono</v>
      </c>
      <c r="Q207" s="52" t="str">
        <f t="shared" si="65"/>
        <v>KPS-10-05</v>
      </c>
    </row>
    <row r="208" spans="1:17" x14ac:dyDescent="0.35">
      <c r="A208" s="52" t="s">
        <v>6063</v>
      </c>
      <c r="C208" s="52" t="str">
        <f>"""TRUST Nav"",""HSPMTB2016"",""17"",""1"",""102575"""</f>
        <v>"TRUST Nav","HSPMTB2016","17","1","102575"</v>
      </c>
      <c r="D208" s="52" t="str">
        <f t="shared" si="62"/>
        <v>Customer</v>
      </c>
      <c r="I208" s="52" t="str">
        <f t="shared" si="66"/>
        <v>KK-04608|42461</v>
      </c>
      <c r="J208" s="82">
        <v>42477</v>
      </c>
      <c r="K208" s="52" t="str">
        <f t="shared" si="67"/>
        <v>Customer</v>
      </c>
      <c r="L208" s="52" t="str">
        <f>"KK-04608"</f>
        <v>KK-04608</v>
      </c>
      <c r="M208" s="52" t="s">
        <v>20990</v>
      </c>
      <c r="N208" s="2">
        <v>30000</v>
      </c>
      <c r="O208" s="82">
        <v>42461</v>
      </c>
      <c r="P208" s="52" t="str">
        <f>"SY - Heru Prawono"</f>
        <v>SY - Heru Prawono</v>
      </c>
      <c r="Q208" s="52" t="str">
        <f t="shared" si="65"/>
        <v>KPS-10-05</v>
      </c>
    </row>
    <row r="209" spans="1:17" x14ac:dyDescent="0.35">
      <c r="A209" s="52" t="s">
        <v>6063</v>
      </c>
      <c r="C209" s="52" t="str">
        <f>"""TRUST Nav"",""HSPMTB2016"",""17"",""1"",""102576"""</f>
        <v>"TRUST Nav","HSPMTB2016","17","1","102576"</v>
      </c>
      <c r="D209" s="52" t="str">
        <f t="shared" si="62"/>
        <v>Customer</v>
      </c>
      <c r="I209" s="52" t="str">
        <f t="shared" si="66"/>
        <v>KK-04616|42370</v>
      </c>
      <c r="J209" s="82">
        <v>42477</v>
      </c>
      <c r="K209" s="52" t="str">
        <f t="shared" si="67"/>
        <v>Customer</v>
      </c>
      <c r="L209" s="52" t="str">
        <f>"KK-04616"</f>
        <v>KK-04616</v>
      </c>
      <c r="M209" s="52" t="s">
        <v>20995</v>
      </c>
      <c r="N209" s="2">
        <v>50000.000000000007</v>
      </c>
      <c r="O209" s="82">
        <v>42370</v>
      </c>
      <c r="P209" s="52" t="str">
        <f>"SY - Purnama Tanuseputra"</f>
        <v>SY - Purnama Tanuseputra</v>
      </c>
      <c r="Q209" s="52" t="str">
        <f t="shared" si="65"/>
        <v>KPS-10-05</v>
      </c>
    </row>
    <row r="210" spans="1:17" x14ac:dyDescent="0.35">
      <c r="A210" s="52" t="s">
        <v>6063</v>
      </c>
      <c r="C210" s="52" t="str">
        <f>"""TRUST Nav"",""HSPMTB2016"",""17"",""1"",""102577"""</f>
        <v>"TRUST Nav","HSPMTB2016","17","1","102577"</v>
      </c>
      <c r="D210" s="52" t="str">
        <f t="shared" si="62"/>
        <v>Customer</v>
      </c>
      <c r="I210" s="52" t="str">
        <f t="shared" si="66"/>
        <v>KK-04616|42401</v>
      </c>
      <c r="J210" s="82">
        <v>42477</v>
      </c>
      <c r="K210" s="52" t="str">
        <f t="shared" si="67"/>
        <v>Customer</v>
      </c>
      <c r="L210" s="52" t="str">
        <f>"KK-04616"</f>
        <v>KK-04616</v>
      </c>
      <c r="M210" s="52" t="s">
        <v>20995</v>
      </c>
      <c r="N210" s="2">
        <v>50000.000000000007</v>
      </c>
      <c r="O210" s="82">
        <v>42401</v>
      </c>
      <c r="P210" s="52" t="str">
        <f>"SY - Purnama Tanuseputra"</f>
        <v>SY - Purnama Tanuseputra</v>
      </c>
      <c r="Q210" s="52" t="str">
        <f t="shared" si="65"/>
        <v>KPS-10-05</v>
      </c>
    </row>
    <row r="211" spans="1:17" x14ac:dyDescent="0.35">
      <c r="A211" s="52" t="s">
        <v>6063</v>
      </c>
      <c r="C211" s="52" t="str">
        <f>"""TRUST Nav"",""HSPMTB2016"",""17"",""1"",""102578"""</f>
        <v>"TRUST Nav","HSPMTB2016","17","1","102578"</v>
      </c>
      <c r="D211" s="52" t="str">
        <f t="shared" si="62"/>
        <v>Customer</v>
      </c>
      <c r="I211" s="52" t="str">
        <f t="shared" si="66"/>
        <v>KK-04616|42430</v>
      </c>
      <c r="J211" s="82">
        <v>42477</v>
      </c>
      <c r="K211" s="52" t="str">
        <f t="shared" si="67"/>
        <v>Customer</v>
      </c>
      <c r="L211" s="52" t="str">
        <f>"KK-04616"</f>
        <v>KK-04616</v>
      </c>
      <c r="M211" s="52" t="s">
        <v>20995</v>
      </c>
      <c r="N211" s="2">
        <v>50000.000000000007</v>
      </c>
      <c r="O211" s="82">
        <v>42430</v>
      </c>
      <c r="P211" s="52" t="str">
        <f>"SY - Purnama Tanuseputra"</f>
        <v>SY - Purnama Tanuseputra</v>
      </c>
      <c r="Q211" s="52" t="str">
        <f t="shared" si="65"/>
        <v>KPS-10-05</v>
      </c>
    </row>
    <row r="212" spans="1:17" x14ac:dyDescent="0.35">
      <c r="A212" s="52" t="s">
        <v>6063</v>
      </c>
      <c r="C212" s="52" t="str">
        <f>"""TRUST Nav"",""HSPMTB2016"",""17"",""1"",""102579"""</f>
        <v>"TRUST Nav","HSPMTB2016","17","1","102579"</v>
      </c>
      <c r="D212" s="52" t="str">
        <f t="shared" ref="D212:D243" si="68">"Customer"</f>
        <v>Customer</v>
      </c>
      <c r="I212" s="52" t="str">
        <f t="shared" si="66"/>
        <v>KK-04616|42461</v>
      </c>
      <c r="J212" s="82">
        <v>42477</v>
      </c>
      <c r="K212" s="52" t="str">
        <f t="shared" si="67"/>
        <v>Customer</v>
      </c>
      <c r="L212" s="52" t="str">
        <f>"KK-04616"</f>
        <v>KK-04616</v>
      </c>
      <c r="M212" s="52" t="s">
        <v>20995</v>
      </c>
      <c r="N212" s="2">
        <v>50000.000000000007</v>
      </c>
      <c r="O212" s="82">
        <v>42461</v>
      </c>
      <c r="P212" s="52" t="str">
        <f>"SY - Purnama Tanuseputra"</f>
        <v>SY - Purnama Tanuseputra</v>
      </c>
      <c r="Q212" s="52" t="str">
        <f t="shared" si="65"/>
        <v>KPS-10-05</v>
      </c>
    </row>
    <row r="213" spans="1:17" x14ac:dyDescent="0.35">
      <c r="A213" s="52" t="s">
        <v>6063</v>
      </c>
      <c r="C213" s="52" t="str">
        <f>"""TRUST Nav"",""HSPMTB2016"",""17"",""1"",""102580"""</f>
        <v>"TRUST Nav","HSPMTB2016","17","1","102580"</v>
      </c>
      <c r="D213" s="52" t="str">
        <f t="shared" si="68"/>
        <v>Customer</v>
      </c>
      <c r="I213" s="52" t="str">
        <f t="shared" si="66"/>
        <v>KK-04625|42401</v>
      </c>
      <c r="J213" s="82">
        <v>42477</v>
      </c>
      <c r="K213" s="52" t="str">
        <f t="shared" si="67"/>
        <v>Customer</v>
      </c>
      <c r="L213" s="52" t="str">
        <f>"KK-04625"</f>
        <v>KK-04625</v>
      </c>
      <c r="M213" s="52" t="s">
        <v>21002</v>
      </c>
      <c r="N213" s="2">
        <v>100000.00000000001</v>
      </c>
      <c r="O213" s="82">
        <v>42401</v>
      </c>
      <c r="P213" s="52" t="str">
        <f>"SY - Yunius Samara"</f>
        <v>SY - Yunius Samara</v>
      </c>
      <c r="Q213" s="52" t="str">
        <f t="shared" si="65"/>
        <v>KPS-10-05</v>
      </c>
    </row>
    <row r="214" spans="1:17" x14ac:dyDescent="0.35">
      <c r="A214" s="52" t="s">
        <v>6063</v>
      </c>
      <c r="C214" s="52" t="str">
        <f>"""TRUST Nav"",""HSPMTB2016"",""17"",""1"",""102581"""</f>
        <v>"TRUST Nav","HSPMTB2016","17","1","102581"</v>
      </c>
      <c r="D214" s="52" t="str">
        <f t="shared" si="68"/>
        <v>Customer</v>
      </c>
      <c r="I214" s="52" t="str">
        <f t="shared" si="66"/>
        <v>KK-04625|42430</v>
      </c>
      <c r="J214" s="82">
        <v>42477</v>
      </c>
      <c r="K214" s="52" t="str">
        <f t="shared" si="67"/>
        <v>Customer</v>
      </c>
      <c r="L214" s="52" t="str">
        <f>"KK-04625"</f>
        <v>KK-04625</v>
      </c>
      <c r="M214" s="52" t="s">
        <v>21002</v>
      </c>
      <c r="N214" s="2">
        <v>100000.00000000001</v>
      </c>
      <c r="O214" s="82">
        <v>42430</v>
      </c>
      <c r="P214" s="52" t="str">
        <f>"SY - Yunius Samara"</f>
        <v>SY - Yunius Samara</v>
      </c>
      <c r="Q214" s="52" t="str">
        <f t="shared" si="65"/>
        <v>KPS-10-05</v>
      </c>
    </row>
    <row r="215" spans="1:17" x14ac:dyDescent="0.35">
      <c r="A215" s="52" t="s">
        <v>6063</v>
      </c>
      <c r="C215" s="52" t="str">
        <f>"""TRUST Nav"",""HSPMTB2016"",""17"",""1"",""102582"""</f>
        <v>"TRUST Nav","HSPMTB2016","17","1","102582"</v>
      </c>
      <c r="D215" s="52" t="str">
        <f t="shared" si="68"/>
        <v>Customer</v>
      </c>
      <c r="I215" s="52" t="str">
        <f t="shared" si="66"/>
        <v>KK-04625|42461</v>
      </c>
      <c r="J215" s="82">
        <v>42477</v>
      </c>
      <c r="K215" s="52" t="str">
        <f t="shared" si="67"/>
        <v>Customer</v>
      </c>
      <c r="L215" s="52" t="str">
        <f>"KK-04625"</f>
        <v>KK-04625</v>
      </c>
      <c r="M215" s="52" t="s">
        <v>21002</v>
      </c>
      <c r="N215" s="2">
        <v>100000.00000000001</v>
      </c>
      <c r="O215" s="82">
        <v>42461</v>
      </c>
      <c r="P215" s="52" t="str">
        <f>"SY - Yunius Samara"</f>
        <v>SY - Yunius Samara</v>
      </c>
      <c r="Q215" s="52" t="str">
        <f t="shared" si="65"/>
        <v>KPS-10-05</v>
      </c>
    </row>
    <row r="216" spans="1:17" x14ac:dyDescent="0.35">
      <c r="A216" s="52" t="s">
        <v>6063</v>
      </c>
      <c r="C216" s="52" t="str">
        <f>"""TRUST Nav"",""HSPMTB2016"",""17"",""1"",""116878"""</f>
        <v>"TRUST Nav","HSPMTB2016","17","1","116878"</v>
      </c>
      <c r="D216" s="52" t="str">
        <f t="shared" si="68"/>
        <v>Customer</v>
      </c>
      <c r="I216" s="52" t="str">
        <f t="shared" si="66"/>
        <v>KK-04598|42370</v>
      </c>
      <c r="J216" s="82">
        <v>42519</v>
      </c>
      <c r="K216" s="52" t="str">
        <f t="shared" si="67"/>
        <v>Customer</v>
      </c>
      <c r="L216" s="52" t="str">
        <f>"KK-04598"</f>
        <v>KK-04598</v>
      </c>
      <c r="M216" s="52" t="s">
        <v>20983</v>
      </c>
      <c r="N216" s="2">
        <v>25000.000000000004</v>
      </c>
      <c r="O216" s="82">
        <v>42370</v>
      </c>
      <c r="P216" s="52" t="str">
        <f>"SY - Alex Sudytio"</f>
        <v>SY - Alex Sudytio</v>
      </c>
      <c r="Q216" s="52" t="str">
        <f t="shared" si="65"/>
        <v>KPS-10-05</v>
      </c>
    </row>
    <row r="217" spans="1:17" x14ac:dyDescent="0.35">
      <c r="A217" s="52" t="s">
        <v>6063</v>
      </c>
      <c r="C217" s="52" t="str">
        <f>"""TRUST Nav"",""HSPMTB2016"",""17"",""1"",""116879"""</f>
        <v>"TRUST Nav","HSPMTB2016","17","1","116879"</v>
      </c>
      <c r="D217" s="52" t="str">
        <f t="shared" si="68"/>
        <v>Customer</v>
      </c>
      <c r="I217" s="52" t="str">
        <f t="shared" si="66"/>
        <v>KK-04598|42401</v>
      </c>
      <c r="J217" s="82">
        <v>42519</v>
      </c>
      <c r="K217" s="52" t="str">
        <f t="shared" si="67"/>
        <v>Customer</v>
      </c>
      <c r="L217" s="52" t="str">
        <f>"KK-04598"</f>
        <v>KK-04598</v>
      </c>
      <c r="M217" s="52" t="s">
        <v>20983</v>
      </c>
      <c r="N217" s="2">
        <v>25000.000000000004</v>
      </c>
      <c r="O217" s="82">
        <v>42401</v>
      </c>
      <c r="P217" s="52" t="str">
        <f>"SY - Alex Sudytio"</f>
        <v>SY - Alex Sudytio</v>
      </c>
      <c r="Q217" s="52" t="str">
        <f t="shared" si="65"/>
        <v>KPS-10-05</v>
      </c>
    </row>
    <row r="218" spans="1:17" x14ac:dyDescent="0.35">
      <c r="A218" s="52" t="s">
        <v>6063</v>
      </c>
      <c r="C218" s="52" t="str">
        <f>"""TRUST Nav"",""HSPMTB2016"",""17"",""1"",""116880"""</f>
        <v>"TRUST Nav","HSPMTB2016","17","1","116880"</v>
      </c>
      <c r="D218" s="52" t="str">
        <f t="shared" si="68"/>
        <v>Customer</v>
      </c>
      <c r="I218" s="52" t="str">
        <f t="shared" si="66"/>
        <v>KK-04598|42430</v>
      </c>
      <c r="J218" s="82">
        <v>42519</v>
      </c>
      <c r="K218" s="52" t="str">
        <f t="shared" si="67"/>
        <v>Customer</v>
      </c>
      <c r="L218" s="52" t="str">
        <f>"KK-04598"</f>
        <v>KK-04598</v>
      </c>
      <c r="M218" s="52" t="s">
        <v>20983</v>
      </c>
      <c r="N218" s="2">
        <v>25000.000000000004</v>
      </c>
      <c r="O218" s="82">
        <v>42430</v>
      </c>
      <c r="P218" s="52" t="str">
        <f>"SY - Alex Sudytio"</f>
        <v>SY - Alex Sudytio</v>
      </c>
      <c r="Q218" s="52" t="str">
        <f t="shared" si="65"/>
        <v>KPS-10-05</v>
      </c>
    </row>
    <row r="219" spans="1:17" x14ac:dyDescent="0.35">
      <c r="A219" s="52" t="s">
        <v>6063</v>
      </c>
      <c r="C219" s="52" t="str">
        <f>"""TRUST Nav"",""HSPMTB2016"",""17"",""1"",""116881"""</f>
        <v>"TRUST Nav","HSPMTB2016","17","1","116881"</v>
      </c>
      <c r="D219" s="52" t="str">
        <f t="shared" si="68"/>
        <v>Customer</v>
      </c>
      <c r="I219" s="52" t="str">
        <f t="shared" si="66"/>
        <v>KK-04598|42461</v>
      </c>
      <c r="J219" s="82">
        <v>42519</v>
      </c>
      <c r="K219" s="52" t="str">
        <f t="shared" si="67"/>
        <v>Customer</v>
      </c>
      <c r="L219" s="52" t="str">
        <f>"KK-04598"</f>
        <v>KK-04598</v>
      </c>
      <c r="M219" s="52" t="s">
        <v>20983</v>
      </c>
      <c r="N219" s="2">
        <v>25000.000000000004</v>
      </c>
      <c r="O219" s="82">
        <v>42461</v>
      </c>
      <c r="P219" s="52" t="str">
        <f>"SY - Alex Sudytio"</f>
        <v>SY - Alex Sudytio</v>
      </c>
      <c r="Q219" s="52" t="str">
        <f t="shared" si="65"/>
        <v>KPS-10-05</v>
      </c>
    </row>
    <row r="220" spans="1:17" x14ac:dyDescent="0.35">
      <c r="A220" s="52" t="s">
        <v>6063</v>
      </c>
      <c r="C220" s="52" t="str">
        <f>"""TRUST Nav"",""HSPMTB2016"",""17"",""1"",""116882"""</f>
        <v>"TRUST Nav","HSPMTB2016","17","1","116882"</v>
      </c>
      <c r="D220" s="52" t="str">
        <f t="shared" si="68"/>
        <v>Customer</v>
      </c>
      <c r="I220" s="52" t="str">
        <f t="shared" si="66"/>
        <v>KK-04602|42370</v>
      </c>
      <c r="J220" s="82">
        <v>42519</v>
      </c>
      <c r="K220" s="52" t="str">
        <f t="shared" si="67"/>
        <v>Customer</v>
      </c>
      <c r="L220" s="52" t="str">
        <f t="shared" ref="L220:L231" si="69">"KK-04602"</f>
        <v>KK-04602</v>
      </c>
      <c r="M220" s="52" t="s">
        <v>20986</v>
      </c>
      <c r="N220" s="2">
        <v>5000</v>
      </c>
      <c r="O220" s="82">
        <v>42370</v>
      </c>
      <c r="P220" s="52" t="str">
        <f t="shared" ref="P220:P231" si="70">"SY - Budiarto"</f>
        <v>SY - Budiarto</v>
      </c>
      <c r="Q220" s="52" t="str">
        <f t="shared" si="65"/>
        <v>KPS-10-05</v>
      </c>
    </row>
    <row r="221" spans="1:17" x14ac:dyDescent="0.35">
      <c r="A221" s="52" t="s">
        <v>6063</v>
      </c>
      <c r="C221" s="52" t="str">
        <f>"""TRUST Nav"",""HSPMTB2016"",""17"",""1"",""116883"""</f>
        <v>"TRUST Nav","HSPMTB2016","17","1","116883"</v>
      </c>
      <c r="D221" s="52" t="str">
        <f t="shared" si="68"/>
        <v>Customer</v>
      </c>
      <c r="I221" s="52" t="str">
        <f t="shared" si="66"/>
        <v>KK-04602|42401</v>
      </c>
      <c r="J221" s="82">
        <v>42519</v>
      </c>
      <c r="K221" s="52" t="str">
        <f t="shared" si="67"/>
        <v>Customer</v>
      </c>
      <c r="L221" s="52" t="str">
        <f t="shared" si="69"/>
        <v>KK-04602</v>
      </c>
      <c r="M221" s="52" t="s">
        <v>20986</v>
      </c>
      <c r="N221" s="2">
        <v>5000</v>
      </c>
      <c r="O221" s="82">
        <v>42401</v>
      </c>
      <c r="P221" s="52" t="str">
        <f t="shared" si="70"/>
        <v>SY - Budiarto</v>
      </c>
      <c r="Q221" s="52" t="str">
        <f t="shared" si="65"/>
        <v>KPS-10-05</v>
      </c>
    </row>
    <row r="222" spans="1:17" x14ac:dyDescent="0.35">
      <c r="A222" s="52" t="s">
        <v>6063</v>
      </c>
      <c r="C222" s="52" t="str">
        <f>"""TRUST Nav"",""HSPMTB2016"",""17"",""1"",""116884"""</f>
        <v>"TRUST Nav","HSPMTB2016","17","1","116884"</v>
      </c>
      <c r="D222" s="52" t="str">
        <f t="shared" si="68"/>
        <v>Customer</v>
      </c>
      <c r="I222" s="52" t="str">
        <f t="shared" si="66"/>
        <v>KK-04602|42430</v>
      </c>
      <c r="J222" s="82">
        <v>42519</v>
      </c>
      <c r="K222" s="52" t="str">
        <f t="shared" si="67"/>
        <v>Customer</v>
      </c>
      <c r="L222" s="52" t="str">
        <f t="shared" si="69"/>
        <v>KK-04602</v>
      </c>
      <c r="M222" s="52" t="s">
        <v>20986</v>
      </c>
      <c r="N222" s="2">
        <v>5000</v>
      </c>
      <c r="O222" s="82">
        <v>42430</v>
      </c>
      <c r="P222" s="52" t="str">
        <f t="shared" si="70"/>
        <v>SY - Budiarto</v>
      </c>
      <c r="Q222" s="52" t="str">
        <f t="shared" si="65"/>
        <v>KPS-10-05</v>
      </c>
    </row>
    <row r="223" spans="1:17" x14ac:dyDescent="0.35">
      <c r="A223" s="52" t="s">
        <v>6063</v>
      </c>
      <c r="C223" s="52" t="str">
        <f>"""TRUST Nav"",""HSPMTB2016"",""17"",""1"",""116885"""</f>
        <v>"TRUST Nav","HSPMTB2016","17","1","116885"</v>
      </c>
      <c r="D223" s="52" t="str">
        <f t="shared" si="68"/>
        <v>Customer</v>
      </c>
      <c r="I223" s="52" t="str">
        <f t="shared" si="66"/>
        <v>KK-04602|42461</v>
      </c>
      <c r="J223" s="82">
        <v>42519</v>
      </c>
      <c r="K223" s="52" t="str">
        <f t="shared" si="67"/>
        <v>Customer</v>
      </c>
      <c r="L223" s="52" t="str">
        <f t="shared" si="69"/>
        <v>KK-04602</v>
      </c>
      <c r="M223" s="52" t="s">
        <v>20986</v>
      </c>
      <c r="N223" s="2">
        <v>5000</v>
      </c>
      <c r="O223" s="82">
        <v>42461</v>
      </c>
      <c r="P223" s="52" t="str">
        <f t="shared" si="70"/>
        <v>SY - Budiarto</v>
      </c>
      <c r="Q223" s="52" t="str">
        <f t="shared" si="65"/>
        <v>KPS-10-05</v>
      </c>
    </row>
    <row r="224" spans="1:17" x14ac:dyDescent="0.35">
      <c r="A224" s="52" t="s">
        <v>6063</v>
      </c>
      <c r="C224" s="52" t="str">
        <f>"""TRUST Nav"",""HSPMTB2016"",""17"",""1"",""116886"""</f>
        <v>"TRUST Nav","HSPMTB2016","17","1","116886"</v>
      </c>
      <c r="D224" s="52" t="str">
        <f t="shared" si="68"/>
        <v>Customer</v>
      </c>
      <c r="I224" s="52" t="str">
        <f t="shared" si="66"/>
        <v>KK-04602|42491</v>
      </c>
      <c r="J224" s="82">
        <v>42519</v>
      </c>
      <c r="K224" s="52" t="str">
        <f t="shared" si="67"/>
        <v>Customer</v>
      </c>
      <c r="L224" s="52" t="str">
        <f t="shared" si="69"/>
        <v>KK-04602</v>
      </c>
      <c r="M224" s="52" t="s">
        <v>20986</v>
      </c>
      <c r="N224" s="2">
        <v>5000</v>
      </c>
      <c r="O224" s="82">
        <v>42491</v>
      </c>
      <c r="P224" s="52" t="str">
        <f t="shared" si="70"/>
        <v>SY - Budiarto</v>
      </c>
      <c r="Q224" s="52" t="str">
        <f t="shared" si="65"/>
        <v>KPS-10-05</v>
      </c>
    </row>
    <row r="225" spans="1:17" x14ac:dyDescent="0.35">
      <c r="A225" s="52" t="s">
        <v>6063</v>
      </c>
      <c r="C225" s="52" t="str">
        <f>"""TRUST Nav"",""HSPMTB2016"",""17"",""1"",""116887"""</f>
        <v>"TRUST Nav","HSPMTB2016","17","1","116887"</v>
      </c>
      <c r="D225" s="52" t="str">
        <f t="shared" si="68"/>
        <v>Customer</v>
      </c>
      <c r="I225" s="52" t="str">
        <f t="shared" si="66"/>
        <v>KK-04602|42522</v>
      </c>
      <c r="J225" s="82">
        <v>42519</v>
      </c>
      <c r="K225" s="52" t="str">
        <f t="shared" si="67"/>
        <v>Customer</v>
      </c>
      <c r="L225" s="52" t="str">
        <f t="shared" si="69"/>
        <v>KK-04602</v>
      </c>
      <c r="M225" s="52" t="s">
        <v>20986</v>
      </c>
      <c r="N225" s="2">
        <v>5000</v>
      </c>
      <c r="O225" s="82">
        <v>42522</v>
      </c>
      <c r="P225" s="52" t="str">
        <f t="shared" si="70"/>
        <v>SY - Budiarto</v>
      </c>
      <c r="Q225" s="52" t="str">
        <f t="shared" si="65"/>
        <v>KPS-10-05</v>
      </c>
    </row>
    <row r="226" spans="1:17" x14ac:dyDescent="0.35">
      <c r="A226" s="52" t="s">
        <v>6063</v>
      </c>
      <c r="C226" s="52" t="str">
        <f>"""TRUST Nav"",""HSPMTB2016"",""17"",""1"",""116888"""</f>
        <v>"TRUST Nav","HSPMTB2016","17","1","116888"</v>
      </c>
      <c r="D226" s="52" t="str">
        <f t="shared" si="68"/>
        <v>Customer</v>
      </c>
      <c r="I226" s="52" t="str">
        <f t="shared" si="66"/>
        <v>KK-04602|42552</v>
      </c>
      <c r="J226" s="82">
        <v>42519</v>
      </c>
      <c r="K226" s="52" t="str">
        <f t="shared" si="67"/>
        <v>Customer</v>
      </c>
      <c r="L226" s="52" t="str">
        <f t="shared" si="69"/>
        <v>KK-04602</v>
      </c>
      <c r="M226" s="52" t="s">
        <v>20986</v>
      </c>
      <c r="N226" s="2">
        <v>5000</v>
      </c>
      <c r="O226" s="82">
        <v>42552</v>
      </c>
      <c r="P226" s="52" t="str">
        <f t="shared" si="70"/>
        <v>SY - Budiarto</v>
      </c>
      <c r="Q226" s="52" t="str">
        <f t="shared" si="65"/>
        <v>KPS-10-05</v>
      </c>
    </row>
    <row r="227" spans="1:17" x14ac:dyDescent="0.35">
      <c r="A227" s="52" t="s">
        <v>6063</v>
      </c>
      <c r="C227" s="52" t="str">
        <f>"""TRUST Nav"",""HSPMTB2016"",""17"",""1"",""116889"""</f>
        <v>"TRUST Nav","HSPMTB2016","17","1","116889"</v>
      </c>
      <c r="D227" s="52" t="str">
        <f t="shared" si="68"/>
        <v>Customer</v>
      </c>
      <c r="I227" s="52" t="str">
        <f t="shared" si="66"/>
        <v>KK-04602|42583</v>
      </c>
      <c r="J227" s="82">
        <v>42519</v>
      </c>
      <c r="K227" s="52" t="str">
        <f t="shared" si="67"/>
        <v>Customer</v>
      </c>
      <c r="L227" s="52" t="str">
        <f t="shared" si="69"/>
        <v>KK-04602</v>
      </c>
      <c r="M227" s="52" t="s">
        <v>20986</v>
      </c>
      <c r="N227" s="2">
        <v>5000</v>
      </c>
      <c r="O227" s="82">
        <v>42583</v>
      </c>
      <c r="P227" s="52" t="str">
        <f t="shared" si="70"/>
        <v>SY - Budiarto</v>
      </c>
      <c r="Q227" s="52" t="str">
        <f t="shared" si="65"/>
        <v>KPS-10-05</v>
      </c>
    </row>
    <row r="228" spans="1:17" x14ac:dyDescent="0.35">
      <c r="A228" s="52" t="s">
        <v>6063</v>
      </c>
      <c r="C228" s="52" t="str">
        <f>"""TRUST Nav"",""HSPMTB2016"",""17"",""1"",""116890"""</f>
        <v>"TRUST Nav","HSPMTB2016","17","1","116890"</v>
      </c>
      <c r="D228" s="52" t="str">
        <f t="shared" si="68"/>
        <v>Customer</v>
      </c>
      <c r="I228" s="52" t="str">
        <f t="shared" si="66"/>
        <v>KK-04602|42614</v>
      </c>
      <c r="J228" s="82">
        <v>42519</v>
      </c>
      <c r="K228" s="52" t="str">
        <f t="shared" si="67"/>
        <v>Customer</v>
      </c>
      <c r="L228" s="52" t="str">
        <f t="shared" si="69"/>
        <v>KK-04602</v>
      </c>
      <c r="M228" s="52" t="s">
        <v>20986</v>
      </c>
      <c r="N228" s="2">
        <v>5000</v>
      </c>
      <c r="O228" s="82">
        <v>42614</v>
      </c>
      <c r="P228" s="52" t="str">
        <f t="shared" si="70"/>
        <v>SY - Budiarto</v>
      </c>
      <c r="Q228" s="52" t="str">
        <f t="shared" si="65"/>
        <v>KPS-10-05</v>
      </c>
    </row>
    <row r="229" spans="1:17" x14ac:dyDescent="0.35">
      <c r="A229" s="52" t="s">
        <v>6063</v>
      </c>
      <c r="C229" s="52" t="str">
        <f>"""TRUST Nav"",""HSPMTB2016"",""17"",""1"",""116891"""</f>
        <v>"TRUST Nav","HSPMTB2016","17","1","116891"</v>
      </c>
      <c r="D229" s="52" t="str">
        <f t="shared" si="68"/>
        <v>Customer</v>
      </c>
      <c r="I229" s="52" t="str">
        <f t="shared" si="66"/>
        <v>KK-04602|42644</v>
      </c>
      <c r="J229" s="82">
        <v>42519</v>
      </c>
      <c r="K229" s="52" t="str">
        <f t="shared" si="67"/>
        <v>Customer</v>
      </c>
      <c r="L229" s="52" t="str">
        <f t="shared" si="69"/>
        <v>KK-04602</v>
      </c>
      <c r="M229" s="52" t="s">
        <v>20986</v>
      </c>
      <c r="N229" s="2">
        <v>5000</v>
      </c>
      <c r="O229" s="82">
        <v>42644</v>
      </c>
      <c r="P229" s="52" t="str">
        <f t="shared" si="70"/>
        <v>SY - Budiarto</v>
      </c>
      <c r="Q229" s="52" t="str">
        <f t="shared" si="65"/>
        <v>KPS-10-05</v>
      </c>
    </row>
    <row r="230" spans="1:17" x14ac:dyDescent="0.35">
      <c r="A230" s="52" t="s">
        <v>6063</v>
      </c>
      <c r="C230" s="52" t="str">
        <f>"""TRUST Nav"",""HSPMTB2016"",""17"",""1"",""116892"""</f>
        <v>"TRUST Nav","HSPMTB2016","17","1","116892"</v>
      </c>
      <c r="D230" s="52" t="str">
        <f t="shared" si="68"/>
        <v>Customer</v>
      </c>
      <c r="I230" s="52" t="str">
        <f t="shared" si="66"/>
        <v>KK-04602|42675</v>
      </c>
      <c r="J230" s="82">
        <v>42519</v>
      </c>
      <c r="K230" s="52" t="str">
        <f t="shared" si="67"/>
        <v>Customer</v>
      </c>
      <c r="L230" s="52" t="str">
        <f t="shared" si="69"/>
        <v>KK-04602</v>
      </c>
      <c r="M230" s="52" t="s">
        <v>20986</v>
      </c>
      <c r="N230" s="2">
        <v>5000</v>
      </c>
      <c r="O230" s="82">
        <v>42675</v>
      </c>
      <c r="P230" s="52" t="str">
        <f t="shared" si="70"/>
        <v>SY - Budiarto</v>
      </c>
      <c r="Q230" s="52" t="str">
        <f t="shared" si="65"/>
        <v>KPS-10-05</v>
      </c>
    </row>
    <row r="231" spans="1:17" x14ac:dyDescent="0.35">
      <c r="A231" s="52" t="s">
        <v>6063</v>
      </c>
      <c r="C231" s="52" t="str">
        <f>"""TRUST Nav"",""HSPMTB2016"",""17"",""1"",""116893"""</f>
        <v>"TRUST Nav","HSPMTB2016","17","1","116893"</v>
      </c>
      <c r="D231" s="52" t="str">
        <f t="shared" si="68"/>
        <v>Customer</v>
      </c>
      <c r="I231" s="52" t="str">
        <f t="shared" si="66"/>
        <v>KK-04602|42705</v>
      </c>
      <c r="J231" s="82">
        <v>42519</v>
      </c>
      <c r="K231" s="52" t="str">
        <f t="shared" si="67"/>
        <v>Customer</v>
      </c>
      <c r="L231" s="52" t="str">
        <f t="shared" si="69"/>
        <v>KK-04602</v>
      </c>
      <c r="M231" s="52" t="s">
        <v>20986</v>
      </c>
      <c r="N231" s="2">
        <v>5000</v>
      </c>
      <c r="O231" s="82">
        <v>42705</v>
      </c>
      <c r="P231" s="52" t="str">
        <f t="shared" si="70"/>
        <v>SY - Budiarto</v>
      </c>
      <c r="Q231" s="52" t="str">
        <f t="shared" si="65"/>
        <v>KPS-10-05</v>
      </c>
    </row>
    <row r="232" spans="1:17" x14ac:dyDescent="0.35">
      <c r="A232" s="52" t="s">
        <v>6063</v>
      </c>
      <c r="C232" s="52" t="str">
        <f>"""TRUST Nav"",""HSPMTB2016"",""17"",""1"",""116894"""</f>
        <v>"TRUST Nav","HSPMTB2016","17","1","116894"</v>
      </c>
      <c r="D232" s="52" t="str">
        <f t="shared" si="68"/>
        <v>Customer</v>
      </c>
      <c r="I232" s="52" t="str">
        <f t="shared" si="66"/>
        <v>KK-04606|42461</v>
      </c>
      <c r="J232" s="82">
        <v>42519</v>
      </c>
      <c r="K232" s="52" t="str">
        <f t="shared" si="67"/>
        <v>Customer</v>
      </c>
      <c r="L232" s="52" t="str">
        <f>"KK-04606"</f>
        <v>KK-04606</v>
      </c>
      <c r="M232" s="52" t="s">
        <v>20988</v>
      </c>
      <c r="N232" s="2">
        <v>50000.000000000007</v>
      </c>
      <c r="O232" s="82">
        <v>42461</v>
      </c>
      <c r="P232" s="52" t="str">
        <f>"SY - Hendra Kurniawan"</f>
        <v>SY - Hendra Kurniawan</v>
      </c>
      <c r="Q232" s="52" t="str">
        <f t="shared" si="65"/>
        <v>KPS-10-05</v>
      </c>
    </row>
    <row r="233" spans="1:17" x14ac:dyDescent="0.35">
      <c r="A233" s="52" t="s">
        <v>6063</v>
      </c>
      <c r="C233" s="52" t="str">
        <f>"""TRUST Nav"",""HSPMTB2016"",""17"",""1"",""116895"""</f>
        <v>"TRUST Nav","HSPMTB2016","17","1","116895"</v>
      </c>
      <c r="D233" s="52" t="str">
        <f t="shared" si="68"/>
        <v>Customer</v>
      </c>
      <c r="I233" s="52" t="str">
        <f t="shared" si="66"/>
        <v>KK-04606|42491</v>
      </c>
      <c r="J233" s="82">
        <v>42519</v>
      </c>
      <c r="K233" s="52" t="str">
        <f t="shared" si="67"/>
        <v>Customer</v>
      </c>
      <c r="L233" s="52" t="str">
        <f>"KK-04606"</f>
        <v>KK-04606</v>
      </c>
      <c r="M233" s="52" t="s">
        <v>20988</v>
      </c>
      <c r="N233" s="2">
        <v>50000.000000000007</v>
      </c>
      <c r="O233" s="82">
        <v>42491</v>
      </c>
      <c r="P233" s="52" t="str">
        <f>"SY - Hendra Kurniawan"</f>
        <v>SY - Hendra Kurniawan</v>
      </c>
      <c r="Q233" s="52" t="str">
        <f t="shared" si="65"/>
        <v>KPS-10-05</v>
      </c>
    </row>
    <row r="234" spans="1:17" x14ac:dyDescent="0.35">
      <c r="A234" s="52" t="s">
        <v>6063</v>
      </c>
      <c r="C234" s="52" t="str">
        <f>"""TRUST Nav"",""HSPMTB2016"",""17"",""1"",""116896"""</f>
        <v>"TRUST Nav","HSPMTB2016","17","1","116896"</v>
      </c>
      <c r="D234" s="52" t="str">
        <f t="shared" si="68"/>
        <v>Customer</v>
      </c>
      <c r="I234" s="52" t="str">
        <f t="shared" si="66"/>
        <v>KK-04606|42522</v>
      </c>
      <c r="J234" s="82">
        <v>42519</v>
      </c>
      <c r="K234" s="52" t="str">
        <f t="shared" si="67"/>
        <v>Customer</v>
      </c>
      <c r="L234" s="52" t="str">
        <f>"KK-04606"</f>
        <v>KK-04606</v>
      </c>
      <c r="M234" s="52" t="s">
        <v>20988</v>
      </c>
      <c r="N234" s="2">
        <v>50000.000000000007</v>
      </c>
      <c r="O234" s="82">
        <v>42522</v>
      </c>
      <c r="P234" s="52" t="str">
        <f>"SY - Hendra Kurniawan"</f>
        <v>SY - Hendra Kurniawan</v>
      </c>
      <c r="Q234" s="52" t="str">
        <f t="shared" si="65"/>
        <v>KPS-10-05</v>
      </c>
    </row>
    <row r="235" spans="1:17" x14ac:dyDescent="0.35">
      <c r="A235" s="52" t="s">
        <v>6063</v>
      </c>
      <c r="C235" s="52" t="str">
        <f>"""TRUST Nav"",""HSPMTB2016"",""17"",""1"",""116897"""</f>
        <v>"TRUST Nav","HSPMTB2016","17","1","116897"</v>
      </c>
      <c r="D235" s="52" t="str">
        <f t="shared" si="68"/>
        <v>Customer</v>
      </c>
      <c r="I235" s="52" t="str">
        <f t="shared" si="66"/>
        <v>KK-04608|42491</v>
      </c>
      <c r="J235" s="82">
        <v>42519</v>
      </c>
      <c r="K235" s="52" t="str">
        <f t="shared" si="67"/>
        <v>Customer</v>
      </c>
      <c r="L235" s="52" t="str">
        <f>"KK-04608"</f>
        <v>KK-04608</v>
      </c>
      <c r="M235" s="52" t="s">
        <v>20990</v>
      </c>
      <c r="N235" s="2">
        <v>30000</v>
      </c>
      <c r="O235" s="82">
        <v>42491</v>
      </c>
      <c r="P235" s="52" t="str">
        <f>"SY - Heru Prawono"</f>
        <v>SY - Heru Prawono</v>
      </c>
      <c r="Q235" s="52" t="str">
        <f t="shared" si="65"/>
        <v>KPS-10-05</v>
      </c>
    </row>
    <row r="236" spans="1:17" x14ac:dyDescent="0.35">
      <c r="A236" s="52" t="s">
        <v>6063</v>
      </c>
      <c r="C236" s="52" t="str">
        <f>"""TRUST Nav"",""HSPMTB2016"",""17"",""1"",""116898"""</f>
        <v>"TRUST Nav","HSPMTB2016","17","1","116898"</v>
      </c>
      <c r="D236" s="52" t="str">
        <f t="shared" si="68"/>
        <v>Customer</v>
      </c>
      <c r="I236" s="52" t="str">
        <f t="shared" si="66"/>
        <v>KK-04609|42430</v>
      </c>
      <c r="J236" s="82">
        <v>42519</v>
      </c>
      <c r="K236" s="52" t="str">
        <f t="shared" si="67"/>
        <v>Customer</v>
      </c>
      <c r="L236" s="52" t="str">
        <f>"KK-04609"</f>
        <v>KK-04609</v>
      </c>
      <c r="M236" s="52" t="s">
        <v>20991</v>
      </c>
      <c r="N236" s="2">
        <v>25000.000000000004</v>
      </c>
      <c r="O236" s="82">
        <v>42430</v>
      </c>
      <c r="P236" s="52" t="str">
        <f>"SY - Jofenwali"</f>
        <v>SY - Jofenwali</v>
      </c>
      <c r="Q236" s="52" t="str">
        <f t="shared" si="65"/>
        <v>KPS-10-05</v>
      </c>
    </row>
    <row r="237" spans="1:17" x14ac:dyDescent="0.35">
      <c r="A237" s="52" t="s">
        <v>6063</v>
      </c>
      <c r="C237" s="52" t="str">
        <f>"""TRUST Nav"",""HSPMTB2016"",""17"",""1"",""116899"""</f>
        <v>"TRUST Nav","HSPMTB2016","17","1","116899"</v>
      </c>
      <c r="D237" s="52" t="str">
        <f t="shared" si="68"/>
        <v>Customer</v>
      </c>
      <c r="I237" s="52" t="str">
        <f t="shared" si="66"/>
        <v>KK-04609|42461</v>
      </c>
      <c r="J237" s="82">
        <v>42519</v>
      </c>
      <c r="K237" s="52" t="str">
        <f t="shared" si="67"/>
        <v>Customer</v>
      </c>
      <c r="L237" s="52" t="str">
        <f>"KK-04609"</f>
        <v>KK-04609</v>
      </c>
      <c r="M237" s="52" t="s">
        <v>20991</v>
      </c>
      <c r="N237" s="2">
        <v>25000.000000000004</v>
      </c>
      <c r="O237" s="82">
        <v>42461</v>
      </c>
      <c r="P237" s="52" t="str">
        <f>"SY - Jofenwali"</f>
        <v>SY - Jofenwali</v>
      </c>
      <c r="Q237" s="52" t="str">
        <f t="shared" si="65"/>
        <v>KPS-10-05</v>
      </c>
    </row>
    <row r="238" spans="1:17" x14ac:dyDescent="0.35">
      <c r="A238" s="52" t="s">
        <v>6063</v>
      </c>
      <c r="C238" s="52" t="str">
        <f>"""TRUST Nav"",""HSPMTB2016"",""17"",""1"",""116900"""</f>
        <v>"TRUST Nav","HSPMTB2016","17","1","116900"</v>
      </c>
      <c r="D238" s="52" t="str">
        <f t="shared" si="68"/>
        <v>Customer</v>
      </c>
      <c r="I238" s="52" t="str">
        <f t="shared" si="66"/>
        <v>KK-04611|42461</v>
      </c>
      <c r="J238" s="82">
        <v>42519</v>
      </c>
      <c r="K238" s="52" t="str">
        <f t="shared" si="67"/>
        <v>Customer</v>
      </c>
      <c r="L238" s="52" t="str">
        <f>"KK-04611"</f>
        <v>KK-04611</v>
      </c>
      <c r="M238" s="52" t="s">
        <v>20992</v>
      </c>
      <c r="N238" s="2">
        <v>10000</v>
      </c>
      <c r="O238" s="82">
        <v>42461</v>
      </c>
      <c r="P238" s="52" t="str">
        <f>"SY - Leonardus Tjhin Tje Ming"</f>
        <v>SY - Leonardus Tjhin Tje Ming</v>
      </c>
      <c r="Q238" s="52" t="str">
        <f t="shared" si="65"/>
        <v>KPS-10-05</v>
      </c>
    </row>
    <row r="239" spans="1:17" x14ac:dyDescent="0.35">
      <c r="A239" s="52" t="s">
        <v>6063</v>
      </c>
      <c r="C239" s="52" t="str">
        <f>"""TRUST Nav"",""HSPMTB2016"",""17"",""1"",""116901"""</f>
        <v>"TRUST Nav","HSPMTB2016","17","1","116901"</v>
      </c>
      <c r="D239" s="52" t="str">
        <f t="shared" si="68"/>
        <v>Customer</v>
      </c>
      <c r="I239" s="52" t="str">
        <f t="shared" si="66"/>
        <v>KK-04611|42491</v>
      </c>
      <c r="J239" s="82">
        <v>42519</v>
      </c>
      <c r="K239" s="52" t="str">
        <f t="shared" si="67"/>
        <v>Customer</v>
      </c>
      <c r="L239" s="52" t="str">
        <f>"KK-04611"</f>
        <v>KK-04611</v>
      </c>
      <c r="M239" s="52" t="s">
        <v>20992</v>
      </c>
      <c r="N239" s="2">
        <v>10000</v>
      </c>
      <c r="O239" s="82">
        <v>42491</v>
      </c>
      <c r="P239" s="52" t="str">
        <f>"SY - Leonardus Tjhin Tje Ming"</f>
        <v>SY - Leonardus Tjhin Tje Ming</v>
      </c>
      <c r="Q239" s="52" t="str">
        <f t="shared" si="65"/>
        <v>KPS-10-05</v>
      </c>
    </row>
    <row r="240" spans="1:17" x14ac:dyDescent="0.35">
      <c r="A240" s="52" t="s">
        <v>6063</v>
      </c>
      <c r="C240" s="52" t="str">
        <f>"""TRUST Nav"",""HSPMTB2016"",""17"",""1"",""116902"""</f>
        <v>"TRUST Nav","HSPMTB2016","17","1","116902"</v>
      </c>
      <c r="D240" s="52" t="str">
        <f t="shared" si="68"/>
        <v>Customer</v>
      </c>
      <c r="I240" s="52" t="str">
        <f t="shared" si="66"/>
        <v>KK-04611|42522</v>
      </c>
      <c r="J240" s="82">
        <v>42519</v>
      </c>
      <c r="K240" s="52" t="str">
        <f t="shared" si="67"/>
        <v>Customer</v>
      </c>
      <c r="L240" s="52" t="str">
        <f>"KK-04611"</f>
        <v>KK-04611</v>
      </c>
      <c r="M240" s="52" t="s">
        <v>20992</v>
      </c>
      <c r="N240" s="2">
        <v>10000</v>
      </c>
      <c r="O240" s="82">
        <v>42522</v>
      </c>
      <c r="P240" s="52" t="str">
        <f>"SY - Leonardus Tjhin Tje Ming"</f>
        <v>SY - Leonardus Tjhin Tje Ming</v>
      </c>
      <c r="Q240" s="52" t="str">
        <f t="shared" si="65"/>
        <v>KPS-10-05</v>
      </c>
    </row>
    <row r="241" spans="1:17" x14ac:dyDescent="0.35">
      <c r="A241" s="52" t="s">
        <v>6063</v>
      </c>
      <c r="C241" s="52" t="str">
        <f>"""TRUST Nav"",""HSPMTB2016"",""17"",""1"",""116903"""</f>
        <v>"TRUST Nav","HSPMTB2016","17","1","116903"</v>
      </c>
      <c r="D241" s="52" t="str">
        <f t="shared" si="68"/>
        <v>Customer</v>
      </c>
      <c r="I241" s="52" t="str">
        <f t="shared" si="66"/>
        <v>KK-04622|42401</v>
      </c>
      <c r="J241" s="82">
        <v>42519</v>
      </c>
      <c r="K241" s="52" t="str">
        <f t="shared" si="67"/>
        <v>Customer</v>
      </c>
      <c r="L241" s="52" t="str">
        <f>"KK-04622"</f>
        <v>KK-04622</v>
      </c>
      <c r="M241" s="52" t="s">
        <v>21000</v>
      </c>
      <c r="N241" s="2">
        <v>35000</v>
      </c>
      <c r="O241" s="82">
        <v>42401</v>
      </c>
      <c r="P241" s="52" t="str">
        <f>"SY - Tri Saptono Vinsentius "</f>
        <v xml:space="preserve">SY - Tri Saptono Vinsentius </v>
      </c>
      <c r="Q241" s="52" t="str">
        <f t="shared" si="65"/>
        <v>KPS-10-05</v>
      </c>
    </row>
    <row r="242" spans="1:17" x14ac:dyDescent="0.35">
      <c r="A242" s="52" t="s">
        <v>6063</v>
      </c>
      <c r="C242" s="52" t="str">
        <f>"""TRUST Nav"",""HSPMTB2016"",""17"",""1"",""116904"""</f>
        <v>"TRUST Nav","HSPMTB2016","17","1","116904"</v>
      </c>
      <c r="D242" s="52" t="str">
        <f t="shared" si="68"/>
        <v>Customer</v>
      </c>
      <c r="I242" s="52" t="str">
        <f t="shared" si="66"/>
        <v>KK-04622|42430</v>
      </c>
      <c r="J242" s="82">
        <v>42519</v>
      </c>
      <c r="K242" s="52" t="str">
        <f t="shared" si="67"/>
        <v>Customer</v>
      </c>
      <c r="L242" s="52" t="str">
        <f>"KK-04622"</f>
        <v>KK-04622</v>
      </c>
      <c r="M242" s="52" t="s">
        <v>21000</v>
      </c>
      <c r="N242" s="2">
        <v>35000</v>
      </c>
      <c r="O242" s="82">
        <v>42430</v>
      </c>
      <c r="P242" s="52" t="str">
        <f>"SY - Tri Saptono Vinsentius "</f>
        <v xml:space="preserve">SY - Tri Saptono Vinsentius </v>
      </c>
      <c r="Q242" s="52" t="str">
        <f t="shared" si="65"/>
        <v>KPS-10-05</v>
      </c>
    </row>
    <row r="243" spans="1:17" x14ac:dyDescent="0.35">
      <c r="A243" s="52" t="s">
        <v>6063</v>
      </c>
      <c r="C243" s="52" t="str">
        <f>"""TRUST Nav"",""HSPMTB2016"",""17"",""1"",""116905"""</f>
        <v>"TRUST Nav","HSPMTB2016","17","1","116905"</v>
      </c>
      <c r="D243" s="52" t="str">
        <f t="shared" si="68"/>
        <v>Customer</v>
      </c>
      <c r="I243" s="52" t="str">
        <f t="shared" si="66"/>
        <v>KK-04622|42461</v>
      </c>
      <c r="J243" s="82">
        <v>42519</v>
      </c>
      <c r="K243" s="52" t="str">
        <f t="shared" si="67"/>
        <v>Customer</v>
      </c>
      <c r="L243" s="52" t="str">
        <f>"KK-04622"</f>
        <v>KK-04622</v>
      </c>
      <c r="M243" s="52" t="s">
        <v>21000</v>
      </c>
      <c r="N243" s="2">
        <v>35000</v>
      </c>
      <c r="O243" s="82">
        <v>42461</v>
      </c>
      <c r="P243" s="52" t="str">
        <f>"SY - Tri Saptono Vinsentius "</f>
        <v xml:space="preserve">SY - Tri Saptono Vinsentius </v>
      </c>
      <c r="Q243" s="52" t="str">
        <f t="shared" si="65"/>
        <v>KPS-10-05</v>
      </c>
    </row>
    <row r="244" spans="1:17" x14ac:dyDescent="0.35">
      <c r="A244" s="52" t="s">
        <v>6063</v>
      </c>
      <c r="C244" s="52" t="str">
        <f>"""TRUST Nav"",""HSPMTB2016"",""17"",""1"",""116906"""</f>
        <v>"TRUST Nav","HSPMTB2016","17","1","116906"</v>
      </c>
      <c r="D244" s="52" t="str">
        <f t="shared" ref="D244:D275" si="71">"Customer"</f>
        <v>Customer</v>
      </c>
      <c r="I244" s="52" t="str">
        <f t="shared" si="66"/>
        <v>KK-04622|42491</v>
      </c>
      <c r="J244" s="82">
        <v>42519</v>
      </c>
      <c r="K244" s="52" t="str">
        <f t="shared" si="67"/>
        <v>Customer</v>
      </c>
      <c r="L244" s="52" t="str">
        <f>"KK-04622"</f>
        <v>KK-04622</v>
      </c>
      <c r="M244" s="52" t="s">
        <v>21000</v>
      </c>
      <c r="N244" s="2">
        <v>35000</v>
      </c>
      <c r="O244" s="82">
        <v>42491</v>
      </c>
      <c r="P244" s="52" t="str">
        <f>"SY - Tri Saptono Vinsentius "</f>
        <v xml:space="preserve">SY - Tri Saptono Vinsentius </v>
      </c>
      <c r="Q244" s="52" t="str">
        <f t="shared" si="65"/>
        <v>KPS-10-05</v>
      </c>
    </row>
    <row r="245" spans="1:17" x14ac:dyDescent="0.35">
      <c r="A245" s="52" t="s">
        <v>6063</v>
      </c>
      <c r="C245" s="52" t="str">
        <f>"""TRUST Nav"",""HSPMTB2016"",""17"",""1"",""122053"""</f>
        <v>"TRUST Nav","HSPMTB2016","17","1","122053"</v>
      </c>
      <c r="D245" s="52" t="str">
        <f t="shared" si="71"/>
        <v>Customer</v>
      </c>
      <c r="I245" s="52" t="str">
        <f t="shared" si="66"/>
        <v>KK-05048|42370</v>
      </c>
      <c r="J245" s="82">
        <v>42547</v>
      </c>
      <c r="K245" s="52" t="str">
        <f t="shared" si="67"/>
        <v>Customer</v>
      </c>
      <c r="L245" s="52" t="str">
        <f>"KK-05048"</f>
        <v>KK-05048</v>
      </c>
      <c r="M245" s="52" t="s">
        <v>21005</v>
      </c>
      <c r="N245" s="2">
        <v>10000</v>
      </c>
      <c r="O245" s="82">
        <v>42370</v>
      </c>
      <c r="P245" s="52" t="str">
        <f>"SY - Alfonsus Denny Martaguna"</f>
        <v>SY - Alfonsus Denny Martaguna</v>
      </c>
      <c r="Q245" s="52" t="str">
        <f t="shared" si="65"/>
        <v>KPS-10-05</v>
      </c>
    </row>
    <row r="246" spans="1:17" x14ac:dyDescent="0.35">
      <c r="A246" s="52" t="s">
        <v>6063</v>
      </c>
      <c r="C246" s="52" t="str">
        <f>"""TRUST Nav"",""HSPMTB2016"",""17"",""1"",""122054"""</f>
        <v>"TRUST Nav","HSPMTB2016","17","1","122054"</v>
      </c>
      <c r="D246" s="52" t="str">
        <f t="shared" si="71"/>
        <v>Customer</v>
      </c>
      <c r="I246" s="52" t="str">
        <f t="shared" si="66"/>
        <v>KK-05048|42401</v>
      </c>
      <c r="J246" s="82">
        <v>42547</v>
      </c>
      <c r="K246" s="52" t="str">
        <f t="shared" si="67"/>
        <v>Customer</v>
      </c>
      <c r="L246" s="52" t="str">
        <f>"KK-05048"</f>
        <v>KK-05048</v>
      </c>
      <c r="M246" s="52" t="s">
        <v>21005</v>
      </c>
      <c r="N246" s="2">
        <v>10000</v>
      </c>
      <c r="O246" s="82">
        <v>42401</v>
      </c>
      <c r="P246" s="52" t="str">
        <f>"SY - Alfonsus Denny Martaguna"</f>
        <v>SY - Alfonsus Denny Martaguna</v>
      </c>
      <c r="Q246" s="52" t="str">
        <f t="shared" si="65"/>
        <v>KPS-10-05</v>
      </c>
    </row>
    <row r="247" spans="1:17" x14ac:dyDescent="0.35">
      <c r="A247" s="52" t="s">
        <v>6063</v>
      </c>
      <c r="C247" s="52" t="str">
        <f>"""TRUST Nav"",""HSPMTB2016"",""17"",""1"",""122055"""</f>
        <v>"TRUST Nav","HSPMTB2016","17","1","122055"</v>
      </c>
      <c r="D247" s="52" t="str">
        <f t="shared" si="71"/>
        <v>Customer</v>
      </c>
      <c r="I247" s="52" t="str">
        <f t="shared" si="66"/>
        <v>KK-05048|42430</v>
      </c>
      <c r="J247" s="82">
        <v>42547</v>
      </c>
      <c r="K247" s="52" t="str">
        <f t="shared" si="67"/>
        <v>Customer</v>
      </c>
      <c r="L247" s="52" t="str">
        <f>"KK-05048"</f>
        <v>KK-05048</v>
      </c>
      <c r="M247" s="52" t="s">
        <v>21005</v>
      </c>
      <c r="N247" s="2">
        <v>10000</v>
      </c>
      <c r="O247" s="82">
        <v>42430</v>
      </c>
      <c r="P247" s="52" t="str">
        <f>"SY - Alfonsus Denny Martaguna"</f>
        <v>SY - Alfonsus Denny Martaguna</v>
      </c>
      <c r="Q247" s="52" t="str">
        <f t="shared" si="65"/>
        <v>KPS-10-05</v>
      </c>
    </row>
    <row r="248" spans="1:17" x14ac:dyDescent="0.35">
      <c r="A248" s="52" t="s">
        <v>6063</v>
      </c>
      <c r="C248" s="52" t="str">
        <f>"""TRUST Nav"",""HSPMTB2016"",""17"",""1"",""122056"""</f>
        <v>"TRUST Nav","HSPMTB2016","17","1","122056"</v>
      </c>
      <c r="D248" s="52" t="str">
        <f t="shared" si="71"/>
        <v>Customer</v>
      </c>
      <c r="I248" s="52" t="str">
        <f t="shared" si="66"/>
        <v>KK-05048|42461</v>
      </c>
      <c r="J248" s="82">
        <v>42547</v>
      </c>
      <c r="K248" s="52" t="str">
        <f t="shared" si="67"/>
        <v>Customer</v>
      </c>
      <c r="L248" s="52" t="str">
        <f>"KK-05048"</f>
        <v>KK-05048</v>
      </c>
      <c r="M248" s="52" t="s">
        <v>21005</v>
      </c>
      <c r="N248" s="2">
        <v>10000</v>
      </c>
      <c r="O248" s="82">
        <v>42461</v>
      </c>
      <c r="P248" s="52" t="str">
        <f>"SY - Alfonsus Denny Martaguna"</f>
        <v>SY - Alfonsus Denny Martaguna</v>
      </c>
      <c r="Q248" s="52" t="str">
        <f t="shared" si="65"/>
        <v>KPS-10-05</v>
      </c>
    </row>
    <row r="249" spans="1:17" x14ac:dyDescent="0.35">
      <c r="A249" s="52" t="s">
        <v>6063</v>
      </c>
      <c r="C249" s="52" t="str">
        <f>"""TRUST Nav"",""HSPMTB2016"",""17"",""1"",""122057"""</f>
        <v>"TRUST Nav","HSPMTB2016","17","1","122057"</v>
      </c>
      <c r="D249" s="52" t="str">
        <f t="shared" si="71"/>
        <v>Customer</v>
      </c>
      <c r="I249" s="52" t="str">
        <f t="shared" si="66"/>
        <v>KK-04597|42461</v>
      </c>
      <c r="J249" s="82">
        <v>42547</v>
      </c>
      <c r="K249" s="52" t="str">
        <f t="shared" si="67"/>
        <v>Customer</v>
      </c>
      <c r="L249" s="52" t="str">
        <f>"KK-04597"</f>
        <v>KK-04597</v>
      </c>
      <c r="M249" s="52" t="s">
        <v>20982</v>
      </c>
      <c r="N249" s="2">
        <v>20000</v>
      </c>
      <c r="O249" s="82">
        <v>42461</v>
      </c>
      <c r="P249" s="52" t="str">
        <f>"SY - Arief Wibawa"</f>
        <v>SY - Arief Wibawa</v>
      </c>
      <c r="Q249" s="52" t="str">
        <f t="shared" si="65"/>
        <v>KPS-10-05</v>
      </c>
    </row>
    <row r="250" spans="1:17" x14ac:dyDescent="0.35">
      <c r="A250" s="52" t="s">
        <v>6063</v>
      </c>
      <c r="C250" s="52" t="str">
        <f>"""TRUST Nav"",""HSPMTB2016"",""17"",""1"",""122058"""</f>
        <v>"TRUST Nav","HSPMTB2016","17","1","122058"</v>
      </c>
      <c r="D250" s="52" t="str">
        <f t="shared" si="71"/>
        <v>Customer</v>
      </c>
      <c r="I250" s="52" t="str">
        <f t="shared" si="66"/>
        <v>KK-04597|42491</v>
      </c>
      <c r="J250" s="82">
        <v>42547</v>
      </c>
      <c r="K250" s="52" t="str">
        <f t="shared" si="67"/>
        <v>Customer</v>
      </c>
      <c r="L250" s="52" t="str">
        <f>"KK-04597"</f>
        <v>KK-04597</v>
      </c>
      <c r="M250" s="52" t="s">
        <v>20982</v>
      </c>
      <c r="N250" s="2">
        <v>30000</v>
      </c>
      <c r="O250" s="82">
        <v>42491</v>
      </c>
      <c r="P250" s="52" t="str">
        <f>"SY - Arief Wibawa"</f>
        <v>SY - Arief Wibawa</v>
      </c>
      <c r="Q250" s="52" t="str">
        <f t="shared" si="65"/>
        <v>KPS-10-05</v>
      </c>
    </row>
    <row r="251" spans="1:17" x14ac:dyDescent="0.35">
      <c r="A251" s="52" t="s">
        <v>6063</v>
      </c>
      <c r="C251" s="52" t="str">
        <f>"""TRUST Nav"",""HSPMTB2016"",""17"",""1"",""122059"""</f>
        <v>"TRUST Nav","HSPMTB2016","17","1","122059"</v>
      </c>
      <c r="D251" s="52" t="str">
        <f t="shared" si="71"/>
        <v>Customer</v>
      </c>
      <c r="I251" s="52" t="str">
        <f t="shared" si="66"/>
        <v>KK-04597|42522</v>
      </c>
      <c r="J251" s="82">
        <v>42547</v>
      </c>
      <c r="K251" s="52" t="str">
        <f t="shared" si="67"/>
        <v>Customer</v>
      </c>
      <c r="L251" s="52" t="str">
        <f>"KK-04597"</f>
        <v>KK-04597</v>
      </c>
      <c r="M251" s="52" t="s">
        <v>20982</v>
      </c>
      <c r="N251" s="2">
        <v>30000</v>
      </c>
      <c r="O251" s="82">
        <v>42522</v>
      </c>
      <c r="P251" s="52" t="str">
        <f>"SY - Arief Wibawa"</f>
        <v>SY - Arief Wibawa</v>
      </c>
      <c r="Q251" s="52" t="str">
        <f t="shared" si="65"/>
        <v>KPS-10-05</v>
      </c>
    </row>
    <row r="252" spans="1:17" x14ac:dyDescent="0.35">
      <c r="A252" s="52" t="s">
        <v>6063</v>
      </c>
      <c r="C252" s="52" t="str">
        <f>"""TRUST Nav"",""HSPMTB2016"",""17"",""1"",""122060"""</f>
        <v>"TRUST Nav","HSPMTB2016","17","1","122060"</v>
      </c>
      <c r="D252" s="52" t="str">
        <f t="shared" si="71"/>
        <v>Customer</v>
      </c>
      <c r="I252" s="52" t="str">
        <f t="shared" si="66"/>
        <v>KK-04599|42430</v>
      </c>
      <c r="J252" s="82">
        <v>42547</v>
      </c>
      <c r="K252" s="52" t="str">
        <f t="shared" si="67"/>
        <v>Customer</v>
      </c>
      <c r="L252" s="52" t="str">
        <f>"KK-04599"</f>
        <v>KK-04599</v>
      </c>
      <c r="M252" s="52" t="s">
        <v>20984</v>
      </c>
      <c r="N252" s="2">
        <v>50000.000000000007</v>
      </c>
      <c r="O252" s="82">
        <v>42430</v>
      </c>
      <c r="P252" s="52" t="str">
        <f>"SY - Bernardus Yogie Dirga Gunawan"</f>
        <v>SY - Bernardus Yogie Dirga Gunawan</v>
      </c>
      <c r="Q252" s="52" t="str">
        <f t="shared" si="65"/>
        <v>KPS-10-05</v>
      </c>
    </row>
    <row r="253" spans="1:17" x14ac:dyDescent="0.35">
      <c r="A253" s="52" t="s">
        <v>6063</v>
      </c>
      <c r="C253" s="52" t="str">
        <f>"""TRUST Nav"",""HSPMTB2016"",""17"",""1"",""122061"""</f>
        <v>"TRUST Nav","HSPMTB2016","17","1","122061"</v>
      </c>
      <c r="D253" s="52" t="str">
        <f t="shared" si="71"/>
        <v>Customer</v>
      </c>
      <c r="I253" s="52" t="str">
        <f t="shared" si="66"/>
        <v>KK-04599|42461</v>
      </c>
      <c r="J253" s="82">
        <v>42547</v>
      </c>
      <c r="K253" s="52" t="str">
        <f t="shared" si="67"/>
        <v>Customer</v>
      </c>
      <c r="L253" s="52" t="str">
        <f>"KK-04599"</f>
        <v>KK-04599</v>
      </c>
      <c r="M253" s="52" t="s">
        <v>20984</v>
      </c>
      <c r="N253" s="2">
        <v>50000.000000000007</v>
      </c>
      <c r="O253" s="82">
        <v>42461</v>
      </c>
      <c r="P253" s="52" t="str">
        <f>"SY - Bernardus Yogie Dirga Gunawan"</f>
        <v>SY - Bernardus Yogie Dirga Gunawan</v>
      </c>
      <c r="Q253" s="52" t="str">
        <f t="shared" si="65"/>
        <v>KPS-10-05</v>
      </c>
    </row>
    <row r="254" spans="1:17" x14ac:dyDescent="0.35">
      <c r="A254" s="52" t="s">
        <v>6063</v>
      </c>
      <c r="C254" s="52" t="str">
        <f>"""TRUST Nav"",""HSPMTB2016"",""17"",""1"",""122062"""</f>
        <v>"TRUST Nav","HSPMTB2016","17","1","122062"</v>
      </c>
      <c r="D254" s="52" t="str">
        <f t="shared" si="71"/>
        <v>Customer</v>
      </c>
      <c r="I254" s="52" t="str">
        <f t="shared" si="66"/>
        <v>KK-04599|42491</v>
      </c>
      <c r="J254" s="82">
        <v>42547</v>
      </c>
      <c r="K254" s="52" t="str">
        <f t="shared" si="67"/>
        <v>Customer</v>
      </c>
      <c r="L254" s="52" t="str">
        <f>"KK-04599"</f>
        <v>KK-04599</v>
      </c>
      <c r="M254" s="52" t="s">
        <v>20984</v>
      </c>
      <c r="N254" s="2">
        <v>50000.000000000007</v>
      </c>
      <c r="O254" s="82">
        <v>42491</v>
      </c>
      <c r="P254" s="52" t="str">
        <f>"SY - Bernardus Yogie Dirga Gunawan"</f>
        <v>SY - Bernardus Yogie Dirga Gunawan</v>
      </c>
      <c r="Q254" s="52" t="str">
        <f t="shared" si="65"/>
        <v>KPS-10-05</v>
      </c>
    </row>
    <row r="255" spans="1:17" x14ac:dyDescent="0.35">
      <c r="A255" s="52" t="s">
        <v>6063</v>
      </c>
      <c r="C255" s="52" t="str">
        <f>"""TRUST Nav"",""HSPMTB2016"",""17"",""1"",""122063"""</f>
        <v>"TRUST Nav","HSPMTB2016","17","1","122063"</v>
      </c>
      <c r="D255" s="52" t="str">
        <f t="shared" si="71"/>
        <v>Customer</v>
      </c>
      <c r="I255" s="52" t="str">
        <f t="shared" si="66"/>
        <v>KK-04599|42522</v>
      </c>
      <c r="J255" s="82">
        <v>42547</v>
      </c>
      <c r="K255" s="52" t="str">
        <f t="shared" si="67"/>
        <v>Customer</v>
      </c>
      <c r="L255" s="52" t="str">
        <f>"KK-04599"</f>
        <v>KK-04599</v>
      </c>
      <c r="M255" s="52" t="s">
        <v>20984</v>
      </c>
      <c r="N255" s="2">
        <v>50000.000000000007</v>
      </c>
      <c r="O255" s="82">
        <v>42522</v>
      </c>
      <c r="P255" s="52" t="str">
        <f>"SY - Bernardus Yogie Dirga Gunawan"</f>
        <v>SY - Bernardus Yogie Dirga Gunawan</v>
      </c>
      <c r="Q255" s="52" t="str">
        <f t="shared" si="65"/>
        <v>KPS-10-05</v>
      </c>
    </row>
    <row r="256" spans="1:17" x14ac:dyDescent="0.35">
      <c r="A256" s="52" t="s">
        <v>6063</v>
      </c>
      <c r="C256" s="52" t="str">
        <f>"""TRUST Nav"",""HSPMTB2016"",""17"",""1"",""122064"""</f>
        <v>"TRUST Nav","HSPMTB2016","17","1","122064"</v>
      </c>
      <c r="D256" s="52" t="str">
        <f t="shared" si="71"/>
        <v>Customer</v>
      </c>
      <c r="I256" s="52" t="str">
        <f t="shared" si="66"/>
        <v>KK-04626|42491</v>
      </c>
      <c r="J256" s="82">
        <v>42547</v>
      </c>
      <c r="K256" s="52" t="str">
        <f t="shared" si="67"/>
        <v>Customer</v>
      </c>
      <c r="L256" s="52" t="str">
        <f>"KK-04626"</f>
        <v>KK-04626</v>
      </c>
      <c r="M256" s="52" t="s">
        <v>21003</v>
      </c>
      <c r="N256" s="2">
        <v>25000.000000000004</v>
      </c>
      <c r="O256" s="82">
        <v>42491</v>
      </c>
      <c r="P256" s="52" t="str">
        <f>"SY - Hadi Suwana"</f>
        <v>SY - Hadi Suwana</v>
      </c>
      <c r="Q256" s="52" t="str">
        <f t="shared" si="65"/>
        <v>KPS-10-05</v>
      </c>
    </row>
    <row r="257" spans="1:17" x14ac:dyDescent="0.35">
      <c r="A257" s="52" t="s">
        <v>6063</v>
      </c>
      <c r="C257" s="52" t="str">
        <f>"""TRUST Nav"",""HSPMTB2016"",""17"",""1"",""122065"""</f>
        <v>"TRUST Nav","HSPMTB2016","17","1","122065"</v>
      </c>
      <c r="D257" s="52" t="str">
        <f t="shared" si="71"/>
        <v>Customer</v>
      </c>
      <c r="I257" s="52" t="str">
        <f t="shared" si="66"/>
        <v>KK-04626|42522</v>
      </c>
      <c r="J257" s="82">
        <v>42547</v>
      </c>
      <c r="K257" s="52" t="str">
        <f t="shared" si="67"/>
        <v>Customer</v>
      </c>
      <c r="L257" s="52" t="str">
        <f>"KK-04626"</f>
        <v>KK-04626</v>
      </c>
      <c r="M257" s="52" t="s">
        <v>21003</v>
      </c>
      <c r="N257" s="2">
        <v>25000.000000000004</v>
      </c>
      <c r="O257" s="82">
        <v>42522</v>
      </c>
      <c r="P257" s="52" t="str">
        <f>"SY - Hadi Suwana"</f>
        <v>SY - Hadi Suwana</v>
      </c>
      <c r="Q257" s="52" t="str">
        <f t="shared" si="65"/>
        <v>KPS-10-05</v>
      </c>
    </row>
    <row r="258" spans="1:17" x14ac:dyDescent="0.35">
      <c r="A258" s="52" t="s">
        <v>6063</v>
      </c>
      <c r="C258" s="52" t="str">
        <f>"""TRUST Nav"",""HSPMTB2016"",""17"",""1"",""122066"""</f>
        <v>"TRUST Nav","HSPMTB2016","17","1","122066"</v>
      </c>
      <c r="D258" s="52" t="str">
        <f t="shared" si="71"/>
        <v>Customer</v>
      </c>
      <c r="I258" s="52" t="str">
        <f t="shared" si="66"/>
        <v>KK-04626|42552</v>
      </c>
      <c r="J258" s="82">
        <v>42547</v>
      </c>
      <c r="K258" s="52" t="str">
        <f t="shared" si="67"/>
        <v>Customer</v>
      </c>
      <c r="L258" s="52" t="str">
        <f>"KK-04626"</f>
        <v>KK-04626</v>
      </c>
      <c r="M258" s="52" t="s">
        <v>21003</v>
      </c>
      <c r="N258" s="2">
        <v>25000.000000000004</v>
      </c>
      <c r="O258" s="82">
        <v>42552</v>
      </c>
      <c r="P258" s="52" t="str">
        <f>"SY - Hadi Suwana"</f>
        <v>SY - Hadi Suwana</v>
      </c>
      <c r="Q258" s="52" t="str">
        <f t="shared" si="65"/>
        <v>KPS-10-05</v>
      </c>
    </row>
    <row r="259" spans="1:17" x14ac:dyDescent="0.35">
      <c r="A259" s="52" t="s">
        <v>6063</v>
      </c>
      <c r="C259" s="52" t="str">
        <f>"""TRUST Nav"",""HSPMTB2016"",""17"",""1"",""122067"""</f>
        <v>"TRUST Nav","HSPMTB2016","17","1","122067"</v>
      </c>
      <c r="D259" s="52" t="str">
        <f t="shared" si="71"/>
        <v>Customer</v>
      </c>
      <c r="I259" s="52" t="str">
        <f t="shared" si="66"/>
        <v>KK-04626|42583</v>
      </c>
      <c r="J259" s="82">
        <v>42547</v>
      </c>
      <c r="K259" s="52" t="str">
        <f t="shared" si="67"/>
        <v>Customer</v>
      </c>
      <c r="L259" s="52" t="str">
        <f>"KK-04626"</f>
        <v>KK-04626</v>
      </c>
      <c r="M259" s="52" t="s">
        <v>21003</v>
      </c>
      <c r="N259" s="2">
        <v>25000.000000000004</v>
      </c>
      <c r="O259" s="82">
        <v>42583</v>
      </c>
      <c r="P259" s="52" t="str">
        <f>"SY - Hadi Suwana"</f>
        <v>SY - Hadi Suwana</v>
      </c>
      <c r="Q259" s="52" t="str">
        <f t="shared" si="65"/>
        <v>KPS-10-05</v>
      </c>
    </row>
    <row r="260" spans="1:17" x14ac:dyDescent="0.35">
      <c r="A260" s="52" t="s">
        <v>6063</v>
      </c>
      <c r="C260" s="52" t="str">
        <f>"""TRUST Nav"",""HSPMTB2016"",""17"",""1"",""122068"""</f>
        <v>"TRUST Nav","HSPMTB2016","17","1","122068"</v>
      </c>
      <c r="D260" s="52" t="str">
        <f t="shared" si="71"/>
        <v>Customer</v>
      </c>
      <c r="I260" s="52" t="str">
        <f t="shared" si="66"/>
        <v>KK-04607|42430</v>
      </c>
      <c r="J260" s="82">
        <v>42547</v>
      </c>
      <c r="K260" s="52" t="str">
        <f t="shared" si="67"/>
        <v>Customer</v>
      </c>
      <c r="L260" s="52" t="str">
        <f>"KK-04607"</f>
        <v>KK-04607</v>
      </c>
      <c r="M260" s="52" t="s">
        <v>20989</v>
      </c>
      <c r="N260" s="2">
        <v>75000</v>
      </c>
      <c r="O260" s="82">
        <v>42430</v>
      </c>
      <c r="P260" s="52" t="str">
        <f>"SY - Hendro Hartono"</f>
        <v>SY - Hendro Hartono</v>
      </c>
      <c r="Q260" s="52" t="str">
        <f t="shared" si="65"/>
        <v>KPS-10-05</v>
      </c>
    </row>
    <row r="261" spans="1:17" x14ac:dyDescent="0.35">
      <c r="A261" s="52" t="s">
        <v>6063</v>
      </c>
      <c r="C261" s="52" t="str">
        <f>"""TRUST Nav"",""HSPMTB2016"",""17"",""1"",""122069"""</f>
        <v>"TRUST Nav","HSPMTB2016","17","1","122069"</v>
      </c>
      <c r="D261" s="52" t="str">
        <f t="shared" si="71"/>
        <v>Customer</v>
      </c>
      <c r="I261" s="52" t="str">
        <f t="shared" si="66"/>
        <v>KK-04607|42461</v>
      </c>
      <c r="J261" s="82">
        <v>42547</v>
      </c>
      <c r="K261" s="52" t="str">
        <f t="shared" si="67"/>
        <v>Customer</v>
      </c>
      <c r="L261" s="52" t="str">
        <f>"KK-04607"</f>
        <v>KK-04607</v>
      </c>
      <c r="M261" s="52" t="s">
        <v>20989</v>
      </c>
      <c r="N261" s="2">
        <v>75000</v>
      </c>
      <c r="O261" s="82">
        <v>42461</v>
      </c>
      <c r="P261" s="52" t="str">
        <f>"SY - Hendro Hartono"</f>
        <v>SY - Hendro Hartono</v>
      </c>
      <c r="Q261" s="52" t="str">
        <f t="shared" si="65"/>
        <v>KPS-10-05</v>
      </c>
    </row>
    <row r="262" spans="1:17" x14ac:dyDescent="0.35">
      <c r="A262" s="52" t="s">
        <v>6063</v>
      </c>
      <c r="C262" s="52" t="str">
        <f>"""TRUST Nav"",""HSPMTB2016"",""17"",""1"",""122070"""</f>
        <v>"TRUST Nav","HSPMTB2016","17","1","122070"</v>
      </c>
      <c r="D262" s="52" t="str">
        <f t="shared" si="71"/>
        <v>Customer</v>
      </c>
      <c r="I262" s="52" t="str">
        <f t="shared" si="66"/>
        <v>KK-04607|42491</v>
      </c>
      <c r="J262" s="82">
        <v>42547</v>
      </c>
      <c r="K262" s="52" t="str">
        <f t="shared" si="67"/>
        <v>Customer</v>
      </c>
      <c r="L262" s="52" t="str">
        <f>"KK-04607"</f>
        <v>KK-04607</v>
      </c>
      <c r="M262" s="52" t="s">
        <v>20989</v>
      </c>
      <c r="N262" s="2">
        <v>75000</v>
      </c>
      <c r="O262" s="82">
        <v>42491</v>
      </c>
      <c r="P262" s="52" t="str">
        <f>"SY - Hendro Hartono"</f>
        <v>SY - Hendro Hartono</v>
      </c>
      <c r="Q262" s="52" t="str">
        <f t="shared" si="65"/>
        <v>KPS-10-05</v>
      </c>
    </row>
    <row r="263" spans="1:17" x14ac:dyDescent="0.35">
      <c r="A263" s="52" t="s">
        <v>6063</v>
      </c>
      <c r="C263" s="52" t="str">
        <f>"""TRUST Nav"",""HSPMTB2016"",""17"",""1"",""122071"""</f>
        <v>"TRUST Nav","HSPMTB2016","17","1","122071"</v>
      </c>
      <c r="D263" s="52" t="str">
        <f t="shared" si="71"/>
        <v>Customer</v>
      </c>
      <c r="I263" s="52" t="str">
        <f t="shared" si="66"/>
        <v>KK-04608|42522</v>
      </c>
      <c r="J263" s="82">
        <v>42547</v>
      </c>
      <c r="K263" s="52" t="str">
        <f t="shared" si="67"/>
        <v>Customer</v>
      </c>
      <c r="L263" s="52" t="str">
        <f>"KK-04608"</f>
        <v>KK-04608</v>
      </c>
      <c r="M263" s="52" t="s">
        <v>20990</v>
      </c>
      <c r="N263" s="2">
        <v>30000</v>
      </c>
      <c r="O263" s="82">
        <v>42522</v>
      </c>
      <c r="P263" s="52" t="str">
        <f>"SY - Heru Prawono"</f>
        <v>SY - Heru Prawono</v>
      </c>
      <c r="Q263" s="52" t="str">
        <f t="shared" si="65"/>
        <v>KPS-10-05</v>
      </c>
    </row>
    <row r="264" spans="1:17" x14ac:dyDescent="0.35">
      <c r="A264" s="52" t="s">
        <v>6063</v>
      </c>
      <c r="C264" s="52" t="str">
        <f>"""TRUST Nav"",""HSPMTB2016"",""17"",""1"",""122072"""</f>
        <v>"TRUST Nav","HSPMTB2016","17","1","122072"</v>
      </c>
      <c r="D264" s="52" t="str">
        <f t="shared" si="71"/>
        <v>Customer</v>
      </c>
      <c r="I264" s="52" t="str">
        <f t="shared" si="66"/>
        <v>KK-05052|42186</v>
      </c>
      <c r="J264" s="82">
        <v>42547</v>
      </c>
      <c r="K264" s="52" t="str">
        <f t="shared" si="67"/>
        <v>Customer</v>
      </c>
      <c r="L264" s="52" t="str">
        <f t="shared" ref="L264:L272" si="72">"KK-05052"</f>
        <v>KK-05052</v>
      </c>
      <c r="M264" s="52" t="s">
        <v>21006</v>
      </c>
      <c r="N264" s="2">
        <v>15000</v>
      </c>
      <c r="O264" s="82">
        <v>42186</v>
      </c>
      <c r="P264" s="52" t="str">
        <f t="shared" ref="P264:P272" si="73">"SY - Julius Margono Teguh Nugroho"</f>
        <v>SY - Julius Margono Teguh Nugroho</v>
      </c>
      <c r="Q264" s="52" t="str">
        <f t="shared" si="65"/>
        <v>KPS-10-05</v>
      </c>
    </row>
    <row r="265" spans="1:17" x14ac:dyDescent="0.35">
      <c r="A265" s="52" t="s">
        <v>6063</v>
      </c>
      <c r="C265" s="52" t="str">
        <f>"""TRUST Nav"",""HSPMTB2016"",""17"",""1"",""122073"""</f>
        <v>"TRUST Nav","HSPMTB2016","17","1","122073"</v>
      </c>
      <c r="D265" s="52" t="str">
        <f t="shared" si="71"/>
        <v>Customer</v>
      </c>
      <c r="I265" s="52" t="str">
        <f t="shared" si="66"/>
        <v>KK-05052|42217</v>
      </c>
      <c r="J265" s="82">
        <v>42547</v>
      </c>
      <c r="K265" s="52" t="str">
        <f t="shared" si="67"/>
        <v>Customer</v>
      </c>
      <c r="L265" s="52" t="str">
        <f t="shared" si="72"/>
        <v>KK-05052</v>
      </c>
      <c r="M265" s="52" t="s">
        <v>21006</v>
      </c>
      <c r="N265" s="2">
        <v>15000</v>
      </c>
      <c r="O265" s="82">
        <v>42217</v>
      </c>
      <c r="P265" s="52" t="str">
        <f t="shared" si="73"/>
        <v>SY - Julius Margono Teguh Nugroho</v>
      </c>
      <c r="Q265" s="52" t="str">
        <f t="shared" si="65"/>
        <v>KPS-10-05</v>
      </c>
    </row>
    <row r="266" spans="1:17" x14ac:dyDescent="0.35">
      <c r="A266" s="52" t="s">
        <v>6063</v>
      </c>
      <c r="C266" s="52" t="str">
        <f>"""TRUST Nav"",""HSPMTB2016"",""17"",""1"",""122074"""</f>
        <v>"TRUST Nav","HSPMTB2016","17","1","122074"</v>
      </c>
      <c r="D266" s="52" t="str">
        <f t="shared" si="71"/>
        <v>Customer</v>
      </c>
      <c r="I266" s="52" t="str">
        <f t="shared" si="66"/>
        <v>KK-05052|42248</v>
      </c>
      <c r="J266" s="82">
        <v>42547</v>
      </c>
      <c r="K266" s="52" t="str">
        <f t="shared" si="67"/>
        <v>Customer</v>
      </c>
      <c r="L266" s="52" t="str">
        <f t="shared" si="72"/>
        <v>KK-05052</v>
      </c>
      <c r="M266" s="52" t="s">
        <v>21006</v>
      </c>
      <c r="N266" s="2">
        <v>15000</v>
      </c>
      <c r="O266" s="82">
        <v>42248</v>
      </c>
      <c r="P266" s="52" t="str">
        <f t="shared" si="73"/>
        <v>SY - Julius Margono Teguh Nugroho</v>
      </c>
      <c r="Q266" s="52" t="str">
        <f t="shared" si="65"/>
        <v>KPS-10-05</v>
      </c>
    </row>
    <row r="267" spans="1:17" x14ac:dyDescent="0.35">
      <c r="A267" s="52" t="s">
        <v>6063</v>
      </c>
      <c r="C267" s="52" t="str">
        <f>"""TRUST Nav"",""HSPMTB2016"",""17"",""1"",""122075"""</f>
        <v>"TRUST Nav","HSPMTB2016","17","1","122075"</v>
      </c>
      <c r="D267" s="52" t="str">
        <f t="shared" si="71"/>
        <v>Customer</v>
      </c>
      <c r="I267" s="52" t="str">
        <f t="shared" si="66"/>
        <v>KK-05052|42278</v>
      </c>
      <c r="J267" s="82">
        <v>42547</v>
      </c>
      <c r="K267" s="52" t="str">
        <f t="shared" si="67"/>
        <v>Customer</v>
      </c>
      <c r="L267" s="52" t="str">
        <f t="shared" si="72"/>
        <v>KK-05052</v>
      </c>
      <c r="M267" s="52" t="s">
        <v>21006</v>
      </c>
      <c r="N267" s="2">
        <v>15000</v>
      </c>
      <c r="O267" s="82">
        <v>42278</v>
      </c>
      <c r="P267" s="52" t="str">
        <f t="shared" si="73"/>
        <v>SY - Julius Margono Teguh Nugroho</v>
      </c>
      <c r="Q267" s="52" t="str">
        <f t="shared" si="65"/>
        <v>KPS-10-05</v>
      </c>
    </row>
    <row r="268" spans="1:17" x14ac:dyDescent="0.35">
      <c r="A268" s="52" t="s">
        <v>6063</v>
      </c>
      <c r="C268" s="52" t="str">
        <f>"""TRUST Nav"",""HSPMTB2016"",""17"",""1"",""122076"""</f>
        <v>"TRUST Nav","HSPMTB2016","17","1","122076"</v>
      </c>
      <c r="D268" s="52" t="str">
        <f t="shared" si="71"/>
        <v>Customer</v>
      </c>
      <c r="I268" s="52" t="str">
        <f t="shared" si="66"/>
        <v>KK-05052|42309</v>
      </c>
      <c r="J268" s="82">
        <v>42547</v>
      </c>
      <c r="K268" s="52" t="str">
        <f t="shared" si="67"/>
        <v>Customer</v>
      </c>
      <c r="L268" s="52" t="str">
        <f t="shared" si="72"/>
        <v>KK-05052</v>
      </c>
      <c r="M268" s="52" t="s">
        <v>21006</v>
      </c>
      <c r="N268" s="2">
        <v>15000</v>
      </c>
      <c r="O268" s="82">
        <v>42309</v>
      </c>
      <c r="P268" s="52" t="str">
        <f t="shared" si="73"/>
        <v>SY - Julius Margono Teguh Nugroho</v>
      </c>
      <c r="Q268" s="52" t="str">
        <f t="shared" si="65"/>
        <v>KPS-10-05</v>
      </c>
    </row>
    <row r="269" spans="1:17" x14ac:dyDescent="0.35">
      <c r="A269" s="52" t="s">
        <v>6063</v>
      </c>
      <c r="C269" s="52" t="str">
        <f>"""TRUST Nav"",""HSPMTB2016"",""17"",""1"",""122077"""</f>
        <v>"TRUST Nav","HSPMTB2016","17","1","122077"</v>
      </c>
      <c r="D269" s="52" t="str">
        <f t="shared" si="71"/>
        <v>Customer</v>
      </c>
      <c r="I269" s="52" t="str">
        <f t="shared" si="66"/>
        <v>KK-05052|42339</v>
      </c>
      <c r="J269" s="82">
        <v>42547</v>
      </c>
      <c r="K269" s="52" t="str">
        <f t="shared" si="67"/>
        <v>Customer</v>
      </c>
      <c r="L269" s="52" t="str">
        <f t="shared" si="72"/>
        <v>KK-05052</v>
      </c>
      <c r="M269" s="52" t="s">
        <v>21006</v>
      </c>
      <c r="N269" s="2">
        <v>15000</v>
      </c>
      <c r="O269" s="82">
        <v>42339</v>
      </c>
      <c r="P269" s="52" t="str">
        <f t="shared" si="73"/>
        <v>SY - Julius Margono Teguh Nugroho</v>
      </c>
      <c r="Q269" s="52" t="str">
        <f t="shared" ref="Q269:Q323" si="74">"KPS-10-05"</f>
        <v>KPS-10-05</v>
      </c>
    </row>
    <row r="270" spans="1:17" x14ac:dyDescent="0.35">
      <c r="A270" s="52" t="s">
        <v>6063</v>
      </c>
      <c r="C270" s="52" t="str">
        <f>"""TRUST Nav"",""HSPMTB2016"",""17"",""1"",""122078"""</f>
        <v>"TRUST Nav","HSPMTB2016","17","1","122078"</v>
      </c>
      <c r="D270" s="52" t="str">
        <f t="shared" si="71"/>
        <v>Customer</v>
      </c>
      <c r="I270" s="52" t="str">
        <f t="shared" ref="I270:I323" si="75">CONCATENATE(L270,"|",O270)</f>
        <v>KK-05052|42370</v>
      </c>
      <c r="J270" s="82">
        <v>42547</v>
      </c>
      <c r="K270" s="52" t="str">
        <f t="shared" ref="K270:K323" si="76">IF($D270="Customer",$D270,"G/L")</f>
        <v>Customer</v>
      </c>
      <c r="L270" s="52" t="str">
        <f t="shared" si="72"/>
        <v>KK-05052</v>
      </c>
      <c r="M270" s="52" t="s">
        <v>21006</v>
      </c>
      <c r="N270" s="2">
        <v>15000</v>
      </c>
      <c r="O270" s="82">
        <v>42370</v>
      </c>
      <c r="P270" s="52" t="str">
        <f t="shared" si="73"/>
        <v>SY - Julius Margono Teguh Nugroho</v>
      </c>
      <c r="Q270" s="52" t="str">
        <f t="shared" si="74"/>
        <v>KPS-10-05</v>
      </c>
    </row>
    <row r="271" spans="1:17" x14ac:dyDescent="0.35">
      <c r="A271" s="52" t="s">
        <v>6063</v>
      </c>
      <c r="C271" s="52" t="str">
        <f>"""TRUST Nav"",""HSPMTB2016"",""17"",""1"",""122079"""</f>
        <v>"TRUST Nav","HSPMTB2016","17","1","122079"</v>
      </c>
      <c r="D271" s="52" t="str">
        <f t="shared" si="71"/>
        <v>Customer</v>
      </c>
      <c r="I271" s="52" t="str">
        <f t="shared" si="75"/>
        <v>KK-05052|42401</v>
      </c>
      <c r="J271" s="82">
        <v>42547</v>
      </c>
      <c r="K271" s="52" t="str">
        <f t="shared" si="76"/>
        <v>Customer</v>
      </c>
      <c r="L271" s="52" t="str">
        <f t="shared" si="72"/>
        <v>KK-05052</v>
      </c>
      <c r="M271" s="52" t="s">
        <v>21006</v>
      </c>
      <c r="N271" s="2">
        <v>15000</v>
      </c>
      <c r="O271" s="82">
        <v>42401</v>
      </c>
      <c r="P271" s="52" t="str">
        <f t="shared" si="73"/>
        <v>SY - Julius Margono Teguh Nugroho</v>
      </c>
      <c r="Q271" s="52" t="str">
        <f t="shared" si="74"/>
        <v>KPS-10-05</v>
      </c>
    </row>
    <row r="272" spans="1:17" x14ac:dyDescent="0.35">
      <c r="A272" s="52" t="s">
        <v>6063</v>
      </c>
      <c r="C272" s="52" t="str">
        <f>"""TRUST Nav"",""HSPMTB2016"",""17"",""1"",""122080"""</f>
        <v>"TRUST Nav","HSPMTB2016","17","1","122080"</v>
      </c>
      <c r="D272" s="52" t="str">
        <f t="shared" si="71"/>
        <v>Customer</v>
      </c>
      <c r="I272" s="52" t="str">
        <f t="shared" si="75"/>
        <v>KK-05052|42430</v>
      </c>
      <c r="J272" s="82">
        <v>42547</v>
      </c>
      <c r="K272" s="52" t="str">
        <f t="shared" si="76"/>
        <v>Customer</v>
      </c>
      <c r="L272" s="52" t="str">
        <f t="shared" si="72"/>
        <v>KK-05052</v>
      </c>
      <c r="M272" s="52" t="s">
        <v>21006</v>
      </c>
      <c r="N272" s="2">
        <v>15000</v>
      </c>
      <c r="O272" s="82">
        <v>42430</v>
      </c>
      <c r="P272" s="52" t="str">
        <f t="shared" si="73"/>
        <v>SY - Julius Margono Teguh Nugroho</v>
      </c>
      <c r="Q272" s="52" t="str">
        <f t="shared" si="74"/>
        <v>KPS-10-05</v>
      </c>
    </row>
    <row r="273" spans="1:17" x14ac:dyDescent="0.35">
      <c r="A273" s="52" t="s">
        <v>6063</v>
      </c>
      <c r="C273" s="52" t="str">
        <f>"""TRUST Nav"",""HSPMTB2016"",""17"",""1"",""122081"""</f>
        <v>"TRUST Nav","HSPMTB2016","17","1","122081"</v>
      </c>
      <c r="D273" s="52" t="str">
        <f t="shared" si="71"/>
        <v>Customer</v>
      </c>
      <c r="I273" s="52" t="str">
        <f t="shared" si="75"/>
        <v>KK-04621|42430</v>
      </c>
      <c r="J273" s="82">
        <v>42547</v>
      </c>
      <c r="K273" s="52" t="str">
        <f t="shared" si="76"/>
        <v>Customer</v>
      </c>
      <c r="L273" s="52" t="str">
        <f>"KK-04621"</f>
        <v>KK-04621</v>
      </c>
      <c r="M273" s="52" t="s">
        <v>20999</v>
      </c>
      <c r="N273" s="2">
        <v>25000.000000000004</v>
      </c>
      <c r="O273" s="82">
        <v>42430</v>
      </c>
      <c r="P273" s="52" t="str">
        <f>"SY - Tommy Prasetyo Utomo"</f>
        <v>SY - Tommy Prasetyo Utomo</v>
      </c>
      <c r="Q273" s="52" t="str">
        <f t="shared" si="74"/>
        <v>KPS-10-05</v>
      </c>
    </row>
    <row r="274" spans="1:17" x14ac:dyDescent="0.35">
      <c r="A274" s="52" t="s">
        <v>6063</v>
      </c>
      <c r="C274" s="52" t="str">
        <f>"""TRUST Nav"",""HSPMTB2016"",""17"",""1"",""122082"""</f>
        <v>"TRUST Nav","HSPMTB2016","17","1","122082"</v>
      </c>
      <c r="D274" s="52" t="str">
        <f t="shared" si="71"/>
        <v>Customer</v>
      </c>
      <c r="I274" s="52" t="str">
        <f t="shared" si="75"/>
        <v>KK-04621|42461</v>
      </c>
      <c r="J274" s="82">
        <v>42547</v>
      </c>
      <c r="K274" s="52" t="str">
        <f t="shared" si="76"/>
        <v>Customer</v>
      </c>
      <c r="L274" s="52" t="str">
        <f>"KK-04621"</f>
        <v>KK-04621</v>
      </c>
      <c r="M274" s="52" t="s">
        <v>20999</v>
      </c>
      <c r="N274" s="2">
        <v>25000.000000000004</v>
      </c>
      <c r="O274" s="82">
        <v>42461</v>
      </c>
      <c r="P274" s="52" t="str">
        <f>"SY - Tommy Prasetyo Utomo"</f>
        <v>SY - Tommy Prasetyo Utomo</v>
      </c>
      <c r="Q274" s="52" t="str">
        <f t="shared" si="74"/>
        <v>KPS-10-05</v>
      </c>
    </row>
    <row r="275" spans="1:17" x14ac:dyDescent="0.35">
      <c r="A275" s="52" t="s">
        <v>6063</v>
      </c>
      <c r="C275" s="52" t="str">
        <f>"""TRUST Nav"",""HSPMTB2016"",""17"",""1"",""122083"""</f>
        <v>"TRUST Nav","HSPMTB2016","17","1","122083"</v>
      </c>
      <c r="D275" s="52" t="str">
        <f t="shared" si="71"/>
        <v>Customer</v>
      </c>
      <c r="I275" s="52" t="str">
        <f t="shared" si="75"/>
        <v>KK-04621|42491</v>
      </c>
      <c r="J275" s="82">
        <v>42547</v>
      </c>
      <c r="K275" s="52" t="str">
        <f t="shared" si="76"/>
        <v>Customer</v>
      </c>
      <c r="L275" s="52" t="str">
        <f>"KK-04621"</f>
        <v>KK-04621</v>
      </c>
      <c r="M275" s="52" t="s">
        <v>20999</v>
      </c>
      <c r="N275" s="2">
        <v>25000.000000000004</v>
      </c>
      <c r="O275" s="82">
        <v>42491</v>
      </c>
      <c r="P275" s="52" t="str">
        <f>"SY - Tommy Prasetyo Utomo"</f>
        <v>SY - Tommy Prasetyo Utomo</v>
      </c>
      <c r="Q275" s="52" t="str">
        <f t="shared" si="74"/>
        <v>KPS-10-05</v>
      </c>
    </row>
    <row r="276" spans="1:17" x14ac:dyDescent="0.35">
      <c r="A276" s="52" t="s">
        <v>6063</v>
      </c>
      <c r="C276" s="52" t="str">
        <f>"""TRUST Nav"",""HSPMTB2016"",""17"",""1"",""122084"""</f>
        <v>"TRUST Nav","HSPMTB2016","17","1","122084"</v>
      </c>
      <c r="D276" s="52" t="str">
        <f t="shared" ref="D276:D307" si="77">"Customer"</f>
        <v>Customer</v>
      </c>
      <c r="I276" s="52" t="str">
        <f t="shared" si="75"/>
        <v>KK-04621|42522</v>
      </c>
      <c r="J276" s="82">
        <v>42547</v>
      </c>
      <c r="K276" s="52" t="str">
        <f t="shared" si="76"/>
        <v>Customer</v>
      </c>
      <c r="L276" s="52" t="str">
        <f>"KK-04621"</f>
        <v>KK-04621</v>
      </c>
      <c r="M276" s="52" t="s">
        <v>20999</v>
      </c>
      <c r="N276" s="2">
        <v>25000.000000000004</v>
      </c>
      <c r="O276" s="82">
        <v>42522</v>
      </c>
      <c r="P276" s="52" t="str">
        <f>"SY - Tommy Prasetyo Utomo"</f>
        <v>SY - Tommy Prasetyo Utomo</v>
      </c>
      <c r="Q276" s="52" t="str">
        <f t="shared" si="74"/>
        <v>KPS-10-05</v>
      </c>
    </row>
    <row r="277" spans="1:17" x14ac:dyDescent="0.35">
      <c r="A277" s="52" t="s">
        <v>6063</v>
      </c>
      <c r="C277" s="52" t="str">
        <f>"""TRUST Nav"",""HSPMTB2016"",""17"",""1"",""122085"""</f>
        <v>"TRUST Nav","HSPMTB2016","17","1","122085"</v>
      </c>
      <c r="D277" s="52" t="str">
        <f t="shared" si="77"/>
        <v>Customer</v>
      </c>
      <c r="I277" s="52" t="str">
        <f t="shared" si="75"/>
        <v>KK-04622|42522</v>
      </c>
      <c r="J277" s="82">
        <v>42547</v>
      </c>
      <c r="K277" s="52" t="str">
        <f t="shared" si="76"/>
        <v>Customer</v>
      </c>
      <c r="L277" s="52" t="str">
        <f>"KK-04622"</f>
        <v>KK-04622</v>
      </c>
      <c r="M277" s="52" t="s">
        <v>21000</v>
      </c>
      <c r="N277" s="2">
        <v>35000</v>
      </c>
      <c r="O277" s="82">
        <v>42522</v>
      </c>
      <c r="P277" s="52" t="str">
        <f>"SY - Tri Saptono Vinsentius "</f>
        <v xml:space="preserve">SY - Tri Saptono Vinsentius </v>
      </c>
      <c r="Q277" s="52" t="str">
        <f t="shared" si="74"/>
        <v>KPS-10-05</v>
      </c>
    </row>
    <row r="278" spans="1:17" x14ac:dyDescent="0.35">
      <c r="A278" s="52" t="s">
        <v>6063</v>
      </c>
      <c r="C278" s="52" t="str">
        <f>"""TRUST Nav"",""HSPMTB2016"",""17"",""1"",""122086"""</f>
        <v>"TRUST Nav","HSPMTB2016","17","1","122086"</v>
      </c>
      <c r="D278" s="52" t="str">
        <f t="shared" si="77"/>
        <v>Customer</v>
      </c>
      <c r="I278" s="52" t="str">
        <f t="shared" si="75"/>
        <v>KK-04622|42552</v>
      </c>
      <c r="J278" s="82">
        <v>42547</v>
      </c>
      <c r="K278" s="52" t="str">
        <f t="shared" si="76"/>
        <v>Customer</v>
      </c>
      <c r="L278" s="52" t="str">
        <f>"KK-04622"</f>
        <v>KK-04622</v>
      </c>
      <c r="M278" s="52" t="s">
        <v>21000</v>
      </c>
      <c r="N278" s="2">
        <v>35000</v>
      </c>
      <c r="O278" s="82">
        <v>42552</v>
      </c>
      <c r="P278" s="52" t="str">
        <f>"SY - Tri Saptono Vinsentius "</f>
        <v xml:space="preserve">SY - Tri Saptono Vinsentius </v>
      </c>
      <c r="Q278" s="52" t="str">
        <f t="shared" si="74"/>
        <v>KPS-10-05</v>
      </c>
    </row>
    <row r="279" spans="1:17" x14ac:dyDescent="0.35">
      <c r="A279" s="52" t="s">
        <v>6063</v>
      </c>
      <c r="C279" s="52" t="str">
        <f>"""TRUST Nav"",""HSPMTB2016"",""17"",""1"",""122087"""</f>
        <v>"TRUST Nav","HSPMTB2016","17","1","122087"</v>
      </c>
      <c r="D279" s="52" t="str">
        <f t="shared" si="77"/>
        <v>Customer</v>
      </c>
      <c r="I279" s="52" t="str">
        <f t="shared" si="75"/>
        <v>KK-05056|42370</v>
      </c>
      <c r="J279" s="82">
        <v>42547</v>
      </c>
      <c r="K279" s="52" t="str">
        <f t="shared" si="76"/>
        <v>Customer</v>
      </c>
      <c r="L279" s="52" t="str">
        <f t="shared" ref="L279:L284" si="78">"KK-05056"</f>
        <v>KK-05056</v>
      </c>
      <c r="M279" s="52" t="s">
        <v>21007</v>
      </c>
      <c r="N279" s="2">
        <v>50000.000000000007</v>
      </c>
      <c r="O279" s="82">
        <v>42370</v>
      </c>
      <c r="P279" s="52" t="str">
        <f t="shared" ref="P279:P284" si="79">"SY - Yandi Setiawan"</f>
        <v>SY - Yandi Setiawan</v>
      </c>
      <c r="Q279" s="52" t="str">
        <f t="shared" si="74"/>
        <v>KPS-10-05</v>
      </c>
    </row>
    <row r="280" spans="1:17" x14ac:dyDescent="0.35">
      <c r="A280" s="52" t="s">
        <v>6063</v>
      </c>
      <c r="C280" s="52" t="str">
        <f>"""TRUST Nav"",""HSPMTB2016"",""17"",""1"",""122088"""</f>
        <v>"TRUST Nav","HSPMTB2016","17","1","122088"</v>
      </c>
      <c r="D280" s="52" t="str">
        <f t="shared" si="77"/>
        <v>Customer</v>
      </c>
      <c r="I280" s="52" t="str">
        <f t="shared" si="75"/>
        <v>KK-05056|42401</v>
      </c>
      <c r="J280" s="82">
        <v>42547</v>
      </c>
      <c r="K280" s="52" t="str">
        <f t="shared" si="76"/>
        <v>Customer</v>
      </c>
      <c r="L280" s="52" t="str">
        <f t="shared" si="78"/>
        <v>KK-05056</v>
      </c>
      <c r="M280" s="52" t="s">
        <v>21007</v>
      </c>
      <c r="N280" s="2">
        <v>50000.000000000007</v>
      </c>
      <c r="O280" s="82">
        <v>42401</v>
      </c>
      <c r="P280" s="52" t="str">
        <f t="shared" si="79"/>
        <v>SY - Yandi Setiawan</v>
      </c>
      <c r="Q280" s="52" t="str">
        <f t="shared" si="74"/>
        <v>KPS-10-05</v>
      </c>
    </row>
    <row r="281" spans="1:17" x14ac:dyDescent="0.35">
      <c r="A281" s="52" t="s">
        <v>6063</v>
      </c>
      <c r="C281" s="52" t="str">
        <f>"""TRUST Nav"",""HSPMTB2016"",""17"",""1"",""122089"""</f>
        <v>"TRUST Nav","HSPMTB2016","17","1","122089"</v>
      </c>
      <c r="D281" s="52" t="str">
        <f t="shared" si="77"/>
        <v>Customer</v>
      </c>
      <c r="I281" s="52" t="str">
        <f t="shared" si="75"/>
        <v>KK-05056|42430</v>
      </c>
      <c r="J281" s="82">
        <v>42547</v>
      </c>
      <c r="K281" s="52" t="str">
        <f t="shared" si="76"/>
        <v>Customer</v>
      </c>
      <c r="L281" s="52" t="str">
        <f t="shared" si="78"/>
        <v>KK-05056</v>
      </c>
      <c r="M281" s="52" t="s">
        <v>21007</v>
      </c>
      <c r="N281" s="2">
        <v>50000.000000000007</v>
      </c>
      <c r="O281" s="82">
        <v>42430</v>
      </c>
      <c r="P281" s="52" t="str">
        <f t="shared" si="79"/>
        <v>SY - Yandi Setiawan</v>
      </c>
      <c r="Q281" s="52" t="str">
        <f t="shared" si="74"/>
        <v>KPS-10-05</v>
      </c>
    </row>
    <row r="282" spans="1:17" x14ac:dyDescent="0.35">
      <c r="A282" s="52" t="s">
        <v>6063</v>
      </c>
      <c r="C282" s="52" t="str">
        <f>"""TRUST Nav"",""HSPMTB2016"",""17"",""1"",""122090"""</f>
        <v>"TRUST Nav","HSPMTB2016","17","1","122090"</v>
      </c>
      <c r="D282" s="52" t="str">
        <f t="shared" si="77"/>
        <v>Customer</v>
      </c>
      <c r="I282" s="52" t="str">
        <f t="shared" si="75"/>
        <v>KK-05056|42461</v>
      </c>
      <c r="J282" s="82">
        <v>42547</v>
      </c>
      <c r="K282" s="52" t="str">
        <f t="shared" si="76"/>
        <v>Customer</v>
      </c>
      <c r="L282" s="52" t="str">
        <f t="shared" si="78"/>
        <v>KK-05056</v>
      </c>
      <c r="M282" s="52" t="s">
        <v>21007</v>
      </c>
      <c r="N282" s="2">
        <v>50000.000000000007</v>
      </c>
      <c r="O282" s="82">
        <v>42461</v>
      </c>
      <c r="P282" s="52" t="str">
        <f t="shared" si="79"/>
        <v>SY - Yandi Setiawan</v>
      </c>
      <c r="Q282" s="52" t="str">
        <f t="shared" si="74"/>
        <v>KPS-10-05</v>
      </c>
    </row>
    <row r="283" spans="1:17" x14ac:dyDescent="0.35">
      <c r="A283" s="52" t="s">
        <v>6063</v>
      </c>
      <c r="C283" s="52" t="str">
        <f>"""TRUST Nav"",""HSPMTB2016"",""17"",""1"",""122091"""</f>
        <v>"TRUST Nav","HSPMTB2016","17","1","122091"</v>
      </c>
      <c r="D283" s="52" t="str">
        <f t="shared" si="77"/>
        <v>Customer</v>
      </c>
      <c r="I283" s="52" t="str">
        <f t="shared" si="75"/>
        <v>KK-05056|42491</v>
      </c>
      <c r="J283" s="82">
        <v>42547</v>
      </c>
      <c r="K283" s="52" t="str">
        <f t="shared" si="76"/>
        <v>Customer</v>
      </c>
      <c r="L283" s="52" t="str">
        <f t="shared" si="78"/>
        <v>KK-05056</v>
      </c>
      <c r="M283" s="52" t="s">
        <v>21007</v>
      </c>
      <c r="N283" s="2">
        <v>50000.000000000007</v>
      </c>
      <c r="O283" s="82">
        <v>42491</v>
      </c>
      <c r="P283" s="52" t="str">
        <f t="shared" si="79"/>
        <v>SY - Yandi Setiawan</v>
      </c>
      <c r="Q283" s="52" t="str">
        <f t="shared" si="74"/>
        <v>KPS-10-05</v>
      </c>
    </row>
    <row r="284" spans="1:17" x14ac:dyDescent="0.35">
      <c r="A284" s="52" t="s">
        <v>6063</v>
      </c>
      <c r="C284" s="52" t="str">
        <f>"""TRUST Nav"",""HSPMTB2016"",""17"",""1"",""122092"""</f>
        <v>"TRUST Nav","HSPMTB2016","17","1","122092"</v>
      </c>
      <c r="D284" s="52" t="str">
        <f t="shared" si="77"/>
        <v>Customer</v>
      </c>
      <c r="I284" s="52" t="str">
        <f t="shared" si="75"/>
        <v>KK-05056|42522</v>
      </c>
      <c r="J284" s="82">
        <v>42547</v>
      </c>
      <c r="K284" s="52" t="str">
        <f t="shared" si="76"/>
        <v>Customer</v>
      </c>
      <c r="L284" s="52" t="str">
        <f t="shared" si="78"/>
        <v>KK-05056</v>
      </c>
      <c r="M284" s="52" t="s">
        <v>21007</v>
      </c>
      <c r="N284" s="2">
        <v>50000.000000000007</v>
      </c>
      <c r="O284" s="82">
        <v>42522</v>
      </c>
      <c r="P284" s="52" t="str">
        <f t="shared" si="79"/>
        <v>SY - Yandi Setiawan</v>
      </c>
      <c r="Q284" s="52" t="str">
        <f t="shared" si="74"/>
        <v>KPS-10-05</v>
      </c>
    </row>
    <row r="285" spans="1:17" x14ac:dyDescent="0.35">
      <c r="A285" s="52" t="s">
        <v>6063</v>
      </c>
      <c r="C285" s="52" t="str">
        <f>"""TRUST Nav"",""HSPMTB2016"",""17"",""1"",""122093"""</f>
        <v>"TRUST Nav","HSPMTB2016","17","1","122093"</v>
      </c>
      <c r="D285" s="52" t="str">
        <f t="shared" si="77"/>
        <v>Customer</v>
      </c>
      <c r="I285" s="52" t="str">
        <f t="shared" si="75"/>
        <v>KK-04624|42552</v>
      </c>
      <c r="J285" s="82">
        <v>42547</v>
      </c>
      <c r="K285" s="52" t="str">
        <f t="shared" si="76"/>
        <v>Customer</v>
      </c>
      <c r="L285" s="52" t="str">
        <f>"KK-04624"</f>
        <v>KK-04624</v>
      </c>
      <c r="M285" s="52" t="s">
        <v>21001</v>
      </c>
      <c r="N285" s="2">
        <v>40000</v>
      </c>
      <c r="O285" s="82">
        <v>42552</v>
      </c>
      <c r="P285" s="52" t="str">
        <f>"SY - Yohanes Hendy Setiawan"</f>
        <v>SY - Yohanes Hendy Setiawan</v>
      </c>
      <c r="Q285" s="52" t="str">
        <f t="shared" si="74"/>
        <v>KPS-10-05</v>
      </c>
    </row>
    <row r="286" spans="1:17" x14ac:dyDescent="0.35">
      <c r="A286" s="52" t="s">
        <v>6063</v>
      </c>
      <c r="C286" s="52" t="str">
        <f>"""TRUST Nav"",""HSPMTB2016"",""17"",""1"",""122094"""</f>
        <v>"TRUST Nav","HSPMTB2016","17","1","122094"</v>
      </c>
      <c r="D286" s="52" t="str">
        <f t="shared" si="77"/>
        <v>Customer</v>
      </c>
      <c r="I286" s="52" t="str">
        <f t="shared" si="75"/>
        <v>KK-04624|42583</v>
      </c>
      <c r="J286" s="82">
        <v>42547</v>
      </c>
      <c r="K286" s="52" t="str">
        <f t="shared" si="76"/>
        <v>Customer</v>
      </c>
      <c r="L286" s="52" t="str">
        <f>"KK-04624"</f>
        <v>KK-04624</v>
      </c>
      <c r="M286" s="52" t="s">
        <v>21001</v>
      </c>
      <c r="N286" s="2">
        <v>40000</v>
      </c>
      <c r="O286" s="82">
        <v>42583</v>
      </c>
      <c r="P286" s="52" t="str">
        <f>"SY - Yohanes Hendy Setiawan"</f>
        <v>SY - Yohanes Hendy Setiawan</v>
      </c>
      <c r="Q286" s="52" t="str">
        <f t="shared" si="74"/>
        <v>KPS-10-05</v>
      </c>
    </row>
    <row r="287" spans="1:17" x14ac:dyDescent="0.35">
      <c r="A287" s="52" t="s">
        <v>6063</v>
      </c>
      <c r="C287" s="52" t="str">
        <f>"""TRUST Nav"",""HSPMTB2016"",""17"",""1"",""122095"""</f>
        <v>"TRUST Nav","HSPMTB2016","17","1","122095"</v>
      </c>
      <c r="D287" s="52" t="str">
        <f t="shared" si="77"/>
        <v>Customer</v>
      </c>
      <c r="I287" s="52" t="str">
        <f t="shared" si="75"/>
        <v>KK-04624|42614</v>
      </c>
      <c r="J287" s="82">
        <v>42547</v>
      </c>
      <c r="K287" s="52" t="str">
        <f t="shared" si="76"/>
        <v>Customer</v>
      </c>
      <c r="L287" s="52" t="str">
        <f>"KK-04624"</f>
        <v>KK-04624</v>
      </c>
      <c r="M287" s="52" t="s">
        <v>21001</v>
      </c>
      <c r="N287" s="2">
        <v>40000</v>
      </c>
      <c r="O287" s="82">
        <v>42614</v>
      </c>
      <c r="P287" s="52" t="str">
        <f>"SY - Yohanes Hendy Setiawan"</f>
        <v>SY - Yohanes Hendy Setiawan</v>
      </c>
      <c r="Q287" s="52" t="str">
        <f t="shared" si="74"/>
        <v>KPS-10-05</v>
      </c>
    </row>
    <row r="288" spans="1:17" x14ac:dyDescent="0.35">
      <c r="A288" s="52" t="s">
        <v>6063</v>
      </c>
      <c r="C288" s="52" t="str">
        <f>"""TRUST Nav"",""HSPMTB2016"",""17"",""1"",""129716"""</f>
        <v>"TRUST Nav","HSPMTB2016","17","1","129716"</v>
      </c>
      <c r="D288" s="52" t="str">
        <f t="shared" si="77"/>
        <v>Customer</v>
      </c>
      <c r="I288" s="52" t="str">
        <f t="shared" si="75"/>
        <v>KK-04599|42552</v>
      </c>
      <c r="J288" s="82">
        <v>42582</v>
      </c>
      <c r="K288" s="52" t="str">
        <f t="shared" si="76"/>
        <v>Customer</v>
      </c>
      <c r="L288" s="52" t="str">
        <f>"KK-04599"</f>
        <v>KK-04599</v>
      </c>
      <c r="M288" s="52" t="s">
        <v>20984</v>
      </c>
      <c r="N288" s="2">
        <v>50000.000000000007</v>
      </c>
      <c r="O288" s="82">
        <v>42552</v>
      </c>
      <c r="P288" s="52" t="str">
        <f>"SY - Bernardus Yogie Dirga Gunawan"</f>
        <v>SY - Bernardus Yogie Dirga Gunawan</v>
      </c>
      <c r="Q288" s="52" t="str">
        <f t="shared" si="74"/>
        <v>KPS-10-05</v>
      </c>
    </row>
    <row r="289" spans="1:17" x14ac:dyDescent="0.35">
      <c r="A289" s="52" t="s">
        <v>6063</v>
      </c>
      <c r="C289" s="52" t="str">
        <f>"""TRUST Nav"",""HSPMTB2016"",""17"",""1"",""129717"""</f>
        <v>"TRUST Nav","HSPMTB2016","17","1","129717"</v>
      </c>
      <c r="D289" s="52" t="str">
        <f t="shared" si="77"/>
        <v>Customer</v>
      </c>
      <c r="I289" s="52" t="str">
        <f t="shared" si="75"/>
        <v>KK-04599|42583</v>
      </c>
      <c r="J289" s="82">
        <v>42582</v>
      </c>
      <c r="K289" s="52" t="str">
        <f t="shared" si="76"/>
        <v>Customer</v>
      </c>
      <c r="L289" s="52" t="str">
        <f>"KK-04599"</f>
        <v>KK-04599</v>
      </c>
      <c r="M289" s="52" t="s">
        <v>20984</v>
      </c>
      <c r="N289" s="2">
        <v>50000.000000000007</v>
      </c>
      <c r="O289" s="82">
        <v>42583</v>
      </c>
      <c r="P289" s="52" t="str">
        <f>"SY - Bernardus Yogie Dirga Gunawan"</f>
        <v>SY - Bernardus Yogie Dirga Gunawan</v>
      </c>
      <c r="Q289" s="52" t="str">
        <f t="shared" si="74"/>
        <v>KPS-10-05</v>
      </c>
    </row>
    <row r="290" spans="1:17" x14ac:dyDescent="0.35">
      <c r="A290" s="52" t="s">
        <v>6063</v>
      </c>
      <c r="C290" s="52" t="str">
        <f>"""TRUST Nav"",""HSPMTB2016"",""17"",""1"",""129718"""</f>
        <v>"TRUST Nav","HSPMTB2016","17","1","129718"</v>
      </c>
      <c r="D290" s="52" t="str">
        <f t="shared" si="77"/>
        <v>Customer</v>
      </c>
      <c r="I290" s="52" t="str">
        <f t="shared" si="75"/>
        <v>KK-04599|42614</v>
      </c>
      <c r="J290" s="82">
        <v>42582</v>
      </c>
      <c r="K290" s="52" t="str">
        <f t="shared" si="76"/>
        <v>Customer</v>
      </c>
      <c r="L290" s="52" t="str">
        <f>"KK-04599"</f>
        <v>KK-04599</v>
      </c>
      <c r="M290" s="52" t="s">
        <v>20984</v>
      </c>
      <c r="N290" s="2">
        <v>50000.000000000007</v>
      </c>
      <c r="O290" s="82">
        <v>42614</v>
      </c>
      <c r="P290" s="52" t="str">
        <f>"SY - Bernardus Yogie Dirga Gunawan"</f>
        <v>SY - Bernardus Yogie Dirga Gunawan</v>
      </c>
      <c r="Q290" s="52" t="str">
        <f t="shared" si="74"/>
        <v>KPS-10-05</v>
      </c>
    </row>
    <row r="291" spans="1:17" x14ac:dyDescent="0.35">
      <c r="A291" s="52" t="s">
        <v>6063</v>
      </c>
      <c r="C291" s="52" t="str">
        <f>"""TRUST Nav"",""HSPMTB2016"",""17"",""1"",""129719"""</f>
        <v>"TRUST Nav","HSPMTB2016","17","1","129719"</v>
      </c>
      <c r="D291" s="52" t="str">
        <f t="shared" si="77"/>
        <v>Customer</v>
      </c>
      <c r="I291" s="52" t="str">
        <f t="shared" si="75"/>
        <v>KK-04601|42491</v>
      </c>
      <c r="J291" s="82">
        <v>42582</v>
      </c>
      <c r="K291" s="52" t="str">
        <f t="shared" si="76"/>
        <v>Customer</v>
      </c>
      <c r="L291" s="52" t="str">
        <f>"KK-04601"</f>
        <v>KK-04601</v>
      </c>
      <c r="M291" s="52" t="s">
        <v>20985</v>
      </c>
      <c r="N291" s="2">
        <v>20000</v>
      </c>
      <c r="O291" s="82">
        <v>42491</v>
      </c>
      <c r="P291" s="52" t="str">
        <f>"SY - Boen Yoen Tet (Teddy)"</f>
        <v>SY - Boen Yoen Tet (Teddy)</v>
      </c>
      <c r="Q291" s="52" t="str">
        <f t="shared" si="74"/>
        <v>KPS-10-05</v>
      </c>
    </row>
    <row r="292" spans="1:17" x14ac:dyDescent="0.35">
      <c r="A292" s="52" t="s">
        <v>6063</v>
      </c>
      <c r="C292" s="52" t="str">
        <f>"""TRUST Nav"",""HSPMTB2016"",""17"",""1"",""129720"""</f>
        <v>"TRUST Nav","HSPMTB2016","17","1","129720"</v>
      </c>
      <c r="D292" s="52" t="str">
        <f t="shared" si="77"/>
        <v>Customer</v>
      </c>
      <c r="I292" s="52" t="str">
        <f t="shared" si="75"/>
        <v>KK-04601|42522</v>
      </c>
      <c r="J292" s="82">
        <v>42582</v>
      </c>
      <c r="K292" s="52" t="str">
        <f t="shared" si="76"/>
        <v>Customer</v>
      </c>
      <c r="L292" s="52" t="str">
        <f>"KK-04601"</f>
        <v>KK-04601</v>
      </c>
      <c r="M292" s="52" t="s">
        <v>20985</v>
      </c>
      <c r="N292" s="2">
        <v>20000</v>
      </c>
      <c r="O292" s="82">
        <v>42522</v>
      </c>
      <c r="P292" s="52" t="str">
        <f>"SY - Boen Yoen Tet (Teddy)"</f>
        <v>SY - Boen Yoen Tet (Teddy)</v>
      </c>
      <c r="Q292" s="52" t="str">
        <f t="shared" si="74"/>
        <v>KPS-10-05</v>
      </c>
    </row>
    <row r="293" spans="1:17" x14ac:dyDescent="0.35">
      <c r="A293" s="52" t="s">
        <v>6063</v>
      </c>
      <c r="C293" s="52" t="str">
        <f>"""TRUST Nav"",""HSPMTB2016"",""17"",""1"",""129721"""</f>
        <v>"TRUST Nav","HSPMTB2016","17","1","129721"</v>
      </c>
      <c r="D293" s="52" t="str">
        <f t="shared" si="77"/>
        <v>Customer</v>
      </c>
      <c r="I293" s="52" t="str">
        <f t="shared" si="75"/>
        <v>KK-04601|42552</v>
      </c>
      <c r="J293" s="82">
        <v>42582</v>
      </c>
      <c r="K293" s="52" t="str">
        <f t="shared" si="76"/>
        <v>Customer</v>
      </c>
      <c r="L293" s="52" t="str">
        <f>"KK-04601"</f>
        <v>KK-04601</v>
      </c>
      <c r="M293" s="52" t="s">
        <v>20985</v>
      </c>
      <c r="N293" s="2">
        <v>20000</v>
      </c>
      <c r="O293" s="82">
        <v>42552</v>
      </c>
      <c r="P293" s="52" t="str">
        <f>"SY - Boen Yoen Tet (Teddy)"</f>
        <v>SY - Boen Yoen Tet (Teddy)</v>
      </c>
      <c r="Q293" s="52" t="str">
        <f t="shared" si="74"/>
        <v>KPS-10-05</v>
      </c>
    </row>
    <row r="294" spans="1:17" x14ac:dyDescent="0.35">
      <c r="A294" s="52" t="s">
        <v>6063</v>
      </c>
      <c r="C294" s="52" t="str">
        <f>"""TRUST Nav"",""HSPMTB2016"",""17"",""1"",""129722"""</f>
        <v>"TRUST Nav","HSPMTB2016","17","1","129722"</v>
      </c>
      <c r="D294" s="52" t="str">
        <f t="shared" si="77"/>
        <v>Customer</v>
      </c>
      <c r="I294" s="52" t="str">
        <f t="shared" si="75"/>
        <v>KK-04608|42552</v>
      </c>
      <c r="J294" s="82">
        <v>42582</v>
      </c>
      <c r="K294" s="52" t="str">
        <f t="shared" si="76"/>
        <v>Customer</v>
      </c>
      <c r="L294" s="52" t="str">
        <f>"KK-04608"</f>
        <v>KK-04608</v>
      </c>
      <c r="M294" s="52" t="s">
        <v>20990</v>
      </c>
      <c r="N294" s="2">
        <v>30000</v>
      </c>
      <c r="O294" s="82">
        <v>42552</v>
      </c>
      <c r="P294" s="52" t="str">
        <f>"SY - Heru Prawono"</f>
        <v>SY - Heru Prawono</v>
      </c>
      <c r="Q294" s="52" t="str">
        <f t="shared" si="74"/>
        <v>KPS-10-05</v>
      </c>
    </row>
    <row r="295" spans="1:17" x14ac:dyDescent="0.35">
      <c r="A295" s="52" t="s">
        <v>6063</v>
      </c>
      <c r="C295" s="52" t="str">
        <f>"""TRUST Nav"",""HSPMTB2016"",""17"",""1"",""129723"""</f>
        <v>"TRUST Nav","HSPMTB2016","17","1","129723"</v>
      </c>
      <c r="D295" s="52" t="str">
        <f t="shared" si="77"/>
        <v>Customer</v>
      </c>
      <c r="I295" s="52" t="str">
        <f t="shared" si="75"/>
        <v>KK-04611|42552</v>
      </c>
      <c r="J295" s="82">
        <v>42582</v>
      </c>
      <c r="K295" s="52" t="str">
        <f t="shared" si="76"/>
        <v>Customer</v>
      </c>
      <c r="L295" s="52" t="str">
        <f>"KK-04611"</f>
        <v>KK-04611</v>
      </c>
      <c r="M295" s="52" t="s">
        <v>20992</v>
      </c>
      <c r="N295" s="2">
        <v>30000</v>
      </c>
      <c r="O295" s="82">
        <v>42552</v>
      </c>
      <c r="P295" s="52" t="str">
        <f>"SY - Leonardus Tjhin Tje Ming"</f>
        <v>SY - Leonardus Tjhin Tje Ming</v>
      </c>
      <c r="Q295" s="52" t="str">
        <f t="shared" si="74"/>
        <v>KPS-10-05</v>
      </c>
    </row>
    <row r="296" spans="1:17" x14ac:dyDescent="0.35">
      <c r="A296" s="52" t="s">
        <v>6063</v>
      </c>
      <c r="C296" s="52" t="str">
        <f>"""TRUST Nav"",""HSPMTB2016"",""17"",""1"",""129724"""</f>
        <v>"TRUST Nav","HSPMTB2016","17","1","129724"</v>
      </c>
      <c r="D296" s="52" t="str">
        <f t="shared" si="77"/>
        <v>Customer</v>
      </c>
      <c r="I296" s="52" t="str">
        <f t="shared" si="75"/>
        <v>KK-04611|42583</v>
      </c>
      <c r="J296" s="82">
        <v>42582</v>
      </c>
      <c r="K296" s="52" t="str">
        <f t="shared" si="76"/>
        <v>Customer</v>
      </c>
      <c r="L296" s="52" t="str">
        <f>"KK-04611"</f>
        <v>KK-04611</v>
      </c>
      <c r="M296" s="52" t="s">
        <v>20992</v>
      </c>
      <c r="N296" s="2">
        <v>30000</v>
      </c>
      <c r="O296" s="82">
        <v>42583</v>
      </c>
      <c r="P296" s="52" t="str">
        <f>"SY - Leonardus Tjhin Tje Ming"</f>
        <v>SY - Leonardus Tjhin Tje Ming</v>
      </c>
      <c r="Q296" s="52" t="str">
        <f t="shared" si="74"/>
        <v>KPS-10-05</v>
      </c>
    </row>
    <row r="297" spans="1:17" x14ac:dyDescent="0.35">
      <c r="A297" s="52" t="s">
        <v>6063</v>
      </c>
      <c r="C297" s="52" t="str">
        <f>"""TRUST Nav"",""HSPMTB2016"",""17"",""1"",""129725"""</f>
        <v>"TRUST Nav","HSPMTB2016","17","1","129725"</v>
      </c>
      <c r="D297" s="52" t="str">
        <f t="shared" si="77"/>
        <v>Customer</v>
      </c>
      <c r="I297" s="52" t="str">
        <f t="shared" si="75"/>
        <v>KK-04611|42614</v>
      </c>
      <c r="J297" s="82">
        <v>42582</v>
      </c>
      <c r="K297" s="52" t="str">
        <f t="shared" si="76"/>
        <v>Customer</v>
      </c>
      <c r="L297" s="52" t="str">
        <f>"KK-04611"</f>
        <v>KK-04611</v>
      </c>
      <c r="M297" s="52" t="s">
        <v>20992</v>
      </c>
      <c r="N297" s="2">
        <v>30000</v>
      </c>
      <c r="O297" s="82">
        <v>42614</v>
      </c>
      <c r="P297" s="52" t="str">
        <f>"SY - Leonardus Tjhin Tje Ming"</f>
        <v>SY - Leonardus Tjhin Tje Ming</v>
      </c>
      <c r="Q297" s="52" t="str">
        <f t="shared" si="74"/>
        <v>KPS-10-05</v>
      </c>
    </row>
    <row r="298" spans="1:17" x14ac:dyDescent="0.35">
      <c r="A298" s="52" t="s">
        <v>6063</v>
      </c>
      <c r="C298" s="52" t="str">
        <f>"""TRUST Nav"",""HSPMTB2016"",""17"",""1"",""129726"""</f>
        <v>"TRUST Nav","HSPMTB2016","17","1","129726"</v>
      </c>
      <c r="D298" s="52" t="str">
        <f t="shared" si="77"/>
        <v>Customer</v>
      </c>
      <c r="I298" s="52" t="str">
        <f t="shared" si="75"/>
        <v>KK-05053|42370</v>
      </c>
      <c r="J298" s="82">
        <v>42582</v>
      </c>
      <c r="K298" s="52" t="str">
        <f t="shared" si="76"/>
        <v>Customer</v>
      </c>
      <c r="L298" s="52" t="str">
        <f t="shared" ref="L298:L309" si="80">"KK-05053"</f>
        <v>KK-05053</v>
      </c>
      <c r="M298" s="52" t="s">
        <v>21008</v>
      </c>
      <c r="N298" s="2">
        <v>500000</v>
      </c>
      <c r="O298" s="82">
        <v>42370</v>
      </c>
      <c r="P298" s="52" t="str">
        <f t="shared" ref="P298:P309" si="81">"SY - Pieter Hiu Stanley Setiono"</f>
        <v>SY - Pieter Hiu Stanley Setiono</v>
      </c>
      <c r="Q298" s="52" t="str">
        <f t="shared" si="74"/>
        <v>KPS-10-05</v>
      </c>
    </row>
    <row r="299" spans="1:17" x14ac:dyDescent="0.35">
      <c r="A299" s="52" t="s">
        <v>6063</v>
      </c>
      <c r="C299" s="52" t="str">
        <f>"""TRUST Nav"",""HSPMTB2016"",""17"",""1"",""129727"""</f>
        <v>"TRUST Nav","HSPMTB2016","17","1","129727"</v>
      </c>
      <c r="D299" s="52" t="str">
        <f t="shared" si="77"/>
        <v>Customer</v>
      </c>
      <c r="I299" s="52" t="str">
        <f t="shared" si="75"/>
        <v>KK-05053|42401</v>
      </c>
      <c r="J299" s="82">
        <v>42582</v>
      </c>
      <c r="K299" s="52" t="str">
        <f t="shared" si="76"/>
        <v>Customer</v>
      </c>
      <c r="L299" s="52" t="str">
        <f t="shared" si="80"/>
        <v>KK-05053</v>
      </c>
      <c r="M299" s="52" t="s">
        <v>21008</v>
      </c>
      <c r="N299" s="2">
        <v>500000</v>
      </c>
      <c r="O299" s="82">
        <v>42401</v>
      </c>
      <c r="P299" s="52" t="str">
        <f t="shared" si="81"/>
        <v>SY - Pieter Hiu Stanley Setiono</v>
      </c>
      <c r="Q299" s="52" t="str">
        <f t="shared" si="74"/>
        <v>KPS-10-05</v>
      </c>
    </row>
    <row r="300" spans="1:17" x14ac:dyDescent="0.35">
      <c r="A300" s="52" t="s">
        <v>6063</v>
      </c>
      <c r="C300" s="52" t="str">
        <f>"""TRUST Nav"",""HSPMTB2016"",""17"",""1"",""129728"""</f>
        <v>"TRUST Nav","HSPMTB2016","17","1","129728"</v>
      </c>
      <c r="D300" s="52" t="str">
        <f t="shared" si="77"/>
        <v>Customer</v>
      </c>
      <c r="I300" s="52" t="str">
        <f t="shared" si="75"/>
        <v>KK-05053|42430</v>
      </c>
      <c r="J300" s="82">
        <v>42582</v>
      </c>
      <c r="K300" s="52" t="str">
        <f t="shared" si="76"/>
        <v>Customer</v>
      </c>
      <c r="L300" s="52" t="str">
        <f t="shared" si="80"/>
        <v>KK-05053</v>
      </c>
      <c r="M300" s="52" t="s">
        <v>21008</v>
      </c>
      <c r="N300" s="2">
        <v>500000</v>
      </c>
      <c r="O300" s="82">
        <v>42430</v>
      </c>
      <c r="P300" s="52" t="str">
        <f t="shared" si="81"/>
        <v>SY - Pieter Hiu Stanley Setiono</v>
      </c>
      <c r="Q300" s="52" t="str">
        <f t="shared" si="74"/>
        <v>KPS-10-05</v>
      </c>
    </row>
    <row r="301" spans="1:17" x14ac:dyDescent="0.35">
      <c r="A301" s="52" t="s">
        <v>6063</v>
      </c>
      <c r="C301" s="52" t="str">
        <f>"""TRUST Nav"",""HSPMTB2016"",""17"",""1"",""129729"""</f>
        <v>"TRUST Nav","HSPMTB2016","17","1","129729"</v>
      </c>
      <c r="D301" s="52" t="str">
        <f t="shared" si="77"/>
        <v>Customer</v>
      </c>
      <c r="I301" s="52" t="str">
        <f t="shared" si="75"/>
        <v>KK-05053|42461</v>
      </c>
      <c r="J301" s="82">
        <v>42582</v>
      </c>
      <c r="K301" s="52" t="str">
        <f t="shared" si="76"/>
        <v>Customer</v>
      </c>
      <c r="L301" s="52" t="str">
        <f t="shared" si="80"/>
        <v>KK-05053</v>
      </c>
      <c r="M301" s="52" t="s">
        <v>21008</v>
      </c>
      <c r="N301" s="2">
        <v>500000</v>
      </c>
      <c r="O301" s="82">
        <v>42461</v>
      </c>
      <c r="P301" s="52" t="str">
        <f t="shared" si="81"/>
        <v>SY - Pieter Hiu Stanley Setiono</v>
      </c>
      <c r="Q301" s="52" t="str">
        <f t="shared" si="74"/>
        <v>KPS-10-05</v>
      </c>
    </row>
    <row r="302" spans="1:17" x14ac:dyDescent="0.35">
      <c r="A302" s="52" t="s">
        <v>6063</v>
      </c>
      <c r="C302" s="52" t="str">
        <f>"""TRUST Nav"",""HSPMTB2016"",""17"",""1"",""129730"""</f>
        <v>"TRUST Nav","HSPMTB2016","17","1","129730"</v>
      </c>
      <c r="D302" s="52" t="str">
        <f t="shared" si="77"/>
        <v>Customer</v>
      </c>
      <c r="I302" s="52" t="str">
        <f t="shared" si="75"/>
        <v>KK-05053|42491</v>
      </c>
      <c r="J302" s="82">
        <v>42582</v>
      </c>
      <c r="K302" s="52" t="str">
        <f t="shared" si="76"/>
        <v>Customer</v>
      </c>
      <c r="L302" s="52" t="str">
        <f t="shared" si="80"/>
        <v>KK-05053</v>
      </c>
      <c r="M302" s="52" t="s">
        <v>21008</v>
      </c>
      <c r="N302" s="2">
        <v>500000</v>
      </c>
      <c r="O302" s="82">
        <v>42491</v>
      </c>
      <c r="P302" s="52" t="str">
        <f t="shared" si="81"/>
        <v>SY - Pieter Hiu Stanley Setiono</v>
      </c>
      <c r="Q302" s="52" t="str">
        <f t="shared" si="74"/>
        <v>KPS-10-05</v>
      </c>
    </row>
    <row r="303" spans="1:17" x14ac:dyDescent="0.35">
      <c r="A303" s="52" t="s">
        <v>6063</v>
      </c>
      <c r="C303" s="52" t="str">
        <f>"""TRUST Nav"",""HSPMTB2016"",""17"",""1"",""129731"""</f>
        <v>"TRUST Nav","HSPMTB2016","17","1","129731"</v>
      </c>
      <c r="D303" s="52" t="str">
        <f t="shared" si="77"/>
        <v>Customer</v>
      </c>
      <c r="I303" s="52" t="str">
        <f t="shared" si="75"/>
        <v>KK-05053|42522</v>
      </c>
      <c r="J303" s="82">
        <v>42582</v>
      </c>
      <c r="K303" s="52" t="str">
        <f t="shared" si="76"/>
        <v>Customer</v>
      </c>
      <c r="L303" s="52" t="str">
        <f t="shared" si="80"/>
        <v>KK-05053</v>
      </c>
      <c r="M303" s="52" t="s">
        <v>21008</v>
      </c>
      <c r="N303" s="2">
        <v>500000</v>
      </c>
      <c r="O303" s="82">
        <v>42522</v>
      </c>
      <c r="P303" s="52" t="str">
        <f t="shared" si="81"/>
        <v>SY - Pieter Hiu Stanley Setiono</v>
      </c>
      <c r="Q303" s="52" t="str">
        <f t="shared" si="74"/>
        <v>KPS-10-05</v>
      </c>
    </row>
    <row r="304" spans="1:17" x14ac:dyDescent="0.35">
      <c r="A304" s="52" t="s">
        <v>6063</v>
      </c>
      <c r="C304" s="52" t="str">
        <f>"""TRUST Nav"",""HSPMTB2016"",""17"",""1"",""129732"""</f>
        <v>"TRUST Nav","HSPMTB2016","17","1","129732"</v>
      </c>
      <c r="D304" s="52" t="str">
        <f t="shared" si="77"/>
        <v>Customer</v>
      </c>
      <c r="I304" s="52" t="str">
        <f t="shared" si="75"/>
        <v>KK-05053|42552</v>
      </c>
      <c r="J304" s="82">
        <v>42582</v>
      </c>
      <c r="K304" s="52" t="str">
        <f t="shared" si="76"/>
        <v>Customer</v>
      </c>
      <c r="L304" s="52" t="str">
        <f t="shared" si="80"/>
        <v>KK-05053</v>
      </c>
      <c r="M304" s="52" t="s">
        <v>21008</v>
      </c>
      <c r="N304" s="2">
        <v>500000</v>
      </c>
      <c r="O304" s="82">
        <v>42552</v>
      </c>
      <c r="P304" s="52" t="str">
        <f t="shared" si="81"/>
        <v>SY - Pieter Hiu Stanley Setiono</v>
      </c>
      <c r="Q304" s="52" t="str">
        <f t="shared" si="74"/>
        <v>KPS-10-05</v>
      </c>
    </row>
    <row r="305" spans="1:17" x14ac:dyDescent="0.35">
      <c r="A305" s="52" t="s">
        <v>6063</v>
      </c>
      <c r="C305" s="52" t="str">
        <f>"""TRUST Nav"",""HSPMTB2016"",""17"",""1"",""129733"""</f>
        <v>"TRUST Nav","HSPMTB2016","17","1","129733"</v>
      </c>
      <c r="D305" s="52" t="str">
        <f t="shared" si="77"/>
        <v>Customer</v>
      </c>
      <c r="I305" s="52" t="str">
        <f t="shared" si="75"/>
        <v>KK-05053|42583</v>
      </c>
      <c r="J305" s="82">
        <v>42582</v>
      </c>
      <c r="K305" s="52" t="str">
        <f t="shared" si="76"/>
        <v>Customer</v>
      </c>
      <c r="L305" s="52" t="str">
        <f t="shared" si="80"/>
        <v>KK-05053</v>
      </c>
      <c r="M305" s="52" t="s">
        <v>21008</v>
      </c>
      <c r="N305" s="2">
        <v>500000</v>
      </c>
      <c r="O305" s="82">
        <v>42583</v>
      </c>
      <c r="P305" s="52" t="str">
        <f t="shared" si="81"/>
        <v>SY - Pieter Hiu Stanley Setiono</v>
      </c>
      <c r="Q305" s="52" t="str">
        <f t="shared" si="74"/>
        <v>KPS-10-05</v>
      </c>
    </row>
    <row r="306" spans="1:17" x14ac:dyDescent="0.35">
      <c r="A306" s="52" t="s">
        <v>6063</v>
      </c>
      <c r="C306" s="52" t="str">
        <f>"""TRUST Nav"",""HSPMTB2016"",""17"",""1"",""129734"""</f>
        <v>"TRUST Nav","HSPMTB2016","17","1","129734"</v>
      </c>
      <c r="D306" s="52" t="str">
        <f t="shared" si="77"/>
        <v>Customer</v>
      </c>
      <c r="I306" s="52" t="str">
        <f t="shared" si="75"/>
        <v>KK-05053|42614</v>
      </c>
      <c r="J306" s="82">
        <v>42582</v>
      </c>
      <c r="K306" s="52" t="str">
        <f t="shared" si="76"/>
        <v>Customer</v>
      </c>
      <c r="L306" s="52" t="str">
        <f t="shared" si="80"/>
        <v>KK-05053</v>
      </c>
      <c r="M306" s="52" t="s">
        <v>21008</v>
      </c>
      <c r="N306" s="2">
        <v>500000</v>
      </c>
      <c r="O306" s="82">
        <v>42614</v>
      </c>
      <c r="P306" s="52" t="str">
        <f t="shared" si="81"/>
        <v>SY - Pieter Hiu Stanley Setiono</v>
      </c>
      <c r="Q306" s="52" t="str">
        <f t="shared" si="74"/>
        <v>KPS-10-05</v>
      </c>
    </row>
    <row r="307" spans="1:17" x14ac:dyDescent="0.35">
      <c r="A307" s="52" t="s">
        <v>6063</v>
      </c>
      <c r="C307" s="52" t="str">
        <f>"""TRUST Nav"",""HSPMTB2016"",""17"",""1"",""129735"""</f>
        <v>"TRUST Nav","HSPMTB2016","17","1","129735"</v>
      </c>
      <c r="D307" s="52" t="str">
        <f t="shared" si="77"/>
        <v>Customer</v>
      </c>
      <c r="I307" s="52" t="str">
        <f t="shared" si="75"/>
        <v>KK-05053|42644</v>
      </c>
      <c r="J307" s="82">
        <v>42582</v>
      </c>
      <c r="K307" s="52" t="str">
        <f t="shared" si="76"/>
        <v>Customer</v>
      </c>
      <c r="L307" s="52" t="str">
        <f t="shared" si="80"/>
        <v>KK-05053</v>
      </c>
      <c r="M307" s="52" t="s">
        <v>21008</v>
      </c>
      <c r="N307" s="2">
        <v>500000</v>
      </c>
      <c r="O307" s="82">
        <v>42644</v>
      </c>
      <c r="P307" s="52" t="str">
        <f t="shared" si="81"/>
        <v>SY - Pieter Hiu Stanley Setiono</v>
      </c>
      <c r="Q307" s="52" t="str">
        <f t="shared" si="74"/>
        <v>KPS-10-05</v>
      </c>
    </row>
    <row r="308" spans="1:17" x14ac:dyDescent="0.35">
      <c r="A308" s="52" t="s">
        <v>6063</v>
      </c>
      <c r="C308" s="52" t="str">
        <f>"""TRUST Nav"",""HSPMTB2016"",""17"",""1"",""129736"""</f>
        <v>"TRUST Nav","HSPMTB2016","17","1","129736"</v>
      </c>
      <c r="D308" s="52" t="str">
        <f t="shared" ref="D308:D323" si="82">"Customer"</f>
        <v>Customer</v>
      </c>
      <c r="I308" s="52" t="str">
        <f t="shared" si="75"/>
        <v>KK-05053|42675</v>
      </c>
      <c r="J308" s="82">
        <v>42582</v>
      </c>
      <c r="K308" s="52" t="str">
        <f t="shared" si="76"/>
        <v>Customer</v>
      </c>
      <c r="L308" s="52" t="str">
        <f t="shared" si="80"/>
        <v>KK-05053</v>
      </c>
      <c r="M308" s="52" t="s">
        <v>21008</v>
      </c>
      <c r="N308" s="2">
        <v>500000</v>
      </c>
      <c r="O308" s="82">
        <v>42675</v>
      </c>
      <c r="P308" s="52" t="str">
        <f t="shared" si="81"/>
        <v>SY - Pieter Hiu Stanley Setiono</v>
      </c>
      <c r="Q308" s="52" t="str">
        <f t="shared" si="74"/>
        <v>KPS-10-05</v>
      </c>
    </row>
    <row r="309" spans="1:17" x14ac:dyDescent="0.35">
      <c r="A309" s="52" t="s">
        <v>6063</v>
      </c>
      <c r="C309" s="52" t="str">
        <f>"""TRUST Nav"",""HSPMTB2016"",""17"",""1"",""129737"""</f>
        <v>"TRUST Nav","HSPMTB2016","17","1","129737"</v>
      </c>
      <c r="D309" s="52" t="str">
        <f t="shared" si="82"/>
        <v>Customer</v>
      </c>
      <c r="I309" s="52" t="str">
        <f t="shared" si="75"/>
        <v>KK-05053|42705</v>
      </c>
      <c r="J309" s="82">
        <v>42582</v>
      </c>
      <c r="K309" s="52" t="str">
        <f t="shared" si="76"/>
        <v>Customer</v>
      </c>
      <c r="L309" s="52" t="str">
        <f t="shared" si="80"/>
        <v>KK-05053</v>
      </c>
      <c r="M309" s="52" t="s">
        <v>21008</v>
      </c>
      <c r="N309" s="2">
        <v>500000</v>
      </c>
      <c r="O309" s="82">
        <v>42705</v>
      </c>
      <c r="P309" s="52" t="str">
        <f t="shared" si="81"/>
        <v>SY - Pieter Hiu Stanley Setiono</v>
      </c>
      <c r="Q309" s="52" t="str">
        <f t="shared" si="74"/>
        <v>KPS-10-05</v>
      </c>
    </row>
    <row r="310" spans="1:17" x14ac:dyDescent="0.35">
      <c r="A310" s="52" t="s">
        <v>6063</v>
      </c>
      <c r="C310" s="52" t="str">
        <f>"""TRUST Nav"",""HSPMTB2016"",""17"",""1"",""138836"""</f>
        <v>"TRUST Nav","HSPMTB2016","17","1","138836"</v>
      </c>
      <c r="D310" s="52" t="str">
        <f t="shared" si="82"/>
        <v>Customer</v>
      </c>
      <c r="I310" s="52" t="str">
        <f t="shared" si="75"/>
        <v>KK-04597|42552</v>
      </c>
      <c r="J310" s="82">
        <v>42610</v>
      </c>
      <c r="K310" s="52" t="str">
        <f t="shared" si="76"/>
        <v>Customer</v>
      </c>
      <c r="L310" s="52" t="str">
        <f>"KK-04597"</f>
        <v>KK-04597</v>
      </c>
      <c r="M310" s="52" t="s">
        <v>20982</v>
      </c>
      <c r="N310" s="2">
        <v>30000</v>
      </c>
      <c r="O310" s="82">
        <v>42552</v>
      </c>
      <c r="P310" s="52" t="str">
        <f>"SY - Arief Wibawa"</f>
        <v>SY - Arief Wibawa</v>
      </c>
      <c r="Q310" s="52" t="str">
        <f t="shared" si="74"/>
        <v>KPS-10-05</v>
      </c>
    </row>
    <row r="311" spans="1:17" x14ac:dyDescent="0.35">
      <c r="A311" s="52" t="s">
        <v>6063</v>
      </c>
      <c r="C311" s="52" t="str">
        <f>"""TRUST Nav"",""HSPMTB2016"",""17"",""1"",""138837"""</f>
        <v>"TRUST Nav","HSPMTB2016","17","1","138837"</v>
      </c>
      <c r="D311" s="52" t="str">
        <f t="shared" si="82"/>
        <v>Customer</v>
      </c>
      <c r="I311" s="52" t="str">
        <f t="shared" si="75"/>
        <v>KK-04597|42583</v>
      </c>
      <c r="J311" s="82">
        <v>42610</v>
      </c>
      <c r="K311" s="52" t="str">
        <f t="shared" si="76"/>
        <v>Customer</v>
      </c>
      <c r="L311" s="52" t="str">
        <f>"KK-04597"</f>
        <v>KK-04597</v>
      </c>
      <c r="M311" s="52" t="s">
        <v>20982</v>
      </c>
      <c r="N311" s="2">
        <v>30000</v>
      </c>
      <c r="O311" s="82">
        <v>42583</v>
      </c>
      <c r="P311" s="52" t="str">
        <f>"SY - Arief Wibawa"</f>
        <v>SY - Arief Wibawa</v>
      </c>
      <c r="Q311" s="52" t="str">
        <f t="shared" si="74"/>
        <v>KPS-10-05</v>
      </c>
    </row>
    <row r="312" spans="1:17" x14ac:dyDescent="0.35">
      <c r="A312" s="52" t="s">
        <v>6063</v>
      </c>
      <c r="C312" s="52" t="str">
        <f>"""TRUST Nav"",""HSPMTB2016"",""17"",""1"",""138838"""</f>
        <v>"TRUST Nav","HSPMTB2016","17","1","138838"</v>
      </c>
      <c r="D312" s="52" t="str">
        <f t="shared" si="82"/>
        <v>Customer</v>
      </c>
      <c r="I312" s="52" t="str">
        <f t="shared" si="75"/>
        <v>KK-04597|42614</v>
      </c>
      <c r="J312" s="82">
        <v>42610</v>
      </c>
      <c r="K312" s="52" t="str">
        <f t="shared" si="76"/>
        <v>Customer</v>
      </c>
      <c r="L312" s="52" t="str">
        <f>"KK-04597"</f>
        <v>KK-04597</v>
      </c>
      <c r="M312" s="52" t="s">
        <v>20982</v>
      </c>
      <c r="N312" s="2">
        <v>30000</v>
      </c>
      <c r="O312" s="82">
        <v>42614</v>
      </c>
      <c r="P312" s="52" t="str">
        <f>"SY - Arief Wibawa"</f>
        <v>SY - Arief Wibawa</v>
      </c>
      <c r="Q312" s="52" t="str">
        <f t="shared" si="74"/>
        <v>KPS-10-05</v>
      </c>
    </row>
    <row r="313" spans="1:17" x14ac:dyDescent="0.35">
      <c r="A313" s="52" t="s">
        <v>6063</v>
      </c>
      <c r="C313" s="52" t="str">
        <f>"""TRUST Nav"",""HSPMTB2016"",""17"",""1"",""138839"""</f>
        <v>"TRUST Nav","HSPMTB2016","17","1","138839"</v>
      </c>
      <c r="D313" s="52" t="str">
        <f t="shared" si="82"/>
        <v>Customer</v>
      </c>
      <c r="I313" s="52" t="str">
        <f t="shared" si="75"/>
        <v>KK-04607|42522</v>
      </c>
      <c r="J313" s="82">
        <v>42610</v>
      </c>
      <c r="K313" s="52" t="str">
        <f t="shared" si="76"/>
        <v>Customer</v>
      </c>
      <c r="L313" s="52" t="str">
        <f>"KK-04607"</f>
        <v>KK-04607</v>
      </c>
      <c r="M313" s="52" t="s">
        <v>20989</v>
      </c>
      <c r="N313" s="2">
        <v>75000</v>
      </c>
      <c r="O313" s="82">
        <v>42522</v>
      </c>
      <c r="P313" s="52" t="str">
        <f>"SY - Hendro Hartono"</f>
        <v>SY - Hendro Hartono</v>
      </c>
      <c r="Q313" s="52" t="str">
        <f t="shared" si="74"/>
        <v>KPS-10-05</v>
      </c>
    </row>
    <row r="314" spans="1:17" x14ac:dyDescent="0.35">
      <c r="A314" s="52" t="s">
        <v>6063</v>
      </c>
      <c r="C314" s="52" t="str">
        <f>"""TRUST Nav"",""HSPMTB2016"",""17"",""1"",""138840"""</f>
        <v>"TRUST Nav","HSPMTB2016","17","1","138840"</v>
      </c>
      <c r="D314" s="52" t="str">
        <f t="shared" si="82"/>
        <v>Customer</v>
      </c>
      <c r="I314" s="52" t="str">
        <f t="shared" si="75"/>
        <v>KK-04607|42552</v>
      </c>
      <c r="J314" s="82">
        <v>42610</v>
      </c>
      <c r="K314" s="52" t="str">
        <f t="shared" si="76"/>
        <v>Customer</v>
      </c>
      <c r="L314" s="52" t="str">
        <f>"KK-04607"</f>
        <v>KK-04607</v>
      </c>
      <c r="M314" s="52" t="s">
        <v>20989</v>
      </c>
      <c r="N314" s="2">
        <v>75000</v>
      </c>
      <c r="O314" s="82">
        <v>42552</v>
      </c>
      <c r="P314" s="52" t="str">
        <f>"SY - Hendro Hartono"</f>
        <v>SY - Hendro Hartono</v>
      </c>
      <c r="Q314" s="52" t="str">
        <f t="shared" si="74"/>
        <v>KPS-10-05</v>
      </c>
    </row>
    <row r="315" spans="1:17" x14ac:dyDescent="0.35">
      <c r="A315" s="52" t="s">
        <v>6063</v>
      </c>
      <c r="C315" s="52" t="str">
        <f>"""TRUST Nav"",""HSPMTB2016"",""17"",""1"",""138841"""</f>
        <v>"TRUST Nav","HSPMTB2016","17","1","138841"</v>
      </c>
      <c r="D315" s="52" t="str">
        <f t="shared" si="82"/>
        <v>Customer</v>
      </c>
      <c r="I315" s="52" t="str">
        <f t="shared" si="75"/>
        <v>KK-04608|42583</v>
      </c>
      <c r="J315" s="82">
        <v>42610</v>
      </c>
      <c r="K315" s="52" t="str">
        <f t="shared" si="76"/>
        <v>Customer</v>
      </c>
      <c r="L315" s="52" t="str">
        <f>"KK-04608"</f>
        <v>KK-04608</v>
      </c>
      <c r="M315" s="52" t="s">
        <v>20990</v>
      </c>
      <c r="N315" s="2">
        <v>30000</v>
      </c>
      <c r="O315" s="82">
        <v>42583</v>
      </c>
      <c r="P315" s="52" t="str">
        <f>"SY - Heru Prawono"</f>
        <v>SY - Heru Prawono</v>
      </c>
      <c r="Q315" s="52" t="str">
        <f t="shared" si="74"/>
        <v>KPS-10-05</v>
      </c>
    </row>
    <row r="316" spans="1:17" x14ac:dyDescent="0.35">
      <c r="A316" s="52" t="s">
        <v>6063</v>
      </c>
      <c r="C316" s="52" t="str">
        <f>"""TRUST Nav"",""HSPMTB2016"",""17"",""1"",""138842"""</f>
        <v>"TRUST Nav","HSPMTB2016","17","1","138842"</v>
      </c>
      <c r="D316" s="52" t="str">
        <f t="shared" si="82"/>
        <v>Customer</v>
      </c>
      <c r="I316" s="52" t="str">
        <f t="shared" si="75"/>
        <v>KK-04613|42491</v>
      </c>
      <c r="J316" s="82">
        <v>42610</v>
      </c>
      <c r="K316" s="52" t="str">
        <f t="shared" si="76"/>
        <v>Customer</v>
      </c>
      <c r="L316" s="52" t="str">
        <f>"KK-04613"</f>
        <v>KK-04613</v>
      </c>
      <c r="M316" s="52" t="s">
        <v>20994</v>
      </c>
      <c r="N316" s="2">
        <v>20000</v>
      </c>
      <c r="O316" s="82">
        <v>42491</v>
      </c>
      <c r="P316" s="52" t="str">
        <f>"SY - Ignatius Yanto Hardoyo"</f>
        <v>SY - Ignatius Yanto Hardoyo</v>
      </c>
      <c r="Q316" s="52" t="str">
        <f t="shared" si="74"/>
        <v>KPS-10-05</v>
      </c>
    </row>
    <row r="317" spans="1:17" x14ac:dyDescent="0.35">
      <c r="A317" s="52" t="s">
        <v>6063</v>
      </c>
      <c r="C317" s="52" t="str">
        <f>"""TRUST Nav"",""HSPMTB2016"",""17"",""1"",""138843"""</f>
        <v>"TRUST Nav","HSPMTB2016","17","1","138843"</v>
      </c>
      <c r="D317" s="52" t="str">
        <f t="shared" si="82"/>
        <v>Customer</v>
      </c>
      <c r="I317" s="52" t="str">
        <f t="shared" si="75"/>
        <v>KK-04613|42522</v>
      </c>
      <c r="J317" s="82">
        <v>42610</v>
      </c>
      <c r="K317" s="52" t="str">
        <f t="shared" si="76"/>
        <v>Customer</v>
      </c>
      <c r="L317" s="52" t="str">
        <f>"KK-04613"</f>
        <v>KK-04613</v>
      </c>
      <c r="M317" s="52" t="s">
        <v>20994</v>
      </c>
      <c r="N317" s="2">
        <v>20000</v>
      </c>
      <c r="O317" s="82">
        <v>42522</v>
      </c>
      <c r="P317" s="52" t="str">
        <f>"SY - Ignatius Yanto Hardoyo"</f>
        <v>SY - Ignatius Yanto Hardoyo</v>
      </c>
      <c r="Q317" s="52" t="str">
        <f t="shared" si="74"/>
        <v>KPS-10-05</v>
      </c>
    </row>
    <row r="318" spans="1:17" x14ac:dyDescent="0.35">
      <c r="A318" s="52" t="s">
        <v>6063</v>
      </c>
      <c r="C318" s="52" t="str">
        <f>"""TRUST Nav"",""HSPMTB2016"",""17"",""1"",""138844"""</f>
        <v>"TRUST Nav","HSPMTB2016","17","1","138844"</v>
      </c>
      <c r="D318" s="52" t="str">
        <f t="shared" si="82"/>
        <v>Customer</v>
      </c>
      <c r="I318" s="52" t="str">
        <f t="shared" si="75"/>
        <v>KK-04613|42552</v>
      </c>
      <c r="J318" s="82">
        <v>42610</v>
      </c>
      <c r="K318" s="52" t="str">
        <f t="shared" si="76"/>
        <v>Customer</v>
      </c>
      <c r="L318" s="52" t="str">
        <f>"KK-04613"</f>
        <v>KK-04613</v>
      </c>
      <c r="M318" s="52" t="s">
        <v>20994</v>
      </c>
      <c r="N318" s="2">
        <v>20000</v>
      </c>
      <c r="O318" s="82">
        <v>42552</v>
      </c>
      <c r="P318" s="52" t="str">
        <f>"SY - Ignatius Yanto Hardoyo"</f>
        <v>SY - Ignatius Yanto Hardoyo</v>
      </c>
      <c r="Q318" s="52" t="str">
        <f t="shared" si="74"/>
        <v>KPS-10-05</v>
      </c>
    </row>
    <row r="319" spans="1:17" x14ac:dyDescent="0.35">
      <c r="A319" s="52" t="s">
        <v>6063</v>
      </c>
      <c r="C319" s="52" t="str">
        <f>"""TRUST Nav"",""HSPMTB2016"",""17"",""1"",""138845"""</f>
        <v>"TRUST Nav","HSPMTB2016","17","1","138845"</v>
      </c>
      <c r="D319" s="52" t="str">
        <f t="shared" si="82"/>
        <v>Customer</v>
      </c>
      <c r="I319" s="52" t="str">
        <f t="shared" si="75"/>
        <v>KK-04613|42583</v>
      </c>
      <c r="J319" s="82">
        <v>42610</v>
      </c>
      <c r="K319" s="52" t="str">
        <f t="shared" si="76"/>
        <v>Customer</v>
      </c>
      <c r="L319" s="52" t="str">
        <f>"KK-04613"</f>
        <v>KK-04613</v>
      </c>
      <c r="M319" s="52" t="s">
        <v>20994</v>
      </c>
      <c r="N319" s="2">
        <v>20000</v>
      </c>
      <c r="O319" s="82">
        <v>42583</v>
      </c>
      <c r="P319" s="52" t="str">
        <f>"SY - Ignatius Yanto Hardoyo"</f>
        <v>SY - Ignatius Yanto Hardoyo</v>
      </c>
      <c r="Q319" s="52" t="str">
        <f t="shared" si="74"/>
        <v>KPS-10-05</v>
      </c>
    </row>
    <row r="320" spans="1:17" x14ac:dyDescent="0.35">
      <c r="A320" s="52" t="s">
        <v>6063</v>
      </c>
      <c r="C320" s="52" t="str">
        <f>"""TRUST Nav"",""HSPMTB2016"",""17"",""1"",""138846"""</f>
        <v>"TRUST Nav","HSPMTB2016","17","1","138846"</v>
      </c>
      <c r="D320" s="52" t="str">
        <f t="shared" si="82"/>
        <v>Customer</v>
      </c>
      <c r="I320" s="52" t="str">
        <f t="shared" si="75"/>
        <v>KK-04616|42491</v>
      </c>
      <c r="J320" s="82">
        <v>42610</v>
      </c>
      <c r="K320" s="52" t="str">
        <f t="shared" si="76"/>
        <v>Customer</v>
      </c>
      <c r="L320" s="52" t="str">
        <f>"KK-04616"</f>
        <v>KK-04616</v>
      </c>
      <c r="M320" s="52" t="s">
        <v>20995</v>
      </c>
      <c r="N320" s="2">
        <v>50000.000000000007</v>
      </c>
      <c r="O320" s="82">
        <v>42491</v>
      </c>
      <c r="P320" s="52" t="str">
        <f>"SY - Purnama Tanuseputra"</f>
        <v>SY - Purnama Tanuseputra</v>
      </c>
      <c r="Q320" s="52" t="str">
        <f t="shared" si="74"/>
        <v>KPS-10-05</v>
      </c>
    </row>
    <row r="321" spans="1:17" x14ac:dyDescent="0.35">
      <c r="A321" s="52" t="s">
        <v>6063</v>
      </c>
      <c r="C321" s="52" t="str">
        <f>"""TRUST Nav"",""HSPMTB2016"",""17"",""1"",""138847"""</f>
        <v>"TRUST Nav","HSPMTB2016","17","1","138847"</v>
      </c>
      <c r="D321" s="52" t="str">
        <f t="shared" si="82"/>
        <v>Customer</v>
      </c>
      <c r="I321" s="52" t="str">
        <f t="shared" si="75"/>
        <v>KK-04616|42522</v>
      </c>
      <c r="J321" s="82">
        <v>42610</v>
      </c>
      <c r="K321" s="52" t="str">
        <f t="shared" si="76"/>
        <v>Customer</v>
      </c>
      <c r="L321" s="52" t="str">
        <f>"KK-04616"</f>
        <v>KK-04616</v>
      </c>
      <c r="M321" s="52" t="s">
        <v>20995</v>
      </c>
      <c r="N321" s="2">
        <v>50000.000000000007</v>
      </c>
      <c r="O321" s="82">
        <v>42522</v>
      </c>
      <c r="P321" s="52" t="str">
        <f>"SY - Purnama Tanuseputra"</f>
        <v>SY - Purnama Tanuseputra</v>
      </c>
      <c r="Q321" s="52" t="str">
        <f t="shared" si="74"/>
        <v>KPS-10-05</v>
      </c>
    </row>
    <row r="322" spans="1:17" x14ac:dyDescent="0.35">
      <c r="A322" s="52" t="s">
        <v>6063</v>
      </c>
      <c r="C322" s="52" t="str">
        <f>"""TRUST Nav"",""HSPMTB2016"",""17"",""1"",""138848"""</f>
        <v>"TRUST Nav","HSPMTB2016","17","1","138848"</v>
      </c>
      <c r="D322" s="52" t="str">
        <f t="shared" si="82"/>
        <v>Customer</v>
      </c>
      <c r="I322" s="52" t="str">
        <f t="shared" si="75"/>
        <v>KK-04616|42552</v>
      </c>
      <c r="J322" s="82">
        <v>42610</v>
      </c>
      <c r="K322" s="52" t="str">
        <f t="shared" si="76"/>
        <v>Customer</v>
      </c>
      <c r="L322" s="52" t="str">
        <f>"KK-04616"</f>
        <v>KK-04616</v>
      </c>
      <c r="M322" s="52" t="s">
        <v>20995</v>
      </c>
      <c r="N322" s="2">
        <v>50000.000000000007</v>
      </c>
      <c r="O322" s="82">
        <v>42552</v>
      </c>
      <c r="P322" s="52" t="str">
        <f>"SY - Purnama Tanuseputra"</f>
        <v>SY - Purnama Tanuseputra</v>
      </c>
      <c r="Q322" s="52" t="str">
        <f t="shared" si="74"/>
        <v>KPS-10-05</v>
      </c>
    </row>
    <row r="323" spans="1:17" x14ac:dyDescent="0.35">
      <c r="A323" s="52" t="s">
        <v>6063</v>
      </c>
      <c r="C323" s="52" t="str">
        <f>"""TRUST Nav"",""HSPMTB2016"",""17"",""1"",""138849"""</f>
        <v>"TRUST Nav","HSPMTB2016","17","1","138849"</v>
      </c>
      <c r="D323" s="52" t="str">
        <f t="shared" si="82"/>
        <v>Customer</v>
      </c>
      <c r="I323" s="52" t="str">
        <f t="shared" si="75"/>
        <v>KK-04616|42583</v>
      </c>
      <c r="J323" s="82">
        <v>42610</v>
      </c>
      <c r="K323" s="52" t="str">
        <f t="shared" si="76"/>
        <v>Customer</v>
      </c>
      <c r="L323" s="52" t="str">
        <f>"KK-04616"</f>
        <v>KK-04616</v>
      </c>
      <c r="M323" s="52" t="s">
        <v>20995</v>
      </c>
      <c r="N323" s="2">
        <v>50000.000000000007</v>
      </c>
      <c r="O323" s="82">
        <v>42583</v>
      </c>
      <c r="P323" s="52" t="str">
        <f>"SY - Purnama Tanuseputra"</f>
        <v>SY - Purnama Tanuseputra</v>
      </c>
      <c r="Q323" s="52" t="str">
        <f t="shared" si="74"/>
        <v>KPS-10-05</v>
      </c>
    </row>
    <row r="326" spans="1:17" x14ac:dyDescent="0.35">
      <c r="I326" s="48" t="s">
        <v>51</v>
      </c>
    </row>
    <row r="327" spans="1:17" x14ac:dyDescent="0.35">
      <c r="I327" s="48" t="s">
        <v>52</v>
      </c>
    </row>
    <row r="328" spans="1:17" x14ac:dyDescent="0.35">
      <c r="I328" s="48" t="s">
        <v>53</v>
      </c>
    </row>
    <row r="329" spans="1:17" x14ac:dyDescent="0.35">
      <c r="C329" s="48" t="s">
        <v>56</v>
      </c>
      <c r="D329" s="48" t="s">
        <v>55</v>
      </c>
      <c r="I329" s="80" t="s">
        <v>37</v>
      </c>
      <c r="J329" s="80" t="s">
        <v>10</v>
      </c>
      <c r="K329" s="80" t="s">
        <v>54</v>
      </c>
      <c r="L329" s="80" t="s">
        <v>57</v>
      </c>
      <c r="M329" s="80" t="s">
        <v>9</v>
      </c>
      <c r="N329" s="80" t="s">
        <v>32</v>
      </c>
    </row>
    <row r="330" spans="1:17" x14ac:dyDescent="0.35">
      <c r="C330" s="30" t="s">
        <v>20980</v>
      </c>
      <c r="D330" s="30" t="s">
        <v>21013</v>
      </c>
      <c r="I330" s="52" t="str">
        <f>CONCATENATE(J330,"|",M330,"|",L330)</f>
        <v>KK-04597|42186|TRT-80-10</v>
      </c>
      <c r="J330" s="52" t="str">
        <f t="shared" ref="J330:J350" si="83">"KK-04597"</f>
        <v>KK-04597</v>
      </c>
      <c r="K330" s="52" t="str">
        <f t="shared" ref="K330:K350" si="84">"Arief Wibawa"</f>
        <v>Arief Wibawa</v>
      </c>
      <c r="L330" s="52" t="str">
        <f t="shared" ref="L330:L393" si="85">"TRT-80-10"</f>
        <v>TRT-80-10</v>
      </c>
      <c r="M330" s="82">
        <v>42186</v>
      </c>
      <c r="N330" s="2">
        <v>20000</v>
      </c>
    </row>
    <row r="331" spans="1:17" x14ac:dyDescent="0.35">
      <c r="A331" s="52" t="s">
        <v>6063</v>
      </c>
      <c r="C331" s="30" t="s">
        <v>20980</v>
      </c>
      <c r="D331" s="30" t="str">
        <f>"""TRUST Nav"",""HSPMTB2016"",""21"",""1"",""3576"""</f>
        <v>"TRUST Nav","HSPMTB2016","21","1","3576"</v>
      </c>
      <c r="I331" s="52" t="str">
        <f t="shared" ref="I331:I394" si="86">CONCATENATE(J331,"|",M331,"|",L331)</f>
        <v>KK-04597|42217|TRT-80-10</v>
      </c>
      <c r="J331" s="52" t="str">
        <f t="shared" si="83"/>
        <v>KK-04597</v>
      </c>
      <c r="K331" s="52" t="str">
        <f t="shared" si="84"/>
        <v>Arief Wibawa</v>
      </c>
      <c r="L331" s="52" t="str">
        <f t="shared" si="85"/>
        <v>TRT-80-10</v>
      </c>
      <c r="M331" s="82">
        <v>42217</v>
      </c>
      <c r="N331" s="2">
        <v>20000</v>
      </c>
    </row>
    <row r="332" spans="1:17" x14ac:dyDescent="0.35">
      <c r="A332" s="52" t="s">
        <v>6063</v>
      </c>
      <c r="C332" s="30" t="s">
        <v>20980</v>
      </c>
      <c r="D332" s="30" t="str">
        <f>"""TRUST Nav"",""HSPMTB2016"",""21"",""1"",""3577"""</f>
        <v>"TRUST Nav","HSPMTB2016","21","1","3577"</v>
      </c>
      <c r="I332" s="52" t="str">
        <f t="shared" si="86"/>
        <v>KK-04597|42248|TRT-80-10</v>
      </c>
      <c r="J332" s="52" t="str">
        <f t="shared" si="83"/>
        <v>KK-04597</v>
      </c>
      <c r="K332" s="52" t="str">
        <f t="shared" si="84"/>
        <v>Arief Wibawa</v>
      </c>
      <c r="L332" s="52" t="str">
        <f t="shared" si="85"/>
        <v>TRT-80-10</v>
      </c>
      <c r="M332" s="82">
        <v>42248</v>
      </c>
      <c r="N332" s="2">
        <v>20000</v>
      </c>
    </row>
    <row r="333" spans="1:17" x14ac:dyDescent="0.35">
      <c r="A333" s="52" t="s">
        <v>6063</v>
      </c>
      <c r="C333" s="30" t="s">
        <v>20980</v>
      </c>
      <c r="D333" s="30" t="str">
        <f>"""TRUST Nav"",""HSPMTB2016"",""21"",""1"",""3578"""</f>
        <v>"TRUST Nav","HSPMTB2016","21","1","3578"</v>
      </c>
      <c r="I333" s="52" t="str">
        <f t="shared" si="86"/>
        <v>KK-04597|42278|TRT-80-10</v>
      </c>
      <c r="J333" s="52" t="str">
        <f t="shared" si="83"/>
        <v>KK-04597</v>
      </c>
      <c r="K333" s="52" t="str">
        <f t="shared" si="84"/>
        <v>Arief Wibawa</v>
      </c>
      <c r="L333" s="52" t="str">
        <f t="shared" si="85"/>
        <v>TRT-80-10</v>
      </c>
      <c r="M333" s="82">
        <v>42278</v>
      </c>
      <c r="N333" s="2">
        <v>20000</v>
      </c>
    </row>
    <row r="334" spans="1:17" x14ac:dyDescent="0.35">
      <c r="A334" s="52" t="s">
        <v>6063</v>
      </c>
      <c r="C334" s="30" t="s">
        <v>20980</v>
      </c>
      <c r="D334" s="30" t="str">
        <f>"""TRUST Nav"",""HSPMTB2016"",""21"",""1"",""3579"""</f>
        <v>"TRUST Nav","HSPMTB2016","21","1","3579"</v>
      </c>
      <c r="I334" s="52" t="str">
        <f t="shared" si="86"/>
        <v>KK-04597|42309|TRT-80-10</v>
      </c>
      <c r="J334" s="52" t="str">
        <f t="shared" si="83"/>
        <v>KK-04597</v>
      </c>
      <c r="K334" s="52" t="str">
        <f t="shared" si="84"/>
        <v>Arief Wibawa</v>
      </c>
      <c r="L334" s="52" t="str">
        <f t="shared" si="85"/>
        <v>TRT-80-10</v>
      </c>
      <c r="M334" s="82">
        <v>42309</v>
      </c>
      <c r="N334" s="2">
        <v>20000</v>
      </c>
    </row>
    <row r="335" spans="1:17" x14ac:dyDescent="0.35">
      <c r="A335" s="52" t="s">
        <v>6063</v>
      </c>
      <c r="C335" s="30" t="s">
        <v>20980</v>
      </c>
      <c r="D335" s="30" t="str">
        <f>"""TRUST Nav"",""HSPMTB2016"",""21"",""1"",""3580"""</f>
        <v>"TRUST Nav","HSPMTB2016","21","1","3580"</v>
      </c>
      <c r="I335" s="52" t="str">
        <f t="shared" si="86"/>
        <v>KK-04597|42339|TRT-80-10</v>
      </c>
      <c r="J335" s="52" t="str">
        <f t="shared" si="83"/>
        <v>KK-04597</v>
      </c>
      <c r="K335" s="52" t="str">
        <f t="shared" si="84"/>
        <v>Arief Wibawa</v>
      </c>
      <c r="L335" s="52" t="str">
        <f t="shared" si="85"/>
        <v>TRT-80-10</v>
      </c>
      <c r="M335" s="82">
        <v>42339</v>
      </c>
      <c r="N335" s="2">
        <v>20000</v>
      </c>
    </row>
    <row r="336" spans="1:17" x14ac:dyDescent="0.35">
      <c r="A336" s="52" t="s">
        <v>6063</v>
      </c>
      <c r="C336" s="30" t="s">
        <v>20980</v>
      </c>
      <c r="D336" s="30" t="str">
        <f>"""TRUST Nav"",""HSPMTB2016"",""21"",""1"",""37374"""</f>
        <v>"TRUST Nav","HSPMTB2016","21","1","37374"</v>
      </c>
      <c r="I336" s="52" t="str">
        <f t="shared" si="86"/>
        <v>KK-04597|42368|TRT-80-10</v>
      </c>
      <c r="J336" s="52" t="str">
        <f t="shared" si="83"/>
        <v>KK-04597</v>
      </c>
      <c r="K336" s="52" t="str">
        <f t="shared" si="84"/>
        <v>Arief Wibawa</v>
      </c>
      <c r="L336" s="52" t="str">
        <f t="shared" si="85"/>
        <v>TRT-80-10</v>
      </c>
      <c r="M336" s="82">
        <v>42368</v>
      </c>
      <c r="N336" s="2">
        <v>20000</v>
      </c>
    </row>
    <row r="337" spans="1:14" x14ac:dyDescent="0.35">
      <c r="A337" s="52" t="s">
        <v>6063</v>
      </c>
      <c r="C337" s="30" t="s">
        <v>20980</v>
      </c>
      <c r="D337" s="30" t="str">
        <f>"""TRUST Nav"",""HSPMTB2016"",""21"",""1"",""37375"""</f>
        <v>"TRUST Nav","HSPMTB2016","21","1","37375"</v>
      </c>
      <c r="I337" s="52" t="str">
        <f t="shared" si="86"/>
        <v>KK-04597|42368|TRT-80-10</v>
      </c>
      <c r="J337" s="52" t="str">
        <f t="shared" si="83"/>
        <v>KK-04597</v>
      </c>
      <c r="K337" s="52" t="str">
        <f t="shared" si="84"/>
        <v>Arief Wibawa</v>
      </c>
      <c r="L337" s="52" t="str">
        <f t="shared" si="85"/>
        <v>TRT-80-10</v>
      </c>
      <c r="M337" s="82">
        <v>42368</v>
      </c>
      <c r="N337" s="2">
        <v>20000</v>
      </c>
    </row>
    <row r="338" spans="1:14" x14ac:dyDescent="0.35">
      <c r="A338" s="52" t="s">
        <v>6063</v>
      </c>
      <c r="C338" s="30" t="s">
        <v>20980</v>
      </c>
      <c r="D338" s="30" t="str">
        <f>"""TRUST Nav"",""HSPMTB2016"",""21"",""1"",""37376"""</f>
        <v>"TRUST Nav","HSPMTB2016","21","1","37376"</v>
      </c>
      <c r="I338" s="52" t="str">
        <f t="shared" si="86"/>
        <v>KK-04597|42368|TRT-80-10</v>
      </c>
      <c r="J338" s="52" t="str">
        <f t="shared" si="83"/>
        <v>KK-04597</v>
      </c>
      <c r="K338" s="52" t="str">
        <f t="shared" si="84"/>
        <v>Arief Wibawa</v>
      </c>
      <c r="L338" s="52" t="str">
        <f t="shared" si="85"/>
        <v>TRT-80-10</v>
      </c>
      <c r="M338" s="82">
        <v>42368</v>
      </c>
      <c r="N338" s="2">
        <v>20000</v>
      </c>
    </row>
    <row r="339" spans="1:14" x14ac:dyDescent="0.35">
      <c r="A339" s="52" t="s">
        <v>6063</v>
      </c>
      <c r="C339" s="30" t="s">
        <v>20980</v>
      </c>
      <c r="D339" s="30" t="str">
        <f>"""TRUST Nav"",""HSPMTB2016"",""21"",""1"",""37377"""</f>
        <v>"TRUST Nav","HSPMTB2016","21","1","37377"</v>
      </c>
      <c r="I339" s="52" t="str">
        <f t="shared" si="86"/>
        <v>KK-04597|42368|TRT-80-10</v>
      </c>
      <c r="J339" s="52" t="str">
        <f t="shared" si="83"/>
        <v>KK-04597</v>
      </c>
      <c r="K339" s="52" t="str">
        <f t="shared" si="84"/>
        <v>Arief Wibawa</v>
      </c>
      <c r="L339" s="52" t="str">
        <f t="shared" si="85"/>
        <v>TRT-80-10</v>
      </c>
      <c r="M339" s="82">
        <v>42368</v>
      </c>
      <c r="N339" s="2">
        <v>20000</v>
      </c>
    </row>
    <row r="340" spans="1:14" x14ac:dyDescent="0.35">
      <c r="A340" s="52" t="s">
        <v>6063</v>
      </c>
      <c r="C340" s="30" t="s">
        <v>20980</v>
      </c>
      <c r="D340" s="30" t="str">
        <f>"""TRUST Nav"",""HSPMTB2016"",""21"",""1"",""37378"""</f>
        <v>"TRUST Nav","HSPMTB2016","21","1","37378"</v>
      </c>
      <c r="I340" s="52" t="str">
        <f t="shared" si="86"/>
        <v>KK-04597|42368|TRT-80-10</v>
      </c>
      <c r="J340" s="52" t="str">
        <f t="shared" si="83"/>
        <v>KK-04597</v>
      </c>
      <c r="K340" s="52" t="str">
        <f t="shared" si="84"/>
        <v>Arief Wibawa</v>
      </c>
      <c r="L340" s="52" t="str">
        <f t="shared" si="85"/>
        <v>TRT-80-10</v>
      </c>
      <c r="M340" s="82">
        <v>42368</v>
      </c>
      <c r="N340" s="2">
        <v>20000</v>
      </c>
    </row>
    <row r="341" spans="1:14" x14ac:dyDescent="0.35">
      <c r="A341" s="52" t="s">
        <v>6063</v>
      </c>
      <c r="C341" s="30" t="s">
        <v>20980</v>
      </c>
      <c r="D341" s="30" t="str">
        <f>"""TRUST Nav"",""HSPMTB2016"",""21"",""1"",""37379"""</f>
        <v>"TRUST Nav","HSPMTB2016","21","1","37379"</v>
      </c>
      <c r="I341" s="52" t="str">
        <f t="shared" si="86"/>
        <v>KK-04597|42368|TRT-80-10</v>
      </c>
      <c r="J341" s="52" t="str">
        <f t="shared" si="83"/>
        <v>KK-04597</v>
      </c>
      <c r="K341" s="52" t="str">
        <f t="shared" si="84"/>
        <v>Arief Wibawa</v>
      </c>
      <c r="L341" s="52" t="str">
        <f t="shared" si="85"/>
        <v>TRT-80-10</v>
      </c>
      <c r="M341" s="82">
        <v>42368</v>
      </c>
      <c r="N341" s="2">
        <v>20000</v>
      </c>
    </row>
    <row r="342" spans="1:14" x14ac:dyDescent="0.35">
      <c r="A342" s="52" t="s">
        <v>6063</v>
      </c>
      <c r="C342" s="30" t="s">
        <v>20980</v>
      </c>
      <c r="D342" s="30" t="str">
        <f>"""TRUST Nav"",""HSPMTB2016"",""21"",""1"",""85235"""</f>
        <v>"TRUST Nav","HSPMTB2016","21","1","85235"</v>
      </c>
      <c r="I342" s="52" t="str">
        <f t="shared" si="86"/>
        <v>KK-04597|42370|TRT-80-10</v>
      </c>
      <c r="J342" s="52" t="str">
        <f t="shared" si="83"/>
        <v>KK-04597</v>
      </c>
      <c r="K342" s="52" t="str">
        <f t="shared" si="84"/>
        <v>Arief Wibawa</v>
      </c>
      <c r="L342" s="52" t="str">
        <f t="shared" si="85"/>
        <v>TRT-80-10</v>
      </c>
      <c r="M342" s="82">
        <v>42370</v>
      </c>
      <c r="N342" s="2">
        <v>20000</v>
      </c>
    </row>
    <row r="343" spans="1:14" x14ac:dyDescent="0.35">
      <c r="A343" s="52" t="s">
        <v>6063</v>
      </c>
      <c r="C343" s="30" t="s">
        <v>20980</v>
      </c>
      <c r="D343" s="30" t="str">
        <f>"""TRUST Nav"",""HSPMTB2016"",""21"",""1"",""85236"""</f>
        <v>"TRUST Nav","HSPMTB2016","21","1","85236"</v>
      </c>
      <c r="I343" s="52" t="str">
        <f t="shared" si="86"/>
        <v>KK-04597|42401|TRT-80-10</v>
      </c>
      <c r="J343" s="52" t="str">
        <f t="shared" si="83"/>
        <v>KK-04597</v>
      </c>
      <c r="K343" s="52" t="str">
        <f t="shared" si="84"/>
        <v>Arief Wibawa</v>
      </c>
      <c r="L343" s="52" t="str">
        <f t="shared" si="85"/>
        <v>TRT-80-10</v>
      </c>
      <c r="M343" s="82">
        <v>42401</v>
      </c>
      <c r="N343" s="2">
        <v>20000</v>
      </c>
    </row>
    <row r="344" spans="1:14" x14ac:dyDescent="0.35">
      <c r="A344" s="52" t="s">
        <v>6063</v>
      </c>
      <c r="C344" s="30" t="s">
        <v>20980</v>
      </c>
      <c r="D344" s="30" t="str">
        <f>"""TRUST Nav"",""HSPMTB2016"",""21"",""1"",""85237"""</f>
        <v>"TRUST Nav","HSPMTB2016","21","1","85237"</v>
      </c>
      <c r="I344" s="52" t="str">
        <f t="shared" si="86"/>
        <v>KK-04597|42430|TRT-80-10</v>
      </c>
      <c r="J344" s="52" t="str">
        <f t="shared" si="83"/>
        <v>KK-04597</v>
      </c>
      <c r="K344" s="52" t="str">
        <f t="shared" si="84"/>
        <v>Arief Wibawa</v>
      </c>
      <c r="L344" s="52" t="str">
        <f t="shared" si="85"/>
        <v>TRT-80-10</v>
      </c>
      <c r="M344" s="82">
        <v>42430</v>
      </c>
      <c r="N344" s="2">
        <v>20000</v>
      </c>
    </row>
    <row r="345" spans="1:14" x14ac:dyDescent="0.35">
      <c r="A345" s="52" t="s">
        <v>6063</v>
      </c>
      <c r="C345" s="30" t="s">
        <v>20980</v>
      </c>
      <c r="D345" s="30" t="str">
        <f>"""TRUST Nav"",""HSPMTB2016"",""21"",""1"",""122057"""</f>
        <v>"TRUST Nav","HSPMTB2016","21","1","122057"</v>
      </c>
      <c r="I345" s="52" t="str">
        <f t="shared" si="86"/>
        <v>KK-04597|42461|TRT-80-10</v>
      </c>
      <c r="J345" s="52" t="str">
        <f t="shared" si="83"/>
        <v>KK-04597</v>
      </c>
      <c r="K345" s="52" t="str">
        <f t="shared" si="84"/>
        <v>Arief Wibawa</v>
      </c>
      <c r="L345" s="52" t="str">
        <f t="shared" si="85"/>
        <v>TRT-80-10</v>
      </c>
      <c r="M345" s="82">
        <v>42461</v>
      </c>
      <c r="N345" s="2">
        <v>20000</v>
      </c>
    </row>
    <row r="346" spans="1:14" x14ac:dyDescent="0.35">
      <c r="A346" s="52" t="s">
        <v>6063</v>
      </c>
      <c r="C346" s="30" t="s">
        <v>20980</v>
      </c>
      <c r="D346" s="30" t="str">
        <f>"""TRUST Nav"",""HSPMTB2016"",""21"",""1"",""122058"""</f>
        <v>"TRUST Nav","HSPMTB2016","21","1","122058"</v>
      </c>
      <c r="I346" s="52" t="str">
        <f t="shared" si="86"/>
        <v>KK-04597|42491|TRT-80-10</v>
      </c>
      <c r="J346" s="52" t="str">
        <f t="shared" si="83"/>
        <v>KK-04597</v>
      </c>
      <c r="K346" s="52" t="str">
        <f t="shared" si="84"/>
        <v>Arief Wibawa</v>
      </c>
      <c r="L346" s="52" t="str">
        <f t="shared" si="85"/>
        <v>TRT-80-10</v>
      </c>
      <c r="M346" s="82">
        <v>42491</v>
      </c>
      <c r="N346" s="2">
        <v>30000</v>
      </c>
    </row>
    <row r="347" spans="1:14" x14ac:dyDescent="0.35">
      <c r="A347" s="52" t="s">
        <v>6063</v>
      </c>
      <c r="C347" s="30" t="s">
        <v>20980</v>
      </c>
      <c r="D347" s="30" t="str">
        <f>"""TRUST Nav"",""HSPMTB2016"",""21"",""1"",""122059"""</f>
        <v>"TRUST Nav","HSPMTB2016","21","1","122059"</v>
      </c>
      <c r="I347" s="52" t="str">
        <f t="shared" si="86"/>
        <v>KK-04597|42522|TRT-80-10</v>
      </c>
      <c r="J347" s="52" t="str">
        <f t="shared" si="83"/>
        <v>KK-04597</v>
      </c>
      <c r="K347" s="52" t="str">
        <f t="shared" si="84"/>
        <v>Arief Wibawa</v>
      </c>
      <c r="L347" s="52" t="str">
        <f t="shared" si="85"/>
        <v>TRT-80-10</v>
      </c>
      <c r="M347" s="82">
        <v>42522</v>
      </c>
      <c r="N347" s="2">
        <v>30000</v>
      </c>
    </row>
    <row r="348" spans="1:14" x14ac:dyDescent="0.35">
      <c r="A348" s="52" t="s">
        <v>6063</v>
      </c>
      <c r="C348" s="30" t="s">
        <v>20980</v>
      </c>
      <c r="D348" s="30" t="str">
        <f>"""TRUST Nav"",""HSPMTB2016"",""21"",""1"",""138836"""</f>
        <v>"TRUST Nav","HSPMTB2016","21","1","138836"</v>
      </c>
      <c r="I348" s="52" t="str">
        <f t="shared" si="86"/>
        <v>KK-04597|42552|TRT-80-10</v>
      </c>
      <c r="J348" s="52" t="str">
        <f t="shared" si="83"/>
        <v>KK-04597</v>
      </c>
      <c r="K348" s="52" t="str">
        <f t="shared" si="84"/>
        <v>Arief Wibawa</v>
      </c>
      <c r="L348" s="52" t="str">
        <f t="shared" si="85"/>
        <v>TRT-80-10</v>
      </c>
      <c r="M348" s="82">
        <v>42552</v>
      </c>
      <c r="N348" s="2">
        <v>30000</v>
      </c>
    </row>
    <row r="349" spans="1:14" x14ac:dyDescent="0.35">
      <c r="A349" s="52" t="s">
        <v>6063</v>
      </c>
      <c r="C349" s="30" t="s">
        <v>20980</v>
      </c>
      <c r="D349" s="30" t="str">
        <f>"""TRUST Nav"",""HSPMTB2016"",""21"",""1"",""138837"""</f>
        <v>"TRUST Nav","HSPMTB2016","21","1","138837"</v>
      </c>
      <c r="I349" s="52" t="str">
        <f t="shared" si="86"/>
        <v>KK-04597|42583|TRT-80-10</v>
      </c>
      <c r="J349" s="52" t="str">
        <f t="shared" si="83"/>
        <v>KK-04597</v>
      </c>
      <c r="K349" s="52" t="str">
        <f t="shared" si="84"/>
        <v>Arief Wibawa</v>
      </c>
      <c r="L349" s="52" t="str">
        <f t="shared" si="85"/>
        <v>TRT-80-10</v>
      </c>
      <c r="M349" s="82">
        <v>42583</v>
      </c>
      <c r="N349" s="2">
        <v>30000</v>
      </c>
    </row>
    <row r="350" spans="1:14" x14ac:dyDescent="0.35">
      <c r="A350" s="52" t="s">
        <v>6063</v>
      </c>
      <c r="C350" s="30" t="s">
        <v>20980</v>
      </c>
      <c r="D350" s="30" t="str">
        <f>"""TRUST Nav"",""HSPMTB2016"",""21"",""1"",""138838"""</f>
        <v>"TRUST Nav","HSPMTB2016","21","1","138838"</v>
      </c>
      <c r="I350" s="52" t="str">
        <f t="shared" si="86"/>
        <v>KK-04597|42614|TRT-80-10</v>
      </c>
      <c r="J350" s="52" t="str">
        <f t="shared" si="83"/>
        <v>KK-04597</v>
      </c>
      <c r="K350" s="52" t="str">
        <f t="shared" si="84"/>
        <v>Arief Wibawa</v>
      </c>
      <c r="L350" s="52" t="str">
        <f t="shared" si="85"/>
        <v>TRT-80-10</v>
      </c>
      <c r="M350" s="82">
        <v>42614</v>
      </c>
      <c r="N350" s="2">
        <v>30000</v>
      </c>
    </row>
    <row r="351" spans="1:14" x14ac:dyDescent="0.35">
      <c r="A351" s="52" t="s">
        <v>6063</v>
      </c>
      <c r="C351" s="30" t="s">
        <v>20980</v>
      </c>
      <c r="D351" s="30" t="str">
        <f>"""TRUST Nav"",""HSPMTB2016"",""21"",""1"",""3581"""</f>
        <v>"TRUST Nav","HSPMTB2016","21","1","3581"</v>
      </c>
      <c r="I351" s="52" t="str">
        <f t="shared" si="86"/>
        <v>KK-04598|42186|TRT-80-10</v>
      </c>
      <c r="J351" s="52" t="str">
        <f t="shared" ref="J351:J366" si="87">"KK-04598"</f>
        <v>KK-04598</v>
      </c>
      <c r="K351" s="52" t="str">
        <f t="shared" ref="K351:K366" si="88">"Alex Sudytio"</f>
        <v>Alex Sudytio</v>
      </c>
      <c r="L351" s="52" t="str">
        <f t="shared" si="85"/>
        <v>TRT-80-10</v>
      </c>
      <c r="M351" s="82">
        <v>42186</v>
      </c>
      <c r="N351" s="2">
        <v>25000.000000000004</v>
      </c>
    </row>
    <row r="352" spans="1:14" x14ac:dyDescent="0.35">
      <c r="A352" s="52" t="s">
        <v>6063</v>
      </c>
      <c r="C352" s="30" t="s">
        <v>20980</v>
      </c>
      <c r="D352" s="30" t="str">
        <f>"""TRUST Nav"",""HSPMTB2016"",""21"",""1"",""3582"""</f>
        <v>"TRUST Nav","HSPMTB2016","21","1","3582"</v>
      </c>
      <c r="I352" s="52" t="str">
        <f t="shared" si="86"/>
        <v>KK-04598|42217|TRT-80-10</v>
      </c>
      <c r="J352" s="52" t="str">
        <f t="shared" si="87"/>
        <v>KK-04598</v>
      </c>
      <c r="K352" s="52" t="str">
        <f t="shared" si="88"/>
        <v>Alex Sudytio</v>
      </c>
      <c r="L352" s="52" t="str">
        <f t="shared" si="85"/>
        <v>TRT-80-10</v>
      </c>
      <c r="M352" s="82">
        <v>42217</v>
      </c>
      <c r="N352" s="2">
        <v>25000.000000000004</v>
      </c>
    </row>
    <row r="353" spans="1:14" x14ac:dyDescent="0.35">
      <c r="A353" s="52" t="s">
        <v>6063</v>
      </c>
      <c r="C353" s="30" t="s">
        <v>20980</v>
      </c>
      <c r="D353" s="30" t="str">
        <f>"""TRUST Nav"",""HSPMTB2016"",""21"",""1"",""3583"""</f>
        <v>"TRUST Nav","HSPMTB2016","21","1","3583"</v>
      </c>
      <c r="I353" s="52" t="str">
        <f t="shared" si="86"/>
        <v>KK-04598|42248|TRT-80-10</v>
      </c>
      <c r="J353" s="52" t="str">
        <f t="shared" si="87"/>
        <v>KK-04598</v>
      </c>
      <c r="K353" s="52" t="str">
        <f t="shared" si="88"/>
        <v>Alex Sudytio</v>
      </c>
      <c r="L353" s="52" t="str">
        <f t="shared" si="85"/>
        <v>TRT-80-10</v>
      </c>
      <c r="M353" s="82">
        <v>42248</v>
      </c>
      <c r="N353" s="2">
        <v>25000.000000000004</v>
      </c>
    </row>
    <row r="354" spans="1:14" x14ac:dyDescent="0.35">
      <c r="A354" s="52" t="s">
        <v>6063</v>
      </c>
      <c r="C354" s="30" t="s">
        <v>20980</v>
      </c>
      <c r="D354" s="30" t="str">
        <f>"""TRUST Nav"",""HSPMTB2016"",""21"",""1"",""3584"""</f>
        <v>"TRUST Nav","HSPMTB2016","21","1","3584"</v>
      </c>
      <c r="I354" s="52" t="str">
        <f t="shared" si="86"/>
        <v>KK-04598|42278|TRT-80-10</v>
      </c>
      <c r="J354" s="52" t="str">
        <f t="shared" si="87"/>
        <v>KK-04598</v>
      </c>
      <c r="K354" s="52" t="str">
        <f t="shared" si="88"/>
        <v>Alex Sudytio</v>
      </c>
      <c r="L354" s="52" t="str">
        <f t="shared" si="85"/>
        <v>TRT-80-10</v>
      </c>
      <c r="M354" s="82">
        <v>42278</v>
      </c>
      <c r="N354" s="2">
        <v>25000.000000000004</v>
      </c>
    </row>
    <row r="355" spans="1:14" x14ac:dyDescent="0.35">
      <c r="A355" s="52" t="s">
        <v>6063</v>
      </c>
      <c r="C355" s="30" t="s">
        <v>20980</v>
      </c>
      <c r="D355" s="30" t="str">
        <f>"""TRUST Nav"",""HSPMTB2016"",""21"",""1"",""3585"""</f>
        <v>"TRUST Nav","HSPMTB2016","21","1","3585"</v>
      </c>
      <c r="I355" s="52" t="str">
        <f t="shared" si="86"/>
        <v>KK-04598|42309|TRT-80-10</v>
      </c>
      <c r="J355" s="52" t="str">
        <f t="shared" si="87"/>
        <v>KK-04598</v>
      </c>
      <c r="K355" s="52" t="str">
        <f t="shared" si="88"/>
        <v>Alex Sudytio</v>
      </c>
      <c r="L355" s="52" t="str">
        <f t="shared" si="85"/>
        <v>TRT-80-10</v>
      </c>
      <c r="M355" s="82">
        <v>42309</v>
      </c>
      <c r="N355" s="2">
        <v>25000.000000000004</v>
      </c>
    </row>
    <row r="356" spans="1:14" x14ac:dyDescent="0.35">
      <c r="A356" s="52" t="s">
        <v>6063</v>
      </c>
      <c r="C356" s="30" t="s">
        <v>20980</v>
      </c>
      <c r="D356" s="30" t="str">
        <f>"""TRUST Nav"",""HSPMTB2016"",""21"",""1"",""3586"""</f>
        <v>"TRUST Nav","HSPMTB2016","21","1","3586"</v>
      </c>
      <c r="I356" s="52" t="str">
        <f t="shared" si="86"/>
        <v>KK-04598|42339|TRT-80-10</v>
      </c>
      <c r="J356" s="52" t="str">
        <f t="shared" si="87"/>
        <v>KK-04598</v>
      </c>
      <c r="K356" s="52" t="str">
        <f t="shared" si="88"/>
        <v>Alex Sudytio</v>
      </c>
      <c r="L356" s="52" t="str">
        <f t="shared" si="85"/>
        <v>TRT-80-10</v>
      </c>
      <c r="M356" s="82">
        <v>42339</v>
      </c>
      <c r="N356" s="2">
        <v>25000.000000000004</v>
      </c>
    </row>
    <row r="357" spans="1:14" x14ac:dyDescent="0.35">
      <c r="A357" s="52" t="s">
        <v>6063</v>
      </c>
      <c r="C357" s="30" t="s">
        <v>20980</v>
      </c>
      <c r="D357" s="30" t="str">
        <f>"""TRUST Nav"",""HSPMTB2016"",""21"",""1"",""37380"""</f>
        <v>"TRUST Nav","HSPMTB2016","21","1","37380"</v>
      </c>
      <c r="I357" s="52" t="str">
        <f t="shared" si="86"/>
        <v>KK-04598|42368|TRT-80-10</v>
      </c>
      <c r="J357" s="52" t="str">
        <f t="shared" si="87"/>
        <v>KK-04598</v>
      </c>
      <c r="K357" s="52" t="str">
        <f t="shared" si="88"/>
        <v>Alex Sudytio</v>
      </c>
      <c r="L357" s="52" t="str">
        <f t="shared" si="85"/>
        <v>TRT-80-10</v>
      </c>
      <c r="M357" s="82">
        <v>42368</v>
      </c>
      <c r="N357" s="2">
        <v>25000.000000000004</v>
      </c>
    </row>
    <row r="358" spans="1:14" x14ac:dyDescent="0.35">
      <c r="A358" s="52" t="s">
        <v>6063</v>
      </c>
      <c r="C358" s="30" t="s">
        <v>20980</v>
      </c>
      <c r="D358" s="30" t="str">
        <f>"""TRUST Nav"",""HSPMTB2016"",""21"",""1"",""37381"""</f>
        <v>"TRUST Nav","HSPMTB2016","21","1","37381"</v>
      </c>
      <c r="I358" s="52" t="str">
        <f t="shared" si="86"/>
        <v>KK-04598|42368|TRT-80-10</v>
      </c>
      <c r="J358" s="52" t="str">
        <f t="shared" si="87"/>
        <v>KK-04598</v>
      </c>
      <c r="K358" s="52" t="str">
        <f t="shared" si="88"/>
        <v>Alex Sudytio</v>
      </c>
      <c r="L358" s="52" t="str">
        <f t="shared" si="85"/>
        <v>TRT-80-10</v>
      </c>
      <c r="M358" s="82">
        <v>42368</v>
      </c>
      <c r="N358" s="2">
        <v>25000.000000000004</v>
      </c>
    </row>
    <row r="359" spans="1:14" x14ac:dyDescent="0.35">
      <c r="A359" s="52" t="s">
        <v>6063</v>
      </c>
      <c r="C359" s="30" t="s">
        <v>20980</v>
      </c>
      <c r="D359" s="30" t="str">
        <f>"""TRUST Nav"",""HSPMTB2016"",""21"",""1"",""37382"""</f>
        <v>"TRUST Nav","HSPMTB2016","21","1","37382"</v>
      </c>
      <c r="I359" s="52" t="str">
        <f t="shared" si="86"/>
        <v>KK-04598|42368|TRT-80-10</v>
      </c>
      <c r="J359" s="52" t="str">
        <f t="shared" si="87"/>
        <v>KK-04598</v>
      </c>
      <c r="K359" s="52" t="str">
        <f t="shared" si="88"/>
        <v>Alex Sudytio</v>
      </c>
      <c r="L359" s="52" t="str">
        <f t="shared" si="85"/>
        <v>TRT-80-10</v>
      </c>
      <c r="M359" s="82">
        <v>42368</v>
      </c>
      <c r="N359" s="2">
        <v>25000.000000000004</v>
      </c>
    </row>
    <row r="360" spans="1:14" x14ac:dyDescent="0.35">
      <c r="A360" s="52" t="s">
        <v>6063</v>
      </c>
      <c r="C360" s="30" t="s">
        <v>20980</v>
      </c>
      <c r="D360" s="30" t="str">
        <f>"""TRUST Nav"",""HSPMTB2016"",""21"",""1"",""37383"""</f>
        <v>"TRUST Nav","HSPMTB2016","21","1","37383"</v>
      </c>
      <c r="I360" s="52" t="str">
        <f t="shared" si="86"/>
        <v>KK-04598|42368|TRT-80-10</v>
      </c>
      <c r="J360" s="52" t="str">
        <f t="shared" si="87"/>
        <v>KK-04598</v>
      </c>
      <c r="K360" s="52" t="str">
        <f t="shared" si="88"/>
        <v>Alex Sudytio</v>
      </c>
      <c r="L360" s="52" t="str">
        <f t="shared" si="85"/>
        <v>TRT-80-10</v>
      </c>
      <c r="M360" s="82">
        <v>42368</v>
      </c>
      <c r="N360" s="2">
        <v>25000.000000000004</v>
      </c>
    </row>
    <row r="361" spans="1:14" x14ac:dyDescent="0.35">
      <c r="A361" s="52" t="s">
        <v>6063</v>
      </c>
      <c r="C361" s="30" t="s">
        <v>20980</v>
      </c>
      <c r="D361" s="30" t="str">
        <f>"""TRUST Nav"",""HSPMTB2016"",""21"",""1"",""37384"""</f>
        <v>"TRUST Nav","HSPMTB2016","21","1","37384"</v>
      </c>
      <c r="I361" s="52" t="str">
        <f t="shared" si="86"/>
        <v>KK-04598|42368|TRT-80-10</v>
      </c>
      <c r="J361" s="52" t="str">
        <f t="shared" si="87"/>
        <v>KK-04598</v>
      </c>
      <c r="K361" s="52" t="str">
        <f t="shared" si="88"/>
        <v>Alex Sudytio</v>
      </c>
      <c r="L361" s="52" t="str">
        <f t="shared" si="85"/>
        <v>TRT-80-10</v>
      </c>
      <c r="M361" s="82">
        <v>42368</v>
      </c>
      <c r="N361" s="2">
        <v>25000.000000000004</v>
      </c>
    </row>
    <row r="362" spans="1:14" x14ac:dyDescent="0.35">
      <c r="A362" s="52" t="s">
        <v>6063</v>
      </c>
      <c r="C362" s="30" t="s">
        <v>20980</v>
      </c>
      <c r="D362" s="30" t="str">
        <f>"""TRUST Nav"",""HSPMTB2016"",""21"",""1"",""37385"""</f>
        <v>"TRUST Nav","HSPMTB2016","21","1","37385"</v>
      </c>
      <c r="I362" s="52" t="str">
        <f t="shared" si="86"/>
        <v>KK-04598|42368|TRT-80-10</v>
      </c>
      <c r="J362" s="52" t="str">
        <f t="shared" si="87"/>
        <v>KK-04598</v>
      </c>
      <c r="K362" s="52" t="str">
        <f t="shared" si="88"/>
        <v>Alex Sudytio</v>
      </c>
      <c r="L362" s="52" t="str">
        <f t="shared" si="85"/>
        <v>TRT-80-10</v>
      </c>
      <c r="M362" s="82">
        <v>42368</v>
      </c>
      <c r="N362" s="2">
        <v>25000.000000000004</v>
      </c>
    </row>
    <row r="363" spans="1:14" x14ac:dyDescent="0.35">
      <c r="A363" s="52" t="s">
        <v>6063</v>
      </c>
      <c r="C363" s="30" t="s">
        <v>20980</v>
      </c>
      <c r="D363" s="30" t="str">
        <f>"""TRUST Nav"",""HSPMTB2016"",""21"",""1"",""116878"""</f>
        <v>"TRUST Nav","HSPMTB2016","21","1","116878"</v>
      </c>
      <c r="I363" s="52" t="str">
        <f t="shared" si="86"/>
        <v>KK-04598|42370|TRT-80-10</v>
      </c>
      <c r="J363" s="52" t="str">
        <f t="shared" si="87"/>
        <v>KK-04598</v>
      </c>
      <c r="K363" s="52" t="str">
        <f t="shared" si="88"/>
        <v>Alex Sudytio</v>
      </c>
      <c r="L363" s="52" t="str">
        <f t="shared" si="85"/>
        <v>TRT-80-10</v>
      </c>
      <c r="M363" s="82">
        <v>42370</v>
      </c>
      <c r="N363" s="2">
        <v>25000.000000000004</v>
      </c>
    </row>
    <row r="364" spans="1:14" x14ac:dyDescent="0.35">
      <c r="A364" s="52" t="s">
        <v>6063</v>
      </c>
      <c r="C364" s="30" t="s">
        <v>20980</v>
      </c>
      <c r="D364" s="30" t="str">
        <f>"""TRUST Nav"",""HSPMTB2016"",""21"",""1"",""116879"""</f>
        <v>"TRUST Nav","HSPMTB2016","21","1","116879"</v>
      </c>
      <c r="I364" s="52" t="str">
        <f t="shared" si="86"/>
        <v>KK-04598|42401|TRT-80-10</v>
      </c>
      <c r="J364" s="52" t="str">
        <f t="shared" si="87"/>
        <v>KK-04598</v>
      </c>
      <c r="K364" s="52" t="str">
        <f t="shared" si="88"/>
        <v>Alex Sudytio</v>
      </c>
      <c r="L364" s="52" t="str">
        <f t="shared" si="85"/>
        <v>TRT-80-10</v>
      </c>
      <c r="M364" s="82">
        <v>42401</v>
      </c>
      <c r="N364" s="2">
        <v>25000.000000000004</v>
      </c>
    </row>
    <row r="365" spans="1:14" x14ac:dyDescent="0.35">
      <c r="A365" s="52" t="s">
        <v>6063</v>
      </c>
      <c r="C365" s="30" t="s">
        <v>20980</v>
      </c>
      <c r="D365" s="30" t="str">
        <f>"""TRUST Nav"",""HSPMTB2016"",""21"",""1"",""116880"""</f>
        <v>"TRUST Nav","HSPMTB2016","21","1","116880"</v>
      </c>
      <c r="I365" s="52" t="str">
        <f t="shared" si="86"/>
        <v>KK-04598|42430|TRT-80-10</v>
      </c>
      <c r="J365" s="52" t="str">
        <f t="shared" si="87"/>
        <v>KK-04598</v>
      </c>
      <c r="K365" s="52" t="str">
        <f t="shared" si="88"/>
        <v>Alex Sudytio</v>
      </c>
      <c r="L365" s="52" t="str">
        <f t="shared" si="85"/>
        <v>TRT-80-10</v>
      </c>
      <c r="M365" s="82">
        <v>42430</v>
      </c>
      <c r="N365" s="2">
        <v>25000.000000000004</v>
      </c>
    </row>
    <row r="366" spans="1:14" x14ac:dyDescent="0.35">
      <c r="A366" s="52" t="s">
        <v>6063</v>
      </c>
      <c r="C366" s="30" t="s">
        <v>20980</v>
      </c>
      <c r="D366" s="30" t="str">
        <f>"""TRUST Nav"",""HSPMTB2016"",""21"",""1"",""116881"""</f>
        <v>"TRUST Nav","HSPMTB2016","21","1","116881"</v>
      </c>
      <c r="I366" s="52" t="str">
        <f t="shared" si="86"/>
        <v>KK-04598|42461|TRT-80-10</v>
      </c>
      <c r="J366" s="52" t="str">
        <f t="shared" si="87"/>
        <v>KK-04598</v>
      </c>
      <c r="K366" s="52" t="str">
        <f t="shared" si="88"/>
        <v>Alex Sudytio</v>
      </c>
      <c r="L366" s="52" t="str">
        <f t="shared" si="85"/>
        <v>TRT-80-10</v>
      </c>
      <c r="M366" s="82">
        <v>42461</v>
      </c>
      <c r="N366" s="2">
        <v>25000.000000000004</v>
      </c>
    </row>
    <row r="367" spans="1:14" x14ac:dyDescent="0.35">
      <c r="A367" s="52" t="s">
        <v>6063</v>
      </c>
      <c r="C367" s="30" t="s">
        <v>20980</v>
      </c>
      <c r="D367" s="30" t="str">
        <f>"""TRUST Nav"",""HSPMTB2016"",""21"",""1"",""3587"""</f>
        <v>"TRUST Nav","HSPMTB2016","21","1","3587"</v>
      </c>
      <c r="I367" s="52" t="str">
        <f t="shared" si="86"/>
        <v>KK-04599|42186|TRT-80-10</v>
      </c>
      <c r="J367" s="52" t="str">
        <f t="shared" ref="J367:J387" si="89">"KK-04599"</f>
        <v>KK-04599</v>
      </c>
      <c r="K367" s="52" t="str">
        <f t="shared" ref="K367:K387" si="90">"Bernardus Yogie Dirga Gunawan"</f>
        <v>Bernardus Yogie Dirga Gunawan</v>
      </c>
      <c r="L367" s="52" t="str">
        <f t="shared" si="85"/>
        <v>TRT-80-10</v>
      </c>
      <c r="M367" s="82">
        <v>42186</v>
      </c>
      <c r="N367" s="2">
        <v>50000.000000000007</v>
      </c>
    </row>
    <row r="368" spans="1:14" x14ac:dyDescent="0.35">
      <c r="A368" s="52" t="s">
        <v>6063</v>
      </c>
      <c r="C368" s="30" t="s">
        <v>20980</v>
      </c>
      <c r="D368" s="30" t="str">
        <f>"""TRUST Nav"",""HSPMTB2016"",""21"",""1"",""3588"""</f>
        <v>"TRUST Nav","HSPMTB2016","21","1","3588"</v>
      </c>
      <c r="I368" s="52" t="str">
        <f t="shared" si="86"/>
        <v>KK-04599|42217|TRT-80-10</v>
      </c>
      <c r="J368" s="52" t="str">
        <f t="shared" si="89"/>
        <v>KK-04599</v>
      </c>
      <c r="K368" s="52" t="str">
        <f t="shared" si="90"/>
        <v>Bernardus Yogie Dirga Gunawan</v>
      </c>
      <c r="L368" s="52" t="str">
        <f t="shared" si="85"/>
        <v>TRT-80-10</v>
      </c>
      <c r="M368" s="82">
        <v>42217</v>
      </c>
      <c r="N368" s="2">
        <v>50000.000000000007</v>
      </c>
    </row>
    <row r="369" spans="1:14" x14ac:dyDescent="0.35">
      <c r="A369" s="52" t="s">
        <v>6063</v>
      </c>
      <c r="C369" s="30" t="s">
        <v>20980</v>
      </c>
      <c r="D369" s="30" t="str">
        <f>"""TRUST Nav"",""HSPMTB2016"",""21"",""1"",""3589"""</f>
        <v>"TRUST Nav","HSPMTB2016","21","1","3589"</v>
      </c>
      <c r="I369" s="52" t="str">
        <f t="shared" si="86"/>
        <v>KK-04599|42248|TRT-80-10</v>
      </c>
      <c r="J369" s="52" t="str">
        <f t="shared" si="89"/>
        <v>KK-04599</v>
      </c>
      <c r="K369" s="52" t="str">
        <f t="shared" si="90"/>
        <v>Bernardus Yogie Dirga Gunawan</v>
      </c>
      <c r="L369" s="52" t="str">
        <f t="shared" si="85"/>
        <v>TRT-80-10</v>
      </c>
      <c r="M369" s="82">
        <v>42248</v>
      </c>
      <c r="N369" s="2">
        <v>50000.000000000007</v>
      </c>
    </row>
    <row r="370" spans="1:14" x14ac:dyDescent="0.35">
      <c r="A370" s="52" t="s">
        <v>6063</v>
      </c>
      <c r="C370" s="30" t="s">
        <v>20980</v>
      </c>
      <c r="D370" s="30" t="str">
        <f>"""TRUST Nav"",""HSPMTB2016"",""21"",""1"",""3590"""</f>
        <v>"TRUST Nav","HSPMTB2016","21","1","3590"</v>
      </c>
      <c r="I370" s="52" t="str">
        <f t="shared" si="86"/>
        <v>KK-04599|42278|TRT-80-10</v>
      </c>
      <c r="J370" s="52" t="str">
        <f t="shared" si="89"/>
        <v>KK-04599</v>
      </c>
      <c r="K370" s="52" t="str">
        <f t="shared" si="90"/>
        <v>Bernardus Yogie Dirga Gunawan</v>
      </c>
      <c r="L370" s="52" t="str">
        <f t="shared" si="85"/>
        <v>TRT-80-10</v>
      </c>
      <c r="M370" s="82">
        <v>42278</v>
      </c>
      <c r="N370" s="2">
        <v>50000.000000000007</v>
      </c>
    </row>
    <row r="371" spans="1:14" x14ac:dyDescent="0.35">
      <c r="A371" s="52" t="s">
        <v>6063</v>
      </c>
      <c r="C371" s="30" t="s">
        <v>20980</v>
      </c>
      <c r="D371" s="30" t="str">
        <f>"""TRUST Nav"",""HSPMTB2016"",""21"",""1"",""3591"""</f>
        <v>"TRUST Nav","HSPMTB2016","21","1","3591"</v>
      </c>
      <c r="I371" s="52" t="str">
        <f t="shared" si="86"/>
        <v>KK-04599|42309|TRT-80-10</v>
      </c>
      <c r="J371" s="52" t="str">
        <f t="shared" si="89"/>
        <v>KK-04599</v>
      </c>
      <c r="K371" s="52" t="str">
        <f t="shared" si="90"/>
        <v>Bernardus Yogie Dirga Gunawan</v>
      </c>
      <c r="L371" s="52" t="str">
        <f t="shared" si="85"/>
        <v>TRT-80-10</v>
      </c>
      <c r="M371" s="82">
        <v>42309</v>
      </c>
      <c r="N371" s="2">
        <v>50000.000000000007</v>
      </c>
    </row>
    <row r="372" spans="1:14" x14ac:dyDescent="0.35">
      <c r="A372" s="52" t="s">
        <v>6063</v>
      </c>
      <c r="C372" s="30" t="s">
        <v>20980</v>
      </c>
      <c r="D372" s="30" t="str">
        <f>"""TRUST Nav"",""HSPMTB2016"",""21"",""1"",""3592"""</f>
        <v>"TRUST Nav","HSPMTB2016","21","1","3592"</v>
      </c>
      <c r="I372" s="52" t="str">
        <f t="shared" si="86"/>
        <v>KK-04599|42339|TRT-80-10</v>
      </c>
      <c r="J372" s="52" t="str">
        <f t="shared" si="89"/>
        <v>KK-04599</v>
      </c>
      <c r="K372" s="52" t="str">
        <f t="shared" si="90"/>
        <v>Bernardus Yogie Dirga Gunawan</v>
      </c>
      <c r="L372" s="52" t="str">
        <f t="shared" si="85"/>
        <v>TRT-80-10</v>
      </c>
      <c r="M372" s="82">
        <v>42339</v>
      </c>
      <c r="N372" s="2">
        <v>50000.000000000007</v>
      </c>
    </row>
    <row r="373" spans="1:14" x14ac:dyDescent="0.35">
      <c r="A373" s="52" t="s">
        <v>6063</v>
      </c>
      <c r="C373" s="30" t="s">
        <v>20980</v>
      </c>
      <c r="D373" s="30" t="str">
        <f>"""TRUST Nav"",""HSPMTB2016"",""21"",""1"",""37386"""</f>
        <v>"TRUST Nav","HSPMTB2016","21","1","37386"</v>
      </c>
      <c r="I373" s="52" t="str">
        <f t="shared" si="86"/>
        <v>KK-04599|42368|TRT-80-10</v>
      </c>
      <c r="J373" s="52" t="str">
        <f t="shared" si="89"/>
        <v>KK-04599</v>
      </c>
      <c r="K373" s="52" t="str">
        <f t="shared" si="90"/>
        <v>Bernardus Yogie Dirga Gunawan</v>
      </c>
      <c r="L373" s="52" t="str">
        <f t="shared" si="85"/>
        <v>TRT-80-10</v>
      </c>
      <c r="M373" s="82">
        <v>42368</v>
      </c>
      <c r="N373" s="2">
        <v>50000.000000000007</v>
      </c>
    </row>
    <row r="374" spans="1:14" x14ac:dyDescent="0.35">
      <c r="A374" s="52" t="s">
        <v>6063</v>
      </c>
      <c r="C374" s="30" t="s">
        <v>20980</v>
      </c>
      <c r="D374" s="30" t="str">
        <f>"""TRUST Nav"",""HSPMTB2016"",""21"",""1"",""37387"""</f>
        <v>"TRUST Nav","HSPMTB2016","21","1","37387"</v>
      </c>
      <c r="I374" s="52" t="str">
        <f t="shared" si="86"/>
        <v>KK-04599|42368|TRT-80-10</v>
      </c>
      <c r="J374" s="52" t="str">
        <f t="shared" si="89"/>
        <v>KK-04599</v>
      </c>
      <c r="K374" s="52" t="str">
        <f t="shared" si="90"/>
        <v>Bernardus Yogie Dirga Gunawan</v>
      </c>
      <c r="L374" s="52" t="str">
        <f t="shared" si="85"/>
        <v>TRT-80-10</v>
      </c>
      <c r="M374" s="82">
        <v>42368</v>
      </c>
      <c r="N374" s="2">
        <v>50000.000000000007</v>
      </c>
    </row>
    <row r="375" spans="1:14" x14ac:dyDescent="0.35">
      <c r="A375" s="52" t="s">
        <v>6063</v>
      </c>
      <c r="C375" s="30" t="s">
        <v>20980</v>
      </c>
      <c r="D375" s="30" t="str">
        <f>"""TRUST Nav"",""HSPMTB2016"",""21"",""1"",""37388"""</f>
        <v>"TRUST Nav","HSPMTB2016","21","1","37388"</v>
      </c>
      <c r="I375" s="52" t="str">
        <f t="shared" si="86"/>
        <v>KK-04599|42368|TRT-80-10</v>
      </c>
      <c r="J375" s="52" t="str">
        <f t="shared" si="89"/>
        <v>KK-04599</v>
      </c>
      <c r="K375" s="52" t="str">
        <f t="shared" si="90"/>
        <v>Bernardus Yogie Dirga Gunawan</v>
      </c>
      <c r="L375" s="52" t="str">
        <f t="shared" si="85"/>
        <v>TRT-80-10</v>
      </c>
      <c r="M375" s="82">
        <v>42368</v>
      </c>
      <c r="N375" s="2">
        <v>50000.000000000007</v>
      </c>
    </row>
    <row r="376" spans="1:14" x14ac:dyDescent="0.35">
      <c r="A376" s="52" t="s">
        <v>6063</v>
      </c>
      <c r="C376" s="30" t="s">
        <v>20980</v>
      </c>
      <c r="D376" s="30" t="str">
        <f>"""TRUST Nav"",""HSPMTB2016"",""21"",""1"",""37389"""</f>
        <v>"TRUST Nav","HSPMTB2016","21","1","37389"</v>
      </c>
      <c r="I376" s="52" t="str">
        <f t="shared" si="86"/>
        <v>KK-04599|42368|TRT-80-10</v>
      </c>
      <c r="J376" s="52" t="str">
        <f t="shared" si="89"/>
        <v>KK-04599</v>
      </c>
      <c r="K376" s="52" t="str">
        <f t="shared" si="90"/>
        <v>Bernardus Yogie Dirga Gunawan</v>
      </c>
      <c r="L376" s="52" t="str">
        <f t="shared" si="85"/>
        <v>TRT-80-10</v>
      </c>
      <c r="M376" s="82">
        <v>42368</v>
      </c>
      <c r="N376" s="2">
        <v>50000.000000000007</v>
      </c>
    </row>
    <row r="377" spans="1:14" x14ac:dyDescent="0.35">
      <c r="A377" s="52" t="s">
        <v>6063</v>
      </c>
      <c r="C377" s="30" t="s">
        <v>20980</v>
      </c>
      <c r="D377" s="30" t="str">
        <f>"""TRUST Nav"",""HSPMTB2016"",""21"",""1"",""37390"""</f>
        <v>"TRUST Nav","HSPMTB2016","21","1","37390"</v>
      </c>
      <c r="I377" s="52" t="str">
        <f t="shared" si="86"/>
        <v>KK-04599|42368|TRT-80-10</v>
      </c>
      <c r="J377" s="52" t="str">
        <f t="shared" si="89"/>
        <v>KK-04599</v>
      </c>
      <c r="K377" s="52" t="str">
        <f t="shared" si="90"/>
        <v>Bernardus Yogie Dirga Gunawan</v>
      </c>
      <c r="L377" s="52" t="str">
        <f t="shared" si="85"/>
        <v>TRT-80-10</v>
      </c>
      <c r="M377" s="82">
        <v>42368</v>
      </c>
      <c r="N377" s="2">
        <v>50000.000000000007</v>
      </c>
    </row>
    <row r="378" spans="1:14" x14ac:dyDescent="0.35">
      <c r="A378" s="52" t="s">
        <v>6063</v>
      </c>
      <c r="C378" s="30" t="s">
        <v>20980</v>
      </c>
      <c r="D378" s="30" t="str">
        <f>"""TRUST Nav"",""HSPMTB2016"",""21"",""1"",""37391"""</f>
        <v>"TRUST Nav","HSPMTB2016","21","1","37391"</v>
      </c>
      <c r="I378" s="52" t="str">
        <f t="shared" si="86"/>
        <v>KK-04599|42368|TRT-80-10</v>
      </c>
      <c r="J378" s="52" t="str">
        <f t="shared" si="89"/>
        <v>KK-04599</v>
      </c>
      <c r="K378" s="52" t="str">
        <f t="shared" si="90"/>
        <v>Bernardus Yogie Dirga Gunawan</v>
      </c>
      <c r="L378" s="52" t="str">
        <f t="shared" si="85"/>
        <v>TRT-80-10</v>
      </c>
      <c r="M378" s="82">
        <v>42368</v>
      </c>
      <c r="N378" s="2">
        <v>50000.000000000007</v>
      </c>
    </row>
    <row r="379" spans="1:14" x14ac:dyDescent="0.35">
      <c r="A379" s="52" t="s">
        <v>6063</v>
      </c>
      <c r="C379" s="30" t="s">
        <v>20980</v>
      </c>
      <c r="D379" s="30" t="str">
        <f>"""TRUST Nav"",""HSPMTB2016"",""21"",""1"",""73438"""</f>
        <v>"TRUST Nav","HSPMTB2016","21","1","73438"</v>
      </c>
      <c r="I379" s="52" t="str">
        <f t="shared" si="86"/>
        <v>KK-04599|42370|TRT-80-10</v>
      </c>
      <c r="J379" s="52" t="str">
        <f t="shared" si="89"/>
        <v>KK-04599</v>
      </c>
      <c r="K379" s="52" t="str">
        <f t="shared" si="90"/>
        <v>Bernardus Yogie Dirga Gunawan</v>
      </c>
      <c r="L379" s="52" t="str">
        <f t="shared" si="85"/>
        <v>TRT-80-10</v>
      </c>
      <c r="M379" s="82">
        <v>42370</v>
      </c>
      <c r="N379" s="2">
        <v>50000.000000000007</v>
      </c>
    </row>
    <row r="380" spans="1:14" x14ac:dyDescent="0.35">
      <c r="A380" s="52" t="s">
        <v>6063</v>
      </c>
      <c r="C380" s="30" t="s">
        <v>20980</v>
      </c>
      <c r="D380" s="30" t="str">
        <f>"""TRUST Nav"",""HSPMTB2016"",""21"",""1"",""73439"""</f>
        <v>"TRUST Nav","HSPMTB2016","21","1","73439"</v>
      </c>
      <c r="I380" s="52" t="str">
        <f t="shared" si="86"/>
        <v>KK-04599|42401|TRT-80-10</v>
      </c>
      <c r="J380" s="52" t="str">
        <f t="shared" si="89"/>
        <v>KK-04599</v>
      </c>
      <c r="K380" s="52" t="str">
        <f t="shared" si="90"/>
        <v>Bernardus Yogie Dirga Gunawan</v>
      </c>
      <c r="L380" s="52" t="str">
        <f t="shared" si="85"/>
        <v>TRT-80-10</v>
      </c>
      <c r="M380" s="82">
        <v>42401</v>
      </c>
      <c r="N380" s="2">
        <v>50000.000000000007</v>
      </c>
    </row>
    <row r="381" spans="1:14" x14ac:dyDescent="0.35">
      <c r="A381" s="52" t="s">
        <v>6063</v>
      </c>
      <c r="C381" s="30" t="s">
        <v>20980</v>
      </c>
      <c r="D381" s="30" t="str">
        <f>"""TRUST Nav"",""HSPMTB2016"",""21"",""1"",""122060"""</f>
        <v>"TRUST Nav","HSPMTB2016","21","1","122060"</v>
      </c>
      <c r="I381" s="52" t="str">
        <f t="shared" si="86"/>
        <v>KK-04599|42430|TRT-80-10</v>
      </c>
      <c r="J381" s="52" t="str">
        <f t="shared" si="89"/>
        <v>KK-04599</v>
      </c>
      <c r="K381" s="52" t="str">
        <f t="shared" si="90"/>
        <v>Bernardus Yogie Dirga Gunawan</v>
      </c>
      <c r="L381" s="52" t="str">
        <f t="shared" si="85"/>
        <v>TRT-80-10</v>
      </c>
      <c r="M381" s="82">
        <v>42430</v>
      </c>
      <c r="N381" s="2">
        <v>50000.000000000007</v>
      </c>
    </row>
    <row r="382" spans="1:14" x14ac:dyDescent="0.35">
      <c r="A382" s="52" t="s">
        <v>6063</v>
      </c>
      <c r="C382" s="30" t="s">
        <v>20980</v>
      </c>
      <c r="D382" s="30" t="str">
        <f>"""TRUST Nav"",""HSPMTB2016"",""21"",""1"",""122061"""</f>
        <v>"TRUST Nav","HSPMTB2016","21","1","122061"</v>
      </c>
      <c r="I382" s="52" t="str">
        <f t="shared" si="86"/>
        <v>KK-04599|42461|TRT-80-10</v>
      </c>
      <c r="J382" s="52" t="str">
        <f t="shared" si="89"/>
        <v>KK-04599</v>
      </c>
      <c r="K382" s="52" t="str">
        <f t="shared" si="90"/>
        <v>Bernardus Yogie Dirga Gunawan</v>
      </c>
      <c r="L382" s="52" t="str">
        <f t="shared" si="85"/>
        <v>TRT-80-10</v>
      </c>
      <c r="M382" s="82">
        <v>42461</v>
      </c>
      <c r="N382" s="2">
        <v>50000.000000000007</v>
      </c>
    </row>
    <row r="383" spans="1:14" x14ac:dyDescent="0.35">
      <c r="A383" s="52" t="s">
        <v>6063</v>
      </c>
      <c r="C383" s="30" t="s">
        <v>20980</v>
      </c>
      <c r="D383" s="30" t="str">
        <f>"""TRUST Nav"",""HSPMTB2016"",""21"",""1"",""122062"""</f>
        <v>"TRUST Nav","HSPMTB2016","21","1","122062"</v>
      </c>
      <c r="I383" s="52" t="str">
        <f t="shared" si="86"/>
        <v>KK-04599|42491|TRT-80-10</v>
      </c>
      <c r="J383" s="52" t="str">
        <f t="shared" si="89"/>
        <v>KK-04599</v>
      </c>
      <c r="K383" s="52" t="str">
        <f t="shared" si="90"/>
        <v>Bernardus Yogie Dirga Gunawan</v>
      </c>
      <c r="L383" s="52" t="str">
        <f t="shared" si="85"/>
        <v>TRT-80-10</v>
      </c>
      <c r="M383" s="82">
        <v>42491</v>
      </c>
      <c r="N383" s="2">
        <v>50000.000000000007</v>
      </c>
    </row>
    <row r="384" spans="1:14" x14ac:dyDescent="0.35">
      <c r="A384" s="52" t="s">
        <v>6063</v>
      </c>
      <c r="C384" s="30" t="s">
        <v>20980</v>
      </c>
      <c r="D384" s="30" t="str">
        <f>"""TRUST Nav"",""HSPMTB2016"",""21"",""1"",""122063"""</f>
        <v>"TRUST Nav","HSPMTB2016","21","1","122063"</v>
      </c>
      <c r="I384" s="52" t="str">
        <f t="shared" si="86"/>
        <v>KK-04599|42522|TRT-80-10</v>
      </c>
      <c r="J384" s="52" t="str">
        <f t="shared" si="89"/>
        <v>KK-04599</v>
      </c>
      <c r="K384" s="52" t="str">
        <f t="shared" si="90"/>
        <v>Bernardus Yogie Dirga Gunawan</v>
      </c>
      <c r="L384" s="52" t="str">
        <f t="shared" si="85"/>
        <v>TRT-80-10</v>
      </c>
      <c r="M384" s="82">
        <v>42522</v>
      </c>
      <c r="N384" s="2">
        <v>50000.000000000007</v>
      </c>
    </row>
    <row r="385" spans="1:14" x14ac:dyDescent="0.35">
      <c r="A385" s="52" t="s">
        <v>6063</v>
      </c>
      <c r="C385" s="30" t="s">
        <v>20980</v>
      </c>
      <c r="D385" s="30" t="str">
        <f>"""TRUST Nav"",""HSPMTB2016"",""21"",""1"",""129716"""</f>
        <v>"TRUST Nav","HSPMTB2016","21","1","129716"</v>
      </c>
      <c r="I385" s="52" t="str">
        <f t="shared" si="86"/>
        <v>KK-04599|42552|TRT-80-10</v>
      </c>
      <c r="J385" s="52" t="str">
        <f t="shared" si="89"/>
        <v>KK-04599</v>
      </c>
      <c r="K385" s="52" t="str">
        <f t="shared" si="90"/>
        <v>Bernardus Yogie Dirga Gunawan</v>
      </c>
      <c r="L385" s="52" t="str">
        <f t="shared" si="85"/>
        <v>TRT-80-10</v>
      </c>
      <c r="M385" s="82">
        <v>42552</v>
      </c>
      <c r="N385" s="2">
        <v>50000.000000000007</v>
      </c>
    </row>
    <row r="386" spans="1:14" x14ac:dyDescent="0.35">
      <c r="A386" s="52" t="s">
        <v>6063</v>
      </c>
      <c r="C386" s="30" t="s">
        <v>20980</v>
      </c>
      <c r="D386" s="30" t="str">
        <f>"""TRUST Nav"",""HSPMTB2016"",""21"",""1"",""129717"""</f>
        <v>"TRUST Nav","HSPMTB2016","21","1","129717"</v>
      </c>
      <c r="I386" s="52" t="str">
        <f t="shared" si="86"/>
        <v>KK-04599|42583|TRT-80-10</v>
      </c>
      <c r="J386" s="52" t="str">
        <f t="shared" si="89"/>
        <v>KK-04599</v>
      </c>
      <c r="K386" s="52" t="str">
        <f t="shared" si="90"/>
        <v>Bernardus Yogie Dirga Gunawan</v>
      </c>
      <c r="L386" s="52" t="str">
        <f t="shared" si="85"/>
        <v>TRT-80-10</v>
      </c>
      <c r="M386" s="82">
        <v>42583</v>
      </c>
      <c r="N386" s="2">
        <v>50000.000000000007</v>
      </c>
    </row>
    <row r="387" spans="1:14" x14ac:dyDescent="0.35">
      <c r="A387" s="52" t="s">
        <v>6063</v>
      </c>
      <c r="C387" s="30" t="s">
        <v>20980</v>
      </c>
      <c r="D387" s="30" t="str">
        <f>"""TRUST Nav"",""HSPMTB2016"",""21"",""1"",""129718"""</f>
        <v>"TRUST Nav","HSPMTB2016","21","1","129718"</v>
      </c>
      <c r="I387" s="52" t="str">
        <f t="shared" si="86"/>
        <v>KK-04599|42614|TRT-80-10</v>
      </c>
      <c r="J387" s="52" t="str">
        <f t="shared" si="89"/>
        <v>KK-04599</v>
      </c>
      <c r="K387" s="52" t="str">
        <f t="shared" si="90"/>
        <v>Bernardus Yogie Dirga Gunawan</v>
      </c>
      <c r="L387" s="52" t="str">
        <f t="shared" si="85"/>
        <v>TRT-80-10</v>
      </c>
      <c r="M387" s="82">
        <v>42614</v>
      </c>
      <c r="N387" s="2">
        <v>50000.000000000007</v>
      </c>
    </row>
    <row r="388" spans="1:14" x14ac:dyDescent="0.35">
      <c r="A388" s="52" t="s">
        <v>6063</v>
      </c>
      <c r="C388" s="30" t="s">
        <v>20980</v>
      </c>
      <c r="D388" s="30" t="str">
        <f>"""TRUST Nav"",""HSPMTB2016"",""21"",""1"",""3593"""</f>
        <v>"TRUST Nav","HSPMTB2016","21","1","3593"</v>
      </c>
      <c r="I388" s="52" t="str">
        <f t="shared" si="86"/>
        <v>KK-04600|42186|TRT-80-10</v>
      </c>
      <c r="J388" s="52" t="str">
        <f t="shared" ref="J388:J399" si="91">"KK-04600"</f>
        <v>KK-04600</v>
      </c>
      <c r="K388" s="52" t="str">
        <f t="shared" ref="K388:K399" si="92">"Bing Subroto"</f>
        <v>Bing Subroto</v>
      </c>
      <c r="L388" s="52" t="str">
        <f t="shared" si="85"/>
        <v>TRT-80-10</v>
      </c>
      <c r="M388" s="82">
        <v>42186</v>
      </c>
      <c r="N388" s="2">
        <v>20000</v>
      </c>
    </row>
    <row r="389" spans="1:14" x14ac:dyDescent="0.35">
      <c r="A389" s="52" t="s">
        <v>6063</v>
      </c>
      <c r="C389" s="30" t="s">
        <v>20980</v>
      </c>
      <c r="D389" s="30" t="str">
        <f>"""TRUST Nav"",""HSPMTB2016"",""21"",""1"",""3594"""</f>
        <v>"TRUST Nav","HSPMTB2016","21","1","3594"</v>
      </c>
      <c r="I389" s="52" t="str">
        <f t="shared" si="86"/>
        <v>KK-04600|42217|TRT-80-10</v>
      </c>
      <c r="J389" s="52" t="str">
        <f t="shared" si="91"/>
        <v>KK-04600</v>
      </c>
      <c r="K389" s="52" t="str">
        <f t="shared" si="92"/>
        <v>Bing Subroto</v>
      </c>
      <c r="L389" s="52" t="str">
        <f t="shared" si="85"/>
        <v>TRT-80-10</v>
      </c>
      <c r="M389" s="82">
        <v>42217</v>
      </c>
      <c r="N389" s="2">
        <v>20000</v>
      </c>
    </row>
    <row r="390" spans="1:14" x14ac:dyDescent="0.35">
      <c r="A390" s="52" t="s">
        <v>6063</v>
      </c>
      <c r="C390" s="30" t="s">
        <v>20980</v>
      </c>
      <c r="D390" s="30" t="str">
        <f>"""TRUST Nav"",""HSPMTB2016"",""21"",""1"",""3595"""</f>
        <v>"TRUST Nav","HSPMTB2016","21","1","3595"</v>
      </c>
      <c r="I390" s="52" t="str">
        <f t="shared" si="86"/>
        <v>KK-04600|42248|TRT-80-10</v>
      </c>
      <c r="J390" s="52" t="str">
        <f t="shared" si="91"/>
        <v>KK-04600</v>
      </c>
      <c r="K390" s="52" t="str">
        <f t="shared" si="92"/>
        <v>Bing Subroto</v>
      </c>
      <c r="L390" s="52" t="str">
        <f t="shared" si="85"/>
        <v>TRT-80-10</v>
      </c>
      <c r="M390" s="82">
        <v>42248</v>
      </c>
      <c r="N390" s="2">
        <v>20000</v>
      </c>
    </row>
    <row r="391" spans="1:14" x14ac:dyDescent="0.35">
      <c r="A391" s="52" t="s">
        <v>6063</v>
      </c>
      <c r="C391" s="30" t="s">
        <v>20980</v>
      </c>
      <c r="D391" s="30" t="str">
        <f>"""TRUST Nav"",""HSPMTB2016"",""21"",""1"",""3596"""</f>
        <v>"TRUST Nav","HSPMTB2016","21","1","3596"</v>
      </c>
      <c r="I391" s="52" t="str">
        <f t="shared" si="86"/>
        <v>KK-04600|42278|TRT-80-10</v>
      </c>
      <c r="J391" s="52" t="str">
        <f t="shared" si="91"/>
        <v>KK-04600</v>
      </c>
      <c r="K391" s="52" t="str">
        <f t="shared" si="92"/>
        <v>Bing Subroto</v>
      </c>
      <c r="L391" s="52" t="str">
        <f t="shared" si="85"/>
        <v>TRT-80-10</v>
      </c>
      <c r="M391" s="82">
        <v>42278</v>
      </c>
      <c r="N391" s="2">
        <v>20000</v>
      </c>
    </row>
    <row r="392" spans="1:14" x14ac:dyDescent="0.35">
      <c r="A392" s="52" t="s">
        <v>6063</v>
      </c>
      <c r="C392" s="30" t="s">
        <v>20980</v>
      </c>
      <c r="D392" s="30" t="str">
        <f>"""TRUST Nav"",""HSPMTB2016"",""21"",""1"",""3597"""</f>
        <v>"TRUST Nav","HSPMTB2016","21","1","3597"</v>
      </c>
      <c r="I392" s="52" t="str">
        <f t="shared" si="86"/>
        <v>KK-04600|42309|TRT-80-10</v>
      </c>
      <c r="J392" s="52" t="str">
        <f t="shared" si="91"/>
        <v>KK-04600</v>
      </c>
      <c r="K392" s="52" t="str">
        <f t="shared" si="92"/>
        <v>Bing Subroto</v>
      </c>
      <c r="L392" s="52" t="str">
        <f t="shared" si="85"/>
        <v>TRT-80-10</v>
      </c>
      <c r="M392" s="82">
        <v>42309</v>
      </c>
      <c r="N392" s="2">
        <v>20000</v>
      </c>
    </row>
    <row r="393" spans="1:14" x14ac:dyDescent="0.35">
      <c r="A393" s="52" t="s">
        <v>6063</v>
      </c>
      <c r="C393" s="30" t="s">
        <v>20980</v>
      </c>
      <c r="D393" s="30" t="str">
        <f>"""TRUST Nav"",""HSPMTB2016"",""21"",""1"",""3598"""</f>
        <v>"TRUST Nav","HSPMTB2016","21","1","3598"</v>
      </c>
      <c r="I393" s="52" t="str">
        <f t="shared" si="86"/>
        <v>KK-04600|42339|TRT-80-10</v>
      </c>
      <c r="J393" s="52" t="str">
        <f t="shared" si="91"/>
        <v>KK-04600</v>
      </c>
      <c r="K393" s="52" t="str">
        <f t="shared" si="92"/>
        <v>Bing Subroto</v>
      </c>
      <c r="L393" s="52" t="str">
        <f t="shared" si="85"/>
        <v>TRT-80-10</v>
      </c>
      <c r="M393" s="82">
        <v>42339</v>
      </c>
      <c r="N393" s="2">
        <v>20000</v>
      </c>
    </row>
    <row r="394" spans="1:14" x14ac:dyDescent="0.35">
      <c r="A394" s="52" t="s">
        <v>6063</v>
      </c>
      <c r="C394" s="30" t="s">
        <v>20980</v>
      </c>
      <c r="D394" s="30" t="str">
        <f>"""TRUST Nav"",""HSPMTB2016"",""21"",""1"",""37392"""</f>
        <v>"TRUST Nav","HSPMTB2016","21","1","37392"</v>
      </c>
      <c r="I394" s="52" t="str">
        <f t="shared" si="86"/>
        <v>KK-04600|42368|TRT-80-10</v>
      </c>
      <c r="J394" s="52" t="str">
        <f t="shared" si="91"/>
        <v>KK-04600</v>
      </c>
      <c r="K394" s="52" t="str">
        <f t="shared" si="92"/>
        <v>Bing Subroto</v>
      </c>
      <c r="L394" s="52" t="str">
        <f t="shared" ref="L394:L457" si="93">"TRT-80-10"</f>
        <v>TRT-80-10</v>
      </c>
      <c r="M394" s="82">
        <v>42368</v>
      </c>
      <c r="N394" s="2">
        <v>20000</v>
      </c>
    </row>
    <row r="395" spans="1:14" x14ac:dyDescent="0.35">
      <c r="A395" s="52" t="s">
        <v>6063</v>
      </c>
      <c r="C395" s="30" t="s">
        <v>20980</v>
      </c>
      <c r="D395" s="30" t="str">
        <f>"""TRUST Nav"",""HSPMTB2016"",""21"",""1"",""37393"""</f>
        <v>"TRUST Nav","HSPMTB2016","21","1","37393"</v>
      </c>
      <c r="I395" s="52" t="str">
        <f t="shared" ref="I395:I458" si="94">CONCATENATE(J395,"|",M395,"|",L395)</f>
        <v>KK-04600|42368|TRT-80-10</v>
      </c>
      <c r="J395" s="52" t="str">
        <f t="shared" si="91"/>
        <v>KK-04600</v>
      </c>
      <c r="K395" s="52" t="str">
        <f t="shared" si="92"/>
        <v>Bing Subroto</v>
      </c>
      <c r="L395" s="52" t="str">
        <f t="shared" si="93"/>
        <v>TRT-80-10</v>
      </c>
      <c r="M395" s="82">
        <v>42368</v>
      </c>
      <c r="N395" s="2">
        <v>20000</v>
      </c>
    </row>
    <row r="396" spans="1:14" x14ac:dyDescent="0.35">
      <c r="A396" s="52" t="s">
        <v>6063</v>
      </c>
      <c r="C396" s="30" t="s">
        <v>20980</v>
      </c>
      <c r="D396" s="30" t="str">
        <f>"""TRUST Nav"",""HSPMTB2016"",""21"",""1"",""37394"""</f>
        <v>"TRUST Nav","HSPMTB2016","21","1","37394"</v>
      </c>
      <c r="I396" s="52" t="str">
        <f t="shared" si="94"/>
        <v>KK-04600|42368|TRT-80-10</v>
      </c>
      <c r="J396" s="52" t="str">
        <f t="shared" si="91"/>
        <v>KK-04600</v>
      </c>
      <c r="K396" s="52" t="str">
        <f t="shared" si="92"/>
        <v>Bing Subroto</v>
      </c>
      <c r="L396" s="52" t="str">
        <f t="shared" si="93"/>
        <v>TRT-80-10</v>
      </c>
      <c r="M396" s="82">
        <v>42368</v>
      </c>
      <c r="N396" s="2">
        <v>20000</v>
      </c>
    </row>
    <row r="397" spans="1:14" x14ac:dyDescent="0.35">
      <c r="A397" s="52" t="s">
        <v>6063</v>
      </c>
      <c r="C397" s="30" t="s">
        <v>20980</v>
      </c>
      <c r="D397" s="30" t="str">
        <f>"""TRUST Nav"",""HSPMTB2016"",""21"",""1"",""37395"""</f>
        <v>"TRUST Nav","HSPMTB2016","21","1","37395"</v>
      </c>
      <c r="I397" s="52" t="str">
        <f t="shared" si="94"/>
        <v>KK-04600|42368|TRT-80-10</v>
      </c>
      <c r="J397" s="52" t="str">
        <f t="shared" si="91"/>
        <v>KK-04600</v>
      </c>
      <c r="K397" s="52" t="str">
        <f t="shared" si="92"/>
        <v>Bing Subroto</v>
      </c>
      <c r="L397" s="52" t="str">
        <f t="shared" si="93"/>
        <v>TRT-80-10</v>
      </c>
      <c r="M397" s="82">
        <v>42368</v>
      </c>
      <c r="N397" s="2">
        <v>20000</v>
      </c>
    </row>
    <row r="398" spans="1:14" x14ac:dyDescent="0.35">
      <c r="A398" s="52" t="s">
        <v>6063</v>
      </c>
      <c r="C398" s="30" t="s">
        <v>20980</v>
      </c>
      <c r="D398" s="30" t="str">
        <f>"""TRUST Nav"",""HSPMTB2016"",""21"",""1"",""37396"""</f>
        <v>"TRUST Nav","HSPMTB2016","21","1","37396"</v>
      </c>
      <c r="I398" s="52" t="str">
        <f t="shared" si="94"/>
        <v>KK-04600|42368|TRT-80-10</v>
      </c>
      <c r="J398" s="52" t="str">
        <f t="shared" si="91"/>
        <v>KK-04600</v>
      </c>
      <c r="K398" s="52" t="str">
        <f t="shared" si="92"/>
        <v>Bing Subroto</v>
      </c>
      <c r="L398" s="52" t="str">
        <f t="shared" si="93"/>
        <v>TRT-80-10</v>
      </c>
      <c r="M398" s="82">
        <v>42368</v>
      </c>
      <c r="N398" s="2">
        <v>20000</v>
      </c>
    </row>
    <row r="399" spans="1:14" x14ac:dyDescent="0.35">
      <c r="A399" s="52" t="s">
        <v>6063</v>
      </c>
      <c r="C399" s="30" t="s">
        <v>20980</v>
      </c>
      <c r="D399" s="30" t="str">
        <f>"""TRUST Nav"",""HSPMTB2016"",""21"",""1"",""37397"""</f>
        <v>"TRUST Nav","HSPMTB2016","21","1","37397"</v>
      </c>
      <c r="I399" s="52" t="str">
        <f t="shared" si="94"/>
        <v>KK-04600|42368|TRT-80-10</v>
      </c>
      <c r="J399" s="52" t="str">
        <f t="shared" si="91"/>
        <v>KK-04600</v>
      </c>
      <c r="K399" s="52" t="str">
        <f t="shared" si="92"/>
        <v>Bing Subroto</v>
      </c>
      <c r="L399" s="52" t="str">
        <f t="shared" si="93"/>
        <v>TRT-80-10</v>
      </c>
      <c r="M399" s="82">
        <v>42368</v>
      </c>
      <c r="N399" s="2">
        <v>20000</v>
      </c>
    </row>
    <row r="400" spans="1:14" x14ac:dyDescent="0.35">
      <c r="A400" s="52" t="s">
        <v>6063</v>
      </c>
      <c r="C400" s="30" t="s">
        <v>20980</v>
      </c>
      <c r="D400" s="30" t="str">
        <f>"""TRUST Nav"",""HSPMTB2016"",""21"",""1"",""3599"""</f>
        <v>"TRUST Nav","HSPMTB2016","21","1","3599"</v>
      </c>
      <c r="I400" s="52" t="str">
        <f t="shared" si="94"/>
        <v>KK-04601|42186|TRT-80-10</v>
      </c>
      <c r="J400" s="52" t="str">
        <f t="shared" ref="J400:J418" si="95">"KK-04601"</f>
        <v>KK-04601</v>
      </c>
      <c r="K400" s="52" t="str">
        <f t="shared" ref="K400:K418" si="96">"Boen Yoen Tet (Teddy)"</f>
        <v>Boen Yoen Tet (Teddy)</v>
      </c>
      <c r="L400" s="52" t="str">
        <f t="shared" si="93"/>
        <v>TRT-80-10</v>
      </c>
      <c r="M400" s="82">
        <v>42186</v>
      </c>
      <c r="N400" s="2">
        <v>20000</v>
      </c>
    </row>
    <row r="401" spans="1:14" x14ac:dyDescent="0.35">
      <c r="A401" s="52" t="s">
        <v>6063</v>
      </c>
      <c r="C401" s="30" t="s">
        <v>20980</v>
      </c>
      <c r="D401" s="30" t="str">
        <f>"""TRUST Nav"",""HSPMTB2016"",""21"",""1"",""3600"""</f>
        <v>"TRUST Nav","HSPMTB2016","21","1","3600"</v>
      </c>
      <c r="I401" s="52" t="str">
        <f t="shared" si="94"/>
        <v>KK-04601|42217|TRT-80-10</v>
      </c>
      <c r="J401" s="52" t="str">
        <f t="shared" si="95"/>
        <v>KK-04601</v>
      </c>
      <c r="K401" s="52" t="str">
        <f t="shared" si="96"/>
        <v>Boen Yoen Tet (Teddy)</v>
      </c>
      <c r="L401" s="52" t="str">
        <f t="shared" si="93"/>
        <v>TRT-80-10</v>
      </c>
      <c r="M401" s="82">
        <v>42217</v>
      </c>
      <c r="N401" s="2">
        <v>20000</v>
      </c>
    </row>
    <row r="402" spans="1:14" x14ac:dyDescent="0.35">
      <c r="A402" s="52" t="s">
        <v>6063</v>
      </c>
      <c r="C402" s="30" t="s">
        <v>20980</v>
      </c>
      <c r="D402" s="30" t="str">
        <f>"""TRUST Nav"",""HSPMTB2016"",""21"",""1"",""3601"""</f>
        <v>"TRUST Nav","HSPMTB2016","21","1","3601"</v>
      </c>
      <c r="I402" s="52" t="str">
        <f t="shared" si="94"/>
        <v>KK-04601|42248|TRT-80-10</v>
      </c>
      <c r="J402" s="52" t="str">
        <f t="shared" si="95"/>
        <v>KK-04601</v>
      </c>
      <c r="K402" s="52" t="str">
        <f t="shared" si="96"/>
        <v>Boen Yoen Tet (Teddy)</v>
      </c>
      <c r="L402" s="52" t="str">
        <f t="shared" si="93"/>
        <v>TRT-80-10</v>
      </c>
      <c r="M402" s="82">
        <v>42248</v>
      </c>
      <c r="N402" s="2">
        <v>20000</v>
      </c>
    </row>
    <row r="403" spans="1:14" x14ac:dyDescent="0.35">
      <c r="A403" s="52" t="s">
        <v>6063</v>
      </c>
      <c r="C403" s="30" t="s">
        <v>20980</v>
      </c>
      <c r="D403" s="30" t="str">
        <f>"""TRUST Nav"",""HSPMTB2016"",""21"",""1"",""3602"""</f>
        <v>"TRUST Nav","HSPMTB2016","21","1","3602"</v>
      </c>
      <c r="I403" s="52" t="str">
        <f t="shared" si="94"/>
        <v>KK-04601|42278|TRT-80-10</v>
      </c>
      <c r="J403" s="52" t="str">
        <f t="shared" si="95"/>
        <v>KK-04601</v>
      </c>
      <c r="K403" s="52" t="str">
        <f t="shared" si="96"/>
        <v>Boen Yoen Tet (Teddy)</v>
      </c>
      <c r="L403" s="52" t="str">
        <f t="shared" si="93"/>
        <v>TRT-80-10</v>
      </c>
      <c r="M403" s="82">
        <v>42278</v>
      </c>
      <c r="N403" s="2">
        <v>20000</v>
      </c>
    </row>
    <row r="404" spans="1:14" x14ac:dyDescent="0.35">
      <c r="A404" s="52" t="s">
        <v>6063</v>
      </c>
      <c r="C404" s="30" t="s">
        <v>20980</v>
      </c>
      <c r="D404" s="30" t="str">
        <f>"""TRUST Nav"",""HSPMTB2016"",""21"",""1"",""3603"""</f>
        <v>"TRUST Nav","HSPMTB2016","21","1","3603"</v>
      </c>
      <c r="I404" s="52" t="str">
        <f t="shared" si="94"/>
        <v>KK-04601|42309|TRT-80-10</v>
      </c>
      <c r="J404" s="52" t="str">
        <f t="shared" si="95"/>
        <v>KK-04601</v>
      </c>
      <c r="K404" s="52" t="str">
        <f t="shared" si="96"/>
        <v>Boen Yoen Tet (Teddy)</v>
      </c>
      <c r="L404" s="52" t="str">
        <f t="shared" si="93"/>
        <v>TRT-80-10</v>
      </c>
      <c r="M404" s="82">
        <v>42309</v>
      </c>
      <c r="N404" s="2">
        <v>20000</v>
      </c>
    </row>
    <row r="405" spans="1:14" x14ac:dyDescent="0.35">
      <c r="A405" s="52" t="s">
        <v>6063</v>
      </c>
      <c r="C405" s="30" t="s">
        <v>20980</v>
      </c>
      <c r="D405" s="30" t="str">
        <f>"""TRUST Nav"",""HSPMTB2016"",""21"",""1"",""3604"""</f>
        <v>"TRUST Nav","HSPMTB2016","21","1","3604"</v>
      </c>
      <c r="I405" s="52" t="str">
        <f t="shared" si="94"/>
        <v>KK-04601|42339|TRT-80-10</v>
      </c>
      <c r="J405" s="52" t="str">
        <f t="shared" si="95"/>
        <v>KK-04601</v>
      </c>
      <c r="K405" s="52" t="str">
        <f t="shared" si="96"/>
        <v>Boen Yoen Tet (Teddy)</v>
      </c>
      <c r="L405" s="52" t="str">
        <f t="shared" si="93"/>
        <v>TRT-80-10</v>
      </c>
      <c r="M405" s="82">
        <v>42339</v>
      </c>
      <c r="N405" s="2">
        <v>20000</v>
      </c>
    </row>
    <row r="406" spans="1:14" x14ac:dyDescent="0.35">
      <c r="A406" s="52" t="s">
        <v>6063</v>
      </c>
      <c r="C406" s="30" t="s">
        <v>20980</v>
      </c>
      <c r="D406" s="30" t="str">
        <f>"""TRUST Nav"",""HSPMTB2016"",""21"",""1"",""37398"""</f>
        <v>"TRUST Nav","HSPMTB2016","21","1","37398"</v>
      </c>
      <c r="I406" s="52" t="str">
        <f t="shared" si="94"/>
        <v>KK-04601|42368|TRT-80-10</v>
      </c>
      <c r="J406" s="52" t="str">
        <f t="shared" si="95"/>
        <v>KK-04601</v>
      </c>
      <c r="K406" s="52" t="str">
        <f t="shared" si="96"/>
        <v>Boen Yoen Tet (Teddy)</v>
      </c>
      <c r="L406" s="52" t="str">
        <f t="shared" si="93"/>
        <v>TRT-80-10</v>
      </c>
      <c r="M406" s="82">
        <v>42368</v>
      </c>
      <c r="N406" s="2">
        <v>20000</v>
      </c>
    </row>
    <row r="407" spans="1:14" x14ac:dyDescent="0.35">
      <c r="A407" s="52" t="s">
        <v>6063</v>
      </c>
      <c r="C407" s="30" t="s">
        <v>20980</v>
      </c>
      <c r="D407" s="30" t="str">
        <f>"""TRUST Nav"",""HSPMTB2016"",""21"",""1"",""37399"""</f>
        <v>"TRUST Nav","HSPMTB2016","21","1","37399"</v>
      </c>
      <c r="I407" s="52" t="str">
        <f t="shared" si="94"/>
        <v>KK-04601|42368|TRT-80-10</v>
      </c>
      <c r="J407" s="52" t="str">
        <f t="shared" si="95"/>
        <v>KK-04601</v>
      </c>
      <c r="K407" s="52" t="str">
        <f t="shared" si="96"/>
        <v>Boen Yoen Tet (Teddy)</v>
      </c>
      <c r="L407" s="52" t="str">
        <f t="shared" si="93"/>
        <v>TRT-80-10</v>
      </c>
      <c r="M407" s="82">
        <v>42368</v>
      </c>
      <c r="N407" s="2">
        <v>20000</v>
      </c>
    </row>
    <row r="408" spans="1:14" x14ac:dyDescent="0.35">
      <c r="A408" s="52" t="s">
        <v>6063</v>
      </c>
      <c r="C408" s="30" t="s">
        <v>20980</v>
      </c>
      <c r="D408" s="30" t="str">
        <f>"""TRUST Nav"",""HSPMTB2016"",""21"",""1"",""37400"""</f>
        <v>"TRUST Nav","HSPMTB2016","21","1","37400"</v>
      </c>
      <c r="I408" s="52" t="str">
        <f t="shared" si="94"/>
        <v>KK-04601|42368|TRT-80-10</v>
      </c>
      <c r="J408" s="52" t="str">
        <f t="shared" si="95"/>
        <v>KK-04601</v>
      </c>
      <c r="K408" s="52" t="str">
        <f t="shared" si="96"/>
        <v>Boen Yoen Tet (Teddy)</v>
      </c>
      <c r="L408" s="52" t="str">
        <f t="shared" si="93"/>
        <v>TRT-80-10</v>
      </c>
      <c r="M408" s="82">
        <v>42368</v>
      </c>
      <c r="N408" s="2">
        <v>20000</v>
      </c>
    </row>
    <row r="409" spans="1:14" x14ac:dyDescent="0.35">
      <c r="A409" s="52" t="s">
        <v>6063</v>
      </c>
      <c r="C409" s="30" t="s">
        <v>20980</v>
      </c>
      <c r="D409" s="30" t="str">
        <f>"""TRUST Nav"",""HSPMTB2016"",""21"",""1"",""37401"""</f>
        <v>"TRUST Nav","HSPMTB2016","21","1","37401"</v>
      </c>
      <c r="I409" s="52" t="str">
        <f t="shared" si="94"/>
        <v>KK-04601|42368|TRT-80-10</v>
      </c>
      <c r="J409" s="52" t="str">
        <f t="shared" si="95"/>
        <v>KK-04601</v>
      </c>
      <c r="K409" s="52" t="str">
        <f t="shared" si="96"/>
        <v>Boen Yoen Tet (Teddy)</v>
      </c>
      <c r="L409" s="52" t="str">
        <f t="shared" si="93"/>
        <v>TRT-80-10</v>
      </c>
      <c r="M409" s="82">
        <v>42368</v>
      </c>
      <c r="N409" s="2">
        <v>20000</v>
      </c>
    </row>
    <row r="410" spans="1:14" x14ac:dyDescent="0.35">
      <c r="A410" s="52" t="s">
        <v>6063</v>
      </c>
      <c r="C410" s="30" t="s">
        <v>20980</v>
      </c>
      <c r="D410" s="30" t="str">
        <f>"""TRUST Nav"",""HSPMTB2016"",""21"",""1"",""37402"""</f>
        <v>"TRUST Nav","HSPMTB2016","21","1","37402"</v>
      </c>
      <c r="I410" s="52" t="str">
        <f t="shared" si="94"/>
        <v>KK-04601|42368|TRT-80-10</v>
      </c>
      <c r="J410" s="52" t="str">
        <f t="shared" si="95"/>
        <v>KK-04601</v>
      </c>
      <c r="K410" s="52" t="str">
        <f t="shared" si="96"/>
        <v>Boen Yoen Tet (Teddy)</v>
      </c>
      <c r="L410" s="52" t="str">
        <f t="shared" si="93"/>
        <v>TRT-80-10</v>
      </c>
      <c r="M410" s="82">
        <v>42368</v>
      </c>
      <c r="N410" s="2">
        <v>20000</v>
      </c>
    </row>
    <row r="411" spans="1:14" x14ac:dyDescent="0.35">
      <c r="A411" s="52" t="s">
        <v>6063</v>
      </c>
      <c r="C411" s="30" t="s">
        <v>20980</v>
      </c>
      <c r="D411" s="30" t="str">
        <f>"""TRUST Nav"",""HSPMTB2016"",""21"",""1"",""37403"""</f>
        <v>"TRUST Nav","HSPMTB2016","21","1","37403"</v>
      </c>
      <c r="I411" s="52" t="str">
        <f t="shared" si="94"/>
        <v>KK-04601|42368|TRT-80-10</v>
      </c>
      <c r="J411" s="52" t="str">
        <f t="shared" si="95"/>
        <v>KK-04601</v>
      </c>
      <c r="K411" s="52" t="str">
        <f t="shared" si="96"/>
        <v>Boen Yoen Tet (Teddy)</v>
      </c>
      <c r="L411" s="52" t="str">
        <f t="shared" si="93"/>
        <v>TRT-80-10</v>
      </c>
      <c r="M411" s="82">
        <v>42368</v>
      </c>
      <c r="N411" s="2">
        <v>20000</v>
      </c>
    </row>
    <row r="412" spans="1:14" x14ac:dyDescent="0.35">
      <c r="A412" s="52" t="s">
        <v>6063</v>
      </c>
      <c r="C412" s="30" t="s">
        <v>20980</v>
      </c>
      <c r="D412" s="30" t="str">
        <f>"""TRUST Nav"",""HSPMTB2016"",""21"",""1"",""102566"""</f>
        <v>"TRUST Nav","HSPMTB2016","21","1","102566"</v>
      </c>
      <c r="I412" s="52" t="str">
        <f t="shared" si="94"/>
        <v>KK-04601|42370|TRT-80-10</v>
      </c>
      <c r="J412" s="52" t="str">
        <f t="shared" si="95"/>
        <v>KK-04601</v>
      </c>
      <c r="K412" s="52" t="str">
        <f t="shared" si="96"/>
        <v>Boen Yoen Tet (Teddy)</v>
      </c>
      <c r="L412" s="52" t="str">
        <f t="shared" si="93"/>
        <v>TRT-80-10</v>
      </c>
      <c r="M412" s="82">
        <v>42370</v>
      </c>
      <c r="N412" s="2">
        <v>20000</v>
      </c>
    </row>
    <row r="413" spans="1:14" x14ac:dyDescent="0.35">
      <c r="A413" s="52" t="s">
        <v>6063</v>
      </c>
      <c r="C413" s="30" t="s">
        <v>20980</v>
      </c>
      <c r="D413" s="30" t="str">
        <f>"""TRUST Nav"",""HSPMTB2016"",""21"",""1"",""102567"""</f>
        <v>"TRUST Nav","HSPMTB2016","21","1","102567"</v>
      </c>
      <c r="I413" s="52" t="str">
        <f t="shared" si="94"/>
        <v>KK-04601|42401|TRT-80-10</v>
      </c>
      <c r="J413" s="52" t="str">
        <f t="shared" si="95"/>
        <v>KK-04601</v>
      </c>
      <c r="K413" s="52" t="str">
        <f t="shared" si="96"/>
        <v>Boen Yoen Tet (Teddy)</v>
      </c>
      <c r="L413" s="52" t="str">
        <f t="shared" si="93"/>
        <v>TRT-80-10</v>
      </c>
      <c r="M413" s="82">
        <v>42401</v>
      </c>
      <c r="N413" s="2">
        <v>20000</v>
      </c>
    </row>
    <row r="414" spans="1:14" x14ac:dyDescent="0.35">
      <c r="A414" s="52" t="s">
        <v>6063</v>
      </c>
      <c r="C414" s="30" t="s">
        <v>20980</v>
      </c>
      <c r="D414" s="30" t="str">
        <f>"""TRUST Nav"",""HSPMTB2016"",""21"",""1"",""102568"""</f>
        <v>"TRUST Nav","HSPMTB2016","21","1","102568"</v>
      </c>
      <c r="I414" s="52" t="str">
        <f t="shared" si="94"/>
        <v>KK-04601|42430|TRT-80-10</v>
      </c>
      <c r="J414" s="52" t="str">
        <f t="shared" si="95"/>
        <v>KK-04601</v>
      </c>
      <c r="K414" s="52" t="str">
        <f t="shared" si="96"/>
        <v>Boen Yoen Tet (Teddy)</v>
      </c>
      <c r="L414" s="52" t="str">
        <f t="shared" si="93"/>
        <v>TRT-80-10</v>
      </c>
      <c r="M414" s="82">
        <v>42430</v>
      </c>
      <c r="N414" s="2">
        <v>20000</v>
      </c>
    </row>
    <row r="415" spans="1:14" x14ac:dyDescent="0.35">
      <c r="A415" s="52" t="s">
        <v>6063</v>
      </c>
      <c r="C415" s="30" t="s">
        <v>20980</v>
      </c>
      <c r="D415" s="30" t="str">
        <f>"""TRUST Nav"",""HSPMTB2016"",""21"",""1"",""102569"""</f>
        <v>"TRUST Nav","HSPMTB2016","21","1","102569"</v>
      </c>
      <c r="I415" s="52" t="str">
        <f t="shared" si="94"/>
        <v>KK-04601|42461|TRT-80-10</v>
      </c>
      <c r="J415" s="52" t="str">
        <f t="shared" si="95"/>
        <v>KK-04601</v>
      </c>
      <c r="K415" s="52" t="str">
        <f t="shared" si="96"/>
        <v>Boen Yoen Tet (Teddy)</v>
      </c>
      <c r="L415" s="52" t="str">
        <f t="shared" si="93"/>
        <v>TRT-80-10</v>
      </c>
      <c r="M415" s="82">
        <v>42461</v>
      </c>
      <c r="N415" s="2">
        <v>20000</v>
      </c>
    </row>
    <row r="416" spans="1:14" x14ac:dyDescent="0.35">
      <c r="A416" s="52" t="s">
        <v>6063</v>
      </c>
      <c r="C416" s="30" t="s">
        <v>20980</v>
      </c>
      <c r="D416" s="30" t="str">
        <f>"""TRUST Nav"",""HSPMTB2016"",""21"",""1"",""129719"""</f>
        <v>"TRUST Nav","HSPMTB2016","21","1","129719"</v>
      </c>
      <c r="I416" s="52" t="str">
        <f t="shared" si="94"/>
        <v>KK-04601|42491|TRT-80-10</v>
      </c>
      <c r="J416" s="52" t="str">
        <f t="shared" si="95"/>
        <v>KK-04601</v>
      </c>
      <c r="K416" s="52" t="str">
        <f t="shared" si="96"/>
        <v>Boen Yoen Tet (Teddy)</v>
      </c>
      <c r="L416" s="52" t="str">
        <f t="shared" si="93"/>
        <v>TRT-80-10</v>
      </c>
      <c r="M416" s="82">
        <v>42491</v>
      </c>
      <c r="N416" s="2">
        <v>20000</v>
      </c>
    </row>
    <row r="417" spans="1:14" x14ac:dyDescent="0.35">
      <c r="A417" s="52" t="s">
        <v>6063</v>
      </c>
      <c r="C417" s="30" t="s">
        <v>20980</v>
      </c>
      <c r="D417" s="30" t="str">
        <f>"""TRUST Nav"",""HSPMTB2016"",""21"",""1"",""129720"""</f>
        <v>"TRUST Nav","HSPMTB2016","21","1","129720"</v>
      </c>
      <c r="I417" s="52" t="str">
        <f t="shared" si="94"/>
        <v>KK-04601|42522|TRT-80-10</v>
      </c>
      <c r="J417" s="52" t="str">
        <f t="shared" si="95"/>
        <v>KK-04601</v>
      </c>
      <c r="K417" s="52" t="str">
        <f t="shared" si="96"/>
        <v>Boen Yoen Tet (Teddy)</v>
      </c>
      <c r="L417" s="52" t="str">
        <f t="shared" si="93"/>
        <v>TRT-80-10</v>
      </c>
      <c r="M417" s="82">
        <v>42522</v>
      </c>
      <c r="N417" s="2">
        <v>20000</v>
      </c>
    </row>
    <row r="418" spans="1:14" x14ac:dyDescent="0.35">
      <c r="A418" s="52" t="s">
        <v>6063</v>
      </c>
      <c r="C418" s="30" t="s">
        <v>20980</v>
      </c>
      <c r="D418" s="30" t="str">
        <f>"""TRUST Nav"",""HSPMTB2016"",""21"",""1"",""129721"""</f>
        <v>"TRUST Nav","HSPMTB2016","21","1","129721"</v>
      </c>
      <c r="I418" s="52" t="str">
        <f t="shared" si="94"/>
        <v>KK-04601|42552|TRT-80-10</v>
      </c>
      <c r="J418" s="52" t="str">
        <f t="shared" si="95"/>
        <v>KK-04601</v>
      </c>
      <c r="K418" s="52" t="str">
        <f t="shared" si="96"/>
        <v>Boen Yoen Tet (Teddy)</v>
      </c>
      <c r="L418" s="52" t="str">
        <f t="shared" si="93"/>
        <v>TRT-80-10</v>
      </c>
      <c r="M418" s="82">
        <v>42552</v>
      </c>
      <c r="N418" s="2">
        <v>20000</v>
      </c>
    </row>
    <row r="419" spans="1:14" x14ac:dyDescent="0.35">
      <c r="A419" s="52" t="s">
        <v>6063</v>
      </c>
      <c r="C419" s="30" t="s">
        <v>20980</v>
      </c>
      <c r="D419" s="30" t="str">
        <f>"""TRUST Nav"",""HSPMTB2016"",""21"",""1"",""3605"""</f>
        <v>"TRUST Nav","HSPMTB2016","21","1","3605"</v>
      </c>
      <c r="I419" s="52" t="str">
        <f t="shared" si="94"/>
        <v>KK-04602|42186|TRT-80-10</v>
      </c>
      <c r="J419" s="52" t="str">
        <f t="shared" ref="J419:J442" si="97">"KK-04602"</f>
        <v>KK-04602</v>
      </c>
      <c r="K419" s="52" t="str">
        <f t="shared" ref="K419:K442" si="98">"Budiarto"</f>
        <v>Budiarto</v>
      </c>
      <c r="L419" s="52" t="str">
        <f t="shared" si="93"/>
        <v>TRT-80-10</v>
      </c>
      <c r="M419" s="82">
        <v>42186</v>
      </c>
      <c r="N419" s="2">
        <v>10000</v>
      </c>
    </row>
    <row r="420" spans="1:14" x14ac:dyDescent="0.35">
      <c r="A420" s="52" t="s">
        <v>6063</v>
      </c>
      <c r="C420" s="30" t="s">
        <v>20980</v>
      </c>
      <c r="D420" s="30" t="str">
        <f>"""TRUST Nav"",""HSPMTB2016"",""21"",""1"",""3606"""</f>
        <v>"TRUST Nav","HSPMTB2016","21","1","3606"</v>
      </c>
      <c r="I420" s="52" t="str">
        <f t="shared" si="94"/>
        <v>KK-04602|42217|TRT-80-10</v>
      </c>
      <c r="J420" s="52" t="str">
        <f t="shared" si="97"/>
        <v>KK-04602</v>
      </c>
      <c r="K420" s="52" t="str">
        <f t="shared" si="98"/>
        <v>Budiarto</v>
      </c>
      <c r="L420" s="52" t="str">
        <f t="shared" si="93"/>
        <v>TRT-80-10</v>
      </c>
      <c r="M420" s="82">
        <v>42217</v>
      </c>
      <c r="N420" s="2">
        <v>6000</v>
      </c>
    </row>
    <row r="421" spans="1:14" x14ac:dyDescent="0.35">
      <c r="A421" s="52" t="s">
        <v>6063</v>
      </c>
      <c r="C421" s="30" t="s">
        <v>20980</v>
      </c>
      <c r="D421" s="30" t="str">
        <f>"""TRUST Nav"",""HSPMTB2016"",""21"",""1"",""3607"""</f>
        <v>"TRUST Nav","HSPMTB2016","21","1","3607"</v>
      </c>
      <c r="I421" s="52" t="str">
        <f t="shared" si="94"/>
        <v>KK-04602|42248|TRT-80-10</v>
      </c>
      <c r="J421" s="52" t="str">
        <f t="shared" si="97"/>
        <v>KK-04602</v>
      </c>
      <c r="K421" s="52" t="str">
        <f t="shared" si="98"/>
        <v>Budiarto</v>
      </c>
      <c r="L421" s="52" t="str">
        <f t="shared" si="93"/>
        <v>TRT-80-10</v>
      </c>
      <c r="M421" s="82">
        <v>42248</v>
      </c>
      <c r="N421" s="2">
        <v>6000</v>
      </c>
    </row>
    <row r="422" spans="1:14" x14ac:dyDescent="0.35">
      <c r="A422" s="52" t="s">
        <v>6063</v>
      </c>
      <c r="C422" s="30" t="s">
        <v>20980</v>
      </c>
      <c r="D422" s="30" t="str">
        <f>"""TRUST Nav"",""HSPMTB2016"",""21"",""1"",""3608"""</f>
        <v>"TRUST Nav","HSPMTB2016","21","1","3608"</v>
      </c>
      <c r="I422" s="52" t="str">
        <f t="shared" si="94"/>
        <v>KK-04602|42278|TRT-80-10</v>
      </c>
      <c r="J422" s="52" t="str">
        <f t="shared" si="97"/>
        <v>KK-04602</v>
      </c>
      <c r="K422" s="52" t="str">
        <f t="shared" si="98"/>
        <v>Budiarto</v>
      </c>
      <c r="L422" s="52" t="str">
        <f t="shared" si="93"/>
        <v>TRT-80-10</v>
      </c>
      <c r="M422" s="82">
        <v>42278</v>
      </c>
      <c r="N422" s="2">
        <v>6000</v>
      </c>
    </row>
    <row r="423" spans="1:14" x14ac:dyDescent="0.35">
      <c r="A423" s="52" t="s">
        <v>6063</v>
      </c>
      <c r="C423" s="30" t="s">
        <v>20980</v>
      </c>
      <c r="D423" s="30" t="str">
        <f>"""TRUST Nav"",""HSPMTB2016"",""21"",""1"",""3609"""</f>
        <v>"TRUST Nav","HSPMTB2016","21","1","3609"</v>
      </c>
      <c r="I423" s="52" t="str">
        <f t="shared" si="94"/>
        <v>KK-04602|42309|TRT-80-10</v>
      </c>
      <c r="J423" s="52" t="str">
        <f t="shared" si="97"/>
        <v>KK-04602</v>
      </c>
      <c r="K423" s="52" t="str">
        <f t="shared" si="98"/>
        <v>Budiarto</v>
      </c>
      <c r="L423" s="52" t="str">
        <f t="shared" si="93"/>
        <v>TRT-80-10</v>
      </c>
      <c r="M423" s="82">
        <v>42309</v>
      </c>
      <c r="N423" s="2">
        <v>6000</v>
      </c>
    </row>
    <row r="424" spans="1:14" x14ac:dyDescent="0.35">
      <c r="A424" s="52" t="s">
        <v>6063</v>
      </c>
      <c r="C424" s="30" t="s">
        <v>20980</v>
      </c>
      <c r="D424" s="30" t="str">
        <f>"""TRUST Nav"",""HSPMTB2016"",""21"",""1"",""3610"""</f>
        <v>"TRUST Nav","HSPMTB2016","21","1","3610"</v>
      </c>
      <c r="I424" s="52" t="str">
        <f t="shared" si="94"/>
        <v>KK-04602|42339|TRT-80-10</v>
      </c>
      <c r="J424" s="52" t="str">
        <f t="shared" si="97"/>
        <v>KK-04602</v>
      </c>
      <c r="K424" s="52" t="str">
        <f t="shared" si="98"/>
        <v>Budiarto</v>
      </c>
      <c r="L424" s="52" t="str">
        <f t="shared" si="93"/>
        <v>TRT-80-10</v>
      </c>
      <c r="M424" s="82">
        <v>42339</v>
      </c>
      <c r="N424" s="2">
        <v>6000</v>
      </c>
    </row>
    <row r="425" spans="1:14" x14ac:dyDescent="0.35">
      <c r="A425" s="52" t="s">
        <v>6063</v>
      </c>
      <c r="C425" s="30" t="s">
        <v>20980</v>
      </c>
      <c r="D425" s="30" t="str">
        <f>"""TRUST Nav"",""HSPMTB2016"",""21"",""1"",""37404"""</f>
        <v>"TRUST Nav","HSPMTB2016","21","1","37404"</v>
      </c>
      <c r="I425" s="52" t="str">
        <f t="shared" si="94"/>
        <v>KK-04602|42368|TRT-80-10</v>
      </c>
      <c r="J425" s="52" t="str">
        <f t="shared" si="97"/>
        <v>KK-04602</v>
      </c>
      <c r="K425" s="52" t="str">
        <f t="shared" si="98"/>
        <v>Budiarto</v>
      </c>
      <c r="L425" s="52" t="str">
        <f t="shared" si="93"/>
        <v>TRT-80-10</v>
      </c>
      <c r="M425" s="82">
        <v>42368</v>
      </c>
      <c r="N425" s="2">
        <v>10000</v>
      </c>
    </row>
    <row r="426" spans="1:14" x14ac:dyDescent="0.35">
      <c r="A426" s="52" t="s">
        <v>6063</v>
      </c>
      <c r="C426" s="30" t="s">
        <v>20980</v>
      </c>
      <c r="D426" s="30" t="str">
        <f>"""TRUST Nav"",""HSPMTB2016"",""21"",""1"",""37405"""</f>
        <v>"TRUST Nav","HSPMTB2016","21","1","37405"</v>
      </c>
      <c r="I426" s="52" t="str">
        <f t="shared" si="94"/>
        <v>KK-04602|42368|TRT-80-10</v>
      </c>
      <c r="J426" s="52" t="str">
        <f t="shared" si="97"/>
        <v>KK-04602</v>
      </c>
      <c r="K426" s="52" t="str">
        <f t="shared" si="98"/>
        <v>Budiarto</v>
      </c>
      <c r="L426" s="52" t="str">
        <f t="shared" si="93"/>
        <v>TRT-80-10</v>
      </c>
      <c r="M426" s="82">
        <v>42368</v>
      </c>
      <c r="N426" s="2">
        <v>6000</v>
      </c>
    </row>
    <row r="427" spans="1:14" x14ac:dyDescent="0.35">
      <c r="A427" s="52" t="s">
        <v>6063</v>
      </c>
      <c r="C427" s="30" t="s">
        <v>20980</v>
      </c>
      <c r="D427" s="30" t="str">
        <f>"""TRUST Nav"",""HSPMTB2016"",""21"",""1"",""37406"""</f>
        <v>"TRUST Nav","HSPMTB2016","21","1","37406"</v>
      </c>
      <c r="I427" s="52" t="str">
        <f t="shared" si="94"/>
        <v>KK-04602|42368|TRT-80-10</v>
      </c>
      <c r="J427" s="52" t="str">
        <f t="shared" si="97"/>
        <v>KK-04602</v>
      </c>
      <c r="K427" s="52" t="str">
        <f t="shared" si="98"/>
        <v>Budiarto</v>
      </c>
      <c r="L427" s="52" t="str">
        <f t="shared" si="93"/>
        <v>TRT-80-10</v>
      </c>
      <c r="M427" s="82">
        <v>42368</v>
      </c>
      <c r="N427" s="2">
        <v>6000</v>
      </c>
    </row>
    <row r="428" spans="1:14" x14ac:dyDescent="0.35">
      <c r="A428" s="52" t="s">
        <v>6063</v>
      </c>
      <c r="C428" s="30" t="s">
        <v>20980</v>
      </c>
      <c r="D428" s="30" t="str">
        <f>"""TRUST Nav"",""HSPMTB2016"",""21"",""1"",""37407"""</f>
        <v>"TRUST Nav","HSPMTB2016","21","1","37407"</v>
      </c>
      <c r="I428" s="52" t="str">
        <f t="shared" si="94"/>
        <v>KK-04602|42368|TRT-80-10</v>
      </c>
      <c r="J428" s="52" t="str">
        <f t="shared" si="97"/>
        <v>KK-04602</v>
      </c>
      <c r="K428" s="52" t="str">
        <f t="shared" si="98"/>
        <v>Budiarto</v>
      </c>
      <c r="L428" s="52" t="str">
        <f t="shared" si="93"/>
        <v>TRT-80-10</v>
      </c>
      <c r="M428" s="82">
        <v>42368</v>
      </c>
      <c r="N428" s="2">
        <v>6000</v>
      </c>
    </row>
    <row r="429" spans="1:14" x14ac:dyDescent="0.35">
      <c r="A429" s="52" t="s">
        <v>6063</v>
      </c>
      <c r="C429" s="30" t="s">
        <v>20980</v>
      </c>
      <c r="D429" s="30" t="str">
        <f>"""TRUST Nav"",""HSPMTB2016"",""21"",""1"",""37408"""</f>
        <v>"TRUST Nav","HSPMTB2016","21","1","37408"</v>
      </c>
      <c r="I429" s="52" t="str">
        <f t="shared" si="94"/>
        <v>KK-04602|42368|TRT-80-10</v>
      </c>
      <c r="J429" s="52" t="str">
        <f t="shared" si="97"/>
        <v>KK-04602</v>
      </c>
      <c r="K429" s="52" t="str">
        <f t="shared" si="98"/>
        <v>Budiarto</v>
      </c>
      <c r="L429" s="52" t="str">
        <f t="shared" si="93"/>
        <v>TRT-80-10</v>
      </c>
      <c r="M429" s="82">
        <v>42368</v>
      </c>
      <c r="N429" s="2">
        <v>6000</v>
      </c>
    </row>
    <row r="430" spans="1:14" x14ac:dyDescent="0.35">
      <c r="A430" s="52" t="s">
        <v>6063</v>
      </c>
      <c r="C430" s="30" t="s">
        <v>20980</v>
      </c>
      <c r="D430" s="30" t="str">
        <f>"""TRUST Nav"",""HSPMTB2016"",""21"",""1"",""37409"""</f>
        <v>"TRUST Nav","HSPMTB2016","21","1","37409"</v>
      </c>
      <c r="I430" s="52" t="str">
        <f t="shared" si="94"/>
        <v>KK-04602|42368|TRT-80-10</v>
      </c>
      <c r="J430" s="52" t="str">
        <f t="shared" si="97"/>
        <v>KK-04602</v>
      </c>
      <c r="K430" s="52" t="str">
        <f t="shared" si="98"/>
        <v>Budiarto</v>
      </c>
      <c r="L430" s="52" t="str">
        <f t="shared" si="93"/>
        <v>TRT-80-10</v>
      </c>
      <c r="M430" s="82">
        <v>42368</v>
      </c>
      <c r="N430" s="2">
        <v>6000</v>
      </c>
    </row>
    <row r="431" spans="1:14" x14ac:dyDescent="0.35">
      <c r="A431" s="52" t="s">
        <v>6063</v>
      </c>
      <c r="C431" s="30" t="s">
        <v>20980</v>
      </c>
      <c r="D431" s="30" t="str">
        <f>"""TRUST Nav"",""HSPMTB2016"",""21"",""1"",""116882"""</f>
        <v>"TRUST Nav","HSPMTB2016","21","1","116882"</v>
      </c>
      <c r="I431" s="52" t="str">
        <f t="shared" si="94"/>
        <v>KK-04602|42370|TRT-80-10</v>
      </c>
      <c r="J431" s="52" t="str">
        <f t="shared" si="97"/>
        <v>KK-04602</v>
      </c>
      <c r="K431" s="52" t="str">
        <f t="shared" si="98"/>
        <v>Budiarto</v>
      </c>
      <c r="L431" s="52" t="str">
        <f t="shared" si="93"/>
        <v>TRT-80-10</v>
      </c>
      <c r="M431" s="82">
        <v>42370</v>
      </c>
      <c r="N431" s="2">
        <v>5000</v>
      </c>
    </row>
    <row r="432" spans="1:14" x14ac:dyDescent="0.35">
      <c r="A432" s="52" t="s">
        <v>6063</v>
      </c>
      <c r="C432" s="30" t="s">
        <v>20980</v>
      </c>
      <c r="D432" s="30" t="str">
        <f>"""TRUST Nav"",""HSPMTB2016"",""21"",""1"",""116883"""</f>
        <v>"TRUST Nav","HSPMTB2016","21","1","116883"</v>
      </c>
      <c r="I432" s="52" t="str">
        <f t="shared" si="94"/>
        <v>KK-04602|42401|TRT-80-10</v>
      </c>
      <c r="J432" s="52" t="str">
        <f t="shared" si="97"/>
        <v>KK-04602</v>
      </c>
      <c r="K432" s="52" t="str">
        <f t="shared" si="98"/>
        <v>Budiarto</v>
      </c>
      <c r="L432" s="52" t="str">
        <f t="shared" si="93"/>
        <v>TRT-80-10</v>
      </c>
      <c r="M432" s="82">
        <v>42401</v>
      </c>
      <c r="N432" s="2">
        <v>5000</v>
      </c>
    </row>
    <row r="433" spans="1:14" x14ac:dyDescent="0.35">
      <c r="A433" s="52" t="s">
        <v>6063</v>
      </c>
      <c r="C433" s="30" t="s">
        <v>20980</v>
      </c>
      <c r="D433" s="30" t="str">
        <f>"""TRUST Nav"",""HSPMTB2016"",""21"",""1"",""116884"""</f>
        <v>"TRUST Nav","HSPMTB2016","21","1","116884"</v>
      </c>
      <c r="I433" s="52" t="str">
        <f t="shared" si="94"/>
        <v>KK-04602|42430|TRT-80-10</v>
      </c>
      <c r="J433" s="52" t="str">
        <f t="shared" si="97"/>
        <v>KK-04602</v>
      </c>
      <c r="K433" s="52" t="str">
        <f t="shared" si="98"/>
        <v>Budiarto</v>
      </c>
      <c r="L433" s="52" t="str">
        <f t="shared" si="93"/>
        <v>TRT-80-10</v>
      </c>
      <c r="M433" s="82">
        <v>42430</v>
      </c>
      <c r="N433" s="2">
        <v>5000</v>
      </c>
    </row>
    <row r="434" spans="1:14" x14ac:dyDescent="0.35">
      <c r="A434" s="52" t="s">
        <v>6063</v>
      </c>
      <c r="C434" s="30" t="s">
        <v>20980</v>
      </c>
      <c r="D434" s="30" t="str">
        <f>"""TRUST Nav"",""HSPMTB2016"",""21"",""1"",""116885"""</f>
        <v>"TRUST Nav","HSPMTB2016","21","1","116885"</v>
      </c>
      <c r="I434" s="52" t="str">
        <f t="shared" si="94"/>
        <v>KK-04602|42461|TRT-80-10</v>
      </c>
      <c r="J434" s="52" t="str">
        <f t="shared" si="97"/>
        <v>KK-04602</v>
      </c>
      <c r="K434" s="52" t="str">
        <f t="shared" si="98"/>
        <v>Budiarto</v>
      </c>
      <c r="L434" s="52" t="str">
        <f t="shared" si="93"/>
        <v>TRT-80-10</v>
      </c>
      <c r="M434" s="82">
        <v>42461</v>
      </c>
      <c r="N434" s="2">
        <v>5000</v>
      </c>
    </row>
    <row r="435" spans="1:14" x14ac:dyDescent="0.35">
      <c r="A435" s="52" t="s">
        <v>6063</v>
      </c>
      <c r="C435" s="30" t="s">
        <v>20980</v>
      </c>
      <c r="D435" s="30" t="str">
        <f>"""TRUST Nav"",""HSPMTB2016"",""21"",""1"",""116886"""</f>
        <v>"TRUST Nav","HSPMTB2016","21","1","116886"</v>
      </c>
      <c r="I435" s="52" t="str">
        <f t="shared" si="94"/>
        <v>KK-04602|42491|TRT-80-10</v>
      </c>
      <c r="J435" s="52" t="str">
        <f t="shared" si="97"/>
        <v>KK-04602</v>
      </c>
      <c r="K435" s="52" t="str">
        <f t="shared" si="98"/>
        <v>Budiarto</v>
      </c>
      <c r="L435" s="52" t="str">
        <f t="shared" si="93"/>
        <v>TRT-80-10</v>
      </c>
      <c r="M435" s="82">
        <v>42491</v>
      </c>
      <c r="N435" s="2">
        <v>5000</v>
      </c>
    </row>
    <row r="436" spans="1:14" x14ac:dyDescent="0.35">
      <c r="A436" s="52" t="s">
        <v>6063</v>
      </c>
      <c r="C436" s="30" t="s">
        <v>20980</v>
      </c>
      <c r="D436" s="30" t="str">
        <f>"""TRUST Nav"",""HSPMTB2016"",""21"",""1"",""116887"""</f>
        <v>"TRUST Nav","HSPMTB2016","21","1","116887"</v>
      </c>
      <c r="I436" s="52" t="str">
        <f t="shared" si="94"/>
        <v>KK-04602|42522|TRT-80-10</v>
      </c>
      <c r="J436" s="52" t="str">
        <f t="shared" si="97"/>
        <v>KK-04602</v>
      </c>
      <c r="K436" s="52" t="str">
        <f t="shared" si="98"/>
        <v>Budiarto</v>
      </c>
      <c r="L436" s="52" t="str">
        <f t="shared" si="93"/>
        <v>TRT-80-10</v>
      </c>
      <c r="M436" s="82">
        <v>42522</v>
      </c>
      <c r="N436" s="2">
        <v>5000</v>
      </c>
    </row>
    <row r="437" spans="1:14" x14ac:dyDescent="0.35">
      <c r="A437" s="52" t="s">
        <v>6063</v>
      </c>
      <c r="C437" s="30" t="s">
        <v>20980</v>
      </c>
      <c r="D437" s="30" t="str">
        <f>"""TRUST Nav"",""HSPMTB2016"",""21"",""1"",""116888"""</f>
        <v>"TRUST Nav","HSPMTB2016","21","1","116888"</v>
      </c>
      <c r="I437" s="52" t="str">
        <f t="shared" si="94"/>
        <v>KK-04602|42552|TRT-80-10</v>
      </c>
      <c r="J437" s="52" t="str">
        <f t="shared" si="97"/>
        <v>KK-04602</v>
      </c>
      <c r="K437" s="52" t="str">
        <f t="shared" si="98"/>
        <v>Budiarto</v>
      </c>
      <c r="L437" s="52" t="str">
        <f t="shared" si="93"/>
        <v>TRT-80-10</v>
      </c>
      <c r="M437" s="82">
        <v>42552</v>
      </c>
      <c r="N437" s="2">
        <v>5000</v>
      </c>
    </row>
    <row r="438" spans="1:14" x14ac:dyDescent="0.35">
      <c r="A438" s="52" t="s">
        <v>6063</v>
      </c>
      <c r="C438" s="30" t="s">
        <v>20980</v>
      </c>
      <c r="D438" s="30" t="str">
        <f>"""TRUST Nav"",""HSPMTB2016"",""21"",""1"",""116889"""</f>
        <v>"TRUST Nav","HSPMTB2016","21","1","116889"</v>
      </c>
      <c r="I438" s="52" t="str">
        <f t="shared" si="94"/>
        <v>KK-04602|42583|TRT-80-10</v>
      </c>
      <c r="J438" s="52" t="str">
        <f t="shared" si="97"/>
        <v>KK-04602</v>
      </c>
      <c r="K438" s="52" t="str">
        <f t="shared" si="98"/>
        <v>Budiarto</v>
      </c>
      <c r="L438" s="52" t="str">
        <f t="shared" si="93"/>
        <v>TRT-80-10</v>
      </c>
      <c r="M438" s="82">
        <v>42583</v>
      </c>
      <c r="N438" s="2">
        <v>5000</v>
      </c>
    </row>
    <row r="439" spans="1:14" x14ac:dyDescent="0.35">
      <c r="A439" s="52" t="s">
        <v>6063</v>
      </c>
      <c r="C439" s="30" t="s">
        <v>20980</v>
      </c>
      <c r="D439" s="30" t="str">
        <f>"""TRUST Nav"",""HSPMTB2016"",""21"",""1"",""116890"""</f>
        <v>"TRUST Nav","HSPMTB2016","21","1","116890"</v>
      </c>
      <c r="I439" s="52" t="str">
        <f t="shared" si="94"/>
        <v>KK-04602|42614|TRT-80-10</v>
      </c>
      <c r="J439" s="52" t="str">
        <f t="shared" si="97"/>
        <v>KK-04602</v>
      </c>
      <c r="K439" s="52" t="str">
        <f t="shared" si="98"/>
        <v>Budiarto</v>
      </c>
      <c r="L439" s="52" t="str">
        <f t="shared" si="93"/>
        <v>TRT-80-10</v>
      </c>
      <c r="M439" s="82">
        <v>42614</v>
      </c>
      <c r="N439" s="2">
        <v>5000</v>
      </c>
    </row>
    <row r="440" spans="1:14" x14ac:dyDescent="0.35">
      <c r="A440" s="52" t="s">
        <v>6063</v>
      </c>
      <c r="C440" s="30" t="s">
        <v>20980</v>
      </c>
      <c r="D440" s="30" t="str">
        <f>"""TRUST Nav"",""HSPMTB2016"",""21"",""1"",""116891"""</f>
        <v>"TRUST Nav","HSPMTB2016","21","1","116891"</v>
      </c>
      <c r="I440" s="52" t="str">
        <f t="shared" si="94"/>
        <v>KK-04602|42644|TRT-80-10</v>
      </c>
      <c r="J440" s="52" t="str">
        <f t="shared" si="97"/>
        <v>KK-04602</v>
      </c>
      <c r="K440" s="52" t="str">
        <f t="shared" si="98"/>
        <v>Budiarto</v>
      </c>
      <c r="L440" s="52" t="str">
        <f t="shared" si="93"/>
        <v>TRT-80-10</v>
      </c>
      <c r="M440" s="82">
        <v>42644</v>
      </c>
      <c r="N440" s="2">
        <v>5000</v>
      </c>
    </row>
    <row r="441" spans="1:14" x14ac:dyDescent="0.35">
      <c r="A441" s="52" t="s">
        <v>6063</v>
      </c>
      <c r="C441" s="30" t="s">
        <v>20980</v>
      </c>
      <c r="D441" s="30" t="str">
        <f>"""TRUST Nav"",""HSPMTB2016"",""21"",""1"",""116892"""</f>
        <v>"TRUST Nav","HSPMTB2016","21","1","116892"</v>
      </c>
      <c r="I441" s="52" t="str">
        <f t="shared" si="94"/>
        <v>KK-04602|42675|TRT-80-10</v>
      </c>
      <c r="J441" s="52" t="str">
        <f t="shared" si="97"/>
        <v>KK-04602</v>
      </c>
      <c r="K441" s="52" t="str">
        <f t="shared" si="98"/>
        <v>Budiarto</v>
      </c>
      <c r="L441" s="52" t="str">
        <f t="shared" si="93"/>
        <v>TRT-80-10</v>
      </c>
      <c r="M441" s="82">
        <v>42675</v>
      </c>
      <c r="N441" s="2">
        <v>5000</v>
      </c>
    </row>
    <row r="442" spans="1:14" x14ac:dyDescent="0.35">
      <c r="A442" s="52" t="s">
        <v>6063</v>
      </c>
      <c r="C442" s="30" t="s">
        <v>20980</v>
      </c>
      <c r="D442" s="30" t="str">
        <f>"""TRUST Nav"",""HSPMTB2016"",""21"",""1"",""116893"""</f>
        <v>"TRUST Nav","HSPMTB2016","21","1","116893"</v>
      </c>
      <c r="I442" s="52" t="str">
        <f t="shared" si="94"/>
        <v>KK-04602|42705|TRT-80-10</v>
      </c>
      <c r="J442" s="52" t="str">
        <f t="shared" si="97"/>
        <v>KK-04602</v>
      </c>
      <c r="K442" s="52" t="str">
        <f t="shared" si="98"/>
        <v>Budiarto</v>
      </c>
      <c r="L442" s="52" t="str">
        <f t="shared" si="93"/>
        <v>TRT-80-10</v>
      </c>
      <c r="M442" s="82">
        <v>42705</v>
      </c>
      <c r="N442" s="2">
        <v>5000</v>
      </c>
    </row>
    <row r="443" spans="1:14" x14ac:dyDescent="0.35">
      <c r="A443" s="52" t="s">
        <v>6063</v>
      </c>
      <c r="C443" s="30" t="s">
        <v>20980</v>
      </c>
      <c r="D443" s="30" t="str">
        <f>"""TRUST Nav"",""HSPMTB2016"",""21"",""1"",""85238"""</f>
        <v>"TRUST Nav","HSPMTB2016","21","1","85238"</v>
      </c>
      <c r="I443" s="52" t="str">
        <f t="shared" si="94"/>
        <v>KK-04604|42186|TRT-80-10</v>
      </c>
      <c r="J443" s="52" t="str">
        <f t="shared" ref="J443:J448" si="99">"KK-04604"</f>
        <v>KK-04604</v>
      </c>
      <c r="K443" s="52" t="str">
        <f t="shared" ref="K443:K448" si="100">"Edward"</f>
        <v>Edward</v>
      </c>
      <c r="L443" s="52" t="str">
        <f t="shared" si="93"/>
        <v>TRT-80-10</v>
      </c>
      <c r="M443" s="82">
        <v>42186</v>
      </c>
      <c r="N443" s="2">
        <v>60000</v>
      </c>
    </row>
    <row r="444" spans="1:14" x14ac:dyDescent="0.35">
      <c r="A444" s="52" t="s">
        <v>6063</v>
      </c>
      <c r="C444" s="30" t="s">
        <v>20980</v>
      </c>
      <c r="D444" s="30" t="str">
        <f>"""TRUST Nav"",""HSPMTB2016"",""21"",""1"",""85239"""</f>
        <v>"TRUST Nav","HSPMTB2016","21","1","85239"</v>
      </c>
      <c r="I444" s="52" t="str">
        <f t="shared" si="94"/>
        <v>KK-04604|42217|TRT-80-10</v>
      </c>
      <c r="J444" s="52" t="str">
        <f t="shared" si="99"/>
        <v>KK-04604</v>
      </c>
      <c r="K444" s="52" t="str">
        <f t="shared" si="100"/>
        <v>Edward</v>
      </c>
      <c r="L444" s="52" t="str">
        <f t="shared" si="93"/>
        <v>TRT-80-10</v>
      </c>
      <c r="M444" s="82">
        <v>42217</v>
      </c>
      <c r="N444" s="2">
        <v>15000</v>
      </c>
    </row>
    <row r="445" spans="1:14" x14ac:dyDescent="0.35">
      <c r="A445" s="52" t="s">
        <v>6063</v>
      </c>
      <c r="C445" s="30" t="s">
        <v>20980</v>
      </c>
      <c r="D445" s="30" t="str">
        <f>"""TRUST Nav"",""HSPMTB2016"",""21"",""1"",""85240"""</f>
        <v>"TRUST Nav","HSPMTB2016","21","1","85240"</v>
      </c>
      <c r="I445" s="52" t="str">
        <f t="shared" si="94"/>
        <v>KK-04604|42248|TRT-80-10</v>
      </c>
      <c r="J445" s="52" t="str">
        <f t="shared" si="99"/>
        <v>KK-04604</v>
      </c>
      <c r="K445" s="52" t="str">
        <f t="shared" si="100"/>
        <v>Edward</v>
      </c>
      <c r="L445" s="52" t="str">
        <f t="shared" si="93"/>
        <v>TRT-80-10</v>
      </c>
      <c r="M445" s="82">
        <v>42248</v>
      </c>
      <c r="N445" s="2">
        <v>15000</v>
      </c>
    </row>
    <row r="446" spans="1:14" x14ac:dyDescent="0.35">
      <c r="A446" s="52" t="s">
        <v>6063</v>
      </c>
      <c r="C446" s="30" t="s">
        <v>20980</v>
      </c>
      <c r="D446" s="30" t="str">
        <f>"""TRUST Nav"",""HSPMTB2016"",""21"",""1"",""85241"""</f>
        <v>"TRUST Nav","HSPMTB2016","21","1","85241"</v>
      </c>
      <c r="I446" s="52" t="str">
        <f t="shared" si="94"/>
        <v>KK-04604|42278|TRT-80-10</v>
      </c>
      <c r="J446" s="52" t="str">
        <f t="shared" si="99"/>
        <v>KK-04604</v>
      </c>
      <c r="K446" s="52" t="str">
        <f t="shared" si="100"/>
        <v>Edward</v>
      </c>
      <c r="L446" s="52" t="str">
        <f t="shared" si="93"/>
        <v>TRT-80-10</v>
      </c>
      <c r="M446" s="82">
        <v>42278</v>
      </c>
      <c r="N446" s="2">
        <v>15000</v>
      </c>
    </row>
    <row r="447" spans="1:14" x14ac:dyDescent="0.35">
      <c r="A447" s="52" t="s">
        <v>6063</v>
      </c>
      <c r="C447" s="30" t="s">
        <v>20980</v>
      </c>
      <c r="D447" s="30" t="str">
        <f>"""TRUST Nav"",""HSPMTB2016"",""21"",""1"",""85242"""</f>
        <v>"TRUST Nav","HSPMTB2016","21","1","85242"</v>
      </c>
      <c r="I447" s="52" t="str">
        <f t="shared" si="94"/>
        <v>KK-04604|42309|TRT-80-10</v>
      </c>
      <c r="J447" s="52" t="str">
        <f t="shared" si="99"/>
        <v>KK-04604</v>
      </c>
      <c r="K447" s="52" t="str">
        <f t="shared" si="100"/>
        <v>Edward</v>
      </c>
      <c r="L447" s="52" t="str">
        <f t="shared" si="93"/>
        <v>TRT-80-10</v>
      </c>
      <c r="M447" s="82">
        <v>42309</v>
      </c>
      <c r="N447" s="2">
        <v>15000</v>
      </c>
    </row>
    <row r="448" spans="1:14" x14ac:dyDescent="0.35">
      <c r="A448" s="52" t="s">
        <v>6063</v>
      </c>
      <c r="C448" s="30" t="s">
        <v>20980</v>
      </c>
      <c r="D448" s="30" t="str">
        <f>"""TRUST Nav"",""HSPMTB2016"",""21"",""1"",""85243"""</f>
        <v>"TRUST Nav","HSPMTB2016","21","1","85243"</v>
      </c>
      <c r="I448" s="52" t="str">
        <f t="shared" si="94"/>
        <v>KK-04604|42339|TRT-80-10</v>
      </c>
      <c r="J448" s="52" t="str">
        <f t="shared" si="99"/>
        <v>KK-04604</v>
      </c>
      <c r="K448" s="52" t="str">
        <f t="shared" si="100"/>
        <v>Edward</v>
      </c>
      <c r="L448" s="52" t="str">
        <f t="shared" si="93"/>
        <v>TRT-80-10</v>
      </c>
      <c r="M448" s="82">
        <v>42339</v>
      </c>
      <c r="N448" s="2">
        <v>15000</v>
      </c>
    </row>
    <row r="449" spans="1:14" x14ac:dyDescent="0.35">
      <c r="A449" s="52" t="s">
        <v>6063</v>
      </c>
      <c r="C449" s="30" t="s">
        <v>20980</v>
      </c>
      <c r="D449" s="30" t="str">
        <f>"""TRUST Nav"",""HSPMTB2016"",""21"",""1"",""3611"""</f>
        <v>"TRUST Nav","HSPMTB2016","21","1","3611"</v>
      </c>
      <c r="I449" s="52" t="str">
        <f t="shared" si="94"/>
        <v>KK-04605|42186|TRT-80-10</v>
      </c>
      <c r="J449" s="52" t="str">
        <f t="shared" ref="J449:J463" si="101">"KK-04605"</f>
        <v>KK-04605</v>
      </c>
      <c r="K449" s="52" t="str">
        <f t="shared" ref="K449:K463" si="102">"Handoyo Krismanto"</f>
        <v>Handoyo Krismanto</v>
      </c>
      <c r="L449" s="52" t="str">
        <f t="shared" si="93"/>
        <v>TRT-80-10</v>
      </c>
      <c r="M449" s="82">
        <v>42186</v>
      </c>
      <c r="N449" s="2">
        <v>25000.000000000004</v>
      </c>
    </row>
    <row r="450" spans="1:14" x14ac:dyDescent="0.35">
      <c r="A450" s="52" t="s">
        <v>6063</v>
      </c>
      <c r="C450" s="30" t="s">
        <v>20980</v>
      </c>
      <c r="D450" s="30" t="str">
        <f>"""TRUST Nav"",""HSPMTB2016"",""21"",""1"",""3612"""</f>
        <v>"TRUST Nav","HSPMTB2016","21","1","3612"</v>
      </c>
      <c r="I450" s="52" t="str">
        <f t="shared" si="94"/>
        <v>KK-04605|42217|TRT-80-10</v>
      </c>
      <c r="J450" s="52" t="str">
        <f t="shared" si="101"/>
        <v>KK-04605</v>
      </c>
      <c r="K450" s="52" t="str">
        <f t="shared" si="102"/>
        <v>Handoyo Krismanto</v>
      </c>
      <c r="L450" s="52" t="str">
        <f t="shared" si="93"/>
        <v>TRT-80-10</v>
      </c>
      <c r="M450" s="82">
        <v>42217</v>
      </c>
      <c r="N450" s="2">
        <v>25000.000000000004</v>
      </c>
    </row>
    <row r="451" spans="1:14" x14ac:dyDescent="0.35">
      <c r="A451" s="52" t="s">
        <v>6063</v>
      </c>
      <c r="C451" s="30" t="s">
        <v>20980</v>
      </c>
      <c r="D451" s="30" t="str">
        <f>"""TRUST Nav"",""HSPMTB2016"",""21"",""1"",""3613"""</f>
        <v>"TRUST Nav","HSPMTB2016","21","1","3613"</v>
      </c>
      <c r="I451" s="52" t="str">
        <f t="shared" si="94"/>
        <v>KK-04605|42248|TRT-80-10</v>
      </c>
      <c r="J451" s="52" t="str">
        <f t="shared" si="101"/>
        <v>KK-04605</v>
      </c>
      <c r="K451" s="52" t="str">
        <f t="shared" si="102"/>
        <v>Handoyo Krismanto</v>
      </c>
      <c r="L451" s="52" t="str">
        <f t="shared" si="93"/>
        <v>TRT-80-10</v>
      </c>
      <c r="M451" s="82">
        <v>42248</v>
      </c>
      <c r="N451" s="2">
        <v>25000.000000000004</v>
      </c>
    </row>
    <row r="452" spans="1:14" x14ac:dyDescent="0.35">
      <c r="A452" s="52" t="s">
        <v>6063</v>
      </c>
      <c r="C452" s="30" t="s">
        <v>20980</v>
      </c>
      <c r="D452" s="30" t="str">
        <f>"""TRUST Nav"",""HSPMTB2016"",""21"",""1"",""3614"""</f>
        <v>"TRUST Nav","HSPMTB2016","21","1","3614"</v>
      </c>
      <c r="I452" s="52" t="str">
        <f t="shared" si="94"/>
        <v>KK-04605|42278|TRT-80-10</v>
      </c>
      <c r="J452" s="52" t="str">
        <f t="shared" si="101"/>
        <v>KK-04605</v>
      </c>
      <c r="K452" s="52" t="str">
        <f t="shared" si="102"/>
        <v>Handoyo Krismanto</v>
      </c>
      <c r="L452" s="52" t="str">
        <f t="shared" si="93"/>
        <v>TRT-80-10</v>
      </c>
      <c r="M452" s="82">
        <v>42278</v>
      </c>
      <c r="N452" s="2">
        <v>25000.000000000004</v>
      </c>
    </row>
    <row r="453" spans="1:14" x14ac:dyDescent="0.35">
      <c r="A453" s="52" t="s">
        <v>6063</v>
      </c>
      <c r="C453" s="30" t="s">
        <v>20980</v>
      </c>
      <c r="D453" s="30" t="str">
        <f>"""TRUST Nav"",""HSPMTB2016"",""21"",""1"",""3615"""</f>
        <v>"TRUST Nav","HSPMTB2016","21","1","3615"</v>
      </c>
      <c r="I453" s="52" t="str">
        <f t="shared" si="94"/>
        <v>KK-04605|42309|TRT-80-10</v>
      </c>
      <c r="J453" s="52" t="str">
        <f t="shared" si="101"/>
        <v>KK-04605</v>
      </c>
      <c r="K453" s="52" t="str">
        <f t="shared" si="102"/>
        <v>Handoyo Krismanto</v>
      </c>
      <c r="L453" s="52" t="str">
        <f t="shared" si="93"/>
        <v>TRT-80-10</v>
      </c>
      <c r="M453" s="82">
        <v>42309</v>
      </c>
      <c r="N453" s="2">
        <v>25000.000000000004</v>
      </c>
    </row>
    <row r="454" spans="1:14" x14ac:dyDescent="0.35">
      <c r="A454" s="52" t="s">
        <v>6063</v>
      </c>
      <c r="C454" s="30" t="s">
        <v>20980</v>
      </c>
      <c r="D454" s="30" t="str">
        <f>"""TRUST Nav"",""HSPMTB2016"",""21"",""1"",""3616"""</f>
        <v>"TRUST Nav","HSPMTB2016","21","1","3616"</v>
      </c>
      <c r="I454" s="52" t="str">
        <f t="shared" si="94"/>
        <v>KK-04605|42339|TRT-80-10</v>
      </c>
      <c r="J454" s="52" t="str">
        <f t="shared" si="101"/>
        <v>KK-04605</v>
      </c>
      <c r="K454" s="52" t="str">
        <f t="shared" si="102"/>
        <v>Handoyo Krismanto</v>
      </c>
      <c r="L454" s="52" t="str">
        <f t="shared" si="93"/>
        <v>TRT-80-10</v>
      </c>
      <c r="M454" s="82">
        <v>42339</v>
      </c>
      <c r="N454" s="2">
        <v>25000.000000000004</v>
      </c>
    </row>
    <row r="455" spans="1:14" x14ac:dyDescent="0.35">
      <c r="A455" s="52" t="s">
        <v>6063</v>
      </c>
      <c r="C455" s="30" t="s">
        <v>20980</v>
      </c>
      <c r="D455" s="30" t="str">
        <f>"""TRUST Nav"",""HSPMTB2016"",""21"",""1"",""37410"""</f>
        <v>"TRUST Nav","HSPMTB2016","21","1","37410"</v>
      </c>
      <c r="I455" s="52" t="str">
        <f t="shared" si="94"/>
        <v>KK-04605|42368|TRT-80-10</v>
      </c>
      <c r="J455" s="52" t="str">
        <f t="shared" si="101"/>
        <v>KK-04605</v>
      </c>
      <c r="K455" s="52" t="str">
        <f t="shared" si="102"/>
        <v>Handoyo Krismanto</v>
      </c>
      <c r="L455" s="52" t="str">
        <f t="shared" si="93"/>
        <v>TRT-80-10</v>
      </c>
      <c r="M455" s="82">
        <v>42368</v>
      </c>
      <c r="N455" s="2">
        <v>25000.000000000004</v>
      </c>
    </row>
    <row r="456" spans="1:14" x14ac:dyDescent="0.35">
      <c r="A456" s="52" t="s">
        <v>6063</v>
      </c>
      <c r="C456" s="30" t="s">
        <v>20980</v>
      </c>
      <c r="D456" s="30" t="str">
        <f>"""TRUST Nav"",""HSPMTB2016"",""21"",""1"",""37411"""</f>
        <v>"TRUST Nav","HSPMTB2016","21","1","37411"</v>
      </c>
      <c r="I456" s="52" t="str">
        <f t="shared" si="94"/>
        <v>KK-04605|42368|TRT-80-10</v>
      </c>
      <c r="J456" s="52" t="str">
        <f t="shared" si="101"/>
        <v>KK-04605</v>
      </c>
      <c r="K456" s="52" t="str">
        <f t="shared" si="102"/>
        <v>Handoyo Krismanto</v>
      </c>
      <c r="L456" s="52" t="str">
        <f t="shared" si="93"/>
        <v>TRT-80-10</v>
      </c>
      <c r="M456" s="82">
        <v>42368</v>
      </c>
      <c r="N456" s="2">
        <v>25000.000000000004</v>
      </c>
    </row>
    <row r="457" spans="1:14" x14ac:dyDescent="0.35">
      <c r="A457" s="52" t="s">
        <v>6063</v>
      </c>
      <c r="C457" s="30" t="s">
        <v>20980</v>
      </c>
      <c r="D457" s="30" t="str">
        <f>"""TRUST Nav"",""HSPMTB2016"",""21"",""1"",""37412"""</f>
        <v>"TRUST Nav","HSPMTB2016","21","1","37412"</v>
      </c>
      <c r="I457" s="52" t="str">
        <f t="shared" si="94"/>
        <v>KK-04605|42368|TRT-80-10</v>
      </c>
      <c r="J457" s="52" t="str">
        <f t="shared" si="101"/>
        <v>KK-04605</v>
      </c>
      <c r="K457" s="52" t="str">
        <f t="shared" si="102"/>
        <v>Handoyo Krismanto</v>
      </c>
      <c r="L457" s="52" t="str">
        <f t="shared" si="93"/>
        <v>TRT-80-10</v>
      </c>
      <c r="M457" s="82">
        <v>42368</v>
      </c>
      <c r="N457" s="2">
        <v>25000.000000000004</v>
      </c>
    </row>
    <row r="458" spans="1:14" x14ac:dyDescent="0.35">
      <c r="A458" s="52" t="s">
        <v>6063</v>
      </c>
      <c r="C458" s="30" t="s">
        <v>20980</v>
      </c>
      <c r="D458" s="30" t="str">
        <f>"""TRUST Nav"",""HSPMTB2016"",""21"",""1"",""37413"""</f>
        <v>"TRUST Nav","HSPMTB2016","21","1","37413"</v>
      </c>
      <c r="I458" s="52" t="str">
        <f t="shared" si="94"/>
        <v>KK-04605|42368|TRT-80-10</v>
      </c>
      <c r="J458" s="52" t="str">
        <f t="shared" si="101"/>
        <v>KK-04605</v>
      </c>
      <c r="K458" s="52" t="str">
        <f t="shared" si="102"/>
        <v>Handoyo Krismanto</v>
      </c>
      <c r="L458" s="52" t="str">
        <f t="shared" ref="L458:L521" si="103">"TRT-80-10"</f>
        <v>TRT-80-10</v>
      </c>
      <c r="M458" s="82">
        <v>42368</v>
      </c>
      <c r="N458" s="2">
        <v>25000.000000000004</v>
      </c>
    </row>
    <row r="459" spans="1:14" x14ac:dyDescent="0.35">
      <c r="A459" s="52" t="s">
        <v>6063</v>
      </c>
      <c r="C459" s="30" t="s">
        <v>20980</v>
      </c>
      <c r="D459" s="30" t="str">
        <f>"""TRUST Nav"",""HSPMTB2016"",""21"",""1"",""37414"""</f>
        <v>"TRUST Nav","HSPMTB2016","21","1","37414"</v>
      </c>
      <c r="I459" s="52" t="str">
        <f t="shared" ref="I459:I522" si="104">CONCATENATE(J459,"|",M459,"|",L459)</f>
        <v>KK-04605|42368|TRT-80-10</v>
      </c>
      <c r="J459" s="52" t="str">
        <f t="shared" si="101"/>
        <v>KK-04605</v>
      </c>
      <c r="K459" s="52" t="str">
        <f t="shared" si="102"/>
        <v>Handoyo Krismanto</v>
      </c>
      <c r="L459" s="52" t="str">
        <f t="shared" si="103"/>
        <v>TRT-80-10</v>
      </c>
      <c r="M459" s="82">
        <v>42368</v>
      </c>
      <c r="N459" s="2">
        <v>25000.000000000004</v>
      </c>
    </row>
    <row r="460" spans="1:14" x14ac:dyDescent="0.35">
      <c r="A460" s="52" t="s">
        <v>6063</v>
      </c>
      <c r="C460" s="30" t="s">
        <v>20980</v>
      </c>
      <c r="D460" s="30" t="str">
        <f>"""TRUST Nav"",""HSPMTB2016"",""21"",""1"",""37415"""</f>
        <v>"TRUST Nav","HSPMTB2016","21","1","37415"</v>
      </c>
      <c r="I460" s="52" t="str">
        <f t="shared" si="104"/>
        <v>KK-04605|42368|TRT-80-10</v>
      </c>
      <c r="J460" s="52" t="str">
        <f t="shared" si="101"/>
        <v>KK-04605</v>
      </c>
      <c r="K460" s="52" t="str">
        <f t="shared" si="102"/>
        <v>Handoyo Krismanto</v>
      </c>
      <c r="L460" s="52" t="str">
        <f t="shared" si="103"/>
        <v>TRT-80-10</v>
      </c>
      <c r="M460" s="82">
        <v>42368</v>
      </c>
      <c r="N460" s="2">
        <v>25000.000000000004</v>
      </c>
    </row>
    <row r="461" spans="1:14" x14ac:dyDescent="0.35">
      <c r="A461" s="52" t="s">
        <v>6063</v>
      </c>
      <c r="C461" s="30" t="s">
        <v>20980</v>
      </c>
      <c r="D461" s="30" t="str">
        <f>"""TRUST Nav"",""HSPMTB2016"",""21"",""1"",""102570"""</f>
        <v>"TRUST Nav","HSPMTB2016","21","1","102570"</v>
      </c>
      <c r="I461" s="52" t="str">
        <f t="shared" si="104"/>
        <v>KK-04605|42370|TRT-80-10</v>
      </c>
      <c r="J461" s="52" t="str">
        <f t="shared" si="101"/>
        <v>KK-04605</v>
      </c>
      <c r="K461" s="52" t="str">
        <f t="shared" si="102"/>
        <v>Handoyo Krismanto</v>
      </c>
      <c r="L461" s="52" t="str">
        <f t="shared" si="103"/>
        <v>TRT-80-10</v>
      </c>
      <c r="M461" s="82">
        <v>42370</v>
      </c>
      <c r="N461" s="2">
        <v>25000.000000000004</v>
      </c>
    </row>
    <row r="462" spans="1:14" x14ac:dyDescent="0.35">
      <c r="A462" s="52" t="s">
        <v>6063</v>
      </c>
      <c r="C462" s="30" t="s">
        <v>20980</v>
      </c>
      <c r="D462" s="30" t="str">
        <f>"""TRUST Nav"",""HSPMTB2016"",""21"",""1"",""102571"""</f>
        <v>"TRUST Nav","HSPMTB2016","21","1","102571"</v>
      </c>
      <c r="I462" s="52" t="str">
        <f t="shared" si="104"/>
        <v>KK-04605|42401|TRT-80-10</v>
      </c>
      <c r="J462" s="52" t="str">
        <f t="shared" si="101"/>
        <v>KK-04605</v>
      </c>
      <c r="K462" s="52" t="str">
        <f t="shared" si="102"/>
        <v>Handoyo Krismanto</v>
      </c>
      <c r="L462" s="52" t="str">
        <f t="shared" si="103"/>
        <v>TRT-80-10</v>
      </c>
      <c r="M462" s="82">
        <v>42401</v>
      </c>
      <c r="N462" s="2">
        <v>25000.000000000004</v>
      </c>
    </row>
    <row r="463" spans="1:14" x14ac:dyDescent="0.35">
      <c r="A463" s="52" t="s">
        <v>6063</v>
      </c>
      <c r="C463" s="30" t="s">
        <v>20980</v>
      </c>
      <c r="D463" s="30" t="str">
        <f>"""TRUST Nav"",""HSPMTB2016"",""21"",""1"",""102572"""</f>
        <v>"TRUST Nav","HSPMTB2016","21","1","102572"</v>
      </c>
      <c r="I463" s="52" t="str">
        <f t="shared" si="104"/>
        <v>KK-04605|42430|TRT-80-10</v>
      </c>
      <c r="J463" s="52" t="str">
        <f t="shared" si="101"/>
        <v>KK-04605</v>
      </c>
      <c r="K463" s="52" t="str">
        <f t="shared" si="102"/>
        <v>Handoyo Krismanto</v>
      </c>
      <c r="L463" s="52" t="str">
        <f t="shared" si="103"/>
        <v>TRT-80-10</v>
      </c>
      <c r="M463" s="82">
        <v>42430</v>
      </c>
      <c r="N463" s="2">
        <v>25000.000000000004</v>
      </c>
    </row>
    <row r="464" spans="1:14" x14ac:dyDescent="0.35">
      <c r="A464" s="52" t="s">
        <v>6063</v>
      </c>
      <c r="C464" s="30" t="s">
        <v>20980</v>
      </c>
      <c r="D464" s="30" t="str">
        <f>"""TRUST Nav"",""HSPMTB2016"",""21"",""1"",""3617"""</f>
        <v>"TRUST Nav","HSPMTB2016","21","1","3617"</v>
      </c>
      <c r="I464" s="52" t="str">
        <f t="shared" si="104"/>
        <v>KK-04606|42186|TRT-80-10</v>
      </c>
      <c r="J464" s="52" t="str">
        <f t="shared" ref="J464:J481" si="105">"KK-04606"</f>
        <v>KK-04606</v>
      </c>
      <c r="K464" s="52" t="str">
        <f t="shared" ref="K464:K481" si="106">"Hendra Kurniawan"</f>
        <v>Hendra Kurniawan</v>
      </c>
      <c r="L464" s="52" t="str">
        <f t="shared" si="103"/>
        <v>TRT-80-10</v>
      </c>
      <c r="M464" s="82">
        <v>42186</v>
      </c>
      <c r="N464" s="2">
        <v>50000.000000000007</v>
      </c>
    </row>
    <row r="465" spans="1:14" x14ac:dyDescent="0.35">
      <c r="A465" s="52" t="s">
        <v>6063</v>
      </c>
      <c r="C465" s="30" t="s">
        <v>20980</v>
      </c>
      <c r="D465" s="30" t="str">
        <f>"""TRUST Nav"",""HSPMTB2016"",""21"",""1"",""3618"""</f>
        <v>"TRUST Nav","HSPMTB2016","21","1","3618"</v>
      </c>
      <c r="I465" s="52" t="str">
        <f t="shared" si="104"/>
        <v>KK-04606|42217|TRT-80-10</v>
      </c>
      <c r="J465" s="52" t="str">
        <f t="shared" si="105"/>
        <v>KK-04606</v>
      </c>
      <c r="K465" s="52" t="str">
        <f t="shared" si="106"/>
        <v>Hendra Kurniawan</v>
      </c>
      <c r="L465" s="52" t="str">
        <f t="shared" si="103"/>
        <v>TRT-80-10</v>
      </c>
      <c r="M465" s="82">
        <v>42217</v>
      </c>
      <c r="N465" s="2">
        <v>50000.000000000007</v>
      </c>
    </row>
    <row r="466" spans="1:14" x14ac:dyDescent="0.35">
      <c r="A466" s="52" t="s">
        <v>6063</v>
      </c>
      <c r="C466" s="30" t="s">
        <v>20980</v>
      </c>
      <c r="D466" s="30" t="str">
        <f>"""TRUST Nav"",""HSPMTB2016"",""21"",""1"",""3619"""</f>
        <v>"TRUST Nav","HSPMTB2016","21","1","3619"</v>
      </c>
      <c r="I466" s="52" t="str">
        <f t="shared" si="104"/>
        <v>KK-04606|42248|TRT-80-10</v>
      </c>
      <c r="J466" s="52" t="str">
        <f t="shared" si="105"/>
        <v>KK-04606</v>
      </c>
      <c r="K466" s="52" t="str">
        <f t="shared" si="106"/>
        <v>Hendra Kurniawan</v>
      </c>
      <c r="L466" s="52" t="str">
        <f t="shared" si="103"/>
        <v>TRT-80-10</v>
      </c>
      <c r="M466" s="82">
        <v>42248</v>
      </c>
      <c r="N466" s="2">
        <v>50000.000000000007</v>
      </c>
    </row>
    <row r="467" spans="1:14" x14ac:dyDescent="0.35">
      <c r="A467" s="52" t="s">
        <v>6063</v>
      </c>
      <c r="C467" s="30" t="s">
        <v>20980</v>
      </c>
      <c r="D467" s="30" t="str">
        <f>"""TRUST Nav"",""HSPMTB2016"",""21"",""1"",""3620"""</f>
        <v>"TRUST Nav","HSPMTB2016","21","1","3620"</v>
      </c>
      <c r="I467" s="52" t="str">
        <f t="shared" si="104"/>
        <v>KK-04606|42278|TRT-80-10</v>
      </c>
      <c r="J467" s="52" t="str">
        <f t="shared" si="105"/>
        <v>KK-04606</v>
      </c>
      <c r="K467" s="52" t="str">
        <f t="shared" si="106"/>
        <v>Hendra Kurniawan</v>
      </c>
      <c r="L467" s="52" t="str">
        <f t="shared" si="103"/>
        <v>TRT-80-10</v>
      </c>
      <c r="M467" s="82">
        <v>42278</v>
      </c>
      <c r="N467" s="2">
        <v>50000.000000000007</v>
      </c>
    </row>
    <row r="468" spans="1:14" x14ac:dyDescent="0.35">
      <c r="A468" s="52" t="s">
        <v>6063</v>
      </c>
      <c r="C468" s="30" t="s">
        <v>20980</v>
      </c>
      <c r="D468" s="30" t="str">
        <f>"""TRUST Nav"",""HSPMTB2016"",""21"",""1"",""3621"""</f>
        <v>"TRUST Nav","HSPMTB2016","21","1","3621"</v>
      </c>
      <c r="I468" s="52" t="str">
        <f t="shared" si="104"/>
        <v>KK-04606|42309|TRT-80-10</v>
      </c>
      <c r="J468" s="52" t="str">
        <f t="shared" si="105"/>
        <v>KK-04606</v>
      </c>
      <c r="K468" s="52" t="str">
        <f t="shared" si="106"/>
        <v>Hendra Kurniawan</v>
      </c>
      <c r="L468" s="52" t="str">
        <f t="shared" si="103"/>
        <v>TRT-80-10</v>
      </c>
      <c r="M468" s="82">
        <v>42309</v>
      </c>
      <c r="N468" s="2">
        <v>50000.000000000007</v>
      </c>
    </row>
    <row r="469" spans="1:14" x14ac:dyDescent="0.35">
      <c r="A469" s="52" t="s">
        <v>6063</v>
      </c>
      <c r="C469" s="30" t="s">
        <v>20980</v>
      </c>
      <c r="D469" s="30" t="str">
        <f>"""TRUST Nav"",""HSPMTB2016"",""21"",""1"",""3622"""</f>
        <v>"TRUST Nav","HSPMTB2016","21","1","3622"</v>
      </c>
      <c r="I469" s="52" t="str">
        <f t="shared" si="104"/>
        <v>KK-04606|42339|TRT-80-10</v>
      </c>
      <c r="J469" s="52" t="str">
        <f t="shared" si="105"/>
        <v>KK-04606</v>
      </c>
      <c r="K469" s="52" t="str">
        <f t="shared" si="106"/>
        <v>Hendra Kurniawan</v>
      </c>
      <c r="L469" s="52" t="str">
        <f t="shared" si="103"/>
        <v>TRT-80-10</v>
      </c>
      <c r="M469" s="82">
        <v>42339</v>
      </c>
      <c r="N469" s="2">
        <v>50000.000000000007</v>
      </c>
    </row>
    <row r="470" spans="1:14" x14ac:dyDescent="0.35">
      <c r="A470" s="52" t="s">
        <v>6063</v>
      </c>
      <c r="C470" s="30" t="s">
        <v>20980</v>
      </c>
      <c r="D470" s="30" t="str">
        <f>"""TRUST Nav"",""HSPMTB2016"",""21"",""1"",""37416"""</f>
        <v>"TRUST Nav","HSPMTB2016","21","1","37416"</v>
      </c>
      <c r="I470" s="52" t="str">
        <f t="shared" si="104"/>
        <v>KK-04606|42368|TRT-80-10</v>
      </c>
      <c r="J470" s="52" t="str">
        <f t="shared" si="105"/>
        <v>KK-04606</v>
      </c>
      <c r="K470" s="52" t="str">
        <f t="shared" si="106"/>
        <v>Hendra Kurniawan</v>
      </c>
      <c r="L470" s="52" t="str">
        <f t="shared" si="103"/>
        <v>TRT-80-10</v>
      </c>
      <c r="M470" s="82">
        <v>42368</v>
      </c>
      <c r="N470" s="2">
        <v>50000.000000000007</v>
      </c>
    </row>
    <row r="471" spans="1:14" x14ac:dyDescent="0.35">
      <c r="A471" s="52" t="s">
        <v>6063</v>
      </c>
      <c r="C471" s="30" t="s">
        <v>20980</v>
      </c>
      <c r="D471" s="30" t="str">
        <f>"""TRUST Nav"",""HSPMTB2016"",""21"",""1"",""37417"""</f>
        <v>"TRUST Nav","HSPMTB2016","21","1","37417"</v>
      </c>
      <c r="I471" s="52" t="str">
        <f t="shared" si="104"/>
        <v>KK-04606|42368|TRT-80-10</v>
      </c>
      <c r="J471" s="52" t="str">
        <f t="shared" si="105"/>
        <v>KK-04606</v>
      </c>
      <c r="K471" s="52" t="str">
        <f t="shared" si="106"/>
        <v>Hendra Kurniawan</v>
      </c>
      <c r="L471" s="52" t="str">
        <f t="shared" si="103"/>
        <v>TRT-80-10</v>
      </c>
      <c r="M471" s="82">
        <v>42368</v>
      </c>
      <c r="N471" s="2">
        <v>50000.000000000007</v>
      </c>
    </row>
    <row r="472" spans="1:14" x14ac:dyDescent="0.35">
      <c r="A472" s="52" t="s">
        <v>6063</v>
      </c>
      <c r="C472" s="30" t="s">
        <v>20980</v>
      </c>
      <c r="D472" s="30" t="str">
        <f>"""TRUST Nav"",""HSPMTB2016"",""21"",""1"",""37418"""</f>
        <v>"TRUST Nav","HSPMTB2016","21","1","37418"</v>
      </c>
      <c r="I472" s="52" t="str">
        <f t="shared" si="104"/>
        <v>KK-04606|42368|TRT-80-10</v>
      </c>
      <c r="J472" s="52" t="str">
        <f t="shared" si="105"/>
        <v>KK-04606</v>
      </c>
      <c r="K472" s="52" t="str">
        <f t="shared" si="106"/>
        <v>Hendra Kurniawan</v>
      </c>
      <c r="L472" s="52" t="str">
        <f t="shared" si="103"/>
        <v>TRT-80-10</v>
      </c>
      <c r="M472" s="82">
        <v>42368</v>
      </c>
      <c r="N472" s="2">
        <v>50000.000000000007</v>
      </c>
    </row>
    <row r="473" spans="1:14" x14ac:dyDescent="0.35">
      <c r="A473" s="52" t="s">
        <v>6063</v>
      </c>
      <c r="C473" s="30" t="s">
        <v>20980</v>
      </c>
      <c r="D473" s="30" t="str">
        <f>"""TRUST Nav"",""HSPMTB2016"",""21"",""1"",""37419"""</f>
        <v>"TRUST Nav","HSPMTB2016","21","1","37419"</v>
      </c>
      <c r="I473" s="52" t="str">
        <f t="shared" si="104"/>
        <v>KK-04606|42368|TRT-80-10</v>
      </c>
      <c r="J473" s="52" t="str">
        <f t="shared" si="105"/>
        <v>KK-04606</v>
      </c>
      <c r="K473" s="52" t="str">
        <f t="shared" si="106"/>
        <v>Hendra Kurniawan</v>
      </c>
      <c r="L473" s="52" t="str">
        <f t="shared" si="103"/>
        <v>TRT-80-10</v>
      </c>
      <c r="M473" s="82">
        <v>42368</v>
      </c>
      <c r="N473" s="2">
        <v>50000.000000000007</v>
      </c>
    </row>
    <row r="474" spans="1:14" x14ac:dyDescent="0.35">
      <c r="A474" s="52" t="s">
        <v>6063</v>
      </c>
      <c r="C474" s="30" t="s">
        <v>20980</v>
      </c>
      <c r="D474" s="30" t="str">
        <f>"""TRUST Nav"",""HSPMTB2016"",""21"",""1"",""37420"""</f>
        <v>"TRUST Nav","HSPMTB2016","21","1","37420"</v>
      </c>
      <c r="I474" s="52" t="str">
        <f t="shared" si="104"/>
        <v>KK-04606|42368|TRT-80-10</v>
      </c>
      <c r="J474" s="52" t="str">
        <f t="shared" si="105"/>
        <v>KK-04606</v>
      </c>
      <c r="K474" s="52" t="str">
        <f t="shared" si="106"/>
        <v>Hendra Kurniawan</v>
      </c>
      <c r="L474" s="52" t="str">
        <f t="shared" si="103"/>
        <v>TRT-80-10</v>
      </c>
      <c r="M474" s="82">
        <v>42368</v>
      </c>
      <c r="N474" s="2">
        <v>50000.000000000007</v>
      </c>
    </row>
    <row r="475" spans="1:14" x14ac:dyDescent="0.35">
      <c r="A475" s="52" t="s">
        <v>6063</v>
      </c>
      <c r="C475" s="30" t="s">
        <v>20980</v>
      </c>
      <c r="D475" s="30" t="str">
        <f>"""TRUST Nav"",""HSPMTB2016"",""21"",""1"",""37421"""</f>
        <v>"TRUST Nav","HSPMTB2016","21","1","37421"</v>
      </c>
      <c r="I475" s="52" t="str">
        <f t="shared" si="104"/>
        <v>KK-04606|42368|TRT-80-10</v>
      </c>
      <c r="J475" s="52" t="str">
        <f t="shared" si="105"/>
        <v>KK-04606</v>
      </c>
      <c r="K475" s="52" t="str">
        <f t="shared" si="106"/>
        <v>Hendra Kurniawan</v>
      </c>
      <c r="L475" s="52" t="str">
        <f t="shared" si="103"/>
        <v>TRT-80-10</v>
      </c>
      <c r="M475" s="82">
        <v>42368</v>
      </c>
      <c r="N475" s="2">
        <v>50000.000000000007</v>
      </c>
    </row>
    <row r="476" spans="1:14" x14ac:dyDescent="0.35">
      <c r="A476" s="52" t="s">
        <v>6063</v>
      </c>
      <c r="C476" s="30" t="s">
        <v>20980</v>
      </c>
      <c r="D476" s="30" t="str">
        <f>"""TRUST Nav"",""HSPMTB2016"",""21"",""1"",""85244"""</f>
        <v>"TRUST Nav","HSPMTB2016","21","1","85244"</v>
      </c>
      <c r="I476" s="52" t="str">
        <f t="shared" si="104"/>
        <v>KK-04606|42370|TRT-80-10</v>
      </c>
      <c r="J476" s="52" t="str">
        <f t="shared" si="105"/>
        <v>KK-04606</v>
      </c>
      <c r="K476" s="52" t="str">
        <f t="shared" si="106"/>
        <v>Hendra Kurniawan</v>
      </c>
      <c r="L476" s="52" t="str">
        <f t="shared" si="103"/>
        <v>TRT-80-10</v>
      </c>
      <c r="M476" s="82">
        <v>42370</v>
      </c>
      <c r="N476" s="2">
        <v>50000.000000000007</v>
      </c>
    </row>
    <row r="477" spans="1:14" x14ac:dyDescent="0.35">
      <c r="A477" s="52" t="s">
        <v>6063</v>
      </c>
      <c r="C477" s="30" t="s">
        <v>20980</v>
      </c>
      <c r="D477" s="30" t="str">
        <f>"""TRUST Nav"",""HSPMTB2016"",""21"",""1"",""85245"""</f>
        <v>"TRUST Nav","HSPMTB2016","21","1","85245"</v>
      </c>
      <c r="I477" s="52" t="str">
        <f t="shared" si="104"/>
        <v>KK-04606|42401|TRT-80-10</v>
      </c>
      <c r="J477" s="52" t="str">
        <f t="shared" si="105"/>
        <v>KK-04606</v>
      </c>
      <c r="K477" s="52" t="str">
        <f t="shared" si="106"/>
        <v>Hendra Kurniawan</v>
      </c>
      <c r="L477" s="52" t="str">
        <f t="shared" si="103"/>
        <v>TRT-80-10</v>
      </c>
      <c r="M477" s="82">
        <v>42401</v>
      </c>
      <c r="N477" s="2">
        <v>50000.000000000007</v>
      </c>
    </row>
    <row r="478" spans="1:14" x14ac:dyDescent="0.35">
      <c r="A478" s="52" t="s">
        <v>6063</v>
      </c>
      <c r="C478" s="30" t="s">
        <v>20980</v>
      </c>
      <c r="D478" s="30" t="str">
        <f>"""TRUST Nav"",""HSPMTB2016"",""21"",""1"",""85246"""</f>
        <v>"TRUST Nav","HSPMTB2016","21","1","85246"</v>
      </c>
      <c r="I478" s="52" t="str">
        <f t="shared" si="104"/>
        <v>KK-04606|42430|TRT-80-10</v>
      </c>
      <c r="J478" s="52" t="str">
        <f t="shared" si="105"/>
        <v>KK-04606</v>
      </c>
      <c r="K478" s="52" t="str">
        <f t="shared" si="106"/>
        <v>Hendra Kurniawan</v>
      </c>
      <c r="L478" s="52" t="str">
        <f t="shared" si="103"/>
        <v>TRT-80-10</v>
      </c>
      <c r="M478" s="82">
        <v>42430</v>
      </c>
      <c r="N478" s="2">
        <v>50000.000000000007</v>
      </c>
    </row>
    <row r="479" spans="1:14" x14ac:dyDescent="0.35">
      <c r="A479" s="52" t="s">
        <v>6063</v>
      </c>
      <c r="C479" s="30" t="s">
        <v>20980</v>
      </c>
      <c r="D479" s="30" t="str">
        <f>"""TRUST Nav"",""HSPMTB2016"",""21"",""1"",""116894"""</f>
        <v>"TRUST Nav","HSPMTB2016","21","1","116894"</v>
      </c>
      <c r="I479" s="52" t="str">
        <f t="shared" si="104"/>
        <v>KK-04606|42461|TRT-80-10</v>
      </c>
      <c r="J479" s="52" t="str">
        <f t="shared" si="105"/>
        <v>KK-04606</v>
      </c>
      <c r="K479" s="52" t="str">
        <f t="shared" si="106"/>
        <v>Hendra Kurniawan</v>
      </c>
      <c r="L479" s="52" t="str">
        <f t="shared" si="103"/>
        <v>TRT-80-10</v>
      </c>
      <c r="M479" s="82">
        <v>42461</v>
      </c>
      <c r="N479" s="2">
        <v>50000.000000000007</v>
      </c>
    </row>
    <row r="480" spans="1:14" x14ac:dyDescent="0.35">
      <c r="A480" s="52" t="s">
        <v>6063</v>
      </c>
      <c r="C480" s="30" t="s">
        <v>20980</v>
      </c>
      <c r="D480" s="30" t="str">
        <f>"""TRUST Nav"",""HSPMTB2016"",""21"",""1"",""116895"""</f>
        <v>"TRUST Nav","HSPMTB2016","21","1","116895"</v>
      </c>
      <c r="I480" s="52" t="str">
        <f t="shared" si="104"/>
        <v>KK-04606|42491|TRT-80-10</v>
      </c>
      <c r="J480" s="52" t="str">
        <f t="shared" si="105"/>
        <v>KK-04606</v>
      </c>
      <c r="K480" s="52" t="str">
        <f t="shared" si="106"/>
        <v>Hendra Kurniawan</v>
      </c>
      <c r="L480" s="52" t="str">
        <f t="shared" si="103"/>
        <v>TRT-80-10</v>
      </c>
      <c r="M480" s="82">
        <v>42491</v>
      </c>
      <c r="N480" s="2">
        <v>50000.000000000007</v>
      </c>
    </row>
    <row r="481" spans="1:14" x14ac:dyDescent="0.35">
      <c r="A481" s="52" t="s">
        <v>6063</v>
      </c>
      <c r="C481" s="30" t="s">
        <v>20980</v>
      </c>
      <c r="D481" s="30" t="str">
        <f>"""TRUST Nav"",""HSPMTB2016"",""21"",""1"",""116896"""</f>
        <v>"TRUST Nav","HSPMTB2016","21","1","116896"</v>
      </c>
      <c r="I481" s="52" t="str">
        <f t="shared" si="104"/>
        <v>KK-04606|42522|TRT-80-10</v>
      </c>
      <c r="J481" s="52" t="str">
        <f t="shared" si="105"/>
        <v>KK-04606</v>
      </c>
      <c r="K481" s="52" t="str">
        <f t="shared" si="106"/>
        <v>Hendra Kurniawan</v>
      </c>
      <c r="L481" s="52" t="str">
        <f t="shared" si="103"/>
        <v>TRT-80-10</v>
      </c>
      <c r="M481" s="82">
        <v>42522</v>
      </c>
      <c r="N481" s="2">
        <v>50000.000000000007</v>
      </c>
    </row>
    <row r="482" spans="1:14" x14ac:dyDescent="0.35">
      <c r="A482" s="52" t="s">
        <v>6063</v>
      </c>
      <c r="C482" s="30" t="s">
        <v>20980</v>
      </c>
      <c r="D482" s="30" t="str">
        <f>"""TRUST Nav"",""HSPMTB2016"",""21"",""1"",""3623"""</f>
        <v>"TRUST Nav","HSPMTB2016","21","1","3623"</v>
      </c>
      <c r="I482" s="52" t="str">
        <f t="shared" si="104"/>
        <v>KK-04607|42186|TRT-80-10</v>
      </c>
      <c r="J482" s="52" t="str">
        <f t="shared" ref="J482:J500" si="107">"KK-04607"</f>
        <v>KK-04607</v>
      </c>
      <c r="K482" s="52" t="str">
        <f t="shared" ref="K482:K500" si="108">"Hendro Hartono"</f>
        <v>Hendro Hartono</v>
      </c>
      <c r="L482" s="52" t="str">
        <f t="shared" si="103"/>
        <v>TRT-80-10</v>
      </c>
      <c r="M482" s="82">
        <v>42186</v>
      </c>
      <c r="N482" s="2">
        <v>75000</v>
      </c>
    </row>
    <row r="483" spans="1:14" x14ac:dyDescent="0.35">
      <c r="A483" s="52" t="s">
        <v>6063</v>
      </c>
      <c r="C483" s="30" t="s">
        <v>20980</v>
      </c>
      <c r="D483" s="30" t="str">
        <f>"""TRUST Nav"",""HSPMTB2016"",""21"",""1"",""3624"""</f>
        <v>"TRUST Nav","HSPMTB2016","21","1","3624"</v>
      </c>
      <c r="I483" s="52" t="str">
        <f t="shared" si="104"/>
        <v>KK-04607|42217|TRT-80-10</v>
      </c>
      <c r="J483" s="52" t="str">
        <f t="shared" si="107"/>
        <v>KK-04607</v>
      </c>
      <c r="K483" s="52" t="str">
        <f t="shared" si="108"/>
        <v>Hendro Hartono</v>
      </c>
      <c r="L483" s="52" t="str">
        <f t="shared" si="103"/>
        <v>TRT-80-10</v>
      </c>
      <c r="M483" s="82">
        <v>42217</v>
      </c>
      <c r="N483" s="2">
        <v>75000</v>
      </c>
    </row>
    <row r="484" spans="1:14" x14ac:dyDescent="0.35">
      <c r="A484" s="52" t="s">
        <v>6063</v>
      </c>
      <c r="C484" s="30" t="s">
        <v>20980</v>
      </c>
      <c r="D484" s="30" t="str">
        <f>"""TRUST Nav"",""HSPMTB2016"",""21"",""1"",""3625"""</f>
        <v>"TRUST Nav","HSPMTB2016","21","1","3625"</v>
      </c>
      <c r="I484" s="52" t="str">
        <f t="shared" si="104"/>
        <v>KK-04607|42248|TRT-80-10</v>
      </c>
      <c r="J484" s="52" t="str">
        <f t="shared" si="107"/>
        <v>KK-04607</v>
      </c>
      <c r="K484" s="52" t="str">
        <f t="shared" si="108"/>
        <v>Hendro Hartono</v>
      </c>
      <c r="L484" s="52" t="str">
        <f t="shared" si="103"/>
        <v>TRT-80-10</v>
      </c>
      <c r="M484" s="82">
        <v>42248</v>
      </c>
      <c r="N484" s="2">
        <v>75000</v>
      </c>
    </row>
    <row r="485" spans="1:14" x14ac:dyDescent="0.35">
      <c r="A485" s="52" t="s">
        <v>6063</v>
      </c>
      <c r="C485" s="30" t="s">
        <v>20980</v>
      </c>
      <c r="D485" s="30" t="str">
        <f>"""TRUST Nav"",""HSPMTB2016"",""21"",""1"",""3626"""</f>
        <v>"TRUST Nav","HSPMTB2016","21","1","3626"</v>
      </c>
      <c r="I485" s="52" t="str">
        <f t="shared" si="104"/>
        <v>KK-04607|42278|TRT-80-10</v>
      </c>
      <c r="J485" s="52" t="str">
        <f t="shared" si="107"/>
        <v>KK-04607</v>
      </c>
      <c r="K485" s="52" t="str">
        <f t="shared" si="108"/>
        <v>Hendro Hartono</v>
      </c>
      <c r="L485" s="52" t="str">
        <f t="shared" si="103"/>
        <v>TRT-80-10</v>
      </c>
      <c r="M485" s="82">
        <v>42278</v>
      </c>
      <c r="N485" s="2">
        <v>75000</v>
      </c>
    </row>
    <row r="486" spans="1:14" x14ac:dyDescent="0.35">
      <c r="A486" s="52" t="s">
        <v>6063</v>
      </c>
      <c r="C486" s="30" t="s">
        <v>20980</v>
      </c>
      <c r="D486" s="30" t="str">
        <f>"""TRUST Nav"",""HSPMTB2016"",""21"",""1"",""3627"""</f>
        <v>"TRUST Nav","HSPMTB2016","21","1","3627"</v>
      </c>
      <c r="I486" s="52" t="str">
        <f t="shared" si="104"/>
        <v>KK-04607|42309|TRT-80-10</v>
      </c>
      <c r="J486" s="52" t="str">
        <f t="shared" si="107"/>
        <v>KK-04607</v>
      </c>
      <c r="K486" s="52" t="str">
        <f t="shared" si="108"/>
        <v>Hendro Hartono</v>
      </c>
      <c r="L486" s="52" t="str">
        <f t="shared" si="103"/>
        <v>TRT-80-10</v>
      </c>
      <c r="M486" s="82">
        <v>42309</v>
      </c>
      <c r="N486" s="2">
        <v>75000</v>
      </c>
    </row>
    <row r="487" spans="1:14" x14ac:dyDescent="0.35">
      <c r="A487" s="52" t="s">
        <v>6063</v>
      </c>
      <c r="C487" s="30" t="s">
        <v>20980</v>
      </c>
      <c r="D487" s="30" t="str">
        <f>"""TRUST Nav"",""HSPMTB2016"",""21"",""1"",""3628"""</f>
        <v>"TRUST Nav","HSPMTB2016","21","1","3628"</v>
      </c>
      <c r="I487" s="52" t="str">
        <f t="shared" si="104"/>
        <v>KK-04607|42339|TRT-80-10</v>
      </c>
      <c r="J487" s="52" t="str">
        <f t="shared" si="107"/>
        <v>KK-04607</v>
      </c>
      <c r="K487" s="52" t="str">
        <f t="shared" si="108"/>
        <v>Hendro Hartono</v>
      </c>
      <c r="L487" s="52" t="str">
        <f t="shared" si="103"/>
        <v>TRT-80-10</v>
      </c>
      <c r="M487" s="82">
        <v>42339</v>
      </c>
      <c r="N487" s="2">
        <v>75000</v>
      </c>
    </row>
    <row r="488" spans="1:14" x14ac:dyDescent="0.35">
      <c r="A488" s="52" t="s">
        <v>6063</v>
      </c>
      <c r="C488" s="30" t="s">
        <v>20980</v>
      </c>
      <c r="D488" s="30" t="str">
        <f>"""TRUST Nav"",""HSPMTB2016"",""21"",""1"",""37422"""</f>
        <v>"TRUST Nav","HSPMTB2016","21","1","37422"</v>
      </c>
      <c r="I488" s="52" t="str">
        <f t="shared" si="104"/>
        <v>KK-04607|42368|TRT-80-10</v>
      </c>
      <c r="J488" s="52" t="str">
        <f t="shared" si="107"/>
        <v>KK-04607</v>
      </c>
      <c r="K488" s="52" t="str">
        <f t="shared" si="108"/>
        <v>Hendro Hartono</v>
      </c>
      <c r="L488" s="52" t="str">
        <f t="shared" si="103"/>
        <v>TRT-80-10</v>
      </c>
      <c r="M488" s="82">
        <v>42368</v>
      </c>
      <c r="N488" s="2">
        <v>75000</v>
      </c>
    </row>
    <row r="489" spans="1:14" x14ac:dyDescent="0.35">
      <c r="A489" s="52" t="s">
        <v>6063</v>
      </c>
      <c r="C489" s="30" t="s">
        <v>20980</v>
      </c>
      <c r="D489" s="30" t="str">
        <f>"""TRUST Nav"",""HSPMTB2016"",""21"",""1"",""37423"""</f>
        <v>"TRUST Nav","HSPMTB2016","21","1","37423"</v>
      </c>
      <c r="I489" s="52" t="str">
        <f t="shared" si="104"/>
        <v>KK-04607|42368|TRT-80-10</v>
      </c>
      <c r="J489" s="52" t="str">
        <f t="shared" si="107"/>
        <v>KK-04607</v>
      </c>
      <c r="K489" s="52" t="str">
        <f t="shared" si="108"/>
        <v>Hendro Hartono</v>
      </c>
      <c r="L489" s="52" t="str">
        <f t="shared" si="103"/>
        <v>TRT-80-10</v>
      </c>
      <c r="M489" s="82">
        <v>42368</v>
      </c>
      <c r="N489" s="2">
        <v>75000</v>
      </c>
    </row>
    <row r="490" spans="1:14" x14ac:dyDescent="0.35">
      <c r="A490" s="52" t="s">
        <v>6063</v>
      </c>
      <c r="C490" s="30" t="s">
        <v>20980</v>
      </c>
      <c r="D490" s="30" t="str">
        <f>"""TRUST Nav"",""HSPMTB2016"",""21"",""1"",""37424"""</f>
        <v>"TRUST Nav","HSPMTB2016","21","1","37424"</v>
      </c>
      <c r="I490" s="52" t="str">
        <f t="shared" si="104"/>
        <v>KK-04607|42368|TRT-80-10</v>
      </c>
      <c r="J490" s="52" t="str">
        <f t="shared" si="107"/>
        <v>KK-04607</v>
      </c>
      <c r="K490" s="52" t="str">
        <f t="shared" si="108"/>
        <v>Hendro Hartono</v>
      </c>
      <c r="L490" s="52" t="str">
        <f t="shared" si="103"/>
        <v>TRT-80-10</v>
      </c>
      <c r="M490" s="82">
        <v>42368</v>
      </c>
      <c r="N490" s="2">
        <v>75000</v>
      </c>
    </row>
    <row r="491" spans="1:14" x14ac:dyDescent="0.35">
      <c r="A491" s="52" t="s">
        <v>6063</v>
      </c>
      <c r="C491" s="30" t="s">
        <v>20980</v>
      </c>
      <c r="D491" s="30" t="str">
        <f>"""TRUST Nav"",""HSPMTB2016"",""21"",""1"",""37425"""</f>
        <v>"TRUST Nav","HSPMTB2016","21","1","37425"</v>
      </c>
      <c r="I491" s="52" t="str">
        <f t="shared" si="104"/>
        <v>KK-04607|42368|TRT-80-10</v>
      </c>
      <c r="J491" s="52" t="str">
        <f t="shared" si="107"/>
        <v>KK-04607</v>
      </c>
      <c r="K491" s="52" t="str">
        <f t="shared" si="108"/>
        <v>Hendro Hartono</v>
      </c>
      <c r="L491" s="52" t="str">
        <f t="shared" si="103"/>
        <v>TRT-80-10</v>
      </c>
      <c r="M491" s="82">
        <v>42368</v>
      </c>
      <c r="N491" s="2">
        <v>75000</v>
      </c>
    </row>
    <row r="492" spans="1:14" x14ac:dyDescent="0.35">
      <c r="A492" s="52" t="s">
        <v>6063</v>
      </c>
      <c r="C492" s="30" t="s">
        <v>20980</v>
      </c>
      <c r="D492" s="30" t="str">
        <f>"""TRUST Nav"",""HSPMTB2016"",""21"",""1"",""37426"""</f>
        <v>"TRUST Nav","HSPMTB2016","21","1","37426"</v>
      </c>
      <c r="I492" s="52" t="str">
        <f t="shared" si="104"/>
        <v>KK-04607|42368|TRT-80-10</v>
      </c>
      <c r="J492" s="52" t="str">
        <f t="shared" si="107"/>
        <v>KK-04607</v>
      </c>
      <c r="K492" s="52" t="str">
        <f t="shared" si="108"/>
        <v>Hendro Hartono</v>
      </c>
      <c r="L492" s="52" t="str">
        <f t="shared" si="103"/>
        <v>TRT-80-10</v>
      </c>
      <c r="M492" s="82">
        <v>42368</v>
      </c>
      <c r="N492" s="2">
        <v>75000</v>
      </c>
    </row>
    <row r="493" spans="1:14" x14ac:dyDescent="0.35">
      <c r="A493" s="52" t="s">
        <v>6063</v>
      </c>
      <c r="C493" s="30" t="s">
        <v>20980</v>
      </c>
      <c r="D493" s="30" t="str">
        <f>"""TRUST Nav"",""HSPMTB2016"",""21"",""1"",""37427"""</f>
        <v>"TRUST Nav","HSPMTB2016","21","1","37427"</v>
      </c>
      <c r="I493" s="52" t="str">
        <f t="shared" si="104"/>
        <v>KK-04607|42368|TRT-80-10</v>
      </c>
      <c r="J493" s="52" t="str">
        <f t="shared" si="107"/>
        <v>KK-04607</v>
      </c>
      <c r="K493" s="52" t="str">
        <f t="shared" si="108"/>
        <v>Hendro Hartono</v>
      </c>
      <c r="L493" s="52" t="str">
        <f t="shared" si="103"/>
        <v>TRT-80-10</v>
      </c>
      <c r="M493" s="82">
        <v>42368</v>
      </c>
      <c r="N493" s="2">
        <v>75000</v>
      </c>
    </row>
    <row r="494" spans="1:14" x14ac:dyDescent="0.35">
      <c r="A494" s="52" t="s">
        <v>6063</v>
      </c>
      <c r="C494" s="30" t="s">
        <v>20980</v>
      </c>
      <c r="D494" s="30" t="str">
        <f>"""TRUST Nav"",""HSPMTB2016"",""21"",""1"",""73444"""</f>
        <v>"TRUST Nav","HSPMTB2016","21","1","73444"</v>
      </c>
      <c r="I494" s="52" t="str">
        <f t="shared" si="104"/>
        <v>KK-04607|42370|TRT-80-10</v>
      </c>
      <c r="J494" s="52" t="str">
        <f t="shared" si="107"/>
        <v>KK-04607</v>
      </c>
      <c r="K494" s="52" t="str">
        <f t="shared" si="108"/>
        <v>Hendro Hartono</v>
      </c>
      <c r="L494" s="52" t="str">
        <f t="shared" si="103"/>
        <v>TRT-80-10</v>
      </c>
      <c r="M494" s="82">
        <v>42370</v>
      </c>
      <c r="N494" s="2">
        <v>75000</v>
      </c>
    </row>
    <row r="495" spans="1:14" x14ac:dyDescent="0.35">
      <c r="A495" s="52" t="s">
        <v>6063</v>
      </c>
      <c r="C495" s="30" t="s">
        <v>20980</v>
      </c>
      <c r="D495" s="30" t="str">
        <f>"""TRUST Nav"",""HSPMTB2016"",""21"",""1"",""102573"""</f>
        <v>"TRUST Nav","HSPMTB2016","21","1","102573"</v>
      </c>
      <c r="I495" s="52" t="str">
        <f t="shared" si="104"/>
        <v>KK-04607|42401|TRT-80-10</v>
      </c>
      <c r="J495" s="52" t="str">
        <f t="shared" si="107"/>
        <v>KK-04607</v>
      </c>
      <c r="K495" s="52" t="str">
        <f t="shared" si="108"/>
        <v>Hendro Hartono</v>
      </c>
      <c r="L495" s="52" t="str">
        <f t="shared" si="103"/>
        <v>TRT-80-10</v>
      </c>
      <c r="M495" s="82">
        <v>42401</v>
      </c>
      <c r="N495" s="2">
        <v>75000</v>
      </c>
    </row>
    <row r="496" spans="1:14" x14ac:dyDescent="0.35">
      <c r="A496" s="52" t="s">
        <v>6063</v>
      </c>
      <c r="C496" s="30" t="s">
        <v>20980</v>
      </c>
      <c r="D496" s="30" t="str">
        <f>"""TRUST Nav"",""HSPMTB2016"",""21"",""1"",""122068"""</f>
        <v>"TRUST Nav","HSPMTB2016","21","1","122068"</v>
      </c>
      <c r="I496" s="52" t="str">
        <f t="shared" si="104"/>
        <v>KK-04607|42430|TRT-80-10</v>
      </c>
      <c r="J496" s="52" t="str">
        <f t="shared" si="107"/>
        <v>KK-04607</v>
      </c>
      <c r="K496" s="52" t="str">
        <f t="shared" si="108"/>
        <v>Hendro Hartono</v>
      </c>
      <c r="L496" s="52" t="str">
        <f t="shared" si="103"/>
        <v>TRT-80-10</v>
      </c>
      <c r="M496" s="82">
        <v>42430</v>
      </c>
      <c r="N496" s="2">
        <v>75000</v>
      </c>
    </row>
    <row r="497" spans="1:14" x14ac:dyDescent="0.35">
      <c r="A497" s="52" t="s">
        <v>6063</v>
      </c>
      <c r="C497" s="30" t="s">
        <v>20980</v>
      </c>
      <c r="D497" s="30" t="str">
        <f>"""TRUST Nav"",""HSPMTB2016"",""21"",""1"",""122069"""</f>
        <v>"TRUST Nav","HSPMTB2016","21","1","122069"</v>
      </c>
      <c r="I497" s="52" t="str">
        <f t="shared" si="104"/>
        <v>KK-04607|42461|TRT-80-10</v>
      </c>
      <c r="J497" s="52" t="str">
        <f t="shared" si="107"/>
        <v>KK-04607</v>
      </c>
      <c r="K497" s="52" t="str">
        <f t="shared" si="108"/>
        <v>Hendro Hartono</v>
      </c>
      <c r="L497" s="52" t="str">
        <f t="shared" si="103"/>
        <v>TRT-80-10</v>
      </c>
      <c r="M497" s="82">
        <v>42461</v>
      </c>
      <c r="N497" s="2">
        <v>75000</v>
      </c>
    </row>
    <row r="498" spans="1:14" x14ac:dyDescent="0.35">
      <c r="A498" s="52" t="s">
        <v>6063</v>
      </c>
      <c r="C498" s="30" t="s">
        <v>20980</v>
      </c>
      <c r="D498" s="30" t="str">
        <f>"""TRUST Nav"",""HSPMTB2016"",""21"",""1"",""122070"""</f>
        <v>"TRUST Nav","HSPMTB2016","21","1","122070"</v>
      </c>
      <c r="I498" s="52" t="str">
        <f t="shared" si="104"/>
        <v>KK-04607|42491|TRT-80-10</v>
      </c>
      <c r="J498" s="52" t="str">
        <f t="shared" si="107"/>
        <v>KK-04607</v>
      </c>
      <c r="K498" s="52" t="str">
        <f t="shared" si="108"/>
        <v>Hendro Hartono</v>
      </c>
      <c r="L498" s="52" t="str">
        <f t="shared" si="103"/>
        <v>TRT-80-10</v>
      </c>
      <c r="M498" s="82">
        <v>42491</v>
      </c>
      <c r="N498" s="2">
        <v>75000</v>
      </c>
    </row>
    <row r="499" spans="1:14" x14ac:dyDescent="0.35">
      <c r="A499" s="52" t="s">
        <v>6063</v>
      </c>
      <c r="C499" s="30" t="s">
        <v>20980</v>
      </c>
      <c r="D499" s="30" t="str">
        <f>"""TRUST Nav"",""HSPMTB2016"",""21"",""1"",""138839"""</f>
        <v>"TRUST Nav","HSPMTB2016","21","1","138839"</v>
      </c>
      <c r="I499" s="52" t="str">
        <f t="shared" si="104"/>
        <v>KK-04607|42522|TRT-80-10</v>
      </c>
      <c r="J499" s="52" t="str">
        <f t="shared" si="107"/>
        <v>KK-04607</v>
      </c>
      <c r="K499" s="52" t="str">
        <f t="shared" si="108"/>
        <v>Hendro Hartono</v>
      </c>
      <c r="L499" s="52" t="str">
        <f t="shared" si="103"/>
        <v>TRT-80-10</v>
      </c>
      <c r="M499" s="82">
        <v>42522</v>
      </c>
      <c r="N499" s="2">
        <v>75000</v>
      </c>
    </row>
    <row r="500" spans="1:14" x14ac:dyDescent="0.35">
      <c r="A500" s="52" t="s">
        <v>6063</v>
      </c>
      <c r="C500" s="30" t="s">
        <v>20980</v>
      </c>
      <c r="D500" s="30" t="str">
        <f>"""TRUST Nav"",""HSPMTB2016"",""21"",""1"",""138840"""</f>
        <v>"TRUST Nav","HSPMTB2016","21","1","138840"</v>
      </c>
      <c r="I500" s="52" t="str">
        <f t="shared" si="104"/>
        <v>KK-04607|42552|TRT-80-10</v>
      </c>
      <c r="J500" s="52" t="str">
        <f t="shared" si="107"/>
        <v>KK-04607</v>
      </c>
      <c r="K500" s="52" t="str">
        <f t="shared" si="108"/>
        <v>Hendro Hartono</v>
      </c>
      <c r="L500" s="52" t="str">
        <f t="shared" si="103"/>
        <v>TRT-80-10</v>
      </c>
      <c r="M500" s="82">
        <v>42552</v>
      </c>
      <c r="N500" s="2">
        <v>75000</v>
      </c>
    </row>
    <row r="501" spans="1:14" x14ac:dyDescent="0.35">
      <c r="A501" s="52" t="s">
        <v>6063</v>
      </c>
      <c r="C501" s="30" t="s">
        <v>20980</v>
      </c>
      <c r="D501" s="30" t="str">
        <f>"""TRUST Nav"",""HSPMTB2016"",""21"",""1"",""3629"""</f>
        <v>"TRUST Nav","HSPMTB2016","21","1","3629"</v>
      </c>
      <c r="I501" s="52" t="str">
        <f t="shared" si="104"/>
        <v>KK-04608|42186|TRT-80-10</v>
      </c>
      <c r="J501" s="52" t="str">
        <f t="shared" ref="J501:J520" si="109">"KK-04608"</f>
        <v>KK-04608</v>
      </c>
      <c r="K501" s="52" t="str">
        <f t="shared" ref="K501:K520" si="110">"Heru Prawono"</f>
        <v>Heru Prawono</v>
      </c>
      <c r="L501" s="52" t="str">
        <f t="shared" si="103"/>
        <v>TRT-80-10</v>
      </c>
      <c r="M501" s="82">
        <v>42186</v>
      </c>
      <c r="N501" s="2">
        <v>30000</v>
      </c>
    </row>
    <row r="502" spans="1:14" x14ac:dyDescent="0.35">
      <c r="A502" s="52" t="s">
        <v>6063</v>
      </c>
      <c r="C502" s="30" t="s">
        <v>20980</v>
      </c>
      <c r="D502" s="30" t="str">
        <f>"""TRUST Nav"",""HSPMTB2016"",""21"",""1"",""3630"""</f>
        <v>"TRUST Nav","HSPMTB2016","21","1","3630"</v>
      </c>
      <c r="I502" s="52" t="str">
        <f t="shared" si="104"/>
        <v>KK-04608|42217|TRT-80-10</v>
      </c>
      <c r="J502" s="52" t="str">
        <f t="shared" si="109"/>
        <v>KK-04608</v>
      </c>
      <c r="K502" s="52" t="str">
        <f t="shared" si="110"/>
        <v>Heru Prawono</v>
      </c>
      <c r="L502" s="52" t="str">
        <f t="shared" si="103"/>
        <v>TRT-80-10</v>
      </c>
      <c r="M502" s="82">
        <v>42217</v>
      </c>
      <c r="N502" s="2">
        <v>30000</v>
      </c>
    </row>
    <row r="503" spans="1:14" x14ac:dyDescent="0.35">
      <c r="A503" s="52" t="s">
        <v>6063</v>
      </c>
      <c r="C503" s="30" t="s">
        <v>20980</v>
      </c>
      <c r="D503" s="30" t="str">
        <f>"""TRUST Nav"",""HSPMTB2016"",""21"",""1"",""3631"""</f>
        <v>"TRUST Nav","HSPMTB2016","21","1","3631"</v>
      </c>
      <c r="I503" s="52" t="str">
        <f t="shared" si="104"/>
        <v>KK-04608|42248|TRT-80-10</v>
      </c>
      <c r="J503" s="52" t="str">
        <f t="shared" si="109"/>
        <v>KK-04608</v>
      </c>
      <c r="K503" s="52" t="str">
        <f t="shared" si="110"/>
        <v>Heru Prawono</v>
      </c>
      <c r="L503" s="52" t="str">
        <f t="shared" si="103"/>
        <v>TRT-80-10</v>
      </c>
      <c r="M503" s="82">
        <v>42248</v>
      </c>
      <c r="N503" s="2">
        <v>30000</v>
      </c>
    </row>
    <row r="504" spans="1:14" x14ac:dyDescent="0.35">
      <c r="A504" s="52" t="s">
        <v>6063</v>
      </c>
      <c r="C504" s="30" t="s">
        <v>20980</v>
      </c>
      <c r="D504" s="30" t="str">
        <f>"""TRUST Nav"",""HSPMTB2016"",""21"",""1"",""3632"""</f>
        <v>"TRUST Nav","HSPMTB2016","21","1","3632"</v>
      </c>
      <c r="I504" s="52" t="str">
        <f t="shared" si="104"/>
        <v>KK-04608|42278|TRT-80-10</v>
      </c>
      <c r="J504" s="52" t="str">
        <f t="shared" si="109"/>
        <v>KK-04608</v>
      </c>
      <c r="K504" s="52" t="str">
        <f t="shared" si="110"/>
        <v>Heru Prawono</v>
      </c>
      <c r="L504" s="52" t="str">
        <f t="shared" si="103"/>
        <v>TRT-80-10</v>
      </c>
      <c r="M504" s="82">
        <v>42278</v>
      </c>
      <c r="N504" s="2">
        <v>30000</v>
      </c>
    </row>
    <row r="505" spans="1:14" x14ac:dyDescent="0.35">
      <c r="A505" s="52" t="s">
        <v>6063</v>
      </c>
      <c r="C505" s="30" t="s">
        <v>20980</v>
      </c>
      <c r="D505" s="30" t="str">
        <f>"""TRUST Nav"",""HSPMTB2016"",""21"",""1"",""3633"""</f>
        <v>"TRUST Nav","HSPMTB2016","21","1","3633"</v>
      </c>
      <c r="I505" s="52" t="str">
        <f t="shared" si="104"/>
        <v>KK-04608|42309|TRT-80-10</v>
      </c>
      <c r="J505" s="52" t="str">
        <f t="shared" si="109"/>
        <v>KK-04608</v>
      </c>
      <c r="K505" s="52" t="str">
        <f t="shared" si="110"/>
        <v>Heru Prawono</v>
      </c>
      <c r="L505" s="52" t="str">
        <f t="shared" si="103"/>
        <v>TRT-80-10</v>
      </c>
      <c r="M505" s="82">
        <v>42309</v>
      </c>
      <c r="N505" s="2">
        <v>30000</v>
      </c>
    </row>
    <row r="506" spans="1:14" x14ac:dyDescent="0.35">
      <c r="A506" s="52" t="s">
        <v>6063</v>
      </c>
      <c r="C506" s="30" t="s">
        <v>20980</v>
      </c>
      <c r="D506" s="30" t="str">
        <f>"""TRUST Nav"",""HSPMTB2016"",""21"",""1"",""3634"""</f>
        <v>"TRUST Nav","HSPMTB2016","21","1","3634"</v>
      </c>
      <c r="I506" s="52" t="str">
        <f t="shared" si="104"/>
        <v>KK-04608|42339|TRT-80-10</v>
      </c>
      <c r="J506" s="52" t="str">
        <f t="shared" si="109"/>
        <v>KK-04608</v>
      </c>
      <c r="K506" s="52" t="str">
        <f t="shared" si="110"/>
        <v>Heru Prawono</v>
      </c>
      <c r="L506" s="52" t="str">
        <f t="shared" si="103"/>
        <v>TRT-80-10</v>
      </c>
      <c r="M506" s="82">
        <v>42339</v>
      </c>
      <c r="N506" s="2">
        <v>30000</v>
      </c>
    </row>
    <row r="507" spans="1:14" x14ac:dyDescent="0.35">
      <c r="A507" s="52" t="s">
        <v>6063</v>
      </c>
      <c r="C507" s="30" t="s">
        <v>20980</v>
      </c>
      <c r="D507" s="30" t="str">
        <f>"""TRUST Nav"",""HSPMTB2016"",""21"",""1"",""37428"""</f>
        <v>"TRUST Nav","HSPMTB2016","21","1","37428"</v>
      </c>
      <c r="I507" s="52" t="str">
        <f t="shared" si="104"/>
        <v>KK-04608|42368|TRT-80-10</v>
      </c>
      <c r="J507" s="52" t="str">
        <f t="shared" si="109"/>
        <v>KK-04608</v>
      </c>
      <c r="K507" s="52" t="str">
        <f t="shared" si="110"/>
        <v>Heru Prawono</v>
      </c>
      <c r="L507" s="52" t="str">
        <f t="shared" si="103"/>
        <v>TRT-80-10</v>
      </c>
      <c r="M507" s="82">
        <v>42368</v>
      </c>
      <c r="N507" s="2">
        <v>30000</v>
      </c>
    </row>
    <row r="508" spans="1:14" x14ac:dyDescent="0.35">
      <c r="A508" s="52" t="s">
        <v>6063</v>
      </c>
      <c r="C508" s="30" t="s">
        <v>20980</v>
      </c>
      <c r="D508" s="30" t="str">
        <f>"""TRUST Nav"",""HSPMTB2016"",""21"",""1"",""37429"""</f>
        <v>"TRUST Nav","HSPMTB2016","21","1","37429"</v>
      </c>
      <c r="I508" s="52" t="str">
        <f t="shared" si="104"/>
        <v>KK-04608|42368|TRT-80-10</v>
      </c>
      <c r="J508" s="52" t="str">
        <f t="shared" si="109"/>
        <v>KK-04608</v>
      </c>
      <c r="K508" s="52" t="str">
        <f t="shared" si="110"/>
        <v>Heru Prawono</v>
      </c>
      <c r="L508" s="52" t="str">
        <f t="shared" si="103"/>
        <v>TRT-80-10</v>
      </c>
      <c r="M508" s="82">
        <v>42368</v>
      </c>
      <c r="N508" s="2">
        <v>30000</v>
      </c>
    </row>
    <row r="509" spans="1:14" x14ac:dyDescent="0.35">
      <c r="A509" s="52" t="s">
        <v>6063</v>
      </c>
      <c r="C509" s="30" t="s">
        <v>20980</v>
      </c>
      <c r="D509" s="30" t="str">
        <f>"""TRUST Nav"",""HSPMTB2016"",""21"",""1"",""37430"""</f>
        <v>"TRUST Nav","HSPMTB2016","21","1","37430"</v>
      </c>
      <c r="I509" s="52" t="str">
        <f t="shared" si="104"/>
        <v>KK-04608|42368|TRT-80-10</v>
      </c>
      <c r="J509" s="52" t="str">
        <f t="shared" si="109"/>
        <v>KK-04608</v>
      </c>
      <c r="K509" s="52" t="str">
        <f t="shared" si="110"/>
        <v>Heru Prawono</v>
      </c>
      <c r="L509" s="52" t="str">
        <f t="shared" si="103"/>
        <v>TRT-80-10</v>
      </c>
      <c r="M509" s="82">
        <v>42368</v>
      </c>
      <c r="N509" s="2">
        <v>30000</v>
      </c>
    </row>
    <row r="510" spans="1:14" x14ac:dyDescent="0.35">
      <c r="A510" s="52" t="s">
        <v>6063</v>
      </c>
      <c r="C510" s="30" t="s">
        <v>20980</v>
      </c>
      <c r="D510" s="30" t="str">
        <f>"""TRUST Nav"",""HSPMTB2016"",""21"",""1"",""37431"""</f>
        <v>"TRUST Nav","HSPMTB2016","21","1","37431"</v>
      </c>
      <c r="I510" s="52" t="str">
        <f t="shared" si="104"/>
        <v>KK-04608|42368|TRT-80-10</v>
      </c>
      <c r="J510" s="52" t="str">
        <f t="shared" si="109"/>
        <v>KK-04608</v>
      </c>
      <c r="K510" s="52" t="str">
        <f t="shared" si="110"/>
        <v>Heru Prawono</v>
      </c>
      <c r="L510" s="52" t="str">
        <f t="shared" si="103"/>
        <v>TRT-80-10</v>
      </c>
      <c r="M510" s="82">
        <v>42368</v>
      </c>
      <c r="N510" s="2">
        <v>30000</v>
      </c>
    </row>
    <row r="511" spans="1:14" x14ac:dyDescent="0.35">
      <c r="A511" s="52" t="s">
        <v>6063</v>
      </c>
      <c r="C511" s="30" t="s">
        <v>20980</v>
      </c>
      <c r="D511" s="30" t="str">
        <f>"""TRUST Nav"",""HSPMTB2016"",""21"",""1"",""37432"""</f>
        <v>"TRUST Nav","HSPMTB2016","21","1","37432"</v>
      </c>
      <c r="I511" s="52" t="str">
        <f t="shared" si="104"/>
        <v>KK-04608|42368|TRT-80-10</v>
      </c>
      <c r="J511" s="52" t="str">
        <f t="shared" si="109"/>
        <v>KK-04608</v>
      </c>
      <c r="K511" s="52" t="str">
        <f t="shared" si="110"/>
        <v>Heru Prawono</v>
      </c>
      <c r="L511" s="52" t="str">
        <f t="shared" si="103"/>
        <v>TRT-80-10</v>
      </c>
      <c r="M511" s="82">
        <v>42368</v>
      </c>
      <c r="N511" s="2">
        <v>30000</v>
      </c>
    </row>
    <row r="512" spans="1:14" x14ac:dyDescent="0.35">
      <c r="A512" s="52" t="s">
        <v>6063</v>
      </c>
      <c r="C512" s="30" t="s">
        <v>20980</v>
      </c>
      <c r="D512" s="30" t="str">
        <f>"""TRUST Nav"",""HSPMTB2016"",""21"",""1"",""37433"""</f>
        <v>"TRUST Nav","HSPMTB2016","21","1","37433"</v>
      </c>
      <c r="I512" s="52" t="str">
        <f t="shared" si="104"/>
        <v>KK-04608|42368|TRT-80-10</v>
      </c>
      <c r="J512" s="52" t="str">
        <f t="shared" si="109"/>
        <v>KK-04608</v>
      </c>
      <c r="K512" s="52" t="str">
        <f t="shared" si="110"/>
        <v>Heru Prawono</v>
      </c>
      <c r="L512" s="52" t="str">
        <f t="shared" si="103"/>
        <v>TRT-80-10</v>
      </c>
      <c r="M512" s="82">
        <v>42368</v>
      </c>
      <c r="N512" s="2">
        <v>30000</v>
      </c>
    </row>
    <row r="513" spans="1:14" x14ac:dyDescent="0.35">
      <c r="A513" s="52" t="s">
        <v>6063</v>
      </c>
      <c r="C513" s="30" t="s">
        <v>20980</v>
      </c>
      <c r="D513" s="30" t="str">
        <f>"""TRUST Nav"",""HSPMTB2016"",""21"",""1"",""73445"""</f>
        <v>"TRUST Nav","HSPMTB2016","21","1","73445"</v>
      </c>
      <c r="I513" s="52" t="str">
        <f t="shared" si="104"/>
        <v>KK-04608|42370|TRT-80-10</v>
      </c>
      <c r="J513" s="52" t="str">
        <f t="shared" si="109"/>
        <v>KK-04608</v>
      </c>
      <c r="K513" s="52" t="str">
        <f t="shared" si="110"/>
        <v>Heru Prawono</v>
      </c>
      <c r="L513" s="52" t="str">
        <f t="shared" si="103"/>
        <v>TRT-80-10</v>
      </c>
      <c r="M513" s="82">
        <v>42370</v>
      </c>
      <c r="N513" s="2">
        <v>30000</v>
      </c>
    </row>
    <row r="514" spans="1:14" x14ac:dyDescent="0.35">
      <c r="A514" s="52" t="s">
        <v>6063</v>
      </c>
      <c r="C514" s="30" t="s">
        <v>20980</v>
      </c>
      <c r="D514" s="30" t="str">
        <f>"""TRUST Nav"",""HSPMTB2016"",""21"",""1"",""85247"""</f>
        <v>"TRUST Nav","HSPMTB2016","21","1","85247"</v>
      </c>
      <c r="I514" s="52" t="str">
        <f t="shared" si="104"/>
        <v>KK-04608|42401|TRT-80-10</v>
      </c>
      <c r="J514" s="52" t="str">
        <f t="shared" si="109"/>
        <v>KK-04608</v>
      </c>
      <c r="K514" s="52" t="str">
        <f t="shared" si="110"/>
        <v>Heru Prawono</v>
      </c>
      <c r="L514" s="52" t="str">
        <f t="shared" si="103"/>
        <v>TRT-80-10</v>
      </c>
      <c r="M514" s="82">
        <v>42401</v>
      </c>
      <c r="N514" s="2">
        <v>30000</v>
      </c>
    </row>
    <row r="515" spans="1:14" x14ac:dyDescent="0.35">
      <c r="A515" s="52" t="s">
        <v>6063</v>
      </c>
      <c r="C515" s="30" t="s">
        <v>20980</v>
      </c>
      <c r="D515" s="30" t="str">
        <f>"""TRUST Nav"",""HSPMTB2016"",""21"",""1"",""102574"""</f>
        <v>"TRUST Nav","HSPMTB2016","21","1","102574"</v>
      </c>
      <c r="I515" s="52" t="str">
        <f t="shared" si="104"/>
        <v>KK-04608|42430|TRT-80-10</v>
      </c>
      <c r="J515" s="52" t="str">
        <f t="shared" si="109"/>
        <v>KK-04608</v>
      </c>
      <c r="K515" s="52" t="str">
        <f t="shared" si="110"/>
        <v>Heru Prawono</v>
      </c>
      <c r="L515" s="52" t="str">
        <f t="shared" si="103"/>
        <v>TRT-80-10</v>
      </c>
      <c r="M515" s="82">
        <v>42430</v>
      </c>
      <c r="N515" s="2">
        <v>30000</v>
      </c>
    </row>
    <row r="516" spans="1:14" x14ac:dyDescent="0.35">
      <c r="A516" s="52" t="s">
        <v>6063</v>
      </c>
      <c r="C516" s="30" t="s">
        <v>20980</v>
      </c>
      <c r="D516" s="30" t="str">
        <f>"""TRUST Nav"",""HSPMTB2016"",""21"",""1"",""102575"""</f>
        <v>"TRUST Nav","HSPMTB2016","21","1","102575"</v>
      </c>
      <c r="I516" s="52" t="str">
        <f t="shared" si="104"/>
        <v>KK-04608|42461|TRT-80-10</v>
      </c>
      <c r="J516" s="52" t="str">
        <f t="shared" si="109"/>
        <v>KK-04608</v>
      </c>
      <c r="K516" s="52" t="str">
        <f t="shared" si="110"/>
        <v>Heru Prawono</v>
      </c>
      <c r="L516" s="52" t="str">
        <f t="shared" si="103"/>
        <v>TRT-80-10</v>
      </c>
      <c r="M516" s="82">
        <v>42461</v>
      </c>
      <c r="N516" s="2">
        <v>30000</v>
      </c>
    </row>
    <row r="517" spans="1:14" x14ac:dyDescent="0.35">
      <c r="A517" s="52" t="s">
        <v>6063</v>
      </c>
      <c r="C517" s="30" t="s">
        <v>20980</v>
      </c>
      <c r="D517" s="30" t="str">
        <f>"""TRUST Nav"",""HSPMTB2016"",""21"",""1"",""116897"""</f>
        <v>"TRUST Nav","HSPMTB2016","21","1","116897"</v>
      </c>
      <c r="I517" s="52" t="str">
        <f t="shared" si="104"/>
        <v>KK-04608|42491|TRT-80-10</v>
      </c>
      <c r="J517" s="52" t="str">
        <f t="shared" si="109"/>
        <v>KK-04608</v>
      </c>
      <c r="K517" s="52" t="str">
        <f t="shared" si="110"/>
        <v>Heru Prawono</v>
      </c>
      <c r="L517" s="52" t="str">
        <f t="shared" si="103"/>
        <v>TRT-80-10</v>
      </c>
      <c r="M517" s="82">
        <v>42491</v>
      </c>
      <c r="N517" s="2">
        <v>30000</v>
      </c>
    </row>
    <row r="518" spans="1:14" x14ac:dyDescent="0.35">
      <c r="A518" s="52" t="s">
        <v>6063</v>
      </c>
      <c r="C518" s="30" t="s">
        <v>20980</v>
      </c>
      <c r="D518" s="30" t="str">
        <f>"""TRUST Nav"",""HSPMTB2016"",""21"",""1"",""122071"""</f>
        <v>"TRUST Nav","HSPMTB2016","21","1","122071"</v>
      </c>
      <c r="I518" s="52" t="str">
        <f t="shared" si="104"/>
        <v>KK-04608|42522|TRT-80-10</v>
      </c>
      <c r="J518" s="52" t="str">
        <f t="shared" si="109"/>
        <v>KK-04608</v>
      </c>
      <c r="K518" s="52" t="str">
        <f t="shared" si="110"/>
        <v>Heru Prawono</v>
      </c>
      <c r="L518" s="52" t="str">
        <f t="shared" si="103"/>
        <v>TRT-80-10</v>
      </c>
      <c r="M518" s="82">
        <v>42522</v>
      </c>
      <c r="N518" s="2">
        <v>30000</v>
      </c>
    </row>
    <row r="519" spans="1:14" x14ac:dyDescent="0.35">
      <c r="A519" s="52" t="s">
        <v>6063</v>
      </c>
      <c r="C519" s="30" t="s">
        <v>20980</v>
      </c>
      <c r="D519" s="30" t="str">
        <f>"""TRUST Nav"",""HSPMTB2016"",""21"",""1"",""129722"""</f>
        <v>"TRUST Nav","HSPMTB2016","21","1","129722"</v>
      </c>
      <c r="I519" s="52" t="str">
        <f t="shared" si="104"/>
        <v>KK-04608|42552|TRT-80-10</v>
      </c>
      <c r="J519" s="52" t="str">
        <f t="shared" si="109"/>
        <v>KK-04608</v>
      </c>
      <c r="K519" s="52" t="str">
        <f t="shared" si="110"/>
        <v>Heru Prawono</v>
      </c>
      <c r="L519" s="52" t="str">
        <f t="shared" si="103"/>
        <v>TRT-80-10</v>
      </c>
      <c r="M519" s="82">
        <v>42552</v>
      </c>
      <c r="N519" s="2">
        <v>30000</v>
      </c>
    </row>
    <row r="520" spans="1:14" x14ac:dyDescent="0.35">
      <c r="A520" s="52" t="s">
        <v>6063</v>
      </c>
      <c r="C520" s="30" t="s">
        <v>20980</v>
      </c>
      <c r="D520" s="30" t="str">
        <f>"""TRUST Nav"",""HSPMTB2016"",""21"",""1"",""138841"""</f>
        <v>"TRUST Nav","HSPMTB2016","21","1","138841"</v>
      </c>
      <c r="I520" s="52" t="str">
        <f t="shared" si="104"/>
        <v>KK-04608|42583|TRT-80-10</v>
      </c>
      <c r="J520" s="52" t="str">
        <f t="shared" si="109"/>
        <v>KK-04608</v>
      </c>
      <c r="K520" s="52" t="str">
        <f t="shared" si="110"/>
        <v>Heru Prawono</v>
      </c>
      <c r="L520" s="52" t="str">
        <f t="shared" si="103"/>
        <v>TRT-80-10</v>
      </c>
      <c r="M520" s="82">
        <v>42583</v>
      </c>
      <c r="N520" s="2">
        <v>30000</v>
      </c>
    </row>
    <row r="521" spans="1:14" x14ac:dyDescent="0.35">
      <c r="A521" s="52" t="s">
        <v>6063</v>
      </c>
      <c r="C521" s="30" t="s">
        <v>20980</v>
      </c>
      <c r="D521" s="30" t="str">
        <f>"""TRUST Nav"",""HSPMTB2016"",""21"",""1"",""3635"""</f>
        <v>"TRUST Nav","HSPMTB2016","21","1","3635"</v>
      </c>
      <c r="I521" s="52" t="str">
        <f t="shared" si="104"/>
        <v>KK-04609|42186|TRT-80-10</v>
      </c>
      <c r="J521" s="52" t="str">
        <f t="shared" ref="J521:J536" si="111">"KK-04609"</f>
        <v>KK-04609</v>
      </c>
      <c r="K521" s="52" t="str">
        <f t="shared" ref="K521:K536" si="112">"Jofenwali"</f>
        <v>Jofenwali</v>
      </c>
      <c r="L521" s="52" t="str">
        <f t="shared" si="103"/>
        <v>TRT-80-10</v>
      </c>
      <c r="M521" s="82">
        <v>42186</v>
      </c>
      <c r="N521" s="2">
        <v>25000.000000000004</v>
      </c>
    </row>
    <row r="522" spans="1:14" x14ac:dyDescent="0.35">
      <c r="A522" s="52" t="s">
        <v>6063</v>
      </c>
      <c r="C522" s="30" t="s">
        <v>20980</v>
      </c>
      <c r="D522" s="30" t="str">
        <f>"""TRUST Nav"",""HSPMTB2016"",""21"",""1"",""3636"""</f>
        <v>"TRUST Nav","HSPMTB2016","21","1","3636"</v>
      </c>
      <c r="I522" s="52" t="str">
        <f t="shared" si="104"/>
        <v>KK-04609|42217|TRT-80-10</v>
      </c>
      <c r="J522" s="52" t="str">
        <f t="shared" si="111"/>
        <v>KK-04609</v>
      </c>
      <c r="K522" s="52" t="str">
        <f t="shared" si="112"/>
        <v>Jofenwali</v>
      </c>
      <c r="L522" s="52" t="str">
        <f t="shared" ref="L522:L585" si="113">"TRT-80-10"</f>
        <v>TRT-80-10</v>
      </c>
      <c r="M522" s="82">
        <v>42217</v>
      </c>
      <c r="N522" s="2">
        <v>25000.000000000004</v>
      </c>
    </row>
    <row r="523" spans="1:14" x14ac:dyDescent="0.35">
      <c r="A523" s="52" t="s">
        <v>6063</v>
      </c>
      <c r="C523" s="30" t="s">
        <v>20980</v>
      </c>
      <c r="D523" s="30" t="str">
        <f>"""TRUST Nav"",""HSPMTB2016"",""21"",""1"",""3637"""</f>
        <v>"TRUST Nav","HSPMTB2016","21","1","3637"</v>
      </c>
      <c r="I523" s="52" t="str">
        <f t="shared" ref="I523:I586" si="114">CONCATENATE(J523,"|",M523,"|",L523)</f>
        <v>KK-04609|42248|TRT-80-10</v>
      </c>
      <c r="J523" s="52" t="str">
        <f t="shared" si="111"/>
        <v>KK-04609</v>
      </c>
      <c r="K523" s="52" t="str">
        <f t="shared" si="112"/>
        <v>Jofenwali</v>
      </c>
      <c r="L523" s="52" t="str">
        <f t="shared" si="113"/>
        <v>TRT-80-10</v>
      </c>
      <c r="M523" s="82">
        <v>42248</v>
      </c>
      <c r="N523" s="2">
        <v>25000.000000000004</v>
      </c>
    </row>
    <row r="524" spans="1:14" x14ac:dyDescent="0.35">
      <c r="A524" s="52" t="s">
        <v>6063</v>
      </c>
      <c r="C524" s="30" t="s">
        <v>20980</v>
      </c>
      <c r="D524" s="30" t="str">
        <f>"""TRUST Nav"",""HSPMTB2016"",""21"",""1"",""3638"""</f>
        <v>"TRUST Nav","HSPMTB2016","21","1","3638"</v>
      </c>
      <c r="I524" s="52" t="str">
        <f t="shared" si="114"/>
        <v>KK-04609|42278|TRT-80-10</v>
      </c>
      <c r="J524" s="52" t="str">
        <f t="shared" si="111"/>
        <v>KK-04609</v>
      </c>
      <c r="K524" s="52" t="str">
        <f t="shared" si="112"/>
        <v>Jofenwali</v>
      </c>
      <c r="L524" s="52" t="str">
        <f t="shared" si="113"/>
        <v>TRT-80-10</v>
      </c>
      <c r="M524" s="82">
        <v>42278</v>
      </c>
      <c r="N524" s="2">
        <v>25000.000000000004</v>
      </c>
    </row>
    <row r="525" spans="1:14" x14ac:dyDescent="0.35">
      <c r="A525" s="52" t="s">
        <v>6063</v>
      </c>
      <c r="C525" s="30" t="s">
        <v>20980</v>
      </c>
      <c r="D525" s="30" t="str">
        <f>"""TRUST Nav"",""HSPMTB2016"",""21"",""1"",""3639"""</f>
        <v>"TRUST Nav","HSPMTB2016","21","1","3639"</v>
      </c>
      <c r="I525" s="52" t="str">
        <f t="shared" si="114"/>
        <v>KK-04609|42309|TRT-80-10</v>
      </c>
      <c r="J525" s="52" t="str">
        <f t="shared" si="111"/>
        <v>KK-04609</v>
      </c>
      <c r="K525" s="52" t="str">
        <f t="shared" si="112"/>
        <v>Jofenwali</v>
      </c>
      <c r="L525" s="52" t="str">
        <f t="shared" si="113"/>
        <v>TRT-80-10</v>
      </c>
      <c r="M525" s="82">
        <v>42309</v>
      </c>
      <c r="N525" s="2">
        <v>25000.000000000004</v>
      </c>
    </row>
    <row r="526" spans="1:14" x14ac:dyDescent="0.35">
      <c r="A526" s="52" t="s">
        <v>6063</v>
      </c>
      <c r="C526" s="30" t="s">
        <v>20980</v>
      </c>
      <c r="D526" s="30" t="str">
        <f>"""TRUST Nav"",""HSPMTB2016"",""21"",""1"",""3640"""</f>
        <v>"TRUST Nav","HSPMTB2016","21","1","3640"</v>
      </c>
      <c r="I526" s="52" t="str">
        <f t="shared" si="114"/>
        <v>KK-04609|42339|TRT-80-10</v>
      </c>
      <c r="J526" s="52" t="str">
        <f t="shared" si="111"/>
        <v>KK-04609</v>
      </c>
      <c r="K526" s="52" t="str">
        <f t="shared" si="112"/>
        <v>Jofenwali</v>
      </c>
      <c r="L526" s="52" t="str">
        <f t="shared" si="113"/>
        <v>TRT-80-10</v>
      </c>
      <c r="M526" s="82">
        <v>42339</v>
      </c>
      <c r="N526" s="2">
        <v>25000.000000000004</v>
      </c>
    </row>
    <row r="527" spans="1:14" x14ac:dyDescent="0.35">
      <c r="A527" s="52" t="s">
        <v>6063</v>
      </c>
      <c r="C527" s="30" t="s">
        <v>20980</v>
      </c>
      <c r="D527" s="30" t="str">
        <f>"""TRUST Nav"",""HSPMTB2016"",""21"",""1"",""37434"""</f>
        <v>"TRUST Nav","HSPMTB2016","21","1","37434"</v>
      </c>
      <c r="I527" s="52" t="str">
        <f t="shared" si="114"/>
        <v>KK-04609|42368|TRT-80-10</v>
      </c>
      <c r="J527" s="52" t="str">
        <f t="shared" si="111"/>
        <v>KK-04609</v>
      </c>
      <c r="K527" s="52" t="str">
        <f t="shared" si="112"/>
        <v>Jofenwali</v>
      </c>
      <c r="L527" s="52" t="str">
        <f t="shared" si="113"/>
        <v>TRT-80-10</v>
      </c>
      <c r="M527" s="82">
        <v>42368</v>
      </c>
      <c r="N527" s="2">
        <v>25000.000000000004</v>
      </c>
    </row>
    <row r="528" spans="1:14" x14ac:dyDescent="0.35">
      <c r="A528" s="52" t="s">
        <v>6063</v>
      </c>
      <c r="C528" s="30" t="s">
        <v>20980</v>
      </c>
      <c r="D528" s="30" t="str">
        <f>"""TRUST Nav"",""HSPMTB2016"",""21"",""1"",""37435"""</f>
        <v>"TRUST Nav","HSPMTB2016","21","1","37435"</v>
      </c>
      <c r="I528" s="52" t="str">
        <f t="shared" si="114"/>
        <v>KK-04609|42368|TRT-80-10</v>
      </c>
      <c r="J528" s="52" t="str">
        <f t="shared" si="111"/>
        <v>KK-04609</v>
      </c>
      <c r="K528" s="52" t="str">
        <f t="shared" si="112"/>
        <v>Jofenwali</v>
      </c>
      <c r="L528" s="52" t="str">
        <f t="shared" si="113"/>
        <v>TRT-80-10</v>
      </c>
      <c r="M528" s="82">
        <v>42368</v>
      </c>
      <c r="N528" s="2">
        <v>25000.000000000004</v>
      </c>
    </row>
    <row r="529" spans="1:14" x14ac:dyDescent="0.35">
      <c r="A529" s="52" t="s">
        <v>6063</v>
      </c>
      <c r="C529" s="30" t="s">
        <v>20980</v>
      </c>
      <c r="D529" s="30" t="str">
        <f>"""TRUST Nav"",""HSPMTB2016"",""21"",""1"",""37436"""</f>
        <v>"TRUST Nav","HSPMTB2016","21","1","37436"</v>
      </c>
      <c r="I529" s="52" t="str">
        <f t="shared" si="114"/>
        <v>KK-04609|42368|TRT-80-10</v>
      </c>
      <c r="J529" s="52" t="str">
        <f t="shared" si="111"/>
        <v>KK-04609</v>
      </c>
      <c r="K529" s="52" t="str">
        <f t="shared" si="112"/>
        <v>Jofenwali</v>
      </c>
      <c r="L529" s="52" t="str">
        <f t="shared" si="113"/>
        <v>TRT-80-10</v>
      </c>
      <c r="M529" s="82">
        <v>42368</v>
      </c>
      <c r="N529" s="2">
        <v>25000.000000000004</v>
      </c>
    </row>
    <row r="530" spans="1:14" x14ac:dyDescent="0.35">
      <c r="A530" s="52" t="s">
        <v>6063</v>
      </c>
      <c r="C530" s="30" t="s">
        <v>20980</v>
      </c>
      <c r="D530" s="30" t="str">
        <f>"""TRUST Nav"",""HSPMTB2016"",""21"",""1"",""37437"""</f>
        <v>"TRUST Nav","HSPMTB2016","21","1","37437"</v>
      </c>
      <c r="I530" s="52" t="str">
        <f t="shared" si="114"/>
        <v>KK-04609|42368|TRT-80-10</v>
      </c>
      <c r="J530" s="52" t="str">
        <f t="shared" si="111"/>
        <v>KK-04609</v>
      </c>
      <c r="K530" s="52" t="str">
        <f t="shared" si="112"/>
        <v>Jofenwali</v>
      </c>
      <c r="L530" s="52" t="str">
        <f t="shared" si="113"/>
        <v>TRT-80-10</v>
      </c>
      <c r="M530" s="82">
        <v>42368</v>
      </c>
      <c r="N530" s="2">
        <v>25000.000000000004</v>
      </c>
    </row>
    <row r="531" spans="1:14" x14ac:dyDescent="0.35">
      <c r="A531" s="52" t="s">
        <v>6063</v>
      </c>
      <c r="C531" s="30" t="s">
        <v>20980</v>
      </c>
      <c r="D531" s="30" t="str">
        <f>"""TRUST Nav"",""HSPMTB2016"",""21"",""1"",""37438"""</f>
        <v>"TRUST Nav","HSPMTB2016","21","1","37438"</v>
      </c>
      <c r="I531" s="52" t="str">
        <f t="shared" si="114"/>
        <v>KK-04609|42368|TRT-80-10</v>
      </c>
      <c r="J531" s="52" t="str">
        <f t="shared" si="111"/>
        <v>KK-04609</v>
      </c>
      <c r="K531" s="52" t="str">
        <f t="shared" si="112"/>
        <v>Jofenwali</v>
      </c>
      <c r="L531" s="52" t="str">
        <f t="shared" si="113"/>
        <v>TRT-80-10</v>
      </c>
      <c r="M531" s="82">
        <v>42368</v>
      </c>
      <c r="N531" s="2">
        <v>25000.000000000004</v>
      </c>
    </row>
    <row r="532" spans="1:14" x14ac:dyDescent="0.35">
      <c r="A532" s="52" t="s">
        <v>6063</v>
      </c>
      <c r="C532" s="30" t="s">
        <v>20980</v>
      </c>
      <c r="D532" s="30" t="str">
        <f>"""TRUST Nav"",""HSPMTB2016"",""21"",""1"",""37439"""</f>
        <v>"TRUST Nav","HSPMTB2016","21","1","37439"</v>
      </c>
      <c r="I532" s="52" t="str">
        <f t="shared" si="114"/>
        <v>KK-04609|42368|TRT-80-10</v>
      </c>
      <c r="J532" s="52" t="str">
        <f t="shared" si="111"/>
        <v>KK-04609</v>
      </c>
      <c r="K532" s="52" t="str">
        <f t="shared" si="112"/>
        <v>Jofenwali</v>
      </c>
      <c r="L532" s="52" t="str">
        <f t="shared" si="113"/>
        <v>TRT-80-10</v>
      </c>
      <c r="M532" s="82">
        <v>42368</v>
      </c>
      <c r="N532" s="2">
        <v>25000.000000000004</v>
      </c>
    </row>
    <row r="533" spans="1:14" x14ac:dyDescent="0.35">
      <c r="A533" s="52" t="s">
        <v>6063</v>
      </c>
      <c r="C533" s="30" t="s">
        <v>20980</v>
      </c>
      <c r="D533" s="30" t="str">
        <f>"""TRUST Nav"",""HSPMTB2016"",""21"",""1"",""85248"""</f>
        <v>"TRUST Nav","HSPMTB2016","21","1","85248"</v>
      </c>
      <c r="I533" s="52" t="str">
        <f t="shared" si="114"/>
        <v>KK-04609|42370|TRT-80-10</v>
      </c>
      <c r="J533" s="52" t="str">
        <f t="shared" si="111"/>
        <v>KK-04609</v>
      </c>
      <c r="K533" s="52" t="str">
        <f t="shared" si="112"/>
        <v>Jofenwali</v>
      </c>
      <c r="L533" s="52" t="str">
        <f t="shared" si="113"/>
        <v>TRT-80-10</v>
      </c>
      <c r="M533" s="82">
        <v>42370</v>
      </c>
      <c r="N533" s="2">
        <v>25000.000000000004</v>
      </c>
    </row>
    <row r="534" spans="1:14" x14ac:dyDescent="0.35">
      <c r="A534" s="52" t="s">
        <v>6063</v>
      </c>
      <c r="C534" s="30" t="s">
        <v>20980</v>
      </c>
      <c r="D534" s="30" t="str">
        <f>"""TRUST Nav"",""HSPMTB2016"",""21"",""1"",""85249"""</f>
        <v>"TRUST Nav","HSPMTB2016","21","1","85249"</v>
      </c>
      <c r="I534" s="52" t="str">
        <f t="shared" si="114"/>
        <v>KK-04609|42401|TRT-80-10</v>
      </c>
      <c r="J534" s="52" t="str">
        <f t="shared" si="111"/>
        <v>KK-04609</v>
      </c>
      <c r="K534" s="52" t="str">
        <f t="shared" si="112"/>
        <v>Jofenwali</v>
      </c>
      <c r="L534" s="52" t="str">
        <f t="shared" si="113"/>
        <v>TRT-80-10</v>
      </c>
      <c r="M534" s="82">
        <v>42401</v>
      </c>
      <c r="N534" s="2">
        <v>25000.000000000004</v>
      </c>
    </row>
    <row r="535" spans="1:14" x14ac:dyDescent="0.35">
      <c r="A535" s="52" t="s">
        <v>6063</v>
      </c>
      <c r="C535" s="30" t="s">
        <v>20980</v>
      </c>
      <c r="D535" s="30" t="str">
        <f>"""TRUST Nav"",""HSPMTB2016"",""21"",""1"",""116898"""</f>
        <v>"TRUST Nav","HSPMTB2016","21","1","116898"</v>
      </c>
      <c r="I535" s="52" t="str">
        <f t="shared" si="114"/>
        <v>KK-04609|42430|TRT-80-10</v>
      </c>
      <c r="J535" s="52" t="str">
        <f t="shared" si="111"/>
        <v>KK-04609</v>
      </c>
      <c r="K535" s="52" t="str">
        <f t="shared" si="112"/>
        <v>Jofenwali</v>
      </c>
      <c r="L535" s="52" t="str">
        <f t="shared" si="113"/>
        <v>TRT-80-10</v>
      </c>
      <c r="M535" s="82">
        <v>42430</v>
      </c>
      <c r="N535" s="2">
        <v>25000.000000000004</v>
      </c>
    </row>
    <row r="536" spans="1:14" x14ac:dyDescent="0.35">
      <c r="A536" s="52" t="s">
        <v>6063</v>
      </c>
      <c r="C536" s="30" t="s">
        <v>20980</v>
      </c>
      <c r="D536" s="30" t="str">
        <f>"""TRUST Nav"",""HSPMTB2016"",""21"",""1"",""116899"""</f>
        <v>"TRUST Nav","HSPMTB2016","21","1","116899"</v>
      </c>
      <c r="I536" s="52" t="str">
        <f t="shared" si="114"/>
        <v>KK-04609|42461|TRT-80-10</v>
      </c>
      <c r="J536" s="52" t="str">
        <f t="shared" si="111"/>
        <v>KK-04609</v>
      </c>
      <c r="K536" s="52" t="str">
        <f t="shared" si="112"/>
        <v>Jofenwali</v>
      </c>
      <c r="L536" s="52" t="str">
        <f t="shared" si="113"/>
        <v>TRT-80-10</v>
      </c>
      <c r="M536" s="82">
        <v>42461</v>
      </c>
      <c r="N536" s="2">
        <v>25000.000000000004</v>
      </c>
    </row>
    <row r="537" spans="1:14" x14ac:dyDescent="0.35">
      <c r="A537" s="52" t="s">
        <v>6063</v>
      </c>
      <c r="C537" s="30" t="s">
        <v>20980</v>
      </c>
      <c r="D537" s="30" t="str">
        <f>"""TRUST Nav"",""HSPMTB2016"",""21"",""1"",""3641"""</f>
        <v>"TRUST Nav","HSPMTB2016","21","1","3641"</v>
      </c>
      <c r="I537" s="52" t="str">
        <f t="shared" si="114"/>
        <v>KK-04611|42186|TRT-80-10</v>
      </c>
      <c r="J537" s="52" t="str">
        <f t="shared" ref="J537:J557" si="115">"KK-04611"</f>
        <v>KK-04611</v>
      </c>
      <c r="K537" s="52" t="str">
        <f t="shared" ref="K537:K557" si="116">"Leonardus Tjhin Tje Ming"</f>
        <v>Leonardus Tjhin Tje Ming</v>
      </c>
      <c r="L537" s="52" t="str">
        <f t="shared" si="113"/>
        <v>TRT-80-10</v>
      </c>
      <c r="M537" s="82">
        <v>42186</v>
      </c>
      <c r="N537" s="2">
        <v>10000</v>
      </c>
    </row>
    <row r="538" spans="1:14" x14ac:dyDescent="0.35">
      <c r="A538" s="52" t="s">
        <v>6063</v>
      </c>
      <c r="C538" s="30" t="s">
        <v>20980</v>
      </c>
      <c r="D538" s="30" t="str">
        <f>"""TRUST Nav"",""HSPMTB2016"",""21"",""1"",""3642"""</f>
        <v>"TRUST Nav","HSPMTB2016","21","1","3642"</v>
      </c>
      <c r="I538" s="52" t="str">
        <f t="shared" si="114"/>
        <v>KK-04611|42217|TRT-80-10</v>
      </c>
      <c r="J538" s="52" t="str">
        <f t="shared" si="115"/>
        <v>KK-04611</v>
      </c>
      <c r="K538" s="52" t="str">
        <f t="shared" si="116"/>
        <v>Leonardus Tjhin Tje Ming</v>
      </c>
      <c r="L538" s="52" t="str">
        <f t="shared" si="113"/>
        <v>TRT-80-10</v>
      </c>
      <c r="M538" s="82">
        <v>42217</v>
      </c>
      <c r="N538" s="2">
        <v>10000</v>
      </c>
    </row>
    <row r="539" spans="1:14" x14ac:dyDescent="0.35">
      <c r="A539" s="52" t="s">
        <v>6063</v>
      </c>
      <c r="C539" s="30" t="s">
        <v>20980</v>
      </c>
      <c r="D539" s="30" t="str">
        <f>"""TRUST Nav"",""HSPMTB2016"",""21"",""1"",""3643"""</f>
        <v>"TRUST Nav","HSPMTB2016","21","1","3643"</v>
      </c>
      <c r="I539" s="52" t="str">
        <f t="shared" si="114"/>
        <v>KK-04611|42248|TRT-80-10</v>
      </c>
      <c r="J539" s="52" t="str">
        <f t="shared" si="115"/>
        <v>KK-04611</v>
      </c>
      <c r="K539" s="52" t="str">
        <f t="shared" si="116"/>
        <v>Leonardus Tjhin Tje Ming</v>
      </c>
      <c r="L539" s="52" t="str">
        <f t="shared" si="113"/>
        <v>TRT-80-10</v>
      </c>
      <c r="M539" s="82">
        <v>42248</v>
      </c>
      <c r="N539" s="2">
        <v>10000</v>
      </c>
    </row>
    <row r="540" spans="1:14" x14ac:dyDescent="0.35">
      <c r="A540" s="52" t="s">
        <v>6063</v>
      </c>
      <c r="C540" s="30" t="s">
        <v>20980</v>
      </c>
      <c r="D540" s="30" t="str">
        <f>"""TRUST Nav"",""HSPMTB2016"",""21"",""1"",""3644"""</f>
        <v>"TRUST Nav","HSPMTB2016","21","1","3644"</v>
      </c>
      <c r="I540" s="52" t="str">
        <f t="shared" si="114"/>
        <v>KK-04611|42278|TRT-80-10</v>
      </c>
      <c r="J540" s="52" t="str">
        <f t="shared" si="115"/>
        <v>KK-04611</v>
      </c>
      <c r="K540" s="52" t="str">
        <f t="shared" si="116"/>
        <v>Leonardus Tjhin Tje Ming</v>
      </c>
      <c r="L540" s="52" t="str">
        <f t="shared" si="113"/>
        <v>TRT-80-10</v>
      </c>
      <c r="M540" s="82">
        <v>42278</v>
      </c>
      <c r="N540" s="2">
        <v>10000</v>
      </c>
    </row>
    <row r="541" spans="1:14" x14ac:dyDescent="0.35">
      <c r="A541" s="52" t="s">
        <v>6063</v>
      </c>
      <c r="C541" s="30" t="s">
        <v>20980</v>
      </c>
      <c r="D541" s="30" t="str">
        <f>"""TRUST Nav"",""HSPMTB2016"",""21"",""1"",""3645"""</f>
        <v>"TRUST Nav","HSPMTB2016","21","1","3645"</v>
      </c>
      <c r="I541" s="52" t="str">
        <f t="shared" si="114"/>
        <v>KK-04611|42309|TRT-80-10</v>
      </c>
      <c r="J541" s="52" t="str">
        <f t="shared" si="115"/>
        <v>KK-04611</v>
      </c>
      <c r="K541" s="52" t="str">
        <f t="shared" si="116"/>
        <v>Leonardus Tjhin Tje Ming</v>
      </c>
      <c r="L541" s="52" t="str">
        <f t="shared" si="113"/>
        <v>TRT-80-10</v>
      </c>
      <c r="M541" s="82">
        <v>42309</v>
      </c>
      <c r="N541" s="2">
        <v>10000</v>
      </c>
    </row>
    <row r="542" spans="1:14" x14ac:dyDescent="0.35">
      <c r="A542" s="52" t="s">
        <v>6063</v>
      </c>
      <c r="C542" s="30" t="s">
        <v>20980</v>
      </c>
      <c r="D542" s="30" t="str">
        <f>"""TRUST Nav"",""HSPMTB2016"",""21"",""1"",""3646"""</f>
        <v>"TRUST Nav","HSPMTB2016","21","1","3646"</v>
      </c>
      <c r="I542" s="52" t="str">
        <f t="shared" si="114"/>
        <v>KK-04611|42339|TRT-80-10</v>
      </c>
      <c r="J542" s="52" t="str">
        <f t="shared" si="115"/>
        <v>KK-04611</v>
      </c>
      <c r="K542" s="52" t="str">
        <f t="shared" si="116"/>
        <v>Leonardus Tjhin Tje Ming</v>
      </c>
      <c r="L542" s="52" t="str">
        <f t="shared" si="113"/>
        <v>TRT-80-10</v>
      </c>
      <c r="M542" s="82">
        <v>42339</v>
      </c>
      <c r="N542" s="2">
        <v>10000</v>
      </c>
    </row>
    <row r="543" spans="1:14" x14ac:dyDescent="0.35">
      <c r="A543" s="52" t="s">
        <v>6063</v>
      </c>
      <c r="C543" s="30" t="s">
        <v>20980</v>
      </c>
      <c r="D543" s="30" t="str">
        <f>"""TRUST Nav"",""HSPMTB2016"",""21"",""1"",""37440"""</f>
        <v>"TRUST Nav","HSPMTB2016","21","1","37440"</v>
      </c>
      <c r="I543" s="52" t="str">
        <f t="shared" si="114"/>
        <v>KK-04611|42368|TRT-80-10</v>
      </c>
      <c r="J543" s="52" t="str">
        <f t="shared" si="115"/>
        <v>KK-04611</v>
      </c>
      <c r="K543" s="52" t="str">
        <f t="shared" si="116"/>
        <v>Leonardus Tjhin Tje Ming</v>
      </c>
      <c r="L543" s="52" t="str">
        <f t="shared" si="113"/>
        <v>TRT-80-10</v>
      </c>
      <c r="M543" s="82">
        <v>42368</v>
      </c>
      <c r="N543" s="2">
        <v>10000</v>
      </c>
    </row>
    <row r="544" spans="1:14" x14ac:dyDescent="0.35">
      <c r="A544" s="52" t="s">
        <v>6063</v>
      </c>
      <c r="C544" s="30" t="s">
        <v>20980</v>
      </c>
      <c r="D544" s="30" t="str">
        <f>"""TRUST Nav"",""HSPMTB2016"",""21"",""1"",""37441"""</f>
        <v>"TRUST Nav","HSPMTB2016","21","1","37441"</v>
      </c>
      <c r="I544" s="52" t="str">
        <f t="shared" si="114"/>
        <v>KK-04611|42368|TRT-80-10</v>
      </c>
      <c r="J544" s="52" t="str">
        <f t="shared" si="115"/>
        <v>KK-04611</v>
      </c>
      <c r="K544" s="52" t="str">
        <f t="shared" si="116"/>
        <v>Leonardus Tjhin Tje Ming</v>
      </c>
      <c r="L544" s="52" t="str">
        <f t="shared" si="113"/>
        <v>TRT-80-10</v>
      </c>
      <c r="M544" s="82">
        <v>42368</v>
      </c>
      <c r="N544" s="2">
        <v>10000</v>
      </c>
    </row>
    <row r="545" spans="1:14" x14ac:dyDescent="0.35">
      <c r="A545" s="52" t="s">
        <v>6063</v>
      </c>
      <c r="C545" s="30" t="s">
        <v>20980</v>
      </c>
      <c r="D545" s="30" t="str">
        <f>"""TRUST Nav"",""HSPMTB2016"",""21"",""1"",""37442"""</f>
        <v>"TRUST Nav","HSPMTB2016","21","1","37442"</v>
      </c>
      <c r="I545" s="52" t="str">
        <f t="shared" si="114"/>
        <v>KK-04611|42368|TRT-80-10</v>
      </c>
      <c r="J545" s="52" t="str">
        <f t="shared" si="115"/>
        <v>KK-04611</v>
      </c>
      <c r="K545" s="52" t="str">
        <f t="shared" si="116"/>
        <v>Leonardus Tjhin Tje Ming</v>
      </c>
      <c r="L545" s="52" t="str">
        <f t="shared" si="113"/>
        <v>TRT-80-10</v>
      </c>
      <c r="M545" s="82">
        <v>42368</v>
      </c>
      <c r="N545" s="2">
        <v>10000</v>
      </c>
    </row>
    <row r="546" spans="1:14" x14ac:dyDescent="0.35">
      <c r="A546" s="52" t="s">
        <v>6063</v>
      </c>
      <c r="C546" s="30" t="s">
        <v>20980</v>
      </c>
      <c r="D546" s="30" t="str">
        <f>"""TRUST Nav"",""HSPMTB2016"",""21"",""1"",""37443"""</f>
        <v>"TRUST Nav","HSPMTB2016","21","1","37443"</v>
      </c>
      <c r="I546" s="52" t="str">
        <f t="shared" si="114"/>
        <v>KK-04611|42368|TRT-80-10</v>
      </c>
      <c r="J546" s="52" t="str">
        <f t="shared" si="115"/>
        <v>KK-04611</v>
      </c>
      <c r="K546" s="52" t="str">
        <f t="shared" si="116"/>
        <v>Leonardus Tjhin Tje Ming</v>
      </c>
      <c r="L546" s="52" t="str">
        <f t="shared" si="113"/>
        <v>TRT-80-10</v>
      </c>
      <c r="M546" s="82">
        <v>42368</v>
      </c>
      <c r="N546" s="2">
        <v>10000</v>
      </c>
    </row>
    <row r="547" spans="1:14" x14ac:dyDescent="0.35">
      <c r="A547" s="52" t="s">
        <v>6063</v>
      </c>
      <c r="C547" s="30" t="s">
        <v>20980</v>
      </c>
      <c r="D547" s="30" t="str">
        <f>"""TRUST Nav"",""HSPMTB2016"",""21"",""1"",""37444"""</f>
        <v>"TRUST Nav","HSPMTB2016","21","1","37444"</v>
      </c>
      <c r="I547" s="52" t="str">
        <f t="shared" si="114"/>
        <v>KK-04611|42368|TRT-80-10</v>
      </c>
      <c r="J547" s="52" t="str">
        <f t="shared" si="115"/>
        <v>KK-04611</v>
      </c>
      <c r="K547" s="52" t="str">
        <f t="shared" si="116"/>
        <v>Leonardus Tjhin Tje Ming</v>
      </c>
      <c r="L547" s="52" t="str">
        <f t="shared" si="113"/>
        <v>TRT-80-10</v>
      </c>
      <c r="M547" s="82">
        <v>42368</v>
      </c>
      <c r="N547" s="2">
        <v>10000</v>
      </c>
    </row>
    <row r="548" spans="1:14" x14ac:dyDescent="0.35">
      <c r="A548" s="52" t="s">
        <v>6063</v>
      </c>
      <c r="C548" s="30" t="s">
        <v>20980</v>
      </c>
      <c r="D548" s="30" t="str">
        <f>"""TRUST Nav"",""HSPMTB2016"",""21"",""1"",""37445"""</f>
        <v>"TRUST Nav","HSPMTB2016","21","1","37445"</v>
      </c>
      <c r="I548" s="52" t="str">
        <f t="shared" si="114"/>
        <v>KK-04611|42368|TRT-80-10</v>
      </c>
      <c r="J548" s="52" t="str">
        <f t="shared" si="115"/>
        <v>KK-04611</v>
      </c>
      <c r="K548" s="52" t="str">
        <f t="shared" si="116"/>
        <v>Leonardus Tjhin Tje Ming</v>
      </c>
      <c r="L548" s="52" t="str">
        <f t="shared" si="113"/>
        <v>TRT-80-10</v>
      </c>
      <c r="M548" s="82">
        <v>42368</v>
      </c>
      <c r="N548" s="2">
        <v>10000</v>
      </c>
    </row>
    <row r="549" spans="1:14" x14ac:dyDescent="0.35">
      <c r="A549" s="52" t="s">
        <v>6063</v>
      </c>
      <c r="C549" s="30" t="s">
        <v>20980</v>
      </c>
      <c r="D549" s="30" t="str">
        <f>"""TRUST Nav"",""HSPMTB2016"",""21"",""1"",""73446"""</f>
        <v>"TRUST Nav","HSPMTB2016","21","1","73446"</v>
      </c>
      <c r="I549" s="52" t="str">
        <f t="shared" si="114"/>
        <v>KK-04611|42370|TRT-80-10</v>
      </c>
      <c r="J549" s="52" t="str">
        <f t="shared" si="115"/>
        <v>KK-04611</v>
      </c>
      <c r="K549" s="52" t="str">
        <f t="shared" si="116"/>
        <v>Leonardus Tjhin Tje Ming</v>
      </c>
      <c r="L549" s="52" t="str">
        <f t="shared" si="113"/>
        <v>TRT-80-10</v>
      </c>
      <c r="M549" s="82">
        <v>42370</v>
      </c>
      <c r="N549" s="2">
        <v>10000</v>
      </c>
    </row>
    <row r="550" spans="1:14" x14ac:dyDescent="0.35">
      <c r="A550" s="52" t="s">
        <v>6063</v>
      </c>
      <c r="C550" s="30" t="s">
        <v>20980</v>
      </c>
      <c r="D550" s="30" t="str">
        <f>"""TRUST Nav"",""HSPMTB2016"",""21"",""1"",""73447"""</f>
        <v>"TRUST Nav","HSPMTB2016","21","1","73447"</v>
      </c>
      <c r="I550" s="52" t="str">
        <f t="shared" si="114"/>
        <v>KK-04611|42401|TRT-80-10</v>
      </c>
      <c r="J550" s="52" t="str">
        <f t="shared" si="115"/>
        <v>KK-04611</v>
      </c>
      <c r="K550" s="52" t="str">
        <f t="shared" si="116"/>
        <v>Leonardus Tjhin Tje Ming</v>
      </c>
      <c r="L550" s="52" t="str">
        <f t="shared" si="113"/>
        <v>TRT-80-10</v>
      </c>
      <c r="M550" s="82">
        <v>42401</v>
      </c>
      <c r="N550" s="2">
        <v>10000</v>
      </c>
    </row>
    <row r="551" spans="1:14" x14ac:dyDescent="0.35">
      <c r="A551" s="52" t="s">
        <v>6063</v>
      </c>
      <c r="C551" s="30" t="s">
        <v>20980</v>
      </c>
      <c r="D551" s="30" t="str">
        <f>"""TRUST Nav"",""HSPMTB2016"",""21"",""1"",""73448"""</f>
        <v>"TRUST Nav","HSPMTB2016","21","1","73448"</v>
      </c>
      <c r="I551" s="52" t="str">
        <f t="shared" si="114"/>
        <v>KK-04611|42430|TRT-80-10</v>
      </c>
      <c r="J551" s="52" t="str">
        <f t="shared" si="115"/>
        <v>KK-04611</v>
      </c>
      <c r="K551" s="52" t="str">
        <f t="shared" si="116"/>
        <v>Leonardus Tjhin Tje Ming</v>
      </c>
      <c r="L551" s="52" t="str">
        <f t="shared" si="113"/>
        <v>TRT-80-10</v>
      </c>
      <c r="M551" s="82">
        <v>42430</v>
      </c>
      <c r="N551" s="2">
        <v>10000</v>
      </c>
    </row>
    <row r="552" spans="1:14" x14ac:dyDescent="0.35">
      <c r="A552" s="52" t="s">
        <v>6063</v>
      </c>
      <c r="C552" s="30" t="s">
        <v>20980</v>
      </c>
      <c r="D552" s="30" t="str">
        <f>"""TRUST Nav"",""HSPMTB2016"",""21"",""1"",""116900"""</f>
        <v>"TRUST Nav","HSPMTB2016","21","1","116900"</v>
      </c>
      <c r="I552" s="52" t="str">
        <f t="shared" si="114"/>
        <v>KK-04611|42461|TRT-80-10</v>
      </c>
      <c r="J552" s="52" t="str">
        <f t="shared" si="115"/>
        <v>KK-04611</v>
      </c>
      <c r="K552" s="52" t="str">
        <f t="shared" si="116"/>
        <v>Leonardus Tjhin Tje Ming</v>
      </c>
      <c r="L552" s="52" t="str">
        <f t="shared" si="113"/>
        <v>TRT-80-10</v>
      </c>
      <c r="M552" s="82">
        <v>42461</v>
      </c>
      <c r="N552" s="2">
        <v>10000</v>
      </c>
    </row>
    <row r="553" spans="1:14" x14ac:dyDescent="0.35">
      <c r="A553" s="52" t="s">
        <v>6063</v>
      </c>
      <c r="C553" s="30" t="s">
        <v>20980</v>
      </c>
      <c r="D553" s="30" t="str">
        <f>"""TRUST Nav"",""HSPMTB2016"",""21"",""1"",""116901"""</f>
        <v>"TRUST Nav","HSPMTB2016","21","1","116901"</v>
      </c>
      <c r="I553" s="52" t="str">
        <f t="shared" si="114"/>
        <v>KK-04611|42491|TRT-80-10</v>
      </c>
      <c r="J553" s="52" t="str">
        <f t="shared" si="115"/>
        <v>KK-04611</v>
      </c>
      <c r="K553" s="52" t="str">
        <f t="shared" si="116"/>
        <v>Leonardus Tjhin Tje Ming</v>
      </c>
      <c r="L553" s="52" t="str">
        <f t="shared" si="113"/>
        <v>TRT-80-10</v>
      </c>
      <c r="M553" s="82">
        <v>42491</v>
      </c>
      <c r="N553" s="2">
        <v>10000</v>
      </c>
    </row>
    <row r="554" spans="1:14" x14ac:dyDescent="0.35">
      <c r="A554" s="52" t="s">
        <v>6063</v>
      </c>
      <c r="C554" s="30" t="s">
        <v>20980</v>
      </c>
      <c r="D554" s="30" t="str">
        <f>"""TRUST Nav"",""HSPMTB2016"",""21"",""1"",""116902"""</f>
        <v>"TRUST Nav","HSPMTB2016","21","1","116902"</v>
      </c>
      <c r="I554" s="52" t="str">
        <f t="shared" si="114"/>
        <v>KK-04611|42522|TRT-80-10</v>
      </c>
      <c r="J554" s="52" t="str">
        <f t="shared" si="115"/>
        <v>KK-04611</v>
      </c>
      <c r="K554" s="52" t="str">
        <f t="shared" si="116"/>
        <v>Leonardus Tjhin Tje Ming</v>
      </c>
      <c r="L554" s="52" t="str">
        <f t="shared" si="113"/>
        <v>TRT-80-10</v>
      </c>
      <c r="M554" s="82">
        <v>42522</v>
      </c>
      <c r="N554" s="2">
        <v>10000</v>
      </c>
    </row>
    <row r="555" spans="1:14" x14ac:dyDescent="0.35">
      <c r="A555" s="52" t="s">
        <v>6063</v>
      </c>
      <c r="C555" s="30" t="s">
        <v>20980</v>
      </c>
      <c r="D555" s="30" t="str">
        <f>"""TRUST Nav"",""HSPMTB2016"",""21"",""1"",""129723"""</f>
        <v>"TRUST Nav","HSPMTB2016","21","1","129723"</v>
      </c>
      <c r="I555" s="52" t="str">
        <f t="shared" si="114"/>
        <v>KK-04611|42552|TRT-80-10</v>
      </c>
      <c r="J555" s="52" t="str">
        <f t="shared" si="115"/>
        <v>KK-04611</v>
      </c>
      <c r="K555" s="52" t="str">
        <f t="shared" si="116"/>
        <v>Leonardus Tjhin Tje Ming</v>
      </c>
      <c r="L555" s="52" t="str">
        <f t="shared" si="113"/>
        <v>TRT-80-10</v>
      </c>
      <c r="M555" s="82">
        <v>42552</v>
      </c>
      <c r="N555" s="2">
        <v>30000</v>
      </c>
    </row>
    <row r="556" spans="1:14" x14ac:dyDescent="0.35">
      <c r="A556" s="52" t="s">
        <v>6063</v>
      </c>
      <c r="C556" s="30" t="s">
        <v>20980</v>
      </c>
      <c r="D556" s="30" t="str">
        <f>"""TRUST Nav"",""HSPMTB2016"",""21"",""1"",""129724"""</f>
        <v>"TRUST Nav","HSPMTB2016","21","1","129724"</v>
      </c>
      <c r="I556" s="52" t="str">
        <f t="shared" si="114"/>
        <v>KK-04611|42583|TRT-80-10</v>
      </c>
      <c r="J556" s="52" t="str">
        <f t="shared" si="115"/>
        <v>KK-04611</v>
      </c>
      <c r="K556" s="52" t="str">
        <f t="shared" si="116"/>
        <v>Leonardus Tjhin Tje Ming</v>
      </c>
      <c r="L556" s="52" t="str">
        <f t="shared" si="113"/>
        <v>TRT-80-10</v>
      </c>
      <c r="M556" s="82">
        <v>42583</v>
      </c>
      <c r="N556" s="2">
        <v>30000</v>
      </c>
    </row>
    <row r="557" spans="1:14" x14ac:dyDescent="0.35">
      <c r="A557" s="52" t="s">
        <v>6063</v>
      </c>
      <c r="C557" s="30" t="s">
        <v>20980</v>
      </c>
      <c r="D557" s="30" t="str">
        <f>"""TRUST Nav"",""HSPMTB2016"",""21"",""1"",""129725"""</f>
        <v>"TRUST Nav","HSPMTB2016","21","1","129725"</v>
      </c>
      <c r="I557" s="52" t="str">
        <f t="shared" si="114"/>
        <v>KK-04611|42614|TRT-80-10</v>
      </c>
      <c r="J557" s="52" t="str">
        <f t="shared" si="115"/>
        <v>KK-04611</v>
      </c>
      <c r="K557" s="52" t="str">
        <f t="shared" si="116"/>
        <v>Leonardus Tjhin Tje Ming</v>
      </c>
      <c r="L557" s="52" t="str">
        <f t="shared" si="113"/>
        <v>TRT-80-10</v>
      </c>
      <c r="M557" s="82">
        <v>42614</v>
      </c>
      <c r="N557" s="2">
        <v>30000</v>
      </c>
    </row>
    <row r="558" spans="1:14" x14ac:dyDescent="0.35">
      <c r="A558" s="52" t="s">
        <v>6063</v>
      </c>
      <c r="C558" s="30" t="s">
        <v>20980</v>
      </c>
      <c r="D558" s="30" t="str">
        <f>"""TRUST Nav"",""HSPMTB2016"",""21"",""1"",""3647"""</f>
        <v>"TRUST Nav","HSPMTB2016","21","1","3647"</v>
      </c>
      <c r="I558" s="52" t="str">
        <f t="shared" si="114"/>
        <v>KK-04612|42186|TRT-80-10</v>
      </c>
      <c r="J558" s="52" t="str">
        <f t="shared" ref="J558:J569" si="117">"KK-04612"</f>
        <v>KK-04612</v>
      </c>
      <c r="K558" s="52" t="str">
        <f t="shared" ref="K558:K569" si="118">"Lie Bui Tjung"</f>
        <v>Lie Bui Tjung</v>
      </c>
      <c r="L558" s="52" t="str">
        <f t="shared" si="113"/>
        <v>TRT-80-10</v>
      </c>
      <c r="M558" s="82">
        <v>42186</v>
      </c>
      <c r="N558" s="2">
        <v>5000</v>
      </c>
    </row>
    <row r="559" spans="1:14" x14ac:dyDescent="0.35">
      <c r="A559" s="52" t="s">
        <v>6063</v>
      </c>
      <c r="C559" s="30" t="s">
        <v>20980</v>
      </c>
      <c r="D559" s="30" t="str">
        <f>"""TRUST Nav"",""HSPMTB2016"",""21"",""1"",""3648"""</f>
        <v>"TRUST Nav","HSPMTB2016","21","1","3648"</v>
      </c>
      <c r="I559" s="52" t="str">
        <f t="shared" si="114"/>
        <v>KK-04612|42217|TRT-80-10</v>
      </c>
      <c r="J559" s="52" t="str">
        <f t="shared" si="117"/>
        <v>KK-04612</v>
      </c>
      <c r="K559" s="52" t="str">
        <f t="shared" si="118"/>
        <v>Lie Bui Tjung</v>
      </c>
      <c r="L559" s="52" t="str">
        <f t="shared" si="113"/>
        <v>TRT-80-10</v>
      </c>
      <c r="M559" s="82">
        <v>42217</v>
      </c>
      <c r="N559" s="2">
        <v>5000</v>
      </c>
    </row>
    <row r="560" spans="1:14" x14ac:dyDescent="0.35">
      <c r="A560" s="52" t="s">
        <v>6063</v>
      </c>
      <c r="C560" s="30" t="s">
        <v>20980</v>
      </c>
      <c r="D560" s="30" t="str">
        <f>"""TRUST Nav"",""HSPMTB2016"",""21"",""1"",""3649"""</f>
        <v>"TRUST Nav","HSPMTB2016","21","1","3649"</v>
      </c>
      <c r="I560" s="52" t="str">
        <f t="shared" si="114"/>
        <v>KK-04612|42248|TRT-80-10</v>
      </c>
      <c r="J560" s="52" t="str">
        <f t="shared" si="117"/>
        <v>KK-04612</v>
      </c>
      <c r="K560" s="52" t="str">
        <f t="shared" si="118"/>
        <v>Lie Bui Tjung</v>
      </c>
      <c r="L560" s="52" t="str">
        <f t="shared" si="113"/>
        <v>TRT-80-10</v>
      </c>
      <c r="M560" s="82">
        <v>42248</v>
      </c>
      <c r="N560" s="2">
        <v>5000</v>
      </c>
    </row>
    <row r="561" spans="1:14" x14ac:dyDescent="0.35">
      <c r="A561" s="52" t="s">
        <v>6063</v>
      </c>
      <c r="C561" s="30" t="s">
        <v>20980</v>
      </c>
      <c r="D561" s="30" t="str">
        <f>"""TRUST Nav"",""HSPMTB2016"",""21"",""1"",""3650"""</f>
        <v>"TRUST Nav","HSPMTB2016","21","1","3650"</v>
      </c>
      <c r="I561" s="52" t="str">
        <f t="shared" si="114"/>
        <v>KK-04612|42278|TRT-80-10</v>
      </c>
      <c r="J561" s="52" t="str">
        <f t="shared" si="117"/>
        <v>KK-04612</v>
      </c>
      <c r="K561" s="52" t="str">
        <f t="shared" si="118"/>
        <v>Lie Bui Tjung</v>
      </c>
      <c r="L561" s="52" t="str">
        <f t="shared" si="113"/>
        <v>TRT-80-10</v>
      </c>
      <c r="M561" s="82">
        <v>42278</v>
      </c>
      <c r="N561" s="2">
        <v>5000</v>
      </c>
    </row>
    <row r="562" spans="1:14" x14ac:dyDescent="0.35">
      <c r="A562" s="52" t="s">
        <v>6063</v>
      </c>
      <c r="C562" s="30" t="s">
        <v>20980</v>
      </c>
      <c r="D562" s="30" t="str">
        <f>"""TRUST Nav"",""HSPMTB2016"",""21"",""1"",""3651"""</f>
        <v>"TRUST Nav","HSPMTB2016","21","1","3651"</v>
      </c>
      <c r="I562" s="52" t="str">
        <f t="shared" si="114"/>
        <v>KK-04612|42309|TRT-80-10</v>
      </c>
      <c r="J562" s="52" t="str">
        <f t="shared" si="117"/>
        <v>KK-04612</v>
      </c>
      <c r="K562" s="52" t="str">
        <f t="shared" si="118"/>
        <v>Lie Bui Tjung</v>
      </c>
      <c r="L562" s="52" t="str">
        <f t="shared" si="113"/>
        <v>TRT-80-10</v>
      </c>
      <c r="M562" s="82">
        <v>42309</v>
      </c>
      <c r="N562" s="2">
        <v>5000</v>
      </c>
    </row>
    <row r="563" spans="1:14" x14ac:dyDescent="0.35">
      <c r="A563" s="52" t="s">
        <v>6063</v>
      </c>
      <c r="C563" s="30" t="s">
        <v>20980</v>
      </c>
      <c r="D563" s="30" t="str">
        <f>"""TRUST Nav"",""HSPMTB2016"",""21"",""1"",""3652"""</f>
        <v>"TRUST Nav","HSPMTB2016","21","1","3652"</v>
      </c>
      <c r="I563" s="52" t="str">
        <f t="shared" si="114"/>
        <v>KK-04612|42339|TRT-80-10</v>
      </c>
      <c r="J563" s="52" t="str">
        <f t="shared" si="117"/>
        <v>KK-04612</v>
      </c>
      <c r="K563" s="52" t="str">
        <f t="shared" si="118"/>
        <v>Lie Bui Tjung</v>
      </c>
      <c r="L563" s="52" t="str">
        <f t="shared" si="113"/>
        <v>TRT-80-10</v>
      </c>
      <c r="M563" s="82">
        <v>42339</v>
      </c>
      <c r="N563" s="2">
        <v>5000</v>
      </c>
    </row>
    <row r="564" spans="1:14" x14ac:dyDescent="0.35">
      <c r="A564" s="52" t="s">
        <v>6063</v>
      </c>
      <c r="C564" s="30" t="s">
        <v>20980</v>
      </c>
      <c r="D564" s="30" t="str">
        <f>"""TRUST Nav"",""HSPMTB2016"",""21"",""1"",""37446"""</f>
        <v>"TRUST Nav","HSPMTB2016","21","1","37446"</v>
      </c>
      <c r="I564" s="52" t="str">
        <f t="shared" si="114"/>
        <v>KK-04612|42368|TRT-80-10</v>
      </c>
      <c r="J564" s="52" t="str">
        <f t="shared" si="117"/>
        <v>KK-04612</v>
      </c>
      <c r="K564" s="52" t="str">
        <f t="shared" si="118"/>
        <v>Lie Bui Tjung</v>
      </c>
      <c r="L564" s="52" t="str">
        <f t="shared" si="113"/>
        <v>TRT-80-10</v>
      </c>
      <c r="M564" s="82">
        <v>42368</v>
      </c>
      <c r="N564" s="2">
        <v>5000</v>
      </c>
    </row>
    <row r="565" spans="1:14" x14ac:dyDescent="0.35">
      <c r="A565" s="52" t="s">
        <v>6063</v>
      </c>
      <c r="C565" s="30" t="s">
        <v>20980</v>
      </c>
      <c r="D565" s="30" t="str">
        <f>"""TRUST Nav"",""HSPMTB2016"",""21"",""1"",""37447"""</f>
        <v>"TRUST Nav","HSPMTB2016","21","1","37447"</v>
      </c>
      <c r="I565" s="52" t="str">
        <f t="shared" si="114"/>
        <v>KK-04612|42368|TRT-80-10</v>
      </c>
      <c r="J565" s="52" t="str">
        <f t="shared" si="117"/>
        <v>KK-04612</v>
      </c>
      <c r="K565" s="52" t="str">
        <f t="shared" si="118"/>
        <v>Lie Bui Tjung</v>
      </c>
      <c r="L565" s="52" t="str">
        <f t="shared" si="113"/>
        <v>TRT-80-10</v>
      </c>
      <c r="M565" s="82">
        <v>42368</v>
      </c>
      <c r="N565" s="2">
        <v>5000</v>
      </c>
    </row>
    <row r="566" spans="1:14" x14ac:dyDescent="0.35">
      <c r="A566" s="52" t="s">
        <v>6063</v>
      </c>
      <c r="C566" s="30" t="s">
        <v>20980</v>
      </c>
      <c r="D566" s="30" t="str">
        <f>"""TRUST Nav"",""HSPMTB2016"",""21"",""1"",""37448"""</f>
        <v>"TRUST Nav","HSPMTB2016","21","1","37448"</v>
      </c>
      <c r="I566" s="52" t="str">
        <f t="shared" si="114"/>
        <v>KK-04612|42368|TRT-80-10</v>
      </c>
      <c r="J566" s="52" t="str">
        <f t="shared" si="117"/>
        <v>KK-04612</v>
      </c>
      <c r="K566" s="52" t="str">
        <f t="shared" si="118"/>
        <v>Lie Bui Tjung</v>
      </c>
      <c r="L566" s="52" t="str">
        <f t="shared" si="113"/>
        <v>TRT-80-10</v>
      </c>
      <c r="M566" s="82">
        <v>42368</v>
      </c>
      <c r="N566" s="2">
        <v>5000</v>
      </c>
    </row>
    <row r="567" spans="1:14" x14ac:dyDescent="0.35">
      <c r="A567" s="52" t="s">
        <v>6063</v>
      </c>
      <c r="C567" s="30" t="s">
        <v>20980</v>
      </c>
      <c r="D567" s="30" t="str">
        <f>"""TRUST Nav"",""HSPMTB2016"",""21"",""1"",""37449"""</f>
        <v>"TRUST Nav","HSPMTB2016","21","1","37449"</v>
      </c>
      <c r="I567" s="52" t="str">
        <f t="shared" si="114"/>
        <v>KK-04612|42368|TRT-80-10</v>
      </c>
      <c r="J567" s="52" t="str">
        <f t="shared" si="117"/>
        <v>KK-04612</v>
      </c>
      <c r="K567" s="52" t="str">
        <f t="shared" si="118"/>
        <v>Lie Bui Tjung</v>
      </c>
      <c r="L567" s="52" t="str">
        <f t="shared" si="113"/>
        <v>TRT-80-10</v>
      </c>
      <c r="M567" s="82">
        <v>42368</v>
      </c>
      <c r="N567" s="2">
        <v>5000</v>
      </c>
    </row>
    <row r="568" spans="1:14" x14ac:dyDescent="0.35">
      <c r="A568" s="52" t="s">
        <v>6063</v>
      </c>
      <c r="C568" s="30" t="s">
        <v>20980</v>
      </c>
      <c r="D568" s="30" t="str">
        <f>"""TRUST Nav"",""HSPMTB2016"",""21"",""1"",""37450"""</f>
        <v>"TRUST Nav","HSPMTB2016","21","1","37450"</v>
      </c>
      <c r="I568" s="52" t="str">
        <f t="shared" si="114"/>
        <v>KK-04612|42368|TRT-80-10</v>
      </c>
      <c r="J568" s="52" t="str">
        <f t="shared" si="117"/>
        <v>KK-04612</v>
      </c>
      <c r="K568" s="52" t="str">
        <f t="shared" si="118"/>
        <v>Lie Bui Tjung</v>
      </c>
      <c r="L568" s="52" t="str">
        <f t="shared" si="113"/>
        <v>TRT-80-10</v>
      </c>
      <c r="M568" s="82">
        <v>42368</v>
      </c>
      <c r="N568" s="2">
        <v>5000</v>
      </c>
    </row>
    <row r="569" spans="1:14" x14ac:dyDescent="0.35">
      <c r="A569" s="52" t="s">
        <v>6063</v>
      </c>
      <c r="C569" s="30" t="s">
        <v>20980</v>
      </c>
      <c r="D569" s="30" t="str">
        <f>"""TRUST Nav"",""HSPMTB2016"",""21"",""1"",""37451"""</f>
        <v>"TRUST Nav","HSPMTB2016","21","1","37451"</v>
      </c>
      <c r="I569" s="52" t="str">
        <f t="shared" si="114"/>
        <v>KK-04612|42368|TRT-80-10</v>
      </c>
      <c r="J569" s="52" t="str">
        <f t="shared" si="117"/>
        <v>KK-04612</v>
      </c>
      <c r="K569" s="52" t="str">
        <f t="shared" si="118"/>
        <v>Lie Bui Tjung</v>
      </c>
      <c r="L569" s="52" t="str">
        <f t="shared" si="113"/>
        <v>TRT-80-10</v>
      </c>
      <c r="M569" s="82">
        <v>42368</v>
      </c>
      <c r="N569" s="2">
        <v>5000</v>
      </c>
    </row>
    <row r="570" spans="1:14" x14ac:dyDescent="0.35">
      <c r="A570" s="52" t="s">
        <v>6063</v>
      </c>
      <c r="C570" s="30" t="s">
        <v>20980</v>
      </c>
      <c r="D570" s="30" t="str">
        <f>"""TRUST Nav"",""HSPMTB2016"",""21"",""1"",""3653"""</f>
        <v>"TRUST Nav","HSPMTB2016","21","1","3653"</v>
      </c>
      <c r="I570" s="52" t="str">
        <f t="shared" si="114"/>
        <v>KK-04613|42186|TRT-80-10</v>
      </c>
      <c r="J570" s="52" t="str">
        <f t="shared" ref="J570:J589" si="119">"KK-04613"</f>
        <v>KK-04613</v>
      </c>
      <c r="K570" s="52" t="str">
        <f t="shared" ref="K570:K589" si="120">"Ignatius Yanto Hardoyo"</f>
        <v>Ignatius Yanto Hardoyo</v>
      </c>
      <c r="L570" s="52" t="str">
        <f t="shared" si="113"/>
        <v>TRT-80-10</v>
      </c>
      <c r="M570" s="82">
        <v>42186</v>
      </c>
      <c r="N570" s="2">
        <v>20000</v>
      </c>
    </row>
    <row r="571" spans="1:14" x14ac:dyDescent="0.35">
      <c r="A571" s="52" t="s">
        <v>6063</v>
      </c>
      <c r="C571" s="30" t="s">
        <v>20980</v>
      </c>
      <c r="D571" s="30" t="str">
        <f>"""TRUST Nav"",""HSPMTB2016"",""21"",""1"",""3654"""</f>
        <v>"TRUST Nav","HSPMTB2016","21","1","3654"</v>
      </c>
      <c r="I571" s="52" t="str">
        <f t="shared" si="114"/>
        <v>KK-04613|42217|TRT-80-10</v>
      </c>
      <c r="J571" s="52" t="str">
        <f t="shared" si="119"/>
        <v>KK-04613</v>
      </c>
      <c r="K571" s="52" t="str">
        <f t="shared" si="120"/>
        <v>Ignatius Yanto Hardoyo</v>
      </c>
      <c r="L571" s="52" t="str">
        <f t="shared" si="113"/>
        <v>TRT-80-10</v>
      </c>
      <c r="M571" s="82">
        <v>42217</v>
      </c>
      <c r="N571" s="2">
        <v>20000</v>
      </c>
    </row>
    <row r="572" spans="1:14" x14ac:dyDescent="0.35">
      <c r="A572" s="52" t="s">
        <v>6063</v>
      </c>
      <c r="C572" s="30" t="s">
        <v>20980</v>
      </c>
      <c r="D572" s="30" t="str">
        <f>"""TRUST Nav"",""HSPMTB2016"",""21"",""1"",""3655"""</f>
        <v>"TRUST Nav","HSPMTB2016","21","1","3655"</v>
      </c>
      <c r="I572" s="52" t="str">
        <f t="shared" si="114"/>
        <v>KK-04613|42248|TRT-80-10</v>
      </c>
      <c r="J572" s="52" t="str">
        <f t="shared" si="119"/>
        <v>KK-04613</v>
      </c>
      <c r="K572" s="52" t="str">
        <f t="shared" si="120"/>
        <v>Ignatius Yanto Hardoyo</v>
      </c>
      <c r="L572" s="52" t="str">
        <f t="shared" si="113"/>
        <v>TRT-80-10</v>
      </c>
      <c r="M572" s="82">
        <v>42248</v>
      </c>
      <c r="N572" s="2">
        <v>20000</v>
      </c>
    </row>
    <row r="573" spans="1:14" x14ac:dyDescent="0.35">
      <c r="A573" s="52" t="s">
        <v>6063</v>
      </c>
      <c r="C573" s="30" t="s">
        <v>20980</v>
      </c>
      <c r="D573" s="30" t="str">
        <f>"""TRUST Nav"",""HSPMTB2016"",""21"",""1"",""3656"""</f>
        <v>"TRUST Nav","HSPMTB2016","21","1","3656"</v>
      </c>
      <c r="I573" s="52" t="str">
        <f t="shared" si="114"/>
        <v>KK-04613|42278|TRT-80-10</v>
      </c>
      <c r="J573" s="52" t="str">
        <f t="shared" si="119"/>
        <v>KK-04613</v>
      </c>
      <c r="K573" s="52" t="str">
        <f t="shared" si="120"/>
        <v>Ignatius Yanto Hardoyo</v>
      </c>
      <c r="L573" s="52" t="str">
        <f t="shared" si="113"/>
        <v>TRT-80-10</v>
      </c>
      <c r="M573" s="82">
        <v>42278</v>
      </c>
      <c r="N573" s="2">
        <v>20000</v>
      </c>
    </row>
    <row r="574" spans="1:14" x14ac:dyDescent="0.35">
      <c r="A574" s="52" t="s">
        <v>6063</v>
      </c>
      <c r="C574" s="30" t="s">
        <v>20980</v>
      </c>
      <c r="D574" s="30" t="str">
        <f>"""TRUST Nav"",""HSPMTB2016"",""21"",""1"",""3657"""</f>
        <v>"TRUST Nav","HSPMTB2016","21","1","3657"</v>
      </c>
      <c r="I574" s="52" t="str">
        <f t="shared" si="114"/>
        <v>KK-04613|42309|TRT-80-10</v>
      </c>
      <c r="J574" s="52" t="str">
        <f t="shared" si="119"/>
        <v>KK-04613</v>
      </c>
      <c r="K574" s="52" t="str">
        <f t="shared" si="120"/>
        <v>Ignatius Yanto Hardoyo</v>
      </c>
      <c r="L574" s="52" t="str">
        <f t="shared" si="113"/>
        <v>TRT-80-10</v>
      </c>
      <c r="M574" s="82">
        <v>42309</v>
      </c>
      <c r="N574" s="2">
        <v>20000</v>
      </c>
    </row>
    <row r="575" spans="1:14" x14ac:dyDescent="0.35">
      <c r="A575" s="52" t="s">
        <v>6063</v>
      </c>
      <c r="C575" s="30" t="s">
        <v>20980</v>
      </c>
      <c r="D575" s="30" t="str">
        <f>"""TRUST Nav"",""HSPMTB2016"",""21"",""1"",""3658"""</f>
        <v>"TRUST Nav","HSPMTB2016","21","1","3658"</v>
      </c>
      <c r="I575" s="52" t="str">
        <f t="shared" si="114"/>
        <v>KK-04613|42339|TRT-80-10</v>
      </c>
      <c r="J575" s="52" t="str">
        <f t="shared" si="119"/>
        <v>KK-04613</v>
      </c>
      <c r="K575" s="52" t="str">
        <f t="shared" si="120"/>
        <v>Ignatius Yanto Hardoyo</v>
      </c>
      <c r="L575" s="52" t="str">
        <f t="shared" si="113"/>
        <v>TRT-80-10</v>
      </c>
      <c r="M575" s="82">
        <v>42339</v>
      </c>
      <c r="N575" s="2">
        <v>20000</v>
      </c>
    </row>
    <row r="576" spans="1:14" x14ac:dyDescent="0.35">
      <c r="A576" s="52" t="s">
        <v>6063</v>
      </c>
      <c r="C576" s="30" t="s">
        <v>20980</v>
      </c>
      <c r="D576" s="30" t="str">
        <f>"""TRUST Nav"",""HSPMTB2016"",""21"",""1"",""37452"""</f>
        <v>"TRUST Nav","HSPMTB2016","21","1","37452"</v>
      </c>
      <c r="I576" s="52" t="str">
        <f t="shared" si="114"/>
        <v>KK-04613|42368|TRT-80-10</v>
      </c>
      <c r="J576" s="52" t="str">
        <f t="shared" si="119"/>
        <v>KK-04613</v>
      </c>
      <c r="K576" s="52" t="str">
        <f t="shared" si="120"/>
        <v>Ignatius Yanto Hardoyo</v>
      </c>
      <c r="L576" s="52" t="str">
        <f t="shared" si="113"/>
        <v>TRT-80-10</v>
      </c>
      <c r="M576" s="82">
        <v>42368</v>
      </c>
      <c r="N576" s="2">
        <v>20000</v>
      </c>
    </row>
    <row r="577" spans="1:14" x14ac:dyDescent="0.35">
      <c r="A577" s="52" t="s">
        <v>6063</v>
      </c>
      <c r="C577" s="30" t="s">
        <v>20980</v>
      </c>
      <c r="D577" s="30" t="str">
        <f>"""TRUST Nav"",""HSPMTB2016"",""21"",""1"",""37453"""</f>
        <v>"TRUST Nav","HSPMTB2016","21","1","37453"</v>
      </c>
      <c r="I577" s="52" t="str">
        <f t="shared" si="114"/>
        <v>KK-04613|42368|TRT-80-10</v>
      </c>
      <c r="J577" s="52" t="str">
        <f t="shared" si="119"/>
        <v>KK-04613</v>
      </c>
      <c r="K577" s="52" t="str">
        <f t="shared" si="120"/>
        <v>Ignatius Yanto Hardoyo</v>
      </c>
      <c r="L577" s="52" t="str">
        <f t="shared" si="113"/>
        <v>TRT-80-10</v>
      </c>
      <c r="M577" s="82">
        <v>42368</v>
      </c>
      <c r="N577" s="2">
        <v>20000</v>
      </c>
    </row>
    <row r="578" spans="1:14" x14ac:dyDescent="0.35">
      <c r="A578" s="52" t="s">
        <v>6063</v>
      </c>
      <c r="C578" s="30" t="s">
        <v>20980</v>
      </c>
      <c r="D578" s="30" t="str">
        <f>"""TRUST Nav"",""HSPMTB2016"",""21"",""1"",""37454"""</f>
        <v>"TRUST Nav","HSPMTB2016","21","1","37454"</v>
      </c>
      <c r="I578" s="52" t="str">
        <f t="shared" si="114"/>
        <v>KK-04613|42368|TRT-80-10</v>
      </c>
      <c r="J578" s="52" t="str">
        <f t="shared" si="119"/>
        <v>KK-04613</v>
      </c>
      <c r="K578" s="52" t="str">
        <f t="shared" si="120"/>
        <v>Ignatius Yanto Hardoyo</v>
      </c>
      <c r="L578" s="52" t="str">
        <f t="shared" si="113"/>
        <v>TRT-80-10</v>
      </c>
      <c r="M578" s="82">
        <v>42368</v>
      </c>
      <c r="N578" s="2">
        <v>20000</v>
      </c>
    </row>
    <row r="579" spans="1:14" x14ac:dyDescent="0.35">
      <c r="A579" s="52" t="s">
        <v>6063</v>
      </c>
      <c r="C579" s="30" t="s">
        <v>20980</v>
      </c>
      <c r="D579" s="30" t="str">
        <f>"""TRUST Nav"",""HSPMTB2016"",""21"",""1"",""37455"""</f>
        <v>"TRUST Nav","HSPMTB2016","21","1","37455"</v>
      </c>
      <c r="I579" s="52" t="str">
        <f t="shared" si="114"/>
        <v>KK-04613|42368|TRT-80-10</v>
      </c>
      <c r="J579" s="52" t="str">
        <f t="shared" si="119"/>
        <v>KK-04613</v>
      </c>
      <c r="K579" s="52" t="str">
        <f t="shared" si="120"/>
        <v>Ignatius Yanto Hardoyo</v>
      </c>
      <c r="L579" s="52" t="str">
        <f t="shared" si="113"/>
        <v>TRT-80-10</v>
      </c>
      <c r="M579" s="82">
        <v>42368</v>
      </c>
      <c r="N579" s="2">
        <v>20000</v>
      </c>
    </row>
    <row r="580" spans="1:14" x14ac:dyDescent="0.35">
      <c r="A580" s="52" t="s">
        <v>6063</v>
      </c>
      <c r="C580" s="30" t="s">
        <v>20980</v>
      </c>
      <c r="D580" s="30" t="str">
        <f>"""TRUST Nav"",""HSPMTB2016"",""21"",""1"",""37456"""</f>
        <v>"TRUST Nav","HSPMTB2016","21","1","37456"</v>
      </c>
      <c r="I580" s="52" t="str">
        <f t="shared" si="114"/>
        <v>KK-04613|42368|TRT-80-10</v>
      </c>
      <c r="J580" s="52" t="str">
        <f t="shared" si="119"/>
        <v>KK-04613</v>
      </c>
      <c r="K580" s="52" t="str">
        <f t="shared" si="120"/>
        <v>Ignatius Yanto Hardoyo</v>
      </c>
      <c r="L580" s="52" t="str">
        <f t="shared" si="113"/>
        <v>TRT-80-10</v>
      </c>
      <c r="M580" s="82">
        <v>42368</v>
      </c>
      <c r="N580" s="2">
        <v>20000</v>
      </c>
    </row>
    <row r="581" spans="1:14" x14ac:dyDescent="0.35">
      <c r="A581" s="52" t="s">
        <v>6063</v>
      </c>
      <c r="C581" s="30" t="s">
        <v>20980</v>
      </c>
      <c r="D581" s="30" t="str">
        <f>"""TRUST Nav"",""HSPMTB2016"",""21"",""1"",""37457"""</f>
        <v>"TRUST Nav","HSPMTB2016","21","1","37457"</v>
      </c>
      <c r="I581" s="52" t="str">
        <f t="shared" si="114"/>
        <v>KK-04613|42368|TRT-80-10</v>
      </c>
      <c r="J581" s="52" t="str">
        <f t="shared" si="119"/>
        <v>KK-04613</v>
      </c>
      <c r="K581" s="52" t="str">
        <f t="shared" si="120"/>
        <v>Ignatius Yanto Hardoyo</v>
      </c>
      <c r="L581" s="52" t="str">
        <f t="shared" si="113"/>
        <v>TRT-80-10</v>
      </c>
      <c r="M581" s="82">
        <v>42368</v>
      </c>
      <c r="N581" s="2">
        <v>20000</v>
      </c>
    </row>
    <row r="582" spans="1:14" x14ac:dyDescent="0.35">
      <c r="A582" s="52" t="s">
        <v>6063</v>
      </c>
      <c r="C582" s="30" t="s">
        <v>20980</v>
      </c>
      <c r="D582" s="30" t="str">
        <f>"""TRUST Nav"",""HSPMTB2016"",""21"",""1"",""85250"""</f>
        <v>"TRUST Nav","HSPMTB2016","21","1","85250"</v>
      </c>
      <c r="I582" s="52" t="str">
        <f t="shared" si="114"/>
        <v>KK-04613|42370|TRT-80-10</v>
      </c>
      <c r="J582" s="52" t="str">
        <f t="shared" si="119"/>
        <v>KK-04613</v>
      </c>
      <c r="K582" s="52" t="str">
        <f t="shared" si="120"/>
        <v>Ignatius Yanto Hardoyo</v>
      </c>
      <c r="L582" s="52" t="str">
        <f t="shared" si="113"/>
        <v>TRT-80-10</v>
      </c>
      <c r="M582" s="82">
        <v>42370</v>
      </c>
      <c r="N582" s="2">
        <v>20000</v>
      </c>
    </row>
    <row r="583" spans="1:14" x14ac:dyDescent="0.35">
      <c r="A583" s="52" t="s">
        <v>6063</v>
      </c>
      <c r="C583" s="30" t="s">
        <v>20980</v>
      </c>
      <c r="D583" s="30" t="str">
        <f>"""TRUST Nav"",""HSPMTB2016"",""21"",""1"",""85251"""</f>
        <v>"TRUST Nav","HSPMTB2016","21","1","85251"</v>
      </c>
      <c r="I583" s="52" t="str">
        <f t="shared" si="114"/>
        <v>KK-04613|42401|TRT-80-10</v>
      </c>
      <c r="J583" s="52" t="str">
        <f t="shared" si="119"/>
        <v>KK-04613</v>
      </c>
      <c r="K583" s="52" t="str">
        <f t="shared" si="120"/>
        <v>Ignatius Yanto Hardoyo</v>
      </c>
      <c r="L583" s="52" t="str">
        <f t="shared" si="113"/>
        <v>TRT-80-10</v>
      </c>
      <c r="M583" s="82">
        <v>42401</v>
      </c>
      <c r="N583" s="2">
        <v>20000</v>
      </c>
    </row>
    <row r="584" spans="1:14" x14ac:dyDescent="0.35">
      <c r="A584" s="52" t="s">
        <v>6063</v>
      </c>
      <c r="C584" s="30" t="s">
        <v>20980</v>
      </c>
      <c r="D584" s="30" t="str">
        <f>"""TRUST Nav"",""HSPMTB2016"",""21"",""1"",""85252"""</f>
        <v>"TRUST Nav","HSPMTB2016","21","1","85252"</v>
      </c>
      <c r="I584" s="52" t="str">
        <f t="shared" si="114"/>
        <v>KK-04613|42430|TRT-80-10</v>
      </c>
      <c r="J584" s="52" t="str">
        <f t="shared" si="119"/>
        <v>KK-04613</v>
      </c>
      <c r="K584" s="52" t="str">
        <f t="shared" si="120"/>
        <v>Ignatius Yanto Hardoyo</v>
      </c>
      <c r="L584" s="52" t="str">
        <f t="shared" si="113"/>
        <v>TRT-80-10</v>
      </c>
      <c r="M584" s="82">
        <v>42430</v>
      </c>
      <c r="N584" s="2">
        <v>20000</v>
      </c>
    </row>
    <row r="585" spans="1:14" x14ac:dyDescent="0.35">
      <c r="A585" s="52" t="s">
        <v>6063</v>
      </c>
      <c r="C585" s="30" t="s">
        <v>20980</v>
      </c>
      <c r="D585" s="30" t="str">
        <f>"""TRUST Nav"",""HSPMTB2016"",""21"",""1"",""85253"""</f>
        <v>"TRUST Nav","HSPMTB2016","21","1","85253"</v>
      </c>
      <c r="I585" s="52" t="str">
        <f t="shared" si="114"/>
        <v>KK-04613|42461|TRT-80-10</v>
      </c>
      <c r="J585" s="52" t="str">
        <f t="shared" si="119"/>
        <v>KK-04613</v>
      </c>
      <c r="K585" s="52" t="str">
        <f t="shared" si="120"/>
        <v>Ignatius Yanto Hardoyo</v>
      </c>
      <c r="L585" s="52" t="str">
        <f t="shared" si="113"/>
        <v>TRT-80-10</v>
      </c>
      <c r="M585" s="82">
        <v>42461</v>
      </c>
      <c r="N585" s="2">
        <v>20000</v>
      </c>
    </row>
    <row r="586" spans="1:14" x14ac:dyDescent="0.35">
      <c r="A586" s="52" t="s">
        <v>6063</v>
      </c>
      <c r="C586" s="30" t="s">
        <v>20980</v>
      </c>
      <c r="D586" s="30" t="str">
        <f>"""TRUST Nav"",""HSPMTB2016"",""21"",""1"",""138842"""</f>
        <v>"TRUST Nav","HSPMTB2016","21","1","138842"</v>
      </c>
      <c r="I586" s="52" t="str">
        <f t="shared" si="114"/>
        <v>KK-04613|42491|TRT-80-10</v>
      </c>
      <c r="J586" s="52" t="str">
        <f t="shared" si="119"/>
        <v>KK-04613</v>
      </c>
      <c r="K586" s="52" t="str">
        <f t="shared" si="120"/>
        <v>Ignatius Yanto Hardoyo</v>
      </c>
      <c r="L586" s="52" t="str">
        <f t="shared" ref="L586:L649" si="121">"TRT-80-10"</f>
        <v>TRT-80-10</v>
      </c>
      <c r="M586" s="82">
        <v>42491</v>
      </c>
      <c r="N586" s="2">
        <v>20000</v>
      </c>
    </row>
    <row r="587" spans="1:14" x14ac:dyDescent="0.35">
      <c r="A587" s="52" t="s">
        <v>6063</v>
      </c>
      <c r="C587" s="30" t="s">
        <v>20980</v>
      </c>
      <c r="D587" s="30" t="str">
        <f>"""TRUST Nav"",""HSPMTB2016"",""21"",""1"",""138843"""</f>
        <v>"TRUST Nav","HSPMTB2016","21","1","138843"</v>
      </c>
      <c r="I587" s="52" t="str">
        <f t="shared" ref="I587:I650" si="122">CONCATENATE(J587,"|",M587,"|",L587)</f>
        <v>KK-04613|42522|TRT-80-10</v>
      </c>
      <c r="J587" s="52" t="str">
        <f t="shared" si="119"/>
        <v>KK-04613</v>
      </c>
      <c r="K587" s="52" t="str">
        <f t="shared" si="120"/>
        <v>Ignatius Yanto Hardoyo</v>
      </c>
      <c r="L587" s="52" t="str">
        <f t="shared" si="121"/>
        <v>TRT-80-10</v>
      </c>
      <c r="M587" s="82">
        <v>42522</v>
      </c>
      <c r="N587" s="2">
        <v>20000</v>
      </c>
    </row>
    <row r="588" spans="1:14" x14ac:dyDescent="0.35">
      <c r="A588" s="52" t="s">
        <v>6063</v>
      </c>
      <c r="C588" s="30" t="s">
        <v>20980</v>
      </c>
      <c r="D588" s="30" t="str">
        <f>"""TRUST Nav"",""HSPMTB2016"",""21"",""1"",""138844"""</f>
        <v>"TRUST Nav","HSPMTB2016","21","1","138844"</v>
      </c>
      <c r="I588" s="52" t="str">
        <f t="shared" si="122"/>
        <v>KK-04613|42552|TRT-80-10</v>
      </c>
      <c r="J588" s="52" t="str">
        <f t="shared" si="119"/>
        <v>KK-04613</v>
      </c>
      <c r="K588" s="52" t="str">
        <f t="shared" si="120"/>
        <v>Ignatius Yanto Hardoyo</v>
      </c>
      <c r="L588" s="52" t="str">
        <f t="shared" si="121"/>
        <v>TRT-80-10</v>
      </c>
      <c r="M588" s="82">
        <v>42552</v>
      </c>
      <c r="N588" s="2">
        <v>20000</v>
      </c>
    </row>
    <row r="589" spans="1:14" x14ac:dyDescent="0.35">
      <c r="A589" s="52" t="s">
        <v>6063</v>
      </c>
      <c r="C589" s="30" t="s">
        <v>20980</v>
      </c>
      <c r="D589" s="30" t="str">
        <f>"""TRUST Nav"",""HSPMTB2016"",""21"",""1"",""138845"""</f>
        <v>"TRUST Nav","HSPMTB2016","21","1","138845"</v>
      </c>
      <c r="I589" s="52" t="str">
        <f t="shared" si="122"/>
        <v>KK-04613|42583|TRT-80-10</v>
      </c>
      <c r="J589" s="52" t="str">
        <f t="shared" si="119"/>
        <v>KK-04613</v>
      </c>
      <c r="K589" s="52" t="str">
        <f t="shared" si="120"/>
        <v>Ignatius Yanto Hardoyo</v>
      </c>
      <c r="L589" s="52" t="str">
        <f t="shared" si="121"/>
        <v>TRT-80-10</v>
      </c>
      <c r="M589" s="82">
        <v>42583</v>
      </c>
      <c r="N589" s="2">
        <v>20000</v>
      </c>
    </row>
    <row r="590" spans="1:14" x14ac:dyDescent="0.35">
      <c r="A590" s="52" t="s">
        <v>6063</v>
      </c>
      <c r="C590" s="30" t="s">
        <v>20980</v>
      </c>
      <c r="D590" s="30" t="str">
        <f>"""TRUST Nav"",""HSPMTB2016"",""21"",""1"",""3659"""</f>
        <v>"TRUST Nav","HSPMTB2016","21","1","3659"</v>
      </c>
      <c r="I590" s="52" t="str">
        <f t="shared" si="122"/>
        <v>KK-04616|42186|TRT-80-10</v>
      </c>
      <c r="J590" s="52" t="str">
        <f t="shared" ref="J590:J609" si="123">"KK-04616"</f>
        <v>KK-04616</v>
      </c>
      <c r="K590" s="52" t="str">
        <f t="shared" ref="K590:K609" si="124">"Purnama Tanuseputra"</f>
        <v>Purnama Tanuseputra</v>
      </c>
      <c r="L590" s="52" t="str">
        <f t="shared" si="121"/>
        <v>TRT-80-10</v>
      </c>
      <c r="M590" s="82">
        <v>42186</v>
      </c>
      <c r="N590" s="2">
        <v>50000.000000000007</v>
      </c>
    </row>
    <row r="591" spans="1:14" x14ac:dyDescent="0.35">
      <c r="A591" s="52" t="s">
        <v>6063</v>
      </c>
      <c r="C591" s="30" t="s">
        <v>20980</v>
      </c>
      <c r="D591" s="30" t="str">
        <f>"""TRUST Nav"",""HSPMTB2016"",""21"",""1"",""3660"""</f>
        <v>"TRUST Nav","HSPMTB2016","21","1","3660"</v>
      </c>
      <c r="I591" s="52" t="str">
        <f t="shared" si="122"/>
        <v>KK-04616|42217|TRT-80-10</v>
      </c>
      <c r="J591" s="52" t="str">
        <f t="shared" si="123"/>
        <v>KK-04616</v>
      </c>
      <c r="K591" s="52" t="str">
        <f t="shared" si="124"/>
        <v>Purnama Tanuseputra</v>
      </c>
      <c r="L591" s="52" t="str">
        <f t="shared" si="121"/>
        <v>TRT-80-10</v>
      </c>
      <c r="M591" s="82">
        <v>42217</v>
      </c>
      <c r="N591" s="2">
        <v>50000.000000000007</v>
      </c>
    </row>
    <row r="592" spans="1:14" x14ac:dyDescent="0.35">
      <c r="A592" s="52" t="s">
        <v>6063</v>
      </c>
      <c r="C592" s="30" t="s">
        <v>20980</v>
      </c>
      <c r="D592" s="30" t="str">
        <f>"""TRUST Nav"",""HSPMTB2016"",""21"",""1"",""3661"""</f>
        <v>"TRUST Nav","HSPMTB2016","21","1","3661"</v>
      </c>
      <c r="I592" s="52" t="str">
        <f t="shared" si="122"/>
        <v>KK-04616|42248|TRT-80-10</v>
      </c>
      <c r="J592" s="52" t="str">
        <f t="shared" si="123"/>
        <v>KK-04616</v>
      </c>
      <c r="K592" s="52" t="str">
        <f t="shared" si="124"/>
        <v>Purnama Tanuseputra</v>
      </c>
      <c r="L592" s="52" t="str">
        <f t="shared" si="121"/>
        <v>TRT-80-10</v>
      </c>
      <c r="M592" s="82">
        <v>42248</v>
      </c>
      <c r="N592" s="2">
        <v>50000.000000000007</v>
      </c>
    </row>
    <row r="593" spans="1:14" x14ac:dyDescent="0.35">
      <c r="A593" s="52" t="s">
        <v>6063</v>
      </c>
      <c r="C593" s="30" t="s">
        <v>20980</v>
      </c>
      <c r="D593" s="30" t="str">
        <f>"""TRUST Nav"",""HSPMTB2016"",""21"",""1"",""3662"""</f>
        <v>"TRUST Nav","HSPMTB2016","21","1","3662"</v>
      </c>
      <c r="I593" s="52" t="str">
        <f t="shared" si="122"/>
        <v>KK-04616|42278|TRT-80-10</v>
      </c>
      <c r="J593" s="52" t="str">
        <f t="shared" si="123"/>
        <v>KK-04616</v>
      </c>
      <c r="K593" s="52" t="str">
        <f t="shared" si="124"/>
        <v>Purnama Tanuseputra</v>
      </c>
      <c r="L593" s="52" t="str">
        <f t="shared" si="121"/>
        <v>TRT-80-10</v>
      </c>
      <c r="M593" s="82">
        <v>42278</v>
      </c>
      <c r="N593" s="2">
        <v>50000.000000000007</v>
      </c>
    </row>
    <row r="594" spans="1:14" x14ac:dyDescent="0.35">
      <c r="A594" s="52" t="s">
        <v>6063</v>
      </c>
      <c r="C594" s="30" t="s">
        <v>20980</v>
      </c>
      <c r="D594" s="30" t="str">
        <f>"""TRUST Nav"",""HSPMTB2016"",""21"",""1"",""3663"""</f>
        <v>"TRUST Nav","HSPMTB2016","21","1","3663"</v>
      </c>
      <c r="I594" s="52" t="str">
        <f t="shared" si="122"/>
        <v>KK-04616|42309|TRT-80-10</v>
      </c>
      <c r="J594" s="52" t="str">
        <f t="shared" si="123"/>
        <v>KK-04616</v>
      </c>
      <c r="K594" s="52" t="str">
        <f t="shared" si="124"/>
        <v>Purnama Tanuseputra</v>
      </c>
      <c r="L594" s="52" t="str">
        <f t="shared" si="121"/>
        <v>TRT-80-10</v>
      </c>
      <c r="M594" s="82">
        <v>42309</v>
      </c>
      <c r="N594" s="2">
        <v>50000.000000000007</v>
      </c>
    </row>
    <row r="595" spans="1:14" x14ac:dyDescent="0.35">
      <c r="A595" s="52" t="s">
        <v>6063</v>
      </c>
      <c r="C595" s="30" t="s">
        <v>20980</v>
      </c>
      <c r="D595" s="30" t="str">
        <f>"""TRUST Nav"",""HSPMTB2016"",""21"",""1"",""3664"""</f>
        <v>"TRUST Nav","HSPMTB2016","21","1","3664"</v>
      </c>
      <c r="I595" s="52" t="str">
        <f t="shared" si="122"/>
        <v>KK-04616|42339|TRT-80-10</v>
      </c>
      <c r="J595" s="52" t="str">
        <f t="shared" si="123"/>
        <v>KK-04616</v>
      </c>
      <c r="K595" s="52" t="str">
        <f t="shared" si="124"/>
        <v>Purnama Tanuseputra</v>
      </c>
      <c r="L595" s="52" t="str">
        <f t="shared" si="121"/>
        <v>TRT-80-10</v>
      </c>
      <c r="M595" s="82">
        <v>42339</v>
      </c>
      <c r="N595" s="2">
        <v>50000.000000000007</v>
      </c>
    </row>
    <row r="596" spans="1:14" x14ac:dyDescent="0.35">
      <c r="A596" s="52" t="s">
        <v>6063</v>
      </c>
      <c r="C596" s="30" t="s">
        <v>20980</v>
      </c>
      <c r="D596" s="30" t="str">
        <f>"""TRUST Nav"",""HSPMTB2016"",""21"",""1"",""37458"""</f>
        <v>"TRUST Nav","HSPMTB2016","21","1","37458"</v>
      </c>
      <c r="I596" s="52" t="str">
        <f t="shared" si="122"/>
        <v>KK-04616|42368|TRT-80-10</v>
      </c>
      <c r="J596" s="52" t="str">
        <f t="shared" si="123"/>
        <v>KK-04616</v>
      </c>
      <c r="K596" s="52" t="str">
        <f t="shared" si="124"/>
        <v>Purnama Tanuseputra</v>
      </c>
      <c r="L596" s="52" t="str">
        <f t="shared" si="121"/>
        <v>TRT-80-10</v>
      </c>
      <c r="M596" s="82">
        <v>42368</v>
      </c>
      <c r="N596" s="2">
        <v>50000.000000000007</v>
      </c>
    </row>
    <row r="597" spans="1:14" x14ac:dyDescent="0.35">
      <c r="A597" s="52" t="s">
        <v>6063</v>
      </c>
      <c r="C597" s="30" t="s">
        <v>20980</v>
      </c>
      <c r="D597" s="30" t="str">
        <f>"""TRUST Nav"",""HSPMTB2016"",""21"",""1"",""37459"""</f>
        <v>"TRUST Nav","HSPMTB2016","21","1","37459"</v>
      </c>
      <c r="I597" s="52" t="str">
        <f t="shared" si="122"/>
        <v>KK-04616|42368|TRT-80-10</v>
      </c>
      <c r="J597" s="52" t="str">
        <f t="shared" si="123"/>
        <v>KK-04616</v>
      </c>
      <c r="K597" s="52" t="str">
        <f t="shared" si="124"/>
        <v>Purnama Tanuseputra</v>
      </c>
      <c r="L597" s="52" t="str">
        <f t="shared" si="121"/>
        <v>TRT-80-10</v>
      </c>
      <c r="M597" s="82">
        <v>42368</v>
      </c>
      <c r="N597" s="2">
        <v>50000.000000000007</v>
      </c>
    </row>
    <row r="598" spans="1:14" x14ac:dyDescent="0.35">
      <c r="A598" s="52" t="s">
        <v>6063</v>
      </c>
      <c r="C598" s="30" t="s">
        <v>20980</v>
      </c>
      <c r="D598" s="30" t="str">
        <f>"""TRUST Nav"",""HSPMTB2016"",""21"",""1"",""37460"""</f>
        <v>"TRUST Nav","HSPMTB2016","21","1","37460"</v>
      </c>
      <c r="I598" s="52" t="str">
        <f t="shared" si="122"/>
        <v>KK-04616|42368|TRT-80-10</v>
      </c>
      <c r="J598" s="52" t="str">
        <f t="shared" si="123"/>
        <v>KK-04616</v>
      </c>
      <c r="K598" s="52" t="str">
        <f t="shared" si="124"/>
        <v>Purnama Tanuseputra</v>
      </c>
      <c r="L598" s="52" t="str">
        <f t="shared" si="121"/>
        <v>TRT-80-10</v>
      </c>
      <c r="M598" s="82">
        <v>42368</v>
      </c>
      <c r="N598" s="2">
        <v>50000.000000000007</v>
      </c>
    </row>
    <row r="599" spans="1:14" x14ac:dyDescent="0.35">
      <c r="A599" s="52" t="s">
        <v>6063</v>
      </c>
      <c r="C599" s="30" t="s">
        <v>20980</v>
      </c>
      <c r="D599" s="30" t="str">
        <f>"""TRUST Nav"",""HSPMTB2016"",""21"",""1"",""37461"""</f>
        <v>"TRUST Nav","HSPMTB2016","21","1","37461"</v>
      </c>
      <c r="I599" s="52" t="str">
        <f t="shared" si="122"/>
        <v>KK-04616|42368|TRT-80-10</v>
      </c>
      <c r="J599" s="52" t="str">
        <f t="shared" si="123"/>
        <v>KK-04616</v>
      </c>
      <c r="K599" s="52" t="str">
        <f t="shared" si="124"/>
        <v>Purnama Tanuseputra</v>
      </c>
      <c r="L599" s="52" t="str">
        <f t="shared" si="121"/>
        <v>TRT-80-10</v>
      </c>
      <c r="M599" s="82">
        <v>42368</v>
      </c>
      <c r="N599" s="2">
        <v>50000.000000000007</v>
      </c>
    </row>
    <row r="600" spans="1:14" x14ac:dyDescent="0.35">
      <c r="A600" s="52" t="s">
        <v>6063</v>
      </c>
      <c r="C600" s="30" t="s">
        <v>20980</v>
      </c>
      <c r="D600" s="30" t="str">
        <f>"""TRUST Nav"",""HSPMTB2016"",""21"",""1"",""37462"""</f>
        <v>"TRUST Nav","HSPMTB2016","21","1","37462"</v>
      </c>
      <c r="I600" s="52" t="str">
        <f t="shared" si="122"/>
        <v>KK-04616|42368|TRT-80-10</v>
      </c>
      <c r="J600" s="52" t="str">
        <f t="shared" si="123"/>
        <v>KK-04616</v>
      </c>
      <c r="K600" s="52" t="str">
        <f t="shared" si="124"/>
        <v>Purnama Tanuseputra</v>
      </c>
      <c r="L600" s="52" t="str">
        <f t="shared" si="121"/>
        <v>TRT-80-10</v>
      </c>
      <c r="M600" s="82">
        <v>42368</v>
      </c>
      <c r="N600" s="2">
        <v>50000.000000000007</v>
      </c>
    </row>
    <row r="601" spans="1:14" x14ac:dyDescent="0.35">
      <c r="A601" s="52" t="s">
        <v>6063</v>
      </c>
      <c r="C601" s="30" t="s">
        <v>20980</v>
      </c>
      <c r="D601" s="30" t="str">
        <f>"""TRUST Nav"",""HSPMTB2016"",""21"",""1"",""37463"""</f>
        <v>"TRUST Nav","HSPMTB2016","21","1","37463"</v>
      </c>
      <c r="I601" s="52" t="str">
        <f t="shared" si="122"/>
        <v>KK-04616|42368|TRT-80-10</v>
      </c>
      <c r="J601" s="52" t="str">
        <f t="shared" si="123"/>
        <v>KK-04616</v>
      </c>
      <c r="K601" s="52" t="str">
        <f t="shared" si="124"/>
        <v>Purnama Tanuseputra</v>
      </c>
      <c r="L601" s="52" t="str">
        <f t="shared" si="121"/>
        <v>TRT-80-10</v>
      </c>
      <c r="M601" s="82">
        <v>42368</v>
      </c>
      <c r="N601" s="2">
        <v>50000.000000000007</v>
      </c>
    </row>
    <row r="602" spans="1:14" x14ac:dyDescent="0.35">
      <c r="A602" s="52" t="s">
        <v>6063</v>
      </c>
      <c r="C602" s="30" t="s">
        <v>20980</v>
      </c>
      <c r="D602" s="30" t="str">
        <f>"""TRUST Nav"",""HSPMTB2016"",""21"",""1"",""102576"""</f>
        <v>"TRUST Nav","HSPMTB2016","21","1","102576"</v>
      </c>
      <c r="I602" s="52" t="str">
        <f t="shared" si="122"/>
        <v>KK-04616|42370|TRT-80-10</v>
      </c>
      <c r="J602" s="52" t="str">
        <f t="shared" si="123"/>
        <v>KK-04616</v>
      </c>
      <c r="K602" s="52" t="str">
        <f t="shared" si="124"/>
        <v>Purnama Tanuseputra</v>
      </c>
      <c r="L602" s="52" t="str">
        <f t="shared" si="121"/>
        <v>TRT-80-10</v>
      </c>
      <c r="M602" s="82">
        <v>42370</v>
      </c>
      <c r="N602" s="2">
        <v>50000.000000000007</v>
      </c>
    </row>
    <row r="603" spans="1:14" x14ac:dyDescent="0.35">
      <c r="A603" s="52" t="s">
        <v>6063</v>
      </c>
      <c r="C603" s="30" t="s">
        <v>20980</v>
      </c>
      <c r="D603" s="30" t="str">
        <f>"""TRUST Nav"",""HSPMTB2016"",""21"",""1"",""102577"""</f>
        <v>"TRUST Nav","HSPMTB2016","21","1","102577"</v>
      </c>
      <c r="I603" s="52" t="str">
        <f t="shared" si="122"/>
        <v>KK-04616|42401|TRT-80-10</v>
      </c>
      <c r="J603" s="52" t="str">
        <f t="shared" si="123"/>
        <v>KK-04616</v>
      </c>
      <c r="K603" s="52" t="str">
        <f t="shared" si="124"/>
        <v>Purnama Tanuseputra</v>
      </c>
      <c r="L603" s="52" t="str">
        <f t="shared" si="121"/>
        <v>TRT-80-10</v>
      </c>
      <c r="M603" s="82">
        <v>42401</v>
      </c>
      <c r="N603" s="2">
        <v>50000.000000000007</v>
      </c>
    </row>
    <row r="604" spans="1:14" x14ac:dyDescent="0.35">
      <c r="A604" s="52" t="s">
        <v>6063</v>
      </c>
      <c r="C604" s="30" t="s">
        <v>20980</v>
      </c>
      <c r="D604" s="30" t="str">
        <f>"""TRUST Nav"",""HSPMTB2016"",""21"",""1"",""102578"""</f>
        <v>"TRUST Nav","HSPMTB2016","21","1","102578"</v>
      </c>
      <c r="I604" s="52" t="str">
        <f t="shared" si="122"/>
        <v>KK-04616|42430|TRT-80-10</v>
      </c>
      <c r="J604" s="52" t="str">
        <f t="shared" si="123"/>
        <v>KK-04616</v>
      </c>
      <c r="K604" s="52" t="str">
        <f t="shared" si="124"/>
        <v>Purnama Tanuseputra</v>
      </c>
      <c r="L604" s="52" t="str">
        <f t="shared" si="121"/>
        <v>TRT-80-10</v>
      </c>
      <c r="M604" s="82">
        <v>42430</v>
      </c>
      <c r="N604" s="2">
        <v>50000.000000000007</v>
      </c>
    </row>
    <row r="605" spans="1:14" x14ac:dyDescent="0.35">
      <c r="A605" s="52" t="s">
        <v>6063</v>
      </c>
      <c r="C605" s="30" t="s">
        <v>20980</v>
      </c>
      <c r="D605" s="30" t="str">
        <f>"""TRUST Nav"",""HSPMTB2016"",""21"",""1"",""102579"""</f>
        <v>"TRUST Nav","HSPMTB2016","21","1","102579"</v>
      </c>
      <c r="I605" s="52" t="str">
        <f t="shared" si="122"/>
        <v>KK-04616|42461|TRT-80-10</v>
      </c>
      <c r="J605" s="52" t="str">
        <f t="shared" si="123"/>
        <v>KK-04616</v>
      </c>
      <c r="K605" s="52" t="str">
        <f t="shared" si="124"/>
        <v>Purnama Tanuseputra</v>
      </c>
      <c r="L605" s="52" t="str">
        <f t="shared" si="121"/>
        <v>TRT-80-10</v>
      </c>
      <c r="M605" s="82">
        <v>42461</v>
      </c>
      <c r="N605" s="2">
        <v>50000.000000000007</v>
      </c>
    </row>
    <row r="606" spans="1:14" x14ac:dyDescent="0.35">
      <c r="A606" s="52" t="s">
        <v>6063</v>
      </c>
      <c r="C606" s="30" t="s">
        <v>20980</v>
      </c>
      <c r="D606" s="30" t="str">
        <f>"""TRUST Nav"",""HSPMTB2016"",""21"",""1"",""138846"""</f>
        <v>"TRUST Nav","HSPMTB2016","21","1","138846"</v>
      </c>
      <c r="I606" s="52" t="str">
        <f t="shared" si="122"/>
        <v>KK-04616|42491|TRT-80-10</v>
      </c>
      <c r="J606" s="52" t="str">
        <f t="shared" si="123"/>
        <v>KK-04616</v>
      </c>
      <c r="K606" s="52" t="str">
        <f t="shared" si="124"/>
        <v>Purnama Tanuseputra</v>
      </c>
      <c r="L606" s="52" t="str">
        <f t="shared" si="121"/>
        <v>TRT-80-10</v>
      </c>
      <c r="M606" s="82">
        <v>42491</v>
      </c>
      <c r="N606" s="2">
        <v>50000.000000000007</v>
      </c>
    </row>
    <row r="607" spans="1:14" x14ac:dyDescent="0.35">
      <c r="A607" s="52" t="s">
        <v>6063</v>
      </c>
      <c r="C607" s="30" t="s">
        <v>20980</v>
      </c>
      <c r="D607" s="30" t="str">
        <f>"""TRUST Nav"",""HSPMTB2016"",""21"",""1"",""138847"""</f>
        <v>"TRUST Nav","HSPMTB2016","21","1","138847"</v>
      </c>
      <c r="I607" s="52" t="str">
        <f t="shared" si="122"/>
        <v>KK-04616|42522|TRT-80-10</v>
      </c>
      <c r="J607" s="52" t="str">
        <f t="shared" si="123"/>
        <v>KK-04616</v>
      </c>
      <c r="K607" s="52" t="str">
        <f t="shared" si="124"/>
        <v>Purnama Tanuseputra</v>
      </c>
      <c r="L607" s="52" t="str">
        <f t="shared" si="121"/>
        <v>TRT-80-10</v>
      </c>
      <c r="M607" s="82">
        <v>42522</v>
      </c>
      <c r="N607" s="2">
        <v>50000.000000000007</v>
      </c>
    </row>
    <row r="608" spans="1:14" x14ac:dyDescent="0.35">
      <c r="A608" s="52" t="s">
        <v>6063</v>
      </c>
      <c r="C608" s="30" t="s">
        <v>20980</v>
      </c>
      <c r="D608" s="30" t="str">
        <f>"""TRUST Nav"",""HSPMTB2016"",""21"",""1"",""138848"""</f>
        <v>"TRUST Nav","HSPMTB2016","21","1","138848"</v>
      </c>
      <c r="I608" s="52" t="str">
        <f t="shared" si="122"/>
        <v>KK-04616|42552|TRT-80-10</v>
      </c>
      <c r="J608" s="52" t="str">
        <f t="shared" si="123"/>
        <v>KK-04616</v>
      </c>
      <c r="K608" s="52" t="str">
        <f t="shared" si="124"/>
        <v>Purnama Tanuseputra</v>
      </c>
      <c r="L608" s="52" t="str">
        <f t="shared" si="121"/>
        <v>TRT-80-10</v>
      </c>
      <c r="M608" s="82">
        <v>42552</v>
      </c>
      <c r="N608" s="2">
        <v>50000.000000000007</v>
      </c>
    </row>
    <row r="609" spans="1:14" x14ac:dyDescent="0.35">
      <c r="A609" s="52" t="s">
        <v>6063</v>
      </c>
      <c r="C609" s="30" t="s">
        <v>20980</v>
      </c>
      <c r="D609" s="30" t="str">
        <f>"""TRUST Nav"",""HSPMTB2016"",""21"",""1"",""138849"""</f>
        <v>"TRUST Nav","HSPMTB2016","21","1","138849"</v>
      </c>
      <c r="I609" s="52" t="str">
        <f t="shared" si="122"/>
        <v>KK-04616|42583|TRT-80-10</v>
      </c>
      <c r="J609" s="52" t="str">
        <f t="shared" si="123"/>
        <v>KK-04616</v>
      </c>
      <c r="K609" s="52" t="str">
        <f t="shared" si="124"/>
        <v>Purnama Tanuseputra</v>
      </c>
      <c r="L609" s="52" t="str">
        <f t="shared" si="121"/>
        <v>TRT-80-10</v>
      </c>
      <c r="M609" s="82">
        <v>42583</v>
      </c>
      <c r="N609" s="2">
        <v>50000.000000000007</v>
      </c>
    </row>
    <row r="610" spans="1:14" x14ac:dyDescent="0.35">
      <c r="A610" s="52" t="s">
        <v>6063</v>
      </c>
      <c r="C610" s="30" t="s">
        <v>20980</v>
      </c>
      <c r="D610" s="30" t="str">
        <f>"""TRUST Nav"",""HSPMTB2016"",""21"",""1"",""3665"""</f>
        <v>"TRUST Nav","HSPMTB2016","21","1","3665"</v>
      </c>
      <c r="I610" s="52" t="str">
        <f t="shared" si="122"/>
        <v>KK-04617|42186|TRT-80-10</v>
      </c>
      <c r="J610" s="52" t="str">
        <f t="shared" ref="J610:J616" si="125">"KK-04617"</f>
        <v>KK-04617</v>
      </c>
      <c r="K610" s="52" t="str">
        <f t="shared" ref="K610:K616" si="126">"Rudolf Hendricus Poluan"</f>
        <v>Rudolf Hendricus Poluan</v>
      </c>
      <c r="L610" s="52" t="str">
        <f t="shared" si="121"/>
        <v>TRT-80-10</v>
      </c>
      <c r="M610" s="82">
        <v>42186</v>
      </c>
      <c r="N610" s="2">
        <v>20000</v>
      </c>
    </row>
    <row r="611" spans="1:14" x14ac:dyDescent="0.35">
      <c r="A611" s="52" t="s">
        <v>6063</v>
      </c>
      <c r="C611" s="30" t="s">
        <v>20980</v>
      </c>
      <c r="D611" s="30" t="str">
        <f>"""TRUST Nav"",""HSPMTB2016"",""21"",""1"",""37464"""</f>
        <v>"TRUST Nav","HSPMTB2016","21","1","37464"</v>
      </c>
      <c r="I611" s="52" t="str">
        <f t="shared" si="122"/>
        <v>KK-04617|42368|TRT-80-10</v>
      </c>
      <c r="J611" s="52" t="str">
        <f t="shared" si="125"/>
        <v>KK-04617</v>
      </c>
      <c r="K611" s="52" t="str">
        <f t="shared" si="126"/>
        <v>Rudolf Hendricus Poluan</v>
      </c>
      <c r="L611" s="52" t="str">
        <f t="shared" si="121"/>
        <v>TRT-80-10</v>
      </c>
      <c r="M611" s="82">
        <v>42368</v>
      </c>
      <c r="N611" s="2">
        <v>20000</v>
      </c>
    </row>
    <row r="612" spans="1:14" x14ac:dyDescent="0.35">
      <c r="A612" s="52" t="s">
        <v>6063</v>
      </c>
      <c r="C612" s="30" t="s">
        <v>20980</v>
      </c>
      <c r="D612" s="30" t="str">
        <f>"""TRUST Nav"",""HSPMTB2016"",""21"",""1"",""85254"""</f>
        <v>"TRUST Nav","HSPMTB2016","21","1","85254"</v>
      </c>
      <c r="I612" s="52" t="str">
        <f t="shared" si="122"/>
        <v>KK-04617|42217|TRT-80-10</v>
      </c>
      <c r="J612" s="52" t="str">
        <f t="shared" si="125"/>
        <v>KK-04617</v>
      </c>
      <c r="K612" s="52" t="str">
        <f t="shared" si="126"/>
        <v>Rudolf Hendricus Poluan</v>
      </c>
      <c r="L612" s="52" t="str">
        <f t="shared" si="121"/>
        <v>TRT-80-10</v>
      </c>
      <c r="M612" s="82">
        <v>42217</v>
      </c>
      <c r="N612" s="2">
        <v>20000</v>
      </c>
    </row>
    <row r="613" spans="1:14" x14ac:dyDescent="0.35">
      <c r="A613" s="52" t="s">
        <v>6063</v>
      </c>
      <c r="C613" s="30" t="s">
        <v>20980</v>
      </c>
      <c r="D613" s="30" t="str">
        <f>"""TRUST Nav"",""HSPMTB2016"",""21"",""1"",""85255"""</f>
        <v>"TRUST Nav","HSPMTB2016","21","1","85255"</v>
      </c>
      <c r="I613" s="52" t="str">
        <f t="shared" si="122"/>
        <v>KK-04617|42248|TRT-80-10</v>
      </c>
      <c r="J613" s="52" t="str">
        <f t="shared" si="125"/>
        <v>KK-04617</v>
      </c>
      <c r="K613" s="52" t="str">
        <f t="shared" si="126"/>
        <v>Rudolf Hendricus Poluan</v>
      </c>
      <c r="L613" s="52" t="str">
        <f t="shared" si="121"/>
        <v>TRT-80-10</v>
      </c>
      <c r="M613" s="82">
        <v>42248</v>
      </c>
      <c r="N613" s="2">
        <v>20000</v>
      </c>
    </row>
    <row r="614" spans="1:14" x14ac:dyDescent="0.35">
      <c r="A614" s="52" t="s">
        <v>6063</v>
      </c>
      <c r="C614" s="30" t="s">
        <v>20980</v>
      </c>
      <c r="D614" s="30" t="str">
        <f>"""TRUST Nav"",""HSPMTB2016"",""21"",""1"",""85256"""</f>
        <v>"TRUST Nav","HSPMTB2016","21","1","85256"</v>
      </c>
      <c r="I614" s="52" t="str">
        <f t="shared" si="122"/>
        <v>KK-04617|42278|TRT-80-10</v>
      </c>
      <c r="J614" s="52" t="str">
        <f t="shared" si="125"/>
        <v>KK-04617</v>
      </c>
      <c r="K614" s="52" t="str">
        <f t="shared" si="126"/>
        <v>Rudolf Hendricus Poluan</v>
      </c>
      <c r="L614" s="52" t="str">
        <f t="shared" si="121"/>
        <v>TRT-80-10</v>
      </c>
      <c r="M614" s="82">
        <v>42278</v>
      </c>
      <c r="N614" s="2">
        <v>20000</v>
      </c>
    </row>
    <row r="615" spans="1:14" x14ac:dyDescent="0.35">
      <c r="A615" s="52" t="s">
        <v>6063</v>
      </c>
      <c r="C615" s="30" t="s">
        <v>20980</v>
      </c>
      <c r="D615" s="30" t="str">
        <f>"""TRUST Nav"",""HSPMTB2016"",""21"",""1"",""85257"""</f>
        <v>"TRUST Nav","HSPMTB2016","21","1","85257"</v>
      </c>
      <c r="I615" s="52" t="str">
        <f t="shared" si="122"/>
        <v>KK-04617|42309|TRT-80-10</v>
      </c>
      <c r="J615" s="52" t="str">
        <f t="shared" si="125"/>
        <v>KK-04617</v>
      </c>
      <c r="K615" s="52" t="str">
        <f t="shared" si="126"/>
        <v>Rudolf Hendricus Poluan</v>
      </c>
      <c r="L615" s="52" t="str">
        <f t="shared" si="121"/>
        <v>TRT-80-10</v>
      </c>
      <c r="M615" s="82">
        <v>42309</v>
      </c>
      <c r="N615" s="2">
        <v>20000</v>
      </c>
    </row>
    <row r="616" spans="1:14" x14ac:dyDescent="0.35">
      <c r="A616" s="52" t="s">
        <v>6063</v>
      </c>
      <c r="C616" s="30" t="s">
        <v>20980</v>
      </c>
      <c r="D616" s="30" t="str">
        <f>"""TRUST Nav"",""HSPMTB2016"",""21"",""1"",""85258"""</f>
        <v>"TRUST Nav","HSPMTB2016","21","1","85258"</v>
      </c>
      <c r="I616" s="52" t="str">
        <f t="shared" si="122"/>
        <v>KK-04617|42339|TRT-80-10</v>
      </c>
      <c r="J616" s="52" t="str">
        <f t="shared" si="125"/>
        <v>KK-04617</v>
      </c>
      <c r="K616" s="52" t="str">
        <f t="shared" si="126"/>
        <v>Rudolf Hendricus Poluan</v>
      </c>
      <c r="L616" s="52" t="str">
        <f t="shared" si="121"/>
        <v>TRT-80-10</v>
      </c>
      <c r="M616" s="82">
        <v>42339</v>
      </c>
      <c r="N616" s="2">
        <v>20000</v>
      </c>
    </row>
    <row r="617" spans="1:14" x14ac:dyDescent="0.35">
      <c r="A617" s="52" t="s">
        <v>6063</v>
      </c>
      <c r="C617" s="30" t="s">
        <v>20980</v>
      </c>
      <c r="D617" s="30" t="str">
        <f>"""TRUST Nav"",""HSPMTB2016"",""21"",""1"",""3666"""</f>
        <v>"TRUST Nav","HSPMTB2016","21","1","3666"</v>
      </c>
      <c r="I617" s="52" t="str">
        <f t="shared" si="122"/>
        <v>KK-04619|42186|TRT-80-10</v>
      </c>
      <c r="J617" s="52" t="str">
        <f t="shared" ref="J617:J628" si="127">"KK-04619"</f>
        <v>KK-04619</v>
      </c>
      <c r="K617" s="52" t="str">
        <f t="shared" ref="K617:K628" si="128">"Sandy Wijaya"</f>
        <v>Sandy Wijaya</v>
      </c>
      <c r="L617" s="52" t="str">
        <f t="shared" si="121"/>
        <v>TRT-80-10</v>
      </c>
      <c r="M617" s="82">
        <v>42186</v>
      </c>
      <c r="N617" s="2">
        <v>25000.000000000004</v>
      </c>
    </row>
    <row r="618" spans="1:14" x14ac:dyDescent="0.35">
      <c r="A618" s="52" t="s">
        <v>6063</v>
      </c>
      <c r="C618" s="30" t="s">
        <v>20980</v>
      </c>
      <c r="D618" s="30" t="str">
        <f>"""TRUST Nav"",""HSPMTB2016"",""21"",""1"",""3667"""</f>
        <v>"TRUST Nav","HSPMTB2016","21","1","3667"</v>
      </c>
      <c r="I618" s="52" t="str">
        <f t="shared" si="122"/>
        <v>KK-04619|42217|TRT-80-10</v>
      </c>
      <c r="J618" s="52" t="str">
        <f t="shared" si="127"/>
        <v>KK-04619</v>
      </c>
      <c r="K618" s="52" t="str">
        <f t="shared" si="128"/>
        <v>Sandy Wijaya</v>
      </c>
      <c r="L618" s="52" t="str">
        <f t="shared" si="121"/>
        <v>TRT-80-10</v>
      </c>
      <c r="M618" s="82">
        <v>42217</v>
      </c>
      <c r="N618" s="2">
        <v>25000.000000000004</v>
      </c>
    </row>
    <row r="619" spans="1:14" x14ac:dyDescent="0.35">
      <c r="A619" s="52" t="s">
        <v>6063</v>
      </c>
      <c r="C619" s="30" t="s">
        <v>20980</v>
      </c>
      <c r="D619" s="30" t="str">
        <f>"""TRUST Nav"",""HSPMTB2016"",""21"",""1"",""3668"""</f>
        <v>"TRUST Nav","HSPMTB2016","21","1","3668"</v>
      </c>
      <c r="I619" s="52" t="str">
        <f t="shared" si="122"/>
        <v>KK-04619|42248|TRT-80-10</v>
      </c>
      <c r="J619" s="52" t="str">
        <f t="shared" si="127"/>
        <v>KK-04619</v>
      </c>
      <c r="K619" s="52" t="str">
        <f t="shared" si="128"/>
        <v>Sandy Wijaya</v>
      </c>
      <c r="L619" s="52" t="str">
        <f t="shared" si="121"/>
        <v>TRT-80-10</v>
      </c>
      <c r="M619" s="82">
        <v>42248</v>
      </c>
      <c r="N619" s="2">
        <v>25000.000000000004</v>
      </c>
    </row>
    <row r="620" spans="1:14" x14ac:dyDescent="0.35">
      <c r="A620" s="52" t="s">
        <v>6063</v>
      </c>
      <c r="C620" s="30" t="s">
        <v>20980</v>
      </c>
      <c r="D620" s="30" t="str">
        <f>"""TRUST Nav"",""HSPMTB2016"",""21"",""1"",""3669"""</f>
        <v>"TRUST Nav","HSPMTB2016","21","1","3669"</v>
      </c>
      <c r="I620" s="52" t="str">
        <f t="shared" si="122"/>
        <v>KK-04619|42278|TRT-80-10</v>
      </c>
      <c r="J620" s="52" t="str">
        <f t="shared" si="127"/>
        <v>KK-04619</v>
      </c>
      <c r="K620" s="52" t="str">
        <f t="shared" si="128"/>
        <v>Sandy Wijaya</v>
      </c>
      <c r="L620" s="52" t="str">
        <f t="shared" si="121"/>
        <v>TRT-80-10</v>
      </c>
      <c r="M620" s="82">
        <v>42278</v>
      </c>
      <c r="N620" s="2">
        <v>25000.000000000004</v>
      </c>
    </row>
    <row r="621" spans="1:14" x14ac:dyDescent="0.35">
      <c r="A621" s="52" t="s">
        <v>6063</v>
      </c>
      <c r="C621" s="30" t="s">
        <v>20980</v>
      </c>
      <c r="D621" s="30" t="str">
        <f>"""TRUST Nav"",""HSPMTB2016"",""21"",""1"",""3670"""</f>
        <v>"TRUST Nav","HSPMTB2016","21","1","3670"</v>
      </c>
      <c r="I621" s="52" t="str">
        <f t="shared" si="122"/>
        <v>KK-04619|42309|TRT-80-10</v>
      </c>
      <c r="J621" s="52" t="str">
        <f t="shared" si="127"/>
        <v>KK-04619</v>
      </c>
      <c r="K621" s="52" t="str">
        <f t="shared" si="128"/>
        <v>Sandy Wijaya</v>
      </c>
      <c r="L621" s="52" t="str">
        <f t="shared" si="121"/>
        <v>TRT-80-10</v>
      </c>
      <c r="M621" s="82">
        <v>42309</v>
      </c>
      <c r="N621" s="2">
        <v>25000.000000000004</v>
      </c>
    </row>
    <row r="622" spans="1:14" x14ac:dyDescent="0.35">
      <c r="A622" s="52" t="s">
        <v>6063</v>
      </c>
      <c r="C622" s="30" t="s">
        <v>20980</v>
      </c>
      <c r="D622" s="30" t="str">
        <f>"""TRUST Nav"",""HSPMTB2016"",""21"",""1"",""3671"""</f>
        <v>"TRUST Nav","HSPMTB2016","21","1","3671"</v>
      </c>
      <c r="I622" s="52" t="str">
        <f t="shared" si="122"/>
        <v>KK-04619|42339|TRT-80-10</v>
      </c>
      <c r="J622" s="52" t="str">
        <f t="shared" si="127"/>
        <v>KK-04619</v>
      </c>
      <c r="K622" s="52" t="str">
        <f t="shared" si="128"/>
        <v>Sandy Wijaya</v>
      </c>
      <c r="L622" s="52" t="str">
        <f t="shared" si="121"/>
        <v>TRT-80-10</v>
      </c>
      <c r="M622" s="82">
        <v>42339</v>
      </c>
      <c r="N622" s="2">
        <v>25000.000000000004</v>
      </c>
    </row>
    <row r="623" spans="1:14" x14ac:dyDescent="0.35">
      <c r="A623" s="52" t="s">
        <v>6063</v>
      </c>
      <c r="C623" s="30" t="s">
        <v>20980</v>
      </c>
      <c r="D623" s="30" t="str">
        <f>"""TRUST Nav"",""HSPMTB2016"",""21"",""1"",""37465"""</f>
        <v>"TRUST Nav","HSPMTB2016","21","1","37465"</v>
      </c>
      <c r="I623" s="52" t="str">
        <f t="shared" si="122"/>
        <v>KK-04619|42368|TRT-80-10</v>
      </c>
      <c r="J623" s="52" t="str">
        <f t="shared" si="127"/>
        <v>KK-04619</v>
      </c>
      <c r="K623" s="52" t="str">
        <f t="shared" si="128"/>
        <v>Sandy Wijaya</v>
      </c>
      <c r="L623" s="52" t="str">
        <f t="shared" si="121"/>
        <v>TRT-80-10</v>
      </c>
      <c r="M623" s="82">
        <v>42368</v>
      </c>
      <c r="N623" s="2">
        <v>25000.000000000004</v>
      </c>
    </row>
    <row r="624" spans="1:14" x14ac:dyDescent="0.35">
      <c r="A624" s="52" t="s">
        <v>6063</v>
      </c>
      <c r="C624" s="30" t="s">
        <v>20980</v>
      </c>
      <c r="D624" s="30" t="str">
        <f>"""TRUST Nav"",""HSPMTB2016"",""21"",""1"",""37466"""</f>
        <v>"TRUST Nav","HSPMTB2016","21","1","37466"</v>
      </c>
      <c r="I624" s="52" t="str">
        <f t="shared" si="122"/>
        <v>KK-04619|42368|TRT-80-10</v>
      </c>
      <c r="J624" s="52" t="str">
        <f t="shared" si="127"/>
        <v>KK-04619</v>
      </c>
      <c r="K624" s="52" t="str">
        <f t="shared" si="128"/>
        <v>Sandy Wijaya</v>
      </c>
      <c r="L624" s="52" t="str">
        <f t="shared" si="121"/>
        <v>TRT-80-10</v>
      </c>
      <c r="M624" s="82">
        <v>42368</v>
      </c>
      <c r="N624" s="2">
        <v>25000.000000000004</v>
      </c>
    </row>
    <row r="625" spans="1:14" x14ac:dyDescent="0.35">
      <c r="A625" s="52" t="s">
        <v>6063</v>
      </c>
      <c r="C625" s="30" t="s">
        <v>20980</v>
      </c>
      <c r="D625" s="30" t="str">
        <f>"""TRUST Nav"",""HSPMTB2016"",""21"",""1"",""37467"""</f>
        <v>"TRUST Nav","HSPMTB2016","21","1","37467"</v>
      </c>
      <c r="I625" s="52" t="str">
        <f t="shared" si="122"/>
        <v>KK-04619|42368|TRT-80-10</v>
      </c>
      <c r="J625" s="52" t="str">
        <f t="shared" si="127"/>
        <v>KK-04619</v>
      </c>
      <c r="K625" s="52" t="str">
        <f t="shared" si="128"/>
        <v>Sandy Wijaya</v>
      </c>
      <c r="L625" s="52" t="str">
        <f t="shared" si="121"/>
        <v>TRT-80-10</v>
      </c>
      <c r="M625" s="82">
        <v>42368</v>
      </c>
      <c r="N625" s="2">
        <v>25000.000000000004</v>
      </c>
    </row>
    <row r="626" spans="1:14" x14ac:dyDescent="0.35">
      <c r="A626" s="52" t="s">
        <v>6063</v>
      </c>
      <c r="C626" s="30" t="s">
        <v>20980</v>
      </c>
      <c r="D626" s="30" t="str">
        <f>"""TRUST Nav"",""HSPMTB2016"",""21"",""1"",""37468"""</f>
        <v>"TRUST Nav","HSPMTB2016","21","1","37468"</v>
      </c>
      <c r="I626" s="52" t="str">
        <f t="shared" si="122"/>
        <v>KK-04619|42368|TRT-80-10</v>
      </c>
      <c r="J626" s="52" t="str">
        <f t="shared" si="127"/>
        <v>KK-04619</v>
      </c>
      <c r="K626" s="52" t="str">
        <f t="shared" si="128"/>
        <v>Sandy Wijaya</v>
      </c>
      <c r="L626" s="52" t="str">
        <f t="shared" si="121"/>
        <v>TRT-80-10</v>
      </c>
      <c r="M626" s="82">
        <v>42368</v>
      </c>
      <c r="N626" s="2">
        <v>25000.000000000004</v>
      </c>
    </row>
    <row r="627" spans="1:14" x14ac:dyDescent="0.35">
      <c r="A627" s="52" t="s">
        <v>6063</v>
      </c>
      <c r="C627" s="30" t="s">
        <v>20980</v>
      </c>
      <c r="D627" s="30" t="str">
        <f>"""TRUST Nav"",""HSPMTB2016"",""21"",""1"",""37469"""</f>
        <v>"TRUST Nav","HSPMTB2016","21","1","37469"</v>
      </c>
      <c r="I627" s="52" t="str">
        <f t="shared" si="122"/>
        <v>KK-04619|42368|TRT-80-10</v>
      </c>
      <c r="J627" s="52" t="str">
        <f t="shared" si="127"/>
        <v>KK-04619</v>
      </c>
      <c r="K627" s="52" t="str">
        <f t="shared" si="128"/>
        <v>Sandy Wijaya</v>
      </c>
      <c r="L627" s="52" t="str">
        <f t="shared" si="121"/>
        <v>TRT-80-10</v>
      </c>
      <c r="M627" s="82">
        <v>42368</v>
      </c>
      <c r="N627" s="2">
        <v>25000.000000000004</v>
      </c>
    </row>
    <row r="628" spans="1:14" x14ac:dyDescent="0.35">
      <c r="A628" s="52" t="s">
        <v>6063</v>
      </c>
      <c r="C628" s="30" t="s">
        <v>20980</v>
      </c>
      <c r="D628" s="30" t="str">
        <f>"""TRUST Nav"",""HSPMTB2016"",""21"",""1"",""37470"""</f>
        <v>"TRUST Nav","HSPMTB2016","21","1","37470"</v>
      </c>
      <c r="I628" s="52" t="str">
        <f t="shared" si="122"/>
        <v>KK-04619|42368|TRT-80-10</v>
      </c>
      <c r="J628" s="52" t="str">
        <f t="shared" si="127"/>
        <v>KK-04619</v>
      </c>
      <c r="K628" s="52" t="str">
        <f t="shared" si="128"/>
        <v>Sandy Wijaya</v>
      </c>
      <c r="L628" s="52" t="str">
        <f t="shared" si="121"/>
        <v>TRT-80-10</v>
      </c>
      <c r="M628" s="82">
        <v>42368</v>
      </c>
      <c r="N628" s="2">
        <v>25000.000000000004</v>
      </c>
    </row>
    <row r="629" spans="1:14" x14ac:dyDescent="0.35">
      <c r="A629" s="52" t="s">
        <v>6063</v>
      </c>
      <c r="C629" s="30" t="s">
        <v>20980</v>
      </c>
      <c r="D629" s="30" t="str">
        <f>"""TRUST Nav"",""HSPMTB2016"",""21"",""1"",""3672"""</f>
        <v>"TRUST Nav","HSPMTB2016","21","1","3672"</v>
      </c>
      <c r="I629" s="52" t="str">
        <f t="shared" si="122"/>
        <v>KK-04620|42186|TRT-80-10</v>
      </c>
      <c r="J629" s="52" t="str">
        <f t="shared" ref="J629:J646" si="129">"KK-04620"</f>
        <v>KK-04620</v>
      </c>
      <c r="K629" s="52" t="str">
        <f t="shared" ref="K629:K646" si="130">"Stefanus Tudy Luchman"</f>
        <v>Stefanus Tudy Luchman</v>
      </c>
      <c r="L629" s="52" t="str">
        <f t="shared" si="121"/>
        <v>TRT-80-10</v>
      </c>
      <c r="M629" s="82">
        <v>42186</v>
      </c>
      <c r="N629" s="2">
        <v>150000</v>
      </c>
    </row>
    <row r="630" spans="1:14" x14ac:dyDescent="0.35">
      <c r="A630" s="52" t="s">
        <v>6063</v>
      </c>
      <c r="C630" s="30" t="s">
        <v>20980</v>
      </c>
      <c r="D630" s="30" t="str">
        <f>"""TRUST Nav"",""HSPMTB2016"",""21"",""1"",""3673"""</f>
        <v>"TRUST Nav","HSPMTB2016","21","1","3673"</v>
      </c>
      <c r="I630" s="52" t="str">
        <f t="shared" si="122"/>
        <v>KK-04620|42217|TRT-80-10</v>
      </c>
      <c r="J630" s="52" t="str">
        <f t="shared" si="129"/>
        <v>KK-04620</v>
      </c>
      <c r="K630" s="52" t="str">
        <f t="shared" si="130"/>
        <v>Stefanus Tudy Luchman</v>
      </c>
      <c r="L630" s="52" t="str">
        <f t="shared" si="121"/>
        <v>TRT-80-10</v>
      </c>
      <c r="M630" s="82">
        <v>42217</v>
      </c>
      <c r="N630" s="2">
        <v>150000</v>
      </c>
    </row>
    <row r="631" spans="1:14" x14ac:dyDescent="0.35">
      <c r="A631" s="52" t="s">
        <v>6063</v>
      </c>
      <c r="C631" s="30" t="s">
        <v>20980</v>
      </c>
      <c r="D631" s="30" t="str">
        <f>"""TRUST Nav"",""HSPMTB2016"",""21"",""1"",""3674"""</f>
        <v>"TRUST Nav","HSPMTB2016","21","1","3674"</v>
      </c>
      <c r="I631" s="52" t="str">
        <f t="shared" si="122"/>
        <v>KK-04620|42248|TRT-80-10</v>
      </c>
      <c r="J631" s="52" t="str">
        <f t="shared" si="129"/>
        <v>KK-04620</v>
      </c>
      <c r="K631" s="52" t="str">
        <f t="shared" si="130"/>
        <v>Stefanus Tudy Luchman</v>
      </c>
      <c r="L631" s="52" t="str">
        <f t="shared" si="121"/>
        <v>TRT-80-10</v>
      </c>
      <c r="M631" s="82">
        <v>42248</v>
      </c>
      <c r="N631" s="2">
        <v>150000</v>
      </c>
    </row>
    <row r="632" spans="1:14" x14ac:dyDescent="0.35">
      <c r="A632" s="52" t="s">
        <v>6063</v>
      </c>
      <c r="C632" s="30" t="s">
        <v>20980</v>
      </c>
      <c r="D632" s="30" t="str">
        <f>"""TRUST Nav"",""HSPMTB2016"",""21"",""1"",""3675"""</f>
        <v>"TRUST Nav","HSPMTB2016","21","1","3675"</v>
      </c>
      <c r="I632" s="52" t="str">
        <f t="shared" si="122"/>
        <v>KK-04620|42278|TRT-80-10</v>
      </c>
      <c r="J632" s="52" t="str">
        <f t="shared" si="129"/>
        <v>KK-04620</v>
      </c>
      <c r="K632" s="52" t="str">
        <f t="shared" si="130"/>
        <v>Stefanus Tudy Luchman</v>
      </c>
      <c r="L632" s="52" t="str">
        <f t="shared" si="121"/>
        <v>TRT-80-10</v>
      </c>
      <c r="M632" s="82">
        <v>42278</v>
      </c>
      <c r="N632" s="2">
        <v>150000</v>
      </c>
    </row>
    <row r="633" spans="1:14" x14ac:dyDescent="0.35">
      <c r="A633" s="52" t="s">
        <v>6063</v>
      </c>
      <c r="C633" s="30" t="s">
        <v>20980</v>
      </c>
      <c r="D633" s="30" t="str">
        <f>"""TRUST Nav"",""HSPMTB2016"",""21"",""1"",""3676"""</f>
        <v>"TRUST Nav","HSPMTB2016","21","1","3676"</v>
      </c>
      <c r="I633" s="52" t="str">
        <f t="shared" si="122"/>
        <v>KK-04620|42309|TRT-80-10</v>
      </c>
      <c r="J633" s="52" t="str">
        <f t="shared" si="129"/>
        <v>KK-04620</v>
      </c>
      <c r="K633" s="52" t="str">
        <f t="shared" si="130"/>
        <v>Stefanus Tudy Luchman</v>
      </c>
      <c r="L633" s="52" t="str">
        <f t="shared" si="121"/>
        <v>TRT-80-10</v>
      </c>
      <c r="M633" s="82">
        <v>42309</v>
      </c>
      <c r="N633" s="2">
        <v>150000</v>
      </c>
    </row>
    <row r="634" spans="1:14" x14ac:dyDescent="0.35">
      <c r="A634" s="52" t="s">
        <v>6063</v>
      </c>
      <c r="C634" s="30" t="s">
        <v>20980</v>
      </c>
      <c r="D634" s="30" t="str">
        <f>"""TRUST Nav"",""HSPMTB2016"",""21"",""1"",""3677"""</f>
        <v>"TRUST Nav","HSPMTB2016","21","1","3677"</v>
      </c>
      <c r="I634" s="52" t="str">
        <f t="shared" si="122"/>
        <v>KK-04620|42339|TRT-80-10</v>
      </c>
      <c r="J634" s="52" t="str">
        <f t="shared" si="129"/>
        <v>KK-04620</v>
      </c>
      <c r="K634" s="52" t="str">
        <f t="shared" si="130"/>
        <v>Stefanus Tudy Luchman</v>
      </c>
      <c r="L634" s="52" t="str">
        <f t="shared" si="121"/>
        <v>TRT-80-10</v>
      </c>
      <c r="M634" s="82">
        <v>42339</v>
      </c>
      <c r="N634" s="2">
        <v>150000</v>
      </c>
    </row>
    <row r="635" spans="1:14" x14ac:dyDescent="0.35">
      <c r="A635" s="52" t="s">
        <v>6063</v>
      </c>
      <c r="C635" s="30" t="s">
        <v>20980</v>
      </c>
      <c r="D635" s="30" t="str">
        <f>"""TRUST Nav"",""HSPMTB2016"",""21"",""1"",""37471"""</f>
        <v>"TRUST Nav","HSPMTB2016","21","1","37471"</v>
      </c>
      <c r="I635" s="52" t="str">
        <f t="shared" si="122"/>
        <v>KK-04620|42368|TRT-80-10</v>
      </c>
      <c r="J635" s="52" t="str">
        <f t="shared" si="129"/>
        <v>KK-04620</v>
      </c>
      <c r="K635" s="52" t="str">
        <f t="shared" si="130"/>
        <v>Stefanus Tudy Luchman</v>
      </c>
      <c r="L635" s="52" t="str">
        <f t="shared" si="121"/>
        <v>TRT-80-10</v>
      </c>
      <c r="M635" s="82">
        <v>42368</v>
      </c>
      <c r="N635" s="2">
        <v>150000</v>
      </c>
    </row>
    <row r="636" spans="1:14" x14ac:dyDescent="0.35">
      <c r="A636" s="52" t="s">
        <v>6063</v>
      </c>
      <c r="C636" s="30" t="s">
        <v>20980</v>
      </c>
      <c r="D636" s="30" t="str">
        <f>"""TRUST Nav"",""HSPMTB2016"",""21"",""1"",""37472"""</f>
        <v>"TRUST Nav","HSPMTB2016","21","1","37472"</v>
      </c>
      <c r="I636" s="52" t="str">
        <f t="shared" si="122"/>
        <v>KK-04620|42368|TRT-80-10</v>
      </c>
      <c r="J636" s="52" t="str">
        <f t="shared" si="129"/>
        <v>KK-04620</v>
      </c>
      <c r="K636" s="52" t="str">
        <f t="shared" si="130"/>
        <v>Stefanus Tudy Luchman</v>
      </c>
      <c r="L636" s="52" t="str">
        <f t="shared" si="121"/>
        <v>TRT-80-10</v>
      </c>
      <c r="M636" s="82">
        <v>42368</v>
      </c>
      <c r="N636" s="2">
        <v>150000</v>
      </c>
    </row>
    <row r="637" spans="1:14" x14ac:dyDescent="0.35">
      <c r="A637" s="52" t="s">
        <v>6063</v>
      </c>
      <c r="C637" s="30" t="s">
        <v>20980</v>
      </c>
      <c r="D637" s="30" t="str">
        <f>"""TRUST Nav"",""HSPMTB2016"",""21"",""1"",""37473"""</f>
        <v>"TRUST Nav","HSPMTB2016","21","1","37473"</v>
      </c>
      <c r="I637" s="52" t="str">
        <f t="shared" si="122"/>
        <v>KK-04620|42368|TRT-80-10</v>
      </c>
      <c r="J637" s="52" t="str">
        <f t="shared" si="129"/>
        <v>KK-04620</v>
      </c>
      <c r="K637" s="52" t="str">
        <f t="shared" si="130"/>
        <v>Stefanus Tudy Luchman</v>
      </c>
      <c r="L637" s="52" t="str">
        <f t="shared" si="121"/>
        <v>TRT-80-10</v>
      </c>
      <c r="M637" s="82">
        <v>42368</v>
      </c>
      <c r="N637" s="2">
        <v>150000</v>
      </c>
    </row>
    <row r="638" spans="1:14" x14ac:dyDescent="0.35">
      <c r="A638" s="52" t="s">
        <v>6063</v>
      </c>
      <c r="C638" s="30" t="s">
        <v>20980</v>
      </c>
      <c r="D638" s="30" t="str">
        <f>"""TRUST Nav"",""HSPMTB2016"",""21"",""1"",""37474"""</f>
        <v>"TRUST Nav","HSPMTB2016","21","1","37474"</v>
      </c>
      <c r="I638" s="52" t="str">
        <f t="shared" si="122"/>
        <v>KK-04620|42368|TRT-80-10</v>
      </c>
      <c r="J638" s="52" t="str">
        <f t="shared" si="129"/>
        <v>KK-04620</v>
      </c>
      <c r="K638" s="52" t="str">
        <f t="shared" si="130"/>
        <v>Stefanus Tudy Luchman</v>
      </c>
      <c r="L638" s="52" t="str">
        <f t="shared" si="121"/>
        <v>TRT-80-10</v>
      </c>
      <c r="M638" s="82">
        <v>42368</v>
      </c>
      <c r="N638" s="2">
        <v>150000</v>
      </c>
    </row>
    <row r="639" spans="1:14" x14ac:dyDescent="0.35">
      <c r="A639" s="52" t="s">
        <v>6063</v>
      </c>
      <c r="C639" s="30" t="s">
        <v>20980</v>
      </c>
      <c r="D639" s="30" t="str">
        <f>"""TRUST Nav"",""HSPMTB2016"",""21"",""1"",""37475"""</f>
        <v>"TRUST Nav","HSPMTB2016","21","1","37475"</v>
      </c>
      <c r="I639" s="52" t="str">
        <f t="shared" si="122"/>
        <v>KK-04620|42368|TRT-80-10</v>
      </c>
      <c r="J639" s="52" t="str">
        <f t="shared" si="129"/>
        <v>KK-04620</v>
      </c>
      <c r="K639" s="52" t="str">
        <f t="shared" si="130"/>
        <v>Stefanus Tudy Luchman</v>
      </c>
      <c r="L639" s="52" t="str">
        <f t="shared" si="121"/>
        <v>TRT-80-10</v>
      </c>
      <c r="M639" s="82">
        <v>42368</v>
      </c>
      <c r="N639" s="2">
        <v>150000</v>
      </c>
    </row>
    <row r="640" spans="1:14" x14ac:dyDescent="0.35">
      <c r="A640" s="52" t="s">
        <v>6063</v>
      </c>
      <c r="C640" s="30" t="s">
        <v>20980</v>
      </c>
      <c r="D640" s="30" t="str">
        <f>"""TRUST Nav"",""HSPMTB2016"",""21"",""1"",""37476"""</f>
        <v>"TRUST Nav","HSPMTB2016","21","1","37476"</v>
      </c>
      <c r="I640" s="52" t="str">
        <f t="shared" si="122"/>
        <v>KK-04620|42368|TRT-80-10</v>
      </c>
      <c r="J640" s="52" t="str">
        <f t="shared" si="129"/>
        <v>KK-04620</v>
      </c>
      <c r="K640" s="52" t="str">
        <f t="shared" si="130"/>
        <v>Stefanus Tudy Luchman</v>
      </c>
      <c r="L640" s="52" t="str">
        <f t="shared" si="121"/>
        <v>TRT-80-10</v>
      </c>
      <c r="M640" s="82">
        <v>42368</v>
      </c>
      <c r="N640" s="2">
        <v>150000</v>
      </c>
    </row>
    <row r="641" spans="1:14" x14ac:dyDescent="0.35">
      <c r="A641" s="52" t="s">
        <v>6063</v>
      </c>
      <c r="C641" s="30" t="s">
        <v>20980</v>
      </c>
      <c r="D641" s="30" t="str">
        <f>"""TRUST Nav"",""HSPMTB2016"",""21"",""1"",""73449"""</f>
        <v>"TRUST Nav","HSPMTB2016","21","1","73449"</v>
      </c>
      <c r="I641" s="52" t="str">
        <f t="shared" si="122"/>
        <v>KK-04620|42370|TRT-80-10</v>
      </c>
      <c r="J641" s="52" t="str">
        <f t="shared" si="129"/>
        <v>KK-04620</v>
      </c>
      <c r="K641" s="52" t="str">
        <f t="shared" si="130"/>
        <v>Stefanus Tudy Luchman</v>
      </c>
      <c r="L641" s="52" t="str">
        <f t="shared" si="121"/>
        <v>TRT-80-10</v>
      </c>
      <c r="M641" s="82">
        <v>42370</v>
      </c>
      <c r="N641" s="2">
        <v>150000</v>
      </c>
    </row>
    <row r="642" spans="1:14" x14ac:dyDescent="0.35">
      <c r="A642" s="52" t="s">
        <v>6063</v>
      </c>
      <c r="C642" s="30" t="s">
        <v>20980</v>
      </c>
      <c r="D642" s="30" t="str">
        <f>"""TRUST Nav"",""HSPMTB2016"",""21"",""1"",""73450"""</f>
        <v>"TRUST Nav","HSPMTB2016","21","1","73450"</v>
      </c>
      <c r="I642" s="52" t="str">
        <f t="shared" si="122"/>
        <v>KK-04620|42401|TRT-80-10</v>
      </c>
      <c r="J642" s="52" t="str">
        <f t="shared" si="129"/>
        <v>KK-04620</v>
      </c>
      <c r="K642" s="52" t="str">
        <f t="shared" si="130"/>
        <v>Stefanus Tudy Luchman</v>
      </c>
      <c r="L642" s="52" t="str">
        <f t="shared" si="121"/>
        <v>TRT-80-10</v>
      </c>
      <c r="M642" s="82">
        <v>42401</v>
      </c>
      <c r="N642" s="2">
        <v>150000</v>
      </c>
    </row>
    <row r="643" spans="1:14" x14ac:dyDescent="0.35">
      <c r="A643" s="52" t="s">
        <v>6063</v>
      </c>
      <c r="C643" s="30" t="s">
        <v>20980</v>
      </c>
      <c r="D643" s="30" t="str">
        <f>"""TRUST Nav"",""HSPMTB2016"",""21"",""1"",""73451"""</f>
        <v>"TRUST Nav","HSPMTB2016","21","1","73451"</v>
      </c>
      <c r="I643" s="52" t="str">
        <f t="shared" si="122"/>
        <v>KK-04620|42430|TRT-80-10</v>
      </c>
      <c r="J643" s="52" t="str">
        <f t="shared" si="129"/>
        <v>KK-04620</v>
      </c>
      <c r="K643" s="52" t="str">
        <f t="shared" si="130"/>
        <v>Stefanus Tudy Luchman</v>
      </c>
      <c r="L643" s="52" t="str">
        <f t="shared" si="121"/>
        <v>TRT-80-10</v>
      </c>
      <c r="M643" s="82">
        <v>42430</v>
      </c>
      <c r="N643" s="2">
        <v>150000</v>
      </c>
    </row>
    <row r="644" spans="1:14" x14ac:dyDescent="0.35">
      <c r="A644" s="52" t="s">
        <v>6063</v>
      </c>
      <c r="C644" s="30" t="s">
        <v>20980</v>
      </c>
      <c r="D644" s="30" t="str">
        <f>"""TRUST Nav"",""HSPMTB2016"",""21"",""1"",""73452"""</f>
        <v>"TRUST Nav","HSPMTB2016","21","1","73452"</v>
      </c>
      <c r="I644" s="52" t="str">
        <f t="shared" si="122"/>
        <v>KK-04620|42461|TRT-80-10</v>
      </c>
      <c r="J644" s="52" t="str">
        <f t="shared" si="129"/>
        <v>KK-04620</v>
      </c>
      <c r="K644" s="52" t="str">
        <f t="shared" si="130"/>
        <v>Stefanus Tudy Luchman</v>
      </c>
      <c r="L644" s="52" t="str">
        <f t="shared" si="121"/>
        <v>TRT-80-10</v>
      </c>
      <c r="M644" s="82">
        <v>42461</v>
      </c>
      <c r="N644" s="2">
        <v>150000</v>
      </c>
    </row>
    <row r="645" spans="1:14" x14ac:dyDescent="0.35">
      <c r="A645" s="52" t="s">
        <v>6063</v>
      </c>
      <c r="C645" s="30" t="s">
        <v>20980</v>
      </c>
      <c r="D645" s="30" t="str">
        <f>"""TRUST Nav"",""HSPMTB2016"",""21"",""1"",""73453"""</f>
        <v>"TRUST Nav","HSPMTB2016","21","1","73453"</v>
      </c>
      <c r="I645" s="52" t="str">
        <f t="shared" si="122"/>
        <v>KK-04620|42491|TRT-80-10</v>
      </c>
      <c r="J645" s="52" t="str">
        <f t="shared" si="129"/>
        <v>KK-04620</v>
      </c>
      <c r="K645" s="52" t="str">
        <f t="shared" si="130"/>
        <v>Stefanus Tudy Luchman</v>
      </c>
      <c r="L645" s="52" t="str">
        <f t="shared" si="121"/>
        <v>TRT-80-10</v>
      </c>
      <c r="M645" s="82">
        <v>42491</v>
      </c>
      <c r="N645" s="2">
        <v>150000</v>
      </c>
    </row>
    <row r="646" spans="1:14" x14ac:dyDescent="0.35">
      <c r="A646" s="52" t="s">
        <v>6063</v>
      </c>
      <c r="C646" s="30" t="s">
        <v>20980</v>
      </c>
      <c r="D646" s="30" t="str">
        <f>"""TRUST Nav"",""HSPMTB2016"",""21"",""1"",""73454"""</f>
        <v>"TRUST Nav","HSPMTB2016","21","1","73454"</v>
      </c>
      <c r="I646" s="52" t="str">
        <f t="shared" si="122"/>
        <v>KK-04620|42522|TRT-80-10</v>
      </c>
      <c r="J646" s="52" t="str">
        <f t="shared" si="129"/>
        <v>KK-04620</v>
      </c>
      <c r="K646" s="52" t="str">
        <f t="shared" si="130"/>
        <v>Stefanus Tudy Luchman</v>
      </c>
      <c r="L646" s="52" t="str">
        <f t="shared" si="121"/>
        <v>TRT-80-10</v>
      </c>
      <c r="M646" s="82">
        <v>42522</v>
      </c>
      <c r="N646" s="2">
        <v>150000</v>
      </c>
    </row>
    <row r="647" spans="1:14" x14ac:dyDescent="0.35">
      <c r="A647" s="52" t="s">
        <v>6063</v>
      </c>
      <c r="C647" s="30" t="s">
        <v>20980</v>
      </c>
      <c r="D647" s="30" t="str">
        <f>"""TRUST Nav"",""HSPMTB2016"",""21"",""1"",""3678"""</f>
        <v>"TRUST Nav","HSPMTB2016","21","1","3678"</v>
      </c>
      <c r="I647" s="52" t="str">
        <f t="shared" si="122"/>
        <v>KK-04621|42186|TRT-80-10</v>
      </c>
      <c r="J647" s="52" t="str">
        <f t="shared" ref="J647:J664" si="131">"KK-04621"</f>
        <v>KK-04621</v>
      </c>
      <c r="K647" s="52" t="str">
        <f t="shared" ref="K647:K664" si="132">"Tommy Prasetyo Utomo"</f>
        <v>Tommy Prasetyo Utomo</v>
      </c>
      <c r="L647" s="52" t="str">
        <f t="shared" si="121"/>
        <v>TRT-80-10</v>
      </c>
      <c r="M647" s="82">
        <v>42186</v>
      </c>
      <c r="N647" s="2">
        <v>25000.000000000004</v>
      </c>
    </row>
    <row r="648" spans="1:14" x14ac:dyDescent="0.35">
      <c r="A648" s="52" t="s">
        <v>6063</v>
      </c>
      <c r="C648" s="30" t="s">
        <v>20980</v>
      </c>
      <c r="D648" s="30" t="str">
        <f>"""TRUST Nav"",""HSPMTB2016"",""21"",""1"",""3679"""</f>
        <v>"TRUST Nav","HSPMTB2016","21","1","3679"</v>
      </c>
      <c r="I648" s="52" t="str">
        <f t="shared" si="122"/>
        <v>KK-04621|42217|TRT-80-10</v>
      </c>
      <c r="J648" s="52" t="str">
        <f t="shared" si="131"/>
        <v>KK-04621</v>
      </c>
      <c r="K648" s="52" t="str">
        <f t="shared" si="132"/>
        <v>Tommy Prasetyo Utomo</v>
      </c>
      <c r="L648" s="52" t="str">
        <f t="shared" si="121"/>
        <v>TRT-80-10</v>
      </c>
      <c r="M648" s="82">
        <v>42217</v>
      </c>
      <c r="N648" s="2">
        <v>25000.000000000004</v>
      </c>
    </row>
    <row r="649" spans="1:14" x14ac:dyDescent="0.35">
      <c r="A649" s="52" t="s">
        <v>6063</v>
      </c>
      <c r="C649" s="30" t="s">
        <v>20980</v>
      </c>
      <c r="D649" s="30" t="str">
        <f>"""TRUST Nav"",""HSPMTB2016"",""21"",""1"",""3680"""</f>
        <v>"TRUST Nav","HSPMTB2016","21","1","3680"</v>
      </c>
      <c r="I649" s="52" t="str">
        <f t="shared" si="122"/>
        <v>KK-04621|42248|TRT-80-10</v>
      </c>
      <c r="J649" s="52" t="str">
        <f t="shared" si="131"/>
        <v>KK-04621</v>
      </c>
      <c r="K649" s="52" t="str">
        <f t="shared" si="132"/>
        <v>Tommy Prasetyo Utomo</v>
      </c>
      <c r="L649" s="52" t="str">
        <f t="shared" si="121"/>
        <v>TRT-80-10</v>
      </c>
      <c r="M649" s="82">
        <v>42248</v>
      </c>
      <c r="N649" s="2">
        <v>25000.000000000004</v>
      </c>
    </row>
    <row r="650" spans="1:14" x14ac:dyDescent="0.35">
      <c r="A650" s="52" t="s">
        <v>6063</v>
      </c>
      <c r="C650" s="30" t="s">
        <v>20980</v>
      </c>
      <c r="D650" s="30" t="str">
        <f>"""TRUST Nav"",""HSPMTB2016"",""21"",""1"",""3681"""</f>
        <v>"TRUST Nav","HSPMTB2016","21","1","3681"</v>
      </c>
      <c r="I650" s="52" t="str">
        <f t="shared" si="122"/>
        <v>KK-04621|42278|TRT-80-10</v>
      </c>
      <c r="J650" s="52" t="str">
        <f t="shared" si="131"/>
        <v>KK-04621</v>
      </c>
      <c r="K650" s="52" t="str">
        <f t="shared" si="132"/>
        <v>Tommy Prasetyo Utomo</v>
      </c>
      <c r="L650" s="52" t="str">
        <f t="shared" ref="L650:L713" si="133">"TRT-80-10"</f>
        <v>TRT-80-10</v>
      </c>
      <c r="M650" s="82">
        <v>42278</v>
      </c>
      <c r="N650" s="2">
        <v>25000.000000000004</v>
      </c>
    </row>
    <row r="651" spans="1:14" x14ac:dyDescent="0.35">
      <c r="A651" s="52" t="s">
        <v>6063</v>
      </c>
      <c r="C651" s="30" t="s">
        <v>20980</v>
      </c>
      <c r="D651" s="30" t="str">
        <f>"""TRUST Nav"",""HSPMTB2016"",""21"",""1"",""3682"""</f>
        <v>"TRUST Nav","HSPMTB2016","21","1","3682"</v>
      </c>
      <c r="I651" s="52" t="str">
        <f t="shared" ref="I651:I714" si="134">CONCATENATE(J651,"|",M651,"|",L651)</f>
        <v>KK-04621|42309|TRT-80-10</v>
      </c>
      <c r="J651" s="52" t="str">
        <f t="shared" si="131"/>
        <v>KK-04621</v>
      </c>
      <c r="K651" s="52" t="str">
        <f t="shared" si="132"/>
        <v>Tommy Prasetyo Utomo</v>
      </c>
      <c r="L651" s="52" t="str">
        <f t="shared" si="133"/>
        <v>TRT-80-10</v>
      </c>
      <c r="M651" s="82">
        <v>42309</v>
      </c>
      <c r="N651" s="2">
        <v>25000.000000000004</v>
      </c>
    </row>
    <row r="652" spans="1:14" x14ac:dyDescent="0.35">
      <c r="A652" s="52" t="s">
        <v>6063</v>
      </c>
      <c r="C652" s="30" t="s">
        <v>20980</v>
      </c>
      <c r="D652" s="30" t="str">
        <f>"""TRUST Nav"",""HSPMTB2016"",""21"",""1"",""3683"""</f>
        <v>"TRUST Nav","HSPMTB2016","21","1","3683"</v>
      </c>
      <c r="I652" s="52" t="str">
        <f t="shared" si="134"/>
        <v>KK-04621|42339|TRT-80-10</v>
      </c>
      <c r="J652" s="52" t="str">
        <f t="shared" si="131"/>
        <v>KK-04621</v>
      </c>
      <c r="K652" s="52" t="str">
        <f t="shared" si="132"/>
        <v>Tommy Prasetyo Utomo</v>
      </c>
      <c r="L652" s="52" t="str">
        <f t="shared" si="133"/>
        <v>TRT-80-10</v>
      </c>
      <c r="M652" s="82">
        <v>42339</v>
      </c>
      <c r="N652" s="2">
        <v>25000.000000000004</v>
      </c>
    </row>
    <row r="653" spans="1:14" x14ac:dyDescent="0.35">
      <c r="A653" s="52" t="s">
        <v>6063</v>
      </c>
      <c r="C653" s="30" t="s">
        <v>20980</v>
      </c>
      <c r="D653" s="30" t="str">
        <f>"""TRUST Nav"",""HSPMTB2016"",""21"",""1"",""37477"""</f>
        <v>"TRUST Nav","HSPMTB2016","21","1","37477"</v>
      </c>
      <c r="I653" s="52" t="str">
        <f t="shared" si="134"/>
        <v>KK-04621|42368|TRT-80-10</v>
      </c>
      <c r="J653" s="52" t="str">
        <f t="shared" si="131"/>
        <v>KK-04621</v>
      </c>
      <c r="K653" s="52" t="str">
        <f t="shared" si="132"/>
        <v>Tommy Prasetyo Utomo</v>
      </c>
      <c r="L653" s="52" t="str">
        <f t="shared" si="133"/>
        <v>TRT-80-10</v>
      </c>
      <c r="M653" s="82">
        <v>42368</v>
      </c>
      <c r="N653" s="2">
        <v>25000.000000000004</v>
      </c>
    </row>
    <row r="654" spans="1:14" x14ac:dyDescent="0.35">
      <c r="A654" s="52" t="s">
        <v>6063</v>
      </c>
      <c r="C654" s="30" t="s">
        <v>20980</v>
      </c>
      <c r="D654" s="30" t="str">
        <f>"""TRUST Nav"",""HSPMTB2016"",""21"",""1"",""37478"""</f>
        <v>"TRUST Nav","HSPMTB2016","21","1","37478"</v>
      </c>
      <c r="I654" s="52" t="str">
        <f t="shared" si="134"/>
        <v>KK-04621|42368|TRT-80-10</v>
      </c>
      <c r="J654" s="52" t="str">
        <f t="shared" si="131"/>
        <v>KK-04621</v>
      </c>
      <c r="K654" s="52" t="str">
        <f t="shared" si="132"/>
        <v>Tommy Prasetyo Utomo</v>
      </c>
      <c r="L654" s="52" t="str">
        <f t="shared" si="133"/>
        <v>TRT-80-10</v>
      </c>
      <c r="M654" s="82">
        <v>42368</v>
      </c>
      <c r="N654" s="2">
        <v>25000.000000000004</v>
      </c>
    </row>
    <row r="655" spans="1:14" x14ac:dyDescent="0.35">
      <c r="A655" s="52" t="s">
        <v>6063</v>
      </c>
      <c r="C655" s="30" t="s">
        <v>20980</v>
      </c>
      <c r="D655" s="30" t="str">
        <f>"""TRUST Nav"",""HSPMTB2016"",""21"",""1"",""37479"""</f>
        <v>"TRUST Nav","HSPMTB2016","21","1","37479"</v>
      </c>
      <c r="I655" s="52" t="str">
        <f t="shared" si="134"/>
        <v>KK-04621|42368|TRT-80-10</v>
      </c>
      <c r="J655" s="52" t="str">
        <f t="shared" si="131"/>
        <v>KK-04621</v>
      </c>
      <c r="K655" s="52" t="str">
        <f t="shared" si="132"/>
        <v>Tommy Prasetyo Utomo</v>
      </c>
      <c r="L655" s="52" t="str">
        <f t="shared" si="133"/>
        <v>TRT-80-10</v>
      </c>
      <c r="M655" s="82">
        <v>42368</v>
      </c>
      <c r="N655" s="2">
        <v>25000.000000000004</v>
      </c>
    </row>
    <row r="656" spans="1:14" x14ac:dyDescent="0.35">
      <c r="A656" s="52" t="s">
        <v>6063</v>
      </c>
      <c r="C656" s="30" t="s">
        <v>20980</v>
      </c>
      <c r="D656" s="30" t="str">
        <f>"""TRUST Nav"",""HSPMTB2016"",""21"",""1"",""37480"""</f>
        <v>"TRUST Nav","HSPMTB2016","21","1","37480"</v>
      </c>
      <c r="I656" s="52" t="str">
        <f t="shared" si="134"/>
        <v>KK-04621|42368|TRT-80-10</v>
      </c>
      <c r="J656" s="52" t="str">
        <f t="shared" si="131"/>
        <v>KK-04621</v>
      </c>
      <c r="K656" s="52" t="str">
        <f t="shared" si="132"/>
        <v>Tommy Prasetyo Utomo</v>
      </c>
      <c r="L656" s="52" t="str">
        <f t="shared" si="133"/>
        <v>TRT-80-10</v>
      </c>
      <c r="M656" s="82">
        <v>42368</v>
      </c>
      <c r="N656" s="2">
        <v>25000.000000000004</v>
      </c>
    </row>
    <row r="657" spans="1:14" x14ac:dyDescent="0.35">
      <c r="A657" s="52" t="s">
        <v>6063</v>
      </c>
      <c r="C657" s="30" t="s">
        <v>20980</v>
      </c>
      <c r="D657" s="30" t="str">
        <f>"""TRUST Nav"",""HSPMTB2016"",""21"",""1"",""37481"""</f>
        <v>"TRUST Nav","HSPMTB2016","21","1","37481"</v>
      </c>
      <c r="I657" s="52" t="str">
        <f t="shared" si="134"/>
        <v>KK-04621|42368|TRT-80-10</v>
      </c>
      <c r="J657" s="52" t="str">
        <f t="shared" si="131"/>
        <v>KK-04621</v>
      </c>
      <c r="K657" s="52" t="str">
        <f t="shared" si="132"/>
        <v>Tommy Prasetyo Utomo</v>
      </c>
      <c r="L657" s="52" t="str">
        <f t="shared" si="133"/>
        <v>TRT-80-10</v>
      </c>
      <c r="M657" s="82">
        <v>42368</v>
      </c>
      <c r="N657" s="2">
        <v>25000.000000000004</v>
      </c>
    </row>
    <row r="658" spans="1:14" x14ac:dyDescent="0.35">
      <c r="A658" s="52" t="s">
        <v>6063</v>
      </c>
      <c r="C658" s="30" t="s">
        <v>20980</v>
      </c>
      <c r="D658" s="30" t="str">
        <f>"""TRUST Nav"",""HSPMTB2016"",""21"",""1"",""37482"""</f>
        <v>"TRUST Nav","HSPMTB2016","21","1","37482"</v>
      </c>
      <c r="I658" s="52" t="str">
        <f t="shared" si="134"/>
        <v>KK-04621|42368|TRT-80-10</v>
      </c>
      <c r="J658" s="52" t="str">
        <f t="shared" si="131"/>
        <v>KK-04621</v>
      </c>
      <c r="K658" s="52" t="str">
        <f t="shared" si="132"/>
        <v>Tommy Prasetyo Utomo</v>
      </c>
      <c r="L658" s="52" t="str">
        <f t="shared" si="133"/>
        <v>TRT-80-10</v>
      </c>
      <c r="M658" s="82">
        <v>42368</v>
      </c>
      <c r="N658" s="2">
        <v>25000.000000000004</v>
      </c>
    </row>
    <row r="659" spans="1:14" x14ac:dyDescent="0.35">
      <c r="A659" s="52" t="s">
        <v>6063</v>
      </c>
      <c r="C659" s="30" t="s">
        <v>20980</v>
      </c>
      <c r="D659" s="30" t="str">
        <f>"""TRUST Nav"",""HSPMTB2016"",""21"",""1"",""73455"""</f>
        <v>"TRUST Nav","HSPMTB2016","21","1","73455"</v>
      </c>
      <c r="I659" s="52" t="str">
        <f t="shared" si="134"/>
        <v>KK-04621|42370|TRT-80-10</v>
      </c>
      <c r="J659" s="52" t="str">
        <f t="shared" si="131"/>
        <v>KK-04621</v>
      </c>
      <c r="K659" s="52" t="str">
        <f t="shared" si="132"/>
        <v>Tommy Prasetyo Utomo</v>
      </c>
      <c r="L659" s="52" t="str">
        <f t="shared" si="133"/>
        <v>TRT-80-10</v>
      </c>
      <c r="M659" s="82">
        <v>42370</v>
      </c>
      <c r="N659" s="2">
        <v>25000.000000000004</v>
      </c>
    </row>
    <row r="660" spans="1:14" x14ac:dyDescent="0.35">
      <c r="A660" s="52" t="s">
        <v>6063</v>
      </c>
      <c r="C660" s="30" t="s">
        <v>20980</v>
      </c>
      <c r="D660" s="30" t="str">
        <f>"""TRUST Nav"",""HSPMTB2016"",""21"",""1"",""85259"""</f>
        <v>"TRUST Nav","HSPMTB2016","21","1","85259"</v>
      </c>
      <c r="I660" s="52" t="str">
        <f t="shared" si="134"/>
        <v>KK-04621|42401|TRT-80-10</v>
      </c>
      <c r="J660" s="52" t="str">
        <f t="shared" si="131"/>
        <v>KK-04621</v>
      </c>
      <c r="K660" s="52" t="str">
        <f t="shared" si="132"/>
        <v>Tommy Prasetyo Utomo</v>
      </c>
      <c r="L660" s="52" t="str">
        <f t="shared" si="133"/>
        <v>TRT-80-10</v>
      </c>
      <c r="M660" s="82">
        <v>42401</v>
      </c>
      <c r="N660" s="2">
        <v>25000.000000000004</v>
      </c>
    </row>
    <row r="661" spans="1:14" x14ac:dyDescent="0.35">
      <c r="A661" s="52" t="s">
        <v>6063</v>
      </c>
      <c r="C661" s="30" t="s">
        <v>20980</v>
      </c>
      <c r="D661" s="30" t="str">
        <f>"""TRUST Nav"",""HSPMTB2016"",""21"",""1"",""122081"""</f>
        <v>"TRUST Nav","HSPMTB2016","21","1","122081"</v>
      </c>
      <c r="I661" s="52" t="str">
        <f t="shared" si="134"/>
        <v>KK-04621|42430|TRT-80-10</v>
      </c>
      <c r="J661" s="52" t="str">
        <f t="shared" si="131"/>
        <v>KK-04621</v>
      </c>
      <c r="K661" s="52" t="str">
        <f t="shared" si="132"/>
        <v>Tommy Prasetyo Utomo</v>
      </c>
      <c r="L661" s="52" t="str">
        <f t="shared" si="133"/>
        <v>TRT-80-10</v>
      </c>
      <c r="M661" s="82">
        <v>42430</v>
      </c>
      <c r="N661" s="2">
        <v>25000.000000000004</v>
      </c>
    </row>
    <row r="662" spans="1:14" x14ac:dyDescent="0.35">
      <c r="A662" s="52" t="s">
        <v>6063</v>
      </c>
      <c r="C662" s="30" t="s">
        <v>20980</v>
      </c>
      <c r="D662" s="30" t="str">
        <f>"""TRUST Nav"",""HSPMTB2016"",""21"",""1"",""122082"""</f>
        <v>"TRUST Nav","HSPMTB2016","21","1","122082"</v>
      </c>
      <c r="I662" s="52" t="str">
        <f t="shared" si="134"/>
        <v>KK-04621|42461|TRT-80-10</v>
      </c>
      <c r="J662" s="52" t="str">
        <f t="shared" si="131"/>
        <v>KK-04621</v>
      </c>
      <c r="K662" s="52" t="str">
        <f t="shared" si="132"/>
        <v>Tommy Prasetyo Utomo</v>
      </c>
      <c r="L662" s="52" t="str">
        <f t="shared" si="133"/>
        <v>TRT-80-10</v>
      </c>
      <c r="M662" s="82">
        <v>42461</v>
      </c>
      <c r="N662" s="2">
        <v>25000.000000000004</v>
      </c>
    </row>
    <row r="663" spans="1:14" x14ac:dyDescent="0.35">
      <c r="A663" s="52" t="s">
        <v>6063</v>
      </c>
      <c r="C663" s="30" t="s">
        <v>20980</v>
      </c>
      <c r="D663" s="30" t="str">
        <f>"""TRUST Nav"",""HSPMTB2016"",""21"",""1"",""122083"""</f>
        <v>"TRUST Nav","HSPMTB2016","21","1","122083"</v>
      </c>
      <c r="I663" s="52" t="str">
        <f t="shared" si="134"/>
        <v>KK-04621|42491|TRT-80-10</v>
      </c>
      <c r="J663" s="52" t="str">
        <f t="shared" si="131"/>
        <v>KK-04621</v>
      </c>
      <c r="K663" s="52" t="str">
        <f t="shared" si="132"/>
        <v>Tommy Prasetyo Utomo</v>
      </c>
      <c r="L663" s="52" t="str">
        <f t="shared" si="133"/>
        <v>TRT-80-10</v>
      </c>
      <c r="M663" s="82">
        <v>42491</v>
      </c>
      <c r="N663" s="2">
        <v>25000.000000000004</v>
      </c>
    </row>
    <row r="664" spans="1:14" x14ac:dyDescent="0.35">
      <c r="A664" s="52" t="s">
        <v>6063</v>
      </c>
      <c r="C664" s="30" t="s">
        <v>20980</v>
      </c>
      <c r="D664" s="30" t="str">
        <f>"""TRUST Nav"",""HSPMTB2016"",""21"",""1"",""122084"""</f>
        <v>"TRUST Nav","HSPMTB2016","21","1","122084"</v>
      </c>
      <c r="I664" s="52" t="str">
        <f t="shared" si="134"/>
        <v>KK-04621|42522|TRT-80-10</v>
      </c>
      <c r="J664" s="52" t="str">
        <f t="shared" si="131"/>
        <v>KK-04621</v>
      </c>
      <c r="K664" s="52" t="str">
        <f t="shared" si="132"/>
        <v>Tommy Prasetyo Utomo</v>
      </c>
      <c r="L664" s="52" t="str">
        <f t="shared" si="133"/>
        <v>TRT-80-10</v>
      </c>
      <c r="M664" s="82">
        <v>42522</v>
      </c>
      <c r="N664" s="2">
        <v>25000.000000000004</v>
      </c>
    </row>
    <row r="665" spans="1:14" x14ac:dyDescent="0.35">
      <c r="A665" s="52" t="s">
        <v>6063</v>
      </c>
      <c r="C665" s="30" t="s">
        <v>20980</v>
      </c>
      <c r="D665" s="30" t="str">
        <f>"""TRUST Nav"",""HSPMTB2016"",""21"",""1"",""3684"""</f>
        <v>"TRUST Nav","HSPMTB2016","21","1","3684"</v>
      </c>
      <c r="I665" s="52" t="str">
        <f t="shared" si="134"/>
        <v>KK-04622|42186|TRT-80-10</v>
      </c>
      <c r="J665" s="52" t="str">
        <f t="shared" ref="J665:J683" si="135">"KK-04622"</f>
        <v>KK-04622</v>
      </c>
      <c r="K665" s="52" t="str">
        <f t="shared" ref="K665:K683" si="136">"Tri Saptono Vinsentius "</f>
        <v xml:space="preserve">Tri Saptono Vinsentius </v>
      </c>
      <c r="L665" s="52" t="str">
        <f t="shared" si="133"/>
        <v>TRT-80-10</v>
      </c>
      <c r="M665" s="82">
        <v>42186</v>
      </c>
      <c r="N665" s="2">
        <v>30000</v>
      </c>
    </row>
    <row r="666" spans="1:14" x14ac:dyDescent="0.35">
      <c r="A666" s="52" t="s">
        <v>6063</v>
      </c>
      <c r="C666" s="30" t="s">
        <v>20980</v>
      </c>
      <c r="D666" s="30" t="str">
        <f>"""TRUST Nav"",""HSPMTB2016"",""21"",""1"",""3685"""</f>
        <v>"TRUST Nav","HSPMTB2016","21","1","3685"</v>
      </c>
      <c r="I666" s="52" t="str">
        <f t="shared" si="134"/>
        <v>KK-04622|42217|TRT-80-10</v>
      </c>
      <c r="J666" s="52" t="str">
        <f t="shared" si="135"/>
        <v>KK-04622</v>
      </c>
      <c r="K666" s="52" t="str">
        <f t="shared" si="136"/>
        <v xml:space="preserve">Tri Saptono Vinsentius </v>
      </c>
      <c r="L666" s="52" t="str">
        <f t="shared" si="133"/>
        <v>TRT-80-10</v>
      </c>
      <c r="M666" s="82">
        <v>42217</v>
      </c>
      <c r="N666" s="2">
        <v>30000</v>
      </c>
    </row>
    <row r="667" spans="1:14" x14ac:dyDescent="0.35">
      <c r="A667" s="52" t="s">
        <v>6063</v>
      </c>
      <c r="C667" s="30" t="s">
        <v>20980</v>
      </c>
      <c r="D667" s="30" t="str">
        <f>"""TRUST Nav"",""HSPMTB2016"",""21"",""1"",""3686"""</f>
        <v>"TRUST Nav","HSPMTB2016","21","1","3686"</v>
      </c>
      <c r="I667" s="52" t="str">
        <f t="shared" si="134"/>
        <v>KK-04622|42248|TRT-80-10</v>
      </c>
      <c r="J667" s="52" t="str">
        <f t="shared" si="135"/>
        <v>KK-04622</v>
      </c>
      <c r="K667" s="52" t="str">
        <f t="shared" si="136"/>
        <v xml:space="preserve">Tri Saptono Vinsentius </v>
      </c>
      <c r="L667" s="52" t="str">
        <f t="shared" si="133"/>
        <v>TRT-80-10</v>
      </c>
      <c r="M667" s="82">
        <v>42248</v>
      </c>
      <c r="N667" s="2">
        <v>30000</v>
      </c>
    </row>
    <row r="668" spans="1:14" x14ac:dyDescent="0.35">
      <c r="A668" s="52" t="s">
        <v>6063</v>
      </c>
      <c r="C668" s="30" t="s">
        <v>20980</v>
      </c>
      <c r="D668" s="30" t="str">
        <f>"""TRUST Nav"",""HSPMTB2016"",""21"",""1"",""3687"""</f>
        <v>"TRUST Nav","HSPMTB2016","21","1","3687"</v>
      </c>
      <c r="I668" s="52" t="str">
        <f t="shared" si="134"/>
        <v>KK-04622|42278|TRT-80-10</v>
      </c>
      <c r="J668" s="52" t="str">
        <f t="shared" si="135"/>
        <v>KK-04622</v>
      </c>
      <c r="K668" s="52" t="str">
        <f t="shared" si="136"/>
        <v xml:space="preserve">Tri Saptono Vinsentius </v>
      </c>
      <c r="L668" s="52" t="str">
        <f t="shared" si="133"/>
        <v>TRT-80-10</v>
      </c>
      <c r="M668" s="82">
        <v>42278</v>
      </c>
      <c r="N668" s="2">
        <v>30000</v>
      </c>
    </row>
    <row r="669" spans="1:14" x14ac:dyDescent="0.35">
      <c r="A669" s="52" t="s">
        <v>6063</v>
      </c>
      <c r="C669" s="30" t="s">
        <v>20980</v>
      </c>
      <c r="D669" s="30" t="str">
        <f>"""TRUST Nav"",""HSPMTB2016"",""21"",""1"",""3688"""</f>
        <v>"TRUST Nav","HSPMTB2016","21","1","3688"</v>
      </c>
      <c r="I669" s="52" t="str">
        <f t="shared" si="134"/>
        <v>KK-04622|42309|TRT-80-10</v>
      </c>
      <c r="J669" s="52" t="str">
        <f t="shared" si="135"/>
        <v>KK-04622</v>
      </c>
      <c r="K669" s="52" t="str">
        <f t="shared" si="136"/>
        <v xml:space="preserve">Tri Saptono Vinsentius </v>
      </c>
      <c r="L669" s="52" t="str">
        <f t="shared" si="133"/>
        <v>TRT-80-10</v>
      </c>
      <c r="M669" s="82">
        <v>42309</v>
      </c>
      <c r="N669" s="2">
        <v>30000</v>
      </c>
    </row>
    <row r="670" spans="1:14" x14ac:dyDescent="0.35">
      <c r="A670" s="52" t="s">
        <v>6063</v>
      </c>
      <c r="C670" s="30" t="s">
        <v>20980</v>
      </c>
      <c r="D670" s="30" t="str">
        <f>"""TRUST Nav"",""HSPMTB2016"",""21"",""1"",""3689"""</f>
        <v>"TRUST Nav","HSPMTB2016","21","1","3689"</v>
      </c>
      <c r="I670" s="52" t="str">
        <f t="shared" si="134"/>
        <v>KK-04622|42339|TRT-80-10</v>
      </c>
      <c r="J670" s="52" t="str">
        <f t="shared" si="135"/>
        <v>KK-04622</v>
      </c>
      <c r="K670" s="52" t="str">
        <f t="shared" si="136"/>
        <v xml:space="preserve">Tri Saptono Vinsentius </v>
      </c>
      <c r="L670" s="52" t="str">
        <f t="shared" si="133"/>
        <v>TRT-80-10</v>
      </c>
      <c r="M670" s="82">
        <v>42339</v>
      </c>
      <c r="N670" s="2">
        <v>30000</v>
      </c>
    </row>
    <row r="671" spans="1:14" x14ac:dyDescent="0.35">
      <c r="A671" s="52" t="s">
        <v>6063</v>
      </c>
      <c r="C671" s="30" t="s">
        <v>20980</v>
      </c>
      <c r="D671" s="30" t="str">
        <f>"""TRUST Nav"",""HSPMTB2016"",""21"",""1"",""37483"""</f>
        <v>"TRUST Nav","HSPMTB2016","21","1","37483"</v>
      </c>
      <c r="I671" s="52" t="str">
        <f t="shared" si="134"/>
        <v>KK-04622|42368|TRT-80-10</v>
      </c>
      <c r="J671" s="52" t="str">
        <f t="shared" si="135"/>
        <v>KK-04622</v>
      </c>
      <c r="K671" s="52" t="str">
        <f t="shared" si="136"/>
        <v xml:space="preserve">Tri Saptono Vinsentius </v>
      </c>
      <c r="L671" s="52" t="str">
        <f t="shared" si="133"/>
        <v>TRT-80-10</v>
      </c>
      <c r="M671" s="82">
        <v>42368</v>
      </c>
      <c r="N671" s="2">
        <v>30000</v>
      </c>
    </row>
    <row r="672" spans="1:14" x14ac:dyDescent="0.35">
      <c r="A672" s="52" t="s">
        <v>6063</v>
      </c>
      <c r="C672" s="30" t="s">
        <v>20980</v>
      </c>
      <c r="D672" s="30" t="str">
        <f>"""TRUST Nav"",""HSPMTB2016"",""21"",""1"",""37484"""</f>
        <v>"TRUST Nav","HSPMTB2016","21","1","37484"</v>
      </c>
      <c r="I672" s="52" t="str">
        <f t="shared" si="134"/>
        <v>KK-04622|42368|TRT-80-10</v>
      </c>
      <c r="J672" s="52" t="str">
        <f t="shared" si="135"/>
        <v>KK-04622</v>
      </c>
      <c r="K672" s="52" t="str">
        <f t="shared" si="136"/>
        <v xml:space="preserve">Tri Saptono Vinsentius </v>
      </c>
      <c r="L672" s="52" t="str">
        <f t="shared" si="133"/>
        <v>TRT-80-10</v>
      </c>
      <c r="M672" s="82">
        <v>42368</v>
      </c>
      <c r="N672" s="2">
        <v>30000</v>
      </c>
    </row>
    <row r="673" spans="1:14" x14ac:dyDescent="0.35">
      <c r="A673" s="52" t="s">
        <v>6063</v>
      </c>
      <c r="C673" s="30" t="s">
        <v>20980</v>
      </c>
      <c r="D673" s="30" t="str">
        <f>"""TRUST Nav"",""HSPMTB2016"",""21"",""1"",""37485"""</f>
        <v>"TRUST Nav","HSPMTB2016","21","1","37485"</v>
      </c>
      <c r="I673" s="52" t="str">
        <f t="shared" si="134"/>
        <v>KK-04622|42368|TRT-80-10</v>
      </c>
      <c r="J673" s="52" t="str">
        <f t="shared" si="135"/>
        <v>KK-04622</v>
      </c>
      <c r="K673" s="52" t="str">
        <f t="shared" si="136"/>
        <v xml:space="preserve">Tri Saptono Vinsentius </v>
      </c>
      <c r="L673" s="52" t="str">
        <f t="shared" si="133"/>
        <v>TRT-80-10</v>
      </c>
      <c r="M673" s="82">
        <v>42368</v>
      </c>
      <c r="N673" s="2">
        <v>30000</v>
      </c>
    </row>
    <row r="674" spans="1:14" x14ac:dyDescent="0.35">
      <c r="A674" s="52" t="s">
        <v>6063</v>
      </c>
      <c r="C674" s="30" t="s">
        <v>20980</v>
      </c>
      <c r="D674" s="30" t="str">
        <f>"""TRUST Nav"",""HSPMTB2016"",""21"",""1"",""37486"""</f>
        <v>"TRUST Nav","HSPMTB2016","21","1","37486"</v>
      </c>
      <c r="I674" s="52" t="str">
        <f t="shared" si="134"/>
        <v>KK-04622|42368|TRT-80-10</v>
      </c>
      <c r="J674" s="52" t="str">
        <f t="shared" si="135"/>
        <v>KK-04622</v>
      </c>
      <c r="K674" s="52" t="str">
        <f t="shared" si="136"/>
        <v xml:space="preserve">Tri Saptono Vinsentius </v>
      </c>
      <c r="L674" s="52" t="str">
        <f t="shared" si="133"/>
        <v>TRT-80-10</v>
      </c>
      <c r="M674" s="82">
        <v>42368</v>
      </c>
      <c r="N674" s="2">
        <v>30000</v>
      </c>
    </row>
    <row r="675" spans="1:14" x14ac:dyDescent="0.35">
      <c r="A675" s="52" t="s">
        <v>6063</v>
      </c>
      <c r="C675" s="30" t="s">
        <v>20980</v>
      </c>
      <c r="D675" s="30" t="str">
        <f>"""TRUST Nav"",""HSPMTB2016"",""21"",""1"",""37487"""</f>
        <v>"TRUST Nav","HSPMTB2016","21","1","37487"</v>
      </c>
      <c r="I675" s="52" t="str">
        <f t="shared" si="134"/>
        <v>KK-04622|42368|TRT-80-10</v>
      </c>
      <c r="J675" s="52" t="str">
        <f t="shared" si="135"/>
        <v>KK-04622</v>
      </c>
      <c r="K675" s="52" t="str">
        <f t="shared" si="136"/>
        <v xml:space="preserve">Tri Saptono Vinsentius </v>
      </c>
      <c r="L675" s="52" t="str">
        <f t="shared" si="133"/>
        <v>TRT-80-10</v>
      </c>
      <c r="M675" s="82">
        <v>42368</v>
      </c>
      <c r="N675" s="2">
        <v>30000</v>
      </c>
    </row>
    <row r="676" spans="1:14" x14ac:dyDescent="0.35">
      <c r="A676" s="52" t="s">
        <v>6063</v>
      </c>
      <c r="C676" s="30" t="s">
        <v>20980</v>
      </c>
      <c r="D676" s="30" t="str">
        <f>"""TRUST Nav"",""HSPMTB2016"",""21"",""1"",""37488"""</f>
        <v>"TRUST Nav","HSPMTB2016","21","1","37488"</v>
      </c>
      <c r="I676" s="52" t="str">
        <f t="shared" si="134"/>
        <v>KK-04622|42368|TRT-80-10</v>
      </c>
      <c r="J676" s="52" t="str">
        <f t="shared" si="135"/>
        <v>KK-04622</v>
      </c>
      <c r="K676" s="52" t="str">
        <f t="shared" si="136"/>
        <v xml:space="preserve">Tri Saptono Vinsentius </v>
      </c>
      <c r="L676" s="52" t="str">
        <f t="shared" si="133"/>
        <v>TRT-80-10</v>
      </c>
      <c r="M676" s="82">
        <v>42368</v>
      </c>
      <c r="N676" s="2">
        <v>30000</v>
      </c>
    </row>
    <row r="677" spans="1:14" x14ac:dyDescent="0.35">
      <c r="A677" s="52" t="s">
        <v>6063</v>
      </c>
      <c r="C677" s="30" t="s">
        <v>20980</v>
      </c>
      <c r="D677" s="30" t="str">
        <f>"""TRUST Nav"",""HSPMTB2016"",""21"",""1"",""85260"""</f>
        <v>"TRUST Nav","HSPMTB2016","21","1","85260"</v>
      </c>
      <c r="I677" s="52" t="str">
        <f t="shared" si="134"/>
        <v>KK-04622|42370|TRT-80-10</v>
      </c>
      <c r="J677" s="52" t="str">
        <f t="shared" si="135"/>
        <v>KK-04622</v>
      </c>
      <c r="K677" s="52" t="str">
        <f t="shared" si="136"/>
        <v xml:space="preserve">Tri Saptono Vinsentius </v>
      </c>
      <c r="L677" s="52" t="str">
        <f t="shared" si="133"/>
        <v>TRT-80-10</v>
      </c>
      <c r="M677" s="82">
        <v>42370</v>
      </c>
      <c r="N677" s="2">
        <v>35000</v>
      </c>
    </row>
    <row r="678" spans="1:14" x14ac:dyDescent="0.35">
      <c r="A678" s="52" t="s">
        <v>6063</v>
      </c>
      <c r="C678" s="30" t="s">
        <v>20980</v>
      </c>
      <c r="D678" s="30" t="str">
        <f>"""TRUST Nav"",""HSPMTB2016"",""21"",""1"",""116903"""</f>
        <v>"TRUST Nav","HSPMTB2016","21","1","116903"</v>
      </c>
      <c r="I678" s="52" t="str">
        <f t="shared" si="134"/>
        <v>KK-04622|42401|TRT-80-10</v>
      </c>
      <c r="J678" s="52" t="str">
        <f t="shared" si="135"/>
        <v>KK-04622</v>
      </c>
      <c r="K678" s="52" t="str">
        <f t="shared" si="136"/>
        <v xml:space="preserve">Tri Saptono Vinsentius </v>
      </c>
      <c r="L678" s="52" t="str">
        <f t="shared" si="133"/>
        <v>TRT-80-10</v>
      </c>
      <c r="M678" s="82">
        <v>42401</v>
      </c>
      <c r="N678" s="2">
        <v>35000</v>
      </c>
    </row>
    <row r="679" spans="1:14" x14ac:dyDescent="0.35">
      <c r="A679" s="52" t="s">
        <v>6063</v>
      </c>
      <c r="C679" s="30" t="s">
        <v>20980</v>
      </c>
      <c r="D679" s="30" t="str">
        <f>"""TRUST Nav"",""HSPMTB2016"",""21"",""1"",""116904"""</f>
        <v>"TRUST Nav","HSPMTB2016","21","1","116904"</v>
      </c>
      <c r="I679" s="52" t="str">
        <f t="shared" si="134"/>
        <v>KK-04622|42430|TRT-80-10</v>
      </c>
      <c r="J679" s="52" t="str">
        <f t="shared" si="135"/>
        <v>KK-04622</v>
      </c>
      <c r="K679" s="52" t="str">
        <f t="shared" si="136"/>
        <v xml:space="preserve">Tri Saptono Vinsentius </v>
      </c>
      <c r="L679" s="52" t="str">
        <f t="shared" si="133"/>
        <v>TRT-80-10</v>
      </c>
      <c r="M679" s="82">
        <v>42430</v>
      </c>
      <c r="N679" s="2">
        <v>35000</v>
      </c>
    </row>
    <row r="680" spans="1:14" x14ac:dyDescent="0.35">
      <c r="A680" s="52" t="s">
        <v>6063</v>
      </c>
      <c r="C680" s="30" t="s">
        <v>20980</v>
      </c>
      <c r="D680" s="30" t="str">
        <f>"""TRUST Nav"",""HSPMTB2016"",""21"",""1"",""116905"""</f>
        <v>"TRUST Nav","HSPMTB2016","21","1","116905"</v>
      </c>
      <c r="I680" s="52" t="str">
        <f t="shared" si="134"/>
        <v>KK-04622|42461|TRT-80-10</v>
      </c>
      <c r="J680" s="52" t="str">
        <f t="shared" si="135"/>
        <v>KK-04622</v>
      </c>
      <c r="K680" s="52" t="str">
        <f t="shared" si="136"/>
        <v xml:space="preserve">Tri Saptono Vinsentius </v>
      </c>
      <c r="L680" s="52" t="str">
        <f t="shared" si="133"/>
        <v>TRT-80-10</v>
      </c>
      <c r="M680" s="82">
        <v>42461</v>
      </c>
      <c r="N680" s="2">
        <v>35000</v>
      </c>
    </row>
    <row r="681" spans="1:14" x14ac:dyDescent="0.35">
      <c r="A681" s="52" t="s">
        <v>6063</v>
      </c>
      <c r="C681" s="30" t="s">
        <v>20980</v>
      </c>
      <c r="D681" s="30" t="str">
        <f>"""TRUST Nav"",""HSPMTB2016"",""21"",""1"",""116906"""</f>
        <v>"TRUST Nav","HSPMTB2016","21","1","116906"</v>
      </c>
      <c r="I681" s="52" t="str">
        <f t="shared" si="134"/>
        <v>KK-04622|42491|TRT-80-10</v>
      </c>
      <c r="J681" s="52" t="str">
        <f t="shared" si="135"/>
        <v>KK-04622</v>
      </c>
      <c r="K681" s="52" t="str">
        <f t="shared" si="136"/>
        <v xml:space="preserve">Tri Saptono Vinsentius </v>
      </c>
      <c r="L681" s="52" t="str">
        <f t="shared" si="133"/>
        <v>TRT-80-10</v>
      </c>
      <c r="M681" s="82">
        <v>42491</v>
      </c>
      <c r="N681" s="2">
        <v>35000</v>
      </c>
    </row>
    <row r="682" spans="1:14" x14ac:dyDescent="0.35">
      <c r="A682" s="52" t="s">
        <v>6063</v>
      </c>
      <c r="C682" s="30" t="s">
        <v>20980</v>
      </c>
      <c r="D682" s="30" t="str">
        <f>"""TRUST Nav"",""HSPMTB2016"",""21"",""1"",""122085"""</f>
        <v>"TRUST Nav","HSPMTB2016","21","1","122085"</v>
      </c>
      <c r="I682" s="52" t="str">
        <f t="shared" si="134"/>
        <v>KK-04622|42522|TRT-80-10</v>
      </c>
      <c r="J682" s="52" t="str">
        <f t="shared" si="135"/>
        <v>KK-04622</v>
      </c>
      <c r="K682" s="52" t="str">
        <f t="shared" si="136"/>
        <v xml:space="preserve">Tri Saptono Vinsentius </v>
      </c>
      <c r="L682" s="52" t="str">
        <f t="shared" si="133"/>
        <v>TRT-80-10</v>
      </c>
      <c r="M682" s="82">
        <v>42522</v>
      </c>
      <c r="N682" s="2">
        <v>35000</v>
      </c>
    </row>
    <row r="683" spans="1:14" x14ac:dyDescent="0.35">
      <c r="A683" s="52" t="s">
        <v>6063</v>
      </c>
      <c r="C683" s="30" t="s">
        <v>20980</v>
      </c>
      <c r="D683" s="30" t="str">
        <f>"""TRUST Nav"",""HSPMTB2016"",""21"",""1"",""122086"""</f>
        <v>"TRUST Nav","HSPMTB2016","21","1","122086"</v>
      </c>
      <c r="I683" s="52" t="str">
        <f t="shared" si="134"/>
        <v>KK-04622|42552|TRT-80-10</v>
      </c>
      <c r="J683" s="52" t="str">
        <f t="shared" si="135"/>
        <v>KK-04622</v>
      </c>
      <c r="K683" s="52" t="str">
        <f t="shared" si="136"/>
        <v xml:space="preserve">Tri Saptono Vinsentius </v>
      </c>
      <c r="L683" s="52" t="str">
        <f t="shared" si="133"/>
        <v>TRT-80-10</v>
      </c>
      <c r="M683" s="82">
        <v>42552</v>
      </c>
      <c r="N683" s="2">
        <v>35000</v>
      </c>
    </row>
    <row r="684" spans="1:14" x14ac:dyDescent="0.35">
      <c r="A684" s="52" t="s">
        <v>6063</v>
      </c>
      <c r="C684" s="30" t="s">
        <v>20980</v>
      </c>
      <c r="D684" s="30" t="str">
        <f>"""TRUST Nav"",""HSPMTB2016"",""21"",""1"",""3690"""</f>
        <v>"TRUST Nav","HSPMTB2016","21","1","3690"</v>
      </c>
      <c r="I684" s="52" t="str">
        <f t="shared" si="134"/>
        <v>KK-04624|42186|TRT-80-10</v>
      </c>
      <c r="J684" s="52" t="str">
        <f t="shared" ref="J684:J704" si="137">"KK-04624"</f>
        <v>KK-04624</v>
      </c>
      <c r="K684" s="52" t="str">
        <f t="shared" ref="K684:K704" si="138">"Yohanes Hendy Setiawan"</f>
        <v>Yohanes Hendy Setiawan</v>
      </c>
      <c r="L684" s="52" t="str">
        <f t="shared" si="133"/>
        <v>TRT-80-10</v>
      </c>
      <c r="M684" s="82">
        <v>42186</v>
      </c>
      <c r="N684" s="2">
        <v>40000</v>
      </c>
    </row>
    <row r="685" spans="1:14" x14ac:dyDescent="0.35">
      <c r="A685" s="52" t="s">
        <v>6063</v>
      </c>
      <c r="C685" s="30" t="s">
        <v>20980</v>
      </c>
      <c r="D685" s="30" t="str">
        <f>"""TRUST Nav"",""HSPMTB2016"",""21"",""1"",""3691"""</f>
        <v>"TRUST Nav","HSPMTB2016","21","1","3691"</v>
      </c>
      <c r="I685" s="52" t="str">
        <f t="shared" si="134"/>
        <v>KK-04624|42217|TRT-80-10</v>
      </c>
      <c r="J685" s="52" t="str">
        <f t="shared" si="137"/>
        <v>KK-04624</v>
      </c>
      <c r="K685" s="52" t="str">
        <f t="shared" si="138"/>
        <v>Yohanes Hendy Setiawan</v>
      </c>
      <c r="L685" s="52" t="str">
        <f t="shared" si="133"/>
        <v>TRT-80-10</v>
      </c>
      <c r="M685" s="82">
        <v>42217</v>
      </c>
      <c r="N685" s="2">
        <v>40000</v>
      </c>
    </row>
    <row r="686" spans="1:14" x14ac:dyDescent="0.35">
      <c r="A686" s="52" t="s">
        <v>6063</v>
      </c>
      <c r="C686" s="30" t="s">
        <v>20980</v>
      </c>
      <c r="D686" s="30" t="str">
        <f>"""TRUST Nav"",""HSPMTB2016"",""21"",""1"",""3692"""</f>
        <v>"TRUST Nav","HSPMTB2016","21","1","3692"</v>
      </c>
      <c r="I686" s="52" t="str">
        <f t="shared" si="134"/>
        <v>KK-04624|42248|TRT-80-10</v>
      </c>
      <c r="J686" s="52" t="str">
        <f t="shared" si="137"/>
        <v>KK-04624</v>
      </c>
      <c r="K686" s="52" t="str">
        <f t="shared" si="138"/>
        <v>Yohanes Hendy Setiawan</v>
      </c>
      <c r="L686" s="52" t="str">
        <f t="shared" si="133"/>
        <v>TRT-80-10</v>
      </c>
      <c r="M686" s="82">
        <v>42248</v>
      </c>
      <c r="N686" s="2">
        <v>40000</v>
      </c>
    </row>
    <row r="687" spans="1:14" x14ac:dyDescent="0.35">
      <c r="A687" s="52" t="s">
        <v>6063</v>
      </c>
      <c r="C687" s="30" t="s">
        <v>20980</v>
      </c>
      <c r="D687" s="30" t="str">
        <f>"""TRUST Nav"",""HSPMTB2016"",""21"",""1"",""3693"""</f>
        <v>"TRUST Nav","HSPMTB2016","21","1","3693"</v>
      </c>
      <c r="I687" s="52" t="str">
        <f t="shared" si="134"/>
        <v>KK-04624|42278|TRT-80-10</v>
      </c>
      <c r="J687" s="52" t="str">
        <f t="shared" si="137"/>
        <v>KK-04624</v>
      </c>
      <c r="K687" s="52" t="str">
        <f t="shared" si="138"/>
        <v>Yohanes Hendy Setiawan</v>
      </c>
      <c r="L687" s="52" t="str">
        <f t="shared" si="133"/>
        <v>TRT-80-10</v>
      </c>
      <c r="M687" s="82">
        <v>42278</v>
      </c>
      <c r="N687" s="2">
        <v>40000</v>
      </c>
    </row>
    <row r="688" spans="1:14" x14ac:dyDescent="0.35">
      <c r="A688" s="52" t="s">
        <v>6063</v>
      </c>
      <c r="C688" s="30" t="s">
        <v>20980</v>
      </c>
      <c r="D688" s="30" t="str">
        <f>"""TRUST Nav"",""HSPMTB2016"",""21"",""1"",""3694"""</f>
        <v>"TRUST Nav","HSPMTB2016","21","1","3694"</v>
      </c>
      <c r="I688" s="52" t="str">
        <f t="shared" si="134"/>
        <v>KK-04624|42309|TRT-80-10</v>
      </c>
      <c r="J688" s="52" t="str">
        <f t="shared" si="137"/>
        <v>KK-04624</v>
      </c>
      <c r="K688" s="52" t="str">
        <f t="shared" si="138"/>
        <v>Yohanes Hendy Setiawan</v>
      </c>
      <c r="L688" s="52" t="str">
        <f t="shared" si="133"/>
        <v>TRT-80-10</v>
      </c>
      <c r="M688" s="82">
        <v>42309</v>
      </c>
      <c r="N688" s="2">
        <v>40000</v>
      </c>
    </row>
    <row r="689" spans="1:14" x14ac:dyDescent="0.35">
      <c r="A689" s="52" t="s">
        <v>6063</v>
      </c>
      <c r="C689" s="30" t="s">
        <v>20980</v>
      </c>
      <c r="D689" s="30" t="str">
        <f>"""TRUST Nav"",""HSPMTB2016"",""21"",""1"",""3695"""</f>
        <v>"TRUST Nav","HSPMTB2016","21","1","3695"</v>
      </c>
      <c r="I689" s="52" t="str">
        <f t="shared" si="134"/>
        <v>KK-04624|42339|TRT-80-10</v>
      </c>
      <c r="J689" s="52" t="str">
        <f t="shared" si="137"/>
        <v>KK-04624</v>
      </c>
      <c r="K689" s="52" t="str">
        <f t="shared" si="138"/>
        <v>Yohanes Hendy Setiawan</v>
      </c>
      <c r="L689" s="52" t="str">
        <f t="shared" si="133"/>
        <v>TRT-80-10</v>
      </c>
      <c r="M689" s="82">
        <v>42339</v>
      </c>
      <c r="N689" s="2">
        <v>40000</v>
      </c>
    </row>
    <row r="690" spans="1:14" x14ac:dyDescent="0.35">
      <c r="A690" s="52" t="s">
        <v>6063</v>
      </c>
      <c r="C690" s="30" t="s">
        <v>20980</v>
      </c>
      <c r="D690" s="30" t="str">
        <f>"""TRUST Nav"",""HSPMTB2016"",""21"",""1"",""37489"""</f>
        <v>"TRUST Nav","HSPMTB2016","21","1","37489"</v>
      </c>
      <c r="I690" s="52" t="str">
        <f t="shared" si="134"/>
        <v>KK-04624|42368|TRT-80-10</v>
      </c>
      <c r="J690" s="52" t="str">
        <f t="shared" si="137"/>
        <v>KK-04624</v>
      </c>
      <c r="K690" s="52" t="str">
        <f t="shared" si="138"/>
        <v>Yohanes Hendy Setiawan</v>
      </c>
      <c r="L690" s="52" t="str">
        <f t="shared" si="133"/>
        <v>TRT-80-10</v>
      </c>
      <c r="M690" s="82">
        <v>42368</v>
      </c>
      <c r="N690" s="2">
        <v>40000</v>
      </c>
    </row>
    <row r="691" spans="1:14" x14ac:dyDescent="0.35">
      <c r="A691" s="52" t="s">
        <v>6063</v>
      </c>
      <c r="C691" s="30" t="s">
        <v>20980</v>
      </c>
      <c r="D691" s="30" t="str">
        <f>"""TRUST Nav"",""HSPMTB2016"",""21"",""1"",""37490"""</f>
        <v>"TRUST Nav","HSPMTB2016","21","1","37490"</v>
      </c>
      <c r="I691" s="52" t="str">
        <f t="shared" si="134"/>
        <v>KK-04624|42368|TRT-80-10</v>
      </c>
      <c r="J691" s="52" t="str">
        <f t="shared" si="137"/>
        <v>KK-04624</v>
      </c>
      <c r="K691" s="52" t="str">
        <f t="shared" si="138"/>
        <v>Yohanes Hendy Setiawan</v>
      </c>
      <c r="L691" s="52" t="str">
        <f t="shared" si="133"/>
        <v>TRT-80-10</v>
      </c>
      <c r="M691" s="82">
        <v>42368</v>
      </c>
      <c r="N691" s="2">
        <v>40000</v>
      </c>
    </row>
    <row r="692" spans="1:14" x14ac:dyDescent="0.35">
      <c r="A692" s="52" t="s">
        <v>6063</v>
      </c>
      <c r="C692" s="30" t="s">
        <v>20980</v>
      </c>
      <c r="D692" s="30" t="str">
        <f>"""TRUST Nav"",""HSPMTB2016"",""21"",""1"",""37491"""</f>
        <v>"TRUST Nav","HSPMTB2016","21","1","37491"</v>
      </c>
      <c r="I692" s="52" t="str">
        <f t="shared" si="134"/>
        <v>KK-04624|42368|TRT-80-10</v>
      </c>
      <c r="J692" s="52" t="str">
        <f t="shared" si="137"/>
        <v>KK-04624</v>
      </c>
      <c r="K692" s="52" t="str">
        <f t="shared" si="138"/>
        <v>Yohanes Hendy Setiawan</v>
      </c>
      <c r="L692" s="52" t="str">
        <f t="shared" si="133"/>
        <v>TRT-80-10</v>
      </c>
      <c r="M692" s="82">
        <v>42368</v>
      </c>
      <c r="N692" s="2">
        <v>40000</v>
      </c>
    </row>
    <row r="693" spans="1:14" x14ac:dyDescent="0.35">
      <c r="A693" s="52" t="s">
        <v>6063</v>
      </c>
      <c r="C693" s="30" t="s">
        <v>20980</v>
      </c>
      <c r="D693" s="30" t="str">
        <f>"""TRUST Nav"",""HSPMTB2016"",""21"",""1"",""37492"""</f>
        <v>"TRUST Nav","HSPMTB2016","21","1","37492"</v>
      </c>
      <c r="I693" s="52" t="str">
        <f t="shared" si="134"/>
        <v>KK-04624|42368|TRT-80-10</v>
      </c>
      <c r="J693" s="52" t="str">
        <f t="shared" si="137"/>
        <v>KK-04624</v>
      </c>
      <c r="K693" s="52" t="str">
        <f t="shared" si="138"/>
        <v>Yohanes Hendy Setiawan</v>
      </c>
      <c r="L693" s="52" t="str">
        <f t="shared" si="133"/>
        <v>TRT-80-10</v>
      </c>
      <c r="M693" s="82">
        <v>42368</v>
      </c>
      <c r="N693" s="2">
        <v>40000</v>
      </c>
    </row>
    <row r="694" spans="1:14" x14ac:dyDescent="0.35">
      <c r="A694" s="52" t="s">
        <v>6063</v>
      </c>
      <c r="C694" s="30" t="s">
        <v>20980</v>
      </c>
      <c r="D694" s="30" t="str">
        <f>"""TRUST Nav"",""HSPMTB2016"",""21"",""1"",""37493"""</f>
        <v>"TRUST Nav","HSPMTB2016","21","1","37493"</v>
      </c>
      <c r="I694" s="52" t="str">
        <f t="shared" si="134"/>
        <v>KK-04624|42368|TRT-80-10</v>
      </c>
      <c r="J694" s="52" t="str">
        <f t="shared" si="137"/>
        <v>KK-04624</v>
      </c>
      <c r="K694" s="52" t="str">
        <f t="shared" si="138"/>
        <v>Yohanes Hendy Setiawan</v>
      </c>
      <c r="L694" s="52" t="str">
        <f t="shared" si="133"/>
        <v>TRT-80-10</v>
      </c>
      <c r="M694" s="82">
        <v>42368</v>
      </c>
      <c r="N694" s="2">
        <v>40000</v>
      </c>
    </row>
    <row r="695" spans="1:14" x14ac:dyDescent="0.35">
      <c r="A695" s="52" t="s">
        <v>6063</v>
      </c>
      <c r="C695" s="30" t="s">
        <v>20980</v>
      </c>
      <c r="D695" s="30" t="str">
        <f>"""TRUST Nav"",""HSPMTB2016"",""21"",""1"",""37494"""</f>
        <v>"TRUST Nav","HSPMTB2016","21","1","37494"</v>
      </c>
      <c r="I695" s="52" t="str">
        <f t="shared" si="134"/>
        <v>KK-04624|42368|TRT-80-10</v>
      </c>
      <c r="J695" s="52" t="str">
        <f t="shared" si="137"/>
        <v>KK-04624</v>
      </c>
      <c r="K695" s="52" t="str">
        <f t="shared" si="138"/>
        <v>Yohanes Hendy Setiawan</v>
      </c>
      <c r="L695" s="52" t="str">
        <f t="shared" si="133"/>
        <v>TRT-80-10</v>
      </c>
      <c r="M695" s="82">
        <v>42368</v>
      </c>
      <c r="N695" s="2">
        <v>40000</v>
      </c>
    </row>
    <row r="696" spans="1:14" x14ac:dyDescent="0.35">
      <c r="A696" s="52" t="s">
        <v>6063</v>
      </c>
      <c r="C696" s="30" t="s">
        <v>20980</v>
      </c>
      <c r="D696" s="30" t="str">
        <f>"""TRUST Nav"",""HSPMTB2016"",""21"",""1"",""85261"""</f>
        <v>"TRUST Nav","HSPMTB2016","21","1","85261"</v>
      </c>
      <c r="I696" s="52" t="str">
        <f t="shared" si="134"/>
        <v>KK-04624|42370|TRT-80-10</v>
      </c>
      <c r="J696" s="52" t="str">
        <f t="shared" si="137"/>
        <v>KK-04624</v>
      </c>
      <c r="K696" s="52" t="str">
        <f t="shared" si="138"/>
        <v>Yohanes Hendy Setiawan</v>
      </c>
      <c r="L696" s="52" t="str">
        <f t="shared" si="133"/>
        <v>TRT-80-10</v>
      </c>
      <c r="M696" s="82">
        <v>42370</v>
      </c>
      <c r="N696" s="2">
        <v>40000</v>
      </c>
    </row>
    <row r="697" spans="1:14" x14ac:dyDescent="0.35">
      <c r="A697" s="52" t="s">
        <v>6063</v>
      </c>
      <c r="C697" s="30" t="s">
        <v>20980</v>
      </c>
      <c r="D697" s="30" t="str">
        <f>"""TRUST Nav"",""HSPMTB2016"",""21"",""1"",""85262"""</f>
        <v>"TRUST Nav","HSPMTB2016","21","1","85262"</v>
      </c>
      <c r="I697" s="52" t="str">
        <f t="shared" si="134"/>
        <v>KK-04624|42401|TRT-80-10</v>
      </c>
      <c r="J697" s="52" t="str">
        <f t="shared" si="137"/>
        <v>KK-04624</v>
      </c>
      <c r="K697" s="52" t="str">
        <f t="shared" si="138"/>
        <v>Yohanes Hendy Setiawan</v>
      </c>
      <c r="L697" s="52" t="str">
        <f t="shared" si="133"/>
        <v>TRT-80-10</v>
      </c>
      <c r="M697" s="82">
        <v>42401</v>
      </c>
      <c r="N697" s="2">
        <v>40000</v>
      </c>
    </row>
    <row r="698" spans="1:14" x14ac:dyDescent="0.35">
      <c r="A698" s="52" t="s">
        <v>6063</v>
      </c>
      <c r="C698" s="30" t="s">
        <v>20980</v>
      </c>
      <c r="D698" s="30" t="str">
        <f>"""TRUST Nav"",""HSPMTB2016"",""21"",""1"",""85263"""</f>
        <v>"TRUST Nav","HSPMTB2016","21","1","85263"</v>
      </c>
      <c r="I698" s="52" t="str">
        <f t="shared" si="134"/>
        <v>KK-04624|42430|TRT-80-10</v>
      </c>
      <c r="J698" s="52" t="str">
        <f t="shared" si="137"/>
        <v>KK-04624</v>
      </c>
      <c r="K698" s="52" t="str">
        <f t="shared" si="138"/>
        <v>Yohanes Hendy Setiawan</v>
      </c>
      <c r="L698" s="52" t="str">
        <f t="shared" si="133"/>
        <v>TRT-80-10</v>
      </c>
      <c r="M698" s="82">
        <v>42430</v>
      </c>
      <c r="N698" s="2">
        <v>40000</v>
      </c>
    </row>
    <row r="699" spans="1:14" x14ac:dyDescent="0.35">
      <c r="A699" s="52" t="s">
        <v>6063</v>
      </c>
      <c r="C699" s="30" t="s">
        <v>20980</v>
      </c>
      <c r="D699" s="30" t="str">
        <f>"""TRUST Nav"",""HSPMTB2016"",""21"",""1"",""85264"""</f>
        <v>"TRUST Nav","HSPMTB2016","21","1","85264"</v>
      </c>
      <c r="I699" s="52" t="str">
        <f t="shared" si="134"/>
        <v>KK-04624|42461|TRT-80-10</v>
      </c>
      <c r="J699" s="52" t="str">
        <f t="shared" si="137"/>
        <v>KK-04624</v>
      </c>
      <c r="K699" s="52" t="str">
        <f t="shared" si="138"/>
        <v>Yohanes Hendy Setiawan</v>
      </c>
      <c r="L699" s="52" t="str">
        <f t="shared" si="133"/>
        <v>TRT-80-10</v>
      </c>
      <c r="M699" s="82">
        <v>42461</v>
      </c>
      <c r="N699" s="2">
        <v>40000</v>
      </c>
    </row>
    <row r="700" spans="1:14" x14ac:dyDescent="0.35">
      <c r="A700" s="52" t="s">
        <v>6063</v>
      </c>
      <c r="C700" s="30" t="s">
        <v>20980</v>
      </c>
      <c r="D700" s="30" t="str">
        <f>"""TRUST Nav"",""HSPMTB2016"",""21"",""1"",""85265"""</f>
        <v>"TRUST Nav","HSPMTB2016","21","1","85265"</v>
      </c>
      <c r="I700" s="52" t="str">
        <f t="shared" si="134"/>
        <v>KK-04624|42491|TRT-80-10</v>
      </c>
      <c r="J700" s="52" t="str">
        <f t="shared" si="137"/>
        <v>KK-04624</v>
      </c>
      <c r="K700" s="52" t="str">
        <f t="shared" si="138"/>
        <v>Yohanes Hendy Setiawan</v>
      </c>
      <c r="L700" s="52" t="str">
        <f t="shared" si="133"/>
        <v>TRT-80-10</v>
      </c>
      <c r="M700" s="82">
        <v>42491</v>
      </c>
      <c r="N700" s="2">
        <v>40000</v>
      </c>
    </row>
    <row r="701" spans="1:14" x14ac:dyDescent="0.35">
      <c r="A701" s="52" t="s">
        <v>6063</v>
      </c>
      <c r="C701" s="30" t="s">
        <v>20980</v>
      </c>
      <c r="D701" s="30" t="str">
        <f>"""TRUST Nav"",""HSPMTB2016"",""21"",""1"",""85266"""</f>
        <v>"TRUST Nav","HSPMTB2016","21","1","85266"</v>
      </c>
      <c r="I701" s="52" t="str">
        <f t="shared" si="134"/>
        <v>KK-04624|42522|TRT-80-10</v>
      </c>
      <c r="J701" s="52" t="str">
        <f t="shared" si="137"/>
        <v>KK-04624</v>
      </c>
      <c r="K701" s="52" t="str">
        <f t="shared" si="138"/>
        <v>Yohanes Hendy Setiawan</v>
      </c>
      <c r="L701" s="52" t="str">
        <f t="shared" si="133"/>
        <v>TRT-80-10</v>
      </c>
      <c r="M701" s="82">
        <v>42522</v>
      </c>
      <c r="N701" s="2">
        <v>40000</v>
      </c>
    </row>
    <row r="702" spans="1:14" x14ac:dyDescent="0.35">
      <c r="A702" s="52" t="s">
        <v>6063</v>
      </c>
      <c r="C702" s="30" t="s">
        <v>20980</v>
      </c>
      <c r="D702" s="30" t="str">
        <f>"""TRUST Nav"",""HSPMTB2016"",""21"",""1"",""122093"""</f>
        <v>"TRUST Nav","HSPMTB2016","21","1","122093"</v>
      </c>
      <c r="I702" s="52" t="str">
        <f t="shared" si="134"/>
        <v>KK-04624|42552|TRT-80-10</v>
      </c>
      <c r="J702" s="52" t="str">
        <f t="shared" si="137"/>
        <v>KK-04624</v>
      </c>
      <c r="K702" s="52" t="str">
        <f t="shared" si="138"/>
        <v>Yohanes Hendy Setiawan</v>
      </c>
      <c r="L702" s="52" t="str">
        <f t="shared" si="133"/>
        <v>TRT-80-10</v>
      </c>
      <c r="M702" s="82">
        <v>42552</v>
      </c>
      <c r="N702" s="2">
        <v>40000</v>
      </c>
    </row>
    <row r="703" spans="1:14" x14ac:dyDescent="0.35">
      <c r="A703" s="52" t="s">
        <v>6063</v>
      </c>
      <c r="C703" s="30" t="s">
        <v>20980</v>
      </c>
      <c r="D703" s="30" t="str">
        <f>"""TRUST Nav"",""HSPMTB2016"",""21"",""1"",""122094"""</f>
        <v>"TRUST Nav","HSPMTB2016","21","1","122094"</v>
      </c>
      <c r="I703" s="52" t="str">
        <f t="shared" si="134"/>
        <v>KK-04624|42583|TRT-80-10</v>
      </c>
      <c r="J703" s="52" t="str">
        <f t="shared" si="137"/>
        <v>KK-04624</v>
      </c>
      <c r="K703" s="52" t="str">
        <f t="shared" si="138"/>
        <v>Yohanes Hendy Setiawan</v>
      </c>
      <c r="L703" s="52" t="str">
        <f t="shared" si="133"/>
        <v>TRT-80-10</v>
      </c>
      <c r="M703" s="82">
        <v>42583</v>
      </c>
      <c r="N703" s="2">
        <v>40000</v>
      </c>
    </row>
    <row r="704" spans="1:14" x14ac:dyDescent="0.35">
      <c r="A704" s="52" t="s">
        <v>6063</v>
      </c>
      <c r="C704" s="30" t="s">
        <v>20980</v>
      </c>
      <c r="D704" s="30" t="str">
        <f>"""TRUST Nav"",""HSPMTB2016"",""21"",""1"",""122095"""</f>
        <v>"TRUST Nav","HSPMTB2016","21","1","122095"</v>
      </c>
      <c r="I704" s="52" t="str">
        <f t="shared" si="134"/>
        <v>KK-04624|42614|TRT-80-10</v>
      </c>
      <c r="J704" s="52" t="str">
        <f t="shared" si="137"/>
        <v>KK-04624</v>
      </c>
      <c r="K704" s="52" t="str">
        <f t="shared" si="138"/>
        <v>Yohanes Hendy Setiawan</v>
      </c>
      <c r="L704" s="52" t="str">
        <f t="shared" si="133"/>
        <v>TRT-80-10</v>
      </c>
      <c r="M704" s="82">
        <v>42614</v>
      </c>
      <c r="N704" s="2">
        <v>40000</v>
      </c>
    </row>
    <row r="705" spans="1:14" x14ac:dyDescent="0.35">
      <c r="A705" s="52" t="s">
        <v>6063</v>
      </c>
      <c r="C705" s="30" t="s">
        <v>20980</v>
      </c>
      <c r="D705" s="30" t="str">
        <f>"""TRUST Nav"",""HSPMTB2016"",""21"",""1"",""3696"""</f>
        <v>"TRUST Nav","HSPMTB2016","21","1","3696"</v>
      </c>
      <c r="I705" s="52" t="str">
        <f t="shared" si="134"/>
        <v>KK-04625|42186|TRT-80-10</v>
      </c>
      <c r="J705" s="52" t="str">
        <f t="shared" ref="J705:J720" si="139">"KK-04625"</f>
        <v>KK-04625</v>
      </c>
      <c r="K705" s="52" t="str">
        <f t="shared" ref="K705:K720" si="140">"Yunius Samara"</f>
        <v>Yunius Samara</v>
      </c>
      <c r="L705" s="52" t="str">
        <f t="shared" si="133"/>
        <v>TRT-80-10</v>
      </c>
      <c r="M705" s="82">
        <v>42186</v>
      </c>
      <c r="N705" s="2">
        <v>100000.00000000001</v>
      </c>
    </row>
    <row r="706" spans="1:14" x14ac:dyDescent="0.35">
      <c r="A706" s="52" t="s">
        <v>6063</v>
      </c>
      <c r="C706" s="30" t="s">
        <v>20980</v>
      </c>
      <c r="D706" s="30" t="str">
        <f>"""TRUST Nav"",""HSPMTB2016"",""21"",""1"",""3697"""</f>
        <v>"TRUST Nav","HSPMTB2016","21","1","3697"</v>
      </c>
      <c r="I706" s="52" t="str">
        <f t="shared" si="134"/>
        <v>KK-04625|42217|TRT-80-10</v>
      </c>
      <c r="J706" s="52" t="str">
        <f t="shared" si="139"/>
        <v>KK-04625</v>
      </c>
      <c r="K706" s="52" t="str">
        <f t="shared" si="140"/>
        <v>Yunius Samara</v>
      </c>
      <c r="L706" s="52" t="str">
        <f t="shared" si="133"/>
        <v>TRT-80-10</v>
      </c>
      <c r="M706" s="82">
        <v>42217</v>
      </c>
      <c r="N706" s="2">
        <v>100000.00000000001</v>
      </c>
    </row>
    <row r="707" spans="1:14" x14ac:dyDescent="0.35">
      <c r="A707" s="52" t="s">
        <v>6063</v>
      </c>
      <c r="C707" s="30" t="s">
        <v>20980</v>
      </c>
      <c r="D707" s="30" t="str">
        <f>"""TRUST Nav"",""HSPMTB2016"",""21"",""1"",""3698"""</f>
        <v>"TRUST Nav","HSPMTB2016","21","1","3698"</v>
      </c>
      <c r="I707" s="52" t="str">
        <f t="shared" si="134"/>
        <v>KK-04625|42248|TRT-80-10</v>
      </c>
      <c r="J707" s="52" t="str">
        <f t="shared" si="139"/>
        <v>KK-04625</v>
      </c>
      <c r="K707" s="52" t="str">
        <f t="shared" si="140"/>
        <v>Yunius Samara</v>
      </c>
      <c r="L707" s="52" t="str">
        <f t="shared" si="133"/>
        <v>TRT-80-10</v>
      </c>
      <c r="M707" s="82">
        <v>42248</v>
      </c>
      <c r="N707" s="2">
        <v>100000.00000000001</v>
      </c>
    </row>
    <row r="708" spans="1:14" x14ac:dyDescent="0.35">
      <c r="A708" s="52" t="s">
        <v>6063</v>
      </c>
      <c r="C708" s="30" t="s">
        <v>20980</v>
      </c>
      <c r="D708" s="30" t="str">
        <f>"""TRUST Nav"",""HSPMTB2016"",""21"",""1"",""3699"""</f>
        <v>"TRUST Nav","HSPMTB2016","21","1","3699"</v>
      </c>
      <c r="I708" s="52" t="str">
        <f t="shared" si="134"/>
        <v>KK-04625|42278|TRT-80-10</v>
      </c>
      <c r="J708" s="52" t="str">
        <f t="shared" si="139"/>
        <v>KK-04625</v>
      </c>
      <c r="K708" s="52" t="str">
        <f t="shared" si="140"/>
        <v>Yunius Samara</v>
      </c>
      <c r="L708" s="52" t="str">
        <f t="shared" si="133"/>
        <v>TRT-80-10</v>
      </c>
      <c r="M708" s="82">
        <v>42278</v>
      </c>
      <c r="N708" s="2">
        <v>100000.00000000001</v>
      </c>
    </row>
    <row r="709" spans="1:14" x14ac:dyDescent="0.35">
      <c r="A709" s="52" t="s">
        <v>6063</v>
      </c>
      <c r="C709" s="30" t="s">
        <v>20980</v>
      </c>
      <c r="D709" s="30" t="str">
        <f>"""TRUST Nav"",""HSPMTB2016"",""21"",""1"",""3700"""</f>
        <v>"TRUST Nav","HSPMTB2016","21","1","3700"</v>
      </c>
      <c r="I709" s="52" t="str">
        <f t="shared" si="134"/>
        <v>KK-04625|42309|TRT-80-10</v>
      </c>
      <c r="J709" s="52" t="str">
        <f t="shared" si="139"/>
        <v>KK-04625</v>
      </c>
      <c r="K709" s="52" t="str">
        <f t="shared" si="140"/>
        <v>Yunius Samara</v>
      </c>
      <c r="L709" s="52" t="str">
        <f t="shared" si="133"/>
        <v>TRT-80-10</v>
      </c>
      <c r="M709" s="82">
        <v>42309</v>
      </c>
      <c r="N709" s="2">
        <v>100000.00000000001</v>
      </c>
    </row>
    <row r="710" spans="1:14" x14ac:dyDescent="0.35">
      <c r="A710" s="52" t="s">
        <v>6063</v>
      </c>
      <c r="C710" s="30" t="s">
        <v>20980</v>
      </c>
      <c r="D710" s="30" t="str">
        <f>"""TRUST Nav"",""HSPMTB2016"",""21"",""1"",""3701"""</f>
        <v>"TRUST Nav","HSPMTB2016","21","1","3701"</v>
      </c>
      <c r="I710" s="52" t="str">
        <f t="shared" si="134"/>
        <v>KK-04625|42339|TRT-80-10</v>
      </c>
      <c r="J710" s="52" t="str">
        <f t="shared" si="139"/>
        <v>KK-04625</v>
      </c>
      <c r="K710" s="52" t="str">
        <f t="shared" si="140"/>
        <v>Yunius Samara</v>
      </c>
      <c r="L710" s="52" t="str">
        <f t="shared" si="133"/>
        <v>TRT-80-10</v>
      </c>
      <c r="M710" s="82">
        <v>42339</v>
      </c>
      <c r="N710" s="2">
        <v>100000.00000000001</v>
      </c>
    </row>
    <row r="711" spans="1:14" x14ac:dyDescent="0.35">
      <c r="A711" s="52" t="s">
        <v>6063</v>
      </c>
      <c r="C711" s="30" t="s">
        <v>20980</v>
      </c>
      <c r="D711" s="30" t="str">
        <f>"""TRUST Nav"",""HSPMTB2016"",""21"",""1"",""37495"""</f>
        <v>"TRUST Nav","HSPMTB2016","21","1","37495"</v>
      </c>
      <c r="I711" s="52" t="str">
        <f t="shared" si="134"/>
        <v>KK-04625|42368|TRT-80-10</v>
      </c>
      <c r="J711" s="52" t="str">
        <f t="shared" si="139"/>
        <v>KK-04625</v>
      </c>
      <c r="K711" s="52" t="str">
        <f t="shared" si="140"/>
        <v>Yunius Samara</v>
      </c>
      <c r="L711" s="52" t="str">
        <f t="shared" si="133"/>
        <v>TRT-80-10</v>
      </c>
      <c r="M711" s="82">
        <v>42368</v>
      </c>
      <c r="N711" s="2">
        <v>100000.00000000001</v>
      </c>
    </row>
    <row r="712" spans="1:14" x14ac:dyDescent="0.35">
      <c r="A712" s="52" t="s">
        <v>6063</v>
      </c>
      <c r="C712" s="30" t="s">
        <v>20980</v>
      </c>
      <c r="D712" s="30" t="str">
        <f>"""TRUST Nav"",""HSPMTB2016"",""21"",""1"",""37496"""</f>
        <v>"TRUST Nav","HSPMTB2016","21","1","37496"</v>
      </c>
      <c r="I712" s="52" t="str">
        <f t="shared" si="134"/>
        <v>KK-04625|42368|TRT-80-10</v>
      </c>
      <c r="J712" s="52" t="str">
        <f t="shared" si="139"/>
        <v>KK-04625</v>
      </c>
      <c r="K712" s="52" t="str">
        <f t="shared" si="140"/>
        <v>Yunius Samara</v>
      </c>
      <c r="L712" s="52" t="str">
        <f t="shared" si="133"/>
        <v>TRT-80-10</v>
      </c>
      <c r="M712" s="82">
        <v>42368</v>
      </c>
      <c r="N712" s="2">
        <v>100000.00000000001</v>
      </c>
    </row>
    <row r="713" spans="1:14" x14ac:dyDescent="0.35">
      <c r="A713" s="52" t="s">
        <v>6063</v>
      </c>
      <c r="C713" s="30" t="s">
        <v>20980</v>
      </c>
      <c r="D713" s="30" t="str">
        <f>"""TRUST Nav"",""HSPMTB2016"",""21"",""1"",""37497"""</f>
        <v>"TRUST Nav","HSPMTB2016","21","1","37497"</v>
      </c>
      <c r="I713" s="52" t="str">
        <f t="shared" si="134"/>
        <v>KK-04625|42368|TRT-80-10</v>
      </c>
      <c r="J713" s="52" t="str">
        <f t="shared" si="139"/>
        <v>KK-04625</v>
      </c>
      <c r="K713" s="52" t="str">
        <f t="shared" si="140"/>
        <v>Yunius Samara</v>
      </c>
      <c r="L713" s="52" t="str">
        <f t="shared" si="133"/>
        <v>TRT-80-10</v>
      </c>
      <c r="M713" s="82">
        <v>42368</v>
      </c>
      <c r="N713" s="2">
        <v>100000.00000000001</v>
      </c>
    </row>
    <row r="714" spans="1:14" x14ac:dyDescent="0.35">
      <c r="A714" s="52" t="s">
        <v>6063</v>
      </c>
      <c r="C714" s="30" t="s">
        <v>20980</v>
      </c>
      <c r="D714" s="30" t="str">
        <f>"""TRUST Nav"",""HSPMTB2016"",""21"",""1"",""37498"""</f>
        <v>"TRUST Nav","HSPMTB2016","21","1","37498"</v>
      </c>
      <c r="I714" s="52" t="str">
        <f t="shared" si="134"/>
        <v>KK-04625|42368|TRT-80-10</v>
      </c>
      <c r="J714" s="52" t="str">
        <f t="shared" si="139"/>
        <v>KK-04625</v>
      </c>
      <c r="K714" s="52" t="str">
        <f t="shared" si="140"/>
        <v>Yunius Samara</v>
      </c>
      <c r="L714" s="52" t="str">
        <f t="shared" ref="L714:L771" si="141">"TRT-80-10"</f>
        <v>TRT-80-10</v>
      </c>
      <c r="M714" s="82">
        <v>42368</v>
      </c>
      <c r="N714" s="2">
        <v>100000.00000000001</v>
      </c>
    </row>
    <row r="715" spans="1:14" x14ac:dyDescent="0.35">
      <c r="A715" s="52" t="s">
        <v>6063</v>
      </c>
      <c r="C715" s="30" t="s">
        <v>20980</v>
      </c>
      <c r="D715" s="30" t="str">
        <f>"""TRUST Nav"",""HSPMTB2016"",""21"",""1"",""37499"""</f>
        <v>"TRUST Nav","HSPMTB2016","21","1","37499"</v>
      </c>
      <c r="I715" s="52" t="str">
        <f t="shared" ref="I715:I771" si="142">CONCATENATE(J715,"|",M715,"|",L715)</f>
        <v>KK-04625|42368|TRT-80-10</v>
      </c>
      <c r="J715" s="52" t="str">
        <f t="shared" si="139"/>
        <v>KK-04625</v>
      </c>
      <c r="K715" s="52" t="str">
        <f t="shared" si="140"/>
        <v>Yunius Samara</v>
      </c>
      <c r="L715" s="52" t="str">
        <f t="shared" si="141"/>
        <v>TRT-80-10</v>
      </c>
      <c r="M715" s="82">
        <v>42368</v>
      </c>
      <c r="N715" s="2">
        <v>100000.00000000001</v>
      </c>
    </row>
    <row r="716" spans="1:14" x14ac:dyDescent="0.35">
      <c r="A716" s="52" t="s">
        <v>6063</v>
      </c>
      <c r="C716" s="30" t="s">
        <v>20980</v>
      </c>
      <c r="D716" s="30" t="str">
        <f>"""TRUST Nav"",""HSPMTB2016"",""21"",""1"",""37500"""</f>
        <v>"TRUST Nav","HSPMTB2016","21","1","37500"</v>
      </c>
      <c r="I716" s="52" t="str">
        <f t="shared" si="142"/>
        <v>KK-04625|42368|TRT-80-10</v>
      </c>
      <c r="J716" s="52" t="str">
        <f t="shared" si="139"/>
        <v>KK-04625</v>
      </c>
      <c r="K716" s="52" t="str">
        <f t="shared" si="140"/>
        <v>Yunius Samara</v>
      </c>
      <c r="L716" s="52" t="str">
        <f t="shared" si="141"/>
        <v>TRT-80-10</v>
      </c>
      <c r="M716" s="82">
        <v>42368</v>
      </c>
      <c r="N716" s="2">
        <v>100000.00000000001</v>
      </c>
    </row>
    <row r="717" spans="1:14" x14ac:dyDescent="0.35">
      <c r="A717" s="52" t="s">
        <v>6063</v>
      </c>
      <c r="C717" s="30" t="s">
        <v>20980</v>
      </c>
      <c r="D717" s="30" t="str">
        <f>"""TRUST Nav"",""HSPMTB2016"",""21"",""1"",""73456"""</f>
        <v>"TRUST Nav","HSPMTB2016","21","1","73456"</v>
      </c>
      <c r="I717" s="52" t="str">
        <f t="shared" si="142"/>
        <v>KK-04625|42370|TRT-80-10</v>
      </c>
      <c r="J717" s="52" t="str">
        <f t="shared" si="139"/>
        <v>KK-04625</v>
      </c>
      <c r="K717" s="52" t="str">
        <f t="shared" si="140"/>
        <v>Yunius Samara</v>
      </c>
      <c r="L717" s="52" t="str">
        <f t="shared" si="141"/>
        <v>TRT-80-10</v>
      </c>
      <c r="M717" s="82">
        <v>42370</v>
      </c>
      <c r="N717" s="2">
        <v>100000.00000000001</v>
      </c>
    </row>
    <row r="718" spans="1:14" x14ac:dyDescent="0.35">
      <c r="A718" s="52" t="s">
        <v>6063</v>
      </c>
      <c r="C718" s="30" t="s">
        <v>20980</v>
      </c>
      <c r="D718" s="30" t="str">
        <f>"""TRUST Nav"",""HSPMTB2016"",""21"",""1"",""102580"""</f>
        <v>"TRUST Nav","HSPMTB2016","21","1","102580"</v>
      </c>
      <c r="I718" s="52" t="str">
        <f t="shared" si="142"/>
        <v>KK-04625|42401|TRT-80-10</v>
      </c>
      <c r="J718" s="52" t="str">
        <f t="shared" si="139"/>
        <v>KK-04625</v>
      </c>
      <c r="K718" s="52" t="str">
        <f t="shared" si="140"/>
        <v>Yunius Samara</v>
      </c>
      <c r="L718" s="52" t="str">
        <f t="shared" si="141"/>
        <v>TRT-80-10</v>
      </c>
      <c r="M718" s="82">
        <v>42401</v>
      </c>
      <c r="N718" s="2">
        <v>100000.00000000001</v>
      </c>
    </row>
    <row r="719" spans="1:14" x14ac:dyDescent="0.35">
      <c r="A719" s="52" t="s">
        <v>6063</v>
      </c>
      <c r="C719" s="30" t="s">
        <v>20980</v>
      </c>
      <c r="D719" s="30" t="str">
        <f>"""TRUST Nav"",""HSPMTB2016"",""21"",""1"",""102581"""</f>
        <v>"TRUST Nav","HSPMTB2016","21","1","102581"</v>
      </c>
      <c r="I719" s="52" t="str">
        <f t="shared" si="142"/>
        <v>KK-04625|42430|TRT-80-10</v>
      </c>
      <c r="J719" s="52" t="str">
        <f t="shared" si="139"/>
        <v>KK-04625</v>
      </c>
      <c r="K719" s="52" t="str">
        <f t="shared" si="140"/>
        <v>Yunius Samara</v>
      </c>
      <c r="L719" s="52" t="str">
        <f t="shared" si="141"/>
        <v>TRT-80-10</v>
      </c>
      <c r="M719" s="82">
        <v>42430</v>
      </c>
      <c r="N719" s="2">
        <v>100000.00000000001</v>
      </c>
    </row>
    <row r="720" spans="1:14" x14ac:dyDescent="0.35">
      <c r="A720" s="52" t="s">
        <v>6063</v>
      </c>
      <c r="C720" s="30" t="s">
        <v>20980</v>
      </c>
      <c r="D720" s="30" t="str">
        <f>"""TRUST Nav"",""HSPMTB2016"",""21"",""1"",""102582"""</f>
        <v>"TRUST Nav","HSPMTB2016","21","1","102582"</v>
      </c>
      <c r="I720" s="52" t="str">
        <f t="shared" si="142"/>
        <v>KK-04625|42461|TRT-80-10</v>
      </c>
      <c r="J720" s="52" t="str">
        <f t="shared" si="139"/>
        <v>KK-04625</v>
      </c>
      <c r="K720" s="52" t="str">
        <f t="shared" si="140"/>
        <v>Yunius Samara</v>
      </c>
      <c r="L720" s="52" t="str">
        <f t="shared" si="141"/>
        <v>TRT-80-10</v>
      </c>
      <c r="M720" s="82">
        <v>42461</v>
      </c>
      <c r="N720" s="2">
        <v>100000.00000000001</v>
      </c>
    </row>
    <row r="721" spans="1:14" x14ac:dyDescent="0.35">
      <c r="A721" s="52" t="s">
        <v>6063</v>
      </c>
      <c r="C721" s="30" t="s">
        <v>20980</v>
      </c>
      <c r="D721" s="30" t="str">
        <f>"""TRUST Nav"",""HSPMTB2016"",""21"",""1"",""3702"""</f>
        <v>"TRUST Nav","HSPMTB2016","21","1","3702"</v>
      </c>
      <c r="I721" s="52" t="str">
        <f t="shared" si="142"/>
        <v>KK-04626|42186|TRT-80-10</v>
      </c>
      <c r="J721" s="52" t="str">
        <f t="shared" ref="J721:J740" si="143">"KK-04626"</f>
        <v>KK-04626</v>
      </c>
      <c r="K721" s="52" t="str">
        <f t="shared" ref="K721:K740" si="144">"Hadi Suwana"</f>
        <v>Hadi Suwana</v>
      </c>
      <c r="L721" s="52" t="str">
        <f t="shared" si="141"/>
        <v>TRT-80-10</v>
      </c>
      <c r="M721" s="82">
        <v>42186</v>
      </c>
      <c r="N721" s="2">
        <v>25000.000000000004</v>
      </c>
    </row>
    <row r="722" spans="1:14" x14ac:dyDescent="0.35">
      <c r="A722" s="52" t="s">
        <v>6063</v>
      </c>
      <c r="C722" s="30" t="s">
        <v>20980</v>
      </c>
      <c r="D722" s="30" t="str">
        <f>"""TRUST Nav"",""HSPMTB2016"",""21"",""1"",""3703"""</f>
        <v>"TRUST Nav","HSPMTB2016","21","1","3703"</v>
      </c>
      <c r="I722" s="52" t="str">
        <f t="shared" si="142"/>
        <v>KK-04626|42217|TRT-80-10</v>
      </c>
      <c r="J722" s="52" t="str">
        <f t="shared" si="143"/>
        <v>KK-04626</v>
      </c>
      <c r="K722" s="52" t="str">
        <f t="shared" si="144"/>
        <v>Hadi Suwana</v>
      </c>
      <c r="L722" s="52" t="str">
        <f t="shared" si="141"/>
        <v>TRT-80-10</v>
      </c>
      <c r="M722" s="82">
        <v>42217</v>
      </c>
      <c r="N722" s="2">
        <v>25000.000000000004</v>
      </c>
    </row>
    <row r="723" spans="1:14" x14ac:dyDescent="0.35">
      <c r="A723" s="52" t="s">
        <v>6063</v>
      </c>
      <c r="C723" s="30" t="s">
        <v>20980</v>
      </c>
      <c r="D723" s="30" t="str">
        <f>"""TRUST Nav"",""HSPMTB2016"",""21"",""1"",""3704"""</f>
        <v>"TRUST Nav","HSPMTB2016","21","1","3704"</v>
      </c>
      <c r="I723" s="52" t="str">
        <f t="shared" si="142"/>
        <v>KK-04626|42248|TRT-80-10</v>
      </c>
      <c r="J723" s="52" t="str">
        <f t="shared" si="143"/>
        <v>KK-04626</v>
      </c>
      <c r="K723" s="52" t="str">
        <f t="shared" si="144"/>
        <v>Hadi Suwana</v>
      </c>
      <c r="L723" s="52" t="str">
        <f t="shared" si="141"/>
        <v>TRT-80-10</v>
      </c>
      <c r="M723" s="82">
        <v>42248</v>
      </c>
      <c r="N723" s="2">
        <v>25000.000000000004</v>
      </c>
    </row>
    <row r="724" spans="1:14" x14ac:dyDescent="0.35">
      <c r="A724" s="52" t="s">
        <v>6063</v>
      </c>
      <c r="C724" s="30" t="s">
        <v>20980</v>
      </c>
      <c r="D724" s="30" t="str">
        <f>"""TRUST Nav"",""HSPMTB2016"",""21"",""1"",""3705"""</f>
        <v>"TRUST Nav","HSPMTB2016","21","1","3705"</v>
      </c>
      <c r="I724" s="52" t="str">
        <f t="shared" si="142"/>
        <v>KK-04626|42278|TRT-80-10</v>
      </c>
      <c r="J724" s="52" t="str">
        <f t="shared" si="143"/>
        <v>KK-04626</v>
      </c>
      <c r="K724" s="52" t="str">
        <f t="shared" si="144"/>
        <v>Hadi Suwana</v>
      </c>
      <c r="L724" s="52" t="str">
        <f t="shared" si="141"/>
        <v>TRT-80-10</v>
      </c>
      <c r="M724" s="82">
        <v>42278</v>
      </c>
      <c r="N724" s="2">
        <v>25000.000000000004</v>
      </c>
    </row>
    <row r="725" spans="1:14" x14ac:dyDescent="0.35">
      <c r="A725" s="52" t="s">
        <v>6063</v>
      </c>
      <c r="C725" s="30" t="s">
        <v>20980</v>
      </c>
      <c r="D725" s="30" t="str">
        <f>"""TRUST Nav"",""HSPMTB2016"",""21"",""1"",""3706"""</f>
        <v>"TRUST Nav","HSPMTB2016","21","1","3706"</v>
      </c>
      <c r="I725" s="52" t="str">
        <f t="shared" si="142"/>
        <v>KK-04626|42309|TRT-80-10</v>
      </c>
      <c r="J725" s="52" t="str">
        <f t="shared" si="143"/>
        <v>KK-04626</v>
      </c>
      <c r="K725" s="52" t="str">
        <f t="shared" si="144"/>
        <v>Hadi Suwana</v>
      </c>
      <c r="L725" s="52" t="str">
        <f t="shared" si="141"/>
        <v>TRT-80-10</v>
      </c>
      <c r="M725" s="82">
        <v>42309</v>
      </c>
      <c r="N725" s="2">
        <v>25000.000000000004</v>
      </c>
    </row>
    <row r="726" spans="1:14" x14ac:dyDescent="0.35">
      <c r="A726" s="52" t="s">
        <v>6063</v>
      </c>
      <c r="C726" s="30" t="s">
        <v>20980</v>
      </c>
      <c r="D726" s="30" t="str">
        <f>"""TRUST Nav"",""HSPMTB2016"",""21"",""1"",""3707"""</f>
        <v>"TRUST Nav","HSPMTB2016","21","1","3707"</v>
      </c>
      <c r="I726" s="52" t="str">
        <f t="shared" si="142"/>
        <v>KK-04626|42339|TRT-80-10</v>
      </c>
      <c r="J726" s="52" t="str">
        <f t="shared" si="143"/>
        <v>KK-04626</v>
      </c>
      <c r="K726" s="52" t="str">
        <f t="shared" si="144"/>
        <v>Hadi Suwana</v>
      </c>
      <c r="L726" s="52" t="str">
        <f t="shared" si="141"/>
        <v>TRT-80-10</v>
      </c>
      <c r="M726" s="82">
        <v>42339</v>
      </c>
      <c r="N726" s="2">
        <v>25000.000000000004</v>
      </c>
    </row>
    <row r="727" spans="1:14" x14ac:dyDescent="0.35">
      <c r="A727" s="52" t="s">
        <v>6063</v>
      </c>
      <c r="C727" s="30" t="s">
        <v>20980</v>
      </c>
      <c r="D727" s="30" t="str">
        <f>"""TRUST Nav"",""HSPMTB2016"",""21"",""1"",""37501"""</f>
        <v>"TRUST Nav","HSPMTB2016","21","1","37501"</v>
      </c>
      <c r="I727" s="52" t="str">
        <f t="shared" si="142"/>
        <v>KK-04626|42368|TRT-80-10</v>
      </c>
      <c r="J727" s="52" t="str">
        <f t="shared" si="143"/>
        <v>KK-04626</v>
      </c>
      <c r="K727" s="52" t="str">
        <f t="shared" si="144"/>
        <v>Hadi Suwana</v>
      </c>
      <c r="L727" s="52" t="str">
        <f t="shared" si="141"/>
        <v>TRT-80-10</v>
      </c>
      <c r="M727" s="82">
        <v>42368</v>
      </c>
      <c r="N727" s="2">
        <v>25000.000000000004</v>
      </c>
    </row>
    <row r="728" spans="1:14" x14ac:dyDescent="0.35">
      <c r="A728" s="52" t="s">
        <v>6063</v>
      </c>
      <c r="C728" s="30" t="s">
        <v>20980</v>
      </c>
      <c r="D728" s="30" t="str">
        <f>"""TRUST Nav"",""HSPMTB2016"",""21"",""1"",""37502"""</f>
        <v>"TRUST Nav","HSPMTB2016","21","1","37502"</v>
      </c>
      <c r="I728" s="52" t="str">
        <f t="shared" si="142"/>
        <v>KK-04626|42368|TRT-80-10</v>
      </c>
      <c r="J728" s="52" t="str">
        <f t="shared" si="143"/>
        <v>KK-04626</v>
      </c>
      <c r="K728" s="52" t="str">
        <f t="shared" si="144"/>
        <v>Hadi Suwana</v>
      </c>
      <c r="L728" s="52" t="str">
        <f t="shared" si="141"/>
        <v>TRT-80-10</v>
      </c>
      <c r="M728" s="82">
        <v>42368</v>
      </c>
      <c r="N728" s="2">
        <v>25000.000000000004</v>
      </c>
    </row>
    <row r="729" spans="1:14" x14ac:dyDescent="0.35">
      <c r="A729" s="52" t="s">
        <v>6063</v>
      </c>
      <c r="C729" s="30" t="s">
        <v>20980</v>
      </c>
      <c r="D729" s="30" t="str">
        <f>"""TRUST Nav"",""HSPMTB2016"",""21"",""1"",""37503"""</f>
        <v>"TRUST Nav","HSPMTB2016","21","1","37503"</v>
      </c>
      <c r="I729" s="52" t="str">
        <f t="shared" si="142"/>
        <v>KK-04626|42368|TRT-80-10</v>
      </c>
      <c r="J729" s="52" t="str">
        <f t="shared" si="143"/>
        <v>KK-04626</v>
      </c>
      <c r="K729" s="52" t="str">
        <f t="shared" si="144"/>
        <v>Hadi Suwana</v>
      </c>
      <c r="L729" s="52" t="str">
        <f t="shared" si="141"/>
        <v>TRT-80-10</v>
      </c>
      <c r="M729" s="82">
        <v>42368</v>
      </c>
      <c r="N729" s="2">
        <v>25000.000000000004</v>
      </c>
    </row>
    <row r="730" spans="1:14" x14ac:dyDescent="0.35">
      <c r="A730" s="52" t="s">
        <v>6063</v>
      </c>
      <c r="C730" s="30" t="s">
        <v>20980</v>
      </c>
      <c r="D730" s="30" t="str">
        <f>"""TRUST Nav"",""HSPMTB2016"",""21"",""1"",""37504"""</f>
        <v>"TRUST Nav","HSPMTB2016","21","1","37504"</v>
      </c>
      <c r="I730" s="52" t="str">
        <f t="shared" si="142"/>
        <v>KK-04626|42368|TRT-80-10</v>
      </c>
      <c r="J730" s="52" t="str">
        <f t="shared" si="143"/>
        <v>KK-04626</v>
      </c>
      <c r="K730" s="52" t="str">
        <f t="shared" si="144"/>
        <v>Hadi Suwana</v>
      </c>
      <c r="L730" s="52" t="str">
        <f t="shared" si="141"/>
        <v>TRT-80-10</v>
      </c>
      <c r="M730" s="82">
        <v>42368</v>
      </c>
      <c r="N730" s="2">
        <v>25000.000000000004</v>
      </c>
    </row>
    <row r="731" spans="1:14" x14ac:dyDescent="0.35">
      <c r="A731" s="52" t="s">
        <v>6063</v>
      </c>
      <c r="C731" s="30" t="s">
        <v>20980</v>
      </c>
      <c r="D731" s="30" t="str">
        <f>"""TRUST Nav"",""HSPMTB2016"",""21"",""1"",""37505"""</f>
        <v>"TRUST Nav","HSPMTB2016","21","1","37505"</v>
      </c>
      <c r="I731" s="52" t="str">
        <f t="shared" si="142"/>
        <v>KK-04626|42368|TRT-80-10</v>
      </c>
      <c r="J731" s="52" t="str">
        <f t="shared" si="143"/>
        <v>KK-04626</v>
      </c>
      <c r="K731" s="52" t="str">
        <f t="shared" si="144"/>
        <v>Hadi Suwana</v>
      </c>
      <c r="L731" s="52" t="str">
        <f t="shared" si="141"/>
        <v>TRT-80-10</v>
      </c>
      <c r="M731" s="82">
        <v>42368</v>
      </c>
      <c r="N731" s="2">
        <v>25000.000000000004</v>
      </c>
    </row>
    <row r="732" spans="1:14" x14ac:dyDescent="0.35">
      <c r="A732" s="52" t="s">
        <v>6063</v>
      </c>
      <c r="C732" s="30" t="s">
        <v>20980</v>
      </c>
      <c r="D732" s="30" t="str">
        <f>"""TRUST Nav"",""HSPMTB2016"",""21"",""1"",""37506"""</f>
        <v>"TRUST Nav","HSPMTB2016","21","1","37506"</v>
      </c>
      <c r="I732" s="52" t="str">
        <f t="shared" si="142"/>
        <v>KK-04626|42368|TRT-80-10</v>
      </c>
      <c r="J732" s="52" t="str">
        <f t="shared" si="143"/>
        <v>KK-04626</v>
      </c>
      <c r="K732" s="52" t="str">
        <f t="shared" si="144"/>
        <v>Hadi Suwana</v>
      </c>
      <c r="L732" s="52" t="str">
        <f t="shared" si="141"/>
        <v>TRT-80-10</v>
      </c>
      <c r="M732" s="82">
        <v>42368</v>
      </c>
      <c r="N732" s="2">
        <v>25000.000000000004</v>
      </c>
    </row>
    <row r="733" spans="1:14" x14ac:dyDescent="0.35">
      <c r="A733" s="52" t="s">
        <v>6063</v>
      </c>
      <c r="C733" s="30" t="s">
        <v>20980</v>
      </c>
      <c r="D733" s="30" t="str">
        <f>"""TRUST Nav"",""HSPMTB2016"",""21"",""1"",""73440"""</f>
        <v>"TRUST Nav","HSPMTB2016","21","1","73440"</v>
      </c>
      <c r="I733" s="52" t="str">
        <f t="shared" si="142"/>
        <v>KK-04626|42370|TRT-80-10</v>
      </c>
      <c r="J733" s="52" t="str">
        <f t="shared" si="143"/>
        <v>KK-04626</v>
      </c>
      <c r="K733" s="52" t="str">
        <f t="shared" si="144"/>
        <v>Hadi Suwana</v>
      </c>
      <c r="L733" s="52" t="str">
        <f t="shared" si="141"/>
        <v>TRT-80-10</v>
      </c>
      <c r="M733" s="82">
        <v>42370</v>
      </c>
      <c r="N733" s="2">
        <v>25000.000000000004</v>
      </c>
    </row>
    <row r="734" spans="1:14" x14ac:dyDescent="0.35">
      <c r="A734" s="52" t="s">
        <v>6063</v>
      </c>
      <c r="C734" s="30" t="s">
        <v>20980</v>
      </c>
      <c r="D734" s="30" t="str">
        <f>"""TRUST Nav"",""HSPMTB2016"",""21"",""1"",""73441"""</f>
        <v>"TRUST Nav","HSPMTB2016","21","1","73441"</v>
      </c>
      <c r="I734" s="52" t="str">
        <f t="shared" si="142"/>
        <v>KK-04626|42401|TRT-80-10</v>
      </c>
      <c r="J734" s="52" t="str">
        <f t="shared" si="143"/>
        <v>KK-04626</v>
      </c>
      <c r="K734" s="52" t="str">
        <f t="shared" si="144"/>
        <v>Hadi Suwana</v>
      </c>
      <c r="L734" s="52" t="str">
        <f t="shared" si="141"/>
        <v>TRT-80-10</v>
      </c>
      <c r="M734" s="82">
        <v>42401</v>
      </c>
      <c r="N734" s="2">
        <v>25000.000000000004</v>
      </c>
    </row>
    <row r="735" spans="1:14" x14ac:dyDescent="0.35">
      <c r="A735" s="52" t="s">
        <v>6063</v>
      </c>
      <c r="C735" s="30" t="s">
        <v>20980</v>
      </c>
      <c r="D735" s="30" t="str">
        <f>"""TRUST Nav"",""HSPMTB2016"",""21"",""1"",""73442"""</f>
        <v>"TRUST Nav","HSPMTB2016","21","1","73442"</v>
      </c>
      <c r="I735" s="52" t="str">
        <f t="shared" si="142"/>
        <v>KK-04626|42430|TRT-80-10</v>
      </c>
      <c r="J735" s="52" t="str">
        <f t="shared" si="143"/>
        <v>KK-04626</v>
      </c>
      <c r="K735" s="52" t="str">
        <f t="shared" si="144"/>
        <v>Hadi Suwana</v>
      </c>
      <c r="L735" s="52" t="str">
        <f t="shared" si="141"/>
        <v>TRT-80-10</v>
      </c>
      <c r="M735" s="82">
        <v>42430</v>
      </c>
      <c r="N735" s="2">
        <v>25000.000000000004</v>
      </c>
    </row>
    <row r="736" spans="1:14" x14ac:dyDescent="0.35">
      <c r="A736" s="52" t="s">
        <v>6063</v>
      </c>
      <c r="C736" s="30" t="s">
        <v>20980</v>
      </c>
      <c r="D736" s="30" t="str">
        <f>"""TRUST Nav"",""HSPMTB2016"",""21"",""1"",""73443"""</f>
        <v>"TRUST Nav","HSPMTB2016","21","1","73443"</v>
      </c>
      <c r="I736" s="52" t="str">
        <f t="shared" si="142"/>
        <v>KK-04626|42461|TRT-80-10</v>
      </c>
      <c r="J736" s="52" t="str">
        <f t="shared" si="143"/>
        <v>KK-04626</v>
      </c>
      <c r="K736" s="52" t="str">
        <f t="shared" si="144"/>
        <v>Hadi Suwana</v>
      </c>
      <c r="L736" s="52" t="str">
        <f t="shared" si="141"/>
        <v>TRT-80-10</v>
      </c>
      <c r="M736" s="82">
        <v>42461</v>
      </c>
      <c r="N736" s="2">
        <v>25000.000000000004</v>
      </c>
    </row>
    <row r="737" spans="1:14" x14ac:dyDescent="0.35">
      <c r="A737" s="52" t="s">
        <v>6063</v>
      </c>
      <c r="C737" s="30" t="s">
        <v>20980</v>
      </c>
      <c r="D737" s="30" t="str">
        <f>"""TRUST Nav"",""HSPMTB2016"",""21"",""1"",""122064"""</f>
        <v>"TRUST Nav","HSPMTB2016","21","1","122064"</v>
      </c>
      <c r="I737" s="52" t="str">
        <f t="shared" si="142"/>
        <v>KK-04626|42491|TRT-80-10</v>
      </c>
      <c r="J737" s="52" t="str">
        <f t="shared" si="143"/>
        <v>KK-04626</v>
      </c>
      <c r="K737" s="52" t="str">
        <f t="shared" si="144"/>
        <v>Hadi Suwana</v>
      </c>
      <c r="L737" s="52" t="str">
        <f t="shared" si="141"/>
        <v>TRT-80-10</v>
      </c>
      <c r="M737" s="82">
        <v>42491</v>
      </c>
      <c r="N737" s="2">
        <v>25000.000000000004</v>
      </c>
    </row>
    <row r="738" spans="1:14" x14ac:dyDescent="0.35">
      <c r="A738" s="52" t="s">
        <v>6063</v>
      </c>
      <c r="C738" s="30" t="s">
        <v>20980</v>
      </c>
      <c r="D738" s="30" t="str">
        <f>"""TRUST Nav"",""HSPMTB2016"",""21"",""1"",""122065"""</f>
        <v>"TRUST Nav","HSPMTB2016","21","1","122065"</v>
      </c>
      <c r="I738" s="52" t="str">
        <f t="shared" si="142"/>
        <v>KK-04626|42522|TRT-80-10</v>
      </c>
      <c r="J738" s="52" t="str">
        <f t="shared" si="143"/>
        <v>KK-04626</v>
      </c>
      <c r="K738" s="52" t="str">
        <f t="shared" si="144"/>
        <v>Hadi Suwana</v>
      </c>
      <c r="L738" s="52" t="str">
        <f t="shared" si="141"/>
        <v>TRT-80-10</v>
      </c>
      <c r="M738" s="82">
        <v>42522</v>
      </c>
      <c r="N738" s="2">
        <v>25000.000000000004</v>
      </c>
    </row>
    <row r="739" spans="1:14" x14ac:dyDescent="0.35">
      <c r="A739" s="52" t="s">
        <v>6063</v>
      </c>
      <c r="C739" s="30" t="s">
        <v>20980</v>
      </c>
      <c r="D739" s="30" t="str">
        <f>"""TRUST Nav"",""HSPMTB2016"",""21"",""1"",""122066"""</f>
        <v>"TRUST Nav","HSPMTB2016","21","1","122066"</v>
      </c>
      <c r="I739" s="52" t="str">
        <f t="shared" si="142"/>
        <v>KK-04626|42552|TRT-80-10</v>
      </c>
      <c r="J739" s="52" t="str">
        <f t="shared" si="143"/>
        <v>KK-04626</v>
      </c>
      <c r="K739" s="52" t="str">
        <f t="shared" si="144"/>
        <v>Hadi Suwana</v>
      </c>
      <c r="L739" s="52" t="str">
        <f t="shared" si="141"/>
        <v>TRT-80-10</v>
      </c>
      <c r="M739" s="82">
        <v>42552</v>
      </c>
      <c r="N739" s="2">
        <v>25000.000000000004</v>
      </c>
    </row>
    <row r="740" spans="1:14" x14ac:dyDescent="0.35">
      <c r="A740" s="52" t="s">
        <v>6063</v>
      </c>
      <c r="C740" s="30" t="s">
        <v>20980</v>
      </c>
      <c r="D740" s="30" t="str">
        <f>"""TRUST Nav"",""HSPMTB2016"",""21"",""1"",""122067"""</f>
        <v>"TRUST Nav","HSPMTB2016","21","1","122067"</v>
      </c>
      <c r="I740" s="52" t="str">
        <f t="shared" si="142"/>
        <v>KK-04626|42583|TRT-80-10</v>
      </c>
      <c r="J740" s="52" t="str">
        <f t="shared" si="143"/>
        <v>KK-04626</v>
      </c>
      <c r="K740" s="52" t="str">
        <f t="shared" si="144"/>
        <v>Hadi Suwana</v>
      </c>
      <c r="L740" s="52" t="str">
        <f t="shared" si="141"/>
        <v>TRT-80-10</v>
      </c>
      <c r="M740" s="82">
        <v>42583</v>
      </c>
      <c r="N740" s="2">
        <v>25000.000000000004</v>
      </c>
    </row>
    <row r="741" spans="1:14" x14ac:dyDescent="0.35">
      <c r="A741" s="52" t="s">
        <v>6063</v>
      </c>
      <c r="C741" s="30" t="s">
        <v>20980</v>
      </c>
      <c r="D741" s="30" t="str">
        <f>"""TRUST Nav"",""HSPMTB2016"",""21"",""1"",""122053"""</f>
        <v>"TRUST Nav","HSPMTB2016","21","1","122053"</v>
      </c>
      <c r="I741" s="52" t="str">
        <f t="shared" si="142"/>
        <v>KK-05048|42370|TRT-80-10</v>
      </c>
      <c r="J741" s="52" t="str">
        <f>"KK-05048"</f>
        <v>KK-05048</v>
      </c>
      <c r="K741" s="52" t="str">
        <f>"Alfonsus Denny Martaguna"</f>
        <v>Alfonsus Denny Martaguna</v>
      </c>
      <c r="L741" s="52" t="str">
        <f t="shared" si="141"/>
        <v>TRT-80-10</v>
      </c>
      <c r="M741" s="82">
        <v>42370</v>
      </c>
      <c r="N741" s="2">
        <v>10000</v>
      </c>
    </row>
    <row r="742" spans="1:14" x14ac:dyDescent="0.35">
      <c r="A742" s="52" t="s">
        <v>6063</v>
      </c>
      <c r="C742" s="30" t="s">
        <v>20980</v>
      </c>
      <c r="D742" s="30" t="str">
        <f>"""TRUST Nav"",""HSPMTB2016"",""21"",""1"",""122054"""</f>
        <v>"TRUST Nav","HSPMTB2016","21","1","122054"</v>
      </c>
      <c r="I742" s="52" t="str">
        <f t="shared" si="142"/>
        <v>KK-05048|42401|TRT-80-10</v>
      </c>
      <c r="J742" s="52" t="str">
        <f>"KK-05048"</f>
        <v>KK-05048</v>
      </c>
      <c r="K742" s="52" t="str">
        <f>"Alfonsus Denny Martaguna"</f>
        <v>Alfonsus Denny Martaguna</v>
      </c>
      <c r="L742" s="52" t="str">
        <f t="shared" si="141"/>
        <v>TRT-80-10</v>
      </c>
      <c r="M742" s="82">
        <v>42401</v>
      </c>
      <c r="N742" s="2">
        <v>10000</v>
      </c>
    </row>
    <row r="743" spans="1:14" x14ac:dyDescent="0.35">
      <c r="A743" s="52" t="s">
        <v>6063</v>
      </c>
      <c r="C743" s="30" t="s">
        <v>20980</v>
      </c>
      <c r="D743" s="30" t="str">
        <f>"""TRUST Nav"",""HSPMTB2016"",""21"",""1"",""122055"""</f>
        <v>"TRUST Nav","HSPMTB2016","21","1","122055"</v>
      </c>
      <c r="I743" s="52" t="str">
        <f t="shared" si="142"/>
        <v>KK-05048|42430|TRT-80-10</v>
      </c>
      <c r="J743" s="52" t="str">
        <f>"KK-05048"</f>
        <v>KK-05048</v>
      </c>
      <c r="K743" s="52" t="str">
        <f>"Alfonsus Denny Martaguna"</f>
        <v>Alfonsus Denny Martaguna</v>
      </c>
      <c r="L743" s="52" t="str">
        <f t="shared" si="141"/>
        <v>TRT-80-10</v>
      </c>
      <c r="M743" s="82">
        <v>42430</v>
      </c>
      <c r="N743" s="2">
        <v>10000</v>
      </c>
    </row>
    <row r="744" spans="1:14" x14ac:dyDescent="0.35">
      <c r="A744" s="52" t="s">
        <v>6063</v>
      </c>
      <c r="C744" s="30" t="s">
        <v>20980</v>
      </c>
      <c r="D744" s="30" t="str">
        <f>"""TRUST Nav"",""HSPMTB2016"",""21"",""1"",""122056"""</f>
        <v>"TRUST Nav","HSPMTB2016","21","1","122056"</v>
      </c>
      <c r="I744" s="52" t="str">
        <f t="shared" si="142"/>
        <v>KK-05048|42461|TRT-80-10</v>
      </c>
      <c r="J744" s="52" t="str">
        <f>"KK-05048"</f>
        <v>KK-05048</v>
      </c>
      <c r="K744" s="52" t="str">
        <f>"Alfonsus Denny Martaguna"</f>
        <v>Alfonsus Denny Martaguna</v>
      </c>
      <c r="L744" s="52" t="str">
        <f t="shared" si="141"/>
        <v>TRT-80-10</v>
      </c>
      <c r="M744" s="82">
        <v>42461</v>
      </c>
      <c r="N744" s="2">
        <v>10000</v>
      </c>
    </row>
    <row r="745" spans="1:14" x14ac:dyDescent="0.35">
      <c r="A745" s="52" t="s">
        <v>6063</v>
      </c>
      <c r="C745" s="30" t="s">
        <v>20980</v>
      </c>
      <c r="D745" s="30" t="str">
        <f>"""TRUST Nav"",""HSPMTB2016"",""21"",""1"",""122072"""</f>
        <v>"TRUST Nav","HSPMTB2016","21","1","122072"</v>
      </c>
      <c r="I745" s="52" t="str">
        <f t="shared" si="142"/>
        <v>KK-05052|42186|TRT-80-10</v>
      </c>
      <c r="J745" s="52" t="str">
        <f t="shared" ref="J745:J753" si="145">"KK-05052"</f>
        <v>KK-05052</v>
      </c>
      <c r="K745" s="52" t="str">
        <f t="shared" ref="K745:K753" si="146">"Julius Margono Teguh Nugroho"</f>
        <v>Julius Margono Teguh Nugroho</v>
      </c>
      <c r="L745" s="52" t="str">
        <f t="shared" si="141"/>
        <v>TRT-80-10</v>
      </c>
      <c r="M745" s="82">
        <v>42186</v>
      </c>
      <c r="N745" s="2">
        <v>15000</v>
      </c>
    </row>
    <row r="746" spans="1:14" x14ac:dyDescent="0.35">
      <c r="A746" s="52" t="s">
        <v>6063</v>
      </c>
      <c r="C746" s="30" t="s">
        <v>20980</v>
      </c>
      <c r="D746" s="30" t="str">
        <f>"""TRUST Nav"",""HSPMTB2016"",""21"",""1"",""122073"""</f>
        <v>"TRUST Nav","HSPMTB2016","21","1","122073"</v>
      </c>
      <c r="I746" s="52" t="str">
        <f t="shared" si="142"/>
        <v>KK-05052|42217|TRT-80-10</v>
      </c>
      <c r="J746" s="52" t="str">
        <f t="shared" si="145"/>
        <v>KK-05052</v>
      </c>
      <c r="K746" s="52" t="str">
        <f t="shared" si="146"/>
        <v>Julius Margono Teguh Nugroho</v>
      </c>
      <c r="L746" s="52" t="str">
        <f t="shared" si="141"/>
        <v>TRT-80-10</v>
      </c>
      <c r="M746" s="82">
        <v>42217</v>
      </c>
      <c r="N746" s="2">
        <v>15000</v>
      </c>
    </row>
    <row r="747" spans="1:14" x14ac:dyDescent="0.35">
      <c r="A747" s="52" t="s">
        <v>6063</v>
      </c>
      <c r="C747" s="30" t="s">
        <v>20980</v>
      </c>
      <c r="D747" s="30" t="str">
        <f>"""TRUST Nav"",""HSPMTB2016"",""21"",""1"",""122074"""</f>
        <v>"TRUST Nav","HSPMTB2016","21","1","122074"</v>
      </c>
      <c r="I747" s="52" t="str">
        <f t="shared" si="142"/>
        <v>KK-05052|42248|TRT-80-10</v>
      </c>
      <c r="J747" s="52" t="str">
        <f t="shared" si="145"/>
        <v>KK-05052</v>
      </c>
      <c r="K747" s="52" t="str">
        <f t="shared" si="146"/>
        <v>Julius Margono Teguh Nugroho</v>
      </c>
      <c r="L747" s="52" t="str">
        <f t="shared" si="141"/>
        <v>TRT-80-10</v>
      </c>
      <c r="M747" s="82">
        <v>42248</v>
      </c>
      <c r="N747" s="2">
        <v>15000</v>
      </c>
    </row>
    <row r="748" spans="1:14" x14ac:dyDescent="0.35">
      <c r="A748" s="52" t="s">
        <v>6063</v>
      </c>
      <c r="C748" s="30" t="s">
        <v>20980</v>
      </c>
      <c r="D748" s="30" t="str">
        <f>"""TRUST Nav"",""HSPMTB2016"",""21"",""1"",""122075"""</f>
        <v>"TRUST Nav","HSPMTB2016","21","1","122075"</v>
      </c>
      <c r="I748" s="52" t="str">
        <f t="shared" si="142"/>
        <v>KK-05052|42278|TRT-80-10</v>
      </c>
      <c r="J748" s="52" t="str">
        <f t="shared" si="145"/>
        <v>KK-05052</v>
      </c>
      <c r="K748" s="52" t="str">
        <f t="shared" si="146"/>
        <v>Julius Margono Teguh Nugroho</v>
      </c>
      <c r="L748" s="52" t="str">
        <f t="shared" si="141"/>
        <v>TRT-80-10</v>
      </c>
      <c r="M748" s="82">
        <v>42278</v>
      </c>
      <c r="N748" s="2">
        <v>15000</v>
      </c>
    </row>
    <row r="749" spans="1:14" x14ac:dyDescent="0.35">
      <c r="A749" s="52" t="s">
        <v>6063</v>
      </c>
      <c r="C749" s="30" t="s">
        <v>20980</v>
      </c>
      <c r="D749" s="30" t="str">
        <f>"""TRUST Nav"",""HSPMTB2016"",""21"",""1"",""122076"""</f>
        <v>"TRUST Nav","HSPMTB2016","21","1","122076"</v>
      </c>
      <c r="I749" s="52" t="str">
        <f t="shared" si="142"/>
        <v>KK-05052|42309|TRT-80-10</v>
      </c>
      <c r="J749" s="52" t="str">
        <f t="shared" si="145"/>
        <v>KK-05052</v>
      </c>
      <c r="K749" s="52" t="str">
        <f t="shared" si="146"/>
        <v>Julius Margono Teguh Nugroho</v>
      </c>
      <c r="L749" s="52" t="str">
        <f t="shared" si="141"/>
        <v>TRT-80-10</v>
      </c>
      <c r="M749" s="82">
        <v>42309</v>
      </c>
      <c r="N749" s="2">
        <v>15000</v>
      </c>
    </row>
    <row r="750" spans="1:14" x14ac:dyDescent="0.35">
      <c r="A750" s="52" t="s">
        <v>6063</v>
      </c>
      <c r="C750" s="30" t="s">
        <v>20980</v>
      </c>
      <c r="D750" s="30" t="str">
        <f>"""TRUST Nav"",""HSPMTB2016"",""21"",""1"",""122077"""</f>
        <v>"TRUST Nav","HSPMTB2016","21","1","122077"</v>
      </c>
      <c r="I750" s="52" t="str">
        <f t="shared" si="142"/>
        <v>KK-05052|42339|TRT-80-10</v>
      </c>
      <c r="J750" s="52" t="str">
        <f t="shared" si="145"/>
        <v>KK-05052</v>
      </c>
      <c r="K750" s="52" t="str">
        <f t="shared" si="146"/>
        <v>Julius Margono Teguh Nugroho</v>
      </c>
      <c r="L750" s="52" t="str">
        <f t="shared" si="141"/>
        <v>TRT-80-10</v>
      </c>
      <c r="M750" s="82">
        <v>42339</v>
      </c>
      <c r="N750" s="2">
        <v>15000</v>
      </c>
    </row>
    <row r="751" spans="1:14" x14ac:dyDescent="0.35">
      <c r="A751" s="52" t="s">
        <v>6063</v>
      </c>
      <c r="C751" s="30" t="s">
        <v>20980</v>
      </c>
      <c r="D751" s="30" t="str">
        <f>"""TRUST Nav"",""HSPMTB2016"",""21"",""1"",""122078"""</f>
        <v>"TRUST Nav","HSPMTB2016","21","1","122078"</v>
      </c>
      <c r="I751" s="52" t="str">
        <f t="shared" si="142"/>
        <v>KK-05052|42370|TRT-80-10</v>
      </c>
      <c r="J751" s="52" t="str">
        <f t="shared" si="145"/>
        <v>KK-05052</v>
      </c>
      <c r="K751" s="52" t="str">
        <f t="shared" si="146"/>
        <v>Julius Margono Teguh Nugroho</v>
      </c>
      <c r="L751" s="52" t="str">
        <f t="shared" si="141"/>
        <v>TRT-80-10</v>
      </c>
      <c r="M751" s="82">
        <v>42370</v>
      </c>
      <c r="N751" s="2">
        <v>15000</v>
      </c>
    </row>
    <row r="752" spans="1:14" x14ac:dyDescent="0.35">
      <c r="A752" s="52" t="s">
        <v>6063</v>
      </c>
      <c r="C752" s="30" t="s">
        <v>20980</v>
      </c>
      <c r="D752" s="30" t="str">
        <f>"""TRUST Nav"",""HSPMTB2016"",""21"",""1"",""122079"""</f>
        <v>"TRUST Nav","HSPMTB2016","21","1","122079"</v>
      </c>
      <c r="I752" s="52" t="str">
        <f t="shared" si="142"/>
        <v>KK-05052|42401|TRT-80-10</v>
      </c>
      <c r="J752" s="52" t="str">
        <f t="shared" si="145"/>
        <v>KK-05052</v>
      </c>
      <c r="K752" s="52" t="str">
        <f t="shared" si="146"/>
        <v>Julius Margono Teguh Nugroho</v>
      </c>
      <c r="L752" s="52" t="str">
        <f t="shared" si="141"/>
        <v>TRT-80-10</v>
      </c>
      <c r="M752" s="82">
        <v>42401</v>
      </c>
      <c r="N752" s="2">
        <v>15000</v>
      </c>
    </row>
    <row r="753" spans="1:14" x14ac:dyDescent="0.35">
      <c r="A753" s="52" t="s">
        <v>6063</v>
      </c>
      <c r="C753" s="30" t="s">
        <v>20980</v>
      </c>
      <c r="D753" s="30" t="str">
        <f>"""TRUST Nav"",""HSPMTB2016"",""21"",""1"",""122080"""</f>
        <v>"TRUST Nav","HSPMTB2016","21","1","122080"</v>
      </c>
      <c r="I753" s="52" t="str">
        <f t="shared" si="142"/>
        <v>KK-05052|42430|TRT-80-10</v>
      </c>
      <c r="J753" s="52" t="str">
        <f t="shared" si="145"/>
        <v>KK-05052</v>
      </c>
      <c r="K753" s="52" t="str">
        <f t="shared" si="146"/>
        <v>Julius Margono Teguh Nugroho</v>
      </c>
      <c r="L753" s="52" t="str">
        <f t="shared" si="141"/>
        <v>TRT-80-10</v>
      </c>
      <c r="M753" s="82">
        <v>42430</v>
      </c>
      <c r="N753" s="2">
        <v>15000</v>
      </c>
    </row>
    <row r="754" spans="1:14" x14ac:dyDescent="0.35">
      <c r="A754" s="52" t="s">
        <v>6063</v>
      </c>
      <c r="C754" s="30" t="s">
        <v>20980</v>
      </c>
      <c r="D754" s="30" t="str">
        <f>"""TRUST Nav"",""HSPMTB2016"",""21"",""1"",""129726"""</f>
        <v>"TRUST Nav","HSPMTB2016","21","1","129726"</v>
      </c>
      <c r="I754" s="52" t="str">
        <f t="shared" si="142"/>
        <v>KK-05053|42370|TRT-80-10</v>
      </c>
      <c r="J754" s="52" t="str">
        <f t="shared" ref="J754:J765" si="147">"KK-05053"</f>
        <v>KK-05053</v>
      </c>
      <c r="K754" s="52" t="str">
        <f t="shared" ref="K754:K765" si="148">"Pieter Hiu Stanley Setiono"</f>
        <v>Pieter Hiu Stanley Setiono</v>
      </c>
      <c r="L754" s="52" t="str">
        <f t="shared" si="141"/>
        <v>TRT-80-10</v>
      </c>
      <c r="M754" s="82">
        <v>42370</v>
      </c>
      <c r="N754" s="2">
        <v>500000</v>
      </c>
    </row>
    <row r="755" spans="1:14" x14ac:dyDescent="0.35">
      <c r="A755" s="52" t="s">
        <v>6063</v>
      </c>
      <c r="C755" s="30" t="s">
        <v>20980</v>
      </c>
      <c r="D755" s="30" t="str">
        <f>"""TRUST Nav"",""HSPMTB2016"",""21"",""1"",""129727"""</f>
        <v>"TRUST Nav","HSPMTB2016","21","1","129727"</v>
      </c>
      <c r="I755" s="52" t="str">
        <f t="shared" si="142"/>
        <v>KK-05053|42401|TRT-80-10</v>
      </c>
      <c r="J755" s="52" t="str">
        <f t="shared" si="147"/>
        <v>KK-05053</v>
      </c>
      <c r="K755" s="52" t="str">
        <f t="shared" si="148"/>
        <v>Pieter Hiu Stanley Setiono</v>
      </c>
      <c r="L755" s="52" t="str">
        <f t="shared" si="141"/>
        <v>TRT-80-10</v>
      </c>
      <c r="M755" s="82">
        <v>42401</v>
      </c>
      <c r="N755" s="2">
        <v>500000</v>
      </c>
    </row>
    <row r="756" spans="1:14" x14ac:dyDescent="0.35">
      <c r="A756" s="52" t="s">
        <v>6063</v>
      </c>
      <c r="C756" s="30" t="s">
        <v>20980</v>
      </c>
      <c r="D756" s="30" t="str">
        <f>"""TRUST Nav"",""HSPMTB2016"",""21"",""1"",""129728"""</f>
        <v>"TRUST Nav","HSPMTB2016","21","1","129728"</v>
      </c>
      <c r="I756" s="52" t="str">
        <f t="shared" si="142"/>
        <v>KK-05053|42430|TRT-80-10</v>
      </c>
      <c r="J756" s="52" t="str">
        <f t="shared" si="147"/>
        <v>KK-05053</v>
      </c>
      <c r="K756" s="52" t="str">
        <f t="shared" si="148"/>
        <v>Pieter Hiu Stanley Setiono</v>
      </c>
      <c r="L756" s="52" t="str">
        <f t="shared" si="141"/>
        <v>TRT-80-10</v>
      </c>
      <c r="M756" s="82">
        <v>42430</v>
      </c>
      <c r="N756" s="2">
        <v>500000</v>
      </c>
    </row>
    <row r="757" spans="1:14" x14ac:dyDescent="0.35">
      <c r="A757" s="52" t="s">
        <v>6063</v>
      </c>
      <c r="C757" s="30" t="s">
        <v>20980</v>
      </c>
      <c r="D757" s="30" t="str">
        <f>"""TRUST Nav"",""HSPMTB2016"",""21"",""1"",""129729"""</f>
        <v>"TRUST Nav","HSPMTB2016","21","1","129729"</v>
      </c>
      <c r="I757" s="52" t="str">
        <f t="shared" si="142"/>
        <v>KK-05053|42461|TRT-80-10</v>
      </c>
      <c r="J757" s="52" t="str">
        <f t="shared" si="147"/>
        <v>KK-05053</v>
      </c>
      <c r="K757" s="52" t="str">
        <f t="shared" si="148"/>
        <v>Pieter Hiu Stanley Setiono</v>
      </c>
      <c r="L757" s="52" t="str">
        <f t="shared" si="141"/>
        <v>TRT-80-10</v>
      </c>
      <c r="M757" s="82">
        <v>42461</v>
      </c>
      <c r="N757" s="2">
        <v>500000</v>
      </c>
    </row>
    <row r="758" spans="1:14" x14ac:dyDescent="0.35">
      <c r="A758" s="52" t="s">
        <v>6063</v>
      </c>
      <c r="C758" s="30" t="s">
        <v>20980</v>
      </c>
      <c r="D758" s="30" t="str">
        <f>"""TRUST Nav"",""HSPMTB2016"",""21"",""1"",""129730"""</f>
        <v>"TRUST Nav","HSPMTB2016","21","1","129730"</v>
      </c>
      <c r="I758" s="52" t="str">
        <f t="shared" si="142"/>
        <v>KK-05053|42491|TRT-80-10</v>
      </c>
      <c r="J758" s="52" t="str">
        <f t="shared" si="147"/>
        <v>KK-05053</v>
      </c>
      <c r="K758" s="52" t="str">
        <f t="shared" si="148"/>
        <v>Pieter Hiu Stanley Setiono</v>
      </c>
      <c r="L758" s="52" t="str">
        <f t="shared" si="141"/>
        <v>TRT-80-10</v>
      </c>
      <c r="M758" s="82">
        <v>42491</v>
      </c>
      <c r="N758" s="2">
        <v>500000</v>
      </c>
    </row>
    <row r="759" spans="1:14" x14ac:dyDescent="0.35">
      <c r="A759" s="52" t="s">
        <v>6063</v>
      </c>
      <c r="C759" s="30" t="s">
        <v>20980</v>
      </c>
      <c r="D759" s="30" t="str">
        <f>"""TRUST Nav"",""HSPMTB2016"",""21"",""1"",""129731"""</f>
        <v>"TRUST Nav","HSPMTB2016","21","1","129731"</v>
      </c>
      <c r="I759" s="52" t="str">
        <f t="shared" si="142"/>
        <v>KK-05053|42522|TRT-80-10</v>
      </c>
      <c r="J759" s="52" t="str">
        <f t="shared" si="147"/>
        <v>KK-05053</v>
      </c>
      <c r="K759" s="52" t="str">
        <f t="shared" si="148"/>
        <v>Pieter Hiu Stanley Setiono</v>
      </c>
      <c r="L759" s="52" t="str">
        <f t="shared" si="141"/>
        <v>TRT-80-10</v>
      </c>
      <c r="M759" s="82">
        <v>42522</v>
      </c>
      <c r="N759" s="2">
        <v>500000</v>
      </c>
    </row>
    <row r="760" spans="1:14" x14ac:dyDescent="0.35">
      <c r="A760" s="52" t="s">
        <v>6063</v>
      </c>
      <c r="C760" s="30" t="s">
        <v>20980</v>
      </c>
      <c r="D760" s="30" t="str">
        <f>"""TRUST Nav"",""HSPMTB2016"",""21"",""1"",""129732"""</f>
        <v>"TRUST Nav","HSPMTB2016","21","1","129732"</v>
      </c>
      <c r="I760" s="52" t="str">
        <f t="shared" si="142"/>
        <v>KK-05053|42552|TRT-80-10</v>
      </c>
      <c r="J760" s="52" t="str">
        <f t="shared" si="147"/>
        <v>KK-05053</v>
      </c>
      <c r="K760" s="52" t="str">
        <f t="shared" si="148"/>
        <v>Pieter Hiu Stanley Setiono</v>
      </c>
      <c r="L760" s="52" t="str">
        <f t="shared" si="141"/>
        <v>TRT-80-10</v>
      </c>
      <c r="M760" s="82">
        <v>42552</v>
      </c>
      <c r="N760" s="2">
        <v>500000</v>
      </c>
    </row>
    <row r="761" spans="1:14" x14ac:dyDescent="0.35">
      <c r="A761" s="52" t="s">
        <v>6063</v>
      </c>
      <c r="C761" s="30" t="s">
        <v>20980</v>
      </c>
      <c r="D761" s="30" t="str">
        <f>"""TRUST Nav"",""HSPMTB2016"",""21"",""1"",""129733"""</f>
        <v>"TRUST Nav","HSPMTB2016","21","1","129733"</v>
      </c>
      <c r="I761" s="52" t="str">
        <f t="shared" si="142"/>
        <v>KK-05053|42583|TRT-80-10</v>
      </c>
      <c r="J761" s="52" t="str">
        <f t="shared" si="147"/>
        <v>KK-05053</v>
      </c>
      <c r="K761" s="52" t="str">
        <f t="shared" si="148"/>
        <v>Pieter Hiu Stanley Setiono</v>
      </c>
      <c r="L761" s="52" t="str">
        <f t="shared" si="141"/>
        <v>TRT-80-10</v>
      </c>
      <c r="M761" s="82">
        <v>42583</v>
      </c>
      <c r="N761" s="2">
        <v>500000</v>
      </c>
    </row>
    <row r="762" spans="1:14" x14ac:dyDescent="0.35">
      <c r="A762" s="52" t="s">
        <v>6063</v>
      </c>
      <c r="C762" s="30" t="s">
        <v>20980</v>
      </c>
      <c r="D762" s="30" t="str">
        <f>"""TRUST Nav"",""HSPMTB2016"",""21"",""1"",""129734"""</f>
        <v>"TRUST Nav","HSPMTB2016","21","1","129734"</v>
      </c>
      <c r="I762" s="52" t="str">
        <f t="shared" si="142"/>
        <v>KK-05053|42614|TRT-80-10</v>
      </c>
      <c r="J762" s="52" t="str">
        <f t="shared" si="147"/>
        <v>KK-05053</v>
      </c>
      <c r="K762" s="52" t="str">
        <f t="shared" si="148"/>
        <v>Pieter Hiu Stanley Setiono</v>
      </c>
      <c r="L762" s="52" t="str">
        <f t="shared" si="141"/>
        <v>TRT-80-10</v>
      </c>
      <c r="M762" s="82">
        <v>42614</v>
      </c>
      <c r="N762" s="2">
        <v>500000</v>
      </c>
    </row>
    <row r="763" spans="1:14" x14ac:dyDescent="0.35">
      <c r="A763" s="52" t="s">
        <v>6063</v>
      </c>
      <c r="C763" s="30" t="s">
        <v>20980</v>
      </c>
      <c r="D763" s="30" t="str">
        <f>"""TRUST Nav"",""HSPMTB2016"",""21"",""1"",""129735"""</f>
        <v>"TRUST Nav","HSPMTB2016","21","1","129735"</v>
      </c>
      <c r="I763" s="52" t="str">
        <f t="shared" si="142"/>
        <v>KK-05053|42644|TRT-80-10</v>
      </c>
      <c r="J763" s="52" t="str">
        <f t="shared" si="147"/>
        <v>KK-05053</v>
      </c>
      <c r="K763" s="52" t="str">
        <f t="shared" si="148"/>
        <v>Pieter Hiu Stanley Setiono</v>
      </c>
      <c r="L763" s="52" t="str">
        <f t="shared" si="141"/>
        <v>TRT-80-10</v>
      </c>
      <c r="M763" s="82">
        <v>42644</v>
      </c>
      <c r="N763" s="2">
        <v>500000</v>
      </c>
    </row>
    <row r="764" spans="1:14" x14ac:dyDescent="0.35">
      <c r="A764" s="52" t="s">
        <v>6063</v>
      </c>
      <c r="C764" s="30" t="s">
        <v>20980</v>
      </c>
      <c r="D764" s="30" t="str">
        <f>"""TRUST Nav"",""HSPMTB2016"",""21"",""1"",""129736"""</f>
        <v>"TRUST Nav","HSPMTB2016","21","1","129736"</v>
      </c>
      <c r="I764" s="52" t="str">
        <f t="shared" si="142"/>
        <v>KK-05053|42675|TRT-80-10</v>
      </c>
      <c r="J764" s="52" t="str">
        <f t="shared" si="147"/>
        <v>KK-05053</v>
      </c>
      <c r="K764" s="52" t="str">
        <f t="shared" si="148"/>
        <v>Pieter Hiu Stanley Setiono</v>
      </c>
      <c r="L764" s="52" t="str">
        <f t="shared" si="141"/>
        <v>TRT-80-10</v>
      </c>
      <c r="M764" s="82">
        <v>42675</v>
      </c>
      <c r="N764" s="2">
        <v>500000</v>
      </c>
    </row>
    <row r="765" spans="1:14" x14ac:dyDescent="0.35">
      <c r="A765" s="52" t="s">
        <v>6063</v>
      </c>
      <c r="C765" s="30" t="s">
        <v>20980</v>
      </c>
      <c r="D765" s="30" t="str">
        <f>"""TRUST Nav"",""HSPMTB2016"",""21"",""1"",""129737"""</f>
        <v>"TRUST Nav","HSPMTB2016","21","1","129737"</v>
      </c>
      <c r="I765" s="52" t="str">
        <f t="shared" si="142"/>
        <v>KK-05053|42705|TRT-80-10</v>
      </c>
      <c r="J765" s="52" t="str">
        <f t="shared" si="147"/>
        <v>KK-05053</v>
      </c>
      <c r="K765" s="52" t="str">
        <f t="shared" si="148"/>
        <v>Pieter Hiu Stanley Setiono</v>
      </c>
      <c r="L765" s="52" t="str">
        <f t="shared" si="141"/>
        <v>TRT-80-10</v>
      </c>
      <c r="M765" s="82">
        <v>42705</v>
      </c>
      <c r="N765" s="2">
        <v>500000</v>
      </c>
    </row>
    <row r="766" spans="1:14" x14ac:dyDescent="0.35">
      <c r="A766" s="52" t="s">
        <v>6063</v>
      </c>
      <c r="C766" s="30" t="s">
        <v>20980</v>
      </c>
      <c r="D766" s="30" t="str">
        <f>"""TRUST Nav"",""HSPMTB2016"",""21"",""1"",""122087"""</f>
        <v>"TRUST Nav","HSPMTB2016","21","1","122087"</v>
      </c>
      <c r="I766" s="52" t="str">
        <f t="shared" si="142"/>
        <v>KK-05056|42370|TRT-80-10</v>
      </c>
      <c r="J766" s="52" t="str">
        <f t="shared" ref="J766:J771" si="149">"KK-05056"</f>
        <v>KK-05056</v>
      </c>
      <c r="K766" s="52" t="str">
        <f t="shared" ref="K766:K771" si="150">"Yandi Setiawan"</f>
        <v>Yandi Setiawan</v>
      </c>
      <c r="L766" s="52" t="str">
        <f t="shared" si="141"/>
        <v>TRT-80-10</v>
      </c>
      <c r="M766" s="82">
        <v>42370</v>
      </c>
      <c r="N766" s="2">
        <v>50000.000000000007</v>
      </c>
    </row>
    <row r="767" spans="1:14" x14ac:dyDescent="0.35">
      <c r="A767" s="52" t="s">
        <v>6063</v>
      </c>
      <c r="C767" s="30" t="s">
        <v>20980</v>
      </c>
      <c r="D767" s="30" t="str">
        <f>"""TRUST Nav"",""HSPMTB2016"",""21"",""1"",""122088"""</f>
        <v>"TRUST Nav","HSPMTB2016","21","1","122088"</v>
      </c>
      <c r="I767" s="52" t="str">
        <f t="shared" si="142"/>
        <v>KK-05056|42401|TRT-80-10</v>
      </c>
      <c r="J767" s="52" t="str">
        <f t="shared" si="149"/>
        <v>KK-05056</v>
      </c>
      <c r="K767" s="52" t="str">
        <f t="shared" si="150"/>
        <v>Yandi Setiawan</v>
      </c>
      <c r="L767" s="52" t="str">
        <f t="shared" si="141"/>
        <v>TRT-80-10</v>
      </c>
      <c r="M767" s="82">
        <v>42401</v>
      </c>
      <c r="N767" s="2">
        <v>50000.000000000007</v>
      </c>
    </row>
    <row r="768" spans="1:14" x14ac:dyDescent="0.35">
      <c r="A768" s="52" t="s">
        <v>6063</v>
      </c>
      <c r="C768" s="30" t="s">
        <v>20980</v>
      </c>
      <c r="D768" s="30" t="str">
        <f>"""TRUST Nav"",""HSPMTB2016"",""21"",""1"",""122089"""</f>
        <v>"TRUST Nav","HSPMTB2016","21","1","122089"</v>
      </c>
      <c r="I768" s="52" t="str">
        <f t="shared" si="142"/>
        <v>KK-05056|42430|TRT-80-10</v>
      </c>
      <c r="J768" s="52" t="str">
        <f t="shared" si="149"/>
        <v>KK-05056</v>
      </c>
      <c r="K768" s="52" t="str">
        <f t="shared" si="150"/>
        <v>Yandi Setiawan</v>
      </c>
      <c r="L768" s="52" t="str">
        <f t="shared" si="141"/>
        <v>TRT-80-10</v>
      </c>
      <c r="M768" s="82">
        <v>42430</v>
      </c>
      <c r="N768" s="2">
        <v>50000.000000000007</v>
      </c>
    </row>
    <row r="769" spans="1:14" x14ac:dyDescent="0.35">
      <c r="A769" s="52" t="s">
        <v>6063</v>
      </c>
      <c r="C769" s="30" t="s">
        <v>20980</v>
      </c>
      <c r="D769" s="30" t="str">
        <f>"""TRUST Nav"",""HSPMTB2016"",""21"",""1"",""122090"""</f>
        <v>"TRUST Nav","HSPMTB2016","21","1","122090"</v>
      </c>
      <c r="I769" s="52" t="str">
        <f t="shared" si="142"/>
        <v>KK-05056|42461|TRT-80-10</v>
      </c>
      <c r="J769" s="52" t="str">
        <f t="shared" si="149"/>
        <v>KK-05056</v>
      </c>
      <c r="K769" s="52" t="str">
        <f t="shared" si="150"/>
        <v>Yandi Setiawan</v>
      </c>
      <c r="L769" s="52" t="str">
        <f t="shared" si="141"/>
        <v>TRT-80-10</v>
      </c>
      <c r="M769" s="82">
        <v>42461</v>
      </c>
      <c r="N769" s="2">
        <v>50000.000000000007</v>
      </c>
    </row>
    <row r="770" spans="1:14" x14ac:dyDescent="0.35">
      <c r="A770" s="52" t="s">
        <v>6063</v>
      </c>
      <c r="C770" s="30" t="s">
        <v>20980</v>
      </c>
      <c r="D770" s="30" t="str">
        <f>"""TRUST Nav"",""HSPMTB2016"",""21"",""1"",""122091"""</f>
        <v>"TRUST Nav","HSPMTB2016","21","1","122091"</v>
      </c>
      <c r="I770" s="52" t="str">
        <f t="shared" si="142"/>
        <v>KK-05056|42491|TRT-80-10</v>
      </c>
      <c r="J770" s="52" t="str">
        <f t="shared" si="149"/>
        <v>KK-05056</v>
      </c>
      <c r="K770" s="52" t="str">
        <f t="shared" si="150"/>
        <v>Yandi Setiawan</v>
      </c>
      <c r="L770" s="52" t="str">
        <f t="shared" si="141"/>
        <v>TRT-80-10</v>
      </c>
      <c r="M770" s="82">
        <v>42491</v>
      </c>
      <c r="N770" s="2">
        <v>50000.000000000007</v>
      </c>
    </row>
    <row r="771" spans="1:14" x14ac:dyDescent="0.35">
      <c r="A771" s="52" t="s">
        <v>6063</v>
      </c>
      <c r="C771" s="30" t="s">
        <v>20980</v>
      </c>
      <c r="D771" s="30" t="str">
        <f>"""TRUST Nav"",""HSPMTB2016"",""21"",""1"",""122092"""</f>
        <v>"TRUST Nav","HSPMTB2016","21","1","122092"</v>
      </c>
      <c r="I771" s="52" t="str">
        <f t="shared" si="142"/>
        <v>KK-05056|42522|TRT-80-10</v>
      </c>
      <c r="J771" s="52" t="str">
        <f t="shared" si="149"/>
        <v>KK-05056</v>
      </c>
      <c r="K771" s="52" t="str">
        <f t="shared" si="150"/>
        <v>Yandi Setiawan</v>
      </c>
      <c r="L771" s="52" t="str">
        <f t="shared" si="141"/>
        <v>TRT-80-10</v>
      </c>
      <c r="M771" s="82">
        <v>42522</v>
      </c>
      <c r="N771" s="2">
        <v>50000.000000000007</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sheetPr>
  <dimension ref="A1:X43"/>
  <sheetViews>
    <sheetView showGridLines="0" workbookViewId="0">
      <pane xSplit="3" ySplit="9" topLeftCell="D14" activePane="bottomRight" state="frozenSplit"/>
      <selection pane="topRight" activeCell="D1" sqref="D1"/>
      <selection pane="bottomLeft" activeCell="A10" sqref="A10"/>
      <selection pane="bottomRight" activeCell="D6" sqref="D6"/>
    </sheetView>
  </sheetViews>
  <sheetFormatPr defaultColWidth="9.1796875" defaultRowHeight="14.5" x14ac:dyDescent="0.35"/>
  <cols>
    <col min="1" max="1" width="9.1796875" style="52" hidden="1" customWidth="1"/>
    <col min="2" max="2" width="20.7265625" style="48" customWidth="1"/>
    <col min="3" max="3" width="31.90625" style="48" customWidth="1"/>
    <col min="4" max="4" width="15.26953125" style="48" customWidth="1"/>
    <col min="5" max="5" width="8.90625" style="48" customWidth="1"/>
    <col min="6" max="11" width="7.36328125" style="48" customWidth="1"/>
    <col min="12" max="17" width="8.90625" style="48" customWidth="1"/>
    <col min="18" max="23" width="7.36328125" style="48" customWidth="1"/>
    <col min="24" max="24" width="10.7265625" style="48" customWidth="1"/>
    <col min="25" max="16384" width="9.1796875" style="48"/>
  </cols>
  <sheetData>
    <row r="1" spans="1:24" s="52" customFormat="1" hidden="1" x14ac:dyDescent="0.35">
      <c r="A1" s="52" t="s">
        <v>20920</v>
      </c>
    </row>
    <row r="2" spans="1:24" s="84" customFormat="1" ht="18.5" x14ac:dyDescent="0.45">
      <c r="A2" s="52"/>
      <c r="B2" s="83">
        <f>Options!B4</f>
        <v>0</v>
      </c>
      <c r="C2" s="34" t="str">
        <f>IF(B2="Protected","","Admin Mode: Excel tidak terkunci, jangan dibagikan ke lingkungan")</f>
        <v>Admin Mode: Excel tidak terkunci, jangan dibagikan ke lingkungan</v>
      </c>
    </row>
    <row r="3" spans="1:24" ht="23.5" x14ac:dyDescent="0.55000000000000004">
      <c r="C3" s="79" t="s">
        <v>69</v>
      </c>
    </row>
    <row r="5" spans="1:24" x14ac:dyDescent="0.35">
      <c r="C5" s="80" t="s">
        <v>1</v>
      </c>
      <c r="D5" s="52" t="s">
        <v>20975</v>
      </c>
      <c r="E5" s="52" t="s">
        <v>20976</v>
      </c>
    </row>
    <row r="6" spans="1:24" x14ac:dyDescent="0.35">
      <c r="C6" s="85" t="s">
        <v>6</v>
      </c>
      <c r="D6" s="89" t="s">
        <v>59</v>
      </c>
    </row>
    <row r="8" spans="1:24" x14ac:dyDescent="0.35">
      <c r="C8" s="85" t="s">
        <v>64</v>
      </c>
      <c r="D8" s="85" t="s">
        <v>63</v>
      </c>
    </row>
    <row r="9" spans="1:24" x14ac:dyDescent="0.35">
      <c r="C9" s="86" t="s">
        <v>60</v>
      </c>
      <c r="D9" s="28" t="s">
        <v>61</v>
      </c>
      <c r="E9" s="28">
        <v>42368</v>
      </c>
      <c r="F9" s="28">
        <v>42186</v>
      </c>
      <c r="G9" s="28">
        <v>42217</v>
      </c>
      <c r="H9" s="28">
        <v>42248</v>
      </c>
      <c r="I9" s="28">
        <v>42278</v>
      </c>
      <c r="J9" s="28">
        <v>42309</v>
      </c>
      <c r="K9" s="28">
        <v>42339</v>
      </c>
      <c r="L9" s="28">
        <v>42370</v>
      </c>
      <c r="M9" s="28">
        <v>42401</v>
      </c>
      <c r="N9" s="28">
        <v>42430</v>
      </c>
      <c r="O9" s="28">
        <v>42461</v>
      </c>
      <c r="P9" s="28">
        <v>42491</v>
      </c>
      <c r="Q9" s="28">
        <v>42522</v>
      </c>
      <c r="R9" s="28">
        <v>42552</v>
      </c>
      <c r="S9" s="28">
        <v>42583</v>
      </c>
      <c r="T9" s="28">
        <v>42614</v>
      </c>
      <c r="U9" s="28">
        <v>42644</v>
      </c>
      <c r="V9" s="28">
        <v>42675</v>
      </c>
      <c r="W9" s="28">
        <v>42705</v>
      </c>
      <c r="X9" s="28" t="s">
        <v>62</v>
      </c>
    </row>
    <row r="10" spans="1:24" x14ac:dyDescent="0.35">
      <c r="C10" s="87" t="s">
        <v>8</v>
      </c>
      <c r="D10" s="1"/>
      <c r="E10" s="1"/>
      <c r="F10" s="1">
        <v>925000</v>
      </c>
      <c r="G10" s="1">
        <v>876000</v>
      </c>
      <c r="H10" s="1">
        <v>876000</v>
      </c>
      <c r="I10" s="1">
        <v>876000</v>
      </c>
      <c r="J10" s="1">
        <v>876000</v>
      </c>
      <c r="K10" s="1">
        <v>876000</v>
      </c>
      <c r="L10" s="1">
        <v>1355000</v>
      </c>
      <c r="M10" s="1">
        <v>1355000</v>
      </c>
      <c r="N10" s="1">
        <v>1355000</v>
      </c>
      <c r="O10" s="1">
        <v>1315000</v>
      </c>
      <c r="P10" s="1">
        <v>1165000</v>
      </c>
      <c r="Q10" s="1">
        <v>1165000</v>
      </c>
      <c r="R10" s="1">
        <v>910000</v>
      </c>
      <c r="S10" s="1">
        <v>780000</v>
      </c>
      <c r="T10" s="1">
        <v>655000</v>
      </c>
      <c r="U10" s="1">
        <v>505000</v>
      </c>
      <c r="V10" s="1">
        <v>505000</v>
      </c>
      <c r="W10" s="1">
        <v>505000</v>
      </c>
      <c r="X10" s="1">
        <v>16875000</v>
      </c>
    </row>
    <row r="11" spans="1:24" x14ac:dyDescent="0.35">
      <c r="C11" s="88" t="s">
        <v>20983</v>
      </c>
      <c r="D11" s="1"/>
      <c r="E11" s="1"/>
      <c r="F11" s="1">
        <v>25000.000000000004</v>
      </c>
      <c r="G11" s="1">
        <v>25000.000000000004</v>
      </c>
      <c r="H11" s="1">
        <v>25000.000000000004</v>
      </c>
      <c r="I11" s="1">
        <v>25000.000000000004</v>
      </c>
      <c r="J11" s="1">
        <v>25000.000000000004</v>
      </c>
      <c r="K11" s="1">
        <v>25000.000000000004</v>
      </c>
      <c r="L11" s="1">
        <v>25000.000000000004</v>
      </c>
      <c r="M11" s="1">
        <v>25000.000000000004</v>
      </c>
      <c r="N11" s="1">
        <v>25000.000000000004</v>
      </c>
      <c r="O11" s="1">
        <v>25000.000000000004</v>
      </c>
      <c r="P11" s="1"/>
      <c r="Q11" s="1"/>
      <c r="R11" s="1"/>
      <c r="S11" s="1"/>
      <c r="T11" s="1"/>
      <c r="U11" s="1"/>
      <c r="V11" s="1"/>
      <c r="W11" s="1"/>
      <c r="X11" s="1">
        <v>250000.00000000003</v>
      </c>
    </row>
    <row r="12" spans="1:24" x14ac:dyDescent="0.35">
      <c r="C12" s="88" t="s">
        <v>21005</v>
      </c>
      <c r="D12" s="1"/>
      <c r="E12" s="1"/>
      <c r="F12" s="1"/>
      <c r="G12" s="1"/>
      <c r="H12" s="1"/>
      <c r="I12" s="1"/>
      <c r="J12" s="1"/>
      <c r="K12" s="1"/>
      <c r="L12" s="1">
        <v>10000</v>
      </c>
      <c r="M12" s="1">
        <v>10000</v>
      </c>
      <c r="N12" s="1">
        <v>10000</v>
      </c>
      <c r="O12" s="1">
        <v>10000</v>
      </c>
      <c r="P12" s="1"/>
      <c r="Q12" s="1"/>
      <c r="R12" s="1"/>
      <c r="S12" s="1"/>
      <c r="T12" s="1"/>
      <c r="U12" s="1"/>
      <c r="V12" s="1"/>
      <c r="W12" s="1"/>
      <c r="X12" s="1">
        <v>40000</v>
      </c>
    </row>
    <row r="13" spans="1:24" x14ac:dyDescent="0.35">
      <c r="C13" s="88" t="s">
        <v>20982</v>
      </c>
      <c r="D13" s="1"/>
      <c r="E13" s="1"/>
      <c r="F13" s="1">
        <v>20000</v>
      </c>
      <c r="G13" s="1">
        <v>20000</v>
      </c>
      <c r="H13" s="1">
        <v>20000</v>
      </c>
      <c r="I13" s="1">
        <v>20000</v>
      </c>
      <c r="J13" s="1">
        <v>20000</v>
      </c>
      <c r="K13" s="1">
        <v>20000</v>
      </c>
      <c r="L13" s="1">
        <v>20000</v>
      </c>
      <c r="M13" s="1">
        <v>20000</v>
      </c>
      <c r="N13" s="1">
        <v>20000</v>
      </c>
      <c r="O13" s="1">
        <v>20000</v>
      </c>
      <c r="P13" s="1">
        <v>30000</v>
      </c>
      <c r="Q13" s="1">
        <v>30000</v>
      </c>
      <c r="R13" s="1">
        <v>30000</v>
      </c>
      <c r="S13" s="1">
        <v>30000</v>
      </c>
      <c r="T13" s="1">
        <v>30000</v>
      </c>
      <c r="U13" s="1"/>
      <c r="V13" s="1"/>
      <c r="W13" s="1"/>
      <c r="X13" s="1">
        <v>350000</v>
      </c>
    </row>
    <row r="14" spans="1:24" x14ac:dyDescent="0.35">
      <c r="C14" s="88" t="s">
        <v>20984</v>
      </c>
      <c r="D14" s="1"/>
      <c r="E14" s="1"/>
      <c r="F14" s="1">
        <v>50000.000000000007</v>
      </c>
      <c r="G14" s="1">
        <v>50000.000000000007</v>
      </c>
      <c r="H14" s="1">
        <v>50000.000000000007</v>
      </c>
      <c r="I14" s="1">
        <v>50000.000000000007</v>
      </c>
      <c r="J14" s="1">
        <v>50000.000000000007</v>
      </c>
      <c r="K14" s="1">
        <v>50000.000000000007</v>
      </c>
      <c r="L14" s="1">
        <v>50000.000000000007</v>
      </c>
      <c r="M14" s="1">
        <v>50000.000000000007</v>
      </c>
      <c r="N14" s="1">
        <v>50000.000000000007</v>
      </c>
      <c r="O14" s="1">
        <v>50000.000000000007</v>
      </c>
      <c r="P14" s="1">
        <v>50000.000000000007</v>
      </c>
      <c r="Q14" s="1">
        <v>50000.000000000007</v>
      </c>
      <c r="R14" s="1">
        <v>50000.000000000007</v>
      </c>
      <c r="S14" s="1">
        <v>50000.000000000007</v>
      </c>
      <c r="T14" s="1">
        <v>50000.000000000007</v>
      </c>
      <c r="U14" s="1"/>
      <c r="V14" s="1"/>
      <c r="W14" s="1"/>
      <c r="X14" s="1">
        <v>750000.00000000012</v>
      </c>
    </row>
    <row r="15" spans="1:24" x14ac:dyDescent="0.35">
      <c r="C15" s="88" t="s">
        <v>83</v>
      </c>
      <c r="D15" s="1"/>
      <c r="E15" s="1"/>
      <c r="F15" s="1">
        <v>20000</v>
      </c>
      <c r="G15" s="1">
        <v>20000</v>
      </c>
      <c r="H15" s="1">
        <v>20000</v>
      </c>
      <c r="I15" s="1">
        <v>20000</v>
      </c>
      <c r="J15" s="1">
        <v>20000</v>
      </c>
      <c r="K15" s="1">
        <v>20000</v>
      </c>
      <c r="L15" s="1"/>
      <c r="M15" s="1"/>
      <c r="N15" s="1"/>
      <c r="O15" s="1"/>
      <c r="P15" s="1"/>
      <c r="Q15" s="1"/>
      <c r="R15" s="1"/>
      <c r="S15" s="1"/>
      <c r="T15" s="1"/>
      <c r="U15" s="1"/>
      <c r="V15" s="1"/>
      <c r="W15" s="1"/>
      <c r="X15" s="1">
        <v>120000</v>
      </c>
    </row>
    <row r="16" spans="1:24" x14ac:dyDescent="0.35">
      <c r="C16" s="88" t="s">
        <v>20985</v>
      </c>
      <c r="D16" s="1"/>
      <c r="E16" s="1"/>
      <c r="F16" s="1">
        <v>20000</v>
      </c>
      <c r="G16" s="1">
        <v>20000</v>
      </c>
      <c r="H16" s="1">
        <v>20000</v>
      </c>
      <c r="I16" s="1">
        <v>20000</v>
      </c>
      <c r="J16" s="1">
        <v>20000</v>
      </c>
      <c r="K16" s="1">
        <v>20000</v>
      </c>
      <c r="L16" s="1">
        <v>20000</v>
      </c>
      <c r="M16" s="1">
        <v>20000</v>
      </c>
      <c r="N16" s="1">
        <v>20000</v>
      </c>
      <c r="O16" s="1">
        <v>20000</v>
      </c>
      <c r="P16" s="1">
        <v>20000</v>
      </c>
      <c r="Q16" s="1">
        <v>20000</v>
      </c>
      <c r="R16" s="1">
        <v>20000</v>
      </c>
      <c r="S16" s="1"/>
      <c r="T16" s="1"/>
      <c r="U16" s="1"/>
      <c r="V16" s="1"/>
      <c r="W16" s="1"/>
      <c r="X16" s="1">
        <v>260000</v>
      </c>
    </row>
    <row r="17" spans="3:24" x14ac:dyDescent="0.35">
      <c r="C17" s="88" t="s">
        <v>20986</v>
      </c>
      <c r="D17" s="1"/>
      <c r="E17" s="1"/>
      <c r="F17" s="1">
        <v>10000</v>
      </c>
      <c r="G17" s="1">
        <v>6000</v>
      </c>
      <c r="H17" s="1">
        <v>6000</v>
      </c>
      <c r="I17" s="1">
        <v>6000</v>
      </c>
      <c r="J17" s="1">
        <v>6000</v>
      </c>
      <c r="K17" s="1">
        <v>6000</v>
      </c>
      <c r="L17" s="1">
        <v>5000</v>
      </c>
      <c r="M17" s="1">
        <v>5000</v>
      </c>
      <c r="N17" s="1">
        <v>5000</v>
      </c>
      <c r="O17" s="1">
        <v>5000</v>
      </c>
      <c r="P17" s="1">
        <v>5000</v>
      </c>
      <c r="Q17" s="1">
        <v>5000</v>
      </c>
      <c r="R17" s="1">
        <v>5000</v>
      </c>
      <c r="S17" s="1">
        <v>5000</v>
      </c>
      <c r="T17" s="1">
        <v>5000</v>
      </c>
      <c r="U17" s="1">
        <v>5000</v>
      </c>
      <c r="V17" s="1">
        <v>5000</v>
      </c>
      <c r="W17" s="1">
        <v>5000</v>
      </c>
      <c r="X17" s="1">
        <v>100000</v>
      </c>
    </row>
    <row r="18" spans="3:24" x14ac:dyDescent="0.35">
      <c r="C18" s="88" t="s">
        <v>21004</v>
      </c>
      <c r="D18" s="1"/>
      <c r="E18" s="1"/>
      <c r="F18" s="1">
        <v>60000</v>
      </c>
      <c r="G18" s="1">
        <v>15000</v>
      </c>
      <c r="H18" s="1">
        <v>15000</v>
      </c>
      <c r="I18" s="1">
        <v>15000</v>
      </c>
      <c r="J18" s="1">
        <v>15000</v>
      </c>
      <c r="K18" s="1">
        <v>15000</v>
      </c>
      <c r="L18" s="1"/>
      <c r="M18" s="1"/>
      <c r="N18" s="1"/>
      <c r="O18" s="1"/>
      <c r="P18" s="1"/>
      <c r="Q18" s="1"/>
      <c r="R18" s="1"/>
      <c r="S18" s="1"/>
      <c r="T18" s="1"/>
      <c r="U18" s="1"/>
      <c r="V18" s="1"/>
      <c r="W18" s="1"/>
      <c r="X18" s="1">
        <v>135000</v>
      </c>
    </row>
    <row r="19" spans="3:24" x14ac:dyDescent="0.35">
      <c r="C19" s="88" t="s">
        <v>21003</v>
      </c>
      <c r="D19" s="1"/>
      <c r="E19" s="1"/>
      <c r="F19" s="1">
        <v>25000.000000000004</v>
      </c>
      <c r="G19" s="1">
        <v>25000.000000000004</v>
      </c>
      <c r="H19" s="1">
        <v>25000.000000000004</v>
      </c>
      <c r="I19" s="1">
        <v>25000.000000000004</v>
      </c>
      <c r="J19" s="1">
        <v>25000.000000000004</v>
      </c>
      <c r="K19" s="1">
        <v>25000.000000000004</v>
      </c>
      <c r="L19" s="1">
        <v>25000.000000000004</v>
      </c>
      <c r="M19" s="1">
        <v>25000.000000000004</v>
      </c>
      <c r="N19" s="1">
        <v>25000.000000000004</v>
      </c>
      <c r="O19" s="1">
        <v>25000.000000000004</v>
      </c>
      <c r="P19" s="1">
        <v>25000.000000000004</v>
      </c>
      <c r="Q19" s="1">
        <v>25000.000000000004</v>
      </c>
      <c r="R19" s="1">
        <v>25000.000000000004</v>
      </c>
      <c r="S19" s="1">
        <v>25000.000000000004</v>
      </c>
      <c r="T19" s="1"/>
      <c r="U19" s="1"/>
      <c r="V19" s="1"/>
      <c r="W19" s="1"/>
      <c r="X19" s="1">
        <v>350000.00000000006</v>
      </c>
    </row>
    <row r="20" spans="3:24" x14ac:dyDescent="0.35">
      <c r="C20" s="88" t="s">
        <v>20987</v>
      </c>
      <c r="D20" s="1"/>
      <c r="E20" s="1"/>
      <c r="F20" s="1">
        <v>25000.000000000004</v>
      </c>
      <c r="G20" s="1">
        <v>25000.000000000004</v>
      </c>
      <c r="H20" s="1">
        <v>25000.000000000004</v>
      </c>
      <c r="I20" s="1">
        <v>25000.000000000004</v>
      </c>
      <c r="J20" s="1">
        <v>25000.000000000004</v>
      </c>
      <c r="K20" s="1">
        <v>25000.000000000004</v>
      </c>
      <c r="L20" s="1">
        <v>25000.000000000004</v>
      </c>
      <c r="M20" s="1">
        <v>25000.000000000004</v>
      </c>
      <c r="N20" s="1">
        <v>25000.000000000004</v>
      </c>
      <c r="O20" s="1"/>
      <c r="P20" s="1"/>
      <c r="Q20" s="1"/>
      <c r="R20" s="1"/>
      <c r="S20" s="1"/>
      <c r="T20" s="1"/>
      <c r="U20" s="1"/>
      <c r="V20" s="1"/>
      <c r="W20" s="1"/>
      <c r="X20" s="1">
        <v>225000.00000000003</v>
      </c>
    </row>
    <row r="21" spans="3:24" x14ac:dyDescent="0.35">
      <c r="C21" s="88" t="s">
        <v>20988</v>
      </c>
      <c r="D21" s="1"/>
      <c r="E21" s="1"/>
      <c r="F21" s="1">
        <v>50000.000000000007</v>
      </c>
      <c r="G21" s="1">
        <v>50000.000000000007</v>
      </c>
      <c r="H21" s="1">
        <v>50000.000000000007</v>
      </c>
      <c r="I21" s="1">
        <v>50000.000000000007</v>
      </c>
      <c r="J21" s="1">
        <v>50000.000000000007</v>
      </c>
      <c r="K21" s="1">
        <v>50000.000000000007</v>
      </c>
      <c r="L21" s="1">
        <v>50000.000000000007</v>
      </c>
      <c r="M21" s="1">
        <v>50000.000000000007</v>
      </c>
      <c r="N21" s="1">
        <v>50000.000000000007</v>
      </c>
      <c r="O21" s="1">
        <v>50000.000000000007</v>
      </c>
      <c r="P21" s="1">
        <v>50000.000000000007</v>
      </c>
      <c r="Q21" s="1">
        <v>50000.000000000007</v>
      </c>
      <c r="R21" s="1"/>
      <c r="S21" s="1"/>
      <c r="T21" s="1"/>
      <c r="U21" s="1"/>
      <c r="V21" s="1"/>
      <c r="W21" s="1"/>
      <c r="X21" s="1">
        <v>600000.00000000012</v>
      </c>
    </row>
    <row r="22" spans="3:24" x14ac:dyDescent="0.35">
      <c r="C22" s="88" t="s">
        <v>20989</v>
      </c>
      <c r="D22" s="1"/>
      <c r="E22" s="1"/>
      <c r="F22" s="1">
        <v>75000</v>
      </c>
      <c r="G22" s="1">
        <v>75000</v>
      </c>
      <c r="H22" s="1">
        <v>75000</v>
      </c>
      <c r="I22" s="1">
        <v>75000</v>
      </c>
      <c r="J22" s="1">
        <v>75000</v>
      </c>
      <c r="K22" s="1">
        <v>75000</v>
      </c>
      <c r="L22" s="1">
        <v>75000</v>
      </c>
      <c r="M22" s="1">
        <v>75000</v>
      </c>
      <c r="N22" s="1">
        <v>75000</v>
      </c>
      <c r="O22" s="1">
        <v>75000</v>
      </c>
      <c r="P22" s="1">
        <v>75000</v>
      </c>
      <c r="Q22" s="1">
        <v>75000</v>
      </c>
      <c r="R22" s="1">
        <v>75000</v>
      </c>
      <c r="S22" s="1"/>
      <c r="T22" s="1"/>
      <c r="U22" s="1"/>
      <c r="V22" s="1"/>
      <c r="W22" s="1"/>
      <c r="X22" s="1">
        <v>975000</v>
      </c>
    </row>
    <row r="23" spans="3:24" x14ac:dyDescent="0.35">
      <c r="C23" s="88" t="s">
        <v>20990</v>
      </c>
      <c r="D23" s="1"/>
      <c r="E23" s="1"/>
      <c r="F23" s="1">
        <v>30000</v>
      </c>
      <c r="G23" s="1">
        <v>30000</v>
      </c>
      <c r="H23" s="1">
        <v>30000</v>
      </c>
      <c r="I23" s="1">
        <v>30000</v>
      </c>
      <c r="J23" s="1">
        <v>30000</v>
      </c>
      <c r="K23" s="1">
        <v>30000</v>
      </c>
      <c r="L23" s="1">
        <v>30000</v>
      </c>
      <c r="M23" s="1">
        <v>30000</v>
      </c>
      <c r="N23" s="1">
        <v>30000</v>
      </c>
      <c r="O23" s="1">
        <v>30000</v>
      </c>
      <c r="P23" s="1">
        <v>30000</v>
      </c>
      <c r="Q23" s="1">
        <v>30000</v>
      </c>
      <c r="R23" s="1">
        <v>30000</v>
      </c>
      <c r="S23" s="1">
        <v>30000</v>
      </c>
      <c r="T23" s="1"/>
      <c r="U23" s="1"/>
      <c r="V23" s="1"/>
      <c r="W23" s="1"/>
      <c r="X23" s="1">
        <v>420000</v>
      </c>
    </row>
    <row r="24" spans="3:24" x14ac:dyDescent="0.35">
      <c r="C24" s="88" t="s">
        <v>20994</v>
      </c>
      <c r="D24" s="1"/>
      <c r="E24" s="1"/>
      <c r="F24" s="1">
        <v>20000</v>
      </c>
      <c r="G24" s="1">
        <v>20000</v>
      </c>
      <c r="H24" s="1">
        <v>20000</v>
      </c>
      <c r="I24" s="1">
        <v>20000</v>
      </c>
      <c r="J24" s="1">
        <v>20000</v>
      </c>
      <c r="K24" s="1">
        <v>20000</v>
      </c>
      <c r="L24" s="1">
        <v>20000</v>
      </c>
      <c r="M24" s="1">
        <v>20000</v>
      </c>
      <c r="N24" s="1">
        <v>20000</v>
      </c>
      <c r="O24" s="1">
        <v>20000</v>
      </c>
      <c r="P24" s="1">
        <v>20000</v>
      </c>
      <c r="Q24" s="1">
        <v>20000</v>
      </c>
      <c r="R24" s="1">
        <v>20000</v>
      </c>
      <c r="S24" s="1">
        <v>20000</v>
      </c>
      <c r="T24" s="1"/>
      <c r="U24" s="1"/>
      <c r="V24" s="1"/>
      <c r="W24" s="1"/>
      <c r="X24" s="1">
        <v>280000</v>
      </c>
    </row>
    <row r="25" spans="3:24" x14ac:dyDescent="0.35">
      <c r="C25" s="88" t="s">
        <v>20991</v>
      </c>
      <c r="D25" s="1"/>
      <c r="E25" s="1"/>
      <c r="F25" s="1">
        <v>25000.000000000004</v>
      </c>
      <c r="G25" s="1">
        <v>25000.000000000004</v>
      </c>
      <c r="H25" s="1">
        <v>25000.000000000004</v>
      </c>
      <c r="I25" s="1">
        <v>25000.000000000004</v>
      </c>
      <c r="J25" s="1">
        <v>25000.000000000004</v>
      </c>
      <c r="K25" s="1">
        <v>25000.000000000004</v>
      </c>
      <c r="L25" s="1">
        <v>25000.000000000004</v>
      </c>
      <c r="M25" s="1">
        <v>25000.000000000004</v>
      </c>
      <c r="N25" s="1">
        <v>25000.000000000004</v>
      </c>
      <c r="O25" s="1">
        <v>25000.000000000004</v>
      </c>
      <c r="P25" s="1"/>
      <c r="Q25" s="1"/>
      <c r="R25" s="1"/>
      <c r="S25" s="1"/>
      <c r="T25" s="1"/>
      <c r="U25" s="1"/>
      <c r="V25" s="1"/>
      <c r="W25" s="1"/>
      <c r="X25" s="1">
        <v>250000.00000000003</v>
      </c>
    </row>
    <row r="26" spans="3:24" x14ac:dyDescent="0.35">
      <c r="C26" s="88" t="s">
        <v>21006</v>
      </c>
      <c r="D26" s="1"/>
      <c r="E26" s="1"/>
      <c r="F26" s="1">
        <v>15000</v>
      </c>
      <c r="G26" s="1">
        <v>15000</v>
      </c>
      <c r="H26" s="1">
        <v>15000</v>
      </c>
      <c r="I26" s="1">
        <v>15000</v>
      </c>
      <c r="J26" s="1">
        <v>15000</v>
      </c>
      <c r="K26" s="1">
        <v>15000</v>
      </c>
      <c r="L26" s="1">
        <v>15000</v>
      </c>
      <c r="M26" s="1">
        <v>15000</v>
      </c>
      <c r="N26" s="1">
        <v>15000</v>
      </c>
      <c r="O26" s="1"/>
      <c r="P26" s="1"/>
      <c r="Q26" s="1"/>
      <c r="R26" s="1"/>
      <c r="S26" s="1"/>
      <c r="T26" s="1"/>
      <c r="U26" s="1"/>
      <c r="V26" s="1"/>
      <c r="W26" s="1"/>
      <c r="X26" s="1">
        <v>135000</v>
      </c>
    </row>
    <row r="27" spans="3:24" x14ac:dyDescent="0.35">
      <c r="C27" s="88" t="s">
        <v>20992</v>
      </c>
      <c r="D27" s="1"/>
      <c r="E27" s="1"/>
      <c r="F27" s="1">
        <v>10000</v>
      </c>
      <c r="G27" s="1">
        <v>10000</v>
      </c>
      <c r="H27" s="1">
        <v>10000</v>
      </c>
      <c r="I27" s="1">
        <v>10000</v>
      </c>
      <c r="J27" s="1">
        <v>10000</v>
      </c>
      <c r="K27" s="1">
        <v>10000</v>
      </c>
      <c r="L27" s="1">
        <v>10000</v>
      </c>
      <c r="M27" s="1">
        <v>10000</v>
      </c>
      <c r="N27" s="1">
        <v>10000</v>
      </c>
      <c r="O27" s="1">
        <v>10000</v>
      </c>
      <c r="P27" s="1">
        <v>10000</v>
      </c>
      <c r="Q27" s="1">
        <v>10000</v>
      </c>
      <c r="R27" s="1">
        <v>30000</v>
      </c>
      <c r="S27" s="1">
        <v>30000</v>
      </c>
      <c r="T27" s="1">
        <v>30000</v>
      </c>
      <c r="U27" s="1"/>
      <c r="V27" s="1"/>
      <c r="W27" s="1"/>
      <c r="X27" s="1">
        <v>210000</v>
      </c>
    </row>
    <row r="28" spans="3:24" x14ac:dyDescent="0.35">
      <c r="C28" s="88" t="s">
        <v>20993</v>
      </c>
      <c r="D28" s="1"/>
      <c r="E28" s="1"/>
      <c r="F28" s="1">
        <v>5000</v>
      </c>
      <c r="G28" s="1">
        <v>5000</v>
      </c>
      <c r="H28" s="1">
        <v>5000</v>
      </c>
      <c r="I28" s="1">
        <v>5000</v>
      </c>
      <c r="J28" s="1">
        <v>5000</v>
      </c>
      <c r="K28" s="1">
        <v>5000</v>
      </c>
      <c r="L28" s="1"/>
      <c r="M28" s="1"/>
      <c r="N28" s="1"/>
      <c r="O28" s="1"/>
      <c r="P28" s="1"/>
      <c r="Q28" s="1"/>
      <c r="R28" s="1"/>
      <c r="S28" s="1"/>
      <c r="T28" s="1"/>
      <c r="U28" s="1"/>
      <c r="V28" s="1"/>
      <c r="W28" s="1"/>
      <c r="X28" s="1">
        <v>30000</v>
      </c>
    </row>
    <row r="29" spans="3:24" x14ac:dyDescent="0.35">
      <c r="C29" s="88" t="s">
        <v>21008</v>
      </c>
      <c r="D29" s="1"/>
      <c r="E29" s="1"/>
      <c r="F29" s="1"/>
      <c r="G29" s="1"/>
      <c r="H29" s="1"/>
      <c r="I29" s="1"/>
      <c r="J29" s="1"/>
      <c r="K29" s="1"/>
      <c r="L29" s="1">
        <v>500000</v>
      </c>
      <c r="M29" s="1">
        <v>500000</v>
      </c>
      <c r="N29" s="1">
        <v>500000</v>
      </c>
      <c r="O29" s="1">
        <v>500000</v>
      </c>
      <c r="P29" s="1">
        <v>500000</v>
      </c>
      <c r="Q29" s="1">
        <v>500000</v>
      </c>
      <c r="R29" s="1">
        <v>500000</v>
      </c>
      <c r="S29" s="1">
        <v>500000</v>
      </c>
      <c r="T29" s="1">
        <v>500000</v>
      </c>
      <c r="U29" s="1">
        <v>500000</v>
      </c>
      <c r="V29" s="1">
        <v>500000</v>
      </c>
      <c r="W29" s="1">
        <v>500000</v>
      </c>
      <c r="X29" s="1">
        <v>6000000</v>
      </c>
    </row>
    <row r="30" spans="3:24" x14ac:dyDescent="0.35">
      <c r="C30" s="88" t="s">
        <v>20995</v>
      </c>
      <c r="D30" s="1"/>
      <c r="E30" s="1"/>
      <c r="F30" s="1">
        <v>50000.000000000007</v>
      </c>
      <c r="G30" s="1">
        <v>50000.000000000007</v>
      </c>
      <c r="H30" s="1">
        <v>50000.000000000007</v>
      </c>
      <c r="I30" s="1">
        <v>50000.000000000007</v>
      </c>
      <c r="J30" s="1">
        <v>50000.000000000007</v>
      </c>
      <c r="K30" s="1">
        <v>50000.000000000007</v>
      </c>
      <c r="L30" s="1">
        <v>50000.000000000007</v>
      </c>
      <c r="M30" s="1">
        <v>50000.000000000007</v>
      </c>
      <c r="N30" s="1">
        <v>50000.000000000007</v>
      </c>
      <c r="O30" s="1">
        <v>50000.000000000007</v>
      </c>
      <c r="P30" s="1">
        <v>50000.000000000007</v>
      </c>
      <c r="Q30" s="1">
        <v>50000.000000000007</v>
      </c>
      <c r="R30" s="1">
        <v>50000.000000000007</v>
      </c>
      <c r="S30" s="1">
        <v>50000.000000000007</v>
      </c>
      <c r="T30" s="1"/>
      <c r="U30" s="1"/>
      <c r="V30" s="1"/>
      <c r="W30" s="1"/>
      <c r="X30" s="1">
        <v>700000.00000000012</v>
      </c>
    </row>
    <row r="31" spans="3:24" x14ac:dyDescent="0.35">
      <c r="C31" s="88" t="s">
        <v>20996</v>
      </c>
      <c r="D31" s="1"/>
      <c r="E31" s="1"/>
      <c r="F31" s="1">
        <v>20000</v>
      </c>
      <c r="G31" s="1">
        <v>20000</v>
      </c>
      <c r="H31" s="1">
        <v>20000</v>
      </c>
      <c r="I31" s="1">
        <v>20000</v>
      </c>
      <c r="J31" s="1">
        <v>20000</v>
      </c>
      <c r="K31" s="1">
        <v>20000</v>
      </c>
      <c r="L31" s="1"/>
      <c r="M31" s="1"/>
      <c r="N31" s="1"/>
      <c r="O31" s="1"/>
      <c r="P31" s="1"/>
      <c r="Q31" s="1"/>
      <c r="R31" s="1"/>
      <c r="S31" s="1"/>
      <c r="T31" s="1"/>
      <c r="U31" s="1"/>
      <c r="V31" s="1"/>
      <c r="W31" s="1"/>
      <c r="X31" s="1">
        <v>120000</v>
      </c>
    </row>
    <row r="32" spans="3:24" x14ac:dyDescent="0.35">
      <c r="C32" s="88" t="s">
        <v>20997</v>
      </c>
      <c r="D32" s="1"/>
      <c r="E32" s="1"/>
      <c r="F32" s="1">
        <v>25000.000000000004</v>
      </c>
      <c r="G32" s="1">
        <v>25000.000000000004</v>
      </c>
      <c r="H32" s="1">
        <v>25000.000000000004</v>
      </c>
      <c r="I32" s="1">
        <v>25000.000000000004</v>
      </c>
      <c r="J32" s="1">
        <v>25000.000000000004</v>
      </c>
      <c r="K32" s="1">
        <v>25000.000000000004</v>
      </c>
      <c r="L32" s="1"/>
      <c r="M32" s="1"/>
      <c r="N32" s="1"/>
      <c r="O32" s="1"/>
      <c r="P32" s="1"/>
      <c r="Q32" s="1"/>
      <c r="R32" s="1"/>
      <c r="S32" s="1"/>
      <c r="T32" s="1"/>
      <c r="U32" s="1"/>
      <c r="V32" s="1"/>
      <c r="W32" s="1"/>
      <c r="X32" s="1">
        <v>150000.00000000003</v>
      </c>
    </row>
    <row r="33" spans="3:24" x14ac:dyDescent="0.35">
      <c r="C33" s="88" t="s">
        <v>20998</v>
      </c>
      <c r="D33" s="1"/>
      <c r="E33" s="1"/>
      <c r="F33" s="1">
        <v>150000</v>
      </c>
      <c r="G33" s="1">
        <v>150000</v>
      </c>
      <c r="H33" s="1">
        <v>150000</v>
      </c>
      <c r="I33" s="1">
        <v>150000</v>
      </c>
      <c r="J33" s="1">
        <v>150000</v>
      </c>
      <c r="K33" s="1">
        <v>150000</v>
      </c>
      <c r="L33" s="1">
        <v>150000</v>
      </c>
      <c r="M33" s="1">
        <v>150000</v>
      </c>
      <c r="N33" s="1">
        <v>150000</v>
      </c>
      <c r="O33" s="1">
        <v>150000</v>
      </c>
      <c r="P33" s="1">
        <v>150000</v>
      </c>
      <c r="Q33" s="1">
        <v>150000</v>
      </c>
      <c r="R33" s="1"/>
      <c r="S33" s="1"/>
      <c r="T33" s="1"/>
      <c r="U33" s="1"/>
      <c r="V33" s="1"/>
      <c r="W33" s="1"/>
      <c r="X33" s="1">
        <v>1800000</v>
      </c>
    </row>
    <row r="34" spans="3:24" x14ac:dyDescent="0.35">
      <c r="C34" s="88" t="s">
        <v>20999</v>
      </c>
      <c r="D34" s="1"/>
      <c r="E34" s="1"/>
      <c r="F34" s="1">
        <v>25000.000000000004</v>
      </c>
      <c r="G34" s="1">
        <v>25000.000000000004</v>
      </c>
      <c r="H34" s="1">
        <v>25000.000000000004</v>
      </c>
      <c r="I34" s="1">
        <v>25000.000000000004</v>
      </c>
      <c r="J34" s="1">
        <v>25000.000000000004</v>
      </c>
      <c r="K34" s="1">
        <v>25000.000000000004</v>
      </c>
      <c r="L34" s="1">
        <v>25000.000000000004</v>
      </c>
      <c r="M34" s="1">
        <v>25000.000000000004</v>
      </c>
      <c r="N34" s="1">
        <v>25000.000000000004</v>
      </c>
      <c r="O34" s="1">
        <v>25000.000000000004</v>
      </c>
      <c r="P34" s="1">
        <v>25000.000000000004</v>
      </c>
      <c r="Q34" s="1">
        <v>25000.000000000004</v>
      </c>
      <c r="R34" s="1"/>
      <c r="S34" s="1"/>
      <c r="T34" s="1"/>
      <c r="U34" s="1"/>
      <c r="V34" s="1"/>
      <c r="W34" s="1"/>
      <c r="X34" s="1">
        <v>300000.00000000006</v>
      </c>
    </row>
    <row r="35" spans="3:24" x14ac:dyDescent="0.35">
      <c r="C35" s="88" t="s">
        <v>21000</v>
      </c>
      <c r="D35" s="1"/>
      <c r="E35" s="1"/>
      <c r="F35" s="1">
        <v>30000</v>
      </c>
      <c r="G35" s="1">
        <v>30000</v>
      </c>
      <c r="H35" s="1">
        <v>30000</v>
      </c>
      <c r="I35" s="1">
        <v>30000</v>
      </c>
      <c r="J35" s="1">
        <v>30000</v>
      </c>
      <c r="K35" s="1">
        <v>30000</v>
      </c>
      <c r="L35" s="1">
        <v>35000</v>
      </c>
      <c r="M35" s="1">
        <v>35000</v>
      </c>
      <c r="N35" s="1">
        <v>35000</v>
      </c>
      <c r="O35" s="1">
        <v>35000</v>
      </c>
      <c r="P35" s="1">
        <v>35000</v>
      </c>
      <c r="Q35" s="1">
        <v>35000</v>
      </c>
      <c r="R35" s="1">
        <v>35000</v>
      </c>
      <c r="S35" s="1"/>
      <c r="T35" s="1"/>
      <c r="U35" s="1"/>
      <c r="V35" s="1"/>
      <c r="W35" s="1"/>
      <c r="X35" s="1">
        <v>425000</v>
      </c>
    </row>
    <row r="36" spans="3:24" x14ac:dyDescent="0.35">
      <c r="C36" s="88" t="s">
        <v>21007</v>
      </c>
      <c r="D36" s="1"/>
      <c r="E36" s="1"/>
      <c r="F36" s="1"/>
      <c r="G36" s="1"/>
      <c r="H36" s="1"/>
      <c r="I36" s="1"/>
      <c r="J36" s="1"/>
      <c r="K36" s="1"/>
      <c r="L36" s="1">
        <v>50000.000000000007</v>
      </c>
      <c r="M36" s="1">
        <v>50000.000000000007</v>
      </c>
      <c r="N36" s="1">
        <v>50000.000000000007</v>
      </c>
      <c r="O36" s="1">
        <v>50000.000000000007</v>
      </c>
      <c r="P36" s="1">
        <v>50000.000000000007</v>
      </c>
      <c r="Q36" s="1">
        <v>50000.000000000007</v>
      </c>
      <c r="R36" s="1"/>
      <c r="S36" s="1"/>
      <c r="T36" s="1"/>
      <c r="U36" s="1"/>
      <c r="V36" s="1"/>
      <c r="W36" s="1"/>
      <c r="X36" s="1">
        <v>300000.00000000006</v>
      </c>
    </row>
    <row r="37" spans="3:24" x14ac:dyDescent="0.35">
      <c r="C37" s="88" t="s">
        <v>21001</v>
      </c>
      <c r="D37" s="1"/>
      <c r="E37" s="1"/>
      <c r="F37" s="1">
        <v>40000</v>
      </c>
      <c r="G37" s="1">
        <v>40000</v>
      </c>
      <c r="H37" s="1">
        <v>40000</v>
      </c>
      <c r="I37" s="1">
        <v>40000</v>
      </c>
      <c r="J37" s="1">
        <v>40000</v>
      </c>
      <c r="K37" s="1">
        <v>40000</v>
      </c>
      <c r="L37" s="1">
        <v>40000</v>
      </c>
      <c r="M37" s="1">
        <v>40000</v>
      </c>
      <c r="N37" s="1">
        <v>40000</v>
      </c>
      <c r="O37" s="1">
        <v>40000</v>
      </c>
      <c r="P37" s="1">
        <v>40000</v>
      </c>
      <c r="Q37" s="1">
        <v>40000</v>
      </c>
      <c r="R37" s="1">
        <v>40000</v>
      </c>
      <c r="S37" s="1">
        <v>40000</v>
      </c>
      <c r="T37" s="1">
        <v>40000</v>
      </c>
      <c r="U37" s="1"/>
      <c r="V37" s="1"/>
      <c r="W37" s="1"/>
      <c r="X37" s="1">
        <v>600000</v>
      </c>
    </row>
    <row r="38" spans="3:24" x14ac:dyDescent="0.35">
      <c r="C38" s="88" t="s">
        <v>21002</v>
      </c>
      <c r="D38" s="1"/>
      <c r="E38" s="1"/>
      <c r="F38" s="1">
        <v>100000.00000000001</v>
      </c>
      <c r="G38" s="1">
        <v>100000.00000000001</v>
      </c>
      <c r="H38" s="1">
        <v>100000.00000000001</v>
      </c>
      <c r="I38" s="1">
        <v>100000.00000000001</v>
      </c>
      <c r="J38" s="1">
        <v>100000.00000000001</v>
      </c>
      <c r="K38" s="1">
        <v>100000.00000000001</v>
      </c>
      <c r="L38" s="1">
        <v>100000.00000000001</v>
      </c>
      <c r="M38" s="1">
        <v>100000.00000000001</v>
      </c>
      <c r="N38" s="1">
        <v>100000.00000000001</v>
      </c>
      <c r="O38" s="1">
        <v>100000.00000000001</v>
      </c>
      <c r="P38" s="1"/>
      <c r="Q38" s="1"/>
      <c r="R38" s="1"/>
      <c r="S38" s="1"/>
      <c r="T38" s="1"/>
      <c r="U38" s="1"/>
      <c r="V38" s="1"/>
      <c r="W38" s="1"/>
      <c r="X38" s="1">
        <v>1000000.0000000001</v>
      </c>
    </row>
    <row r="39" spans="3:24" x14ac:dyDescent="0.35">
      <c r="C39" s="87" t="s">
        <v>61</v>
      </c>
      <c r="D39" s="1"/>
      <c r="E39" s="1"/>
      <c r="F39" s="1"/>
      <c r="G39" s="1"/>
      <c r="H39" s="1"/>
      <c r="I39" s="1"/>
      <c r="J39" s="1"/>
      <c r="K39" s="1"/>
      <c r="L39" s="1"/>
      <c r="M39" s="1"/>
      <c r="N39" s="1"/>
      <c r="O39" s="1"/>
      <c r="P39" s="1"/>
      <c r="Q39" s="1"/>
      <c r="R39" s="1"/>
      <c r="S39" s="1"/>
      <c r="T39" s="1"/>
      <c r="U39" s="1"/>
      <c r="V39" s="1"/>
      <c r="W39" s="1"/>
      <c r="X39" s="1"/>
    </row>
    <row r="40" spans="3:24" x14ac:dyDescent="0.35">
      <c r="C40" s="88" t="s">
        <v>61</v>
      </c>
      <c r="D40" s="1"/>
      <c r="E40" s="1"/>
      <c r="F40" s="1"/>
      <c r="G40" s="1"/>
      <c r="H40" s="1"/>
      <c r="I40" s="1"/>
      <c r="J40" s="1"/>
      <c r="K40" s="1"/>
      <c r="L40" s="1"/>
      <c r="M40" s="1"/>
      <c r="N40" s="1"/>
      <c r="O40" s="1"/>
      <c r="P40" s="1"/>
      <c r="Q40" s="1"/>
      <c r="R40" s="1"/>
      <c r="S40" s="1"/>
      <c r="T40" s="1"/>
      <c r="U40" s="1"/>
      <c r="V40" s="1"/>
      <c r="W40" s="1"/>
      <c r="X40" s="1"/>
    </row>
    <row r="41" spans="3:24" x14ac:dyDescent="0.35">
      <c r="C41" s="87" t="s">
        <v>21014</v>
      </c>
      <c r="D41" s="1"/>
      <c r="E41" s="1">
        <v>4980000</v>
      </c>
      <c r="F41" s="1"/>
      <c r="G41" s="1"/>
      <c r="H41" s="1"/>
      <c r="I41" s="1"/>
      <c r="J41" s="1"/>
      <c r="K41" s="1"/>
      <c r="L41" s="1">
        <v>20000</v>
      </c>
      <c r="M41" s="1"/>
      <c r="N41" s="1"/>
      <c r="O41" s="1"/>
      <c r="P41" s="1"/>
      <c r="Q41" s="1"/>
      <c r="R41" s="1"/>
      <c r="S41" s="1"/>
      <c r="T41" s="1"/>
      <c r="U41" s="1"/>
      <c r="V41" s="1"/>
      <c r="W41" s="1"/>
      <c r="X41" s="1">
        <v>5000000</v>
      </c>
    </row>
    <row r="42" spans="3:24" x14ac:dyDescent="0.35">
      <c r="C42" s="88"/>
      <c r="D42" s="1"/>
      <c r="E42" s="1">
        <v>4980000</v>
      </c>
      <c r="F42" s="1"/>
      <c r="G42" s="1"/>
      <c r="H42" s="1"/>
      <c r="I42" s="1"/>
      <c r="J42" s="1"/>
      <c r="K42" s="1"/>
      <c r="L42" s="1">
        <v>20000</v>
      </c>
      <c r="M42" s="1"/>
      <c r="N42" s="1"/>
      <c r="O42" s="1"/>
      <c r="P42" s="1"/>
      <c r="Q42" s="1"/>
      <c r="R42" s="1"/>
      <c r="S42" s="1"/>
      <c r="T42" s="1"/>
      <c r="U42" s="1"/>
      <c r="V42" s="1"/>
      <c r="W42" s="1"/>
      <c r="X42" s="1">
        <v>5000000</v>
      </c>
    </row>
    <row r="43" spans="3:24" x14ac:dyDescent="0.35">
      <c r="C43" s="87" t="s">
        <v>62</v>
      </c>
      <c r="D43" s="1"/>
      <c r="E43" s="1">
        <v>4980000</v>
      </c>
      <c r="F43" s="1">
        <v>925000</v>
      </c>
      <c r="G43" s="1">
        <v>876000</v>
      </c>
      <c r="H43" s="1">
        <v>876000</v>
      </c>
      <c r="I43" s="1">
        <v>876000</v>
      </c>
      <c r="J43" s="1">
        <v>876000</v>
      </c>
      <c r="K43" s="1">
        <v>876000</v>
      </c>
      <c r="L43" s="1">
        <v>1375000</v>
      </c>
      <c r="M43" s="1">
        <v>1355000</v>
      </c>
      <c r="N43" s="1">
        <v>1355000</v>
      </c>
      <c r="O43" s="1">
        <v>1315000</v>
      </c>
      <c r="P43" s="1">
        <v>1165000</v>
      </c>
      <c r="Q43" s="1">
        <v>1165000</v>
      </c>
      <c r="R43" s="1">
        <v>910000</v>
      </c>
      <c r="S43" s="1">
        <v>780000</v>
      </c>
      <c r="T43" s="1">
        <v>655000</v>
      </c>
      <c r="U43" s="1">
        <v>505000</v>
      </c>
      <c r="V43" s="1">
        <v>505000</v>
      </c>
      <c r="W43" s="1">
        <v>505000</v>
      </c>
      <c r="X43" s="1">
        <v>21875000</v>
      </c>
    </row>
  </sheetData>
  <conditionalFormatting sqref="C2:AB2">
    <cfRule type="expression" dxfId="15" priority="1">
      <formula>IF($B$2="Protected",FALSE,TRUE)</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E112"/>
  <sheetViews>
    <sheetView showGridLines="0" topLeftCell="C3" workbookViewId="0">
      <selection activeCell="C3" sqref="C3"/>
    </sheetView>
  </sheetViews>
  <sheetFormatPr defaultColWidth="9.1796875" defaultRowHeight="14.5" x14ac:dyDescent="0.35"/>
  <cols>
    <col min="1" max="1" width="9.1796875" style="52" hidden="1" customWidth="1"/>
    <col min="2" max="2" width="0" style="48" hidden="1" customWidth="1"/>
    <col min="3" max="3" width="12" style="48" customWidth="1"/>
    <col min="4" max="5" width="15.54296875" style="48" customWidth="1"/>
    <col min="6" max="16384" width="9.1796875" style="48"/>
  </cols>
  <sheetData>
    <row r="1" spans="1:5" s="52" customFormat="1" hidden="1" x14ac:dyDescent="0.35">
      <c r="A1" s="30" t="s">
        <v>20922</v>
      </c>
      <c r="B1" s="53" t="s">
        <v>22</v>
      </c>
    </row>
    <row r="2" spans="1:5" hidden="1" x14ac:dyDescent="0.35">
      <c r="A2" s="53" t="s">
        <v>22</v>
      </c>
    </row>
    <row r="3" spans="1:5" ht="23.5" x14ac:dyDescent="0.55000000000000004">
      <c r="C3" s="79" t="s">
        <v>86</v>
      </c>
    </row>
    <row r="4" spans="1:5" ht="39" customHeight="1" x14ac:dyDescent="0.55000000000000004">
      <c r="C4" s="79"/>
    </row>
    <row r="5" spans="1:5" ht="18.5" x14ac:dyDescent="0.45">
      <c r="D5" s="90" t="s">
        <v>88</v>
      </c>
      <c r="E5" s="90" t="s">
        <v>1</v>
      </c>
    </row>
    <row r="6" spans="1:5" ht="15.5" x14ac:dyDescent="0.35">
      <c r="A6" s="59"/>
      <c r="D6" s="91"/>
      <c r="E6" s="92" t="e">
        <f>INDEX(DanaSehat!$K$13:$K$56,MATCH($D$6,DanaSehat!$L$13:$L$56,0))</f>
        <v>#N/A</v>
      </c>
    </row>
    <row r="7" spans="1:5" x14ac:dyDescent="0.35">
      <c r="A7" s="59"/>
    </row>
    <row r="8" spans="1:5" x14ac:dyDescent="0.35">
      <c r="A8" s="59"/>
      <c r="C8" s="93" t="s">
        <v>87</v>
      </c>
      <c r="D8" s="93" t="s">
        <v>78</v>
      </c>
      <c r="E8" s="93" t="s">
        <v>80</v>
      </c>
    </row>
    <row r="9" spans="1:5" x14ac:dyDescent="0.35">
      <c r="A9" s="59"/>
      <c r="C9" s="20">
        <f>DanaSehat!$N$11</f>
        <v>42186</v>
      </c>
      <c r="D9" s="21">
        <f>SUMIFS(IuranDSSebelumnya!$N$330:$N$772,IuranDSSebelumnya!$J$330:$J$772,$E$6,IuranDSSebelumnya!$M$330:$M$772,$C9)</f>
        <v>0</v>
      </c>
      <c r="E9" s="21">
        <f>SUMIFS(IuranSYSebelumnya!$N$330:$N$772,IuranSYSebelumnya!$J$330:$J$772,$E$6,IuranSYSebelumnya!$M$330:$M$772,$C9)</f>
        <v>0</v>
      </c>
    </row>
    <row r="10" spans="1:5" x14ac:dyDescent="0.35">
      <c r="A10" s="59"/>
      <c r="C10" s="20">
        <f>DanaSehat!$O$11</f>
        <v>42217</v>
      </c>
      <c r="D10" s="21">
        <f>SUMIFS(IuranDSSebelumnya!$N$330:$N$772,IuranDSSebelumnya!$J$330:$J$772,$E$6,IuranDSSebelumnya!$M$330:$M$772,$C10)</f>
        <v>0</v>
      </c>
      <c r="E10" s="21">
        <f>SUMIFS(IuranSYSebelumnya!$N$330:$N$772,IuranSYSebelumnya!$J$330:$J$772,$E$6,IuranSYSebelumnya!$M$330:$M$772,$C10)</f>
        <v>0</v>
      </c>
    </row>
    <row r="11" spans="1:5" x14ac:dyDescent="0.35">
      <c r="A11" s="59"/>
      <c r="C11" s="20">
        <f>DanaSehat!$P$11</f>
        <v>42248</v>
      </c>
      <c r="D11" s="21">
        <f>SUMIFS(IuranDSSebelumnya!$N$330:$N$772,IuranDSSebelumnya!$J$330:$J$772,$E$6,IuranDSSebelumnya!$M$330:$M$772,$C11)</f>
        <v>0</v>
      </c>
      <c r="E11" s="21">
        <f>SUMIFS(IuranSYSebelumnya!$N$330:$N$772,IuranSYSebelumnya!$J$330:$J$772,$E$6,IuranSYSebelumnya!$M$330:$M$772,$C11)</f>
        <v>0</v>
      </c>
    </row>
    <row r="12" spans="1:5" x14ac:dyDescent="0.35">
      <c r="A12" s="59"/>
      <c r="C12" s="20">
        <f>DanaSehat!$Q$11</f>
        <v>42278</v>
      </c>
      <c r="D12" s="21">
        <f>SUMIFS(IuranDSSebelumnya!$N$330:$N$772,IuranDSSebelumnya!$J$330:$J$772,$E$6,IuranDSSebelumnya!$M$330:$M$772,$C12)</f>
        <v>0</v>
      </c>
      <c r="E12" s="21">
        <f>SUMIFS(IuranSYSebelumnya!$N$330:$N$772,IuranSYSebelumnya!$J$330:$J$772,$E$6,IuranSYSebelumnya!$M$330:$M$772,$C12)</f>
        <v>0</v>
      </c>
    </row>
    <row r="13" spans="1:5" x14ac:dyDescent="0.35">
      <c r="A13" s="59"/>
      <c r="C13" s="20">
        <f>DanaSehat!$R$11</f>
        <v>42309</v>
      </c>
      <c r="D13" s="21">
        <f>SUMIFS(IuranDSSebelumnya!$N$330:$N$772,IuranDSSebelumnya!$J$330:$J$772,$E$6,IuranDSSebelumnya!$M$330:$M$772,$C13)</f>
        <v>0</v>
      </c>
      <c r="E13" s="21">
        <f>SUMIFS(IuranSYSebelumnya!$N$330:$N$772,IuranSYSebelumnya!$J$330:$J$772,$E$6,IuranSYSebelumnya!$M$330:$M$772,$C13)</f>
        <v>0</v>
      </c>
    </row>
    <row r="14" spans="1:5" ht="15" thickBot="1" x14ac:dyDescent="0.4">
      <c r="A14" s="59"/>
      <c r="C14" s="24">
        <f>DanaSehat!$S$11</f>
        <v>42339</v>
      </c>
      <c r="D14" s="25">
        <f>SUMIFS(IuranDSSebelumnya!$N$330:$N$772,IuranDSSebelumnya!$J$330:$J$772,$E$6,IuranDSSebelumnya!$M$330:$M$772,$C14)</f>
        <v>0</v>
      </c>
      <c r="E14" s="25">
        <f>SUMIFS(IuranSYSebelumnya!$N$330:$N$772,IuranSYSebelumnya!$J$330:$J$772,$E$6,IuranSYSebelumnya!$M$330:$M$772,$C14)</f>
        <v>0</v>
      </c>
    </row>
    <row r="15" spans="1:5" x14ac:dyDescent="0.35">
      <c r="A15" s="59"/>
      <c r="C15" s="22">
        <f>DanaSehat!$T$11</f>
        <v>42370</v>
      </c>
      <c r="D15" s="23">
        <f>SUMIFS(IuranDSSebelumnya!$N$330:$N$772,IuranDSSebelumnya!$J$330:$J$772,$E$6,IuranDSSebelumnya!$M$330:$M$772,$C15)</f>
        <v>0</v>
      </c>
      <c r="E15" s="23">
        <f>SUMIFS(IuranSYSebelumnya!$N$330:$N$772,IuranSYSebelumnya!$J$330:$J$772,$E$6,IuranSYSebelumnya!$M$330:$M$772,$C15)</f>
        <v>0</v>
      </c>
    </row>
    <row r="16" spans="1:5" x14ac:dyDescent="0.35">
      <c r="A16" s="59"/>
      <c r="C16" s="20">
        <f>DanaSehat!$U$11</f>
        <v>42401</v>
      </c>
      <c r="D16" s="21">
        <f>SUMIFS(IuranDSSebelumnya!$N$330:$N$772,IuranDSSebelumnya!$J$330:$J$772,$E$6,IuranDSSebelumnya!$M$330:$M$772,$C16)</f>
        <v>0</v>
      </c>
      <c r="E16" s="21">
        <f>SUMIFS(IuranSYSebelumnya!$N$330:$N$772,IuranSYSebelumnya!$J$330:$J$772,$E$6,IuranSYSebelumnya!$M$330:$M$772,$C16)</f>
        <v>0</v>
      </c>
    </row>
    <row r="17" spans="1:5" x14ac:dyDescent="0.35">
      <c r="A17" s="59"/>
      <c r="C17" s="20">
        <f>DanaSehat!$V$11</f>
        <v>42430</v>
      </c>
      <c r="D17" s="21">
        <f>SUMIFS(IuranDSSebelumnya!$N$330:$N$772,IuranDSSebelumnya!$J$330:$J$772,$E$6,IuranDSSebelumnya!$M$330:$M$772,$C17)</f>
        <v>0</v>
      </c>
      <c r="E17" s="21">
        <f>SUMIFS(IuranSYSebelumnya!$N$330:$N$772,IuranSYSebelumnya!$J$330:$J$772,$E$6,IuranSYSebelumnya!$M$330:$M$772,$C17)</f>
        <v>0</v>
      </c>
    </row>
    <row r="18" spans="1:5" x14ac:dyDescent="0.35">
      <c r="A18" s="59"/>
      <c r="C18" s="20">
        <f>DanaSehat!$W$11</f>
        <v>42461</v>
      </c>
      <c r="D18" s="21">
        <f>SUMIFS(IuranDSSebelumnya!$N$330:$N$772,IuranDSSebelumnya!$J$330:$J$772,$E$6,IuranDSSebelumnya!$M$330:$M$772,$C18)</f>
        <v>0</v>
      </c>
      <c r="E18" s="21">
        <f>SUMIFS(IuranSYSebelumnya!$N$330:$N$772,IuranSYSebelumnya!$J$330:$J$772,$E$6,IuranSYSebelumnya!$M$330:$M$772,$C18)</f>
        <v>0</v>
      </c>
    </row>
    <row r="19" spans="1:5" x14ac:dyDescent="0.35">
      <c r="A19" s="59"/>
      <c r="C19" s="20">
        <f>DanaSehat!$X$11</f>
        <v>42491</v>
      </c>
      <c r="D19" s="21">
        <f>SUMIFS(IuranDSSebelumnya!$N$330:$N$772,IuranDSSebelumnya!$J$330:$J$772,$E$6,IuranDSSebelumnya!$M$330:$M$772,$C19)</f>
        <v>0</v>
      </c>
      <c r="E19" s="21">
        <f>SUMIFS(IuranSYSebelumnya!$N$330:$N$772,IuranSYSebelumnya!$J$330:$J$772,$E$6,IuranSYSebelumnya!$M$330:$M$772,$C19)</f>
        <v>0</v>
      </c>
    </row>
    <row r="20" spans="1:5" x14ac:dyDescent="0.35">
      <c r="A20" s="59"/>
      <c r="C20" s="19">
        <f>DanaSehat!$Y$11</f>
        <v>42522</v>
      </c>
      <c r="D20" s="21">
        <f>SUMIFS(IuranDSSebelumnya!$N$330:$N$772,IuranDSSebelumnya!$J$330:$J$772,$E$6,IuranDSSebelumnya!$M$330:$M$772,$C20)</f>
        <v>0</v>
      </c>
      <c r="E20" s="21">
        <f>SUMIFS(IuranSYSebelumnya!$N$330:$N$772,IuranSYSebelumnya!$J$330:$J$772,$E$6,IuranSYSebelumnya!$M$330:$M$772,$C20)</f>
        <v>0</v>
      </c>
    </row>
    <row r="21" spans="1:5" x14ac:dyDescent="0.35">
      <c r="A21" s="59"/>
      <c r="C21" s="19">
        <f>DanaSehat!$Z$11</f>
        <v>42552</v>
      </c>
      <c r="D21" s="21">
        <f>SUMIFS(IuranDSSebelumnya!$N$330:$N$772,IuranDSSebelumnya!$J$330:$J$772,$E$6,IuranDSSebelumnya!$M$330:$M$772,$C21)</f>
        <v>0</v>
      </c>
      <c r="E21" s="21">
        <f>SUMIFS(IuranSYSebelumnya!$N$330:$N$772,IuranSYSebelumnya!$J$330:$J$772,$E$6,IuranSYSebelumnya!$M$330:$M$772,$C21)</f>
        <v>0</v>
      </c>
    </row>
    <row r="22" spans="1:5" x14ac:dyDescent="0.35">
      <c r="A22" s="59"/>
      <c r="C22" s="19">
        <f>DanaSehat!$AA$11</f>
        <v>42583</v>
      </c>
      <c r="D22" s="21">
        <f>SUMIFS(IuranDSSebelumnya!$N$330:$N$772,IuranDSSebelumnya!$J$330:$J$772,$E$6,IuranDSSebelumnya!$M$330:$M$772,$C22)</f>
        <v>0</v>
      </c>
      <c r="E22" s="21">
        <f>SUMIFS(IuranSYSebelumnya!$N$330:$N$772,IuranSYSebelumnya!$J$330:$J$772,$E$6,IuranSYSebelumnya!$M$330:$M$772,$C22)</f>
        <v>0</v>
      </c>
    </row>
    <row r="23" spans="1:5" x14ac:dyDescent="0.35">
      <c r="A23" s="59"/>
      <c r="C23" s="19">
        <f>DanaSehat!$AB$11</f>
        <v>42614</v>
      </c>
      <c r="D23" s="21">
        <f>SUMIFS(IuranDSSebelumnya!$N$330:$N$772,IuranDSSebelumnya!$J$330:$J$772,$E$6,IuranDSSebelumnya!$M$330:$M$772,$C23)</f>
        <v>0</v>
      </c>
      <c r="E23" s="21">
        <f>SUMIFS(IuranSYSebelumnya!$N$330:$N$772,IuranSYSebelumnya!$J$330:$J$772,$E$6,IuranSYSebelumnya!$M$330:$M$772,$C23)</f>
        <v>0</v>
      </c>
    </row>
    <row r="24" spans="1:5" x14ac:dyDescent="0.35">
      <c r="A24" s="59"/>
      <c r="C24" s="19">
        <f>DanaSehat!$AC$11</f>
        <v>42644</v>
      </c>
      <c r="D24" s="21">
        <f>SUMIFS(IuranDSSebelumnya!$N$330:$N$772,IuranDSSebelumnya!$J$330:$J$772,$E$6,IuranDSSebelumnya!$M$330:$M$772,$C24)</f>
        <v>0</v>
      </c>
      <c r="E24" s="21">
        <f>SUMIFS(IuranSYSebelumnya!$N$330:$N$772,IuranSYSebelumnya!$J$330:$J$772,$E$6,IuranSYSebelumnya!$M$330:$M$772,$C24)</f>
        <v>0</v>
      </c>
    </row>
    <row r="25" spans="1:5" x14ac:dyDescent="0.35">
      <c r="A25" s="59"/>
      <c r="C25" s="19">
        <f>DanaSehat!$AD$11</f>
        <v>42675</v>
      </c>
      <c r="D25" s="21">
        <f>SUMIFS(IuranDSSebelumnya!$N$330:$N$772,IuranDSSebelumnya!$J$330:$J$772,$E$6,IuranDSSebelumnya!$M$330:$M$772,$C25)</f>
        <v>0</v>
      </c>
      <c r="E25" s="21">
        <f>SUMIFS(IuranSYSebelumnya!$N$330:$N$772,IuranSYSebelumnya!$J$330:$J$772,$E$6,IuranSYSebelumnya!$M$330:$M$772,$C25)</f>
        <v>0</v>
      </c>
    </row>
    <row r="26" spans="1:5" ht="15" thickBot="1" x14ac:dyDescent="0.4">
      <c r="A26" s="59"/>
      <c r="C26" s="27">
        <f>DanaSehat!$AE$11</f>
        <v>42705</v>
      </c>
      <c r="D26" s="25">
        <f>SUMIFS(IuranDSSebelumnya!$N$330:$N$772,IuranDSSebelumnya!$J$330:$J$772,$E$6,IuranDSSebelumnya!$M$330:$M$772,$C26)</f>
        <v>0</v>
      </c>
      <c r="E26" s="25">
        <f>SUMIFS(IuranSYSebelumnya!$N$330:$N$772,IuranSYSebelumnya!$J$330:$J$772,$E$6,IuranSYSebelumnya!$M$330:$M$772,$C26)</f>
        <v>0</v>
      </c>
    </row>
    <row r="27" spans="1:5" x14ac:dyDescent="0.35">
      <c r="A27" s="59"/>
      <c r="C27" s="26">
        <f>DanaSehat!$AF$11</f>
        <v>42736</v>
      </c>
      <c r="D27" s="23">
        <f>SUMIFS(IuranDSSebelumnya!$N$330:$N$772,IuranDSSebelumnya!$J$330:$J$772,$E$6,IuranDSSebelumnya!$M$330:$M$772,$C27)</f>
        <v>0</v>
      </c>
      <c r="E27" s="23">
        <f>SUMIFS(IuranSYSebelumnya!$N$330:$N$772,IuranSYSebelumnya!$J$330:$J$772,$E$6,IuranSYSebelumnya!$M$330:$M$772,$C27)</f>
        <v>0</v>
      </c>
    </row>
    <row r="28" spans="1:5" x14ac:dyDescent="0.35">
      <c r="A28" s="59"/>
      <c r="C28" s="19">
        <f>DanaSehat!$AG$11</f>
        <v>42767</v>
      </c>
      <c r="D28" s="21">
        <f>SUMIFS(IuranDSSebelumnya!$N$330:$N$772,IuranDSSebelumnya!$J$330:$J$772,$E$6,IuranDSSebelumnya!$M$330:$M$772,$C28)</f>
        <v>0</v>
      </c>
      <c r="E28" s="21">
        <f>SUMIFS(IuranSYSebelumnya!$N$330:$N$772,IuranSYSebelumnya!$J$330:$J$772,$E$6,IuranSYSebelumnya!$M$330:$M$772,$C28)</f>
        <v>0</v>
      </c>
    </row>
    <row r="29" spans="1:5" x14ac:dyDescent="0.35">
      <c r="A29" s="59"/>
      <c r="C29" s="19">
        <f>DanaSehat!$AH$11</f>
        <v>42795</v>
      </c>
      <c r="D29" s="21">
        <f>SUMIFS(IuranDSSebelumnya!$N$330:$N$772,IuranDSSebelumnya!$J$330:$J$772,$E$6,IuranDSSebelumnya!$M$330:$M$772,$C29)</f>
        <v>0</v>
      </c>
      <c r="E29" s="21">
        <f>SUMIFS(IuranSYSebelumnya!$N$330:$N$772,IuranSYSebelumnya!$J$330:$J$772,$E$6,IuranSYSebelumnya!$M$330:$M$772,$C29)</f>
        <v>0</v>
      </c>
    </row>
    <row r="30" spans="1:5" x14ac:dyDescent="0.35">
      <c r="A30" s="59"/>
      <c r="C30" s="19">
        <f>DanaSehat!$AI$11</f>
        <v>42826</v>
      </c>
      <c r="D30" s="21">
        <f>SUMIFS(IuranDSSebelumnya!$N$330:$N$772,IuranDSSebelumnya!$J$330:$J$772,$E$6,IuranDSSebelumnya!$M$330:$M$772,$C30)</f>
        <v>0</v>
      </c>
      <c r="E30" s="21">
        <f>SUMIFS(IuranSYSebelumnya!$N$330:$N$772,IuranSYSebelumnya!$J$330:$J$772,$E$6,IuranSYSebelumnya!$M$330:$M$772,$C30)</f>
        <v>0</v>
      </c>
    </row>
    <row r="31" spans="1:5" x14ac:dyDescent="0.35">
      <c r="A31" s="59"/>
      <c r="C31" s="19">
        <f>DanaSehat!$AJ$11</f>
        <v>42856</v>
      </c>
      <c r="D31" s="21">
        <f>SUMIFS(IuranDSSebelumnya!$N$330:$N$772,IuranDSSebelumnya!$J$330:$J$772,$E$6,IuranDSSebelumnya!$M$330:$M$772,$C31)</f>
        <v>0</v>
      </c>
      <c r="E31" s="21">
        <f>SUMIFS(IuranSYSebelumnya!$N$330:$N$772,IuranSYSebelumnya!$J$330:$J$772,$E$6,IuranSYSebelumnya!$M$330:$M$772,$C31)</f>
        <v>0</v>
      </c>
    </row>
    <row r="32" spans="1:5" x14ac:dyDescent="0.35">
      <c r="A32" s="59"/>
      <c r="C32" s="19">
        <f>DanaSehat!$AK$11</f>
        <v>42887</v>
      </c>
      <c r="D32" s="21">
        <f>SUMIFS(IuranDSSebelumnya!$N$330:$N$772,IuranDSSebelumnya!$J$330:$J$772,$E$6,IuranDSSebelumnya!$M$330:$M$772,$C32)</f>
        <v>0</v>
      </c>
      <c r="E32" s="21">
        <f>SUMIFS(IuranSYSebelumnya!$N$330:$N$772,IuranSYSebelumnya!$J$330:$J$772,$E$6,IuranSYSebelumnya!$M$330:$M$772,$C32)</f>
        <v>0</v>
      </c>
    </row>
    <row r="33" spans="1:1" x14ac:dyDescent="0.35">
      <c r="A33" s="59"/>
    </row>
    <row r="34" spans="1:1" x14ac:dyDescent="0.35">
      <c r="A34" s="59"/>
    </row>
    <row r="35" spans="1:1" x14ac:dyDescent="0.35">
      <c r="A35" s="59"/>
    </row>
    <row r="36" spans="1:1" x14ac:dyDescent="0.35">
      <c r="A36" s="59"/>
    </row>
    <row r="37" spans="1:1" x14ac:dyDescent="0.35">
      <c r="A37" s="59"/>
    </row>
    <row r="38" spans="1:1" x14ac:dyDescent="0.35">
      <c r="A38" s="59"/>
    </row>
    <row r="39" spans="1:1" x14ac:dyDescent="0.35">
      <c r="A39" s="59"/>
    </row>
    <row r="40" spans="1:1" x14ac:dyDescent="0.35">
      <c r="A40" s="59"/>
    </row>
    <row r="41" spans="1:1" x14ac:dyDescent="0.35">
      <c r="A41" s="59"/>
    </row>
    <row r="42" spans="1:1" x14ac:dyDescent="0.35">
      <c r="A42" s="59"/>
    </row>
    <row r="43" spans="1:1" x14ac:dyDescent="0.35">
      <c r="A43" s="59"/>
    </row>
    <row r="44" spans="1:1" x14ac:dyDescent="0.35">
      <c r="A44" s="59"/>
    </row>
    <row r="45" spans="1:1" x14ac:dyDescent="0.35">
      <c r="A45" s="59"/>
    </row>
    <row r="46" spans="1:1" x14ac:dyDescent="0.35">
      <c r="A46" s="59"/>
    </row>
    <row r="47" spans="1:1" x14ac:dyDescent="0.35">
      <c r="A47" s="59"/>
    </row>
    <row r="48" spans="1:1" x14ac:dyDescent="0.35">
      <c r="A48" s="59"/>
    </row>
    <row r="49" spans="1:1" x14ac:dyDescent="0.35">
      <c r="A49" s="59"/>
    </row>
    <row r="50" spans="1:1" x14ac:dyDescent="0.35">
      <c r="A50" s="59"/>
    </row>
    <row r="51" spans="1:1" x14ac:dyDescent="0.35">
      <c r="A51" s="59"/>
    </row>
    <row r="52" spans="1:1" x14ac:dyDescent="0.35">
      <c r="A52" s="59"/>
    </row>
    <row r="53" spans="1:1" x14ac:dyDescent="0.35">
      <c r="A53" s="59"/>
    </row>
    <row r="54" spans="1:1" x14ac:dyDescent="0.35">
      <c r="A54" s="59"/>
    </row>
    <row r="55" spans="1:1" x14ac:dyDescent="0.35">
      <c r="A55" s="59"/>
    </row>
    <row r="56" spans="1:1" x14ac:dyDescent="0.35">
      <c r="A56" s="59"/>
    </row>
    <row r="57" spans="1:1" x14ac:dyDescent="0.35">
      <c r="A57" s="59"/>
    </row>
    <row r="58" spans="1:1" x14ac:dyDescent="0.35">
      <c r="A58" s="59"/>
    </row>
    <row r="59" spans="1:1" x14ac:dyDescent="0.35">
      <c r="A59" s="59"/>
    </row>
    <row r="60" spans="1:1" x14ac:dyDescent="0.35">
      <c r="A60" s="59"/>
    </row>
    <row r="61" spans="1:1" x14ac:dyDescent="0.35">
      <c r="A61" s="59"/>
    </row>
    <row r="62" spans="1:1" x14ac:dyDescent="0.35">
      <c r="A62" s="59"/>
    </row>
    <row r="63" spans="1:1" x14ac:dyDescent="0.35">
      <c r="A63" s="59"/>
    </row>
    <row r="64" spans="1:1" x14ac:dyDescent="0.35">
      <c r="A64" s="59"/>
    </row>
    <row r="65" spans="1:1" x14ac:dyDescent="0.35">
      <c r="A65" s="59"/>
    </row>
    <row r="66" spans="1:1" x14ac:dyDescent="0.35">
      <c r="A66" s="59"/>
    </row>
    <row r="67" spans="1:1" x14ac:dyDescent="0.35">
      <c r="A67" s="59"/>
    </row>
    <row r="68" spans="1:1" x14ac:dyDescent="0.35">
      <c r="A68" s="59"/>
    </row>
    <row r="69" spans="1:1" x14ac:dyDescent="0.35">
      <c r="A69" s="59"/>
    </row>
    <row r="70" spans="1:1" x14ac:dyDescent="0.35">
      <c r="A70" s="59"/>
    </row>
    <row r="71" spans="1:1" x14ac:dyDescent="0.35">
      <c r="A71" s="59"/>
    </row>
    <row r="72" spans="1:1" x14ac:dyDescent="0.35">
      <c r="A72" s="59"/>
    </row>
    <row r="73" spans="1:1" x14ac:dyDescent="0.35">
      <c r="A73" s="59"/>
    </row>
    <row r="74" spans="1:1" x14ac:dyDescent="0.35">
      <c r="A74" s="59"/>
    </row>
    <row r="75" spans="1:1" x14ac:dyDescent="0.35">
      <c r="A75" s="59"/>
    </row>
    <row r="76" spans="1:1" x14ac:dyDescent="0.35">
      <c r="A76" s="59"/>
    </row>
    <row r="77" spans="1:1" x14ac:dyDescent="0.35">
      <c r="A77" s="59"/>
    </row>
    <row r="78" spans="1:1" x14ac:dyDescent="0.35">
      <c r="A78" s="59"/>
    </row>
    <row r="79" spans="1:1" x14ac:dyDescent="0.35">
      <c r="A79" s="59"/>
    </row>
    <row r="80" spans="1:1" x14ac:dyDescent="0.35">
      <c r="A80" s="59"/>
    </row>
    <row r="81" spans="1:1" x14ac:dyDescent="0.35">
      <c r="A81" s="59"/>
    </row>
    <row r="82" spans="1:1" x14ac:dyDescent="0.35">
      <c r="A82" s="59"/>
    </row>
    <row r="83" spans="1:1" x14ac:dyDescent="0.35">
      <c r="A83" s="59"/>
    </row>
    <row r="84" spans="1:1" x14ac:dyDescent="0.35">
      <c r="A84" s="59"/>
    </row>
    <row r="85" spans="1:1" x14ac:dyDescent="0.35">
      <c r="A85" s="59"/>
    </row>
    <row r="86" spans="1:1" x14ac:dyDescent="0.35">
      <c r="A86" s="59"/>
    </row>
    <row r="87" spans="1:1" x14ac:dyDescent="0.35">
      <c r="A87" s="59"/>
    </row>
    <row r="88" spans="1:1" x14ac:dyDescent="0.35">
      <c r="A88" s="59"/>
    </row>
    <row r="89" spans="1:1" x14ac:dyDescent="0.35">
      <c r="A89" s="59"/>
    </row>
    <row r="90" spans="1:1" x14ac:dyDescent="0.35">
      <c r="A90" s="59"/>
    </row>
    <row r="91" spans="1:1" x14ac:dyDescent="0.35">
      <c r="A91" s="59"/>
    </row>
    <row r="92" spans="1:1" x14ac:dyDescent="0.35">
      <c r="A92" s="59"/>
    </row>
    <row r="93" spans="1:1" x14ac:dyDescent="0.35">
      <c r="A93" s="59"/>
    </row>
    <row r="94" spans="1:1" x14ac:dyDescent="0.35">
      <c r="A94" s="59"/>
    </row>
    <row r="95" spans="1:1" x14ac:dyDescent="0.35">
      <c r="A95" s="59"/>
    </row>
    <row r="96" spans="1:1" x14ac:dyDescent="0.35">
      <c r="A96" s="59"/>
    </row>
    <row r="97" spans="1:1" x14ac:dyDescent="0.35">
      <c r="A97" s="59"/>
    </row>
    <row r="98" spans="1:1" x14ac:dyDescent="0.35">
      <c r="A98" s="59"/>
    </row>
    <row r="99" spans="1:1" x14ac:dyDescent="0.35">
      <c r="A99" s="59"/>
    </row>
    <row r="100" spans="1:1" x14ac:dyDescent="0.35">
      <c r="A100" s="59"/>
    </row>
    <row r="101" spans="1:1" x14ac:dyDescent="0.35">
      <c r="A101" s="59"/>
    </row>
    <row r="102" spans="1:1" x14ac:dyDescent="0.35">
      <c r="A102" s="59"/>
    </row>
    <row r="103" spans="1:1" x14ac:dyDescent="0.35">
      <c r="A103" s="59"/>
    </row>
    <row r="104" spans="1:1" x14ac:dyDescent="0.35">
      <c r="A104" s="59"/>
    </row>
    <row r="105" spans="1:1" x14ac:dyDescent="0.35">
      <c r="A105" s="59"/>
    </row>
    <row r="106" spans="1:1" x14ac:dyDescent="0.35">
      <c r="A106" s="59"/>
    </row>
    <row r="107" spans="1:1" x14ac:dyDescent="0.35">
      <c r="A107" s="59"/>
    </row>
    <row r="108" spans="1:1" x14ac:dyDescent="0.35">
      <c r="A108" s="59"/>
    </row>
    <row r="109" spans="1:1" x14ac:dyDescent="0.35">
      <c r="A109" s="59"/>
    </row>
    <row r="110" spans="1:1" x14ac:dyDescent="0.35">
      <c r="A110" s="59"/>
    </row>
    <row r="111" spans="1:1" x14ac:dyDescent="0.35">
      <c r="A111" s="59"/>
    </row>
    <row r="112" spans="1:1" x14ac:dyDescent="0.35">
      <c r="A112" s="59"/>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DanaSehat!$L$13:$L$56</xm:f>
          </x14:formula1>
          <xm:sqref>D6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C000"/>
    <pageSetUpPr fitToPage="1"/>
  </sheetPr>
  <dimension ref="A1:H111"/>
  <sheetViews>
    <sheetView showGridLines="0" topLeftCell="D2" zoomScaleNormal="100" workbookViewId="0">
      <selection activeCell="E4" sqref="E4"/>
    </sheetView>
  </sheetViews>
  <sheetFormatPr defaultColWidth="8.7265625" defaultRowHeight="14.5" x14ac:dyDescent="0.35"/>
  <cols>
    <col min="1" max="1" width="8.7265625" style="96" hidden="1" customWidth="1"/>
    <col min="2" max="2" width="8.7265625" style="100" hidden="1" customWidth="1"/>
    <col min="3" max="3" width="1.7265625" style="98" hidden="1" customWidth="1"/>
    <col min="4" max="4" width="14.81640625" style="103" customWidth="1"/>
    <col min="5" max="5" width="73.1796875" style="103" customWidth="1"/>
    <col min="6" max="6" width="15.7265625" style="103" bestFit="1" customWidth="1"/>
    <col min="7" max="7" width="17.26953125" style="103" bestFit="1" customWidth="1"/>
    <col min="8" max="8" width="23.81640625" style="103" customWidth="1"/>
    <col min="9" max="257" width="28" style="103" customWidth="1"/>
    <col min="258" max="16384" width="8.7265625" style="103"/>
  </cols>
  <sheetData>
    <row r="1" spans="1:8" s="96" customFormat="1" hidden="1" x14ac:dyDescent="0.35">
      <c r="A1" s="95" t="s">
        <v>70</v>
      </c>
      <c r="B1" s="95" t="s">
        <v>22</v>
      </c>
      <c r="C1" s="95" t="s">
        <v>22</v>
      </c>
    </row>
    <row r="2" spans="1:8" s="99" customFormat="1" x14ac:dyDescent="0.35">
      <c r="A2" s="97"/>
      <c r="B2" s="98"/>
      <c r="C2" s="98"/>
      <c r="D2" s="98"/>
      <c r="E2" s="98"/>
      <c r="F2" s="98"/>
      <c r="G2" s="98"/>
      <c r="H2" s="98"/>
    </row>
    <row r="3" spans="1:8" x14ac:dyDescent="0.35">
      <c r="D3" s="101"/>
      <c r="E3" s="101"/>
      <c r="F3" s="102" t="str">
        <f>" Tangerang, " &amp; TEXT(PrintDS!$L$6,"dd-mmm-yyy")</f>
        <v xml:space="preserve"> Tangerang, 00-Jan-1900</v>
      </c>
      <c r="G3" s="102"/>
      <c r="H3" s="102"/>
    </row>
    <row r="4" spans="1:8" ht="21" x14ac:dyDescent="0.5">
      <c r="D4" s="101"/>
      <c r="E4" s="104" t="str">
        <f>"Laporan Aktifitas Lingkungan "&amp;DanaSehat!$L$5</f>
        <v>Laporan Aktifitas Lingkungan Andreas Rasul</v>
      </c>
      <c r="F4" s="96" t="s">
        <v>77</v>
      </c>
      <c r="G4" s="105" t="s">
        <v>12</v>
      </c>
      <c r="H4" s="105" t="s">
        <v>20</v>
      </c>
    </row>
    <row r="5" spans="1:8" x14ac:dyDescent="0.35">
      <c r="D5" s="101"/>
      <c r="E5" s="101"/>
      <c r="F5" s="154" t="s">
        <v>114</v>
      </c>
      <c r="G5" s="154" t="s">
        <v>13</v>
      </c>
      <c r="H5" s="154" t="s">
        <v>113</v>
      </c>
    </row>
    <row r="6" spans="1:8" x14ac:dyDescent="0.35">
      <c r="D6" s="101"/>
      <c r="E6" s="101"/>
      <c r="F6" s="154"/>
      <c r="G6" s="154"/>
      <c r="H6" s="154"/>
    </row>
    <row r="7" spans="1:8" x14ac:dyDescent="0.35">
      <c r="D7" s="101"/>
      <c r="E7" s="101"/>
      <c r="F7" s="154"/>
      <c r="G7" s="154"/>
      <c r="H7" s="154"/>
    </row>
    <row r="8" spans="1:8" x14ac:dyDescent="0.35">
      <c r="D8" s="101"/>
      <c r="E8" s="101"/>
      <c r="F8" s="154"/>
      <c r="G8" s="154"/>
      <c r="H8" s="154"/>
    </row>
    <row r="9" spans="1:8" x14ac:dyDescent="0.35">
      <c r="D9" s="101"/>
      <c r="E9" s="101"/>
      <c r="F9" s="154"/>
      <c r="G9" s="154"/>
      <c r="H9" s="154"/>
    </row>
    <row r="10" spans="1:8" ht="6.75" customHeight="1" x14ac:dyDescent="0.5">
      <c r="D10" s="106"/>
      <c r="E10" s="106"/>
      <c r="F10" s="106"/>
      <c r="G10" s="106"/>
      <c r="H10" s="106"/>
    </row>
    <row r="11" spans="1:8" ht="19.5" x14ac:dyDescent="0.35">
      <c r="D11" s="107" t="s">
        <v>14</v>
      </c>
      <c r="E11" s="107" t="s">
        <v>15</v>
      </c>
      <c r="F11" s="107" t="s">
        <v>16</v>
      </c>
      <c r="G11" s="107" t="s">
        <v>17</v>
      </c>
      <c r="H11" s="107" t="s">
        <v>18</v>
      </c>
    </row>
    <row r="12" spans="1:8" ht="15.5" x14ac:dyDescent="0.35">
      <c r="D12" s="110"/>
      <c r="E12" s="108" t="s">
        <v>19</v>
      </c>
      <c r="F12" s="111"/>
      <c r="G12" s="111"/>
      <c r="H12" s="112"/>
    </row>
    <row r="13" spans="1:8" ht="15.5" x14ac:dyDescent="0.35">
      <c r="D13" s="110"/>
      <c r="E13" s="109"/>
      <c r="F13" s="113"/>
      <c r="G13" s="113"/>
      <c r="H13" s="114" t="str">
        <f>IF(AND(ISNUMBER(D13)=TRUE,ISTEXT(E13)=TRUE),H12+F13-G13,
IF(AND(ISNUMBER(D13)=FALSE,ISTEXT(E13)=TRUE),"Mohon isi kolom tanggal",""))</f>
        <v/>
      </c>
    </row>
    <row r="14" spans="1:8" ht="15.5" x14ac:dyDescent="0.35">
      <c r="D14" s="110"/>
      <c r="E14" s="109"/>
      <c r="F14" s="113"/>
      <c r="G14" s="113"/>
      <c r="H14" s="114" t="str">
        <f t="shared" ref="H14:H28" si="0">IF(AND(ISNUMBER(D14)=TRUE,ISTEXT(E14)=TRUE),H13+F14-G14,
IF(AND(ISNUMBER(D14)=FALSE,ISTEXT(E14)=TRUE),"Mohon isi kolom tanggal",""))</f>
        <v/>
      </c>
    </row>
    <row r="15" spans="1:8" ht="15.5" x14ac:dyDescent="0.35">
      <c r="D15" s="110"/>
      <c r="E15" s="109"/>
      <c r="F15" s="113"/>
      <c r="G15" s="113"/>
      <c r="H15" s="114" t="str">
        <f t="shared" si="0"/>
        <v/>
      </c>
    </row>
    <row r="16" spans="1:8" ht="15.5" x14ac:dyDescent="0.35">
      <c r="D16" s="110"/>
      <c r="E16" s="109"/>
      <c r="F16" s="113"/>
      <c r="G16" s="113"/>
      <c r="H16" s="114" t="str">
        <f t="shared" si="0"/>
        <v/>
      </c>
    </row>
    <row r="17" spans="4:8" ht="15.5" x14ac:dyDescent="0.35">
      <c r="D17" s="110"/>
      <c r="E17" s="109"/>
      <c r="F17" s="113"/>
      <c r="G17" s="113"/>
      <c r="H17" s="114" t="str">
        <f t="shared" si="0"/>
        <v/>
      </c>
    </row>
    <row r="18" spans="4:8" ht="15.5" x14ac:dyDescent="0.35">
      <c r="D18" s="110"/>
      <c r="E18" s="109"/>
      <c r="F18" s="113"/>
      <c r="G18" s="113"/>
      <c r="H18" s="114" t="str">
        <f t="shared" si="0"/>
        <v/>
      </c>
    </row>
    <row r="19" spans="4:8" ht="15.5" x14ac:dyDescent="0.35">
      <c r="D19" s="110"/>
      <c r="E19" s="109"/>
      <c r="F19" s="113"/>
      <c r="G19" s="113"/>
      <c r="H19" s="114" t="str">
        <f t="shared" si="0"/>
        <v/>
      </c>
    </row>
    <row r="20" spans="4:8" ht="15.5" x14ac:dyDescent="0.35">
      <c r="D20" s="110"/>
      <c r="E20" s="109"/>
      <c r="F20" s="113"/>
      <c r="G20" s="113"/>
      <c r="H20" s="114" t="str">
        <f t="shared" si="0"/>
        <v/>
      </c>
    </row>
    <row r="21" spans="4:8" ht="15.5" x14ac:dyDescent="0.35">
      <c r="D21" s="110"/>
      <c r="E21" s="109"/>
      <c r="F21" s="113"/>
      <c r="G21" s="113"/>
      <c r="H21" s="114" t="str">
        <f t="shared" si="0"/>
        <v/>
      </c>
    </row>
    <row r="22" spans="4:8" ht="15.5" x14ac:dyDescent="0.35">
      <c r="D22" s="110"/>
      <c r="E22" s="109"/>
      <c r="F22" s="113"/>
      <c r="G22" s="113"/>
      <c r="H22" s="114" t="str">
        <f t="shared" si="0"/>
        <v/>
      </c>
    </row>
    <row r="23" spans="4:8" ht="15.5" x14ac:dyDescent="0.35">
      <c r="D23" s="110"/>
      <c r="E23" s="109"/>
      <c r="F23" s="113"/>
      <c r="G23" s="113"/>
      <c r="H23" s="114" t="str">
        <f t="shared" si="0"/>
        <v/>
      </c>
    </row>
    <row r="24" spans="4:8" ht="15.5" x14ac:dyDescent="0.35">
      <c r="D24" s="110"/>
      <c r="E24" s="109"/>
      <c r="F24" s="113"/>
      <c r="G24" s="113"/>
      <c r="H24" s="114" t="str">
        <f t="shared" si="0"/>
        <v/>
      </c>
    </row>
    <row r="25" spans="4:8" ht="15.5" x14ac:dyDescent="0.35">
      <c r="D25" s="110"/>
      <c r="E25" s="109"/>
      <c r="F25" s="113"/>
      <c r="G25" s="113"/>
      <c r="H25" s="114" t="str">
        <f t="shared" si="0"/>
        <v/>
      </c>
    </row>
    <row r="26" spans="4:8" ht="15.5" x14ac:dyDescent="0.35">
      <c r="D26" s="110"/>
      <c r="E26" s="109"/>
      <c r="F26" s="113"/>
      <c r="G26" s="113"/>
      <c r="H26" s="114" t="str">
        <f t="shared" si="0"/>
        <v/>
      </c>
    </row>
    <row r="27" spans="4:8" ht="15.5" x14ac:dyDescent="0.35">
      <c r="D27" s="110"/>
      <c r="E27" s="109"/>
      <c r="F27" s="113"/>
      <c r="G27" s="113"/>
      <c r="H27" s="114" t="str">
        <f t="shared" si="0"/>
        <v/>
      </c>
    </row>
    <row r="28" spans="4:8" ht="15.5" x14ac:dyDescent="0.35">
      <c r="D28" s="110"/>
      <c r="E28" s="109"/>
      <c r="F28" s="113"/>
      <c r="G28" s="113"/>
      <c r="H28" s="114" t="str">
        <f t="shared" si="0"/>
        <v/>
      </c>
    </row>
    <row r="29" spans="4:8" ht="15.5" x14ac:dyDescent="0.35">
      <c r="D29" s="110"/>
      <c r="E29" s="109"/>
      <c r="F29" s="113"/>
      <c r="G29" s="113"/>
      <c r="H29" s="114" t="str">
        <f t="shared" ref="H29:H36" si="1">IF(AND(ISNUMBER(D29)=TRUE,ISTEXT(E29)=TRUE),H28+F29-G29,
IF(AND(ISNUMBER(D29)=FALSE,ISTEXT(E29)=TRUE),"Mohon isi kolom tanggal",""))</f>
        <v/>
      </c>
    </row>
    <row r="30" spans="4:8" ht="15.5" x14ac:dyDescent="0.35">
      <c r="D30" s="110"/>
      <c r="E30" s="109"/>
      <c r="F30" s="113"/>
      <c r="G30" s="113"/>
      <c r="H30" s="114" t="str">
        <f t="shared" si="1"/>
        <v/>
      </c>
    </row>
    <row r="31" spans="4:8" ht="15.5" x14ac:dyDescent="0.35">
      <c r="D31" s="110"/>
      <c r="E31" s="109"/>
      <c r="F31" s="113"/>
      <c r="G31" s="113"/>
      <c r="H31" s="114" t="str">
        <f t="shared" si="1"/>
        <v/>
      </c>
    </row>
    <row r="32" spans="4:8" ht="15.5" x14ac:dyDescent="0.35">
      <c r="D32" s="110"/>
      <c r="E32" s="109"/>
      <c r="F32" s="113"/>
      <c r="G32" s="113"/>
      <c r="H32" s="114" t="str">
        <f t="shared" si="1"/>
        <v/>
      </c>
    </row>
    <row r="33" spans="4:8" ht="15.5" x14ac:dyDescent="0.35">
      <c r="D33" s="110"/>
      <c r="E33" s="109"/>
      <c r="F33" s="113"/>
      <c r="G33" s="113"/>
      <c r="H33" s="114" t="str">
        <f t="shared" si="1"/>
        <v/>
      </c>
    </row>
    <row r="34" spans="4:8" ht="15.5" x14ac:dyDescent="0.35">
      <c r="D34" s="110"/>
      <c r="E34" s="109"/>
      <c r="F34" s="113"/>
      <c r="G34" s="113"/>
      <c r="H34" s="114" t="str">
        <f t="shared" si="1"/>
        <v/>
      </c>
    </row>
    <row r="35" spans="4:8" ht="15.5" x14ac:dyDescent="0.35">
      <c r="D35" s="110"/>
      <c r="E35" s="109"/>
      <c r="F35" s="113"/>
      <c r="G35" s="113"/>
      <c r="H35" s="114" t="str">
        <f t="shared" si="1"/>
        <v/>
      </c>
    </row>
    <row r="36" spans="4:8" ht="15.5" x14ac:dyDescent="0.35">
      <c r="D36" s="110"/>
      <c r="E36" s="109"/>
      <c r="F36" s="113"/>
      <c r="G36" s="113"/>
      <c r="H36" s="114" t="str">
        <f t="shared" si="1"/>
        <v/>
      </c>
    </row>
    <row r="37" spans="4:8" ht="15.5" x14ac:dyDescent="0.35">
      <c r="D37" s="110"/>
      <c r="E37" s="109"/>
      <c r="F37" s="113"/>
      <c r="G37" s="113"/>
      <c r="H37" s="114" t="str">
        <f t="shared" ref="H37:H100" si="2">IF(AND(ISNUMBER(D37)=TRUE,ISTEXT(E37)=TRUE),H36+F37-G37,
IF(AND(ISNUMBER(D37)=FALSE,ISTEXT(E37)=TRUE),"Mohon isi kolom tanggal",""))</f>
        <v/>
      </c>
    </row>
    <row r="38" spans="4:8" ht="15.5" x14ac:dyDescent="0.35">
      <c r="D38" s="110"/>
      <c r="E38" s="109"/>
      <c r="F38" s="113"/>
      <c r="G38" s="113"/>
      <c r="H38" s="114" t="str">
        <f t="shared" si="2"/>
        <v/>
      </c>
    </row>
    <row r="39" spans="4:8" ht="15.5" x14ac:dyDescent="0.35">
      <c r="D39" s="110"/>
      <c r="E39" s="109"/>
      <c r="F39" s="113"/>
      <c r="G39" s="113"/>
      <c r="H39" s="114" t="str">
        <f t="shared" si="2"/>
        <v/>
      </c>
    </row>
    <row r="40" spans="4:8" ht="15.5" x14ac:dyDescent="0.35">
      <c r="D40" s="110"/>
      <c r="E40" s="109"/>
      <c r="F40" s="113"/>
      <c r="G40" s="113"/>
      <c r="H40" s="114" t="str">
        <f t="shared" si="2"/>
        <v/>
      </c>
    </row>
    <row r="41" spans="4:8" ht="15.5" x14ac:dyDescent="0.35">
      <c r="D41" s="110"/>
      <c r="E41" s="109"/>
      <c r="F41" s="113"/>
      <c r="G41" s="113"/>
      <c r="H41" s="114" t="str">
        <f t="shared" si="2"/>
        <v/>
      </c>
    </row>
    <row r="42" spans="4:8" ht="15.5" x14ac:dyDescent="0.35">
      <c r="D42" s="110"/>
      <c r="E42" s="109"/>
      <c r="F42" s="113"/>
      <c r="G42" s="113"/>
      <c r="H42" s="114" t="str">
        <f t="shared" si="2"/>
        <v/>
      </c>
    </row>
    <row r="43" spans="4:8" ht="15.5" x14ac:dyDescent="0.35">
      <c r="D43" s="110"/>
      <c r="E43" s="109"/>
      <c r="F43" s="113"/>
      <c r="G43" s="113"/>
      <c r="H43" s="114" t="str">
        <f t="shared" si="2"/>
        <v/>
      </c>
    </row>
    <row r="44" spans="4:8" ht="15.5" x14ac:dyDescent="0.35">
      <c r="D44" s="110"/>
      <c r="E44" s="109"/>
      <c r="F44" s="113"/>
      <c r="G44" s="113"/>
      <c r="H44" s="114" t="str">
        <f t="shared" si="2"/>
        <v/>
      </c>
    </row>
    <row r="45" spans="4:8" ht="15.5" x14ac:dyDescent="0.35">
      <c r="D45" s="110"/>
      <c r="E45" s="109"/>
      <c r="F45" s="113"/>
      <c r="G45" s="113"/>
      <c r="H45" s="114" t="str">
        <f t="shared" si="2"/>
        <v/>
      </c>
    </row>
    <row r="46" spans="4:8" ht="15.5" x14ac:dyDescent="0.35">
      <c r="D46" s="110"/>
      <c r="E46" s="109"/>
      <c r="F46" s="113"/>
      <c r="G46" s="113"/>
      <c r="H46" s="114" t="str">
        <f t="shared" si="2"/>
        <v/>
      </c>
    </row>
    <row r="47" spans="4:8" ht="15.5" x14ac:dyDescent="0.35">
      <c r="D47" s="110"/>
      <c r="E47" s="109"/>
      <c r="F47" s="113"/>
      <c r="G47" s="113"/>
      <c r="H47" s="114" t="str">
        <f t="shared" si="2"/>
        <v/>
      </c>
    </row>
    <row r="48" spans="4:8" ht="15.5" x14ac:dyDescent="0.35">
      <c r="D48" s="110"/>
      <c r="E48" s="109"/>
      <c r="F48" s="113"/>
      <c r="G48" s="113"/>
      <c r="H48" s="114" t="str">
        <f t="shared" si="2"/>
        <v/>
      </c>
    </row>
    <row r="49" spans="4:8" ht="15.5" x14ac:dyDescent="0.35">
      <c r="D49" s="110"/>
      <c r="E49" s="109"/>
      <c r="F49" s="113"/>
      <c r="G49" s="113"/>
      <c r="H49" s="114" t="str">
        <f t="shared" si="2"/>
        <v/>
      </c>
    </row>
    <row r="50" spans="4:8" ht="15.5" x14ac:dyDescent="0.35">
      <c r="D50" s="110"/>
      <c r="E50" s="109"/>
      <c r="F50" s="113"/>
      <c r="G50" s="113"/>
      <c r="H50" s="114" t="str">
        <f t="shared" si="2"/>
        <v/>
      </c>
    </row>
    <row r="51" spans="4:8" ht="15.5" x14ac:dyDescent="0.35">
      <c r="D51" s="110"/>
      <c r="E51" s="109"/>
      <c r="F51" s="113"/>
      <c r="G51" s="113"/>
      <c r="H51" s="114" t="str">
        <f t="shared" si="2"/>
        <v/>
      </c>
    </row>
    <row r="52" spans="4:8" ht="15.5" x14ac:dyDescent="0.35">
      <c r="D52" s="110"/>
      <c r="E52" s="109"/>
      <c r="F52" s="113"/>
      <c r="G52" s="113"/>
      <c r="H52" s="114" t="str">
        <f t="shared" si="2"/>
        <v/>
      </c>
    </row>
    <row r="53" spans="4:8" ht="15.5" x14ac:dyDescent="0.35">
      <c r="D53" s="110"/>
      <c r="E53" s="109"/>
      <c r="F53" s="113"/>
      <c r="G53" s="113"/>
      <c r="H53" s="114" t="str">
        <f t="shared" si="2"/>
        <v/>
      </c>
    </row>
    <row r="54" spans="4:8" ht="15.5" x14ac:dyDescent="0.35">
      <c r="D54" s="110"/>
      <c r="E54" s="109"/>
      <c r="F54" s="113"/>
      <c r="G54" s="113"/>
      <c r="H54" s="114" t="str">
        <f t="shared" si="2"/>
        <v/>
      </c>
    </row>
    <row r="55" spans="4:8" ht="15.5" x14ac:dyDescent="0.35">
      <c r="D55" s="110"/>
      <c r="E55" s="109"/>
      <c r="F55" s="113"/>
      <c r="G55" s="113"/>
      <c r="H55" s="114" t="str">
        <f t="shared" si="2"/>
        <v/>
      </c>
    </row>
    <row r="56" spans="4:8" ht="15.5" x14ac:dyDescent="0.35">
      <c r="D56" s="110"/>
      <c r="E56" s="109"/>
      <c r="F56" s="113"/>
      <c r="G56" s="113"/>
      <c r="H56" s="114" t="str">
        <f t="shared" si="2"/>
        <v/>
      </c>
    </row>
    <row r="57" spans="4:8" ht="15.5" x14ac:dyDescent="0.35">
      <c r="D57" s="110"/>
      <c r="E57" s="109"/>
      <c r="F57" s="113"/>
      <c r="G57" s="113"/>
      <c r="H57" s="114" t="str">
        <f t="shared" si="2"/>
        <v/>
      </c>
    </row>
    <row r="58" spans="4:8" ht="15.5" x14ac:dyDescent="0.35">
      <c r="D58" s="110"/>
      <c r="E58" s="109"/>
      <c r="F58" s="113"/>
      <c r="G58" s="113"/>
      <c r="H58" s="114" t="str">
        <f t="shared" si="2"/>
        <v/>
      </c>
    </row>
    <row r="59" spans="4:8" ht="15.5" x14ac:dyDescent="0.35">
      <c r="D59" s="110"/>
      <c r="E59" s="109"/>
      <c r="F59" s="113"/>
      <c r="G59" s="113"/>
      <c r="H59" s="114" t="str">
        <f t="shared" si="2"/>
        <v/>
      </c>
    </row>
    <row r="60" spans="4:8" ht="15.5" x14ac:dyDescent="0.35">
      <c r="D60" s="110"/>
      <c r="E60" s="109"/>
      <c r="F60" s="113"/>
      <c r="G60" s="113"/>
      <c r="H60" s="114" t="str">
        <f t="shared" si="2"/>
        <v/>
      </c>
    </row>
    <row r="61" spans="4:8" ht="15.5" x14ac:dyDescent="0.35">
      <c r="D61" s="110"/>
      <c r="E61" s="109"/>
      <c r="F61" s="113"/>
      <c r="G61" s="113"/>
      <c r="H61" s="114" t="str">
        <f t="shared" si="2"/>
        <v/>
      </c>
    </row>
    <row r="62" spans="4:8" ht="15.5" x14ac:dyDescent="0.35">
      <c r="D62" s="110"/>
      <c r="E62" s="109"/>
      <c r="F62" s="113"/>
      <c r="G62" s="113"/>
      <c r="H62" s="114" t="str">
        <f t="shared" si="2"/>
        <v/>
      </c>
    </row>
    <row r="63" spans="4:8" ht="15.5" x14ac:dyDescent="0.35">
      <c r="D63" s="110"/>
      <c r="E63" s="109"/>
      <c r="F63" s="113"/>
      <c r="G63" s="113"/>
      <c r="H63" s="114" t="str">
        <f t="shared" si="2"/>
        <v/>
      </c>
    </row>
    <row r="64" spans="4:8" ht="15.5" x14ac:dyDescent="0.35">
      <c r="D64" s="110"/>
      <c r="E64" s="109"/>
      <c r="F64" s="113"/>
      <c r="G64" s="113"/>
      <c r="H64" s="114" t="str">
        <f t="shared" si="2"/>
        <v/>
      </c>
    </row>
    <row r="65" spans="4:8" ht="15.5" x14ac:dyDescent="0.35">
      <c r="D65" s="110"/>
      <c r="E65" s="109"/>
      <c r="F65" s="113"/>
      <c r="G65" s="113"/>
      <c r="H65" s="114" t="str">
        <f t="shared" si="2"/>
        <v/>
      </c>
    </row>
    <row r="66" spans="4:8" ht="15.5" x14ac:dyDescent="0.35">
      <c r="D66" s="110"/>
      <c r="E66" s="109"/>
      <c r="F66" s="113"/>
      <c r="G66" s="113"/>
      <c r="H66" s="114" t="str">
        <f t="shared" si="2"/>
        <v/>
      </c>
    </row>
    <row r="67" spans="4:8" ht="15.5" x14ac:dyDescent="0.35">
      <c r="D67" s="110"/>
      <c r="E67" s="109"/>
      <c r="F67" s="113"/>
      <c r="G67" s="113"/>
      <c r="H67" s="114" t="str">
        <f t="shared" si="2"/>
        <v/>
      </c>
    </row>
    <row r="68" spans="4:8" ht="15.5" x14ac:dyDescent="0.35">
      <c r="D68" s="110"/>
      <c r="E68" s="109"/>
      <c r="F68" s="113"/>
      <c r="G68" s="113"/>
      <c r="H68" s="114" t="str">
        <f t="shared" si="2"/>
        <v/>
      </c>
    </row>
    <row r="69" spans="4:8" ht="15.5" x14ac:dyDescent="0.35">
      <c r="D69" s="110"/>
      <c r="E69" s="109"/>
      <c r="F69" s="113"/>
      <c r="G69" s="113"/>
      <c r="H69" s="114" t="str">
        <f t="shared" si="2"/>
        <v/>
      </c>
    </row>
    <row r="70" spans="4:8" ht="15.5" x14ac:dyDescent="0.35">
      <c r="D70" s="110"/>
      <c r="E70" s="109"/>
      <c r="F70" s="113"/>
      <c r="G70" s="113"/>
      <c r="H70" s="114" t="str">
        <f t="shared" si="2"/>
        <v/>
      </c>
    </row>
    <row r="71" spans="4:8" ht="15.5" x14ac:dyDescent="0.35">
      <c r="D71" s="110"/>
      <c r="E71" s="109"/>
      <c r="F71" s="113"/>
      <c r="G71" s="113"/>
      <c r="H71" s="114" t="str">
        <f t="shared" si="2"/>
        <v/>
      </c>
    </row>
    <row r="72" spans="4:8" ht="15.5" x14ac:dyDescent="0.35">
      <c r="D72" s="110"/>
      <c r="E72" s="109"/>
      <c r="F72" s="113"/>
      <c r="G72" s="113"/>
      <c r="H72" s="114" t="str">
        <f t="shared" si="2"/>
        <v/>
      </c>
    </row>
    <row r="73" spans="4:8" ht="15.5" x14ac:dyDescent="0.35">
      <c r="D73" s="110"/>
      <c r="E73" s="109"/>
      <c r="F73" s="113"/>
      <c r="G73" s="113"/>
      <c r="H73" s="114" t="str">
        <f t="shared" si="2"/>
        <v/>
      </c>
    </row>
    <row r="74" spans="4:8" ht="15.5" x14ac:dyDescent="0.35">
      <c r="D74" s="110"/>
      <c r="E74" s="109"/>
      <c r="F74" s="113"/>
      <c r="G74" s="113"/>
      <c r="H74" s="114" t="str">
        <f t="shared" si="2"/>
        <v/>
      </c>
    </row>
    <row r="75" spans="4:8" ht="15.5" x14ac:dyDescent="0.35">
      <c r="D75" s="110"/>
      <c r="E75" s="109"/>
      <c r="F75" s="113"/>
      <c r="G75" s="113"/>
      <c r="H75" s="114" t="str">
        <f t="shared" si="2"/>
        <v/>
      </c>
    </row>
    <row r="76" spans="4:8" ht="15.5" x14ac:dyDescent="0.35">
      <c r="D76" s="110"/>
      <c r="E76" s="109"/>
      <c r="F76" s="113"/>
      <c r="G76" s="113"/>
      <c r="H76" s="114" t="str">
        <f t="shared" si="2"/>
        <v/>
      </c>
    </row>
    <row r="77" spans="4:8" ht="15.5" x14ac:dyDescent="0.35">
      <c r="D77" s="110"/>
      <c r="E77" s="109"/>
      <c r="F77" s="113"/>
      <c r="G77" s="113"/>
      <c r="H77" s="114" t="str">
        <f t="shared" si="2"/>
        <v/>
      </c>
    </row>
    <row r="78" spans="4:8" ht="15.5" x14ac:dyDescent="0.35">
      <c r="D78" s="110"/>
      <c r="E78" s="109"/>
      <c r="F78" s="113"/>
      <c r="G78" s="113"/>
      <c r="H78" s="114" t="str">
        <f t="shared" si="2"/>
        <v/>
      </c>
    </row>
    <row r="79" spans="4:8" ht="15.5" x14ac:dyDescent="0.35">
      <c r="D79" s="110"/>
      <c r="E79" s="109"/>
      <c r="F79" s="113"/>
      <c r="G79" s="113"/>
      <c r="H79" s="114" t="str">
        <f t="shared" si="2"/>
        <v/>
      </c>
    </row>
    <row r="80" spans="4:8" ht="15.5" x14ac:dyDescent="0.35">
      <c r="D80" s="110"/>
      <c r="E80" s="109"/>
      <c r="F80" s="113"/>
      <c r="G80" s="113"/>
      <c r="H80" s="114" t="str">
        <f t="shared" si="2"/>
        <v/>
      </c>
    </row>
    <row r="81" spans="4:8" ht="15.5" x14ac:dyDescent="0.35">
      <c r="D81" s="110"/>
      <c r="E81" s="109"/>
      <c r="F81" s="113"/>
      <c r="G81" s="113"/>
      <c r="H81" s="114" t="str">
        <f t="shared" si="2"/>
        <v/>
      </c>
    </row>
    <row r="82" spans="4:8" ht="15.5" x14ac:dyDescent="0.35">
      <c r="D82" s="110"/>
      <c r="E82" s="109"/>
      <c r="F82" s="113"/>
      <c r="G82" s="113"/>
      <c r="H82" s="114" t="str">
        <f t="shared" si="2"/>
        <v/>
      </c>
    </row>
    <row r="83" spans="4:8" ht="15.5" x14ac:dyDescent="0.35">
      <c r="D83" s="110"/>
      <c r="E83" s="109"/>
      <c r="F83" s="113"/>
      <c r="G83" s="113"/>
      <c r="H83" s="114" t="str">
        <f t="shared" si="2"/>
        <v/>
      </c>
    </row>
    <row r="84" spans="4:8" ht="15.5" x14ac:dyDescent="0.35">
      <c r="D84" s="110"/>
      <c r="E84" s="109"/>
      <c r="F84" s="113"/>
      <c r="G84" s="113"/>
      <c r="H84" s="114" t="str">
        <f t="shared" si="2"/>
        <v/>
      </c>
    </row>
    <row r="85" spans="4:8" ht="15.5" x14ac:dyDescent="0.35">
      <c r="D85" s="110"/>
      <c r="E85" s="109"/>
      <c r="F85" s="113"/>
      <c r="G85" s="113"/>
      <c r="H85" s="114" t="str">
        <f t="shared" si="2"/>
        <v/>
      </c>
    </row>
    <row r="86" spans="4:8" ht="15.5" x14ac:dyDescent="0.35">
      <c r="D86" s="110"/>
      <c r="E86" s="109"/>
      <c r="F86" s="113"/>
      <c r="G86" s="113"/>
      <c r="H86" s="114" t="str">
        <f t="shared" si="2"/>
        <v/>
      </c>
    </row>
    <row r="87" spans="4:8" ht="15.5" x14ac:dyDescent="0.35">
      <c r="D87" s="110"/>
      <c r="E87" s="109"/>
      <c r="F87" s="113"/>
      <c r="G87" s="113"/>
      <c r="H87" s="114" t="str">
        <f t="shared" si="2"/>
        <v/>
      </c>
    </row>
    <row r="88" spans="4:8" ht="15.5" x14ac:dyDescent="0.35">
      <c r="D88" s="110"/>
      <c r="E88" s="109"/>
      <c r="F88" s="113"/>
      <c r="G88" s="113"/>
      <c r="H88" s="114" t="str">
        <f t="shared" si="2"/>
        <v/>
      </c>
    </row>
    <row r="89" spans="4:8" ht="15.5" x14ac:dyDescent="0.35">
      <c r="D89" s="110"/>
      <c r="E89" s="109"/>
      <c r="F89" s="113"/>
      <c r="G89" s="113"/>
      <c r="H89" s="114" t="str">
        <f t="shared" si="2"/>
        <v/>
      </c>
    </row>
    <row r="90" spans="4:8" ht="15.5" x14ac:dyDescent="0.35">
      <c r="D90" s="110"/>
      <c r="E90" s="109"/>
      <c r="F90" s="113"/>
      <c r="G90" s="113"/>
      <c r="H90" s="114" t="str">
        <f t="shared" si="2"/>
        <v/>
      </c>
    </row>
    <row r="91" spans="4:8" ht="15.5" x14ac:dyDescent="0.35">
      <c r="D91" s="110"/>
      <c r="E91" s="109"/>
      <c r="F91" s="113"/>
      <c r="G91" s="113"/>
      <c r="H91" s="114" t="str">
        <f t="shared" si="2"/>
        <v/>
      </c>
    </row>
    <row r="92" spans="4:8" ht="15.5" x14ac:dyDescent="0.35">
      <c r="D92" s="110"/>
      <c r="E92" s="109"/>
      <c r="F92" s="113"/>
      <c r="G92" s="113"/>
      <c r="H92" s="114" t="str">
        <f t="shared" si="2"/>
        <v/>
      </c>
    </row>
    <row r="93" spans="4:8" ht="15.5" x14ac:dyDescent="0.35">
      <c r="D93" s="110"/>
      <c r="E93" s="109"/>
      <c r="F93" s="113"/>
      <c r="G93" s="113"/>
      <c r="H93" s="114" t="str">
        <f t="shared" si="2"/>
        <v/>
      </c>
    </row>
    <row r="94" spans="4:8" ht="15.5" x14ac:dyDescent="0.35">
      <c r="D94" s="110"/>
      <c r="E94" s="109"/>
      <c r="F94" s="113"/>
      <c r="G94" s="113"/>
      <c r="H94" s="114" t="str">
        <f t="shared" si="2"/>
        <v/>
      </c>
    </row>
    <row r="95" spans="4:8" ht="15.5" x14ac:dyDescent="0.35">
      <c r="D95" s="110"/>
      <c r="E95" s="109"/>
      <c r="F95" s="113"/>
      <c r="G95" s="113"/>
      <c r="H95" s="114" t="str">
        <f t="shared" si="2"/>
        <v/>
      </c>
    </row>
    <row r="96" spans="4:8" ht="15.5" x14ac:dyDescent="0.35">
      <c r="D96" s="110"/>
      <c r="E96" s="109"/>
      <c r="F96" s="113"/>
      <c r="G96" s="113"/>
      <c r="H96" s="114" t="str">
        <f t="shared" si="2"/>
        <v/>
      </c>
    </row>
    <row r="97" spans="4:8" ht="15.5" x14ac:dyDescent="0.35">
      <c r="D97" s="110"/>
      <c r="E97" s="109"/>
      <c r="F97" s="113"/>
      <c r="G97" s="113"/>
      <c r="H97" s="114" t="str">
        <f t="shared" si="2"/>
        <v/>
      </c>
    </row>
    <row r="98" spans="4:8" ht="15.5" x14ac:dyDescent="0.35">
      <c r="D98" s="110"/>
      <c r="E98" s="109"/>
      <c r="F98" s="113"/>
      <c r="G98" s="113"/>
      <c r="H98" s="114" t="str">
        <f t="shared" si="2"/>
        <v/>
      </c>
    </row>
    <row r="99" spans="4:8" ht="15.5" x14ac:dyDescent="0.35">
      <c r="D99" s="110"/>
      <c r="E99" s="109"/>
      <c r="F99" s="113"/>
      <c r="G99" s="113"/>
      <c r="H99" s="114" t="str">
        <f t="shared" si="2"/>
        <v/>
      </c>
    </row>
    <row r="100" spans="4:8" ht="15.5" x14ac:dyDescent="0.35">
      <c r="D100" s="110"/>
      <c r="E100" s="109"/>
      <c r="F100" s="113"/>
      <c r="G100" s="113"/>
      <c r="H100" s="114" t="str">
        <f t="shared" si="2"/>
        <v/>
      </c>
    </row>
    <row r="101" spans="4:8" ht="15.5" x14ac:dyDescent="0.35">
      <c r="D101" s="110"/>
      <c r="E101" s="109"/>
      <c r="F101" s="113"/>
      <c r="G101" s="113"/>
      <c r="H101" s="114" t="str">
        <f t="shared" ref="H101:H111" si="3">IF(AND(ISNUMBER(D101)=TRUE,ISTEXT(E101)=TRUE),H100+F101-G101,
IF(AND(ISNUMBER(D101)=FALSE,ISTEXT(E101)=TRUE),"Mohon isi kolom tanggal",""))</f>
        <v/>
      </c>
    </row>
    <row r="102" spans="4:8" ht="15.5" x14ac:dyDescent="0.35">
      <c r="D102" s="110"/>
      <c r="E102" s="109"/>
      <c r="F102" s="113"/>
      <c r="G102" s="113"/>
      <c r="H102" s="114" t="str">
        <f t="shared" si="3"/>
        <v/>
      </c>
    </row>
    <row r="103" spans="4:8" ht="15.5" x14ac:dyDescent="0.35">
      <c r="D103" s="110"/>
      <c r="E103" s="109"/>
      <c r="F103" s="113"/>
      <c r="G103" s="113"/>
      <c r="H103" s="114" t="str">
        <f t="shared" si="3"/>
        <v/>
      </c>
    </row>
    <row r="104" spans="4:8" ht="15.5" x14ac:dyDescent="0.35">
      <c r="D104" s="110"/>
      <c r="E104" s="109"/>
      <c r="F104" s="113"/>
      <c r="G104" s="113"/>
      <c r="H104" s="114" t="str">
        <f t="shared" si="3"/>
        <v/>
      </c>
    </row>
    <row r="105" spans="4:8" ht="15.5" x14ac:dyDescent="0.35">
      <c r="D105" s="110"/>
      <c r="E105" s="109"/>
      <c r="F105" s="113"/>
      <c r="G105" s="113"/>
      <c r="H105" s="114" t="str">
        <f t="shared" si="3"/>
        <v/>
      </c>
    </row>
    <row r="106" spans="4:8" ht="15.5" x14ac:dyDescent="0.35">
      <c r="D106" s="110"/>
      <c r="E106" s="109"/>
      <c r="F106" s="113"/>
      <c r="G106" s="113"/>
      <c r="H106" s="114" t="str">
        <f t="shared" si="3"/>
        <v/>
      </c>
    </row>
    <row r="107" spans="4:8" ht="15.5" x14ac:dyDescent="0.35">
      <c r="D107" s="110"/>
      <c r="E107" s="109"/>
      <c r="F107" s="113"/>
      <c r="G107" s="113"/>
      <c r="H107" s="114" t="str">
        <f t="shared" si="3"/>
        <v/>
      </c>
    </row>
    <row r="108" spans="4:8" ht="15.5" x14ac:dyDescent="0.35">
      <c r="D108" s="110"/>
      <c r="E108" s="109"/>
      <c r="F108" s="113"/>
      <c r="G108" s="113"/>
      <c r="H108" s="114" t="str">
        <f t="shared" si="3"/>
        <v/>
      </c>
    </row>
    <row r="109" spans="4:8" ht="15.5" x14ac:dyDescent="0.35">
      <c r="D109" s="110"/>
      <c r="E109" s="109"/>
      <c r="F109" s="113"/>
      <c r="G109" s="113"/>
      <c r="H109" s="114" t="str">
        <f t="shared" si="3"/>
        <v/>
      </c>
    </row>
    <row r="110" spans="4:8" ht="15.5" x14ac:dyDescent="0.35">
      <c r="D110" s="110"/>
      <c r="E110" s="109"/>
      <c r="F110" s="113"/>
      <c r="G110" s="113"/>
      <c r="H110" s="114" t="str">
        <f t="shared" si="3"/>
        <v/>
      </c>
    </row>
    <row r="111" spans="4:8" ht="15.5" x14ac:dyDescent="0.35">
      <c r="D111" s="110"/>
      <c r="E111" s="109"/>
      <c r="F111" s="113"/>
      <c r="G111" s="113"/>
      <c r="H111" s="114" t="str">
        <f t="shared" si="3"/>
        <v/>
      </c>
    </row>
  </sheetData>
  <sheetProtection sheet="1" objects="1" scenarios="1"/>
  <mergeCells count="3">
    <mergeCell ref="F5:F9"/>
    <mergeCell ref="G5:G9"/>
    <mergeCell ref="H5:H9"/>
  </mergeCells>
  <conditionalFormatting sqref="H13:H111">
    <cfRule type="expression" dxfId="3" priority="7">
      <formula>ISNUMBER($D13)=FALSE</formula>
    </cfRule>
  </conditionalFormatting>
  <pageMargins left="0.9" right="0.44" top="0.39" bottom="0.38" header="0.3" footer="0.3"/>
  <pageSetup paperSize="9" scale="64" fitToHeight="0" orientation="landscape" horizontalDpi="4294967293"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pageSetUpPr fitToPage="1"/>
  </sheetPr>
  <dimension ref="A1:O20"/>
  <sheetViews>
    <sheetView showGridLines="0" topLeftCell="K2" zoomScaleNormal="100" workbookViewId="0">
      <selection activeCell="N3" sqref="N3"/>
    </sheetView>
  </sheetViews>
  <sheetFormatPr defaultColWidth="9.1796875" defaultRowHeight="14.5" x14ac:dyDescent="0.35"/>
  <cols>
    <col min="1" max="1" width="9.1796875" style="52" hidden="1" customWidth="1"/>
    <col min="2" max="2" width="9.1796875" style="115" hidden="1" customWidth="1"/>
    <col min="3" max="3" width="30.7265625" style="115" hidden="1" customWidth="1"/>
    <col min="4" max="4" width="21.54296875" style="115" hidden="1" customWidth="1"/>
    <col min="5" max="9" width="9.1796875" style="115" hidden="1" customWidth="1"/>
    <col min="10" max="10" width="1.7265625" style="54" hidden="1" customWidth="1"/>
    <col min="11" max="11" width="14.81640625" style="48" customWidth="1"/>
    <col min="12" max="12" width="28.54296875" style="48" customWidth="1"/>
    <col min="13" max="13" width="31.7265625" style="48" customWidth="1"/>
    <col min="14" max="14" width="25.54296875" style="48" customWidth="1"/>
    <col min="15" max="15" width="19.81640625" style="48" customWidth="1"/>
    <col min="16" max="16384" width="9.1796875" style="48"/>
  </cols>
  <sheetData>
    <row r="1" spans="1:15" s="52" customFormat="1" hidden="1" x14ac:dyDescent="0.35">
      <c r="A1" s="95" t="s">
        <v>20973</v>
      </c>
      <c r="B1" s="95" t="s">
        <v>22</v>
      </c>
      <c r="C1" s="95" t="s">
        <v>22</v>
      </c>
      <c r="D1" s="95" t="s">
        <v>22</v>
      </c>
      <c r="E1" s="95" t="s">
        <v>22</v>
      </c>
      <c r="F1" s="95" t="s">
        <v>22</v>
      </c>
      <c r="G1" s="95" t="s">
        <v>22</v>
      </c>
      <c r="H1" s="95" t="s">
        <v>22</v>
      </c>
      <c r="I1" s="95" t="s">
        <v>22</v>
      </c>
      <c r="J1" s="95" t="s">
        <v>22</v>
      </c>
    </row>
    <row r="2" spans="1:15" ht="23.5" x14ac:dyDescent="0.55000000000000004">
      <c r="K2" s="79" t="s">
        <v>91</v>
      </c>
    </row>
    <row r="3" spans="1:15" ht="15.5" x14ac:dyDescent="0.35">
      <c r="M3" s="66" t="s">
        <v>88</v>
      </c>
      <c r="N3" s="65" t="s">
        <v>20975</v>
      </c>
    </row>
    <row r="4" spans="1:15" s="119" customFormat="1" x14ac:dyDescent="0.35">
      <c r="A4" s="116"/>
      <c r="B4" s="115"/>
      <c r="C4" s="115"/>
      <c r="D4" s="115"/>
      <c r="E4" s="115"/>
      <c r="F4" s="117" t="s">
        <v>103</v>
      </c>
      <c r="G4" s="115"/>
      <c r="H4" s="115"/>
      <c r="I4" s="115"/>
      <c r="J4" s="54"/>
      <c r="K4" s="118" t="s">
        <v>92</v>
      </c>
    </row>
    <row r="5" spans="1:15" s="119" customFormat="1" x14ac:dyDescent="0.35">
      <c r="A5" s="116"/>
      <c r="B5" s="115"/>
      <c r="C5" s="120" t="s">
        <v>95</v>
      </c>
      <c r="D5" s="120" t="s">
        <v>104</v>
      </c>
      <c r="E5" s="115"/>
      <c r="F5" s="120" t="s">
        <v>93</v>
      </c>
      <c r="G5" s="120" t="s">
        <v>94</v>
      </c>
      <c r="H5" s="120" t="s">
        <v>95</v>
      </c>
      <c r="I5" s="120" t="s">
        <v>96</v>
      </c>
      <c r="J5" s="54"/>
      <c r="K5" s="120" t="s">
        <v>93</v>
      </c>
      <c r="L5" s="120" t="s">
        <v>94</v>
      </c>
      <c r="M5" s="120" t="s">
        <v>95</v>
      </c>
      <c r="N5" s="120" t="s">
        <v>96</v>
      </c>
      <c r="O5" s="120" t="s">
        <v>38</v>
      </c>
    </row>
    <row r="6" spans="1:15" s="119" customFormat="1" x14ac:dyDescent="0.35">
      <c r="A6" s="116"/>
      <c r="B6" s="115"/>
      <c r="C6" s="94" t="s">
        <v>97</v>
      </c>
      <c r="D6" s="94" t="s">
        <v>105</v>
      </c>
      <c r="E6" s="115"/>
      <c r="F6" s="94" t="b">
        <f>ISTEXT(K6)</f>
        <v>0</v>
      </c>
      <c r="G6" s="94" t="b">
        <f t="shared" ref="G6:H6" si="0">ISTEXT(L6)</f>
        <v>0</v>
      </c>
      <c r="H6" s="94" t="b">
        <f t="shared" si="0"/>
        <v>0</v>
      </c>
      <c r="I6" s="94" t="e">
        <f>IF(VLOOKUP(M6,$C$6:$D$11,2,FALSE)="Ya",ISTEXT(N6),TRUE)</f>
        <v>#N/A</v>
      </c>
      <c r="J6" s="54"/>
      <c r="K6" s="121"/>
      <c r="L6" s="121"/>
      <c r="M6" s="121"/>
      <c r="N6" s="121"/>
      <c r="O6" s="94" t="str">
        <f>IF(COUNTIF(F6:I6,TRUE)&gt;0,
        IF(COUNTIF(F6:I6,TRUE)=4,"Data Lengkap","Data Belum Lengkap"),
        "")</f>
        <v/>
      </c>
    </row>
    <row r="7" spans="1:15" s="119" customFormat="1" x14ac:dyDescent="0.35">
      <c r="A7" s="116"/>
      <c r="B7" s="115"/>
      <c r="C7" s="94" t="s">
        <v>98</v>
      </c>
      <c r="D7" s="94" t="s">
        <v>105</v>
      </c>
      <c r="E7" s="115"/>
      <c r="F7" s="94" t="b">
        <f t="shared" ref="F7:F10" si="1">ISTEXT(K7)</f>
        <v>0</v>
      </c>
      <c r="G7" s="94" t="b">
        <f t="shared" ref="G7:G10" si="2">ISTEXT(L7)</f>
        <v>0</v>
      </c>
      <c r="H7" s="94" t="b">
        <f t="shared" ref="H7:H10" si="3">ISTEXT(M7)</f>
        <v>0</v>
      </c>
      <c r="I7" s="94" t="e">
        <f t="shared" ref="I7:I10" si="4">IF(VLOOKUP(M7,$C$6:$D$11,2,FALSE)="Ya",ISTEXT(N7),TRUE)</f>
        <v>#N/A</v>
      </c>
      <c r="J7" s="54"/>
      <c r="K7" s="121"/>
      <c r="L7" s="121"/>
      <c r="M7" s="121"/>
      <c r="N7" s="121"/>
      <c r="O7" s="94" t="str">
        <f t="shared" ref="O7:O10" si="5">IF(COUNTIF(F7:I7,TRUE)&gt;0,
        IF(COUNTIF(F7:I7,TRUE)=4,"Data Lengkap","Data Belum Lengkap"),
        "")</f>
        <v/>
      </c>
    </row>
    <row r="8" spans="1:15" s="119" customFormat="1" x14ac:dyDescent="0.35">
      <c r="A8" s="116"/>
      <c r="B8" s="115"/>
      <c r="C8" s="94" t="s">
        <v>99</v>
      </c>
      <c r="D8" s="94" t="s">
        <v>106</v>
      </c>
      <c r="E8" s="115"/>
      <c r="F8" s="94" t="b">
        <f t="shared" si="1"/>
        <v>0</v>
      </c>
      <c r="G8" s="94" t="b">
        <f t="shared" si="2"/>
        <v>0</v>
      </c>
      <c r="H8" s="94" t="b">
        <f t="shared" si="3"/>
        <v>0</v>
      </c>
      <c r="I8" s="94" t="e">
        <f t="shared" si="4"/>
        <v>#N/A</v>
      </c>
      <c r="J8" s="54"/>
      <c r="K8" s="121"/>
      <c r="L8" s="121"/>
      <c r="M8" s="121"/>
      <c r="N8" s="121"/>
      <c r="O8" s="94" t="str">
        <f t="shared" si="5"/>
        <v/>
      </c>
    </row>
    <row r="9" spans="1:15" s="119" customFormat="1" x14ac:dyDescent="0.35">
      <c r="A9" s="116"/>
      <c r="B9" s="115"/>
      <c r="C9" s="94" t="s">
        <v>100</v>
      </c>
      <c r="D9" s="94" t="s">
        <v>106</v>
      </c>
      <c r="E9" s="115"/>
      <c r="F9" s="94" t="b">
        <f t="shared" si="1"/>
        <v>0</v>
      </c>
      <c r="G9" s="94" t="b">
        <f t="shared" si="2"/>
        <v>0</v>
      </c>
      <c r="H9" s="94" t="b">
        <f t="shared" si="3"/>
        <v>0</v>
      </c>
      <c r="I9" s="94" t="e">
        <f t="shared" si="4"/>
        <v>#N/A</v>
      </c>
      <c r="J9" s="54"/>
      <c r="K9" s="121"/>
      <c r="L9" s="121"/>
      <c r="M9" s="121"/>
      <c r="N9" s="121"/>
      <c r="O9" s="94" t="str">
        <f t="shared" si="5"/>
        <v/>
      </c>
    </row>
    <row r="10" spans="1:15" s="119" customFormat="1" x14ac:dyDescent="0.35">
      <c r="A10" s="116"/>
      <c r="B10" s="115"/>
      <c r="C10" s="94" t="s">
        <v>101</v>
      </c>
      <c r="D10" s="94" t="s">
        <v>106</v>
      </c>
      <c r="E10" s="115"/>
      <c r="F10" s="94" t="b">
        <f t="shared" si="1"/>
        <v>0</v>
      </c>
      <c r="G10" s="94" t="b">
        <f t="shared" si="2"/>
        <v>0</v>
      </c>
      <c r="H10" s="94" t="b">
        <f t="shared" si="3"/>
        <v>0</v>
      </c>
      <c r="I10" s="94" t="e">
        <f t="shared" si="4"/>
        <v>#N/A</v>
      </c>
      <c r="J10" s="54"/>
      <c r="K10" s="121"/>
      <c r="L10" s="121"/>
      <c r="M10" s="121"/>
      <c r="N10" s="121"/>
      <c r="O10" s="94" t="str">
        <f t="shared" si="5"/>
        <v/>
      </c>
    </row>
    <row r="11" spans="1:15" s="119" customFormat="1" x14ac:dyDescent="0.35">
      <c r="A11" s="116"/>
      <c r="B11" s="115"/>
      <c r="C11" s="94" t="s">
        <v>102</v>
      </c>
      <c r="D11" s="94" t="s">
        <v>105</v>
      </c>
      <c r="E11" s="115"/>
      <c r="F11" s="115"/>
      <c r="G11" s="115"/>
      <c r="H11" s="115"/>
      <c r="I11" s="115"/>
      <c r="J11" s="54"/>
    </row>
    <row r="13" spans="1:15" s="124" customFormat="1" x14ac:dyDescent="0.35">
      <c r="A13" s="122"/>
      <c r="B13" s="115"/>
      <c r="C13" s="115"/>
      <c r="D13" s="115"/>
      <c r="E13" s="115"/>
      <c r="F13" s="117" t="s">
        <v>103</v>
      </c>
      <c r="G13" s="115"/>
      <c r="H13" s="115"/>
      <c r="I13" s="115"/>
      <c r="J13" s="54"/>
      <c r="K13" s="123" t="s">
        <v>107</v>
      </c>
    </row>
    <row r="14" spans="1:15" s="124" customFormat="1" x14ac:dyDescent="0.35">
      <c r="A14" s="122"/>
      <c r="B14" s="115"/>
      <c r="C14" s="120" t="s">
        <v>109</v>
      </c>
      <c r="D14" s="120" t="s">
        <v>104</v>
      </c>
      <c r="E14" s="115"/>
      <c r="F14" s="120" t="s">
        <v>93</v>
      </c>
      <c r="G14" s="120" t="s">
        <v>94</v>
      </c>
      <c r="H14" s="120" t="s">
        <v>95</v>
      </c>
      <c r="I14" s="120" t="s">
        <v>96</v>
      </c>
      <c r="J14" s="54"/>
      <c r="K14" s="120" t="s">
        <v>2</v>
      </c>
      <c r="L14" s="120" t="s">
        <v>108</v>
      </c>
      <c r="M14" s="120" t="s">
        <v>109</v>
      </c>
      <c r="N14" s="120" t="s">
        <v>96</v>
      </c>
      <c r="O14" s="120" t="s">
        <v>38</v>
      </c>
    </row>
    <row r="15" spans="1:15" s="124" customFormat="1" x14ac:dyDescent="0.35">
      <c r="A15" s="122"/>
      <c r="B15" s="115"/>
      <c r="C15" s="94" t="s">
        <v>110</v>
      </c>
      <c r="D15" s="94" t="s">
        <v>106</v>
      </c>
      <c r="E15" s="115"/>
      <c r="F15" s="94" t="b">
        <f>ISTEXT(K15)</f>
        <v>0</v>
      </c>
      <c r="G15" s="94" t="b">
        <f t="shared" ref="G15" si="6">ISTEXT(L15)</f>
        <v>0</v>
      </c>
      <c r="H15" s="94" t="b">
        <f t="shared" ref="H15" si="7">ISTEXT(M15)</f>
        <v>0</v>
      </c>
      <c r="I15" s="94" t="e">
        <f>IF(VLOOKUP(M15,$C$15:$D$18,2,FALSE)="Ya",ISTEXT(N15),TRUE)</f>
        <v>#N/A</v>
      </c>
      <c r="J15" s="54"/>
      <c r="K15" s="121"/>
      <c r="L15" s="121"/>
      <c r="M15" s="121"/>
      <c r="N15" s="121"/>
      <c r="O15" s="94" t="str">
        <f>IF(COUNTIF(F15:I15,TRUE)&gt;0,
        IF(COUNTIF(F15:I15,TRUE)=4,"Data Lengkap","Data Belum Lengkap"),
        "")</f>
        <v/>
      </c>
    </row>
    <row r="16" spans="1:15" s="124" customFormat="1" x14ac:dyDescent="0.35">
      <c r="A16" s="122"/>
      <c r="B16" s="115"/>
      <c r="C16" s="94" t="s">
        <v>111</v>
      </c>
      <c r="D16" s="94" t="s">
        <v>106</v>
      </c>
      <c r="E16" s="115"/>
      <c r="F16" s="94" t="b">
        <f t="shared" ref="F16:F19" si="8">ISTEXT(K16)</f>
        <v>0</v>
      </c>
      <c r="G16" s="94" t="b">
        <f t="shared" ref="G16:G19" si="9">ISTEXT(L16)</f>
        <v>0</v>
      </c>
      <c r="H16" s="94" t="b">
        <f t="shared" ref="H16:H19" si="10">ISTEXT(M16)</f>
        <v>0</v>
      </c>
      <c r="I16" s="94" t="e">
        <f t="shared" ref="I16:I19" si="11">IF(VLOOKUP(M16,$C$15:$D$18,2,FALSE)="Ya",ISTEXT(N16),TRUE)</f>
        <v>#N/A</v>
      </c>
      <c r="J16" s="54"/>
      <c r="K16" s="121"/>
      <c r="L16" s="121"/>
      <c r="M16" s="121"/>
      <c r="N16" s="121"/>
      <c r="O16" s="94" t="str">
        <f t="shared" ref="O16:O19" si="12">IF(COUNTIF(F16:I16,TRUE)&gt;0,
        IF(COUNTIF(F16:I16,TRUE)=4,"Data Lengkap","Data Belum Lengkap"),
        "")</f>
        <v/>
      </c>
    </row>
    <row r="17" spans="1:15" s="124" customFormat="1" x14ac:dyDescent="0.35">
      <c r="A17" s="122"/>
      <c r="B17" s="115"/>
      <c r="C17" s="94" t="s">
        <v>112</v>
      </c>
      <c r="D17" s="94" t="s">
        <v>106</v>
      </c>
      <c r="E17" s="115"/>
      <c r="F17" s="94" t="b">
        <f t="shared" si="8"/>
        <v>0</v>
      </c>
      <c r="G17" s="94" t="b">
        <f t="shared" si="9"/>
        <v>0</v>
      </c>
      <c r="H17" s="94" t="b">
        <f t="shared" si="10"/>
        <v>0</v>
      </c>
      <c r="I17" s="94" t="e">
        <f t="shared" si="11"/>
        <v>#N/A</v>
      </c>
      <c r="J17" s="54"/>
      <c r="K17" s="121"/>
      <c r="L17" s="121"/>
      <c r="M17" s="121"/>
      <c r="N17" s="121"/>
      <c r="O17" s="94" t="str">
        <f t="shared" si="12"/>
        <v/>
      </c>
    </row>
    <row r="18" spans="1:15" s="124" customFormat="1" x14ac:dyDescent="0.35">
      <c r="A18" s="122"/>
      <c r="B18" s="115"/>
      <c r="C18" s="94" t="s">
        <v>102</v>
      </c>
      <c r="D18" s="94" t="s">
        <v>105</v>
      </c>
      <c r="E18" s="115"/>
      <c r="F18" s="94" t="b">
        <f t="shared" si="8"/>
        <v>0</v>
      </c>
      <c r="G18" s="94" t="b">
        <f t="shared" si="9"/>
        <v>0</v>
      </c>
      <c r="H18" s="94" t="b">
        <f t="shared" si="10"/>
        <v>0</v>
      </c>
      <c r="I18" s="94" t="e">
        <f t="shared" si="11"/>
        <v>#N/A</v>
      </c>
      <c r="J18" s="54"/>
      <c r="K18" s="121"/>
      <c r="L18" s="121"/>
      <c r="M18" s="121"/>
      <c r="N18" s="121"/>
      <c r="O18" s="94" t="str">
        <f t="shared" si="12"/>
        <v/>
      </c>
    </row>
    <row r="19" spans="1:15" s="124" customFormat="1" x14ac:dyDescent="0.35">
      <c r="A19" s="122"/>
      <c r="B19" s="115"/>
      <c r="C19" s="115"/>
      <c r="D19" s="115"/>
      <c r="E19" s="115"/>
      <c r="F19" s="94" t="b">
        <f t="shared" si="8"/>
        <v>0</v>
      </c>
      <c r="G19" s="94" t="b">
        <f t="shared" si="9"/>
        <v>0</v>
      </c>
      <c r="H19" s="94" t="b">
        <f t="shared" si="10"/>
        <v>0</v>
      </c>
      <c r="I19" s="94" t="e">
        <f t="shared" si="11"/>
        <v>#N/A</v>
      </c>
      <c r="J19" s="54"/>
      <c r="K19" s="121"/>
      <c r="L19" s="121"/>
      <c r="M19" s="121"/>
      <c r="N19" s="121"/>
      <c r="O19" s="94" t="str">
        <f t="shared" si="12"/>
        <v/>
      </c>
    </row>
    <row r="20" spans="1:15" s="124" customFormat="1" x14ac:dyDescent="0.35">
      <c r="A20" s="122"/>
      <c r="B20" s="115"/>
      <c r="C20" s="115"/>
      <c r="D20" s="115"/>
      <c r="E20" s="115"/>
      <c r="F20" s="115"/>
      <c r="G20" s="115"/>
      <c r="H20" s="115"/>
      <c r="I20" s="115"/>
      <c r="J20" s="54"/>
    </row>
  </sheetData>
  <sheetProtection sheet="1" objects="1" scenarios="1"/>
  <conditionalFormatting sqref="N6:N10 N15:N19">
    <cfRule type="expression" dxfId="2" priority="3">
      <formula>I6=FALSE</formula>
    </cfRule>
  </conditionalFormatting>
  <conditionalFormatting sqref="O6:O10 O15:O19">
    <cfRule type="expression" dxfId="1" priority="1">
      <formula>O6="Data Belum Lengkap"</formula>
    </cfRule>
    <cfRule type="expression" dxfId="0" priority="2">
      <formula>O6="Data Lengkap"</formula>
    </cfRule>
  </conditionalFormatting>
  <dataValidations disablePrompts="1" count="2">
    <dataValidation type="list" allowBlank="1" showInputMessage="1" showErrorMessage="1" sqref="M6:M10">
      <formula1>$C$6:$C$11</formula1>
    </dataValidation>
    <dataValidation type="list" allowBlank="1" showInputMessage="1" showErrorMessage="1" sqref="M15:M19">
      <formula1>$C$15:$C$18</formula1>
    </dataValidation>
  </dataValidations>
  <pageMargins left="0.25" right="0.25" top="0.75" bottom="0.75" header="0.3" footer="0.3"/>
  <pageSetup paperSize="9" scale="84"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heetViews>
  <sheetFormatPr defaultRowHeight="14.5" x14ac:dyDescent="0.35"/>
  <sheetData>
    <row r="1" spans="1:8" x14ac:dyDescent="0.35">
      <c r="A1" s="127" t="s">
        <v>119</v>
      </c>
      <c r="E1" s="127" t="s">
        <v>23</v>
      </c>
      <c r="F1" s="127" t="s">
        <v>24</v>
      </c>
      <c r="H1" s="127" t="s">
        <v>25</v>
      </c>
    </row>
    <row r="3" spans="1:8" x14ac:dyDescent="0.35">
      <c r="B3" s="127" t="s">
        <v>38</v>
      </c>
    </row>
    <row r="7" spans="1:8" x14ac:dyDescent="0.35">
      <c r="E7" s="127" t="s">
        <v>26</v>
      </c>
      <c r="F7" s="127" t="s">
        <v>27</v>
      </c>
      <c r="G7" s="127" t="s">
        <v>28</v>
      </c>
      <c r="H7" s="127" t="s">
        <v>29</v>
      </c>
    </row>
    <row r="8" spans="1:8" x14ac:dyDescent="0.35">
      <c r="A8" s="127" t="s">
        <v>30</v>
      </c>
      <c r="E8" s="127" t="s">
        <v>1</v>
      </c>
      <c r="F8" s="127" t="s">
        <v>117</v>
      </c>
      <c r="G8" s="127" t="s">
        <v>31</v>
      </c>
      <c r="H8" s="127" t="s">
        <v>118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heetViews>
  <sheetFormatPr defaultRowHeight="14.5" x14ac:dyDescent="0.35"/>
  <sheetData>
    <row r="1" spans="1:8" x14ac:dyDescent="0.35">
      <c r="A1" s="127" t="s">
        <v>119</v>
      </c>
      <c r="E1" s="127" t="s">
        <v>23</v>
      </c>
      <c r="F1" s="127" t="s">
        <v>24</v>
      </c>
      <c r="H1" s="127" t="s">
        <v>25</v>
      </c>
    </row>
    <row r="3" spans="1:8" x14ac:dyDescent="0.35">
      <c r="B3" s="127" t="s">
        <v>38</v>
      </c>
    </row>
    <row r="7" spans="1:8" x14ac:dyDescent="0.35">
      <c r="E7" s="127" t="s">
        <v>26</v>
      </c>
      <c r="F7" s="127" t="s">
        <v>27</v>
      </c>
      <c r="G7" s="127" t="s">
        <v>28</v>
      </c>
      <c r="H7" s="127" t="s">
        <v>29</v>
      </c>
    </row>
    <row r="8" spans="1:8" x14ac:dyDescent="0.35">
      <c r="A8" s="127" t="s">
        <v>30</v>
      </c>
      <c r="E8" s="127" t="s">
        <v>1</v>
      </c>
      <c r="F8" s="127" t="s">
        <v>117</v>
      </c>
      <c r="G8" s="127" t="s">
        <v>31</v>
      </c>
      <c r="H8" s="127" t="s">
        <v>118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14"/>
  <sheetViews>
    <sheetView workbookViewId="0"/>
  </sheetViews>
  <sheetFormatPr defaultRowHeight="14.5" x14ac:dyDescent="0.35"/>
  <sheetData>
    <row r="1" spans="1:64" x14ac:dyDescent="0.35">
      <c r="A1" s="127" t="s">
        <v>267</v>
      </c>
      <c r="B1" s="127" t="s">
        <v>22</v>
      </c>
      <c r="C1" s="127" t="s">
        <v>22</v>
      </c>
      <c r="D1" s="127" t="s">
        <v>22</v>
      </c>
      <c r="E1" s="127" t="s">
        <v>22</v>
      </c>
      <c r="F1" s="127" t="s">
        <v>22</v>
      </c>
      <c r="G1" s="127" t="s">
        <v>22</v>
      </c>
      <c r="H1" s="127" t="s">
        <v>22</v>
      </c>
      <c r="I1" s="127" t="s">
        <v>22</v>
      </c>
      <c r="L1" s="127" t="s">
        <v>21</v>
      </c>
      <c r="M1" s="127" t="s">
        <v>22</v>
      </c>
      <c r="AN1" s="127" t="s">
        <v>22</v>
      </c>
      <c r="AO1" s="127" t="s">
        <v>22</v>
      </c>
      <c r="AP1" s="127" t="s">
        <v>22</v>
      </c>
      <c r="AQ1" s="127" t="s">
        <v>22</v>
      </c>
      <c r="AR1" s="127" t="s">
        <v>22</v>
      </c>
      <c r="AS1" s="127" t="s">
        <v>22</v>
      </c>
      <c r="AT1" s="127" t="s">
        <v>22</v>
      </c>
      <c r="AU1" s="127" t="s">
        <v>22</v>
      </c>
      <c r="AV1" s="127" t="s">
        <v>22</v>
      </c>
      <c r="AW1" s="127" t="s">
        <v>22</v>
      </c>
      <c r="AX1" s="127" t="s">
        <v>22</v>
      </c>
      <c r="AY1" s="127" t="s">
        <v>22</v>
      </c>
      <c r="AZ1" s="127" t="s">
        <v>22</v>
      </c>
      <c r="BA1" s="127" t="s">
        <v>22</v>
      </c>
      <c r="BB1" s="127" t="s">
        <v>22</v>
      </c>
      <c r="BC1" s="127" t="s">
        <v>22</v>
      </c>
      <c r="BD1" s="127" t="s">
        <v>22</v>
      </c>
      <c r="BE1" s="127" t="s">
        <v>22</v>
      </c>
      <c r="BF1" s="127" t="s">
        <v>22</v>
      </c>
      <c r="BG1" s="127" t="s">
        <v>22</v>
      </c>
      <c r="BH1" s="127" t="s">
        <v>22</v>
      </c>
      <c r="BI1" s="127" t="s">
        <v>22</v>
      </c>
      <c r="BJ1" s="127" t="s">
        <v>22</v>
      </c>
      <c r="BK1" s="127" t="s">
        <v>22</v>
      </c>
      <c r="BL1" s="127" t="s">
        <v>22</v>
      </c>
    </row>
    <row r="2" spans="1:64" x14ac:dyDescent="0.35">
      <c r="K2" s="127" t="s">
        <v>120</v>
      </c>
    </row>
    <row r="3" spans="1:64" x14ac:dyDescent="0.35">
      <c r="H3" s="127" t="s">
        <v>38</v>
      </c>
      <c r="J3" s="127" t="s">
        <v>0</v>
      </c>
      <c r="AO3" s="127" t="s">
        <v>35</v>
      </c>
    </row>
    <row r="4" spans="1:64" x14ac:dyDescent="0.35">
      <c r="H4" s="127" t="s">
        <v>121</v>
      </c>
      <c r="U4" s="127" t="s">
        <v>81</v>
      </c>
      <c r="AO4" s="127" t="s">
        <v>58</v>
      </c>
    </row>
    <row r="5" spans="1:64" x14ac:dyDescent="0.35">
      <c r="F5" s="127" t="s">
        <v>47</v>
      </c>
      <c r="K5" s="127" t="s">
        <v>1</v>
      </c>
      <c r="L5" s="127" t="s">
        <v>122</v>
      </c>
      <c r="M5" s="127" t="s">
        <v>123</v>
      </c>
      <c r="U5" s="127" t="s">
        <v>71</v>
      </c>
      <c r="AO5" s="127" t="s">
        <v>36</v>
      </c>
    </row>
    <row r="6" spans="1:64" x14ac:dyDescent="0.35">
      <c r="F6" s="127" t="s">
        <v>46</v>
      </c>
      <c r="K6" s="127" t="s">
        <v>44</v>
      </c>
      <c r="L6" s="127" t="s">
        <v>45</v>
      </c>
      <c r="M6" s="127" t="s">
        <v>124</v>
      </c>
    </row>
    <row r="8" spans="1:64" x14ac:dyDescent="0.35">
      <c r="A8" s="127" t="s">
        <v>22</v>
      </c>
      <c r="D8" s="127" t="s">
        <v>115</v>
      </c>
      <c r="M8" s="127" t="s">
        <v>125</v>
      </c>
      <c r="N8" s="127" t="s">
        <v>126</v>
      </c>
      <c r="O8" s="127" t="s">
        <v>127</v>
      </c>
      <c r="P8" s="127" t="s">
        <v>128</v>
      </c>
      <c r="Q8" s="127" t="s">
        <v>129</v>
      </c>
      <c r="R8" s="127" t="s">
        <v>130</v>
      </c>
      <c r="S8" s="127" t="s">
        <v>131</v>
      </c>
      <c r="T8" s="127" t="s">
        <v>132</v>
      </c>
      <c r="U8" s="127" t="s">
        <v>133</v>
      </c>
      <c r="V8" s="127" t="s">
        <v>134</v>
      </c>
      <c r="W8" s="127" t="s">
        <v>135</v>
      </c>
      <c r="X8" s="127" t="s">
        <v>136</v>
      </c>
      <c r="Y8" s="127" t="s">
        <v>137</v>
      </c>
      <c r="Z8" s="127" t="s">
        <v>138</v>
      </c>
      <c r="AA8" s="127" t="s">
        <v>139</v>
      </c>
      <c r="AB8" s="127" t="s">
        <v>140</v>
      </c>
      <c r="AC8" s="127" t="s">
        <v>141</v>
      </c>
      <c r="AD8" s="127" t="s">
        <v>142</v>
      </c>
      <c r="AE8" s="127" t="s">
        <v>143</v>
      </c>
      <c r="AF8" s="127" t="s">
        <v>144</v>
      </c>
      <c r="AG8" s="127" t="s">
        <v>145</v>
      </c>
      <c r="AH8" s="127" t="s">
        <v>146</v>
      </c>
      <c r="AI8" s="127" t="s">
        <v>147</v>
      </c>
      <c r="AJ8" s="127" t="s">
        <v>148</v>
      </c>
      <c r="AK8" s="127" t="s">
        <v>149</v>
      </c>
    </row>
    <row r="9" spans="1:64" ht="87" x14ac:dyDescent="0.35">
      <c r="A9" s="127" t="s">
        <v>22</v>
      </c>
      <c r="D9" s="127" t="s">
        <v>72</v>
      </c>
      <c r="M9" s="127" t="s">
        <v>150</v>
      </c>
      <c r="N9" s="127" t="s">
        <v>151</v>
      </c>
      <c r="O9" s="128" t="s">
        <v>152</v>
      </c>
      <c r="P9" s="128" t="s">
        <v>153</v>
      </c>
      <c r="Q9" s="128" t="s">
        <v>154</v>
      </c>
      <c r="R9" s="128" t="s">
        <v>155</v>
      </c>
      <c r="S9" s="128" t="s">
        <v>156</v>
      </c>
      <c r="T9" s="128" t="s">
        <v>157</v>
      </c>
      <c r="U9" s="128" t="s">
        <v>158</v>
      </c>
      <c r="V9" s="128" t="s">
        <v>159</v>
      </c>
      <c r="W9" s="128" t="s">
        <v>160</v>
      </c>
      <c r="X9" s="128" t="s">
        <v>161</v>
      </c>
      <c r="Y9" s="128" t="s">
        <v>162</v>
      </c>
      <c r="Z9" s="128" t="s">
        <v>163</v>
      </c>
      <c r="AA9" s="128" t="s">
        <v>164</v>
      </c>
      <c r="AB9" s="128" t="s">
        <v>165</v>
      </c>
      <c r="AC9" s="128" t="s">
        <v>166</v>
      </c>
      <c r="AD9" s="128" t="s">
        <v>167</v>
      </c>
      <c r="AE9" s="128" t="s">
        <v>168</v>
      </c>
      <c r="AF9" s="128" t="s">
        <v>169</v>
      </c>
      <c r="AG9" s="128" t="s">
        <v>170</v>
      </c>
      <c r="AH9" s="128" t="s">
        <v>171</v>
      </c>
      <c r="AI9" s="128" t="s">
        <v>172</v>
      </c>
      <c r="AJ9" s="128" t="s">
        <v>173</v>
      </c>
      <c r="AK9" s="128" t="s">
        <v>174</v>
      </c>
    </row>
    <row r="10" spans="1:64" x14ac:dyDescent="0.35">
      <c r="C10" s="127" t="s">
        <v>116</v>
      </c>
      <c r="D10" s="127" t="s">
        <v>43</v>
      </c>
      <c r="E10" s="127" t="s">
        <v>39</v>
      </c>
      <c r="F10" s="127" t="s">
        <v>40</v>
      </c>
      <c r="G10" s="127" t="s">
        <v>41</v>
      </c>
      <c r="H10" s="127" t="s">
        <v>42</v>
      </c>
      <c r="K10" s="127" t="s">
        <v>2</v>
      </c>
      <c r="L10" s="127" t="s">
        <v>3</v>
      </c>
      <c r="N10" s="127" t="s">
        <v>175</v>
      </c>
      <c r="T10" s="127" t="s">
        <v>176</v>
      </c>
      <c r="AF10" s="127" t="s">
        <v>177</v>
      </c>
      <c r="AL10" s="127" t="s">
        <v>82</v>
      </c>
      <c r="AO10" s="127" t="s">
        <v>178</v>
      </c>
      <c r="AU10" s="127" t="s">
        <v>179</v>
      </c>
      <c r="BG10" s="127" t="s">
        <v>180</v>
      </c>
    </row>
    <row r="11" spans="1:64" x14ac:dyDescent="0.35">
      <c r="D11" s="127" t="s">
        <v>181</v>
      </c>
      <c r="E11" s="127" t="s">
        <v>182</v>
      </c>
      <c r="F11" s="127" t="s">
        <v>183</v>
      </c>
      <c r="G11" s="127" t="s">
        <v>184</v>
      </c>
      <c r="H11" s="127" t="s">
        <v>185</v>
      </c>
      <c r="M11" s="127" t="s">
        <v>4</v>
      </c>
      <c r="N11" s="127" t="s">
        <v>186</v>
      </c>
      <c r="O11" s="127" t="s">
        <v>187</v>
      </c>
      <c r="P11" s="127" t="s">
        <v>188</v>
      </c>
      <c r="Q11" s="127" t="s">
        <v>189</v>
      </c>
      <c r="R11" s="127" t="s">
        <v>190</v>
      </c>
      <c r="S11" s="127" t="s">
        <v>191</v>
      </c>
      <c r="T11" s="127" t="s">
        <v>192</v>
      </c>
      <c r="U11" s="127" t="s">
        <v>193</v>
      </c>
      <c r="V11" s="127" t="s">
        <v>194</v>
      </c>
      <c r="W11" s="127" t="s">
        <v>195</v>
      </c>
      <c r="X11" s="127" t="s">
        <v>196</v>
      </c>
      <c r="Y11" s="127" t="s">
        <v>197</v>
      </c>
      <c r="Z11" s="127" t="s">
        <v>198</v>
      </c>
      <c r="AA11" s="127" t="s">
        <v>199</v>
      </c>
      <c r="AB11" s="127" t="s">
        <v>200</v>
      </c>
      <c r="AC11" s="127" t="s">
        <v>201</v>
      </c>
      <c r="AD11" s="127" t="s">
        <v>202</v>
      </c>
      <c r="AE11" s="127" t="s">
        <v>203</v>
      </c>
      <c r="AF11" s="127" t="s">
        <v>204</v>
      </c>
      <c r="AG11" s="127" t="s">
        <v>205</v>
      </c>
      <c r="AH11" s="127" t="s">
        <v>206</v>
      </c>
      <c r="AI11" s="127" t="s">
        <v>207</v>
      </c>
      <c r="AJ11" s="127" t="s">
        <v>208</v>
      </c>
      <c r="AK11" s="127" t="s">
        <v>209</v>
      </c>
      <c r="AO11" s="127" t="s">
        <v>186</v>
      </c>
      <c r="AP11" s="127" t="s">
        <v>187</v>
      </c>
      <c r="AQ11" s="127" t="s">
        <v>188</v>
      </c>
      <c r="AR11" s="127" t="s">
        <v>189</v>
      </c>
      <c r="AS11" s="127" t="s">
        <v>190</v>
      </c>
      <c r="AT11" s="127" t="s">
        <v>191</v>
      </c>
      <c r="AU11" s="127" t="s">
        <v>192</v>
      </c>
      <c r="AV11" s="127" t="s">
        <v>193</v>
      </c>
      <c r="AW11" s="127" t="s">
        <v>194</v>
      </c>
      <c r="AX11" s="127" t="s">
        <v>195</v>
      </c>
      <c r="AY11" s="127" t="s">
        <v>196</v>
      </c>
      <c r="AZ11" s="127" t="s">
        <v>197</v>
      </c>
      <c r="BA11" s="127" t="s">
        <v>198</v>
      </c>
      <c r="BB11" s="127" t="s">
        <v>199</v>
      </c>
      <c r="BC11" s="127" t="s">
        <v>200</v>
      </c>
      <c r="BD11" s="127" t="s">
        <v>201</v>
      </c>
      <c r="BE11" s="127" t="s">
        <v>202</v>
      </c>
      <c r="BF11" s="127" t="s">
        <v>203</v>
      </c>
      <c r="BG11" s="127" t="s">
        <v>204</v>
      </c>
      <c r="BH11" s="127" t="s">
        <v>205</v>
      </c>
      <c r="BI11" s="127" t="s">
        <v>206</v>
      </c>
      <c r="BJ11" s="127" t="s">
        <v>207</v>
      </c>
      <c r="BK11" s="127" t="s">
        <v>208</v>
      </c>
      <c r="BL11" s="127" t="s">
        <v>209</v>
      </c>
    </row>
    <row r="12" spans="1:64" x14ac:dyDescent="0.35">
      <c r="H12" s="127" t="s">
        <v>210</v>
      </c>
      <c r="J12" s="127" t="s">
        <v>10</v>
      </c>
      <c r="L12" s="127" t="s">
        <v>5</v>
      </c>
      <c r="N12" s="127" t="s">
        <v>211</v>
      </c>
      <c r="O12" s="127" t="s">
        <v>212</v>
      </c>
      <c r="P12" s="127" t="s">
        <v>213</v>
      </c>
      <c r="Q12" s="127" t="s">
        <v>214</v>
      </c>
      <c r="R12" s="127" t="s">
        <v>215</v>
      </c>
      <c r="S12" s="127" t="s">
        <v>216</v>
      </c>
      <c r="T12" s="127" t="s">
        <v>217</v>
      </c>
      <c r="U12" s="127" t="s">
        <v>218</v>
      </c>
      <c r="V12" s="127" t="s">
        <v>219</v>
      </c>
      <c r="W12" s="127" t="s">
        <v>220</v>
      </c>
      <c r="X12" s="127" t="s">
        <v>221</v>
      </c>
      <c r="Y12" s="127" t="s">
        <v>222</v>
      </c>
      <c r="Z12" s="127" t="s">
        <v>223</v>
      </c>
      <c r="AA12" s="127" t="s">
        <v>224</v>
      </c>
      <c r="AB12" s="127" t="s">
        <v>225</v>
      </c>
      <c r="AC12" s="127" t="s">
        <v>226</v>
      </c>
      <c r="AD12" s="127" t="s">
        <v>227</v>
      </c>
      <c r="AE12" s="127" t="s">
        <v>228</v>
      </c>
      <c r="AF12" s="127" t="s">
        <v>229</v>
      </c>
      <c r="AG12" s="127" t="s">
        <v>230</v>
      </c>
      <c r="AH12" s="127" t="s">
        <v>231</v>
      </c>
      <c r="AI12" s="127" t="s">
        <v>232</v>
      </c>
      <c r="AJ12" s="127" t="s">
        <v>233</v>
      </c>
      <c r="AK12" s="127" t="s">
        <v>234</v>
      </c>
      <c r="AL12" s="127" t="s">
        <v>235</v>
      </c>
    </row>
    <row r="13" spans="1:64" ht="409.5" x14ac:dyDescent="0.35">
      <c r="C13" s="127" t="s">
        <v>236</v>
      </c>
      <c r="D13" s="127" t="s">
        <v>237</v>
      </c>
      <c r="H13" s="128" t="s">
        <v>238</v>
      </c>
      <c r="J13" s="127" t="s">
        <v>239</v>
      </c>
      <c r="K13" s="127" t="s">
        <v>240</v>
      </c>
      <c r="L13" s="127" t="s">
        <v>241</v>
      </c>
      <c r="AL13" s="127" t="s">
        <v>242</v>
      </c>
      <c r="AO13" s="128" t="s">
        <v>243</v>
      </c>
      <c r="AP13" s="128" t="s">
        <v>244</v>
      </c>
      <c r="AQ13" s="128" t="s">
        <v>245</v>
      </c>
      <c r="AR13" s="128" t="s">
        <v>246</v>
      </c>
      <c r="AS13" s="128" t="s">
        <v>247</v>
      </c>
      <c r="AT13" s="128" t="s">
        <v>248</v>
      </c>
      <c r="AU13" s="128" t="s">
        <v>249</v>
      </c>
      <c r="AV13" s="128" t="s">
        <v>250</v>
      </c>
      <c r="AW13" s="128" t="s">
        <v>251</v>
      </c>
      <c r="AX13" s="128" t="s">
        <v>252</v>
      </c>
      <c r="AY13" s="128" t="s">
        <v>253</v>
      </c>
      <c r="AZ13" s="128" t="s">
        <v>254</v>
      </c>
      <c r="BA13" s="128" t="s">
        <v>255</v>
      </c>
      <c r="BB13" s="128" t="s">
        <v>256</v>
      </c>
      <c r="BC13" s="128" t="s">
        <v>257</v>
      </c>
      <c r="BD13" s="128" t="s">
        <v>258</v>
      </c>
      <c r="BE13" s="128" t="s">
        <v>259</v>
      </c>
      <c r="BF13" s="128" t="s">
        <v>260</v>
      </c>
      <c r="BG13" s="128" t="s">
        <v>261</v>
      </c>
      <c r="BH13" s="128" t="s">
        <v>262</v>
      </c>
      <c r="BI13" s="128" t="s">
        <v>263</v>
      </c>
      <c r="BJ13" s="128" t="s">
        <v>264</v>
      </c>
      <c r="BK13" s="128" t="s">
        <v>265</v>
      </c>
      <c r="BL13" s="128" t="s">
        <v>266</v>
      </c>
    </row>
    <row r="14" spans="1:64" x14ac:dyDescent="0.35">
      <c r="A14" s="127" t="s">
        <v>22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14"/>
  <sheetViews>
    <sheetView workbookViewId="0"/>
  </sheetViews>
  <sheetFormatPr defaultRowHeight="14.5" x14ac:dyDescent="0.35"/>
  <sheetData>
    <row r="1" spans="1:64" x14ac:dyDescent="0.35">
      <c r="A1" s="127" t="s">
        <v>267</v>
      </c>
      <c r="B1" s="127" t="s">
        <v>22</v>
      </c>
      <c r="C1" s="127" t="s">
        <v>22</v>
      </c>
      <c r="D1" s="127" t="s">
        <v>22</v>
      </c>
      <c r="E1" s="127" t="s">
        <v>22</v>
      </c>
      <c r="F1" s="127" t="s">
        <v>22</v>
      </c>
      <c r="G1" s="127" t="s">
        <v>22</v>
      </c>
      <c r="H1" s="127" t="s">
        <v>22</v>
      </c>
      <c r="I1" s="127" t="s">
        <v>22</v>
      </c>
      <c r="L1" s="127" t="s">
        <v>21</v>
      </c>
      <c r="M1" s="127" t="s">
        <v>22</v>
      </c>
      <c r="AN1" s="127" t="s">
        <v>22</v>
      </c>
      <c r="AO1" s="127" t="s">
        <v>22</v>
      </c>
      <c r="AP1" s="127" t="s">
        <v>22</v>
      </c>
      <c r="AQ1" s="127" t="s">
        <v>22</v>
      </c>
      <c r="AR1" s="127" t="s">
        <v>22</v>
      </c>
      <c r="AS1" s="127" t="s">
        <v>22</v>
      </c>
      <c r="AT1" s="127" t="s">
        <v>22</v>
      </c>
      <c r="AU1" s="127" t="s">
        <v>22</v>
      </c>
      <c r="AV1" s="127" t="s">
        <v>22</v>
      </c>
      <c r="AW1" s="127" t="s">
        <v>22</v>
      </c>
      <c r="AX1" s="127" t="s">
        <v>22</v>
      </c>
      <c r="AY1" s="127" t="s">
        <v>22</v>
      </c>
      <c r="AZ1" s="127" t="s">
        <v>22</v>
      </c>
      <c r="BA1" s="127" t="s">
        <v>22</v>
      </c>
      <c r="BB1" s="127" t="s">
        <v>22</v>
      </c>
      <c r="BC1" s="127" t="s">
        <v>22</v>
      </c>
      <c r="BD1" s="127" t="s">
        <v>22</v>
      </c>
      <c r="BE1" s="127" t="s">
        <v>22</v>
      </c>
      <c r="BF1" s="127" t="s">
        <v>22</v>
      </c>
      <c r="BG1" s="127" t="s">
        <v>22</v>
      </c>
      <c r="BH1" s="127" t="s">
        <v>22</v>
      </c>
      <c r="BI1" s="127" t="s">
        <v>22</v>
      </c>
      <c r="BJ1" s="127" t="s">
        <v>22</v>
      </c>
      <c r="BK1" s="127" t="s">
        <v>22</v>
      </c>
      <c r="BL1" s="127" t="s">
        <v>22</v>
      </c>
    </row>
    <row r="2" spans="1:64" x14ac:dyDescent="0.35">
      <c r="K2" s="127" t="s">
        <v>120</v>
      </c>
    </row>
    <row r="3" spans="1:64" x14ac:dyDescent="0.35">
      <c r="H3" s="127" t="s">
        <v>38</v>
      </c>
      <c r="J3" s="127" t="s">
        <v>0</v>
      </c>
      <c r="AO3" s="127" t="s">
        <v>35</v>
      </c>
    </row>
    <row r="4" spans="1:64" x14ac:dyDescent="0.35">
      <c r="H4" s="127" t="s">
        <v>121</v>
      </c>
      <c r="U4" s="127" t="s">
        <v>81</v>
      </c>
      <c r="AO4" s="127" t="s">
        <v>58</v>
      </c>
    </row>
    <row r="5" spans="1:64" x14ac:dyDescent="0.35">
      <c r="F5" s="127" t="s">
        <v>47</v>
      </c>
      <c r="K5" s="127" t="s">
        <v>1</v>
      </c>
      <c r="L5" s="127" t="s">
        <v>122</v>
      </c>
      <c r="M5" s="127" t="s">
        <v>123</v>
      </c>
      <c r="U5" s="127" t="s">
        <v>71</v>
      </c>
      <c r="AO5" s="127" t="s">
        <v>36</v>
      </c>
    </row>
    <row r="6" spans="1:64" x14ac:dyDescent="0.35">
      <c r="F6" s="127" t="s">
        <v>46</v>
      </c>
      <c r="K6" s="127" t="s">
        <v>44</v>
      </c>
      <c r="L6" s="127" t="s">
        <v>45</v>
      </c>
      <c r="M6" s="127" t="s">
        <v>124</v>
      </c>
    </row>
    <row r="8" spans="1:64" x14ac:dyDescent="0.35">
      <c r="A8" s="127" t="s">
        <v>22</v>
      </c>
      <c r="D8" s="127" t="s">
        <v>115</v>
      </c>
      <c r="M8" s="127" t="s">
        <v>125</v>
      </c>
      <c r="N8" s="127" t="s">
        <v>126</v>
      </c>
      <c r="O8" s="127" t="s">
        <v>127</v>
      </c>
      <c r="P8" s="127" t="s">
        <v>128</v>
      </c>
      <c r="Q8" s="127" t="s">
        <v>129</v>
      </c>
      <c r="R8" s="127" t="s">
        <v>130</v>
      </c>
      <c r="S8" s="127" t="s">
        <v>131</v>
      </c>
      <c r="T8" s="127" t="s">
        <v>132</v>
      </c>
      <c r="U8" s="127" t="s">
        <v>133</v>
      </c>
      <c r="V8" s="127" t="s">
        <v>134</v>
      </c>
      <c r="W8" s="127" t="s">
        <v>135</v>
      </c>
      <c r="X8" s="127" t="s">
        <v>136</v>
      </c>
      <c r="Y8" s="127" t="s">
        <v>137</v>
      </c>
      <c r="Z8" s="127" t="s">
        <v>138</v>
      </c>
      <c r="AA8" s="127" t="s">
        <v>139</v>
      </c>
      <c r="AB8" s="127" t="s">
        <v>140</v>
      </c>
      <c r="AC8" s="127" t="s">
        <v>141</v>
      </c>
      <c r="AD8" s="127" t="s">
        <v>142</v>
      </c>
      <c r="AE8" s="127" t="s">
        <v>143</v>
      </c>
      <c r="AF8" s="127" t="s">
        <v>144</v>
      </c>
      <c r="AG8" s="127" t="s">
        <v>145</v>
      </c>
      <c r="AH8" s="127" t="s">
        <v>146</v>
      </c>
      <c r="AI8" s="127" t="s">
        <v>147</v>
      </c>
      <c r="AJ8" s="127" t="s">
        <v>148</v>
      </c>
      <c r="AK8" s="127" t="s">
        <v>149</v>
      </c>
    </row>
    <row r="9" spans="1:64" ht="87" x14ac:dyDescent="0.35">
      <c r="A9" s="127" t="s">
        <v>22</v>
      </c>
      <c r="D9" s="127" t="s">
        <v>72</v>
      </c>
      <c r="M9" s="127" t="s">
        <v>150</v>
      </c>
      <c r="N9" s="127" t="s">
        <v>151</v>
      </c>
      <c r="O9" s="128" t="s">
        <v>152</v>
      </c>
      <c r="P9" s="128" t="s">
        <v>153</v>
      </c>
      <c r="Q9" s="128" t="s">
        <v>154</v>
      </c>
      <c r="R9" s="128" t="s">
        <v>155</v>
      </c>
      <c r="S9" s="128" t="s">
        <v>156</v>
      </c>
      <c r="T9" s="128" t="s">
        <v>157</v>
      </c>
      <c r="U9" s="128" t="s">
        <v>158</v>
      </c>
      <c r="V9" s="128" t="s">
        <v>159</v>
      </c>
      <c r="W9" s="128" t="s">
        <v>160</v>
      </c>
      <c r="X9" s="128" t="s">
        <v>161</v>
      </c>
      <c r="Y9" s="128" t="s">
        <v>162</v>
      </c>
      <c r="Z9" s="128" t="s">
        <v>163</v>
      </c>
      <c r="AA9" s="128" t="s">
        <v>164</v>
      </c>
      <c r="AB9" s="128" t="s">
        <v>165</v>
      </c>
      <c r="AC9" s="128" t="s">
        <v>166</v>
      </c>
      <c r="AD9" s="128" t="s">
        <v>167</v>
      </c>
      <c r="AE9" s="128" t="s">
        <v>168</v>
      </c>
      <c r="AF9" s="128" t="s">
        <v>169</v>
      </c>
      <c r="AG9" s="128" t="s">
        <v>170</v>
      </c>
      <c r="AH9" s="128" t="s">
        <v>171</v>
      </c>
      <c r="AI9" s="128" t="s">
        <v>172</v>
      </c>
      <c r="AJ9" s="128" t="s">
        <v>173</v>
      </c>
      <c r="AK9" s="128" t="s">
        <v>174</v>
      </c>
    </row>
    <row r="10" spans="1:64" x14ac:dyDescent="0.35">
      <c r="C10" s="127" t="s">
        <v>116</v>
      </c>
      <c r="D10" s="127" t="s">
        <v>43</v>
      </c>
      <c r="E10" s="127" t="s">
        <v>39</v>
      </c>
      <c r="F10" s="127" t="s">
        <v>40</v>
      </c>
      <c r="G10" s="127" t="s">
        <v>41</v>
      </c>
      <c r="H10" s="127" t="s">
        <v>42</v>
      </c>
      <c r="K10" s="127" t="s">
        <v>2</v>
      </c>
      <c r="L10" s="127" t="s">
        <v>3</v>
      </c>
      <c r="N10" s="127" t="s">
        <v>175</v>
      </c>
      <c r="T10" s="127" t="s">
        <v>176</v>
      </c>
      <c r="AF10" s="127" t="s">
        <v>177</v>
      </c>
      <c r="AL10" s="127" t="s">
        <v>82</v>
      </c>
      <c r="AO10" s="127" t="s">
        <v>178</v>
      </c>
      <c r="AU10" s="127" t="s">
        <v>179</v>
      </c>
      <c r="BG10" s="127" t="s">
        <v>180</v>
      </c>
    </row>
    <row r="11" spans="1:64" x14ac:dyDescent="0.35">
      <c r="D11" s="127" t="s">
        <v>181</v>
      </c>
      <c r="E11" s="127" t="s">
        <v>182</v>
      </c>
      <c r="F11" s="127" t="s">
        <v>183</v>
      </c>
      <c r="G11" s="127" t="s">
        <v>184</v>
      </c>
      <c r="H11" s="127" t="s">
        <v>185</v>
      </c>
      <c r="M11" s="127" t="s">
        <v>4</v>
      </c>
      <c r="N11" s="127" t="s">
        <v>186</v>
      </c>
      <c r="O11" s="127" t="s">
        <v>187</v>
      </c>
      <c r="P11" s="127" t="s">
        <v>188</v>
      </c>
      <c r="Q11" s="127" t="s">
        <v>189</v>
      </c>
      <c r="R11" s="127" t="s">
        <v>190</v>
      </c>
      <c r="S11" s="127" t="s">
        <v>191</v>
      </c>
      <c r="T11" s="127" t="s">
        <v>192</v>
      </c>
      <c r="U11" s="127" t="s">
        <v>193</v>
      </c>
      <c r="V11" s="127" t="s">
        <v>194</v>
      </c>
      <c r="W11" s="127" t="s">
        <v>195</v>
      </c>
      <c r="X11" s="127" t="s">
        <v>196</v>
      </c>
      <c r="Y11" s="127" t="s">
        <v>197</v>
      </c>
      <c r="Z11" s="127" t="s">
        <v>198</v>
      </c>
      <c r="AA11" s="127" t="s">
        <v>199</v>
      </c>
      <c r="AB11" s="127" t="s">
        <v>200</v>
      </c>
      <c r="AC11" s="127" t="s">
        <v>201</v>
      </c>
      <c r="AD11" s="127" t="s">
        <v>202</v>
      </c>
      <c r="AE11" s="127" t="s">
        <v>203</v>
      </c>
      <c r="AF11" s="127" t="s">
        <v>204</v>
      </c>
      <c r="AG11" s="127" t="s">
        <v>205</v>
      </c>
      <c r="AH11" s="127" t="s">
        <v>206</v>
      </c>
      <c r="AI11" s="127" t="s">
        <v>207</v>
      </c>
      <c r="AJ11" s="127" t="s">
        <v>208</v>
      </c>
      <c r="AK11" s="127" t="s">
        <v>209</v>
      </c>
      <c r="AO11" s="127" t="s">
        <v>186</v>
      </c>
      <c r="AP11" s="127" t="s">
        <v>187</v>
      </c>
      <c r="AQ11" s="127" t="s">
        <v>188</v>
      </c>
      <c r="AR11" s="127" t="s">
        <v>189</v>
      </c>
      <c r="AS11" s="127" t="s">
        <v>190</v>
      </c>
      <c r="AT11" s="127" t="s">
        <v>191</v>
      </c>
      <c r="AU11" s="127" t="s">
        <v>192</v>
      </c>
      <c r="AV11" s="127" t="s">
        <v>193</v>
      </c>
      <c r="AW11" s="127" t="s">
        <v>194</v>
      </c>
      <c r="AX11" s="127" t="s">
        <v>195</v>
      </c>
      <c r="AY11" s="127" t="s">
        <v>196</v>
      </c>
      <c r="AZ11" s="127" t="s">
        <v>197</v>
      </c>
      <c r="BA11" s="127" t="s">
        <v>198</v>
      </c>
      <c r="BB11" s="127" t="s">
        <v>199</v>
      </c>
      <c r="BC11" s="127" t="s">
        <v>200</v>
      </c>
      <c r="BD11" s="127" t="s">
        <v>201</v>
      </c>
      <c r="BE11" s="127" t="s">
        <v>202</v>
      </c>
      <c r="BF11" s="127" t="s">
        <v>203</v>
      </c>
      <c r="BG11" s="127" t="s">
        <v>204</v>
      </c>
      <c r="BH11" s="127" t="s">
        <v>205</v>
      </c>
      <c r="BI11" s="127" t="s">
        <v>206</v>
      </c>
      <c r="BJ11" s="127" t="s">
        <v>207</v>
      </c>
      <c r="BK11" s="127" t="s">
        <v>208</v>
      </c>
      <c r="BL11" s="127" t="s">
        <v>209</v>
      </c>
    </row>
    <row r="12" spans="1:64" x14ac:dyDescent="0.35">
      <c r="H12" s="127" t="s">
        <v>210</v>
      </c>
      <c r="J12" s="127" t="s">
        <v>10</v>
      </c>
      <c r="L12" s="127" t="s">
        <v>5</v>
      </c>
      <c r="N12" s="127" t="s">
        <v>211</v>
      </c>
      <c r="O12" s="127" t="s">
        <v>212</v>
      </c>
      <c r="P12" s="127" t="s">
        <v>213</v>
      </c>
      <c r="Q12" s="127" t="s">
        <v>214</v>
      </c>
      <c r="R12" s="127" t="s">
        <v>215</v>
      </c>
      <c r="S12" s="127" t="s">
        <v>216</v>
      </c>
      <c r="T12" s="127" t="s">
        <v>217</v>
      </c>
      <c r="U12" s="127" t="s">
        <v>218</v>
      </c>
      <c r="V12" s="127" t="s">
        <v>219</v>
      </c>
      <c r="W12" s="127" t="s">
        <v>220</v>
      </c>
      <c r="X12" s="127" t="s">
        <v>221</v>
      </c>
      <c r="Y12" s="127" t="s">
        <v>222</v>
      </c>
      <c r="Z12" s="127" t="s">
        <v>223</v>
      </c>
      <c r="AA12" s="127" t="s">
        <v>224</v>
      </c>
      <c r="AB12" s="127" t="s">
        <v>225</v>
      </c>
      <c r="AC12" s="127" t="s">
        <v>226</v>
      </c>
      <c r="AD12" s="127" t="s">
        <v>227</v>
      </c>
      <c r="AE12" s="127" t="s">
        <v>228</v>
      </c>
      <c r="AF12" s="127" t="s">
        <v>229</v>
      </c>
      <c r="AG12" s="127" t="s">
        <v>230</v>
      </c>
      <c r="AH12" s="127" t="s">
        <v>231</v>
      </c>
      <c r="AI12" s="127" t="s">
        <v>232</v>
      </c>
      <c r="AJ12" s="127" t="s">
        <v>233</v>
      </c>
      <c r="AK12" s="127" t="s">
        <v>234</v>
      </c>
      <c r="AL12" s="127" t="s">
        <v>235</v>
      </c>
    </row>
    <row r="13" spans="1:64" ht="409.5" x14ac:dyDescent="0.35">
      <c r="C13" s="127" t="s">
        <v>236</v>
      </c>
      <c r="D13" s="127" t="s">
        <v>237</v>
      </c>
      <c r="H13" s="128" t="s">
        <v>238</v>
      </c>
      <c r="J13" s="127" t="s">
        <v>239</v>
      </c>
      <c r="K13" s="127" t="s">
        <v>240</v>
      </c>
      <c r="L13" s="127" t="s">
        <v>241</v>
      </c>
      <c r="AL13" s="127" t="s">
        <v>242</v>
      </c>
      <c r="AO13" s="128" t="s">
        <v>243</v>
      </c>
      <c r="AP13" s="128" t="s">
        <v>244</v>
      </c>
      <c r="AQ13" s="128" t="s">
        <v>245</v>
      </c>
      <c r="AR13" s="128" t="s">
        <v>246</v>
      </c>
      <c r="AS13" s="128" t="s">
        <v>247</v>
      </c>
      <c r="AT13" s="128" t="s">
        <v>248</v>
      </c>
      <c r="AU13" s="128" t="s">
        <v>249</v>
      </c>
      <c r="AV13" s="128" t="s">
        <v>250</v>
      </c>
      <c r="AW13" s="128" t="s">
        <v>251</v>
      </c>
      <c r="AX13" s="128" t="s">
        <v>252</v>
      </c>
      <c r="AY13" s="128" t="s">
        <v>253</v>
      </c>
      <c r="AZ13" s="128" t="s">
        <v>254</v>
      </c>
      <c r="BA13" s="128" t="s">
        <v>255</v>
      </c>
      <c r="BB13" s="128" t="s">
        <v>256</v>
      </c>
      <c r="BC13" s="128" t="s">
        <v>257</v>
      </c>
      <c r="BD13" s="128" t="s">
        <v>258</v>
      </c>
      <c r="BE13" s="128" t="s">
        <v>259</v>
      </c>
      <c r="BF13" s="128" t="s">
        <v>260</v>
      </c>
      <c r="BG13" s="128" t="s">
        <v>261</v>
      </c>
      <c r="BH13" s="128" t="s">
        <v>262</v>
      </c>
      <c r="BI13" s="128" t="s">
        <v>263</v>
      </c>
      <c r="BJ13" s="128" t="s">
        <v>264</v>
      </c>
      <c r="BK13" s="128" t="s">
        <v>265</v>
      </c>
      <c r="BL13" s="128" t="s">
        <v>266</v>
      </c>
    </row>
    <row r="14" spans="1:64" x14ac:dyDescent="0.35">
      <c r="A14" s="127" t="s">
        <v>22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13"/>
  <sheetViews>
    <sheetView workbookViewId="0"/>
  </sheetViews>
  <sheetFormatPr defaultRowHeight="14.5" x14ac:dyDescent="0.35"/>
  <sheetData>
    <row r="1" spans="1:32" x14ac:dyDescent="0.35">
      <c r="A1" s="127" t="s">
        <v>3246</v>
      </c>
      <c r="B1" s="127" t="s">
        <v>22</v>
      </c>
      <c r="C1" s="127" t="s">
        <v>22</v>
      </c>
      <c r="D1" s="127" t="s">
        <v>22</v>
      </c>
      <c r="G1" s="127" t="s">
        <v>21</v>
      </c>
    </row>
    <row r="2" spans="1:32" x14ac:dyDescent="0.35">
      <c r="A2" s="127" t="s">
        <v>22</v>
      </c>
    </row>
    <row r="3" spans="1:32" ht="87" x14ac:dyDescent="0.35">
      <c r="A3" s="127" t="s">
        <v>22</v>
      </c>
      <c r="C3" s="127" t="s">
        <v>73</v>
      </c>
      <c r="E3" s="127" t="s">
        <v>74</v>
      </c>
      <c r="G3" s="127" t="s">
        <v>268</v>
      </c>
      <c r="I3" s="127" t="s">
        <v>269</v>
      </c>
      <c r="J3" s="128" t="s">
        <v>270</v>
      </c>
      <c r="K3" s="128" t="s">
        <v>271</v>
      </c>
      <c r="L3" s="128" t="s">
        <v>272</v>
      </c>
      <c r="M3" s="128" t="s">
        <v>273</v>
      </c>
      <c r="N3" s="128" t="s">
        <v>274</v>
      </c>
      <c r="O3" s="128" t="s">
        <v>275</v>
      </c>
      <c r="P3" s="128" t="s">
        <v>276</v>
      </c>
      <c r="Q3" s="128" t="s">
        <v>277</v>
      </c>
      <c r="R3" s="128" t="s">
        <v>278</v>
      </c>
      <c r="S3" s="128" t="s">
        <v>279</v>
      </c>
      <c r="T3" s="128" t="s">
        <v>280</v>
      </c>
      <c r="U3" s="128" t="s">
        <v>281</v>
      </c>
      <c r="V3" s="128" t="s">
        <v>282</v>
      </c>
      <c r="W3" s="128" t="s">
        <v>283</v>
      </c>
      <c r="X3" s="128" t="s">
        <v>284</v>
      </c>
      <c r="Y3" s="128" t="s">
        <v>285</v>
      </c>
      <c r="Z3" s="128" t="s">
        <v>286</v>
      </c>
      <c r="AA3" s="128" t="s">
        <v>287</v>
      </c>
      <c r="AB3" s="128" t="s">
        <v>288</v>
      </c>
      <c r="AC3" s="128" t="s">
        <v>289</v>
      </c>
      <c r="AD3" s="128" t="s">
        <v>290</v>
      </c>
      <c r="AE3" s="128" t="s">
        <v>291</v>
      </c>
      <c r="AF3" s="128" t="s">
        <v>292</v>
      </c>
    </row>
    <row r="4" spans="1:32" x14ac:dyDescent="0.35">
      <c r="A4" s="127" t="s">
        <v>22</v>
      </c>
      <c r="C4" s="127" t="s">
        <v>293</v>
      </c>
      <c r="E4" s="127" t="s">
        <v>75</v>
      </c>
      <c r="I4" s="127" t="s">
        <v>294</v>
      </c>
      <c r="J4" s="127" t="s">
        <v>295</v>
      </c>
      <c r="K4" s="127" t="s">
        <v>296</v>
      </c>
      <c r="L4" s="127" t="s">
        <v>297</v>
      </c>
      <c r="M4" s="127" t="s">
        <v>298</v>
      </c>
      <c r="N4" s="127" t="s">
        <v>299</v>
      </c>
      <c r="O4" s="127" t="s">
        <v>300</v>
      </c>
      <c r="P4" s="127" t="s">
        <v>301</v>
      </c>
      <c r="Q4" s="127" t="s">
        <v>302</v>
      </c>
      <c r="R4" s="127" t="s">
        <v>303</v>
      </c>
      <c r="S4" s="127" t="s">
        <v>304</v>
      </c>
      <c r="T4" s="127" t="s">
        <v>305</v>
      </c>
      <c r="U4" s="127" t="s">
        <v>306</v>
      </c>
      <c r="V4" s="127" t="s">
        <v>307</v>
      </c>
      <c r="W4" s="127" t="s">
        <v>308</v>
      </c>
      <c r="X4" s="127" t="s">
        <v>309</v>
      </c>
      <c r="Y4" s="127" t="s">
        <v>310</v>
      </c>
      <c r="Z4" s="127" t="s">
        <v>311</v>
      </c>
      <c r="AA4" s="127" t="s">
        <v>312</v>
      </c>
      <c r="AB4" s="127" t="s">
        <v>313</v>
      </c>
      <c r="AC4" s="127" t="s">
        <v>314</v>
      </c>
      <c r="AD4" s="127" t="s">
        <v>315</v>
      </c>
      <c r="AE4" s="127" t="s">
        <v>316</v>
      </c>
      <c r="AF4" s="127" t="s">
        <v>317</v>
      </c>
    </row>
    <row r="5" spans="1:32" x14ac:dyDescent="0.35">
      <c r="A5" s="127" t="s">
        <v>22</v>
      </c>
    </row>
    <row r="6" spans="1:32" x14ac:dyDescent="0.35">
      <c r="G6" s="127" t="s">
        <v>79</v>
      </c>
      <c r="J6" s="127" t="s">
        <v>90</v>
      </c>
    </row>
    <row r="7" spans="1:32" x14ac:dyDescent="0.35">
      <c r="G7" s="127" t="s">
        <v>78</v>
      </c>
      <c r="J7" s="127" t="s">
        <v>77</v>
      </c>
      <c r="M7" s="127" t="s">
        <v>12</v>
      </c>
      <c r="P7" s="127" t="s">
        <v>20</v>
      </c>
    </row>
    <row r="8" spans="1:32" x14ac:dyDescent="0.35">
      <c r="G8" s="127" t="s">
        <v>88</v>
      </c>
      <c r="H8" s="127" t="s">
        <v>318</v>
      </c>
      <c r="J8" s="127" t="s">
        <v>319</v>
      </c>
    </row>
    <row r="9" spans="1:32" x14ac:dyDescent="0.35">
      <c r="G9" s="127" t="s">
        <v>85</v>
      </c>
      <c r="H9" s="127" t="s">
        <v>320</v>
      </c>
      <c r="J9" s="127" t="s">
        <v>321</v>
      </c>
    </row>
    <row r="10" spans="1:32" x14ac:dyDescent="0.35">
      <c r="J10" s="127" t="s">
        <v>76</v>
      </c>
      <c r="M10" s="127" t="s">
        <v>13</v>
      </c>
      <c r="P10" s="127" t="s">
        <v>89</v>
      </c>
    </row>
    <row r="11" spans="1:32" ht="159.5" x14ac:dyDescent="0.35">
      <c r="E11" s="127" t="s">
        <v>10</v>
      </c>
      <c r="F11" s="127" t="s">
        <v>2</v>
      </c>
      <c r="G11" s="127" t="s">
        <v>3</v>
      </c>
      <c r="H11" s="127" t="s">
        <v>82</v>
      </c>
      <c r="I11" s="128" t="s">
        <v>322</v>
      </c>
      <c r="J11" s="128" t="s">
        <v>323</v>
      </c>
      <c r="K11" s="128" t="s">
        <v>324</v>
      </c>
      <c r="L11" s="128" t="s">
        <v>325</v>
      </c>
      <c r="M11" s="128" t="s">
        <v>326</v>
      </c>
      <c r="N11" s="128" t="s">
        <v>327</v>
      </c>
      <c r="O11" s="128" t="s">
        <v>328</v>
      </c>
      <c r="P11" s="128" t="s">
        <v>329</v>
      </c>
      <c r="Q11" s="128" t="s">
        <v>330</v>
      </c>
      <c r="R11" s="128" t="s">
        <v>331</v>
      </c>
      <c r="S11" s="128" t="s">
        <v>332</v>
      </c>
      <c r="T11" s="128" t="s">
        <v>333</v>
      </c>
      <c r="U11" s="128" t="s">
        <v>334</v>
      </c>
      <c r="V11" s="128" t="s">
        <v>335</v>
      </c>
      <c r="W11" s="128" t="s">
        <v>336</v>
      </c>
      <c r="X11" s="128" t="s">
        <v>337</v>
      </c>
      <c r="Y11" s="128" t="s">
        <v>338</v>
      </c>
      <c r="Z11" s="128" t="s">
        <v>339</v>
      </c>
      <c r="AA11" s="128" t="s">
        <v>340</v>
      </c>
      <c r="AB11" s="128" t="s">
        <v>341</v>
      </c>
      <c r="AC11" s="128" t="s">
        <v>342</v>
      </c>
      <c r="AD11" s="128" t="s">
        <v>343</v>
      </c>
      <c r="AE11" s="128" t="s">
        <v>344</v>
      </c>
      <c r="AF11" s="128" t="s">
        <v>345</v>
      </c>
    </row>
    <row r="12" spans="1:32" x14ac:dyDescent="0.35">
      <c r="H12" s="127" t="s">
        <v>346</v>
      </c>
    </row>
    <row r="14" spans="1:32" ht="319" x14ac:dyDescent="0.35">
      <c r="C14" s="127" t="s">
        <v>269</v>
      </c>
      <c r="E14" s="128" t="s">
        <v>347</v>
      </c>
      <c r="F14" s="128" t="s">
        <v>348</v>
      </c>
      <c r="G14" s="128" t="s">
        <v>349</v>
      </c>
      <c r="H14" s="128" t="s">
        <v>350</v>
      </c>
      <c r="I14" s="128" t="s">
        <v>351</v>
      </c>
      <c r="J14" s="128" t="s">
        <v>352</v>
      </c>
      <c r="K14" s="128" t="s">
        <v>353</v>
      </c>
      <c r="L14" s="128" t="s">
        <v>354</v>
      </c>
      <c r="M14" s="128" t="s">
        <v>355</v>
      </c>
      <c r="N14" s="128" t="s">
        <v>356</v>
      </c>
      <c r="O14" s="128" t="s">
        <v>357</v>
      </c>
      <c r="P14" s="128" t="s">
        <v>358</v>
      </c>
      <c r="Q14" s="128" t="s">
        <v>359</v>
      </c>
      <c r="R14" s="128" t="s">
        <v>360</v>
      </c>
      <c r="S14" s="128" t="s">
        <v>361</v>
      </c>
      <c r="T14" s="128" t="s">
        <v>362</v>
      </c>
      <c r="U14" s="128" t="s">
        <v>363</v>
      </c>
      <c r="V14" s="128" t="s">
        <v>364</v>
      </c>
      <c r="W14" s="128" t="s">
        <v>365</v>
      </c>
      <c r="X14" s="128" t="s">
        <v>366</v>
      </c>
      <c r="Y14" s="128" t="s">
        <v>367</v>
      </c>
      <c r="Z14" s="128" t="s">
        <v>368</v>
      </c>
      <c r="AA14" s="128" t="s">
        <v>369</v>
      </c>
      <c r="AB14" s="128" t="s">
        <v>370</v>
      </c>
      <c r="AC14" s="128" t="s">
        <v>371</v>
      </c>
      <c r="AD14" s="128" t="s">
        <v>372</v>
      </c>
      <c r="AE14" s="128" t="s">
        <v>373</v>
      </c>
      <c r="AF14" s="128" t="s">
        <v>374</v>
      </c>
    </row>
    <row r="15" spans="1:32" ht="319" x14ac:dyDescent="0.35">
      <c r="C15" s="128" t="s">
        <v>375</v>
      </c>
      <c r="E15" s="128" t="s">
        <v>376</v>
      </c>
      <c r="F15" s="128" t="s">
        <v>377</v>
      </c>
      <c r="G15" s="128" t="s">
        <v>378</v>
      </c>
      <c r="H15" s="128" t="s">
        <v>379</v>
      </c>
      <c r="I15" s="128" t="s">
        <v>380</v>
      </c>
      <c r="J15" s="128" t="s">
        <v>381</v>
      </c>
      <c r="K15" s="128" t="s">
        <v>382</v>
      </c>
      <c r="L15" s="128" t="s">
        <v>383</v>
      </c>
      <c r="M15" s="128" t="s">
        <v>384</v>
      </c>
      <c r="N15" s="128" t="s">
        <v>385</v>
      </c>
      <c r="O15" s="128" t="s">
        <v>386</v>
      </c>
      <c r="P15" s="128" t="s">
        <v>387</v>
      </c>
      <c r="Q15" s="128" t="s">
        <v>388</v>
      </c>
      <c r="R15" s="128" t="s">
        <v>389</v>
      </c>
      <c r="S15" s="128" t="s">
        <v>390</v>
      </c>
      <c r="T15" s="128" t="s">
        <v>391</v>
      </c>
      <c r="U15" s="128" t="s">
        <v>392</v>
      </c>
      <c r="V15" s="128" t="s">
        <v>393</v>
      </c>
      <c r="W15" s="128" t="s">
        <v>394</v>
      </c>
      <c r="X15" s="128" t="s">
        <v>395</v>
      </c>
      <c r="Y15" s="128" t="s">
        <v>396</v>
      </c>
      <c r="Z15" s="128" t="s">
        <v>397</v>
      </c>
      <c r="AA15" s="128" t="s">
        <v>398</v>
      </c>
      <c r="AB15" s="128" t="s">
        <v>399</v>
      </c>
      <c r="AC15" s="128" t="s">
        <v>400</v>
      </c>
      <c r="AD15" s="128" t="s">
        <v>401</v>
      </c>
      <c r="AE15" s="128" t="s">
        <v>402</v>
      </c>
      <c r="AF15" s="128" t="s">
        <v>403</v>
      </c>
    </row>
    <row r="16" spans="1:32" ht="319" x14ac:dyDescent="0.35">
      <c r="C16" s="128" t="s">
        <v>404</v>
      </c>
      <c r="E16" s="128" t="s">
        <v>405</v>
      </c>
      <c r="F16" s="128" t="s">
        <v>406</v>
      </c>
      <c r="G16" s="128" t="s">
        <v>407</v>
      </c>
      <c r="H16" s="128" t="s">
        <v>408</v>
      </c>
      <c r="I16" s="128" t="s">
        <v>409</v>
      </c>
      <c r="J16" s="128" t="s">
        <v>410</v>
      </c>
      <c r="K16" s="128" t="s">
        <v>411</v>
      </c>
      <c r="L16" s="128" t="s">
        <v>412</v>
      </c>
      <c r="M16" s="128" t="s">
        <v>413</v>
      </c>
      <c r="N16" s="128" t="s">
        <v>414</v>
      </c>
      <c r="O16" s="128" t="s">
        <v>415</v>
      </c>
      <c r="P16" s="128" t="s">
        <v>416</v>
      </c>
      <c r="Q16" s="128" t="s">
        <v>417</v>
      </c>
      <c r="R16" s="128" t="s">
        <v>418</v>
      </c>
      <c r="S16" s="128" t="s">
        <v>419</v>
      </c>
      <c r="T16" s="128" t="s">
        <v>420</v>
      </c>
      <c r="U16" s="128" t="s">
        <v>421</v>
      </c>
      <c r="V16" s="128" t="s">
        <v>422</v>
      </c>
      <c r="W16" s="128" t="s">
        <v>423</v>
      </c>
      <c r="X16" s="128" t="s">
        <v>424</v>
      </c>
      <c r="Y16" s="128" t="s">
        <v>425</v>
      </c>
      <c r="Z16" s="128" t="s">
        <v>426</v>
      </c>
      <c r="AA16" s="128" t="s">
        <v>427</v>
      </c>
      <c r="AB16" s="128" t="s">
        <v>428</v>
      </c>
      <c r="AC16" s="128" t="s">
        <v>429</v>
      </c>
      <c r="AD16" s="128" t="s">
        <v>430</v>
      </c>
      <c r="AE16" s="128" t="s">
        <v>431</v>
      </c>
      <c r="AF16" s="128" t="s">
        <v>432</v>
      </c>
    </row>
    <row r="17" spans="3:32" ht="319" x14ac:dyDescent="0.35">
      <c r="C17" s="128" t="s">
        <v>433</v>
      </c>
      <c r="E17" s="128" t="s">
        <v>434</v>
      </c>
      <c r="F17" s="128" t="s">
        <v>435</v>
      </c>
      <c r="G17" s="128" t="s">
        <v>436</v>
      </c>
      <c r="H17" s="128" t="s">
        <v>437</v>
      </c>
      <c r="I17" s="128" t="s">
        <v>438</v>
      </c>
      <c r="J17" s="128" t="s">
        <v>439</v>
      </c>
      <c r="K17" s="128" t="s">
        <v>440</v>
      </c>
      <c r="L17" s="128" t="s">
        <v>441</v>
      </c>
      <c r="M17" s="128" t="s">
        <v>442</v>
      </c>
      <c r="N17" s="128" t="s">
        <v>443</v>
      </c>
      <c r="O17" s="128" t="s">
        <v>444</v>
      </c>
      <c r="P17" s="128" t="s">
        <v>445</v>
      </c>
      <c r="Q17" s="128" t="s">
        <v>446</v>
      </c>
      <c r="R17" s="128" t="s">
        <v>447</v>
      </c>
      <c r="S17" s="128" t="s">
        <v>448</v>
      </c>
      <c r="T17" s="128" t="s">
        <v>449</v>
      </c>
      <c r="U17" s="128" t="s">
        <v>450</v>
      </c>
      <c r="V17" s="128" t="s">
        <v>451</v>
      </c>
      <c r="W17" s="128" t="s">
        <v>452</v>
      </c>
      <c r="X17" s="128" t="s">
        <v>453</v>
      </c>
      <c r="Y17" s="128" t="s">
        <v>454</v>
      </c>
      <c r="Z17" s="128" t="s">
        <v>455</v>
      </c>
      <c r="AA17" s="128" t="s">
        <v>456</v>
      </c>
      <c r="AB17" s="128" t="s">
        <v>457</v>
      </c>
      <c r="AC17" s="128" t="s">
        <v>458</v>
      </c>
      <c r="AD17" s="128" t="s">
        <v>459</v>
      </c>
      <c r="AE17" s="128" t="s">
        <v>460</v>
      </c>
      <c r="AF17" s="128" t="s">
        <v>461</v>
      </c>
    </row>
    <row r="18" spans="3:32" ht="319" x14ac:dyDescent="0.35">
      <c r="C18" s="128" t="s">
        <v>462</v>
      </c>
      <c r="E18" s="128" t="s">
        <v>463</v>
      </c>
      <c r="F18" s="128" t="s">
        <v>464</v>
      </c>
      <c r="G18" s="128" t="s">
        <v>465</v>
      </c>
      <c r="H18" s="128" t="s">
        <v>466</v>
      </c>
      <c r="I18" s="128" t="s">
        <v>467</v>
      </c>
      <c r="J18" s="128" t="s">
        <v>468</v>
      </c>
      <c r="K18" s="128" t="s">
        <v>469</v>
      </c>
      <c r="L18" s="128" t="s">
        <v>470</v>
      </c>
      <c r="M18" s="128" t="s">
        <v>471</v>
      </c>
      <c r="N18" s="128" t="s">
        <v>472</v>
      </c>
      <c r="O18" s="128" t="s">
        <v>473</v>
      </c>
      <c r="P18" s="128" t="s">
        <v>474</v>
      </c>
      <c r="Q18" s="128" t="s">
        <v>475</v>
      </c>
      <c r="R18" s="128" t="s">
        <v>476</v>
      </c>
      <c r="S18" s="128" t="s">
        <v>477</v>
      </c>
      <c r="T18" s="128" t="s">
        <v>478</v>
      </c>
      <c r="U18" s="128" t="s">
        <v>479</v>
      </c>
      <c r="V18" s="128" t="s">
        <v>480</v>
      </c>
      <c r="W18" s="128" t="s">
        <v>481</v>
      </c>
      <c r="X18" s="128" t="s">
        <v>482</v>
      </c>
      <c r="Y18" s="128" t="s">
        <v>483</v>
      </c>
      <c r="Z18" s="128" t="s">
        <v>484</v>
      </c>
      <c r="AA18" s="128" t="s">
        <v>485</v>
      </c>
      <c r="AB18" s="128" t="s">
        <v>486</v>
      </c>
      <c r="AC18" s="128" t="s">
        <v>487</v>
      </c>
      <c r="AD18" s="128" t="s">
        <v>488</v>
      </c>
      <c r="AE18" s="128" t="s">
        <v>489</v>
      </c>
      <c r="AF18" s="128" t="s">
        <v>490</v>
      </c>
    </row>
    <row r="19" spans="3:32" ht="319" x14ac:dyDescent="0.35">
      <c r="C19" s="128" t="s">
        <v>491</v>
      </c>
      <c r="E19" s="128" t="s">
        <v>492</v>
      </c>
      <c r="F19" s="128" t="s">
        <v>493</v>
      </c>
      <c r="G19" s="128" t="s">
        <v>494</v>
      </c>
      <c r="H19" s="128" t="s">
        <v>495</v>
      </c>
      <c r="I19" s="128" t="s">
        <v>496</v>
      </c>
      <c r="J19" s="128" t="s">
        <v>497</v>
      </c>
      <c r="K19" s="128" t="s">
        <v>498</v>
      </c>
      <c r="L19" s="128" t="s">
        <v>499</v>
      </c>
      <c r="M19" s="128" t="s">
        <v>500</v>
      </c>
      <c r="N19" s="128" t="s">
        <v>501</v>
      </c>
      <c r="O19" s="128" t="s">
        <v>502</v>
      </c>
      <c r="P19" s="128" t="s">
        <v>503</v>
      </c>
      <c r="Q19" s="128" t="s">
        <v>504</v>
      </c>
      <c r="R19" s="128" t="s">
        <v>505</v>
      </c>
      <c r="S19" s="128" t="s">
        <v>506</v>
      </c>
      <c r="T19" s="128" t="s">
        <v>507</v>
      </c>
      <c r="U19" s="128" t="s">
        <v>508</v>
      </c>
      <c r="V19" s="128" t="s">
        <v>509</v>
      </c>
      <c r="W19" s="128" t="s">
        <v>510</v>
      </c>
      <c r="X19" s="128" t="s">
        <v>511</v>
      </c>
      <c r="Y19" s="128" t="s">
        <v>512</v>
      </c>
      <c r="Z19" s="128" t="s">
        <v>513</v>
      </c>
      <c r="AA19" s="128" t="s">
        <v>514</v>
      </c>
      <c r="AB19" s="128" t="s">
        <v>515</v>
      </c>
      <c r="AC19" s="128" t="s">
        <v>516</v>
      </c>
      <c r="AD19" s="128" t="s">
        <v>517</v>
      </c>
      <c r="AE19" s="128" t="s">
        <v>518</v>
      </c>
      <c r="AF19" s="128" t="s">
        <v>519</v>
      </c>
    </row>
    <row r="20" spans="3:32" ht="319" x14ac:dyDescent="0.35">
      <c r="C20" s="128" t="s">
        <v>520</v>
      </c>
      <c r="E20" s="128" t="s">
        <v>521</v>
      </c>
      <c r="F20" s="128" t="s">
        <v>522</v>
      </c>
      <c r="G20" s="128" t="s">
        <v>523</v>
      </c>
      <c r="H20" s="128" t="s">
        <v>524</v>
      </c>
      <c r="I20" s="128" t="s">
        <v>525</v>
      </c>
      <c r="J20" s="128" t="s">
        <v>526</v>
      </c>
      <c r="K20" s="128" t="s">
        <v>527</v>
      </c>
      <c r="L20" s="128" t="s">
        <v>528</v>
      </c>
      <c r="M20" s="128" t="s">
        <v>529</v>
      </c>
      <c r="N20" s="128" t="s">
        <v>530</v>
      </c>
      <c r="O20" s="128" t="s">
        <v>531</v>
      </c>
      <c r="P20" s="128" t="s">
        <v>532</v>
      </c>
      <c r="Q20" s="128" t="s">
        <v>533</v>
      </c>
      <c r="R20" s="128" t="s">
        <v>534</v>
      </c>
      <c r="S20" s="128" t="s">
        <v>535</v>
      </c>
      <c r="T20" s="128" t="s">
        <v>536</v>
      </c>
      <c r="U20" s="128" t="s">
        <v>537</v>
      </c>
      <c r="V20" s="128" t="s">
        <v>538</v>
      </c>
      <c r="W20" s="128" t="s">
        <v>539</v>
      </c>
      <c r="X20" s="128" t="s">
        <v>540</v>
      </c>
      <c r="Y20" s="128" t="s">
        <v>541</v>
      </c>
      <c r="Z20" s="128" t="s">
        <v>542</v>
      </c>
      <c r="AA20" s="128" t="s">
        <v>543</v>
      </c>
      <c r="AB20" s="128" t="s">
        <v>544</v>
      </c>
      <c r="AC20" s="128" t="s">
        <v>545</v>
      </c>
      <c r="AD20" s="128" t="s">
        <v>546</v>
      </c>
      <c r="AE20" s="128" t="s">
        <v>547</v>
      </c>
      <c r="AF20" s="128" t="s">
        <v>548</v>
      </c>
    </row>
    <row r="21" spans="3:32" ht="319" x14ac:dyDescent="0.35">
      <c r="C21" s="128" t="s">
        <v>549</v>
      </c>
      <c r="E21" s="128" t="s">
        <v>550</v>
      </c>
      <c r="F21" s="128" t="s">
        <v>551</v>
      </c>
      <c r="G21" s="128" t="s">
        <v>552</v>
      </c>
      <c r="H21" s="128" t="s">
        <v>553</v>
      </c>
      <c r="I21" s="128" t="s">
        <v>554</v>
      </c>
      <c r="J21" s="128" t="s">
        <v>555</v>
      </c>
      <c r="K21" s="128" t="s">
        <v>556</v>
      </c>
      <c r="L21" s="128" t="s">
        <v>557</v>
      </c>
      <c r="M21" s="128" t="s">
        <v>558</v>
      </c>
      <c r="N21" s="128" t="s">
        <v>559</v>
      </c>
      <c r="O21" s="128" t="s">
        <v>560</v>
      </c>
      <c r="P21" s="128" t="s">
        <v>561</v>
      </c>
      <c r="Q21" s="128" t="s">
        <v>562</v>
      </c>
      <c r="R21" s="128" t="s">
        <v>563</v>
      </c>
      <c r="S21" s="128" t="s">
        <v>564</v>
      </c>
      <c r="T21" s="128" t="s">
        <v>565</v>
      </c>
      <c r="U21" s="128" t="s">
        <v>566</v>
      </c>
      <c r="V21" s="128" t="s">
        <v>567</v>
      </c>
      <c r="W21" s="128" t="s">
        <v>568</v>
      </c>
      <c r="X21" s="128" t="s">
        <v>569</v>
      </c>
      <c r="Y21" s="128" t="s">
        <v>570</v>
      </c>
      <c r="Z21" s="128" t="s">
        <v>571</v>
      </c>
      <c r="AA21" s="128" t="s">
        <v>572</v>
      </c>
      <c r="AB21" s="128" t="s">
        <v>573</v>
      </c>
      <c r="AC21" s="128" t="s">
        <v>574</v>
      </c>
      <c r="AD21" s="128" t="s">
        <v>575</v>
      </c>
      <c r="AE21" s="128" t="s">
        <v>576</v>
      </c>
      <c r="AF21" s="128" t="s">
        <v>577</v>
      </c>
    </row>
    <row r="22" spans="3:32" ht="319" x14ac:dyDescent="0.35">
      <c r="C22" s="128" t="s">
        <v>578</v>
      </c>
      <c r="E22" s="128" t="s">
        <v>579</v>
      </c>
      <c r="F22" s="128" t="s">
        <v>580</v>
      </c>
      <c r="G22" s="128" t="s">
        <v>581</v>
      </c>
      <c r="H22" s="128" t="s">
        <v>582</v>
      </c>
      <c r="I22" s="128" t="s">
        <v>583</v>
      </c>
      <c r="J22" s="128" t="s">
        <v>584</v>
      </c>
      <c r="K22" s="128" t="s">
        <v>585</v>
      </c>
      <c r="L22" s="128" t="s">
        <v>586</v>
      </c>
      <c r="M22" s="128" t="s">
        <v>587</v>
      </c>
      <c r="N22" s="128" t="s">
        <v>588</v>
      </c>
      <c r="O22" s="128" t="s">
        <v>589</v>
      </c>
      <c r="P22" s="128" t="s">
        <v>590</v>
      </c>
      <c r="Q22" s="128" t="s">
        <v>591</v>
      </c>
      <c r="R22" s="128" t="s">
        <v>592</v>
      </c>
      <c r="S22" s="128" t="s">
        <v>593</v>
      </c>
      <c r="T22" s="128" t="s">
        <v>594</v>
      </c>
      <c r="U22" s="128" t="s">
        <v>595</v>
      </c>
      <c r="V22" s="128" t="s">
        <v>596</v>
      </c>
      <c r="W22" s="128" t="s">
        <v>597</v>
      </c>
      <c r="X22" s="128" t="s">
        <v>598</v>
      </c>
      <c r="Y22" s="128" t="s">
        <v>599</v>
      </c>
      <c r="Z22" s="128" t="s">
        <v>600</v>
      </c>
      <c r="AA22" s="128" t="s">
        <v>601</v>
      </c>
      <c r="AB22" s="128" t="s">
        <v>602</v>
      </c>
      <c r="AC22" s="128" t="s">
        <v>603</v>
      </c>
      <c r="AD22" s="128" t="s">
        <v>604</v>
      </c>
      <c r="AE22" s="128" t="s">
        <v>605</v>
      </c>
      <c r="AF22" s="128" t="s">
        <v>606</v>
      </c>
    </row>
    <row r="23" spans="3:32" ht="319" x14ac:dyDescent="0.35">
      <c r="C23" s="128" t="s">
        <v>607</v>
      </c>
      <c r="E23" s="128" t="s">
        <v>608</v>
      </c>
      <c r="F23" s="128" t="s">
        <v>609</v>
      </c>
      <c r="G23" s="128" t="s">
        <v>610</v>
      </c>
      <c r="H23" s="128" t="s">
        <v>611</v>
      </c>
      <c r="I23" s="128" t="s">
        <v>612</v>
      </c>
      <c r="J23" s="128" t="s">
        <v>613</v>
      </c>
      <c r="K23" s="128" t="s">
        <v>614</v>
      </c>
      <c r="L23" s="128" t="s">
        <v>615</v>
      </c>
      <c r="M23" s="128" t="s">
        <v>616</v>
      </c>
      <c r="N23" s="128" t="s">
        <v>617</v>
      </c>
      <c r="O23" s="128" t="s">
        <v>618</v>
      </c>
      <c r="P23" s="128" t="s">
        <v>619</v>
      </c>
      <c r="Q23" s="128" t="s">
        <v>620</v>
      </c>
      <c r="R23" s="128" t="s">
        <v>621</v>
      </c>
      <c r="S23" s="128" t="s">
        <v>622</v>
      </c>
      <c r="T23" s="128" t="s">
        <v>623</v>
      </c>
      <c r="U23" s="128" t="s">
        <v>624</v>
      </c>
      <c r="V23" s="128" t="s">
        <v>625</v>
      </c>
      <c r="W23" s="128" t="s">
        <v>626</v>
      </c>
      <c r="X23" s="128" t="s">
        <v>627</v>
      </c>
      <c r="Y23" s="128" t="s">
        <v>628</v>
      </c>
      <c r="Z23" s="128" t="s">
        <v>629</v>
      </c>
      <c r="AA23" s="128" t="s">
        <v>630</v>
      </c>
      <c r="AB23" s="128" t="s">
        <v>631</v>
      </c>
      <c r="AC23" s="128" t="s">
        <v>632</v>
      </c>
      <c r="AD23" s="128" t="s">
        <v>633</v>
      </c>
      <c r="AE23" s="128" t="s">
        <v>634</v>
      </c>
      <c r="AF23" s="128" t="s">
        <v>635</v>
      </c>
    </row>
    <row r="24" spans="3:32" ht="319" x14ac:dyDescent="0.35">
      <c r="C24" s="128" t="s">
        <v>636</v>
      </c>
      <c r="E24" s="128" t="s">
        <v>637</v>
      </c>
      <c r="F24" s="128" t="s">
        <v>638</v>
      </c>
      <c r="G24" s="128" t="s">
        <v>639</v>
      </c>
      <c r="H24" s="128" t="s">
        <v>640</v>
      </c>
      <c r="I24" s="128" t="s">
        <v>641</v>
      </c>
      <c r="J24" s="128" t="s">
        <v>642</v>
      </c>
      <c r="K24" s="128" t="s">
        <v>643</v>
      </c>
      <c r="L24" s="128" t="s">
        <v>644</v>
      </c>
      <c r="M24" s="128" t="s">
        <v>645</v>
      </c>
      <c r="N24" s="128" t="s">
        <v>646</v>
      </c>
      <c r="O24" s="128" t="s">
        <v>647</v>
      </c>
      <c r="P24" s="128" t="s">
        <v>648</v>
      </c>
      <c r="Q24" s="128" t="s">
        <v>649</v>
      </c>
      <c r="R24" s="128" t="s">
        <v>650</v>
      </c>
      <c r="S24" s="128" t="s">
        <v>651</v>
      </c>
      <c r="T24" s="128" t="s">
        <v>652</v>
      </c>
      <c r="U24" s="128" t="s">
        <v>653</v>
      </c>
      <c r="V24" s="128" t="s">
        <v>654</v>
      </c>
      <c r="W24" s="128" t="s">
        <v>655</v>
      </c>
      <c r="X24" s="128" t="s">
        <v>656</v>
      </c>
      <c r="Y24" s="128" t="s">
        <v>657</v>
      </c>
      <c r="Z24" s="128" t="s">
        <v>658</v>
      </c>
      <c r="AA24" s="128" t="s">
        <v>659</v>
      </c>
      <c r="AB24" s="128" t="s">
        <v>660</v>
      </c>
      <c r="AC24" s="128" t="s">
        <v>661</v>
      </c>
      <c r="AD24" s="128" t="s">
        <v>662</v>
      </c>
      <c r="AE24" s="128" t="s">
        <v>663</v>
      </c>
      <c r="AF24" s="128" t="s">
        <v>664</v>
      </c>
    </row>
    <row r="25" spans="3:32" ht="319" x14ac:dyDescent="0.35">
      <c r="C25" s="128" t="s">
        <v>665</v>
      </c>
      <c r="E25" s="128" t="s">
        <v>666</v>
      </c>
      <c r="F25" s="128" t="s">
        <v>667</v>
      </c>
      <c r="G25" s="128" t="s">
        <v>668</v>
      </c>
      <c r="H25" s="128" t="s">
        <v>669</v>
      </c>
      <c r="I25" s="128" t="s">
        <v>670</v>
      </c>
      <c r="J25" s="128" t="s">
        <v>671</v>
      </c>
      <c r="K25" s="128" t="s">
        <v>672</v>
      </c>
      <c r="L25" s="128" t="s">
        <v>673</v>
      </c>
      <c r="M25" s="128" t="s">
        <v>674</v>
      </c>
      <c r="N25" s="128" t="s">
        <v>675</v>
      </c>
      <c r="O25" s="128" t="s">
        <v>676</v>
      </c>
      <c r="P25" s="128" t="s">
        <v>677</v>
      </c>
      <c r="Q25" s="128" t="s">
        <v>678</v>
      </c>
      <c r="R25" s="128" t="s">
        <v>679</v>
      </c>
      <c r="S25" s="128" t="s">
        <v>680</v>
      </c>
      <c r="T25" s="128" t="s">
        <v>681</v>
      </c>
      <c r="U25" s="128" t="s">
        <v>682</v>
      </c>
      <c r="V25" s="128" t="s">
        <v>683</v>
      </c>
      <c r="W25" s="128" t="s">
        <v>684</v>
      </c>
      <c r="X25" s="128" t="s">
        <v>685</v>
      </c>
      <c r="Y25" s="128" t="s">
        <v>686</v>
      </c>
      <c r="Z25" s="128" t="s">
        <v>687</v>
      </c>
      <c r="AA25" s="128" t="s">
        <v>688</v>
      </c>
      <c r="AB25" s="128" t="s">
        <v>689</v>
      </c>
      <c r="AC25" s="128" t="s">
        <v>690</v>
      </c>
      <c r="AD25" s="128" t="s">
        <v>691</v>
      </c>
      <c r="AE25" s="128" t="s">
        <v>692</v>
      </c>
      <c r="AF25" s="128" t="s">
        <v>693</v>
      </c>
    </row>
    <row r="26" spans="3:32" ht="319" x14ac:dyDescent="0.35">
      <c r="C26" s="128" t="s">
        <v>694</v>
      </c>
      <c r="E26" s="128" t="s">
        <v>695</v>
      </c>
      <c r="F26" s="128" t="s">
        <v>696</v>
      </c>
      <c r="G26" s="128" t="s">
        <v>697</v>
      </c>
      <c r="H26" s="128" t="s">
        <v>698</v>
      </c>
      <c r="I26" s="128" t="s">
        <v>699</v>
      </c>
      <c r="J26" s="128" t="s">
        <v>700</v>
      </c>
      <c r="K26" s="128" t="s">
        <v>701</v>
      </c>
      <c r="L26" s="128" t="s">
        <v>702</v>
      </c>
      <c r="M26" s="128" t="s">
        <v>703</v>
      </c>
      <c r="N26" s="128" t="s">
        <v>704</v>
      </c>
      <c r="O26" s="128" t="s">
        <v>705</v>
      </c>
      <c r="P26" s="128" t="s">
        <v>706</v>
      </c>
      <c r="Q26" s="128" t="s">
        <v>707</v>
      </c>
      <c r="R26" s="128" t="s">
        <v>708</v>
      </c>
      <c r="S26" s="128" t="s">
        <v>709</v>
      </c>
      <c r="T26" s="128" t="s">
        <v>710</v>
      </c>
      <c r="U26" s="128" t="s">
        <v>711</v>
      </c>
      <c r="V26" s="128" t="s">
        <v>712</v>
      </c>
      <c r="W26" s="128" t="s">
        <v>713</v>
      </c>
      <c r="X26" s="128" t="s">
        <v>714</v>
      </c>
      <c r="Y26" s="128" t="s">
        <v>715</v>
      </c>
      <c r="Z26" s="128" t="s">
        <v>716</v>
      </c>
      <c r="AA26" s="128" t="s">
        <v>717</v>
      </c>
      <c r="AB26" s="128" t="s">
        <v>718</v>
      </c>
      <c r="AC26" s="128" t="s">
        <v>719</v>
      </c>
      <c r="AD26" s="128" t="s">
        <v>720</v>
      </c>
      <c r="AE26" s="128" t="s">
        <v>721</v>
      </c>
      <c r="AF26" s="128" t="s">
        <v>722</v>
      </c>
    </row>
    <row r="27" spans="3:32" ht="319" x14ac:dyDescent="0.35">
      <c r="C27" s="128" t="s">
        <v>723</v>
      </c>
      <c r="E27" s="128" t="s">
        <v>724</v>
      </c>
      <c r="F27" s="128" t="s">
        <v>725</v>
      </c>
      <c r="G27" s="128" t="s">
        <v>726</v>
      </c>
      <c r="H27" s="128" t="s">
        <v>727</v>
      </c>
      <c r="I27" s="128" t="s">
        <v>728</v>
      </c>
      <c r="J27" s="128" t="s">
        <v>729</v>
      </c>
      <c r="K27" s="128" t="s">
        <v>730</v>
      </c>
      <c r="L27" s="128" t="s">
        <v>731</v>
      </c>
      <c r="M27" s="128" t="s">
        <v>732</v>
      </c>
      <c r="N27" s="128" t="s">
        <v>733</v>
      </c>
      <c r="O27" s="128" t="s">
        <v>734</v>
      </c>
      <c r="P27" s="128" t="s">
        <v>735</v>
      </c>
      <c r="Q27" s="128" t="s">
        <v>736</v>
      </c>
      <c r="R27" s="128" t="s">
        <v>737</v>
      </c>
      <c r="S27" s="128" t="s">
        <v>738</v>
      </c>
      <c r="T27" s="128" t="s">
        <v>739</v>
      </c>
      <c r="U27" s="128" t="s">
        <v>740</v>
      </c>
      <c r="V27" s="128" t="s">
        <v>741</v>
      </c>
      <c r="W27" s="128" t="s">
        <v>742</v>
      </c>
      <c r="X27" s="128" t="s">
        <v>743</v>
      </c>
      <c r="Y27" s="128" t="s">
        <v>744</v>
      </c>
      <c r="Z27" s="128" t="s">
        <v>745</v>
      </c>
      <c r="AA27" s="128" t="s">
        <v>746</v>
      </c>
      <c r="AB27" s="128" t="s">
        <v>747</v>
      </c>
      <c r="AC27" s="128" t="s">
        <v>748</v>
      </c>
      <c r="AD27" s="128" t="s">
        <v>749</v>
      </c>
      <c r="AE27" s="128" t="s">
        <v>750</v>
      </c>
      <c r="AF27" s="128" t="s">
        <v>751</v>
      </c>
    </row>
    <row r="28" spans="3:32" ht="319" x14ac:dyDescent="0.35">
      <c r="C28" s="128" t="s">
        <v>752</v>
      </c>
      <c r="E28" s="128" t="s">
        <v>753</v>
      </c>
      <c r="F28" s="128" t="s">
        <v>754</v>
      </c>
      <c r="G28" s="128" t="s">
        <v>755</v>
      </c>
      <c r="H28" s="128" t="s">
        <v>756</v>
      </c>
      <c r="I28" s="128" t="s">
        <v>757</v>
      </c>
      <c r="J28" s="128" t="s">
        <v>758</v>
      </c>
      <c r="K28" s="128" t="s">
        <v>759</v>
      </c>
      <c r="L28" s="128" t="s">
        <v>760</v>
      </c>
      <c r="M28" s="128" t="s">
        <v>761</v>
      </c>
      <c r="N28" s="128" t="s">
        <v>762</v>
      </c>
      <c r="O28" s="128" t="s">
        <v>763</v>
      </c>
      <c r="P28" s="128" t="s">
        <v>764</v>
      </c>
      <c r="Q28" s="128" t="s">
        <v>765</v>
      </c>
      <c r="R28" s="128" t="s">
        <v>766</v>
      </c>
      <c r="S28" s="128" t="s">
        <v>767</v>
      </c>
      <c r="T28" s="128" t="s">
        <v>768</v>
      </c>
      <c r="U28" s="128" t="s">
        <v>769</v>
      </c>
      <c r="V28" s="128" t="s">
        <v>770</v>
      </c>
      <c r="W28" s="128" t="s">
        <v>771</v>
      </c>
      <c r="X28" s="128" t="s">
        <v>772</v>
      </c>
      <c r="Y28" s="128" t="s">
        <v>773</v>
      </c>
      <c r="Z28" s="128" t="s">
        <v>774</v>
      </c>
      <c r="AA28" s="128" t="s">
        <v>775</v>
      </c>
      <c r="AB28" s="128" t="s">
        <v>776</v>
      </c>
      <c r="AC28" s="128" t="s">
        <v>777</v>
      </c>
      <c r="AD28" s="128" t="s">
        <v>778</v>
      </c>
      <c r="AE28" s="128" t="s">
        <v>779</v>
      </c>
      <c r="AF28" s="128" t="s">
        <v>780</v>
      </c>
    </row>
    <row r="29" spans="3:32" ht="319" x14ac:dyDescent="0.35">
      <c r="C29" s="128" t="s">
        <v>781</v>
      </c>
      <c r="E29" s="128" t="s">
        <v>782</v>
      </c>
      <c r="F29" s="128" t="s">
        <v>783</v>
      </c>
      <c r="G29" s="128" t="s">
        <v>784</v>
      </c>
      <c r="H29" s="128" t="s">
        <v>785</v>
      </c>
      <c r="I29" s="128" t="s">
        <v>786</v>
      </c>
      <c r="J29" s="128" t="s">
        <v>787</v>
      </c>
      <c r="K29" s="128" t="s">
        <v>788</v>
      </c>
      <c r="L29" s="128" t="s">
        <v>789</v>
      </c>
      <c r="M29" s="128" t="s">
        <v>790</v>
      </c>
      <c r="N29" s="128" t="s">
        <v>791</v>
      </c>
      <c r="O29" s="128" t="s">
        <v>792</v>
      </c>
      <c r="P29" s="128" t="s">
        <v>793</v>
      </c>
      <c r="Q29" s="128" t="s">
        <v>794</v>
      </c>
      <c r="R29" s="128" t="s">
        <v>795</v>
      </c>
      <c r="S29" s="128" t="s">
        <v>796</v>
      </c>
      <c r="T29" s="128" t="s">
        <v>797</v>
      </c>
      <c r="U29" s="128" t="s">
        <v>798</v>
      </c>
      <c r="V29" s="128" t="s">
        <v>799</v>
      </c>
      <c r="W29" s="128" t="s">
        <v>800</v>
      </c>
      <c r="X29" s="128" t="s">
        <v>801</v>
      </c>
      <c r="Y29" s="128" t="s">
        <v>802</v>
      </c>
      <c r="Z29" s="128" t="s">
        <v>803</v>
      </c>
      <c r="AA29" s="128" t="s">
        <v>804</v>
      </c>
      <c r="AB29" s="128" t="s">
        <v>805</v>
      </c>
      <c r="AC29" s="128" t="s">
        <v>806</v>
      </c>
      <c r="AD29" s="128" t="s">
        <v>807</v>
      </c>
      <c r="AE29" s="128" t="s">
        <v>808</v>
      </c>
      <c r="AF29" s="128" t="s">
        <v>809</v>
      </c>
    </row>
    <row r="30" spans="3:32" ht="319" x14ac:dyDescent="0.35">
      <c r="C30" s="128" t="s">
        <v>810</v>
      </c>
      <c r="E30" s="128" t="s">
        <v>811</v>
      </c>
      <c r="F30" s="128" t="s">
        <v>812</v>
      </c>
      <c r="G30" s="128" t="s">
        <v>813</v>
      </c>
      <c r="H30" s="128" t="s">
        <v>814</v>
      </c>
      <c r="I30" s="128" t="s">
        <v>815</v>
      </c>
      <c r="J30" s="128" t="s">
        <v>816</v>
      </c>
      <c r="K30" s="128" t="s">
        <v>817</v>
      </c>
      <c r="L30" s="128" t="s">
        <v>818</v>
      </c>
      <c r="M30" s="128" t="s">
        <v>819</v>
      </c>
      <c r="N30" s="128" t="s">
        <v>820</v>
      </c>
      <c r="O30" s="128" t="s">
        <v>821</v>
      </c>
      <c r="P30" s="128" t="s">
        <v>822</v>
      </c>
      <c r="Q30" s="128" t="s">
        <v>823</v>
      </c>
      <c r="R30" s="128" t="s">
        <v>824</v>
      </c>
      <c r="S30" s="128" t="s">
        <v>825</v>
      </c>
      <c r="T30" s="128" t="s">
        <v>826</v>
      </c>
      <c r="U30" s="128" t="s">
        <v>827</v>
      </c>
      <c r="V30" s="128" t="s">
        <v>828</v>
      </c>
      <c r="W30" s="128" t="s">
        <v>829</v>
      </c>
      <c r="X30" s="128" t="s">
        <v>830</v>
      </c>
      <c r="Y30" s="128" t="s">
        <v>831</v>
      </c>
      <c r="Z30" s="128" t="s">
        <v>832</v>
      </c>
      <c r="AA30" s="128" t="s">
        <v>833</v>
      </c>
      <c r="AB30" s="128" t="s">
        <v>834</v>
      </c>
      <c r="AC30" s="128" t="s">
        <v>835</v>
      </c>
      <c r="AD30" s="128" t="s">
        <v>836</v>
      </c>
      <c r="AE30" s="128" t="s">
        <v>837</v>
      </c>
      <c r="AF30" s="128" t="s">
        <v>838</v>
      </c>
    </row>
    <row r="31" spans="3:32" ht="319" x14ac:dyDescent="0.35">
      <c r="C31" s="128" t="s">
        <v>839</v>
      </c>
      <c r="E31" s="128" t="s">
        <v>840</v>
      </c>
      <c r="F31" s="128" t="s">
        <v>841</v>
      </c>
      <c r="G31" s="128" t="s">
        <v>842</v>
      </c>
      <c r="H31" s="128" t="s">
        <v>843</v>
      </c>
      <c r="I31" s="128" t="s">
        <v>844</v>
      </c>
      <c r="J31" s="128" t="s">
        <v>845</v>
      </c>
      <c r="K31" s="128" t="s">
        <v>846</v>
      </c>
      <c r="L31" s="128" t="s">
        <v>847</v>
      </c>
      <c r="M31" s="128" t="s">
        <v>848</v>
      </c>
      <c r="N31" s="128" t="s">
        <v>849</v>
      </c>
      <c r="O31" s="128" t="s">
        <v>850</v>
      </c>
      <c r="P31" s="128" t="s">
        <v>851</v>
      </c>
      <c r="Q31" s="128" t="s">
        <v>852</v>
      </c>
      <c r="R31" s="128" t="s">
        <v>853</v>
      </c>
      <c r="S31" s="128" t="s">
        <v>854</v>
      </c>
      <c r="T31" s="128" t="s">
        <v>855</v>
      </c>
      <c r="U31" s="128" t="s">
        <v>856</v>
      </c>
      <c r="V31" s="128" t="s">
        <v>857</v>
      </c>
      <c r="W31" s="128" t="s">
        <v>858</v>
      </c>
      <c r="X31" s="128" t="s">
        <v>859</v>
      </c>
      <c r="Y31" s="128" t="s">
        <v>860</v>
      </c>
      <c r="Z31" s="128" t="s">
        <v>861</v>
      </c>
      <c r="AA31" s="128" t="s">
        <v>862</v>
      </c>
      <c r="AB31" s="128" t="s">
        <v>863</v>
      </c>
      <c r="AC31" s="128" t="s">
        <v>864</v>
      </c>
      <c r="AD31" s="128" t="s">
        <v>865</v>
      </c>
      <c r="AE31" s="128" t="s">
        <v>866</v>
      </c>
      <c r="AF31" s="128" t="s">
        <v>867</v>
      </c>
    </row>
    <row r="32" spans="3:32" ht="319" x14ac:dyDescent="0.35">
      <c r="C32" s="128" t="s">
        <v>868</v>
      </c>
      <c r="E32" s="128" t="s">
        <v>869</v>
      </c>
      <c r="F32" s="128" t="s">
        <v>870</v>
      </c>
      <c r="G32" s="128" t="s">
        <v>871</v>
      </c>
      <c r="H32" s="128" t="s">
        <v>872</v>
      </c>
      <c r="I32" s="128" t="s">
        <v>873</v>
      </c>
      <c r="J32" s="128" t="s">
        <v>874</v>
      </c>
      <c r="K32" s="128" t="s">
        <v>875</v>
      </c>
      <c r="L32" s="128" t="s">
        <v>876</v>
      </c>
      <c r="M32" s="128" t="s">
        <v>877</v>
      </c>
      <c r="N32" s="128" t="s">
        <v>878</v>
      </c>
      <c r="O32" s="128" t="s">
        <v>879</v>
      </c>
      <c r="P32" s="128" t="s">
        <v>880</v>
      </c>
      <c r="Q32" s="128" t="s">
        <v>881</v>
      </c>
      <c r="R32" s="128" t="s">
        <v>882</v>
      </c>
      <c r="S32" s="128" t="s">
        <v>883</v>
      </c>
      <c r="T32" s="128" t="s">
        <v>884</v>
      </c>
      <c r="U32" s="128" t="s">
        <v>885</v>
      </c>
      <c r="V32" s="128" t="s">
        <v>886</v>
      </c>
      <c r="W32" s="128" t="s">
        <v>887</v>
      </c>
      <c r="X32" s="128" t="s">
        <v>888</v>
      </c>
      <c r="Y32" s="128" t="s">
        <v>889</v>
      </c>
      <c r="Z32" s="128" t="s">
        <v>890</v>
      </c>
      <c r="AA32" s="128" t="s">
        <v>891</v>
      </c>
      <c r="AB32" s="128" t="s">
        <v>892</v>
      </c>
      <c r="AC32" s="128" t="s">
        <v>893</v>
      </c>
      <c r="AD32" s="128" t="s">
        <v>894</v>
      </c>
      <c r="AE32" s="128" t="s">
        <v>895</v>
      </c>
      <c r="AF32" s="128" t="s">
        <v>896</v>
      </c>
    </row>
    <row r="33" spans="3:32" ht="319" x14ac:dyDescent="0.35">
      <c r="C33" s="128" t="s">
        <v>897</v>
      </c>
      <c r="E33" s="128" t="s">
        <v>898</v>
      </c>
      <c r="F33" s="128" t="s">
        <v>899</v>
      </c>
      <c r="G33" s="128" t="s">
        <v>900</v>
      </c>
      <c r="H33" s="128" t="s">
        <v>901</v>
      </c>
      <c r="I33" s="128" t="s">
        <v>902</v>
      </c>
      <c r="J33" s="128" t="s">
        <v>903</v>
      </c>
      <c r="K33" s="128" t="s">
        <v>904</v>
      </c>
      <c r="L33" s="128" t="s">
        <v>905</v>
      </c>
      <c r="M33" s="128" t="s">
        <v>906</v>
      </c>
      <c r="N33" s="128" t="s">
        <v>907</v>
      </c>
      <c r="O33" s="128" t="s">
        <v>908</v>
      </c>
      <c r="P33" s="128" t="s">
        <v>909</v>
      </c>
      <c r="Q33" s="128" t="s">
        <v>910</v>
      </c>
      <c r="R33" s="128" t="s">
        <v>911</v>
      </c>
      <c r="S33" s="128" t="s">
        <v>912</v>
      </c>
      <c r="T33" s="128" t="s">
        <v>913</v>
      </c>
      <c r="U33" s="128" t="s">
        <v>914</v>
      </c>
      <c r="V33" s="128" t="s">
        <v>915</v>
      </c>
      <c r="W33" s="128" t="s">
        <v>916</v>
      </c>
      <c r="X33" s="128" t="s">
        <v>917</v>
      </c>
      <c r="Y33" s="128" t="s">
        <v>918</v>
      </c>
      <c r="Z33" s="128" t="s">
        <v>919</v>
      </c>
      <c r="AA33" s="128" t="s">
        <v>920</v>
      </c>
      <c r="AB33" s="128" t="s">
        <v>921</v>
      </c>
      <c r="AC33" s="128" t="s">
        <v>922</v>
      </c>
      <c r="AD33" s="128" t="s">
        <v>923</v>
      </c>
      <c r="AE33" s="128" t="s">
        <v>924</v>
      </c>
      <c r="AF33" s="128" t="s">
        <v>925</v>
      </c>
    </row>
    <row r="34" spans="3:32" ht="319" x14ac:dyDescent="0.35">
      <c r="C34" s="128" t="s">
        <v>926</v>
      </c>
      <c r="E34" s="128" t="s">
        <v>927</v>
      </c>
      <c r="F34" s="128" t="s">
        <v>928</v>
      </c>
      <c r="G34" s="128" t="s">
        <v>929</v>
      </c>
      <c r="H34" s="128" t="s">
        <v>930</v>
      </c>
      <c r="I34" s="128" t="s">
        <v>931</v>
      </c>
      <c r="J34" s="128" t="s">
        <v>932</v>
      </c>
      <c r="K34" s="128" t="s">
        <v>933</v>
      </c>
      <c r="L34" s="128" t="s">
        <v>934</v>
      </c>
      <c r="M34" s="128" t="s">
        <v>935</v>
      </c>
      <c r="N34" s="128" t="s">
        <v>936</v>
      </c>
      <c r="O34" s="128" t="s">
        <v>937</v>
      </c>
      <c r="P34" s="128" t="s">
        <v>938</v>
      </c>
      <c r="Q34" s="128" t="s">
        <v>939</v>
      </c>
      <c r="R34" s="128" t="s">
        <v>940</v>
      </c>
      <c r="S34" s="128" t="s">
        <v>941</v>
      </c>
      <c r="T34" s="128" t="s">
        <v>942</v>
      </c>
      <c r="U34" s="128" t="s">
        <v>943</v>
      </c>
      <c r="V34" s="128" t="s">
        <v>944</v>
      </c>
      <c r="W34" s="128" t="s">
        <v>945</v>
      </c>
      <c r="X34" s="128" t="s">
        <v>946</v>
      </c>
      <c r="Y34" s="128" t="s">
        <v>947</v>
      </c>
      <c r="Z34" s="128" t="s">
        <v>948</v>
      </c>
      <c r="AA34" s="128" t="s">
        <v>949</v>
      </c>
      <c r="AB34" s="128" t="s">
        <v>950</v>
      </c>
      <c r="AC34" s="128" t="s">
        <v>951</v>
      </c>
      <c r="AD34" s="128" t="s">
        <v>952</v>
      </c>
      <c r="AE34" s="128" t="s">
        <v>953</v>
      </c>
      <c r="AF34" s="128" t="s">
        <v>954</v>
      </c>
    </row>
    <row r="35" spans="3:32" ht="319" x14ac:dyDescent="0.35">
      <c r="C35" s="128" t="s">
        <v>955</v>
      </c>
      <c r="E35" s="128" t="s">
        <v>956</v>
      </c>
      <c r="F35" s="128" t="s">
        <v>957</v>
      </c>
      <c r="G35" s="128" t="s">
        <v>958</v>
      </c>
      <c r="H35" s="128" t="s">
        <v>959</v>
      </c>
      <c r="I35" s="128" t="s">
        <v>960</v>
      </c>
      <c r="J35" s="128" t="s">
        <v>961</v>
      </c>
      <c r="K35" s="128" t="s">
        <v>962</v>
      </c>
      <c r="L35" s="128" t="s">
        <v>963</v>
      </c>
      <c r="M35" s="128" t="s">
        <v>964</v>
      </c>
      <c r="N35" s="128" t="s">
        <v>965</v>
      </c>
      <c r="O35" s="128" t="s">
        <v>966</v>
      </c>
      <c r="P35" s="128" t="s">
        <v>967</v>
      </c>
      <c r="Q35" s="128" t="s">
        <v>968</v>
      </c>
      <c r="R35" s="128" t="s">
        <v>969</v>
      </c>
      <c r="S35" s="128" t="s">
        <v>970</v>
      </c>
      <c r="T35" s="128" t="s">
        <v>971</v>
      </c>
      <c r="U35" s="128" t="s">
        <v>972</v>
      </c>
      <c r="V35" s="128" t="s">
        <v>973</v>
      </c>
      <c r="W35" s="128" t="s">
        <v>974</v>
      </c>
      <c r="X35" s="128" t="s">
        <v>975</v>
      </c>
      <c r="Y35" s="128" t="s">
        <v>976</v>
      </c>
      <c r="Z35" s="128" t="s">
        <v>977</v>
      </c>
      <c r="AA35" s="128" t="s">
        <v>978</v>
      </c>
      <c r="AB35" s="128" t="s">
        <v>979</v>
      </c>
      <c r="AC35" s="128" t="s">
        <v>980</v>
      </c>
      <c r="AD35" s="128" t="s">
        <v>981</v>
      </c>
      <c r="AE35" s="128" t="s">
        <v>982</v>
      </c>
      <c r="AF35" s="128" t="s">
        <v>983</v>
      </c>
    </row>
    <row r="36" spans="3:32" ht="319" x14ac:dyDescent="0.35">
      <c r="C36" s="128" t="s">
        <v>984</v>
      </c>
      <c r="E36" s="128" t="s">
        <v>985</v>
      </c>
      <c r="F36" s="128" t="s">
        <v>986</v>
      </c>
      <c r="G36" s="128" t="s">
        <v>987</v>
      </c>
      <c r="H36" s="128" t="s">
        <v>988</v>
      </c>
      <c r="I36" s="128" t="s">
        <v>989</v>
      </c>
      <c r="J36" s="128" t="s">
        <v>990</v>
      </c>
      <c r="K36" s="128" t="s">
        <v>991</v>
      </c>
      <c r="L36" s="128" t="s">
        <v>992</v>
      </c>
      <c r="M36" s="128" t="s">
        <v>993</v>
      </c>
      <c r="N36" s="128" t="s">
        <v>994</v>
      </c>
      <c r="O36" s="128" t="s">
        <v>995</v>
      </c>
      <c r="P36" s="128" t="s">
        <v>996</v>
      </c>
      <c r="Q36" s="128" t="s">
        <v>997</v>
      </c>
      <c r="R36" s="128" t="s">
        <v>998</v>
      </c>
      <c r="S36" s="128" t="s">
        <v>999</v>
      </c>
      <c r="T36" s="128" t="s">
        <v>1000</v>
      </c>
      <c r="U36" s="128" t="s">
        <v>1001</v>
      </c>
      <c r="V36" s="128" t="s">
        <v>1002</v>
      </c>
      <c r="W36" s="128" t="s">
        <v>1003</v>
      </c>
      <c r="X36" s="128" t="s">
        <v>1004</v>
      </c>
      <c r="Y36" s="128" t="s">
        <v>1005</v>
      </c>
      <c r="Z36" s="128" t="s">
        <v>1006</v>
      </c>
      <c r="AA36" s="128" t="s">
        <v>1007</v>
      </c>
      <c r="AB36" s="128" t="s">
        <v>1008</v>
      </c>
      <c r="AC36" s="128" t="s">
        <v>1009</v>
      </c>
      <c r="AD36" s="128" t="s">
        <v>1010</v>
      </c>
      <c r="AE36" s="128" t="s">
        <v>1011</v>
      </c>
      <c r="AF36" s="128" t="s">
        <v>1012</v>
      </c>
    </row>
    <row r="37" spans="3:32" ht="319" x14ac:dyDescent="0.35">
      <c r="C37" s="128" t="s">
        <v>1013</v>
      </c>
      <c r="E37" s="128" t="s">
        <v>1014</v>
      </c>
      <c r="F37" s="128" t="s">
        <v>1015</v>
      </c>
      <c r="G37" s="128" t="s">
        <v>1016</v>
      </c>
      <c r="H37" s="128" t="s">
        <v>1017</v>
      </c>
      <c r="I37" s="128" t="s">
        <v>1018</v>
      </c>
      <c r="J37" s="128" t="s">
        <v>1019</v>
      </c>
      <c r="K37" s="128" t="s">
        <v>1020</v>
      </c>
      <c r="L37" s="128" t="s">
        <v>1021</v>
      </c>
      <c r="M37" s="128" t="s">
        <v>1022</v>
      </c>
      <c r="N37" s="128" t="s">
        <v>1023</v>
      </c>
      <c r="O37" s="128" t="s">
        <v>1024</v>
      </c>
      <c r="P37" s="128" t="s">
        <v>1025</v>
      </c>
      <c r="Q37" s="128" t="s">
        <v>1026</v>
      </c>
      <c r="R37" s="128" t="s">
        <v>1027</v>
      </c>
      <c r="S37" s="128" t="s">
        <v>1028</v>
      </c>
      <c r="T37" s="128" t="s">
        <v>1029</v>
      </c>
      <c r="U37" s="128" t="s">
        <v>1030</v>
      </c>
      <c r="V37" s="128" t="s">
        <v>1031</v>
      </c>
      <c r="W37" s="128" t="s">
        <v>1032</v>
      </c>
      <c r="X37" s="128" t="s">
        <v>1033</v>
      </c>
      <c r="Y37" s="128" t="s">
        <v>1034</v>
      </c>
      <c r="Z37" s="128" t="s">
        <v>1035</v>
      </c>
      <c r="AA37" s="128" t="s">
        <v>1036</v>
      </c>
      <c r="AB37" s="128" t="s">
        <v>1037</v>
      </c>
      <c r="AC37" s="128" t="s">
        <v>1038</v>
      </c>
      <c r="AD37" s="128" t="s">
        <v>1039</v>
      </c>
      <c r="AE37" s="128" t="s">
        <v>1040</v>
      </c>
      <c r="AF37" s="128" t="s">
        <v>1041</v>
      </c>
    </row>
    <row r="38" spans="3:32" ht="319" x14ac:dyDescent="0.35">
      <c r="C38" s="128" t="s">
        <v>1042</v>
      </c>
      <c r="E38" s="128" t="s">
        <v>1043</v>
      </c>
      <c r="F38" s="128" t="s">
        <v>1044</v>
      </c>
      <c r="G38" s="128" t="s">
        <v>1045</v>
      </c>
      <c r="H38" s="128" t="s">
        <v>1046</v>
      </c>
      <c r="I38" s="128" t="s">
        <v>1047</v>
      </c>
      <c r="J38" s="128" t="s">
        <v>1048</v>
      </c>
      <c r="K38" s="128" t="s">
        <v>1049</v>
      </c>
      <c r="L38" s="128" t="s">
        <v>1050</v>
      </c>
      <c r="M38" s="128" t="s">
        <v>1051</v>
      </c>
      <c r="N38" s="128" t="s">
        <v>1052</v>
      </c>
      <c r="O38" s="128" t="s">
        <v>1053</v>
      </c>
      <c r="P38" s="128" t="s">
        <v>1054</v>
      </c>
      <c r="Q38" s="128" t="s">
        <v>1055</v>
      </c>
      <c r="R38" s="128" t="s">
        <v>1056</v>
      </c>
      <c r="S38" s="128" t="s">
        <v>1057</v>
      </c>
      <c r="T38" s="128" t="s">
        <v>1058</v>
      </c>
      <c r="U38" s="128" t="s">
        <v>1059</v>
      </c>
      <c r="V38" s="128" t="s">
        <v>1060</v>
      </c>
      <c r="W38" s="128" t="s">
        <v>1061</v>
      </c>
      <c r="X38" s="128" t="s">
        <v>1062</v>
      </c>
      <c r="Y38" s="128" t="s">
        <v>1063</v>
      </c>
      <c r="Z38" s="128" t="s">
        <v>1064</v>
      </c>
      <c r="AA38" s="128" t="s">
        <v>1065</v>
      </c>
      <c r="AB38" s="128" t="s">
        <v>1066</v>
      </c>
      <c r="AC38" s="128" t="s">
        <v>1067</v>
      </c>
      <c r="AD38" s="128" t="s">
        <v>1068</v>
      </c>
      <c r="AE38" s="128" t="s">
        <v>1069</v>
      </c>
      <c r="AF38" s="128" t="s">
        <v>1070</v>
      </c>
    </row>
    <row r="39" spans="3:32" ht="319" x14ac:dyDescent="0.35">
      <c r="C39" s="128" t="s">
        <v>1071</v>
      </c>
      <c r="E39" s="128" t="s">
        <v>1072</v>
      </c>
      <c r="F39" s="128" t="s">
        <v>1073</v>
      </c>
      <c r="G39" s="128" t="s">
        <v>1074</v>
      </c>
      <c r="H39" s="128" t="s">
        <v>1075</v>
      </c>
      <c r="I39" s="128" t="s">
        <v>1076</v>
      </c>
      <c r="J39" s="128" t="s">
        <v>1077</v>
      </c>
      <c r="K39" s="128" t="s">
        <v>1078</v>
      </c>
      <c r="L39" s="128" t="s">
        <v>1079</v>
      </c>
      <c r="M39" s="128" t="s">
        <v>1080</v>
      </c>
      <c r="N39" s="128" t="s">
        <v>1081</v>
      </c>
      <c r="O39" s="128" t="s">
        <v>1082</v>
      </c>
      <c r="P39" s="128" t="s">
        <v>1083</v>
      </c>
      <c r="Q39" s="128" t="s">
        <v>1084</v>
      </c>
      <c r="R39" s="128" t="s">
        <v>1085</v>
      </c>
      <c r="S39" s="128" t="s">
        <v>1086</v>
      </c>
      <c r="T39" s="128" t="s">
        <v>1087</v>
      </c>
      <c r="U39" s="128" t="s">
        <v>1088</v>
      </c>
      <c r="V39" s="128" t="s">
        <v>1089</v>
      </c>
      <c r="W39" s="128" t="s">
        <v>1090</v>
      </c>
      <c r="X39" s="128" t="s">
        <v>1091</v>
      </c>
      <c r="Y39" s="128" t="s">
        <v>1092</v>
      </c>
      <c r="Z39" s="128" t="s">
        <v>1093</v>
      </c>
      <c r="AA39" s="128" t="s">
        <v>1094</v>
      </c>
      <c r="AB39" s="128" t="s">
        <v>1095</v>
      </c>
      <c r="AC39" s="128" t="s">
        <v>1096</v>
      </c>
      <c r="AD39" s="128" t="s">
        <v>1097</v>
      </c>
      <c r="AE39" s="128" t="s">
        <v>1098</v>
      </c>
      <c r="AF39" s="128" t="s">
        <v>1099</v>
      </c>
    </row>
    <row r="40" spans="3:32" ht="319" x14ac:dyDescent="0.35">
      <c r="C40" s="128" t="s">
        <v>1100</v>
      </c>
      <c r="E40" s="128" t="s">
        <v>1101</v>
      </c>
      <c r="F40" s="128" t="s">
        <v>1102</v>
      </c>
      <c r="G40" s="128" t="s">
        <v>1103</v>
      </c>
      <c r="H40" s="128" t="s">
        <v>1104</v>
      </c>
      <c r="I40" s="128" t="s">
        <v>1105</v>
      </c>
      <c r="J40" s="128" t="s">
        <v>1106</v>
      </c>
      <c r="K40" s="128" t="s">
        <v>1107</v>
      </c>
      <c r="L40" s="128" t="s">
        <v>1108</v>
      </c>
      <c r="M40" s="128" t="s">
        <v>1109</v>
      </c>
      <c r="N40" s="128" t="s">
        <v>1110</v>
      </c>
      <c r="O40" s="128" t="s">
        <v>1111</v>
      </c>
      <c r="P40" s="128" t="s">
        <v>1112</v>
      </c>
      <c r="Q40" s="128" t="s">
        <v>1113</v>
      </c>
      <c r="R40" s="128" t="s">
        <v>1114</v>
      </c>
      <c r="S40" s="128" t="s">
        <v>1115</v>
      </c>
      <c r="T40" s="128" t="s">
        <v>1116</v>
      </c>
      <c r="U40" s="128" t="s">
        <v>1117</v>
      </c>
      <c r="V40" s="128" t="s">
        <v>1118</v>
      </c>
      <c r="W40" s="128" t="s">
        <v>1119</v>
      </c>
      <c r="X40" s="128" t="s">
        <v>1120</v>
      </c>
      <c r="Y40" s="128" t="s">
        <v>1121</v>
      </c>
      <c r="Z40" s="128" t="s">
        <v>1122</v>
      </c>
      <c r="AA40" s="128" t="s">
        <v>1123</v>
      </c>
      <c r="AB40" s="128" t="s">
        <v>1124</v>
      </c>
      <c r="AC40" s="128" t="s">
        <v>1125</v>
      </c>
      <c r="AD40" s="128" t="s">
        <v>1126</v>
      </c>
      <c r="AE40" s="128" t="s">
        <v>1127</v>
      </c>
      <c r="AF40" s="128" t="s">
        <v>1128</v>
      </c>
    </row>
    <row r="41" spans="3:32" ht="319" x14ac:dyDescent="0.35">
      <c r="C41" s="128" t="s">
        <v>1129</v>
      </c>
      <c r="E41" s="128" t="s">
        <v>1130</v>
      </c>
      <c r="F41" s="128" t="s">
        <v>1131</v>
      </c>
      <c r="G41" s="128" t="s">
        <v>1132</v>
      </c>
      <c r="H41" s="128" t="s">
        <v>1133</v>
      </c>
      <c r="I41" s="128" t="s">
        <v>1134</v>
      </c>
      <c r="J41" s="128" t="s">
        <v>1135</v>
      </c>
      <c r="K41" s="128" t="s">
        <v>1136</v>
      </c>
      <c r="L41" s="128" t="s">
        <v>1137</v>
      </c>
      <c r="M41" s="128" t="s">
        <v>1138</v>
      </c>
      <c r="N41" s="128" t="s">
        <v>1139</v>
      </c>
      <c r="O41" s="128" t="s">
        <v>1140</v>
      </c>
      <c r="P41" s="128" t="s">
        <v>1141</v>
      </c>
      <c r="Q41" s="128" t="s">
        <v>1142</v>
      </c>
      <c r="R41" s="128" t="s">
        <v>1143</v>
      </c>
      <c r="S41" s="128" t="s">
        <v>1144</v>
      </c>
      <c r="T41" s="128" t="s">
        <v>1145</v>
      </c>
      <c r="U41" s="128" t="s">
        <v>1146</v>
      </c>
      <c r="V41" s="128" t="s">
        <v>1147</v>
      </c>
      <c r="W41" s="128" t="s">
        <v>1148</v>
      </c>
      <c r="X41" s="128" t="s">
        <v>1149</v>
      </c>
      <c r="Y41" s="128" t="s">
        <v>1150</v>
      </c>
      <c r="Z41" s="128" t="s">
        <v>1151</v>
      </c>
      <c r="AA41" s="128" t="s">
        <v>1152</v>
      </c>
      <c r="AB41" s="128" t="s">
        <v>1153</v>
      </c>
      <c r="AC41" s="128" t="s">
        <v>1154</v>
      </c>
      <c r="AD41" s="128" t="s">
        <v>1155</v>
      </c>
      <c r="AE41" s="128" t="s">
        <v>1156</v>
      </c>
      <c r="AF41" s="128" t="s">
        <v>1157</v>
      </c>
    </row>
    <row r="42" spans="3:32" ht="319" x14ac:dyDescent="0.35">
      <c r="C42" s="128" t="s">
        <v>1158</v>
      </c>
      <c r="E42" s="128" t="s">
        <v>1159</v>
      </c>
      <c r="F42" s="128" t="s">
        <v>1160</v>
      </c>
      <c r="G42" s="128" t="s">
        <v>1161</v>
      </c>
      <c r="H42" s="128" t="s">
        <v>1162</v>
      </c>
      <c r="I42" s="128" t="s">
        <v>1163</v>
      </c>
      <c r="J42" s="128" t="s">
        <v>1164</v>
      </c>
      <c r="K42" s="128" t="s">
        <v>1165</v>
      </c>
      <c r="L42" s="128" t="s">
        <v>1166</v>
      </c>
      <c r="M42" s="128" t="s">
        <v>1167</v>
      </c>
      <c r="N42" s="128" t="s">
        <v>1168</v>
      </c>
      <c r="O42" s="128" t="s">
        <v>1169</v>
      </c>
      <c r="P42" s="128" t="s">
        <v>1170</v>
      </c>
      <c r="Q42" s="128" t="s">
        <v>1171</v>
      </c>
      <c r="R42" s="128" t="s">
        <v>1172</v>
      </c>
      <c r="S42" s="128" t="s">
        <v>1173</v>
      </c>
      <c r="T42" s="128" t="s">
        <v>1174</v>
      </c>
      <c r="U42" s="128" t="s">
        <v>1175</v>
      </c>
      <c r="V42" s="128" t="s">
        <v>1176</v>
      </c>
      <c r="W42" s="128" t="s">
        <v>1177</v>
      </c>
      <c r="X42" s="128" t="s">
        <v>1178</v>
      </c>
      <c r="Y42" s="128" t="s">
        <v>1179</v>
      </c>
      <c r="Z42" s="128" t="s">
        <v>1180</v>
      </c>
      <c r="AA42" s="128" t="s">
        <v>1181</v>
      </c>
      <c r="AB42" s="128" t="s">
        <v>1182</v>
      </c>
      <c r="AC42" s="128" t="s">
        <v>1183</v>
      </c>
      <c r="AD42" s="128" t="s">
        <v>1184</v>
      </c>
      <c r="AE42" s="128" t="s">
        <v>1185</v>
      </c>
      <c r="AF42" s="128" t="s">
        <v>1186</v>
      </c>
    </row>
    <row r="43" spans="3:32" ht="319" x14ac:dyDescent="0.35">
      <c r="C43" s="128" t="s">
        <v>1187</v>
      </c>
      <c r="E43" s="128" t="s">
        <v>1188</v>
      </c>
      <c r="F43" s="128" t="s">
        <v>1189</v>
      </c>
      <c r="G43" s="128" t="s">
        <v>1190</v>
      </c>
      <c r="H43" s="128" t="s">
        <v>1191</v>
      </c>
      <c r="I43" s="128" t="s">
        <v>1192</v>
      </c>
      <c r="J43" s="128" t="s">
        <v>1193</v>
      </c>
      <c r="K43" s="128" t="s">
        <v>1194</v>
      </c>
      <c r="L43" s="128" t="s">
        <v>1195</v>
      </c>
      <c r="M43" s="128" t="s">
        <v>1196</v>
      </c>
      <c r="N43" s="128" t="s">
        <v>1197</v>
      </c>
      <c r="O43" s="128" t="s">
        <v>1198</v>
      </c>
      <c r="P43" s="128" t="s">
        <v>1199</v>
      </c>
      <c r="Q43" s="128" t="s">
        <v>1200</v>
      </c>
      <c r="R43" s="128" t="s">
        <v>1201</v>
      </c>
      <c r="S43" s="128" t="s">
        <v>1202</v>
      </c>
      <c r="T43" s="128" t="s">
        <v>1203</v>
      </c>
      <c r="U43" s="128" t="s">
        <v>1204</v>
      </c>
      <c r="V43" s="128" t="s">
        <v>1205</v>
      </c>
      <c r="W43" s="128" t="s">
        <v>1206</v>
      </c>
      <c r="X43" s="128" t="s">
        <v>1207</v>
      </c>
      <c r="Y43" s="128" t="s">
        <v>1208</v>
      </c>
      <c r="Z43" s="128" t="s">
        <v>1209</v>
      </c>
      <c r="AA43" s="128" t="s">
        <v>1210</v>
      </c>
      <c r="AB43" s="128" t="s">
        <v>1211</v>
      </c>
      <c r="AC43" s="128" t="s">
        <v>1212</v>
      </c>
      <c r="AD43" s="128" t="s">
        <v>1213</v>
      </c>
      <c r="AE43" s="128" t="s">
        <v>1214</v>
      </c>
      <c r="AF43" s="128" t="s">
        <v>1215</v>
      </c>
    </row>
    <row r="44" spans="3:32" ht="319" x14ac:dyDescent="0.35">
      <c r="C44" s="128" t="s">
        <v>1216</v>
      </c>
      <c r="E44" s="128" t="s">
        <v>1217</v>
      </c>
      <c r="F44" s="128" t="s">
        <v>1218</v>
      </c>
      <c r="G44" s="128" t="s">
        <v>1219</v>
      </c>
      <c r="H44" s="128" t="s">
        <v>1220</v>
      </c>
      <c r="I44" s="128" t="s">
        <v>1221</v>
      </c>
      <c r="J44" s="128" t="s">
        <v>1222</v>
      </c>
      <c r="K44" s="128" t="s">
        <v>1223</v>
      </c>
      <c r="L44" s="128" t="s">
        <v>1224</v>
      </c>
      <c r="M44" s="128" t="s">
        <v>1225</v>
      </c>
      <c r="N44" s="128" t="s">
        <v>1226</v>
      </c>
      <c r="O44" s="128" t="s">
        <v>1227</v>
      </c>
      <c r="P44" s="128" t="s">
        <v>1228</v>
      </c>
      <c r="Q44" s="128" t="s">
        <v>1229</v>
      </c>
      <c r="R44" s="128" t="s">
        <v>1230</v>
      </c>
      <c r="S44" s="128" t="s">
        <v>1231</v>
      </c>
      <c r="T44" s="128" t="s">
        <v>1232</v>
      </c>
      <c r="U44" s="128" t="s">
        <v>1233</v>
      </c>
      <c r="V44" s="128" t="s">
        <v>1234</v>
      </c>
      <c r="W44" s="128" t="s">
        <v>1235</v>
      </c>
      <c r="X44" s="128" t="s">
        <v>1236</v>
      </c>
      <c r="Y44" s="128" t="s">
        <v>1237</v>
      </c>
      <c r="Z44" s="128" t="s">
        <v>1238</v>
      </c>
      <c r="AA44" s="128" t="s">
        <v>1239</v>
      </c>
      <c r="AB44" s="128" t="s">
        <v>1240</v>
      </c>
      <c r="AC44" s="128" t="s">
        <v>1241</v>
      </c>
      <c r="AD44" s="128" t="s">
        <v>1242</v>
      </c>
      <c r="AE44" s="128" t="s">
        <v>1243</v>
      </c>
      <c r="AF44" s="128" t="s">
        <v>1244</v>
      </c>
    </row>
    <row r="45" spans="3:32" ht="319" x14ac:dyDescent="0.35">
      <c r="C45" s="128" t="s">
        <v>1245</v>
      </c>
      <c r="E45" s="128" t="s">
        <v>1246</v>
      </c>
      <c r="F45" s="128" t="s">
        <v>1247</v>
      </c>
      <c r="G45" s="128" t="s">
        <v>1248</v>
      </c>
      <c r="H45" s="128" t="s">
        <v>1249</v>
      </c>
      <c r="I45" s="128" t="s">
        <v>1250</v>
      </c>
      <c r="J45" s="128" t="s">
        <v>1251</v>
      </c>
      <c r="K45" s="128" t="s">
        <v>1252</v>
      </c>
      <c r="L45" s="128" t="s">
        <v>1253</v>
      </c>
      <c r="M45" s="128" t="s">
        <v>1254</v>
      </c>
      <c r="N45" s="128" t="s">
        <v>1255</v>
      </c>
      <c r="O45" s="128" t="s">
        <v>1256</v>
      </c>
      <c r="P45" s="128" t="s">
        <v>1257</v>
      </c>
      <c r="Q45" s="128" t="s">
        <v>1258</v>
      </c>
      <c r="R45" s="128" t="s">
        <v>1259</v>
      </c>
      <c r="S45" s="128" t="s">
        <v>1260</v>
      </c>
      <c r="T45" s="128" t="s">
        <v>1261</v>
      </c>
      <c r="U45" s="128" t="s">
        <v>1262</v>
      </c>
      <c r="V45" s="128" t="s">
        <v>1263</v>
      </c>
      <c r="W45" s="128" t="s">
        <v>1264</v>
      </c>
      <c r="X45" s="128" t="s">
        <v>1265</v>
      </c>
      <c r="Y45" s="128" t="s">
        <v>1266</v>
      </c>
      <c r="Z45" s="128" t="s">
        <v>1267</v>
      </c>
      <c r="AA45" s="128" t="s">
        <v>1268</v>
      </c>
      <c r="AB45" s="128" t="s">
        <v>1269</v>
      </c>
      <c r="AC45" s="128" t="s">
        <v>1270</v>
      </c>
      <c r="AD45" s="128" t="s">
        <v>1271</v>
      </c>
      <c r="AE45" s="128" t="s">
        <v>1272</v>
      </c>
      <c r="AF45" s="128" t="s">
        <v>1273</v>
      </c>
    </row>
    <row r="46" spans="3:32" ht="319" x14ac:dyDescent="0.35">
      <c r="C46" s="128" t="s">
        <v>1274</v>
      </c>
      <c r="E46" s="128" t="s">
        <v>1275</v>
      </c>
      <c r="F46" s="128" t="s">
        <v>1276</v>
      </c>
      <c r="G46" s="128" t="s">
        <v>1277</v>
      </c>
      <c r="H46" s="128" t="s">
        <v>1278</v>
      </c>
      <c r="I46" s="128" t="s">
        <v>1279</v>
      </c>
      <c r="J46" s="128" t="s">
        <v>1280</v>
      </c>
      <c r="K46" s="128" t="s">
        <v>1281</v>
      </c>
      <c r="L46" s="128" t="s">
        <v>1282</v>
      </c>
      <c r="M46" s="128" t="s">
        <v>1283</v>
      </c>
      <c r="N46" s="128" t="s">
        <v>1284</v>
      </c>
      <c r="O46" s="128" t="s">
        <v>1285</v>
      </c>
      <c r="P46" s="128" t="s">
        <v>1286</v>
      </c>
      <c r="Q46" s="128" t="s">
        <v>1287</v>
      </c>
      <c r="R46" s="128" t="s">
        <v>1288</v>
      </c>
      <c r="S46" s="128" t="s">
        <v>1289</v>
      </c>
      <c r="T46" s="128" t="s">
        <v>1290</v>
      </c>
      <c r="U46" s="128" t="s">
        <v>1291</v>
      </c>
      <c r="V46" s="128" t="s">
        <v>1292</v>
      </c>
      <c r="W46" s="128" t="s">
        <v>1293</v>
      </c>
      <c r="X46" s="128" t="s">
        <v>1294</v>
      </c>
      <c r="Y46" s="128" t="s">
        <v>1295</v>
      </c>
      <c r="Z46" s="128" t="s">
        <v>1296</v>
      </c>
      <c r="AA46" s="128" t="s">
        <v>1297</v>
      </c>
      <c r="AB46" s="128" t="s">
        <v>1298</v>
      </c>
      <c r="AC46" s="128" t="s">
        <v>1299</v>
      </c>
      <c r="AD46" s="128" t="s">
        <v>1300</v>
      </c>
      <c r="AE46" s="128" t="s">
        <v>1301</v>
      </c>
      <c r="AF46" s="128" t="s">
        <v>1302</v>
      </c>
    </row>
    <row r="47" spans="3:32" ht="319" x14ac:dyDescent="0.35">
      <c r="C47" s="128" t="s">
        <v>1303</v>
      </c>
      <c r="E47" s="128" t="s">
        <v>1304</v>
      </c>
      <c r="F47" s="128" t="s">
        <v>1305</v>
      </c>
      <c r="G47" s="128" t="s">
        <v>1306</v>
      </c>
      <c r="H47" s="128" t="s">
        <v>1307</v>
      </c>
      <c r="I47" s="128" t="s">
        <v>1308</v>
      </c>
      <c r="J47" s="128" t="s">
        <v>1309</v>
      </c>
      <c r="K47" s="128" t="s">
        <v>1310</v>
      </c>
      <c r="L47" s="128" t="s">
        <v>1311</v>
      </c>
      <c r="M47" s="128" t="s">
        <v>1312</v>
      </c>
      <c r="N47" s="128" t="s">
        <v>1313</v>
      </c>
      <c r="O47" s="128" t="s">
        <v>1314</v>
      </c>
      <c r="P47" s="128" t="s">
        <v>1315</v>
      </c>
      <c r="Q47" s="128" t="s">
        <v>1316</v>
      </c>
      <c r="R47" s="128" t="s">
        <v>1317</v>
      </c>
      <c r="S47" s="128" t="s">
        <v>1318</v>
      </c>
      <c r="T47" s="128" t="s">
        <v>1319</v>
      </c>
      <c r="U47" s="128" t="s">
        <v>1320</v>
      </c>
      <c r="V47" s="128" t="s">
        <v>1321</v>
      </c>
      <c r="W47" s="128" t="s">
        <v>1322</v>
      </c>
      <c r="X47" s="128" t="s">
        <v>1323</v>
      </c>
      <c r="Y47" s="128" t="s">
        <v>1324</v>
      </c>
      <c r="Z47" s="128" t="s">
        <v>1325</v>
      </c>
      <c r="AA47" s="128" t="s">
        <v>1326</v>
      </c>
      <c r="AB47" s="128" t="s">
        <v>1327</v>
      </c>
      <c r="AC47" s="128" t="s">
        <v>1328</v>
      </c>
      <c r="AD47" s="128" t="s">
        <v>1329</v>
      </c>
      <c r="AE47" s="128" t="s">
        <v>1330</v>
      </c>
      <c r="AF47" s="128" t="s">
        <v>1331</v>
      </c>
    </row>
    <row r="48" spans="3:32" ht="319" x14ac:dyDescent="0.35">
      <c r="C48" s="128" t="s">
        <v>1332</v>
      </c>
      <c r="E48" s="128" t="s">
        <v>1333</v>
      </c>
      <c r="F48" s="128" t="s">
        <v>1334</v>
      </c>
      <c r="G48" s="128" t="s">
        <v>1335</v>
      </c>
      <c r="H48" s="128" t="s">
        <v>1336</v>
      </c>
      <c r="I48" s="128" t="s">
        <v>1337</v>
      </c>
      <c r="J48" s="128" t="s">
        <v>1338</v>
      </c>
      <c r="K48" s="128" t="s">
        <v>1339</v>
      </c>
      <c r="L48" s="128" t="s">
        <v>1340</v>
      </c>
      <c r="M48" s="128" t="s">
        <v>1341</v>
      </c>
      <c r="N48" s="128" t="s">
        <v>1342</v>
      </c>
      <c r="O48" s="128" t="s">
        <v>1343</v>
      </c>
      <c r="P48" s="128" t="s">
        <v>1344</v>
      </c>
      <c r="Q48" s="128" t="s">
        <v>1345</v>
      </c>
      <c r="R48" s="128" t="s">
        <v>1346</v>
      </c>
      <c r="S48" s="128" t="s">
        <v>1347</v>
      </c>
      <c r="T48" s="128" t="s">
        <v>1348</v>
      </c>
      <c r="U48" s="128" t="s">
        <v>1349</v>
      </c>
      <c r="V48" s="128" t="s">
        <v>1350</v>
      </c>
      <c r="W48" s="128" t="s">
        <v>1351</v>
      </c>
      <c r="X48" s="128" t="s">
        <v>1352</v>
      </c>
      <c r="Y48" s="128" t="s">
        <v>1353</v>
      </c>
      <c r="Z48" s="128" t="s">
        <v>1354</v>
      </c>
      <c r="AA48" s="128" t="s">
        <v>1355</v>
      </c>
      <c r="AB48" s="128" t="s">
        <v>1356</v>
      </c>
      <c r="AC48" s="128" t="s">
        <v>1357</v>
      </c>
      <c r="AD48" s="128" t="s">
        <v>1358</v>
      </c>
      <c r="AE48" s="128" t="s">
        <v>1359</v>
      </c>
      <c r="AF48" s="128" t="s">
        <v>1360</v>
      </c>
    </row>
    <row r="49" spans="3:32" ht="319" x14ac:dyDescent="0.35">
      <c r="C49" s="128" t="s">
        <v>1361</v>
      </c>
      <c r="E49" s="128" t="s">
        <v>1362</v>
      </c>
      <c r="F49" s="128" t="s">
        <v>1363</v>
      </c>
      <c r="G49" s="128" t="s">
        <v>1364</v>
      </c>
      <c r="H49" s="128" t="s">
        <v>1365</v>
      </c>
      <c r="I49" s="128" t="s">
        <v>1366</v>
      </c>
      <c r="J49" s="128" t="s">
        <v>1367</v>
      </c>
      <c r="K49" s="128" t="s">
        <v>1368</v>
      </c>
      <c r="L49" s="128" t="s">
        <v>1369</v>
      </c>
      <c r="M49" s="128" t="s">
        <v>1370</v>
      </c>
      <c r="N49" s="128" t="s">
        <v>1371</v>
      </c>
      <c r="O49" s="128" t="s">
        <v>1372</v>
      </c>
      <c r="P49" s="128" t="s">
        <v>1373</v>
      </c>
      <c r="Q49" s="128" t="s">
        <v>1374</v>
      </c>
      <c r="R49" s="128" t="s">
        <v>1375</v>
      </c>
      <c r="S49" s="128" t="s">
        <v>1376</v>
      </c>
      <c r="T49" s="128" t="s">
        <v>1377</v>
      </c>
      <c r="U49" s="128" t="s">
        <v>1378</v>
      </c>
      <c r="V49" s="128" t="s">
        <v>1379</v>
      </c>
      <c r="W49" s="128" t="s">
        <v>1380</v>
      </c>
      <c r="X49" s="128" t="s">
        <v>1381</v>
      </c>
      <c r="Y49" s="128" t="s">
        <v>1382</v>
      </c>
      <c r="Z49" s="128" t="s">
        <v>1383</v>
      </c>
      <c r="AA49" s="128" t="s">
        <v>1384</v>
      </c>
      <c r="AB49" s="128" t="s">
        <v>1385</v>
      </c>
      <c r="AC49" s="128" t="s">
        <v>1386</v>
      </c>
      <c r="AD49" s="128" t="s">
        <v>1387</v>
      </c>
      <c r="AE49" s="128" t="s">
        <v>1388</v>
      </c>
      <c r="AF49" s="128" t="s">
        <v>1389</v>
      </c>
    </row>
    <row r="50" spans="3:32" ht="319" x14ac:dyDescent="0.35">
      <c r="C50" s="128" t="s">
        <v>1390</v>
      </c>
      <c r="E50" s="128" t="s">
        <v>1391</v>
      </c>
      <c r="F50" s="128" t="s">
        <v>1392</v>
      </c>
      <c r="G50" s="128" t="s">
        <v>1393</v>
      </c>
      <c r="H50" s="128" t="s">
        <v>1394</v>
      </c>
      <c r="I50" s="128" t="s">
        <v>1395</v>
      </c>
      <c r="J50" s="128" t="s">
        <v>1396</v>
      </c>
      <c r="K50" s="128" t="s">
        <v>1397</v>
      </c>
      <c r="L50" s="128" t="s">
        <v>1398</v>
      </c>
      <c r="M50" s="128" t="s">
        <v>1399</v>
      </c>
      <c r="N50" s="128" t="s">
        <v>1400</v>
      </c>
      <c r="O50" s="128" t="s">
        <v>1401</v>
      </c>
      <c r="P50" s="128" t="s">
        <v>1402</v>
      </c>
      <c r="Q50" s="128" t="s">
        <v>1403</v>
      </c>
      <c r="R50" s="128" t="s">
        <v>1404</v>
      </c>
      <c r="S50" s="128" t="s">
        <v>1405</v>
      </c>
      <c r="T50" s="128" t="s">
        <v>1406</v>
      </c>
      <c r="U50" s="128" t="s">
        <v>1407</v>
      </c>
      <c r="V50" s="128" t="s">
        <v>1408</v>
      </c>
      <c r="W50" s="128" t="s">
        <v>1409</v>
      </c>
      <c r="X50" s="128" t="s">
        <v>1410</v>
      </c>
      <c r="Y50" s="128" t="s">
        <v>1411</v>
      </c>
      <c r="Z50" s="128" t="s">
        <v>1412</v>
      </c>
      <c r="AA50" s="128" t="s">
        <v>1413</v>
      </c>
      <c r="AB50" s="128" t="s">
        <v>1414</v>
      </c>
      <c r="AC50" s="128" t="s">
        <v>1415</v>
      </c>
      <c r="AD50" s="128" t="s">
        <v>1416</v>
      </c>
      <c r="AE50" s="128" t="s">
        <v>1417</v>
      </c>
      <c r="AF50" s="128" t="s">
        <v>1418</v>
      </c>
    </row>
    <row r="51" spans="3:32" ht="319" x14ac:dyDescent="0.35">
      <c r="C51" s="128" t="s">
        <v>1419</v>
      </c>
      <c r="E51" s="128" t="s">
        <v>1420</v>
      </c>
      <c r="F51" s="128" t="s">
        <v>1421</v>
      </c>
      <c r="G51" s="128" t="s">
        <v>1422</v>
      </c>
      <c r="H51" s="128" t="s">
        <v>1423</v>
      </c>
      <c r="I51" s="128" t="s">
        <v>1424</v>
      </c>
      <c r="J51" s="128" t="s">
        <v>1425</v>
      </c>
      <c r="K51" s="128" t="s">
        <v>1426</v>
      </c>
      <c r="L51" s="128" t="s">
        <v>1427</v>
      </c>
      <c r="M51" s="128" t="s">
        <v>1428</v>
      </c>
      <c r="N51" s="128" t="s">
        <v>1429</v>
      </c>
      <c r="O51" s="128" t="s">
        <v>1430</v>
      </c>
      <c r="P51" s="128" t="s">
        <v>1431</v>
      </c>
      <c r="Q51" s="128" t="s">
        <v>1432</v>
      </c>
      <c r="R51" s="128" t="s">
        <v>1433</v>
      </c>
      <c r="S51" s="128" t="s">
        <v>1434</v>
      </c>
      <c r="T51" s="128" t="s">
        <v>1435</v>
      </c>
      <c r="U51" s="128" t="s">
        <v>1436</v>
      </c>
      <c r="V51" s="128" t="s">
        <v>1437</v>
      </c>
      <c r="W51" s="128" t="s">
        <v>1438</v>
      </c>
      <c r="X51" s="128" t="s">
        <v>1439</v>
      </c>
      <c r="Y51" s="128" t="s">
        <v>1440</v>
      </c>
      <c r="Z51" s="128" t="s">
        <v>1441</v>
      </c>
      <c r="AA51" s="128" t="s">
        <v>1442</v>
      </c>
      <c r="AB51" s="128" t="s">
        <v>1443</v>
      </c>
      <c r="AC51" s="128" t="s">
        <v>1444</v>
      </c>
      <c r="AD51" s="128" t="s">
        <v>1445</v>
      </c>
      <c r="AE51" s="128" t="s">
        <v>1446</v>
      </c>
      <c r="AF51" s="128" t="s">
        <v>1447</v>
      </c>
    </row>
    <row r="52" spans="3:32" ht="319" x14ac:dyDescent="0.35">
      <c r="C52" s="128" t="s">
        <v>1448</v>
      </c>
      <c r="E52" s="128" t="s">
        <v>1449</v>
      </c>
      <c r="F52" s="128" t="s">
        <v>1450</v>
      </c>
      <c r="G52" s="128" t="s">
        <v>1451</v>
      </c>
      <c r="H52" s="128" t="s">
        <v>1452</v>
      </c>
      <c r="I52" s="128" t="s">
        <v>1453</v>
      </c>
      <c r="J52" s="128" t="s">
        <v>1454</v>
      </c>
      <c r="K52" s="128" t="s">
        <v>1455</v>
      </c>
      <c r="L52" s="128" t="s">
        <v>1456</v>
      </c>
      <c r="M52" s="128" t="s">
        <v>1457</v>
      </c>
      <c r="N52" s="128" t="s">
        <v>1458</v>
      </c>
      <c r="O52" s="128" t="s">
        <v>1459</v>
      </c>
      <c r="P52" s="128" t="s">
        <v>1460</v>
      </c>
      <c r="Q52" s="128" t="s">
        <v>1461</v>
      </c>
      <c r="R52" s="128" t="s">
        <v>1462</v>
      </c>
      <c r="S52" s="128" t="s">
        <v>1463</v>
      </c>
      <c r="T52" s="128" t="s">
        <v>1464</v>
      </c>
      <c r="U52" s="128" t="s">
        <v>1465</v>
      </c>
      <c r="V52" s="128" t="s">
        <v>1466</v>
      </c>
      <c r="W52" s="128" t="s">
        <v>1467</v>
      </c>
      <c r="X52" s="128" t="s">
        <v>1468</v>
      </c>
      <c r="Y52" s="128" t="s">
        <v>1469</v>
      </c>
      <c r="Z52" s="128" t="s">
        <v>1470</v>
      </c>
      <c r="AA52" s="128" t="s">
        <v>1471</v>
      </c>
      <c r="AB52" s="128" t="s">
        <v>1472</v>
      </c>
      <c r="AC52" s="128" t="s">
        <v>1473</v>
      </c>
      <c r="AD52" s="128" t="s">
        <v>1474</v>
      </c>
      <c r="AE52" s="128" t="s">
        <v>1475</v>
      </c>
      <c r="AF52" s="128" t="s">
        <v>1476</v>
      </c>
    </row>
    <row r="53" spans="3:32" ht="319" x14ac:dyDescent="0.35">
      <c r="C53" s="128" t="s">
        <v>1477</v>
      </c>
      <c r="E53" s="128" t="s">
        <v>1478</v>
      </c>
      <c r="F53" s="128" t="s">
        <v>1479</v>
      </c>
      <c r="G53" s="128" t="s">
        <v>1480</v>
      </c>
      <c r="H53" s="128" t="s">
        <v>1481</v>
      </c>
      <c r="I53" s="128" t="s">
        <v>1482</v>
      </c>
      <c r="J53" s="128" t="s">
        <v>1483</v>
      </c>
      <c r="K53" s="128" t="s">
        <v>1484</v>
      </c>
      <c r="L53" s="128" t="s">
        <v>1485</v>
      </c>
      <c r="M53" s="128" t="s">
        <v>1486</v>
      </c>
      <c r="N53" s="128" t="s">
        <v>1487</v>
      </c>
      <c r="O53" s="128" t="s">
        <v>1488</v>
      </c>
      <c r="P53" s="128" t="s">
        <v>1489</v>
      </c>
      <c r="Q53" s="128" t="s">
        <v>1490</v>
      </c>
      <c r="R53" s="128" t="s">
        <v>1491</v>
      </c>
      <c r="S53" s="128" t="s">
        <v>1492</v>
      </c>
      <c r="T53" s="128" t="s">
        <v>1493</v>
      </c>
      <c r="U53" s="128" t="s">
        <v>1494</v>
      </c>
      <c r="V53" s="128" t="s">
        <v>1495</v>
      </c>
      <c r="W53" s="128" t="s">
        <v>1496</v>
      </c>
      <c r="X53" s="128" t="s">
        <v>1497</v>
      </c>
      <c r="Y53" s="128" t="s">
        <v>1498</v>
      </c>
      <c r="Z53" s="128" t="s">
        <v>1499</v>
      </c>
      <c r="AA53" s="128" t="s">
        <v>1500</v>
      </c>
      <c r="AB53" s="128" t="s">
        <v>1501</v>
      </c>
      <c r="AC53" s="128" t="s">
        <v>1502</v>
      </c>
      <c r="AD53" s="128" t="s">
        <v>1503</v>
      </c>
      <c r="AE53" s="128" t="s">
        <v>1504</v>
      </c>
      <c r="AF53" s="128" t="s">
        <v>1505</v>
      </c>
    </row>
    <row r="54" spans="3:32" ht="319" x14ac:dyDescent="0.35">
      <c r="C54" s="128" t="s">
        <v>1506</v>
      </c>
      <c r="E54" s="128" t="s">
        <v>1507</v>
      </c>
      <c r="F54" s="128" t="s">
        <v>1508</v>
      </c>
      <c r="G54" s="128" t="s">
        <v>1509</v>
      </c>
      <c r="H54" s="128" t="s">
        <v>1510</v>
      </c>
      <c r="I54" s="128" t="s">
        <v>1511</v>
      </c>
      <c r="J54" s="128" t="s">
        <v>1512</v>
      </c>
      <c r="K54" s="128" t="s">
        <v>1513</v>
      </c>
      <c r="L54" s="128" t="s">
        <v>1514</v>
      </c>
      <c r="M54" s="128" t="s">
        <v>1515</v>
      </c>
      <c r="N54" s="128" t="s">
        <v>1516</v>
      </c>
      <c r="O54" s="128" t="s">
        <v>1517</v>
      </c>
      <c r="P54" s="128" t="s">
        <v>1518</v>
      </c>
      <c r="Q54" s="128" t="s">
        <v>1519</v>
      </c>
      <c r="R54" s="128" t="s">
        <v>1520</v>
      </c>
      <c r="S54" s="128" t="s">
        <v>1521</v>
      </c>
      <c r="T54" s="128" t="s">
        <v>1522</v>
      </c>
      <c r="U54" s="128" t="s">
        <v>1523</v>
      </c>
      <c r="V54" s="128" t="s">
        <v>1524</v>
      </c>
      <c r="W54" s="128" t="s">
        <v>1525</v>
      </c>
      <c r="X54" s="128" t="s">
        <v>1526</v>
      </c>
      <c r="Y54" s="128" t="s">
        <v>1527</v>
      </c>
      <c r="Z54" s="128" t="s">
        <v>1528</v>
      </c>
      <c r="AA54" s="128" t="s">
        <v>1529</v>
      </c>
      <c r="AB54" s="128" t="s">
        <v>1530</v>
      </c>
      <c r="AC54" s="128" t="s">
        <v>1531</v>
      </c>
      <c r="AD54" s="128" t="s">
        <v>1532</v>
      </c>
      <c r="AE54" s="128" t="s">
        <v>1533</v>
      </c>
      <c r="AF54" s="128" t="s">
        <v>1534</v>
      </c>
    </row>
    <row r="55" spans="3:32" ht="319" x14ac:dyDescent="0.35">
      <c r="C55" s="128" t="s">
        <v>1535</v>
      </c>
      <c r="E55" s="128" t="s">
        <v>1536</v>
      </c>
      <c r="F55" s="128" t="s">
        <v>1537</v>
      </c>
      <c r="G55" s="128" t="s">
        <v>1538</v>
      </c>
      <c r="H55" s="128" t="s">
        <v>1539</v>
      </c>
      <c r="I55" s="128" t="s">
        <v>1540</v>
      </c>
      <c r="J55" s="128" t="s">
        <v>1541</v>
      </c>
      <c r="K55" s="128" t="s">
        <v>1542</v>
      </c>
      <c r="L55" s="128" t="s">
        <v>1543</v>
      </c>
      <c r="M55" s="128" t="s">
        <v>1544</v>
      </c>
      <c r="N55" s="128" t="s">
        <v>1545</v>
      </c>
      <c r="O55" s="128" t="s">
        <v>1546</v>
      </c>
      <c r="P55" s="128" t="s">
        <v>1547</v>
      </c>
      <c r="Q55" s="128" t="s">
        <v>1548</v>
      </c>
      <c r="R55" s="128" t="s">
        <v>1549</v>
      </c>
      <c r="S55" s="128" t="s">
        <v>1550</v>
      </c>
      <c r="T55" s="128" t="s">
        <v>1551</v>
      </c>
      <c r="U55" s="128" t="s">
        <v>1552</v>
      </c>
      <c r="V55" s="128" t="s">
        <v>1553</v>
      </c>
      <c r="W55" s="128" t="s">
        <v>1554</v>
      </c>
      <c r="X55" s="128" t="s">
        <v>1555</v>
      </c>
      <c r="Y55" s="128" t="s">
        <v>1556</v>
      </c>
      <c r="Z55" s="128" t="s">
        <v>1557</v>
      </c>
      <c r="AA55" s="128" t="s">
        <v>1558</v>
      </c>
      <c r="AB55" s="128" t="s">
        <v>1559</v>
      </c>
      <c r="AC55" s="128" t="s">
        <v>1560</v>
      </c>
      <c r="AD55" s="128" t="s">
        <v>1561</v>
      </c>
      <c r="AE55" s="128" t="s">
        <v>1562</v>
      </c>
      <c r="AF55" s="128" t="s">
        <v>1563</v>
      </c>
    </row>
    <row r="56" spans="3:32" ht="319" x14ac:dyDescent="0.35">
      <c r="C56" s="128" t="s">
        <v>1564</v>
      </c>
      <c r="E56" s="128" t="s">
        <v>1565</v>
      </c>
      <c r="F56" s="128" t="s">
        <v>1566</v>
      </c>
      <c r="G56" s="128" t="s">
        <v>1567</v>
      </c>
      <c r="H56" s="128" t="s">
        <v>1568</v>
      </c>
      <c r="I56" s="128" t="s">
        <v>1569</v>
      </c>
      <c r="J56" s="128" t="s">
        <v>1570</v>
      </c>
      <c r="K56" s="128" t="s">
        <v>1571</v>
      </c>
      <c r="L56" s="128" t="s">
        <v>1572</v>
      </c>
      <c r="M56" s="128" t="s">
        <v>1573</v>
      </c>
      <c r="N56" s="128" t="s">
        <v>1574</v>
      </c>
      <c r="O56" s="128" t="s">
        <v>1575</v>
      </c>
      <c r="P56" s="128" t="s">
        <v>1576</v>
      </c>
      <c r="Q56" s="128" t="s">
        <v>1577</v>
      </c>
      <c r="R56" s="128" t="s">
        <v>1578</v>
      </c>
      <c r="S56" s="128" t="s">
        <v>1579</v>
      </c>
      <c r="T56" s="128" t="s">
        <v>1580</v>
      </c>
      <c r="U56" s="128" t="s">
        <v>1581</v>
      </c>
      <c r="V56" s="128" t="s">
        <v>1582</v>
      </c>
      <c r="W56" s="128" t="s">
        <v>1583</v>
      </c>
      <c r="X56" s="128" t="s">
        <v>1584</v>
      </c>
      <c r="Y56" s="128" t="s">
        <v>1585</v>
      </c>
      <c r="Z56" s="128" t="s">
        <v>1586</v>
      </c>
      <c r="AA56" s="128" t="s">
        <v>1587</v>
      </c>
      <c r="AB56" s="128" t="s">
        <v>1588</v>
      </c>
      <c r="AC56" s="128" t="s">
        <v>1589</v>
      </c>
      <c r="AD56" s="128" t="s">
        <v>1590</v>
      </c>
      <c r="AE56" s="128" t="s">
        <v>1591</v>
      </c>
      <c r="AF56" s="128" t="s">
        <v>1592</v>
      </c>
    </row>
    <row r="57" spans="3:32" ht="319" x14ac:dyDescent="0.35">
      <c r="C57" s="128" t="s">
        <v>1593</v>
      </c>
      <c r="E57" s="128" t="s">
        <v>1594</v>
      </c>
      <c r="F57" s="128" t="s">
        <v>1595</v>
      </c>
      <c r="G57" s="128" t="s">
        <v>1596</v>
      </c>
      <c r="H57" s="128" t="s">
        <v>1597</v>
      </c>
      <c r="I57" s="128" t="s">
        <v>1598</v>
      </c>
      <c r="J57" s="128" t="s">
        <v>1599</v>
      </c>
      <c r="K57" s="128" t="s">
        <v>1600</v>
      </c>
      <c r="L57" s="128" t="s">
        <v>1601</v>
      </c>
      <c r="M57" s="128" t="s">
        <v>1602</v>
      </c>
      <c r="N57" s="128" t="s">
        <v>1603</v>
      </c>
      <c r="O57" s="128" t="s">
        <v>1604</v>
      </c>
      <c r="P57" s="128" t="s">
        <v>1605</v>
      </c>
      <c r="Q57" s="128" t="s">
        <v>1606</v>
      </c>
      <c r="R57" s="128" t="s">
        <v>1607</v>
      </c>
      <c r="S57" s="128" t="s">
        <v>1608</v>
      </c>
      <c r="T57" s="128" t="s">
        <v>1609</v>
      </c>
      <c r="U57" s="128" t="s">
        <v>1610</v>
      </c>
      <c r="V57" s="128" t="s">
        <v>1611</v>
      </c>
      <c r="W57" s="128" t="s">
        <v>1612</v>
      </c>
      <c r="X57" s="128" t="s">
        <v>1613</v>
      </c>
      <c r="Y57" s="128" t="s">
        <v>1614</v>
      </c>
      <c r="Z57" s="128" t="s">
        <v>1615</v>
      </c>
      <c r="AA57" s="128" t="s">
        <v>1616</v>
      </c>
      <c r="AB57" s="128" t="s">
        <v>1617</v>
      </c>
      <c r="AC57" s="128" t="s">
        <v>1618</v>
      </c>
      <c r="AD57" s="128" t="s">
        <v>1619</v>
      </c>
      <c r="AE57" s="128" t="s">
        <v>1620</v>
      </c>
      <c r="AF57" s="128" t="s">
        <v>1621</v>
      </c>
    </row>
    <row r="58" spans="3:32" ht="319" x14ac:dyDescent="0.35">
      <c r="C58" s="128" t="s">
        <v>1622</v>
      </c>
      <c r="E58" s="128" t="s">
        <v>1623</v>
      </c>
      <c r="F58" s="128" t="s">
        <v>1624</v>
      </c>
      <c r="G58" s="128" t="s">
        <v>1625</v>
      </c>
      <c r="H58" s="128" t="s">
        <v>1626</v>
      </c>
      <c r="I58" s="128" t="s">
        <v>1627</v>
      </c>
      <c r="J58" s="128" t="s">
        <v>1628</v>
      </c>
      <c r="K58" s="128" t="s">
        <v>1629</v>
      </c>
      <c r="L58" s="128" t="s">
        <v>1630</v>
      </c>
      <c r="M58" s="128" t="s">
        <v>1631</v>
      </c>
      <c r="N58" s="128" t="s">
        <v>1632</v>
      </c>
      <c r="O58" s="128" t="s">
        <v>1633</v>
      </c>
      <c r="P58" s="128" t="s">
        <v>1634</v>
      </c>
      <c r="Q58" s="128" t="s">
        <v>1635</v>
      </c>
      <c r="R58" s="128" t="s">
        <v>1636</v>
      </c>
      <c r="S58" s="128" t="s">
        <v>1637</v>
      </c>
      <c r="T58" s="128" t="s">
        <v>1638</v>
      </c>
      <c r="U58" s="128" t="s">
        <v>1639</v>
      </c>
      <c r="V58" s="128" t="s">
        <v>1640</v>
      </c>
      <c r="W58" s="128" t="s">
        <v>1641</v>
      </c>
      <c r="X58" s="128" t="s">
        <v>1642</v>
      </c>
      <c r="Y58" s="128" t="s">
        <v>1643</v>
      </c>
      <c r="Z58" s="128" t="s">
        <v>1644</v>
      </c>
      <c r="AA58" s="128" t="s">
        <v>1645</v>
      </c>
      <c r="AB58" s="128" t="s">
        <v>1646</v>
      </c>
      <c r="AC58" s="128" t="s">
        <v>1647</v>
      </c>
      <c r="AD58" s="128" t="s">
        <v>1648</v>
      </c>
      <c r="AE58" s="128" t="s">
        <v>1649</v>
      </c>
      <c r="AF58" s="128" t="s">
        <v>1650</v>
      </c>
    </row>
    <row r="59" spans="3:32" ht="319" x14ac:dyDescent="0.35">
      <c r="C59" s="128" t="s">
        <v>1651</v>
      </c>
      <c r="E59" s="128" t="s">
        <v>1652</v>
      </c>
      <c r="F59" s="128" t="s">
        <v>1653</v>
      </c>
      <c r="G59" s="128" t="s">
        <v>1654</v>
      </c>
      <c r="H59" s="128" t="s">
        <v>1655</v>
      </c>
      <c r="I59" s="128" t="s">
        <v>1656</v>
      </c>
      <c r="J59" s="128" t="s">
        <v>1657</v>
      </c>
      <c r="K59" s="128" t="s">
        <v>1658</v>
      </c>
      <c r="L59" s="128" t="s">
        <v>1659</v>
      </c>
      <c r="M59" s="128" t="s">
        <v>1660</v>
      </c>
      <c r="N59" s="128" t="s">
        <v>1661</v>
      </c>
      <c r="O59" s="128" t="s">
        <v>1662</v>
      </c>
      <c r="P59" s="128" t="s">
        <v>1663</v>
      </c>
      <c r="Q59" s="128" t="s">
        <v>1664</v>
      </c>
      <c r="R59" s="128" t="s">
        <v>1665</v>
      </c>
      <c r="S59" s="128" t="s">
        <v>1666</v>
      </c>
      <c r="T59" s="128" t="s">
        <v>1667</v>
      </c>
      <c r="U59" s="128" t="s">
        <v>1668</v>
      </c>
      <c r="V59" s="128" t="s">
        <v>1669</v>
      </c>
      <c r="W59" s="128" t="s">
        <v>1670</v>
      </c>
      <c r="X59" s="128" t="s">
        <v>1671</v>
      </c>
      <c r="Y59" s="128" t="s">
        <v>1672</v>
      </c>
      <c r="Z59" s="128" t="s">
        <v>1673</v>
      </c>
      <c r="AA59" s="128" t="s">
        <v>1674</v>
      </c>
      <c r="AB59" s="128" t="s">
        <v>1675</v>
      </c>
      <c r="AC59" s="128" t="s">
        <v>1676</v>
      </c>
      <c r="AD59" s="128" t="s">
        <v>1677</v>
      </c>
      <c r="AE59" s="128" t="s">
        <v>1678</v>
      </c>
      <c r="AF59" s="128" t="s">
        <v>1679</v>
      </c>
    </row>
    <row r="60" spans="3:32" ht="319" x14ac:dyDescent="0.35">
      <c r="C60" s="128" t="s">
        <v>1680</v>
      </c>
      <c r="E60" s="128" t="s">
        <v>1681</v>
      </c>
      <c r="F60" s="128" t="s">
        <v>1682</v>
      </c>
      <c r="G60" s="128" t="s">
        <v>1683</v>
      </c>
      <c r="H60" s="128" t="s">
        <v>1684</v>
      </c>
      <c r="I60" s="128" t="s">
        <v>1685</v>
      </c>
      <c r="J60" s="128" t="s">
        <v>1686</v>
      </c>
      <c r="K60" s="128" t="s">
        <v>1687</v>
      </c>
      <c r="L60" s="128" t="s">
        <v>1688</v>
      </c>
      <c r="M60" s="128" t="s">
        <v>1689</v>
      </c>
      <c r="N60" s="128" t="s">
        <v>1690</v>
      </c>
      <c r="O60" s="128" t="s">
        <v>1691</v>
      </c>
      <c r="P60" s="128" t="s">
        <v>1692</v>
      </c>
      <c r="Q60" s="128" t="s">
        <v>1693</v>
      </c>
      <c r="R60" s="128" t="s">
        <v>1694</v>
      </c>
      <c r="S60" s="128" t="s">
        <v>1695</v>
      </c>
      <c r="T60" s="128" t="s">
        <v>1696</v>
      </c>
      <c r="U60" s="128" t="s">
        <v>1697</v>
      </c>
      <c r="V60" s="128" t="s">
        <v>1698</v>
      </c>
      <c r="W60" s="128" t="s">
        <v>1699</v>
      </c>
      <c r="X60" s="128" t="s">
        <v>1700</v>
      </c>
      <c r="Y60" s="128" t="s">
        <v>1701</v>
      </c>
      <c r="Z60" s="128" t="s">
        <v>1702</v>
      </c>
      <c r="AA60" s="128" t="s">
        <v>1703</v>
      </c>
      <c r="AB60" s="128" t="s">
        <v>1704</v>
      </c>
      <c r="AC60" s="128" t="s">
        <v>1705</v>
      </c>
      <c r="AD60" s="128" t="s">
        <v>1706</v>
      </c>
      <c r="AE60" s="128" t="s">
        <v>1707</v>
      </c>
      <c r="AF60" s="128" t="s">
        <v>1708</v>
      </c>
    </row>
    <row r="61" spans="3:32" ht="319" x14ac:dyDescent="0.35">
      <c r="C61" s="128" t="s">
        <v>1709</v>
      </c>
      <c r="E61" s="128" t="s">
        <v>1710</v>
      </c>
      <c r="F61" s="128" t="s">
        <v>1711</v>
      </c>
      <c r="G61" s="128" t="s">
        <v>1712</v>
      </c>
      <c r="H61" s="128" t="s">
        <v>1713</v>
      </c>
      <c r="I61" s="128" t="s">
        <v>1714</v>
      </c>
      <c r="J61" s="128" t="s">
        <v>1715</v>
      </c>
      <c r="K61" s="128" t="s">
        <v>1716</v>
      </c>
      <c r="L61" s="128" t="s">
        <v>1717</v>
      </c>
      <c r="M61" s="128" t="s">
        <v>1718</v>
      </c>
      <c r="N61" s="128" t="s">
        <v>1719</v>
      </c>
      <c r="O61" s="128" t="s">
        <v>1720</v>
      </c>
      <c r="P61" s="128" t="s">
        <v>1721</v>
      </c>
      <c r="Q61" s="128" t="s">
        <v>1722</v>
      </c>
      <c r="R61" s="128" t="s">
        <v>1723</v>
      </c>
      <c r="S61" s="128" t="s">
        <v>1724</v>
      </c>
      <c r="T61" s="128" t="s">
        <v>1725</v>
      </c>
      <c r="U61" s="128" t="s">
        <v>1726</v>
      </c>
      <c r="V61" s="128" t="s">
        <v>1727</v>
      </c>
      <c r="W61" s="128" t="s">
        <v>1728</v>
      </c>
      <c r="X61" s="128" t="s">
        <v>1729</v>
      </c>
      <c r="Y61" s="128" t="s">
        <v>1730</v>
      </c>
      <c r="Z61" s="128" t="s">
        <v>1731</v>
      </c>
      <c r="AA61" s="128" t="s">
        <v>1732</v>
      </c>
      <c r="AB61" s="128" t="s">
        <v>1733</v>
      </c>
      <c r="AC61" s="128" t="s">
        <v>1734</v>
      </c>
      <c r="AD61" s="128" t="s">
        <v>1735</v>
      </c>
      <c r="AE61" s="128" t="s">
        <v>1736</v>
      </c>
      <c r="AF61" s="128" t="s">
        <v>1737</v>
      </c>
    </row>
    <row r="62" spans="3:32" ht="319" x14ac:dyDescent="0.35">
      <c r="C62" s="128" t="s">
        <v>1738</v>
      </c>
      <c r="E62" s="128" t="s">
        <v>1739</v>
      </c>
      <c r="F62" s="128" t="s">
        <v>1740</v>
      </c>
      <c r="G62" s="128" t="s">
        <v>1741</v>
      </c>
      <c r="H62" s="128" t="s">
        <v>1742</v>
      </c>
      <c r="I62" s="128" t="s">
        <v>1743</v>
      </c>
      <c r="J62" s="128" t="s">
        <v>1744</v>
      </c>
      <c r="K62" s="128" t="s">
        <v>1745</v>
      </c>
      <c r="L62" s="128" t="s">
        <v>1746</v>
      </c>
      <c r="M62" s="128" t="s">
        <v>1747</v>
      </c>
      <c r="N62" s="128" t="s">
        <v>1748</v>
      </c>
      <c r="O62" s="128" t="s">
        <v>1749</v>
      </c>
      <c r="P62" s="128" t="s">
        <v>1750</v>
      </c>
      <c r="Q62" s="128" t="s">
        <v>1751</v>
      </c>
      <c r="R62" s="128" t="s">
        <v>1752</v>
      </c>
      <c r="S62" s="128" t="s">
        <v>1753</v>
      </c>
      <c r="T62" s="128" t="s">
        <v>1754</v>
      </c>
      <c r="U62" s="128" t="s">
        <v>1755</v>
      </c>
      <c r="V62" s="128" t="s">
        <v>1756</v>
      </c>
      <c r="W62" s="128" t="s">
        <v>1757</v>
      </c>
      <c r="X62" s="128" t="s">
        <v>1758</v>
      </c>
      <c r="Y62" s="128" t="s">
        <v>1759</v>
      </c>
      <c r="Z62" s="128" t="s">
        <v>1760</v>
      </c>
      <c r="AA62" s="128" t="s">
        <v>1761</v>
      </c>
      <c r="AB62" s="128" t="s">
        <v>1762</v>
      </c>
      <c r="AC62" s="128" t="s">
        <v>1763</v>
      </c>
      <c r="AD62" s="128" t="s">
        <v>1764</v>
      </c>
      <c r="AE62" s="128" t="s">
        <v>1765</v>
      </c>
      <c r="AF62" s="128" t="s">
        <v>1766</v>
      </c>
    </row>
    <row r="63" spans="3:32" ht="319" x14ac:dyDescent="0.35">
      <c r="C63" s="128" t="s">
        <v>1767</v>
      </c>
      <c r="E63" s="128" t="s">
        <v>1768</v>
      </c>
      <c r="F63" s="128" t="s">
        <v>1769</v>
      </c>
      <c r="G63" s="128" t="s">
        <v>1770</v>
      </c>
      <c r="H63" s="128" t="s">
        <v>1771</v>
      </c>
      <c r="I63" s="128" t="s">
        <v>1772</v>
      </c>
      <c r="J63" s="128" t="s">
        <v>1773</v>
      </c>
      <c r="K63" s="128" t="s">
        <v>1774</v>
      </c>
      <c r="L63" s="128" t="s">
        <v>1775</v>
      </c>
      <c r="M63" s="128" t="s">
        <v>1776</v>
      </c>
      <c r="N63" s="128" t="s">
        <v>1777</v>
      </c>
      <c r="O63" s="128" t="s">
        <v>1778</v>
      </c>
      <c r="P63" s="128" t="s">
        <v>1779</v>
      </c>
      <c r="Q63" s="128" t="s">
        <v>1780</v>
      </c>
      <c r="R63" s="128" t="s">
        <v>1781</v>
      </c>
      <c r="S63" s="128" t="s">
        <v>1782</v>
      </c>
      <c r="T63" s="128" t="s">
        <v>1783</v>
      </c>
      <c r="U63" s="128" t="s">
        <v>1784</v>
      </c>
      <c r="V63" s="128" t="s">
        <v>1785</v>
      </c>
      <c r="W63" s="128" t="s">
        <v>1786</v>
      </c>
      <c r="X63" s="128" t="s">
        <v>1787</v>
      </c>
      <c r="Y63" s="128" t="s">
        <v>1788</v>
      </c>
      <c r="Z63" s="128" t="s">
        <v>1789</v>
      </c>
      <c r="AA63" s="128" t="s">
        <v>1790</v>
      </c>
      <c r="AB63" s="128" t="s">
        <v>1791</v>
      </c>
      <c r="AC63" s="128" t="s">
        <v>1792</v>
      </c>
      <c r="AD63" s="128" t="s">
        <v>1793</v>
      </c>
      <c r="AE63" s="128" t="s">
        <v>1794</v>
      </c>
      <c r="AF63" s="128" t="s">
        <v>1795</v>
      </c>
    </row>
    <row r="64" spans="3:32" ht="319" x14ac:dyDescent="0.35">
      <c r="C64" s="128" t="s">
        <v>1796</v>
      </c>
      <c r="E64" s="128" t="s">
        <v>1797</v>
      </c>
      <c r="F64" s="128" t="s">
        <v>1798</v>
      </c>
      <c r="G64" s="128" t="s">
        <v>1799</v>
      </c>
      <c r="H64" s="128" t="s">
        <v>1800</v>
      </c>
      <c r="I64" s="128" t="s">
        <v>1801</v>
      </c>
      <c r="J64" s="128" t="s">
        <v>1802</v>
      </c>
      <c r="K64" s="128" t="s">
        <v>1803</v>
      </c>
      <c r="L64" s="128" t="s">
        <v>1804</v>
      </c>
      <c r="M64" s="128" t="s">
        <v>1805</v>
      </c>
      <c r="N64" s="128" t="s">
        <v>1806</v>
      </c>
      <c r="O64" s="128" t="s">
        <v>1807</v>
      </c>
      <c r="P64" s="128" t="s">
        <v>1808</v>
      </c>
      <c r="Q64" s="128" t="s">
        <v>1809</v>
      </c>
      <c r="R64" s="128" t="s">
        <v>1810</v>
      </c>
      <c r="S64" s="128" t="s">
        <v>1811</v>
      </c>
      <c r="T64" s="128" t="s">
        <v>1812</v>
      </c>
      <c r="U64" s="128" t="s">
        <v>1813</v>
      </c>
      <c r="V64" s="128" t="s">
        <v>1814</v>
      </c>
      <c r="W64" s="128" t="s">
        <v>1815</v>
      </c>
      <c r="X64" s="128" t="s">
        <v>1816</v>
      </c>
      <c r="Y64" s="128" t="s">
        <v>1817</v>
      </c>
      <c r="Z64" s="128" t="s">
        <v>1818</v>
      </c>
      <c r="AA64" s="128" t="s">
        <v>1819</v>
      </c>
      <c r="AB64" s="128" t="s">
        <v>1820</v>
      </c>
      <c r="AC64" s="128" t="s">
        <v>1821</v>
      </c>
      <c r="AD64" s="128" t="s">
        <v>1822</v>
      </c>
      <c r="AE64" s="128" t="s">
        <v>1823</v>
      </c>
      <c r="AF64" s="128" t="s">
        <v>1824</v>
      </c>
    </row>
    <row r="65" spans="3:32" ht="319" x14ac:dyDescent="0.35">
      <c r="C65" s="128" t="s">
        <v>1825</v>
      </c>
      <c r="E65" s="128" t="s">
        <v>1826</v>
      </c>
      <c r="F65" s="128" t="s">
        <v>1827</v>
      </c>
      <c r="G65" s="128" t="s">
        <v>1828</v>
      </c>
      <c r="H65" s="128" t="s">
        <v>1829</v>
      </c>
      <c r="I65" s="128" t="s">
        <v>1830</v>
      </c>
      <c r="J65" s="128" t="s">
        <v>1831</v>
      </c>
      <c r="K65" s="128" t="s">
        <v>1832</v>
      </c>
      <c r="L65" s="128" t="s">
        <v>1833</v>
      </c>
      <c r="M65" s="128" t="s">
        <v>1834</v>
      </c>
      <c r="N65" s="128" t="s">
        <v>1835</v>
      </c>
      <c r="O65" s="128" t="s">
        <v>1836</v>
      </c>
      <c r="P65" s="128" t="s">
        <v>1837</v>
      </c>
      <c r="Q65" s="128" t="s">
        <v>1838</v>
      </c>
      <c r="R65" s="128" t="s">
        <v>1839</v>
      </c>
      <c r="S65" s="128" t="s">
        <v>1840</v>
      </c>
      <c r="T65" s="128" t="s">
        <v>1841</v>
      </c>
      <c r="U65" s="128" t="s">
        <v>1842</v>
      </c>
      <c r="V65" s="128" t="s">
        <v>1843</v>
      </c>
      <c r="W65" s="128" t="s">
        <v>1844</v>
      </c>
      <c r="X65" s="128" t="s">
        <v>1845</v>
      </c>
      <c r="Y65" s="128" t="s">
        <v>1846</v>
      </c>
      <c r="Z65" s="128" t="s">
        <v>1847</v>
      </c>
      <c r="AA65" s="128" t="s">
        <v>1848</v>
      </c>
      <c r="AB65" s="128" t="s">
        <v>1849</v>
      </c>
      <c r="AC65" s="128" t="s">
        <v>1850</v>
      </c>
      <c r="AD65" s="128" t="s">
        <v>1851</v>
      </c>
      <c r="AE65" s="128" t="s">
        <v>1852</v>
      </c>
      <c r="AF65" s="128" t="s">
        <v>1853</v>
      </c>
    </row>
    <row r="66" spans="3:32" ht="319" x14ac:dyDescent="0.35">
      <c r="C66" s="128" t="s">
        <v>1854</v>
      </c>
      <c r="E66" s="128" t="s">
        <v>1855</v>
      </c>
      <c r="F66" s="128" t="s">
        <v>1856</v>
      </c>
      <c r="G66" s="128" t="s">
        <v>1857</v>
      </c>
      <c r="H66" s="128" t="s">
        <v>1858</v>
      </c>
      <c r="I66" s="128" t="s">
        <v>1859</v>
      </c>
      <c r="J66" s="128" t="s">
        <v>1860</v>
      </c>
      <c r="K66" s="128" t="s">
        <v>1861</v>
      </c>
      <c r="L66" s="128" t="s">
        <v>1862</v>
      </c>
      <c r="M66" s="128" t="s">
        <v>1863</v>
      </c>
      <c r="N66" s="128" t="s">
        <v>1864</v>
      </c>
      <c r="O66" s="128" t="s">
        <v>1865</v>
      </c>
      <c r="P66" s="128" t="s">
        <v>1866</v>
      </c>
      <c r="Q66" s="128" t="s">
        <v>1867</v>
      </c>
      <c r="R66" s="128" t="s">
        <v>1868</v>
      </c>
      <c r="S66" s="128" t="s">
        <v>1869</v>
      </c>
      <c r="T66" s="128" t="s">
        <v>1870</v>
      </c>
      <c r="U66" s="128" t="s">
        <v>1871</v>
      </c>
      <c r="V66" s="128" t="s">
        <v>1872</v>
      </c>
      <c r="W66" s="128" t="s">
        <v>1873</v>
      </c>
      <c r="X66" s="128" t="s">
        <v>1874</v>
      </c>
      <c r="Y66" s="128" t="s">
        <v>1875</v>
      </c>
      <c r="Z66" s="128" t="s">
        <v>1876</v>
      </c>
      <c r="AA66" s="128" t="s">
        <v>1877</v>
      </c>
      <c r="AB66" s="128" t="s">
        <v>1878</v>
      </c>
      <c r="AC66" s="128" t="s">
        <v>1879</v>
      </c>
      <c r="AD66" s="128" t="s">
        <v>1880</v>
      </c>
      <c r="AE66" s="128" t="s">
        <v>1881</v>
      </c>
      <c r="AF66" s="128" t="s">
        <v>1882</v>
      </c>
    </row>
    <row r="67" spans="3:32" ht="319" x14ac:dyDescent="0.35">
      <c r="C67" s="128" t="s">
        <v>1883</v>
      </c>
      <c r="E67" s="128" t="s">
        <v>1884</v>
      </c>
      <c r="F67" s="128" t="s">
        <v>1885</v>
      </c>
      <c r="G67" s="128" t="s">
        <v>1886</v>
      </c>
      <c r="H67" s="128" t="s">
        <v>1887</v>
      </c>
      <c r="I67" s="128" t="s">
        <v>1888</v>
      </c>
      <c r="J67" s="128" t="s">
        <v>1889</v>
      </c>
      <c r="K67" s="128" t="s">
        <v>1890</v>
      </c>
      <c r="L67" s="128" t="s">
        <v>1891</v>
      </c>
      <c r="M67" s="128" t="s">
        <v>1892</v>
      </c>
      <c r="N67" s="128" t="s">
        <v>1893</v>
      </c>
      <c r="O67" s="128" t="s">
        <v>1894</v>
      </c>
      <c r="P67" s="128" t="s">
        <v>1895</v>
      </c>
      <c r="Q67" s="128" t="s">
        <v>1896</v>
      </c>
      <c r="R67" s="128" t="s">
        <v>1897</v>
      </c>
      <c r="S67" s="128" t="s">
        <v>1898</v>
      </c>
      <c r="T67" s="128" t="s">
        <v>1899</v>
      </c>
      <c r="U67" s="128" t="s">
        <v>1900</v>
      </c>
      <c r="V67" s="128" t="s">
        <v>1901</v>
      </c>
      <c r="W67" s="128" t="s">
        <v>1902</v>
      </c>
      <c r="X67" s="128" t="s">
        <v>1903</v>
      </c>
      <c r="Y67" s="128" t="s">
        <v>1904</v>
      </c>
      <c r="Z67" s="128" t="s">
        <v>1905</v>
      </c>
      <c r="AA67" s="128" t="s">
        <v>1906</v>
      </c>
      <c r="AB67" s="128" t="s">
        <v>1907</v>
      </c>
      <c r="AC67" s="128" t="s">
        <v>1908</v>
      </c>
      <c r="AD67" s="128" t="s">
        <v>1909</v>
      </c>
      <c r="AE67" s="128" t="s">
        <v>1910</v>
      </c>
      <c r="AF67" s="128" t="s">
        <v>1911</v>
      </c>
    </row>
    <row r="68" spans="3:32" ht="319" x14ac:dyDescent="0.35">
      <c r="C68" s="128" t="s">
        <v>1912</v>
      </c>
      <c r="E68" s="128" t="s">
        <v>1913</v>
      </c>
      <c r="F68" s="128" t="s">
        <v>1914</v>
      </c>
      <c r="G68" s="128" t="s">
        <v>1915</v>
      </c>
      <c r="H68" s="128" t="s">
        <v>1916</v>
      </c>
      <c r="I68" s="128" t="s">
        <v>1917</v>
      </c>
      <c r="J68" s="128" t="s">
        <v>1918</v>
      </c>
      <c r="K68" s="128" t="s">
        <v>1919</v>
      </c>
      <c r="L68" s="128" t="s">
        <v>1920</v>
      </c>
      <c r="M68" s="128" t="s">
        <v>1921</v>
      </c>
      <c r="N68" s="128" t="s">
        <v>1922</v>
      </c>
      <c r="O68" s="128" t="s">
        <v>1923</v>
      </c>
      <c r="P68" s="128" t="s">
        <v>1924</v>
      </c>
      <c r="Q68" s="128" t="s">
        <v>1925</v>
      </c>
      <c r="R68" s="128" t="s">
        <v>1926</v>
      </c>
      <c r="S68" s="128" t="s">
        <v>1927</v>
      </c>
      <c r="T68" s="128" t="s">
        <v>1928</v>
      </c>
      <c r="U68" s="128" t="s">
        <v>1929</v>
      </c>
      <c r="V68" s="128" t="s">
        <v>1930</v>
      </c>
      <c r="W68" s="128" t="s">
        <v>1931</v>
      </c>
      <c r="X68" s="128" t="s">
        <v>1932</v>
      </c>
      <c r="Y68" s="128" t="s">
        <v>1933</v>
      </c>
      <c r="Z68" s="128" t="s">
        <v>1934</v>
      </c>
      <c r="AA68" s="128" t="s">
        <v>1935</v>
      </c>
      <c r="AB68" s="128" t="s">
        <v>1936</v>
      </c>
      <c r="AC68" s="128" t="s">
        <v>1937</v>
      </c>
      <c r="AD68" s="128" t="s">
        <v>1938</v>
      </c>
      <c r="AE68" s="128" t="s">
        <v>1939</v>
      </c>
      <c r="AF68" s="128" t="s">
        <v>1940</v>
      </c>
    </row>
    <row r="69" spans="3:32" ht="319" x14ac:dyDescent="0.35">
      <c r="C69" s="128" t="s">
        <v>1941</v>
      </c>
      <c r="E69" s="128" t="s">
        <v>1942</v>
      </c>
      <c r="F69" s="128" t="s">
        <v>1943</v>
      </c>
      <c r="G69" s="128" t="s">
        <v>1944</v>
      </c>
      <c r="H69" s="128" t="s">
        <v>1945</v>
      </c>
      <c r="I69" s="128" t="s">
        <v>1946</v>
      </c>
      <c r="J69" s="128" t="s">
        <v>1947</v>
      </c>
      <c r="K69" s="128" t="s">
        <v>1948</v>
      </c>
      <c r="L69" s="128" t="s">
        <v>1949</v>
      </c>
      <c r="M69" s="128" t="s">
        <v>1950</v>
      </c>
      <c r="N69" s="128" t="s">
        <v>1951</v>
      </c>
      <c r="O69" s="128" t="s">
        <v>1952</v>
      </c>
      <c r="P69" s="128" t="s">
        <v>1953</v>
      </c>
      <c r="Q69" s="128" t="s">
        <v>1954</v>
      </c>
      <c r="R69" s="128" t="s">
        <v>1955</v>
      </c>
      <c r="S69" s="128" t="s">
        <v>1956</v>
      </c>
      <c r="T69" s="128" t="s">
        <v>1957</v>
      </c>
      <c r="U69" s="128" t="s">
        <v>1958</v>
      </c>
      <c r="V69" s="128" t="s">
        <v>1959</v>
      </c>
      <c r="W69" s="128" t="s">
        <v>1960</v>
      </c>
      <c r="X69" s="128" t="s">
        <v>1961</v>
      </c>
      <c r="Y69" s="128" t="s">
        <v>1962</v>
      </c>
      <c r="Z69" s="128" t="s">
        <v>1963</v>
      </c>
      <c r="AA69" s="128" t="s">
        <v>1964</v>
      </c>
      <c r="AB69" s="128" t="s">
        <v>1965</v>
      </c>
      <c r="AC69" s="128" t="s">
        <v>1966</v>
      </c>
      <c r="AD69" s="128" t="s">
        <v>1967</v>
      </c>
      <c r="AE69" s="128" t="s">
        <v>1968</v>
      </c>
      <c r="AF69" s="128" t="s">
        <v>1969</v>
      </c>
    </row>
    <row r="70" spans="3:32" ht="319" x14ac:dyDescent="0.35">
      <c r="C70" s="128" t="s">
        <v>1970</v>
      </c>
      <c r="E70" s="128" t="s">
        <v>1971</v>
      </c>
      <c r="F70" s="128" t="s">
        <v>1972</v>
      </c>
      <c r="G70" s="128" t="s">
        <v>1973</v>
      </c>
      <c r="H70" s="128" t="s">
        <v>1974</v>
      </c>
      <c r="I70" s="128" t="s">
        <v>1975</v>
      </c>
      <c r="J70" s="128" t="s">
        <v>1976</v>
      </c>
      <c r="K70" s="128" t="s">
        <v>1977</v>
      </c>
      <c r="L70" s="128" t="s">
        <v>1978</v>
      </c>
      <c r="M70" s="128" t="s">
        <v>1979</v>
      </c>
      <c r="N70" s="128" t="s">
        <v>1980</v>
      </c>
      <c r="O70" s="128" t="s">
        <v>1981</v>
      </c>
      <c r="P70" s="128" t="s">
        <v>1982</v>
      </c>
      <c r="Q70" s="128" t="s">
        <v>1983</v>
      </c>
      <c r="R70" s="128" t="s">
        <v>1984</v>
      </c>
      <c r="S70" s="128" t="s">
        <v>1985</v>
      </c>
      <c r="T70" s="128" t="s">
        <v>1986</v>
      </c>
      <c r="U70" s="128" t="s">
        <v>1987</v>
      </c>
      <c r="V70" s="128" t="s">
        <v>1988</v>
      </c>
      <c r="W70" s="128" t="s">
        <v>1989</v>
      </c>
      <c r="X70" s="128" t="s">
        <v>1990</v>
      </c>
      <c r="Y70" s="128" t="s">
        <v>1991</v>
      </c>
      <c r="Z70" s="128" t="s">
        <v>1992</v>
      </c>
      <c r="AA70" s="128" t="s">
        <v>1993</v>
      </c>
      <c r="AB70" s="128" t="s">
        <v>1994</v>
      </c>
      <c r="AC70" s="128" t="s">
        <v>1995</v>
      </c>
      <c r="AD70" s="128" t="s">
        <v>1996</v>
      </c>
      <c r="AE70" s="128" t="s">
        <v>1997</v>
      </c>
      <c r="AF70" s="128" t="s">
        <v>1998</v>
      </c>
    </row>
    <row r="71" spans="3:32" ht="319" x14ac:dyDescent="0.35">
      <c r="C71" s="128" t="s">
        <v>1999</v>
      </c>
      <c r="E71" s="128" t="s">
        <v>2000</v>
      </c>
      <c r="F71" s="128" t="s">
        <v>2001</v>
      </c>
      <c r="G71" s="128" t="s">
        <v>2002</v>
      </c>
      <c r="H71" s="128" t="s">
        <v>2003</v>
      </c>
      <c r="I71" s="128" t="s">
        <v>2004</v>
      </c>
      <c r="J71" s="128" t="s">
        <v>2005</v>
      </c>
      <c r="K71" s="128" t="s">
        <v>2006</v>
      </c>
      <c r="L71" s="128" t="s">
        <v>2007</v>
      </c>
      <c r="M71" s="128" t="s">
        <v>2008</v>
      </c>
      <c r="N71" s="128" t="s">
        <v>2009</v>
      </c>
      <c r="O71" s="128" t="s">
        <v>2010</v>
      </c>
      <c r="P71" s="128" t="s">
        <v>2011</v>
      </c>
      <c r="Q71" s="128" t="s">
        <v>2012</v>
      </c>
      <c r="R71" s="128" t="s">
        <v>2013</v>
      </c>
      <c r="S71" s="128" t="s">
        <v>2014</v>
      </c>
      <c r="T71" s="128" t="s">
        <v>2015</v>
      </c>
      <c r="U71" s="128" t="s">
        <v>2016</v>
      </c>
      <c r="V71" s="128" t="s">
        <v>2017</v>
      </c>
      <c r="W71" s="128" t="s">
        <v>2018</v>
      </c>
      <c r="X71" s="128" t="s">
        <v>2019</v>
      </c>
      <c r="Y71" s="128" t="s">
        <v>2020</v>
      </c>
      <c r="Z71" s="128" t="s">
        <v>2021</v>
      </c>
      <c r="AA71" s="128" t="s">
        <v>2022</v>
      </c>
      <c r="AB71" s="128" t="s">
        <v>2023</v>
      </c>
      <c r="AC71" s="128" t="s">
        <v>2024</v>
      </c>
      <c r="AD71" s="128" t="s">
        <v>2025</v>
      </c>
      <c r="AE71" s="128" t="s">
        <v>2026</v>
      </c>
      <c r="AF71" s="128" t="s">
        <v>2027</v>
      </c>
    </row>
    <row r="72" spans="3:32" ht="319" x14ac:dyDescent="0.35">
      <c r="C72" s="128" t="s">
        <v>2028</v>
      </c>
      <c r="E72" s="128" t="s">
        <v>2029</v>
      </c>
      <c r="F72" s="128" t="s">
        <v>2030</v>
      </c>
      <c r="G72" s="128" t="s">
        <v>2031</v>
      </c>
      <c r="H72" s="128" t="s">
        <v>2032</v>
      </c>
      <c r="I72" s="128" t="s">
        <v>2033</v>
      </c>
      <c r="J72" s="128" t="s">
        <v>2034</v>
      </c>
      <c r="K72" s="128" t="s">
        <v>2035</v>
      </c>
      <c r="L72" s="128" t="s">
        <v>2036</v>
      </c>
      <c r="M72" s="128" t="s">
        <v>2037</v>
      </c>
      <c r="N72" s="128" t="s">
        <v>2038</v>
      </c>
      <c r="O72" s="128" t="s">
        <v>2039</v>
      </c>
      <c r="P72" s="128" t="s">
        <v>2040</v>
      </c>
      <c r="Q72" s="128" t="s">
        <v>2041</v>
      </c>
      <c r="R72" s="128" t="s">
        <v>2042</v>
      </c>
      <c r="S72" s="128" t="s">
        <v>2043</v>
      </c>
      <c r="T72" s="128" t="s">
        <v>2044</v>
      </c>
      <c r="U72" s="128" t="s">
        <v>2045</v>
      </c>
      <c r="V72" s="128" t="s">
        <v>2046</v>
      </c>
      <c r="W72" s="128" t="s">
        <v>2047</v>
      </c>
      <c r="X72" s="128" t="s">
        <v>2048</v>
      </c>
      <c r="Y72" s="128" t="s">
        <v>2049</v>
      </c>
      <c r="Z72" s="128" t="s">
        <v>2050</v>
      </c>
      <c r="AA72" s="128" t="s">
        <v>2051</v>
      </c>
      <c r="AB72" s="128" t="s">
        <v>2052</v>
      </c>
      <c r="AC72" s="128" t="s">
        <v>2053</v>
      </c>
      <c r="AD72" s="128" t="s">
        <v>2054</v>
      </c>
      <c r="AE72" s="128" t="s">
        <v>2055</v>
      </c>
      <c r="AF72" s="128" t="s">
        <v>2056</v>
      </c>
    </row>
    <row r="73" spans="3:32" ht="319" x14ac:dyDescent="0.35">
      <c r="C73" s="128" t="s">
        <v>2057</v>
      </c>
      <c r="E73" s="128" t="s">
        <v>2058</v>
      </c>
      <c r="F73" s="128" t="s">
        <v>2059</v>
      </c>
      <c r="G73" s="128" t="s">
        <v>2060</v>
      </c>
      <c r="H73" s="128" t="s">
        <v>2061</v>
      </c>
      <c r="I73" s="128" t="s">
        <v>2062</v>
      </c>
      <c r="J73" s="128" t="s">
        <v>2063</v>
      </c>
      <c r="K73" s="128" t="s">
        <v>2064</v>
      </c>
      <c r="L73" s="128" t="s">
        <v>2065</v>
      </c>
      <c r="M73" s="128" t="s">
        <v>2066</v>
      </c>
      <c r="N73" s="128" t="s">
        <v>2067</v>
      </c>
      <c r="O73" s="128" t="s">
        <v>2068</v>
      </c>
      <c r="P73" s="128" t="s">
        <v>2069</v>
      </c>
      <c r="Q73" s="128" t="s">
        <v>2070</v>
      </c>
      <c r="R73" s="128" t="s">
        <v>2071</v>
      </c>
      <c r="S73" s="128" t="s">
        <v>2072</v>
      </c>
      <c r="T73" s="128" t="s">
        <v>2073</v>
      </c>
      <c r="U73" s="128" t="s">
        <v>2074</v>
      </c>
      <c r="V73" s="128" t="s">
        <v>2075</v>
      </c>
      <c r="W73" s="128" t="s">
        <v>2076</v>
      </c>
      <c r="X73" s="128" t="s">
        <v>2077</v>
      </c>
      <c r="Y73" s="128" t="s">
        <v>2078</v>
      </c>
      <c r="Z73" s="128" t="s">
        <v>2079</v>
      </c>
      <c r="AA73" s="128" t="s">
        <v>2080</v>
      </c>
      <c r="AB73" s="128" t="s">
        <v>2081</v>
      </c>
      <c r="AC73" s="128" t="s">
        <v>2082</v>
      </c>
      <c r="AD73" s="128" t="s">
        <v>2083</v>
      </c>
      <c r="AE73" s="128" t="s">
        <v>2084</v>
      </c>
      <c r="AF73" s="128" t="s">
        <v>2085</v>
      </c>
    </row>
    <row r="74" spans="3:32" ht="319" x14ac:dyDescent="0.35">
      <c r="C74" s="128" t="s">
        <v>2086</v>
      </c>
      <c r="E74" s="128" t="s">
        <v>2087</v>
      </c>
      <c r="F74" s="128" t="s">
        <v>2088</v>
      </c>
      <c r="G74" s="128" t="s">
        <v>2089</v>
      </c>
      <c r="H74" s="128" t="s">
        <v>2090</v>
      </c>
      <c r="I74" s="128" t="s">
        <v>2091</v>
      </c>
      <c r="J74" s="128" t="s">
        <v>2092</v>
      </c>
      <c r="K74" s="128" t="s">
        <v>2093</v>
      </c>
      <c r="L74" s="128" t="s">
        <v>2094</v>
      </c>
      <c r="M74" s="128" t="s">
        <v>2095</v>
      </c>
      <c r="N74" s="128" t="s">
        <v>2096</v>
      </c>
      <c r="O74" s="128" t="s">
        <v>2097</v>
      </c>
      <c r="P74" s="128" t="s">
        <v>2098</v>
      </c>
      <c r="Q74" s="128" t="s">
        <v>2099</v>
      </c>
      <c r="R74" s="128" t="s">
        <v>2100</v>
      </c>
      <c r="S74" s="128" t="s">
        <v>2101</v>
      </c>
      <c r="T74" s="128" t="s">
        <v>2102</v>
      </c>
      <c r="U74" s="128" t="s">
        <v>2103</v>
      </c>
      <c r="V74" s="128" t="s">
        <v>2104</v>
      </c>
      <c r="W74" s="128" t="s">
        <v>2105</v>
      </c>
      <c r="X74" s="128" t="s">
        <v>2106</v>
      </c>
      <c r="Y74" s="128" t="s">
        <v>2107</v>
      </c>
      <c r="Z74" s="128" t="s">
        <v>2108</v>
      </c>
      <c r="AA74" s="128" t="s">
        <v>2109</v>
      </c>
      <c r="AB74" s="128" t="s">
        <v>2110</v>
      </c>
      <c r="AC74" s="128" t="s">
        <v>2111</v>
      </c>
      <c r="AD74" s="128" t="s">
        <v>2112</v>
      </c>
      <c r="AE74" s="128" t="s">
        <v>2113</v>
      </c>
      <c r="AF74" s="128" t="s">
        <v>2114</v>
      </c>
    </row>
    <row r="75" spans="3:32" ht="319" x14ac:dyDescent="0.35">
      <c r="C75" s="128" t="s">
        <v>2115</v>
      </c>
      <c r="E75" s="128" t="s">
        <v>2116</v>
      </c>
      <c r="F75" s="128" t="s">
        <v>2117</v>
      </c>
      <c r="G75" s="128" t="s">
        <v>2118</v>
      </c>
      <c r="H75" s="128" t="s">
        <v>2119</v>
      </c>
      <c r="I75" s="128" t="s">
        <v>2120</v>
      </c>
      <c r="J75" s="128" t="s">
        <v>2121</v>
      </c>
      <c r="K75" s="128" t="s">
        <v>2122</v>
      </c>
      <c r="L75" s="128" t="s">
        <v>2123</v>
      </c>
      <c r="M75" s="128" t="s">
        <v>2124</v>
      </c>
      <c r="N75" s="128" t="s">
        <v>2125</v>
      </c>
      <c r="O75" s="128" t="s">
        <v>2126</v>
      </c>
      <c r="P75" s="128" t="s">
        <v>2127</v>
      </c>
      <c r="Q75" s="128" t="s">
        <v>2128</v>
      </c>
      <c r="R75" s="128" t="s">
        <v>2129</v>
      </c>
      <c r="S75" s="128" t="s">
        <v>2130</v>
      </c>
      <c r="T75" s="128" t="s">
        <v>2131</v>
      </c>
      <c r="U75" s="128" t="s">
        <v>2132</v>
      </c>
      <c r="V75" s="128" t="s">
        <v>2133</v>
      </c>
      <c r="W75" s="128" t="s">
        <v>2134</v>
      </c>
      <c r="X75" s="128" t="s">
        <v>2135</v>
      </c>
      <c r="Y75" s="128" t="s">
        <v>2136</v>
      </c>
      <c r="Z75" s="128" t="s">
        <v>2137</v>
      </c>
      <c r="AA75" s="128" t="s">
        <v>2138</v>
      </c>
      <c r="AB75" s="128" t="s">
        <v>2139</v>
      </c>
      <c r="AC75" s="128" t="s">
        <v>2140</v>
      </c>
      <c r="AD75" s="128" t="s">
        <v>2141</v>
      </c>
      <c r="AE75" s="128" t="s">
        <v>2142</v>
      </c>
      <c r="AF75" s="128" t="s">
        <v>2143</v>
      </c>
    </row>
    <row r="76" spans="3:32" ht="319" x14ac:dyDescent="0.35">
      <c r="C76" s="128" t="s">
        <v>2144</v>
      </c>
      <c r="E76" s="128" t="s">
        <v>2145</v>
      </c>
      <c r="F76" s="128" t="s">
        <v>2146</v>
      </c>
      <c r="G76" s="128" t="s">
        <v>2147</v>
      </c>
      <c r="H76" s="128" t="s">
        <v>2148</v>
      </c>
      <c r="I76" s="128" t="s">
        <v>2149</v>
      </c>
      <c r="J76" s="128" t="s">
        <v>2150</v>
      </c>
      <c r="K76" s="128" t="s">
        <v>2151</v>
      </c>
      <c r="L76" s="128" t="s">
        <v>2152</v>
      </c>
      <c r="M76" s="128" t="s">
        <v>2153</v>
      </c>
      <c r="N76" s="128" t="s">
        <v>2154</v>
      </c>
      <c r="O76" s="128" t="s">
        <v>2155</v>
      </c>
      <c r="P76" s="128" t="s">
        <v>2156</v>
      </c>
      <c r="Q76" s="128" t="s">
        <v>2157</v>
      </c>
      <c r="R76" s="128" t="s">
        <v>2158</v>
      </c>
      <c r="S76" s="128" t="s">
        <v>2159</v>
      </c>
      <c r="T76" s="128" t="s">
        <v>2160</v>
      </c>
      <c r="U76" s="128" t="s">
        <v>2161</v>
      </c>
      <c r="V76" s="128" t="s">
        <v>2162</v>
      </c>
      <c r="W76" s="128" t="s">
        <v>2163</v>
      </c>
      <c r="X76" s="128" t="s">
        <v>2164</v>
      </c>
      <c r="Y76" s="128" t="s">
        <v>2165</v>
      </c>
      <c r="Z76" s="128" t="s">
        <v>2166</v>
      </c>
      <c r="AA76" s="128" t="s">
        <v>2167</v>
      </c>
      <c r="AB76" s="128" t="s">
        <v>2168</v>
      </c>
      <c r="AC76" s="128" t="s">
        <v>2169</v>
      </c>
      <c r="AD76" s="128" t="s">
        <v>2170</v>
      </c>
      <c r="AE76" s="128" t="s">
        <v>2171</v>
      </c>
      <c r="AF76" s="128" t="s">
        <v>2172</v>
      </c>
    </row>
    <row r="77" spans="3:32" ht="319" x14ac:dyDescent="0.35">
      <c r="C77" s="128" t="s">
        <v>2173</v>
      </c>
      <c r="E77" s="128" t="s">
        <v>2174</v>
      </c>
      <c r="F77" s="128" t="s">
        <v>2175</v>
      </c>
      <c r="G77" s="128" t="s">
        <v>2176</v>
      </c>
      <c r="H77" s="128" t="s">
        <v>2177</v>
      </c>
      <c r="I77" s="128" t="s">
        <v>2178</v>
      </c>
      <c r="J77" s="128" t="s">
        <v>2179</v>
      </c>
      <c r="K77" s="128" t="s">
        <v>2180</v>
      </c>
      <c r="L77" s="128" t="s">
        <v>2181</v>
      </c>
      <c r="M77" s="128" t="s">
        <v>2182</v>
      </c>
      <c r="N77" s="128" t="s">
        <v>2183</v>
      </c>
      <c r="O77" s="128" t="s">
        <v>2184</v>
      </c>
      <c r="P77" s="128" t="s">
        <v>2185</v>
      </c>
      <c r="Q77" s="128" t="s">
        <v>2186</v>
      </c>
      <c r="R77" s="128" t="s">
        <v>2187</v>
      </c>
      <c r="S77" s="128" t="s">
        <v>2188</v>
      </c>
      <c r="T77" s="128" t="s">
        <v>2189</v>
      </c>
      <c r="U77" s="128" t="s">
        <v>2190</v>
      </c>
      <c r="V77" s="128" t="s">
        <v>2191</v>
      </c>
      <c r="W77" s="128" t="s">
        <v>2192</v>
      </c>
      <c r="X77" s="128" t="s">
        <v>2193</v>
      </c>
      <c r="Y77" s="128" t="s">
        <v>2194</v>
      </c>
      <c r="Z77" s="128" t="s">
        <v>2195</v>
      </c>
      <c r="AA77" s="128" t="s">
        <v>2196</v>
      </c>
      <c r="AB77" s="128" t="s">
        <v>2197</v>
      </c>
      <c r="AC77" s="128" t="s">
        <v>2198</v>
      </c>
      <c r="AD77" s="128" t="s">
        <v>2199</v>
      </c>
      <c r="AE77" s="128" t="s">
        <v>2200</v>
      </c>
      <c r="AF77" s="128" t="s">
        <v>2201</v>
      </c>
    </row>
    <row r="78" spans="3:32" ht="319" x14ac:dyDescent="0.35">
      <c r="C78" s="128" t="s">
        <v>2202</v>
      </c>
      <c r="E78" s="128" t="s">
        <v>2203</v>
      </c>
      <c r="F78" s="128" t="s">
        <v>2204</v>
      </c>
      <c r="G78" s="128" t="s">
        <v>2205</v>
      </c>
      <c r="H78" s="128" t="s">
        <v>2206</v>
      </c>
      <c r="I78" s="128" t="s">
        <v>2207</v>
      </c>
      <c r="J78" s="128" t="s">
        <v>2208</v>
      </c>
      <c r="K78" s="128" t="s">
        <v>2209</v>
      </c>
      <c r="L78" s="128" t="s">
        <v>2210</v>
      </c>
      <c r="M78" s="128" t="s">
        <v>2211</v>
      </c>
      <c r="N78" s="128" t="s">
        <v>2212</v>
      </c>
      <c r="O78" s="128" t="s">
        <v>2213</v>
      </c>
      <c r="P78" s="128" t="s">
        <v>2214</v>
      </c>
      <c r="Q78" s="128" t="s">
        <v>2215</v>
      </c>
      <c r="R78" s="128" t="s">
        <v>2216</v>
      </c>
      <c r="S78" s="128" t="s">
        <v>2217</v>
      </c>
      <c r="T78" s="128" t="s">
        <v>2218</v>
      </c>
      <c r="U78" s="128" t="s">
        <v>2219</v>
      </c>
      <c r="V78" s="128" t="s">
        <v>2220</v>
      </c>
      <c r="W78" s="128" t="s">
        <v>2221</v>
      </c>
      <c r="X78" s="128" t="s">
        <v>2222</v>
      </c>
      <c r="Y78" s="128" t="s">
        <v>2223</v>
      </c>
      <c r="Z78" s="128" t="s">
        <v>2224</v>
      </c>
      <c r="AA78" s="128" t="s">
        <v>2225</v>
      </c>
      <c r="AB78" s="128" t="s">
        <v>2226</v>
      </c>
      <c r="AC78" s="128" t="s">
        <v>2227</v>
      </c>
      <c r="AD78" s="128" t="s">
        <v>2228</v>
      </c>
      <c r="AE78" s="128" t="s">
        <v>2229</v>
      </c>
      <c r="AF78" s="128" t="s">
        <v>2230</v>
      </c>
    </row>
    <row r="79" spans="3:32" ht="319" x14ac:dyDescent="0.35">
      <c r="C79" s="128" t="s">
        <v>2231</v>
      </c>
      <c r="E79" s="128" t="s">
        <v>2232</v>
      </c>
      <c r="F79" s="128" t="s">
        <v>2233</v>
      </c>
      <c r="G79" s="128" t="s">
        <v>2234</v>
      </c>
      <c r="H79" s="128" t="s">
        <v>2235</v>
      </c>
      <c r="I79" s="128" t="s">
        <v>2236</v>
      </c>
      <c r="J79" s="128" t="s">
        <v>2237</v>
      </c>
      <c r="K79" s="128" t="s">
        <v>2238</v>
      </c>
      <c r="L79" s="128" t="s">
        <v>2239</v>
      </c>
      <c r="M79" s="128" t="s">
        <v>2240</v>
      </c>
      <c r="N79" s="128" t="s">
        <v>2241</v>
      </c>
      <c r="O79" s="128" t="s">
        <v>2242</v>
      </c>
      <c r="P79" s="128" t="s">
        <v>2243</v>
      </c>
      <c r="Q79" s="128" t="s">
        <v>2244</v>
      </c>
      <c r="R79" s="128" t="s">
        <v>2245</v>
      </c>
      <c r="S79" s="128" t="s">
        <v>2246</v>
      </c>
      <c r="T79" s="128" t="s">
        <v>2247</v>
      </c>
      <c r="U79" s="128" t="s">
        <v>2248</v>
      </c>
      <c r="V79" s="128" t="s">
        <v>2249</v>
      </c>
      <c r="W79" s="128" t="s">
        <v>2250</v>
      </c>
      <c r="X79" s="128" t="s">
        <v>2251</v>
      </c>
      <c r="Y79" s="128" t="s">
        <v>2252</v>
      </c>
      <c r="Z79" s="128" t="s">
        <v>2253</v>
      </c>
      <c r="AA79" s="128" t="s">
        <v>2254</v>
      </c>
      <c r="AB79" s="128" t="s">
        <v>2255</v>
      </c>
      <c r="AC79" s="128" t="s">
        <v>2256</v>
      </c>
      <c r="AD79" s="128" t="s">
        <v>2257</v>
      </c>
      <c r="AE79" s="128" t="s">
        <v>2258</v>
      </c>
      <c r="AF79" s="128" t="s">
        <v>2259</v>
      </c>
    </row>
    <row r="80" spans="3:32" ht="319" x14ac:dyDescent="0.35">
      <c r="C80" s="128" t="s">
        <v>2260</v>
      </c>
      <c r="E80" s="128" t="s">
        <v>2261</v>
      </c>
      <c r="F80" s="128" t="s">
        <v>2262</v>
      </c>
      <c r="G80" s="128" t="s">
        <v>2263</v>
      </c>
      <c r="H80" s="128" t="s">
        <v>2264</v>
      </c>
      <c r="I80" s="128" t="s">
        <v>2265</v>
      </c>
      <c r="J80" s="128" t="s">
        <v>2266</v>
      </c>
      <c r="K80" s="128" t="s">
        <v>2267</v>
      </c>
      <c r="L80" s="128" t="s">
        <v>2268</v>
      </c>
      <c r="M80" s="128" t="s">
        <v>2269</v>
      </c>
      <c r="N80" s="128" t="s">
        <v>2270</v>
      </c>
      <c r="O80" s="128" t="s">
        <v>2271</v>
      </c>
      <c r="P80" s="128" t="s">
        <v>2272</v>
      </c>
      <c r="Q80" s="128" t="s">
        <v>2273</v>
      </c>
      <c r="R80" s="128" t="s">
        <v>2274</v>
      </c>
      <c r="S80" s="128" t="s">
        <v>2275</v>
      </c>
      <c r="T80" s="128" t="s">
        <v>2276</v>
      </c>
      <c r="U80" s="128" t="s">
        <v>2277</v>
      </c>
      <c r="V80" s="128" t="s">
        <v>2278</v>
      </c>
      <c r="W80" s="128" t="s">
        <v>2279</v>
      </c>
      <c r="X80" s="128" t="s">
        <v>2280</v>
      </c>
      <c r="Y80" s="128" t="s">
        <v>2281</v>
      </c>
      <c r="Z80" s="128" t="s">
        <v>2282</v>
      </c>
      <c r="AA80" s="128" t="s">
        <v>2283</v>
      </c>
      <c r="AB80" s="128" t="s">
        <v>2284</v>
      </c>
      <c r="AC80" s="128" t="s">
        <v>2285</v>
      </c>
      <c r="AD80" s="128" t="s">
        <v>2286</v>
      </c>
      <c r="AE80" s="128" t="s">
        <v>2287</v>
      </c>
      <c r="AF80" s="128" t="s">
        <v>2288</v>
      </c>
    </row>
    <row r="81" spans="3:32" ht="319" x14ac:dyDescent="0.35">
      <c r="C81" s="128" t="s">
        <v>2289</v>
      </c>
      <c r="E81" s="128" t="s">
        <v>2290</v>
      </c>
      <c r="F81" s="128" t="s">
        <v>2291</v>
      </c>
      <c r="G81" s="128" t="s">
        <v>2292</v>
      </c>
      <c r="H81" s="128" t="s">
        <v>2293</v>
      </c>
      <c r="I81" s="128" t="s">
        <v>2294</v>
      </c>
      <c r="J81" s="128" t="s">
        <v>2295</v>
      </c>
      <c r="K81" s="128" t="s">
        <v>2296</v>
      </c>
      <c r="L81" s="128" t="s">
        <v>2297</v>
      </c>
      <c r="M81" s="128" t="s">
        <v>2298</v>
      </c>
      <c r="N81" s="128" t="s">
        <v>2299</v>
      </c>
      <c r="O81" s="128" t="s">
        <v>2300</v>
      </c>
      <c r="P81" s="128" t="s">
        <v>2301</v>
      </c>
      <c r="Q81" s="128" t="s">
        <v>2302</v>
      </c>
      <c r="R81" s="128" t="s">
        <v>2303</v>
      </c>
      <c r="S81" s="128" t="s">
        <v>2304</v>
      </c>
      <c r="T81" s="128" t="s">
        <v>2305</v>
      </c>
      <c r="U81" s="128" t="s">
        <v>2306</v>
      </c>
      <c r="V81" s="128" t="s">
        <v>2307</v>
      </c>
      <c r="W81" s="128" t="s">
        <v>2308</v>
      </c>
      <c r="X81" s="128" t="s">
        <v>2309</v>
      </c>
      <c r="Y81" s="128" t="s">
        <v>2310</v>
      </c>
      <c r="Z81" s="128" t="s">
        <v>2311</v>
      </c>
      <c r="AA81" s="128" t="s">
        <v>2312</v>
      </c>
      <c r="AB81" s="128" t="s">
        <v>2313</v>
      </c>
      <c r="AC81" s="128" t="s">
        <v>2314</v>
      </c>
      <c r="AD81" s="128" t="s">
        <v>2315</v>
      </c>
      <c r="AE81" s="128" t="s">
        <v>2316</v>
      </c>
      <c r="AF81" s="128" t="s">
        <v>2317</v>
      </c>
    </row>
    <row r="82" spans="3:32" ht="319" x14ac:dyDescent="0.35">
      <c r="C82" s="128" t="s">
        <v>2318</v>
      </c>
      <c r="E82" s="128" t="s">
        <v>2319</v>
      </c>
      <c r="F82" s="128" t="s">
        <v>2320</v>
      </c>
      <c r="G82" s="128" t="s">
        <v>2321</v>
      </c>
      <c r="H82" s="128" t="s">
        <v>2322</v>
      </c>
      <c r="I82" s="128" t="s">
        <v>2323</v>
      </c>
      <c r="J82" s="128" t="s">
        <v>2324</v>
      </c>
      <c r="K82" s="128" t="s">
        <v>2325</v>
      </c>
      <c r="L82" s="128" t="s">
        <v>2326</v>
      </c>
      <c r="M82" s="128" t="s">
        <v>2327</v>
      </c>
      <c r="N82" s="128" t="s">
        <v>2328</v>
      </c>
      <c r="O82" s="128" t="s">
        <v>2329</v>
      </c>
      <c r="P82" s="128" t="s">
        <v>2330</v>
      </c>
      <c r="Q82" s="128" t="s">
        <v>2331</v>
      </c>
      <c r="R82" s="128" t="s">
        <v>2332</v>
      </c>
      <c r="S82" s="128" t="s">
        <v>2333</v>
      </c>
      <c r="T82" s="128" t="s">
        <v>2334</v>
      </c>
      <c r="U82" s="128" t="s">
        <v>2335</v>
      </c>
      <c r="V82" s="128" t="s">
        <v>2336</v>
      </c>
      <c r="W82" s="128" t="s">
        <v>2337</v>
      </c>
      <c r="X82" s="128" t="s">
        <v>2338</v>
      </c>
      <c r="Y82" s="128" t="s">
        <v>2339</v>
      </c>
      <c r="Z82" s="128" t="s">
        <v>2340</v>
      </c>
      <c r="AA82" s="128" t="s">
        <v>2341</v>
      </c>
      <c r="AB82" s="128" t="s">
        <v>2342</v>
      </c>
      <c r="AC82" s="128" t="s">
        <v>2343</v>
      </c>
      <c r="AD82" s="128" t="s">
        <v>2344</v>
      </c>
      <c r="AE82" s="128" t="s">
        <v>2345</v>
      </c>
      <c r="AF82" s="128" t="s">
        <v>2346</v>
      </c>
    </row>
    <row r="83" spans="3:32" ht="319" x14ac:dyDescent="0.35">
      <c r="C83" s="128" t="s">
        <v>2347</v>
      </c>
      <c r="E83" s="128" t="s">
        <v>2348</v>
      </c>
      <c r="F83" s="128" t="s">
        <v>2349</v>
      </c>
      <c r="G83" s="128" t="s">
        <v>2350</v>
      </c>
      <c r="H83" s="128" t="s">
        <v>2351</v>
      </c>
      <c r="I83" s="128" t="s">
        <v>2352</v>
      </c>
      <c r="J83" s="128" t="s">
        <v>2353</v>
      </c>
      <c r="K83" s="128" t="s">
        <v>2354</v>
      </c>
      <c r="L83" s="128" t="s">
        <v>2355</v>
      </c>
      <c r="M83" s="128" t="s">
        <v>2356</v>
      </c>
      <c r="N83" s="128" t="s">
        <v>2357</v>
      </c>
      <c r="O83" s="128" t="s">
        <v>2358</v>
      </c>
      <c r="P83" s="128" t="s">
        <v>2359</v>
      </c>
      <c r="Q83" s="128" t="s">
        <v>2360</v>
      </c>
      <c r="R83" s="128" t="s">
        <v>2361</v>
      </c>
      <c r="S83" s="128" t="s">
        <v>2362</v>
      </c>
      <c r="T83" s="128" t="s">
        <v>2363</v>
      </c>
      <c r="U83" s="128" t="s">
        <v>2364</v>
      </c>
      <c r="V83" s="128" t="s">
        <v>2365</v>
      </c>
      <c r="W83" s="128" t="s">
        <v>2366</v>
      </c>
      <c r="X83" s="128" t="s">
        <v>2367</v>
      </c>
      <c r="Y83" s="128" t="s">
        <v>2368</v>
      </c>
      <c r="Z83" s="128" t="s">
        <v>2369</v>
      </c>
      <c r="AA83" s="128" t="s">
        <v>2370</v>
      </c>
      <c r="AB83" s="128" t="s">
        <v>2371</v>
      </c>
      <c r="AC83" s="128" t="s">
        <v>2372</v>
      </c>
      <c r="AD83" s="128" t="s">
        <v>2373</v>
      </c>
      <c r="AE83" s="128" t="s">
        <v>2374</v>
      </c>
      <c r="AF83" s="128" t="s">
        <v>2375</v>
      </c>
    </row>
    <row r="84" spans="3:32" ht="319" x14ac:dyDescent="0.35">
      <c r="C84" s="128" t="s">
        <v>2376</v>
      </c>
      <c r="E84" s="128" t="s">
        <v>2377</v>
      </c>
      <c r="F84" s="128" t="s">
        <v>2378</v>
      </c>
      <c r="G84" s="128" t="s">
        <v>2379</v>
      </c>
      <c r="H84" s="128" t="s">
        <v>2380</v>
      </c>
      <c r="I84" s="128" t="s">
        <v>2381</v>
      </c>
      <c r="J84" s="128" t="s">
        <v>2382</v>
      </c>
      <c r="K84" s="128" t="s">
        <v>2383</v>
      </c>
      <c r="L84" s="128" t="s">
        <v>2384</v>
      </c>
      <c r="M84" s="128" t="s">
        <v>2385</v>
      </c>
      <c r="N84" s="128" t="s">
        <v>2386</v>
      </c>
      <c r="O84" s="128" t="s">
        <v>2387</v>
      </c>
      <c r="P84" s="128" t="s">
        <v>2388</v>
      </c>
      <c r="Q84" s="128" t="s">
        <v>2389</v>
      </c>
      <c r="R84" s="128" t="s">
        <v>2390</v>
      </c>
      <c r="S84" s="128" t="s">
        <v>2391</v>
      </c>
      <c r="T84" s="128" t="s">
        <v>2392</v>
      </c>
      <c r="U84" s="128" t="s">
        <v>2393</v>
      </c>
      <c r="V84" s="128" t="s">
        <v>2394</v>
      </c>
      <c r="W84" s="128" t="s">
        <v>2395</v>
      </c>
      <c r="X84" s="128" t="s">
        <v>2396</v>
      </c>
      <c r="Y84" s="128" t="s">
        <v>2397</v>
      </c>
      <c r="Z84" s="128" t="s">
        <v>2398</v>
      </c>
      <c r="AA84" s="128" t="s">
        <v>2399</v>
      </c>
      <c r="AB84" s="128" t="s">
        <v>2400</v>
      </c>
      <c r="AC84" s="128" t="s">
        <v>2401</v>
      </c>
      <c r="AD84" s="128" t="s">
        <v>2402</v>
      </c>
      <c r="AE84" s="128" t="s">
        <v>2403</v>
      </c>
      <c r="AF84" s="128" t="s">
        <v>2404</v>
      </c>
    </row>
    <row r="85" spans="3:32" ht="319" x14ac:dyDescent="0.35">
      <c r="C85" s="128" t="s">
        <v>2405</v>
      </c>
      <c r="E85" s="128" t="s">
        <v>2406</v>
      </c>
      <c r="F85" s="128" t="s">
        <v>2407</v>
      </c>
      <c r="G85" s="128" t="s">
        <v>2408</v>
      </c>
      <c r="H85" s="128" t="s">
        <v>2409</v>
      </c>
      <c r="I85" s="128" t="s">
        <v>2410</v>
      </c>
      <c r="J85" s="128" t="s">
        <v>2411</v>
      </c>
      <c r="K85" s="128" t="s">
        <v>2412</v>
      </c>
      <c r="L85" s="128" t="s">
        <v>2413</v>
      </c>
      <c r="M85" s="128" t="s">
        <v>2414</v>
      </c>
      <c r="N85" s="128" t="s">
        <v>2415</v>
      </c>
      <c r="O85" s="128" t="s">
        <v>2416</v>
      </c>
      <c r="P85" s="128" t="s">
        <v>2417</v>
      </c>
      <c r="Q85" s="128" t="s">
        <v>2418</v>
      </c>
      <c r="R85" s="128" t="s">
        <v>2419</v>
      </c>
      <c r="S85" s="128" t="s">
        <v>2420</v>
      </c>
      <c r="T85" s="128" t="s">
        <v>2421</v>
      </c>
      <c r="U85" s="128" t="s">
        <v>2422</v>
      </c>
      <c r="V85" s="128" t="s">
        <v>2423</v>
      </c>
      <c r="W85" s="128" t="s">
        <v>2424</v>
      </c>
      <c r="X85" s="128" t="s">
        <v>2425</v>
      </c>
      <c r="Y85" s="128" t="s">
        <v>2426</v>
      </c>
      <c r="Z85" s="128" t="s">
        <v>2427</v>
      </c>
      <c r="AA85" s="128" t="s">
        <v>2428</v>
      </c>
      <c r="AB85" s="128" t="s">
        <v>2429</v>
      </c>
      <c r="AC85" s="128" t="s">
        <v>2430</v>
      </c>
      <c r="AD85" s="128" t="s">
        <v>2431</v>
      </c>
      <c r="AE85" s="128" t="s">
        <v>2432</v>
      </c>
      <c r="AF85" s="128" t="s">
        <v>2433</v>
      </c>
    </row>
    <row r="86" spans="3:32" ht="319" x14ac:dyDescent="0.35">
      <c r="C86" s="128" t="s">
        <v>2434</v>
      </c>
      <c r="E86" s="128" t="s">
        <v>2435</v>
      </c>
      <c r="F86" s="128" t="s">
        <v>2436</v>
      </c>
      <c r="G86" s="128" t="s">
        <v>2437</v>
      </c>
      <c r="H86" s="128" t="s">
        <v>2438</v>
      </c>
      <c r="I86" s="128" t="s">
        <v>2439</v>
      </c>
      <c r="J86" s="128" t="s">
        <v>2440</v>
      </c>
      <c r="K86" s="128" t="s">
        <v>2441</v>
      </c>
      <c r="L86" s="128" t="s">
        <v>2442</v>
      </c>
      <c r="M86" s="128" t="s">
        <v>2443</v>
      </c>
      <c r="N86" s="128" t="s">
        <v>2444</v>
      </c>
      <c r="O86" s="128" t="s">
        <v>2445</v>
      </c>
      <c r="P86" s="128" t="s">
        <v>2446</v>
      </c>
      <c r="Q86" s="128" t="s">
        <v>2447</v>
      </c>
      <c r="R86" s="128" t="s">
        <v>2448</v>
      </c>
      <c r="S86" s="128" t="s">
        <v>2449</v>
      </c>
      <c r="T86" s="128" t="s">
        <v>2450</v>
      </c>
      <c r="U86" s="128" t="s">
        <v>2451</v>
      </c>
      <c r="V86" s="128" t="s">
        <v>2452</v>
      </c>
      <c r="W86" s="128" t="s">
        <v>2453</v>
      </c>
      <c r="X86" s="128" t="s">
        <v>2454</v>
      </c>
      <c r="Y86" s="128" t="s">
        <v>2455</v>
      </c>
      <c r="Z86" s="128" t="s">
        <v>2456</v>
      </c>
      <c r="AA86" s="128" t="s">
        <v>2457</v>
      </c>
      <c r="AB86" s="128" t="s">
        <v>2458</v>
      </c>
      <c r="AC86" s="128" t="s">
        <v>2459</v>
      </c>
      <c r="AD86" s="128" t="s">
        <v>2460</v>
      </c>
      <c r="AE86" s="128" t="s">
        <v>2461</v>
      </c>
      <c r="AF86" s="128" t="s">
        <v>2462</v>
      </c>
    </row>
    <row r="87" spans="3:32" ht="319" x14ac:dyDescent="0.35">
      <c r="C87" s="128" t="s">
        <v>2463</v>
      </c>
      <c r="E87" s="128" t="s">
        <v>2464</v>
      </c>
      <c r="F87" s="128" t="s">
        <v>2465</v>
      </c>
      <c r="G87" s="128" t="s">
        <v>2466</v>
      </c>
      <c r="H87" s="128" t="s">
        <v>2467</v>
      </c>
      <c r="I87" s="128" t="s">
        <v>2468</v>
      </c>
      <c r="J87" s="128" t="s">
        <v>2469</v>
      </c>
      <c r="K87" s="128" t="s">
        <v>2470</v>
      </c>
      <c r="L87" s="128" t="s">
        <v>2471</v>
      </c>
      <c r="M87" s="128" t="s">
        <v>2472</v>
      </c>
      <c r="N87" s="128" t="s">
        <v>2473</v>
      </c>
      <c r="O87" s="128" t="s">
        <v>2474</v>
      </c>
      <c r="P87" s="128" t="s">
        <v>2475</v>
      </c>
      <c r="Q87" s="128" t="s">
        <v>2476</v>
      </c>
      <c r="R87" s="128" t="s">
        <v>2477</v>
      </c>
      <c r="S87" s="128" t="s">
        <v>2478</v>
      </c>
      <c r="T87" s="128" t="s">
        <v>2479</v>
      </c>
      <c r="U87" s="128" t="s">
        <v>2480</v>
      </c>
      <c r="V87" s="128" t="s">
        <v>2481</v>
      </c>
      <c r="W87" s="128" t="s">
        <v>2482</v>
      </c>
      <c r="X87" s="128" t="s">
        <v>2483</v>
      </c>
      <c r="Y87" s="128" t="s">
        <v>2484</v>
      </c>
      <c r="Z87" s="128" t="s">
        <v>2485</v>
      </c>
      <c r="AA87" s="128" t="s">
        <v>2486</v>
      </c>
      <c r="AB87" s="128" t="s">
        <v>2487</v>
      </c>
      <c r="AC87" s="128" t="s">
        <v>2488</v>
      </c>
      <c r="AD87" s="128" t="s">
        <v>2489</v>
      </c>
      <c r="AE87" s="128" t="s">
        <v>2490</v>
      </c>
      <c r="AF87" s="128" t="s">
        <v>2491</v>
      </c>
    </row>
    <row r="88" spans="3:32" ht="319" x14ac:dyDescent="0.35">
      <c r="C88" s="128" t="s">
        <v>2492</v>
      </c>
      <c r="E88" s="128" t="s">
        <v>2493</v>
      </c>
      <c r="F88" s="128" t="s">
        <v>2494</v>
      </c>
      <c r="G88" s="128" t="s">
        <v>2495</v>
      </c>
      <c r="H88" s="128" t="s">
        <v>2496</v>
      </c>
      <c r="I88" s="128" t="s">
        <v>2497</v>
      </c>
      <c r="J88" s="128" t="s">
        <v>2498</v>
      </c>
      <c r="K88" s="128" t="s">
        <v>2499</v>
      </c>
      <c r="L88" s="128" t="s">
        <v>2500</v>
      </c>
      <c r="M88" s="128" t="s">
        <v>2501</v>
      </c>
      <c r="N88" s="128" t="s">
        <v>2502</v>
      </c>
      <c r="O88" s="128" t="s">
        <v>2503</v>
      </c>
      <c r="P88" s="128" t="s">
        <v>2504</v>
      </c>
      <c r="Q88" s="128" t="s">
        <v>2505</v>
      </c>
      <c r="R88" s="128" t="s">
        <v>2506</v>
      </c>
      <c r="S88" s="128" t="s">
        <v>2507</v>
      </c>
      <c r="T88" s="128" t="s">
        <v>2508</v>
      </c>
      <c r="U88" s="128" t="s">
        <v>2509</v>
      </c>
      <c r="V88" s="128" t="s">
        <v>2510</v>
      </c>
      <c r="W88" s="128" t="s">
        <v>2511</v>
      </c>
      <c r="X88" s="128" t="s">
        <v>2512</v>
      </c>
      <c r="Y88" s="128" t="s">
        <v>2513</v>
      </c>
      <c r="Z88" s="128" t="s">
        <v>2514</v>
      </c>
      <c r="AA88" s="128" t="s">
        <v>2515</v>
      </c>
      <c r="AB88" s="128" t="s">
        <v>2516</v>
      </c>
      <c r="AC88" s="128" t="s">
        <v>2517</v>
      </c>
      <c r="AD88" s="128" t="s">
        <v>2518</v>
      </c>
      <c r="AE88" s="128" t="s">
        <v>2519</v>
      </c>
      <c r="AF88" s="128" t="s">
        <v>2520</v>
      </c>
    </row>
    <row r="89" spans="3:32" ht="319" x14ac:dyDescent="0.35">
      <c r="C89" s="128" t="s">
        <v>2521</v>
      </c>
      <c r="E89" s="128" t="s">
        <v>2522</v>
      </c>
      <c r="F89" s="128" t="s">
        <v>2523</v>
      </c>
      <c r="G89" s="128" t="s">
        <v>2524</v>
      </c>
      <c r="H89" s="128" t="s">
        <v>2525</v>
      </c>
      <c r="I89" s="128" t="s">
        <v>2526</v>
      </c>
      <c r="J89" s="128" t="s">
        <v>2527</v>
      </c>
      <c r="K89" s="128" t="s">
        <v>2528</v>
      </c>
      <c r="L89" s="128" t="s">
        <v>2529</v>
      </c>
      <c r="M89" s="128" t="s">
        <v>2530</v>
      </c>
      <c r="N89" s="128" t="s">
        <v>2531</v>
      </c>
      <c r="O89" s="128" t="s">
        <v>2532</v>
      </c>
      <c r="P89" s="128" t="s">
        <v>2533</v>
      </c>
      <c r="Q89" s="128" t="s">
        <v>2534</v>
      </c>
      <c r="R89" s="128" t="s">
        <v>2535</v>
      </c>
      <c r="S89" s="128" t="s">
        <v>2536</v>
      </c>
      <c r="T89" s="128" t="s">
        <v>2537</v>
      </c>
      <c r="U89" s="128" t="s">
        <v>2538</v>
      </c>
      <c r="V89" s="128" t="s">
        <v>2539</v>
      </c>
      <c r="W89" s="128" t="s">
        <v>2540</v>
      </c>
      <c r="X89" s="128" t="s">
        <v>2541</v>
      </c>
      <c r="Y89" s="128" t="s">
        <v>2542</v>
      </c>
      <c r="Z89" s="128" t="s">
        <v>2543</v>
      </c>
      <c r="AA89" s="128" t="s">
        <v>2544</v>
      </c>
      <c r="AB89" s="128" t="s">
        <v>2545</v>
      </c>
      <c r="AC89" s="128" t="s">
        <v>2546</v>
      </c>
      <c r="AD89" s="128" t="s">
        <v>2547</v>
      </c>
      <c r="AE89" s="128" t="s">
        <v>2548</v>
      </c>
      <c r="AF89" s="128" t="s">
        <v>2549</v>
      </c>
    </row>
    <row r="90" spans="3:32" ht="319" x14ac:dyDescent="0.35">
      <c r="C90" s="128" t="s">
        <v>2550</v>
      </c>
      <c r="E90" s="128" t="s">
        <v>2551</v>
      </c>
      <c r="F90" s="128" t="s">
        <v>2552</v>
      </c>
      <c r="G90" s="128" t="s">
        <v>2553</v>
      </c>
      <c r="H90" s="128" t="s">
        <v>2554</v>
      </c>
      <c r="I90" s="128" t="s">
        <v>2555</v>
      </c>
      <c r="J90" s="128" t="s">
        <v>2556</v>
      </c>
      <c r="K90" s="128" t="s">
        <v>2557</v>
      </c>
      <c r="L90" s="128" t="s">
        <v>2558</v>
      </c>
      <c r="M90" s="128" t="s">
        <v>2559</v>
      </c>
      <c r="N90" s="128" t="s">
        <v>2560</v>
      </c>
      <c r="O90" s="128" t="s">
        <v>2561</v>
      </c>
      <c r="P90" s="128" t="s">
        <v>2562</v>
      </c>
      <c r="Q90" s="128" t="s">
        <v>2563</v>
      </c>
      <c r="R90" s="128" t="s">
        <v>2564</v>
      </c>
      <c r="S90" s="128" t="s">
        <v>2565</v>
      </c>
      <c r="T90" s="128" t="s">
        <v>2566</v>
      </c>
      <c r="U90" s="128" t="s">
        <v>2567</v>
      </c>
      <c r="V90" s="128" t="s">
        <v>2568</v>
      </c>
      <c r="W90" s="128" t="s">
        <v>2569</v>
      </c>
      <c r="X90" s="128" t="s">
        <v>2570</v>
      </c>
      <c r="Y90" s="128" t="s">
        <v>2571</v>
      </c>
      <c r="Z90" s="128" t="s">
        <v>2572</v>
      </c>
      <c r="AA90" s="128" t="s">
        <v>2573</v>
      </c>
      <c r="AB90" s="128" t="s">
        <v>2574</v>
      </c>
      <c r="AC90" s="128" t="s">
        <v>2575</v>
      </c>
      <c r="AD90" s="128" t="s">
        <v>2576</v>
      </c>
      <c r="AE90" s="128" t="s">
        <v>2577</v>
      </c>
      <c r="AF90" s="128" t="s">
        <v>2578</v>
      </c>
    </row>
    <row r="91" spans="3:32" ht="319" x14ac:dyDescent="0.35">
      <c r="C91" s="128" t="s">
        <v>2579</v>
      </c>
      <c r="E91" s="128" t="s">
        <v>2580</v>
      </c>
      <c r="F91" s="128" t="s">
        <v>2581</v>
      </c>
      <c r="G91" s="128" t="s">
        <v>2582</v>
      </c>
      <c r="H91" s="128" t="s">
        <v>2583</v>
      </c>
      <c r="I91" s="128" t="s">
        <v>2584</v>
      </c>
      <c r="J91" s="128" t="s">
        <v>2585</v>
      </c>
      <c r="K91" s="128" t="s">
        <v>2586</v>
      </c>
      <c r="L91" s="128" t="s">
        <v>2587</v>
      </c>
      <c r="M91" s="128" t="s">
        <v>2588</v>
      </c>
      <c r="N91" s="128" t="s">
        <v>2589</v>
      </c>
      <c r="O91" s="128" t="s">
        <v>2590</v>
      </c>
      <c r="P91" s="128" t="s">
        <v>2591</v>
      </c>
      <c r="Q91" s="128" t="s">
        <v>2592</v>
      </c>
      <c r="R91" s="128" t="s">
        <v>2593</v>
      </c>
      <c r="S91" s="128" t="s">
        <v>2594</v>
      </c>
      <c r="T91" s="128" t="s">
        <v>2595</v>
      </c>
      <c r="U91" s="128" t="s">
        <v>2596</v>
      </c>
      <c r="V91" s="128" t="s">
        <v>2597</v>
      </c>
      <c r="W91" s="128" t="s">
        <v>2598</v>
      </c>
      <c r="X91" s="128" t="s">
        <v>2599</v>
      </c>
      <c r="Y91" s="128" t="s">
        <v>2600</v>
      </c>
      <c r="Z91" s="128" t="s">
        <v>2601</v>
      </c>
      <c r="AA91" s="128" t="s">
        <v>2602</v>
      </c>
      <c r="AB91" s="128" t="s">
        <v>2603</v>
      </c>
      <c r="AC91" s="128" t="s">
        <v>2604</v>
      </c>
      <c r="AD91" s="128" t="s">
        <v>2605</v>
      </c>
      <c r="AE91" s="128" t="s">
        <v>2606</v>
      </c>
      <c r="AF91" s="128" t="s">
        <v>2607</v>
      </c>
    </row>
    <row r="92" spans="3:32" ht="319" x14ac:dyDescent="0.35">
      <c r="C92" s="128" t="s">
        <v>2608</v>
      </c>
      <c r="E92" s="128" t="s">
        <v>2609</v>
      </c>
      <c r="F92" s="128" t="s">
        <v>2610</v>
      </c>
      <c r="G92" s="128" t="s">
        <v>2611</v>
      </c>
      <c r="H92" s="128" t="s">
        <v>2612</v>
      </c>
      <c r="I92" s="128" t="s">
        <v>2613</v>
      </c>
      <c r="J92" s="128" t="s">
        <v>2614</v>
      </c>
      <c r="K92" s="128" t="s">
        <v>2615</v>
      </c>
      <c r="L92" s="128" t="s">
        <v>2616</v>
      </c>
      <c r="M92" s="128" t="s">
        <v>2617</v>
      </c>
      <c r="N92" s="128" t="s">
        <v>2618</v>
      </c>
      <c r="O92" s="128" t="s">
        <v>2619</v>
      </c>
      <c r="P92" s="128" t="s">
        <v>2620</v>
      </c>
      <c r="Q92" s="128" t="s">
        <v>2621</v>
      </c>
      <c r="R92" s="128" t="s">
        <v>2622</v>
      </c>
      <c r="S92" s="128" t="s">
        <v>2623</v>
      </c>
      <c r="T92" s="128" t="s">
        <v>2624</v>
      </c>
      <c r="U92" s="128" t="s">
        <v>2625</v>
      </c>
      <c r="V92" s="128" t="s">
        <v>2626</v>
      </c>
      <c r="W92" s="128" t="s">
        <v>2627</v>
      </c>
      <c r="X92" s="128" t="s">
        <v>2628</v>
      </c>
      <c r="Y92" s="128" t="s">
        <v>2629</v>
      </c>
      <c r="Z92" s="128" t="s">
        <v>2630</v>
      </c>
      <c r="AA92" s="128" t="s">
        <v>2631</v>
      </c>
      <c r="AB92" s="128" t="s">
        <v>2632</v>
      </c>
      <c r="AC92" s="128" t="s">
        <v>2633</v>
      </c>
      <c r="AD92" s="128" t="s">
        <v>2634</v>
      </c>
      <c r="AE92" s="128" t="s">
        <v>2635</v>
      </c>
      <c r="AF92" s="128" t="s">
        <v>2636</v>
      </c>
    </row>
    <row r="93" spans="3:32" ht="319" x14ac:dyDescent="0.35">
      <c r="C93" s="128" t="s">
        <v>2637</v>
      </c>
      <c r="E93" s="128" t="s">
        <v>2638</v>
      </c>
      <c r="F93" s="128" t="s">
        <v>2639</v>
      </c>
      <c r="G93" s="128" t="s">
        <v>2640</v>
      </c>
      <c r="H93" s="128" t="s">
        <v>2641</v>
      </c>
      <c r="I93" s="128" t="s">
        <v>2642</v>
      </c>
      <c r="J93" s="128" t="s">
        <v>2643</v>
      </c>
      <c r="K93" s="128" t="s">
        <v>2644</v>
      </c>
      <c r="L93" s="128" t="s">
        <v>2645</v>
      </c>
      <c r="M93" s="128" t="s">
        <v>2646</v>
      </c>
      <c r="N93" s="128" t="s">
        <v>2647</v>
      </c>
      <c r="O93" s="128" t="s">
        <v>2648</v>
      </c>
      <c r="P93" s="128" t="s">
        <v>2649</v>
      </c>
      <c r="Q93" s="128" t="s">
        <v>2650</v>
      </c>
      <c r="R93" s="128" t="s">
        <v>2651</v>
      </c>
      <c r="S93" s="128" t="s">
        <v>2652</v>
      </c>
      <c r="T93" s="128" t="s">
        <v>2653</v>
      </c>
      <c r="U93" s="128" t="s">
        <v>2654</v>
      </c>
      <c r="V93" s="128" t="s">
        <v>2655</v>
      </c>
      <c r="W93" s="128" t="s">
        <v>2656</v>
      </c>
      <c r="X93" s="128" t="s">
        <v>2657</v>
      </c>
      <c r="Y93" s="128" t="s">
        <v>2658</v>
      </c>
      <c r="Z93" s="128" t="s">
        <v>2659</v>
      </c>
      <c r="AA93" s="128" t="s">
        <v>2660</v>
      </c>
      <c r="AB93" s="128" t="s">
        <v>2661</v>
      </c>
      <c r="AC93" s="128" t="s">
        <v>2662</v>
      </c>
      <c r="AD93" s="128" t="s">
        <v>2663</v>
      </c>
      <c r="AE93" s="128" t="s">
        <v>2664</v>
      </c>
      <c r="AF93" s="128" t="s">
        <v>2665</v>
      </c>
    </row>
    <row r="94" spans="3:32" ht="319" x14ac:dyDescent="0.35">
      <c r="C94" s="128" t="s">
        <v>2666</v>
      </c>
      <c r="E94" s="128" t="s">
        <v>2667</v>
      </c>
      <c r="F94" s="128" t="s">
        <v>2668</v>
      </c>
      <c r="G94" s="128" t="s">
        <v>2669</v>
      </c>
      <c r="H94" s="128" t="s">
        <v>2670</v>
      </c>
      <c r="I94" s="128" t="s">
        <v>2671</v>
      </c>
      <c r="J94" s="128" t="s">
        <v>2672</v>
      </c>
      <c r="K94" s="128" t="s">
        <v>2673</v>
      </c>
      <c r="L94" s="128" t="s">
        <v>2674</v>
      </c>
      <c r="M94" s="128" t="s">
        <v>2675</v>
      </c>
      <c r="N94" s="128" t="s">
        <v>2676</v>
      </c>
      <c r="O94" s="128" t="s">
        <v>2677</v>
      </c>
      <c r="P94" s="128" t="s">
        <v>2678</v>
      </c>
      <c r="Q94" s="128" t="s">
        <v>2679</v>
      </c>
      <c r="R94" s="128" t="s">
        <v>2680</v>
      </c>
      <c r="S94" s="128" t="s">
        <v>2681</v>
      </c>
      <c r="T94" s="128" t="s">
        <v>2682</v>
      </c>
      <c r="U94" s="128" t="s">
        <v>2683</v>
      </c>
      <c r="V94" s="128" t="s">
        <v>2684</v>
      </c>
      <c r="W94" s="128" t="s">
        <v>2685</v>
      </c>
      <c r="X94" s="128" t="s">
        <v>2686</v>
      </c>
      <c r="Y94" s="128" t="s">
        <v>2687</v>
      </c>
      <c r="Z94" s="128" t="s">
        <v>2688</v>
      </c>
      <c r="AA94" s="128" t="s">
        <v>2689</v>
      </c>
      <c r="AB94" s="128" t="s">
        <v>2690</v>
      </c>
      <c r="AC94" s="128" t="s">
        <v>2691</v>
      </c>
      <c r="AD94" s="128" t="s">
        <v>2692</v>
      </c>
      <c r="AE94" s="128" t="s">
        <v>2693</v>
      </c>
      <c r="AF94" s="128" t="s">
        <v>2694</v>
      </c>
    </row>
    <row r="95" spans="3:32" ht="319" x14ac:dyDescent="0.35">
      <c r="C95" s="128" t="s">
        <v>2695</v>
      </c>
      <c r="E95" s="128" t="s">
        <v>2696</v>
      </c>
      <c r="F95" s="128" t="s">
        <v>2697</v>
      </c>
      <c r="G95" s="128" t="s">
        <v>2698</v>
      </c>
      <c r="H95" s="128" t="s">
        <v>2699</v>
      </c>
      <c r="I95" s="128" t="s">
        <v>2700</v>
      </c>
      <c r="J95" s="128" t="s">
        <v>2701</v>
      </c>
      <c r="K95" s="128" t="s">
        <v>2702</v>
      </c>
      <c r="L95" s="128" t="s">
        <v>2703</v>
      </c>
      <c r="M95" s="128" t="s">
        <v>2704</v>
      </c>
      <c r="N95" s="128" t="s">
        <v>2705</v>
      </c>
      <c r="O95" s="128" t="s">
        <v>2706</v>
      </c>
      <c r="P95" s="128" t="s">
        <v>2707</v>
      </c>
      <c r="Q95" s="128" t="s">
        <v>2708</v>
      </c>
      <c r="R95" s="128" t="s">
        <v>2709</v>
      </c>
      <c r="S95" s="128" t="s">
        <v>2710</v>
      </c>
      <c r="T95" s="128" t="s">
        <v>2711</v>
      </c>
      <c r="U95" s="128" t="s">
        <v>2712</v>
      </c>
      <c r="V95" s="128" t="s">
        <v>2713</v>
      </c>
      <c r="W95" s="128" t="s">
        <v>2714</v>
      </c>
      <c r="X95" s="128" t="s">
        <v>2715</v>
      </c>
      <c r="Y95" s="128" t="s">
        <v>2716</v>
      </c>
      <c r="Z95" s="128" t="s">
        <v>2717</v>
      </c>
      <c r="AA95" s="128" t="s">
        <v>2718</v>
      </c>
      <c r="AB95" s="128" t="s">
        <v>2719</v>
      </c>
      <c r="AC95" s="128" t="s">
        <v>2720</v>
      </c>
      <c r="AD95" s="128" t="s">
        <v>2721</v>
      </c>
      <c r="AE95" s="128" t="s">
        <v>2722</v>
      </c>
      <c r="AF95" s="128" t="s">
        <v>2723</v>
      </c>
    </row>
    <row r="96" spans="3:32" ht="319" x14ac:dyDescent="0.35">
      <c r="C96" s="128" t="s">
        <v>2724</v>
      </c>
      <c r="E96" s="128" t="s">
        <v>2725</v>
      </c>
      <c r="F96" s="128" t="s">
        <v>2726</v>
      </c>
      <c r="G96" s="128" t="s">
        <v>2727</v>
      </c>
      <c r="H96" s="128" t="s">
        <v>2728</v>
      </c>
      <c r="I96" s="128" t="s">
        <v>2729</v>
      </c>
      <c r="J96" s="128" t="s">
        <v>2730</v>
      </c>
      <c r="K96" s="128" t="s">
        <v>2731</v>
      </c>
      <c r="L96" s="128" t="s">
        <v>2732</v>
      </c>
      <c r="M96" s="128" t="s">
        <v>2733</v>
      </c>
      <c r="N96" s="128" t="s">
        <v>2734</v>
      </c>
      <c r="O96" s="128" t="s">
        <v>2735</v>
      </c>
      <c r="P96" s="128" t="s">
        <v>2736</v>
      </c>
      <c r="Q96" s="128" t="s">
        <v>2737</v>
      </c>
      <c r="R96" s="128" t="s">
        <v>2738</v>
      </c>
      <c r="S96" s="128" t="s">
        <v>2739</v>
      </c>
      <c r="T96" s="128" t="s">
        <v>2740</v>
      </c>
      <c r="U96" s="128" t="s">
        <v>2741</v>
      </c>
      <c r="V96" s="128" t="s">
        <v>2742</v>
      </c>
      <c r="W96" s="128" t="s">
        <v>2743</v>
      </c>
      <c r="X96" s="128" t="s">
        <v>2744</v>
      </c>
      <c r="Y96" s="128" t="s">
        <v>2745</v>
      </c>
      <c r="Z96" s="128" t="s">
        <v>2746</v>
      </c>
      <c r="AA96" s="128" t="s">
        <v>2747</v>
      </c>
      <c r="AB96" s="128" t="s">
        <v>2748</v>
      </c>
      <c r="AC96" s="128" t="s">
        <v>2749</v>
      </c>
      <c r="AD96" s="128" t="s">
        <v>2750</v>
      </c>
      <c r="AE96" s="128" t="s">
        <v>2751</v>
      </c>
      <c r="AF96" s="128" t="s">
        <v>2752</v>
      </c>
    </row>
    <row r="97" spans="3:32" ht="319" x14ac:dyDescent="0.35">
      <c r="C97" s="128" t="s">
        <v>2753</v>
      </c>
      <c r="E97" s="128" t="s">
        <v>2754</v>
      </c>
      <c r="F97" s="128" t="s">
        <v>2755</v>
      </c>
      <c r="G97" s="128" t="s">
        <v>2756</v>
      </c>
      <c r="H97" s="128" t="s">
        <v>2757</v>
      </c>
      <c r="I97" s="128" t="s">
        <v>2758</v>
      </c>
      <c r="J97" s="128" t="s">
        <v>2759</v>
      </c>
      <c r="K97" s="128" t="s">
        <v>2760</v>
      </c>
      <c r="L97" s="128" t="s">
        <v>2761</v>
      </c>
      <c r="M97" s="128" t="s">
        <v>2762</v>
      </c>
      <c r="N97" s="128" t="s">
        <v>2763</v>
      </c>
      <c r="O97" s="128" t="s">
        <v>2764</v>
      </c>
      <c r="P97" s="128" t="s">
        <v>2765</v>
      </c>
      <c r="Q97" s="128" t="s">
        <v>2766</v>
      </c>
      <c r="R97" s="128" t="s">
        <v>2767</v>
      </c>
      <c r="S97" s="128" t="s">
        <v>2768</v>
      </c>
      <c r="T97" s="128" t="s">
        <v>2769</v>
      </c>
      <c r="U97" s="128" t="s">
        <v>2770</v>
      </c>
      <c r="V97" s="128" t="s">
        <v>2771</v>
      </c>
      <c r="W97" s="128" t="s">
        <v>2772</v>
      </c>
      <c r="X97" s="128" t="s">
        <v>2773</v>
      </c>
      <c r="Y97" s="128" t="s">
        <v>2774</v>
      </c>
      <c r="Z97" s="128" t="s">
        <v>2775</v>
      </c>
      <c r="AA97" s="128" t="s">
        <v>2776</v>
      </c>
      <c r="AB97" s="128" t="s">
        <v>2777</v>
      </c>
      <c r="AC97" s="128" t="s">
        <v>2778</v>
      </c>
      <c r="AD97" s="128" t="s">
        <v>2779</v>
      </c>
      <c r="AE97" s="128" t="s">
        <v>2780</v>
      </c>
      <c r="AF97" s="128" t="s">
        <v>2781</v>
      </c>
    </row>
    <row r="98" spans="3:32" ht="319" x14ac:dyDescent="0.35">
      <c r="C98" s="128" t="s">
        <v>2782</v>
      </c>
      <c r="E98" s="128" t="s">
        <v>2783</v>
      </c>
      <c r="F98" s="128" t="s">
        <v>2784</v>
      </c>
      <c r="G98" s="128" t="s">
        <v>2785</v>
      </c>
      <c r="H98" s="128" t="s">
        <v>2786</v>
      </c>
      <c r="I98" s="128" t="s">
        <v>2787</v>
      </c>
      <c r="J98" s="128" t="s">
        <v>2788</v>
      </c>
      <c r="K98" s="128" t="s">
        <v>2789</v>
      </c>
      <c r="L98" s="128" t="s">
        <v>2790</v>
      </c>
      <c r="M98" s="128" t="s">
        <v>2791</v>
      </c>
      <c r="N98" s="128" t="s">
        <v>2792</v>
      </c>
      <c r="O98" s="128" t="s">
        <v>2793</v>
      </c>
      <c r="P98" s="128" t="s">
        <v>2794</v>
      </c>
      <c r="Q98" s="128" t="s">
        <v>2795</v>
      </c>
      <c r="R98" s="128" t="s">
        <v>2796</v>
      </c>
      <c r="S98" s="128" t="s">
        <v>2797</v>
      </c>
      <c r="T98" s="128" t="s">
        <v>2798</v>
      </c>
      <c r="U98" s="128" t="s">
        <v>2799</v>
      </c>
      <c r="V98" s="128" t="s">
        <v>2800</v>
      </c>
      <c r="W98" s="128" t="s">
        <v>2801</v>
      </c>
      <c r="X98" s="128" t="s">
        <v>2802</v>
      </c>
      <c r="Y98" s="128" t="s">
        <v>2803</v>
      </c>
      <c r="Z98" s="128" t="s">
        <v>2804</v>
      </c>
      <c r="AA98" s="128" t="s">
        <v>2805</v>
      </c>
      <c r="AB98" s="128" t="s">
        <v>2806</v>
      </c>
      <c r="AC98" s="128" t="s">
        <v>2807</v>
      </c>
      <c r="AD98" s="128" t="s">
        <v>2808</v>
      </c>
      <c r="AE98" s="128" t="s">
        <v>2809</v>
      </c>
      <c r="AF98" s="128" t="s">
        <v>2810</v>
      </c>
    </row>
    <row r="99" spans="3:32" ht="319" x14ac:dyDescent="0.35">
      <c r="C99" s="128" t="s">
        <v>2811</v>
      </c>
      <c r="E99" s="128" t="s">
        <v>2812</v>
      </c>
      <c r="F99" s="128" t="s">
        <v>2813</v>
      </c>
      <c r="G99" s="128" t="s">
        <v>2814</v>
      </c>
      <c r="H99" s="128" t="s">
        <v>2815</v>
      </c>
      <c r="I99" s="128" t="s">
        <v>2816</v>
      </c>
      <c r="J99" s="128" t="s">
        <v>2817</v>
      </c>
      <c r="K99" s="128" t="s">
        <v>2818</v>
      </c>
      <c r="L99" s="128" t="s">
        <v>2819</v>
      </c>
      <c r="M99" s="128" t="s">
        <v>2820</v>
      </c>
      <c r="N99" s="128" t="s">
        <v>2821</v>
      </c>
      <c r="O99" s="128" t="s">
        <v>2822</v>
      </c>
      <c r="P99" s="128" t="s">
        <v>2823</v>
      </c>
      <c r="Q99" s="128" t="s">
        <v>2824</v>
      </c>
      <c r="R99" s="128" t="s">
        <v>2825</v>
      </c>
      <c r="S99" s="128" t="s">
        <v>2826</v>
      </c>
      <c r="T99" s="128" t="s">
        <v>2827</v>
      </c>
      <c r="U99" s="128" t="s">
        <v>2828</v>
      </c>
      <c r="V99" s="128" t="s">
        <v>2829</v>
      </c>
      <c r="W99" s="128" t="s">
        <v>2830</v>
      </c>
      <c r="X99" s="128" t="s">
        <v>2831</v>
      </c>
      <c r="Y99" s="128" t="s">
        <v>2832</v>
      </c>
      <c r="Z99" s="128" t="s">
        <v>2833</v>
      </c>
      <c r="AA99" s="128" t="s">
        <v>2834</v>
      </c>
      <c r="AB99" s="128" t="s">
        <v>2835</v>
      </c>
      <c r="AC99" s="128" t="s">
        <v>2836</v>
      </c>
      <c r="AD99" s="128" t="s">
        <v>2837</v>
      </c>
      <c r="AE99" s="128" t="s">
        <v>2838</v>
      </c>
      <c r="AF99" s="128" t="s">
        <v>2839</v>
      </c>
    </row>
    <row r="100" spans="3:32" ht="319" x14ac:dyDescent="0.35">
      <c r="C100" s="128" t="s">
        <v>2840</v>
      </c>
      <c r="E100" s="128" t="s">
        <v>2841</v>
      </c>
      <c r="F100" s="128" t="s">
        <v>2842</v>
      </c>
      <c r="G100" s="128" t="s">
        <v>2843</v>
      </c>
      <c r="H100" s="128" t="s">
        <v>2844</v>
      </c>
      <c r="I100" s="128" t="s">
        <v>2845</v>
      </c>
      <c r="J100" s="128" t="s">
        <v>2846</v>
      </c>
      <c r="K100" s="128" t="s">
        <v>2847</v>
      </c>
      <c r="L100" s="128" t="s">
        <v>2848</v>
      </c>
      <c r="M100" s="128" t="s">
        <v>2849</v>
      </c>
      <c r="N100" s="128" t="s">
        <v>2850</v>
      </c>
      <c r="O100" s="128" t="s">
        <v>2851</v>
      </c>
      <c r="P100" s="128" t="s">
        <v>2852</v>
      </c>
      <c r="Q100" s="128" t="s">
        <v>2853</v>
      </c>
      <c r="R100" s="128" t="s">
        <v>2854</v>
      </c>
      <c r="S100" s="128" t="s">
        <v>2855</v>
      </c>
      <c r="T100" s="128" t="s">
        <v>2856</v>
      </c>
      <c r="U100" s="128" t="s">
        <v>2857</v>
      </c>
      <c r="V100" s="128" t="s">
        <v>2858</v>
      </c>
      <c r="W100" s="128" t="s">
        <v>2859</v>
      </c>
      <c r="X100" s="128" t="s">
        <v>2860</v>
      </c>
      <c r="Y100" s="128" t="s">
        <v>2861</v>
      </c>
      <c r="Z100" s="128" t="s">
        <v>2862</v>
      </c>
      <c r="AA100" s="128" t="s">
        <v>2863</v>
      </c>
      <c r="AB100" s="128" t="s">
        <v>2864</v>
      </c>
      <c r="AC100" s="128" t="s">
        <v>2865</v>
      </c>
      <c r="AD100" s="128" t="s">
        <v>2866</v>
      </c>
      <c r="AE100" s="128" t="s">
        <v>2867</v>
      </c>
      <c r="AF100" s="128" t="s">
        <v>2868</v>
      </c>
    </row>
    <row r="101" spans="3:32" ht="319" x14ac:dyDescent="0.35">
      <c r="C101" s="128" t="s">
        <v>2869</v>
      </c>
      <c r="E101" s="128" t="s">
        <v>2870</v>
      </c>
      <c r="F101" s="128" t="s">
        <v>2871</v>
      </c>
      <c r="G101" s="128" t="s">
        <v>2872</v>
      </c>
      <c r="H101" s="128" t="s">
        <v>2873</v>
      </c>
      <c r="I101" s="128" t="s">
        <v>2874</v>
      </c>
      <c r="J101" s="128" t="s">
        <v>2875</v>
      </c>
      <c r="K101" s="128" t="s">
        <v>2876</v>
      </c>
      <c r="L101" s="128" t="s">
        <v>2877</v>
      </c>
      <c r="M101" s="128" t="s">
        <v>2878</v>
      </c>
      <c r="N101" s="128" t="s">
        <v>2879</v>
      </c>
      <c r="O101" s="128" t="s">
        <v>2880</v>
      </c>
      <c r="P101" s="128" t="s">
        <v>2881</v>
      </c>
      <c r="Q101" s="128" t="s">
        <v>2882</v>
      </c>
      <c r="R101" s="128" t="s">
        <v>2883</v>
      </c>
      <c r="S101" s="128" t="s">
        <v>2884</v>
      </c>
      <c r="T101" s="128" t="s">
        <v>2885</v>
      </c>
      <c r="U101" s="128" t="s">
        <v>2886</v>
      </c>
      <c r="V101" s="128" t="s">
        <v>2887</v>
      </c>
      <c r="W101" s="128" t="s">
        <v>2888</v>
      </c>
      <c r="X101" s="128" t="s">
        <v>2889</v>
      </c>
      <c r="Y101" s="128" t="s">
        <v>2890</v>
      </c>
      <c r="Z101" s="128" t="s">
        <v>2891</v>
      </c>
      <c r="AA101" s="128" t="s">
        <v>2892</v>
      </c>
      <c r="AB101" s="128" t="s">
        <v>2893</v>
      </c>
      <c r="AC101" s="128" t="s">
        <v>2894</v>
      </c>
      <c r="AD101" s="128" t="s">
        <v>2895</v>
      </c>
      <c r="AE101" s="128" t="s">
        <v>2896</v>
      </c>
      <c r="AF101" s="128" t="s">
        <v>2897</v>
      </c>
    </row>
    <row r="102" spans="3:32" ht="319" x14ac:dyDescent="0.35">
      <c r="C102" s="128" t="s">
        <v>2898</v>
      </c>
      <c r="E102" s="128" t="s">
        <v>2899</v>
      </c>
      <c r="F102" s="128" t="s">
        <v>2900</v>
      </c>
      <c r="G102" s="128" t="s">
        <v>2901</v>
      </c>
      <c r="H102" s="128" t="s">
        <v>2902</v>
      </c>
      <c r="I102" s="128" t="s">
        <v>2903</v>
      </c>
      <c r="J102" s="128" t="s">
        <v>2904</v>
      </c>
      <c r="K102" s="128" t="s">
        <v>2905</v>
      </c>
      <c r="L102" s="128" t="s">
        <v>2906</v>
      </c>
      <c r="M102" s="128" t="s">
        <v>2907</v>
      </c>
      <c r="N102" s="128" t="s">
        <v>2908</v>
      </c>
      <c r="O102" s="128" t="s">
        <v>2909</v>
      </c>
      <c r="P102" s="128" t="s">
        <v>2910</v>
      </c>
      <c r="Q102" s="128" t="s">
        <v>2911</v>
      </c>
      <c r="R102" s="128" t="s">
        <v>2912</v>
      </c>
      <c r="S102" s="128" t="s">
        <v>2913</v>
      </c>
      <c r="T102" s="128" t="s">
        <v>2914</v>
      </c>
      <c r="U102" s="128" t="s">
        <v>2915</v>
      </c>
      <c r="V102" s="128" t="s">
        <v>2916</v>
      </c>
      <c r="W102" s="128" t="s">
        <v>2917</v>
      </c>
      <c r="X102" s="128" t="s">
        <v>2918</v>
      </c>
      <c r="Y102" s="128" t="s">
        <v>2919</v>
      </c>
      <c r="Z102" s="128" t="s">
        <v>2920</v>
      </c>
      <c r="AA102" s="128" t="s">
        <v>2921</v>
      </c>
      <c r="AB102" s="128" t="s">
        <v>2922</v>
      </c>
      <c r="AC102" s="128" t="s">
        <v>2923</v>
      </c>
      <c r="AD102" s="128" t="s">
        <v>2924</v>
      </c>
      <c r="AE102" s="128" t="s">
        <v>2925</v>
      </c>
      <c r="AF102" s="128" t="s">
        <v>2926</v>
      </c>
    </row>
    <row r="103" spans="3:32" ht="319" x14ac:dyDescent="0.35">
      <c r="C103" s="128" t="s">
        <v>2927</v>
      </c>
      <c r="E103" s="128" t="s">
        <v>2928</v>
      </c>
      <c r="F103" s="128" t="s">
        <v>2929</v>
      </c>
      <c r="G103" s="128" t="s">
        <v>2930</v>
      </c>
      <c r="H103" s="128" t="s">
        <v>2931</v>
      </c>
      <c r="I103" s="128" t="s">
        <v>2932</v>
      </c>
      <c r="J103" s="128" t="s">
        <v>2933</v>
      </c>
      <c r="K103" s="128" t="s">
        <v>2934</v>
      </c>
      <c r="L103" s="128" t="s">
        <v>2935</v>
      </c>
      <c r="M103" s="128" t="s">
        <v>2936</v>
      </c>
      <c r="N103" s="128" t="s">
        <v>2937</v>
      </c>
      <c r="O103" s="128" t="s">
        <v>2938</v>
      </c>
      <c r="P103" s="128" t="s">
        <v>2939</v>
      </c>
      <c r="Q103" s="128" t="s">
        <v>2940</v>
      </c>
      <c r="R103" s="128" t="s">
        <v>2941</v>
      </c>
      <c r="S103" s="128" t="s">
        <v>2942</v>
      </c>
      <c r="T103" s="128" t="s">
        <v>2943</v>
      </c>
      <c r="U103" s="128" t="s">
        <v>2944</v>
      </c>
      <c r="V103" s="128" t="s">
        <v>2945</v>
      </c>
      <c r="W103" s="128" t="s">
        <v>2946</v>
      </c>
      <c r="X103" s="128" t="s">
        <v>2947</v>
      </c>
      <c r="Y103" s="128" t="s">
        <v>2948</v>
      </c>
      <c r="Z103" s="128" t="s">
        <v>2949</v>
      </c>
      <c r="AA103" s="128" t="s">
        <v>2950</v>
      </c>
      <c r="AB103" s="128" t="s">
        <v>2951</v>
      </c>
      <c r="AC103" s="128" t="s">
        <v>2952</v>
      </c>
      <c r="AD103" s="128" t="s">
        <v>2953</v>
      </c>
      <c r="AE103" s="128" t="s">
        <v>2954</v>
      </c>
      <c r="AF103" s="128" t="s">
        <v>2955</v>
      </c>
    </row>
    <row r="104" spans="3:32" ht="319" x14ac:dyDescent="0.35">
      <c r="C104" s="128" t="s">
        <v>2956</v>
      </c>
      <c r="E104" s="128" t="s">
        <v>2957</v>
      </c>
      <c r="F104" s="128" t="s">
        <v>2958</v>
      </c>
      <c r="G104" s="128" t="s">
        <v>2959</v>
      </c>
      <c r="H104" s="128" t="s">
        <v>2960</v>
      </c>
      <c r="I104" s="128" t="s">
        <v>2961</v>
      </c>
      <c r="J104" s="128" t="s">
        <v>2962</v>
      </c>
      <c r="K104" s="128" t="s">
        <v>2963</v>
      </c>
      <c r="L104" s="128" t="s">
        <v>2964</v>
      </c>
      <c r="M104" s="128" t="s">
        <v>2965</v>
      </c>
      <c r="N104" s="128" t="s">
        <v>2966</v>
      </c>
      <c r="O104" s="128" t="s">
        <v>2967</v>
      </c>
      <c r="P104" s="128" t="s">
        <v>2968</v>
      </c>
      <c r="Q104" s="128" t="s">
        <v>2969</v>
      </c>
      <c r="R104" s="128" t="s">
        <v>2970</v>
      </c>
      <c r="S104" s="128" t="s">
        <v>2971</v>
      </c>
      <c r="T104" s="128" t="s">
        <v>2972</v>
      </c>
      <c r="U104" s="128" t="s">
        <v>2973</v>
      </c>
      <c r="V104" s="128" t="s">
        <v>2974</v>
      </c>
      <c r="W104" s="128" t="s">
        <v>2975</v>
      </c>
      <c r="X104" s="128" t="s">
        <v>2976</v>
      </c>
      <c r="Y104" s="128" t="s">
        <v>2977</v>
      </c>
      <c r="Z104" s="128" t="s">
        <v>2978</v>
      </c>
      <c r="AA104" s="128" t="s">
        <v>2979</v>
      </c>
      <c r="AB104" s="128" t="s">
        <v>2980</v>
      </c>
      <c r="AC104" s="128" t="s">
        <v>2981</v>
      </c>
      <c r="AD104" s="128" t="s">
        <v>2982</v>
      </c>
      <c r="AE104" s="128" t="s">
        <v>2983</v>
      </c>
      <c r="AF104" s="128" t="s">
        <v>2984</v>
      </c>
    </row>
    <row r="105" spans="3:32" ht="319" x14ac:dyDescent="0.35">
      <c r="C105" s="128" t="s">
        <v>2985</v>
      </c>
      <c r="E105" s="128" t="s">
        <v>2986</v>
      </c>
      <c r="F105" s="128" t="s">
        <v>2987</v>
      </c>
      <c r="G105" s="128" t="s">
        <v>2988</v>
      </c>
      <c r="H105" s="128" t="s">
        <v>2989</v>
      </c>
      <c r="I105" s="128" t="s">
        <v>2990</v>
      </c>
      <c r="J105" s="128" t="s">
        <v>2991</v>
      </c>
      <c r="K105" s="128" t="s">
        <v>2992</v>
      </c>
      <c r="L105" s="128" t="s">
        <v>2993</v>
      </c>
      <c r="M105" s="128" t="s">
        <v>2994</v>
      </c>
      <c r="N105" s="128" t="s">
        <v>2995</v>
      </c>
      <c r="O105" s="128" t="s">
        <v>2996</v>
      </c>
      <c r="P105" s="128" t="s">
        <v>2997</v>
      </c>
      <c r="Q105" s="128" t="s">
        <v>2998</v>
      </c>
      <c r="R105" s="128" t="s">
        <v>2999</v>
      </c>
      <c r="S105" s="128" t="s">
        <v>3000</v>
      </c>
      <c r="T105" s="128" t="s">
        <v>3001</v>
      </c>
      <c r="U105" s="128" t="s">
        <v>3002</v>
      </c>
      <c r="V105" s="128" t="s">
        <v>3003</v>
      </c>
      <c r="W105" s="128" t="s">
        <v>3004</v>
      </c>
      <c r="X105" s="128" t="s">
        <v>3005</v>
      </c>
      <c r="Y105" s="128" t="s">
        <v>3006</v>
      </c>
      <c r="Z105" s="128" t="s">
        <v>3007</v>
      </c>
      <c r="AA105" s="128" t="s">
        <v>3008</v>
      </c>
      <c r="AB105" s="128" t="s">
        <v>3009</v>
      </c>
      <c r="AC105" s="128" t="s">
        <v>3010</v>
      </c>
      <c r="AD105" s="128" t="s">
        <v>3011</v>
      </c>
      <c r="AE105" s="128" t="s">
        <v>3012</v>
      </c>
      <c r="AF105" s="128" t="s">
        <v>3013</v>
      </c>
    </row>
    <row r="106" spans="3:32" ht="319" x14ac:dyDescent="0.35">
      <c r="C106" s="128" t="s">
        <v>3014</v>
      </c>
      <c r="E106" s="128" t="s">
        <v>3015</v>
      </c>
      <c r="F106" s="128" t="s">
        <v>3016</v>
      </c>
      <c r="G106" s="128" t="s">
        <v>3017</v>
      </c>
      <c r="H106" s="128" t="s">
        <v>3018</v>
      </c>
      <c r="I106" s="128" t="s">
        <v>3019</v>
      </c>
      <c r="J106" s="128" t="s">
        <v>3020</v>
      </c>
      <c r="K106" s="128" t="s">
        <v>3021</v>
      </c>
      <c r="L106" s="128" t="s">
        <v>3022</v>
      </c>
      <c r="M106" s="128" t="s">
        <v>3023</v>
      </c>
      <c r="N106" s="128" t="s">
        <v>3024</v>
      </c>
      <c r="O106" s="128" t="s">
        <v>3025</v>
      </c>
      <c r="P106" s="128" t="s">
        <v>3026</v>
      </c>
      <c r="Q106" s="128" t="s">
        <v>3027</v>
      </c>
      <c r="R106" s="128" t="s">
        <v>3028</v>
      </c>
      <c r="S106" s="128" t="s">
        <v>3029</v>
      </c>
      <c r="T106" s="128" t="s">
        <v>3030</v>
      </c>
      <c r="U106" s="128" t="s">
        <v>3031</v>
      </c>
      <c r="V106" s="128" t="s">
        <v>3032</v>
      </c>
      <c r="W106" s="128" t="s">
        <v>3033</v>
      </c>
      <c r="X106" s="128" t="s">
        <v>3034</v>
      </c>
      <c r="Y106" s="128" t="s">
        <v>3035</v>
      </c>
      <c r="Z106" s="128" t="s">
        <v>3036</v>
      </c>
      <c r="AA106" s="128" t="s">
        <v>3037</v>
      </c>
      <c r="AB106" s="128" t="s">
        <v>3038</v>
      </c>
      <c r="AC106" s="128" t="s">
        <v>3039</v>
      </c>
      <c r="AD106" s="128" t="s">
        <v>3040</v>
      </c>
      <c r="AE106" s="128" t="s">
        <v>3041</v>
      </c>
      <c r="AF106" s="128" t="s">
        <v>3042</v>
      </c>
    </row>
    <row r="107" spans="3:32" ht="319" x14ac:dyDescent="0.35">
      <c r="C107" s="128" t="s">
        <v>3043</v>
      </c>
      <c r="E107" s="128" t="s">
        <v>3044</v>
      </c>
      <c r="F107" s="128" t="s">
        <v>3045</v>
      </c>
      <c r="G107" s="128" t="s">
        <v>3046</v>
      </c>
      <c r="H107" s="128" t="s">
        <v>3047</v>
      </c>
      <c r="I107" s="128" t="s">
        <v>3048</v>
      </c>
      <c r="J107" s="128" t="s">
        <v>3049</v>
      </c>
      <c r="K107" s="128" t="s">
        <v>3050</v>
      </c>
      <c r="L107" s="128" t="s">
        <v>3051</v>
      </c>
      <c r="M107" s="128" t="s">
        <v>3052</v>
      </c>
      <c r="N107" s="128" t="s">
        <v>3053</v>
      </c>
      <c r="O107" s="128" t="s">
        <v>3054</v>
      </c>
      <c r="P107" s="128" t="s">
        <v>3055</v>
      </c>
      <c r="Q107" s="128" t="s">
        <v>3056</v>
      </c>
      <c r="R107" s="128" t="s">
        <v>3057</v>
      </c>
      <c r="S107" s="128" t="s">
        <v>3058</v>
      </c>
      <c r="T107" s="128" t="s">
        <v>3059</v>
      </c>
      <c r="U107" s="128" t="s">
        <v>3060</v>
      </c>
      <c r="V107" s="128" t="s">
        <v>3061</v>
      </c>
      <c r="W107" s="128" t="s">
        <v>3062</v>
      </c>
      <c r="X107" s="128" t="s">
        <v>3063</v>
      </c>
      <c r="Y107" s="128" t="s">
        <v>3064</v>
      </c>
      <c r="Z107" s="128" t="s">
        <v>3065</v>
      </c>
      <c r="AA107" s="128" t="s">
        <v>3066</v>
      </c>
      <c r="AB107" s="128" t="s">
        <v>3067</v>
      </c>
      <c r="AC107" s="128" t="s">
        <v>3068</v>
      </c>
      <c r="AD107" s="128" t="s">
        <v>3069</v>
      </c>
      <c r="AE107" s="128" t="s">
        <v>3070</v>
      </c>
      <c r="AF107" s="128" t="s">
        <v>3071</v>
      </c>
    </row>
    <row r="108" spans="3:32" ht="319" x14ac:dyDescent="0.35">
      <c r="C108" s="128" t="s">
        <v>3072</v>
      </c>
      <c r="E108" s="128" t="s">
        <v>3073</v>
      </c>
      <c r="F108" s="128" t="s">
        <v>3074</v>
      </c>
      <c r="G108" s="128" t="s">
        <v>3075</v>
      </c>
      <c r="H108" s="128" t="s">
        <v>3076</v>
      </c>
      <c r="I108" s="128" t="s">
        <v>3077</v>
      </c>
      <c r="J108" s="128" t="s">
        <v>3078</v>
      </c>
      <c r="K108" s="128" t="s">
        <v>3079</v>
      </c>
      <c r="L108" s="128" t="s">
        <v>3080</v>
      </c>
      <c r="M108" s="128" t="s">
        <v>3081</v>
      </c>
      <c r="N108" s="128" t="s">
        <v>3082</v>
      </c>
      <c r="O108" s="128" t="s">
        <v>3083</v>
      </c>
      <c r="P108" s="128" t="s">
        <v>3084</v>
      </c>
      <c r="Q108" s="128" t="s">
        <v>3085</v>
      </c>
      <c r="R108" s="128" t="s">
        <v>3086</v>
      </c>
      <c r="S108" s="128" t="s">
        <v>3087</v>
      </c>
      <c r="T108" s="128" t="s">
        <v>3088</v>
      </c>
      <c r="U108" s="128" t="s">
        <v>3089</v>
      </c>
      <c r="V108" s="128" t="s">
        <v>3090</v>
      </c>
      <c r="W108" s="128" t="s">
        <v>3091</v>
      </c>
      <c r="X108" s="128" t="s">
        <v>3092</v>
      </c>
      <c r="Y108" s="128" t="s">
        <v>3093</v>
      </c>
      <c r="Z108" s="128" t="s">
        <v>3094</v>
      </c>
      <c r="AA108" s="128" t="s">
        <v>3095</v>
      </c>
      <c r="AB108" s="128" t="s">
        <v>3096</v>
      </c>
      <c r="AC108" s="128" t="s">
        <v>3097</v>
      </c>
      <c r="AD108" s="128" t="s">
        <v>3098</v>
      </c>
      <c r="AE108" s="128" t="s">
        <v>3099</v>
      </c>
      <c r="AF108" s="128" t="s">
        <v>3100</v>
      </c>
    </row>
    <row r="109" spans="3:32" ht="319" x14ac:dyDescent="0.35">
      <c r="C109" s="128" t="s">
        <v>3101</v>
      </c>
      <c r="E109" s="128" t="s">
        <v>3102</v>
      </c>
      <c r="F109" s="128" t="s">
        <v>3103</v>
      </c>
      <c r="G109" s="128" t="s">
        <v>3104</v>
      </c>
      <c r="H109" s="128" t="s">
        <v>3105</v>
      </c>
      <c r="I109" s="128" t="s">
        <v>3106</v>
      </c>
      <c r="J109" s="128" t="s">
        <v>3107</v>
      </c>
      <c r="K109" s="128" t="s">
        <v>3108</v>
      </c>
      <c r="L109" s="128" t="s">
        <v>3109</v>
      </c>
      <c r="M109" s="128" t="s">
        <v>3110</v>
      </c>
      <c r="N109" s="128" t="s">
        <v>3111</v>
      </c>
      <c r="O109" s="128" t="s">
        <v>3112</v>
      </c>
      <c r="P109" s="128" t="s">
        <v>3113</v>
      </c>
      <c r="Q109" s="128" t="s">
        <v>3114</v>
      </c>
      <c r="R109" s="128" t="s">
        <v>3115</v>
      </c>
      <c r="S109" s="128" t="s">
        <v>3116</v>
      </c>
      <c r="T109" s="128" t="s">
        <v>3117</v>
      </c>
      <c r="U109" s="128" t="s">
        <v>3118</v>
      </c>
      <c r="V109" s="128" t="s">
        <v>3119</v>
      </c>
      <c r="W109" s="128" t="s">
        <v>3120</v>
      </c>
      <c r="X109" s="128" t="s">
        <v>3121</v>
      </c>
      <c r="Y109" s="128" t="s">
        <v>3122</v>
      </c>
      <c r="Z109" s="128" t="s">
        <v>3123</v>
      </c>
      <c r="AA109" s="128" t="s">
        <v>3124</v>
      </c>
      <c r="AB109" s="128" t="s">
        <v>3125</v>
      </c>
      <c r="AC109" s="128" t="s">
        <v>3126</v>
      </c>
      <c r="AD109" s="128" t="s">
        <v>3127</v>
      </c>
      <c r="AE109" s="128" t="s">
        <v>3128</v>
      </c>
      <c r="AF109" s="128" t="s">
        <v>3129</v>
      </c>
    </row>
    <row r="110" spans="3:32" ht="319" x14ac:dyDescent="0.35">
      <c r="C110" s="128" t="s">
        <v>3130</v>
      </c>
      <c r="E110" s="128" t="s">
        <v>3131</v>
      </c>
      <c r="F110" s="128" t="s">
        <v>3132</v>
      </c>
      <c r="G110" s="128" t="s">
        <v>3133</v>
      </c>
      <c r="H110" s="128" t="s">
        <v>3134</v>
      </c>
      <c r="I110" s="128" t="s">
        <v>3135</v>
      </c>
      <c r="J110" s="128" t="s">
        <v>3136</v>
      </c>
      <c r="K110" s="128" t="s">
        <v>3137</v>
      </c>
      <c r="L110" s="128" t="s">
        <v>3138</v>
      </c>
      <c r="M110" s="128" t="s">
        <v>3139</v>
      </c>
      <c r="N110" s="128" t="s">
        <v>3140</v>
      </c>
      <c r="O110" s="128" t="s">
        <v>3141</v>
      </c>
      <c r="P110" s="128" t="s">
        <v>3142</v>
      </c>
      <c r="Q110" s="128" t="s">
        <v>3143</v>
      </c>
      <c r="R110" s="128" t="s">
        <v>3144</v>
      </c>
      <c r="S110" s="128" t="s">
        <v>3145</v>
      </c>
      <c r="T110" s="128" t="s">
        <v>3146</v>
      </c>
      <c r="U110" s="128" t="s">
        <v>3147</v>
      </c>
      <c r="V110" s="128" t="s">
        <v>3148</v>
      </c>
      <c r="W110" s="128" t="s">
        <v>3149</v>
      </c>
      <c r="X110" s="128" t="s">
        <v>3150</v>
      </c>
      <c r="Y110" s="128" t="s">
        <v>3151</v>
      </c>
      <c r="Z110" s="128" t="s">
        <v>3152</v>
      </c>
      <c r="AA110" s="128" t="s">
        <v>3153</v>
      </c>
      <c r="AB110" s="128" t="s">
        <v>3154</v>
      </c>
      <c r="AC110" s="128" t="s">
        <v>3155</v>
      </c>
      <c r="AD110" s="128" t="s">
        <v>3156</v>
      </c>
      <c r="AE110" s="128" t="s">
        <v>3157</v>
      </c>
      <c r="AF110" s="128" t="s">
        <v>3158</v>
      </c>
    </row>
    <row r="111" spans="3:32" ht="319" x14ac:dyDescent="0.35">
      <c r="C111" s="128" t="s">
        <v>3159</v>
      </c>
      <c r="E111" s="128" t="s">
        <v>3160</v>
      </c>
      <c r="F111" s="128" t="s">
        <v>3161</v>
      </c>
      <c r="G111" s="128" t="s">
        <v>3162</v>
      </c>
      <c r="H111" s="128" t="s">
        <v>3163</v>
      </c>
      <c r="I111" s="128" t="s">
        <v>3164</v>
      </c>
      <c r="J111" s="128" t="s">
        <v>3165</v>
      </c>
      <c r="K111" s="128" t="s">
        <v>3166</v>
      </c>
      <c r="L111" s="128" t="s">
        <v>3167</v>
      </c>
      <c r="M111" s="128" t="s">
        <v>3168</v>
      </c>
      <c r="N111" s="128" t="s">
        <v>3169</v>
      </c>
      <c r="O111" s="128" t="s">
        <v>3170</v>
      </c>
      <c r="P111" s="128" t="s">
        <v>3171</v>
      </c>
      <c r="Q111" s="128" t="s">
        <v>3172</v>
      </c>
      <c r="R111" s="128" t="s">
        <v>3173</v>
      </c>
      <c r="S111" s="128" t="s">
        <v>3174</v>
      </c>
      <c r="T111" s="128" t="s">
        <v>3175</v>
      </c>
      <c r="U111" s="128" t="s">
        <v>3176</v>
      </c>
      <c r="V111" s="128" t="s">
        <v>3177</v>
      </c>
      <c r="W111" s="128" t="s">
        <v>3178</v>
      </c>
      <c r="X111" s="128" t="s">
        <v>3179</v>
      </c>
      <c r="Y111" s="128" t="s">
        <v>3180</v>
      </c>
      <c r="Z111" s="128" t="s">
        <v>3181</v>
      </c>
      <c r="AA111" s="128" t="s">
        <v>3182</v>
      </c>
      <c r="AB111" s="128" t="s">
        <v>3183</v>
      </c>
      <c r="AC111" s="128" t="s">
        <v>3184</v>
      </c>
      <c r="AD111" s="128" t="s">
        <v>3185</v>
      </c>
      <c r="AE111" s="128" t="s">
        <v>3186</v>
      </c>
      <c r="AF111" s="128" t="s">
        <v>3187</v>
      </c>
    </row>
    <row r="112" spans="3:32" ht="319" x14ac:dyDescent="0.35">
      <c r="C112" s="128" t="s">
        <v>3188</v>
      </c>
      <c r="E112" s="128" t="s">
        <v>3189</v>
      </c>
      <c r="F112" s="128" t="s">
        <v>3190</v>
      </c>
      <c r="G112" s="128" t="s">
        <v>3191</v>
      </c>
      <c r="H112" s="128" t="s">
        <v>3192</v>
      </c>
      <c r="I112" s="128" t="s">
        <v>3193</v>
      </c>
      <c r="J112" s="128" t="s">
        <v>3194</v>
      </c>
      <c r="K112" s="128" t="s">
        <v>3195</v>
      </c>
      <c r="L112" s="128" t="s">
        <v>3196</v>
      </c>
      <c r="M112" s="128" t="s">
        <v>3197</v>
      </c>
      <c r="N112" s="128" t="s">
        <v>3198</v>
      </c>
      <c r="O112" s="128" t="s">
        <v>3199</v>
      </c>
      <c r="P112" s="128" t="s">
        <v>3200</v>
      </c>
      <c r="Q112" s="128" t="s">
        <v>3201</v>
      </c>
      <c r="R112" s="128" t="s">
        <v>3202</v>
      </c>
      <c r="S112" s="128" t="s">
        <v>3203</v>
      </c>
      <c r="T112" s="128" t="s">
        <v>3204</v>
      </c>
      <c r="U112" s="128" t="s">
        <v>3205</v>
      </c>
      <c r="V112" s="128" t="s">
        <v>3206</v>
      </c>
      <c r="W112" s="128" t="s">
        <v>3207</v>
      </c>
      <c r="X112" s="128" t="s">
        <v>3208</v>
      </c>
      <c r="Y112" s="128" t="s">
        <v>3209</v>
      </c>
      <c r="Z112" s="128" t="s">
        <v>3210</v>
      </c>
      <c r="AA112" s="128" t="s">
        <v>3211</v>
      </c>
      <c r="AB112" s="128" t="s">
        <v>3212</v>
      </c>
      <c r="AC112" s="128" t="s">
        <v>3213</v>
      </c>
      <c r="AD112" s="128" t="s">
        <v>3214</v>
      </c>
      <c r="AE112" s="128" t="s">
        <v>3215</v>
      </c>
      <c r="AF112" s="128" t="s">
        <v>3216</v>
      </c>
    </row>
    <row r="113" spans="3:32" ht="319" x14ac:dyDescent="0.35">
      <c r="C113" s="128" t="s">
        <v>3217</v>
      </c>
      <c r="E113" s="128" t="s">
        <v>3218</v>
      </c>
      <c r="F113" s="128" t="s">
        <v>3219</v>
      </c>
      <c r="G113" s="128" t="s">
        <v>3220</v>
      </c>
      <c r="H113" s="128" t="s">
        <v>3221</v>
      </c>
      <c r="I113" s="128" t="s">
        <v>3222</v>
      </c>
      <c r="J113" s="128" t="s">
        <v>3223</v>
      </c>
      <c r="K113" s="128" t="s">
        <v>3224</v>
      </c>
      <c r="L113" s="128" t="s">
        <v>3225</v>
      </c>
      <c r="M113" s="128" t="s">
        <v>3226</v>
      </c>
      <c r="N113" s="128" t="s">
        <v>3227</v>
      </c>
      <c r="O113" s="128" t="s">
        <v>3228</v>
      </c>
      <c r="P113" s="128" t="s">
        <v>3229</v>
      </c>
      <c r="Q113" s="128" t="s">
        <v>3230</v>
      </c>
      <c r="R113" s="128" t="s">
        <v>3231</v>
      </c>
      <c r="S113" s="128" t="s">
        <v>3232</v>
      </c>
      <c r="T113" s="128" t="s">
        <v>3233</v>
      </c>
      <c r="U113" s="128" t="s">
        <v>3234</v>
      </c>
      <c r="V113" s="128" t="s">
        <v>3235</v>
      </c>
      <c r="W113" s="128" t="s">
        <v>3236</v>
      </c>
      <c r="X113" s="128" t="s">
        <v>3237</v>
      </c>
      <c r="Y113" s="128" t="s">
        <v>3238</v>
      </c>
      <c r="Z113" s="128" t="s">
        <v>3239</v>
      </c>
      <c r="AA113" s="128" t="s">
        <v>3240</v>
      </c>
      <c r="AB113" s="128" t="s">
        <v>3241</v>
      </c>
      <c r="AC113" s="128" t="s">
        <v>3242</v>
      </c>
      <c r="AD113" s="128" t="s">
        <v>3243</v>
      </c>
      <c r="AE113" s="128" t="s">
        <v>3244</v>
      </c>
      <c r="AF113" s="128" t="s">
        <v>3245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13"/>
  <sheetViews>
    <sheetView workbookViewId="0"/>
  </sheetViews>
  <sheetFormatPr defaultRowHeight="14.5" x14ac:dyDescent="0.35"/>
  <sheetData>
    <row r="1" spans="1:32" x14ac:dyDescent="0.35">
      <c r="A1" s="127" t="s">
        <v>3246</v>
      </c>
      <c r="B1" s="127" t="s">
        <v>22</v>
      </c>
      <c r="C1" s="127" t="s">
        <v>22</v>
      </c>
      <c r="D1" s="127" t="s">
        <v>22</v>
      </c>
      <c r="G1" s="127" t="s">
        <v>21</v>
      </c>
    </row>
    <row r="2" spans="1:32" x14ac:dyDescent="0.35">
      <c r="A2" s="127" t="s">
        <v>22</v>
      </c>
    </row>
    <row r="3" spans="1:32" ht="87" x14ac:dyDescent="0.35">
      <c r="A3" s="127" t="s">
        <v>22</v>
      </c>
      <c r="C3" s="127" t="s">
        <v>73</v>
      </c>
      <c r="E3" s="127" t="s">
        <v>74</v>
      </c>
      <c r="G3" s="127" t="s">
        <v>268</v>
      </c>
      <c r="I3" s="127" t="s">
        <v>269</v>
      </c>
      <c r="J3" s="128" t="s">
        <v>270</v>
      </c>
      <c r="K3" s="128" t="s">
        <v>271</v>
      </c>
      <c r="L3" s="128" t="s">
        <v>272</v>
      </c>
      <c r="M3" s="128" t="s">
        <v>273</v>
      </c>
      <c r="N3" s="128" t="s">
        <v>274</v>
      </c>
      <c r="O3" s="128" t="s">
        <v>275</v>
      </c>
      <c r="P3" s="128" t="s">
        <v>276</v>
      </c>
      <c r="Q3" s="128" t="s">
        <v>277</v>
      </c>
      <c r="R3" s="128" t="s">
        <v>278</v>
      </c>
      <c r="S3" s="128" t="s">
        <v>279</v>
      </c>
      <c r="T3" s="128" t="s">
        <v>280</v>
      </c>
      <c r="U3" s="128" t="s">
        <v>281</v>
      </c>
      <c r="V3" s="128" t="s">
        <v>282</v>
      </c>
      <c r="W3" s="128" t="s">
        <v>283</v>
      </c>
      <c r="X3" s="128" t="s">
        <v>284</v>
      </c>
      <c r="Y3" s="128" t="s">
        <v>285</v>
      </c>
      <c r="Z3" s="128" t="s">
        <v>286</v>
      </c>
      <c r="AA3" s="128" t="s">
        <v>287</v>
      </c>
      <c r="AB3" s="128" t="s">
        <v>288</v>
      </c>
      <c r="AC3" s="128" t="s">
        <v>289</v>
      </c>
      <c r="AD3" s="128" t="s">
        <v>290</v>
      </c>
      <c r="AE3" s="128" t="s">
        <v>291</v>
      </c>
      <c r="AF3" s="128" t="s">
        <v>292</v>
      </c>
    </row>
    <row r="4" spans="1:32" x14ac:dyDescent="0.35">
      <c r="A4" s="127" t="s">
        <v>22</v>
      </c>
      <c r="C4" s="127" t="s">
        <v>293</v>
      </c>
      <c r="E4" s="127" t="s">
        <v>75</v>
      </c>
      <c r="I4" s="127" t="s">
        <v>294</v>
      </c>
      <c r="J4" s="127" t="s">
        <v>295</v>
      </c>
      <c r="K4" s="127" t="s">
        <v>296</v>
      </c>
      <c r="L4" s="127" t="s">
        <v>297</v>
      </c>
      <c r="M4" s="127" t="s">
        <v>298</v>
      </c>
      <c r="N4" s="127" t="s">
        <v>299</v>
      </c>
      <c r="O4" s="127" t="s">
        <v>300</v>
      </c>
      <c r="P4" s="127" t="s">
        <v>301</v>
      </c>
      <c r="Q4" s="127" t="s">
        <v>302</v>
      </c>
      <c r="R4" s="127" t="s">
        <v>303</v>
      </c>
      <c r="S4" s="127" t="s">
        <v>304</v>
      </c>
      <c r="T4" s="127" t="s">
        <v>305</v>
      </c>
      <c r="U4" s="127" t="s">
        <v>306</v>
      </c>
      <c r="V4" s="127" t="s">
        <v>307</v>
      </c>
      <c r="W4" s="127" t="s">
        <v>308</v>
      </c>
      <c r="X4" s="127" t="s">
        <v>309</v>
      </c>
      <c r="Y4" s="127" t="s">
        <v>310</v>
      </c>
      <c r="Z4" s="127" t="s">
        <v>311</v>
      </c>
      <c r="AA4" s="127" t="s">
        <v>312</v>
      </c>
      <c r="AB4" s="127" t="s">
        <v>313</v>
      </c>
      <c r="AC4" s="127" t="s">
        <v>314</v>
      </c>
      <c r="AD4" s="127" t="s">
        <v>315</v>
      </c>
      <c r="AE4" s="127" t="s">
        <v>316</v>
      </c>
      <c r="AF4" s="127" t="s">
        <v>317</v>
      </c>
    </row>
    <row r="5" spans="1:32" x14ac:dyDescent="0.35">
      <c r="A5" s="127" t="s">
        <v>22</v>
      </c>
    </row>
    <row r="6" spans="1:32" x14ac:dyDescent="0.35">
      <c r="G6" s="127" t="s">
        <v>79</v>
      </c>
      <c r="J6" s="127" t="s">
        <v>90</v>
      </c>
    </row>
    <row r="7" spans="1:32" x14ac:dyDescent="0.35">
      <c r="G7" s="127" t="s">
        <v>78</v>
      </c>
      <c r="J7" s="127" t="s">
        <v>77</v>
      </c>
      <c r="M7" s="127" t="s">
        <v>12</v>
      </c>
      <c r="P7" s="127" t="s">
        <v>20</v>
      </c>
    </row>
    <row r="8" spans="1:32" x14ac:dyDescent="0.35">
      <c r="G8" s="127" t="s">
        <v>88</v>
      </c>
      <c r="H8" s="127" t="s">
        <v>318</v>
      </c>
      <c r="J8" s="127" t="s">
        <v>319</v>
      </c>
    </row>
    <row r="9" spans="1:32" x14ac:dyDescent="0.35">
      <c r="G9" s="127" t="s">
        <v>85</v>
      </c>
      <c r="H9" s="127" t="s">
        <v>320</v>
      </c>
      <c r="J9" s="127" t="s">
        <v>321</v>
      </c>
    </row>
    <row r="10" spans="1:32" x14ac:dyDescent="0.35">
      <c r="J10" s="127" t="s">
        <v>76</v>
      </c>
      <c r="M10" s="127" t="s">
        <v>13</v>
      </c>
      <c r="P10" s="127" t="s">
        <v>89</v>
      </c>
    </row>
    <row r="11" spans="1:32" ht="159.5" x14ac:dyDescent="0.35">
      <c r="E11" s="127" t="s">
        <v>10</v>
      </c>
      <c r="F11" s="127" t="s">
        <v>2</v>
      </c>
      <c r="G11" s="127" t="s">
        <v>3</v>
      </c>
      <c r="H11" s="127" t="s">
        <v>82</v>
      </c>
      <c r="I11" s="128" t="s">
        <v>322</v>
      </c>
      <c r="J11" s="128" t="s">
        <v>323</v>
      </c>
      <c r="K11" s="128" t="s">
        <v>324</v>
      </c>
      <c r="L11" s="128" t="s">
        <v>325</v>
      </c>
      <c r="M11" s="128" t="s">
        <v>326</v>
      </c>
      <c r="N11" s="128" t="s">
        <v>327</v>
      </c>
      <c r="O11" s="128" t="s">
        <v>328</v>
      </c>
      <c r="P11" s="128" t="s">
        <v>329</v>
      </c>
      <c r="Q11" s="128" t="s">
        <v>330</v>
      </c>
      <c r="R11" s="128" t="s">
        <v>331</v>
      </c>
      <c r="S11" s="128" t="s">
        <v>332</v>
      </c>
      <c r="T11" s="128" t="s">
        <v>333</v>
      </c>
      <c r="U11" s="128" t="s">
        <v>334</v>
      </c>
      <c r="V11" s="128" t="s">
        <v>335</v>
      </c>
      <c r="W11" s="128" t="s">
        <v>336</v>
      </c>
      <c r="X11" s="128" t="s">
        <v>337</v>
      </c>
      <c r="Y11" s="128" t="s">
        <v>338</v>
      </c>
      <c r="Z11" s="128" t="s">
        <v>339</v>
      </c>
      <c r="AA11" s="128" t="s">
        <v>340</v>
      </c>
      <c r="AB11" s="128" t="s">
        <v>341</v>
      </c>
      <c r="AC11" s="128" t="s">
        <v>342</v>
      </c>
      <c r="AD11" s="128" t="s">
        <v>343</v>
      </c>
      <c r="AE11" s="128" t="s">
        <v>344</v>
      </c>
      <c r="AF11" s="128" t="s">
        <v>345</v>
      </c>
    </row>
    <row r="12" spans="1:32" x14ac:dyDescent="0.35">
      <c r="H12" s="127" t="s">
        <v>346</v>
      </c>
    </row>
    <row r="14" spans="1:32" ht="319" x14ac:dyDescent="0.35">
      <c r="C14" s="127" t="s">
        <v>269</v>
      </c>
      <c r="E14" s="128" t="s">
        <v>347</v>
      </c>
      <c r="F14" s="128" t="s">
        <v>348</v>
      </c>
      <c r="G14" s="128" t="s">
        <v>349</v>
      </c>
      <c r="H14" s="128" t="s">
        <v>350</v>
      </c>
      <c r="I14" s="128" t="s">
        <v>351</v>
      </c>
      <c r="J14" s="128" t="s">
        <v>352</v>
      </c>
      <c r="K14" s="128" t="s">
        <v>353</v>
      </c>
      <c r="L14" s="128" t="s">
        <v>354</v>
      </c>
      <c r="M14" s="128" t="s">
        <v>355</v>
      </c>
      <c r="N14" s="128" t="s">
        <v>356</v>
      </c>
      <c r="O14" s="128" t="s">
        <v>357</v>
      </c>
      <c r="P14" s="128" t="s">
        <v>358</v>
      </c>
      <c r="Q14" s="128" t="s">
        <v>359</v>
      </c>
      <c r="R14" s="128" t="s">
        <v>360</v>
      </c>
      <c r="S14" s="128" t="s">
        <v>361</v>
      </c>
      <c r="T14" s="128" t="s">
        <v>362</v>
      </c>
      <c r="U14" s="128" t="s">
        <v>363</v>
      </c>
      <c r="V14" s="128" t="s">
        <v>364</v>
      </c>
      <c r="W14" s="128" t="s">
        <v>365</v>
      </c>
      <c r="X14" s="128" t="s">
        <v>366</v>
      </c>
      <c r="Y14" s="128" t="s">
        <v>367</v>
      </c>
      <c r="Z14" s="128" t="s">
        <v>368</v>
      </c>
      <c r="AA14" s="128" t="s">
        <v>369</v>
      </c>
      <c r="AB14" s="128" t="s">
        <v>370</v>
      </c>
      <c r="AC14" s="128" t="s">
        <v>371</v>
      </c>
      <c r="AD14" s="128" t="s">
        <v>372</v>
      </c>
      <c r="AE14" s="128" t="s">
        <v>373</v>
      </c>
      <c r="AF14" s="128" t="s">
        <v>374</v>
      </c>
    </row>
    <row r="15" spans="1:32" ht="319" x14ac:dyDescent="0.35">
      <c r="C15" s="128" t="s">
        <v>375</v>
      </c>
      <c r="E15" s="128" t="s">
        <v>376</v>
      </c>
      <c r="F15" s="128" t="s">
        <v>377</v>
      </c>
      <c r="G15" s="128" t="s">
        <v>378</v>
      </c>
      <c r="H15" s="128" t="s">
        <v>379</v>
      </c>
      <c r="I15" s="128" t="s">
        <v>380</v>
      </c>
      <c r="J15" s="128" t="s">
        <v>381</v>
      </c>
      <c r="K15" s="128" t="s">
        <v>382</v>
      </c>
      <c r="L15" s="128" t="s">
        <v>383</v>
      </c>
      <c r="M15" s="128" t="s">
        <v>384</v>
      </c>
      <c r="N15" s="128" t="s">
        <v>385</v>
      </c>
      <c r="O15" s="128" t="s">
        <v>386</v>
      </c>
      <c r="P15" s="128" t="s">
        <v>387</v>
      </c>
      <c r="Q15" s="128" t="s">
        <v>388</v>
      </c>
      <c r="R15" s="128" t="s">
        <v>389</v>
      </c>
      <c r="S15" s="128" t="s">
        <v>390</v>
      </c>
      <c r="T15" s="128" t="s">
        <v>391</v>
      </c>
      <c r="U15" s="128" t="s">
        <v>392</v>
      </c>
      <c r="V15" s="128" t="s">
        <v>393</v>
      </c>
      <c r="W15" s="128" t="s">
        <v>394</v>
      </c>
      <c r="X15" s="128" t="s">
        <v>395</v>
      </c>
      <c r="Y15" s="128" t="s">
        <v>396</v>
      </c>
      <c r="Z15" s="128" t="s">
        <v>397</v>
      </c>
      <c r="AA15" s="128" t="s">
        <v>398</v>
      </c>
      <c r="AB15" s="128" t="s">
        <v>399</v>
      </c>
      <c r="AC15" s="128" t="s">
        <v>400</v>
      </c>
      <c r="AD15" s="128" t="s">
        <v>401</v>
      </c>
      <c r="AE15" s="128" t="s">
        <v>402</v>
      </c>
      <c r="AF15" s="128" t="s">
        <v>403</v>
      </c>
    </row>
    <row r="16" spans="1:32" ht="319" x14ac:dyDescent="0.35">
      <c r="C16" s="128" t="s">
        <v>404</v>
      </c>
      <c r="E16" s="128" t="s">
        <v>405</v>
      </c>
      <c r="F16" s="128" t="s">
        <v>406</v>
      </c>
      <c r="G16" s="128" t="s">
        <v>407</v>
      </c>
      <c r="H16" s="128" t="s">
        <v>408</v>
      </c>
      <c r="I16" s="128" t="s">
        <v>409</v>
      </c>
      <c r="J16" s="128" t="s">
        <v>410</v>
      </c>
      <c r="K16" s="128" t="s">
        <v>411</v>
      </c>
      <c r="L16" s="128" t="s">
        <v>412</v>
      </c>
      <c r="M16" s="128" t="s">
        <v>413</v>
      </c>
      <c r="N16" s="128" t="s">
        <v>414</v>
      </c>
      <c r="O16" s="128" t="s">
        <v>415</v>
      </c>
      <c r="P16" s="128" t="s">
        <v>416</v>
      </c>
      <c r="Q16" s="128" t="s">
        <v>417</v>
      </c>
      <c r="R16" s="128" t="s">
        <v>418</v>
      </c>
      <c r="S16" s="128" t="s">
        <v>419</v>
      </c>
      <c r="T16" s="128" t="s">
        <v>420</v>
      </c>
      <c r="U16" s="128" t="s">
        <v>421</v>
      </c>
      <c r="V16" s="128" t="s">
        <v>422</v>
      </c>
      <c r="W16" s="128" t="s">
        <v>423</v>
      </c>
      <c r="X16" s="128" t="s">
        <v>424</v>
      </c>
      <c r="Y16" s="128" t="s">
        <v>425</v>
      </c>
      <c r="Z16" s="128" t="s">
        <v>426</v>
      </c>
      <c r="AA16" s="128" t="s">
        <v>427</v>
      </c>
      <c r="AB16" s="128" t="s">
        <v>428</v>
      </c>
      <c r="AC16" s="128" t="s">
        <v>429</v>
      </c>
      <c r="AD16" s="128" t="s">
        <v>430</v>
      </c>
      <c r="AE16" s="128" t="s">
        <v>431</v>
      </c>
      <c r="AF16" s="128" t="s">
        <v>432</v>
      </c>
    </row>
    <row r="17" spans="3:32" ht="319" x14ac:dyDescent="0.35">
      <c r="C17" s="128" t="s">
        <v>433</v>
      </c>
      <c r="E17" s="128" t="s">
        <v>434</v>
      </c>
      <c r="F17" s="128" t="s">
        <v>435</v>
      </c>
      <c r="G17" s="128" t="s">
        <v>436</v>
      </c>
      <c r="H17" s="128" t="s">
        <v>437</v>
      </c>
      <c r="I17" s="128" t="s">
        <v>438</v>
      </c>
      <c r="J17" s="128" t="s">
        <v>439</v>
      </c>
      <c r="K17" s="128" t="s">
        <v>440</v>
      </c>
      <c r="L17" s="128" t="s">
        <v>441</v>
      </c>
      <c r="M17" s="128" t="s">
        <v>442</v>
      </c>
      <c r="N17" s="128" t="s">
        <v>443</v>
      </c>
      <c r="O17" s="128" t="s">
        <v>444</v>
      </c>
      <c r="P17" s="128" t="s">
        <v>445</v>
      </c>
      <c r="Q17" s="128" t="s">
        <v>446</v>
      </c>
      <c r="R17" s="128" t="s">
        <v>447</v>
      </c>
      <c r="S17" s="128" t="s">
        <v>448</v>
      </c>
      <c r="T17" s="128" t="s">
        <v>449</v>
      </c>
      <c r="U17" s="128" t="s">
        <v>450</v>
      </c>
      <c r="V17" s="128" t="s">
        <v>451</v>
      </c>
      <c r="W17" s="128" t="s">
        <v>452</v>
      </c>
      <c r="X17" s="128" t="s">
        <v>453</v>
      </c>
      <c r="Y17" s="128" t="s">
        <v>454</v>
      </c>
      <c r="Z17" s="128" t="s">
        <v>455</v>
      </c>
      <c r="AA17" s="128" t="s">
        <v>456</v>
      </c>
      <c r="AB17" s="128" t="s">
        <v>457</v>
      </c>
      <c r="AC17" s="128" t="s">
        <v>458</v>
      </c>
      <c r="AD17" s="128" t="s">
        <v>459</v>
      </c>
      <c r="AE17" s="128" t="s">
        <v>460</v>
      </c>
      <c r="AF17" s="128" t="s">
        <v>461</v>
      </c>
    </row>
    <row r="18" spans="3:32" ht="319" x14ac:dyDescent="0.35">
      <c r="C18" s="128" t="s">
        <v>462</v>
      </c>
      <c r="E18" s="128" t="s">
        <v>463</v>
      </c>
      <c r="F18" s="128" t="s">
        <v>464</v>
      </c>
      <c r="G18" s="128" t="s">
        <v>465</v>
      </c>
      <c r="H18" s="128" t="s">
        <v>466</v>
      </c>
      <c r="I18" s="128" t="s">
        <v>467</v>
      </c>
      <c r="J18" s="128" t="s">
        <v>468</v>
      </c>
      <c r="K18" s="128" t="s">
        <v>469</v>
      </c>
      <c r="L18" s="128" t="s">
        <v>470</v>
      </c>
      <c r="M18" s="128" t="s">
        <v>471</v>
      </c>
      <c r="N18" s="128" t="s">
        <v>472</v>
      </c>
      <c r="O18" s="128" t="s">
        <v>473</v>
      </c>
      <c r="P18" s="128" t="s">
        <v>474</v>
      </c>
      <c r="Q18" s="128" t="s">
        <v>475</v>
      </c>
      <c r="R18" s="128" t="s">
        <v>476</v>
      </c>
      <c r="S18" s="128" t="s">
        <v>477</v>
      </c>
      <c r="T18" s="128" t="s">
        <v>478</v>
      </c>
      <c r="U18" s="128" t="s">
        <v>479</v>
      </c>
      <c r="V18" s="128" t="s">
        <v>480</v>
      </c>
      <c r="W18" s="128" t="s">
        <v>481</v>
      </c>
      <c r="X18" s="128" t="s">
        <v>482</v>
      </c>
      <c r="Y18" s="128" t="s">
        <v>483</v>
      </c>
      <c r="Z18" s="128" t="s">
        <v>484</v>
      </c>
      <c r="AA18" s="128" t="s">
        <v>485</v>
      </c>
      <c r="AB18" s="128" t="s">
        <v>486</v>
      </c>
      <c r="AC18" s="128" t="s">
        <v>487</v>
      </c>
      <c r="AD18" s="128" t="s">
        <v>488</v>
      </c>
      <c r="AE18" s="128" t="s">
        <v>489</v>
      </c>
      <c r="AF18" s="128" t="s">
        <v>490</v>
      </c>
    </row>
    <row r="19" spans="3:32" ht="319" x14ac:dyDescent="0.35">
      <c r="C19" s="128" t="s">
        <v>491</v>
      </c>
      <c r="E19" s="128" t="s">
        <v>492</v>
      </c>
      <c r="F19" s="128" t="s">
        <v>493</v>
      </c>
      <c r="G19" s="128" t="s">
        <v>494</v>
      </c>
      <c r="H19" s="128" t="s">
        <v>495</v>
      </c>
      <c r="I19" s="128" t="s">
        <v>496</v>
      </c>
      <c r="J19" s="128" t="s">
        <v>497</v>
      </c>
      <c r="K19" s="128" t="s">
        <v>498</v>
      </c>
      <c r="L19" s="128" t="s">
        <v>499</v>
      </c>
      <c r="M19" s="128" t="s">
        <v>500</v>
      </c>
      <c r="N19" s="128" t="s">
        <v>501</v>
      </c>
      <c r="O19" s="128" t="s">
        <v>502</v>
      </c>
      <c r="P19" s="128" t="s">
        <v>503</v>
      </c>
      <c r="Q19" s="128" t="s">
        <v>504</v>
      </c>
      <c r="R19" s="128" t="s">
        <v>505</v>
      </c>
      <c r="S19" s="128" t="s">
        <v>506</v>
      </c>
      <c r="T19" s="128" t="s">
        <v>507</v>
      </c>
      <c r="U19" s="128" t="s">
        <v>508</v>
      </c>
      <c r="V19" s="128" t="s">
        <v>509</v>
      </c>
      <c r="W19" s="128" t="s">
        <v>510</v>
      </c>
      <c r="X19" s="128" t="s">
        <v>511</v>
      </c>
      <c r="Y19" s="128" t="s">
        <v>512</v>
      </c>
      <c r="Z19" s="128" t="s">
        <v>513</v>
      </c>
      <c r="AA19" s="128" t="s">
        <v>514</v>
      </c>
      <c r="AB19" s="128" t="s">
        <v>515</v>
      </c>
      <c r="AC19" s="128" t="s">
        <v>516</v>
      </c>
      <c r="AD19" s="128" t="s">
        <v>517</v>
      </c>
      <c r="AE19" s="128" t="s">
        <v>518</v>
      </c>
      <c r="AF19" s="128" t="s">
        <v>519</v>
      </c>
    </row>
    <row r="20" spans="3:32" ht="319" x14ac:dyDescent="0.35">
      <c r="C20" s="128" t="s">
        <v>520</v>
      </c>
      <c r="E20" s="128" t="s">
        <v>521</v>
      </c>
      <c r="F20" s="128" t="s">
        <v>522</v>
      </c>
      <c r="G20" s="128" t="s">
        <v>523</v>
      </c>
      <c r="H20" s="128" t="s">
        <v>524</v>
      </c>
      <c r="I20" s="128" t="s">
        <v>525</v>
      </c>
      <c r="J20" s="128" t="s">
        <v>526</v>
      </c>
      <c r="K20" s="128" t="s">
        <v>527</v>
      </c>
      <c r="L20" s="128" t="s">
        <v>528</v>
      </c>
      <c r="M20" s="128" t="s">
        <v>529</v>
      </c>
      <c r="N20" s="128" t="s">
        <v>530</v>
      </c>
      <c r="O20" s="128" t="s">
        <v>531</v>
      </c>
      <c r="P20" s="128" t="s">
        <v>532</v>
      </c>
      <c r="Q20" s="128" t="s">
        <v>533</v>
      </c>
      <c r="R20" s="128" t="s">
        <v>534</v>
      </c>
      <c r="S20" s="128" t="s">
        <v>535</v>
      </c>
      <c r="T20" s="128" t="s">
        <v>536</v>
      </c>
      <c r="U20" s="128" t="s">
        <v>537</v>
      </c>
      <c r="V20" s="128" t="s">
        <v>538</v>
      </c>
      <c r="W20" s="128" t="s">
        <v>539</v>
      </c>
      <c r="X20" s="128" t="s">
        <v>540</v>
      </c>
      <c r="Y20" s="128" t="s">
        <v>541</v>
      </c>
      <c r="Z20" s="128" t="s">
        <v>542</v>
      </c>
      <c r="AA20" s="128" t="s">
        <v>543</v>
      </c>
      <c r="AB20" s="128" t="s">
        <v>544</v>
      </c>
      <c r="AC20" s="128" t="s">
        <v>545</v>
      </c>
      <c r="AD20" s="128" t="s">
        <v>546</v>
      </c>
      <c r="AE20" s="128" t="s">
        <v>547</v>
      </c>
      <c r="AF20" s="128" t="s">
        <v>548</v>
      </c>
    </row>
    <row r="21" spans="3:32" ht="319" x14ac:dyDescent="0.35">
      <c r="C21" s="128" t="s">
        <v>549</v>
      </c>
      <c r="E21" s="128" t="s">
        <v>550</v>
      </c>
      <c r="F21" s="128" t="s">
        <v>551</v>
      </c>
      <c r="G21" s="128" t="s">
        <v>552</v>
      </c>
      <c r="H21" s="128" t="s">
        <v>553</v>
      </c>
      <c r="I21" s="128" t="s">
        <v>554</v>
      </c>
      <c r="J21" s="128" t="s">
        <v>555</v>
      </c>
      <c r="K21" s="128" t="s">
        <v>556</v>
      </c>
      <c r="L21" s="128" t="s">
        <v>557</v>
      </c>
      <c r="M21" s="128" t="s">
        <v>558</v>
      </c>
      <c r="N21" s="128" t="s">
        <v>559</v>
      </c>
      <c r="O21" s="128" t="s">
        <v>560</v>
      </c>
      <c r="P21" s="128" t="s">
        <v>561</v>
      </c>
      <c r="Q21" s="128" t="s">
        <v>562</v>
      </c>
      <c r="R21" s="128" t="s">
        <v>563</v>
      </c>
      <c r="S21" s="128" t="s">
        <v>564</v>
      </c>
      <c r="T21" s="128" t="s">
        <v>565</v>
      </c>
      <c r="U21" s="128" t="s">
        <v>566</v>
      </c>
      <c r="V21" s="128" t="s">
        <v>567</v>
      </c>
      <c r="W21" s="128" t="s">
        <v>568</v>
      </c>
      <c r="X21" s="128" t="s">
        <v>569</v>
      </c>
      <c r="Y21" s="128" t="s">
        <v>570</v>
      </c>
      <c r="Z21" s="128" t="s">
        <v>571</v>
      </c>
      <c r="AA21" s="128" t="s">
        <v>572</v>
      </c>
      <c r="AB21" s="128" t="s">
        <v>573</v>
      </c>
      <c r="AC21" s="128" t="s">
        <v>574</v>
      </c>
      <c r="AD21" s="128" t="s">
        <v>575</v>
      </c>
      <c r="AE21" s="128" t="s">
        <v>576</v>
      </c>
      <c r="AF21" s="128" t="s">
        <v>577</v>
      </c>
    </row>
    <row r="22" spans="3:32" ht="319" x14ac:dyDescent="0.35">
      <c r="C22" s="128" t="s">
        <v>578</v>
      </c>
      <c r="E22" s="128" t="s">
        <v>579</v>
      </c>
      <c r="F22" s="128" t="s">
        <v>580</v>
      </c>
      <c r="G22" s="128" t="s">
        <v>581</v>
      </c>
      <c r="H22" s="128" t="s">
        <v>582</v>
      </c>
      <c r="I22" s="128" t="s">
        <v>583</v>
      </c>
      <c r="J22" s="128" t="s">
        <v>584</v>
      </c>
      <c r="K22" s="128" t="s">
        <v>585</v>
      </c>
      <c r="L22" s="128" t="s">
        <v>586</v>
      </c>
      <c r="M22" s="128" t="s">
        <v>587</v>
      </c>
      <c r="N22" s="128" t="s">
        <v>588</v>
      </c>
      <c r="O22" s="128" t="s">
        <v>589</v>
      </c>
      <c r="P22" s="128" t="s">
        <v>590</v>
      </c>
      <c r="Q22" s="128" t="s">
        <v>591</v>
      </c>
      <c r="R22" s="128" t="s">
        <v>592</v>
      </c>
      <c r="S22" s="128" t="s">
        <v>593</v>
      </c>
      <c r="T22" s="128" t="s">
        <v>594</v>
      </c>
      <c r="U22" s="128" t="s">
        <v>595</v>
      </c>
      <c r="V22" s="128" t="s">
        <v>596</v>
      </c>
      <c r="W22" s="128" t="s">
        <v>597</v>
      </c>
      <c r="X22" s="128" t="s">
        <v>598</v>
      </c>
      <c r="Y22" s="128" t="s">
        <v>599</v>
      </c>
      <c r="Z22" s="128" t="s">
        <v>600</v>
      </c>
      <c r="AA22" s="128" t="s">
        <v>601</v>
      </c>
      <c r="AB22" s="128" t="s">
        <v>602</v>
      </c>
      <c r="AC22" s="128" t="s">
        <v>603</v>
      </c>
      <c r="AD22" s="128" t="s">
        <v>604</v>
      </c>
      <c r="AE22" s="128" t="s">
        <v>605</v>
      </c>
      <c r="AF22" s="128" t="s">
        <v>606</v>
      </c>
    </row>
    <row r="23" spans="3:32" ht="319" x14ac:dyDescent="0.35">
      <c r="C23" s="128" t="s">
        <v>607</v>
      </c>
      <c r="E23" s="128" t="s">
        <v>608</v>
      </c>
      <c r="F23" s="128" t="s">
        <v>609</v>
      </c>
      <c r="G23" s="128" t="s">
        <v>610</v>
      </c>
      <c r="H23" s="128" t="s">
        <v>611</v>
      </c>
      <c r="I23" s="128" t="s">
        <v>612</v>
      </c>
      <c r="J23" s="128" t="s">
        <v>613</v>
      </c>
      <c r="K23" s="128" t="s">
        <v>614</v>
      </c>
      <c r="L23" s="128" t="s">
        <v>615</v>
      </c>
      <c r="M23" s="128" t="s">
        <v>616</v>
      </c>
      <c r="N23" s="128" t="s">
        <v>617</v>
      </c>
      <c r="O23" s="128" t="s">
        <v>618</v>
      </c>
      <c r="P23" s="128" t="s">
        <v>619</v>
      </c>
      <c r="Q23" s="128" t="s">
        <v>620</v>
      </c>
      <c r="R23" s="128" t="s">
        <v>621</v>
      </c>
      <c r="S23" s="128" t="s">
        <v>622</v>
      </c>
      <c r="T23" s="128" t="s">
        <v>623</v>
      </c>
      <c r="U23" s="128" t="s">
        <v>624</v>
      </c>
      <c r="V23" s="128" t="s">
        <v>625</v>
      </c>
      <c r="W23" s="128" t="s">
        <v>626</v>
      </c>
      <c r="X23" s="128" t="s">
        <v>627</v>
      </c>
      <c r="Y23" s="128" t="s">
        <v>628</v>
      </c>
      <c r="Z23" s="128" t="s">
        <v>629</v>
      </c>
      <c r="AA23" s="128" t="s">
        <v>630</v>
      </c>
      <c r="AB23" s="128" t="s">
        <v>631</v>
      </c>
      <c r="AC23" s="128" t="s">
        <v>632</v>
      </c>
      <c r="AD23" s="128" t="s">
        <v>633</v>
      </c>
      <c r="AE23" s="128" t="s">
        <v>634</v>
      </c>
      <c r="AF23" s="128" t="s">
        <v>635</v>
      </c>
    </row>
    <row r="24" spans="3:32" ht="319" x14ac:dyDescent="0.35">
      <c r="C24" s="128" t="s">
        <v>636</v>
      </c>
      <c r="E24" s="128" t="s">
        <v>637</v>
      </c>
      <c r="F24" s="128" t="s">
        <v>638</v>
      </c>
      <c r="G24" s="128" t="s">
        <v>639</v>
      </c>
      <c r="H24" s="128" t="s">
        <v>640</v>
      </c>
      <c r="I24" s="128" t="s">
        <v>641</v>
      </c>
      <c r="J24" s="128" t="s">
        <v>642</v>
      </c>
      <c r="K24" s="128" t="s">
        <v>643</v>
      </c>
      <c r="L24" s="128" t="s">
        <v>644</v>
      </c>
      <c r="M24" s="128" t="s">
        <v>645</v>
      </c>
      <c r="N24" s="128" t="s">
        <v>646</v>
      </c>
      <c r="O24" s="128" t="s">
        <v>647</v>
      </c>
      <c r="P24" s="128" t="s">
        <v>648</v>
      </c>
      <c r="Q24" s="128" t="s">
        <v>649</v>
      </c>
      <c r="R24" s="128" t="s">
        <v>650</v>
      </c>
      <c r="S24" s="128" t="s">
        <v>651</v>
      </c>
      <c r="T24" s="128" t="s">
        <v>652</v>
      </c>
      <c r="U24" s="128" t="s">
        <v>653</v>
      </c>
      <c r="V24" s="128" t="s">
        <v>654</v>
      </c>
      <c r="W24" s="128" t="s">
        <v>655</v>
      </c>
      <c r="X24" s="128" t="s">
        <v>656</v>
      </c>
      <c r="Y24" s="128" t="s">
        <v>657</v>
      </c>
      <c r="Z24" s="128" t="s">
        <v>658</v>
      </c>
      <c r="AA24" s="128" t="s">
        <v>659</v>
      </c>
      <c r="AB24" s="128" t="s">
        <v>660</v>
      </c>
      <c r="AC24" s="128" t="s">
        <v>661</v>
      </c>
      <c r="AD24" s="128" t="s">
        <v>662</v>
      </c>
      <c r="AE24" s="128" t="s">
        <v>663</v>
      </c>
      <c r="AF24" s="128" t="s">
        <v>664</v>
      </c>
    </row>
    <row r="25" spans="3:32" ht="319" x14ac:dyDescent="0.35">
      <c r="C25" s="128" t="s">
        <v>665</v>
      </c>
      <c r="E25" s="128" t="s">
        <v>666</v>
      </c>
      <c r="F25" s="128" t="s">
        <v>667</v>
      </c>
      <c r="G25" s="128" t="s">
        <v>668</v>
      </c>
      <c r="H25" s="128" t="s">
        <v>669</v>
      </c>
      <c r="I25" s="128" t="s">
        <v>670</v>
      </c>
      <c r="J25" s="128" t="s">
        <v>671</v>
      </c>
      <c r="K25" s="128" t="s">
        <v>672</v>
      </c>
      <c r="L25" s="128" t="s">
        <v>673</v>
      </c>
      <c r="M25" s="128" t="s">
        <v>674</v>
      </c>
      <c r="N25" s="128" t="s">
        <v>675</v>
      </c>
      <c r="O25" s="128" t="s">
        <v>676</v>
      </c>
      <c r="P25" s="128" t="s">
        <v>677</v>
      </c>
      <c r="Q25" s="128" t="s">
        <v>678</v>
      </c>
      <c r="R25" s="128" t="s">
        <v>679</v>
      </c>
      <c r="S25" s="128" t="s">
        <v>680</v>
      </c>
      <c r="T25" s="128" t="s">
        <v>681</v>
      </c>
      <c r="U25" s="128" t="s">
        <v>682</v>
      </c>
      <c r="V25" s="128" t="s">
        <v>683</v>
      </c>
      <c r="W25" s="128" t="s">
        <v>684</v>
      </c>
      <c r="X25" s="128" t="s">
        <v>685</v>
      </c>
      <c r="Y25" s="128" t="s">
        <v>686</v>
      </c>
      <c r="Z25" s="128" t="s">
        <v>687</v>
      </c>
      <c r="AA25" s="128" t="s">
        <v>688</v>
      </c>
      <c r="AB25" s="128" t="s">
        <v>689</v>
      </c>
      <c r="AC25" s="128" t="s">
        <v>690</v>
      </c>
      <c r="AD25" s="128" t="s">
        <v>691</v>
      </c>
      <c r="AE25" s="128" t="s">
        <v>692</v>
      </c>
      <c r="AF25" s="128" t="s">
        <v>693</v>
      </c>
    </row>
    <row r="26" spans="3:32" ht="319" x14ac:dyDescent="0.35">
      <c r="C26" s="128" t="s">
        <v>694</v>
      </c>
      <c r="E26" s="128" t="s">
        <v>695</v>
      </c>
      <c r="F26" s="128" t="s">
        <v>696</v>
      </c>
      <c r="G26" s="128" t="s">
        <v>697</v>
      </c>
      <c r="H26" s="128" t="s">
        <v>698</v>
      </c>
      <c r="I26" s="128" t="s">
        <v>699</v>
      </c>
      <c r="J26" s="128" t="s">
        <v>700</v>
      </c>
      <c r="K26" s="128" t="s">
        <v>701</v>
      </c>
      <c r="L26" s="128" t="s">
        <v>702</v>
      </c>
      <c r="M26" s="128" t="s">
        <v>703</v>
      </c>
      <c r="N26" s="128" t="s">
        <v>704</v>
      </c>
      <c r="O26" s="128" t="s">
        <v>705</v>
      </c>
      <c r="P26" s="128" t="s">
        <v>706</v>
      </c>
      <c r="Q26" s="128" t="s">
        <v>707</v>
      </c>
      <c r="R26" s="128" t="s">
        <v>708</v>
      </c>
      <c r="S26" s="128" t="s">
        <v>709</v>
      </c>
      <c r="T26" s="128" t="s">
        <v>710</v>
      </c>
      <c r="U26" s="128" t="s">
        <v>711</v>
      </c>
      <c r="V26" s="128" t="s">
        <v>712</v>
      </c>
      <c r="W26" s="128" t="s">
        <v>713</v>
      </c>
      <c r="X26" s="128" t="s">
        <v>714</v>
      </c>
      <c r="Y26" s="128" t="s">
        <v>715</v>
      </c>
      <c r="Z26" s="128" t="s">
        <v>716</v>
      </c>
      <c r="AA26" s="128" t="s">
        <v>717</v>
      </c>
      <c r="AB26" s="128" t="s">
        <v>718</v>
      </c>
      <c r="AC26" s="128" t="s">
        <v>719</v>
      </c>
      <c r="AD26" s="128" t="s">
        <v>720</v>
      </c>
      <c r="AE26" s="128" t="s">
        <v>721</v>
      </c>
      <c r="AF26" s="128" t="s">
        <v>722</v>
      </c>
    </row>
    <row r="27" spans="3:32" ht="319" x14ac:dyDescent="0.35">
      <c r="C27" s="128" t="s">
        <v>723</v>
      </c>
      <c r="E27" s="128" t="s">
        <v>724</v>
      </c>
      <c r="F27" s="128" t="s">
        <v>725</v>
      </c>
      <c r="G27" s="128" t="s">
        <v>726</v>
      </c>
      <c r="H27" s="128" t="s">
        <v>727</v>
      </c>
      <c r="I27" s="128" t="s">
        <v>728</v>
      </c>
      <c r="J27" s="128" t="s">
        <v>729</v>
      </c>
      <c r="K27" s="128" t="s">
        <v>730</v>
      </c>
      <c r="L27" s="128" t="s">
        <v>731</v>
      </c>
      <c r="M27" s="128" t="s">
        <v>732</v>
      </c>
      <c r="N27" s="128" t="s">
        <v>733</v>
      </c>
      <c r="O27" s="128" t="s">
        <v>734</v>
      </c>
      <c r="P27" s="128" t="s">
        <v>735</v>
      </c>
      <c r="Q27" s="128" t="s">
        <v>736</v>
      </c>
      <c r="R27" s="128" t="s">
        <v>737</v>
      </c>
      <c r="S27" s="128" t="s">
        <v>738</v>
      </c>
      <c r="T27" s="128" t="s">
        <v>739</v>
      </c>
      <c r="U27" s="128" t="s">
        <v>740</v>
      </c>
      <c r="V27" s="128" t="s">
        <v>741</v>
      </c>
      <c r="W27" s="128" t="s">
        <v>742</v>
      </c>
      <c r="X27" s="128" t="s">
        <v>743</v>
      </c>
      <c r="Y27" s="128" t="s">
        <v>744</v>
      </c>
      <c r="Z27" s="128" t="s">
        <v>745</v>
      </c>
      <c r="AA27" s="128" t="s">
        <v>746</v>
      </c>
      <c r="AB27" s="128" t="s">
        <v>747</v>
      </c>
      <c r="AC27" s="128" t="s">
        <v>748</v>
      </c>
      <c r="AD27" s="128" t="s">
        <v>749</v>
      </c>
      <c r="AE27" s="128" t="s">
        <v>750</v>
      </c>
      <c r="AF27" s="128" t="s">
        <v>751</v>
      </c>
    </row>
    <row r="28" spans="3:32" ht="319" x14ac:dyDescent="0.35">
      <c r="C28" s="128" t="s">
        <v>752</v>
      </c>
      <c r="E28" s="128" t="s">
        <v>753</v>
      </c>
      <c r="F28" s="128" t="s">
        <v>754</v>
      </c>
      <c r="G28" s="128" t="s">
        <v>755</v>
      </c>
      <c r="H28" s="128" t="s">
        <v>756</v>
      </c>
      <c r="I28" s="128" t="s">
        <v>757</v>
      </c>
      <c r="J28" s="128" t="s">
        <v>758</v>
      </c>
      <c r="K28" s="128" t="s">
        <v>759</v>
      </c>
      <c r="L28" s="128" t="s">
        <v>760</v>
      </c>
      <c r="M28" s="128" t="s">
        <v>761</v>
      </c>
      <c r="N28" s="128" t="s">
        <v>762</v>
      </c>
      <c r="O28" s="128" t="s">
        <v>763</v>
      </c>
      <c r="P28" s="128" t="s">
        <v>764</v>
      </c>
      <c r="Q28" s="128" t="s">
        <v>765</v>
      </c>
      <c r="R28" s="128" t="s">
        <v>766</v>
      </c>
      <c r="S28" s="128" t="s">
        <v>767</v>
      </c>
      <c r="T28" s="128" t="s">
        <v>768</v>
      </c>
      <c r="U28" s="128" t="s">
        <v>769</v>
      </c>
      <c r="V28" s="128" t="s">
        <v>770</v>
      </c>
      <c r="W28" s="128" t="s">
        <v>771</v>
      </c>
      <c r="X28" s="128" t="s">
        <v>772</v>
      </c>
      <c r="Y28" s="128" t="s">
        <v>773</v>
      </c>
      <c r="Z28" s="128" t="s">
        <v>774</v>
      </c>
      <c r="AA28" s="128" t="s">
        <v>775</v>
      </c>
      <c r="AB28" s="128" t="s">
        <v>776</v>
      </c>
      <c r="AC28" s="128" t="s">
        <v>777</v>
      </c>
      <c r="AD28" s="128" t="s">
        <v>778</v>
      </c>
      <c r="AE28" s="128" t="s">
        <v>779</v>
      </c>
      <c r="AF28" s="128" t="s">
        <v>780</v>
      </c>
    </row>
    <row r="29" spans="3:32" ht="319" x14ac:dyDescent="0.35">
      <c r="C29" s="128" t="s">
        <v>781</v>
      </c>
      <c r="E29" s="128" t="s">
        <v>782</v>
      </c>
      <c r="F29" s="128" t="s">
        <v>783</v>
      </c>
      <c r="G29" s="128" t="s">
        <v>784</v>
      </c>
      <c r="H29" s="128" t="s">
        <v>785</v>
      </c>
      <c r="I29" s="128" t="s">
        <v>786</v>
      </c>
      <c r="J29" s="128" t="s">
        <v>787</v>
      </c>
      <c r="K29" s="128" t="s">
        <v>788</v>
      </c>
      <c r="L29" s="128" t="s">
        <v>789</v>
      </c>
      <c r="M29" s="128" t="s">
        <v>790</v>
      </c>
      <c r="N29" s="128" t="s">
        <v>791</v>
      </c>
      <c r="O29" s="128" t="s">
        <v>792</v>
      </c>
      <c r="P29" s="128" t="s">
        <v>793</v>
      </c>
      <c r="Q29" s="128" t="s">
        <v>794</v>
      </c>
      <c r="R29" s="128" t="s">
        <v>795</v>
      </c>
      <c r="S29" s="128" t="s">
        <v>796</v>
      </c>
      <c r="T29" s="128" t="s">
        <v>797</v>
      </c>
      <c r="U29" s="128" t="s">
        <v>798</v>
      </c>
      <c r="V29" s="128" t="s">
        <v>799</v>
      </c>
      <c r="W29" s="128" t="s">
        <v>800</v>
      </c>
      <c r="X29" s="128" t="s">
        <v>801</v>
      </c>
      <c r="Y29" s="128" t="s">
        <v>802</v>
      </c>
      <c r="Z29" s="128" t="s">
        <v>803</v>
      </c>
      <c r="AA29" s="128" t="s">
        <v>804</v>
      </c>
      <c r="AB29" s="128" t="s">
        <v>805</v>
      </c>
      <c r="AC29" s="128" t="s">
        <v>806</v>
      </c>
      <c r="AD29" s="128" t="s">
        <v>807</v>
      </c>
      <c r="AE29" s="128" t="s">
        <v>808</v>
      </c>
      <c r="AF29" s="128" t="s">
        <v>809</v>
      </c>
    </row>
    <row r="30" spans="3:32" ht="319" x14ac:dyDescent="0.35">
      <c r="C30" s="128" t="s">
        <v>810</v>
      </c>
      <c r="E30" s="128" t="s">
        <v>811</v>
      </c>
      <c r="F30" s="128" t="s">
        <v>812</v>
      </c>
      <c r="G30" s="128" t="s">
        <v>813</v>
      </c>
      <c r="H30" s="128" t="s">
        <v>814</v>
      </c>
      <c r="I30" s="128" t="s">
        <v>815</v>
      </c>
      <c r="J30" s="128" t="s">
        <v>816</v>
      </c>
      <c r="K30" s="128" t="s">
        <v>817</v>
      </c>
      <c r="L30" s="128" t="s">
        <v>818</v>
      </c>
      <c r="M30" s="128" t="s">
        <v>819</v>
      </c>
      <c r="N30" s="128" t="s">
        <v>820</v>
      </c>
      <c r="O30" s="128" t="s">
        <v>821</v>
      </c>
      <c r="P30" s="128" t="s">
        <v>822</v>
      </c>
      <c r="Q30" s="128" t="s">
        <v>823</v>
      </c>
      <c r="R30" s="128" t="s">
        <v>824</v>
      </c>
      <c r="S30" s="128" t="s">
        <v>825</v>
      </c>
      <c r="T30" s="128" t="s">
        <v>826</v>
      </c>
      <c r="U30" s="128" t="s">
        <v>827</v>
      </c>
      <c r="V30" s="128" t="s">
        <v>828</v>
      </c>
      <c r="W30" s="128" t="s">
        <v>829</v>
      </c>
      <c r="X30" s="128" t="s">
        <v>830</v>
      </c>
      <c r="Y30" s="128" t="s">
        <v>831</v>
      </c>
      <c r="Z30" s="128" t="s">
        <v>832</v>
      </c>
      <c r="AA30" s="128" t="s">
        <v>833</v>
      </c>
      <c r="AB30" s="128" t="s">
        <v>834</v>
      </c>
      <c r="AC30" s="128" t="s">
        <v>835</v>
      </c>
      <c r="AD30" s="128" t="s">
        <v>836</v>
      </c>
      <c r="AE30" s="128" t="s">
        <v>837</v>
      </c>
      <c r="AF30" s="128" t="s">
        <v>838</v>
      </c>
    </row>
    <row r="31" spans="3:32" ht="319" x14ac:dyDescent="0.35">
      <c r="C31" s="128" t="s">
        <v>839</v>
      </c>
      <c r="E31" s="128" t="s">
        <v>840</v>
      </c>
      <c r="F31" s="128" t="s">
        <v>841</v>
      </c>
      <c r="G31" s="128" t="s">
        <v>842</v>
      </c>
      <c r="H31" s="128" t="s">
        <v>843</v>
      </c>
      <c r="I31" s="128" t="s">
        <v>844</v>
      </c>
      <c r="J31" s="128" t="s">
        <v>845</v>
      </c>
      <c r="K31" s="128" t="s">
        <v>846</v>
      </c>
      <c r="L31" s="128" t="s">
        <v>847</v>
      </c>
      <c r="M31" s="128" t="s">
        <v>848</v>
      </c>
      <c r="N31" s="128" t="s">
        <v>849</v>
      </c>
      <c r="O31" s="128" t="s">
        <v>850</v>
      </c>
      <c r="P31" s="128" t="s">
        <v>851</v>
      </c>
      <c r="Q31" s="128" t="s">
        <v>852</v>
      </c>
      <c r="R31" s="128" t="s">
        <v>853</v>
      </c>
      <c r="S31" s="128" t="s">
        <v>854</v>
      </c>
      <c r="T31" s="128" t="s">
        <v>855</v>
      </c>
      <c r="U31" s="128" t="s">
        <v>856</v>
      </c>
      <c r="V31" s="128" t="s">
        <v>857</v>
      </c>
      <c r="W31" s="128" t="s">
        <v>858</v>
      </c>
      <c r="X31" s="128" t="s">
        <v>859</v>
      </c>
      <c r="Y31" s="128" t="s">
        <v>860</v>
      </c>
      <c r="Z31" s="128" t="s">
        <v>861</v>
      </c>
      <c r="AA31" s="128" t="s">
        <v>862</v>
      </c>
      <c r="AB31" s="128" t="s">
        <v>863</v>
      </c>
      <c r="AC31" s="128" t="s">
        <v>864</v>
      </c>
      <c r="AD31" s="128" t="s">
        <v>865</v>
      </c>
      <c r="AE31" s="128" t="s">
        <v>866</v>
      </c>
      <c r="AF31" s="128" t="s">
        <v>867</v>
      </c>
    </row>
    <row r="32" spans="3:32" ht="319" x14ac:dyDescent="0.35">
      <c r="C32" s="128" t="s">
        <v>868</v>
      </c>
      <c r="E32" s="128" t="s">
        <v>869</v>
      </c>
      <c r="F32" s="128" t="s">
        <v>870</v>
      </c>
      <c r="G32" s="128" t="s">
        <v>871</v>
      </c>
      <c r="H32" s="128" t="s">
        <v>872</v>
      </c>
      <c r="I32" s="128" t="s">
        <v>873</v>
      </c>
      <c r="J32" s="128" t="s">
        <v>874</v>
      </c>
      <c r="K32" s="128" t="s">
        <v>875</v>
      </c>
      <c r="L32" s="128" t="s">
        <v>876</v>
      </c>
      <c r="M32" s="128" t="s">
        <v>877</v>
      </c>
      <c r="N32" s="128" t="s">
        <v>878</v>
      </c>
      <c r="O32" s="128" t="s">
        <v>879</v>
      </c>
      <c r="P32" s="128" t="s">
        <v>880</v>
      </c>
      <c r="Q32" s="128" t="s">
        <v>881</v>
      </c>
      <c r="R32" s="128" t="s">
        <v>882</v>
      </c>
      <c r="S32" s="128" t="s">
        <v>883</v>
      </c>
      <c r="T32" s="128" t="s">
        <v>884</v>
      </c>
      <c r="U32" s="128" t="s">
        <v>885</v>
      </c>
      <c r="V32" s="128" t="s">
        <v>886</v>
      </c>
      <c r="W32" s="128" t="s">
        <v>887</v>
      </c>
      <c r="X32" s="128" t="s">
        <v>888</v>
      </c>
      <c r="Y32" s="128" t="s">
        <v>889</v>
      </c>
      <c r="Z32" s="128" t="s">
        <v>890</v>
      </c>
      <c r="AA32" s="128" t="s">
        <v>891</v>
      </c>
      <c r="AB32" s="128" t="s">
        <v>892</v>
      </c>
      <c r="AC32" s="128" t="s">
        <v>893</v>
      </c>
      <c r="AD32" s="128" t="s">
        <v>894</v>
      </c>
      <c r="AE32" s="128" t="s">
        <v>895</v>
      </c>
      <c r="AF32" s="128" t="s">
        <v>896</v>
      </c>
    </row>
    <row r="33" spans="3:32" ht="319" x14ac:dyDescent="0.35">
      <c r="C33" s="128" t="s">
        <v>897</v>
      </c>
      <c r="E33" s="128" t="s">
        <v>898</v>
      </c>
      <c r="F33" s="128" t="s">
        <v>899</v>
      </c>
      <c r="G33" s="128" t="s">
        <v>900</v>
      </c>
      <c r="H33" s="128" t="s">
        <v>901</v>
      </c>
      <c r="I33" s="128" t="s">
        <v>902</v>
      </c>
      <c r="J33" s="128" t="s">
        <v>903</v>
      </c>
      <c r="K33" s="128" t="s">
        <v>904</v>
      </c>
      <c r="L33" s="128" t="s">
        <v>905</v>
      </c>
      <c r="M33" s="128" t="s">
        <v>906</v>
      </c>
      <c r="N33" s="128" t="s">
        <v>907</v>
      </c>
      <c r="O33" s="128" t="s">
        <v>908</v>
      </c>
      <c r="P33" s="128" t="s">
        <v>909</v>
      </c>
      <c r="Q33" s="128" t="s">
        <v>910</v>
      </c>
      <c r="R33" s="128" t="s">
        <v>911</v>
      </c>
      <c r="S33" s="128" t="s">
        <v>912</v>
      </c>
      <c r="T33" s="128" t="s">
        <v>913</v>
      </c>
      <c r="U33" s="128" t="s">
        <v>914</v>
      </c>
      <c r="V33" s="128" t="s">
        <v>915</v>
      </c>
      <c r="W33" s="128" t="s">
        <v>916</v>
      </c>
      <c r="X33" s="128" t="s">
        <v>917</v>
      </c>
      <c r="Y33" s="128" t="s">
        <v>918</v>
      </c>
      <c r="Z33" s="128" t="s">
        <v>919</v>
      </c>
      <c r="AA33" s="128" t="s">
        <v>920</v>
      </c>
      <c r="AB33" s="128" t="s">
        <v>921</v>
      </c>
      <c r="AC33" s="128" t="s">
        <v>922</v>
      </c>
      <c r="AD33" s="128" t="s">
        <v>923</v>
      </c>
      <c r="AE33" s="128" t="s">
        <v>924</v>
      </c>
      <c r="AF33" s="128" t="s">
        <v>925</v>
      </c>
    </row>
    <row r="34" spans="3:32" ht="319" x14ac:dyDescent="0.35">
      <c r="C34" s="128" t="s">
        <v>926</v>
      </c>
      <c r="E34" s="128" t="s">
        <v>927</v>
      </c>
      <c r="F34" s="128" t="s">
        <v>928</v>
      </c>
      <c r="G34" s="128" t="s">
        <v>929</v>
      </c>
      <c r="H34" s="128" t="s">
        <v>930</v>
      </c>
      <c r="I34" s="128" t="s">
        <v>931</v>
      </c>
      <c r="J34" s="128" t="s">
        <v>932</v>
      </c>
      <c r="K34" s="128" t="s">
        <v>933</v>
      </c>
      <c r="L34" s="128" t="s">
        <v>934</v>
      </c>
      <c r="M34" s="128" t="s">
        <v>935</v>
      </c>
      <c r="N34" s="128" t="s">
        <v>936</v>
      </c>
      <c r="O34" s="128" t="s">
        <v>937</v>
      </c>
      <c r="P34" s="128" t="s">
        <v>938</v>
      </c>
      <c r="Q34" s="128" t="s">
        <v>939</v>
      </c>
      <c r="R34" s="128" t="s">
        <v>940</v>
      </c>
      <c r="S34" s="128" t="s">
        <v>941</v>
      </c>
      <c r="T34" s="128" t="s">
        <v>942</v>
      </c>
      <c r="U34" s="128" t="s">
        <v>943</v>
      </c>
      <c r="V34" s="128" t="s">
        <v>944</v>
      </c>
      <c r="W34" s="128" t="s">
        <v>945</v>
      </c>
      <c r="X34" s="128" t="s">
        <v>946</v>
      </c>
      <c r="Y34" s="128" t="s">
        <v>947</v>
      </c>
      <c r="Z34" s="128" t="s">
        <v>948</v>
      </c>
      <c r="AA34" s="128" t="s">
        <v>949</v>
      </c>
      <c r="AB34" s="128" t="s">
        <v>950</v>
      </c>
      <c r="AC34" s="128" t="s">
        <v>951</v>
      </c>
      <c r="AD34" s="128" t="s">
        <v>952</v>
      </c>
      <c r="AE34" s="128" t="s">
        <v>953</v>
      </c>
      <c r="AF34" s="128" t="s">
        <v>954</v>
      </c>
    </row>
    <row r="35" spans="3:32" ht="319" x14ac:dyDescent="0.35">
      <c r="C35" s="128" t="s">
        <v>955</v>
      </c>
      <c r="E35" s="128" t="s">
        <v>956</v>
      </c>
      <c r="F35" s="128" t="s">
        <v>957</v>
      </c>
      <c r="G35" s="128" t="s">
        <v>958</v>
      </c>
      <c r="H35" s="128" t="s">
        <v>959</v>
      </c>
      <c r="I35" s="128" t="s">
        <v>960</v>
      </c>
      <c r="J35" s="128" t="s">
        <v>961</v>
      </c>
      <c r="K35" s="128" t="s">
        <v>962</v>
      </c>
      <c r="L35" s="128" t="s">
        <v>963</v>
      </c>
      <c r="M35" s="128" t="s">
        <v>964</v>
      </c>
      <c r="N35" s="128" t="s">
        <v>965</v>
      </c>
      <c r="O35" s="128" t="s">
        <v>966</v>
      </c>
      <c r="P35" s="128" t="s">
        <v>967</v>
      </c>
      <c r="Q35" s="128" t="s">
        <v>968</v>
      </c>
      <c r="R35" s="128" t="s">
        <v>969</v>
      </c>
      <c r="S35" s="128" t="s">
        <v>970</v>
      </c>
      <c r="T35" s="128" t="s">
        <v>971</v>
      </c>
      <c r="U35" s="128" t="s">
        <v>972</v>
      </c>
      <c r="V35" s="128" t="s">
        <v>973</v>
      </c>
      <c r="W35" s="128" t="s">
        <v>974</v>
      </c>
      <c r="X35" s="128" t="s">
        <v>975</v>
      </c>
      <c r="Y35" s="128" t="s">
        <v>976</v>
      </c>
      <c r="Z35" s="128" t="s">
        <v>977</v>
      </c>
      <c r="AA35" s="128" t="s">
        <v>978</v>
      </c>
      <c r="AB35" s="128" t="s">
        <v>979</v>
      </c>
      <c r="AC35" s="128" t="s">
        <v>980</v>
      </c>
      <c r="AD35" s="128" t="s">
        <v>981</v>
      </c>
      <c r="AE35" s="128" t="s">
        <v>982</v>
      </c>
      <c r="AF35" s="128" t="s">
        <v>983</v>
      </c>
    </row>
    <row r="36" spans="3:32" ht="319" x14ac:dyDescent="0.35">
      <c r="C36" s="128" t="s">
        <v>984</v>
      </c>
      <c r="E36" s="128" t="s">
        <v>985</v>
      </c>
      <c r="F36" s="128" t="s">
        <v>986</v>
      </c>
      <c r="G36" s="128" t="s">
        <v>987</v>
      </c>
      <c r="H36" s="128" t="s">
        <v>988</v>
      </c>
      <c r="I36" s="128" t="s">
        <v>989</v>
      </c>
      <c r="J36" s="128" t="s">
        <v>990</v>
      </c>
      <c r="K36" s="128" t="s">
        <v>991</v>
      </c>
      <c r="L36" s="128" t="s">
        <v>992</v>
      </c>
      <c r="M36" s="128" t="s">
        <v>993</v>
      </c>
      <c r="N36" s="128" t="s">
        <v>994</v>
      </c>
      <c r="O36" s="128" t="s">
        <v>995</v>
      </c>
      <c r="P36" s="128" t="s">
        <v>996</v>
      </c>
      <c r="Q36" s="128" t="s">
        <v>997</v>
      </c>
      <c r="R36" s="128" t="s">
        <v>998</v>
      </c>
      <c r="S36" s="128" t="s">
        <v>999</v>
      </c>
      <c r="T36" s="128" t="s">
        <v>1000</v>
      </c>
      <c r="U36" s="128" t="s">
        <v>1001</v>
      </c>
      <c r="V36" s="128" t="s">
        <v>1002</v>
      </c>
      <c r="W36" s="128" t="s">
        <v>1003</v>
      </c>
      <c r="X36" s="128" t="s">
        <v>1004</v>
      </c>
      <c r="Y36" s="128" t="s">
        <v>1005</v>
      </c>
      <c r="Z36" s="128" t="s">
        <v>1006</v>
      </c>
      <c r="AA36" s="128" t="s">
        <v>1007</v>
      </c>
      <c r="AB36" s="128" t="s">
        <v>1008</v>
      </c>
      <c r="AC36" s="128" t="s">
        <v>1009</v>
      </c>
      <c r="AD36" s="128" t="s">
        <v>1010</v>
      </c>
      <c r="AE36" s="128" t="s">
        <v>1011</v>
      </c>
      <c r="AF36" s="128" t="s">
        <v>1012</v>
      </c>
    </row>
    <row r="37" spans="3:32" ht="319" x14ac:dyDescent="0.35">
      <c r="C37" s="128" t="s">
        <v>1013</v>
      </c>
      <c r="E37" s="128" t="s">
        <v>1014</v>
      </c>
      <c r="F37" s="128" t="s">
        <v>1015</v>
      </c>
      <c r="G37" s="128" t="s">
        <v>1016</v>
      </c>
      <c r="H37" s="128" t="s">
        <v>1017</v>
      </c>
      <c r="I37" s="128" t="s">
        <v>1018</v>
      </c>
      <c r="J37" s="128" t="s">
        <v>1019</v>
      </c>
      <c r="K37" s="128" t="s">
        <v>1020</v>
      </c>
      <c r="L37" s="128" t="s">
        <v>1021</v>
      </c>
      <c r="M37" s="128" t="s">
        <v>1022</v>
      </c>
      <c r="N37" s="128" t="s">
        <v>1023</v>
      </c>
      <c r="O37" s="128" t="s">
        <v>1024</v>
      </c>
      <c r="P37" s="128" t="s">
        <v>1025</v>
      </c>
      <c r="Q37" s="128" t="s">
        <v>1026</v>
      </c>
      <c r="R37" s="128" t="s">
        <v>1027</v>
      </c>
      <c r="S37" s="128" t="s">
        <v>1028</v>
      </c>
      <c r="T37" s="128" t="s">
        <v>1029</v>
      </c>
      <c r="U37" s="128" t="s">
        <v>1030</v>
      </c>
      <c r="V37" s="128" t="s">
        <v>1031</v>
      </c>
      <c r="W37" s="128" t="s">
        <v>1032</v>
      </c>
      <c r="X37" s="128" t="s">
        <v>1033</v>
      </c>
      <c r="Y37" s="128" t="s">
        <v>1034</v>
      </c>
      <c r="Z37" s="128" t="s">
        <v>1035</v>
      </c>
      <c r="AA37" s="128" t="s">
        <v>1036</v>
      </c>
      <c r="AB37" s="128" t="s">
        <v>1037</v>
      </c>
      <c r="AC37" s="128" t="s">
        <v>1038</v>
      </c>
      <c r="AD37" s="128" t="s">
        <v>1039</v>
      </c>
      <c r="AE37" s="128" t="s">
        <v>1040</v>
      </c>
      <c r="AF37" s="128" t="s">
        <v>1041</v>
      </c>
    </row>
    <row r="38" spans="3:32" ht="319" x14ac:dyDescent="0.35">
      <c r="C38" s="128" t="s">
        <v>1042</v>
      </c>
      <c r="E38" s="128" t="s">
        <v>1043</v>
      </c>
      <c r="F38" s="128" t="s">
        <v>1044</v>
      </c>
      <c r="G38" s="128" t="s">
        <v>1045</v>
      </c>
      <c r="H38" s="128" t="s">
        <v>1046</v>
      </c>
      <c r="I38" s="128" t="s">
        <v>1047</v>
      </c>
      <c r="J38" s="128" t="s">
        <v>1048</v>
      </c>
      <c r="K38" s="128" t="s">
        <v>1049</v>
      </c>
      <c r="L38" s="128" t="s">
        <v>1050</v>
      </c>
      <c r="M38" s="128" t="s">
        <v>1051</v>
      </c>
      <c r="N38" s="128" t="s">
        <v>1052</v>
      </c>
      <c r="O38" s="128" t="s">
        <v>1053</v>
      </c>
      <c r="P38" s="128" t="s">
        <v>1054</v>
      </c>
      <c r="Q38" s="128" t="s">
        <v>1055</v>
      </c>
      <c r="R38" s="128" t="s">
        <v>1056</v>
      </c>
      <c r="S38" s="128" t="s">
        <v>1057</v>
      </c>
      <c r="T38" s="128" t="s">
        <v>1058</v>
      </c>
      <c r="U38" s="128" t="s">
        <v>1059</v>
      </c>
      <c r="V38" s="128" t="s">
        <v>1060</v>
      </c>
      <c r="W38" s="128" t="s">
        <v>1061</v>
      </c>
      <c r="X38" s="128" t="s">
        <v>1062</v>
      </c>
      <c r="Y38" s="128" t="s">
        <v>1063</v>
      </c>
      <c r="Z38" s="128" t="s">
        <v>1064</v>
      </c>
      <c r="AA38" s="128" t="s">
        <v>1065</v>
      </c>
      <c r="AB38" s="128" t="s">
        <v>1066</v>
      </c>
      <c r="AC38" s="128" t="s">
        <v>1067</v>
      </c>
      <c r="AD38" s="128" t="s">
        <v>1068</v>
      </c>
      <c r="AE38" s="128" t="s">
        <v>1069</v>
      </c>
      <c r="AF38" s="128" t="s">
        <v>1070</v>
      </c>
    </row>
    <row r="39" spans="3:32" ht="319" x14ac:dyDescent="0.35">
      <c r="C39" s="128" t="s">
        <v>1071</v>
      </c>
      <c r="E39" s="128" t="s">
        <v>1072</v>
      </c>
      <c r="F39" s="128" t="s">
        <v>1073</v>
      </c>
      <c r="G39" s="128" t="s">
        <v>1074</v>
      </c>
      <c r="H39" s="128" t="s">
        <v>1075</v>
      </c>
      <c r="I39" s="128" t="s">
        <v>1076</v>
      </c>
      <c r="J39" s="128" t="s">
        <v>1077</v>
      </c>
      <c r="K39" s="128" t="s">
        <v>1078</v>
      </c>
      <c r="L39" s="128" t="s">
        <v>1079</v>
      </c>
      <c r="M39" s="128" t="s">
        <v>1080</v>
      </c>
      <c r="N39" s="128" t="s">
        <v>1081</v>
      </c>
      <c r="O39" s="128" t="s">
        <v>1082</v>
      </c>
      <c r="P39" s="128" t="s">
        <v>1083</v>
      </c>
      <c r="Q39" s="128" t="s">
        <v>1084</v>
      </c>
      <c r="R39" s="128" t="s">
        <v>1085</v>
      </c>
      <c r="S39" s="128" t="s">
        <v>1086</v>
      </c>
      <c r="T39" s="128" t="s">
        <v>1087</v>
      </c>
      <c r="U39" s="128" t="s">
        <v>1088</v>
      </c>
      <c r="V39" s="128" t="s">
        <v>1089</v>
      </c>
      <c r="W39" s="128" t="s">
        <v>1090</v>
      </c>
      <c r="X39" s="128" t="s">
        <v>1091</v>
      </c>
      <c r="Y39" s="128" t="s">
        <v>1092</v>
      </c>
      <c r="Z39" s="128" t="s">
        <v>1093</v>
      </c>
      <c r="AA39" s="128" t="s">
        <v>1094</v>
      </c>
      <c r="AB39" s="128" t="s">
        <v>1095</v>
      </c>
      <c r="AC39" s="128" t="s">
        <v>1096</v>
      </c>
      <c r="AD39" s="128" t="s">
        <v>1097</v>
      </c>
      <c r="AE39" s="128" t="s">
        <v>1098</v>
      </c>
      <c r="AF39" s="128" t="s">
        <v>1099</v>
      </c>
    </row>
    <row r="40" spans="3:32" ht="319" x14ac:dyDescent="0.35">
      <c r="C40" s="128" t="s">
        <v>1100</v>
      </c>
      <c r="E40" s="128" t="s">
        <v>1101</v>
      </c>
      <c r="F40" s="128" t="s">
        <v>1102</v>
      </c>
      <c r="G40" s="128" t="s">
        <v>1103</v>
      </c>
      <c r="H40" s="128" t="s">
        <v>1104</v>
      </c>
      <c r="I40" s="128" t="s">
        <v>1105</v>
      </c>
      <c r="J40" s="128" t="s">
        <v>1106</v>
      </c>
      <c r="K40" s="128" t="s">
        <v>1107</v>
      </c>
      <c r="L40" s="128" t="s">
        <v>1108</v>
      </c>
      <c r="M40" s="128" t="s">
        <v>1109</v>
      </c>
      <c r="N40" s="128" t="s">
        <v>1110</v>
      </c>
      <c r="O40" s="128" t="s">
        <v>1111</v>
      </c>
      <c r="P40" s="128" t="s">
        <v>1112</v>
      </c>
      <c r="Q40" s="128" t="s">
        <v>1113</v>
      </c>
      <c r="R40" s="128" t="s">
        <v>1114</v>
      </c>
      <c r="S40" s="128" t="s">
        <v>1115</v>
      </c>
      <c r="T40" s="128" t="s">
        <v>1116</v>
      </c>
      <c r="U40" s="128" t="s">
        <v>1117</v>
      </c>
      <c r="V40" s="128" t="s">
        <v>1118</v>
      </c>
      <c r="W40" s="128" t="s">
        <v>1119</v>
      </c>
      <c r="X40" s="128" t="s">
        <v>1120</v>
      </c>
      <c r="Y40" s="128" t="s">
        <v>1121</v>
      </c>
      <c r="Z40" s="128" t="s">
        <v>1122</v>
      </c>
      <c r="AA40" s="128" t="s">
        <v>1123</v>
      </c>
      <c r="AB40" s="128" t="s">
        <v>1124</v>
      </c>
      <c r="AC40" s="128" t="s">
        <v>1125</v>
      </c>
      <c r="AD40" s="128" t="s">
        <v>1126</v>
      </c>
      <c r="AE40" s="128" t="s">
        <v>1127</v>
      </c>
      <c r="AF40" s="128" t="s">
        <v>1128</v>
      </c>
    </row>
    <row r="41" spans="3:32" ht="319" x14ac:dyDescent="0.35">
      <c r="C41" s="128" t="s">
        <v>1129</v>
      </c>
      <c r="E41" s="128" t="s">
        <v>1130</v>
      </c>
      <c r="F41" s="128" t="s">
        <v>1131</v>
      </c>
      <c r="G41" s="128" t="s">
        <v>1132</v>
      </c>
      <c r="H41" s="128" t="s">
        <v>1133</v>
      </c>
      <c r="I41" s="128" t="s">
        <v>1134</v>
      </c>
      <c r="J41" s="128" t="s">
        <v>1135</v>
      </c>
      <c r="K41" s="128" t="s">
        <v>1136</v>
      </c>
      <c r="L41" s="128" t="s">
        <v>1137</v>
      </c>
      <c r="M41" s="128" t="s">
        <v>1138</v>
      </c>
      <c r="N41" s="128" t="s">
        <v>1139</v>
      </c>
      <c r="O41" s="128" t="s">
        <v>1140</v>
      </c>
      <c r="P41" s="128" t="s">
        <v>1141</v>
      </c>
      <c r="Q41" s="128" t="s">
        <v>1142</v>
      </c>
      <c r="R41" s="128" t="s">
        <v>1143</v>
      </c>
      <c r="S41" s="128" t="s">
        <v>1144</v>
      </c>
      <c r="T41" s="128" t="s">
        <v>1145</v>
      </c>
      <c r="U41" s="128" t="s">
        <v>1146</v>
      </c>
      <c r="V41" s="128" t="s">
        <v>1147</v>
      </c>
      <c r="W41" s="128" t="s">
        <v>1148</v>
      </c>
      <c r="X41" s="128" t="s">
        <v>1149</v>
      </c>
      <c r="Y41" s="128" t="s">
        <v>1150</v>
      </c>
      <c r="Z41" s="128" t="s">
        <v>1151</v>
      </c>
      <c r="AA41" s="128" t="s">
        <v>1152</v>
      </c>
      <c r="AB41" s="128" t="s">
        <v>1153</v>
      </c>
      <c r="AC41" s="128" t="s">
        <v>1154</v>
      </c>
      <c r="AD41" s="128" t="s">
        <v>1155</v>
      </c>
      <c r="AE41" s="128" t="s">
        <v>1156</v>
      </c>
      <c r="AF41" s="128" t="s">
        <v>1157</v>
      </c>
    </row>
    <row r="42" spans="3:32" ht="319" x14ac:dyDescent="0.35">
      <c r="C42" s="128" t="s">
        <v>1158</v>
      </c>
      <c r="E42" s="128" t="s">
        <v>1159</v>
      </c>
      <c r="F42" s="128" t="s">
        <v>1160</v>
      </c>
      <c r="G42" s="128" t="s">
        <v>1161</v>
      </c>
      <c r="H42" s="128" t="s">
        <v>1162</v>
      </c>
      <c r="I42" s="128" t="s">
        <v>1163</v>
      </c>
      <c r="J42" s="128" t="s">
        <v>1164</v>
      </c>
      <c r="K42" s="128" t="s">
        <v>1165</v>
      </c>
      <c r="L42" s="128" t="s">
        <v>1166</v>
      </c>
      <c r="M42" s="128" t="s">
        <v>1167</v>
      </c>
      <c r="N42" s="128" t="s">
        <v>1168</v>
      </c>
      <c r="O42" s="128" t="s">
        <v>1169</v>
      </c>
      <c r="P42" s="128" t="s">
        <v>1170</v>
      </c>
      <c r="Q42" s="128" t="s">
        <v>1171</v>
      </c>
      <c r="R42" s="128" t="s">
        <v>1172</v>
      </c>
      <c r="S42" s="128" t="s">
        <v>1173</v>
      </c>
      <c r="T42" s="128" t="s">
        <v>1174</v>
      </c>
      <c r="U42" s="128" t="s">
        <v>1175</v>
      </c>
      <c r="V42" s="128" t="s">
        <v>1176</v>
      </c>
      <c r="W42" s="128" t="s">
        <v>1177</v>
      </c>
      <c r="X42" s="128" t="s">
        <v>1178</v>
      </c>
      <c r="Y42" s="128" t="s">
        <v>1179</v>
      </c>
      <c r="Z42" s="128" t="s">
        <v>1180</v>
      </c>
      <c r="AA42" s="128" t="s">
        <v>1181</v>
      </c>
      <c r="AB42" s="128" t="s">
        <v>1182</v>
      </c>
      <c r="AC42" s="128" t="s">
        <v>1183</v>
      </c>
      <c r="AD42" s="128" t="s">
        <v>1184</v>
      </c>
      <c r="AE42" s="128" t="s">
        <v>1185</v>
      </c>
      <c r="AF42" s="128" t="s">
        <v>1186</v>
      </c>
    </row>
    <row r="43" spans="3:32" ht="319" x14ac:dyDescent="0.35">
      <c r="C43" s="128" t="s">
        <v>1187</v>
      </c>
      <c r="E43" s="128" t="s">
        <v>1188</v>
      </c>
      <c r="F43" s="128" t="s">
        <v>1189</v>
      </c>
      <c r="G43" s="128" t="s">
        <v>1190</v>
      </c>
      <c r="H43" s="128" t="s">
        <v>1191</v>
      </c>
      <c r="I43" s="128" t="s">
        <v>1192</v>
      </c>
      <c r="J43" s="128" t="s">
        <v>1193</v>
      </c>
      <c r="K43" s="128" t="s">
        <v>1194</v>
      </c>
      <c r="L43" s="128" t="s">
        <v>1195</v>
      </c>
      <c r="M43" s="128" t="s">
        <v>1196</v>
      </c>
      <c r="N43" s="128" t="s">
        <v>1197</v>
      </c>
      <c r="O43" s="128" t="s">
        <v>1198</v>
      </c>
      <c r="P43" s="128" t="s">
        <v>1199</v>
      </c>
      <c r="Q43" s="128" t="s">
        <v>1200</v>
      </c>
      <c r="R43" s="128" t="s">
        <v>1201</v>
      </c>
      <c r="S43" s="128" t="s">
        <v>1202</v>
      </c>
      <c r="T43" s="128" t="s">
        <v>1203</v>
      </c>
      <c r="U43" s="128" t="s">
        <v>1204</v>
      </c>
      <c r="V43" s="128" t="s">
        <v>1205</v>
      </c>
      <c r="W43" s="128" t="s">
        <v>1206</v>
      </c>
      <c r="X43" s="128" t="s">
        <v>1207</v>
      </c>
      <c r="Y43" s="128" t="s">
        <v>1208</v>
      </c>
      <c r="Z43" s="128" t="s">
        <v>1209</v>
      </c>
      <c r="AA43" s="128" t="s">
        <v>1210</v>
      </c>
      <c r="AB43" s="128" t="s">
        <v>1211</v>
      </c>
      <c r="AC43" s="128" t="s">
        <v>1212</v>
      </c>
      <c r="AD43" s="128" t="s">
        <v>1213</v>
      </c>
      <c r="AE43" s="128" t="s">
        <v>1214</v>
      </c>
      <c r="AF43" s="128" t="s">
        <v>1215</v>
      </c>
    </row>
    <row r="44" spans="3:32" ht="319" x14ac:dyDescent="0.35">
      <c r="C44" s="128" t="s">
        <v>1216</v>
      </c>
      <c r="E44" s="128" t="s">
        <v>1217</v>
      </c>
      <c r="F44" s="128" t="s">
        <v>1218</v>
      </c>
      <c r="G44" s="128" t="s">
        <v>1219</v>
      </c>
      <c r="H44" s="128" t="s">
        <v>1220</v>
      </c>
      <c r="I44" s="128" t="s">
        <v>1221</v>
      </c>
      <c r="J44" s="128" t="s">
        <v>1222</v>
      </c>
      <c r="K44" s="128" t="s">
        <v>1223</v>
      </c>
      <c r="L44" s="128" t="s">
        <v>1224</v>
      </c>
      <c r="M44" s="128" t="s">
        <v>1225</v>
      </c>
      <c r="N44" s="128" t="s">
        <v>1226</v>
      </c>
      <c r="O44" s="128" t="s">
        <v>1227</v>
      </c>
      <c r="P44" s="128" t="s">
        <v>1228</v>
      </c>
      <c r="Q44" s="128" t="s">
        <v>1229</v>
      </c>
      <c r="R44" s="128" t="s">
        <v>1230</v>
      </c>
      <c r="S44" s="128" t="s">
        <v>1231</v>
      </c>
      <c r="T44" s="128" t="s">
        <v>1232</v>
      </c>
      <c r="U44" s="128" t="s">
        <v>1233</v>
      </c>
      <c r="V44" s="128" t="s">
        <v>1234</v>
      </c>
      <c r="W44" s="128" t="s">
        <v>1235</v>
      </c>
      <c r="X44" s="128" t="s">
        <v>1236</v>
      </c>
      <c r="Y44" s="128" t="s">
        <v>1237</v>
      </c>
      <c r="Z44" s="128" t="s">
        <v>1238</v>
      </c>
      <c r="AA44" s="128" t="s">
        <v>1239</v>
      </c>
      <c r="AB44" s="128" t="s">
        <v>1240</v>
      </c>
      <c r="AC44" s="128" t="s">
        <v>1241</v>
      </c>
      <c r="AD44" s="128" t="s">
        <v>1242</v>
      </c>
      <c r="AE44" s="128" t="s">
        <v>1243</v>
      </c>
      <c r="AF44" s="128" t="s">
        <v>1244</v>
      </c>
    </row>
    <row r="45" spans="3:32" ht="319" x14ac:dyDescent="0.35">
      <c r="C45" s="128" t="s">
        <v>1245</v>
      </c>
      <c r="E45" s="128" t="s">
        <v>1246</v>
      </c>
      <c r="F45" s="128" t="s">
        <v>1247</v>
      </c>
      <c r="G45" s="128" t="s">
        <v>1248</v>
      </c>
      <c r="H45" s="128" t="s">
        <v>1249</v>
      </c>
      <c r="I45" s="128" t="s">
        <v>1250</v>
      </c>
      <c r="J45" s="128" t="s">
        <v>1251</v>
      </c>
      <c r="K45" s="128" t="s">
        <v>1252</v>
      </c>
      <c r="L45" s="128" t="s">
        <v>1253</v>
      </c>
      <c r="M45" s="128" t="s">
        <v>1254</v>
      </c>
      <c r="N45" s="128" t="s">
        <v>1255</v>
      </c>
      <c r="O45" s="128" t="s">
        <v>1256</v>
      </c>
      <c r="P45" s="128" t="s">
        <v>1257</v>
      </c>
      <c r="Q45" s="128" t="s">
        <v>1258</v>
      </c>
      <c r="R45" s="128" t="s">
        <v>1259</v>
      </c>
      <c r="S45" s="128" t="s">
        <v>1260</v>
      </c>
      <c r="T45" s="128" t="s">
        <v>1261</v>
      </c>
      <c r="U45" s="128" t="s">
        <v>1262</v>
      </c>
      <c r="V45" s="128" t="s">
        <v>1263</v>
      </c>
      <c r="W45" s="128" t="s">
        <v>1264</v>
      </c>
      <c r="X45" s="128" t="s">
        <v>1265</v>
      </c>
      <c r="Y45" s="128" t="s">
        <v>1266</v>
      </c>
      <c r="Z45" s="128" t="s">
        <v>1267</v>
      </c>
      <c r="AA45" s="128" t="s">
        <v>1268</v>
      </c>
      <c r="AB45" s="128" t="s">
        <v>1269</v>
      </c>
      <c r="AC45" s="128" t="s">
        <v>1270</v>
      </c>
      <c r="AD45" s="128" t="s">
        <v>1271</v>
      </c>
      <c r="AE45" s="128" t="s">
        <v>1272</v>
      </c>
      <c r="AF45" s="128" t="s">
        <v>1273</v>
      </c>
    </row>
    <row r="46" spans="3:32" ht="319" x14ac:dyDescent="0.35">
      <c r="C46" s="128" t="s">
        <v>1274</v>
      </c>
      <c r="E46" s="128" t="s">
        <v>1275</v>
      </c>
      <c r="F46" s="128" t="s">
        <v>1276</v>
      </c>
      <c r="G46" s="128" t="s">
        <v>1277</v>
      </c>
      <c r="H46" s="128" t="s">
        <v>1278</v>
      </c>
      <c r="I46" s="128" t="s">
        <v>1279</v>
      </c>
      <c r="J46" s="128" t="s">
        <v>1280</v>
      </c>
      <c r="K46" s="128" t="s">
        <v>1281</v>
      </c>
      <c r="L46" s="128" t="s">
        <v>1282</v>
      </c>
      <c r="M46" s="128" t="s">
        <v>1283</v>
      </c>
      <c r="N46" s="128" t="s">
        <v>1284</v>
      </c>
      <c r="O46" s="128" t="s">
        <v>1285</v>
      </c>
      <c r="P46" s="128" t="s">
        <v>1286</v>
      </c>
      <c r="Q46" s="128" t="s">
        <v>1287</v>
      </c>
      <c r="R46" s="128" t="s">
        <v>1288</v>
      </c>
      <c r="S46" s="128" t="s">
        <v>1289</v>
      </c>
      <c r="T46" s="128" t="s">
        <v>1290</v>
      </c>
      <c r="U46" s="128" t="s">
        <v>1291</v>
      </c>
      <c r="V46" s="128" t="s">
        <v>1292</v>
      </c>
      <c r="W46" s="128" t="s">
        <v>1293</v>
      </c>
      <c r="X46" s="128" t="s">
        <v>1294</v>
      </c>
      <c r="Y46" s="128" t="s">
        <v>1295</v>
      </c>
      <c r="Z46" s="128" t="s">
        <v>1296</v>
      </c>
      <c r="AA46" s="128" t="s">
        <v>1297</v>
      </c>
      <c r="AB46" s="128" t="s">
        <v>1298</v>
      </c>
      <c r="AC46" s="128" t="s">
        <v>1299</v>
      </c>
      <c r="AD46" s="128" t="s">
        <v>1300</v>
      </c>
      <c r="AE46" s="128" t="s">
        <v>1301</v>
      </c>
      <c r="AF46" s="128" t="s">
        <v>1302</v>
      </c>
    </row>
    <row r="47" spans="3:32" ht="319" x14ac:dyDescent="0.35">
      <c r="C47" s="128" t="s">
        <v>1303</v>
      </c>
      <c r="E47" s="128" t="s">
        <v>1304</v>
      </c>
      <c r="F47" s="128" t="s">
        <v>1305</v>
      </c>
      <c r="G47" s="128" t="s">
        <v>1306</v>
      </c>
      <c r="H47" s="128" t="s">
        <v>1307</v>
      </c>
      <c r="I47" s="128" t="s">
        <v>1308</v>
      </c>
      <c r="J47" s="128" t="s">
        <v>1309</v>
      </c>
      <c r="K47" s="128" t="s">
        <v>1310</v>
      </c>
      <c r="L47" s="128" t="s">
        <v>1311</v>
      </c>
      <c r="M47" s="128" t="s">
        <v>1312</v>
      </c>
      <c r="N47" s="128" t="s">
        <v>1313</v>
      </c>
      <c r="O47" s="128" t="s">
        <v>1314</v>
      </c>
      <c r="P47" s="128" t="s">
        <v>1315</v>
      </c>
      <c r="Q47" s="128" t="s">
        <v>1316</v>
      </c>
      <c r="R47" s="128" t="s">
        <v>1317</v>
      </c>
      <c r="S47" s="128" t="s">
        <v>1318</v>
      </c>
      <c r="T47" s="128" t="s">
        <v>1319</v>
      </c>
      <c r="U47" s="128" t="s">
        <v>1320</v>
      </c>
      <c r="V47" s="128" t="s">
        <v>1321</v>
      </c>
      <c r="W47" s="128" t="s">
        <v>1322</v>
      </c>
      <c r="X47" s="128" t="s">
        <v>1323</v>
      </c>
      <c r="Y47" s="128" t="s">
        <v>1324</v>
      </c>
      <c r="Z47" s="128" t="s">
        <v>1325</v>
      </c>
      <c r="AA47" s="128" t="s">
        <v>1326</v>
      </c>
      <c r="AB47" s="128" t="s">
        <v>1327</v>
      </c>
      <c r="AC47" s="128" t="s">
        <v>1328</v>
      </c>
      <c r="AD47" s="128" t="s">
        <v>1329</v>
      </c>
      <c r="AE47" s="128" t="s">
        <v>1330</v>
      </c>
      <c r="AF47" s="128" t="s">
        <v>1331</v>
      </c>
    </row>
    <row r="48" spans="3:32" ht="319" x14ac:dyDescent="0.35">
      <c r="C48" s="128" t="s">
        <v>1332</v>
      </c>
      <c r="E48" s="128" t="s">
        <v>1333</v>
      </c>
      <c r="F48" s="128" t="s">
        <v>1334</v>
      </c>
      <c r="G48" s="128" t="s">
        <v>1335</v>
      </c>
      <c r="H48" s="128" t="s">
        <v>1336</v>
      </c>
      <c r="I48" s="128" t="s">
        <v>1337</v>
      </c>
      <c r="J48" s="128" t="s">
        <v>1338</v>
      </c>
      <c r="K48" s="128" t="s">
        <v>1339</v>
      </c>
      <c r="L48" s="128" t="s">
        <v>1340</v>
      </c>
      <c r="M48" s="128" t="s">
        <v>1341</v>
      </c>
      <c r="N48" s="128" t="s">
        <v>1342</v>
      </c>
      <c r="O48" s="128" t="s">
        <v>1343</v>
      </c>
      <c r="P48" s="128" t="s">
        <v>1344</v>
      </c>
      <c r="Q48" s="128" t="s">
        <v>1345</v>
      </c>
      <c r="R48" s="128" t="s">
        <v>1346</v>
      </c>
      <c r="S48" s="128" t="s">
        <v>1347</v>
      </c>
      <c r="T48" s="128" t="s">
        <v>1348</v>
      </c>
      <c r="U48" s="128" t="s">
        <v>1349</v>
      </c>
      <c r="V48" s="128" t="s">
        <v>1350</v>
      </c>
      <c r="W48" s="128" t="s">
        <v>1351</v>
      </c>
      <c r="X48" s="128" t="s">
        <v>1352</v>
      </c>
      <c r="Y48" s="128" t="s">
        <v>1353</v>
      </c>
      <c r="Z48" s="128" t="s">
        <v>1354</v>
      </c>
      <c r="AA48" s="128" t="s">
        <v>1355</v>
      </c>
      <c r="AB48" s="128" t="s">
        <v>1356</v>
      </c>
      <c r="AC48" s="128" t="s">
        <v>1357</v>
      </c>
      <c r="AD48" s="128" t="s">
        <v>1358</v>
      </c>
      <c r="AE48" s="128" t="s">
        <v>1359</v>
      </c>
      <c r="AF48" s="128" t="s">
        <v>1360</v>
      </c>
    </row>
    <row r="49" spans="3:32" ht="319" x14ac:dyDescent="0.35">
      <c r="C49" s="128" t="s">
        <v>1361</v>
      </c>
      <c r="E49" s="128" t="s">
        <v>1362</v>
      </c>
      <c r="F49" s="128" t="s">
        <v>1363</v>
      </c>
      <c r="G49" s="128" t="s">
        <v>1364</v>
      </c>
      <c r="H49" s="128" t="s">
        <v>1365</v>
      </c>
      <c r="I49" s="128" t="s">
        <v>1366</v>
      </c>
      <c r="J49" s="128" t="s">
        <v>1367</v>
      </c>
      <c r="K49" s="128" t="s">
        <v>1368</v>
      </c>
      <c r="L49" s="128" t="s">
        <v>1369</v>
      </c>
      <c r="M49" s="128" t="s">
        <v>1370</v>
      </c>
      <c r="N49" s="128" t="s">
        <v>1371</v>
      </c>
      <c r="O49" s="128" t="s">
        <v>1372</v>
      </c>
      <c r="P49" s="128" t="s">
        <v>1373</v>
      </c>
      <c r="Q49" s="128" t="s">
        <v>1374</v>
      </c>
      <c r="R49" s="128" t="s">
        <v>1375</v>
      </c>
      <c r="S49" s="128" t="s">
        <v>1376</v>
      </c>
      <c r="T49" s="128" t="s">
        <v>1377</v>
      </c>
      <c r="U49" s="128" t="s">
        <v>1378</v>
      </c>
      <c r="V49" s="128" t="s">
        <v>1379</v>
      </c>
      <c r="W49" s="128" t="s">
        <v>1380</v>
      </c>
      <c r="X49" s="128" t="s">
        <v>1381</v>
      </c>
      <c r="Y49" s="128" t="s">
        <v>1382</v>
      </c>
      <c r="Z49" s="128" t="s">
        <v>1383</v>
      </c>
      <c r="AA49" s="128" t="s">
        <v>1384</v>
      </c>
      <c r="AB49" s="128" t="s">
        <v>1385</v>
      </c>
      <c r="AC49" s="128" t="s">
        <v>1386</v>
      </c>
      <c r="AD49" s="128" t="s">
        <v>1387</v>
      </c>
      <c r="AE49" s="128" t="s">
        <v>1388</v>
      </c>
      <c r="AF49" s="128" t="s">
        <v>1389</v>
      </c>
    </row>
    <row r="50" spans="3:32" ht="319" x14ac:dyDescent="0.35">
      <c r="C50" s="128" t="s">
        <v>1390</v>
      </c>
      <c r="E50" s="128" t="s">
        <v>1391</v>
      </c>
      <c r="F50" s="128" t="s">
        <v>1392</v>
      </c>
      <c r="G50" s="128" t="s">
        <v>1393</v>
      </c>
      <c r="H50" s="128" t="s">
        <v>1394</v>
      </c>
      <c r="I50" s="128" t="s">
        <v>1395</v>
      </c>
      <c r="J50" s="128" t="s">
        <v>1396</v>
      </c>
      <c r="K50" s="128" t="s">
        <v>1397</v>
      </c>
      <c r="L50" s="128" t="s">
        <v>1398</v>
      </c>
      <c r="M50" s="128" t="s">
        <v>1399</v>
      </c>
      <c r="N50" s="128" t="s">
        <v>1400</v>
      </c>
      <c r="O50" s="128" t="s">
        <v>1401</v>
      </c>
      <c r="P50" s="128" t="s">
        <v>1402</v>
      </c>
      <c r="Q50" s="128" t="s">
        <v>1403</v>
      </c>
      <c r="R50" s="128" t="s">
        <v>1404</v>
      </c>
      <c r="S50" s="128" t="s">
        <v>1405</v>
      </c>
      <c r="T50" s="128" t="s">
        <v>1406</v>
      </c>
      <c r="U50" s="128" t="s">
        <v>1407</v>
      </c>
      <c r="V50" s="128" t="s">
        <v>1408</v>
      </c>
      <c r="W50" s="128" t="s">
        <v>1409</v>
      </c>
      <c r="X50" s="128" t="s">
        <v>1410</v>
      </c>
      <c r="Y50" s="128" t="s">
        <v>1411</v>
      </c>
      <c r="Z50" s="128" t="s">
        <v>1412</v>
      </c>
      <c r="AA50" s="128" t="s">
        <v>1413</v>
      </c>
      <c r="AB50" s="128" t="s">
        <v>1414</v>
      </c>
      <c r="AC50" s="128" t="s">
        <v>1415</v>
      </c>
      <c r="AD50" s="128" t="s">
        <v>1416</v>
      </c>
      <c r="AE50" s="128" t="s">
        <v>1417</v>
      </c>
      <c r="AF50" s="128" t="s">
        <v>1418</v>
      </c>
    </row>
    <row r="51" spans="3:32" ht="319" x14ac:dyDescent="0.35">
      <c r="C51" s="128" t="s">
        <v>1419</v>
      </c>
      <c r="E51" s="128" t="s">
        <v>1420</v>
      </c>
      <c r="F51" s="128" t="s">
        <v>1421</v>
      </c>
      <c r="G51" s="128" t="s">
        <v>1422</v>
      </c>
      <c r="H51" s="128" t="s">
        <v>1423</v>
      </c>
      <c r="I51" s="128" t="s">
        <v>1424</v>
      </c>
      <c r="J51" s="128" t="s">
        <v>1425</v>
      </c>
      <c r="K51" s="128" t="s">
        <v>1426</v>
      </c>
      <c r="L51" s="128" t="s">
        <v>1427</v>
      </c>
      <c r="M51" s="128" t="s">
        <v>1428</v>
      </c>
      <c r="N51" s="128" t="s">
        <v>1429</v>
      </c>
      <c r="O51" s="128" t="s">
        <v>1430</v>
      </c>
      <c r="P51" s="128" t="s">
        <v>1431</v>
      </c>
      <c r="Q51" s="128" t="s">
        <v>1432</v>
      </c>
      <c r="R51" s="128" t="s">
        <v>1433</v>
      </c>
      <c r="S51" s="128" t="s">
        <v>1434</v>
      </c>
      <c r="T51" s="128" t="s">
        <v>1435</v>
      </c>
      <c r="U51" s="128" t="s">
        <v>1436</v>
      </c>
      <c r="V51" s="128" t="s">
        <v>1437</v>
      </c>
      <c r="W51" s="128" t="s">
        <v>1438</v>
      </c>
      <c r="X51" s="128" t="s">
        <v>1439</v>
      </c>
      <c r="Y51" s="128" t="s">
        <v>1440</v>
      </c>
      <c r="Z51" s="128" t="s">
        <v>1441</v>
      </c>
      <c r="AA51" s="128" t="s">
        <v>1442</v>
      </c>
      <c r="AB51" s="128" t="s">
        <v>1443</v>
      </c>
      <c r="AC51" s="128" t="s">
        <v>1444</v>
      </c>
      <c r="AD51" s="128" t="s">
        <v>1445</v>
      </c>
      <c r="AE51" s="128" t="s">
        <v>1446</v>
      </c>
      <c r="AF51" s="128" t="s">
        <v>1447</v>
      </c>
    </row>
    <row r="52" spans="3:32" ht="319" x14ac:dyDescent="0.35">
      <c r="C52" s="128" t="s">
        <v>1448</v>
      </c>
      <c r="E52" s="128" t="s">
        <v>1449</v>
      </c>
      <c r="F52" s="128" t="s">
        <v>1450</v>
      </c>
      <c r="G52" s="128" t="s">
        <v>1451</v>
      </c>
      <c r="H52" s="128" t="s">
        <v>1452</v>
      </c>
      <c r="I52" s="128" t="s">
        <v>1453</v>
      </c>
      <c r="J52" s="128" t="s">
        <v>1454</v>
      </c>
      <c r="K52" s="128" t="s">
        <v>1455</v>
      </c>
      <c r="L52" s="128" t="s">
        <v>1456</v>
      </c>
      <c r="M52" s="128" t="s">
        <v>1457</v>
      </c>
      <c r="N52" s="128" t="s">
        <v>1458</v>
      </c>
      <c r="O52" s="128" t="s">
        <v>1459</v>
      </c>
      <c r="P52" s="128" t="s">
        <v>1460</v>
      </c>
      <c r="Q52" s="128" t="s">
        <v>1461</v>
      </c>
      <c r="R52" s="128" t="s">
        <v>1462</v>
      </c>
      <c r="S52" s="128" t="s">
        <v>1463</v>
      </c>
      <c r="T52" s="128" t="s">
        <v>1464</v>
      </c>
      <c r="U52" s="128" t="s">
        <v>1465</v>
      </c>
      <c r="V52" s="128" t="s">
        <v>1466</v>
      </c>
      <c r="W52" s="128" t="s">
        <v>1467</v>
      </c>
      <c r="X52" s="128" t="s">
        <v>1468</v>
      </c>
      <c r="Y52" s="128" t="s">
        <v>1469</v>
      </c>
      <c r="Z52" s="128" t="s">
        <v>1470</v>
      </c>
      <c r="AA52" s="128" t="s">
        <v>1471</v>
      </c>
      <c r="AB52" s="128" t="s">
        <v>1472</v>
      </c>
      <c r="AC52" s="128" t="s">
        <v>1473</v>
      </c>
      <c r="AD52" s="128" t="s">
        <v>1474</v>
      </c>
      <c r="AE52" s="128" t="s">
        <v>1475</v>
      </c>
      <c r="AF52" s="128" t="s">
        <v>1476</v>
      </c>
    </row>
    <row r="53" spans="3:32" ht="319" x14ac:dyDescent="0.35">
      <c r="C53" s="128" t="s">
        <v>1477</v>
      </c>
      <c r="E53" s="128" t="s">
        <v>1478</v>
      </c>
      <c r="F53" s="128" t="s">
        <v>1479</v>
      </c>
      <c r="G53" s="128" t="s">
        <v>1480</v>
      </c>
      <c r="H53" s="128" t="s">
        <v>1481</v>
      </c>
      <c r="I53" s="128" t="s">
        <v>1482</v>
      </c>
      <c r="J53" s="128" t="s">
        <v>1483</v>
      </c>
      <c r="K53" s="128" t="s">
        <v>1484</v>
      </c>
      <c r="L53" s="128" t="s">
        <v>1485</v>
      </c>
      <c r="M53" s="128" t="s">
        <v>1486</v>
      </c>
      <c r="N53" s="128" t="s">
        <v>1487</v>
      </c>
      <c r="O53" s="128" t="s">
        <v>1488</v>
      </c>
      <c r="P53" s="128" t="s">
        <v>1489</v>
      </c>
      <c r="Q53" s="128" t="s">
        <v>1490</v>
      </c>
      <c r="R53" s="128" t="s">
        <v>1491</v>
      </c>
      <c r="S53" s="128" t="s">
        <v>1492</v>
      </c>
      <c r="T53" s="128" t="s">
        <v>1493</v>
      </c>
      <c r="U53" s="128" t="s">
        <v>1494</v>
      </c>
      <c r="V53" s="128" t="s">
        <v>1495</v>
      </c>
      <c r="W53" s="128" t="s">
        <v>1496</v>
      </c>
      <c r="X53" s="128" t="s">
        <v>1497</v>
      </c>
      <c r="Y53" s="128" t="s">
        <v>1498</v>
      </c>
      <c r="Z53" s="128" t="s">
        <v>1499</v>
      </c>
      <c r="AA53" s="128" t="s">
        <v>1500</v>
      </c>
      <c r="AB53" s="128" t="s">
        <v>1501</v>
      </c>
      <c r="AC53" s="128" t="s">
        <v>1502</v>
      </c>
      <c r="AD53" s="128" t="s">
        <v>1503</v>
      </c>
      <c r="AE53" s="128" t="s">
        <v>1504</v>
      </c>
      <c r="AF53" s="128" t="s">
        <v>1505</v>
      </c>
    </row>
    <row r="54" spans="3:32" ht="319" x14ac:dyDescent="0.35">
      <c r="C54" s="128" t="s">
        <v>1506</v>
      </c>
      <c r="E54" s="128" t="s">
        <v>1507</v>
      </c>
      <c r="F54" s="128" t="s">
        <v>1508</v>
      </c>
      <c r="G54" s="128" t="s">
        <v>1509</v>
      </c>
      <c r="H54" s="128" t="s">
        <v>1510</v>
      </c>
      <c r="I54" s="128" t="s">
        <v>1511</v>
      </c>
      <c r="J54" s="128" t="s">
        <v>1512</v>
      </c>
      <c r="K54" s="128" t="s">
        <v>1513</v>
      </c>
      <c r="L54" s="128" t="s">
        <v>1514</v>
      </c>
      <c r="M54" s="128" t="s">
        <v>1515</v>
      </c>
      <c r="N54" s="128" t="s">
        <v>1516</v>
      </c>
      <c r="O54" s="128" t="s">
        <v>1517</v>
      </c>
      <c r="P54" s="128" t="s">
        <v>1518</v>
      </c>
      <c r="Q54" s="128" t="s">
        <v>1519</v>
      </c>
      <c r="R54" s="128" t="s">
        <v>1520</v>
      </c>
      <c r="S54" s="128" t="s">
        <v>1521</v>
      </c>
      <c r="T54" s="128" t="s">
        <v>1522</v>
      </c>
      <c r="U54" s="128" t="s">
        <v>1523</v>
      </c>
      <c r="V54" s="128" t="s">
        <v>1524</v>
      </c>
      <c r="W54" s="128" t="s">
        <v>1525</v>
      </c>
      <c r="X54" s="128" t="s">
        <v>1526</v>
      </c>
      <c r="Y54" s="128" t="s">
        <v>1527</v>
      </c>
      <c r="Z54" s="128" t="s">
        <v>1528</v>
      </c>
      <c r="AA54" s="128" t="s">
        <v>1529</v>
      </c>
      <c r="AB54" s="128" t="s">
        <v>1530</v>
      </c>
      <c r="AC54" s="128" t="s">
        <v>1531</v>
      </c>
      <c r="AD54" s="128" t="s">
        <v>1532</v>
      </c>
      <c r="AE54" s="128" t="s">
        <v>1533</v>
      </c>
      <c r="AF54" s="128" t="s">
        <v>1534</v>
      </c>
    </row>
    <row r="55" spans="3:32" ht="319" x14ac:dyDescent="0.35">
      <c r="C55" s="128" t="s">
        <v>1535</v>
      </c>
      <c r="E55" s="128" t="s">
        <v>1536</v>
      </c>
      <c r="F55" s="128" t="s">
        <v>1537</v>
      </c>
      <c r="G55" s="128" t="s">
        <v>1538</v>
      </c>
      <c r="H55" s="128" t="s">
        <v>1539</v>
      </c>
      <c r="I55" s="128" t="s">
        <v>1540</v>
      </c>
      <c r="J55" s="128" t="s">
        <v>1541</v>
      </c>
      <c r="K55" s="128" t="s">
        <v>1542</v>
      </c>
      <c r="L55" s="128" t="s">
        <v>1543</v>
      </c>
      <c r="M55" s="128" t="s">
        <v>1544</v>
      </c>
      <c r="N55" s="128" t="s">
        <v>1545</v>
      </c>
      <c r="O55" s="128" t="s">
        <v>1546</v>
      </c>
      <c r="P55" s="128" t="s">
        <v>1547</v>
      </c>
      <c r="Q55" s="128" t="s">
        <v>1548</v>
      </c>
      <c r="R55" s="128" t="s">
        <v>1549</v>
      </c>
      <c r="S55" s="128" t="s">
        <v>1550</v>
      </c>
      <c r="T55" s="128" t="s">
        <v>1551</v>
      </c>
      <c r="U55" s="128" t="s">
        <v>1552</v>
      </c>
      <c r="V55" s="128" t="s">
        <v>1553</v>
      </c>
      <c r="W55" s="128" t="s">
        <v>1554</v>
      </c>
      <c r="X55" s="128" t="s">
        <v>1555</v>
      </c>
      <c r="Y55" s="128" t="s">
        <v>1556</v>
      </c>
      <c r="Z55" s="128" t="s">
        <v>1557</v>
      </c>
      <c r="AA55" s="128" t="s">
        <v>1558</v>
      </c>
      <c r="AB55" s="128" t="s">
        <v>1559</v>
      </c>
      <c r="AC55" s="128" t="s">
        <v>1560</v>
      </c>
      <c r="AD55" s="128" t="s">
        <v>1561</v>
      </c>
      <c r="AE55" s="128" t="s">
        <v>1562</v>
      </c>
      <c r="AF55" s="128" t="s">
        <v>1563</v>
      </c>
    </row>
    <row r="56" spans="3:32" ht="319" x14ac:dyDescent="0.35">
      <c r="C56" s="128" t="s">
        <v>1564</v>
      </c>
      <c r="E56" s="128" t="s">
        <v>1565</v>
      </c>
      <c r="F56" s="128" t="s">
        <v>1566</v>
      </c>
      <c r="G56" s="128" t="s">
        <v>1567</v>
      </c>
      <c r="H56" s="128" t="s">
        <v>1568</v>
      </c>
      <c r="I56" s="128" t="s">
        <v>1569</v>
      </c>
      <c r="J56" s="128" t="s">
        <v>1570</v>
      </c>
      <c r="K56" s="128" t="s">
        <v>1571</v>
      </c>
      <c r="L56" s="128" t="s">
        <v>1572</v>
      </c>
      <c r="M56" s="128" t="s">
        <v>1573</v>
      </c>
      <c r="N56" s="128" t="s">
        <v>1574</v>
      </c>
      <c r="O56" s="128" t="s">
        <v>1575</v>
      </c>
      <c r="P56" s="128" t="s">
        <v>1576</v>
      </c>
      <c r="Q56" s="128" t="s">
        <v>1577</v>
      </c>
      <c r="R56" s="128" t="s">
        <v>1578</v>
      </c>
      <c r="S56" s="128" t="s">
        <v>1579</v>
      </c>
      <c r="T56" s="128" t="s">
        <v>1580</v>
      </c>
      <c r="U56" s="128" t="s">
        <v>1581</v>
      </c>
      <c r="V56" s="128" t="s">
        <v>1582</v>
      </c>
      <c r="W56" s="128" t="s">
        <v>1583</v>
      </c>
      <c r="X56" s="128" t="s">
        <v>1584</v>
      </c>
      <c r="Y56" s="128" t="s">
        <v>1585</v>
      </c>
      <c r="Z56" s="128" t="s">
        <v>1586</v>
      </c>
      <c r="AA56" s="128" t="s">
        <v>1587</v>
      </c>
      <c r="AB56" s="128" t="s">
        <v>1588</v>
      </c>
      <c r="AC56" s="128" t="s">
        <v>1589</v>
      </c>
      <c r="AD56" s="128" t="s">
        <v>1590</v>
      </c>
      <c r="AE56" s="128" t="s">
        <v>1591</v>
      </c>
      <c r="AF56" s="128" t="s">
        <v>1592</v>
      </c>
    </row>
    <row r="57" spans="3:32" ht="319" x14ac:dyDescent="0.35">
      <c r="C57" s="128" t="s">
        <v>1593</v>
      </c>
      <c r="E57" s="128" t="s">
        <v>1594</v>
      </c>
      <c r="F57" s="128" t="s">
        <v>1595</v>
      </c>
      <c r="G57" s="128" t="s">
        <v>1596</v>
      </c>
      <c r="H57" s="128" t="s">
        <v>1597</v>
      </c>
      <c r="I57" s="128" t="s">
        <v>1598</v>
      </c>
      <c r="J57" s="128" t="s">
        <v>1599</v>
      </c>
      <c r="K57" s="128" t="s">
        <v>1600</v>
      </c>
      <c r="L57" s="128" t="s">
        <v>1601</v>
      </c>
      <c r="M57" s="128" t="s">
        <v>1602</v>
      </c>
      <c r="N57" s="128" t="s">
        <v>1603</v>
      </c>
      <c r="O57" s="128" t="s">
        <v>1604</v>
      </c>
      <c r="P57" s="128" t="s">
        <v>1605</v>
      </c>
      <c r="Q57" s="128" t="s">
        <v>1606</v>
      </c>
      <c r="R57" s="128" t="s">
        <v>1607</v>
      </c>
      <c r="S57" s="128" t="s">
        <v>1608</v>
      </c>
      <c r="T57" s="128" t="s">
        <v>1609</v>
      </c>
      <c r="U57" s="128" t="s">
        <v>1610</v>
      </c>
      <c r="V57" s="128" t="s">
        <v>1611</v>
      </c>
      <c r="W57" s="128" t="s">
        <v>1612</v>
      </c>
      <c r="X57" s="128" t="s">
        <v>1613</v>
      </c>
      <c r="Y57" s="128" t="s">
        <v>1614</v>
      </c>
      <c r="Z57" s="128" t="s">
        <v>1615</v>
      </c>
      <c r="AA57" s="128" t="s">
        <v>1616</v>
      </c>
      <c r="AB57" s="128" t="s">
        <v>1617</v>
      </c>
      <c r="AC57" s="128" t="s">
        <v>1618</v>
      </c>
      <c r="AD57" s="128" t="s">
        <v>1619</v>
      </c>
      <c r="AE57" s="128" t="s">
        <v>1620</v>
      </c>
      <c r="AF57" s="128" t="s">
        <v>1621</v>
      </c>
    </row>
    <row r="58" spans="3:32" ht="319" x14ac:dyDescent="0.35">
      <c r="C58" s="128" t="s">
        <v>1622</v>
      </c>
      <c r="E58" s="128" t="s">
        <v>1623</v>
      </c>
      <c r="F58" s="128" t="s">
        <v>1624</v>
      </c>
      <c r="G58" s="128" t="s">
        <v>1625</v>
      </c>
      <c r="H58" s="128" t="s">
        <v>1626</v>
      </c>
      <c r="I58" s="128" t="s">
        <v>1627</v>
      </c>
      <c r="J58" s="128" t="s">
        <v>1628</v>
      </c>
      <c r="K58" s="128" t="s">
        <v>1629</v>
      </c>
      <c r="L58" s="128" t="s">
        <v>1630</v>
      </c>
      <c r="M58" s="128" t="s">
        <v>1631</v>
      </c>
      <c r="N58" s="128" t="s">
        <v>1632</v>
      </c>
      <c r="O58" s="128" t="s">
        <v>1633</v>
      </c>
      <c r="P58" s="128" t="s">
        <v>1634</v>
      </c>
      <c r="Q58" s="128" t="s">
        <v>1635</v>
      </c>
      <c r="R58" s="128" t="s">
        <v>1636</v>
      </c>
      <c r="S58" s="128" t="s">
        <v>1637</v>
      </c>
      <c r="T58" s="128" t="s">
        <v>1638</v>
      </c>
      <c r="U58" s="128" t="s">
        <v>1639</v>
      </c>
      <c r="V58" s="128" t="s">
        <v>1640</v>
      </c>
      <c r="W58" s="128" t="s">
        <v>1641</v>
      </c>
      <c r="X58" s="128" t="s">
        <v>1642</v>
      </c>
      <c r="Y58" s="128" t="s">
        <v>1643</v>
      </c>
      <c r="Z58" s="128" t="s">
        <v>1644</v>
      </c>
      <c r="AA58" s="128" t="s">
        <v>1645</v>
      </c>
      <c r="AB58" s="128" t="s">
        <v>1646</v>
      </c>
      <c r="AC58" s="128" t="s">
        <v>1647</v>
      </c>
      <c r="AD58" s="128" t="s">
        <v>1648</v>
      </c>
      <c r="AE58" s="128" t="s">
        <v>1649</v>
      </c>
      <c r="AF58" s="128" t="s">
        <v>1650</v>
      </c>
    </row>
    <row r="59" spans="3:32" ht="319" x14ac:dyDescent="0.35">
      <c r="C59" s="128" t="s">
        <v>1651</v>
      </c>
      <c r="E59" s="128" t="s">
        <v>1652</v>
      </c>
      <c r="F59" s="128" t="s">
        <v>1653</v>
      </c>
      <c r="G59" s="128" t="s">
        <v>1654</v>
      </c>
      <c r="H59" s="128" t="s">
        <v>1655</v>
      </c>
      <c r="I59" s="128" t="s">
        <v>1656</v>
      </c>
      <c r="J59" s="128" t="s">
        <v>1657</v>
      </c>
      <c r="K59" s="128" t="s">
        <v>1658</v>
      </c>
      <c r="L59" s="128" t="s">
        <v>1659</v>
      </c>
      <c r="M59" s="128" t="s">
        <v>1660</v>
      </c>
      <c r="N59" s="128" t="s">
        <v>1661</v>
      </c>
      <c r="O59" s="128" t="s">
        <v>1662</v>
      </c>
      <c r="P59" s="128" t="s">
        <v>1663</v>
      </c>
      <c r="Q59" s="128" t="s">
        <v>1664</v>
      </c>
      <c r="R59" s="128" t="s">
        <v>1665</v>
      </c>
      <c r="S59" s="128" t="s">
        <v>1666</v>
      </c>
      <c r="T59" s="128" t="s">
        <v>1667</v>
      </c>
      <c r="U59" s="128" t="s">
        <v>1668</v>
      </c>
      <c r="V59" s="128" t="s">
        <v>1669</v>
      </c>
      <c r="W59" s="128" t="s">
        <v>1670</v>
      </c>
      <c r="X59" s="128" t="s">
        <v>1671</v>
      </c>
      <c r="Y59" s="128" t="s">
        <v>1672</v>
      </c>
      <c r="Z59" s="128" t="s">
        <v>1673</v>
      </c>
      <c r="AA59" s="128" t="s">
        <v>1674</v>
      </c>
      <c r="AB59" s="128" t="s">
        <v>1675</v>
      </c>
      <c r="AC59" s="128" t="s">
        <v>1676</v>
      </c>
      <c r="AD59" s="128" t="s">
        <v>1677</v>
      </c>
      <c r="AE59" s="128" t="s">
        <v>1678</v>
      </c>
      <c r="AF59" s="128" t="s">
        <v>1679</v>
      </c>
    </row>
    <row r="60" spans="3:32" ht="319" x14ac:dyDescent="0.35">
      <c r="C60" s="128" t="s">
        <v>1680</v>
      </c>
      <c r="E60" s="128" t="s">
        <v>1681</v>
      </c>
      <c r="F60" s="128" t="s">
        <v>1682</v>
      </c>
      <c r="G60" s="128" t="s">
        <v>1683</v>
      </c>
      <c r="H60" s="128" t="s">
        <v>1684</v>
      </c>
      <c r="I60" s="128" t="s">
        <v>1685</v>
      </c>
      <c r="J60" s="128" t="s">
        <v>1686</v>
      </c>
      <c r="K60" s="128" t="s">
        <v>1687</v>
      </c>
      <c r="L60" s="128" t="s">
        <v>1688</v>
      </c>
      <c r="M60" s="128" t="s">
        <v>1689</v>
      </c>
      <c r="N60" s="128" t="s">
        <v>1690</v>
      </c>
      <c r="O60" s="128" t="s">
        <v>1691</v>
      </c>
      <c r="P60" s="128" t="s">
        <v>1692</v>
      </c>
      <c r="Q60" s="128" t="s">
        <v>1693</v>
      </c>
      <c r="R60" s="128" t="s">
        <v>1694</v>
      </c>
      <c r="S60" s="128" t="s">
        <v>1695</v>
      </c>
      <c r="T60" s="128" t="s">
        <v>1696</v>
      </c>
      <c r="U60" s="128" t="s">
        <v>1697</v>
      </c>
      <c r="V60" s="128" t="s">
        <v>1698</v>
      </c>
      <c r="W60" s="128" t="s">
        <v>1699</v>
      </c>
      <c r="X60" s="128" t="s">
        <v>1700</v>
      </c>
      <c r="Y60" s="128" t="s">
        <v>1701</v>
      </c>
      <c r="Z60" s="128" t="s">
        <v>1702</v>
      </c>
      <c r="AA60" s="128" t="s">
        <v>1703</v>
      </c>
      <c r="AB60" s="128" t="s">
        <v>1704</v>
      </c>
      <c r="AC60" s="128" t="s">
        <v>1705</v>
      </c>
      <c r="AD60" s="128" t="s">
        <v>1706</v>
      </c>
      <c r="AE60" s="128" t="s">
        <v>1707</v>
      </c>
      <c r="AF60" s="128" t="s">
        <v>1708</v>
      </c>
    </row>
    <row r="61" spans="3:32" ht="319" x14ac:dyDescent="0.35">
      <c r="C61" s="128" t="s">
        <v>1709</v>
      </c>
      <c r="E61" s="128" t="s">
        <v>1710</v>
      </c>
      <c r="F61" s="128" t="s">
        <v>1711</v>
      </c>
      <c r="G61" s="128" t="s">
        <v>1712</v>
      </c>
      <c r="H61" s="128" t="s">
        <v>1713</v>
      </c>
      <c r="I61" s="128" t="s">
        <v>1714</v>
      </c>
      <c r="J61" s="128" t="s">
        <v>1715</v>
      </c>
      <c r="K61" s="128" t="s">
        <v>1716</v>
      </c>
      <c r="L61" s="128" t="s">
        <v>1717</v>
      </c>
      <c r="M61" s="128" t="s">
        <v>1718</v>
      </c>
      <c r="N61" s="128" t="s">
        <v>1719</v>
      </c>
      <c r="O61" s="128" t="s">
        <v>1720</v>
      </c>
      <c r="P61" s="128" t="s">
        <v>1721</v>
      </c>
      <c r="Q61" s="128" t="s">
        <v>1722</v>
      </c>
      <c r="R61" s="128" t="s">
        <v>1723</v>
      </c>
      <c r="S61" s="128" t="s">
        <v>1724</v>
      </c>
      <c r="T61" s="128" t="s">
        <v>1725</v>
      </c>
      <c r="U61" s="128" t="s">
        <v>1726</v>
      </c>
      <c r="V61" s="128" t="s">
        <v>1727</v>
      </c>
      <c r="W61" s="128" t="s">
        <v>1728</v>
      </c>
      <c r="X61" s="128" t="s">
        <v>1729</v>
      </c>
      <c r="Y61" s="128" t="s">
        <v>1730</v>
      </c>
      <c r="Z61" s="128" t="s">
        <v>1731</v>
      </c>
      <c r="AA61" s="128" t="s">
        <v>1732</v>
      </c>
      <c r="AB61" s="128" t="s">
        <v>1733</v>
      </c>
      <c r="AC61" s="128" t="s">
        <v>1734</v>
      </c>
      <c r="AD61" s="128" t="s">
        <v>1735</v>
      </c>
      <c r="AE61" s="128" t="s">
        <v>1736</v>
      </c>
      <c r="AF61" s="128" t="s">
        <v>1737</v>
      </c>
    </row>
    <row r="62" spans="3:32" ht="319" x14ac:dyDescent="0.35">
      <c r="C62" s="128" t="s">
        <v>1738</v>
      </c>
      <c r="E62" s="128" t="s">
        <v>1739</v>
      </c>
      <c r="F62" s="128" t="s">
        <v>1740</v>
      </c>
      <c r="G62" s="128" t="s">
        <v>1741</v>
      </c>
      <c r="H62" s="128" t="s">
        <v>1742</v>
      </c>
      <c r="I62" s="128" t="s">
        <v>1743</v>
      </c>
      <c r="J62" s="128" t="s">
        <v>1744</v>
      </c>
      <c r="K62" s="128" t="s">
        <v>1745</v>
      </c>
      <c r="L62" s="128" t="s">
        <v>1746</v>
      </c>
      <c r="M62" s="128" t="s">
        <v>1747</v>
      </c>
      <c r="N62" s="128" t="s">
        <v>1748</v>
      </c>
      <c r="O62" s="128" t="s">
        <v>1749</v>
      </c>
      <c r="P62" s="128" t="s">
        <v>1750</v>
      </c>
      <c r="Q62" s="128" t="s">
        <v>1751</v>
      </c>
      <c r="R62" s="128" t="s">
        <v>1752</v>
      </c>
      <c r="S62" s="128" t="s">
        <v>1753</v>
      </c>
      <c r="T62" s="128" t="s">
        <v>1754</v>
      </c>
      <c r="U62" s="128" t="s">
        <v>1755</v>
      </c>
      <c r="V62" s="128" t="s">
        <v>1756</v>
      </c>
      <c r="W62" s="128" t="s">
        <v>1757</v>
      </c>
      <c r="X62" s="128" t="s">
        <v>1758</v>
      </c>
      <c r="Y62" s="128" t="s">
        <v>1759</v>
      </c>
      <c r="Z62" s="128" t="s">
        <v>1760</v>
      </c>
      <c r="AA62" s="128" t="s">
        <v>1761</v>
      </c>
      <c r="AB62" s="128" t="s">
        <v>1762</v>
      </c>
      <c r="AC62" s="128" t="s">
        <v>1763</v>
      </c>
      <c r="AD62" s="128" t="s">
        <v>1764</v>
      </c>
      <c r="AE62" s="128" t="s">
        <v>1765</v>
      </c>
      <c r="AF62" s="128" t="s">
        <v>1766</v>
      </c>
    </row>
    <row r="63" spans="3:32" ht="319" x14ac:dyDescent="0.35">
      <c r="C63" s="128" t="s">
        <v>1767</v>
      </c>
      <c r="E63" s="128" t="s">
        <v>1768</v>
      </c>
      <c r="F63" s="128" t="s">
        <v>1769</v>
      </c>
      <c r="G63" s="128" t="s">
        <v>1770</v>
      </c>
      <c r="H63" s="128" t="s">
        <v>1771</v>
      </c>
      <c r="I63" s="128" t="s">
        <v>1772</v>
      </c>
      <c r="J63" s="128" t="s">
        <v>1773</v>
      </c>
      <c r="K63" s="128" t="s">
        <v>1774</v>
      </c>
      <c r="L63" s="128" t="s">
        <v>1775</v>
      </c>
      <c r="M63" s="128" t="s">
        <v>1776</v>
      </c>
      <c r="N63" s="128" t="s">
        <v>1777</v>
      </c>
      <c r="O63" s="128" t="s">
        <v>1778</v>
      </c>
      <c r="P63" s="128" t="s">
        <v>1779</v>
      </c>
      <c r="Q63" s="128" t="s">
        <v>1780</v>
      </c>
      <c r="R63" s="128" t="s">
        <v>1781</v>
      </c>
      <c r="S63" s="128" t="s">
        <v>1782</v>
      </c>
      <c r="T63" s="128" t="s">
        <v>1783</v>
      </c>
      <c r="U63" s="128" t="s">
        <v>1784</v>
      </c>
      <c r="V63" s="128" t="s">
        <v>1785</v>
      </c>
      <c r="W63" s="128" t="s">
        <v>1786</v>
      </c>
      <c r="X63" s="128" t="s">
        <v>1787</v>
      </c>
      <c r="Y63" s="128" t="s">
        <v>1788</v>
      </c>
      <c r="Z63" s="128" t="s">
        <v>1789</v>
      </c>
      <c r="AA63" s="128" t="s">
        <v>1790</v>
      </c>
      <c r="AB63" s="128" t="s">
        <v>1791</v>
      </c>
      <c r="AC63" s="128" t="s">
        <v>1792</v>
      </c>
      <c r="AD63" s="128" t="s">
        <v>1793</v>
      </c>
      <c r="AE63" s="128" t="s">
        <v>1794</v>
      </c>
      <c r="AF63" s="128" t="s">
        <v>1795</v>
      </c>
    </row>
    <row r="64" spans="3:32" ht="319" x14ac:dyDescent="0.35">
      <c r="C64" s="128" t="s">
        <v>1796</v>
      </c>
      <c r="E64" s="128" t="s">
        <v>1797</v>
      </c>
      <c r="F64" s="128" t="s">
        <v>1798</v>
      </c>
      <c r="G64" s="128" t="s">
        <v>1799</v>
      </c>
      <c r="H64" s="128" t="s">
        <v>1800</v>
      </c>
      <c r="I64" s="128" t="s">
        <v>1801</v>
      </c>
      <c r="J64" s="128" t="s">
        <v>1802</v>
      </c>
      <c r="K64" s="128" t="s">
        <v>1803</v>
      </c>
      <c r="L64" s="128" t="s">
        <v>1804</v>
      </c>
      <c r="M64" s="128" t="s">
        <v>1805</v>
      </c>
      <c r="N64" s="128" t="s">
        <v>1806</v>
      </c>
      <c r="O64" s="128" t="s">
        <v>1807</v>
      </c>
      <c r="P64" s="128" t="s">
        <v>1808</v>
      </c>
      <c r="Q64" s="128" t="s">
        <v>1809</v>
      </c>
      <c r="R64" s="128" t="s">
        <v>1810</v>
      </c>
      <c r="S64" s="128" t="s">
        <v>1811</v>
      </c>
      <c r="T64" s="128" t="s">
        <v>1812</v>
      </c>
      <c r="U64" s="128" t="s">
        <v>1813</v>
      </c>
      <c r="V64" s="128" t="s">
        <v>1814</v>
      </c>
      <c r="W64" s="128" t="s">
        <v>1815</v>
      </c>
      <c r="X64" s="128" t="s">
        <v>1816</v>
      </c>
      <c r="Y64" s="128" t="s">
        <v>1817</v>
      </c>
      <c r="Z64" s="128" t="s">
        <v>1818</v>
      </c>
      <c r="AA64" s="128" t="s">
        <v>1819</v>
      </c>
      <c r="AB64" s="128" t="s">
        <v>1820</v>
      </c>
      <c r="AC64" s="128" t="s">
        <v>1821</v>
      </c>
      <c r="AD64" s="128" t="s">
        <v>1822</v>
      </c>
      <c r="AE64" s="128" t="s">
        <v>1823</v>
      </c>
      <c r="AF64" s="128" t="s">
        <v>1824</v>
      </c>
    </row>
    <row r="65" spans="3:32" ht="319" x14ac:dyDescent="0.35">
      <c r="C65" s="128" t="s">
        <v>1825</v>
      </c>
      <c r="E65" s="128" t="s">
        <v>1826</v>
      </c>
      <c r="F65" s="128" t="s">
        <v>1827</v>
      </c>
      <c r="G65" s="128" t="s">
        <v>1828</v>
      </c>
      <c r="H65" s="128" t="s">
        <v>1829</v>
      </c>
      <c r="I65" s="128" t="s">
        <v>1830</v>
      </c>
      <c r="J65" s="128" t="s">
        <v>1831</v>
      </c>
      <c r="K65" s="128" t="s">
        <v>1832</v>
      </c>
      <c r="L65" s="128" t="s">
        <v>1833</v>
      </c>
      <c r="M65" s="128" t="s">
        <v>1834</v>
      </c>
      <c r="N65" s="128" t="s">
        <v>1835</v>
      </c>
      <c r="O65" s="128" t="s">
        <v>1836</v>
      </c>
      <c r="P65" s="128" t="s">
        <v>1837</v>
      </c>
      <c r="Q65" s="128" t="s">
        <v>1838</v>
      </c>
      <c r="R65" s="128" t="s">
        <v>1839</v>
      </c>
      <c r="S65" s="128" t="s">
        <v>1840</v>
      </c>
      <c r="T65" s="128" t="s">
        <v>1841</v>
      </c>
      <c r="U65" s="128" t="s">
        <v>1842</v>
      </c>
      <c r="V65" s="128" t="s">
        <v>1843</v>
      </c>
      <c r="W65" s="128" t="s">
        <v>1844</v>
      </c>
      <c r="X65" s="128" t="s">
        <v>1845</v>
      </c>
      <c r="Y65" s="128" t="s">
        <v>1846</v>
      </c>
      <c r="Z65" s="128" t="s">
        <v>1847</v>
      </c>
      <c r="AA65" s="128" t="s">
        <v>1848</v>
      </c>
      <c r="AB65" s="128" t="s">
        <v>1849</v>
      </c>
      <c r="AC65" s="128" t="s">
        <v>1850</v>
      </c>
      <c r="AD65" s="128" t="s">
        <v>1851</v>
      </c>
      <c r="AE65" s="128" t="s">
        <v>1852</v>
      </c>
      <c r="AF65" s="128" t="s">
        <v>1853</v>
      </c>
    </row>
    <row r="66" spans="3:32" ht="319" x14ac:dyDescent="0.35">
      <c r="C66" s="128" t="s">
        <v>1854</v>
      </c>
      <c r="E66" s="128" t="s">
        <v>1855</v>
      </c>
      <c r="F66" s="128" t="s">
        <v>1856</v>
      </c>
      <c r="G66" s="128" t="s">
        <v>1857</v>
      </c>
      <c r="H66" s="128" t="s">
        <v>1858</v>
      </c>
      <c r="I66" s="128" t="s">
        <v>1859</v>
      </c>
      <c r="J66" s="128" t="s">
        <v>1860</v>
      </c>
      <c r="K66" s="128" t="s">
        <v>1861</v>
      </c>
      <c r="L66" s="128" t="s">
        <v>1862</v>
      </c>
      <c r="M66" s="128" t="s">
        <v>1863</v>
      </c>
      <c r="N66" s="128" t="s">
        <v>1864</v>
      </c>
      <c r="O66" s="128" t="s">
        <v>1865</v>
      </c>
      <c r="P66" s="128" t="s">
        <v>1866</v>
      </c>
      <c r="Q66" s="128" t="s">
        <v>1867</v>
      </c>
      <c r="R66" s="128" t="s">
        <v>1868</v>
      </c>
      <c r="S66" s="128" t="s">
        <v>1869</v>
      </c>
      <c r="T66" s="128" t="s">
        <v>1870</v>
      </c>
      <c r="U66" s="128" t="s">
        <v>1871</v>
      </c>
      <c r="V66" s="128" t="s">
        <v>1872</v>
      </c>
      <c r="W66" s="128" t="s">
        <v>1873</v>
      </c>
      <c r="X66" s="128" t="s">
        <v>1874</v>
      </c>
      <c r="Y66" s="128" t="s">
        <v>1875</v>
      </c>
      <c r="Z66" s="128" t="s">
        <v>1876</v>
      </c>
      <c r="AA66" s="128" t="s">
        <v>1877</v>
      </c>
      <c r="AB66" s="128" t="s">
        <v>1878</v>
      </c>
      <c r="AC66" s="128" t="s">
        <v>1879</v>
      </c>
      <c r="AD66" s="128" t="s">
        <v>1880</v>
      </c>
      <c r="AE66" s="128" t="s">
        <v>1881</v>
      </c>
      <c r="AF66" s="128" t="s">
        <v>1882</v>
      </c>
    </row>
    <row r="67" spans="3:32" ht="319" x14ac:dyDescent="0.35">
      <c r="C67" s="128" t="s">
        <v>1883</v>
      </c>
      <c r="E67" s="128" t="s">
        <v>1884</v>
      </c>
      <c r="F67" s="128" t="s">
        <v>1885</v>
      </c>
      <c r="G67" s="128" t="s">
        <v>1886</v>
      </c>
      <c r="H67" s="128" t="s">
        <v>1887</v>
      </c>
      <c r="I67" s="128" t="s">
        <v>1888</v>
      </c>
      <c r="J67" s="128" t="s">
        <v>1889</v>
      </c>
      <c r="K67" s="128" t="s">
        <v>1890</v>
      </c>
      <c r="L67" s="128" t="s">
        <v>1891</v>
      </c>
      <c r="M67" s="128" t="s">
        <v>1892</v>
      </c>
      <c r="N67" s="128" t="s">
        <v>1893</v>
      </c>
      <c r="O67" s="128" t="s">
        <v>1894</v>
      </c>
      <c r="P67" s="128" t="s">
        <v>1895</v>
      </c>
      <c r="Q67" s="128" t="s">
        <v>1896</v>
      </c>
      <c r="R67" s="128" t="s">
        <v>1897</v>
      </c>
      <c r="S67" s="128" t="s">
        <v>1898</v>
      </c>
      <c r="T67" s="128" t="s">
        <v>1899</v>
      </c>
      <c r="U67" s="128" t="s">
        <v>1900</v>
      </c>
      <c r="V67" s="128" t="s">
        <v>1901</v>
      </c>
      <c r="W67" s="128" t="s">
        <v>1902</v>
      </c>
      <c r="X67" s="128" t="s">
        <v>1903</v>
      </c>
      <c r="Y67" s="128" t="s">
        <v>1904</v>
      </c>
      <c r="Z67" s="128" t="s">
        <v>1905</v>
      </c>
      <c r="AA67" s="128" t="s">
        <v>1906</v>
      </c>
      <c r="AB67" s="128" t="s">
        <v>1907</v>
      </c>
      <c r="AC67" s="128" t="s">
        <v>1908</v>
      </c>
      <c r="AD67" s="128" t="s">
        <v>1909</v>
      </c>
      <c r="AE67" s="128" t="s">
        <v>1910</v>
      </c>
      <c r="AF67" s="128" t="s">
        <v>1911</v>
      </c>
    </row>
    <row r="68" spans="3:32" ht="319" x14ac:dyDescent="0.35">
      <c r="C68" s="128" t="s">
        <v>1912</v>
      </c>
      <c r="E68" s="128" t="s">
        <v>1913</v>
      </c>
      <c r="F68" s="128" t="s">
        <v>1914</v>
      </c>
      <c r="G68" s="128" t="s">
        <v>1915</v>
      </c>
      <c r="H68" s="128" t="s">
        <v>1916</v>
      </c>
      <c r="I68" s="128" t="s">
        <v>1917</v>
      </c>
      <c r="J68" s="128" t="s">
        <v>1918</v>
      </c>
      <c r="K68" s="128" t="s">
        <v>1919</v>
      </c>
      <c r="L68" s="128" t="s">
        <v>1920</v>
      </c>
      <c r="M68" s="128" t="s">
        <v>1921</v>
      </c>
      <c r="N68" s="128" t="s">
        <v>1922</v>
      </c>
      <c r="O68" s="128" t="s">
        <v>1923</v>
      </c>
      <c r="P68" s="128" t="s">
        <v>1924</v>
      </c>
      <c r="Q68" s="128" t="s">
        <v>1925</v>
      </c>
      <c r="R68" s="128" t="s">
        <v>1926</v>
      </c>
      <c r="S68" s="128" t="s">
        <v>1927</v>
      </c>
      <c r="T68" s="128" t="s">
        <v>1928</v>
      </c>
      <c r="U68" s="128" t="s">
        <v>1929</v>
      </c>
      <c r="V68" s="128" t="s">
        <v>1930</v>
      </c>
      <c r="W68" s="128" t="s">
        <v>1931</v>
      </c>
      <c r="X68" s="128" t="s">
        <v>1932</v>
      </c>
      <c r="Y68" s="128" t="s">
        <v>1933</v>
      </c>
      <c r="Z68" s="128" t="s">
        <v>1934</v>
      </c>
      <c r="AA68" s="128" t="s">
        <v>1935</v>
      </c>
      <c r="AB68" s="128" t="s">
        <v>1936</v>
      </c>
      <c r="AC68" s="128" t="s">
        <v>1937</v>
      </c>
      <c r="AD68" s="128" t="s">
        <v>1938</v>
      </c>
      <c r="AE68" s="128" t="s">
        <v>1939</v>
      </c>
      <c r="AF68" s="128" t="s">
        <v>1940</v>
      </c>
    </row>
    <row r="69" spans="3:32" ht="319" x14ac:dyDescent="0.35">
      <c r="C69" s="128" t="s">
        <v>1941</v>
      </c>
      <c r="E69" s="128" t="s">
        <v>1942</v>
      </c>
      <c r="F69" s="128" t="s">
        <v>1943</v>
      </c>
      <c r="G69" s="128" t="s">
        <v>1944</v>
      </c>
      <c r="H69" s="128" t="s">
        <v>1945</v>
      </c>
      <c r="I69" s="128" t="s">
        <v>1946</v>
      </c>
      <c r="J69" s="128" t="s">
        <v>1947</v>
      </c>
      <c r="K69" s="128" t="s">
        <v>1948</v>
      </c>
      <c r="L69" s="128" t="s">
        <v>1949</v>
      </c>
      <c r="M69" s="128" t="s">
        <v>1950</v>
      </c>
      <c r="N69" s="128" t="s">
        <v>1951</v>
      </c>
      <c r="O69" s="128" t="s">
        <v>1952</v>
      </c>
      <c r="P69" s="128" t="s">
        <v>1953</v>
      </c>
      <c r="Q69" s="128" t="s">
        <v>1954</v>
      </c>
      <c r="R69" s="128" t="s">
        <v>1955</v>
      </c>
      <c r="S69" s="128" t="s">
        <v>1956</v>
      </c>
      <c r="T69" s="128" t="s">
        <v>1957</v>
      </c>
      <c r="U69" s="128" t="s">
        <v>1958</v>
      </c>
      <c r="V69" s="128" t="s">
        <v>1959</v>
      </c>
      <c r="W69" s="128" t="s">
        <v>1960</v>
      </c>
      <c r="X69" s="128" t="s">
        <v>1961</v>
      </c>
      <c r="Y69" s="128" t="s">
        <v>1962</v>
      </c>
      <c r="Z69" s="128" t="s">
        <v>1963</v>
      </c>
      <c r="AA69" s="128" t="s">
        <v>1964</v>
      </c>
      <c r="AB69" s="128" t="s">
        <v>1965</v>
      </c>
      <c r="AC69" s="128" t="s">
        <v>1966</v>
      </c>
      <c r="AD69" s="128" t="s">
        <v>1967</v>
      </c>
      <c r="AE69" s="128" t="s">
        <v>1968</v>
      </c>
      <c r="AF69" s="128" t="s">
        <v>1969</v>
      </c>
    </row>
    <row r="70" spans="3:32" ht="319" x14ac:dyDescent="0.35">
      <c r="C70" s="128" t="s">
        <v>1970</v>
      </c>
      <c r="E70" s="128" t="s">
        <v>1971</v>
      </c>
      <c r="F70" s="128" t="s">
        <v>1972</v>
      </c>
      <c r="G70" s="128" t="s">
        <v>1973</v>
      </c>
      <c r="H70" s="128" t="s">
        <v>1974</v>
      </c>
      <c r="I70" s="128" t="s">
        <v>1975</v>
      </c>
      <c r="J70" s="128" t="s">
        <v>1976</v>
      </c>
      <c r="K70" s="128" t="s">
        <v>1977</v>
      </c>
      <c r="L70" s="128" t="s">
        <v>1978</v>
      </c>
      <c r="M70" s="128" t="s">
        <v>1979</v>
      </c>
      <c r="N70" s="128" t="s">
        <v>1980</v>
      </c>
      <c r="O70" s="128" t="s">
        <v>1981</v>
      </c>
      <c r="P70" s="128" t="s">
        <v>1982</v>
      </c>
      <c r="Q70" s="128" t="s">
        <v>1983</v>
      </c>
      <c r="R70" s="128" t="s">
        <v>1984</v>
      </c>
      <c r="S70" s="128" t="s">
        <v>1985</v>
      </c>
      <c r="T70" s="128" t="s">
        <v>1986</v>
      </c>
      <c r="U70" s="128" t="s">
        <v>1987</v>
      </c>
      <c r="V70" s="128" t="s">
        <v>1988</v>
      </c>
      <c r="W70" s="128" t="s">
        <v>1989</v>
      </c>
      <c r="X70" s="128" t="s">
        <v>1990</v>
      </c>
      <c r="Y70" s="128" t="s">
        <v>1991</v>
      </c>
      <c r="Z70" s="128" t="s">
        <v>1992</v>
      </c>
      <c r="AA70" s="128" t="s">
        <v>1993</v>
      </c>
      <c r="AB70" s="128" t="s">
        <v>1994</v>
      </c>
      <c r="AC70" s="128" t="s">
        <v>1995</v>
      </c>
      <c r="AD70" s="128" t="s">
        <v>1996</v>
      </c>
      <c r="AE70" s="128" t="s">
        <v>1997</v>
      </c>
      <c r="AF70" s="128" t="s">
        <v>1998</v>
      </c>
    </row>
    <row r="71" spans="3:32" ht="319" x14ac:dyDescent="0.35">
      <c r="C71" s="128" t="s">
        <v>1999</v>
      </c>
      <c r="E71" s="128" t="s">
        <v>2000</v>
      </c>
      <c r="F71" s="128" t="s">
        <v>2001</v>
      </c>
      <c r="G71" s="128" t="s">
        <v>2002</v>
      </c>
      <c r="H71" s="128" t="s">
        <v>2003</v>
      </c>
      <c r="I71" s="128" t="s">
        <v>2004</v>
      </c>
      <c r="J71" s="128" t="s">
        <v>2005</v>
      </c>
      <c r="K71" s="128" t="s">
        <v>2006</v>
      </c>
      <c r="L71" s="128" t="s">
        <v>2007</v>
      </c>
      <c r="M71" s="128" t="s">
        <v>2008</v>
      </c>
      <c r="N71" s="128" t="s">
        <v>2009</v>
      </c>
      <c r="O71" s="128" t="s">
        <v>2010</v>
      </c>
      <c r="P71" s="128" t="s">
        <v>2011</v>
      </c>
      <c r="Q71" s="128" t="s">
        <v>2012</v>
      </c>
      <c r="R71" s="128" t="s">
        <v>2013</v>
      </c>
      <c r="S71" s="128" t="s">
        <v>2014</v>
      </c>
      <c r="T71" s="128" t="s">
        <v>2015</v>
      </c>
      <c r="U71" s="128" t="s">
        <v>2016</v>
      </c>
      <c r="V71" s="128" t="s">
        <v>2017</v>
      </c>
      <c r="W71" s="128" t="s">
        <v>2018</v>
      </c>
      <c r="X71" s="128" t="s">
        <v>2019</v>
      </c>
      <c r="Y71" s="128" t="s">
        <v>2020</v>
      </c>
      <c r="Z71" s="128" t="s">
        <v>2021</v>
      </c>
      <c r="AA71" s="128" t="s">
        <v>2022</v>
      </c>
      <c r="AB71" s="128" t="s">
        <v>2023</v>
      </c>
      <c r="AC71" s="128" t="s">
        <v>2024</v>
      </c>
      <c r="AD71" s="128" t="s">
        <v>2025</v>
      </c>
      <c r="AE71" s="128" t="s">
        <v>2026</v>
      </c>
      <c r="AF71" s="128" t="s">
        <v>2027</v>
      </c>
    </row>
    <row r="72" spans="3:32" ht="319" x14ac:dyDescent="0.35">
      <c r="C72" s="128" t="s">
        <v>2028</v>
      </c>
      <c r="E72" s="128" t="s">
        <v>2029</v>
      </c>
      <c r="F72" s="128" t="s">
        <v>2030</v>
      </c>
      <c r="G72" s="128" t="s">
        <v>2031</v>
      </c>
      <c r="H72" s="128" t="s">
        <v>2032</v>
      </c>
      <c r="I72" s="128" t="s">
        <v>2033</v>
      </c>
      <c r="J72" s="128" t="s">
        <v>2034</v>
      </c>
      <c r="K72" s="128" t="s">
        <v>2035</v>
      </c>
      <c r="L72" s="128" t="s">
        <v>2036</v>
      </c>
      <c r="M72" s="128" t="s">
        <v>2037</v>
      </c>
      <c r="N72" s="128" t="s">
        <v>2038</v>
      </c>
      <c r="O72" s="128" t="s">
        <v>2039</v>
      </c>
      <c r="P72" s="128" t="s">
        <v>2040</v>
      </c>
      <c r="Q72" s="128" t="s">
        <v>2041</v>
      </c>
      <c r="R72" s="128" t="s">
        <v>2042</v>
      </c>
      <c r="S72" s="128" t="s">
        <v>2043</v>
      </c>
      <c r="T72" s="128" t="s">
        <v>2044</v>
      </c>
      <c r="U72" s="128" t="s">
        <v>2045</v>
      </c>
      <c r="V72" s="128" t="s">
        <v>2046</v>
      </c>
      <c r="W72" s="128" t="s">
        <v>2047</v>
      </c>
      <c r="X72" s="128" t="s">
        <v>2048</v>
      </c>
      <c r="Y72" s="128" t="s">
        <v>2049</v>
      </c>
      <c r="Z72" s="128" t="s">
        <v>2050</v>
      </c>
      <c r="AA72" s="128" t="s">
        <v>2051</v>
      </c>
      <c r="AB72" s="128" t="s">
        <v>2052</v>
      </c>
      <c r="AC72" s="128" t="s">
        <v>2053</v>
      </c>
      <c r="AD72" s="128" t="s">
        <v>2054</v>
      </c>
      <c r="AE72" s="128" t="s">
        <v>2055</v>
      </c>
      <c r="AF72" s="128" t="s">
        <v>2056</v>
      </c>
    </row>
    <row r="73" spans="3:32" ht="319" x14ac:dyDescent="0.35">
      <c r="C73" s="128" t="s">
        <v>2057</v>
      </c>
      <c r="E73" s="128" t="s">
        <v>2058</v>
      </c>
      <c r="F73" s="128" t="s">
        <v>2059</v>
      </c>
      <c r="G73" s="128" t="s">
        <v>2060</v>
      </c>
      <c r="H73" s="128" t="s">
        <v>2061</v>
      </c>
      <c r="I73" s="128" t="s">
        <v>2062</v>
      </c>
      <c r="J73" s="128" t="s">
        <v>2063</v>
      </c>
      <c r="K73" s="128" t="s">
        <v>2064</v>
      </c>
      <c r="L73" s="128" t="s">
        <v>2065</v>
      </c>
      <c r="M73" s="128" t="s">
        <v>2066</v>
      </c>
      <c r="N73" s="128" t="s">
        <v>2067</v>
      </c>
      <c r="O73" s="128" t="s">
        <v>2068</v>
      </c>
      <c r="P73" s="128" t="s">
        <v>2069</v>
      </c>
      <c r="Q73" s="128" t="s">
        <v>2070</v>
      </c>
      <c r="R73" s="128" t="s">
        <v>2071</v>
      </c>
      <c r="S73" s="128" t="s">
        <v>2072</v>
      </c>
      <c r="T73" s="128" t="s">
        <v>2073</v>
      </c>
      <c r="U73" s="128" t="s">
        <v>2074</v>
      </c>
      <c r="V73" s="128" t="s">
        <v>2075</v>
      </c>
      <c r="W73" s="128" t="s">
        <v>2076</v>
      </c>
      <c r="X73" s="128" t="s">
        <v>2077</v>
      </c>
      <c r="Y73" s="128" t="s">
        <v>2078</v>
      </c>
      <c r="Z73" s="128" t="s">
        <v>2079</v>
      </c>
      <c r="AA73" s="128" t="s">
        <v>2080</v>
      </c>
      <c r="AB73" s="128" t="s">
        <v>2081</v>
      </c>
      <c r="AC73" s="128" t="s">
        <v>2082</v>
      </c>
      <c r="AD73" s="128" t="s">
        <v>2083</v>
      </c>
      <c r="AE73" s="128" t="s">
        <v>2084</v>
      </c>
      <c r="AF73" s="128" t="s">
        <v>2085</v>
      </c>
    </row>
    <row r="74" spans="3:32" ht="319" x14ac:dyDescent="0.35">
      <c r="C74" s="128" t="s">
        <v>2086</v>
      </c>
      <c r="E74" s="128" t="s">
        <v>2087</v>
      </c>
      <c r="F74" s="128" t="s">
        <v>2088</v>
      </c>
      <c r="G74" s="128" t="s">
        <v>2089</v>
      </c>
      <c r="H74" s="128" t="s">
        <v>2090</v>
      </c>
      <c r="I74" s="128" t="s">
        <v>2091</v>
      </c>
      <c r="J74" s="128" t="s">
        <v>2092</v>
      </c>
      <c r="K74" s="128" t="s">
        <v>2093</v>
      </c>
      <c r="L74" s="128" t="s">
        <v>2094</v>
      </c>
      <c r="M74" s="128" t="s">
        <v>2095</v>
      </c>
      <c r="N74" s="128" t="s">
        <v>2096</v>
      </c>
      <c r="O74" s="128" t="s">
        <v>2097</v>
      </c>
      <c r="P74" s="128" t="s">
        <v>2098</v>
      </c>
      <c r="Q74" s="128" t="s">
        <v>2099</v>
      </c>
      <c r="R74" s="128" t="s">
        <v>2100</v>
      </c>
      <c r="S74" s="128" t="s">
        <v>2101</v>
      </c>
      <c r="T74" s="128" t="s">
        <v>2102</v>
      </c>
      <c r="U74" s="128" t="s">
        <v>2103</v>
      </c>
      <c r="V74" s="128" t="s">
        <v>2104</v>
      </c>
      <c r="W74" s="128" t="s">
        <v>2105</v>
      </c>
      <c r="X74" s="128" t="s">
        <v>2106</v>
      </c>
      <c r="Y74" s="128" t="s">
        <v>2107</v>
      </c>
      <c r="Z74" s="128" t="s">
        <v>2108</v>
      </c>
      <c r="AA74" s="128" t="s">
        <v>2109</v>
      </c>
      <c r="AB74" s="128" t="s">
        <v>2110</v>
      </c>
      <c r="AC74" s="128" t="s">
        <v>2111</v>
      </c>
      <c r="AD74" s="128" t="s">
        <v>2112</v>
      </c>
      <c r="AE74" s="128" t="s">
        <v>2113</v>
      </c>
      <c r="AF74" s="128" t="s">
        <v>2114</v>
      </c>
    </row>
    <row r="75" spans="3:32" ht="319" x14ac:dyDescent="0.35">
      <c r="C75" s="128" t="s">
        <v>2115</v>
      </c>
      <c r="E75" s="128" t="s">
        <v>2116</v>
      </c>
      <c r="F75" s="128" t="s">
        <v>2117</v>
      </c>
      <c r="G75" s="128" t="s">
        <v>2118</v>
      </c>
      <c r="H75" s="128" t="s">
        <v>2119</v>
      </c>
      <c r="I75" s="128" t="s">
        <v>2120</v>
      </c>
      <c r="J75" s="128" t="s">
        <v>2121</v>
      </c>
      <c r="K75" s="128" t="s">
        <v>2122</v>
      </c>
      <c r="L75" s="128" t="s">
        <v>2123</v>
      </c>
      <c r="M75" s="128" t="s">
        <v>2124</v>
      </c>
      <c r="N75" s="128" t="s">
        <v>2125</v>
      </c>
      <c r="O75" s="128" t="s">
        <v>2126</v>
      </c>
      <c r="P75" s="128" t="s">
        <v>2127</v>
      </c>
      <c r="Q75" s="128" t="s">
        <v>2128</v>
      </c>
      <c r="R75" s="128" t="s">
        <v>2129</v>
      </c>
      <c r="S75" s="128" t="s">
        <v>2130</v>
      </c>
      <c r="T75" s="128" t="s">
        <v>2131</v>
      </c>
      <c r="U75" s="128" t="s">
        <v>2132</v>
      </c>
      <c r="V75" s="128" t="s">
        <v>2133</v>
      </c>
      <c r="W75" s="128" t="s">
        <v>2134</v>
      </c>
      <c r="X75" s="128" t="s">
        <v>2135</v>
      </c>
      <c r="Y75" s="128" t="s">
        <v>2136</v>
      </c>
      <c r="Z75" s="128" t="s">
        <v>2137</v>
      </c>
      <c r="AA75" s="128" t="s">
        <v>2138</v>
      </c>
      <c r="AB75" s="128" t="s">
        <v>2139</v>
      </c>
      <c r="AC75" s="128" t="s">
        <v>2140</v>
      </c>
      <c r="AD75" s="128" t="s">
        <v>2141</v>
      </c>
      <c r="AE75" s="128" t="s">
        <v>2142</v>
      </c>
      <c r="AF75" s="128" t="s">
        <v>2143</v>
      </c>
    </row>
    <row r="76" spans="3:32" ht="319" x14ac:dyDescent="0.35">
      <c r="C76" s="128" t="s">
        <v>2144</v>
      </c>
      <c r="E76" s="128" t="s">
        <v>2145</v>
      </c>
      <c r="F76" s="128" t="s">
        <v>2146</v>
      </c>
      <c r="G76" s="128" t="s">
        <v>2147</v>
      </c>
      <c r="H76" s="128" t="s">
        <v>2148</v>
      </c>
      <c r="I76" s="128" t="s">
        <v>2149</v>
      </c>
      <c r="J76" s="128" t="s">
        <v>2150</v>
      </c>
      <c r="K76" s="128" t="s">
        <v>2151</v>
      </c>
      <c r="L76" s="128" t="s">
        <v>2152</v>
      </c>
      <c r="M76" s="128" t="s">
        <v>2153</v>
      </c>
      <c r="N76" s="128" t="s">
        <v>2154</v>
      </c>
      <c r="O76" s="128" t="s">
        <v>2155</v>
      </c>
      <c r="P76" s="128" t="s">
        <v>2156</v>
      </c>
      <c r="Q76" s="128" t="s">
        <v>2157</v>
      </c>
      <c r="R76" s="128" t="s">
        <v>2158</v>
      </c>
      <c r="S76" s="128" t="s">
        <v>2159</v>
      </c>
      <c r="T76" s="128" t="s">
        <v>2160</v>
      </c>
      <c r="U76" s="128" t="s">
        <v>2161</v>
      </c>
      <c r="V76" s="128" t="s">
        <v>2162</v>
      </c>
      <c r="W76" s="128" t="s">
        <v>2163</v>
      </c>
      <c r="X76" s="128" t="s">
        <v>2164</v>
      </c>
      <c r="Y76" s="128" t="s">
        <v>2165</v>
      </c>
      <c r="Z76" s="128" t="s">
        <v>2166</v>
      </c>
      <c r="AA76" s="128" t="s">
        <v>2167</v>
      </c>
      <c r="AB76" s="128" t="s">
        <v>2168</v>
      </c>
      <c r="AC76" s="128" t="s">
        <v>2169</v>
      </c>
      <c r="AD76" s="128" t="s">
        <v>2170</v>
      </c>
      <c r="AE76" s="128" t="s">
        <v>2171</v>
      </c>
      <c r="AF76" s="128" t="s">
        <v>2172</v>
      </c>
    </row>
    <row r="77" spans="3:32" ht="319" x14ac:dyDescent="0.35">
      <c r="C77" s="128" t="s">
        <v>2173</v>
      </c>
      <c r="E77" s="128" t="s">
        <v>2174</v>
      </c>
      <c r="F77" s="128" t="s">
        <v>2175</v>
      </c>
      <c r="G77" s="128" t="s">
        <v>2176</v>
      </c>
      <c r="H77" s="128" t="s">
        <v>2177</v>
      </c>
      <c r="I77" s="128" t="s">
        <v>2178</v>
      </c>
      <c r="J77" s="128" t="s">
        <v>2179</v>
      </c>
      <c r="K77" s="128" t="s">
        <v>2180</v>
      </c>
      <c r="L77" s="128" t="s">
        <v>2181</v>
      </c>
      <c r="M77" s="128" t="s">
        <v>2182</v>
      </c>
      <c r="N77" s="128" t="s">
        <v>2183</v>
      </c>
      <c r="O77" s="128" t="s">
        <v>2184</v>
      </c>
      <c r="P77" s="128" t="s">
        <v>2185</v>
      </c>
      <c r="Q77" s="128" t="s">
        <v>2186</v>
      </c>
      <c r="R77" s="128" t="s">
        <v>2187</v>
      </c>
      <c r="S77" s="128" t="s">
        <v>2188</v>
      </c>
      <c r="T77" s="128" t="s">
        <v>2189</v>
      </c>
      <c r="U77" s="128" t="s">
        <v>2190</v>
      </c>
      <c r="V77" s="128" t="s">
        <v>2191</v>
      </c>
      <c r="W77" s="128" t="s">
        <v>2192</v>
      </c>
      <c r="X77" s="128" t="s">
        <v>2193</v>
      </c>
      <c r="Y77" s="128" t="s">
        <v>2194</v>
      </c>
      <c r="Z77" s="128" t="s">
        <v>2195</v>
      </c>
      <c r="AA77" s="128" t="s">
        <v>2196</v>
      </c>
      <c r="AB77" s="128" t="s">
        <v>2197</v>
      </c>
      <c r="AC77" s="128" t="s">
        <v>2198</v>
      </c>
      <c r="AD77" s="128" t="s">
        <v>2199</v>
      </c>
      <c r="AE77" s="128" t="s">
        <v>2200</v>
      </c>
      <c r="AF77" s="128" t="s">
        <v>2201</v>
      </c>
    </row>
    <row r="78" spans="3:32" ht="319" x14ac:dyDescent="0.35">
      <c r="C78" s="128" t="s">
        <v>2202</v>
      </c>
      <c r="E78" s="128" t="s">
        <v>2203</v>
      </c>
      <c r="F78" s="128" t="s">
        <v>2204</v>
      </c>
      <c r="G78" s="128" t="s">
        <v>2205</v>
      </c>
      <c r="H78" s="128" t="s">
        <v>2206</v>
      </c>
      <c r="I78" s="128" t="s">
        <v>2207</v>
      </c>
      <c r="J78" s="128" t="s">
        <v>2208</v>
      </c>
      <c r="K78" s="128" t="s">
        <v>2209</v>
      </c>
      <c r="L78" s="128" t="s">
        <v>2210</v>
      </c>
      <c r="M78" s="128" t="s">
        <v>2211</v>
      </c>
      <c r="N78" s="128" t="s">
        <v>2212</v>
      </c>
      <c r="O78" s="128" t="s">
        <v>2213</v>
      </c>
      <c r="P78" s="128" t="s">
        <v>2214</v>
      </c>
      <c r="Q78" s="128" t="s">
        <v>2215</v>
      </c>
      <c r="R78" s="128" t="s">
        <v>2216</v>
      </c>
      <c r="S78" s="128" t="s">
        <v>2217</v>
      </c>
      <c r="T78" s="128" t="s">
        <v>2218</v>
      </c>
      <c r="U78" s="128" t="s">
        <v>2219</v>
      </c>
      <c r="V78" s="128" t="s">
        <v>2220</v>
      </c>
      <c r="W78" s="128" t="s">
        <v>2221</v>
      </c>
      <c r="X78" s="128" t="s">
        <v>2222</v>
      </c>
      <c r="Y78" s="128" t="s">
        <v>2223</v>
      </c>
      <c r="Z78" s="128" t="s">
        <v>2224</v>
      </c>
      <c r="AA78" s="128" t="s">
        <v>2225</v>
      </c>
      <c r="AB78" s="128" t="s">
        <v>2226</v>
      </c>
      <c r="AC78" s="128" t="s">
        <v>2227</v>
      </c>
      <c r="AD78" s="128" t="s">
        <v>2228</v>
      </c>
      <c r="AE78" s="128" t="s">
        <v>2229</v>
      </c>
      <c r="AF78" s="128" t="s">
        <v>2230</v>
      </c>
    </row>
    <row r="79" spans="3:32" ht="319" x14ac:dyDescent="0.35">
      <c r="C79" s="128" t="s">
        <v>2231</v>
      </c>
      <c r="E79" s="128" t="s">
        <v>2232</v>
      </c>
      <c r="F79" s="128" t="s">
        <v>2233</v>
      </c>
      <c r="G79" s="128" t="s">
        <v>2234</v>
      </c>
      <c r="H79" s="128" t="s">
        <v>2235</v>
      </c>
      <c r="I79" s="128" t="s">
        <v>2236</v>
      </c>
      <c r="J79" s="128" t="s">
        <v>2237</v>
      </c>
      <c r="K79" s="128" t="s">
        <v>2238</v>
      </c>
      <c r="L79" s="128" t="s">
        <v>2239</v>
      </c>
      <c r="M79" s="128" t="s">
        <v>2240</v>
      </c>
      <c r="N79" s="128" t="s">
        <v>2241</v>
      </c>
      <c r="O79" s="128" t="s">
        <v>2242</v>
      </c>
      <c r="P79" s="128" t="s">
        <v>2243</v>
      </c>
      <c r="Q79" s="128" t="s">
        <v>2244</v>
      </c>
      <c r="R79" s="128" t="s">
        <v>2245</v>
      </c>
      <c r="S79" s="128" t="s">
        <v>2246</v>
      </c>
      <c r="T79" s="128" t="s">
        <v>2247</v>
      </c>
      <c r="U79" s="128" t="s">
        <v>2248</v>
      </c>
      <c r="V79" s="128" t="s">
        <v>2249</v>
      </c>
      <c r="W79" s="128" t="s">
        <v>2250</v>
      </c>
      <c r="X79" s="128" t="s">
        <v>2251</v>
      </c>
      <c r="Y79" s="128" t="s">
        <v>2252</v>
      </c>
      <c r="Z79" s="128" t="s">
        <v>2253</v>
      </c>
      <c r="AA79" s="128" t="s">
        <v>2254</v>
      </c>
      <c r="AB79" s="128" t="s">
        <v>2255</v>
      </c>
      <c r="AC79" s="128" t="s">
        <v>2256</v>
      </c>
      <c r="AD79" s="128" t="s">
        <v>2257</v>
      </c>
      <c r="AE79" s="128" t="s">
        <v>2258</v>
      </c>
      <c r="AF79" s="128" t="s">
        <v>2259</v>
      </c>
    </row>
    <row r="80" spans="3:32" ht="319" x14ac:dyDescent="0.35">
      <c r="C80" s="128" t="s">
        <v>2260</v>
      </c>
      <c r="E80" s="128" t="s">
        <v>2261</v>
      </c>
      <c r="F80" s="128" t="s">
        <v>2262</v>
      </c>
      <c r="G80" s="128" t="s">
        <v>2263</v>
      </c>
      <c r="H80" s="128" t="s">
        <v>2264</v>
      </c>
      <c r="I80" s="128" t="s">
        <v>2265</v>
      </c>
      <c r="J80" s="128" t="s">
        <v>2266</v>
      </c>
      <c r="K80" s="128" t="s">
        <v>2267</v>
      </c>
      <c r="L80" s="128" t="s">
        <v>2268</v>
      </c>
      <c r="M80" s="128" t="s">
        <v>2269</v>
      </c>
      <c r="N80" s="128" t="s">
        <v>2270</v>
      </c>
      <c r="O80" s="128" t="s">
        <v>2271</v>
      </c>
      <c r="P80" s="128" t="s">
        <v>2272</v>
      </c>
      <c r="Q80" s="128" t="s">
        <v>2273</v>
      </c>
      <c r="R80" s="128" t="s">
        <v>2274</v>
      </c>
      <c r="S80" s="128" t="s">
        <v>2275</v>
      </c>
      <c r="T80" s="128" t="s">
        <v>2276</v>
      </c>
      <c r="U80" s="128" t="s">
        <v>2277</v>
      </c>
      <c r="V80" s="128" t="s">
        <v>2278</v>
      </c>
      <c r="W80" s="128" t="s">
        <v>2279</v>
      </c>
      <c r="X80" s="128" t="s">
        <v>2280</v>
      </c>
      <c r="Y80" s="128" t="s">
        <v>2281</v>
      </c>
      <c r="Z80" s="128" t="s">
        <v>2282</v>
      </c>
      <c r="AA80" s="128" t="s">
        <v>2283</v>
      </c>
      <c r="AB80" s="128" t="s">
        <v>2284</v>
      </c>
      <c r="AC80" s="128" t="s">
        <v>2285</v>
      </c>
      <c r="AD80" s="128" t="s">
        <v>2286</v>
      </c>
      <c r="AE80" s="128" t="s">
        <v>2287</v>
      </c>
      <c r="AF80" s="128" t="s">
        <v>2288</v>
      </c>
    </row>
    <row r="81" spans="3:32" ht="319" x14ac:dyDescent="0.35">
      <c r="C81" s="128" t="s">
        <v>2289</v>
      </c>
      <c r="E81" s="128" t="s">
        <v>2290</v>
      </c>
      <c r="F81" s="128" t="s">
        <v>2291</v>
      </c>
      <c r="G81" s="128" t="s">
        <v>2292</v>
      </c>
      <c r="H81" s="128" t="s">
        <v>2293</v>
      </c>
      <c r="I81" s="128" t="s">
        <v>2294</v>
      </c>
      <c r="J81" s="128" t="s">
        <v>2295</v>
      </c>
      <c r="K81" s="128" t="s">
        <v>2296</v>
      </c>
      <c r="L81" s="128" t="s">
        <v>2297</v>
      </c>
      <c r="M81" s="128" t="s">
        <v>2298</v>
      </c>
      <c r="N81" s="128" t="s">
        <v>2299</v>
      </c>
      <c r="O81" s="128" t="s">
        <v>2300</v>
      </c>
      <c r="P81" s="128" t="s">
        <v>2301</v>
      </c>
      <c r="Q81" s="128" t="s">
        <v>2302</v>
      </c>
      <c r="R81" s="128" t="s">
        <v>2303</v>
      </c>
      <c r="S81" s="128" t="s">
        <v>2304</v>
      </c>
      <c r="T81" s="128" t="s">
        <v>2305</v>
      </c>
      <c r="U81" s="128" t="s">
        <v>2306</v>
      </c>
      <c r="V81" s="128" t="s">
        <v>2307</v>
      </c>
      <c r="W81" s="128" t="s">
        <v>2308</v>
      </c>
      <c r="X81" s="128" t="s">
        <v>2309</v>
      </c>
      <c r="Y81" s="128" t="s">
        <v>2310</v>
      </c>
      <c r="Z81" s="128" t="s">
        <v>2311</v>
      </c>
      <c r="AA81" s="128" t="s">
        <v>2312</v>
      </c>
      <c r="AB81" s="128" t="s">
        <v>2313</v>
      </c>
      <c r="AC81" s="128" t="s">
        <v>2314</v>
      </c>
      <c r="AD81" s="128" t="s">
        <v>2315</v>
      </c>
      <c r="AE81" s="128" t="s">
        <v>2316</v>
      </c>
      <c r="AF81" s="128" t="s">
        <v>2317</v>
      </c>
    </row>
    <row r="82" spans="3:32" ht="319" x14ac:dyDescent="0.35">
      <c r="C82" s="128" t="s">
        <v>2318</v>
      </c>
      <c r="E82" s="128" t="s">
        <v>2319</v>
      </c>
      <c r="F82" s="128" t="s">
        <v>2320</v>
      </c>
      <c r="G82" s="128" t="s">
        <v>2321</v>
      </c>
      <c r="H82" s="128" t="s">
        <v>2322</v>
      </c>
      <c r="I82" s="128" t="s">
        <v>2323</v>
      </c>
      <c r="J82" s="128" t="s">
        <v>2324</v>
      </c>
      <c r="K82" s="128" t="s">
        <v>2325</v>
      </c>
      <c r="L82" s="128" t="s">
        <v>2326</v>
      </c>
      <c r="M82" s="128" t="s">
        <v>2327</v>
      </c>
      <c r="N82" s="128" t="s">
        <v>2328</v>
      </c>
      <c r="O82" s="128" t="s">
        <v>2329</v>
      </c>
      <c r="P82" s="128" t="s">
        <v>2330</v>
      </c>
      <c r="Q82" s="128" t="s">
        <v>2331</v>
      </c>
      <c r="R82" s="128" t="s">
        <v>2332</v>
      </c>
      <c r="S82" s="128" t="s">
        <v>2333</v>
      </c>
      <c r="T82" s="128" t="s">
        <v>2334</v>
      </c>
      <c r="U82" s="128" t="s">
        <v>2335</v>
      </c>
      <c r="V82" s="128" t="s">
        <v>2336</v>
      </c>
      <c r="W82" s="128" t="s">
        <v>2337</v>
      </c>
      <c r="X82" s="128" t="s">
        <v>2338</v>
      </c>
      <c r="Y82" s="128" t="s">
        <v>2339</v>
      </c>
      <c r="Z82" s="128" t="s">
        <v>2340</v>
      </c>
      <c r="AA82" s="128" t="s">
        <v>2341</v>
      </c>
      <c r="AB82" s="128" t="s">
        <v>2342</v>
      </c>
      <c r="AC82" s="128" t="s">
        <v>2343</v>
      </c>
      <c r="AD82" s="128" t="s">
        <v>2344</v>
      </c>
      <c r="AE82" s="128" t="s">
        <v>2345</v>
      </c>
      <c r="AF82" s="128" t="s">
        <v>2346</v>
      </c>
    </row>
    <row r="83" spans="3:32" ht="319" x14ac:dyDescent="0.35">
      <c r="C83" s="128" t="s">
        <v>2347</v>
      </c>
      <c r="E83" s="128" t="s">
        <v>2348</v>
      </c>
      <c r="F83" s="128" t="s">
        <v>2349</v>
      </c>
      <c r="G83" s="128" t="s">
        <v>2350</v>
      </c>
      <c r="H83" s="128" t="s">
        <v>2351</v>
      </c>
      <c r="I83" s="128" t="s">
        <v>2352</v>
      </c>
      <c r="J83" s="128" t="s">
        <v>2353</v>
      </c>
      <c r="K83" s="128" t="s">
        <v>2354</v>
      </c>
      <c r="L83" s="128" t="s">
        <v>2355</v>
      </c>
      <c r="M83" s="128" t="s">
        <v>2356</v>
      </c>
      <c r="N83" s="128" t="s">
        <v>2357</v>
      </c>
      <c r="O83" s="128" t="s">
        <v>2358</v>
      </c>
      <c r="P83" s="128" t="s">
        <v>2359</v>
      </c>
      <c r="Q83" s="128" t="s">
        <v>2360</v>
      </c>
      <c r="R83" s="128" t="s">
        <v>2361</v>
      </c>
      <c r="S83" s="128" t="s">
        <v>2362</v>
      </c>
      <c r="T83" s="128" t="s">
        <v>2363</v>
      </c>
      <c r="U83" s="128" t="s">
        <v>2364</v>
      </c>
      <c r="V83" s="128" t="s">
        <v>2365</v>
      </c>
      <c r="W83" s="128" t="s">
        <v>2366</v>
      </c>
      <c r="X83" s="128" t="s">
        <v>2367</v>
      </c>
      <c r="Y83" s="128" t="s">
        <v>2368</v>
      </c>
      <c r="Z83" s="128" t="s">
        <v>2369</v>
      </c>
      <c r="AA83" s="128" t="s">
        <v>2370</v>
      </c>
      <c r="AB83" s="128" t="s">
        <v>2371</v>
      </c>
      <c r="AC83" s="128" t="s">
        <v>2372</v>
      </c>
      <c r="AD83" s="128" t="s">
        <v>2373</v>
      </c>
      <c r="AE83" s="128" t="s">
        <v>2374</v>
      </c>
      <c r="AF83" s="128" t="s">
        <v>2375</v>
      </c>
    </row>
    <row r="84" spans="3:32" ht="319" x14ac:dyDescent="0.35">
      <c r="C84" s="128" t="s">
        <v>2376</v>
      </c>
      <c r="E84" s="128" t="s">
        <v>2377</v>
      </c>
      <c r="F84" s="128" t="s">
        <v>2378</v>
      </c>
      <c r="G84" s="128" t="s">
        <v>2379</v>
      </c>
      <c r="H84" s="128" t="s">
        <v>2380</v>
      </c>
      <c r="I84" s="128" t="s">
        <v>2381</v>
      </c>
      <c r="J84" s="128" t="s">
        <v>2382</v>
      </c>
      <c r="K84" s="128" t="s">
        <v>2383</v>
      </c>
      <c r="L84" s="128" t="s">
        <v>2384</v>
      </c>
      <c r="M84" s="128" t="s">
        <v>2385</v>
      </c>
      <c r="N84" s="128" t="s">
        <v>2386</v>
      </c>
      <c r="O84" s="128" t="s">
        <v>2387</v>
      </c>
      <c r="P84" s="128" t="s">
        <v>2388</v>
      </c>
      <c r="Q84" s="128" t="s">
        <v>2389</v>
      </c>
      <c r="R84" s="128" t="s">
        <v>2390</v>
      </c>
      <c r="S84" s="128" t="s">
        <v>2391</v>
      </c>
      <c r="T84" s="128" t="s">
        <v>2392</v>
      </c>
      <c r="U84" s="128" t="s">
        <v>2393</v>
      </c>
      <c r="V84" s="128" t="s">
        <v>2394</v>
      </c>
      <c r="W84" s="128" t="s">
        <v>2395</v>
      </c>
      <c r="X84" s="128" t="s">
        <v>2396</v>
      </c>
      <c r="Y84" s="128" t="s">
        <v>2397</v>
      </c>
      <c r="Z84" s="128" t="s">
        <v>2398</v>
      </c>
      <c r="AA84" s="128" t="s">
        <v>2399</v>
      </c>
      <c r="AB84" s="128" t="s">
        <v>2400</v>
      </c>
      <c r="AC84" s="128" t="s">
        <v>2401</v>
      </c>
      <c r="AD84" s="128" t="s">
        <v>2402</v>
      </c>
      <c r="AE84" s="128" t="s">
        <v>2403</v>
      </c>
      <c r="AF84" s="128" t="s">
        <v>2404</v>
      </c>
    </row>
    <row r="85" spans="3:32" ht="319" x14ac:dyDescent="0.35">
      <c r="C85" s="128" t="s">
        <v>2405</v>
      </c>
      <c r="E85" s="128" t="s">
        <v>2406</v>
      </c>
      <c r="F85" s="128" t="s">
        <v>2407</v>
      </c>
      <c r="G85" s="128" t="s">
        <v>2408</v>
      </c>
      <c r="H85" s="128" t="s">
        <v>2409</v>
      </c>
      <c r="I85" s="128" t="s">
        <v>2410</v>
      </c>
      <c r="J85" s="128" t="s">
        <v>2411</v>
      </c>
      <c r="K85" s="128" t="s">
        <v>2412</v>
      </c>
      <c r="L85" s="128" t="s">
        <v>2413</v>
      </c>
      <c r="M85" s="128" t="s">
        <v>2414</v>
      </c>
      <c r="N85" s="128" t="s">
        <v>2415</v>
      </c>
      <c r="O85" s="128" t="s">
        <v>2416</v>
      </c>
      <c r="P85" s="128" t="s">
        <v>2417</v>
      </c>
      <c r="Q85" s="128" t="s">
        <v>2418</v>
      </c>
      <c r="R85" s="128" t="s">
        <v>2419</v>
      </c>
      <c r="S85" s="128" t="s">
        <v>2420</v>
      </c>
      <c r="T85" s="128" t="s">
        <v>2421</v>
      </c>
      <c r="U85" s="128" t="s">
        <v>2422</v>
      </c>
      <c r="V85" s="128" t="s">
        <v>2423</v>
      </c>
      <c r="W85" s="128" t="s">
        <v>2424</v>
      </c>
      <c r="X85" s="128" t="s">
        <v>2425</v>
      </c>
      <c r="Y85" s="128" t="s">
        <v>2426</v>
      </c>
      <c r="Z85" s="128" t="s">
        <v>2427</v>
      </c>
      <c r="AA85" s="128" t="s">
        <v>2428</v>
      </c>
      <c r="AB85" s="128" t="s">
        <v>2429</v>
      </c>
      <c r="AC85" s="128" t="s">
        <v>2430</v>
      </c>
      <c r="AD85" s="128" t="s">
        <v>2431</v>
      </c>
      <c r="AE85" s="128" t="s">
        <v>2432</v>
      </c>
      <c r="AF85" s="128" t="s">
        <v>2433</v>
      </c>
    </row>
    <row r="86" spans="3:32" ht="319" x14ac:dyDescent="0.35">
      <c r="C86" s="128" t="s">
        <v>2434</v>
      </c>
      <c r="E86" s="128" t="s">
        <v>2435</v>
      </c>
      <c r="F86" s="128" t="s">
        <v>2436</v>
      </c>
      <c r="G86" s="128" t="s">
        <v>2437</v>
      </c>
      <c r="H86" s="128" t="s">
        <v>2438</v>
      </c>
      <c r="I86" s="128" t="s">
        <v>2439</v>
      </c>
      <c r="J86" s="128" t="s">
        <v>2440</v>
      </c>
      <c r="K86" s="128" t="s">
        <v>2441</v>
      </c>
      <c r="L86" s="128" t="s">
        <v>2442</v>
      </c>
      <c r="M86" s="128" t="s">
        <v>2443</v>
      </c>
      <c r="N86" s="128" t="s">
        <v>2444</v>
      </c>
      <c r="O86" s="128" t="s">
        <v>2445</v>
      </c>
      <c r="P86" s="128" t="s">
        <v>2446</v>
      </c>
      <c r="Q86" s="128" t="s">
        <v>2447</v>
      </c>
      <c r="R86" s="128" t="s">
        <v>2448</v>
      </c>
      <c r="S86" s="128" t="s">
        <v>2449</v>
      </c>
      <c r="T86" s="128" t="s">
        <v>2450</v>
      </c>
      <c r="U86" s="128" t="s">
        <v>2451</v>
      </c>
      <c r="V86" s="128" t="s">
        <v>2452</v>
      </c>
      <c r="W86" s="128" t="s">
        <v>2453</v>
      </c>
      <c r="X86" s="128" t="s">
        <v>2454</v>
      </c>
      <c r="Y86" s="128" t="s">
        <v>2455</v>
      </c>
      <c r="Z86" s="128" t="s">
        <v>2456</v>
      </c>
      <c r="AA86" s="128" t="s">
        <v>2457</v>
      </c>
      <c r="AB86" s="128" t="s">
        <v>2458</v>
      </c>
      <c r="AC86" s="128" t="s">
        <v>2459</v>
      </c>
      <c r="AD86" s="128" t="s">
        <v>2460</v>
      </c>
      <c r="AE86" s="128" t="s">
        <v>2461</v>
      </c>
      <c r="AF86" s="128" t="s">
        <v>2462</v>
      </c>
    </row>
    <row r="87" spans="3:32" ht="319" x14ac:dyDescent="0.35">
      <c r="C87" s="128" t="s">
        <v>2463</v>
      </c>
      <c r="E87" s="128" t="s">
        <v>2464</v>
      </c>
      <c r="F87" s="128" t="s">
        <v>2465</v>
      </c>
      <c r="G87" s="128" t="s">
        <v>2466</v>
      </c>
      <c r="H87" s="128" t="s">
        <v>2467</v>
      </c>
      <c r="I87" s="128" t="s">
        <v>2468</v>
      </c>
      <c r="J87" s="128" t="s">
        <v>2469</v>
      </c>
      <c r="K87" s="128" t="s">
        <v>2470</v>
      </c>
      <c r="L87" s="128" t="s">
        <v>2471</v>
      </c>
      <c r="M87" s="128" t="s">
        <v>2472</v>
      </c>
      <c r="N87" s="128" t="s">
        <v>2473</v>
      </c>
      <c r="O87" s="128" t="s">
        <v>2474</v>
      </c>
      <c r="P87" s="128" t="s">
        <v>2475</v>
      </c>
      <c r="Q87" s="128" t="s">
        <v>2476</v>
      </c>
      <c r="R87" s="128" t="s">
        <v>2477</v>
      </c>
      <c r="S87" s="128" t="s">
        <v>2478</v>
      </c>
      <c r="T87" s="128" t="s">
        <v>2479</v>
      </c>
      <c r="U87" s="128" t="s">
        <v>2480</v>
      </c>
      <c r="V87" s="128" t="s">
        <v>2481</v>
      </c>
      <c r="W87" s="128" t="s">
        <v>2482</v>
      </c>
      <c r="X87" s="128" t="s">
        <v>2483</v>
      </c>
      <c r="Y87" s="128" t="s">
        <v>2484</v>
      </c>
      <c r="Z87" s="128" t="s">
        <v>2485</v>
      </c>
      <c r="AA87" s="128" t="s">
        <v>2486</v>
      </c>
      <c r="AB87" s="128" t="s">
        <v>2487</v>
      </c>
      <c r="AC87" s="128" t="s">
        <v>2488</v>
      </c>
      <c r="AD87" s="128" t="s">
        <v>2489</v>
      </c>
      <c r="AE87" s="128" t="s">
        <v>2490</v>
      </c>
      <c r="AF87" s="128" t="s">
        <v>2491</v>
      </c>
    </row>
    <row r="88" spans="3:32" ht="319" x14ac:dyDescent="0.35">
      <c r="C88" s="128" t="s">
        <v>2492</v>
      </c>
      <c r="E88" s="128" t="s">
        <v>2493</v>
      </c>
      <c r="F88" s="128" t="s">
        <v>2494</v>
      </c>
      <c r="G88" s="128" t="s">
        <v>2495</v>
      </c>
      <c r="H88" s="128" t="s">
        <v>2496</v>
      </c>
      <c r="I88" s="128" t="s">
        <v>2497</v>
      </c>
      <c r="J88" s="128" t="s">
        <v>2498</v>
      </c>
      <c r="K88" s="128" t="s">
        <v>2499</v>
      </c>
      <c r="L88" s="128" t="s">
        <v>2500</v>
      </c>
      <c r="M88" s="128" t="s">
        <v>2501</v>
      </c>
      <c r="N88" s="128" t="s">
        <v>2502</v>
      </c>
      <c r="O88" s="128" t="s">
        <v>2503</v>
      </c>
      <c r="P88" s="128" t="s">
        <v>2504</v>
      </c>
      <c r="Q88" s="128" t="s">
        <v>2505</v>
      </c>
      <c r="R88" s="128" t="s">
        <v>2506</v>
      </c>
      <c r="S88" s="128" t="s">
        <v>2507</v>
      </c>
      <c r="T88" s="128" t="s">
        <v>2508</v>
      </c>
      <c r="U88" s="128" t="s">
        <v>2509</v>
      </c>
      <c r="V88" s="128" t="s">
        <v>2510</v>
      </c>
      <c r="W88" s="128" t="s">
        <v>2511</v>
      </c>
      <c r="X88" s="128" t="s">
        <v>2512</v>
      </c>
      <c r="Y88" s="128" t="s">
        <v>2513</v>
      </c>
      <c r="Z88" s="128" t="s">
        <v>2514</v>
      </c>
      <c r="AA88" s="128" t="s">
        <v>2515</v>
      </c>
      <c r="AB88" s="128" t="s">
        <v>2516</v>
      </c>
      <c r="AC88" s="128" t="s">
        <v>2517</v>
      </c>
      <c r="AD88" s="128" t="s">
        <v>2518</v>
      </c>
      <c r="AE88" s="128" t="s">
        <v>2519</v>
      </c>
      <c r="AF88" s="128" t="s">
        <v>2520</v>
      </c>
    </row>
    <row r="89" spans="3:32" ht="319" x14ac:dyDescent="0.35">
      <c r="C89" s="128" t="s">
        <v>2521</v>
      </c>
      <c r="E89" s="128" t="s">
        <v>2522</v>
      </c>
      <c r="F89" s="128" t="s">
        <v>2523</v>
      </c>
      <c r="G89" s="128" t="s">
        <v>2524</v>
      </c>
      <c r="H89" s="128" t="s">
        <v>2525</v>
      </c>
      <c r="I89" s="128" t="s">
        <v>2526</v>
      </c>
      <c r="J89" s="128" t="s">
        <v>2527</v>
      </c>
      <c r="K89" s="128" t="s">
        <v>2528</v>
      </c>
      <c r="L89" s="128" t="s">
        <v>2529</v>
      </c>
      <c r="M89" s="128" t="s">
        <v>2530</v>
      </c>
      <c r="N89" s="128" t="s">
        <v>2531</v>
      </c>
      <c r="O89" s="128" t="s">
        <v>2532</v>
      </c>
      <c r="P89" s="128" t="s">
        <v>2533</v>
      </c>
      <c r="Q89" s="128" t="s">
        <v>2534</v>
      </c>
      <c r="R89" s="128" t="s">
        <v>2535</v>
      </c>
      <c r="S89" s="128" t="s">
        <v>2536</v>
      </c>
      <c r="T89" s="128" t="s">
        <v>2537</v>
      </c>
      <c r="U89" s="128" t="s">
        <v>2538</v>
      </c>
      <c r="V89" s="128" t="s">
        <v>2539</v>
      </c>
      <c r="W89" s="128" t="s">
        <v>2540</v>
      </c>
      <c r="X89" s="128" t="s">
        <v>2541</v>
      </c>
      <c r="Y89" s="128" t="s">
        <v>2542</v>
      </c>
      <c r="Z89" s="128" t="s">
        <v>2543</v>
      </c>
      <c r="AA89" s="128" t="s">
        <v>2544</v>
      </c>
      <c r="AB89" s="128" t="s">
        <v>2545</v>
      </c>
      <c r="AC89" s="128" t="s">
        <v>2546</v>
      </c>
      <c r="AD89" s="128" t="s">
        <v>2547</v>
      </c>
      <c r="AE89" s="128" t="s">
        <v>2548</v>
      </c>
      <c r="AF89" s="128" t="s">
        <v>2549</v>
      </c>
    </row>
    <row r="90" spans="3:32" ht="319" x14ac:dyDescent="0.35">
      <c r="C90" s="128" t="s">
        <v>2550</v>
      </c>
      <c r="E90" s="128" t="s">
        <v>2551</v>
      </c>
      <c r="F90" s="128" t="s">
        <v>2552</v>
      </c>
      <c r="G90" s="128" t="s">
        <v>2553</v>
      </c>
      <c r="H90" s="128" t="s">
        <v>2554</v>
      </c>
      <c r="I90" s="128" t="s">
        <v>2555</v>
      </c>
      <c r="J90" s="128" t="s">
        <v>2556</v>
      </c>
      <c r="K90" s="128" t="s">
        <v>2557</v>
      </c>
      <c r="L90" s="128" t="s">
        <v>2558</v>
      </c>
      <c r="M90" s="128" t="s">
        <v>2559</v>
      </c>
      <c r="N90" s="128" t="s">
        <v>2560</v>
      </c>
      <c r="O90" s="128" t="s">
        <v>2561</v>
      </c>
      <c r="P90" s="128" t="s">
        <v>2562</v>
      </c>
      <c r="Q90" s="128" t="s">
        <v>2563</v>
      </c>
      <c r="R90" s="128" t="s">
        <v>2564</v>
      </c>
      <c r="S90" s="128" t="s">
        <v>2565</v>
      </c>
      <c r="T90" s="128" t="s">
        <v>2566</v>
      </c>
      <c r="U90" s="128" t="s">
        <v>2567</v>
      </c>
      <c r="V90" s="128" t="s">
        <v>2568</v>
      </c>
      <c r="W90" s="128" t="s">
        <v>2569</v>
      </c>
      <c r="X90" s="128" t="s">
        <v>2570</v>
      </c>
      <c r="Y90" s="128" t="s">
        <v>2571</v>
      </c>
      <c r="Z90" s="128" t="s">
        <v>2572</v>
      </c>
      <c r="AA90" s="128" t="s">
        <v>2573</v>
      </c>
      <c r="AB90" s="128" t="s">
        <v>2574</v>
      </c>
      <c r="AC90" s="128" t="s">
        <v>2575</v>
      </c>
      <c r="AD90" s="128" t="s">
        <v>2576</v>
      </c>
      <c r="AE90" s="128" t="s">
        <v>2577</v>
      </c>
      <c r="AF90" s="128" t="s">
        <v>2578</v>
      </c>
    </row>
    <row r="91" spans="3:32" ht="319" x14ac:dyDescent="0.35">
      <c r="C91" s="128" t="s">
        <v>2579</v>
      </c>
      <c r="E91" s="128" t="s">
        <v>2580</v>
      </c>
      <c r="F91" s="128" t="s">
        <v>2581</v>
      </c>
      <c r="G91" s="128" t="s">
        <v>2582</v>
      </c>
      <c r="H91" s="128" t="s">
        <v>2583</v>
      </c>
      <c r="I91" s="128" t="s">
        <v>2584</v>
      </c>
      <c r="J91" s="128" t="s">
        <v>2585</v>
      </c>
      <c r="K91" s="128" t="s">
        <v>2586</v>
      </c>
      <c r="L91" s="128" t="s">
        <v>2587</v>
      </c>
      <c r="M91" s="128" t="s">
        <v>2588</v>
      </c>
      <c r="N91" s="128" t="s">
        <v>2589</v>
      </c>
      <c r="O91" s="128" t="s">
        <v>2590</v>
      </c>
      <c r="P91" s="128" t="s">
        <v>2591</v>
      </c>
      <c r="Q91" s="128" t="s">
        <v>2592</v>
      </c>
      <c r="R91" s="128" t="s">
        <v>2593</v>
      </c>
      <c r="S91" s="128" t="s">
        <v>2594</v>
      </c>
      <c r="T91" s="128" t="s">
        <v>2595</v>
      </c>
      <c r="U91" s="128" t="s">
        <v>2596</v>
      </c>
      <c r="V91" s="128" t="s">
        <v>2597</v>
      </c>
      <c r="W91" s="128" t="s">
        <v>2598</v>
      </c>
      <c r="X91" s="128" t="s">
        <v>2599</v>
      </c>
      <c r="Y91" s="128" t="s">
        <v>2600</v>
      </c>
      <c r="Z91" s="128" t="s">
        <v>2601</v>
      </c>
      <c r="AA91" s="128" t="s">
        <v>2602</v>
      </c>
      <c r="AB91" s="128" t="s">
        <v>2603</v>
      </c>
      <c r="AC91" s="128" t="s">
        <v>2604</v>
      </c>
      <c r="AD91" s="128" t="s">
        <v>2605</v>
      </c>
      <c r="AE91" s="128" t="s">
        <v>2606</v>
      </c>
      <c r="AF91" s="128" t="s">
        <v>2607</v>
      </c>
    </row>
    <row r="92" spans="3:32" ht="319" x14ac:dyDescent="0.35">
      <c r="C92" s="128" t="s">
        <v>2608</v>
      </c>
      <c r="E92" s="128" t="s">
        <v>2609</v>
      </c>
      <c r="F92" s="128" t="s">
        <v>2610</v>
      </c>
      <c r="G92" s="128" t="s">
        <v>2611</v>
      </c>
      <c r="H92" s="128" t="s">
        <v>2612</v>
      </c>
      <c r="I92" s="128" t="s">
        <v>2613</v>
      </c>
      <c r="J92" s="128" t="s">
        <v>2614</v>
      </c>
      <c r="K92" s="128" t="s">
        <v>2615</v>
      </c>
      <c r="L92" s="128" t="s">
        <v>2616</v>
      </c>
      <c r="M92" s="128" t="s">
        <v>2617</v>
      </c>
      <c r="N92" s="128" t="s">
        <v>2618</v>
      </c>
      <c r="O92" s="128" t="s">
        <v>2619</v>
      </c>
      <c r="P92" s="128" t="s">
        <v>2620</v>
      </c>
      <c r="Q92" s="128" t="s">
        <v>2621</v>
      </c>
      <c r="R92" s="128" t="s">
        <v>2622</v>
      </c>
      <c r="S92" s="128" t="s">
        <v>2623</v>
      </c>
      <c r="T92" s="128" t="s">
        <v>2624</v>
      </c>
      <c r="U92" s="128" t="s">
        <v>2625</v>
      </c>
      <c r="V92" s="128" t="s">
        <v>2626</v>
      </c>
      <c r="W92" s="128" t="s">
        <v>2627</v>
      </c>
      <c r="X92" s="128" t="s">
        <v>2628</v>
      </c>
      <c r="Y92" s="128" t="s">
        <v>2629</v>
      </c>
      <c r="Z92" s="128" t="s">
        <v>2630</v>
      </c>
      <c r="AA92" s="128" t="s">
        <v>2631</v>
      </c>
      <c r="AB92" s="128" t="s">
        <v>2632</v>
      </c>
      <c r="AC92" s="128" t="s">
        <v>2633</v>
      </c>
      <c r="AD92" s="128" t="s">
        <v>2634</v>
      </c>
      <c r="AE92" s="128" t="s">
        <v>2635</v>
      </c>
      <c r="AF92" s="128" t="s">
        <v>2636</v>
      </c>
    </row>
    <row r="93" spans="3:32" ht="319" x14ac:dyDescent="0.35">
      <c r="C93" s="128" t="s">
        <v>2637</v>
      </c>
      <c r="E93" s="128" t="s">
        <v>2638</v>
      </c>
      <c r="F93" s="128" t="s">
        <v>2639</v>
      </c>
      <c r="G93" s="128" t="s">
        <v>2640</v>
      </c>
      <c r="H93" s="128" t="s">
        <v>2641</v>
      </c>
      <c r="I93" s="128" t="s">
        <v>2642</v>
      </c>
      <c r="J93" s="128" t="s">
        <v>2643</v>
      </c>
      <c r="K93" s="128" t="s">
        <v>2644</v>
      </c>
      <c r="L93" s="128" t="s">
        <v>2645</v>
      </c>
      <c r="M93" s="128" t="s">
        <v>2646</v>
      </c>
      <c r="N93" s="128" t="s">
        <v>2647</v>
      </c>
      <c r="O93" s="128" t="s">
        <v>2648</v>
      </c>
      <c r="P93" s="128" t="s">
        <v>2649</v>
      </c>
      <c r="Q93" s="128" t="s">
        <v>2650</v>
      </c>
      <c r="R93" s="128" t="s">
        <v>2651</v>
      </c>
      <c r="S93" s="128" t="s">
        <v>2652</v>
      </c>
      <c r="T93" s="128" t="s">
        <v>2653</v>
      </c>
      <c r="U93" s="128" t="s">
        <v>2654</v>
      </c>
      <c r="V93" s="128" t="s">
        <v>2655</v>
      </c>
      <c r="W93" s="128" t="s">
        <v>2656</v>
      </c>
      <c r="X93" s="128" t="s">
        <v>2657</v>
      </c>
      <c r="Y93" s="128" t="s">
        <v>2658</v>
      </c>
      <c r="Z93" s="128" t="s">
        <v>2659</v>
      </c>
      <c r="AA93" s="128" t="s">
        <v>2660</v>
      </c>
      <c r="AB93" s="128" t="s">
        <v>2661</v>
      </c>
      <c r="AC93" s="128" t="s">
        <v>2662</v>
      </c>
      <c r="AD93" s="128" t="s">
        <v>2663</v>
      </c>
      <c r="AE93" s="128" t="s">
        <v>2664</v>
      </c>
      <c r="AF93" s="128" t="s">
        <v>2665</v>
      </c>
    </row>
    <row r="94" spans="3:32" ht="319" x14ac:dyDescent="0.35">
      <c r="C94" s="128" t="s">
        <v>2666</v>
      </c>
      <c r="E94" s="128" t="s">
        <v>2667</v>
      </c>
      <c r="F94" s="128" t="s">
        <v>2668</v>
      </c>
      <c r="G94" s="128" t="s">
        <v>2669</v>
      </c>
      <c r="H94" s="128" t="s">
        <v>2670</v>
      </c>
      <c r="I94" s="128" t="s">
        <v>2671</v>
      </c>
      <c r="J94" s="128" t="s">
        <v>2672</v>
      </c>
      <c r="K94" s="128" t="s">
        <v>2673</v>
      </c>
      <c r="L94" s="128" t="s">
        <v>2674</v>
      </c>
      <c r="M94" s="128" t="s">
        <v>2675</v>
      </c>
      <c r="N94" s="128" t="s">
        <v>2676</v>
      </c>
      <c r="O94" s="128" t="s">
        <v>2677</v>
      </c>
      <c r="P94" s="128" t="s">
        <v>2678</v>
      </c>
      <c r="Q94" s="128" t="s">
        <v>2679</v>
      </c>
      <c r="R94" s="128" t="s">
        <v>2680</v>
      </c>
      <c r="S94" s="128" t="s">
        <v>2681</v>
      </c>
      <c r="T94" s="128" t="s">
        <v>2682</v>
      </c>
      <c r="U94" s="128" t="s">
        <v>2683</v>
      </c>
      <c r="V94" s="128" t="s">
        <v>2684</v>
      </c>
      <c r="W94" s="128" t="s">
        <v>2685</v>
      </c>
      <c r="X94" s="128" t="s">
        <v>2686</v>
      </c>
      <c r="Y94" s="128" t="s">
        <v>2687</v>
      </c>
      <c r="Z94" s="128" t="s">
        <v>2688</v>
      </c>
      <c r="AA94" s="128" t="s">
        <v>2689</v>
      </c>
      <c r="AB94" s="128" t="s">
        <v>2690</v>
      </c>
      <c r="AC94" s="128" t="s">
        <v>2691</v>
      </c>
      <c r="AD94" s="128" t="s">
        <v>2692</v>
      </c>
      <c r="AE94" s="128" t="s">
        <v>2693</v>
      </c>
      <c r="AF94" s="128" t="s">
        <v>2694</v>
      </c>
    </row>
    <row r="95" spans="3:32" ht="319" x14ac:dyDescent="0.35">
      <c r="C95" s="128" t="s">
        <v>2695</v>
      </c>
      <c r="E95" s="128" t="s">
        <v>2696</v>
      </c>
      <c r="F95" s="128" t="s">
        <v>2697</v>
      </c>
      <c r="G95" s="128" t="s">
        <v>2698</v>
      </c>
      <c r="H95" s="128" t="s">
        <v>2699</v>
      </c>
      <c r="I95" s="128" t="s">
        <v>2700</v>
      </c>
      <c r="J95" s="128" t="s">
        <v>2701</v>
      </c>
      <c r="K95" s="128" t="s">
        <v>2702</v>
      </c>
      <c r="L95" s="128" t="s">
        <v>2703</v>
      </c>
      <c r="M95" s="128" t="s">
        <v>2704</v>
      </c>
      <c r="N95" s="128" t="s">
        <v>2705</v>
      </c>
      <c r="O95" s="128" t="s">
        <v>2706</v>
      </c>
      <c r="P95" s="128" t="s">
        <v>2707</v>
      </c>
      <c r="Q95" s="128" t="s">
        <v>2708</v>
      </c>
      <c r="R95" s="128" t="s">
        <v>2709</v>
      </c>
      <c r="S95" s="128" t="s">
        <v>2710</v>
      </c>
      <c r="T95" s="128" t="s">
        <v>2711</v>
      </c>
      <c r="U95" s="128" t="s">
        <v>2712</v>
      </c>
      <c r="V95" s="128" t="s">
        <v>2713</v>
      </c>
      <c r="W95" s="128" t="s">
        <v>2714</v>
      </c>
      <c r="X95" s="128" t="s">
        <v>2715</v>
      </c>
      <c r="Y95" s="128" t="s">
        <v>2716</v>
      </c>
      <c r="Z95" s="128" t="s">
        <v>2717</v>
      </c>
      <c r="AA95" s="128" t="s">
        <v>2718</v>
      </c>
      <c r="AB95" s="128" t="s">
        <v>2719</v>
      </c>
      <c r="AC95" s="128" t="s">
        <v>2720</v>
      </c>
      <c r="AD95" s="128" t="s">
        <v>2721</v>
      </c>
      <c r="AE95" s="128" t="s">
        <v>2722</v>
      </c>
      <c r="AF95" s="128" t="s">
        <v>2723</v>
      </c>
    </row>
    <row r="96" spans="3:32" ht="319" x14ac:dyDescent="0.35">
      <c r="C96" s="128" t="s">
        <v>2724</v>
      </c>
      <c r="E96" s="128" t="s">
        <v>2725</v>
      </c>
      <c r="F96" s="128" t="s">
        <v>2726</v>
      </c>
      <c r="G96" s="128" t="s">
        <v>2727</v>
      </c>
      <c r="H96" s="128" t="s">
        <v>2728</v>
      </c>
      <c r="I96" s="128" t="s">
        <v>2729</v>
      </c>
      <c r="J96" s="128" t="s">
        <v>2730</v>
      </c>
      <c r="K96" s="128" t="s">
        <v>2731</v>
      </c>
      <c r="L96" s="128" t="s">
        <v>2732</v>
      </c>
      <c r="M96" s="128" t="s">
        <v>2733</v>
      </c>
      <c r="N96" s="128" t="s">
        <v>2734</v>
      </c>
      <c r="O96" s="128" t="s">
        <v>2735</v>
      </c>
      <c r="P96" s="128" t="s">
        <v>2736</v>
      </c>
      <c r="Q96" s="128" t="s">
        <v>2737</v>
      </c>
      <c r="R96" s="128" t="s">
        <v>2738</v>
      </c>
      <c r="S96" s="128" t="s">
        <v>2739</v>
      </c>
      <c r="T96" s="128" t="s">
        <v>2740</v>
      </c>
      <c r="U96" s="128" t="s">
        <v>2741</v>
      </c>
      <c r="V96" s="128" t="s">
        <v>2742</v>
      </c>
      <c r="W96" s="128" t="s">
        <v>2743</v>
      </c>
      <c r="X96" s="128" t="s">
        <v>2744</v>
      </c>
      <c r="Y96" s="128" t="s">
        <v>2745</v>
      </c>
      <c r="Z96" s="128" t="s">
        <v>2746</v>
      </c>
      <c r="AA96" s="128" t="s">
        <v>2747</v>
      </c>
      <c r="AB96" s="128" t="s">
        <v>2748</v>
      </c>
      <c r="AC96" s="128" t="s">
        <v>2749</v>
      </c>
      <c r="AD96" s="128" t="s">
        <v>2750</v>
      </c>
      <c r="AE96" s="128" t="s">
        <v>2751</v>
      </c>
      <c r="AF96" s="128" t="s">
        <v>2752</v>
      </c>
    </row>
    <row r="97" spans="3:32" ht="319" x14ac:dyDescent="0.35">
      <c r="C97" s="128" t="s">
        <v>2753</v>
      </c>
      <c r="E97" s="128" t="s">
        <v>2754</v>
      </c>
      <c r="F97" s="128" t="s">
        <v>2755</v>
      </c>
      <c r="G97" s="128" t="s">
        <v>2756</v>
      </c>
      <c r="H97" s="128" t="s">
        <v>2757</v>
      </c>
      <c r="I97" s="128" t="s">
        <v>2758</v>
      </c>
      <c r="J97" s="128" t="s">
        <v>2759</v>
      </c>
      <c r="K97" s="128" t="s">
        <v>2760</v>
      </c>
      <c r="L97" s="128" t="s">
        <v>2761</v>
      </c>
      <c r="M97" s="128" t="s">
        <v>2762</v>
      </c>
      <c r="N97" s="128" t="s">
        <v>2763</v>
      </c>
      <c r="O97" s="128" t="s">
        <v>2764</v>
      </c>
      <c r="P97" s="128" t="s">
        <v>2765</v>
      </c>
      <c r="Q97" s="128" t="s">
        <v>2766</v>
      </c>
      <c r="R97" s="128" t="s">
        <v>2767</v>
      </c>
      <c r="S97" s="128" t="s">
        <v>2768</v>
      </c>
      <c r="T97" s="128" t="s">
        <v>2769</v>
      </c>
      <c r="U97" s="128" t="s">
        <v>2770</v>
      </c>
      <c r="V97" s="128" t="s">
        <v>2771</v>
      </c>
      <c r="W97" s="128" t="s">
        <v>2772</v>
      </c>
      <c r="X97" s="128" t="s">
        <v>2773</v>
      </c>
      <c r="Y97" s="128" t="s">
        <v>2774</v>
      </c>
      <c r="Z97" s="128" t="s">
        <v>2775</v>
      </c>
      <c r="AA97" s="128" t="s">
        <v>2776</v>
      </c>
      <c r="AB97" s="128" t="s">
        <v>2777</v>
      </c>
      <c r="AC97" s="128" t="s">
        <v>2778</v>
      </c>
      <c r="AD97" s="128" t="s">
        <v>2779</v>
      </c>
      <c r="AE97" s="128" t="s">
        <v>2780</v>
      </c>
      <c r="AF97" s="128" t="s">
        <v>2781</v>
      </c>
    </row>
    <row r="98" spans="3:32" ht="319" x14ac:dyDescent="0.35">
      <c r="C98" s="128" t="s">
        <v>2782</v>
      </c>
      <c r="E98" s="128" t="s">
        <v>2783</v>
      </c>
      <c r="F98" s="128" t="s">
        <v>2784</v>
      </c>
      <c r="G98" s="128" t="s">
        <v>2785</v>
      </c>
      <c r="H98" s="128" t="s">
        <v>2786</v>
      </c>
      <c r="I98" s="128" t="s">
        <v>2787</v>
      </c>
      <c r="J98" s="128" t="s">
        <v>2788</v>
      </c>
      <c r="K98" s="128" t="s">
        <v>2789</v>
      </c>
      <c r="L98" s="128" t="s">
        <v>2790</v>
      </c>
      <c r="M98" s="128" t="s">
        <v>2791</v>
      </c>
      <c r="N98" s="128" t="s">
        <v>2792</v>
      </c>
      <c r="O98" s="128" t="s">
        <v>2793</v>
      </c>
      <c r="P98" s="128" t="s">
        <v>2794</v>
      </c>
      <c r="Q98" s="128" t="s">
        <v>2795</v>
      </c>
      <c r="R98" s="128" t="s">
        <v>2796</v>
      </c>
      <c r="S98" s="128" t="s">
        <v>2797</v>
      </c>
      <c r="T98" s="128" t="s">
        <v>2798</v>
      </c>
      <c r="U98" s="128" t="s">
        <v>2799</v>
      </c>
      <c r="V98" s="128" t="s">
        <v>2800</v>
      </c>
      <c r="W98" s="128" t="s">
        <v>2801</v>
      </c>
      <c r="X98" s="128" t="s">
        <v>2802</v>
      </c>
      <c r="Y98" s="128" t="s">
        <v>2803</v>
      </c>
      <c r="Z98" s="128" t="s">
        <v>2804</v>
      </c>
      <c r="AA98" s="128" t="s">
        <v>2805</v>
      </c>
      <c r="AB98" s="128" t="s">
        <v>2806</v>
      </c>
      <c r="AC98" s="128" t="s">
        <v>2807</v>
      </c>
      <c r="AD98" s="128" t="s">
        <v>2808</v>
      </c>
      <c r="AE98" s="128" t="s">
        <v>2809</v>
      </c>
      <c r="AF98" s="128" t="s">
        <v>2810</v>
      </c>
    </row>
    <row r="99" spans="3:32" ht="319" x14ac:dyDescent="0.35">
      <c r="C99" s="128" t="s">
        <v>2811</v>
      </c>
      <c r="E99" s="128" t="s">
        <v>2812</v>
      </c>
      <c r="F99" s="128" t="s">
        <v>2813</v>
      </c>
      <c r="G99" s="128" t="s">
        <v>2814</v>
      </c>
      <c r="H99" s="128" t="s">
        <v>2815</v>
      </c>
      <c r="I99" s="128" t="s">
        <v>2816</v>
      </c>
      <c r="J99" s="128" t="s">
        <v>2817</v>
      </c>
      <c r="K99" s="128" t="s">
        <v>2818</v>
      </c>
      <c r="L99" s="128" t="s">
        <v>2819</v>
      </c>
      <c r="M99" s="128" t="s">
        <v>2820</v>
      </c>
      <c r="N99" s="128" t="s">
        <v>2821</v>
      </c>
      <c r="O99" s="128" t="s">
        <v>2822</v>
      </c>
      <c r="P99" s="128" t="s">
        <v>2823</v>
      </c>
      <c r="Q99" s="128" t="s">
        <v>2824</v>
      </c>
      <c r="R99" s="128" t="s">
        <v>2825</v>
      </c>
      <c r="S99" s="128" t="s">
        <v>2826</v>
      </c>
      <c r="T99" s="128" t="s">
        <v>2827</v>
      </c>
      <c r="U99" s="128" t="s">
        <v>2828</v>
      </c>
      <c r="V99" s="128" t="s">
        <v>2829</v>
      </c>
      <c r="W99" s="128" t="s">
        <v>2830</v>
      </c>
      <c r="X99" s="128" t="s">
        <v>2831</v>
      </c>
      <c r="Y99" s="128" t="s">
        <v>2832</v>
      </c>
      <c r="Z99" s="128" t="s">
        <v>2833</v>
      </c>
      <c r="AA99" s="128" t="s">
        <v>2834</v>
      </c>
      <c r="AB99" s="128" t="s">
        <v>2835</v>
      </c>
      <c r="AC99" s="128" t="s">
        <v>2836</v>
      </c>
      <c r="AD99" s="128" t="s">
        <v>2837</v>
      </c>
      <c r="AE99" s="128" t="s">
        <v>2838</v>
      </c>
      <c r="AF99" s="128" t="s">
        <v>2839</v>
      </c>
    </row>
    <row r="100" spans="3:32" ht="319" x14ac:dyDescent="0.35">
      <c r="C100" s="128" t="s">
        <v>2840</v>
      </c>
      <c r="E100" s="128" t="s">
        <v>2841</v>
      </c>
      <c r="F100" s="128" t="s">
        <v>2842</v>
      </c>
      <c r="G100" s="128" t="s">
        <v>2843</v>
      </c>
      <c r="H100" s="128" t="s">
        <v>2844</v>
      </c>
      <c r="I100" s="128" t="s">
        <v>2845</v>
      </c>
      <c r="J100" s="128" t="s">
        <v>2846</v>
      </c>
      <c r="K100" s="128" t="s">
        <v>2847</v>
      </c>
      <c r="L100" s="128" t="s">
        <v>2848</v>
      </c>
      <c r="M100" s="128" t="s">
        <v>2849</v>
      </c>
      <c r="N100" s="128" t="s">
        <v>2850</v>
      </c>
      <c r="O100" s="128" t="s">
        <v>2851</v>
      </c>
      <c r="P100" s="128" t="s">
        <v>2852</v>
      </c>
      <c r="Q100" s="128" t="s">
        <v>2853</v>
      </c>
      <c r="R100" s="128" t="s">
        <v>2854</v>
      </c>
      <c r="S100" s="128" t="s">
        <v>2855</v>
      </c>
      <c r="T100" s="128" t="s">
        <v>2856</v>
      </c>
      <c r="U100" s="128" t="s">
        <v>2857</v>
      </c>
      <c r="V100" s="128" t="s">
        <v>2858</v>
      </c>
      <c r="W100" s="128" t="s">
        <v>2859</v>
      </c>
      <c r="X100" s="128" t="s">
        <v>2860</v>
      </c>
      <c r="Y100" s="128" t="s">
        <v>2861</v>
      </c>
      <c r="Z100" s="128" t="s">
        <v>2862</v>
      </c>
      <c r="AA100" s="128" t="s">
        <v>2863</v>
      </c>
      <c r="AB100" s="128" t="s">
        <v>2864</v>
      </c>
      <c r="AC100" s="128" t="s">
        <v>2865</v>
      </c>
      <c r="AD100" s="128" t="s">
        <v>2866</v>
      </c>
      <c r="AE100" s="128" t="s">
        <v>2867</v>
      </c>
      <c r="AF100" s="128" t="s">
        <v>2868</v>
      </c>
    </row>
    <row r="101" spans="3:32" ht="319" x14ac:dyDescent="0.35">
      <c r="C101" s="128" t="s">
        <v>2869</v>
      </c>
      <c r="E101" s="128" t="s">
        <v>2870</v>
      </c>
      <c r="F101" s="128" t="s">
        <v>2871</v>
      </c>
      <c r="G101" s="128" t="s">
        <v>2872</v>
      </c>
      <c r="H101" s="128" t="s">
        <v>2873</v>
      </c>
      <c r="I101" s="128" t="s">
        <v>2874</v>
      </c>
      <c r="J101" s="128" t="s">
        <v>2875</v>
      </c>
      <c r="K101" s="128" t="s">
        <v>2876</v>
      </c>
      <c r="L101" s="128" t="s">
        <v>2877</v>
      </c>
      <c r="M101" s="128" t="s">
        <v>2878</v>
      </c>
      <c r="N101" s="128" t="s">
        <v>2879</v>
      </c>
      <c r="O101" s="128" t="s">
        <v>2880</v>
      </c>
      <c r="P101" s="128" t="s">
        <v>2881</v>
      </c>
      <c r="Q101" s="128" t="s">
        <v>2882</v>
      </c>
      <c r="R101" s="128" t="s">
        <v>2883</v>
      </c>
      <c r="S101" s="128" t="s">
        <v>2884</v>
      </c>
      <c r="T101" s="128" t="s">
        <v>2885</v>
      </c>
      <c r="U101" s="128" t="s">
        <v>2886</v>
      </c>
      <c r="V101" s="128" t="s">
        <v>2887</v>
      </c>
      <c r="W101" s="128" t="s">
        <v>2888</v>
      </c>
      <c r="X101" s="128" t="s">
        <v>2889</v>
      </c>
      <c r="Y101" s="128" t="s">
        <v>2890</v>
      </c>
      <c r="Z101" s="128" t="s">
        <v>2891</v>
      </c>
      <c r="AA101" s="128" t="s">
        <v>2892</v>
      </c>
      <c r="AB101" s="128" t="s">
        <v>2893</v>
      </c>
      <c r="AC101" s="128" t="s">
        <v>2894</v>
      </c>
      <c r="AD101" s="128" t="s">
        <v>2895</v>
      </c>
      <c r="AE101" s="128" t="s">
        <v>2896</v>
      </c>
      <c r="AF101" s="128" t="s">
        <v>2897</v>
      </c>
    </row>
    <row r="102" spans="3:32" ht="319" x14ac:dyDescent="0.35">
      <c r="C102" s="128" t="s">
        <v>2898</v>
      </c>
      <c r="E102" s="128" t="s">
        <v>2899</v>
      </c>
      <c r="F102" s="128" t="s">
        <v>2900</v>
      </c>
      <c r="G102" s="128" t="s">
        <v>2901</v>
      </c>
      <c r="H102" s="128" t="s">
        <v>2902</v>
      </c>
      <c r="I102" s="128" t="s">
        <v>2903</v>
      </c>
      <c r="J102" s="128" t="s">
        <v>2904</v>
      </c>
      <c r="K102" s="128" t="s">
        <v>2905</v>
      </c>
      <c r="L102" s="128" t="s">
        <v>2906</v>
      </c>
      <c r="M102" s="128" t="s">
        <v>2907</v>
      </c>
      <c r="N102" s="128" t="s">
        <v>2908</v>
      </c>
      <c r="O102" s="128" t="s">
        <v>2909</v>
      </c>
      <c r="P102" s="128" t="s">
        <v>2910</v>
      </c>
      <c r="Q102" s="128" t="s">
        <v>2911</v>
      </c>
      <c r="R102" s="128" t="s">
        <v>2912</v>
      </c>
      <c r="S102" s="128" t="s">
        <v>2913</v>
      </c>
      <c r="T102" s="128" t="s">
        <v>2914</v>
      </c>
      <c r="U102" s="128" t="s">
        <v>2915</v>
      </c>
      <c r="V102" s="128" t="s">
        <v>2916</v>
      </c>
      <c r="W102" s="128" t="s">
        <v>2917</v>
      </c>
      <c r="X102" s="128" t="s">
        <v>2918</v>
      </c>
      <c r="Y102" s="128" t="s">
        <v>2919</v>
      </c>
      <c r="Z102" s="128" t="s">
        <v>2920</v>
      </c>
      <c r="AA102" s="128" t="s">
        <v>2921</v>
      </c>
      <c r="AB102" s="128" t="s">
        <v>2922</v>
      </c>
      <c r="AC102" s="128" t="s">
        <v>2923</v>
      </c>
      <c r="AD102" s="128" t="s">
        <v>2924</v>
      </c>
      <c r="AE102" s="128" t="s">
        <v>2925</v>
      </c>
      <c r="AF102" s="128" t="s">
        <v>2926</v>
      </c>
    </row>
    <row r="103" spans="3:32" ht="319" x14ac:dyDescent="0.35">
      <c r="C103" s="128" t="s">
        <v>2927</v>
      </c>
      <c r="E103" s="128" t="s">
        <v>2928</v>
      </c>
      <c r="F103" s="128" t="s">
        <v>2929</v>
      </c>
      <c r="G103" s="128" t="s">
        <v>2930</v>
      </c>
      <c r="H103" s="128" t="s">
        <v>2931</v>
      </c>
      <c r="I103" s="128" t="s">
        <v>2932</v>
      </c>
      <c r="J103" s="128" t="s">
        <v>2933</v>
      </c>
      <c r="K103" s="128" t="s">
        <v>2934</v>
      </c>
      <c r="L103" s="128" t="s">
        <v>2935</v>
      </c>
      <c r="M103" s="128" t="s">
        <v>2936</v>
      </c>
      <c r="N103" s="128" t="s">
        <v>2937</v>
      </c>
      <c r="O103" s="128" t="s">
        <v>2938</v>
      </c>
      <c r="P103" s="128" t="s">
        <v>2939</v>
      </c>
      <c r="Q103" s="128" t="s">
        <v>2940</v>
      </c>
      <c r="R103" s="128" t="s">
        <v>2941</v>
      </c>
      <c r="S103" s="128" t="s">
        <v>2942</v>
      </c>
      <c r="T103" s="128" t="s">
        <v>2943</v>
      </c>
      <c r="U103" s="128" t="s">
        <v>2944</v>
      </c>
      <c r="V103" s="128" t="s">
        <v>2945</v>
      </c>
      <c r="W103" s="128" t="s">
        <v>2946</v>
      </c>
      <c r="X103" s="128" t="s">
        <v>2947</v>
      </c>
      <c r="Y103" s="128" t="s">
        <v>2948</v>
      </c>
      <c r="Z103" s="128" t="s">
        <v>2949</v>
      </c>
      <c r="AA103" s="128" t="s">
        <v>2950</v>
      </c>
      <c r="AB103" s="128" t="s">
        <v>2951</v>
      </c>
      <c r="AC103" s="128" t="s">
        <v>2952</v>
      </c>
      <c r="AD103" s="128" t="s">
        <v>2953</v>
      </c>
      <c r="AE103" s="128" t="s">
        <v>2954</v>
      </c>
      <c r="AF103" s="128" t="s">
        <v>2955</v>
      </c>
    </row>
    <row r="104" spans="3:32" ht="319" x14ac:dyDescent="0.35">
      <c r="C104" s="128" t="s">
        <v>2956</v>
      </c>
      <c r="E104" s="128" t="s">
        <v>2957</v>
      </c>
      <c r="F104" s="128" t="s">
        <v>2958</v>
      </c>
      <c r="G104" s="128" t="s">
        <v>2959</v>
      </c>
      <c r="H104" s="128" t="s">
        <v>2960</v>
      </c>
      <c r="I104" s="128" t="s">
        <v>2961</v>
      </c>
      <c r="J104" s="128" t="s">
        <v>2962</v>
      </c>
      <c r="K104" s="128" t="s">
        <v>2963</v>
      </c>
      <c r="L104" s="128" t="s">
        <v>2964</v>
      </c>
      <c r="M104" s="128" t="s">
        <v>2965</v>
      </c>
      <c r="N104" s="128" t="s">
        <v>2966</v>
      </c>
      <c r="O104" s="128" t="s">
        <v>2967</v>
      </c>
      <c r="P104" s="128" t="s">
        <v>2968</v>
      </c>
      <c r="Q104" s="128" t="s">
        <v>2969</v>
      </c>
      <c r="R104" s="128" t="s">
        <v>2970</v>
      </c>
      <c r="S104" s="128" t="s">
        <v>2971</v>
      </c>
      <c r="T104" s="128" t="s">
        <v>2972</v>
      </c>
      <c r="U104" s="128" t="s">
        <v>2973</v>
      </c>
      <c r="V104" s="128" t="s">
        <v>2974</v>
      </c>
      <c r="W104" s="128" t="s">
        <v>2975</v>
      </c>
      <c r="X104" s="128" t="s">
        <v>2976</v>
      </c>
      <c r="Y104" s="128" t="s">
        <v>2977</v>
      </c>
      <c r="Z104" s="128" t="s">
        <v>2978</v>
      </c>
      <c r="AA104" s="128" t="s">
        <v>2979</v>
      </c>
      <c r="AB104" s="128" t="s">
        <v>2980</v>
      </c>
      <c r="AC104" s="128" t="s">
        <v>2981</v>
      </c>
      <c r="AD104" s="128" t="s">
        <v>2982</v>
      </c>
      <c r="AE104" s="128" t="s">
        <v>2983</v>
      </c>
      <c r="AF104" s="128" t="s">
        <v>2984</v>
      </c>
    </row>
    <row r="105" spans="3:32" ht="319" x14ac:dyDescent="0.35">
      <c r="C105" s="128" t="s">
        <v>2985</v>
      </c>
      <c r="E105" s="128" t="s">
        <v>2986</v>
      </c>
      <c r="F105" s="128" t="s">
        <v>2987</v>
      </c>
      <c r="G105" s="128" t="s">
        <v>2988</v>
      </c>
      <c r="H105" s="128" t="s">
        <v>2989</v>
      </c>
      <c r="I105" s="128" t="s">
        <v>2990</v>
      </c>
      <c r="J105" s="128" t="s">
        <v>2991</v>
      </c>
      <c r="K105" s="128" t="s">
        <v>2992</v>
      </c>
      <c r="L105" s="128" t="s">
        <v>2993</v>
      </c>
      <c r="M105" s="128" t="s">
        <v>2994</v>
      </c>
      <c r="N105" s="128" t="s">
        <v>2995</v>
      </c>
      <c r="O105" s="128" t="s">
        <v>2996</v>
      </c>
      <c r="P105" s="128" t="s">
        <v>2997</v>
      </c>
      <c r="Q105" s="128" t="s">
        <v>2998</v>
      </c>
      <c r="R105" s="128" t="s">
        <v>2999</v>
      </c>
      <c r="S105" s="128" t="s">
        <v>3000</v>
      </c>
      <c r="T105" s="128" t="s">
        <v>3001</v>
      </c>
      <c r="U105" s="128" t="s">
        <v>3002</v>
      </c>
      <c r="V105" s="128" t="s">
        <v>3003</v>
      </c>
      <c r="W105" s="128" t="s">
        <v>3004</v>
      </c>
      <c r="X105" s="128" t="s">
        <v>3005</v>
      </c>
      <c r="Y105" s="128" t="s">
        <v>3006</v>
      </c>
      <c r="Z105" s="128" t="s">
        <v>3007</v>
      </c>
      <c r="AA105" s="128" t="s">
        <v>3008</v>
      </c>
      <c r="AB105" s="128" t="s">
        <v>3009</v>
      </c>
      <c r="AC105" s="128" t="s">
        <v>3010</v>
      </c>
      <c r="AD105" s="128" t="s">
        <v>3011</v>
      </c>
      <c r="AE105" s="128" t="s">
        <v>3012</v>
      </c>
      <c r="AF105" s="128" t="s">
        <v>3013</v>
      </c>
    </row>
    <row r="106" spans="3:32" ht="319" x14ac:dyDescent="0.35">
      <c r="C106" s="128" t="s">
        <v>3014</v>
      </c>
      <c r="E106" s="128" t="s">
        <v>3015</v>
      </c>
      <c r="F106" s="128" t="s">
        <v>3016</v>
      </c>
      <c r="G106" s="128" t="s">
        <v>3017</v>
      </c>
      <c r="H106" s="128" t="s">
        <v>3018</v>
      </c>
      <c r="I106" s="128" t="s">
        <v>3019</v>
      </c>
      <c r="J106" s="128" t="s">
        <v>3020</v>
      </c>
      <c r="K106" s="128" t="s">
        <v>3021</v>
      </c>
      <c r="L106" s="128" t="s">
        <v>3022</v>
      </c>
      <c r="M106" s="128" t="s">
        <v>3023</v>
      </c>
      <c r="N106" s="128" t="s">
        <v>3024</v>
      </c>
      <c r="O106" s="128" t="s">
        <v>3025</v>
      </c>
      <c r="P106" s="128" t="s">
        <v>3026</v>
      </c>
      <c r="Q106" s="128" t="s">
        <v>3027</v>
      </c>
      <c r="R106" s="128" t="s">
        <v>3028</v>
      </c>
      <c r="S106" s="128" t="s">
        <v>3029</v>
      </c>
      <c r="T106" s="128" t="s">
        <v>3030</v>
      </c>
      <c r="U106" s="128" t="s">
        <v>3031</v>
      </c>
      <c r="V106" s="128" t="s">
        <v>3032</v>
      </c>
      <c r="W106" s="128" t="s">
        <v>3033</v>
      </c>
      <c r="X106" s="128" t="s">
        <v>3034</v>
      </c>
      <c r="Y106" s="128" t="s">
        <v>3035</v>
      </c>
      <c r="Z106" s="128" t="s">
        <v>3036</v>
      </c>
      <c r="AA106" s="128" t="s">
        <v>3037</v>
      </c>
      <c r="AB106" s="128" t="s">
        <v>3038</v>
      </c>
      <c r="AC106" s="128" t="s">
        <v>3039</v>
      </c>
      <c r="AD106" s="128" t="s">
        <v>3040</v>
      </c>
      <c r="AE106" s="128" t="s">
        <v>3041</v>
      </c>
      <c r="AF106" s="128" t="s">
        <v>3042</v>
      </c>
    </row>
    <row r="107" spans="3:32" ht="319" x14ac:dyDescent="0.35">
      <c r="C107" s="128" t="s">
        <v>3043</v>
      </c>
      <c r="E107" s="128" t="s">
        <v>3044</v>
      </c>
      <c r="F107" s="128" t="s">
        <v>3045</v>
      </c>
      <c r="G107" s="128" t="s">
        <v>3046</v>
      </c>
      <c r="H107" s="128" t="s">
        <v>3047</v>
      </c>
      <c r="I107" s="128" t="s">
        <v>3048</v>
      </c>
      <c r="J107" s="128" t="s">
        <v>3049</v>
      </c>
      <c r="K107" s="128" t="s">
        <v>3050</v>
      </c>
      <c r="L107" s="128" t="s">
        <v>3051</v>
      </c>
      <c r="M107" s="128" t="s">
        <v>3052</v>
      </c>
      <c r="N107" s="128" t="s">
        <v>3053</v>
      </c>
      <c r="O107" s="128" t="s">
        <v>3054</v>
      </c>
      <c r="P107" s="128" t="s">
        <v>3055</v>
      </c>
      <c r="Q107" s="128" t="s">
        <v>3056</v>
      </c>
      <c r="R107" s="128" t="s">
        <v>3057</v>
      </c>
      <c r="S107" s="128" t="s">
        <v>3058</v>
      </c>
      <c r="T107" s="128" t="s">
        <v>3059</v>
      </c>
      <c r="U107" s="128" t="s">
        <v>3060</v>
      </c>
      <c r="V107" s="128" t="s">
        <v>3061</v>
      </c>
      <c r="W107" s="128" t="s">
        <v>3062</v>
      </c>
      <c r="X107" s="128" t="s">
        <v>3063</v>
      </c>
      <c r="Y107" s="128" t="s">
        <v>3064</v>
      </c>
      <c r="Z107" s="128" t="s">
        <v>3065</v>
      </c>
      <c r="AA107" s="128" t="s">
        <v>3066</v>
      </c>
      <c r="AB107" s="128" t="s">
        <v>3067</v>
      </c>
      <c r="AC107" s="128" t="s">
        <v>3068</v>
      </c>
      <c r="AD107" s="128" t="s">
        <v>3069</v>
      </c>
      <c r="AE107" s="128" t="s">
        <v>3070</v>
      </c>
      <c r="AF107" s="128" t="s">
        <v>3071</v>
      </c>
    </row>
    <row r="108" spans="3:32" ht="319" x14ac:dyDescent="0.35">
      <c r="C108" s="128" t="s">
        <v>3072</v>
      </c>
      <c r="E108" s="128" t="s">
        <v>3073</v>
      </c>
      <c r="F108" s="128" t="s">
        <v>3074</v>
      </c>
      <c r="G108" s="128" t="s">
        <v>3075</v>
      </c>
      <c r="H108" s="128" t="s">
        <v>3076</v>
      </c>
      <c r="I108" s="128" t="s">
        <v>3077</v>
      </c>
      <c r="J108" s="128" t="s">
        <v>3078</v>
      </c>
      <c r="K108" s="128" t="s">
        <v>3079</v>
      </c>
      <c r="L108" s="128" t="s">
        <v>3080</v>
      </c>
      <c r="M108" s="128" t="s">
        <v>3081</v>
      </c>
      <c r="N108" s="128" t="s">
        <v>3082</v>
      </c>
      <c r="O108" s="128" t="s">
        <v>3083</v>
      </c>
      <c r="P108" s="128" t="s">
        <v>3084</v>
      </c>
      <c r="Q108" s="128" t="s">
        <v>3085</v>
      </c>
      <c r="R108" s="128" t="s">
        <v>3086</v>
      </c>
      <c r="S108" s="128" t="s">
        <v>3087</v>
      </c>
      <c r="T108" s="128" t="s">
        <v>3088</v>
      </c>
      <c r="U108" s="128" t="s">
        <v>3089</v>
      </c>
      <c r="V108" s="128" t="s">
        <v>3090</v>
      </c>
      <c r="W108" s="128" t="s">
        <v>3091</v>
      </c>
      <c r="X108" s="128" t="s">
        <v>3092</v>
      </c>
      <c r="Y108" s="128" t="s">
        <v>3093</v>
      </c>
      <c r="Z108" s="128" t="s">
        <v>3094</v>
      </c>
      <c r="AA108" s="128" t="s">
        <v>3095</v>
      </c>
      <c r="AB108" s="128" t="s">
        <v>3096</v>
      </c>
      <c r="AC108" s="128" t="s">
        <v>3097</v>
      </c>
      <c r="AD108" s="128" t="s">
        <v>3098</v>
      </c>
      <c r="AE108" s="128" t="s">
        <v>3099</v>
      </c>
      <c r="AF108" s="128" t="s">
        <v>3100</v>
      </c>
    </row>
    <row r="109" spans="3:32" ht="319" x14ac:dyDescent="0.35">
      <c r="C109" s="128" t="s">
        <v>3101</v>
      </c>
      <c r="E109" s="128" t="s">
        <v>3102</v>
      </c>
      <c r="F109" s="128" t="s">
        <v>3103</v>
      </c>
      <c r="G109" s="128" t="s">
        <v>3104</v>
      </c>
      <c r="H109" s="128" t="s">
        <v>3105</v>
      </c>
      <c r="I109" s="128" t="s">
        <v>3106</v>
      </c>
      <c r="J109" s="128" t="s">
        <v>3107</v>
      </c>
      <c r="K109" s="128" t="s">
        <v>3108</v>
      </c>
      <c r="L109" s="128" t="s">
        <v>3109</v>
      </c>
      <c r="M109" s="128" t="s">
        <v>3110</v>
      </c>
      <c r="N109" s="128" t="s">
        <v>3111</v>
      </c>
      <c r="O109" s="128" t="s">
        <v>3112</v>
      </c>
      <c r="P109" s="128" t="s">
        <v>3113</v>
      </c>
      <c r="Q109" s="128" t="s">
        <v>3114</v>
      </c>
      <c r="R109" s="128" t="s">
        <v>3115</v>
      </c>
      <c r="S109" s="128" t="s">
        <v>3116</v>
      </c>
      <c r="T109" s="128" t="s">
        <v>3117</v>
      </c>
      <c r="U109" s="128" t="s">
        <v>3118</v>
      </c>
      <c r="V109" s="128" t="s">
        <v>3119</v>
      </c>
      <c r="W109" s="128" t="s">
        <v>3120</v>
      </c>
      <c r="X109" s="128" t="s">
        <v>3121</v>
      </c>
      <c r="Y109" s="128" t="s">
        <v>3122</v>
      </c>
      <c r="Z109" s="128" t="s">
        <v>3123</v>
      </c>
      <c r="AA109" s="128" t="s">
        <v>3124</v>
      </c>
      <c r="AB109" s="128" t="s">
        <v>3125</v>
      </c>
      <c r="AC109" s="128" t="s">
        <v>3126</v>
      </c>
      <c r="AD109" s="128" t="s">
        <v>3127</v>
      </c>
      <c r="AE109" s="128" t="s">
        <v>3128</v>
      </c>
      <c r="AF109" s="128" t="s">
        <v>3129</v>
      </c>
    </row>
    <row r="110" spans="3:32" ht="319" x14ac:dyDescent="0.35">
      <c r="C110" s="128" t="s">
        <v>3130</v>
      </c>
      <c r="E110" s="128" t="s">
        <v>3131</v>
      </c>
      <c r="F110" s="128" t="s">
        <v>3132</v>
      </c>
      <c r="G110" s="128" t="s">
        <v>3133</v>
      </c>
      <c r="H110" s="128" t="s">
        <v>3134</v>
      </c>
      <c r="I110" s="128" t="s">
        <v>3135</v>
      </c>
      <c r="J110" s="128" t="s">
        <v>3136</v>
      </c>
      <c r="K110" s="128" t="s">
        <v>3137</v>
      </c>
      <c r="L110" s="128" t="s">
        <v>3138</v>
      </c>
      <c r="M110" s="128" t="s">
        <v>3139</v>
      </c>
      <c r="N110" s="128" t="s">
        <v>3140</v>
      </c>
      <c r="O110" s="128" t="s">
        <v>3141</v>
      </c>
      <c r="P110" s="128" t="s">
        <v>3142</v>
      </c>
      <c r="Q110" s="128" t="s">
        <v>3143</v>
      </c>
      <c r="R110" s="128" t="s">
        <v>3144</v>
      </c>
      <c r="S110" s="128" t="s">
        <v>3145</v>
      </c>
      <c r="T110" s="128" t="s">
        <v>3146</v>
      </c>
      <c r="U110" s="128" t="s">
        <v>3147</v>
      </c>
      <c r="V110" s="128" t="s">
        <v>3148</v>
      </c>
      <c r="W110" s="128" t="s">
        <v>3149</v>
      </c>
      <c r="X110" s="128" t="s">
        <v>3150</v>
      </c>
      <c r="Y110" s="128" t="s">
        <v>3151</v>
      </c>
      <c r="Z110" s="128" t="s">
        <v>3152</v>
      </c>
      <c r="AA110" s="128" t="s">
        <v>3153</v>
      </c>
      <c r="AB110" s="128" t="s">
        <v>3154</v>
      </c>
      <c r="AC110" s="128" t="s">
        <v>3155</v>
      </c>
      <c r="AD110" s="128" t="s">
        <v>3156</v>
      </c>
      <c r="AE110" s="128" t="s">
        <v>3157</v>
      </c>
      <c r="AF110" s="128" t="s">
        <v>3158</v>
      </c>
    </row>
    <row r="111" spans="3:32" ht="319" x14ac:dyDescent="0.35">
      <c r="C111" s="128" t="s">
        <v>3159</v>
      </c>
      <c r="E111" s="128" t="s">
        <v>3160</v>
      </c>
      <c r="F111" s="128" t="s">
        <v>3161</v>
      </c>
      <c r="G111" s="128" t="s">
        <v>3162</v>
      </c>
      <c r="H111" s="128" t="s">
        <v>3163</v>
      </c>
      <c r="I111" s="128" t="s">
        <v>3164</v>
      </c>
      <c r="J111" s="128" t="s">
        <v>3165</v>
      </c>
      <c r="K111" s="128" t="s">
        <v>3166</v>
      </c>
      <c r="L111" s="128" t="s">
        <v>3167</v>
      </c>
      <c r="M111" s="128" t="s">
        <v>3168</v>
      </c>
      <c r="N111" s="128" t="s">
        <v>3169</v>
      </c>
      <c r="O111" s="128" t="s">
        <v>3170</v>
      </c>
      <c r="P111" s="128" t="s">
        <v>3171</v>
      </c>
      <c r="Q111" s="128" t="s">
        <v>3172</v>
      </c>
      <c r="R111" s="128" t="s">
        <v>3173</v>
      </c>
      <c r="S111" s="128" t="s">
        <v>3174</v>
      </c>
      <c r="T111" s="128" t="s">
        <v>3175</v>
      </c>
      <c r="U111" s="128" t="s">
        <v>3176</v>
      </c>
      <c r="V111" s="128" t="s">
        <v>3177</v>
      </c>
      <c r="W111" s="128" t="s">
        <v>3178</v>
      </c>
      <c r="X111" s="128" t="s">
        <v>3179</v>
      </c>
      <c r="Y111" s="128" t="s">
        <v>3180</v>
      </c>
      <c r="Z111" s="128" t="s">
        <v>3181</v>
      </c>
      <c r="AA111" s="128" t="s">
        <v>3182</v>
      </c>
      <c r="AB111" s="128" t="s">
        <v>3183</v>
      </c>
      <c r="AC111" s="128" t="s">
        <v>3184</v>
      </c>
      <c r="AD111" s="128" t="s">
        <v>3185</v>
      </c>
      <c r="AE111" s="128" t="s">
        <v>3186</v>
      </c>
      <c r="AF111" s="128" t="s">
        <v>3187</v>
      </c>
    </row>
    <row r="112" spans="3:32" ht="319" x14ac:dyDescent="0.35">
      <c r="C112" s="128" t="s">
        <v>3188</v>
      </c>
      <c r="E112" s="128" t="s">
        <v>3189</v>
      </c>
      <c r="F112" s="128" t="s">
        <v>3190</v>
      </c>
      <c r="G112" s="128" t="s">
        <v>3191</v>
      </c>
      <c r="H112" s="128" t="s">
        <v>3192</v>
      </c>
      <c r="I112" s="128" t="s">
        <v>3193</v>
      </c>
      <c r="J112" s="128" t="s">
        <v>3194</v>
      </c>
      <c r="K112" s="128" t="s">
        <v>3195</v>
      </c>
      <c r="L112" s="128" t="s">
        <v>3196</v>
      </c>
      <c r="M112" s="128" t="s">
        <v>3197</v>
      </c>
      <c r="N112" s="128" t="s">
        <v>3198</v>
      </c>
      <c r="O112" s="128" t="s">
        <v>3199</v>
      </c>
      <c r="P112" s="128" t="s">
        <v>3200</v>
      </c>
      <c r="Q112" s="128" t="s">
        <v>3201</v>
      </c>
      <c r="R112" s="128" t="s">
        <v>3202</v>
      </c>
      <c r="S112" s="128" t="s">
        <v>3203</v>
      </c>
      <c r="T112" s="128" t="s">
        <v>3204</v>
      </c>
      <c r="U112" s="128" t="s">
        <v>3205</v>
      </c>
      <c r="V112" s="128" t="s">
        <v>3206</v>
      </c>
      <c r="W112" s="128" t="s">
        <v>3207</v>
      </c>
      <c r="X112" s="128" t="s">
        <v>3208</v>
      </c>
      <c r="Y112" s="128" t="s">
        <v>3209</v>
      </c>
      <c r="Z112" s="128" t="s">
        <v>3210</v>
      </c>
      <c r="AA112" s="128" t="s">
        <v>3211</v>
      </c>
      <c r="AB112" s="128" t="s">
        <v>3212</v>
      </c>
      <c r="AC112" s="128" t="s">
        <v>3213</v>
      </c>
      <c r="AD112" s="128" t="s">
        <v>3214</v>
      </c>
      <c r="AE112" s="128" t="s">
        <v>3215</v>
      </c>
      <c r="AF112" s="128" t="s">
        <v>3216</v>
      </c>
    </row>
    <row r="113" spans="3:32" ht="319" x14ac:dyDescent="0.35">
      <c r="C113" s="128" t="s">
        <v>3217</v>
      </c>
      <c r="E113" s="128" t="s">
        <v>3218</v>
      </c>
      <c r="F113" s="128" t="s">
        <v>3219</v>
      </c>
      <c r="G113" s="128" t="s">
        <v>3220</v>
      </c>
      <c r="H113" s="128" t="s">
        <v>3221</v>
      </c>
      <c r="I113" s="128" t="s">
        <v>3222</v>
      </c>
      <c r="J113" s="128" t="s">
        <v>3223</v>
      </c>
      <c r="K113" s="128" t="s">
        <v>3224</v>
      </c>
      <c r="L113" s="128" t="s">
        <v>3225</v>
      </c>
      <c r="M113" s="128" t="s">
        <v>3226</v>
      </c>
      <c r="N113" s="128" t="s">
        <v>3227</v>
      </c>
      <c r="O113" s="128" t="s">
        <v>3228</v>
      </c>
      <c r="P113" s="128" t="s">
        <v>3229</v>
      </c>
      <c r="Q113" s="128" t="s">
        <v>3230</v>
      </c>
      <c r="R113" s="128" t="s">
        <v>3231</v>
      </c>
      <c r="S113" s="128" t="s">
        <v>3232</v>
      </c>
      <c r="T113" s="128" t="s">
        <v>3233</v>
      </c>
      <c r="U113" s="128" t="s">
        <v>3234</v>
      </c>
      <c r="V113" s="128" t="s">
        <v>3235</v>
      </c>
      <c r="W113" s="128" t="s">
        <v>3236</v>
      </c>
      <c r="X113" s="128" t="s">
        <v>3237</v>
      </c>
      <c r="Y113" s="128" t="s">
        <v>3238</v>
      </c>
      <c r="Z113" s="128" t="s">
        <v>3239</v>
      </c>
      <c r="AA113" s="128" t="s">
        <v>3240</v>
      </c>
      <c r="AB113" s="128" t="s">
        <v>3241</v>
      </c>
      <c r="AC113" s="128" t="s">
        <v>3242</v>
      </c>
      <c r="AD113" s="128" t="s">
        <v>3243</v>
      </c>
      <c r="AE113" s="128" t="s">
        <v>3244</v>
      </c>
      <c r="AF113" s="128" t="s">
        <v>3245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20"/>
  <sheetViews>
    <sheetView workbookViewId="0"/>
  </sheetViews>
  <sheetFormatPr defaultRowHeight="14.5" x14ac:dyDescent="0.35"/>
  <sheetData>
    <row r="1" spans="1:17" x14ac:dyDescent="0.35">
      <c r="A1" s="127" t="s">
        <v>3271</v>
      </c>
      <c r="B1" s="127" t="s">
        <v>22</v>
      </c>
      <c r="C1" s="127" t="s">
        <v>22</v>
      </c>
      <c r="D1" s="127" t="s">
        <v>22</v>
      </c>
      <c r="E1" s="127" t="s">
        <v>22</v>
      </c>
      <c r="F1" s="127" t="s">
        <v>22</v>
      </c>
      <c r="G1" s="127" t="s">
        <v>22</v>
      </c>
      <c r="H1" s="127" t="s">
        <v>22</v>
      </c>
      <c r="J1" s="127" t="s">
        <v>21</v>
      </c>
      <c r="K1" s="127" t="s">
        <v>21</v>
      </c>
      <c r="L1" s="127" t="s">
        <v>21</v>
      </c>
      <c r="M1" s="127" t="s">
        <v>21</v>
      </c>
      <c r="N1" s="127" t="s">
        <v>21</v>
      </c>
      <c r="O1" s="127" t="s">
        <v>21</v>
      </c>
      <c r="P1" s="127" t="s">
        <v>21</v>
      </c>
      <c r="Q1" s="127" t="s">
        <v>21</v>
      </c>
    </row>
    <row r="3" spans="1:17" x14ac:dyDescent="0.35">
      <c r="I3" s="127" t="s">
        <v>48</v>
      </c>
    </row>
    <row r="5" spans="1:17" x14ac:dyDescent="0.35">
      <c r="I5" s="127" t="s">
        <v>1</v>
      </c>
      <c r="J5" s="127" t="s">
        <v>3247</v>
      </c>
      <c r="K5" s="127" t="s">
        <v>123</v>
      </c>
    </row>
    <row r="6" spans="1:17" x14ac:dyDescent="0.35">
      <c r="I6" s="127" t="s">
        <v>44</v>
      </c>
      <c r="J6" s="127" t="s">
        <v>45</v>
      </c>
      <c r="K6" s="127" t="s">
        <v>3248</v>
      </c>
    </row>
    <row r="7" spans="1:17" x14ac:dyDescent="0.35">
      <c r="I7" s="127" t="s">
        <v>66</v>
      </c>
      <c r="J7" s="127" t="s">
        <v>3249</v>
      </c>
      <c r="K7" s="127" t="s">
        <v>3250</v>
      </c>
    </row>
    <row r="8" spans="1:17" x14ac:dyDescent="0.35">
      <c r="I8" s="127" t="s">
        <v>65</v>
      </c>
      <c r="J8" s="127" t="s">
        <v>3251</v>
      </c>
    </row>
    <row r="10" spans="1:17" x14ac:dyDescent="0.35">
      <c r="I10" s="127" t="s">
        <v>50</v>
      </c>
    </row>
    <row r="11" spans="1:17" x14ac:dyDescent="0.35">
      <c r="I11" s="127" t="s">
        <v>49</v>
      </c>
    </row>
    <row r="12" spans="1:17" x14ac:dyDescent="0.35">
      <c r="D12" s="127" t="s">
        <v>34</v>
      </c>
      <c r="I12" s="127" t="s">
        <v>37</v>
      </c>
      <c r="J12" s="127" t="s">
        <v>6</v>
      </c>
      <c r="K12" s="127" t="s">
        <v>34</v>
      </c>
      <c r="L12" s="127" t="s">
        <v>2</v>
      </c>
      <c r="M12" s="127" t="s">
        <v>11</v>
      </c>
      <c r="N12" s="127" t="s">
        <v>32</v>
      </c>
      <c r="O12" s="127" t="s">
        <v>9</v>
      </c>
      <c r="P12" s="127" t="s">
        <v>7</v>
      </c>
      <c r="Q12" s="127" t="s">
        <v>33</v>
      </c>
    </row>
    <row r="13" spans="1:17" x14ac:dyDescent="0.35">
      <c r="C13" s="127" t="s">
        <v>3252</v>
      </c>
      <c r="D13" s="127" t="s">
        <v>3253</v>
      </c>
      <c r="I13" s="127" t="s">
        <v>3254</v>
      </c>
      <c r="J13" s="127" t="s">
        <v>3255</v>
      </c>
      <c r="K13" s="127" t="s">
        <v>3256</v>
      </c>
      <c r="L13" s="127" t="s">
        <v>3257</v>
      </c>
      <c r="M13" s="127" t="s">
        <v>3258</v>
      </c>
      <c r="N13" s="127" t="s">
        <v>3259</v>
      </c>
      <c r="O13" s="127" t="s">
        <v>3260</v>
      </c>
      <c r="P13" s="127" t="s">
        <v>3261</v>
      </c>
      <c r="Q13" s="127" t="s">
        <v>3262</v>
      </c>
    </row>
    <row r="16" spans="1:17" x14ac:dyDescent="0.35">
      <c r="I16" s="127" t="s">
        <v>51</v>
      </c>
    </row>
    <row r="17" spans="3:14" x14ac:dyDescent="0.35">
      <c r="I17" s="127" t="s">
        <v>52</v>
      </c>
    </row>
    <row r="18" spans="3:14" x14ac:dyDescent="0.35">
      <c r="I18" s="127" t="s">
        <v>53</v>
      </c>
    </row>
    <row r="19" spans="3:14" x14ac:dyDescent="0.35">
      <c r="C19" s="127" t="s">
        <v>56</v>
      </c>
      <c r="D19" s="127" t="s">
        <v>55</v>
      </c>
      <c r="I19" s="127" t="s">
        <v>37</v>
      </c>
      <c r="J19" s="127" t="s">
        <v>10</v>
      </c>
      <c r="K19" s="127" t="s">
        <v>54</v>
      </c>
      <c r="L19" s="127" t="s">
        <v>57</v>
      </c>
      <c r="M19" s="127" t="s">
        <v>9</v>
      </c>
      <c r="N19" s="127" t="s">
        <v>32</v>
      </c>
    </row>
    <row r="20" spans="3:14" x14ac:dyDescent="0.35">
      <c r="C20" s="127" t="s">
        <v>3263</v>
      </c>
      <c r="D20" s="127" t="s">
        <v>3264</v>
      </c>
      <c r="I20" s="127" t="s">
        <v>3265</v>
      </c>
      <c r="J20" s="127" t="s">
        <v>3266</v>
      </c>
      <c r="K20" s="127" t="s">
        <v>3267</v>
      </c>
      <c r="L20" s="127" t="s">
        <v>3268</v>
      </c>
      <c r="M20" s="127" t="s">
        <v>3269</v>
      </c>
      <c r="N20" s="127" t="s">
        <v>3270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20"/>
  <sheetViews>
    <sheetView workbookViewId="0"/>
  </sheetViews>
  <sheetFormatPr defaultRowHeight="14.5" x14ac:dyDescent="0.35"/>
  <sheetData>
    <row r="1" spans="1:17" x14ac:dyDescent="0.35">
      <c r="A1" s="127" t="s">
        <v>3271</v>
      </c>
      <c r="B1" s="127" t="s">
        <v>22</v>
      </c>
      <c r="C1" s="127" t="s">
        <v>22</v>
      </c>
      <c r="D1" s="127" t="s">
        <v>22</v>
      </c>
      <c r="E1" s="127" t="s">
        <v>22</v>
      </c>
      <c r="F1" s="127" t="s">
        <v>22</v>
      </c>
      <c r="G1" s="127" t="s">
        <v>22</v>
      </c>
      <c r="H1" s="127" t="s">
        <v>22</v>
      </c>
      <c r="J1" s="127" t="s">
        <v>21</v>
      </c>
      <c r="K1" s="127" t="s">
        <v>21</v>
      </c>
      <c r="L1" s="127" t="s">
        <v>21</v>
      </c>
      <c r="M1" s="127" t="s">
        <v>21</v>
      </c>
      <c r="N1" s="127" t="s">
        <v>21</v>
      </c>
      <c r="O1" s="127" t="s">
        <v>21</v>
      </c>
      <c r="P1" s="127" t="s">
        <v>21</v>
      </c>
      <c r="Q1" s="127" t="s">
        <v>21</v>
      </c>
    </row>
    <row r="3" spans="1:17" x14ac:dyDescent="0.35">
      <c r="I3" s="127" t="s">
        <v>48</v>
      </c>
    </row>
    <row r="5" spans="1:17" x14ac:dyDescent="0.35">
      <c r="I5" s="127" t="s">
        <v>1</v>
      </c>
      <c r="J5" s="127" t="s">
        <v>3247</v>
      </c>
      <c r="K5" s="127" t="s">
        <v>123</v>
      </c>
    </row>
    <row r="6" spans="1:17" x14ac:dyDescent="0.35">
      <c r="I6" s="127" t="s">
        <v>44</v>
      </c>
      <c r="J6" s="127" t="s">
        <v>45</v>
      </c>
      <c r="K6" s="127" t="s">
        <v>3248</v>
      </c>
    </row>
    <row r="7" spans="1:17" x14ac:dyDescent="0.35">
      <c r="I7" s="127" t="s">
        <v>66</v>
      </c>
      <c r="J7" s="127" t="s">
        <v>3249</v>
      </c>
      <c r="K7" s="127" t="s">
        <v>3250</v>
      </c>
    </row>
    <row r="8" spans="1:17" x14ac:dyDescent="0.35">
      <c r="I8" s="127" t="s">
        <v>65</v>
      </c>
      <c r="J8" s="127" t="s">
        <v>3251</v>
      </c>
    </row>
    <row r="10" spans="1:17" x14ac:dyDescent="0.35">
      <c r="I10" s="127" t="s">
        <v>50</v>
      </c>
    </row>
    <row r="11" spans="1:17" x14ac:dyDescent="0.35">
      <c r="I11" s="127" t="s">
        <v>49</v>
      </c>
    </row>
    <row r="12" spans="1:17" x14ac:dyDescent="0.35">
      <c r="D12" s="127" t="s">
        <v>34</v>
      </c>
      <c r="I12" s="127" t="s">
        <v>37</v>
      </c>
      <c r="J12" s="127" t="s">
        <v>6</v>
      </c>
      <c r="K12" s="127" t="s">
        <v>34</v>
      </c>
      <c r="L12" s="127" t="s">
        <v>2</v>
      </c>
      <c r="M12" s="127" t="s">
        <v>11</v>
      </c>
      <c r="N12" s="127" t="s">
        <v>32</v>
      </c>
      <c r="O12" s="127" t="s">
        <v>9</v>
      </c>
      <c r="P12" s="127" t="s">
        <v>7</v>
      </c>
      <c r="Q12" s="127" t="s">
        <v>33</v>
      </c>
    </row>
    <row r="13" spans="1:17" x14ac:dyDescent="0.35">
      <c r="C13" s="127" t="s">
        <v>3252</v>
      </c>
      <c r="D13" s="127" t="s">
        <v>3253</v>
      </c>
      <c r="I13" s="127" t="s">
        <v>3254</v>
      </c>
      <c r="J13" s="127" t="s">
        <v>3255</v>
      </c>
      <c r="K13" s="127" t="s">
        <v>3256</v>
      </c>
      <c r="L13" s="127" t="s">
        <v>3257</v>
      </c>
      <c r="M13" s="127" t="s">
        <v>3258</v>
      </c>
      <c r="N13" s="127" t="s">
        <v>3259</v>
      </c>
      <c r="O13" s="127" t="s">
        <v>3260</v>
      </c>
      <c r="P13" s="127" t="s">
        <v>3261</v>
      </c>
      <c r="Q13" s="127" t="s">
        <v>3262</v>
      </c>
    </row>
    <row r="16" spans="1:17" x14ac:dyDescent="0.35">
      <c r="I16" s="127" t="s">
        <v>51</v>
      </c>
    </row>
    <row r="17" spans="3:14" x14ac:dyDescent="0.35">
      <c r="I17" s="127" t="s">
        <v>52</v>
      </c>
    </row>
    <row r="18" spans="3:14" x14ac:dyDescent="0.35">
      <c r="I18" s="127" t="s">
        <v>53</v>
      </c>
    </row>
    <row r="19" spans="3:14" x14ac:dyDescent="0.35">
      <c r="C19" s="127" t="s">
        <v>56</v>
      </c>
      <c r="D19" s="127" t="s">
        <v>55</v>
      </c>
      <c r="I19" s="127" t="s">
        <v>37</v>
      </c>
      <c r="J19" s="127" t="s">
        <v>10</v>
      </c>
      <c r="K19" s="127" t="s">
        <v>54</v>
      </c>
      <c r="L19" s="127" t="s">
        <v>57</v>
      </c>
      <c r="M19" s="127" t="s">
        <v>9</v>
      </c>
      <c r="N19" s="127" t="s">
        <v>32</v>
      </c>
    </row>
    <row r="20" spans="3:14" x14ac:dyDescent="0.35">
      <c r="C20" s="127" t="s">
        <v>3263</v>
      </c>
      <c r="D20" s="127" t="s">
        <v>3264</v>
      </c>
      <c r="I20" s="127" t="s">
        <v>3265</v>
      </c>
      <c r="J20" s="127" t="s">
        <v>3266</v>
      </c>
      <c r="K20" s="127" t="s">
        <v>3267</v>
      </c>
      <c r="L20" s="127" t="s">
        <v>3268</v>
      </c>
      <c r="M20" s="127" t="s">
        <v>3269</v>
      </c>
      <c r="N20" s="127" t="s">
        <v>3270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2"/>
  <sheetViews>
    <sheetView workbookViewId="0"/>
  </sheetViews>
  <sheetFormatPr defaultRowHeight="14.5" x14ac:dyDescent="0.35"/>
  <sheetData>
    <row r="1" spans="1:5" x14ac:dyDescent="0.35">
      <c r="A1" s="127" t="s">
        <v>3277</v>
      </c>
    </row>
    <row r="2" spans="1:5" x14ac:dyDescent="0.35">
      <c r="B2" s="127" t="s">
        <v>121</v>
      </c>
      <c r="C2" s="127" t="s">
        <v>3272</v>
      </c>
    </row>
    <row r="3" spans="1:5" x14ac:dyDescent="0.35">
      <c r="C3" s="127" t="s">
        <v>48</v>
      </c>
    </row>
    <row r="5" spans="1:5" x14ac:dyDescent="0.35">
      <c r="C5" s="127" t="s">
        <v>1</v>
      </c>
      <c r="D5" s="127" t="s">
        <v>3273</v>
      </c>
      <c r="E5" s="127" t="s">
        <v>123</v>
      </c>
    </row>
    <row r="6" spans="1:5" x14ac:dyDescent="0.35">
      <c r="C6" s="127" t="s">
        <v>6</v>
      </c>
      <c r="D6" s="127" t="s">
        <v>3274</v>
      </c>
    </row>
    <row r="8" spans="1:5" x14ac:dyDescent="0.35">
      <c r="C8" s="127" t="s">
        <v>64</v>
      </c>
      <c r="D8" s="127" t="s">
        <v>63</v>
      </c>
    </row>
    <row r="9" spans="1:5" x14ac:dyDescent="0.35">
      <c r="C9" s="127" t="s">
        <v>60</v>
      </c>
      <c r="D9" s="127" t="s">
        <v>3275</v>
      </c>
      <c r="E9" s="127" t="s">
        <v>62</v>
      </c>
    </row>
    <row r="10" spans="1:5" x14ac:dyDescent="0.35">
      <c r="C10" s="127" t="s">
        <v>8</v>
      </c>
      <c r="D10" s="127" t="s">
        <v>3276</v>
      </c>
      <c r="E10" s="127" t="s">
        <v>3276</v>
      </c>
    </row>
    <row r="11" spans="1:5" x14ac:dyDescent="0.35">
      <c r="C11" s="127" t="s">
        <v>83</v>
      </c>
      <c r="D11" s="127" t="s">
        <v>3276</v>
      </c>
      <c r="E11" s="127" t="s">
        <v>3276</v>
      </c>
    </row>
    <row r="12" spans="1:5" x14ac:dyDescent="0.35">
      <c r="C12" s="127" t="s">
        <v>62</v>
      </c>
      <c r="D12" s="127" t="s">
        <v>3276</v>
      </c>
      <c r="E12" s="127" t="s">
        <v>3276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2"/>
  <sheetViews>
    <sheetView workbookViewId="0"/>
  </sheetViews>
  <sheetFormatPr defaultRowHeight="14.5" x14ac:dyDescent="0.35"/>
  <sheetData>
    <row r="1" spans="1:5" x14ac:dyDescent="0.35">
      <c r="A1" s="127" t="s">
        <v>3277</v>
      </c>
    </row>
    <row r="2" spans="1:5" x14ac:dyDescent="0.35">
      <c r="B2" s="127" t="s">
        <v>121</v>
      </c>
      <c r="C2" s="127" t="s">
        <v>3272</v>
      </c>
    </row>
    <row r="3" spans="1:5" x14ac:dyDescent="0.35">
      <c r="C3" s="127" t="s">
        <v>48</v>
      </c>
    </row>
    <row r="5" spans="1:5" x14ac:dyDescent="0.35">
      <c r="C5" s="127" t="s">
        <v>1</v>
      </c>
      <c r="D5" s="127" t="s">
        <v>3273</v>
      </c>
      <c r="E5" s="127" t="s">
        <v>123</v>
      </c>
    </row>
    <row r="6" spans="1:5" x14ac:dyDescent="0.35">
      <c r="C6" s="127" t="s">
        <v>6</v>
      </c>
      <c r="D6" s="127" t="s">
        <v>3274</v>
      </c>
    </row>
    <row r="8" spans="1:5" x14ac:dyDescent="0.35">
      <c r="C8" s="127" t="s">
        <v>64</v>
      </c>
      <c r="D8" s="127" t="s">
        <v>63</v>
      </c>
    </row>
    <row r="9" spans="1:5" x14ac:dyDescent="0.35">
      <c r="C9" s="127" t="s">
        <v>60</v>
      </c>
      <c r="D9" s="127" t="s">
        <v>3275</v>
      </c>
      <c r="E9" s="127" t="s">
        <v>62</v>
      </c>
    </row>
    <row r="10" spans="1:5" x14ac:dyDescent="0.35">
      <c r="C10" s="127" t="s">
        <v>8</v>
      </c>
      <c r="D10" s="127" t="s">
        <v>3276</v>
      </c>
      <c r="E10" s="127" t="s">
        <v>3276</v>
      </c>
    </row>
    <row r="11" spans="1:5" x14ac:dyDescent="0.35">
      <c r="C11" s="127" t="s">
        <v>83</v>
      </c>
      <c r="D11" s="127" t="s">
        <v>3276</v>
      </c>
      <c r="E11" s="127" t="s">
        <v>3276</v>
      </c>
    </row>
    <row r="12" spans="1:5" x14ac:dyDescent="0.35">
      <c r="C12" s="127" t="s">
        <v>62</v>
      </c>
      <c r="D12" s="127" t="s">
        <v>3276</v>
      </c>
      <c r="E12" s="127" t="s">
        <v>3276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14"/>
  <sheetViews>
    <sheetView workbookViewId="0"/>
  </sheetViews>
  <sheetFormatPr defaultRowHeight="14.5" x14ac:dyDescent="0.35"/>
  <sheetData>
    <row r="1" spans="1:64" x14ac:dyDescent="0.35">
      <c r="A1" s="127" t="s">
        <v>3302</v>
      </c>
      <c r="B1" s="127" t="s">
        <v>22</v>
      </c>
      <c r="C1" s="127" t="s">
        <v>22</v>
      </c>
      <c r="D1" s="127" t="s">
        <v>22</v>
      </c>
      <c r="E1" s="127" t="s">
        <v>22</v>
      </c>
      <c r="F1" s="127" t="s">
        <v>22</v>
      </c>
      <c r="G1" s="127" t="s">
        <v>22</v>
      </c>
      <c r="H1" s="127" t="s">
        <v>22</v>
      </c>
      <c r="I1" s="127" t="s">
        <v>22</v>
      </c>
      <c r="L1" s="127" t="s">
        <v>21</v>
      </c>
      <c r="M1" s="127" t="s">
        <v>22</v>
      </c>
      <c r="AN1" s="127" t="s">
        <v>22</v>
      </c>
      <c r="AO1" s="127" t="s">
        <v>22</v>
      </c>
      <c r="AP1" s="127" t="s">
        <v>22</v>
      </c>
      <c r="AQ1" s="127" t="s">
        <v>22</v>
      </c>
      <c r="AR1" s="127" t="s">
        <v>22</v>
      </c>
      <c r="AS1" s="127" t="s">
        <v>22</v>
      </c>
      <c r="AT1" s="127" t="s">
        <v>22</v>
      </c>
      <c r="AU1" s="127" t="s">
        <v>22</v>
      </c>
      <c r="AV1" s="127" t="s">
        <v>22</v>
      </c>
      <c r="AW1" s="127" t="s">
        <v>22</v>
      </c>
      <c r="AX1" s="127" t="s">
        <v>22</v>
      </c>
      <c r="AY1" s="127" t="s">
        <v>22</v>
      </c>
      <c r="AZ1" s="127" t="s">
        <v>22</v>
      </c>
      <c r="BA1" s="127" t="s">
        <v>22</v>
      </c>
      <c r="BB1" s="127" t="s">
        <v>22</v>
      </c>
      <c r="BC1" s="127" t="s">
        <v>22</v>
      </c>
      <c r="BD1" s="127" t="s">
        <v>22</v>
      </c>
      <c r="BE1" s="127" t="s">
        <v>22</v>
      </c>
      <c r="BF1" s="127" t="s">
        <v>22</v>
      </c>
      <c r="BG1" s="127" t="s">
        <v>22</v>
      </c>
      <c r="BH1" s="127" t="s">
        <v>22</v>
      </c>
      <c r="BI1" s="127" t="s">
        <v>22</v>
      </c>
      <c r="BJ1" s="127" t="s">
        <v>22</v>
      </c>
      <c r="BK1" s="127" t="s">
        <v>22</v>
      </c>
      <c r="BL1" s="127" t="s">
        <v>22</v>
      </c>
    </row>
    <row r="2" spans="1:64" x14ac:dyDescent="0.35">
      <c r="K2" s="127" t="s">
        <v>120</v>
      </c>
    </row>
    <row r="3" spans="1:64" x14ac:dyDescent="0.35">
      <c r="H3" s="127" t="s">
        <v>38</v>
      </c>
      <c r="J3" s="127" t="s">
        <v>67</v>
      </c>
      <c r="AO3" s="127" t="s">
        <v>35</v>
      </c>
    </row>
    <row r="4" spans="1:64" x14ac:dyDescent="0.35">
      <c r="H4" s="127" t="s">
        <v>121</v>
      </c>
      <c r="U4" s="127" t="s">
        <v>81</v>
      </c>
      <c r="AO4" s="127" t="s">
        <v>84</v>
      </c>
    </row>
    <row r="5" spans="1:64" x14ac:dyDescent="0.35">
      <c r="F5" s="127" t="s">
        <v>47</v>
      </c>
      <c r="K5" s="127" t="s">
        <v>1</v>
      </c>
      <c r="L5" s="127" t="s">
        <v>122</v>
      </c>
      <c r="M5" s="127" t="s">
        <v>123</v>
      </c>
      <c r="U5" s="127" t="s">
        <v>71</v>
      </c>
      <c r="AO5" s="127" t="s">
        <v>36</v>
      </c>
    </row>
    <row r="6" spans="1:64" x14ac:dyDescent="0.35">
      <c r="F6" s="127" t="s">
        <v>46</v>
      </c>
      <c r="K6" s="127" t="s">
        <v>44</v>
      </c>
      <c r="L6" s="127" t="s">
        <v>68</v>
      </c>
      <c r="M6" s="127" t="s">
        <v>124</v>
      </c>
    </row>
    <row r="8" spans="1:64" x14ac:dyDescent="0.35">
      <c r="A8" s="127" t="s">
        <v>22</v>
      </c>
      <c r="D8" s="127" t="s">
        <v>115</v>
      </c>
      <c r="M8" s="127" t="s">
        <v>125</v>
      </c>
      <c r="N8" s="127" t="s">
        <v>126</v>
      </c>
      <c r="O8" s="127" t="s">
        <v>127</v>
      </c>
      <c r="P8" s="127" t="s">
        <v>128</v>
      </c>
      <c r="Q8" s="127" t="s">
        <v>129</v>
      </c>
      <c r="R8" s="127" t="s">
        <v>130</v>
      </c>
      <c r="S8" s="127" t="s">
        <v>131</v>
      </c>
      <c r="T8" s="127" t="s">
        <v>132</v>
      </c>
      <c r="U8" s="127" t="s">
        <v>133</v>
      </c>
      <c r="V8" s="127" t="s">
        <v>134</v>
      </c>
      <c r="W8" s="127" t="s">
        <v>135</v>
      </c>
      <c r="X8" s="127" t="s">
        <v>136</v>
      </c>
      <c r="Y8" s="127" t="s">
        <v>137</v>
      </c>
      <c r="Z8" s="127" t="s">
        <v>138</v>
      </c>
      <c r="AA8" s="127" t="s">
        <v>139</v>
      </c>
      <c r="AB8" s="127" t="s">
        <v>140</v>
      </c>
      <c r="AC8" s="127" t="s">
        <v>141</v>
      </c>
      <c r="AD8" s="127" t="s">
        <v>142</v>
      </c>
      <c r="AE8" s="127" t="s">
        <v>143</v>
      </c>
      <c r="AF8" s="127" t="s">
        <v>144</v>
      </c>
      <c r="AG8" s="127" t="s">
        <v>145</v>
      </c>
      <c r="AH8" s="127" t="s">
        <v>146</v>
      </c>
      <c r="AI8" s="127" t="s">
        <v>147</v>
      </c>
      <c r="AJ8" s="127" t="s">
        <v>148</v>
      </c>
      <c r="AK8" s="127" t="s">
        <v>149</v>
      </c>
    </row>
    <row r="9" spans="1:64" ht="87" x14ac:dyDescent="0.35">
      <c r="A9" s="127" t="s">
        <v>22</v>
      </c>
      <c r="D9" s="127" t="s">
        <v>72</v>
      </c>
      <c r="M9" s="127" t="s">
        <v>150</v>
      </c>
      <c r="N9" s="127" t="s">
        <v>151</v>
      </c>
      <c r="O9" s="128" t="s">
        <v>152</v>
      </c>
      <c r="P9" s="128" t="s">
        <v>153</v>
      </c>
      <c r="Q9" s="128" t="s">
        <v>154</v>
      </c>
      <c r="R9" s="128" t="s">
        <v>155</v>
      </c>
      <c r="S9" s="128" t="s">
        <v>156</v>
      </c>
      <c r="T9" s="128" t="s">
        <v>157</v>
      </c>
      <c r="U9" s="128" t="s">
        <v>158</v>
      </c>
      <c r="V9" s="128" t="s">
        <v>159</v>
      </c>
      <c r="W9" s="128" t="s">
        <v>160</v>
      </c>
      <c r="X9" s="128" t="s">
        <v>161</v>
      </c>
      <c r="Y9" s="128" t="s">
        <v>162</v>
      </c>
      <c r="Z9" s="128" t="s">
        <v>163</v>
      </c>
      <c r="AA9" s="128" t="s">
        <v>164</v>
      </c>
      <c r="AB9" s="128" t="s">
        <v>165</v>
      </c>
      <c r="AC9" s="128" t="s">
        <v>166</v>
      </c>
      <c r="AD9" s="128" t="s">
        <v>167</v>
      </c>
      <c r="AE9" s="128" t="s">
        <v>168</v>
      </c>
      <c r="AF9" s="128" t="s">
        <v>169</v>
      </c>
      <c r="AG9" s="128" t="s">
        <v>170</v>
      </c>
      <c r="AH9" s="128" t="s">
        <v>171</v>
      </c>
      <c r="AI9" s="128" t="s">
        <v>172</v>
      </c>
      <c r="AJ9" s="128" t="s">
        <v>173</v>
      </c>
      <c r="AK9" s="128" t="s">
        <v>174</v>
      </c>
    </row>
    <row r="10" spans="1:64" x14ac:dyDescent="0.35">
      <c r="C10" s="127" t="s">
        <v>116</v>
      </c>
      <c r="D10" s="127" t="s">
        <v>43</v>
      </c>
      <c r="E10" s="127" t="s">
        <v>39</v>
      </c>
      <c r="F10" s="127" t="s">
        <v>40</v>
      </c>
      <c r="G10" s="127" t="s">
        <v>41</v>
      </c>
      <c r="H10" s="127" t="s">
        <v>42</v>
      </c>
      <c r="K10" s="127" t="s">
        <v>2</v>
      </c>
      <c r="L10" s="127" t="s">
        <v>3</v>
      </c>
      <c r="N10" s="127" t="s">
        <v>175</v>
      </c>
      <c r="T10" s="127" t="s">
        <v>176</v>
      </c>
      <c r="AF10" s="127" t="s">
        <v>177</v>
      </c>
      <c r="AL10" s="127" t="s">
        <v>82</v>
      </c>
      <c r="AO10" s="127" t="s">
        <v>178</v>
      </c>
      <c r="AU10" s="127" t="s">
        <v>179</v>
      </c>
      <c r="BG10" s="127" t="s">
        <v>180</v>
      </c>
    </row>
    <row r="11" spans="1:64" x14ac:dyDescent="0.35">
      <c r="D11" s="127" t="s">
        <v>181</v>
      </c>
      <c r="E11" s="127" t="s">
        <v>182</v>
      </c>
      <c r="F11" s="127" t="s">
        <v>183</v>
      </c>
      <c r="G11" s="127" t="s">
        <v>184</v>
      </c>
      <c r="H11" s="127" t="s">
        <v>185</v>
      </c>
      <c r="M11" s="127" t="s">
        <v>4</v>
      </c>
      <c r="N11" s="127" t="s">
        <v>186</v>
      </c>
      <c r="O11" s="127" t="s">
        <v>187</v>
      </c>
      <c r="P11" s="127" t="s">
        <v>188</v>
      </c>
      <c r="Q11" s="127" t="s">
        <v>189</v>
      </c>
      <c r="R11" s="127" t="s">
        <v>190</v>
      </c>
      <c r="S11" s="127" t="s">
        <v>191</v>
      </c>
      <c r="T11" s="127" t="s">
        <v>192</v>
      </c>
      <c r="U11" s="127" t="s">
        <v>193</v>
      </c>
      <c r="V11" s="127" t="s">
        <v>194</v>
      </c>
      <c r="W11" s="127" t="s">
        <v>195</v>
      </c>
      <c r="X11" s="127" t="s">
        <v>196</v>
      </c>
      <c r="Y11" s="127" t="s">
        <v>197</v>
      </c>
      <c r="Z11" s="127" t="s">
        <v>198</v>
      </c>
      <c r="AA11" s="127" t="s">
        <v>199</v>
      </c>
      <c r="AB11" s="127" t="s">
        <v>200</v>
      </c>
      <c r="AC11" s="127" t="s">
        <v>201</v>
      </c>
      <c r="AD11" s="127" t="s">
        <v>202</v>
      </c>
      <c r="AE11" s="127" t="s">
        <v>203</v>
      </c>
      <c r="AF11" s="127" t="s">
        <v>204</v>
      </c>
      <c r="AG11" s="127" t="s">
        <v>205</v>
      </c>
      <c r="AH11" s="127" t="s">
        <v>206</v>
      </c>
      <c r="AI11" s="127" t="s">
        <v>207</v>
      </c>
      <c r="AJ11" s="127" t="s">
        <v>208</v>
      </c>
      <c r="AK11" s="127" t="s">
        <v>209</v>
      </c>
      <c r="AO11" s="127" t="s">
        <v>186</v>
      </c>
      <c r="AP11" s="127" t="s">
        <v>187</v>
      </c>
      <c r="AQ11" s="127" t="s">
        <v>188</v>
      </c>
      <c r="AR11" s="127" t="s">
        <v>189</v>
      </c>
      <c r="AS11" s="127" t="s">
        <v>190</v>
      </c>
      <c r="AT11" s="127" t="s">
        <v>191</v>
      </c>
      <c r="AU11" s="127" t="s">
        <v>192</v>
      </c>
      <c r="AV11" s="127" t="s">
        <v>193</v>
      </c>
      <c r="AW11" s="127" t="s">
        <v>194</v>
      </c>
      <c r="AX11" s="127" t="s">
        <v>195</v>
      </c>
      <c r="AY11" s="127" t="s">
        <v>196</v>
      </c>
      <c r="AZ11" s="127" t="s">
        <v>197</v>
      </c>
      <c r="BA11" s="127" t="s">
        <v>198</v>
      </c>
      <c r="BB11" s="127" t="s">
        <v>199</v>
      </c>
      <c r="BC11" s="127" t="s">
        <v>200</v>
      </c>
      <c r="BD11" s="127" t="s">
        <v>201</v>
      </c>
      <c r="BE11" s="127" t="s">
        <v>202</v>
      </c>
      <c r="BF11" s="127" t="s">
        <v>203</v>
      </c>
      <c r="BG11" s="127" t="s">
        <v>204</v>
      </c>
      <c r="BH11" s="127" t="s">
        <v>205</v>
      </c>
      <c r="BI11" s="127" t="s">
        <v>206</v>
      </c>
      <c r="BJ11" s="127" t="s">
        <v>207</v>
      </c>
      <c r="BK11" s="127" t="s">
        <v>208</v>
      </c>
      <c r="BL11" s="127" t="s">
        <v>209</v>
      </c>
    </row>
    <row r="12" spans="1:64" x14ac:dyDescent="0.35">
      <c r="H12" s="127" t="s">
        <v>210</v>
      </c>
      <c r="J12" s="127" t="s">
        <v>10</v>
      </c>
      <c r="L12" s="127" t="s">
        <v>5</v>
      </c>
      <c r="N12" s="127" t="s">
        <v>211</v>
      </c>
      <c r="O12" s="127" t="s">
        <v>212</v>
      </c>
      <c r="P12" s="127" t="s">
        <v>213</v>
      </c>
      <c r="Q12" s="127" t="s">
        <v>214</v>
      </c>
      <c r="R12" s="127" t="s">
        <v>215</v>
      </c>
      <c r="S12" s="127" t="s">
        <v>216</v>
      </c>
      <c r="T12" s="127" t="s">
        <v>217</v>
      </c>
      <c r="U12" s="127" t="s">
        <v>218</v>
      </c>
      <c r="V12" s="127" t="s">
        <v>219</v>
      </c>
      <c r="W12" s="127" t="s">
        <v>220</v>
      </c>
      <c r="X12" s="127" t="s">
        <v>221</v>
      </c>
      <c r="Y12" s="127" t="s">
        <v>222</v>
      </c>
      <c r="Z12" s="127" t="s">
        <v>223</v>
      </c>
      <c r="AA12" s="127" t="s">
        <v>224</v>
      </c>
      <c r="AB12" s="127" t="s">
        <v>225</v>
      </c>
      <c r="AC12" s="127" t="s">
        <v>226</v>
      </c>
      <c r="AD12" s="127" t="s">
        <v>227</v>
      </c>
      <c r="AE12" s="127" t="s">
        <v>228</v>
      </c>
      <c r="AF12" s="127" t="s">
        <v>229</v>
      </c>
      <c r="AG12" s="127" t="s">
        <v>230</v>
      </c>
      <c r="AH12" s="127" t="s">
        <v>231</v>
      </c>
      <c r="AI12" s="127" t="s">
        <v>232</v>
      </c>
      <c r="AJ12" s="127" t="s">
        <v>233</v>
      </c>
      <c r="AK12" s="127" t="s">
        <v>234</v>
      </c>
      <c r="AL12" s="127" t="s">
        <v>235</v>
      </c>
    </row>
    <row r="13" spans="1:64" ht="409.5" x14ac:dyDescent="0.35">
      <c r="C13" s="127" t="s">
        <v>236</v>
      </c>
      <c r="D13" s="127" t="s">
        <v>237</v>
      </c>
      <c r="H13" s="128" t="s">
        <v>238</v>
      </c>
      <c r="J13" s="127" t="s">
        <v>239</v>
      </c>
      <c r="K13" s="127" t="s">
        <v>240</v>
      </c>
      <c r="L13" s="127" t="s">
        <v>241</v>
      </c>
      <c r="AL13" s="127" t="s">
        <v>242</v>
      </c>
      <c r="AO13" s="128" t="s">
        <v>3278</v>
      </c>
      <c r="AP13" s="128" t="s">
        <v>3279</v>
      </c>
      <c r="AQ13" s="128" t="s">
        <v>3280</v>
      </c>
      <c r="AR13" s="128" t="s">
        <v>3281</v>
      </c>
      <c r="AS13" s="128" t="s">
        <v>3282</v>
      </c>
      <c r="AT13" s="128" t="s">
        <v>3283</v>
      </c>
      <c r="AU13" s="128" t="s">
        <v>3284</v>
      </c>
      <c r="AV13" s="128" t="s">
        <v>3285</v>
      </c>
      <c r="AW13" s="128" t="s">
        <v>3286</v>
      </c>
      <c r="AX13" s="128" t="s">
        <v>3287</v>
      </c>
      <c r="AY13" s="128" t="s">
        <v>3288</v>
      </c>
      <c r="AZ13" s="128" t="s">
        <v>3289</v>
      </c>
      <c r="BA13" s="128" t="s">
        <v>3290</v>
      </c>
      <c r="BB13" s="128" t="s">
        <v>3291</v>
      </c>
      <c r="BC13" s="128" t="s">
        <v>3292</v>
      </c>
      <c r="BD13" s="128" t="s">
        <v>3293</v>
      </c>
      <c r="BE13" s="128" t="s">
        <v>3294</v>
      </c>
      <c r="BF13" s="128" t="s">
        <v>3295</v>
      </c>
      <c r="BG13" s="128" t="s">
        <v>3296</v>
      </c>
      <c r="BH13" s="128" t="s">
        <v>3297</v>
      </c>
      <c r="BI13" s="128" t="s">
        <v>3298</v>
      </c>
      <c r="BJ13" s="128" t="s">
        <v>3299</v>
      </c>
      <c r="BK13" s="128" t="s">
        <v>3300</v>
      </c>
      <c r="BL13" s="128" t="s">
        <v>3301</v>
      </c>
    </row>
    <row r="14" spans="1:64" x14ac:dyDescent="0.35">
      <c r="A14" s="127" t="s">
        <v>22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14"/>
  <sheetViews>
    <sheetView workbookViewId="0"/>
  </sheetViews>
  <sheetFormatPr defaultRowHeight="14.5" x14ac:dyDescent="0.35"/>
  <sheetData>
    <row r="1" spans="1:64" x14ac:dyDescent="0.35">
      <c r="A1" s="127" t="s">
        <v>3302</v>
      </c>
      <c r="B1" s="127" t="s">
        <v>22</v>
      </c>
      <c r="C1" s="127" t="s">
        <v>22</v>
      </c>
      <c r="D1" s="127" t="s">
        <v>22</v>
      </c>
      <c r="E1" s="127" t="s">
        <v>22</v>
      </c>
      <c r="F1" s="127" t="s">
        <v>22</v>
      </c>
      <c r="G1" s="127" t="s">
        <v>22</v>
      </c>
      <c r="H1" s="127" t="s">
        <v>22</v>
      </c>
      <c r="I1" s="127" t="s">
        <v>22</v>
      </c>
      <c r="L1" s="127" t="s">
        <v>21</v>
      </c>
      <c r="M1" s="127" t="s">
        <v>22</v>
      </c>
      <c r="AN1" s="127" t="s">
        <v>22</v>
      </c>
      <c r="AO1" s="127" t="s">
        <v>22</v>
      </c>
      <c r="AP1" s="127" t="s">
        <v>22</v>
      </c>
      <c r="AQ1" s="127" t="s">
        <v>22</v>
      </c>
      <c r="AR1" s="127" t="s">
        <v>22</v>
      </c>
      <c r="AS1" s="127" t="s">
        <v>22</v>
      </c>
      <c r="AT1" s="127" t="s">
        <v>22</v>
      </c>
      <c r="AU1" s="127" t="s">
        <v>22</v>
      </c>
      <c r="AV1" s="127" t="s">
        <v>22</v>
      </c>
      <c r="AW1" s="127" t="s">
        <v>22</v>
      </c>
      <c r="AX1" s="127" t="s">
        <v>22</v>
      </c>
      <c r="AY1" s="127" t="s">
        <v>22</v>
      </c>
      <c r="AZ1" s="127" t="s">
        <v>22</v>
      </c>
      <c r="BA1" s="127" t="s">
        <v>22</v>
      </c>
      <c r="BB1" s="127" t="s">
        <v>22</v>
      </c>
      <c r="BC1" s="127" t="s">
        <v>22</v>
      </c>
      <c r="BD1" s="127" t="s">
        <v>22</v>
      </c>
      <c r="BE1" s="127" t="s">
        <v>22</v>
      </c>
      <c r="BF1" s="127" t="s">
        <v>22</v>
      </c>
      <c r="BG1" s="127" t="s">
        <v>22</v>
      </c>
      <c r="BH1" s="127" t="s">
        <v>22</v>
      </c>
      <c r="BI1" s="127" t="s">
        <v>22</v>
      </c>
      <c r="BJ1" s="127" t="s">
        <v>22</v>
      </c>
      <c r="BK1" s="127" t="s">
        <v>22</v>
      </c>
      <c r="BL1" s="127" t="s">
        <v>22</v>
      </c>
    </row>
    <row r="2" spans="1:64" x14ac:dyDescent="0.35">
      <c r="K2" s="127" t="s">
        <v>120</v>
      </c>
    </row>
    <row r="3" spans="1:64" x14ac:dyDescent="0.35">
      <c r="H3" s="127" t="s">
        <v>38</v>
      </c>
      <c r="J3" s="127" t="s">
        <v>67</v>
      </c>
      <c r="AO3" s="127" t="s">
        <v>35</v>
      </c>
    </row>
    <row r="4" spans="1:64" x14ac:dyDescent="0.35">
      <c r="H4" s="127" t="s">
        <v>121</v>
      </c>
      <c r="U4" s="127" t="s">
        <v>81</v>
      </c>
      <c r="AO4" s="127" t="s">
        <v>84</v>
      </c>
    </row>
    <row r="5" spans="1:64" x14ac:dyDescent="0.35">
      <c r="F5" s="127" t="s">
        <v>47</v>
      </c>
      <c r="K5" s="127" t="s">
        <v>1</v>
      </c>
      <c r="L5" s="127" t="s">
        <v>122</v>
      </c>
      <c r="M5" s="127" t="s">
        <v>123</v>
      </c>
      <c r="U5" s="127" t="s">
        <v>71</v>
      </c>
      <c r="AO5" s="127" t="s">
        <v>36</v>
      </c>
    </row>
    <row r="6" spans="1:64" x14ac:dyDescent="0.35">
      <c r="F6" s="127" t="s">
        <v>46</v>
      </c>
      <c r="K6" s="127" t="s">
        <v>44</v>
      </c>
      <c r="L6" s="127" t="s">
        <v>68</v>
      </c>
      <c r="M6" s="127" t="s">
        <v>124</v>
      </c>
    </row>
    <row r="8" spans="1:64" x14ac:dyDescent="0.35">
      <c r="A8" s="127" t="s">
        <v>22</v>
      </c>
      <c r="D8" s="127" t="s">
        <v>115</v>
      </c>
      <c r="M8" s="127" t="s">
        <v>125</v>
      </c>
      <c r="N8" s="127" t="s">
        <v>126</v>
      </c>
      <c r="O8" s="127" t="s">
        <v>127</v>
      </c>
      <c r="P8" s="127" t="s">
        <v>128</v>
      </c>
      <c r="Q8" s="127" t="s">
        <v>129</v>
      </c>
      <c r="R8" s="127" t="s">
        <v>130</v>
      </c>
      <c r="S8" s="127" t="s">
        <v>131</v>
      </c>
      <c r="T8" s="127" t="s">
        <v>132</v>
      </c>
      <c r="U8" s="127" t="s">
        <v>133</v>
      </c>
      <c r="V8" s="127" t="s">
        <v>134</v>
      </c>
      <c r="W8" s="127" t="s">
        <v>135</v>
      </c>
      <c r="X8" s="127" t="s">
        <v>136</v>
      </c>
      <c r="Y8" s="127" t="s">
        <v>137</v>
      </c>
      <c r="Z8" s="127" t="s">
        <v>138</v>
      </c>
      <c r="AA8" s="127" t="s">
        <v>139</v>
      </c>
      <c r="AB8" s="127" t="s">
        <v>140</v>
      </c>
      <c r="AC8" s="127" t="s">
        <v>141</v>
      </c>
      <c r="AD8" s="127" t="s">
        <v>142</v>
      </c>
      <c r="AE8" s="127" t="s">
        <v>143</v>
      </c>
      <c r="AF8" s="127" t="s">
        <v>144</v>
      </c>
      <c r="AG8" s="127" t="s">
        <v>145</v>
      </c>
      <c r="AH8" s="127" t="s">
        <v>146</v>
      </c>
      <c r="AI8" s="127" t="s">
        <v>147</v>
      </c>
      <c r="AJ8" s="127" t="s">
        <v>148</v>
      </c>
      <c r="AK8" s="127" t="s">
        <v>149</v>
      </c>
    </row>
    <row r="9" spans="1:64" ht="87" x14ac:dyDescent="0.35">
      <c r="A9" s="127" t="s">
        <v>22</v>
      </c>
      <c r="D9" s="127" t="s">
        <v>72</v>
      </c>
      <c r="M9" s="127" t="s">
        <v>150</v>
      </c>
      <c r="N9" s="127" t="s">
        <v>151</v>
      </c>
      <c r="O9" s="128" t="s">
        <v>152</v>
      </c>
      <c r="P9" s="128" t="s">
        <v>153</v>
      </c>
      <c r="Q9" s="128" t="s">
        <v>154</v>
      </c>
      <c r="R9" s="128" t="s">
        <v>155</v>
      </c>
      <c r="S9" s="128" t="s">
        <v>156</v>
      </c>
      <c r="T9" s="128" t="s">
        <v>157</v>
      </c>
      <c r="U9" s="128" t="s">
        <v>158</v>
      </c>
      <c r="V9" s="128" t="s">
        <v>159</v>
      </c>
      <c r="W9" s="128" t="s">
        <v>160</v>
      </c>
      <c r="X9" s="128" t="s">
        <v>161</v>
      </c>
      <c r="Y9" s="128" t="s">
        <v>162</v>
      </c>
      <c r="Z9" s="128" t="s">
        <v>163</v>
      </c>
      <c r="AA9" s="128" t="s">
        <v>164</v>
      </c>
      <c r="AB9" s="128" t="s">
        <v>165</v>
      </c>
      <c r="AC9" s="128" t="s">
        <v>166</v>
      </c>
      <c r="AD9" s="128" t="s">
        <v>167</v>
      </c>
      <c r="AE9" s="128" t="s">
        <v>168</v>
      </c>
      <c r="AF9" s="128" t="s">
        <v>169</v>
      </c>
      <c r="AG9" s="128" t="s">
        <v>170</v>
      </c>
      <c r="AH9" s="128" t="s">
        <v>171</v>
      </c>
      <c r="AI9" s="128" t="s">
        <v>172</v>
      </c>
      <c r="AJ9" s="128" t="s">
        <v>173</v>
      </c>
      <c r="AK9" s="128" t="s">
        <v>174</v>
      </c>
    </row>
    <row r="10" spans="1:64" x14ac:dyDescent="0.35">
      <c r="C10" s="127" t="s">
        <v>116</v>
      </c>
      <c r="D10" s="127" t="s">
        <v>43</v>
      </c>
      <c r="E10" s="127" t="s">
        <v>39</v>
      </c>
      <c r="F10" s="127" t="s">
        <v>40</v>
      </c>
      <c r="G10" s="127" t="s">
        <v>41</v>
      </c>
      <c r="H10" s="127" t="s">
        <v>42</v>
      </c>
      <c r="K10" s="127" t="s">
        <v>2</v>
      </c>
      <c r="L10" s="127" t="s">
        <v>3</v>
      </c>
      <c r="N10" s="127" t="s">
        <v>175</v>
      </c>
      <c r="T10" s="127" t="s">
        <v>176</v>
      </c>
      <c r="AF10" s="127" t="s">
        <v>177</v>
      </c>
      <c r="AL10" s="127" t="s">
        <v>82</v>
      </c>
      <c r="AO10" s="127" t="s">
        <v>178</v>
      </c>
      <c r="AU10" s="127" t="s">
        <v>179</v>
      </c>
      <c r="BG10" s="127" t="s">
        <v>180</v>
      </c>
    </row>
    <row r="11" spans="1:64" x14ac:dyDescent="0.35">
      <c r="D11" s="127" t="s">
        <v>181</v>
      </c>
      <c r="E11" s="127" t="s">
        <v>182</v>
      </c>
      <c r="F11" s="127" t="s">
        <v>183</v>
      </c>
      <c r="G11" s="127" t="s">
        <v>184</v>
      </c>
      <c r="H11" s="127" t="s">
        <v>185</v>
      </c>
      <c r="M11" s="127" t="s">
        <v>4</v>
      </c>
      <c r="N11" s="127" t="s">
        <v>186</v>
      </c>
      <c r="O11" s="127" t="s">
        <v>187</v>
      </c>
      <c r="P11" s="127" t="s">
        <v>188</v>
      </c>
      <c r="Q11" s="127" t="s">
        <v>189</v>
      </c>
      <c r="R11" s="127" t="s">
        <v>190</v>
      </c>
      <c r="S11" s="127" t="s">
        <v>191</v>
      </c>
      <c r="T11" s="127" t="s">
        <v>192</v>
      </c>
      <c r="U11" s="127" t="s">
        <v>193</v>
      </c>
      <c r="V11" s="127" t="s">
        <v>194</v>
      </c>
      <c r="W11" s="127" t="s">
        <v>195</v>
      </c>
      <c r="X11" s="127" t="s">
        <v>196</v>
      </c>
      <c r="Y11" s="127" t="s">
        <v>197</v>
      </c>
      <c r="Z11" s="127" t="s">
        <v>198</v>
      </c>
      <c r="AA11" s="127" t="s">
        <v>199</v>
      </c>
      <c r="AB11" s="127" t="s">
        <v>200</v>
      </c>
      <c r="AC11" s="127" t="s">
        <v>201</v>
      </c>
      <c r="AD11" s="127" t="s">
        <v>202</v>
      </c>
      <c r="AE11" s="127" t="s">
        <v>203</v>
      </c>
      <c r="AF11" s="127" t="s">
        <v>204</v>
      </c>
      <c r="AG11" s="127" t="s">
        <v>205</v>
      </c>
      <c r="AH11" s="127" t="s">
        <v>206</v>
      </c>
      <c r="AI11" s="127" t="s">
        <v>207</v>
      </c>
      <c r="AJ11" s="127" t="s">
        <v>208</v>
      </c>
      <c r="AK11" s="127" t="s">
        <v>209</v>
      </c>
      <c r="AO11" s="127" t="s">
        <v>186</v>
      </c>
      <c r="AP11" s="127" t="s">
        <v>187</v>
      </c>
      <c r="AQ11" s="127" t="s">
        <v>188</v>
      </c>
      <c r="AR11" s="127" t="s">
        <v>189</v>
      </c>
      <c r="AS11" s="127" t="s">
        <v>190</v>
      </c>
      <c r="AT11" s="127" t="s">
        <v>191</v>
      </c>
      <c r="AU11" s="127" t="s">
        <v>192</v>
      </c>
      <c r="AV11" s="127" t="s">
        <v>193</v>
      </c>
      <c r="AW11" s="127" t="s">
        <v>194</v>
      </c>
      <c r="AX11" s="127" t="s">
        <v>195</v>
      </c>
      <c r="AY11" s="127" t="s">
        <v>196</v>
      </c>
      <c r="AZ11" s="127" t="s">
        <v>197</v>
      </c>
      <c r="BA11" s="127" t="s">
        <v>198</v>
      </c>
      <c r="BB11" s="127" t="s">
        <v>199</v>
      </c>
      <c r="BC11" s="127" t="s">
        <v>200</v>
      </c>
      <c r="BD11" s="127" t="s">
        <v>201</v>
      </c>
      <c r="BE11" s="127" t="s">
        <v>202</v>
      </c>
      <c r="BF11" s="127" t="s">
        <v>203</v>
      </c>
      <c r="BG11" s="127" t="s">
        <v>204</v>
      </c>
      <c r="BH11" s="127" t="s">
        <v>205</v>
      </c>
      <c r="BI11" s="127" t="s">
        <v>206</v>
      </c>
      <c r="BJ11" s="127" t="s">
        <v>207</v>
      </c>
      <c r="BK11" s="127" t="s">
        <v>208</v>
      </c>
      <c r="BL11" s="127" t="s">
        <v>209</v>
      </c>
    </row>
    <row r="12" spans="1:64" x14ac:dyDescent="0.35">
      <c r="H12" s="127" t="s">
        <v>210</v>
      </c>
      <c r="J12" s="127" t="s">
        <v>10</v>
      </c>
      <c r="L12" s="127" t="s">
        <v>5</v>
      </c>
      <c r="N12" s="127" t="s">
        <v>211</v>
      </c>
      <c r="O12" s="127" t="s">
        <v>212</v>
      </c>
      <c r="P12" s="127" t="s">
        <v>213</v>
      </c>
      <c r="Q12" s="127" t="s">
        <v>214</v>
      </c>
      <c r="R12" s="127" t="s">
        <v>215</v>
      </c>
      <c r="S12" s="127" t="s">
        <v>216</v>
      </c>
      <c r="T12" s="127" t="s">
        <v>217</v>
      </c>
      <c r="U12" s="127" t="s">
        <v>218</v>
      </c>
      <c r="V12" s="127" t="s">
        <v>219</v>
      </c>
      <c r="W12" s="127" t="s">
        <v>220</v>
      </c>
      <c r="X12" s="127" t="s">
        <v>221</v>
      </c>
      <c r="Y12" s="127" t="s">
        <v>222</v>
      </c>
      <c r="Z12" s="127" t="s">
        <v>223</v>
      </c>
      <c r="AA12" s="127" t="s">
        <v>224</v>
      </c>
      <c r="AB12" s="127" t="s">
        <v>225</v>
      </c>
      <c r="AC12" s="127" t="s">
        <v>226</v>
      </c>
      <c r="AD12" s="127" t="s">
        <v>227</v>
      </c>
      <c r="AE12" s="127" t="s">
        <v>228</v>
      </c>
      <c r="AF12" s="127" t="s">
        <v>229</v>
      </c>
      <c r="AG12" s="127" t="s">
        <v>230</v>
      </c>
      <c r="AH12" s="127" t="s">
        <v>231</v>
      </c>
      <c r="AI12" s="127" t="s">
        <v>232</v>
      </c>
      <c r="AJ12" s="127" t="s">
        <v>233</v>
      </c>
      <c r="AK12" s="127" t="s">
        <v>234</v>
      </c>
      <c r="AL12" s="127" t="s">
        <v>235</v>
      </c>
    </row>
    <row r="13" spans="1:64" ht="409.5" x14ac:dyDescent="0.35">
      <c r="C13" s="127" t="s">
        <v>236</v>
      </c>
      <c r="D13" s="127" t="s">
        <v>237</v>
      </c>
      <c r="H13" s="128" t="s">
        <v>238</v>
      </c>
      <c r="J13" s="127" t="s">
        <v>239</v>
      </c>
      <c r="K13" s="127" t="s">
        <v>240</v>
      </c>
      <c r="L13" s="127" t="s">
        <v>241</v>
      </c>
      <c r="AL13" s="127" t="s">
        <v>242</v>
      </c>
      <c r="AO13" s="128" t="s">
        <v>3278</v>
      </c>
      <c r="AP13" s="128" t="s">
        <v>3279</v>
      </c>
      <c r="AQ13" s="128" t="s">
        <v>3280</v>
      </c>
      <c r="AR13" s="128" t="s">
        <v>3281</v>
      </c>
      <c r="AS13" s="128" t="s">
        <v>3282</v>
      </c>
      <c r="AT13" s="128" t="s">
        <v>3283</v>
      </c>
      <c r="AU13" s="128" t="s">
        <v>3284</v>
      </c>
      <c r="AV13" s="128" t="s">
        <v>3285</v>
      </c>
      <c r="AW13" s="128" t="s">
        <v>3286</v>
      </c>
      <c r="AX13" s="128" t="s">
        <v>3287</v>
      </c>
      <c r="AY13" s="128" t="s">
        <v>3288</v>
      </c>
      <c r="AZ13" s="128" t="s">
        <v>3289</v>
      </c>
      <c r="BA13" s="128" t="s">
        <v>3290</v>
      </c>
      <c r="BB13" s="128" t="s">
        <v>3291</v>
      </c>
      <c r="BC13" s="128" t="s">
        <v>3292</v>
      </c>
      <c r="BD13" s="128" t="s">
        <v>3293</v>
      </c>
      <c r="BE13" s="128" t="s">
        <v>3294</v>
      </c>
      <c r="BF13" s="128" t="s">
        <v>3295</v>
      </c>
      <c r="BG13" s="128" t="s">
        <v>3296</v>
      </c>
      <c r="BH13" s="128" t="s">
        <v>3297</v>
      </c>
      <c r="BI13" s="128" t="s">
        <v>3298</v>
      </c>
      <c r="BJ13" s="128" t="s">
        <v>3299</v>
      </c>
      <c r="BK13" s="128" t="s">
        <v>3300</v>
      </c>
      <c r="BL13" s="128" t="s">
        <v>3301</v>
      </c>
    </row>
    <row r="14" spans="1:64" x14ac:dyDescent="0.35">
      <c r="A14" s="127" t="s">
        <v>22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13"/>
  <sheetViews>
    <sheetView workbookViewId="0"/>
  </sheetViews>
  <sheetFormatPr defaultRowHeight="14.5" x14ac:dyDescent="0.35"/>
  <sheetData>
    <row r="1" spans="1:32" x14ac:dyDescent="0.35">
      <c r="A1" s="127" t="s">
        <v>5933</v>
      </c>
      <c r="B1" s="127" t="s">
        <v>22</v>
      </c>
      <c r="C1" s="127" t="s">
        <v>22</v>
      </c>
      <c r="D1" s="127" t="s">
        <v>22</v>
      </c>
      <c r="G1" s="127" t="s">
        <v>21</v>
      </c>
    </row>
    <row r="2" spans="1:32" x14ac:dyDescent="0.35">
      <c r="A2" s="127" t="s">
        <v>22</v>
      </c>
    </row>
    <row r="3" spans="1:32" ht="87" x14ac:dyDescent="0.35">
      <c r="A3" s="127" t="s">
        <v>22</v>
      </c>
      <c r="C3" s="127" t="s">
        <v>73</v>
      </c>
      <c r="E3" s="127" t="s">
        <v>74</v>
      </c>
      <c r="G3" s="127" t="s">
        <v>3303</v>
      </c>
      <c r="I3" s="127" t="s">
        <v>269</v>
      </c>
      <c r="J3" s="128" t="s">
        <v>270</v>
      </c>
      <c r="K3" s="128" t="s">
        <v>271</v>
      </c>
      <c r="L3" s="128" t="s">
        <v>272</v>
      </c>
      <c r="M3" s="128" t="s">
        <v>273</v>
      </c>
      <c r="N3" s="128" t="s">
        <v>274</v>
      </c>
      <c r="O3" s="128" t="s">
        <v>275</v>
      </c>
      <c r="P3" s="128" t="s">
        <v>276</v>
      </c>
      <c r="Q3" s="128" t="s">
        <v>277</v>
      </c>
      <c r="R3" s="128" t="s">
        <v>278</v>
      </c>
      <c r="S3" s="128" t="s">
        <v>279</v>
      </c>
      <c r="T3" s="128" t="s">
        <v>280</v>
      </c>
      <c r="U3" s="128" t="s">
        <v>281</v>
      </c>
      <c r="V3" s="128" t="s">
        <v>282</v>
      </c>
      <c r="W3" s="128" t="s">
        <v>283</v>
      </c>
      <c r="X3" s="128" t="s">
        <v>284</v>
      </c>
      <c r="Y3" s="128" t="s">
        <v>285</v>
      </c>
      <c r="Z3" s="128" t="s">
        <v>286</v>
      </c>
      <c r="AA3" s="128" t="s">
        <v>287</v>
      </c>
      <c r="AB3" s="128" t="s">
        <v>288</v>
      </c>
      <c r="AC3" s="128" t="s">
        <v>289</v>
      </c>
      <c r="AD3" s="128" t="s">
        <v>290</v>
      </c>
      <c r="AE3" s="128" t="s">
        <v>291</v>
      </c>
      <c r="AF3" s="128" t="s">
        <v>292</v>
      </c>
    </row>
    <row r="4" spans="1:32" x14ac:dyDescent="0.35">
      <c r="A4" s="127" t="s">
        <v>22</v>
      </c>
      <c r="C4" s="127" t="s">
        <v>3304</v>
      </c>
      <c r="E4" s="127" t="s">
        <v>75</v>
      </c>
      <c r="I4" s="127" t="s">
        <v>3305</v>
      </c>
      <c r="J4" s="127" t="s">
        <v>3306</v>
      </c>
      <c r="K4" s="127" t="s">
        <v>3307</v>
      </c>
      <c r="L4" s="127" t="s">
        <v>3308</v>
      </c>
      <c r="M4" s="127" t="s">
        <v>3309</v>
      </c>
      <c r="N4" s="127" t="s">
        <v>3310</v>
      </c>
      <c r="O4" s="127" t="s">
        <v>3311</v>
      </c>
      <c r="P4" s="127" t="s">
        <v>3312</v>
      </c>
      <c r="Q4" s="127" t="s">
        <v>3313</v>
      </c>
      <c r="R4" s="127" t="s">
        <v>3314</v>
      </c>
      <c r="S4" s="127" t="s">
        <v>3315</v>
      </c>
      <c r="T4" s="127" t="s">
        <v>3316</v>
      </c>
      <c r="U4" s="127" t="s">
        <v>3317</v>
      </c>
      <c r="V4" s="127" t="s">
        <v>3318</v>
      </c>
      <c r="W4" s="127" t="s">
        <v>3319</v>
      </c>
      <c r="X4" s="127" t="s">
        <v>3320</v>
      </c>
      <c r="Y4" s="127" t="s">
        <v>3321</v>
      </c>
      <c r="Z4" s="127" t="s">
        <v>3322</v>
      </c>
      <c r="AA4" s="127" t="s">
        <v>3323</v>
      </c>
      <c r="AB4" s="127" t="s">
        <v>3324</v>
      </c>
      <c r="AC4" s="127" t="s">
        <v>3325</v>
      </c>
      <c r="AD4" s="127" t="s">
        <v>3326</v>
      </c>
      <c r="AE4" s="127" t="s">
        <v>3327</v>
      </c>
      <c r="AF4" s="127" t="s">
        <v>3328</v>
      </c>
    </row>
    <row r="5" spans="1:32" x14ac:dyDescent="0.35">
      <c r="A5" s="127" t="s">
        <v>22</v>
      </c>
    </row>
    <row r="6" spans="1:32" x14ac:dyDescent="0.35">
      <c r="G6" s="127" t="s">
        <v>79</v>
      </c>
      <c r="J6" s="127" t="s">
        <v>90</v>
      </c>
      <c r="L6" s="127" t="s">
        <v>3329</v>
      </c>
    </row>
    <row r="7" spans="1:32" x14ac:dyDescent="0.35">
      <c r="G7" s="127" t="s">
        <v>80</v>
      </c>
      <c r="J7" s="127" t="s">
        <v>77</v>
      </c>
      <c r="M7" s="127" t="s">
        <v>12</v>
      </c>
      <c r="P7" s="127" t="s">
        <v>20</v>
      </c>
    </row>
    <row r="8" spans="1:32" x14ac:dyDescent="0.35">
      <c r="G8" s="127" t="s">
        <v>88</v>
      </c>
      <c r="H8" s="127" t="s">
        <v>3330</v>
      </c>
      <c r="J8" s="127" t="s">
        <v>3331</v>
      </c>
    </row>
    <row r="9" spans="1:32" x14ac:dyDescent="0.35">
      <c r="G9" s="127" t="s">
        <v>85</v>
      </c>
      <c r="H9" s="127" t="s">
        <v>320</v>
      </c>
    </row>
    <row r="10" spans="1:32" x14ac:dyDescent="0.35">
      <c r="J10" s="127" t="s">
        <v>76</v>
      </c>
      <c r="M10" s="127" t="s">
        <v>13</v>
      </c>
      <c r="P10" s="127" t="s">
        <v>89</v>
      </c>
    </row>
    <row r="11" spans="1:32" ht="159.5" x14ac:dyDescent="0.35">
      <c r="E11" s="127" t="s">
        <v>10</v>
      </c>
      <c r="F11" s="127" t="s">
        <v>2</v>
      </c>
      <c r="G11" s="127" t="s">
        <v>3</v>
      </c>
      <c r="H11" s="127" t="s">
        <v>82</v>
      </c>
      <c r="I11" s="128" t="s">
        <v>3332</v>
      </c>
      <c r="J11" s="128" t="s">
        <v>323</v>
      </c>
      <c r="K11" s="128" t="s">
        <v>324</v>
      </c>
      <c r="L11" s="128" t="s">
        <v>325</v>
      </c>
      <c r="M11" s="128" t="s">
        <v>326</v>
      </c>
      <c r="N11" s="128" t="s">
        <v>327</v>
      </c>
      <c r="O11" s="128" t="s">
        <v>328</v>
      </c>
      <c r="P11" s="128" t="s">
        <v>329</v>
      </c>
      <c r="Q11" s="128" t="s">
        <v>330</v>
      </c>
      <c r="R11" s="128" t="s">
        <v>331</v>
      </c>
      <c r="S11" s="128" t="s">
        <v>332</v>
      </c>
      <c r="T11" s="128" t="s">
        <v>333</v>
      </c>
      <c r="U11" s="128" t="s">
        <v>334</v>
      </c>
      <c r="V11" s="128" t="s">
        <v>335</v>
      </c>
      <c r="W11" s="128" t="s">
        <v>336</v>
      </c>
      <c r="X11" s="128" t="s">
        <v>337</v>
      </c>
      <c r="Y11" s="128" t="s">
        <v>338</v>
      </c>
      <c r="Z11" s="128" t="s">
        <v>339</v>
      </c>
      <c r="AA11" s="128" t="s">
        <v>340</v>
      </c>
      <c r="AB11" s="128" t="s">
        <v>341</v>
      </c>
      <c r="AC11" s="128" t="s">
        <v>342</v>
      </c>
      <c r="AD11" s="128" t="s">
        <v>343</v>
      </c>
      <c r="AE11" s="128" t="s">
        <v>344</v>
      </c>
      <c r="AF11" s="128" t="s">
        <v>345</v>
      </c>
    </row>
    <row r="12" spans="1:32" x14ac:dyDescent="0.35">
      <c r="H12" s="127" t="s">
        <v>346</v>
      </c>
    </row>
    <row r="14" spans="1:32" ht="319" x14ac:dyDescent="0.35">
      <c r="C14" s="127" t="s">
        <v>269</v>
      </c>
      <c r="E14" s="128" t="s">
        <v>347</v>
      </c>
      <c r="F14" s="128" t="s">
        <v>3333</v>
      </c>
      <c r="G14" s="128" t="s">
        <v>3334</v>
      </c>
      <c r="H14" s="128" t="s">
        <v>350</v>
      </c>
      <c r="I14" s="128" t="s">
        <v>3335</v>
      </c>
      <c r="J14" s="128" t="s">
        <v>3336</v>
      </c>
      <c r="K14" s="128" t="s">
        <v>3337</v>
      </c>
      <c r="L14" s="128" t="s">
        <v>3338</v>
      </c>
      <c r="M14" s="128" t="s">
        <v>3339</v>
      </c>
      <c r="N14" s="128" t="s">
        <v>3340</v>
      </c>
      <c r="O14" s="128" t="s">
        <v>3341</v>
      </c>
      <c r="P14" s="128" t="s">
        <v>3342</v>
      </c>
      <c r="Q14" s="128" t="s">
        <v>3343</v>
      </c>
      <c r="R14" s="128" t="s">
        <v>3344</v>
      </c>
      <c r="S14" s="128" t="s">
        <v>3345</v>
      </c>
      <c r="T14" s="128" t="s">
        <v>3346</v>
      </c>
      <c r="U14" s="128" t="s">
        <v>3347</v>
      </c>
      <c r="V14" s="128" t="s">
        <v>3348</v>
      </c>
      <c r="W14" s="128" t="s">
        <v>3349</v>
      </c>
      <c r="X14" s="128" t="s">
        <v>3350</v>
      </c>
      <c r="Y14" s="128" t="s">
        <v>3351</v>
      </c>
      <c r="Z14" s="128" t="s">
        <v>3352</v>
      </c>
      <c r="AA14" s="128" t="s">
        <v>3353</v>
      </c>
      <c r="AB14" s="128" t="s">
        <v>3354</v>
      </c>
      <c r="AC14" s="128" t="s">
        <v>3355</v>
      </c>
      <c r="AD14" s="128" t="s">
        <v>3356</v>
      </c>
      <c r="AE14" s="128" t="s">
        <v>3357</v>
      </c>
      <c r="AF14" s="128" t="s">
        <v>3358</v>
      </c>
    </row>
    <row r="15" spans="1:32" ht="319" x14ac:dyDescent="0.35">
      <c r="C15" s="128" t="s">
        <v>375</v>
      </c>
      <c r="E15" s="128" t="s">
        <v>376</v>
      </c>
      <c r="F15" s="128" t="s">
        <v>3359</v>
      </c>
      <c r="G15" s="128" t="s">
        <v>3360</v>
      </c>
      <c r="H15" s="128" t="s">
        <v>379</v>
      </c>
      <c r="I15" s="128" t="s">
        <v>3361</v>
      </c>
      <c r="J15" s="128" t="s">
        <v>3362</v>
      </c>
      <c r="K15" s="128" t="s">
        <v>3363</v>
      </c>
      <c r="L15" s="128" t="s">
        <v>3364</v>
      </c>
      <c r="M15" s="128" t="s">
        <v>3365</v>
      </c>
      <c r="N15" s="128" t="s">
        <v>3366</v>
      </c>
      <c r="O15" s="128" t="s">
        <v>3367</v>
      </c>
      <c r="P15" s="128" t="s">
        <v>3368</v>
      </c>
      <c r="Q15" s="128" t="s">
        <v>3369</v>
      </c>
      <c r="R15" s="128" t="s">
        <v>3370</v>
      </c>
      <c r="S15" s="128" t="s">
        <v>3371</v>
      </c>
      <c r="T15" s="128" t="s">
        <v>3372</v>
      </c>
      <c r="U15" s="128" t="s">
        <v>3373</v>
      </c>
      <c r="V15" s="128" t="s">
        <v>3374</v>
      </c>
      <c r="W15" s="128" t="s">
        <v>3375</v>
      </c>
      <c r="X15" s="128" t="s">
        <v>3376</v>
      </c>
      <c r="Y15" s="128" t="s">
        <v>3377</v>
      </c>
      <c r="Z15" s="128" t="s">
        <v>3378</v>
      </c>
      <c r="AA15" s="128" t="s">
        <v>3379</v>
      </c>
      <c r="AB15" s="128" t="s">
        <v>3380</v>
      </c>
      <c r="AC15" s="128" t="s">
        <v>3381</v>
      </c>
      <c r="AD15" s="128" t="s">
        <v>3382</v>
      </c>
      <c r="AE15" s="128" t="s">
        <v>3383</v>
      </c>
      <c r="AF15" s="128" t="s">
        <v>3384</v>
      </c>
    </row>
    <row r="16" spans="1:32" ht="319" x14ac:dyDescent="0.35">
      <c r="C16" s="128" t="s">
        <v>404</v>
      </c>
      <c r="E16" s="128" t="s">
        <v>405</v>
      </c>
      <c r="F16" s="128" t="s">
        <v>3385</v>
      </c>
      <c r="G16" s="128" t="s">
        <v>3386</v>
      </c>
      <c r="H16" s="128" t="s">
        <v>408</v>
      </c>
      <c r="I16" s="128" t="s">
        <v>3387</v>
      </c>
      <c r="J16" s="128" t="s">
        <v>3388</v>
      </c>
      <c r="K16" s="128" t="s">
        <v>3389</v>
      </c>
      <c r="L16" s="128" t="s">
        <v>3390</v>
      </c>
      <c r="M16" s="128" t="s">
        <v>3391</v>
      </c>
      <c r="N16" s="128" t="s">
        <v>3392</v>
      </c>
      <c r="O16" s="128" t="s">
        <v>3393</v>
      </c>
      <c r="P16" s="128" t="s">
        <v>3394</v>
      </c>
      <c r="Q16" s="128" t="s">
        <v>3395</v>
      </c>
      <c r="R16" s="128" t="s">
        <v>3396</v>
      </c>
      <c r="S16" s="128" t="s">
        <v>3397</v>
      </c>
      <c r="T16" s="128" t="s">
        <v>3398</v>
      </c>
      <c r="U16" s="128" t="s">
        <v>3399</v>
      </c>
      <c r="V16" s="128" t="s">
        <v>3400</v>
      </c>
      <c r="W16" s="128" t="s">
        <v>3401</v>
      </c>
      <c r="X16" s="128" t="s">
        <v>3402</v>
      </c>
      <c r="Y16" s="128" t="s">
        <v>3403</v>
      </c>
      <c r="Z16" s="128" t="s">
        <v>3404</v>
      </c>
      <c r="AA16" s="128" t="s">
        <v>3405</v>
      </c>
      <c r="AB16" s="128" t="s">
        <v>3406</v>
      </c>
      <c r="AC16" s="128" t="s">
        <v>3407</v>
      </c>
      <c r="AD16" s="128" t="s">
        <v>3408</v>
      </c>
      <c r="AE16" s="128" t="s">
        <v>3409</v>
      </c>
      <c r="AF16" s="128" t="s">
        <v>3410</v>
      </c>
    </row>
    <row r="17" spans="3:32" ht="319" x14ac:dyDescent="0.35">
      <c r="C17" s="128" t="s">
        <v>433</v>
      </c>
      <c r="E17" s="128" t="s">
        <v>434</v>
      </c>
      <c r="F17" s="128" t="s">
        <v>3411</v>
      </c>
      <c r="G17" s="128" t="s">
        <v>3412</v>
      </c>
      <c r="H17" s="128" t="s">
        <v>437</v>
      </c>
      <c r="I17" s="128" t="s">
        <v>3413</v>
      </c>
      <c r="J17" s="128" t="s">
        <v>3414</v>
      </c>
      <c r="K17" s="128" t="s">
        <v>3415</v>
      </c>
      <c r="L17" s="128" t="s">
        <v>3416</v>
      </c>
      <c r="M17" s="128" t="s">
        <v>3417</v>
      </c>
      <c r="N17" s="128" t="s">
        <v>3418</v>
      </c>
      <c r="O17" s="128" t="s">
        <v>3419</v>
      </c>
      <c r="P17" s="128" t="s">
        <v>3420</v>
      </c>
      <c r="Q17" s="128" t="s">
        <v>3421</v>
      </c>
      <c r="R17" s="128" t="s">
        <v>3422</v>
      </c>
      <c r="S17" s="128" t="s">
        <v>3423</v>
      </c>
      <c r="T17" s="128" t="s">
        <v>3424</v>
      </c>
      <c r="U17" s="128" t="s">
        <v>3425</v>
      </c>
      <c r="V17" s="128" t="s">
        <v>3426</v>
      </c>
      <c r="W17" s="128" t="s">
        <v>3427</v>
      </c>
      <c r="X17" s="128" t="s">
        <v>3428</v>
      </c>
      <c r="Y17" s="128" t="s">
        <v>3429</v>
      </c>
      <c r="Z17" s="128" t="s">
        <v>3430</v>
      </c>
      <c r="AA17" s="128" t="s">
        <v>3431</v>
      </c>
      <c r="AB17" s="128" t="s">
        <v>3432</v>
      </c>
      <c r="AC17" s="128" t="s">
        <v>3433</v>
      </c>
      <c r="AD17" s="128" t="s">
        <v>3434</v>
      </c>
      <c r="AE17" s="128" t="s">
        <v>3435</v>
      </c>
      <c r="AF17" s="128" t="s">
        <v>3436</v>
      </c>
    </row>
    <row r="18" spans="3:32" ht="319" x14ac:dyDescent="0.35">
      <c r="C18" s="128" t="s">
        <v>462</v>
      </c>
      <c r="E18" s="128" t="s">
        <v>463</v>
      </c>
      <c r="F18" s="128" t="s">
        <v>3437</v>
      </c>
      <c r="G18" s="128" t="s">
        <v>3438</v>
      </c>
      <c r="H18" s="128" t="s">
        <v>466</v>
      </c>
      <c r="I18" s="128" t="s">
        <v>3439</v>
      </c>
      <c r="J18" s="128" t="s">
        <v>3440</v>
      </c>
      <c r="K18" s="128" t="s">
        <v>3441</v>
      </c>
      <c r="L18" s="128" t="s">
        <v>3442</v>
      </c>
      <c r="M18" s="128" t="s">
        <v>3443</v>
      </c>
      <c r="N18" s="128" t="s">
        <v>3444</v>
      </c>
      <c r="O18" s="128" t="s">
        <v>3445</v>
      </c>
      <c r="P18" s="128" t="s">
        <v>3446</v>
      </c>
      <c r="Q18" s="128" t="s">
        <v>3447</v>
      </c>
      <c r="R18" s="128" t="s">
        <v>3448</v>
      </c>
      <c r="S18" s="128" t="s">
        <v>3449</v>
      </c>
      <c r="T18" s="128" t="s">
        <v>3450</v>
      </c>
      <c r="U18" s="128" t="s">
        <v>3451</v>
      </c>
      <c r="V18" s="128" t="s">
        <v>3452</v>
      </c>
      <c r="W18" s="128" t="s">
        <v>3453</v>
      </c>
      <c r="X18" s="128" t="s">
        <v>3454</v>
      </c>
      <c r="Y18" s="128" t="s">
        <v>3455</v>
      </c>
      <c r="Z18" s="128" t="s">
        <v>3456</v>
      </c>
      <c r="AA18" s="128" t="s">
        <v>3457</v>
      </c>
      <c r="AB18" s="128" t="s">
        <v>3458</v>
      </c>
      <c r="AC18" s="128" t="s">
        <v>3459</v>
      </c>
      <c r="AD18" s="128" t="s">
        <v>3460</v>
      </c>
      <c r="AE18" s="128" t="s">
        <v>3461</v>
      </c>
      <c r="AF18" s="128" t="s">
        <v>3462</v>
      </c>
    </row>
    <row r="19" spans="3:32" ht="319" x14ac:dyDescent="0.35">
      <c r="C19" s="128" t="s">
        <v>491</v>
      </c>
      <c r="E19" s="128" t="s">
        <v>492</v>
      </c>
      <c r="F19" s="128" t="s">
        <v>3463</v>
      </c>
      <c r="G19" s="128" t="s">
        <v>3464</v>
      </c>
      <c r="H19" s="128" t="s">
        <v>495</v>
      </c>
      <c r="I19" s="128" t="s">
        <v>3465</v>
      </c>
      <c r="J19" s="128" t="s">
        <v>3466</v>
      </c>
      <c r="K19" s="128" t="s">
        <v>3467</v>
      </c>
      <c r="L19" s="128" t="s">
        <v>3468</v>
      </c>
      <c r="M19" s="128" t="s">
        <v>3469</v>
      </c>
      <c r="N19" s="128" t="s">
        <v>3470</v>
      </c>
      <c r="O19" s="128" t="s">
        <v>3471</v>
      </c>
      <c r="P19" s="128" t="s">
        <v>3472</v>
      </c>
      <c r="Q19" s="128" t="s">
        <v>3473</v>
      </c>
      <c r="R19" s="128" t="s">
        <v>3474</v>
      </c>
      <c r="S19" s="128" t="s">
        <v>3475</v>
      </c>
      <c r="T19" s="128" t="s">
        <v>3476</v>
      </c>
      <c r="U19" s="128" t="s">
        <v>3477</v>
      </c>
      <c r="V19" s="128" t="s">
        <v>3478</v>
      </c>
      <c r="W19" s="128" t="s">
        <v>3479</v>
      </c>
      <c r="X19" s="128" t="s">
        <v>3480</v>
      </c>
      <c r="Y19" s="128" t="s">
        <v>3481</v>
      </c>
      <c r="Z19" s="128" t="s">
        <v>3482</v>
      </c>
      <c r="AA19" s="128" t="s">
        <v>3483</v>
      </c>
      <c r="AB19" s="128" t="s">
        <v>3484</v>
      </c>
      <c r="AC19" s="128" t="s">
        <v>3485</v>
      </c>
      <c r="AD19" s="128" t="s">
        <v>3486</v>
      </c>
      <c r="AE19" s="128" t="s">
        <v>3487</v>
      </c>
      <c r="AF19" s="128" t="s">
        <v>3488</v>
      </c>
    </row>
    <row r="20" spans="3:32" ht="319" x14ac:dyDescent="0.35">
      <c r="C20" s="128" t="s">
        <v>520</v>
      </c>
      <c r="E20" s="128" t="s">
        <v>521</v>
      </c>
      <c r="F20" s="128" t="s">
        <v>3489</v>
      </c>
      <c r="G20" s="128" t="s">
        <v>3490</v>
      </c>
      <c r="H20" s="128" t="s">
        <v>524</v>
      </c>
      <c r="I20" s="128" t="s">
        <v>3491</v>
      </c>
      <c r="J20" s="128" t="s">
        <v>3492</v>
      </c>
      <c r="K20" s="128" t="s">
        <v>3493</v>
      </c>
      <c r="L20" s="128" t="s">
        <v>3494</v>
      </c>
      <c r="M20" s="128" t="s">
        <v>3495</v>
      </c>
      <c r="N20" s="128" t="s">
        <v>3496</v>
      </c>
      <c r="O20" s="128" t="s">
        <v>3497</v>
      </c>
      <c r="P20" s="128" t="s">
        <v>3498</v>
      </c>
      <c r="Q20" s="128" t="s">
        <v>3499</v>
      </c>
      <c r="R20" s="128" t="s">
        <v>3500</v>
      </c>
      <c r="S20" s="128" t="s">
        <v>3501</v>
      </c>
      <c r="T20" s="128" t="s">
        <v>3502</v>
      </c>
      <c r="U20" s="128" t="s">
        <v>3503</v>
      </c>
      <c r="V20" s="128" t="s">
        <v>3504</v>
      </c>
      <c r="W20" s="128" t="s">
        <v>3505</v>
      </c>
      <c r="X20" s="128" t="s">
        <v>3506</v>
      </c>
      <c r="Y20" s="128" t="s">
        <v>3507</v>
      </c>
      <c r="Z20" s="128" t="s">
        <v>3508</v>
      </c>
      <c r="AA20" s="128" t="s">
        <v>3509</v>
      </c>
      <c r="AB20" s="128" t="s">
        <v>3510</v>
      </c>
      <c r="AC20" s="128" t="s">
        <v>3511</v>
      </c>
      <c r="AD20" s="128" t="s">
        <v>3512</v>
      </c>
      <c r="AE20" s="128" t="s">
        <v>3513</v>
      </c>
      <c r="AF20" s="128" t="s">
        <v>3514</v>
      </c>
    </row>
    <row r="21" spans="3:32" ht="319" x14ac:dyDescent="0.35">
      <c r="C21" s="128" t="s">
        <v>549</v>
      </c>
      <c r="E21" s="128" t="s">
        <v>550</v>
      </c>
      <c r="F21" s="128" t="s">
        <v>3515</v>
      </c>
      <c r="G21" s="128" t="s">
        <v>3516</v>
      </c>
      <c r="H21" s="128" t="s">
        <v>553</v>
      </c>
      <c r="I21" s="128" t="s">
        <v>3517</v>
      </c>
      <c r="J21" s="128" t="s">
        <v>3518</v>
      </c>
      <c r="K21" s="128" t="s">
        <v>3519</v>
      </c>
      <c r="L21" s="128" t="s">
        <v>3520</v>
      </c>
      <c r="M21" s="128" t="s">
        <v>3521</v>
      </c>
      <c r="N21" s="128" t="s">
        <v>3522</v>
      </c>
      <c r="O21" s="128" t="s">
        <v>3523</v>
      </c>
      <c r="P21" s="128" t="s">
        <v>3524</v>
      </c>
      <c r="Q21" s="128" t="s">
        <v>3525</v>
      </c>
      <c r="R21" s="128" t="s">
        <v>3526</v>
      </c>
      <c r="S21" s="128" t="s">
        <v>3527</v>
      </c>
      <c r="T21" s="128" t="s">
        <v>3528</v>
      </c>
      <c r="U21" s="128" t="s">
        <v>3529</v>
      </c>
      <c r="V21" s="128" t="s">
        <v>3530</v>
      </c>
      <c r="W21" s="128" t="s">
        <v>3531</v>
      </c>
      <c r="X21" s="128" t="s">
        <v>3532</v>
      </c>
      <c r="Y21" s="128" t="s">
        <v>3533</v>
      </c>
      <c r="Z21" s="128" t="s">
        <v>3534</v>
      </c>
      <c r="AA21" s="128" t="s">
        <v>3535</v>
      </c>
      <c r="AB21" s="128" t="s">
        <v>3536</v>
      </c>
      <c r="AC21" s="128" t="s">
        <v>3537</v>
      </c>
      <c r="AD21" s="128" t="s">
        <v>3538</v>
      </c>
      <c r="AE21" s="128" t="s">
        <v>3539</v>
      </c>
      <c r="AF21" s="128" t="s">
        <v>3540</v>
      </c>
    </row>
    <row r="22" spans="3:32" ht="319" x14ac:dyDescent="0.35">
      <c r="C22" s="128" t="s">
        <v>578</v>
      </c>
      <c r="E22" s="128" t="s">
        <v>579</v>
      </c>
      <c r="F22" s="128" t="s">
        <v>3541</v>
      </c>
      <c r="G22" s="128" t="s">
        <v>3542</v>
      </c>
      <c r="H22" s="128" t="s">
        <v>582</v>
      </c>
      <c r="I22" s="128" t="s">
        <v>3543</v>
      </c>
      <c r="J22" s="128" t="s">
        <v>3544</v>
      </c>
      <c r="K22" s="128" t="s">
        <v>3545</v>
      </c>
      <c r="L22" s="128" t="s">
        <v>3546</v>
      </c>
      <c r="M22" s="128" t="s">
        <v>3547</v>
      </c>
      <c r="N22" s="128" t="s">
        <v>3548</v>
      </c>
      <c r="O22" s="128" t="s">
        <v>3549</v>
      </c>
      <c r="P22" s="128" t="s">
        <v>3550</v>
      </c>
      <c r="Q22" s="128" t="s">
        <v>3551</v>
      </c>
      <c r="R22" s="128" t="s">
        <v>3552</v>
      </c>
      <c r="S22" s="128" t="s">
        <v>3553</v>
      </c>
      <c r="T22" s="128" t="s">
        <v>3554</v>
      </c>
      <c r="U22" s="128" t="s">
        <v>3555</v>
      </c>
      <c r="V22" s="128" t="s">
        <v>3556</v>
      </c>
      <c r="W22" s="128" t="s">
        <v>3557</v>
      </c>
      <c r="X22" s="128" t="s">
        <v>3558</v>
      </c>
      <c r="Y22" s="128" t="s">
        <v>3559</v>
      </c>
      <c r="Z22" s="128" t="s">
        <v>3560</v>
      </c>
      <c r="AA22" s="128" t="s">
        <v>3561</v>
      </c>
      <c r="AB22" s="128" t="s">
        <v>3562</v>
      </c>
      <c r="AC22" s="128" t="s">
        <v>3563</v>
      </c>
      <c r="AD22" s="128" t="s">
        <v>3564</v>
      </c>
      <c r="AE22" s="128" t="s">
        <v>3565</v>
      </c>
      <c r="AF22" s="128" t="s">
        <v>3566</v>
      </c>
    </row>
    <row r="23" spans="3:32" ht="319" x14ac:dyDescent="0.35">
      <c r="C23" s="128" t="s">
        <v>607</v>
      </c>
      <c r="E23" s="128" t="s">
        <v>608</v>
      </c>
      <c r="F23" s="128" t="s">
        <v>3567</v>
      </c>
      <c r="G23" s="128" t="s">
        <v>3568</v>
      </c>
      <c r="H23" s="128" t="s">
        <v>611</v>
      </c>
      <c r="I23" s="128" t="s">
        <v>3569</v>
      </c>
      <c r="J23" s="128" t="s">
        <v>3570</v>
      </c>
      <c r="K23" s="128" t="s">
        <v>3571</v>
      </c>
      <c r="L23" s="128" t="s">
        <v>3572</v>
      </c>
      <c r="M23" s="128" t="s">
        <v>3573</v>
      </c>
      <c r="N23" s="128" t="s">
        <v>3574</v>
      </c>
      <c r="O23" s="128" t="s">
        <v>3575</v>
      </c>
      <c r="P23" s="128" t="s">
        <v>3576</v>
      </c>
      <c r="Q23" s="128" t="s">
        <v>3577</v>
      </c>
      <c r="R23" s="128" t="s">
        <v>3578</v>
      </c>
      <c r="S23" s="128" t="s">
        <v>3579</v>
      </c>
      <c r="T23" s="128" t="s">
        <v>3580</v>
      </c>
      <c r="U23" s="128" t="s">
        <v>3581</v>
      </c>
      <c r="V23" s="128" t="s">
        <v>3582</v>
      </c>
      <c r="W23" s="128" t="s">
        <v>3583</v>
      </c>
      <c r="X23" s="128" t="s">
        <v>3584</v>
      </c>
      <c r="Y23" s="128" t="s">
        <v>3585</v>
      </c>
      <c r="Z23" s="128" t="s">
        <v>3586</v>
      </c>
      <c r="AA23" s="128" t="s">
        <v>3587</v>
      </c>
      <c r="AB23" s="128" t="s">
        <v>3588</v>
      </c>
      <c r="AC23" s="128" t="s">
        <v>3589</v>
      </c>
      <c r="AD23" s="128" t="s">
        <v>3590</v>
      </c>
      <c r="AE23" s="128" t="s">
        <v>3591</v>
      </c>
      <c r="AF23" s="128" t="s">
        <v>3592</v>
      </c>
    </row>
    <row r="24" spans="3:32" ht="319" x14ac:dyDescent="0.35">
      <c r="C24" s="128" t="s">
        <v>636</v>
      </c>
      <c r="E24" s="128" t="s">
        <v>637</v>
      </c>
      <c r="F24" s="128" t="s">
        <v>3593</v>
      </c>
      <c r="G24" s="128" t="s">
        <v>3594</v>
      </c>
      <c r="H24" s="128" t="s">
        <v>640</v>
      </c>
      <c r="I24" s="128" t="s">
        <v>3595</v>
      </c>
      <c r="J24" s="128" t="s">
        <v>3596</v>
      </c>
      <c r="K24" s="128" t="s">
        <v>3597</v>
      </c>
      <c r="L24" s="128" t="s">
        <v>3598</v>
      </c>
      <c r="M24" s="128" t="s">
        <v>3599</v>
      </c>
      <c r="N24" s="128" t="s">
        <v>3600</v>
      </c>
      <c r="O24" s="128" t="s">
        <v>3601</v>
      </c>
      <c r="P24" s="128" t="s">
        <v>3602</v>
      </c>
      <c r="Q24" s="128" t="s">
        <v>3603</v>
      </c>
      <c r="R24" s="128" t="s">
        <v>3604</v>
      </c>
      <c r="S24" s="128" t="s">
        <v>3605</v>
      </c>
      <c r="T24" s="128" t="s">
        <v>3606</v>
      </c>
      <c r="U24" s="128" t="s">
        <v>3607</v>
      </c>
      <c r="V24" s="128" t="s">
        <v>3608</v>
      </c>
      <c r="W24" s="128" t="s">
        <v>3609</v>
      </c>
      <c r="X24" s="128" t="s">
        <v>3610</v>
      </c>
      <c r="Y24" s="128" t="s">
        <v>3611</v>
      </c>
      <c r="Z24" s="128" t="s">
        <v>3612</v>
      </c>
      <c r="AA24" s="128" t="s">
        <v>3613</v>
      </c>
      <c r="AB24" s="128" t="s">
        <v>3614</v>
      </c>
      <c r="AC24" s="128" t="s">
        <v>3615</v>
      </c>
      <c r="AD24" s="128" t="s">
        <v>3616</v>
      </c>
      <c r="AE24" s="128" t="s">
        <v>3617</v>
      </c>
      <c r="AF24" s="128" t="s">
        <v>3618</v>
      </c>
    </row>
    <row r="25" spans="3:32" ht="319" x14ac:dyDescent="0.35">
      <c r="C25" s="128" t="s">
        <v>665</v>
      </c>
      <c r="E25" s="128" t="s">
        <v>666</v>
      </c>
      <c r="F25" s="128" t="s">
        <v>3619</v>
      </c>
      <c r="G25" s="128" t="s">
        <v>3620</v>
      </c>
      <c r="H25" s="128" t="s">
        <v>669</v>
      </c>
      <c r="I25" s="128" t="s">
        <v>3621</v>
      </c>
      <c r="J25" s="128" t="s">
        <v>3622</v>
      </c>
      <c r="K25" s="128" t="s">
        <v>3623</v>
      </c>
      <c r="L25" s="128" t="s">
        <v>3624</v>
      </c>
      <c r="M25" s="128" t="s">
        <v>3625</v>
      </c>
      <c r="N25" s="128" t="s">
        <v>3626</v>
      </c>
      <c r="O25" s="128" t="s">
        <v>3627</v>
      </c>
      <c r="P25" s="128" t="s">
        <v>3628</v>
      </c>
      <c r="Q25" s="128" t="s">
        <v>3629</v>
      </c>
      <c r="R25" s="128" t="s">
        <v>3630</v>
      </c>
      <c r="S25" s="128" t="s">
        <v>3631</v>
      </c>
      <c r="T25" s="128" t="s">
        <v>3632</v>
      </c>
      <c r="U25" s="128" t="s">
        <v>3633</v>
      </c>
      <c r="V25" s="128" t="s">
        <v>3634</v>
      </c>
      <c r="W25" s="128" t="s">
        <v>3635</v>
      </c>
      <c r="X25" s="128" t="s">
        <v>3636</v>
      </c>
      <c r="Y25" s="128" t="s">
        <v>3637</v>
      </c>
      <c r="Z25" s="128" t="s">
        <v>3638</v>
      </c>
      <c r="AA25" s="128" t="s">
        <v>3639</v>
      </c>
      <c r="AB25" s="128" t="s">
        <v>3640</v>
      </c>
      <c r="AC25" s="128" t="s">
        <v>3641</v>
      </c>
      <c r="AD25" s="128" t="s">
        <v>3642</v>
      </c>
      <c r="AE25" s="128" t="s">
        <v>3643</v>
      </c>
      <c r="AF25" s="128" t="s">
        <v>3644</v>
      </c>
    </row>
    <row r="26" spans="3:32" ht="319" x14ac:dyDescent="0.35">
      <c r="C26" s="128" t="s">
        <v>694</v>
      </c>
      <c r="E26" s="128" t="s">
        <v>695</v>
      </c>
      <c r="F26" s="128" t="s">
        <v>3645</v>
      </c>
      <c r="G26" s="128" t="s">
        <v>3646</v>
      </c>
      <c r="H26" s="128" t="s">
        <v>698</v>
      </c>
      <c r="I26" s="128" t="s">
        <v>3647</v>
      </c>
      <c r="J26" s="128" t="s">
        <v>3648</v>
      </c>
      <c r="K26" s="128" t="s">
        <v>3649</v>
      </c>
      <c r="L26" s="128" t="s">
        <v>3650</v>
      </c>
      <c r="M26" s="128" t="s">
        <v>3651</v>
      </c>
      <c r="N26" s="128" t="s">
        <v>3652</v>
      </c>
      <c r="O26" s="128" t="s">
        <v>3653</v>
      </c>
      <c r="P26" s="128" t="s">
        <v>3654</v>
      </c>
      <c r="Q26" s="128" t="s">
        <v>3655</v>
      </c>
      <c r="R26" s="128" t="s">
        <v>3656</v>
      </c>
      <c r="S26" s="128" t="s">
        <v>3657</v>
      </c>
      <c r="T26" s="128" t="s">
        <v>3658</v>
      </c>
      <c r="U26" s="128" t="s">
        <v>3659</v>
      </c>
      <c r="V26" s="128" t="s">
        <v>3660</v>
      </c>
      <c r="W26" s="128" t="s">
        <v>3661</v>
      </c>
      <c r="X26" s="128" t="s">
        <v>3662</v>
      </c>
      <c r="Y26" s="128" t="s">
        <v>3663</v>
      </c>
      <c r="Z26" s="128" t="s">
        <v>3664</v>
      </c>
      <c r="AA26" s="128" t="s">
        <v>3665</v>
      </c>
      <c r="AB26" s="128" t="s">
        <v>3666</v>
      </c>
      <c r="AC26" s="128" t="s">
        <v>3667</v>
      </c>
      <c r="AD26" s="128" t="s">
        <v>3668</v>
      </c>
      <c r="AE26" s="128" t="s">
        <v>3669</v>
      </c>
      <c r="AF26" s="128" t="s">
        <v>3670</v>
      </c>
    </row>
    <row r="27" spans="3:32" ht="319" x14ac:dyDescent="0.35">
      <c r="C27" s="128" t="s">
        <v>723</v>
      </c>
      <c r="E27" s="128" t="s">
        <v>724</v>
      </c>
      <c r="F27" s="128" t="s">
        <v>3671</v>
      </c>
      <c r="G27" s="128" t="s">
        <v>3672</v>
      </c>
      <c r="H27" s="128" t="s">
        <v>727</v>
      </c>
      <c r="I27" s="128" t="s">
        <v>3673</v>
      </c>
      <c r="J27" s="128" t="s">
        <v>3674</v>
      </c>
      <c r="K27" s="128" t="s">
        <v>3675</v>
      </c>
      <c r="L27" s="128" t="s">
        <v>3676</v>
      </c>
      <c r="M27" s="128" t="s">
        <v>3677</v>
      </c>
      <c r="N27" s="128" t="s">
        <v>3678</v>
      </c>
      <c r="O27" s="128" t="s">
        <v>3679</v>
      </c>
      <c r="P27" s="128" t="s">
        <v>3680</v>
      </c>
      <c r="Q27" s="128" t="s">
        <v>3681</v>
      </c>
      <c r="R27" s="128" t="s">
        <v>3682</v>
      </c>
      <c r="S27" s="128" t="s">
        <v>3683</v>
      </c>
      <c r="T27" s="128" t="s">
        <v>3684</v>
      </c>
      <c r="U27" s="128" t="s">
        <v>3685</v>
      </c>
      <c r="V27" s="128" t="s">
        <v>3686</v>
      </c>
      <c r="W27" s="128" t="s">
        <v>3687</v>
      </c>
      <c r="X27" s="128" t="s">
        <v>3688</v>
      </c>
      <c r="Y27" s="128" t="s">
        <v>3689</v>
      </c>
      <c r="Z27" s="128" t="s">
        <v>3690</v>
      </c>
      <c r="AA27" s="128" t="s">
        <v>3691</v>
      </c>
      <c r="AB27" s="128" t="s">
        <v>3692</v>
      </c>
      <c r="AC27" s="128" t="s">
        <v>3693</v>
      </c>
      <c r="AD27" s="128" t="s">
        <v>3694</v>
      </c>
      <c r="AE27" s="128" t="s">
        <v>3695</v>
      </c>
      <c r="AF27" s="128" t="s">
        <v>3696</v>
      </c>
    </row>
    <row r="28" spans="3:32" ht="319" x14ac:dyDescent="0.35">
      <c r="C28" s="128" t="s">
        <v>752</v>
      </c>
      <c r="E28" s="128" t="s">
        <v>753</v>
      </c>
      <c r="F28" s="128" t="s">
        <v>3697</v>
      </c>
      <c r="G28" s="128" t="s">
        <v>3698</v>
      </c>
      <c r="H28" s="128" t="s">
        <v>756</v>
      </c>
      <c r="I28" s="128" t="s">
        <v>3699</v>
      </c>
      <c r="J28" s="128" t="s">
        <v>3700</v>
      </c>
      <c r="K28" s="128" t="s">
        <v>3701</v>
      </c>
      <c r="L28" s="128" t="s">
        <v>3702</v>
      </c>
      <c r="M28" s="128" t="s">
        <v>3703</v>
      </c>
      <c r="N28" s="128" t="s">
        <v>3704</v>
      </c>
      <c r="O28" s="128" t="s">
        <v>3705</v>
      </c>
      <c r="P28" s="128" t="s">
        <v>3706</v>
      </c>
      <c r="Q28" s="128" t="s">
        <v>3707</v>
      </c>
      <c r="R28" s="128" t="s">
        <v>3708</v>
      </c>
      <c r="S28" s="128" t="s">
        <v>3709</v>
      </c>
      <c r="T28" s="128" t="s">
        <v>3710</v>
      </c>
      <c r="U28" s="128" t="s">
        <v>3711</v>
      </c>
      <c r="V28" s="128" t="s">
        <v>3712</v>
      </c>
      <c r="W28" s="128" t="s">
        <v>3713</v>
      </c>
      <c r="X28" s="128" t="s">
        <v>3714</v>
      </c>
      <c r="Y28" s="128" t="s">
        <v>3715</v>
      </c>
      <c r="Z28" s="128" t="s">
        <v>3716</v>
      </c>
      <c r="AA28" s="128" t="s">
        <v>3717</v>
      </c>
      <c r="AB28" s="128" t="s">
        <v>3718</v>
      </c>
      <c r="AC28" s="128" t="s">
        <v>3719</v>
      </c>
      <c r="AD28" s="128" t="s">
        <v>3720</v>
      </c>
      <c r="AE28" s="128" t="s">
        <v>3721</v>
      </c>
      <c r="AF28" s="128" t="s">
        <v>3722</v>
      </c>
    </row>
    <row r="29" spans="3:32" ht="319" x14ac:dyDescent="0.35">
      <c r="C29" s="128" t="s">
        <v>781</v>
      </c>
      <c r="E29" s="128" t="s">
        <v>782</v>
      </c>
      <c r="F29" s="128" t="s">
        <v>3723</v>
      </c>
      <c r="G29" s="128" t="s">
        <v>3724</v>
      </c>
      <c r="H29" s="128" t="s">
        <v>785</v>
      </c>
      <c r="I29" s="128" t="s">
        <v>3725</v>
      </c>
      <c r="J29" s="128" t="s">
        <v>3726</v>
      </c>
      <c r="K29" s="128" t="s">
        <v>3727</v>
      </c>
      <c r="L29" s="128" t="s">
        <v>3728</v>
      </c>
      <c r="M29" s="128" t="s">
        <v>3729</v>
      </c>
      <c r="N29" s="128" t="s">
        <v>3730</v>
      </c>
      <c r="O29" s="128" t="s">
        <v>3731</v>
      </c>
      <c r="P29" s="128" t="s">
        <v>3732</v>
      </c>
      <c r="Q29" s="128" t="s">
        <v>3733</v>
      </c>
      <c r="R29" s="128" t="s">
        <v>3734</v>
      </c>
      <c r="S29" s="128" t="s">
        <v>3735</v>
      </c>
      <c r="T29" s="128" t="s">
        <v>3736</v>
      </c>
      <c r="U29" s="128" t="s">
        <v>3737</v>
      </c>
      <c r="V29" s="128" t="s">
        <v>3738</v>
      </c>
      <c r="W29" s="128" t="s">
        <v>3739</v>
      </c>
      <c r="X29" s="128" t="s">
        <v>3740</v>
      </c>
      <c r="Y29" s="128" t="s">
        <v>3741</v>
      </c>
      <c r="Z29" s="128" t="s">
        <v>3742</v>
      </c>
      <c r="AA29" s="128" t="s">
        <v>3743</v>
      </c>
      <c r="AB29" s="128" t="s">
        <v>3744</v>
      </c>
      <c r="AC29" s="128" t="s">
        <v>3745</v>
      </c>
      <c r="AD29" s="128" t="s">
        <v>3746</v>
      </c>
      <c r="AE29" s="128" t="s">
        <v>3747</v>
      </c>
      <c r="AF29" s="128" t="s">
        <v>3748</v>
      </c>
    </row>
    <row r="30" spans="3:32" ht="319" x14ac:dyDescent="0.35">
      <c r="C30" s="128" t="s">
        <v>810</v>
      </c>
      <c r="E30" s="128" t="s">
        <v>811</v>
      </c>
      <c r="F30" s="128" t="s">
        <v>3749</v>
      </c>
      <c r="G30" s="128" t="s">
        <v>3750</v>
      </c>
      <c r="H30" s="128" t="s">
        <v>814</v>
      </c>
      <c r="I30" s="128" t="s">
        <v>3751</v>
      </c>
      <c r="J30" s="128" t="s">
        <v>3752</v>
      </c>
      <c r="K30" s="128" t="s">
        <v>3753</v>
      </c>
      <c r="L30" s="128" t="s">
        <v>3754</v>
      </c>
      <c r="M30" s="128" t="s">
        <v>3755</v>
      </c>
      <c r="N30" s="128" t="s">
        <v>3756</v>
      </c>
      <c r="O30" s="128" t="s">
        <v>3757</v>
      </c>
      <c r="P30" s="128" t="s">
        <v>3758</v>
      </c>
      <c r="Q30" s="128" t="s">
        <v>3759</v>
      </c>
      <c r="R30" s="128" t="s">
        <v>3760</v>
      </c>
      <c r="S30" s="128" t="s">
        <v>3761</v>
      </c>
      <c r="T30" s="128" t="s">
        <v>3762</v>
      </c>
      <c r="U30" s="128" t="s">
        <v>3763</v>
      </c>
      <c r="V30" s="128" t="s">
        <v>3764</v>
      </c>
      <c r="W30" s="128" t="s">
        <v>3765</v>
      </c>
      <c r="X30" s="128" t="s">
        <v>3766</v>
      </c>
      <c r="Y30" s="128" t="s">
        <v>3767</v>
      </c>
      <c r="Z30" s="128" t="s">
        <v>3768</v>
      </c>
      <c r="AA30" s="128" t="s">
        <v>3769</v>
      </c>
      <c r="AB30" s="128" t="s">
        <v>3770</v>
      </c>
      <c r="AC30" s="128" t="s">
        <v>3771</v>
      </c>
      <c r="AD30" s="128" t="s">
        <v>3772</v>
      </c>
      <c r="AE30" s="128" t="s">
        <v>3773</v>
      </c>
      <c r="AF30" s="128" t="s">
        <v>3774</v>
      </c>
    </row>
    <row r="31" spans="3:32" ht="319" x14ac:dyDescent="0.35">
      <c r="C31" s="128" t="s">
        <v>839</v>
      </c>
      <c r="E31" s="128" t="s">
        <v>840</v>
      </c>
      <c r="F31" s="128" t="s">
        <v>3775</v>
      </c>
      <c r="G31" s="128" t="s">
        <v>3776</v>
      </c>
      <c r="H31" s="128" t="s">
        <v>843</v>
      </c>
      <c r="I31" s="128" t="s">
        <v>3777</v>
      </c>
      <c r="J31" s="128" t="s">
        <v>3778</v>
      </c>
      <c r="K31" s="128" t="s">
        <v>3779</v>
      </c>
      <c r="L31" s="128" t="s">
        <v>3780</v>
      </c>
      <c r="M31" s="128" t="s">
        <v>3781</v>
      </c>
      <c r="N31" s="128" t="s">
        <v>3782</v>
      </c>
      <c r="O31" s="128" t="s">
        <v>3783</v>
      </c>
      <c r="P31" s="128" t="s">
        <v>3784</v>
      </c>
      <c r="Q31" s="128" t="s">
        <v>3785</v>
      </c>
      <c r="R31" s="128" t="s">
        <v>3786</v>
      </c>
      <c r="S31" s="128" t="s">
        <v>3787</v>
      </c>
      <c r="T31" s="128" t="s">
        <v>3788</v>
      </c>
      <c r="U31" s="128" t="s">
        <v>3789</v>
      </c>
      <c r="V31" s="128" t="s">
        <v>3790</v>
      </c>
      <c r="W31" s="128" t="s">
        <v>3791</v>
      </c>
      <c r="X31" s="128" t="s">
        <v>3792</v>
      </c>
      <c r="Y31" s="128" t="s">
        <v>3793</v>
      </c>
      <c r="Z31" s="128" t="s">
        <v>3794</v>
      </c>
      <c r="AA31" s="128" t="s">
        <v>3795</v>
      </c>
      <c r="AB31" s="128" t="s">
        <v>3796</v>
      </c>
      <c r="AC31" s="128" t="s">
        <v>3797</v>
      </c>
      <c r="AD31" s="128" t="s">
        <v>3798</v>
      </c>
      <c r="AE31" s="128" t="s">
        <v>3799</v>
      </c>
      <c r="AF31" s="128" t="s">
        <v>3800</v>
      </c>
    </row>
    <row r="32" spans="3:32" ht="319" x14ac:dyDescent="0.35">
      <c r="C32" s="128" t="s">
        <v>868</v>
      </c>
      <c r="E32" s="128" t="s">
        <v>869</v>
      </c>
      <c r="F32" s="128" t="s">
        <v>3801</v>
      </c>
      <c r="G32" s="128" t="s">
        <v>3802</v>
      </c>
      <c r="H32" s="128" t="s">
        <v>872</v>
      </c>
      <c r="I32" s="128" t="s">
        <v>3803</v>
      </c>
      <c r="J32" s="128" t="s">
        <v>3804</v>
      </c>
      <c r="K32" s="128" t="s">
        <v>3805</v>
      </c>
      <c r="L32" s="128" t="s">
        <v>3806</v>
      </c>
      <c r="M32" s="128" t="s">
        <v>3807</v>
      </c>
      <c r="N32" s="128" t="s">
        <v>3808</v>
      </c>
      <c r="O32" s="128" t="s">
        <v>3809</v>
      </c>
      <c r="P32" s="128" t="s">
        <v>3810</v>
      </c>
      <c r="Q32" s="128" t="s">
        <v>3811</v>
      </c>
      <c r="R32" s="128" t="s">
        <v>3812</v>
      </c>
      <c r="S32" s="128" t="s">
        <v>3813</v>
      </c>
      <c r="T32" s="128" t="s">
        <v>3814</v>
      </c>
      <c r="U32" s="128" t="s">
        <v>3815</v>
      </c>
      <c r="V32" s="128" t="s">
        <v>3816</v>
      </c>
      <c r="W32" s="128" t="s">
        <v>3817</v>
      </c>
      <c r="X32" s="128" t="s">
        <v>3818</v>
      </c>
      <c r="Y32" s="128" t="s">
        <v>3819</v>
      </c>
      <c r="Z32" s="128" t="s">
        <v>3820</v>
      </c>
      <c r="AA32" s="128" t="s">
        <v>3821</v>
      </c>
      <c r="AB32" s="128" t="s">
        <v>3822</v>
      </c>
      <c r="AC32" s="128" t="s">
        <v>3823</v>
      </c>
      <c r="AD32" s="128" t="s">
        <v>3824</v>
      </c>
      <c r="AE32" s="128" t="s">
        <v>3825</v>
      </c>
      <c r="AF32" s="128" t="s">
        <v>3826</v>
      </c>
    </row>
    <row r="33" spans="3:32" ht="319" x14ac:dyDescent="0.35">
      <c r="C33" s="128" t="s">
        <v>897</v>
      </c>
      <c r="E33" s="128" t="s">
        <v>898</v>
      </c>
      <c r="F33" s="128" t="s">
        <v>3827</v>
      </c>
      <c r="G33" s="128" t="s">
        <v>3828</v>
      </c>
      <c r="H33" s="128" t="s">
        <v>901</v>
      </c>
      <c r="I33" s="128" t="s">
        <v>3829</v>
      </c>
      <c r="J33" s="128" t="s">
        <v>3830</v>
      </c>
      <c r="K33" s="128" t="s">
        <v>3831</v>
      </c>
      <c r="L33" s="128" t="s">
        <v>3832</v>
      </c>
      <c r="M33" s="128" t="s">
        <v>3833</v>
      </c>
      <c r="N33" s="128" t="s">
        <v>3834</v>
      </c>
      <c r="O33" s="128" t="s">
        <v>3835</v>
      </c>
      <c r="P33" s="128" t="s">
        <v>3836</v>
      </c>
      <c r="Q33" s="128" t="s">
        <v>3837</v>
      </c>
      <c r="R33" s="128" t="s">
        <v>3838</v>
      </c>
      <c r="S33" s="128" t="s">
        <v>3839</v>
      </c>
      <c r="T33" s="128" t="s">
        <v>3840</v>
      </c>
      <c r="U33" s="128" t="s">
        <v>3841</v>
      </c>
      <c r="V33" s="128" t="s">
        <v>3842</v>
      </c>
      <c r="W33" s="128" t="s">
        <v>3843</v>
      </c>
      <c r="X33" s="128" t="s">
        <v>3844</v>
      </c>
      <c r="Y33" s="128" t="s">
        <v>3845</v>
      </c>
      <c r="Z33" s="128" t="s">
        <v>3846</v>
      </c>
      <c r="AA33" s="128" t="s">
        <v>3847</v>
      </c>
      <c r="AB33" s="128" t="s">
        <v>3848</v>
      </c>
      <c r="AC33" s="128" t="s">
        <v>3849</v>
      </c>
      <c r="AD33" s="128" t="s">
        <v>3850</v>
      </c>
      <c r="AE33" s="128" t="s">
        <v>3851</v>
      </c>
      <c r="AF33" s="128" t="s">
        <v>3852</v>
      </c>
    </row>
    <row r="34" spans="3:32" ht="319" x14ac:dyDescent="0.35">
      <c r="C34" s="128" t="s">
        <v>926</v>
      </c>
      <c r="E34" s="128" t="s">
        <v>927</v>
      </c>
      <c r="F34" s="128" t="s">
        <v>3853</v>
      </c>
      <c r="G34" s="128" t="s">
        <v>3854</v>
      </c>
      <c r="H34" s="128" t="s">
        <v>930</v>
      </c>
      <c r="I34" s="128" t="s">
        <v>3855</v>
      </c>
      <c r="J34" s="128" t="s">
        <v>3856</v>
      </c>
      <c r="K34" s="128" t="s">
        <v>3857</v>
      </c>
      <c r="L34" s="128" t="s">
        <v>3858</v>
      </c>
      <c r="M34" s="128" t="s">
        <v>3859</v>
      </c>
      <c r="N34" s="128" t="s">
        <v>3860</v>
      </c>
      <c r="O34" s="128" t="s">
        <v>3861</v>
      </c>
      <c r="P34" s="128" t="s">
        <v>3862</v>
      </c>
      <c r="Q34" s="128" t="s">
        <v>3863</v>
      </c>
      <c r="R34" s="128" t="s">
        <v>3864</v>
      </c>
      <c r="S34" s="128" t="s">
        <v>3865</v>
      </c>
      <c r="T34" s="128" t="s">
        <v>3866</v>
      </c>
      <c r="U34" s="128" t="s">
        <v>3867</v>
      </c>
      <c r="V34" s="128" t="s">
        <v>3868</v>
      </c>
      <c r="W34" s="128" t="s">
        <v>3869</v>
      </c>
      <c r="X34" s="128" t="s">
        <v>3870</v>
      </c>
      <c r="Y34" s="128" t="s">
        <v>3871</v>
      </c>
      <c r="Z34" s="128" t="s">
        <v>3872</v>
      </c>
      <c r="AA34" s="128" t="s">
        <v>3873</v>
      </c>
      <c r="AB34" s="128" t="s">
        <v>3874</v>
      </c>
      <c r="AC34" s="128" t="s">
        <v>3875</v>
      </c>
      <c r="AD34" s="128" t="s">
        <v>3876</v>
      </c>
      <c r="AE34" s="128" t="s">
        <v>3877</v>
      </c>
      <c r="AF34" s="128" t="s">
        <v>3878</v>
      </c>
    </row>
    <row r="35" spans="3:32" ht="319" x14ac:dyDescent="0.35">
      <c r="C35" s="128" t="s">
        <v>955</v>
      </c>
      <c r="E35" s="128" t="s">
        <v>956</v>
      </c>
      <c r="F35" s="128" t="s">
        <v>3879</v>
      </c>
      <c r="G35" s="128" t="s">
        <v>3880</v>
      </c>
      <c r="H35" s="128" t="s">
        <v>959</v>
      </c>
      <c r="I35" s="128" t="s">
        <v>3881</v>
      </c>
      <c r="J35" s="128" t="s">
        <v>3882</v>
      </c>
      <c r="K35" s="128" t="s">
        <v>3883</v>
      </c>
      <c r="L35" s="128" t="s">
        <v>3884</v>
      </c>
      <c r="M35" s="128" t="s">
        <v>3885</v>
      </c>
      <c r="N35" s="128" t="s">
        <v>3886</v>
      </c>
      <c r="O35" s="128" t="s">
        <v>3887</v>
      </c>
      <c r="P35" s="128" t="s">
        <v>3888</v>
      </c>
      <c r="Q35" s="128" t="s">
        <v>3889</v>
      </c>
      <c r="R35" s="128" t="s">
        <v>3890</v>
      </c>
      <c r="S35" s="128" t="s">
        <v>3891</v>
      </c>
      <c r="T35" s="128" t="s">
        <v>3892</v>
      </c>
      <c r="U35" s="128" t="s">
        <v>3893</v>
      </c>
      <c r="V35" s="128" t="s">
        <v>3894</v>
      </c>
      <c r="W35" s="128" t="s">
        <v>3895</v>
      </c>
      <c r="X35" s="128" t="s">
        <v>3896</v>
      </c>
      <c r="Y35" s="128" t="s">
        <v>3897</v>
      </c>
      <c r="Z35" s="128" t="s">
        <v>3898</v>
      </c>
      <c r="AA35" s="128" t="s">
        <v>3899</v>
      </c>
      <c r="AB35" s="128" t="s">
        <v>3900</v>
      </c>
      <c r="AC35" s="128" t="s">
        <v>3901</v>
      </c>
      <c r="AD35" s="128" t="s">
        <v>3902</v>
      </c>
      <c r="AE35" s="128" t="s">
        <v>3903</v>
      </c>
      <c r="AF35" s="128" t="s">
        <v>3904</v>
      </c>
    </row>
    <row r="36" spans="3:32" ht="319" x14ac:dyDescent="0.35">
      <c r="C36" s="128" t="s">
        <v>984</v>
      </c>
      <c r="E36" s="128" t="s">
        <v>985</v>
      </c>
      <c r="F36" s="128" t="s">
        <v>3905</v>
      </c>
      <c r="G36" s="128" t="s">
        <v>3906</v>
      </c>
      <c r="H36" s="128" t="s">
        <v>988</v>
      </c>
      <c r="I36" s="128" t="s">
        <v>3907</v>
      </c>
      <c r="J36" s="128" t="s">
        <v>3908</v>
      </c>
      <c r="K36" s="128" t="s">
        <v>3909</v>
      </c>
      <c r="L36" s="128" t="s">
        <v>3910</v>
      </c>
      <c r="M36" s="128" t="s">
        <v>3911</v>
      </c>
      <c r="N36" s="128" t="s">
        <v>3912</v>
      </c>
      <c r="O36" s="128" t="s">
        <v>3913</v>
      </c>
      <c r="P36" s="128" t="s">
        <v>3914</v>
      </c>
      <c r="Q36" s="128" t="s">
        <v>3915</v>
      </c>
      <c r="R36" s="128" t="s">
        <v>3916</v>
      </c>
      <c r="S36" s="128" t="s">
        <v>3917</v>
      </c>
      <c r="T36" s="128" t="s">
        <v>3918</v>
      </c>
      <c r="U36" s="128" t="s">
        <v>3919</v>
      </c>
      <c r="V36" s="128" t="s">
        <v>3920</v>
      </c>
      <c r="W36" s="128" t="s">
        <v>3921</v>
      </c>
      <c r="X36" s="128" t="s">
        <v>3922</v>
      </c>
      <c r="Y36" s="128" t="s">
        <v>3923</v>
      </c>
      <c r="Z36" s="128" t="s">
        <v>3924</v>
      </c>
      <c r="AA36" s="128" t="s">
        <v>3925</v>
      </c>
      <c r="AB36" s="128" t="s">
        <v>3926</v>
      </c>
      <c r="AC36" s="128" t="s">
        <v>3927</v>
      </c>
      <c r="AD36" s="128" t="s">
        <v>3928</v>
      </c>
      <c r="AE36" s="128" t="s">
        <v>3929</v>
      </c>
      <c r="AF36" s="128" t="s">
        <v>3930</v>
      </c>
    </row>
    <row r="37" spans="3:32" ht="319" x14ac:dyDescent="0.35">
      <c r="C37" s="128" t="s">
        <v>1013</v>
      </c>
      <c r="E37" s="128" t="s">
        <v>1014</v>
      </c>
      <c r="F37" s="128" t="s">
        <v>3931</v>
      </c>
      <c r="G37" s="128" t="s">
        <v>3932</v>
      </c>
      <c r="H37" s="128" t="s">
        <v>1017</v>
      </c>
      <c r="I37" s="128" t="s">
        <v>3933</v>
      </c>
      <c r="J37" s="128" t="s">
        <v>3934</v>
      </c>
      <c r="K37" s="128" t="s">
        <v>3935</v>
      </c>
      <c r="L37" s="128" t="s">
        <v>3936</v>
      </c>
      <c r="M37" s="128" t="s">
        <v>3937</v>
      </c>
      <c r="N37" s="128" t="s">
        <v>3938</v>
      </c>
      <c r="O37" s="128" t="s">
        <v>3939</v>
      </c>
      <c r="P37" s="128" t="s">
        <v>3940</v>
      </c>
      <c r="Q37" s="128" t="s">
        <v>3941</v>
      </c>
      <c r="R37" s="128" t="s">
        <v>3942</v>
      </c>
      <c r="S37" s="128" t="s">
        <v>3943</v>
      </c>
      <c r="T37" s="128" t="s">
        <v>3944</v>
      </c>
      <c r="U37" s="128" t="s">
        <v>3945</v>
      </c>
      <c r="V37" s="128" t="s">
        <v>3946</v>
      </c>
      <c r="W37" s="128" t="s">
        <v>3947</v>
      </c>
      <c r="X37" s="128" t="s">
        <v>3948</v>
      </c>
      <c r="Y37" s="128" t="s">
        <v>3949</v>
      </c>
      <c r="Z37" s="128" t="s">
        <v>3950</v>
      </c>
      <c r="AA37" s="128" t="s">
        <v>3951</v>
      </c>
      <c r="AB37" s="128" t="s">
        <v>3952</v>
      </c>
      <c r="AC37" s="128" t="s">
        <v>3953</v>
      </c>
      <c r="AD37" s="128" t="s">
        <v>3954</v>
      </c>
      <c r="AE37" s="128" t="s">
        <v>3955</v>
      </c>
      <c r="AF37" s="128" t="s">
        <v>3956</v>
      </c>
    </row>
    <row r="38" spans="3:32" ht="319" x14ac:dyDescent="0.35">
      <c r="C38" s="128" t="s">
        <v>1042</v>
      </c>
      <c r="E38" s="128" t="s">
        <v>1043</v>
      </c>
      <c r="F38" s="128" t="s">
        <v>3957</v>
      </c>
      <c r="G38" s="128" t="s">
        <v>3958</v>
      </c>
      <c r="H38" s="128" t="s">
        <v>1046</v>
      </c>
      <c r="I38" s="128" t="s">
        <v>3959</v>
      </c>
      <c r="J38" s="128" t="s">
        <v>3960</v>
      </c>
      <c r="K38" s="128" t="s">
        <v>3961</v>
      </c>
      <c r="L38" s="128" t="s">
        <v>3962</v>
      </c>
      <c r="M38" s="128" t="s">
        <v>3963</v>
      </c>
      <c r="N38" s="128" t="s">
        <v>3964</v>
      </c>
      <c r="O38" s="128" t="s">
        <v>3965</v>
      </c>
      <c r="P38" s="128" t="s">
        <v>3966</v>
      </c>
      <c r="Q38" s="128" t="s">
        <v>3967</v>
      </c>
      <c r="R38" s="128" t="s">
        <v>3968</v>
      </c>
      <c r="S38" s="128" t="s">
        <v>3969</v>
      </c>
      <c r="T38" s="128" t="s">
        <v>3970</v>
      </c>
      <c r="U38" s="128" t="s">
        <v>3971</v>
      </c>
      <c r="V38" s="128" t="s">
        <v>3972</v>
      </c>
      <c r="W38" s="128" t="s">
        <v>3973</v>
      </c>
      <c r="X38" s="128" t="s">
        <v>3974</v>
      </c>
      <c r="Y38" s="128" t="s">
        <v>3975</v>
      </c>
      <c r="Z38" s="128" t="s">
        <v>3976</v>
      </c>
      <c r="AA38" s="128" t="s">
        <v>3977</v>
      </c>
      <c r="AB38" s="128" t="s">
        <v>3978</v>
      </c>
      <c r="AC38" s="128" t="s">
        <v>3979</v>
      </c>
      <c r="AD38" s="128" t="s">
        <v>3980</v>
      </c>
      <c r="AE38" s="128" t="s">
        <v>3981</v>
      </c>
      <c r="AF38" s="128" t="s">
        <v>3982</v>
      </c>
    </row>
    <row r="39" spans="3:32" ht="319" x14ac:dyDescent="0.35">
      <c r="C39" s="128" t="s">
        <v>1071</v>
      </c>
      <c r="E39" s="128" t="s">
        <v>1072</v>
      </c>
      <c r="F39" s="128" t="s">
        <v>3983</v>
      </c>
      <c r="G39" s="128" t="s">
        <v>3984</v>
      </c>
      <c r="H39" s="128" t="s">
        <v>1075</v>
      </c>
      <c r="I39" s="128" t="s">
        <v>3985</v>
      </c>
      <c r="J39" s="128" t="s">
        <v>3986</v>
      </c>
      <c r="K39" s="128" t="s">
        <v>3987</v>
      </c>
      <c r="L39" s="128" t="s">
        <v>3988</v>
      </c>
      <c r="M39" s="128" t="s">
        <v>3989</v>
      </c>
      <c r="N39" s="128" t="s">
        <v>3990</v>
      </c>
      <c r="O39" s="128" t="s">
        <v>3991</v>
      </c>
      <c r="P39" s="128" t="s">
        <v>3992</v>
      </c>
      <c r="Q39" s="128" t="s">
        <v>3993</v>
      </c>
      <c r="R39" s="128" t="s">
        <v>3994</v>
      </c>
      <c r="S39" s="128" t="s">
        <v>3995</v>
      </c>
      <c r="T39" s="128" t="s">
        <v>3996</v>
      </c>
      <c r="U39" s="128" t="s">
        <v>3997</v>
      </c>
      <c r="V39" s="128" t="s">
        <v>3998</v>
      </c>
      <c r="W39" s="128" t="s">
        <v>3999</v>
      </c>
      <c r="X39" s="128" t="s">
        <v>4000</v>
      </c>
      <c r="Y39" s="128" t="s">
        <v>4001</v>
      </c>
      <c r="Z39" s="128" t="s">
        <v>4002</v>
      </c>
      <c r="AA39" s="128" t="s">
        <v>4003</v>
      </c>
      <c r="AB39" s="128" t="s">
        <v>4004</v>
      </c>
      <c r="AC39" s="128" t="s">
        <v>4005</v>
      </c>
      <c r="AD39" s="128" t="s">
        <v>4006</v>
      </c>
      <c r="AE39" s="128" t="s">
        <v>4007</v>
      </c>
      <c r="AF39" s="128" t="s">
        <v>4008</v>
      </c>
    </row>
    <row r="40" spans="3:32" ht="319" x14ac:dyDescent="0.35">
      <c r="C40" s="128" t="s">
        <v>1100</v>
      </c>
      <c r="E40" s="128" t="s">
        <v>1101</v>
      </c>
      <c r="F40" s="128" t="s">
        <v>4009</v>
      </c>
      <c r="G40" s="128" t="s">
        <v>4010</v>
      </c>
      <c r="H40" s="128" t="s">
        <v>1104</v>
      </c>
      <c r="I40" s="128" t="s">
        <v>4011</v>
      </c>
      <c r="J40" s="128" t="s">
        <v>4012</v>
      </c>
      <c r="K40" s="128" t="s">
        <v>4013</v>
      </c>
      <c r="L40" s="128" t="s">
        <v>4014</v>
      </c>
      <c r="M40" s="128" t="s">
        <v>4015</v>
      </c>
      <c r="N40" s="128" t="s">
        <v>4016</v>
      </c>
      <c r="O40" s="128" t="s">
        <v>4017</v>
      </c>
      <c r="P40" s="128" t="s">
        <v>4018</v>
      </c>
      <c r="Q40" s="128" t="s">
        <v>4019</v>
      </c>
      <c r="R40" s="128" t="s">
        <v>4020</v>
      </c>
      <c r="S40" s="128" t="s">
        <v>4021</v>
      </c>
      <c r="T40" s="128" t="s">
        <v>4022</v>
      </c>
      <c r="U40" s="128" t="s">
        <v>4023</v>
      </c>
      <c r="V40" s="128" t="s">
        <v>4024</v>
      </c>
      <c r="W40" s="128" t="s">
        <v>4025</v>
      </c>
      <c r="X40" s="128" t="s">
        <v>4026</v>
      </c>
      <c r="Y40" s="128" t="s">
        <v>4027</v>
      </c>
      <c r="Z40" s="128" t="s">
        <v>4028</v>
      </c>
      <c r="AA40" s="128" t="s">
        <v>4029</v>
      </c>
      <c r="AB40" s="128" t="s">
        <v>4030</v>
      </c>
      <c r="AC40" s="128" t="s">
        <v>4031</v>
      </c>
      <c r="AD40" s="128" t="s">
        <v>4032</v>
      </c>
      <c r="AE40" s="128" t="s">
        <v>4033</v>
      </c>
      <c r="AF40" s="128" t="s">
        <v>4034</v>
      </c>
    </row>
    <row r="41" spans="3:32" ht="319" x14ac:dyDescent="0.35">
      <c r="C41" s="128" t="s">
        <v>1129</v>
      </c>
      <c r="E41" s="128" t="s">
        <v>1130</v>
      </c>
      <c r="F41" s="128" t="s">
        <v>4035</v>
      </c>
      <c r="G41" s="128" t="s">
        <v>4036</v>
      </c>
      <c r="H41" s="128" t="s">
        <v>1133</v>
      </c>
      <c r="I41" s="128" t="s">
        <v>4037</v>
      </c>
      <c r="J41" s="128" t="s">
        <v>4038</v>
      </c>
      <c r="K41" s="128" t="s">
        <v>4039</v>
      </c>
      <c r="L41" s="128" t="s">
        <v>4040</v>
      </c>
      <c r="M41" s="128" t="s">
        <v>4041</v>
      </c>
      <c r="N41" s="128" t="s">
        <v>4042</v>
      </c>
      <c r="O41" s="128" t="s">
        <v>4043</v>
      </c>
      <c r="P41" s="128" t="s">
        <v>4044</v>
      </c>
      <c r="Q41" s="128" t="s">
        <v>4045</v>
      </c>
      <c r="R41" s="128" t="s">
        <v>4046</v>
      </c>
      <c r="S41" s="128" t="s">
        <v>4047</v>
      </c>
      <c r="T41" s="128" t="s">
        <v>4048</v>
      </c>
      <c r="U41" s="128" t="s">
        <v>4049</v>
      </c>
      <c r="V41" s="128" t="s">
        <v>4050</v>
      </c>
      <c r="W41" s="128" t="s">
        <v>4051</v>
      </c>
      <c r="X41" s="128" t="s">
        <v>4052</v>
      </c>
      <c r="Y41" s="128" t="s">
        <v>4053</v>
      </c>
      <c r="Z41" s="128" t="s">
        <v>4054</v>
      </c>
      <c r="AA41" s="128" t="s">
        <v>4055</v>
      </c>
      <c r="AB41" s="128" t="s">
        <v>4056</v>
      </c>
      <c r="AC41" s="128" t="s">
        <v>4057</v>
      </c>
      <c r="AD41" s="128" t="s">
        <v>4058</v>
      </c>
      <c r="AE41" s="128" t="s">
        <v>4059</v>
      </c>
      <c r="AF41" s="128" t="s">
        <v>4060</v>
      </c>
    </row>
    <row r="42" spans="3:32" ht="319" x14ac:dyDescent="0.35">
      <c r="C42" s="128" t="s">
        <v>1158</v>
      </c>
      <c r="E42" s="128" t="s">
        <v>1159</v>
      </c>
      <c r="F42" s="128" t="s">
        <v>4061</v>
      </c>
      <c r="G42" s="128" t="s">
        <v>4062</v>
      </c>
      <c r="H42" s="128" t="s">
        <v>1162</v>
      </c>
      <c r="I42" s="128" t="s">
        <v>4063</v>
      </c>
      <c r="J42" s="128" t="s">
        <v>4064</v>
      </c>
      <c r="K42" s="128" t="s">
        <v>4065</v>
      </c>
      <c r="L42" s="128" t="s">
        <v>4066</v>
      </c>
      <c r="M42" s="128" t="s">
        <v>4067</v>
      </c>
      <c r="N42" s="128" t="s">
        <v>4068</v>
      </c>
      <c r="O42" s="128" t="s">
        <v>4069</v>
      </c>
      <c r="P42" s="128" t="s">
        <v>4070</v>
      </c>
      <c r="Q42" s="128" t="s">
        <v>4071</v>
      </c>
      <c r="R42" s="128" t="s">
        <v>4072</v>
      </c>
      <c r="S42" s="128" t="s">
        <v>4073</v>
      </c>
      <c r="T42" s="128" t="s">
        <v>4074</v>
      </c>
      <c r="U42" s="128" t="s">
        <v>4075</v>
      </c>
      <c r="V42" s="128" t="s">
        <v>4076</v>
      </c>
      <c r="W42" s="128" t="s">
        <v>4077</v>
      </c>
      <c r="X42" s="128" t="s">
        <v>4078</v>
      </c>
      <c r="Y42" s="128" t="s">
        <v>4079</v>
      </c>
      <c r="Z42" s="128" t="s">
        <v>4080</v>
      </c>
      <c r="AA42" s="128" t="s">
        <v>4081</v>
      </c>
      <c r="AB42" s="128" t="s">
        <v>4082</v>
      </c>
      <c r="AC42" s="128" t="s">
        <v>4083</v>
      </c>
      <c r="AD42" s="128" t="s">
        <v>4084</v>
      </c>
      <c r="AE42" s="128" t="s">
        <v>4085</v>
      </c>
      <c r="AF42" s="128" t="s">
        <v>4086</v>
      </c>
    </row>
    <row r="43" spans="3:32" ht="319" x14ac:dyDescent="0.35">
      <c r="C43" s="128" t="s">
        <v>1187</v>
      </c>
      <c r="E43" s="128" t="s">
        <v>1188</v>
      </c>
      <c r="F43" s="128" t="s">
        <v>4087</v>
      </c>
      <c r="G43" s="128" t="s">
        <v>4088</v>
      </c>
      <c r="H43" s="128" t="s">
        <v>1191</v>
      </c>
      <c r="I43" s="128" t="s">
        <v>4089</v>
      </c>
      <c r="J43" s="128" t="s">
        <v>4090</v>
      </c>
      <c r="K43" s="128" t="s">
        <v>4091</v>
      </c>
      <c r="L43" s="128" t="s">
        <v>4092</v>
      </c>
      <c r="M43" s="128" t="s">
        <v>4093</v>
      </c>
      <c r="N43" s="128" t="s">
        <v>4094</v>
      </c>
      <c r="O43" s="128" t="s">
        <v>4095</v>
      </c>
      <c r="P43" s="128" t="s">
        <v>4096</v>
      </c>
      <c r="Q43" s="128" t="s">
        <v>4097</v>
      </c>
      <c r="R43" s="128" t="s">
        <v>4098</v>
      </c>
      <c r="S43" s="128" t="s">
        <v>4099</v>
      </c>
      <c r="T43" s="128" t="s">
        <v>4100</v>
      </c>
      <c r="U43" s="128" t="s">
        <v>4101</v>
      </c>
      <c r="V43" s="128" t="s">
        <v>4102</v>
      </c>
      <c r="W43" s="128" t="s">
        <v>4103</v>
      </c>
      <c r="X43" s="128" t="s">
        <v>4104</v>
      </c>
      <c r="Y43" s="128" t="s">
        <v>4105</v>
      </c>
      <c r="Z43" s="128" t="s">
        <v>4106</v>
      </c>
      <c r="AA43" s="128" t="s">
        <v>4107</v>
      </c>
      <c r="AB43" s="128" t="s">
        <v>4108</v>
      </c>
      <c r="AC43" s="128" t="s">
        <v>4109</v>
      </c>
      <c r="AD43" s="128" t="s">
        <v>4110</v>
      </c>
      <c r="AE43" s="128" t="s">
        <v>4111</v>
      </c>
      <c r="AF43" s="128" t="s">
        <v>4112</v>
      </c>
    </row>
    <row r="44" spans="3:32" ht="319" x14ac:dyDescent="0.35">
      <c r="C44" s="128" t="s">
        <v>1216</v>
      </c>
      <c r="E44" s="128" t="s">
        <v>1217</v>
      </c>
      <c r="F44" s="128" t="s">
        <v>4113</v>
      </c>
      <c r="G44" s="128" t="s">
        <v>4114</v>
      </c>
      <c r="H44" s="128" t="s">
        <v>1220</v>
      </c>
      <c r="I44" s="128" t="s">
        <v>4115</v>
      </c>
      <c r="J44" s="128" t="s">
        <v>4116</v>
      </c>
      <c r="K44" s="128" t="s">
        <v>4117</v>
      </c>
      <c r="L44" s="128" t="s">
        <v>4118</v>
      </c>
      <c r="M44" s="128" t="s">
        <v>4119</v>
      </c>
      <c r="N44" s="128" t="s">
        <v>4120</v>
      </c>
      <c r="O44" s="128" t="s">
        <v>4121</v>
      </c>
      <c r="P44" s="128" t="s">
        <v>4122</v>
      </c>
      <c r="Q44" s="128" t="s">
        <v>4123</v>
      </c>
      <c r="R44" s="128" t="s">
        <v>4124</v>
      </c>
      <c r="S44" s="128" t="s">
        <v>4125</v>
      </c>
      <c r="T44" s="128" t="s">
        <v>4126</v>
      </c>
      <c r="U44" s="128" t="s">
        <v>4127</v>
      </c>
      <c r="V44" s="128" t="s">
        <v>4128</v>
      </c>
      <c r="W44" s="128" t="s">
        <v>4129</v>
      </c>
      <c r="X44" s="128" t="s">
        <v>4130</v>
      </c>
      <c r="Y44" s="128" t="s">
        <v>4131</v>
      </c>
      <c r="Z44" s="128" t="s">
        <v>4132</v>
      </c>
      <c r="AA44" s="128" t="s">
        <v>4133</v>
      </c>
      <c r="AB44" s="128" t="s">
        <v>4134</v>
      </c>
      <c r="AC44" s="128" t="s">
        <v>4135</v>
      </c>
      <c r="AD44" s="128" t="s">
        <v>4136</v>
      </c>
      <c r="AE44" s="128" t="s">
        <v>4137</v>
      </c>
      <c r="AF44" s="128" t="s">
        <v>4138</v>
      </c>
    </row>
    <row r="45" spans="3:32" ht="319" x14ac:dyDescent="0.35">
      <c r="C45" s="128" t="s">
        <v>1245</v>
      </c>
      <c r="E45" s="128" t="s">
        <v>1246</v>
      </c>
      <c r="F45" s="128" t="s">
        <v>4139</v>
      </c>
      <c r="G45" s="128" t="s">
        <v>4140</v>
      </c>
      <c r="H45" s="128" t="s">
        <v>1249</v>
      </c>
      <c r="I45" s="128" t="s">
        <v>4141</v>
      </c>
      <c r="J45" s="128" t="s">
        <v>4142</v>
      </c>
      <c r="K45" s="128" t="s">
        <v>4143</v>
      </c>
      <c r="L45" s="128" t="s">
        <v>4144</v>
      </c>
      <c r="M45" s="128" t="s">
        <v>4145</v>
      </c>
      <c r="N45" s="128" t="s">
        <v>4146</v>
      </c>
      <c r="O45" s="128" t="s">
        <v>4147</v>
      </c>
      <c r="P45" s="128" t="s">
        <v>4148</v>
      </c>
      <c r="Q45" s="128" t="s">
        <v>4149</v>
      </c>
      <c r="R45" s="128" t="s">
        <v>4150</v>
      </c>
      <c r="S45" s="128" t="s">
        <v>4151</v>
      </c>
      <c r="T45" s="128" t="s">
        <v>4152</v>
      </c>
      <c r="U45" s="128" t="s">
        <v>4153</v>
      </c>
      <c r="V45" s="128" t="s">
        <v>4154</v>
      </c>
      <c r="W45" s="128" t="s">
        <v>4155</v>
      </c>
      <c r="X45" s="128" t="s">
        <v>4156</v>
      </c>
      <c r="Y45" s="128" t="s">
        <v>4157</v>
      </c>
      <c r="Z45" s="128" t="s">
        <v>4158</v>
      </c>
      <c r="AA45" s="128" t="s">
        <v>4159</v>
      </c>
      <c r="AB45" s="128" t="s">
        <v>4160</v>
      </c>
      <c r="AC45" s="128" t="s">
        <v>4161</v>
      </c>
      <c r="AD45" s="128" t="s">
        <v>4162</v>
      </c>
      <c r="AE45" s="128" t="s">
        <v>4163</v>
      </c>
      <c r="AF45" s="128" t="s">
        <v>4164</v>
      </c>
    </row>
    <row r="46" spans="3:32" ht="319" x14ac:dyDescent="0.35">
      <c r="C46" s="128" t="s">
        <v>1274</v>
      </c>
      <c r="E46" s="128" t="s">
        <v>1275</v>
      </c>
      <c r="F46" s="128" t="s">
        <v>4165</v>
      </c>
      <c r="G46" s="128" t="s">
        <v>4166</v>
      </c>
      <c r="H46" s="128" t="s">
        <v>1278</v>
      </c>
      <c r="I46" s="128" t="s">
        <v>4167</v>
      </c>
      <c r="J46" s="128" t="s">
        <v>4168</v>
      </c>
      <c r="K46" s="128" t="s">
        <v>4169</v>
      </c>
      <c r="L46" s="128" t="s">
        <v>4170</v>
      </c>
      <c r="M46" s="128" t="s">
        <v>4171</v>
      </c>
      <c r="N46" s="128" t="s">
        <v>4172</v>
      </c>
      <c r="O46" s="128" t="s">
        <v>4173</v>
      </c>
      <c r="P46" s="128" t="s">
        <v>4174</v>
      </c>
      <c r="Q46" s="128" t="s">
        <v>4175</v>
      </c>
      <c r="R46" s="128" t="s">
        <v>4176</v>
      </c>
      <c r="S46" s="128" t="s">
        <v>4177</v>
      </c>
      <c r="T46" s="128" t="s">
        <v>4178</v>
      </c>
      <c r="U46" s="128" t="s">
        <v>4179</v>
      </c>
      <c r="V46" s="128" t="s">
        <v>4180</v>
      </c>
      <c r="W46" s="128" t="s">
        <v>4181</v>
      </c>
      <c r="X46" s="128" t="s">
        <v>4182</v>
      </c>
      <c r="Y46" s="128" t="s">
        <v>4183</v>
      </c>
      <c r="Z46" s="128" t="s">
        <v>4184</v>
      </c>
      <c r="AA46" s="128" t="s">
        <v>4185</v>
      </c>
      <c r="AB46" s="128" t="s">
        <v>4186</v>
      </c>
      <c r="AC46" s="128" t="s">
        <v>4187</v>
      </c>
      <c r="AD46" s="128" t="s">
        <v>4188</v>
      </c>
      <c r="AE46" s="128" t="s">
        <v>4189</v>
      </c>
      <c r="AF46" s="128" t="s">
        <v>4190</v>
      </c>
    </row>
    <row r="47" spans="3:32" ht="319" x14ac:dyDescent="0.35">
      <c r="C47" s="128" t="s">
        <v>1303</v>
      </c>
      <c r="E47" s="128" t="s">
        <v>1304</v>
      </c>
      <c r="F47" s="128" t="s">
        <v>4191</v>
      </c>
      <c r="G47" s="128" t="s">
        <v>4192</v>
      </c>
      <c r="H47" s="128" t="s">
        <v>1307</v>
      </c>
      <c r="I47" s="128" t="s">
        <v>4193</v>
      </c>
      <c r="J47" s="128" t="s">
        <v>4194</v>
      </c>
      <c r="K47" s="128" t="s">
        <v>4195</v>
      </c>
      <c r="L47" s="128" t="s">
        <v>4196</v>
      </c>
      <c r="M47" s="128" t="s">
        <v>4197</v>
      </c>
      <c r="N47" s="128" t="s">
        <v>4198</v>
      </c>
      <c r="O47" s="128" t="s">
        <v>4199</v>
      </c>
      <c r="P47" s="128" t="s">
        <v>4200</v>
      </c>
      <c r="Q47" s="128" t="s">
        <v>4201</v>
      </c>
      <c r="R47" s="128" t="s">
        <v>4202</v>
      </c>
      <c r="S47" s="128" t="s">
        <v>4203</v>
      </c>
      <c r="T47" s="128" t="s">
        <v>4204</v>
      </c>
      <c r="U47" s="128" t="s">
        <v>4205</v>
      </c>
      <c r="V47" s="128" t="s">
        <v>4206</v>
      </c>
      <c r="W47" s="128" t="s">
        <v>4207</v>
      </c>
      <c r="X47" s="128" t="s">
        <v>4208</v>
      </c>
      <c r="Y47" s="128" t="s">
        <v>4209</v>
      </c>
      <c r="Z47" s="128" t="s">
        <v>4210</v>
      </c>
      <c r="AA47" s="128" t="s">
        <v>4211</v>
      </c>
      <c r="AB47" s="128" t="s">
        <v>4212</v>
      </c>
      <c r="AC47" s="128" t="s">
        <v>4213</v>
      </c>
      <c r="AD47" s="128" t="s">
        <v>4214</v>
      </c>
      <c r="AE47" s="128" t="s">
        <v>4215</v>
      </c>
      <c r="AF47" s="128" t="s">
        <v>4216</v>
      </c>
    </row>
    <row r="48" spans="3:32" ht="319" x14ac:dyDescent="0.35">
      <c r="C48" s="128" t="s">
        <v>1332</v>
      </c>
      <c r="E48" s="128" t="s">
        <v>1333</v>
      </c>
      <c r="F48" s="128" t="s">
        <v>4217</v>
      </c>
      <c r="G48" s="128" t="s">
        <v>4218</v>
      </c>
      <c r="H48" s="128" t="s">
        <v>1336</v>
      </c>
      <c r="I48" s="128" t="s">
        <v>4219</v>
      </c>
      <c r="J48" s="128" t="s">
        <v>4220</v>
      </c>
      <c r="K48" s="128" t="s">
        <v>4221</v>
      </c>
      <c r="L48" s="128" t="s">
        <v>4222</v>
      </c>
      <c r="M48" s="128" t="s">
        <v>4223</v>
      </c>
      <c r="N48" s="128" t="s">
        <v>4224</v>
      </c>
      <c r="O48" s="128" t="s">
        <v>4225</v>
      </c>
      <c r="P48" s="128" t="s">
        <v>4226</v>
      </c>
      <c r="Q48" s="128" t="s">
        <v>4227</v>
      </c>
      <c r="R48" s="128" t="s">
        <v>4228</v>
      </c>
      <c r="S48" s="128" t="s">
        <v>4229</v>
      </c>
      <c r="T48" s="128" t="s">
        <v>4230</v>
      </c>
      <c r="U48" s="128" t="s">
        <v>4231</v>
      </c>
      <c r="V48" s="128" t="s">
        <v>4232</v>
      </c>
      <c r="W48" s="128" t="s">
        <v>4233</v>
      </c>
      <c r="X48" s="128" t="s">
        <v>4234</v>
      </c>
      <c r="Y48" s="128" t="s">
        <v>4235</v>
      </c>
      <c r="Z48" s="128" t="s">
        <v>4236</v>
      </c>
      <c r="AA48" s="128" t="s">
        <v>4237</v>
      </c>
      <c r="AB48" s="128" t="s">
        <v>4238</v>
      </c>
      <c r="AC48" s="128" t="s">
        <v>4239</v>
      </c>
      <c r="AD48" s="128" t="s">
        <v>4240</v>
      </c>
      <c r="AE48" s="128" t="s">
        <v>4241</v>
      </c>
      <c r="AF48" s="128" t="s">
        <v>4242</v>
      </c>
    </row>
    <row r="49" spans="3:32" ht="319" x14ac:dyDescent="0.35">
      <c r="C49" s="128" t="s">
        <v>1361</v>
      </c>
      <c r="E49" s="128" t="s">
        <v>1362</v>
      </c>
      <c r="F49" s="128" t="s">
        <v>4243</v>
      </c>
      <c r="G49" s="128" t="s">
        <v>4244</v>
      </c>
      <c r="H49" s="128" t="s">
        <v>1365</v>
      </c>
      <c r="I49" s="128" t="s">
        <v>4245</v>
      </c>
      <c r="J49" s="128" t="s">
        <v>4246</v>
      </c>
      <c r="K49" s="128" t="s">
        <v>4247</v>
      </c>
      <c r="L49" s="128" t="s">
        <v>4248</v>
      </c>
      <c r="M49" s="128" t="s">
        <v>4249</v>
      </c>
      <c r="N49" s="128" t="s">
        <v>4250</v>
      </c>
      <c r="O49" s="128" t="s">
        <v>4251</v>
      </c>
      <c r="P49" s="128" t="s">
        <v>4252</v>
      </c>
      <c r="Q49" s="128" t="s">
        <v>4253</v>
      </c>
      <c r="R49" s="128" t="s">
        <v>4254</v>
      </c>
      <c r="S49" s="128" t="s">
        <v>4255</v>
      </c>
      <c r="T49" s="128" t="s">
        <v>4256</v>
      </c>
      <c r="U49" s="128" t="s">
        <v>4257</v>
      </c>
      <c r="V49" s="128" t="s">
        <v>4258</v>
      </c>
      <c r="W49" s="128" t="s">
        <v>4259</v>
      </c>
      <c r="X49" s="128" t="s">
        <v>4260</v>
      </c>
      <c r="Y49" s="128" t="s">
        <v>4261</v>
      </c>
      <c r="Z49" s="128" t="s">
        <v>4262</v>
      </c>
      <c r="AA49" s="128" t="s">
        <v>4263</v>
      </c>
      <c r="AB49" s="128" t="s">
        <v>4264</v>
      </c>
      <c r="AC49" s="128" t="s">
        <v>4265</v>
      </c>
      <c r="AD49" s="128" t="s">
        <v>4266</v>
      </c>
      <c r="AE49" s="128" t="s">
        <v>4267</v>
      </c>
      <c r="AF49" s="128" t="s">
        <v>4268</v>
      </c>
    </row>
    <row r="50" spans="3:32" ht="319" x14ac:dyDescent="0.35">
      <c r="C50" s="128" t="s">
        <v>1390</v>
      </c>
      <c r="E50" s="128" t="s">
        <v>1391</v>
      </c>
      <c r="F50" s="128" t="s">
        <v>4269</v>
      </c>
      <c r="G50" s="128" t="s">
        <v>4270</v>
      </c>
      <c r="H50" s="128" t="s">
        <v>1394</v>
      </c>
      <c r="I50" s="128" t="s">
        <v>4271</v>
      </c>
      <c r="J50" s="128" t="s">
        <v>4272</v>
      </c>
      <c r="K50" s="128" t="s">
        <v>4273</v>
      </c>
      <c r="L50" s="128" t="s">
        <v>4274</v>
      </c>
      <c r="M50" s="128" t="s">
        <v>4275</v>
      </c>
      <c r="N50" s="128" t="s">
        <v>4276</v>
      </c>
      <c r="O50" s="128" t="s">
        <v>4277</v>
      </c>
      <c r="P50" s="128" t="s">
        <v>4278</v>
      </c>
      <c r="Q50" s="128" t="s">
        <v>4279</v>
      </c>
      <c r="R50" s="128" t="s">
        <v>4280</v>
      </c>
      <c r="S50" s="128" t="s">
        <v>4281</v>
      </c>
      <c r="T50" s="128" t="s">
        <v>4282</v>
      </c>
      <c r="U50" s="128" t="s">
        <v>4283</v>
      </c>
      <c r="V50" s="128" t="s">
        <v>4284</v>
      </c>
      <c r="W50" s="128" t="s">
        <v>4285</v>
      </c>
      <c r="X50" s="128" t="s">
        <v>4286</v>
      </c>
      <c r="Y50" s="128" t="s">
        <v>4287</v>
      </c>
      <c r="Z50" s="128" t="s">
        <v>4288</v>
      </c>
      <c r="AA50" s="128" t="s">
        <v>4289</v>
      </c>
      <c r="AB50" s="128" t="s">
        <v>4290</v>
      </c>
      <c r="AC50" s="128" t="s">
        <v>4291</v>
      </c>
      <c r="AD50" s="128" t="s">
        <v>4292</v>
      </c>
      <c r="AE50" s="128" t="s">
        <v>4293</v>
      </c>
      <c r="AF50" s="128" t="s">
        <v>4294</v>
      </c>
    </row>
    <row r="51" spans="3:32" ht="319" x14ac:dyDescent="0.35">
      <c r="C51" s="128" t="s">
        <v>1419</v>
      </c>
      <c r="E51" s="128" t="s">
        <v>1420</v>
      </c>
      <c r="F51" s="128" t="s">
        <v>4295</v>
      </c>
      <c r="G51" s="128" t="s">
        <v>4296</v>
      </c>
      <c r="H51" s="128" t="s">
        <v>1423</v>
      </c>
      <c r="I51" s="128" t="s">
        <v>4297</v>
      </c>
      <c r="J51" s="128" t="s">
        <v>4298</v>
      </c>
      <c r="K51" s="128" t="s">
        <v>4299</v>
      </c>
      <c r="L51" s="128" t="s">
        <v>4300</v>
      </c>
      <c r="M51" s="128" t="s">
        <v>4301</v>
      </c>
      <c r="N51" s="128" t="s">
        <v>4302</v>
      </c>
      <c r="O51" s="128" t="s">
        <v>4303</v>
      </c>
      <c r="P51" s="128" t="s">
        <v>4304</v>
      </c>
      <c r="Q51" s="128" t="s">
        <v>4305</v>
      </c>
      <c r="R51" s="128" t="s">
        <v>4306</v>
      </c>
      <c r="S51" s="128" t="s">
        <v>4307</v>
      </c>
      <c r="T51" s="128" t="s">
        <v>4308</v>
      </c>
      <c r="U51" s="128" t="s">
        <v>4309</v>
      </c>
      <c r="V51" s="128" t="s">
        <v>4310</v>
      </c>
      <c r="W51" s="128" t="s">
        <v>4311</v>
      </c>
      <c r="X51" s="128" t="s">
        <v>4312</v>
      </c>
      <c r="Y51" s="128" t="s">
        <v>4313</v>
      </c>
      <c r="Z51" s="128" t="s">
        <v>4314</v>
      </c>
      <c r="AA51" s="128" t="s">
        <v>4315</v>
      </c>
      <c r="AB51" s="128" t="s">
        <v>4316</v>
      </c>
      <c r="AC51" s="128" t="s">
        <v>4317</v>
      </c>
      <c r="AD51" s="128" t="s">
        <v>4318</v>
      </c>
      <c r="AE51" s="128" t="s">
        <v>4319</v>
      </c>
      <c r="AF51" s="128" t="s">
        <v>4320</v>
      </c>
    </row>
    <row r="52" spans="3:32" ht="319" x14ac:dyDescent="0.35">
      <c r="C52" s="128" t="s">
        <v>1448</v>
      </c>
      <c r="E52" s="128" t="s">
        <v>1449</v>
      </c>
      <c r="F52" s="128" t="s">
        <v>4321</v>
      </c>
      <c r="G52" s="128" t="s">
        <v>4322</v>
      </c>
      <c r="H52" s="128" t="s">
        <v>1452</v>
      </c>
      <c r="I52" s="128" t="s">
        <v>4323</v>
      </c>
      <c r="J52" s="128" t="s">
        <v>4324</v>
      </c>
      <c r="K52" s="128" t="s">
        <v>4325</v>
      </c>
      <c r="L52" s="128" t="s">
        <v>4326</v>
      </c>
      <c r="M52" s="128" t="s">
        <v>4327</v>
      </c>
      <c r="N52" s="128" t="s">
        <v>4328</v>
      </c>
      <c r="O52" s="128" t="s">
        <v>4329</v>
      </c>
      <c r="P52" s="128" t="s">
        <v>4330</v>
      </c>
      <c r="Q52" s="128" t="s">
        <v>4331</v>
      </c>
      <c r="R52" s="128" t="s">
        <v>4332</v>
      </c>
      <c r="S52" s="128" t="s">
        <v>4333</v>
      </c>
      <c r="T52" s="128" t="s">
        <v>4334</v>
      </c>
      <c r="U52" s="128" t="s">
        <v>4335</v>
      </c>
      <c r="V52" s="128" t="s">
        <v>4336</v>
      </c>
      <c r="W52" s="128" t="s">
        <v>4337</v>
      </c>
      <c r="X52" s="128" t="s">
        <v>4338</v>
      </c>
      <c r="Y52" s="128" t="s">
        <v>4339</v>
      </c>
      <c r="Z52" s="128" t="s">
        <v>4340</v>
      </c>
      <c r="AA52" s="128" t="s">
        <v>4341</v>
      </c>
      <c r="AB52" s="128" t="s">
        <v>4342</v>
      </c>
      <c r="AC52" s="128" t="s">
        <v>4343</v>
      </c>
      <c r="AD52" s="128" t="s">
        <v>4344</v>
      </c>
      <c r="AE52" s="128" t="s">
        <v>4345</v>
      </c>
      <c r="AF52" s="128" t="s">
        <v>4346</v>
      </c>
    </row>
    <row r="53" spans="3:32" ht="319" x14ac:dyDescent="0.35">
      <c r="C53" s="128" t="s">
        <v>1477</v>
      </c>
      <c r="E53" s="128" t="s">
        <v>1478</v>
      </c>
      <c r="F53" s="128" t="s">
        <v>4347</v>
      </c>
      <c r="G53" s="128" t="s">
        <v>4348</v>
      </c>
      <c r="H53" s="128" t="s">
        <v>1481</v>
      </c>
      <c r="I53" s="128" t="s">
        <v>4349</v>
      </c>
      <c r="J53" s="128" t="s">
        <v>4350</v>
      </c>
      <c r="K53" s="128" t="s">
        <v>4351</v>
      </c>
      <c r="L53" s="128" t="s">
        <v>4352</v>
      </c>
      <c r="M53" s="128" t="s">
        <v>4353</v>
      </c>
      <c r="N53" s="128" t="s">
        <v>4354</v>
      </c>
      <c r="O53" s="128" t="s">
        <v>4355</v>
      </c>
      <c r="P53" s="128" t="s">
        <v>4356</v>
      </c>
      <c r="Q53" s="128" t="s">
        <v>4357</v>
      </c>
      <c r="R53" s="128" t="s">
        <v>4358</v>
      </c>
      <c r="S53" s="128" t="s">
        <v>4359</v>
      </c>
      <c r="T53" s="128" t="s">
        <v>4360</v>
      </c>
      <c r="U53" s="128" t="s">
        <v>4361</v>
      </c>
      <c r="V53" s="128" t="s">
        <v>4362</v>
      </c>
      <c r="W53" s="128" t="s">
        <v>4363</v>
      </c>
      <c r="X53" s="128" t="s">
        <v>4364</v>
      </c>
      <c r="Y53" s="128" t="s">
        <v>4365</v>
      </c>
      <c r="Z53" s="128" t="s">
        <v>4366</v>
      </c>
      <c r="AA53" s="128" t="s">
        <v>4367</v>
      </c>
      <c r="AB53" s="128" t="s">
        <v>4368</v>
      </c>
      <c r="AC53" s="128" t="s">
        <v>4369</v>
      </c>
      <c r="AD53" s="128" t="s">
        <v>4370</v>
      </c>
      <c r="AE53" s="128" t="s">
        <v>4371</v>
      </c>
      <c r="AF53" s="128" t="s">
        <v>4372</v>
      </c>
    </row>
    <row r="54" spans="3:32" ht="319" x14ac:dyDescent="0.35">
      <c r="C54" s="128" t="s">
        <v>1506</v>
      </c>
      <c r="E54" s="128" t="s">
        <v>1507</v>
      </c>
      <c r="F54" s="128" t="s">
        <v>4373</v>
      </c>
      <c r="G54" s="128" t="s">
        <v>4374</v>
      </c>
      <c r="H54" s="128" t="s">
        <v>1510</v>
      </c>
      <c r="I54" s="128" t="s">
        <v>4375</v>
      </c>
      <c r="J54" s="128" t="s">
        <v>4376</v>
      </c>
      <c r="K54" s="128" t="s">
        <v>4377</v>
      </c>
      <c r="L54" s="128" t="s">
        <v>4378</v>
      </c>
      <c r="M54" s="128" t="s">
        <v>4379</v>
      </c>
      <c r="N54" s="128" t="s">
        <v>4380</v>
      </c>
      <c r="O54" s="128" t="s">
        <v>4381</v>
      </c>
      <c r="P54" s="128" t="s">
        <v>4382</v>
      </c>
      <c r="Q54" s="128" t="s">
        <v>4383</v>
      </c>
      <c r="R54" s="128" t="s">
        <v>4384</v>
      </c>
      <c r="S54" s="128" t="s">
        <v>4385</v>
      </c>
      <c r="T54" s="128" t="s">
        <v>4386</v>
      </c>
      <c r="U54" s="128" t="s">
        <v>4387</v>
      </c>
      <c r="V54" s="128" t="s">
        <v>4388</v>
      </c>
      <c r="W54" s="128" t="s">
        <v>4389</v>
      </c>
      <c r="X54" s="128" t="s">
        <v>4390</v>
      </c>
      <c r="Y54" s="128" t="s">
        <v>4391</v>
      </c>
      <c r="Z54" s="128" t="s">
        <v>4392</v>
      </c>
      <c r="AA54" s="128" t="s">
        <v>4393</v>
      </c>
      <c r="AB54" s="128" t="s">
        <v>4394</v>
      </c>
      <c r="AC54" s="128" t="s">
        <v>4395</v>
      </c>
      <c r="AD54" s="128" t="s">
        <v>4396</v>
      </c>
      <c r="AE54" s="128" t="s">
        <v>4397</v>
      </c>
      <c r="AF54" s="128" t="s">
        <v>4398</v>
      </c>
    </row>
    <row r="55" spans="3:32" ht="319" x14ac:dyDescent="0.35">
      <c r="C55" s="128" t="s">
        <v>1535</v>
      </c>
      <c r="E55" s="128" t="s">
        <v>1536</v>
      </c>
      <c r="F55" s="128" t="s">
        <v>4399</v>
      </c>
      <c r="G55" s="128" t="s">
        <v>4400</v>
      </c>
      <c r="H55" s="128" t="s">
        <v>1539</v>
      </c>
      <c r="I55" s="128" t="s">
        <v>4401</v>
      </c>
      <c r="J55" s="128" t="s">
        <v>4402</v>
      </c>
      <c r="K55" s="128" t="s">
        <v>4403</v>
      </c>
      <c r="L55" s="128" t="s">
        <v>4404</v>
      </c>
      <c r="M55" s="128" t="s">
        <v>4405</v>
      </c>
      <c r="N55" s="128" t="s">
        <v>4406</v>
      </c>
      <c r="O55" s="128" t="s">
        <v>4407</v>
      </c>
      <c r="P55" s="128" t="s">
        <v>4408</v>
      </c>
      <c r="Q55" s="128" t="s">
        <v>4409</v>
      </c>
      <c r="R55" s="128" t="s">
        <v>4410</v>
      </c>
      <c r="S55" s="128" t="s">
        <v>4411</v>
      </c>
      <c r="T55" s="128" t="s">
        <v>4412</v>
      </c>
      <c r="U55" s="128" t="s">
        <v>4413</v>
      </c>
      <c r="V55" s="128" t="s">
        <v>4414</v>
      </c>
      <c r="W55" s="128" t="s">
        <v>4415</v>
      </c>
      <c r="X55" s="128" t="s">
        <v>4416</v>
      </c>
      <c r="Y55" s="128" t="s">
        <v>4417</v>
      </c>
      <c r="Z55" s="128" t="s">
        <v>4418</v>
      </c>
      <c r="AA55" s="128" t="s">
        <v>4419</v>
      </c>
      <c r="AB55" s="128" t="s">
        <v>4420</v>
      </c>
      <c r="AC55" s="128" t="s">
        <v>4421</v>
      </c>
      <c r="AD55" s="128" t="s">
        <v>4422</v>
      </c>
      <c r="AE55" s="128" t="s">
        <v>4423</v>
      </c>
      <c r="AF55" s="128" t="s">
        <v>4424</v>
      </c>
    </row>
    <row r="56" spans="3:32" ht="319" x14ac:dyDescent="0.35">
      <c r="C56" s="128" t="s">
        <v>1564</v>
      </c>
      <c r="E56" s="128" t="s">
        <v>1565</v>
      </c>
      <c r="F56" s="128" t="s">
        <v>4425</v>
      </c>
      <c r="G56" s="128" t="s">
        <v>4426</v>
      </c>
      <c r="H56" s="128" t="s">
        <v>1568</v>
      </c>
      <c r="I56" s="128" t="s">
        <v>4427</v>
      </c>
      <c r="J56" s="128" t="s">
        <v>4428</v>
      </c>
      <c r="K56" s="128" t="s">
        <v>4429</v>
      </c>
      <c r="L56" s="128" t="s">
        <v>4430</v>
      </c>
      <c r="M56" s="128" t="s">
        <v>4431</v>
      </c>
      <c r="N56" s="128" t="s">
        <v>4432</v>
      </c>
      <c r="O56" s="128" t="s">
        <v>4433</v>
      </c>
      <c r="P56" s="128" t="s">
        <v>4434</v>
      </c>
      <c r="Q56" s="128" t="s">
        <v>4435</v>
      </c>
      <c r="R56" s="128" t="s">
        <v>4436</v>
      </c>
      <c r="S56" s="128" t="s">
        <v>4437</v>
      </c>
      <c r="T56" s="128" t="s">
        <v>4438</v>
      </c>
      <c r="U56" s="128" t="s">
        <v>4439</v>
      </c>
      <c r="V56" s="128" t="s">
        <v>4440</v>
      </c>
      <c r="W56" s="128" t="s">
        <v>4441</v>
      </c>
      <c r="X56" s="128" t="s">
        <v>4442</v>
      </c>
      <c r="Y56" s="128" t="s">
        <v>4443</v>
      </c>
      <c r="Z56" s="128" t="s">
        <v>4444</v>
      </c>
      <c r="AA56" s="128" t="s">
        <v>4445</v>
      </c>
      <c r="AB56" s="128" t="s">
        <v>4446</v>
      </c>
      <c r="AC56" s="128" t="s">
        <v>4447</v>
      </c>
      <c r="AD56" s="128" t="s">
        <v>4448</v>
      </c>
      <c r="AE56" s="128" t="s">
        <v>4449</v>
      </c>
      <c r="AF56" s="128" t="s">
        <v>4450</v>
      </c>
    </row>
    <row r="57" spans="3:32" ht="319" x14ac:dyDescent="0.35">
      <c r="C57" s="128" t="s">
        <v>1593</v>
      </c>
      <c r="E57" s="128" t="s">
        <v>1594</v>
      </c>
      <c r="F57" s="128" t="s">
        <v>4451</v>
      </c>
      <c r="G57" s="128" t="s">
        <v>4452</v>
      </c>
      <c r="H57" s="128" t="s">
        <v>1597</v>
      </c>
      <c r="I57" s="128" t="s">
        <v>4453</v>
      </c>
      <c r="J57" s="128" t="s">
        <v>4454</v>
      </c>
      <c r="K57" s="128" t="s">
        <v>4455</v>
      </c>
      <c r="L57" s="128" t="s">
        <v>4456</v>
      </c>
      <c r="M57" s="128" t="s">
        <v>4457</v>
      </c>
      <c r="N57" s="128" t="s">
        <v>4458</v>
      </c>
      <c r="O57" s="128" t="s">
        <v>4459</v>
      </c>
      <c r="P57" s="128" t="s">
        <v>4460</v>
      </c>
      <c r="Q57" s="128" t="s">
        <v>4461</v>
      </c>
      <c r="R57" s="128" t="s">
        <v>4462</v>
      </c>
      <c r="S57" s="128" t="s">
        <v>4463</v>
      </c>
      <c r="T57" s="128" t="s">
        <v>4464</v>
      </c>
      <c r="U57" s="128" t="s">
        <v>4465</v>
      </c>
      <c r="V57" s="128" t="s">
        <v>4466</v>
      </c>
      <c r="W57" s="128" t="s">
        <v>4467</v>
      </c>
      <c r="X57" s="128" t="s">
        <v>4468</v>
      </c>
      <c r="Y57" s="128" t="s">
        <v>4469</v>
      </c>
      <c r="Z57" s="128" t="s">
        <v>4470</v>
      </c>
      <c r="AA57" s="128" t="s">
        <v>4471</v>
      </c>
      <c r="AB57" s="128" t="s">
        <v>4472</v>
      </c>
      <c r="AC57" s="128" t="s">
        <v>4473</v>
      </c>
      <c r="AD57" s="128" t="s">
        <v>4474</v>
      </c>
      <c r="AE57" s="128" t="s">
        <v>4475</v>
      </c>
      <c r="AF57" s="128" t="s">
        <v>4476</v>
      </c>
    </row>
    <row r="58" spans="3:32" ht="319" x14ac:dyDescent="0.35">
      <c r="C58" s="128" t="s">
        <v>1622</v>
      </c>
      <c r="E58" s="128" t="s">
        <v>1623</v>
      </c>
      <c r="F58" s="128" t="s">
        <v>4477</v>
      </c>
      <c r="G58" s="128" t="s">
        <v>4478</v>
      </c>
      <c r="H58" s="128" t="s">
        <v>1626</v>
      </c>
      <c r="I58" s="128" t="s">
        <v>4479</v>
      </c>
      <c r="J58" s="128" t="s">
        <v>4480</v>
      </c>
      <c r="K58" s="128" t="s">
        <v>4481</v>
      </c>
      <c r="L58" s="128" t="s">
        <v>4482</v>
      </c>
      <c r="M58" s="128" t="s">
        <v>4483</v>
      </c>
      <c r="N58" s="128" t="s">
        <v>4484</v>
      </c>
      <c r="O58" s="128" t="s">
        <v>4485</v>
      </c>
      <c r="P58" s="128" t="s">
        <v>4486</v>
      </c>
      <c r="Q58" s="128" t="s">
        <v>4487</v>
      </c>
      <c r="R58" s="128" t="s">
        <v>4488</v>
      </c>
      <c r="S58" s="128" t="s">
        <v>4489</v>
      </c>
      <c r="T58" s="128" t="s">
        <v>4490</v>
      </c>
      <c r="U58" s="128" t="s">
        <v>4491</v>
      </c>
      <c r="V58" s="128" t="s">
        <v>4492</v>
      </c>
      <c r="W58" s="128" t="s">
        <v>4493</v>
      </c>
      <c r="X58" s="128" t="s">
        <v>4494</v>
      </c>
      <c r="Y58" s="128" t="s">
        <v>4495</v>
      </c>
      <c r="Z58" s="128" t="s">
        <v>4496</v>
      </c>
      <c r="AA58" s="128" t="s">
        <v>4497</v>
      </c>
      <c r="AB58" s="128" t="s">
        <v>4498</v>
      </c>
      <c r="AC58" s="128" t="s">
        <v>4499</v>
      </c>
      <c r="AD58" s="128" t="s">
        <v>4500</v>
      </c>
      <c r="AE58" s="128" t="s">
        <v>4501</v>
      </c>
      <c r="AF58" s="128" t="s">
        <v>4502</v>
      </c>
    </row>
    <row r="59" spans="3:32" ht="319" x14ac:dyDescent="0.35">
      <c r="C59" s="128" t="s">
        <v>1651</v>
      </c>
      <c r="E59" s="128" t="s">
        <v>1652</v>
      </c>
      <c r="F59" s="128" t="s">
        <v>4503</v>
      </c>
      <c r="G59" s="128" t="s">
        <v>4504</v>
      </c>
      <c r="H59" s="128" t="s">
        <v>1655</v>
      </c>
      <c r="I59" s="128" t="s">
        <v>4505</v>
      </c>
      <c r="J59" s="128" t="s">
        <v>4506</v>
      </c>
      <c r="K59" s="128" t="s">
        <v>4507</v>
      </c>
      <c r="L59" s="128" t="s">
        <v>4508</v>
      </c>
      <c r="M59" s="128" t="s">
        <v>4509</v>
      </c>
      <c r="N59" s="128" t="s">
        <v>4510</v>
      </c>
      <c r="O59" s="128" t="s">
        <v>4511</v>
      </c>
      <c r="P59" s="128" t="s">
        <v>4512</v>
      </c>
      <c r="Q59" s="128" t="s">
        <v>4513</v>
      </c>
      <c r="R59" s="128" t="s">
        <v>4514</v>
      </c>
      <c r="S59" s="128" t="s">
        <v>4515</v>
      </c>
      <c r="T59" s="128" t="s">
        <v>4516</v>
      </c>
      <c r="U59" s="128" t="s">
        <v>4517</v>
      </c>
      <c r="V59" s="128" t="s">
        <v>4518</v>
      </c>
      <c r="W59" s="128" t="s">
        <v>4519</v>
      </c>
      <c r="X59" s="128" t="s">
        <v>4520</v>
      </c>
      <c r="Y59" s="128" t="s">
        <v>4521</v>
      </c>
      <c r="Z59" s="128" t="s">
        <v>4522</v>
      </c>
      <c r="AA59" s="128" t="s">
        <v>4523</v>
      </c>
      <c r="AB59" s="128" t="s">
        <v>4524</v>
      </c>
      <c r="AC59" s="128" t="s">
        <v>4525</v>
      </c>
      <c r="AD59" s="128" t="s">
        <v>4526</v>
      </c>
      <c r="AE59" s="128" t="s">
        <v>4527</v>
      </c>
      <c r="AF59" s="128" t="s">
        <v>4528</v>
      </c>
    </row>
    <row r="60" spans="3:32" ht="319" x14ac:dyDescent="0.35">
      <c r="C60" s="128" t="s">
        <v>1680</v>
      </c>
      <c r="E60" s="128" t="s">
        <v>1681</v>
      </c>
      <c r="F60" s="128" t="s">
        <v>4529</v>
      </c>
      <c r="G60" s="128" t="s">
        <v>4530</v>
      </c>
      <c r="H60" s="128" t="s">
        <v>1684</v>
      </c>
      <c r="I60" s="128" t="s">
        <v>4531</v>
      </c>
      <c r="J60" s="128" t="s">
        <v>4532</v>
      </c>
      <c r="K60" s="128" t="s">
        <v>4533</v>
      </c>
      <c r="L60" s="128" t="s">
        <v>4534</v>
      </c>
      <c r="M60" s="128" t="s">
        <v>4535</v>
      </c>
      <c r="N60" s="128" t="s">
        <v>4536</v>
      </c>
      <c r="O60" s="128" t="s">
        <v>4537</v>
      </c>
      <c r="P60" s="128" t="s">
        <v>4538</v>
      </c>
      <c r="Q60" s="128" t="s">
        <v>4539</v>
      </c>
      <c r="R60" s="128" t="s">
        <v>4540</v>
      </c>
      <c r="S60" s="128" t="s">
        <v>4541</v>
      </c>
      <c r="T60" s="128" t="s">
        <v>4542</v>
      </c>
      <c r="U60" s="128" t="s">
        <v>4543</v>
      </c>
      <c r="V60" s="128" t="s">
        <v>4544</v>
      </c>
      <c r="W60" s="128" t="s">
        <v>4545</v>
      </c>
      <c r="X60" s="128" t="s">
        <v>4546</v>
      </c>
      <c r="Y60" s="128" t="s">
        <v>4547</v>
      </c>
      <c r="Z60" s="128" t="s">
        <v>4548</v>
      </c>
      <c r="AA60" s="128" t="s">
        <v>4549</v>
      </c>
      <c r="AB60" s="128" t="s">
        <v>4550</v>
      </c>
      <c r="AC60" s="128" t="s">
        <v>4551</v>
      </c>
      <c r="AD60" s="128" t="s">
        <v>4552</v>
      </c>
      <c r="AE60" s="128" t="s">
        <v>4553</v>
      </c>
      <c r="AF60" s="128" t="s">
        <v>4554</v>
      </c>
    </row>
    <row r="61" spans="3:32" ht="319" x14ac:dyDescent="0.35">
      <c r="C61" s="128" t="s">
        <v>1709</v>
      </c>
      <c r="E61" s="128" t="s">
        <v>1710</v>
      </c>
      <c r="F61" s="128" t="s">
        <v>4555</v>
      </c>
      <c r="G61" s="128" t="s">
        <v>4556</v>
      </c>
      <c r="H61" s="128" t="s">
        <v>1713</v>
      </c>
      <c r="I61" s="128" t="s">
        <v>4557</v>
      </c>
      <c r="J61" s="128" t="s">
        <v>4558</v>
      </c>
      <c r="K61" s="128" t="s">
        <v>4559</v>
      </c>
      <c r="L61" s="128" t="s">
        <v>4560</v>
      </c>
      <c r="M61" s="128" t="s">
        <v>4561</v>
      </c>
      <c r="N61" s="128" t="s">
        <v>4562</v>
      </c>
      <c r="O61" s="128" t="s">
        <v>4563</v>
      </c>
      <c r="P61" s="128" t="s">
        <v>4564</v>
      </c>
      <c r="Q61" s="128" t="s">
        <v>4565</v>
      </c>
      <c r="R61" s="128" t="s">
        <v>4566</v>
      </c>
      <c r="S61" s="128" t="s">
        <v>4567</v>
      </c>
      <c r="T61" s="128" t="s">
        <v>4568</v>
      </c>
      <c r="U61" s="128" t="s">
        <v>4569</v>
      </c>
      <c r="V61" s="128" t="s">
        <v>4570</v>
      </c>
      <c r="W61" s="128" t="s">
        <v>4571</v>
      </c>
      <c r="X61" s="128" t="s">
        <v>4572</v>
      </c>
      <c r="Y61" s="128" t="s">
        <v>4573</v>
      </c>
      <c r="Z61" s="128" t="s">
        <v>4574</v>
      </c>
      <c r="AA61" s="128" t="s">
        <v>4575</v>
      </c>
      <c r="AB61" s="128" t="s">
        <v>4576</v>
      </c>
      <c r="AC61" s="128" t="s">
        <v>4577</v>
      </c>
      <c r="AD61" s="128" t="s">
        <v>4578</v>
      </c>
      <c r="AE61" s="128" t="s">
        <v>4579</v>
      </c>
      <c r="AF61" s="128" t="s">
        <v>4580</v>
      </c>
    </row>
    <row r="62" spans="3:32" ht="319" x14ac:dyDescent="0.35">
      <c r="C62" s="128" t="s">
        <v>1738</v>
      </c>
      <c r="E62" s="128" t="s">
        <v>1739</v>
      </c>
      <c r="F62" s="128" t="s">
        <v>4581</v>
      </c>
      <c r="G62" s="128" t="s">
        <v>4582</v>
      </c>
      <c r="H62" s="128" t="s">
        <v>1742</v>
      </c>
      <c r="I62" s="128" t="s">
        <v>4583</v>
      </c>
      <c r="J62" s="128" t="s">
        <v>4584</v>
      </c>
      <c r="K62" s="128" t="s">
        <v>4585</v>
      </c>
      <c r="L62" s="128" t="s">
        <v>4586</v>
      </c>
      <c r="M62" s="128" t="s">
        <v>4587</v>
      </c>
      <c r="N62" s="128" t="s">
        <v>4588</v>
      </c>
      <c r="O62" s="128" t="s">
        <v>4589</v>
      </c>
      <c r="P62" s="128" t="s">
        <v>4590</v>
      </c>
      <c r="Q62" s="128" t="s">
        <v>4591</v>
      </c>
      <c r="R62" s="128" t="s">
        <v>4592</v>
      </c>
      <c r="S62" s="128" t="s">
        <v>4593</v>
      </c>
      <c r="T62" s="128" t="s">
        <v>4594</v>
      </c>
      <c r="U62" s="128" t="s">
        <v>4595</v>
      </c>
      <c r="V62" s="128" t="s">
        <v>4596</v>
      </c>
      <c r="W62" s="128" t="s">
        <v>4597</v>
      </c>
      <c r="X62" s="128" t="s">
        <v>4598</v>
      </c>
      <c r="Y62" s="128" t="s">
        <v>4599</v>
      </c>
      <c r="Z62" s="128" t="s">
        <v>4600</v>
      </c>
      <c r="AA62" s="128" t="s">
        <v>4601</v>
      </c>
      <c r="AB62" s="128" t="s">
        <v>4602</v>
      </c>
      <c r="AC62" s="128" t="s">
        <v>4603</v>
      </c>
      <c r="AD62" s="128" t="s">
        <v>4604</v>
      </c>
      <c r="AE62" s="128" t="s">
        <v>4605</v>
      </c>
      <c r="AF62" s="128" t="s">
        <v>4606</v>
      </c>
    </row>
    <row r="63" spans="3:32" ht="319" x14ac:dyDescent="0.35">
      <c r="C63" s="128" t="s">
        <v>1767</v>
      </c>
      <c r="E63" s="128" t="s">
        <v>1768</v>
      </c>
      <c r="F63" s="128" t="s">
        <v>4607</v>
      </c>
      <c r="G63" s="128" t="s">
        <v>4608</v>
      </c>
      <c r="H63" s="128" t="s">
        <v>1771</v>
      </c>
      <c r="I63" s="128" t="s">
        <v>4609</v>
      </c>
      <c r="J63" s="128" t="s">
        <v>4610</v>
      </c>
      <c r="K63" s="128" t="s">
        <v>4611</v>
      </c>
      <c r="L63" s="128" t="s">
        <v>4612</v>
      </c>
      <c r="M63" s="128" t="s">
        <v>4613</v>
      </c>
      <c r="N63" s="128" t="s">
        <v>4614</v>
      </c>
      <c r="O63" s="128" t="s">
        <v>4615</v>
      </c>
      <c r="P63" s="128" t="s">
        <v>4616</v>
      </c>
      <c r="Q63" s="128" t="s">
        <v>4617</v>
      </c>
      <c r="R63" s="128" t="s">
        <v>4618</v>
      </c>
      <c r="S63" s="128" t="s">
        <v>4619</v>
      </c>
      <c r="T63" s="128" t="s">
        <v>4620</v>
      </c>
      <c r="U63" s="128" t="s">
        <v>4621</v>
      </c>
      <c r="V63" s="128" t="s">
        <v>4622</v>
      </c>
      <c r="W63" s="128" t="s">
        <v>4623</v>
      </c>
      <c r="X63" s="128" t="s">
        <v>4624</v>
      </c>
      <c r="Y63" s="128" t="s">
        <v>4625</v>
      </c>
      <c r="Z63" s="128" t="s">
        <v>4626</v>
      </c>
      <c r="AA63" s="128" t="s">
        <v>4627</v>
      </c>
      <c r="AB63" s="128" t="s">
        <v>4628</v>
      </c>
      <c r="AC63" s="128" t="s">
        <v>4629</v>
      </c>
      <c r="AD63" s="128" t="s">
        <v>4630</v>
      </c>
      <c r="AE63" s="128" t="s">
        <v>4631</v>
      </c>
      <c r="AF63" s="128" t="s">
        <v>4632</v>
      </c>
    </row>
    <row r="64" spans="3:32" ht="319" x14ac:dyDescent="0.35">
      <c r="C64" s="128" t="s">
        <v>1796</v>
      </c>
      <c r="E64" s="128" t="s">
        <v>1797</v>
      </c>
      <c r="F64" s="128" t="s">
        <v>4633</v>
      </c>
      <c r="G64" s="128" t="s">
        <v>4634</v>
      </c>
      <c r="H64" s="128" t="s">
        <v>1800</v>
      </c>
      <c r="I64" s="128" t="s">
        <v>4635</v>
      </c>
      <c r="J64" s="128" t="s">
        <v>4636</v>
      </c>
      <c r="K64" s="128" t="s">
        <v>4637</v>
      </c>
      <c r="L64" s="128" t="s">
        <v>4638</v>
      </c>
      <c r="M64" s="128" t="s">
        <v>4639</v>
      </c>
      <c r="N64" s="128" t="s">
        <v>4640</v>
      </c>
      <c r="O64" s="128" t="s">
        <v>4641</v>
      </c>
      <c r="P64" s="128" t="s">
        <v>4642</v>
      </c>
      <c r="Q64" s="128" t="s">
        <v>4643</v>
      </c>
      <c r="R64" s="128" t="s">
        <v>4644</v>
      </c>
      <c r="S64" s="128" t="s">
        <v>4645</v>
      </c>
      <c r="T64" s="128" t="s">
        <v>4646</v>
      </c>
      <c r="U64" s="128" t="s">
        <v>4647</v>
      </c>
      <c r="V64" s="128" t="s">
        <v>4648</v>
      </c>
      <c r="W64" s="128" t="s">
        <v>4649</v>
      </c>
      <c r="X64" s="128" t="s">
        <v>4650</v>
      </c>
      <c r="Y64" s="128" t="s">
        <v>4651</v>
      </c>
      <c r="Z64" s="128" t="s">
        <v>4652</v>
      </c>
      <c r="AA64" s="128" t="s">
        <v>4653</v>
      </c>
      <c r="AB64" s="128" t="s">
        <v>4654</v>
      </c>
      <c r="AC64" s="128" t="s">
        <v>4655</v>
      </c>
      <c r="AD64" s="128" t="s">
        <v>4656</v>
      </c>
      <c r="AE64" s="128" t="s">
        <v>4657</v>
      </c>
      <c r="AF64" s="128" t="s">
        <v>4658</v>
      </c>
    </row>
    <row r="65" spans="3:32" ht="319" x14ac:dyDescent="0.35">
      <c r="C65" s="128" t="s">
        <v>1825</v>
      </c>
      <c r="E65" s="128" t="s">
        <v>1826</v>
      </c>
      <c r="F65" s="128" t="s">
        <v>4659</v>
      </c>
      <c r="G65" s="128" t="s">
        <v>4660</v>
      </c>
      <c r="H65" s="128" t="s">
        <v>1829</v>
      </c>
      <c r="I65" s="128" t="s">
        <v>4661</v>
      </c>
      <c r="J65" s="128" t="s">
        <v>4662</v>
      </c>
      <c r="K65" s="128" t="s">
        <v>4663</v>
      </c>
      <c r="L65" s="128" t="s">
        <v>4664</v>
      </c>
      <c r="M65" s="128" t="s">
        <v>4665</v>
      </c>
      <c r="N65" s="128" t="s">
        <v>4666</v>
      </c>
      <c r="O65" s="128" t="s">
        <v>4667</v>
      </c>
      <c r="P65" s="128" t="s">
        <v>4668</v>
      </c>
      <c r="Q65" s="128" t="s">
        <v>4669</v>
      </c>
      <c r="R65" s="128" t="s">
        <v>4670</v>
      </c>
      <c r="S65" s="128" t="s">
        <v>4671</v>
      </c>
      <c r="T65" s="128" t="s">
        <v>4672</v>
      </c>
      <c r="U65" s="128" t="s">
        <v>4673</v>
      </c>
      <c r="V65" s="128" t="s">
        <v>4674</v>
      </c>
      <c r="W65" s="128" t="s">
        <v>4675</v>
      </c>
      <c r="X65" s="128" t="s">
        <v>4676</v>
      </c>
      <c r="Y65" s="128" t="s">
        <v>4677</v>
      </c>
      <c r="Z65" s="128" t="s">
        <v>4678</v>
      </c>
      <c r="AA65" s="128" t="s">
        <v>4679</v>
      </c>
      <c r="AB65" s="128" t="s">
        <v>4680</v>
      </c>
      <c r="AC65" s="128" t="s">
        <v>4681</v>
      </c>
      <c r="AD65" s="128" t="s">
        <v>4682</v>
      </c>
      <c r="AE65" s="128" t="s">
        <v>4683</v>
      </c>
      <c r="AF65" s="128" t="s">
        <v>4684</v>
      </c>
    </row>
    <row r="66" spans="3:32" ht="319" x14ac:dyDescent="0.35">
      <c r="C66" s="128" t="s">
        <v>1854</v>
      </c>
      <c r="E66" s="128" t="s">
        <v>1855</v>
      </c>
      <c r="F66" s="128" t="s">
        <v>4685</v>
      </c>
      <c r="G66" s="128" t="s">
        <v>4686</v>
      </c>
      <c r="H66" s="128" t="s">
        <v>1858</v>
      </c>
      <c r="I66" s="128" t="s">
        <v>4687</v>
      </c>
      <c r="J66" s="128" t="s">
        <v>4688</v>
      </c>
      <c r="K66" s="128" t="s">
        <v>4689</v>
      </c>
      <c r="L66" s="128" t="s">
        <v>4690</v>
      </c>
      <c r="M66" s="128" t="s">
        <v>4691</v>
      </c>
      <c r="N66" s="128" t="s">
        <v>4692</v>
      </c>
      <c r="O66" s="128" t="s">
        <v>4693</v>
      </c>
      <c r="P66" s="128" t="s">
        <v>4694</v>
      </c>
      <c r="Q66" s="128" t="s">
        <v>4695</v>
      </c>
      <c r="R66" s="128" t="s">
        <v>4696</v>
      </c>
      <c r="S66" s="128" t="s">
        <v>4697</v>
      </c>
      <c r="T66" s="128" t="s">
        <v>4698</v>
      </c>
      <c r="U66" s="128" t="s">
        <v>4699</v>
      </c>
      <c r="V66" s="128" t="s">
        <v>4700</v>
      </c>
      <c r="W66" s="128" t="s">
        <v>4701</v>
      </c>
      <c r="X66" s="128" t="s">
        <v>4702</v>
      </c>
      <c r="Y66" s="128" t="s">
        <v>4703</v>
      </c>
      <c r="Z66" s="128" t="s">
        <v>4704</v>
      </c>
      <c r="AA66" s="128" t="s">
        <v>4705</v>
      </c>
      <c r="AB66" s="128" t="s">
        <v>4706</v>
      </c>
      <c r="AC66" s="128" t="s">
        <v>4707</v>
      </c>
      <c r="AD66" s="128" t="s">
        <v>4708</v>
      </c>
      <c r="AE66" s="128" t="s">
        <v>4709</v>
      </c>
      <c r="AF66" s="128" t="s">
        <v>4710</v>
      </c>
    </row>
    <row r="67" spans="3:32" ht="319" x14ac:dyDescent="0.35">
      <c r="C67" s="128" t="s">
        <v>1883</v>
      </c>
      <c r="E67" s="128" t="s">
        <v>1884</v>
      </c>
      <c r="F67" s="128" t="s">
        <v>4711</v>
      </c>
      <c r="G67" s="128" t="s">
        <v>4712</v>
      </c>
      <c r="H67" s="128" t="s">
        <v>1887</v>
      </c>
      <c r="I67" s="128" t="s">
        <v>4713</v>
      </c>
      <c r="J67" s="128" t="s">
        <v>4714</v>
      </c>
      <c r="K67" s="128" t="s">
        <v>4715</v>
      </c>
      <c r="L67" s="128" t="s">
        <v>4716</v>
      </c>
      <c r="M67" s="128" t="s">
        <v>4717</v>
      </c>
      <c r="N67" s="128" t="s">
        <v>4718</v>
      </c>
      <c r="O67" s="128" t="s">
        <v>4719</v>
      </c>
      <c r="P67" s="128" t="s">
        <v>4720</v>
      </c>
      <c r="Q67" s="128" t="s">
        <v>4721</v>
      </c>
      <c r="R67" s="128" t="s">
        <v>4722</v>
      </c>
      <c r="S67" s="128" t="s">
        <v>4723</v>
      </c>
      <c r="T67" s="128" t="s">
        <v>4724</v>
      </c>
      <c r="U67" s="128" t="s">
        <v>4725</v>
      </c>
      <c r="V67" s="128" t="s">
        <v>4726</v>
      </c>
      <c r="W67" s="128" t="s">
        <v>4727</v>
      </c>
      <c r="X67" s="128" t="s">
        <v>4728</v>
      </c>
      <c r="Y67" s="128" t="s">
        <v>4729</v>
      </c>
      <c r="Z67" s="128" t="s">
        <v>4730</v>
      </c>
      <c r="AA67" s="128" t="s">
        <v>4731</v>
      </c>
      <c r="AB67" s="128" t="s">
        <v>4732</v>
      </c>
      <c r="AC67" s="128" t="s">
        <v>4733</v>
      </c>
      <c r="AD67" s="128" t="s">
        <v>4734</v>
      </c>
      <c r="AE67" s="128" t="s">
        <v>4735</v>
      </c>
      <c r="AF67" s="128" t="s">
        <v>4736</v>
      </c>
    </row>
    <row r="68" spans="3:32" ht="319" x14ac:dyDescent="0.35">
      <c r="C68" s="128" t="s">
        <v>1912</v>
      </c>
      <c r="E68" s="128" t="s">
        <v>1913</v>
      </c>
      <c r="F68" s="128" t="s">
        <v>4737</v>
      </c>
      <c r="G68" s="128" t="s">
        <v>4738</v>
      </c>
      <c r="H68" s="128" t="s">
        <v>1916</v>
      </c>
      <c r="I68" s="128" t="s">
        <v>4739</v>
      </c>
      <c r="J68" s="128" t="s">
        <v>4740</v>
      </c>
      <c r="K68" s="128" t="s">
        <v>4741</v>
      </c>
      <c r="L68" s="128" t="s">
        <v>4742</v>
      </c>
      <c r="M68" s="128" t="s">
        <v>4743</v>
      </c>
      <c r="N68" s="128" t="s">
        <v>4744</v>
      </c>
      <c r="O68" s="128" t="s">
        <v>4745</v>
      </c>
      <c r="P68" s="128" t="s">
        <v>4746</v>
      </c>
      <c r="Q68" s="128" t="s">
        <v>4747</v>
      </c>
      <c r="R68" s="128" t="s">
        <v>4748</v>
      </c>
      <c r="S68" s="128" t="s">
        <v>4749</v>
      </c>
      <c r="T68" s="128" t="s">
        <v>4750</v>
      </c>
      <c r="U68" s="128" t="s">
        <v>4751</v>
      </c>
      <c r="V68" s="128" t="s">
        <v>4752</v>
      </c>
      <c r="W68" s="128" t="s">
        <v>4753</v>
      </c>
      <c r="X68" s="128" t="s">
        <v>4754</v>
      </c>
      <c r="Y68" s="128" t="s">
        <v>4755</v>
      </c>
      <c r="Z68" s="128" t="s">
        <v>4756</v>
      </c>
      <c r="AA68" s="128" t="s">
        <v>4757</v>
      </c>
      <c r="AB68" s="128" t="s">
        <v>4758</v>
      </c>
      <c r="AC68" s="128" t="s">
        <v>4759</v>
      </c>
      <c r="AD68" s="128" t="s">
        <v>4760</v>
      </c>
      <c r="AE68" s="128" t="s">
        <v>4761</v>
      </c>
      <c r="AF68" s="128" t="s">
        <v>4762</v>
      </c>
    </row>
    <row r="69" spans="3:32" ht="319" x14ac:dyDescent="0.35">
      <c r="C69" s="128" t="s">
        <v>1941</v>
      </c>
      <c r="E69" s="128" t="s">
        <v>1942</v>
      </c>
      <c r="F69" s="128" t="s">
        <v>4763</v>
      </c>
      <c r="G69" s="128" t="s">
        <v>4764</v>
      </c>
      <c r="H69" s="128" t="s">
        <v>1945</v>
      </c>
      <c r="I69" s="128" t="s">
        <v>4765</v>
      </c>
      <c r="J69" s="128" t="s">
        <v>4766</v>
      </c>
      <c r="K69" s="128" t="s">
        <v>4767</v>
      </c>
      <c r="L69" s="128" t="s">
        <v>4768</v>
      </c>
      <c r="M69" s="128" t="s">
        <v>4769</v>
      </c>
      <c r="N69" s="128" t="s">
        <v>4770</v>
      </c>
      <c r="O69" s="128" t="s">
        <v>4771</v>
      </c>
      <c r="P69" s="128" t="s">
        <v>4772</v>
      </c>
      <c r="Q69" s="128" t="s">
        <v>4773</v>
      </c>
      <c r="R69" s="128" t="s">
        <v>4774</v>
      </c>
      <c r="S69" s="128" t="s">
        <v>4775</v>
      </c>
      <c r="T69" s="128" t="s">
        <v>4776</v>
      </c>
      <c r="U69" s="128" t="s">
        <v>4777</v>
      </c>
      <c r="V69" s="128" t="s">
        <v>4778</v>
      </c>
      <c r="W69" s="128" t="s">
        <v>4779</v>
      </c>
      <c r="X69" s="128" t="s">
        <v>4780</v>
      </c>
      <c r="Y69" s="128" t="s">
        <v>4781</v>
      </c>
      <c r="Z69" s="128" t="s">
        <v>4782</v>
      </c>
      <c r="AA69" s="128" t="s">
        <v>4783</v>
      </c>
      <c r="AB69" s="128" t="s">
        <v>4784</v>
      </c>
      <c r="AC69" s="128" t="s">
        <v>4785</v>
      </c>
      <c r="AD69" s="128" t="s">
        <v>4786</v>
      </c>
      <c r="AE69" s="128" t="s">
        <v>4787</v>
      </c>
      <c r="AF69" s="128" t="s">
        <v>4788</v>
      </c>
    </row>
    <row r="70" spans="3:32" ht="319" x14ac:dyDescent="0.35">
      <c r="C70" s="128" t="s">
        <v>1970</v>
      </c>
      <c r="E70" s="128" t="s">
        <v>1971</v>
      </c>
      <c r="F70" s="128" t="s">
        <v>4789</v>
      </c>
      <c r="G70" s="128" t="s">
        <v>4790</v>
      </c>
      <c r="H70" s="128" t="s">
        <v>1974</v>
      </c>
      <c r="I70" s="128" t="s">
        <v>4791</v>
      </c>
      <c r="J70" s="128" t="s">
        <v>4792</v>
      </c>
      <c r="K70" s="128" t="s">
        <v>4793</v>
      </c>
      <c r="L70" s="128" t="s">
        <v>4794</v>
      </c>
      <c r="M70" s="128" t="s">
        <v>4795</v>
      </c>
      <c r="N70" s="128" t="s">
        <v>4796</v>
      </c>
      <c r="O70" s="128" t="s">
        <v>4797</v>
      </c>
      <c r="P70" s="128" t="s">
        <v>4798</v>
      </c>
      <c r="Q70" s="128" t="s">
        <v>4799</v>
      </c>
      <c r="R70" s="128" t="s">
        <v>4800</v>
      </c>
      <c r="S70" s="128" t="s">
        <v>4801</v>
      </c>
      <c r="T70" s="128" t="s">
        <v>4802</v>
      </c>
      <c r="U70" s="128" t="s">
        <v>4803</v>
      </c>
      <c r="V70" s="128" t="s">
        <v>4804</v>
      </c>
      <c r="W70" s="128" t="s">
        <v>4805</v>
      </c>
      <c r="X70" s="128" t="s">
        <v>4806</v>
      </c>
      <c r="Y70" s="128" t="s">
        <v>4807</v>
      </c>
      <c r="Z70" s="128" t="s">
        <v>4808</v>
      </c>
      <c r="AA70" s="128" t="s">
        <v>4809</v>
      </c>
      <c r="AB70" s="128" t="s">
        <v>4810</v>
      </c>
      <c r="AC70" s="128" t="s">
        <v>4811</v>
      </c>
      <c r="AD70" s="128" t="s">
        <v>4812</v>
      </c>
      <c r="AE70" s="128" t="s">
        <v>4813</v>
      </c>
      <c r="AF70" s="128" t="s">
        <v>4814</v>
      </c>
    </row>
    <row r="71" spans="3:32" ht="319" x14ac:dyDescent="0.35">
      <c r="C71" s="128" t="s">
        <v>1999</v>
      </c>
      <c r="E71" s="128" t="s">
        <v>2000</v>
      </c>
      <c r="F71" s="128" t="s">
        <v>4815</v>
      </c>
      <c r="G71" s="128" t="s">
        <v>4816</v>
      </c>
      <c r="H71" s="128" t="s">
        <v>2003</v>
      </c>
      <c r="I71" s="128" t="s">
        <v>4817</v>
      </c>
      <c r="J71" s="128" t="s">
        <v>4818</v>
      </c>
      <c r="K71" s="128" t="s">
        <v>4819</v>
      </c>
      <c r="L71" s="128" t="s">
        <v>4820</v>
      </c>
      <c r="M71" s="128" t="s">
        <v>4821</v>
      </c>
      <c r="N71" s="128" t="s">
        <v>4822</v>
      </c>
      <c r="O71" s="128" t="s">
        <v>4823</v>
      </c>
      <c r="P71" s="128" t="s">
        <v>4824</v>
      </c>
      <c r="Q71" s="128" t="s">
        <v>4825</v>
      </c>
      <c r="R71" s="128" t="s">
        <v>4826</v>
      </c>
      <c r="S71" s="128" t="s">
        <v>4827</v>
      </c>
      <c r="T71" s="128" t="s">
        <v>4828</v>
      </c>
      <c r="U71" s="128" t="s">
        <v>4829</v>
      </c>
      <c r="V71" s="128" t="s">
        <v>4830</v>
      </c>
      <c r="W71" s="128" t="s">
        <v>4831</v>
      </c>
      <c r="X71" s="128" t="s">
        <v>4832</v>
      </c>
      <c r="Y71" s="128" t="s">
        <v>4833</v>
      </c>
      <c r="Z71" s="128" t="s">
        <v>4834</v>
      </c>
      <c r="AA71" s="128" t="s">
        <v>4835</v>
      </c>
      <c r="AB71" s="128" t="s">
        <v>4836</v>
      </c>
      <c r="AC71" s="128" t="s">
        <v>4837</v>
      </c>
      <c r="AD71" s="128" t="s">
        <v>4838</v>
      </c>
      <c r="AE71" s="128" t="s">
        <v>4839</v>
      </c>
      <c r="AF71" s="128" t="s">
        <v>4840</v>
      </c>
    </row>
    <row r="72" spans="3:32" ht="319" x14ac:dyDescent="0.35">
      <c r="C72" s="128" t="s">
        <v>2028</v>
      </c>
      <c r="E72" s="128" t="s">
        <v>2029</v>
      </c>
      <c r="F72" s="128" t="s">
        <v>4841</v>
      </c>
      <c r="G72" s="128" t="s">
        <v>4842</v>
      </c>
      <c r="H72" s="128" t="s">
        <v>2032</v>
      </c>
      <c r="I72" s="128" t="s">
        <v>4843</v>
      </c>
      <c r="J72" s="128" t="s">
        <v>4844</v>
      </c>
      <c r="K72" s="128" t="s">
        <v>4845</v>
      </c>
      <c r="L72" s="128" t="s">
        <v>4846</v>
      </c>
      <c r="M72" s="128" t="s">
        <v>4847</v>
      </c>
      <c r="N72" s="128" t="s">
        <v>4848</v>
      </c>
      <c r="O72" s="128" t="s">
        <v>4849</v>
      </c>
      <c r="P72" s="128" t="s">
        <v>4850</v>
      </c>
      <c r="Q72" s="128" t="s">
        <v>4851</v>
      </c>
      <c r="R72" s="128" t="s">
        <v>4852</v>
      </c>
      <c r="S72" s="128" t="s">
        <v>4853</v>
      </c>
      <c r="T72" s="128" t="s">
        <v>4854</v>
      </c>
      <c r="U72" s="128" t="s">
        <v>4855</v>
      </c>
      <c r="V72" s="128" t="s">
        <v>4856</v>
      </c>
      <c r="W72" s="128" t="s">
        <v>4857</v>
      </c>
      <c r="X72" s="128" t="s">
        <v>4858</v>
      </c>
      <c r="Y72" s="128" t="s">
        <v>4859</v>
      </c>
      <c r="Z72" s="128" t="s">
        <v>4860</v>
      </c>
      <c r="AA72" s="128" t="s">
        <v>4861</v>
      </c>
      <c r="AB72" s="128" t="s">
        <v>4862</v>
      </c>
      <c r="AC72" s="128" t="s">
        <v>4863</v>
      </c>
      <c r="AD72" s="128" t="s">
        <v>4864</v>
      </c>
      <c r="AE72" s="128" t="s">
        <v>4865</v>
      </c>
      <c r="AF72" s="128" t="s">
        <v>4866</v>
      </c>
    </row>
    <row r="73" spans="3:32" ht="319" x14ac:dyDescent="0.35">
      <c r="C73" s="128" t="s">
        <v>2057</v>
      </c>
      <c r="E73" s="128" t="s">
        <v>2058</v>
      </c>
      <c r="F73" s="128" t="s">
        <v>4867</v>
      </c>
      <c r="G73" s="128" t="s">
        <v>4868</v>
      </c>
      <c r="H73" s="128" t="s">
        <v>2061</v>
      </c>
      <c r="I73" s="128" t="s">
        <v>4869</v>
      </c>
      <c r="J73" s="128" t="s">
        <v>4870</v>
      </c>
      <c r="K73" s="128" t="s">
        <v>4871</v>
      </c>
      <c r="L73" s="128" t="s">
        <v>4872</v>
      </c>
      <c r="M73" s="128" t="s">
        <v>4873</v>
      </c>
      <c r="N73" s="128" t="s">
        <v>4874</v>
      </c>
      <c r="O73" s="128" t="s">
        <v>4875</v>
      </c>
      <c r="P73" s="128" t="s">
        <v>4876</v>
      </c>
      <c r="Q73" s="128" t="s">
        <v>4877</v>
      </c>
      <c r="R73" s="128" t="s">
        <v>4878</v>
      </c>
      <c r="S73" s="128" t="s">
        <v>4879</v>
      </c>
      <c r="T73" s="128" t="s">
        <v>4880</v>
      </c>
      <c r="U73" s="128" t="s">
        <v>4881</v>
      </c>
      <c r="V73" s="128" t="s">
        <v>4882</v>
      </c>
      <c r="W73" s="128" t="s">
        <v>4883</v>
      </c>
      <c r="X73" s="128" t="s">
        <v>4884</v>
      </c>
      <c r="Y73" s="128" t="s">
        <v>4885</v>
      </c>
      <c r="Z73" s="128" t="s">
        <v>4886</v>
      </c>
      <c r="AA73" s="128" t="s">
        <v>4887</v>
      </c>
      <c r="AB73" s="128" t="s">
        <v>4888</v>
      </c>
      <c r="AC73" s="128" t="s">
        <v>4889</v>
      </c>
      <c r="AD73" s="128" t="s">
        <v>4890</v>
      </c>
      <c r="AE73" s="128" t="s">
        <v>4891</v>
      </c>
      <c r="AF73" s="128" t="s">
        <v>4892</v>
      </c>
    </row>
    <row r="74" spans="3:32" ht="319" x14ac:dyDescent="0.35">
      <c r="C74" s="128" t="s">
        <v>2086</v>
      </c>
      <c r="E74" s="128" t="s">
        <v>2087</v>
      </c>
      <c r="F74" s="128" t="s">
        <v>4893</v>
      </c>
      <c r="G74" s="128" t="s">
        <v>4894</v>
      </c>
      <c r="H74" s="128" t="s">
        <v>2090</v>
      </c>
      <c r="I74" s="128" t="s">
        <v>4895</v>
      </c>
      <c r="J74" s="128" t="s">
        <v>4896</v>
      </c>
      <c r="K74" s="128" t="s">
        <v>4897</v>
      </c>
      <c r="L74" s="128" t="s">
        <v>4898</v>
      </c>
      <c r="M74" s="128" t="s">
        <v>4899</v>
      </c>
      <c r="N74" s="128" t="s">
        <v>4900</v>
      </c>
      <c r="O74" s="128" t="s">
        <v>4901</v>
      </c>
      <c r="P74" s="128" t="s">
        <v>4902</v>
      </c>
      <c r="Q74" s="128" t="s">
        <v>4903</v>
      </c>
      <c r="R74" s="128" t="s">
        <v>4904</v>
      </c>
      <c r="S74" s="128" t="s">
        <v>4905</v>
      </c>
      <c r="T74" s="128" t="s">
        <v>4906</v>
      </c>
      <c r="U74" s="128" t="s">
        <v>4907</v>
      </c>
      <c r="V74" s="128" t="s">
        <v>4908</v>
      </c>
      <c r="W74" s="128" t="s">
        <v>4909</v>
      </c>
      <c r="X74" s="128" t="s">
        <v>4910</v>
      </c>
      <c r="Y74" s="128" t="s">
        <v>4911</v>
      </c>
      <c r="Z74" s="128" t="s">
        <v>4912</v>
      </c>
      <c r="AA74" s="128" t="s">
        <v>4913</v>
      </c>
      <c r="AB74" s="128" t="s">
        <v>4914</v>
      </c>
      <c r="AC74" s="128" t="s">
        <v>4915</v>
      </c>
      <c r="AD74" s="128" t="s">
        <v>4916</v>
      </c>
      <c r="AE74" s="128" t="s">
        <v>4917</v>
      </c>
      <c r="AF74" s="128" t="s">
        <v>4918</v>
      </c>
    </row>
    <row r="75" spans="3:32" ht="319" x14ac:dyDescent="0.35">
      <c r="C75" s="128" t="s">
        <v>2115</v>
      </c>
      <c r="E75" s="128" t="s">
        <v>2116</v>
      </c>
      <c r="F75" s="128" t="s">
        <v>4919</v>
      </c>
      <c r="G75" s="128" t="s">
        <v>4920</v>
      </c>
      <c r="H75" s="128" t="s">
        <v>2119</v>
      </c>
      <c r="I75" s="128" t="s">
        <v>4921</v>
      </c>
      <c r="J75" s="128" t="s">
        <v>4922</v>
      </c>
      <c r="K75" s="128" t="s">
        <v>4923</v>
      </c>
      <c r="L75" s="128" t="s">
        <v>4924</v>
      </c>
      <c r="M75" s="128" t="s">
        <v>4925</v>
      </c>
      <c r="N75" s="128" t="s">
        <v>4926</v>
      </c>
      <c r="O75" s="128" t="s">
        <v>4927</v>
      </c>
      <c r="P75" s="128" t="s">
        <v>4928</v>
      </c>
      <c r="Q75" s="128" t="s">
        <v>4929</v>
      </c>
      <c r="R75" s="128" t="s">
        <v>4930</v>
      </c>
      <c r="S75" s="128" t="s">
        <v>4931</v>
      </c>
      <c r="T75" s="128" t="s">
        <v>4932</v>
      </c>
      <c r="U75" s="128" t="s">
        <v>4933</v>
      </c>
      <c r="V75" s="128" t="s">
        <v>4934</v>
      </c>
      <c r="W75" s="128" t="s">
        <v>4935</v>
      </c>
      <c r="X75" s="128" t="s">
        <v>4936</v>
      </c>
      <c r="Y75" s="128" t="s">
        <v>4937</v>
      </c>
      <c r="Z75" s="128" t="s">
        <v>4938</v>
      </c>
      <c r="AA75" s="128" t="s">
        <v>4939</v>
      </c>
      <c r="AB75" s="128" t="s">
        <v>4940</v>
      </c>
      <c r="AC75" s="128" t="s">
        <v>4941</v>
      </c>
      <c r="AD75" s="128" t="s">
        <v>4942</v>
      </c>
      <c r="AE75" s="128" t="s">
        <v>4943</v>
      </c>
      <c r="AF75" s="128" t="s">
        <v>4944</v>
      </c>
    </row>
    <row r="76" spans="3:32" ht="319" x14ac:dyDescent="0.35">
      <c r="C76" s="128" t="s">
        <v>2144</v>
      </c>
      <c r="E76" s="128" t="s">
        <v>2145</v>
      </c>
      <c r="F76" s="128" t="s">
        <v>4945</v>
      </c>
      <c r="G76" s="128" t="s">
        <v>4946</v>
      </c>
      <c r="H76" s="128" t="s">
        <v>2148</v>
      </c>
      <c r="I76" s="128" t="s">
        <v>4947</v>
      </c>
      <c r="J76" s="128" t="s">
        <v>4948</v>
      </c>
      <c r="K76" s="128" t="s">
        <v>4949</v>
      </c>
      <c r="L76" s="128" t="s">
        <v>4950</v>
      </c>
      <c r="M76" s="128" t="s">
        <v>4951</v>
      </c>
      <c r="N76" s="128" t="s">
        <v>4952</v>
      </c>
      <c r="O76" s="128" t="s">
        <v>4953</v>
      </c>
      <c r="P76" s="128" t="s">
        <v>4954</v>
      </c>
      <c r="Q76" s="128" t="s">
        <v>4955</v>
      </c>
      <c r="R76" s="128" t="s">
        <v>4956</v>
      </c>
      <c r="S76" s="128" t="s">
        <v>4957</v>
      </c>
      <c r="T76" s="128" t="s">
        <v>4958</v>
      </c>
      <c r="U76" s="128" t="s">
        <v>4959</v>
      </c>
      <c r="V76" s="128" t="s">
        <v>4960</v>
      </c>
      <c r="W76" s="128" t="s">
        <v>4961</v>
      </c>
      <c r="X76" s="128" t="s">
        <v>4962</v>
      </c>
      <c r="Y76" s="128" t="s">
        <v>4963</v>
      </c>
      <c r="Z76" s="128" t="s">
        <v>4964</v>
      </c>
      <c r="AA76" s="128" t="s">
        <v>4965</v>
      </c>
      <c r="AB76" s="128" t="s">
        <v>4966</v>
      </c>
      <c r="AC76" s="128" t="s">
        <v>4967</v>
      </c>
      <c r="AD76" s="128" t="s">
        <v>4968</v>
      </c>
      <c r="AE76" s="128" t="s">
        <v>4969</v>
      </c>
      <c r="AF76" s="128" t="s">
        <v>4970</v>
      </c>
    </row>
    <row r="77" spans="3:32" ht="319" x14ac:dyDescent="0.35">
      <c r="C77" s="128" t="s">
        <v>2173</v>
      </c>
      <c r="E77" s="128" t="s">
        <v>2174</v>
      </c>
      <c r="F77" s="128" t="s">
        <v>4971</v>
      </c>
      <c r="G77" s="128" t="s">
        <v>4972</v>
      </c>
      <c r="H77" s="128" t="s">
        <v>2177</v>
      </c>
      <c r="I77" s="128" t="s">
        <v>4973</v>
      </c>
      <c r="J77" s="128" t="s">
        <v>4974</v>
      </c>
      <c r="K77" s="128" t="s">
        <v>4975</v>
      </c>
      <c r="L77" s="128" t="s">
        <v>4976</v>
      </c>
      <c r="M77" s="128" t="s">
        <v>4977</v>
      </c>
      <c r="N77" s="128" t="s">
        <v>4978</v>
      </c>
      <c r="O77" s="128" t="s">
        <v>4979</v>
      </c>
      <c r="P77" s="128" t="s">
        <v>4980</v>
      </c>
      <c r="Q77" s="128" t="s">
        <v>4981</v>
      </c>
      <c r="R77" s="128" t="s">
        <v>4982</v>
      </c>
      <c r="S77" s="128" t="s">
        <v>4983</v>
      </c>
      <c r="T77" s="128" t="s">
        <v>4984</v>
      </c>
      <c r="U77" s="128" t="s">
        <v>4985</v>
      </c>
      <c r="V77" s="128" t="s">
        <v>4986</v>
      </c>
      <c r="W77" s="128" t="s">
        <v>4987</v>
      </c>
      <c r="X77" s="128" t="s">
        <v>4988</v>
      </c>
      <c r="Y77" s="128" t="s">
        <v>4989</v>
      </c>
      <c r="Z77" s="128" t="s">
        <v>4990</v>
      </c>
      <c r="AA77" s="128" t="s">
        <v>4991</v>
      </c>
      <c r="AB77" s="128" t="s">
        <v>4992</v>
      </c>
      <c r="AC77" s="128" t="s">
        <v>4993</v>
      </c>
      <c r="AD77" s="128" t="s">
        <v>4994</v>
      </c>
      <c r="AE77" s="128" t="s">
        <v>4995</v>
      </c>
      <c r="AF77" s="128" t="s">
        <v>4996</v>
      </c>
    </row>
    <row r="78" spans="3:32" ht="319" x14ac:dyDescent="0.35">
      <c r="C78" s="128" t="s">
        <v>2202</v>
      </c>
      <c r="E78" s="128" t="s">
        <v>2203</v>
      </c>
      <c r="F78" s="128" t="s">
        <v>4997</v>
      </c>
      <c r="G78" s="128" t="s">
        <v>4998</v>
      </c>
      <c r="H78" s="128" t="s">
        <v>2206</v>
      </c>
      <c r="I78" s="128" t="s">
        <v>4999</v>
      </c>
      <c r="J78" s="128" t="s">
        <v>5000</v>
      </c>
      <c r="K78" s="128" t="s">
        <v>5001</v>
      </c>
      <c r="L78" s="128" t="s">
        <v>5002</v>
      </c>
      <c r="M78" s="128" t="s">
        <v>5003</v>
      </c>
      <c r="N78" s="128" t="s">
        <v>5004</v>
      </c>
      <c r="O78" s="128" t="s">
        <v>5005</v>
      </c>
      <c r="P78" s="128" t="s">
        <v>5006</v>
      </c>
      <c r="Q78" s="128" t="s">
        <v>5007</v>
      </c>
      <c r="R78" s="128" t="s">
        <v>5008</v>
      </c>
      <c r="S78" s="128" t="s">
        <v>5009</v>
      </c>
      <c r="T78" s="128" t="s">
        <v>5010</v>
      </c>
      <c r="U78" s="128" t="s">
        <v>5011</v>
      </c>
      <c r="V78" s="128" t="s">
        <v>5012</v>
      </c>
      <c r="W78" s="128" t="s">
        <v>5013</v>
      </c>
      <c r="X78" s="128" t="s">
        <v>5014</v>
      </c>
      <c r="Y78" s="128" t="s">
        <v>5015</v>
      </c>
      <c r="Z78" s="128" t="s">
        <v>5016</v>
      </c>
      <c r="AA78" s="128" t="s">
        <v>5017</v>
      </c>
      <c r="AB78" s="128" t="s">
        <v>5018</v>
      </c>
      <c r="AC78" s="128" t="s">
        <v>5019</v>
      </c>
      <c r="AD78" s="128" t="s">
        <v>5020</v>
      </c>
      <c r="AE78" s="128" t="s">
        <v>5021</v>
      </c>
      <c r="AF78" s="128" t="s">
        <v>5022</v>
      </c>
    </row>
    <row r="79" spans="3:32" ht="319" x14ac:dyDescent="0.35">
      <c r="C79" s="128" t="s">
        <v>2231</v>
      </c>
      <c r="E79" s="128" t="s">
        <v>2232</v>
      </c>
      <c r="F79" s="128" t="s">
        <v>5023</v>
      </c>
      <c r="G79" s="128" t="s">
        <v>5024</v>
      </c>
      <c r="H79" s="128" t="s">
        <v>2235</v>
      </c>
      <c r="I79" s="128" t="s">
        <v>5025</v>
      </c>
      <c r="J79" s="128" t="s">
        <v>5026</v>
      </c>
      <c r="K79" s="128" t="s">
        <v>5027</v>
      </c>
      <c r="L79" s="128" t="s">
        <v>5028</v>
      </c>
      <c r="M79" s="128" t="s">
        <v>5029</v>
      </c>
      <c r="N79" s="128" t="s">
        <v>5030</v>
      </c>
      <c r="O79" s="128" t="s">
        <v>5031</v>
      </c>
      <c r="P79" s="128" t="s">
        <v>5032</v>
      </c>
      <c r="Q79" s="128" t="s">
        <v>5033</v>
      </c>
      <c r="R79" s="128" t="s">
        <v>5034</v>
      </c>
      <c r="S79" s="128" t="s">
        <v>5035</v>
      </c>
      <c r="T79" s="128" t="s">
        <v>5036</v>
      </c>
      <c r="U79" s="128" t="s">
        <v>5037</v>
      </c>
      <c r="V79" s="128" t="s">
        <v>5038</v>
      </c>
      <c r="W79" s="128" t="s">
        <v>5039</v>
      </c>
      <c r="X79" s="128" t="s">
        <v>5040</v>
      </c>
      <c r="Y79" s="128" t="s">
        <v>5041</v>
      </c>
      <c r="Z79" s="128" t="s">
        <v>5042</v>
      </c>
      <c r="AA79" s="128" t="s">
        <v>5043</v>
      </c>
      <c r="AB79" s="128" t="s">
        <v>5044</v>
      </c>
      <c r="AC79" s="128" t="s">
        <v>5045</v>
      </c>
      <c r="AD79" s="128" t="s">
        <v>5046</v>
      </c>
      <c r="AE79" s="128" t="s">
        <v>5047</v>
      </c>
      <c r="AF79" s="128" t="s">
        <v>5048</v>
      </c>
    </row>
    <row r="80" spans="3:32" ht="319" x14ac:dyDescent="0.35">
      <c r="C80" s="128" t="s">
        <v>2260</v>
      </c>
      <c r="E80" s="128" t="s">
        <v>2261</v>
      </c>
      <c r="F80" s="128" t="s">
        <v>5049</v>
      </c>
      <c r="G80" s="128" t="s">
        <v>5050</v>
      </c>
      <c r="H80" s="128" t="s">
        <v>2264</v>
      </c>
      <c r="I80" s="128" t="s">
        <v>5051</v>
      </c>
      <c r="J80" s="128" t="s">
        <v>5052</v>
      </c>
      <c r="K80" s="128" t="s">
        <v>5053</v>
      </c>
      <c r="L80" s="128" t="s">
        <v>5054</v>
      </c>
      <c r="M80" s="128" t="s">
        <v>5055</v>
      </c>
      <c r="N80" s="128" t="s">
        <v>5056</v>
      </c>
      <c r="O80" s="128" t="s">
        <v>5057</v>
      </c>
      <c r="P80" s="128" t="s">
        <v>5058</v>
      </c>
      <c r="Q80" s="128" t="s">
        <v>5059</v>
      </c>
      <c r="R80" s="128" t="s">
        <v>5060</v>
      </c>
      <c r="S80" s="128" t="s">
        <v>5061</v>
      </c>
      <c r="T80" s="128" t="s">
        <v>5062</v>
      </c>
      <c r="U80" s="128" t="s">
        <v>5063</v>
      </c>
      <c r="V80" s="128" t="s">
        <v>5064</v>
      </c>
      <c r="W80" s="128" t="s">
        <v>5065</v>
      </c>
      <c r="X80" s="128" t="s">
        <v>5066</v>
      </c>
      <c r="Y80" s="128" t="s">
        <v>5067</v>
      </c>
      <c r="Z80" s="128" t="s">
        <v>5068</v>
      </c>
      <c r="AA80" s="128" t="s">
        <v>5069</v>
      </c>
      <c r="AB80" s="128" t="s">
        <v>5070</v>
      </c>
      <c r="AC80" s="128" t="s">
        <v>5071</v>
      </c>
      <c r="AD80" s="128" t="s">
        <v>5072</v>
      </c>
      <c r="AE80" s="128" t="s">
        <v>5073</v>
      </c>
      <c r="AF80" s="128" t="s">
        <v>5074</v>
      </c>
    </row>
    <row r="81" spans="3:32" ht="319" x14ac:dyDescent="0.35">
      <c r="C81" s="128" t="s">
        <v>2289</v>
      </c>
      <c r="E81" s="128" t="s">
        <v>2290</v>
      </c>
      <c r="F81" s="128" t="s">
        <v>5075</v>
      </c>
      <c r="G81" s="128" t="s">
        <v>5076</v>
      </c>
      <c r="H81" s="128" t="s">
        <v>2293</v>
      </c>
      <c r="I81" s="128" t="s">
        <v>5077</v>
      </c>
      <c r="J81" s="128" t="s">
        <v>5078</v>
      </c>
      <c r="K81" s="128" t="s">
        <v>5079</v>
      </c>
      <c r="L81" s="128" t="s">
        <v>5080</v>
      </c>
      <c r="M81" s="128" t="s">
        <v>5081</v>
      </c>
      <c r="N81" s="128" t="s">
        <v>5082</v>
      </c>
      <c r="O81" s="128" t="s">
        <v>5083</v>
      </c>
      <c r="P81" s="128" t="s">
        <v>5084</v>
      </c>
      <c r="Q81" s="128" t="s">
        <v>5085</v>
      </c>
      <c r="R81" s="128" t="s">
        <v>5086</v>
      </c>
      <c r="S81" s="128" t="s">
        <v>5087</v>
      </c>
      <c r="T81" s="128" t="s">
        <v>5088</v>
      </c>
      <c r="U81" s="128" t="s">
        <v>5089</v>
      </c>
      <c r="V81" s="128" t="s">
        <v>5090</v>
      </c>
      <c r="W81" s="128" t="s">
        <v>5091</v>
      </c>
      <c r="X81" s="128" t="s">
        <v>5092</v>
      </c>
      <c r="Y81" s="128" t="s">
        <v>5093</v>
      </c>
      <c r="Z81" s="128" t="s">
        <v>5094</v>
      </c>
      <c r="AA81" s="128" t="s">
        <v>5095</v>
      </c>
      <c r="AB81" s="128" t="s">
        <v>5096</v>
      </c>
      <c r="AC81" s="128" t="s">
        <v>5097</v>
      </c>
      <c r="AD81" s="128" t="s">
        <v>5098</v>
      </c>
      <c r="AE81" s="128" t="s">
        <v>5099</v>
      </c>
      <c r="AF81" s="128" t="s">
        <v>5100</v>
      </c>
    </row>
    <row r="82" spans="3:32" ht="319" x14ac:dyDescent="0.35">
      <c r="C82" s="128" t="s">
        <v>2318</v>
      </c>
      <c r="E82" s="128" t="s">
        <v>2319</v>
      </c>
      <c r="F82" s="128" t="s">
        <v>5101</v>
      </c>
      <c r="G82" s="128" t="s">
        <v>5102</v>
      </c>
      <c r="H82" s="128" t="s">
        <v>2322</v>
      </c>
      <c r="I82" s="128" t="s">
        <v>5103</v>
      </c>
      <c r="J82" s="128" t="s">
        <v>5104</v>
      </c>
      <c r="K82" s="128" t="s">
        <v>5105</v>
      </c>
      <c r="L82" s="128" t="s">
        <v>5106</v>
      </c>
      <c r="M82" s="128" t="s">
        <v>5107</v>
      </c>
      <c r="N82" s="128" t="s">
        <v>5108</v>
      </c>
      <c r="O82" s="128" t="s">
        <v>5109</v>
      </c>
      <c r="P82" s="128" t="s">
        <v>5110</v>
      </c>
      <c r="Q82" s="128" t="s">
        <v>5111</v>
      </c>
      <c r="R82" s="128" t="s">
        <v>5112</v>
      </c>
      <c r="S82" s="128" t="s">
        <v>5113</v>
      </c>
      <c r="T82" s="128" t="s">
        <v>5114</v>
      </c>
      <c r="U82" s="128" t="s">
        <v>5115</v>
      </c>
      <c r="V82" s="128" t="s">
        <v>5116</v>
      </c>
      <c r="W82" s="128" t="s">
        <v>5117</v>
      </c>
      <c r="X82" s="128" t="s">
        <v>5118</v>
      </c>
      <c r="Y82" s="128" t="s">
        <v>5119</v>
      </c>
      <c r="Z82" s="128" t="s">
        <v>5120</v>
      </c>
      <c r="AA82" s="128" t="s">
        <v>5121</v>
      </c>
      <c r="AB82" s="128" t="s">
        <v>5122</v>
      </c>
      <c r="AC82" s="128" t="s">
        <v>5123</v>
      </c>
      <c r="AD82" s="128" t="s">
        <v>5124</v>
      </c>
      <c r="AE82" s="128" t="s">
        <v>5125</v>
      </c>
      <c r="AF82" s="128" t="s">
        <v>5126</v>
      </c>
    </row>
    <row r="83" spans="3:32" ht="319" x14ac:dyDescent="0.35">
      <c r="C83" s="128" t="s">
        <v>2347</v>
      </c>
      <c r="E83" s="128" t="s">
        <v>2348</v>
      </c>
      <c r="F83" s="128" t="s">
        <v>5127</v>
      </c>
      <c r="G83" s="128" t="s">
        <v>5128</v>
      </c>
      <c r="H83" s="128" t="s">
        <v>2351</v>
      </c>
      <c r="I83" s="128" t="s">
        <v>5129</v>
      </c>
      <c r="J83" s="128" t="s">
        <v>5130</v>
      </c>
      <c r="K83" s="128" t="s">
        <v>5131</v>
      </c>
      <c r="L83" s="128" t="s">
        <v>5132</v>
      </c>
      <c r="M83" s="128" t="s">
        <v>5133</v>
      </c>
      <c r="N83" s="128" t="s">
        <v>5134</v>
      </c>
      <c r="O83" s="128" t="s">
        <v>5135</v>
      </c>
      <c r="P83" s="128" t="s">
        <v>5136</v>
      </c>
      <c r="Q83" s="128" t="s">
        <v>5137</v>
      </c>
      <c r="R83" s="128" t="s">
        <v>5138</v>
      </c>
      <c r="S83" s="128" t="s">
        <v>5139</v>
      </c>
      <c r="T83" s="128" t="s">
        <v>5140</v>
      </c>
      <c r="U83" s="128" t="s">
        <v>5141</v>
      </c>
      <c r="V83" s="128" t="s">
        <v>5142</v>
      </c>
      <c r="W83" s="128" t="s">
        <v>5143</v>
      </c>
      <c r="X83" s="128" t="s">
        <v>5144</v>
      </c>
      <c r="Y83" s="128" t="s">
        <v>5145</v>
      </c>
      <c r="Z83" s="128" t="s">
        <v>5146</v>
      </c>
      <c r="AA83" s="128" t="s">
        <v>5147</v>
      </c>
      <c r="AB83" s="128" t="s">
        <v>5148</v>
      </c>
      <c r="AC83" s="128" t="s">
        <v>5149</v>
      </c>
      <c r="AD83" s="128" t="s">
        <v>5150</v>
      </c>
      <c r="AE83" s="128" t="s">
        <v>5151</v>
      </c>
      <c r="AF83" s="128" t="s">
        <v>5152</v>
      </c>
    </row>
    <row r="84" spans="3:32" ht="319" x14ac:dyDescent="0.35">
      <c r="C84" s="128" t="s">
        <v>2376</v>
      </c>
      <c r="E84" s="128" t="s">
        <v>2377</v>
      </c>
      <c r="F84" s="128" t="s">
        <v>5153</v>
      </c>
      <c r="G84" s="128" t="s">
        <v>5154</v>
      </c>
      <c r="H84" s="128" t="s">
        <v>2380</v>
      </c>
      <c r="I84" s="128" t="s">
        <v>5155</v>
      </c>
      <c r="J84" s="128" t="s">
        <v>5156</v>
      </c>
      <c r="K84" s="128" t="s">
        <v>5157</v>
      </c>
      <c r="L84" s="128" t="s">
        <v>5158</v>
      </c>
      <c r="M84" s="128" t="s">
        <v>5159</v>
      </c>
      <c r="N84" s="128" t="s">
        <v>5160</v>
      </c>
      <c r="O84" s="128" t="s">
        <v>5161</v>
      </c>
      <c r="P84" s="128" t="s">
        <v>5162</v>
      </c>
      <c r="Q84" s="128" t="s">
        <v>5163</v>
      </c>
      <c r="R84" s="128" t="s">
        <v>5164</v>
      </c>
      <c r="S84" s="128" t="s">
        <v>5165</v>
      </c>
      <c r="T84" s="128" t="s">
        <v>5166</v>
      </c>
      <c r="U84" s="128" t="s">
        <v>5167</v>
      </c>
      <c r="V84" s="128" t="s">
        <v>5168</v>
      </c>
      <c r="W84" s="128" t="s">
        <v>5169</v>
      </c>
      <c r="X84" s="128" t="s">
        <v>5170</v>
      </c>
      <c r="Y84" s="128" t="s">
        <v>5171</v>
      </c>
      <c r="Z84" s="128" t="s">
        <v>5172</v>
      </c>
      <c r="AA84" s="128" t="s">
        <v>5173</v>
      </c>
      <c r="AB84" s="128" t="s">
        <v>5174</v>
      </c>
      <c r="AC84" s="128" t="s">
        <v>5175</v>
      </c>
      <c r="AD84" s="128" t="s">
        <v>5176</v>
      </c>
      <c r="AE84" s="128" t="s">
        <v>5177</v>
      </c>
      <c r="AF84" s="128" t="s">
        <v>5178</v>
      </c>
    </row>
    <row r="85" spans="3:32" ht="319" x14ac:dyDescent="0.35">
      <c r="C85" s="128" t="s">
        <v>2405</v>
      </c>
      <c r="E85" s="128" t="s">
        <v>2406</v>
      </c>
      <c r="F85" s="128" t="s">
        <v>5179</v>
      </c>
      <c r="G85" s="128" t="s">
        <v>5180</v>
      </c>
      <c r="H85" s="128" t="s">
        <v>2409</v>
      </c>
      <c r="I85" s="128" t="s">
        <v>5181</v>
      </c>
      <c r="J85" s="128" t="s">
        <v>5182</v>
      </c>
      <c r="K85" s="128" t="s">
        <v>5183</v>
      </c>
      <c r="L85" s="128" t="s">
        <v>5184</v>
      </c>
      <c r="M85" s="128" t="s">
        <v>5185</v>
      </c>
      <c r="N85" s="128" t="s">
        <v>5186</v>
      </c>
      <c r="O85" s="128" t="s">
        <v>5187</v>
      </c>
      <c r="P85" s="128" t="s">
        <v>5188</v>
      </c>
      <c r="Q85" s="128" t="s">
        <v>5189</v>
      </c>
      <c r="R85" s="128" t="s">
        <v>5190</v>
      </c>
      <c r="S85" s="128" t="s">
        <v>5191</v>
      </c>
      <c r="T85" s="128" t="s">
        <v>5192</v>
      </c>
      <c r="U85" s="128" t="s">
        <v>5193</v>
      </c>
      <c r="V85" s="128" t="s">
        <v>5194</v>
      </c>
      <c r="W85" s="128" t="s">
        <v>5195</v>
      </c>
      <c r="X85" s="128" t="s">
        <v>5196</v>
      </c>
      <c r="Y85" s="128" t="s">
        <v>5197</v>
      </c>
      <c r="Z85" s="128" t="s">
        <v>5198</v>
      </c>
      <c r="AA85" s="128" t="s">
        <v>5199</v>
      </c>
      <c r="AB85" s="128" t="s">
        <v>5200</v>
      </c>
      <c r="AC85" s="128" t="s">
        <v>5201</v>
      </c>
      <c r="AD85" s="128" t="s">
        <v>5202</v>
      </c>
      <c r="AE85" s="128" t="s">
        <v>5203</v>
      </c>
      <c r="AF85" s="128" t="s">
        <v>5204</v>
      </c>
    </row>
    <row r="86" spans="3:32" ht="319" x14ac:dyDescent="0.35">
      <c r="C86" s="128" t="s">
        <v>2434</v>
      </c>
      <c r="E86" s="128" t="s">
        <v>2435</v>
      </c>
      <c r="F86" s="128" t="s">
        <v>5205</v>
      </c>
      <c r="G86" s="128" t="s">
        <v>5206</v>
      </c>
      <c r="H86" s="128" t="s">
        <v>2438</v>
      </c>
      <c r="I86" s="128" t="s">
        <v>5207</v>
      </c>
      <c r="J86" s="128" t="s">
        <v>5208</v>
      </c>
      <c r="K86" s="128" t="s">
        <v>5209</v>
      </c>
      <c r="L86" s="128" t="s">
        <v>5210</v>
      </c>
      <c r="M86" s="128" t="s">
        <v>5211</v>
      </c>
      <c r="N86" s="128" t="s">
        <v>5212</v>
      </c>
      <c r="O86" s="128" t="s">
        <v>5213</v>
      </c>
      <c r="P86" s="128" t="s">
        <v>5214</v>
      </c>
      <c r="Q86" s="128" t="s">
        <v>5215</v>
      </c>
      <c r="R86" s="128" t="s">
        <v>5216</v>
      </c>
      <c r="S86" s="128" t="s">
        <v>5217</v>
      </c>
      <c r="T86" s="128" t="s">
        <v>5218</v>
      </c>
      <c r="U86" s="128" t="s">
        <v>5219</v>
      </c>
      <c r="V86" s="128" t="s">
        <v>5220</v>
      </c>
      <c r="W86" s="128" t="s">
        <v>5221</v>
      </c>
      <c r="X86" s="128" t="s">
        <v>5222</v>
      </c>
      <c r="Y86" s="128" t="s">
        <v>5223</v>
      </c>
      <c r="Z86" s="128" t="s">
        <v>5224</v>
      </c>
      <c r="AA86" s="128" t="s">
        <v>5225</v>
      </c>
      <c r="AB86" s="128" t="s">
        <v>5226</v>
      </c>
      <c r="AC86" s="128" t="s">
        <v>5227</v>
      </c>
      <c r="AD86" s="128" t="s">
        <v>5228</v>
      </c>
      <c r="AE86" s="128" t="s">
        <v>5229</v>
      </c>
      <c r="AF86" s="128" t="s">
        <v>5230</v>
      </c>
    </row>
    <row r="87" spans="3:32" ht="319" x14ac:dyDescent="0.35">
      <c r="C87" s="128" t="s">
        <v>2463</v>
      </c>
      <c r="E87" s="128" t="s">
        <v>2464</v>
      </c>
      <c r="F87" s="128" t="s">
        <v>5231</v>
      </c>
      <c r="G87" s="128" t="s">
        <v>5232</v>
      </c>
      <c r="H87" s="128" t="s">
        <v>2467</v>
      </c>
      <c r="I87" s="128" t="s">
        <v>5233</v>
      </c>
      <c r="J87" s="128" t="s">
        <v>5234</v>
      </c>
      <c r="K87" s="128" t="s">
        <v>5235</v>
      </c>
      <c r="L87" s="128" t="s">
        <v>5236</v>
      </c>
      <c r="M87" s="128" t="s">
        <v>5237</v>
      </c>
      <c r="N87" s="128" t="s">
        <v>5238</v>
      </c>
      <c r="O87" s="128" t="s">
        <v>5239</v>
      </c>
      <c r="P87" s="128" t="s">
        <v>5240</v>
      </c>
      <c r="Q87" s="128" t="s">
        <v>5241</v>
      </c>
      <c r="R87" s="128" t="s">
        <v>5242</v>
      </c>
      <c r="S87" s="128" t="s">
        <v>5243</v>
      </c>
      <c r="T87" s="128" t="s">
        <v>5244</v>
      </c>
      <c r="U87" s="128" t="s">
        <v>5245</v>
      </c>
      <c r="V87" s="128" t="s">
        <v>5246</v>
      </c>
      <c r="W87" s="128" t="s">
        <v>5247</v>
      </c>
      <c r="X87" s="128" t="s">
        <v>5248</v>
      </c>
      <c r="Y87" s="128" t="s">
        <v>5249</v>
      </c>
      <c r="Z87" s="128" t="s">
        <v>5250</v>
      </c>
      <c r="AA87" s="128" t="s">
        <v>5251</v>
      </c>
      <c r="AB87" s="128" t="s">
        <v>5252</v>
      </c>
      <c r="AC87" s="128" t="s">
        <v>5253</v>
      </c>
      <c r="AD87" s="128" t="s">
        <v>5254</v>
      </c>
      <c r="AE87" s="128" t="s">
        <v>5255</v>
      </c>
      <c r="AF87" s="128" t="s">
        <v>5256</v>
      </c>
    </row>
    <row r="88" spans="3:32" ht="319" x14ac:dyDescent="0.35">
      <c r="C88" s="128" t="s">
        <v>2492</v>
      </c>
      <c r="E88" s="128" t="s">
        <v>2493</v>
      </c>
      <c r="F88" s="128" t="s">
        <v>5257</v>
      </c>
      <c r="G88" s="128" t="s">
        <v>5258</v>
      </c>
      <c r="H88" s="128" t="s">
        <v>2496</v>
      </c>
      <c r="I88" s="128" t="s">
        <v>5259</v>
      </c>
      <c r="J88" s="128" t="s">
        <v>5260</v>
      </c>
      <c r="K88" s="128" t="s">
        <v>5261</v>
      </c>
      <c r="L88" s="128" t="s">
        <v>5262</v>
      </c>
      <c r="M88" s="128" t="s">
        <v>5263</v>
      </c>
      <c r="N88" s="128" t="s">
        <v>5264</v>
      </c>
      <c r="O88" s="128" t="s">
        <v>5265</v>
      </c>
      <c r="P88" s="128" t="s">
        <v>5266</v>
      </c>
      <c r="Q88" s="128" t="s">
        <v>5267</v>
      </c>
      <c r="R88" s="128" t="s">
        <v>5268</v>
      </c>
      <c r="S88" s="128" t="s">
        <v>5269</v>
      </c>
      <c r="T88" s="128" t="s">
        <v>5270</v>
      </c>
      <c r="U88" s="128" t="s">
        <v>5271</v>
      </c>
      <c r="V88" s="128" t="s">
        <v>5272</v>
      </c>
      <c r="W88" s="128" t="s">
        <v>5273</v>
      </c>
      <c r="X88" s="128" t="s">
        <v>5274</v>
      </c>
      <c r="Y88" s="128" t="s">
        <v>5275</v>
      </c>
      <c r="Z88" s="128" t="s">
        <v>5276</v>
      </c>
      <c r="AA88" s="128" t="s">
        <v>5277</v>
      </c>
      <c r="AB88" s="128" t="s">
        <v>5278</v>
      </c>
      <c r="AC88" s="128" t="s">
        <v>5279</v>
      </c>
      <c r="AD88" s="128" t="s">
        <v>5280</v>
      </c>
      <c r="AE88" s="128" t="s">
        <v>5281</v>
      </c>
      <c r="AF88" s="128" t="s">
        <v>5282</v>
      </c>
    </row>
    <row r="89" spans="3:32" ht="319" x14ac:dyDescent="0.35">
      <c r="C89" s="128" t="s">
        <v>2521</v>
      </c>
      <c r="E89" s="128" t="s">
        <v>2522</v>
      </c>
      <c r="F89" s="128" t="s">
        <v>5283</v>
      </c>
      <c r="G89" s="128" t="s">
        <v>5284</v>
      </c>
      <c r="H89" s="128" t="s">
        <v>2525</v>
      </c>
      <c r="I89" s="128" t="s">
        <v>5285</v>
      </c>
      <c r="J89" s="128" t="s">
        <v>5286</v>
      </c>
      <c r="K89" s="128" t="s">
        <v>5287</v>
      </c>
      <c r="L89" s="128" t="s">
        <v>5288</v>
      </c>
      <c r="M89" s="128" t="s">
        <v>5289</v>
      </c>
      <c r="N89" s="128" t="s">
        <v>5290</v>
      </c>
      <c r="O89" s="128" t="s">
        <v>5291</v>
      </c>
      <c r="P89" s="128" t="s">
        <v>5292</v>
      </c>
      <c r="Q89" s="128" t="s">
        <v>5293</v>
      </c>
      <c r="R89" s="128" t="s">
        <v>5294</v>
      </c>
      <c r="S89" s="128" t="s">
        <v>5295</v>
      </c>
      <c r="T89" s="128" t="s">
        <v>5296</v>
      </c>
      <c r="U89" s="128" t="s">
        <v>5297</v>
      </c>
      <c r="V89" s="128" t="s">
        <v>5298</v>
      </c>
      <c r="W89" s="128" t="s">
        <v>5299</v>
      </c>
      <c r="X89" s="128" t="s">
        <v>5300</v>
      </c>
      <c r="Y89" s="128" t="s">
        <v>5301</v>
      </c>
      <c r="Z89" s="128" t="s">
        <v>5302</v>
      </c>
      <c r="AA89" s="128" t="s">
        <v>5303</v>
      </c>
      <c r="AB89" s="128" t="s">
        <v>5304</v>
      </c>
      <c r="AC89" s="128" t="s">
        <v>5305</v>
      </c>
      <c r="AD89" s="128" t="s">
        <v>5306</v>
      </c>
      <c r="AE89" s="128" t="s">
        <v>5307</v>
      </c>
      <c r="AF89" s="128" t="s">
        <v>5308</v>
      </c>
    </row>
    <row r="90" spans="3:32" ht="319" x14ac:dyDescent="0.35">
      <c r="C90" s="128" t="s">
        <v>2550</v>
      </c>
      <c r="E90" s="128" t="s">
        <v>2551</v>
      </c>
      <c r="F90" s="128" t="s">
        <v>5309</v>
      </c>
      <c r="G90" s="128" t="s">
        <v>5310</v>
      </c>
      <c r="H90" s="128" t="s">
        <v>2554</v>
      </c>
      <c r="I90" s="128" t="s">
        <v>5311</v>
      </c>
      <c r="J90" s="128" t="s">
        <v>5312</v>
      </c>
      <c r="K90" s="128" t="s">
        <v>5313</v>
      </c>
      <c r="L90" s="128" t="s">
        <v>5314</v>
      </c>
      <c r="M90" s="128" t="s">
        <v>5315</v>
      </c>
      <c r="N90" s="128" t="s">
        <v>5316</v>
      </c>
      <c r="O90" s="128" t="s">
        <v>5317</v>
      </c>
      <c r="P90" s="128" t="s">
        <v>5318</v>
      </c>
      <c r="Q90" s="128" t="s">
        <v>5319</v>
      </c>
      <c r="R90" s="128" t="s">
        <v>5320</v>
      </c>
      <c r="S90" s="128" t="s">
        <v>5321</v>
      </c>
      <c r="T90" s="128" t="s">
        <v>5322</v>
      </c>
      <c r="U90" s="128" t="s">
        <v>5323</v>
      </c>
      <c r="V90" s="128" t="s">
        <v>5324</v>
      </c>
      <c r="W90" s="128" t="s">
        <v>5325</v>
      </c>
      <c r="X90" s="128" t="s">
        <v>5326</v>
      </c>
      <c r="Y90" s="128" t="s">
        <v>5327</v>
      </c>
      <c r="Z90" s="128" t="s">
        <v>5328</v>
      </c>
      <c r="AA90" s="128" t="s">
        <v>5329</v>
      </c>
      <c r="AB90" s="128" t="s">
        <v>5330</v>
      </c>
      <c r="AC90" s="128" t="s">
        <v>5331</v>
      </c>
      <c r="AD90" s="128" t="s">
        <v>5332</v>
      </c>
      <c r="AE90" s="128" t="s">
        <v>5333</v>
      </c>
      <c r="AF90" s="128" t="s">
        <v>5334</v>
      </c>
    </row>
    <row r="91" spans="3:32" ht="319" x14ac:dyDescent="0.35">
      <c r="C91" s="128" t="s">
        <v>2579</v>
      </c>
      <c r="E91" s="128" t="s">
        <v>2580</v>
      </c>
      <c r="F91" s="128" t="s">
        <v>5335</v>
      </c>
      <c r="G91" s="128" t="s">
        <v>5336</v>
      </c>
      <c r="H91" s="128" t="s">
        <v>2583</v>
      </c>
      <c r="I91" s="128" t="s">
        <v>5337</v>
      </c>
      <c r="J91" s="128" t="s">
        <v>5338</v>
      </c>
      <c r="K91" s="128" t="s">
        <v>5339</v>
      </c>
      <c r="L91" s="128" t="s">
        <v>5340</v>
      </c>
      <c r="M91" s="128" t="s">
        <v>5341</v>
      </c>
      <c r="N91" s="128" t="s">
        <v>5342</v>
      </c>
      <c r="O91" s="128" t="s">
        <v>5343</v>
      </c>
      <c r="P91" s="128" t="s">
        <v>5344</v>
      </c>
      <c r="Q91" s="128" t="s">
        <v>5345</v>
      </c>
      <c r="R91" s="128" t="s">
        <v>5346</v>
      </c>
      <c r="S91" s="128" t="s">
        <v>5347</v>
      </c>
      <c r="T91" s="128" t="s">
        <v>5348</v>
      </c>
      <c r="U91" s="128" t="s">
        <v>5349</v>
      </c>
      <c r="V91" s="128" t="s">
        <v>5350</v>
      </c>
      <c r="W91" s="128" t="s">
        <v>5351</v>
      </c>
      <c r="X91" s="128" t="s">
        <v>5352</v>
      </c>
      <c r="Y91" s="128" t="s">
        <v>5353</v>
      </c>
      <c r="Z91" s="128" t="s">
        <v>5354</v>
      </c>
      <c r="AA91" s="128" t="s">
        <v>5355</v>
      </c>
      <c r="AB91" s="128" t="s">
        <v>5356</v>
      </c>
      <c r="AC91" s="128" t="s">
        <v>5357</v>
      </c>
      <c r="AD91" s="128" t="s">
        <v>5358</v>
      </c>
      <c r="AE91" s="128" t="s">
        <v>5359</v>
      </c>
      <c r="AF91" s="128" t="s">
        <v>5360</v>
      </c>
    </row>
    <row r="92" spans="3:32" ht="319" x14ac:dyDescent="0.35">
      <c r="C92" s="128" t="s">
        <v>2608</v>
      </c>
      <c r="E92" s="128" t="s">
        <v>2609</v>
      </c>
      <c r="F92" s="128" t="s">
        <v>5361</v>
      </c>
      <c r="G92" s="128" t="s">
        <v>5362</v>
      </c>
      <c r="H92" s="128" t="s">
        <v>2612</v>
      </c>
      <c r="I92" s="128" t="s">
        <v>5363</v>
      </c>
      <c r="J92" s="128" t="s">
        <v>5364</v>
      </c>
      <c r="K92" s="128" t="s">
        <v>5365</v>
      </c>
      <c r="L92" s="128" t="s">
        <v>5366</v>
      </c>
      <c r="M92" s="128" t="s">
        <v>5367</v>
      </c>
      <c r="N92" s="128" t="s">
        <v>5368</v>
      </c>
      <c r="O92" s="128" t="s">
        <v>5369</v>
      </c>
      <c r="P92" s="128" t="s">
        <v>5370</v>
      </c>
      <c r="Q92" s="128" t="s">
        <v>5371</v>
      </c>
      <c r="R92" s="128" t="s">
        <v>5372</v>
      </c>
      <c r="S92" s="128" t="s">
        <v>5373</v>
      </c>
      <c r="T92" s="128" t="s">
        <v>5374</v>
      </c>
      <c r="U92" s="128" t="s">
        <v>5375</v>
      </c>
      <c r="V92" s="128" t="s">
        <v>5376</v>
      </c>
      <c r="W92" s="128" t="s">
        <v>5377</v>
      </c>
      <c r="X92" s="128" t="s">
        <v>5378</v>
      </c>
      <c r="Y92" s="128" t="s">
        <v>5379</v>
      </c>
      <c r="Z92" s="128" t="s">
        <v>5380</v>
      </c>
      <c r="AA92" s="128" t="s">
        <v>5381</v>
      </c>
      <c r="AB92" s="128" t="s">
        <v>5382</v>
      </c>
      <c r="AC92" s="128" t="s">
        <v>5383</v>
      </c>
      <c r="AD92" s="128" t="s">
        <v>5384</v>
      </c>
      <c r="AE92" s="128" t="s">
        <v>5385</v>
      </c>
      <c r="AF92" s="128" t="s">
        <v>5386</v>
      </c>
    </row>
    <row r="93" spans="3:32" ht="319" x14ac:dyDescent="0.35">
      <c r="C93" s="128" t="s">
        <v>2637</v>
      </c>
      <c r="E93" s="128" t="s">
        <v>2638</v>
      </c>
      <c r="F93" s="128" t="s">
        <v>5387</v>
      </c>
      <c r="G93" s="128" t="s">
        <v>5388</v>
      </c>
      <c r="H93" s="128" t="s">
        <v>2641</v>
      </c>
      <c r="I93" s="128" t="s">
        <v>5389</v>
      </c>
      <c r="J93" s="128" t="s">
        <v>5390</v>
      </c>
      <c r="K93" s="128" t="s">
        <v>5391</v>
      </c>
      <c r="L93" s="128" t="s">
        <v>5392</v>
      </c>
      <c r="M93" s="128" t="s">
        <v>5393</v>
      </c>
      <c r="N93" s="128" t="s">
        <v>5394</v>
      </c>
      <c r="O93" s="128" t="s">
        <v>5395</v>
      </c>
      <c r="P93" s="128" t="s">
        <v>5396</v>
      </c>
      <c r="Q93" s="128" t="s">
        <v>5397</v>
      </c>
      <c r="R93" s="128" t="s">
        <v>5398</v>
      </c>
      <c r="S93" s="128" t="s">
        <v>5399</v>
      </c>
      <c r="T93" s="128" t="s">
        <v>5400</v>
      </c>
      <c r="U93" s="128" t="s">
        <v>5401</v>
      </c>
      <c r="V93" s="128" t="s">
        <v>5402</v>
      </c>
      <c r="W93" s="128" t="s">
        <v>5403</v>
      </c>
      <c r="X93" s="128" t="s">
        <v>5404</v>
      </c>
      <c r="Y93" s="128" t="s">
        <v>5405</v>
      </c>
      <c r="Z93" s="128" t="s">
        <v>5406</v>
      </c>
      <c r="AA93" s="128" t="s">
        <v>5407</v>
      </c>
      <c r="AB93" s="128" t="s">
        <v>5408</v>
      </c>
      <c r="AC93" s="128" t="s">
        <v>5409</v>
      </c>
      <c r="AD93" s="128" t="s">
        <v>5410</v>
      </c>
      <c r="AE93" s="128" t="s">
        <v>5411</v>
      </c>
      <c r="AF93" s="128" t="s">
        <v>5412</v>
      </c>
    </row>
    <row r="94" spans="3:32" ht="319" x14ac:dyDescent="0.35">
      <c r="C94" s="128" t="s">
        <v>2666</v>
      </c>
      <c r="E94" s="128" t="s">
        <v>2667</v>
      </c>
      <c r="F94" s="128" t="s">
        <v>5413</v>
      </c>
      <c r="G94" s="128" t="s">
        <v>5414</v>
      </c>
      <c r="H94" s="128" t="s">
        <v>2670</v>
      </c>
      <c r="I94" s="128" t="s">
        <v>5415</v>
      </c>
      <c r="J94" s="128" t="s">
        <v>5416</v>
      </c>
      <c r="K94" s="128" t="s">
        <v>5417</v>
      </c>
      <c r="L94" s="128" t="s">
        <v>5418</v>
      </c>
      <c r="M94" s="128" t="s">
        <v>5419</v>
      </c>
      <c r="N94" s="128" t="s">
        <v>5420</v>
      </c>
      <c r="O94" s="128" t="s">
        <v>5421</v>
      </c>
      <c r="P94" s="128" t="s">
        <v>5422</v>
      </c>
      <c r="Q94" s="128" t="s">
        <v>5423</v>
      </c>
      <c r="R94" s="128" t="s">
        <v>5424</v>
      </c>
      <c r="S94" s="128" t="s">
        <v>5425</v>
      </c>
      <c r="T94" s="128" t="s">
        <v>5426</v>
      </c>
      <c r="U94" s="128" t="s">
        <v>5427</v>
      </c>
      <c r="V94" s="128" t="s">
        <v>5428</v>
      </c>
      <c r="W94" s="128" t="s">
        <v>5429</v>
      </c>
      <c r="X94" s="128" t="s">
        <v>5430</v>
      </c>
      <c r="Y94" s="128" t="s">
        <v>5431</v>
      </c>
      <c r="Z94" s="128" t="s">
        <v>5432</v>
      </c>
      <c r="AA94" s="128" t="s">
        <v>5433</v>
      </c>
      <c r="AB94" s="128" t="s">
        <v>5434</v>
      </c>
      <c r="AC94" s="128" t="s">
        <v>5435</v>
      </c>
      <c r="AD94" s="128" t="s">
        <v>5436</v>
      </c>
      <c r="AE94" s="128" t="s">
        <v>5437</v>
      </c>
      <c r="AF94" s="128" t="s">
        <v>5438</v>
      </c>
    </row>
    <row r="95" spans="3:32" ht="319" x14ac:dyDescent="0.35">
      <c r="C95" s="128" t="s">
        <v>2695</v>
      </c>
      <c r="E95" s="128" t="s">
        <v>2696</v>
      </c>
      <c r="F95" s="128" t="s">
        <v>5439</v>
      </c>
      <c r="G95" s="128" t="s">
        <v>5440</v>
      </c>
      <c r="H95" s="128" t="s">
        <v>2699</v>
      </c>
      <c r="I95" s="128" t="s">
        <v>5441</v>
      </c>
      <c r="J95" s="128" t="s">
        <v>5442</v>
      </c>
      <c r="K95" s="128" t="s">
        <v>5443</v>
      </c>
      <c r="L95" s="128" t="s">
        <v>5444</v>
      </c>
      <c r="M95" s="128" t="s">
        <v>5445</v>
      </c>
      <c r="N95" s="128" t="s">
        <v>5446</v>
      </c>
      <c r="O95" s="128" t="s">
        <v>5447</v>
      </c>
      <c r="P95" s="128" t="s">
        <v>5448</v>
      </c>
      <c r="Q95" s="128" t="s">
        <v>5449</v>
      </c>
      <c r="R95" s="128" t="s">
        <v>5450</v>
      </c>
      <c r="S95" s="128" t="s">
        <v>5451</v>
      </c>
      <c r="T95" s="128" t="s">
        <v>5452</v>
      </c>
      <c r="U95" s="128" t="s">
        <v>5453</v>
      </c>
      <c r="V95" s="128" t="s">
        <v>5454</v>
      </c>
      <c r="W95" s="128" t="s">
        <v>5455</v>
      </c>
      <c r="X95" s="128" t="s">
        <v>5456</v>
      </c>
      <c r="Y95" s="128" t="s">
        <v>5457</v>
      </c>
      <c r="Z95" s="128" t="s">
        <v>5458</v>
      </c>
      <c r="AA95" s="128" t="s">
        <v>5459</v>
      </c>
      <c r="AB95" s="128" t="s">
        <v>5460</v>
      </c>
      <c r="AC95" s="128" t="s">
        <v>5461</v>
      </c>
      <c r="AD95" s="128" t="s">
        <v>5462</v>
      </c>
      <c r="AE95" s="128" t="s">
        <v>5463</v>
      </c>
      <c r="AF95" s="128" t="s">
        <v>5464</v>
      </c>
    </row>
    <row r="96" spans="3:32" ht="319" x14ac:dyDescent="0.35">
      <c r="C96" s="128" t="s">
        <v>2724</v>
      </c>
      <c r="E96" s="128" t="s">
        <v>2725</v>
      </c>
      <c r="F96" s="128" t="s">
        <v>5465</v>
      </c>
      <c r="G96" s="128" t="s">
        <v>5466</v>
      </c>
      <c r="H96" s="128" t="s">
        <v>2728</v>
      </c>
      <c r="I96" s="128" t="s">
        <v>5467</v>
      </c>
      <c r="J96" s="128" t="s">
        <v>5468</v>
      </c>
      <c r="K96" s="128" t="s">
        <v>5469</v>
      </c>
      <c r="L96" s="128" t="s">
        <v>5470</v>
      </c>
      <c r="M96" s="128" t="s">
        <v>5471</v>
      </c>
      <c r="N96" s="128" t="s">
        <v>5472</v>
      </c>
      <c r="O96" s="128" t="s">
        <v>5473</v>
      </c>
      <c r="P96" s="128" t="s">
        <v>5474</v>
      </c>
      <c r="Q96" s="128" t="s">
        <v>5475</v>
      </c>
      <c r="R96" s="128" t="s">
        <v>5476</v>
      </c>
      <c r="S96" s="128" t="s">
        <v>5477</v>
      </c>
      <c r="T96" s="128" t="s">
        <v>5478</v>
      </c>
      <c r="U96" s="128" t="s">
        <v>5479</v>
      </c>
      <c r="V96" s="128" t="s">
        <v>5480</v>
      </c>
      <c r="W96" s="128" t="s">
        <v>5481</v>
      </c>
      <c r="X96" s="128" t="s">
        <v>5482</v>
      </c>
      <c r="Y96" s="128" t="s">
        <v>5483</v>
      </c>
      <c r="Z96" s="128" t="s">
        <v>5484</v>
      </c>
      <c r="AA96" s="128" t="s">
        <v>5485</v>
      </c>
      <c r="AB96" s="128" t="s">
        <v>5486</v>
      </c>
      <c r="AC96" s="128" t="s">
        <v>5487</v>
      </c>
      <c r="AD96" s="128" t="s">
        <v>5488</v>
      </c>
      <c r="AE96" s="128" t="s">
        <v>5489</v>
      </c>
      <c r="AF96" s="128" t="s">
        <v>5490</v>
      </c>
    </row>
    <row r="97" spans="3:32" ht="319" x14ac:dyDescent="0.35">
      <c r="C97" s="128" t="s">
        <v>2753</v>
      </c>
      <c r="E97" s="128" t="s">
        <v>2754</v>
      </c>
      <c r="F97" s="128" t="s">
        <v>5491</v>
      </c>
      <c r="G97" s="128" t="s">
        <v>5492</v>
      </c>
      <c r="H97" s="128" t="s">
        <v>2757</v>
      </c>
      <c r="I97" s="128" t="s">
        <v>5493</v>
      </c>
      <c r="J97" s="128" t="s">
        <v>5494</v>
      </c>
      <c r="K97" s="128" t="s">
        <v>5495</v>
      </c>
      <c r="L97" s="128" t="s">
        <v>5496</v>
      </c>
      <c r="M97" s="128" t="s">
        <v>5497</v>
      </c>
      <c r="N97" s="128" t="s">
        <v>5498</v>
      </c>
      <c r="O97" s="128" t="s">
        <v>5499</v>
      </c>
      <c r="P97" s="128" t="s">
        <v>5500</v>
      </c>
      <c r="Q97" s="128" t="s">
        <v>5501</v>
      </c>
      <c r="R97" s="128" t="s">
        <v>5502</v>
      </c>
      <c r="S97" s="128" t="s">
        <v>5503</v>
      </c>
      <c r="T97" s="128" t="s">
        <v>5504</v>
      </c>
      <c r="U97" s="128" t="s">
        <v>5505</v>
      </c>
      <c r="V97" s="128" t="s">
        <v>5506</v>
      </c>
      <c r="W97" s="128" t="s">
        <v>5507</v>
      </c>
      <c r="X97" s="128" t="s">
        <v>5508</v>
      </c>
      <c r="Y97" s="128" t="s">
        <v>5509</v>
      </c>
      <c r="Z97" s="128" t="s">
        <v>5510</v>
      </c>
      <c r="AA97" s="128" t="s">
        <v>5511</v>
      </c>
      <c r="AB97" s="128" t="s">
        <v>5512</v>
      </c>
      <c r="AC97" s="128" t="s">
        <v>5513</v>
      </c>
      <c r="AD97" s="128" t="s">
        <v>5514</v>
      </c>
      <c r="AE97" s="128" t="s">
        <v>5515</v>
      </c>
      <c r="AF97" s="128" t="s">
        <v>5516</v>
      </c>
    </row>
    <row r="98" spans="3:32" ht="319" x14ac:dyDescent="0.35">
      <c r="C98" s="128" t="s">
        <v>2782</v>
      </c>
      <c r="E98" s="128" t="s">
        <v>2783</v>
      </c>
      <c r="F98" s="128" t="s">
        <v>5517</v>
      </c>
      <c r="G98" s="128" t="s">
        <v>5518</v>
      </c>
      <c r="H98" s="128" t="s">
        <v>2786</v>
      </c>
      <c r="I98" s="128" t="s">
        <v>5519</v>
      </c>
      <c r="J98" s="128" t="s">
        <v>5520</v>
      </c>
      <c r="K98" s="128" t="s">
        <v>5521</v>
      </c>
      <c r="L98" s="128" t="s">
        <v>5522</v>
      </c>
      <c r="M98" s="128" t="s">
        <v>5523</v>
      </c>
      <c r="N98" s="128" t="s">
        <v>5524</v>
      </c>
      <c r="O98" s="128" t="s">
        <v>5525</v>
      </c>
      <c r="P98" s="128" t="s">
        <v>5526</v>
      </c>
      <c r="Q98" s="128" t="s">
        <v>5527</v>
      </c>
      <c r="R98" s="128" t="s">
        <v>5528</v>
      </c>
      <c r="S98" s="128" t="s">
        <v>5529</v>
      </c>
      <c r="T98" s="128" t="s">
        <v>5530</v>
      </c>
      <c r="U98" s="128" t="s">
        <v>5531</v>
      </c>
      <c r="V98" s="128" t="s">
        <v>5532</v>
      </c>
      <c r="W98" s="128" t="s">
        <v>5533</v>
      </c>
      <c r="X98" s="128" t="s">
        <v>5534</v>
      </c>
      <c r="Y98" s="128" t="s">
        <v>5535</v>
      </c>
      <c r="Z98" s="128" t="s">
        <v>5536</v>
      </c>
      <c r="AA98" s="128" t="s">
        <v>5537</v>
      </c>
      <c r="AB98" s="128" t="s">
        <v>5538</v>
      </c>
      <c r="AC98" s="128" t="s">
        <v>5539</v>
      </c>
      <c r="AD98" s="128" t="s">
        <v>5540</v>
      </c>
      <c r="AE98" s="128" t="s">
        <v>5541</v>
      </c>
      <c r="AF98" s="128" t="s">
        <v>5542</v>
      </c>
    </row>
    <row r="99" spans="3:32" ht="319" x14ac:dyDescent="0.35">
      <c r="C99" s="128" t="s">
        <v>2811</v>
      </c>
      <c r="E99" s="128" t="s">
        <v>2812</v>
      </c>
      <c r="F99" s="128" t="s">
        <v>5543</v>
      </c>
      <c r="G99" s="128" t="s">
        <v>5544</v>
      </c>
      <c r="H99" s="128" t="s">
        <v>2815</v>
      </c>
      <c r="I99" s="128" t="s">
        <v>5545</v>
      </c>
      <c r="J99" s="128" t="s">
        <v>5546</v>
      </c>
      <c r="K99" s="128" t="s">
        <v>5547</v>
      </c>
      <c r="L99" s="128" t="s">
        <v>5548</v>
      </c>
      <c r="M99" s="128" t="s">
        <v>5549</v>
      </c>
      <c r="N99" s="128" t="s">
        <v>5550</v>
      </c>
      <c r="O99" s="128" t="s">
        <v>5551</v>
      </c>
      <c r="P99" s="128" t="s">
        <v>5552</v>
      </c>
      <c r="Q99" s="128" t="s">
        <v>5553</v>
      </c>
      <c r="R99" s="128" t="s">
        <v>5554</v>
      </c>
      <c r="S99" s="128" t="s">
        <v>5555</v>
      </c>
      <c r="T99" s="128" t="s">
        <v>5556</v>
      </c>
      <c r="U99" s="128" t="s">
        <v>5557</v>
      </c>
      <c r="V99" s="128" t="s">
        <v>5558</v>
      </c>
      <c r="W99" s="128" t="s">
        <v>5559</v>
      </c>
      <c r="X99" s="128" t="s">
        <v>5560</v>
      </c>
      <c r="Y99" s="128" t="s">
        <v>5561</v>
      </c>
      <c r="Z99" s="128" t="s">
        <v>5562</v>
      </c>
      <c r="AA99" s="128" t="s">
        <v>5563</v>
      </c>
      <c r="AB99" s="128" t="s">
        <v>5564</v>
      </c>
      <c r="AC99" s="128" t="s">
        <v>5565</v>
      </c>
      <c r="AD99" s="128" t="s">
        <v>5566</v>
      </c>
      <c r="AE99" s="128" t="s">
        <v>5567</v>
      </c>
      <c r="AF99" s="128" t="s">
        <v>5568</v>
      </c>
    </row>
    <row r="100" spans="3:32" ht="319" x14ac:dyDescent="0.35">
      <c r="C100" s="128" t="s">
        <v>2840</v>
      </c>
      <c r="E100" s="128" t="s">
        <v>2841</v>
      </c>
      <c r="F100" s="128" t="s">
        <v>5569</v>
      </c>
      <c r="G100" s="128" t="s">
        <v>5570</v>
      </c>
      <c r="H100" s="128" t="s">
        <v>2844</v>
      </c>
      <c r="I100" s="128" t="s">
        <v>5571</v>
      </c>
      <c r="J100" s="128" t="s">
        <v>5572</v>
      </c>
      <c r="K100" s="128" t="s">
        <v>5573</v>
      </c>
      <c r="L100" s="128" t="s">
        <v>5574</v>
      </c>
      <c r="M100" s="128" t="s">
        <v>5575</v>
      </c>
      <c r="N100" s="128" t="s">
        <v>5576</v>
      </c>
      <c r="O100" s="128" t="s">
        <v>5577</v>
      </c>
      <c r="P100" s="128" t="s">
        <v>5578</v>
      </c>
      <c r="Q100" s="128" t="s">
        <v>5579</v>
      </c>
      <c r="R100" s="128" t="s">
        <v>5580</v>
      </c>
      <c r="S100" s="128" t="s">
        <v>5581</v>
      </c>
      <c r="T100" s="128" t="s">
        <v>5582</v>
      </c>
      <c r="U100" s="128" t="s">
        <v>5583</v>
      </c>
      <c r="V100" s="128" t="s">
        <v>5584</v>
      </c>
      <c r="W100" s="128" t="s">
        <v>5585</v>
      </c>
      <c r="X100" s="128" t="s">
        <v>5586</v>
      </c>
      <c r="Y100" s="128" t="s">
        <v>5587</v>
      </c>
      <c r="Z100" s="128" t="s">
        <v>5588</v>
      </c>
      <c r="AA100" s="128" t="s">
        <v>5589</v>
      </c>
      <c r="AB100" s="128" t="s">
        <v>5590</v>
      </c>
      <c r="AC100" s="128" t="s">
        <v>5591</v>
      </c>
      <c r="AD100" s="128" t="s">
        <v>5592</v>
      </c>
      <c r="AE100" s="128" t="s">
        <v>5593</v>
      </c>
      <c r="AF100" s="128" t="s">
        <v>5594</v>
      </c>
    </row>
    <row r="101" spans="3:32" ht="319" x14ac:dyDescent="0.35">
      <c r="C101" s="128" t="s">
        <v>2869</v>
      </c>
      <c r="E101" s="128" t="s">
        <v>2870</v>
      </c>
      <c r="F101" s="128" t="s">
        <v>5595</v>
      </c>
      <c r="G101" s="128" t="s">
        <v>5596</v>
      </c>
      <c r="H101" s="128" t="s">
        <v>2873</v>
      </c>
      <c r="I101" s="128" t="s">
        <v>5597</v>
      </c>
      <c r="J101" s="128" t="s">
        <v>5598</v>
      </c>
      <c r="K101" s="128" t="s">
        <v>5599</v>
      </c>
      <c r="L101" s="128" t="s">
        <v>5600</v>
      </c>
      <c r="M101" s="128" t="s">
        <v>5601</v>
      </c>
      <c r="N101" s="128" t="s">
        <v>5602</v>
      </c>
      <c r="O101" s="128" t="s">
        <v>5603</v>
      </c>
      <c r="P101" s="128" t="s">
        <v>5604</v>
      </c>
      <c r="Q101" s="128" t="s">
        <v>5605</v>
      </c>
      <c r="R101" s="128" t="s">
        <v>5606</v>
      </c>
      <c r="S101" s="128" t="s">
        <v>5607</v>
      </c>
      <c r="T101" s="128" t="s">
        <v>5608</v>
      </c>
      <c r="U101" s="128" t="s">
        <v>5609</v>
      </c>
      <c r="V101" s="128" t="s">
        <v>5610</v>
      </c>
      <c r="W101" s="128" t="s">
        <v>5611</v>
      </c>
      <c r="X101" s="128" t="s">
        <v>5612</v>
      </c>
      <c r="Y101" s="128" t="s">
        <v>5613</v>
      </c>
      <c r="Z101" s="128" t="s">
        <v>5614</v>
      </c>
      <c r="AA101" s="128" t="s">
        <v>5615</v>
      </c>
      <c r="AB101" s="128" t="s">
        <v>5616</v>
      </c>
      <c r="AC101" s="128" t="s">
        <v>5617</v>
      </c>
      <c r="AD101" s="128" t="s">
        <v>5618</v>
      </c>
      <c r="AE101" s="128" t="s">
        <v>5619</v>
      </c>
      <c r="AF101" s="128" t="s">
        <v>5620</v>
      </c>
    </row>
    <row r="102" spans="3:32" ht="319" x14ac:dyDescent="0.35">
      <c r="C102" s="128" t="s">
        <v>2898</v>
      </c>
      <c r="E102" s="128" t="s">
        <v>2899</v>
      </c>
      <c r="F102" s="128" t="s">
        <v>5621</v>
      </c>
      <c r="G102" s="128" t="s">
        <v>5622</v>
      </c>
      <c r="H102" s="128" t="s">
        <v>2902</v>
      </c>
      <c r="I102" s="128" t="s">
        <v>5623</v>
      </c>
      <c r="J102" s="128" t="s">
        <v>5624</v>
      </c>
      <c r="K102" s="128" t="s">
        <v>5625</v>
      </c>
      <c r="L102" s="128" t="s">
        <v>5626</v>
      </c>
      <c r="M102" s="128" t="s">
        <v>5627</v>
      </c>
      <c r="N102" s="128" t="s">
        <v>5628</v>
      </c>
      <c r="O102" s="128" t="s">
        <v>5629</v>
      </c>
      <c r="P102" s="128" t="s">
        <v>5630</v>
      </c>
      <c r="Q102" s="128" t="s">
        <v>5631</v>
      </c>
      <c r="R102" s="128" t="s">
        <v>5632</v>
      </c>
      <c r="S102" s="128" t="s">
        <v>5633</v>
      </c>
      <c r="T102" s="128" t="s">
        <v>5634</v>
      </c>
      <c r="U102" s="128" t="s">
        <v>5635</v>
      </c>
      <c r="V102" s="128" t="s">
        <v>5636</v>
      </c>
      <c r="W102" s="128" t="s">
        <v>5637</v>
      </c>
      <c r="X102" s="128" t="s">
        <v>5638</v>
      </c>
      <c r="Y102" s="128" t="s">
        <v>5639</v>
      </c>
      <c r="Z102" s="128" t="s">
        <v>5640</v>
      </c>
      <c r="AA102" s="128" t="s">
        <v>5641</v>
      </c>
      <c r="AB102" s="128" t="s">
        <v>5642</v>
      </c>
      <c r="AC102" s="128" t="s">
        <v>5643</v>
      </c>
      <c r="AD102" s="128" t="s">
        <v>5644</v>
      </c>
      <c r="AE102" s="128" t="s">
        <v>5645</v>
      </c>
      <c r="AF102" s="128" t="s">
        <v>5646</v>
      </c>
    </row>
    <row r="103" spans="3:32" ht="319" x14ac:dyDescent="0.35">
      <c r="C103" s="128" t="s">
        <v>2927</v>
      </c>
      <c r="E103" s="128" t="s">
        <v>2928</v>
      </c>
      <c r="F103" s="128" t="s">
        <v>5647</v>
      </c>
      <c r="G103" s="128" t="s">
        <v>5648</v>
      </c>
      <c r="H103" s="128" t="s">
        <v>2931</v>
      </c>
      <c r="I103" s="128" t="s">
        <v>5649</v>
      </c>
      <c r="J103" s="128" t="s">
        <v>5650</v>
      </c>
      <c r="K103" s="128" t="s">
        <v>5651</v>
      </c>
      <c r="L103" s="128" t="s">
        <v>5652</v>
      </c>
      <c r="M103" s="128" t="s">
        <v>5653</v>
      </c>
      <c r="N103" s="128" t="s">
        <v>5654</v>
      </c>
      <c r="O103" s="128" t="s">
        <v>5655</v>
      </c>
      <c r="P103" s="128" t="s">
        <v>5656</v>
      </c>
      <c r="Q103" s="128" t="s">
        <v>5657</v>
      </c>
      <c r="R103" s="128" t="s">
        <v>5658</v>
      </c>
      <c r="S103" s="128" t="s">
        <v>5659</v>
      </c>
      <c r="T103" s="128" t="s">
        <v>5660</v>
      </c>
      <c r="U103" s="128" t="s">
        <v>5661</v>
      </c>
      <c r="V103" s="128" t="s">
        <v>5662</v>
      </c>
      <c r="W103" s="128" t="s">
        <v>5663</v>
      </c>
      <c r="X103" s="128" t="s">
        <v>5664</v>
      </c>
      <c r="Y103" s="128" t="s">
        <v>5665</v>
      </c>
      <c r="Z103" s="128" t="s">
        <v>5666</v>
      </c>
      <c r="AA103" s="128" t="s">
        <v>5667</v>
      </c>
      <c r="AB103" s="128" t="s">
        <v>5668</v>
      </c>
      <c r="AC103" s="128" t="s">
        <v>5669</v>
      </c>
      <c r="AD103" s="128" t="s">
        <v>5670</v>
      </c>
      <c r="AE103" s="128" t="s">
        <v>5671</v>
      </c>
      <c r="AF103" s="128" t="s">
        <v>5672</v>
      </c>
    </row>
    <row r="104" spans="3:32" ht="319" x14ac:dyDescent="0.35">
      <c r="C104" s="128" t="s">
        <v>2956</v>
      </c>
      <c r="E104" s="128" t="s">
        <v>2957</v>
      </c>
      <c r="F104" s="128" t="s">
        <v>5673</v>
      </c>
      <c r="G104" s="128" t="s">
        <v>5674</v>
      </c>
      <c r="H104" s="128" t="s">
        <v>2960</v>
      </c>
      <c r="I104" s="128" t="s">
        <v>5675</v>
      </c>
      <c r="J104" s="128" t="s">
        <v>5676</v>
      </c>
      <c r="K104" s="128" t="s">
        <v>5677</v>
      </c>
      <c r="L104" s="128" t="s">
        <v>5678</v>
      </c>
      <c r="M104" s="128" t="s">
        <v>5679</v>
      </c>
      <c r="N104" s="128" t="s">
        <v>5680</v>
      </c>
      <c r="O104" s="128" t="s">
        <v>5681</v>
      </c>
      <c r="P104" s="128" t="s">
        <v>5682</v>
      </c>
      <c r="Q104" s="128" t="s">
        <v>5683</v>
      </c>
      <c r="R104" s="128" t="s">
        <v>5684</v>
      </c>
      <c r="S104" s="128" t="s">
        <v>5685</v>
      </c>
      <c r="T104" s="128" t="s">
        <v>5686</v>
      </c>
      <c r="U104" s="128" t="s">
        <v>5687</v>
      </c>
      <c r="V104" s="128" t="s">
        <v>5688</v>
      </c>
      <c r="W104" s="128" t="s">
        <v>5689</v>
      </c>
      <c r="X104" s="128" t="s">
        <v>5690</v>
      </c>
      <c r="Y104" s="128" t="s">
        <v>5691</v>
      </c>
      <c r="Z104" s="128" t="s">
        <v>5692</v>
      </c>
      <c r="AA104" s="128" t="s">
        <v>5693</v>
      </c>
      <c r="AB104" s="128" t="s">
        <v>5694</v>
      </c>
      <c r="AC104" s="128" t="s">
        <v>5695</v>
      </c>
      <c r="AD104" s="128" t="s">
        <v>5696</v>
      </c>
      <c r="AE104" s="128" t="s">
        <v>5697</v>
      </c>
      <c r="AF104" s="128" t="s">
        <v>5698</v>
      </c>
    </row>
    <row r="105" spans="3:32" ht="319" x14ac:dyDescent="0.35">
      <c r="C105" s="128" t="s">
        <v>2985</v>
      </c>
      <c r="E105" s="128" t="s">
        <v>2986</v>
      </c>
      <c r="F105" s="128" t="s">
        <v>5699</v>
      </c>
      <c r="G105" s="128" t="s">
        <v>5700</v>
      </c>
      <c r="H105" s="128" t="s">
        <v>2989</v>
      </c>
      <c r="I105" s="128" t="s">
        <v>5701</v>
      </c>
      <c r="J105" s="128" t="s">
        <v>5702</v>
      </c>
      <c r="K105" s="128" t="s">
        <v>5703</v>
      </c>
      <c r="L105" s="128" t="s">
        <v>5704</v>
      </c>
      <c r="M105" s="128" t="s">
        <v>5705</v>
      </c>
      <c r="N105" s="128" t="s">
        <v>5706</v>
      </c>
      <c r="O105" s="128" t="s">
        <v>5707</v>
      </c>
      <c r="P105" s="128" t="s">
        <v>5708</v>
      </c>
      <c r="Q105" s="128" t="s">
        <v>5709</v>
      </c>
      <c r="R105" s="128" t="s">
        <v>5710</v>
      </c>
      <c r="S105" s="128" t="s">
        <v>5711</v>
      </c>
      <c r="T105" s="128" t="s">
        <v>5712</v>
      </c>
      <c r="U105" s="128" t="s">
        <v>5713</v>
      </c>
      <c r="V105" s="128" t="s">
        <v>5714</v>
      </c>
      <c r="W105" s="128" t="s">
        <v>5715</v>
      </c>
      <c r="X105" s="128" t="s">
        <v>5716</v>
      </c>
      <c r="Y105" s="128" t="s">
        <v>5717</v>
      </c>
      <c r="Z105" s="128" t="s">
        <v>5718</v>
      </c>
      <c r="AA105" s="128" t="s">
        <v>5719</v>
      </c>
      <c r="AB105" s="128" t="s">
        <v>5720</v>
      </c>
      <c r="AC105" s="128" t="s">
        <v>5721</v>
      </c>
      <c r="AD105" s="128" t="s">
        <v>5722</v>
      </c>
      <c r="AE105" s="128" t="s">
        <v>5723</v>
      </c>
      <c r="AF105" s="128" t="s">
        <v>5724</v>
      </c>
    </row>
    <row r="106" spans="3:32" ht="319" x14ac:dyDescent="0.35">
      <c r="C106" s="128" t="s">
        <v>3014</v>
      </c>
      <c r="E106" s="128" t="s">
        <v>3015</v>
      </c>
      <c r="F106" s="128" t="s">
        <v>5725</v>
      </c>
      <c r="G106" s="128" t="s">
        <v>5726</v>
      </c>
      <c r="H106" s="128" t="s">
        <v>3018</v>
      </c>
      <c r="I106" s="128" t="s">
        <v>5727</v>
      </c>
      <c r="J106" s="128" t="s">
        <v>5728</v>
      </c>
      <c r="K106" s="128" t="s">
        <v>5729</v>
      </c>
      <c r="L106" s="128" t="s">
        <v>5730</v>
      </c>
      <c r="M106" s="128" t="s">
        <v>5731</v>
      </c>
      <c r="N106" s="128" t="s">
        <v>5732</v>
      </c>
      <c r="O106" s="128" t="s">
        <v>5733</v>
      </c>
      <c r="P106" s="128" t="s">
        <v>5734</v>
      </c>
      <c r="Q106" s="128" t="s">
        <v>5735</v>
      </c>
      <c r="R106" s="128" t="s">
        <v>5736</v>
      </c>
      <c r="S106" s="128" t="s">
        <v>5737</v>
      </c>
      <c r="T106" s="128" t="s">
        <v>5738</v>
      </c>
      <c r="U106" s="128" t="s">
        <v>5739</v>
      </c>
      <c r="V106" s="128" t="s">
        <v>5740</v>
      </c>
      <c r="W106" s="128" t="s">
        <v>5741</v>
      </c>
      <c r="X106" s="128" t="s">
        <v>5742</v>
      </c>
      <c r="Y106" s="128" t="s">
        <v>5743</v>
      </c>
      <c r="Z106" s="128" t="s">
        <v>5744</v>
      </c>
      <c r="AA106" s="128" t="s">
        <v>5745</v>
      </c>
      <c r="AB106" s="128" t="s">
        <v>5746</v>
      </c>
      <c r="AC106" s="128" t="s">
        <v>5747</v>
      </c>
      <c r="AD106" s="128" t="s">
        <v>5748</v>
      </c>
      <c r="AE106" s="128" t="s">
        <v>5749</v>
      </c>
      <c r="AF106" s="128" t="s">
        <v>5750</v>
      </c>
    </row>
    <row r="107" spans="3:32" ht="319" x14ac:dyDescent="0.35">
      <c r="C107" s="128" t="s">
        <v>3043</v>
      </c>
      <c r="E107" s="128" t="s">
        <v>3044</v>
      </c>
      <c r="F107" s="128" t="s">
        <v>5751</v>
      </c>
      <c r="G107" s="128" t="s">
        <v>5752</v>
      </c>
      <c r="H107" s="128" t="s">
        <v>3047</v>
      </c>
      <c r="I107" s="128" t="s">
        <v>5753</v>
      </c>
      <c r="J107" s="128" t="s">
        <v>5754</v>
      </c>
      <c r="K107" s="128" t="s">
        <v>5755</v>
      </c>
      <c r="L107" s="128" t="s">
        <v>5756</v>
      </c>
      <c r="M107" s="128" t="s">
        <v>5757</v>
      </c>
      <c r="N107" s="128" t="s">
        <v>5758</v>
      </c>
      <c r="O107" s="128" t="s">
        <v>5759</v>
      </c>
      <c r="P107" s="128" t="s">
        <v>5760</v>
      </c>
      <c r="Q107" s="128" t="s">
        <v>5761</v>
      </c>
      <c r="R107" s="128" t="s">
        <v>5762</v>
      </c>
      <c r="S107" s="128" t="s">
        <v>5763</v>
      </c>
      <c r="T107" s="128" t="s">
        <v>5764</v>
      </c>
      <c r="U107" s="128" t="s">
        <v>5765</v>
      </c>
      <c r="V107" s="128" t="s">
        <v>5766</v>
      </c>
      <c r="W107" s="128" t="s">
        <v>5767</v>
      </c>
      <c r="X107" s="128" t="s">
        <v>5768</v>
      </c>
      <c r="Y107" s="128" t="s">
        <v>5769</v>
      </c>
      <c r="Z107" s="128" t="s">
        <v>5770</v>
      </c>
      <c r="AA107" s="128" t="s">
        <v>5771</v>
      </c>
      <c r="AB107" s="128" t="s">
        <v>5772</v>
      </c>
      <c r="AC107" s="128" t="s">
        <v>5773</v>
      </c>
      <c r="AD107" s="128" t="s">
        <v>5774</v>
      </c>
      <c r="AE107" s="128" t="s">
        <v>5775</v>
      </c>
      <c r="AF107" s="128" t="s">
        <v>5776</v>
      </c>
    </row>
    <row r="108" spans="3:32" ht="319" x14ac:dyDescent="0.35">
      <c r="C108" s="128" t="s">
        <v>3072</v>
      </c>
      <c r="E108" s="128" t="s">
        <v>3073</v>
      </c>
      <c r="F108" s="128" t="s">
        <v>5777</v>
      </c>
      <c r="G108" s="128" t="s">
        <v>5778</v>
      </c>
      <c r="H108" s="128" t="s">
        <v>3076</v>
      </c>
      <c r="I108" s="128" t="s">
        <v>5779</v>
      </c>
      <c r="J108" s="128" t="s">
        <v>5780</v>
      </c>
      <c r="K108" s="128" t="s">
        <v>5781</v>
      </c>
      <c r="L108" s="128" t="s">
        <v>5782</v>
      </c>
      <c r="M108" s="128" t="s">
        <v>5783</v>
      </c>
      <c r="N108" s="128" t="s">
        <v>5784</v>
      </c>
      <c r="O108" s="128" t="s">
        <v>5785</v>
      </c>
      <c r="P108" s="128" t="s">
        <v>5786</v>
      </c>
      <c r="Q108" s="128" t="s">
        <v>5787</v>
      </c>
      <c r="R108" s="128" t="s">
        <v>5788</v>
      </c>
      <c r="S108" s="128" t="s">
        <v>5789</v>
      </c>
      <c r="T108" s="128" t="s">
        <v>5790</v>
      </c>
      <c r="U108" s="128" t="s">
        <v>5791</v>
      </c>
      <c r="V108" s="128" t="s">
        <v>5792</v>
      </c>
      <c r="W108" s="128" t="s">
        <v>5793</v>
      </c>
      <c r="X108" s="128" t="s">
        <v>5794</v>
      </c>
      <c r="Y108" s="128" t="s">
        <v>5795</v>
      </c>
      <c r="Z108" s="128" t="s">
        <v>5796</v>
      </c>
      <c r="AA108" s="128" t="s">
        <v>5797</v>
      </c>
      <c r="AB108" s="128" t="s">
        <v>5798</v>
      </c>
      <c r="AC108" s="128" t="s">
        <v>5799</v>
      </c>
      <c r="AD108" s="128" t="s">
        <v>5800</v>
      </c>
      <c r="AE108" s="128" t="s">
        <v>5801</v>
      </c>
      <c r="AF108" s="128" t="s">
        <v>5802</v>
      </c>
    </row>
    <row r="109" spans="3:32" ht="319" x14ac:dyDescent="0.35">
      <c r="C109" s="128" t="s">
        <v>3101</v>
      </c>
      <c r="E109" s="128" t="s">
        <v>3102</v>
      </c>
      <c r="F109" s="128" t="s">
        <v>5803</v>
      </c>
      <c r="G109" s="128" t="s">
        <v>5804</v>
      </c>
      <c r="H109" s="128" t="s">
        <v>3105</v>
      </c>
      <c r="I109" s="128" t="s">
        <v>5805</v>
      </c>
      <c r="J109" s="128" t="s">
        <v>5806</v>
      </c>
      <c r="K109" s="128" t="s">
        <v>5807</v>
      </c>
      <c r="L109" s="128" t="s">
        <v>5808</v>
      </c>
      <c r="M109" s="128" t="s">
        <v>5809</v>
      </c>
      <c r="N109" s="128" t="s">
        <v>5810</v>
      </c>
      <c r="O109" s="128" t="s">
        <v>5811</v>
      </c>
      <c r="P109" s="128" t="s">
        <v>5812</v>
      </c>
      <c r="Q109" s="128" t="s">
        <v>5813</v>
      </c>
      <c r="R109" s="128" t="s">
        <v>5814</v>
      </c>
      <c r="S109" s="128" t="s">
        <v>5815</v>
      </c>
      <c r="T109" s="128" t="s">
        <v>5816</v>
      </c>
      <c r="U109" s="128" t="s">
        <v>5817</v>
      </c>
      <c r="V109" s="128" t="s">
        <v>5818</v>
      </c>
      <c r="W109" s="128" t="s">
        <v>5819</v>
      </c>
      <c r="X109" s="128" t="s">
        <v>5820</v>
      </c>
      <c r="Y109" s="128" t="s">
        <v>5821</v>
      </c>
      <c r="Z109" s="128" t="s">
        <v>5822</v>
      </c>
      <c r="AA109" s="128" t="s">
        <v>5823</v>
      </c>
      <c r="AB109" s="128" t="s">
        <v>5824</v>
      </c>
      <c r="AC109" s="128" t="s">
        <v>5825</v>
      </c>
      <c r="AD109" s="128" t="s">
        <v>5826</v>
      </c>
      <c r="AE109" s="128" t="s">
        <v>5827</v>
      </c>
      <c r="AF109" s="128" t="s">
        <v>5828</v>
      </c>
    </row>
    <row r="110" spans="3:32" ht="319" x14ac:dyDescent="0.35">
      <c r="C110" s="128" t="s">
        <v>3130</v>
      </c>
      <c r="E110" s="128" t="s">
        <v>3131</v>
      </c>
      <c r="F110" s="128" t="s">
        <v>5829</v>
      </c>
      <c r="G110" s="128" t="s">
        <v>5830</v>
      </c>
      <c r="H110" s="128" t="s">
        <v>3134</v>
      </c>
      <c r="I110" s="128" t="s">
        <v>5831</v>
      </c>
      <c r="J110" s="128" t="s">
        <v>5832</v>
      </c>
      <c r="K110" s="128" t="s">
        <v>5833</v>
      </c>
      <c r="L110" s="128" t="s">
        <v>5834</v>
      </c>
      <c r="M110" s="128" t="s">
        <v>5835</v>
      </c>
      <c r="N110" s="128" t="s">
        <v>5836</v>
      </c>
      <c r="O110" s="128" t="s">
        <v>5837</v>
      </c>
      <c r="P110" s="128" t="s">
        <v>5838</v>
      </c>
      <c r="Q110" s="128" t="s">
        <v>5839</v>
      </c>
      <c r="R110" s="128" t="s">
        <v>5840</v>
      </c>
      <c r="S110" s="128" t="s">
        <v>5841</v>
      </c>
      <c r="T110" s="128" t="s">
        <v>5842</v>
      </c>
      <c r="U110" s="128" t="s">
        <v>5843</v>
      </c>
      <c r="V110" s="128" t="s">
        <v>5844</v>
      </c>
      <c r="W110" s="128" t="s">
        <v>5845</v>
      </c>
      <c r="X110" s="128" t="s">
        <v>5846</v>
      </c>
      <c r="Y110" s="128" t="s">
        <v>5847</v>
      </c>
      <c r="Z110" s="128" t="s">
        <v>5848</v>
      </c>
      <c r="AA110" s="128" t="s">
        <v>5849</v>
      </c>
      <c r="AB110" s="128" t="s">
        <v>5850</v>
      </c>
      <c r="AC110" s="128" t="s">
        <v>5851</v>
      </c>
      <c r="AD110" s="128" t="s">
        <v>5852</v>
      </c>
      <c r="AE110" s="128" t="s">
        <v>5853</v>
      </c>
      <c r="AF110" s="128" t="s">
        <v>5854</v>
      </c>
    </row>
    <row r="111" spans="3:32" ht="319" x14ac:dyDescent="0.35">
      <c r="C111" s="128" t="s">
        <v>3159</v>
      </c>
      <c r="E111" s="128" t="s">
        <v>3160</v>
      </c>
      <c r="F111" s="128" t="s">
        <v>5855</v>
      </c>
      <c r="G111" s="128" t="s">
        <v>5856</v>
      </c>
      <c r="H111" s="128" t="s">
        <v>3163</v>
      </c>
      <c r="I111" s="128" t="s">
        <v>5857</v>
      </c>
      <c r="J111" s="128" t="s">
        <v>5858</v>
      </c>
      <c r="K111" s="128" t="s">
        <v>5859</v>
      </c>
      <c r="L111" s="128" t="s">
        <v>5860</v>
      </c>
      <c r="M111" s="128" t="s">
        <v>5861</v>
      </c>
      <c r="N111" s="128" t="s">
        <v>5862</v>
      </c>
      <c r="O111" s="128" t="s">
        <v>5863</v>
      </c>
      <c r="P111" s="128" t="s">
        <v>5864</v>
      </c>
      <c r="Q111" s="128" t="s">
        <v>5865</v>
      </c>
      <c r="R111" s="128" t="s">
        <v>5866</v>
      </c>
      <c r="S111" s="128" t="s">
        <v>5867</v>
      </c>
      <c r="T111" s="128" t="s">
        <v>5868</v>
      </c>
      <c r="U111" s="128" t="s">
        <v>5869</v>
      </c>
      <c r="V111" s="128" t="s">
        <v>5870</v>
      </c>
      <c r="W111" s="128" t="s">
        <v>5871</v>
      </c>
      <c r="X111" s="128" t="s">
        <v>5872</v>
      </c>
      <c r="Y111" s="128" t="s">
        <v>5873</v>
      </c>
      <c r="Z111" s="128" t="s">
        <v>5874</v>
      </c>
      <c r="AA111" s="128" t="s">
        <v>5875</v>
      </c>
      <c r="AB111" s="128" t="s">
        <v>5876</v>
      </c>
      <c r="AC111" s="128" t="s">
        <v>5877</v>
      </c>
      <c r="AD111" s="128" t="s">
        <v>5878</v>
      </c>
      <c r="AE111" s="128" t="s">
        <v>5879</v>
      </c>
      <c r="AF111" s="128" t="s">
        <v>5880</v>
      </c>
    </row>
    <row r="112" spans="3:32" ht="319" x14ac:dyDescent="0.35">
      <c r="C112" s="128" t="s">
        <v>3188</v>
      </c>
      <c r="E112" s="128" t="s">
        <v>3189</v>
      </c>
      <c r="F112" s="128" t="s">
        <v>5881</v>
      </c>
      <c r="G112" s="128" t="s">
        <v>5882</v>
      </c>
      <c r="H112" s="128" t="s">
        <v>3192</v>
      </c>
      <c r="I112" s="128" t="s">
        <v>5883</v>
      </c>
      <c r="J112" s="128" t="s">
        <v>5884</v>
      </c>
      <c r="K112" s="128" t="s">
        <v>5885</v>
      </c>
      <c r="L112" s="128" t="s">
        <v>5886</v>
      </c>
      <c r="M112" s="128" t="s">
        <v>5887</v>
      </c>
      <c r="N112" s="128" t="s">
        <v>5888</v>
      </c>
      <c r="O112" s="128" t="s">
        <v>5889</v>
      </c>
      <c r="P112" s="128" t="s">
        <v>5890</v>
      </c>
      <c r="Q112" s="128" t="s">
        <v>5891</v>
      </c>
      <c r="R112" s="128" t="s">
        <v>5892</v>
      </c>
      <c r="S112" s="128" t="s">
        <v>5893</v>
      </c>
      <c r="T112" s="128" t="s">
        <v>5894</v>
      </c>
      <c r="U112" s="128" t="s">
        <v>5895</v>
      </c>
      <c r="V112" s="128" t="s">
        <v>5896</v>
      </c>
      <c r="W112" s="128" t="s">
        <v>5897</v>
      </c>
      <c r="X112" s="128" t="s">
        <v>5898</v>
      </c>
      <c r="Y112" s="128" t="s">
        <v>5899</v>
      </c>
      <c r="Z112" s="128" t="s">
        <v>5900</v>
      </c>
      <c r="AA112" s="128" t="s">
        <v>5901</v>
      </c>
      <c r="AB112" s="128" t="s">
        <v>5902</v>
      </c>
      <c r="AC112" s="128" t="s">
        <v>5903</v>
      </c>
      <c r="AD112" s="128" t="s">
        <v>5904</v>
      </c>
      <c r="AE112" s="128" t="s">
        <v>5905</v>
      </c>
      <c r="AF112" s="128" t="s">
        <v>5906</v>
      </c>
    </row>
    <row r="113" spans="3:32" ht="319" x14ac:dyDescent="0.35">
      <c r="C113" s="128" t="s">
        <v>3217</v>
      </c>
      <c r="E113" s="128" t="s">
        <v>3218</v>
      </c>
      <c r="F113" s="128" t="s">
        <v>5907</v>
      </c>
      <c r="G113" s="128" t="s">
        <v>5908</v>
      </c>
      <c r="H113" s="128" t="s">
        <v>3221</v>
      </c>
      <c r="I113" s="128" t="s">
        <v>5909</v>
      </c>
      <c r="J113" s="128" t="s">
        <v>5910</v>
      </c>
      <c r="K113" s="128" t="s">
        <v>5911</v>
      </c>
      <c r="L113" s="128" t="s">
        <v>5912</v>
      </c>
      <c r="M113" s="128" t="s">
        <v>5913</v>
      </c>
      <c r="N113" s="128" t="s">
        <v>5914</v>
      </c>
      <c r="O113" s="128" t="s">
        <v>5915</v>
      </c>
      <c r="P113" s="128" t="s">
        <v>5916</v>
      </c>
      <c r="Q113" s="128" t="s">
        <v>5917</v>
      </c>
      <c r="R113" s="128" t="s">
        <v>5918</v>
      </c>
      <c r="S113" s="128" t="s">
        <v>5919</v>
      </c>
      <c r="T113" s="128" t="s">
        <v>5920</v>
      </c>
      <c r="U113" s="128" t="s">
        <v>5921</v>
      </c>
      <c r="V113" s="128" t="s">
        <v>5922</v>
      </c>
      <c r="W113" s="128" t="s">
        <v>5923</v>
      </c>
      <c r="X113" s="128" t="s">
        <v>5924</v>
      </c>
      <c r="Y113" s="128" t="s">
        <v>5925</v>
      </c>
      <c r="Z113" s="128" t="s">
        <v>5926</v>
      </c>
      <c r="AA113" s="128" t="s">
        <v>5927</v>
      </c>
      <c r="AB113" s="128" t="s">
        <v>5928</v>
      </c>
      <c r="AC113" s="128" t="s">
        <v>5929</v>
      </c>
      <c r="AD113" s="128" t="s">
        <v>5930</v>
      </c>
      <c r="AE113" s="128" t="s">
        <v>5931</v>
      </c>
      <c r="AF113" s="128" t="s">
        <v>5932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13"/>
  <sheetViews>
    <sheetView workbookViewId="0"/>
  </sheetViews>
  <sheetFormatPr defaultRowHeight="14.5" x14ac:dyDescent="0.35"/>
  <sheetData>
    <row r="1" spans="1:32" x14ac:dyDescent="0.35">
      <c r="A1" s="127" t="s">
        <v>5933</v>
      </c>
      <c r="B1" s="127" t="s">
        <v>22</v>
      </c>
      <c r="C1" s="127" t="s">
        <v>22</v>
      </c>
      <c r="D1" s="127" t="s">
        <v>22</v>
      </c>
      <c r="G1" s="127" t="s">
        <v>21</v>
      </c>
    </row>
    <row r="2" spans="1:32" x14ac:dyDescent="0.35">
      <c r="A2" s="127" t="s">
        <v>22</v>
      </c>
    </row>
    <row r="3" spans="1:32" ht="87" x14ac:dyDescent="0.35">
      <c r="A3" s="127" t="s">
        <v>22</v>
      </c>
      <c r="C3" s="127" t="s">
        <v>73</v>
      </c>
      <c r="E3" s="127" t="s">
        <v>74</v>
      </c>
      <c r="G3" s="127" t="s">
        <v>3303</v>
      </c>
      <c r="I3" s="127" t="s">
        <v>269</v>
      </c>
      <c r="J3" s="128" t="s">
        <v>270</v>
      </c>
      <c r="K3" s="128" t="s">
        <v>271</v>
      </c>
      <c r="L3" s="128" t="s">
        <v>272</v>
      </c>
      <c r="M3" s="128" t="s">
        <v>273</v>
      </c>
      <c r="N3" s="128" t="s">
        <v>274</v>
      </c>
      <c r="O3" s="128" t="s">
        <v>275</v>
      </c>
      <c r="P3" s="128" t="s">
        <v>276</v>
      </c>
      <c r="Q3" s="128" t="s">
        <v>277</v>
      </c>
      <c r="R3" s="128" t="s">
        <v>278</v>
      </c>
      <c r="S3" s="128" t="s">
        <v>279</v>
      </c>
      <c r="T3" s="128" t="s">
        <v>280</v>
      </c>
      <c r="U3" s="128" t="s">
        <v>281</v>
      </c>
      <c r="V3" s="128" t="s">
        <v>282</v>
      </c>
      <c r="W3" s="128" t="s">
        <v>283</v>
      </c>
      <c r="X3" s="128" t="s">
        <v>284</v>
      </c>
      <c r="Y3" s="128" t="s">
        <v>285</v>
      </c>
      <c r="Z3" s="128" t="s">
        <v>286</v>
      </c>
      <c r="AA3" s="128" t="s">
        <v>287</v>
      </c>
      <c r="AB3" s="128" t="s">
        <v>288</v>
      </c>
      <c r="AC3" s="128" t="s">
        <v>289</v>
      </c>
      <c r="AD3" s="128" t="s">
        <v>290</v>
      </c>
      <c r="AE3" s="128" t="s">
        <v>291</v>
      </c>
      <c r="AF3" s="128" t="s">
        <v>292</v>
      </c>
    </row>
    <row r="4" spans="1:32" x14ac:dyDescent="0.35">
      <c r="A4" s="127" t="s">
        <v>22</v>
      </c>
      <c r="C4" s="127" t="s">
        <v>3304</v>
      </c>
      <c r="E4" s="127" t="s">
        <v>75</v>
      </c>
      <c r="I4" s="127" t="s">
        <v>3305</v>
      </c>
      <c r="J4" s="127" t="s">
        <v>3306</v>
      </c>
      <c r="K4" s="127" t="s">
        <v>3307</v>
      </c>
      <c r="L4" s="127" t="s">
        <v>3308</v>
      </c>
      <c r="M4" s="127" t="s">
        <v>3309</v>
      </c>
      <c r="N4" s="127" t="s">
        <v>3310</v>
      </c>
      <c r="O4" s="127" t="s">
        <v>3311</v>
      </c>
      <c r="P4" s="127" t="s">
        <v>3312</v>
      </c>
      <c r="Q4" s="127" t="s">
        <v>3313</v>
      </c>
      <c r="R4" s="127" t="s">
        <v>3314</v>
      </c>
      <c r="S4" s="127" t="s">
        <v>3315</v>
      </c>
      <c r="T4" s="127" t="s">
        <v>3316</v>
      </c>
      <c r="U4" s="127" t="s">
        <v>3317</v>
      </c>
      <c r="V4" s="127" t="s">
        <v>3318</v>
      </c>
      <c r="W4" s="127" t="s">
        <v>3319</v>
      </c>
      <c r="X4" s="127" t="s">
        <v>3320</v>
      </c>
      <c r="Y4" s="127" t="s">
        <v>3321</v>
      </c>
      <c r="Z4" s="127" t="s">
        <v>3322</v>
      </c>
      <c r="AA4" s="127" t="s">
        <v>3323</v>
      </c>
      <c r="AB4" s="127" t="s">
        <v>3324</v>
      </c>
      <c r="AC4" s="127" t="s">
        <v>3325</v>
      </c>
      <c r="AD4" s="127" t="s">
        <v>3326</v>
      </c>
      <c r="AE4" s="127" t="s">
        <v>3327</v>
      </c>
      <c r="AF4" s="127" t="s">
        <v>3328</v>
      </c>
    </row>
    <row r="5" spans="1:32" x14ac:dyDescent="0.35">
      <c r="A5" s="127" t="s">
        <v>22</v>
      </c>
    </row>
    <row r="6" spans="1:32" x14ac:dyDescent="0.35">
      <c r="G6" s="127" t="s">
        <v>79</v>
      </c>
      <c r="J6" s="127" t="s">
        <v>90</v>
      </c>
      <c r="L6" s="127" t="s">
        <v>3329</v>
      </c>
    </row>
    <row r="7" spans="1:32" x14ac:dyDescent="0.35">
      <c r="G7" s="127" t="s">
        <v>80</v>
      </c>
      <c r="J7" s="127" t="s">
        <v>77</v>
      </c>
      <c r="M7" s="127" t="s">
        <v>12</v>
      </c>
      <c r="P7" s="127" t="s">
        <v>20</v>
      </c>
    </row>
    <row r="8" spans="1:32" x14ac:dyDescent="0.35">
      <c r="G8" s="127" t="s">
        <v>88</v>
      </c>
      <c r="H8" s="127" t="s">
        <v>3330</v>
      </c>
      <c r="J8" s="127" t="s">
        <v>3331</v>
      </c>
    </row>
    <row r="9" spans="1:32" x14ac:dyDescent="0.35">
      <c r="G9" s="127" t="s">
        <v>85</v>
      </c>
      <c r="H9" s="127" t="s">
        <v>320</v>
      </c>
    </row>
    <row r="10" spans="1:32" x14ac:dyDescent="0.35">
      <c r="J10" s="127" t="s">
        <v>76</v>
      </c>
      <c r="M10" s="127" t="s">
        <v>13</v>
      </c>
      <c r="P10" s="127" t="s">
        <v>89</v>
      </c>
    </row>
    <row r="11" spans="1:32" ht="159.5" x14ac:dyDescent="0.35">
      <c r="E11" s="127" t="s">
        <v>10</v>
      </c>
      <c r="F11" s="127" t="s">
        <v>2</v>
      </c>
      <c r="G11" s="127" t="s">
        <v>3</v>
      </c>
      <c r="H11" s="127" t="s">
        <v>82</v>
      </c>
      <c r="I11" s="128" t="s">
        <v>3332</v>
      </c>
      <c r="J11" s="128" t="s">
        <v>323</v>
      </c>
      <c r="K11" s="128" t="s">
        <v>324</v>
      </c>
      <c r="L11" s="128" t="s">
        <v>325</v>
      </c>
      <c r="M11" s="128" t="s">
        <v>326</v>
      </c>
      <c r="N11" s="128" t="s">
        <v>327</v>
      </c>
      <c r="O11" s="128" t="s">
        <v>328</v>
      </c>
      <c r="P11" s="128" t="s">
        <v>329</v>
      </c>
      <c r="Q11" s="128" t="s">
        <v>330</v>
      </c>
      <c r="R11" s="128" t="s">
        <v>331</v>
      </c>
      <c r="S11" s="128" t="s">
        <v>332</v>
      </c>
      <c r="T11" s="128" t="s">
        <v>333</v>
      </c>
      <c r="U11" s="128" t="s">
        <v>334</v>
      </c>
      <c r="V11" s="128" t="s">
        <v>335</v>
      </c>
      <c r="W11" s="128" t="s">
        <v>336</v>
      </c>
      <c r="X11" s="128" t="s">
        <v>337</v>
      </c>
      <c r="Y11" s="128" t="s">
        <v>338</v>
      </c>
      <c r="Z11" s="128" t="s">
        <v>339</v>
      </c>
      <c r="AA11" s="128" t="s">
        <v>340</v>
      </c>
      <c r="AB11" s="128" t="s">
        <v>341</v>
      </c>
      <c r="AC11" s="128" t="s">
        <v>342</v>
      </c>
      <c r="AD11" s="128" t="s">
        <v>343</v>
      </c>
      <c r="AE11" s="128" t="s">
        <v>344</v>
      </c>
      <c r="AF11" s="128" t="s">
        <v>345</v>
      </c>
    </row>
    <row r="12" spans="1:32" x14ac:dyDescent="0.35">
      <c r="H12" s="127" t="s">
        <v>346</v>
      </c>
    </row>
    <row r="14" spans="1:32" ht="319" x14ac:dyDescent="0.35">
      <c r="C14" s="127" t="s">
        <v>269</v>
      </c>
      <c r="E14" s="128" t="s">
        <v>347</v>
      </c>
      <c r="F14" s="128" t="s">
        <v>3333</v>
      </c>
      <c r="G14" s="128" t="s">
        <v>3334</v>
      </c>
      <c r="H14" s="128" t="s">
        <v>350</v>
      </c>
      <c r="I14" s="128" t="s">
        <v>3335</v>
      </c>
      <c r="J14" s="128" t="s">
        <v>3336</v>
      </c>
      <c r="K14" s="128" t="s">
        <v>3337</v>
      </c>
      <c r="L14" s="128" t="s">
        <v>3338</v>
      </c>
      <c r="M14" s="128" t="s">
        <v>3339</v>
      </c>
      <c r="N14" s="128" t="s">
        <v>3340</v>
      </c>
      <c r="O14" s="128" t="s">
        <v>3341</v>
      </c>
      <c r="P14" s="128" t="s">
        <v>3342</v>
      </c>
      <c r="Q14" s="128" t="s">
        <v>3343</v>
      </c>
      <c r="R14" s="128" t="s">
        <v>3344</v>
      </c>
      <c r="S14" s="128" t="s">
        <v>3345</v>
      </c>
      <c r="T14" s="128" t="s">
        <v>3346</v>
      </c>
      <c r="U14" s="128" t="s">
        <v>3347</v>
      </c>
      <c r="V14" s="128" t="s">
        <v>3348</v>
      </c>
      <c r="W14" s="128" t="s">
        <v>3349</v>
      </c>
      <c r="X14" s="128" t="s">
        <v>3350</v>
      </c>
      <c r="Y14" s="128" t="s">
        <v>3351</v>
      </c>
      <c r="Z14" s="128" t="s">
        <v>3352</v>
      </c>
      <c r="AA14" s="128" t="s">
        <v>3353</v>
      </c>
      <c r="AB14" s="128" t="s">
        <v>3354</v>
      </c>
      <c r="AC14" s="128" t="s">
        <v>3355</v>
      </c>
      <c r="AD14" s="128" t="s">
        <v>3356</v>
      </c>
      <c r="AE14" s="128" t="s">
        <v>3357</v>
      </c>
      <c r="AF14" s="128" t="s">
        <v>3358</v>
      </c>
    </row>
    <row r="15" spans="1:32" ht="319" x14ac:dyDescent="0.35">
      <c r="C15" s="128" t="s">
        <v>375</v>
      </c>
      <c r="E15" s="128" t="s">
        <v>376</v>
      </c>
      <c r="F15" s="128" t="s">
        <v>3359</v>
      </c>
      <c r="G15" s="128" t="s">
        <v>3360</v>
      </c>
      <c r="H15" s="128" t="s">
        <v>379</v>
      </c>
      <c r="I15" s="128" t="s">
        <v>3361</v>
      </c>
      <c r="J15" s="128" t="s">
        <v>3362</v>
      </c>
      <c r="K15" s="128" t="s">
        <v>3363</v>
      </c>
      <c r="L15" s="128" t="s">
        <v>3364</v>
      </c>
      <c r="M15" s="128" t="s">
        <v>3365</v>
      </c>
      <c r="N15" s="128" t="s">
        <v>3366</v>
      </c>
      <c r="O15" s="128" t="s">
        <v>3367</v>
      </c>
      <c r="P15" s="128" t="s">
        <v>3368</v>
      </c>
      <c r="Q15" s="128" t="s">
        <v>3369</v>
      </c>
      <c r="R15" s="128" t="s">
        <v>3370</v>
      </c>
      <c r="S15" s="128" t="s">
        <v>3371</v>
      </c>
      <c r="T15" s="128" t="s">
        <v>3372</v>
      </c>
      <c r="U15" s="128" t="s">
        <v>3373</v>
      </c>
      <c r="V15" s="128" t="s">
        <v>3374</v>
      </c>
      <c r="W15" s="128" t="s">
        <v>3375</v>
      </c>
      <c r="X15" s="128" t="s">
        <v>3376</v>
      </c>
      <c r="Y15" s="128" t="s">
        <v>3377</v>
      </c>
      <c r="Z15" s="128" t="s">
        <v>3378</v>
      </c>
      <c r="AA15" s="128" t="s">
        <v>3379</v>
      </c>
      <c r="AB15" s="128" t="s">
        <v>3380</v>
      </c>
      <c r="AC15" s="128" t="s">
        <v>3381</v>
      </c>
      <c r="AD15" s="128" t="s">
        <v>3382</v>
      </c>
      <c r="AE15" s="128" t="s">
        <v>3383</v>
      </c>
      <c r="AF15" s="128" t="s">
        <v>3384</v>
      </c>
    </row>
    <row r="16" spans="1:32" ht="319" x14ac:dyDescent="0.35">
      <c r="C16" s="128" t="s">
        <v>404</v>
      </c>
      <c r="E16" s="128" t="s">
        <v>405</v>
      </c>
      <c r="F16" s="128" t="s">
        <v>3385</v>
      </c>
      <c r="G16" s="128" t="s">
        <v>3386</v>
      </c>
      <c r="H16" s="128" t="s">
        <v>408</v>
      </c>
      <c r="I16" s="128" t="s">
        <v>3387</v>
      </c>
      <c r="J16" s="128" t="s">
        <v>3388</v>
      </c>
      <c r="K16" s="128" t="s">
        <v>3389</v>
      </c>
      <c r="L16" s="128" t="s">
        <v>3390</v>
      </c>
      <c r="M16" s="128" t="s">
        <v>3391</v>
      </c>
      <c r="N16" s="128" t="s">
        <v>3392</v>
      </c>
      <c r="O16" s="128" t="s">
        <v>3393</v>
      </c>
      <c r="P16" s="128" t="s">
        <v>3394</v>
      </c>
      <c r="Q16" s="128" t="s">
        <v>3395</v>
      </c>
      <c r="R16" s="128" t="s">
        <v>3396</v>
      </c>
      <c r="S16" s="128" t="s">
        <v>3397</v>
      </c>
      <c r="T16" s="128" t="s">
        <v>3398</v>
      </c>
      <c r="U16" s="128" t="s">
        <v>3399</v>
      </c>
      <c r="V16" s="128" t="s">
        <v>3400</v>
      </c>
      <c r="W16" s="128" t="s">
        <v>3401</v>
      </c>
      <c r="X16" s="128" t="s">
        <v>3402</v>
      </c>
      <c r="Y16" s="128" t="s">
        <v>3403</v>
      </c>
      <c r="Z16" s="128" t="s">
        <v>3404</v>
      </c>
      <c r="AA16" s="128" t="s">
        <v>3405</v>
      </c>
      <c r="AB16" s="128" t="s">
        <v>3406</v>
      </c>
      <c r="AC16" s="128" t="s">
        <v>3407</v>
      </c>
      <c r="AD16" s="128" t="s">
        <v>3408</v>
      </c>
      <c r="AE16" s="128" t="s">
        <v>3409</v>
      </c>
      <c r="AF16" s="128" t="s">
        <v>3410</v>
      </c>
    </row>
    <row r="17" spans="3:32" ht="319" x14ac:dyDescent="0.35">
      <c r="C17" s="128" t="s">
        <v>433</v>
      </c>
      <c r="E17" s="128" t="s">
        <v>434</v>
      </c>
      <c r="F17" s="128" t="s">
        <v>3411</v>
      </c>
      <c r="G17" s="128" t="s">
        <v>3412</v>
      </c>
      <c r="H17" s="128" t="s">
        <v>437</v>
      </c>
      <c r="I17" s="128" t="s">
        <v>3413</v>
      </c>
      <c r="J17" s="128" t="s">
        <v>3414</v>
      </c>
      <c r="K17" s="128" t="s">
        <v>3415</v>
      </c>
      <c r="L17" s="128" t="s">
        <v>3416</v>
      </c>
      <c r="M17" s="128" t="s">
        <v>3417</v>
      </c>
      <c r="N17" s="128" t="s">
        <v>3418</v>
      </c>
      <c r="O17" s="128" t="s">
        <v>3419</v>
      </c>
      <c r="P17" s="128" t="s">
        <v>3420</v>
      </c>
      <c r="Q17" s="128" t="s">
        <v>3421</v>
      </c>
      <c r="R17" s="128" t="s">
        <v>3422</v>
      </c>
      <c r="S17" s="128" t="s">
        <v>3423</v>
      </c>
      <c r="T17" s="128" t="s">
        <v>3424</v>
      </c>
      <c r="U17" s="128" t="s">
        <v>3425</v>
      </c>
      <c r="V17" s="128" t="s">
        <v>3426</v>
      </c>
      <c r="W17" s="128" t="s">
        <v>3427</v>
      </c>
      <c r="X17" s="128" t="s">
        <v>3428</v>
      </c>
      <c r="Y17" s="128" t="s">
        <v>3429</v>
      </c>
      <c r="Z17" s="128" t="s">
        <v>3430</v>
      </c>
      <c r="AA17" s="128" t="s">
        <v>3431</v>
      </c>
      <c r="AB17" s="128" t="s">
        <v>3432</v>
      </c>
      <c r="AC17" s="128" t="s">
        <v>3433</v>
      </c>
      <c r="AD17" s="128" t="s">
        <v>3434</v>
      </c>
      <c r="AE17" s="128" t="s">
        <v>3435</v>
      </c>
      <c r="AF17" s="128" t="s">
        <v>3436</v>
      </c>
    </row>
    <row r="18" spans="3:32" ht="319" x14ac:dyDescent="0.35">
      <c r="C18" s="128" t="s">
        <v>462</v>
      </c>
      <c r="E18" s="128" t="s">
        <v>463</v>
      </c>
      <c r="F18" s="128" t="s">
        <v>3437</v>
      </c>
      <c r="G18" s="128" t="s">
        <v>3438</v>
      </c>
      <c r="H18" s="128" t="s">
        <v>466</v>
      </c>
      <c r="I18" s="128" t="s">
        <v>3439</v>
      </c>
      <c r="J18" s="128" t="s">
        <v>3440</v>
      </c>
      <c r="K18" s="128" t="s">
        <v>3441</v>
      </c>
      <c r="L18" s="128" t="s">
        <v>3442</v>
      </c>
      <c r="M18" s="128" t="s">
        <v>3443</v>
      </c>
      <c r="N18" s="128" t="s">
        <v>3444</v>
      </c>
      <c r="O18" s="128" t="s">
        <v>3445</v>
      </c>
      <c r="P18" s="128" t="s">
        <v>3446</v>
      </c>
      <c r="Q18" s="128" t="s">
        <v>3447</v>
      </c>
      <c r="R18" s="128" t="s">
        <v>3448</v>
      </c>
      <c r="S18" s="128" t="s">
        <v>3449</v>
      </c>
      <c r="T18" s="128" t="s">
        <v>3450</v>
      </c>
      <c r="U18" s="128" t="s">
        <v>3451</v>
      </c>
      <c r="V18" s="128" t="s">
        <v>3452</v>
      </c>
      <c r="W18" s="128" t="s">
        <v>3453</v>
      </c>
      <c r="X18" s="128" t="s">
        <v>3454</v>
      </c>
      <c r="Y18" s="128" t="s">
        <v>3455</v>
      </c>
      <c r="Z18" s="128" t="s">
        <v>3456</v>
      </c>
      <c r="AA18" s="128" t="s">
        <v>3457</v>
      </c>
      <c r="AB18" s="128" t="s">
        <v>3458</v>
      </c>
      <c r="AC18" s="128" t="s">
        <v>3459</v>
      </c>
      <c r="AD18" s="128" t="s">
        <v>3460</v>
      </c>
      <c r="AE18" s="128" t="s">
        <v>3461</v>
      </c>
      <c r="AF18" s="128" t="s">
        <v>3462</v>
      </c>
    </row>
    <row r="19" spans="3:32" ht="319" x14ac:dyDescent="0.35">
      <c r="C19" s="128" t="s">
        <v>491</v>
      </c>
      <c r="E19" s="128" t="s">
        <v>492</v>
      </c>
      <c r="F19" s="128" t="s">
        <v>3463</v>
      </c>
      <c r="G19" s="128" t="s">
        <v>3464</v>
      </c>
      <c r="H19" s="128" t="s">
        <v>495</v>
      </c>
      <c r="I19" s="128" t="s">
        <v>3465</v>
      </c>
      <c r="J19" s="128" t="s">
        <v>3466</v>
      </c>
      <c r="K19" s="128" t="s">
        <v>3467</v>
      </c>
      <c r="L19" s="128" t="s">
        <v>3468</v>
      </c>
      <c r="M19" s="128" t="s">
        <v>3469</v>
      </c>
      <c r="N19" s="128" t="s">
        <v>3470</v>
      </c>
      <c r="O19" s="128" t="s">
        <v>3471</v>
      </c>
      <c r="P19" s="128" t="s">
        <v>3472</v>
      </c>
      <c r="Q19" s="128" t="s">
        <v>3473</v>
      </c>
      <c r="R19" s="128" t="s">
        <v>3474</v>
      </c>
      <c r="S19" s="128" t="s">
        <v>3475</v>
      </c>
      <c r="T19" s="128" t="s">
        <v>3476</v>
      </c>
      <c r="U19" s="128" t="s">
        <v>3477</v>
      </c>
      <c r="V19" s="128" t="s">
        <v>3478</v>
      </c>
      <c r="W19" s="128" t="s">
        <v>3479</v>
      </c>
      <c r="X19" s="128" t="s">
        <v>3480</v>
      </c>
      <c r="Y19" s="128" t="s">
        <v>3481</v>
      </c>
      <c r="Z19" s="128" t="s">
        <v>3482</v>
      </c>
      <c r="AA19" s="128" t="s">
        <v>3483</v>
      </c>
      <c r="AB19" s="128" t="s">
        <v>3484</v>
      </c>
      <c r="AC19" s="128" t="s">
        <v>3485</v>
      </c>
      <c r="AD19" s="128" t="s">
        <v>3486</v>
      </c>
      <c r="AE19" s="128" t="s">
        <v>3487</v>
      </c>
      <c r="AF19" s="128" t="s">
        <v>3488</v>
      </c>
    </row>
    <row r="20" spans="3:32" ht="319" x14ac:dyDescent="0.35">
      <c r="C20" s="128" t="s">
        <v>520</v>
      </c>
      <c r="E20" s="128" t="s">
        <v>521</v>
      </c>
      <c r="F20" s="128" t="s">
        <v>3489</v>
      </c>
      <c r="G20" s="128" t="s">
        <v>3490</v>
      </c>
      <c r="H20" s="128" t="s">
        <v>524</v>
      </c>
      <c r="I20" s="128" t="s">
        <v>3491</v>
      </c>
      <c r="J20" s="128" t="s">
        <v>3492</v>
      </c>
      <c r="K20" s="128" t="s">
        <v>3493</v>
      </c>
      <c r="L20" s="128" t="s">
        <v>3494</v>
      </c>
      <c r="M20" s="128" t="s">
        <v>3495</v>
      </c>
      <c r="N20" s="128" t="s">
        <v>3496</v>
      </c>
      <c r="O20" s="128" t="s">
        <v>3497</v>
      </c>
      <c r="P20" s="128" t="s">
        <v>3498</v>
      </c>
      <c r="Q20" s="128" t="s">
        <v>3499</v>
      </c>
      <c r="R20" s="128" t="s">
        <v>3500</v>
      </c>
      <c r="S20" s="128" t="s">
        <v>3501</v>
      </c>
      <c r="T20" s="128" t="s">
        <v>3502</v>
      </c>
      <c r="U20" s="128" t="s">
        <v>3503</v>
      </c>
      <c r="V20" s="128" t="s">
        <v>3504</v>
      </c>
      <c r="W20" s="128" t="s">
        <v>3505</v>
      </c>
      <c r="X20" s="128" t="s">
        <v>3506</v>
      </c>
      <c r="Y20" s="128" t="s">
        <v>3507</v>
      </c>
      <c r="Z20" s="128" t="s">
        <v>3508</v>
      </c>
      <c r="AA20" s="128" t="s">
        <v>3509</v>
      </c>
      <c r="AB20" s="128" t="s">
        <v>3510</v>
      </c>
      <c r="AC20" s="128" t="s">
        <v>3511</v>
      </c>
      <c r="AD20" s="128" t="s">
        <v>3512</v>
      </c>
      <c r="AE20" s="128" t="s">
        <v>3513</v>
      </c>
      <c r="AF20" s="128" t="s">
        <v>3514</v>
      </c>
    </row>
    <row r="21" spans="3:32" ht="319" x14ac:dyDescent="0.35">
      <c r="C21" s="128" t="s">
        <v>549</v>
      </c>
      <c r="E21" s="128" t="s">
        <v>550</v>
      </c>
      <c r="F21" s="128" t="s">
        <v>3515</v>
      </c>
      <c r="G21" s="128" t="s">
        <v>3516</v>
      </c>
      <c r="H21" s="128" t="s">
        <v>553</v>
      </c>
      <c r="I21" s="128" t="s">
        <v>3517</v>
      </c>
      <c r="J21" s="128" t="s">
        <v>3518</v>
      </c>
      <c r="K21" s="128" t="s">
        <v>3519</v>
      </c>
      <c r="L21" s="128" t="s">
        <v>3520</v>
      </c>
      <c r="M21" s="128" t="s">
        <v>3521</v>
      </c>
      <c r="N21" s="128" t="s">
        <v>3522</v>
      </c>
      <c r="O21" s="128" t="s">
        <v>3523</v>
      </c>
      <c r="P21" s="128" t="s">
        <v>3524</v>
      </c>
      <c r="Q21" s="128" t="s">
        <v>3525</v>
      </c>
      <c r="R21" s="128" t="s">
        <v>3526</v>
      </c>
      <c r="S21" s="128" t="s">
        <v>3527</v>
      </c>
      <c r="T21" s="128" t="s">
        <v>3528</v>
      </c>
      <c r="U21" s="128" t="s">
        <v>3529</v>
      </c>
      <c r="V21" s="128" t="s">
        <v>3530</v>
      </c>
      <c r="W21" s="128" t="s">
        <v>3531</v>
      </c>
      <c r="X21" s="128" t="s">
        <v>3532</v>
      </c>
      <c r="Y21" s="128" t="s">
        <v>3533</v>
      </c>
      <c r="Z21" s="128" t="s">
        <v>3534</v>
      </c>
      <c r="AA21" s="128" t="s">
        <v>3535</v>
      </c>
      <c r="AB21" s="128" t="s">
        <v>3536</v>
      </c>
      <c r="AC21" s="128" t="s">
        <v>3537</v>
      </c>
      <c r="AD21" s="128" t="s">
        <v>3538</v>
      </c>
      <c r="AE21" s="128" t="s">
        <v>3539</v>
      </c>
      <c r="AF21" s="128" t="s">
        <v>3540</v>
      </c>
    </row>
    <row r="22" spans="3:32" ht="319" x14ac:dyDescent="0.35">
      <c r="C22" s="128" t="s">
        <v>578</v>
      </c>
      <c r="E22" s="128" t="s">
        <v>579</v>
      </c>
      <c r="F22" s="128" t="s">
        <v>3541</v>
      </c>
      <c r="G22" s="128" t="s">
        <v>3542</v>
      </c>
      <c r="H22" s="128" t="s">
        <v>582</v>
      </c>
      <c r="I22" s="128" t="s">
        <v>3543</v>
      </c>
      <c r="J22" s="128" t="s">
        <v>3544</v>
      </c>
      <c r="K22" s="128" t="s">
        <v>3545</v>
      </c>
      <c r="L22" s="128" t="s">
        <v>3546</v>
      </c>
      <c r="M22" s="128" t="s">
        <v>3547</v>
      </c>
      <c r="N22" s="128" t="s">
        <v>3548</v>
      </c>
      <c r="O22" s="128" t="s">
        <v>3549</v>
      </c>
      <c r="P22" s="128" t="s">
        <v>3550</v>
      </c>
      <c r="Q22" s="128" t="s">
        <v>3551</v>
      </c>
      <c r="R22" s="128" t="s">
        <v>3552</v>
      </c>
      <c r="S22" s="128" t="s">
        <v>3553</v>
      </c>
      <c r="T22" s="128" t="s">
        <v>3554</v>
      </c>
      <c r="U22" s="128" t="s">
        <v>3555</v>
      </c>
      <c r="V22" s="128" t="s">
        <v>3556</v>
      </c>
      <c r="W22" s="128" t="s">
        <v>3557</v>
      </c>
      <c r="X22" s="128" t="s">
        <v>3558</v>
      </c>
      <c r="Y22" s="128" t="s">
        <v>3559</v>
      </c>
      <c r="Z22" s="128" t="s">
        <v>3560</v>
      </c>
      <c r="AA22" s="128" t="s">
        <v>3561</v>
      </c>
      <c r="AB22" s="128" t="s">
        <v>3562</v>
      </c>
      <c r="AC22" s="128" t="s">
        <v>3563</v>
      </c>
      <c r="AD22" s="128" t="s">
        <v>3564</v>
      </c>
      <c r="AE22" s="128" t="s">
        <v>3565</v>
      </c>
      <c r="AF22" s="128" t="s">
        <v>3566</v>
      </c>
    </row>
    <row r="23" spans="3:32" ht="319" x14ac:dyDescent="0.35">
      <c r="C23" s="128" t="s">
        <v>607</v>
      </c>
      <c r="E23" s="128" t="s">
        <v>608</v>
      </c>
      <c r="F23" s="128" t="s">
        <v>3567</v>
      </c>
      <c r="G23" s="128" t="s">
        <v>3568</v>
      </c>
      <c r="H23" s="128" t="s">
        <v>611</v>
      </c>
      <c r="I23" s="128" t="s">
        <v>3569</v>
      </c>
      <c r="J23" s="128" t="s">
        <v>3570</v>
      </c>
      <c r="K23" s="128" t="s">
        <v>3571</v>
      </c>
      <c r="L23" s="128" t="s">
        <v>3572</v>
      </c>
      <c r="M23" s="128" t="s">
        <v>3573</v>
      </c>
      <c r="N23" s="128" t="s">
        <v>3574</v>
      </c>
      <c r="O23" s="128" t="s">
        <v>3575</v>
      </c>
      <c r="P23" s="128" t="s">
        <v>3576</v>
      </c>
      <c r="Q23" s="128" t="s">
        <v>3577</v>
      </c>
      <c r="R23" s="128" t="s">
        <v>3578</v>
      </c>
      <c r="S23" s="128" t="s">
        <v>3579</v>
      </c>
      <c r="T23" s="128" t="s">
        <v>3580</v>
      </c>
      <c r="U23" s="128" t="s">
        <v>3581</v>
      </c>
      <c r="V23" s="128" t="s">
        <v>3582</v>
      </c>
      <c r="W23" s="128" t="s">
        <v>3583</v>
      </c>
      <c r="X23" s="128" t="s">
        <v>3584</v>
      </c>
      <c r="Y23" s="128" t="s">
        <v>3585</v>
      </c>
      <c r="Z23" s="128" t="s">
        <v>3586</v>
      </c>
      <c r="AA23" s="128" t="s">
        <v>3587</v>
      </c>
      <c r="AB23" s="128" t="s">
        <v>3588</v>
      </c>
      <c r="AC23" s="128" t="s">
        <v>3589</v>
      </c>
      <c r="AD23" s="128" t="s">
        <v>3590</v>
      </c>
      <c r="AE23" s="128" t="s">
        <v>3591</v>
      </c>
      <c r="AF23" s="128" t="s">
        <v>3592</v>
      </c>
    </row>
    <row r="24" spans="3:32" ht="319" x14ac:dyDescent="0.35">
      <c r="C24" s="128" t="s">
        <v>636</v>
      </c>
      <c r="E24" s="128" t="s">
        <v>637</v>
      </c>
      <c r="F24" s="128" t="s">
        <v>3593</v>
      </c>
      <c r="G24" s="128" t="s">
        <v>3594</v>
      </c>
      <c r="H24" s="128" t="s">
        <v>640</v>
      </c>
      <c r="I24" s="128" t="s">
        <v>3595</v>
      </c>
      <c r="J24" s="128" t="s">
        <v>3596</v>
      </c>
      <c r="K24" s="128" t="s">
        <v>3597</v>
      </c>
      <c r="L24" s="128" t="s">
        <v>3598</v>
      </c>
      <c r="M24" s="128" t="s">
        <v>3599</v>
      </c>
      <c r="N24" s="128" t="s">
        <v>3600</v>
      </c>
      <c r="O24" s="128" t="s">
        <v>3601</v>
      </c>
      <c r="P24" s="128" t="s">
        <v>3602</v>
      </c>
      <c r="Q24" s="128" t="s">
        <v>3603</v>
      </c>
      <c r="R24" s="128" t="s">
        <v>3604</v>
      </c>
      <c r="S24" s="128" t="s">
        <v>3605</v>
      </c>
      <c r="T24" s="128" t="s">
        <v>3606</v>
      </c>
      <c r="U24" s="128" t="s">
        <v>3607</v>
      </c>
      <c r="V24" s="128" t="s">
        <v>3608</v>
      </c>
      <c r="W24" s="128" t="s">
        <v>3609</v>
      </c>
      <c r="X24" s="128" t="s">
        <v>3610</v>
      </c>
      <c r="Y24" s="128" t="s">
        <v>3611</v>
      </c>
      <c r="Z24" s="128" t="s">
        <v>3612</v>
      </c>
      <c r="AA24" s="128" t="s">
        <v>3613</v>
      </c>
      <c r="AB24" s="128" t="s">
        <v>3614</v>
      </c>
      <c r="AC24" s="128" t="s">
        <v>3615</v>
      </c>
      <c r="AD24" s="128" t="s">
        <v>3616</v>
      </c>
      <c r="AE24" s="128" t="s">
        <v>3617</v>
      </c>
      <c r="AF24" s="128" t="s">
        <v>3618</v>
      </c>
    </row>
    <row r="25" spans="3:32" ht="319" x14ac:dyDescent="0.35">
      <c r="C25" s="128" t="s">
        <v>665</v>
      </c>
      <c r="E25" s="128" t="s">
        <v>666</v>
      </c>
      <c r="F25" s="128" t="s">
        <v>3619</v>
      </c>
      <c r="G25" s="128" t="s">
        <v>3620</v>
      </c>
      <c r="H25" s="128" t="s">
        <v>669</v>
      </c>
      <c r="I25" s="128" t="s">
        <v>3621</v>
      </c>
      <c r="J25" s="128" t="s">
        <v>3622</v>
      </c>
      <c r="K25" s="128" t="s">
        <v>3623</v>
      </c>
      <c r="L25" s="128" t="s">
        <v>3624</v>
      </c>
      <c r="M25" s="128" t="s">
        <v>3625</v>
      </c>
      <c r="N25" s="128" t="s">
        <v>3626</v>
      </c>
      <c r="O25" s="128" t="s">
        <v>3627</v>
      </c>
      <c r="P25" s="128" t="s">
        <v>3628</v>
      </c>
      <c r="Q25" s="128" t="s">
        <v>3629</v>
      </c>
      <c r="R25" s="128" t="s">
        <v>3630</v>
      </c>
      <c r="S25" s="128" t="s">
        <v>3631</v>
      </c>
      <c r="T25" s="128" t="s">
        <v>3632</v>
      </c>
      <c r="U25" s="128" t="s">
        <v>3633</v>
      </c>
      <c r="V25" s="128" t="s">
        <v>3634</v>
      </c>
      <c r="W25" s="128" t="s">
        <v>3635</v>
      </c>
      <c r="X25" s="128" t="s">
        <v>3636</v>
      </c>
      <c r="Y25" s="128" t="s">
        <v>3637</v>
      </c>
      <c r="Z25" s="128" t="s">
        <v>3638</v>
      </c>
      <c r="AA25" s="128" t="s">
        <v>3639</v>
      </c>
      <c r="AB25" s="128" t="s">
        <v>3640</v>
      </c>
      <c r="AC25" s="128" t="s">
        <v>3641</v>
      </c>
      <c r="AD25" s="128" t="s">
        <v>3642</v>
      </c>
      <c r="AE25" s="128" t="s">
        <v>3643</v>
      </c>
      <c r="AF25" s="128" t="s">
        <v>3644</v>
      </c>
    </row>
    <row r="26" spans="3:32" ht="319" x14ac:dyDescent="0.35">
      <c r="C26" s="128" t="s">
        <v>694</v>
      </c>
      <c r="E26" s="128" t="s">
        <v>695</v>
      </c>
      <c r="F26" s="128" t="s">
        <v>3645</v>
      </c>
      <c r="G26" s="128" t="s">
        <v>3646</v>
      </c>
      <c r="H26" s="128" t="s">
        <v>698</v>
      </c>
      <c r="I26" s="128" t="s">
        <v>3647</v>
      </c>
      <c r="J26" s="128" t="s">
        <v>3648</v>
      </c>
      <c r="K26" s="128" t="s">
        <v>3649</v>
      </c>
      <c r="L26" s="128" t="s">
        <v>3650</v>
      </c>
      <c r="M26" s="128" t="s">
        <v>3651</v>
      </c>
      <c r="N26" s="128" t="s">
        <v>3652</v>
      </c>
      <c r="O26" s="128" t="s">
        <v>3653</v>
      </c>
      <c r="P26" s="128" t="s">
        <v>3654</v>
      </c>
      <c r="Q26" s="128" t="s">
        <v>3655</v>
      </c>
      <c r="R26" s="128" t="s">
        <v>3656</v>
      </c>
      <c r="S26" s="128" t="s">
        <v>3657</v>
      </c>
      <c r="T26" s="128" t="s">
        <v>3658</v>
      </c>
      <c r="U26" s="128" t="s">
        <v>3659</v>
      </c>
      <c r="V26" s="128" t="s">
        <v>3660</v>
      </c>
      <c r="W26" s="128" t="s">
        <v>3661</v>
      </c>
      <c r="X26" s="128" t="s">
        <v>3662</v>
      </c>
      <c r="Y26" s="128" t="s">
        <v>3663</v>
      </c>
      <c r="Z26" s="128" t="s">
        <v>3664</v>
      </c>
      <c r="AA26" s="128" t="s">
        <v>3665</v>
      </c>
      <c r="AB26" s="128" t="s">
        <v>3666</v>
      </c>
      <c r="AC26" s="128" t="s">
        <v>3667</v>
      </c>
      <c r="AD26" s="128" t="s">
        <v>3668</v>
      </c>
      <c r="AE26" s="128" t="s">
        <v>3669</v>
      </c>
      <c r="AF26" s="128" t="s">
        <v>3670</v>
      </c>
    </row>
    <row r="27" spans="3:32" ht="319" x14ac:dyDescent="0.35">
      <c r="C27" s="128" t="s">
        <v>723</v>
      </c>
      <c r="E27" s="128" t="s">
        <v>724</v>
      </c>
      <c r="F27" s="128" t="s">
        <v>3671</v>
      </c>
      <c r="G27" s="128" t="s">
        <v>3672</v>
      </c>
      <c r="H27" s="128" t="s">
        <v>727</v>
      </c>
      <c r="I27" s="128" t="s">
        <v>3673</v>
      </c>
      <c r="J27" s="128" t="s">
        <v>3674</v>
      </c>
      <c r="K27" s="128" t="s">
        <v>3675</v>
      </c>
      <c r="L27" s="128" t="s">
        <v>3676</v>
      </c>
      <c r="M27" s="128" t="s">
        <v>3677</v>
      </c>
      <c r="N27" s="128" t="s">
        <v>3678</v>
      </c>
      <c r="O27" s="128" t="s">
        <v>3679</v>
      </c>
      <c r="P27" s="128" t="s">
        <v>3680</v>
      </c>
      <c r="Q27" s="128" t="s">
        <v>3681</v>
      </c>
      <c r="R27" s="128" t="s">
        <v>3682</v>
      </c>
      <c r="S27" s="128" t="s">
        <v>3683</v>
      </c>
      <c r="T27" s="128" t="s">
        <v>3684</v>
      </c>
      <c r="U27" s="128" t="s">
        <v>3685</v>
      </c>
      <c r="V27" s="128" t="s">
        <v>3686</v>
      </c>
      <c r="W27" s="128" t="s">
        <v>3687</v>
      </c>
      <c r="X27" s="128" t="s">
        <v>3688</v>
      </c>
      <c r="Y27" s="128" t="s">
        <v>3689</v>
      </c>
      <c r="Z27" s="128" t="s">
        <v>3690</v>
      </c>
      <c r="AA27" s="128" t="s">
        <v>3691</v>
      </c>
      <c r="AB27" s="128" t="s">
        <v>3692</v>
      </c>
      <c r="AC27" s="128" t="s">
        <v>3693</v>
      </c>
      <c r="AD27" s="128" t="s">
        <v>3694</v>
      </c>
      <c r="AE27" s="128" t="s">
        <v>3695</v>
      </c>
      <c r="AF27" s="128" t="s">
        <v>3696</v>
      </c>
    </row>
    <row r="28" spans="3:32" ht="319" x14ac:dyDescent="0.35">
      <c r="C28" s="128" t="s">
        <v>752</v>
      </c>
      <c r="E28" s="128" t="s">
        <v>753</v>
      </c>
      <c r="F28" s="128" t="s">
        <v>3697</v>
      </c>
      <c r="G28" s="128" t="s">
        <v>3698</v>
      </c>
      <c r="H28" s="128" t="s">
        <v>756</v>
      </c>
      <c r="I28" s="128" t="s">
        <v>3699</v>
      </c>
      <c r="J28" s="128" t="s">
        <v>3700</v>
      </c>
      <c r="K28" s="128" t="s">
        <v>3701</v>
      </c>
      <c r="L28" s="128" t="s">
        <v>3702</v>
      </c>
      <c r="M28" s="128" t="s">
        <v>3703</v>
      </c>
      <c r="N28" s="128" t="s">
        <v>3704</v>
      </c>
      <c r="O28" s="128" t="s">
        <v>3705</v>
      </c>
      <c r="P28" s="128" t="s">
        <v>3706</v>
      </c>
      <c r="Q28" s="128" t="s">
        <v>3707</v>
      </c>
      <c r="R28" s="128" t="s">
        <v>3708</v>
      </c>
      <c r="S28" s="128" t="s">
        <v>3709</v>
      </c>
      <c r="T28" s="128" t="s">
        <v>3710</v>
      </c>
      <c r="U28" s="128" t="s">
        <v>3711</v>
      </c>
      <c r="V28" s="128" t="s">
        <v>3712</v>
      </c>
      <c r="W28" s="128" t="s">
        <v>3713</v>
      </c>
      <c r="X28" s="128" t="s">
        <v>3714</v>
      </c>
      <c r="Y28" s="128" t="s">
        <v>3715</v>
      </c>
      <c r="Z28" s="128" t="s">
        <v>3716</v>
      </c>
      <c r="AA28" s="128" t="s">
        <v>3717</v>
      </c>
      <c r="AB28" s="128" t="s">
        <v>3718</v>
      </c>
      <c r="AC28" s="128" t="s">
        <v>3719</v>
      </c>
      <c r="AD28" s="128" t="s">
        <v>3720</v>
      </c>
      <c r="AE28" s="128" t="s">
        <v>3721</v>
      </c>
      <c r="AF28" s="128" t="s">
        <v>3722</v>
      </c>
    </row>
    <row r="29" spans="3:32" ht="319" x14ac:dyDescent="0.35">
      <c r="C29" s="128" t="s">
        <v>781</v>
      </c>
      <c r="E29" s="128" t="s">
        <v>782</v>
      </c>
      <c r="F29" s="128" t="s">
        <v>3723</v>
      </c>
      <c r="G29" s="128" t="s">
        <v>3724</v>
      </c>
      <c r="H29" s="128" t="s">
        <v>785</v>
      </c>
      <c r="I29" s="128" t="s">
        <v>3725</v>
      </c>
      <c r="J29" s="128" t="s">
        <v>3726</v>
      </c>
      <c r="K29" s="128" t="s">
        <v>3727</v>
      </c>
      <c r="L29" s="128" t="s">
        <v>3728</v>
      </c>
      <c r="M29" s="128" t="s">
        <v>3729</v>
      </c>
      <c r="N29" s="128" t="s">
        <v>3730</v>
      </c>
      <c r="O29" s="128" t="s">
        <v>3731</v>
      </c>
      <c r="P29" s="128" t="s">
        <v>3732</v>
      </c>
      <c r="Q29" s="128" t="s">
        <v>3733</v>
      </c>
      <c r="R29" s="128" t="s">
        <v>3734</v>
      </c>
      <c r="S29" s="128" t="s">
        <v>3735</v>
      </c>
      <c r="T29" s="128" t="s">
        <v>3736</v>
      </c>
      <c r="U29" s="128" t="s">
        <v>3737</v>
      </c>
      <c r="V29" s="128" t="s">
        <v>3738</v>
      </c>
      <c r="W29" s="128" t="s">
        <v>3739</v>
      </c>
      <c r="X29" s="128" t="s">
        <v>3740</v>
      </c>
      <c r="Y29" s="128" t="s">
        <v>3741</v>
      </c>
      <c r="Z29" s="128" t="s">
        <v>3742</v>
      </c>
      <c r="AA29" s="128" t="s">
        <v>3743</v>
      </c>
      <c r="AB29" s="128" t="s">
        <v>3744</v>
      </c>
      <c r="AC29" s="128" t="s">
        <v>3745</v>
      </c>
      <c r="AD29" s="128" t="s">
        <v>3746</v>
      </c>
      <c r="AE29" s="128" t="s">
        <v>3747</v>
      </c>
      <c r="AF29" s="128" t="s">
        <v>3748</v>
      </c>
    </row>
    <row r="30" spans="3:32" ht="319" x14ac:dyDescent="0.35">
      <c r="C30" s="128" t="s">
        <v>810</v>
      </c>
      <c r="E30" s="128" t="s">
        <v>811</v>
      </c>
      <c r="F30" s="128" t="s">
        <v>3749</v>
      </c>
      <c r="G30" s="128" t="s">
        <v>3750</v>
      </c>
      <c r="H30" s="128" t="s">
        <v>814</v>
      </c>
      <c r="I30" s="128" t="s">
        <v>3751</v>
      </c>
      <c r="J30" s="128" t="s">
        <v>3752</v>
      </c>
      <c r="K30" s="128" t="s">
        <v>3753</v>
      </c>
      <c r="L30" s="128" t="s">
        <v>3754</v>
      </c>
      <c r="M30" s="128" t="s">
        <v>3755</v>
      </c>
      <c r="N30" s="128" t="s">
        <v>3756</v>
      </c>
      <c r="O30" s="128" t="s">
        <v>3757</v>
      </c>
      <c r="P30" s="128" t="s">
        <v>3758</v>
      </c>
      <c r="Q30" s="128" t="s">
        <v>3759</v>
      </c>
      <c r="R30" s="128" t="s">
        <v>3760</v>
      </c>
      <c r="S30" s="128" t="s">
        <v>3761</v>
      </c>
      <c r="T30" s="128" t="s">
        <v>3762</v>
      </c>
      <c r="U30" s="128" t="s">
        <v>3763</v>
      </c>
      <c r="V30" s="128" t="s">
        <v>3764</v>
      </c>
      <c r="W30" s="128" t="s">
        <v>3765</v>
      </c>
      <c r="X30" s="128" t="s">
        <v>3766</v>
      </c>
      <c r="Y30" s="128" t="s">
        <v>3767</v>
      </c>
      <c r="Z30" s="128" t="s">
        <v>3768</v>
      </c>
      <c r="AA30" s="128" t="s">
        <v>3769</v>
      </c>
      <c r="AB30" s="128" t="s">
        <v>3770</v>
      </c>
      <c r="AC30" s="128" t="s">
        <v>3771</v>
      </c>
      <c r="AD30" s="128" t="s">
        <v>3772</v>
      </c>
      <c r="AE30" s="128" t="s">
        <v>3773</v>
      </c>
      <c r="AF30" s="128" t="s">
        <v>3774</v>
      </c>
    </row>
    <row r="31" spans="3:32" ht="319" x14ac:dyDescent="0.35">
      <c r="C31" s="128" t="s">
        <v>839</v>
      </c>
      <c r="E31" s="128" t="s">
        <v>840</v>
      </c>
      <c r="F31" s="128" t="s">
        <v>3775</v>
      </c>
      <c r="G31" s="128" t="s">
        <v>3776</v>
      </c>
      <c r="H31" s="128" t="s">
        <v>843</v>
      </c>
      <c r="I31" s="128" t="s">
        <v>3777</v>
      </c>
      <c r="J31" s="128" t="s">
        <v>3778</v>
      </c>
      <c r="K31" s="128" t="s">
        <v>3779</v>
      </c>
      <c r="L31" s="128" t="s">
        <v>3780</v>
      </c>
      <c r="M31" s="128" t="s">
        <v>3781</v>
      </c>
      <c r="N31" s="128" t="s">
        <v>3782</v>
      </c>
      <c r="O31" s="128" t="s">
        <v>3783</v>
      </c>
      <c r="P31" s="128" t="s">
        <v>3784</v>
      </c>
      <c r="Q31" s="128" t="s">
        <v>3785</v>
      </c>
      <c r="R31" s="128" t="s">
        <v>3786</v>
      </c>
      <c r="S31" s="128" t="s">
        <v>3787</v>
      </c>
      <c r="T31" s="128" t="s">
        <v>3788</v>
      </c>
      <c r="U31" s="128" t="s">
        <v>3789</v>
      </c>
      <c r="V31" s="128" t="s">
        <v>3790</v>
      </c>
      <c r="W31" s="128" t="s">
        <v>3791</v>
      </c>
      <c r="X31" s="128" t="s">
        <v>3792</v>
      </c>
      <c r="Y31" s="128" t="s">
        <v>3793</v>
      </c>
      <c r="Z31" s="128" t="s">
        <v>3794</v>
      </c>
      <c r="AA31" s="128" t="s">
        <v>3795</v>
      </c>
      <c r="AB31" s="128" t="s">
        <v>3796</v>
      </c>
      <c r="AC31" s="128" t="s">
        <v>3797</v>
      </c>
      <c r="AD31" s="128" t="s">
        <v>3798</v>
      </c>
      <c r="AE31" s="128" t="s">
        <v>3799</v>
      </c>
      <c r="AF31" s="128" t="s">
        <v>3800</v>
      </c>
    </row>
    <row r="32" spans="3:32" ht="319" x14ac:dyDescent="0.35">
      <c r="C32" s="128" t="s">
        <v>868</v>
      </c>
      <c r="E32" s="128" t="s">
        <v>869</v>
      </c>
      <c r="F32" s="128" t="s">
        <v>3801</v>
      </c>
      <c r="G32" s="128" t="s">
        <v>3802</v>
      </c>
      <c r="H32" s="128" t="s">
        <v>872</v>
      </c>
      <c r="I32" s="128" t="s">
        <v>3803</v>
      </c>
      <c r="J32" s="128" t="s">
        <v>3804</v>
      </c>
      <c r="K32" s="128" t="s">
        <v>3805</v>
      </c>
      <c r="L32" s="128" t="s">
        <v>3806</v>
      </c>
      <c r="M32" s="128" t="s">
        <v>3807</v>
      </c>
      <c r="N32" s="128" t="s">
        <v>3808</v>
      </c>
      <c r="O32" s="128" t="s">
        <v>3809</v>
      </c>
      <c r="P32" s="128" t="s">
        <v>3810</v>
      </c>
      <c r="Q32" s="128" t="s">
        <v>3811</v>
      </c>
      <c r="R32" s="128" t="s">
        <v>3812</v>
      </c>
      <c r="S32" s="128" t="s">
        <v>3813</v>
      </c>
      <c r="T32" s="128" t="s">
        <v>3814</v>
      </c>
      <c r="U32" s="128" t="s">
        <v>3815</v>
      </c>
      <c r="V32" s="128" t="s">
        <v>3816</v>
      </c>
      <c r="W32" s="128" t="s">
        <v>3817</v>
      </c>
      <c r="X32" s="128" t="s">
        <v>3818</v>
      </c>
      <c r="Y32" s="128" t="s">
        <v>3819</v>
      </c>
      <c r="Z32" s="128" t="s">
        <v>3820</v>
      </c>
      <c r="AA32" s="128" t="s">
        <v>3821</v>
      </c>
      <c r="AB32" s="128" t="s">
        <v>3822</v>
      </c>
      <c r="AC32" s="128" t="s">
        <v>3823</v>
      </c>
      <c r="AD32" s="128" t="s">
        <v>3824</v>
      </c>
      <c r="AE32" s="128" t="s">
        <v>3825</v>
      </c>
      <c r="AF32" s="128" t="s">
        <v>3826</v>
      </c>
    </row>
    <row r="33" spans="3:32" ht="319" x14ac:dyDescent="0.35">
      <c r="C33" s="128" t="s">
        <v>897</v>
      </c>
      <c r="E33" s="128" t="s">
        <v>898</v>
      </c>
      <c r="F33" s="128" t="s">
        <v>3827</v>
      </c>
      <c r="G33" s="128" t="s">
        <v>3828</v>
      </c>
      <c r="H33" s="128" t="s">
        <v>901</v>
      </c>
      <c r="I33" s="128" t="s">
        <v>3829</v>
      </c>
      <c r="J33" s="128" t="s">
        <v>3830</v>
      </c>
      <c r="K33" s="128" t="s">
        <v>3831</v>
      </c>
      <c r="L33" s="128" t="s">
        <v>3832</v>
      </c>
      <c r="M33" s="128" t="s">
        <v>3833</v>
      </c>
      <c r="N33" s="128" t="s">
        <v>3834</v>
      </c>
      <c r="O33" s="128" t="s">
        <v>3835</v>
      </c>
      <c r="P33" s="128" t="s">
        <v>3836</v>
      </c>
      <c r="Q33" s="128" t="s">
        <v>3837</v>
      </c>
      <c r="R33" s="128" t="s">
        <v>3838</v>
      </c>
      <c r="S33" s="128" t="s">
        <v>3839</v>
      </c>
      <c r="T33" s="128" t="s">
        <v>3840</v>
      </c>
      <c r="U33" s="128" t="s">
        <v>3841</v>
      </c>
      <c r="V33" s="128" t="s">
        <v>3842</v>
      </c>
      <c r="W33" s="128" t="s">
        <v>3843</v>
      </c>
      <c r="X33" s="128" t="s">
        <v>3844</v>
      </c>
      <c r="Y33" s="128" t="s">
        <v>3845</v>
      </c>
      <c r="Z33" s="128" t="s">
        <v>3846</v>
      </c>
      <c r="AA33" s="128" t="s">
        <v>3847</v>
      </c>
      <c r="AB33" s="128" t="s">
        <v>3848</v>
      </c>
      <c r="AC33" s="128" t="s">
        <v>3849</v>
      </c>
      <c r="AD33" s="128" t="s">
        <v>3850</v>
      </c>
      <c r="AE33" s="128" t="s">
        <v>3851</v>
      </c>
      <c r="AF33" s="128" t="s">
        <v>3852</v>
      </c>
    </row>
    <row r="34" spans="3:32" ht="319" x14ac:dyDescent="0.35">
      <c r="C34" s="128" t="s">
        <v>926</v>
      </c>
      <c r="E34" s="128" t="s">
        <v>927</v>
      </c>
      <c r="F34" s="128" t="s">
        <v>3853</v>
      </c>
      <c r="G34" s="128" t="s">
        <v>3854</v>
      </c>
      <c r="H34" s="128" t="s">
        <v>930</v>
      </c>
      <c r="I34" s="128" t="s">
        <v>3855</v>
      </c>
      <c r="J34" s="128" t="s">
        <v>3856</v>
      </c>
      <c r="K34" s="128" t="s">
        <v>3857</v>
      </c>
      <c r="L34" s="128" t="s">
        <v>3858</v>
      </c>
      <c r="M34" s="128" t="s">
        <v>3859</v>
      </c>
      <c r="N34" s="128" t="s">
        <v>3860</v>
      </c>
      <c r="O34" s="128" t="s">
        <v>3861</v>
      </c>
      <c r="P34" s="128" t="s">
        <v>3862</v>
      </c>
      <c r="Q34" s="128" t="s">
        <v>3863</v>
      </c>
      <c r="R34" s="128" t="s">
        <v>3864</v>
      </c>
      <c r="S34" s="128" t="s">
        <v>3865</v>
      </c>
      <c r="T34" s="128" t="s">
        <v>3866</v>
      </c>
      <c r="U34" s="128" t="s">
        <v>3867</v>
      </c>
      <c r="V34" s="128" t="s">
        <v>3868</v>
      </c>
      <c r="W34" s="128" t="s">
        <v>3869</v>
      </c>
      <c r="X34" s="128" t="s">
        <v>3870</v>
      </c>
      <c r="Y34" s="128" t="s">
        <v>3871</v>
      </c>
      <c r="Z34" s="128" t="s">
        <v>3872</v>
      </c>
      <c r="AA34" s="128" t="s">
        <v>3873</v>
      </c>
      <c r="AB34" s="128" t="s">
        <v>3874</v>
      </c>
      <c r="AC34" s="128" t="s">
        <v>3875</v>
      </c>
      <c r="AD34" s="128" t="s">
        <v>3876</v>
      </c>
      <c r="AE34" s="128" t="s">
        <v>3877</v>
      </c>
      <c r="AF34" s="128" t="s">
        <v>3878</v>
      </c>
    </row>
    <row r="35" spans="3:32" ht="319" x14ac:dyDescent="0.35">
      <c r="C35" s="128" t="s">
        <v>955</v>
      </c>
      <c r="E35" s="128" t="s">
        <v>956</v>
      </c>
      <c r="F35" s="128" t="s">
        <v>3879</v>
      </c>
      <c r="G35" s="128" t="s">
        <v>3880</v>
      </c>
      <c r="H35" s="128" t="s">
        <v>959</v>
      </c>
      <c r="I35" s="128" t="s">
        <v>3881</v>
      </c>
      <c r="J35" s="128" t="s">
        <v>3882</v>
      </c>
      <c r="K35" s="128" t="s">
        <v>3883</v>
      </c>
      <c r="L35" s="128" t="s">
        <v>3884</v>
      </c>
      <c r="M35" s="128" t="s">
        <v>3885</v>
      </c>
      <c r="N35" s="128" t="s">
        <v>3886</v>
      </c>
      <c r="O35" s="128" t="s">
        <v>3887</v>
      </c>
      <c r="P35" s="128" t="s">
        <v>3888</v>
      </c>
      <c r="Q35" s="128" t="s">
        <v>3889</v>
      </c>
      <c r="R35" s="128" t="s">
        <v>3890</v>
      </c>
      <c r="S35" s="128" t="s">
        <v>3891</v>
      </c>
      <c r="T35" s="128" t="s">
        <v>3892</v>
      </c>
      <c r="U35" s="128" t="s">
        <v>3893</v>
      </c>
      <c r="V35" s="128" t="s">
        <v>3894</v>
      </c>
      <c r="W35" s="128" t="s">
        <v>3895</v>
      </c>
      <c r="X35" s="128" t="s">
        <v>3896</v>
      </c>
      <c r="Y35" s="128" t="s">
        <v>3897</v>
      </c>
      <c r="Z35" s="128" t="s">
        <v>3898</v>
      </c>
      <c r="AA35" s="128" t="s">
        <v>3899</v>
      </c>
      <c r="AB35" s="128" t="s">
        <v>3900</v>
      </c>
      <c r="AC35" s="128" t="s">
        <v>3901</v>
      </c>
      <c r="AD35" s="128" t="s">
        <v>3902</v>
      </c>
      <c r="AE35" s="128" t="s">
        <v>3903</v>
      </c>
      <c r="AF35" s="128" t="s">
        <v>3904</v>
      </c>
    </row>
    <row r="36" spans="3:32" ht="319" x14ac:dyDescent="0.35">
      <c r="C36" s="128" t="s">
        <v>984</v>
      </c>
      <c r="E36" s="128" t="s">
        <v>985</v>
      </c>
      <c r="F36" s="128" t="s">
        <v>3905</v>
      </c>
      <c r="G36" s="128" t="s">
        <v>3906</v>
      </c>
      <c r="H36" s="128" t="s">
        <v>988</v>
      </c>
      <c r="I36" s="128" t="s">
        <v>3907</v>
      </c>
      <c r="J36" s="128" t="s">
        <v>3908</v>
      </c>
      <c r="K36" s="128" t="s">
        <v>3909</v>
      </c>
      <c r="L36" s="128" t="s">
        <v>3910</v>
      </c>
      <c r="M36" s="128" t="s">
        <v>3911</v>
      </c>
      <c r="N36" s="128" t="s">
        <v>3912</v>
      </c>
      <c r="O36" s="128" t="s">
        <v>3913</v>
      </c>
      <c r="P36" s="128" t="s">
        <v>3914</v>
      </c>
      <c r="Q36" s="128" t="s">
        <v>3915</v>
      </c>
      <c r="R36" s="128" t="s">
        <v>3916</v>
      </c>
      <c r="S36" s="128" t="s">
        <v>3917</v>
      </c>
      <c r="T36" s="128" t="s">
        <v>3918</v>
      </c>
      <c r="U36" s="128" t="s">
        <v>3919</v>
      </c>
      <c r="V36" s="128" t="s">
        <v>3920</v>
      </c>
      <c r="W36" s="128" t="s">
        <v>3921</v>
      </c>
      <c r="X36" s="128" t="s">
        <v>3922</v>
      </c>
      <c r="Y36" s="128" t="s">
        <v>3923</v>
      </c>
      <c r="Z36" s="128" t="s">
        <v>3924</v>
      </c>
      <c r="AA36" s="128" t="s">
        <v>3925</v>
      </c>
      <c r="AB36" s="128" t="s">
        <v>3926</v>
      </c>
      <c r="AC36" s="128" t="s">
        <v>3927</v>
      </c>
      <c r="AD36" s="128" t="s">
        <v>3928</v>
      </c>
      <c r="AE36" s="128" t="s">
        <v>3929</v>
      </c>
      <c r="AF36" s="128" t="s">
        <v>3930</v>
      </c>
    </row>
    <row r="37" spans="3:32" ht="319" x14ac:dyDescent="0.35">
      <c r="C37" s="128" t="s">
        <v>1013</v>
      </c>
      <c r="E37" s="128" t="s">
        <v>1014</v>
      </c>
      <c r="F37" s="128" t="s">
        <v>3931</v>
      </c>
      <c r="G37" s="128" t="s">
        <v>3932</v>
      </c>
      <c r="H37" s="128" t="s">
        <v>1017</v>
      </c>
      <c r="I37" s="128" t="s">
        <v>3933</v>
      </c>
      <c r="J37" s="128" t="s">
        <v>3934</v>
      </c>
      <c r="K37" s="128" t="s">
        <v>3935</v>
      </c>
      <c r="L37" s="128" t="s">
        <v>3936</v>
      </c>
      <c r="M37" s="128" t="s">
        <v>3937</v>
      </c>
      <c r="N37" s="128" t="s">
        <v>3938</v>
      </c>
      <c r="O37" s="128" t="s">
        <v>3939</v>
      </c>
      <c r="P37" s="128" t="s">
        <v>3940</v>
      </c>
      <c r="Q37" s="128" t="s">
        <v>3941</v>
      </c>
      <c r="R37" s="128" t="s">
        <v>3942</v>
      </c>
      <c r="S37" s="128" t="s">
        <v>3943</v>
      </c>
      <c r="T37" s="128" t="s">
        <v>3944</v>
      </c>
      <c r="U37" s="128" t="s">
        <v>3945</v>
      </c>
      <c r="V37" s="128" t="s">
        <v>3946</v>
      </c>
      <c r="W37" s="128" t="s">
        <v>3947</v>
      </c>
      <c r="X37" s="128" t="s">
        <v>3948</v>
      </c>
      <c r="Y37" s="128" t="s">
        <v>3949</v>
      </c>
      <c r="Z37" s="128" t="s">
        <v>3950</v>
      </c>
      <c r="AA37" s="128" t="s">
        <v>3951</v>
      </c>
      <c r="AB37" s="128" t="s">
        <v>3952</v>
      </c>
      <c r="AC37" s="128" t="s">
        <v>3953</v>
      </c>
      <c r="AD37" s="128" t="s">
        <v>3954</v>
      </c>
      <c r="AE37" s="128" t="s">
        <v>3955</v>
      </c>
      <c r="AF37" s="128" t="s">
        <v>3956</v>
      </c>
    </row>
    <row r="38" spans="3:32" ht="319" x14ac:dyDescent="0.35">
      <c r="C38" s="128" t="s">
        <v>1042</v>
      </c>
      <c r="E38" s="128" t="s">
        <v>1043</v>
      </c>
      <c r="F38" s="128" t="s">
        <v>3957</v>
      </c>
      <c r="G38" s="128" t="s">
        <v>3958</v>
      </c>
      <c r="H38" s="128" t="s">
        <v>1046</v>
      </c>
      <c r="I38" s="128" t="s">
        <v>3959</v>
      </c>
      <c r="J38" s="128" t="s">
        <v>3960</v>
      </c>
      <c r="K38" s="128" t="s">
        <v>3961</v>
      </c>
      <c r="L38" s="128" t="s">
        <v>3962</v>
      </c>
      <c r="M38" s="128" t="s">
        <v>3963</v>
      </c>
      <c r="N38" s="128" t="s">
        <v>3964</v>
      </c>
      <c r="O38" s="128" t="s">
        <v>3965</v>
      </c>
      <c r="P38" s="128" t="s">
        <v>3966</v>
      </c>
      <c r="Q38" s="128" t="s">
        <v>3967</v>
      </c>
      <c r="R38" s="128" t="s">
        <v>3968</v>
      </c>
      <c r="S38" s="128" t="s">
        <v>3969</v>
      </c>
      <c r="T38" s="128" t="s">
        <v>3970</v>
      </c>
      <c r="U38" s="128" t="s">
        <v>3971</v>
      </c>
      <c r="V38" s="128" t="s">
        <v>3972</v>
      </c>
      <c r="W38" s="128" t="s">
        <v>3973</v>
      </c>
      <c r="X38" s="128" t="s">
        <v>3974</v>
      </c>
      <c r="Y38" s="128" t="s">
        <v>3975</v>
      </c>
      <c r="Z38" s="128" t="s">
        <v>3976</v>
      </c>
      <c r="AA38" s="128" t="s">
        <v>3977</v>
      </c>
      <c r="AB38" s="128" t="s">
        <v>3978</v>
      </c>
      <c r="AC38" s="128" t="s">
        <v>3979</v>
      </c>
      <c r="AD38" s="128" t="s">
        <v>3980</v>
      </c>
      <c r="AE38" s="128" t="s">
        <v>3981</v>
      </c>
      <c r="AF38" s="128" t="s">
        <v>3982</v>
      </c>
    </row>
    <row r="39" spans="3:32" ht="319" x14ac:dyDescent="0.35">
      <c r="C39" s="128" t="s">
        <v>1071</v>
      </c>
      <c r="E39" s="128" t="s">
        <v>1072</v>
      </c>
      <c r="F39" s="128" t="s">
        <v>3983</v>
      </c>
      <c r="G39" s="128" t="s">
        <v>3984</v>
      </c>
      <c r="H39" s="128" t="s">
        <v>1075</v>
      </c>
      <c r="I39" s="128" t="s">
        <v>3985</v>
      </c>
      <c r="J39" s="128" t="s">
        <v>3986</v>
      </c>
      <c r="K39" s="128" t="s">
        <v>3987</v>
      </c>
      <c r="L39" s="128" t="s">
        <v>3988</v>
      </c>
      <c r="M39" s="128" t="s">
        <v>3989</v>
      </c>
      <c r="N39" s="128" t="s">
        <v>3990</v>
      </c>
      <c r="O39" s="128" t="s">
        <v>3991</v>
      </c>
      <c r="P39" s="128" t="s">
        <v>3992</v>
      </c>
      <c r="Q39" s="128" t="s">
        <v>3993</v>
      </c>
      <c r="R39" s="128" t="s">
        <v>3994</v>
      </c>
      <c r="S39" s="128" t="s">
        <v>3995</v>
      </c>
      <c r="T39" s="128" t="s">
        <v>3996</v>
      </c>
      <c r="U39" s="128" t="s">
        <v>3997</v>
      </c>
      <c r="V39" s="128" t="s">
        <v>3998</v>
      </c>
      <c r="W39" s="128" t="s">
        <v>3999</v>
      </c>
      <c r="X39" s="128" t="s">
        <v>4000</v>
      </c>
      <c r="Y39" s="128" t="s">
        <v>4001</v>
      </c>
      <c r="Z39" s="128" t="s">
        <v>4002</v>
      </c>
      <c r="AA39" s="128" t="s">
        <v>4003</v>
      </c>
      <c r="AB39" s="128" t="s">
        <v>4004</v>
      </c>
      <c r="AC39" s="128" t="s">
        <v>4005</v>
      </c>
      <c r="AD39" s="128" t="s">
        <v>4006</v>
      </c>
      <c r="AE39" s="128" t="s">
        <v>4007</v>
      </c>
      <c r="AF39" s="128" t="s">
        <v>4008</v>
      </c>
    </row>
    <row r="40" spans="3:32" ht="319" x14ac:dyDescent="0.35">
      <c r="C40" s="128" t="s">
        <v>1100</v>
      </c>
      <c r="E40" s="128" t="s">
        <v>1101</v>
      </c>
      <c r="F40" s="128" t="s">
        <v>4009</v>
      </c>
      <c r="G40" s="128" t="s">
        <v>4010</v>
      </c>
      <c r="H40" s="128" t="s">
        <v>1104</v>
      </c>
      <c r="I40" s="128" t="s">
        <v>4011</v>
      </c>
      <c r="J40" s="128" t="s">
        <v>4012</v>
      </c>
      <c r="K40" s="128" t="s">
        <v>4013</v>
      </c>
      <c r="L40" s="128" t="s">
        <v>4014</v>
      </c>
      <c r="M40" s="128" t="s">
        <v>4015</v>
      </c>
      <c r="N40" s="128" t="s">
        <v>4016</v>
      </c>
      <c r="O40" s="128" t="s">
        <v>4017</v>
      </c>
      <c r="P40" s="128" t="s">
        <v>4018</v>
      </c>
      <c r="Q40" s="128" t="s">
        <v>4019</v>
      </c>
      <c r="R40" s="128" t="s">
        <v>4020</v>
      </c>
      <c r="S40" s="128" t="s">
        <v>4021</v>
      </c>
      <c r="T40" s="128" t="s">
        <v>4022</v>
      </c>
      <c r="U40" s="128" t="s">
        <v>4023</v>
      </c>
      <c r="V40" s="128" t="s">
        <v>4024</v>
      </c>
      <c r="W40" s="128" t="s">
        <v>4025</v>
      </c>
      <c r="X40" s="128" t="s">
        <v>4026</v>
      </c>
      <c r="Y40" s="128" t="s">
        <v>4027</v>
      </c>
      <c r="Z40" s="128" t="s">
        <v>4028</v>
      </c>
      <c r="AA40" s="128" t="s">
        <v>4029</v>
      </c>
      <c r="AB40" s="128" t="s">
        <v>4030</v>
      </c>
      <c r="AC40" s="128" t="s">
        <v>4031</v>
      </c>
      <c r="AD40" s="128" t="s">
        <v>4032</v>
      </c>
      <c r="AE40" s="128" t="s">
        <v>4033</v>
      </c>
      <c r="AF40" s="128" t="s">
        <v>4034</v>
      </c>
    </row>
    <row r="41" spans="3:32" ht="319" x14ac:dyDescent="0.35">
      <c r="C41" s="128" t="s">
        <v>1129</v>
      </c>
      <c r="E41" s="128" t="s">
        <v>1130</v>
      </c>
      <c r="F41" s="128" t="s">
        <v>4035</v>
      </c>
      <c r="G41" s="128" t="s">
        <v>4036</v>
      </c>
      <c r="H41" s="128" t="s">
        <v>1133</v>
      </c>
      <c r="I41" s="128" t="s">
        <v>4037</v>
      </c>
      <c r="J41" s="128" t="s">
        <v>4038</v>
      </c>
      <c r="K41" s="128" t="s">
        <v>4039</v>
      </c>
      <c r="L41" s="128" t="s">
        <v>4040</v>
      </c>
      <c r="M41" s="128" t="s">
        <v>4041</v>
      </c>
      <c r="N41" s="128" t="s">
        <v>4042</v>
      </c>
      <c r="O41" s="128" t="s">
        <v>4043</v>
      </c>
      <c r="P41" s="128" t="s">
        <v>4044</v>
      </c>
      <c r="Q41" s="128" t="s">
        <v>4045</v>
      </c>
      <c r="R41" s="128" t="s">
        <v>4046</v>
      </c>
      <c r="S41" s="128" t="s">
        <v>4047</v>
      </c>
      <c r="T41" s="128" t="s">
        <v>4048</v>
      </c>
      <c r="U41" s="128" t="s">
        <v>4049</v>
      </c>
      <c r="V41" s="128" t="s">
        <v>4050</v>
      </c>
      <c r="W41" s="128" t="s">
        <v>4051</v>
      </c>
      <c r="X41" s="128" t="s">
        <v>4052</v>
      </c>
      <c r="Y41" s="128" t="s">
        <v>4053</v>
      </c>
      <c r="Z41" s="128" t="s">
        <v>4054</v>
      </c>
      <c r="AA41" s="128" t="s">
        <v>4055</v>
      </c>
      <c r="AB41" s="128" t="s">
        <v>4056</v>
      </c>
      <c r="AC41" s="128" t="s">
        <v>4057</v>
      </c>
      <c r="AD41" s="128" t="s">
        <v>4058</v>
      </c>
      <c r="AE41" s="128" t="s">
        <v>4059</v>
      </c>
      <c r="AF41" s="128" t="s">
        <v>4060</v>
      </c>
    </row>
    <row r="42" spans="3:32" ht="319" x14ac:dyDescent="0.35">
      <c r="C42" s="128" t="s">
        <v>1158</v>
      </c>
      <c r="E42" s="128" t="s">
        <v>1159</v>
      </c>
      <c r="F42" s="128" t="s">
        <v>4061</v>
      </c>
      <c r="G42" s="128" t="s">
        <v>4062</v>
      </c>
      <c r="H42" s="128" t="s">
        <v>1162</v>
      </c>
      <c r="I42" s="128" t="s">
        <v>4063</v>
      </c>
      <c r="J42" s="128" t="s">
        <v>4064</v>
      </c>
      <c r="K42" s="128" t="s">
        <v>4065</v>
      </c>
      <c r="L42" s="128" t="s">
        <v>4066</v>
      </c>
      <c r="M42" s="128" t="s">
        <v>4067</v>
      </c>
      <c r="N42" s="128" t="s">
        <v>4068</v>
      </c>
      <c r="O42" s="128" t="s">
        <v>4069</v>
      </c>
      <c r="P42" s="128" t="s">
        <v>4070</v>
      </c>
      <c r="Q42" s="128" t="s">
        <v>4071</v>
      </c>
      <c r="R42" s="128" t="s">
        <v>4072</v>
      </c>
      <c r="S42" s="128" t="s">
        <v>4073</v>
      </c>
      <c r="T42" s="128" t="s">
        <v>4074</v>
      </c>
      <c r="U42" s="128" t="s">
        <v>4075</v>
      </c>
      <c r="V42" s="128" t="s">
        <v>4076</v>
      </c>
      <c r="W42" s="128" t="s">
        <v>4077</v>
      </c>
      <c r="X42" s="128" t="s">
        <v>4078</v>
      </c>
      <c r="Y42" s="128" t="s">
        <v>4079</v>
      </c>
      <c r="Z42" s="128" t="s">
        <v>4080</v>
      </c>
      <c r="AA42" s="128" t="s">
        <v>4081</v>
      </c>
      <c r="AB42" s="128" t="s">
        <v>4082</v>
      </c>
      <c r="AC42" s="128" t="s">
        <v>4083</v>
      </c>
      <c r="AD42" s="128" t="s">
        <v>4084</v>
      </c>
      <c r="AE42" s="128" t="s">
        <v>4085</v>
      </c>
      <c r="AF42" s="128" t="s">
        <v>4086</v>
      </c>
    </row>
    <row r="43" spans="3:32" ht="319" x14ac:dyDescent="0.35">
      <c r="C43" s="128" t="s">
        <v>1187</v>
      </c>
      <c r="E43" s="128" t="s">
        <v>1188</v>
      </c>
      <c r="F43" s="128" t="s">
        <v>4087</v>
      </c>
      <c r="G43" s="128" t="s">
        <v>4088</v>
      </c>
      <c r="H43" s="128" t="s">
        <v>1191</v>
      </c>
      <c r="I43" s="128" t="s">
        <v>4089</v>
      </c>
      <c r="J43" s="128" t="s">
        <v>4090</v>
      </c>
      <c r="K43" s="128" t="s">
        <v>4091</v>
      </c>
      <c r="L43" s="128" t="s">
        <v>4092</v>
      </c>
      <c r="M43" s="128" t="s">
        <v>4093</v>
      </c>
      <c r="N43" s="128" t="s">
        <v>4094</v>
      </c>
      <c r="O43" s="128" t="s">
        <v>4095</v>
      </c>
      <c r="P43" s="128" t="s">
        <v>4096</v>
      </c>
      <c r="Q43" s="128" t="s">
        <v>4097</v>
      </c>
      <c r="R43" s="128" t="s">
        <v>4098</v>
      </c>
      <c r="S43" s="128" t="s">
        <v>4099</v>
      </c>
      <c r="T43" s="128" t="s">
        <v>4100</v>
      </c>
      <c r="U43" s="128" t="s">
        <v>4101</v>
      </c>
      <c r="V43" s="128" t="s">
        <v>4102</v>
      </c>
      <c r="W43" s="128" t="s">
        <v>4103</v>
      </c>
      <c r="X43" s="128" t="s">
        <v>4104</v>
      </c>
      <c r="Y43" s="128" t="s">
        <v>4105</v>
      </c>
      <c r="Z43" s="128" t="s">
        <v>4106</v>
      </c>
      <c r="AA43" s="128" t="s">
        <v>4107</v>
      </c>
      <c r="AB43" s="128" t="s">
        <v>4108</v>
      </c>
      <c r="AC43" s="128" t="s">
        <v>4109</v>
      </c>
      <c r="AD43" s="128" t="s">
        <v>4110</v>
      </c>
      <c r="AE43" s="128" t="s">
        <v>4111</v>
      </c>
      <c r="AF43" s="128" t="s">
        <v>4112</v>
      </c>
    </row>
    <row r="44" spans="3:32" ht="319" x14ac:dyDescent="0.35">
      <c r="C44" s="128" t="s">
        <v>1216</v>
      </c>
      <c r="E44" s="128" t="s">
        <v>1217</v>
      </c>
      <c r="F44" s="128" t="s">
        <v>4113</v>
      </c>
      <c r="G44" s="128" t="s">
        <v>4114</v>
      </c>
      <c r="H44" s="128" t="s">
        <v>1220</v>
      </c>
      <c r="I44" s="128" t="s">
        <v>4115</v>
      </c>
      <c r="J44" s="128" t="s">
        <v>4116</v>
      </c>
      <c r="K44" s="128" t="s">
        <v>4117</v>
      </c>
      <c r="L44" s="128" t="s">
        <v>4118</v>
      </c>
      <c r="M44" s="128" t="s">
        <v>4119</v>
      </c>
      <c r="N44" s="128" t="s">
        <v>4120</v>
      </c>
      <c r="O44" s="128" t="s">
        <v>4121</v>
      </c>
      <c r="P44" s="128" t="s">
        <v>4122</v>
      </c>
      <c r="Q44" s="128" t="s">
        <v>4123</v>
      </c>
      <c r="R44" s="128" t="s">
        <v>4124</v>
      </c>
      <c r="S44" s="128" t="s">
        <v>4125</v>
      </c>
      <c r="T44" s="128" t="s">
        <v>4126</v>
      </c>
      <c r="U44" s="128" t="s">
        <v>4127</v>
      </c>
      <c r="V44" s="128" t="s">
        <v>4128</v>
      </c>
      <c r="W44" s="128" t="s">
        <v>4129</v>
      </c>
      <c r="X44" s="128" t="s">
        <v>4130</v>
      </c>
      <c r="Y44" s="128" t="s">
        <v>4131</v>
      </c>
      <c r="Z44" s="128" t="s">
        <v>4132</v>
      </c>
      <c r="AA44" s="128" t="s">
        <v>4133</v>
      </c>
      <c r="AB44" s="128" t="s">
        <v>4134</v>
      </c>
      <c r="AC44" s="128" t="s">
        <v>4135</v>
      </c>
      <c r="AD44" s="128" t="s">
        <v>4136</v>
      </c>
      <c r="AE44" s="128" t="s">
        <v>4137</v>
      </c>
      <c r="AF44" s="128" t="s">
        <v>4138</v>
      </c>
    </row>
    <row r="45" spans="3:32" ht="319" x14ac:dyDescent="0.35">
      <c r="C45" s="128" t="s">
        <v>1245</v>
      </c>
      <c r="E45" s="128" t="s">
        <v>1246</v>
      </c>
      <c r="F45" s="128" t="s">
        <v>4139</v>
      </c>
      <c r="G45" s="128" t="s">
        <v>4140</v>
      </c>
      <c r="H45" s="128" t="s">
        <v>1249</v>
      </c>
      <c r="I45" s="128" t="s">
        <v>4141</v>
      </c>
      <c r="J45" s="128" t="s">
        <v>4142</v>
      </c>
      <c r="K45" s="128" t="s">
        <v>4143</v>
      </c>
      <c r="L45" s="128" t="s">
        <v>4144</v>
      </c>
      <c r="M45" s="128" t="s">
        <v>4145</v>
      </c>
      <c r="N45" s="128" t="s">
        <v>4146</v>
      </c>
      <c r="O45" s="128" t="s">
        <v>4147</v>
      </c>
      <c r="P45" s="128" t="s">
        <v>4148</v>
      </c>
      <c r="Q45" s="128" t="s">
        <v>4149</v>
      </c>
      <c r="R45" s="128" t="s">
        <v>4150</v>
      </c>
      <c r="S45" s="128" t="s">
        <v>4151</v>
      </c>
      <c r="T45" s="128" t="s">
        <v>4152</v>
      </c>
      <c r="U45" s="128" t="s">
        <v>4153</v>
      </c>
      <c r="V45" s="128" t="s">
        <v>4154</v>
      </c>
      <c r="W45" s="128" t="s">
        <v>4155</v>
      </c>
      <c r="X45" s="128" t="s">
        <v>4156</v>
      </c>
      <c r="Y45" s="128" t="s">
        <v>4157</v>
      </c>
      <c r="Z45" s="128" t="s">
        <v>4158</v>
      </c>
      <c r="AA45" s="128" t="s">
        <v>4159</v>
      </c>
      <c r="AB45" s="128" t="s">
        <v>4160</v>
      </c>
      <c r="AC45" s="128" t="s">
        <v>4161</v>
      </c>
      <c r="AD45" s="128" t="s">
        <v>4162</v>
      </c>
      <c r="AE45" s="128" t="s">
        <v>4163</v>
      </c>
      <c r="AF45" s="128" t="s">
        <v>4164</v>
      </c>
    </row>
    <row r="46" spans="3:32" ht="319" x14ac:dyDescent="0.35">
      <c r="C46" s="128" t="s">
        <v>1274</v>
      </c>
      <c r="E46" s="128" t="s">
        <v>1275</v>
      </c>
      <c r="F46" s="128" t="s">
        <v>4165</v>
      </c>
      <c r="G46" s="128" t="s">
        <v>4166</v>
      </c>
      <c r="H46" s="128" t="s">
        <v>1278</v>
      </c>
      <c r="I46" s="128" t="s">
        <v>4167</v>
      </c>
      <c r="J46" s="128" t="s">
        <v>4168</v>
      </c>
      <c r="K46" s="128" t="s">
        <v>4169</v>
      </c>
      <c r="L46" s="128" t="s">
        <v>4170</v>
      </c>
      <c r="M46" s="128" t="s">
        <v>4171</v>
      </c>
      <c r="N46" s="128" t="s">
        <v>4172</v>
      </c>
      <c r="O46" s="128" t="s">
        <v>4173</v>
      </c>
      <c r="P46" s="128" t="s">
        <v>4174</v>
      </c>
      <c r="Q46" s="128" t="s">
        <v>4175</v>
      </c>
      <c r="R46" s="128" t="s">
        <v>4176</v>
      </c>
      <c r="S46" s="128" t="s">
        <v>4177</v>
      </c>
      <c r="T46" s="128" t="s">
        <v>4178</v>
      </c>
      <c r="U46" s="128" t="s">
        <v>4179</v>
      </c>
      <c r="V46" s="128" t="s">
        <v>4180</v>
      </c>
      <c r="W46" s="128" t="s">
        <v>4181</v>
      </c>
      <c r="X46" s="128" t="s">
        <v>4182</v>
      </c>
      <c r="Y46" s="128" t="s">
        <v>4183</v>
      </c>
      <c r="Z46" s="128" t="s">
        <v>4184</v>
      </c>
      <c r="AA46" s="128" t="s">
        <v>4185</v>
      </c>
      <c r="AB46" s="128" t="s">
        <v>4186</v>
      </c>
      <c r="AC46" s="128" t="s">
        <v>4187</v>
      </c>
      <c r="AD46" s="128" t="s">
        <v>4188</v>
      </c>
      <c r="AE46" s="128" t="s">
        <v>4189</v>
      </c>
      <c r="AF46" s="128" t="s">
        <v>4190</v>
      </c>
    </row>
    <row r="47" spans="3:32" ht="319" x14ac:dyDescent="0.35">
      <c r="C47" s="128" t="s">
        <v>1303</v>
      </c>
      <c r="E47" s="128" t="s">
        <v>1304</v>
      </c>
      <c r="F47" s="128" t="s">
        <v>4191</v>
      </c>
      <c r="G47" s="128" t="s">
        <v>4192</v>
      </c>
      <c r="H47" s="128" t="s">
        <v>1307</v>
      </c>
      <c r="I47" s="128" t="s">
        <v>4193</v>
      </c>
      <c r="J47" s="128" t="s">
        <v>4194</v>
      </c>
      <c r="K47" s="128" t="s">
        <v>4195</v>
      </c>
      <c r="L47" s="128" t="s">
        <v>4196</v>
      </c>
      <c r="M47" s="128" t="s">
        <v>4197</v>
      </c>
      <c r="N47" s="128" t="s">
        <v>4198</v>
      </c>
      <c r="O47" s="128" t="s">
        <v>4199</v>
      </c>
      <c r="P47" s="128" t="s">
        <v>4200</v>
      </c>
      <c r="Q47" s="128" t="s">
        <v>4201</v>
      </c>
      <c r="R47" s="128" t="s">
        <v>4202</v>
      </c>
      <c r="S47" s="128" t="s">
        <v>4203</v>
      </c>
      <c r="T47" s="128" t="s">
        <v>4204</v>
      </c>
      <c r="U47" s="128" t="s">
        <v>4205</v>
      </c>
      <c r="V47" s="128" t="s">
        <v>4206</v>
      </c>
      <c r="W47" s="128" t="s">
        <v>4207</v>
      </c>
      <c r="X47" s="128" t="s">
        <v>4208</v>
      </c>
      <c r="Y47" s="128" t="s">
        <v>4209</v>
      </c>
      <c r="Z47" s="128" t="s">
        <v>4210</v>
      </c>
      <c r="AA47" s="128" t="s">
        <v>4211</v>
      </c>
      <c r="AB47" s="128" t="s">
        <v>4212</v>
      </c>
      <c r="AC47" s="128" t="s">
        <v>4213</v>
      </c>
      <c r="AD47" s="128" t="s">
        <v>4214</v>
      </c>
      <c r="AE47" s="128" t="s">
        <v>4215</v>
      </c>
      <c r="AF47" s="128" t="s">
        <v>4216</v>
      </c>
    </row>
    <row r="48" spans="3:32" ht="319" x14ac:dyDescent="0.35">
      <c r="C48" s="128" t="s">
        <v>1332</v>
      </c>
      <c r="E48" s="128" t="s">
        <v>1333</v>
      </c>
      <c r="F48" s="128" t="s">
        <v>4217</v>
      </c>
      <c r="G48" s="128" t="s">
        <v>4218</v>
      </c>
      <c r="H48" s="128" t="s">
        <v>1336</v>
      </c>
      <c r="I48" s="128" t="s">
        <v>4219</v>
      </c>
      <c r="J48" s="128" t="s">
        <v>4220</v>
      </c>
      <c r="K48" s="128" t="s">
        <v>4221</v>
      </c>
      <c r="L48" s="128" t="s">
        <v>4222</v>
      </c>
      <c r="M48" s="128" t="s">
        <v>4223</v>
      </c>
      <c r="N48" s="128" t="s">
        <v>4224</v>
      </c>
      <c r="O48" s="128" t="s">
        <v>4225</v>
      </c>
      <c r="P48" s="128" t="s">
        <v>4226</v>
      </c>
      <c r="Q48" s="128" t="s">
        <v>4227</v>
      </c>
      <c r="R48" s="128" t="s">
        <v>4228</v>
      </c>
      <c r="S48" s="128" t="s">
        <v>4229</v>
      </c>
      <c r="T48" s="128" t="s">
        <v>4230</v>
      </c>
      <c r="U48" s="128" t="s">
        <v>4231</v>
      </c>
      <c r="V48" s="128" t="s">
        <v>4232</v>
      </c>
      <c r="W48" s="128" t="s">
        <v>4233</v>
      </c>
      <c r="X48" s="128" t="s">
        <v>4234</v>
      </c>
      <c r="Y48" s="128" t="s">
        <v>4235</v>
      </c>
      <c r="Z48" s="128" t="s">
        <v>4236</v>
      </c>
      <c r="AA48" s="128" t="s">
        <v>4237</v>
      </c>
      <c r="AB48" s="128" t="s">
        <v>4238</v>
      </c>
      <c r="AC48" s="128" t="s">
        <v>4239</v>
      </c>
      <c r="AD48" s="128" t="s">
        <v>4240</v>
      </c>
      <c r="AE48" s="128" t="s">
        <v>4241</v>
      </c>
      <c r="AF48" s="128" t="s">
        <v>4242</v>
      </c>
    </row>
    <row r="49" spans="3:32" ht="319" x14ac:dyDescent="0.35">
      <c r="C49" s="128" t="s">
        <v>1361</v>
      </c>
      <c r="E49" s="128" t="s">
        <v>1362</v>
      </c>
      <c r="F49" s="128" t="s">
        <v>4243</v>
      </c>
      <c r="G49" s="128" t="s">
        <v>4244</v>
      </c>
      <c r="H49" s="128" t="s">
        <v>1365</v>
      </c>
      <c r="I49" s="128" t="s">
        <v>4245</v>
      </c>
      <c r="J49" s="128" t="s">
        <v>4246</v>
      </c>
      <c r="K49" s="128" t="s">
        <v>4247</v>
      </c>
      <c r="L49" s="128" t="s">
        <v>4248</v>
      </c>
      <c r="M49" s="128" t="s">
        <v>4249</v>
      </c>
      <c r="N49" s="128" t="s">
        <v>4250</v>
      </c>
      <c r="O49" s="128" t="s">
        <v>4251</v>
      </c>
      <c r="P49" s="128" t="s">
        <v>4252</v>
      </c>
      <c r="Q49" s="128" t="s">
        <v>4253</v>
      </c>
      <c r="R49" s="128" t="s">
        <v>4254</v>
      </c>
      <c r="S49" s="128" t="s">
        <v>4255</v>
      </c>
      <c r="T49" s="128" t="s">
        <v>4256</v>
      </c>
      <c r="U49" s="128" t="s">
        <v>4257</v>
      </c>
      <c r="V49" s="128" t="s">
        <v>4258</v>
      </c>
      <c r="W49" s="128" t="s">
        <v>4259</v>
      </c>
      <c r="X49" s="128" t="s">
        <v>4260</v>
      </c>
      <c r="Y49" s="128" t="s">
        <v>4261</v>
      </c>
      <c r="Z49" s="128" t="s">
        <v>4262</v>
      </c>
      <c r="AA49" s="128" t="s">
        <v>4263</v>
      </c>
      <c r="AB49" s="128" t="s">
        <v>4264</v>
      </c>
      <c r="AC49" s="128" t="s">
        <v>4265</v>
      </c>
      <c r="AD49" s="128" t="s">
        <v>4266</v>
      </c>
      <c r="AE49" s="128" t="s">
        <v>4267</v>
      </c>
      <c r="AF49" s="128" t="s">
        <v>4268</v>
      </c>
    </row>
    <row r="50" spans="3:32" ht="319" x14ac:dyDescent="0.35">
      <c r="C50" s="128" t="s">
        <v>1390</v>
      </c>
      <c r="E50" s="128" t="s">
        <v>1391</v>
      </c>
      <c r="F50" s="128" t="s">
        <v>4269</v>
      </c>
      <c r="G50" s="128" t="s">
        <v>4270</v>
      </c>
      <c r="H50" s="128" t="s">
        <v>1394</v>
      </c>
      <c r="I50" s="128" t="s">
        <v>4271</v>
      </c>
      <c r="J50" s="128" t="s">
        <v>4272</v>
      </c>
      <c r="K50" s="128" t="s">
        <v>4273</v>
      </c>
      <c r="L50" s="128" t="s">
        <v>4274</v>
      </c>
      <c r="M50" s="128" t="s">
        <v>4275</v>
      </c>
      <c r="N50" s="128" t="s">
        <v>4276</v>
      </c>
      <c r="O50" s="128" t="s">
        <v>4277</v>
      </c>
      <c r="P50" s="128" t="s">
        <v>4278</v>
      </c>
      <c r="Q50" s="128" t="s">
        <v>4279</v>
      </c>
      <c r="R50" s="128" t="s">
        <v>4280</v>
      </c>
      <c r="S50" s="128" t="s">
        <v>4281</v>
      </c>
      <c r="T50" s="128" t="s">
        <v>4282</v>
      </c>
      <c r="U50" s="128" t="s">
        <v>4283</v>
      </c>
      <c r="V50" s="128" t="s">
        <v>4284</v>
      </c>
      <c r="W50" s="128" t="s">
        <v>4285</v>
      </c>
      <c r="X50" s="128" t="s">
        <v>4286</v>
      </c>
      <c r="Y50" s="128" t="s">
        <v>4287</v>
      </c>
      <c r="Z50" s="128" t="s">
        <v>4288</v>
      </c>
      <c r="AA50" s="128" t="s">
        <v>4289</v>
      </c>
      <c r="AB50" s="128" t="s">
        <v>4290</v>
      </c>
      <c r="AC50" s="128" t="s">
        <v>4291</v>
      </c>
      <c r="AD50" s="128" t="s">
        <v>4292</v>
      </c>
      <c r="AE50" s="128" t="s">
        <v>4293</v>
      </c>
      <c r="AF50" s="128" t="s">
        <v>4294</v>
      </c>
    </row>
    <row r="51" spans="3:32" ht="319" x14ac:dyDescent="0.35">
      <c r="C51" s="128" t="s">
        <v>1419</v>
      </c>
      <c r="E51" s="128" t="s">
        <v>1420</v>
      </c>
      <c r="F51" s="128" t="s">
        <v>4295</v>
      </c>
      <c r="G51" s="128" t="s">
        <v>4296</v>
      </c>
      <c r="H51" s="128" t="s">
        <v>1423</v>
      </c>
      <c r="I51" s="128" t="s">
        <v>4297</v>
      </c>
      <c r="J51" s="128" t="s">
        <v>4298</v>
      </c>
      <c r="K51" s="128" t="s">
        <v>4299</v>
      </c>
      <c r="L51" s="128" t="s">
        <v>4300</v>
      </c>
      <c r="M51" s="128" t="s">
        <v>4301</v>
      </c>
      <c r="N51" s="128" t="s">
        <v>4302</v>
      </c>
      <c r="O51" s="128" t="s">
        <v>4303</v>
      </c>
      <c r="P51" s="128" t="s">
        <v>4304</v>
      </c>
      <c r="Q51" s="128" t="s">
        <v>4305</v>
      </c>
      <c r="R51" s="128" t="s">
        <v>4306</v>
      </c>
      <c r="S51" s="128" t="s">
        <v>4307</v>
      </c>
      <c r="T51" s="128" t="s">
        <v>4308</v>
      </c>
      <c r="U51" s="128" t="s">
        <v>4309</v>
      </c>
      <c r="V51" s="128" t="s">
        <v>4310</v>
      </c>
      <c r="W51" s="128" t="s">
        <v>4311</v>
      </c>
      <c r="X51" s="128" t="s">
        <v>4312</v>
      </c>
      <c r="Y51" s="128" t="s">
        <v>4313</v>
      </c>
      <c r="Z51" s="128" t="s">
        <v>4314</v>
      </c>
      <c r="AA51" s="128" t="s">
        <v>4315</v>
      </c>
      <c r="AB51" s="128" t="s">
        <v>4316</v>
      </c>
      <c r="AC51" s="128" t="s">
        <v>4317</v>
      </c>
      <c r="AD51" s="128" t="s">
        <v>4318</v>
      </c>
      <c r="AE51" s="128" t="s">
        <v>4319</v>
      </c>
      <c r="AF51" s="128" t="s">
        <v>4320</v>
      </c>
    </row>
    <row r="52" spans="3:32" ht="319" x14ac:dyDescent="0.35">
      <c r="C52" s="128" t="s">
        <v>1448</v>
      </c>
      <c r="E52" s="128" t="s">
        <v>1449</v>
      </c>
      <c r="F52" s="128" t="s">
        <v>4321</v>
      </c>
      <c r="G52" s="128" t="s">
        <v>4322</v>
      </c>
      <c r="H52" s="128" t="s">
        <v>1452</v>
      </c>
      <c r="I52" s="128" t="s">
        <v>4323</v>
      </c>
      <c r="J52" s="128" t="s">
        <v>4324</v>
      </c>
      <c r="K52" s="128" t="s">
        <v>4325</v>
      </c>
      <c r="L52" s="128" t="s">
        <v>4326</v>
      </c>
      <c r="M52" s="128" t="s">
        <v>4327</v>
      </c>
      <c r="N52" s="128" t="s">
        <v>4328</v>
      </c>
      <c r="O52" s="128" t="s">
        <v>4329</v>
      </c>
      <c r="P52" s="128" t="s">
        <v>4330</v>
      </c>
      <c r="Q52" s="128" t="s">
        <v>4331</v>
      </c>
      <c r="R52" s="128" t="s">
        <v>4332</v>
      </c>
      <c r="S52" s="128" t="s">
        <v>4333</v>
      </c>
      <c r="T52" s="128" t="s">
        <v>4334</v>
      </c>
      <c r="U52" s="128" t="s">
        <v>4335</v>
      </c>
      <c r="V52" s="128" t="s">
        <v>4336</v>
      </c>
      <c r="W52" s="128" t="s">
        <v>4337</v>
      </c>
      <c r="X52" s="128" t="s">
        <v>4338</v>
      </c>
      <c r="Y52" s="128" t="s">
        <v>4339</v>
      </c>
      <c r="Z52" s="128" t="s">
        <v>4340</v>
      </c>
      <c r="AA52" s="128" t="s">
        <v>4341</v>
      </c>
      <c r="AB52" s="128" t="s">
        <v>4342</v>
      </c>
      <c r="AC52" s="128" t="s">
        <v>4343</v>
      </c>
      <c r="AD52" s="128" t="s">
        <v>4344</v>
      </c>
      <c r="AE52" s="128" t="s">
        <v>4345</v>
      </c>
      <c r="AF52" s="128" t="s">
        <v>4346</v>
      </c>
    </row>
    <row r="53" spans="3:32" ht="319" x14ac:dyDescent="0.35">
      <c r="C53" s="128" t="s">
        <v>1477</v>
      </c>
      <c r="E53" s="128" t="s">
        <v>1478</v>
      </c>
      <c r="F53" s="128" t="s">
        <v>4347</v>
      </c>
      <c r="G53" s="128" t="s">
        <v>4348</v>
      </c>
      <c r="H53" s="128" t="s">
        <v>1481</v>
      </c>
      <c r="I53" s="128" t="s">
        <v>4349</v>
      </c>
      <c r="J53" s="128" t="s">
        <v>4350</v>
      </c>
      <c r="K53" s="128" t="s">
        <v>4351</v>
      </c>
      <c r="L53" s="128" t="s">
        <v>4352</v>
      </c>
      <c r="M53" s="128" t="s">
        <v>4353</v>
      </c>
      <c r="N53" s="128" t="s">
        <v>4354</v>
      </c>
      <c r="O53" s="128" t="s">
        <v>4355</v>
      </c>
      <c r="P53" s="128" t="s">
        <v>4356</v>
      </c>
      <c r="Q53" s="128" t="s">
        <v>4357</v>
      </c>
      <c r="R53" s="128" t="s">
        <v>4358</v>
      </c>
      <c r="S53" s="128" t="s">
        <v>4359</v>
      </c>
      <c r="T53" s="128" t="s">
        <v>4360</v>
      </c>
      <c r="U53" s="128" t="s">
        <v>4361</v>
      </c>
      <c r="V53" s="128" t="s">
        <v>4362</v>
      </c>
      <c r="W53" s="128" t="s">
        <v>4363</v>
      </c>
      <c r="X53" s="128" t="s">
        <v>4364</v>
      </c>
      <c r="Y53" s="128" t="s">
        <v>4365</v>
      </c>
      <c r="Z53" s="128" t="s">
        <v>4366</v>
      </c>
      <c r="AA53" s="128" t="s">
        <v>4367</v>
      </c>
      <c r="AB53" s="128" t="s">
        <v>4368</v>
      </c>
      <c r="AC53" s="128" t="s">
        <v>4369</v>
      </c>
      <c r="AD53" s="128" t="s">
        <v>4370</v>
      </c>
      <c r="AE53" s="128" t="s">
        <v>4371</v>
      </c>
      <c r="AF53" s="128" t="s">
        <v>4372</v>
      </c>
    </row>
    <row r="54" spans="3:32" ht="319" x14ac:dyDescent="0.35">
      <c r="C54" s="128" t="s">
        <v>1506</v>
      </c>
      <c r="E54" s="128" t="s">
        <v>1507</v>
      </c>
      <c r="F54" s="128" t="s">
        <v>4373</v>
      </c>
      <c r="G54" s="128" t="s">
        <v>4374</v>
      </c>
      <c r="H54" s="128" t="s">
        <v>1510</v>
      </c>
      <c r="I54" s="128" t="s">
        <v>4375</v>
      </c>
      <c r="J54" s="128" t="s">
        <v>4376</v>
      </c>
      <c r="K54" s="128" t="s">
        <v>4377</v>
      </c>
      <c r="L54" s="128" t="s">
        <v>4378</v>
      </c>
      <c r="M54" s="128" t="s">
        <v>4379</v>
      </c>
      <c r="N54" s="128" t="s">
        <v>4380</v>
      </c>
      <c r="O54" s="128" t="s">
        <v>4381</v>
      </c>
      <c r="P54" s="128" t="s">
        <v>4382</v>
      </c>
      <c r="Q54" s="128" t="s">
        <v>4383</v>
      </c>
      <c r="R54" s="128" t="s">
        <v>4384</v>
      </c>
      <c r="S54" s="128" t="s">
        <v>4385</v>
      </c>
      <c r="T54" s="128" t="s">
        <v>4386</v>
      </c>
      <c r="U54" s="128" t="s">
        <v>4387</v>
      </c>
      <c r="V54" s="128" t="s">
        <v>4388</v>
      </c>
      <c r="W54" s="128" t="s">
        <v>4389</v>
      </c>
      <c r="X54" s="128" t="s">
        <v>4390</v>
      </c>
      <c r="Y54" s="128" t="s">
        <v>4391</v>
      </c>
      <c r="Z54" s="128" t="s">
        <v>4392</v>
      </c>
      <c r="AA54" s="128" t="s">
        <v>4393</v>
      </c>
      <c r="AB54" s="128" t="s">
        <v>4394</v>
      </c>
      <c r="AC54" s="128" t="s">
        <v>4395</v>
      </c>
      <c r="AD54" s="128" t="s">
        <v>4396</v>
      </c>
      <c r="AE54" s="128" t="s">
        <v>4397</v>
      </c>
      <c r="AF54" s="128" t="s">
        <v>4398</v>
      </c>
    </row>
    <row r="55" spans="3:32" ht="319" x14ac:dyDescent="0.35">
      <c r="C55" s="128" t="s">
        <v>1535</v>
      </c>
      <c r="E55" s="128" t="s">
        <v>1536</v>
      </c>
      <c r="F55" s="128" t="s">
        <v>4399</v>
      </c>
      <c r="G55" s="128" t="s">
        <v>4400</v>
      </c>
      <c r="H55" s="128" t="s">
        <v>1539</v>
      </c>
      <c r="I55" s="128" t="s">
        <v>4401</v>
      </c>
      <c r="J55" s="128" t="s">
        <v>4402</v>
      </c>
      <c r="K55" s="128" t="s">
        <v>4403</v>
      </c>
      <c r="L55" s="128" t="s">
        <v>4404</v>
      </c>
      <c r="M55" s="128" t="s">
        <v>4405</v>
      </c>
      <c r="N55" s="128" t="s">
        <v>4406</v>
      </c>
      <c r="O55" s="128" t="s">
        <v>4407</v>
      </c>
      <c r="P55" s="128" t="s">
        <v>4408</v>
      </c>
      <c r="Q55" s="128" t="s">
        <v>4409</v>
      </c>
      <c r="R55" s="128" t="s">
        <v>4410</v>
      </c>
      <c r="S55" s="128" t="s">
        <v>4411</v>
      </c>
      <c r="T55" s="128" t="s">
        <v>4412</v>
      </c>
      <c r="U55" s="128" t="s">
        <v>4413</v>
      </c>
      <c r="V55" s="128" t="s">
        <v>4414</v>
      </c>
      <c r="W55" s="128" t="s">
        <v>4415</v>
      </c>
      <c r="X55" s="128" t="s">
        <v>4416</v>
      </c>
      <c r="Y55" s="128" t="s">
        <v>4417</v>
      </c>
      <c r="Z55" s="128" t="s">
        <v>4418</v>
      </c>
      <c r="AA55" s="128" t="s">
        <v>4419</v>
      </c>
      <c r="AB55" s="128" t="s">
        <v>4420</v>
      </c>
      <c r="AC55" s="128" t="s">
        <v>4421</v>
      </c>
      <c r="AD55" s="128" t="s">
        <v>4422</v>
      </c>
      <c r="AE55" s="128" t="s">
        <v>4423</v>
      </c>
      <c r="AF55" s="128" t="s">
        <v>4424</v>
      </c>
    </row>
    <row r="56" spans="3:32" ht="319" x14ac:dyDescent="0.35">
      <c r="C56" s="128" t="s">
        <v>1564</v>
      </c>
      <c r="E56" s="128" t="s">
        <v>1565</v>
      </c>
      <c r="F56" s="128" t="s">
        <v>4425</v>
      </c>
      <c r="G56" s="128" t="s">
        <v>4426</v>
      </c>
      <c r="H56" s="128" t="s">
        <v>1568</v>
      </c>
      <c r="I56" s="128" t="s">
        <v>4427</v>
      </c>
      <c r="J56" s="128" t="s">
        <v>4428</v>
      </c>
      <c r="K56" s="128" t="s">
        <v>4429</v>
      </c>
      <c r="L56" s="128" t="s">
        <v>4430</v>
      </c>
      <c r="M56" s="128" t="s">
        <v>4431</v>
      </c>
      <c r="N56" s="128" t="s">
        <v>4432</v>
      </c>
      <c r="O56" s="128" t="s">
        <v>4433</v>
      </c>
      <c r="P56" s="128" t="s">
        <v>4434</v>
      </c>
      <c r="Q56" s="128" t="s">
        <v>4435</v>
      </c>
      <c r="R56" s="128" t="s">
        <v>4436</v>
      </c>
      <c r="S56" s="128" t="s">
        <v>4437</v>
      </c>
      <c r="T56" s="128" t="s">
        <v>4438</v>
      </c>
      <c r="U56" s="128" t="s">
        <v>4439</v>
      </c>
      <c r="V56" s="128" t="s">
        <v>4440</v>
      </c>
      <c r="W56" s="128" t="s">
        <v>4441</v>
      </c>
      <c r="X56" s="128" t="s">
        <v>4442</v>
      </c>
      <c r="Y56" s="128" t="s">
        <v>4443</v>
      </c>
      <c r="Z56" s="128" t="s">
        <v>4444</v>
      </c>
      <c r="AA56" s="128" t="s">
        <v>4445</v>
      </c>
      <c r="AB56" s="128" t="s">
        <v>4446</v>
      </c>
      <c r="AC56" s="128" t="s">
        <v>4447</v>
      </c>
      <c r="AD56" s="128" t="s">
        <v>4448</v>
      </c>
      <c r="AE56" s="128" t="s">
        <v>4449</v>
      </c>
      <c r="AF56" s="128" t="s">
        <v>4450</v>
      </c>
    </row>
    <row r="57" spans="3:32" ht="319" x14ac:dyDescent="0.35">
      <c r="C57" s="128" t="s">
        <v>1593</v>
      </c>
      <c r="E57" s="128" t="s">
        <v>1594</v>
      </c>
      <c r="F57" s="128" t="s">
        <v>4451</v>
      </c>
      <c r="G57" s="128" t="s">
        <v>4452</v>
      </c>
      <c r="H57" s="128" t="s">
        <v>1597</v>
      </c>
      <c r="I57" s="128" t="s">
        <v>4453</v>
      </c>
      <c r="J57" s="128" t="s">
        <v>4454</v>
      </c>
      <c r="K57" s="128" t="s">
        <v>4455</v>
      </c>
      <c r="L57" s="128" t="s">
        <v>4456</v>
      </c>
      <c r="M57" s="128" t="s">
        <v>4457</v>
      </c>
      <c r="N57" s="128" t="s">
        <v>4458</v>
      </c>
      <c r="O57" s="128" t="s">
        <v>4459</v>
      </c>
      <c r="P57" s="128" t="s">
        <v>4460</v>
      </c>
      <c r="Q57" s="128" t="s">
        <v>4461</v>
      </c>
      <c r="R57" s="128" t="s">
        <v>4462</v>
      </c>
      <c r="S57" s="128" t="s">
        <v>4463</v>
      </c>
      <c r="T57" s="128" t="s">
        <v>4464</v>
      </c>
      <c r="U57" s="128" t="s">
        <v>4465</v>
      </c>
      <c r="V57" s="128" t="s">
        <v>4466</v>
      </c>
      <c r="W57" s="128" t="s">
        <v>4467</v>
      </c>
      <c r="X57" s="128" t="s">
        <v>4468</v>
      </c>
      <c r="Y57" s="128" t="s">
        <v>4469</v>
      </c>
      <c r="Z57" s="128" t="s">
        <v>4470</v>
      </c>
      <c r="AA57" s="128" t="s">
        <v>4471</v>
      </c>
      <c r="AB57" s="128" t="s">
        <v>4472</v>
      </c>
      <c r="AC57" s="128" t="s">
        <v>4473</v>
      </c>
      <c r="AD57" s="128" t="s">
        <v>4474</v>
      </c>
      <c r="AE57" s="128" t="s">
        <v>4475</v>
      </c>
      <c r="AF57" s="128" t="s">
        <v>4476</v>
      </c>
    </row>
    <row r="58" spans="3:32" ht="319" x14ac:dyDescent="0.35">
      <c r="C58" s="128" t="s">
        <v>1622</v>
      </c>
      <c r="E58" s="128" t="s">
        <v>1623</v>
      </c>
      <c r="F58" s="128" t="s">
        <v>4477</v>
      </c>
      <c r="G58" s="128" t="s">
        <v>4478</v>
      </c>
      <c r="H58" s="128" t="s">
        <v>1626</v>
      </c>
      <c r="I58" s="128" t="s">
        <v>4479</v>
      </c>
      <c r="J58" s="128" t="s">
        <v>4480</v>
      </c>
      <c r="K58" s="128" t="s">
        <v>4481</v>
      </c>
      <c r="L58" s="128" t="s">
        <v>4482</v>
      </c>
      <c r="M58" s="128" t="s">
        <v>4483</v>
      </c>
      <c r="N58" s="128" t="s">
        <v>4484</v>
      </c>
      <c r="O58" s="128" t="s">
        <v>4485</v>
      </c>
      <c r="P58" s="128" t="s">
        <v>4486</v>
      </c>
      <c r="Q58" s="128" t="s">
        <v>4487</v>
      </c>
      <c r="R58" s="128" t="s">
        <v>4488</v>
      </c>
      <c r="S58" s="128" t="s">
        <v>4489</v>
      </c>
      <c r="T58" s="128" t="s">
        <v>4490</v>
      </c>
      <c r="U58" s="128" t="s">
        <v>4491</v>
      </c>
      <c r="V58" s="128" t="s">
        <v>4492</v>
      </c>
      <c r="W58" s="128" t="s">
        <v>4493</v>
      </c>
      <c r="X58" s="128" t="s">
        <v>4494</v>
      </c>
      <c r="Y58" s="128" t="s">
        <v>4495</v>
      </c>
      <c r="Z58" s="128" t="s">
        <v>4496</v>
      </c>
      <c r="AA58" s="128" t="s">
        <v>4497</v>
      </c>
      <c r="AB58" s="128" t="s">
        <v>4498</v>
      </c>
      <c r="AC58" s="128" t="s">
        <v>4499</v>
      </c>
      <c r="AD58" s="128" t="s">
        <v>4500</v>
      </c>
      <c r="AE58" s="128" t="s">
        <v>4501</v>
      </c>
      <c r="AF58" s="128" t="s">
        <v>4502</v>
      </c>
    </row>
    <row r="59" spans="3:32" ht="319" x14ac:dyDescent="0.35">
      <c r="C59" s="128" t="s">
        <v>1651</v>
      </c>
      <c r="E59" s="128" t="s">
        <v>1652</v>
      </c>
      <c r="F59" s="128" t="s">
        <v>4503</v>
      </c>
      <c r="G59" s="128" t="s">
        <v>4504</v>
      </c>
      <c r="H59" s="128" t="s">
        <v>1655</v>
      </c>
      <c r="I59" s="128" t="s">
        <v>4505</v>
      </c>
      <c r="J59" s="128" t="s">
        <v>4506</v>
      </c>
      <c r="K59" s="128" t="s">
        <v>4507</v>
      </c>
      <c r="L59" s="128" t="s">
        <v>4508</v>
      </c>
      <c r="M59" s="128" t="s">
        <v>4509</v>
      </c>
      <c r="N59" s="128" t="s">
        <v>4510</v>
      </c>
      <c r="O59" s="128" t="s">
        <v>4511</v>
      </c>
      <c r="P59" s="128" t="s">
        <v>4512</v>
      </c>
      <c r="Q59" s="128" t="s">
        <v>4513</v>
      </c>
      <c r="R59" s="128" t="s">
        <v>4514</v>
      </c>
      <c r="S59" s="128" t="s">
        <v>4515</v>
      </c>
      <c r="T59" s="128" t="s">
        <v>4516</v>
      </c>
      <c r="U59" s="128" t="s">
        <v>4517</v>
      </c>
      <c r="V59" s="128" t="s">
        <v>4518</v>
      </c>
      <c r="W59" s="128" t="s">
        <v>4519</v>
      </c>
      <c r="X59" s="128" t="s">
        <v>4520</v>
      </c>
      <c r="Y59" s="128" t="s">
        <v>4521</v>
      </c>
      <c r="Z59" s="128" t="s">
        <v>4522</v>
      </c>
      <c r="AA59" s="128" t="s">
        <v>4523</v>
      </c>
      <c r="AB59" s="128" t="s">
        <v>4524</v>
      </c>
      <c r="AC59" s="128" t="s">
        <v>4525</v>
      </c>
      <c r="AD59" s="128" t="s">
        <v>4526</v>
      </c>
      <c r="AE59" s="128" t="s">
        <v>4527</v>
      </c>
      <c r="AF59" s="128" t="s">
        <v>4528</v>
      </c>
    </row>
    <row r="60" spans="3:32" ht="319" x14ac:dyDescent="0.35">
      <c r="C60" s="128" t="s">
        <v>1680</v>
      </c>
      <c r="E60" s="128" t="s">
        <v>1681</v>
      </c>
      <c r="F60" s="128" t="s">
        <v>4529</v>
      </c>
      <c r="G60" s="128" t="s">
        <v>4530</v>
      </c>
      <c r="H60" s="128" t="s">
        <v>1684</v>
      </c>
      <c r="I60" s="128" t="s">
        <v>4531</v>
      </c>
      <c r="J60" s="128" t="s">
        <v>4532</v>
      </c>
      <c r="K60" s="128" t="s">
        <v>4533</v>
      </c>
      <c r="L60" s="128" t="s">
        <v>4534</v>
      </c>
      <c r="M60" s="128" t="s">
        <v>4535</v>
      </c>
      <c r="N60" s="128" t="s">
        <v>4536</v>
      </c>
      <c r="O60" s="128" t="s">
        <v>4537</v>
      </c>
      <c r="P60" s="128" t="s">
        <v>4538</v>
      </c>
      <c r="Q60" s="128" t="s">
        <v>4539</v>
      </c>
      <c r="R60" s="128" t="s">
        <v>4540</v>
      </c>
      <c r="S60" s="128" t="s">
        <v>4541</v>
      </c>
      <c r="T60" s="128" t="s">
        <v>4542</v>
      </c>
      <c r="U60" s="128" t="s">
        <v>4543</v>
      </c>
      <c r="V60" s="128" t="s">
        <v>4544</v>
      </c>
      <c r="W60" s="128" t="s">
        <v>4545</v>
      </c>
      <c r="X60" s="128" t="s">
        <v>4546</v>
      </c>
      <c r="Y60" s="128" t="s">
        <v>4547</v>
      </c>
      <c r="Z60" s="128" t="s">
        <v>4548</v>
      </c>
      <c r="AA60" s="128" t="s">
        <v>4549</v>
      </c>
      <c r="AB60" s="128" t="s">
        <v>4550</v>
      </c>
      <c r="AC60" s="128" t="s">
        <v>4551</v>
      </c>
      <c r="AD60" s="128" t="s">
        <v>4552</v>
      </c>
      <c r="AE60" s="128" t="s">
        <v>4553</v>
      </c>
      <c r="AF60" s="128" t="s">
        <v>4554</v>
      </c>
    </row>
    <row r="61" spans="3:32" ht="319" x14ac:dyDescent="0.35">
      <c r="C61" s="128" t="s">
        <v>1709</v>
      </c>
      <c r="E61" s="128" t="s">
        <v>1710</v>
      </c>
      <c r="F61" s="128" t="s">
        <v>4555</v>
      </c>
      <c r="G61" s="128" t="s">
        <v>4556</v>
      </c>
      <c r="H61" s="128" t="s">
        <v>1713</v>
      </c>
      <c r="I61" s="128" t="s">
        <v>4557</v>
      </c>
      <c r="J61" s="128" t="s">
        <v>4558</v>
      </c>
      <c r="K61" s="128" t="s">
        <v>4559</v>
      </c>
      <c r="L61" s="128" t="s">
        <v>4560</v>
      </c>
      <c r="M61" s="128" t="s">
        <v>4561</v>
      </c>
      <c r="N61" s="128" t="s">
        <v>4562</v>
      </c>
      <c r="O61" s="128" t="s">
        <v>4563</v>
      </c>
      <c r="P61" s="128" t="s">
        <v>4564</v>
      </c>
      <c r="Q61" s="128" t="s">
        <v>4565</v>
      </c>
      <c r="R61" s="128" t="s">
        <v>4566</v>
      </c>
      <c r="S61" s="128" t="s">
        <v>4567</v>
      </c>
      <c r="T61" s="128" t="s">
        <v>4568</v>
      </c>
      <c r="U61" s="128" t="s">
        <v>4569</v>
      </c>
      <c r="V61" s="128" t="s">
        <v>4570</v>
      </c>
      <c r="W61" s="128" t="s">
        <v>4571</v>
      </c>
      <c r="X61" s="128" t="s">
        <v>4572</v>
      </c>
      <c r="Y61" s="128" t="s">
        <v>4573</v>
      </c>
      <c r="Z61" s="128" t="s">
        <v>4574</v>
      </c>
      <c r="AA61" s="128" t="s">
        <v>4575</v>
      </c>
      <c r="AB61" s="128" t="s">
        <v>4576</v>
      </c>
      <c r="AC61" s="128" t="s">
        <v>4577</v>
      </c>
      <c r="AD61" s="128" t="s">
        <v>4578</v>
      </c>
      <c r="AE61" s="128" t="s">
        <v>4579</v>
      </c>
      <c r="AF61" s="128" t="s">
        <v>4580</v>
      </c>
    </row>
    <row r="62" spans="3:32" ht="319" x14ac:dyDescent="0.35">
      <c r="C62" s="128" t="s">
        <v>1738</v>
      </c>
      <c r="E62" s="128" t="s">
        <v>1739</v>
      </c>
      <c r="F62" s="128" t="s">
        <v>4581</v>
      </c>
      <c r="G62" s="128" t="s">
        <v>4582</v>
      </c>
      <c r="H62" s="128" t="s">
        <v>1742</v>
      </c>
      <c r="I62" s="128" t="s">
        <v>4583</v>
      </c>
      <c r="J62" s="128" t="s">
        <v>4584</v>
      </c>
      <c r="K62" s="128" t="s">
        <v>4585</v>
      </c>
      <c r="L62" s="128" t="s">
        <v>4586</v>
      </c>
      <c r="M62" s="128" t="s">
        <v>4587</v>
      </c>
      <c r="N62" s="128" t="s">
        <v>4588</v>
      </c>
      <c r="O62" s="128" t="s">
        <v>4589</v>
      </c>
      <c r="P62" s="128" t="s">
        <v>4590</v>
      </c>
      <c r="Q62" s="128" t="s">
        <v>4591</v>
      </c>
      <c r="R62" s="128" t="s">
        <v>4592</v>
      </c>
      <c r="S62" s="128" t="s">
        <v>4593</v>
      </c>
      <c r="T62" s="128" t="s">
        <v>4594</v>
      </c>
      <c r="U62" s="128" t="s">
        <v>4595</v>
      </c>
      <c r="V62" s="128" t="s">
        <v>4596</v>
      </c>
      <c r="W62" s="128" t="s">
        <v>4597</v>
      </c>
      <c r="X62" s="128" t="s">
        <v>4598</v>
      </c>
      <c r="Y62" s="128" t="s">
        <v>4599</v>
      </c>
      <c r="Z62" s="128" t="s">
        <v>4600</v>
      </c>
      <c r="AA62" s="128" t="s">
        <v>4601</v>
      </c>
      <c r="AB62" s="128" t="s">
        <v>4602</v>
      </c>
      <c r="AC62" s="128" t="s">
        <v>4603</v>
      </c>
      <c r="AD62" s="128" t="s">
        <v>4604</v>
      </c>
      <c r="AE62" s="128" t="s">
        <v>4605</v>
      </c>
      <c r="AF62" s="128" t="s">
        <v>4606</v>
      </c>
    </row>
    <row r="63" spans="3:32" ht="319" x14ac:dyDescent="0.35">
      <c r="C63" s="128" t="s">
        <v>1767</v>
      </c>
      <c r="E63" s="128" t="s">
        <v>1768</v>
      </c>
      <c r="F63" s="128" t="s">
        <v>4607</v>
      </c>
      <c r="G63" s="128" t="s">
        <v>4608</v>
      </c>
      <c r="H63" s="128" t="s">
        <v>1771</v>
      </c>
      <c r="I63" s="128" t="s">
        <v>4609</v>
      </c>
      <c r="J63" s="128" t="s">
        <v>4610</v>
      </c>
      <c r="K63" s="128" t="s">
        <v>4611</v>
      </c>
      <c r="L63" s="128" t="s">
        <v>4612</v>
      </c>
      <c r="M63" s="128" t="s">
        <v>4613</v>
      </c>
      <c r="N63" s="128" t="s">
        <v>4614</v>
      </c>
      <c r="O63" s="128" t="s">
        <v>4615</v>
      </c>
      <c r="P63" s="128" t="s">
        <v>4616</v>
      </c>
      <c r="Q63" s="128" t="s">
        <v>4617</v>
      </c>
      <c r="R63" s="128" t="s">
        <v>4618</v>
      </c>
      <c r="S63" s="128" t="s">
        <v>4619</v>
      </c>
      <c r="T63" s="128" t="s">
        <v>4620</v>
      </c>
      <c r="U63" s="128" t="s">
        <v>4621</v>
      </c>
      <c r="V63" s="128" t="s">
        <v>4622</v>
      </c>
      <c r="W63" s="128" t="s">
        <v>4623</v>
      </c>
      <c r="X63" s="128" t="s">
        <v>4624</v>
      </c>
      <c r="Y63" s="128" t="s">
        <v>4625</v>
      </c>
      <c r="Z63" s="128" t="s">
        <v>4626</v>
      </c>
      <c r="AA63" s="128" t="s">
        <v>4627</v>
      </c>
      <c r="AB63" s="128" t="s">
        <v>4628</v>
      </c>
      <c r="AC63" s="128" t="s">
        <v>4629</v>
      </c>
      <c r="AD63" s="128" t="s">
        <v>4630</v>
      </c>
      <c r="AE63" s="128" t="s">
        <v>4631</v>
      </c>
      <c r="AF63" s="128" t="s">
        <v>4632</v>
      </c>
    </row>
    <row r="64" spans="3:32" ht="319" x14ac:dyDescent="0.35">
      <c r="C64" s="128" t="s">
        <v>1796</v>
      </c>
      <c r="E64" s="128" t="s">
        <v>1797</v>
      </c>
      <c r="F64" s="128" t="s">
        <v>4633</v>
      </c>
      <c r="G64" s="128" t="s">
        <v>4634</v>
      </c>
      <c r="H64" s="128" t="s">
        <v>1800</v>
      </c>
      <c r="I64" s="128" t="s">
        <v>4635</v>
      </c>
      <c r="J64" s="128" t="s">
        <v>4636</v>
      </c>
      <c r="K64" s="128" t="s">
        <v>4637</v>
      </c>
      <c r="L64" s="128" t="s">
        <v>4638</v>
      </c>
      <c r="M64" s="128" t="s">
        <v>4639</v>
      </c>
      <c r="N64" s="128" t="s">
        <v>4640</v>
      </c>
      <c r="O64" s="128" t="s">
        <v>4641</v>
      </c>
      <c r="P64" s="128" t="s">
        <v>4642</v>
      </c>
      <c r="Q64" s="128" t="s">
        <v>4643</v>
      </c>
      <c r="R64" s="128" t="s">
        <v>4644</v>
      </c>
      <c r="S64" s="128" t="s">
        <v>4645</v>
      </c>
      <c r="T64" s="128" t="s">
        <v>4646</v>
      </c>
      <c r="U64" s="128" t="s">
        <v>4647</v>
      </c>
      <c r="V64" s="128" t="s">
        <v>4648</v>
      </c>
      <c r="W64" s="128" t="s">
        <v>4649</v>
      </c>
      <c r="X64" s="128" t="s">
        <v>4650</v>
      </c>
      <c r="Y64" s="128" t="s">
        <v>4651</v>
      </c>
      <c r="Z64" s="128" t="s">
        <v>4652</v>
      </c>
      <c r="AA64" s="128" t="s">
        <v>4653</v>
      </c>
      <c r="AB64" s="128" t="s">
        <v>4654</v>
      </c>
      <c r="AC64" s="128" t="s">
        <v>4655</v>
      </c>
      <c r="AD64" s="128" t="s">
        <v>4656</v>
      </c>
      <c r="AE64" s="128" t="s">
        <v>4657</v>
      </c>
      <c r="AF64" s="128" t="s">
        <v>4658</v>
      </c>
    </row>
    <row r="65" spans="3:32" ht="319" x14ac:dyDescent="0.35">
      <c r="C65" s="128" t="s">
        <v>1825</v>
      </c>
      <c r="E65" s="128" t="s">
        <v>1826</v>
      </c>
      <c r="F65" s="128" t="s">
        <v>4659</v>
      </c>
      <c r="G65" s="128" t="s">
        <v>4660</v>
      </c>
      <c r="H65" s="128" t="s">
        <v>1829</v>
      </c>
      <c r="I65" s="128" t="s">
        <v>4661</v>
      </c>
      <c r="J65" s="128" t="s">
        <v>4662</v>
      </c>
      <c r="K65" s="128" t="s">
        <v>4663</v>
      </c>
      <c r="L65" s="128" t="s">
        <v>4664</v>
      </c>
      <c r="M65" s="128" t="s">
        <v>4665</v>
      </c>
      <c r="N65" s="128" t="s">
        <v>4666</v>
      </c>
      <c r="O65" s="128" t="s">
        <v>4667</v>
      </c>
      <c r="P65" s="128" t="s">
        <v>4668</v>
      </c>
      <c r="Q65" s="128" t="s">
        <v>4669</v>
      </c>
      <c r="R65" s="128" t="s">
        <v>4670</v>
      </c>
      <c r="S65" s="128" t="s">
        <v>4671</v>
      </c>
      <c r="T65" s="128" t="s">
        <v>4672</v>
      </c>
      <c r="U65" s="128" t="s">
        <v>4673</v>
      </c>
      <c r="V65" s="128" t="s">
        <v>4674</v>
      </c>
      <c r="W65" s="128" t="s">
        <v>4675</v>
      </c>
      <c r="X65" s="128" t="s">
        <v>4676</v>
      </c>
      <c r="Y65" s="128" t="s">
        <v>4677</v>
      </c>
      <c r="Z65" s="128" t="s">
        <v>4678</v>
      </c>
      <c r="AA65" s="128" t="s">
        <v>4679</v>
      </c>
      <c r="AB65" s="128" t="s">
        <v>4680</v>
      </c>
      <c r="AC65" s="128" t="s">
        <v>4681</v>
      </c>
      <c r="AD65" s="128" t="s">
        <v>4682</v>
      </c>
      <c r="AE65" s="128" t="s">
        <v>4683</v>
      </c>
      <c r="AF65" s="128" t="s">
        <v>4684</v>
      </c>
    </row>
    <row r="66" spans="3:32" ht="319" x14ac:dyDescent="0.35">
      <c r="C66" s="128" t="s">
        <v>1854</v>
      </c>
      <c r="E66" s="128" t="s">
        <v>1855</v>
      </c>
      <c r="F66" s="128" t="s">
        <v>4685</v>
      </c>
      <c r="G66" s="128" t="s">
        <v>4686</v>
      </c>
      <c r="H66" s="128" t="s">
        <v>1858</v>
      </c>
      <c r="I66" s="128" t="s">
        <v>4687</v>
      </c>
      <c r="J66" s="128" t="s">
        <v>4688</v>
      </c>
      <c r="K66" s="128" t="s">
        <v>4689</v>
      </c>
      <c r="L66" s="128" t="s">
        <v>4690</v>
      </c>
      <c r="M66" s="128" t="s">
        <v>4691</v>
      </c>
      <c r="N66" s="128" t="s">
        <v>4692</v>
      </c>
      <c r="O66" s="128" t="s">
        <v>4693</v>
      </c>
      <c r="P66" s="128" t="s">
        <v>4694</v>
      </c>
      <c r="Q66" s="128" t="s">
        <v>4695</v>
      </c>
      <c r="R66" s="128" t="s">
        <v>4696</v>
      </c>
      <c r="S66" s="128" t="s">
        <v>4697</v>
      </c>
      <c r="T66" s="128" t="s">
        <v>4698</v>
      </c>
      <c r="U66" s="128" t="s">
        <v>4699</v>
      </c>
      <c r="V66" s="128" t="s">
        <v>4700</v>
      </c>
      <c r="W66" s="128" t="s">
        <v>4701</v>
      </c>
      <c r="X66" s="128" t="s">
        <v>4702</v>
      </c>
      <c r="Y66" s="128" t="s">
        <v>4703</v>
      </c>
      <c r="Z66" s="128" t="s">
        <v>4704</v>
      </c>
      <c r="AA66" s="128" t="s">
        <v>4705</v>
      </c>
      <c r="AB66" s="128" t="s">
        <v>4706</v>
      </c>
      <c r="AC66" s="128" t="s">
        <v>4707</v>
      </c>
      <c r="AD66" s="128" t="s">
        <v>4708</v>
      </c>
      <c r="AE66" s="128" t="s">
        <v>4709</v>
      </c>
      <c r="AF66" s="128" t="s">
        <v>4710</v>
      </c>
    </row>
    <row r="67" spans="3:32" ht="319" x14ac:dyDescent="0.35">
      <c r="C67" s="128" t="s">
        <v>1883</v>
      </c>
      <c r="E67" s="128" t="s">
        <v>1884</v>
      </c>
      <c r="F67" s="128" t="s">
        <v>4711</v>
      </c>
      <c r="G67" s="128" t="s">
        <v>4712</v>
      </c>
      <c r="H67" s="128" t="s">
        <v>1887</v>
      </c>
      <c r="I67" s="128" t="s">
        <v>4713</v>
      </c>
      <c r="J67" s="128" t="s">
        <v>4714</v>
      </c>
      <c r="K67" s="128" t="s">
        <v>4715</v>
      </c>
      <c r="L67" s="128" t="s">
        <v>4716</v>
      </c>
      <c r="M67" s="128" t="s">
        <v>4717</v>
      </c>
      <c r="N67" s="128" t="s">
        <v>4718</v>
      </c>
      <c r="O67" s="128" t="s">
        <v>4719</v>
      </c>
      <c r="P67" s="128" t="s">
        <v>4720</v>
      </c>
      <c r="Q67" s="128" t="s">
        <v>4721</v>
      </c>
      <c r="R67" s="128" t="s">
        <v>4722</v>
      </c>
      <c r="S67" s="128" t="s">
        <v>4723</v>
      </c>
      <c r="T67" s="128" t="s">
        <v>4724</v>
      </c>
      <c r="U67" s="128" t="s">
        <v>4725</v>
      </c>
      <c r="V67" s="128" t="s">
        <v>4726</v>
      </c>
      <c r="W67" s="128" t="s">
        <v>4727</v>
      </c>
      <c r="X67" s="128" t="s">
        <v>4728</v>
      </c>
      <c r="Y67" s="128" t="s">
        <v>4729</v>
      </c>
      <c r="Z67" s="128" t="s">
        <v>4730</v>
      </c>
      <c r="AA67" s="128" t="s">
        <v>4731</v>
      </c>
      <c r="AB67" s="128" t="s">
        <v>4732</v>
      </c>
      <c r="AC67" s="128" t="s">
        <v>4733</v>
      </c>
      <c r="AD67" s="128" t="s">
        <v>4734</v>
      </c>
      <c r="AE67" s="128" t="s">
        <v>4735</v>
      </c>
      <c r="AF67" s="128" t="s">
        <v>4736</v>
      </c>
    </row>
    <row r="68" spans="3:32" ht="319" x14ac:dyDescent="0.35">
      <c r="C68" s="128" t="s">
        <v>1912</v>
      </c>
      <c r="E68" s="128" t="s">
        <v>1913</v>
      </c>
      <c r="F68" s="128" t="s">
        <v>4737</v>
      </c>
      <c r="G68" s="128" t="s">
        <v>4738</v>
      </c>
      <c r="H68" s="128" t="s">
        <v>1916</v>
      </c>
      <c r="I68" s="128" t="s">
        <v>4739</v>
      </c>
      <c r="J68" s="128" t="s">
        <v>4740</v>
      </c>
      <c r="K68" s="128" t="s">
        <v>4741</v>
      </c>
      <c r="L68" s="128" t="s">
        <v>4742</v>
      </c>
      <c r="M68" s="128" t="s">
        <v>4743</v>
      </c>
      <c r="N68" s="128" t="s">
        <v>4744</v>
      </c>
      <c r="O68" s="128" t="s">
        <v>4745</v>
      </c>
      <c r="P68" s="128" t="s">
        <v>4746</v>
      </c>
      <c r="Q68" s="128" t="s">
        <v>4747</v>
      </c>
      <c r="R68" s="128" t="s">
        <v>4748</v>
      </c>
      <c r="S68" s="128" t="s">
        <v>4749</v>
      </c>
      <c r="T68" s="128" t="s">
        <v>4750</v>
      </c>
      <c r="U68" s="128" t="s">
        <v>4751</v>
      </c>
      <c r="V68" s="128" t="s">
        <v>4752</v>
      </c>
      <c r="W68" s="128" t="s">
        <v>4753</v>
      </c>
      <c r="X68" s="128" t="s">
        <v>4754</v>
      </c>
      <c r="Y68" s="128" t="s">
        <v>4755</v>
      </c>
      <c r="Z68" s="128" t="s">
        <v>4756</v>
      </c>
      <c r="AA68" s="128" t="s">
        <v>4757</v>
      </c>
      <c r="AB68" s="128" t="s">
        <v>4758</v>
      </c>
      <c r="AC68" s="128" t="s">
        <v>4759</v>
      </c>
      <c r="AD68" s="128" t="s">
        <v>4760</v>
      </c>
      <c r="AE68" s="128" t="s">
        <v>4761</v>
      </c>
      <c r="AF68" s="128" t="s">
        <v>4762</v>
      </c>
    </row>
    <row r="69" spans="3:32" ht="319" x14ac:dyDescent="0.35">
      <c r="C69" s="128" t="s">
        <v>1941</v>
      </c>
      <c r="E69" s="128" t="s">
        <v>1942</v>
      </c>
      <c r="F69" s="128" t="s">
        <v>4763</v>
      </c>
      <c r="G69" s="128" t="s">
        <v>4764</v>
      </c>
      <c r="H69" s="128" t="s">
        <v>1945</v>
      </c>
      <c r="I69" s="128" t="s">
        <v>4765</v>
      </c>
      <c r="J69" s="128" t="s">
        <v>4766</v>
      </c>
      <c r="K69" s="128" t="s">
        <v>4767</v>
      </c>
      <c r="L69" s="128" t="s">
        <v>4768</v>
      </c>
      <c r="M69" s="128" t="s">
        <v>4769</v>
      </c>
      <c r="N69" s="128" t="s">
        <v>4770</v>
      </c>
      <c r="O69" s="128" t="s">
        <v>4771</v>
      </c>
      <c r="P69" s="128" t="s">
        <v>4772</v>
      </c>
      <c r="Q69" s="128" t="s">
        <v>4773</v>
      </c>
      <c r="R69" s="128" t="s">
        <v>4774</v>
      </c>
      <c r="S69" s="128" t="s">
        <v>4775</v>
      </c>
      <c r="T69" s="128" t="s">
        <v>4776</v>
      </c>
      <c r="U69" s="128" t="s">
        <v>4777</v>
      </c>
      <c r="V69" s="128" t="s">
        <v>4778</v>
      </c>
      <c r="W69" s="128" t="s">
        <v>4779</v>
      </c>
      <c r="X69" s="128" t="s">
        <v>4780</v>
      </c>
      <c r="Y69" s="128" t="s">
        <v>4781</v>
      </c>
      <c r="Z69" s="128" t="s">
        <v>4782</v>
      </c>
      <c r="AA69" s="128" t="s">
        <v>4783</v>
      </c>
      <c r="AB69" s="128" t="s">
        <v>4784</v>
      </c>
      <c r="AC69" s="128" t="s">
        <v>4785</v>
      </c>
      <c r="AD69" s="128" t="s">
        <v>4786</v>
      </c>
      <c r="AE69" s="128" t="s">
        <v>4787</v>
      </c>
      <c r="AF69" s="128" t="s">
        <v>4788</v>
      </c>
    </row>
    <row r="70" spans="3:32" ht="319" x14ac:dyDescent="0.35">
      <c r="C70" s="128" t="s">
        <v>1970</v>
      </c>
      <c r="E70" s="128" t="s">
        <v>1971</v>
      </c>
      <c r="F70" s="128" t="s">
        <v>4789</v>
      </c>
      <c r="G70" s="128" t="s">
        <v>4790</v>
      </c>
      <c r="H70" s="128" t="s">
        <v>1974</v>
      </c>
      <c r="I70" s="128" t="s">
        <v>4791</v>
      </c>
      <c r="J70" s="128" t="s">
        <v>4792</v>
      </c>
      <c r="K70" s="128" t="s">
        <v>4793</v>
      </c>
      <c r="L70" s="128" t="s">
        <v>4794</v>
      </c>
      <c r="M70" s="128" t="s">
        <v>4795</v>
      </c>
      <c r="N70" s="128" t="s">
        <v>4796</v>
      </c>
      <c r="O70" s="128" t="s">
        <v>4797</v>
      </c>
      <c r="P70" s="128" t="s">
        <v>4798</v>
      </c>
      <c r="Q70" s="128" t="s">
        <v>4799</v>
      </c>
      <c r="R70" s="128" t="s">
        <v>4800</v>
      </c>
      <c r="S70" s="128" t="s">
        <v>4801</v>
      </c>
      <c r="T70" s="128" t="s">
        <v>4802</v>
      </c>
      <c r="U70" s="128" t="s">
        <v>4803</v>
      </c>
      <c r="V70" s="128" t="s">
        <v>4804</v>
      </c>
      <c r="W70" s="128" t="s">
        <v>4805</v>
      </c>
      <c r="X70" s="128" t="s">
        <v>4806</v>
      </c>
      <c r="Y70" s="128" t="s">
        <v>4807</v>
      </c>
      <c r="Z70" s="128" t="s">
        <v>4808</v>
      </c>
      <c r="AA70" s="128" t="s">
        <v>4809</v>
      </c>
      <c r="AB70" s="128" t="s">
        <v>4810</v>
      </c>
      <c r="AC70" s="128" t="s">
        <v>4811</v>
      </c>
      <c r="AD70" s="128" t="s">
        <v>4812</v>
      </c>
      <c r="AE70" s="128" t="s">
        <v>4813</v>
      </c>
      <c r="AF70" s="128" t="s">
        <v>4814</v>
      </c>
    </row>
    <row r="71" spans="3:32" ht="319" x14ac:dyDescent="0.35">
      <c r="C71" s="128" t="s">
        <v>1999</v>
      </c>
      <c r="E71" s="128" t="s">
        <v>2000</v>
      </c>
      <c r="F71" s="128" t="s">
        <v>4815</v>
      </c>
      <c r="G71" s="128" t="s">
        <v>4816</v>
      </c>
      <c r="H71" s="128" t="s">
        <v>2003</v>
      </c>
      <c r="I71" s="128" t="s">
        <v>4817</v>
      </c>
      <c r="J71" s="128" t="s">
        <v>4818</v>
      </c>
      <c r="K71" s="128" t="s">
        <v>4819</v>
      </c>
      <c r="L71" s="128" t="s">
        <v>4820</v>
      </c>
      <c r="M71" s="128" t="s">
        <v>4821</v>
      </c>
      <c r="N71" s="128" t="s">
        <v>4822</v>
      </c>
      <c r="O71" s="128" t="s">
        <v>4823</v>
      </c>
      <c r="P71" s="128" t="s">
        <v>4824</v>
      </c>
      <c r="Q71" s="128" t="s">
        <v>4825</v>
      </c>
      <c r="R71" s="128" t="s">
        <v>4826</v>
      </c>
      <c r="S71" s="128" t="s">
        <v>4827</v>
      </c>
      <c r="T71" s="128" t="s">
        <v>4828</v>
      </c>
      <c r="U71" s="128" t="s">
        <v>4829</v>
      </c>
      <c r="V71" s="128" t="s">
        <v>4830</v>
      </c>
      <c r="W71" s="128" t="s">
        <v>4831</v>
      </c>
      <c r="X71" s="128" t="s">
        <v>4832</v>
      </c>
      <c r="Y71" s="128" t="s">
        <v>4833</v>
      </c>
      <c r="Z71" s="128" t="s">
        <v>4834</v>
      </c>
      <c r="AA71" s="128" t="s">
        <v>4835</v>
      </c>
      <c r="AB71" s="128" t="s">
        <v>4836</v>
      </c>
      <c r="AC71" s="128" t="s">
        <v>4837</v>
      </c>
      <c r="AD71" s="128" t="s">
        <v>4838</v>
      </c>
      <c r="AE71" s="128" t="s">
        <v>4839</v>
      </c>
      <c r="AF71" s="128" t="s">
        <v>4840</v>
      </c>
    </row>
    <row r="72" spans="3:32" ht="319" x14ac:dyDescent="0.35">
      <c r="C72" s="128" t="s">
        <v>2028</v>
      </c>
      <c r="E72" s="128" t="s">
        <v>2029</v>
      </c>
      <c r="F72" s="128" t="s">
        <v>4841</v>
      </c>
      <c r="G72" s="128" t="s">
        <v>4842</v>
      </c>
      <c r="H72" s="128" t="s">
        <v>2032</v>
      </c>
      <c r="I72" s="128" t="s">
        <v>4843</v>
      </c>
      <c r="J72" s="128" t="s">
        <v>4844</v>
      </c>
      <c r="K72" s="128" t="s">
        <v>4845</v>
      </c>
      <c r="L72" s="128" t="s">
        <v>4846</v>
      </c>
      <c r="M72" s="128" t="s">
        <v>4847</v>
      </c>
      <c r="N72" s="128" t="s">
        <v>4848</v>
      </c>
      <c r="O72" s="128" t="s">
        <v>4849</v>
      </c>
      <c r="P72" s="128" t="s">
        <v>4850</v>
      </c>
      <c r="Q72" s="128" t="s">
        <v>4851</v>
      </c>
      <c r="R72" s="128" t="s">
        <v>4852</v>
      </c>
      <c r="S72" s="128" t="s">
        <v>4853</v>
      </c>
      <c r="T72" s="128" t="s">
        <v>4854</v>
      </c>
      <c r="U72" s="128" t="s">
        <v>4855</v>
      </c>
      <c r="V72" s="128" t="s">
        <v>4856</v>
      </c>
      <c r="W72" s="128" t="s">
        <v>4857</v>
      </c>
      <c r="X72" s="128" t="s">
        <v>4858</v>
      </c>
      <c r="Y72" s="128" t="s">
        <v>4859</v>
      </c>
      <c r="Z72" s="128" t="s">
        <v>4860</v>
      </c>
      <c r="AA72" s="128" t="s">
        <v>4861</v>
      </c>
      <c r="AB72" s="128" t="s">
        <v>4862</v>
      </c>
      <c r="AC72" s="128" t="s">
        <v>4863</v>
      </c>
      <c r="AD72" s="128" t="s">
        <v>4864</v>
      </c>
      <c r="AE72" s="128" t="s">
        <v>4865</v>
      </c>
      <c r="AF72" s="128" t="s">
        <v>4866</v>
      </c>
    </row>
    <row r="73" spans="3:32" ht="319" x14ac:dyDescent="0.35">
      <c r="C73" s="128" t="s">
        <v>2057</v>
      </c>
      <c r="E73" s="128" t="s">
        <v>2058</v>
      </c>
      <c r="F73" s="128" t="s">
        <v>4867</v>
      </c>
      <c r="G73" s="128" t="s">
        <v>4868</v>
      </c>
      <c r="H73" s="128" t="s">
        <v>2061</v>
      </c>
      <c r="I73" s="128" t="s">
        <v>4869</v>
      </c>
      <c r="J73" s="128" t="s">
        <v>4870</v>
      </c>
      <c r="K73" s="128" t="s">
        <v>4871</v>
      </c>
      <c r="L73" s="128" t="s">
        <v>4872</v>
      </c>
      <c r="M73" s="128" t="s">
        <v>4873</v>
      </c>
      <c r="N73" s="128" t="s">
        <v>4874</v>
      </c>
      <c r="O73" s="128" t="s">
        <v>4875</v>
      </c>
      <c r="P73" s="128" t="s">
        <v>4876</v>
      </c>
      <c r="Q73" s="128" t="s">
        <v>4877</v>
      </c>
      <c r="R73" s="128" t="s">
        <v>4878</v>
      </c>
      <c r="S73" s="128" t="s">
        <v>4879</v>
      </c>
      <c r="T73" s="128" t="s">
        <v>4880</v>
      </c>
      <c r="U73" s="128" t="s">
        <v>4881</v>
      </c>
      <c r="V73" s="128" t="s">
        <v>4882</v>
      </c>
      <c r="W73" s="128" t="s">
        <v>4883</v>
      </c>
      <c r="X73" s="128" t="s">
        <v>4884</v>
      </c>
      <c r="Y73" s="128" t="s">
        <v>4885</v>
      </c>
      <c r="Z73" s="128" t="s">
        <v>4886</v>
      </c>
      <c r="AA73" s="128" t="s">
        <v>4887</v>
      </c>
      <c r="AB73" s="128" t="s">
        <v>4888</v>
      </c>
      <c r="AC73" s="128" t="s">
        <v>4889</v>
      </c>
      <c r="AD73" s="128" t="s">
        <v>4890</v>
      </c>
      <c r="AE73" s="128" t="s">
        <v>4891</v>
      </c>
      <c r="AF73" s="128" t="s">
        <v>4892</v>
      </c>
    </row>
    <row r="74" spans="3:32" ht="319" x14ac:dyDescent="0.35">
      <c r="C74" s="128" t="s">
        <v>2086</v>
      </c>
      <c r="E74" s="128" t="s">
        <v>2087</v>
      </c>
      <c r="F74" s="128" t="s">
        <v>4893</v>
      </c>
      <c r="G74" s="128" t="s">
        <v>4894</v>
      </c>
      <c r="H74" s="128" t="s">
        <v>2090</v>
      </c>
      <c r="I74" s="128" t="s">
        <v>4895</v>
      </c>
      <c r="J74" s="128" t="s">
        <v>4896</v>
      </c>
      <c r="K74" s="128" t="s">
        <v>4897</v>
      </c>
      <c r="L74" s="128" t="s">
        <v>4898</v>
      </c>
      <c r="M74" s="128" t="s">
        <v>4899</v>
      </c>
      <c r="N74" s="128" t="s">
        <v>4900</v>
      </c>
      <c r="O74" s="128" t="s">
        <v>4901</v>
      </c>
      <c r="P74" s="128" t="s">
        <v>4902</v>
      </c>
      <c r="Q74" s="128" t="s">
        <v>4903</v>
      </c>
      <c r="R74" s="128" t="s">
        <v>4904</v>
      </c>
      <c r="S74" s="128" t="s">
        <v>4905</v>
      </c>
      <c r="T74" s="128" t="s">
        <v>4906</v>
      </c>
      <c r="U74" s="128" t="s">
        <v>4907</v>
      </c>
      <c r="V74" s="128" t="s">
        <v>4908</v>
      </c>
      <c r="W74" s="128" t="s">
        <v>4909</v>
      </c>
      <c r="X74" s="128" t="s">
        <v>4910</v>
      </c>
      <c r="Y74" s="128" t="s">
        <v>4911</v>
      </c>
      <c r="Z74" s="128" t="s">
        <v>4912</v>
      </c>
      <c r="AA74" s="128" t="s">
        <v>4913</v>
      </c>
      <c r="AB74" s="128" t="s">
        <v>4914</v>
      </c>
      <c r="AC74" s="128" t="s">
        <v>4915</v>
      </c>
      <c r="AD74" s="128" t="s">
        <v>4916</v>
      </c>
      <c r="AE74" s="128" t="s">
        <v>4917</v>
      </c>
      <c r="AF74" s="128" t="s">
        <v>4918</v>
      </c>
    </row>
    <row r="75" spans="3:32" ht="319" x14ac:dyDescent="0.35">
      <c r="C75" s="128" t="s">
        <v>2115</v>
      </c>
      <c r="E75" s="128" t="s">
        <v>2116</v>
      </c>
      <c r="F75" s="128" t="s">
        <v>4919</v>
      </c>
      <c r="G75" s="128" t="s">
        <v>4920</v>
      </c>
      <c r="H75" s="128" t="s">
        <v>2119</v>
      </c>
      <c r="I75" s="128" t="s">
        <v>4921</v>
      </c>
      <c r="J75" s="128" t="s">
        <v>4922</v>
      </c>
      <c r="K75" s="128" t="s">
        <v>4923</v>
      </c>
      <c r="L75" s="128" t="s">
        <v>4924</v>
      </c>
      <c r="M75" s="128" t="s">
        <v>4925</v>
      </c>
      <c r="N75" s="128" t="s">
        <v>4926</v>
      </c>
      <c r="O75" s="128" t="s">
        <v>4927</v>
      </c>
      <c r="P75" s="128" t="s">
        <v>4928</v>
      </c>
      <c r="Q75" s="128" t="s">
        <v>4929</v>
      </c>
      <c r="R75" s="128" t="s">
        <v>4930</v>
      </c>
      <c r="S75" s="128" t="s">
        <v>4931</v>
      </c>
      <c r="T75" s="128" t="s">
        <v>4932</v>
      </c>
      <c r="U75" s="128" t="s">
        <v>4933</v>
      </c>
      <c r="V75" s="128" t="s">
        <v>4934</v>
      </c>
      <c r="W75" s="128" t="s">
        <v>4935</v>
      </c>
      <c r="X75" s="128" t="s">
        <v>4936</v>
      </c>
      <c r="Y75" s="128" t="s">
        <v>4937</v>
      </c>
      <c r="Z75" s="128" t="s">
        <v>4938</v>
      </c>
      <c r="AA75" s="128" t="s">
        <v>4939</v>
      </c>
      <c r="AB75" s="128" t="s">
        <v>4940</v>
      </c>
      <c r="AC75" s="128" t="s">
        <v>4941</v>
      </c>
      <c r="AD75" s="128" t="s">
        <v>4942</v>
      </c>
      <c r="AE75" s="128" t="s">
        <v>4943</v>
      </c>
      <c r="AF75" s="128" t="s">
        <v>4944</v>
      </c>
    </row>
    <row r="76" spans="3:32" ht="319" x14ac:dyDescent="0.35">
      <c r="C76" s="128" t="s">
        <v>2144</v>
      </c>
      <c r="E76" s="128" t="s">
        <v>2145</v>
      </c>
      <c r="F76" s="128" t="s">
        <v>4945</v>
      </c>
      <c r="G76" s="128" t="s">
        <v>4946</v>
      </c>
      <c r="H76" s="128" t="s">
        <v>2148</v>
      </c>
      <c r="I76" s="128" t="s">
        <v>4947</v>
      </c>
      <c r="J76" s="128" t="s">
        <v>4948</v>
      </c>
      <c r="K76" s="128" t="s">
        <v>4949</v>
      </c>
      <c r="L76" s="128" t="s">
        <v>4950</v>
      </c>
      <c r="M76" s="128" t="s">
        <v>4951</v>
      </c>
      <c r="N76" s="128" t="s">
        <v>4952</v>
      </c>
      <c r="O76" s="128" t="s">
        <v>4953</v>
      </c>
      <c r="P76" s="128" t="s">
        <v>4954</v>
      </c>
      <c r="Q76" s="128" t="s">
        <v>4955</v>
      </c>
      <c r="R76" s="128" t="s">
        <v>4956</v>
      </c>
      <c r="S76" s="128" t="s">
        <v>4957</v>
      </c>
      <c r="T76" s="128" t="s">
        <v>4958</v>
      </c>
      <c r="U76" s="128" t="s">
        <v>4959</v>
      </c>
      <c r="V76" s="128" t="s">
        <v>4960</v>
      </c>
      <c r="W76" s="128" t="s">
        <v>4961</v>
      </c>
      <c r="X76" s="128" t="s">
        <v>4962</v>
      </c>
      <c r="Y76" s="128" t="s">
        <v>4963</v>
      </c>
      <c r="Z76" s="128" t="s">
        <v>4964</v>
      </c>
      <c r="AA76" s="128" t="s">
        <v>4965</v>
      </c>
      <c r="AB76" s="128" t="s">
        <v>4966</v>
      </c>
      <c r="AC76" s="128" t="s">
        <v>4967</v>
      </c>
      <c r="AD76" s="128" t="s">
        <v>4968</v>
      </c>
      <c r="AE76" s="128" t="s">
        <v>4969</v>
      </c>
      <c r="AF76" s="128" t="s">
        <v>4970</v>
      </c>
    </row>
    <row r="77" spans="3:32" ht="319" x14ac:dyDescent="0.35">
      <c r="C77" s="128" t="s">
        <v>2173</v>
      </c>
      <c r="E77" s="128" t="s">
        <v>2174</v>
      </c>
      <c r="F77" s="128" t="s">
        <v>4971</v>
      </c>
      <c r="G77" s="128" t="s">
        <v>4972</v>
      </c>
      <c r="H77" s="128" t="s">
        <v>2177</v>
      </c>
      <c r="I77" s="128" t="s">
        <v>4973</v>
      </c>
      <c r="J77" s="128" t="s">
        <v>4974</v>
      </c>
      <c r="K77" s="128" t="s">
        <v>4975</v>
      </c>
      <c r="L77" s="128" t="s">
        <v>4976</v>
      </c>
      <c r="M77" s="128" t="s">
        <v>4977</v>
      </c>
      <c r="N77" s="128" t="s">
        <v>4978</v>
      </c>
      <c r="O77" s="128" t="s">
        <v>4979</v>
      </c>
      <c r="P77" s="128" t="s">
        <v>4980</v>
      </c>
      <c r="Q77" s="128" t="s">
        <v>4981</v>
      </c>
      <c r="R77" s="128" t="s">
        <v>4982</v>
      </c>
      <c r="S77" s="128" t="s">
        <v>4983</v>
      </c>
      <c r="T77" s="128" t="s">
        <v>4984</v>
      </c>
      <c r="U77" s="128" t="s">
        <v>4985</v>
      </c>
      <c r="V77" s="128" t="s">
        <v>4986</v>
      </c>
      <c r="W77" s="128" t="s">
        <v>4987</v>
      </c>
      <c r="X77" s="128" t="s">
        <v>4988</v>
      </c>
      <c r="Y77" s="128" t="s">
        <v>4989</v>
      </c>
      <c r="Z77" s="128" t="s">
        <v>4990</v>
      </c>
      <c r="AA77" s="128" t="s">
        <v>4991</v>
      </c>
      <c r="AB77" s="128" t="s">
        <v>4992</v>
      </c>
      <c r="AC77" s="128" t="s">
        <v>4993</v>
      </c>
      <c r="AD77" s="128" t="s">
        <v>4994</v>
      </c>
      <c r="AE77" s="128" t="s">
        <v>4995</v>
      </c>
      <c r="AF77" s="128" t="s">
        <v>4996</v>
      </c>
    </row>
    <row r="78" spans="3:32" ht="319" x14ac:dyDescent="0.35">
      <c r="C78" s="128" t="s">
        <v>2202</v>
      </c>
      <c r="E78" s="128" t="s">
        <v>2203</v>
      </c>
      <c r="F78" s="128" t="s">
        <v>4997</v>
      </c>
      <c r="G78" s="128" t="s">
        <v>4998</v>
      </c>
      <c r="H78" s="128" t="s">
        <v>2206</v>
      </c>
      <c r="I78" s="128" t="s">
        <v>4999</v>
      </c>
      <c r="J78" s="128" t="s">
        <v>5000</v>
      </c>
      <c r="K78" s="128" t="s">
        <v>5001</v>
      </c>
      <c r="L78" s="128" t="s">
        <v>5002</v>
      </c>
      <c r="M78" s="128" t="s">
        <v>5003</v>
      </c>
      <c r="N78" s="128" t="s">
        <v>5004</v>
      </c>
      <c r="O78" s="128" t="s">
        <v>5005</v>
      </c>
      <c r="P78" s="128" t="s">
        <v>5006</v>
      </c>
      <c r="Q78" s="128" t="s">
        <v>5007</v>
      </c>
      <c r="R78" s="128" t="s">
        <v>5008</v>
      </c>
      <c r="S78" s="128" t="s">
        <v>5009</v>
      </c>
      <c r="T78" s="128" t="s">
        <v>5010</v>
      </c>
      <c r="U78" s="128" t="s">
        <v>5011</v>
      </c>
      <c r="V78" s="128" t="s">
        <v>5012</v>
      </c>
      <c r="W78" s="128" t="s">
        <v>5013</v>
      </c>
      <c r="X78" s="128" t="s">
        <v>5014</v>
      </c>
      <c r="Y78" s="128" t="s">
        <v>5015</v>
      </c>
      <c r="Z78" s="128" t="s">
        <v>5016</v>
      </c>
      <c r="AA78" s="128" t="s">
        <v>5017</v>
      </c>
      <c r="AB78" s="128" t="s">
        <v>5018</v>
      </c>
      <c r="AC78" s="128" t="s">
        <v>5019</v>
      </c>
      <c r="AD78" s="128" t="s">
        <v>5020</v>
      </c>
      <c r="AE78" s="128" t="s">
        <v>5021</v>
      </c>
      <c r="AF78" s="128" t="s">
        <v>5022</v>
      </c>
    </row>
    <row r="79" spans="3:32" ht="319" x14ac:dyDescent="0.35">
      <c r="C79" s="128" t="s">
        <v>2231</v>
      </c>
      <c r="E79" s="128" t="s">
        <v>2232</v>
      </c>
      <c r="F79" s="128" t="s">
        <v>5023</v>
      </c>
      <c r="G79" s="128" t="s">
        <v>5024</v>
      </c>
      <c r="H79" s="128" t="s">
        <v>2235</v>
      </c>
      <c r="I79" s="128" t="s">
        <v>5025</v>
      </c>
      <c r="J79" s="128" t="s">
        <v>5026</v>
      </c>
      <c r="K79" s="128" t="s">
        <v>5027</v>
      </c>
      <c r="L79" s="128" t="s">
        <v>5028</v>
      </c>
      <c r="M79" s="128" t="s">
        <v>5029</v>
      </c>
      <c r="N79" s="128" t="s">
        <v>5030</v>
      </c>
      <c r="O79" s="128" t="s">
        <v>5031</v>
      </c>
      <c r="P79" s="128" t="s">
        <v>5032</v>
      </c>
      <c r="Q79" s="128" t="s">
        <v>5033</v>
      </c>
      <c r="R79" s="128" t="s">
        <v>5034</v>
      </c>
      <c r="S79" s="128" t="s">
        <v>5035</v>
      </c>
      <c r="T79" s="128" t="s">
        <v>5036</v>
      </c>
      <c r="U79" s="128" t="s">
        <v>5037</v>
      </c>
      <c r="V79" s="128" t="s">
        <v>5038</v>
      </c>
      <c r="W79" s="128" t="s">
        <v>5039</v>
      </c>
      <c r="X79" s="128" t="s">
        <v>5040</v>
      </c>
      <c r="Y79" s="128" t="s">
        <v>5041</v>
      </c>
      <c r="Z79" s="128" t="s">
        <v>5042</v>
      </c>
      <c r="AA79" s="128" t="s">
        <v>5043</v>
      </c>
      <c r="AB79" s="128" t="s">
        <v>5044</v>
      </c>
      <c r="AC79" s="128" t="s">
        <v>5045</v>
      </c>
      <c r="AD79" s="128" t="s">
        <v>5046</v>
      </c>
      <c r="AE79" s="128" t="s">
        <v>5047</v>
      </c>
      <c r="AF79" s="128" t="s">
        <v>5048</v>
      </c>
    </row>
    <row r="80" spans="3:32" ht="319" x14ac:dyDescent="0.35">
      <c r="C80" s="128" t="s">
        <v>2260</v>
      </c>
      <c r="E80" s="128" t="s">
        <v>2261</v>
      </c>
      <c r="F80" s="128" t="s">
        <v>5049</v>
      </c>
      <c r="G80" s="128" t="s">
        <v>5050</v>
      </c>
      <c r="H80" s="128" t="s">
        <v>2264</v>
      </c>
      <c r="I80" s="128" t="s">
        <v>5051</v>
      </c>
      <c r="J80" s="128" t="s">
        <v>5052</v>
      </c>
      <c r="K80" s="128" t="s">
        <v>5053</v>
      </c>
      <c r="L80" s="128" t="s">
        <v>5054</v>
      </c>
      <c r="M80" s="128" t="s">
        <v>5055</v>
      </c>
      <c r="N80" s="128" t="s">
        <v>5056</v>
      </c>
      <c r="O80" s="128" t="s">
        <v>5057</v>
      </c>
      <c r="P80" s="128" t="s">
        <v>5058</v>
      </c>
      <c r="Q80" s="128" t="s">
        <v>5059</v>
      </c>
      <c r="R80" s="128" t="s">
        <v>5060</v>
      </c>
      <c r="S80" s="128" t="s">
        <v>5061</v>
      </c>
      <c r="T80" s="128" t="s">
        <v>5062</v>
      </c>
      <c r="U80" s="128" t="s">
        <v>5063</v>
      </c>
      <c r="V80" s="128" t="s">
        <v>5064</v>
      </c>
      <c r="W80" s="128" t="s">
        <v>5065</v>
      </c>
      <c r="X80" s="128" t="s">
        <v>5066</v>
      </c>
      <c r="Y80" s="128" t="s">
        <v>5067</v>
      </c>
      <c r="Z80" s="128" t="s">
        <v>5068</v>
      </c>
      <c r="AA80" s="128" t="s">
        <v>5069</v>
      </c>
      <c r="AB80" s="128" t="s">
        <v>5070</v>
      </c>
      <c r="AC80" s="128" t="s">
        <v>5071</v>
      </c>
      <c r="AD80" s="128" t="s">
        <v>5072</v>
      </c>
      <c r="AE80" s="128" t="s">
        <v>5073</v>
      </c>
      <c r="AF80" s="128" t="s">
        <v>5074</v>
      </c>
    </row>
    <row r="81" spans="3:32" ht="319" x14ac:dyDescent="0.35">
      <c r="C81" s="128" t="s">
        <v>2289</v>
      </c>
      <c r="E81" s="128" t="s">
        <v>2290</v>
      </c>
      <c r="F81" s="128" t="s">
        <v>5075</v>
      </c>
      <c r="G81" s="128" t="s">
        <v>5076</v>
      </c>
      <c r="H81" s="128" t="s">
        <v>2293</v>
      </c>
      <c r="I81" s="128" t="s">
        <v>5077</v>
      </c>
      <c r="J81" s="128" t="s">
        <v>5078</v>
      </c>
      <c r="K81" s="128" t="s">
        <v>5079</v>
      </c>
      <c r="L81" s="128" t="s">
        <v>5080</v>
      </c>
      <c r="M81" s="128" t="s">
        <v>5081</v>
      </c>
      <c r="N81" s="128" t="s">
        <v>5082</v>
      </c>
      <c r="O81" s="128" t="s">
        <v>5083</v>
      </c>
      <c r="P81" s="128" t="s">
        <v>5084</v>
      </c>
      <c r="Q81" s="128" t="s">
        <v>5085</v>
      </c>
      <c r="R81" s="128" t="s">
        <v>5086</v>
      </c>
      <c r="S81" s="128" t="s">
        <v>5087</v>
      </c>
      <c r="T81" s="128" t="s">
        <v>5088</v>
      </c>
      <c r="U81" s="128" t="s">
        <v>5089</v>
      </c>
      <c r="V81" s="128" t="s">
        <v>5090</v>
      </c>
      <c r="W81" s="128" t="s">
        <v>5091</v>
      </c>
      <c r="X81" s="128" t="s">
        <v>5092</v>
      </c>
      <c r="Y81" s="128" t="s">
        <v>5093</v>
      </c>
      <c r="Z81" s="128" t="s">
        <v>5094</v>
      </c>
      <c r="AA81" s="128" t="s">
        <v>5095</v>
      </c>
      <c r="AB81" s="128" t="s">
        <v>5096</v>
      </c>
      <c r="AC81" s="128" t="s">
        <v>5097</v>
      </c>
      <c r="AD81" s="128" t="s">
        <v>5098</v>
      </c>
      <c r="AE81" s="128" t="s">
        <v>5099</v>
      </c>
      <c r="AF81" s="128" t="s">
        <v>5100</v>
      </c>
    </row>
    <row r="82" spans="3:32" ht="319" x14ac:dyDescent="0.35">
      <c r="C82" s="128" t="s">
        <v>2318</v>
      </c>
      <c r="E82" s="128" t="s">
        <v>2319</v>
      </c>
      <c r="F82" s="128" t="s">
        <v>5101</v>
      </c>
      <c r="G82" s="128" t="s">
        <v>5102</v>
      </c>
      <c r="H82" s="128" t="s">
        <v>2322</v>
      </c>
      <c r="I82" s="128" t="s">
        <v>5103</v>
      </c>
      <c r="J82" s="128" t="s">
        <v>5104</v>
      </c>
      <c r="K82" s="128" t="s">
        <v>5105</v>
      </c>
      <c r="L82" s="128" t="s">
        <v>5106</v>
      </c>
      <c r="M82" s="128" t="s">
        <v>5107</v>
      </c>
      <c r="N82" s="128" t="s">
        <v>5108</v>
      </c>
      <c r="O82" s="128" t="s">
        <v>5109</v>
      </c>
      <c r="P82" s="128" t="s">
        <v>5110</v>
      </c>
      <c r="Q82" s="128" t="s">
        <v>5111</v>
      </c>
      <c r="R82" s="128" t="s">
        <v>5112</v>
      </c>
      <c r="S82" s="128" t="s">
        <v>5113</v>
      </c>
      <c r="T82" s="128" t="s">
        <v>5114</v>
      </c>
      <c r="U82" s="128" t="s">
        <v>5115</v>
      </c>
      <c r="V82" s="128" t="s">
        <v>5116</v>
      </c>
      <c r="W82" s="128" t="s">
        <v>5117</v>
      </c>
      <c r="X82" s="128" t="s">
        <v>5118</v>
      </c>
      <c r="Y82" s="128" t="s">
        <v>5119</v>
      </c>
      <c r="Z82" s="128" t="s">
        <v>5120</v>
      </c>
      <c r="AA82" s="128" t="s">
        <v>5121</v>
      </c>
      <c r="AB82" s="128" t="s">
        <v>5122</v>
      </c>
      <c r="AC82" s="128" t="s">
        <v>5123</v>
      </c>
      <c r="AD82" s="128" t="s">
        <v>5124</v>
      </c>
      <c r="AE82" s="128" t="s">
        <v>5125</v>
      </c>
      <c r="AF82" s="128" t="s">
        <v>5126</v>
      </c>
    </row>
    <row r="83" spans="3:32" ht="319" x14ac:dyDescent="0.35">
      <c r="C83" s="128" t="s">
        <v>2347</v>
      </c>
      <c r="E83" s="128" t="s">
        <v>2348</v>
      </c>
      <c r="F83" s="128" t="s">
        <v>5127</v>
      </c>
      <c r="G83" s="128" t="s">
        <v>5128</v>
      </c>
      <c r="H83" s="128" t="s">
        <v>2351</v>
      </c>
      <c r="I83" s="128" t="s">
        <v>5129</v>
      </c>
      <c r="J83" s="128" t="s">
        <v>5130</v>
      </c>
      <c r="K83" s="128" t="s">
        <v>5131</v>
      </c>
      <c r="L83" s="128" t="s">
        <v>5132</v>
      </c>
      <c r="M83" s="128" t="s">
        <v>5133</v>
      </c>
      <c r="N83" s="128" t="s">
        <v>5134</v>
      </c>
      <c r="O83" s="128" t="s">
        <v>5135</v>
      </c>
      <c r="P83" s="128" t="s">
        <v>5136</v>
      </c>
      <c r="Q83" s="128" t="s">
        <v>5137</v>
      </c>
      <c r="R83" s="128" t="s">
        <v>5138</v>
      </c>
      <c r="S83" s="128" t="s">
        <v>5139</v>
      </c>
      <c r="T83" s="128" t="s">
        <v>5140</v>
      </c>
      <c r="U83" s="128" t="s">
        <v>5141</v>
      </c>
      <c r="V83" s="128" t="s">
        <v>5142</v>
      </c>
      <c r="W83" s="128" t="s">
        <v>5143</v>
      </c>
      <c r="X83" s="128" t="s">
        <v>5144</v>
      </c>
      <c r="Y83" s="128" t="s">
        <v>5145</v>
      </c>
      <c r="Z83" s="128" t="s">
        <v>5146</v>
      </c>
      <c r="AA83" s="128" t="s">
        <v>5147</v>
      </c>
      <c r="AB83" s="128" t="s">
        <v>5148</v>
      </c>
      <c r="AC83" s="128" t="s">
        <v>5149</v>
      </c>
      <c r="AD83" s="128" t="s">
        <v>5150</v>
      </c>
      <c r="AE83" s="128" t="s">
        <v>5151</v>
      </c>
      <c r="AF83" s="128" t="s">
        <v>5152</v>
      </c>
    </row>
    <row r="84" spans="3:32" ht="319" x14ac:dyDescent="0.35">
      <c r="C84" s="128" t="s">
        <v>2376</v>
      </c>
      <c r="E84" s="128" t="s">
        <v>2377</v>
      </c>
      <c r="F84" s="128" t="s">
        <v>5153</v>
      </c>
      <c r="G84" s="128" t="s">
        <v>5154</v>
      </c>
      <c r="H84" s="128" t="s">
        <v>2380</v>
      </c>
      <c r="I84" s="128" t="s">
        <v>5155</v>
      </c>
      <c r="J84" s="128" t="s">
        <v>5156</v>
      </c>
      <c r="K84" s="128" t="s">
        <v>5157</v>
      </c>
      <c r="L84" s="128" t="s">
        <v>5158</v>
      </c>
      <c r="M84" s="128" t="s">
        <v>5159</v>
      </c>
      <c r="N84" s="128" t="s">
        <v>5160</v>
      </c>
      <c r="O84" s="128" t="s">
        <v>5161</v>
      </c>
      <c r="P84" s="128" t="s">
        <v>5162</v>
      </c>
      <c r="Q84" s="128" t="s">
        <v>5163</v>
      </c>
      <c r="R84" s="128" t="s">
        <v>5164</v>
      </c>
      <c r="S84" s="128" t="s">
        <v>5165</v>
      </c>
      <c r="T84" s="128" t="s">
        <v>5166</v>
      </c>
      <c r="U84" s="128" t="s">
        <v>5167</v>
      </c>
      <c r="V84" s="128" t="s">
        <v>5168</v>
      </c>
      <c r="W84" s="128" t="s">
        <v>5169</v>
      </c>
      <c r="X84" s="128" t="s">
        <v>5170</v>
      </c>
      <c r="Y84" s="128" t="s">
        <v>5171</v>
      </c>
      <c r="Z84" s="128" t="s">
        <v>5172</v>
      </c>
      <c r="AA84" s="128" t="s">
        <v>5173</v>
      </c>
      <c r="AB84" s="128" t="s">
        <v>5174</v>
      </c>
      <c r="AC84" s="128" t="s">
        <v>5175</v>
      </c>
      <c r="AD84" s="128" t="s">
        <v>5176</v>
      </c>
      <c r="AE84" s="128" t="s">
        <v>5177</v>
      </c>
      <c r="AF84" s="128" t="s">
        <v>5178</v>
      </c>
    </row>
    <row r="85" spans="3:32" ht="319" x14ac:dyDescent="0.35">
      <c r="C85" s="128" t="s">
        <v>2405</v>
      </c>
      <c r="E85" s="128" t="s">
        <v>2406</v>
      </c>
      <c r="F85" s="128" t="s">
        <v>5179</v>
      </c>
      <c r="G85" s="128" t="s">
        <v>5180</v>
      </c>
      <c r="H85" s="128" t="s">
        <v>2409</v>
      </c>
      <c r="I85" s="128" t="s">
        <v>5181</v>
      </c>
      <c r="J85" s="128" t="s">
        <v>5182</v>
      </c>
      <c r="K85" s="128" t="s">
        <v>5183</v>
      </c>
      <c r="L85" s="128" t="s">
        <v>5184</v>
      </c>
      <c r="M85" s="128" t="s">
        <v>5185</v>
      </c>
      <c r="N85" s="128" t="s">
        <v>5186</v>
      </c>
      <c r="O85" s="128" t="s">
        <v>5187</v>
      </c>
      <c r="P85" s="128" t="s">
        <v>5188</v>
      </c>
      <c r="Q85" s="128" t="s">
        <v>5189</v>
      </c>
      <c r="R85" s="128" t="s">
        <v>5190</v>
      </c>
      <c r="S85" s="128" t="s">
        <v>5191</v>
      </c>
      <c r="T85" s="128" t="s">
        <v>5192</v>
      </c>
      <c r="U85" s="128" t="s">
        <v>5193</v>
      </c>
      <c r="V85" s="128" t="s">
        <v>5194</v>
      </c>
      <c r="W85" s="128" t="s">
        <v>5195</v>
      </c>
      <c r="X85" s="128" t="s">
        <v>5196</v>
      </c>
      <c r="Y85" s="128" t="s">
        <v>5197</v>
      </c>
      <c r="Z85" s="128" t="s">
        <v>5198</v>
      </c>
      <c r="AA85" s="128" t="s">
        <v>5199</v>
      </c>
      <c r="AB85" s="128" t="s">
        <v>5200</v>
      </c>
      <c r="AC85" s="128" t="s">
        <v>5201</v>
      </c>
      <c r="AD85" s="128" t="s">
        <v>5202</v>
      </c>
      <c r="AE85" s="128" t="s">
        <v>5203</v>
      </c>
      <c r="AF85" s="128" t="s">
        <v>5204</v>
      </c>
    </row>
    <row r="86" spans="3:32" ht="319" x14ac:dyDescent="0.35">
      <c r="C86" s="128" t="s">
        <v>2434</v>
      </c>
      <c r="E86" s="128" t="s">
        <v>2435</v>
      </c>
      <c r="F86" s="128" t="s">
        <v>5205</v>
      </c>
      <c r="G86" s="128" t="s">
        <v>5206</v>
      </c>
      <c r="H86" s="128" t="s">
        <v>2438</v>
      </c>
      <c r="I86" s="128" t="s">
        <v>5207</v>
      </c>
      <c r="J86" s="128" t="s">
        <v>5208</v>
      </c>
      <c r="K86" s="128" t="s">
        <v>5209</v>
      </c>
      <c r="L86" s="128" t="s">
        <v>5210</v>
      </c>
      <c r="M86" s="128" t="s">
        <v>5211</v>
      </c>
      <c r="N86" s="128" t="s">
        <v>5212</v>
      </c>
      <c r="O86" s="128" t="s">
        <v>5213</v>
      </c>
      <c r="P86" s="128" t="s">
        <v>5214</v>
      </c>
      <c r="Q86" s="128" t="s">
        <v>5215</v>
      </c>
      <c r="R86" s="128" t="s">
        <v>5216</v>
      </c>
      <c r="S86" s="128" t="s">
        <v>5217</v>
      </c>
      <c r="T86" s="128" t="s">
        <v>5218</v>
      </c>
      <c r="U86" s="128" t="s">
        <v>5219</v>
      </c>
      <c r="V86" s="128" t="s">
        <v>5220</v>
      </c>
      <c r="W86" s="128" t="s">
        <v>5221</v>
      </c>
      <c r="X86" s="128" t="s">
        <v>5222</v>
      </c>
      <c r="Y86" s="128" t="s">
        <v>5223</v>
      </c>
      <c r="Z86" s="128" t="s">
        <v>5224</v>
      </c>
      <c r="AA86" s="128" t="s">
        <v>5225</v>
      </c>
      <c r="AB86" s="128" t="s">
        <v>5226</v>
      </c>
      <c r="AC86" s="128" t="s">
        <v>5227</v>
      </c>
      <c r="AD86" s="128" t="s">
        <v>5228</v>
      </c>
      <c r="AE86" s="128" t="s">
        <v>5229</v>
      </c>
      <c r="AF86" s="128" t="s">
        <v>5230</v>
      </c>
    </row>
    <row r="87" spans="3:32" ht="319" x14ac:dyDescent="0.35">
      <c r="C87" s="128" t="s">
        <v>2463</v>
      </c>
      <c r="E87" s="128" t="s">
        <v>2464</v>
      </c>
      <c r="F87" s="128" t="s">
        <v>5231</v>
      </c>
      <c r="G87" s="128" t="s">
        <v>5232</v>
      </c>
      <c r="H87" s="128" t="s">
        <v>2467</v>
      </c>
      <c r="I87" s="128" t="s">
        <v>5233</v>
      </c>
      <c r="J87" s="128" t="s">
        <v>5234</v>
      </c>
      <c r="K87" s="128" t="s">
        <v>5235</v>
      </c>
      <c r="L87" s="128" t="s">
        <v>5236</v>
      </c>
      <c r="M87" s="128" t="s">
        <v>5237</v>
      </c>
      <c r="N87" s="128" t="s">
        <v>5238</v>
      </c>
      <c r="O87" s="128" t="s">
        <v>5239</v>
      </c>
      <c r="P87" s="128" t="s">
        <v>5240</v>
      </c>
      <c r="Q87" s="128" t="s">
        <v>5241</v>
      </c>
      <c r="R87" s="128" t="s">
        <v>5242</v>
      </c>
      <c r="S87" s="128" t="s">
        <v>5243</v>
      </c>
      <c r="T87" s="128" t="s">
        <v>5244</v>
      </c>
      <c r="U87" s="128" t="s">
        <v>5245</v>
      </c>
      <c r="V87" s="128" t="s">
        <v>5246</v>
      </c>
      <c r="W87" s="128" t="s">
        <v>5247</v>
      </c>
      <c r="X87" s="128" t="s">
        <v>5248</v>
      </c>
      <c r="Y87" s="128" t="s">
        <v>5249</v>
      </c>
      <c r="Z87" s="128" t="s">
        <v>5250</v>
      </c>
      <c r="AA87" s="128" t="s">
        <v>5251</v>
      </c>
      <c r="AB87" s="128" t="s">
        <v>5252</v>
      </c>
      <c r="AC87" s="128" t="s">
        <v>5253</v>
      </c>
      <c r="AD87" s="128" t="s">
        <v>5254</v>
      </c>
      <c r="AE87" s="128" t="s">
        <v>5255</v>
      </c>
      <c r="AF87" s="128" t="s">
        <v>5256</v>
      </c>
    </row>
    <row r="88" spans="3:32" ht="319" x14ac:dyDescent="0.35">
      <c r="C88" s="128" t="s">
        <v>2492</v>
      </c>
      <c r="E88" s="128" t="s">
        <v>2493</v>
      </c>
      <c r="F88" s="128" t="s">
        <v>5257</v>
      </c>
      <c r="G88" s="128" t="s">
        <v>5258</v>
      </c>
      <c r="H88" s="128" t="s">
        <v>2496</v>
      </c>
      <c r="I88" s="128" t="s">
        <v>5259</v>
      </c>
      <c r="J88" s="128" t="s">
        <v>5260</v>
      </c>
      <c r="K88" s="128" t="s">
        <v>5261</v>
      </c>
      <c r="L88" s="128" t="s">
        <v>5262</v>
      </c>
      <c r="M88" s="128" t="s">
        <v>5263</v>
      </c>
      <c r="N88" s="128" t="s">
        <v>5264</v>
      </c>
      <c r="O88" s="128" t="s">
        <v>5265</v>
      </c>
      <c r="P88" s="128" t="s">
        <v>5266</v>
      </c>
      <c r="Q88" s="128" t="s">
        <v>5267</v>
      </c>
      <c r="R88" s="128" t="s">
        <v>5268</v>
      </c>
      <c r="S88" s="128" t="s">
        <v>5269</v>
      </c>
      <c r="T88" s="128" t="s">
        <v>5270</v>
      </c>
      <c r="U88" s="128" t="s">
        <v>5271</v>
      </c>
      <c r="V88" s="128" t="s">
        <v>5272</v>
      </c>
      <c r="W88" s="128" t="s">
        <v>5273</v>
      </c>
      <c r="X88" s="128" t="s">
        <v>5274</v>
      </c>
      <c r="Y88" s="128" t="s">
        <v>5275</v>
      </c>
      <c r="Z88" s="128" t="s">
        <v>5276</v>
      </c>
      <c r="AA88" s="128" t="s">
        <v>5277</v>
      </c>
      <c r="AB88" s="128" t="s">
        <v>5278</v>
      </c>
      <c r="AC88" s="128" t="s">
        <v>5279</v>
      </c>
      <c r="AD88" s="128" t="s">
        <v>5280</v>
      </c>
      <c r="AE88" s="128" t="s">
        <v>5281</v>
      </c>
      <c r="AF88" s="128" t="s">
        <v>5282</v>
      </c>
    </row>
    <row r="89" spans="3:32" ht="319" x14ac:dyDescent="0.35">
      <c r="C89" s="128" t="s">
        <v>2521</v>
      </c>
      <c r="E89" s="128" t="s">
        <v>2522</v>
      </c>
      <c r="F89" s="128" t="s">
        <v>5283</v>
      </c>
      <c r="G89" s="128" t="s">
        <v>5284</v>
      </c>
      <c r="H89" s="128" t="s">
        <v>2525</v>
      </c>
      <c r="I89" s="128" t="s">
        <v>5285</v>
      </c>
      <c r="J89" s="128" t="s">
        <v>5286</v>
      </c>
      <c r="K89" s="128" t="s">
        <v>5287</v>
      </c>
      <c r="L89" s="128" t="s">
        <v>5288</v>
      </c>
      <c r="M89" s="128" t="s">
        <v>5289</v>
      </c>
      <c r="N89" s="128" t="s">
        <v>5290</v>
      </c>
      <c r="O89" s="128" t="s">
        <v>5291</v>
      </c>
      <c r="P89" s="128" t="s">
        <v>5292</v>
      </c>
      <c r="Q89" s="128" t="s">
        <v>5293</v>
      </c>
      <c r="R89" s="128" t="s">
        <v>5294</v>
      </c>
      <c r="S89" s="128" t="s">
        <v>5295</v>
      </c>
      <c r="T89" s="128" t="s">
        <v>5296</v>
      </c>
      <c r="U89" s="128" t="s">
        <v>5297</v>
      </c>
      <c r="V89" s="128" t="s">
        <v>5298</v>
      </c>
      <c r="W89" s="128" t="s">
        <v>5299</v>
      </c>
      <c r="X89" s="128" t="s">
        <v>5300</v>
      </c>
      <c r="Y89" s="128" t="s">
        <v>5301</v>
      </c>
      <c r="Z89" s="128" t="s">
        <v>5302</v>
      </c>
      <c r="AA89" s="128" t="s">
        <v>5303</v>
      </c>
      <c r="AB89" s="128" t="s">
        <v>5304</v>
      </c>
      <c r="AC89" s="128" t="s">
        <v>5305</v>
      </c>
      <c r="AD89" s="128" t="s">
        <v>5306</v>
      </c>
      <c r="AE89" s="128" t="s">
        <v>5307</v>
      </c>
      <c r="AF89" s="128" t="s">
        <v>5308</v>
      </c>
    </row>
    <row r="90" spans="3:32" ht="319" x14ac:dyDescent="0.35">
      <c r="C90" s="128" t="s">
        <v>2550</v>
      </c>
      <c r="E90" s="128" t="s">
        <v>2551</v>
      </c>
      <c r="F90" s="128" t="s">
        <v>5309</v>
      </c>
      <c r="G90" s="128" t="s">
        <v>5310</v>
      </c>
      <c r="H90" s="128" t="s">
        <v>2554</v>
      </c>
      <c r="I90" s="128" t="s">
        <v>5311</v>
      </c>
      <c r="J90" s="128" t="s">
        <v>5312</v>
      </c>
      <c r="K90" s="128" t="s">
        <v>5313</v>
      </c>
      <c r="L90" s="128" t="s">
        <v>5314</v>
      </c>
      <c r="M90" s="128" t="s">
        <v>5315</v>
      </c>
      <c r="N90" s="128" t="s">
        <v>5316</v>
      </c>
      <c r="O90" s="128" t="s">
        <v>5317</v>
      </c>
      <c r="P90" s="128" t="s">
        <v>5318</v>
      </c>
      <c r="Q90" s="128" t="s">
        <v>5319</v>
      </c>
      <c r="R90" s="128" t="s">
        <v>5320</v>
      </c>
      <c r="S90" s="128" t="s">
        <v>5321</v>
      </c>
      <c r="T90" s="128" t="s">
        <v>5322</v>
      </c>
      <c r="U90" s="128" t="s">
        <v>5323</v>
      </c>
      <c r="V90" s="128" t="s">
        <v>5324</v>
      </c>
      <c r="W90" s="128" t="s">
        <v>5325</v>
      </c>
      <c r="X90" s="128" t="s">
        <v>5326</v>
      </c>
      <c r="Y90" s="128" t="s">
        <v>5327</v>
      </c>
      <c r="Z90" s="128" t="s">
        <v>5328</v>
      </c>
      <c r="AA90" s="128" t="s">
        <v>5329</v>
      </c>
      <c r="AB90" s="128" t="s">
        <v>5330</v>
      </c>
      <c r="AC90" s="128" t="s">
        <v>5331</v>
      </c>
      <c r="AD90" s="128" t="s">
        <v>5332</v>
      </c>
      <c r="AE90" s="128" t="s">
        <v>5333</v>
      </c>
      <c r="AF90" s="128" t="s">
        <v>5334</v>
      </c>
    </row>
    <row r="91" spans="3:32" ht="319" x14ac:dyDescent="0.35">
      <c r="C91" s="128" t="s">
        <v>2579</v>
      </c>
      <c r="E91" s="128" t="s">
        <v>2580</v>
      </c>
      <c r="F91" s="128" t="s">
        <v>5335</v>
      </c>
      <c r="G91" s="128" t="s">
        <v>5336</v>
      </c>
      <c r="H91" s="128" t="s">
        <v>2583</v>
      </c>
      <c r="I91" s="128" t="s">
        <v>5337</v>
      </c>
      <c r="J91" s="128" t="s">
        <v>5338</v>
      </c>
      <c r="K91" s="128" t="s">
        <v>5339</v>
      </c>
      <c r="L91" s="128" t="s">
        <v>5340</v>
      </c>
      <c r="M91" s="128" t="s">
        <v>5341</v>
      </c>
      <c r="N91" s="128" t="s">
        <v>5342</v>
      </c>
      <c r="O91" s="128" t="s">
        <v>5343</v>
      </c>
      <c r="P91" s="128" t="s">
        <v>5344</v>
      </c>
      <c r="Q91" s="128" t="s">
        <v>5345</v>
      </c>
      <c r="R91" s="128" t="s">
        <v>5346</v>
      </c>
      <c r="S91" s="128" t="s">
        <v>5347</v>
      </c>
      <c r="T91" s="128" t="s">
        <v>5348</v>
      </c>
      <c r="U91" s="128" t="s">
        <v>5349</v>
      </c>
      <c r="V91" s="128" t="s">
        <v>5350</v>
      </c>
      <c r="W91" s="128" t="s">
        <v>5351</v>
      </c>
      <c r="X91" s="128" t="s">
        <v>5352</v>
      </c>
      <c r="Y91" s="128" t="s">
        <v>5353</v>
      </c>
      <c r="Z91" s="128" t="s">
        <v>5354</v>
      </c>
      <c r="AA91" s="128" t="s">
        <v>5355</v>
      </c>
      <c r="AB91" s="128" t="s">
        <v>5356</v>
      </c>
      <c r="AC91" s="128" t="s">
        <v>5357</v>
      </c>
      <c r="AD91" s="128" t="s">
        <v>5358</v>
      </c>
      <c r="AE91" s="128" t="s">
        <v>5359</v>
      </c>
      <c r="AF91" s="128" t="s">
        <v>5360</v>
      </c>
    </row>
    <row r="92" spans="3:32" ht="319" x14ac:dyDescent="0.35">
      <c r="C92" s="128" t="s">
        <v>2608</v>
      </c>
      <c r="E92" s="128" t="s">
        <v>2609</v>
      </c>
      <c r="F92" s="128" t="s">
        <v>5361</v>
      </c>
      <c r="G92" s="128" t="s">
        <v>5362</v>
      </c>
      <c r="H92" s="128" t="s">
        <v>2612</v>
      </c>
      <c r="I92" s="128" t="s">
        <v>5363</v>
      </c>
      <c r="J92" s="128" t="s">
        <v>5364</v>
      </c>
      <c r="K92" s="128" t="s">
        <v>5365</v>
      </c>
      <c r="L92" s="128" t="s">
        <v>5366</v>
      </c>
      <c r="M92" s="128" t="s">
        <v>5367</v>
      </c>
      <c r="N92" s="128" t="s">
        <v>5368</v>
      </c>
      <c r="O92" s="128" t="s">
        <v>5369</v>
      </c>
      <c r="P92" s="128" t="s">
        <v>5370</v>
      </c>
      <c r="Q92" s="128" t="s">
        <v>5371</v>
      </c>
      <c r="R92" s="128" t="s">
        <v>5372</v>
      </c>
      <c r="S92" s="128" t="s">
        <v>5373</v>
      </c>
      <c r="T92" s="128" t="s">
        <v>5374</v>
      </c>
      <c r="U92" s="128" t="s">
        <v>5375</v>
      </c>
      <c r="V92" s="128" t="s">
        <v>5376</v>
      </c>
      <c r="W92" s="128" t="s">
        <v>5377</v>
      </c>
      <c r="X92" s="128" t="s">
        <v>5378</v>
      </c>
      <c r="Y92" s="128" t="s">
        <v>5379</v>
      </c>
      <c r="Z92" s="128" t="s">
        <v>5380</v>
      </c>
      <c r="AA92" s="128" t="s">
        <v>5381</v>
      </c>
      <c r="AB92" s="128" t="s">
        <v>5382</v>
      </c>
      <c r="AC92" s="128" t="s">
        <v>5383</v>
      </c>
      <c r="AD92" s="128" t="s">
        <v>5384</v>
      </c>
      <c r="AE92" s="128" t="s">
        <v>5385</v>
      </c>
      <c r="AF92" s="128" t="s">
        <v>5386</v>
      </c>
    </row>
    <row r="93" spans="3:32" ht="319" x14ac:dyDescent="0.35">
      <c r="C93" s="128" t="s">
        <v>2637</v>
      </c>
      <c r="E93" s="128" t="s">
        <v>2638</v>
      </c>
      <c r="F93" s="128" t="s">
        <v>5387</v>
      </c>
      <c r="G93" s="128" t="s">
        <v>5388</v>
      </c>
      <c r="H93" s="128" t="s">
        <v>2641</v>
      </c>
      <c r="I93" s="128" t="s">
        <v>5389</v>
      </c>
      <c r="J93" s="128" t="s">
        <v>5390</v>
      </c>
      <c r="K93" s="128" t="s">
        <v>5391</v>
      </c>
      <c r="L93" s="128" t="s">
        <v>5392</v>
      </c>
      <c r="M93" s="128" t="s">
        <v>5393</v>
      </c>
      <c r="N93" s="128" t="s">
        <v>5394</v>
      </c>
      <c r="O93" s="128" t="s">
        <v>5395</v>
      </c>
      <c r="P93" s="128" t="s">
        <v>5396</v>
      </c>
      <c r="Q93" s="128" t="s">
        <v>5397</v>
      </c>
      <c r="R93" s="128" t="s">
        <v>5398</v>
      </c>
      <c r="S93" s="128" t="s">
        <v>5399</v>
      </c>
      <c r="T93" s="128" t="s">
        <v>5400</v>
      </c>
      <c r="U93" s="128" t="s">
        <v>5401</v>
      </c>
      <c r="V93" s="128" t="s">
        <v>5402</v>
      </c>
      <c r="W93" s="128" t="s">
        <v>5403</v>
      </c>
      <c r="X93" s="128" t="s">
        <v>5404</v>
      </c>
      <c r="Y93" s="128" t="s">
        <v>5405</v>
      </c>
      <c r="Z93" s="128" t="s">
        <v>5406</v>
      </c>
      <c r="AA93" s="128" t="s">
        <v>5407</v>
      </c>
      <c r="AB93" s="128" t="s">
        <v>5408</v>
      </c>
      <c r="AC93" s="128" t="s">
        <v>5409</v>
      </c>
      <c r="AD93" s="128" t="s">
        <v>5410</v>
      </c>
      <c r="AE93" s="128" t="s">
        <v>5411</v>
      </c>
      <c r="AF93" s="128" t="s">
        <v>5412</v>
      </c>
    </row>
    <row r="94" spans="3:32" ht="319" x14ac:dyDescent="0.35">
      <c r="C94" s="128" t="s">
        <v>2666</v>
      </c>
      <c r="E94" s="128" t="s">
        <v>2667</v>
      </c>
      <c r="F94" s="128" t="s">
        <v>5413</v>
      </c>
      <c r="G94" s="128" t="s">
        <v>5414</v>
      </c>
      <c r="H94" s="128" t="s">
        <v>2670</v>
      </c>
      <c r="I94" s="128" t="s">
        <v>5415</v>
      </c>
      <c r="J94" s="128" t="s">
        <v>5416</v>
      </c>
      <c r="K94" s="128" t="s">
        <v>5417</v>
      </c>
      <c r="L94" s="128" t="s">
        <v>5418</v>
      </c>
      <c r="M94" s="128" t="s">
        <v>5419</v>
      </c>
      <c r="N94" s="128" t="s">
        <v>5420</v>
      </c>
      <c r="O94" s="128" t="s">
        <v>5421</v>
      </c>
      <c r="P94" s="128" t="s">
        <v>5422</v>
      </c>
      <c r="Q94" s="128" t="s">
        <v>5423</v>
      </c>
      <c r="R94" s="128" t="s">
        <v>5424</v>
      </c>
      <c r="S94" s="128" t="s">
        <v>5425</v>
      </c>
      <c r="T94" s="128" t="s">
        <v>5426</v>
      </c>
      <c r="U94" s="128" t="s">
        <v>5427</v>
      </c>
      <c r="V94" s="128" t="s">
        <v>5428</v>
      </c>
      <c r="W94" s="128" t="s">
        <v>5429</v>
      </c>
      <c r="X94" s="128" t="s">
        <v>5430</v>
      </c>
      <c r="Y94" s="128" t="s">
        <v>5431</v>
      </c>
      <c r="Z94" s="128" t="s">
        <v>5432</v>
      </c>
      <c r="AA94" s="128" t="s">
        <v>5433</v>
      </c>
      <c r="AB94" s="128" t="s">
        <v>5434</v>
      </c>
      <c r="AC94" s="128" t="s">
        <v>5435</v>
      </c>
      <c r="AD94" s="128" t="s">
        <v>5436</v>
      </c>
      <c r="AE94" s="128" t="s">
        <v>5437</v>
      </c>
      <c r="AF94" s="128" t="s">
        <v>5438</v>
      </c>
    </row>
    <row r="95" spans="3:32" ht="319" x14ac:dyDescent="0.35">
      <c r="C95" s="128" t="s">
        <v>2695</v>
      </c>
      <c r="E95" s="128" t="s">
        <v>2696</v>
      </c>
      <c r="F95" s="128" t="s">
        <v>5439</v>
      </c>
      <c r="G95" s="128" t="s">
        <v>5440</v>
      </c>
      <c r="H95" s="128" t="s">
        <v>2699</v>
      </c>
      <c r="I95" s="128" t="s">
        <v>5441</v>
      </c>
      <c r="J95" s="128" t="s">
        <v>5442</v>
      </c>
      <c r="K95" s="128" t="s">
        <v>5443</v>
      </c>
      <c r="L95" s="128" t="s">
        <v>5444</v>
      </c>
      <c r="M95" s="128" t="s">
        <v>5445</v>
      </c>
      <c r="N95" s="128" t="s">
        <v>5446</v>
      </c>
      <c r="O95" s="128" t="s">
        <v>5447</v>
      </c>
      <c r="P95" s="128" t="s">
        <v>5448</v>
      </c>
      <c r="Q95" s="128" t="s">
        <v>5449</v>
      </c>
      <c r="R95" s="128" t="s">
        <v>5450</v>
      </c>
      <c r="S95" s="128" t="s">
        <v>5451</v>
      </c>
      <c r="T95" s="128" t="s">
        <v>5452</v>
      </c>
      <c r="U95" s="128" t="s">
        <v>5453</v>
      </c>
      <c r="V95" s="128" t="s">
        <v>5454</v>
      </c>
      <c r="W95" s="128" t="s">
        <v>5455</v>
      </c>
      <c r="X95" s="128" t="s">
        <v>5456</v>
      </c>
      <c r="Y95" s="128" t="s">
        <v>5457</v>
      </c>
      <c r="Z95" s="128" t="s">
        <v>5458</v>
      </c>
      <c r="AA95" s="128" t="s">
        <v>5459</v>
      </c>
      <c r="AB95" s="128" t="s">
        <v>5460</v>
      </c>
      <c r="AC95" s="128" t="s">
        <v>5461</v>
      </c>
      <c r="AD95" s="128" t="s">
        <v>5462</v>
      </c>
      <c r="AE95" s="128" t="s">
        <v>5463</v>
      </c>
      <c r="AF95" s="128" t="s">
        <v>5464</v>
      </c>
    </row>
    <row r="96" spans="3:32" ht="319" x14ac:dyDescent="0.35">
      <c r="C96" s="128" t="s">
        <v>2724</v>
      </c>
      <c r="E96" s="128" t="s">
        <v>2725</v>
      </c>
      <c r="F96" s="128" t="s">
        <v>5465</v>
      </c>
      <c r="G96" s="128" t="s">
        <v>5466</v>
      </c>
      <c r="H96" s="128" t="s">
        <v>2728</v>
      </c>
      <c r="I96" s="128" t="s">
        <v>5467</v>
      </c>
      <c r="J96" s="128" t="s">
        <v>5468</v>
      </c>
      <c r="K96" s="128" t="s">
        <v>5469</v>
      </c>
      <c r="L96" s="128" t="s">
        <v>5470</v>
      </c>
      <c r="M96" s="128" t="s">
        <v>5471</v>
      </c>
      <c r="N96" s="128" t="s">
        <v>5472</v>
      </c>
      <c r="O96" s="128" t="s">
        <v>5473</v>
      </c>
      <c r="P96" s="128" t="s">
        <v>5474</v>
      </c>
      <c r="Q96" s="128" t="s">
        <v>5475</v>
      </c>
      <c r="R96" s="128" t="s">
        <v>5476</v>
      </c>
      <c r="S96" s="128" t="s">
        <v>5477</v>
      </c>
      <c r="T96" s="128" t="s">
        <v>5478</v>
      </c>
      <c r="U96" s="128" t="s">
        <v>5479</v>
      </c>
      <c r="V96" s="128" t="s">
        <v>5480</v>
      </c>
      <c r="W96" s="128" t="s">
        <v>5481</v>
      </c>
      <c r="X96" s="128" t="s">
        <v>5482</v>
      </c>
      <c r="Y96" s="128" t="s">
        <v>5483</v>
      </c>
      <c r="Z96" s="128" t="s">
        <v>5484</v>
      </c>
      <c r="AA96" s="128" t="s">
        <v>5485</v>
      </c>
      <c r="AB96" s="128" t="s">
        <v>5486</v>
      </c>
      <c r="AC96" s="128" t="s">
        <v>5487</v>
      </c>
      <c r="AD96" s="128" t="s">
        <v>5488</v>
      </c>
      <c r="AE96" s="128" t="s">
        <v>5489</v>
      </c>
      <c r="AF96" s="128" t="s">
        <v>5490</v>
      </c>
    </row>
    <row r="97" spans="3:32" ht="319" x14ac:dyDescent="0.35">
      <c r="C97" s="128" t="s">
        <v>2753</v>
      </c>
      <c r="E97" s="128" t="s">
        <v>2754</v>
      </c>
      <c r="F97" s="128" t="s">
        <v>5491</v>
      </c>
      <c r="G97" s="128" t="s">
        <v>5492</v>
      </c>
      <c r="H97" s="128" t="s">
        <v>2757</v>
      </c>
      <c r="I97" s="128" t="s">
        <v>5493</v>
      </c>
      <c r="J97" s="128" t="s">
        <v>5494</v>
      </c>
      <c r="K97" s="128" t="s">
        <v>5495</v>
      </c>
      <c r="L97" s="128" t="s">
        <v>5496</v>
      </c>
      <c r="M97" s="128" t="s">
        <v>5497</v>
      </c>
      <c r="N97" s="128" t="s">
        <v>5498</v>
      </c>
      <c r="O97" s="128" t="s">
        <v>5499</v>
      </c>
      <c r="P97" s="128" t="s">
        <v>5500</v>
      </c>
      <c r="Q97" s="128" t="s">
        <v>5501</v>
      </c>
      <c r="R97" s="128" t="s">
        <v>5502</v>
      </c>
      <c r="S97" s="128" t="s">
        <v>5503</v>
      </c>
      <c r="T97" s="128" t="s">
        <v>5504</v>
      </c>
      <c r="U97" s="128" t="s">
        <v>5505</v>
      </c>
      <c r="V97" s="128" t="s">
        <v>5506</v>
      </c>
      <c r="W97" s="128" t="s">
        <v>5507</v>
      </c>
      <c r="X97" s="128" t="s">
        <v>5508</v>
      </c>
      <c r="Y97" s="128" t="s">
        <v>5509</v>
      </c>
      <c r="Z97" s="128" t="s">
        <v>5510</v>
      </c>
      <c r="AA97" s="128" t="s">
        <v>5511</v>
      </c>
      <c r="AB97" s="128" t="s">
        <v>5512</v>
      </c>
      <c r="AC97" s="128" t="s">
        <v>5513</v>
      </c>
      <c r="AD97" s="128" t="s">
        <v>5514</v>
      </c>
      <c r="AE97" s="128" t="s">
        <v>5515</v>
      </c>
      <c r="AF97" s="128" t="s">
        <v>5516</v>
      </c>
    </row>
    <row r="98" spans="3:32" ht="319" x14ac:dyDescent="0.35">
      <c r="C98" s="128" t="s">
        <v>2782</v>
      </c>
      <c r="E98" s="128" t="s">
        <v>2783</v>
      </c>
      <c r="F98" s="128" t="s">
        <v>5517</v>
      </c>
      <c r="G98" s="128" t="s">
        <v>5518</v>
      </c>
      <c r="H98" s="128" t="s">
        <v>2786</v>
      </c>
      <c r="I98" s="128" t="s">
        <v>5519</v>
      </c>
      <c r="J98" s="128" t="s">
        <v>5520</v>
      </c>
      <c r="K98" s="128" t="s">
        <v>5521</v>
      </c>
      <c r="L98" s="128" t="s">
        <v>5522</v>
      </c>
      <c r="M98" s="128" t="s">
        <v>5523</v>
      </c>
      <c r="N98" s="128" t="s">
        <v>5524</v>
      </c>
      <c r="O98" s="128" t="s">
        <v>5525</v>
      </c>
      <c r="P98" s="128" t="s">
        <v>5526</v>
      </c>
      <c r="Q98" s="128" t="s">
        <v>5527</v>
      </c>
      <c r="R98" s="128" t="s">
        <v>5528</v>
      </c>
      <c r="S98" s="128" t="s">
        <v>5529</v>
      </c>
      <c r="T98" s="128" t="s">
        <v>5530</v>
      </c>
      <c r="U98" s="128" t="s">
        <v>5531</v>
      </c>
      <c r="V98" s="128" t="s">
        <v>5532</v>
      </c>
      <c r="W98" s="128" t="s">
        <v>5533</v>
      </c>
      <c r="X98" s="128" t="s">
        <v>5534</v>
      </c>
      <c r="Y98" s="128" t="s">
        <v>5535</v>
      </c>
      <c r="Z98" s="128" t="s">
        <v>5536</v>
      </c>
      <c r="AA98" s="128" t="s">
        <v>5537</v>
      </c>
      <c r="AB98" s="128" t="s">
        <v>5538</v>
      </c>
      <c r="AC98" s="128" t="s">
        <v>5539</v>
      </c>
      <c r="AD98" s="128" t="s">
        <v>5540</v>
      </c>
      <c r="AE98" s="128" t="s">
        <v>5541</v>
      </c>
      <c r="AF98" s="128" t="s">
        <v>5542</v>
      </c>
    </row>
    <row r="99" spans="3:32" ht="319" x14ac:dyDescent="0.35">
      <c r="C99" s="128" t="s">
        <v>2811</v>
      </c>
      <c r="E99" s="128" t="s">
        <v>2812</v>
      </c>
      <c r="F99" s="128" t="s">
        <v>5543</v>
      </c>
      <c r="G99" s="128" t="s">
        <v>5544</v>
      </c>
      <c r="H99" s="128" t="s">
        <v>2815</v>
      </c>
      <c r="I99" s="128" t="s">
        <v>5545</v>
      </c>
      <c r="J99" s="128" t="s">
        <v>5546</v>
      </c>
      <c r="K99" s="128" t="s">
        <v>5547</v>
      </c>
      <c r="L99" s="128" t="s">
        <v>5548</v>
      </c>
      <c r="M99" s="128" t="s">
        <v>5549</v>
      </c>
      <c r="N99" s="128" t="s">
        <v>5550</v>
      </c>
      <c r="O99" s="128" t="s">
        <v>5551</v>
      </c>
      <c r="P99" s="128" t="s">
        <v>5552</v>
      </c>
      <c r="Q99" s="128" t="s">
        <v>5553</v>
      </c>
      <c r="R99" s="128" t="s">
        <v>5554</v>
      </c>
      <c r="S99" s="128" t="s">
        <v>5555</v>
      </c>
      <c r="T99" s="128" t="s">
        <v>5556</v>
      </c>
      <c r="U99" s="128" t="s">
        <v>5557</v>
      </c>
      <c r="V99" s="128" t="s">
        <v>5558</v>
      </c>
      <c r="W99" s="128" t="s">
        <v>5559</v>
      </c>
      <c r="X99" s="128" t="s">
        <v>5560</v>
      </c>
      <c r="Y99" s="128" t="s">
        <v>5561</v>
      </c>
      <c r="Z99" s="128" t="s">
        <v>5562</v>
      </c>
      <c r="AA99" s="128" t="s">
        <v>5563</v>
      </c>
      <c r="AB99" s="128" t="s">
        <v>5564</v>
      </c>
      <c r="AC99" s="128" t="s">
        <v>5565</v>
      </c>
      <c r="AD99" s="128" t="s">
        <v>5566</v>
      </c>
      <c r="AE99" s="128" t="s">
        <v>5567</v>
      </c>
      <c r="AF99" s="128" t="s">
        <v>5568</v>
      </c>
    </row>
    <row r="100" spans="3:32" ht="319" x14ac:dyDescent="0.35">
      <c r="C100" s="128" t="s">
        <v>2840</v>
      </c>
      <c r="E100" s="128" t="s">
        <v>2841</v>
      </c>
      <c r="F100" s="128" t="s">
        <v>5569</v>
      </c>
      <c r="G100" s="128" t="s">
        <v>5570</v>
      </c>
      <c r="H100" s="128" t="s">
        <v>2844</v>
      </c>
      <c r="I100" s="128" t="s">
        <v>5571</v>
      </c>
      <c r="J100" s="128" t="s">
        <v>5572</v>
      </c>
      <c r="K100" s="128" t="s">
        <v>5573</v>
      </c>
      <c r="L100" s="128" t="s">
        <v>5574</v>
      </c>
      <c r="M100" s="128" t="s">
        <v>5575</v>
      </c>
      <c r="N100" s="128" t="s">
        <v>5576</v>
      </c>
      <c r="O100" s="128" t="s">
        <v>5577</v>
      </c>
      <c r="P100" s="128" t="s">
        <v>5578</v>
      </c>
      <c r="Q100" s="128" t="s">
        <v>5579</v>
      </c>
      <c r="R100" s="128" t="s">
        <v>5580</v>
      </c>
      <c r="S100" s="128" t="s">
        <v>5581</v>
      </c>
      <c r="T100" s="128" t="s">
        <v>5582</v>
      </c>
      <c r="U100" s="128" t="s">
        <v>5583</v>
      </c>
      <c r="V100" s="128" t="s">
        <v>5584</v>
      </c>
      <c r="W100" s="128" t="s">
        <v>5585</v>
      </c>
      <c r="X100" s="128" t="s">
        <v>5586</v>
      </c>
      <c r="Y100" s="128" t="s">
        <v>5587</v>
      </c>
      <c r="Z100" s="128" t="s">
        <v>5588</v>
      </c>
      <c r="AA100" s="128" t="s">
        <v>5589</v>
      </c>
      <c r="AB100" s="128" t="s">
        <v>5590</v>
      </c>
      <c r="AC100" s="128" t="s">
        <v>5591</v>
      </c>
      <c r="AD100" s="128" t="s">
        <v>5592</v>
      </c>
      <c r="AE100" s="128" t="s">
        <v>5593</v>
      </c>
      <c r="AF100" s="128" t="s">
        <v>5594</v>
      </c>
    </row>
    <row r="101" spans="3:32" ht="319" x14ac:dyDescent="0.35">
      <c r="C101" s="128" t="s">
        <v>2869</v>
      </c>
      <c r="E101" s="128" t="s">
        <v>2870</v>
      </c>
      <c r="F101" s="128" t="s">
        <v>5595</v>
      </c>
      <c r="G101" s="128" t="s">
        <v>5596</v>
      </c>
      <c r="H101" s="128" t="s">
        <v>2873</v>
      </c>
      <c r="I101" s="128" t="s">
        <v>5597</v>
      </c>
      <c r="J101" s="128" t="s">
        <v>5598</v>
      </c>
      <c r="K101" s="128" t="s">
        <v>5599</v>
      </c>
      <c r="L101" s="128" t="s">
        <v>5600</v>
      </c>
      <c r="M101" s="128" t="s">
        <v>5601</v>
      </c>
      <c r="N101" s="128" t="s">
        <v>5602</v>
      </c>
      <c r="O101" s="128" t="s">
        <v>5603</v>
      </c>
      <c r="P101" s="128" t="s">
        <v>5604</v>
      </c>
      <c r="Q101" s="128" t="s">
        <v>5605</v>
      </c>
      <c r="R101" s="128" t="s">
        <v>5606</v>
      </c>
      <c r="S101" s="128" t="s">
        <v>5607</v>
      </c>
      <c r="T101" s="128" t="s">
        <v>5608</v>
      </c>
      <c r="U101" s="128" t="s">
        <v>5609</v>
      </c>
      <c r="V101" s="128" t="s">
        <v>5610</v>
      </c>
      <c r="W101" s="128" t="s">
        <v>5611</v>
      </c>
      <c r="X101" s="128" t="s">
        <v>5612</v>
      </c>
      <c r="Y101" s="128" t="s">
        <v>5613</v>
      </c>
      <c r="Z101" s="128" t="s">
        <v>5614</v>
      </c>
      <c r="AA101" s="128" t="s">
        <v>5615</v>
      </c>
      <c r="AB101" s="128" t="s">
        <v>5616</v>
      </c>
      <c r="AC101" s="128" t="s">
        <v>5617</v>
      </c>
      <c r="AD101" s="128" t="s">
        <v>5618</v>
      </c>
      <c r="AE101" s="128" t="s">
        <v>5619</v>
      </c>
      <c r="AF101" s="128" t="s">
        <v>5620</v>
      </c>
    </row>
    <row r="102" spans="3:32" ht="319" x14ac:dyDescent="0.35">
      <c r="C102" s="128" t="s">
        <v>2898</v>
      </c>
      <c r="E102" s="128" t="s">
        <v>2899</v>
      </c>
      <c r="F102" s="128" t="s">
        <v>5621</v>
      </c>
      <c r="G102" s="128" t="s">
        <v>5622</v>
      </c>
      <c r="H102" s="128" t="s">
        <v>2902</v>
      </c>
      <c r="I102" s="128" t="s">
        <v>5623</v>
      </c>
      <c r="J102" s="128" t="s">
        <v>5624</v>
      </c>
      <c r="K102" s="128" t="s">
        <v>5625</v>
      </c>
      <c r="L102" s="128" t="s">
        <v>5626</v>
      </c>
      <c r="M102" s="128" t="s">
        <v>5627</v>
      </c>
      <c r="N102" s="128" t="s">
        <v>5628</v>
      </c>
      <c r="O102" s="128" t="s">
        <v>5629</v>
      </c>
      <c r="P102" s="128" t="s">
        <v>5630</v>
      </c>
      <c r="Q102" s="128" t="s">
        <v>5631</v>
      </c>
      <c r="R102" s="128" t="s">
        <v>5632</v>
      </c>
      <c r="S102" s="128" t="s">
        <v>5633</v>
      </c>
      <c r="T102" s="128" t="s">
        <v>5634</v>
      </c>
      <c r="U102" s="128" t="s">
        <v>5635</v>
      </c>
      <c r="V102" s="128" t="s">
        <v>5636</v>
      </c>
      <c r="W102" s="128" t="s">
        <v>5637</v>
      </c>
      <c r="X102" s="128" t="s">
        <v>5638</v>
      </c>
      <c r="Y102" s="128" t="s">
        <v>5639</v>
      </c>
      <c r="Z102" s="128" t="s">
        <v>5640</v>
      </c>
      <c r="AA102" s="128" t="s">
        <v>5641</v>
      </c>
      <c r="AB102" s="128" t="s">
        <v>5642</v>
      </c>
      <c r="AC102" s="128" t="s">
        <v>5643</v>
      </c>
      <c r="AD102" s="128" t="s">
        <v>5644</v>
      </c>
      <c r="AE102" s="128" t="s">
        <v>5645</v>
      </c>
      <c r="AF102" s="128" t="s">
        <v>5646</v>
      </c>
    </row>
    <row r="103" spans="3:32" ht="319" x14ac:dyDescent="0.35">
      <c r="C103" s="128" t="s">
        <v>2927</v>
      </c>
      <c r="E103" s="128" t="s">
        <v>2928</v>
      </c>
      <c r="F103" s="128" t="s">
        <v>5647</v>
      </c>
      <c r="G103" s="128" t="s">
        <v>5648</v>
      </c>
      <c r="H103" s="128" t="s">
        <v>2931</v>
      </c>
      <c r="I103" s="128" t="s">
        <v>5649</v>
      </c>
      <c r="J103" s="128" t="s">
        <v>5650</v>
      </c>
      <c r="K103" s="128" t="s">
        <v>5651</v>
      </c>
      <c r="L103" s="128" t="s">
        <v>5652</v>
      </c>
      <c r="M103" s="128" t="s">
        <v>5653</v>
      </c>
      <c r="N103" s="128" t="s">
        <v>5654</v>
      </c>
      <c r="O103" s="128" t="s">
        <v>5655</v>
      </c>
      <c r="P103" s="128" t="s">
        <v>5656</v>
      </c>
      <c r="Q103" s="128" t="s">
        <v>5657</v>
      </c>
      <c r="R103" s="128" t="s">
        <v>5658</v>
      </c>
      <c r="S103" s="128" t="s">
        <v>5659</v>
      </c>
      <c r="T103" s="128" t="s">
        <v>5660</v>
      </c>
      <c r="U103" s="128" t="s">
        <v>5661</v>
      </c>
      <c r="V103" s="128" t="s">
        <v>5662</v>
      </c>
      <c r="W103" s="128" t="s">
        <v>5663</v>
      </c>
      <c r="X103" s="128" t="s">
        <v>5664</v>
      </c>
      <c r="Y103" s="128" t="s">
        <v>5665</v>
      </c>
      <c r="Z103" s="128" t="s">
        <v>5666</v>
      </c>
      <c r="AA103" s="128" t="s">
        <v>5667</v>
      </c>
      <c r="AB103" s="128" t="s">
        <v>5668</v>
      </c>
      <c r="AC103" s="128" t="s">
        <v>5669</v>
      </c>
      <c r="AD103" s="128" t="s">
        <v>5670</v>
      </c>
      <c r="AE103" s="128" t="s">
        <v>5671</v>
      </c>
      <c r="AF103" s="128" t="s">
        <v>5672</v>
      </c>
    </row>
    <row r="104" spans="3:32" ht="319" x14ac:dyDescent="0.35">
      <c r="C104" s="128" t="s">
        <v>2956</v>
      </c>
      <c r="E104" s="128" t="s">
        <v>2957</v>
      </c>
      <c r="F104" s="128" t="s">
        <v>5673</v>
      </c>
      <c r="G104" s="128" t="s">
        <v>5674</v>
      </c>
      <c r="H104" s="128" t="s">
        <v>2960</v>
      </c>
      <c r="I104" s="128" t="s">
        <v>5675</v>
      </c>
      <c r="J104" s="128" t="s">
        <v>5676</v>
      </c>
      <c r="K104" s="128" t="s">
        <v>5677</v>
      </c>
      <c r="L104" s="128" t="s">
        <v>5678</v>
      </c>
      <c r="M104" s="128" t="s">
        <v>5679</v>
      </c>
      <c r="N104" s="128" t="s">
        <v>5680</v>
      </c>
      <c r="O104" s="128" t="s">
        <v>5681</v>
      </c>
      <c r="P104" s="128" t="s">
        <v>5682</v>
      </c>
      <c r="Q104" s="128" t="s">
        <v>5683</v>
      </c>
      <c r="R104" s="128" t="s">
        <v>5684</v>
      </c>
      <c r="S104" s="128" t="s">
        <v>5685</v>
      </c>
      <c r="T104" s="128" t="s">
        <v>5686</v>
      </c>
      <c r="U104" s="128" t="s">
        <v>5687</v>
      </c>
      <c r="V104" s="128" t="s">
        <v>5688</v>
      </c>
      <c r="W104" s="128" t="s">
        <v>5689</v>
      </c>
      <c r="X104" s="128" t="s">
        <v>5690</v>
      </c>
      <c r="Y104" s="128" t="s">
        <v>5691</v>
      </c>
      <c r="Z104" s="128" t="s">
        <v>5692</v>
      </c>
      <c r="AA104" s="128" t="s">
        <v>5693</v>
      </c>
      <c r="AB104" s="128" t="s">
        <v>5694</v>
      </c>
      <c r="AC104" s="128" t="s">
        <v>5695</v>
      </c>
      <c r="AD104" s="128" t="s">
        <v>5696</v>
      </c>
      <c r="AE104" s="128" t="s">
        <v>5697</v>
      </c>
      <c r="AF104" s="128" t="s">
        <v>5698</v>
      </c>
    </row>
    <row r="105" spans="3:32" ht="319" x14ac:dyDescent="0.35">
      <c r="C105" s="128" t="s">
        <v>2985</v>
      </c>
      <c r="E105" s="128" t="s">
        <v>2986</v>
      </c>
      <c r="F105" s="128" t="s">
        <v>5699</v>
      </c>
      <c r="G105" s="128" t="s">
        <v>5700</v>
      </c>
      <c r="H105" s="128" t="s">
        <v>2989</v>
      </c>
      <c r="I105" s="128" t="s">
        <v>5701</v>
      </c>
      <c r="J105" s="128" t="s">
        <v>5702</v>
      </c>
      <c r="K105" s="128" t="s">
        <v>5703</v>
      </c>
      <c r="L105" s="128" t="s">
        <v>5704</v>
      </c>
      <c r="M105" s="128" t="s">
        <v>5705</v>
      </c>
      <c r="N105" s="128" t="s">
        <v>5706</v>
      </c>
      <c r="O105" s="128" t="s">
        <v>5707</v>
      </c>
      <c r="P105" s="128" t="s">
        <v>5708</v>
      </c>
      <c r="Q105" s="128" t="s">
        <v>5709</v>
      </c>
      <c r="R105" s="128" t="s">
        <v>5710</v>
      </c>
      <c r="S105" s="128" t="s">
        <v>5711</v>
      </c>
      <c r="T105" s="128" t="s">
        <v>5712</v>
      </c>
      <c r="U105" s="128" t="s">
        <v>5713</v>
      </c>
      <c r="V105" s="128" t="s">
        <v>5714</v>
      </c>
      <c r="W105" s="128" t="s">
        <v>5715</v>
      </c>
      <c r="X105" s="128" t="s">
        <v>5716</v>
      </c>
      <c r="Y105" s="128" t="s">
        <v>5717</v>
      </c>
      <c r="Z105" s="128" t="s">
        <v>5718</v>
      </c>
      <c r="AA105" s="128" t="s">
        <v>5719</v>
      </c>
      <c r="AB105" s="128" t="s">
        <v>5720</v>
      </c>
      <c r="AC105" s="128" t="s">
        <v>5721</v>
      </c>
      <c r="AD105" s="128" t="s">
        <v>5722</v>
      </c>
      <c r="AE105" s="128" t="s">
        <v>5723</v>
      </c>
      <c r="AF105" s="128" t="s">
        <v>5724</v>
      </c>
    </row>
    <row r="106" spans="3:32" ht="319" x14ac:dyDescent="0.35">
      <c r="C106" s="128" t="s">
        <v>3014</v>
      </c>
      <c r="E106" s="128" t="s">
        <v>3015</v>
      </c>
      <c r="F106" s="128" t="s">
        <v>5725</v>
      </c>
      <c r="G106" s="128" t="s">
        <v>5726</v>
      </c>
      <c r="H106" s="128" t="s">
        <v>3018</v>
      </c>
      <c r="I106" s="128" t="s">
        <v>5727</v>
      </c>
      <c r="J106" s="128" t="s">
        <v>5728</v>
      </c>
      <c r="K106" s="128" t="s">
        <v>5729</v>
      </c>
      <c r="L106" s="128" t="s">
        <v>5730</v>
      </c>
      <c r="M106" s="128" t="s">
        <v>5731</v>
      </c>
      <c r="N106" s="128" t="s">
        <v>5732</v>
      </c>
      <c r="O106" s="128" t="s">
        <v>5733</v>
      </c>
      <c r="P106" s="128" t="s">
        <v>5734</v>
      </c>
      <c r="Q106" s="128" t="s">
        <v>5735</v>
      </c>
      <c r="R106" s="128" t="s">
        <v>5736</v>
      </c>
      <c r="S106" s="128" t="s">
        <v>5737</v>
      </c>
      <c r="T106" s="128" t="s">
        <v>5738</v>
      </c>
      <c r="U106" s="128" t="s">
        <v>5739</v>
      </c>
      <c r="V106" s="128" t="s">
        <v>5740</v>
      </c>
      <c r="W106" s="128" t="s">
        <v>5741</v>
      </c>
      <c r="X106" s="128" t="s">
        <v>5742</v>
      </c>
      <c r="Y106" s="128" t="s">
        <v>5743</v>
      </c>
      <c r="Z106" s="128" t="s">
        <v>5744</v>
      </c>
      <c r="AA106" s="128" t="s">
        <v>5745</v>
      </c>
      <c r="AB106" s="128" t="s">
        <v>5746</v>
      </c>
      <c r="AC106" s="128" t="s">
        <v>5747</v>
      </c>
      <c r="AD106" s="128" t="s">
        <v>5748</v>
      </c>
      <c r="AE106" s="128" t="s">
        <v>5749</v>
      </c>
      <c r="AF106" s="128" t="s">
        <v>5750</v>
      </c>
    </row>
    <row r="107" spans="3:32" ht="319" x14ac:dyDescent="0.35">
      <c r="C107" s="128" t="s">
        <v>3043</v>
      </c>
      <c r="E107" s="128" t="s">
        <v>3044</v>
      </c>
      <c r="F107" s="128" t="s">
        <v>5751</v>
      </c>
      <c r="G107" s="128" t="s">
        <v>5752</v>
      </c>
      <c r="H107" s="128" t="s">
        <v>3047</v>
      </c>
      <c r="I107" s="128" t="s">
        <v>5753</v>
      </c>
      <c r="J107" s="128" t="s">
        <v>5754</v>
      </c>
      <c r="K107" s="128" t="s">
        <v>5755</v>
      </c>
      <c r="L107" s="128" t="s">
        <v>5756</v>
      </c>
      <c r="M107" s="128" t="s">
        <v>5757</v>
      </c>
      <c r="N107" s="128" t="s">
        <v>5758</v>
      </c>
      <c r="O107" s="128" t="s">
        <v>5759</v>
      </c>
      <c r="P107" s="128" t="s">
        <v>5760</v>
      </c>
      <c r="Q107" s="128" t="s">
        <v>5761</v>
      </c>
      <c r="R107" s="128" t="s">
        <v>5762</v>
      </c>
      <c r="S107" s="128" t="s">
        <v>5763</v>
      </c>
      <c r="T107" s="128" t="s">
        <v>5764</v>
      </c>
      <c r="U107" s="128" t="s">
        <v>5765</v>
      </c>
      <c r="V107" s="128" t="s">
        <v>5766</v>
      </c>
      <c r="W107" s="128" t="s">
        <v>5767</v>
      </c>
      <c r="X107" s="128" t="s">
        <v>5768</v>
      </c>
      <c r="Y107" s="128" t="s">
        <v>5769</v>
      </c>
      <c r="Z107" s="128" t="s">
        <v>5770</v>
      </c>
      <c r="AA107" s="128" t="s">
        <v>5771</v>
      </c>
      <c r="AB107" s="128" t="s">
        <v>5772</v>
      </c>
      <c r="AC107" s="128" t="s">
        <v>5773</v>
      </c>
      <c r="AD107" s="128" t="s">
        <v>5774</v>
      </c>
      <c r="AE107" s="128" t="s">
        <v>5775</v>
      </c>
      <c r="AF107" s="128" t="s">
        <v>5776</v>
      </c>
    </row>
    <row r="108" spans="3:32" ht="319" x14ac:dyDescent="0.35">
      <c r="C108" s="128" t="s">
        <v>3072</v>
      </c>
      <c r="E108" s="128" t="s">
        <v>3073</v>
      </c>
      <c r="F108" s="128" t="s">
        <v>5777</v>
      </c>
      <c r="G108" s="128" t="s">
        <v>5778</v>
      </c>
      <c r="H108" s="128" t="s">
        <v>3076</v>
      </c>
      <c r="I108" s="128" t="s">
        <v>5779</v>
      </c>
      <c r="J108" s="128" t="s">
        <v>5780</v>
      </c>
      <c r="K108" s="128" t="s">
        <v>5781</v>
      </c>
      <c r="L108" s="128" t="s">
        <v>5782</v>
      </c>
      <c r="M108" s="128" t="s">
        <v>5783</v>
      </c>
      <c r="N108" s="128" t="s">
        <v>5784</v>
      </c>
      <c r="O108" s="128" t="s">
        <v>5785</v>
      </c>
      <c r="P108" s="128" t="s">
        <v>5786</v>
      </c>
      <c r="Q108" s="128" t="s">
        <v>5787</v>
      </c>
      <c r="R108" s="128" t="s">
        <v>5788</v>
      </c>
      <c r="S108" s="128" t="s">
        <v>5789</v>
      </c>
      <c r="T108" s="128" t="s">
        <v>5790</v>
      </c>
      <c r="U108" s="128" t="s">
        <v>5791</v>
      </c>
      <c r="V108" s="128" t="s">
        <v>5792</v>
      </c>
      <c r="W108" s="128" t="s">
        <v>5793</v>
      </c>
      <c r="X108" s="128" t="s">
        <v>5794</v>
      </c>
      <c r="Y108" s="128" t="s">
        <v>5795</v>
      </c>
      <c r="Z108" s="128" t="s">
        <v>5796</v>
      </c>
      <c r="AA108" s="128" t="s">
        <v>5797</v>
      </c>
      <c r="AB108" s="128" t="s">
        <v>5798</v>
      </c>
      <c r="AC108" s="128" t="s">
        <v>5799</v>
      </c>
      <c r="AD108" s="128" t="s">
        <v>5800</v>
      </c>
      <c r="AE108" s="128" t="s">
        <v>5801</v>
      </c>
      <c r="AF108" s="128" t="s">
        <v>5802</v>
      </c>
    </row>
    <row r="109" spans="3:32" ht="319" x14ac:dyDescent="0.35">
      <c r="C109" s="128" t="s">
        <v>3101</v>
      </c>
      <c r="E109" s="128" t="s">
        <v>3102</v>
      </c>
      <c r="F109" s="128" t="s">
        <v>5803</v>
      </c>
      <c r="G109" s="128" t="s">
        <v>5804</v>
      </c>
      <c r="H109" s="128" t="s">
        <v>3105</v>
      </c>
      <c r="I109" s="128" t="s">
        <v>5805</v>
      </c>
      <c r="J109" s="128" t="s">
        <v>5806</v>
      </c>
      <c r="K109" s="128" t="s">
        <v>5807</v>
      </c>
      <c r="L109" s="128" t="s">
        <v>5808</v>
      </c>
      <c r="M109" s="128" t="s">
        <v>5809</v>
      </c>
      <c r="N109" s="128" t="s">
        <v>5810</v>
      </c>
      <c r="O109" s="128" t="s">
        <v>5811</v>
      </c>
      <c r="P109" s="128" t="s">
        <v>5812</v>
      </c>
      <c r="Q109" s="128" t="s">
        <v>5813</v>
      </c>
      <c r="R109" s="128" t="s">
        <v>5814</v>
      </c>
      <c r="S109" s="128" t="s">
        <v>5815</v>
      </c>
      <c r="T109" s="128" t="s">
        <v>5816</v>
      </c>
      <c r="U109" s="128" t="s">
        <v>5817</v>
      </c>
      <c r="V109" s="128" t="s">
        <v>5818</v>
      </c>
      <c r="W109" s="128" t="s">
        <v>5819</v>
      </c>
      <c r="X109" s="128" t="s">
        <v>5820</v>
      </c>
      <c r="Y109" s="128" t="s">
        <v>5821</v>
      </c>
      <c r="Z109" s="128" t="s">
        <v>5822</v>
      </c>
      <c r="AA109" s="128" t="s">
        <v>5823</v>
      </c>
      <c r="AB109" s="128" t="s">
        <v>5824</v>
      </c>
      <c r="AC109" s="128" t="s">
        <v>5825</v>
      </c>
      <c r="AD109" s="128" t="s">
        <v>5826</v>
      </c>
      <c r="AE109" s="128" t="s">
        <v>5827</v>
      </c>
      <c r="AF109" s="128" t="s">
        <v>5828</v>
      </c>
    </row>
    <row r="110" spans="3:32" ht="319" x14ac:dyDescent="0.35">
      <c r="C110" s="128" t="s">
        <v>3130</v>
      </c>
      <c r="E110" s="128" t="s">
        <v>3131</v>
      </c>
      <c r="F110" s="128" t="s">
        <v>5829</v>
      </c>
      <c r="G110" s="128" t="s">
        <v>5830</v>
      </c>
      <c r="H110" s="128" t="s">
        <v>3134</v>
      </c>
      <c r="I110" s="128" t="s">
        <v>5831</v>
      </c>
      <c r="J110" s="128" t="s">
        <v>5832</v>
      </c>
      <c r="K110" s="128" t="s">
        <v>5833</v>
      </c>
      <c r="L110" s="128" t="s">
        <v>5834</v>
      </c>
      <c r="M110" s="128" t="s">
        <v>5835</v>
      </c>
      <c r="N110" s="128" t="s">
        <v>5836</v>
      </c>
      <c r="O110" s="128" t="s">
        <v>5837</v>
      </c>
      <c r="P110" s="128" t="s">
        <v>5838</v>
      </c>
      <c r="Q110" s="128" t="s">
        <v>5839</v>
      </c>
      <c r="R110" s="128" t="s">
        <v>5840</v>
      </c>
      <c r="S110" s="128" t="s">
        <v>5841</v>
      </c>
      <c r="T110" s="128" t="s">
        <v>5842</v>
      </c>
      <c r="U110" s="128" t="s">
        <v>5843</v>
      </c>
      <c r="V110" s="128" t="s">
        <v>5844</v>
      </c>
      <c r="W110" s="128" t="s">
        <v>5845</v>
      </c>
      <c r="X110" s="128" t="s">
        <v>5846</v>
      </c>
      <c r="Y110" s="128" t="s">
        <v>5847</v>
      </c>
      <c r="Z110" s="128" t="s">
        <v>5848</v>
      </c>
      <c r="AA110" s="128" t="s">
        <v>5849</v>
      </c>
      <c r="AB110" s="128" t="s">
        <v>5850</v>
      </c>
      <c r="AC110" s="128" t="s">
        <v>5851</v>
      </c>
      <c r="AD110" s="128" t="s">
        <v>5852</v>
      </c>
      <c r="AE110" s="128" t="s">
        <v>5853</v>
      </c>
      <c r="AF110" s="128" t="s">
        <v>5854</v>
      </c>
    </row>
    <row r="111" spans="3:32" ht="319" x14ac:dyDescent="0.35">
      <c r="C111" s="128" t="s">
        <v>3159</v>
      </c>
      <c r="E111" s="128" t="s">
        <v>3160</v>
      </c>
      <c r="F111" s="128" t="s">
        <v>5855</v>
      </c>
      <c r="G111" s="128" t="s">
        <v>5856</v>
      </c>
      <c r="H111" s="128" t="s">
        <v>3163</v>
      </c>
      <c r="I111" s="128" t="s">
        <v>5857</v>
      </c>
      <c r="J111" s="128" t="s">
        <v>5858</v>
      </c>
      <c r="K111" s="128" t="s">
        <v>5859</v>
      </c>
      <c r="L111" s="128" t="s">
        <v>5860</v>
      </c>
      <c r="M111" s="128" t="s">
        <v>5861</v>
      </c>
      <c r="N111" s="128" t="s">
        <v>5862</v>
      </c>
      <c r="O111" s="128" t="s">
        <v>5863</v>
      </c>
      <c r="P111" s="128" t="s">
        <v>5864</v>
      </c>
      <c r="Q111" s="128" t="s">
        <v>5865</v>
      </c>
      <c r="R111" s="128" t="s">
        <v>5866</v>
      </c>
      <c r="S111" s="128" t="s">
        <v>5867</v>
      </c>
      <c r="T111" s="128" t="s">
        <v>5868</v>
      </c>
      <c r="U111" s="128" t="s">
        <v>5869</v>
      </c>
      <c r="V111" s="128" t="s">
        <v>5870</v>
      </c>
      <c r="W111" s="128" t="s">
        <v>5871</v>
      </c>
      <c r="X111" s="128" t="s">
        <v>5872</v>
      </c>
      <c r="Y111" s="128" t="s">
        <v>5873</v>
      </c>
      <c r="Z111" s="128" t="s">
        <v>5874</v>
      </c>
      <c r="AA111" s="128" t="s">
        <v>5875</v>
      </c>
      <c r="AB111" s="128" t="s">
        <v>5876</v>
      </c>
      <c r="AC111" s="128" t="s">
        <v>5877</v>
      </c>
      <c r="AD111" s="128" t="s">
        <v>5878</v>
      </c>
      <c r="AE111" s="128" t="s">
        <v>5879</v>
      </c>
      <c r="AF111" s="128" t="s">
        <v>5880</v>
      </c>
    </row>
    <row r="112" spans="3:32" ht="319" x14ac:dyDescent="0.35">
      <c r="C112" s="128" t="s">
        <v>3188</v>
      </c>
      <c r="E112" s="128" t="s">
        <v>3189</v>
      </c>
      <c r="F112" s="128" t="s">
        <v>5881</v>
      </c>
      <c r="G112" s="128" t="s">
        <v>5882</v>
      </c>
      <c r="H112" s="128" t="s">
        <v>3192</v>
      </c>
      <c r="I112" s="128" t="s">
        <v>5883</v>
      </c>
      <c r="J112" s="128" t="s">
        <v>5884</v>
      </c>
      <c r="K112" s="128" t="s">
        <v>5885</v>
      </c>
      <c r="L112" s="128" t="s">
        <v>5886</v>
      </c>
      <c r="M112" s="128" t="s">
        <v>5887</v>
      </c>
      <c r="N112" s="128" t="s">
        <v>5888</v>
      </c>
      <c r="O112" s="128" t="s">
        <v>5889</v>
      </c>
      <c r="P112" s="128" t="s">
        <v>5890</v>
      </c>
      <c r="Q112" s="128" t="s">
        <v>5891</v>
      </c>
      <c r="R112" s="128" t="s">
        <v>5892</v>
      </c>
      <c r="S112" s="128" t="s">
        <v>5893</v>
      </c>
      <c r="T112" s="128" t="s">
        <v>5894</v>
      </c>
      <c r="U112" s="128" t="s">
        <v>5895</v>
      </c>
      <c r="V112" s="128" t="s">
        <v>5896</v>
      </c>
      <c r="W112" s="128" t="s">
        <v>5897</v>
      </c>
      <c r="X112" s="128" t="s">
        <v>5898</v>
      </c>
      <c r="Y112" s="128" t="s">
        <v>5899</v>
      </c>
      <c r="Z112" s="128" t="s">
        <v>5900</v>
      </c>
      <c r="AA112" s="128" t="s">
        <v>5901</v>
      </c>
      <c r="AB112" s="128" t="s">
        <v>5902</v>
      </c>
      <c r="AC112" s="128" t="s">
        <v>5903</v>
      </c>
      <c r="AD112" s="128" t="s">
        <v>5904</v>
      </c>
      <c r="AE112" s="128" t="s">
        <v>5905</v>
      </c>
      <c r="AF112" s="128" t="s">
        <v>5906</v>
      </c>
    </row>
    <row r="113" spans="3:32" ht="319" x14ac:dyDescent="0.35">
      <c r="C113" s="128" t="s">
        <v>3217</v>
      </c>
      <c r="E113" s="128" t="s">
        <v>3218</v>
      </c>
      <c r="F113" s="128" t="s">
        <v>5907</v>
      </c>
      <c r="G113" s="128" t="s">
        <v>5908</v>
      </c>
      <c r="H113" s="128" t="s">
        <v>3221</v>
      </c>
      <c r="I113" s="128" t="s">
        <v>5909</v>
      </c>
      <c r="J113" s="128" t="s">
        <v>5910</v>
      </c>
      <c r="K113" s="128" t="s">
        <v>5911</v>
      </c>
      <c r="L113" s="128" t="s">
        <v>5912</v>
      </c>
      <c r="M113" s="128" t="s">
        <v>5913</v>
      </c>
      <c r="N113" s="128" t="s">
        <v>5914</v>
      </c>
      <c r="O113" s="128" t="s">
        <v>5915</v>
      </c>
      <c r="P113" s="128" t="s">
        <v>5916</v>
      </c>
      <c r="Q113" s="128" t="s">
        <v>5917</v>
      </c>
      <c r="R113" s="128" t="s">
        <v>5918</v>
      </c>
      <c r="S113" s="128" t="s">
        <v>5919</v>
      </c>
      <c r="T113" s="128" t="s">
        <v>5920</v>
      </c>
      <c r="U113" s="128" t="s">
        <v>5921</v>
      </c>
      <c r="V113" s="128" t="s">
        <v>5922</v>
      </c>
      <c r="W113" s="128" t="s">
        <v>5923</v>
      </c>
      <c r="X113" s="128" t="s">
        <v>5924</v>
      </c>
      <c r="Y113" s="128" t="s">
        <v>5925</v>
      </c>
      <c r="Z113" s="128" t="s">
        <v>5926</v>
      </c>
      <c r="AA113" s="128" t="s">
        <v>5927</v>
      </c>
      <c r="AB113" s="128" t="s">
        <v>5928</v>
      </c>
      <c r="AC113" s="128" t="s">
        <v>5929</v>
      </c>
      <c r="AD113" s="128" t="s">
        <v>5930</v>
      </c>
      <c r="AE113" s="128" t="s">
        <v>5931</v>
      </c>
      <c r="AF113" s="128" t="s">
        <v>5932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20"/>
  <sheetViews>
    <sheetView workbookViewId="0"/>
  </sheetViews>
  <sheetFormatPr defaultRowHeight="14.5" x14ac:dyDescent="0.35"/>
  <sheetData>
    <row r="1" spans="1:17" x14ac:dyDescent="0.35">
      <c r="A1" s="127" t="s">
        <v>5934</v>
      </c>
      <c r="B1" s="127" t="s">
        <v>22</v>
      </c>
      <c r="C1" s="127" t="s">
        <v>22</v>
      </c>
      <c r="D1" s="127" t="s">
        <v>22</v>
      </c>
      <c r="E1" s="127" t="s">
        <v>22</v>
      </c>
      <c r="F1" s="127" t="s">
        <v>22</v>
      </c>
      <c r="G1" s="127" t="s">
        <v>22</v>
      </c>
      <c r="H1" s="127" t="s">
        <v>22</v>
      </c>
      <c r="J1" s="127" t="s">
        <v>21</v>
      </c>
      <c r="K1" s="127" t="s">
        <v>21</v>
      </c>
      <c r="L1" s="127" t="s">
        <v>21</v>
      </c>
      <c r="M1" s="127" t="s">
        <v>21</v>
      </c>
      <c r="N1" s="127" t="s">
        <v>21</v>
      </c>
      <c r="O1" s="127" t="s">
        <v>21</v>
      </c>
      <c r="P1" s="127" t="s">
        <v>21</v>
      </c>
      <c r="Q1" s="127" t="s">
        <v>21</v>
      </c>
    </row>
    <row r="3" spans="1:17" x14ac:dyDescent="0.35">
      <c r="I3" s="127" t="s">
        <v>69</v>
      </c>
    </row>
    <row r="5" spans="1:17" x14ac:dyDescent="0.35">
      <c r="I5" s="127" t="s">
        <v>1</v>
      </c>
      <c r="J5" s="127" t="s">
        <v>3247</v>
      </c>
      <c r="K5" s="127" t="s">
        <v>123</v>
      </c>
    </row>
    <row r="6" spans="1:17" x14ac:dyDescent="0.35">
      <c r="I6" s="127" t="s">
        <v>44</v>
      </c>
      <c r="J6" s="127" t="s">
        <v>68</v>
      </c>
      <c r="K6" s="127" t="s">
        <v>3248</v>
      </c>
    </row>
    <row r="7" spans="1:17" x14ac:dyDescent="0.35">
      <c r="I7" s="127" t="s">
        <v>66</v>
      </c>
      <c r="J7" s="127" t="s">
        <v>3249</v>
      </c>
      <c r="K7" s="127" t="s">
        <v>3250</v>
      </c>
    </row>
    <row r="8" spans="1:17" x14ac:dyDescent="0.35">
      <c r="I8" s="127" t="s">
        <v>65</v>
      </c>
      <c r="J8" s="127" t="s">
        <v>3251</v>
      </c>
    </row>
    <row r="10" spans="1:17" x14ac:dyDescent="0.35">
      <c r="I10" s="127" t="s">
        <v>50</v>
      </c>
    </row>
    <row r="11" spans="1:17" x14ac:dyDescent="0.35">
      <c r="I11" s="127" t="s">
        <v>49</v>
      </c>
    </row>
    <row r="12" spans="1:17" x14ac:dyDescent="0.35">
      <c r="D12" s="127" t="s">
        <v>34</v>
      </c>
      <c r="I12" s="127" t="s">
        <v>37</v>
      </c>
      <c r="J12" s="127" t="s">
        <v>6</v>
      </c>
      <c r="K12" s="127" t="s">
        <v>34</v>
      </c>
      <c r="L12" s="127" t="s">
        <v>2</v>
      </c>
      <c r="M12" s="127" t="s">
        <v>11</v>
      </c>
      <c r="N12" s="127" t="s">
        <v>32</v>
      </c>
      <c r="O12" s="127" t="s">
        <v>9</v>
      </c>
      <c r="P12" s="127" t="s">
        <v>7</v>
      </c>
      <c r="Q12" s="127" t="s">
        <v>33</v>
      </c>
    </row>
    <row r="13" spans="1:17" x14ac:dyDescent="0.35">
      <c r="C13" s="127" t="s">
        <v>3252</v>
      </c>
      <c r="D13" s="127" t="s">
        <v>3253</v>
      </c>
      <c r="I13" s="127" t="s">
        <v>3254</v>
      </c>
      <c r="J13" s="127" t="s">
        <v>3255</v>
      </c>
      <c r="K13" s="127" t="s">
        <v>3256</v>
      </c>
      <c r="L13" s="127" t="s">
        <v>3257</v>
      </c>
      <c r="M13" s="127" t="s">
        <v>3258</v>
      </c>
      <c r="N13" s="127" t="s">
        <v>3259</v>
      </c>
      <c r="O13" s="127" t="s">
        <v>3260</v>
      </c>
      <c r="P13" s="127" t="s">
        <v>3261</v>
      </c>
      <c r="Q13" s="127" t="s">
        <v>3262</v>
      </c>
    </row>
    <row r="16" spans="1:17" x14ac:dyDescent="0.35">
      <c r="I16" s="127" t="s">
        <v>51</v>
      </c>
    </row>
    <row r="17" spans="3:14" x14ac:dyDescent="0.35">
      <c r="I17" s="127" t="s">
        <v>52</v>
      </c>
    </row>
    <row r="18" spans="3:14" x14ac:dyDescent="0.35">
      <c r="I18" s="127" t="s">
        <v>53</v>
      </c>
    </row>
    <row r="19" spans="3:14" x14ac:dyDescent="0.35">
      <c r="C19" s="127" t="s">
        <v>56</v>
      </c>
      <c r="D19" s="127" t="s">
        <v>55</v>
      </c>
      <c r="I19" s="127" t="s">
        <v>37</v>
      </c>
      <c r="J19" s="127" t="s">
        <v>10</v>
      </c>
      <c r="K19" s="127" t="s">
        <v>54</v>
      </c>
      <c r="L19" s="127" t="s">
        <v>57</v>
      </c>
      <c r="M19" s="127" t="s">
        <v>9</v>
      </c>
      <c r="N19" s="127" t="s">
        <v>32</v>
      </c>
    </row>
    <row r="20" spans="3:14" x14ac:dyDescent="0.35">
      <c r="C20" s="127" t="s">
        <v>3263</v>
      </c>
      <c r="D20" s="127" t="s">
        <v>3264</v>
      </c>
      <c r="I20" s="127" t="s">
        <v>3265</v>
      </c>
      <c r="J20" s="127" t="s">
        <v>3266</v>
      </c>
      <c r="K20" s="127" t="s">
        <v>3267</v>
      </c>
      <c r="L20" s="127" t="s">
        <v>3268</v>
      </c>
      <c r="M20" s="127" t="s">
        <v>3269</v>
      </c>
      <c r="N20" s="127" t="s">
        <v>3270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20"/>
  <sheetViews>
    <sheetView workbookViewId="0"/>
  </sheetViews>
  <sheetFormatPr defaultRowHeight="14.5" x14ac:dyDescent="0.35"/>
  <sheetData>
    <row r="1" spans="1:17" x14ac:dyDescent="0.35">
      <c r="A1" s="127" t="s">
        <v>5934</v>
      </c>
      <c r="B1" s="127" t="s">
        <v>22</v>
      </c>
      <c r="C1" s="127" t="s">
        <v>22</v>
      </c>
      <c r="D1" s="127" t="s">
        <v>22</v>
      </c>
      <c r="E1" s="127" t="s">
        <v>22</v>
      </c>
      <c r="F1" s="127" t="s">
        <v>22</v>
      </c>
      <c r="G1" s="127" t="s">
        <v>22</v>
      </c>
      <c r="H1" s="127" t="s">
        <v>22</v>
      </c>
      <c r="J1" s="127" t="s">
        <v>21</v>
      </c>
      <c r="K1" s="127" t="s">
        <v>21</v>
      </c>
      <c r="L1" s="127" t="s">
        <v>21</v>
      </c>
      <c r="M1" s="127" t="s">
        <v>21</v>
      </c>
      <c r="N1" s="127" t="s">
        <v>21</v>
      </c>
      <c r="O1" s="127" t="s">
        <v>21</v>
      </c>
      <c r="P1" s="127" t="s">
        <v>21</v>
      </c>
      <c r="Q1" s="127" t="s">
        <v>21</v>
      </c>
    </row>
    <row r="3" spans="1:17" x14ac:dyDescent="0.35">
      <c r="I3" s="127" t="s">
        <v>69</v>
      </c>
    </row>
    <row r="5" spans="1:17" x14ac:dyDescent="0.35">
      <c r="I5" s="127" t="s">
        <v>1</v>
      </c>
      <c r="J5" s="127" t="s">
        <v>3247</v>
      </c>
      <c r="K5" s="127" t="s">
        <v>123</v>
      </c>
    </row>
    <row r="6" spans="1:17" x14ac:dyDescent="0.35">
      <c r="I6" s="127" t="s">
        <v>44</v>
      </c>
      <c r="J6" s="127" t="s">
        <v>68</v>
      </c>
      <c r="K6" s="127" t="s">
        <v>3248</v>
      </c>
    </row>
    <row r="7" spans="1:17" x14ac:dyDescent="0.35">
      <c r="I7" s="127" t="s">
        <v>66</v>
      </c>
      <c r="J7" s="127" t="s">
        <v>3249</v>
      </c>
      <c r="K7" s="127" t="s">
        <v>3250</v>
      </c>
    </row>
    <row r="8" spans="1:17" x14ac:dyDescent="0.35">
      <c r="I8" s="127" t="s">
        <v>65</v>
      </c>
      <c r="J8" s="127" t="s">
        <v>3251</v>
      </c>
    </row>
    <row r="10" spans="1:17" x14ac:dyDescent="0.35">
      <c r="I10" s="127" t="s">
        <v>50</v>
      </c>
    </row>
    <row r="11" spans="1:17" x14ac:dyDescent="0.35">
      <c r="I11" s="127" t="s">
        <v>49</v>
      </c>
    </row>
    <row r="12" spans="1:17" x14ac:dyDescent="0.35">
      <c r="D12" s="127" t="s">
        <v>34</v>
      </c>
      <c r="I12" s="127" t="s">
        <v>37</v>
      </c>
      <c r="J12" s="127" t="s">
        <v>6</v>
      </c>
      <c r="K12" s="127" t="s">
        <v>34</v>
      </c>
      <c r="L12" s="127" t="s">
        <v>2</v>
      </c>
      <c r="M12" s="127" t="s">
        <v>11</v>
      </c>
      <c r="N12" s="127" t="s">
        <v>32</v>
      </c>
      <c r="O12" s="127" t="s">
        <v>9</v>
      </c>
      <c r="P12" s="127" t="s">
        <v>7</v>
      </c>
      <c r="Q12" s="127" t="s">
        <v>33</v>
      </c>
    </row>
    <row r="13" spans="1:17" x14ac:dyDescent="0.35">
      <c r="C13" s="127" t="s">
        <v>3252</v>
      </c>
      <c r="D13" s="127" t="s">
        <v>3253</v>
      </c>
      <c r="I13" s="127" t="s">
        <v>3254</v>
      </c>
      <c r="J13" s="127" t="s">
        <v>3255</v>
      </c>
      <c r="K13" s="127" t="s">
        <v>3256</v>
      </c>
      <c r="L13" s="127" t="s">
        <v>3257</v>
      </c>
      <c r="M13" s="127" t="s">
        <v>3258</v>
      </c>
      <c r="N13" s="127" t="s">
        <v>3259</v>
      </c>
      <c r="O13" s="127" t="s">
        <v>3260</v>
      </c>
      <c r="P13" s="127" t="s">
        <v>3261</v>
      </c>
      <c r="Q13" s="127" t="s">
        <v>3262</v>
      </c>
    </row>
    <row r="16" spans="1:17" x14ac:dyDescent="0.35">
      <c r="I16" s="127" t="s">
        <v>51</v>
      </c>
    </row>
    <row r="17" spans="3:14" x14ac:dyDescent="0.35">
      <c r="I17" s="127" t="s">
        <v>52</v>
      </c>
    </row>
    <row r="18" spans="3:14" x14ac:dyDescent="0.35">
      <c r="I18" s="127" t="s">
        <v>53</v>
      </c>
    </row>
    <row r="19" spans="3:14" x14ac:dyDescent="0.35">
      <c r="C19" s="127" t="s">
        <v>56</v>
      </c>
      <c r="D19" s="127" t="s">
        <v>55</v>
      </c>
      <c r="I19" s="127" t="s">
        <v>37</v>
      </c>
      <c r="J19" s="127" t="s">
        <v>10</v>
      </c>
      <c r="K19" s="127" t="s">
        <v>54</v>
      </c>
      <c r="L19" s="127" t="s">
        <v>57</v>
      </c>
      <c r="M19" s="127" t="s">
        <v>9</v>
      </c>
      <c r="N19" s="127" t="s">
        <v>32</v>
      </c>
    </row>
    <row r="20" spans="3:14" x14ac:dyDescent="0.35">
      <c r="C20" s="127" t="s">
        <v>3263</v>
      </c>
      <c r="D20" s="127" t="s">
        <v>3264</v>
      </c>
      <c r="I20" s="127" t="s">
        <v>3265</v>
      </c>
      <c r="J20" s="127" t="s">
        <v>3266</v>
      </c>
      <c r="K20" s="127" t="s">
        <v>3267</v>
      </c>
      <c r="L20" s="127" t="s">
        <v>3268</v>
      </c>
      <c r="M20" s="127" t="s">
        <v>3269</v>
      </c>
      <c r="N20" s="127" t="s">
        <v>3270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
  <sheetViews>
    <sheetView workbookViewId="0"/>
  </sheetViews>
  <sheetFormatPr defaultRowHeight="14.5" x14ac:dyDescent="0.35"/>
  <sheetData>
    <row r="1" spans="1:6" x14ac:dyDescent="0.35">
      <c r="A1" s="127" t="s">
        <v>5936</v>
      </c>
    </row>
    <row r="2" spans="1:6" x14ac:dyDescent="0.35">
      <c r="B2" s="127" t="s">
        <v>121</v>
      </c>
      <c r="C2" s="127" t="s">
        <v>3272</v>
      </c>
    </row>
    <row r="3" spans="1:6" x14ac:dyDescent="0.35">
      <c r="C3" s="127" t="s">
        <v>69</v>
      </c>
    </row>
    <row r="5" spans="1:6" x14ac:dyDescent="0.35">
      <c r="C5" s="127" t="s">
        <v>1</v>
      </c>
      <c r="D5" s="127" t="s">
        <v>3273</v>
      </c>
      <c r="E5" s="127" t="s">
        <v>123</v>
      </c>
    </row>
    <row r="6" spans="1:6" x14ac:dyDescent="0.35">
      <c r="C6" s="127" t="s">
        <v>6</v>
      </c>
      <c r="D6" s="127" t="s">
        <v>59</v>
      </c>
    </row>
    <row r="8" spans="1:6" x14ac:dyDescent="0.35">
      <c r="C8" s="127" t="s">
        <v>64</v>
      </c>
      <c r="D8" s="127" t="s">
        <v>63</v>
      </c>
    </row>
    <row r="9" spans="1:6" x14ac:dyDescent="0.35">
      <c r="C9" s="127" t="s">
        <v>60</v>
      </c>
      <c r="D9" s="127" t="s">
        <v>3275</v>
      </c>
      <c r="E9" s="127" t="s">
        <v>61</v>
      </c>
      <c r="F9" s="127" t="s">
        <v>62</v>
      </c>
    </row>
    <row r="10" spans="1:6" x14ac:dyDescent="0.35">
      <c r="C10" s="127" t="s">
        <v>8</v>
      </c>
      <c r="D10" s="127" t="s">
        <v>5935</v>
      </c>
      <c r="F10" s="127" t="s">
        <v>5935</v>
      </c>
    </row>
    <row r="11" spans="1:6" x14ac:dyDescent="0.35">
      <c r="C11" s="127" t="s">
        <v>83</v>
      </c>
      <c r="D11" s="127" t="s">
        <v>5935</v>
      </c>
      <c r="F11" s="127" t="s">
        <v>5935</v>
      </c>
    </row>
    <row r="12" spans="1:6" x14ac:dyDescent="0.35">
      <c r="C12" s="127" t="s">
        <v>61</v>
      </c>
    </row>
    <row r="13" spans="1:6" x14ac:dyDescent="0.35">
      <c r="C13" s="127" t="s">
        <v>61</v>
      </c>
    </row>
    <row r="14" spans="1:6" x14ac:dyDescent="0.35">
      <c r="C14" s="127" t="s">
        <v>62</v>
      </c>
      <c r="D14" s="127" t="s">
        <v>5935</v>
      </c>
      <c r="F14" s="127" t="s">
        <v>5935</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
  <sheetViews>
    <sheetView workbookViewId="0"/>
  </sheetViews>
  <sheetFormatPr defaultRowHeight="14.5" x14ac:dyDescent="0.35"/>
  <sheetData>
    <row r="1" spans="1:6" x14ac:dyDescent="0.35">
      <c r="A1" s="127" t="s">
        <v>5936</v>
      </c>
    </row>
    <row r="2" spans="1:6" x14ac:dyDescent="0.35">
      <c r="B2" s="127" t="s">
        <v>121</v>
      </c>
      <c r="C2" s="127" t="s">
        <v>3272</v>
      </c>
    </row>
    <row r="3" spans="1:6" x14ac:dyDescent="0.35">
      <c r="C3" s="127" t="s">
        <v>69</v>
      </c>
    </row>
    <row r="5" spans="1:6" x14ac:dyDescent="0.35">
      <c r="C5" s="127" t="s">
        <v>1</v>
      </c>
      <c r="D5" s="127" t="s">
        <v>3273</v>
      </c>
      <c r="E5" s="127" t="s">
        <v>123</v>
      </c>
    </row>
    <row r="6" spans="1:6" x14ac:dyDescent="0.35">
      <c r="C6" s="127" t="s">
        <v>6</v>
      </c>
      <c r="D6" s="127" t="s">
        <v>59</v>
      </c>
    </row>
    <row r="8" spans="1:6" x14ac:dyDescent="0.35">
      <c r="C8" s="127" t="s">
        <v>64</v>
      </c>
      <c r="D8" s="127" t="s">
        <v>63</v>
      </c>
    </row>
    <row r="9" spans="1:6" x14ac:dyDescent="0.35">
      <c r="C9" s="127" t="s">
        <v>60</v>
      </c>
      <c r="D9" s="127" t="s">
        <v>3275</v>
      </c>
      <c r="E9" s="127" t="s">
        <v>61</v>
      </c>
      <c r="F9" s="127" t="s">
        <v>62</v>
      </c>
    </row>
    <row r="10" spans="1:6" x14ac:dyDescent="0.35">
      <c r="C10" s="127" t="s">
        <v>8</v>
      </c>
      <c r="D10" s="127" t="s">
        <v>5935</v>
      </c>
      <c r="F10" s="127" t="s">
        <v>5935</v>
      </c>
    </row>
    <row r="11" spans="1:6" x14ac:dyDescent="0.35">
      <c r="C11" s="127" t="s">
        <v>83</v>
      </c>
      <c r="D11" s="127" t="s">
        <v>5935</v>
      </c>
      <c r="F11" s="127" t="s">
        <v>5935</v>
      </c>
    </row>
    <row r="12" spans="1:6" x14ac:dyDescent="0.35">
      <c r="C12" s="127" t="s">
        <v>61</v>
      </c>
    </row>
    <row r="13" spans="1:6" x14ac:dyDescent="0.35">
      <c r="C13" s="127" t="s">
        <v>61</v>
      </c>
    </row>
    <row r="14" spans="1:6" x14ac:dyDescent="0.35">
      <c r="C14" s="127" t="s">
        <v>62</v>
      </c>
      <c r="D14" s="127" t="s">
        <v>5935</v>
      </c>
      <c r="F14" s="127" t="s">
        <v>5935</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2"/>
  <sheetViews>
    <sheetView workbookViewId="0"/>
  </sheetViews>
  <sheetFormatPr defaultRowHeight="14.5" x14ac:dyDescent="0.35"/>
  <sheetData>
    <row r="1" spans="1:5" x14ac:dyDescent="0.35">
      <c r="A1" s="127" t="s">
        <v>6011</v>
      </c>
      <c r="B1" s="127" t="s">
        <v>22</v>
      </c>
    </row>
    <row r="2" spans="1:5" x14ac:dyDescent="0.35">
      <c r="A2" s="127" t="s">
        <v>22</v>
      </c>
    </row>
    <row r="3" spans="1:5" x14ac:dyDescent="0.35">
      <c r="C3" s="127" t="s">
        <v>86</v>
      </c>
    </row>
    <row r="5" spans="1:5" x14ac:dyDescent="0.35">
      <c r="D5" s="127" t="s">
        <v>88</v>
      </c>
      <c r="E5" s="127" t="s">
        <v>5937</v>
      </c>
    </row>
    <row r="6" spans="1:5" x14ac:dyDescent="0.35">
      <c r="E6" s="127" t="s">
        <v>5938</v>
      </c>
    </row>
    <row r="8" spans="1:5" x14ac:dyDescent="0.35">
      <c r="C8" s="127" t="s">
        <v>87</v>
      </c>
      <c r="D8" s="127" t="s">
        <v>78</v>
      </c>
      <c r="E8" s="127" t="s">
        <v>80</v>
      </c>
    </row>
    <row r="9" spans="1:5" x14ac:dyDescent="0.35">
      <c r="C9" s="127" t="s">
        <v>5939</v>
      </c>
      <c r="D9" s="127" t="s">
        <v>5940</v>
      </c>
      <c r="E9" s="127" t="s">
        <v>5941</v>
      </c>
    </row>
    <row r="10" spans="1:5" x14ac:dyDescent="0.35">
      <c r="C10" s="127" t="s">
        <v>5942</v>
      </c>
      <c r="D10" s="127" t="s">
        <v>5943</v>
      </c>
      <c r="E10" s="127" t="s">
        <v>5944</v>
      </c>
    </row>
    <row r="11" spans="1:5" x14ac:dyDescent="0.35">
      <c r="C11" s="127" t="s">
        <v>5945</v>
      </c>
      <c r="D11" s="127" t="s">
        <v>5946</v>
      </c>
      <c r="E11" s="127" t="s">
        <v>5947</v>
      </c>
    </row>
    <row r="12" spans="1:5" x14ac:dyDescent="0.35">
      <c r="C12" s="127" t="s">
        <v>5948</v>
      </c>
      <c r="D12" s="127" t="s">
        <v>5949</v>
      </c>
      <c r="E12" s="127" t="s">
        <v>5950</v>
      </c>
    </row>
    <row r="13" spans="1:5" x14ac:dyDescent="0.35">
      <c r="C13" s="127" t="s">
        <v>5951</v>
      </c>
      <c r="D13" s="127" t="s">
        <v>5952</v>
      </c>
      <c r="E13" s="127" t="s">
        <v>5953</v>
      </c>
    </row>
    <row r="14" spans="1:5" x14ac:dyDescent="0.35">
      <c r="C14" s="127" t="s">
        <v>5954</v>
      </c>
      <c r="D14" s="127" t="s">
        <v>5955</v>
      </c>
      <c r="E14" s="127" t="s">
        <v>5956</v>
      </c>
    </row>
    <row r="15" spans="1:5" x14ac:dyDescent="0.35">
      <c r="C15" s="127" t="s">
        <v>5957</v>
      </c>
      <c r="D15" s="127" t="s">
        <v>5958</v>
      </c>
      <c r="E15" s="127" t="s">
        <v>5959</v>
      </c>
    </row>
    <row r="16" spans="1:5" x14ac:dyDescent="0.35">
      <c r="C16" s="127" t="s">
        <v>5960</v>
      </c>
      <c r="D16" s="127" t="s">
        <v>5961</v>
      </c>
      <c r="E16" s="127" t="s">
        <v>5962</v>
      </c>
    </row>
    <row r="17" spans="3:5" x14ac:dyDescent="0.35">
      <c r="C17" s="127" t="s">
        <v>5963</v>
      </c>
      <c r="D17" s="127" t="s">
        <v>5964</v>
      </c>
      <c r="E17" s="127" t="s">
        <v>5965</v>
      </c>
    </row>
    <row r="18" spans="3:5" x14ac:dyDescent="0.35">
      <c r="C18" s="127" t="s">
        <v>5966</v>
      </c>
      <c r="D18" s="127" t="s">
        <v>5967</v>
      </c>
      <c r="E18" s="127" t="s">
        <v>5968</v>
      </c>
    </row>
    <row r="19" spans="3:5" x14ac:dyDescent="0.35">
      <c r="C19" s="127" t="s">
        <v>5969</v>
      </c>
      <c r="D19" s="127" t="s">
        <v>5970</v>
      </c>
      <c r="E19" s="127" t="s">
        <v>5971</v>
      </c>
    </row>
    <row r="20" spans="3:5" x14ac:dyDescent="0.35">
      <c r="C20" s="127" t="s">
        <v>5972</v>
      </c>
      <c r="D20" s="127" t="s">
        <v>5973</v>
      </c>
      <c r="E20" s="127" t="s">
        <v>5974</v>
      </c>
    </row>
    <row r="21" spans="3:5" x14ac:dyDescent="0.35">
      <c r="C21" s="127" t="s">
        <v>5975</v>
      </c>
      <c r="D21" s="127" t="s">
        <v>5976</v>
      </c>
      <c r="E21" s="127" t="s">
        <v>5977</v>
      </c>
    </row>
    <row r="22" spans="3:5" x14ac:dyDescent="0.35">
      <c r="C22" s="127" t="s">
        <v>5978</v>
      </c>
      <c r="D22" s="127" t="s">
        <v>5979</v>
      </c>
      <c r="E22" s="127" t="s">
        <v>5980</v>
      </c>
    </row>
    <row r="23" spans="3:5" x14ac:dyDescent="0.35">
      <c r="C23" s="127" t="s">
        <v>5981</v>
      </c>
      <c r="D23" s="127" t="s">
        <v>5982</v>
      </c>
      <c r="E23" s="127" t="s">
        <v>5983</v>
      </c>
    </row>
    <row r="24" spans="3:5" x14ac:dyDescent="0.35">
      <c r="C24" s="127" t="s">
        <v>5984</v>
      </c>
      <c r="D24" s="127" t="s">
        <v>5985</v>
      </c>
      <c r="E24" s="127" t="s">
        <v>5986</v>
      </c>
    </row>
    <row r="25" spans="3:5" x14ac:dyDescent="0.35">
      <c r="C25" s="127" t="s">
        <v>5987</v>
      </c>
      <c r="D25" s="127" t="s">
        <v>5988</v>
      </c>
      <c r="E25" s="127" t="s">
        <v>5989</v>
      </c>
    </row>
    <row r="26" spans="3:5" x14ac:dyDescent="0.35">
      <c r="C26" s="127" t="s">
        <v>5990</v>
      </c>
      <c r="D26" s="127" t="s">
        <v>5991</v>
      </c>
      <c r="E26" s="127" t="s">
        <v>5992</v>
      </c>
    </row>
    <row r="27" spans="3:5" x14ac:dyDescent="0.35">
      <c r="C27" s="127" t="s">
        <v>5993</v>
      </c>
      <c r="D27" s="127" t="s">
        <v>5994</v>
      </c>
      <c r="E27" s="127" t="s">
        <v>5995</v>
      </c>
    </row>
    <row r="28" spans="3:5" x14ac:dyDescent="0.35">
      <c r="C28" s="127" t="s">
        <v>5996</v>
      </c>
      <c r="D28" s="127" t="s">
        <v>5997</v>
      </c>
      <c r="E28" s="127" t="s">
        <v>5998</v>
      </c>
    </row>
    <row r="29" spans="3:5" x14ac:dyDescent="0.35">
      <c r="C29" s="127" t="s">
        <v>5999</v>
      </c>
      <c r="D29" s="127" t="s">
        <v>6000</v>
      </c>
      <c r="E29" s="127" t="s">
        <v>6001</v>
      </c>
    </row>
    <row r="30" spans="3:5" x14ac:dyDescent="0.35">
      <c r="C30" s="127" t="s">
        <v>6002</v>
      </c>
      <c r="D30" s="127" t="s">
        <v>6003</v>
      </c>
      <c r="E30" s="127" t="s">
        <v>6004</v>
      </c>
    </row>
    <row r="31" spans="3:5" x14ac:dyDescent="0.35">
      <c r="C31" s="127" t="s">
        <v>6005</v>
      </c>
      <c r="D31" s="127" t="s">
        <v>6006</v>
      </c>
      <c r="E31" s="127" t="s">
        <v>6007</v>
      </c>
    </row>
    <row r="32" spans="3:5" x14ac:dyDescent="0.35">
      <c r="C32" s="127" t="s">
        <v>6008</v>
      </c>
      <c r="D32" s="127" t="s">
        <v>6009</v>
      </c>
      <c r="E32" s="127" t="s">
        <v>6010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2"/>
  <sheetViews>
    <sheetView workbookViewId="0"/>
  </sheetViews>
  <sheetFormatPr defaultRowHeight="14.5" x14ac:dyDescent="0.35"/>
  <sheetData>
    <row r="1" spans="1:5" x14ac:dyDescent="0.35">
      <c r="A1" s="127" t="s">
        <v>6011</v>
      </c>
      <c r="B1" s="127" t="s">
        <v>22</v>
      </c>
    </row>
    <row r="2" spans="1:5" x14ac:dyDescent="0.35">
      <c r="A2" s="127" t="s">
        <v>22</v>
      </c>
    </row>
    <row r="3" spans="1:5" x14ac:dyDescent="0.35">
      <c r="C3" s="127" t="s">
        <v>86</v>
      </c>
    </row>
    <row r="5" spans="1:5" x14ac:dyDescent="0.35">
      <c r="D5" s="127" t="s">
        <v>88</v>
      </c>
      <c r="E5" s="127" t="s">
        <v>5937</v>
      </c>
    </row>
    <row r="6" spans="1:5" x14ac:dyDescent="0.35">
      <c r="E6" s="127" t="s">
        <v>5938</v>
      </c>
    </row>
    <row r="8" spans="1:5" x14ac:dyDescent="0.35">
      <c r="C8" s="127" t="s">
        <v>87</v>
      </c>
      <c r="D8" s="127" t="s">
        <v>78</v>
      </c>
      <c r="E8" s="127" t="s">
        <v>80</v>
      </c>
    </row>
    <row r="9" spans="1:5" x14ac:dyDescent="0.35">
      <c r="C9" s="127" t="s">
        <v>5939</v>
      </c>
      <c r="D9" s="127" t="s">
        <v>5940</v>
      </c>
      <c r="E9" s="127" t="s">
        <v>5941</v>
      </c>
    </row>
    <row r="10" spans="1:5" x14ac:dyDescent="0.35">
      <c r="C10" s="127" t="s">
        <v>5942</v>
      </c>
      <c r="D10" s="127" t="s">
        <v>5943</v>
      </c>
      <c r="E10" s="127" t="s">
        <v>5944</v>
      </c>
    </row>
    <row r="11" spans="1:5" x14ac:dyDescent="0.35">
      <c r="C11" s="127" t="s">
        <v>5945</v>
      </c>
      <c r="D11" s="127" t="s">
        <v>5946</v>
      </c>
      <c r="E11" s="127" t="s">
        <v>5947</v>
      </c>
    </row>
    <row r="12" spans="1:5" x14ac:dyDescent="0.35">
      <c r="C12" s="127" t="s">
        <v>5948</v>
      </c>
      <c r="D12" s="127" t="s">
        <v>5949</v>
      </c>
      <c r="E12" s="127" t="s">
        <v>5950</v>
      </c>
    </row>
    <row r="13" spans="1:5" x14ac:dyDescent="0.35">
      <c r="C13" s="127" t="s">
        <v>5951</v>
      </c>
      <c r="D13" s="127" t="s">
        <v>5952</v>
      </c>
      <c r="E13" s="127" t="s">
        <v>5953</v>
      </c>
    </row>
    <row r="14" spans="1:5" x14ac:dyDescent="0.35">
      <c r="C14" s="127" t="s">
        <v>5954</v>
      </c>
      <c r="D14" s="127" t="s">
        <v>5955</v>
      </c>
      <c r="E14" s="127" t="s">
        <v>5956</v>
      </c>
    </row>
    <row r="15" spans="1:5" x14ac:dyDescent="0.35">
      <c r="C15" s="127" t="s">
        <v>5957</v>
      </c>
      <c r="D15" s="127" t="s">
        <v>5958</v>
      </c>
      <c r="E15" s="127" t="s">
        <v>5959</v>
      </c>
    </row>
    <row r="16" spans="1:5" x14ac:dyDescent="0.35">
      <c r="C16" s="127" t="s">
        <v>5960</v>
      </c>
      <c r="D16" s="127" t="s">
        <v>5961</v>
      </c>
      <c r="E16" s="127" t="s">
        <v>5962</v>
      </c>
    </row>
    <row r="17" spans="3:5" x14ac:dyDescent="0.35">
      <c r="C17" s="127" t="s">
        <v>5963</v>
      </c>
      <c r="D17" s="127" t="s">
        <v>5964</v>
      </c>
      <c r="E17" s="127" t="s">
        <v>5965</v>
      </c>
    </row>
    <row r="18" spans="3:5" x14ac:dyDescent="0.35">
      <c r="C18" s="127" t="s">
        <v>5966</v>
      </c>
      <c r="D18" s="127" t="s">
        <v>5967</v>
      </c>
      <c r="E18" s="127" t="s">
        <v>5968</v>
      </c>
    </row>
    <row r="19" spans="3:5" x14ac:dyDescent="0.35">
      <c r="C19" s="127" t="s">
        <v>5969</v>
      </c>
      <c r="D19" s="127" t="s">
        <v>5970</v>
      </c>
      <c r="E19" s="127" t="s">
        <v>5971</v>
      </c>
    </row>
    <row r="20" spans="3:5" x14ac:dyDescent="0.35">
      <c r="C20" s="127" t="s">
        <v>5972</v>
      </c>
      <c r="D20" s="127" t="s">
        <v>5973</v>
      </c>
      <c r="E20" s="127" t="s">
        <v>5974</v>
      </c>
    </row>
    <row r="21" spans="3:5" x14ac:dyDescent="0.35">
      <c r="C21" s="127" t="s">
        <v>5975</v>
      </c>
      <c r="D21" s="127" t="s">
        <v>5976</v>
      </c>
      <c r="E21" s="127" t="s">
        <v>5977</v>
      </c>
    </row>
    <row r="22" spans="3:5" x14ac:dyDescent="0.35">
      <c r="C22" s="127" t="s">
        <v>5978</v>
      </c>
      <c r="D22" s="127" t="s">
        <v>5979</v>
      </c>
      <c r="E22" s="127" t="s">
        <v>5980</v>
      </c>
    </row>
    <row r="23" spans="3:5" x14ac:dyDescent="0.35">
      <c r="C23" s="127" t="s">
        <v>5981</v>
      </c>
      <c r="D23" s="127" t="s">
        <v>5982</v>
      </c>
      <c r="E23" s="127" t="s">
        <v>5983</v>
      </c>
    </row>
    <row r="24" spans="3:5" x14ac:dyDescent="0.35">
      <c r="C24" s="127" t="s">
        <v>5984</v>
      </c>
      <c r="D24" s="127" t="s">
        <v>5985</v>
      </c>
      <c r="E24" s="127" t="s">
        <v>5986</v>
      </c>
    </row>
    <row r="25" spans="3:5" x14ac:dyDescent="0.35">
      <c r="C25" s="127" t="s">
        <v>5987</v>
      </c>
      <c r="D25" s="127" t="s">
        <v>5988</v>
      </c>
      <c r="E25" s="127" t="s">
        <v>5989</v>
      </c>
    </row>
    <row r="26" spans="3:5" x14ac:dyDescent="0.35">
      <c r="C26" s="127" t="s">
        <v>5990</v>
      </c>
      <c r="D26" s="127" t="s">
        <v>5991</v>
      </c>
      <c r="E26" s="127" t="s">
        <v>5992</v>
      </c>
    </row>
    <row r="27" spans="3:5" x14ac:dyDescent="0.35">
      <c r="C27" s="127" t="s">
        <v>5993</v>
      </c>
      <c r="D27" s="127" t="s">
        <v>5994</v>
      </c>
      <c r="E27" s="127" t="s">
        <v>5995</v>
      </c>
    </row>
    <row r="28" spans="3:5" x14ac:dyDescent="0.35">
      <c r="C28" s="127" t="s">
        <v>5996</v>
      </c>
      <c r="D28" s="127" t="s">
        <v>5997</v>
      </c>
      <c r="E28" s="127" t="s">
        <v>5998</v>
      </c>
    </row>
    <row r="29" spans="3:5" x14ac:dyDescent="0.35">
      <c r="C29" s="127" t="s">
        <v>5999</v>
      </c>
      <c r="D29" s="127" t="s">
        <v>6000</v>
      </c>
      <c r="E29" s="127" t="s">
        <v>6001</v>
      </c>
    </row>
    <row r="30" spans="3:5" x14ac:dyDescent="0.35">
      <c r="C30" s="127" t="s">
        <v>6002</v>
      </c>
      <c r="D30" s="127" t="s">
        <v>6003</v>
      </c>
      <c r="E30" s="127" t="s">
        <v>6004</v>
      </c>
    </row>
    <row r="31" spans="3:5" x14ac:dyDescent="0.35">
      <c r="C31" s="127" t="s">
        <v>6005</v>
      </c>
      <c r="D31" s="127" t="s">
        <v>6006</v>
      </c>
      <c r="E31" s="127" t="s">
        <v>6007</v>
      </c>
    </row>
    <row r="32" spans="3:5" x14ac:dyDescent="0.35">
      <c r="C32" s="127" t="s">
        <v>6008</v>
      </c>
      <c r="D32" s="127" t="s">
        <v>6009</v>
      </c>
      <c r="E32" s="127" t="s">
        <v>6010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9"/>
  <sheetViews>
    <sheetView workbookViewId="0"/>
  </sheetViews>
  <sheetFormatPr defaultRowHeight="14.5" x14ac:dyDescent="0.35"/>
  <sheetData>
    <row r="1" spans="1:15" x14ac:dyDescent="0.35">
      <c r="A1" s="127" t="s">
        <v>6062</v>
      </c>
      <c r="B1" s="127" t="s">
        <v>22</v>
      </c>
      <c r="C1" s="127" t="s">
        <v>22</v>
      </c>
      <c r="D1" s="127" t="s">
        <v>22</v>
      </c>
      <c r="E1" s="127" t="s">
        <v>22</v>
      </c>
      <c r="F1" s="127" t="s">
        <v>22</v>
      </c>
      <c r="G1" s="127" t="s">
        <v>22</v>
      </c>
      <c r="H1" s="127" t="s">
        <v>22</v>
      </c>
      <c r="I1" s="127" t="s">
        <v>22</v>
      </c>
      <c r="J1" s="127" t="s">
        <v>22</v>
      </c>
    </row>
    <row r="2" spans="1:15" x14ac:dyDescent="0.35">
      <c r="K2" s="127" t="s">
        <v>91</v>
      </c>
    </row>
    <row r="3" spans="1:15" x14ac:dyDescent="0.35">
      <c r="M3" s="127" t="s">
        <v>88</v>
      </c>
      <c r="N3" s="127" t="s">
        <v>318</v>
      </c>
    </row>
    <row r="4" spans="1:15" x14ac:dyDescent="0.35">
      <c r="F4" s="127" t="s">
        <v>103</v>
      </c>
      <c r="K4" s="127" t="s">
        <v>92</v>
      </c>
    </row>
    <row r="5" spans="1:15" x14ac:dyDescent="0.35">
      <c r="C5" s="127" t="s">
        <v>95</v>
      </c>
      <c r="D5" s="127" t="s">
        <v>104</v>
      </c>
      <c r="F5" s="127" t="s">
        <v>93</v>
      </c>
      <c r="G5" s="127" t="s">
        <v>94</v>
      </c>
      <c r="H5" s="127" t="s">
        <v>95</v>
      </c>
      <c r="I5" s="127" t="s">
        <v>96</v>
      </c>
      <c r="K5" s="127" t="s">
        <v>93</v>
      </c>
      <c r="L5" s="127" t="s">
        <v>94</v>
      </c>
      <c r="M5" s="127" t="s">
        <v>95</v>
      </c>
      <c r="N5" s="127" t="s">
        <v>96</v>
      </c>
      <c r="O5" s="127" t="s">
        <v>38</v>
      </c>
    </row>
    <row r="6" spans="1:15" ht="217.5" x14ac:dyDescent="0.35">
      <c r="C6" s="127" t="s">
        <v>97</v>
      </c>
      <c r="D6" s="127" t="s">
        <v>105</v>
      </c>
      <c r="F6" s="127" t="s">
        <v>6012</v>
      </c>
      <c r="G6" s="127" t="s">
        <v>6013</v>
      </c>
      <c r="H6" s="127" t="s">
        <v>6014</v>
      </c>
      <c r="I6" s="127" t="s">
        <v>6015</v>
      </c>
      <c r="O6" s="128" t="s">
        <v>6016</v>
      </c>
    </row>
    <row r="7" spans="1:15" ht="217.5" x14ac:dyDescent="0.35">
      <c r="C7" s="127" t="s">
        <v>98</v>
      </c>
      <c r="D7" s="127" t="s">
        <v>105</v>
      </c>
      <c r="F7" s="127" t="s">
        <v>6017</v>
      </c>
      <c r="G7" s="127" t="s">
        <v>6018</v>
      </c>
      <c r="H7" s="127" t="s">
        <v>6019</v>
      </c>
      <c r="I7" s="127" t="s">
        <v>6020</v>
      </c>
      <c r="O7" s="128" t="s">
        <v>6021</v>
      </c>
    </row>
    <row r="8" spans="1:15" ht="217.5" x14ac:dyDescent="0.35">
      <c r="C8" s="127" t="s">
        <v>99</v>
      </c>
      <c r="D8" s="127" t="s">
        <v>106</v>
      </c>
      <c r="F8" s="127" t="s">
        <v>6022</v>
      </c>
      <c r="G8" s="127" t="s">
        <v>6023</v>
      </c>
      <c r="H8" s="127" t="s">
        <v>6024</v>
      </c>
      <c r="I8" s="127" t="s">
        <v>6025</v>
      </c>
      <c r="O8" s="128" t="s">
        <v>6026</v>
      </c>
    </row>
    <row r="9" spans="1:15" ht="217.5" x14ac:dyDescent="0.35">
      <c r="C9" s="127" t="s">
        <v>100</v>
      </c>
      <c r="D9" s="127" t="s">
        <v>106</v>
      </c>
      <c r="F9" s="127" t="s">
        <v>6027</v>
      </c>
      <c r="G9" s="127" t="s">
        <v>6028</v>
      </c>
      <c r="H9" s="127" t="s">
        <v>6029</v>
      </c>
      <c r="I9" s="127" t="s">
        <v>6030</v>
      </c>
      <c r="O9" s="128" t="s">
        <v>6031</v>
      </c>
    </row>
    <row r="10" spans="1:15" ht="217.5" x14ac:dyDescent="0.35">
      <c r="C10" s="127" t="s">
        <v>101</v>
      </c>
      <c r="D10" s="127" t="s">
        <v>106</v>
      </c>
      <c r="F10" s="127" t="s">
        <v>6032</v>
      </c>
      <c r="G10" s="127" t="s">
        <v>6033</v>
      </c>
      <c r="H10" s="127" t="s">
        <v>6034</v>
      </c>
      <c r="I10" s="127" t="s">
        <v>6035</v>
      </c>
      <c r="O10" s="128" t="s">
        <v>6036</v>
      </c>
    </row>
    <row r="11" spans="1:15" x14ac:dyDescent="0.35">
      <c r="C11" s="127" t="s">
        <v>102</v>
      </c>
      <c r="D11" s="127" t="s">
        <v>105</v>
      </c>
    </row>
    <row r="13" spans="1:15" x14ac:dyDescent="0.35">
      <c r="F13" s="127" t="s">
        <v>103</v>
      </c>
      <c r="K13" s="127" t="s">
        <v>107</v>
      </c>
    </row>
    <row r="14" spans="1:15" x14ac:dyDescent="0.35">
      <c r="C14" s="127" t="s">
        <v>109</v>
      </c>
      <c r="D14" s="127" t="s">
        <v>104</v>
      </c>
      <c r="F14" s="127" t="s">
        <v>93</v>
      </c>
      <c r="G14" s="127" t="s">
        <v>94</v>
      </c>
      <c r="H14" s="127" t="s">
        <v>95</v>
      </c>
      <c r="I14" s="127" t="s">
        <v>96</v>
      </c>
      <c r="K14" s="127" t="s">
        <v>2</v>
      </c>
      <c r="L14" s="127" t="s">
        <v>108</v>
      </c>
      <c r="M14" s="127" t="s">
        <v>109</v>
      </c>
      <c r="N14" s="127" t="s">
        <v>96</v>
      </c>
      <c r="O14" s="127" t="s">
        <v>38</v>
      </c>
    </row>
    <row r="15" spans="1:15" ht="217.5" x14ac:dyDescent="0.35">
      <c r="C15" s="127" t="s">
        <v>110</v>
      </c>
      <c r="D15" s="127" t="s">
        <v>106</v>
      </c>
      <c r="F15" s="127" t="s">
        <v>6037</v>
      </c>
      <c r="G15" s="127" t="s">
        <v>6038</v>
      </c>
      <c r="H15" s="127" t="s">
        <v>6039</v>
      </c>
      <c r="I15" s="127" t="s">
        <v>6040</v>
      </c>
      <c r="O15" s="128" t="s">
        <v>6041</v>
      </c>
    </row>
    <row r="16" spans="1:15" ht="217.5" x14ac:dyDescent="0.35">
      <c r="C16" s="127" t="s">
        <v>111</v>
      </c>
      <c r="D16" s="127" t="s">
        <v>106</v>
      </c>
      <c r="F16" s="127" t="s">
        <v>6042</v>
      </c>
      <c r="G16" s="127" t="s">
        <v>6043</v>
      </c>
      <c r="H16" s="127" t="s">
        <v>6044</v>
      </c>
      <c r="I16" s="127" t="s">
        <v>6045</v>
      </c>
      <c r="O16" s="128" t="s">
        <v>6046</v>
      </c>
    </row>
    <row r="17" spans="3:15" ht="217.5" x14ac:dyDescent="0.35">
      <c r="C17" s="127" t="s">
        <v>112</v>
      </c>
      <c r="D17" s="127" t="s">
        <v>106</v>
      </c>
      <c r="F17" s="127" t="s">
        <v>6047</v>
      </c>
      <c r="G17" s="127" t="s">
        <v>6048</v>
      </c>
      <c r="H17" s="127" t="s">
        <v>6049</v>
      </c>
      <c r="I17" s="127" t="s">
        <v>6050</v>
      </c>
      <c r="O17" s="128" t="s">
        <v>6051</v>
      </c>
    </row>
    <row r="18" spans="3:15" ht="217.5" x14ac:dyDescent="0.35">
      <c r="C18" s="127" t="s">
        <v>102</v>
      </c>
      <c r="D18" s="127" t="s">
        <v>105</v>
      </c>
      <c r="F18" s="127" t="s">
        <v>6052</v>
      </c>
      <c r="G18" s="127" t="s">
        <v>6053</v>
      </c>
      <c r="H18" s="127" t="s">
        <v>6054</v>
      </c>
      <c r="I18" s="127" t="s">
        <v>6055</v>
      </c>
      <c r="O18" s="128" t="s">
        <v>6056</v>
      </c>
    </row>
    <row r="19" spans="3:15" ht="217.5" x14ac:dyDescent="0.35">
      <c r="F19" s="127" t="s">
        <v>6057</v>
      </c>
      <c r="G19" s="127" t="s">
        <v>6058</v>
      </c>
      <c r="H19" s="127" t="s">
        <v>6059</v>
      </c>
      <c r="I19" s="127" t="s">
        <v>6060</v>
      </c>
      <c r="O19" s="128" t="s">
        <v>6061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9"/>
  <sheetViews>
    <sheetView workbookViewId="0"/>
  </sheetViews>
  <sheetFormatPr defaultRowHeight="14.5" x14ac:dyDescent="0.35"/>
  <sheetData>
    <row r="1" spans="1:15" x14ac:dyDescent="0.35">
      <c r="A1" s="127" t="s">
        <v>6062</v>
      </c>
      <c r="B1" s="127" t="s">
        <v>22</v>
      </c>
      <c r="C1" s="127" t="s">
        <v>22</v>
      </c>
      <c r="D1" s="127" t="s">
        <v>22</v>
      </c>
      <c r="E1" s="127" t="s">
        <v>22</v>
      </c>
      <c r="F1" s="127" t="s">
        <v>22</v>
      </c>
      <c r="G1" s="127" t="s">
        <v>22</v>
      </c>
      <c r="H1" s="127" t="s">
        <v>22</v>
      </c>
      <c r="I1" s="127" t="s">
        <v>22</v>
      </c>
      <c r="J1" s="127" t="s">
        <v>22</v>
      </c>
    </row>
    <row r="2" spans="1:15" x14ac:dyDescent="0.35">
      <c r="K2" s="127" t="s">
        <v>91</v>
      </c>
    </row>
    <row r="3" spans="1:15" x14ac:dyDescent="0.35">
      <c r="M3" s="127" t="s">
        <v>88</v>
      </c>
      <c r="N3" s="127" t="s">
        <v>318</v>
      </c>
    </row>
    <row r="4" spans="1:15" x14ac:dyDescent="0.35">
      <c r="F4" s="127" t="s">
        <v>103</v>
      </c>
      <c r="K4" s="127" t="s">
        <v>92</v>
      </c>
    </row>
    <row r="5" spans="1:15" x14ac:dyDescent="0.35">
      <c r="C5" s="127" t="s">
        <v>95</v>
      </c>
      <c r="D5" s="127" t="s">
        <v>104</v>
      </c>
      <c r="F5" s="127" t="s">
        <v>93</v>
      </c>
      <c r="G5" s="127" t="s">
        <v>94</v>
      </c>
      <c r="H5" s="127" t="s">
        <v>95</v>
      </c>
      <c r="I5" s="127" t="s">
        <v>96</v>
      </c>
      <c r="K5" s="127" t="s">
        <v>93</v>
      </c>
      <c r="L5" s="127" t="s">
        <v>94</v>
      </c>
      <c r="M5" s="127" t="s">
        <v>95</v>
      </c>
      <c r="N5" s="127" t="s">
        <v>96</v>
      </c>
      <c r="O5" s="127" t="s">
        <v>38</v>
      </c>
    </row>
    <row r="6" spans="1:15" ht="217.5" x14ac:dyDescent="0.35">
      <c r="C6" s="127" t="s">
        <v>97</v>
      </c>
      <c r="D6" s="127" t="s">
        <v>105</v>
      </c>
      <c r="F6" s="127" t="s">
        <v>6012</v>
      </c>
      <c r="G6" s="127" t="s">
        <v>6013</v>
      </c>
      <c r="H6" s="127" t="s">
        <v>6014</v>
      </c>
      <c r="I6" s="127" t="s">
        <v>6015</v>
      </c>
      <c r="O6" s="128" t="s">
        <v>6016</v>
      </c>
    </row>
    <row r="7" spans="1:15" ht="217.5" x14ac:dyDescent="0.35">
      <c r="C7" s="127" t="s">
        <v>98</v>
      </c>
      <c r="D7" s="127" t="s">
        <v>105</v>
      </c>
      <c r="F7" s="127" t="s">
        <v>6017</v>
      </c>
      <c r="G7" s="127" t="s">
        <v>6018</v>
      </c>
      <c r="H7" s="127" t="s">
        <v>6019</v>
      </c>
      <c r="I7" s="127" t="s">
        <v>6020</v>
      </c>
      <c r="O7" s="128" t="s">
        <v>6021</v>
      </c>
    </row>
    <row r="8" spans="1:15" ht="217.5" x14ac:dyDescent="0.35">
      <c r="C8" s="127" t="s">
        <v>99</v>
      </c>
      <c r="D8" s="127" t="s">
        <v>106</v>
      </c>
      <c r="F8" s="127" t="s">
        <v>6022</v>
      </c>
      <c r="G8" s="127" t="s">
        <v>6023</v>
      </c>
      <c r="H8" s="127" t="s">
        <v>6024</v>
      </c>
      <c r="I8" s="127" t="s">
        <v>6025</v>
      </c>
      <c r="O8" s="128" t="s">
        <v>6026</v>
      </c>
    </row>
    <row r="9" spans="1:15" ht="217.5" x14ac:dyDescent="0.35">
      <c r="C9" s="127" t="s">
        <v>100</v>
      </c>
      <c r="D9" s="127" t="s">
        <v>106</v>
      </c>
      <c r="F9" s="127" t="s">
        <v>6027</v>
      </c>
      <c r="G9" s="127" t="s">
        <v>6028</v>
      </c>
      <c r="H9" s="127" t="s">
        <v>6029</v>
      </c>
      <c r="I9" s="127" t="s">
        <v>6030</v>
      </c>
      <c r="O9" s="128" t="s">
        <v>6031</v>
      </c>
    </row>
    <row r="10" spans="1:15" ht="217.5" x14ac:dyDescent="0.35">
      <c r="C10" s="127" t="s">
        <v>101</v>
      </c>
      <c r="D10" s="127" t="s">
        <v>106</v>
      </c>
      <c r="F10" s="127" t="s">
        <v>6032</v>
      </c>
      <c r="G10" s="127" t="s">
        <v>6033</v>
      </c>
      <c r="H10" s="127" t="s">
        <v>6034</v>
      </c>
      <c r="I10" s="127" t="s">
        <v>6035</v>
      </c>
      <c r="O10" s="128" t="s">
        <v>6036</v>
      </c>
    </row>
    <row r="11" spans="1:15" x14ac:dyDescent="0.35">
      <c r="C11" s="127" t="s">
        <v>102</v>
      </c>
      <c r="D11" s="127" t="s">
        <v>105</v>
      </c>
    </row>
    <row r="13" spans="1:15" x14ac:dyDescent="0.35">
      <c r="F13" s="127" t="s">
        <v>103</v>
      </c>
      <c r="K13" s="127" t="s">
        <v>107</v>
      </c>
    </row>
    <row r="14" spans="1:15" x14ac:dyDescent="0.35">
      <c r="C14" s="127" t="s">
        <v>109</v>
      </c>
      <c r="D14" s="127" t="s">
        <v>104</v>
      </c>
      <c r="F14" s="127" t="s">
        <v>93</v>
      </c>
      <c r="G14" s="127" t="s">
        <v>94</v>
      </c>
      <c r="H14" s="127" t="s">
        <v>95</v>
      </c>
      <c r="I14" s="127" t="s">
        <v>96</v>
      </c>
      <c r="K14" s="127" t="s">
        <v>2</v>
      </c>
      <c r="L14" s="127" t="s">
        <v>108</v>
      </c>
      <c r="M14" s="127" t="s">
        <v>109</v>
      </c>
      <c r="N14" s="127" t="s">
        <v>96</v>
      </c>
      <c r="O14" s="127" t="s">
        <v>38</v>
      </c>
    </row>
    <row r="15" spans="1:15" ht="217.5" x14ac:dyDescent="0.35">
      <c r="C15" s="127" t="s">
        <v>110</v>
      </c>
      <c r="D15" s="127" t="s">
        <v>106</v>
      </c>
      <c r="F15" s="127" t="s">
        <v>6037</v>
      </c>
      <c r="G15" s="127" t="s">
        <v>6038</v>
      </c>
      <c r="H15" s="127" t="s">
        <v>6039</v>
      </c>
      <c r="I15" s="127" t="s">
        <v>6040</v>
      </c>
      <c r="O15" s="128" t="s">
        <v>6041</v>
      </c>
    </row>
    <row r="16" spans="1:15" ht="217.5" x14ac:dyDescent="0.35">
      <c r="C16" s="127" t="s">
        <v>111</v>
      </c>
      <c r="D16" s="127" t="s">
        <v>106</v>
      </c>
      <c r="F16" s="127" t="s">
        <v>6042</v>
      </c>
      <c r="G16" s="127" t="s">
        <v>6043</v>
      </c>
      <c r="H16" s="127" t="s">
        <v>6044</v>
      </c>
      <c r="I16" s="127" t="s">
        <v>6045</v>
      </c>
      <c r="O16" s="128" t="s">
        <v>6046</v>
      </c>
    </row>
    <row r="17" spans="3:15" ht="217.5" x14ac:dyDescent="0.35">
      <c r="C17" s="127" t="s">
        <v>112</v>
      </c>
      <c r="D17" s="127" t="s">
        <v>106</v>
      </c>
      <c r="F17" s="127" t="s">
        <v>6047</v>
      </c>
      <c r="G17" s="127" t="s">
        <v>6048</v>
      </c>
      <c r="H17" s="127" t="s">
        <v>6049</v>
      </c>
      <c r="I17" s="127" t="s">
        <v>6050</v>
      </c>
      <c r="O17" s="128" t="s">
        <v>6051</v>
      </c>
    </row>
    <row r="18" spans="3:15" ht="217.5" x14ac:dyDescent="0.35">
      <c r="C18" s="127" t="s">
        <v>102</v>
      </c>
      <c r="D18" s="127" t="s">
        <v>105</v>
      </c>
      <c r="F18" s="127" t="s">
        <v>6052</v>
      </c>
      <c r="G18" s="127" t="s">
        <v>6053</v>
      </c>
      <c r="H18" s="127" t="s">
        <v>6054</v>
      </c>
      <c r="I18" s="127" t="s">
        <v>6055</v>
      </c>
      <c r="O18" s="128" t="s">
        <v>6056</v>
      </c>
    </row>
    <row r="19" spans="3:15" ht="217.5" x14ac:dyDescent="0.35">
      <c r="F19" s="127" t="s">
        <v>6057</v>
      </c>
      <c r="G19" s="127" t="s">
        <v>6058</v>
      </c>
      <c r="H19" s="127" t="s">
        <v>6059</v>
      </c>
      <c r="I19" s="127" t="s">
        <v>6060</v>
      </c>
      <c r="O19" s="128" t="s">
        <v>6061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heetViews>
  <sheetFormatPr defaultRowHeight="14.5" x14ac:dyDescent="0.35"/>
  <sheetData>
    <row r="1" spans="1:8" x14ac:dyDescent="0.35">
      <c r="A1" s="127" t="s">
        <v>6065</v>
      </c>
      <c r="E1" s="127" t="s">
        <v>23</v>
      </c>
      <c r="F1" s="127" t="s">
        <v>24</v>
      </c>
      <c r="H1" s="127" t="s">
        <v>25</v>
      </c>
    </row>
    <row r="3" spans="1:8" x14ac:dyDescent="0.35">
      <c r="B3" s="127" t="s">
        <v>38</v>
      </c>
    </row>
    <row r="7" spans="1:8" x14ac:dyDescent="0.35">
      <c r="E7" s="127" t="s">
        <v>26</v>
      </c>
      <c r="F7" s="127" t="s">
        <v>27</v>
      </c>
      <c r="G7" s="127" t="s">
        <v>28</v>
      </c>
      <c r="H7" s="127" t="s">
        <v>29</v>
      </c>
    </row>
    <row r="8" spans="1:8" x14ac:dyDescent="0.35">
      <c r="A8" s="127" t="s">
        <v>30</v>
      </c>
      <c r="E8" s="127" t="s">
        <v>1</v>
      </c>
      <c r="F8" s="127" t="s">
        <v>117</v>
      </c>
      <c r="G8" s="127" t="s">
        <v>31</v>
      </c>
      <c r="H8" s="127" t="s">
        <v>118</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56"/>
  <sheetViews>
    <sheetView workbookViewId="0"/>
  </sheetViews>
  <sheetFormatPr defaultRowHeight="14.5" x14ac:dyDescent="0.35"/>
  <sheetData>
    <row r="1" spans="1:64" x14ac:dyDescent="0.35">
      <c r="A1" s="127" t="s">
        <v>7420</v>
      </c>
      <c r="B1" s="127" t="s">
        <v>22</v>
      </c>
      <c r="C1" s="127" t="s">
        <v>22</v>
      </c>
      <c r="D1" s="127" t="s">
        <v>22</v>
      </c>
      <c r="E1" s="127" t="s">
        <v>22</v>
      </c>
      <c r="F1" s="127" t="s">
        <v>22</v>
      </c>
      <c r="G1" s="127" t="s">
        <v>22</v>
      </c>
      <c r="H1" s="127" t="s">
        <v>22</v>
      </c>
      <c r="I1" s="127" t="s">
        <v>22</v>
      </c>
      <c r="L1" s="127" t="s">
        <v>21</v>
      </c>
      <c r="M1" s="127" t="s">
        <v>22</v>
      </c>
      <c r="AN1" s="127" t="s">
        <v>22</v>
      </c>
      <c r="AO1" s="127" t="s">
        <v>22</v>
      </c>
      <c r="AP1" s="127" t="s">
        <v>22</v>
      </c>
      <c r="AQ1" s="127" t="s">
        <v>22</v>
      </c>
      <c r="AR1" s="127" t="s">
        <v>22</v>
      </c>
      <c r="AS1" s="127" t="s">
        <v>22</v>
      </c>
      <c r="AT1" s="127" t="s">
        <v>22</v>
      </c>
      <c r="AU1" s="127" t="s">
        <v>22</v>
      </c>
      <c r="AV1" s="127" t="s">
        <v>22</v>
      </c>
      <c r="AW1" s="127" t="s">
        <v>22</v>
      </c>
      <c r="AX1" s="127" t="s">
        <v>22</v>
      </c>
      <c r="AY1" s="127" t="s">
        <v>22</v>
      </c>
      <c r="AZ1" s="127" t="s">
        <v>22</v>
      </c>
      <c r="BA1" s="127" t="s">
        <v>22</v>
      </c>
      <c r="BB1" s="127" t="s">
        <v>22</v>
      </c>
      <c r="BC1" s="127" t="s">
        <v>22</v>
      </c>
      <c r="BD1" s="127" t="s">
        <v>22</v>
      </c>
      <c r="BE1" s="127" t="s">
        <v>22</v>
      </c>
      <c r="BF1" s="127" t="s">
        <v>22</v>
      </c>
      <c r="BG1" s="127" t="s">
        <v>22</v>
      </c>
      <c r="BH1" s="127" t="s">
        <v>22</v>
      </c>
      <c r="BI1" s="127" t="s">
        <v>22</v>
      </c>
      <c r="BJ1" s="127" t="s">
        <v>22</v>
      </c>
      <c r="BK1" s="127" t="s">
        <v>22</v>
      </c>
      <c r="BL1" s="127" t="s">
        <v>22</v>
      </c>
    </row>
    <row r="2" spans="1:64" x14ac:dyDescent="0.35">
      <c r="K2" s="127" t="s">
        <v>120</v>
      </c>
    </row>
    <row r="3" spans="1:64" x14ac:dyDescent="0.35">
      <c r="H3" s="127" t="s">
        <v>38</v>
      </c>
      <c r="J3" s="127" t="s">
        <v>0</v>
      </c>
      <c r="AO3" s="127" t="s">
        <v>35</v>
      </c>
    </row>
    <row r="4" spans="1:64" x14ac:dyDescent="0.35">
      <c r="H4" s="127" t="s">
        <v>121</v>
      </c>
      <c r="U4" s="127" t="s">
        <v>81</v>
      </c>
      <c r="AO4" s="127" t="s">
        <v>58</v>
      </c>
    </row>
    <row r="5" spans="1:64" x14ac:dyDescent="0.35">
      <c r="F5" s="127" t="s">
        <v>47</v>
      </c>
      <c r="K5" s="127" t="s">
        <v>1</v>
      </c>
      <c r="L5" s="127" t="s">
        <v>122</v>
      </c>
      <c r="M5" s="127" t="s">
        <v>123</v>
      </c>
      <c r="U5" s="127" t="s">
        <v>71</v>
      </c>
      <c r="AO5" s="127" t="s">
        <v>36</v>
      </c>
    </row>
    <row r="6" spans="1:64" x14ac:dyDescent="0.35">
      <c r="F6" s="127" t="s">
        <v>46</v>
      </c>
      <c r="K6" s="127" t="s">
        <v>44</v>
      </c>
      <c r="L6" s="127" t="s">
        <v>45</v>
      </c>
      <c r="M6" s="127" t="s">
        <v>124</v>
      </c>
    </row>
    <row r="8" spans="1:64" x14ac:dyDescent="0.35">
      <c r="A8" s="127" t="s">
        <v>22</v>
      </c>
      <c r="D8" s="127" t="s">
        <v>115</v>
      </c>
      <c r="M8" s="127" t="s">
        <v>125</v>
      </c>
      <c r="N8" s="127" t="s">
        <v>126</v>
      </c>
      <c r="O8" s="127" t="s">
        <v>127</v>
      </c>
      <c r="P8" s="127" t="s">
        <v>128</v>
      </c>
      <c r="Q8" s="127" t="s">
        <v>129</v>
      </c>
      <c r="R8" s="127" t="s">
        <v>130</v>
      </c>
      <c r="S8" s="127" t="s">
        <v>131</v>
      </c>
      <c r="T8" s="127" t="s">
        <v>132</v>
      </c>
      <c r="U8" s="127" t="s">
        <v>133</v>
      </c>
      <c r="V8" s="127" t="s">
        <v>134</v>
      </c>
      <c r="W8" s="127" t="s">
        <v>135</v>
      </c>
      <c r="X8" s="127" t="s">
        <v>136</v>
      </c>
      <c r="Y8" s="127" t="s">
        <v>137</v>
      </c>
      <c r="Z8" s="127" t="s">
        <v>138</v>
      </c>
      <c r="AA8" s="127" t="s">
        <v>139</v>
      </c>
      <c r="AB8" s="127" t="s">
        <v>140</v>
      </c>
      <c r="AC8" s="127" t="s">
        <v>141</v>
      </c>
      <c r="AD8" s="127" t="s">
        <v>142</v>
      </c>
      <c r="AE8" s="127" t="s">
        <v>143</v>
      </c>
      <c r="AF8" s="127" t="s">
        <v>144</v>
      </c>
      <c r="AG8" s="127" t="s">
        <v>145</v>
      </c>
      <c r="AH8" s="127" t="s">
        <v>146</v>
      </c>
      <c r="AI8" s="127" t="s">
        <v>147</v>
      </c>
      <c r="AJ8" s="127" t="s">
        <v>148</v>
      </c>
      <c r="AK8" s="127" t="s">
        <v>149</v>
      </c>
    </row>
    <row r="9" spans="1:64" ht="87" x14ac:dyDescent="0.35">
      <c r="A9" s="127" t="s">
        <v>22</v>
      </c>
      <c r="D9" s="127" t="s">
        <v>72</v>
      </c>
      <c r="M9" s="127" t="s">
        <v>150</v>
      </c>
      <c r="N9" s="127" t="s">
        <v>151</v>
      </c>
      <c r="O9" s="128" t="s">
        <v>152</v>
      </c>
      <c r="P9" s="128" t="s">
        <v>153</v>
      </c>
      <c r="Q9" s="128" t="s">
        <v>154</v>
      </c>
      <c r="R9" s="128" t="s">
        <v>155</v>
      </c>
      <c r="S9" s="128" t="s">
        <v>156</v>
      </c>
      <c r="T9" s="128" t="s">
        <v>157</v>
      </c>
      <c r="U9" s="128" t="s">
        <v>158</v>
      </c>
      <c r="V9" s="128" t="s">
        <v>159</v>
      </c>
      <c r="W9" s="128" t="s">
        <v>160</v>
      </c>
      <c r="X9" s="128" t="s">
        <v>161</v>
      </c>
      <c r="Y9" s="128" t="s">
        <v>162</v>
      </c>
      <c r="Z9" s="128" t="s">
        <v>163</v>
      </c>
      <c r="AA9" s="128" t="s">
        <v>164</v>
      </c>
      <c r="AB9" s="128" t="s">
        <v>165</v>
      </c>
      <c r="AC9" s="128" t="s">
        <v>166</v>
      </c>
      <c r="AD9" s="128" t="s">
        <v>167</v>
      </c>
      <c r="AE9" s="128" t="s">
        <v>168</v>
      </c>
      <c r="AF9" s="128" t="s">
        <v>169</v>
      </c>
      <c r="AG9" s="128" t="s">
        <v>170</v>
      </c>
      <c r="AH9" s="128" t="s">
        <v>171</v>
      </c>
      <c r="AI9" s="128" t="s">
        <v>172</v>
      </c>
      <c r="AJ9" s="128" t="s">
        <v>173</v>
      </c>
      <c r="AK9" s="128" t="s">
        <v>174</v>
      </c>
    </row>
    <row r="10" spans="1:64" x14ac:dyDescent="0.35">
      <c r="C10" s="127" t="s">
        <v>116</v>
      </c>
      <c r="D10" s="127" t="s">
        <v>43</v>
      </c>
      <c r="E10" s="127" t="s">
        <v>39</v>
      </c>
      <c r="F10" s="127" t="s">
        <v>40</v>
      </c>
      <c r="G10" s="127" t="s">
        <v>41</v>
      </c>
      <c r="H10" s="127" t="s">
        <v>42</v>
      </c>
      <c r="K10" s="127" t="s">
        <v>2</v>
      </c>
      <c r="L10" s="127" t="s">
        <v>3</v>
      </c>
      <c r="N10" s="127" t="s">
        <v>175</v>
      </c>
      <c r="T10" s="127" t="s">
        <v>176</v>
      </c>
      <c r="AF10" s="127" t="s">
        <v>177</v>
      </c>
      <c r="AL10" s="127" t="s">
        <v>82</v>
      </c>
      <c r="AO10" s="127" t="s">
        <v>178</v>
      </c>
      <c r="AU10" s="127" t="s">
        <v>179</v>
      </c>
      <c r="BG10" s="127" t="s">
        <v>180</v>
      </c>
    </row>
    <row r="11" spans="1:64" x14ac:dyDescent="0.35">
      <c r="D11" s="127" t="s">
        <v>181</v>
      </c>
      <c r="E11" s="127" t="s">
        <v>182</v>
      </c>
      <c r="F11" s="127" t="s">
        <v>183</v>
      </c>
      <c r="G11" s="127" t="s">
        <v>184</v>
      </c>
      <c r="H11" s="127" t="s">
        <v>6067</v>
      </c>
      <c r="M11" s="127" t="s">
        <v>4</v>
      </c>
      <c r="N11" s="127" t="s">
        <v>186</v>
      </c>
      <c r="O11" s="127" t="s">
        <v>187</v>
      </c>
      <c r="P11" s="127" t="s">
        <v>188</v>
      </c>
      <c r="Q11" s="127" t="s">
        <v>189</v>
      </c>
      <c r="R11" s="127" t="s">
        <v>190</v>
      </c>
      <c r="S11" s="127" t="s">
        <v>191</v>
      </c>
      <c r="T11" s="127" t="s">
        <v>192</v>
      </c>
      <c r="U11" s="127" t="s">
        <v>193</v>
      </c>
      <c r="V11" s="127" t="s">
        <v>194</v>
      </c>
      <c r="W11" s="127" t="s">
        <v>195</v>
      </c>
      <c r="X11" s="127" t="s">
        <v>196</v>
      </c>
      <c r="Y11" s="127" t="s">
        <v>197</v>
      </c>
      <c r="Z11" s="127" t="s">
        <v>198</v>
      </c>
      <c r="AA11" s="127" t="s">
        <v>199</v>
      </c>
      <c r="AB11" s="127" t="s">
        <v>200</v>
      </c>
      <c r="AC11" s="127" t="s">
        <v>201</v>
      </c>
      <c r="AD11" s="127" t="s">
        <v>202</v>
      </c>
      <c r="AE11" s="127" t="s">
        <v>203</v>
      </c>
      <c r="AF11" s="127" t="s">
        <v>204</v>
      </c>
      <c r="AG11" s="127" t="s">
        <v>205</v>
      </c>
      <c r="AH11" s="127" t="s">
        <v>206</v>
      </c>
      <c r="AI11" s="127" t="s">
        <v>207</v>
      </c>
      <c r="AJ11" s="127" t="s">
        <v>208</v>
      </c>
      <c r="AK11" s="127" t="s">
        <v>209</v>
      </c>
      <c r="AO11" s="127" t="s">
        <v>186</v>
      </c>
      <c r="AP11" s="127" t="s">
        <v>187</v>
      </c>
      <c r="AQ11" s="127" t="s">
        <v>188</v>
      </c>
      <c r="AR11" s="127" t="s">
        <v>189</v>
      </c>
      <c r="AS11" s="127" t="s">
        <v>190</v>
      </c>
      <c r="AT11" s="127" t="s">
        <v>191</v>
      </c>
      <c r="AU11" s="127" t="s">
        <v>192</v>
      </c>
      <c r="AV11" s="127" t="s">
        <v>193</v>
      </c>
      <c r="AW11" s="127" t="s">
        <v>194</v>
      </c>
      <c r="AX11" s="127" t="s">
        <v>195</v>
      </c>
      <c r="AY11" s="127" t="s">
        <v>196</v>
      </c>
      <c r="AZ11" s="127" t="s">
        <v>197</v>
      </c>
      <c r="BA11" s="127" t="s">
        <v>198</v>
      </c>
      <c r="BB11" s="127" t="s">
        <v>199</v>
      </c>
      <c r="BC11" s="127" t="s">
        <v>200</v>
      </c>
      <c r="BD11" s="127" t="s">
        <v>201</v>
      </c>
      <c r="BE11" s="127" t="s">
        <v>202</v>
      </c>
      <c r="BF11" s="127" t="s">
        <v>203</v>
      </c>
      <c r="BG11" s="127" t="s">
        <v>204</v>
      </c>
      <c r="BH11" s="127" t="s">
        <v>205</v>
      </c>
      <c r="BI11" s="127" t="s">
        <v>206</v>
      </c>
      <c r="BJ11" s="127" t="s">
        <v>207</v>
      </c>
      <c r="BK11" s="127" t="s">
        <v>208</v>
      </c>
      <c r="BL11" s="127" t="s">
        <v>209</v>
      </c>
    </row>
    <row r="12" spans="1:64" x14ac:dyDescent="0.35">
      <c r="H12" s="127" t="s">
        <v>6068</v>
      </c>
      <c r="J12" s="127" t="s">
        <v>10</v>
      </c>
      <c r="L12" s="127" t="s">
        <v>5</v>
      </c>
      <c r="N12" s="127" t="s">
        <v>6069</v>
      </c>
      <c r="O12" s="127" t="s">
        <v>6070</v>
      </c>
      <c r="P12" s="127" t="s">
        <v>6071</v>
      </c>
      <c r="Q12" s="127" t="s">
        <v>6072</v>
      </c>
      <c r="R12" s="127" t="s">
        <v>6073</v>
      </c>
      <c r="S12" s="127" t="s">
        <v>6074</v>
      </c>
      <c r="T12" s="127" t="s">
        <v>6075</v>
      </c>
      <c r="U12" s="127" t="s">
        <v>6076</v>
      </c>
      <c r="V12" s="127" t="s">
        <v>6077</v>
      </c>
      <c r="W12" s="127" t="s">
        <v>6078</v>
      </c>
      <c r="X12" s="127" t="s">
        <v>6079</v>
      </c>
      <c r="Y12" s="127" t="s">
        <v>6080</v>
      </c>
      <c r="Z12" s="127" t="s">
        <v>6081</v>
      </c>
      <c r="AA12" s="127" t="s">
        <v>6082</v>
      </c>
      <c r="AB12" s="127" t="s">
        <v>6083</v>
      </c>
      <c r="AC12" s="127" t="s">
        <v>6084</v>
      </c>
      <c r="AD12" s="127" t="s">
        <v>6085</v>
      </c>
      <c r="AE12" s="127" t="s">
        <v>6086</v>
      </c>
      <c r="AF12" s="127" t="s">
        <v>6087</v>
      </c>
      <c r="AG12" s="127" t="s">
        <v>6088</v>
      </c>
      <c r="AH12" s="127" t="s">
        <v>6089</v>
      </c>
      <c r="AI12" s="127" t="s">
        <v>6090</v>
      </c>
      <c r="AJ12" s="127" t="s">
        <v>6091</v>
      </c>
      <c r="AK12" s="127" t="s">
        <v>6092</v>
      </c>
      <c r="AL12" s="127" t="s">
        <v>6093</v>
      </c>
    </row>
    <row r="13" spans="1:64" ht="409.5" x14ac:dyDescent="0.35">
      <c r="C13" s="127" t="s">
        <v>236</v>
      </c>
      <c r="D13" s="127" t="s">
        <v>237</v>
      </c>
      <c r="H13" s="128" t="s">
        <v>238</v>
      </c>
      <c r="J13" s="127" t="s">
        <v>239</v>
      </c>
      <c r="K13" s="127" t="s">
        <v>240</v>
      </c>
      <c r="L13" s="127" t="s">
        <v>241</v>
      </c>
      <c r="AL13" s="127" t="s">
        <v>242</v>
      </c>
      <c r="AO13" s="128" t="s">
        <v>6094</v>
      </c>
      <c r="AP13" s="128" t="s">
        <v>6095</v>
      </c>
      <c r="AQ13" s="128" t="s">
        <v>6096</v>
      </c>
      <c r="AR13" s="128" t="s">
        <v>6097</v>
      </c>
      <c r="AS13" s="128" t="s">
        <v>6098</v>
      </c>
      <c r="AT13" s="128" t="s">
        <v>6099</v>
      </c>
      <c r="AU13" s="128" t="s">
        <v>6100</v>
      </c>
      <c r="AV13" s="128" t="s">
        <v>6101</v>
      </c>
      <c r="AW13" s="128" t="s">
        <v>6102</v>
      </c>
      <c r="AX13" s="128" t="s">
        <v>6103</v>
      </c>
      <c r="AY13" s="128" t="s">
        <v>6104</v>
      </c>
      <c r="AZ13" s="128" t="s">
        <v>6105</v>
      </c>
      <c r="BA13" s="128" t="s">
        <v>6106</v>
      </c>
      <c r="BB13" s="128" t="s">
        <v>6107</v>
      </c>
      <c r="BC13" s="128" t="s">
        <v>6108</v>
      </c>
      <c r="BD13" s="128" t="s">
        <v>6109</v>
      </c>
      <c r="BE13" s="128" t="s">
        <v>6110</v>
      </c>
      <c r="BF13" s="128" t="s">
        <v>6111</v>
      </c>
      <c r="BG13" s="128" t="s">
        <v>6112</v>
      </c>
      <c r="BH13" s="128" t="s">
        <v>6113</v>
      </c>
      <c r="BI13" s="128" t="s">
        <v>6114</v>
      </c>
      <c r="BJ13" s="128" t="s">
        <v>6115</v>
      </c>
      <c r="BK13" s="128" t="s">
        <v>6116</v>
      </c>
      <c r="BL13" s="128" t="s">
        <v>6117</v>
      </c>
    </row>
    <row r="14" spans="1:64" ht="409.5" x14ac:dyDescent="0.35">
      <c r="A14" s="127" t="s">
        <v>6063</v>
      </c>
      <c r="C14" s="127" t="s">
        <v>6118</v>
      </c>
      <c r="D14" s="127" t="s">
        <v>6119</v>
      </c>
      <c r="H14" s="128" t="s">
        <v>6120</v>
      </c>
      <c r="J14" s="127" t="s">
        <v>6121</v>
      </c>
      <c r="K14" s="127" t="s">
        <v>7336</v>
      </c>
      <c r="L14" s="127" t="s">
        <v>7378</v>
      </c>
      <c r="AL14" s="127" t="s">
        <v>6122</v>
      </c>
      <c r="AO14" s="128" t="s">
        <v>6123</v>
      </c>
      <c r="AP14" s="128" t="s">
        <v>6124</v>
      </c>
      <c r="AQ14" s="128" t="s">
        <v>6125</v>
      </c>
      <c r="AR14" s="128" t="s">
        <v>6126</v>
      </c>
      <c r="AS14" s="128" t="s">
        <v>6127</v>
      </c>
      <c r="AT14" s="128" t="s">
        <v>6128</v>
      </c>
      <c r="AU14" s="128" t="s">
        <v>6129</v>
      </c>
      <c r="AV14" s="128" t="s">
        <v>6130</v>
      </c>
      <c r="AW14" s="128" t="s">
        <v>6131</v>
      </c>
      <c r="AX14" s="128" t="s">
        <v>6132</v>
      </c>
      <c r="AY14" s="128" t="s">
        <v>6133</v>
      </c>
      <c r="AZ14" s="128" t="s">
        <v>6134</v>
      </c>
      <c r="BA14" s="128" t="s">
        <v>6135</v>
      </c>
      <c r="BB14" s="128" t="s">
        <v>6136</v>
      </c>
      <c r="BC14" s="128" t="s">
        <v>6137</v>
      </c>
      <c r="BD14" s="128" t="s">
        <v>6138</v>
      </c>
      <c r="BE14" s="128" t="s">
        <v>6139</v>
      </c>
      <c r="BF14" s="128" t="s">
        <v>6140</v>
      </c>
      <c r="BG14" s="128" t="s">
        <v>6141</v>
      </c>
      <c r="BH14" s="128" t="s">
        <v>6142</v>
      </c>
      <c r="BI14" s="128" t="s">
        <v>6143</v>
      </c>
      <c r="BJ14" s="128" t="s">
        <v>6144</v>
      </c>
      <c r="BK14" s="128" t="s">
        <v>6145</v>
      </c>
      <c r="BL14" s="128" t="s">
        <v>6146</v>
      </c>
    </row>
    <row r="15" spans="1:64" ht="409.5" x14ac:dyDescent="0.35">
      <c r="A15" s="127" t="s">
        <v>6063</v>
      </c>
      <c r="C15" s="127" t="s">
        <v>6147</v>
      </c>
      <c r="D15" s="127" t="s">
        <v>6148</v>
      </c>
      <c r="H15" s="128" t="s">
        <v>6149</v>
      </c>
      <c r="J15" s="127" t="s">
        <v>6150</v>
      </c>
      <c r="K15" s="127" t="s">
        <v>7337</v>
      </c>
      <c r="L15" s="127" t="s">
        <v>7379</v>
      </c>
      <c r="AL15" s="127" t="s">
        <v>6151</v>
      </c>
      <c r="AO15" s="128" t="s">
        <v>6152</v>
      </c>
      <c r="AP15" s="128" t="s">
        <v>6153</v>
      </c>
      <c r="AQ15" s="128" t="s">
        <v>6154</v>
      </c>
      <c r="AR15" s="128" t="s">
        <v>6155</v>
      </c>
      <c r="AS15" s="128" t="s">
        <v>6156</v>
      </c>
      <c r="AT15" s="128" t="s">
        <v>6157</v>
      </c>
      <c r="AU15" s="128" t="s">
        <v>6158</v>
      </c>
      <c r="AV15" s="128" t="s">
        <v>6159</v>
      </c>
      <c r="AW15" s="128" t="s">
        <v>6160</v>
      </c>
      <c r="AX15" s="128" t="s">
        <v>6161</v>
      </c>
      <c r="AY15" s="128" t="s">
        <v>6162</v>
      </c>
      <c r="AZ15" s="128" t="s">
        <v>6163</v>
      </c>
      <c r="BA15" s="128" t="s">
        <v>6164</v>
      </c>
      <c r="BB15" s="128" t="s">
        <v>6165</v>
      </c>
      <c r="BC15" s="128" t="s">
        <v>6166</v>
      </c>
      <c r="BD15" s="128" t="s">
        <v>6167</v>
      </c>
      <c r="BE15" s="128" t="s">
        <v>6168</v>
      </c>
      <c r="BF15" s="128" t="s">
        <v>6169</v>
      </c>
      <c r="BG15" s="128" t="s">
        <v>6170</v>
      </c>
      <c r="BH15" s="128" t="s">
        <v>6171</v>
      </c>
      <c r="BI15" s="128" t="s">
        <v>6172</v>
      </c>
      <c r="BJ15" s="128" t="s">
        <v>6173</v>
      </c>
      <c r="BK15" s="128" t="s">
        <v>6174</v>
      </c>
      <c r="BL15" s="128" t="s">
        <v>6175</v>
      </c>
    </row>
    <row r="16" spans="1:64" ht="409.5" x14ac:dyDescent="0.35">
      <c r="A16" s="127" t="s">
        <v>6063</v>
      </c>
      <c r="C16" s="127" t="s">
        <v>6176</v>
      </c>
      <c r="D16" s="127" t="s">
        <v>6177</v>
      </c>
      <c r="H16" s="128" t="s">
        <v>6178</v>
      </c>
      <c r="J16" s="127" t="s">
        <v>6179</v>
      </c>
      <c r="K16" s="127" t="s">
        <v>7338</v>
      </c>
      <c r="L16" s="127" t="s">
        <v>7380</v>
      </c>
      <c r="AL16" s="127" t="s">
        <v>6180</v>
      </c>
      <c r="AO16" s="128" t="s">
        <v>6181</v>
      </c>
      <c r="AP16" s="128" t="s">
        <v>6182</v>
      </c>
      <c r="AQ16" s="128" t="s">
        <v>6183</v>
      </c>
      <c r="AR16" s="128" t="s">
        <v>6184</v>
      </c>
      <c r="AS16" s="128" t="s">
        <v>6185</v>
      </c>
      <c r="AT16" s="128" t="s">
        <v>6186</v>
      </c>
      <c r="AU16" s="128" t="s">
        <v>6187</v>
      </c>
      <c r="AV16" s="128" t="s">
        <v>6188</v>
      </c>
      <c r="AW16" s="128" t="s">
        <v>6189</v>
      </c>
      <c r="AX16" s="128" t="s">
        <v>6190</v>
      </c>
      <c r="AY16" s="128" t="s">
        <v>6191</v>
      </c>
      <c r="AZ16" s="128" t="s">
        <v>6192</v>
      </c>
      <c r="BA16" s="128" t="s">
        <v>6193</v>
      </c>
      <c r="BB16" s="128" t="s">
        <v>6194</v>
      </c>
      <c r="BC16" s="128" t="s">
        <v>6195</v>
      </c>
      <c r="BD16" s="128" t="s">
        <v>6196</v>
      </c>
      <c r="BE16" s="128" t="s">
        <v>6197</v>
      </c>
      <c r="BF16" s="128" t="s">
        <v>6198</v>
      </c>
      <c r="BG16" s="128" t="s">
        <v>6199</v>
      </c>
      <c r="BH16" s="128" t="s">
        <v>6200</v>
      </c>
      <c r="BI16" s="128" t="s">
        <v>6201</v>
      </c>
      <c r="BJ16" s="128" t="s">
        <v>6202</v>
      </c>
      <c r="BK16" s="128" t="s">
        <v>6203</v>
      </c>
      <c r="BL16" s="128" t="s">
        <v>6204</v>
      </c>
    </row>
    <row r="17" spans="1:64" ht="409.5" x14ac:dyDescent="0.35">
      <c r="A17" s="127" t="s">
        <v>6063</v>
      </c>
      <c r="C17" s="127" t="s">
        <v>6205</v>
      </c>
      <c r="D17" s="127" t="s">
        <v>6206</v>
      </c>
      <c r="H17" s="128" t="s">
        <v>6207</v>
      </c>
      <c r="J17" s="127" t="s">
        <v>6208</v>
      </c>
      <c r="K17" s="127" t="s">
        <v>7339</v>
      </c>
      <c r="L17" s="127" t="s">
        <v>7381</v>
      </c>
      <c r="AL17" s="127" t="s">
        <v>6209</v>
      </c>
      <c r="AO17" s="128" t="s">
        <v>6210</v>
      </c>
      <c r="AP17" s="128" t="s">
        <v>6211</v>
      </c>
      <c r="AQ17" s="128" t="s">
        <v>6212</v>
      </c>
      <c r="AR17" s="128" t="s">
        <v>6213</v>
      </c>
      <c r="AS17" s="128" t="s">
        <v>6214</v>
      </c>
      <c r="AT17" s="128" t="s">
        <v>6215</v>
      </c>
      <c r="AU17" s="128" t="s">
        <v>6216</v>
      </c>
      <c r="AV17" s="128" t="s">
        <v>6217</v>
      </c>
      <c r="AW17" s="128" t="s">
        <v>6218</v>
      </c>
      <c r="AX17" s="128" t="s">
        <v>6219</v>
      </c>
      <c r="AY17" s="128" t="s">
        <v>6220</v>
      </c>
      <c r="AZ17" s="128" t="s">
        <v>6221</v>
      </c>
      <c r="BA17" s="128" t="s">
        <v>6222</v>
      </c>
      <c r="BB17" s="128" t="s">
        <v>6223</v>
      </c>
      <c r="BC17" s="128" t="s">
        <v>6224</v>
      </c>
      <c r="BD17" s="128" t="s">
        <v>6225</v>
      </c>
      <c r="BE17" s="128" t="s">
        <v>6226</v>
      </c>
      <c r="BF17" s="128" t="s">
        <v>6227</v>
      </c>
      <c r="BG17" s="128" t="s">
        <v>6228</v>
      </c>
      <c r="BH17" s="128" t="s">
        <v>6229</v>
      </c>
      <c r="BI17" s="128" t="s">
        <v>6230</v>
      </c>
      <c r="BJ17" s="128" t="s">
        <v>6231</v>
      </c>
      <c r="BK17" s="128" t="s">
        <v>6232</v>
      </c>
      <c r="BL17" s="128" t="s">
        <v>6233</v>
      </c>
    </row>
    <row r="18" spans="1:64" ht="409.5" x14ac:dyDescent="0.35">
      <c r="A18" s="127" t="s">
        <v>6063</v>
      </c>
      <c r="C18" s="127" t="s">
        <v>6234</v>
      </c>
      <c r="D18" s="127" t="s">
        <v>6235</v>
      </c>
      <c r="H18" s="128" t="s">
        <v>6236</v>
      </c>
      <c r="J18" s="127" t="s">
        <v>6237</v>
      </c>
      <c r="K18" s="127" t="s">
        <v>7340</v>
      </c>
      <c r="L18" s="127" t="s">
        <v>7382</v>
      </c>
      <c r="AL18" s="127" t="s">
        <v>6238</v>
      </c>
      <c r="AO18" s="128" t="s">
        <v>6239</v>
      </c>
      <c r="AP18" s="128" t="s">
        <v>6240</v>
      </c>
      <c r="AQ18" s="128" t="s">
        <v>6241</v>
      </c>
      <c r="AR18" s="128" t="s">
        <v>6242</v>
      </c>
      <c r="AS18" s="128" t="s">
        <v>6243</v>
      </c>
      <c r="AT18" s="128" t="s">
        <v>6244</v>
      </c>
      <c r="AU18" s="128" t="s">
        <v>6245</v>
      </c>
      <c r="AV18" s="128" t="s">
        <v>6246</v>
      </c>
      <c r="AW18" s="128" t="s">
        <v>6247</v>
      </c>
      <c r="AX18" s="128" t="s">
        <v>6248</v>
      </c>
      <c r="AY18" s="128" t="s">
        <v>6249</v>
      </c>
      <c r="AZ18" s="128" t="s">
        <v>6250</v>
      </c>
      <c r="BA18" s="128" t="s">
        <v>6251</v>
      </c>
      <c r="BB18" s="128" t="s">
        <v>6252</v>
      </c>
      <c r="BC18" s="128" t="s">
        <v>6253</v>
      </c>
      <c r="BD18" s="128" t="s">
        <v>6254</v>
      </c>
      <c r="BE18" s="128" t="s">
        <v>6255</v>
      </c>
      <c r="BF18" s="128" t="s">
        <v>6256</v>
      </c>
      <c r="BG18" s="128" t="s">
        <v>6257</v>
      </c>
      <c r="BH18" s="128" t="s">
        <v>6258</v>
      </c>
      <c r="BI18" s="128" t="s">
        <v>6259</v>
      </c>
      <c r="BJ18" s="128" t="s">
        <v>6260</v>
      </c>
      <c r="BK18" s="128" t="s">
        <v>6261</v>
      </c>
      <c r="BL18" s="128" t="s">
        <v>6262</v>
      </c>
    </row>
    <row r="19" spans="1:64" ht="409.5" x14ac:dyDescent="0.35">
      <c r="A19" s="127" t="s">
        <v>6063</v>
      </c>
      <c r="C19" s="127" t="s">
        <v>6263</v>
      </c>
      <c r="D19" s="127" t="s">
        <v>6264</v>
      </c>
      <c r="H19" s="128" t="s">
        <v>6265</v>
      </c>
      <c r="J19" s="127" t="s">
        <v>6266</v>
      </c>
      <c r="K19" s="127" t="s">
        <v>7341</v>
      </c>
      <c r="L19" s="127" t="s">
        <v>7383</v>
      </c>
      <c r="AL19" s="127" t="s">
        <v>6267</v>
      </c>
      <c r="AO19" s="128" t="s">
        <v>6268</v>
      </c>
      <c r="AP19" s="128" t="s">
        <v>6269</v>
      </c>
      <c r="AQ19" s="128" t="s">
        <v>6270</v>
      </c>
      <c r="AR19" s="128" t="s">
        <v>6271</v>
      </c>
      <c r="AS19" s="128" t="s">
        <v>6272</v>
      </c>
      <c r="AT19" s="128" t="s">
        <v>6273</v>
      </c>
      <c r="AU19" s="128" t="s">
        <v>6274</v>
      </c>
      <c r="AV19" s="128" t="s">
        <v>6275</v>
      </c>
      <c r="AW19" s="128" t="s">
        <v>6276</v>
      </c>
      <c r="AX19" s="128" t="s">
        <v>6277</v>
      </c>
      <c r="AY19" s="128" t="s">
        <v>6278</v>
      </c>
      <c r="AZ19" s="128" t="s">
        <v>6279</v>
      </c>
      <c r="BA19" s="128" t="s">
        <v>6280</v>
      </c>
      <c r="BB19" s="128" t="s">
        <v>6281</v>
      </c>
      <c r="BC19" s="128" t="s">
        <v>6282</v>
      </c>
      <c r="BD19" s="128" t="s">
        <v>6283</v>
      </c>
      <c r="BE19" s="128" t="s">
        <v>6284</v>
      </c>
      <c r="BF19" s="128" t="s">
        <v>6285</v>
      </c>
      <c r="BG19" s="128" t="s">
        <v>6286</v>
      </c>
      <c r="BH19" s="128" t="s">
        <v>6287</v>
      </c>
      <c r="BI19" s="128" t="s">
        <v>6288</v>
      </c>
      <c r="BJ19" s="128" t="s">
        <v>6289</v>
      </c>
      <c r="BK19" s="128" t="s">
        <v>6290</v>
      </c>
      <c r="BL19" s="128" t="s">
        <v>6291</v>
      </c>
    </row>
    <row r="20" spans="1:64" ht="409.5" x14ac:dyDescent="0.35">
      <c r="A20" s="127" t="s">
        <v>6063</v>
      </c>
      <c r="C20" s="127" t="s">
        <v>6292</v>
      </c>
      <c r="D20" s="127" t="s">
        <v>6293</v>
      </c>
      <c r="H20" s="128" t="s">
        <v>6294</v>
      </c>
      <c r="J20" s="127" t="s">
        <v>6295</v>
      </c>
      <c r="K20" s="127" t="s">
        <v>7342</v>
      </c>
      <c r="L20" s="127" t="s">
        <v>7384</v>
      </c>
      <c r="AL20" s="127" t="s">
        <v>6296</v>
      </c>
      <c r="AO20" s="128" t="s">
        <v>6297</v>
      </c>
      <c r="AP20" s="128" t="s">
        <v>6298</v>
      </c>
      <c r="AQ20" s="128" t="s">
        <v>6299</v>
      </c>
      <c r="AR20" s="128" t="s">
        <v>6300</v>
      </c>
      <c r="AS20" s="128" t="s">
        <v>6301</v>
      </c>
      <c r="AT20" s="128" t="s">
        <v>6302</v>
      </c>
      <c r="AU20" s="128" t="s">
        <v>6303</v>
      </c>
      <c r="AV20" s="128" t="s">
        <v>6304</v>
      </c>
      <c r="AW20" s="128" t="s">
        <v>6305</v>
      </c>
      <c r="AX20" s="128" t="s">
        <v>6306</v>
      </c>
      <c r="AY20" s="128" t="s">
        <v>6307</v>
      </c>
      <c r="AZ20" s="128" t="s">
        <v>6308</v>
      </c>
      <c r="BA20" s="128" t="s">
        <v>6309</v>
      </c>
      <c r="BB20" s="128" t="s">
        <v>6310</v>
      </c>
      <c r="BC20" s="128" t="s">
        <v>6311</v>
      </c>
      <c r="BD20" s="128" t="s">
        <v>6312</v>
      </c>
      <c r="BE20" s="128" t="s">
        <v>6313</v>
      </c>
      <c r="BF20" s="128" t="s">
        <v>6314</v>
      </c>
      <c r="BG20" s="128" t="s">
        <v>6315</v>
      </c>
      <c r="BH20" s="128" t="s">
        <v>6316</v>
      </c>
      <c r="BI20" s="128" t="s">
        <v>6317</v>
      </c>
      <c r="BJ20" s="128" t="s">
        <v>6318</v>
      </c>
      <c r="BK20" s="128" t="s">
        <v>6319</v>
      </c>
      <c r="BL20" s="128" t="s">
        <v>6320</v>
      </c>
    </row>
    <row r="21" spans="1:64" ht="409.5" x14ac:dyDescent="0.35">
      <c r="A21" s="127" t="s">
        <v>6063</v>
      </c>
      <c r="C21" s="127" t="s">
        <v>6321</v>
      </c>
      <c r="D21" s="127" t="s">
        <v>6322</v>
      </c>
      <c r="H21" s="128" t="s">
        <v>6323</v>
      </c>
      <c r="J21" s="127" t="s">
        <v>6324</v>
      </c>
      <c r="K21" s="127" t="s">
        <v>7343</v>
      </c>
      <c r="L21" s="127" t="s">
        <v>7385</v>
      </c>
      <c r="AL21" s="127" t="s">
        <v>6325</v>
      </c>
      <c r="AO21" s="128" t="s">
        <v>6326</v>
      </c>
      <c r="AP21" s="128" t="s">
        <v>6327</v>
      </c>
      <c r="AQ21" s="128" t="s">
        <v>6328</v>
      </c>
      <c r="AR21" s="128" t="s">
        <v>6329</v>
      </c>
      <c r="AS21" s="128" t="s">
        <v>6330</v>
      </c>
      <c r="AT21" s="128" t="s">
        <v>6331</v>
      </c>
      <c r="AU21" s="128" t="s">
        <v>6332</v>
      </c>
      <c r="AV21" s="128" t="s">
        <v>6333</v>
      </c>
      <c r="AW21" s="128" t="s">
        <v>6334</v>
      </c>
      <c r="AX21" s="128" t="s">
        <v>6335</v>
      </c>
      <c r="AY21" s="128" t="s">
        <v>6336</v>
      </c>
      <c r="AZ21" s="128" t="s">
        <v>6337</v>
      </c>
      <c r="BA21" s="128" t="s">
        <v>6338</v>
      </c>
      <c r="BB21" s="128" t="s">
        <v>6339</v>
      </c>
      <c r="BC21" s="128" t="s">
        <v>6340</v>
      </c>
      <c r="BD21" s="128" t="s">
        <v>6341</v>
      </c>
      <c r="BE21" s="128" t="s">
        <v>6342</v>
      </c>
      <c r="BF21" s="128" t="s">
        <v>6343</v>
      </c>
      <c r="BG21" s="128" t="s">
        <v>6344</v>
      </c>
      <c r="BH21" s="128" t="s">
        <v>6345</v>
      </c>
      <c r="BI21" s="128" t="s">
        <v>6346</v>
      </c>
      <c r="BJ21" s="128" t="s">
        <v>6347</v>
      </c>
      <c r="BK21" s="128" t="s">
        <v>6348</v>
      </c>
      <c r="BL21" s="128" t="s">
        <v>6349</v>
      </c>
    </row>
    <row r="22" spans="1:64" ht="409.5" x14ac:dyDescent="0.35">
      <c r="A22" s="127" t="s">
        <v>6063</v>
      </c>
      <c r="C22" s="127" t="s">
        <v>6350</v>
      </c>
      <c r="D22" s="127" t="s">
        <v>6351</v>
      </c>
      <c r="H22" s="128" t="s">
        <v>6352</v>
      </c>
      <c r="J22" s="127" t="s">
        <v>6353</v>
      </c>
      <c r="K22" s="127" t="s">
        <v>7344</v>
      </c>
      <c r="L22" s="127" t="s">
        <v>7386</v>
      </c>
      <c r="AL22" s="127" t="s">
        <v>6354</v>
      </c>
      <c r="AO22" s="128" t="s">
        <v>6355</v>
      </c>
      <c r="AP22" s="128" t="s">
        <v>6356</v>
      </c>
      <c r="AQ22" s="128" t="s">
        <v>6357</v>
      </c>
      <c r="AR22" s="128" t="s">
        <v>6358</v>
      </c>
      <c r="AS22" s="128" t="s">
        <v>6359</v>
      </c>
      <c r="AT22" s="128" t="s">
        <v>6360</v>
      </c>
      <c r="AU22" s="128" t="s">
        <v>6361</v>
      </c>
      <c r="AV22" s="128" t="s">
        <v>6362</v>
      </c>
      <c r="AW22" s="128" t="s">
        <v>6363</v>
      </c>
      <c r="AX22" s="128" t="s">
        <v>6364</v>
      </c>
      <c r="AY22" s="128" t="s">
        <v>6365</v>
      </c>
      <c r="AZ22" s="128" t="s">
        <v>6366</v>
      </c>
      <c r="BA22" s="128" t="s">
        <v>6367</v>
      </c>
      <c r="BB22" s="128" t="s">
        <v>6368</v>
      </c>
      <c r="BC22" s="128" t="s">
        <v>6369</v>
      </c>
      <c r="BD22" s="128" t="s">
        <v>6370</v>
      </c>
      <c r="BE22" s="128" t="s">
        <v>6371</v>
      </c>
      <c r="BF22" s="128" t="s">
        <v>6372</v>
      </c>
      <c r="BG22" s="128" t="s">
        <v>6373</v>
      </c>
      <c r="BH22" s="128" t="s">
        <v>6374</v>
      </c>
      <c r="BI22" s="128" t="s">
        <v>6375</v>
      </c>
      <c r="BJ22" s="128" t="s">
        <v>6376</v>
      </c>
      <c r="BK22" s="128" t="s">
        <v>6377</v>
      </c>
      <c r="BL22" s="128" t="s">
        <v>6378</v>
      </c>
    </row>
    <row r="23" spans="1:64" ht="409.5" x14ac:dyDescent="0.35">
      <c r="A23" s="127" t="s">
        <v>6063</v>
      </c>
      <c r="C23" s="127" t="s">
        <v>6379</v>
      </c>
      <c r="D23" s="127" t="s">
        <v>6380</v>
      </c>
      <c r="H23" s="128" t="s">
        <v>6381</v>
      </c>
      <c r="J23" s="127" t="s">
        <v>6382</v>
      </c>
      <c r="K23" s="127" t="s">
        <v>7345</v>
      </c>
      <c r="L23" s="127" t="s">
        <v>7387</v>
      </c>
      <c r="AL23" s="127" t="s">
        <v>6383</v>
      </c>
      <c r="AO23" s="128" t="s">
        <v>6384</v>
      </c>
      <c r="AP23" s="128" t="s">
        <v>6385</v>
      </c>
      <c r="AQ23" s="128" t="s">
        <v>6386</v>
      </c>
      <c r="AR23" s="128" t="s">
        <v>6387</v>
      </c>
      <c r="AS23" s="128" t="s">
        <v>6388</v>
      </c>
      <c r="AT23" s="128" t="s">
        <v>6389</v>
      </c>
      <c r="AU23" s="128" t="s">
        <v>6390</v>
      </c>
      <c r="AV23" s="128" t="s">
        <v>6391</v>
      </c>
      <c r="AW23" s="128" t="s">
        <v>6392</v>
      </c>
      <c r="AX23" s="128" t="s">
        <v>6393</v>
      </c>
      <c r="AY23" s="128" t="s">
        <v>6394</v>
      </c>
      <c r="AZ23" s="128" t="s">
        <v>6395</v>
      </c>
      <c r="BA23" s="128" t="s">
        <v>6396</v>
      </c>
      <c r="BB23" s="128" t="s">
        <v>6397</v>
      </c>
      <c r="BC23" s="128" t="s">
        <v>6398</v>
      </c>
      <c r="BD23" s="128" t="s">
        <v>6399</v>
      </c>
      <c r="BE23" s="128" t="s">
        <v>6400</v>
      </c>
      <c r="BF23" s="128" t="s">
        <v>6401</v>
      </c>
      <c r="BG23" s="128" t="s">
        <v>6402</v>
      </c>
      <c r="BH23" s="128" t="s">
        <v>6403</v>
      </c>
      <c r="BI23" s="128" t="s">
        <v>6404</v>
      </c>
      <c r="BJ23" s="128" t="s">
        <v>6405</v>
      </c>
      <c r="BK23" s="128" t="s">
        <v>6406</v>
      </c>
      <c r="BL23" s="128" t="s">
        <v>6407</v>
      </c>
    </row>
    <row r="24" spans="1:64" ht="409.5" x14ac:dyDescent="0.35">
      <c r="A24" s="127" t="s">
        <v>6063</v>
      </c>
      <c r="C24" s="127" t="s">
        <v>6408</v>
      </c>
      <c r="D24" s="127" t="s">
        <v>6409</v>
      </c>
      <c r="H24" s="128" t="s">
        <v>6410</v>
      </c>
      <c r="J24" s="127" t="s">
        <v>6411</v>
      </c>
      <c r="K24" s="127" t="s">
        <v>7346</v>
      </c>
      <c r="L24" s="127" t="s">
        <v>7388</v>
      </c>
      <c r="AL24" s="127" t="s">
        <v>6412</v>
      </c>
      <c r="AO24" s="128" t="s">
        <v>6413</v>
      </c>
      <c r="AP24" s="128" t="s">
        <v>6414</v>
      </c>
      <c r="AQ24" s="128" t="s">
        <v>6415</v>
      </c>
      <c r="AR24" s="128" t="s">
        <v>6416</v>
      </c>
      <c r="AS24" s="128" t="s">
        <v>6417</v>
      </c>
      <c r="AT24" s="128" t="s">
        <v>6418</v>
      </c>
      <c r="AU24" s="128" t="s">
        <v>6419</v>
      </c>
      <c r="AV24" s="128" t="s">
        <v>6420</v>
      </c>
      <c r="AW24" s="128" t="s">
        <v>6421</v>
      </c>
      <c r="AX24" s="128" t="s">
        <v>6422</v>
      </c>
      <c r="AY24" s="128" t="s">
        <v>6423</v>
      </c>
      <c r="AZ24" s="128" t="s">
        <v>6424</v>
      </c>
      <c r="BA24" s="128" t="s">
        <v>6425</v>
      </c>
      <c r="BB24" s="128" t="s">
        <v>6426</v>
      </c>
      <c r="BC24" s="128" t="s">
        <v>6427</v>
      </c>
      <c r="BD24" s="128" t="s">
        <v>6428</v>
      </c>
      <c r="BE24" s="128" t="s">
        <v>6429</v>
      </c>
      <c r="BF24" s="128" t="s">
        <v>6430</v>
      </c>
      <c r="BG24" s="128" t="s">
        <v>6431</v>
      </c>
      <c r="BH24" s="128" t="s">
        <v>6432</v>
      </c>
      <c r="BI24" s="128" t="s">
        <v>6433</v>
      </c>
      <c r="BJ24" s="128" t="s">
        <v>6434</v>
      </c>
      <c r="BK24" s="128" t="s">
        <v>6435</v>
      </c>
      <c r="BL24" s="128" t="s">
        <v>6436</v>
      </c>
    </row>
    <row r="25" spans="1:64" ht="409.5" x14ac:dyDescent="0.35">
      <c r="A25" s="127" t="s">
        <v>6063</v>
      </c>
      <c r="C25" s="127" t="s">
        <v>6437</v>
      </c>
      <c r="D25" s="127" t="s">
        <v>6438</v>
      </c>
      <c r="H25" s="128" t="s">
        <v>6439</v>
      </c>
      <c r="J25" s="127" t="s">
        <v>6440</v>
      </c>
      <c r="K25" s="127" t="s">
        <v>7347</v>
      </c>
      <c r="L25" s="127" t="s">
        <v>7389</v>
      </c>
      <c r="AL25" s="127" t="s">
        <v>6441</v>
      </c>
      <c r="AO25" s="128" t="s">
        <v>6442</v>
      </c>
      <c r="AP25" s="128" t="s">
        <v>6443</v>
      </c>
      <c r="AQ25" s="128" t="s">
        <v>6444</v>
      </c>
      <c r="AR25" s="128" t="s">
        <v>6445</v>
      </c>
      <c r="AS25" s="128" t="s">
        <v>6446</v>
      </c>
      <c r="AT25" s="128" t="s">
        <v>6447</v>
      </c>
      <c r="AU25" s="128" t="s">
        <v>6448</v>
      </c>
      <c r="AV25" s="128" t="s">
        <v>6449</v>
      </c>
      <c r="AW25" s="128" t="s">
        <v>6450</v>
      </c>
      <c r="AX25" s="128" t="s">
        <v>6451</v>
      </c>
      <c r="AY25" s="128" t="s">
        <v>6452</v>
      </c>
      <c r="AZ25" s="128" t="s">
        <v>6453</v>
      </c>
      <c r="BA25" s="128" t="s">
        <v>6454</v>
      </c>
      <c r="BB25" s="128" t="s">
        <v>6455</v>
      </c>
      <c r="BC25" s="128" t="s">
        <v>6456</v>
      </c>
      <c r="BD25" s="128" t="s">
        <v>6457</v>
      </c>
      <c r="BE25" s="128" t="s">
        <v>6458</v>
      </c>
      <c r="BF25" s="128" t="s">
        <v>6459</v>
      </c>
      <c r="BG25" s="128" t="s">
        <v>6460</v>
      </c>
      <c r="BH25" s="128" t="s">
        <v>6461</v>
      </c>
      <c r="BI25" s="128" t="s">
        <v>6462</v>
      </c>
      <c r="BJ25" s="128" t="s">
        <v>6463</v>
      </c>
      <c r="BK25" s="128" t="s">
        <v>6464</v>
      </c>
      <c r="BL25" s="128" t="s">
        <v>6465</v>
      </c>
    </row>
    <row r="26" spans="1:64" ht="409.5" x14ac:dyDescent="0.35">
      <c r="A26" s="127" t="s">
        <v>6063</v>
      </c>
      <c r="C26" s="127" t="s">
        <v>6466</v>
      </c>
      <c r="D26" s="127" t="s">
        <v>6467</v>
      </c>
      <c r="H26" s="128" t="s">
        <v>6468</v>
      </c>
      <c r="J26" s="127" t="s">
        <v>6469</v>
      </c>
      <c r="K26" s="127" t="s">
        <v>7348</v>
      </c>
      <c r="L26" s="127" t="s">
        <v>7390</v>
      </c>
      <c r="AL26" s="127" t="s">
        <v>6470</v>
      </c>
      <c r="AO26" s="128" t="s">
        <v>6471</v>
      </c>
      <c r="AP26" s="128" t="s">
        <v>6472</v>
      </c>
      <c r="AQ26" s="128" t="s">
        <v>6473</v>
      </c>
      <c r="AR26" s="128" t="s">
        <v>6474</v>
      </c>
      <c r="AS26" s="128" t="s">
        <v>6475</v>
      </c>
      <c r="AT26" s="128" t="s">
        <v>6476</v>
      </c>
      <c r="AU26" s="128" t="s">
        <v>6477</v>
      </c>
      <c r="AV26" s="128" t="s">
        <v>6478</v>
      </c>
      <c r="AW26" s="128" t="s">
        <v>6479</v>
      </c>
      <c r="AX26" s="128" t="s">
        <v>6480</v>
      </c>
      <c r="AY26" s="128" t="s">
        <v>6481</v>
      </c>
      <c r="AZ26" s="128" t="s">
        <v>6482</v>
      </c>
      <c r="BA26" s="128" t="s">
        <v>6483</v>
      </c>
      <c r="BB26" s="128" t="s">
        <v>6484</v>
      </c>
      <c r="BC26" s="128" t="s">
        <v>6485</v>
      </c>
      <c r="BD26" s="128" t="s">
        <v>6486</v>
      </c>
      <c r="BE26" s="128" t="s">
        <v>6487</v>
      </c>
      <c r="BF26" s="128" t="s">
        <v>6488</v>
      </c>
      <c r="BG26" s="128" t="s">
        <v>6489</v>
      </c>
      <c r="BH26" s="128" t="s">
        <v>6490</v>
      </c>
      <c r="BI26" s="128" t="s">
        <v>6491</v>
      </c>
      <c r="BJ26" s="128" t="s">
        <v>6492</v>
      </c>
      <c r="BK26" s="128" t="s">
        <v>6493</v>
      </c>
      <c r="BL26" s="128" t="s">
        <v>6494</v>
      </c>
    </row>
    <row r="27" spans="1:64" ht="409.5" x14ac:dyDescent="0.35">
      <c r="A27" s="127" t="s">
        <v>6063</v>
      </c>
      <c r="C27" s="127" t="s">
        <v>6495</v>
      </c>
      <c r="D27" s="127" t="s">
        <v>6496</v>
      </c>
      <c r="H27" s="128" t="s">
        <v>6497</v>
      </c>
      <c r="J27" s="127" t="s">
        <v>6498</v>
      </c>
      <c r="K27" s="127" t="s">
        <v>7349</v>
      </c>
      <c r="L27" s="127" t="s">
        <v>7391</v>
      </c>
      <c r="AL27" s="127" t="s">
        <v>6499</v>
      </c>
      <c r="AO27" s="128" t="s">
        <v>6500</v>
      </c>
      <c r="AP27" s="128" t="s">
        <v>6501</v>
      </c>
      <c r="AQ27" s="128" t="s">
        <v>6502</v>
      </c>
      <c r="AR27" s="128" t="s">
        <v>6503</v>
      </c>
      <c r="AS27" s="128" t="s">
        <v>6504</v>
      </c>
      <c r="AT27" s="128" t="s">
        <v>6505</v>
      </c>
      <c r="AU27" s="128" t="s">
        <v>6506</v>
      </c>
      <c r="AV27" s="128" t="s">
        <v>6507</v>
      </c>
      <c r="AW27" s="128" t="s">
        <v>6508</v>
      </c>
      <c r="AX27" s="128" t="s">
        <v>6509</v>
      </c>
      <c r="AY27" s="128" t="s">
        <v>6510</v>
      </c>
      <c r="AZ27" s="128" t="s">
        <v>6511</v>
      </c>
      <c r="BA27" s="128" t="s">
        <v>6512</v>
      </c>
      <c r="BB27" s="128" t="s">
        <v>6513</v>
      </c>
      <c r="BC27" s="128" t="s">
        <v>6514</v>
      </c>
      <c r="BD27" s="128" t="s">
        <v>6515</v>
      </c>
      <c r="BE27" s="128" t="s">
        <v>6516</v>
      </c>
      <c r="BF27" s="128" t="s">
        <v>6517</v>
      </c>
      <c r="BG27" s="128" t="s">
        <v>6518</v>
      </c>
      <c r="BH27" s="128" t="s">
        <v>6519</v>
      </c>
      <c r="BI27" s="128" t="s">
        <v>6520</v>
      </c>
      <c r="BJ27" s="128" t="s">
        <v>6521</v>
      </c>
      <c r="BK27" s="128" t="s">
        <v>6522</v>
      </c>
      <c r="BL27" s="128" t="s">
        <v>6523</v>
      </c>
    </row>
    <row r="28" spans="1:64" ht="409.5" x14ac:dyDescent="0.35">
      <c r="A28" s="127" t="s">
        <v>6063</v>
      </c>
      <c r="C28" s="127" t="s">
        <v>6524</v>
      </c>
      <c r="D28" s="127" t="s">
        <v>6525</v>
      </c>
      <c r="H28" s="128" t="s">
        <v>6526</v>
      </c>
      <c r="J28" s="127" t="s">
        <v>6527</v>
      </c>
      <c r="K28" s="127" t="s">
        <v>7350</v>
      </c>
      <c r="L28" s="127" t="s">
        <v>7392</v>
      </c>
      <c r="AL28" s="127" t="s">
        <v>6528</v>
      </c>
      <c r="AO28" s="128" t="s">
        <v>6529</v>
      </c>
      <c r="AP28" s="128" t="s">
        <v>6530</v>
      </c>
      <c r="AQ28" s="128" t="s">
        <v>6531</v>
      </c>
      <c r="AR28" s="128" t="s">
        <v>6532</v>
      </c>
      <c r="AS28" s="128" t="s">
        <v>6533</v>
      </c>
      <c r="AT28" s="128" t="s">
        <v>6534</v>
      </c>
      <c r="AU28" s="128" t="s">
        <v>6535</v>
      </c>
      <c r="AV28" s="128" t="s">
        <v>6536</v>
      </c>
      <c r="AW28" s="128" t="s">
        <v>6537</v>
      </c>
      <c r="AX28" s="128" t="s">
        <v>6538</v>
      </c>
      <c r="AY28" s="128" t="s">
        <v>6539</v>
      </c>
      <c r="AZ28" s="128" t="s">
        <v>6540</v>
      </c>
      <c r="BA28" s="128" t="s">
        <v>6541</v>
      </c>
      <c r="BB28" s="128" t="s">
        <v>6542</v>
      </c>
      <c r="BC28" s="128" t="s">
        <v>6543</v>
      </c>
      <c r="BD28" s="128" t="s">
        <v>6544</v>
      </c>
      <c r="BE28" s="128" t="s">
        <v>6545</v>
      </c>
      <c r="BF28" s="128" t="s">
        <v>6546</v>
      </c>
      <c r="BG28" s="128" t="s">
        <v>6547</v>
      </c>
      <c r="BH28" s="128" t="s">
        <v>6548</v>
      </c>
      <c r="BI28" s="128" t="s">
        <v>6549</v>
      </c>
      <c r="BJ28" s="128" t="s">
        <v>6550</v>
      </c>
      <c r="BK28" s="128" t="s">
        <v>6551</v>
      </c>
      <c r="BL28" s="128" t="s">
        <v>6552</v>
      </c>
    </row>
    <row r="29" spans="1:64" ht="409.5" x14ac:dyDescent="0.35">
      <c r="A29" s="127" t="s">
        <v>6063</v>
      </c>
      <c r="C29" s="127" t="s">
        <v>6553</v>
      </c>
      <c r="D29" s="127" t="s">
        <v>6554</v>
      </c>
      <c r="H29" s="128" t="s">
        <v>6555</v>
      </c>
      <c r="J29" s="127" t="s">
        <v>6556</v>
      </c>
      <c r="K29" s="127" t="s">
        <v>7351</v>
      </c>
      <c r="L29" s="127" t="s">
        <v>7393</v>
      </c>
      <c r="AL29" s="127" t="s">
        <v>6557</v>
      </c>
      <c r="AO29" s="128" t="s">
        <v>6558</v>
      </c>
      <c r="AP29" s="128" t="s">
        <v>6559</v>
      </c>
      <c r="AQ29" s="128" t="s">
        <v>6560</v>
      </c>
      <c r="AR29" s="128" t="s">
        <v>6561</v>
      </c>
      <c r="AS29" s="128" t="s">
        <v>6562</v>
      </c>
      <c r="AT29" s="128" t="s">
        <v>6563</v>
      </c>
      <c r="AU29" s="128" t="s">
        <v>6564</v>
      </c>
      <c r="AV29" s="128" t="s">
        <v>6565</v>
      </c>
      <c r="AW29" s="128" t="s">
        <v>6566</v>
      </c>
      <c r="AX29" s="128" t="s">
        <v>6567</v>
      </c>
      <c r="AY29" s="128" t="s">
        <v>6568</v>
      </c>
      <c r="AZ29" s="128" t="s">
        <v>6569</v>
      </c>
      <c r="BA29" s="128" t="s">
        <v>6570</v>
      </c>
      <c r="BB29" s="128" t="s">
        <v>6571</v>
      </c>
      <c r="BC29" s="128" t="s">
        <v>6572</v>
      </c>
      <c r="BD29" s="128" t="s">
        <v>6573</v>
      </c>
      <c r="BE29" s="128" t="s">
        <v>6574</v>
      </c>
      <c r="BF29" s="128" t="s">
        <v>6575</v>
      </c>
      <c r="BG29" s="128" t="s">
        <v>6576</v>
      </c>
      <c r="BH29" s="128" t="s">
        <v>6577</v>
      </c>
      <c r="BI29" s="128" t="s">
        <v>6578</v>
      </c>
      <c r="BJ29" s="128" t="s">
        <v>6579</v>
      </c>
      <c r="BK29" s="128" t="s">
        <v>6580</v>
      </c>
      <c r="BL29" s="128" t="s">
        <v>6581</v>
      </c>
    </row>
    <row r="30" spans="1:64" ht="409.5" x14ac:dyDescent="0.35">
      <c r="A30" s="127" t="s">
        <v>6063</v>
      </c>
      <c r="C30" s="127" t="s">
        <v>6582</v>
      </c>
      <c r="D30" s="127" t="s">
        <v>6583</v>
      </c>
      <c r="H30" s="128" t="s">
        <v>6584</v>
      </c>
      <c r="J30" s="127" t="s">
        <v>6585</v>
      </c>
      <c r="K30" s="127" t="s">
        <v>7352</v>
      </c>
      <c r="L30" s="127" t="s">
        <v>7394</v>
      </c>
      <c r="AL30" s="127" t="s">
        <v>6586</v>
      </c>
      <c r="AO30" s="128" t="s">
        <v>6587</v>
      </c>
      <c r="AP30" s="128" t="s">
        <v>6588</v>
      </c>
      <c r="AQ30" s="128" t="s">
        <v>6589</v>
      </c>
      <c r="AR30" s="128" t="s">
        <v>6590</v>
      </c>
      <c r="AS30" s="128" t="s">
        <v>6591</v>
      </c>
      <c r="AT30" s="128" t="s">
        <v>6592</v>
      </c>
      <c r="AU30" s="128" t="s">
        <v>6593</v>
      </c>
      <c r="AV30" s="128" t="s">
        <v>6594</v>
      </c>
      <c r="AW30" s="128" t="s">
        <v>6595</v>
      </c>
      <c r="AX30" s="128" t="s">
        <v>6596</v>
      </c>
      <c r="AY30" s="128" t="s">
        <v>6597</v>
      </c>
      <c r="AZ30" s="128" t="s">
        <v>6598</v>
      </c>
      <c r="BA30" s="128" t="s">
        <v>6599</v>
      </c>
      <c r="BB30" s="128" t="s">
        <v>6600</v>
      </c>
      <c r="BC30" s="128" t="s">
        <v>6601</v>
      </c>
      <c r="BD30" s="128" t="s">
        <v>6602</v>
      </c>
      <c r="BE30" s="128" t="s">
        <v>6603</v>
      </c>
      <c r="BF30" s="128" t="s">
        <v>6604</v>
      </c>
      <c r="BG30" s="128" t="s">
        <v>6605</v>
      </c>
      <c r="BH30" s="128" t="s">
        <v>6606</v>
      </c>
      <c r="BI30" s="128" t="s">
        <v>6607</v>
      </c>
      <c r="BJ30" s="128" t="s">
        <v>6608</v>
      </c>
      <c r="BK30" s="128" t="s">
        <v>6609</v>
      </c>
      <c r="BL30" s="128" t="s">
        <v>6610</v>
      </c>
    </row>
    <row r="31" spans="1:64" ht="409.5" x14ac:dyDescent="0.35">
      <c r="A31" s="127" t="s">
        <v>6063</v>
      </c>
      <c r="C31" s="127" t="s">
        <v>6611</v>
      </c>
      <c r="D31" s="127" t="s">
        <v>6612</v>
      </c>
      <c r="H31" s="128" t="s">
        <v>6613</v>
      </c>
      <c r="J31" s="127" t="s">
        <v>6614</v>
      </c>
      <c r="K31" s="127" t="s">
        <v>7353</v>
      </c>
      <c r="L31" s="127" t="s">
        <v>7395</v>
      </c>
      <c r="AL31" s="127" t="s">
        <v>6615</v>
      </c>
      <c r="AO31" s="128" t="s">
        <v>6616</v>
      </c>
      <c r="AP31" s="128" t="s">
        <v>6617</v>
      </c>
      <c r="AQ31" s="128" t="s">
        <v>6618</v>
      </c>
      <c r="AR31" s="128" t="s">
        <v>6619</v>
      </c>
      <c r="AS31" s="128" t="s">
        <v>6620</v>
      </c>
      <c r="AT31" s="128" t="s">
        <v>6621</v>
      </c>
      <c r="AU31" s="128" t="s">
        <v>6622</v>
      </c>
      <c r="AV31" s="128" t="s">
        <v>6623</v>
      </c>
      <c r="AW31" s="128" t="s">
        <v>6624</v>
      </c>
      <c r="AX31" s="128" t="s">
        <v>6625</v>
      </c>
      <c r="AY31" s="128" t="s">
        <v>6626</v>
      </c>
      <c r="AZ31" s="128" t="s">
        <v>6627</v>
      </c>
      <c r="BA31" s="128" t="s">
        <v>6628</v>
      </c>
      <c r="BB31" s="128" t="s">
        <v>6629</v>
      </c>
      <c r="BC31" s="128" t="s">
        <v>6630</v>
      </c>
      <c r="BD31" s="128" t="s">
        <v>6631</v>
      </c>
      <c r="BE31" s="128" t="s">
        <v>6632</v>
      </c>
      <c r="BF31" s="128" t="s">
        <v>6633</v>
      </c>
      <c r="BG31" s="128" t="s">
        <v>6634</v>
      </c>
      <c r="BH31" s="128" t="s">
        <v>6635</v>
      </c>
      <c r="BI31" s="128" t="s">
        <v>6636</v>
      </c>
      <c r="BJ31" s="128" t="s">
        <v>6637</v>
      </c>
      <c r="BK31" s="128" t="s">
        <v>6638</v>
      </c>
      <c r="BL31" s="128" t="s">
        <v>6639</v>
      </c>
    </row>
    <row r="32" spans="1:64" ht="409.5" x14ac:dyDescent="0.35">
      <c r="A32" s="127" t="s">
        <v>6063</v>
      </c>
      <c r="C32" s="127" t="s">
        <v>6640</v>
      </c>
      <c r="D32" s="127" t="s">
        <v>6641</v>
      </c>
      <c r="H32" s="128" t="s">
        <v>6642</v>
      </c>
      <c r="J32" s="127" t="s">
        <v>6643</v>
      </c>
      <c r="K32" s="127" t="s">
        <v>7354</v>
      </c>
      <c r="L32" s="127" t="s">
        <v>7396</v>
      </c>
      <c r="AL32" s="127" t="s">
        <v>6644</v>
      </c>
      <c r="AO32" s="128" t="s">
        <v>6645</v>
      </c>
      <c r="AP32" s="128" t="s">
        <v>6646</v>
      </c>
      <c r="AQ32" s="128" t="s">
        <v>6647</v>
      </c>
      <c r="AR32" s="128" t="s">
        <v>6648</v>
      </c>
      <c r="AS32" s="128" t="s">
        <v>6649</v>
      </c>
      <c r="AT32" s="128" t="s">
        <v>6650</v>
      </c>
      <c r="AU32" s="128" t="s">
        <v>6651</v>
      </c>
      <c r="AV32" s="128" t="s">
        <v>6652</v>
      </c>
      <c r="AW32" s="128" t="s">
        <v>6653</v>
      </c>
      <c r="AX32" s="128" t="s">
        <v>6654</v>
      </c>
      <c r="AY32" s="128" t="s">
        <v>6655</v>
      </c>
      <c r="AZ32" s="128" t="s">
        <v>6656</v>
      </c>
      <c r="BA32" s="128" t="s">
        <v>6657</v>
      </c>
      <c r="BB32" s="128" t="s">
        <v>6658</v>
      </c>
      <c r="BC32" s="128" t="s">
        <v>6659</v>
      </c>
      <c r="BD32" s="128" t="s">
        <v>6660</v>
      </c>
      <c r="BE32" s="128" t="s">
        <v>6661</v>
      </c>
      <c r="BF32" s="128" t="s">
        <v>6662</v>
      </c>
      <c r="BG32" s="128" t="s">
        <v>6663</v>
      </c>
      <c r="BH32" s="128" t="s">
        <v>6664</v>
      </c>
      <c r="BI32" s="128" t="s">
        <v>6665</v>
      </c>
      <c r="BJ32" s="128" t="s">
        <v>6666</v>
      </c>
      <c r="BK32" s="128" t="s">
        <v>6667</v>
      </c>
      <c r="BL32" s="128" t="s">
        <v>6668</v>
      </c>
    </row>
    <row r="33" spans="1:64" ht="409.5" x14ac:dyDescent="0.35">
      <c r="A33" s="127" t="s">
        <v>6063</v>
      </c>
      <c r="C33" s="127" t="s">
        <v>6669</v>
      </c>
      <c r="D33" s="127" t="s">
        <v>6670</v>
      </c>
      <c r="H33" s="128" t="s">
        <v>6671</v>
      </c>
      <c r="J33" s="127" t="s">
        <v>6672</v>
      </c>
      <c r="K33" s="127" t="s">
        <v>7355</v>
      </c>
      <c r="L33" s="127" t="s">
        <v>7397</v>
      </c>
      <c r="AL33" s="127" t="s">
        <v>6673</v>
      </c>
      <c r="AO33" s="128" t="s">
        <v>6674</v>
      </c>
      <c r="AP33" s="128" t="s">
        <v>6675</v>
      </c>
      <c r="AQ33" s="128" t="s">
        <v>6676</v>
      </c>
      <c r="AR33" s="128" t="s">
        <v>6677</v>
      </c>
      <c r="AS33" s="128" t="s">
        <v>6678</v>
      </c>
      <c r="AT33" s="128" t="s">
        <v>6679</v>
      </c>
      <c r="AU33" s="128" t="s">
        <v>6680</v>
      </c>
      <c r="AV33" s="128" t="s">
        <v>6681</v>
      </c>
      <c r="AW33" s="128" t="s">
        <v>6682</v>
      </c>
      <c r="AX33" s="128" t="s">
        <v>6683</v>
      </c>
      <c r="AY33" s="128" t="s">
        <v>6684</v>
      </c>
      <c r="AZ33" s="128" t="s">
        <v>6685</v>
      </c>
      <c r="BA33" s="128" t="s">
        <v>6686</v>
      </c>
      <c r="BB33" s="128" t="s">
        <v>6687</v>
      </c>
      <c r="BC33" s="128" t="s">
        <v>6688</v>
      </c>
      <c r="BD33" s="128" t="s">
        <v>6689</v>
      </c>
      <c r="BE33" s="128" t="s">
        <v>6690</v>
      </c>
      <c r="BF33" s="128" t="s">
        <v>6691</v>
      </c>
      <c r="BG33" s="128" t="s">
        <v>6692</v>
      </c>
      <c r="BH33" s="128" t="s">
        <v>6693</v>
      </c>
      <c r="BI33" s="128" t="s">
        <v>6694</v>
      </c>
      <c r="BJ33" s="128" t="s">
        <v>6695</v>
      </c>
      <c r="BK33" s="128" t="s">
        <v>6696</v>
      </c>
      <c r="BL33" s="128" t="s">
        <v>6697</v>
      </c>
    </row>
    <row r="34" spans="1:64" ht="409.5" x14ac:dyDescent="0.35">
      <c r="A34" s="127" t="s">
        <v>6063</v>
      </c>
      <c r="C34" s="127" t="s">
        <v>6698</v>
      </c>
      <c r="D34" s="127" t="s">
        <v>6699</v>
      </c>
      <c r="H34" s="128" t="s">
        <v>6700</v>
      </c>
      <c r="J34" s="127" t="s">
        <v>6701</v>
      </c>
      <c r="K34" s="127" t="s">
        <v>7356</v>
      </c>
      <c r="L34" s="127" t="s">
        <v>7398</v>
      </c>
      <c r="AL34" s="127" t="s">
        <v>6702</v>
      </c>
      <c r="AO34" s="128" t="s">
        <v>6703</v>
      </c>
      <c r="AP34" s="128" t="s">
        <v>6704</v>
      </c>
      <c r="AQ34" s="128" t="s">
        <v>6705</v>
      </c>
      <c r="AR34" s="128" t="s">
        <v>6706</v>
      </c>
      <c r="AS34" s="128" t="s">
        <v>6707</v>
      </c>
      <c r="AT34" s="128" t="s">
        <v>6708</v>
      </c>
      <c r="AU34" s="128" t="s">
        <v>6709</v>
      </c>
      <c r="AV34" s="128" t="s">
        <v>6710</v>
      </c>
      <c r="AW34" s="128" t="s">
        <v>6711</v>
      </c>
      <c r="AX34" s="128" t="s">
        <v>6712</v>
      </c>
      <c r="AY34" s="128" t="s">
        <v>6713</v>
      </c>
      <c r="AZ34" s="128" t="s">
        <v>6714</v>
      </c>
      <c r="BA34" s="128" t="s">
        <v>6715</v>
      </c>
      <c r="BB34" s="128" t="s">
        <v>6716</v>
      </c>
      <c r="BC34" s="128" t="s">
        <v>6717</v>
      </c>
      <c r="BD34" s="128" t="s">
        <v>6718</v>
      </c>
      <c r="BE34" s="128" t="s">
        <v>6719</v>
      </c>
      <c r="BF34" s="128" t="s">
        <v>6720</v>
      </c>
      <c r="BG34" s="128" t="s">
        <v>6721</v>
      </c>
      <c r="BH34" s="128" t="s">
        <v>6722</v>
      </c>
      <c r="BI34" s="128" t="s">
        <v>6723</v>
      </c>
      <c r="BJ34" s="128" t="s">
        <v>6724</v>
      </c>
      <c r="BK34" s="128" t="s">
        <v>6725</v>
      </c>
      <c r="BL34" s="128" t="s">
        <v>6726</v>
      </c>
    </row>
    <row r="35" spans="1:64" ht="409.5" x14ac:dyDescent="0.35">
      <c r="A35" s="127" t="s">
        <v>6063</v>
      </c>
      <c r="C35" s="127" t="s">
        <v>6727</v>
      </c>
      <c r="D35" s="127" t="s">
        <v>6728</v>
      </c>
      <c r="H35" s="128" t="s">
        <v>6729</v>
      </c>
      <c r="J35" s="127" t="s">
        <v>6730</v>
      </c>
      <c r="K35" s="127" t="s">
        <v>7357</v>
      </c>
      <c r="L35" s="127" t="s">
        <v>7399</v>
      </c>
      <c r="AL35" s="127" t="s">
        <v>6731</v>
      </c>
      <c r="AO35" s="128" t="s">
        <v>6732</v>
      </c>
      <c r="AP35" s="128" t="s">
        <v>6733</v>
      </c>
      <c r="AQ35" s="128" t="s">
        <v>6734</v>
      </c>
      <c r="AR35" s="128" t="s">
        <v>6735</v>
      </c>
      <c r="AS35" s="128" t="s">
        <v>6736</v>
      </c>
      <c r="AT35" s="128" t="s">
        <v>6737</v>
      </c>
      <c r="AU35" s="128" t="s">
        <v>6738</v>
      </c>
      <c r="AV35" s="128" t="s">
        <v>6739</v>
      </c>
      <c r="AW35" s="128" t="s">
        <v>6740</v>
      </c>
      <c r="AX35" s="128" t="s">
        <v>6741</v>
      </c>
      <c r="AY35" s="128" t="s">
        <v>6742</v>
      </c>
      <c r="AZ35" s="128" t="s">
        <v>6743</v>
      </c>
      <c r="BA35" s="128" t="s">
        <v>6744</v>
      </c>
      <c r="BB35" s="128" t="s">
        <v>6745</v>
      </c>
      <c r="BC35" s="128" t="s">
        <v>6746</v>
      </c>
      <c r="BD35" s="128" t="s">
        <v>6747</v>
      </c>
      <c r="BE35" s="128" t="s">
        <v>6748</v>
      </c>
      <c r="BF35" s="128" t="s">
        <v>6749</v>
      </c>
      <c r="BG35" s="128" t="s">
        <v>6750</v>
      </c>
      <c r="BH35" s="128" t="s">
        <v>6751</v>
      </c>
      <c r="BI35" s="128" t="s">
        <v>6752</v>
      </c>
      <c r="BJ35" s="128" t="s">
        <v>6753</v>
      </c>
      <c r="BK35" s="128" t="s">
        <v>6754</v>
      </c>
      <c r="BL35" s="128" t="s">
        <v>6755</v>
      </c>
    </row>
    <row r="36" spans="1:64" ht="409.5" x14ac:dyDescent="0.35">
      <c r="A36" s="127" t="s">
        <v>6063</v>
      </c>
      <c r="C36" s="127" t="s">
        <v>6756</v>
      </c>
      <c r="D36" s="127" t="s">
        <v>6757</v>
      </c>
      <c r="H36" s="128" t="s">
        <v>6758</v>
      </c>
      <c r="J36" s="127" t="s">
        <v>6759</v>
      </c>
      <c r="K36" s="127" t="s">
        <v>7358</v>
      </c>
      <c r="L36" s="127" t="s">
        <v>7400</v>
      </c>
      <c r="AL36" s="127" t="s">
        <v>6760</v>
      </c>
      <c r="AO36" s="128" t="s">
        <v>6761</v>
      </c>
      <c r="AP36" s="128" t="s">
        <v>6762</v>
      </c>
      <c r="AQ36" s="128" t="s">
        <v>6763</v>
      </c>
      <c r="AR36" s="128" t="s">
        <v>6764</v>
      </c>
      <c r="AS36" s="128" t="s">
        <v>6765</v>
      </c>
      <c r="AT36" s="128" t="s">
        <v>6766</v>
      </c>
      <c r="AU36" s="128" t="s">
        <v>6767</v>
      </c>
      <c r="AV36" s="128" t="s">
        <v>6768</v>
      </c>
      <c r="AW36" s="128" t="s">
        <v>6769</v>
      </c>
      <c r="AX36" s="128" t="s">
        <v>6770</v>
      </c>
      <c r="AY36" s="128" t="s">
        <v>6771</v>
      </c>
      <c r="AZ36" s="128" t="s">
        <v>6772</v>
      </c>
      <c r="BA36" s="128" t="s">
        <v>6773</v>
      </c>
      <c r="BB36" s="128" t="s">
        <v>6774</v>
      </c>
      <c r="BC36" s="128" t="s">
        <v>6775</v>
      </c>
      <c r="BD36" s="128" t="s">
        <v>6776</v>
      </c>
      <c r="BE36" s="128" t="s">
        <v>6777</v>
      </c>
      <c r="BF36" s="128" t="s">
        <v>6778</v>
      </c>
      <c r="BG36" s="128" t="s">
        <v>6779</v>
      </c>
      <c r="BH36" s="128" t="s">
        <v>6780</v>
      </c>
      <c r="BI36" s="128" t="s">
        <v>6781</v>
      </c>
      <c r="BJ36" s="128" t="s">
        <v>6782</v>
      </c>
      <c r="BK36" s="128" t="s">
        <v>6783</v>
      </c>
      <c r="BL36" s="128" t="s">
        <v>6784</v>
      </c>
    </row>
    <row r="37" spans="1:64" ht="409.5" x14ac:dyDescent="0.35">
      <c r="A37" s="127" t="s">
        <v>6063</v>
      </c>
      <c r="C37" s="127" t="s">
        <v>6785</v>
      </c>
      <c r="D37" s="127" t="s">
        <v>6786</v>
      </c>
      <c r="H37" s="128" t="s">
        <v>6787</v>
      </c>
      <c r="J37" s="127" t="s">
        <v>6788</v>
      </c>
      <c r="K37" s="127" t="s">
        <v>7359</v>
      </c>
      <c r="L37" s="127" t="s">
        <v>7401</v>
      </c>
      <c r="AL37" s="127" t="s">
        <v>6789</v>
      </c>
      <c r="AO37" s="128" t="s">
        <v>6790</v>
      </c>
      <c r="AP37" s="128" t="s">
        <v>6791</v>
      </c>
      <c r="AQ37" s="128" t="s">
        <v>6792</v>
      </c>
      <c r="AR37" s="128" t="s">
        <v>6793</v>
      </c>
      <c r="AS37" s="128" t="s">
        <v>6794</v>
      </c>
      <c r="AT37" s="128" t="s">
        <v>6795</v>
      </c>
      <c r="AU37" s="128" t="s">
        <v>6796</v>
      </c>
      <c r="AV37" s="128" t="s">
        <v>6797</v>
      </c>
      <c r="AW37" s="128" t="s">
        <v>6798</v>
      </c>
      <c r="AX37" s="128" t="s">
        <v>6799</v>
      </c>
      <c r="AY37" s="128" t="s">
        <v>6800</v>
      </c>
      <c r="AZ37" s="128" t="s">
        <v>6801</v>
      </c>
      <c r="BA37" s="128" t="s">
        <v>6802</v>
      </c>
      <c r="BB37" s="128" t="s">
        <v>6803</v>
      </c>
      <c r="BC37" s="128" t="s">
        <v>6804</v>
      </c>
      <c r="BD37" s="128" t="s">
        <v>6805</v>
      </c>
      <c r="BE37" s="128" t="s">
        <v>6806</v>
      </c>
      <c r="BF37" s="128" t="s">
        <v>6807</v>
      </c>
      <c r="BG37" s="128" t="s">
        <v>6808</v>
      </c>
      <c r="BH37" s="128" t="s">
        <v>6809</v>
      </c>
      <c r="BI37" s="128" t="s">
        <v>6810</v>
      </c>
      <c r="BJ37" s="128" t="s">
        <v>6811</v>
      </c>
      <c r="BK37" s="128" t="s">
        <v>6812</v>
      </c>
      <c r="BL37" s="128" t="s">
        <v>6813</v>
      </c>
    </row>
    <row r="38" spans="1:64" ht="409.5" x14ac:dyDescent="0.35">
      <c r="A38" s="127" t="s">
        <v>6063</v>
      </c>
      <c r="C38" s="127" t="s">
        <v>6814</v>
      </c>
      <c r="D38" s="127" t="s">
        <v>6815</v>
      </c>
      <c r="H38" s="128" t="s">
        <v>6816</v>
      </c>
      <c r="J38" s="127" t="s">
        <v>6817</v>
      </c>
      <c r="K38" s="127" t="s">
        <v>7360</v>
      </c>
      <c r="L38" s="127" t="s">
        <v>7402</v>
      </c>
      <c r="AL38" s="127" t="s">
        <v>6818</v>
      </c>
      <c r="AO38" s="128" t="s">
        <v>6819</v>
      </c>
      <c r="AP38" s="128" t="s">
        <v>6820</v>
      </c>
      <c r="AQ38" s="128" t="s">
        <v>6821</v>
      </c>
      <c r="AR38" s="128" t="s">
        <v>6822</v>
      </c>
      <c r="AS38" s="128" t="s">
        <v>6823</v>
      </c>
      <c r="AT38" s="128" t="s">
        <v>6824</v>
      </c>
      <c r="AU38" s="128" t="s">
        <v>6825</v>
      </c>
      <c r="AV38" s="128" t="s">
        <v>6826</v>
      </c>
      <c r="AW38" s="128" t="s">
        <v>6827</v>
      </c>
      <c r="AX38" s="128" t="s">
        <v>6828</v>
      </c>
      <c r="AY38" s="128" t="s">
        <v>6829</v>
      </c>
      <c r="AZ38" s="128" t="s">
        <v>6830</v>
      </c>
      <c r="BA38" s="128" t="s">
        <v>6831</v>
      </c>
      <c r="BB38" s="128" t="s">
        <v>6832</v>
      </c>
      <c r="BC38" s="128" t="s">
        <v>6833</v>
      </c>
      <c r="BD38" s="128" t="s">
        <v>6834</v>
      </c>
      <c r="BE38" s="128" t="s">
        <v>6835</v>
      </c>
      <c r="BF38" s="128" t="s">
        <v>6836</v>
      </c>
      <c r="BG38" s="128" t="s">
        <v>6837</v>
      </c>
      <c r="BH38" s="128" t="s">
        <v>6838</v>
      </c>
      <c r="BI38" s="128" t="s">
        <v>6839</v>
      </c>
      <c r="BJ38" s="128" t="s">
        <v>6840</v>
      </c>
      <c r="BK38" s="128" t="s">
        <v>6841</v>
      </c>
      <c r="BL38" s="128" t="s">
        <v>6842</v>
      </c>
    </row>
    <row r="39" spans="1:64" ht="409.5" x14ac:dyDescent="0.35">
      <c r="A39" s="127" t="s">
        <v>6063</v>
      </c>
      <c r="C39" s="127" t="s">
        <v>6843</v>
      </c>
      <c r="D39" s="127" t="s">
        <v>6844</v>
      </c>
      <c r="H39" s="128" t="s">
        <v>6845</v>
      </c>
      <c r="J39" s="127" t="s">
        <v>6846</v>
      </c>
      <c r="K39" s="127" t="s">
        <v>7361</v>
      </c>
      <c r="L39" s="127" t="s">
        <v>7403</v>
      </c>
      <c r="AL39" s="127" t="s">
        <v>6847</v>
      </c>
      <c r="AO39" s="128" t="s">
        <v>6848</v>
      </c>
      <c r="AP39" s="128" t="s">
        <v>6849</v>
      </c>
      <c r="AQ39" s="128" t="s">
        <v>6850</v>
      </c>
      <c r="AR39" s="128" t="s">
        <v>6851</v>
      </c>
      <c r="AS39" s="128" t="s">
        <v>6852</v>
      </c>
      <c r="AT39" s="128" t="s">
        <v>6853</v>
      </c>
      <c r="AU39" s="128" t="s">
        <v>6854</v>
      </c>
      <c r="AV39" s="128" t="s">
        <v>6855</v>
      </c>
      <c r="AW39" s="128" t="s">
        <v>6856</v>
      </c>
      <c r="AX39" s="128" t="s">
        <v>6857</v>
      </c>
      <c r="AY39" s="128" t="s">
        <v>6858</v>
      </c>
      <c r="AZ39" s="128" t="s">
        <v>6859</v>
      </c>
      <c r="BA39" s="128" t="s">
        <v>6860</v>
      </c>
      <c r="BB39" s="128" t="s">
        <v>6861</v>
      </c>
      <c r="BC39" s="128" t="s">
        <v>6862</v>
      </c>
      <c r="BD39" s="128" t="s">
        <v>6863</v>
      </c>
      <c r="BE39" s="128" t="s">
        <v>6864</v>
      </c>
      <c r="BF39" s="128" t="s">
        <v>6865</v>
      </c>
      <c r="BG39" s="128" t="s">
        <v>6866</v>
      </c>
      <c r="BH39" s="128" t="s">
        <v>6867</v>
      </c>
      <c r="BI39" s="128" t="s">
        <v>6868</v>
      </c>
      <c r="BJ39" s="128" t="s">
        <v>6869</v>
      </c>
      <c r="BK39" s="128" t="s">
        <v>6870</v>
      </c>
      <c r="BL39" s="128" t="s">
        <v>6871</v>
      </c>
    </row>
    <row r="40" spans="1:64" ht="409.5" x14ac:dyDescent="0.35">
      <c r="A40" s="127" t="s">
        <v>6063</v>
      </c>
      <c r="C40" s="127" t="s">
        <v>6872</v>
      </c>
      <c r="D40" s="127" t="s">
        <v>6873</v>
      </c>
      <c r="H40" s="128" t="s">
        <v>6874</v>
      </c>
      <c r="J40" s="127" t="s">
        <v>6875</v>
      </c>
      <c r="K40" s="127" t="s">
        <v>7362</v>
      </c>
      <c r="L40" s="127" t="s">
        <v>7404</v>
      </c>
      <c r="AL40" s="127" t="s">
        <v>6876</v>
      </c>
      <c r="AO40" s="128" t="s">
        <v>6877</v>
      </c>
      <c r="AP40" s="128" t="s">
        <v>6878</v>
      </c>
      <c r="AQ40" s="128" t="s">
        <v>6879</v>
      </c>
      <c r="AR40" s="128" t="s">
        <v>6880</v>
      </c>
      <c r="AS40" s="128" t="s">
        <v>6881</v>
      </c>
      <c r="AT40" s="128" t="s">
        <v>6882</v>
      </c>
      <c r="AU40" s="128" t="s">
        <v>6883</v>
      </c>
      <c r="AV40" s="128" t="s">
        <v>6884</v>
      </c>
      <c r="AW40" s="128" t="s">
        <v>6885</v>
      </c>
      <c r="AX40" s="128" t="s">
        <v>6886</v>
      </c>
      <c r="AY40" s="128" t="s">
        <v>6887</v>
      </c>
      <c r="AZ40" s="128" t="s">
        <v>6888</v>
      </c>
      <c r="BA40" s="128" t="s">
        <v>6889</v>
      </c>
      <c r="BB40" s="128" t="s">
        <v>6890</v>
      </c>
      <c r="BC40" s="128" t="s">
        <v>6891</v>
      </c>
      <c r="BD40" s="128" t="s">
        <v>6892</v>
      </c>
      <c r="BE40" s="128" t="s">
        <v>6893</v>
      </c>
      <c r="BF40" s="128" t="s">
        <v>6894</v>
      </c>
      <c r="BG40" s="128" t="s">
        <v>6895</v>
      </c>
      <c r="BH40" s="128" t="s">
        <v>6896</v>
      </c>
      <c r="BI40" s="128" t="s">
        <v>6897</v>
      </c>
      <c r="BJ40" s="128" t="s">
        <v>6898</v>
      </c>
      <c r="BK40" s="128" t="s">
        <v>6899</v>
      </c>
      <c r="BL40" s="128" t="s">
        <v>6900</v>
      </c>
    </row>
    <row r="41" spans="1:64" ht="409.5" x14ac:dyDescent="0.35">
      <c r="A41" s="127" t="s">
        <v>6063</v>
      </c>
      <c r="C41" s="127" t="s">
        <v>6901</v>
      </c>
      <c r="D41" s="127" t="s">
        <v>6902</v>
      </c>
      <c r="H41" s="128" t="s">
        <v>6903</v>
      </c>
      <c r="J41" s="127" t="s">
        <v>6904</v>
      </c>
      <c r="K41" s="127" t="s">
        <v>7363</v>
      </c>
      <c r="L41" s="127" t="s">
        <v>7405</v>
      </c>
      <c r="AL41" s="127" t="s">
        <v>6905</v>
      </c>
      <c r="AO41" s="128" t="s">
        <v>6906</v>
      </c>
      <c r="AP41" s="128" t="s">
        <v>6907</v>
      </c>
      <c r="AQ41" s="128" t="s">
        <v>6908</v>
      </c>
      <c r="AR41" s="128" t="s">
        <v>6909</v>
      </c>
      <c r="AS41" s="128" t="s">
        <v>6910</v>
      </c>
      <c r="AT41" s="128" t="s">
        <v>6911</v>
      </c>
      <c r="AU41" s="128" t="s">
        <v>6912</v>
      </c>
      <c r="AV41" s="128" t="s">
        <v>6913</v>
      </c>
      <c r="AW41" s="128" t="s">
        <v>6914</v>
      </c>
      <c r="AX41" s="128" t="s">
        <v>6915</v>
      </c>
      <c r="AY41" s="128" t="s">
        <v>6916</v>
      </c>
      <c r="AZ41" s="128" t="s">
        <v>6917</v>
      </c>
      <c r="BA41" s="128" t="s">
        <v>6918</v>
      </c>
      <c r="BB41" s="128" t="s">
        <v>6919</v>
      </c>
      <c r="BC41" s="128" t="s">
        <v>6920</v>
      </c>
      <c r="BD41" s="128" t="s">
        <v>6921</v>
      </c>
      <c r="BE41" s="128" t="s">
        <v>6922</v>
      </c>
      <c r="BF41" s="128" t="s">
        <v>6923</v>
      </c>
      <c r="BG41" s="128" t="s">
        <v>6924</v>
      </c>
      <c r="BH41" s="128" t="s">
        <v>6925</v>
      </c>
      <c r="BI41" s="128" t="s">
        <v>6926</v>
      </c>
      <c r="BJ41" s="128" t="s">
        <v>6927</v>
      </c>
      <c r="BK41" s="128" t="s">
        <v>6928</v>
      </c>
      <c r="BL41" s="128" t="s">
        <v>6929</v>
      </c>
    </row>
    <row r="42" spans="1:64" ht="409.5" x14ac:dyDescent="0.35">
      <c r="A42" s="127" t="s">
        <v>6063</v>
      </c>
      <c r="C42" s="127" t="s">
        <v>6930</v>
      </c>
      <c r="D42" s="127" t="s">
        <v>6931</v>
      </c>
      <c r="H42" s="128" t="s">
        <v>6932</v>
      </c>
      <c r="J42" s="127" t="s">
        <v>6933</v>
      </c>
      <c r="K42" s="127" t="s">
        <v>7364</v>
      </c>
      <c r="L42" s="127" t="s">
        <v>7406</v>
      </c>
      <c r="AL42" s="127" t="s">
        <v>6934</v>
      </c>
      <c r="AO42" s="128" t="s">
        <v>6935</v>
      </c>
      <c r="AP42" s="128" t="s">
        <v>6936</v>
      </c>
      <c r="AQ42" s="128" t="s">
        <v>6937</v>
      </c>
      <c r="AR42" s="128" t="s">
        <v>6938</v>
      </c>
      <c r="AS42" s="128" t="s">
        <v>6939</v>
      </c>
      <c r="AT42" s="128" t="s">
        <v>6940</v>
      </c>
      <c r="AU42" s="128" t="s">
        <v>6941</v>
      </c>
      <c r="AV42" s="128" t="s">
        <v>6942</v>
      </c>
      <c r="AW42" s="128" t="s">
        <v>6943</v>
      </c>
      <c r="AX42" s="128" t="s">
        <v>6944</v>
      </c>
      <c r="AY42" s="128" t="s">
        <v>6945</v>
      </c>
      <c r="AZ42" s="128" t="s">
        <v>6946</v>
      </c>
      <c r="BA42" s="128" t="s">
        <v>6947</v>
      </c>
      <c r="BB42" s="128" t="s">
        <v>6948</v>
      </c>
      <c r="BC42" s="128" t="s">
        <v>6949</v>
      </c>
      <c r="BD42" s="128" t="s">
        <v>6950</v>
      </c>
      <c r="BE42" s="128" t="s">
        <v>6951</v>
      </c>
      <c r="BF42" s="128" t="s">
        <v>6952</v>
      </c>
      <c r="BG42" s="128" t="s">
        <v>6953</v>
      </c>
      <c r="BH42" s="128" t="s">
        <v>6954</v>
      </c>
      <c r="BI42" s="128" t="s">
        <v>6955</v>
      </c>
      <c r="BJ42" s="128" t="s">
        <v>6956</v>
      </c>
      <c r="BK42" s="128" t="s">
        <v>6957</v>
      </c>
      <c r="BL42" s="128" t="s">
        <v>6958</v>
      </c>
    </row>
    <row r="43" spans="1:64" ht="409.5" x14ac:dyDescent="0.35">
      <c r="A43" s="127" t="s">
        <v>6063</v>
      </c>
      <c r="C43" s="127" t="s">
        <v>6959</v>
      </c>
      <c r="D43" s="127" t="s">
        <v>6960</v>
      </c>
      <c r="H43" s="128" t="s">
        <v>6961</v>
      </c>
      <c r="J43" s="127" t="s">
        <v>6962</v>
      </c>
      <c r="K43" s="127" t="s">
        <v>7365</v>
      </c>
      <c r="L43" s="127" t="s">
        <v>7407</v>
      </c>
      <c r="AL43" s="127" t="s">
        <v>6963</v>
      </c>
      <c r="AO43" s="128" t="s">
        <v>6964</v>
      </c>
      <c r="AP43" s="128" t="s">
        <v>6965</v>
      </c>
      <c r="AQ43" s="128" t="s">
        <v>6966</v>
      </c>
      <c r="AR43" s="128" t="s">
        <v>6967</v>
      </c>
      <c r="AS43" s="128" t="s">
        <v>6968</v>
      </c>
      <c r="AT43" s="128" t="s">
        <v>6969</v>
      </c>
      <c r="AU43" s="128" t="s">
        <v>6970</v>
      </c>
      <c r="AV43" s="128" t="s">
        <v>6971</v>
      </c>
      <c r="AW43" s="128" t="s">
        <v>6972</v>
      </c>
      <c r="AX43" s="128" t="s">
        <v>6973</v>
      </c>
      <c r="AY43" s="128" t="s">
        <v>6974</v>
      </c>
      <c r="AZ43" s="128" t="s">
        <v>6975</v>
      </c>
      <c r="BA43" s="128" t="s">
        <v>6976</v>
      </c>
      <c r="BB43" s="128" t="s">
        <v>6977</v>
      </c>
      <c r="BC43" s="128" t="s">
        <v>6978</v>
      </c>
      <c r="BD43" s="128" t="s">
        <v>6979</v>
      </c>
      <c r="BE43" s="128" t="s">
        <v>6980</v>
      </c>
      <c r="BF43" s="128" t="s">
        <v>6981</v>
      </c>
      <c r="BG43" s="128" t="s">
        <v>6982</v>
      </c>
      <c r="BH43" s="128" t="s">
        <v>6983</v>
      </c>
      <c r="BI43" s="128" t="s">
        <v>6984</v>
      </c>
      <c r="BJ43" s="128" t="s">
        <v>6985</v>
      </c>
      <c r="BK43" s="128" t="s">
        <v>6986</v>
      </c>
      <c r="BL43" s="128" t="s">
        <v>6987</v>
      </c>
    </row>
    <row r="44" spans="1:64" ht="409.5" x14ac:dyDescent="0.35">
      <c r="A44" s="127" t="s">
        <v>6063</v>
      </c>
      <c r="C44" s="127" t="s">
        <v>6988</v>
      </c>
      <c r="D44" s="127" t="s">
        <v>6989</v>
      </c>
      <c r="H44" s="128" t="s">
        <v>6990</v>
      </c>
      <c r="J44" s="127" t="s">
        <v>6991</v>
      </c>
      <c r="K44" s="127" t="s">
        <v>7366</v>
      </c>
      <c r="L44" s="127" t="s">
        <v>7408</v>
      </c>
      <c r="AL44" s="127" t="s">
        <v>6992</v>
      </c>
      <c r="AO44" s="128" t="s">
        <v>6993</v>
      </c>
      <c r="AP44" s="128" t="s">
        <v>6994</v>
      </c>
      <c r="AQ44" s="128" t="s">
        <v>6995</v>
      </c>
      <c r="AR44" s="128" t="s">
        <v>6996</v>
      </c>
      <c r="AS44" s="128" t="s">
        <v>6997</v>
      </c>
      <c r="AT44" s="128" t="s">
        <v>6998</v>
      </c>
      <c r="AU44" s="128" t="s">
        <v>6999</v>
      </c>
      <c r="AV44" s="128" t="s">
        <v>7000</v>
      </c>
      <c r="AW44" s="128" t="s">
        <v>7001</v>
      </c>
      <c r="AX44" s="128" t="s">
        <v>7002</v>
      </c>
      <c r="AY44" s="128" t="s">
        <v>7003</v>
      </c>
      <c r="AZ44" s="128" t="s">
        <v>7004</v>
      </c>
      <c r="BA44" s="128" t="s">
        <v>7005</v>
      </c>
      <c r="BB44" s="128" t="s">
        <v>7006</v>
      </c>
      <c r="BC44" s="128" t="s">
        <v>7007</v>
      </c>
      <c r="BD44" s="128" t="s">
        <v>7008</v>
      </c>
      <c r="BE44" s="128" t="s">
        <v>7009</v>
      </c>
      <c r="BF44" s="128" t="s">
        <v>7010</v>
      </c>
      <c r="BG44" s="128" t="s">
        <v>7011</v>
      </c>
      <c r="BH44" s="128" t="s">
        <v>7012</v>
      </c>
      <c r="BI44" s="128" t="s">
        <v>7013</v>
      </c>
      <c r="BJ44" s="128" t="s">
        <v>7014</v>
      </c>
      <c r="BK44" s="128" t="s">
        <v>7015</v>
      </c>
      <c r="BL44" s="128" t="s">
        <v>7016</v>
      </c>
    </row>
    <row r="45" spans="1:64" ht="409.5" x14ac:dyDescent="0.35">
      <c r="A45" s="127" t="s">
        <v>6063</v>
      </c>
      <c r="C45" s="127" t="s">
        <v>7017</v>
      </c>
      <c r="D45" s="127" t="s">
        <v>7018</v>
      </c>
      <c r="H45" s="128" t="s">
        <v>7019</v>
      </c>
      <c r="J45" s="127" t="s">
        <v>7020</v>
      </c>
      <c r="K45" s="127" t="s">
        <v>7367</v>
      </c>
      <c r="L45" s="127" t="s">
        <v>7409</v>
      </c>
      <c r="AL45" s="127" t="s">
        <v>7021</v>
      </c>
      <c r="AO45" s="128" t="s">
        <v>7022</v>
      </c>
      <c r="AP45" s="128" t="s">
        <v>7023</v>
      </c>
      <c r="AQ45" s="128" t="s">
        <v>7024</v>
      </c>
      <c r="AR45" s="128" t="s">
        <v>7025</v>
      </c>
      <c r="AS45" s="128" t="s">
        <v>7026</v>
      </c>
      <c r="AT45" s="128" t="s">
        <v>7027</v>
      </c>
      <c r="AU45" s="128" t="s">
        <v>7028</v>
      </c>
      <c r="AV45" s="128" t="s">
        <v>7029</v>
      </c>
      <c r="AW45" s="128" t="s">
        <v>7030</v>
      </c>
      <c r="AX45" s="128" t="s">
        <v>7031</v>
      </c>
      <c r="AY45" s="128" t="s">
        <v>7032</v>
      </c>
      <c r="AZ45" s="128" t="s">
        <v>7033</v>
      </c>
      <c r="BA45" s="128" t="s">
        <v>7034</v>
      </c>
      <c r="BB45" s="128" t="s">
        <v>7035</v>
      </c>
      <c r="BC45" s="128" t="s">
        <v>7036</v>
      </c>
      <c r="BD45" s="128" t="s">
        <v>7037</v>
      </c>
      <c r="BE45" s="128" t="s">
        <v>7038</v>
      </c>
      <c r="BF45" s="128" t="s">
        <v>7039</v>
      </c>
      <c r="BG45" s="128" t="s">
        <v>7040</v>
      </c>
      <c r="BH45" s="128" t="s">
        <v>7041</v>
      </c>
      <c r="BI45" s="128" t="s">
        <v>7042</v>
      </c>
      <c r="BJ45" s="128" t="s">
        <v>7043</v>
      </c>
      <c r="BK45" s="128" t="s">
        <v>7044</v>
      </c>
      <c r="BL45" s="128" t="s">
        <v>7045</v>
      </c>
    </row>
    <row r="46" spans="1:64" ht="409.5" x14ac:dyDescent="0.35">
      <c r="A46" s="127" t="s">
        <v>6063</v>
      </c>
      <c r="C46" s="127" t="s">
        <v>7046</v>
      </c>
      <c r="D46" s="127" t="s">
        <v>7047</v>
      </c>
      <c r="H46" s="128" t="s">
        <v>7048</v>
      </c>
      <c r="J46" s="127" t="s">
        <v>7049</v>
      </c>
      <c r="K46" s="127" t="s">
        <v>7368</v>
      </c>
      <c r="L46" s="127" t="s">
        <v>7410</v>
      </c>
      <c r="AL46" s="127" t="s">
        <v>7050</v>
      </c>
      <c r="AO46" s="128" t="s">
        <v>7051</v>
      </c>
      <c r="AP46" s="128" t="s">
        <v>7052</v>
      </c>
      <c r="AQ46" s="128" t="s">
        <v>7053</v>
      </c>
      <c r="AR46" s="128" t="s">
        <v>7054</v>
      </c>
      <c r="AS46" s="128" t="s">
        <v>7055</v>
      </c>
      <c r="AT46" s="128" t="s">
        <v>7056</v>
      </c>
      <c r="AU46" s="128" t="s">
        <v>7057</v>
      </c>
      <c r="AV46" s="128" t="s">
        <v>7058</v>
      </c>
      <c r="AW46" s="128" t="s">
        <v>7059</v>
      </c>
      <c r="AX46" s="128" t="s">
        <v>7060</v>
      </c>
      <c r="AY46" s="128" t="s">
        <v>7061</v>
      </c>
      <c r="AZ46" s="128" t="s">
        <v>7062</v>
      </c>
      <c r="BA46" s="128" t="s">
        <v>7063</v>
      </c>
      <c r="BB46" s="128" t="s">
        <v>7064</v>
      </c>
      <c r="BC46" s="128" t="s">
        <v>7065</v>
      </c>
      <c r="BD46" s="128" t="s">
        <v>7066</v>
      </c>
      <c r="BE46" s="128" t="s">
        <v>7067</v>
      </c>
      <c r="BF46" s="128" t="s">
        <v>7068</v>
      </c>
      <c r="BG46" s="128" t="s">
        <v>7069</v>
      </c>
      <c r="BH46" s="128" t="s">
        <v>7070</v>
      </c>
      <c r="BI46" s="128" t="s">
        <v>7071</v>
      </c>
      <c r="BJ46" s="128" t="s">
        <v>7072</v>
      </c>
      <c r="BK46" s="128" t="s">
        <v>7073</v>
      </c>
      <c r="BL46" s="128" t="s">
        <v>7074</v>
      </c>
    </row>
    <row r="47" spans="1:64" ht="409.5" x14ac:dyDescent="0.35">
      <c r="A47" s="127" t="s">
        <v>6063</v>
      </c>
      <c r="C47" s="127" t="s">
        <v>7075</v>
      </c>
      <c r="D47" s="127" t="s">
        <v>7076</v>
      </c>
      <c r="H47" s="128" t="s">
        <v>7077</v>
      </c>
      <c r="J47" s="127" t="s">
        <v>7078</v>
      </c>
      <c r="K47" s="127" t="s">
        <v>7369</v>
      </c>
      <c r="L47" s="127" t="s">
        <v>7411</v>
      </c>
      <c r="AL47" s="127" t="s">
        <v>7079</v>
      </c>
      <c r="AO47" s="128" t="s">
        <v>7080</v>
      </c>
      <c r="AP47" s="128" t="s">
        <v>7081</v>
      </c>
      <c r="AQ47" s="128" t="s">
        <v>7082</v>
      </c>
      <c r="AR47" s="128" t="s">
        <v>7083</v>
      </c>
      <c r="AS47" s="128" t="s">
        <v>7084</v>
      </c>
      <c r="AT47" s="128" t="s">
        <v>7085</v>
      </c>
      <c r="AU47" s="128" t="s">
        <v>7086</v>
      </c>
      <c r="AV47" s="128" t="s">
        <v>7087</v>
      </c>
      <c r="AW47" s="128" t="s">
        <v>7088</v>
      </c>
      <c r="AX47" s="128" t="s">
        <v>7089</v>
      </c>
      <c r="AY47" s="128" t="s">
        <v>7090</v>
      </c>
      <c r="AZ47" s="128" t="s">
        <v>7091</v>
      </c>
      <c r="BA47" s="128" t="s">
        <v>7092</v>
      </c>
      <c r="BB47" s="128" t="s">
        <v>7093</v>
      </c>
      <c r="BC47" s="128" t="s">
        <v>7094</v>
      </c>
      <c r="BD47" s="128" t="s">
        <v>7095</v>
      </c>
      <c r="BE47" s="128" t="s">
        <v>7096</v>
      </c>
      <c r="BF47" s="128" t="s">
        <v>7097</v>
      </c>
      <c r="BG47" s="128" t="s">
        <v>7098</v>
      </c>
      <c r="BH47" s="128" t="s">
        <v>7099</v>
      </c>
      <c r="BI47" s="128" t="s">
        <v>7100</v>
      </c>
      <c r="BJ47" s="128" t="s">
        <v>7101</v>
      </c>
      <c r="BK47" s="128" t="s">
        <v>7102</v>
      </c>
      <c r="BL47" s="128" t="s">
        <v>7103</v>
      </c>
    </row>
    <row r="48" spans="1:64" ht="409.5" x14ac:dyDescent="0.35">
      <c r="A48" s="127" t="s">
        <v>6063</v>
      </c>
      <c r="C48" s="127" t="s">
        <v>7104</v>
      </c>
      <c r="D48" s="127" t="s">
        <v>7105</v>
      </c>
      <c r="H48" s="128" t="s">
        <v>7106</v>
      </c>
      <c r="J48" s="127" t="s">
        <v>7107</v>
      </c>
      <c r="K48" s="127" t="s">
        <v>7370</v>
      </c>
      <c r="L48" s="127" t="s">
        <v>7412</v>
      </c>
      <c r="AL48" s="127" t="s">
        <v>7108</v>
      </c>
      <c r="AO48" s="128" t="s">
        <v>7109</v>
      </c>
      <c r="AP48" s="128" t="s">
        <v>7110</v>
      </c>
      <c r="AQ48" s="128" t="s">
        <v>7111</v>
      </c>
      <c r="AR48" s="128" t="s">
        <v>7112</v>
      </c>
      <c r="AS48" s="128" t="s">
        <v>7113</v>
      </c>
      <c r="AT48" s="128" t="s">
        <v>7114</v>
      </c>
      <c r="AU48" s="128" t="s">
        <v>7115</v>
      </c>
      <c r="AV48" s="128" t="s">
        <v>7116</v>
      </c>
      <c r="AW48" s="128" t="s">
        <v>7117</v>
      </c>
      <c r="AX48" s="128" t="s">
        <v>7118</v>
      </c>
      <c r="AY48" s="128" t="s">
        <v>7119</v>
      </c>
      <c r="AZ48" s="128" t="s">
        <v>7120</v>
      </c>
      <c r="BA48" s="128" t="s">
        <v>7121</v>
      </c>
      <c r="BB48" s="128" t="s">
        <v>7122</v>
      </c>
      <c r="BC48" s="128" t="s">
        <v>7123</v>
      </c>
      <c r="BD48" s="128" t="s">
        <v>7124</v>
      </c>
      <c r="BE48" s="128" t="s">
        <v>7125</v>
      </c>
      <c r="BF48" s="128" t="s">
        <v>7126</v>
      </c>
      <c r="BG48" s="128" t="s">
        <v>7127</v>
      </c>
      <c r="BH48" s="128" t="s">
        <v>7128</v>
      </c>
      <c r="BI48" s="128" t="s">
        <v>7129</v>
      </c>
      <c r="BJ48" s="128" t="s">
        <v>7130</v>
      </c>
      <c r="BK48" s="128" t="s">
        <v>7131</v>
      </c>
      <c r="BL48" s="128" t="s">
        <v>7132</v>
      </c>
    </row>
    <row r="49" spans="1:64" ht="409.5" x14ac:dyDescent="0.35">
      <c r="A49" s="127" t="s">
        <v>6063</v>
      </c>
      <c r="C49" s="127" t="s">
        <v>7133</v>
      </c>
      <c r="D49" s="127" t="s">
        <v>7134</v>
      </c>
      <c r="H49" s="128" t="s">
        <v>7135</v>
      </c>
      <c r="J49" s="127" t="s">
        <v>7136</v>
      </c>
      <c r="K49" s="127" t="s">
        <v>7371</v>
      </c>
      <c r="L49" s="127" t="s">
        <v>7413</v>
      </c>
      <c r="AL49" s="127" t="s">
        <v>7137</v>
      </c>
      <c r="AO49" s="128" t="s">
        <v>7138</v>
      </c>
      <c r="AP49" s="128" t="s">
        <v>7139</v>
      </c>
      <c r="AQ49" s="128" t="s">
        <v>7140</v>
      </c>
      <c r="AR49" s="128" t="s">
        <v>7141</v>
      </c>
      <c r="AS49" s="128" t="s">
        <v>7142</v>
      </c>
      <c r="AT49" s="128" t="s">
        <v>7143</v>
      </c>
      <c r="AU49" s="128" t="s">
        <v>7144</v>
      </c>
      <c r="AV49" s="128" t="s">
        <v>7145</v>
      </c>
      <c r="AW49" s="128" t="s">
        <v>7146</v>
      </c>
      <c r="AX49" s="128" t="s">
        <v>7147</v>
      </c>
      <c r="AY49" s="128" t="s">
        <v>7148</v>
      </c>
      <c r="AZ49" s="128" t="s">
        <v>7149</v>
      </c>
      <c r="BA49" s="128" t="s">
        <v>7150</v>
      </c>
      <c r="BB49" s="128" t="s">
        <v>7151</v>
      </c>
      <c r="BC49" s="128" t="s">
        <v>7152</v>
      </c>
      <c r="BD49" s="128" t="s">
        <v>7153</v>
      </c>
      <c r="BE49" s="128" t="s">
        <v>7154</v>
      </c>
      <c r="BF49" s="128" t="s">
        <v>7155</v>
      </c>
      <c r="BG49" s="128" t="s">
        <v>7156</v>
      </c>
      <c r="BH49" s="128" t="s">
        <v>7157</v>
      </c>
      <c r="BI49" s="128" t="s">
        <v>7158</v>
      </c>
      <c r="BJ49" s="128" t="s">
        <v>7159</v>
      </c>
      <c r="BK49" s="128" t="s">
        <v>7160</v>
      </c>
      <c r="BL49" s="128" t="s">
        <v>7161</v>
      </c>
    </row>
    <row r="50" spans="1:64" ht="409.5" x14ac:dyDescent="0.35">
      <c r="A50" s="127" t="s">
        <v>6063</v>
      </c>
      <c r="C50" s="127" t="s">
        <v>7162</v>
      </c>
      <c r="D50" s="127" t="s">
        <v>7163</v>
      </c>
      <c r="H50" s="128" t="s">
        <v>7164</v>
      </c>
      <c r="J50" s="127" t="s">
        <v>7165</v>
      </c>
      <c r="K50" s="127" t="s">
        <v>7372</v>
      </c>
      <c r="L50" s="127" t="s">
        <v>7414</v>
      </c>
      <c r="AL50" s="127" t="s">
        <v>7166</v>
      </c>
      <c r="AO50" s="128" t="s">
        <v>7167</v>
      </c>
      <c r="AP50" s="128" t="s">
        <v>7168</v>
      </c>
      <c r="AQ50" s="128" t="s">
        <v>7169</v>
      </c>
      <c r="AR50" s="128" t="s">
        <v>7170</v>
      </c>
      <c r="AS50" s="128" t="s">
        <v>7171</v>
      </c>
      <c r="AT50" s="128" t="s">
        <v>7172</v>
      </c>
      <c r="AU50" s="128" t="s">
        <v>7173</v>
      </c>
      <c r="AV50" s="128" t="s">
        <v>7174</v>
      </c>
      <c r="AW50" s="128" t="s">
        <v>7175</v>
      </c>
      <c r="AX50" s="128" t="s">
        <v>7176</v>
      </c>
      <c r="AY50" s="128" t="s">
        <v>7177</v>
      </c>
      <c r="AZ50" s="128" t="s">
        <v>7178</v>
      </c>
      <c r="BA50" s="128" t="s">
        <v>7179</v>
      </c>
      <c r="BB50" s="128" t="s">
        <v>7180</v>
      </c>
      <c r="BC50" s="128" t="s">
        <v>7181</v>
      </c>
      <c r="BD50" s="128" t="s">
        <v>7182</v>
      </c>
      <c r="BE50" s="128" t="s">
        <v>7183</v>
      </c>
      <c r="BF50" s="128" t="s">
        <v>7184</v>
      </c>
      <c r="BG50" s="128" t="s">
        <v>7185</v>
      </c>
      <c r="BH50" s="128" t="s">
        <v>7186</v>
      </c>
      <c r="BI50" s="128" t="s">
        <v>7187</v>
      </c>
      <c r="BJ50" s="128" t="s">
        <v>7188</v>
      </c>
      <c r="BK50" s="128" t="s">
        <v>7189</v>
      </c>
      <c r="BL50" s="128" t="s">
        <v>7190</v>
      </c>
    </row>
    <row r="51" spans="1:64" ht="409.5" x14ac:dyDescent="0.35">
      <c r="A51" s="127" t="s">
        <v>6063</v>
      </c>
      <c r="C51" s="127" t="s">
        <v>7191</v>
      </c>
      <c r="D51" s="127" t="s">
        <v>7192</v>
      </c>
      <c r="H51" s="128" t="s">
        <v>7193</v>
      </c>
      <c r="J51" s="127" t="s">
        <v>7194</v>
      </c>
      <c r="K51" s="127" t="s">
        <v>7373</v>
      </c>
      <c r="L51" s="127" t="s">
        <v>7415</v>
      </c>
      <c r="AL51" s="127" t="s">
        <v>7195</v>
      </c>
      <c r="AO51" s="128" t="s">
        <v>7196</v>
      </c>
      <c r="AP51" s="128" t="s">
        <v>7197</v>
      </c>
      <c r="AQ51" s="128" t="s">
        <v>7198</v>
      </c>
      <c r="AR51" s="128" t="s">
        <v>7199</v>
      </c>
      <c r="AS51" s="128" t="s">
        <v>7200</v>
      </c>
      <c r="AT51" s="128" t="s">
        <v>7201</v>
      </c>
      <c r="AU51" s="128" t="s">
        <v>7202</v>
      </c>
      <c r="AV51" s="128" t="s">
        <v>7203</v>
      </c>
      <c r="AW51" s="128" t="s">
        <v>7204</v>
      </c>
      <c r="AX51" s="128" t="s">
        <v>7205</v>
      </c>
      <c r="AY51" s="128" t="s">
        <v>7206</v>
      </c>
      <c r="AZ51" s="128" t="s">
        <v>7207</v>
      </c>
      <c r="BA51" s="128" t="s">
        <v>7208</v>
      </c>
      <c r="BB51" s="128" t="s">
        <v>7209</v>
      </c>
      <c r="BC51" s="128" t="s">
        <v>7210</v>
      </c>
      <c r="BD51" s="128" t="s">
        <v>7211</v>
      </c>
      <c r="BE51" s="128" t="s">
        <v>7212</v>
      </c>
      <c r="BF51" s="128" t="s">
        <v>7213</v>
      </c>
      <c r="BG51" s="128" t="s">
        <v>7214</v>
      </c>
      <c r="BH51" s="128" t="s">
        <v>7215</v>
      </c>
      <c r="BI51" s="128" t="s">
        <v>7216</v>
      </c>
      <c r="BJ51" s="128" t="s">
        <v>7217</v>
      </c>
      <c r="BK51" s="128" t="s">
        <v>7218</v>
      </c>
      <c r="BL51" s="128" t="s">
        <v>7219</v>
      </c>
    </row>
    <row r="52" spans="1:64" ht="409.5" x14ac:dyDescent="0.35">
      <c r="A52" s="127" t="s">
        <v>6063</v>
      </c>
      <c r="C52" s="127" t="s">
        <v>7220</v>
      </c>
      <c r="D52" s="127" t="s">
        <v>7221</v>
      </c>
      <c r="H52" s="128" t="s">
        <v>7222</v>
      </c>
      <c r="J52" s="127" t="s">
        <v>7223</v>
      </c>
      <c r="K52" s="127" t="s">
        <v>7374</v>
      </c>
      <c r="L52" s="127" t="s">
        <v>7416</v>
      </c>
      <c r="AL52" s="127" t="s">
        <v>7224</v>
      </c>
      <c r="AO52" s="128" t="s">
        <v>7225</v>
      </c>
      <c r="AP52" s="128" t="s">
        <v>7226</v>
      </c>
      <c r="AQ52" s="128" t="s">
        <v>7227</v>
      </c>
      <c r="AR52" s="128" t="s">
        <v>7228</v>
      </c>
      <c r="AS52" s="128" t="s">
        <v>7229</v>
      </c>
      <c r="AT52" s="128" t="s">
        <v>7230</v>
      </c>
      <c r="AU52" s="128" t="s">
        <v>7231</v>
      </c>
      <c r="AV52" s="128" t="s">
        <v>7232</v>
      </c>
      <c r="AW52" s="128" t="s">
        <v>7233</v>
      </c>
      <c r="AX52" s="128" t="s">
        <v>7234</v>
      </c>
      <c r="AY52" s="128" t="s">
        <v>7235</v>
      </c>
      <c r="AZ52" s="128" t="s">
        <v>7236</v>
      </c>
      <c r="BA52" s="128" t="s">
        <v>7237</v>
      </c>
      <c r="BB52" s="128" t="s">
        <v>7238</v>
      </c>
      <c r="BC52" s="128" t="s">
        <v>7239</v>
      </c>
      <c r="BD52" s="128" t="s">
        <v>7240</v>
      </c>
      <c r="BE52" s="128" t="s">
        <v>7241</v>
      </c>
      <c r="BF52" s="128" t="s">
        <v>7242</v>
      </c>
      <c r="BG52" s="128" t="s">
        <v>7243</v>
      </c>
      <c r="BH52" s="128" t="s">
        <v>7244</v>
      </c>
      <c r="BI52" s="128" t="s">
        <v>7245</v>
      </c>
      <c r="BJ52" s="128" t="s">
        <v>7246</v>
      </c>
      <c r="BK52" s="128" t="s">
        <v>7247</v>
      </c>
      <c r="BL52" s="128" t="s">
        <v>7248</v>
      </c>
    </row>
    <row r="53" spans="1:64" ht="409.5" x14ac:dyDescent="0.35">
      <c r="A53" s="127" t="s">
        <v>6063</v>
      </c>
      <c r="C53" s="127" t="s">
        <v>7249</v>
      </c>
      <c r="D53" s="127" t="s">
        <v>7250</v>
      </c>
      <c r="H53" s="128" t="s">
        <v>7251</v>
      </c>
      <c r="J53" s="127" t="s">
        <v>7252</v>
      </c>
      <c r="K53" s="127" t="s">
        <v>7375</v>
      </c>
      <c r="L53" s="127" t="s">
        <v>7417</v>
      </c>
      <c r="AL53" s="127" t="s">
        <v>7253</v>
      </c>
      <c r="AO53" s="128" t="s">
        <v>7254</v>
      </c>
      <c r="AP53" s="128" t="s">
        <v>7255</v>
      </c>
      <c r="AQ53" s="128" t="s">
        <v>7256</v>
      </c>
      <c r="AR53" s="128" t="s">
        <v>7257</v>
      </c>
      <c r="AS53" s="128" t="s">
        <v>7258</v>
      </c>
      <c r="AT53" s="128" t="s">
        <v>7259</v>
      </c>
      <c r="AU53" s="128" t="s">
        <v>7260</v>
      </c>
      <c r="AV53" s="128" t="s">
        <v>7261</v>
      </c>
      <c r="AW53" s="128" t="s">
        <v>7262</v>
      </c>
      <c r="AX53" s="128" t="s">
        <v>7263</v>
      </c>
      <c r="AY53" s="128" t="s">
        <v>7264</v>
      </c>
      <c r="AZ53" s="128" t="s">
        <v>7265</v>
      </c>
      <c r="BA53" s="128" t="s">
        <v>7266</v>
      </c>
      <c r="BB53" s="128" t="s">
        <v>7267</v>
      </c>
      <c r="BC53" s="128" t="s">
        <v>7268</v>
      </c>
      <c r="BD53" s="128" t="s">
        <v>7269</v>
      </c>
      <c r="BE53" s="128" t="s">
        <v>7270</v>
      </c>
      <c r="BF53" s="128" t="s">
        <v>7271</v>
      </c>
      <c r="BG53" s="128" t="s">
        <v>7272</v>
      </c>
      <c r="BH53" s="128" t="s">
        <v>7273</v>
      </c>
      <c r="BI53" s="128" t="s">
        <v>7274</v>
      </c>
      <c r="BJ53" s="128" t="s">
        <v>7275</v>
      </c>
      <c r="BK53" s="128" t="s">
        <v>7276</v>
      </c>
      <c r="BL53" s="128" t="s">
        <v>7277</v>
      </c>
    </row>
    <row r="54" spans="1:64" ht="409.5" x14ac:dyDescent="0.35">
      <c r="A54" s="127" t="s">
        <v>6063</v>
      </c>
      <c r="C54" s="127" t="s">
        <v>7278</v>
      </c>
      <c r="D54" s="127" t="s">
        <v>7279</v>
      </c>
      <c r="H54" s="128" t="s">
        <v>7280</v>
      </c>
      <c r="J54" s="127" t="s">
        <v>7281</v>
      </c>
      <c r="K54" s="127" t="s">
        <v>7376</v>
      </c>
      <c r="L54" s="127" t="s">
        <v>7418</v>
      </c>
      <c r="AL54" s="127" t="s">
        <v>7282</v>
      </c>
      <c r="AO54" s="128" t="s">
        <v>7283</v>
      </c>
      <c r="AP54" s="128" t="s">
        <v>7284</v>
      </c>
      <c r="AQ54" s="128" t="s">
        <v>7285</v>
      </c>
      <c r="AR54" s="128" t="s">
        <v>7286</v>
      </c>
      <c r="AS54" s="128" t="s">
        <v>7287</v>
      </c>
      <c r="AT54" s="128" t="s">
        <v>7288</v>
      </c>
      <c r="AU54" s="128" t="s">
        <v>7289</v>
      </c>
      <c r="AV54" s="128" t="s">
        <v>7290</v>
      </c>
      <c r="AW54" s="128" t="s">
        <v>7291</v>
      </c>
      <c r="AX54" s="128" t="s">
        <v>7292</v>
      </c>
      <c r="AY54" s="128" t="s">
        <v>7293</v>
      </c>
      <c r="AZ54" s="128" t="s">
        <v>7294</v>
      </c>
      <c r="BA54" s="128" t="s">
        <v>7295</v>
      </c>
      <c r="BB54" s="128" t="s">
        <v>7296</v>
      </c>
      <c r="BC54" s="128" t="s">
        <v>7297</v>
      </c>
      <c r="BD54" s="128" t="s">
        <v>7298</v>
      </c>
      <c r="BE54" s="128" t="s">
        <v>7299</v>
      </c>
      <c r="BF54" s="128" t="s">
        <v>7300</v>
      </c>
      <c r="BG54" s="128" t="s">
        <v>7301</v>
      </c>
      <c r="BH54" s="128" t="s">
        <v>7302</v>
      </c>
      <c r="BI54" s="128" t="s">
        <v>7303</v>
      </c>
      <c r="BJ54" s="128" t="s">
        <v>7304</v>
      </c>
      <c r="BK54" s="128" t="s">
        <v>7305</v>
      </c>
      <c r="BL54" s="128" t="s">
        <v>7306</v>
      </c>
    </row>
    <row r="55" spans="1:64" ht="409.5" x14ac:dyDescent="0.35">
      <c r="A55" s="127" t="s">
        <v>6063</v>
      </c>
      <c r="C55" s="127" t="s">
        <v>7307</v>
      </c>
      <c r="D55" s="127" t="s">
        <v>7308</v>
      </c>
      <c r="H55" s="128" t="s">
        <v>7309</v>
      </c>
      <c r="J55" s="127" t="s">
        <v>7310</v>
      </c>
      <c r="K55" s="127" t="s">
        <v>7377</v>
      </c>
      <c r="L55" s="127" t="s">
        <v>7419</v>
      </c>
      <c r="AL55" s="127" t="s">
        <v>7311</v>
      </c>
      <c r="AO55" s="128" t="s">
        <v>7312</v>
      </c>
      <c r="AP55" s="128" t="s">
        <v>7313</v>
      </c>
      <c r="AQ55" s="128" t="s">
        <v>7314</v>
      </c>
      <c r="AR55" s="128" t="s">
        <v>7315</v>
      </c>
      <c r="AS55" s="128" t="s">
        <v>7316</v>
      </c>
      <c r="AT55" s="128" t="s">
        <v>7317</v>
      </c>
      <c r="AU55" s="128" t="s">
        <v>7318</v>
      </c>
      <c r="AV55" s="128" t="s">
        <v>7319</v>
      </c>
      <c r="AW55" s="128" t="s">
        <v>7320</v>
      </c>
      <c r="AX55" s="128" t="s">
        <v>7321</v>
      </c>
      <c r="AY55" s="128" t="s">
        <v>7322</v>
      </c>
      <c r="AZ55" s="128" t="s">
        <v>7323</v>
      </c>
      <c r="BA55" s="128" t="s">
        <v>7324</v>
      </c>
      <c r="BB55" s="128" t="s">
        <v>7325</v>
      </c>
      <c r="BC55" s="128" t="s">
        <v>7326</v>
      </c>
      <c r="BD55" s="128" t="s">
        <v>7327</v>
      </c>
      <c r="BE55" s="128" t="s">
        <v>7328</v>
      </c>
      <c r="BF55" s="128" t="s">
        <v>7329</v>
      </c>
      <c r="BG55" s="128" t="s">
        <v>7330</v>
      </c>
      <c r="BH55" s="128" t="s">
        <v>7331</v>
      </c>
      <c r="BI55" s="128" t="s">
        <v>7332</v>
      </c>
      <c r="BJ55" s="128" t="s">
        <v>7333</v>
      </c>
      <c r="BK55" s="128" t="s">
        <v>7334</v>
      </c>
      <c r="BL55" s="128" t="s">
        <v>7335</v>
      </c>
    </row>
    <row r="56" spans="1:64" x14ac:dyDescent="0.35">
      <c r="A56" s="127" t="s">
        <v>22</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13"/>
  <sheetViews>
    <sheetView workbookViewId="0"/>
  </sheetViews>
  <sheetFormatPr defaultRowHeight="14.5" x14ac:dyDescent="0.35"/>
  <sheetData>
    <row r="1" spans="1:32" x14ac:dyDescent="0.35">
      <c r="A1" s="127" t="s">
        <v>10022</v>
      </c>
      <c r="B1" s="127" t="s">
        <v>22</v>
      </c>
      <c r="C1" s="127" t="s">
        <v>22</v>
      </c>
      <c r="D1" s="127" t="s">
        <v>22</v>
      </c>
      <c r="G1" s="127" t="s">
        <v>21</v>
      </c>
    </row>
    <row r="2" spans="1:32" x14ac:dyDescent="0.35">
      <c r="A2" s="127" t="s">
        <v>22</v>
      </c>
    </row>
    <row r="3" spans="1:32" ht="87" x14ac:dyDescent="0.35">
      <c r="A3" s="127" t="s">
        <v>22</v>
      </c>
      <c r="C3" s="127" t="s">
        <v>73</v>
      </c>
      <c r="E3" s="127" t="s">
        <v>74</v>
      </c>
      <c r="G3" s="127" t="s">
        <v>268</v>
      </c>
      <c r="I3" s="127" t="s">
        <v>269</v>
      </c>
      <c r="J3" s="128" t="s">
        <v>270</v>
      </c>
      <c r="K3" s="128" t="s">
        <v>271</v>
      </c>
      <c r="L3" s="128" t="s">
        <v>272</v>
      </c>
      <c r="M3" s="128" t="s">
        <v>273</v>
      </c>
      <c r="N3" s="128" t="s">
        <v>274</v>
      </c>
      <c r="O3" s="128" t="s">
        <v>275</v>
      </c>
      <c r="P3" s="128" t="s">
        <v>276</v>
      </c>
      <c r="Q3" s="128" t="s">
        <v>277</v>
      </c>
      <c r="R3" s="128" t="s">
        <v>278</v>
      </c>
      <c r="S3" s="128" t="s">
        <v>279</v>
      </c>
      <c r="T3" s="128" t="s">
        <v>280</v>
      </c>
      <c r="U3" s="128" t="s">
        <v>281</v>
      </c>
      <c r="V3" s="128" t="s">
        <v>282</v>
      </c>
      <c r="W3" s="128" t="s">
        <v>283</v>
      </c>
      <c r="X3" s="128" t="s">
        <v>284</v>
      </c>
      <c r="Y3" s="128" t="s">
        <v>285</v>
      </c>
      <c r="Z3" s="128" t="s">
        <v>286</v>
      </c>
      <c r="AA3" s="128" t="s">
        <v>287</v>
      </c>
      <c r="AB3" s="128" t="s">
        <v>288</v>
      </c>
      <c r="AC3" s="128" t="s">
        <v>289</v>
      </c>
      <c r="AD3" s="128" t="s">
        <v>290</v>
      </c>
      <c r="AE3" s="128" t="s">
        <v>291</v>
      </c>
      <c r="AF3" s="128" t="s">
        <v>292</v>
      </c>
    </row>
    <row r="4" spans="1:32" x14ac:dyDescent="0.35">
      <c r="A4" s="127" t="s">
        <v>22</v>
      </c>
      <c r="C4" s="127" t="s">
        <v>293</v>
      </c>
      <c r="E4" s="127" t="s">
        <v>75</v>
      </c>
      <c r="I4" s="127" t="s">
        <v>294</v>
      </c>
      <c r="J4" s="127" t="s">
        <v>295</v>
      </c>
      <c r="K4" s="127" t="s">
        <v>296</v>
      </c>
      <c r="L4" s="127" t="s">
        <v>297</v>
      </c>
      <c r="M4" s="127" t="s">
        <v>298</v>
      </c>
      <c r="N4" s="127" t="s">
        <v>299</v>
      </c>
      <c r="O4" s="127" t="s">
        <v>300</v>
      </c>
      <c r="P4" s="127" t="s">
        <v>301</v>
      </c>
      <c r="Q4" s="127" t="s">
        <v>302</v>
      </c>
      <c r="R4" s="127" t="s">
        <v>303</v>
      </c>
      <c r="S4" s="127" t="s">
        <v>304</v>
      </c>
      <c r="T4" s="127" t="s">
        <v>305</v>
      </c>
      <c r="U4" s="127" t="s">
        <v>306</v>
      </c>
      <c r="V4" s="127" t="s">
        <v>307</v>
      </c>
      <c r="W4" s="127" t="s">
        <v>308</v>
      </c>
      <c r="X4" s="127" t="s">
        <v>309</v>
      </c>
      <c r="Y4" s="127" t="s">
        <v>310</v>
      </c>
      <c r="Z4" s="127" t="s">
        <v>311</v>
      </c>
      <c r="AA4" s="127" t="s">
        <v>312</v>
      </c>
      <c r="AB4" s="127" t="s">
        <v>313</v>
      </c>
      <c r="AC4" s="127" t="s">
        <v>314</v>
      </c>
      <c r="AD4" s="127" t="s">
        <v>315</v>
      </c>
      <c r="AE4" s="127" t="s">
        <v>316</v>
      </c>
      <c r="AF4" s="127" t="s">
        <v>317</v>
      </c>
    </row>
    <row r="5" spans="1:32" x14ac:dyDescent="0.35">
      <c r="A5" s="127" t="s">
        <v>22</v>
      </c>
    </row>
    <row r="6" spans="1:32" x14ac:dyDescent="0.35">
      <c r="G6" s="127" t="s">
        <v>79</v>
      </c>
      <c r="J6" s="127" t="s">
        <v>90</v>
      </c>
    </row>
    <row r="7" spans="1:32" x14ac:dyDescent="0.35">
      <c r="G7" s="127" t="s">
        <v>78</v>
      </c>
      <c r="J7" s="127" t="s">
        <v>77</v>
      </c>
      <c r="M7" s="127" t="s">
        <v>12</v>
      </c>
      <c r="P7" s="127" t="s">
        <v>20</v>
      </c>
    </row>
    <row r="8" spans="1:32" x14ac:dyDescent="0.35">
      <c r="G8" s="127" t="s">
        <v>88</v>
      </c>
      <c r="H8" s="127" t="s">
        <v>318</v>
      </c>
      <c r="J8" s="127" t="s">
        <v>319</v>
      </c>
    </row>
    <row r="9" spans="1:32" x14ac:dyDescent="0.35">
      <c r="G9" s="127" t="s">
        <v>85</v>
      </c>
      <c r="H9" s="127" t="s">
        <v>320</v>
      </c>
      <c r="J9" s="127" t="s">
        <v>321</v>
      </c>
    </row>
    <row r="10" spans="1:32" x14ac:dyDescent="0.35">
      <c r="J10" s="127" t="s">
        <v>76</v>
      </c>
      <c r="M10" s="127" t="s">
        <v>13</v>
      </c>
      <c r="P10" s="127" t="s">
        <v>89</v>
      </c>
    </row>
    <row r="11" spans="1:32" ht="159.5" x14ac:dyDescent="0.35">
      <c r="E11" s="127" t="s">
        <v>10</v>
      </c>
      <c r="F11" s="127" t="s">
        <v>2</v>
      </c>
      <c r="G11" s="127" t="s">
        <v>3</v>
      </c>
      <c r="H11" s="127" t="s">
        <v>82</v>
      </c>
      <c r="I11" s="128" t="s">
        <v>322</v>
      </c>
      <c r="J11" s="128" t="s">
        <v>323</v>
      </c>
      <c r="K11" s="128" t="s">
        <v>324</v>
      </c>
      <c r="L11" s="128" t="s">
        <v>325</v>
      </c>
      <c r="M11" s="128" t="s">
        <v>326</v>
      </c>
      <c r="N11" s="128" t="s">
        <v>327</v>
      </c>
      <c r="O11" s="128" t="s">
        <v>328</v>
      </c>
      <c r="P11" s="128" t="s">
        <v>329</v>
      </c>
      <c r="Q11" s="128" t="s">
        <v>330</v>
      </c>
      <c r="R11" s="128" t="s">
        <v>331</v>
      </c>
      <c r="S11" s="128" t="s">
        <v>332</v>
      </c>
      <c r="T11" s="128" t="s">
        <v>333</v>
      </c>
      <c r="U11" s="128" t="s">
        <v>334</v>
      </c>
      <c r="V11" s="128" t="s">
        <v>335</v>
      </c>
      <c r="W11" s="128" t="s">
        <v>336</v>
      </c>
      <c r="X11" s="128" t="s">
        <v>337</v>
      </c>
      <c r="Y11" s="128" t="s">
        <v>338</v>
      </c>
      <c r="Z11" s="128" t="s">
        <v>339</v>
      </c>
      <c r="AA11" s="128" t="s">
        <v>340</v>
      </c>
      <c r="AB11" s="128" t="s">
        <v>341</v>
      </c>
      <c r="AC11" s="128" t="s">
        <v>342</v>
      </c>
      <c r="AD11" s="128" t="s">
        <v>343</v>
      </c>
      <c r="AE11" s="128" t="s">
        <v>344</v>
      </c>
      <c r="AF11" s="128" t="s">
        <v>345</v>
      </c>
    </row>
    <row r="12" spans="1:32" x14ac:dyDescent="0.35">
      <c r="H12" s="127" t="s">
        <v>346</v>
      </c>
    </row>
    <row r="14" spans="1:32" ht="319" x14ac:dyDescent="0.35">
      <c r="C14" s="127" t="s">
        <v>269</v>
      </c>
      <c r="E14" s="128" t="s">
        <v>347</v>
      </c>
      <c r="F14" s="128" t="s">
        <v>7422</v>
      </c>
      <c r="G14" s="128" t="s">
        <v>7423</v>
      </c>
      <c r="H14" s="128" t="s">
        <v>350</v>
      </c>
      <c r="I14" s="128" t="s">
        <v>7424</v>
      </c>
      <c r="J14" s="128" t="s">
        <v>7425</v>
      </c>
      <c r="K14" s="128" t="s">
        <v>7426</v>
      </c>
      <c r="L14" s="128" t="s">
        <v>7427</v>
      </c>
      <c r="M14" s="128" t="s">
        <v>7428</v>
      </c>
      <c r="N14" s="128" t="s">
        <v>7429</v>
      </c>
      <c r="O14" s="128" t="s">
        <v>7430</v>
      </c>
      <c r="P14" s="128" t="s">
        <v>7431</v>
      </c>
      <c r="Q14" s="128" t="s">
        <v>7432</v>
      </c>
      <c r="R14" s="128" t="s">
        <v>7433</v>
      </c>
      <c r="S14" s="128" t="s">
        <v>7434</v>
      </c>
      <c r="T14" s="128" t="s">
        <v>7435</v>
      </c>
      <c r="U14" s="128" t="s">
        <v>7436</v>
      </c>
      <c r="V14" s="128" t="s">
        <v>7437</v>
      </c>
      <c r="W14" s="128" t="s">
        <v>7438</v>
      </c>
      <c r="X14" s="128" t="s">
        <v>7439</v>
      </c>
      <c r="Y14" s="128" t="s">
        <v>7440</v>
      </c>
      <c r="Z14" s="128" t="s">
        <v>7441</v>
      </c>
      <c r="AA14" s="128" t="s">
        <v>7442</v>
      </c>
      <c r="AB14" s="128" t="s">
        <v>7443</v>
      </c>
      <c r="AC14" s="128" t="s">
        <v>7444</v>
      </c>
      <c r="AD14" s="128" t="s">
        <v>7445</v>
      </c>
      <c r="AE14" s="128" t="s">
        <v>7446</v>
      </c>
      <c r="AF14" s="128" t="s">
        <v>7447</v>
      </c>
    </row>
    <row r="15" spans="1:32" ht="319" x14ac:dyDescent="0.35">
      <c r="C15" s="128" t="s">
        <v>375</v>
      </c>
      <c r="E15" s="128" t="s">
        <v>376</v>
      </c>
      <c r="F15" s="128" t="s">
        <v>7448</v>
      </c>
      <c r="G15" s="128" t="s">
        <v>7449</v>
      </c>
      <c r="H15" s="128" t="s">
        <v>379</v>
      </c>
      <c r="I15" s="128" t="s">
        <v>7450</v>
      </c>
      <c r="J15" s="128" t="s">
        <v>7451</v>
      </c>
      <c r="K15" s="128" t="s">
        <v>7452</v>
      </c>
      <c r="L15" s="128" t="s">
        <v>7453</v>
      </c>
      <c r="M15" s="128" t="s">
        <v>7454</v>
      </c>
      <c r="N15" s="128" t="s">
        <v>7455</v>
      </c>
      <c r="O15" s="128" t="s">
        <v>7456</v>
      </c>
      <c r="P15" s="128" t="s">
        <v>7457</v>
      </c>
      <c r="Q15" s="128" t="s">
        <v>7458</v>
      </c>
      <c r="R15" s="128" t="s">
        <v>7459</v>
      </c>
      <c r="S15" s="128" t="s">
        <v>7460</v>
      </c>
      <c r="T15" s="128" t="s">
        <v>7461</v>
      </c>
      <c r="U15" s="128" t="s">
        <v>7462</v>
      </c>
      <c r="V15" s="128" t="s">
        <v>7463</v>
      </c>
      <c r="W15" s="128" t="s">
        <v>7464</v>
      </c>
      <c r="X15" s="128" t="s">
        <v>7465</v>
      </c>
      <c r="Y15" s="128" t="s">
        <v>7466</v>
      </c>
      <c r="Z15" s="128" t="s">
        <v>7467</v>
      </c>
      <c r="AA15" s="128" t="s">
        <v>7468</v>
      </c>
      <c r="AB15" s="128" t="s">
        <v>7469</v>
      </c>
      <c r="AC15" s="128" t="s">
        <v>7470</v>
      </c>
      <c r="AD15" s="128" t="s">
        <v>7471</v>
      </c>
      <c r="AE15" s="128" t="s">
        <v>7472</v>
      </c>
      <c r="AF15" s="128" t="s">
        <v>7473</v>
      </c>
    </row>
    <row r="16" spans="1:32" ht="319" x14ac:dyDescent="0.35">
      <c r="C16" s="128" t="s">
        <v>404</v>
      </c>
      <c r="E16" s="128" t="s">
        <v>405</v>
      </c>
      <c r="F16" s="128" t="s">
        <v>7474</v>
      </c>
      <c r="G16" s="128" t="s">
        <v>7475</v>
      </c>
      <c r="H16" s="128" t="s">
        <v>408</v>
      </c>
      <c r="I16" s="128" t="s">
        <v>7476</v>
      </c>
      <c r="J16" s="128" t="s">
        <v>7477</v>
      </c>
      <c r="K16" s="128" t="s">
        <v>7478</v>
      </c>
      <c r="L16" s="128" t="s">
        <v>7479</v>
      </c>
      <c r="M16" s="128" t="s">
        <v>7480</v>
      </c>
      <c r="N16" s="128" t="s">
        <v>7481</v>
      </c>
      <c r="O16" s="128" t="s">
        <v>7482</v>
      </c>
      <c r="P16" s="128" t="s">
        <v>7483</v>
      </c>
      <c r="Q16" s="128" t="s">
        <v>7484</v>
      </c>
      <c r="R16" s="128" t="s">
        <v>7485</v>
      </c>
      <c r="S16" s="128" t="s">
        <v>7486</v>
      </c>
      <c r="T16" s="128" t="s">
        <v>7487</v>
      </c>
      <c r="U16" s="128" t="s">
        <v>7488</v>
      </c>
      <c r="V16" s="128" t="s">
        <v>7489</v>
      </c>
      <c r="W16" s="128" t="s">
        <v>7490</v>
      </c>
      <c r="X16" s="128" t="s">
        <v>7491</v>
      </c>
      <c r="Y16" s="128" t="s">
        <v>7492</v>
      </c>
      <c r="Z16" s="128" t="s">
        <v>7493</v>
      </c>
      <c r="AA16" s="128" t="s">
        <v>7494</v>
      </c>
      <c r="AB16" s="128" t="s">
        <v>7495</v>
      </c>
      <c r="AC16" s="128" t="s">
        <v>7496</v>
      </c>
      <c r="AD16" s="128" t="s">
        <v>7497</v>
      </c>
      <c r="AE16" s="128" t="s">
        <v>7498</v>
      </c>
      <c r="AF16" s="128" t="s">
        <v>7499</v>
      </c>
    </row>
    <row r="17" spans="3:32" ht="319" x14ac:dyDescent="0.35">
      <c r="C17" s="128" t="s">
        <v>433</v>
      </c>
      <c r="E17" s="128" t="s">
        <v>434</v>
      </c>
      <c r="F17" s="128" t="s">
        <v>7500</v>
      </c>
      <c r="G17" s="128" t="s">
        <v>7501</v>
      </c>
      <c r="H17" s="128" t="s">
        <v>437</v>
      </c>
      <c r="I17" s="128" t="s">
        <v>7502</v>
      </c>
      <c r="J17" s="128" t="s">
        <v>7503</v>
      </c>
      <c r="K17" s="128" t="s">
        <v>7504</v>
      </c>
      <c r="L17" s="128" t="s">
        <v>7505</v>
      </c>
      <c r="M17" s="128" t="s">
        <v>7506</v>
      </c>
      <c r="N17" s="128" t="s">
        <v>7507</v>
      </c>
      <c r="O17" s="128" t="s">
        <v>7508</v>
      </c>
      <c r="P17" s="128" t="s">
        <v>7509</v>
      </c>
      <c r="Q17" s="128" t="s">
        <v>7510</v>
      </c>
      <c r="R17" s="128" t="s">
        <v>7511</v>
      </c>
      <c r="S17" s="128" t="s">
        <v>7512</v>
      </c>
      <c r="T17" s="128" t="s">
        <v>7513</v>
      </c>
      <c r="U17" s="128" t="s">
        <v>7514</v>
      </c>
      <c r="V17" s="128" t="s">
        <v>7515</v>
      </c>
      <c r="W17" s="128" t="s">
        <v>7516</v>
      </c>
      <c r="X17" s="128" t="s">
        <v>7517</v>
      </c>
      <c r="Y17" s="128" t="s">
        <v>7518</v>
      </c>
      <c r="Z17" s="128" t="s">
        <v>7519</v>
      </c>
      <c r="AA17" s="128" t="s">
        <v>7520</v>
      </c>
      <c r="AB17" s="128" t="s">
        <v>7521</v>
      </c>
      <c r="AC17" s="128" t="s">
        <v>7522</v>
      </c>
      <c r="AD17" s="128" t="s">
        <v>7523</v>
      </c>
      <c r="AE17" s="128" t="s">
        <v>7524</v>
      </c>
      <c r="AF17" s="128" t="s">
        <v>7525</v>
      </c>
    </row>
    <row r="18" spans="3:32" ht="319" x14ac:dyDescent="0.35">
      <c r="C18" s="128" t="s">
        <v>462</v>
      </c>
      <c r="E18" s="128" t="s">
        <v>463</v>
      </c>
      <c r="F18" s="128" t="s">
        <v>7526</v>
      </c>
      <c r="G18" s="128" t="s">
        <v>7527</v>
      </c>
      <c r="H18" s="128" t="s">
        <v>466</v>
      </c>
      <c r="I18" s="128" t="s">
        <v>7528</v>
      </c>
      <c r="J18" s="128" t="s">
        <v>7529</v>
      </c>
      <c r="K18" s="128" t="s">
        <v>7530</v>
      </c>
      <c r="L18" s="128" t="s">
        <v>7531</v>
      </c>
      <c r="M18" s="128" t="s">
        <v>7532</v>
      </c>
      <c r="N18" s="128" t="s">
        <v>7533</v>
      </c>
      <c r="O18" s="128" t="s">
        <v>7534</v>
      </c>
      <c r="P18" s="128" t="s">
        <v>7535</v>
      </c>
      <c r="Q18" s="128" t="s">
        <v>7536</v>
      </c>
      <c r="R18" s="128" t="s">
        <v>7537</v>
      </c>
      <c r="S18" s="128" t="s">
        <v>7538</v>
      </c>
      <c r="T18" s="128" t="s">
        <v>7539</v>
      </c>
      <c r="U18" s="128" t="s">
        <v>7540</v>
      </c>
      <c r="V18" s="128" t="s">
        <v>7541</v>
      </c>
      <c r="W18" s="128" t="s">
        <v>7542</v>
      </c>
      <c r="X18" s="128" t="s">
        <v>7543</v>
      </c>
      <c r="Y18" s="128" t="s">
        <v>7544</v>
      </c>
      <c r="Z18" s="128" t="s">
        <v>7545</v>
      </c>
      <c r="AA18" s="128" t="s">
        <v>7546</v>
      </c>
      <c r="AB18" s="128" t="s">
        <v>7547</v>
      </c>
      <c r="AC18" s="128" t="s">
        <v>7548</v>
      </c>
      <c r="AD18" s="128" t="s">
        <v>7549</v>
      </c>
      <c r="AE18" s="128" t="s">
        <v>7550</v>
      </c>
      <c r="AF18" s="128" t="s">
        <v>7551</v>
      </c>
    </row>
    <row r="19" spans="3:32" ht="319" x14ac:dyDescent="0.35">
      <c r="C19" s="128" t="s">
        <v>491</v>
      </c>
      <c r="E19" s="128" t="s">
        <v>492</v>
      </c>
      <c r="F19" s="128" t="s">
        <v>7552</v>
      </c>
      <c r="G19" s="128" t="s">
        <v>7553</v>
      </c>
      <c r="H19" s="128" t="s">
        <v>495</v>
      </c>
      <c r="I19" s="128" t="s">
        <v>7554</v>
      </c>
      <c r="J19" s="128" t="s">
        <v>7555</v>
      </c>
      <c r="K19" s="128" t="s">
        <v>7556</v>
      </c>
      <c r="L19" s="128" t="s">
        <v>7557</v>
      </c>
      <c r="M19" s="128" t="s">
        <v>7558</v>
      </c>
      <c r="N19" s="128" t="s">
        <v>7559</v>
      </c>
      <c r="O19" s="128" t="s">
        <v>7560</v>
      </c>
      <c r="P19" s="128" t="s">
        <v>7561</v>
      </c>
      <c r="Q19" s="128" t="s">
        <v>7562</v>
      </c>
      <c r="R19" s="128" t="s">
        <v>7563</v>
      </c>
      <c r="S19" s="128" t="s">
        <v>7564</v>
      </c>
      <c r="T19" s="128" t="s">
        <v>7565</v>
      </c>
      <c r="U19" s="128" t="s">
        <v>7566</v>
      </c>
      <c r="V19" s="128" t="s">
        <v>7567</v>
      </c>
      <c r="W19" s="128" t="s">
        <v>7568</v>
      </c>
      <c r="X19" s="128" t="s">
        <v>7569</v>
      </c>
      <c r="Y19" s="128" t="s">
        <v>7570</v>
      </c>
      <c r="Z19" s="128" t="s">
        <v>7571</v>
      </c>
      <c r="AA19" s="128" t="s">
        <v>7572</v>
      </c>
      <c r="AB19" s="128" t="s">
        <v>7573</v>
      </c>
      <c r="AC19" s="128" t="s">
        <v>7574</v>
      </c>
      <c r="AD19" s="128" t="s">
        <v>7575</v>
      </c>
      <c r="AE19" s="128" t="s">
        <v>7576</v>
      </c>
      <c r="AF19" s="128" t="s">
        <v>7577</v>
      </c>
    </row>
    <row r="20" spans="3:32" ht="319" x14ac:dyDescent="0.35">
      <c r="C20" s="128" t="s">
        <v>520</v>
      </c>
      <c r="E20" s="128" t="s">
        <v>521</v>
      </c>
      <c r="F20" s="128" t="s">
        <v>7578</v>
      </c>
      <c r="G20" s="128" t="s">
        <v>7579</v>
      </c>
      <c r="H20" s="128" t="s">
        <v>524</v>
      </c>
      <c r="I20" s="128" t="s">
        <v>7580</v>
      </c>
      <c r="J20" s="128" t="s">
        <v>7581</v>
      </c>
      <c r="K20" s="128" t="s">
        <v>7582</v>
      </c>
      <c r="L20" s="128" t="s">
        <v>7583</v>
      </c>
      <c r="M20" s="128" t="s">
        <v>7584</v>
      </c>
      <c r="N20" s="128" t="s">
        <v>7585</v>
      </c>
      <c r="O20" s="128" t="s">
        <v>7586</v>
      </c>
      <c r="P20" s="128" t="s">
        <v>7587</v>
      </c>
      <c r="Q20" s="128" t="s">
        <v>7588</v>
      </c>
      <c r="R20" s="128" t="s">
        <v>7589</v>
      </c>
      <c r="S20" s="128" t="s">
        <v>7590</v>
      </c>
      <c r="T20" s="128" t="s">
        <v>7591</v>
      </c>
      <c r="U20" s="128" t="s">
        <v>7592</v>
      </c>
      <c r="V20" s="128" t="s">
        <v>7593</v>
      </c>
      <c r="W20" s="128" t="s">
        <v>7594</v>
      </c>
      <c r="X20" s="128" t="s">
        <v>7595</v>
      </c>
      <c r="Y20" s="128" t="s">
        <v>7596</v>
      </c>
      <c r="Z20" s="128" t="s">
        <v>7597</v>
      </c>
      <c r="AA20" s="128" t="s">
        <v>7598</v>
      </c>
      <c r="AB20" s="128" t="s">
        <v>7599</v>
      </c>
      <c r="AC20" s="128" t="s">
        <v>7600</v>
      </c>
      <c r="AD20" s="128" t="s">
        <v>7601</v>
      </c>
      <c r="AE20" s="128" t="s">
        <v>7602</v>
      </c>
      <c r="AF20" s="128" t="s">
        <v>7603</v>
      </c>
    </row>
    <row r="21" spans="3:32" ht="319" x14ac:dyDescent="0.35">
      <c r="C21" s="128" t="s">
        <v>549</v>
      </c>
      <c r="E21" s="128" t="s">
        <v>550</v>
      </c>
      <c r="F21" s="128" t="s">
        <v>7604</v>
      </c>
      <c r="G21" s="128" t="s">
        <v>7605</v>
      </c>
      <c r="H21" s="128" t="s">
        <v>553</v>
      </c>
      <c r="I21" s="128" t="s">
        <v>7606</v>
      </c>
      <c r="J21" s="128" t="s">
        <v>7607</v>
      </c>
      <c r="K21" s="128" t="s">
        <v>7608</v>
      </c>
      <c r="L21" s="128" t="s">
        <v>7609</v>
      </c>
      <c r="M21" s="128" t="s">
        <v>7610</v>
      </c>
      <c r="N21" s="128" t="s">
        <v>7611</v>
      </c>
      <c r="O21" s="128" t="s">
        <v>7612</v>
      </c>
      <c r="P21" s="128" t="s">
        <v>7613</v>
      </c>
      <c r="Q21" s="128" t="s">
        <v>7614</v>
      </c>
      <c r="R21" s="128" t="s">
        <v>7615</v>
      </c>
      <c r="S21" s="128" t="s">
        <v>7616</v>
      </c>
      <c r="T21" s="128" t="s">
        <v>7617</v>
      </c>
      <c r="U21" s="128" t="s">
        <v>7618</v>
      </c>
      <c r="V21" s="128" t="s">
        <v>7619</v>
      </c>
      <c r="W21" s="128" t="s">
        <v>7620</v>
      </c>
      <c r="X21" s="128" t="s">
        <v>7621</v>
      </c>
      <c r="Y21" s="128" t="s">
        <v>7622</v>
      </c>
      <c r="Z21" s="128" t="s">
        <v>7623</v>
      </c>
      <c r="AA21" s="128" t="s">
        <v>7624</v>
      </c>
      <c r="AB21" s="128" t="s">
        <v>7625</v>
      </c>
      <c r="AC21" s="128" t="s">
        <v>7626</v>
      </c>
      <c r="AD21" s="128" t="s">
        <v>7627</v>
      </c>
      <c r="AE21" s="128" t="s">
        <v>7628</v>
      </c>
      <c r="AF21" s="128" t="s">
        <v>7629</v>
      </c>
    </row>
    <row r="22" spans="3:32" ht="319" x14ac:dyDescent="0.35">
      <c r="C22" s="128" t="s">
        <v>578</v>
      </c>
      <c r="E22" s="128" t="s">
        <v>579</v>
      </c>
      <c r="F22" s="128" t="s">
        <v>7630</v>
      </c>
      <c r="G22" s="128" t="s">
        <v>7631</v>
      </c>
      <c r="H22" s="128" t="s">
        <v>582</v>
      </c>
      <c r="I22" s="128" t="s">
        <v>7632</v>
      </c>
      <c r="J22" s="128" t="s">
        <v>7633</v>
      </c>
      <c r="K22" s="128" t="s">
        <v>7634</v>
      </c>
      <c r="L22" s="128" t="s">
        <v>7635</v>
      </c>
      <c r="M22" s="128" t="s">
        <v>7636</v>
      </c>
      <c r="N22" s="128" t="s">
        <v>7637</v>
      </c>
      <c r="O22" s="128" t="s">
        <v>7638</v>
      </c>
      <c r="P22" s="128" t="s">
        <v>7639</v>
      </c>
      <c r="Q22" s="128" t="s">
        <v>7640</v>
      </c>
      <c r="R22" s="128" t="s">
        <v>7641</v>
      </c>
      <c r="S22" s="128" t="s">
        <v>7642</v>
      </c>
      <c r="T22" s="128" t="s">
        <v>7643</v>
      </c>
      <c r="U22" s="128" t="s">
        <v>7644</v>
      </c>
      <c r="V22" s="128" t="s">
        <v>7645</v>
      </c>
      <c r="W22" s="128" t="s">
        <v>7646</v>
      </c>
      <c r="X22" s="128" t="s">
        <v>7647</v>
      </c>
      <c r="Y22" s="128" t="s">
        <v>7648</v>
      </c>
      <c r="Z22" s="128" t="s">
        <v>7649</v>
      </c>
      <c r="AA22" s="128" t="s">
        <v>7650</v>
      </c>
      <c r="AB22" s="128" t="s">
        <v>7651</v>
      </c>
      <c r="AC22" s="128" t="s">
        <v>7652</v>
      </c>
      <c r="AD22" s="128" t="s">
        <v>7653</v>
      </c>
      <c r="AE22" s="128" t="s">
        <v>7654</v>
      </c>
      <c r="AF22" s="128" t="s">
        <v>7655</v>
      </c>
    </row>
    <row r="23" spans="3:32" ht="319" x14ac:dyDescent="0.35">
      <c r="C23" s="128" t="s">
        <v>607</v>
      </c>
      <c r="E23" s="128" t="s">
        <v>608</v>
      </c>
      <c r="F23" s="128" t="s">
        <v>7656</v>
      </c>
      <c r="G23" s="128" t="s">
        <v>7657</v>
      </c>
      <c r="H23" s="128" t="s">
        <v>611</v>
      </c>
      <c r="I23" s="128" t="s">
        <v>7658</v>
      </c>
      <c r="J23" s="128" t="s">
        <v>7659</v>
      </c>
      <c r="K23" s="128" t="s">
        <v>7660</v>
      </c>
      <c r="L23" s="128" t="s">
        <v>7661</v>
      </c>
      <c r="M23" s="128" t="s">
        <v>7662</v>
      </c>
      <c r="N23" s="128" t="s">
        <v>7663</v>
      </c>
      <c r="O23" s="128" t="s">
        <v>7664</v>
      </c>
      <c r="P23" s="128" t="s">
        <v>7665</v>
      </c>
      <c r="Q23" s="128" t="s">
        <v>7666</v>
      </c>
      <c r="R23" s="128" t="s">
        <v>7667</v>
      </c>
      <c r="S23" s="128" t="s">
        <v>7668</v>
      </c>
      <c r="T23" s="128" t="s">
        <v>7669</v>
      </c>
      <c r="U23" s="128" t="s">
        <v>7670</v>
      </c>
      <c r="V23" s="128" t="s">
        <v>7671</v>
      </c>
      <c r="W23" s="128" t="s">
        <v>7672</v>
      </c>
      <c r="X23" s="128" t="s">
        <v>7673</v>
      </c>
      <c r="Y23" s="128" t="s">
        <v>7674</v>
      </c>
      <c r="Z23" s="128" t="s">
        <v>7675</v>
      </c>
      <c r="AA23" s="128" t="s">
        <v>7676</v>
      </c>
      <c r="AB23" s="128" t="s">
        <v>7677</v>
      </c>
      <c r="AC23" s="128" t="s">
        <v>7678</v>
      </c>
      <c r="AD23" s="128" t="s">
        <v>7679</v>
      </c>
      <c r="AE23" s="128" t="s">
        <v>7680</v>
      </c>
      <c r="AF23" s="128" t="s">
        <v>7681</v>
      </c>
    </row>
    <row r="24" spans="3:32" ht="319" x14ac:dyDescent="0.35">
      <c r="C24" s="128" t="s">
        <v>636</v>
      </c>
      <c r="E24" s="128" t="s">
        <v>637</v>
      </c>
      <c r="F24" s="128" t="s">
        <v>7682</v>
      </c>
      <c r="G24" s="128" t="s">
        <v>7683</v>
      </c>
      <c r="H24" s="128" t="s">
        <v>640</v>
      </c>
      <c r="I24" s="128" t="s">
        <v>7684</v>
      </c>
      <c r="J24" s="128" t="s">
        <v>7685</v>
      </c>
      <c r="K24" s="128" t="s">
        <v>7686</v>
      </c>
      <c r="L24" s="128" t="s">
        <v>7687</v>
      </c>
      <c r="M24" s="128" t="s">
        <v>7688</v>
      </c>
      <c r="N24" s="128" t="s">
        <v>7689</v>
      </c>
      <c r="O24" s="128" t="s">
        <v>7690</v>
      </c>
      <c r="P24" s="128" t="s">
        <v>7691</v>
      </c>
      <c r="Q24" s="128" t="s">
        <v>7692</v>
      </c>
      <c r="R24" s="128" t="s">
        <v>7693</v>
      </c>
      <c r="S24" s="128" t="s">
        <v>7694</v>
      </c>
      <c r="T24" s="128" t="s">
        <v>7695</v>
      </c>
      <c r="U24" s="128" t="s">
        <v>7696</v>
      </c>
      <c r="V24" s="128" t="s">
        <v>7697</v>
      </c>
      <c r="W24" s="128" t="s">
        <v>7698</v>
      </c>
      <c r="X24" s="128" t="s">
        <v>7699</v>
      </c>
      <c r="Y24" s="128" t="s">
        <v>7700</v>
      </c>
      <c r="Z24" s="128" t="s">
        <v>7701</v>
      </c>
      <c r="AA24" s="128" t="s">
        <v>7702</v>
      </c>
      <c r="AB24" s="128" t="s">
        <v>7703</v>
      </c>
      <c r="AC24" s="128" t="s">
        <v>7704</v>
      </c>
      <c r="AD24" s="128" t="s">
        <v>7705</v>
      </c>
      <c r="AE24" s="128" t="s">
        <v>7706</v>
      </c>
      <c r="AF24" s="128" t="s">
        <v>7707</v>
      </c>
    </row>
    <row r="25" spans="3:32" ht="319" x14ac:dyDescent="0.35">
      <c r="C25" s="128" t="s">
        <v>665</v>
      </c>
      <c r="E25" s="128" t="s">
        <v>666</v>
      </c>
      <c r="F25" s="128" t="s">
        <v>7708</v>
      </c>
      <c r="G25" s="128" t="s">
        <v>7709</v>
      </c>
      <c r="H25" s="128" t="s">
        <v>669</v>
      </c>
      <c r="I25" s="128" t="s">
        <v>7710</v>
      </c>
      <c r="J25" s="128" t="s">
        <v>7711</v>
      </c>
      <c r="K25" s="128" t="s">
        <v>7712</v>
      </c>
      <c r="L25" s="128" t="s">
        <v>7713</v>
      </c>
      <c r="M25" s="128" t="s">
        <v>7714</v>
      </c>
      <c r="N25" s="128" t="s">
        <v>7715</v>
      </c>
      <c r="O25" s="128" t="s">
        <v>7716</v>
      </c>
      <c r="P25" s="128" t="s">
        <v>7717</v>
      </c>
      <c r="Q25" s="128" t="s">
        <v>7718</v>
      </c>
      <c r="R25" s="128" t="s">
        <v>7719</v>
      </c>
      <c r="S25" s="128" t="s">
        <v>7720</v>
      </c>
      <c r="T25" s="128" t="s">
        <v>7721</v>
      </c>
      <c r="U25" s="128" t="s">
        <v>7722</v>
      </c>
      <c r="V25" s="128" t="s">
        <v>7723</v>
      </c>
      <c r="W25" s="128" t="s">
        <v>7724</v>
      </c>
      <c r="X25" s="128" t="s">
        <v>7725</v>
      </c>
      <c r="Y25" s="128" t="s">
        <v>7726</v>
      </c>
      <c r="Z25" s="128" t="s">
        <v>7727</v>
      </c>
      <c r="AA25" s="128" t="s">
        <v>7728</v>
      </c>
      <c r="AB25" s="128" t="s">
        <v>7729</v>
      </c>
      <c r="AC25" s="128" t="s">
        <v>7730</v>
      </c>
      <c r="AD25" s="128" t="s">
        <v>7731</v>
      </c>
      <c r="AE25" s="128" t="s">
        <v>7732</v>
      </c>
      <c r="AF25" s="128" t="s">
        <v>7733</v>
      </c>
    </row>
    <row r="26" spans="3:32" ht="319" x14ac:dyDescent="0.35">
      <c r="C26" s="128" t="s">
        <v>694</v>
      </c>
      <c r="E26" s="128" t="s">
        <v>695</v>
      </c>
      <c r="F26" s="128" t="s">
        <v>7734</v>
      </c>
      <c r="G26" s="128" t="s">
        <v>7735</v>
      </c>
      <c r="H26" s="128" t="s">
        <v>698</v>
      </c>
      <c r="I26" s="128" t="s">
        <v>7736</v>
      </c>
      <c r="J26" s="128" t="s">
        <v>7737</v>
      </c>
      <c r="K26" s="128" t="s">
        <v>7738</v>
      </c>
      <c r="L26" s="128" t="s">
        <v>7739</v>
      </c>
      <c r="M26" s="128" t="s">
        <v>7740</v>
      </c>
      <c r="N26" s="128" t="s">
        <v>7741</v>
      </c>
      <c r="O26" s="128" t="s">
        <v>7742</v>
      </c>
      <c r="P26" s="128" t="s">
        <v>7743</v>
      </c>
      <c r="Q26" s="128" t="s">
        <v>7744</v>
      </c>
      <c r="R26" s="128" t="s">
        <v>7745</v>
      </c>
      <c r="S26" s="128" t="s">
        <v>7746</v>
      </c>
      <c r="T26" s="128" t="s">
        <v>7747</v>
      </c>
      <c r="U26" s="128" t="s">
        <v>7748</v>
      </c>
      <c r="V26" s="128" t="s">
        <v>7749</v>
      </c>
      <c r="W26" s="128" t="s">
        <v>7750</v>
      </c>
      <c r="X26" s="128" t="s">
        <v>7751</v>
      </c>
      <c r="Y26" s="128" t="s">
        <v>7752</v>
      </c>
      <c r="Z26" s="128" t="s">
        <v>7753</v>
      </c>
      <c r="AA26" s="128" t="s">
        <v>7754</v>
      </c>
      <c r="AB26" s="128" t="s">
        <v>7755</v>
      </c>
      <c r="AC26" s="128" t="s">
        <v>7756</v>
      </c>
      <c r="AD26" s="128" t="s">
        <v>7757</v>
      </c>
      <c r="AE26" s="128" t="s">
        <v>7758</v>
      </c>
      <c r="AF26" s="128" t="s">
        <v>7759</v>
      </c>
    </row>
    <row r="27" spans="3:32" ht="319" x14ac:dyDescent="0.35">
      <c r="C27" s="128" t="s">
        <v>723</v>
      </c>
      <c r="E27" s="128" t="s">
        <v>724</v>
      </c>
      <c r="F27" s="128" t="s">
        <v>7760</v>
      </c>
      <c r="G27" s="128" t="s">
        <v>7761</v>
      </c>
      <c r="H27" s="128" t="s">
        <v>727</v>
      </c>
      <c r="I27" s="128" t="s">
        <v>7762</v>
      </c>
      <c r="J27" s="128" t="s">
        <v>7763</v>
      </c>
      <c r="K27" s="128" t="s">
        <v>7764</v>
      </c>
      <c r="L27" s="128" t="s">
        <v>7765</v>
      </c>
      <c r="M27" s="128" t="s">
        <v>7766</v>
      </c>
      <c r="N27" s="128" t="s">
        <v>7767</v>
      </c>
      <c r="O27" s="128" t="s">
        <v>7768</v>
      </c>
      <c r="P27" s="128" t="s">
        <v>7769</v>
      </c>
      <c r="Q27" s="128" t="s">
        <v>7770</v>
      </c>
      <c r="R27" s="128" t="s">
        <v>7771</v>
      </c>
      <c r="S27" s="128" t="s">
        <v>7772</v>
      </c>
      <c r="T27" s="128" t="s">
        <v>7773</v>
      </c>
      <c r="U27" s="128" t="s">
        <v>7774</v>
      </c>
      <c r="V27" s="128" t="s">
        <v>7775</v>
      </c>
      <c r="W27" s="128" t="s">
        <v>7776</v>
      </c>
      <c r="X27" s="128" t="s">
        <v>7777</v>
      </c>
      <c r="Y27" s="128" t="s">
        <v>7778</v>
      </c>
      <c r="Z27" s="128" t="s">
        <v>7779</v>
      </c>
      <c r="AA27" s="128" t="s">
        <v>7780</v>
      </c>
      <c r="AB27" s="128" t="s">
        <v>7781</v>
      </c>
      <c r="AC27" s="128" t="s">
        <v>7782</v>
      </c>
      <c r="AD27" s="128" t="s">
        <v>7783</v>
      </c>
      <c r="AE27" s="128" t="s">
        <v>7784</v>
      </c>
      <c r="AF27" s="128" t="s">
        <v>7785</v>
      </c>
    </row>
    <row r="28" spans="3:32" ht="319" x14ac:dyDescent="0.35">
      <c r="C28" s="128" t="s">
        <v>752</v>
      </c>
      <c r="E28" s="128" t="s">
        <v>753</v>
      </c>
      <c r="F28" s="128" t="s">
        <v>7786</v>
      </c>
      <c r="G28" s="128" t="s">
        <v>7787</v>
      </c>
      <c r="H28" s="128" t="s">
        <v>756</v>
      </c>
      <c r="I28" s="128" t="s">
        <v>7788</v>
      </c>
      <c r="J28" s="128" t="s">
        <v>7789</v>
      </c>
      <c r="K28" s="128" t="s">
        <v>7790</v>
      </c>
      <c r="L28" s="128" t="s">
        <v>7791</v>
      </c>
      <c r="M28" s="128" t="s">
        <v>7792</v>
      </c>
      <c r="N28" s="128" t="s">
        <v>7793</v>
      </c>
      <c r="O28" s="128" t="s">
        <v>7794</v>
      </c>
      <c r="P28" s="128" t="s">
        <v>7795</v>
      </c>
      <c r="Q28" s="128" t="s">
        <v>7796</v>
      </c>
      <c r="R28" s="128" t="s">
        <v>7797</v>
      </c>
      <c r="S28" s="128" t="s">
        <v>7798</v>
      </c>
      <c r="T28" s="128" t="s">
        <v>7799</v>
      </c>
      <c r="U28" s="128" t="s">
        <v>7800</v>
      </c>
      <c r="V28" s="128" t="s">
        <v>7801</v>
      </c>
      <c r="W28" s="128" t="s">
        <v>7802</v>
      </c>
      <c r="X28" s="128" t="s">
        <v>7803</v>
      </c>
      <c r="Y28" s="128" t="s">
        <v>7804</v>
      </c>
      <c r="Z28" s="128" t="s">
        <v>7805</v>
      </c>
      <c r="AA28" s="128" t="s">
        <v>7806</v>
      </c>
      <c r="AB28" s="128" t="s">
        <v>7807</v>
      </c>
      <c r="AC28" s="128" t="s">
        <v>7808</v>
      </c>
      <c r="AD28" s="128" t="s">
        <v>7809</v>
      </c>
      <c r="AE28" s="128" t="s">
        <v>7810</v>
      </c>
      <c r="AF28" s="128" t="s">
        <v>7811</v>
      </c>
    </row>
    <row r="29" spans="3:32" ht="319" x14ac:dyDescent="0.35">
      <c r="C29" s="128" t="s">
        <v>781</v>
      </c>
      <c r="E29" s="128" t="s">
        <v>782</v>
      </c>
      <c r="F29" s="128" t="s">
        <v>7812</v>
      </c>
      <c r="G29" s="128" t="s">
        <v>7813</v>
      </c>
      <c r="H29" s="128" t="s">
        <v>785</v>
      </c>
      <c r="I29" s="128" t="s">
        <v>7814</v>
      </c>
      <c r="J29" s="128" t="s">
        <v>7815</v>
      </c>
      <c r="K29" s="128" t="s">
        <v>7816</v>
      </c>
      <c r="L29" s="128" t="s">
        <v>7817</v>
      </c>
      <c r="M29" s="128" t="s">
        <v>7818</v>
      </c>
      <c r="N29" s="128" t="s">
        <v>7819</v>
      </c>
      <c r="O29" s="128" t="s">
        <v>7820</v>
      </c>
      <c r="P29" s="128" t="s">
        <v>7821</v>
      </c>
      <c r="Q29" s="128" t="s">
        <v>7822</v>
      </c>
      <c r="R29" s="128" t="s">
        <v>7823</v>
      </c>
      <c r="S29" s="128" t="s">
        <v>7824</v>
      </c>
      <c r="T29" s="128" t="s">
        <v>7825</v>
      </c>
      <c r="U29" s="128" t="s">
        <v>7826</v>
      </c>
      <c r="V29" s="128" t="s">
        <v>7827</v>
      </c>
      <c r="W29" s="128" t="s">
        <v>7828</v>
      </c>
      <c r="X29" s="128" t="s">
        <v>7829</v>
      </c>
      <c r="Y29" s="128" t="s">
        <v>7830</v>
      </c>
      <c r="Z29" s="128" t="s">
        <v>7831</v>
      </c>
      <c r="AA29" s="128" t="s">
        <v>7832</v>
      </c>
      <c r="AB29" s="128" t="s">
        <v>7833</v>
      </c>
      <c r="AC29" s="128" t="s">
        <v>7834</v>
      </c>
      <c r="AD29" s="128" t="s">
        <v>7835</v>
      </c>
      <c r="AE29" s="128" t="s">
        <v>7836</v>
      </c>
      <c r="AF29" s="128" t="s">
        <v>7837</v>
      </c>
    </row>
    <row r="30" spans="3:32" ht="319" x14ac:dyDescent="0.35">
      <c r="C30" s="128" t="s">
        <v>810</v>
      </c>
      <c r="E30" s="128" t="s">
        <v>811</v>
      </c>
      <c r="F30" s="128" t="s">
        <v>7838</v>
      </c>
      <c r="G30" s="128" t="s">
        <v>7839</v>
      </c>
      <c r="H30" s="128" t="s">
        <v>814</v>
      </c>
      <c r="I30" s="128" t="s">
        <v>7840</v>
      </c>
      <c r="J30" s="128" t="s">
        <v>7841</v>
      </c>
      <c r="K30" s="128" t="s">
        <v>7842</v>
      </c>
      <c r="L30" s="128" t="s">
        <v>7843</v>
      </c>
      <c r="M30" s="128" t="s">
        <v>7844</v>
      </c>
      <c r="N30" s="128" t="s">
        <v>7845</v>
      </c>
      <c r="O30" s="128" t="s">
        <v>7846</v>
      </c>
      <c r="P30" s="128" t="s">
        <v>7847</v>
      </c>
      <c r="Q30" s="128" t="s">
        <v>7848</v>
      </c>
      <c r="R30" s="128" t="s">
        <v>7849</v>
      </c>
      <c r="S30" s="128" t="s">
        <v>7850</v>
      </c>
      <c r="T30" s="128" t="s">
        <v>7851</v>
      </c>
      <c r="U30" s="128" t="s">
        <v>7852</v>
      </c>
      <c r="V30" s="128" t="s">
        <v>7853</v>
      </c>
      <c r="W30" s="128" t="s">
        <v>7854</v>
      </c>
      <c r="X30" s="128" t="s">
        <v>7855</v>
      </c>
      <c r="Y30" s="128" t="s">
        <v>7856</v>
      </c>
      <c r="Z30" s="128" t="s">
        <v>7857</v>
      </c>
      <c r="AA30" s="128" t="s">
        <v>7858</v>
      </c>
      <c r="AB30" s="128" t="s">
        <v>7859</v>
      </c>
      <c r="AC30" s="128" t="s">
        <v>7860</v>
      </c>
      <c r="AD30" s="128" t="s">
        <v>7861</v>
      </c>
      <c r="AE30" s="128" t="s">
        <v>7862</v>
      </c>
      <c r="AF30" s="128" t="s">
        <v>7863</v>
      </c>
    </row>
    <row r="31" spans="3:32" ht="319" x14ac:dyDescent="0.35">
      <c r="C31" s="128" t="s">
        <v>839</v>
      </c>
      <c r="E31" s="128" t="s">
        <v>840</v>
      </c>
      <c r="F31" s="128" t="s">
        <v>7864</v>
      </c>
      <c r="G31" s="128" t="s">
        <v>7865</v>
      </c>
      <c r="H31" s="128" t="s">
        <v>843</v>
      </c>
      <c r="I31" s="128" t="s">
        <v>7866</v>
      </c>
      <c r="J31" s="128" t="s">
        <v>7867</v>
      </c>
      <c r="K31" s="128" t="s">
        <v>7868</v>
      </c>
      <c r="L31" s="128" t="s">
        <v>7869</v>
      </c>
      <c r="M31" s="128" t="s">
        <v>7870</v>
      </c>
      <c r="N31" s="128" t="s">
        <v>7871</v>
      </c>
      <c r="O31" s="128" t="s">
        <v>7872</v>
      </c>
      <c r="P31" s="128" t="s">
        <v>7873</v>
      </c>
      <c r="Q31" s="128" t="s">
        <v>7874</v>
      </c>
      <c r="R31" s="128" t="s">
        <v>7875</v>
      </c>
      <c r="S31" s="128" t="s">
        <v>7876</v>
      </c>
      <c r="T31" s="128" t="s">
        <v>7877</v>
      </c>
      <c r="U31" s="128" t="s">
        <v>7878</v>
      </c>
      <c r="V31" s="128" t="s">
        <v>7879</v>
      </c>
      <c r="W31" s="128" t="s">
        <v>7880</v>
      </c>
      <c r="X31" s="128" t="s">
        <v>7881</v>
      </c>
      <c r="Y31" s="128" t="s">
        <v>7882</v>
      </c>
      <c r="Z31" s="128" t="s">
        <v>7883</v>
      </c>
      <c r="AA31" s="128" t="s">
        <v>7884</v>
      </c>
      <c r="AB31" s="128" t="s">
        <v>7885</v>
      </c>
      <c r="AC31" s="128" t="s">
        <v>7886</v>
      </c>
      <c r="AD31" s="128" t="s">
        <v>7887</v>
      </c>
      <c r="AE31" s="128" t="s">
        <v>7888</v>
      </c>
      <c r="AF31" s="128" t="s">
        <v>7889</v>
      </c>
    </row>
    <row r="32" spans="3:32" ht="319" x14ac:dyDescent="0.35">
      <c r="C32" s="128" t="s">
        <v>868</v>
      </c>
      <c r="E32" s="128" t="s">
        <v>869</v>
      </c>
      <c r="F32" s="128" t="s">
        <v>7890</v>
      </c>
      <c r="G32" s="128" t="s">
        <v>7891</v>
      </c>
      <c r="H32" s="128" t="s">
        <v>872</v>
      </c>
      <c r="I32" s="128" t="s">
        <v>7892</v>
      </c>
      <c r="J32" s="128" t="s">
        <v>7893</v>
      </c>
      <c r="K32" s="128" t="s">
        <v>7894</v>
      </c>
      <c r="L32" s="128" t="s">
        <v>7895</v>
      </c>
      <c r="M32" s="128" t="s">
        <v>7896</v>
      </c>
      <c r="N32" s="128" t="s">
        <v>7897</v>
      </c>
      <c r="O32" s="128" t="s">
        <v>7898</v>
      </c>
      <c r="P32" s="128" t="s">
        <v>7899</v>
      </c>
      <c r="Q32" s="128" t="s">
        <v>7900</v>
      </c>
      <c r="R32" s="128" t="s">
        <v>7901</v>
      </c>
      <c r="S32" s="128" t="s">
        <v>7902</v>
      </c>
      <c r="T32" s="128" t="s">
        <v>7903</v>
      </c>
      <c r="U32" s="128" t="s">
        <v>7904</v>
      </c>
      <c r="V32" s="128" t="s">
        <v>7905</v>
      </c>
      <c r="W32" s="128" t="s">
        <v>7906</v>
      </c>
      <c r="X32" s="128" t="s">
        <v>7907</v>
      </c>
      <c r="Y32" s="128" t="s">
        <v>7908</v>
      </c>
      <c r="Z32" s="128" t="s">
        <v>7909</v>
      </c>
      <c r="AA32" s="128" t="s">
        <v>7910</v>
      </c>
      <c r="AB32" s="128" t="s">
        <v>7911</v>
      </c>
      <c r="AC32" s="128" t="s">
        <v>7912</v>
      </c>
      <c r="AD32" s="128" t="s">
        <v>7913</v>
      </c>
      <c r="AE32" s="128" t="s">
        <v>7914</v>
      </c>
      <c r="AF32" s="128" t="s">
        <v>7915</v>
      </c>
    </row>
    <row r="33" spans="3:32" ht="319" x14ac:dyDescent="0.35">
      <c r="C33" s="128" t="s">
        <v>897</v>
      </c>
      <c r="E33" s="128" t="s">
        <v>898</v>
      </c>
      <c r="F33" s="128" t="s">
        <v>7916</v>
      </c>
      <c r="G33" s="128" t="s">
        <v>7917</v>
      </c>
      <c r="H33" s="128" t="s">
        <v>901</v>
      </c>
      <c r="I33" s="128" t="s">
        <v>7918</v>
      </c>
      <c r="J33" s="128" t="s">
        <v>7919</v>
      </c>
      <c r="K33" s="128" t="s">
        <v>7920</v>
      </c>
      <c r="L33" s="128" t="s">
        <v>7921</v>
      </c>
      <c r="M33" s="128" t="s">
        <v>7922</v>
      </c>
      <c r="N33" s="128" t="s">
        <v>7923</v>
      </c>
      <c r="O33" s="128" t="s">
        <v>7924</v>
      </c>
      <c r="P33" s="128" t="s">
        <v>7925</v>
      </c>
      <c r="Q33" s="128" t="s">
        <v>7926</v>
      </c>
      <c r="R33" s="128" t="s">
        <v>7927</v>
      </c>
      <c r="S33" s="128" t="s">
        <v>7928</v>
      </c>
      <c r="T33" s="128" t="s">
        <v>7929</v>
      </c>
      <c r="U33" s="128" t="s">
        <v>7930</v>
      </c>
      <c r="V33" s="128" t="s">
        <v>7931</v>
      </c>
      <c r="W33" s="128" t="s">
        <v>7932</v>
      </c>
      <c r="X33" s="128" t="s">
        <v>7933</v>
      </c>
      <c r="Y33" s="128" t="s">
        <v>7934</v>
      </c>
      <c r="Z33" s="128" t="s">
        <v>7935</v>
      </c>
      <c r="AA33" s="128" t="s">
        <v>7936</v>
      </c>
      <c r="AB33" s="128" t="s">
        <v>7937</v>
      </c>
      <c r="AC33" s="128" t="s">
        <v>7938</v>
      </c>
      <c r="AD33" s="128" t="s">
        <v>7939</v>
      </c>
      <c r="AE33" s="128" t="s">
        <v>7940</v>
      </c>
      <c r="AF33" s="128" t="s">
        <v>7941</v>
      </c>
    </row>
    <row r="34" spans="3:32" ht="319" x14ac:dyDescent="0.35">
      <c r="C34" s="128" t="s">
        <v>926</v>
      </c>
      <c r="E34" s="128" t="s">
        <v>927</v>
      </c>
      <c r="F34" s="128" t="s">
        <v>7942</v>
      </c>
      <c r="G34" s="128" t="s">
        <v>7943</v>
      </c>
      <c r="H34" s="128" t="s">
        <v>930</v>
      </c>
      <c r="I34" s="128" t="s">
        <v>7944</v>
      </c>
      <c r="J34" s="128" t="s">
        <v>7945</v>
      </c>
      <c r="K34" s="128" t="s">
        <v>7946</v>
      </c>
      <c r="L34" s="128" t="s">
        <v>7947</v>
      </c>
      <c r="M34" s="128" t="s">
        <v>7948</v>
      </c>
      <c r="N34" s="128" t="s">
        <v>7949</v>
      </c>
      <c r="O34" s="128" t="s">
        <v>7950</v>
      </c>
      <c r="P34" s="128" t="s">
        <v>7951</v>
      </c>
      <c r="Q34" s="128" t="s">
        <v>7952</v>
      </c>
      <c r="R34" s="128" t="s">
        <v>7953</v>
      </c>
      <c r="S34" s="128" t="s">
        <v>7954</v>
      </c>
      <c r="T34" s="128" t="s">
        <v>7955</v>
      </c>
      <c r="U34" s="128" t="s">
        <v>7956</v>
      </c>
      <c r="V34" s="128" t="s">
        <v>7957</v>
      </c>
      <c r="W34" s="128" t="s">
        <v>7958</v>
      </c>
      <c r="X34" s="128" t="s">
        <v>7959</v>
      </c>
      <c r="Y34" s="128" t="s">
        <v>7960</v>
      </c>
      <c r="Z34" s="128" t="s">
        <v>7961</v>
      </c>
      <c r="AA34" s="128" t="s">
        <v>7962</v>
      </c>
      <c r="AB34" s="128" t="s">
        <v>7963</v>
      </c>
      <c r="AC34" s="128" t="s">
        <v>7964</v>
      </c>
      <c r="AD34" s="128" t="s">
        <v>7965</v>
      </c>
      <c r="AE34" s="128" t="s">
        <v>7966</v>
      </c>
      <c r="AF34" s="128" t="s">
        <v>7967</v>
      </c>
    </row>
    <row r="35" spans="3:32" ht="319" x14ac:dyDescent="0.35">
      <c r="C35" s="128" t="s">
        <v>955</v>
      </c>
      <c r="E35" s="128" t="s">
        <v>956</v>
      </c>
      <c r="F35" s="128" t="s">
        <v>7968</v>
      </c>
      <c r="G35" s="128" t="s">
        <v>7969</v>
      </c>
      <c r="H35" s="128" t="s">
        <v>959</v>
      </c>
      <c r="I35" s="128" t="s">
        <v>7970</v>
      </c>
      <c r="J35" s="128" t="s">
        <v>7971</v>
      </c>
      <c r="K35" s="128" t="s">
        <v>7972</v>
      </c>
      <c r="L35" s="128" t="s">
        <v>7973</v>
      </c>
      <c r="M35" s="128" t="s">
        <v>7974</v>
      </c>
      <c r="N35" s="128" t="s">
        <v>7975</v>
      </c>
      <c r="O35" s="128" t="s">
        <v>7976</v>
      </c>
      <c r="P35" s="128" t="s">
        <v>7977</v>
      </c>
      <c r="Q35" s="128" t="s">
        <v>7978</v>
      </c>
      <c r="R35" s="128" t="s">
        <v>7979</v>
      </c>
      <c r="S35" s="128" t="s">
        <v>7980</v>
      </c>
      <c r="T35" s="128" t="s">
        <v>7981</v>
      </c>
      <c r="U35" s="128" t="s">
        <v>7982</v>
      </c>
      <c r="V35" s="128" t="s">
        <v>7983</v>
      </c>
      <c r="W35" s="128" t="s">
        <v>7984</v>
      </c>
      <c r="X35" s="128" t="s">
        <v>7985</v>
      </c>
      <c r="Y35" s="128" t="s">
        <v>7986</v>
      </c>
      <c r="Z35" s="128" t="s">
        <v>7987</v>
      </c>
      <c r="AA35" s="128" t="s">
        <v>7988</v>
      </c>
      <c r="AB35" s="128" t="s">
        <v>7989</v>
      </c>
      <c r="AC35" s="128" t="s">
        <v>7990</v>
      </c>
      <c r="AD35" s="128" t="s">
        <v>7991</v>
      </c>
      <c r="AE35" s="128" t="s">
        <v>7992</v>
      </c>
      <c r="AF35" s="128" t="s">
        <v>7993</v>
      </c>
    </row>
    <row r="36" spans="3:32" ht="319" x14ac:dyDescent="0.35">
      <c r="C36" s="128" t="s">
        <v>984</v>
      </c>
      <c r="E36" s="128" t="s">
        <v>985</v>
      </c>
      <c r="F36" s="128" t="s">
        <v>7994</v>
      </c>
      <c r="G36" s="128" t="s">
        <v>7995</v>
      </c>
      <c r="H36" s="128" t="s">
        <v>988</v>
      </c>
      <c r="I36" s="128" t="s">
        <v>7996</v>
      </c>
      <c r="J36" s="128" t="s">
        <v>7997</v>
      </c>
      <c r="K36" s="128" t="s">
        <v>7998</v>
      </c>
      <c r="L36" s="128" t="s">
        <v>7999</v>
      </c>
      <c r="M36" s="128" t="s">
        <v>8000</v>
      </c>
      <c r="N36" s="128" t="s">
        <v>8001</v>
      </c>
      <c r="O36" s="128" t="s">
        <v>8002</v>
      </c>
      <c r="P36" s="128" t="s">
        <v>8003</v>
      </c>
      <c r="Q36" s="128" t="s">
        <v>8004</v>
      </c>
      <c r="R36" s="128" t="s">
        <v>8005</v>
      </c>
      <c r="S36" s="128" t="s">
        <v>8006</v>
      </c>
      <c r="T36" s="128" t="s">
        <v>8007</v>
      </c>
      <c r="U36" s="128" t="s">
        <v>8008</v>
      </c>
      <c r="V36" s="128" t="s">
        <v>8009</v>
      </c>
      <c r="W36" s="128" t="s">
        <v>8010</v>
      </c>
      <c r="X36" s="128" t="s">
        <v>8011</v>
      </c>
      <c r="Y36" s="128" t="s">
        <v>8012</v>
      </c>
      <c r="Z36" s="128" t="s">
        <v>8013</v>
      </c>
      <c r="AA36" s="128" t="s">
        <v>8014</v>
      </c>
      <c r="AB36" s="128" t="s">
        <v>8015</v>
      </c>
      <c r="AC36" s="128" t="s">
        <v>8016</v>
      </c>
      <c r="AD36" s="128" t="s">
        <v>8017</v>
      </c>
      <c r="AE36" s="128" t="s">
        <v>8018</v>
      </c>
      <c r="AF36" s="128" t="s">
        <v>8019</v>
      </c>
    </row>
    <row r="37" spans="3:32" ht="319" x14ac:dyDescent="0.35">
      <c r="C37" s="128" t="s">
        <v>1013</v>
      </c>
      <c r="E37" s="128" t="s">
        <v>1014</v>
      </c>
      <c r="F37" s="128" t="s">
        <v>8020</v>
      </c>
      <c r="G37" s="128" t="s">
        <v>8021</v>
      </c>
      <c r="H37" s="128" t="s">
        <v>1017</v>
      </c>
      <c r="I37" s="128" t="s">
        <v>8022</v>
      </c>
      <c r="J37" s="128" t="s">
        <v>8023</v>
      </c>
      <c r="K37" s="128" t="s">
        <v>8024</v>
      </c>
      <c r="L37" s="128" t="s">
        <v>8025</v>
      </c>
      <c r="M37" s="128" t="s">
        <v>8026</v>
      </c>
      <c r="N37" s="128" t="s">
        <v>8027</v>
      </c>
      <c r="O37" s="128" t="s">
        <v>8028</v>
      </c>
      <c r="P37" s="128" t="s">
        <v>8029</v>
      </c>
      <c r="Q37" s="128" t="s">
        <v>8030</v>
      </c>
      <c r="R37" s="128" t="s">
        <v>8031</v>
      </c>
      <c r="S37" s="128" t="s">
        <v>8032</v>
      </c>
      <c r="T37" s="128" t="s">
        <v>8033</v>
      </c>
      <c r="U37" s="128" t="s">
        <v>8034</v>
      </c>
      <c r="V37" s="128" t="s">
        <v>8035</v>
      </c>
      <c r="W37" s="128" t="s">
        <v>8036</v>
      </c>
      <c r="X37" s="128" t="s">
        <v>8037</v>
      </c>
      <c r="Y37" s="128" t="s">
        <v>8038</v>
      </c>
      <c r="Z37" s="128" t="s">
        <v>8039</v>
      </c>
      <c r="AA37" s="128" t="s">
        <v>8040</v>
      </c>
      <c r="AB37" s="128" t="s">
        <v>8041</v>
      </c>
      <c r="AC37" s="128" t="s">
        <v>8042</v>
      </c>
      <c r="AD37" s="128" t="s">
        <v>8043</v>
      </c>
      <c r="AE37" s="128" t="s">
        <v>8044</v>
      </c>
      <c r="AF37" s="128" t="s">
        <v>8045</v>
      </c>
    </row>
    <row r="38" spans="3:32" ht="319" x14ac:dyDescent="0.35">
      <c r="C38" s="128" t="s">
        <v>1042</v>
      </c>
      <c r="E38" s="128" t="s">
        <v>1043</v>
      </c>
      <c r="F38" s="128" t="s">
        <v>8046</v>
      </c>
      <c r="G38" s="128" t="s">
        <v>8047</v>
      </c>
      <c r="H38" s="128" t="s">
        <v>1046</v>
      </c>
      <c r="I38" s="128" t="s">
        <v>8048</v>
      </c>
      <c r="J38" s="128" t="s">
        <v>8049</v>
      </c>
      <c r="K38" s="128" t="s">
        <v>8050</v>
      </c>
      <c r="L38" s="128" t="s">
        <v>8051</v>
      </c>
      <c r="M38" s="128" t="s">
        <v>8052</v>
      </c>
      <c r="N38" s="128" t="s">
        <v>8053</v>
      </c>
      <c r="O38" s="128" t="s">
        <v>8054</v>
      </c>
      <c r="P38" s="128" t="s">
        <v>8055</v>
      </c>
      <c r="Q38" s="128" t="s">
        <v>8056</v>
      </c>
      <c r="R38" s="128" t="s">
        <v>8057</v>
      </c>
      <c r="S38" s="128" t="s">
        <v>8058</v>
      </c>
      <c r="T38" s="128" t="s">
        <v>8059</v>
      </c>
      <c r="U38" s="128" t="s">
        <v>8060</v>
      </c>
      <c r="V38" s="128" t="s">
        <v>8061</v>
      </c>
      <c r="W38" s="128" t="s">
        <v>8062</v>
      </c>
      <c r="X38" s="128" t="s">
        <v>8063</v>
      </c>
      <c r="Y38" s="128" t="s">
        <v>8064</v>
      </c>
      <c r="Z38" s="128" t="s">
        <v>8065</v>
      </c>
      <c r="AA38" s="128" t="s">
        <v>8066</v>
      </c>
      <c r="AB38" s="128" t="s">
        <v>8067</v>
      </c>
      <c r="AC38" s="128" t="s">
        <v>8068</v>
      </c>
      <c r="AD38" s="128" t="s">
        <v>8069</v>
      </c>
      <c r="AE38" s="128" t="s">
        <v>8070</v>
      </c>
      <c r="AF38" s="128" t="s">
        <v>8071</v>
      </c>
    </row>
    <row r="39" spans="3:32" ht="319" x14ac:dyDescent="0.35">
      <c r="C39" s="128" t="s">
        <v>1071</v>
      </c>
      <c r="E39" s="128" t="s">
        <v>1072</v>
      </c>
      <c r="F39" s="128" t="s">
        <v>8072</v>
      </c>
      <c r="G39" s="128" t="s">
        <v>8073</v>
      </c>
      <c r="H39" s="128" t="s">
        <v>1075</v>
      </c>
      <c r="I39" s="128" t="s">
        <v>8074</v>
      </c>
      <c r="J39" s="128" t="s">
        <v>8075</v>
      </c>
      <c r="K39" s="128" t="s">
        <v>8076</v>
      </c>
      <c r="L39" s="128" t="s">
        <v>8077</v>
      </c>
      <c r="M39" s="128" t="s">
        <v>8078</v>
      </c>
      <c r="N39" s="128" t="s">
        <v>8079</v>
      </c>
      <c r="O39" s="128" t="s">
        <v>8080</v>
      </c>
      <c r="P39" s="128" t="s">
        <v>8081</v>
      </c>
      <c r="Q39" s="128" t="s">
        <v>8082</v>
      </c>
      <c r="R39" s="128" t="s">
        <v>8083</v>
      </c>
      <c r="S39" s="128" t="s">
        <v>8084</v>
      </c>
      <c r="T39" s="128" t="s">
        <v>8085</v>
      </c>
      <c r="U39" s="128" t="s">
        <v>8086</v>
      </c>
      <c r="V39" s="128" t="s">
        <v>8087</v>
      </c>
      <c r="W39" s="128" t="s">
        <v>8088</v>
      </c>
      <c r="X39" s="128" t="s">
        <v>8089</v>
      </c>
      <c r="Y39" s="128" t="s">
        <v>8090</v>
      </c>
      <c r="Z39" s="128" t="s">
        <v>8091</v>
      </c>
      <c r="AA39" s="128" t="s">
        <v>8092</v>
      </c>
      <c r="AB39" s="128" t="s">
        <v>8093</v>
      </c>
      <c r="AC39" s="128" t="s">
        <v>8094</v>
      </c>
      <c r="AD39" s="128" t="s">
        <v>8095</v>
      </c>
      <c r="AE39" s="128" t="s">
        <v>8096</v>
      </c>
      <c r="AF39" s="128" t="s">
        <v>8097</v>
      </c>
    </row>
    <row r="40" spans="3:32" ht="319" x14ac:dyDescent="0.35">
      <c r="C40" s="128" t="s">
        <v>1100</v>
      </c>
      <c r="E40" s="128" t="s">
        <v>1101</v>
      </c>
      <c r="F40" s="128" t="s">
        <v>8098</v>
      </c>
      <c r="G40" s="128" t="s">
        <v>8099</v>
      </c>
      <c r="H40" s="128" t="s">
        <v>1104</v>
      </c>
      <c r="I40" s="128" t="s">
        <v>8100</v>
      </c>
      <c r="J40" s="128" t="s">
        <v>8101</v>
      </c>
      <c r="K40" s="128" t="s">
        <v>8102</v>
      </c>
      <c r="L40" s="128" t="s">
        <v>8103</v>
      </c>
      <c r="M40" s="128" t="s">
        <v>8104</v>
      </c>
      <c r="N40" s="128" t="s">
        <v>8105</v>
      </c>
      <c r="O40" s="128" t="s">
        <v>8106</v>
      </c>
      <c r="P40" s="128" t="s">
        <v>8107</v>
      </c>
      <c r="Q40" s="128" t="s">
        <v>8108</v>
      </c>
      <c r="R40" s="128" t="s">
        <v>8109</v>
      </c>
      <c r="S40" s="128" t="s">
        <v>8110</v>
      </c>
      <c r="T40" s="128" t="s">
        <v>8111</v>
      </c>
      <c r="U40" s="128" t="s">
        <v>8112</v>
      </c>
      <c r="V40" s="128" t="s">
        <v>8113</v>
      </c>
      <c r="W40" s="128" t="s">
        <v>8114</v>
      </c>
      <c r="X40" s="128" t="s">
        <v>8115</v>
      </c>
      <c r="Y40" s="128" t="s">
        <v>8116</v>
      </c>
      <c r="Z40" s="128" t="s">
        <v>8117</v>
      </c>
      <c r="AA40" s="128" t="s">
        <v>8118</v>
      </c>
      <c r="AB40" s="128" t="s">
        <v>8119</v>
      </c>
      <c r="AC40" s="128" t="s">
        <v>8120</v>
      </c>
      <c r="AD40" s="128" t="s">
        <v>8121</v>
      </c>
      <c r="AE40" s="128" t="s">
        <v>8122</v>
      </c>
      <c r="AF40" s="128" t="s">
        <v>8123</v>
      </c>
    </row>
    <row r="41" spans="3:32" ht="319" x14ac:dyDescent="0.35">
      <c r="C41" s="128" t="s">
        <v>1129</v>
      </c>
      <c r="E41" s="128" t="s">
        <v>1130</v>
      </c>
      <c r="F41" s="128" t="s">
        <v>8124</v>
      </c>
      <c r="G41" s="128" t="s">
        <v>8125</v>
      </c>
      <c r="H41" s="128" t="s">
        <v>1133</v>
      </c>
      <c r="I41" s="128" t="s">
        <v>8126</v>
      </c>
      <c r="J41" s="128" t="s">
        <v>8127</v>
      </c>
      <c r="K41" s="128" t="s">
        <v>8128</v>
      </c>
      <c r="L41" s="128" t="s">
        <v>8129</v>
      </c>
      <c r="M41" s="128" t="s">
        <v>8130</v>
      </c>
      <c r="N41" s="128" t="s">
        <v>8131</v>
      </c>
      <c r="O41" s="128" t="s">
        <v>8132</v>
      </c>
      <c r="P41" s="128" t="s">
        <v>8133</v>
      </c>
      <c r="Q41" s="128" t="s">
        <v>8134</v>
      </c>
      <c r="R41" s="128" t="s">
        <v>8135</v>
      </c>
      <c r="S41" s="128" t="s">
        <v>8136</v>
      </c>
      <c r="T41" s="128" t="s">
        <v>8137</v>
      </c>
      <c r="U41" s="128" t="s">
        <v>8138</v>
      </c>
      <c r="V41" s="128" t="s">
        <v>8139</v>
      </c>
      <c r="W41" s="128" t="s">
        <v>8140</v>
      </c>
      <c r="X41" s="128" t="s">
        <v>8141</v>
      </c>
      <c r="Y41" s="128" t="s">
        <v>8142</v>
      </c>
      <c r="Z41" s="128" t="s">
        <v>8143</v>
      </c>
      <c r="AA41" s="128" t="s">
        <v>8144</v>
      </c>
      <c r="AB41" s="128" t="s">
        <v>8145</v>
      </c>
      <c r="AC41" s="128" t="s">
        <v>8146</v>
      </c>
      <c r="AD41" s="128" t="s">
        <v>8147</v>
      </c>
      <c r="AE41" s="128" t="s">
        <v>8148</v>
      </c>
      <c r="AF41" s="128" t="s">
        <v>8149</v>
      </c>
    </row>
    <row r="42" spans="3:32" ht="319" x14ac:dyDescent="0.35">
      <c r="C42" s="128" t="s">
        <v>1158</v>
      </c>
      <c r="E42" s="128" t="s">
        <v>1159</v>
      </c>
      <c r="F42" s="128" t="s">
        <v>8150</v>
      </c>
      <c r="G42" s="128" t="s">
        <v>8151</v>
      </c>
      <c r="H42" s="128" t="s">
        <v>1162</v>
      </c>
      <c r="I42" s="128" t="s">
        <v>8152</v>
      </c>
      <c r="J42" s="128" t="s">
        <v>8153</v>
      </c>
      <c r="K42" s="128" t="s">
        <v>8154</v>
      </c>
      <c r="L42" s="128" t="s">
        <v>8155</v>
      </c>
      <c r="M42" s="128" t="s">
        <v>8156</v>
      </c>
      <c r="N42" s="128" t="s">
        <v>8157</v>
      </c>
      <c r="O42" s="128" t="s">
        <v>8158</v>
      </c>
      <c r="P42" s="128" t="s">
        <v>8159</v>
      </c>
      <c r="Q42" s="128" t="s">
        <v>8160</v>
      </c>
      <c r="R42" s="128" t="s">
        <v>8161</v>
      </c>
      <c r="S42" s="128" t="s">
        <v>8162</v>
      </c>
      <c r="T42" s="128" t="s">
        <v>8163</v>
      </c>
      <c r="U42" s="128" t="s">
        <v>8164</v>
      </c>
      <c r="V42" s="128" t="s">
        <v>8165</v>
      </c>
      <c r="W42" s="128" t="s">
        <v>8166</v>
      </c>
      <c r="X42" s="128" t="s">
        <v>8167</v>
      </c>
      <c r="Y42" s="128" t="s">
        <v>8168</v>
      </c>
      <c r="Z42" s="128" t="s">
        <v>8169</v>
      </c>
      <c r="AA42" s="128" t="s">
        <v>8170</v>
      </c>
      <c r="AB42" s="128" t="s">
        <v>8171</v>
      </c>
      <c r="AC42" s="128" t="s">
        <v>8172</v>
      </c>
      <c r="AD42" s="128" t="s">
        <v>8173</v>
      </c>
      <c r="AE42" s="128" t="s">
        <v>8174</v>
      </c>
      <c r="AF42" s="128" t="s">
        <v>8175</v>
      </c>
    </row>
    <row r="43" spans="3:32" ht="319" x14ac:dyDescent="0.35">
      <c r="C43" s="128" t="s">
        <v>1187</v>
      </c>
      <c r="E43" s="128" t="s">
        <v>1188</v>
      </c>
      <c r="F43" s="128" t="s">
        <v>8176</v>
      </c>
      <c r="G43" s="128" t="s">
        <v>8177</v>
      </c>
      <c r="H43" s="128" t="s">
        <v>1191</v>
      </c>
      <c r="I43" s="128" t="s">
        <v>8178</v>
      </c>
      <c r="J43" s="128" t="s">
        <v>8179</v>
      </c>
      <c r="K43" s="128" t="s">
        <v>8180</v>
      </c>
      <c r="L43" s="128" t="s">
        <v>8181</v>
      </c>
      <c r="M43" s="128" t="s">
        <v>8182</v>
      </c>
      <c r="N43" s="128" t="s">
        <v>8183</v>
      </c>
      <c r="O43" s="128" t="s">
        <v>8184</v>
      </c>
      <c r="P43" s="128" t="s">
        <v>8185</v>
      </c>
      <c r="Q43" s="128" t="s">
        <v>8186</v>
      </c>
      <c r="R43" s="128" t="s">
        <v>8187</v>
      </c>
      <c r="S43" s="128" t="s">
        <v>8188</v>
      </c>
      <c r="T43" s="128" t="s">
        <v>8189</v>
      </c>
      <c r="U43" s="128" t="s">
        <v>8190</v>
      </c>
      <c r="V43" s="128" t="s">
        <v>8191</v>
      </c>
      <c r="W43" s="128" t="s">
        <v>8192</v>
      </c>
      <c r="X43" s="128" t="s">
        <v>8193</v>
      </c>
      <c r="Y43" s="128" t="s">
        <v>8194</v>
      </c>
      <c r="Z43" s="128" t="s">
        <v>8195</v>
      </c>
      <c r="AA43" s="128" t="s">
        <v>8196</v>
      </c>
      <c r="AB43" s="128" t="s">
        <v>8197</v>
      </c>
      <c r="AC43" s="128" t="s">
        <v>8198</v>
      </c>
      <c r="AD43" s="128" t="s">
        <v>8199</v>
      </c>
      <c r="AE43" s="128" t="s">
        <v>8200</v>
      </c>
      <c r="AF43" s="128" t="s">
        <v>8201</v>
      </c>
    </row>
    <row r="44" spans="3:32" ht="319" x14ac:dyDescent="0.35">
      <c r="C44" s="128" t="s">
        <v>1216</v>
      </c>
      <c r="E44" s="128" t="s">
        <v>1217</v>
      </c>
      <c r="F44" s="128" t="s">
        <v>8202</v>
      </c>
      <c r="G44" s="128" t="s">
        <v>8203</v>
      </c>
      <c r="H44" s="128" t="s">
        <v>1220</v>
      </c>
      <c r="I44" s="128" t="s">
        <v>8204</v>
      </c>
      <c r="J44" s="128" t="s">
        <v>8205</v>
      </c>
      <c r="K44" s="128" t="s">
        <v>8206</v>
      </c>
      <c r="L44" s="128" t="s">
        <v>8207</v>
      </c>
      <c r="M44" s="128" t="s">
        <v>8208</v>
      </c>
      <c r="N44" s="128" t="s">
        <v>8209</v>
      </c>
      <c r="O44" s="128" t="s">
        <v>8210</v>
      </c>
      <c r="P44" s="128" t="s">
        <v>8211</v>
      </c>
      <c r="Q44" s="128" t="s">
        <v>8212</v>
      </c>
      <c r="R44" s="128" t="s">
        <v>8213</v>
      </c>
      <c r="S44" s="128" t="s">
        <v>8214</v>
      </c>
      <c r="T44" s="128" t="s">
        <v>8215</v>
      </c>
      <c r="U44" s="128" t="s">
        <v>8216</v>
      </c>
      <c r="V44" s="128" t="s">
        <v>8217</v>
      </c>
      <c r="W44" s="128" t="s">
        <v>8218</v>
      </c>
      <c r="X44" s="128" t="s">
        <v>8219</v>
      </c>
      <c r="Y44" s="128" t="s">
        <v>8220</v>
      </c>
      <c r="Z44" s="128" t="s">
        <v>8221</v>
      </c>
      <c r="AA44" s="128" t="s">
        <v>8222</v>
      </c>
      <c r="AB44" s="128" t="s">
        <v>8223</v>
      </c>
      <c r="AC44" s="128" t="s">
        <v>8224</v>
      </c>
      <c r="AD44" s="128" t="s">
        <v>8225</v>
      </c>
      <c r="AE44" s="128" t="s">
        <v>8226</v>
      </c>
      <c r="AF44" s="128" t="s">
        <v>8227</v>
      </c>
    </row>
    <row r="45" spans="3:32" ht="319" x14ac:dyDescent="0.35">
      <c r="C45" s="128" t="s">
        <v>1245</v>
      </c>
      <c r="E45" s="128" t="s">
        <v>1246</v>
      </c>
      <c r="F45" s="128" t="s">
        <v>8228</v>
      </c>
      <c r="G45" s="128" t="s">
        <v>8229</v>
      </c>
      <c r="H45" s="128" t="s">
        <v>1249</v>
      </c>
      <c r="I45" s="128" t="s">
        <v>8230</v>
      </c>
      <c r="J45" s="128" t="s">
        <v>8231</v>
      </c>
      <c r="K45" s="128" t="s">
        <v>8232</v>
      </c>
      <c r="L45" s="128" t="s">
        <v>8233</v>
      </c>
      <c r="M45" s="128" t="s">
        <v>8234</v>
      </c>
      <c r="N45" s="128" t="s">
        <v>8235</v>
      </c>
      <c r="O45" s="128" t="s">
        <v>8236</v>
      </c>
      <c r="P45" s="128" t="s">
        <v>8237</v>
      </c>
      <c r="Q45" s="128" t="s">
        <v>8238</v>
      </c>
      <c r="R45" s="128" t="s">
        <v>8239</v>
      </c>
      <c r="S45" s="128" t="s">
        <v>8240</v>
      </c>
      <c r="T45" s="128" t="s">
        <v>8241</v>
      </c>
      <c r="U45" s="128" t="s">
        <v>8242</v>
      </c>
      <c r="V45" s="128" t="s">
        <v>8243</v>
      </c>
      <c r="W45" s="128" t="s">
        <v>8244</v>
      </c>
      <c r="X45" s="128" t="s">
        <v>8245</v>
      </c>
      <c r="Y45" s="128" t="s">
        <v>8246</v>
      </c>
      <c r="Z45" s="128" t="s">
        <v>8247</v>
      </c>
      <c r="AA45" s="128" t="s">
        <v>8248</v>
      </c>
      <c r="AB45" s="128" t="s">
        <v>8249</v>
      </c>
      <c r="AC45" s="128" t="s">
        <v>8250</v>
      </c>
      <c r="AD45" s="128" t="s">
        <v>8251</v>
      </c>
      <c r="AE45" s="128" t="s">
        <v>8252</v>
      </c>
      <c r="AF45" s="128" t="s">
        <v>8253</v>
      </c>
    </row>
    <row r="46" spans="3:32" ht="319" x14ac:dyDescent="0.35">
      <c r="C46" s="128" t="s">
        <v>1274</v>
      </c>
      <c r="E46" s="128" t="s">
        <v>1275</v>
      </c>
      <c r="F46" s="128" t="s">
        <v>8254</v>
      </c>
      <c r="G46" s="128" t="s">
        <v>8255</v>
      </c>
      <c r="H46" s="128" t="s">
        <v>1278</v>
      </c>
      <c r="I46" s="128" t="s">
        <v>8256</v>
      </c>
      <c r="J46" s="128" t="s">
        <v>8257</v>
      </c>
      <c r="K46" s="128" t="s">
        <v>8258</v>
      </c>
      <c r="L46" s="128" t="s">
        <v>8259</v>
      </c>
      <c r="M46" s="128" t="s">
        <v>8260</v>
      </c>
      <c r="N46" s="128" t="s">
        <v>8261</v>
      </c>
      <c r="O46" s="128" t="s">
        <v>8262</v>
      </c>
      <c r="P46" s="128" t="s">
        <v>8263</v>
      </c>
      <c r="Q46" s="128" t="s">
        <v>8264</v>
      </c>
      <c r="R46" s="128" t="s">
        <v>8265</v>
      </c>
      <c r="S46" s="128" t="s">
        <v>8266</v>
      </c>
      <c r="T46" s="128" t="s">
        <v>8267</v>
      </c>
      <c r="U46" s="128" t="s">
        <v>8268</v>
      </c>
      <c r="V46" s="128" t="s">
        <v>8269</v>
      </c>
      <c r="W46" s="128" t="s">
        <v>8270</v>
      </c>
      <c r="X46" s="128" t="s">
        <v>8271</v>
      </c>
      <c r="Y46" s="128" t="s">
        <v>8272</v>
      </c>
      <c r="Z46" s="128" t="s">
        <v>8273</v>
      </c>
      <c r="AA46" s="128" t="s">
        <v>8274</v>
      </c>
      <c r="AB46" s="128" t="s">
        <v>8275</v>
      </c>
      <c r="AC46" s="128" t="s">
        <v>8276</v>
      </c>
      <c r="AD46" s="128" t="s">
        <v>8277</v>
      </c>
      <c r="AE46" s="128" t="s">
        <v>8278</v>
      </c>
      <c r="AF46" s="128" t="s">
        <v>8279</v>
      </c>
    </row>
    <row r="47" spans="3:32" ht="319" x14ac:dyDescent="0.35">
      <c r="C47" s="128" t="s">
        <v>1303</v>
      </c>
      <c r="E47" s="128" t="s">
        <v>1304</v>
      </c>
      <c r="F47" s="128" t="s">
        <v>8280</v>
      </c>
      <c r="G47" s="128" t="s">
        <v>8281</v>
      </c>
      <c r="H47" s="128" t="s">
        <v>1307</v>
      </c>
      <c r="I47" s="128" t="s">
        <v>8282</v>
      </c>
      <c r="J47" s="128" t="s">
        <v>8283</v>
      </c>
      <c r="K47" s="128" t="s">
        <v>8284</v>
      </c>
      <c r="L47" s="128" t="s">
        <v>8285</v>
      </c>
      <c r="M47" s="128" t="s">
        <v>8286</v>
      </c>
      <c r="N47" s="128" t="s">
        <v>8287</v>
      </c>
      <c r="O47" s="128" t="s">
        <v>8288</v>
      </c>
      <c r="P47" s="128" t="s">
        <v>8289</v>
      </c>
      <c r="Q47" s="128" t="s">
        <v>8290</v>
      </c>
      <c r="R47" s="128" t="s">
        <v>8291</v>
      </c>
      <c r="S47" s="128" t="s">
        <v>8292</v>
      </c>
      <c r="T47" s="128" t="s">
        <v>8293</v>
      </c>
      <c r="U47" s="128" t="s">
        <v>8294</v>
      </c>
      <c r="V47" s="128" t="s">
        <v>8295</v>
      </c>
      <c r="W47" s="128" t="s">
        <v>8296</v>
      </c>
      <c r="X47" s="128" t="s">
        <v>8297</v>
      </c>
      <c r="Y47" s="128" t="s">
        <v>8298</v>
      </c>
      <c r="Z47" s="128" t="s">
        <v>8299</v>
      </c>
      <c r="AA47" s="128" t="s">
        <v>8300</v>
      </c>
      <c r="AB47" s="128" t="s">
        <v>8301</v>
      </c>
      <c r="AC47" s="128" t="s">
        <v>8302</v>
      </c>
      <c r="AD47" s="128" t="s">
        <v>8303</v>
      </c>
      <c r="AE47" s="128" t="s">
        <v>8304</v>
      </c>
      <c r="AF47" s="128" t="s">
        <v>8305</v>
      </c>
    </row>
    <row r="48" spans="3:32" ht="319" x14ac:dyDescent="0.35">
      <c r="C48" s="128" t="s">
        <v>1332</v>
      </c>
      <c r="E48" s="128" t="s">
        <v>1333</v>
      </c>
      <c r="F48" s="128" t="s">
        <v>8306</v>
      </c>
      <c r="G48" s="128" t="s">
        <v>8307</v>
      </c>
      <c r="H48" s="128" t="s">
        <v>1336</v>
      </c>
      <c r="I48" s="128" t="s">
        <v>8308</v>
      </c>
      <c r="J48" s="128" t="s">
        <v>8309</v>
      </c>
      <c r="K48" s="128" t="s">
        <v>8310</v>
      </c>
      <c r="L48" s="128" t="s">
        <v>8311</v>
      </c>
      <c r="M48" s="128" t="s">
        <v>8312</v>
      </c>
      <c r="N48" s="128" t="s">
        <v>8313</v>
      </c>
      <c r="O48" s="128" t="s">
        <v>8314</v>
      </c>
      <c r="P48" s="128" t="s">
        <v>8315</v>
      </c>
      <c r="Q48" s="128" t="s">
        <v>8316</v>
      </c>
      <c r="R48" s="128" t="s">
        <v>8317</v>
      </c>
      <c r="S48" s="128" t="s">
        <v>8318</v>
      </c>
      <c r="T48" s="128" t="s">
        <v>8319</v>
      </c>
      <c r="U48" s="128" t="s">
        <v>8320</v>
      </c>
      <c r="V48" s="128" t="s">
        <v>8321</v>
      </c>
      <c r="W48" s="128" t="s">
        <v>8322</v>
      </c>
      <c r="X48" s="128" t="s">
        <v>8323</v>
      </c>
      <c r="Y48" s="128" t="s">
        <v>8324</v>
      </c>
      <c r="Z48" s="128" t="s">
        <v>8325</v>
      </c>
      <c r="AA48" s="128" t="s">
        <v>8326</v>
      </c>
      <c r="AB48" s="128" t="s">
        <v>8327</v>
      </c>
      <c r="AC48" s="128" t="s">
        <v>8328</v>
      </c>
      <c r="AD48" s="128" t="s">
        <v>8329</v>
      </c>
      <c r="AE48" s="128" t="s">
        <v>8330</v>
      </c>
      <c r="AF48" s="128" t="s">
        <v>8331</v>
      </c>
    </row>
    <row r="49" spans="3:32" ht="319" x14ac:dyDescent="0.35">
      <c r="C49" s="128" t="s">
        <v>1361</v>
      </c>
      <c r="E49" s="128" t="s">
        <v>1362</v>
      </c>
      <c r="F49" s="128" t="s">
        <v>8332</v>
      </c>
      <c r="G49" s="128" t="s">
        <v>8333</v>
      </c>
      <c r="H49" s="128" t="s">
        <v>1365</v>
      </c>
      <c r="I49" s="128" t="s">
        <v>8334</v>
      </c>
      <c r="J49" s="128" t="s">
        <v>8335</v>
      </c>
      <c r="K49" s="128" t="s">
        <v>8336</v>
      </c>
      <c r="L49" s="128" t="s">
        <v>8337</v>
      </c>
      <c r="M49" s="128" t="s">
        <v>8338</v>
      </c>
      <c r="N49" s="128" t="s">
        <v>8339</v>
      </c>
      <c r="O49" s="128" t="s">
        <v>8340</v>
      </c>
      <c r="P49" s="128" t="s">
        <v>8341</v>
      </c>
      <c r="Q49" s="128" t="s">
        <v>8342</v>
      </c>
      <c r="R49" s="128" t="s">
        <v>8343</v>
      </c>
      <c r="S49" s="128" t="s">
        <v>8344</v>
      </c>
      <c r="T49" s="128" t="s">
        <v>8345</v>
      </c>
      <c r="U49" s="128" t="s">
        <v>8346</v>
      </c>
      <c r="V49" s="128" t="s">
        <v>8347</v>
      </c>
      <c r="W49" s="128" t="s">
        <v>8348</v>
      </c>
      <c r="X49" s="128" t="s">
        <v>8349</v>
      </c>
      <c r="Y49" s="128" t="s">
        <v>8350</v>
      </c>
      <c r="Z49" s="128" t="s">
        <v>8351</v>
      </c>
      <c r="AA49" s="128" t="s">
        <v>8352</v>
      </c>
      <c r="AB49" s="128" t="s">
        <v>8353</v>
      </c>
      <c r="AC49" s="128" t="s">
        <v>8354</v>
      </c>
      <c r="AD49" s="128" t="s">
        <v>8355</v>
      </c>
      <c r="AE49" s="128" t="s">
        <v>8356</v>
      </c>
      <c r="AF49" s="128" t="s">
        <v>8357</v>
      </c>
    </row>
    <row r="50" spans="3:32" ht="319" x14ac:dyDescent="0.35">
      <c r="C50" s="128" t="s">
        <v>1390</v>
      </c>
      <c r="E50" s="128" t="s">
        <v>1391</v>
      </c>
      <c r="F50" s="128" t="s">
        <v>8358</v>
      </c>
      <c r="G50" s="128" t="s">
        <v>8359</v>
      </c>
      <c r="H50" s="128" t="s">
        <v>1394</v>
      </c>
      <c r="I50" s="128" t="s">
        <v>8360</v>
      </c>
      <c r="J50" s="128" t="s">
        <v>8361</v>
      </c>
      <c r="K50" s="128" t="s">
        <v>8362</v>
      </c>
      <c r="L50" s="128" t="s">
        <v>8363</v>
      </c>
      <c r="M50" s="128" t="s">
        <v>8364</v>
      </c>
      <c r="N50" s="128" t="s">
        <v>8365</v>
      </c>
      <c r="O50" s="128" t="s">
        <v>8366</v>
      </c>
      <c r="P50" s="128" t="s">
        <v>8367</v>
      </c>
      <c r="Q50" s="128" t="s">
        <v>8368</v>
      </c>
      <c r="R50" s="128" t="s">
        <v>8369</v>
      </c>
      <c r="S50" s="128" t="s">
        <v>8370</v>
      </c>
      <c r="T50" s="128" t="s">
        <v>8371</v>
      </c>
      <c r="U50" s="128" t="s">
        <v>8372</v>
      </c>
      <c r="V50" s="128" t="s">
        <v>8373</v>
      </c>
      <c r="W50" s="128" t="s">
        <v>8374</v>
      </c>
      <c r="X50" s="128" t="s">
        <v>8375</v>
      </c>
      <c r="Y50" s="128" t="s">
        <v>8376</v>
      </c>
      <c r="Z50" s="128" t="s">
        <v>8377</v>
      </c>
      <c r="AA50" s="128" t="s">
        <v>8378</v>
      </c>
      <c r="AB50" s="128" t="s">
        <v>8379</v>
      </c>
      <c r="AC50" s="128" t="s">
        <v>8380</v>
      </c>
      <c r="AD50" s="128" t="s">
        <v>8381</v>
      </c>
      <c r="AE50" s="128" t="s">
        <v>8382</v>
      </c>
      <c r="AF50" s="128" t="s">
        <v>8383</v>
      </c>
    </row>
    <row r="51" spans="3:32" ht="319" x14ac:dyDescent="0.35">
      <c r="C51" s="128" t="s">
        <v>1419</v>
      </c>
      <c r="E51" s="128" t="s">
        <v>1420</v>
      </c>
      <c r="F51" s="128" t="s">
        <v>8384</v>
      </c>
      <c r="G51" s="128" t="s">
        <v>8385</v>
      </c>
      <c r="H51" s="128" t="s">
        <v>1423</v>
      </c>
      <c r="I51" s="128" t="s">
        <v>8386</v>
      </c>
      <c r="J51" s="128" t="s">
        <v>8387</v>
      </c>
      <c r="K51" s="128" t="s">
        <v>8388</v>
      </c>
      <c r="L51" s="128" t="s">
        <v>8389</v>
      </c>
      <c r="M51" s="128" t="s">
        <v>8390</v>
      </c>
      <c r="N51" s="128" t="s">
        <v>8391</v>
      </c>
      <c r="O51" s="128" t="s">
        <v>8392</v>
      </c>
      <c r="P51" s="128" t="s">
        <v>8393</v>
      </c>
      <c r="Q51" s="128" t="s">
        <v>8394</v>
      </c>
      <c r="R51" s="128" t="s">
        <v>8395</v>
      </c>
      <c r="S51" s="128" t="s">
        <v>8396</v>
      </c>
      <c r="T51" s="128" t="s">
        <v>8397</v>
      </c>
      <c r="U51" s="128" t="s">
        <v>8398</v>
      </c>
      <c r="V51" s="128" t="s">
        <v>8399</v>
      </c>
      <c r="W51" s="128" t="s">
        <v>8400</v>
      </c>
      <c r="X51" s="128" t="s">
        <v>8401</v>
      </c>
      <c r="Y51" s="128" t="s">
        <v>8402</v>
      </c>
      <c r="Z51" s="128" t="s">
        <v>8403</v>
      </c>
      <c r="AA51" s="128" t="s">
        <v>8404</v>
      </c>
      <c r="AB51" s="128" t="s">
        <v>8405</v>
      </c>
      <c r="AC51" s="128" t="s">
        <v>8406</v>
      </c>
      <c r="AD51" s="128" t="s">
        <v>8407</v>
      </c>
      <c r="AE51" s="128" t="s">
        <v>8408</v>
      </c>
      <c r="AF51" s="128" t="s">
        <v>8409</v>
      </c>
    </row>
    <row r="52" spans="3:32" ht="319" x14ac:dyDescent="0.35">
      <c r="C52" s="128" t="s">
        <v>1448</v>
      </c>
      <c r="E52" s="128" t="s">
        <v>1449</v>
      </c>
      <c r="F52" s="128" t="s">
        <v>8410</v>
      </c>
      <c r="G52" s="128" t="s">
        <v>8411</v>
      </c>
      <c r="H52" s="128" t="s">
        <v>1452</v>
      </c>
      <c r="I52" s="128" t="s">
        <v>8412</v>
      </c>
      <c r="J52" s="128" t="s">
        <v>8413</v>
      </c>
      <c r="K52" s="128" t="s">
        <v>8414</v>
      </c>
      <c r="L52" s="128" t="s">
        <v>8415</v>
      </c>
      <c r="M52" s="128" t="s">
        <v>8416</v>
      </c>
      <c r="N52" s="128" t="s">
        <v>8417</v>
      </c>
      <c r="O52" s="128" t="s">
        <v>8418</v>
      </c>
      <c r="P52" s="128" t="s">
        <v>8419</v>
      </c>
      <c r="Q52" s="128" t="s">
        <v>8420</v>
      </c>
      <c r="R52" s="128" t="s">
        <v>8421</v>
      </c>
      <c r="S52" s="128" t="s">
        <v>8422</v>
      </c>
      <c r="T52" s="128" t="s">
        <v>8423</v>
      </c>
      <c r="U52" s="128" t="s">
        <v>8424</v>
      </c>
      <c r="V52" s="128" t="s">
        <v>8425</v>
      </c>
      <c r="W52" s="128" t="s">
        <v>8426</v>
      </c>
      <c r="X52" s="128" t="s">
        <v>8427</v>
      </c>
      <c r="Y52" s="128" t="s">
        <v>8428</v>
      </c>
      <c r="Z52" s="128" t="s">
        <v>8429</v>
      </c>
      <c r="AA52" s="128" t="s">
        <v>8430</v>
      </c>
      <c r="AB52" s="128" t="s">
        <v>8431</v>
      </c>
      <c r="AC52" s="128" t="s">
        <v>8432</v>
      </c>
      <c r="AD52" s="128" t="s">
        <v>8433</v>
      </c>
      <c r="AE52" s="128" t="s">
        <v>8434</v>
      </c>
      <c r="AF52" s="128" t="s">
        <v>8435</v>
      </c>
    </row>
    <row r="53" spans="3:32" ht="319" x14ac:dyDescent="0.35">
      <c r="C53" s="128" t="s">
        <v>1477</v>
      </c>
      <c r="E53" s="128" t="s">
        <v>1478</v>
      </c>
      <c r="F53" s="128" t="s">
        <v>8436</v>
      </c>
      <c r="G53" s="128" t="s">
        <v>8437</v>
      </c>
      <c r="H53" s="128" t="s">
        <v>1481</v>
      </c>
      <c r="I53" s="128" t="s">
        <v>8438</v>
      </c>
      <c r="J53" s="128" t="s">
        <v>8439</v>
      </c>
      <c r="K53" s="128" t="s">
        <v>8440</v>
      </c>
      <c r="L53" s="128" t="s">
        <v>8441</v>
      </c>
      <c r="M53" s="128" t="s">
        <v>8442</v>
      </c>
      <c r="N53" s="128" t="s">
        <v>8443</v>
      </c>
      <c r="O53" s="128" t="s">
        <v>8444</v>
      </c>
      <c r="P53" s="128" t="s">
        <v>8445</v>
      </c>
      <c r="Q53" s="128" t="s">
        <v>8446</v>
      </c>
      <c r="R53" s="128" t="s">
        <v>8447</v>
      </c>
      <c r="S53" s="128" t="s">
        <v>8448</v>
      </c>
      <c r="T53" s="128" t="s">
        <v>8449</v>
      </c>
      <c r="U53" s="128" t="s">
        <v>8450</v>
      </c>
      <c r="V53" s="128" t="s">
        <v>8451</v>
      </c>
      <c r="W53" s="128" t="s">
        <v>8452</v>
      </c>
      <c r="X53" s="128" t="s">
        <v>8453</v>
      </c>
      <c r="Y53" s="128" t="s">
        <v>8454</v>
      </c>
      <c r="Z53" s="128" t="s">
        <v>8455</v>
      </c>
      <c r="AA53" s="128" t="s">
        <v>8456</v>
      </c>
      <c r="AB53" s="128" t="s">
        <v>8457</v>
      </c>
      <c r="AC53" s="128" t="s">
        <v>8458</v>
      </c>
      <c r="AD53" s="128" t="s">
        <v>8459</v>
      </c>
      <c r="AE53" s="128" t="s">
        <v>8460</v>
      </c>
      <c r="AF53" s="128" t="s">
        <v>8461</v>
      </c>
    </row>
    <row r="54" spans="3:32" ht="319" x14ac:dyDescent="0.35">
      <c r="C54" s="128" t="s">
        <v>1506</v>
      </c>
      <c r="E54" s="128" t="s">
        <v>1507</v>
      </c>
      <c r="F54" s="128" t="s">
        <v>8462</v>
      </c>
      <c r="G54" s="128" t="s">
        <v>8463</v>
      </c>
      <c r="H54" s="128" t="s">
        <v>1510</v>
      </c>
      <c r="I54" s="128" t="s">
        <v>8464</v>
      </c>
      <c r="J54" s="128" t="s">
        <v>8465</v>
      </c>
      <c r="K54" s="128" t="s">
        <v>8466</v>
      </c>
      <c r="L54" s="128" t="s">
        <v>8467</v>
      </c>
      <c r="M54" s="128" t="s">
        <v>8468</v>
      </c>
      <c r="N54" s="128" t="s">
        <v>8469</v>
      </c>
      <c r="O54" s="128" t="s">
        <v>8470</v>
      </c>
      <c r="P54" s="128" t="s">
        <v>8471</v>
      </c>
      <c r="Q54" s="128" t="s">
        <v>8472</v>
      </c>
      <c r="R54" s="128" t="s">
        <v>8473</v>
      </c>
      <c r="S54" s="128" t="s">
        <v>8474</v>
      </c>
      <c r="T54" s="128" t="s">
        <v>8475</v>
      </c>
      <c r="U54" s="128" t="s">
        <v>8476</v>
      </c>
      <c r="V54" s="128" t="s">
        <v>8477</v>
      </c>
      <c r="W54" s="128" t="s">
        <v>8478</v>
      </c>
      <c r="X54" s="128" t="s">
        <v>8479</v>
      </c>
      <c r="Y54" s="128" t="s">
        <v>8480</v>
      </c>
      <c r="Z54" s="128" t="s">
        <v>8481</v>
      </c>
      <c r="AA54" s="128" t="s">
        <v>8482</v>
      </c>
      <c r="AB54" s="128" t="s">
        <v>8483</v>
      </c>
      <c r="AC54" s="128" t="s">
        <v>8484</v>
      </c>
      <c r="AD54" s="128" t="s">
        <v>8485</v>
      </c>
      <c r="AE54" s="128" t="s">
        <v>8486</v>
      </c>
      <c r="AF54" s="128" t="s">
        <v>8487</v>
      </c>
    </row>
    <row r="55" spans="3:32" ht="319" x14ac:dyDescent="0.35">
      <c r="C55" s="128" t="s">
        <v>1535</v>
      </c>
      <c r="E55" s="128" t="s">
        <v>1536</v>
      </c>
      <c r="F55" s="128" t="s">
        <v>8488</v>
      </c>
      <c r="G55" s="128" t="s">
        <v>8489</v>
      </c>
      <c r="H55" s="128" t="s">
        <v>1539</v>
      </c>
      <c r="I55" s="128" t="s">
        <v>8490</v>
      </c>
      <c r="J55" s="128" t="s">
        <v>8491</v>
      </c>
      <c r="K55" s="128" t="s">
        <v>8492</v>
      </c>
      <c r="L55" s="128" t="s">
        <v>8493</v>
      </c>
      <c r="M55" s="128" t="s">
        <v>8494</v>
      </c>
      <c r="N55" s="128" t="s">
        <v>8495</v>
      </c>
      <c r="O55" s="128" t="s">
        <v>8496</v>
      </c>
      <c r="P55" s="128" t="s">
        <v>8497</v>
      </c>
      <c r="Q55" s="128" t="s">
        <v>8498</v>
      </c>
      <c r="R55" s="128" t="s">
        <v>8499</v>
      </c>
      <c r="S55" s="128" t="s">
        <v>8500</v>
      </c>
      <c r="T55" s="128" t="s">
        <v>8501</v>
      </c>
      <c r="U55" s="128" t="s">
        <v>8502</v>
      </c>
      <c r="V55" s="128" t="s">
        <v>8503</v>
      </c>
      <c r="W55" s="128" t="s">
        <v>8504</v>
      </c>
      <c r="X55" s="128" t="s">
        <v>8505</v>
      </c>
      <c r="Y55" s="128" t="s">
        <v>8506</v>
      </c>
      <c r="Z55" s="128" t="s">
        <v>8507</v>
      </c>
      <c r="AA55" s="128" t="s">
        <v>8508</v>
      </c>
      <c r="AB55" s="128" t="s">
        <v>8509</v>
      </c>
      <c r="AC55" s="128" t="s">
        <v>8510</v>
      </c>
      <c r="AD55" s="128" t="s">
        <v>8511</v>
      </c>
      <c r="AE55" s="128" t="s">
        <v>8512</v>
      </c>
      <c r="AF55" s="128" t="s">
        <v>8513</v>
      </c>
    </row>
    <row r="56" spans="3:32" ht="319" x14ac:dyDescent="0.35">
      <c r="C56" s="128" t="s">
        <v>1564</v>
      </c>
      <c r="E56" s="128" t="s">
        <v>1565</v>
      </c>
      <c r="F56" s="128" t="s">
        <v>8514</v>
      </c>
      <c r="G56" s="128" t="s">
        <v>8515</v>
      </c>
      <c r="H56" s="128" t="s">
        <v>1568</v>
      </c>
      <c r="I56" s="128" t="s">
        <v>8516</v>
      </c>
      <c r="J56" s="128" t="s">
        <v>8517</v>
      </c>
      <c r="K56" s="128" t="s">
        <v>8518</v>
      </c>
      <c r="L56" s="128" t="s">
        <v>8519</v>
      </c>
      <c r="M56" s="128" t="s">
        <v>8520</v>
      </c>
      <c r="N56" s="128" t="s">
        <v>8521</v>
      </c>
      <c r="O56" s="128" t="s">
        <v>8522</v>
      </c>
      <c r="P56" s="128" t="s">
        <v>8523</v>
      </c>
      <c r="Q56" s="128" t="s">
        <v>8524</v>
      </c>
      <c r="R56" s="128" t="s">
        <v>8525</v>
      </c>
      <c r="S56" s="128" t="s">
        <v>8526</v>
      </c>
      <c r="T56" s="128" t="s">
        <v>8527</v>
      </c>
      <c r="U56" s="128" t="s">
        <v>8528</v>
      </c>
      <c r="V56" s="128" t="s">
        <v>8529</v>
      </c>
      <c r="W56" s="128" t="s">
        <v>8530</v>
      </c>
      <c r="X56" s="128" t="s">
        <v>8531</v>
      </c>
      <c r="Y56" s="128" t="s">
        <v>8532</v>
      </c>
      <c r="Z56" s="128" t="s">
        <v>8533</v>
      </c>
      <c r="AA56" s="128" t="s">
        <v>8534</v>
      </c>
      <c r="AB56" s="128" t="s">
        <v>8535</v>
      </c>
      <c r="AC56" s="128" t="s">
        <v>8536</v>
      </c>
      <c r="AD56" s="128" t="s">
        <v>8537</v>
      </c>
      <c r="AE56" s="128" t="s">
        <v>8538</v>
      </c>
      <c r="AF56" s="128" t="s">
        <v>8539</v>
      </c>
    </row>
    <row r="57" spans="3:32" ht="319" x14ac:dyDescent="0.35">
      <c r="C57" s="128" t="s">
        <v>1593</v>
      </c>
      <c r="E57" s="128" t="s">
        <v>1594</v>
      </c>
      <c r="F57" s="128" t="s">
        <v>8540</v>
      </c>
      <c r="G57" s="128" t="s">
        <v>8541</v>
      </c>
      <c r="H57" s="128" t="s">
        <v>1597</v>
      </c>
      <c r="I57" s="128" t="s">
        <v>8542</v>
      </c>
      <c r="J57" s="128" t="s">
        <v>8543</v>
      </c>
      <c r="K57" s="128" t="s">
        <v>8544</v>
      </c>
      <c r="L57" s="128" t="s">
        <v>8545</v>
      </c>
      <c r="M57" s="128" t="s">
        <v>8546</v>
      </c>
      <c r="N57" s="128" t="s">
        <v>8547</v>
      </c>
      <c r="O57" s="128" t="s">
        <v>8548</v>
      </c>
      <c r="P57" s="128" t="s">
        <v>8549</v>
      </c>
      <c r="Q57" s="128" t="s">
        <v>8550</v>
      </c>
      <c r="R57" s="128" t="s">
        <v>8551</v>
      </c>
      <c r="S57" s="128" t="s">
        <v>8552</v>
      </c>
      <c r="T57" s="128" t="s">
        <v>8553</v>
      </c>
      <c r="U57" s="128" t="s">
        <v>8554</v>
      </c>
      <c r="V57" s="128" t="s">
        <v>8555</v>
      </c>
      <c r="W57" s="128" t="s">
        <v>8556</v>
      </c>
      <c r="X57" s="128" t="s">
        <v>8557</v>
      </c>
      <c r="Y57" s="128" t="s">
        <v>8558</v>
      </c>
      <c r="Z57" s="128" t="s">
        <v>8559</v>
      </c>
      <c r="AA57" s="128" t="s">
        <v>8560</v>
      </c>
      <c r="AB57" s="128" t="s">
        <v>8561</v>
      </c>
      <c r="AC57" s="128" t="s">
        <v>8562</v>
      </c>
      <c r="AD57" s="128" t="s">
        <v>8563</v>
      </c>
      <c r="AE57" s="128" t="s">
        <v>8564</v>
      </c>
      <c r="AF57" s="128" t="s">
        <v>8565</v>
      </c>
    </row>
    <row r="58" spans="3:32" ht="319" x14ac:dyDescent="0.35">
      <c r="C58" s="128" t="s">
        <v>1622</v>
      </c>
      <c r="E58" s="128" t="s">
        <v>1623</v>
      </c>
      <c r="F58" s="128" t="s">
        <v>8566</v>
      </c>
      <c r="G58" s="128" t="s">
        <v>8567</v>
      </c>
      <c r="H58" s="128" t="s">
        <v>1626</v>
      </c>
      <c r="I58" s="128" t="s">
        <v>8568</v>
      </c>
      <c r="J58" s="128" t="s">
        <v>8569</v>
      </c>
      <c r="K58" s="128" t="s">
        <v>8570</v>
      </c>
      <c r="L58" s="128" t="s">
        <v>8571</v>
      </c>
      <c r="M58" s="128" t="s">
        <v>8572</v>
      </c>
      <c r="N58" s="128" t="s">
        <v>8573</v>
      </c>
      <c r="O58" s="128" t="s">
        <v>8574</v>
      </c>
      <c r="P58" s="128" t="s">
        <v>8575</v>
      </c>
      <c r="Q58" s="128" t="s">
        <v>8576</v>
      </c>
      <c r="R58" s="128" t="s">
        <v>8577</v>
      </c>
      <c r="S58" s="128" t="s">
        <v>8578</v>
      </c>
      <c r="T58" s="128" t="s">
        <v>8579</v>
      </c>
      <c r="U58" s="128" t="s">
        <v>8580</v>
      </c>
      <c r="V58" s="128" t="s">
        <v>8581</v>
      </c>
      <c r="W58" s="128" t="s">
        <v>8582</v>
      </c>
      <c r="X58" s="128" t="s">
        <v>8583</v>
      </c>
      <c r="Y58" s="128" t="s">
        <v>8584</v>
      </c>
      <c r="Z58" s="128" t="s">
        <v>8585</v>
      </c>
      <c r="AA58" s="128" t="s">
        <v>8586</v>
      </c>
      <c r="AB58" s="128" t="s">
        <v>8587</v>
      </c>
      <c r="AC58" s="128" t="s">
        <v>8588</v>
      </c>
      <c r="AD58" s="128" t="s">
        <v>8589</v>
      </c>
      <c r="AE58" s="128" t="s">
        <v>8590</v>
      </c>
      <c r="AF58" s="128" t="s">
        <v>8591</v>
      </c>
    </row>
    <row r="59" spans="3:32" ht="319" x14ac:dyDescent="0.35">
      <c r="C59" s="128" t="s">
        <v>1651</v>
      </c>
      <c r="E59" s="128" t="s">
        <v>1652</v>
      </c>
      <c r="F59" s="128" t="s">
        <v>8592</v>
      </c>
      <c r="G59" s="128" t="s">
        <v>8593</v>
      </c>
      <c r="H59" s="128" t="s">
        <v>1655</v>
      </c>
      <c r="I59" s="128" t="s">
        <v>8594</v>
      </c>
      <c r="J59" s="128" t="s">
        <v>8595</v>
      </c>
      <c r="K59" s="128" t="s">
        <v>8596</v>
      </c>
      <c r="L59" s="128" t="s">
        <v>8597</v>
      </c>
      <c r="M59" s="128" t="s">
        <v>8598</v>
      </c>
      <c r="N59" s="128" t="s">
        <v>8599</v>
      </c>
      <c r="O59" s="128" t="s">
        <v>8600</v>
      </c>
      <c r="P59" s="128" t="s">
        <v>8601</v>
      </c>
      <c r="Q59" s="128" t="s">
        <v>8602</v>
      </c>
      <c r="R59" s="128" t="s">
        <v>8603</v>
      </c>
      <c r="S59" s="128" t="s">
        <v>8604</v>
      </c>
      <c r="T59" s="128" t="s">
        <v>8605</v>
      </c>
      <c r="U59" s="128" t="s">
        <v>8606</v>
      </c>
      <c r="V59" s="128" t="s">
        <v>8607</v>
      </c>
      <c r="W59" s="128" t="s">
        <v>8608</v>
      </c>
      <c r="X59" s="128" t="s">
        <v>8609</v>
      </c>
      <c r="Y59" s="128" t="s">
        <v>8610</v>
      </c>
      <c r="Z59" s="128" t="s">
        <v>8611</v>
      </c>
      <c r="AA59" s="128" t="s">
        <v>8612</v>
      </c>
      <c r="AB59" s="128" t="s">
        <v>8613</v>
      </c>
      <c r="AC59" s="128" t="s">
        <v>8614</v>
      </c>
      <c r="AD59" s="128" t="s">
        <v>8615</v>
      </c>
      <c r="AE59" s="128" t="s">
        <v>8616</v>
      </c>
      <c r="AF59" s="128" t="s">
        <v>8617</v>
      </c>
    </row>
    <row r="60" spans="3:32" ht="319" x14ac:dyDescent="0.35">
      <c r="C60" s="128" t="s">
        <v>1680</v>
      </c>
      <c r="E60" s="128" t="s">
        <v>1681</v>
      </c>
      <c r="F60" s="128" t="s">
        <v>8618</v>
      </c>
      <c r="G60" s="128" t="s">
        <v>8619</v>
      </c>
      <c r="H60" s="128" t="s">
        <v>1684</v>
      </c>
      <c r="I60" s="128" t="s">
        <v>8620</v>
      </c>
      <c r="J60" s="128" t="s">
        <v>8621</v>
      </c>
      <c r="K60" s="128" t="s">
        <v>8622</v>
      </c>
      <c r="L60" s="128" t="s">
        <v>8623</v>
      </c>
      <c r="M60" s="128" t="s">
        <v>8624</v>
      </c>
      <c r="N60" s="128" t="s">
        <v>8625</v>
      </c>
      <c r="O60" s="128" t="s">
        <v>8626</v>
      </c>
      <c r="P60" s="128" t="s">
        <v>8627</v>
      </c>
      <c r="Q60" s="128" t="s">
        <v>8628</v>
      </c>
      <c r="R60" s="128" t="s">
        <v>8629</v>
      </c>
      <c r="S60" s="128" t="s">
        <v>8630</v>
      </c>
      <c r="T60" s="128" t="s">
        <v>8631</v>
      </c>
      <c r="U60" s="128" t="s">
        <v>8632</v>
      </c>
      <c r="V60" s="128" t="s">
        <v>8633</v>
      </c>
      <c r="W60" s="128" t="s">
        <v>8634</v>
      </c>
      <c r="X60" s="128" t="s">
        <v>8635</v>
      </c>
      <c r="Y60" s="128" t="s">
        <v>8636</v>
      </c>
      <c r="Z60" s="128" t="s">
        <v>8637</v>
      </c>
      <c r="AA60" s="128" t="s">
        <v>8638</v>
      </c>
      <c r="AB60" s="128" t="s">
        <v>8639</v>
      </c>
      <c r="AC60" s="128" t="s">
        <v>8640</v>
      </c>
      <c r="AD60" s="128" t="s">
        <v>8641</v>
      </c>
      <c r="AE60" s="128" t="s">
        <v>8642</v>
      </c>
      <c r="AF60" s="128" t="s">
        <v>8643</v>
      </c>
    </row>
    <row r="61" spans="3:32" ht="319" x14ac:dyDescent="0.35">
      <c r="C61" s="128" t="s">
        <v>1709</v>
      </c>
      <c r="E61" s="128" t="s">
        <v>1710</v>
      </c>
      <c r="F61" s="128" t="s">
        <v>8644</v>
      </c>
      <c r="G61" s="128" t="s">
        <v>8645</v>
      </c>
      <c r="H61" s="128" t="s">
        <v>1713</v>
      </c>
      <c r="I61" s="128" t="s">
        <v>8646</v>
      </c>
      <c r="J61" s="128" t="s">
        <v>8647</v>
      </c>
      <c r="K61" s="128" t="s">
        <v>8648</v>
      </c>
      <c r="L61" s="128" t="s">
        <v>8649</v>
      </c>
      <c r="M61" s="128" t="s">
        <v>8650</v>
      </c>
      <c r="N61" s="128" t="s">
        <v>8651</v>
      </c>
      <c r="O61" s="128" t="s">
        <v>8652</v>
      </c>
      <c r="P61" s="128" t="s">
        <v>8653</v>
      </c>
      <c r="Q61" s="128" t="s">
        <v>8654</v>
      </c>
      <c r="R61" s="128" t="s">
        <v>8655</v>
      </c>
      <c r="S61" s="128" t="s">
        <v>8656</v>
      </c>
      <c r="T61" s="128" t="s">
        <v>8657</v>
      </c>
      <c r="U61" s="128" t="s">
        <v>8658</v>
      </c>
      <c r="V61" s="128" t="s">
        <v>8659</v>
      </c>
      <c r="W61" s="128" t="s">
        <v>8660</v>
      </c>
      <c r="X61" s="128" t="s">
        <v>8661</v>
      </c>
      <c r="Y61" s="128" t="s">
        <v>8662</v>
      </c>
      <c r="Z61" s="128" t="s">
        <v>8663</v>
      </c>
      <c r="AA61" s="128" t="s">
        <v>8664</v>
      </c>
      <c r="AB61" s="128" t="s">
        <v>8665</v>
      </c>
      <c r="AC61" s="128" t="s">
        <v>8666</v>
      </c>
      <c r="AD61" s="128" t="s">
        <v>8667</v>
      </c>
      <c r="AE61" s="128" t="s">
        <v>8668</v>
      </c>
      <c r="AF61" s="128" t="s">
        <v>8669</v>
      </c>
    </row>
    <row r="62" spans="3:32" ht="319" x14ac:dyDescent="0.35">
      <c r="C62" s="128" t="s">
        <v>1738</v>
      </c>
      <c r="E62" s="128" t="s">
        <v>1739</v>
      </c>
      <c r="F62" s="128" t="s">
        <v>8670</v>
      </c>
      <c r="G62" s="128" t="s">
        <v>8671</v>
      </c>
      <c r="H62" s="128" t="s">
        <v>1742</v>
      </c>
      <c r="I62" s="128" t="s">
        <v>8672</v>
      </c>
      <c r="J62" s="128" t="s">
        <v>8673</v>
      </c>
      <c r="K62" s="128" t="s">
        <v>8674</v>
      </c>
      <c r="L62" s="128" t="s">
        <v>8675</v>
      </c>
      <c r="M62" s="128" t="s">
        <v>8676</v>
      </c>
      <c r="N62" s="128" t="s">
        <v>8677</v>
      </c>
      <c r="O62" s="128" t="s">
        <v>8678</v>
      </c>
      <c r="P62" s="128" t="s">
        <v>8679</v>
      </c>
      <c r="Q62" s="128" t="s">
        <v>8680</v>
      </c>
      <c r="R62" s="128" t="s">
        <v>8681</v>
      </c>
      <c r="S62" s="128" t="s">
        <v>8682</v>
      </c>
      <c r="T62" s="128" t="s">
        <v>8683</v>
      </c>
      <c r="U62" s="128" t="s">
        <v>8684</v>
      </c>
      <c r="V62" s="128" t="s">
        <v>8685</v>
      </c>
      <c r="W62" s="128" t="s">
        <v>8686</v>
      </c>
      <c r="X62" s="128" t="s">
        <v>8687</v>
      </c>
      <c r="Y62" s="128" t="s">
        <v>8688</v>
      </c>
      <c r="Z62" s="128" t="s">
        <v>8689</v>
      </c>
      <c r="AA62" s="128" t="s">
        <v>8690</v>
      </c>
      <c r="AB62" s="128" t="s">
        <v>8691</v>
      </c>
      <c r="AC62" s="128" t="s">
        <v>8692</v>
      </c>
      <c r="AD62" s="128" t="s">
        <v>8693</v>
      </c>
      <c r="AE62" s="128" t="s">
        <v>8694</v>
      </c>
      <c r="AF62" s="128" t="s">
        <v>8695</v>
      </c>
    </row>
    <row r="63" spans="3:32" ht="319" x14ac:dyDescent="0.35">
      <c r="C63" s="128" t="s">
        <v>1767</v>
      </c>
      <c r="E63" s="128" t="s">
        <v>1768</v>
      </c>
      <c r="F63" s="128" t="s">
        <v>8696</v>
      </c>
      <c r="G63" s="128" t="s">
        <v>8697</v>
      </c>
      <c r="H63" s="128" t="s">
        <v>1771</v>
      </c>
      <c r="I63" s="128" t="s">
        <v>8698</v>
      </c>
      <c r="J63" s="128" t="s">
        <v>8699</v>
      </c>
      <c r="K63" s="128" t="s">
        <v>8700</v>
      </c>
      <c r="L63" s="128" t="s">
        <v>8701</v>
      </c>
      <c r="M63" s="128" t="s">
        <v>8702</v>
      </c>
      <c r="N63" s="128" t="s">
        <v>8703</v>
      </c>
      <c r="O63" s="128" t="s">
        <v>8704</v>
      </c>
      <c r="P63" s="128" t="s">
        <v>8705</v>
      </c>
      <c r="Q63" s="128" t="s">
        <v>8706</v>
      </c>
      <c r="R63" s="128" t="s">
        <v>8707</v>
      </c>
      <c r="S63" s="128" t="s">
        <v>8708</v>
      </c>
      <c r="T63" s="128" t="s">
        <v>8709</v>
      </c>
      <c r="U63" s="128" t="s">
        <v>8710</v>
      </c>
      <c r="V63" s="128" t="s">
        <v>8711</v>
      </c>
      <c r="W63" s="128" t="s">
        <v>8712</v>
      </c>
      <c r="X63" s="128" t="s">
        <v>8713</v>
      </c>
      <c r="Y63" s="128" t="s">
        <v>8714</v>
      </c>
      <c r="Z63" s="128" t="s">
        <v>8715</v>
      </c>
      <c r="AA63" s="128" t="s">
        <v>8716</v>
      </c>
      <c r="AB63" s="128" t="s">
        <v>8717</v>
      </c>
      <c r="AC63" s="128" t="s">
        <v>8718</v>
      </c>
      <c r="AD63" s="128" t="s">
        <v>8719</v>
      </c>
      <c r="AE63" s="128" t="s">
        <v>8720</v>
      </c>
      <c r="AF63" s="128" t="s">
        <v>8721</v>
      </c>
    </row>
    <row r="64" spans="3:32" ht="319" x14ac:dyDescent="0.35">
      <c r="C64" s="128" t="s">
        <v>1796</v>
      </c>
      <c r="E64" s="128" t="s">
        <v>1797</v>
      </c>
      <c r="F64" s="128" t="s">
        <v>8722</v>
      </c>
      <c r="G64" s="128" t="s">
        <v>8723</v>
      </c>
      <c r="H64" s="128" t="s">
        <v>1800</v>
      </c>
      <c r="I64" s="128" t="s">
        <v>8724</v>
      </c>
      <c r="J64" s="128" t="s">
        <v>8725</v>
      </c>
      <c r="K64" s="128" t="s">
        <v>8726</v>
      </c>
      <c r="L64" s="128" t="s">
        <v>8727</v>
      </c>
      <c r="M64" s="128" t="s">
        <v>8728</v>
      </c>
      <c r="N64" s="128" t="s">
        <v>8729</v>
      </c>
      <c r="O64" s="128" t="s">
        <v>8730</v>
      </c>
      <c r="P64" s="128" t="s">
        <v>8731</v>
      </c>
      <c r="Q64" s="128" t="s">
        <v>8732</v>
      </c>
      <c r="R64" s="128" t="s">
        <v>8733</v>
      </c>
      <c r="S64" s="128" t="s">
        <v>8734</v>
      </c>
      <c r="T64" s="128" t="s">
        <v>8735</v>
      </c>
      <c r="U64" s="128" t="s">
        <v>8736</v>
      </c>
      <c r="V64" s="128" t="s">
        <v>8737</v>
      </c>
      <c r="W64" s="128" t="s">
        <v>8738</v>
      </c>
      <c r="X64" s="128" t="s">
        <v>8739</v>
      </c>
      <c r="Y64" s="128" t="s">
        <v>8740</v>
      </c>
      <c r="Z64" s="128" t="s">
        <v>8741</v>
      </c>
      <c r="AA64" s="128" t="s">
        <v>8742</v>
      </c>
      <c r="AB64" s="128" t="s">
        <v>8743</v>
      </c>
      <c r="AC64" s="128" t="s">
        <v>8744</v>
      </c>
      <c r="AD64" s="128" t="s">
        <v>8745</v>
      </c>
      <c r="AE64" s="128" t="s">
        <v>8746</v>
      </c>
      <c r="AF64" s="128" t="s">
        <v>8747</v>
      </c>
    </row>
    <row r="65" spans="3:32" ht="319" x14ac:dyDescent="0.35">
      <c r="C65" s="128" t="s">
        <v>1825</v>
      </c>
      <c r="E65" s="128" t="s">
        <v>1826</v>
      </c>
      <c r="F65" s="128" t="s">
        <v>8748</v>
      </c>
      <c r="G65" s="128" t="s">
        <v>8749</v>
      </c>
      <c r="H65" s="128" t="s">
        <v>1829</v>
      </c>
      <c r="I65" s="128" t="s">
        <v>8750</v>
      </c>
      <c r="J65" s="128" t="s">
        <v>8751</v>
      </c>
      <c r="K65" s="128" t="s">
        <v>8752</v>
      </c>
      <c r="L65" s="128" t="s">
        <v>8753</v>
      </c>
      <c r="M65" s="128" t="s">
        <v>8754</v>
      </c>
      <c r="N65" s="128" t="s">
        <v>8755</v>
      </c>
      <c r="O65" s="128" t="s">
        <v>8756</v>
      </c>
      <c r="P65" s="128" t="s">
        <v>8757</v>
      </c>
      <c r="Q65" s="128" t="s">
        <v>8758</v>
      </c>
      <c r="R65" s="128" t="s">
        <v>8759</v>
      </c>
      <c r="S65" s="128" t="s">
        <v>8760</v>
      </c>
      <c r="T65" s="128" t="s">
        <v>8761</v>
      </c>
      <c r="U65" s="128" t="s">
        <v>8762</v>
      </c>
      <c r="V65" s="128" t="s">
        <v>8763</v>
      </c>
      <c r="W65" s="128" t="s">
        <v>8764</v>
      </c>
      <c r="X65" s="128" t="s">
        <v>8765</v>
      </c>
      <c r="Y65" s="128" t="s">
        <v>8766</v>
      </c>
      <c r="Z65" s="128" t="s">
        <v>8767</v>
      </c>
      <c r="AA65" s="128" t="s">
        <v>8768</v>
      </c>
      <c r="AB65" s="128" t="s">
        <v>8769</v>
      </c>
      <c r="AC65" s="128" t="s">
        <v>8770</v>
      </c>
      <c r="AD65" s="128" t="s">
        <v>8771</v>
      </c>
      <c r="AE65" s="128" t="s">
        <v>8772</v>
      </c>
      <c r="AF65" s="128" t="s">
        <v>8773</v>
      </c>
    </row>
    <row r="66" spans="3:32" ht="319" x14ac:dyDescent="0.35">
      <c r="C66" s="128" t="s">
        <v>1854</v>
      </c>
      <c r="E66" s="128" t="s">
        <v>1855</v>
      </c>
      <c r="F66" s="128" t="s">
        <v>8774</v>
      </c>
      <c r="G66" s="128" t="s">
        <v>8775</v>
      </c>
      <c r="H66" s="128" t="s">
        <v>1858</v>
      </c>
      <c r="I66" s="128" t="s">
        <v>8776</v>
      </c>
      <c r="J66" s="128" t="s">
        <v>8777</v>
      </c>
      <c r="K66" s="128" t="s">
        <v>8778</v>
      </c>
      <c r="L66" s="128" t="s">
        <v>8779</v>
      </c>
      <c r="M66" s="128" t="s">
        <v>8780</v>
      </c>
      <c r="N66" s="128" t="s">
        <v>8781</v>
      </c>
      <c r="O66" s="128" t="s">
        <v>8782</v>
      </c>
      <c r="P66" s="128" t="s">
        <v>8783</v>
      </c>
      <c r="Q66" s="128" t="s">
        <v>8784</v>
      </c>
      <c r="R66" s="128" t="s">
        <v>8785</v>
      </c>
      <c r="S66" s="128" t="s">
        <v>8786</v>
      </c>
      <c r="T66" s="128" t="s">
        <v>8787</v>
      </c>
      <c r="U66" s="128" t="s">
        <v>8788</v>
      </c>
      <c r="V66" s="128" t="s">
        <v>8789</v>
      </c>
      <c r="W66" s="128" t="s">
        <v>8790</v>
      </c>
      <c r="X66" s="128" t="s">
        <v>8791</v>
      </c>
      <c r="Y66" s="128" t="s">
        <v>8792</v>
      </c>
      <c r="Z66" s="128" t="s">
        <v>8793</v>
      </c>
      <c r="AA66" s="128" t="s">
        <v>8794</v>
      </c>
      <c r="AB66" s="128" t="s">
        <v>8795</v>
      </c>
      <c r="AC66" s="128" t="s">
        <v>8796</v>
      </c>
      <c r="AD66" s="128" t="s">
        <v>8797</v>
      </c>
      <c r="AE66" s="128" t="s">
        <v>8798</v>
      </c>
      <c r="AF66" s="128" t="s">
        <v>8799</v>
      </c>
    </row>
    <row r="67" spans="3:32" ht="319" x14ac:dyDescent="0.35">
      <c r="C67" s="128" t="s">
        <v>1883</v>
      </c>
      <c r="E67" s="128" t="s">
        <v>1884</v>
      </c>
      <c r="F67" s="128" t="s">
        <v>8800</v>
      </c>
      <c r="G67" s="128" t="s">
        <v>8801</v>
      </c>
      <c r="H67" s="128" t="s">
        <v>1887</v>
      </c>
      <c r="I67" s="128" t="s">
        <v>8802</v>
      </c>
      <c r="J67" s="128" t="s">
        <v>8803</v>
      </c>
      <c r="K67" s="128" t="s">
        <v>8804</v>
      </c>
      <c r="L67" s="128" t="s">
        <v>8805</v>
      </c>
      <c r="M67" s="128" t="s">
        <v>8806</v>
      </c>
      <c r="N67" s="128" t="s">
        <v>8807</v>
      </c>
      <c r="O67" s="128" t="s">
        <v>8808</v>
      </c>
      <c r="P67" s="128" t="s">
        <v>8809</v>
      </c>
      <c r="Q67" s="128" t="s">
        <v>8810</v>
      </c>
      <c r="R67" s="128" t="s">
        <v>8811</v>
      </c>
      <c r="S67" s="128" t="s">
        <v>8812</v>
      </c>
      <c r="T67" s="128" t="s">
        <v>8813</v>
      </c>
      <c r="U67" s="128" t="s">
        <v>8814</v>
      </c>
      <c r="V67" s="128" t="s">
        <v>8815</v>
      </c>
      <c r="W67" s="128" t="s">
        <v>8816</v>
      </c>
      <c r="X67" s="128" t="s">
        <v>8817</v>
      </c>
      <c r="Y67" s="128" t="s">
        <v>8818</v>
      </c>
      <c r="Z67" s="128" t="s">
        <v>8819</v>
      </c>
      <c r="AA67" s="128" t="s">
        <v>8820</v>
      </c>
      <c r="AB67" s="128" t="s">
        <v>8821</v>
      </c>
      <c r="AC67" s="128" t="s">
        <v>8822</v>
      </c>
      <c r="AD67" s="128" t="s">
        <v>8823</v>
      </c>
      <c r="AE67" s="128" t="s">
        <v>8824</v>
      </c>
      <c r="AF67" s="128" t="s">
        <v>8825</v>
      </c>
    </row>
    <row r="68" spans="3:32" ht="319" x14ac:dyDescent="0.35">
      <c r="C68" s="128" t="s">
        <v>1912</v>
      </c>
      <c r="E68" s="128" t="s">
        <v>1913</v>
      </c>
      <c r="F68" s="128" t="s">
        <v>8826</v>
      </c>
      <c r="G68" s="128" t="s">
        <v>8827</v>
      </c>
      <c r="H68" s="128" t="s">
        <v>1916</v>
      </c>
      <c r="I68" s="128" t="s">
        <v>8828</v>
      </c>
      <c r="J68" s="128" t="s">
        <v>8829</v>
      </c>
      <c r="K68" s="128" t="s">
        <v>8830</v>
      </c>
      <c r="L68" s="128" t="s">
        <v>8831</v>
      </c>
      <c r="M68" s="128" t="s">
        <v>8832</v>
      </c>
      <c r="N68" s="128" t="s">
        <v>8833</v>
      </c>
      <c r="O68" s="128" t="s">
        <v>8834</v>
      </c>
      <c r="P68" s="128" t="s">
        <v>8835</v>
      </c>
      <c r="Q68" s="128" t="s">
        <v>8836</v>
      </c>
      <c r="R68" s="128" t="s">
        <v>8837</v>
      </c>
      <c r="S68" s="128" t="s">
        <v>8838</v>
      </c>
      <c r="T68" s="128" t="s">
        <v>8839</v>
      </c>
      <c r="U68" s="128" t="s">
        <v>8840</v>
      </c>
      <c r="V68" s="128" t="s">
        <v>8841</v>
      </c>
      <c r="W68" s="128" t="s">
        <v>8842</v>
      </c>
      <c r="X68" s="128" t="s">
        <v>8843</v>
      </c>
      <c r="Y68" s="128" t="s">
        <v>8844</v>
      </c>
      <c r="Z68" s="128" t="s">
        <v>8845</v>
      </c>
      <c r="AA68" s="128" t="s">
        <v>8846</v>
      </c>
      <c r="AB68" s="128" t="s">
        <v>8847</v>
      </c>
      <c r="AC68" s="128" t="s">
        <v>8848</v>
      </c>
      <c r="AD68" s="128" t="s">
        <v>8849</v>
      </c>
      <c r="AE68" s="128" t="s">
        <v>8850</v>
      </c>
      <c r="AF68" s="128" t="s">
        <v>8851</v>
      </c>
    </row>
    <row r="69" spans="3:32" ht="319" x14ac:dyDescent="0.35">
      <c r="C69" s="128" t="s">
        <v>1941</v>
      </c>
      <c r="E69" s="128" t="s">
        <v>1942</v>
      </c>
      <c r="F69" s="128" t="s">
        <v>8852</v>
      </c>
      <c r="G69" s="128" t="s">
        <v>8853</v>
      </c>
      <c r="H69" s="128" t="s">
        <v>1945</v>
      </c>
      <c r="I69" s="128" t="s">
        <v>8854</v>
      </c>
      <c r="J69" s="128" t="s">
        <v>8855</v>
      </c>
      <c r="K69" s="128" t="s">
        <v>8856</v>
      </c>
      <c r="L69" s="128" t="s">
        <v>8857</v>
      </c>
      <c r="M69" s="128" t="s">
        <v>8858</v>
      </c>
      <c r="N69" s="128" t="s">
        <v>8859</v>
      </c>
      <c r="O69" s="128" t="s">
        <v>8860</v>
      </c>
      <c r="P69" s="128" t="s">
        <v>8861</v>
      </c>
      <c r="Q69" s="128" t="s">
        <v>8862</v>
      </c>
      <c r="R69" s="128" t="s">
        <v>8863</v>
      </c>
      <c r="S69" s="128" t="s">
        <v>8864</v>
      </c>
      <c r="T69" s="128" t="s">
        <v>8865</v>
      </c>
      <c r="U69" s="128" t="s">
        <v>8866</v>
      </c>
      <c r="V69" s="128" t="s">
        <v>8867</v>
      </c>
      <c r="W69" s="128" t="s">
        <v>8868</v>
      </c>
      <c r="X69" s="128" t="s">
        <v>8869</v>
      </c>
      <c r="Y69" s="128" t="s">
        <v>8870</v>
      </c>
      <c r="Z69" s="128" t="s">
        <v>8871</v>
      </c>
      <c r="AA69" s="128" t="s">
        <v>8872</v>
      </c>
      <c r="AB69" s="128" t="s">
        <v>8873</v>
      </c>
      <c r="AC69" s="128" t="s">
        <v>8874</v>
      </c>
      <c r="AD69" s="128" t="s">
        <v>8875</v>
      </c>
      <c r="AE69" s="128" t="s">
        <v>8876</v>
      </c>
      <c r="AF69" s="128" t="s">
        <v>8877</v>
      </c>
    </row>
    <row r="70" spans="3:32" ht="319" x14ac:dyDescent="0.35">
      <c r="C70" s="128" t="s">
        <v>1970</v>
      </c>
      <c r="E70" s="128" t="s">
        <v>1971</v>
      </c>
      <c r="F70" s="128" t="s">
        <v>8878</v>
      </c>
      <c r="G70" s="128" t="s">
        <v>8879</v>
      </c>
      <c r="H70" s="128" t="s">
        <v>1974</v>
      </c>
      <c r="I70" s="128" t="s">
        <v>8880</v>
      </c>
      <c r="J70" s="128" t="s">
        <v>8881</v>
      </c>
      <c r="K70" s="128" t="s">
        <v>8882</v>
      </c>
      <c r="L70" s="128" t="s">
        <v>8883</v>
      </c>
      <c r="M70" s="128" t="s">
        <v>8884</v>
      </c>
      <c r="N70" s="128" t="s">
        <v>8885</v>
      </c>
      <c r="O70" s="128" t="s">
        <v>8886</v>
      </c>
      <c r="P70" s="128" t="s">
        <v>8887</v>
      </c>
      <c r="Q70" s="128" t="s">
        <v>8888</v>
      </c>
      <c r="R70" s="128" t="s">
        <v>8889</v>
      </c>
      <c r="S70" s="128" t="s">
        <v>8890</v>
      </c>
      <c r="T70" s="128" t="s">
        <v>8891</v>
      </c>
      <c r="U70" s="128" t="s">
        <v>8892</v>
      </c>
      <c r="V70" s="128" t="s">
        <v>8893</v>
      </c>
      <c r="W70" s="128" t="s">
        <v>8894</v>
      </c>
      <c r="X70" s="128" t="s">
        <v>8895</v>
      </c>
      <c r="Y70" s="128" t="s">
        <v>8896</v>
      </c>
      <c r="Z70" s="128" t="s">
        <v>8897</v>
      </c>
      <c r="AA70" s="128" t="s">
        <v>8898</v>
      </c>
      <c r="AB70" s="128" t="s">
        <v>8899</v>
      </c>
      <c r="AC70" s="128" t="s">
        <v>8900</v>
      </c>
      <c r="AD70" s="128" t="s">
        <v>8901</v>
      </c>
      <c r="AE70" s="128" t="s">
        <v>8902</v>
      </c>
      <c r="AF70" s="128" t="s">
        <v>8903</v>
      </c>
    </row>
    <row r="71" spans="3:32" ht="319" x14ac:dyDescent="0.35">
      <c r="C71" s="128" t="s">
        <v>1999</v>
      </c>
      <c r="E71" s="128" t="s">
        <v>2000</v>
      </c>
      <c r="F71" s="128" t="s">
        <v>8904</v>
      </c>
      <c r="G71" s="128" t="s">
        <v>8905</v>
      </c>
      <c r="H71" s="128" t="s">
        <v>2003</v>
      </c>
      <c r="I71" s="128" t="s">
        <v>8906</v>
      </c>
      <c r="J71" s="128" t="s">
        <v>8907</v>
      </c>
      <c r="K71" s="128" t="s">
        <v>8908</v>
      </c>
      <c r="L71" s="128" t="s">
        <v>8909</v>
      </c>
      <c r="M71" s="128" t="s">
        <v>8910</v>
      </c>
      <c r="N71" s="128" t="s">
        <v>8911</v>
      </c>
      <c r="O71" s="128" t="s">
        <v>8912</v>
      </c>
      <c r="P71" s="128" t="s">
        <v>8913</v>
      </c>
      <c r="Q71" s="128" t="s">
        <v>8914</v>
      </c>
      <c r="R71" s="128" t="s">
        <v>8915</v>
      </c>
      <c r="S71" s="128" t="s">
        <v>8916</v>
      </c>
      <c r="T71" s="128" t="s">
        <v>8917</v>
      </c>
      <c r="U71" s="128" t="s">
        <v>8918</v>
      </c>
      <c r="V71" s="128" t="s">
        <v>8919</v>
      </c>
      <c r="W71" s="128" t="s">
        <v>8920</v>
      </c>
      <c r="X71" s="128" t="s">
        <v>8921</v>
      </c>
      <c r="Y71" s="128" t="s">
        <v>8922</v>
      </c>
      <c r="Z71" s="128" t="s">
        <v>8923</v>
      </c>
      <c r="AA71" s="128" t="s">
        <v>8924</v>
      </c>
      <c r="AB71" s="128" t="s">
        <v>8925</v>
      </c>
      <c r="AC71" s="128" t="s">
        <v>8926</v>
      </c>
      <c r="AD71" s="128" t="s">
        <v>8927</v>
      </c>
      <c r="AE71" s="128" t="s">
        <v>8928</v>
      </c>
      <c r="AF71" s="128" t="s">
        <v>8929</v>
      </c>
    </row>
    <row r="72" spans="3:32" ht="319" x14ac:dyDescent="0.35">
      <c r="C72" s="128" t="s">
        <v>2028</v>
      </c>
      <c r="E72" s="128" t="s">
        <v>2029</v>
      </c>
      <c r="F72" s="128" t="s">
        <v>8930</v>
      </c>
      <c r="G72" s="128" t="s">
        <v>8931</v>
      </c>
      <c r="H72" s="128" t="s">
        <v>2032</v>
      </c>
      <c r="I72" s="128" t="s">
        <v>8932</v>
      </c>
      <c r="J72" s="128" t="s">
        <v>8933</v>
      </c>
      <c r="K72" s="128" t="s">
        <v>8934</v>
      </c>
      <c r="L72" s="128" t="s">
        <v>8935</v>
      </c>
      <c r="M72" s="128" t="s">
        <v>8936</v>
      </c>
      <c r="N72" s="128" t="s">
        <v>8937</v>
      </c>
      <c r="O72" s="128" t="s">
        <v>8938</v>
      </c>
      <c r="P72" s="128" t="s">
        <v>8939</v>
      </c>
      <c r="Q72" s="128" t="s">
        <v>8940</v>
      </c>
      <c r="R72" s="128" t="s">
        <v>8941</v>
      </c>
      <c r="S72" s="128" t="s">
        <v>8942</v>
      </c>
      <c r="T72" s="128" t="s">
        <v>8943</v>
      </c>
      <c r="U72" s="128" t="s">
        <v>8944</v>
      </c>
      <c r="V72" s="128" t="s">
        <v>8945</v>
      </c>
      <c r="W72" s="128" t="s">
        <v>8946</v>
      </c>
      <c r="X72" s="128" t="s">
        <v>8947</v>
      </c>
      <c r="Y72" s="128" t="s">
        <v>8948</v>
      </c>
      <c r="Z72" s="128" t="s">
        <v>8949</v>
      </c>
      <c r="AA72" s="128" t="s">
        <v>8950</v>
      </c>
      <c r="AB72" s="128" t="s">
        <v>8951</v>
      </c>
      <c r="AC72" s="128" t="s">
        <v>8952</v>
      </c>
      <c r="AD72" s="128" t="s">
        <v>8953</v>
      </c>
      <c r="AE72" s="128" t="s">
        <v>8954</v>
      </c>
      <c r="AF72" s="128" t="s">
        <v>8955</v>
      </c>
    </row>
    <row r="73" spans="3:32" ht="319" x14ac:dyDescent="0.35">
      <c r="C73" s="128" t="s">
        <v>2057</v>
      </c>
      <c r="E73" s="128" t="s">
        <v>2058</v>
      </c>
      <c r="F73" s="128" t="s">
        <v>8956</v>
      </c>
      <c r="G73" s="128" t="s">
        <v>8957</v>
      </c>
      <c r="H73" s="128" t="s">
        <v>2061</v>
      </c>
      <c r="I73" s="128" t="s">
        <v>8958</v>
      </c>
      <c r="J73" s="128" t="s">
        <v>8959</v>
      </c>
      <c r="K73" s="128" t="s">
        <v>8960</v>
      </c>
      <c r="L73" s="128" t="s">
        <v>8961</v>
      </c>
      <c r="M73" s="128" t="s">
        <v>8962</v>
      </c>
      <c r="N73" s="128" t="s">
        <v>8963</v>
      </c>
      <c r="O73" s="128" t="s">
        <v>8964</v>
      </c>
      <c r="P73" s="128" t="s">
        <v>8965</v>
      </c>
      <c r="Q73" s="128" t="s">
        <v>8966</v>
      </c>
      <c r="R73" s="128" t="s">
        <v>8967</v>
      </c>
      <c r="S73" s="128" t="s">
        <v>8968</v>
      </c>
      <c r="T73" s="128" t="s">
        <v>8969</v>
      </c>
      <c r="U73" s="128" t="s">
        <v>8970</v>
      </c>
      <c r="V73" s="128" t="s">
        <v>8971</v>
      </c>
      <c r="W73" s="128" t="s">
        <v>8972</v>
      </c>
      <c r="X73" s="128" t="s">
        <v>8973</v>
      </c>
      <c r="Y73" s="128" t="s">
        <v>8974</v>
      </c>
      <c r="Z73" s="128" t="s">
        <v>8975</v>
      </c>
      <c r="AA73" s="128" t="s">
        <v>8976</v>
      </c>
      <c r="AB73" s="128" t="s">
        <v>8977</v>
      </c>
      <c r="AC73" s="128" t="s">
        <v>8978</v>
      </c>
      <c r="AD73" s="128" t="s">
        <v>8979</v>
      </c>
      <c r="AE73" s="128" t="s">
        <v>8980</v>
      </c>
      <c r="AF73" s="128" t="s">
        <v>8981</v>
      </c>
    </row>
    <row r="74" spans="3:32" ht="319" x14ac:dyDescent="0.35">
      <c r="C74" s="128" t="s">
        <v>2086</v>
      </c>
      <c r="E74" s="128" t="s">
        <v>2087</v>
      </c>
      <c r="F74" s="128" t="s">
        <v>8982</v>
      </c>
      <c r="G74" s="128" t="s">
        <v>8983</v>
      </c>
      <c r="H74" s="128" t="s">
        <v>2090</v>
      </c>
      <c r="I74" s="128" t="s">
        <v>8984</v>
      </c>
      <c r="J74" s="128" t="s">
        <v>8985</v>
      </c>
      <c r="K74" s="128" t="s">
        <v>8986</v>
      </c>
      <c r="L74" s="128" t="s">
        <v>8987</v>
      </c>
      <c r="M74" s="128" t="s">
        <v>8988</v>
      </c>
      <c r="N74" s="128" t="s">
        <v>8989</v>
      </c>
      <c r="O74" s="128" t="s">
        <v>8990</v>
      </c>
      <c r="P74" s="128" t="s">
        <v>8991</v>
      </c>
      <c r="Q74" s="128" t="s">
        <v>8992</v>
      </c>
      <c r="R74" s="128" t="s">
        <v>8993</v>
      </c>
      <c r="S74" s="128" t="s">
        <v>8994</v>
      </c>
      <c r="T74" s="128" t="s">
        <v>8995</v>
      </c>
      <c r="U74" s="128" t="s">
        <v>8996</v>
      </c>
      <c r="V74" s="128" t="s">
        <v>8997</v>
      </c>
      <c r="W74" s="128" t="s">
        <v>8998</v>
      </c>
      <c r="X74" s="128" t="s">
        <v>8999</v>
      </c>
      <c r="Y74" s="128" t="s">
        <v>9000</v>
      </c>
      <c r="Z74" s="128" t="s">
        <v>9001</v>
      </c>
      <c r="AA74" s="128" t="s">
        <v>9002</v>
      </c>
      <c r="AB74" s="128" t="s">
        <v>9003</v>
      </c>
      <c r="AC74" s="128" t="s">
        <v>9004</v>
      </c>
      <c r="AD74" s="128" t="s">
        <v>9005</v>
      </c>
      <c r="AE74" s="128" t="s">
        <v>9006</v>
      </c>
      <c r="AF74" s="128" t="s">
        <v>9007</v>
      </c>
    </row>
    <row r="75" spans="3:32" ht="319" x14ac:dyDescent="0.35">
      <c r="C75" s="128" t="s">
        <v>2115</v>
      </c>
      <c r="E75" s="128" t="s">
        <v>2116</v>
      </c>
      <c r="F75" s="128" t="s">
        <v>9008</v>
      </c>
      <c r="G75" s="128" t="s">
        <v>9009</v>
      </c>
      <c r="H75" s="128" t="s">
        <v>2119</v>
      </c>
      <c r="I75" s="128" t="s">
        <v>9010</v>
      </c>
      <c r="J75" s="128" t="s">
        <v>9011</v>
      </c>
      <c r="K75" s="128" t="s">
        <v>9012</v>
      </c>
      <c r="L75" s="128" t="s">
        <v>9013</v>
      </c>
      <c r="M75" s="128" t="s">
        <v>9014</v>
      </c>
      <c r="N75" s="128" t="s">
        <v>9015</v>
      </c>
      <c r="O75" s="128" t="s">
        <v>9016</v>
      </c>
      <c r="P75" s="128" t="s">
        <v>9017</v>
      </c>
      <c r="Q75" s="128" t="s">
        <v>9018</v>
      </c>
      <c r="R75" s="128" t="s">
        <v>9019</v>
      </c>
      <c r="S75" s="128" t="s">
        <v>9020</v>
      </c>
      <c r="T75" s="128" t="s">
        <v>9021</v>
      </c>
      <c r="U75" s="128" t="s">
        <v>9022</v>
      </c>
      <c r="V75" s="128" t="s">
        <v>9023</v>
      </c>
      <c r="W75" s="128" t="s">
        <v>9024</v>
      </c>
      <c r="X75" s="128" t="s">
        <v>9025</v>
      </c>
      <c r="Y75" s="128" t="s">
        <v>9026</v>
      </c>
      <c r="Z75" s="128" t="s">
        <v>9027</v>
      </c>
      <c r="AA75" s="128" t="s">
        <v>9028</v>
      </c>
      <c r="AB75" s="128" t="s">
        <v>9029</v>
      </c>
      <c r="AC75" s="128" t="s">
        <v>9030</v>
      </c>
      <c r="AD75" s="128" t="s">
        <v>9031</v>
      </c>
      <c r="AE75" s="128" t="s">
        <v>9032</v>
      </c>
      <c r="AF75" s="128" t="s">
        <v>9033</v>
      </c>
    </row>
    <row r="76" spans="3:32" ht="319" x14ac:dyDescent="0.35">
      <c r="C76" s="128" t="s">
        <v>2144</v>
      </c>
      <c r="E76" s="128" t="s">
        <v>2145</v>
      </c>
      <c r="F76" s="128" t="s">
        <v>9034</v>
      </c>
      <c r="G76" s="128" t="s">
        <v>9035</v>
      </c>
      <c r="H76" s="128" t="s">
        <v>2148</v>
      </c>
      <c r="I76" s="128" t="s">
        <v>9036</v>
      </c>
      <c r="J76" s="128" t="s">
        <v>9037</v>
      </c>
      <c r="K76" s="128" t="s">
        <v>9038</v>
      </c>
      <c r="L76" s="128" t="s">
        <v>9039</v>
      </c>
      <c r="M76" s="128" t="s">
        <v>9040</v>
      </c>
      <c r="N76" s="128" t="s">
        <v>9041</v>
      </c>
      <c r="O76" s="128" t="s">
        <v>9042</v>
      </c>
      <c r="P76" s="128" t="s">
        <v>9043</v>
      </c>
      <c r="Q76" s="128" t="s">
        <v>9044</v>
      </c>
      <c r="R76" s="128" t="s">
        <v>9045</v>
      </c>
      <c r="S76" s="128" t="s">
        <v>9046</v>
      </c>
      <c r="T76" s="128" t="s">
        <v>9047</v>
      </c>
      <c r="U76" s="128" t="s">
        <v>9048</v>
      </c>
      <c r="V76" s="128" t="s">
        <v>9049</v>
      </c>
      <c r="W76" s="128" t="s">
        <v>9050</v>
      </c>
      <c r="X76" s="128" t="s">
        <v>9051</v>
      </c>
      <c r="Y76" s="128" t="s">
        <v>9052</v>
      </c>
      <c r="Z76" s="128" t="s">
        <v>9053</v>
      </c>
      <c r="AA76" s="128" t="s">
        <v>9054</v>
      </c>
      <c r="AB76" s="128" t="s">
        <v>9055</v>
      </c>
      <c r="AC76" s="128" t="s">
        <v>9056</v>
      </c>
      <c r="AD76" s="128" t="s">
        <v>9057</v>
      </c>
      <c r="AE76" s="128" t="s">
        <v>9058</v>
      </c>
      <c r="AF76" s="128" t="s">
        <v>9059</v>
      </c>
    </row>
    <row r="77" spans="3:32" ht="319" x14ac:dyDescent="0.35">
      <c r="C77" s="128" t="s">
        <v>2173</v>
      </c>
      <c r="E77" s="128" t="s">
        <v>2174</v>
      </c>
      <c r="F77" s="128" t="s">
        <v>9060</v>
      </c>
      <c r="G77" s="128" t="s">
        <v>9061</v>
      </c>
      <c r="H77" s="128" t="s">
        <v>2177</v>
      </c>
      <c r="I77" s="128" t="s">
        <v>9062</v>
      </c>
      <c r="J77" s="128" t="s">
        <v>9063</v>
      </c>
      <c r="K77" s="128" t="s">
        <v>9064</v>
      </c>
      <c r="L77" s="128" t="s">
        <v>9065</v>
      </c>
      <c r="M77" s="128" t="s">
        <v>9066</v>
      </c>
      <c r="N77" s="128" t="s">
        <v>9067</v>
      </c>
      <c r="O77" s="128" t="s">
        <v>9068</v>
      </c>
      <c r="P77" s="128" t="s">
        <v>9069</v>
      </c>
      <c r="Q77" s="128" t="s">
        <v>9070</v>
      </c>
      <c r="R77" s="128" t="s">
        <v>9071</v>
      </c>
      <c r="S77" s="128" t="s">
        <v>9072</v>
      </c>
      <c r="T77" s="128" t="s">
        <v>9073</v>
      </c>
      <c r="U77" s="128" t="s">
        <v>9074</v>
      </c>
      <c r="V77" s="128" t="s">
        <v>9075</v>
      </c>
      <c r="W77" s="128" t="s">
        <v>9076</v>
      </c>
      <c r="X77" s="128" t="s">
        <v>9077</v>
      </c>
      <c r="Y77" s="128" t="s">
        <v>9078</v>
      </c>
      <c r="Z77" s="128" t="s">
        <v>9079</v>
      </c>
      <c r="AA77" s="128" t="s">
        <v>9080</v>
      </c>
      <c r="AB77" s="128" t="s">
        <v>9081</v>
      </c>
      <c r="AC77" s="128" t="s">
        <v>9082</v>
      </c>
      <c r="AD77" s="128" t="s">
        <v>9083</v>
      </c>
      <c r="AE77" s="128" t="s">
        <v>9084</v>
      </c>
      <c r="AF77" s="128" t="s">
        <v>9085</v>
      </c>
    </row>
    <row r="78" spans="3:32" ht="319" x14ac:dyDescent="0.35">
      <c r="C78" s="128" t="s">
        <v>2202</v>
      </c>
      <c r="E78" s="128" t="s">
        <v>2203</v>
      </c>
      <c r="F78" s="128" t="s">
        <v>9086</v>
      </c>
      <c r="G78" s="128" t="s">
        <v>9087</v>
      </c>
      <c r="H78" s="128" t="s">
        <v>2206</v>
      </c>
      <c r="I78" s="128" t="s">
        <v>9088</v>
      </c>
      <c r="J78" s="128" t="s">
        <v>9089</v>
      </c>
      <c r="K78" s="128" t="s">
        <v>9090</v>
      </c>
      <c r="L78" s="128" t="s">
        <v>9091</v>
      </c>
      <c r="M78" s="128" t="s">
        <v>9092</v>
      </c>
      <c r="N78" s="128" t="s">
        <v>9093</v>
      </c>
      <c r="O78" s="128" t="s">
        <v>9094</v>
      </c>
      <c r="P78" s="128" t="s">
        <v>9095</v>
      </c>
      <c r="Q78" s="128" t="s">
        <v>9096</v>
      </c>
      <c r="R78" s="128" t="s">
        <v>9097</v>
      </c>
      <c r="S78" s="128" t="s">
        <v>9098</v>
      </c>
      <c r="T78" s="128" t="s">
        <v>9099</v>
      </c>
      <c r="U78" s="128" t="s">
        <v>9100</v>
      </c>
      <c r="V78" s="128" t="s">
        <v>9101</v>
      </c>
      <c r="W78" s="128" t="s">
        <v>9102</v>
      </c>
      <c r="X78" s="128" t="s">
        <v>9103</v>
      </c>
      <c r="Y78" s="128" t="s">
        <v>9104</v>
      </c>
      <c r="Z78" s="128" t="s">
        <v>9105</v>
      </c>
      <c r="AA78" s="128" t="s">
        <v>9106</v>
      </c>
      <c r="AB78" s="128" t="s">
        <v>9107</v>
      </c>
      <c r="AC78" s="128" t="s">
        <v>9108</v>
      </c>
      <c r="AD78" s="128" t="s">
        <v>9109</v>
      </c>
      <c r="AE78" s="128" t="s">
        <v>9110</v>
      </c>
      <c r="AF78" s="128" t="s">
        <v>9111</v>
      </c>
    </row>
    <row r="79" spans="3:32" ht="319" x14ac:dyDescent="0.35">
      <c r="C79" s="128" t="s">
        <v>2231</v>
      </c>
      <c r="E79" s="128" t="s">
        <v>2232</v>
      </c>
      <c r="F79" s="128" t="s">
        <v>9112</v>
      </c>
      <c r="G79" s="128" t="s">
        <v>9113</v>
      </c>
      <c r="H79" s="128" t="s">
        <v>2235</v>
      </c>
      <c r="I79" s="128" t="s">
        <v>9114</v>
      </c>
      <c r="J79" s="128" t="s">
        <v>9115</v>
      </c>
      <c r="K79" s="128" t="s">
        <v>9116</v>
      </c>
      <c r="L79" s="128" t="s">
        <v>9117</v>
      </c>
      <c r="M79" s="128" t="s">
        <v>9118</v>
      </c>
      <c r="N79" s="128" t="s">
        <v>9119</v>
      </c>
      <c r="O79" s="128" t="s">
        <v>9120</v>
      </c>
      <c r="P79" s="128" t="s">
        <v>9121</v>
      </c>
      <c r="Q79" s="128" t="s">
        <v>9122</v>
      </c>
      <c r="R79" s="128" t="s">
        <v>9123</v>
      </c>
      <c r="S79" s="128" t="s">
        <v>9124</v>
      </c>
      <c r="T79" s="128" t="s">
        <v>9125</v>
      </c>
      <c r="U79" s="128" t="s">
        <v>9126</v>
      </c>
      <c r="V79" s="128" t="s">
        <v>9127</v>
      </c>
      <c r="W79" s="128" t="s">
        <v>9128</v>
      </c>
      <c r="X79" s="128" t="s">
        <v>9129</v>
      </c>
      <c r="Y79" s="128" t="s">
        <v>9130</v>
      </c>
      <c r="Z79" s="128" t="s">
        <v>9131</v>
      </c>
      <c r="AA79" s="128" t="s">
        <v>9132</v>
      </c>
      <c r="AB79" s="128" t="s">
        <v>9133</v>
      </c>
      <c r="AC79" s="128" t="s">
        <v>9134</v>
      </c>
      <c r="AD79" s="128" t="s">
        <v>9135</v>
      </c>
      <c r="AE79" s="128" t="s">
        <v>9136</v>
      </c>
      <c r="AF79" s="128" t="s">
        <v>9137</v>
      </c>
    </row>
    <row r="80" spans="3:32" ht="319" x14ac:dyDescent="0.35">
      <c r="C80" s="128" t="s">
        <v>2260</v>
      </c>
      <c r="E80" s="128" t="s">
        <v>2261</v>
      </c>
      <c r="F80" s="128" t="s">
        <v>9138</v>
      </c>
      <c r="G80" s="128" t="s">
        <v>9139</v>
      </c>
      <c r="H80" s="128" t="s">
        <v>2264</v>
      </c>
      <c r="I80" s="128" t="s">
        <v>9140</v>
      </c>
      <c r="J80" s="128" t="s">
        <v>9141</v>
      </c>
      <c r="K80" s="128" t="s">
        <v>9142</v>
      </c>
      <c r="L80" s="128" t="s">
        <v>9143</v>
      </c>
      <c r="M80" s="128" t="s">
        <v>9144</v>
      </c>
      <c r="N80" s="128" t="s">
        <v>9145</v>
      </c>
      <c r="O80" s="128" t="s">
        <v>9146</v>
      </c>
      <c r="P80" s="128" t="s">
        <v>9147</v>
      </c>
      <c r="Q80" s="128" t="s">
        <v>9148</v>
      </c>
      <c r="R80" s="128" t="s">
        <v>9149</v>
      </c>
      <c r="S80" s="128" t="s">
        <v>9150</v>
      </c>
      <c r="T80" s="128" t="s">
        <v>9151</v>
      </c>
      <c r="U80" s="128" t="s">
        <v>9152</v>
      </c>
      <c r="V80" s="128" t="s">
        <v>9153</v>
      </c>
      <c r="W80" s="128" t="s">
        <v>9154</v>
      </c>
      <c r="X80" s="128" t="s">
        <v>9155</v>
      </c>
      <c r="Y80" s="128" t="s">
        <v>9156</v>
      </c>
      <c r="Z80" s="128" t="s">
        <v>9157</v>
      </c>
      <c r="AA80" s="128" t="s">
        <v>9158</v>
      </c>
      <c r="AB80" s="128" t="s">
        <v>9159</v>
      </c>
      <c r="AC80" s="128" t="s">
        <v>9160</v>
      </c>
      <c r="AD80" s="128" t="s">
        <v>9161</v>
      </c>
      <c r="AE80" s="128" t="s">
        <v>9162</v>
      </c>
      <c r="AF80" s="128" t="s">
        <v>9163</v>
      </c>
    </row>
    <row r="81" spans="3:32" ht="319" x14ac:dyDescent="0.35">
      <c r="C81" s="128" t="s">
        <v>2289</v>
      </c>
      <c r="E81" s="128" t="s">
        <v>2290</v>
      </c>
      <c r="F81" s="128" t="s">
        <v>9164</v>
      </c>
      <c r="G81" s="128" t="s">
        <v>9165</v>
      </c>
      <c r="H81" s="128" t="s">
        <v>2293</v>
      </c>
      <c r="I81" s="128" t="s">
        <v>9166</v>
      </c>
      <c r="J81" s="128" t="s">
        <v>9167</v>
      </c>
      <c r="K81" s="128" t="s">
        <v>9168</v>
      </c>
      <c r="L81" s="128" t="s">
        <v>9169</v>
      </c>
      <c r="M81" s="128" t="s">
        <v>9170</v>
      </c>
      <c r="N81" s="128" t="s">
        <v>9171</v>
      </c>
      <c r="O81" s="128" t="s">
        <v>9172</v>
      </c>
      <c r="P81" s="128" t="s">
        <v>9173</v>
      </c>
      <c r="Q81" s="128" t="s">
        <v>9174</v>
      </c>
      <c r="R81" s="128" t="s">
        <v>9175</v>
      </c>
      <c r="S81" s="128" t="s">
        <v>9176</v>
      </c>
      <c r="T81" s="128" t="s">
        <v>9177</v>
      </c>
      <c r="U81" s="128" t="s">
        <v>9178</v>
      </c>
      <c r="V81" s="128" t="s">
        <v>9179</v>
      </c>
      <c r="W81" s="128" t="s">
        <v>9180</v>
      </c>
      <c r="X81" s="128" t="s">
        <v>9181</v>
      </c>
      <c r="Y81" s="128" t="s">
        <v>9182</v>
      </c>
      <c r="Z81" s="128" t="s">
        <v>9183</v>
      </c>
      <c r="AA81" s="128" t="s">
        <v>9184</v>
      </c>
      <c r="AB81" s="128" t="s">
        <v>9185</v>
      </c>
      <c r="AC81" s="128" t="s">
        <v>9186</v>
      </c>
      <c r="AD81" s="128" t="s">
        <v>9187</v>
      </c>
      <c r="AE81" s="128" t="s">
        <v>9188</v>
      </c>
      <c r="AF81" s="128" t="s">
        <v>9189</v>
      </c>
    </row>
    <row r="82" spans="3:32" ht="319" x14ac:dyDescent="0.35">
      <c r="C82" s="128" t="s">
        <v>2318</v>
      </c>
      <c r="E82" s="128" t="s">
        <v>2319</v>
      </c>
      <c r="F82" s="128" t="s">
        <v>9190</v>
      </c>
      <c r="G82" s="128" t="s">
        <v>9191</v>
      </c>
      <c r="H82" s="128" t="s">
        <v>2322</v>
      </c>
      <c r="I82" s="128" t="s">
        <v>9192</v>
      </c>
      <c r="J82" s="128" t="s">
        <v>9193</v>
      </c>
      <c r="K82" s="128" t="s">
        <v>9194</v>
      </c>
      <c r="L82" s="128" t="s">
        <v>9195</v>
      </c>
      <c r="M82" s="128" t="s">
        <v>9196</v>
      </c>
      <c r="N82" s="128" t="s">
        <v>9197</v>
      </c>
      <c r="O82" s="128" t="s">
        <v>9198</v>
      </c>
      <c r="P82" s="128" t="s">
        <v>9199</v>
      </c>
      <c r="Q82" s="128" t="s">
        <v>9200</v>
      </c>
      <c r="R82" s="128" t="s">
        <v>9201</v>
      </c>
      <c r="S82" s="128" t="s">
        <v>9202</v>
      </c>
      <c r="T82" s="128" t="s">
        <v>9203</v>
      </c>
      <c r="U82" s="128" t="s">
        <v>9204</v>
      </c>
      <c r="V82" s="128" t="s">
        <v>9205</v>
      </c>
      <c r="W82" s="128" t="s">
        <v>9206</v>
      </c>
      <c r="X82" s="128" t="s">
        <v>9207</v>
      </c>
      <c r="Y82" s="128" t="s">
        <v>9208</v>
      </c>
      <c r="Z82" s="128" t="s">
        <v>9209</v>
      </c>
      <c r="AA82" s="128" t="s">
        <v>9210</v>
      </c>
      <c r="AB82" s="128" t="s">
        <v>9211</v>
      </c>
      <c r="AC82" s="128" t="s">
        <v>9212</v>
      </c>
      <c r="AD82" s="128" t="s">
        <v>9213</v>
      </c>
      <c r="AE82" s="128" t="s">
        <v>9214</v>
      </c>
      <c r="AF82" s="128" t="s">
        <v>9215</v>
      </c>
    </row>
    <row r="83" spans="3:32" ht="319" x14ac:dyDescent="0.35">
      <c r="C83" s="128" t="s">
        <v>2347</v>
      </c>
      <c r="E83" s="128" t="s">
        <v>2348</v>
      </c>
      <c r="F83" s="128" t="s">
        <v>9216</v>
      </c>
      <c r="G83" s="128" t="s">
        <v>9217</v>
      </c>
      <c r="H83" s="128" t="s">
        <v>2351</v>
      </c>
      <c r="I83" s="128" t="s">
        <v>9218</v>
      </c>
      <c r="J83" s="128" t="s">
        <v>9219</v>
      </c>
      <c r="K83" s="128" t="s">
        <v>9220</v>
      </c>
      <c r="L83" s="128" t="s">
        <v>9221</v>
      </c>
      <c r="M83" s="128" t="s">
        <v>9222</v>
      </c>
      <c r="N83" s="128" t="s">
        <v>9223</v>
      </c>
      <c r="O83" s="128" t="s">
        <v>9224</v>
      </c>
      <c r="P83" s="128" t="s">
        <v>9225</v>
      </c>
      <c r="Q83" s="128" t="s">
        <v>9226</v>
      </c>
      <c r="R83" s="128" t="s">
        <v>9227</v>
      </c>
      <c r="S83" s="128" t="s">
        <v>9228</v>
      </c>
      <c r="T83" s="128" t="s">
        <v>9229</v>
      </c>
      <c r="U83" s="128" t="s">
        <v>9230</v>
      </c>
      <c r="V83" s="128" t="s">
        <v>9231</v>
      </c>
      <c r="W83" s="128" t="s">
        <v>9232</v>
      </c>
      <c r="X83" s="128" t="s">
        <v>9233</v>
      </c>
      <c r="Y83" s="128" t="s">
        <v>9234</v>
      </c>
      <c r="Z83" s="128" t="s">
        <v>9235</v>
      </c>
      <c r="AA83" s="128" t="s">
        <v>9236</v>
      </c>
      <c r="AB83" s="128" t="s">
        <v>9237</v>
      </c>
      <c r="AC83" s="128" t="s">
        <v>9238</v>
      </c>
      <c r="AD83" s="128" t="s">
        <v>9239</v>
      </c>
      <c r="AE83" s="128" t="s">
        <v>9240</v>
      </c>
      <c r="AF83" s="128" t="s">
        <v>9241</v>
      </c>
    </row>
    <row r="84" spans="3:32" ht="319" x14ac:dyDescent="0.35">
      <c r="C84" s="128" t="s">
        <v>2376</v>
      </c>
      <c r="E84" s="128" t="s">
        <v>2377</v>
      </c>
      <c r="F84" s="128" t="s">
        <v>9242</v>
      </c>
      <c r="G84" s="128" t="s">
        <v>9243</v>
      </c>
      <c r="H84" s="128" t="s">
        <v>2380</v>
      </c>
      <c r="I84" s="128" t="s">
        <v>9244</v>
      </c>
      <c r="J84" s="128" t="s">
        <v>9245</v>
      </c>
      <c r="K84" s="128" t="s">
        <v>9246</v>
      </c>
      <c r="L84" s="128" t="s">
        <v>9247</v>
      </c>
      <c r="M84" s="128" t="s">
        <v>9248</v>
      </c>
      <c r="N84" s="128" t="s">
        <v>9249</v>
      </c>
      <c r="O84" s="128" t="s">
        <v>9250</v>
      </c>
      <c r="P84" s="128" t="s">
        <v>9251</v>
      </c>
      <c r="Q84" s="128" t="s">
        <v>9252</v>
      </c>
      <c r="R84" s="128" t="s">
        <v>9253</v>
      </c>
      <c r="S84" s="128" t="s">
        <v>9254</v>
      </c>
      <c r="T84" s="128" t="s">
        <v>9255</v>
      </c>
      <c r="U84" s="128" t="s">
        <v>9256</v>
      </c>
      <c r="V84" s="128" t="s">
        <v>9257</v>
      </c>
      <c r="W84" s="128" t="s">
        <v>9258</v>
      </c>
      <c r="X84" s="128" t="s">
        <v>9259</v>
      </c>
      <c r="Y84" s="128" t="s">
        <v>9260</v>
      </c>
      <c r="Z84" s="128" t="s">
        <v>9261</v>
      </c>
      <c r="AA84" s="128" t="s">
        <v>9262</v>
      </c>
      <c r="AB84" s="128" t="s">
        <v>9263</v>
      </c>
      <c r="AC84" s="128" t="s">
        <v>9264</v>
      </c>
      <c r="AD84" s="128" t="s">
        <v>9265</v>
      </c>
      <c r="AE84" s="128" t="s">
        <v>9266</v>
      </c>
      <c r="AF84" s="128" t="s">
        <v>9267</v>
      </c>
    </row>
    <row r="85" spans="3:32" ht="319" x14ac:dyDescent="0.35">
      <c r="C85" s="128" t="s">
        <v>2405</v>
      </c>
      <c r="E85" s="128" t="s">
        <v>2406</v>
      </c>
      <c r="F85" s="128" t="s">
        <v>9268</v>
      </c>
      <c r="G85" s="128" t="s">
        <v>9269</v>
      </c>
      <c r="H85" s="128" t="s">
        <v>2409</v>
      </c>
      <c r="I85" s="128" t="s">
        <v>9270</v>
      </c>
      <c r="J85" s="128" t="s">
        <v>9271</v>
      </c>
      <c r="K85" s="128" t="s">
        <v>9272</v>
      </c>
      <c r="L85" s="128" t="s">
        <v>9273</v>
      </c>
      <c r="M85" s="128" t="s">
        <v>9274</v>
      </c>
      <c r="N85" s="128" t="s">
        <v>9275</v>
      </c>
      <c r="O85" s="128" t="s">
        <v>9276</v>
      </c>
      <c r="P85" s="128" t="s">
        <v>9277</v>
      </c>
      <c r="Q85" s="128" t="s">
        <v>9278</v>
      </c>
      <c r="R85" s="128" t="s">
        <v>9279</v>
      </c>
      <c r="S85" s="128" t="s">
        <v>9280</v>
      </c>
      <c r="T85" s="128" t="s">
        <v>9281</v>
      </c>
      <c r="U85" s="128" t="s">
        <v>9282</v>
      </c>
      <c r="V85" s="128" t="s">
        <v>9283</v>
      </c>
      <c r="W85" s="128" t="s">
        <v>9284</v>
      </c>
      <c r="X85" s="128" t="s">
        <v>9285</v>
      </c>
      <c r="Y85" s="128" t="s">
        <v>9286</v>
      </c>
      <c r="Z85" s="128" t="s">
        <v>9287</v>
      </c>
      <c r="AA85" s="128" t="s">
        <v>9288</v>
      </c>
      <c r="AB85" s="128" t="s">
        <v>9289</v>
      </c>
      <c r="AC85" s="128" t="s">
        <v>9290</v>
      </c>
      <c r="AD85" s="128" t="s">
        <v>9291</v>
      </c>
      <c r="AE85" s="128" t="s">
        <v>9292</v>
      </c>
      <c r="AF85" s="128" t="s">
        <v>9293</v>
      </c>
    </row>
    <row r="86" spans="3:32" ht="319" x14ac:dyDescent="0.35">
      <c r="C86" s="128" t="s">
        <v>2434</v>
      </c>
      <c r="E86" s="128" t="s">
        <v>2435</v>
      </c>
      <c r="F86" s="128" t="s">
        <v>9294</v>
      </c>
      <c r="G86" s="128" t="s">
        <v>9295</v>
      </c>
      <c r="H86" s="128" t="s">
        <v>2438</v>
      </c>
      <c r="I86" s="128" t="s">
        <v>9296</v>
      </c>
      <c r="J86" s="128" t="s">
        <v>9297</v>
      </c>
      <c r="K86" s="128" t="s">
        <v>9298</v>
      </c>
      <c r="L86" s="128" t="s">
        <v>9299</v>
      </c>
      <c r="M86" s="128" t="s">
        <v>9300</v>
      </c>
      <c r="N86" s="128" t="s">
        <v>9301</v>
      </c>
      <c r="O86" s="128" t="s">
        <v>9302</v>
      </c>
      <c r="P86" s="128" t="s">
        <v>9303</v>
      </c>
      <c r="Q86" s="128" t="s">
        <v>9304</v>
      </c>
      <c r="R86" s="128" t="s">
        <v>9305</v>
      </c>
      <c r="S86" s="128" t="s">
        <v>9306</v>
      </c>
      <c r="T86" s="128" t="s">
        <v>9307</v>
      </c>
      <c r="U86" s="128" t="s">
        <v>9308</v>
      </c>
      <c r="V86" s="128" t="s">
        <v>9309</v>
      </c>
      <c r="W86" s="128" t="s">
        <v>9310</v>
      </c>
      <c r="X86" s="128" t="s">
        <v>9311</v>
      </c>
      <c r="Y86" s="128" t="s">
        <v>9312</v>
      </c>
      <c r="Z86" s="128" t="s">
        <v>9313</v>
      </c>
      <c r="AA86" s="128" t="s">
        <v>9314</v>
      </c>
      <c r="AB86" s="128" t="s">
        <v>9315</v>
      </c>
      <c r="AC86" s="128" t="s">
        <v>9316</v>
      </c>
      <c r="AD86" s="128" t="s">
        <v>9317</v>
      </c>
      <c r="AE86" s="128" t="s">
        <v>9318</v>
      </c>
      <c r="AF86" s="128" t="s">
        <v>9319</v>
      </c>
    </row>
    <row r="87" spans="3:32" ht="319" x14ac:dyDescent="0.35">
      <c r="C87" s="128" t="s">
        <v>2463</v>
      </c>
      <c r="E87" s="128" t="s">
        <v>2464</v>
      </c>
      <c r="F87" s="128" t="s">
        <v>9320</v>
      </c>
      <c r="G87" s="128" t="s">
        <v>9321</v>
      </c>
      <c r="H87" s="128" t="s">
        <v>2467</v>
      </c>
      <c r="I87" s="128" t="s">
        <v>9322</v>
      </c>
      <c r="J87" s="128" t="s">
        <v>9323</v>
      </c>
      <c r="K87" s="128" t="s">
        <v>9324</v>
      </c>
      <c r="L87" s="128" t="s">
        <v>9325</v>
      </c>
      <c r="M87" s="128" t="s">
        <v>9326</v>
      </c>
      <c r="N87" s="128" t="s">
        <v>9327</v>
      </c>
      <c r="O87" s="128" t="s">
        <v>9328</v>
      </c>
      <c r="P87" s="128" t="s">
        <v>9329</v>
      </c>
      <c r="Q87" s="128" t="s">
        <v>9330</v>
      </c>
      <c r="R87" s="128" t="s">
        <v>9331</v>
      </c>
      <c r="S87" s="128" t="s">
        <v>9332</v>
      </c>
      <c r="T87" s="128" t="s">
        <v>9333</v>
      </c>
      <c r="U87" s="128" t="s">
        <v>9334</v>
      </c>
      <c r="V87" s="128" t="s">
        <v>9335</v>
      </c>
      <c r="W87" s="128" t="s">
        <v>9336</v>
      </c>
      <c r="X87" s="128" t="s">
        <v>9337</v>
      </c>
      <c r="Y87" s="128" t="s">
        <v>9338</v>
      </c>
      <c r="Z87" s="128" t="s">
        <v>9339</v>
      </c>
      <c r="AA87" s="128" t="s">
        <v>9340</v>
      </c>
      <c r="AB87" s="128" t="s">
        <v>9341</v>
      </c>
      <c r="AC87" s="128" t="s">
        <v>9342</v>
      </c>
      <c r="AD87" s="128" t="s">
        <v>9343</v>
      </c>
      <c r="AE87" s="128" t="s">
        <v>9344</v>
      </c>
      <c r="AF87" s="128" t="s">
        <v>9345</v>
      </c>
    </row>
    <row r="88" spans="3:32" ht="319" x14ac:dyDescent="0.35">
      <c r="C88" s="128" t="s">
        <v>2492</v>
      </c>
      <c r="E88" s="128" t="s">
        <v>2493</v>
      </c>
      <c r="F88" s="128" t="s">
        <v>9346</v>
      </c>
      <c r="G88" s="128" t="s">
        <v>9347</v>
      </c>
      <c r="H88" s="128" t="s">
        <v>2496</v>
      </c>
      <c r="I88" s="128" t="s">
        <v>9348</v>
      </c>
      <c r="J88" s="128" t="s">
        <v>9349</v>
      </c>
      <c r="K88" s="128" t="s">
        <v>9350</v>
      </c>
      <c r="L88" s="128" t="s">
        <v>9351</v>
      </c>
      <c r="M88" s="128" t="s">
        <v>9352</v>
      </c>
      <c r="N88" s="128" t="s">
        <v>9353</v>
      </c>
      <c r="O88" s="128" t="s">
        <v>9354</v>
      </c>
      <c r="P88" s="128" t="s">
        <v>9355</v>
      </c>
      <c r="Q88" s="128" t="s">
        <v>9356</v>
      </c>
      <c r="R88" s="128" t="s">
        <v>9357</v>
      </c>
      <c r="S88" s="128" t="s">
        <v>9358</v>
      </c>
      <c r="T88" s="128" t="s">
        <v>9359</v>
      </c>
      <c r="U88" s="128" t="s">
        <v>9360</v>
      </c>
      <c r="V88" s="128" t="s">
        <v>9361</v>
      </c>
      <c r="W88" s="128" t="s">
        <v>9362</v>
      </c>
      <c r="X88" s="128" t="s">
        <v>9363</v>
      </c>
      <c r="Y88" s="128" t="s">
        <v>9364</v>
      </c>
      <c r="Z88" s="128" t="s">
        <v>9365</v>
      </c>
      <c r="AA88" s="128" t="s">
        <v>9366</v>
      </c>
      <c r="AB88" s="128" t="s">
        <v>9367</v>
      </c>
      <c r="AC88" s="128" t="s">
        <v>9368</v>
      </c>
      <c r="AD88" s="128" t="s">
        <v>9369</v>
      </c>
      <c r="AE88" s="128" t="s">
        <v>9370</v>
      </c>
      <c r="AF88" s="128" t="s">
        <v>9371</v>
      </c>
    </row>
    <row r="89" spans="3:32" ht="319" x14ac:dyDescent="0.35">
      <c r="C89" s="128" t="s">
        <v>2521</v>
      </c>
      <c r="E89" s="128" t="s">
        <v>2522</v>
      </c>
      <c r="F89" s="128" t="s">
        <v>9372</v>
      </c>
      <c r="G89" s="128" t="s">
        <v>9373</v>
      </c>
      <c r="H89" s="128" t="s">
        <v>2525</v>
      </c>
      <c r="I89" s="128" t="s">
        <v>9374</v>
      </c>
      <c r="J89" s="128" t="s">
        <v>9375</v>
      </c>
      <c r="K89" s="128" t="s">
        <v>9376</v>
      </c>
      <c r="L89" s="128" t="s">
        <v>9377</v>
      </c>
      <c r="M89" s="128" t="s">
        <v>9378</v>
      </c>
      <c r="N89" s="128" t="s">
        <v>9379</v>
      </c>
      <c r="O89" s="128" t="s">
        <v>9380</v>
      </c>
      <c r="P89" s="128" t="s">
        <v>9381</v>
      </c>
      <c r="Q89" s="128" t="s">
        <v>9382</v>
      </c>
      <c r="R89" s="128" t="s">
        <v>9383</v>
      </c>
      <c r="S89" s="128" t="s">
        <v>9384</v>
      </c>
      <c r="T89" s="128" t="s">
        <v>9385</v>
      </c>
      <c r="U89" s="128" t="s">
        <v>9386</v>
      </c>
      <c r="V89" s="128" t="s">
        <v>9387</v>
      </c>
      <c r="W89" s="128" t="s">
        <v>9388</v>
      </c>
      <c r="X89" s="128" t="s">
        <v>9389</v>
      </c>
      <c r="Y89" s="128" t="s">
        <v>9390</v>
      </c>
      <c r="Z89" s="128" t="s">
        <v>9391</v>
      </c>
      <c r="AA89" s="128" t="s">
        <v>9392</v>
      </c>
      <c r="AB89" s="128" t="s">
        <v>9393</v>
      </c>
      <c r="AC89" s="128" t="s">
        <v>9394</v>
      </c>
      <c r="AD89" s="128" t="s">
        <v>9395</v>
      </c>
      <c r="AE89" s="128" t="s">
        <v>9396</v>
      </c>
      <c r="AF89" s="128" t="s">
        <v>9397</v>
      </c>
    </row>
    <row r="90" spans="3:32" ht="319" x14ac:dyDescent="0.35">
      <c r="C90" s="128" t="s">
        <v>2550</v>
      </c>
      <c r="E90" s="128" t="s">
        <v>2551</v>
      </c>
      <c r="F90" s="128" t="s">
        <v>9398</v>
      </c>
      <c r="G90" s="128" t="s">
        <v>9399</v>
      </c>
      <c r="H90" s="128" t="s">
        <v>2554</v>
      </c>
      <c r="I90" s="128" t="s">
        <v>9400</v>
      </c>
      <c r="J90" s="128" t="s">
        <v>9401</v>
      </c>
      <c r="K90" s="128" t="s">
        <v>9402</v>
      </c>
      <c r="L90" s="128" t="s">
        <v>9403</v>
      </c>
      <c r="M90" s="128" t="s">
        <v>9404</v>
      </c>
      <c r="N90" s="128" t="s">
        <v>9405</v>
      </c>
      <c r="O90" s="128" t="s">
        <v>9406</v>
      </c>
      <c r="P90" s="128" t="s">
        <v>9407</v>
      </c>
      <c r="Q90" s="128" t="s">
        <v>9408</v>
      </c>
      <c r="R90" s="128" t="s">
        <v>9409</v>
      </c>
      <c r="S90" s="128" t="s">
        <v>9410</v>
      </c>
      <c r="T90" s="128" t="s">
        <v>9411</v>
      </c>
      <c r="U90" s="128" t="s">
        <v>9412</v>
      </c>
      <c r="V90" s="128" t="s">
        <v>9413</v>
      </c>
      <c r="W90" s="128" t="s">
        <v>9414</v>
      </c>
      <c r="X90" s="128" t="s">
        <v>9415</v>
      </c>
      <c r="Y90" s="128" t="s">
        <v>9416</v>
      </c>
      <c r="Z90" s="128" t="s">
        <v>9417</v>
      </c>
      <c r="AA90" s="128" t="s">
        <v>9418</v>
      </c>
      <c r="AB90" s="128" t="s">
        <v>9419</v>
      </c>
      <c r="AC90" s="128" t="s">
        <v>9420</v>
      </c>
      <c r="AD90" s="128" t="s">
        <v>9421</v>
      </c>
      <c r="AE90" s="128" t="s">
        <v>9422</v>
      </c>
      <c r="AF90" s="128" t="s">
        <v>9423</v>
      </c>
    </row>
    <row r="91" spans="3:32" ht="319" x14ac:dyDescent="0.35">
      <c r="C91" s="128" t="s">
        <v>2579</v>
      </c>
      <c r="E91" s="128" t="s">
        <v>2580</v>
      </c>
      <c r="F91" s="128" t="s">
        <v>9424</v>
      </c>
      <c r="G91" s="128" t="s">
        <v>9425</v>
      </c>
      <c r="H91" s="128" t="s">
        <v>2583</v>
      </c>
      <c r="I91" s="128" t="s">
        <v>9426</v>
      </c>
      <c r="J91" s="128" t="s">
        <v>9427</v>
      </c>
      <c r="K91" s="128" t="s">
        <v>9428</v>
      </c>
      <c r="L91" s="128" t="s">
        <v>9429</v>
      </c>
      <c r="M91" s="128" t="s">
        <v>9430</v>
      </c>
      <c r="N91" s="128" t="s">
        <v>9431</v>
      </c>
      <c r="O91" s="128" t="s">
        <v>9432</v>
      </c>
      <c r="P91" s="128" t="s">
        <v>9433</v>
      </c>
      <c r="Q91" s="128" t="s">
        <v>9434</v>
      </c>
      <c r="R91" s="128" t="s">
        <v>9435</v>
      </c>
      <c r="S91" s="128" t="s">
        <v>9436</v>
      </c>
      <c r="T91" s="128" t="s">
        <v>9437</v>
      </c>
      <c r="U91" s="128" t="s">
        <v>9438</v>
      </c>
      <c r="V91" s="128" t="s">
        <v>9439</v>
      </c>
      <c r="W91" s="128" t="s">
        <v>9440</v>
      </c>
      <c r="X91" s="128" t="s">
        <v>9441</v>
      </c>
      <c r="Y91" s="128" t="s">
        <v>9442</v>
      </c>
      <c r="Z91" s="128" t="s">
        <v>9443</v>
      </c>
      <c r="AA91" s="128" t="s">
        <v>9444</v>
      </c>
      <c r="AB91" s="128" t="s">
        <v>9445</v>
      </c>
      <c r="AC91" s="128" t="s">
        <v>9446</v>
      </c>
      <c r="AD91" s="128" t="s">
        <v>9447</v>
      </c>
      <c r="AE91" s="128" t="s">
        <v>9448</v>
      </c>
      <c r="AF91" s="128" t="s">
        <v>9449</v>
      </c>
    </row>
    <row r="92" spans="3:32" ht="319" x14ac:dyDescent="0.35">
      <c r="C92" s="128" t="s">
        <v>2608</v>
      </c>
      <c r="E92" s="128" t="s">
        <v>2609</v>
      </c>
      <c r="F92" s="128" t="s">
        <v>9450</v>
      </c>
      <c r="G92" s="128" t="s">
        <v>9451</v>
      </c>
      <c r="H92" s="128" t="s">
        <v>2612</v>
      </c>
      <c r="I92" s="128" t="s">
        <v>9452</v>
      </c>
      <c r="J92" s="128" t="s">
        <v>9453</v>
      </c>
      <c r="K92" s="128" t="s">
        <v>9454</v>
      </c>
      <c r="L92" s="128" t="s">
        <v>9455</v>
      </c>
      <c r="M92" s="128" t="s">
        <v>9456</v>
      </c>
      <c r="N92" s="128" t="s">
        <v>9457</v>
      </c>
      <c r="O92" s="128" t="s">
        <v>9458</v>
      </c>
      <c r="P92" s="128" t="s">
        <v>9459</v>
      </c>
      <c r="Q92" s="128" t="s">
        <v>9460</v>
      </c>
      <c r="R92" s="128" t="s">
        <v>9461</v>
      </c>
      <c r="S92" s="128" t="s">
        <v>9462</v>
      </c>
      <c r="T92" s="128" t="s">
        <v>9463</v>
      </c>
      <c r="U92" s="128" t="s">
        <v>9464</v>
      </c>
      <c r="V92" s="128" t="s">
        <v>9465</v>
      </c>
      <c r="W92" s="128" t="s">
        <v>9466</v>
      </c>
      <c r="X92" s="128" t="s">
        <v>9467</v>
      </c>
      <c r="Y92" s="128" t="s">
        <v>9468</v>
      </c>
      <c r="Z92" s="128" t="s">
        <v>9469</v>
      </c>
      <c r="AA92" s="128" t="s">
        <v>9470</v>
      </c>
      <c r="AB92" s="128" t="s">
        <v>9471</v>
      </c>
      <c r="AC92" s="128" t="s">
        <v>9472</v>
      </c>
      <c r="AD92" s="128" t="s">
        <v>9473</v>
      </c>
      <c r="AE92" s="128" t="s">
        <v>9474</v>
      </c>
      <c r="AF92" s="128" t="s">
        <v>9475</v>
      </c>
    </row>
    <row r="93" spans="3:32" ht="319" x14ac:dyDescent="0.35">
      <c r="C93" s="128" t="s">
        <v>2637</v>
      </c>
      <c r="E93" s="128" t="s">
        <v>2638</v>
      </c>
      <c r="F93" s="128" t="s">
        <v>9476</v>
      </c>
      <c r="G93" s="128" t="s">
        <v>9477</v>
      </c>
      <c r="H93" s="128" t="s">
        <v>2641</v>
      </c>
      <c r="I93" s="128" t="s">
        <v>9478</v>
      </c>
      <c r="J93" s="128" t="s">
        <v>9479</v>
      </c>
      <c r="K93" s="128" t="s">
        <v>9480</v>
      </c>
      <c r="L93" s="128" t="s">
        <v>9481</v>
      </c>
      <c r="M93" s="128" t="s">
        <v>9482</v>
      </c>
      <c r="N93" s="128" t="s">
        <v>9483</v>
      </c>
      <c r="O93" s="128" t="s">
        <v>9484</v>
      </c>
      <c r="P93" s="128" t="s">
        <v>9485</v>
      </c>
      <c r="Q93" s="128" t="s">
        <v>9486</v>
      </c>
      <c r="R93" s="128" t="s">
        <v>9487</v>
      </c>
      <c r="S93" s="128" t="s">
        <v>9488</v>
      </c>
      <c r="T93" s="128" t="s">
        <v>9489</v>
      </c>
      <c r="U93" s="128" t="s">
        <v>9490</v>
      </c>
      <c r="V93" s="128" t="s">
        <v>9491</v>
      </c>
      <c r="W93" s="128" t="s">
        <v>9492</v>
      </c>
      <c r="X93" s="128" t="s">
        <v>9493</v>
      </c>
      <c r="Y93" s="128" t="s">
        <v>9494</v>
      </c>
      <c r="Z93" s="128" t="s">
        <v>9495</v>
      </c>
      <c r="AA93" s="128" t="s">
        <v>9496</v>
      </c>
      <c r="AB93" s="128" t="s">
        <v>9497</v>
      </c>
      <c r="AC93" s="128" t="s">
        <v>9498</v>
      </c>
      <c r="AD93" s="128" t="s">
        <v>9499</v>
      </c>
      <c r="AE93" s="128" t="s">
        <v>9500</v>
      </c>
      <c r="AF93" s="128" t="s">
        <v>9501</v>
      </c>
    </row>
    <row r="94" spans="3:32" ht="319" x14ac:dyDescent="0.35">
      <c r="C94" s="128" t="s">
        <v>2666</v>
      </c>
      <c r="E94" s="128" t="s">
        <v>2667</v>
      </c>
      <c r="F94" s="128" t="s">
        <v>9502</v>
      </c>
      <c r="G94" s="128" t="s">
        <v>9503</v>
      </c>
      <c r="H94" s="128" t="s">
        <v>2670</v>
      </c>
      <c r="I94" s="128" t="s">
        <v>9504</v>
      </c>
      <c r="J94" s="128" t="s">
        <v>9505</v>
      </c>
      <c r="K94" s="128" t="s">
        <v>9506</v>
      </c>
      <c r="L94" s="128" t="s">
        <v>9507</v>
      </c>
      <c r="M94" s="128" t="s">
        <v>9508</v>
      </c>
      <c r="N94" s="128" t="s">
        <v>9509</v>
      </c>
      <c r="O94" s="128" t="s">
        <v>9510</v>
      </c>
      <c r="P94" s="128" t="s">
        <v>9511</v>
      </c>
      <c r="Q94" s="128" t="s">
        <v>9512</v>
      </c>
      <c r="R94" s="128" t="s">
        <v>9513</v>
      </c>
      <c r="S94" s="128" t="s">
        <v>9514</v>
      </c>
      <c r="T94" s="128" t="s">
        <v>9515</v>
      </c>
      <c r="U94" s="128" t="s">
        <v>9516</v>
      </c>
      <c r="V94" s="128" t="s">
        <v>9517</v>
      </c>
      <c r="W94" s="128" t="s">
        <v>9518</v>
      </c>
      <c r="X94" s="128" t="s">
        <v>9519</v>
      </c>
      <c r="Y94" s="128" t="s">
        <v>9520</v>
      </c>
      <c r="Z94" s="128" t="s">
        <v>9521</v>
      </c>
      <c r="AA94" s="128" t="s">
        <v>9522</v>
      </c>
      <c r="AB94" s="128" t="s">
        <v>9523</v>
      </c>
      <c r="AC94" s="128" t="s">
        <v>9524</v>
      </c>
      <c r="AD94" s="128" t="s">
        <v>9525</v>
      </c>
      <c r="AE94" s="128" t="s">
        <v>9526</v>
      </c>
      <c r="AF94" s="128" t="s">
        <v>9527</v>
      </c>
    </row>
    <row r="95" spans="3:32" ht="319" x14ac:dyDescent="0.35">
      <c r="C95" s="128" t="s">
        <v>2695</v>
      </c>
      <c r="E95" s="128" t="s">
        <v>2696</v>
      </c>
      <c r="F95" s="128" t="s">
        <v>9528</v>
      </c>
      <c r="G95" s="128" t="s">
        <v>9529</v>
      </c>
      <c r="H95" s="128" t="s">
        <v>2699</v>
      </c>
      <c r="I95" s="128" t="s">
        <v>9530</v>
      </c>
      <c r="J95" s="128" t="s">
        <v>9531</v>
      </c>
      <c r="K95" s="128" t="s">
        <v>9532</v>
      </c>
      <c r="L95" s="128" t="s">
        <v>9533</v>
      </c>
      <c r="M95" s="128" t="s">
        <v>9534</v>
      </c>
      <c r="N95" s="128" t="s">
        <v>9535</v>
      </c>
      <c r="O95" s="128" t="s">
        <v>9536</v>
      </c>
      <c r="P95" s="128" t="s">
        <v>9537</v>
      </c>
      <c r="Q95" s="128" t="s">
        <v>9538</v>
      </c>
      <c r="R95" s="128" t="s">
        <v>9539</v>
      </c>
      <c r="S95" s="128" t="s">
        <v>9540</v>
      </c>
      <c r="T95" s="128" t="s">
        <v>9541</v>
      </c>
      <c r="U95" s="128" t="s">
        <v>9542</v>
      </c>
      <c r="V95" s="128" t="s">
        <v>9543</v>
      </c>
      <c r="W95" s="128" t="s">
        <v>9544</v>
      </c>
      <c r="X95" s="128" t="s">
        <v>9545</v>
      </c>
      <c r="Y95" s="128" t="s">
        <v>9546</v>
      </c>
      <c r="Z95" s="128" t="s">
        <v>9547</v>
      </c>
      <c r="AA95" s="128" t="s">
        <v>9548</v>
      </c>
      <c r="AB95" s="128" t="s">
        <v>9549</v>
      </c>
      <c r="AC95" s="128" t="s">
        <v>9550</v>
      </c>
      <c r="AD95" s="128" t="s">
        <v>9551</v>
      </c>
      <c r="AE95" s="128" t="s">
        <v>9552</v>
      </c>
      <c r="AF95" s="128" t="s">
        <v>9553</v>
      </c>
    </row>
    <row r="96" spans="3:32" ht="319" x14ac:dyDescent="0.35">
      <c r="C96" s="128" t="s">
        <v>2724</v>
      </c>
      <c r="E96" s="128" t="s">
        <v>2725</v>
      </c>
      <c r="F96" s="128" t="s">
        <v>9554</v>
      </c>
      <c r="G96" s="128" t="s">
        <v>9555</v>
      </c>
      <c r="H96" s="128" t="s">
        <v>2728</v>
      </c>
      <c r="I96" s="128" t="s">
        <v>9556</v>
      </c>
      <c r="J96" s="128" t="s">
        <v>9557</v>
      </c>
      <c r="K96" s="128" t="s">
        <v>9558</v>
      </c>
      <c r="L96" s="128" t="s">
        <v>9559</v>
      </c>
      <c r="M96" s="128" t="s">
        <v>9560</v>
      </c>
      <c r="N96" s="128" t="s">
        <v>9561</v>
      </c>
      <c r="O96" s="128" t="s">
        <v>9562</v>
      </c>
      <c r="P96" s="128" t="s">
        <v>9563</v>
      </c>
      <c r="Q96" s="128" t="s">
        <v>9564</v>
      </c>
      <c r="R96" s="128" t="s">
        <v>9565</v>
      </c>
      <c r="S96" s="128" t="s">
        <v>9566</v>
      </c>
      <c r="T96" s="128" t="s">
        <v>9567</v>
      </c>
      <c r="U96" s="128" t="s">
        <v>9568</v>
      </c>
      <c r="V96" s="128" t="s">
        <v>9569</v>
      </c>
      <c r="W96" s="128" t="s">
        <v>9570</v>
      </c>
      <c r="X96" s="128" t="s">
        <v>9571</v>
      </c>
      <c r="Y96" s="128" t="s">
        <v>9572</v>
      </c>
      <c r="Z96" s="128" t="s">
        <v>9573</v>
      </c>
      <c r="AA96" s="128" t="s">
        <v>9574</v>
      </c>
      <c r="AB96" s="128" t="s">
        <v>9575</v>
      </c>
      <c r="AC96" s="128" t="s">
        <v>9576</v>
      </c>
      <c r="AD96" s="128" t="s">
        <v>9577</v>
      </c>
      <c r="AE96" s="128" t="s">
        <v>9578</v>
      </c>
      <c r="AF96" s="128" t="s">
        <v>9579</v>
      </c>
    </row>
    <row r="97" spans="3:32" ht="319" x14ac:dyDescent="0.35">
      <c r="C97" s="128" t="s">
        <v>2753</v>
      </c>
      <c r="E97" s="128" t="s">
        <v>2754</v>
      </c>
      <c r="F97" s="128" t="s">
        <v>9580</v>
      </c>
      <c r="G97" s="128" t="s">
        <v>9581</v>
      </c>
      <c r="H97" s="128" t="s">
        <v>2757</v>
      </c>
      <c r="I97" s="128" t="s">
        <v>9582</v>
      </c>
      <c r="J97" s="128" t="s">
        <v>9583</v>
      </c>
      <c r="K97" s="128" t="s">
        <v>9584</v>
      </c>
      <c r="L97" s="128" t="s">
        <v>9585</v>
      </c>
      <c r="M97" s="128" t="s">
        <v>9586</v>
      </c>
      <c r="N97" s="128" t="s">
        <v>9587</v>
      </c>
      <c r="O97" s="128" t="s">
        <v>9588</v>
      </c>
      <c r="P97" s="128" t="s">
        <v>9589</v>
      </c>
      <c r="Q97" s="128" t="s">
        <v>9590</v>
      </c>
      <c r="R97" s="128" t="s">
        <v>9591</v>
      </c>
      <c r="S97" s="128" t="s">
        <v>9592</v>
      </c>
      <c r="T97" s="128" t="s">
        <v>9593</v>
      </c>
      <c r="U97" s="128" t="s">
        <v>9594</v>
      </c>
      <c r="V97" s="128" t="s">
        <v>9595</v>
      </c>
      <c r="W97" s="128" t="s">
        <v>9596</v>
      </c>
      <c r="X97" s="128" t="s">
        <v>9597</v>
      </c>
      <c r="Y97" s="128" t="s">
        <v>9598</v>
      </c>
      <c r="Z97" s="128" t="s">
        <v>9599</v>
      </c>
      <c r="AA97" s="128" t="s">
        <v>9600</v>
      </c>
      <c r="AB97" s="128" t="s">
        <v>9601</v>
      </c>
      <c r="AC97" s="128" t="s">
        <v>9602</v>
      </c>
      <c r="AD97" s="128" t="s">
        <v>9603</v>
      </c>
      <c r="AE97" s="128" t="s">
        <v>9604</v>
      </c>
      <c r="AF97" s="128" t="s">
        <v>9605</v>
      </c>
    </row>
    <row r="98" spans="3:32" ht="319" x14ac:dyDescent="0.35">
      <c r="C98" s="128" t="s">
        <v>2782</v>
      </c>
      <c r="E98" s="128" t="s">
        <v>2783</v>
      </c>
      <c r="F98" s="128" t="s">
        <v>9606</v>
      </c>
      <c r="G98" s="128" t="s">
        <v>9607</v>
      </c>
      <c r="H98" s="128" t="s">
        <v>2786</v>
      </c>
      <c r="I98" s="128" t="s">
        <v>9608</v>
      </c>
      <c r="J98" s="128" t="s">
        <v>9609</v>
      </c>
      <c r="K98" s="128" t="s">
        <v>9610</v>
      </c>
      <c r="L98" s="128" t="s">
        <v>9611</v>
      </c>
      <c r="M98" s="128" t="s">
        <v>9612</v>
      </c>
      <c r="N98" s="128" t="s">
        <v>9613</v>
      </c>
      <c r="O98" s="128" t="s">
        <v>9614</v>
      </c>
      <c r="P98" s="128" t="s">
        <v>9615</v>
      </c>
      <c r="Q98" s="128" t="s">
        <v>9616</v>
      </c>
      <c r="R98" s="128" t="s">
        <v>9617</v>
      </c>
      <c r="S98" s="128" t="s">
        <v>9618</v>
      </c>
      <c r="T98" s="128" t="s">
        <v>9619</v>
      </c>
      <c r="U98" s="128" t="s">
        <v>9620</v>
      </c>
      <c r="V98" s="128" t="s">
        <v>9621</v>
      </c>
      <c r="W98" s="128" t="s">
        <v>9622</v>
      </c>
      <c r="X98" s="128" t="s">
        <v>9623</v>
      </c>
      <c r="Y98" s="128" t="s">
        <v>9624</v>
      </c>
      <c r="Z98" s="128" t="s">
        <v>9625</v>
      </c>
      <c r="AA98" s="128" t="s">
        <v>9626</v>
      </c>
      <c r="AB98" s="128" t="s">
        <v>9627</v>
      </c>
      <c r="AC98" s="128" t="s">
        <v>9628</v>
      </c>
      <c r="AD98" s="128" t="s">
        <v>9629</v>
      </c>
      <c r="AE98" s="128" t="s">
        <v>9630</v>
      </c>
      <c r="AF98" s="128" t="s">
        <v>9631</v>
      </c>
    </row>
    <row r="99" spans="3:32" ht="319" x14ac:dyDescent="0.35">
      <c r="C99" s="128" t="s">
        <v>2811</v>
      </c>
      <c r="E99" s="128" t="s">
        <v>2812</v>
      </c>
      <c r="F99" s="128" t="s">
        <v>9632</v>
      </c>
      <c r="G99" s="128" t="s">
        <v>9633</v>
      </c>
      <c r="H99" s="128" t="s">
        <v>2815</v>
      </c>
      <c r="I99" s="128" t="s">
        <v>9634</v>
      </c>
      <c r="J99" s="128" t="s">
        <v>9635</v>
      </c>
      <c r="K99" s="128" t="s">
        <v>9636</v>
      </c>
      <c r="L99" s="128" t="s">
        <v>9637</v>
      </c>
      <c r="M99" s="128" t="s">
        <v>9638</v>
      </c>
      <c r="N99" s="128" t="s">
        <v>9639</v>
      </c>
      <c r="O99" s="128" t="s">
        <v>9640</v>
      </c>
      <c r="P99" s="128" t="s">
        <v>9641</v>
      </c>
      <c r="Q99" s="128" t="s">
        <v>9642</v>
      </c>
      <c r="R99" s="128" t="s">
        <v>9643</v>
      </c>
      <c r="S99" s="128" t="s">
        <v>9644</v>
      </c>
      <c r="T99" s="128" t="s">
        <v>9645</v>
      </c>
      <c r="U99" s="128" t="s">
        <v>9646</v>
      </c>
      <c r="V99" s="128" t="s">
        <v>9647</v>
      </c>
      <c r="W99" s="128" t="s">
        <v>9648</v>
      </c>
      <c r="X99" s="128" t="s">
        <v>9649</v>
      </c>
      <c r="Y99" s="128" t="s">
        <v>9650</v>
      </c>
      <c r="Z99" s="128" t="s">
        <v>9651</v>
      </c>
      <c r="AA99" s="128" t="s">
        <v>9652</v>
      </c>
      <c r="AB99" s="128" t="s">
        <v>9653</v>
      </c>
      <c r="AC99" s="128" t="s">
        <v>9654</v>
      </c>
      <c r="AD99" s="128" t="s">
        <v>9655</v>
      </c>
      <c r="AE99" s="128" t="s">
        <v>9656</v>
      </c>
      <c r="AF99" s="128" t="s">
        <v>9657</v>
      </c>
    </row>
    <row r="100" spans="3:32" ht="319" x14ac:dyDescent="0.35">
      <c r="C100" s="128" t="s">
        <v>2840</v>
      </c>
      <c r="E100" s="128" t="s">
        <v>2841</v>
      </c>
      <c r="F100" s="128" t="s">
        <v>9658</v>
      </c>
      <c r="G100" s="128" t="s">
        <v>9659</v>
      </c>
      <c r="H100" s="128" t="s">
        <v>2844</v>
      </c>
      <c r="I100" s="128" t="s">
        <v>9660</v>
      </c>
      <c r="J100" s="128" t="s">
        <v>9661</v>
      </c>
      <c r="K100" s="128" t="s">
        <v>9662</v>
      </c>
      <c r="L100" s="128" t="s">
        <v>9663</v>
      </c>
      <c r="M100" s="128" t="s">
        <v>9664</v>
      </c>
      <c r="N100" s="128" t="s">
        <v>9665</v>
      </c>
      <c r="O100" s="128" t="s">
        <v>9666</v>
      </c>
      <c r="P100" s="128" t="s">
        <v>9667</v>
      </c>
      <c r="Q100" s="128" t="s">
        <v>9668</v>
      </c>
      <c r="R100" s="128" t="s">
        <v>9669</v>
      </c>
      <c r="S100" s="128" t="s">
        <v>9670</v>
      </c>
      <c r="T100" s="128" t="s">
        <v>9671</v>
      </c>
      <c r="U100" s="128" t="s">
        <v>9672</v>
      </c>
      <c r="V100" s="128" t="s">
        <v>9673</v>
      </c>
      <c r="W100" s="128" t="s">
        <v>9674</v>
      </c>
      <c r="X100" s="128" t="s">
        <v>9675</v>
      </c>
      <c r="Y100" s="128" t="s">
        <v>9676</v>
      </c>
      <c r="Z100" s="128" t="s">
        <v>9677</v>
      </c>
      <c r="AA100" s="128" t="s">
        <v>9678</v>
      </c>
      <c r="AB100" s="128" t="s">
        <v>9679</v>
      </c>
      <c r="AC100" s="128" t="s">
        <v>9680</v>
      </c>
      <c r="AD100" s="128" t="s">
        <v>9681</v>
      </c>
      <c r="AE100" s="128" t="s">
        <v>9682</v>
      </c>
      <c r="AF100" s="128" t="s">
        <v>9683</v>
      </c>
    </row>
    <row r="101" spans="3:32" ht="319" x14ac:dyDescent="0.35">
      <c r="C101" s="128" t="s">
        <v>2869</v>
      </c>
      <c r="E101" s="128" t="s">
        <v>2870</v>
      </c>
      <c r="F101" s="128" t="s">
        <v>9684</v>
      </c>
      <c r="G101" s="128" t="s">
        <v>9685</v>
      </c>
      <c r="H101" s="128" t="s">
        <v>2873</v>
      </c>
      <c r="I101" s="128" t="s">
        <v>9686</v>
      </c>
      <c r="J101" s="128" t="s">
        <v>9687</v>
      </c>
      <c r="K101" s="128" t="s">
        <v>9688</v>
      </c>
      <c r="L101" s="128" t="s">
        <v>9689</v>
      </c>
      <c r="M101" s="128" t="s">
        <v>9690</v>
      </c>
      <c r="N101" s="128" t="s">
        <v>9691</v>
      </c>
      <c r="O101" s="128" t="s">
        <v>9692</v>
      </c>
      <c r="P101" s="128" t="s">
        <v>9693</v>
      </c>
      <c r="Q101" s="128" t="s">
        <v>9694</v>
      </c>
      <c r="R101" s="128" t="s">
        <v>9695</v>
      </c>
      <c r="S101" s="128" t="s">
        <v>9696</v>
      </c>
      <c r="T101" s="128" t="s">
        <v>9697</v>
      </c>
      <c r="U101" s="128" t="s">
        <v>9698</v>
      </c>
      <c r="V101" s="128" t="s">
        <v>9699</v>
      </c>
      <c r="W101" s="128" t="s">
        <v>9700</v>
      </c>
      <c r="X101" s="128" t="s">
        <v>9701</v>
      </c>
      <c r="Y101" s="128" t="s">
        <v>9702</v>
      </c>
      <c r="Z101" s="128" t="s">
        <v>9703</v>
      </c>
      <c r="AA101" s="128" t="s">
        <v>9704</v>
      </c>
      <c r="AB101" s="128" t="s">
        <v>9705</v>
      </c>
      <c r="AC101" s="128" t="s">
        <v>9706</v>
      </c>
      <c r="AD101" s="128" t="s">
        <v>9707</v>
      </c>
      <c r="AE101" s="128" t="s">
        <v>9708</v>
      </c>
      <c r="AF101" s="128" t="s">
        <v>9709</v>
      </c>
    </row>
    <row r="102" spans="3:32" ht="319" x14ac:dyDescent="0.35">
      <c r="C102" s="128" t="s">
        <v>2898</v>
      </c>
      <c r="E102" s="128" t="s">
        <v>2899</v>
      </c>
      <c r="F102" s="128" t="s">
        <v>9710</v>
      </c>
      <c r="G102" s="128" t="s">
        <v>9711</v>
      </c>
      <c r="H102" s="128" t="s">
        <v>2902</v>
      </c>
      <c r="I102" s="128" t="s">
        <v>9712</v>
      </c>
      <c r="J102" s="128" t="s">
        <v>9713</v>
      </c>
      <c r="K102" s="128" t="s">
        <v>9714</v>
      </c>
      <c r="L102" s="128" t="s">
        <v>9715</v>
      </c>
      <c r="M102" s="128" t="s">
        <v>9716</v>
      </c>
      <c r="N102" s="128" t="s">
        <v>9717</v>
      </c>
      <c r="O102" s="128" t="s">
        <v>9718</v>
      </c>
      <c r="P102" s="128" t="s">
        <v>9719</v>
      </c>
      <c r="Q102" s="128" t="s">
        <v>9720</v>
      </c>
      <c r="R102" s="128" t="s">
        <v>9721</v>
      </c>
      <c r="S102" s="128" t="s">
        <v>9722</v>
      </c>
      <c r="T102" s="128" t="s">
        <v>9723</v>
      </c>
      <c r="U102" s="128" t="s">
        <v>9724</v>
      </c>
      <c r="V102" s="128" t="s">
        <v>9725</v>
      </c>
      <c r="W102" s="128" t="s">
        <v>9726</v>
      </c>
      <c r="X102" s="128" t="s">
        <v>9727</v>
      </c>
      <c r="Y102" s="128" t="s">
        <v>9728</v>
      </c>
      <c r="Z102" s="128" t="s">
        <v>9729</v>
      </c>
      <c r="AA102" s="128" t="s">
        <v>9730</v>
      </c>
      <c r="AB102" s="128" t="s">
        <v>9731</v>
      </c>
      <c r="AC102" s="128" t="s">
        <v>9732</v>
      </c>
      <c r="AD102" s="128" t="s">
        <v>9733</v>
      </c>
      <c r="AE102" s="128" t="s">
        <v>9734</v>
      </c>
      <c r="AF102" s="128" t="s">
        <v>9735</v>
      </c>
    </row>
    <row r="103" spans="3:32" ht="319" x14ac:dyDescent="0.35">
      <c r="C103" s="128" t="s">
        <v>2927</v>
      </c>
      <c r="E103" s="128" t="s">
        <v>2928</v>
      </c>
      <c r="F103" s="128" t="s">
        <v>9736</v>
      </c>
      <c r="G103" s="128" t="s">
        <v>9737</v>
      </c>
      <c r="H103" s="128" t="s">
        <v>2931</v>
      </c>
      <c r="I103" s="128" t="s">
        <v>9738</v>
      </c>
      <c r="J103" s="128" t="s">
        <v>9739</v>
      </c>
      <c r="K103" s="128" t="s">
        <v>9740</v>
      </c>
      <c r="L103" s="128" t="s">
        <v>9741</v>
      </c>
      <c r="M103" s="128" t="s">
        <v>9742</v>
      </c>
      <c r="N103" s="128" t="s">
        <v>9743</v>
      </c>
      <c r="O103" s="128" t="s">
        <v>9744</v>
      </c>
      <c r="P103" s="128" t="s">
        <v>9745</v>
      </c>
      <c r="Q103" s="128" t="s">
        <v>9746</v>
      </c>
      <c r="R103" s="128" t="s">
        <v>9747</v>
      </c>
      <c r="S103" s="128" t="s">
        <v>9748</v>
      </c>
      <c r="T103" s="128" t="s">
        <v>9749</v>
      </c>
      <c r="U103" s="128" t="s">
        <v>9750</v>
      </c>
      <c r="V103" s="128" t="s">
        <v>9751</v>
      </c>
      <c r="W103" s="128" t="s">
        <v>9752</v>
      </c>
      <c r="X103" s="128" t="s">
        <v>9753</v>
      </c>
      <c r="Y103" s="128" t="s">
        <v>9754</v>
      </c>
      <c r="Z103" s="128" t="s">
        <v>9755</v>
      </c>
      <c r="AA103" s="128" t="s">
        <v>9756</v>
      </c>
      <c r="AB103" s="128" t="s">
        <v>9757</v>
      </c>
      <c r="AC103" s="128" t="s">
        <v>9758</v>
      </c>
      <c r="AD103" s="128" t="s">
        <v>9759</v>
      </c>
      <c r="AE103" s="128" t="s">
        <v>9760</v>
      </c>
      <c r="AF103" s="128" t="s">
        <v>9761</v>
      </c>
    </row>
    <row r="104" spans="3:32" ht="319" x14ac:dyDescent="0.35">
      <c r="C104" s="128" t="s">
        <v>2956</v>
      </c>
      <c r="E104" s="128" t="s">
        <v>2957</v>
      </c>
      <c r="F104" s="128" t="s">
        <v>9762</v>
      </c>
      <c r="G104" s="128" t="s">
        <v>9763</v>
      </c>
      <c r="H104" s="128" t="s">
        <v>2960</v>
      </c>
      <c r="I104" s="128" t="s">
        <v>9764</v>
      </c>
      <c r="J104" s="128" t="s">
        <v>9765</v>
      </c>
      <c r="K104" s="128" t="s">
        <v>9766</v>
      </c>
      <c r="L104" s="128" t="s">
        <v>9767</v>
      </c>
      <c r="M104" s="128" t="s">
        <v>9768</v>
      </c>
      <c r="N104" s="128" t="s">
        <v>9769</v>
      </c>
      <c r="O104" s="128" t="s">
        <v>9770</v>
      </c>
      <c r="P104" s="128" t="s">
        <v>9771</v>
      </c>
      <c r="Q104" s="128" t="s">
        <v>9772</v>
      </c>
      <c r="R104" s="128" t="s">
        <v>9773</v>
      </c>
      <c r="S104" s="128" t="s">
        <v>9774</v>
      </c>
      <c r="T104" s="128" t="s">
        <v>9775</v>
      </c>
      <c r="U104" s="128" t="s">
        <v>9776</v>
      </c>
      <c r="V104" s="128" t="s">
        <v>9777</v>
      </c>
      <c r="W104" s="128" t="s">
        <v>9778</v>
      </c>
      <c r="X104" s="128" t="s">
        <v>9779</v>
      </c>
      <c r="Y104" s="128" t="s">
        <v>9780</v>
      </c>
      <c r="Z104" s="128" t="s">
        <v>9781</v>
      </c>
      <c r="AA104" s="128" t="s">
        <v>9782</v>
      </c>
      <c r="AB104" s="128" t="s">
        <v>9783</v>
      </c>
      <c r="AC104" s="128" t="s">
        <v>9784</v>
      </c>
      <c r="AD104" s="128" t="s">
        <v>9785</v>
      </c>
      <c r="AE104" s="128" t="s">
        <v>9786</v>
      </c>
      <c r="AF104" s="128" t="s">
        <v>9787</v>
      </c>
    </row>
    <row r="105" spans="3:32" ht="319" x14ac:dyDescent="0.35">
      <c r="C105" s="128" t="s">
        <v>2985</v>
      </c>
      <c r="E105" s="128" t="s">
        <v>2986</v>
      </c>
      <c r="F105" s="128" t="s">
        <v>9788</v>
      </c>
      <c r="G105" s="128" t="s">
        <v>9789</v>
      </c>
      <c r="H105" s="128" t="s">
        <v>2989</v>
      </c>
      <c r="I105" s="128" t="s">
        <v>9790</v>
      </c>
      <c r="J105" s="128" t="s">
        <v>9791</v>
      </c>
      <c r="K105" s="128" t="s">
        <v>9792</v>
      </c>
      <c r="L105" s="128" t="s">
        <v>9793</v>
      </c>
      <c r="M105" s="128" t="s">
        <v>9794</v>
      </c>
      <c r="N105" s="128" t="s">
        <v>9795</v>
      </c>
      <c r="O105" s="128" t="s">
        <v>9796</v>
      </c>
      <c r="P105" s="128" t="s">
        <v>9797</v>
      </c>
      <c r="Q105" s="128" t="s">
        <v>9798</v>
      </c>
      <c r="R105" s="128" t="s">
        <v>9799</v>
      </c>
      <c r="S105" s="128" t="s">
        <v>9800</v>
      </c>
      <c r="T105" s="128" t="s">
        <v>9801</v>
      </c>
      <c r="U105" s="128" t="s">
        <v>9802</v>
      </c>
      <c r="V105" s="128" t="s">
        <v>9803</v>
      </c>
      <c r="W105" s="128" t="s">
        <v>9804</v>
      </c>
      <c r="X105" s="128" t="s">
        <v>9805</v>
      </c>
      <c r="Y105" s="128" t="s">
        <v>9806</v>
      </c>
      <c r="Z105" s="128" t="s">
        <v>9807</v>
      </c>
      <c r="AA105" s="128" t="s">
        <v>9808</v>
      </c>
      <c r="AB105" s="128" t="s">
        <v>9809</v>
      </c>
      <c r="AC105" s="128" t="s">
        <v>9810</v>
      </c>
      <c r="AD105" s="128" t="s">
        <v>9811</v>
      </c>
      <c r="AE105" s="128" t="s">
        <v>9812</v>
      </c>
      <c r="AF105" s="128" t="s">
        <v>9813</v>
      </c>
    </row>
    <row r="106" spans="3:32" ht="319" x14ac:dyDescent="0.35">
      <c r="C106" s="128" t="s">
        <v>3014</v>
      </c>
      <c r="E106" s="128" t="s">
        <v>3015</v>
      </c>
      <c r="F106" s="128" t="s">
        <v>9814</v>
      </c>
      <c r="G106" s="128" t="s">
        <v>9815</v>
      </c>
      <c r="H106" s="128" t="s">
        <v>3018</v>
      </c>
      <c r="I106" s="128" t="s">
        <v>9816</v>
      </c>
      <c r="J106" s="128" t="s">
        <v>9817</v>
      </c>
      <c r="K106" s="128" t="s">
        <v>9818</v>
      </c>
      <c r="L106" s="128" t="s">
        <v>9819</v>
      </c>
      <c r="M106" s="128" t="s">
        <v>9820</v>
      </c>
      <c r="N106" s="128" t="s">
        <v>9821</v>
      </c>
      <c r="O106" s="128" t="s">
        <v>9822</v>
      </c>
      <c r="P106" s="128" t="s">
        <v>9823</v>
      </c>
      <c r="Q106" s="128" t="s">
        <v>9824</v>
      </c>
      <c r="R106" s="128" t="s">
        <v>9825</v>
      </c>
      <c r="S106" s="128" t="s">
        <v>9826</v>
      </c>
      <c r="T106" s="128" t="s">
        <v>9827</v>
      </c>
      <c r="U106" s="128" t="s">
        <v>9828</v>
      </c>
      <c r="V106" s="128" t="s">
        <v>9829</v>
      </c>
      <c r="W106" s="128" t="s">
        <v>9830</v>
      </c>
      <c r="X106" s="128" t="s">
        <v>9831</v>
      </c>
      <c r="Y106" s="128" t="s">
        <v>9832</v>
      </c>
      <c r="Z106" s="128" t="s">
        <v>9833</v>
      </c>
      <c r="AA106" s="128" t="s">
        <v>9834</v>
      </c>
      <c r="AB106" s="128" t="s">
        <v>9835</v>
      </c>
      <c r="AC106" s="128" t="s">
        <v>9836</v>
      </c>
      <c r="AD106" s="128" t="s">
        <v>9837</v>
      </c>
      <c r="AE106" s="128" t="s">
        <v>9838</v>
      </c>
      <c r="AF106" s="128" t="s">
        <v>9839</v>
      </c>
    </row>
    <row r="107" spans="3:32" ht="319" x14ac:dyDescent="0.35">
      <c r="C107" s="128" t="s">
        <v>3043</v>
      </c>
      <c r="E107" s="128" t="s">
        <v>3044</v>
      </c>
      <c r="F107" s="128" t="s">
        <v>9840</v>
      </c>
      <c r="G107" s="128" t="s">
        <v>9841</v>
      </c>
      <c r="H107" s="128" t="s">
        <v>3047</v>
      </c>
      <c r="I107" s="128" t="s">
        <v>9842</v>
      </c>
      <c r="J107" s="128" t="s">
        <v>9843</v>
      </c>
      <c r="K107" s="128" t="s">
        <v>9844</v>
      </c>
      <c r="L107" s="128" t="s">
        <v>9845</v>
      </c>
      <c r="M107" s="128" t="s">
        <v>9846</v>
      </c>
      <c r="N107" s="128" t="s">
        <v>9847</v>
      </c>
      <c r="O107" s="128" t="s">
        <v>9848</v>
      </c>
      <c r="P107" s="128" t="s">
        <v>9849</v>
      </c>
      <c r="Q107" s="128" t="s">
        <v>9850</v>
      </c>
      <c r="R107" s="128" t="s">
        <v>9851</v>
      </c>
      <c r="S107" s="128" t="s">
        <v>9852</v>
      </c>
      <c r="T107" s="128" t="s">
        <v>9853</v>
      </c>
      <c r="U107" s="128" t="s">
        <v>9854</v>
      </c>
      <c r="V107" s="128" t="s">
        <v>9855</v>
      </c>
      <c r="W107" s="128" t="s">
        <v>9856</v>
      </c>
      <c r="X107" s="128" t="s">
        <v>9857</v>
      </c>
      <c r="Y107" s="128" t="s">
        <v>9858</v>
      </c>
      <c r="Z107" s="128" t="s">
        <v>9859</v>
      </c>
      <c r="AA107" s="128" t="s">
        <v>9860</v>
      </c>
      <c r="AB107" s="128" t="s">
        <v>9861</v>
      </c>
      <c r="AC107" s="128" t="s">
        <v>9862</v>
      </c>
      <c r="AD107" s="128" t="s">
        <v>9863</v>
      </c>
      <c r="AE107" s="128" t="s">
        <v>9864</v>
      </c>
      <c r="AF107" s="128" t="s">
        <v>9865</v>
      </c>
    </row>
    <row r="108" spans="3:32" ht="319" x14ac:dyDescent="0.35">
      <c r="C108" s="128" t="s">
        <v>3072</v>
      </c>
      <c r="E108" s="128" t="s">
        <v>3073</v>
      </c>
      <c r="F108" s="128" t="s">
        <v>9866</v>
      </c>
      <c r="G108" s="128" t="s">
        <v>9867</v>
      </c>
      <c r="H108" s="128" t="s">
        <v>3076</v>
      </c>
      <c r="I108" s="128" t="s">
        <v>9868</v>
      </c>
      <c r="J108" s="128" t="s">
        <v>9869</v>
      </c>
      <c r="K108" s="128" t="s">
        <v>9870</v>
      </c>
      <c r="L108" s="128" t="s">
        <v>9871</v>
      </c>
      <c r="M108" s="128" t="s">
        <v>9872</v>
      </c>
      <c r="N108" s="128" t="s">
        <v>9873</v>
      </c>
      <c r="O108" s="128" t="s">
        <v>9874</v>
      </c>
      <c r="P108" s="128" t="s">
        <v>9875</v>
      </c>
      <c r="Q108" s="128" t="s">
        <v>9876</v>
      </c>
      <c r="R108" s="128" t="s">
        <v>9877</v>
      </c>
      <c r="S108" s="128" t="s">
        <v>9878</v>
      </c>
      <c r="T108" s="128" t="s">
        <v>9879</v>
      </c>
      <c r="U108" s="128" t="s">
        <v>9880</v>
      </c>
      <c r="V108" s="128" t="s">
        <v>9881</v>
      </c>
      <c r="W108" s="128" t="s">
        <v>9882</v>
      </c>
      <c r="X108" s="128" t="s">
        <v>9883</v>
      </c>
      <c r="Y108" s="128" t="s">
        <v>9884</v>
      </c>
      <c r="Z108" s="128" t="s">
        <v>9885</v>
      </c>
      <c r="AA108" s="128" t="s">
        <v>9886</v>
      </c>
      <c r="AB108" s="128" t="s">
        <v>9887</v>
      </c>
      <c r="AC108" s="128" t="s">
        <v>9888</v>
      </c>
      <c r="AD108" s="128" t="s">
        <v>9889</v>
      </c>
      <c r="AE108" s="128" t="s">
        <v>9890</v>
      </c>
      <c r="AF108" s="128" t="s">
        <v>9891</v>
      </c>
    </row>
    <row r="109" spans="3:32" ht="319" x14ac:dyDescent="0.35">
      <c r="C109" s="128" t="s">
        <v>3101</v>
      </c>
      <c r="E109" s="128" t="s">
        <v>3102</v>
      </c>
      <c r="F109" s="128" t="s">
        <v>9892</v>
      </c>
      <c r="G109" s="128" t="s">
        <v>9893</v>
      </c>
      <c r="H109" s="128" t="s">
        <v>3105</v>
      </c>
      <c r="I109" s="128" t="s">
        <v>9894</v>
      </c>
      <c r="J109" s="128" t="s">
        <v>9895</v>
      </c>
      <c r="K109" s="128" t="s">
        <v>9896</v>
      </c>
      <c r="L109" s="128" t="s">
        <v>9897</v>
      </c>
      <c r="M109" s="128" t="s">
        <v>9898</v>
      </c>
      <c r="N109" s="128" t="s">
        <v>9899</v>
      </c>
      <c r="O109" s="128" t="s">
        <v>9900</v>
      </c>
      <c r="P109" s="128" t="s">
        <v>9901</v>
      </c>
      <c r="Q109" s="128" t="s">
        <v>9902</v>
      </c>
      <c r="R109" s="128" t="s">
        <v>9903</v>
      </c>
      <c r="S109" s="128" t="s">
        <v>9904</v>
      </c>
      <c r="T109" s="128" t="s">
        <v>9905</v>
      </c>
      <c r="U109" s="128" t="s">
        <v>9906</v>
      </c>
      <c r="V109" s="128" t="s">
        <v>9907</v>
      </c>
      <c r="W109" s="128" t="s">
        <v>9908</v>
      </c>
      <c r="X109" s="128" t="s">
        <v>9909</v>
      </c>
      <c r="Y109" s="128" t="s">
        <v>9910</v>
      </c>
      <c r="Z109" s="128" t="s">
        <v>9911</v>
      </c>
      <c r="AA109" s="128" t="s">
        <v>9912</v>
      </c>
      <c r="AB109" s="128" t="s">
        <v>9913</v>
      </c>
      <c r="AC109" s="128" t="s">
        <v>9914</v>
      </c>
      <c r="AD109" s="128" t="s">
        <v>9915</v>
      </c>
      <c r="AE109" s="128" t="s">
        <v>9916</v>
      </c>
      <c r="AF109" s="128" t="s">
        <v>9917</v>
      </c>
    </row>
    <row r="110" spans="3:32" ht="319" x14ac:dyDescent="0.35">
      <c r="C110" s="128" t="s">
        <v>3130</v>
      </c>
      <c r="E110" s="128" t="s">
        <v>3131</v>
      </c>
      <c r="F110" s="128" t="s">
        <v>9918</v>
      </c>
      <c r="G110" s="128" t="s">
        <v>9919</v>
      </c>
      <c r="H110" s="128" t="s">
        <v>3134</v>
      </c>
      <c r="I110" s="128" t="s">
        <v>9920</v>
      </c>
      <c r="J110" s="128" t="s">
        <v>9921</v>
      </c>
      <c r="K110" s="128" t="s">
        <v>9922</v>
      </c>
      <c r="L110" s="128" t="s">
        <v>9923</v>
      </c>
      <c r="M110" s="128" t="s">
        <v>9924</v>
      </c>
      <c r="N110" s="128" t="s">
        <v>9925</v>
      </c>
      <c r="O110" s="128" t="s">
        <v>9926</v>
      </c>
      <c r="P110" s="128" t="s">
        <v>9927</v>
      </c>
      <c r="Q110" s="128" t="s">
        <v>9928</v>
      </c>
      <c r="R110" s="128" t="s">
        <v>9929</v>
      </c>
      <c r="S110" s="128" t="s">
        <v>9930</v>
      </c>
      <c r="T110" s="128" t="s">
        <v>9931</v>
      </c>
      <c r="U110" s="128" t="s">
        <v>9932</v>
      </c>
      <c r="V110" s="128" t="s">
        <v>9933</v>
      </c>
      <c r="W110" s="128" t="s">
        <v>9934</v>
      </c>
      <c r="X110" s="128" t="s">
        <v>9935</v>
      </c>
      <c r="Y110" s="128" t="s">
        <v>9936</v>
      </c>
      <c r="Z110" s="128" t="s">
        <v>9937</v>
      </c>
      <c r="AA110" s="128" t="s">
        <v>9938</v>
      </c>
      <c r="AB110" s="128" t="s">
        <v>9939</v>
      </c>
      <c r="AC110" s="128" t="s">
        <v>9940</v>
      </c>
      <c r="AD110" s="128" t="s">
        <v>9941</v>
      </c>
      <c r="AE110" s="128" t="s">
        <v>9942</v>
      </c>
      <c r="AF110" s="128" t="s">
        <v>9943</v>
      </c>
    </row>
    <row r="111" spans="3:32" ht="319" x14ac:dyDescent="0.35">
      <c r="C111" s="128" t="s">
        <v>3159</v>
      </c>
      <c r="E111" s="128" t="s">
        <v>3160</v>
      </c>
      <c r="F111" s="128" t="s">
        <v>9944</v>
      </c>
      <c r="G111" s="128" t="s">
        <v>9945</v>
      </c>
      <c r="H111" s="128" t="s">
        <v>3163</v>
      </c>
      <c r="I111" s="128" t="s">
        <v>9946</v>
      </c>
      <c r="J111" s="128" t="s">
        <v>9947</v>
      </c>
      <c r="K111" s="128" t="s">
        <v>9948</v>
      </c>
      <c r="L111" s="128" t="s">
        <v>9949</v>
      </c>
      <c r="M111" s="128" t="s">
        <v>9950</v>
      </c>
      <c r="N111" s="128" t="s">
        <v>9951</v>
      </c>
      <c r="O111" s="128" t="s">
        <v>9952</v>
      </c>
      <c r="P111" s="128" t="s">
        <v>9953</v>
      </c>
      <c r="Q111" s="128" t="s">
        <v>9954</v>
      </c>
      <c r="R111" s="128" t="s">
        <v>9955</v>
      </c>
      <c r="S111" s="128" t="s">
        <v>9956</v>
      </c>
      <c r="T111" s="128" t="s">
        <v>9957</v>
      </c>
      <c r="U111" s="128" t="s">
        <v>9958</v>
      </c>
      <c r="V111" s="128" t="s">
        <v>9959</v>
      </c>
      <c r="W111" s="128" t="s">
        <v>9960</v>
      </c>
      <c r="X111" s="128" t="s">
        <v>9961</v>
      </c>
      <c r="Y111" s="128" t="s">
        <v>9962</v>
      </c>
      <c r="Z111" s="128" t="s">
        <v>9963</v>
      </c>
      <c r="AA111" s="128" t="s">
        <v>9964</v>
      </c>
      <c r="AB111" s="128" t="s">
        <v>9965</v>
      </c>
      <c r="AC111" s="128" t="s">
        <v>9966</v>
      </c>
      <c r="AD111" s="128" t="s">
        <v>9967</v>
      </c>
      <c r="AE111" s="128" t="s">
        <v>9968</v>
      </c>
      <c r="AF111" s="128" t="s">
        <v>9969</v>
      </c>
    </row>
    <row r="112" spans="3:32" ht="319" x14ac:dyDescent="0.35">
      <c r="C112" s="128" t="s">
        <v>3188</v>
      </c>
      <c r="E112" s="128" t="s">
        <v>3189</v>
      </c>
      <c r="F112" s="128" t="s">
        <v>9970</v>
      </c>
      <c r="G112" s="128" t="s">
        <v>9971</v>
      </c>
      <c r="H112" s="128" t="s">
        <v>3192</v>
      </c>
      <c r="I112" s="128" t="s">
        <v>9972</v>
      </c>
      <c r="J112" s="128" t="s">
        <v>9973</v>
      </c>
      <c r="K112" s="128" t="s">
        <v>9974</v>
      </c>
      <c r="L112" s="128" t="s">
        <v>9975</v>
      </c>
      <c r="M112" s="128" t="s">
        <v>9976</v>
      </c>
      <c r="N112" s="128" t="s">
        <v>9977</v>
      </c>
      <c r="O112" s="128" t="s">
        <v>9978</v>
      </c>
      <c r="P112" s="128" t="s">
        <v>9979</v>
      </c>
      <c r="Q112" s="128" t="s">
        <v>9980</v>
      </c>
      <c r="R112" s="128" t="s">
        <v>9981</v>
      </c>
      <c r="S112" s="128" t="s">
        <v>9982</v>
      </c>
      <c r="T112" s="128" t="s">
        <v>9983</v>
      </c>
      <c r="U112" s="128" t="s">
        <v>9984</v>
      </c>
      <c r="V112" s="128" t="s">
        <v>9985</v>
      </c>
      <c r="W112" s="128" t="s">
        <v>9986</v>
      </c>
      <c r="X112" s="128" t="s">
        <v>9987</v>
      </c>
      <c r="Y112" s="128" t="s">
        <v>9988</v>
      </c>
      <c r="Z112" s="128" t="s">
        <v>9989</v>
      </c>
      <c r="AA112" s="128" t="s">
        <v>9990</v>
      </c>
      <c r="AB112" s="128" t="s">
        <v>9991</v>
      </c>
      <c r="AC112" s="128" t="s">
        <v>9992</v>
      </c>
      <c r="AD112" s="128" t="s">
        <v>9993</v>
      </c>
      <c r="AE112" s="128" t="s">
        <v>9994</v>
      </c>
      <c r="AF112" s="128" t="s">
        <v>9995</v>
      </c>
    </row>
    <row r="113" spans="3:32" ht="319" x14ac:dyDescent="0.35">
      <c r="C113" s="128" t="s">
        <v>3217</v>
      </c>
      <c r="E113" s="128" t="s">
        <v>3218</v>
      </c>
      <c r="F113" s="128" t="s">
        <v>9996</v>
      </c>
      <c r="G113" s="128" t="s">
        <v>9997</v>
      </c>
      <c r="H113" s="128" t="s">
        <v>3221</v>
      </c>
      <c r="I113" s="128" t="s">
        <v>9998</v>
      </c>
      <c r="J113" s="128" t="s">
        <v>9999</v>
      </c>
      <c r="K113" s="128" t="s">
        <v>10000</v>
      </c>
      <c r="L113" s="128" t="s">
        <v>10001</v>
      </c>
      <c r="M113" s="128" t="s">
        <v>10002</v>
      </c>
      <c r="N113" s="128" t="s">
        <v>10003</v>
      </c>
      <c r="O113" s="128" t="s">
        <v>10004</v>
      </c>
      <c r="P113" s="128" t="s">
        <v>10005</v>
      </c>
      <c r="Q113" s="128" t="s">
        <v>10006</v>
      </c>
      <c r="R113" s="128" t="s">
        <v>10007</v>
      </c>
      <c r="S113" s="128" t="s">
        <v>10008</v>
      </c>
      <c r="T113" s="128" t="s">
        <v>10009</v>
      </c>
      <c r="U113" s="128" t="s">
        <v>10010</v>
      </c>
      <c r="V113" s="128" t="s">
        <v>10011</v>
      </c>
      <c r="W113" s="128" t="s">
        <v>10012</v>
      </c>
      <c r="X113" s="128" t="s">
        <v>10013</v>
      </c>
      <c r="Y113" s="128" t="s">
        <v>10014</v>
      </c>
      <c r="Z113" s="128" t="s">
        <v>10015</v>
      </c>
      <c r="AA113" s="128" t="s">
        <v>10016</v>
      </c>
      <c r="AB113" s="128" t="s">
        <v>10017</v>
      </c>
      <c r="AC113" s="128" t="s">
        <v>10018</v>
      </c>
      <c r="AD113" s="128" t="s">
        <v>10019</v>
      </c>
      <c r="AE113" s="128" t="s">
        <v>10020</v>
      </c>
      <c r="AF113" s="128" t="s">
        <v>10021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771"/>
  <sheetViews>
    <sheetView workbookViewId="0"/>
  </sheetViews>
  <sheetFormatPr defaultRowHeight="14.5" x14ac:dyDescent="0.35"/>
  <sheetData>
    <row r="1" spans="1:17" x14ac:dyDescent="0.35">
      <c r="A1" s="127" t="s">
        <v>16528</v>
      </c>
      <c r="B1" s="127" t="s">
        <v>22</v>
      </c>
      <c r="C1" s="127" t="s">
        <v>22</v>
      </c>
      <c r="D1" s="127" t="s">
        <v>22</v>
      </c>
      <c r="E1" s="127" t="s">
        <v>22</v>
      </c>
      <c r="F1" s="127" t="s">
        <v>22</v>
      </c>
      <c r="G1" s="127" t="s">
        <v>22</v>
      </c>
      <c r="H1" s="127" t="s">
        <v>22</v>
      </c>
      <c r="J1" s="127" t="s">
        <v>21</v>
      </c>
      <c r="K1" s="127" t="s">
        <v>21</v>
      </c>
      <c r="L1" s="127" t="s">
        <v>21</v>
      </c>
      <c r="M1" s="127" t="s">
        <v>21</v>
      </c>
      <c r="N1" s="127" t="s">
        <v>21</v>
      </c>
      <c r="O1" s="127" t="s">
        <v>21</v>
      </c>
      <c r="P1" s="127" t="s">
        <v>21</v>
      </c>
      <c r="Q1" s="127" t="s">
        <v>21</v>
      </c>
    </row>
    <row r="3" spans="1:17" x14ac:dyDescent="0.35">
      <c r="I3" s="127" t="s">
        <v>48</v>
      </c>
    </row>
    <row r="5" spans="1:17" x14ac:dyDescent="0.35">
      <c r="I5" s="127" t="s">
        <v>1</v>
      </c>
      <c r="J5" s="127" t="s">
        <v>3247</v>
      </c>
      <c r="K5" s="127" t="s">
        <v>123</v>
      </c>
    </row>
    <row r="6" spans="1:17" x14ac:dyDescent="0.35">
      <c r="I6" s="127" t="s">
        <v>44</v>
      </c>
      <c r="J6" s="127" t="s">
        <v>45</v>
      </c>
      <c r="K6" s="127" t="s">
        <v>3248</v>
      </c>
    </row>
    <row r="7" spans="1:17" x14ac:dyDescent="0.35">
      <c r="I7" s="127" t="s">
        <v>66</v>
      </c>
      <c r="J7" s="127" t="s">
        <v>3249</v>
      </c>
      <c r="K7" s="127" t="s">
        <v>3250</v>
      </c>
    </row>
    <row r="8" spans="1:17" x14ac:dyDescent="0.35">
      <c r="I8" s="127" t="s">
        <v>65</v>
      </c>
      <c r="J8" s="127" t="s">
        <v>3251</v>
      </c>
    </row>
    <row r="10" spans="1:17" x14ac:dyDescent="0.35">
      <c r="I10" s="127" t="s">
        <v>50</v>
      </c>
    </row>
    <row r="11" spans="1:17" x14ac:dyDescent="0.35">
      <c r="I11" s="127" t="s">
        <v>49</v>
      </c>
    </row>
    <row r="12" spans="1:17" x14ac:dyDescent="0.35">
      <c r="D12" s="127" t="s">
        <v>34</v>
      </c>
      <c r="I12" s="127" t="s">
        <v>37</v>
      </c>
      <c r="J12" s="127" t="s">
        <v>6</v>
      </c>
      <c r="K12" s="127" t="s">
        <v>34</v>
      </c>
      <c r="L12" s="127" t="s">
        <v>2</v>
      </c>
      <c r="M12" s="127" t="s">
        <v>11</v>
      </c>
      <c r="N12" s="127" t="s">
        <v>32</v>
      </c>
      <c r="O12" s="127" t="s">
        <v>9</v>
      </c>
      <c r="P12" s="127" t="s">
        <v>7</v>
      </c>
      <c r="Q12" s="127" t="s">
        <v>33</v>
      </c>
    </row>
    <row r="13" spans="1:17" x14ac:dyDescent="0.35">
      <c r="C13" s="127" t="s">
        <v>3252</v>
      </c>
      <c r="D13" s="127" t="s">
        <v>3253</v>
      </c>
      <c r="I13" s="127" t="s">
        <v>3254</v>
      </c>
      <c r="J13" s="127" t="s">
        <v>3255</v>
      </c>
      <c r="K13" s="127" t="s">
        <v>3256</v>
      </c>
      <c r="L13" s="127" t="s">
        <v>3257</v>
      </c>
      <c r="M13" s="127" t="s">
        <v>3258</v>
      </c>
      <c r="N13" s="127" t="s">
        <v>3259</v>
      </c>
      <c r="O13" s="127" t="s">
        <v>3260</v>
      </c>
      <c r="P13" s="127" t="s">
        <v>3261</v>
      </c>
      <c r="Q13" s="127" t="s">
        <v>3262</v>
      </c>
    </row>
    <row r="14" spans="1:17" x14ac:dyDescent="0.35">
      <c r="A14" s="127" t="s">
        <v>6063</v>
      </c>
      <c r="C14" s="127" t="s">
        <v>10024</v>
      </c>
      <c r="D14" s="127" t="s">
        <v>12900</v>
      </c>
      <c r="I14" s="127" t="s">
        <v>10025</v>
      </c>
      <c r="J14" s="127" t="s">
        <v>13210</v>
      </c>
      <c r="K14" s="127" t="s">
        <v>10026</v>
      </c>
      <c r="L14" s="127" t="s">
        <v>13520</v>
      </c>
      <c r="M14" s="127" t="s">
        <v>10027</v>
      </c>
      <c r="N14" s="127" t="s">
        <v>10028</v>
      </c>
      <c r="O14" s="127" t="s">
        <v>13830</v>
      </c>
      <c r="P14" s="127" t="s">
        <v>14140</v>
      </c>
      <c r="Q14" s="127" t="s">
        <v>14450</v>
      </c>
    </row>
    <row r="15" spans="1:17" x14ac:dyDescent="0.35">
      <c r="A15" s="127" t="s">
        <v>6063</v>
      </c>
      <c r="C15" s="127" t="s">
        <v>10029</v>
      </c>
      <c r="D15" s="127" t="s">
        <v>12901</v>
      </c>
      <c r="I15" s="127" t="s">
        <v>10030</v>
      </c>
      <c r="J15" s="127" t="s">
        <v>13211</v>
      </c>
      <c r="K15" s="127" t="s">
        <v>10031</v>
      </c>
      <c r="L15" s="127" t="s">
        <v>13521</v>
      </c>
      <c r="M15" s="127" t="s">
        <v>10032</v>
      </c>
      <c r="N15" s="127" t="s">
        <v>10033</v>
      </c>
      <c r="O15" s="127" t="s">
        <v>13831</v>
      </c>
      <c r="P15" s="127" t="s">
        <v>14141</v>
      </c>
      <c r="Q15" s="127" t="s">
        <v>14451</v>
      </c>
    </row>
    <row r="16" spans="1:17" x14ac:dyDescent="0.35">
      <c r="A16" s="127" t="s">
        <v>6063</v>
      </c>
      <c r="C16" s="127" t="s">
        <v>10034</v>
      </c>
      <c r="D16" s="127" t="s">
        <v>12902</v>
      </c>
      <c r="I16" s="127" t="s">
        <v>10035</v>
      </c>
      <c r="J16" s="127" t="s">
        <v>13212</v>
      </c>
      <c r="K16" s="127" t="s">
        <v>10036</v>
      </c>
      <c r="L16" s="127" t="s">
        <v>13522</v>
      </c>
      <c r="M16" s="127" t="s">
        <v>10037</v>
      </c>
      <c r="N16" s="127" t="s">
        <v>10038</v>
      </c>
      <c r="O16" s="127" t="s">
        <v>13832</v>
      </c>
      <c r="P16" s="127" t="s">
        <v>14142</v>
      </c>
      <c r="Q16" s="127" t="s">
        <v>14452</v>
      </c>
    </row>
    <row r="17" spans="1:17" x14ac:dyDescent="0.35">
      <c r="A17" s="127" t="s">
        <v>6063</v>
      </c>
      <c r="C17" s="127" t="s">
        <v>10039</v>
      </c>
      <c r="D17" s="127" t="s">
        <v>12903</v>
      </c>
      <c r="I17" s="127" t="s">
        <v>10040</v>
      </c>
      <c r="J17" s="127" t="s">
        <v>13213</v>
      </c>
      <c r="K17" s="127" t="s">
        <v>10041</v>
      </c>
      <c r="L17" s="127" t="s">
        <v>13523</v>
      </c>
      <c r="M17" s="127" t="s">
        <v>10042</v>
      </c>
      <c r="N17" s="127" t="s">
        <v>10043</v>
      </c>
      <c r="O17" s="127" t="s">
        <v>13833</v>
      </c>
      <c r="P17" s="127" t="s">
        <v>14143</v>
      </c>
      <c r="Q17" s="127" t="s">
        <v>14453</v>
      </c>
    </row>
    <row r="18" spans="1:17" x14ac:dyDescent="0.35">
      <c r="A18" s="127" t="s">
        <v>6063</v>
      </c>
      <c r="C18" s="127" t="s">
        <v>10044</v>
      </c>
      <c r="D18" s="127" t="s">
        <v>12904</v>
      </c>
      <c r="I18" s="127" t="s">
        <v>10045</v>
      </c>
      <c r="J18" s="127" t="s">
        <v>13214</v>
      </c>
      <c r="K18" s="127" t="s">
        <v>10046</v>
      </c>
      <c r="L18" s="127" t="s">
        <v>13524</v>
      </c>
      <c r="M18" s="127" t="s">
        <v>10047</v>
      </c>
      <c r="N18" s="127" t="s">
        <v>10048</v>
      </c>
      <c r="O18" s="127" t="s">
        <v>13834</v>
      </c>
      <c r="P18" s="127" t="s">
        <v>14144</v>
      </c>
      <c r="Q18" s="127" t="s">
        <v>14454</v>
      </c>
    </row>
    <row r="19" spans="1:17" x14ac:dyDescent="0.35">
      <c r="A19" s="127" t="s">
        <v>6063</v>
      </c>
      <c r="C19" s="127" t="s">
        <v>10049</v>
      </c>
      <c r="D19" s="127" t="s">
        <v>12905</v>
      </c>
      <c r="I19" s="127" t="s">
        <v>10050</v>
      </c>
      <c r="J19" s="127" t="s">
        <v>13215</v>
      </c>
      <c r="K19" s="127" t="s">
        <v>10051</v>
      </c>
      <c r="L19" s="127" t="s">
        <v>13525</v>
      </c>
      <c r="M19" s="127" t="s">
        <v>10052</v>
      </c>
      <c r="N19" s="127" t="s">
        <v>10053</v>
      </c>
      <c r="O19" s="127" t="s">
        <v>13835</v>
      </c>
      <c r="P19" s="127" t="s">
        <v>14145</v>
      </c>
      <c r="Q19" s="127" t="s">
        <v>14455</v>
      </c>
    </row>
    <row r="20" spans="1:17" x14ac:dyDescent="0.35">
      <c r="A20" s="127" t="s">
        <v>6063</v>
      </c>
      <c r="C20" s="127" t="s">
        <v>10054</v>
      </c>
      <c r="D20" s="127" t="s">
        <v>12906</v>
      </c>
      <c r="I20" s="127" t="s">
        <v>10055</v>
      </c>
      <c r="J20" s="127" t="s">
        <v>13216</v>
      </c>
      <c r="K20" s="127" t="s">
        <v>10056</v>
      </c>
      <c r="L20" s="127" t="s">
        <v>13526</v>
      </c>
      <c r="M20" s="127" t="s">
        <v>10057</v>
      </c>
      <c r="N20" s="127" t="s">
        <v>10058</v>
      </c>
      <c r="O20" s="127" t="s">
        <v>13836</v>
      </c>
      <c r="P20" s="127" t="s">
        <v>14146</v>
      </c>
      <c r="Q20" s="127" t="s">
        <v>14456</v>
      </c>
    </row>
    <row r="21" spans="1:17" x14ac:dyDescent="0.35">
      <c r="A21" s="127" t="s">
        <v>6063</v>
      </c>
      <c r="C21" s="127" t="s">
        <v>10059</v>
      </c>
      <c r="D21" s="127" t="s">
        <v>12907</v>
      </c>
      <c r="I21" s="127" t="s">
        <v>10060</v>
      </c>
      <c r="J21" s="127" t="s">
        <v>13217</v>
      </c>
      <c r="K21" s="127" t="s">
        <v>10061</v>
      </c>
      <c r="L21" s="127" t="s">
        <v>13527</v>
      </c>
      <c r="M21" s="127" t="s">
        <v>10062</v>
      </c>
      <c r="N21" s="127" t="s">
        <v>10063</v>
      </c>
      <c r="O21" s="127" t="s">
        <v>13837</v>
      </c>
      <c r="P21" s="127" t="s">
        <v>14147</v>
      </c>
      <c r="Q21" s="127" t="s">
        <v>14457</v>
      </c>
    </row>
    <row r="22" spans="1:17" x14ac:dyDescent="0.35">
      <c r="A22" s="127" t="s">
        <v>6063</v>
      </c>
      <c r="C22" s="127" t="s">
        <v>10064</v>
      </c>
      <c r="D22" s="127" t="s">
        <v>12908</v>
      </c>
      <c r="I22" s="127" t="s">
        <v>10065</v>
      </c>
      <c r="J22" s="127" t="s">
        <v>13218</v>
      </c>
      <c r="K22" s="127" t="s">
        <v>10066</v>
      </c>
      <c r="L22" s="127" t="s">
        <v>13528</v>
      </c>
      <c r="M22" s="127" t="s">
        <v>10067</v>
      </c>
      <c r="N22" s="127" t="s">
        <v>10068</v>
      </c>
      <c r="O22" s="127" t="s">
        <v>13838</v>
      </c>
      <c r="P22" s="127" t="s">
        <v>14148</v>
      </c>
      <c r="Q22" s="127" t="s">
        <v>14458</v>
      </c>
    </row>
    <row r="23" spans="1:17" x14ac:dyDescent="0.35">
      <c r="A23" s="127" t="s">
        <v>6063</v>
      </c>
      <c r="C23" s="127" t="s">
        <v>10069</v>
      </c>
      <c r="D23" s="127" t="s">
        <v>12909</v>
      </c>
      <c r="I23" s="127" t="s">
        <v>10070</v>
      </c>
      <c r="J23" s="127" t="s">
        <v>13219</v>
      </c>
      <c r="K23" s="127" t="s">
        <v>10071</v>
      </c>
      <c r="L23" s="127" t="s">
        <v>13529</v>
      </c>
      <c r="M23" s="127" t="s">
        <v>10072</v>
      </c>
      <c r="N23" s="127" t="s">
        <v>10073</v>
      </c>
      <c r="O23" s="127" t="s">
        <v>13839</v>
      </c>
      <c r="P23" s="127" t="s">
        <v>14149</v>
      </c>
      <c r="Q23" s="127" t="s">
        <v>14459</v>
      </c>
    </row>
    <row r="24" spans="1:17" x14ac:dyDescent="0.35">
      <c r="A24" s="127" t="s">
        <v>6063</v>
      </c>
      <c r="C24" s="127" t="s">
        <v>10074</v>
      </c>
      <c r="D24" s="127" t="s">
        <v>12910</v>
      </c>
      <c r="I24" s="127" t="s">
        <v>10075</v>
      </c>
      <c r="J24" s="127" t="s">
        <v>13220</v>
      </c>
      <c r="K24" s="127" t="s">
        <v>10076</v>
      </c>
      <c r="L24" s="127" t="s">
        <v>13530</v>
      </c>
      <c r="M24" s="127" t="s">
        <v>10077</v>
      </c>
      <c r="N24" s="127" t="s">
        <v>10078</v>
      </c>
      <c r="O24" s="127" t="s">
        <v>13840</v>
      </c>
      <c r="P24" s="127" t="s">
        <v>14150</v>
      </c>
      <c r="Q24" s="127" t="s">
        <v>14460</v>
      </c>
    </row>
    <row r="25" spans="1:17" x14ac:dyDescent="0.35">
      <c r="A25" s="127" t="s">
        <v>6063</v>
      </c>
      <c r="C25" s="127" t="s">
        <v>10079</v>
      </c>
      <c r="D25" s="127" t="s">
        <v>12911</v>
      </c>
      <c r="I25" s="127" t="s">
        <v>10080</v>
      </c>
      <c r="J25" s="127" t="s">
        <v>13221</v>
      </c>
      <c r="K25" s="127" t="s">
        <v>10081</v>
      </c>
      <c r="L25" s="127" t="s">
        <v>13531</v>
      </c>
      <c r="M25" s="127" t="s">
        <v>10082</v>
      </c>
      <c r="N25" s="127" t="s">
        <v>10083</v>
      </c>
      <c r="O25" s="127" t="s">
        <v>13841</v>
      </c>
      <c r="P25" s="127" t="s">
        <v>14151</v>
      </c>
      <c r="Q25" s="127" t="s">
        <v>14461</v>
      </c>
    </row>
    <row r="26" spans="1:17" x14ac:dyDescent="0.35">
      <c r="A26" s="127" t="s">
        <v>6063</v>
      </c>
      <c r="C26" s="127" t="s">
        <v>10084</v>
      </c>
      <c r="D26" s="127" t="s">
        <v>12912</v>
      </c>
      <c r="I26" s="127" t="s">
        <v>10085</v>
      </c>
      <c r="J26" s="127" t="s">
        <v>13222</v>
      </c>
      <c r="K26" s="127" t="s">
        <v>10086</v>
      </c>
      <c r="L26" s="127" t="s">
        <v>13532</v>
      </c>
      <c r="M26" s="127" t="s">
        <v>10087</v>
      </c>
      <c r="N26" s="127" t="s">
        <v>10088</v>
      </c>
      <c r="O26" s="127" t="s">
        <v>13842</v>
      </c>
      <c r="P26" s="127" t="s">
        <v>14152</v>
      </c>
      <c r="Q26" s="127" t="s">
        <v>14462</v>
      </c>
    </row>
    <row r="27" spans="1:17" x14ac:dyDescent="0.35">
      <c r="A27" s="127" t="s">
        <v>6063</v>
      </c>
      <c r="C27" s="127" t="s">
        <v>10089</v>
      </c>
      <c r="D27" s="127" t="s">
        <v>12913</v>
      </c>
      <c r="I27" s="127" t="s">
        <v>10090</v>
      </c>
      <c r="J27" s="127" t="s">
        <v>13223</v>
      </c>
      <c r="K27" s="127" t="s">
        <v>10091</v>
      </c>
      <c r="L27" s="127" t="s">
        <v>13533</v>
      </c>
      <c r="M27" s="127" t="s">
        <v>10092</v>
      </c>
      <c r="N27" s="127" t="s">
        <v>10093</v>
      </c>
      <c r="O27" s="127" t="s">
        <v>13843</v>
      </c>
      <c r="P27" s="127" t="s">
        <v>14153</v>
      </c>
      <c r="Q27" s="127" t="s">
        <v>14463</v>
      </c>
    </row>
    <row r="28" spans="1:17" x14ac:dyDescent="0.35">
      <c r="A28" s="127" t="s">
        <v>6063</v>
      </c>
      <c r="C28" s="127" t="s">
        <v>10094</v>
      </c>
      <c r="D28" s="127" t="s">
        <v>12914</v>
      </c>
      <c r="I28" s="127" t="s">
        <v>10095</v>
      </c>
      <c r="J28" s="127" t="s">
        <v>13224</v>
      </c>
      <c r="K28" s="127" t="s">
        <v>10096</v>
      </c>
      <c r="L28" s="127" t="s">
        <v>13534</v>
      </c>
      <c r="M28" s="127" t="s">
        <v>10097</v>
      </c>
      <c r="N28" s="127" t="s">
        <v>10098</v>
      </c>
      <c r="O28" s="127" t="s">
        <v>13844</v>
      </c>
      <c r="P28" s="127" t="s">
        <v>14154</v>
      </c>
      <c r="Q28" s="127" t="s">
        <v>14464</v>
      </c>
    </row>
    <row r="29" spans="1:17" x14ac:dyDescent="0.35">
      <c r="A29" s="127" t="s">
        <v>6063</v>
      </c>
      <c r="C29" s="127" t="s">
        <v>10099</v>
      </c>
      <c r="D29" s="127" t="s">
        <v>12915</v>
      </c>
      <c r="I29" s="127" t="s">
        <v>10100</v>
      </c>
      <c r="J29" s="127" t="s">
        <v>13225</v>
      </c>
      <c r="K29" s="127" t="s">
        <v>10101</v>
      </c>
      <c r="L29" s="127" t="s">
        <v>13535</v>
      </c>
      <c r="M29" s="127" t="s">
        <v>10102</v>
      </c>
      <c r="N29" s="127" t="s">
        <v>10103</v>
      </c>
      <c r="O29" s="127" t="s">
        <v>13845</v>
      </c>
      <c r="P29" s="127" t="s">
        <v>14155</v>
      </c>
      <c r="Q29" s="127" t="s">
        <v>14465</v>
      </c>
    </row>
    <row r="30" spans="1:17" x14ac:dyDescent="0.35">
      <c r="A30" s="127" t="s">
        <v>6063</v>
      </c>
      <c r="C30" s="127" t="s">
        <v>10104</v>
      </c>
      <c r="D30" s="127" t="s">
        <v>12916</v>
      </c>
      <c r="I30" s="127" t="s">
        <v>10105</v>
      </c>
      <c r="J30" s="127" t="s">
        <v>13226</v>
      </c>
      <c r="K30" s="127" t="s">
        <v>10106</v>
      </c>
      <c r="L30" s="127" t="s">
        <v>13536</v>
      </c>
      <c r="M30" s="127" t="s">
        <v>10107</v>
      </c>
      <c r="N30" s="127" t="s">
        <v>10108</v>
      </c>
      <c r="O30" s="127" t="s">
        <v>13846</v>
      </c>
      <c r="P30" s="127" t="s">
        <v>14156</v>
      </c>
      <c r="Q30" s="127" t="s">
        <v>14466</v>
      </c>
    </row>
    <row r="31" spans="1:17" x14ac:dyDescent="0.35">
      <c r="A31" s="127" t="s">
        <v>6063</v>
      </c>
      <c r="C31" s="127" t="s">
        <v>10109</v>
      </c>
      <c r="D31" s="127" t="s">
        <v>12917</v>
      </c>
      <c r="I31" s="127" t="s">
        <v>10110</v>
      </c>
      <c r="J31" s="127" t="s">
        <v>13227</v>
      </c>
      <c r="K31" s="127" t="s">
        <v>10111</v>
      </c>
      <c r="L31" s="127" t="s">
        <v>13537</v>
      </c>
      <c r="M31" s="127" t="s">
        <v>10112</v>
      </c>
      <c r="N31" s="127" t="s">
        <v>10113</v>
      </c>
      <c r="O31" s="127" t="s">
        <v>13847</v>
      </c>
      <c r="P31" s="127" t="s">
        <v>14157</v>
      </c>
      <c r="Q31" s="127" t="s">
        <v>14467</v>
      </c>
    </row>
    <row r="32" spans="1:17" x14ac:dyDescent="0.35">
      <c r="A32" s="127" t="s">
        <v>6063</v>
      </c>
      <c r="C32" s="127" t="s">
        <v>10114</v>
      </c>
      <c r="D32" s="127" t="s">
        <v>12918</v>
      </c>
      <c r="I32" s="127" t="s">
        <v>10115</v>
      </c>
      <c r="J32" s="127" t="s">
        <v>13228</v>
      </c>
      <c r="K32" s="127" t="s">
        <v>10116</v>
      </c>
      <c r="L32" s="127" t="s">
        <v>13538</v>
      </c>
      <c r="M32" s="127" t="s">
        <v>10117</v>
      </c>
      <c r="N32" s="127" t="s">
        <v>10118</v>
      </c>
      <c r="O32" s="127" t="s">
        <v>13848</v>
      </c>
      <c r="P32" s="127" t="s">
        <v>14158</v>
      </c>
      <c r="Q32" s="127" t="s">
        <v>14468</v>
      </c>
    </row>
    <row r="33" spans="1:17" x14ac:dyDescent="0.35">
      <c r="A33" s="127" t="s">
        <v>6063</v>
      </c>
      <c r="C33" s="127" t="s">
        <v>10119</v>
      </c>
      <c r="D33" s="127" t="s">
        <v>12919</v>
      </c>
      <c r="I33" s="127" t="s">
        <v>10120</v>
      </c>
      <c r="J33" s="127" t="s">
        <v>13229</v>
      </c>
      <c r="K33" s="127" t="s">
        <v>10121</v>
      </c>
      <c r="L33" s="127" t="s">
        <v>13539</v>
      </c>
      <c r="M33" s="127" t="s">
        <v>10122</v>
      </c>
      <c r="N33" s="127" t="s">
        <v>10123</v>
      </c>
      <c r="O33" s="127" t="s">
        <v>13849</v>
      </c>
      <c r="P33" s="127" t="s">
        <v>14159</v>
      </c>
      <c r="Q33" s="127" t="s">
        <v>14469</v>
      </c>
    </row>
    <row r="34" spans="1:17" x14ac:dyDescent="0.35">
      <c r="A34" s="127" t="s">
        <v>6063</v>
      </c>
      <c r="C34" s="127" t="s">
        <v>10124</v>
      </c>
      <c r="D34" s="127" t="s">
        <v>12920</v>
      </c>
      <c r="I34" s="127" t="s">
        <v>10125</v>
      </c>
      <c r="J34" s="127" t="s">
        <v>13230</v>
      </c>
      <c r="K34" s="127" t="s">
        <v>10126</v>
      </c>
      <c r="L34" s="127" t="s">
        <v>13540</v>
      </c>
      <c r="M34" s="127" t="s">
        <v>10127</v>
      </c>
      <c r="N34" s="127" t="s">
        <v>10128</v>
      </c>
      <c r="O34" s="127" t="s">
        <v>13850</v>
      </c>
      <c r="P34" s="127" t="s">
        <v>14160</v>
      </c>
      <c r="Q34" s="127" t="s">
        <v>14470</v>
      </c>
    </row>
    <row r="35" spans="1:17" x14ac:dyDescent="0.35">
      <c r="A35" s="127" t="s">
        <v>6063</v>
      </c>
      <c r="C35" s="127" t="s">
        <v>10129</v>
      </c>
      <c r="D35" s="127" t="s">
        <v>12921</v>
      </c>
      <c r="I35" s="127" t="s">
        <v>10130</v>
      </c>
      <c r="J35" s="127" t="s">
        <v>13231</v>
      </c>
      <c r="K35" s="127" t="s">
        <v>10131</v>
      </c>
      <c r="L35" s="127" t="s">
        <v>13541</v>
      </c>
      <c r="M35" s="127" t="s">
        <v>10132</v>
      </c>
      <c r="N35" s="127" t="s">
        <v>10133</v>
      </c>
      <c r="O35" s="127" t="s">
        <v>13851</v>
      </c>
      <c r="P35" s="127" t="s">
        <v>14161</v>
      </c>
      <c r="Q35" s="127" t="s">
        <v>14471</v>
      </c>
    </row>
    <row r="36" spans="1:17" x14ac:dyDescent="0.35">
      <c r="A36" s="127" t="s">
        <v>6063</v>
      </c>
      <c r="C36" s="127" t="s">
        <v>10134</v>
      </c>
      <c r="D36" s="127" t="s">
        <v>12922</v>
      </c>
      <c r="I36" s="127" t="s">
        <v>10135</v>
      </c>
      <c r="J36" s="127" t="s">
        <v>13232</v>
      </c>
      <c r="K36" s="127" t="s">
        <v>10136</v>
      </c>
      <c r="L36" s="127" t="s">
        <v>13542</v>
      </c>
      <c r="M36" s="127" t="s">
        <v>10137</v>
      </c>
      <c r="N36" s="127" t="s">
        <v>10138</v>
      </c>
      <c r="O36" s="127" t="s">
        <v>13852</v>
      </c>
      <c r="P36" s="127" t="s">
        <v>14162</v>
      </c>
      <c r="Q36" s="127" t="s">
        <v>14472</v>
      </c>
    </row>
    <row r="37" spans="1:17" x14ac:dyDescent="0.35">
      <c r="A37" s="127" t="s">
        <v>6063</v>
      </c>
      <c r="C37" s="127" t="s">
        <v>10139</v>
      </c>
      <c r="D37" s="127" t="s">
        <v>12923</v>
      </c>
      <c r="I37" s="127" t="s">
        <v>10140</v>
      </c>
      <c r="J37" s="127" t="s">
        <v>13233</v>
      </c>
      <c r="K37" s="127" t="s">
        <v>10141</v>
      </c>
      <c r="L37" s="127" t="s">
        <v>13543</v>
      </c>
      <c r="M37" s="127" t="s">
        <v>10142</v>
      </c>
      <c r="N37" s="127" t="s">
        <v>10143</v>
      </c>
      <c r="O37" s="127" t="s">
        <v>13853</v>
      </c>
      <c r="P37" s="127" t="s">
        <v>14163</v>
      </c>
      <c r="Q37" s="127" t="s">
        <v>14473</v>
      </c>
    </row>
    <row r="38" spans="1:17" x14ac:dyDescent="0.35">
      <c r="A38" s="127" t="s">
        <v>6063</v>
      </c>
      <c r="C38" s="127" t="s">
        <v>10144</v>
      </c>
      <c r="D38" s="127" t="s">
        <v>12924</v>
      </c>
      <c r="I38" s="127" t="s">
        <v>10145</v>
      </c>
      <c r="J38" s="127" t="s">
        <v>13234</v>
      </c>
      <c r="K38" s="127" t="s">
        <v>10146</v>
      </c>
      <c r="L38" s="127" t="s">
        <v>13544</v>
      </c>
      <c r="M38" s="127" t="s">
        <v>10147</v>
      </c>
      <c r="N38" s="127" t="s">
        <v>10148</v>
      </c>
      <c r="O38" s="127" t="s">
        <v>13854</v>
      </c>
      <c r="P38" s="127" t="s">
        <v>14164</v>
      </c>
      <c r="Q38" s="127" t="s">
        <v>14474</v>
      </c>
    </row>
    <row r="39" spans="1:17" x14ac:dyDescent="0.35">
      <c r="A39" s="127" t="s">
        <v>6063</v>
      </c>
      <c r="C39" s="127" t="s">
        <v>10149</v>
      </c>
      <c r="D39" s="127" t="s">
        <v>12925</v>
      </c>
      <c r="I39" s="127" t="s">
        <v>10150</v>
      </c>
      <c r="J39" s="127" t="s">
        <v>13235</v>
      </c>
      <c r="K39" s="127" t="s">
        <v>10151</v>
      </c>
      <c r="L39" s="127" t="s">
        <v>13545</v>
      </c>
      <c r="M39" s="127" t="s">
        <v>10152</v>
      </c>
      <c r="N39" s="127" t="s">
        <v>10153</v>
      </c>
      <c r="O39" s="127" t="s">
        <v>13855</v>
      </c>
      <c r="P39" s="127" t="s">
        <v>14165</v>
      </c>
      <c r="Q39" s="127" t="s">
        <v>14475</v>
      </c>
    </row>
    <row r="40" spans="1:17" x14ac:dyDescent="0.35">
      <c r="A40" s="127" t="s">
        <v>6063</v>
      </c>
      <c r="C40" s="127" t="s">
        <v>10154</v>
      </c>
      <c r="D40" s="127" t="s">
        <v>12926</v>
      </c>
      <c r="I40" s="127" t="s">
        <v>10155</v>
      </c>
      <c r="J40" s="127" t="s">
        <v>13236</v>
      </c>
      <c r="K40" s="127" t="s">
        <v>10156</v>
      </c>
      <c r="L40" s="127" t="s">
        <v>13546</v>
      </c>
      <c r="M40" s="127" t="s">
        <v>10157</v>
      </c>
      <c r="N40" s="127" t="s">
        <v>10158</v>
      </c>
      <c r="O40" s="127" t="s">
        <v>13856</v>
      </c>
      <c r="P40" s="127" t="s">
        <v>14166</v>
      </c>
      <c r="Q40" s="127" t="s">
        <v>14476</v>
      </c>
    </row>
    <row r="41" spans="1:17" x14ac:dyDescent="0.35">
      <c r="A41" s="127" t="s">
        <v>6063</v>
      </c>
      <c r="C41" s="127" t="s">
        <v>10159</v>
      </c>
      <c r="D41" s="127" t="s">
        <v>12927</v>
      </c>
      <c r="I41" s="127" t="s">
        <v>10160</v>
      </c>
      <c r="J41" s="127" t="s">
        <v>13237</v>
      </c>
      <c r="K41" s="127" t="s">
        <v>10161</v>
      </c>
      <c r="L41" s="127" t="s">
        <v>13547</v>
      </c>
      <c r="M41" s="127" t="s">
        <v>10162</v>
      </c>
      <c r="N41" s="127" t="s">
        <v>10163</v>
      </c>
      <c r="O41" s="127" t="s">
        <v>13857</v>
      </c>
      <c r="P41" s="127" t="s">
        <v>14167</v>
      </c>
      <c r="Q41" s="127" t="s">
        <v>14477</v>
      </c>
    </row>
    <row r="42" spans="1:17" x14ac:dyDescent="0.35">
      <c r="A42" s="127" t="s">
        <v>6063</v>
      </c>
      <c r="C42" s="127" t="s">
        <v>10164</v>
      </c>
      <c r="D42" s="127" t="s">
        <v>12928</v>
      </c>
      <c r="I42" s="127" t="s">
        <v>10165</v>
      </c>
      <c r="J42" s="127" t="s">
        <v>13238</v>
      </c>
      <c r="K42" s="127" t="s">
        <v>10166</v>
      </c>
      <c r="L42" s="127" t="s">
        <v>13548</v>
      </c>
      <c r="M42" s="127" t="s">
        <v>10167</v>
      </c>
      <c r="N42" s="127" t="s">
        <v>10168</v>
      </c>
      <c r="O42" s="127" t="s">
        <v>13858</v>
      </c>
      <c r="P42" s="127" t="s">
        <v>14168</v>
      </c>
      <c r="Q42" s="127" t="s">
        <v>14478</v>
      </c>
    </row>
    <row r="43" spans="1:17" x14ac:dyDescent="0.35">
      <c r="A43" s="127" t="s">
        <v>6063</v>
      </c>
      <c r="C43" s="127" t="s">
        <v>10169</v>
      </c>
      <c r="D43" s="127" t="s">
        <v>12929</v>
      </c>
      <c r="I43" s="127" t="s">
        <v>10170</v>
      </c>
      <c r="J43" s="127" t="s">
        <v>13239</v>
      </c>
      <c r="K43" s="127" t="s">
        <v>10171</v>
      </c>
      <c r="L43" s="127" t="s">
        <v>13549</v>
      </c>
      <c r="M43" s="127" t="s">
        <v>10172</v>
      </c>
      <c r="N43" s="127" t="s">
        <v>10173</v>
      </c>
      <c r="O43" s="127" t="s">
        <v>13859</v>
      </c>
      <c r="P43" s="127" t="s">
        <v>14169</v>
      </c>
      <c r="Q43" s="127" t="s">
        <v>14479</v>
      </c>
    </row>
    <row r="44" spans="1:17" x14ac:dyDescent="0.35">
      <c r="A44" s="127" t="s">
        <v>6063</v>
      </c>
      <c r="C44" s="127" t="s">
        <v>10174</v>
      </c>
      <c r="D44" s="127" t="s">
        <v>12930</v>
      </c>
      <c r="I44" s="127" t="s">
        <v>10175</v>
      </c>
      <c r="J44" s="127" t="s">
        <v>13240</v>
      </c>
      <c r="K44" s="127" t="s">
        <v>10176</v>
      </c>
      <c r="L44" s="127" t="s">
        <v>13550</v>
      </c>
      <c r="M44" s="127" t="s">
        <v>10177</v>
      </c>
      <c r="N44" s="127" t="s">
        <v>10178</v>
      </c>
      <c r="O44" s="127" t="s">
        <v>13860</v>
      </c>
      <c r="P44" s="127" t="s">
        <v>14170</v>
      </c>
      <c r="Q44" s="127" t="s">
        <v>14480</v>
      </c>
    </row>
    <row r="45" spans="1:17" x14ac:dyDescent="0.35">
      <c r="A45" s="127" t="s">
        <v>6063</v>
      </c>
      <c r="C45" s="127" t="s">
        <v>10179</v>
      </c>
      <c r="D45" s="127" t="s">
        <v>12931</v>
      </c>
      <c r="I45" s="127" t="s">
        <v>10180</v>
      </c>
      <c r="J45" s="127" t="s">
        <v>13241</v>
      </c>
      <c r="K45" s="127" t="s">
        <v>10181</v>
      </c>
      <c r="L45" s="127" t="s">
        <v>13551</v>
      </c>
      <c r="M45" s="127" t="s">
        <v>10182</v>
      </c>
      <c r="N45" s="127" t="s">
        <v>10183</v>
      </c>
      <c r="O45" s="127" t="s">
        <v>13861</v>
      </c>
      <c r="P45" s="127" t="s">
        <v>14171</v>
      </c>
      <c r="Q45" s="127" t="s">
        <v>14481</v>
      </c>
    </row>
    <row r="46" spans="1:17" x14ac:dyDescent="0.35">
      <c r="A46" s="127" t="s">
        <v>6063</v>
      </c>
      <c r="C46" s="127" t="s">
        <v>10184</v>
      </c>
      <c r="D46" s="127" t="s">
        <v>12932</v>
      </c>
      <c r="I46" s="127" t="s">
        <v>10185</v>
      </c>
      <c r="J46" s="127" t="s">
        <v>13242</v>
      </c>
      <c r="K46" s="127" t="s">
        <v>10186</v>
      </c>
      <c r="L46" s="127" t="s">
        <v>13552</v>
      </c>
      <c r="M46" s="127" t="s">
        <v>10187</v>
      </c>
      <c r="N46" s="127" t="s">
        <v>10188</v>
      </c>
      <c r="O46" s="127" t="s">
        <v>13862</v>
      </c>
      <c r="P46" s="127" t="s">
        <v>14172</v>
      </c>
      <c r="Q46" s="127" t="s">
        <v>14482</v>
      </c>
    </row>
    <row r="47" spans="1:17" x14ac:dyDescent="0.35">
      <c r="A47" s="127" t="s">
        <v>6063</v>
      </c>
      <c r="C47" s="127" t="s">
        <v>10189</v>
      </c>
      <c r="D47" s="127" t="s">
        <v>12933</v>
      </c>
      <c r="I47" s="127" t="s">
        <v>10190</v>
      </c>
      <c r="J47" s="127" t="s">
        <v>13243</v>
      </c>
      <c r="K47" s="127" t="s">
        <v>10191</v>
      </c>
      <c r="L47" s="127" t="s">
        <v>13553</v>
      </c>
      <c r="M47" s="127" t="s">
        <v>10192</v>
      </c>
      <c r="N47" s="127" t="s">
        <v>10193</v>
      </c>
      <c r="O47" s="127" t="s">
        <v>13863</v>
      </c>
      <c r="P47" s="127" t="s">
        <v>14173</v>
      </c>
      <c r="Q47" s="127" t="s">
        <v>14483</v>
      </c>
    </row>
    <row r="48" spans="1:17" x14ac:dyDescent="0.35">
      <c r="A48" s="127" t="s">
        <v>6063</v>
      </c>
      <c r="C48" s="127" t="s">
        <v>10194</v>
      </c>
      <c r="D48" s="127" t="s">
        <v>12934</v>
      </c>
      <c r="I48" s="127" t="s">
        <v>10195</v>
      </c>
      <c r="J48" s="127" t="s">
        <v>13244</v>
      </c>
      <c r="K48" s="127" t="s">
        <v>10196</v>
      </c>
      <c r="L48" s="127" t="s">
        <v>13554</v>
      </c>
      <c r="M48" s="127" t="s">
        <v>10197</v>
      </c>
      <c r="N48" s="127" t="s">
        <v>10198</v>
      </c>
      <c r="O48" s="127" t="s">
        <v>13864</v>
      </c>
      <c r="P48" s="127" t="s">
        <v>14174</v>
      </c>
      <c r="Q48" s="127" t="s">
        <v>14484</v>
      </c>
    </row>
    <row r="49" spans="1:17" x14ac:dyDescent="0.35">
      <c r="A49" s="127" t="s">
        <v>6063</v>
      </c>
      <c r="C49" s="127" t="s">
        <v>10199</v>
      </c>
      <c r="D49" s="127" t="s">
        <v>12935</v>
      </c>
      <c r="I49" s="127" t="s">
        <v>10200</v>
      </c>
      <c r="J49" s="127" t="s">
        <v>13245</v>
      </c>
      <c r="K49" s="127" t="s">
        <v>10201</v>
      </c>
      <c r="L49" s="127" t="s">
        <v>13555</v>
      </c>
      <c r="M49" s="127" t="s">
        <v>10202</v>
      </c>
      <c r="N49" s="127" t="s">
        <v>10203</v>
      </c>
      <c r="O49" s="127" t="s">
        <v>13865</v>
      </c>
      <c r="P49" s="127" t="s">
        <v>14175</v>
      </c>
      <c r="Q49" s="127" t="s">
        <v>14485</v>
      </c>
    </row>
    <row r="50" spans="1:17" x14ac:dyDescent="0.35">
      <c r="A50" s="127" t="s">
        <v>6063</v>
      </c>
      <c r="C50" s="127" t="s">
        <v>10204</v>
      </c>
      <c r="D50" s="127" t="s">
        <v>12936</v>
      </c>
      <c r="I50" s="127" t="s">
        <v>10205</v>
      </c>
      <c r="J50" s="127" t="s">
        <v>13246</v>
      </c>
      <c r="K50" s="127" t="s">
        <v>10206</v>
      </c>
      <c r="L50" s="127" t="s">
        <v>13556</v>
      </c>
      <c r="M50" s="127" t="s">
        <v>10207</v>
      </c>
      <c r="N50" s="127" t="s">
        <v>10208</v>
      </c>
      <c r="O50" s="127" t="s">
        <v>13866</v>
      </c>
      <c r="P50" s="127" t="s">
        <v>14176</v>
      </c>
      <c r="Q50" s="127" t="s">
        <v>14486</v>
      </c>
    </row>
    <row r="51" spans="1:17" x14ac:dyDescent="0.35">
      <c r="A51" s="127" t="s">
        <v>6063</v>
      </c>
      <c r="C51" s="127" t="s">
        <v>10209</v>
      </c>
      <c r="D51" s="127" t="s">
        <v>12937</v>
      </c>
      <c r="I51" s="127" t="s">
        <v>10210</v>
      </c>
      <c r="J51" s="127" t="s">
        <v>13247</v>
      </c>
      <c r="K51" s="127" t="s">
        <v>10211</v>
      </c>
      <c r="L51" s="127" t="s">
        <v>13557</v>
      </c>
      <c r="M51" s="127" t="s">
        <v>10212</v>
      </c>
      <c r="N51" s="127" t="s">
        <v>10213</v>
      </c>
      <c r="O51" s="127" t="s">
        <v>13867</v>
      </c>
      <c r="P51" s="127" t="s">
        <v>14177</v>
      </c>
      <c r="Q51" s="127" t="s">
        <v>14487</v>
      </c>
    </row>
    <row r="52" spans="1:17" x14ac:dyDescent="0.35">
      <c r="A52" s="127" t="s">
        <v>6063</v>
      </c>
      <c r="C52" s="127" t="s">
        <v>10214</v>
      </c>
      <c r="D52" s="127" t="s">
        <v>12938</v>
      </c>
      <c r="I52" s="127" t="s">
        <v>10215</v>
      </c>
      <c r="J52" s="127" t="s">
        <v>13248</v>
      </c>
      <c r="K52" s="127" t="s">
        <v>10216</v>
      </c>
      <c r="L52" s="127" t="s">
        <v>13558</v>
      </c>
      <c r="M52" s="127" t="s">
        <v>10217</v>
      </c>
      <c r="N52" s="127" t="s">
        <v>10218</v>
      </c>
      <c r="O52" s="127" t="s">
        <v>13868</v>
      </c>
      <c r="P52" s="127" t="s">
        <v>14178</v>
      </c>
      <c r="Q52" s="127" t="s">
        <v>14488</v>
      </c>
    </row>
    <row r="53" spans="1:17" x14ac:dyDescent="0.35">
      <c r="A53" s="127" t="s">
        <v>6063</v>
      </c>
      <c r="C53" s="127" t="s">
        <v>10219</v>
      </c>
      <c r="D53" s="127" t="s">
        <v>12939</v>
      </c>
      <c r="I53" s="127" t="s">
        <v>10220</v>
      </c>
      <c r="J53" s="127" t="s">
        <v>13249</v>
      </c>
      <c r="K53" s="127" t="s">
        <v>10221</v>
      </c>
      <c r="L53" s="127" t="s">
        <v>13559</v>
      </c>
      <c r="M53" s="127" t="s">
        <v>10222</v>
      </c>
      <c r="N53" s="127" t="s">
        <v>10223</v>
      </c>
      <c r="O53" s="127" t="s">
        <v>13869</v>
      </c>
      <c r="P53" s="127" t="s">
        <v>14179</v>
      </c>
      <c r="Q53" s="127" t="s">
        <v>14489</v>
      </c>
    </row>
    <row r="54" spans="1:17" x14ac:dyDescent="0.35">
      <c r="A54" s="127" t="s">
        <v>6063</v>
      </c>
      <c r="C54" s="127" t="s">
        <v>10224</v>
      </c>
      <c r="D54" s="127" t="s">
        <v>12940</v>
      </c>
      <c r="I54" s="127" t="s">
        <v>10225</v>
      </c>
      <c r="J54" s="127" t="s">
        <v>13250</v>
      </c>
      <c r="K54" s="127" t="s">
        <v>10226</v>
      </c>
      <c r="L54" s="127" t="s">
        <v>13560</v>
      </c>
      <c r="M54" s="127" t="s">
        <v>10227</v>
      </c>
      <c r="N54" s="127" t="s">
        <v>10228</v>
      </c>
      <c r="O54" s="127" t="s">
        <v>13870</v>
      </c>
      <c r="P54" s="127" t="s">
        <v>14180</v>
      </c>
      <c r="Q54" s="127" t="s">
        <v>14490</v>
      </c>
    </row>
    <row r="55" spans="1:17" x14ac:dyDescent="0.35">
      <c r="A55" s="127" t="s">
        <v>6063</v>
      </c>
      <c r="C55" s="127" t="s">
        <v>10229</v>
      </c>
      <c r="D55" s="127" t="s">
        <v>12941</v>
      </c>
      <c r="I55" s="127" t="s">
        <v>10230</v>
      </c>
      <c r="J55" s="127" t="s">
        <v>13251</v>
      </c>
      <c r="K55" s="127" t="s">
        <v>10231</v>
      </c>
      <c r="L55" s="127" t="s">
        <v>13561</v>
      </c>
      <c r="M55" s="127" t="s">
        <v>10232</v>
      </c>
      <c r="N55" s="127" t="s">
        <v>10233</v>
      </c>
      <c r="O55" s="127" t="s">
        <v>13871</v>
      </c>
      <c r="P55" s="127" t="s">
        <v>14181</v>
      </c>
      <c r="Q55" s="127" t="s">
        <v>14491</v>
      </c>
    </row>
    <row r="56" spans="1:17" x14ac:dyDescent="0.35">
      <c r="A56" s="127" t="s">
        <v>6063</v>
      </c>
      <c r="C56" s="127" t="s">
        <v>10234</v>
      </c>
      <c r="D56" s="127" t="s">
        <v>12942</v>
      </c>
      <c r="I56" s="127" t="s">
        <v>10235</v>
      </c>
      <c r="J56" s="127" t="s">
        <v>13252</v>
      </c>
      <c r="K56" s="127" t="s">
        <v>10236</v>
      </c>
      <c r="L56" s="127" t="s">
        <v>13562</v>
      </c>
      <c r="M56" s="127" t="s">
        <v>10237</v>
      </c>
      <c r="N56" s="127" t="s">
        <v>10238</v>
      </c>
      <c r="O56" s="127" t="s">
        <v>13872</v>
      </c>
      <c r="P56" s="127" t="s">
        <v>14182</v>
      </c>
      <c r="Q56" s="127" t="s">
        <v>14492</v>
      </c>
    </row>
    <row r="57" spans="1:17" x14ac:dyDescent="0.35">
      <c r="A57" s="127" t="s">
        <v>6063</v>
      </c>
      <c r="C57" s="127" t="s">
        <v>10239</v>
      </c>
      <c r="D57" s="127" t="s">
        <v>12943</v>
      </c>
      <c r="I57" s="127" t="s">
        <v>10240</v>
      </c>
      <c r="J57" s="127" t="s">
        <v>13253</v>
      </c>
      <c r="K57" s="127" t="s">
        <v>10241</v>
      </c>
      <c r="L57" s="127" t="s">
        <v>13563</v>
      </c>
      <c r="M57" s="127" t="s">
        <v>10242</v>
      </c>
      <c r="N57" s="127" t="s">
        <v>10243</v>
      </c>
      <c r="O57" s="127" t="s">
        <v>13873</v>
      </c>
      <c r="P57" s="127" t="s">
        <v>14183</v>
      </c>
      <c r="Q57" s="127" t="s">
        <v>14493</v>
      </c>
    </row>
    <row r="58" spans="1:17" x14ac:dyDescent="0.35">
      <c r="A58" s="127" t="s">
        <v>6063</v>
      </c>
      <c r="C58" s="127" t="s">
        <v>10244</v>
      </c>
      <c r="D58" s="127" t="s">
        <v>12944</v>
      </c>
      <c r="I58" s="127" t="s">
        <v>10245</v>
      </c>
      <c r="J58" s="127" t="s">
        <v>13254</v>
      </c>
      <c r="K58" s="127" t="s">
        <v>10246</v>
      </c>
      <c r="L58" s="127" t="s">
        <v>13564</v>
      </c>
      <c r="M58" s="127" t="s">
        <v>10247</v>
      </c>
      <c r="N58" s="127" t="s">
        <v>10248</v>
      </c>
      <c r="O58" s="127" t="s">
        <v>13874</v>
      </c>
      <c r="P58" s="127" t="s">
        <v>14184</v>
      </c>
      <c r="Q58" s="127" t="s">
        <v>14494</v>
      </c>
    </row>
    <row r="59" spans="1:17" x14ac:dyDescent="0.35">
      <c r="A59" s="127" t="s">
        <v>6063</v>
      </c>
      <c r="C59" s="127" t="s">
        <v>10249</v>
      </c>
      <c r="D59" s="127" t="s">
        <v>12945</v>
      </c>
      <c r="I59" s="127" t="s">
        <v>10250</v>
      </c>
      <c r="J59" s="127" t="s">
        <v>13255</v>
      </c>
      <c r="K59" s="127" t="s">
        <v>10251</v>
      </c>
      <c r="L59" s="127" t="s">
        <v>13565</v>
      </c>
      <c r="M59" s="127" t="s">
        <v>10252</v>
      </c>
      <c r="N59" s="127" t="s">
        <v>10253</v>
      </c>
      <c r="O59" s="127" t="s">
        <v>13875</v>
      </c>
      <c r="P59" s="127" t="s">
        <v>14185</v>
      </c>
      <c r="Q59" s="127" t="s">
        <v>14495</v>
      </c>
    </row>
    <row r="60" spans="1:17" x14ac:dyDescent="0.35">
      <c r="A60" s="127" t="s">
        <v>6063</v>
      </c>
      <c r="C60" s="127" t="s">
        <v>10254</v>
      </c>
      <c r="D60" s="127" t="s">
        <v>12946</v>
      </c>
      <c r="I60" s="127" t="s">
        <v>10255</v>
      </c>
      <c r="J60" s="127" t="s">
        <v>13256</v>
      </c>
      <c r="K60" s="127" t="s">
        <v>10256</v>
      </c>
      <c r="L60" s="127" t="s">
        <v>13566</v>
      </c>
      <c r="M60" s="127" t="s">
        <v>10257</v>
      </c>
      <c r="N60" s="127" t="s">
        <v>10258</v>
      </c>
      <c r="O60" s="127" t="s">
        <v>13876</v>
      </c>
      <c r="P60" s="127" t="s">
        <v>14186</v>
      </c>
      <c r="Q60" s="127" t="s">
        <v>14496</v>
      </c>
    </row>
    <row r="61" spans="1:17" x14ac:dyDescent="0.35">
      <c r="A61" s="127" t="s">
        <v>6063</v>
      </c>
      <c r="C61" s="127" t="s">
        <v>10259</v>
      </c>
      <c r="D61" s="127" t="s">
        <v>12947</v>
      </c>
      <c r="I61" s="127" t="s">
        <v>10260</v>
      </c>
      <c r="J61" s="127" t="s">
        <v>13257</v>
      </c>
      <c r="K61" s="127" t="s">
        <v>10261</v>
      </c>
      <c r="L61" s="127" t="s">
        <v>13567</v>
      </c>
      <c r="M61" s="127" t="s">
        <v>10262</v>
      </c>
      <c r="N61" s="127" t="s">
        <v>10263</v>
      </c>
      <c r="O61" s="127" t="s">
        <v>13877</v>
      </c>
      <c r="P61" s="127" t="s">
        <v>14187</v>
      </c>
      <c r="Q61" s="127" t="s">
        <v>14497</v>
      </c>
    </row>
    <row r="62" spans="1:17" x14ac:dyDescent="0.35">
      <c r="A62" s="127" t="s">
        <v>6063</v>
      </c>
      <c r="C62" s="127" t="s">
        <v>10264</v>
      </c>
      <c r="D62" s="127" t="s">
        <v>12948</v>
      </c>
      <c r="I62" s="127" t="s">
        <v>10265</v>
      </c>
      <c r="J62" s="127" t="s">
        <v>13258</v>
      </c>
      <c r="K62" s="127" t="s">
        <v>10266</v>
      </c>
      <c r="L62" s="127" t="s">
        <v>13568</v>
      </c>
      <c r="M62" s="127" t="s">
        <v>10267</v>
      </c>
      <c r="N62" s="127" t="s">
        <v>10268</v>
      </c>
      <c r="O62" s="127" t="s">
        <v>13878</v>
      </c>
      <c r="P62" s="127" t="s">
        <v>14188</v>
      </c>
      <c r="Q62" s="127" t="s">
        <v>14498</v>
      </c>
    </row>
    <row r="63" spans="1:17" x14ac:dyDescent="0.35">
      <c r="A63" s="127" t="s">
        <v>6063</v>
      </c>
      <c r="C63" s="127" t="s">
        <v>10269</v>
      </c>
      <c r="D63" s="127" t="s">
        <v>12949</v>
      </c>
      <c r="I63" s="127" t="s">
        <v>10270</v>
      </c>
      <c r="J63" s="127" t="s">
        <v>13259</v>
      </c>
      <c r="K63" s="127" t="s">
        <v>10271</v>
      </c>
      <c r="L63" s="127" t="s">
        <v>13569</v>
      </c>
      <c r="M63" s="127" t="s">
        <v>10272</v>
      </c>
      <c r="N63" s="127" t="s">
        <v>10273</v>
      </c>
      <c r="O63" s="127" t="s">
        <v>13879</v>
      </c>
      <c r="P63" s="127" t="s">
        <v>14189</v>
      </c>
      <c r="Q63" s="127" t="s">
        <v>14499</v>
      </c>
    </row>
    <row r="64" spans="1:17" x14ac:dyDescent="0.35">
      <c r="A64" s="127" t="s">
        <v>6063</v>
      </c>
      <c r="C64" s="127" t="s">
        <v>10274</v>
      </c>
      <c r="D64" s="127" t="s">
        <v>12950</v>
      </c>
      <c r="I64" s="127" t="s">
        <v>10275</v>
      </c>
      <c r="J64" s="127" t="s">
        <v>13260</v>
      </c>
      <c r="K64" s="127" t="s">
        <v>10276</v>
      </c>
      <c r="L64" s="127" t="s">
        <v>13570</v>
      </c>
      <c r="M64" s="127" t="s">
        <v>10277</v>
      </c>
      <c r="N64" s="127" t="s">
        <v>10278</v>
      </c>
      <c r="O64" s="127" t="s">
        <v>13880</v>
      </c>
      <c r="P64" s="127" t="s">
        <v>14190</v>
      </c>
      <c r="Q64" s="127" t="s">
        <v>14500</v>
      </c>
    </row>
    <row r="65" spans="1:17" x14ac:dyDescent="0.35">
      <c r="A65" s="127" t="s">
        <v>6063</v>
      </c>
      <c r="C65" s="127" t="s">
        <v>10279</v>
      </c>
      <c r="D65" s="127" t="s">
        <v>12951</v>
      </c>
      <c r="I65" s="127" t="s">
        <v>10280</v>
      </c>
      <c r="J65" s="127" t="s">
        <v>13261</v>
      </c>
      <c r="K65" s="127" t="s">
        <v>10281</v>
      </c>
      <c r="L65" s="127" t="s">
        <v>13571</v>
      </c>
      <c r="M65" s="127" t="s">
        <v>10282</v>
      </c>
      <c r="N65" s="127" t="s">
        <v>10283</v>
      </c>
      <c r="O65" s="127" t="s">
        <v>13881</v>
      </c>
      <c r="P65" s="127" t="s">
        <v>14191</v>
      </c>
      <c r="Q65" s="127" t="s">
        <v>14501</v>
      </c>
    </row>
    <row r="66" spans="1:17" x14ac:dyDescent="0.35">
      <c r="A66" s="127" t="s">
        <v>6063</v>
      </c>
      <c r="C66" s="127" t="s">
        <v>10284</v>
      </c>
      <c r="D66" s="127" t="s">
        <v>12952</v>
      </c>
      <c r="I66" s="127" t="s">
        <v>10285</v>
      </c>
      <c r="J66" s="127" t="s">
        <v>13262</v>
      </c>
      <c r="K66" s="127" t="s">
        <v>10286</v>
      </c>
      <c r="L66" s="127" t="s">
        <v>13572</v>
      </c>
      <c r="M66" s="127" t="s">
        <v>10287</v>
      </c>
      <c r="N66" s="127" t="s">
        <v>10288</v>
      </c>
      <c r="O66" s="127" t="s">
        <v>13882</v>
      </c>
      <c r="P66" s="127" t="s">
        <v>14192</v>
      </c>
      <c r="Q66" s="127" t="s">
        <v>14502</v>
      </c>
    </row>
    <row r="67" spans="1:17" x14ac:dyDescent="0.35">
      <c r="A67" s="127" t="s">
        <v>6063</v>
      </c>
      <c r="C67" s="127" t="s">
        <v>10289</v>
      </c>
      <c r="D67" s="127" t="s">
        <v>12953</v>
      </c>
      <c r="I67" s="127" t="s">
        <v>10290</v>
      </c>
      <c r="J67" s="127" t="s">
        <v>13263</v>
      </c>
      <c r="K67" s="127" t="s">
        <v>10291</v>
      </c>
      <c r="L67" s="127" t="s">
        <v>13573</v>
      </c>
      <c r="M67" s="127" t="s">
        <v>10292</v>
      </c>
      <c r="N67" s="127" t="s">
        <v>10293</v>
      </c>
      <c r="O67" s="127" t="s">
        <v>13883</v>
      </c>
      <c r="P67" s="127" t="s">
        <v>14193</v>
      </c>
      <c r="Q67" s="127" t="s">
        <v>14503</v>
      </c>
    </row>
    <row r="68" spans="1:17" x14ac:dyDescent="0.35">
      <c r="A68" s="127" t="s">
        <v>6063</v>
      </c>
      <c r="C68" s="127" t="s">
        <v>10294</v>
      </c>
      <c r="D68" s="127" t="s">
        <v>12954</v>
      </c>
      <c r="I68" s="127" t="s">
        <v>10295</v>
      </c>
      <c r="J68" s="127" t="s">
        <v>13264</v>
      </c>
      <c r="K68" s="127" t="s">
        <v>10296</v>
      </c>
      <c r="L68" s="127" t="s">
        <v>13574</v>
      </c>
      <c r="M68" s="127" t="s">
        <v>10297</v>
      </c>
      <c r="N68" s="127" t="s">
        <v>10298</v>
      </c>
      <c r="O68" s="127" t="s">
        <v>13884</v>
      </c>
      <c r="P68" s="127" t="s">
        <v>14194</v>
      </c>
      <c r="Q68" s="127" t="s">
        <v>14504</v>
      </c>
    </row>
    <row r="69" spans="1:17" x14ac:dyDescent="0.35">
      <c r="A69" s="127" t="s">
        <v>6063</v>
      </c>
      <c r="C69" s="127" t="s">
        <v>10299</v>
      </c>
      <c r="D69" s="127" t="s">
        <v>12955</v>
      </c>
      <c r="I69" s="127" t="s">
        <v>10300</v>
      </c>
      <c r="J69" s="127" t="s">
        <v>13265</v>
      </c>
      <c r="K69" s="127" t="s">
        <v>10301</v>
      </c>
      <c r="L69" s="127" t="s">
        <v>13575</v>
      </c>
      <c r="M69" s="127" t="s">
        <v>10302</v>
      </c>
      <c r="N69" s="127" t="s">
        <v>10303</v>
      </c>
      <c r="O69" s="127" t="s">
        <v>13885</v>
      </c>
      <c r="P69" s="127" t="s">
        <v>14195</v>
      </c>
      <c r="Q69" s="127" t="s">
        <v>14505</v>
      </c>
    </row>
    <row r="70" spans="1:17" x14ac:dyDescent="0.35">
      <c r="A70" s="127" t="s">
        <v>6063</v>
      </c>
      <c r="C70" s="127" t="s">
        <v>10304</v>
      </c>
      <c r="D70" s="127" t="s">
        <v>12956</v>
      </c>
      <c r="I70" s="127" t="s">
        <v>10305</v>
      </c>
      <c r="J70" s="127" t="s">
        <v>13266</v>
      </c>
      <c r="K70" s="127" t="s">
        <v>10306</v>
      </c>
      <c r="L70" s="127" t="s">
        <v>13576</v>
      </c>
      <c r="M70" s="127" t="s">
        <v>10307</v>
      </c>
      <c r="N70" s="127" t="s">
        <v>10308</v>
      </c>
      <c r="O70" s="127" t="s">
        <v>13886</v>
      </c>
      <c r="P70" s="127" t="s">
        <v>14196</v>
      </c>
      <c r="Q70" s="127" t="s">
        <v>14506</v>
      </c>
    </row>
    <row r="71" spans="1:17" x14ac:dyDescent="0.35">
      <c r="A71" s="127" t="s">
        <v>6063</v>
      </c>
      <c r="C71" s="127" t="s">
        <v>10309</v>
      </c>
      <c r="D71" s="127" t="s">
        <v>12957</v>
      </c>
      <c r="I71" s="127" t="s">
        <v>10310</v>
      </c>
      <c r="J71" s="127" t="s">
        <v>13267</v>
      </c>
      <c r="K71" s="127" t="s">
        <v>10311</v>
      </c>
      <c r="L71" s="127" t="s">
        <v>13577</v>
      </c>
      <c r="M71" s="127" t="s">
        <v>10312</v>
      </c>
      <c r="N71" s="127" t="s">
        <v>10313</v>
      </c>
      <c r="O71" s="127" t="s">
        <v>13887</v>
      </c>
      <c r="P71" s="127" t="s">
        <v>14197</v>
      </c>
      <c r="Q71" s="127" t="s">
        <v>14507</v>
      </c>
    </row>
    <row r="72" spans="1:17" x14ac:dyDescent="0.35">
      <c r="A72" s="127" t="s">
        <v>6063</v>
      </c>
      <c r="C72" s="127" t="s">
        <v>10314</v>
      </c>
      <c r="D72" s="127" t="s">
        <v>12958</v>
      </c>
      <c r="I72" s="127" t="s">
        <v>10315</v>
      </c>
      <c r="J72" s="127" t="s">
        <v>13268</v>
      </c>
      <c r="K72" s="127" t="s">
        <v>10316</v>
      </c>
      <c r="L72" s="127" t="s">
        <v>13578</v>
      </c>
      <c r="M72" s="127" t="s">
        <v>10317</v>
      </c>
      <c r="N72" s="127" t="s">
        <v>10318</v>
      </c>
      <c r="O72" s="127" t="s">
        <v>13888</v>
      </c>
      <c r="P72" s="127" t="s">
        <v>14198</v>
      </c>
      <c r="Q72" s="127" t="s">
        <v>14508</v>
      </c>
    </row>
    <row r="73" spans="1:17" x14ac:dyDescent="0.35">
      <c r="A73" s="127" t="s">
        <v>6063</v>
      </c>
      <c r="C73" s="127" t="s">
        <v>10319</v>
      </c>
      <c r="D73" s="127" t="s">
        <v>12959</v>
      </c>
      <c r="I73" s="127" t="s">
        <v>10320</v>
      </c>
      <c r="J73" s="127" t="s">
        <v>13269</v>
      </c>
      <c r="K73" s="127" t="s">
        <v>10321</v>
      </c>
      <c r="L73" s="127" t="s">
        <v>13579</v>
      </c>
      <c r="M73" s="127" t="s">
        <v>10322</v>
      </c>
      <c r="N73" s="127" t="s">
        <v>10323</v>
      </c>
      <c r="O73" s="127" t="s">
        <v>13889</v>
      </c>
      <c r="P73" s="127" t="s">
        <v>14199</v>
      </c>
      <c r="Q73" s="127" t="s">
        <v>14509</v>
      </c>
    </row>
    <row r="74" spans="1:17" x14ac:dyDescent="0.35">
      <c r="A74" s="127" t="s">
        <v>6063</v>
      </c>
      <c r="C74" s="127" t="s">
        <v>10324</v>
      </c>
      <c r="D74" s="127" t="s">
        <v>12960</v>
      </c>
      <c r="I74" s="127" t="s">
        <v>10325</v>
      </c>
      <c r="J74" s="127" t="s">
        <v>13270</v>
      </c>
      <c r="K74" s="127" t="s">
        <v>10326</v>
      </c>
      <c r="L74" s="127" t="s">
        <v>13580</v>
      </c>
      <c r="M74" s="127" t="s">
        <v>10327</v>
      </c>
      <c r="N74" s="127" t="s">
        <v>10328</v>
      </c>
      <c r="O74" s="127" t="s">
        <v>13890</v>
      </c>
      <c r="P74" s="127" t="s">
        <v>14200</v>
      </c>
      <c r="Q74" s="127" t="s">
        <v>14510</v>
      </c>
    </row>
    <row r="75" spans="1:17" x14ac:dyDescent="0.35">
      <c r="A75" s="127" t="s">
        <v>6063</v>
      </c>
      <c r="C75" s="127" t="s">
        <v>10329</v>
      </c>
      <c r="D75" s="127" t="s">
        <v>12961</v>
      </c>
      <c r="I75" s="127" t="s">
        <v>10330</v>
      </c>
      <c r="J75" s="127" t="s">
        <v>13271</v>
      </c>
      <c r="K75" s="127" t="s">
        <v>10331</v>
      </c>
      <c r="L75" s="127" t="s">
        <v>13581</v>
      </c>
      <c r="M75" s="127" t="s">
        <v>10332</v>
      </c>
      <c r="N75" s="127" t="s">
        <v>10333</v>
      </c>
      <c r="O75" s="127" t="s">
        <v>13891</v>
      </c>
      <c r="P75" s="127" t="s">
        <v>14201</v>
      </c>
      <c r="Q75" s="127" t="s">
        <v>14511</v>
      </c>
    </row>
    <row r="76" spans="1:17" x14ac:dyDescent="0.35">
      <c r="A76" s="127" t="s">
        <v>6063</v>
      </c>
      <c r="C76" s="127" t="s">
        <v>10334</v>
      </c>
      <c r="D76" s="127" t="s">
        <v>12962</v>
      </c>
      <c r="I76" s="127" t="s">
        <v>10335</v>
      </c>
      <c r="J76" s="127" t="s">
        <v>13272</v>
      </c>
      <c r="K76" s="127" t="s">
        <v>10336</v>
      </c>
      <c r="L76" s="127" t="s">
        <v>13582</v>
      </c>
      <c r="M76" s="127" t="s">
        <v>10337</v>
      </c>
      <c r="N76" s="127" t="s">
        <v>10338</v>
      </c>
      <c r="O76" s="127" t="s">
        <v>13892</v>
      </c>
      <c r="P76" s="127" t="s">
        <v>14202</v>
      </c>
      <c r="Q76" s="127" t="s">
        <v>14512</v>
      </c>
    </row>
    <row r="77" spans="1:17" x14ac:dyDescent="0.35">
      <c r="A77" s="127" t="s">
        <v>6063</v>
      </c>
      <c r="C77" s="127" t="s">
        <v>10339</v>
      </c>
      <c r="D77" s="127" t="s">
        <v>12963</v>
      </c>
      <c r="I77" s="127" t="s">
        <v>10340</v>
      </c>
      <c r="J77" s="127" t="s">
        <v>13273</v>
      </c>
      <c r="K77" s="127" t="s">
        <v>10341</v>
      </c>
      <c r="L77" s="127" t="s">
        <v>13583</v>
      </c>
      <c r="M77" s="127" t="s">
        <v>10342</v>
      </c>
      <c r="N77" s="127" t="s">
        <v>10343</v>
      </c>
      <c r="O77" s="127" t="s">
        <v>13893</v>
      </c>
      <c r="P77" s="127" t="s">
        <v>14203</v>
      </c>
      <c r="Q77" s="127" t="s">
        <v>14513</v>
      </c>
    </row>
    <row r="78" spans="1:17" x14ac:dyDescent="0.35">
      <c r="A78" s="127" t="s">
        <v>6063</v>
      </c>
      <c r="C78" s="127" t="s">
        <v>10344</v>
      </c>
      <c r="D78" s="127" t="s">
        <v>12964</v>
      </c>
      <c r="I78" s="127" t="s">
        <v>10345</v>
      </c>
      <c r="J78" s="127" t="s">
        <v>13274</v>
      </c>
      <c r="K78" s="127" t="s">
        <v>10346</v>
      </c>
      <c r="L78" s="127" t="s">
        <v>13584</v>
      </c>
      <c r="M78" s="127" t="s">
        <v>10347</v>
      </c>
      <c r="N78" s="127" t="s">
        <v>10348</v>
      </c>
      <c r="O78" s="127" t="s">
        <v>13894</v>
      </c>
      <c r="P78" s="127" t="s">
        <v>14204</v>
      </c>
      <c r="Q78" s="127" t="s">
        <v>14514</v>
      </c>
    </row>
    <row r="79" spans="1:17" x14ac:dyDescent="0.35">
      <c r="A79" s="127" t="s">
        <v>6063</v>
      </c>
      <c r="C79" s="127" t="s">
        <v>10349</v>
      </c>
      <c r="D79" s="127" t="s">
        <v>12965</v>
      </c>
      <c r="I79" s="127" t="s">
        <v>10350</v>
      </c>
      <c r="J79" s="127" t="s">
        <v>13275</v>
      </c>
      <c r="K79" s="127" t="s">
        <v>10351</v>
      </c>
      <c r="L79" s="127" t="s">
        <v>13585</v>
      </c>
      <c r="M79" s="127" t="s">
        <v>10352</v>
      </c>
      <c r="N79" s="127" t="s">
        <v>10353</v>
      </c>
      <c r="O79" s="127" t="s">
        <v>13895</v>
      </c>
      <c r="P79" s="127" t="s">
        <v>14205</v>
      </c>
      <c r="Q79" s="127" t="s">
        <v>14515</v>
      </c>
    </row>
    <row r="80" spans="1:17" x14ac:dyDescent="0.35">
      <c r="A80" s="127" t="s">
        <v>6063</v>
      </c>
      <c r="C80" s="127" t="s">
        <v>10354</v>
      </c>
      <c r="D80" s="127" t="s">
        <v>12966</v>
      </c>
      <c r="I80" s="127" t="s">
        <v>10355</v>
      </c>
      <c r="J80" s="127" t="s">
        <v>13276</v>
      </c>
      <c r="K80" s="127" t="s">
        <v>10356</v>
      </c>
      <c r="L80" s="127" t="s">
        <v>13586</v>
      </c>
      <c r="M80" s="127" t="s">
        <v>10357</v>
      </c>
      <c r="N80" s="127" t="s">
        <v>10358</v>
      </c>
      <c r="O80" s="127" t="s">
        <v>13896</v>
      </c>
      <c r="P80" s="127" t="s">
        <v>14206</v>
      </c>
      <c r="Q80" s="127" t="s">
        <v>14516</v>
      </c>
    </row>
    <row r="81" spans="1:17" x14ac:dyDescent="0.35">
      <c r="A81" s="127" t="s">
        <v>6063</v>
      </c>
      <c r="C81" s="127" t="s">
        <v>10359</v>
      </c>
      <c r="D81" s="127" t="s">
        <v>12967</v>
      </c>
      <c r="I81" s="127" t="s">
        <v>10360</v>
      </c>
      <c r="J81" s="127" t="s">
        <v>13277</v>
      </c>
      <c r="K81" s="127" t="s">
        <v>10361</v>
      </c>
      <c r="L81" s="127" t="s">
        <v>13587</v>
      </c>
      <c r="M81" s="127" t="s">
        <v>10362</v>
      </c>
      <c r="N81" s="127" t="s">
        <v>10363</v>
      </c>
      <c r="O81" s="127" t="s">
        <v>13897</v>
      </c>
      <c r="P81" s="127" t="s">
        <v>14207</v>
      </c>
      <c r="Q81" s="127" t="s">
        <v>14517</v>
      </c>
    </row>
    <row r="82" spans="1:17" x14ac:dyDescent="0.35">
      <c r="A82" s="127" t="s">
        <v>6063</v>
      </c>
      <c r="C82" s="127" t="s">
        <v>10364</v>
      </c>
      <c r="D82" s="127" t="s">
        <v>12968</v>
      </c>
      <c r="I82" s="127" t="s">
        <v>10365</v>
      </c>
      <c r="J82" s="127" t="s">
        <v>13278</v>
      </c>
      <c r="K82" s="127" t="s">
        <v>10366</v>
      </c>
      <c r="L82" s="127" t="s">
        <v>13588</v>
      </c>
      <c r="M82" s="127" t="s">
        <v>10367</v>
      </c>
      <c r="N82" s="127" t="s">
        <v>10368</v>
      </c>
      <c r="O82" s="127" t="s">
        <v>13898</v>
      </c>
      <c r="P82" s="127" t="s">
        <v>14208</v>
      </c>
      <c r="Q82" s="127" t="s">
        <v>14518</v>
      </c>
    </row>
    <row r="83" spans="1:17" x14ac:dyDescent="0.35">
      <c r="A83" s="127" t="s">
        <v>6063</v>
      </c>
      <c r="C83" s="127" t="s">
        <v>10369</v>
      </c>
      <c r="D83" s="127" t="s">
        <v>12969</v>
      </c>
      <c r="I83" s="127" t="s">
        <v>10370</v>
      </c>
      <c r="J83" s="127" t="s">
        <v>13279</v>
      </c>
      <c r="K83" s="127" t="s">
        <v>10371</v>
      </c>
      <c r="L83" s="127" t="s">
        <v>13589</v>
      </c>
      <c r="M83" s="127" t="s">
        <v>10372</v>
      </c>
      <c r="N83" s="127" t="s">
        <v>10373</v>
      </c>
      <c r="O83" s="127" t="s">
        <v>13899</v>
      </c>
      <c r="P83" s="127" t="s">
        <v>14209</v>
      </c>
      <c r="Q83" s="127" t="s">
        <v>14519</v>
      </c>
    </row>
    <row r="84" spans="1:17" x14ac:dyDescent="0.35">
      <c r="A84" s="127" t="s">
        <v>6063</v>
      </c>
      <c r="C84" s="127" t="s">
        <v>10374</v>
      </c>
      <c r="D84" s="127" t="s">
        <v>12970</v>
      </c>
      <c r="I84" s="127" t="s">
        <v>10375</v>
      </c>
      <c r="J84" s="127" t="s">
        <v>13280</v>
      </c>
      <c r="K84" s="127" t="s">
        <v>10376</v>
      </c>
      <c r="L84" s="127" t="s">
        <v>13590</v>
      </c>
      <c r="M84" s="127" t="s">
        <v>10377</v>
      </c>
      <c r="N84" s="127" t="s">
        <v>10378</v>
      </c>
      <c r="O84" s="127" t="s">
        <v>13900</v>
      </c>
      <c r="P84" s="127" t="s">
        <v>14210</v>
      </c>
      <c r="Q84" s="127" t="s">
        <v>14520</v>
      </c>
    </row>
    <row r="85" spans="1:17" x14ac:dyDescent="0.35">
      <c r="A85" s="127" t="s">
        <v>6063</v>
      </c>
      <c r="C85" s="127" t="s">
        <v>10379</v>
      </c>
      <c r="D85" s="127" t="s">
        <v>12971</v>
      </c>
      <c r="I85" s="127" t="s">
        <v>10380</v>
      </c>
      <c r="J85" s="127" t="s">
        <v>13281</v>
      </c>
      <c r="K85" s="127" t="s">
        <v>10381</v>
      </c>
      <c r="L85" s="127" t="s">
        <v>13591</v>
      </c>
      <c r="M85" s="127" t="s">
        <v>10382</v>
      </c>
      <c r="N85" s="127" t="s">
        <v>10383</v>
      </c>
      <c r="O85" s="127" t="s">
        <v>13901</v>
      </c>
      <c r="P85" s="127" t="s">
        <v>14211</v>
      </c>
      <c r="Q85" s="127" t="s">
        <v>14521</v>
      </c>
    </row>
    <row r="86" spans="1:17" x14ac:dyDescent="0.35">
      <c r="A86" s="127" t="s">
        <v>6063</v>
      </c>
      <c r="C86" s="127" t="s">
        <v>10384</v>
      </c>
      <c r="D86" s="127" t="s">
        <v>12972</v>
      </c>
      <c r="I86" s="127" t="s">
        <v>10385</v>
      </c>
      <c r="J86" s="127" t="s">
        <v>13282</v>
      </c>
      <c r="K86" s="127" t="s">
        <v>10386</v>
      </c>
      <c r="L86" s="127" t="s">
        <v>13592</v>
      </c>
      <c r="M86" s="127" t="s">
        <v>10387</v>
      </c>
      <c r="N86" s="127" t="s">
        <v>10388</v>
      </c>
      <c r="O86" s="127" t="s">
        <v>13902</v>
      </c>
      <c r="P86" s="127" t="s">
        <v>14212</v>
      </c>
      <c r="Q86" s="127" t="s">
        <v>14522</v>
      </c>
    </row>
    <row r="87" spans="1:17" x14ac:dyDescent="0.35">
      <c r="A87" s="127" t="s">
        <v>6063</v>
      </c>
      <c r="C87" s="127" t="s">
        <v>10389</v>
      </c>
      <c r="D87" s="127" t="s">
        <v>12973</v>
      </c>
      <c r="I87" s="127" t="s">
        <v>10390</v>
      </c>
      <c r="J87" s="127" t="s">
        <v>13283</v>
      </c>
      <c r="K87" s="127" t="s">
        <v>10391</v>
      </c>
      <c r="L87" s="127" t="s">
        <v>13593</v>
      </c>
      <c r="M87" s="127" t="s">
        <v>10392</v>
      </c>
      <c r="N87" s="127" t="s">
        <v>10393</v>
      </c>
      <c r="O87" s="127" t="s">
        <v>13903</v>
      </c>
      <c r="P87" s="127" t="s">
        <v>14213</v>
      </c>
      <c r="Q87" s="127" t="s">
        <v>14523</v>
      </c>
    </row>
    <row r="88" spans="1:17" x14ac:dyDescent="0.35">
      <c r="A88" s="127" t="s">
        <v>6063</v>
      </c>
      <c r="C88" s="127" t="s">
        <v>10394</v>
      </c>
      <c r="D88" s="127" t="s">
        <v>12974</v>
      </c>
      <c r="I88" s="127" t="s">
        <v>10395</v>
      </c>
      <c r="J88" s="127" t="s">
        <v>13284</v>
      </c>
      <c r="K88" s="127" t="s">
        <v>10396</v>
      </c>
      <c r="L88" s="127" t="s">
        <v>13594</v>
      </c>
      <c r="M88" s="127" t="s">
        <v>10397</v>
      </c>
      <c r="N88" s="127" t="s">
        <v>10398</v>
      </c>
      <c r="O88" s="127" t="s">
        <v>13904</v>
      </c>
      <c r="P88" s="127" t="s">
        <v>14214</v>
      </c>
      <c r="Q88" s="127" t="s">
        <v>14524</v>
      </c>
    </row>
    <row r="89" spans="1:17" x14ac:dyDescent="0.35">
      <c r="A89" s="127" t="s">
        <v>6063</v>
      </c>
      <c r="C89" s="127" t="s">
        <v>10399</v>
      </c>
      <c r="D89" s="127" t="s">
        <v>12975</v>
      </c>
      <c r="I89" s="127" t="s">
        <v>10400</v>
      </c>
      <c r="J89" s="127" t="s">
        <v>13285</v>
      </c>
      <c r="K89" s="127" t="s">
        <v>10401</v>
      </c>
      <c r="L89" s="127" t="s">
        <v>13595</v>
      </c>
      <c r="M89" s="127" t="s">
        <v>10402</v>
      </c>
      <c r="N89" s="127" t="s">
        <v>10403</v>
      </c>
      <c r="O89" s="127" t="s">
        <v>13905</v>
      </c>
      <c r="P89" s="127" t="s">
        <v>14215</v>
      </c>
      <c r="Q89" s="127" t="s">
        <v>14525</v>
      </c>
    </row>
    <row r="90" spans="1:17" x14ac:dyDescent="0.35">
      <c r="A90" s="127" t="s">
        <v>6063</v>
      </c>
      <c r="C90" s="127" t="s">
        <v>10404</v>
      </c>
      <c r="D90" s="127" t="s">
        <v>12976</v>
      </c>
      <c r="I90" s="127" t="s">
        <v>10405</v>
      </c>
      <c r="J90" s="127" t="s">
        <v>13286</v>
      </c>
      <c r="K90" s="127" t="s">
        <v>10406</v>
      </c>
      <c r="L90" s="127" t="s">
        <v>13596</v>
      </c>
      <c r="M90" s="127" t="s">
        <v>10407</v>
      </c>
      <c r="N90" s="127" t="s">
        <v>10408</v>
      </c>
      <c r="O90" s="127" t="s">
        <v>13906</v>
      </c>
      <c r="P90" s="127" t="s">
        <v>14216</v>
      </c>
      <c r="Q90" s="127" t="s">
        <v>14526</v>
      </c>
    </row>
    <row r="91" spans="1:17" x14ac:dyDescent="0.35">
      <c r="A91" s="127" t="s">
        <v>6063</v>
      </c>
      <c r="C91" s="127" t="s">
        <v>10409</v>
      </c>
      <c r="D91" s="127" t="s">
        <v>12977</v>
      </c>
      <c r="I91" s="127" t="s">
        <v>10410</v>
      </c>
      <c r="J91" s="127" t="s">
        <v>13287</v>
      </c>
      <c r="K91" s="127" t="s">
        <v>10411</v>
      </c>
      <c r="L91" s="127" t="s">
        <v>13597</v>
      </c>
      <c r="M91" s="127" t="s">
        <v>10412</v>
      </c>
      <c r="N91" s="127" t="s">
        <v>10413</v>
      </c>
      <c r="O91" s="127" t="s">
        <v>13907</v>
      </c>
      <c r="P91" s="127" t="s">
        <v>14217</v>
      </c>
      <c r="Q91" s="127" t="s">
        <v>14527</v>
      </c>
    </row>
    <row r="92" spans="1:17" x14ac:dyDescent="0.35">
      <c r="A92" s="127" t="s">
        <v>6063</v>
      </c>
      <c r="C92" s="127" t="s">
        <v>10414</v>
      </c>
      <c r="D92" s="127" t="s">
        <v>12978</v>
      </c>
      <c r="I92" s="127" t="s">
        <v>10415</v>
      </c>
      <c r="J92" s="127" t="s">
        <v>13288</v>
      </c>
      <c r="K92" s="127" t="s">
        <v>10416</v>
      </c>
      <c r="L92" s="127" t="s">
        <v>13598</v>
      </c>
      <c r="M92" s="127" t="s">
        <v>10417</v>
      </c>
      <c r="N92" s="127" t="s">
        <v>10418</v>
      </c>
      <c r="O92" s="127" t="s">
        <v>13908</v>
      </c>
      <c r="P92" s="127" t="s">
        <v>14218</v>
      </c>
      <c r="Q92" s="127" t="s">
        <v>14528</v>
      </c>
    </row>
    <row r="93" spans="1:17" x14ac:dyDescent="0.35">
      <c r="A93" s="127" t="s">
        <v>6063</v>
      </c>
      <c r="C93" s="127" t="s">
        <v>10419</v>
      </c>
      <c r="D93" s="127" t="s">
        <v>12979</v>
      </c>
      <c r="I93" s="127" t="s">
        <v>10420</v>
      </c>
      <c r="J93" s="127" t="s">
        <v>13289</v>
      </c>
      <c r="K93" s="127" t="s">
        <v>10421</v>
      </c>
      <c r="L93" s="127" t="s">
        <v>13599</v>
      </c>
      <c r="M93" s="127" t="s">
        <v>10422</v>
      </c>
      <c r="N93" s="127" t="s">
        <v>10423</v>
      </c>
      <c r="O93" s="127" t="s">
        <v>13909</v>
      </c>
      <c r="P93" s="127" t="s">
        <v>14219</v>
      </c>
      <c r="Q93" s="127" t="s">
        <v>14529</v>
      </c>
    </row>
    <row r="94" spans="1:17" x14ac:dyDescent="0.35">
      <c r="A94" s="127" t="s">
        <v>6063</v>
      </c>
      <c r="C94" s="127" t="s">
        <v>10424</v>
      </c>
      <c r="D94" s="127" t="s">
        <v>12980</v>
      </c>
      <c r="I94" s="127" t="s">
        <v>10425</v>
      </c>
      <c r="J94" s="127" t="s">
        <v>13290</v>
      </c>
      <c r="K94" s="127" t="s">
        <v>10426</v>
      </c>
      <c r="L94" s="127" t="s">
        <v>13600</v>
      </c>
      <c r="M94" s="127" t="s">
        <v>10427</v>
      </c>
      <c r="N94" s="127" t="s">
        <v>10428</v>
      </c>
      <c r="O94" s="127" t="s">
        <v>13910</v>
      </c>
      <c r="P94" s="127" t="s">
        <v>14220</v>
      </c>
      <c r="Q94" s="127" t="s">
        <v>14530</v>
      </c>
    </row>
    <row r="95" spans="1:17" x14ac:dyDescent="0.35">
      <c r="A95" s="127" t="s">
        <v>6063</v>
      </c>
      <c r="C95" s="127" t="s">
        <v>10429</v>
      </c>
      <c r="D95" s="127" t="s">
        <v>12981</v>
      </c>
      <c r="I95" s="127" t="s">
        <v>10430</v>
      </c>
      <c r="J95" s="127" t="s">
        <v>13291</v>
      </c>
      <c r="K95" s="127" t="s">
        <v>10431</v>
      </c>
      <c r="L95" s="127" t="s">
        <v>13601</v>
      </c>
      <c r="M95" s="127" t="s">
        <v>10432</v>
      </c>
      <c r="N95" s="127" t="s">
        <v>10433</v>
      </c>
      <c r="O95" s="127" t="s">
        <v>13911</v>
      </c>
      <c r="P95" s="127" t="s">
        <v>14221</v>
      </c>
      <c r="Q95" s="127" t="s">
        <v>14531</v>
      </c>
    </row>
    <row r="96" spans="1:17" x14ac:dyDescent="0.35">
      <c r="A96" s="127" t="s">
        <v>6063</v>
      </c>
      <c r="C96" s="127" t="s">
        <v>10434</v>
      </c>
      <c r="D96" s="127" t="s">
        <v>12982</v>
      </c>
      <c r="I96" s="127" t="s">
        <v>10435</v>
      </c>
      <c r="J96" s="127" t="s">
        <v>13292</v>
      </c>
      <c r="K96" s="127" t="s">
        <v>10436</v>
      </c>
      <c r="L96" s="127" t="s">
        <v>13602</v>
      </c>
      <c r="M96" s="127" t="s">
        <v>10437</v>
      </c>
      <c r="N96" s="127" t="s">
        <v>10438</v>
      </c>
      <c r="O96" s="127" t="s">
        <v>13912</v>
      </c>
      <c r="P96" s="127" t="s">
        <v>14222</v>
      </c>
      <c r="Q96" s="127" t="s">
        <v>14532</v>
      </c>
    </row>
    <row r="97" spans="1:17" x14ac:dyDescent="0.35">
      <c r="A97" s="127" t="s">
        <v>6063</v>
      </c>
      <c r="C97" s="127" t="s">
        <v>10439</v>
      </c>
      <c r="D97" s="127" t="s">
        <v>12983</v>
      </c>
      <c r="I97" s="127" t="s">
        <v>10440</v>
      </c>
      <c r="J97" s="127" t="s">
        <v>13293</v>
      </c>
      <c r="K97" s="127" t="s">
        <v>10441</v>
      </c>
      <c r="L97" s="127" t="s">
        <v>13603</v>
      </c>
      <c r="M97" s="127" t="s">
        <v>10442</v>
      </c>
      <c r="N97" s="127" t="s">
        <v>10443</v>
      </c>
      <c r="O97" s="127" t="s">
        <v>13913</v>
      </c>
      <c r="P97" s="127" t="s">
        <v>14223</v>
      </c>
      <c r="Q97" s="127" t="s">
        <v>14533</v>
      </c>
    </row>
    <row r="98" spans="1:17" x14ac:dyDescent="0.35">
      <c r="A98" s="127" t="s">
        <v>6063</v>
      </c>
      <c r="C98" s="127" t="s">
        <v>10444</v>
      </c>
      <c r="D98" s="127" t="s">
        <v>12984</v>
      </c>
      <c r="I98" s="127" t="s">
        <v>10445</v>
      </c>
      <c r="J98" s="127" t="s">
        <v>13294</v>
      </c>
      <c r="K98" s="127" t="s">
        <v>10446</v>
      </c>
      <c r="L98" s="127" t="s">
        <v>13604</v>
      </c>
      <c r="M98" s="127" t="s">
        <v>10447</v>
      </c>
      <c r="N98" s="127" t="s">
        <v>10448</v>
      </c>
      <c r="O98" s="127" t="s">
        <v>13914</v>
      </c>
      <c r="P98" s="127" t="s">
        <v>14224</v>
      </c>
      <c r="Q98" s="127" t="s">
        <v>14534</v>
      </c>
    </row>
    <row r="99" spans="1:17" x14ac:dyDescent="0.35">
      <c r="A99" s="127" t="s">
        <v>6063</v>
      </c>
      <c r="C99" s="127" t="s">
        <v>10449</v>
      </c>
      <c r="D99" s="127" t="s">
        <v>12985</v>
      </c>
      <c r="I99" s="127" t="s">
        <v>10450</v>
      </c>
      <c r="J99" s="127" t="s">
        <v>13295</v>
      </c>
      <c r="K99" s="127" t="s">
        <v>10451</v>
      </c>
      <c r="L99" s="127" t="s">
        <v>13605</v>
      </c>
      <c r="M99" s="127" t="s">
        <v>10452</v>
      </c>
      <c r="N99" s="127" t="s">
        <v>10453</v>
      </c>
      <c r="O99" s="127" t="s">
        <v>13915</v>
      </c>
      <c r="P99" s="127" t="s">
        <v>14225</v>
      </c>
      <c r="Q99" s="127" t="s">
        <v>14535</v>
      </c>
    </row>
    <row r="100" spans="1:17" x14ac:dyDescent="0.35">
      <c r="A100" s="127" t="s">
        <v>6063</v>
      </c>
      <c r="C100" s="127" t="s">
        <v>10454</v>
      </c>
      <c r="D100" s="127" t="s">
        <v>12986</v>
      </c>
      <c r="I100" s="127" t="s">
        <v>10455</v>
      </c>
      <c r="J100" s="127" t="s">
        <v>13296</v>
      </c>
      <c r="K100" s="127" t="s">
        <v>10456</v>
      </c>
      <c r="L100" s="127" t="s">
        <v>13606</v>
      </c>
      <c r="M100" s="127" t="s">
        <v>10457</v>
      </c>
      <c r="N100" s="127" t="s">
        <v>10458</v>
      </c>
      <c r="O100" s="127" t="s">
        <v>13916</v>
      </c>
      <c r="P100" s="127" t="s">
        <v>14226</v>
      </c>
      <c r="Q100" s="127" t="s">
        <v>14536</v>
      </c>
    </row>
    <row r="101" spans="1:17" x14ac:dyDescent="0.35">
      <c r="A101" s="127" t="s">
        <v>6063</v>
      </c>
      <c r="C101" s="127" t="s">
        <v>10459</v>
      </c>
      <c r="D101" s="127" t="s">
        <v>12987</v>
      </c>
      <c r="I101" s="127" t="s">
        <v>10460</v>
      </c>
      <c r="J101" s="127" t="s">
        <v>13297</v>
      </c>
      <c r="K101" s="127" t="s">
        <v>10461</v>
      </c>
      <c r="L101" s="127" t="s">
        <v>13607</v>
      </c>
      <c r="M101" s="127" t="s">
        <v>10462</v>
      </c>
      <c r="N101" s="127" t="s">
        <v>10463</v>
      </c>
      <c r="O101" s="127" t="s">
        <v>13917</v>
      </c>
      <c r="P101" s="127" t="s">
        <v>14227</v>
      </c>
      <c r="Q101" s="127" t="s">
        <v>14537</v>
      </c>
    </row>
    <row r="102" spans="1:17" x14ac:dyDescent="0.35">
      <c r="A102" s="127" t="s">
        <v>6063</v>
      </c>
      <c r="C102" s="127" t="s">
        <v>10464</v>
      </c>
      <c r="D102" s="127" t="s">
        <v>12988</v>
      </c>
      <c r="I102" s="127" t="s">
        <v>10465</v>
      </c>
      <c r="J102" s="127" t="s">
        <v>13298</v>
      </c>
      <c r="K102" s="127" t="s">
        <v>10466</v>
      </c>
      <c r="L102" s="127" t="s">
        <v>13608</v>
      </c>
      <c r="M102" s="127" t="s">
        <v>10467</v>
      </c>
      <c r="N102" s="127" t="s">
        <v>10468</v>
      </c>
      <c r="O102" s="127" t="s">
        <v>13918</v>
      </c>
      <c r="P102" s="127" t="s">
        <v>14228</v>
      </c>
      <c r="Q102" s="127" t="s">
        <v>14538</v>
      </c>
    </row>
    <row r="103" spans="1:17" x14ac:dyDescent="0.35">
      <c r="A103" s="127" t="s">
        <v>6063</v>
      </c>
      <c r="C103" s="127" t="s">
        <v>10469</v>
      </c>
      <c r="D103" s="127" t="s">
        <v>12989</v>
      </c>
      <c r="I103" s="127" t="s">
        <v>10470</v>
      </c>
      <c r="J103" s="127" t="s">
        <v>13299</v>
      </c>
      <c r="K103" s="127" t="s">
        <v>10471</v>
      </c>
      <c r="L103" s="127" t="s">
        <v>13609</v>
      </c>
      <c r="M103" s="127" t="s">
        <v>10472</v>
      </c>
      <c r="N103" s="127" t="s">
        <v>10473</v>
      </c>
      <c r="O103" s="127" t="s">
        <v>13919</v>
      </c>
      <c r="P103" s="127" t="s">
        <v>14229</v>
      </c>
      <c r="Q103" s="127" t="s">
        <v>14539</v>
      </c>
    </row>
    <row r="104" spans="1:17" x14ac:dyDescent="0.35">
      <c r="A104" s="127" t="s">
        <v>6063</v>
      </c>
      <c r="C104" s="127" t="s">
        <v>10474</v>
      </c>
      <c r="D104" s="127" t="s">
        <v>12990</v>
      </c>
      <c r="I104" s="127" t="s">
        <v>10475</v>
      </c>
      <c r="J104" s="127" t="s">
        <v>13300</v>
      </c>
      <c r="K104" s="127" t="s">
        <v>10476</v>
      </c>
      <c r="L104" s="127" t="s">
        <v>13610</v>
      </c>
      <c r="M104" s="127" t="s">
        <v>10477</v>
      </c>
      <c r="N104" s="127" t="s">
        <v>10478</v>
      </c>
      <c r="O104" s="127" t="s">
        <v>13920</v>
      </c>
      <c r="P104" s="127" t="s">
        <v>14230</v>
      </c>
      <c r="Q104" s="127" t="s">
        <v>14540</v>
      </c>
    </row>
    <row r="105" spans="1:17" x14ac:dyDescent="0.35">
      <c r="A105" s="127" t="s">
        <v>6063</v>
      </c>
      <c r="C105" s="127" t="s">
        <v>10479</v>
      </c>
      <c r="D105" s="127" t="s">
        <v>12991</v>
      </c>
      <c r="I105" s="127" t="s">
        <v>10480</v>
      </c>
      <c r="J105" s="127" t="s">
        <v>13301</v>
      </c>
      <c r="K105" s="127" t="s">
        <v>10481</v>
      </c>
      <c r="L105" s="127" t="s">
        <v>13611</v>
      </c>
      <c r="M105" s="127" t="s">
        <v>10482</v>
      </c>
      <c r="N105" s="127" t="s">
        <v>10483</v>
      </c>
      <c r="O105" s="127" t="s">
        <v>13921</v>
      </c>
      <c r="P105" s="127" t="s">
        <v>14231</v>
      </c>
      <c r="Q105" s="127" t="s">
        <v>14541</v>
      </c>
    </row>
    <row r="106" spans="1:17" x14ac:dyDescent="0.35">
      <c r="A106" s="127" t="s">
        <v>6063</v>
      </c>
      <c r="C106" s="127" t="s">
        <v>10484</v>
      </c>
      <c r="D106" s="127" t="s">
        <v>12992</v>
      </c>
      <c r="I106" s="127" t="s">
        <v>10485</v>
      </c>
      <c r="J106" s="127" t="s">
        <v>13302</v>
      </c>
      <c r="K106" s="127" t="s">
        <v>10486</v>
      </c>
      <c r="L106" s="127" t="s">
        <v>13612</v>
      </c>
      <c r="M106" s="127" t="s">
        <v>10487</v>
      </c>
      <c r="N106" s="127" t="s">
        <v>10488</v>
      </c>
      <c r="O106" s="127" t="s">
        <v>13922</v>
      </c>
      <c r="P106" s="127" t="s">
        <v>14232</v>
      </c>
      <c r="Q106" s="127" t="s">
        <v>14542</v>
      </c>
    </row>
    <row r="107" spans="1:17" x14ac:dyDescent="0.35">
      <c r="A107" s="127" t="s">
        <v>6063</v>
      </c>
      <c r="C107" s="127" t="s">
        <v>10489</v>
      </c>
      <c r="D107" s="127" t="s">
        <v>12993</v>
      </c>
      <c r="I107" s="127" t="s">
        <v>10490</v>
      </c>
      <c r="J107" s="127" t="s">
        <v>13303</v>
      </c>
      <c r="K107" s="127" t="s">
        <v>10491</v>
      </c>
      <c r="L107" s="127" t="s">
        <v>13613</v>
      </c>
      <c r="M107" s="127" t="s">
        <v>10492</v>
      </c>
      <c r="N107" s="127" t="s">
        <v>10493</v>
      </c>
      <c r="O107" s="127" t="s">
        <v>13923</v>
      </c>
      <c r="P107" s="127" t="s">
        <v>14233</v>
      </c>
      <c r="Q107" s="127" t="s">
        <v>14543</v>
      </c>
    </row>
    <row r="108" spans="1:17" x14ac:dyDescent="0.35">
      <c r="A108" s="127" t="s">
        <v>6063</v>
      </c>
      <c r="C108" s="127" t="s">
        <v>10494</v>
      </c>
      <c r="D108" s="127" t="s">
        <v>12994</v>
      </c>
      <c r="I108" s="127" t="s">
        <v>10495</v>
      </c>
      <c r="J108" s="127" t="s">
        <v>13304</v>
      </c>
      <c r="K108" s="127" t="s">
        <v>10496</v>
      </c>
      <c r="L108" s="127" t="s">
        <v>13614</v>
      </c>
      <c r="M108" s="127" t="s">
        <v>10497</v>
      </c>
      <c r="N108" s="127" t="s">
        <v>10498</v>
      </c>
      <c r="O108" s="127" t="s">
        <v>13924</v>
      </c>
      <c r="P108" s="127" t="s">
        <v>14234</v>
      </c>
      <c r="Q108" s="127" t="s">
        <v>14544</v>
      </c>
    </row>
    <row r="109" spans="1:17" x14ac:dyDescent="0.35">
      <c r="A109" s="127" t="s">
        <v>6063</v>
      </c>
      <c r="C109" s="127" t="s">
        <v>10499</v>
      </c>
      <c r="D109" s="127" t="s">
        <v>12995</v>
      </c>
      <c r="I109" s="127" t="s">
        <v>10500</v>
      </c>
      <c r="J109" s="127" t="s">
        <v>13305</v>
      </c>
      <c r="K109" s="127" t="s">
        <v>10501</v>
      </c>
      <c r="L109" s="127" t="s">
        <v>13615</v>
      </c>
      <c r="M109" s="127" t="s">
        <v>10502</v>
      </c>
      <c r="N109" s="127" t="s">
        <v>10503</v>
      </c>
      <c r="O109" s="127" t="s">
        <v>13925</v>
      </c>
      <c r="P109" s="127" t="s">
        <v>14235</v>
      </c>
      <c r="Q109" s="127" t="s">
        <v>14545</v>
      </c>
    </row>
    <row r="110" spans="1:17" x14ac:dyDescent="0.35">
      <c r="A110" s="127" t="s">
        <v>6063</v>
      </c>
      <c r="C110" s="127" t="s">
        <v>10504</v>
      </c>
      <c r="D110" s="127" t="s">
        <v>12996</v>
      </c>
      <c r="I110" s="127" t="s">
        <v>10505</v>
      </c>
      <c r="J110" s="127" t="s">
        <v>13306</v>
      </c>
      <c r="K110" s="127" t="s">
        <v>10506</v>
      </c>
      <c r="L110" s="127" t="s">
        <v>13616</v>
      </c>
      <c r="M110" s="127" t="s">
        <v>10507</v>
      </c>
      <c r="N110" s="127" t="s">
        <v>10508</v>
      </c>
      <c r="O110" s="127" t="s">
        <v>13926</v>
      </c>
      <c r="P110" s="127" t="s">
        <v>14236</v>
      </c>
      <c r="Q110" s="127" t="s">
        <v>14546</v>
      </c>
    </row>
    <row r="111" spans="1:17" x14ac:dyDescent="0.35">
      <c r="A111" s="127" t="s">
        <v>6063</v>
      </c>
      <c r="C111" s="127" t="s">
        <v>10509</v>
      </c>
      <c r="D111" s="127" t="s">
        <v>12997</v>
      </c>
      <c r="I111" s="127" t="s">
        <v>10510</v>
      </c>
      <c r="J111" s="127" t="s">
        <v>13307</v>
      </c>
      <c r="K111" s="127" t="s">
        <v>10511</v>
      </c>
      <c r="L111" s="127" t="s">
        <v>13617</v>
      </c>
      <c r="M111" s="127" t="s">
        <v>10512</v>
      </c>
      <c r="N111" s="127" t="s">
        <v>10513</v>
      </c>
      <c r="O111" s="127" t="s">
        <v>13927</v>
      </c>
      <c r="P111" s="127" t="s">
        <v>14237</v>
      </c>
      <c r="Q111" s="127" t="s">
        <v>14547</v>
      </c>
    </row>
    <row r="112" spans="1:17" x14ac:dyDescent="0.35">
      <c r="A112" s="127" t="s">
        <v>6063</v>
      </c>
      <c r="C112" s="127" t="s">
        <v>10514</v>
      </c>
      <c r="D112" s="127" t="s">
        <v>12998</v>
      </c>
      <c r="I112" s="127" t="s">
        <v>10515</v>
      </c>
      <c r="J112" s="127" t="s">
        <v>13308</v>
      </c>
      <c r="K112" s="127" t="s">
        <v>10516</v>
      </c>
      <c r="L112" s="127" t="s">
        <v>13618</v>
      </c>
      <c r="M112" s="127" t="s">
        <v>10517</v>
      </c>
      <c r="N112" s="127" t="s">
        <v>10518</v>
      </c>
      <c r="O112" s="127" t="s">
        <v>13928</v>
      </c>
      <c r="P112" s="127" t="s">
        <v>14238</v>
      </c>
      <c r="Q112" s="127" t="s">
        <v>14548</v>
      </c>
    </row>
    <row r="113" spans="1:17" x14ac:dyDescent="0.35">
      <c r="A113" s="127" t="s">
        <v>6063</v>
      </c>
      <c r="C113" s="127" t="s">
        <v>10519</v>
      </c>
      <c r="D113" s="127" t="s">
        <v>12999</v>
      </c>
      <c r="I113" s="127" t="s">
        <v>10520</v>
      </c>
      <c r="J113" s="127" t="s">
        <v>13309</v>
      </c>
      <c r="K113" s="127" t="s">
        <v>10521</v>
      </c>
      <c r="L113" s="127" t="s">
        <v>13619</v>
      </c>
      <c r="M113" s="127" t="s">
        <v>10522</v>
      </c>
      <c r="N113" s="127" t="s">
        <v>10523</v>
      </c>
      <c r="O113" s="127" t="s">
        <v>13929</v>
      </c>
      <c r="P113" s="127" t="s">
        <v>14239</v>
      </c>
      <c r="Q113" s="127" t="s">
        <v>14549</v>
      </c>
    </row>
    <row r="114" spans="1:17" x14ac:dyDescent="0.35">
      <c r="A114" s="127" t="s">
        <v>6063</v>
      </c>
      <c r="C114" s="127" t="s">
        <v>10524</v>
      </c>
      <c r="D114" s="127" t="s">
        <v>13000</v>
      </c>
      <c r="I114" s="127" t="s">
        <v>10525</v>
      </c>
      <c r="J114" s="127" t="s">
        <v>13310</v>
      </c>
      <c r="K114" s="127" t="s">
        <v>10526</v>
      </c>
      <c r="L114" s="127" t="s">
        <v>13620</v>
      </c>
      <c r="M114" s="127" t="s">
        <v>10527</v>
      </c>
      <c r="N114" s="127" t="s">
        <v>10528</v>
      </c>
      <c r="O114" s="127" t="s">
        <v>13930</v>
      </c>
      <c r="P114" s="127" t="s">
        <v>14240</v>
      </c>
      <c r="Q114" s="127" t="s">
        <v>14550</v>
      </c>
    </row>
    <row r="115" spans="1:17" x14ac:dyDescent="0.35">
      <c r="A115" s="127" t="s">
        <v>6063</v>
      </c>
      <c r="C115" s="127" t="s">
        <v>10529</v>
      </c>
      <c r="D115" s="127" t="s">
        <v>13001</v>
      </c>
      <c r="I115" s="127" t="s">
        <v>10530</v>
      </c>
      <c r="J115" s="127" t="s">
        <v>13311</v>
      </c>
      <c r="K115" s="127" t="s">
        <v>10531</v>
      </c>
      <c r="L115" s="127" t="s">
        <v>13621</v>
      </c>
      <c r="M115" s="127" t="s">
        <v>10532</v>
      </c>
      <c r="N115" s="127" t="s">
        <v>10533</v>
      </c>
      <c r="O115" s="127" t="s">
        <v>13931</v>
      </c>
      <c r="P115" s="127" t="s">
        <v>14241</v>
      </c>
      <c r="Q115" s="127" t="s">
        <v>14551</v>
      </c>
    </row>
    <row r="116" spans="1:17" x14ac:dyDescent="0.35">
      <c r="A116" s="127" t="s">
        <v>6063</v>
      </c>
      <c r="C116" s="127" t="s">
        <v>10534</v>
      </c>
      <c r="D116" s="127" t="s">
        <v>13002</v>
      </c>
      <c r="I116" s="127" t="s">
        <v>10535</v>
      </c>
      <c r="J116" s="127" t="s">
        <v>13312</v>
      </c>
      <c r="K116" s="127" t="s">
        <v>10536</v>
      </c>
      <c r="L116" s="127" t="s">
        <v>13622</v>
      </c>
      <c r="M116" s="127" t="s">
        <v>10537</v>
      </c>
      <c r="N116" s="127" t="s">
        <v>10538</v>
      </c>
      <c r="O116" s="127" t="s">
        <v>13932</v>
      </c>
      <c r="P116" s="127" t="s">
        <v>14242</v>
      </c>
      <c r="Q116" s="127" t="s">
        <v>14552</v>
      </c>
    </row>
    <row r="117" spans="1:17" x14ac:dyDescent="0.35">
      <c r="A117" s="127" t="s">
        <v>6063</v>
      </c>
      <c r="C117" s="127" t="s">
        <v>10539</v>
      </c>
      <c r="D117" s="127" t="s">
        <v>13003</v>
      </c>
      <c r="I117" s="127" t="s">
        <v>10540</v>
      </c>
      <c r="J117" s="127" t="s">
        <v>13313</v>
      </c>
      <c r="K117" s="127" t="s">
        <v>10541</v>
      </c>
      <c r="L117" s="127" t="s">
        <v>13623</v>
      </c>
      <c r="M117" s="127" t="s">
        <v>10542</v>
      </c>
      <c r="N117" s="127" t="s">
        <v>10543</v>
      </c>
      <c r="O117" s="127" t="s">
        <v>13933</v>
      </c>
      <c r="P117" s="127" t="s">
        <v>14243</v>
      </c>
      <c r="Q117" s="127" t="s">
        <v>14553</v>
      </c>
    </row>
    <row r="118" spans="1:17" x14ac:dyDescent="0.35">
      <c r="A118" s="127" t="s">
        <v>6063</v>
      </c>
      <c r="C118" s="127" t="s">
        <v>10544</v>
      </c>
      <c r="D118" s="127" t="s">
        <v>13004</v>
      </c>
      <c r="I118" s="127" t="s">
        <v>10545</v>
      </c>
      <c r="J118" s="127" t="s">
        <v>13314</v>
      </c>
      <c r="K118" s="127" t="s">
        <v>10546</v>
      </c>
      <c r="L118" s="127" t="s">
        <v>13624</v>
      </c>
      <c r="M118" s="127" t="s">
        <v>10547</v>
      </c>
      <c r="N118" s="127" t="s">
        <v>10548</v>
      </c>
      <c r="O118" s="127" t="s">
        <v>13934</v>
      </c>
      <c r="P118" s="127" t="s">
        <v>14244</v>
      </c>
      <c r="Q118" s="127" t="s">
        <v>14554</v>
      </c>
    </row>
    <row r="119" spans="1:17" x14ac:dyDescent="0.35">
      <c r="A119" s="127" t="s">
        <v>6063</v>
      </c>
      <c r="C119" s="127" t="s">
        <v>10549</v>
      </c>
      <c r="D119" s="127" t="s">
        <v>13005</v>
      </c>
      <c r="I119" s="127" t="s">
        <v>10550</v>
      </c>
      <c r="J119" s="127" t="s">
        <v>13315</v>
      </c>
      <c r="K119" s="127" t="s">
        <v>10551</v>
      </c>
      <c r="L119" s="127" t="s">
        <v>13625</v>
      </c>
      <c r="M119" s="127" t="s">
        <v>10552</v>
      </c>
      <c r="N119" s="127" t="s">
        <v>10553</v>
      </c>
      <c r="O119" s="127" t="s">
        <v>13935</v>
      </c>
      <c r="P119" s="127" t="s">
        <v>14245</v>
      </c>
      <c r="Q119" s="127" t="s">
        <v>14555</v>
      </c>
    </row>
    <row r="120" spans="1:17" x14ac:dyDescent="0.35">
      <c r="A120" s="127" t="s">
        <v>6063</v>
      </c>
      <c r="C120" s="127" t="s">
        <v>10554</v>
      </c>
      <c r="D120" s="127" t="s">
        <v>13006</v>
      </c>
      <c r="I120" s="127" t="s">
        <v>10555</v>
      </c>
      <c r="J120" s="127" t="s">
        <v>13316</v>
      </c>
      <c r="K120" s="127" t="s">
        <v>10556</v>
      </c>
      <c r="L120" s="127" t="s">
        <v>13626</v>
      </c>
      <c r="M120" s="127" t="s">
        <v>10557</v>
      </c>
      <c r="N120" s="127" t="s">
        <v>10558</v>
      </c>
      <c r="O120" s="127" t="s">
        <v>13936</v>
      </c>
      <c r="P120" s="127" t="s">
        <v>14246</v>
      </c>
      <c r="Q120" s="127" t="s">
        <v>14556</v>
      </c>
    </row>
    <row r="121" spans="1:17" x14ac:dyDescent="0.35">
      <c r="A121" s="127" t="s">
        <v>6063</v>
      </c>
      <c r="C121" s="127" t="s">
        <v>10559</v>
      </c>
      <c r="D121" s="127" t="s">
        <v>13007</v>
      </c>
      <c r="I121" s="127" t="s">
        <v>10560</v>
      </c>
      <c r="J121" s="127" t="s">
        <v>13317</v>
      </c>
      <c r="K121" s="127" t="s">
        <v>10561</v>
      </c>
      <c r="L121" s="127" t="s">
        <v>13627</v>
      </c>
      <c r="M121" s="127" t="s">
        <v>10562</v>
      </c>
      <c r="N121" s="127" t="s">
        <v>10563</v>
      </c>
      <c r="O121" s="127" t="s">
        <v>13937</v>
      </c>
      <c r="P121" s="127" t="s">
        <v>14247</v>
      </c>
      <c r="Q121" s="127" t="s">
        <v>14557</v>
      </c>
    </row>
    <row r="122" spans="1:17" x14ac:dyDescent="0.35">
      <c r="A122" s="127" t="s">
        <v>6063</v>
      </c>
      <c r="C122" s="127" t="s">
        <v>10564</v>
      </c>
      <c r="D122" s="127" t="s">
        <v>13008</v>
      </c>
      <c r="I122" s="127" t="s">
        <v>10565</v>
      </c>
      <c r="J122" s="127" t="s">
        <v>13318</v>
      </c>
      <c r="K122" s="127" t="s">
        <v>10566</v>
      </c>
      <c r="L122" s="127" t="s">
        <v>13628</v>
      </c>
      <c r="M122" s="127" t="s">
        <v>10567</v>
      </c>
      <c r="N122" s="127" t="s">
        <v>10568</v>
      </c>
      <c r="O122" s="127" t="s">
        <v>13938</v>
      </c>
      <c r="P122" s="127" t="s">
        <v>14248</v>
      </c>
      <c r="Q122" s="127" t="s">
        <v>14558</v>
      </c>
    </row>
    <row r="123" spans="1:17" x14ac:dyDescent="0.35">
      <c r="A123" s="127" t="s">
        <v>6063</v>
      </c>
      <c r="C123" s="127" t="s">
        <v>10569</v>
      </c>
      <c r="D123" s="127" t="s">
        <v>13009</v>
      </c>
      <c r="I123" s="127" t="s">
        <v>10570</v>
      </c>
      <c r="J123" s="127" t="s">
        <v>13319</v>
      </c>
      <c r="K123" s="127" t="s">
        <v>10571</v>
      </c>
      <c r="L123" s="127" t="s">
        <v>13629</v>
      </c>
      <c r="M123" s="127" t="s">
        <v>10572</v>
      </c>
      <c r="N123" s="127" t="s">
        <v>10573</v>
      </c>
      <c r="O123" s="127" t="s">
        <v>13939</v>
      </c>
      <c r="P123" s="127" t="s">
        <v>14249</v>
      </c>
      <c r="Q123" s="127" t="s">
        <v>14559</v>
      </c>
    </row>
    <row r="124" spans="1:17" x14ac:dyDescent="0.35">
      <c r="A124" s="127" t="s">
        <v>6063</v>
      </c>
      <c r="C124" s="127" t="s">
        <v>10574</v>
      </c>
      <c r="D124" s="127" t="s">
        <v>13010</v>
      </c>
      <c r="I124" s="127" t="s">
        <v>10575</v>
      </c>
      <c r="J124" s="127" t="s">
        <v>13320</v>
      </c>
      <c r="K124" s="127" t="s">
        <v>10576</v>
      </c>
      <c r="L124" s="127" t="s">
        <v>13630</v>
      </c>
      <c r="M124" s="127" t="s">
        <v>10577</v>
      </c>
      <c r="N124" s="127" t="s">
        <v>10578</v>
      </c>
      <c r="O124" s="127" t="s">
        <v>13940</v>
      </c>
      <c r="P124" s="127" t="s">
        <v>14250</v>
      </c>
      <c r="Q124" s="127" t="s">
        <v>14560</v>
      </c>
    </row>
    <row r="125" spans="1:17" x14ac:dyDescent="0.35">
      <c r="A125" s="127" t="s">
        <v>6063</v>
      </c>
      <c r="C125" s="127" t="s">
        <v>10579</v>
      </c>
      <c r="D125" s="127" t="s">
        <v>13011</v>
      </c>
      <c r="I125" s="127" t="s">
        <v>10580</v>
      </c>
      <c r="J125" s="127" t="s">
        <v>13321</v>
      </c>
      <c r="K125" s="127" t="s">
        <v>10581</v>
      </c>
      <c r="L125" s="127" t="s">
        <v>13631</v>
      </c>
      <c r="M125" s="127" t="s">
        <v>10582</v>
      </c>
      <c r="N125" s="127" t="s">
        <v>10583</v>
      </c>
      <c r="O125" s="127" t="s">
        <v>13941</v>
      </c>
      <c r="P125" s="127" t="s">
        <v>14251</v>
      </c>
      <c r="Q125" s="127" t="s">
        <v>14561</v>
      </c>
    </row>
    <row r="126" spans="1:17" x14ac:dyDescent="0.35">
      <c r="A126" s="127" t="s">
        <v>6063</v>
      </c>
      <c r="C126" s="127" t="s">
        <v>10584</v>
      </c>
      <c r="D126" s="127" t="s">
        <v>13012</v>
      </c>
      <c r="I126" s="127" t="s">
        <v>10585</v>
      </c>
      <c r="J126" s="127" t="s">
        <v>13322</v>
      </c>
      <c r="K126" s="127" t="s">
        <v>10586</v>
      </c>
      <c r="L126" s="127" t="s">
        <v>13632</v>
      </c>
      <c r="M126" s="127" t="s">
        <v>10587</v>
      </c>
      <c r="N126" s="127" t="s">
        <v>10588</v>
      </c>
      <c r="O126" s="127" t="s">
        <v>13942</v>
      </c>
      <c r="P126" s="127" t="s">
        <v>14252</v>
      </c>
      <c r="Q126" s="127" t="s">
        <v>14562</v>
      </c>
    </row>
    <row r="127" spans="1:17" x14ac:dyDescent="0.35">
      <c r="A127" s="127" t="s">
        <v>6063</v>
      </c>
      <c r="C127" s="127" t="s">
        <v>10589</v>
      </c>
      <c r="D127" s="127" t="s">
        <v>13013</v>
      </c>
      <c r="I127" s="127" t="s">
        <v>10590</v>
      </c>
      <c r="J127" s="127" t="s">
        <v>13323</v>
      </c>
      <c r="K127" s="127" t="s">
        <v>10591</v>
      </c>
      <c r="L127" s="127" t="s">
        <v>13633</v>
      </c>
      <c r="M127" s="127" t="s">
        <v>10592</v>
      </c>
      <c r="N127" s="127" t="s">
        <v>10593</v>
      </c>
      <c r="O127" s="127" t="s">
        <v>13943</v>
      </c>
      <c r="P127" s="127" t="s">
        <v>14253</v>
      </c>
      <c r="Q127" s="127" t="s">
        <v>14563</v>
      </c>
    </row>
    <row r="128" spans="1:17" x14ac:dyDescent="0.35">
      <c r="A128" s="127" t="s">
        <v>6063</v>
      </c>
      <c r="C128" s="127" t="s">
        <v>10594</v>
      </c>
      <c r="D128" s="127" t="s">
        <v>13014</v>
      </c>
      <c r="I128" s="127" t="s">
        <v>10595</v>
      </c>
      <c r="J128" s="127" t="s">
        <v>13324</v>
      </c>
      <c r="K128" s="127" t="s">
        <v>10596</v>
      </c>
      <c r="L128" s="127" t="s">
        <v>13634</v>
      </c>
      <c r="M128" s="127" t="s">
        <v>10597</v>
      </c>
      <c r="N128" s="127" t="s">
        <v>10598</v>
      </c>
      <c r="O128" s="127" t="s">
        <v>13944</v>
      </c>
      <c r="P128" s="127" t="s">
        <v>14254</v>
      </c>
      <c r="Q128" s="127" t="s">
        <v>14564</v>
      </c>
    </row>
    <row r="129" spans="1:17" x14ac:dyDescent="0.35">
      <c r="A129" s="127" t="s">
        <v>6063</v>
      </c>
      <c r="C129" s="127" t="s">
        <v>10599</v>
      </c>
      <c r="D129" s="127" t="s">
        <v>13015</v>
      </c>
      <c r="I129" s="127" t="s">
        <v>10600</v>
      </c>
      <c r="J129" s="127" t="s">
        <v>13325</v>
      </c>
      <c r="K129" s="127" t="s">
        <v>10601</v>
      </c>
      <c r="L129" s="127" t="s">
        <v>13635</v>
      </c>
      <c r="M129" s="127" t="s">
        <v>10602</v>
      </c>
      <c r="N129" s="127" t="s">
        <v>10603</v>
      </c>
      <c r="O129" s="127" t="s">
        <v>13945</v>
      </c>
      <c r="P129" s="127" t="s">
        <v>14255</v>
      </c>
      <c r="Q129" s="127" t="s">
        <v>14565</v>
      </c>
    </row>
    <row r="130" spans="1:17" x14ac:dyDescent="0.35">
      <c r="A130" s="127" t="s">
        <v>6063</v>
      </c>
      <c r="C130" s="127" t="s">
        <v>10604</v>
      </c>
      <c r="D130" s="127" t="s">
        <v>13016</v>
      </c>
      <c r="I130" s="127" t="s">
        <v>10605</v>
      </c>
      <c r="J130" s="127" t="s">
        <v>13326</v>
      </c>
      <c r="K130" s="127" t="s">
        <v>10606</v>
      </c>
      <c r="L130" s="127" t="s">
        <v>13636</v>
      </c>
      <c r="M130" s="127" t="s">
        <v>10607</v>
      </c>
      <c r="N130" s="127" t="s">
        <v>10608</v>
      </c>
      <c r="O130" s="127" t="s">
        <v>13946</v>
      </c>
      <c r="P130" s="127" t="s">
        <v>14256</v>
      </c>
      <c r="Q130" s="127" t="s">
        <v>14566</v>
      </c>
    </row>
    <row r="131" spans="1:17" x14ac:dyDescent="0.35">
      <c r="A131" s="127" t="s">
        <v>6063</v>
      </c>
      <c r="C131" s="127" t="s">
        <v>10609</v>
      </c>
      <c r="D131" s="127" t="s">
        <v>13017</v>
      </c>
      <c r="I131" s="127" t="s">
        <v>10610</v>
      </c>
      <c r="J131" s="127" t="s">
        <v>13327</v>
      </c>
      <c r="K131" s="127" t="s">
        <v>10611</v>
      </c>
      <c r="L131" s="127" t="s">
        <v>13637</v>
      </c>
      <c r="M131" s="127" t="s">
        <v>10612</v>
      </c>
      <c r="N131" s="127" t="s">
        <v>10613</v>
      </c>
      <c r="O131" s="127" t="s">
        <v>13947</v>
      </c>
      <c r="P131" s="127" t="s">
        <v>14257</v>
      </c>
      <c r="Q131" s="127" t="s">
        <v>14567</v>
      </c>
    </row>
    <row r="132" spans="1:17" x14ac:dyDescent="0.35">
      <c r="A132" s="127" t="s">
        <v>6063</v>
      </c>
      <c r="C132" s="127" t="s">
        <v>10614</v>
      </c>
      <c r="D132" s="127" t="s">
        <v>13018</v>
      </c>
      <c r="I132" s="127" t="s">
        <v>10615</v>
      </c>
      <c r="J132" s="127" t="s">
        <v>13328</v>
      </c>
      <c r="K132" s="127" t="s">
        <v>10616</v>
      </c>
      <c r="L132" s="127" t="s">
        <v>13638</v>
      </c>
      <c r="M132" s="127" t="s">
        <v>10617</v>
      </c>
      <c r="N132" s="127" t="s">
        <v>10618</v>
      </c>
      <c r="O132" s="127" t="s">
        <v>13948</v>
      </c>
      <c r="P132" s="127" t="s">
        <v>14258</v>
      </c>
      <c r="Q132" s="127" t="s">
        <v>14568</v>
      </c>
    </row>
    <row r="133" spans="1:17" x14ac:dyDescent="0.35">
      <c r="A133" s="127" t="s">
        <v>6063</v>
      </c>
      <c r="C133" s="127" t="s">
        <v>10619</v>
      </c>
      <c r="D133" s="127" t="s">
        <v>13019</v>
      </c>
      <c r="I133" s="127" t="s">
        <v>10620</v>
      </c>
      <c r="J133" s="127" t="s">
        <v>13329</v>
      </c>
      <c r="K133" s="127" t="s">
        <v>10621</v>
      </c>
      <c r="L133" s="127" t="s">
        <v>13639</v>
      </c>
      <c r="M133" s="127" t="s">
        <v>10622</v>
      </c>
      <c r="N133" s="127" t="s">
        <v>10623</v>
      </c>
      <c r="O133" s="127" t="s">
        <v>13949</v>
      </c>
      <c r="P133" s="127" t="s">
        <v>14259</v>
      </c>
      <c r="Q133" s="127" t="s">
        <v>14569</v>
      </c>
    </row>
    <row r="134" spans="1:17" x14ac:dyDescent="0.35">
      <c r="A134" s="127" t="s">
        <v>6063</v>
      </c>
      <c r="C134" s="127" t="s">
        <v>10624</v>
      </c>
      <c r="D134" s="127" t="s">
        <v>13020</v>
      </c>
      <c r="I134" s="127" t="s">
        <v>10625</v>
      </c>
      <c r="J134" s="127" t="s">
        <v>13330</v>
      </c>
      <c r="K134" s="127" t="s">
        <v>10626</v>
      </c>
      <c r="L134" s="127" t="s">
        <v>13640</v>
      </c>
      <c r="M134" s="127" t="s">
        <v>10627</v>
      </c>
      <c r="N134" s="127" t="s">
        <v>10628</v>
      </c>
      <c r="O134" s="127" t="s">
        <v>13950</v>
      </c>
      <c r="P134" s="127" t="s">
        <v>14260</v>
      </c>
      <c r="Q134" s="127" t="s">
        <v>14570</v>
      </c>
    </row>
    <row r="135" spans="1:17" x14ac:dyDescent="0.35">
      <c r="A135" s="127" t="s">
        <v>6063</v>
      </c>
      <c r="C135" s="127" t="s">
        <v>10629</v>
      </c>
      <c r="D135" s="127" t="s">
        <v>13021</v>
      </c>
      <c r="I135" s="127" t="s">
        <v>10630</v>
      </c>
      <c r="J135" s="127" t="s">
        <v>13331</v>
      </c>
      <c r="K135" s="127" t="s">
        <v>10631</v>
      </c>
      <c r="L135" s="127" t="s">
        <v>13641</v>
      </c>
      <c r="M135" s="127" t="s">
        <v>10632</v>
      </c>
      <c r="N135" s="127" t="s">
        <v>10633</v>
      </c>
      <c r="O135" s="127" t="s">
        <v>13951</v>
      </c>
      <c r="P135" s="127" t="s">
        <v>14261</v>
      </c>
      <c r="Q135" s="127" t="s">
        <v>14571</v>
      </c>
    </row>
    <row r="136" spans="1:17" x14ac:dyDescent="0.35">
      <c r="A136" s="127" t="s">
        <v>6063</v>
      </c>
      <c r="C136" s="127" t="s">
        <v>10634</v>
      </c>
      <c r="D136" s="127" t="s">
        <v>13022</v>
      </c>
      <c r="I136" s="127" t="s">
        <v>10635</v>
      </c>
      <c r="J136" s="127" t="s">
        <v>13332</v>
      </c>
      <c r="K136" s="127" t="s">
        <v>10636</v>
      </c>
      <c r="L136" s="127" t="s">
        <v>13642</v>
      </c>
      <c r="M136" s="127" t="s">
        <v>10637</v>
      </c>
      <c r="N136" s="127" t="s">
        <v>10638</v>
      </c>
      <c r="O136" s="127" t="s">
        <v>13952</v>
      </c>
      <c r="P136" s="127" t="s">
        <v>14262</v>
      </c>
      <c r="Q136" s="127" t="s">
        <v>14572</v>
      </c>
    </row>
    <row r="137" spans="1:17" x14ac:dyDescent="0.35">
      <c r="A137" s="127" t="s">
        <v>6063</v>
      </c>
      <c r="C137" s="127" t="s">
        <v>10639</v>
      </c>
      <c r="D137" s="127" t="s">
        <v>13023</v>
      </c>
      <c r="I137" s="127" t="s">
        <v>10640</v>
      </c>
      <c r="J137" s="127" t="s">
        <v>13333</v>
      </c>
      <c r="K137" s="127" t="s">
        <v>10641</v>
      </c>
      <c r="L137" s="127" t="s">
        <v>13643</v>
      </c>
      <c r="M137" s="127" t="s">
        <v>10642</v>
      </c>
      <c r="N137" s="127" t="s">
        <v>10643</v>
      </c>
      <c r="O137" s="127" t="s">
        <v>13953</v>
      </c>
      <c r="P137" s="127" t="s">
        <v>14263</v>
      </c>
      <c r="Q137" s="127" t="s">
        <v>14573</v>
      </c>
    </row>
    <row r="138" spans="1:17" x14ac:dyDescent="0.35">
      <c r="A138" s="127" t="s">
        <v>6063</v>
      </c>
      <c r="C138" s="127" t="s">
        <v>10644</v>
      </c>
      <c r="D138" s="127" t="s">
        <v>13024</v>
      </c>
      <c r="I138" s="127" t="s">
        <v>10645</v>
      </c>
      <c r="J138" s="127" t="s">
        <v>13334</v>
      </c>
      <c r="K138" s="127" t="s">
        <v>10646</v>
      </c>
      <c r="L138" s="127" t="s">
        <v>13644</v>
      </c>
      <c r="M138" s="127" t="s">
        <v>10647</v>
      </c>
      <c r="N138" s="127" t="s">
        <v>10648</v>
      </c>
      <c r="O138" s="127" t="s">
        <v>13954</v>
      </c>
      <c r="P138" s="127" t="s">
        <v>14264</v>
      </c>
      <c r="Q138" s="127" t="s">
        <v>14574</v>
      </c>
    </row>
    <row r="139" spans="1:17" x14ac:dyDescent="0.35">
      <c r="A139" s="127" t="s">
        <v>6063</v>
      </c>
      <c r="C139" s="127" t="s">
        <v>10649</v>
      </c>
      <c r="D139" s="127" t="s">
        <v>13025</v>
      </c>
      <c r="I139" s="127" t="s">
        <v>10650</v>
      </c>
      <c r="J139" s="127" t="s">
        <v>13335</v>
      </c>
      <c r="K139" s="127" t="s">
        <v>10651</v>
      </c>
      <c r="L139" s="127" t="s">
        <v>13645</v>
      </c>
      <c r="M139" s="127" t="s">
        <v>10652</v>
      </c>
      <c r="N139" s="127" t="s">
        <v>10653</v>
      </c>
      <c r="O139" s="127" t="s">
        <v>13955</v>
      </c>
      <c r="P139" s="127" t="s">
        <v>14265</v>
      </c>
      <c r="Q139" s="127" t="s">
        <v>14575</v>
      </c>
    </row>
    <row r="140" spans="1:17" x14ac:dyDescent="0.35">
      <c r="A140" s="127" t="s">
        <v>6063</v>
      </c>
      <c r="C140" s="127" t="s">
        <v>10654</v>
      </c>
      <c r="D140" s="127" t="s">
        <v>13026</v>
      </c>
      <c r="I140" s="127" t="s">
        <v>10655</v>
      </c>
      <c r="J140" s="127" t="s">
        <v>13336</v>
      </c>
      <c r="K140" s="127" t="s">
        <v>10656</v>
      </c>
      <c r="L140" s="127" t="s">
        <v>13646</v>
      </c>
      <c r="M140" s="127" t="s">
        <v>10657</v>
      </c>
      <c r="N140" s="127" t="s">
        <v>10658</v>
      </c>
      <c r="O140" s="127" t="s">
        <v>13956</v>
      </c>
      <c r="P140" s="127" t="s">
        <v>14266</v>
      </c>
      <c r="Q140" s="127" t="s">
        <v>14576</v>
      </c>
    </row>
    <row r="141" spans="1:17" x14ac:dyDescent="0.35">
      <c r="A141" s="127" t="s">
        <v>6063</v>
      </c>
      <c r="C141" s="127" t="s">
        <v>10659</v>
      </c>
      <c r="D141" s="127" t="s">
        <v>13027</v>
      </c>
      <c r="I141" s="127" t="s">
        <v>10660</v>
      </c>
      <c r="J141" s="127" t="s">
        <v>13337</v>
      </c>
      <c r="K141" s="127" t="s">
        <v>10661</v>
      </c>
      <c r="L141" s="127" t="s">
        <v>13647</v>
      </c>
      <c r="M141" s="127" t="s">
        <v>10662</v>
      </c>
      <c r="N141" s="127" t="s">
        <v>10663</v>
      </c>
      <c r="O141" s="127" t="s">
        <v>13957</v>
      </c>
      <c r="P141" s="127" t="s">
        <v>14267</v>
      </c>
      <c r="Q141" s="127" t="s">
        <v>14577</v>
      </c>
    </row>
    <row r="142" spans="1:17" x14ac:dyDescent="0.35">
      <c r="A142" s="127" t="s">
        <v>6063</v>
      </c>
      <c r="C142" s="127" t="s">
        <v>10664</v>
      </c>
      <c r="D142" s="127" t="s">
        <v>13028</v>
      </c>
      <c r="I142" s="127" t="s">
        <v>10665</v>
      </c>
      <c r="J142" s="127" t="s">
        <v>13338</v>
      </c>
      <c r="K142" s="127" t="s">
        <v>10666</v>
      </c>
      <c r="L142" s="127" t="s">
        <v>13648</v>
      </c>
      <c r="M142" s="127" t="s">
        <v>10667</v>
      </c>
      <c r="N142" s="127" t="s">
        <v>10668</v>
      </c>
      <c r="O142" s="127" t="s">
        <v>13958</v>
      </c>
      <c r="P142" s="127" t="s">
        <v>14268</v>
      </c>
      <c r="Q142" s="127" t="s">
        <v>14578</v>
      </c>
    </row>
    <row r="143" spans="1:17" x14ac:dyDescent="0.35">
      <c r="A143" s="127" t="s">
        <v>6063</v>
      </c>
      <c r="C143" s="127" t="s">
        <v>10669</v>
      </c>
      <c r="D143" s="127" t="s">
        <v>13029</v>
      </c>
      <c r="I143" s="127" t="s">
        <v>10670</v>
      </c>
      <c r="J143" s="127" t="s">
        <v>13339</v>
      </c>
      <c r="K143" s="127" t="s">
        <v>10671</v>
      </c>
      <c r="L143" s="127" t="s">
        <v>13649</v>
      </c>
      <c r="M143" s="127" t="s">
        <v>10672</v>
      </c>
      <c r="N143" s="127" t="s">
        <v>10673</v>
      </c>
      <c r="O143" s="127" t="s">
        <v>13959</v>
      </c>
      <c r="P143" s="127" t="s">
        <v>14269</v>
      </c>
      <c r="Q143" s="127" t="s">
        <v>14579</v>
      </c>
    </row>
    <row r="144" spans="1:17" x14ac:dyDescent="0.35">
      <c r="A144" s="127" t="s">
        <v>6063</v>
      </c>
      <c r="C144" s="127" t="s">
        <v>10674</v>
      </c>
      <c r="D144" s="127" t="s">
        <v>13030</v>
      </c>
      <c r="I144" s="127" t="s">
        <v>10675</v>
      </c>
      <c r="J144" s="127" t="s">
        <v>13340</v>
      </c>
      <c r="K144" s="127" t="s">
        <v>10676</v>
      </c>
      <c r="L144" s="127" t="s">
        <v>13650</v>
      </c>
      <c r="M144" s="127" t="s">
        <v>10677</v>
      </c>
      <c r="N144" s="127" t="s">
        <v>10678</v>
      </c>
      <c r="O144" s="127" t="s">
        <v>13960</v>
      </c>
      <c r="P144" s="127" t="s">
        <v>14270</v>
      </c>
      <c r="Q144" s="127" t="s">
        <v>14580</v>
      </c>
    </row>
    <row r="145" spans="1:17" x14ac:dyDescent="0.35">
      <c r="A145" s="127" t="s">
        <v>6063</v>
      </c>
      <c r="C145" s="127" t="s">
        <v>10679</v>
      </c>
      <c r="D145" s="127" t="s">
        <v>13031</v>
      </c>
      <c r="I145" s="127" t="s">
        <v>10680</v>
      </c>
      <c r="J145" s="127" t="s">
        <v>13341</v>
      </c>
      <c r="K145" s="127" t="s">
        <v>10681</v>
      </c>
      <c r="L145" s="127" t="s">
        <v>13651</v>
      </c>
      <c r="M145" s="127" t="s">
        <v>10682</v>
      </c>
      <c r="N145" s="127" t="s">
        <v>10683</v>
      </c>
      <c r="O145" s="127" t="s">
        <v>13961</v>
      </c>
      <c r="P145" s="127" t="s">
        <v>14271</v>
      </c>
      <c r="Q145" s="127" t="s">
        <v>14581</v>
      </c>
    </row>
    <row r="146" spans="1:17" x14ac:dyDescent="0.35">
      <c r="A146" s="127" t="s">
        <v>6063</v>
      </c>
      <c r="C146" s="127" t="s">
        <v>10684</v>
      </c>
      <c r="D146" s="127" t="s">
        <v>13032</v>
      </c>
      <c r="I146" s="127" t="s">
        <v>10685</v>
      </c>
      <c r="J146" s="127" t="s">
        <v>13342</v>
      </c>
      <c r="K146" s="127" t="s">
        <v>10686</v>
      </c>
      <c r="L146" s="127" t="s">
        <v>13652</v>
      </c>
      <c r="M146" s="127" t="s">
        <v>10687</v>
      </c>
      <c r="N146" s="127" t="s">
        <v>10688</v>
      </c>
      <c r="O146" s="127" t="s">
        <v>13962</v>
      </c>
      <c r="P146" s="127" t="s">
        <v>14272</v>
      </c>
      <c r="Q146" s="127" t="s">
        <v>14582</v>
      </c>
    </row>
    <row r="147" spans="1:17" x14ac:dyDescent="0.35">
      <c r="A147" s="127" t="s">
        <v>6063</v>
      </c>
      <c r="C147" s="127" t="s">
        <v>10689</v>
      </c>
      <c r="D147" s="127" t="s">
        <v>13033</v>
      </c>
      <c r="I147" s="127" t="s">
        <v>10690</v>
      </c>
      <c r="J147" s="127" t="s">
        <v>13343</v>
      </c>
      <c r="K147" s="127" t="s">
        <v>10691</v>
      </c>
      <c r="L147" s="127" t="s">
        <v>13653</v>
      </c>
      <c r="M147" s="127" t="s">
        <v>10692</v>
      </c>
      <c r="N147" s="127" t="s">
        <v>10693</v>
      </c>
      <c r="O147" s="127" t="s">
        <v>13963</v>
      </c>
      <c r="P147" s="127" t="s">
        <v>14273</v>
      </c>
      <c r="Q147" s="127" t="s">
        <v>14583</v>
      </c>
    </row>
    <row r="148" spans="1:17" x14ac:dyDescent="0.35">
      <c r="A148" s="127" t="s">
        <v>6063</v>
      </c>
      <c r="C148" s="127" t="s">
        <v>10694</v>
      </c>
      <c r="D148" s="127" t="s">
        <v>13034</v>
      </c>
      <c r="I148" s="127" t="s">
        <v>10695</v>
      </c>
      <c r="J148" s="127" t="s">
        <v>13344</v>
      </c>
      <c r="K148" s="127" t="s">
        <v>10696</v>
      </c>
      <c r="L148" s="127" t="s">
        <v>13654</v>
      </c>
      <c r="M148" s="127" t="s">
        <v>10697</v>
      </c>
      <c r="N148" s="127" t="s">
        <v>10698</v>
      </c>
      <c r="O148" s="127" t="s">
        <v>13964</v>
      </c>
      <c r="P148" s="127" t="s">
        <v>14274</v>
      </c>
      <c r="Q148" s="127" t="s">
        <v>14584</v>
      </c>
    </row>
    <row r="149" spans="1:17" x14ac:dyDescent="0.35">
      <c r="A149" s="127" t="s">
        <v>6063</v>
      </c>
      <c r="C149" s="127" t="s">
        <v>10699</v>
      </c>
      <c r="D149" s="127" t="s">
        <v>13035</v>
      </c>
      <c r="I149" s="127" t="s">
        <v>10700</v>
      </c>
      <c r="J149" s="127" t="s">
        <v>13345</v>
      </c>
      <c r="K149" s="127" t="s">
        <v>10701</v>
      </c>
      <c r="L149" s="127" t="s">
        <v>13655</v>
      </c>
      <c r="M149" s="127" t="s">
        <v>10702</v>
      </c>
      <c r="N149" s="127" t="s">
        <v>10703</v>
      </c>
      <c r="O149" s="127" t="s">
        <v>13965</v>
      </c>
      <c r="P149" s="127" t="s">
        <v>14275</v>
      </c>
      <c r="Q149" s="127" t="s">
        <v>14585</v>
      </c>
    </row>
    <row r="150" spans="1:17" x14ac:dyDescent="0.35">
      <c r="A150" s="127" t="s">
        <v>6063</v>
      </c>
      <c r="C150" s="127" t="s">
        <v>10704</v>
      </c>
      <c r="D150" s="127" t="s">
        <v>13036</v>
      </c>
      <c r="I150" s="127" t="s">
        <v>10705</v>
      </c>
      <c r="J150" s="127" t="s">
        <v>13346</v>
      </c>
      <c r="K150" s="127" t="s">
        <v>10706</v>
      </c>
      <c r="L150" s="127" t="s">
        <v>13656</v>
      </c>
      <c r="M150" s="127" t="s">
        <v>10707</v>
      </c>
      <c r="N150" s="127" t="s">
        <v>10708</v>
      </c>
      <c r="O150" s="127" t="s">
        <v>13966</v>
      </c>
      <c r="P150" s="127" t="s">
        <v>14276</v>
      </c>
      <c r="Q150" s="127" t="s">
        <v>14586</v>
      </c>
    </row>
    <row r="151" spans="1:17" x14ac:dyDescent="0.35">
      <c r="A151" s="127" t="s">
        <v>6063</v>
      </c>
      <c r="C151" s="127" t="s">
        <v>10709</v>
      </c>
      <c r="D151" s="127" t="s">
        <v>13037</v>
      </c>
      <c r="I151" s="127" t="s">
        <v>10710</v>
      </c>
      <c r="J151" s="127" t="s">
        <v>13347</v>
      </c>
      <c r="K151" s="127" t="s">
        <v>10711</v>
      </c>
      <c r="L151" s="127" t="s">
        <v>13657</v>
      </c>
      <c r="M151" s="127" t="s">
        <v>10712</v>
      </c>
      <c r="N151" s="127" t="s">
        <v>10713</v>
      </c>
      <c r="O151" s="127" t="s">
        <v>13967</v>
      </c>
      <c r="P151" s="127" t="s">
        <v>14277</v>
      </c>
      <c r="Q151" s="127" t="s">
        <v>14587</v>
      </c>
    </row>
    <row r="152" spans="1:17" x14ac:dyDescent="0.35">
      <c r="A152" s="127" t="s">
        <v>6063</v>
      </c>
      <c r="C152" s="127" t="s">
        <v>10714</v>
      </c>
      <c r="D152" s="127" t="s">
        <v>13038</v>
      </c>
      <c r="I152" s="127" t="s">
        <v>10715</v>
      </c>
      <c r="J152" s="127" t="s">
        <v>13348</v>
      </c>
      <c r="K152" s="127" t="s">
        <v>10716</v>
      </c>
      <c r="L152" s="127" t="s">
        <v>13658</v>
      </c>
      <c r="M152" s="127" t="s">
        <v>10717</v>
      </c>
      <c r="N152" s="127" t="s">
        <v>10718</v>
      </c>
      <c r="O152" s="127" t="s">
        <v>13968</v>
      </c>
      <c r="P152" s="127" t="s">
        <v>14278</v>
      </c>
      <c r="Q152" s="127" t="s">
        <v>14588</v>
      </c>
    </row>
    <row r="153" spans="1:17" x14ac:dyDescent="0.35">
      <c r="A153" s="127" t="s">
        <v>6063</v>
      </c>
      <c r="C153" s="127" t="s">
        <v>10719</v>
      </c>
      <c r="D153" s="127" t="s">
        <v>13039</v>
      </c>
      <c r="I153" s="127" t="s">
        <v>10720</v>
      </c>
      <c r="J153" s="127" t="s">
        <v>13349</v>
      </c>
      <c r="K153" s="127" t="s">
        <v>10721</v>
      </c>
      <c r="L153" s="127" t="s">
        <v>13659</v>
      </c>
      <c r="M153" s="127" t="s">
        <v>10722</v>
      </c>
      <c r="N153" s="127" t="s">
        <v>10723</v>
      </c>
      <c r="O153" s="127" t="s">
        <v>13969</v>
      </c>
      <c r="P153" s="127" t="s">
        <v>14279</v>
      </c>
      <c r="Q153" s="127" t="s">
        <v>14589</v>
      </c>
    </row>
    <row r="154" spans="1:17" x14ac:dyDescent="0.35">
      <c r="A154" s="127" t="s">
        <v>6063</v>
      </c>
      <c r="C154" s="127" t="s">
        <v>10724</v>
      </c>
      <c r="D154" s="127" t="s">
        <v>13040</v>
      </c>
      <c r="I154" s="127" t="s">
        <v>10725</v>
      </c>
      <c r="J154" s="127" t="s">
        <v>13350</v>
      </c>
      <c r="K154" s="127" t="s">
        <v>10726</v>
      </c>
      <c r="L154" s="127" t="s">
        <v>13660</v>
      </c>
      <c r="M154" s="127" t="s">
        <v>10727</v>
      </c>
      <c r="N154" s="127" t="s">
        <v>10728</v>
      </c>
      <c r="O154" s="127" t="s">
        <v>13970</v>
      </c>
      <c r="P154" s="127" t="s">
        <v>14280</v>
      </c>
      <c r="Q154" s="127" t="s">
        <v>14590</v>
      </c>
    </row>
    <row r="155" spans="1:17" x14ac:dyDescent="0.35">
      <c r="A155" s="127" t="s">
        <v>6063</v>
      </c>
      <c r="C155" s="127" t="s">
        <v>10729</v>
      </c>
      <c r="D155" s="127" t="s">
        <v>13041</v>
      </c>
      <c r="I155" s="127" t="s">
        <v>10730</v>
      </c>
      <c r="J155" s="127" t="s">
        <v>13351</v>
      </c>
      <c r="K155" s="127" t="s">
        <v>10731</v>
      </c>
      <c r="L155" s="127" t="s">
        <v>13661</v>
      </c>
      <c r="M155" s="127" t="s">
        <v>10732</v>
      </c>
      <c r="N155" s="127" t="s">
        <v>10733</v>
      </c>
      <c r="O155" s="127" t="s">
        <v>13971</v>
      </c>
      <c r="P155" s="127" t="s">
        <v>14281</v>
      </c>
      <c r="Q155" s="127" t="s">
        <v>14591</v>
      </c>
    </row>
    <row r="156" spans="1:17" x14ac:dyDescent="0.35">
      <c r="A156" s="127" t="s">
        <v>6063</v>
      </c>
      <c r="C156" s="127" t="s">
        <v>10734</v>
      </c>
      <c r="D156" s="127" t="s">
        <v>13042</v>
      </c>
      <c r="I156" s="127" t="s">
        <v>10735</v>
      </c>
      <c r="J156" s="127" t="s">
        <v>13352</v>
      </c>
      <c r="K156" s="127" t="s">
        <v>10736</v>
      </c>
      <c r="L156" s="127" t="s">
        <v>13662</v>
      </c>
      <c r="M156" s="127" t="s">
        <v>10737</v>
      </c>
      <c r="N156" s="127" t="s">
        <v>10738</v>
      </c>
      <c r="O156" s="127" t="s">
        <v>13972</v>
      </c>
      <c r="P156" s="127" t="s">
        <v>14282</v>
      </c>
      <c r="Q156" s="127" t="s">
        <v>14592</v>
      </c>
    </row>
    <row r="157" spans="1:17" x14ac:dyDescent="0.35">
      <c r="A157" s="127" t="s">
        <v>6063</v>
      </c>
      <c r="C157" s="127" t="s">
        <v>10739</v>
      </c>
      <c r="D157" s="127" t="s">
        <v>13043</v>
      </c>
      <c r="I157" s="127" t="s">
        <v>10740</v>
      </c>
      <c r="J157" s="127" t="s">
        <v>13353</v>
      </c>
      <c r="K157" s="127" t="s">
        <v>10741</v>
      </c>
      <c r="L157" s="127" t="s">
        <v>13663</v>
      </c>
      <c r="M157" s="127" t="s">
        <v>10742</v>
      </c>
      <c r="N157" s="127" t="s">
        <v>10743</v>
      </c>
      <c r="O157" s="127" t="s">
        <v>13973</v>
      </c>
      <c r="P157" s="127" t="s">
        <v>14283</v>
      </c>
      <c r="Q157" s="127" t="s">
        <v>14593</v>
      </c>
    </row>
    <row r="158" spans="1:17" x14ac:dyDescent="0.35">
      <c r="A158" s="127" t="s">
        <v>6063</v>
      </c>
      <c r="C158" s="127" t="s">
        <v>10744</v>
      </c>
      <c r="D158" s="127" t="s">
        <v>13044</v>
      </c>
      <c r="I158" s="127" t="s">
        <v>10745</v>
      </c>
      <c r="J158" s="127" t="s">
        <v>13354</v>
      </c>
      <c r="K158" s="127" t="s">
        <v>10746</v>
      </c>
      <c r="L158" s="127" t="s">
        <v>13664</v>
      </c>
      <c r="M158" s="127" t="s">
        <v>10747</v>
      </c>
      <c r="N158" s="127" t="s">
        <v>10748</v>
      </c>
      <c r="O158" s="127" t="s">
        <v>13974</v>
      </c>
      <c r="P158" s="127" t="s">
        <v>14284</v>
      </c>
      <c r="Q158" s="127" t="s">
        <v>14594</v>
      </c>
    </row>
    <row r="159" spans="1:17" x14ac:dyDescent="0.35">
      <c r="A159" s="127" t="s">
        <v>6063</v>
      </c>
      <c r="C159" s="127" t="s">
        <v>10749</v>
      </c>
      <c r="D159" s="127" t="s">
        <v>13045</v>
      </c>
      <c r="I159" s="127" t="s">
        <v>10750</v>
      </c>
      <c r="J159" s="127" t="s">
        <v>13355</v>
      </c>
      <c r="K159" s="127" t="s">
        <v>10751</v>
      </c>
      <c r="L159" s="127" t="s">
        <v>13665</v>
      </c>
      <c r="M159" s="127" t="s">
        <v>10752</v>
      </c>
      <c r="N159" s="127" t="s">
        <v>10753</v>
      </c>
      <c r="O159" s="127" t="s">
        <v>13975</v>
      </c>
      <c r="P159" s="127" t="s">
        <v>14285</v>
      </c>
      <c r="Q159" s="127" t="s">
        <v>14595</v>
      </c>
    </row>
    <row r="160" spans="1:17" x14ac:dyDescent="0.35">
      <c r="A160" s="127" t="s">
        <v>6063</v>
      </c>
      <c r="C160" s="127" t="s">
        <v>10754</v>
      </c>
      <c r="D160" s="127" t="s">
        <v>13046</v>
      </c>
      <c r="I160" s="127" t="s">
        <v>10755</v>
      </c>
      <c r="J160" s="127" t="s">
        <v>13356</v>
      </c>
      <c r="K160" s="127" t="s">
        <v>10756</v>
      </c>
      <c r="L160" s="127" t="s">
        <v>13666</v>
      </c>
      <c r="M160" s="127" t="s">
        <v>10757</v>
      </c>
      <c r="N160" s="127" t="s">
        <v>10758</v>
      </c>
      <c r="O160" s="127" t="s">
        <v>13976</v>
      </c>
      <c r="P160" s="127" t="s">
        <v>14286</v>
      </c>
      <c r="Q160" s="127" t="s">
        <v>14596</v>
      </c>
    </row>
    <row r="161" spans="1:17" x14ac:dyDescent="0.35">
      <c r="A161" s="127" t="s">
        <v>6063</v>
      </c>
      <c r="C161" s="127" t="s">
        <v>10759</v>
      </c>
      <c r="D161" s="127" t="s">
        <v>13047</v>
      </c>
      <c r="I161" s="127" t="s">
        <v>10760</v>
      </c>
      <c r="J161" s="127" t="s">
        <v>13357</v>
      </c>
      <c r="K161" s="127" t="s">
        <v>10761</v>
      </c>
      <c r="L161" s="127" t="s">
        <v>13667</v>
      </c>
      <c r="M161" s="127" t="s">
        <v>10762</v>
      </c>
      <c r="N161" s="127" t="s">
        <v>10763</v>
      </c>
      <c r="O161" s="127" t="s">
        <v>13977</v>
      </c>
      <c r="P161" s="127" t="s">
        <v>14287</v>
      </c>
      <c r="Q161" s="127" t="s">
        <v>14597</v>
      </c>
    </row>
    <row r="162" spans="1:17" x14ac:dyDescent="0.35">
      <c r="A162" s="127" t="s">
        <v>6063</v>
      </c>
      <c r="C162" s="127" t="s">
        <v>10764</v>
      </c>
      <c r="D162" s="127" t="s">
        <v>13048</v>
      </c>
      <c r="I162" s="127" t="s">
        <v>10765</v>
      </c>
      <c r="J162" s="127" t="s">
        <v>13358</v>
      </c>
      <c r="K162" s="127" t="s">
        <v>10766</v>
      </c>
      <c r="L162" s="127" t="s">
        <v>13668</v>
      </c>
      <c r="M162" s="127" t="s">
        <v>10767</v>
      </c>
      <c r="N162" s="127" t="s">
        <v>10768</v>
      </c>
      <c r="O162" s="127" t="s">
        <v>13978</v>
      </c>
      <c r="P162" s="127" t="s">
        <v>14288</v>
      </c>
      <c r="Q162" s="127" t="s">
        <v>14598</v>
      </c>
    </row>
    <row r="163" spans="1:17" x14ac:dyDescent="0.35">
      <c r="A163" s="127" t="s">
        <v>6063</v>
      </c>
      <c r="C163" s="127" t="s">
        <v>10769</v>
      </c>
      <c r="D163" s="127" t="s">
        <v>13049</v>
      </c>
      <c r="I163" s="127" t="s">
        <v>10770</v>
      </c>
      <c r="J163" s="127" t="s">
        <v>13359</v>
      </c>
      <c r="K163" s="127" t="s">
        <v>10771</v>
      </c>
      <c r="L163" s="127" t="s">
        <v>13669</v>
      </c>
      <c r="M163" s="127" t="s">
        <v>10772</v>
      </c>
      <c r="N163" s="127" t="s">
        <v>10773</v>
      </c>
      <c r="O163" s="127" t="s">
        <v>13979</v>
      </c>
      <c r="P163" s="127" t="s">
        <v>14289</v>
      </c>
      <c r="Q163" s="127" t="s">
        <v>14599</v>
      </c>
    </row>
    <row r="164" spans="1:17" x14ac:dyDescent="0.35">
      <c r="A164" s="127" t="s">
        <v>6063</v>
      </c>
      <c r="C164" s="127" t="s">
        <v>10774</v>
      </c>
      <c r="D164" s="127" t="s">
        <v>13050</v>
      </c>
      <c r="I164" s="127" t="s">
        <v>10775</v>
      </c>
      <c r="J164" s="127" t="s">
        <v>13360</v>
      </c>
      <c r="K164" s="127" t="s">
        <v>10776</v>
      </c>
      <c r="L164" s="127" t="s">
        <v>13670</v>
      </c>
      <c r="M164" s="127" t="s">
        <v>10777</v>
      </c>
      <c r="N164" s="127" t="s">
        <v>10778</v>
      </c>
      <c r="O164" s="127" t="s">
        <v>13980</v>
      </c>
      <c r="P164" s="127" t="s">
        <v>14290</v>
      </c>
      <c r="Q164" s="127" t="s">
        <v>14600</v>
      </c>
    </row>
    <row r="165" spans="1:17" x14ac:dyDescent="0.35">
      <c r="A165" s="127" t="s">
        <v>6063</v>
      </c>
      <c r="C165" s="127" t="s">
        <v>10779</v>
      </c>
      <c r="D165" s="127" t="s">
        <v>13051</v>
      </c>
      <c r="I165" s="127" t="s">
        <v>10780</v>
      </c>
      <c r="J165" s="127" t="s">
        <v>13361</v>
      </c>
      <c r="K165" s="127" t="s">
        <v>10781</v>
      </c>
      <c r="L165" s="127" t="s">
        <v>13671</v>
      </c>
      <c r="M165" s="127" t="s">
        <v>10782</v>
      </c>
      <c r="N165" s="127" t="s">
        <v>10783</v>
      </c>
      <c r="O165" s="127" t="s">
        <v>13981</v>
      </c>
      <c r="P165" s="127" t="s">
        <v>14291</v>
      </c>
      <c r="Q165" s="127" t="s">
        <v>14601</v>
      </c>
    </row>
    <row r="166" spans="1:17" x14ac:dyDescent="0.35">
      <c r="A166" s="127" t="s">
        <v>6063</v>
      </c>
      <c r="C166" s="127" t="s">
        <v>10784</v>
      </c>
      <c r="D166" s="127" t="s">
        <v>13052</v>
      </c>
      <c r="I166" s="127" t="s">
        <v>10785</v>
      </c>
      <c r="J166" s="127" t="s">
        <v>13362</v>
      </c>
      <c r="K166" s="127" t="s">
        <v>10786</v>
      </c>
      <c r="L166" s="127" t="s">
        <v>13672</v>
      </c>
      <c r="M166" s="127" t="s">
        <v>10787</v>
      </c>
      <c r="N166" s="127" t="s">
        <v>10788</v>
      </c>
      <c r="O166" s="127" t="s">
        <v>13982</v>
      </c>
      <c r="P166" s="127" t="s">
        <v>14292</v>
      </c>
      <c r="Q166" s="127" t="s">
        <v>14602</v>
      </c>
    </row>
    <row r="167" spans="1:17" x14ac:dyDescent="0.35">
      <c r="A167" s="127" t="s">
        <v>6063</v>
      </c>
      <c r="C167" s="127" t="s">
        <v>10789</v>
      </c>
      <c r="D167" s="127" t="s">
        <v>13053</v>
      </c>
      <c r="I167" s="127" t="s">
        <v>10790</v>
      </c>
      <c r="J167" s="127" t="s">
        <v>13363</v>
      </c>
      <c r="K167" s="127" t="s">
        <v>10791</v>
      </c>
      <c r="L167" s="127" t="s">
        <v>13673</v>
      </c>
      <c r="M167" s="127" t="s">
        <v>10792</v>
      </c>
      <c r="N167" s="127" t="s">
        <v>10793</v>
      </c>
      <c r="O167" s="127" t="s">
        <v>13983</v>
      </c>
      <c r="P167" s="127" t="s">
        <v>14293</v>
      </c>
      <c r="Q167" s="127" t="s">
        <v>14603</v>
      </c>
    </row>
    <row r="168" spans="1:17" x14ac:dyDescent="0.35">
      <c r="A168" s="127" t="s">
        <v>6063</v>
      </c>
      <c r="C168" s="127" t="s">
        <v>10794</v>
      </c>
      <c r="D168" s="127" t="s">
        <v>13054</v>
      </c>
      <c r="I168" s="127" t="s">
        <v>10795</v>
      </c>
      <c r="J168" s="127" t="s">
        <v>13364</v>
      </c>
      <c r="K168" s="127" t="s">
        <v>10796</v>
      </c>
      <c r="L168" s="127" t="s">
        <v>13674</v>
      </c>
      <c r="M168" s="127" t="s">
        <v>10797</v>
      </c>
      <c r="N168" s="127" t="s">
        <v>10798</v>
      </c>
      <c r="O168" s="127" t="s">
        <v>13984</v>
      </c>
      <c r="P168" s="127" t="s">
        <v>14294</v>
      </c>
      <c r="Q168" s="127" t="s">
        <v>14604</v>
      </c>
    </row>
    <row r="169" spans="1:17" x14ac:dyDescent="0.35">
      <c r="A169" s="127" t="s">
        <v>6063</v>
      </c>
      <c r="C169" s="127" t="s">
        <v>10799</v>
      </c>
      <c r="D169" s="127" t="s">
        <v>13055</v>
      </c>
      <c r="I169" s="127" t="s">
        <v>10800</v>
      </c>
      <c r="J169" s="127" t="s">
        <v>13365</v>
      </c>
      <c r="K169" s="127" t="s">
        <v>10801</v>
      </c>
      <c r="L169" s="127" t="s">
        <v>13675</v>
      </c>
      <c r="M169" s="127" t="s">
        <v>10802</v>
      </c>
      <c r="N169" s="127" t="s">
        <v>10803</v>
      </c>
      <c r="O169" s="127" t="s">
        <v>13985</v>
      </c>
      <c r="P169" s="127" t="s">
        <v>14295</v>
      </c>
      <c r="Q169" s="127" t="s">
        <v>14605</v>
      </c>
    </row>
    <row r="170" spans="1:17" x14ac:dyDescent="0.35">
      <c r="A170" s="127" t="s">
        <v>6063</v>
      </c>
      <c r="C170" s="127" t="s">
        <v>10804</v>
      </c>
      <c r="D170" s="127" t="s">
        <v>13056</v>
      </c>
      <c r="I170" s="127" t="s">
        <v>10805</v>
      </c>
      <c r="J170" s="127" t="s">
        <v>13366</v>
      </c>
      <c r="K170" s="127" t="s">
        <v>10806</v>
      </c>
      <c r="L170" s="127" t="s">
        <v>13676</v>
      </c>
      <c r="M170" s="127" t="s">
        <v>10807</v>
      </c>
      <c r="N170" s="127" t="s">
        <v>10808</v>
      </c>
      <c r="O170" s="127" t="s">
        <v>13986</v>
      </c>
      <c r="P170" s="127" t="s">
        <v>14296</v>
      </c>
      <c r="Q170" s="127" t="s">
        <v>14606</v>
      </c>
    </row>
    <row r="171" spans="1:17" x14ac:dyDescent="0.35">
      <c r="A171" s="127" t="s">
        <v>6063</v>
      </c>
      <c r="C171" s="127" t="s">
        <v>10809</v>
      </c>
      <c r="D171" s="127" t="s">
        <v>13057</v>
      </c>
      <c r="I171" s="127" t="s">
        <v>10810</v>
      </c>
      <c r="J171" s="127" t="s">
        <v>13367</v>
      </c>
      <c r="K171" s="127" t="s">
        <v>10811</v>
      </c>
      <c r="L171" s="127" t="s">
        <v>13677</v>
      </c>
      <c r="M171" s="127" t="s">
        <v>10812</v>
      </c>
      <c r="N171" s="127" t="s">
        <v>10813</v>
      </c>
      <c r="O171" s="127" t="s">
        <v>13987</v>
      </c>
      <c r="P171" s="127" t="s">
        <v>14297</v>
      </c>
      <c r="Q171" s="127" t="s">
        <v>14607</v>
      </c>
    </row>
    <row r="172" spans="1:17" x14ac:dyDescent="0.35">
      <c r="A172" s="127" t="s">
        <v>6063</v>
      </c>
      <c r="C172" s="127" t="s">
        <v>10814</v>
      </c>
      <c r="D172" s="127" t="s">
        <v>13058</v>
      </c>
      <c r="I172" s="127" t="s">
        <v>10815</v>
      </c>
      <c r="J172" s="127" t="s">
        <v>13368</v>
      </c>
      <c r="K172" s="127" t="s">
        <v>10816</v>
      </c>
      <c r="L172" s="127" t="s">
        <v>13678</v>
      </c>
      <c r="M172" s="127" t="s">
        <v>10817</v>
      </c>
      <c r="N172" s="127" t="s">
        <v>10818</v>
      </c>
      <c r="O172" s="127" t="s">
        <v>13988</v>
      </c>
      <c r="P172" s="127" t="s">
        <v>14298</v>
      </c>
      <c r="Q172" s="127" t="s">
        <v>14608</v>
      </c>
    </row>
    <row r="173" spans="1:17" x14ac:dyDescent="0.35">
      <c r="A173" s="127" t="s">
        <v>6063</v>
      </c>
      <c r="C173" s="127" t="s">
        <v>10819</v>
      </c>
      <c r="D173" s="127" t="s">
        <v>13059</v>
      </c>
      <c r="I173" s="127" t="s">
        <v>10820</v>
      </c>
      <c r="J173" s="127" t="s">
        <v>13369</v>
      </c>
      <c r="K173" s="127" t="s">
        <v>10821</v>
      </c>
      <c r="L173" s="127" t="s">
        <v>13679</v>
      </c>
      <c r="M173" s="127" t="s">
        <v>10822</v>
      </c>
      <c r="N173" s="127" t="s">
        <v>10823</v>
      </c>
      <c r="O173" s="127" t="s">
        <v>13989</v>
      </c>
      <c r="P173" s="127" t="s">
        <v>14299</v>
      </c>
      <c r="Q173" s="127" t="s">
        <v>14609</v>
      </c>
    </row>
    <row r="174" spans="1:17" x14ac:dyDescent="0.35">
      <c r="A174" s="127" t="s">
        <v>6063</v>
      </c>
      <c r="C174" s="127" t="s">
        <v>10824</v>
      </c>
      <c r="D174" s="127" t="s">
        <v>13060</v>
      </c>
      <c r="I174" s="127" t="s">
        <v>10825</v>
      </c>
      <c r="J174" s="127" t="s">
        <v>13370</v>
      </c>
      <c r="K174" s="127" t="s">
        <v>10826</v>
      </c>
      <c r="L174" s="127" t="s">
        <v>13680</v>
      </c>
      <c r="M174" s="127" t="s">
        <v>10827</v>
      </c>
      <c r="N174" s="127" t="s">
        <v>10828</v>
      </c>
      <c r="O174" s="127" t="s">
        <v>13990</v>
      </c>
      <c r="P174" s="127" t="s">
        <v>14300</v>
      </c>
      <c r="Q174" s="127" t="s">
        <v>14610</v>
      </c>
    </row>
    <row r="175" spans="1:17" x14ac:dyDescent="0.35">
      <c r="A175" s="127" t="s">
        <v>6063</v>
      </c>
      <c r="C175" s="127" t="s">
        <v>10829</v>
      </c>
      <c r="D175" s="127" t="s">
        <v>13061</v>
      </c>
      <c r="I175" s="127" t="s">
        <v>10830</v>
      </c>
      <c r="J175" s="127" t="s">
        <v>13371</v>
      </c>
      <c r="K175" s="127" t="s">
        <v>10831</v>
      </c>
      <c r="L175" s="127" t="s">
        <v>13681</v>
      </c>
      <c r="M175" s="127" t="s">
        <v>10832</v>
      </c>
      <c r="N175" s="127" t="s">
        <v>10833</v>
      </c>
      <c r="O175" s="127" t="s">
        <v>13991</v>
      </c>
      <c r="P175" s="127" t="s">
        <v>14301</v>
      </c>
      <c r="Q175" s="127" t="s">
        <v>14611</v>
      </c>
    </row>
    <row r="176" spans="1:17" x14ac:dyDescent="0.35">
      <c r="A176" s="127" t="s">
        <v>6063</v>
      </c>
      <c r="C176" s="127" t="s">
        <v>10834</v>
      </c>
      <c r="D176" s="127" t="s">
        <v>13062</v>
      </c>
      <c r="I176" s="127" t="s">
        <v>10835</v>
      </c>
      <c r="J176" s="127" t="s">
        <v>13372</v>
      </c>
      <c r="K176" s="127" t="s">
        <v>10836</v>
      </c>
      <c r="L176" s="127" t="s">
        <v>13682</v>
      </c>
      <c r="M176" s="127" t="s">
        <v>10837</v>
      </c>
      <c r="N176" s="127" t="s">
        <v>10838</v>
      </c>
      <c r="O176" s="127" t="s">
        <v>13992</v>
      </c>
      <c r="P176" s="127" t="s">
        <v>14302</v>
      </c>
      <c r="Q176" s="127" t="s">
        <v>14612</v>
      </c>
    </row>
    <row r="177" spans="1:17" x14ac:dyDescent="0.35">
      <c r="A177" s="127" t="s">
        <v>6063</v>
      </c>
      <c r="C177" s="127" t="s">
        <v>10839</v>
      </c>
      <c r="D177" s="127" t="s">
        <v>13063</v>
      </c>
      <c r="I177" s="127" t="s">
        <v>10840</v>
      </c>
      <c r="J177" s="127" t="s">
        <v>13373</v>
      </c>
      <c r="K177" s="127" t="s">
        <v>10841</v>
      </c>
      <c r="L177" s="127" t="s">
        <v>13683</v>
      </c>
      <c r="M177" s="127" t="s">
        <v>10842</v>
      </c>
      <c r="N177" s="127" t="s">
        <v>10843</v>
      </c>
      <c r="O177" s="127" t="s">
        <v>13993</v>
      </c>
      <c r="P177" s="127" t="s">
        <v>14303</v>
      </c>
      <c r="Q177" s="127" t="s">
        <v>14613</v>
      </c>
    </row>
    <row r="178" spans="1:17" x14ac:dyDescent="0.35">
      <c r="A178" s="127" t="s">
        <v>6063</v>
      </c>
      <c r="C178" s="127" t="s">
        <v>10844</v>
      </c>
      <c r="D178" s="127" t="s">
        <v>13064</v>
      </c>
      <c r="I178" s="127" t="s">
        <v>10845</v>
      </c>
      <c r="J178" s="127" t="s">
        <v>13374</v>
      </c>
      <c r="K178" s="127" t="s">
        <v>10846</v>
      </c>
      <c r="L178" s="127" t="s">
        <v>13684</v>
      </c>
      <c r="M178" s="127" t="s">
        <v>10847</v>
      </c>
      <c r="N178" s="127" t="s">
        <v>10848</v>
      </c>
      <c r="O178" s="127" t="s">
        <v>13994</v>
      </c>
      <c r="P178" s="127" t="s">
        <v>14304</v>
      </c>
      <c r="Q178" s="127" t="s">
        <v>14614</v>
      </c>
    </row>
    <row r="179" spans="1:17" x14ac:dyDescent="0.35">
      <c r="A179" s="127" t="s">
        <v>6063</v>
      </c>
      <c r="C179" s="127" t="s">
        <v>10849</v>
      </c>
      <c r="D179" s="127" t="s">
        <v>13065</v>
      </c>
      <c r="I179" s="127" t="s">
        <v>10850</v>
      </c>
      <c r="J179" s="127" t="s">
        <v>13375</v>
      </c>
      <c r="K179" s="127" t="s">
        <v>10851</v>
      </c>
      <c r="L179" s="127" t="s">
        <v>13685</v>
      </c>
      <c r="M179" s="127" t="s">
        <v>10852</v>
      </c>
      <c r="N179" s="127" t="s">
        <v>10853</v>
      </c>
      <c r="O179" s="127" t="s">
        <v>13995</v>
      </c>
      <c r="P179" s="127" t="s">
        <v>14305</v>
      </c>
      <c r="Q179" s="127" t="s">
        <v>14615</v>
      </c>
    </row>
    <row r="180" spans="1:17" x14ac:dyDescent="0.35">
      <c r="A180" s="127" t="s">
        <v>6063</v>
      </c>
      <c r="C180" s="127" t="s">
        <v>10854</v>
      </c>
      <c r="D180" s="127" t="s">
        <v>13066</v>
      </c>
      <c r="I180" s="127" t="s">
        <v>10855</v>
      </c>
      <c r="J180" s="127" t="s">
        <v>13376</v>
      </c>
      <c r="K180" s="127" t="s">
        <v>10856</v>
      </c>
      <c r="L180" s="127" t="s">
        <v>13686</v>
      </c>
      <c r="M180" s="127" t="s">
        <v>10857</v>
      </c>
      <c r="N180" s="127" t="s">
        <v>10858</v>
      </c>
      <c r="O180" s="127" t="s">
        <v>13996</v>
      </c>
      <c r="P180" s="127" t="s">
        <v>14306</v>
      </c>
      <c r="Q180" s="127" t="s">
        <v>14616</v>
      </c>
    </row>
    <row r="181" spans="1:17" x14ac:dyDescent="0.35">
      <c r="A181" s="127" t="s">
        <v>6063</v>
      </c>
      <c r="C181" s="127" t="s">
        <v>10859</v>
      </c>
      <c r="D181" s="127" t="s">
        <v>13067</v>
      </c>
      <c r="I181" s="127" t="s">
        <v>10860</v>
      </c>
      <c r="J181" s="127" t="s">
        <v>13377</v>
      </c>
      <c r="K181" s="127" t="s">
        <v>10861</v>
      </c>
      <c r="L181" s="127" t="s">
        <v>13687</v>
      </c>
      <c r="M181" s="127" t="s">
        <v>10862</v>
      </c>
      <c r="N181" s="127" t="s">
        <v>10863</v>
      </c>
      <c r="O181" s="127" t="s">
        <v>13997</v>
      </c>
      <c r="P181" s="127" t="s">
        <v>14307</v>
      </c>
      <c r="Q181" s="127" t="s">
        <v>14617</v>
      </c>
    </row>
    <row r="182" spans="1:17" x14ac:dyDescent="0.35">
      <c r="A182" s="127" t="s">
        <v>6063</v>
      </c>
      <c r="C182" s="127" t="s">
        <v>10864</v>
      </c>
      <c r="D182" s="127" t="s">
        <v>13068</v>
      </c>
      <c r="I182" s="127" t="s">
        <v>10865</v>
      </c>
      <c r="J182" s="127" t="s">
        <v>13378</v>
      </c>
      <c r="K182" s="127" t="s">
        <v>10866</v>
      </c>
      <c r="L182" s="127" t="s">
        <v>13688</v>
      </c>
      <c r="M182" s="127" t="s">
        <v>10867</v>
      </c>
      <c r="N182" s="127" t="s">
        <v>10868</v>
      </c>
      <c r="O182" s="127" t="s">
        <v>13998</v>
      </c>
      <c r="P182" s="127" t="s">
        <v>14308</v>
      </c>
      <c r="Q182" s="127" t="s">
        <v>14618</v>
      </c>
    </row>
    <row r="183" spans="1:17" x14ac:dyDescent="0.35">
      <c r="A183" s="127" t="s">
        <v>6063</v>
      </c>
      <c r="C183" s="127" t="s">
        <v>10869</v>
      </c>
      <c r="D183" s="127" t="s">
        <v>13069</v>
      </c>
      <c r="I183" s="127" t="s">
        <v>10870</v>
      </c>
      <c r="J183" s="127" t="s">
        <v>13379</v>
      </c>
      <c r="K183" s="127" t="s">
        <v>10871</v>
      </c>
      <c r="L183" s="127" t="s">
        <v>13689</v>
      </c>
      <c r="M183" s="127" t="s">
        <v>10872</v>
      </c>
      <c r="N183" s="127" t="s">
        <v>10873</v>
      </c>
      <c r="O183" s="127" t="s">
        <v>13999</v>
      </c>
      <c r="P183" s="127" t="s">
        <v>14309</v>
      </c>
      <c r="Q183" s="127" t="s">
        <v>14619</v>
      </c>
    </row>
    <row r="184" spans="1:17" x14ac:dyDescent="0.35">
      <c r="A184" s="127" t="s">
        <v>6063</v>
      </c>
      <c r="C184" s="127" t="s">
        <v>10874</v>
      </c>
      <c r="D184" s="127" t="s">
        <v>13070</v>
      </c>
      <c r="I184" s="127" t="s">
        <v>10875</v>
      </c>
      <c r="J184" s="127" t="s">
        <v>13380</v>
      </c>
      <c r="K184" s="127" t="s">
        <v>10876</v>
      </c>
      <c r="L184" s="127" t="s">
        <v>13690</v>
      </c>
      <c r="M184" s="127" t="s">
        <v>10877</v>
      </c>
      <c r="N184" s="127" t="s">
        <v>10878</v>
      </c>
      <c r="O184" s="127" t="s">
        <v>14000</v>
      </c>
      <c r="P184" s="127" t="s">
        <v>14310</v>
      </c>
      <c r="Q184" s="127" t="s">
        <v>14620</v>
      </c>
    </row>
    <row r="185" spans="1:17" x14ac:dyDescent="0.35">
      <c r="A185" s="127" t="s">
        <v>6063</v>
      </c>
      <c r="C185" s="127" t="s">
        <v>10879</v>
      </c>
      <c r="D185" s="127" t="s">
        <v>13071</v>
      </c>
      <c r="I185" s="127" t="s">
        <v>10880</v>
      </c>
      <c r="J185" s="127" t="s">
        <v>13381</v>
      </c>
      <c r="K185" s="127" t="s">
        <v>10881</v>
      </c>
      <c r="L185" s="127" t="s">
        <v>13691</v>
      </c>
      <c r="M185" s="127" t="s">
        <v>10882</v>
      </c>
      <c r="N185" s="127" t="s">
        <v>10883</v>
      </c>
      <c r="O185" s="127" t="s">
        <v>14001</v>
      </c>
      <c r="P185" s="127" t="s">
        <v>14311</v>
      </c>
      <c r="Q185" s="127" t="s">
        <v>14621</v>
      </c>
    </row>
    <row r="186" spans="1:17" x14ac:dyDescent="0.35">
      <c r="A186" s="127" t="s">
        <v>6063</v>
      </c>
      <c r="C186" s="127" t="s">
        <v>10884</v>
      </c>
      <c r="D186" s="127" t="s">
        <v>13072</v>
      </c>
      <c r="I186" s="127" t="s">
        <v>10885</v>
      </c>
      <c r="J186" s="127" t="s">
        <v>13382</v>
      </c>
      <c r="K186" s="127" t="s">
        <v>10886</v>
      </c>
      <c r="L186" s="127" t="s">
        <v>13692</v>
      </c>
      <c r="M186" s="127" t="s">
        <v>10887</v>
      </c>
      <c r="N186" s="127" t="s">
        <v>10888</v>
      </c>
      <c r="O186" s="127" t="s">
        <v>14002</v>
      </c>
      <c r="P186" s="127" t="s">
        <v>14312</v>
      </c>
      <c r="Q186" s="127" t="s">
        <v>14622</v>
      </c>
    </row>
    <row r="187" spans="1:17" x14ac:dyDescent="0.35">
      <c r="A187" s="127" t="s">
        <v>6063</v>
      </c>
      <c r="C187" s="127" t="s">
        <v>10889</v>
      </c>
      <c r="D187" s="127" t="s">
        <v>13073</v>
      </c>
      <c r="I187" s="127" t="s">
        <v>10890</v>
      </c>
      <c r="J187" s="127" t="s">
        <v>13383</v>
      </c>
      <c r="K187" s="127" t="s">
        <v>10891</v>
      </c>
      <c r="L187" s="127" t="s">
        <v>13693</v>
      </c>
      <c r="M187" s="127" t="s">
        <v>10892</v>
      </c>
      <c r="N187" s="127" t="s">
        <v>10893</v>
      </c>
      <c r="O187" s="127" t="s">
        <v>14003</v>
      </c>
      <c r="P187" s="127" t="s">
        <v>14313</v>
      </c>
      <c r="Q187" s="127" t="s">
        <v>14623</v>
      </c>
    </row>
    <row r="188" spans="1:17" x14ac:dyDescent="0.35">
      <c r="A188" s="127" t="s">
        <v>6063</v>
      </c>
      <c r="C188" s="127" t="s">
        <v>10894</v>
      </c>
      <c r="D188" s="127" t="s">
        <v>13074</v>
      </c>
      <c r="I188" s="127" t="s">
        <v>10895</v>
      </c>
      <c r="J188" s="127" t="s">
        <v>13384</v>
      </c>
      <c r="K188" s="127" t="s">
        <v>10896</v>
      </c>
      <c r="L188" s="127" t="s">
        <v>13694</v>
      </c>
      <c r="M188" s="127" t="s">
        <v>10897</v>
      </c>
      <c r="N188" s="127" t="s">
        <v>10898</v>
      </c>
      <c r="O188" s="127" t="s">
        <v>14004</v>
      </c>
      <c r="P188" s="127" t="s">
        <v>14314</v>
      </c>
      <c r="Q188" s="127" t="s">
        <v>14624</v>
      </c>
    </row>
    <row r="189" spans="1:17" x14ac:dyDescent="0.35">
      <c r="A189" s="127" t="s">
        <v>6063</v>
      </c>
      <c r="C189" s="127" t="s">
        <v>10899</v>
      </c>
      <c r="D189" s="127" t="s">
        <v>13075</v>
      </c>
      <c r="I189" s="127" t="s">
        <v>10900</v>
      </c>
      <c r="J189" s="127" t="s">
        <v>13385</v>
      </c>
      <c r="K189" s="127" t="s">
        <v>10901</v>
      </c>
      <c r="L189" s="127" t="s">
        <v>13695</v>
      </c>
      <c r="M189" s="127" t="s">
        <v>10902</v>
      </c>
      <c r="N189" s="127" t="s">
        <v>10903</v>
      </c>
      <c r="O189" s="127" t="s">
        <v>14005</v>
      </c>
      <c r="P189" s="127" t="s">
        <v>14315</v>
      </c>
      <c r="Q189" s="127" t="s">
        <v>14625</v>
      </c>
    </row>
    <row r="190" spans="1:17" x14ac:dyDescent="0.35">
      <c r="A190" s="127" t="s">
        <v>6063</v>
      </c>
      <c r="C190" s="127" t="s">
        <v>10904</v>
      </c>
      <c r="D190" s="127" t="s">
        <v>13076</v>
      </c>
      <c r="I190" s="127" t="s">
        <v>10905</v>
      </c>
      <c r="J190" s="127" t="s">
        <v>13386</v>
      </c>
      <c r="K190" s="127" t="s">
        <v>10906</v>
      </c>
      <c r="L190" s="127" t="s">
        <v>13696</v>
      </c>
      <c r="M190" s="127" t="s">
        <v>10907</v>
      </c>
      <c r="N190" s="127" t="s">
        <v>10908</v>
      </c>
      <c r="O190" s="127" t="s">
        <v>14006</v>
      </c>
      <c r="P190" s="127" t="s">
        <v>14316</v>
      </c>
      <c r="Q190" s="127" t="s">
        <v>14626</v>
      </c>
    </row>
    <row r="191" spans="1:17" x14ac:dyDescent="0.35">
      <c r="A191" s="127" t="s">
        <v>6063</v>
      </c>
      <c r="C191" s="127" t="s">
        <v>10909</v>
      </c>
      <c r="D191" s="127" t="s">
        <v>13077</v>
      </c>
      <c r="I191" s="127" t="s">
        <v>10910</v>
      </c>
      <c r="J191" s="127" t="s">
        <v>13387</v>
      </c>
      <c r="K191" s="127" t="s">
        <v>10911</v>
      </c>
      <c r="L191" s="127" t="s">
        <v>13697</v>
      </c>
      <c r="M191" s="127" t="s">
        <v>10912</v>
      </c>
      <c r="N191" s="127" t="s">
        <v>10913</v>
      </c>
      <c r="O191" s="127" t="s">
        <v>14007</v>
      </c>
      <c r="P191" s="127" t="s">
        <v>14317</v>
      </c>
      <c r="Q191" s="127" t="s">
        <v>14627</v>
      </c>
    </row>
    <row r="192" spans="1:17" x14ac:dyDescent="0.35">
      <c r="A192" s="127" t="s">
        <v>6063</v>
      </c>
      <c r="C192" s="127" t="s">
        <v>10914</v>
      </c>
      <c r="D192" s="127" t="s">
        <v>13078</v>
      </c>
      <c r="I192" s="127" t="s">
        <v>10915</v>
      </c>
      <c r="J192" s="127" t="s">
        <v>13388</v>
      </c>
      <c r="K192" s="127" t="s">
        <v>10916</v>
      </c>
      <c r="L192" s="127" t="s">
        <v>13698</v>
      </c>
      <c r="M192" s="127" t="s">
        <v>10917</v>
      </c>
      <c r="N192" s="127" t="s">
        <v>10918</v>
      </c>
      <c r="O192" s="127" t="s">
        <v>14008</v>
      </c>
      <c r="P192" s="127" t="s">
        <v>14318</v>
      </c>
      <c r="Q192" s="127" t="s">
        <v>14628</v>
      </c>
    </row>
    <row r="193" spans="1:17" x14ac:dyDescent="0.35">
      <c r="A193" s="127" t="s">
        <v>6063</v>
      </c>
      <c r="C193" s="127" t="s">
        <v>10919</v>
      </c>
      <c r="D193" s="127" t="s">
        <v>13079</v>
      </c>
      <c r="I193" s="127" t="s">
        <v>10920</v>
      </c>
      <c r="J193" s="127" t="s">
        <v>13389</v>
      </c>
      <c r="K193" s="127" t="s">
        <v>10921</v>
      </c>
      <c r="L193" s="127" t="s">
        <v>13699</v>
      </c>
      <c r="M193" s="127" t="s">
        <v>10922</v>
      </c>
      <c r="N193" s="127" t="s">
        <v>10923</v>
      </c>
      <c r="O193" s="127" t="s">
        <v>14009</v>
      </c>
      <c r="P193" s="127" t="s">
        <v>14319</v>
      </c>
      <c r="Q193" s="127" t="s">
        <v>14629</v>
      </c>
    </row>
    <row r="194" spans="1:17" x14ac:dyDescent="0.35">
      <c r="A194" s="127" t="s">
        <v>6063</v>
      </c>
      <c r="C194" s="127" t="s">
        <v>10924</v>
      </c>
      <c r="D194" s="127" t="s">
        <v>13080</v>
      </c>
      <c r="I194" s="127" t="s">
        <v>10925</v>
      </c>
      <c r="J194" s="127" t="s">
        <v>13390</v>
      </c>
      <c r="K194" s="127" t="s">
        <v>10926</v>
      </c>
      <c r="L194" s="127" t="s">
        <v>13700</v>
      </c>
      <c r="M194" s="127" t="s">
        <v>10927</v>
      </c>
      <c r="N194" s="127" t="s">
        <v>10928</v>
      </c>
      <c r="O194" s="127" t="s">
        <v>14010</v>
      </c>
      <c r="P194" s="127" t="s">
        <v>14320</v>
      </c>
      <c r="Q194" s="127" t="s">
        <v>14630</v>
      </c>
    </row>
    <row r="195" spans="1:17" x14ac:dyDescent="0.35">
      <c r="A195" s="127" t="s">
        <v>6063</v>
      </c>
      <c r="C195" s="127" t="s">
        <v>10929</v>
      </c>
      <c r="D195" s="127" t="s">
        <v>13081</v>
      </c>
      <c r="I195" s="127" t="s">
        <v>10930</v>
      </c>
      <c r="J195" s="127" t="s">
        <v>13391</v>
      </c>
      <c r="K195" s="127" t="s">
        <v>10931</v>
      </c>
      <c r="L195" s="127" t="s">
        <v>13701</v>
      </c>
      <c r="M195" s="127" t="s">
        <v>10932</v>
      </c>
      <c r="N195" s="127" t="s">
        <v>10933</v>
      </c>
      <c r="O195" s="127" t="s">
        <v>14011</v>
      </c>
      <c r="P195" s="127" t="s">
        <v>14321</v>
      </c>
      <c r="Q195" s="127" t="s">
        <v>14631</v>
      </c>
    </row>
    <row r="196" spans="1:17" x14ac:dyDescent="0.35">
      <c r="A196" s="127" t="s">
        <v>6063</v>
      </c>
      <c r="C196" s="127" t="s">
        <v>10934</v>
      </c>
      <c r="D196" s="127" t="s">
        <v>13082</v>
      </c>
      <c r="I196" s="127" t="s">
        <v>10935</v>
      </c>
      <c r="J196" s="127" t="s">
        <v>13392</v>
      </c>
      <c r="K196" s="127" t="s">
        <v>10936</v>
      </c>
      <c r="L196" s="127" t="s">
        <v>13702</v>
      </c>
      <c r="M196" s="127" t="s">
        <v>10937</v>
      </c>
      <c r="N196" s="127" t="s">
        <v>10938</v>
      </c>
      <c r="O196" s="127" t="s">
        <v>14012</v>
      </c>
      <c r="P196" s="127" t="s">
        <v>14322</v>
      </c>
      <c r="Q196" s="127" t="s">
        <v>14632</v>
      </c>
    </row>
    <row r="197" spans="1:17" x14ac:dyDescent="0.35">
      <c r="A197" s="127" t="s">
        <v>6063</v>
      </c>
      <c r="C197" s="127" t="s">
        <v>10939</v>
      </c>
      <c r="D197" s="127" t="s">
        <v>13083</v>
      </c>
      <c r="I197" s="127" t="s">
        <v>10940</v>
      </c>
      <c r="J197" s="127" t="s">
        <v>13393</v>
      </c>
      <c r="K197" s="127" t="s">
        <v>10941</v>
      </c>
      <c r="L197" s="127" t="s">
        <v>13703</v>
      </c>
      <c r="M197" s="127" t="s">
        <v>10942</v>
      </c>
      <c r="N197" s="127" t="s">
        <v>10943</v>
      </c>
      <c r="O197" s="127" t="s">
        <v>14013</v>
      </c>
      <c r="P197" s="127" t="s">
        <v>14323</v>
      </c>
      <c r="Q197" s="127" t="s">
        <v>14633</v>
      </c>
    </row>
    <row r="198" spans="1:17" x14ac:dyDescent="0.35">
      <c r="A198" s="127" t="s">
        <v>6063</v>
      </c>
      <c r="C198" s="127" t="s">
        <v>10944</v>
      </c>
      <c r="D198" s="127" t="s">
        <v>13084</v>
      </c>
      <c r="I198" s="127" t="s">
        <v>10945</v>
      </c>
      <c r="J198" s="127" t="s">
        <v>13394</v>
      </c>
      <c r="K198" s="127" t="s">
        <v>10946</v>
      </c>
      <c r="L198" s="127" t="s">
        <v>13704</v>
      </c>
      <c r="M198" s="127" t="s">
        <v>10947</v>
      </c>
      <c r="N198" s="127" t="s">
        <v>10948</v>
      </c>
      <c r="O198" s="127" t="s">
        <v>14014</v>
      </c>
      <c r="P198" s="127" t="s">
        <v>14324</v>
      </c>
      <c r="Q198" s="127" t="s">
        <v>14634</v>
      </c>
    </row>
    <row r="199" spans="1:17" x14ac:dyDescent="0.35">
      <c r="A199" s="127" t="s">
        <v>6063</v>
      </c>
      <c r="C199" s="127" t="s">
        <v>10949</v>
      </c>
      <c r="D199" s="127" t="s">
        <v>13085</v>
      </c>
      <c r="I199" s="127" t="s">
        <v>10950</v>
      </c>
      <c r="J199" s="127" t="s">
        <v>13395</v>
      </c>
      <c r="K199" s="127" t="s">
        <v>10951</v>
      </c>
      <c r="L199" s="127" t="s">
        <v>13705</v>
      </c>
      <c r="M199" s="127" t="s">
        <v>10952</v>
      </c>
      <c r="N199" s="127" t="s">
        <v>10953</v>
      </c>
      <c r="O199" s="127" t="s">
        <v>14015</v>
      </c>
      <c r="P199" s="127" t="s">
        <v>14325</v>
      </c>
      <c r="Q199" s="127" t="s">
        <v>14635</v>
      </c>
    </row>
    <row r="200" spans="1:17" x14ac:dyDescent="0.35">
      <c r="A200" s="127" t="s">
        <v>6063</v>
      </c>
      <c r="C200" s="127" t="s">
        <v>10954</v>
      </c>
      <c r="D200" s="127" t="s">
        <v>13086</v>
      </c>
      <c r="I200" s="127" t="s">
        <v>10955</v>
      </c>
      <c r="J200" s="127" t="s">
        <v>13396</v>
      </c>
      <c r="K200" s="127" t="s">
        <v>10956</v>
      </c>
      <c r="L200" s="127" t="s">
        <v>13706</v>
      </c>
      <c r="M200" s="127" t="s">
        <v>10957</v>
      </c>
      <c r="N200" s="127" t="s">
        <v>10958</v>
      </c>
      <c r="O200" s="127" t="s">
        <v>14016</v>
      </c>
      <c r="P200" s="127" t="s">
        <v>14326</v>
      </c>
      <c r="Q200" s="127" t="s">
        <v>14636</v>
      </c>
    </row>
    <row r="201" spans="1:17" x14ac:dyDescent="0.35">
      <c r="A201" s="127" t="s">
        <v>6063</v>
      </c>
      <c r="C201" s="127" t="s">
        <v>10959</v>
      </c>
      <c r="D201" s="127" t="s">
        <v>13087</v>
      </c>
      <c r="I201" s="127" t="s">
        <v>10960</v>
      </c>
      <c r="J201" s="127" t="s">
        <v>13397</v>
      </c>
      <c r="K201" s="127" t="s">
        <v>10961</v>
      </c>
      <c r="L201" s="127" t="s">
        <v>13707</v>
      </c>
      <c r="M201" s="127" t="s">
        <v>10962</v>
      </c>
      <c r="N201" s="127" t="s">
        <v>10963</v>
      </c>
      <c r="O201" s="127" t="s">
        <v>14017</v>
      </c>
      <c r="P201" s="127" t="s">
        <v>14327</v>
      </c>
      <c r="Q201" s="127" t="s">
        <v>14637</v>
      </c>
    </row>
    <row r="202" spans="1:17" x14ac:dyDescent="0.35">
      <c r="A202" s="127" t="s">
        <v>6063</v>
      </c>
      <c r="C202" s="127" t="s">
        <v>10964</v>
      </c>
      <c r="D202" s="127" t="s">
        <v>13088</v>
      </c>
      <c r="I202" s="127" t="s">
        <v>10965</v>
      </c>
      <c r="J202" s="127" t="s">
        <v>13398</v>
      </c>
      <c r="K202" s="127" t="s">
        <v>10966</v>
      </c>
      <c r="L202" s="127" t="s">
        <v>13708</v>
      </c>
      <c r="M202" s="127" t="s">
        <v>10967</v>
      </c>
      <c r="N202" s="127" t="s">
        <v>10968</v>
      </c>
      <c r="O202" s="127" t="s">
        <v>14018</v>
      </c>
      <c r="P202" s="127" t="s">
        <v>14328</v>
      </c>
      <c r="Q202" s="127" t="s">
        <v>14638</v>
      </c>
    </row>
    <row r="203" spans="1:17" x14ac:dyDescent="0.35">
      <c r="A203" s="127" t="s">
        <v>6063</v>
      </c>
      <c r="C203" s="127" t="s">
        <v>10969</v>
      </c>
      <c r="D203" s="127" t="s">
        <v>13089</v>
      </c>
      <c r="I203" s="127" t="s">
        <v>10970</v>
      </c>
      <c r="J203" s="127" t="s">
        <v>13399</v>
      </c>
      <c r="K203" s="127" t="s">
        <v>10971</v>
      </c>
      <c r="L203" s="127" t="s">
        <v>13709</v>
      </c>
      <c r="M203" s="127" t="s">
        <v>10972</v>
      </c>
      <c r="N203" s="127" t="s">
        <v>10973</v>
      </c>
      <c r="O203" s="127" t="s">
        <v>14019</v>
      </c>
      <c r="P203" s="127" t="s">
        <v>14329</v>
      </c>
      <c r="Q203" s="127" t="s">
        <v>14639</v>
      </c>
    </row>
    <row r="204" spans="1:17" x14ac:dyDescent="0.35">
      <c r="A204" s="127" t="s">
        <v>6063</v>
      </c>
      <c r="C204" s="127" t="s">
        <v>10974</v>
      </c>
      <c r="D204" s="127" t="s">
        <v>13090</v>
      </c>
      <c r="I204" s="127" t="s">
        <v>10975</v>
      </c>
      <c r="J204" s="127" t="s">
        <v>13400</v>
      </c>
      <c r="K204" s="127" t="s">
        <v>10976</v>
      </c>
      <c r="L204" s="127" t="s">
        <v>13710</v>
      </c>
      <c r="M204" s="127" t="s">
        <v>10977</v>
      </c>
      <c r="N204" s="127" t="s">
        <v>10978</v>
      </c>
      <c r="O204" s="127" t="s">
        <v>14020</v>
      </c>
      <c r="P204" s="127" t="s">
        <v>14330</v>
      </c>
      <c r="Q204" s="127" t="s">
        <v>14640</v>
      </c>
    </row>
    <row r="205" spans="1:17" x14ac:dyDescent="0.35">
      <c r="A205" s="127" t="s">
        <v>6063</v>
      </c>
      <c r="C205" s="127" t="s">
        <v>10979</v>
      </c>
      <c r="D205" s="127" t="s">
        <v>13091</v>
      </c>
      <c r="I205" s="127" t="s">
        <v>10980</v>
      </c>
      <c r="J205" s="127" t="s">
        <v>13401</v>
      </c>
      <c r="K205" s="127" t="s">
        <v>10981</v>
      </c>
      <c r="L205" s="127" t="s">
        <v>13711</v>
      </c>
      <c r="M205" s="127" t="s">
        <v>10982</v>
      </c>
      <c r="N205" s="127" t="s">
        <v>10983</v>
      </c>
      <c r="O205" s="127" t="s">
        <v>14021</v>
      </c>
      <c r="P205" s="127" t="s">
        <v>14331</v>
      </c>
      <c r="Q205" s="127" t="s">
        <v>14641</v>
      </c>
    </row>
    <row r="206" spans="1:17" x14ac:dyDescent="0.35">
      <c r="A206" s="127" t="s">
        <v>6063</v>
      </c>
      <c r="C206" s="127" t="s">
        <v>10984</v>
      </c>
      <c r="D206" s="127" t="s">
        <v>13092</v>
      </c>
      <c r="I206" s="127" t="s">
        <v>10985</v>
      </c>
      <c r="J206" s="127" t="s">
        <v>13402</v>
      </c>
      <c r="K206" s="127" t="s">
        <v>10986</v>
      </c>
      <c r="L206" s="127" t="s">
        <v>13712</v>
      </c>
      <c r="M206" s="127" t="s">
        <v>10987</v>
      </c>
      <c r="N206" s="127" t="s">
        <v>10988</v>
      </c>
      <c r="O206" s="127" t="s">
        <v>14022</v>
      </c>
      <c r="P206" s="127" t="s">
        <v>14332</v>
      </c>
      <c r="Q206" s="127" t="s">
        <v>14642</v>
      </c>
    </row>
    <row r="207" spans="1:17" x14ac:dyDescent="0.35">
      <c r="A207" s="127" t="s">
        <v>6063</v>
      </c>
      <c r="C207" s="127" t="s">
        <v>10989</v>
      </c>
      <c r="D207" s="127" t="s">
        <v>13093</v>
      </c>
      <c r="I207" s="127" t="s">
        <v>10990</v>
      </c>
      <c r="J207" s="127" t="s">
        <v>13403</v>
      </c>
      <c r="K207" s="127" t="s">
        <v>10991</v>
      </c>
      <c r="L207" s="127" t="s">
        <v>13713</v>
      </c>
      <c r="M207" s="127" t="s">
        <v>10992</v>
      </c>
      <c r="N207" s="127" t="s">
        <v>10993</v>
      </c>
      <c r="O207" s="127" t="s">
        <v>14023</v>
      </c>
      <c r="P207" s="127" t="s">
        <v>14333</v>
      </c>
      <c r="Q207" s="127" t="s">
        <v>14643</v>
      </c>
    </row>
    <row r="208" spans="1:17" x14ac:dyDescent="0.35">
      <c r="A208" s="127" t="s">
        <v>6063</v>
      </c>
      <c r="C208" s="127" t="s">
        <v>10994</v>
      </c>
      <c r="D208" s="127" t="s">
        <v>13094</v>
      </c>
      <c r="I208" s="127" t="s">
        <v>10995</v>
      </c>
      <c r="J208" s="127" t="s">
        <v>13404</v>
      </c>
      <c r="K208" s="127" t="s">
        <v>10996</v>
      </c>
      <c r="L208" s="127" t="s">
        <v>13714</v>
      </c>
      <c r="M208" s="127" t="s">
        <v>10997</v>
      </c>
      <c r="N208" s="127" t="s">
        <v>10998</v>
      </c>
      <c r="O208" s="127" t="s">
        <v>14024</v>
      </c>
      <c r="P208" s="127" t="s">
        <v>14334</v>
      </c>
      <c r="Q208" s="127" t="s">
        <v>14644</v>
      </c>
    </row>
    <row r="209" spans="1:17" x14ac:dyDescent="0.35">
      <c r="A209" s="127" t="s">
        <v>6063</v>
      </c>
      <c r="C209" s="127" t="s">
        <v>10999</v>
      </c>
      <c r="D209" s="127" t="s">
        <v>13095</v>
      </c>
      <c r="I209" s="127" t="s">
        <v>11000</v>
      </c>
      <c r="J209" s="127" t="s">
        <v>13405</v>
      </c>
      <c r="K209" s="127" t="s">
        <v>11001</v>
      </c>
      <c r="L209" s="127" t="s">
        <v>13715</v>
      </c>
      <c r="M209" s="127" t="s">
        <v>11002</v>
      </c>
      <c r="N209" s="127" t="s">
        <v>11003</v>
      </c>
      <c r="O209" s="127" t="s">
        <v>14025</v>
      </c>
      <c r="P209" s="127" t="s">
        <v>14335</v>
      </c>
      <c r="Q209" s="127" t="s">
        <v>14645</v>
      </c>
    </row>
    <row r="210" spans="1:17" x14ac:dyDescent="0.35">
      <c r="A210" s="127" t="s">
        <v>6063</v>
      </c>
      <c r="C210" s="127" t="s">
        <v>11004</v>
      </c>
      <c r="D210" s="127" t="s">
        <v>13096</v>
      </c>
      <c r="I210" s="127" t="s">
        <v>11005</v>
      </c>
      <c r="J210" s="127" t="s">
        <v>13406</v>
      </c>
      <c r="K210" s="127" t="s">
        <v>11006</v>
      </c>
      <c r="L210" s="127" t="s">
        <v>13716</v>
      </c>
      <c r="M210" s="127" t="s">
        <v>11007</v>
      </c>
      <c r="N210" s="127" t="s">
        <v>11008</v>
      </c>
      <c r="O210" s="127" t="s">
        <v>14026</v>
      </c>
      <c r="P210" s="127" t="s">
        <v>14336</v>
      </c>
      <c r="Q210" s="127" t="s">
        <v>14646</v>
      </c>
    </row>
    <row r="211" spans="1:17" x14ac:dyDescent="0.35">
      <c r="A211" s="127" t="s">
        <v>6063</v>
      </c>
      <c r="C211" s="127" t="s">
        <v>11009</v>
      </c>
      <c r="D211" s="127" t="s">
        <v>13097</v>
      </c>
      <c r="I211" s="127" t="s">
        <v>11010</v>
      </c>
      <c r="J211" s="127" t="s">
        <v>13407</v>
      </c>
      <c r="K211" s="127" t="s">
        <v>11011</v>
      </c>
      <c r="L211" s="127" t="s">
        <v>13717</v>
      </c>
      <c r="M211" s="127" t="s">
        <v>11012</v>
      </c>
      <c r="N211" s="127" t="s">
        <v>11013</v>
      </c>
      <c r="O211" s="127" t="s">
        <v>14027</v>
      </c>
      <c r="P211" s="127" t="s">
        <v>14337</v>
      </c>
      <c r="Q211" s="127" t="s">
        <v>14647</v>
      </c>
    </row>
    <row r="212" spans="1:17" x14ac:dyDescent="0.35">
      <c r="A212" s="127" t="s">
        <v>6063</v>
      </c>
      <c r="C212" s="127" t="s">
        <v>11014</v>
      </c>
      <c r="D212" s="127" t="s">
        <v>13098</v>
      </c>
      <c r="I212" s="127" t="s">
        <v>11015</v>
      </c>
      <c r="J212" s="127" t="s">
        <v>13408</v>
      </c>
      <c r="K212" s="127" t="s">
        <v>11016</v>
      </c>
      <c r="L212" s="127" t="s">
        <v>13718</v>
      </c>
      <c r="M212" s="127" t="s">
        <v>11017</v>
      </c>
      <c r="N212" s="127" t="s">
        <v>11018</v>
      </c>
      <c r="O212" s="127" t="s">
        <v>14028</v>
      </c>
      <c r="P212" s="127" t="s">
        <v>14338</v>
      </c>
      <c r="Q212" s="127" t="s">
        <v>14648</v>
      </c>
    </row>
    <row r="213" spans="1:17" x14ac:dyDescent="0.35">
      <c r="A213" s="127" t="s">
        <v>6063</v>
      </c>
      <c r="C213" s="127" t="s">
        <v>11019</v>
      </c>
      <c r="D213" s="127" t="s">
        <v>13099</v>
      </c>
      <c r="I213" s="127" t="s">
        <v>11020</v>
      </c>
      <c r="J213" s="127" t="s">
        <v>13409</v>
      </c>
      <c r="K213" s="127" t="s">
        <v>11021</v>
      </c>
      <c r="L213" s="127" t="s">
        <v>13719</v>
      </c>
      <c r="M213" s="127" t="s">
        <v>11022</v>
      </c>
      <c r="N213" s="127" t="s">
        <v>11023</v>
      </c>
      <c r="O213" s="127" t="s">
        <v>14029</v>
      </c>
      <c r="P213" s="127" t="s">
        <v>14339</v>
      </c>
      <c r="Q213" s="127" t="s">
        <v>14649</v>
      </c>
    </row>
    <row r="214" spans="1:17" x14ac:dyDescent="0.35">
      <c r="A214" s="127" t="s">
        <v>6063</v>
      </c>
      <c r="C214" s="127" t="s">
        <v>11024</v>
      </c>
      <c r="D214" s="127" t="s">
        <v>13100</v>
      </c>
      <c r="I214" s="127" t="s">
        <v>11025</v>
      </c>
      <c r="J214" s="127" t="s">
        <v>13410</v>
      </c>
      <c r="K214" s="127" t="s">
        <v>11026</v>
      </c>
      <c r="L214" s="127" t="s">
        <v>13720</v>
      </c>
      <c r="M214" s="127" t="s">
        <v>11027</v>
      </c>
      <c r="N214" s="127" t="s">
        <v>11028</v>
      </c>
      <c r="O214" s="127" t="s">
        <v>14030</v>
      </c>
      <c r="P214" s="127" t="s">
        <v>14340</v>
      </c>
      <c r="Q214" s="127" t="s">
        <v>14650</v>
      </c>
    </row>
    <row r="215" spans="1:17" x14ac:dyDescent="0.35">
      <c r="A215" s="127" t="s">
        <v>6063</v>
      </c>
      <c r="C215" s="127" t="s">
        <v>11029</v>
      </c>
      <c r="D215" s="127" t="s">
        <v>13101</v>
      </c>
      <c r="I215" s="127" t="s">
        <v>11030</v>
      </c>
      <c r="J215" s="127" t="s">
        <v>13411</v>
      </c>
      <c r="K215" s="127" t="s">
        <v>11031</v>
      </c>
      <c r="L215" s="127" t="s">
        <v>13721</v>
      </c>
      <c r="M215" s="127" t="s">
        <v>11032</v>
      </c>
      <c r="N215" s="127" t="s">
        <v>11033</v>
      </c>
      <c r="O215" s="127" t="s">
        <v>14031</v>
      </c>
      <c r="P215" s="127" t="s">
        <v>14341</v>
      </c>
      <c r="Q215" s="127" t="s">
        <v>14651</v>
      </c>
    </row>
    <row r="216" spans="1:17" x14ac:dyDescent="0.35">
      <c r="A216" s="127" t="s">
        <v>6063</v>
      </c>
      <c r="C216" s="127" t="s">
        <v>11034</v>
      </c>
      <c r="D216" s="127" t="s">
        <v>13102</v>
      </c>
      <c r="I216" s="127" t="s">
        <v>11035</v>
      </c>
      <c r="J216" s="127" t="s">
        <v>13412</v>
      </c>
      <c r="K216" s="127" t="s">
        <v>11036</v>
      </c>
      <c r="L216" s="127" t="s">
        <v>13722</v>
      </c>
      <c r="M216" s="127" t="s">
        <v>11037</v>
      </c>
      <c r="N216" s="127" t="s">
        <v>11038</v>
      </c>
      <c r="O216" s="127" t="s">
        <v>14032</v>
      </c>
      <c r="P216" s="127" t="s">
        <v>14342</v>
      </c>
      <c r="Q216" s="127" t="s">
        <v>14652</v>
      </c>
    </row>
    <row r="217" spans="1:17" x14ac:dyDescent="0.35">
      <c r="A217" s="127" t="s">
        <v>6063</v>
      </c>
      <c r="C217" s="127" t="s">
        <v>11039</v>
      </c>
      <c r="D217" s="127" t="s">
        <v>13103</v>
      </c>
      <c r="I217" s="127" t="s">
        <v>11040</v>
      </c>
      <c r="J217" s="127" t="s">
        <v>13413</v>
      </c>
      <c r="K217" s="127" t="s">
        <v>11041</v>
      </c>
      <c r="L217" s="127" t="s">
        <v>13723</v>
      </c>
      <c r="M217" s="127" t="s">
        <v>11042</v>
      </c>
      <c r="N217" s="127" t="s">
        <v>11043</v>
      </c>
      <c r="O217" s="127" t="s">
        <v>14033</v>
      </c>
      <c r="P217" s="127" t="s">
        <v>14343</v>
      </c>
      <c r="Q217" s="127" t="s">
        <v>14653</v>
      </c>
    </row>
    <row r="218" spans="1:17" x14ac:dyDescent="0.35">
      <c r="A218" s="127" t="s">
        <v>6063</v>
      </c>
      <c r="C218" s="127" t="s">
        <v>11044</v>
      </c>
      <c r="D218" s="127" t="s">
        <v>13104</v>
      </c>
      <c r="I218" s="127" t="s">
        <v>11045</v>
      </c>
      <c r="J218" s="127" t="s">
        <v>13414</v>
      </c>
      <c r="K218" s="127" t="s">
        <v>11046</v>
      </c>
      <c r="L218" s="127" t="s">
        <v>13724</v>
      </c>
      <c r="M218" s="127" t="s">
        <v>11047</v>
      </c>
      <c r="N218" s="127" t="s">
        <v>11048</v>
      </c>
      <c r="O218" s="127" t="s">
        <v>14034</v>
      </c>
      <c r="P218" s="127" t="s">
        <v>14344</v>
      </c>
      <c r="Q218" s="127" t="s">
        <v>14654</v>
      </c>
    </row>
    <row r="219" spans="1:17" x14ac:dyDescent="0.35">
      <c r="A219" s="127" t="s">
        <v>6063</v>
      </c>
      <c r="C219" s="127" t="s">
        <v>11049</v>
      </c>
      <c r="D219" s="127" t="s">
        <v>13105</v>
      </c>
      <c r="I219" s="127" t="s">
        <v>11050</v>
      </c>
      <c r="J219" s="127" t="s">
        <v>13415</v>
      </c>
      <c r="K219" s="127" t="s">
        <v>11051</v>
      </c>
      <c r="L219" s="127" t="s">
        <v>13725</v>
      </c>
      <c r="M219" s="127" t="s">
        <v>11052</v>
      </c>
      <c r="N219" s="127" t="s">
        <v>11053</v>
      </c>
      <c r="O219" s="127" t="s">
        <v>14035</v>
      </c>
      <c r="P219" s="127" t="s">
        <v>14345</v>
      </c>
      <c r="Q219" s="127" t="s">
        <v>14655</v>
      </c>
    </row>
    <row r="220" spans="1:17" x14ac:dyDescent="0.35">
      <c r="A220" s="127" t="s">
        <v>6063</v>
      </c>
      <c r="C220" s="127" t="s">
        <v>11054</v>
      </c>
      <c r="D220" s="127" t="s">
        <v>13106</v>
      </c>
      <c r="I220" s="127" t="s">
        <v>11055</v>
      </c>
      <c r="J220" s="127" t="s">
        <v>13416</v>
      </c>
      <c r="K220" s="127" t="s">
        <v>11056</v>
      </c>
      <c r="L220" s="127" t="s">
        <v>13726</v>
      </c>
      <c r="M220" s="127" t="s">
        <v>11057</v>
      </c>
      <c r="N220" s="127" t="s">
        <v>11058</v>
      </c>
      <c r="O220" s="127" t="s">
        <v>14036</v>
      </c>
      <c r="P220" s="127" t="s">
        <v>14346</v>
      </c>
      <c r="Q220" s="127" t="s">
        <v>14656</v>
      </c>
    </row>
    <row r="221" spans="1:17" x14ac:dyDescent="0.35">
      <c r="A221" s="127" t="s">
        <v>6063</v>
      </c>
      <c r="C221" s="127" t="s">
        <v>11059</v>
      </c>
      <c r="D221" s="127" t="s">
        <v>13107</v>
      </c>
      <c r="I221" s="127" t="s">
        <v>11060</v>
      </c>
      <c r="J221" s="127" t="s">
        <v>13417</v>
      </c>
      <c r="K221" s="127" t="s">
        <v>11061</v>
      </c>
      <c r="L221" s="127" t="s">
        <v>13727</v>
      </c>
      <c r="M221" s="127" t="s">
        <v>11062</v>
      </c>
      <c r="N221" s="127" t="s">
        <v>11063</v>
      </c>
      <c r="O221" s="127" t="s">
        <v>14037</v>
      </c>
      <c r="P221" s="127" t="s">
        <v>14347</v>
      </c>
      <c r="Q221" s="127" t="s">
        <v>14657</v>
      </c>
    </row>
    <row r="222" spans="1:17" x14ac:dyDescent="0.35">
      <c r="A222" s="127" t="s">
        <v>6063</v>
      </c>
      <c r="C222" s="127" t="s">
        <v>11064</v>
      </c>
      <c r="D222" s="127" t="s">
        <v>13108</v>
      </c>
      <c r="I222" s="127" t="s">
        <v>11065</v>
      </c>
      <c r="J222" s="127" t="s">
        <v>13418</v>
      </c>
      <c r="K222" s="127" t="s">
        <v>11066</v>
      </c>
      <c r="L222" s="127" t="s">
        <v>13728</v>
      </c>
      <c r="M222" s="127" t="s">
        <v>11067</v>
      </c>
      <c r="N222" s="127" t="s">
        <v>11068</v>
      </c>
      <c r="O222" s="127" t="s">
        <v>14038</v>
      </c>
      <c r="P222" s="127" t="s">
        <v>14348</v>
      </c>
      <c r="Q222" s="127" t="s">
        <v>14658</v>
      </c>
    </row>
    <row r="223" spans="1:17" x14ac:dyDescent="0.35">
      <c r="A223" s="127" t="s">
        <v>6063</v>
      </c>
      <c r="C223" s="127" t="s">
        <v>11069</v>
      </c>
      <c r="D223" s="127" t="s">
        <v>13109</v>
      </c>
      <c r="I223" s="127" t="s">
        <v>11070</v>
      </c>
      <c r="J223" s="127" t="s">
        <v>13419</v>
      </c>
      <c r="K223" s="127" t="s">
        <v>11071</v>
      </c>
      <c r="L223" s="127" t="s">
        <v>13729</v>
      </c>
      <c r="M223" s="127" t="s">
        <v>11072</v>
      </c>
      <c r="N223" s="127" t="s">
        <v>11073</v>
      </c>
      <c r="O223" s="127" t="s">
        <v>14039</v>
      </c>
      <c r="P223" s="127" t="s">
        <v>14349</v>
      </c>
      <c r="Q223" s="127" t="s">
        <v>14659</v>
      </c>
    </row>
    <row r="224" spans="1:17" x14ac:dyDescent="0.35">
      <c r="A224" s="127" t="s">
        <v>6063</v>
      </c>
      <c r="C224" s="127" t="s">
        <v>11074</v>
      </c>
      <c r="D224" s="127" t="s">
        <v>13110</v>
      </c>
      <c r="I224" s="127" t="s">
        <v>11075</v>
      </c>
      <c r="J224" s="127" t="s">
        <v>13420</v>
      </c>
      <c r="K224" s="127" t="s">
        <v>11076</v>
      </c>
      <c r="L224" s="127" t="s">
        <v>13730</v>
      </c>
      <c r="M224" s="127" t="s">
        <v>11077</v>
      </c>
      <c r="N224" s="127" t="s">
        <v>11078</v>
      </c>
      <c r="O224" s="127" t="s">
        <v>14040</v>
      </c>
      <c r="P224" s="127" t="s">
        <v>14350</v>
      </c>
      <c r="Q224" s="127" t="s">
        <v>14660</v>
      </c>
    </row>
    <row r="225" spans="1:17" x14ac:dyDescent="0.35">
      <c r="A225" s="127" t="s">
        <v>6063</v>
      </c>
      <c r="C225" s="127" t="s">
        <v>11079</v>
      </c>
      <c r="D225" s="127" t="s">
        <v>13111</v>
      </c>
      <c r="I225" s="127" t="s">
        <v>11080</v>
      </c>
      <c r="J225" s="127" t="s">
        <v>13421</v>
      </c>
      <c r="K225" s="127" t="s">
        <v>11081</v>
      </c>
      <c r="L225" s="127" t="s">
        <v>13731</v>
      </c>
      <c r="M225" s="127" t="s">
        <v>11082</v>
      </c>
      <c r="N225" s="127" t="s">
        <v>11083</v>
      </c>
      <c r="O225" s="127" t="s">
        <v>14041</v>
      </c>
      <c r="P225" s="127" t="s">
        <v>14351</v>
      </c>
      <c r="Q225" s="127" t="s">
        <v>14661</v>
      </c>
    </row>
    <row r="226" spans="1:17" x14ac:dyDescent="0.35">
      <c r="A226" s="127" t="s">
        <v>6063</v>
      </c>
      <c r="C226" s="127" t="s">
        <v>11084</v>
      </c>
      <c r="D226" s="127" t="s">
        <v>13112</v>
      </c>
      <c r="I226" s="127" t="s">
        <v>11085</v>
      </c>
      <c r="J226" s="127" t="s">
        <v>13422</v>
      </c>
      <c r="K226" s="127" t="s">
        <v>11086</v>
      </c>
      <c r="L226" s="127" t="s">
        <v>13732</v>
      </c>
      <c r="M226" s="127" t="s">
        <v>11087</v>
      </c>
      <c r="N226" s="127" t="s">
        <v>11088</v>
      </c>
      <c r="O226" s="127" t="s">
        <v>14042</v>
      </c>
      <c r="P226" s="127" t="s">
        <v>14352</v>
      </c>
      <c r="Q226" s="127" t="s">
        <v>14662</v>
      </c>
    </row>
    <row r="227" spans="1:17" x14ac:dyDescent="0.35">
      <c r="A227" s="127" t="s">
        <v>6063</v>
      </c>
      <c r="C227" s="127" t="s">
        <v>11089</v>
      </c>
      <c r="D227" s="127" t="s">
        <v>13113</v>
      </c>
      <c r="I227" s="127" t="s">
        <v>11090</v>
      </c>
      <c r="J227" s="127" t="s">
        <v>13423</v>
      </c>
      <c r="K227" s="127" t="s">
        <v>11091</v>
      </c>
      <c r="L227" s="127" t="s">
        <v>13733</v>
      </c>
      <c r="M227" s="127" t="s">
        <v>11092</v>
      </c>
      <c r="N227" s="127" t="s">
        <v>11093</v>
      </c>
      <c r="O227" s="127" t="s">
        <v>14043</v>
      </c>
      <c r="P227" s="127" t="s">
        <v>14353</v>
      </c>
      <c r="Q227" s="127" t="s">
        <v>14663</v>
      </c>
    </row>
    <row r="228" spans="1:17" x14ac:dyDescent="0.35">
      <c r="A228" s="127" t="s">
        <v>6063</v>
      </c>
      <c r="C228" s="127" t="s">
        <v>11094</v>
      </c>
      <c r="D228" s="127" t="s">
        <v>13114</v>
      </c>
      <c r="I228" s="127" t="s">
        <v>11095</v>
      </c>
      <c r="J228" s="127" t="s">
        <v>13424</v>
      </c>
      <c r="K228" s="127" t="s">
        <v>11096</v>
      </c>
      <c r="L228" s="127" t="s">
        <v>13734</v>
      </c>
      <c r="M228" s="127" t="s">
        <v>11097</v>
      </c>
      <c r="N228" s="127" t="s">
        <v>11098</v>
      </c>
      <c r="O228" s="127" t="s">
        <v>14044</v>
      </c>
      <c r="P228" s="127" t="s">
        <v>14354</v>
      </c>
      <c r="Q228" s="127" t="s">
        <v>14664</v>
      </c>
    </row>
    <row r="229" spans="1:17" x14ac:dyDescent="0.35">
      <c r="A229" s="127" t="s">
        <v>6063</v>
      </c>
      <c r="C229" s="127" t="s">
        <v>11099</v>
      </c>
      <c r="D229" s="127" t="s">
        <v>13115</v>
      </c>
      <c r="I229" s="127" t="s">
        <v>11100</v>
      </c>
      <c r="J229" s="127" t="s">
        <v>13425</v>
      </c>
      <c r="K229" s="127" t="s">
        <v>11101</v>
      </c>
      <c r="L229" s="127" t="s">
        <v>13735</v>
      </c>
      <c r="M229" s="127" t="s">
        <v>11102</v>
      </c>
      <c r="N229" s="127" t="s">
        <v>11103</v>
      </c>
      <c r="O229" s="127" t="s">
        <v>14045</v>
      </c>
      <c r="P229" s="127" t="s">
        <v>14355</v>
      </c>
      <c r="Q229" s="127" t="s">
        <v>14665</v>
      </c>
    </row>
    <row r="230" spans="1:17" x14ac:dyDescent="0.35">
      <c r="A230" s="127" t="s">
        <v>6063</v>
      </c>
      <c r="C230" s="127" t="s">
        <v>11104</v>
      </c>
      <c r="D230" s="127" t="s">
        <v>13116</v>
      </c>
      <c r="I230" s="127" t="s">
        <v>11105</v>
      </c>
      <c r="J230" s="127" t="s">
        <v>13426</v>
      </c>
      <c r="K230" s="127" t="s">
        <v>11106</v>
      </c>
      <c r="L230" s="127" t="s">
        <v>13736</v>
      </c>
      <c r="M230" s="127" t="s">
        <v>11107</v>
      </c>
      <c r="N230" s="127" t="s">
        <v>11108</v>
      </c>
      <c r="O230" s="127" t="s">
        <v>14046</v>
      </c>
      <c r="P230" s="127" t="s">
        <v>14356</v>
      </c>
      <c r="Q230" s="127" t="s">
        <v>14666</v>
      </c>
    </row>
    <row r="231" spans="1:17" x14ac:dyDescent="0.35">
      <c r="A231" s="127" t="s">
        <v>6063</v>
      </c>
      <c r="C231" s="127" t="s">
        <v>11109</v>
      </c>
      <c r="D231" s="127" t="s">
        <v>13117</v>
      </c>
      <c r="I231" s="127" t="s">
        <v>11110</v>
      </c>
      <c r="J231" s="127" t="s">
        <v>13427</v>
      </c>
      <c r="K231" s="127" t="s">
        <v>11111</v>
      </c>
      <c r="L231" s="127" t="s">
        <v>13737</v>
      </c>
      <c r="M231" s="127" t="s">
        <v>11112</v>
      </c>
      <c r="N231" s="127" t="s">
        <v>11113</v>
      </c>
      <c r="O231" s="127" t="s">
        <v>14047</v>
      </c>
      <c r="P231" s="127" t="s">
        <v>14357</v>
      </c>
      <c r="Q231" s="127" t="s">
        <v>14667</v>
      </c>
    </row>
    <row r="232" spans="1:17" x14ac:dyDescent="0.35">
      <c r="A232" s="127" t="s">
        <v>6063</v>
      </c>
      <c r="C232" s="127" t="s">
        <v>11114</v>
      </c>
      <c r="D232" s="127" t="s">
        <v>13118</v>
      </c>
      <c r="I232" s="127" t="s">
        <v>11115</v>
      </c>
      <c r="J232" s="127" t="s">
        <v>13428</v>
      </c>
      <c r="K232" s="127" t="s">
        <v>11116</v>
      </c>
      <c r="L232" s="127" t="s">
        <v>13738</v>
      </c>
      <c r="M232" s="127" t="s">
        <v>11117</v>
      </c>
      <c r="N232" s="127" t="s">
        <v>11118</v>
      </c>
      <c r="O232" s="127" t="s">
        <v>14048</v>
      </c>
      <c r="P232" s="127" t="s">
        <v>14358</v>
      </c>
      <c r="Q232" s="127" t="s">
        <v>14668</v>
      </c>
    </row>
    <row r="233" spans="1:17" x14ac:dyDescent="0.35">
      <c r="A233" s="127" t="s">
        <v>6063</v>
      </c>
      <c r="C233" s="127" t="s">
        <v>11119</v>
      </c>
      <c r="D233" s="127" t="s">
        <v>13119</v>
      </c>
      <c r="I233" s="127" t="s">
        <v>11120</v>
      </c>
      <c r="J233" s="127" t="s">
        <v>13429</v>
      </c>
      <c r="K233" s="127" t="s">
        <v>11121</v>
      </c>
      <c r="L233" s="127" t="s">
        <v>13739</v>
      </c>
      <c r="M233" s="127" t="s">
        <v>11122</v>
      </c>
      <c r="N233" s="127" t="s">
        <v>11123</v>
      </c>
      <c r="O233" s="127" t="s">
        <v>14049</v>
      </c>
      <c r="P233" s="127" t="s">
        <v>14359</v>
      </c>
      <c r="Q233" s="127" t="s">
        <v>14669</v>
      </c>
    </row>
    <row r="234" spans="1:17" x14ac:dyDescent="0.35">
      <c r="A234" s="127" t="s">
        <v>6063</v>
      </c>
      <c r="C234" s="127" t="s">
        <v>11124</v>
      </c>
      <c r="D234" s="127" t="s">
        <v>13120</v>
      </c>
      <c r="I234" s="127" t="s">
        <v>11125</v>
      </c>
      <c r="J234" s="127" t="s">
        <v>13430</v>
      </c>
      <c r="K234" s="127" t="s">
        <v>11126</v>
      </c>
      <c r="L234" s="127" t="s">
        <v>13740</v>
      </c>
      <c r="M234" s="127" t="s">
        <v>11127</v>
      </c>
      <c r="N234" s="127" t="s">
        <v>11128</v>
      </c>
      <c r="O234" s="127" t="s">
        <v>14050</v>
      </c>
      <c r="P234" s="127" t="s">
        <v>14360</v>
      </c>
      <c r="Q234" s="127" t="s">
        <v>14670</v>
      </c>
    </row>
    <row r="235" spans="1:17" x14ac:dyDescent="0.35">
      <c r="A235" s="127" t="s">
        <v>6063</v>
      </c>
      <c r="C235" s="127" t="s">
        <v>11129</v>
      </c>
      <c r="D235" s="127" t="s">
        <v>13121</v>
      </c>
      <c r="I235" s="127" t="s">
        <v>11130</v>
      </c>
      <c r="J235" s="127" t="s">
        <v>13431</v>
      </c>
      <c r="K235" s="127" t="s">
        <v>11131</v>
      </c>
      <c r="L235" s="127" t="s">
        <v>13741</v>
      </c>
      <c r="M235" s="127" t="s">
        <v>11132</v>
      </c>
      <c r="N235" s="127" t="s">
        <v>11133</v>
      </c>
      <c r="O235" s="127" t="s">
        <v>14051</v>
      </c>
      <c r="P235" s="127" t="s">
        <v>14361</v>
      </c>
      <c r="Q235" s="127" t="s">
        <v>14671</v>
      </c>
    </row>
    <row r="236" spans="1:17" x14ac:dyDescent="0.35">
      <c r="A236" s="127" t="s">
        <v>6063</v>
      </c>
      <c r="C236" s="127" t="s">
        <v>11134</v>
      </c>
      <c r="D236" s="127" t="s">
        <v>13122</v>
      </c>
      <c r="I236" s="127" t="s">
        <v>11135</v>
      </c>
      <c r="J236" s="127" t="s">
        <v>13432</v>
      </c>
      <c r="K236" s="127" t="s">
        <v>11136</v>
      </c>
      <c r="L236" s="127" t="s">
        <v>13742</v>
      </c>
      <c r="M236" s="127" t="s">
        <v>11137</v>
      </c>
      <c r="N236" s="127" t="s">
        <v>11138</v>
      </c>
      <c r="O236" s="127" t="s">
        <v>14052</v>
      </c>
      <c r="P236" s="127" t="s">
        <v>14362</v>
      </c>
      <c r="Q236" s="127" t="s">
        <v>14672</v>
      </c>
    </row>
    <row r="237" spans="1:17" x14ac:dyDescent="0.35">
      <c r="A237" s="127" t="s">
        <v>6063</v>
      </c>
      <c r="C237" s="127" t="s">
        <v>11139</v>
      </c>
      <c r="D237" s="127" t="s">
        <v>13123</v>
      </c>
      <c r="I237" s="127" t="s">
        <v>11140</v>
      </c>
      <c r="J237" s="127" t="s">
        <v>13433</v>
      </c>
      <c r="K237" s="127" t="s">
        <v>11141</v>
      </c>
      <c r="L237" s="127" t="s">
        <v>13743</v>
      </c>
      <c r="M237" s="127" t="s">
        <v>11142</v>
      </c>
      <c r="N237" s="127" t="s">
        <v>11143</v>
      </c>
      <c r="O237" s="127" t="s">
        <v>14053</v>
      </c>
      <c r="P237" s="127" t="s">
        <v>14363</v>
      </c>
      <c r="Q237" s="127" t="s">
        <v>14673</v>
      </c>
    </row>
    <row r="238" spans="1:17" x14ac:dyDescent="0.35">
      <c r="A238" s="127" t="s">
        <v>6063</v>
      </c>
      <c r="C238" s="127" t="s">
        <v>11144</v>
      </c>
      <c r="D238" s="127" t="s">
        <v>13124</v>
      </c>
      <c r="I238" s="127" t="s">
        <v>11145</v>
      </c>
      <c r="J238" s="127" t="s">
        <v>13434</v>
      </c>
      <c r="K238" s="127" t="s">
        <v>11146</v>
      </c>
      <c r="L238" s="127" t="s">
        <v>13744</v>
      </c>
      <c r="M238" s="127" t="s">
        <v>11147</v>
      </c>
      <c r="N238" s="127" t="s">
        <v>11148</v>
      </c>
      <c r="O238" s="127" t="s">
        <v>14054</v>
      </c>
      <c r="P238" s="127" t="s">
        <v>14364</v>
      </c>
      <c r="Q238" s="127" t="s">
        <v>14674</v>
      </c>
    </row>
    <row r="239" spans="1:17" x14ac:dyDescent="0.35">
      <c r="A239" s="127" t="s">
        <v>6063</v>
      </c>
      <c r="C239" s="127" t="s">
        <v>11149</v>
      </c>
      <c r="D239" s="127" t="s">
        <v>13125</v>
      </c>
      <c r="I239" s="127" t="s">
        <v>11150</v>
      </c>
      <c r="J239" s="127" t="s">
        <v>13435</v>
      </c>
      <c r="K239" s="127" t="s">
        <v>11151</v>
      </c>
      <c r="L239" s="127" t="s">
        <v>13745</v>
      </c>
      <c r="M239" s="127" t="s">
        <v>11152</v>
      </c>
      <c r="N239" s="127" t="s">
        <v>11153</v>
      </c>
      <c r="O239" s="127" t="s">
        <v>14055</v>
      </c>
      <c r="P239" s="127" t="s">
        <v>14365</v>
      </c>
      <c r="Q239" s="127" t="s">
        <v>14675</v>
      </c>
    </row>
    <row r="240" spans="1:17" x14ac:dyDescent="0.35">
      <c r="A240" s="127" t="s">
        <v>6063</v>
      </c>
      <c r="C240" s="127" t="s">
        <v>11154</v>
      </c>
      <c r="D240" s="127" t="s">
        <v>13126</v>
      </c>
      <c r="I240" s="127" t="s">
        <v>11155</v>
      </c>
      <c r="J240" s="127" t="s">
        <v>13436</v>
      </c>
      <c r="K240" s="127" t="s">
        <v>11156</v>
      </c>
      <c r="L240" s="127" t="s">
        <v>13746</v>
      </c>
      <c r="M240" s="127" t="s">
        <v>11157</v>
      </c>
      <c r="N240" s="127" t="s">
        <v>11158</v>
      </c>
      <c r="O240" s="127" t="s">
        <v>14056</v>
      </c>
      <c r="P240" s="127" t="s">
        <v>14366</v>
      </c>
      <c r="Q240" s="127" t="s">
        <v>14676</v>
      </c>
    </row>
    <row r="241" spans="1:17" x14ac:dyDescent="0.35">
      <c r="A241" s="127" t="s">
        <v>6063</v>
      </c>
      <c r="C241" s="127" t="s">
        <v>11159</v>
      </c>
      <c r="D241" s="127" t="s">
        <v>13127</v>
      </c>
      <c r="I241" s="127" t="s">
        <v>11160</v>
      </c>
      <c r="J241" s="127" t="s">
        <v>13437</v>
      </c>
      <c r="K241" s="127" t="s">
        <v>11161</v>
      </c>
      <c r="L241" s="127" t="s">
        <v>13747</v>
      </c>
      <c r="M241" s="127" t="s">
        <v>11162</v>
      </c>
      <c r="N241" s="127" t="s">
        <v>11163</v>
      </c>
      <c r="O241" s="127" t="s">
        <v>14057</v>
      </c>
      <c r="P241" s="127" t="s">
        <v>14367</v>
      </c>
      <c r="Q241" s="127" t="s">
        <v>14677</v>
      </c>
    </row>
    <row r="242" spans="1:17" x14ac:dyDescent="0.35">
      <c r="A242" s="127" t="s">
        <v>6063</v>
      </c>
      <c r="C242" s="127" t="s">
        <v>11164</v>
      </c>
      <c r="D242" s="127" t="s">
        <v>13128</v>
      </c>
      <c r="I242" s="127" t="s">
        <v>11165</v>
      </c>
      <c r="J242" s="127" t="s">
        <v>13438</v>
      </c>
      <c r="K242" s="127" t="s">
        <v>11166</v>
      </c>
      <c r="L242" s="127" t="s">
        <v>13748</v>
      </c>
      <c r="M242" s="127" t="s">
        <v>11167</v>
      </c>
      <c r="N242" s="127" t="s">
        <v>11168</v>
      </c>
      <c r="O242" s="127" t="s">
        <v>14058</v>
      </c>
      <c r="P242" s="127" t="s">
        <v>14368</v>
      </c>
      <c r="Q242" s="127" t="s">
        <v>14678</v>
      </c>
    </row>
    <row r="243" spans="1:17" x14ac:dyDescent="0.35">
      <c r="A243" s="127" t="s">
        <v>6063</v>
      </c>
      <c r="C243" s="127" t="s">
        <v>11169</v>
      </c>
      <c r="D243" s="127" t="s">
        <v>13129</v>
      </c>
      <c r="I243" s="127" t="s">
        <v>11170</v>
      </c>
      <c r="J243" s="127" t="s">
        <v>13439</v>
      </c>
      <c r="K243" s="127" t="s">
        <v>11171</v>
      </c>
      <c r="L243" s="127" t="s">
        <v>13749</v>
      </c>
      <c r="M243" s="127" t="s">
        <v>11172</v>
      </c>
      <c r="N243" s="127" t="s">
        <v>11173</v>
      </c>
      <c r="O243" s="127" t="s">
        <v>14059</v>
      </c>
      <c r="P243" s="127" t="s">
        <v>14369</v>
      </c>
      <c r="Q243" s="127" t="s">
        <v>14679</v>
      </c>
    </row>
    <row r="244" spans="1:17" x14ac:dyDescent="0.35">
      <c r="A244" s="127" t="s">
        <v>6063</v>
      </c>
      <c r="C244" s="127" t="s">
        <v>11174</v>
      </c>
      <c r="D244" s="127" t="s">
        <v>13130</v>
      </c>
      <c r="I244" s="127" t="s">
        <v>11175</v>
      </c>
      <c r="J244" s="127" t="s">
        <v>13440</v>
      </c>
      <c r="K244" s="127" t="s">
        <v>11176</v>
      </c>
      <c r="L244" s="127" t="s">
        <v>13750</v>
      </c>
      <c r="M244" s="127" t="s">
        <v>11177</v>
      </c>
      <c r="N244" s="127" t="s">
        <v>11178</v>
      </c>
      <c r="O244" s="127" t="s">
        <v>14060</v>
      </c>
      <c r="P244" s="127" t="s">
        <v>14370</v>
      </c>
      <c r="Q244" s="127" t="s">
        <v>14680</v>
      </c>
    </row>
    <row r="245" spans="1:17" x14ac:dyDescent="0.35">
      <c r="A245" s="127" t="s">
        <v>6063</v>
      </c>
      <c r="C245" s="127" t="s">
        <v>11179</v>
      </c>
      <c r="D245" s="127" t="s">
        <v>13131</v>
      </c>
      <c r="I245" s="127" t="s">
        <v>11180</v>
      </c>
      <c r="J245" s="127" t="s">
        <v>13441</v>
      </c>
      <c r="K245" s="127" t="s">
        <v>11181</v>
      </c>
      <c r="L245" s="127" t="s">
        <v>13751</v>
      </c>
      <c r="M245" s="127" t="s">
        <v>11182</v>
      </c>
      <c r="N245" s="127" t="s">
        <v>11183</v>
      </c>
      <c r="O245" s="127" t="s">
        <v>14061</v>
      </c>
      <c r="P245" s="127" t="s">
        <v>14371</v>
      </c>
      <c r="Q245" s="127" t="s">
        <v>14681</v>
      </c>
    </row>
    <row r="246" spans="1:17" x14ac:dyDescent="0.35">
      <c r="A246" s="127" t="s">
        <v>6063</v>
      </c>
      <c r="C246" s="127" t="s">
        <v>11184</v>
      </c>
      <c r="D246" s="127" t="s">
        <v>13132</v>
      </c>
      <c r="I246" s="127" t="s">
        <v>11185</v>
      </c>
      <c r="J246" s="127" t="s">
        <v>13442</v>
      </c>
      <c r="K246" s="127" t="s">
        <v>11186</v>
      </c>
      <c r="L246" s="127" t="s">
        <v>13752</v>
      </c>
      <c r="M246" s="127" t="s">
        <v>11187</v>
      </c>
      <c r="N246" s="127" t="s">
        <v>11188</v>
      </c>
      <c r="O246" s="127" t="s">
        <v>14062</v>
      </c>
      <c r="P246" s="127" t="s">
        <v>14372</v>
      </c>
      <c r="Q246" s="127" t="s">
        <v>14682</v>
      </c>
    </row>
    <row r="247" spans="1:17" x14ac:dyDescent="0.35">
      <c r="A247" s="127" t="s">
        <v>6063</v>
      </c>
      <c r="C247" s="127" t="s">
        <v>11189</v>
      </c>
      <c r="D247" s="127" t="s">
        <v>13133</v>
      </c>
      <c r="I247" s="127" t="s">
        <v>11190</v>
      </c>
      <c r="J247" s="127" t="s">
        <v>13443</v>
      </c>
      <c r="K247" s="127" t="s">
        <v>11191</v>
      </c>
      <c r="L247" s="127" t="s">
        <v>13753</v>
      </c>
      <c r="M247" s="127" t="s">
        <v>11192</v>
      </c>
      <c r="N247" s="127" t="s">
        <v>11193</v>
      </c>
      <c r="O247" s="127" t="s">
        <v>14063</v>
      </c>
      <c r="P247" s="127" t="s">
        <v>14373</v>
      </c>
      <c r="Q247" s="127" t="s">
        <v>14683</v>
      </c>
    </row>
    <row r="248" spans="1:17" x14ac:dyDescent="0.35">
      <c r="A248" s="127" t="s">
        <v>6063</v>
      </c>
      <c r="C248" s="127" t="s">
        <v>11194</v>
      </c>
      <c r="D248" s="127" t="s">
        <v>13134</v>
      </c>
      <c r="I248" s="127" t="s">
        <v>11195</v>
      </c>
      <c r="J248" s="127" t="s">
        <v>13444</v>
      </c>
      <c r="K248" s="127" t="s">
        <v>11196</v>
      </c>
      <c r="L248" s="127" t="s">
        <v>13754</v>
      </c>
      <c r="M248" s="127" t="s">
        <v>11197</v>
      </c>
      <c r="N248" s="127" t="s">
        <v>11198</v>
      </c>
      <c r="O248" s="127" t="s">
        <v>14064</v>
      </c>
      <c r="P248" s="127" t="s">
        <v>14374</v>
      </c>
      <c r="Q248" s="127" t="s">
        <v>14684</v>
      </c>
    </row>
    <row r="249" spans="1:17" x14ac:dyDescent="0.35">
      <c r="A249" s="127" t="s">
        <v>6063</v>
      </c>
      <c r="C249" s="127" t="s">
        <v>11199</v>
      </c>
      <c r="D249" s="127" t="s">
        <v>13135</v>
      </c>
      <c r="I249" s="127" t="s">
        <v>11200</v>
      </c>
      <c r="J249" s="127" t="s">
        <v>13445</v>
      </c>
      <c r="K249" s="127" t="s">
        <v>11201</v>
      </c>
      <c r="L249" s="127" t="s">
        <v>13755</v>
      </c>
      <c r="M249" s="127" t="s">
        <v>11202</v>
      </c>
      <c r="N249" s="127" t="s">
        <v>11203</v>
      </c>
      <c r="O249" s="127" t="s">
        <v>14065</v>
      </c>
      <c r="P249" s="127" t="s">
        <v>14375</v>
      </c>
      <c r="Q249" s="127" t="s">
        <v>14685</v>
      </c>
    </row>
    <row r="250" spans="1:17" x14ac:dyDescent="0.35">
      <c r="A250" s="127" t="s">
        <v>6063</v>
      </c>
      <c r="C250" s="127" t="s">
        <v>11204</v>
      </c>
      <c r="D250" s="127" t="s">
        <v>13136</v>
      </c>
      <c r="I250" s="127" t="s">
        <v>11205</v>
      </c>
      <c r="J250" s="127" t="s">
        <v>13446</v>
      </c>
      <c r="K250" s="127" t="s">
        <v>11206</v>
      </c>
      <c r="L250" s="127" t="s">
        <v>13756</v>
      </c>
      <c r="M250" s="127" t="s">
        <v>11207</v>
      </c>
      <c r="N250" s="127" t="s">
        <v>11208</v>
      </c>
      <c r="O250" s="127" t="s">
        <v>14066</v>
      </c>
      <c r="P250" s="127" t="s">
        <v>14376</v>
      </c>
      <c r="Q250" s="127" t="s">
        <v>14686</v>
      </c>
    </row>
    <row r="251" spans="1:17" x14ac:dyDescent="0.35">
      <c r="A251" s="127" t="s">
        <v>6063</v>
      </c>
      <c r="C251" s="127" t="s">
        <v>11209</v>
      </c>
      <c r="D251" s="127" t="s">
        <v>13137</v>
      </c>
      <c r="I251" s="127" t="s">
        <v>11210</v>
      </c>
      <c r="J251" s="127" t="s">
        <v>13447</v>
      </c>
      <c r="K251" s="127" t="s">
        <v>11211</v>
      </c>
      <c r="L251" s="127" t="s">
        <v>13757</v>
      </c>
      <c r="M251" s="127" t="s">
        <v>11212</v>
      </c>
      <c r="N251" s="127" t="s">
        <v>11213</v>
      </c>
      <c r="O251" s="127" t="s">
        <v>14067</v>
      </c>
      <c r="P251" s="127" t="s">
        <v>14377</v>
      </c>
      <c r="Q251" s="127" t="s">
        <v>14687</v>
      </c>
    </row>
    <row r="252" spans="1:17" x14ac:dyDescent="0.35">
      <c r="A252" s="127" t="s">
        <v>6063</v>
      </c>
      <c r="C252" s="127" t="s">
        <v>11214</v>
      </c>
      <c r="D252" s="127" t="s">
        <v>13138</v>
      </c>
      <c r="I252" s="127" t="s">
        <v>11215</v>
      </c>
      <c r="J252" s="127" t="s">
        <v>13448</v>
      </c>
      <c r="K252" s="127" t="s">
        <v>11216</v>
      </c>
      <c r="L252" s="127" t="s">
        <v>13758</v>
      </c>
      <c r="M252" s="127" t="s">
        <v>11217</v>
      </c>
      <c r="N252" s="127" t="s">
        <v>11218</v>
      </c>
      <c r="O252" s="127" t="s">
        <v>14068</v>
      </c>
      <c r="P252" s="127" t="s">
        <v>14378</v>
      </c>
      <c r="Q252" s="127" t="s">
        <v>14688</v>
      </c>
    </row>
    <row r="253" spans="1:17" x14ac:dyDescent="0.35">
      <c r="A253" s="127" t="s">
        <v>6063</v>
      </c>
      <c r="C253" s="127" t="s">
        <v>11219</v>
      </c>
      <c r="D253" s="127" t="s">
        <v>13139</v>
      </c>
      <c r="I253" s="127" t="s">
        <v>11220</v>
      </c>
      <c r="J253" s="127" t="s">
        <v>13449</v>
      </c>
      <c r="K253" s="127" t="s">
        <v>11221</v>
      </c>
      <c r="L253" s="127" t="s">
        <v>13759</v>
      </c>
      <c r="M253" s="127" t="s">
        <v>11222</v>
      </c>
      <c r="N253" s="127" t="s">
        <v>11223</v>
      </c>
      <c r="O253" s="127" t="s">
        <v>14069</v>
      </c>
      <c r="P253" s="127" t="s">
        <v>14379</v>
      </c>
      <c r="Q253" s="127" t="s">
        <v>14689</v>
      </c>
    </row>
    <row r="254" spans="1:17" x14ac:dyDescent="0.35">
      <c r="A254" s="127" t="s">
        <v>6063</v>
      </c>
      <c r="C254" s="127" t="s">
        <v>11224</v>
      </c>
      <c r="D254" s="127" t="s">
        <v>13140</v>
      </c>
      <c r="I254" s="127" t="s">
        <v>11225</v>
      </c>
      <c r="J254" s="127" t="s">
        <v>13450</v>
      </c>
      <c r="K254" s="127" t="s">
        <v>11226</v>
      </c>
      <c r="L254" s="127" t="s">
        <v>13760</v>
      </c>
      <c r="M254" s="127" t="s">
        <v>11227</v>
      </c>
      <c r="N254" s="127" t="s">
        <v>11228</v>
      </c>
      <c r="O254" s="127" t="s">
        <v>14070</v>
      </c>
      <c r="P254" s="127" t="s">
        <v>14380</v>
      </c>
      <c r="Q254" s="127" t="s">
        <v>14690</v>
      </c>
    </row>
    <row r="255" spans="1:17" x14ac:dyDescent="0.35">
      <c r="A255" s="127" t="s">
        <v>6063</v>
      </c>
      <c r="C255" s="127" t="s">
        <v>11229</v>
      </c>
      <c r="D255" s="127" t="s">
        <v>13141</v>
      </c>
      <c r="I255" s="127" t="s">
        <v>11230</v>
      </c>
      <c r="J255" s="127" t="s">
        <v>13451</v>
      </c>
      <c r="K255" s="127" t="s">
        <v>11231</v>
      </c>
      <c r="L255" s="127" t="s">
        <v>13761</v>
      </c>
      <c r="M255" s="127" t="s">
        <v>11232</v>
      </c>
      <c r="N255" s="127" t="s">
        <v>11233</v>
      </c>
      <c r="O255" s="127" t="s">
        <v>14071</v>
      </c>
      <c r="P255" s="127" t="s">
        <v>14381</v>
      </c>
      <c r="Q255" s="127" t="s">
        <v>14691</v>
      </c>
    </row>
    <row r="256" spans="1:17" x14ac:dyDescent="0.35">
      <c r="A256" s="127" t="s">
        <v>6063</v>
      </c>
      <c r="C256" s="127" t="s">
        <v>11234</v>
      </c>
      <c r="D256" s="127" t="s">
        <v>13142</v>
      </c>
      <c r="I256" s="127" t="s">
        <v>11235</v>
      </c>
      <c r="J256" s="127" t="s">
        <v>13452</v>
      </c>
      <c r="K256" s="127" t="s">
        <v>11236</v>
      </c>
      <c r="L256" s="127" t="s">
        <v>13762</v>
      </c>
      <c r="M256" s="127" t="s">
        <v>11237</v>
      </c>
      <c r="N256" s="127" t="s">
        <v>11238</v>
      </c>
      <c r="O256" s="127" t="s">
        <v>14072</v>
      </c>
      <c r="P256" s="127" t="s">
        <v>14382</v>
      </c>
      <c r="Q256" s="127" t="s">
        <v>14692</v>
      </c>
    </row>
    <row r="257" spans="1:17" x14ac:dyDescent="0.35">
      <c r="A257" s="127" t="s">
        <v>6063</v>
      </c>
      <c r="C257" s="127" t="s">
        <v>11239</v>
      </c>
      <c r="D257" s="127" t="s">
        <v>13143</v>
      </c>
      <c r="I257" s="127" t="s">
        <v>11240</v>
      </c>
      <c r="J257" s="127" t="s">
        <v>13453</v>
      </c>
      <c r="K257" s="127" t="s">
        <v>11241</v>
      </c>
      <c r="L257" s="127" t="s">
        <v>13763</v>
      </c>
      <c r="M257" s="127" t="s">
        <v>11242</v>
      </c>
      <c r="N257" s="127" t="s">
        <v>11243</v>
      </c>
      <c r="O257" s="127" t="s">
        <v>14073</v>
      </c>
      <c r="P257" s="127" t="s">
        <v>14383</v>
      </c>
      <c r="Q257" s="127" t="s">
        <v>14693</v>
      </c>
    </row>
    <row r="258" spans="1:17" x14ac:dyDescent="0.35">
      <c r="A258" s="127" t="s">
        <v>6063</v>
      </c>
      <c r="C258" s="127" t="s">
        <v>11244</v>
      </c>
      <c r="D258" s="127" t="s">
        <v>13144</v>
      </c>
      <c r="I258" s="127" t="s">
        <v>11245</v>
      </c>
      <c r="J258" s="127" t="s">
        <v>13454</v>
      </c>
      <c r="K258" s="127" t="s">
        <v>11246</v>
      </c>
      <c r="L258" s="127" t="s">
        <v>13764</v>
      </c>
      <c r="M258" s="127" t="s">
        <v>11247</v>
      </c>
      <c r="N258" s="127" t="s">
        <v>11248</v>
      </c>
      <c r="O258" s="127" t="s">
        <v>14074</v>
      </c>
      <c r="P258" s="127" t="s">
        <v>14384</v>
      </c>
      <c r="Q258" s="127" t="s">
        <v>14694</v>
      </c>
    </row>
    <row r="259" spans="1:17" x14ac:dyDescent="0.35">
      <c r="A259" s="127" t="s">
        <v>6063</v>
      </c>
      <c r="C259" s="127" t="s">
        <v>11249</v>
      </c>
      <c r="D259" s="127" t="s">
        <v>13145</v>
      </c>
      <c r="I259" s="127" t="s">
        <v>11250</v>
      </c>
      <c r="J259" s="127" t="s">
        <v>13455</v>
      </c>
      <c r="K259" s="127" t="s">
        <v>11251</v>
      </c>
      <c r="L259" s="127" t="s">
        <v>13765</v>
      </c>
      <c r="M259" s="127" t="s">
        <v>11252</v>
      </c>
      <c r="N259" s="127" t="s">
        <v>11253</v>
      </c>
      <c r="O259" s="127" t="s">
        <v>14075</v>
      </c>
      <c r="P259" s="127" t="s">
        <v>14385</v>
      </c>
      <c r="Q259" s="127" t="s">
        <v>14695</v>
      </c>
    </row>
    <row r="260" spans="1:17" x14ac:dyDescent="0.35">
      <c r="A260" s="127" t="s">
        <v>6063</v>
      </c>
      <c r="C260" s="127" t="s">
        <v>11254</v>
      </c>
      <c r="D260" s="127" t="s">
        <v>13146</v>
      </c>
      <c r="I260" s="127" t="s">
        <v>11255</v>
      </c>
      <c r="J260" s="127" t="s">
        <v>13456</v>
      </c>
      <c r="K260" s="127" t="s">
        <v>11256</v>
      </c>
      <c r="L260" s="127" t="s">
        <v>13766</v>
      </c>
      <c r="M260" s="127" t="s">
        <v>11257</v>
      </c>
      <c r="N260" s="127" t="s">
        <v>11258</v>
      </c>
      <c r="O260" s="127" t="s">
        <v>14076</v>
      </c>
      <c r="P260" s="127" t="s">
        <v>14386</v>
      </c>
      <c r="Q260" s="127" t="s">
        <v>14696</v>
      </c>
    </row>
    <row r="261" spans="1:17" x14ac:dyDescent="0.35">
      <c r="A261" s="127" t="s">
        <v>6063</v>
      </c>
      <c r="C261" s="127" t="s">
        <v>11259</v>
      </c>
      <c r="D261" s="127" t="s">
        <v>13147</v>
      </c>
      <c r="I261" s="127" t="s">
        <v>11260</v>
      </c>
      <c r="J261" s="127" t="s">
        <v>13457</v>
      </c>
      <c r="K261" s="127" t="s">
        <v>11261</v>
      </c>
      <c r="L261" s="127" t="s">
        <v>13767</v>
      </c>
      <c r="M261" s="127" t="s">
        <v>11262</v>
      </c>
      <c r="N261" s="127" t="s">
        <v>11263</v>
      </c>
      <c r="O261" s="127" t="s">
        <v>14077</v>
      </c>
      <c r="P261" s="127" t="s">
        <v>14387</v>
      </c>
      <c r="Q261" s="127" t="s">
        <v>14697</v>
      </c>
    </row>
    <row r="262" spans="1:17" x14ac:dyDescent="0.35">
      <c r="A262" s="127" t="s">
        <v>6063</v>
      </c>
      <c r="C262" s="127" t="s">
        <v>11264</v>
      </c>
      <c r="D262" s="127" t="s">
        <v>13148</v>
      </c>
      <c r="I262" s="127" t="s">
        <v>11265</v>
      </c>
      <c r="J262" s="127" t="s">
        <v>13458</v>
      </c>
      <c r="K262" s="127" t="s">
        <v>11266</v>
      </c>
      <c r="L262" s="127" t="s">
        <v>13768</v>
      </c>
      <c r="M262" s="127" t="s">
        <v>11267</v>
      </c>
      <c r="N262" s="127" t="s">
        <v>11268</v>
      </c>
      <c r="O262" s="127" t="s">
        <v>14078</v>
      </c>
      <c r="P262" s="127" t="s">
        <v>14388</v>
      </c>
      <c r="Q262" s="127" t="s">
        <v>14698</v>
      </c>
    </row>
    <row r="263" spans="1:17" x14ac:dyDescent="0.35">
      <c r="A263" s="127" t="s">
        <v>6063</v>
      </c>
      <c r="C263" s="127" t="s">
        <v>11269</v>
      </c>
      <c r="D263" s="127" t="s">
        <v>13149</v>
      </c>
      <c r="I263" s="127" t="s">
        <v>11270</v>
      </c>
      <c r="J263" s="127" t="s">
        <v>13459</v>
      </c>
      <c r="K263" s="127" t="s">
        <v>11271</v>
      </c>
      <c r="L263" s="127" t="s">
        <v>13769</v>
      </c>
      <c r="M263" s="127" t="s">
        <v>11272</v>
      </c>
      <c r="N263" s="127" t="s">
        <v>11273</v>
      </c>
      <c r="O263" s="127" t="s">
        <v>14079</v>
      </c>
      <c r="P263" s="127" t="s">
        <v>14389</v>
      </c>
      <c r="Q263" s="127" t="s">
        <v>14699</v>
      </c>
    </row>
    <row r="264" spans="1:17" x14ac:dyDescent="0.35">
      <c r="A264" s="127" t="s">
        <v>6063</v>
      </c>
      <c r="C264" s="127" t="s">
        <v>11274</v>
      </c>
      <c r="D264" s="127" t="s">
        <v>13150</v>
      </c>
      <c r="I264" s="127" t="s">
        <v>11275</v>
      </c>
      <c r="J264" s="127" t="s">
        <v>13460</v>
      </c>
      <c r="K264" s="127" t="s">
        <v>11276</v>
      </c>
      <c r="L264" s="127" t="s">
        <v>13770</v>
      </c>
      <c r="M264" s="127" t="s">
        <v>11277</v>
      </c>
      <c r="N264" s="127" t="s">
        <v>11278</v>
      </c>
      <c r="O264" s="127" t="s">
        <v>14080</v>
      </c>
      <c r="P264" s="127" t="s">
        <v>14390</v>
      </c>
      <c r="Q264" s="127" t="s">
        <v>14700</v>
      </c>
    </row>
    <row r="265" spans="1:17" x14ac:dyDescent="0.35">
      <c r="A265" s="127" t="s">
        <v>6063</v>
      </c>
      <c r="C265" s="127" t="s">
        <v>11279</v>
      </c>
      <c r="D265" s="127" t="s">
        <v>13151</v>
      </c>
      <c r="I265" s="127" t="s">
        <v>11280</v>
      </c>
      <c r="J265" s="127" t="s">
        <v>13461</v>
      </c>
      <c r="K265" s="127" t="s">
        <v>11281</v>
      </c>
      <c r="L265" s="127" t="s">
        <v>13771</v>
      </c>
      <c r="M265" s="127" t="s">
        <v>11282</v>
      </c>
      <c r="N265" s="127" t="s">
        <v>11283</v>
      </c>
      <c r="O265" s="127" t="s">
        <v>14081</v>
      </c>
      <c r="P265" s="127" t="s">
        <v>14391</v>
      </c>
      <c r="Q265" s="127" t="s">
        <v>14701</v>
      </c>
    </row>
    <row r="266" spans="1:17" x14ac:dyDescent="0.35">
      <c r="A266" s="127" t="s">
        <v>6063</v>
      </c>
      <c r="C266" s="127" t="s">
        <v>11284</v>
      </c>
      <c r="D266" s="127" t="s">
        <v>13152</v>
      </c>
      <c r="I266" s="127" t="s">
        <v>11285</v>
      </c>
      <c r="J266" s="127" t="s">
        <v>13462</v>
      </c>
      <c r="K266" s="127" t="s">
        <v>11286</v>
      </c>
      <c r="L266" s="127" t="s">
        <v>13772</v>
      </c>
      <c r="M266" s="127" t="s">
        <v>11287</v>
      </c>
      <c r="N266" s="127" t="s">
        <v>11288</v>
      </c>
      <c r="O266" s="127" t="s">
        <v>14082</v>
      </c>
      <c r="P266" s="127" t="s">
        <v>14392</v>
      </c>
      <c r="Q266" s="127" t="s">
        <v>14702</v>
      </c>
    </row>
    <row r="267" spans="1:17" x14ac:dyDescent="0.35">
      <c r="A267" s="127" t="s">
        <v>6063</v>
      </c>
      <c r="C267" s="127" t="s">
        <v>11289</v>
      </c>
      <c r="D267" s="127" t="s">
        <v>13153</v>
      </c>
      <c r="I267" s="127" t="s">
        <v>11290</v>
      </c>
      <c r="J267" s="127" t="s">
        <v>13463</v>
      </c>
      <c r="K267" s="127" t="s">
        <v>11291</v>
      </c>
      <c r="L267" s="127" t="s">
        <v>13773</v>
      </c>
      <c r="M267" s="127" t="s">
        <v>11292</v>
      </c>
      <c r="N267" s="127" t="s">
        <v>11293</v>
      </c>
      <c r="O267" s="127" t="s">
        <v>14083</v>
      </c>
      <c r="P267" s="127" t="s">
        <v>14393</v>
      </c>
      <c r="Q267" s="127" t="s">
        <v>14703</v>
      </c>
    </row>
    <row r="268" spans="1:17" x14ac:dyDescent="0.35">
      <c r="A268" s="127" t="s">
        <v>6063</v>
      </c>
      <c r="C268" s="127" t="s">
        <v>11294</v>
      </c>
      <c r="D268" s="127" t="s">
        <v>13154</v>
      </c>
      <c r="I268" s="127" t="s">
        <v>11295</v>
      </c>
      <c r="J268" s="127" t="s">
        <v>13464</v>
      </c>
      <c r="K268" s="127" t="s">
        <v>11296</v>
      </c>
      <c r="L268" s="127" t="s">
        <v>13774</v>
      </c>
      <c r="M268" s="127" t="s">
        <v>11297</v>
      </c>
      <c r="N268" s="127" t="s">
        <v>11298</v>
      </c>
      <c r="O268" s="127" t="s">
        <v>14084</v>
      </c>
      <c r="P268" s="127" t="s">
        <v>14394</v>
      </c>
      <c r="Q268" s="127" t="s">
        <v>14704</v>
      </c>
    </row>
    <row r="269" spans="1:17" x14ac:dyDescent="0.35">
      <c r="A269" s="127" t="s">
        <v>6063</v>
      </c>
      <c r="C269" s="127" t="s">
        <v>11299</v>
      </c>
      <c r="D269" s="127" t="s">
        <v>13155</v>
      </c>
      <c r="I269" s="127" t="s">
        <v>11300</v>
      </c>
      <c r="J269" s="127" t="s">
        <v>13465</v>
      </c>
      <c r="K269" s="127" t="s">
        <v>11301</v>
      </c>
      <c r="L269" s="127" t="s">
        <v>13775</v>
      </c>
      <c r="M269" s="127" t="s">
        <v>11302</v>
      </c>
      <c r="N269" s="127" t="s">
        <v>11303</v>
      </c>
      <c r="O269" s="127" t="s">
        <v>14085</v>
      </c>
      <c r="P269" s="127" t="s">
        <v>14395</v>
      </c>
      <c r="Q269" s="127" t="s">
        <v>14705</v>
      </c>
    </row>
    <row r="270" spans="1:17" x14ac:dyDescent="0.35">
      <c r="A270" s="127" t="s">
        <v>6063</v>
      </c>
      <c r="C270" s="127" t="s">
        <v>11304</v>
      </c>
      <c r="D270" s="127" t="s">
        <v>13156</v>
      </c>
      <c r="I270" s="127" t="s">
        <v>11305</v>
      </c>
      <c r="J270" s="127" t="s">
        <v>13466</v>
      </c>
      <c r="K270" s="127" t="s">
        <v>11306</v>
      </c>
      <c r="L270" s="127" t="s">
        <v>13776</v>
      </c>
      <c r="M270" s="127" t="s">
        <v>11307</v>
      </c>
      <c r="N270" s="127" t="s">
        <v>11308</v>
      </c>
      <c r="O270" s="127" t="s">
        <v>14086</v>
      </c>
      <c r="P270" s="127" t="s">
        <v>14396</v>
      </c>
      <c r="Q270" s="127" t="s">
        <v>14706</v>
      </c>
    </row>
    <row r="271" spans="1:17" x14ac:dyDescent="0.35">
      <c r="A271" s="127" t="s">
        <v>6063</v>
      </c>
      <c r="C271" s="127" t="s">
        <v>11309</v>
      </c>
      <c r="D271" s="127" t="s">
        <v>13157</v>
      </c>
      <c r="I271" s="127" t="s">
        <v>11310</v>
      </c>
      <c r="J271" s="127" t="s">
        <v>13467</v>
      </c>
      <c r="K271" s="127" t="s">
        <v>11311</v>
      </c>
      <c r="L271" s="127" t="s">
        <v>13777</v>
      </c>
      <c r="M271" s="127" t="s">
        <v>11312</v>
      </c>
      <c r="N271" s="127" t="s">
        <v>11313</v>
      </c>
      <c r="O271" s="127" t="s">
        <v>14087</v>
      </c>
      <c r="P271" s="127" t="s">
        <v>14397</v>
      </c>
      <c r="Q271" s="127" t="s">
        <v>14707</v>
      </c>
    </row>
    <row r="272" spans="1:17" x14ac:dyDescent="0.35">
      <c r="A272" s="127" t="s">
        <v>6063</v>
      </c>
      <c r="C272" s="127" t="s">
        <v>11314</v>
      </c>
      <c r="D272" s="127" t="s">
        <v>13158</v>
      </c>
      <c r="I272" s="127" t="s">
        <v>11315</v>
      </c>
      <c r="J272" s="127" t="s">
        <v>13468</v>
      </c>
      <c r="K272" s="127" t="s">
        <v>11316</v>
      </c>
      <c r="L272" s="127" t="s">
        <v>13778</v>
      </c>
      <c r="M272" s="127" t="s">
        <v>11317</v>
      </c>
      <c r="N272" s="127" t="s">
        <v>11318</v>
      </c>
      <c r="O272" s="127" t="s">
        <v>14088</v>
      </c>
      <c r="P272" s="127" t="s">
        <v>14398</v>
      </c>
      <c r="Q272" s="127" t="s">
        <v>14708</v>
      </c>
    </row>
    <row r="273" spans="1:17" x14ac:dyDescent="0.35">
      <c r="A273" s="127" t="s">
        <v>6063</v>
      </c>
      <c r="C273" s="127" t="s">
        <v>11319</v>
      </c>
      <c r="D273" s="127" t="s">
        <v>13159</v>
      </c>
      <c r="I273" s="127" t="s">
        <v>11320</v>
      </c>
      <c r="J273" s="127" t="s">
        <v>13469</v>
      </c>
      <c r="K273" s="127" t="s">
        <v>11321</v>
      </c>
      <c r="L273" s="127" t="s">
        <v>13779</v>
      </c>
      <c r="M273" s="127" t="s">
        <v>11322</v>
      </c>
      <c r="N273" s="127" t="s">
        <v>11323</v>
      </c>
      <c r="O273" s="127" t="s">
        <v>14089</v>
      </c>
      <c r="P273" s="127" t="s">
        <v>14399</v>
      </c>
      <c r="Q273" s="127" t="s">
        <v>14709</v>
      </c>
    </row>
    <row r="274" spans="1:17" x14ac:dyDescent="0.35">
      <c r="A274" s="127" t="s">
        <v>6063</v>
      </c>
      <c r="C274" s="127" t="s">
        <v>11324</v>
      </c>
      <c r="D274" s="127" t="s">
        <v>13160</v>
      </c>
      <c r="I274" s="127" t="s">
        <v>11325</v>
      </c>
      <c r="J274" s="127" t="s">
        <v>13470</v>
      </c>
      <c r="K274" s="127" t="s">
        <v>11326</v>
      </c>
      <c r="L274" s="127" t="s">
        <v>13780</v>
      </c>
      <c r="M274" s="127" t="s">
        <v>11327</v>
      </c>
      <c r="N274" s="127" t="s">
        <v>11328</v>
      </c>
      <c r="O274" s="127" t="s">
        <v>14090</v>
      </c>
      <c r="P274" s="127" t="s">
        <v>14400</v>
      </c>
      <c r="Q274" s="127" t="s">
        <v>14710</v>
      </c>
    </row>
    <row r="275" spans="1:17" x14ac:dyDescent="0.35">
      <c r="A275" s="127" t="s">
        <v>6063</v>
      </c>
      <c r="C275" s="127" t="s">
        <v>11329</v>
      </c>
      <c r="D275" s="127" t="s">
        <v>13161</v>
      </c>
      <c r="I275" s="127" t="s">
        <v>11330</v>
      </c>
      <c r="J275" s="127" t="s">
        <v>13471</v>
      </c>
      <c r="K275" s="127" t="s">
        <v>11331</v>
      </c>
      <c r="L275" s="127" t="s">
        <v>13781</v>
      </c>
      <c r="M275" s="127" t="s">
        <v>11332</v>
      </c>
      <c r="N275" s="127" t="s">
        <v>11333</v>
      </c>
      <c r="O275" s="127" t="s">
        <v>14091</v>
      </c>
      <c r="P275" s="127" t="s">
        <v>14401</v>
      </c>
      <c r="Q275" s="127" t="s">
        <v>14711</v>
      </c>
    </row>
    <row r="276" spans="1:17" x14ac:dyDescent="0.35">
      <c r="A276" s="127" t="s">
        <v>6063</v>
      </c>
      <c r="C276" s="127" t="s">
        <v>11334</v>
      </c>
      <c r="D276" s="127" t="s">
        <v>13162</v>
      </c>
      <c r="I276" s="127" t="s">
        <v>11335</v>
      </c>
      <c r="J276" s="127" t="s">
        <v>13472</v>
      </c>
      <c r="K276" s="127" t="s">
        <v>11336</v>
      </c>
      <c r="L276" s="127" t="s">
        <v>13782</v>
      </c>
      <c r="M276" s="127" t="s">
        <v>11337</v>
      </c>
      <c r="N276" s="127" t="s">
        <v>11338</v>
      </c>
      <c r="O276" s="127" t="s">
        <v>14092</v>
      </c>
      <c r="P276" s="127" t="s">
        <v>14402</v>
      </c>
      <c r="Q276" s="127" t="s">
        <v>14712</v>
      </c>
    </row>
    <row r="277" spans="1:17" x14ac:dyDescent="0.35">
      <c r="A277" s="127" t="s">
        <v>6063</v>
      </c>
      <c r="C277" s="127" t="s">
        <v>11339</v>
      </c>
      <c r="D277" s="127" t="s">
        <v>13163</v>
      </c>
      <c r="I277" s="127" t="s">
        <v>11340</v>
      </c>
      <c r="J277" s="127" t="s">
        <v>13473</v>
      </c>
      <c r="K277" s="127" t="s">
        <v>11341</v>
      </c>
      <c r="L277" s="127" t="s">
        <v>13783</v>
      </c>
      <c r="M277" s="127" t="s">
        <v>11342</v>
      </c>
      <c r="N277" s="127" t="s">
        <v>11343</v>
      </c>
      <c r="O277" s="127" t="s">
        <v>14093</v>
      </c>
      <c r="P277" s="127" t="s">
        <v>14403</v>
      </c>
      <c r="Q277" s="127" t="s">
        <v>14713</v>
      </c>
    </row>
    <row r="278" spans="1:17" x14ac:dyDescent="0.35">
      <c r="A278" s="127" t="s">
        <v>6063</v>
      </c>
      <c r="C278" s="127" t="s">
        <v>11344</v>
      </c>
      <c r="D278" s="127" t="s">
        <v>13164</v>
      </c>
      <c r="I278" s="127" t="s">
        <v>11345</v>
      </c>
      <c r="J278" s="127" t="s">
        <v>13474</v>
      </c>
      <c r="K278" s="127" t="s">
        <v>11346</v>
      </c>
      <c r="L278" s="127" t="s">
        <v>13784</v>
      </c>
      <c r="M278" s="127" t="s">
        <v>11347</v>
      </c>
      <c r="N278" s="127" t="s">
        <v>11348</v>
      </c>
      <c r="O278" s="127" t="s">
        <v>14094</v>
      </c>
      <c r="P278" s="127" t="s">
        <v>14404</v>
      </c>
      <c r="Q278" s="127" t="s">
        <v>14714</v>
      </c>
    </row>
    <row r="279" spans="1:17" x14ac:dyDescent="0.35">
      <c r="A279" s="127" t="s">
        <v>6063</v>
      </c>
      <c r="C279" s="127" t="s">
        <v>11349</v>
      </c>
      <c r="D279" s="127" t="s">
        <v>13165</v>
      </c>
      <c r="I279" s="127" t="s">
        <v>11350</v>
      </c>
      <c r="J279" s="127" t="s">
        <v>13475</v>
      </c>
      <c r="K279" s="127" t="s">
        <v>11351</v>
      </c>
      <c r="L279" s="127" t="s">
        <v>13785</v>
      </c>
      <c r="M279" s="127" t="s">
        <v>11352</v>
      </c>
      <c r="N279" s="127" t="s">
        <v>11353</v>
      </c>
      <c r="O279" s="127" t="s">
        <v>14095</v>
      </c>
      <c r="P279" s="127" t="s">
        <v>14405</v>
      </c>
      <c r="Q279" s="127" t="s">
        <v>14715</v>
      </c>
    </row>
    <row r="280" spans="1:17" x14ac:dyDescent="0.35">
      <c r="A280" s="127" t="s">
        <v>6063</v>
      </c>
      <c r="C280" s="127" t="s">
        <v>11354</v>
      </c>
      <c r="D280" s="127" t="s">
        <v>13166</v>
      </c>
      <c r="I280" s="127" t="s">
        <v>11355</v>
      </c>
      <c r="J280" s="127" t="s">
        <v>13476</v>
      </c>
      <c r="K280" s="127" t="s">
        <v>11356</v>
      </c>
      <c r="L280" s="127" t="s">
        <v>13786</v>
      </c>
      <c r="M280" s="127" t="s">
        <v>11357</v>
      </c>
      <c r="N280" s="127" t="s">
        <v>11358</v>
      </c>
      <c r="O280" s="127" t="s">
        <v>14096</v>
      </c>
      <c r="P280" s="127" t="s">
        <v>14406</v>
      </c>
      <c r="Q280" s="127" t="s">
        <v>14716</v>
      </c>
    </row>
    <row r="281" spans="1:17" x14ac:dyDescent="0.35">
      <c r="A281" s="127" t="s">
        <v>6063</v>
      </c>
      <c r="C281" s="127" t="s">
        <v>11359</v>
      </c>
      <c r="D281" s="127" t="s">
        <v>13167</v>
      </c>
      <c r="I281" s="127" t="s">
        <v>11360</v>
      </c>
      <c r="J281" s="127" t="s">
        <v>13477</v>
      </c>
      <c r="K281" s="127" t="s">
        <v>11361</v>
      </c>
      <c r="L281" s="127" t="s">
        <v>13787</v>
      </c>
      <c r="M281" s="127" t="s">
        <v>11362</v>
      </c>
      <c r="N281" s="127" t="s">
        <v>11363</v>
      </c>
      <c r="O281" s="127" t="s">
        <v>14097</v>
      </c>
      <c r="P281" s="127" t="s">
        <v>14407</v>
      </c>
      <c r="Q281" s="127" t="s">
        <v>14717</v>
      </c>
    </row>
    <row r="282" spans="1:17" x14ac:dyDescent="0.35">
      <c r="A282" s="127" t="s">
        <v>6063</v>
      </c>
      <c r="C282" s="127" t="s">
        <v>11364</v>
      </c>
      <c r="D282" s="127" t="s">
        <v>13168</v>
      </c>
      <c r="I282" s="127" t="s">
        <v>11365</v>
      </c>
      <c r="J282" s="127" t="s">
        <v>13478</v>
      </c>
      <c r="K282" s="127" t="s">
        <v>11366</v>
      </c>
      <c r="L282" s="127" t="s">
        <v>13788</v>
      </c>
      <c r="M282" s="127" t="s">
        <v>11367</v>
      </c>
      <c r="N282" s="127" t="s">
        <v>11368</v>
      </c>
      <c r="O282" s="127" t="s">
        <v>14098</v>
      </c>
      <c r="P282" s="127" t="s">
        <v>14408</v>
      </c>
      <c r="Q282" s="127" t="s">
        <v>14718</v>
      </c>
    </row>
    <row r="283" spans="1:17" x14ac:dyDescent="0.35">
      <c r="A283" s="127" t="s">
        <v>6063</v>
      </c>
      <c r="C283" s="127" t="s">
        <v>11369</v>
      </c>
      <c r="D283" s="127" t="s">
        <v>13169</v>
      </c>
      <c r="I283" s="127" t="s">
        <v>11370</v>
      </c>
      <c r="J283" s="127" t="s">
        <v>13479</v>
      </c>
      <c r="K283" s="127" t="s">
        <v>11371</v>
      </c>
      <c r="L283" s="127" t="s">
        <v>13789</v>
      </c>
      <c r="M283" s="127" t="s">
        <v>11372</v>
      </c>
      <c r="N283" s="127" t="s">
        <v>11373</v>
      </c>
      <c r="O283" s="127" t="s">
        <v>14099</v>
      </c>
      <c r="P283" s="127" t="s">
        <v>14409</v>
      </c>
      <c r="Q283" s="127" t="s">
        <v>14719</v>
      </c>
    </row>
    <row r="284" spans="1:17" x14ac:dyDescent="0.35">
      <c r="A284" s="127" t="s">
        <v>6063</v>
      </c>
      <c r="C284" s="127" t="s">
        <v>11374</v>
      </c>
      <c r="D284" s="127" t="s">
        <v>13170</v>
      </c>
      <c r="I284" s="127" t="s">
        <v>11375</v>
      </c>
      <c r="J284" s="127" t="s">
        <v>13480</v>
      </c>
      <c r="K284" s="127" t="s">
        <v>11376</v>
      </c>
      <c r="L284" s="127" t="s">
        <v>13790</v>
      </c>
      <c r="M284" s="127" t="s">
        <v>11377</v>
      </c>
      <c r="N284" s="127" t="s">
        <v>11378</v>
      </c>
      <c r="O284" s="127" t="s">
        <v>14100</v>
      </c>
      <c r="P284" s="127" t="s">
        <v>14410</v>
      </c>
      <c r="Q284" s="127" t="s">
        <v>14720</v>
      </c>
    </row>
    <row r="285" spans="1:17" x14ac:dyDescent="0.35">
      <c r="A285" s="127" t="s">
        <v>6063</v>
      </c>
      <c r="C285" s="127" t="s">
        <v>11379</v>
      </c>
      <c r="D285" s="127" t="s">
        <v>13171</v>
      </c>
      <c r="I285" s="127" t="s">
        <v>11380</v>
      </c>
      <c r="J285" s="127" t="s">
        <v>13481</v>
      </c>
      <c r="K285" s="127" t="s">
        <v>11381</v>
      </c>
      <c r="L285" s="127" t="s">
        <v>13791</v>
      </c>
      <c r="M285" s="127" t="s">
        <v>11382</v>
      </c>
      <c r="N285" s="127" t="s">
        <v>11383</v>
      </c>
      <c r="O285" s="127" t="s">
        <v>14101</v>
      </c>
      <c r="P285" s="127" t="s">
        <v>14411</v>
      </c>
      <c r="Q285" s="127" t="s">
        <v>14721</v>
      </c>
    </row>
    <row r="286" spans="1:17" x14ac:dyDescent="0.35">
      <c r="A286" s="127" t="s">
        <v>6063</v>
      </c>
      <c r="C286" s="127" t="s">
        <v>11384</v>
      </c>
      <c r="D286" s="127" t="s">
        <v>13172</v>
      </c>
      <c r="I286" s="127" t="s">
        <v>11385</v>
      </c>
      <c r="J286" s="127" t="s">
        <v>13482</v>
      </c>
      <c r="K286" s="127" t="s">
        <v>11386</v>
      </c>
      <c r="L286" s="127" t="s">
        <v>13792</v>
      </c>
      <c r="M286" s="127" t="s">
        <v>11387</v>
      </c>
      <c r="N286" s="127" t="s">
        <v>11388</v>
      </c>
      <c r="O286" s="127" t="s">
        <v>14102</v>
      </c>
      <c r="P286" s="127" t="s">
        <v>14412</v>
      </c>
      <c r="Q286" s="127" t="s">
        <v>14722</v>
      </c>
    </row>
    <row r="287" spans="1:17" x14ac:dyDescent="0.35">
      <c r="A287" s="127" t="s">
        <v>6063</v>
      </c>
      <c r="C287" s="127" t="s">
        <v>11389</v>
      </c>
      <c r="D287" s="127" t="s">
        <v>13173</v>
      </c>
      <c r="I287" s="127" t="s">
        <v>11390</v>
      </c>
      <c r="J287" s="127" t="s">
        <v>13483</v>
      </c>
      <c r="K287" s="127" t="s">
        <v>11391</v>
      </c>
      <c r="L287" s="127" t="s">
        <v>13793</v>
      </c>
      <c r="M287" s="127" t="s">
        <v>11392</v>
      </c>
      <c r="N287" s="127" t="s">
        <v>11393</v>
      </c>
      <c r="O287" s="127" t="s">
        <v>14103</v>
      </c>
      <c r="P287" s="127" t="s">
        <v>14413</v>
      </c>
      <c r="Q287" s="127" t="s">
        <v>14723</v>
      </c>
    </row>
    <row r="288" spans="1:17" x14ac:dyDescent="0.35">
      <c r="A288" s="127" t="s">
        <v>6063</v>
      </c>
      <c r="C288" s="127" t="s">
        <v>11394</v>
      </c>
      <c r="D288" s="127" t="s">
        <v>13174</v>
      </c>
      <c r="I288" s="127" t="s">
        <v>11395</v>
      </c>
      <c r="J288" s="127" t="s">
        <v>13484</v>
      </c>
      <c r="K288" s="127" t="s">
        <v>11396</v>
      </c>
      <c r="L288" s="127" t="s">
        <v>13794</v>
      </c>
      <c r="M288" s="127" t="s">
        <v>11397</v>
      </c>
      <c r="N288" s="127" t="s">
        <v>11398</v>
      </c>
      <c r="O288" s="127" t="s">
        <v>14104</v>
      </c>
      <c r="P288" s="127" t="s">
        <v>14414</v>
      </c>
      <c r="Q288" s="127" t="s">
        <v>14724</v>
      </c>
    </row>
    <row r="289" spans="1:17" x14ac:dyDescent="0.35">
      <c r="A289" s="127" t="s">
        <v>6063</v>
      </c>
      <c r="C289" s="127" t="s">
        <v>11399</v>
      </c>
      <c r="D289" s="127" t="s">
        <v>13175</v>
      </c>
      <c r="I289" s="127" t="s">
        <v>11400</v>
      </c>
      <c r="J289" s="127" t="s">
        <v>13485</v>
      </c>
      <c r="K289" s="127" t="s">
        <v>11401</v>
      </c>
      <c r="L289" s="127" t="s">
        <v>13795</v>
      </c>
      <c r="M289" s="127" t="s">
        <v>11402</v>
      </c>
      <c r="N289" s="127" t="s">
        <v>11403</v>
      </c>
      <c r="O289" s="127" t="s">
        <v>14105</v>
      </c>
      <c r="P289" s="127" t="s">
        <v>14415</v>
      </c>
      <c r="Q289" s="127" t="s">
        <v>14725</v>
      </c>
    </row>
    <row r="290" spans="1:17" x14ac:dyDescent="0.35">
      <c r="A290" s="127" t="s">
        <v>6063</v>
      </c>
      <c r="C290" s="127" t="s">
        <v>11404</v>
      </c>
      <c r="D290" s="127" t="s">
        <v>13176</v>
      </c>
      <c r="I290" s="127" t="s">
        <v>11405</v>
      </c>
      <c r="J290" s="127" t="s">
        <v>13486</v>
      </c>
      <c r="K290" s="127" t="s">
        <v>11406</v>
      </c>
      <c r="L290" s="127" t="s">
        <v>13796</v>
      </c>
      <c r="M290" s="127" t="s">
        <v>11407</v>
      </c>
      <c r="N290" s="127" t="s">
        <v>11408</v>
      </c>
      <c r="O290" s="127" t="s">
        <v>14106</v>
      </c>
      <c r="P290" s="127" t="s">
        <v>14416</v>
      </c>
      <c r="Q290" s="127" t="s">
        <v>14726</v>
      </c>
    </row>
    <row r="291" spans="1:17" x14ac:dyDescent="0.35">
      <c r="A291" s="127" t="s">
        <v>6063</v>
      </c>
      <c r="C291" s="127" t="s">
        <v>11409</v>
      </c>
      <c r="D291" s="127" t="s">
        <v>13177</v>
      </c>
      <c r="I291" s="127" t="s">
        <v>11410</v>
      </c>
      <c r="J291" s="127" t="s">
        <v>13487</v>
      </c>
      <c r="K291" s="127" t="s">
        <v>11411</v>
      </c>
      <c r="L291" s="127" t="s">
        <v>13797</v>
      </c>
      <c r="M291" s="127" t="s">
        <v>11412</v>
      </c>
      <c r="N291" s="127" t="s">
        <v>11413</v>
      </c>
      <c r="O291" s="127" t="s">
        <v>14107</v>
      </c>
      <c r="P291" s="127" t="s">
        <v>14417</v>
      </c>
      <c r="Q291" s="127" t="s">
        <v>14727</v>
      </c>
    </row>
    <row r="292" spans="1:17" x14ac:dyDescent="0.35">
      <c r="A292" s="127" t="s">
        <v>6063</v>
      </c>
      <c r="C292" s="127" t="s">
        <v>11414</v>
      </c>
      <c r="D292" s="127" t="s">
        <v>13178</v>
      </c>
      <c r="I292" s="127" t="s">
        <v>11415</v>
      </c>
      <c r="J292" s="127" t="s">
        <v>13488</v>
      </c>
      <c r="K292" s="127" t="s">
        <v>11416</v>
      </c>
      <c r="L292" s="127" t="s">
        <v>13798</v>
      </c>
      <c r="M292" s="127" t="s">
        <v>11417</v>
      </c>
      <c r="N292" s="127" t="s">
        <v>11418</v>
      </c>
      <c r="O292" s="127" t="s">
        <v>14108</v>
      </c>
      <c r="P292" s="127" t="s">
        <v>14418</v>
      </c>
      <c r="Q292" s="127" t="s">
        <v>14728</v>
      </c>
    </row>
    <row r="293" spans="1:17" x14ac:dyDescent="0.35">
      <c r="A293" s="127" t="s">
        <v>6063</v>
      </c>
      <c r="C293" s="127" t="s">
        <v>11419</v>
      </c>
      <c r="D293" s="127" t="s">
        <v>13179</v>
      </c>
      <c r="I293" s="127" t="s">
        <v>11420</v>
      </c>
      <c r="J293" s="127" t="s">
        <v>13489</v>
      </c>
      <c r="K293" s="127" t="s">
        <v>11421</v>
      </c>
      <c r="L293" s="127" t="s">
        <v>13799</v>
      </c>
      <c r="M293" s="127" t="s">
        <v>11422</v>
      </c>
      <c r="N293" s="127" t="s">
        <v>11423</v>
      </c>
      <c r="O293" s="127" t="s">
        <v>14109</v>
      </c>
      <c r="P293" s="127" t="s">
        <v>14419</v>
      </c>
      <c r="Q293" s="127" t="s">
        <v>14729</v>
      </c>
    </row>
    <row r="294" spans="1:17" x14ac:dyDescent="0.35">
      <c r="A294" s="127" t="s">
        <v>6063</v>
      </c>
      <c r="C294" s="127" t="s">
        <v>11424</v>
      </c>
      <c r="D294" s="127" t="s">
        <v>13180</v>
      </c>
      <c r="I294" s="127" t="s">
        <v>11425</v>
      </c>
      <c r="J294" s="127" t="s">
        <v>13490</v>
      </c>
      <c r="K294" s="127" t="s">
        <v>11426</v>
      </c>
      <c r="L294" s="127" t="s">
        <v>13800</v>
      </c>
      <c r="M294" s="127" t="s">
        <v>11427</v>
      </c>
      <c r="N294" s="127" t="s">
        <v>11428</v>
      </c>
      <c r="O294" s="127" t="s">
        <v>14110</v>
      </c>
      <c r="P294" s="127" t="s">
        <v>14420</v>
      </c>
      <c r="Q294" s="127" t="s">
        <v>14730</v>
      </c>
    </row>
    <row r="295" spans="1:17" x14ac:dyDescent="0.35">
      <c r="A295" s="127" t="s">
        <v>6063</v>
      </c>
      <c r="C295" s="127" t="s">
        <v>11429</v>
      </c>
      <c r="D295" s="127" t="s">
        <v>13181</v>
      </c>
      <c r="I295" s="127" t="s">
        <v>11430</v>
      </c>
      <c r="J295" s="127" t="s">
        <v>13491</v>
      </c>
      <c r="K295" s="127" t="s">
        <v>11431</v>
      </c>
      <c r="L295" s="127" t="s">
        <v>13801</v>
      </c>
      <c r="M295" s="127" t="s">
        <v>11432</v>
      </c>
      <c r="N295" s="127" t="s">
        <v>11433</v>
      </c>
      <c r="O295" s="127" t="s">
        <v>14111</v>
      </c>
      <c r="P295" s="127" t="s">
        <v>14421</v>
      </c>
      <c r="Q295" s="127" t="s">
        <v>14731</v>
      </c>
    </row>
    <row r="296" spans="1:17" x14ac:dyDescent="0.35">
      <c r="A296" s="127" t="s">
        <v>6063</v>
      </c>
      <c r="C296" s="127" t="s">
        <v>11434</v>
      </c>
      <c r="D296" s="127" t="s">
        <v>13182</v>
      </c>
      <c r="I296" s="127" t="s">
        <v>11435</v>
      </c>
      <c r="J296" s="127" t="s">
        <v>13492</v>
      </c>
      <c r="K296" s="127" t="s">
        <v>11436</v>
      </c>
      <c r="L296" s="127" t="s">
        <v>13802</v>
      </c>
      <c r="M296" s="127" t="s">
        <v>11437</v>
      </c>
      <c r="N296" s="127" t="s">
        <v>11438</v>
      </c>
      <c r="O296" s="127" t="s">
        <v>14112</v>
      </c>
      <c r="P296" s="127" t="s">
        <v>14422</v>
      </c>
      <c r="Q296" s="127" t="s">
        <v>14732</v>
      </c>
    </row>
    <row r="297" spans="1:17" x14ac:dyDescent="0.35">
      <c r="A297" s="127" t="s">
        <v>6063</v>
      </c>
      <c r="C297" s="127" t="s">
        <v>11439</v>
      </c>
      <c r="D297" s="127" t="s">
        <v>13183</v>
      </c>
      <c r="I297" s="127" t="s">
        <v>11440</v>
      </c>
      <c r="J297" s="127" t="s">
        <v>13493</v>
      </c>
      <c r="K297" s="127" t="s">
        <v>11441</v>
      </c>
      <c r="L297" s="127" t="s">
        <v>13803</v>
      </c>
      <c r="M297" s="127" t="s">
        <v>11442</v>
      </c>
      <c r="N297" s="127" t="s">
        <v>11443</v>
      </c>
      <c r="O297" s="127" t="s">
        <v>14113</v>
      </c>
      <c r="P297" s="127" t="s">
        <v>14423</v>
      </c>
      <c r="Q297" s="127" t="s">
        <v>14733</v>
      </c>
    </row>
    <row r="298" spans="1:17" x14ac:dyDescent="0.35">
      <c r="A298" s="127" t="s">
        <v>6063</v>
      </c>
      <c r="C298" s="127" t="s">
        <v>11444</v>
      </c>
      <c r="D298" s="127" t="s">
        <v>13184</v>
      </c>
      <c r="I298" s="127" t="s">
        <v>11445</v>
      </c>
      <c r="J298" s="127" t="s">
        <v>13494</v>
      </c>
      <c r="K298" s="127" t="s">
        <v>11446</v>
      </c>
      <c r="L298" s="127" t="s">
        <v>13804</v>
      </c>
      <c r="M298" s="127" t="s">
        <v>11447</v>
      </c>
      <c r="N298" s="127" t="s">
        <v>11448</v>
      </c>
      <c r="O298" s="127" t="s">
        <v>14114</v>
      </c>
      <c r="P298" s="127" t="s">
        <v>14424</v>
      </c>
      <c r="Q298" s="127" t="s">
        <v>14734</v>
      </c>
    </row>
    <row r="299" spans="1:17" x14ac:dyDescent="0.35">
      <c r="A299" s="127" t="s">
        <v>6063</v>
      </c>
      <c r="C299" s="127" t="s">
        <v>11449</v>
      </c>
      <c r="D299" s="127" t="s">
        <v>13185</v>
      </c>
      <c r="I299" s="127" t="s">
        <v>11450</v>
      </c>
      <c r="J299" s="127" t="s">
        <v>13495</v>
      </c>
      <c r="K299" s="127" t="s">
        <v>11451</v>
      </c>
      <c r="L299" s="127" t="s">
        <v>13805</v>
      </c>
      <c r="M299" s="127" t="s">
        <v>11452</v>
      </c>
      <c r="N299" s="127" t="s">
        <v>11453</v>
      </c>
      <c r="O299" s="127" t="s">
        <v>14115</v>
      </c>
      <c r="P299" s="127" t="s">
        <v>14425</v>
      </c>
      <c r="Q299" s="127" t="s">
        <v>14735</v>
      </c>
    </row>
    <row r="300" spans="1:17" x14ac:dyDescent="0.35">
      <c r="A300" s="127" t="s">
        <v>6063</v>
      </c>
      <c r="C300" s="127" t="s">
        <v>11454</v>
      </c>
      <c r="D300" s="127" t="s">
        <v>13186</v>
      </c>
      <c r="I300" s="127" t="s">
        <v>11455</v>
      </c>
      <c r="J300" s="127" t="s">
        <v>13496</v>
      </c>
      <c r="K300" s="127" t="s">
        <v>11456</v>
      </c>
      <c r="L300" s="127" t="s">
        <v>13806</v>
      </c>
      <c r="M300" s="127" t="s">
        <v>11457</v>
      </c>
      <c r="N300" s="127" t="s">
        <v>11458</v>
      </c>
      <c r="O300" s="127" t="s">
        <v>14116</v>
      </c>
      <c r="P300" s="127" t="s">
        <v>14426</v>
      </c>
      <c r="Q300" s="127" t="s">
        <v>14736</v>
      </c>
    </row>
    <row r="301" spans="1:17" x14ac:dyDescent="0.35">
      <c r="A301" s="127" t="s">
        <v>6063</v>
      </c>
      <c r="C301" s="127" t="s">
        <v>11459</v>
      </c>
      <c r="D301" s="127" t="s">
        <v>13187</v>
      </c>
      <c r="I301" s="127" t="s">
        <v>11460</v>
      </c>
      <c r="J301" s="127" t="s">
        <v>13497</v>
      </c>
      <c r="K301" s="127" t="s">
        <v>11461</v>
      </c>
      <c r="L301" s="127" t="s">
        <v>13807</v>
      </c>
      <c r="M301" s="127" t="s">
        <v>11462</v>
      </c>
      <c r="N301" s="127" t="s">
        <v>11463</v>
      </c>
      <c r="O301" s="127" t="s">
        <v>14117</v>
      </c>
      <c r="P301" s="127" t="s">
        <v>14427</v>
      </c>
      <c r="Q301" s="127" t="s">
        <v>14737</v>
      </c>
    </row>
    <row r="302" spans="1:17" x14ac:dyDescent="0.35">
      <c r="A302" s="127" t="s">
        <v>6063</v>
      </c>
      <c r="C302" s="127" t="s">
        <v>11464</v>
      </c>
      <c r="D302" s="127" t="s">
        <v>13188</v>
      </c>
      <c r="I302" s="127" t="s">
        <v>11465</v>
      </c>
      <c r="J302" s="127" t="s">
        <v>13498</v>
      </c>
      <c r="K302" s="127" t="s">
        <v>11466</v>
      </c>
      <c r="L302" s="127" t="s">
        <v>13808</v>
      </c>
      <c r="M302" s="127" t="s">
        <v>11467</v>
      </c>
      <c r="N302" s="127" t="s">
        <v>11468</v>
      </c>
      <c r="O302" s="127" t="s">
        <v>14118</v>
      </c>
      <c r="P302" s="127" t="s">
        <v>14428</v>
      </c>
      <c r="Q302" s="127" t="s">
        <v>14738</v>
      </c>
    </row>
    <row r="303" spans="1:17" x14ac:dyDescent="0.35">
      <c r="A303" s="127" t="s">
        <v>6063</v>
      </c>
      <c r="C303" s="127" t="s">
        <v>11469</v>
      </c>
      <c r="D303" s="127" t="s">
        <v>13189</v>
      </c>
      <c r="I303" s="127" t="s">
        <v>11470</v>
      </c>
      <c r="J303" s="127" t="s">
        <v>13499</v>
      </c>
      <c r="K303" s="127" t="s">
        <v>11471</v>
      </c>
      <c r="L303" s="127" t="s">
        <v>13809</v>
      </c>
      <c r="M303" s="127" t="s">
        <v>11472</v>
      </c>
      <c r="N303" s="127" t="s">
        <v>11473</v>
      </c>
      <c r="O303" s="127" t="s">
        <v>14119</v>
      </c>
      <c r="P303" s="127" t="s">
        <v>14429</v>
      </c>
      <c r="Q303" s="127" t="s">
        <v>14739</v>
      </c>
    </row>
    <row r="304" spans="1:17" x14ac:dyDescent="0.35">
      <c r="A304" s="127" t="s">
        <v>6063</v>
      </c>
      <c r="C304" s="127" t="s">
        <v>11474</v>
      </c>
      <c r="D304" s="127" t="s">
        <v>13190</v>
      </c>
      <c r="I304" s="127" t="s">
        <v>11475</v>
      </c>
      <c r="J304" s="127" t="s">
        <v>13500</v>
      </c>
      <c r="K304" s="127" t="s">
        <v>11476</v>
      </c>
      <c r="L304" s="127" t="s">
        <v>13810</v>
      </c>
      <c r="M304" s="127" t="s">
        <v>11477</v>
      </c>
      <c r="N304" s="127" t="s">
        <v>11478</v>
      </c>
      <c r="O304" s="127" t="s">
        <v>14120</v>
      </c>
      <c r="P304" s="127" t="s">
        <v>14430</v>
      </c>
      <c r="Q304" s="127" t="s">
        <v>14740</v>
      </c>
    </row>
    <row r="305" spans="1:17" x14ac:dyDescent="0.35">
      <c r="A305" s="127" t="s">
        <v>6063</v>
      </c>
      <c r="C305" s="127" t="s">
        <v>11479</v>
      </c>
      <c r="D305" s="127" t="s">
        <v>13191</v>
      </c>
      <c r="I305" s="127" t="s">
        <v>11480</v>
      </c>
      <c r="J305" s="127" t="s">
        <v>13501</v>
      </c>
      <c r="K305" s="127" t="s">
        <v>11481</v>
      </c>
      <c r="L305" s="127" t="s">
        <v>13811</v>
      </c>
      <c r="M305" s="127" t="s">
        <v>11482</v>
      </c>
      <c r="N305" s="127" t="s">
        <v>11483</v>
      </c>
      <c r="O305" s="127" t="s">
        <v>14121</v>
      </c>
      <c r="P305" s="127" t="s">
        <v>14431</v>
      </c>
      <c r="Q305" s="127" t="s">
        <v>14741</v>
      </c>
    </row>
    <row r="306" spans="1:17" x14ac:dyDescent="0.35">
      <c r="A306" s="127" t="s">
        <v>6063</v>
      </c>
      <c r="C306" s="127" t="s">
        <v>11484</v>
      </c>
      <c r="D306" s="127" t="s">
        <v>13192</v>
      </c>
      <c r="I306" s="127" t="s">
        <v>11485</v>
      </c>
      <c r="J306" s="127" t="s">
        <v>13502</v>
      </c>
      <c r="K306" s="127" t="s">
        <v>11486</v>
      </c>
      <c r="L306" s="127" t="s">
        <v>13812</v>
      </c>
      <c r="M306" s="127" t="s">
        <v>11487</v>
      </c>
      <c r="N306" s="127" t="s">
        <v>11488</v>
      </c>
      <c r="O306" s="127" t="s">
        <v>14122</v>
      </c>
      <c r="P306" s="127" t="s">
        <v>14432</v>
      </c>
      <c r="Q306" s="127" t="s">
        <v>14742</v>
      </c>
    </row>
    <row r="307" spans="1:17" x14ac:dyDescent="0.35">
      <c r="A307" s="127" t="s">
        <v>6063</v>
      </c>
      <c r="C307" s="127" t="s">
        <v>11489</v>
      </c>
      <c r="D307" s="127" t="s">
        <v>13193</v>
      </c>
      <c r="I307" s="127" t="s">
        <v>11490</v>
      </c>
      <c r="J307" s="127" t="s">
        <v>13503</v>
      </c>
      <c r="K307" s="127" t="s">
        <v>11491</v>
      </c>
      <c r="L307" s="127" t="s">
        <v>13813</v>
      </c>
      <c r="M307" s="127" t="s">
        <v>11492</v>
      </c>
      <c r="N307" s="127" t="s">
        <v>11493</v>
      </c>
      <c r="O307" s="127" t="s">
        <v>14123</v>
      </c>
      <c r="P307" s="127" t="s">
        <v>14433</v>
      </c>
      <c r="Q307" s="127" t="s">
        <v>14743</v>
      </c>
    </row>
    <row r="308" spans="1:17" x14ac:dyDescent="0.35">
      <c r="A308" s="127" t="s">
        <v>6063</v>
      </c>
      <c r="C308" s="127" t="s">
        <v>11494</v>
      </c>
      <c r="D308" s="127" t="s">
        <v>13194</v>
      </c>
      <c r="I308" s="127" t="s">
        <v>11495</v>
      </c>
      <c r="J308" s="127" t="s">
        <v>13504</v>
      </c>
      <c r="K308" s="127" t="s">
        <v>11496</v>
      </c>
      <c r="L308" s="127" t="s">
        <v>13814</v>
      </c>
      <c r="M308" s="127" t="s">
        <v>11497</v>
      </c>
      <c r="N308" s="127" t="s">
        <v>11498</v>
      </c>
      <c r="O308" s="127" t="s">
        <v>14124</v>
      </c>
      <c r="P308" s="127" t="s">
        <v>14434</v>
      </c>
      <c r="Q308" s="127" t="s">
        <v>14744</v>
      </c>
    </row>
    <row r="309" spans="1:17" x14ac:dyDescent="0.35">
      <c r="A309" s="127" t="s">
        <v>6063</v>
      </c>
      <c r="C309" s="127" t="s">
        <v>11499</v>
      </c>
      <c r="D309" s="127" t="s">
        <v>13195</v>
      </c>
      <c r="I309" s="127" t="s">
        <v>11500</v>
      </c>
      <c r="J309" s="127" t="s">
        <v>13505</v>
      </c>
      <c r="K309" s="127" t="s">
        <v>11501</v>
      </c>
      <c r="L309" s="127" t="s">
        <v>13815</v>
      </c>
      <c r="M309" s="127" t="s">
        <v>11502</v>
      </c>
      <c r="N309" s="127" t="s">
        <v>11503</v>
      </c>
      <c r="O309" s="127" t="s">
        <v>14125</v>
      </c>
      <c r="P309" s="127" t="s">
        <v>14435</v>
      </c>
      <c r="Q309" s="127" t="s">
        <v>14745</v>
      </c>
    </row>
    <row r="310" spans="1:17" x14ac:dyDescent="0.35">
      <c r="A310" s="127" t="s">
        <v>6063</v>
      </c>
      <c r="C310" s="127" t="s">
        <v>11504</v>
      </c>
      <c r="D310" s="127" t="s">
        <v>13196</v>
      </c>
      <c r="I310" s="127" t="s">
        <v>11505</v>
      </c>
      <c r="J310" s="127" t="s">
        <v>13506</v>
      </c>
      <c r="K310" s="127" t="s">
        <v>11506</v>
      </c>
      <c r="L310" s="127" t="s">
        <v>13816</v>
      </c>
      <c r="M310" s="127" t="s">
        <v>11507</v>
      </c>
      <c r="N310" s="127" t="s">
        <v>11508</v>
      </c>
      <c r="O310" s="127" t="s">
        <v>14126</v>
      </c>
      <c r="P310" s="127" t="s">
        <v>14436</v>
      </c>
      <c r="Q310" s="127" t="s">
        <v>14746</v>
      </c>
    </row>
    <row r="311" spans="1:17" x14ac:dyDescent="0.35">
      <c r="A311" s="127" t="s">
        <v>6063</v>
      </c>
      <c r="C311" s="127" t="s">
        <v>11509</v>
      </c>
      <c r="D311" s="127" t="s">
        <v>13197</v>
      </c>
      <c r="I311" s="127" t="s">
        <v>11510</v>
      </c>
      <c r="J311" s="127" t="s">
        <v>13507</v>
      </c>
      <c r="K311" s="127" t="s">
        <v>11511</v>
      </c>
      <c r="L311" s="127" t="s">
        <v>13817</v>
      </c>
      <c r="M311" s="127" t="s">
        <v>11512</v>
      </c>
      <c r="N311" s="127" t="s">
        <v>11513</v>
      </c>
      <c r="O311" s="127" t="s">
        <v>14127</v>
      </c>
      <c r="P311" s="127" t="s">
        <v>14437</v>
      </c>
      <c r="Q311" s="127" t="s">
        <v>14747</v>
      </c>
    </row>
    <row r="312" spans="1:17" x14ac:dyDescent="0.35">
      <c r="A312" s="127" t="s">
        <v>6063</v>
      </c>
      <c r="C312" s="127" t="s">
        <v>11514</v>
      </c>
      <c r="D312" s="127" t="s">
        <v>13198</v>
      </c>
      <c r="I312" s="127" t="s">
        <v>11515</v>
      </c>
      <c r="J312" s="127" t="s">
        <v>13508</v>
      </c>
      <c r="K312" s="127" t="s">
        <v>11516</v>
      </c>
      <c r="L312" s="127" t="s">
        <v>13818</v>
      </c>
      <c r="M312" s="127" t="s">
        <v>11517</v>
      </c>
      <c r="N312" s="127" t="s">
        <v>11518</v>
      </c>
      <c r="O312" s="127" t="s">
        <v>14128</v>
      </c>
      <c r="P312" s="127" t="s">
        <v>14438</v>
      </c>
      <c r="Q312" s="127" t="s">
        <v>14748</v>
      </c>
    </row>
    <row r="313" spans="1:17" x14ac:dyDescent="0.35">
      <c r="A313" s="127" t="s">
        <v>6063</v>
      </c>
      <c r="C313" s="127" t="s">
        <v>11519</v>
      </c>
      <c r="D313" s="127" t="s">
        <v>13199</v>
      </c>
      <c r="I313" s="127" t="s">
        <v>11520</v>
      </c>
      <c r="J313" s="127" t="s">
        <v>13509</v>
      </c>
      <c r="K313" s="127" t="s">
        <v>11521</v>
      </c>
      <c r="L313" s="127" t="s">
        <v>13819</v>
      </c>
      <c r="M313" s="127" t="s">
        <v>11522</v>
      </c>
      <c r="N313" s="127" t="s">
        <v>11523</v>
      </c>
      <c r="O313" s="127" t="s">
        <v>14129</v>
      </c>
      <c r="P313" s="127" t="s">
        <v>14439</v>
      </c>
      <c r="Q313" s="127" t="s">
        <v>14749</v>
      </c>
    </row>
    <row r="314" spans="1:17" x14ac:dyDescent="0.35">
      <c r="A314" s="127" t="s">
        <v>6063</v>
      </c>
      <c r="C314" s="127" t="s">
        <v>11524</v>
      </c>
      <c r="D314" s="127" t="s">
        <v>13200</v>
      </c>
      <c r="I314" s="127" t="s">
        <v>11525</v>
      </c>
      <c r="J314" s="127" t="s">
        <v>13510</v>
      </c>
      <c r="K314" s="127" t="s">
        <v>11526</v>
      </c>
      <c r="L314" s="127" t="s">
        <v>13820</v>
      </c>
      <c r="M314" s="127" t="s">
        <v>11527</v>
      </c>
      <c r="N314" s="127" t="s">
        <v>11528</v>
      </c>
      <c r="O314" s="127" t="s">
        <v>14130</v>
      </c>
      <c r="P314" s="127" t="s">
        <v>14440</v>
      </c>
      <c r="Q314" s="127" t="s">
        <v>14750</v>
      </c>
    </row>
    <row r="315" spans="1:17" x14ac:dyDescent="0.35">
      <c r="A315" s="127" t="s">
        <v>6063</v>
      </c>
      <c r="C315" s="127" t="s">
        <v>11529</v>
      </c>
      <c r="D315" s="127" t="s">
        <v>13201</v>
      </c>
      <c r="I315" s="127" t="s">
        <v>11530</v>
      </c>
      <c r="J315" s="127" t="s">
        <v>13511</v>
      </c>
      <c r="K315" s="127" t="s">
        <v>11531</v>
      </c>
      <c r="L315" s="127" t="s">
        <v>13821</v>
      </c>
      <c r="M315" s="127" t="s">
        <v>11532</v>
      </c>
      <c r="N315" s="127" t="s">
        <v>11533</v>
      </c>
      <c r="O315" s="127" t="s">
        <v>14131</v>
      </c>
      <c r="P315" s="127" t="s">
        <v>14441</v>
      </c>
      <c r="Q315" s="127" t="s">
        <v>14751</v>
      </c>
    </row>
    <row r="316" spans="1:17" x14ac:dyDescent="0.35">
      <c r="A316" s="127" t="s">
        <v>6063</v>
      </c>
      <c r="C316" s="127" t="s">
        <v>11534</v>
      </c>
      <c r="D316" s="127" t="s">
        <v>13202</v>
      </c>
      <c r="I316" s="127" t="s">
        <v>11535</v>
      </c>
      <c r="J316" s="127" t="s">
        <v>13512</v>
      </c>
      <c r="K316" s="127" t="s">
        <v>11536</v>
      </c>
      <c r="L316" s="127" t="s">
        <v>13822</v>
      </c>
      <c r="M316" s="127" t="s">
        <v>11537</v>
      </c>
      <c r="N316" s="127" t="s">
        <v>11538</v>
      </c>
      <c r="O316" s="127" t="s">
        <v>14132</v>
      </c>
      <c r="P316" s="127" t="s">
        <v>14442</v>
      </c>
      <c r="Q316" s="127" t="s">
        <v>14752</v>
      </c>
    </row>
    <row r="317" spans="1:17" x14ac:dyDescent="0.35">
      <c r="A317" s="127" t="s">
        <v>6063</v>
      </c>
      <c r="C317" s="127" t="s">
        <v>11539</v>
      </c>
      <c r="D317" s="127" t="s">
        <v>13203</v>
      </c>
      <c r="I317" s="127" t="s">
        <v>11540</v>
      </c>
      <c r="J317" s="127" t="s">
        <v>13513</v>
      </c>
      <c r="K317" s="127" t="s">
        <v>11541</v>
      </c>
      <c r="L317" s="127" t="s">
        <v>13823</v>
      </c>
      <c r="M317" s="127" t="s">
        <v>11542</v>
      </c>
      <c r="N317" s="127" t="s">
        <v>11543</v>
      </c>
      <c r="O317" s="127" t="s">
        <v>14133</v>
      </c>
      <c r="P317" s="127" t="s">
        <v>14443</v>
      </c>
      <c r="Q317" s="127" t="s">
        <v>14753</v>
      </c>
    </row>
    <row r="318" spans="1:17" x14ac:dyDescent="0.35">
      <c r="A318" s="127" t="s">
        <v>6063</v>
      </c>
      <c r="C318" s="127" t="s">
        <v>11544</v>
      </c>
      <c r="D318" s="127" t="s">
        <v>13204</v>
      </c>
      <c r="I318" s="127" t="s">
        <v>11545</v>
      </c>
      <c r="J318" s="127" t="s">
        <v>13514</v>
      </c>
      <c r="K318" s="127" t="s">
        <v>11546</v>
      </c>
      <c r="L318" s="127" t="s">
        <v>13824</v>
      </c>
      <c r="M318" s="127" t="s">
        <v>11547</v>
      </c>
      <c r="N318" s="127" t="s">
        <v>11548</v>
      </c>
      <c r="O318" s="127" t="s">
        <v>14134</v>
      </c>
      <c r="P318" s="127" t="s">
        <v>14444</v>
      </c>
      <c r="Q318" s="127" t="s">
        <v>14754</v>
      </c>
    </row>
    <row r="319" spans="1:17" x14ac:dyDescent="0.35">
      <c r="A319" s="127" t="s">
        <v>6063</v>
      </c>
      <c r="C319" s="127" t="s">
        <v>11549</v>
      </c>
      <c r="D319" s="127" t="s">
        <v>13205</v>
      </c>
      <c r="I319" s="127" t="s">
        <v>11550</v>
      </c>
      <c r="J319" s="127" t="s">
        <v>13515</v>
      </c>
      <c r="K319" s="127" t="s">
        <v>11551</v>
      </c>
      <c r="L319" s="127" t="s">
        <v>13825</v>
      </c>
      <c r="M319" s="127" t="s">
        <v>11552</v>
      </c>
      <c r="N319" s="127" t="s">
        <v>11553</v>
      </c>
      <c r="O319" s="127" t="s">
        <v>14135</v>
      </c>
      <c r="P319" s="127" t="s">
        <v>14445</v>
      </c>
      <c r="Q319" s="127" t="s">
        <v>14755</v>
      </c>
    </row>
    <row r="320" spans="1:17" x14ac:dyDescent="0.35">
      <c r="A320" s="127" t="s">
        <v>6063</v>
      </c>
      <c r="C320" s="127" t="s">
        <v>11554</v>
      </c>
      <c r="D320" s="127" t="s">
        <v>13206</v>
      </c>
      <c r="I320" s="127" t="s">
        <v>11555</v>
      </c>
      <c r="J320" s="127" t="s">
        <v>13516</v>
      </c>
      <c r="K320" s="127" t="s">
        <v>11556</v>
      </c>
      <c r="L320" s="127" t="s">
        <v>13826</v>
      </c>
      <c r="M320" s="127" t="s">
        <v>11557</v>
      </c>
      <c r="N320" s="127" t="s">
        <v>11558</v>
      </c>
      <c r="O320" s="127" t="s">
        <v>14136</v>
      </c>
      <c r="P320" s="127" t="s">
        <v>14446</v>
      </c>
      <c r="Q320" s="127" t="s">
        <v>14756</v>
      </c>
    </row>
    <row r="321" spans="1:17" x14ac:dyDescent="0.35">
      <c r="A321" s="127" t="s">
        <v>6063</v>
      </c>
      <c r="C321" s="127" t="s">
        <v>11559</v>
      </c>
      <c r="D321" s="127" t="s">
        <v>13207</v>
      </c>
      <c r="I321" s="127" t="s">
        <v>11560</v>
      </c>
      <c r="J321" s="127" t="s">
        <v>13517</v>
      </c>
      <c r="K321" s="127" t="s">
        <v>11561</v>
      </c>
      <c r="L321" s="127" t="s">
        <v>13827</v>
      </c>
      <c r="M321" s="127" t="s">
        <v>11562</v>
      </c>
      <c r="N321" s="127" t="s">
        <v>11563</v>
      </c>
      <c r="O321" s="127" t="s">
        <v>14137</v>
      </c>
      <c r="P321" s="127" t="s">
        <v>14447</v>
      </c>
      <c r="Q321" s="127" t="s">
        <v>14757</v>
      </c>
    </row>
    <row r="322" spans="1:17" x14ac:dyDescent="0.35">
      <c r="A322" s="127" t="s">
        <v>6063</v>
      </c>
      <c r="C322" s="127" t="s">
        <v>11564</v>
      </c>
      <c r="D322" s="127" t="s">
        <v>13208</v>
      </c>
      <c r="I322" s="127" t="s">
        <v>11565</v>
      </c>
      <c r="J322" s="127" t="s">
        <v>13518</v>
      </c>
      <c r="K322" s="127" t="s">
        <v>11566</v>
      </c>
      <c r="L322" s="127" t="s">
        <v>13828</v>
      </c>
      <c r="M322" s="127" t="s">
        <v>11567</v>
      </c>
      <c r="N322" s="127" t="s">
        <v>11568</v>
      </c>
      <c r="O322" s="127" t="s">
        <v>14138</v>
      </c>
      <c r="P322" s="127" t="s">
        <v>14448</v>
      </c>
      <c r="Q322" s="127" t="s">
        <v>14758</v>
      </c>
    </row>
    <row r="323" spans="1:17" x14ac:dyDescent="0.35">
      <c r="A323" s="127" t="s">
        <v>6063</v>
      </c>
      <c r="C323" s="127" t="s">
        <v>11569</v>
      </c>
      <c r="D323" s="127" t="s">
        <v>13209</v>
      </c>
      <c r="I323" s="127" t="s">
        <v>11570</v>
      </c>
      <c r="J323" s="127" t="s">
        <v>13519</v>
      </c>
      <c r="K323" s="127" t="s">
        <v>11571</v>
      </c>
      <c r="L323" s="127" t="s">
        <v>13829</v>
      </c>
      <c r="M323" s="127" t="s">
        <v>11572</v>
      </c>
      <c r="N323" s="127" t="s">
        <v>11573</v>
      </c>
      <c r="O323" s="127" t="s">
        <v>14139</v>
      </c>
      <c r="P323" s="127" t="s">
        <v>14449</v>
      </c>
      <c r="Q323" s="127" t="s">
        <v>14759</v>
      </c>
    </row>
    <row r="326" spans="1:17" x14ac:dyDescent="0.35">
      <c r="I326" s="127" t="s">
        <v>51</v>
      </c>
    </row>
    <row r="327" spans="1:17" x14ac:dyDescent="0.35">
      <c r="I327" s="127" t="s">
        <v>52</v>
      </c>
    </row>
    <row r="328" spans="1:17" x14ac:dyDescent="0.35">
      <c r="I328" s="127" t="s">
        <v>53</v>
      </c>
    </row>
    <row r="329" spans="1:17" x14ac:dyDescent="0.35">
      <c r="C329" s="127" t="s">
        <v>56</v>
      </c>
      <c r="D329" s="127" t="s">
        <v>55</v>
      </c>
      <c r="I329" s="127" t="s">
        <v>37</v>
      </c>
      <c r="J329" s="127" t="s">
        <v>10</v>
      </c>
      <c r="K329" s="127" t="s">
        <v>54</v>
      </c>
      <c r="L329" s="127" t="s">
        <v>57</v>
      </c>
      <c r="M329" s="127" t="s">
        <v>9</v>
      </c>
      <c r="N329" s="127" t="s">
        <v>32</v>
      </c>
    </row>
    <row r="330" spans="1:17" x14ac:dyDescent="0.35">
      <c r="C330" s="127" t="s">
        <v>3263</v>
      </c>
      <c r="D330" s="127" t="s">
        <v>11574</v>
      </c>
      <c r="I330" s="127" t="s">
        <v>11575</v>
      </c>
      <c r="J330" s="127" t="s">
        <v>14760</v>
      </c>
      <c r="K330" s="127" t="s">
        <v>15202</v>
      </c>
      <c r="L330" s="127" t="s">
        <v>15644</v>
      </c>
      <c r="M330" s="127" t="s">
        <v>16086</v>
      </c>
      <c r="N330" s="127" t="s">
        <v>11576</v>
      </c>
    </row>
    <row r="331" spans="1:17" x14ac:dyDescent="0.35">
      <c r="A331" s="127" t="s">
        <v>6063</v>
      </c>
      <c r="C331" s="127" t="s">
        <v>3263</v>
      </c>
      <c r="D331" s="127" t="s">
        <v>11577</v>
      </c>
      <c r="I331" s="127" t="s">
        <v>11578</v>
      </c>
      <c r="J331" s="127" t="s">
        <v>14761</v>
      </c>
      <c r="K331" s="127" t="s">
        <v>15203</v>
      </c>
      <c r="L331" s="127" t="s">
        <v>15645</v>
      </c>
      <c r="M331" s="127" t="s">
        <v>16087</v>
      </c>
      <c r="N331" s="127" t="s">
        <v>11579</v>
      </c>
    </row>
    <row r="332" spans="1:17" x14ac:dyDescent="0.35">
      <c r="A332" s="127" t="s">
        <v>6063</v>
      </c>
      <c r="C332" s="127" t="s">
        <v>3263</v>
      </c>
      <c r="D332" s="127" t="s">
        <v>11580</v>
      </c>
      <c r="I332" s="127" t="s">
        <v>11581</v>
      </c>
      <c r="J332" s="127" t="s">
        <v>14762</v>
      </c>
      <c r="K332" s="127" t="s">
        <v>15204</v>
      </c>
      <c r="L332" s="127" t="s">
        <v>15646</v>
      </c>
      <c r="M332" s="127" t="s">
        <v>16088</v>
      </c>
      <c r="N332" s="127" t="s">
        <v>11582</v>
      </c>
    </row>
    <row r="333" spans="1:17" x14ac:dyDescent="0.35">
      <c r="A333" s="127" t="s">
        <v>6063</v>
      </c>
      <c r="C333" s="127" t="s">
        <v>3263</v>
      </c>
      <c r="D333" s="127" t="s">
        <v>11583</v>
      </c>
      <c r="I333" s="127" t="s">
        <v>11584</v>
      </c>
      <c r="J333" s="127" t="s">
        <v>14763</v>
      </c>
      <c r="K333" s="127" t="s">
        <v>15205</v>
      </c>
      <c r="L333" s="127" t="s">
        <v>15647</v>
      </c>
      <c r="M333" s="127" t="s">
        <v>16089</v>
      </c>
      <c r="N333" s="127" t="s">
        <v>11585</v>
      </c>
    </row>
    <row r="334" spans="1:17" x14ac:dyDescent="0.35">
      <c r="A334" s="127" t="s">
        <v>6063</v>
      </c>
      <c r="C334" s="127" t="s">
        <v>3263</v>
      </c>
      <c r="D334" s="127" t="s">
        <v>11586</v>
      </c>
      <c r="I334" s="127" t="s">
        <v>11587</v>
      </c>
      <c r="J334" s="127" t="s">
        <v>14764</v>
      </c>
      <c r="K334" s="127" t="s">
        <v>15206</v>
      </c>
      <c r="L334" s="127" t="s">
        <v>15648</v>
      </c>
      <c r="M334" s="127" t="s">
        <v>16090</v>
      </c>
      <c r="N334" s="127" t="s">
        <v>11588</v>
      </c>
    </row>
    <row r="335" spans="1:17" x14ac:dyDescent="0.35">
      <c r="A335" s="127" t="s">
        <v>6063</v>
      </c>
      <c r="C335" s="127" t="s">
        <v>3263</v>
      </c>
      <c r="D335" s="127" t="s">
        <v>11589</v>
      </c>
      <c r="I335" s="127" t="s">
        <v>11590</v>
      </c>
      <c r="J335" s="127" t="s">
        <v>14765</v>
      </c>
      <c r="K335" s="127" t="s">
        <v>15207</v>
      </c>
      <c r="L335" s="127" t="s">
        <v>15649</v>
      </c>
      <c r="M335" s="127" t="s">
        <v>16091</v>
      </c>
      <c r="N335" s="127" t="s">
        <v>11591</v>
      </c>
    </row>
    <row r="336" spans="1:17" x14ac:dyDescent="0.35">
      <c r="A336" s="127" t="s">
        <v>6063</v>
      </c>
      <c r="C336" s="127" t="s">
        <v>3263</v>
      </c>
      <c r="D336" s="127" t="s">
        <v>11592</v>
      </c>
      <c r="I336" s="127" t="s">
        <v>11593</v>
      </c>
      <c r="J336" s="127" t="s">
        <v>14766</v>
      </c>
      <c r="K336" s="127" t="s">
        <v>15208</v>
      </c>
      <c r="L336" s="127" t="s">
        <v>15650</v>
      </c>
      <c r="M336" s="127" t="s">
        <v>16092</v>
      </c>
      <c r="N336" s="127" t="s">
        <v>11594</v>
      </c>
    </row>
    <row r="337" spans="1:14" x14ac:dyDescent="0.35">
      <c r="A337" s="127" t="s">
        <v>6063</v>
      </c>
      <c r="C337" s="127" t="s">
        <v>3263</v>
      </c>
      <c r="D337" s="127" t="s">
        <v>11595</v>
      </c>
      <c r="I337" s="127" t="s">
        <v>11596</v>
      </c>
      <c r="J337" s="127" t="s">
        <v>14767</v>
      </c>
      <c r="K337" s="127" t="s">
        <v>15209</v>
      </c>
      <c r="L337" s="127" t="s">
        <v>15651</v>
      </c>
      <c r="M337" s="127" t="s">
        <v>16093</v>
      </c>
      <c r="N337" s="127" t="s">
        <v>11597</v>
      </c>
    </row>
    <row r="338" spans="1:14" x14ac:dyDescent="0.35">
      <c r="A338" s="127" t="s">
        <v>6063</v>
      </c>
      <c r="C338" s="127" t="s">
        <v>3263</v>
      </c>
      <c r="D338" s="127" t="s">
        <v>11598</v>
      </c>
      <c r="I338" s="127" t="s">
        <v>11599</v>
      </c>
      <c r="J338" s="127" t="s">
        <v>14768</v>
      </c>
      <c r="K338" s="127" t="s">
        <v>15210</v>
      </c>
      <c r="L338" s="127" t="s">
        <v>15652</v>
      </c>
      <c r="M338" s="127" t="s">
        <v>16094</v>
      </c>
      <c r="N338" s="127" t="s">
        <v>11600</v>
      </c>
    </row>
    <row r="339" spans="1:14" x14ac:dyDescent="0.35">
      <c r="A339" s="127" t="s">
        <v>6063</v>
      </c>
      <c r="C339" s="127" t="s">
        <v>3263</v>
      </c>
      <c r="D339" s="127" t="s">
        <v>11601</v>
      </c>
      <c r="I339" s="127" t="s">
        <v>11602</v>
      </c>
      <c r="J339" s="127" t="s">
        <v>14769</v>
      </c>
      <c r="K339" s="127" t="s">
        <v>15211</v>
      </c>
      <c r="L339" s="127" t="s">
        <v>15653</v>
      </c>
      <c r="M339" s="127" t="s">
        <v>16095</v>
      </c>
      <c r="N339" s="127" t="s">
        <v>11603</v>
      </c>
    </row>
    <row r="340" spans="1:14" x14ac:dyDescent="0.35">
      <c r="A340" s="127" t="s">
        <v>6063</v>
      </c>
      <c r="C340" s="127" t="s">
        <v>3263</v>
      </c>
      <c r="D340" s="127" t="s">
        <v>11604</v>
      </c>
      <c r="I340" s="127" t="s">
        <v>11605</v>
      </c>
      <c r="J340" s="127" t="s">
        <v>14770</v>
      </c>
      <c r="K340" s="127" t="s">
        <v>15212</v>
      </c>
      <c r="L340" s="127" t="s">
        <v>15654</v>
      </c>
      <c r="M340" s="127" t="s">
        <v>16096</v>
      </c>
      <c r="N340" s="127" t="s">
        <v>11606</v>
      </c>
    </row>
    <row r="341" spans="1:14" x14ac:dyDescent="0.35">
      <c r="A341" s="127" t="s">
        <v>6063</v>
      </c>
      <c r="C341" s="127" t="s">
        <v>3263</v>
      </c>
      <c r="D341" s="127" t="s">
        <v>11607</v>
      </c>
      <c r="I341" s="127" t="s">
        <v>11608</v>
      </c>
      <c r="J341" s="127" t="s">
        <v>14771</v>
      </c>
      <c r="K341" s="127" t="s">
        <v>15213</v>
      </c>
      <c r="L341" s="127" t="s">
        <v>15655</v>
      </c>
      <c r="M341" s="127" t="s">
        <v>16097</v>
      </c>
      <c r="N341" s="127" t="s">
        <v>11609</v>
      </c>
    </row>
    <row r="342" spans="1:14" x14ac:dyDescent="0.35">
      <c r="A342" s="127" t="s">
        <v>6063</v>
      </c>
      <c r="C342" s="127" t="s">
        <v>3263</v>
      </c>
      <c r="D342" s="127" t="s">
        <v>11610</v>
      </c>
      <c r="I342" s="127" t="s">
        <v>11611</v>
      </c>
      <c r="J342" s="127" t="s">
        <v>14772</v>
      </c>
      <c r="K342" s="127" t="s">
        <v>15214</v>
      </c>
      <c r="L342" s="127" t="s">
        <v>15656</v>
      </c>
      <c r="M342" s="127" t="s">
        <v>16098</v>
      </c>
      <c r="N342" s="127" t="s">
        <v>11612</v>
      </c>
    </row>
    <row r="343" spans="1:14" x14ac:dyDescent="0.35">
      <c r="A343" s="127" t="s">
        <v>6063</v>
      </c>
      <c r="C343" s="127" t="s">
        <v>3263</v>
      </c>
      <c r="D343" s="127" t="s">
        <v>11613</v>
      </c>
      <c r="I343" s="127" t="s">
        <v>11614</v>
      </c>
      <c r="J343" s="127" t="s">
        <v>14773</v>
      </c>
      <c r="K343" s="127" t="s">
        <v>15215</v>
      </c>
      <c r="L343" s="127" t="s">
        <v>15657</v>
      </c>
      <c r="M343" s="127" t="s">
        <v>16099</v>
      </c>
      <c r="N343" s="127" t="s">
        <v>11615</v>
      </c>
    </row>
    <row r="344" spans="1:14" x14ac:dyDescent="0.35">
      <c r="A344" s="127" t="s">
        <v>6063</v>
      </c>
      <c r="C344" s="127" t="s">
        <v>3263</v>
      </c>
      <c r="D344" s="127" t="s">
        <v>11616</v>
      </c>
      <c r="I344" s="127" t="s">
        <v>11617</v>
      </c>
      <c r="J344" s="127" t="s">
        <v>14774</v>
      </c>
      <c r="K344" s="127" t="s">
        <v>15216</v>
      </c>
      <c r="L344" s="127" t="s">
        <v>15658</v>
      </c>
      <c r="M344" s="127" t="s">
        <v>16100</v>
      </c>
      <c r="N344" s="127" t="s">
        <v>11618</v>
      </c>
    </row>
    <row r="345" spans="1:14" x14ac:dyDescent="0.35">
      <c r="A345" s="127" t="s">
        <v>6063</v>
      </c>
      <c r="C345" s="127" t="s">
        <v>3263</v>
      </c>
      <c r="D345" s="127" t="s">
        <v>11619</v>
      </c>
      <c r="I345" s="127" t="s">
        <v>11620</v>
      </c>
      <c r="J345" s="127" t="s">
        <v>14775</v>
      </c>
      <c r="K345" s="127" t="s">
        <v>15217</v>
      </c>
      <c r="L345" s="127" t="s">
        <v>15659</v>
      </c>
      <c r="M345" s="127" t="s">
        <v>16101</v>
      </c>
      <c r="N345" s="127" t="s">
        <v>11621</v>
      </c>
    </row>
    <row r="346" spans="1:14" x14ac:dyDescent="0.35">
      <c r="A346" s="127" t="s">
        <v>6063</v>
      </c>
      <c r="C346" s="127" t="s">
        <v>3263</v>
      </c>
      <c r="D346" s="127" t="s">
        <v>11622</v>
      </c>
      <c r="I346" s="127" t="s">
        <v>11623</v>
      </c>
      <c r="J346" s="127" t="s">
        <v>14776</v>
      </c>
      <c r="K346" s="127" t="s">
        <v>15218</v>
      </c>
      <c r="L346" s="127" t="s">
        <v>15660</v>
      </c>
      <c r="M346" s="127" t="s">
        <v>16102</v>
      </c>
      <c r="N346" s="127" t="s">
        <v>11624</v>
      </c>
    </row>
    <row r="347" spans="1:14" x14ac:dyDescent="0.35">
      <c r="A347" s="127" t="s">
        <v>6063</v>
      </c>
      <c r="C347" s="127" t="s">
        <v>3263</v>
      </c>
      <c r="D347" s="127" t="s">
        <v>11625</v>
      </c>
      <c r="I347" s="127" t="s">
        <v>11626</v>
      </c>
      <c r="J347" s="127" t="s">
        <v>14777</v>
      </c>
      <c r="K347" s="127" t="s">
        <v>15219</v>
      </c>
      <c r="L347" s="127" t="s">
        <v>15661</v>
      </c>
      <c r="M347" s="127" t="s">
        <v>16103</v>
      </c>
      <c r="N347" s="127" t="s">
        <v>11627</v>
      </c>
    </row>
    <row r="348" spans="1:14" x14ac:dyDescent="0.35">
      <c r="A348" s="127" t="s">
        <v>6063</v>
      </c>
      <c r="C348" s="127" t="s">
        <v>3263</v>
      </c>
      <c r="D348" s="127" t="s">
        <v>11628</v>
      </c>
      <c r="I348" s="127" t="s">
        <v>11629</v>
      </c>
      <c r="J348" s="127" t="s">
        <v>14778</v>
      </c>
      <c r="K348" s="127" t="s">
        <v>15220</v>
      </c>
      <c r="L348" s="127" t="s">
        <v>15662</v>
      </c>
      <c r="M348" s="127" t="s">
        <v>16104</v>
      </c>
      <c r="N348" s="127" t="s">
        <v>11630</v>
      </c>
    </row>
    <row r="349" spans="1:14" x14ac:dyDescent="0.35">
      <c r="A349" s="127" t="s">
        <v>6063</v>
      </c>
      <c r="C349" s="127" t="s">
        <v>3263</v>
      </c>
      <c r="D349" s="127" t="s">
        <v>11631</v>
      </c>
      <c r="I349" s="127" t="s">
        <v>11632</v>
      </c>
      <c r="J349" s="127" t="s">
        <v>14779</v>
      </c>
      <c r="K349" s="127" t="s">
        <v>15221</v>
      </c>
      <c r="L349" s="127" t="s">
        <v>15663</v>
      </c>
      <c r="M349" s="127" t="s">
        <v>16105</v>
      </c>
      <c r="N349" s="127" t="s">
        <v>11633</v>
      </c>
    </row>
    <row r="350" spans="1:14" x14ac:dyDescent="0.35">
      <c r="A350" s="127" t="s">
        <v>6063</v>
      </c>
      <c r="C350" s="127" t="s">
        <v>3263</v>
      </c>
      <c r="D350" s="127" t="s">
        <v>11634</v>
      </c>
      <c r="I350" s="127" t="s">
        <v>11635</v>
      </c>
      <c r="J350" s="127" t="s">
        <v>14780</v>
      </c>
      <c r="K350" s="127" t="s">
        <v>15222</v>
      </c>
      <c r="L350" s="127" t="s">
        <v>15664</v>
      </c>
      <c r="M350" s="127" t="s">
        <v>16106</v>
      </c>
      <c r="N350" s="127" t="s">
        <v>11636</v>
      </c>
    </row>
    <row r="351" spans="1:14" x14ac:dyDescent="0.35">
      <c r="A351" s="127" t="s">
        <v>6063</v>
      </c>
      <c r="C351" s="127" t="s">
        <v>3263</v>
      </c>
      <c r="D351" s="127" t="s">
        <v>11637</v>
      </c>
      <c r="I351" s="127" t="s">
        <v>11638</v>
      </c>
      <c r="J351" s="127" t="s">
        <v>14781</v>
      </c>
      <c r="K351" s="127" t="s">
        <v>15223</v>
      </c>
      <c r="L351" s="127" t="s">
        <v>15665</v>
      </c>
      <c r="M351" s="127" t="s">
        <v>16107</v>
      </c>
      <c r="N351" s="127" t="s">
        <v>11639</v>
      </c>
    </row>
    <row r="352" spans="1:14" x14ac:dyDescent="0.35">
      <c r="A352" s="127" t="s">
        <v>6063</v>
      </c>
      <c r="C352" s="127" t="s">
        <v>3263</v>
      </c>
      <c r="D352" s="127" t="s">
        <v>11640</v>
      </c>
      <c r="I352" s="127" t="s">
        <v>11641</v>
      </c>
      <c r="J352" s="127" t="s">
        <v>14782</v>
      </c>
      <c r="K352" s="127" t="s">
        <v>15224</v>
      </c>
      <c r="L352" s="127" t="s">
        <v>15666</v>
      </c>
      <c r="M352" s="127" t="s">
        <v>16108</v>
      </c>
      <c r="N352" s="127" t="s">
        <v>11642</v>
      </c>
    </row>
    <row r="353" spans="1:14" x14ac:dyDescent="0.35">
      <c r="A353" s="127" t="s">
        <v>6063</v>
      </c>
      <c r="C353" s="127" t="s">
        <v>3263</v>
      </c>
      <c r="D353" s="127" t="s">
        <v>11643</v>
      </c>
      <c r="I353" s="127" t="s">
        <v>11644</v>
      </c>
      <c r="J353" s="127" t="s">
        <v>14783</v>
      </c>
      <c r="K353" s="127" t="s">
        <v>15225</v>
      </c>
      <c r="L353" s="127" t="s">
        <v>15667</v>
      </c>
      <c r="M353" s="127" t="s">
        <v>16109</v>
      </c>
      <c r="N353" s="127" t="s">
        <v>11645</v>
      </c>
    </row>
    <row r="354" spans="1:14" x14ac:dyDescent="0.35">
      <c r="A354" s="127" t="s">
        <v>6063</v>
      </c>
      <c r="C354" s="127" t="s">
        <v>3263</v>
      </c>
      <c r="D354" s="127" t="s">
        <v>11646</v>
      </c>
      <c r="I354" s="127" t="s">
        <v>11647</v>
      </c>
      <c r="J354" s="127" t="s">
        <v>14784</v>
      </c>
      <c r="K354" s="127" t="s">
        <v>15226</v>
      </c>
      <c r="L354" s="127" t="s">
        <v>15668</v>
      </c>
      <c r="M354" s="127" t="s">
        <v>16110</v>
      </c>
      <c r="N354" s="127" t="s">
        <v>11648</v>
      </c>
    </row>
    <row r="355" spans="1:14" x14ac:dyDescent="0.35">
      <c r="A355" s="127" t="s">
        <v>6063</v>
      </c>
      <c r="C355" s="127" t="s">
        <v>3263</v>
      </c>
      <c r="D355" s="127" t="s">
        <v>11649</v>
      </c>
      <c r="I355" s="127" t="s">
        <v>11650</v>
      </c>
      <c r="J355" s="127" t="s">
        <v>14785</v>
      </c>
      <c r="K355" s="127" t="s">
        <v>15227</v>
      </c>
      <c r="L355" s="127" t="s">
        <v>15669</v>
      </c>
      <c r="M355" s="127" t="s">
        <v>16111</v>
      </c>
      <c r="N355" s="127" t="s">
        <v>11651</v>
      </c>
    </row>
    <row r="356" spans="1:14" x14ac:dyDescent="0.35">
      <c r="A356" s="127" t="s">
        <v>6063</v>
      </c>
      <c r="C356" s="127" t="s">
        <v>3263</v>
      </c>
      <c r="D356" s="127" t="s">
        <v>11652</v>
      </c>
      <c r="I356" s="127" t="s">
        <v>11653</v>
      </c>
      <c r="J356" s="127" t="s">
        <v>14786</v>
      </c>
      <c r="K356" s="127" t="s">
        <v>15228</v>
      </c>
      <c r="L356" s="127" t="s">
        <v>15670</v>
      </c>
      <c r="M356" s="127" t="s">
        <v>16112</v>
      </c>
      <c r="N356" s="127" t="s">
        <v>11654</v>
      </c>
    </row>
    <row r="357" spans="1:14" x14ac:dyDescent="0.35">
      <c r="A357" s="127" t="s">
        <v>6063</v>
      </c>
      <c r="C357" s="127" t="s">
        <v>3263</v>
      </c>
      <c r="D357" s="127" t="s">
        <v>11655</v>
      </c>
      <c r="I357" s="127" t="s">
        <v>11656</v>
      </c>
      <c r="J357" s="127" t="s">
        <v>14787</v>
      </c>
      <c r="K357" s="127" t="s">
        <v>15229</v>
      </c>
      <c r="L357" s="127" t="s">
        <v>15671</v>
      </c>
      <c r="M357" s="127" t="s">
        <v>16113</v>
      </c>
      <c r="N357" s="127" t="s">
        <v>11657</v>
      </c>
    </row>
    <row r="358" spans="1:14" x14ac:dyDescent="0.35">
      <c r="A358" s="127" t="s">
        <v>6063</v>
      </c>
      <c r="C358" s="127" t="s">
        <v>3263</v>
      </c>
      <c r="D358" s="127" t="s">
        <v>11658</v>
      </c>
      <c r="I358" s="127" t="s">
        <v>11659</v>
      </c>
      <c r="J358" s="127" t="s">
        <v>14788</v>
      </c>
      <c r="K358" s="127" t="s">
        <v>15230</v>
      </c>
      <c r="L358" s="127" t="s">
        <v>15672</v>
      </c>
      <c r="M358" s="127" t="s">
        <v>16114</v>
      </c>
      <c r="N358" s="127" t="s">
        <v>11660</v>
      </c>
    </row>
    <row r="359" spans="1:14" x14ac:dyDescent="0.35">
      <c r="A359" s="127" t="s">
        <v>6063</v>
      </c>
      <c r="C359" s="127" t="s">
        <v>3263</v>
      </c>
      <c r="D359" s="127" t="s">
        <v>11661</v>
      </c>
      <c r="I359" s="127" t="s">
        <v>11662</v>
      </c>
      <c r="J359" s="127" t="s">
        <v>14789</v>
      </c>
      <c r="K359" s="127" t="s">
        <v>15231</v>
      </c>
      <c r="L359" s="127" t="s">
        <v>15673</v>
      </c>
      <c r="M359" s="127" t="s">
        <v>16115</v>
      </c>
      <c r="N359" s="127" t="s">
        <v>11663</v>
      </c>
    </row>
    <row r="360" spans="1:14" x14ac:dyDescent="0.35">
      <c r="A360" s="127" t="s">
        <v>6063</v>
      </c>
      <c r="C360" s="127" t="s">
        <v>3263</v>
      </c>
      <c r="D360" s="127" t="s">
        <v>11664</v>
      </c>
      <c r="I360" s="127" t="s">
        <v>11665</v>
      </c>
      <c r="J360" s="127" t="s">
        <v>14790</v>
      </c>
      <c r="K360" s="127" t="s">
        <v>15232</v>
      </c>
      <c r="L360" s="127" t="s">
        <v>15674</v>
      </c>
      <c r="M360" s="127" t="s">
        <v>16116</v>
      </c>
      <c r="N360" s="127" t="s">
        <v>11666</v>
      </c>
    </row>
    <row r="361" spans="1:14" x14ac:dyDescent="0.35">
      <c r="A361" s="127" t="s">
        <v>6063</v>
      </c>
      <c r="C361" s="127" t="s">
        <v>3263</v>
      </c>
      <c r="D361" s="127" t="s">
        <v>11667</v>
      </c>
      <c r="I361" s="127" t="s">
        <v>11668</v>
      </c>
      <c r="J361" s="127" t="s">
        <v>14791</v>
      </c>
      <c r="K361" s="127" t="s">
        <v>15233</v>
      </c>
      <c r="L361" s="127" t="s">
        <v>15675</v>
      </c>
      <c r="M361" s="127" t="s">
        <v>16117</v>
      </c>
      <c r="N361" s="127" t="s">
        <v>11669</v>
      </c>
    </row>
    <row r="362" spans="1:14" x14ac:dyDescent="0.35">
      <c r="A362" s="127" t="s">
        <v>6063</v>
      </c>
      <c r="C362" s="127" t="s">
        <v>3263</v>
      </c>
      <c r="D362" s="127" t="s">
        <v>11670</v>
      </c>
      <c r="I362" s="127" t="s">
        <v>11671</v>
      </c>
      <c r="J362" s="127" t="s">
        <v>14792</v>
      </c>
      <c r="K362" s="127" t="s">
        <v>15234</v>
      </c>
      <c r="L362" s="127" t="s">
        <v>15676</v>
      </c>
      <c r="M362" s="127" t="s">
        <v>16118</v>
      </c>
      <c r="N362" s="127" t="s">
        <v>11672</v>
      </c>
    </row>
    <row r="363" spans="1:14" x14ac:dyDescent="0.35">
      <c r="A363" s="127" t="s">
        <v>6063</v>
      </c>
      <c r="C363" s="127" t="s">
        <v>3263</v>
      </c>
      <c r="D363" s="127" t="s">
        <v>11673</v>
      </c>
      <c r="I363" s="127" t="s">
        <v>11674</v>
      </c>
      <c r="J363" s="127" t="s">
        <v>14793</v>
      </c>
      <c r="K363" s="127" t="s">
        <v>15235</v>
      </c>
      <c r="L363" s="127" t="s">
        <v>15677</v>
      </c>
      <c r="M363" s="127" t="s">
        <v>16119</v>
      </c>
      <c r="N363" s="127" t="s">
        <v>11675</v>
      </c>
    </row>
    <row r="364" spans="1:14" x14ac:dyDescent="0.35">
      <c r="A364" s="127" t="s">
        <v>6063</v>
      </c>
      <c r="C364" s="127" t="s">
        <v>3263</v>
      </c>
      <c r="D364" s="127" t="s">
        <v>11676</v>
      </c>
      <c r="I364" s="127" t="s">
        <v>11677</v>
      </c>
      <c r="J364" s="127" t="s">
        <v>14794</v>
      </c>
      <c r="K364" s="127" t="s">
        <v>15236</v>
      </c>
      <c r="L364" s="127" t="s">
        <v>15678</v>
      </c>
      <c r="M364" s="127" t="s">
        <v>16120</v>
      </c>
      <c r="N364" s="127" t="s">
        <v>11678</v>
      </c>
    </row>
    <row r="365" spans="1:14" x14ac:dyDescent="0.35">
      <c r="A365" s="127" t="s">
        <v>6063</v>
      </c>
      <c r="C365" s="127" t="s">
        <v>3263</v>
      </c>
      <c r="D365" s="127" t="s">
        <v>11679</v>
      </c>
      <c r="I365" s="127" t="s">
        <v>11680</v>
      </c>
      <c r="J365" s="127" t="s">
        <v>14795</v>
      </c>
      <c r="K365" s="127" t="s">
        <v>15237</v>
      </c>
      <c r="L365" s="127" t="s">
        <v>15679</v>
      </c>
      <c r="M365" s="127" t="s">
        <v>16121</v>
      </c>
      <c r="N365" s="127" t="s">
        <v>11681</v>
      </c>
    </row>
    <row r="366" spans="1:14" x14ac:dyDescent="0.35">
      <c r="A366" s="127" t="s">
        <v>6063</v>
      </c>
      <c r="C366" s="127" t="s">
        <v>3263</v>
      </c>
      <c r="D366" s="127" t="s">
        <v>11682</v>
      </c>
      <c r="I366" s="127" t="s">
        <v>11683</v>
      </c>
      <c r="J366" s="127" t="s">
        <v>14796</v>
      </c>
      <c r="K366" s="127" t="s">
        <v>15238</v>
      </c>
      <c r="L366" s="127" t="s">
        <v>15680</v>
      </c>
      <c r="M366" s="127" t="s">
        <v>16122</v>
      </c>
      <c r="N366" s="127" t="s">
        <v>11684</v>
      </c>
    </row>
    <row r="367" spans="1:14" x14ac:dyDescent="0.35">
      <c r="A367" s="127" t="s">
        <v>6063</v>
      </c>
      <c r="C367" s="127" t="s">
        <v>3263</v>
      </c>
      <c r="D367" s="127" t="s">
        <v>11685</v>
      </c>
      <c r="I367" s="127" t="s">
        <v>11686</v>
      </c>
      <c r="J367" s="127" t="s">
        <v>14797</v>
      </c>
      <c r="K367" s="127" t="s">
        <v>15239</v>
      </c>
      <c r="L367" s="127" t="s">
        <v>15681</v>
      </c>
      <c r="M367" s="127" t="s">
        <v>16123</v>
      </c>
      <c r="N367" s="127" t="s">
        <v>11687</v>
      </c>
    </row>
    <row r="368" spans="1:14" x14ac:dyDescent="0.35">
      <c r="A368" s="127" t="s">
        <v>6063</v>
      </c>
      <c r="C368" s="127" t="s">
        <v>3263</v>
      </c>
      <c r="D368" s="127" t="s">
        <v>11688</v>
      </c>
      <c r="I368" s="127" t="s">
        <v>11689</v>
      </c>
      <c r="J368" s="127" t="s">
        <v>14798</v>
      </c>
      <c r="K368" s="127" t="s">
        <v>15240</v>
      </c>
      <c r="L368" s="127" t="s">
        <v>15682</v>
      </c>
      <c r="M368" s="127" t="s">
        <v>16124</v>
      </c>
      <c r="N368" s="127" t="s">
        <v>11690</v>
      </c>
    </row>
    <row r="369" spans="1:14" x14ac:dyDescent="0.35">
      <c r="A369" s="127" t="s">
        <v>6063</v>
      </c>
      <c r="C369" s="127" t="s">
        <v>3263</v>
      </c>
      <c r="D369" s="127" t="s">
        <v>11691</v>
      </c>
      <c r="I369" s="127" t="s">
        <v>11692</v>
      </c>
      <c r="J369" s="127" t="s">
        <v>14799</v>
      </c>
      <c r="K369" s="127" t="s">
        <v>15241</v>
      </c>
      <c r="L369" s="127" t="s">
        <v>15683</v>
      </c>
      <c r="M369" s="127" t="s">
        <v>16125</v>
      </c>
      <c r="N369" s="127" t="s">
        <v>11693</v>
      </c>
    </row>
    <row r="370" spans="1:14" x14ac:dyDescent="0.35">
      <c r="A370" s="127" t="s">
        <v>6063</v>
      </c>
      <c r="C370" s="127" t="s">
        <v>3263</v>
      </c>
      <c r="D370" s="127" t="s">
        <v>11694</v>
      </c>
      <c r="I370" s="127" t="s">
        <v>11695</v>
      </c>
      <c r="J370" s="127" t="s">
        <v>14800</v>
      </c>
      <c r="K370" s="127" t="s">
        <v>15242</v>
      </c>
      <c r="L370" s="127" t="s">
        <v>15684</v>
      </c>
      <c r="M370" s="127" t="s">
        <v>16126</v>
      </c>
      <c r="N370" s="127" t="s">
        <v>11696</v>
      </c>
    </row>
    <row r="371" spans="1:14" x14ac:dyDescent="0.35">
      <c r="A371" s="127" t="s">
        <v>6063</v>
      </c>
      <c r="C371" s="127" t="s">
        <v>3263</v>
      </c>
      <c r="D371" s="127" t="s">
        <v>11697</v>
      </c>
      <c r="I371" s="127" t="s">
        <v>11698</v>
      </c>
      <c r="J371" s="127" t="s">
        <v>14801</v>
      </c>
      <c r="K371" s="127" t="s">
        <v>15243</v>
      </c>
      <c r="L371" s="127" t="s">
        <v>15685</v>
      </c>
      <c r="M371" s="127" t="s">
        <v>16127</v>
      </c>
      <c r="N371" s="127" t="s">
        <v>11699</v>
      </c>
    </row>
    <row r="372" spans="1:14" x14ac:dyDescent="0.35">
      <c r="A372" s="127" t="s">
        <v>6063</v>
      </c>
      <c r="C372" s="127" t="s">
        <v>3263</v>
      </c>
      <c r="D372" s="127" t="s">
        <v>11700</v>
      </c>
      <c r="I372" s="127" t="s">
        <v>11701</v>
      </c>
      <c r="J372" s="127" t="s">
        <v>14802</v>
      </c>
      <c r="K372" s="127" t="s">
        <v>15244</v>
      </c>
      <c r="L372" s="127" t="s">
        <v>15686</v>
      </c>
      <c r="M372" s="127" t="s">
        <v>16128</v>
      </c>
      <c r="N372" s="127" t="s">
        <v>11702</v>
      </c>
    </row>
    <row r="373" spans="1:14" x14ac:dyDescent="0.35">
      <c r="A373" s="127" t="s">
        <v>6063</v>
      </c>
      <c r="C373" s="127" t="s">
        <v>3263</v>
      </c>
      <c r="D373" s="127" t="s">
        <v>11703</v>
      </c>
      <c r="I373" s="127" t="s">
        <v>11704</v>
      </c>
      <c r="J373" s="127" t="s">
        <v>14803</v>
      </c>
      <c r="K373" s="127" t="s">
        <v>15245</v>
      </c>
      <c r="L373" s="127" t="s">
        <v>15687</v>
      </c>
      <c r="M373" s="127" t="s">
        <v>16129</v>
      </c>
      <c r="N373" s="127" t="s">
        <v>11705</v>
      </c>
    </row>
    <row r="374" spans="1:14" x14ac:dyDescent="0.35">
      <c r="A374" s="127" t="s">
        <v>6063</v>
      </c>
      <c r="C374" s="127" t="s">
        <v>3263</v>
      </c>
      <c r="D374" s="127" t="s">
        <v>11706</v>
      </c>
      <c r="I374" s="127" t="s">
        <v>11707</v>
      </c>
      <c r="J374" s="127" t="s">
        <v>14804</v>
      </c>
      <c r="K374" s="127" t="s">
        <v>15246</v>
      </c>
      <c r="L374" s="127" t="s">
        <v>15688</v>
      </c>
      <c r="M374" s="127" t="s">
        <v>16130</v>
      </c>
      <c r="N374" s="127" t="s">
        <v>11708</v>
      </c>
    </row>
    <row r="375" spans="1:14" x14ac:dyDescent="0.35">
      <c r="A375" s="127" t="s">
        <v>6063</v>
      </c>
      <c r="C375" s="127" t="s">
        <v>3263</v>
      </c>
      <c r="D375" s="127" t="s">
        <v>11709</v>
      </c>
      <c r="I375" s="127" t="s">
        <v>11710</v>
      </c>
      <c r="J375" s="127" t="s">
        <v>14805</v>
      </c>
      <c r="K375" s="127" t="s">
        <v>15247</v>
      </c>
      <c r="L375" s="127" t="s">
        <v>15689</v>
      </c>
      <c r="M375" s="127" t="s">
        <v>16131</v>
      </c>
      <c r="N375" s="127" t="s">
        <v>11711</v>
      </c>
    </row>
    <row r="376" spans="1:14" x14ac:dyDescent="0.35">
      <c r="A376" s="127" t="s">
        <v>6063</v>
      </c>
      <c r="C376" s="127" t="s">
        <v>3263</v>
      </c>
      <c r="D376" s="127" t="s">
        <v>11712</v>
      </c>
      <c r="I376" s="127" t="s">
        <v>11713</v>
      </c>
      <c r="J376" s="127" t="s">
        <v>14806</v>
      </c>
      <c r="K376" s="127" t="s">
        <v>15248</v>
      </c>
      <c r="L376" s="127" t="s">
        <v>15690</v>
      </c>
      <c r="M376" s="127" t="s">
        <v>16132</v>
      </c>
      <c r="N376" s="127" t="s">
        <v>11714</v>
      </c>
    </row>
    <row r="377" spans="1:14" x14ac:dyDescent="0.35">
      <c r="A377" s="127" t="s">
        <v>6063</v>
      </c>
      <c r="C377" s="127" t="s">
        <v>3263</v>
      </c>
      <c r="D377" s="127" t="s">
        <v>11715</v>
      </c>
      <c r="I377" s="127" t="s">
        <v>11716</v>
      </c>
      <c r="J377" s="127" t="s">
        <v>14807</v>
      </c>
      <c r="K377" s="127" t="s">
        <v>15249</v>
      </c>
      <c r="L377" s="127" t="s">
        <v>15691</v>
      </c>
      <c r="M377" s="127" t="s">
        <v>16133</v>
      </c>
      <c r="N377" s="127" t="s">
        <v>11717</v>
      </c>
    </row>
    <row r="378" spans="1:14" x14ac:dyDescent="0.35">
      <c r="A378" s="127" t="s">
        <v>6063</v>
      </c>
      <c r="C378" s="127" t="s">
        <v>3263</v>
      </c>
      <c r="D378" s="127" t="s">
        <v>11718</v>
      </c>
      <c r="I378" s="127" t="s">
        <v>11719</v>
      </c>
      <c r="J378" s="127" t="s">
        <v>14808</v>
      </c>
      <c r="K378" s="127" t="s">
        <v>15250</v>
      </c>
      <c r="L378" s="127" t="s">
        <v>15692</v>
      </c>
      <c r="M378" s="127" t="s">
        <v>16134</v>
      </c>
      <c r="N378" s="127" t="s">
        <v>11720</v>
      </c>
    </row>
    <row r="379" spans="1:14" x14ac:dyDescent="0.35">
      <c r="A379" s="127" t="s">
        <v>6063</v>
      </c>
      <c r="C379" s="127" t="s">
        <v>3263</v>
      </c>
      <c r="D379" s="127" t="s">
        <v>11721</v>
      </c>
      <c r="I379" s="127" t="s">
        <v>11722</v>
      </c>
      <c r="J379" s="127" t="s">
        <v>14809</v>
      </c>
      <c r="K379" s="127" t="s">
        <v>15251</v>
      </c>
      <c r="L379" s="127" t="s">
        <v>15693</v>
      </c>
      <c r="M379" s="127" t="s">
        <v>16135</v>
      </c>
      <c r="N379" s="127" t="s">
        <v>11723</v>
      </c>
    </row>
    <row r="380" spans="1:14" x14ac:dyDescent="0.35">
      <c r="A380" s="127" t="s">
        <v>6063</v>
      </c>
      <c r="C380" s="127" t="s">
        <v>3263</v>
      </c>
      <c r="D380" s="127" t="s">
        <v>11724</v>
      </c>
      <c r="I380" s="127" t="s">
        <v>11725</v>
      </c>
      <c r="J380" s="127" t="s">
        <v>14810</v>
      </c>
      <c r="K380" s="127" t="s">
        <v>15252</v>
      </c>
      <c r="L380" s="127" t="s">
        <v>15694</v>
      </c>
      <c r="M380" s="127" t="s">
        <v>16136</v>
      </c>
      <c r="N380" s="127" t="s">
        <v>11726</v>
      </c>
    </row>
    <row r="381" spans="1:14" x14ac:dyDescent="0.35">
      <c r="A381" s="127" t="s">
        <v>6063</v>
      </c>
      <c r="C381" s="127" t="s">
        <v>3263</v>
      </c>
      <c r="D381" s="127" t="s">
        <v>11727</v>
      </c>
      <c r="I381" s="127" t="s">
        <v>11728</v>
      </c>
      <c r="J381" s="127" t="s">
        <v>14811</v>
      </c>
      <c r="K381" s="127" t="s">
        <v>15253</v>
      </c>
      <c r="L381" s="127" t="s">
        <v>15695</v>
      </c>
      <c r="M381" s="127" t="s">
        <v>16137</v>
      </c>
      <c r="N381" s="127" t="s">
        <v>11729</v>
      </c>
    </row>
    <row r="382" spans="1:14" x14ac:dyDescent="0.35">
      <c r="A382" s="127" t="s">
        <v>6063</v>
      </c>
      <c r="C382" s="127" t="s">
        <v>3263</v>
      </c>
      <c r="D382" s="127" t="s">
        <v>11730</v>
      </c>
      <c r="I382" s="127" t="s">
        <v>11731</v>
      </c>
      <c r="J382" s="127" t="s">
        <v>14812</v>
      </c>
      <c r="K382" s="127" t="s">
        <v>15254</v>
      </c>
      <c r="L382" s="127" t="s">
        <v>15696</v>
      </c>
      <c r="M382" s="127" t="s">
        <v>16138</v>
      </c>
      <c r="N382" s="127" t="s">
        <v>11732</v>
      </c>
    </row>
    <row r="383" spans="1:14" x14ac:dyDescent="0.35">
      <c r="A383" s="127" t="s">
        <v>6063</v>
      </c>
      <c r="C383" s="127" t="s">
        <v>3263</v>
      </c>
      <c r="D383" s="127" t="s">
        <v>11733</v>
      </c>
      <c r="I383" s="127" t="s">
        <v>11734</v>
      </c>
      <c r="J383" s="127" t="s">
        <v>14813</v>
      </c>
      <c r="K383" s="127" t="s">
        <v>15255</v>
      </c>
      <c r="L383" s="127" t="s">
        <v>15697</v>
      </c>
      <c r="M383" s="127" t="s">
        <v>16139</v>
      </c>
      <c r="N383" s="127" t="s">
        <v>11735</v>
      </c>
    </row>
    <row r="384" spans="1:14" x14ac:dyDescent="0.35">
      <c r="A384" s="127" t="s">
        <v>6063</v>
      </c>
      <c r="C384" s="127" t="s">
        <v>3263</v>
      </c>
      <c r="D384" s="127" t="s">
        <v>11736</v>
      </c>
      <c r="I384" s="127" t="s">
        <v>11737</v>
      </c>
      <c r="J384" s="127" t="s">
        <v>14814</v>
      </c>
      <c r="K384" s="127" t="s">
        <v>15256</v>
      </c>
      <c r="L384" s="127" t="s">
        <v>15698</v>
      </c>
      <c r="M384" s="127" t="s">
        <v>16140</v>
      </c>
      <c r="N384" s="127" t="s">
        <v>11738</v>
      </c>
    </row>
    <row r="385" spans="1:14" x14ac:dyDescent="0.35">
      <c r="A385" s="127" t="s">
        <v>6063</v>
      </c>
      <c r="C385" s="127" t="s">
        <v>3263</v>
      </c>
      <c r="D385" s="127" t="s">
        <v>11739</v>
      </c>
      <c r="I385" s="127" t="s">
        <v>11740</v>
      </c>
      <c r="J385" s="127" t="s">
        <v>14815</v>
      </c>
      <c r="K385" s="127" t="s">
        <v>15257</v>
      </c>
      <c r="L385" s="127" t="s">
        <v>15699</v>
      </c>
      <c r="M385" s="127" t="s">
        <v>16141</v>
      </c>
      <c r="N385" s="127" t="s">
        <v>11741</v>
      </c>
    </row>
    <row r="386" spans="1:14" x14ac:dyDescent="0.35">
      <c r="A386" s="127" t="s">
        <v>6063</v>
      </c>
      <c r="C386" s="127" t="s">
        <v>3263</v>
      </c>
      <c r="D386" s="127" t="s">
        <v>11742</v>
      </c>
      <c r="I386" s="127" t="s">
        <v>11743</v>
      </c>
      <c r="J386" s="127" t="s">
        <v>14816</v>
      </c>
      <c r="K386" s="127" t="s">
        <v>15258</v>
      </c>
      <c r="L386" s="127" t="s">
        <v>15700</v>
      </c>
      <c r="M386" s="127" t="s">
        <v>16142</v>
      </c>
      <c r="N386" s="127" t="s">
        <v>11744</v>
      </c>
    </row>
    <row r="387" spans="1:14" x14ac:dyDescent="0.35">
      <c r="A387" s="127" t="s">
        <v>6063</v>
      </c>
      <c r="C387" s="127" t="s">
        <v>3263</v>
      </c>
      <c r="D387" s="127" t="s">
        <v>11745</v>
      </c>
      <c r="I387" s="127" t="s">
        <v>11746</v>
      </c>
      <c r="J387" s="127" t="s">
        <v>14817</v>
      </c>
      <c r="K387" s="127" t="s">
        <v>15259</v>
      </c>
      <c r="L387" s="127" t="s">
        <v>15701</v>
      </c>
      <c r="M387" s="127" t="s">
        <v>16143</v>
      </c>
      <c r="N387" s="127" t="s">
        <v>11747</v>
      </c>
    </row>
    <row r="388" spans="1:14" x14ac:dyDescent="0.35">
      <c r="A388" s="127" t="s">
        <v>6063</v>
      </c>
      <c r="C388" s="127" t="s">
        <v>3263</v>
      </c>
      <c r="D388" s="127" t="s">
        <v>11748</v>
      </c>
      <c r="I388" s="127" t="s">
        <v>11749</v>
      </c>
      <c r="J388" s="127" t="s">
        <v>14818</v>
      </c>
      <c r="K388" s="127" t="s">
        <v>15260</v>
      </c>
      <c r="L388" s="127" t="s">
        <v>15702</v>
      </c>
      <c r="M388" s="127" t="s">
        <v>16144</v>
      </c>
      <c r="N388" s="127" t="s">
        <v>11750</v>
      </c>
    </row>
    <row r="389" spans="1:14" x14ac:dyDescent="0.35">
      <c r="A389" s="127" t="s">
        <v>6063</v>
      </c>
      <c r="C389" s="127" t="s">
        <v>3263</v>
      </c>
      <c r="D389" s="127" t="s">
        <v>11751</v>
      </c>
      <c r="I389" s="127" t="s">
        <v>11752</v>
      </c>
      <c r="J389" s="127" t="s">
        <v>14819</v>
      </c>
      <c r="K389" s="127" t="s">
        <v>15261</v>
      </c>
      <c r="L389" s="127" t="s">
        <v>15703</v>
      </c>
      <c r="M389" s="127" t="s">
        <v>16145</v>
      </c>
      <c r="N389" s="127" t="s">
        <v>11753</v>
      </c>
    </row>
    <row r="390" spans="1:14" x14ac:dyDescent="0.35">
      <c r="A390" s="127" t="s">
        <v>6063</v>
      </c>
      <c r="C390" s="127" t="s">
        <v>3263</v>
      </c>
      <c r="D390" s="127" t="s">
        <v>11754</v>
      </c>
      <c r="I390" s="127" t="s">
        <v>11755</v>
      </c>
      <c r="J390" s="127" t="s">
        <v>14820</v>
      </c>
      <c r="K390" s="127" t="s">
        <v>15262</v>
      </c>
      <c r="L390" s="127" t="s">
        <v>15704</v>
      </c>
      <c r="M390" s="127" t="s">
        <v>16146</v>
      </c>
      <c r="N390" s="127" t="s">
        <v>11756</v>
      </c>
    </row>
    <row r="391" spans="1:14" x14ac:dyDescent="0.35">
      <c r="A391" s="127" t="s">
        <v>6063</v>
      </c>
      <c r="C391" s="127" t="s">
        <v>3263</v>
      </c>
      <c r="D391" s="127" t="s">
        <v>11757</v>
      </c>
      <c r="I391" s="127" t="s">
        <v>11758</v>
      </c>
      <c r="J391" s="127" t="s">
        <v>14821</v>
      </c>
      <c r="K391" s="127" t="s">
        <v>15263</v>
      </c>
      <c r="L391" s="127" t="s">
        <v>15705</v>
      </c>
      <c r="M391" s="127" t="s">
        <v>16147</v>
      </c>
      <c r="N391" s="127" t="s">
        <v>11759</v>
      </c>
    </row>
    <row r="392" spans="1:14" x14ac:dyDescent="0.35">
      <c r="A392" s="127" t="s">
        <v>6063</v>
      </c>
      <c r="C392" s="127" t="s">
        <v>3263</v>
      </c>
      <c r="D392" s="127" t="s">
        <v>11760</v>
      </c>
      <c r="I392" s="127" t="s">
        <v>11761</v>
      </c>
      <c r="J392" s="127" t="s">
        <v>14822</v>
      </c>
      <c r="K392" s="127" t="s">
        <v>15264</v>
      </c>
      <c r="L392" s="127" t="s">
        <v>15706</v>
      </c>
      <c r="M392" s="127" t="s">
        <v>16148</v>
      </c>
      <c r="N392" s="127" t="s">
        <v>11762</v>
      </c>
    </row>
    <row r="393" spans="1:14" x14ac:dyDescent="0.35">
      <c r="A393" s="127" t="s">
        <v>6063</v>
      </c>
      <c r="C393" s="127" t="s">
        <v>3263</v>
      </c>
      <c r="D393" s="127" t="s">
        <v>11763</v>
      </c>
      <c r="I393" s="127" t="s">
        <v>11764</v>
      </c>
      <c r="J393" s="127" t="s">
        <v>14823</v>
      </c>
      <c r="K393" s="127" t="s">
        <v>15265</v>
      </c>
      <c r="L393" s="127" t="s">
        <v>15707</v>
      </c>
      <c r="M393" s="127" t="s">
        <v>16149</v>
      </c>
      <c r="N393" s="127" t="s">
        <v>11765</v>
      </c>
    </row>
    <row r="394" spans="1:14" x14ac:dyDescent="0.35">
      <c r="A394" s="127" t="s">
        <v>6063</v>
      </c>
      <c r="C394" s="127" t="s">
        <v>3263</v>
      </c>
      <c r="D394" s="127" t="s">
        <v>11766</v>
      </c>
      <c r="I394" s="127" t="s">
        <v>11767</v>
      </c>
      <c r="J394" s="127" t="s">
        <v>14824</v>
      </c>
      <c r="K394" s="127" t="s">
        <v>15266</v>
      </c>
      <c r="L394" s="127" t="s">
        <v>15708</v>
      </c>
      <c r="M394" s="127" t="s">
        <v>16150</v>
      </c>
      <c r="N394" s="127" t="s">
        <v>11768</v>
      </c>
    </row>
    <row r="395" spans="1:14" x14ac:dyDescent="0.35">
      <c r="A395" s="127" t="s">
        <v>6063</v>
      </c>
      <c r="C395" s="127" t="s">
        <v>3263</v>
      </c>
      <c r="D395" s="127" t="s">
        <v>11769</v>
      </c>
      <c r="I395" s="127" t="s">
        <v>11770</v>
      </c>
      <c r="J395" s="127" t="s">
        <v>14825</v>
      </c>
      <c r="K395" s="127" t="s">
        <v>15267</v>
      </c>
      <c r="L395" s="127" t="s">
        <v>15709</v>
      </c>
      <c r="M395" s="127" t="s">
        <v>16151</v>
      </c>
      <c r="N395" s="127" t="s">
        <v>11771</v>
      </c>
    </row>
    <row r="396" spans="1:14" x14ac:dyDescent="0.35">
      <c r="A396" s="127" t="s">
        <v>6063</v>
      </c>
      <c r="C396" s="127" t="s">
        <v>3263</v>
      </c>
      <c r="D396" s="127" t="s">
        <v>11772</v>
      </c>
      <c r="I396" s="127" t="s">
        <v>11773</v>
      </c>
      <c r="J396" s="127" t="s">
        <v>14826</v>
      </c>
      <c r="K396" s="127" t="s">
        <v>15268</v>
      </c>
      <c r="L396" s="127" t="s">
        <v>15710</v>
      </c>
      <c r="M396" s="127" t="s">
        <v>16152</v>
      </c>
      <c r="N396" s="127" t="s">
        <v>11774</v>
      </c>
    </row>
    <row r="397" spans="1:14" x14ac:dyDescent="0.35">
      <c r="A397" s="127" t="s">
        <v>6063</v>
      </c>
      <c r="C397" s="127" t="s">
        <v>3263</v>
      </c>
      <c r="D397" s="127" t="s">
        <v>11775</v>
      </c>
      <c r="I397" s="127" t="s">
        <v>11776</v>
      </c>
      <c r="J397" s="127" t="s">
        <v>14827</v>
      </c>
      <c r="K397" s="127" t="s">
        <v>15269</v>
      </c>
      <c r="L397" s="127" t="s">
        <v>15711</v>
      </c>
      <c r="M397" s="127" t="s">
        <v>16153</v>
      </c>
      <c r="N397" s="127" t="s">
        <v>11777</v>
      </c>
    </row>
    <row r="398" spans="1:14" x14ac:dyDescent="0.35">
      <c r="A398" s="127" t="s">
        <v>6063</v>
      </c>
      <c r="C398" s="127" t="s">
        <v>3263</v>
      </c>
      <c r="D398" s="127" t="s">
        <v>11778</v>
      </c>
      <c r="I398" s="127" t="s">
        <v>11779</v>
      </c>
      <c r="J398" s="127" t="s">
        <v>14828</v>
      </c>
      <c r="K398" s="127" t="s">
        <v>15270</v>
      </c>
      <c r="L398" s="127" t="s">
        <v>15712</v>
      </c>
      <c r="M398" s="127" t="s">
        <v>16154</v>
      </c>
      <c r="N398" s="127" t="s">
        <v>11780</v>
      </c>
    </row>
    <row r="399" spans="1:14" x14ac:dyDescent="0.35">
      <c r="A399" s="127" t="s">
        <v>6063</v>
      </c>
      <c r="C399" s="127" t="s">
        <v>3263</v>
      </c>
      <c r="D399" s="127" t="s">
        <v>11781</v>
      </c>
      <c r="I399" s="127" t="s">
        <v>11782</v>
      </c>
      <c r="J399" s="127" t="s">
        <v>14829</v>
      </c>
      <c r="K399" s="127" t="s">
        <v>15271</v>
      </c>
      <c r="L399" s="127" t="s">
        <v>15713</v>
      </c>
      <c r="M399" s="127" t="s">
        <v>16155</v>
      </c>
      <c r="N399" s="127" t="s">
        <v>11783</v>
      </c>
    </row>
    <row r="400" spans="1:14" x14ac:dyDescent="0.35">
      <c r="A400" s="127" t="s">
        <v>6063</v>
      </c>
      <c r="C400" s="127" t="s">
        <v>3263</v>
      </c>
      <c r="D400" s="127" t="s">
        <v>11784</v>
      </c>
      <c r="I400" s="127" t="s">
        <v>11785</v>
      </c>
      <c r="J400" s="127" t="s">
        <v>14830</v>
      </c>
      <c r="K400" s="127" t="s">
        <v>15272</v>
      </c>
      <c r="L400" s="127" t="s">
        <v>15714</v>
      </c>
      <c r="M400" s="127" t="s">
        <v>16156</v>
      </c>
      <c r="N400" s="127" t="s">
        <v>11786</v>
      </c>
    </row>
    <row r="401" spans="1:14" x14ac:dyDescent="0.35">
      <c r="A401" s="127" t="s">
        <v>6063</v>
      </c>
      <c r="C401" s="127" t="s">
        <v>3263</v>
      </c>
      <c r="D401" s="127" t="s">
        <v>11787</v>
      </c>
      <c r="I401" s="127" t="s">
        <v>11788</v>
      </c>
      <c r="J401" s="127" t="s">
        <v>14831</v>
      </c>
      <c r="K401" s="127" t="s">
        <v>15273</v>
      </c>
      <c r="L401" s="127" t="s">
        <v>15715</v>
      </c>
      <c r="M401" s="127" t="s">
        <v>16157</v>
      </c>
      <c r="N401" s="127" t="s">
        <v>11789</v>
      </c>
    </row>
    <row r="402" spans="1:14" x14ac:dyDescent="0.35">
      <c r="A402" s="127" t="s">
        <v>6063</v>
      </c>
      <c r="C402" s="127" t="s">
        <v>3263</v>
      </c>
      <c r="D402" s="127" t="s">
        <v>11790</v>
      </c>
      <c r="I402" s="127" t="s">
        <v>11791</v>
      </c>
      <c r="J402" s="127" t="s">
        <v>14832</v>
      </c>
      <c r="K402" s="127" t="s">
        <v>15274</v>
      </c>
      <c r="L402" s="127" t="s">
        <v>15716</v>
      </c>
      <c r="M402" s="127" t="s">
        <v>16158</v>
      </c>
      <c r="N402" s="127" t="s">
        <v>11792</v>
      </c>
    </row>
    <row r="403" spans="1:14" x14ac:dyDescent="0.35">
      <c r="A403" s="127" t="s">
        <v>6063</v>
      </c>
      <c r="C403" s="127" t="s">
        <v>3263</v>
      </c>
      <c r="D403" s="127" t="s">
        <v>11793</v>
      </c>
      <c r="I403" s="127" t="s">
        <v>11794</v>
      </c>
      <c r="J403" s="127" t="s">
        <v>14833</v>
      </c>
      <c r="K403" s="127" t="s">
        <v>15275</v>
      </c>
      <c r="L403" s="127" t="s">
        <v>15717</v>
      </c>
      <c r="M403" s="127" t="s">
        <v>16159</v>
      </c>
      <c r="N403" s="127" t="s">
        <v>11795</v>
      </c>
    </row>
    <row r="404" spans="1:14" x14ac:dyDescent="0.35">
      <c r="A404" s="127" t="s">
        <v>6063</v>
      </c>
      <c r="C404" s="127" t="s">
        <v>3263</v>
      </c>
      <c r="D404" s="127" t="s">
        <v>11796</v>
      </c>
      <c r="I404" s="127" t="s">
        <v>11797</v>
      </c>
      <c r="J404" s="127" t="s">
        <v>14834</v>
      </c>
      <c r="K404" s="127" t="s">
        <v>15276</v>
      </c>
      <c r="L404" s="127" t="s">
        <v>15718</v>
      </c>
      <c r="M404" s="127" t="s">
        <v>16160</v>
      </c>
      <c r="N404" s="127" t="s">
        <v>11798</v>
      </c>
    </row>
    <row r="405" spans="1:14" x14ac:dyDescent="0.35">
      <c r="A405" s="127" t="s">
        <v>6063</v>
      </c>
      <c r="C405" s="127" t="s">
        <v>3263</v>
      </c>
      <c r="D405" s="127" t="s">
        <v>11799</v>
      </c>
      <c r="I405" s="127" t="s">
        <v>11800</v>
      </c>
      <c r="J405" s="127" t="s">
        <v>14835</v>
      </c>
      <c r="K405" s="127" t="s">
        <v>15277</v>
      </c>
      <c r="L405" s="127" t="s">
        <v>15719</v>
      </c>
      <c r="M405" s="127" t="s">
        <v>16161</v>
      </c>
      <c r="N405" s="127" t="s">
        <v>11801</v>
      </c>
    </row>
    <row r="406" spans="1:14" x14ac:dyDescent="0.35">
      <c r="A406" s="127" t="s">
        <v>6063</v>
      </c>
      <c r="C406" s="127" t="s">
        <v>3263</v>
      </c>
      <c r="D406" s="127" t="s">
        <v>11802</v>
      </c>
      <c r="I406" s="127" t="s">
        <v>11803</v>
      </c>
      <c r="J406" s="127" t="s">
        <v>14836</v>
      </c>
      <c r="K406" s="127" t="s">
        <v>15278</v>
      </c>
      <c r="L406" s="127" t="s">
        <v>15720</v>
      </c>
      <c r="M406" s="127" t="s">
        <v>16162</v>
      </c>
      <c r="N406" s="127" t="s">
        <v>11804</v>
      </c>
    </row>
    <row r="407" spans="1:14" x14ac:dyDescent="0.35">
      <c r="A407" s="127" t="s">
        <v>6063</v>
      </c>
      <c r="C407" s="127" t="s">
        <v>3263</v>
      </c>
      <c r="D407" s="127" t="s">
        <v>11805</v>
      </c>
      <c r="I407" s="127" t="s">
        <v>11806</v>
      </c>
      <c r="J407" s="127" t="s">
        <v>14837</v>
      </c>
      <c r="K407" s="127" t="s">
        <v>15279</v>
      </c>
      <c r="L407" s="127" t="s">
        <v>15721</v>
      </c>
      <c r="M407" s="127" t="s">
        <v>16163</v>
      </c>
      <c r="N407" s="127" t="s">
        <v>11807</v>
      </c>
    </row>
    <row r="408" spans="1:14" x14ac:dyDescent="0.35">
      <c r="A408" s="127" t="s">
        <v>6063</v>
      </c>
      <c r="C408" s="127" t="s">
        <v>3263</v>
      </c>
      <c r="D408" s="127" t="s">
        <v>11808</v>
      </c>
      <c r="I408" s="127" t="s">
        <v>11809</v>
      </c>
      <c r="J408" s="127" t="s">
        <v>14838</v>
      </c>
      <c r="K408" s="127" t="s">
        <v>15280</v>
      </c>
      <c r="L408" s="127" t="s">
        <v>15722</v>
      </c>
      <c r="M408" s="127" t="s">
        <v>16164</v>
      </c>
      <c r="N408" s="127" t="s">
        <v>11810</v>
      </c>
    </row>
    <row r="409" spans="1:14" x14ac:dyDescent="0.35">
      <c r="A409" s="127" t="s">
        <v>6063</v>
      </c>
      <c r="C409" s="127" t="s">
        <v>3263</v>
      </c>
      <c r="D409" s="127" t="s">
        <v>11811</v>
      </c>
      <c r="I409" s="127" t="s">
        <v>11812</v>
      </c>
      <c r="J409" s="127" t="s">
        <v>14839</v>
      </c>
      <c r="K409" s="127" t="s">
        <v>15281</v>
      </c>
      <c r="L409" s="127" t="s">
        <v>15723</v>
      </c>
      <c r="M409" s="127" t="s">
        <v>16165</v>
      </c>
      <c r="N409" s="127" t="s">
        <v>11813</v>
      </c>
    </row>
    <row r="410" spans="1:14" x14ac:dyDescent="0.35">
      <c r="A410" s="127" t="s">
        <v>6063</v>
      </c>
      <c r="C410" s="127" t="s">
        <v>3263</v>
      </c>
      <c r="D410" s="127" t="s">
        <v>11814</v>
      </c>
      <c r="I410" s="127" t="s">
        <v>11815</v>
      </c>
      <c r="J410" s="127" t="s">
        <v>14840</v>
      </c>
      <c r="K410" s="127" t="s">
        <v>15282</v>
      </c>
      <c r="L410" s="127" t="s">
        <v>15724</v>
      </c>
      <c r="M410" s="127" t="s">
        <v>16166</v>
      </c>
      <c r="N410" s="127" t="s">
        <v>11816</v>
      </c>
    </row>
    <row r="411" spans="1:14" x14ac:dyDescent="0.35">
      <c r="A411" s="127" t="s">
        <v>6063</v>
      </c>
      <c r="C411" s="127" t="s">
        <v>3263</v>
      </c>
      <c r="D411" s="127" t="s">
        <v>11817</v>
      </c>
      <c r="I411" s="127" t="s">
        <v>11818</v>
      </c>
      <c r="J411" s="127" t="s">
        <v>14841</v>
      </c>
      <c r="K411" s="127" t="s">
        <v>15283</v>
      </c>
      <c r="L411" s="127" t="s">
        <v>15725</v>
      </c>
      <c r="M411" s="127" t="s">
        <v>16167</v>
      </c>
      <c r="N411" s="127" t="s">
        <v>11819</v>
      </c>
    </row>
    <row r="412" spans="1:14" x14ac:dyDescent="0.35">
      <c r="A412" s="127" t="s">
        <v>6063</v>
      </c>
      <c r="C412" s="127" t="s">
        <v>3263</v>
      </c>
      <c r="D412" s="127" t="s">
        <v>11820</v>
      </c>
      <c r="I412" s="127" t="s">
        <v>11821</v>
      </c>
      <c r="J412" s="127" t="s">
        <v>14842</v>
      </c>
      <c r="K412" s="127" t="s">
        <v>15284</v>
      </c>
      <c r="L412" s="127" t="s">
        <v>15726</v>
      </c>
      <c r="M412" s="127" t="s">
        <v>16168</v>
      </c>
      <c r="N412" s="127" t="s">
        <v>11822</v>
      </c>
    </row>
    <row r="413" spans="1:14" x14ac:dyDescent="0.35">
      <c r="A413" s="127" t="s">
        <v>6063</v>
      </c>
      <c r="C413" s="127" t="s">
        <v>3263</v>
      </c>
      <c r="D413" s="127" t="s">
        <v>11823</v>
      </c>
      <c r="I413" s="127" t="s">
        <v>11824</v>
      </c>
      <c r="J413" s="127" t="s">
        <v>14843</v>
      </c>
      <c r="K413" s="127" t="s">
        <v>15285</v>
      </c>
      <c r="L413" s="127" t="s">
        <v>15727</v>
      </c>
      <c r="M413" s="127" t="s">
        <v>16169</v>
      </c>
      <c r="N413" s="127" t="s">
        <v>11825</v>
      </c>
    </row>
    <row r="414" spans="1:14" x14ac:dyDescent="0.35">
      <c r="A414" s="127" t="s">
        <v>6063</v>
      </c>
      <c r="C414" s="127" t="s">
        <v>3263</v>
      </c>
      <c r="D414" s="127" t="s">
        <v>11826</v>
      </c>
      <c r="I414" s="127" t="s">
        <v>11827</v>
      </c>
      <c r="J414" s="127" t="s">
        <v>14844</v>
      </c>
      <c r="K414" s="127" t="s">
        <v>15286</v>
      </c>
      <c r="L414" s="127" t="s">
        <v>15728</v>
      </c>
      <c r="M414" s="127" t="s">
        <v>16170</v>
      </c>
      <c r="N414" s="127" t="s">
        <v>11828</v>
      </c>
    </row>
    <row r="415" spans="1:14" x14ac:dyDescent="0.35">
      <c r="A415" s="127" t="s">
        <v>6063</v>
      </c>
      <c r="C415" s="127" t="s">
        <v>3263</v>
      </c>
      <c r="D415" s="127" t="s">
        <v>11829</v>
      </c>
      <c r="I415" s="127" t="s">
        <v>11830</v>
      </c>
      <c r="J415" s="127" t="s">
        <v>14845</v>
      </c>
      <c r="K415" s="127" t="s">
        <v>15287</v>
      </c>
      <c r="L415" s="127" t="s">
        <v>15729</v>
      </c>
      <c r="M415" s="127" t="s">
        <v>16171</v>
      </c>
      <c r="N415" s="127" t="s">
        <v>11831</v>
      </c>
    </row>
    <row r="416" spans="1:14" x14ac:dyDescent="0.35">
      <c r="A416" s="127" t="s">
        <v>6063</v>
      </c>
      <c r="C416" s="127" t="s">
        <v>3263</v>
      </c>
      <c r="D416" s="127" t="s">
        <v>11832</v>
      </c>
      <c r="I416" s="127" t="s">
        <v>11833</v>
      </c>
      <c r="J416" s="127" t="s">
        <v>14846</v>
      </c>
      <c r="K416" s="127" t="s">
        <v>15288</v>
      </c>
      <c r="L416" s="127" t="s">
        <v>15730</v>
      </c>
      <c r="M416" s="127" t="s">
        <v>16172</v>
      </c>
      <c r="N416" s="127" t="s">
        <v>11834</v>
      </c>
    </row>
    <row r="417" spans="1:14" x14ac:dyDescent="0.35">
      <c r="A417" s="127" t="s">
        <v>6063</v>
      </c>
      <c r="C417" s="127" t="s">
        <v>3263</v>
      </c>
      <c r="D417" s="127" t="s">
        <v>11835</v>
      </c>
      <c r="I417" s="127" t="s">
        <v>11836</v>
      </c>
      <c r="J417" s="127" t="s">
        <v>14847</v>
      </c>
      <c r="K417" s="127" t="s">
        <v>15289</v>
      </c>
      <c r="L417" s="127" t="s">
        <v>15731</v>
      </c>
      <c r="M417" s="127" t="s">
        <v>16173</v>
      </c>
      <c r="N417" s="127" t="s">
        <v>11837</v>
      </c>
    </row>
    <row r="418" spans="1:14" x14ac:dyDescent="0.35">
      <c r="A418" s="127" t="s">
        <v>6063</v>
      </c>
      <c r="C418" s="127" t="s">
        <v>3263</v>
      </c>
      <c r="D418" s="127" t="s">
        <v>11838</v>
      </c>
      <c r="I418" s="127" t="s">
        <v>11839</v>
      </c>
      <c r="J418" s="127" t="s">
        <v>14848</v>
      </c>
      <c r="K418" s="127" t="s">
        <v>15290</v>
      </c>
      <c r="L418" s="127" t="s">
        <v>15732</v>
      </c>
      <c r="M418" s="127" t="s">
        <v>16174</v>
      </c>
      <c r="N418" s="127" t="s">
        <v>11840</v>
      </c>
    </row>
    <row r="419" spans="1:14" x14ac:dyDescent="0.35">
      <c r="A419" s="127" t="s">
        <v>6063</v>
      </c>
      <c r="C419" s="127" t="s">
        <v>3263</v>
      </c>
      <c r="D419" s="127" t="s">
        <v>11841</v>
      </c>
      <c r="I419" s="127" t="s">
        <v>11842</v>
      </c>
      <c r="J419" s="127" t="s">
        <v>14849</v>
      </c>
      <c r="K419" s="127" t="s">
        <v>15291</v>
      </c>
      <c r="L419" s="127" t="s">
        <v>15733</v>
      </c>
      <c r="M419" s="127" t="s">
        <v>16175</v>
      </c>
      <c r="N419" s="127" t="s">
        <v>11843</v>
      </c>
    </row>
    <row r="420" spans="1:14" x14ac:dyDescent="0.35">
      <c r="A420" s="127" t="s">
        <v>6063</v>
      </c>
      <c r="C420" s="127" t="s">
        <v>3263</v>
      </c>
      <c r="D420" s="127" t="s">
        <v>11844</v>
      </c>
      <c r="I420" s="127" t="s">
        <v>11845</v>
      </c>
      <c r="J420" s="127" t="s">
        <v>14850</v>
      </c>
      <c r="K420" s="127" t="s">
        <v>15292</v>
      </c>
      <c r="L420" s="127" t="s">
        <v>15734</v>
      </c>
      <c r="M420" s="127" t="s">
        <v>16176</v>
      </c>
      <c r="N420" s="127" t="s">
        <v>11846</v>
      </c>
    </row>
    <row r="421" spans="1:14" x14ac:dyDescent="0.35">
      <c r="A421" s="127" t="s">
        <v>6063</v>
      </c>
      <c r="C421" s="127" t="s">
        <v>3263</v>
      </c>
      <c r="D421" s="127" t="s">
        <v>11847</v>
      </c>
      <c r="I421" s="127" t="s">
        <v>11848</v>
      </c>
      <c r="J421" s="127" t="s">
        <v>14851</v>
      </c>
      <c r="K421" s="127" t="s">
        <v>15293</v>
      </c>
      <c r="L421" s="127" t="s">
        <v>15735</v>
      </c>
      <c r="M421" s="127" t="s">
        <v>16177</v>
      </c>
      <c r="N421" s="127" t="s">
        <v>11849</v>
      </c>
    </row>
    <row r="422" spans="1:14" x14ac:dyDescent="0.35">
      <c r="A422" s="127" t="s">
        <v>6063</v>
      </c>
      <c r="C422" s="127" t="s">
        <v>3263</v>
      </c>
      <c r="D422" s="127" t="s">
        <v>11850</v>
      </c>
      <c r="I422" s="127" t="s">
        <v>11851</v>
      </c>
      <c r="J422" s="127" t="s">
        <v>14852</v>
      </c>
      <c r="K422" s="127" t="s">
        <v>15294</v>
      </c>
      <c r="L422" s="127" t="s">
        <v>15736</v>
      </c>
      <c r="M422" s="127" t="s">
        <v>16178</v>
      </c>
      <c r="N422" s="127" t="s">
        <v>11852</v>
      </c>
    </row>
    <row r="423" spans="1:14" x14ac:dyDescent="0.35">
      <c r="A423" s="127" t="s">
        <v>6063</v>
      </c>
      <c r="C423" s="127" t="s">
        <v>3263</v>
      </c>
      <c r="D423" s="127" t="s">
        <v>11853</v>
      </c>
      <c r="I423" s="127" t="s">
        <v>11854</v>
      </c>
      <c r="J423" s="127" t="s">
        <v>14853</v>
      </c>
      <c r="K423" s="127" t="s">
        <v>15295</v>
      </c>
      <c r="L423" s="127" t="s">
        <v>15737</v>
      </c>
      <c r="M423" s="127" t="s">
        <v>16179</v>
      </c>
      <c r="N423" s="127" t="s">
        <v>11855</v>
      </c>
    </row>
    <row r="424" spans="1:14" x14ac:dyDescent="0.35">
      <c r="A424" s="127" t="s">
        <v>6063</v>
      </c>
      <c r="C424" s="127" t="s">
        <v>3263</v>
      </c>
      <c r="D424" s="127" t="s">
        <v>11856</v>
      </c>
      <c r="I424" s="127" t="s">
        <v>11857</v>
      </c>
      <c r="J424" s="127" t="s">
        <v>14854</v>
      </c>
      <c r="K424" s="127" t="s">
        <v>15296</v>
      </c>
      <c r="L424" s="127" t="s">
        <v>15738</v>
      </c>
      <c r="M424" s="127" t="s">
        <v>16180</v>
      </c>
      <c r="N424" s="127" t="s">
        <v>11858</v>
      </c>
    </row>
    <row r="425" spans="1:14" x14ac:dyDescent="0.35">
      <c r="A425" s="127" t="s">
        <v>6063</v>
      </c>
      <c r="C425" s="127" t="s">
        <v>3263</v>
      </c>
      <c r="D425" s="127" t="s">
        <v>11859</v>
      </c>
      <c r="I425" s="127" t="s">
        <v>11860</v>
      </c>
      <c r="J425" s="127" t="s">
        <v>14855</v>
      </c>
      <c r="K425" s="127" t="s">
        <v>15297</v>
      </c>
      <c r="L425" s="127" t="s">
        <v>15739</v>
      </c>
      <c r="M425" s="127" t="s">
        <v>16181</v>
      </c>
      <c r="N425" s="127" t="s">
        <v>11861</v>
      </c>
    </row>
    <row r="426" spans="1:14" x14ac:dyDescent="0.35">
      <c r="A426" s="127" t="s">
        <v>6063</v>
      </c>
      <c r="C426" s="127" t="s">
        <v>3263</v>
      </c>
      <c r="D426" s="127" t="s">
        <v>11862</v>
      </c>
      <c r="I426" s="127" t="s">
        <v>11863</v>
      </c>
      <c r="J426" s="127" t="s">
        <v>14856</v>
      </c>
      <c r="K426" s="127" t="s">
        <v>15298</v>
      </c>
      <c r="L426" s="127" t="s">
        <v>15740</v>
      </c>
      <c r="M426" s="127" t="s">
        <v>16182</v>
      </c>
      <c r="N426" s="127" t="s">
        <v>11864</v>
      </c>
    </row>
    <row r="427" spans="1:14" x14ac:dyDescent="0.35">
      <c r="A427" s="127" t="s">
        <v>6063</v>
      </c>
      <c r="C427" s="127" t="s">
        <v>3263</v>
      </c>
      <c r="D427" s="127" t="s">
        <v>11865</v>
      </c>
      <c r="I427" s="127" t="s">
        <v>11866</v>
      </c>
      <c r="J427" s="127" t="s">
        <v>14857</v>
      </c>
      <c r="K427" s="127" t="s">
        <v>15299</v>
      </c>
      <c r="L427" s="127" t="s">
        <v>15741</v>
      </c>
      <c r="M427" s="127" t="s">
        <v>16183</v>
      </c>
      <c r="N427" s="127" t="s">
        <v>11867</v>
      </c>
    </row>
    <row r="428" spans="1:14" x14ac:dyDescent="0.35">
      <c r="A428" s="127" t="s">
        <v>6063</v>
      </c>
      <c r="C428" s="127" t="s">
        <v>3263</v>
      </c>
      <c r="D428" s="127" t="s">
        <v>11868</v>
      </c>
      <c r="I428" s="127" t="s">
        <v>11869</v>
      </c>
      <c r="J428" s="127" t="s">
        <v>14858</v>
      </c>
      <c r="K428" s="127" t="s">
        <v>15300</v>
      </c>
      <c r="L428" s="127" t="s">
        <v>15742</v>
      </c>
      <c r="M428" s="127" t="s">
        <v>16184</v>
      </c>
      <c r="N428" s="127" t="s">
        <v>11870</v>
      </c>
    </row>
    <row r="429" spans="1:14" x14ac:dyDescent="0.35">
      <c r="A429" s="127" t="s">
        <v>6063</v>
      </c>
      <c r="C429" s="127" t="s">
        <v>3263</v>
      </c>
      <c r="D429" s="127" t="s">
        <v>11871</v>
      </c>
      <c r="I429" s="127" t="s">
        <v>11872</v>
      </c>
      <c r="J429" s="127" t="s">
        <v>14859</v>
      </c>
      <c r="K429" s="127" t="s">
        <v>15301</v>
      </c>
      <c r="L429" s="127" t="s">
        <v>15743</v>
      </c>
      <c r="M429" s="127" t="s">
        <v>16185</v>
      </c>
      <c r="N429" s="127" t="s">
        <v>11873</v>
      </c>
    </row>
    <row r="430" spans="1:14" x14ac:dyDescent="0.35">
      <c r="A430" s="127" t="s">
        <v>6063</v>
      </c>
      <c r="C430" s="127" t="s">
        <v>3263</v>
      </c>
      <c r="D430" s="127" t="s">
        <v>11874</v>
      </c>
      <c r="I430" s="127" t="s">
        <v>11875</v>
      </c>
      <c r="J430" s="127" t="s">
        <v>14860</v>
      </c>
      <c r="K430" s="127" t="s">
        <v>15302</v>
      </c>
      <c r="L430" s="127" t="s">
        <v>15744</v>
      </c>
      <c r="M430" s="127" t="s">
        <v>16186</v>
      </c>
      <c r="N430" s="127" t="s">
        <v>11876</v>
      </c>
    </row>
    <row r="431" spans="1:14" x14ac:dyDescent="0.35">
      <c r="A431" s="127" t="s">
        <v>6063</v>
      </c>
      <c r="C431" s="127" t="s">
        <v>3263</v>
      </c>
      <c r="D431" s="127" t="s">
        <v>11877</v>
      </c>
      <c r="I431" s="127" t="s">
        <v>11878</v>
      </c>
      <c r="J431" s="127" t="s">
        <v>14861</v>
      </c>
      <c r="K431" s="127" t="s">
        <v>15303</v>
      </c>
      <c r="L431" s="127" t="s">
        <v>15745</v>
      </c>
      <c r="M431" s="127" t="s">
        <v>16187</v>
      </c>
      <c r="N431" s="127" t="s">
        <v>11879</v>
      </c>
    </row>
    <row r="432" spans="1:14" x14ac:dyDescent="0.35">
      <c r="A432" s="127" t="s">
        <v>6063</v>
      </c>
      <c r="C432" s="127" t="s">
        <v>3263</v>
      </c>
      <c r="D432" s="127" t="s">
        <v>11880</v>
      </c>
      <c r="I432" s="127" t="s">
        <v>11881</v>
      </c>
      <c r="J432" s="127" t="s">
        <v>14862</v>
      </c>
      <c r="K432" s="127" t="s">
        <v>15304</v>
      </c>
      <c r="L432" s="127" t="s">
        <v>15746</v>
      </c>
      <c r="M432" s="127" t="s">
        <v>16188</v>
      </c>
      <c r="N432" s="127" t="s">
        <v>11882</v>
      </c>
    </row>
    <row r="433" spans="1:14" x14ac:dyDescent="0.35">
      <c r="A433" s="127" t="s">
        <v>6063</v>
      </c>
      <c r="C433" s="127" t="s">
        <v>3263</v>
      </c>
      <c r="D433" s="127" t="s">
        <v>11883</v>
      </c>
      <c r="I433" s="127" t="s">
        <v>11884</v>
      </c>
      <c r="J433" s="127" t="s">
        <v>14863</v>
      </c>
      <c r="K433" s="127" t="s">
        <v>15305</v>
      </c>
      <c r="L433" s="127" t="s">
        <v>15747</v>
      </c>
      <c r="M433" s="127" t="s">
        <v>16189</v>
      </c>
      <c r="N433" s="127" t="s">
        <v>11885</v>
      </c>
    </row>
    <row r="434" spans="1:14" x14ac:dyDescent="0.35">
      <c r="A434" s="127" t="s">
        <v>6063</v>
      </c>
      <c r="C434" s="127" t="s">
        <v>3263</v>
      </c>
      <c r="D434" s="127" t="s">
        <v>11886</v>
      </c>
      <c r="I434" s="127" t="s">
        <v>11887</v>
      </c>
      <c r="J434" s="127" t="s">
        <v>14864</v>
      </c>
      <c r="K434" s="127" t="s">
        <v>15306</v>
      </c>
      <c r="L434" s="127" t="s">
        <v>15748</v>
      </c>
      <c r="M434" s="127" t="s">
        <v>16190</v>
      </c>
      <c r="N434" s="127" t="s">
        <v>11888</v>
      </c>
    </row>
    <row r="435" spans="1:14" x14ac:dyDescent="0.35">
      <c r="A435" s="127" t="s">
        <v>6063</v>
      </c>
      <c r="C435" s="127" t="s">
        <v>3263</v>
      </c>
      <c r="D435" s="127" t="s">
        <v>11889</v>
      </c>
      <c r="I435" s="127" t="s">
        <v>11890</v>
      </c>
      <c r="J435" s="127" t="s">
        <v>14865</v>
      </c>
      <c r="K435" s="127" t="s">
        <v>15307</v>
      </c>
      <c r="L435" s="127" t="s">
        <v>15749</v>
      </c>
      <c r="M435" s="127" t="s">
        <v>16191</v>
      </c>
      <c r="N435" s="127" t="s">
        <v>11891</v>
      </c>
    </row>
    <row r="436" spans="1:14" x14ac:dyDescent="0.35">
      <c r="A436" s="127" t="s">
        <v>6063</v>
      </c>
      <c r="C436" s="127" t="s">
        <v>3263</v>
      </c>
      <c r="D436" s="127" t="s">
        <v>11892</v>
      </c>
      <c r="I436" s="127" t="s">
        <v>11893</v>
      </c>
      <c r="J436" s="127" t="s">
        <v>14866</v>
      </c>
      <c r="K436" s="127" t="s">
        <v>15308</v>
      </c>
      <c r="L436" s="127" t="s">
        <v>15750</v>
      </c>
      <c r="M436" s="127" t="s">
        <v>16192</v>
      </c>
      <c r="N436" s="127" t="s">
        <v>11894</v>
      </c>
    </row>
    <row r="437" spans="1:14" x14ac:dyDescent="0.35">
      <c r="A437" s="127" t="s">
        <v>6063</v>
      </c>
      <c r="C437" s="127" t="s">
        <v>3263</v>
      </c>
      <c r="D437" s="127" t="s">
        <v>11895</v>
      </c>
      <c r="I437" s="127" t="s">
        <v>11896</v>
      </c>
      <c r="J437" s="127" t="s">
        <v>14867</v>
      </c>
      <c r="K437" s="127" t="s">
        <v>15309</v>
      </c>
      <c r="L437" s="127" t="s">
        <v>15751</v>
      </c>
      <c r="M437" s="127" t="s">
        <v>16193</v>
      </c>
      <c r="N437" s="127" t="s">
        <v>11897</v>
      </c>
    </row>
    <row r="438" spans="1:14" x14ac:dyDescent="0.35">
      <c r="A438" s="127" t="s">
        <v>6063</v>
      </c>
      <c r="C438" s="127" t="s">
        <v>3263</v>
      </c>
      <c r="D438" s="127" t="s">
        <v>11898</v>
      </c>
      <c r="I438" s="127" t="s">
        <v>11899</v>
      </c>
      <c r="J438" s="127" t="s">
        <v>14868</v>
      </c>
      <c r="K438" s="127" t="s">
        <v>15310</v>
      </c>
      <c r="L438" s="127" t="s">
        <v>15752</v>
      </c>
      <c r="M438" s="127" t="s">
        <v>16194</v>
      </c>
      <c r="N438" s="127" t="s">
        <v>11900</v>
      </c>
    </row>
    <row r="439" spans="1:14" x14ac:dyDescent="0.35">
      <c r="A439" s="127" t="s">
        <v>6063</v>
      </c>
      <c r="C439" s="127" t="s">
        <v>3263</v>
      </c>
      <c r="D439" s="127" t="s">
        <v>11901</v>
      </c>
      <c r="I439" s="127" t="s">
        <v>11902</v>
      </c>
      <c r="J439" s="127" t="s">
        <v>14869</v>
      </c>
      <c r="K439" s="127" t="s">
        <v>15311</v>
      </c>
      <c r="L439" s="127" t="s">
        <v>15753</v>
      </c>
      <c r="M439" s="127" t="s">
        <v>16195</v>
      </c>
      <c r="N439" s="127" t="s">
        <v>11903</v>
      </c>
    </row>
    <row r="440" spans="1:14" x14ac:dyDescent="0.35">
      <c r="A440" s="127" t="s">
        <v>6063</v>
      </c>
      <c r="C440" s="127" t="s">
        <v>3263</v>
      </c>
      <c r="D440" s="127" t="s">
        <v>11904</v>
      </c>
      <c r="I440" s="127" t="s">
        <v>11905</v>
      </c>
      <c r="J440" s="127" t="s">
        <v>14870</v>
      </c>
      <c r="K440" s="127" t="s">
        <v>15312</v>
      </c>
      <c r="L440" s="127" t="s">
        <v>15754</v>
      </c>
      <c r="M440" s="127" t="s">
        <v>16196</v>
      </c>
      <c r="N440" s="127" t="s">
        <v>11906</v>
      </c>
    </row>
    <row r="441" spans="1:14" x14ac:dyDescent="0.35">
      <c r="A441" s="127" t="s">
        <v>6063</v>
      </c>
      <c r="C441" s="127" t="s">
        <v>3263</v>
      </c>
      <c r="D441" s="127" t="s">
        <v>11907</v>
      </c>
      <c r="I441" s="127" t="s">
        <v>11908</v>
      </c>
      <c r="J441" s="127" t="s">
        <v>14871</v>
      </c>
      <c r="K441" s="127" t="s">
        <v>15313</v>
      </c>
      <c r="L441" s="127" t="s">
        <v>15755</v>
      </c>
      <c r="M441" s="127" t="s">
        <v>16197</v>
      </c>
      <c r="N441" s="127" t="s">
        <v>11909</v>
      </c>
    </row>
    <row r="442" spans="1:14" x14ac:dyDescent="0.35">
      <c r="A442" s="127" t="s">
        <v>6063</v>
      </c>
      <c r="C442" s="127" t="s">
        <v>3263</v>
      </c>
      <c r="D442" s="127" t="s">
        <v>11910</v>
      </c>
      <c r="I442" s="127" t="s">
        <v>11911</v>
      </c>
      <c r="J442" s="127" t="s">
        <v>14872</v>
      </c>
      <c r="K442" s="127" t="s">
        <v>15314</v>
      </c>
      <c r="L442" s="127" t="s">
        <v>15756</v>
      </c>
      <c r="M442" s="127" t="s">
        <v>16198</v>
      </c>
      <c r="N442" s="127" t="s">
        <v>11912</v>
      </c>
    </row>
    <row r="443" spans="1:14" x14ac:dyDescent="0.35">
      <c r="A443" s="127" t="s">
        <v>6063</v>
      </c>
      <c r="C443" s="127" t="s">
        <v>3263</v>
      </c>
      <c r="D443" s="127" t="s">
        <v>11913</v>
      </c>
      <c r="I443" s="127" t="s">
        <v>11914</v>
      </c>
      <c r="J443" s="127" t="s">
        <v>14873</v>
      </c>
      <c r="K443" s="127" t="s">
        <v>15315</v>
      </c>
      <c r="L443" s="127" t="s">
        <v>15757</v>
      </c>
      <c r="M443" s="127" t="s">
        <v>16199</v>
      </c>
      <c r="N443" s="127" t="s">
        <v>11915</v>
      </c>
    </row>
    <row r="444" spans="1:14" x14ac:dyDescent="0.35">
      <c r="A444" s="127" t="s">
        <v>6063</v>
      </c>
      <c r="C444" s="127" t="s">
        <v>3263</v>
      </c>
      <c r="D444" s="127" t="s">
        <v>11916</v>
      </c>
      <c r="I444" s="127" t="s">
        <v>11917</v>
      </c>
      <c r="J444" s="127" t="s">
        <v>14874</v>
      </c>
      <c r="K444" s="127" t="s">
        <v>15316</v>
      </c>
      <c r="L444" s="127" t="s">
        <v>15758</v>
      </c>
      <c r="M444" s="127" t="s">
        <v>16200</v>
      </c>
      <c r="N444" s="127" t="s">
        <v>11918</v>
      </c>
    </row>
    <row r="445" spans="1:14" x14ac:dyDescent="0.35">
      <c r="A445" s="127" t="s">
        <v>6063</v>
      </c>
      <c r="C445" s="127" t="s">
        <v>3263</v>
      </c>
      <c r="D445" s="127" t="s">
        <v>11919</v>
      </c>
      <c r="I445" s="127" t="s">
        <v>11920</v>
      </c>
      <c r="J445" s="127" t="s">
        <v>14875</v>
      </c>
      <c r="K445" s="127" t="s">
        <v>15317</v>
      </c>
      <c r="L445" s="127" t="s">
        <v>15759</v>
      </c>
      <c r="M445" s="127" t="s">
        <v>16201</v>
      </c>
      <c r="N445" s="127" t="s">
        <v>11921</v>
      </c>
    </row>
    <row r="446" spans="1:14" x14ac:dyDescent="0.35">
      <c r="A446" s="127" t="s">
        <v>6063</v>
      </c>
      <c r="C446" s="127" t="s">
        <v>3263</v>
      </c>
      <c r="D446" s="127" t="s">
        <v>11922</v>
      </c>
      <c r="I446" s="127" t="s">
        <v>11923</v>
      </c>
      <c r="J446" s="127" t="s">
        <v>14876</v>
      </c>
      <c r="K446" s="127" t="s">
        <v>15318</v>
      </c>
      <c r="L446" s="127" t="s">
        <v>15760</v>
      </c>
      <c r="M446" s="127" t="s">
        <v>16202</v>
      </c>
      <c r="N446" s="127" t="s">
        <v>11924</v>
      </c>
    </row>
    <row r="447" spans="1:14" x14ac:dyDescent="0.35">
      <c r="A447" s="127" t="s">
        <v>6063</v>
      </c>
      <c r="C447" s="127" t="s">
        <v>3263</v>
      </c>
      <c r="D447" s="127" t="s">
        <v>11925</v>
      </c>
      <c r="I447" s="127" t="s">
        <v>11926</v>
      </c>
      <c r="J447" s="127" t="s">
        <v>14877</v>
      </c>
      <c r="K447" s="127" t="s">
        <v>15319</v>
      </c>
      <c r="L447" s="127" t="s">
        <v>15761</v>
      </c>
      <c r="M447" s="127" t="s">
        <v>16203</v>
      </c>
      <c r="N447" s="127" t="s">
        <v>11927</v>
      </c>
    </row>
    <row r="448" spans="1:14" x14ac:dyDescent="0.35">
      <c r="A448" s="127" t="s">
        <v>6063</v>
      </c>
      <c r="C448" s="127" t="s">
        <v>3263</v>
      </c>
      <c r="D448" s="127" t="s">
        <v>11928</v>
      </c>
      <c r="I448" s="127" t="s">
        <v>11929</v>
      </c>
      <c r="J448" s="127" t="s">
        <v>14878</v>
      </c>
      <c r="K448" s="127" t="s">
        <v>15320</v>
      </c>
      <c r="L448" s="127" t="s">
        <v>15762</v>
      </c>
      <c r="M448" s="127" t="s">
        <v>16204</v>
      </c>
      <c r="N448" s="127" t="s">
        <v>11930</v>
      </c>
    </row>
    <row r="449" spans="1:14" x14ac:dyDescent="0.35">
      <c r="A449" s="127" t="s">
        <v>6063</v>
      </c>
      <c r="C449" s="127" t="s">
        <v>3263</v>
      </c>
      <c r="D449" s="127" t="s">
        <v>11931</v>
      </c>
      <c r="I449" s="127" t="s">
        <v>11932</v>
      </c>
      <c r="J449" s="127" t="s">
        <v>14879</v>
      </c>
      <c r="K449" s="127" t="s">
        <v>15321</v>
      </c>
      <c r="L449" s="127" t="s">
        <v>15763</v>
      </c>
      <c r="M449" s="127" t="s">
        <v>16205</v>
      </c>
      <c r="N449" s="127" t="s">
        <v>11933</v>
      </c>
    </row>
    <row r="450" spans="1:14" x14ac:dyDescent="0.35">
      <c r="A450" s="127" t="s">
        <v>6063</v>
      </c>
      <c r="C450" s="127" t="s">
        <v>3263</v>
      </c>
      <c r="D450" s="127" t="s">
        <v>11934</v>
      </c>
      <c r="I450" s="127" t="s">
        <v>11935</v>
      </c>
      <c r="J450" s="127" t="s">
        <v>14880</v>
      </c>
      <c r="K450" s="127" t="s">
        <v>15322</v>
      </c>
      <c r="L450" s="127" t="s">
        <v>15764</v>
      </c>
      <c r="M450" s="127" t="s">
        <v>16206</v>
      </c>
      <c r="N450" s="127" t="s">
        <v>11936</v>
      </c>
    </row>
    <row r="451" spans="1:14" x14ac:dyDescent="0.35">
      <c r="A451" s="127" t="s">
        <v>6063</v>
      </c>
      <c r="C451" s="127" t="s">
        <v>3263</v>
      </c>
      <c r="D451" s="127" t="s">
        <v>11937</v>
      </c>
      <c r="I451" s="127" t="s">
        <v>11938</v>
      </c>
      <c r="J451" s="127" t="s">
        <v>14881</v>
      </c>
      <c r="K451" s="127" t="s">
        <v>15323</v>
      </c>
      <c r="L451" s="127" t="s">
        <v>15765</v>
      </c>
      <c r="M451" s="127" t="s">
        <v>16207</v>
      </c>
      <c r="N451" s="127" t="s">
        <v>11939</v>
      </c>
    </row>
    <row r="452" spans="1:14" x14ac:dyDescent="0.35">
      <c r="A452" s="127" t="s">
        <v>6063</v>
      </c>
      <c r="C452" s="127" t="s">
        <v>3263</v>
      </c>
      <c r="D452" s="127" t="s">
        <v>11940</v>
      </c>
      <c r="I452" s="127" t="s">
        <v>11941</v>
      </c>
      <c r="J452" s="127" t="s">
        <v>14882</v>
      </c>
      <c r="K452" s="127" t="s">
        <v>15324</v>
      </c>
      <c r="L452" s="127" t="s">
        <v>15766</v>
      </c>
      <c r="M452" s="127" t="s">
        <v>16208</v>
      </c>
      <c r="N452" s="127" t="s">
        <v>11942</v>
      </c>
    </row>
    <row r="453" spans="1:14" x14ac:dyDescent="0.35">
      <c r="A453" s="127" t="s">
        <v>6063</v>
      </c>
      <c r="C453" s="127" t="s">
        <v>3263</v>
      </c>
      <c r="D453" s="127" t="s">
        <v>11943</v>
      </c>
      <c r="I453" s="127" t="s">
        <v>11944</v>
      </c>
      <c r="J453" s="127" t="s">
        <v>14883</v>
      </c>
      <c r="K453" s="127" t="s">
        <v>15325</v>
      </c>
      <c r="L453" s="127" t="s">
        <v>15767</v>
      </c>
      <c r="M453" s="127" t="s">
        <v>16209</v>
      </c>
      <c r="N453" s="127" t="s">
        <v>11945</v>
      </c>
    </row>
    <row r="454" spans="1:14" x14ac:dyDescent="0.35">
      <c r="A454" s="127" t="s">
        <v>6063</v>
      </c>
      <c r="C454" s="127" t="s">
        <v>3263</v>
      </c>
      <c r="D454" s="127" t="s">
        <v>11946</v>
      </c>
      <c r="I454" s="127" t="s">
        <v>11947</v>
      </c>
      <c r="J454" s="127" t="s">
        <v>14884</v>
      </c>
      <c r="K454" s="127" t="s">
        <v>15326</v>
      </c>
      <c r="L454" s="127" t="s">
        <v>15768</v>
      </c>
      <c r="M454" s="127" t="s">
        <v>16210</v>
      </c>
      <c r="N454" s="127" t="s">
        <v>11948</v>
      </c>
    </row>
    <row r="455" spans="1:14" x14ac:dyDescent="0.35">
      <c r="A455" s="127" t="s">
        <v>6063</v>
      </c>
      <c r="C455" s="127" t="s">
        <v>3263</v>
      </c>
      <c r="D455" s="127" t="s">
        <v>11949</v>
      </c>
      <c r="I455" s="127" t="s">
        <v>11950</v>
      </c>
      <c r="J455" s="127" t="s">
        <v>14885</v>
      </c>
      <c r="K455" s="127" t="s">
        <v>15327</v>
      </c>
      <c r="L455" s="127" t="s">
        <v>15769</v>
      </c>
      <c r="M455" s="127" t="s">
        <v>16211</v>
      </c>
      <c r="N455" s="127" t="s">
        <v>11951</v>
      </c>
    </row>
    <row r="456" spans="1:14" x14ac:dyDescent="0.35">
      <c r="A456" s="127" t="s">
        <v>6063</v>
      </c>
      <c r="C456" s="127" t="s">
        <v>3263</v>
      </c>
      <c r="D456" s="127" t="s">
        <v>11952</v>
      </c>
      <c r="I456" s="127" t="s">
        <v>11953</v>
      </c>
      <c r="J456" s="127" t="s">
        <v>14886</v>
      </c>
      <c r="K456" s="127" t="s">
        <v>15328</v>
      </c>
      <c r="L456" s="127" t="s">
        <v>15770</v>
      </c>
      <c r="M456" s="127" t="s">
        <v>16212</v>
      </c>
      <c r="N456" s="127" t="s">
        <v>11954</v>
      </c>
    </row>
    <row r="457" spans="1:14" x14ac:dyDescent="0.35">
      <c r="A457" s="127" t="s">
        <v>6063</v>
      </c>
      <c r="C457" s="127" t="s">
        <v>3263</v>
      </c>
      <c r="D457" s="127" t="s">
        <v>11955</v>
      </c>
      <c r="I457" s="127" t="s">
        <v>11956</v>
      </c>
      <c r="J457" s="127" t="s">
        <v>14887</v>
      </c>
      <c r="K457" s="127" t="s">
        <v>15329</v>
      </c>
      <c r="L457" s="127" t="s">
        <v>15771</v>
      </c>
      <c r="M457" s="127" t="s">
        <v>16213</v>
      </c>
      <c r="N457" s="127" t="s">
        <v>11957</v>
      </c>
    </row>
    <row r="458" spans="1:14" x14ac:dyDescent="0.35">
      <c r="A458" s="127" t="s">
        <v>6063</v>
      </c>
      <c r="C458" s="127" t="s">
        <v>3263</v>
      </c>
      <c r="D458" s="127" t="s">
        <v>11958</v>
      </c>
      <c r="I458" s="127" t="s">
        <v>11959</v>
      </c>
      <c r="J458" s="127" t="s">
        <v>14888</v>
      </c>
      <c r="K458" s="127" t="s">
        <v>15330</v>
      </c>
      <c r="L458" s="127" t="s">
        <v>15772</v>
      </c>
      <c r="M458" s="127" t="s">
        <v>16214</v>
      </c>
      <c r="N458" s="127" t="s">
        <v>11960</v>
      </c>
    </row>
    <row r="459" spans="1:14" x14ac:dyDescent="0.35">
      <c r="A459" s="127" t="s">
        <v>6063</v>
      </c>
      <c r="C459" s="127" t="s">
        <v>3263</v>
      </c>
      <c r="D459" s="127" t="s">
        <v>11961</v>
      </c>
      <c r="I459" s="127" t="s">
        <v>11962</v>
      </c>
      <c r="J459" s="127" t="s">
        <v>14889</v>
      </c>
      <c r="K459" s="127" t="s">
        <v>15331</v>
      </c>
      <c r="L459" s="127" t="s">
        <v>15773</v>
      </c>
      <c r="M459" s="127" t="s">
        <v>16215</v>
      </c>
      <c r="N459" s="127" t="s">
        <v>11963</v>
      </c>
    </row>
    <row r="460" spans="1:14" x14ac:dyDescent="0.35">
      <c r="A460" s="127" t="s">
        <v>6063</v>
      </c>
      <c r="C460" s="127" t="s">
        <v>3263</v>
      </c>
      <c r="D460" s="127" t="s">
        <v>11964</v>
      </c>
      <c r="I460" s="127" t="s">
        <v>11965</v>
      </c>
      <c r="J460" s="127" t="s">
        <v>14890</v>
      </c>
      <c r="K460" s="127" t="s">
        <v>15332</v>
      </c>
      <c r="L460" s="127" t="s">
        <v>15774</v>
      </c>
      <c r="M460" s="127" t="s">
        <v>16216</v>
      </c>
      <c r="N460" s="127" t="s">
        <v>11966</v>
      </c>
    </row>
    <row r="461" spans="1:14" x14ac:dyDescent="0.35">
      <c r="A461" s="127" t="s">
        <v>6063</v>
      </c>
      <c r="C461" s="127" t="s">
        <v>3263</v>
      </c>
      <c r="D461" s="127" t="s">
        <v>11967</v>
      </c>
      <c r="I461" s="127" t="s">
        <v>11968</v>
      </c>
      <c r="J461" s="127" t="s">
        <v>14891</v>
      </c>
      <c r="K461" s="127" t="s">
        <v>15333</v>
      </c>
      <c r="L461" s="127" t="s">
        <v>15775</v>
      </c>
      <c r="M461" s="127" t="s">
        <v>16217</v>
      </c>
      <c r="N461" s="127" t="s">
        <v>11969</v>
      </c>
    </row>
    <row r="462" spans="1:14" x14ac:dyDescent="0.35">
      <c r="A462" s="127" t="s">
        <v>6063</v>
      </c>
      <c r="C462" s="127" t="s">
        <v>3263</v>
      </c>
      <c r="D462" s="127" t="s">
        <v>11970</v>
      </c>
      <c r="I462" s="127" t="s">
        <v>11971</v>
      </c>
      <c r="J462" s="127" t="s">
        <v>14892</v>
      </c>
      <c r="K462" s="127" t="s">
        <v>15334</v>
      </c>
      <c r="L462" s="127" t="s">
        <v>15776</v>
      </c>
      <c r="M462" s="127" t="s">
        <v>16218</v>
      </c>
      <c r="N462" s="127" t="s">
        <v>11972</v>
      </c>
    </row>
    <row r="463" spans="1:14" x14ac:dyDescent="0.35">
      <c r="A463" s="127" t="s">
        <v>6063</v>
      </c>
      <c r="C463" s="127" t="s">
        <v>3263</v>
      </c>
      <c r="D463" s="127" t="s">
        <v>11973</v>
      </c>
      <c r="I463" s="127" t="s">
        <v>11974</v>
      </c>
      <c r="J463" s="127" t="s">
        <v>14893</v>
      </c>
      <c r="K463" s="127" t="s">
        <v>15335</v>
      </c>
      <c r="L463" s="127" t="s">
        <v>15777</v>
      </c>
      <c r="M463" s="127" t="s">
        <v>16219</v>
      </c>
      <c r="N463" s="127" t="s">
        <v>11975</v>
      </c>
    </row>
    <row r="464" spans="1:14" x14ac:dyDescent="0.35">
      <c r="A464" s="127" t="s">
        <v>6063</v>
      </c>
      <c r="C464" s="127" t="s">
        <v>3263</v>
      </c>
      <c r="D464" s="127" t="s">
        <v>11976</v>
      </c>
      <c r="I464" s="127" t="s">
        <v>11977</v>
      </c>
      <c r="J464" s="127" t="s">
        <v>14894</v>
      </c>
      <c r="K464" s="127" t="s">
        <v>15336</v>
      </c>
      <c r="L464" s="127" t="s">
        <v>15778</v>
      </c>
      <c r="M464" s="127" t="s">
        <v>16220</v>
      </c>
      <c r="N464" s="127" t="s">
        <v>11978</v>
      </c>
    </row>
    <row r="465" spans="1:14" x14ac:dyDescent="0.35">
      <c r="A465" s="127" t="s">
        <v>6063</v>
      </c>
      <c r="C465" s="127" t="s">
        <v>3263</v>
      </c>
      <c r="D465" s="127" t="s">
        <v>11979</v>
      </c>
      <c r="I465" s="127" t="s">
        <v>11980</v>
      </c>
      <c r="J465" s="127" t="s">
        <v>14895</v>
      </c>
      <c r="K465" s="127" t="s">
        <v>15337</v>
      </c>
      <c r="L465" s="127" t="s">
        <v>15779</v>
      </c>
      <c r="M465" s="127" t="s">
        <v>16221</v>
      </c>
      <c r="N465" s="127" t="s">
        <v>11981</v>
      </c>
    </row>
    <row r="466" spans="1:14" x14ac:dyDescent="0.35">
      <c r="A466" s="127" t="s">
        <v>6063</v>
      </c>
      <c r="C466" s="127" t="s">
        <v>3263</v>
      </c>
      <c r="D466" s="127" t="s">
        <v>11982</v>
      </c>
      <c r="I466" s="127" t="s">
        <v>11983</v>
      </c>
      <c r="J466" s="127" t="s">
        <v>14896</v>
      </c>
      <c r="K466" s="127" t="s">
        <v>15338</v>
      </c>
      <c r="L466" s="127" t="s">
        <v>15780</v>
      </c>
      <c r="M466" s="127" t="s">
        <v>16222</v>
      </c>
      <c r="N466" s="127" t="s">
        <v>11984</v>
      </c>
    </row>
    <row r="467" spans="1:14" x14ac:dyDescent="0.35">
      <c r="A467" s="127" t="s">
        <v>6063</v>
      </c>
      <c r="C467" s="127" t="s">
        <v>3263</v>
      </c>
      <c r="D467" s="127" t="s">
        <v>11985</v>
      </c>
      <c r="I467" s="127" t="s">
        <v>11986</v>
      </c>
      <c r="J467" s="127" t="s">
        <v>14897</v>
      </c>
      <c r="K467" s="127" t="s">
        <v>15339</v>
      </c>
      <c r="L467" s="127" t="s">
        <v>15781</v>
      </c>
      <c r="M467" s="127" t="s">
        <v>16223</v>
      </c>
      <c r="N467" s="127" t="s">
        <v>11987</v>
      </c>
    </row>
    <row r="468" spans="1:14" x14ac:dyDescent="0.35">
      <c r="A468" s="127" t="s">
        <v>6063</v>
      </c>
      <c r="C468" s="127" t="s">
        <v>3263</v>
      </c>
      <c r="D468" s="127" t="s">
        <v>11988</v>
      </c>
      <c r="I468" s="127" t="s">
        <v>11989</v>
      </c>
      <c r="J468" s="127" t="s">
        <v>14898</v>
      </c>
      <c r="K468" s="127" t="s">
        <v>15340</v>
      </c>
      <c r="L468" s="127" t="s">
        <v>15782</v>
      </c>
      <c r="M468" s="127" t="s">
        <v>16224</v>
      </c>
      <c r="N468" s="127" t="s">
        <v>11990</v>
      </c>
    </row>
    <row r="469" spans="1:14" x14ac:dyDescent="0.35">
      <c r="A469" s="127" t="s">
        <v>6063</v>
      </c>
      <c r="C469" s="127" t="s">
        <v>3263</v>
      </c>
      <c r="D469" s="127" t="s">
        <v>11991</v>
      </c>
      <c r="I469" s="127" t="s">
        <v>11992</v>
      </c>
      <c r="J469" s="127" t="s">
        <v>14899</v>
      </c>
      <c r="K469" s="127" t="s">
        <v>15341</v>
      </c>
      <c r="L469" s="127" t="s">
        <v>15783</v>
      </c>
      <c r="M469" s="127" t="s">
        <v>16225</v>
      </c>
      <c r="N469" s="127" t="s">
        <v>11993</v>
      </c>
    </row>
    <row r="470" spans="1:14" x14ac:dyDescent="0.35">
      <c r="A470" s="127" t="s">
        <v>6063</v>
      </c>
      <c r="C470" s="127" t="s">
        <v>3263</v>
      </c>
      <c r="D470" s="127" t="s">
        <v>11994</v>
      </c>
      <c r="I470" s="127" t="s">
        <v>11995</v>
      </c>
      <c r="J470" s="127" t="s">
        <v>14900</v>
      </c>
      <c r="K470" s="127" t="s">
        <v>15342</v>
      </c>
      <c r="L470" s="127" t="s">
        <v>15784</v>
      </c>
      <c r="M470" s="127" t="s">
        <v>16226</v>
      </c>
      <c r="N470" s="127" t="s">
        <v>11996</v>
      </c>
    </row>
    <row r="471" spans="1:14" x14ac:dyDescent="0.35">
      <c r="A471" s="127" t="s">
        <v>6063</v>
      </c>
      <c r="C471" s="127" t="s">
        <v>3263</v>
      </c>
      <c r="D471" s="127" t="s">
        <v>11997</v>
      </c>
      <c r="I471" s="127" t="s">
        <v>11998</v>
      </c>
      <c r="J471" s="127" t="s">
        <v>14901</v>
      </c>
      <c r="K471" s="127" t="s">
        <v>15343</v>
      </c>
      <c r="L471" s="127" t="s">
        <v>15785</v>
      </c>
      <c r="M471" s="127" t="s">
        <v>16227</v>
      </c>
      <c r="N471" s="127" t="s">
        <v>11999</v>
      </c>
    </row>
    <row r="472" spans="1:14" x14ac:dyDescent="0.35">
      <c r="A472" s="127" t="s">
        <v>6063</v>
      </c>
      <c r="C472" s="127" t="s">
        <v>3263</v>
      </c>
      <c r="D472" s="127" t="s">
        <v>12000</v>
      </c>
      <c r="I472" s="127" t="s">
        <v>12001</v>
      </c>
      <c r="J472" s="127" t="s">
        <v>14902</v>
      </c>
      <c r="K472" s="127" t="s">
        <v>15344</v>
      </c>
      <c r="L472" s="127" t="s">
        <v>15786</v>
      </c>
      <c r="M472" s="127" t="s">
        <v>16228</v>
      </c>
      <c r="N472" s="127" t="s">
        <v>12002</v>
      </c>
    </row>
    <row r="473" spans="1:14" x14ac:dyDescent="0.35">
      <c r="A473" s="127" t="s">
        <v>6063</v>
      </c>
      <c r="C473" s="127" t="s">
        <v>3263</v>
      </c>
      <c r="D473" s="127" t="s">
        <v>12003</v>
      </c>
      <c r="I473" s="127" t="s">
        <v>12004</v>
      </c>
      <c r="J473" s="127" t="s">
        <v>14903</v>
      </c>
      <c r="K473" s="127" t="s">
        <v>15345</v>
      </c>
      <c r="L473" s="127" t="s">
        <v>15787</v>
      </c>
      <c r="M473" s="127" t="s">
        <v>16229</v>
      </c>
      <c r="N473" s="127" t="s">
        <v>12005</v>
      </c>
    </row>
    <row r="474" spans="1:14" x14ac:dyDescent="0.35">
      <c r="A474" s="127" t="s">
        <v>6063</v>
      </c>
      <c r="C474" s="127" t="s">
        <v>3263</v>
      </c>
      <c r="D474" s="127" t="s">
        <v>12006</v>
      </c>
      <c r="I474" s="127" t="s">
        <v>12007</v>
      </c>
      <c r="J474" s="127" t="s">
        <v>14904</v>
      </c>
      <c r="K474" s="127" t="s">
        <v>15346</v>
      </c>
      <c r="L474" s="127" t="s">
        <v>15788</v>
      </c>
      <c r="M474" s="127" t="s">
        <v>16230</v>
      </c>
      <c r="N474" s="127" t="s">
        <v>12008</v>
      </c>
    </row>
    <row r="475" spans="1:14" x14ac:dyDescent="0.35">
      <c r="A475" s="127" t="s">
        <v>6063</v>
      </c>
      <c r="C475" s="127" t="s">
        <v>3263</v>
      </c>
      <c r="D475" s="127" t="s">
        <v>12009</v>
      </c>
      <c r="I475" s="127" t="s">
        <v>12010</v>
      </c>
      <c r="J475" s="127" t="s">
        <v>14905</v>
      </c>
      <c r="K475" s="127" t="s">
        <v>15347</v>
      </c>
      <c r="L475" s="127" t="s">
        <v>15789</v>
      </c>
      <c r="M475" s="127" t="s">
        <v>16231</v>
      </c>
      <c r="N475" s="127" t="s">
        <v>12011</v>
      </c>
    </row>
    <row r="476" spans="1:14" x14ac:dyDescent="0.35">
      <c r="A476" s="127" t="s">
        <v>6063</v>
      </c>
      <c r="C476" s="127" t="s">
        <v>3263</v>
      </c>
      <c r="D476" s="127" t="s">
        <v>12012</v>
      </c>
      <c r="I476" s="127" t="s">
        <v>12013</v>
      </c>
      <c r="J476" s="127" t="s">
        <v>14906</v>
      </c>
      <c r="K476" s="127" t="s">
        <v>15348</v>
      </c>
      <c r="L476" s="127" t="s">
        <v>15790</v>
      </c>
      <c r="M476" s="127" t="s">
        <v>16232</v>
      </c>
      <c r="N476" s="127" t="s">
        <v>12014</v>
      </c>
    </row>
    <row r="477" spans="1:14" x14ac:dyDescent="0.35">
      <c r="A477" s="127" t="s">
        <v>6063</v>
      </c>
      <c r="C477" s="127" t="s">
        <v>3263</v>
      </c>
      <c r="D477" s="127" t="s">
        <v>12015</v>
      </c>
      <c r="I477" s="127" t="s">
        <v>12016</v>
      </c>
      <c r="J477" s="127" t="s">
        <v>14907</v>
      </c>
      <c r="K477" s="127" t="s">
        <v>15349</v>
      </c>
      <c r="L477" s="127" t="s">
        <v>15791</v>
      </c>
      <c r="M477" s="127" t="s">
        <v>16233</v>
      </c>
      <c r="N477" s="127" t="s">
        <v>12017</v>
      </c>
    </row>
    <row r="478" spans="1:14" x14ac:dyDescent="0.35">
      <c r="A478" s="127" t="s">
        <v>6063</v>
      </c>
      <c r="C478" s="127" t="s">
        <v>3263</v>
      </c>
      <c r="D478" s="127" t="s">
        <v>12018</v>
      </c>
      <c r="I478" s="127" t="s">
        <v>12019</v>
      </c>
      <c r="J478" s="127" t="s">
        <v>14908</v>
      </c>
      <c r="K478" s="127" t="s">
        <v>15350</v>
      </c>
      <c r="L478" s="127" t="s">
        <v>15792</v>
      </c>
      <c r="M478" s="127" t="s">
        <v>16234</v>
      </c>
      <c r="N478" s="127" t="s">
        <v>12020</v>
      </c>
    </row>
    <row r="479" spans="1:14" x14ac:dyDescent="0.35">
      <c r="A479" s="127" t="s">
        <v>6063</v>
      </c>
      <c r="C479" s="127" t="s">
        <v>3263</v>
      </c>
      <c r="D479" s="127" t="s">
        <v>12021</v>
      </c>
      <c r="I479" s="127" t="s">
        <v>12022</v>
      </c>
      <c r="J479" s="127" t="s">
        <v>14909</v>
      </c>
      <c r="K479" s="127" t="s">
        <v>15351</v>
      </c>
      <c r="L479" s="127" t="s">
        <v>15793</v>
      </c>
      <c r="M479" s="127" t="s">
        <v>16235</v>
      </c>
      <c r="N479" s="127" t="s">
        <v>12023</v>
      </c>
    </row>
    <row r="480" spans="1:14" x14ac:dyDescent="0.35">
      <c r="A480" s="127" t="s">
        <v>6063</v>
      </c>
      <c r="C480" s="127" t="s">
        <v>3263</v>
      </c>
      <c r="D480" s="127" t="s">
        <v>12024</v>
      </c>
      <c r="I480" s="127" t="s">
        <v>12025</v>
      </c>
      <c r="J480" s="127" t="s">
        <v>14910</v>
      </c>
      <c r="K480" s="127" t="s">
        <v>15352</v>
      </c>
      <c r="L480" s="127" t="s">
        <v>15794</v>
      </c>
      <c r="M480" s="127" t="s">
        <v>16236</v>
      </c>
      <c r="N480" s="127" t="s">
        <v>12026</v>
      </c>
    </row>
    <row r="481" spans="1:14" x14ac:dyDescent="0.35">
      <c r="A481" s="127" t="s">
        <v>6063</v>
      </c>
      <c r="C481" s="127" t="s">
        <v>3263</v>
      </c>
      <c r="D481" s="127" t="s">
        <v>12027</v>
      </c>
      <c r="I481" s="127" t="s">
        <v>12028</v>
      </c>
      <c r="J481" s="127" t="s">
        <v>14911</v>
      </c>
      <c r="K481" s="127" t="s">
        <v>15353</v>
      </c>
      <c r="L481" s="127" t="s">
        <v>15795</v>
      </c>
      <c r="M481" s="127" t="s">
        <v>16237</v>
      </c>
      <c r="N481" s="127" t="s">
        <v>12029</v>
      </c>
    </row>
    <row r="482" spans="1:14" x14ac:dyDescent="0.35">
      <c r="A482" s="127" t="s">
        <v>6063</v>
      </c>
      <c r="C482" s="127" t="s">
        <v>3263</v>
      </c>
      <c r="D482" s="127" t="s">
        <v>12030</v>
      </c>
      <c r="I482" s="127" t="s">
        <v>12031</v>
      </c>
      <c r="J482" s="127" t="s">
        <v>14912</v>
      </c>
      <c r="K482" s="127" t="s">
        <v>15354</v>
      </c>
      <c r="L482" s="127" t="s">
        <v>15796</v>
      </c>
      <c r="M482" s="127" t="s">
        <v>16238</v>
      </c>
      <c r="N482" s="127" t="s">
        <v>12032</v>
      </c>
    </row>
    <row r="483" spans="1:14" x14ac:dyDescent="0.35">
      <c r="A483" s="127" t="s">
        <v>6063</v>
      </c>
      <c r="C483" s="127" t="s">
        <v>3263</v>
      </c>
      <c r="D483" s="127" t="s">
        <v>12033</v>
      </c>
      <c r="I483" s="127" t="s">
        <v>12034</v>
      </c>
      <c r="J483" s="127" t="s">
        <v>14913</v>
      </c>
      <c r="K483" s="127" t="s">
        <v>15355</v>
      </c>
      <c r="L483" s="127" t="s">
        <v>15797</v>
      </c>
      <c r="M483" s="127" t="s">
        <v>16239</v>
      </c>
      <c r="N483" s="127" t="s">
        <v>12035</v>
      </c>
    </row>
    <row r="484" spans="1:14" x14ac:dyDescent="0.35">
      <c r="A484" s="127" t="s">
        <v>6063</v>
      </c>
      <c r="C484" s="127" t="s">
        <v>3263</v>
      </c>
      <c r="D484" s="127" t="s">
        <v>12036</v>
      </c>
      <c r="I484" s="127" t="s">
        <v>12037</v>
      </c>
      <c r="J484" s="127" t="s">
        <v>14914</v>
      </c>
      <c r="K484" s="127" t="s">
        <v>15356</v>
      </c>
      <c r="L484" s="127" t="s">
        <v>15798</v>
      </c>
      <c r="M484" s="127" t="s">
        <v>16240</v>
      </c>
      <c r="N484" s="127" t="s">
        <v>12038</v>
      </c>
    </row>
    <row r="485" spans="1:14" x14ac:dyDescent="0.35">
      <c r="A485" s="127" t="s">
        <v>6063</v>
      </c>
      <c r="C485" s="127" t="s">
        <v>3263</v>
      </c>
      <c r="D485" s="127" t="s">
        <v>12039</v>
      </c>
      <c r="I485" s="127" t="s">
        <v>12040</v>
      </c>
      <c r="J485" s="127" t="s">
        <v>14915</v>
      </c>
      <c r="K485" s="127" t="s">
        <v>15357</v>
      </c>
      <c r="L485" s="127" t="s">
        <v>15799</v>
      </c>
      <c r="M485" s="127" t="s">
        <v>16241</v>
      </c>
      <c r="N485" s="127" t="s">
        <v>12041</v>
      </c>
    </row>
    <row r="486" spans="1:14" x14ac:dyDescent="0.35">
      <c r="A486" s="127" t="s">
        <v>6063</v>
      </c>
      <c r="C486" s="127" t="s">
        <v>3263</v>
      </c>
      <c r="D486" s="127" t="s">
        <v>12042</v>
      </c>
      <c r="I486" s="127" t="s">
        <v>12043</v>
      </c>
      <c r="J486" s="127" t="s">
        <v>14916</v>
      </c>
      <c r="K486" s="127" t="s">
        <v>15358</v>
      </c>
      <c r="L486" s="127" t="s">
        <v>15800</v>
      </c>
      <c r="M486" s="127" t="s">
        <v>16242</v>
      </c>
      <c r="N486" s="127" t="s">
        <v>12044</v>
      </c>
    </row>
    <row r="487" spans="1:14" x14ac:dyDescent="0.35">
      <c r="A487" s="127" t="s">
        <v>6063</v>
      </c>
      <c r="C487" s="127" t="s">
        <v>3263</v>
      </c>
      <c r="D487" s="127" t="s">
        <v>12045</v>
      </c>
      <c r="I487" s="127" t="s">
        <v>12046</v>
      </c>
      <c r="J487" s="127" t="s">
        <v>14917</v>
      </c>
      <c r="K487" s="127" t="s">
        <v>15359</v>
      </c>
      <c r="L487" s="127" t="s">
        <v>15801</v>
      </c>
      <c r="M487" s="127" t="s">
        <v>16243</v>
      </c>
      <c r="N487" s="127" t="s">
        <v>12047</v>
      </c>
    </row>
    <row r="488" spans="1:14" x14ac:dyDescent="0.35">
      <c r="A488" s="127" t="s">
        <v>6063</v>
      </c>
      <c r="C488" s="127" t="s">
        <v>3263</v>
      </c>
      <c r="D488" s="127" t="s">
        <v>12048</v>
      </c>
      <c r="I488" s="127" t="s">
        <v>12049</v>
      </c>
      <c r="J488" s="127" t="s">
        <v>14918</v>
      </c>
      <c r="K488" s="127" t="s">
        <v>15360</v>
      </c>
      <c r="L488" s="127" t="s">
        <v>15802</v>
      </c>
      <c r="M488" s="127" t="s">
        <v>16244</v>
      </c>
      <c r="N488" s="127" t="s">
        <v>12050</v>
      </c>
    </row>
    <row r="489" spans="1:14" x14ac:dyDescent="0.35">
      <c r="A489" s="127" t="s">
        <v>6063</v>
      </c>
      <c r="C489" s="127" t="s">
        <v>3263</v>
      </c>
      <c r="D489" s="127" t="s">
        <v>12051</v>
      </c>
      <c r="I489" s="127" t="s">
        <v>12052</v>
      </c>
      <c r="J489" s="127" t="s">
        <v>14919</v>
      </c>
      <c r="K489" s="127" t="s">
        <v>15361</v>
      </c>
      <c r="L489" s="127" t="s">
        <v>15803</v>
      </c>
      <c r="M489" s="127" t="s">
        <v>16245</v>
      </c>
      <c r="N489" s="127" t="s">
        <v>12053</v>
      </c>
    </row>
    <row r="490" spans="1:14" x14ac:dyDescent="0.35">
      <c r="A490" s="127" t="s">
        <v>6063</v>
      </c>
      <c r="C490" s="127" t="s">
        <v>3263</v>
      </c>
      <c r="D490" s="127" t="s">
        <v>12054</v>
      </c>
      <c r="I490" s="127" t="s">
        <v>12055</v>
      </c>
      <c r="J490" s="127" t="s">
        <v>14920</v>
      </c>
      <c r="K490" s="127" t="s">
        <v>15362</v>
      </c>
      <c r="L490" s="127" t="s">
        <v>15804</v>
      </c>
      <c r="M490" s="127" t="s">
        <v>16246</v>
      </c>
      <c r="N490" s="127" t="s">
        <v>12056</v>
      </c>
    </row>
    <row r="491" spans="1:14" x14ac:dyDescent="0.35">
      <c r="A491" s="127" t="s">
        <v>6063</v>
      </c>
      <c r="C491" s="127" t="s">
        <v>3263</v>
      </c>
      <c r="D491" s="127" t="s">
        <v>12057</v>
      </c>
      <c r="I491" s="127" t="s">
        <v>12058</v>
      </c>
      <c r="J491" s="127" t="s">
        <v>14921</v>
      </c>
      <c r="K491" s="127" t="s">
        <v>15363</v>
      </c>
      <c r="L491" s="127" t="s">
        <v>15805</v>
      </c>
      <c r="M491" s="127" t="s">
        <v>16247</v>
      </c>
      <c r="N491" s="127" t="s">
        <v>12059</v>
      </c>
    </row>
    <row r="492" spans="1:14" x14ac:dyDescent="0.35">
      <c r="A492" s="127" t="s">
        <v>6063</v>
      </c>
      <c r="C492" s="127" t="s">
        <v>3263</v>
      </c>
      <c r="D492" s="127" t="s">
        <v>12060</v>
      </c>
      <c r="I492" s="127" t="s">
        <v>12061</v>
      </c>
      <c r="J492" s="127" t="s">
        <v>14922</v>
      </c>
      <c r="K492" s="127" t="s">
        <v>15364</v>
      </c>
      <c r="L492" s="127" t="s">
        <v>15806</v>
      </c>
      <c r="M492" s="127" t="s">
        <v>16248</v>
      </c>
      <c r="N492" s="127" t="s">
        <v>12062</v>
      </c>
    </row>
    <row r="493" spans="1:14" x14ac:dyDescent="0.35">
      <c r="A493" s="127" t="s">
        <v>6063</v>
      </c>
      <c r="C493" s="127" t="s">
        <v>3263</v>
      </c>
      <c r="D493" s="127" t="s">
        <v>12063</v>
      </c>
      <c r="I493" s="127" t="s">
        <v>12064</v>
      </c>
      <c r="J493" s="127" t="s">
        <v>14923</v>
      </c>
      <c r="K493" s="127" t="s">
        <v>15365</v>
      </c>
      <c r="L493" s="127" t="s">
        <v>15807</v>
      </c>
      <c r="M493" s="127" t="s">
        <v>16249</v>
      </c>
      <c r="N493" s="127" t="s">
        <v>12065</v>
      </c>
    </row>
    <row r="494" spans="1:14" x14ac:dyDescent="0.35">
      <c r="A494" s="127" t="s">
        <v>6063</v>
      </c>
      <c r="C494" s="127" t="s">
        <v>3263</v>
      </c>
      <c r="D494" s="127" t="s">
        <v>12066</v>
      </c>
      <c r="I494" s="127" t="s">
        <v>12067</v>
      </c>
      <c r="J494" s="127" t="s">
        <v>14924</v>
      </c>
      <c r="K494" s="127" t="s">
        <v>15366</v>
      </c>
      <c r="L494" s="127" t="s">
        <v>15808</v>
      </c>
      <c r="M494" s="127" t="s">
        <v>16250</v>
      </c>
      <c r="N494" s="127" t="s">
        <v>12068</v>
      </c>
    </row>
    <row r="495" spans="1:14" x14ac:dyDescent="0.35">
      <c r="A495" s="127" t="s">
        <v>6063</v>
      </c>
      <c r="C495" s="127" t="s">
        <v>3263</v>
      </c>
      <c r="D495" s="127" t="s">
        <v>12069</v>
      </c>
      <c r="I495" s="127" t="s">
        <v>12070</v>
      </c>
      <c r="J495" s="127" t="s">
        <v>14925</v>
      </c>
      <c r="K495" s="127" t="s">
        <v>15367</v>
      </c>
      <c r="L495" s="127" t="s">
        <v>15809</v>
      </c>
      <c r="M495" s="127" t="s">
        <v>16251</v>
      </c>
      <c r="N495" s="127" t="s">
        <v>12071</v>
      </c>
    </row>
    <row r="496" spans="1:14" x14ac:dyDescent="0.35">
      <c r="A496" s="127" t="s">
        <v>6063</v>
      </c>
      <c r="C496" s="127" t="s">
        <v>3263</v>
      </c>
      <c r="D496" s="127" t="s">
        <v>12072</v>
      </c>
      <c r="I496" s="127" t="s">
        <v>12073</v>
      </c>
      <c r="J496" s="127" t="s">
        <v>14926</v>
      </c>
      <c r="K496" s="127" t="s">
        <v>15368</v>
      </c>
      <c r="L496" s="127" t="s">
        <v>15810</v>
      </c>
      <c r="M496" s="127" t="s">
        <v>16252</v>
      </c>
      <c r="N496" s="127" t="s">
        <v>12074</v>
      </c>
    </row>
    <row r="497" spans="1:14" x14ac:dyDescent="0.35">
      <c r="A497" s="127" t="s">
        <v>6063</v>
      </c>
      <c r="C497" s="127" t="s">
        <v>3263</v>
      </c>
      <c r="D497" s="127" t="s">
        <v>12075</v>
      </c>
      <c r="I497" s="127" t="s">
        <v>12076</v>
      </c>
      <c r="J497" s="127" t="s">
        <v>14927</v>
      </c>
      <c r="K497" s="127" t="s">
        <v>15369</v>
      </c>
      <c r="L497" s="127" t="s">
        <v>15811</v>
      </c>
      <c r="M497" s="127" t="s">
        <v>16253</v>
      </c>
      <c r="N497" s="127" t="s">
        <v>12077</v>
      </c>
    </row>
    <row r="498" spans="1:14" x14ac:dyDescent="0.35">
      <c r="A498" s="127" t="s">
        <v>6063</v>
      </c>
      <c r="C498" s="127" t="s">
        <v>3263</v>
      </c>
      <c r="D498" s="127" t="s">
        <v>12078</v>
      </c>
      <c r="I498" s="127" t="s">
        <v>12079</v>
      </c>
      <c r="J498" s="127" t="s">
        <v>14928</v>
      </c>
      <c r="K498" s="127" t="s">
        <v>15370</v>
      </c>
      <c r="L498" s="127" t="s">
        <v>15812</v>
      </c>
      <c r="M498" s="127" t="s">
        <v>16254</v>
      </c>
      <c r="N498" s="127" t="s">
        <v>12080</v>
      </c>
    </row>
    <row r="499" spans="1:14" x14ac:dyDescent="0.35">
      <c r="A499" s="127" t="s">
        <v>6063</v>
      </c>
      <c r="C499" s="127" t="s">
        <v>3263</v>
      </c>
      <c r="D499" s="127" t="s">
        <v>12081</v>
      </c>
      <c r="I499" s="127" t="s">
        <v>12082</v>
      </c>
      <c r="J499" s="127" t="s">
        <v>14929</v>
      </c>
      <c r="K499" s="127" t="s">
        <v>15371</v>
      </c>
      <c r="L499" s="127" t="s">
        <v>15813</v>
      </c>
      <c r="M499" s="127" t="s">
        <v>16255</v>
      </c>
      <c r="N499" s="127" t="s">
        <v>12083</v>
      </c>
    </row>
    <row r="500" spans="1:14" x14ac:dyDescent="0.35">
      <c r="A500" s="127" t="s">
        <v>6063</v>
      </c>
      <c r="C500" s="127" t="s">
        <v>3263</v>
      </c>
      <c r="D500" s="127" t="s">
        <v>12084</v>
      </c>
      <c r="I500" s="127" t="s">
        <v>12085</v>
      </c>
      <c r="J500" s="127" t="s">
        <v>14930</v>
      </c>
      <c r="K500" s="127" t="s">
        <v>15372</v>
      </c>
      <c r="L500" s="127" t="s">
        <v>15814</v>
      </c>
      <c r="M500" s="127" t="s">
        <v>16256</v>
      </c>
      <c r="N500" s="127" t="s">
        <v>12086</v>
      </c>
    </row>
    <row r="501" spans="1:14" x14ac:dyDescent="0.35">
      <c r="A501" s="127" t="s">
        <v>6063</v>
      </c>
      <c r="C501" s="127" t="s">
        <v>3263</v>
      </c>
      <c r="D501" s="127" t="s">
        <v>12087</v>
      </c>
      <c r="I501" s="127" t="s">
        <v>12088</v>
      </c>
      <c r="J501" s="127" t="s">
        <v>14931</v>
      </c>
      <c r="K501" s="127" t="s">
        <v>15373</v>
      </c>
      <c r="L501" s="127" t="s">
        <v>15815</v>
      </c>
      <c r="M501" s="127" t="s">
        <v>16257</v>
      </c>
      <c r="N501" s="127" t="s">
        <v>12089</v>
      </c>
    </row>
    <row r="502" spans="1:14" x14ac:dyDescent="0.35">
      <c r="A502" s="127" t="s">
        <v>6063</v>
      </c>
      <c r="C502" s="127" t="s">
        <v>3263</v>
      </c>
      <c r="D502" s="127" t="s">
        <v>12090</v>
      </c>
      <c r="I502" s="127" t="s">
        <v>12091</v>
      </c>
      <c r="J502" s="127" t="s">
        <v>14932</v>
      </c>
      <c r="K502" s="127" t="s">
        <v>15374</v>
      </c>
      <c r="L502" s="127" t="s">
        <v>15816</v>
      </c>
      <c r="M502" s="127" t="s">
        <v>16258</v>
      </c>
      <c r="N502" s="127" t="s">
        <v>12092</v>
      </c>
    </row>
    <row r="503" spans="1:14" x14ac:dyDescent="0.35">
      <c r="A503" s="127" t="s">
        <v>6063</v>
      </c>
      <c r="C503" s="127" t="s">
        <v>3263</v>
      </c>
      <c r="D503" s="127" t="s">
        <v>12093</v>
      </c>
      <c r="I503" s="127" t="s">
        <v>12094</v>
      </c>
      <c r="J503" s="127" t="s">
        <v>14933</v>
      </c>
      <c r="K503" s="127" t="s">
        <v>15375</v>
      </c>
      <c r="L503" s="127" t="s">
        <v>15817</v>
      </c>
      <c r="M503" s="127" t="s">
        <v>16259</v>
      </c>
      <c r="N503" s="127" t="s">
        <v>12095</v>
      </c>
    </row>
    <row r="504" spans="1:14" x14ac:dyDescent="0.35">
      <c r="A504" s="127" t="s">
        <v>6063</v>
      </c>
      <c r="C504" s="127" t="s">
        <v>3263</v>
      </c>
      <c r="D504" s="127" t="s">
        <v>12096</v>
      </c>
      <c r="I504" s="127" t="s">
        <v>12097</v>
      </c>
      <c r="J504" s="127" t="s">
        <v>14934</v>
      </c>
      <c r="K504" s="127" t="s">
        <v>15376</v>
      </c>
      <c r="L504" s="127" t="s">
        <v>15818</v>
      </c>
      <c r="M504" s="127" t="s">
        <v>16260</v>
      </c>
      <c r="N504" s="127" t="s">
        <v>12098</v>
      </c>
    </row>
    <row r="505" spans="1:14" x14ac:dyDescent="0.35">
      <c r="A505" s="127" t="s">
        <v>6063</v>
      </c>
      <c r="C505" s="127" t="s">
        <v>3263</v>
      </c>
      <c r="D505" s="127" t="s">
        <v>12099</v>
      </c>
      <c r="I505" s="127" t="s">
        <v>12100</v>
      </c>
      <c r="J505" s="127" t="s">
        <v>14935</v>
      </c>
      <c r="K505" s="127" t="s">
        <v>15377</v>
      </c>
      <c r="L505" s="127" t="s">
        <v>15819</v>
      </c>
      <c r="M505" s="127" t="s">
        <v>16261</v>
      </c>
      <c r="N505" s="127" t="s">
        <v>12101</v>
      </c>
    </row>
    <row r="506" spans="1:14" x14ac:dyDescent="0.35">
      <c r="A506" s="127" t="s">
        <v>6063</v>
      </c>
      <c r="C506" s="127" t="s">
        <v>3263</v>
      </c>
      <c r="D506" s="127" t="s">
        <v>12102</v>
      </c>
      <c r="I506" s="127" t="s">
        <v>12103</v>
      </c>
      <c r="J506" s="127" t="s">
        <v>14936</v>
      </c>
      <c r="K506" s="127" t="s">
        <v>15378</v>
      </c>
      <c r="L506" s="127" t="s">
        <v>15820</v>
      </c>
      <c r="M506" s="127" t="s">
        <v>16262</v>
      </c>
      <c r="N506" s="127" t="s">
        <v>12104</v>
      </c>
    </row>
    <row r="507" spans="1:14" x14ac:dyDescent="0.35">
      <c r="A507" s="127" t="s">
        <v>6063</v>
      </c>
      <c r="C507" s="127" t="s">
        <v>3263</v>
      </c>
      <c r="D507" s="127" t="s">
        <v>12105</v>
      </c>
      <c r="I507" s="127" t="s">
        <v>12106</v>
      </c>
      <c r="J507" s="127" t="s">
        <v>14937</v>
      </c>
      <c r="K507" s="127" t="s">
        <v>15379</v>
      </c>
      <c r="L507" s="127" t="s">
        <v>15821</v>
      </c>
      <c r="M507" s="127" t="s">
        <v>16263</v>
      </c>
      <c r="N507" s="127" t="s">
        <v>12107</v>
      </c>
    </row>
    <row r="508" spans="1:14" x14ac:dyDescent="0.35">
      <c r="A508" s="127" t="s">
        <v>6063</v>
      </c>
      <c r="C508" s="127" t="s">
        <v>3263</v>
      </c>
      <c r="D508" s="127" t="s">
        <v>12108</v>
      </c>
      <c r="I508" s="127" t="s">
        <v>12109</v>
      </c>
      <c r="J508" s="127" t="s">
        <v>14938</v>
      </c>
      <c r="K508" s="127" t="s">
        <v>15380</v>
      </c>
      <c r="L508" s="127" t="s">
        <v>15822</v>
      </c>
      <c r="M508" s="127" t="s">
        <v>16264</v>
      </c>
      <c r="N508" s="127" t="s">
        <v>12110</v>
      </c>
    </row>
    <row r="509" spans="1:14" x14ac:dyDescent="0.35">
      <c r="A509" s="127" t="s">
        <v>6063</v>
      </c>
      <c r="C509" s="127" t="s">
        <v>3263</v>
      </c>
      <c r="D509" s="127" t="s">
        <v>12111</v>
      </c>
      <c r="I509" s="127" t="s">
        <v>12112</v>
      </c>
      <c r="J509" s="127" t="s">
        <v>14939</v>
      </c>
      <c r="K509" s="127" t="s">
        <v>15381</v>
      </c>
      <c r="L509" s="127" t="s">
        <v>15823</v>
      </c>
      <c r="M509" s="127" t="s">
        <v>16265</v>
      </c>
      <c r="N509" s="127" t="s">
        <v>12113</v>
      </c>
    </row>
    <row r="510" spans="1:14" x14ac:dyDescent="0.35">
      <c r="A510" s="127" t="s">
        <v>6063</v>
      </c>
      <c r="C510" s="127" t="s">
        <v>3263</v>
      </c>
      <c r="D510" s="127" t="s">
        <v>12114</v>
      </c>
      <c r="I510" s="127" t="s">
        <v>12115</v>
      </c>
      <c r="J510" s="127" t="s">
        <v>14940</v>
      </c>
      <c r="K510" s="127" t="s">
        <v>15382</v>
      </c>
      <c r="L510" s="127" t="s">
        <v>15824</v>
      </c>
      <c r="M510" s="127" t="s">
        <v>16266</v>
      </c>
      <c r="N510" s="127" t="s">
        <v>12116</v>
      </c>
    </row>
    <row r="511" spans="1:14" x14ac:dyDescent="0.35">
      <c r="A511" s="127" t="s">
        <v>6063</v>
      </c>
      <c r="C511" s="127" t="s">
        <v>3263</v>
      </c>
      <c r="D511" s="127" t="s">
        <v>12117</v>
      </c>
      <c r="I511" s="127" t="s">
        <v>12118</v>
      </c>
      <c r="J511" s="127" t="s">
        <v>14941</v>
      </c>
      <c r="K511" s="127" t="s">
        <v>15383</v>
      </c>
      <c r="L511" s="127" t="s">
        <v>15825</v>
      </c>
      <c r="M511" s="127" t="s">
        <v>16267</v>
      </c>
      <c r="N511" s="127" t="s">
        <v>12119</v>
      </c>
    </row>
    <row r="512" spans="1:14" x14ac:dyDescent="0.35">
      <c r="A512" s="127" t="s">
        <v>6063</v>
      </c>
      <c r="C512" s="127" t="s">
        <v>3263</v>
      </c>
      <c r="D512" s="127" t="s">
        <v>12120</v>
      </c>
      <c r="I512" s="127" t="s">
        <v>12121</v>
      </c>
      <c r="J512" s="127" t="s">
        <v>14942</v>
      </c>
      <c r="K512" s="127" t="s">
        <v>15384</v>
      </c>
      <c r="L512" s="127" t="s">
        <v>15826</v>
      </c>
      <c r="M512" s="127" t="s">
        <v>16268</v>
      </c>
      <c r="N512" s="127" t="s">
        <v>12122</v>
      </c>
    </row>
    <row r="513" spans="1:14" x14ac:dyDescent="0.35">
      <c r="A513" s="127" t="s">
        <v>6063</v>
      </c>
      <c r="C513" s="127" t="s">
        <v>3263</v>
      </c>
      <c r="D513" s="127" t="s">
        <v>12123</v>
      </c>
      <c r="I513" s="127" t="s">
        <v>12124</v>
      </c>
      <c r="J513" s="127" t="s">
        <v>14943</v>
      </c>
      <c r="K513" s="127" t="s">
        <v>15385</v>
      </c>
      <c r="L513" s="127" t="s">
        <v>15827</v>
      </c>
      <c r="M513" s="127" t="s">
        <v>16269</v>
      </c>
      <c r="N513" s="127" t="s">
        <v>12125</v>
      </c>
    </row>
    <row r="514" spans="1:14" x14ac:dyDescent="0.35">
      <c r="A514" s="127" t="s">
        <v>6063</v>
      </c>
      <c r="C514" s="127" t="s">
        <v>3263</v>
      </c>
      <c r="D514" s="127" t="s">
        <v>12126</v>
      </c>
      <c r="I514" s="127" t="s">
        <v>12127</v>
      </c>
      <c r="J514" s="127" t="s">
        <v>14944</v>
      </c>
      <c r="K514" s="127" t="s">
        <v>15386</v>
      </c>
      <c r="L514" s="127" t="s">
        <v>15828</v>
      </c>
      <c r="M514" s="127" t="s">
        <v>16270</v>
      </c>
      <c r="N514" s="127" t="s">
        <v>12128</v>
      </c>
    </row>
    <row r="515" spans="1:14" x14ac:dyDescent="0.35">
      <c r="A515" s="127" t="s">
        <v>6063</v>
      </c>
      <c r="C515" s="127" t="s">
        <v>3263</v>
      </c>
      <c r="D515" s="127" t="s">
        <v>12129</v>
      </c>
      <c r="I515" s="127" t="s">
        <v>12130</v>
      </c>
      <c r="J515" s="127" t="s">
        <v>14945</v>
      </c>
      <c r="K515" s="127" t="s">
        <v>15387</v>
      </c>
      <c r="L515" s="127" t="s">
        <v>15829</v>
      </c>
      <c r="M515" s="127" t="s">
        <v>16271</v>
      </c>
      <c r="N515" s="127" t="s">
        <v>12131</v>
      </c>
    </row>
    <row r="516" spans="1:14" x14ac:dyDescent="0.35">
      <c r="A516" s="127" t="s">
        <v>6063</v>
      </c>
      <c r="C516" s="127" t="s">
        <v>3263</v>
      </c>
      <c r="D516" s="127" t="s">
        <v>12132</v>
      </c>
      <c r="I516" s="127" t="s">
        <v>12133</v>
      </c>
      <c r="J516" s="127" t="s">
        <v>14946</v>
      </c>
      <c r="K516" s="127" t="s">
        <v>15388</v>
      </c>
      <c r="L516" s="127" t="s">
        <v>15830</v>
      </c>
      <c r="M516" s="127" t="s">
        <v>16272</v>
      </c>
      <c r="N516" s="127" t="s">
        <v>12134</v>
      </c>
    </row>
    <row r="517" spans="1:14" x14ac:dyDescent="0.35">
      <c r="A517" s="127" t="s">
        <v>6063</v>
      </c>
      <c r="C517" s="127" t="s">
        <v>3263</v>
      </c>
      <c r="D517" s="127" t="s">
        <v>12135</v>
      </c>
      <c r="I517" s="127" t="s">
        <v>12136</v>
      </c>
      <c r="J517" s="127" t="s">
        <v>14947</v>
      </c>
      <c r="K517" s="127" t="s">
        <v>15389</v>
      </c>
      <c r="L517" s="127" t="s">
        <v>15831</v>
      </c>
      <c r="M517" s="127" t="s">
        <v>16273</v>
      </c>
      <c r="N517" s="127" t="s">
        <v>12137</v>
      </c>
    </row>
    <row r="518" spans="1:14" x14ac:dyDescent="0.35">
      <c r="A518" s="127" t="s">
        <v>6063</v>
      </c>
      <c r="C518" s="127" t="s">
        <v>3263</v>
      </c>
      <c r="D518" s="127" t="s">
        <v>12138</v>
      </c>
      <c r="I518" s="127" t="s">
        <v>12139</v>
      </c>
      <c r="J518" s="127" t="s">
        <v>14948</v>
      </c>
      <c r="K518" s="127" t="s">
        <v>15390</v>
      </c>
      <c r="L518" s="127" t="s">
        <v>15832</v>
      </c>
      <c r="M518" s="127" t="s">
        <v>16274</v>
      </c>
      <c r="N518" s="127" t="s">
        <v>12140</v>
      </c>
    </row>
    <row r="519" spans="1:14" x14ac:dyDescent="0.35">
      <c r="A519" s="127" t="s">
        <v>6063</v>
      </c>
      <c r="C519" s="127" t="s">
        <v>3263</v>
      </c>
      <c r="D519" s="127" t="s">
        <v>12141</v>
      </c>
      <c r="I519" s="127" t="s">
        <v>12142</v>
      </c>
      <c r="J519" s="127" t="s">
        <v>14949</v>
      </c>
      <c r="K519" s="127" t="s">
        <v>15391</v>
      </c>
      <c r="L519" s="127" t="s">
        <v>15833</v>
      </c>
      <c r="M519" s="127" t="s">
        <v>16275</v>
      </c>
      <c r="N519" s="127" t="s">
        <v>12143</v>
      </c>
    </row>
    <row r="520" spans="1:14" x14ac:dyDescent="0.35">
      <c r="A520" s="127" t="s">
        <v>6063</v>
      </c>
      <c r="C520" s="127" t="s">
        <v>3263</v>
      </c>
      <c r="D520" s="127" t="s">
        <v>12144</v>
      </c>
      <c r="I520" s="127" t="s">
        <v>12145</v>
      </c>
      <c r="J520" s="127" t="s">
        <v>14950</v>
      </c>
      <c r="K520" s="127" t="s">
        <v>15392</v>
      </c>
      <c r="L520" s="127" t="s">
        <v>15834</v>
      </c>
      <c r="M520" s="127" t="s">
        <v>16276</v>
      </c>
      <c r="N520" s="127" t="s">
        <v>12146</v>
      </c>
    </row>
    <row r="521" spans="1:14" x14ac:dyDescent="0.35">
      <c r="A521" s="127" t="s">
        <v>6063</v>
      </c>
      <c r="C521" s="127" t="s">
        <v>3263</v>
      </c>
      <c r="D521" s="127" t="s">
        <v>12147</v>
      </c>
      <c r="I521" s="127" t="s">
        <v>12148</v>
      </c>
      <c r="J521" s="127" t="s">
        <v>14951</v>
      </c>
      <c r="K521" s="127" t="s">
        <v>15393</v>
      </c>
      <c r="L521" s="127" t="s">
        <v>15835</v>
      </c>
      <c r="M521" s="127" t="s">
        <v>16277</v>
      </c>
      <c r="N521" s="127" t="s">
        <v>12149</v>
      </c>
    </row>
    <row r="522" spans="1:14" x14ac:dyDescent="0.35">
      <c r="A522" s="127" t="s">
        <v>6063</v>
      </c>
      <c r="C522" s="127" t="s">
        <v>3263</v>
      </c>
      <c r="D522" s="127" t="s">
        <v>12150</v>
      </c>
      <c r="I522" s="127" t="s">
        <v>12151</v>
      </c>
      <c r="J522" s="127" t="s">
        <v>14952</v>
      </c>
      <c r="K522" s="127" t="s">
        <v>15394</v>
      </c>
      <c r="L522" s="127" t="s">
        <v>15836</v>
      </c>
      <c r="M522" s="127" t="s">
        <v>16278</v>
      </c>
      <c r="N522" s="127" t="s">
        <v>12152</v>
      </c>
    </row>
    <row r="523" spans="1:14" x14ac:dyDescent="0.35">
      <c r="A523" s="127" t="s">
        <v>6063</v>
      </c>
      <c r="C523" s="127" t="s">
        <v>3263</v>
      </c>
      <c r="D523" s="127" t="s">
        <v>12153</v>
      </c>
      <c r="I523" s="127" t="s">
        <v>12154</v>
      </c>
      <c r="J523" s="127" t="s">
        <v>14953</v>
      </c>
      <c r="K523" s="127" t="s">
        <v>15395</v>
      </c>
      <c r="L523" s="127" t="s">
        <v>15837</v>
      </c>
      <c r="M523" s="127" t="s">
        <v>16279</v>
      </c>
      <c r="N523" s="127" t="s">
        <v>12155</v>
      </c>
    </row>
    <row r="524" spans="1:14" x14ac:dyDescent="0.35">
      <c r="A524" s="127" t="s">
        <v>6063</v>
      </c>
      <c r="C524" s="127" t="s">
        <v>3263</v>
      </c>
      <c r="D524" s="127" t="s">
        <v>12156</v>
      </c>
      <c r="I524" s="127" t="s">
        <v>12157</v>
      </c>
      <c r="J524" s="127" t="s">
        <v>14954</v>
      </c>
      <c r="K524" s="127" t="s">
        <v>15396</v>
      </c>
      <c r="L524" s="127" t="s">
        <v>15838</v>
      </c>
      <c r="M524" s="127" t="s">
        <v>16280</v>
      </c>
      <c r="N524" s="127" t="s">
        <v>12158</v>
      </c>
    </row>
    <row r="525" spans="1:14" x14ac:dyDescent="0.35">
      <c r="A525" s="127" t="s">
        <v>6063</v>
      </c>
      <c r="C525" s="127" t="s">
        <v>3263</v>
      </c>
      <c r="D525" s="127" t="s">
        <v>12159</v>
      </c>
      <c r="I525" s="127" t="s">
        <v>12160</v>
      </c>
      <c r="J525" s="127" t="s">
        <v>14955</v>
      </c>
      <c r="K525" s="127" t="s">
        <v>15397</v>
      </c>
      <c r="L525" s="127" t="s">
        <v>15839</v>
      </c>
      <c r="M525" s="127" t="s">
        <v>16281</v>
      </c>
      <c r="N525" s="127" t="s">
        <v>12161</v>
      </c>
    </row>
    <row r="526" spans="1:14" x14ac:dyDescent="0.35">
      <c r="A526" s="127" t="s">
        <v>6063</v>
      </c>
      <c r="C526" s="127" t="s">
        <v>3263</v>
      </c>
      <c r="D526" s="127" t="s">
        <v>12162</v>
      </c>
      <c r="I526" s="127" t="s">
        <v>12163</v>
      </c>
      <c r="J526" s="127" t="s">
        <v>14956</v>
      </c>
      <c r="K526" s="127" t="s">
        <v>15398</v>
      </c>
      <c r="L526" s="127" t="s">
        <v>15840</v>
      </c>
      <c r="M526" s="127" t="s">
        <v>16282</v>
      </c>
      <c r="N526" s="127" t="s">
        <v>12164</v>
      </c>
    </row>
    <row r="527" spans="1:14" x14ac:dyDescent="0.35">
      <c r="A527" s="127" t="s">
        <v>6063</v>
      </c>
      <c r="C527" s="127" t="s">
        <v>3263</v>
      </c>
      <c r="D527" s="127" t="s">
        <v>12165</v>
      </c>
      <c r="I527" s="127" t="s">
        <v>12166</v>
      </c>
      <c r="J527" s="127" t="s">
        <v>14957</v>
      </c>
      <c r="K527" s="127" t="s">
        <v>15399</v>
      </c>
      <c r="L527" s="127" t="s">
        <v>15841</v>
      </c>
      <c r="M527" s="127" t="s">
        <v>16283</v>
      </c>
      <c r="N527" s="127" t="s">
        <v>12167</v>
      </c>
    </row>
    <row r="528" spans="1:14" x14ac:dyDescent="0.35">
      <c r="A528" s="127" t="s">
        <v>6063</v>
      </c>
      <c r="C528" s="127" t="s">
        <v>3263</v>
      </c>
      <c r="D528" s="127" t="s">
        <v>12168</v>
      </c>
      <c r="I528" s="127" t="s">
        <v>12169</v>
      </c>
      <c r="J528" s="127" t="s">
        <v>14958</v>
      </c>
      <c r="K528" s="127" t="s">
        <v>15400</v>
      </c>
      <c r="L528" s="127" t="s">
        <v>15842</v>
      </c>
      <c r="M528" s="127" t="s">
        <v>16284</v>
      </c>
      <c r="N528" s="127" t="s">
        <v>12170</v>
      </c>
    </row>
    <row r="529" spans="1:14" x14ac:dyDescent="0.35">
      <c r="A529" s="127" t="s">
        <v>6063</v>
      </c>
      <c r="C529" s="127" t="s">
        <v>3263</v>
      </c>
      <c r="D529" s="127" t="s">
        <v>12171</v>
      </c>
      <c r="I529" s="127" t="s">
        <v>12172</v>
      </c>
      <c r="J529" s="127" t="s">
        <v>14959</v>
      </c>
      <c r="K529" s="127" t="s">
        <v>15401</v>
      </c>
      <c r="L529" s="127" t="s">
        <v>15843</v>
      </c>
      <c r="M529" s="127" t="s">
        <v>16285</v>
      </c>
      <c r="N529" s="127" t="s">
        <v>12173</v>
      </c>
    </row>
    <row r="530" spans="1:14" x14ac:dyDescent="0.35">
      <c r="A530" s="127" t="s">
        <v>6063</v>
      </c>
      <c r="C530" s="127" t="s">
        <v>3263</v>
      </c>
      <c r="D530" s="127" t="s">
        <v>12174</v>
      </c>
      <c r="I530" s="127" t="s">
        <v>12175</v>
      </c>
      <c r="J530" s="127" t="s">
        <v>14960</v>
      </c>
      <c r="K530" s="127" t="s">
        <v>15402</v>
      </c>
      <c r="L530" s="127" t="s">
        <v>15844</v>
      </c>
      <c r="M530" s="127" t="s">
        <v>16286</v>
      </c>
      <c r="N530" s="127" t="s">
        <v>12176</v>
      </c>
    </row>
    <row r="531" spans="1:14" x14ac:dyDescent="0.35">
      <c r="A531" s="127" t="s">
        <v>6063</v>
      </c>
      <c r="C531" s="127" t="s">
        <v>3263</v>
      </c>
      <c r="D531" s="127" t="s">
        <v>12177</v>
      </c>
      <c r="I531" s="127" t="s">
        <v>12178</v>
      </c>
      <c r="J531" s="127" t="s">
        <v>14961</v>
      </c>
      <c r="K531" s="127" t="s">
        <v>15403</v>
      </c>
      <c r="L531" s="127" t="s">
        <v>15845</v>
      </c>
      <c r="M531" s="127" t="s">
        <v>16287</v>
      </c>
      <c r="N531" s="127" t="s">
        <v>12179</v>
      </c>
    </row>
    <row r="532" spans="1:14" x14ac:dyDescent="0.35">
      <c r="A532" s="127" t="s">
        <v>6063</v>
      </c>
      <c r="C532" s="127" t="s">
        <v>3263</v>
      </c>
      <c r="D532" s="127" t="s">
        <v>12180</v>
      </c>
      <c r="I532" s="127" t="s">
        <v>12181</v>
      </c>
      <c r="J532" s="127" t="s">
        <v>14962</v>
      </c>
      <c r="K532" s="127" t="s">
        <v>15404</v>
      </c>
      <c r="L532" s="127" t="s">
        <v>15846</v>
      </c>
      <c r="M532" s="127" t="s">
        <v>16288</v>
      </c>
      <c r="N532" s="127" t="s">
        <v>12182</v>
      </c>
    </row>
    <row r="533" spans="1:14" x14ac:dyDescent="0.35">
      <c r="A533" s="127" t="s">
        <v>6063</v>
      </c>
      <c r="C533" s="127" t="s">
        <v>3263</v>
      </c>
      <c r="D533" s="127" t="s">
        <v>12183</v>
      </c>
      <c r="I533" s="127" t="s">
        <v>12184</v>
      </c>
      <c r="J533" s="127" t="s">
        <v>14963</v>
      </c>
      <c r="K533" s="127" t="s">
        <v>15405</v>
      </c>
      <c r="L533" s="127" t="s">
        <v>15847</v>
      </c>
      <c r="M533" s="127" t="s">
        <v>16289</v>
      </c>
      <c r="N533" s="127" t="s">
        <v>12185</v>
      </c>
    </row>
    <row r="534" spans="1:14" x14ac:dyDescent="0.35">
      <c r="A534" s="127" t="s">
        <v>6063</v>
      </c>
      <c r="C534" s="127" t="s">
        <v>3263</v>
      </c>
      <c r="D534" s="127" t="s">
        <v>12186</v>
      </c>
      <c r="I534" s="127" t="s">
        <v>12187</v>
      </c>
      <c r="J534" s="127" t="s">
        <v>14964</v>
      </c>
      <c r="K534" s="127" t="s">
        <v>15406</v>
      </c>
      <c r="L534" s="127" t="s">
        <v>15848</v>
      </c>
      <c r="M534" s="127" t="s">
        <v>16290</v>
      </c>
      <c r="N534" s="127" t="s">
        <v>12188</v>
      </c>
    </row>
    <row r="535" spans="1:14" x14ac:dyDescent="0.35">
      <c r="A535" s="127" t="s">
        <v>6063</v>
      </c>
      <c r="C535" s="127" t="s">
        <v>3263</v>
      </c>
      <c r="D535" s="127" t="s">
        <v>12189</v>
      </c>
      <c r="I535" s="127" t="s">
        <v>12190</v>
      </c>
      <c r="J535" s="127" t="s">
        <v>14965</v>
      </c>
      <c r="K535" s="127" t="s">
        <v>15407</v>
      </c>
      <c r="L535" s="127" t="s">
        <v>15849</v>
      </c>
      <c r="M535" s="127" t="s">
        <v>16291</v>
      </c>
      <c r="N535" s="127" t="s">
        <v>12191</v>
      </c>
    </row>
    <row r="536" spans="1:14" x14ac:dyDescent="0.35">
      <c r="A536" s="127" t="s">
        <v>6063</v>
      </c>
      <c r="C536" s="127" t="s">
        <v>3263</v>
      </c>
      <c r="D536" s="127" t="s">
        <v>12192</v>
      </c>
      <c r="I536" s="127" t="s">
        <v>12193</v>
      </c>
      <c r="J536" s="127" t="s">
        <v>14966</v>
      </c>
      <c r="K536" s="127" t="s">
        <v>15408</v>
      </c>
      <c r="L536" s="127" t="s">
        <v>15850</v>
      </c>
      <c r="M536" s="127" t="s">
        <v>16292</v>
      </c>
      <c r="N536" s="127" t="s">
        <v>12194</v>
      </c>
    </row>
    <row r="537" spans="1:14" x14ac:dyDescent="0.35">
      <c r="A537" s="127" t="s">
        <v>6063</v>
      </c>
      <c r="C537" s="127" t="s">
        <v>3263</v>
      </c>
      <c r="D537" s="127" t="s">
        <v>12195</v>
      </c>
      <c r="I537" s="127" t="s">
        <v>12196</v>
      </c>
      <c r="J537" s="127" t="s">
        <v>14967</v>
      </c>
      <c r="K537" s="127" t="s">
        <v>15409</v>
      </c>
      <c r="L537" s="127" t="s">
        <v>15851</v>
      </c>
      <c r="M537" s="127" t="s">
        <v>16293</v>
      </c>
      <c r="N537" s="127" t="s">
        <v>12197</v>
      </c>
    </row>
    <row r="538" spans="1:14" x14ac:dyDescent="0.35">
      <c r="A538" s="127" t="s">
        <v>6063</v>
      </c>
      <c r="C538" s="127" t="s">
        <v>3263</v>
      </c>
      <c r="D538" s="127" t="s">
        <v>12198</v>
      </c>
      <c r="I538" s="127" t="s">
        <v>12199</v>
      </c>
      <c r="J538" s="127" t="s">
        <v>14968</v>
      </c>
      <c r="K538" s="127" t="s">
        <v>15410</v>
      </c>
      <c r="L538" s="127" t="s">
        <v>15852</v>
      </c>
      <c r="M538" s="127" t="s">
        <v>16294</v>
      </c>
      <c r="N538" s="127" t="s">
        <v>12200</v>
      </c>
    </row>
    <row r="539" spans="1:14" x14ac:dyDescent="0.35">
      <c r="A539" s="127" t="s">
        <v>6063</v>
      </c>
      <c r="C539" s="127" t="s">
        <v>3263</v>
      </c>
      <c r="D539" s="127" t="s">
        <v>12201</v>
      </c>
      <c r="I539" s="127" t="s">
        <v>12202</v>
      </c>
      <c r="J539" s="127" t="s">
        <v>14969</v>
      </c>
      <c r="K539" s="127" t="s">
        <v>15411</v>
      </c>
      <c r="L539" s="127" t="s">
        <v>15853</v>
      </c>
      <c r="M539" s="127" t="s">
        <v>16295</v>
      </c>
      <c r="N539" s="127" t="s">
        <v>12203</v>
      </c>
    </row>
    <row r="540" spans="1:14" x14ac:dyDescent="0.35">
      <c r="A540" s="127" t="s">
        <v>6063</v>
      </c>
      <c r="C540" s="127" t="s">
        <v>3263</v>
      </c>
      <c r="D540" s="127" t="s">
        <v>12204</v>
      </c>
      <c r="I540" s="127" t="s">
        <v>12205</v>
      </c>
      <c r="J540" s="127" t="s">
        <v>14970</v>
      </c>
      <c r="K540" s="127" t="s">
        <v>15412</v>
      </c>
      <c r="L540" s="127" t="s">
        <v>15854</v>
      </c>
      <c r="M540" s="127" t="s">
        <v>16296</v>
      </c>
      <c r="N540" s="127" t="s">
        <v>12206</v>
      </c>
    </row>
    <row r="541" spans="1:14" x14ac:dyDescent="0.35">
      <c r="A541" s="127" t="s">
        <v>6063</v>
      </c>
      <c r="C541" s="127" t="s">
        <v>3263</v>
      </c>
      <c r="D541" s="127" t="s">
        <v>12207</v>
      </c>
      <c r="I541" s="127" t="s">
        <v>12208</v>
      </c>
      <c r="J541" s="127" t="s">
        <v>14971</v>
      </c>
      <c r="K541" s="127" t="s">
        <v>15413</v>
      </c>
      <c r="L541" s="127" t="s">
        <v>15855</v>
      </c>
      <c r="M541" s="127" t="s">
        <v>16297</v>
      </c>
      <c r="N541" s="127" t="s">
        <v>12209</v>
      </c>
    </row>
    <row r="542" spans="1:14" x14ac:dyDescent="0.35">
      <c r="A542" s="127" t="s">
        <v>6063</v>
      </c>
      <c r="C542" s="127" t="s">
        <v>3263</v>
      </c>
      <c r="D542" s="127" t="s">
        <v>12210</v>
      </c>
      <c r="I542" s="127" t="s">
        <v>12211</v>
      </c>
      <c r="J542" s="127" t="s">
        <v>14972</v>
      </c>
      <c r="K542" s="127" t="s">
        <v>15414</v>
      </c>
      <c r="L542" s="127" t="s">
        <v>15856</v>
      </c>
      <c r="M542" s="127" t="s">
        <v>16298</v>
      </c>
      <c r="N542" s="127" t="s">
        <v>12212</v>
      </c>
    </row>
    <row r="543" spans="1:14" x14ac:dyDescent="0.35">
      <c r="A543" s="127" t="s">
        <v>6063</v>
      </c>
      <c r="C543" s="127" t="s">
        <v>3263</v>
      </c>
      <c r="D543" s="127" t="s">
        <v>12213</v>
      </c>
      <c r="I543" s="127" t="s">
        <v>12214</v>
      </c>
      <c r="J543" s="127" t="s">
        <v>14973</v>
      </c>
      <c r="K543" s="127" t="s">
        <v>15415</v>
      </c>
      <c r="L543" s="127" t="s">
        <v>15857</v>
      </c>
      <c r="M543" s="127" t="s">
        <v>16299</v>
      </c>
      <c r="N543" s="127" t="s">
        <v>12215</v>
      </c>
    </row>
    <row r="544" spans="1:14" x14ac:dyDescent="0.35">
      <c r="A544" s="127" t="s">
        <v>6063</v>
      </c>
      <c r="C544" s="127" t="s">
        <v>3263</v>
      </c>
      <c r="D544" s="127" t="s">
        <v>12216</v>
      </c>
      <c r="I544" s="127" t="s">
        <v>12217</v>
      </c>
      <c r="J544" s="127" t="s">
        <v>14974</v>
      </c>
      <c r="K544" s="127" t="s">
        <v>15416</v>
      </c>
      <c r="L544" s="127" t="s">
        <v>15858</v>
      </c>
      <c r="M544" s="127" t="s">
        <v>16300</v>
      </c>
      <c r="N544" s="127" t="s">
        <v>12218</v>
      </c>
    </row>
    <row r="545" spans="1:14" x14ac:dyDescent="0.35">
      <c r="A545" s="127" t="s">
        <v>6063</v>
      </c>
      <c r="C545" s="127" t="s">
        <v>3263</v>
      </c>
      <c r="D545" s="127" t="s">
        <v>12219</v>
      </c>
      <c r="I545" s="127" t="s">
        <v>12220</v>
      </c>
      <c r="J545" s="127" t="s">
        <v>14975</v>
      </c>
      <c r="K545" s="127" t="s">
        <v>15417</v>
      </c>
      <c r="L545" s="127" t="s">
        <v>15859</v>
      </c>
      <c r="M545" s="127" t="s">
        <v>16301</v>
      </c>
      <c r="N545" s="127" t="s">
        <v>12221</v>
      </c>
    </row>
    <row r="546" spans="1:14" x14ac:dyDescent="0.35">
      <c r="A546" s="127" t="s">
        <v>6063</v>
      </c>
      <c r="C546" s="127" t="s">
        <v>3263</v>
      </c>
      <c r="D546" s="127" t="s">
        <v>12222</v>
      </c>
      <c r="I546" s="127" t="s">
        <v>12223</v>
      </c>
      <c r="J546" s="127" t="s">
        <v>14976</v>
      </c>
      <c r="K546" s="127" t="s">
        <v>15418</v>
      </c>
      <c r="L546" s="127" t="s">
        <v>15860</v>
      </c>
      <c r="M546" s="127" t="s">
        <v>16302</v>
      </c>
      <c r="N546" s="127" t="s">
        <v>12224</v>
      </c>
    </row>
    <row r="547" spans="1:14" x14ac:dyDescent="0.35">
      <c r="A547" s="127" t="s">
        <v>6063</v>
      </c>
      <c r="C547" s="127" t="s">
        <v>3263</v>
      </c>
      <c r="D547" s="127" t="s">
        <v>12225</v>
      </c>
      <c r="I547" s="127" t="s">
        <v>12226</v>
      </c>
      <c r="J547" s="127" t="s">
        <v>14977</v>
      </c>
      <c r="K547" s="127" t="s">
        <v>15419</v>
      </c>
      <c r="L547" s="127" t="s">
        <v>15861</v>
      </c>
      <c r="M547" s="127" t="s">
        <v>16303</v>
      </c>
      <c r="N547" s="127" t="s">
        <v>12227</v>
      </c>
    </row>
    <row r="548" spans="1:14" x14ac:dyDescent="0.35">
      <c r="A548" s="127" t="s">
        <v>6063</v>
      </c>
      <c r="C548" s="127" t="s">
        <v>3263</v>
      </c>
      <c r="D548" s="127" t="s">
        <v>12228</v>
      </c>
      <c r="I548" s="127" t="s">
        <v>12229</v>
      </c>
      <c r="J548" s="127" t="s">
        <v>14978</v>
      </c>
      <c r="K548" s="127" t="s">
        <v>15420</v>
      </c>
      <c r="L548" s="127" t="s">
        <v>15862</v>
      </c>
      <c r="M548" s="127" t="s">
        <v>16304</v>
      </c>
      <c r="N548" s="127" t="s">
        <v>12230</v>
      </c>
    </row>
    <row r="549" spans="1:14" x14ac:dyDescent="0.35">
      <c r="A549" s="127" t="s">
        <v>6063</v>
      </c>
      <c r="C549" s="127" t="s">
        <v>3263</v>
      </c>
      <c r="D549" s="127" t="s">
        <v>12231</v>
      </c>
      <c r="I549" s="127" t="s">
        <v>12232</v>
      </c>
      <c r="J549" s="127" t="s">
        <v>14979</v>
      </c>
      <c r="K549" s="127" t="s">
        <v>15421</v>
      </c>
      <c r="L549" s="127" t="s">
        <v>15863</v>
      </c>
      <c r="M549" s="127" t="s">
        <v>16305</v>
      </c>
      <c r="N549" s="127" t="s">
        <v>12233</v>
      </c>
    </row>
    <row r="550" spans="1:14" x14ac:dyDescent="0.35">
      <c r="A550" s="127" t="s">
        <v>6063</v>
      </c>
      <c r="C550" s="127" t="s">
        <v>3263</v>
      </c>
      <c r="D550" s="127" t="s">
        <v>12234</v>
      </c>
      <c r="I550" s="127" t="s">
        <v>12235</v>
      </c>
      <c r="J550" s="127" t="s">
        <v>14980</v>
      </c>
      <c r="K550" s="127" t="s">
        <v>15422</v>
      </c>
      <c r="L550" s="127" t="s">
        <v>15864</v>
      </c>
      <c r="M550" s="127" t="s">
        <v>16306</v>
      </c>
      <c r="N550" s="127" t="s">
        <v>12236</v>
      </c>
    </row>
    <row r="551" spans="1:14" x14ac:dyDescent="0.35">
      <c r="A551" s="127" t="s">
        <v>6063</v>
      </c>
      <c r="C551" s="127" t="s">
        <v>3263</v>
      </c>
      <c r="D551" s="127" t="s">
        <v>12237</v>
      </c>
      <c r="I551" s="127" t="s">
        <v>12238</v>
      </c>
      <c r="J551" s="127" t="s">
        <v>14981</v>
      </c>
      <c r="K551" s="127" t="s">
        <v>15423</v>
      </c>
      <c r="L551" s="127" t="s">
        <v>15865</v>
      </c>
      <c r="M551" s="127" t="s">
        <v>16307</v>
      </c>
      <c r="N551" s="127" t="s">
        <v>12239</v>
      </c>
    </row>
    <row r="552" spans="1:14" x14ac:dyDescent="0.35">
      <c r="A552" s="127" t="s">
        <v>6063</v>
      </c>
      <c r="C552" s="127" t="s">
        <v>3263</v>
      </c>
      <c r="D552" s="127" t="s">
        <v>12240</v>
      </c>
      <c r="I552" s="127" t="s">
        <v>12241</v>
      </c>
      <c r="J552" s="127" t="s">
        <v>14982</v>
      </c>
      <c r="K552" s="127" t="s">
        <v>15424</v>
      </c>
      <c r="L552" s="127" t="s">
        <v>15866</v>
      </c>
      <c r="M552" s="127" t="s">
        <v>16308</v>
      </c>
      <c r="N552" s="127" t="s">
        <v>12242</v>
      </c>
    </row>
    <row r="553" spans="1:14" x14ac:dyDescent="0.35">
      <c r="A553" s="127" t="s">
        <v>6063</v>
      </c>
      <c r="C553" s="127" t="s">
        <v>3263</v>
      </c>
      <c r="D553" s="127" t="s">
        <v>12243</v>
      </c>
      <c r="I553" s="127" t="s">
        <v>12244</v>
      </c>
      <c r="J553" s="127" t="s">
        <v>14983</v>
      </c>
      <c r="K553" s="127" t="s">
        <v>15425</v>
      </c>
      <c r="L553" s="127" t="s">
        <v>15867</v>
      </c>
      <c r="M553" s="127" t="s">
        <v>16309</v>
      </c>
      <c r="N553" s="127" t="s">
        <v>12245</v>
      </c>
    </row>
    <row r="554" spans="1:14" x14ac:dyDescent="0.35">
      <c r="A554" s="127" t="s">
        <v>6063</v>
      </c>
      <c r="C554" s="127" t="s">
        <v>3263</v>
      </c>
      <c r="D554" s="127" t="s">
        <v>12246</v>
      </c>
      <c r="I554" s="127" t="s">
        <v>12247</v>
      </c>
      <c r="J554" s="127" t="s">
        <v>14984</v>
      </c>
      <c r="K554" s="127" t="s">
        <v>15426</v>
      </c>
      <c r="L554" s="127" t="s">
        <v>15868</v>
      </c>
      <c r="M554" s="127" t="s">
        <v>16310</v>
      </c>
      <c r="N554" s="127" t="s">
        <v>12248</v>
      </c>
    </row>
    <row r="555" spans="1:14" x14ac:dyDescent="0.35">
      <c r="A555" s="127" t="s">
        <v>6063</v>
      </c>
      <c r="C555" s="127" t="s">
        <v>3263</v>
      </c>
      <c r="D555" s="127" t="s">
        <v>12249</v>
      </c>
      <c r="I555" s="127" t="s">
        <v>12250</v>
      </c>
      <c r="J555" s="127" t="s">
        <v>14985</v>
      </c>
      <c r="K555" s="127" t="s">
        <v>15427</v>
      </c>
      <c r="L555" s="127" t="s">
        <v>15869</v>
      </c>
      <c r="M555" s="127" t="s">
        <v>16311</v>
      </c>
      <c r="N555" s="127" t="s">
        <v>12251</v>
      </c>
    </row>
    <row r="556" spans="1:14" x14ac:dyDescent="0.35">
      <c r="A556" s="127" t="s">
        <v>6063</v>
      </c>
      <c r="C556" s="127" t="s">
        <v>3263</v>
      </c>
      <c r="D556" s="127" t="s">
        <v>12252</v>
      </c>
      <c r="I556" s="127" t="s">
        <v>12253</v>
      </c>
      <c r="J556" s="127" t="s">
        <v>14986</v>
      </c>
      <c r="K556" s="127" t="s">
        <v>15428</v>
      </c>
      <c r="L556" s="127" t="s">
        <v>15870</v>
      </c>
      <c r="M556" s="127" t="s">
        <v>16312</v>
      </c>
      <c r="N556" s="127" t="s">
        <v>12254</v>
      </c>
    </row>
    <row r="557" spans="1:14" x14ac:dyDescent="0.35">
      <c r="A557" s="127" t="s">
        <v>6063</v>
      </c>
      <c r="C557" s="127" t="s">
        <v>3263</v>
      </c>
      <c r="D557" s="127" t="s">
        <v>12255</v>
      </c>
      <c r="I557" s="127" t="s">
        <v>12256</v>
      </c>
      <c r="J557" s="127" t="s">
        <v>14987</v>
      </c>
      <c r="K557" s="127" t="s">
        <v>15429</v>
      </c>
      <c r="L557" s="127" t="s">
        <v>15871</v>
      </c>
      <c r="M557" s="127" t="s">
        <v>16313</v>
      </c>
      <c r="N557" s="127" t="s">
        <v>12257</v>
      </c>
    </row>
    <row r="558" spans="1:14" x14ac:dyDescent="0.35">
      <c r="A558" s="127" t="s">
        <v>6063</v>
      </c>
      <c r="C558" s="127" t="s">
        <v>3263</v>
      </c>
      <c r="D558" s="127" t="s">
        <v>12258</v>
      </c>
      <c r="I558" s="127" t="s">
        <v>12259</v>
      </c>
      <c r="J558" s="127" t="s">
        <v>14988</v>
      </c>
      <c r="K558" s="127" t="s">
        <v>15430</v>
      </c>
      <c r="L558" s="127" t="s">
        <v>15872</v>
      </c>
      <c r="M558" s="127" t="s">
        <v>16314</v>
      </c>
      <c r="N558" s="127" t="s">
        <v>12260</v>
      </c>
    </row>
    <row r="559" spans="1:14" x14ac:dyDescent="0.35">
      <c r="A559" s="127" t="s">
        <v>6063</v>
      </c>
      <c r="C559" s="127" t="s">
        <v>3263</v>
      </c>
      <c r="D559" s="127" t="s">
        <v>12261</v>
      </c>
      <c r="I559" s="127" t="s">
        <v>12262</v>
      </c>
      <c r="J559" s="127" t="s">
        <v>14989</v>
      </c>
      <c r="K559" s="127" t="s">
        <v>15431</v>
      </c>
      <c r="L559" s="127" t="s">
        <v>15873</v>
      </c>
      <c r="M559" s="127" t="s">
        <v>16315</v>
      </c>
      <c r="N559" s="127" t="s">
        <v>12263</v>
      </c>
    </row>
    <row r="560" spans="1:14" x14ac:dyDescent="0.35">
      <c r="A560" s="127" t="s">
        <v>6063</v>
      </c>
      <c r="C560" s="127" t="s">
        <v>3263</v>
      </c>
      <c r="D560" s="127" t="s">
        <v>12264</v>
      </c>
      <c r="I560" s="127" t="s">
        <v>12265</v>
      </c>
      <c r="J560" s="127" t="s">
        <v>14990</v>
      </c>
      <c r="K560" s="127" t="s">
        <v>15432</v>
      </c>
      <c r="L560" s="127" t="s">
        <v>15874</v>
      </c>
      <c r="M560" s="127" t="s">
        <v>16316</v>
      </c>
      <c r="N560" s="127" t="s">
        <v>12266</v>
      </c>
    </row>
    <row r="561" spans="1:14" x14ac:dyDescent="0.35">
      <c r="A561" s="127" t="s">
        <v>6063</v>
      </c>
      <c r="C561" s="127" t="s">
        <v>3263</v>
      </c>
      <c r="D561" s="127" t="s">
        <v>12267</v>
      </c>
      <c r="I561" s="127" t="s">
        <v>12268</v>
      </c>
      <c r="J561" s="127" t="s">
        <v>14991</v>
      </c>
      <c r="K561" s="127" t="s">
        <v>15433</v>
      </c>
      <c r="L561" s="127" t="s">
        <v>15875</v>
      </c>
      <c r="M561" s="127" t="s">
        <v>16317</v>
      </c>
      <c r="N561" s="127" t="s">
        <v>12269</v>
      </c>
    </row>
    <row r="562" spans="1:14" x14ac:dyDescent="0.35">
      <c r="A562" s="127" t="s">
        <v>6063</v>
      </c>
      <c r="C562" s="127" t="s">
        <v>3263</v>
      </c>
      <c r="D562" s="127" t="s">
        <v>12270</v>
      </c>
      <c r="I562" s="127" t="s">
        <v>12271</v>
      </c>
      <c r="J562" s="127" t="s">
        <v>14992</v>
      </c>
      <c r="K562" s="127" t="s">
        <v>15434</v>
      </c>
      <c r="L562" s="127" t="s">
        <v>15876</v>
      </c>
      <c r="M562" s="127" t="s">
        <v>16318</v>
      </c>
      <c r="N562" s="127" t="s">
        <v>12272</v>
      </c>
    </row>
    <row r="563" spans="1:14" x14ac:dyDescent="0.35">
      <c r="A563" s="127" t="s">
        <v>6063</v>
      </c>
      <c r="C563" s="127" t="s">
        <v>3263</v>
      </c>
      <c r="D563" s="127" t="s">
        <v>12273</v>
      </c>
      <c r="I563" s="127" t="s">
        <v>12274</v>
      </c>
      <c r="J563" s="127" t="s">
        <v>14993</v>
      </c>
      <c r="K563" s="127" t="s">
        <v>15435</v>
      </c>
      <c r="L563" s="127" t="s">
        <v>15877</v>
      </c>
      <c r="M563" s="127" t="s">
        <v>16319</v>
      </c>
      <c r="N563" s="127" t="s">
        <v>12275</v>
      </c>
    </row>
    <row r="564" spans="1:14" x14ac:dyDescent="0.35">
      <c r="A564" s="127" t="s">
        <v>6063</v>
      </c>
      <c r="C564" s="127" t="s">
        <v>3263</v>
      </c>
      <c r="D564" s="127" t="s">
        <v>12276</v>
      </c>
      <c r="I564" s="127" t="s">
        <v>12277</v>
      </c>
      <c r="J564" s="127" t="s">
        <v>14994</v>
      </c>
      <c r="K564" s="127" t="s">
        <v>15436</v>
      </c>
      <c r="L564" s="127" t="s">
        <v>15878</v>
      </c>
      <c r="M564" s="127" t="s">
        <v>16320</v>
      </c>
      <c r="N564" s="127" t="s">
        <v>12278</v>
      </c>
    </row>
    <row r="565" spans="1:14" x14ac:dyDescent="0.35">
      <c r="A565" s="127" t="s">
        <v>6063</v>
      </c>
      <c r="C565" s="127" t="s">
        <v>3263</v>
      </c>
      <c r="D565" s="127" t="s">
        <v>12279</v>
      </c>
      <c r="I565" s="127" t="s">
        <v>12280</v>
      </c>
      <c r="J565" s="127" t="s">
        <v>14995</v>
      </c>
      <c r="K565" s="127" t="s">
        <v>15437</v>
      </c>
      <c r="L565" s="127" t="s">
        <v>15879</v>
      </c>
      <c r="M565" s="127" t="s">
        <v>16321</v>
      </c>
      <c r="N565" s="127" t="s">
        <v>12281</v>
      </c>
    </row>
    <row r="566" spans="1:14" x14ac:dyDescent="0.35">
      <c r="A566" s="127" t="s">
        <v>6063</v>
      </c>
      <c r="C566" s="127" t="s">
        <v>3263</v>
      </c>
      <c r="D566" s="127" t="s">
        <v>12282</v>
      </c>
      <c r="I566" s="127" t="s">
        <v>12283</v>
      </c>
      <c r="J566" s="127" t="s">
        <v>14996</v>
      </c>
      <c r="K566" s="127" t="s">
        <v>15438</v>
      </c>
      <c r="L566" s="127" t="s">
        <v>15880</v>
      </c>
      <c r="M566" s="127" t="s">
        <v>16322</v>
      </c>
      <c r="N566" s="127" t="s">
        <v>12284</v>
      </c>
    </row>
    <row r="567" spans="1:14" x14ac:dyDescent="0.35">
      <c r="A567" s="127" t="s">
        <v>6063</v>
      </c>
      <c r="C567" s="127" t="s">
        <v>3263</v>
      </c>
      <c r="D567" s="127" t="s">
        <v>12285</v>
      </c>
      <c r="I567" s="127" t="s">
        <v>12286</v>
      </c>
      <c r="J567" s="127" t="s">
        <v>14997</v>
      </c>
      <c r="K567" s="127" t="s">
        <v>15439</v>
      </c>
      <c r="L567" s="127" t="s">
        <v>15881</v>
      </c>
      <c r="M567" s="127" t="s">
        <v>16323</v>
      </c>
      <c r="N567" s="127" t="s">
        <v>12287</v>
      </c>
    </row>
    <row r="568" spans="1:14" x14ac:dyDescent="0.35">
      <c r="A568" s="127" t="s">
        <v>6063</v>
      </c>
      <c r="C568" s="127" t="s">
        <v>3263</v>
      </c>
      <c r="D568" s="127" t="s">
        <v>12288</v>
      </c>
      <c r="I568" s="127" t="s">
        <v>12289</v>
      </c>
      <c r="J568" s="127" t="s">
        <v>14998</v>
      </c>
      <c r="K568" s="127" t="s">
        <v>15440</v>
      </c>
      <c r="L568" s="127" t="s">
        <v>15882</v>
      </c>
      <c r="M568" s="127" t="s">
        <v>16324</v>
      </c>
      <c r="N568" s="127" t="s">
        <v>12290</v>
      </c>
    </row>
    <row r="569" spans="1:14" x14ac:dyDescent="0.35">
      <c r="A569" s="127" t="s">
        <v>6063</v>
      </c>
      <c r="C569" s="127" t="s">
        <v>3263</v>
      </c>
      <c r="D569" s="127" t="s">
        <v>12291</v>
      </c>
      <c r="I569" s="127" t="s">
        <v>12292</v>
      </c>
      <c r="J569" s="127" t="s">
        <v>14999</v>
      </c>
      <c r="K569" s="127" t="s">
        <v>15441</v>
      </c>
      <c r="L569" s="127" t="s">
        <v>15883</v>
      </c>
      <c r="M569" s="127" t="s">
        <v>16325</v>
      </c>
      <c r="N569" s="127" t="s">
        <v>12293</v>
      </c>
    </row>
    <row r="570" spans="1:14" x14ac:dyDescent="0.35">
      <c r="A570" s="127" t="s">
        <v>6063</v>
      </c>
      <c r="C570" s="127" t="s">
        <v>3263</v>
      </c>
      <c r="D570" s="127" t="s">
        <v>12294</v>
      </c>
      <c r="I570" s="127" t="s">
        <v>12295</v>
      </c>
      <c r="J570" s="127" t="s">
        <v>15000</v>
      </c>
      <c r="K570" s="127" t="s">
        <v>15442</v>
      </c>
      <c r="L570" s="127" t="s">
        <v>15884</v>
      </c>
      <c r="M570" s="127" t="s">
        <v>16326</v>
      </c>
      <c r="N570" s="127" t="s">
        <v>12296</v>
      </c>
    </row>
    <row r="571" spans="1:14" x14ac:dyDescent="0.35">
      <c r="A571" s="127" t="s">
        <v>6063</v>
      </c>
      <c r="C571" s="127" t="s">
        <v>3263</v>
      </c>
      <c r="D571" s="127" t="s">
        <v>12297</v>
      </c>
      <c r="I571" s="127" t="s">
        <v>12298</v>
      </c>
      <c r="J571" s="127" t="s">
        <v>15001</v>
      </c>
      <c r="K571" s="127" t="s">
        <v>15443</v>
      </c>
      <c r="L571" s="127" t="s">
        <v>15885</v>
      </c>
      <c r="M571" s="127" t="s">
        <v>16327</v>
      </c>
      <c r="N571" s="127" t="s">
        <v>12299</v>
      </c>
    </row>
    <row r="572" spans="1:14" x14ac:dyDescent="0.35">
      <c r="A572" s="127" t="s">
        <v>6063</v>
      </c>
      <c r="C572" s="127" t="s">
        <v>3263</v>
      </c>
      <c r="D572" s="127" t="s">
        <v>12300</v>
      </c>
      <c r="I572" s="127" t="s">
        <v>12301</v>
      </c>
      <c r="J572" s="127" t="s">
        <v>15002</v>
      </c>
      <c r="K572" s="127" t="s">
        <v>15444</v>
      </c>
      <c r="L572" s="127" t="s">
        <v>15886</v>
      </c>
      <c r="M572" s="127" t="s">
        <v>16328</v>
      </c>
      <c r="N572" s="127" t="s">
        <v>12302</v>
      </c>
    </row>
    <row r="573" spans="1:14" x14ac:dyDescent="0.35">
      <c r="A573" s="127" t="s">
        <v>6063</v>
      </c>
      <c r="C573" s="127" t="s">
        <v>3263</v>
      </c>
      <c r="D573" s="127" t="s">
        <v>12303</v>
      </c>
      <c r="I573" s="127" t="s">
        <v>12304</v>
      </c>
      <c r="J573" s="127" t="s">
        <v>15003</v>
      </c>
      <c r="K573" s="127" t="s">
        <v>15445</v>
      </c>
      <c r="L573" s="127" t="s">
        <v>15887</v>
      </c>
      <c r="M573" s="127" t="s">
        <v>16329</v>
      </c>
      <c r="N573" s="127" t="s">
        <v>12305</v>
      </c>
    </row>
    <row r="574" spans="1:14" x14ac:dyDescent="0.35">
      <c r="A574" s="127" t="s">
        <v>6063</v>
      </c>
      <c r="C574" s="127" t="s">
        <v>3263</v>
      </c>
      <c r="D574" s="127" t="s">
        <v>12306</v>
      </c>
      <c r="I574" s="127" t="s">
        <v>12307</v>
      </c>
      <c r="J574" s="127" t="s">
        <v>15004</v>
      </c>
      <c r="K574" s="127" t="s">
        <v>15446</v>
      </c>
      <c r="L574" s="127" t="s">
        <v>15888</v>
      </c>
      <c r="M574" s="127" t="s">
        <v>16330</v>
      </c>
      <c r="N574" s="127" t="s">
        <v>12308</v>
      </c>
    </row>
    <row r="575" spans="1:14" x14ac:dyDescent="0.35">
      <c r="A575" s="127" t="s">
        <v>6063</v>
      </c>
      <c r="C575" s="127" t="s">
        <v>3263</v>
      </c>
      <c r="D575" s="127" t="s">
        <v>12309</v>
      </c>
      <c r="I575" s="127" t="s">
        <v>12310</v>
      </c>
      <c r="J575" s="127" t="s">
        <v>15005</v>
      </c>
      <c r="K575" s="127" t="s">
        <v>15447</v>
      </c>
      <c r="L575" s="127" t="s">
        <v>15889</v>
      </c>
      <c r="M575" s="127" t="s">
        <v>16331</v>
      </c>
      <c r="N575" s="127" t="s">
        <v>12311</v>
      </c>
    </row>
    <row r="576" spans="1:14" x14ac:dyDescent="0.35">
      <c r="A576" s="127" t="s">
        <v>6063</v>
      </c>
      <c r="C576" s="127" t="s">
        <v>3263</v>
      </c>
      <c r="D576" s="127" t="s">
        <v>12312</v>
      </c>
      <c r="I576" s="127" t="s">
        <v>12313</v>
      </c>
      <c r="J576" s="127" t="s">
        <v>15006</v>
      </c>
      <c r="K576" s="127" t="s">
        <v>15448</v>
      </c>
      <c r="L576" s="127" t="s">
        <v>15890</v>
      </c>
      <c r="M576" s="127" t="s">
        <v>16332</v>
      </c>
      <c r="N576" s="127" t="s">
        <v>12314</v>
      </c>
    </row>
    <row r="577" spans="1:14" x14ac:dyDescent="0.35">
      <c r="A577" s="127" t="s">
        <v>6063</v>
      </c>
      <c r="C577" s="127" t="s">
        <v>3263</v>
      </c>
      <c r="D577" s="127" t="s">
        <v>12315</v>
      </c>
      <c r="I577" s="127" t="s">
        <v>12316</v>
      </c>
      <c r="J577" s="127" t="s">
        <v>15007</v>
      </c>
      <c r="K577" s="127" t="s">
        <v>15449</v>
      </c>
      <c r="L577" s="127" t="s">
        <v>15891</v>
      </c>
      <c r="M577" s="127" t="s">
        <v>16333</v>
      </c>
      <c r="N577" s="127" t="s">
        <v>12317</v>
      </c>
    </row>
    <row r="578" spans="1:14" x14ac:dyDescent="0.35">
      <c r="A578" s="127" t="s">
        <v>6063</v>
      </c>
      <c r="C578" s="127" t="s">
        <v>3263</v>
      </c>
      <c r="D578" s="127" t="s">
        <v>12318</v>
      </c>
      <c r="I578" s="127" t="s">
        <v>12319</v>
      </c>
      <c r="J578" s="127" t="s">
        <v>15008</v>
      </c>
      <c r="K578" s="127" t="s">
        <v>15450</v>
      </c>
      <c r="L578" s="127" t="s">
        <v>15892</v>
      </c>
      <c r="M578" s="127" t="s">
        <v>16334</v>
      </c>
      <c r="N578" s="127" t="s">
        <v>12320</v>
      </c>
    </row>
    <row r="579" spans="1:14" x14ac:dyDescent="0.35">
      <c r="A579" s="127" t="s">
        <v>6063</v>
      </c>
      <c r="C579" s="127" t="s">
        <v>3263</v>
      </c>
      <c r="D579" s="127" t="s">
        <v>12321</v>
      </c>
      <c r="I579" s="127" t="s">
        <v>12322</v>
      </c>
      <c r="J579" s="127" t="s">
        <v>15009</v>
      </c>
      <c r="K579" s="127" t="s">
        <v>15451</v>
      </c>
      <c r="L579" s="127" t="s">
        <v>15893</v>
      </c>
      <c r="M579" s="127" t="s">
        <v>16335</v>
      </c>
      <c r="N579" s="127" t="s">
        <v>12323</v>
      </c>
    </row>
    <row r="580" spans="1:14" x14ac:dyDescent="0.35">
      <c r="A580" s="127" t="s">
        <v>6063</v>
      </c>
      <c r="C580" s="127" t="s">
        <v>3263</v>
      </c>
      <c r="D580" s="127" t="s">
        <v>12324</v>
      </c>
      <c r="I580" s="127" t="s">
        <v>12325</v>
      </c>
      <c r="J580" s="127" t="s">
        <v>15010</v>
      </c>
      <c r="K580" s="127" t="s">
        <v>15452</v>
      </c>
      <c r="L580" s="127" t="s">
        <v>15894</v>
      </c>
      <c r="M580" s="127" t="s">
        <v>16336</v>
      </c>
      <c r="N580" s="127" t="s">
        <v>12326</v>
      </c>
    </row>
    <row r="581" spans="1:14" x14ac:dyDescent="0.35">
      <c r="A581" s="127" t="s">
        <v>6063</v>
      </c>
      <c r="C581" s="127" t="s">
        <v>3263</v>
      </c>
      <c r="D581" s="127" t="s">
        <v>12327</v>
      </c>
      <c r="I581" s="127" t="s">
        <v>12328</v>
      </c>
      <c r="J581" s="127" t="s">
        <v>15011</v>
      </c>
      <c r="K581" s="127" t="s">
        <v>15453</v>
      </c>
      <c r="L581" s="127" t="s">
        <v>15895</v>
      </c>
      <c r="M581" s="127" t="s">
        <v>16337</v>
      </c>
      <c r="N581" s="127" t="s">
        <v>12329</v>
      </c>
    </row>
    <row r="582" spans="1:14" x14ac:dyDescent="0.35">
      <c r="A582" s="127" t="s">
        <v>6063</v>
      </c>
      <c r="C582" s="127" t="s">
        <v>3263</v>
      </c>
      <c r="D582" s="127" t="s">
        <v>12330</v>
      </c>
      <c r="I582" s="127" t="s">
        <v>12331</v>
      </c>
      <c r="J582" s="127" t="s">
        <v>15012</v>
      </c>
      <c r="K582" s="127" t="s">
        <v>15454</v>
      </c>
      <c r="L582" s="127" t="s">
        <v>15896</v>
      </c>
      <c r="M582" s="127" t="s">
        <v>16338</v>
      </c>
      <c r="N582" s="127" t="s">
        <v>12332</v>
      </c>
    </row>
    <row r="583" spans="1:14" x14ac:dyDescent="0.35">
      <c r="A583" s="127" t="s">
        <v>6063</v>
      </c>
      <c r="C583" s="127" t="s">
        <v>3263</v>
      </c>
      <c r="D583" s="127" t="s">
        <v>12333</v>
      </c>
      <c r="I583" s="127" t="s">
        <v>12334</v>
      </c>
      <c r="J583" s="127" t="s">
        <v>15013</v>
      </c>
      <c r="K583" s="127" t="s">
        <v>15455</v>
      </c>
      <c r="L583" s="127" t="s">
        <v>15897</v>
      </c>
      <c r="M583" s="127" t="s">
        <v>16339</v>
      </c>
      <c r="N583" s="127" t="s">
        <v>12335</v>
      </c>
    </row>
    <row r="584" spans="1:14" x14ac:dyDescent="0.35">
      <c r="A584" s="127" t="s">
        <v>6063</v>
      </c>
      <c r="C584" s="127" t="s">
        <v>3263</v>
      </c>
      <c r="D584" s="127" t="s">
        <v>12336</v>
      </c>
      <c r="I584" s="127" t="s">
        <v>12337</v>
      </c>
      <c r="J584" s="127" t="s">
        <v>15014</v>
      </c>
      <c r="K584" s="127" t="s">
        <v>15456</v>
      </c>
      <c r="L584" s="127" t="s">
        <v>15898</v>
      </c>
      <c r="M584" s="127" t="s">
        <v>16340</v>
      </c>
      <c r="N584" s="127" t="s">
        <v>12338</v>
      </c>
    </row>
    <row r="585" spans="1:14" x14ac:dyDescent="0.35">
      <c r="A585" s="127" t="s">
        <v>6063</v>
      </c>
      <c r="C585" s="127" t="s">
        <v>3263</v>
      </c>
      <c r="D585" s="127" t="s">
        <v>12339</v>
      </c>
      <c r="I585" s="127" t="s">
        <v>12340</v>
      </c>
      <c r="J585" s="127" t="s">
        <v>15015</v>
      </c>
      <c r="K585" s="127" t="s">
        <v>15457</v>
      </c>
      <c r="L585" s="127" t="s">
        <v>15899</v>
      </c>
      <c r="M585" s="127" t="s">
        <v>16341</v>
      </c>
      <c r="N585" s="127" t="s">
        <v>12341</v>
      </c>
    </row>
    <row r="586" spans="1:14" x14ac:dyDescent="0.35">
      <c r="A586" s="127" t="s">
        <v>6063</v>
      </c>
      <c r="C586" s="127" t="s">
        <v>3263</v>
      </c>
      <c r="D586" s="127" t="s">
        <v>12342</v>
      </c>
      <c r="I586" s="127" t="s">
        <v>12343</v>
      </c>
      <c r="J586" s="127" t="s">
        <v>15016</v>
      </c>
      <c r="K586" s="127" t="s">
        <v>15458</v>
      </c>
      <c r="L586" s="127" t="s">
        <v>15900</v>
      </c>
      <c r="M586" s="127" t="s">
        <v>16342</v>
      </c>
      <c r="N586" s="127" t="s">
        <v>12344</v>
      </c>
    </row>
    <row r="587" spans="1:14" x14ac:dyDescent="0.35">
      <c r="A587" s="127" t="s">
        <v>6063</v>
      </c>
      <c r="C587" s="127" t="s">
        <v>3263</v>
      </c>
      <c r="D587" s="127" t="s">
        <v>12345</v>
      </c>
      <c r="I587" s="127" t="s">
        <v>12346</v>
      </c>
      <c r="J587" s="127" t="s">
        <v>15017</v>
      </c>
      <c r="K587" s="127" t="s">
        <v>15459</v>
      </c>
      <c r="L587" s="127" t="s">
        <v>15901</v>
      </c>
      <c r="M587" s="127" t="s">
        <v>16343</v>
      </c>
      <c r="N587" s="127" t="s">
        <v>12347</v>
      </c>
    </row>
    <row r="588" spans="1:14" x14ac:dyDescent="0.35">
      <c r="A588" s="127" t="s">
        <v>6063</v>
      </c>
      <c r="C588" s="127" t="s">
        <v>3263</v>
      </c>
      <c r="D588" s="127" t="s">
        <v>12348</v>
      </c>
      <c r="I588" s="127" t="s">
        <v>12349</v>
      </c>
      <c r="J588" s="127" t="s">
        <v>15018</v>
      </c>
      <c r="K588" s="127" t="s">
        <v>15460</v>
      </c>
      <c r="L588" s="127" t="s">
        <v>15902</v>
      </c>
      <c r="M588" s="127" t="s">
        <v>16344</v>
      </c>
      <c r="N588" s="127" t="s">
        <v>12350</v>
      </c>
    </row>
    <row r="589" spans="1:14" x14ac:dyDescent="0.35">
      <c r="A589" s="127" t="s">
        <v>6063</v>
      </c>
      <c r="C589" s="127" t="s">
        <v>3263</v>
      </c>
      <c r="D589" s="127" t="s">
        <v>12351</v>
      </c>
      <c r="I589" s="127" t="s">
        <v>12352</v>
      </c>
      <c r="J589" s="127" t="s">
        <v>15019</v>
      </c>
      <c r="K589" s="127" t="s">
        <v>15461</v>
      </c>
      <c r="L589" s="127" t="s">
        <v>15903</v>
      </c>
      <c r="M589" s="127" t="s">
        <v>16345</v>
      </c>
      <c r="N589" s="127" t="s">
        <v>12353</v>
      </c>
    </row>
    <row r="590" spans="1:14" x14ac:dyDescent="0.35">
      <c r="A590" s="127" t="s">
        <v>6063</v>
      </c>
      <c r="C590" s="127" t="s">
        <v>3263</v>
      </c>
      <c r="D590" s="127" t="s">
        <v>12354</v>
      </c>
      <c r="I590" s="127" t="s">
        <v>12355</v>
      </c>
      <c r="J590" s="127" t="s">
        <v>15020</v>
      </c>
      <c r="K590" s="127" t="s">
        <v>15462</v>
      </c>
      <c r="L590" s="127" t="s">
        <v>15904</v>
      </c>
      <c r="M590" s="127" t="s">
        <v>16346</v>
      </c>
      <c r="N590" s="127" t="s">
        <v>12356</v>
      </c>
    </row>
    <row r="591" spans="1:14" x14ac:dyDescent="0.35">
      <c r="A591" s="127" t="s">
        <v>6063</v>
      </c>
      <c r="C591" s="127" t="s">
        <v>3263</v>
      </c>
      <c r="D591" s="127" t="s">
        <v>12357</v>
      </c>
      <c r="I591" s="127" t="s">
        <v>12358</v>
      </c>
      <c r="J591" s="127" t="s">
        <v>15021</v>
      </c>
      <c r="K591" s="127" t="s">
        <v>15463</v>
      </c>
      <c r="L591" s="127" t="s">
        <v>15905</v>
      </c>
      <c r="M591" s="127" t="s">
        <v>16347</v>
      </c>
      <c r="N591" s="127" t="s">
        <v>12359</v>
      </c>
    </row>
    <row r="592" spans="1:14" x14ac:dyDescent="0.35">
      <c r="A592" s="127" t="s">
        <v>6063</v>
      </c>
      <c r="C592" s="127" t="s">
        <v>3263</v>
      </c>
      <c r="D592" s="127" t="s">
        <v>12360</v>
      </c>
      <c r="I592" s="127" t="s">
        <v>12361</v>
      </c>
      <c r="J592" s="127" t="s">
        <v>15022</v>
      </c>
      <c r="K592" s="127" t="s">
        <v>15464</v>
      </c>
      <c r="L592" s="127" t="s">
        <v>15906</v>
      </c>
      <c r="M592" s="127" t="s">
        <v>16348</v>
      </c>
      <c r="N592" s="127" t="s">
        <v>12362</v>
      </c>
    </row>
    <row r="593" spans="1:14" x14ac:dyDescent="0.35">
      <c r="A593" s="127" t="s">
        <v>6063</v>
      </c>
      <c r="C593" s="127" t="s">
        <v>3263</v>
      </c>
      <c r="D593" s="127" t="s">
        <v>12363</v>
      </c>
      <c r="I593" s="127" t="s">
        <v>12364</v>
      </c>
      <c r="J593" s="127" t="s">
        <v>15023</v>
      </c>
      <c r="K593" s="127" t="s">
        <v>15465</v>
      </c>
      <c r="L593" s="127" t="s">
        <v>15907</v>
      </c>
      <c r="M593" s="127" t="s">
        <v>16349</v>
      </c>
      <c r="N593" s="127" t="s">
        <v>12365</v>
      </c>
    </row>
    <row r="594" spans="1:14" x14ac:dyDescent="0.35">
      <c r="A594" s="127" t="s">
        <v>6063</v>
      </c>
      <c r="C594" s="127" t="s">
        <v>3263</v>
      </c>
      <c r="D594" s="127" t="s">
        <v>12366</v>
      </c>
      <c r="I594" s="127" t="s">
        <v>12367</v>
      </c>
      <c r="J594" s="127" t="s">
        <v>15024</v>
      </c>
      <c r="K594" s="127" t="s">
        <v>15466</v>
      </c>
      <c r="L594" s="127" t="s">
        <v>15908</v>
      </c>
      <c r="M594" s="127" t="s">
        <v>16350</v>
      </c>
      <c r="N594" s="127" t="s">
        <v>12368</v>
      </c>
    </row>
    <row r="595" spans="1:14" x14ac:dyDescent="0.35">
      <c r="A595" s="127" t="s">
        <v>6063</v>
      </c>
      <c r="C595" s="127" t="s">
        <v>3263</v>
      </c>
      <c r="D595" s="127" t="s">
        <v>12369</v>
      </c>
      <c r="I595" s="127" t="s">
        <v>12370</v>
      </c>
      <c r="J595" s="127" t="s">
        <v>15025</v>
      </c>
      <c r="K595" s="127" t="s">
        <v>15467</v>
      </c>
      <c r="L595" s="127" t="s">
        <v>15909</v>
      </c>
      <c r="M595" s="127" t="s">
        <v>16351</v>
      </c>
      <c r="N595" s="127" t="s">
        <v>12371</v>
      </c>
    </row>
    <row r="596" spans="1:14" x14ac:dyDescent="0.35">
      <c r="A596" s="127" t="s">
        <v>6063</v>
      </c>
      <c r="C596" s="127" t="s">
        <v>3263</v>
      </c>
      <c r="D596" s="127" t="s">
        <v>12372</v>
      </c>
      <c r="I596" s="127" t="s">
        <v>12373</v>
      </c>
      <c r="J596" s="127" t="s">
        <v>15026</v>
      </c>
      <c r="K596" s="127" t="s">
        <v>15468</v>
      </c>
      <c r="L596" s="127" t="s">
        <v>15910</v>
      </c>
      <c r="M596" s="127" t="s">
        <v>16352</v>
      </c>
      <c r="N596" s="127" t="s">
        <v>12374</v>
      </c>
    </row>
    <row r="597" spans="1:14" x14ac:dyDescent="0.35">
      <c r="A597" s="127" t="s">
        <v>6063</v>
      </c>
      <c r="C597" s="127" t="s">
        <v>3263</v>
      </c>
      <c r="D597" s="127" t="s">
        <v>12375</v>
      </c>
      <c r="I597" s="127" t="s">
        <v>12376</v>
      </c>
      <c r="J597" s="127" t="s">
        <v>15027</v>
      </c>
      <c r="K597" s="127" t="s">
        <v>15469</v>
      </c>
      <c r="L597" s="127" t="s">
        <v>15911</v>
      </c>
      <c r="M597" s="127" t="s">
        <v>16353</v>
      </c>
      <c r="N597" s="127" t="s">
        <v>12377</v>
      </c>
    </row>
    <row r="598" spans="1:14" x14ac:dyDescent="0.35">
      <c r="A598" s="127" t="s">
        <v>6063</v>
      </c>
      <c r="C598" s="127" t="s">
        <v>3263</v>
      </c>
      <c r="D598" s="127" t="s">
        <v>12378</v>
      </c>
      <c r="I598" s="127" t="s">
        <v>12379</v>
      </c>
      <c r="J598" s="127" t="s">
        <v>15028</v>
      </c>
      <c r="K598" s="127" t="s">
        <v>15470</v>
      </c>
      <c r="L598" s="127" t="s">
        <v>15912</v>
      </c>
      <c r="M598" s="127" t="s">
        <v>16354</v>
      </c>
      <c r="N598" s="127" t="s">
        <v>12380</v>
      </c>
    </row>
    <row r="599" spans="1:14" x14ac:dyDescent="0.35">
      <c r="A599" s="127" t="s">
        <v>6063</v>
      </c>
      <c r="C599" s="127" t="s">
        <v>3263</v>
      </c>
      <c r="D599" s="127" t="s">
        <v>12381</v>
      </c>
      <c r="I599" s="127" t="s">
        <v>12382</v>
      </c>
      <c r="J599" s="127" t="s">
        <v>15029</v>
      </c>
      <c r="K599" s="127" t="s">
        <v>15471</v>
      </c>
      <c r="L599" s="127" t="s">
        <v>15913</v>
      </c>
      <c r="M599" s="127" t="s">
        <v>16355</v>
      </c>
      <c r="N599" s="127" t="s">
        <v>12383</v>
      </c>
    </row>
    <row r="600" spans="1:14" x14ac:dyDescent="0.35">
      <c r="A600" s="127" t="s">
        <v>6063</v>
      </c>
      <c r="C600" s="127" t="s">
        <v>3263</v>
      </c>
      <c r="D600" s="127" t="s">
        <v>12384</v>
      </c>
      <c r="I600" s="127" t="s">
        <v>12385</v>
      </c>
      <c r="J600" s="127" t="s">
        <v>15030</v>
      </c>
      <c r="K600" s="127" t="s">
        <v>15472</v>
      </c>
      <c r="L600" s="127" t="s">
        <v>15914</v>
      </c>
      <c r="M600" s="127" t="s">
        <v>16356</v>
      </c>
      <c r="N600" s="127" t="s">
        <v>12386</v>
      </c>
    </row>
    <row r="601" spans="1:14" x14ac:dyDescent="0.35">
      <c r="A601" s="127" t="s">
        <v>6063</v>
      </c>
      <c r="C601" s="127" t="s">
        <v>3263</v>
      </c>
      <c r="D601" s="127" t="s">
        <v>12387</v>
      </c>
      <c r="I601" s="127" t="s">
        <v>12388</v>
      </c>
      <c r="J601" s="127" t="s">
        <v>15031</v>
      </c>
      <c r="K601" s="127" t="s">
        <v>15473</v>
      </c>
      <c r="L601" s="127" t="s">
        <v>15915</v>
      </c>
      <c r="M601" s="127" t="s">
        <v>16357</v>
      </c>
      <c r="N601" s="127" t="s">
        <v>12389</v>
      </c>
    </row>
    <row r="602" spans="1:14" x14ac:dyDescent="0.35">
      <c r="A602" s="127" t="s">
        <v>6063</v>
      </c>
      <c r="C602" s="127" t="s">
        <v>3263</v>
      </c>
      <c r="D602" s="127" t="s">
        <v>12390</v>
      </c>
      <c r="I602" s="127" t="s">
        <v>12391</v>
      </c>
      <c r="J602" s="127" t="s">
        <v>15032</v>
      </c>
      <c r="K602" s="127" t="s">
        <v>15474</v>
      </c>
      <c r="L602" s="127" t="s">
        <v>15916</v>
      </c>
      <c r="M602" s="127" t="s">
        <v>16358</v>
      </c>
      <c r="N602" s="127" t="s">
        <v>12392</v>
      </c>
    </row>
    <row r="603" spans="1:14" x14ac:dyDescent="0.35">
      <c r="A603" s="127" t="s">
        <v>6063</v>
      </c>
      <c r="C603" s="127" t="s">
        <v>3263</v>
      </c>
      <c r="D603" s="127" t="s">
        <v>12393</v>
      </c>
      <c r="I603" s="127" t="s">
        <v>12394</v>
      </c>
      <c r="J603" s="127" t="s">
        <v>15033</v>
      </c>
      <c r="K603" s="127" t="s">
        <v>15475</v>
      </c>
      <c r="L603" s="127" t="s">
        <v>15917</v>
      </c>
      <c r="M603" s="127" t="s">
        <v>16359</v>
      </c>
      <c r="N603" s="127" t="s">
        <v>12395</v>
      </c>
    </row>
    <row r="604" spans="1:14" x14ac:dyDescent="0.35">
      <c r="A604" s="127" t="s">
        <v>6063</v>
      </c>
      <c r="C604" s="127" t="s">
        <v>3263</v>
      </c>
      <c r="D604" s="127" t="s">
        <v>12396</v>
      </c>
      <c r="I604" s="127" t="s">
        <v>12397</v>
      </c>
      <c r="J604" s="127" t="s">
        <v>15034</v>
      </c>
      <c r="K604" s="127" t="s">
        <v>15476</v>
      </c>
      <c r="L604" s="127" t="s">
        <v>15918</v>
      </c>
      <c r="M604" s="127" t="s">
        <v>16360</v>
      </c>
      <c r="N604" s="127" t="s">
        <v>12398</v>
      </c>
    </row>
    <row r="605" spans="1:14" x14ac:dyDescent="0.35">
      <c r="A605" s="127" t="s">
        <v>6063</v>
      </c>
      <c r="C605" s="127" t="s">
        <v>3263</v>
      </c>
      <c r="D605" s="127" t="s">
        <v>12399</v>
      </c>
      <c r="I605" s="127" t="s">
        <v>12400</v>
      </c>
      <c r="J605" s="127" t="s">
        <v>15035</v>
      </c>
      <c r="K605" s="127" t="s">
        <v>15477</v>
      </c>
      <c r="L605" s="127" t="s">
        <v>15919</v>
      </c>
      <c r="M605" s="127" t="s">
        <v>16361</v>
      </c>
      <c r="N605" s="127" t="s">
        <v>12401</v>
      </c>
    </row>
    <row r="606" spans="1:14" x14ac:dyDescent="0.35">
      <c r="A606" s="127" t="s">
        <v>6063</v>
      </c>
      <c r="C606" s="127" t="s">
        <v>3263</v>
      </c>
      <c r="D606" s="127" t="s">
        <v>12402</v>
      </c>
      <c r="I606" s="127" t="s">
        <v>12403</v>
      </c>
      <c r="J606" s="127" t="s">
        <v>15036</v>
      </c>
      <c r="K606" s="127" t="s">
        <v>15478</v>
      </c>
      <c r="L606" s="127" t="s">
        <v>15920</v>
      </c>
      <c r="M606" s="127" t="s">
        <v>16362</v>
      </c>
      <c r="N606" s="127" t="s">
        <v>12404</v>
      </c>
    </row>
    <row r="607" spans="1:14" x14ac:dyDescent="0.35">
      <c r="A607" s="127" t="s">
        <v>6063</v>
      </c>
      <c r="C607" s="127" t="s">
        <v>3263</v>
      </c>
      <c r="D607" s="127" t="s">
        <v>12405</v>
      </c>
      <c r="I607" s="127" t="s">
        <v>12406</v>
      </c>
      <c r="J607" s="127" t="s">
        <v>15037</v>
      </c>
      <c r="K607" s="127" t="s">
        <v>15479</v>
      </c>
      <c r="L607" s="127" t="s">
        <v>15921</v>
      </c>
      <c r="M607" s="127" t="s">
        <v>16363</v>
      </c>
      <c r="N607" s="127" t="s">
        <v>12407</v>
      </c>
    </row>
    <row r="608" spans="1:14" x14ac:dyDescent="0.35">
      <c r="A608" s="127" t="s">
        <v>6063</v>
      </c>
      <c r="C608" s="127" t="s">
        <v>3263</v>
      </c>
      <c r="D608" s="127" t="s">
        <v>12408</v>
      </c>
      <c r="I608" s="127" t="s">
        <v>12409</v>
      </c>
      <c r="J608" s="127" t="s">
        <v>15038</v>
      </c>
      <c r="K608" s="127" t="s">
        <v>15480</v>
      </c>
      <c r="L608" s="127" t="s">
        <v>15922</v>
      </c>
      <c r="M608" s="127" t="s">
        <v>16364</v>
      </c>
      <c r="N608" s="127" t="s">
        <v>12410</v>
      </c>
    </row>
    <row r="609" spans="1:14" x14ac:dyDescent="0.35">
      <c r="A609" s="127" t="s">
        <v>6063</v>
      </c>
      <c r="C609" s="127" t="s">
        <v>3263</v>
      </c>
      <c r="D609" s="127" t="s">
        <v>12411</v>
      </c>
      <c r="I609" s="127" t="s">
        <v>12412</v>
      </c>
      <c r="J609" s="127" t="s">
        <v>15039</v>
      </c>
      <c r="K609" s="127" t="s">
        <v>15481</v>
      </c>
      <c r="L609" s="127" t="s">
        <v>15923</v>
      </c>
      <c r="M609" s="127" t="s">
        <v>16365</v>
      </c>
      <c r="N609" s="127" t="s">
        <v>12413</v>
      </c>
    </row>
    <row r="610" spans="1:14" x14ac:dyDescent="0.35">
      <c r="A610" s="127" t="s">
        <v>6063</v>
      </c>
      <c r="C610" s="127" t="s">
        <v>3263</v>
      </c>
      <c r="D610" s="127" t="s">
        <v>12414</v>
      </c>
      <c r="I610" s="127" t="s">
        <v>12415</v>
      </c>
      <c r="J610" s="127" t="s">
        <v>15040</v>
      </c>
      <c r="K610" s="127" t="s">
        <v>15482</v>
      </c>
      <c r="L610" s="127" t="s">
        <v>15924</v>
      </c>
      <c r="M610" s="127" t="s">
        <v>16366</v>
      </c>
      <c r="N610" s="127" t="s">
        <v>12416</v>
      </c>
    </row>
    <row r="611" spans="1:14" x14ac:dyDescent="0.35">
      <c r="A611" s="127" t="s">
        <v>6063</v>
      </c>
      <c r="C611" s="127" t="s">
        <v>3263</v>
      </c>
      <c r="D611" s="127" t="s">
        <v>12417</v>
      </c>
      <c r="I611" s="127" t="s">
        <v>12418</v>
      </c>
      <c r="J611" s="127" t="s">
        <v>15041</v>
      </c>
      <c r="K611" s="127" t="s">
        <v>15483</v>
      </c>
      <c r="L611" s="127" t="s">
        <v>15925</v>
      </c>
      <c r="M611" s="127" t="s">
        <v>16367</v>
      </c>
      <c r="N611" s="127" t="s">
        <v>12419</v>
      </c>
    </row>
    <row r="612" spans="1:14" x14ac:dyDescent="0.35">
      <c r="A612" s="127" t="s">
        <v>6063</v>
      </c>
      <c r="C612" s="127" t="s">
        <v>3263</v>
      </c>
      <c r="D612" s="127" t="s">
        <v>12420</v>
      </c>
      <c r="I612" s="127" t="s">
        <v>12421</v>
      </c>
      <c r="J612" s="127" t="s">
        <v>15042</v>
      </c>
      <c r="K612" s="127" t="s">
        <v>15484</v>
      </c>
      <c r="L612" s="127" t="s">
        <v>15926</v>
      </c>
      <c r="M612" s="127" t="s">
        <v>16368</v>
      </c>
      <c r="N612" s="127" t="s">
        <v>12422</v>
      </c>
    </row>
    <row r="613" spans="1:14" x14ac:dyDescent="0.35">
      <c r="A613" s="127" t="s">
        <v>6063</v>
      </c>
      <c r="C613" s="127" t="s">
        <v>3263</v>
      </c>
      <c r="D613" s="127" t="s">
        <v>12423</v>
      </c>
      <c r="I613" s="127" t="s">
        <v>12424</v>
      </c>
      <c r="J613" s="127" t="s">
        <v>15043</v>
      </c>
      <c r="K613" s="127" t="s">
        <v>15485</v>
      </c>
      <c r="L613" s="127" t="s">
        <v>15927</v>
      </c>
      <c r="M613" s="127" t="s">
        <v>16369</v>
      </c>
      <c r="N613" s="127" t="s">
        <v>12425</v>
      </c>
    </row>
    <row r="614" spans="1:14" x14ac:dyDescent="0.35">
      <c r="A614" s="127" t="s">
        <v>6063</v>
      </c>
      <c r="C614" s="127" t="s">
        <v>3263</v>
      </c>
      <c r="D614" s="127" t="s">
        <v>12426</v>
      </c>
      <c r="I614" s="127" t="s">
        <v>12427</v>
      </c>
      <c r="J614" s="127" t="s">
        <v>15044</v>
      </c>
      <c r="K614" s="127" t="s">
        <v>15486</v>
      </c>
      <c r="L614" s="127" t="s">
        <v>15928</v>
      </c>
      <c r="M614" s="127" t="s">
        <v>16370</v>
      </c>
      <c r="N614" s="127" t="s">
        <v>12428</v>
      </c>
    </row>
    <row r="615" spans="1:14" x14ac:dyDescent="0.35">
      <c r="A615" s="127" t="s">
        <v>6063</v>
      </c>
      <c r="C615" s="127" t="s">
        <v>3263</v>
      </c>
      <c r="D615" s="127" t="s">
        <v>12429</v>
      </c>
      <c r="I615" s="127" t="s">
        <v>12430</v>
      </c>
      <c r="J615" s="127" t="s">
        <v>15045</v>
      </c>
      <c r="K615" s="127" t="s">
        <v>15487</v>
      </c>
      <c r="L615" s="127" t="s">
        <v>15929</v>
      </c>
      <c r="M615" s="127" t="s">
        <v>16371</v>
      </c>
      <c r="N615" s="127" t="s">
        <v>12431</v>
      </c>
    </row>
    <row r="616" spans="1:14" x14ac:dyDescent="0.35">
      <c r="A616" s="127" t="s">
        <v>6063</v>
      </c>
      <c r="C616" s="127" t="s">
        <v>3263</v>
      </c>
      <c r="D616" s="127" t="s">
        <v>12432</v>
      </c>
      <c r="I616" s="127" t="s">
        <v>12433</v>
      </c>
      <c r="J616" s="127" t="s">
        <v>15046</v>
      </c>
      <c r="K616" s="127" t="s">
        <v>15488</v>
      </c>
      <c r="L616" s="127" t="s">
        <v>15930</v>
      </c>
      <c r="M616" s="127" t="s">
        <v>16372</v>
      </c>
      <c r="N616" s="127" t="s">
        <v>12434</v>
      </c>
    </row>
    <row r="617" spans="1:14" x14ac:dyDescent="0.35">
      <c r="A617" s="127" t="s">
        <v>6063</v>
      </c>
      <c r="C617" s="127" t="s">
        <v>3263</v>
      </c>
      <c r="D617" s="127" t="s">
        <v>12435</v>
      </c>
      <c r="I617" s="127" t="s">
        <v>12436</v>
      </c>
      <c r="J617" s="127" t="s">
        <v>15047</v>
      </c>
      <c r="K617" s="127" t="s">
        <v>15489</v>
      </c>
      <c r="L617" s="127" t="s">
        <v>15931</v>
      </c>
      <c r="M617" s="127" t="s">
        <v>16373</v>
      </c>
      <c r="N617" s="127" t="s">
        <v>12437</v>
      </c>
    </row>
    <row r="618" spans="1:14" x14ac:dyDescent="0.35">
      <c r="A618" s="127" t="s">
        <v>6063</v>
      </c>
      <c r="C618" s="127" t="s">
        <v>3263</v>
      </c>
      <c r="D618" s="127" t="s">
        <v>12438</v>
      </c>
      <c r="I618" s="127" t="s">
        <v>12439</v>
      </c>
      <c r="J618" s="127" t="s">
        <v>15048</v>
      </c>
      <c r="K618" s="127" t="s">
        <v>15490</v>
      </c>
      <c r="L618" s="127" t="s">
        <v>15932</v>
      </c>
      <c r="M618" s="127" t="s">
        <v>16374</v>
      </c>
      <c r="N618" s="127" t="s">
        <v>12440</v>
      </c>
    </row>
    <row r="619" spans="1:14" x14ac:dyDescent="0.35">
      <c r="A619" s="127" t="s">
        <v>6063</v>
      </c>
      <c r="C619" s="127" t="s">
        <v>3263</v>
      </c>
      <c r="D619" s="127" t="s">
        <v>12441</v>
      </c>
      <c r="I619" s="127" t="s">
        <v>12442</v>
      </c>
      <c r="J619" s="127" t="s">
        <v>15049</v>
      </c>
      <c r="K619" s="127" t="s">
        <v>15491</v>
      </c>
      <c r="L619" s="127" t="s">
        <v>15933</v>
      </c>
      <c r="M619" s="127" t="s">
        <v>16375</v>
      </c>
      <c r="N619" s="127" t="s">
        <v>12443</v>
      </c>
    </row>
    <row r="620" spans="1:14" x14ac:dyDescent="0.35">
      <c r="A620" s="127" t="s">
        <v>6063</v>
      </c>
      <c r="C620" s="127" t="s">
        <v>3263</v>
      </c>
      <c r="D620" s="127" t="s">
        <v>12444</v>
      </c>
      <c r="I620" s="127" t="s">
        <v>12445</v>
      </c>
      <c r="J620" s="127" t="s">
        <v>15050</v>
      </c>
      <c r="K620" s="127" t="s">
        <v>15492</v>
      </c>
      <c r="L620" s="127" t="s">
        <v>15934</v>
      </c>
      <c r="M620" s="127" t="s">
        <v>16376</v>
      </c>
      <c r="N620" s="127" t="s">
        <v>12446</v>
      </c>
    </row>
    <row r="621" spans="1:14" x14ac:dyDescent="0.35">
      <c r="A621" s="127" t="s">
        <v>6063</v>
      </c>
      <c r="C621" s="127" t="s">
        <v>3263</v>
      </c>
      <c r="D621" s="127" t="s">
        <v>12447</v>
      </c>
      <c r="I621" s="127" t="s">
        <v>12448</v>
      </c>
      <c r="J621" s="127" t="s">
        <v>15051</v>
      </c>
      <c r="K621" s="127" t="s">
        <v>15493</v>
      </c>
      <c r="L621" s="127" t="s">
        <v>15935</v>
      </c>
      <c r="M621" s="127" t="s">
        <v>16377</v>
      </c>
      <c r="N621" s="127" t="s">
        <v>12449</v>
      </c>
    </row>
    <row r="622" spans="1:14" x14ac:dyDescent="0.35">
      <c r="A622" s="127" t="s">
        <v>6063</v>
      </c>
      <c r="C622" s="127" t="s">
        <v>3263</v>
      </c>
      <c r="D622" s="127" t="s">
        <v>12450</v>
      </c>
      <c r="I622" s="127" t="s">
        <v>12451</v>
      </c>
      <c r="J622" s="127" t="s">
        <v>15052</v>
      </c>
      <c r="K622" s="127" t="s">
        <v>15494</v>
      </c>
      <c r="L622" s="127" t="s">
        <v>15936</v>
      </c>
      <c r="M622" s="127" t="s">
        <v>16378</v>
      </c>
      <c r="N622" s="127" t="s">
        <v>12452</v>
      </c>
    </row>
    <row r="623" spans="1:14" x14ac:dyDescent="0.35">
      <c r="A623" s="127" t="s">
        <v>6063</v>
      </c>
      <c r="C623" s="127" t="s">
        <v>3263</v>
      </c>
      <c r="D623" s="127" t="s">
        <v>12453</v>
      </c>
      <c r="I623" s="127" t="s">
        <v>12454</v>
      </c>
      <c r="J623" s="127" t="s">
        <v>15053</v>
      </c>
      <c r="K623" s="127" t="s">
        <v>15495</v>
      </c>
      <c r="L623" s="127" t="s">
        <v>15937</v>
      </c>
      <c r="M623" s="127" t="s">
        <v>16379</v>
      </c>
      <c r="N623" s="127" t="s">
        <v>12455</v>
      </c>
    </row>
    <row r="624" spans="1:14" x14ac:dyDescent="0.35">
      <c r="A624" s="127" t="s">
        <v>6063</v>
      </c>
      <c r="C624" s="127" t="s">
        <v>3263</v>
      </c>
      <c r="D624" s="127" t="s">
        <v>12456</v>
      </c>
      <c r="I624" s="127" t="s">
        <v>12457</v>
      </c>
      <c r="J624" s="127" t="s">
        <v>15054</v>
      </c>
      <c r="K624" s="127" t="s">
        <v>15496</v>
      </c>
      <c r="L624" s="127" t="s">
        <v>15938</v>
      </c>
      <c r="M624" s="127" t="s">
        <v>16380</v>
      </c>
      <c r="N624" s="127" t="s">
        <v>12458</v>
      </c>
    </row>
    <row r="625" spans="1:14" x14ac:dyDescent="0.35">
      <c r="A625" s="127" t="s">
        <v>6063</v>
      </c>
      <c r="C625" s="127" t="s">
        <v>3263</v>
      </c>
      <c r="D625" s="127" t="s">
        <v>12459</v>
      </c>
      <c r="I625" s="127" t="s">
        <v>12460</v>
      </c>
      <c r="J625" s="127" t="s">
        <v>15055</v>
      </c>
      <c r="K625" s="127" t="s">
        <v>15497</v>
      </c>
      <c r="L625" s="127" t="s">
        <v>15939</v>
      </c>
      <c r="M625" s="127" t="s">
        <v>16381</v>
      </c>
      <c r="N625" s="127" t="s">
        <v>12461</v>
      </c>
    </row>
    <row r="626" spans="1:14" x14ac:dyDescent="0.35">
      <c r="A626" s="127" t="s">
        <v>6063</v>
      </c>
      <c r="C626" s="127" t="s">
        <v>3263</v>
      </c>
      <c r="D626" s="127" t="s">
        <v>12462</v>
      </c>
      <c r="I626" s="127" t="s">
        <v>12463</v>
      </c>
      <c r="J626" s="127" t="s">
        <v>15056</v>
      </c>
      <c r="K626" s="127" t="s">
        <v>15498</v>
      </c>
      <c r="L626" s="127" t="s">
        <v>15940</v>
      </c>
      <c r="M626" s="127" t="s">
        <v>16382</v>
      </c>
      <c r="N626" s="127" t="s">
        <v>12464</v>
      </c>
    </row>
    <row r="627" spans="1:14" x14ac:dyDescent="0.35">
      <c r="A627" s="127" t="s">
        <v>6063</v>
      </c>
      <c r="C627" s="127" t="s">
        <v>3263</v>
      </c>
      <c r="D627" s="127" t="s">
        <v>12465</v>
      </c>
      <c r="I627" s="127" t="s">
        <v>12466</v>
      </c>
      <c r="J627" s="127" t="s">
        <v>15057</v>
      </c>
      <c r="K627" s="127" t="s">
        <v>15499</v>
      </c>
      <c r="L627" s="127" t="s">
        <v>15941</v>
      </c>
      <c r="M627" s="127" t="s">
        <v>16383</v>
      </c>
      <c r="N627" s="127" t="s">
        <v>12467</v>
      </c>
    </row>
    <row r="628" spans="1:14" x14ac:dyDescent="0.35">
      <c r="A628" s="127" t="s">
        <v>6063</v>
      </c>
      <c r="C628" s="127" t="s">
        <v>3263</v>
      </c>
      <c r="D628" s="127" t="s">
        <v>12468</v>
      </c>
      <c r="I628" s="127" t="s">
        <v>12469</v>
      </c>
      <c r="J628" s="127" t="s">
        <v>15058</v>
      </c>
      <c r="K628" s="127" t="s">
        <v>15500</v>
      </c>
      <c r="L628" s="127" t="s">
        <v>15942</v>
      </c>
      <c r="M628" s="127" t="s">
        <v>16384</v>
      </c>
      <c r="N628" s="127" t="s">
        <v>12470</v>
      </c>
    </row>
    <row r="629" spans="1:14" x14ac:dyDescent="0.35">
      <c r="A629" s="127" t="s">
        <v>6063</v>
      </c>
      <c r="C629" s="127" t="s">
        <v>3263</v>
      </c>
      <c r="D629" s="127" t="s">
        <v>12471</v>
      </c>
      <c r="I629" s="127" t="s">
        <v>12472</v>
      </c>
      <c r="J629" s="127" t="s">
        <v>15059</v>
      </c>
      <c r="K629" s="127" t="s">
        <v>15501</v>
      </c>
      <c r="L629" s="127" t="s">
        <v>15943</v>
      </c>
      <c r="M629" s="127" t="s">
        <v>16385</v>
      </c>
      <c r="N629" s="127" t="s">
        <v>12473</v>
      </c>
    </row>
    <row r="630" spans="1:14" x14ac:dyDescent="0.35">
      <c r="A630" s="127" t="s">
        <v>6063</v>
      </c>
      <c r="C630" s="127" t="s">
        <v>3263</v>
      </c>
      <c r="D630" s="127" t="s">
        <v>12474</v>
      </c>
      <c r="I630" s="127" t="s">
        <v>12475</v>
      </c>
      <c r="J630" s="127" t="s">
        <v>15060</v>
      </c>
      <c r="K630" s="127" t="s">
        <v>15502</v>
      </c>
      <c r="L630" s="127" t="s">
        <v>15944</v>
      </c>
      <c r="M630" s="127" t="s">
        <v>16386</v>
      </c>
      <c r="N630" s="127" t="s">
        <v>12476</v>
      </c>
    </row>
    <row r="631" spans="1:14" x14ac:dyDescent="0.35">
      <c r="A631" s="127" t="s">
        <v>6063</v>
      </c>
      <c r="C631" s="127" t="s">
        <v>3263</v>
      </c>
      <c r="D631" s="127" t="s">
        <v>12477</v>
      </c>
      <c r="I631" s="127" t="s">
        <v>12478</v>
      </c>
      <c r="J631" s="127" t="s">
        <v>15061</v>
      </c>
      <c r="K631" s="127" t="s">
        <v>15503</v>
      </c>
      <c r="L631" s="127" t="s">
        <v>15945</v>
      </c>
      <c r="M631" s="127" t="s">
        <v>16387</v>
      </c>
      <c r="N631" s="127" t="s">
        <v>12479</v>
      </c>
    </row>
    <row r="632" spans="1:14" x14ac:dyDescent="0.35">
      <c r="A632" s="127" t="s">
        <v>6063</v>
      </c>
      <c r="C632" s="127" t="s">
        <v>3263</v>
      </c>
      <c r="D632" s="127" t="s">
        <v>12480</v>
      </c>
      <c r="I632" s="127" t="s">
        <v>12481</v>
      </c>
      <c r="J632" s="127" t="s">
        <v>15062</v>
      </c>
      <c r="K632" s="127" t="s">
        <v>15504</v>
      </c>
      <c r="L632" s="127" t="s">
        <v>15946</v>
      </c>
      <c r="M632" s="127" t="s">
        <v>16388</v>
      </c>
      <c r="N632" s="127" t="s">
        <v>12482</v>
      </c>
    </row>
    <row r="633" spans="1:14" x14ac:dyDescent="0.35">
      <c r="A633" s="127" t="s">
        <v>6063</v>
      </c>
      <c r="C633" s="127" t="s">
        <v>3263</v>
      </c>
      <c r="D633" s="127" t="s">
        <v>12483</v>
      </c>
      <c r="I633" s="127" t="s">
        <v>12484</v>
      </c>
      <c r="J633" s="127" t="s">
        <v>15063</v>
      </c>
      <c r="K633" s="127" t="s">
        <v>15505</v>
      </c>
      <c r="L633" s="127" t="s">
        <v>15947</v>
      </c>
      <c r="M633" s="127" t="s">
        <v>16389</v>
      </c>
      <c r="N633" s="127" t="s">
        <v>12485</v>
      </c>
    </row>
    <row r="634" spans="1:14" x14ac:dyDescent="0.35">
      <c r="A634" s="127" t="s">
        <v>6063</v>
      </c>
      <c r="C634" s="127" t="s">
        <v>3263</v>
      </c>
      <c r="D634" s="127" t="s">
        <v>12486</v>
      </c>
      <c r="I634" s="127" t="s">
        <v>12487</v>
      </c>
      <c r="J634" s="127" t="s">
        <v>15064</v>
      </c>
      <c r="K634" s="127" t="s">
        <v>15506</v>
      </c>
      <c r="L634" s="127" t="s">
        <v>15948</v>
      </c>
      <c r="M634" s="127" t="s">
        <v>16390</v>
      </c>
      <c r="N634" s="127" t="s">
        <v>12488</v>
      </c>
    </row>
    <row r="635" spans="1:14" x14ac:dyDescent="0.35">
      <c r="A635" s="127" t="s">
        <v>6063</v>
      </c>
      <c r="C635" s="127" t="s">
        <v>3263</v>
      </c>
      <c r="D635" s="127" t="s">
        <v>12489</v>
      </c>
      <c r="I635" s="127" t="s">
        <v>12490</v>
      </c>
      <c r="J635" s="127" t="s">
        <v>15065</v>
      </c>
      <c r="K635" s="127" t="s">
        <v>15507</v>
      </c>
      <c r="L635" s="127" t="s">
        <v>15949</v>
      </c>
      <c r="M635" s="127" t="s">
        <v>16391</v>
      </c>
      <c r="N635" s="127" t="s">
        <v>12491</v>
      </c>
    </row>
    <row r="636" spans="1:14" x14ac:dyDescent="0.35">
      <c r="A636" s="127" t="s">
        <v>6063</v>
      </c>
      <c r="C636" s="127" t="s">
        <v>3263</v>
      </c>
      <c r="D636" s="127" t="s">
        <v>12492</v>
      </c>
      <c r="I636" s="127" t="s">
        <v>12493</v>
      </c>
      <c r="J636" s="127" t="s">
        <v>15066</v>
      </c>
      <c r="K636" s="127" t="s">
        <v>15508</v>
      </c>
      <c r="L636" s="127" t="s">
        <v>15950</v>
      </c>
      <c r="M636" s="127" t="s">
        <v>16392</v>
      </c>
      <c r="N636" s="127" t="s">
        <v>12494</v>
      </c>
    </row>
    <row r="637" spans="1:14" x14ac:dyDescent="0.35">
      <c r="A637" s="127" t="s">
        <v>6063</v>
      </c>
      <c r="C637" s="127" t="s">
        <v>3263</v>
      </c>
      <c r="D637" s="127" t="s">
        <v>12495</v>
      </c>
      <c r="I637" s="127" t="s">
        <v>12496</v>
      </c>
      <c r="J637" s="127" t="s">
        <v>15067</v>
      </c>
      <c r="K637" s="127" t="s">
        <v>15509</v>
      </c>
      <c r="L637" s="127" t="s">
        <v>15951</v>
      </c>
      <c r="M637" s="127" t="s">
        <v>16393</v>
      </c>
      <c r="N637" s="127" t="s">
        <v>12497</v>
      </c>
    </row>
    <row r="638" spans="1:14" x14ac:dyDescent="0.35">
      <c r="A638" s="127" t="s">
        <v>6063</v>
      </c>
      <c r="C638" s="127" t="s">
        <v>3263</v>
      </c>
      <c r="D638" s="127" t="s">
        <v>12498</v>
      </c>
      <c r="I638" s="127" t="s">
        <v>12499</v>
      </c>
      <c r="J638" s="127" t="s">
        <v>15068</v>
      </c>
      <c r="K638" s="127" t="s">
        <v>15510</v>
      </c>
      <c r="L638" s="127" t="s">
        <v>15952</v>
      </c>
      <c r="M638" s="127" t="s">
        <v>16394</v>
      </c>
      <c r="N638" s="127" t="s">
        <v>12500</v>
      </c>
    </row>
    <row r="639" spans="1:14" x14ac:dyDescent="0.35">
      <c r="A639" s="127" t="s">
        <v>6063</v>
      </c>
      <c r="C639" s="127" t="s">
        <v>3263</v>
      </c>
      <c r="D639" s="127" t="s">
        <v>12501</v>
      </c>
      <c r="I639" s="127" t="s">
        <v>12502</v>
      </c>
      <c r="J639" s="127" t="s">
        <v>15069</v>
      </c>
      <c r="K639" s="127" t="s">
        <v>15511</v>
      </c>
      <c r="L639" s="127" t="s">
        <v>15953</v>
      </c>
      <c r="M639" s="127" t="s">
        <v>16395</v>
      </c>
      <c r="N639" s="127" t="s">
        <v>12503</v>
      </c>
    </row>
    <row r="640" spans="1:14" x14ac:dyDescent="0.35">
      <c r="A640" s="127" t="s">
        <v>6063</v>
      </c>
      <c r="C640" s="127" t="s">
        <v>3263</v>
      </c>
      <c r="D640" s="127" t="s">
        <v>12504</v>
      </c>
      <c r="I640" s="127" t="s">
        <v>12505</v>
      </c>
      <c r="J640" s="127" t="s">
        <v>15070</v>
      </c>
      <c r="K640" s="127" t="s">
        <v>15512</v>
      </c>
      <c r="L640" s="127" t="s">
        <v>15954</v>
      </c>
      <c r="M640" s="127" t="s">
        <v>16396</v>
      </c>
      <c r="N640" s="127" t="s">
        <v>12506</v>
      </c>
    </row>
    <row r="641" spans="1:14" x14ac:dyDescent="0.35">
      <c r="A641" s="127" t="s">
        <v>6063</v>
      </c>
      <c r="C641" s="127" t="s">
        <v>3263</v>
      </c>
      <c r="D641" s="127" t="s">
        <v>12507</v>
      </c>
      <c r="I641" s="127" t="s">
        <v>12508</v>
      </c>
      <c r="J641" s="127" t="s">
        <v>15071</v>
      </c>
      <c r="K641" s="127" t="s">
        <v>15513</v>
      </c>
      <c r="L641" s="127" t="s">
        <v>15955</v>
      </c>
      <c r="M641" s="127" t="s">
        <v>16397</v>
      </c>
      <c r="N641" s="127" t="s">
        <v>12509</v>
      </c>
    </row>
    <row r="642" spans="1:14" x14ac:dyDescent="0.35">
      <c r="A642" s="127" t="s">
        <v>6063</v>
      </c>
      <c r="C642" s="127" t="s">
        <v>3263</v>
      </c>
      <c r="D642" s="127" t="s">
        <v>12510</v>
      </c>
      <c r="I642" s="127" t="s">
        <v>12511</v>
      </c>
      <c r="J642" s="127" t="s">
        <v>15072</v>
      </c>
      <c r="K642" s="127" t="s">
        <v>15514</v>
      </c>
      <c r="L642" s="127" t="s">
        <v>15956</v>
      </c>
      <c r="M642" s="127" t="s">
        <v>16398</v>
      </c>
      <c r="N642" s="127" t="s">
        <v>12512</v>
      </c>
    </row>
    <row r="643" spans="1:14" x14ac:dyDescent="0.35">
      <c r="A643" s="127" t="s">
        <v>6063</v>
      </c>
      <c r="C643" s="127" t="s">
        <v>3263</v>
      </c>
      <c r="D643" s="127" t="s">
        <v>12513</v>
      </c>
      <c r="I643" s="127" t="s">
        <v>12514</v>
      </c>
      <c r="J643" s="127" t="s">
        <v>15073</v>
      </c>
      <c r="K643" s="127" t="s">
        <v>15515</v>
      </c>
      <c r="L643" s="127" t="s">
        <v>15957</v>
      </c>
      <c r="M643" s="127" t="s">
        <v>16399</v>
      </c>
      <c r="N643" s="127" t="s">
        <v>12515</v>
      </c>
    </row>
    <row r="644" spans="1:14" x14ac:dyDescent="0.35">
      <c r="A644" s="127" t="s">
        <v>6063</v>
      </c>
      <c r="C644" s="127" t="s">
        <v>3263</v>
      </c>
      <c r="D644" s="127" t="s">
        <v>12516</v>
      </c>
      <c r="I644" s="127" t="s">
        <v>12517</v>
      </c>
      <c r="J644" s="127" t="s">
        <v>15074</v>
      </c>
      <c r="K644" s="127" t="s">
        <v>15516</v>
      </c>
      <c r="L644" s="127" t="s">
        <v>15958</v>
      </c>
      <c r="M644" s="127" t="s">
        <v>16400</v>
      </c>
      <c r="N644" s="127" t="s">
        <v>12518</v>
      </c>
    </row>
    <row r="645" spans="1:14" x14ac:dyDescent="0.35">
      <c r="A645" s="127" t="s">
        <v>6063</v>
      </c>
      <c r="C645" s="127" t="s">
        <v>3263</v>
      </c>
      <c r="D645" s="127" t="s">
        <v>12519</v>
      </c>
      <c r="I645" s="127" t="s">
        <v>12520</v>
      </c>
      <c r="J645" s="127" t="s">
        <v>15075</v>
      </c>
      <c r="K645" s="127" t="s">
        <v>15517</v>
      </c>
      <c r="L645" s="127" t="s">
        <v>15959</v>
      </c>
      <c r="M645" s="127" t="s">
        <v>16401</v>
      </c>
      <c r="N645" s="127" t="s">
        <v>12521</v>
      </c>
    </row>
    <row r="646" spans="1:14" x14ac:dyDescent="0.35">
      <c r="A646" s="127" t="s">
        <v>6063</v>
      </c>
      <c r="C646" s="127" t="s">
        <v>3263</v>
      </c>
      <c r="D646" s="127" t="s">
        <v>12522</v>
      </c>
      <c r="I646" s="127" t="s">
        <v>12523</v>
      </c>
      <c r="J646" s="127" t="s">
        <v>15076</v>
      </c>
      <c r="K646" s="127" t="s">
        <v>15518</v>
      </c>
      <c r="L646" s="127" t="s">
        <v>15960</v>
      </c>
      <c r="M646" s="127" t="s">
        <v>16402</v>
      </c>
      <c r="N646" s="127" t="s">
        <v>12524</v>
      </c>
    </row>
    <row r="647" spans="1:14" x14ac:dyDescent="0.35">
      <c r="A647" s="127" t="s">
        <v>6063</v>
      </c>
      <c r="C647" s="127" t="s">
        <v>3263</v>
      </c>
      <c r="D647" s="127" t="s">
        <v>12525</v>
      </c>
      <c r="I647" s="127" t="s">
        <v>12526</v>
      </c>
      <c r="J647" s="127" t="s">
        <v>15077</v>
      </c>
      <c r="K647" s="127" t="s">
        <v>15519</v>
      </c>
      <c r="L647" s="127" t="s">
        <v>15961</v>
      </c>
      <c r="M647" s="127" t="s">
        <v>16403</v>
      </c>
      <c r="N647" s="127" t="s">
        <v>12527</v>
      </c>
    </row>
    <row r="648" spans="1:14" x14ac:dyDescent="0.35">
      <c r="A648" s="127" t="s">
        <v>6063</v>
      </c>
      <c r="C648" s="127" t="s">
        <v>3263</v>
      </c>
      <c r="D648" s="127" t="s">
        <v>12528</v>
      </c>
      <c r="I648" s="127" t="s">
        <v>12529</v>
      </c>
      <c r="J648" s="127" t="s">
        <v>15078</v>
      </c>
      <c r="K648" s="127" t="s">
        <v>15520</v>
      </c>
      <c r="L648" s="127" t="s">
        <v>15962</v>
      </c>
      <c r="M648" s="127" t="s">
        <v>16404</v>
      </c>
      <c r="N648" s="127" t="s">
        <v>12530</v>
      </c>
    </row>
    <row r="649" spans="1:14" x14ac:dyDescent="0.35">
      <c r="A649" s="127" t="s">
        <v>6063</v>
      </c>
      <c r="C649" s="127" t="s">
        <v>3263</v>
      </c>
      <c r="D649" s="127" t="s">
        <v>12531</v>
      </c>
      <c r="I649" s="127" t="s">
        <v>12532</v>
      </c>
      <c r="J649" s="127" t="s">
        <v>15079</v>
      </c>
      <c r="K649" s="127" t="s">
        <v>15521</v>
      </c>
      <c r="L649" s="127" t="s">
        <v>15963</v>
      </c>
      <c r="M649" s="127" t="s">
        <v>16405</v>
      </c>
      <c r="N649" s="127" t="s">
        <v>12533</v>
      </c>
    </row>
    <row r="650" spans="1:14" x14ac:dyDescent="0.35">
      <c r="A650" s="127" t="s">
        <v>6063</v>
      </c>
      <c r="C650" s="127" t="s">
        <v>3263</v>
      </c>
      <c r="D650" s="127" t="s">
        <v>12534</v>
      </c>
      <c r="I650" s="127" t="s">
        <v>12535</v>
      </c>
      <c r="J650" s="127" t="s">
        <v>15080</v>
      </c>
      <c r="K650" s="127" t="s">
        <v>15522</v>
      </c>
      <c r="L650" s="127" t="s">
        <v>15964</v>
      </c>
      <c r="M650" s="127" t="s">
        <v>16406</v>
      </c>
      <c r="N650" s="127" t="s">
        <v>12536</v>
      </c>
    </row>
    <row r="651" spans="1:14" x14ac:dyDescent="0.35">
      <c r="A651" s="127" t="s">
        <v>6063</v>
      </c>
      <c r="C651" s="127" t="s">
        <v>3263</v>
      </c>
      <c r="D651" s="127" t="s">
        <v>12537</v>
      </c>
      <c r="I651" s="127" t="s">
        <v>12538</v>
      </c>
      <c r="J651" s="127" t="s">
        <v>15081</v>
      </c>
      <c r="K651" s="127" t="s">
        <v>15523</v>
      </c>
      <c r="L651" s="127" t="s">
        <v>15965</v>
      </c>
      <c r="M651" s="127" t="s">
        <v>16407</v>
      </c>
      <c r="N651" s="127" t="s">
        <v>12539</v>
      </c>
    </row>
    <row r="652" spans="1:14" x14ac:dyDescent="0.35">
      <c r="A652" s="127" t="s">
        <v>6063</v>
      </c>
      <c r="C652" s="127" t="s">
        <v>3263</v>
      </c>
      <c r="D652" s="127" t="s">
        <v>12540</v>
      </c>
      <c r="I652" s="127" t="s">
        <v>12541</v>
      </c>
      <c r="J652" s="127" t="s">
        <v>15082</v>
      </c>
      <c r="K652" s="127" t="s">
        <v>15524</v>
      </c>
      <c r="L652" s="127" t="s">
        <v>15966</v>
      </c>
      <c r="M652" s="127" t="s">
        <v>16408</v>
      </c>
      <c r="N652" s="127" t="s">
        <v>12542</v>
      </c>
    </row>
    <row r="653" spans="1:14" x14ac:dyDescent="0.35">
      <c r="A653" s="127" t="s">
        <v>6063</v>
      </c>
      <c r="C653" s="127" t="s">
        <v>3263</v>
      </c>
      <c r="D653" s="127" t="s">
        <v>12543</v>
      </c>
      <c r="I653" s="127" t="s">
        <v>12544</v>
      </c>
      <c r="J653" s="127" t="s">
        <v>15083</v>
      </c>
      <c r="K653" s="127" t="s">
        <v>15525</v>
      </c>
      <c r="L653" s="127" t="s">
        <v>15967</v>
      </c>
      <c r="M653" s="127" t="s">
        <v>16409</v>
      </c>
      <c r="N653" s="127" t="s">
        <v>12545</v>
      </c>
    </row>
    <row r="654" spans="1:14" x14ac:dyDescent="0.35">
      <c r="A654" s="127" t="s">
        <v>6063</v>
      </c>
      <c r="C654" s="127" t="s">
        <v>3263</v>
      </c>
      <c r="D654" s="127" t="s">
        <v>12546</v>
      </c>
      <c r="I654" s="127" t="s">
        <v>12547</v>
      </c>
      <c r="J654" s="127" t="s">
        <v>15084</v>
      </c>
      <c r="K654" s="127" t="s">
        <v>15526</v>
      </c>
      <c r="L654" s="127" t="s">
        <v>15968</v>
      </c>
      <c r="M654" s="127" t="s">
        <v>16410</v>
      </c>
      <c r="N654" s="127" t="s">
        <v>12548</v>
      </c>
    </row>
    <row r="655" spans="1:14" x14ac:dyDescent="0.35">
      <c r="A655" s="127" t="s">
        <v>6063</v>
      </c>
      <c r="C655" s="127" t="s">
        <v>3263</v>
      </c>
      <c r="D655" s="127" t="s">
        <v>12549</v>
      </c>
      <c r="I655" s="127" t="s">
        <v>12550</v>
      </c>
      <c r="J655" s="127" t="s">
        <v>15085</v>
      </c>
      <c r="K655" s="127" t="s">
        <v>15527</v>
      </c>
      <c r="L655" s="127" t="s">
        <v>15969</v>
      </c>
      <c r="M655" s="127" t="s">
        <v>16411</v>
      </c>
      <c r="N655" s="127" t="s">
        <v>12551</v>
      </c>
    </row>
    <row r="656" spans="1:14" x14ac:dyDescent="0.35">
      <c r="A656" s="127" t="s">
        <v>6063</v>
      </c>
      <c r="C656" s="127" t="s">
        <v>3263</v>
      </c>
      <c r="D656" s="127" t="s">
        <v>12552</v>
      </c>
      <c r="I656" s="127" t="s">
        <v>12553</v>
      </c>
      <c r="J656" s="127" t="s">
        <v>15086</v>
      </c>
      <c r="K656" s="127" t="s">
        <v>15528</v>
      </c>
      <c r="L656" s="127" t="s">
        <v>15970</v>
      </c>
      <c r="M656" s="127" t="s">
        <v>16412</v>
      </c>
      <c r="N656" s="127" t="s">
        <v>12554</v>
      </c>
    </row>
    <row r="657" spans="1:14" x14ac:dyDescent="0.35">
      <c r="A657" s="127" t="s">
        <v>6063</v>
      </c>
      <c r="C657" s="127" t="s">
        <v>3263</v>
      </c>
      <c r="D657" s="127" t="s">
        <v>12555</v>
      </c>
      <c r="I657" s="127" t="s">
        <v>12556</v>
      </c>
      <c r="J657" s="127" t="s">
        <v>15087</v>
      </c>
      <c r="K657" s="127" t="s">
        <v>15529</v>
      </c>
      <c r="L657" s="127" t="s">
        <v>15971</v>
      </c>
      <c r="M657" s="127" t="s">
        <v>16413</v>
      </c>
      <c r="N657" s="127" t="s">
        <v>12557</v>
      </c>
    </row>
    <row r="658" spans="1:14" x14ac:dyDescent="0.35">
      <c r="A658" s="127" t="s">
        <v>6063</v>
      </c>
      <c r="C658" s="127" t="s">
        <v>3263</v>
      </c>
      <c r="D658" s="127" t="s">
        <v>12558</v>
      </c>
      <c r="I658" s="127" t="s">
        <v>12559</v>
      </c>
      <c r="J658" s="127" t="s">
        <v>15088</v>
      </c>
      <c r="K658" s="127" t="s">
        <v>15530</v>
      </c>
      <c r="L658" s="127" t="s">
        <v>15972</v>
      </c>
      <c r="M658" s="127" t="s">
        <v>16414</v>
      </c>
      <c r="N658" s="127" t="s">
        <v>12560</v>
      </c>
    </row>
    <row r="659" spans="1:14" x14ac:dyDescent="0.35">
      <c r="A659" s="127" t="s">
        <v>6063</v>
      </c>
      <c r="C659" s="127" t="s">
        <v>3263</v>
      </c>
      <c r="D659" s="127" t="s">
        <v>12561</v>
      </c>
      <c r="I659" s="127" t="s">
        <v>12562</v>
      </c>
      <c r="J659" s="127" t="s">
        <v>15089</v>
      </c>
      <c r="K659" s="127" t="s">
        <v>15531</v>
      </c>
      <c r="L659" s="127" t="s">
        <v>15973</v>
      </c>
      <c r="M659" s="127" t="s">
        <v>16415</v>
      </c>
      <c r="N659" s="127" t="s">
        <v>12563</v>
      </c>
    </row>
    <row r="660" spans="1:14" x14ac:dyDescent="0.35">
      <c r="A660" s="127" t="s">
        <v>6063</v>
      </c>
      <c r="C660" s="127" t="s">
        <v>3263</v>
      </c>
      <c r="D660" s="127" t="s">
        <v>12564</v>
      </c>
      <c r="I660" s="127" t="s">
        <v>12565</v>
      </c>
      <c r="J660" s="127" t="s">
        <v>15090</v>
      </c>
      <c r="K660" s="127" t="s">
        <v>15532</v>
      </c>
      <c r="L660" s="127" t="s">
        <v>15974</v>
      </c>
      <c r="M660" s="127" t="s">
        <v>16416</v>
      </c>
      <c r="N660" s="127" t="s">
        <v>12566</v>
      </c>
    </row>
    <row r="661" spans="1:14" x14ac:dyDescent="0.35">
      <c r="A661" s="127" t="s">
        <v>6063</v>
      </c>
      <c r="C661" s="127" t="s">
        <v>3263</v>
      </c>
      <c r="D661" s="127" t="s">
        <v>12567</v>
      </c>
      <c r="I661" s="127" t="s">
        <v>12568</v>
      </c>
      <c r="J661" s="127" t="s">
        <v>15091</v>
      </c>
      <c r="K661" s="127" t="s">
        <v>15533</v>
      </c>
      <c r="L661" s="127" t="s">
        <v>15975</v>
      </c>
      <c r="M661" s="127" t="s">
        <v>16417</v>
      </c>
      <c r="N661" s="127" t="s">
        <v>12569</v>
      </c>
    </row>
    <row r="662" spans="1:14" x14ac:dyDescent="0.35">
      <c r="A662" s="127" t="s">
        <v>6063</v>
      </c>
      <c r="C662" s="127" t="s">
        <v>3263</v>
      </c>
      <c r="D662" s="127" t="s">
        <v>12570</v>
      </c>
      <c r="I662" s="127" t="s">
        <v>12571</v>
      </c>
      <c r="J662" s="127" t="s">
        <v>15092</v>
      </c>
      <c r="K662" s="127" t="s">
        <v>15534</v>
      </c>
      <c r="L662" s="127" t="s">
        <v>15976</v>
      </c>
      <c r="M662" s="127" t="s">
        <v>16418</v>
      </c>
      <c r="N662" s="127" t="s">
        <v>12572</v>
      </c>
    </row>
    <row r="663" spans="1:14" x14ac:dyDescent="0.35">
      <c r="A663" s="127" t="s">
        <v>6063</v>
      </c>
      <c r="C663" s="127" t="s">
        <v>3263</v>
      </c>
      <c r="D663" s="127" t="s">
        <v>12573</v>
      </c>
      <c r="I663" s="127" t="s">
        <v>12574</v>
      </c>
      <c r="J663" s="127" t="s">
        <v>15093</v>
      </c>
      <c r="K663" s="127" t="s">
        <v>15535</v>
      </c>
      <c r="L663" s="127" t="s">
        <v>15977</v>
      </c>
      <c r="M663" s="127" t="s">
        <v>16419</v>
      </c>
      <c r="N663" s="127" t="s">
        <v>12575</v>
      </c>
    </row>
    <row r="664" spans="1:14" x14ac:dyDescent="0.35">
      <c r="A664" s="127" t="s">
        <v>6063</v>
      </c>
      <c r="C664" s="127" t="s">
        <v>3263</v>
      </c>
      <c r="D664" s="127" t="s">
        <v>12576</v>
      </c>
      <c r="I664" s="127" t="s">
        <v>12577</v>
      </c>
      <c r="J664" s="127" t="s">
        <v>15094</v>
      </c>
      <c r="K664" s="127" t="s">
        <v>15536</v>
      </c>
      <c r="L664" s="127" t="s">
        <v>15978</v>
      </c>
      <c r="M664" s="127" t="s">
        <v>16420</v>
      </c>
      <c r="N664" s="127" t="s">
        <v>12578</v>
      </c>
    </row>
    <row r="665" spans="1:14" x14ac:dyDescent="0.35">
      <c r="A665" s="127" t="s">
        <v>6063</v>
      </c>
      <c r="C665" s="127" t="s">
        <v>3263</v>
      </c>
      <c r="D665" s="127" t="s">
        <v>12579</v>
      </c>
      <c r="I665" s="127" t="s">
        <v>12580</v>
      </c>
      <c r="J665" s="127" t="s">
        <v>15095</v>
      </c>
      <c r="K665" s="127" t="s">
        <v>15537</v>
      </c>
      <c r="L665" s="127" t="s">
        <v>15979</v>
      </c>
      <c r="M665" s="127" t="s">
        <v>16421</v>
      </c>
      <c r="N665" s="127" t="s">
        <v>12581</v>
      </c>
    </row>
    <row r="666" spans="1:14" x14ac:dyDescent="0.35">
      <c r="A666" s="127" t="s">
        <v>6063</v>
      </c>
      <c r="C666" s="127" t="s">
        <v>3263</v>
      </c>
      <c r="D666" s="127" t="s">
        <v>12582</v>
      </c>
      <c r="I666" s="127" t="s">
        <v>12583</v>
      </c>
      <c r="J666" s="127" t="s">
        <v>15096</v>
      </c>
      <c r="K666" s="127" t="s">
        <v>15538</v>
      </c>
      <c r="L666" s="127" t="s">
        <v>15980</v>
      </c>
      <c r="M666" s="127" t="s">
        <v>16422</v>
      </c>
      <c r="N666" s="127" t="s">
        <v>12584</v>
      </c>
    </row>
    <row r="667" spans="1:14" x14ac:dyDescent="0.35">
      <c r="A667" s="127" t="s">
        <v>6063</v>
      </c>
      <c r="C667" s="127" t="s">
        <v>3263</v>
      </c>
      <c r="D667" s="127" t="s">
        <v>12585</v>
      </c>
      <c r="I667" s="127" t="s">
        <v>12586</v>
      </c>
      <c r="J667" s="127" t="s">
        <v>15097</v>
      </c>
      <c r="K667" s="127" t="s">
        <v>15539</v>
      </c>
      <c r="L667" s="127" t="s">
        <v>15981</v>
      </c>
      <c r="M667" s="127" t="s">
        <v>16423</v>
      </c>
      <c r="N667" s="127" t="s">
        <v>12587</v>
      </c>
    </row>
    <row r="668" spans="1:14" x14ac:dyDescent="0.35">
      <c r="A668" s="127" t="s">
        <v>6063</v>
      </c>
      <c r="C668" s="127" t="s">
        <v>3263</v>
      </c>
      <c r="D668" s="127" t="s">
        <v>12588</v>
      </c>
      <c r="I668" s="127" t="s">
        <v>12589</v>
      </c>
      <c r="J668" s="127" t="s">
        <v>15098</v>
      </c>
      <c r="K668" s="127" t="s">
        <v>15540</v>
      </c>
      <c r="L668" s="127" t="s">
        <v>15982</v>
      </c>
      <c r="M668" s="127" t="s">
        <v>16424</v>
      </c>
      <c r="N668" s="127" t="s">
        <v>12590</v>
      </c>
    </row>
    <row r="669" spans="1:14" x14ac:dyDescent="0.35">
      <c r="A669" s="127" t="s">
        <v>6063</v>
      </c>
      <c r="C669" s="127" t="s">
        <v>3263</v>
      </c>
      <c r="D669" s="127" t="s">
        <v>12591</v>
      </c>
      <c r="I669" s="127" t="s">
        <v>12592</v>
      </c>
      <c r="J669" s="127" t="s">
        <v>15099</v>
      </c>
      <c r="K669" s="127" t="s">
        <v>15541</v>
      </c>
      <c r="L669" s="127" t="s">
        <v>15983</v>
      </c>
      <c r="M669" s="127" t="s">
        <v>16425</v>
      </c>
      <c r="N669" s="127" t="s">
        <v>12593</v>
      </c>
    </row>
    <row r="670" spans="1:14" x14ac:dyDescent="0.35">
      <c r="A670" s="127" t="s">
        <v>6063</v>
      </c>
      <c r="C670" s="127" t="s">
        <v>3263</v>
      </c>
      <c r="D670" s="127" t="s">
        <v>12594</v>
      </c>
      <c r="I670" s="127" t="s">
        <v>12595</v>
      </c>
      <c r="J670" s="127" t="s">
        <v>15100</v>
      </c>
      <c r="K670" s="127" t="s">
        <v>15542</v>
      </c>
      <c r="L670" s="127" t="s">
        <v>15984</v>
      </c>
      <c r="M670" s="127" t="s">
        <v>16426</v>
      </c>
      <c r="N670" s="127" t="s">
        <v>12596</v>
      </c>
    </row>
    <row r="671" spans="1:14" x14ac:dyDescent="0.35">
      <c r="A671" s="127" t="s">
        <v>6063</v>
      </c>
      <c r="C671" s="127" t="s">
        <v>3263</v>
      </c>
      <c r="D671" s="127" t="s">
        <v>12597</v>
      </c>
      <c r="I671" s="127" t="s">
        <v>12598</v>
      </c>
      <c r="J671" s="127" t="s">
        <v>15101</v>
      </c>
      <c r="K671" s="127" t="s">
        <v>15543</v>
      </c>
      <c r="L671" s="127" t="s">
        <v>15985</v>
      </c>
      <c r="M671" s="127" t="s">
        <v>16427</v>
      </c>
      <c r="N671" s="127" t="s">
        <v>12599</v>
      </c>
    </row>
    <row r="672" spans="1:14" x14ac:dyDescent="0.35">
      <c r="A672" s="127" t="s">
        <v>6063</v>
      </c>
      <c r="C672" s="127" t="s">
        <v>3263</v>
      </c>
      <c r="D672" s="127" t="s">
        <v>12600</v>
      </c>
      <c r="I672" s="127" t="s">
        <v>12601</v>
      </c>
      <c r="J672" s="127" t="s">
        <v>15102</v>
      </c>
      <c r="K672" s="127" t="s">
        <v>15544</v>
      </c>
      <c r="L672" s="127" t="s">
        <v>15986</v>
      </c>
      <c r="M672" s="127" t="s">
        <v>16428</v>
      </c>
      <c r="N672" s="127" t="s">
        <v>12602</v>
      </c>
    </row>
    <row r="673" spans="1:14" x14ac:dyDescent="0.35">
      <c r="A673" s="127" t="s">
        <v>6063</v>
      </c>
      <c r="C673" s="127" t="s">
        <v>3263</v>
      </c>
      <c r="D673" s="127" t="s">
        <v>12603</v>
      </c>
      <c r="I673" s="127" t="s">
        <v>12604</v>
      </c>
      <c r="J673" s="127" t="s">
        <v>15103</v>
      </c>
      <c r="K673" s="127" t="s">
        <v>15545</v>
      </c>
      <c r="L673" s="127" t="s">
        <v>15987</v>
      </c>
      <c r="M673" s="127" t="s">
        <v>16429</v>
      </c>
      <c r="N673" s="127" t="s">
        <v>12605</v>
      </c>
    </row>
    <row r="674" spans="1:14" x14ac:dyDescent="0.35">
      <c r="A674" s="127" t="s">
        <v>6063</v>
      </c>
      <c r="C674" s="127" t="s">
        <v>3263</v>
      </c>
      <c r="D674" s="127" t="s">
        <v>12606</v>
      </c>
      <c r="I674" s="127" t="s">
        <v>12607</v>
      </c>
      <c r="J674" s="127" t="s">
        <v>15104</v>
      </c>
      <c r="K674" s="127" t="s">
        <v>15546</v>
      </c>
      <c r="L674" s="127" t="s">
        <v>15988</v>
      </c>
      <c r="M674" s="127" t="s">
        <v>16430</v>
      </c>
      <c r="N674" s="127" t="s">
        <v>12608</v>
      </c>
    </row>
    <row r="675" spans="1:14" x14ac:dyDescent="0.35">
      <c r="A675" s="127" t="s">
        <v>6063</v>
      </c>
      <c r="C675" s="127" t="s">
        <v>3263</v>
      </c>
      <c r="D675" s="127" t="s">
        <v>12609</v>
      </c>
      <c r="I675" s="127" t="s">
        <v>12610</v>
      </c>
      <c r="J675" s="127" t="s">
        <v>15105</v>
      </c>
      <c r="K675" s="127" t="s">
        <v>15547</v>
      </c>
      <c r="L675" s="127" t="s">
        <v>15989</v>
      </c>
      <c r="M675" s="127" t="s">
        <v>16431</v>
      </c>
      <c r="N675" s="127" t="s">
        <v>12611</v>
      </c>
    </row>
    <row r="676" spans="1:14" x14ac:dyDescent="0.35">
      <c r="A676" s="127" t="s">
        <v>6063</v>
      </c>
      <c r="C676" s="127" t="s">
        <v>3263</v>
      </c>
      <c r="D676" s="127" t="s">
        <v>12612</v>
      </c>
      <c r="I676" s="127" t="s">
        <v>12613</v>
      </c>
      <c r="J676" s="127" t="s">
        <v>15106</v>
      </c>
      <c r="K676" s="127" t="s">
        <v>15548</v>
      </c>
      <c r="L676" s="127" t="s">
        <v>15990</v>
      </c>
      <c r="M676" s="127" t="s">
        <v>16432</v>
      </c>
      <c r="N676" s="127" t="s">
        <v>12614</v>
      </c>
    </row>
    <row r="677" spans="1:14" x14ac:dyDescent="0.35">
      <c r="A677" s="127" t="s">
        <v>6063</v>
      </c>
      <c r="C677" s="127" t="s">
        <v>3263</v>
      </c>
      <c r="D677" s="127" t="s">
        <v>12615</v>
      </c>
      <c r="I677" s="127" t="s">
        <v>12616</v>
      </c>
      <c r="J677" s="127" t="s">
        <v>15107</v>
      </c>
      <c r="K677" s="127" t="s">
        <v>15549</v>
      </c>
      <c r="L677" s="127" t="s">
        <v>15991</v>
      </c>
      <c r="M677" s="127" t="s">
        <v>16433</v>
      </c>
      <c r="N677" s="127" t="s">
        <v>12617</v>
      </c>
    </row>
    <row r="678" spans="1:14" x14ac:dyDescent="0.35">
      <c r="A678" s="127" t="s">
        <v>6063</v>
      </c>
      <c r="C678" s="127" t="s">
        <v>3263</v>
      </c>
      <c r="D678" s="127" t="s">
        <v>12618</v>
      </c>
      <c r="I678" s="127" t="s">
        <v>12619</v>
      </c>
      <c r="J678" s="127" t="s">
        <v>15108</v>
      </c>
      <c r="K678" s="127" t="s">
        <v>15550</v>
      </c>
      <c r="L678" s="127" t="s">
        <v>15992</v>
      </c>
      <c r="M678" s="127" t="s">
        <v>16434</v>
      </c>
      <c r="N678" s="127" t="s">
        <v>12620</v>
      </c>
    </row>
    <row r="679" spans="1:14" x14ac:dyDescent="0.35">
      <c r="A679" s="127" t="s">
        <v>6063</v>
      </c>
      <c r="C679" s="127" t="s">
        <v>3263</v>
      </c>
      <c r="D679" s="127" t="s">
        <v>12621</v>
      </c>
      <c r="I679" s="127" t="s">
        <v>12622</v>
      </c>
      <c r="J679" s="127" t="s">
        <v>15109</v>
      </c>
      <c r="K679" s="127" t="s">
        <v>15551</v>
      </c>
      <c r="L679" s="127" t="s">
        <v>15993</v>
      </c>
      <c r="M679" s="127" t="s">
        <v>16435</v>
      </c>
      <c r="N679" s="127" t="s">
        <v>12623</v>
      </c>
    </row>
    <row r="680" spans="1:14" x14ac:dyDescent="0.35">
      <c r="A680" s="127" t="s">
        <v>6063</v>
      </c>
      <c r="C680" s="127" t="s">
        <v>3263</v>
      </c>
      <c r="D680" s="127" t="s">
        <v>12624</v>
      </c>
      <c r="I680" s="127" t="s">
        <v>12625</v>
      </c>
      <c r="J680" s="127" t="s">
        <v>15110</v>
      </c>
      <c r="K680" s="127" t="s">
        <v>15552</v>
      </c>
      <c r="L680" s="127" t="s">
        <v>15994</v>
      </c>
      <c r="M680" s="127" t="s">
        <v>16436</v>
      </c>
      <c r="N680" s="127" t="s">
        <v>12626</v>
      </c>
    </row>
    <row r="681" spans="1:14" x14ac:dyDescent="0.35">
      <c r="A681" s="127" t="s">
        <v>6063</v>
      </c>
      <c r="C681" s="127" t="s">
        <v>3263</v>
      </c>
      <c r="D681" s="127" t="s">
        <v>12627</v>
      </c>
      <c r="I681" s="127" t="s">
        <v>12628</v>
      </c>
      <c r="J681" s="127" t="s">
        <v>15111</v>
      </c>
      <c r="K681" s="127" t="s">
        <v>15553</v>
      </c>
      <c r="L681" s="127" t="s">
        <v>15995</v>
      </c>
      <c r="M681" s="127" t="s">
        <v>16437</v>
      </c>
      <c r="N681" s="127" t="s">
        <v>12629</v>
      </c>
    </row>
    <row r="682" spans="1:14" x14ac:dyDescent="0.35">
      <c r="A682" s="127" t="s">
        <v>6063</v>
      </c>
      <c r="C682" s="127" t="s">
        <v>3263</v>
      </c>
      <c r="D682" s="127" t="s">
        <v>12630</v>
      </c>
      <c r="I682" s="127" t="s">
        <v>12631</v>
      </c>
      <c r="J682" s="127" t="s">
        <v>15112</v>
      </c>
      <c r="K682" s="127" t="s">
        <v>15554</v>
      </c>
      <c r="L682" s="127" t="s">
        <v>15996</v>
      </c>
      <c r="M682" s="127" t="s">
        <v>16438</v>
      </c>
      <c r="N682" s="127" t="s">
        <v>12632</v>
      </c>
    </row>
    <row r="683" spans="1:14" x14ac:dyDescent="0.35">
      <c r="A683" s="127" t="s">
        <v>6063</v>
      </c>
      <c r="C683" s="127" t="s">
        <v>3263</v>
      </c>
      <c r="D683" s="127" t="s">
        <v>12633</v>
      </c>
      <c r="I683" s="127" t="s">
        <v>12634</v>
      </c>
      <c r="J683" s="127" t="s">
        <v>15113</v>
      </c>
      <c r="K683" s="127" t="s">
        <v>15555</v>
      </c>
      <c r="L683" s="127" t="s">
        <v>15997</v>
      </c>
      <c r="M683" s="127" t="s">
        <v>16439</v>
      </c>
      <c r="N683" s="127" t="s">
        <v>12635</v>
      </c>
    </row>
    <row r="684" spans="1:14" x14ac:dyDescent="0.35">
      <c r="A684" s="127" t="s">
        <v>6063</v>
      </c>
      <c r="C684" s="127" t="s">
        <v>3263</v>
      </c>
      <c r="D684" s="127" t="s">
        <v>12636</v>
      </c>
      <c r="I684" s="127" t="s">
        <v>12637</v>
      </c>
      <c r="J684" s="127" t="s">
        <v>15114</v>
      </c>
      <c r="K684" s="127" t="s">
        <v>15556</v>
      </c>
      <c r="L684" s="127" t="s">
        <v>15998</v>
      </c>
      <c r="M684" s="127" t="s">
        <v>16440</v>
      </c>
      <c r="N684" s="127" t="s">
        <v>12638</v>
      </c>
    </row>
    <row r="685" spans="1:14" x14ac:dyDescent="0.35">
      <c r="A685" s="127" t="s">
        <v>6063</v>
      </c>
      <c r="C685" s="127" t="s">
        <v>3263</v>
      </c>
      <c r="D685" s="127" t="s">
        <v>12639</v>
      </c>
      <c r="I685" s="127" t="s">
        <v>12640</v>
      </c>
      <c r="J685" s="127" t="s">
        <v>15115</v>
      </c>
      <c r="K685" s="127" t="s">
        <v>15557</v>
      </c>
      <c r="L685" s="127" t="s">
        <v>15999</v>
      </c>
      <c r="M685" s="127" t="s">
        <v>16441</v>
      </c>
      <c r="N685" s="127" t="s">
        <v>12641</v>
      </c>
    </row>
    <row r="686" spans="1:14" x14ac:dyDescent="0.35">
      <c r="A686" s="127" t="s">
        <v>6063</v>
      </c>
      <c r="C686" s="127" t="s">
        <v>3263</v>
      </c>
      <c r="D686" s="127" t="s">
        <v>12642</v>
      </c>
      <c r="I686" s="127" t="s">
        <v>12643</v>
      </c>
      <c r="J686" s="127" t="s">
        <v>15116</v>
      </c>
      <c r="K686" s="127" t="s">
        <v>15558</v>
      </c>
      <c r="L686" s="127" t="s">
        <v>16000</v>
      </c>
      <c r="M686" s="127" t="s">
        <v>16442</v>
      </c>
      <c r="N686" s="127" t="s">
        <v>12644</v>
      </c>
    </row>
    <row r="687" spans="1:14" x14ac:dyDescent="0.35">
      <c r="A687" s="127" t="s">
        <v>6063</v>
      </c>
      <c r="C687" s="127" t="s">
        <v>3263</v>
      </c>
      <c r="D687" s="127" t="s">
        <v>12645</v>
      </c>
      <c r="I687" s="127" t="s">
        <v>12646</v>
      </c>
      <c r="J687" s="127" t="s">
        <v>15117</v>
      </c>
      <c r="K687" s="127" t="s">
        <v>15559</v>
      </c>
      <c r="L687" s="127" t="s">
        <v>16001</v>
      </c>
      <c r="M687" s="127" t="s">
        <v>16443</v>
      </c>
      <c r="N687" s="127" t="s">
        <v>12647</v>
      </c>
    </row>
    <row r="688" spans="1:14" x14ac:dyDescent="0.35">
      <c r="A688" s="127" t="s">
        <v>6063</v>
      </c>
      <c r="C688" s="127" t="s">
        <v>3263</v>
      </c>
      <c r="D688" s="127" t="s">
        <v>12648</v>
      </c>
      <c r="I688" s="127" t="s">
        <v>12649</v>
      </c>
      <c r="J688" s="127" t="s">
        <v>15118</v>
      </c>
      <c r="K688" s="127" t="s">
        <v>15560</v>
      </c>
      <c r="L688" s="127" t="s">
        <v>16002</v>
      </c>
      <c r="M688" s="127" t="s">
        <v>16444</v>
      </c>
      <c r="N688" s="127" t="s">
        <v>12650</v>
      </c>
    </row>
    <row r="689" spans="1:14" x14ac:dyDescent="0.35">
      <c r="A689" s="127" t="s">
        <v>6063</v>
      </c>
      <c r="C689" s="127" t="s">
        <v>3263</v>
      </c>
      <c r="D689" s="127" t="s">
        <v>12651</v>
      </c>
      <c r="I689" s="127" t="s">
        <v>12652</v>
      </c>
      <c r="J689" s="127" t="s">
        <v>15119</v>
      </c>
      <c r="K689" s="127" t="s">
        <v>15561</v>
      </c>
      <c r="L689" s="127" t="s">
        <v>16003</v>
      </c>
      <c r="M689" s="127" t="s">
        <v>16445</v>
      </c>
      <c r="N689" s="127" t="s">
        <v>12653</v>
      </c>
    </row>
    <row r="690" spans="1:14" x14ac:dyDescent="0.35">
      <c r="A690" s="127" t="s">
        <v>6063</v>
      </c>
      <c r="C690" s="127" t="s">
        <v>3263</v>
      </c>
      <c r="D690" s="127" t="s">
        <v>12654</v>
      </c>
      <c r="I690" s="127" t="s">
        <v>12655</v>
      </c>
      <c r="J690" s="127" t="s">
        <v>15120</v>
      </c>
      <c r="K690" s="127" t="s">
        <v>15562</v>
      </c>
      <c r="L690" s="127" t="s">
        <v>16004</v>
      </c>
      <c r="M690" s="127" t="s">
        <v>16446</v>
      </c>
      <c r="N690" s="127" t="s">
        <v>12656</v>
      </c>
    </row>
    <row r="691" spans="1:14" x14ac:dyDescent="0.35">
      <c r="A691" s="127" t="s">
        <v>6063</v>
      </c>
      <c r="C691" s="127" t="s">
        <v>3263</v>
      </c>
      <c r="D691" s="127" t="s">
        <v>12657</v>
      </c>
      <c r="I691" s="127" t="s">
        <v>12658</v>
      </c>
      <c r="J691" s="127" t="s">
        <v>15121</v>
      </c>
      <c r="K691" s="127" t="s">
        <v>15563</v>
      </c>
      <c r="L691" s="127" t="s">
        <v>16005</v>
      </c>
      <c r="M691" s="127" t="s">
        <v>16447</v>
      </c>
      <c r="N691" s="127" t="s">
        <v>12659</v>
      </c>
    </row>
    <row r="692" spans="1:14" x14ac:dyDescent="0.35">
      <c r="A692" s="127" t="s">
        <v>6063</v>
      </c>
      <c r="C692" s="127" t="s">
        <v>3263</v>
      </c>
      <c r="D692" s="127" t="s">
        <v>12660</v>
      </c>
      <c r="I692" s="127" t="s">
        <v>12661</v>
      </c>
      <c r="J692" s="127" t="s">
        <v>15122</v>
      </c>
      <c r="K692" s="127" t="s">
        <v>15564</v>
      </c>
      <c r="L692" s="127" t="s">
        <v>16006</v>
      </c>
      <c r="M692" s="127" t="s">
        <v>16448</v>
      </c>
      <c r="N692" s="127" t="s">
        <v>12662</v>
      </c>
    </row>
    <row r="693" spans="1:14" x14ac:dyDescent="0.35">
      <c r="A693" s="127" t="s">
        <v>6063</v>
      </c>
      <c r="C693" s="127" t="s">
        <v>3263</v>
      </c>
      <c r="D693" s="127" t="s">
        <v>12663</v>
      </c>
      <c r="I693" s="127" t="s">
        <v>12664</v>
      </c>
      <c r="J693" s="127" t="s">
        <v>15123</v>
      </c>
      <c r="K693" s="127" t="s">
        <v>15565</v>
      </c>
      <c r="L693" s="127" t="s">
        <v>16007</v>
      </c>
      <c r="M693" s="127" t="s">
        <v>16449</v>
      </c>
      <c r="N693" s="127" t="s">
        <v>12665</v>
      </c>
    </row>
    <row r="694" spans="1:14" x14ac:dyDescent="0.35">
      <c r="A694" s="127" t="s">
        <v>6063</v>
      </c>
      <c r="C694" s="127" t="s">
        <v>3263</v>
      </c>
      <c r="D694" s="127" t="s">
        <v>12666</v>
      </c>
      <c r="I694" s="127" t="s">
        <v>12667</v>
      </c>
      <c r="J694" s="127" t="s">
        <v>15124</v>
      </c>
      <c r="K694" s="127" t="s">
        <v>15566</v>
      </c>
      <c r="L694" s="127" t="s">
        <v>16008</v>
      </c>
      <c r="M694" s="127" t="s">
        <v>16450</v>
      </c>
      <c r="N694" s="127" t="s">
        <v>12668</v>
      </c>
    </row>
    <row r="695" spans="1:14" x14ac:dyDescent="0.35">
      <c r="A695" s="127" t="s">
        <v>6063</v>
      </c>
      <c r="C695" s="127" t="s">
        <v>3263</v>
      </c>
      <c r="D695" s="127" t="s">
        <v>12669</v>
      </c>
      <c r="I695" s="127" t="s">
        <v>12670</v>
      </c>
      <c r="J695" s="127" t="s">
        <v>15125</v>
      </c>
      <c r="K695" s="127" t="s">
        <v>15567</v>
      </c>
      <c r="L695" s="127" t="s">
        <v>16009</v>
      </c>
      <c r="M695" s="127" t="s">
        <v>16451</v>
      </c>
      <c r="N695" s="127" t="s">
        <v>12671</v>
      </c>
    </row>
    <row r="696" spans="1:14" x14ac:dyDescent="0.35">
      <c r="A696" s="127" t="s">
        <v>6063</v>
      </c>
      <c r="C696" s="127" t="s">
        <v>3263</v>
      </c>
      <c r="D696" s="127" t="s">
        <v>12672</v>
      </c>
      <c r="I696" s="127" t="s">
        <v>12673</v>
      </c>
      <c r="J696" s="127" t="s">
        <v>15126</v>
      </c>
      <c r="K696" s="127" t="s">
        <v>15568</v>
      </c>
      <c r="L696" s="127" t="s">
        <v>16010</v>
      </c>
      <c r="M696" s="127" t="s">
        <v>16452</v>
      </c>
      <c r="N696" s="127" t="s">
        <v>12674</v>
      </c>
    </row>
    <row r="697" spans="1:14" x14ac:dyDescent="0.35">
      <c r="A697" s="127" t="s">
        <v>6063</v>
      </c>
      <c r="C697" s="127" t="s">
        <v>3263</v>
      </c>
      <c r="D697" s="127" t="s">
        <v>12675</v>
      </c>
      <c r="I697" s="127" t="s">
        <v>12676</v>
      </c>
      <c r="J697" s="127" t="s">
        <v>15127</v>
      </c>
      <c r="K697" s="127" t="s">
        <v>15569</v>
      </c>
      <c r="L697" s="127" t="s">
        <v>16011</v>
      </c>
      <c r="M697" s="127" t="s">
        <v>16453</v>
      </c>
      <c r="N697" s="127" t="s">
        <v>12677</v>
      </c>
    </row>
    <row r="698" spans="1:14" x14ac:dyDescent="0.35">
      <c r="A698" s="127" t="s">
        <v>6063</v>
      </c>
      <c r="C698" s="127" t="s">
        <v>3263</v>
      </c>
      <c r="D698" s="127" t="s">
        <v>12678</v>
      </c>
      <c r="I698" s="127" t="s">
        <v>12679</v>
      </c>
      <c r="J698" s="127" t="s">
        <v>15128</v>
      </c>
      <c r="K698" s="127" t="s">
        <v>15570</v>
      </c>
      <c r="L698" s="127" t="s">
        <v>16012</v>
      </c>
      <c r="M698" s="127" t="s">
        <v>16454</v>
      </c>
      <c r="N698" s="127" t="s">
        <v>12680</v>
      </c>
    </row>
    <row r="699" spans="1:14" x14ac:dyDescent="0.35">
      <c r="A699" s="127" t="s">
        <v>6063</v>
      </c>
      <c r="C699" s="127" t="s">
        <v>3263</v>
      </c>
      <c r="D699" s="127" t="s">
        <v>12681</v>
      </c>
      <c r="I699" s="127" t="s">
        <v>12682</v>
      </c>
      <c r="J699" s="127" t="s">
        <v>15129</v>
      </c>
      <c r="K699" s="127" t="s">
        <v>15571</v>
      </c>
      <c r="L699" s="127" t="s">
        <v>16013</v>
      </c>
      <c r="M699" s="127" t="s">
        <v>16455</v>
      </c>
      <c r="N699" s="127" t="s">
        <v>12683</v>
      </c>
    </row>
    <row r="700" spans="1:14" x14ac:dyDescent="0.35">
      <c r="A700" s="127" t="s">
        <v>6063</v>
      </c>
      <c r="C700" s="127" t="s">
        <v>3263</v>
      </c>
      <c r="D700" s="127" t="s">
        <v>12684</v>
      </c>
      <c r="I700" s="127" t="s">
        <v>12685</v>
      </c>
      <c r="J700" s="127" t="s">
        <v>15130</v>
      </c>
      <c r="K700" s="127" t="s">
        <v>15572</v>
      </c>
      <c r="L700" s="127" t="s">
        <v>16014</v>
      </c>
      <c r="M700" s="127" t="s">
        <v>16456</v>
      </c>
      <c r="N700" s="127" t="s">
        <v>12686</v>
      </c>
    </row>
    <row r="701" spans="1:14" x14ac:dyDescent="0.35">
      <c r="A701" s="127" t="s">
        <v>6063</v>
      </c>
      <c r="C701" s="127" t="s">
        <v>3263</v>
      </c>
      <c r="D701" s="127" t="s">
        <v>12687</v>
      </c>
      <c r="I701" s="127" t="s">
        <v>12688</v>
      </c>
      <c r="J701" s="127" t="s">
        <v>15131</v>
      </c>
      <c r="K701" s="127" t="s">
        <v>15573</v>
      </c>
      <c r="L701" s="127" t="s">
        <v>16015</v>
      </c>
      <c r="M701" s="127" t="s">
        <v>16457</v>
      </c>
      <c r="N701" s="127" t="s">
        <v>12689</v>
      </c>
    </row>
    <row r="702" spans="1:14" x14ac:dyDescent="0.35">
      <c r="A702" s="127" t="s">
        <v>6063</v>
      </c>
      <c r="C702" s="127" t="s">
        <v>3263</v>
      </c>
      <c r="D702" s="127" t="s">
        <v>12690</v>
      </c>
      <c r="I702" s="127" t="s">
        <v>12691</v>
      </c>
      <c r="J702" s="127" t="s">
        <v>15132</v>
      </c>
      <c r="K702" s="127" t="s">
        <v>15574</v>
      </c>
      <c r="L702" s="127" t="s">
        <v>16016</v>
      </c>
      <c r="M702" s="127" t="s">
        <v>16458</v>
      </c>
      <c r="N702" s="127" t="s">
        <v>12692</v>
      </c>
    </row>
    <row r="703" spans="1:14" x14ac:dyDescent="0.35">
      <c r="A703" s="127" t="s">
        <v>6063</v>
      </c>
      <c r="C703" s="127" t="s">
        <v>3263</v>
      </c>
      <c r="D703" s="127" t="s">
        <v>12693</v>
      </c>
      <c r="I703" s="127" t="s">
        <v>12694</v>
      </c>
      <c r="J703" s="127" t="s">
        <v>15133</v>
      </c>
      <c r="K703" s="127" t="s">
        <v>15575</v>
      </c>
      <c r="L703" s="127" t="s">
        <v>16017</v>
      </c>
      <c r="M703" s="127" t="s">
        <v>16459</v>
      </c>
      <c r="N703" s="127" t="s">
        <v>12695</v>
      </c>
    </row>
    <row r="704" spans="1:14" x14ac:dyDescent="0.35">
      <c r="A704" s="127" t="s">
        <v>6063</v>
      </c>
      <c r="C704" s="127" t="s">
        <v>3263</v>
      </c>
      <c r="D704" s="127" t="s">
        <v>12696</v>
      </c>
      <c r="I704" s="127" t="s">
        <v>12697</v>
      </c>
      <c r="J704" s="127" t="s">
        <v>15134</v>
      </c>
      <c r="K704" s="127" t="s">
        <v>15576</v>
      </c>
      <c r="L704" s="127" t="s">
        <v>16018</v>
      </c>
      <c r="M704" s="127" t="s">
        <v>16460</v>
      </c>
      <c r="N704" s="127" t="s">
        <v>12698</v>
      </c>
    </row>
    <row r="705" spans="1:14" x14ac:dyDescent="0.35">
      <c r="A705" s="127" t="s">
        <v>6063</v>
      </c>
      <c r="C705" s="127" t="s">
        <v>3263</v>
      </c>
      <c r="D705" s="127" t="s">
        <v>12699</v>
      </c>
      <c r="I705" s="127" t="s">
        <v>12700</v>
      </c>
      <c r="J705" s="127" t="s">
        <v>15135</v>
      </c>
      <c r="K705" s="127" t="s">
        <v>15577</v>
      </c>
      <c r="L705" s="127" t="s">
        <v>16019</v>
      </c>
      <c r="M705" s="127" t="s">
        <v>16461</v>
      </c>
      <c r="N705" s="127" t="s">
        <v>12701</v>
      </c>
    </row>
    <row r="706" spans="1:14" x14ac:dyDescent="0.35">
      <c r="A706" s="127" t="s">
        <v>6063</v>
      </c>
      <c r="C706" s="127" t="s">
        <v>3263</v>
      </c>
      <c r="D706" s="127" t="s">
        <v>12702</v>
      </c>
      <c r="I706" s="127" t="s">
        <v>12703</v>
      </c>
      <c r="J706" s="127" t="s">
        <v>15136</v>
      </c>
      <c r="K706" s="127" t="s">
        <v>15578</v>
      </c>
      <c r="L706" s="127" t="s">
        <v>16020</v>
      </c>
      <c r="M706" s="127" t="s">
        <v>16462</v>
      </c>
      <c r="N706" s="127" t="s">
        <v>12704</v>
      </c>
    </row>
    <row r="707" spans="1:14" x14ac:dyDescent="0.35">
      <c r="A707" s="127" t="s">
        <v>6063</v>
      </c>
      <c r="C707" s="127" t="s">
        <v>3263</v>
      </c>
      <c r="D707" s="127" t="s">
        <v>12705</v>
      </c>
      <c r="I707" s="127" t="s">
        <v>12706</v>
      </c>
      <c r="J707" s="127" t="s">
        <v>15137</v>
      </c>
      <c r="K707" s="127" t="s">
        <v>15579</v>
      </c>
      <c r="L707" s="127" t="s">
        <v>16021</v>
      </c>
      <c r="M707" s="127" t="s">
        <v>16463</v>
      </c>
      <c r="N707" s="127" t="s">
        <v>12707</v>
      </c>
    </row>
    <row r="708" spans="1:14" x14ac:dyDescent="0.35">
      <c r="A708" s="127" t="s">
        <v>6063</v>
      </c>
      <c r="C708" s="127" t="s">
        <v>3263</v>
      </c>
      <c r="D708" s="127" t="s">
        <v>12708</v>
      </c>
      <c r="I708" s="127" t="s">
        <v>12709</v>
      </c>
      <c r="J708" s="127" t="s">
        <v>15138</v>
      </c>
      <c r="K708" s="127" t="s">
        <v>15580</v>
      </c>
      <c r="L708" s="127" t="s">
        <v>16022</v>
      </c>
      <c r="M708" s="127" t="s">
        <v>16464</v>
      </c>
      <c r="N708" s="127" t="s">
        <v>12710</v>
      </c>
    </row>
    <row r="709" spans="1:14" x14ac:dyDescent="0.35">
      <c r="A709" s="127" t="s">
        <v>6063</v>
      </c>
      <c r="C709" s="127" t="s">
        <v>3263</v>
      </c>
      <c r="D709" s="127" t="s">
        <v>12711</v>
      </c>
      <c r="I709" s="127" t="s">
        <v>12712</v>
      </c>
      <c r="J709" s="127" t="s">
        <v>15139</v>
      </c>
      <c r="K709" s="127" t="s">
        <v>15581</v>
      </c>
      <c r="L709" s="127" t="s">
        <v>16023</v>
      </c>
      <c r="M709" s="127" t="s">
        <v>16465</v>
      </c>
      <c r="N709" s="127" t="s">
        <v>12713</v>
      </c>
    </row>
    <row r="710" spans="1:14" x14ac:dyDescent="0.35">
      <c r="A710" s="127" t="s">
        <v>6063</v>
      </c>
      <c r="C710" s="127" t="s">
        <v>3263</v>
      </c>
      <c r="D710" s="127" t="s">
        <v>12714</v>
      </c>
      <c r="I710" s="127" t="s">
        <v>12715</v>
      </c>
      <c r="J710" s="127" t="s">
        <v>15140</v>
      </c>
      <c r="K710" s="127" t="s">
        <v>15582</v>
      </c>
      <c r="L710" s="127" t="s">
        <v>16024</v>
      </c>
      <c r="M710" s="127" t="s">
        <v>16466</v>
      </c>
      <c r="N710" s="127" t="s">
        <v>12716</v>
      </c>
    </row>
    <row r="711" spans="1:14" x14ac:dyDescent="0.35">
      <c r="A711" s="127" t="s">
        <v>6063</v>
      </c>
      <c r="C711" s="127" t="s">
        <v>3263</v>
      </c>
      <c r="D711" s="127" t="s">
        <v>12717</v>
      </c>
      <c r="I711" s="127" t="s">
        <v>12718</v>
      </c>
      <c r="J711" s="127" t="s">
        <v>15141</v>
      </c>
      <c r="K711" s="127" t="s">
        <v>15583</v>
      </c>
      <c r="L711" s="127" t="s">
        <v>16025</v>
      </c>
      <c r="M711" s="127" t="s">
        <v>16467</v>
      </c>
      <c r="N711" s="127" t="s">
        <v>12719</v>
      </c>
    </row>
    <row r="712" spans="1:14" x14ac:dyDescent="0.35">
      <c r="A712" s="127" t="s">
        <v>6063</v>
      </c>
      <c r="C712" s="127" t="s">
        <v>3263</v>
      </c>
      <c r="D712" s="127" t="s">
        <v>12720</v>
      </c>
      <c r="I712" s="127" t="s">
        <v>12721</v>
      </c>
      <c r="J712" s="127" t="s">
        <v>15142</v>
      </c>
      <c r="K712" s="127" t="s">
        <v>15584</v>
      </c>
      <c r="L712" s="127" t="s">
        <v>16026</v>
      </c>
      <c r="M712" s="127" t="s">
        <v>16468</v>
      </c>
      <c r="N712" s="127" t="s">
        <v>12722</v>
      </c>
    </row>
    <row r="713" spans="1:14" x14ac:dyDescent="0.35">
      <c r="A713" s="127" t="s">
        <v>6063</v>
      </c>
      <c r="C713" s="127" t="s">
        <v>3263</v>
      </c>
      <c r="D713" s="127" t="s">
        <v>12723</v>
      </c>
      <c r="I713" s="127" t="s">
        <v>12724</v>
      </c>
      <c r="J713" s="127" t="s">
        <v>15143</v>
      </c>
      <c r="K713" s="127" t="s">
        <v>15585</v>
      </c>
      <c r="L713" s="127" t="s">
        <v>16027</v>
      </c>
      <c r="M713" s="127" t="s">
        <v>16469</v>
      </c>
      <c r="N713" s="127" t="s">
        <v>12725</v>
      </c>
    </row>
    <row r="714" spans="1:14" x14ac:dyDescent="0.35">
      <c r="A714" s="127" t="s">
        <v>6063</v>
      </c>
      <c r="C714" s="127" t="s">
        <v>3263</v>
      </c>
      <c r="D714" s="127" t="s">
        <v>12726</v>
      </c>
      <c r="I714" s="127" t="s">
        <v>12727</v>
      </c>
      <c r="J714" s="127" t="s">
        <v>15144</v>
      </c>
      <c r="K714" s="127" t="s">
        <v>15586</v>
      </c>
      <c r="L714" s="127" t="s">
        <v>16028</v>
      </c>
      <c r="M714" s="127" t="s">
        <v>16470</v>
      </c>
      <c r="N714" s="127" t="s">
        <v>12728</v>
      </c>
    </row>
    <row r="715" spans="1:14" x14ac:dyDescent="0.35">
      <c r="A715" s="127" t="s">
        <v>6063</v>
      </c>
      <c r="C715" s="127" t="s">
        <v>3263</v>
      </c>
      <c r="D715" s="127" t="s">
        <v>12729</v>
      </c>
      <c r="I715" s="127" t="s">
        <v>12730</v>
      </c>
      <c r="J715" s="127" t="s">
        <v>15145</v>
      </c>
      <c r="K715" s="127" t="s">
        <v>15587</v>
      </c>
      <c r="L715" s="127" t="s">
        <v>16029</v>
      </c>
      <c r="M715" s="127" t="s">
        <v>16471</v>
      </c>
      <c r="N715" s="127" t="s">
        <v>12731</v>
      </c>
    </row>
    <row r="716" spans="1:14" x14ac:dyDescent="0.35">
      <c r="A716" s="127" t="s">
        <v>6063</v>
      </c>
      <c r="C716" s="127" t="s">
        <v>3263</v>
      </c>
      <c r="D716" s="127" t="s">
        <v>12732</v>
      </c>
      <c r="I716" s="127" t="s">
        <v>12733</v>
      </c>
      <c r="J716" s="127" t="s">
        <v>15146</v>
      </c>
      <c r="K716" s="127" t="s">
        <v>15588</v>
      </c>
      <c r="L716" s="127" t="s">
        <v>16030</v>
      </c>
      <c r="M716" s="127" t="s">
        <v>16472</v>
      </c>
      <c r="N716" s="127" t="s">
        <v>12734</v>
      </c>
    </row>
    <row r="717" spans="1:14" x14ac:dyDescent="0.35">
      <c r="A717" s="127" t="s">
        <v>6063</v>
      </c>
      <c r="C717" s="127" t="s">
        <v>3263</v>
      </c>
      <c r="D717" s="127" t="s">
        <v>12735</v>
      </c>
      <c r="I717" s="127" t="s">
        <v>12736</v>
      </c>
      <c r="J717" s="127" t="s">
        <v>15147</v>
      </c>
      <c r="K717" s="127" t="s">
        <v>15589</v>
      </c>
      <c r="L717" s="127" t="s">
        <v>16031</v>
      </c>
      <c r="M717" s="127" t="s">
        <v>16473</v>
      </c>
      <c r="N717" s="127" t="s">
        <v>12737</v>
      </c>
    </row>
    <row r="718" spans="1:14" x14ac:dyDescent="0.35">
      <c r="A718" s="127" t="s">
        <v>6063</v>
      </c>
      <c r="C718" s="127" t="s">
        <v>3263</v>
      </c>
      <c r="D718" s="127" t="s">
        <v>12738</v>
      </c>
      <c r="I718" s="127" t="s">
        <v>12739</v>
      </c>
      <c r="J718" s="127" t="s">
        <v>15148</v>
      </c>
      <c r="K718" s="127" t="s">
        <v>15590</v>
      </c>
      <c r="L718" s="127" t="s">
        <v>16032</v>
      </c>
      <c r="M718" s="127" t="s">
        <v>16474</v>
      </c>
      <c r="N718" s="127" t="s">
        <v>12740</v>
      </c>
    </row>
    <row r="719" spans="1:14" x14ac:dyDescent="0.35">
      <c r="A719" s="127" t="s">
        <v>6063</v>
      </c>
      <c r="C719" s="127" t="s">
        <v>3263</v>
      </c>
      <c r="D719" s="127" t="s">
        <v>12741</v>
      </c>
      <c r="I719" s="127" t="s">
        <v>12742</v>
      </c>
      <c r="J719" s="127" t="s">
        <v>15149</v>
      </c>
      <c r="K719" s="127" t="s">
        <v>15591</v>
      </c>
      <c r="L719" s="127" t="s">
        <v>16033</v>
      </c>
      <c r="M719" s="127" t="s">
        <v>16475</v>
      </c>
      <c r="N719" s="127" t="s">
        <v>12743</v>
      </c>
    </row>
    <row r="720" spans="1:14" x14ac:dyDescent="0.35">
      <c r="A720" s="127" t="s">
        <v>6063</v>
      </c>
      <c r="C720" s="127" t="s">
        <v>3263</v>
      </c>
      <c r="D720" s="127" t="s">
        <v>12744</v>
      </c>
      <c r="I720" s="127" t="s">
        <v>12745</v>
      </c>
      <c r="J720" s="127" t="s">
        <v>15150</v>
      </c>
      <c r="K720" s="127" t="s">
        <v>15592</v>
      </c>
      <c r="L720" s="127" t="s">
        <v>16034</v>
      </c>
      <c r="M720" s="127" t="s">
        <v>16476</v>
      </c>
      <c r="N720" s="127" t="s">
        <v>12746</v>
      </c>
    </row>
    <row r="721" spans="1:14" x14ac:dyDescent="0.35">
      <c r="A721" s="127" t="s">
        <v>6063</v>
      </c>
      <c r="C721" s="127" t="s">
        <v>3263</v>
      </c>
      <c r="D721" s="127" t="s">
        <v>12747</v>
      </c>
      <c r="I721" s="127" t="s">
        <v>12748</v>
      </c>
      <c r="J721" s="127" t="s">
        <v>15151</v>
      </c>
      <c r="K721" s="127" t="s">
        <v>15593</v>
      </c>
      <c r="L721" s="127" t="s">
        <v>16035</v>
      </c>
      <c r="M721" s="127" t="s">
        <v>16477</v>
      </c>
      <c r="N721" s="127" t="s">
        <v>12749</v>
      </c>
    </row>
    <row r="722" spans="1:14" x14ac:dyDescent="0.35">
      <c r="A722" s="127" t="s">
        <v>6063</v>
      </c>
      <c r="C722" s="127" t="s">
        <v>3263</v>
      </c>
      <c r="D722" s="127" t="s">
        <v>12750</v>
      </c>
      <c r="I722" s="127" t="s">
        <v>12751</v>
      </c>
      <c r="J722" s="127" t="s">
        <v>15152</v>
      </c>
      <c r="K722" s="127" t="s">
        <v>15594</v>
      </c>
      <c r="L722" s="127" t="s">
        <v>16036</v>
      </c>
      <c r="M722" s="127" t="s">
        <v>16478</v>
      </c>
      <c r="N722" s="127" t="s">
        <v>12752</v>
      </c>
    </row>
    <row r="723" spans="1:14" x14ac:dyDescent="0.35">
      <c r="A723" s="127" t="s">
        <v>6063</v>
      </c>
      <c r="C723" s="127" t="s">
        <v>3263</v>
      </c>
      <c r="D723" s="127" t="s">
        <v>12753</v>
      </c>
      <c r="I723" s="127" t="s">
        <v>12754</v>
      </c>
      <c r="J723" s="127" t="s">
        <v>15153</v>
      </c>
      <c r="K723" s="127" t="s">
        <v>15595</v>
      </c>
      <c r="L723" s="127" t="s">
        <v>16037</v>
      </c>
      <c r="M723" s="127" t="s">
        <v>16479</v>
      </c>
      <c r="N723" s="127" t="s">
        <v>12755</v>
      </c>
    </row>
    <row r="724" spans="1:14" x14ac:dyDescent="0.35">
      <c r="A724" s="127" t="s">
        <v>6063</v>
      </c>
      <c r="C724" s="127" t="s">
        <v>3263</v>
      </c>
      <c r="D724" s="127" t="s">
        <v>12756</v>
      </c>
      <c r="I724" s="127" t="s">
        <v>12757</v>
      </c>
      <c r="J724" s="127" t="s">
        <v>15154</v>
      </c>
      <c r="K724" s="127" t="s">
        <v>15596</v>
      </c>
      <c r="L724" s="127" t="s">
        <v>16038</v>
      </c>
      <c r="M724" s="127" t="s">
        <v>16480</v>
      </c>
      <c r="N724" s="127" t="s">
        <v>12758</v>
      </c>
    </row>
    <row r="725" spans="1:14" x14ac:dyDescent="0.35">
      <c r="A725" s="127" t="s">
        <v>6063</v>
      </c>
      <c r="C725" s="127" t="s">
        <v>3263</v>
      </c>
      <c r="D725" s="127" t="s">
        <v>12759</v>
      </c>
      <c r="I725" s="127" t="s">
        <v>12760</v>
      </c>
      <c r="J725" s="127" t="s">
        <v>15155</v>
      </c>
      <c r="K725" s="127" t="s">
        <v>15597</v>
      </c>
      <c r="L725" s="127" t="s">
        <v>16039</v>
      </c>
      <c r="M725" s="127" t="s">
        <v>16481</v>
      </c>
      <c r="N725" s="127" t="s">
        <v>12761</v>
      </c>
    </row>
    <row r="726" spans="1:14" x14ac:dyDescent="0.35">
      <c r="A726" s="127" t="s">
        <v>6063</v>
      </c>
      <c r="C726" s="127" t="s">
        <v>3263</v>
      </c>
      <c r="D726" s="127" t="s">
        <v>12762</v>
      </c>
      <c r="I726" s="127" t="s">
        <v>12763</v>
      </c>
      <c r="J726" s="127" t="s">
        <v>15156</v>
      </c>
      <c r="K726" s="127" t="s">
        <v>15598</v>
      </c>
      <c r="L726" s="127" t="s">
        <v>16040</v>
      </c>
      <c r="M726" s="127" t="s">
        <v>16482</v>
      </c>
      <c r="N726" s="127" t="s">
        <v>12764</v>
      </c>
    </row>
    <row r="727" spans="1:14" x14ac:dyDescent="0.35">
      <c r="A727" s="127" t="s">
        <v>6063</v>
      </c>
      <c r="C727" s="127" t="s">
        <v>3263</v>
      </c>
      <c r="D727" s="127" t="s">
        <v>12765</v>
      </c>
      <c r="I727" s="127" t="s">
        <v>12766</v>
      </c>
      <c r="J727" s="127" t="s">
        <v>15157</v>
      </c>
      <c r="K727" s="127" t="s">
        <v>15599</v>
      </c>
      <c r="L727" s="127" t="s">
        <v>16041</v>
      </c>
      <c r="M727" s="127" t="s">
        <v>16483</v>
      </c>
      <c r="N727" s="127" t="s">
        <v>12767</v>
      </c>
    </row>
    <row r="728" spans="1:14" x14ac:dyDescent="0.35">
      <c r="A728" s="127" t="s">
        <v>6063</v>
      </c>
      <c r="C728" s="127" t="s">
        <v>3263</v>
      </c>
      <c r="D728" s="127" t="s">
        <v>12768</v>
      </c>
      <c r="I728" s="127" t="s">
        <v>12769</v>
      </c>
      <c r="J728" s="127" t="s">
        <v>15158</v>
      </c>
      <c r="K728" s="127" t="s">
        <v>15600</v>
      </c>
      <c r="L728" s="127" t="s">
        <v>16042</v>
      </c>
      <c r="M728" s="127" t="s">
        <v>16484</v>
      </c>
      <c r="N728" s="127" t="s">
        <v>12770</v>
      </c>
    </row>
    <row r="729" spans="1:14" x14ac:dyDescent="0.35">
      <c r="A729" s="127" t="s">
        <v>6063</v>
      </c>
      <c r="C729" s="127" t="s">
        <v>3263</v>
      </c>
      <c r="D729" s="127" t="s">
        <v>12771</v>
      </c>
      <c r="I729" s="127" t="s">
        <v>12772</v>
      </c>
      <c r="J729" s="127" t="s">
        <v>15159</v>
      </c>
      <c r="K729" s="127" t="s">
        <v>15601</v>
      </c>
      <c r="L729" s="127" t="s">
        <v>16043</v>
      </c>
      <c r="M729" s="127" t="s">
        <v>16485</v>
      </c>
      <c r="N729" s="127" t="s">
        <v>12773</v>
      </c>
    </row>
    <row r="730" spans="1:14" x14ac:dyDescent="0.35">
      <c r="A730" s="127" t="s">
        <v>6063</v>
      </c>
      <c r="C730" s="127" t="s">
        <v>3263</v>
      </c>
      <c r="D730" s="127" t="s">
        <v>12774</v>
      </c>
      <c r="I730" s="127" t="s">
        <v>12775</v>
      </c>
      <c r="J730" s="127" t="s">
        <v>15160</v>
      </c>
      <c r="K730" s="127" t="s">
        <v>15602</v>
      </c>
      <c r="L730" s="127" t="s">
        <v>16044</v>
      </c>
      <c r="M730" s="127" t="s">
        <v>16486</v>
      </c>
      <c r="N730" s="127" t="s">
        <v>12776</v>
      </c>
    </row>
    <row r="731" spans="1:14" x14ac:dyDescent="0.35">
      <c r="A731" s="127" t="s">
        <v>6063</v>
      </c>
      <c r="C731" s="127" t="s">
        <v>3263</v>
      </c>
      <c r="D731" s="127" t="s">
        <v>12777</v>
      </c>
      <c r="I731" s="127" t="s">
        <v>12778</v>
      </c>
      <c r="J731" s="127" t="s">
        <v>15161</v>
      </c>
      <c r="K731" s="127" t="s">
        <v>15603</v>
      </c>
      <c r="L731" s="127" t="s">
        <v>16045</v>
      </c>
      <c r="M731" s="127" t="s">
        <v>16487</v>
      </c>
      <c r="N731" s="127" t="s">
        <v>12779</v>
      </c>
    </row>
    <row r="732" spans="1:14" x14ac:dyDescent="0.35">
      <c r="A732" s="127" t="s">
        <v>6063</v>
      </c>
      <c r="C732" s="127" t="s">
        <v>3263</v>
      </c>
      <c r="D732" s="127" t="s">
        <v>12780</v>
      </c>
      <c r="I732" s="127" t="s">
        <v>12781</v>
      </c>
      <c r="J732" s="127" t="s">
        <v>15162</v>
      </c>
      <c r="K732" s="127" t="s">
        <v>15604</v>
      </c>
      <c r="L732" s="127" t="s">
        <v>16046</v>
      </c>
      <c r="M732" s="127" t="s">
        <v>16488</v>
      </c>
      <c r="N732" s="127" t="s">
        <v>12782</v>
      </c>
    </row>
    <row r="733" spans="1:14" x14ac:dyDescent="0.35">
      <c r="A733" s="127" t="s">
        <v>6063</v>
      </c>
      <c r="C733" s="127" t="s">
        <v>3263</v>
      </c>
      <c r="D733" s="127" t="s">
        <v>12783</v>
      </c>
      <c r="I733" s="127" t="s">
        <v>12784</v>
      </c>
      <c r="J733" s="127" t="s">
        <v>15163</v>
      </c>
      <c r="K733" s="127" t="s">
        <v>15605</v>
      </c>
      <c r="L733" s="127" t="s">
        <v>16047</v>
      </c>
      <c r="M733" s="127" t="s">
        <v>16489</v>
      </c>
      <c r="N733" s="127" t="s">
        <v>12785</v>
      </c>
    </row>
    <row r="734" spans="1:14" x14ac:dyDescent="0.35">
      <c r="A734" s="127" t="s">
        <v>6063</v>
      </c>
      <c r="C734" s="127" t="s">
        <v>3263</v>
      </c>
      <c r="D734" s="127" t="s">
        <v>12786</v>
      </c>
      <c r="I734" s="127" t="s">
        <v>12787</v>
      </c>
      <c r="J734" s="127" t="s">
        <v>15164</v>
      </c>
      <c r="K734" s="127" t="s">
        <v>15606</v>
      </c>
      <c r="L734" s="127" t="s">
        <v>16048</v>
      </c>
      <c r="M734" s="127" t="s">
        <v>16490</v>
      </c>
      <c r="N734" s="127" t="s">
        <v>12788</v>
      </c>
    </row>
    <row r="735" spans="1:14" x14ac:dyDescent="0.35">
      <c r="A735" s="127" t="s">
        <v>6063</v>
      </c>
      <c r="C735" s="127" t="s">
        <v>3263</v>
      </c>
      <c r="D735" s="127" t="s">
        <v>12789</v>
      </c>
      <c r="I735" s="127" t="s">
        <v>12790</v>
      </c>
      <c r="J735" s="127" t="s">
        <v>15165</v>
      </c>
      <c r="K735" s="127" t="s">
        <v>15607</v>
      </c>
      <c r="L735" s="127" t="s">
        <v>16049</v>
      </c>
      <c r="M735" s="127" t="s">
        <v>16491</v>
      </c>
      <c r="N735" s="127" t="s">
        <v>12791</v>
      </c>
    </row>
    <row r="736" spans="1:14" x14ac:dyDescent="0.35">
      <c r="A736" s="127" t="s">
        <v>6063</v>
      </c>
      <c r="C736" s="127" t="s">
        <v>3263</v>
      </c>
      <c r="D736" s="127" t="s">
        <v>12792</v>
      </c>
      <c r="I736" s="127" t="s">
        <v>12793</v>
      </c>
      <c r="J736" s="127" t="s">
        <v>15166</v>
      </c>
      <c r="K736" s="127" t="s">
        <v>15608</v>
      </c>
      <c r="L736" s="127" t="s">
        <v>16050</v>
      </c>
      <c r="M736" s="127" t="s">
        <v>16492</v>
      </c>
      <c r="N736" s="127" t="s">
        <v>12794</v>
      </c>
    </row>
    <row r="737" spans="1:14" x14ac:dyDescent="0.35">
      <c r="A737" s="127" t="s">
        <v>6063</v>
      </c>
      <c r="C737" s="127" t="s">
        <v>3263</v>
      </c>
      <c r="D737" s="127" t="s">
        <v>12795</v>
      </c>
      <c r="I737" s="127" t="s">
        <v>12796</v>
      </c>
      <c r="J737" s="127" t="s">
        <v>15167</v>
      </c>
      <c r="K737" s="127" t="s">
        <v>15609</v>
      </c>
      <c r="L737" s="127" t="s">
        <v>16051</v>
      </c>
      <c r="M737" s="127" t="s">
        <v>16493</v>
      </c>
      <c r="N737" s="127" t="s">
        <v>12797</v>
      </c>
    </row>
    <row r="738" spans="1:14" x14ac:dyDescent="0.35">
      <c r="A738" s="127" t="s">
        <v>6063</v>
      </c>
      <c r="C738" s="127" t="s">
        <v>3263</v>
      </c>
      <c r="D738" s="127" t="s">
        <v>12798</v>
      </c>
      <c r="I738" s="127" t="s">
        <v>12799</v>
      </c>
      <c r="J738" s="127" t="s">
        <v>15168</v>
      </c>
      <c r="K738" s="127" t="s">
        <v>15610</v>
      </c>
      <c r="L738" s="127" t="s">
        <v>16052</v>
      </c>
      <c r="M738" s="127" t="s">
        <v>16494</v>
      </c>
      <c r="N738" s="127" t="s">
        <v>12800</v>
      </c>
    </row>
    <row r="739" spans="1:14" x14ac:dyDescent="0.35">
      <c r="A739" s="127" t="s">
        <v>6063</v>
      </c>
      <c r="C739" s="127" t="s">
        <v>3263</v>
      </c>
      <c r="D739" s="127" t="s">
        <v>12801</v>
      </c>
      <c r="I739" s="127" t="s">
        <v>12802</v>
      </c>
      <c r="J739" s="127" t="s">
        <v>15169</v>
      </c>
      <c r="K739" s="127" t="s">
        <v>15611</v>
      </c>
      <c r="L739" s="127" t="s">
        <v>16053</v>
      </c>
      <c r="M739" s="127" t="s">
        <v>16495</v>
      </c>
      <c r="N739" s="127" t="s">
        <v>12803</v>
      </c>
    </row>
    <row r="740" spans="1:14" x14ac:dyDescent="0.35">
      <c r="A740" s="127" t="s">
        <v>6063</v>
      </c>
      <c r="C740" s="127" t="s">
        <v>3263</v>
      </c>
      <c r="D740" s="127" t="s">
        <v>12804</v>
      </c>
      <c r="I740" s="127" t="s">
        <v>12805</v>
      </c>
      <c r="J740" s="127" t="s">
        <v>15170</v>
      </c>
      <c r="K740" s="127" t="s">
        <v>15612</v>
      </c>
      <c r="L740" s="127" t="s">
        <v>16054</v>
      </c>
      <c r="M740" s="127" t="s">
        <v>16496</v>
      </c>
      <c r="N740" s="127" t="s">
        <v>12806</v>
      </c>
    </row>
    <row r="741" spans="1:14" x14ac:dyDescent="0.35">
      <c r="A741" s="127" t="s">
        <v>6063</v>
      </c>
      <c r="C741" s="127" t="s">
        <v>3263</v>
      </c>
      <c r="D741" s="127" t="s">
        <v>12807</v>
      </c>
      <c r="I741" s="127" t="s">
        <v>12808</v>
      </c>
      <c r="J741" s="127" t="s">
        <v>15171</v>
      </c>
      <c r="K741" s="127" t="s">
        <v>15613</v>
      </c>
      <c r="L741" s="127" t="s">
        <v>16055</v>
      </c>
      <c r="M741" s="127" t="s">
        <v>16497</v>
      </c>
      <c r="N741" s="127" t="s">
        <v>12809</v>
      </c>
    </row>
    <row r="742" spans="1:14" x14ac:dyDescent="0.35">
      <c r="A742" s="127" t="s">
        <v>6063</v>
      </c>
      <c r="C742" s="127" t="s">
        <v>3263</v>
      </c>
      <c r="D742" s="127" t="s">
        <v>12810</v>
      </c>
      <c r="I742" s="127" t="s">
        <v>12811</v>
      </c>
      <c r="J742" s="127" t="s">
        <v>15172</v>
      </c>
      <c r="K742" s="127" t="s">
        <v>15614</v>
      </c>
      <c r="L742" s="127" t="s">
        <v>16056</v>
      </c>
      <c r="M742" s="127" t="s">
        <v>16498</v>
      </c>
      <c r="N742" s="127" t="s">
        <v>12812</v>
      </c>
    </row>
    <row r="743" spans="1:14" x14ac:dyDescent="0.35">
      <c r="A743" s="127" t="s">
        <v>6063</v>
      </c>
      <c r="C743" s="127" t="s">
        <v>3263</v>
      </c>
      <c r="D743" s="127" t="s">
        <v>12813</v>
      </c>
      <c r="I743" s="127" t="s">
        <v>12814</v>
      </c>
      <c r="J743" s="127" t="s">
        <v>15173</v>
      </c>
      <c r="K743" s="127" t="s">
        <v>15615</v>
      </c>
      <c r="L743" s="127" t="s">
        <v>16057</v>
      </c>
      <c r="M743" s="127" t="s">
        <v>16499</v>
      </c>
      <c r="N743" s="127" t="s">
        <v>12815</v>
      </c>
    </row>
    <row r="744" spans="1:14" x14ac:dyDescent="0.35">
      <c r="A744" s="127" t="s">
        <v>6063</v>
      </c>
      <c r="C744" s="127" t="s">
        <v>3263</v>
      </c>
      <c r="D744" s="127" t="s">
        <v>12816</v>
      </c>
      <c r="I744" s="127" t="s">
        <v>12817</v>
      </c>
      <c r="J744" s="127" t="s">
        <v>15174</v>
      </c>
      <c r="K744" s="127" t="s">
        <v>15616</v>
      </c>
      <c r="L744" s="127" t="s">
        <v>16058</v>
      </c>
      <c r="M744" s="127" t="s">
        <v>16500</v>
      </c>
      <c r="N744" s="127" t="s">
        <v>12818</v>
      </c>
    </row>
    <row r="745" spans="1:14" x14ac:dyDescent="0.35">
      <c r="A745" s="127" t="s">
        <v>6063</v>
      </c>
      <c r="C745" s="127" t="s">
        <v>3263</v>
      </c>
      <c r="D745" s="127" t="s">
        <v>12819</v>
      </c>
      <c r="I745" s="127" t="s">
        <v>12820</v>
      </c>
      <c r="J745" s="127" t="s">
        <v>15175</v>
      </c>
      <c r="K745" s="127" t="s">
        <v>15617</v>
      </c>
      <c r="L745" s="127" t="s">
        <v>16059</v>
      </c>
      <c r="M745" s="127" t="s">
        <v>16501</v>
      </c>
      <c r="N745" s="127" t="s">
        <v>12821</v>
      </c>
    </row>
    <row r="746" spans="1:14" x14ac:dyDescent="0.35">
      <c r="A746" s="127" t="s">
        <v>6063</v>
      </c>
      <c r="C746" s="127" t="s">
        <v>3263</v>
      </c>
      <c r="D746" s="127" t="s">
        <v>12822</v>
      </c>
      <c r="I746" s="127" t="s">
        <v>12823</v>
      </c>
      <c r="J746" s="127" t="s">
        <v>15176</v>
      </c>
      <c r="K746" s="127" t="s">
        <v>15618</v>
      </c>
      <c r="L746" s="127" t="s">
        <v>16060</v>
      </c>
      <c r="M746" s="127" t="s">
        <v>16502</v>
      </c>
      <c r="N746" s="127" t="s">
        <v>12824</v>
      </c>
    </row>
    <row r="747" spans="1:14" x14ac:dyDescent="0.35">
      <c r="A747" s="127" t="s">
        <v>6063</v>
      </c>
      <c r="C747" s="127" t="s">
        <v>3263</v>
      </c>
      <c r="D747" s="127" t="s">
        <v>12825</v>
      </c>
      <c r="I747" s="127" t="s">
        <v>12826</v>
      </c>
      <c r="J747" s="127" t="s">
        <v>15177</v>
      </c>
      <c r="K747" s="127" t="s">
        <v>15619</v>
      </c>
      <c r="L747" s="127" t="s">
        <v>16061</v>
      </c>
      <c r="M747" s="127" t="s">
        <v>16503</v>
      </c>
      <c r="N747" s="127" t="s">
        <v>12827</v>
      </c>
    </row>
    <row r="748" spans="1:14" x14ac:dyDescent="0.35">
      <c r="A748" s="127" t="s">
        <v>6063</v>
      </c>
      <c r="C748" s="127" t="s">
        <v>3263</v>
      </c>
      <c r="D748" s="127" t="s">
        <v>12828</v>
      </c>
      <c r="I748" s="127" t="s">
        <v>12829</v>
      </c>
      <c r="J748" s="127" t="s">
        <v>15178</v>
      </c>
      <c r="K748" s="127" t="s">
        <v>15620</v>
      </c>
      <c r="L748" s="127" t="s">
        <v>16062</v>
      </c>
      <c r="M748" s="127" t="s">
        <v>16504</v>
      </c>
      <c r="N748" s="127" t="s">
        <v>12830</v>
      </c>
    </row>
    <row r="749" spans="1:14" x14ac:dyDescent="0.35">
      <c r="A749" s="127" t="s">
        <v>6063</v>
      </c>
      <c r="C749" s="127" t="s">
        <v>3263</v>
      </c>
      <c r="D749" s="127" t="s">
        <v>12831</v>
      </c>
      <c r="I749" s="127" t="s">
        <v>12832</v>
      </c>
      <c r="J749" s="127" t="s">
        <v>15179</v>
      </c>
      <c r="K749" s="127" t="s">
        <v>15621</v>
      </c>
      <c r="L749" s="127" t="s">
        <v>16063</v>
      </c>
      <c r="M749" s="127" t="s">
        <v>16505</v>
      </c>
      <c r="N749" s="127" t="s">
        <v>12833</v>
      </c>
    </row>
    <row r="750" spans="1:14" x14ac:dyDescent="0.35">
      <c r="A750" s="127" t="s">
        <v>6063</v>
      </c>
      <c r="C750" s="127" t="s">
        <v>3263</v>
      </c>
      <c r="D750" s="127" t="s">
        <v>12834</v>
      </c>
      <c r="I750" s="127" t="s">
        <v>12835</v>
      </c>
      <c r="J750" s="127" t="s">
        <v>15180</v>
      </c>
      <c r="K750" s="127" t="s">
        <v>15622</v>
      </c>
      <c r="L750" s="127" t="s">
        <v>16064</v>
      </c>
      <c r="M750" s="127" t="s">
        <v>16506</v>
      </c>
      <c r="N750" s="127" t="s">
        <v>12836</v>
      </c>
    </row>
    <row r="751" spans="1:14" x14ac:dyDescent="0.35">
      <c r="A751" s="127" t="s">
        <v>6063</v>
      </c>
      <c r="C751" s="127" t="s">
        <v>3263</v>
      </c>
      <c r="D751" s="127" t="s">
        <v>12837</v>
      </c>
      <c r="I751" s="127" t="s">
        <v>12838</v>
      </c>
      <c r="J751" s="127" t="s">
        <v>15181</v>
      </c>
      <c r="K751" s="127" t="s">
        <v>15623</v>
      </c>
      <c r="L751" s="127" t="s">
        <v>16065</v>
      </c>
      <c r="M751" s="127" t="s">
        <v>16507</v>
      </c>
      <c r="N751" s="127" t="s">
        <v>12839</v>
      </c>
    </row>
    <row r="752" spans="1:14" x14ac:dyDescent="0.35">
      <c r="A752" s="127" t="s">
        <v>6063</v>
      </c>
      <c r="C752" s="127" t="s">
        <v>3263</v>
      </c>
      <c r="D752" s="127" t="s">
        <v>12840</v>
      </c>
      <c r="I752" s="127" t="s">
        <v>12841</v>
      </c>
      <c r="J752" s="127" t="s">
        <v>15182</v>
      </c>
      <c r="K752" s="127" t="s">
        <v>15624</v>
      </c>
      <c r="L752" s="127" t="s">
        <v>16066</v>
      </c>
      <c r="M752" s="127" t="s">
        <v>16508</v>
      </c>
      <c r="N752" s="127" t="s">
        <v>12842</v>
      </c>
    </row>
    <row r="753" spans="1:14" x14ac:dyDescent="0.35">
      <c r="A753" s="127" t="s">
        <v>6063</v>
      </c>
      <c r="C753" s="127" t="s">
        <v>3263</v>
      </c>
      <c r="D753" s="127" t="s">
        <v>12843</v>
      </c>
      <c r="I753" s="127" t="s">
        <v>12844</v>
      </c>
      <c r="J753" s="127" t="s">
        <v>15183</v>
      </c>
      <c r="K753" s="127" t="s">
        <v>15625</v>
      </c>
      <c r="L753" s="127" t="s">
        <v>16067</v>
      </c>
      <c r="M753" s="127" t="s">
        <v>16509</v>
      </c>
      <c r="N753" s="127" t="s">
        <v>12845</v>
      </c>
    </row>
    <row r="754" spans="1:14" x14ac:dyDescent="0.35">
      <c r="A754" s="127" t="s">
        <v>6063</v>
      </c>
      <c r="C754" s="127" t="s">
        <v>3263</v>
      </c>
      <c r="D754" s="127" t="s">
        <v>12846</v>
      </c>
      <c r="I754" s="127" t="s">
        <v>12847</v>
      </c>
      <c r="J754" s="127" t="s">
        <v>15184</v>
      </c>
      <c r="K754" s="127" t="s">
        <v>15626</v>
      </c>
      <c r="L754" s="127" t="s">
        <v>16068</v>
      </c>
      <c r="M754" s="127" t="s">
        <v>16510</v>
      </c>
      <c r="N754" s="127" t="s">
        <v>12848</v>
      </c>
    </row>
    <row r="755" spans="1:14" x14ac:dyDescent="0.35">
      <c r="A755" s="127" t="s">
        <v>6063</v>
      </c>
      <c r="C755" s="127" t="s">
        <v>3263</v>
      </c>
      <c r="D755" s="127" t="s">
        <v>12849</v>
      </c>
      <c r="I755" s="127" t="s">
        <v>12850</v>
      </c>
      <c r="J755" s="127" t="s">
        <v>15185</v>
      </c>
      <c r="K755" s="127" t="s">
        <v>15627</v>
      </c>
      <c r="L755" s="127" t="s">
        <v>16069</v>
      </c>
      <c r="M755" s="127" t="s">
        <v>16511</v>
      </c>
      <c r="N755" s="127" t="s">
        <v>12851</v>
      </c>
    </row>
    <row r="756" spans="1:14" x14ac:dyDescent="0.35">
      <c r="A756" s="127" t="s">
        <v>6063</v>
      </c>
      <c r="C756" s="127" t="s">
        <v>3263</v>
      </c>
      <c r="D756" s="127" t="s">
        <v>12852</v>
      </c>
      <c r="I756" s="127" t="s">
        <v>12853</v>
      </c>
      <c r="J756" s="127" t="s">
        <v>15186</v>
      </c>
      <c r="K756" s="127" t="s">
        <v>15628</v>
      </c>
      <c r="L756" s="127" t="s">
        <v>16070</v>
      </c>
      <c r="M756" s="127" t="s">
        <v>16512</v>
      </c>
      <c r="N756" s="127" t="s">
        <v>12854</v>
      </c>
    </row>
    <row r="757" spans="1:14" x14ac:dyDescent="0.35">
      <c r="A757" s="127" t="s">
        <v>6063</v>
      </c>
      <c r="C757" s="127" t="s">
        <v>3263</v>
      </c>
      <c r="D757" s="127" t="s">
        <v>12855</v>
      </c>
      <c r="I757" s="127" t="s">
        <v>12856</v>
      </c>
      <c r="J757" s="127" t="s">
        <v>15187</v>
      </c>
      <c r="K757" s="127" t="s">
        <v>15629</v>
      </c>
      <c r="L757" s="127" t="s">
        <v>16071</v>
      </c>
      <c r="M757" s="127" t="s">
        <v>16513</v>
      </c>
      <c r="N757" s="127" t="s">
        <v>12857</v>
      </c>
    </row>
    <row r="758" spans="1:14" x14ac:dyDescent="0.35">
      <c r="A758" s="127" t="s">
        <v>6063</v>
      </c>
      <c r="C758" s="127" t="s">
        <v>3263</v>
      </c>
      <c r="D758" s="127" t="s">
        <v>12858</v>
      </c>
      <c r="I758" s="127" t="s">
        <v>12859</v>
      </c>
      <c r="J758" s="127" t="s">
        <v>15188</v>
      </c>
      <c r="K758" s="127" t="s">
        <v>15630</v>
      </c>
      <c r="L758" s="127" t="s">
        <v>16072</v>
      </c>
      <c r="M758" s="127" t="s">
        <v>16514</v>
      </c>
      <c r="N758" s="127" t="s">
        <v>12860</v>
      </c>
    </row>
    <row r="759" spans="1:14" x14ac:dyDescent="0.35">
      <c r="A759" s="127" t="s">
        <v>6063</v>
      </c>
      <c r="C759" s="127" t="s">
        <v>3263</v>
      </c>
      <c r="D759" s="127" t="s">
        <v>12861</v>
      </c>
      <c r="I759" s="127" t="s">
        <v>12862</v>
      </c>
      <c r="J759" s="127" t="s">
        <v>15189</v>
      </c>
      <c r="K759" s="127" t="s">
        <v>15631</v>
      </c>
      <c r="L759" s="127" t="s">
        <v>16073</v>
      </c>
      <c r="M759" s="127" t="s">
        <v>16515</v>
      </c>
      <c r="N759" s="127" t="s">
        <v>12863</v>
      </c>
    </row>
    <row r="760" spans="1:14" x14ac:dyDescent="0.35">
      <c r="A760" s="127" t="s">
        <v>6063</v>
      </c>
      <c r="C760" s="127" t="s">
        <v>3263</v>
      </c>
      <c r="D760" s="127" t="s">
        <v>12864</v>
      </c>
      <c r="I760" s="127" t="s">
        <v>12865</v>
      </c>
      <c r="J760" s="127" t="s">
        <v>15190</v>
      </c>
      <c r="K760" s="127" t="s">
        <v>15632</v>
      </c>
      <c r="L760" s="127" t="s">
        <v>16074</v>
      </c>
      <c r="M760" s="127" t="s">
        <v>16516</v>
      </c>
      <c r="N760" s="127" t="s">
        <v>12866</v>
      </c>
    </row>
    <row r="761" spans="1:14" x14ac:dyDescent="0.35">
      <c r="A761" s="127" t="s">
        <v>6063</v>
      </c>
      <c r="C761" s="127" t="s">
        <v>3263</v>
      </c>
      <c r="D761" s="127" t="s">
        <v>12867</v>
      </c>
      <c r="I761" s="127" t="s">
        <v>12868</v>
      </c>
      <c r="J761" s="127" t="s">
        <v>15191</v>
      </c>
      <c r="K761" s="127" t="s">
        <v>15633</v>
      </c>
      <c r="L761" s="127" t="s">
        <v>16075</v>
      </c>
      <c r="M761" s="127" t="s">
        <v>16517</v>
      </c>
      <c r="N761" s="127" t="s">
        <v>12869</v>
      </c>
    </row>
    <row r="762" spans="1:14" x14ac:dyDescent="0.35">
      <c r="A762" s="127" t="s">
        <v>6063</v>
      </c>
      <c r="C762" s="127" t="s">
        <v>3263</v>
      </c>
      <c r="D762" s="127" t="s">
        <v>12870</v>
      </c>
      <c r="I762" s="127" t="s">
        <v>12871</v>
      </c>
      <c r="J762" s="127" t="s">
        <v>15192</v>
      </c>
      <c r="K762" s="127" t="s">
        <v>15634</v>
      </c>
      <c r="L762" s="127" t="s">
        <v>16076</v>
      </c>
      <c r="M762" s="127" t="s">
        <v>16518</v>
      </c>
      <c r="N762" s="127" t="s">
        <v>12872</v>
      </c>
    </row>
    <row r="763" spans="1:14" x14ac:dyDescent="0.35">
      <c r="A763" s="127" t="s">
        <v>6063</v>
      </c>
      <c r="C763" s="127" t="s">
        <v>3263</v>
      </c>
      <c r="D763" s="127" t="s">
        <v>12873</v>
      </c>
      <c r="I763" s="127" t="s">
        <v>12874</v>
      </c>
      <c r="J763" s="127" t="s">
        <v>15193</v>
      </c>
      <c r="K763" s="127" t="s">
        <v>15635</v>
      </c>
      <c r="L763" s="127" t="s">
        <v>16077</v>
      </c>
      <c r="M763" s="127" t="s">
        <v>16519</v>
      </c>
      <c r="N763" s="127" t="s">
        <v>12875</v>
      </c>
    </row>
    <row r="764" spans="1:14" x14ac:dyDescent="0.35">
      <c r="A764" s="127" t="s">
        <v>6063</v>
      </c>
      <c r="C764" s="127" t="s">
        <v>3263</v>
      </c>
      <c r="D764" s="127" t="s">
        <v>12876</v>
      </c>
      <c r="I764" s="127" t="s">
        <v>12877</v>
      </c>
      <c r="J764" s="127" t="s">
        <v>15194</v>
      </c>
      <c r="K764" s="127" t="s">
        <v>15636</v>
      </c>
      <c r="L764" s="127" t="s">
        <v>16078</v>
      </c>
      <c r="M764" s="127" t="s">
        <v>16520</v>
      </c>
      <c r="N764" s="127" t="s">
        <v>12878</v>
      </c>
    </row>
    <row r="765" spans="1:14" x14ac:dyDescent="0.35">
      <c r="A765" s="127" t="s">
        <v>6063</v>
      </c>
      <c r="C765" s="127" t="s">
        <v>3263</v>
      </c>
      <c r="D765" s="127" t="s">
        <v>12879</v>
      </c>
      <c r="I765" s="127" t="s">
        <v>12880</v>
      </c>
      <c r="J765" s="127" t="s">
        <v>15195</v>
      </c>
      <c r="K765" s="127" t="s">
        <v>15637</v>
      </c>
      <c r="L765" s="127" t="s">
        <v>16079</v>
      </c>
      <c r="M765" s="127" t="s">
        <v>16521</v>
      </c>
      <c r="N765" s="127" t="s">
        <v>12881</v>
      </c>
    </row>
    <row r="766" spans="1:14" x14ac:dyDescent="0.35">
      <c r="A766" s="127" t="s">
        <v>6063</v>
      </c>
      <c r="C766" s="127" t="s">
        <v>3263</v>
      </c>
      <c r="D766" s="127" t="s">
        <v>12882</v>
      </c>
      <c r="I766" s="127" t="s">
        <v>12883</v>
      </c>
      <c r="J766" s="127" t="s">
        <v>15196</v>
      </c>
      <c r="K766" s="127" t="s">
        <v>15638</v>
      </c>
      <c r="L766" s="127" t="s">
        <v>16080</v>
      </c>
      <c r="M766" s="127" t="s">
        <v>16522</v>
      </c>
      <c r="N766" s="127" t="s">
        <v>12884</v>
      </c>
    </row>
    <row r="767" spans="1:14" x14ac:dyDescent="0.35">
      <c r="A767" s="127" t="s">
        <v>6063</v>
      </c>
      <c r="C767" s="127" t="s">
        <v>3263</v>
      </c>
      <c r="D767" s="127" t="s">
        <v>12885</v>
      </c>
      <c r="I767" s="127" t="s">
        <v>12886</v>
      </c>
      <c r="J767" s="127" t="s">
        <v>15197</v>
      </c>
      <c r="K767" s="127" t="s">
        <v>15639</v>
      </c>
      <c r="L767" s="127" t="s">
        <v>16081</v>
      </c>
      <c r="M767" s="127" t="s">
        <v>16523</v>
      </c>
      <c r="N767" s="127" t="s">
        <v>12887</v>
      </c>
    </row>
    <row r="768" spans="1:14" x14ac:dyDescent="0.35">
      <c r="A768" s="127" t="s">
        <v>6063</v>
      </c>
      <c r="C768" s="127" t="s">
        <v>3263</v>
      </c>
      <c r="D768" s="127" t="s">
        <v>12888</v>
      </c>
      <c r="I768" s="127" t="s">
        <v>12889</v>
      </c>
      <c r="J768" s="127" t="s">
        <v>15198</v>
      </c>
      <c r="K768" s="127" t="s">
        <v>15640</v>
      </c>
      <c r="L768" s="127" t="s">
        <v>16082</v>
      </c>
      <c r="M768" s="127" t="s">
        <v>16524</v>
      </c>
      <c r="N768" s="127" t="s">
        <v>12890</v>
      </c>
    </row>
    <row r="769" spans="1:14" x14ac:dyDescent="0.35">
      <c r="A769" s="127" t="s">
        <v>6063</v>
      </c>
      <c r="C769" s="127" t="s">
        <v>3263</v>
      </c>
      <c r="D769" s="127" t="s">
        <v>12891</v>
      </c>
      <c r="I769" s="127" t="s">
        <v>12892</v>
      </c>
      <c r="J769" s="127" t="s">
        <v>15199</v>
      </c>
      <c r="K769" s="127" t="s">
        <v>15641</v>
      </c>
      <c r="L769" s="127" t="s">
        <v>16083</v>
      </c>
      <c r="M769" s="127" t="s">
        <v>16525</v>
      </c>
      <c r="N769" s="127" t="s">
        <v>12893</v>
      </c>
    </row>
    <row r="770" spans="1:14" x14ac:dyDescent="0.35">
      <c r="A770" s="127" t="s">
        <v>6063</v>
      </c>
      <c r="C770" s="127" t="s">
        <v>3263</v>
      </c>
      <c r="D770" s="127" t="s">
        <v>12894</v>
      </c>
      <c r="I770" s="127" t="s">
        <v>12895</v>
      </c>
      <c r="J770" s="127" t="s">
        <v>15200</v>
      </c>
      <c r="K770" s="127" t="s">
        <v>15642</v>
      </c>
      <c r="L770" s="127" t="s">
        <v>16084</v>
      </c>
      <c r="M770" s="127" t="s">
        <v>16526</v>
      </c>
      <c r="N770" s="127" t="s">
        <v>12896</v>
      </c>
    </row>
    <row r="771" spans="1:14" x14ac:dyDescent="0.35">
      <c r="A771" s="127" t="s">
        <v>6063</v>
      </c>
      <c r="C771" s="127" t="s">
        <v>3263</v>
      </c>
      <c r="D771" s="127" t="s">
        <v>12897</v>
      </c>
      <c r="I771" s="127" t="s">
        <v>12898</v>
      </c>
      <c r="J771" s="127" t="s">
        <v>15201</v>
      </c>
      <c r="K771" s="127" t="s">
        <v>15643</v>
      </c>
      <c r="L771" s="127" t="s">
        <v>16085</v>
      </c>
      <c r="M771" s="127" t="s">
        <v>16527</v>
      </c>
      <c r="N771" s="127" t="s">
        <v>12899</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2"/>
  <sheetViews>
    <sheetView workbookViewId="0"/>
  </sheetViews>
  <sheetFormatPr defaultRowHeight="14.5" x14ac:dyDescent="0.35"/>
  <sheetData>
    <row r="1" spans="1:5" x14ac:dyDescent="0.35">
      <c r="A1" s="127" t="s">
        <v>16530</v>
      </c>
    </row>
    <row r="2" spans="1:5" x14ac:dyDescent="0.35">
      <c r="B2" s="127" t="s">
        <v>121</v>
      </c>
      <c r="C2" s="127" t="s">
        <v>3272</v>
      </c>
    </row>
    <row r="3" spans="1:5" x14ac:dyDescent="0.35">
      <c r="C3" s="127" t="s">
        <v>48</v>
      </c>
    </row>
    <row r="5" spans="1:5" x14ac:dyDescent="0.35">
      <c r="C5" s="127" t="s">
        <v>1</v>
      </c>
      <c r="D5" s="127" t="s">
        <v>3273</v>
      </c>
      <c r="E5" s="127" t="s">
        <v>123</v>
      </c>
    </row>
    <row r="6" spans="1:5" x14ac:dyDescent="0.35">
      <c r="C6" s="127" t="s">
        <v>6</v>
      </c>
      <c r="D6" s="127" t="s">
        <v>3274</v>
      </c>
    </row>
    <row r="8" spans="1:5" x14ac:dyDescent="0.35">
      <c r="C8" s="127" t="s">
        <v>64</v>
      </c>
      <c r="D8" s="127" t="s">
        <v>63</v>
      </c>
    </row>
    <row r="9" spans="1:5" x14ac:dyDescent="0.35">
      <c r="C9" s="127" t="s">
        <v>60</v>
      </c>
      <c r="D9" s="127" t="s">
        <v>3275</v>
      </c>
      <c r="E9" s="127" t="s">
        <v>62</v>
      </c>
    </row>
    <row r="10" spans="1:5" x14ac:dyDescent="0.35">
      <c r="C10" s="127" t="s">
        <v>8</v>
      </c>
      <c r="D10" s="127" t="s">
        <v>3276</v>
      </c>
      <c r="E10" s="127" t="s">
        <v>3276</v>
      </c>
    </row>
    <row r="11" spans="1:5" x14ac:dyDescent="0.35">
      <c r="C11" s="127" t="s">
        <v>83</v>
      </c>
      <c r="D11" s="127" t="s">
        <v>3276</v>
      </c>
      <c r="E11" s="127" t="s">
        <v>3276</v>
      </c>
    </row>
    <row r="12" spans="1:5" x14ac:dyDescent="0.35">
      <c r="C12" s="127" t="s">
        <v>62</v>
      </c>
      <c r="D12" s="127" t="s">
        <v>3276</v>
      </c>
      <c r="E12" s="127" t="s">
        <v>3276</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56"/>
  <sheetViews>
    <sheetView workbookViewId="0"/>
  </sheetViews>
  <sheetFormatPr defaultRowHeight="14.5" x14ac:dyDescent="0.35"/>
  <sheetData>
    <row r="1" spans="1:64" x14ac:dyDescent="0.35">
      <c r="A1" s="127" t="s">
        <v>17564</v>
      </c>
      <c r="B1" s="127" t="s">
        <v>22</v>
      </c>
      <c r="C1" s="127" t="s">
        <v>22</v>
      </c>
      <c r="D1" s="127" t="s">
        <v>22</v>
      </c>
      <c r="E1" s="127" t="s">
        <v>22</v>
      </c>
      <c r="F1" s="127" t="s">
        <v>22</v>
      </c>
      <c r="G1" s="127" t="s">
        <v>22</v>
      </c>
      <c r="H1" s="127" t="s">
        <v>22</v>
      </c>
      <c r="I1" s="127" t="s">
        <v>22</v>
      </c>
      <c r="L1" s="127" t="s">
        <v>21</v>
      </c>
      <c r="M1" s="127" t="s">
        <v>22</v>
      </c>
      <c r="AN1" s="127" t="s">
        <v>22</v>
      </c>
      <c r="AO1" s="127" t="s">
        <v>22</v>
      </c>
      <c r="AP1" s="127" t="s">
        <v>22</v>
      </c>
      <c r="AQ1" s="127" t="s">
        <v>22</v>
      </c>
      <c r="AR1" s="127" t="s">
        <v>22</v>
      </c>
      <c r="AS1" s="127" t="s">
        <v>22</v>
      </c>
      <c r="AT1" s="127" t="s">
        <v>22</v>
      </c>
      <c r="AU1" s="127" t="s">
        <v>22</v>
      </c>
      <c r="AV1" s="127" t="s">
        <v>22</v>
      </c>
      <c r="AW1" s="127" t="s">
        <v>22</v>
      </c>
      <c r="AX1" s="127" t="s">
        <v>22</v>
      </c>
      <c r="AY1" s="127" t="s">
        <v>22</v>
      </c>
      <c r="AZ1" s="127" t="s">
        <v>22</v>
      </c>
      <c r="BA1" s="127" t="s">
        <v>22</v>
      </c>
      <c r="BB1" s="127" t="s">
        <v>22</v>
      </c>
      <c r="BC1" s="127" t="s">
        <v>22</v>
      </c>
      <c r="BD1" s="127" t="s">
        <v>22</v>
      </c>
      <c r="BE1" s="127" t="s">
        <v>22</v>
      </c>
      <c r="BF1" s="127" t="s">
        <v>22</v>
      </c>
      <c r="BG1" s="127" t="s">
        <v>22</v>
      </c>
      <c r="BH1" s="127" t="s">
        <v>22</v>
      </c>
      <c r="BI1" s="127" t="s">
        <v>22</v>
      </c>
      <c r="BJ1" s="127" t="s">
        <v>22</v>
      </c>
      <c r="BK1" s="127" t="s">
        <v>22</v>
      </c>
      <c r="BL1" s="127" t="s">
        <v>22</v>
      </c>
    </row>
    <row r="2" spans="1:64" x14ac:dyDescent="0.35">
      <c r="K2" s="127" t="s">
        <v>120</v>
      </c>
    </row>
    <row r="3" spans="1:64" x14ac:dyDescent="0.35">
      <c r="H3" s="127" t="s">
        <v>38</v>
      </c>
      <c r="J3" s="127" t="s">
        <v>67</v>
      </c>
      <c r="AO3" s="127" t="s">
        <v>35</v>
      </c>
    </row>
    <row r="4" spans="1:64" x14ac:dyDescent="0.35">
      <c r="H4" s="127" t="s">
        <v>121</v>
      </c>
      <c r="U4" s="127" t="s">
        <v>81</v>
      </c>
      <c r="AO4" s="127" t="s">
        <v>84</v>
      </c>
    </row>
    <row r="5" spans="1:64" x14ac:dyDescent="0.35">
      <c r="F5" s="127" t="s">
        <v>47</v>
      </c>
      <c r="K5" s="127" t="s">
        <v>1</v>
      </c>
      <c r="L5" s="127" t="s">
        <v>122</v>
      </c>
      <c r="M5" s="127" t="s">
        <v>123</v>
      </c>
      <c r="U5" s="127" t="s">
        <v>71</v>
      </c>
      <c r="AO5" s="127" t="s">
        <v>36</v>
      </c>
    </row>
    <row r="6" spans="1:64" x14ac:dyDescent="0.35">
      <c r="F6" s="127" t="s">
        <v>46</v>
      </c>
      <c r="K6" s="127" t="s">
        <v>44</v>
      </c>
      <c r="L6" s="127" t="s">
        <v>68</v>
      </c>
      <c r="M6" s="127" t="s">
        <v>124</v>
      </c>
    </row>
    <row r="8" spans="1:64" x14ac:dyDescent="0.35">
      <c r="A8" s="127" t="s">
        <v>22</v>
      </c>
      <c r="D8" s="127" t="s">
        <v>115</v>
      </c>
      <c r="M8" s="127" t="s">
        <v>125</v>
      </c>
      <c r="N8" s="127" t="s">
        <v>126</v>
      </c>
      <c r="O8" s="127" t="s">
        <v>127</v>
      </c>
      <c r="P8" s="127" t="s">
        <v>128</v>
      </c>
      <c r="Q8" s="127" t="s">
        <v>129</v>
      </c>
      <c r="R8" s="127" t="s">
        <v>130</v>
      </c>
      <c r="S8" s="127" t="s">
        <v>131</v>
      </c>
      <c r="T8" s="127" t="s">
        <v>132</v>
      </c>
      <c r="U8" s="127" t="s">
        <v>133</v>
      </c>
      <c r="V8" s="127" t="s">
        <v>134</v>
      </c>
      <c r="W8" s="127" t="s">
        <v>135</v>
      </c>
      <c r="X8" s="127" t="s">
        <v>136</v>
      </c>
      <c r="Y8" s="127" t="s">
        <v>137</v>
      </c>
      <c r="Z8" s="127" t="s">
        <v>138</v>
      </c>
      <c r="AA8" s="127" t="s">
        <v>139</v>
      </c>
      <c r="AB8" s="127" t="s">
        <v>140</v>
      </c>
      <c r="AC8" s="127" t="s">
        <v>141</v>
      </c>
      <c r="AD8" s="127" t="s">
        <v>142</v>
      </c>
      <c r="AE8" s="127" t="s">
        <v>143</v>
      </c>
      <c r="AF8" s="127" t="s">
        <v>144</v>
      </c>
      <c r="AG8" s="127" t="s">
        <v>145</v>
      </c>
      <c r="AH8" s="127" t="s">
        <v>146</v>
      </c>
      <c r="AI8" s="127" t="s">
        <v>147</v>
      </c>
      <c r="AJ8" s="127" t="s">
        <v>148</v>
      </c>
      <c r="AK8" s="127" t="s">
        <v>149</v>
      </c>
    </row>
    <row r="9" spans="1:64" ht="87" x14ac:dyDescent="0.35">
      <c r="A9" s="127" t="s">
        <v>22</v>
      </c>
      <c r="D9" s="127" t="s">
        <v>72</v>
      </c>
      <c r="M9" s="127" t="s">
        <v>150</v>
      </c>
      <c r="N9" s="127" t="s">
        <v>151</v>
      </c>
      <c r="O9" s="128" t="s">
        <v>152</v>
      </c>
      <c r="P9" s="128" t="s">
        <v>153</v>
      </c>
      <c r="Q9" s="128" t="s">
        <v>154</v>
      </c>
      <c r="R9" s="128" t="s">
        <v>155</v>
      </c>
      <c r="S9" s="128" t="s">
        <v>156</v>
      </c>
      <c r="T9" s="128" t="s">
        <v>157</v>
      </c>
      <c r="U9" s="128" t="s">
        <v>158</v>
      </c>
      <c r="V9" s="128" t="s">
        <v>159</v>
      </c>
      <c r="W9" s="128" t="s">
        <v>160</v>
      </c>
      <c r="X9" s="128" t="s">
        <v>161</v>
      </c>
      <c r="Y9" s="128" t="s">
        <v>162</v>
      </c>
      <c r="Z9" s="128" t="s">
        <v>163</v>
      </c>
      <c r="AA9" s="128" t="s">
        <v>164</v>
      </c>
      <c r="AB9" s="128" t="s">
        <v>165</v>
      </c>
      <c r="AC9" s="128" t="s">
        <v>166</v>
      </c>
      <c r="AD9" s="128" t="s">
        <v>167</v>
      </c>
      <c r="AE9" s="128" t="s">
        <v>168</v>
      </c>
      <c r="AF9" s="128" t="s">
        <v>169</v>
      </c>
      <c r="AG9" s="128" t="s">
        <v>170</v>
      </c>
      <c r="AH9" s="128" t="s">
        <v>171</v>
      </c>
      <c r="AI9" s="128" t="s">
        <v>172</v>
      </c>
      <c r="AJ9" s="128" t="s">
        <v>173</v>
      </c>
      <c r="AK9" s="128" t="s">
        <v>174</v>
      </c>
    </row>
    <row r="10" spans="1:64" x14ac:dyDescent="0.35">
      <c r="C10" s="127" t="s">
        <v>116</v>
      </c>
      <c r="D10" s="127" t="s">
        <v>43</v>
      </c>
      <c r="E10" s="127" t="s">
        <v>39</v>
      </c>
      <c r="F10" s="127" t="s">
        <v>40</v>
      </c>
      <c r="G10" s="127" t="s">
        <v>41</v>
      </c>
      <c r="H10" s="127" t="s">
        <v>42</v>
      </c>
      <c r="K10" s="127" t="s">
        <v>2</v>
      </c>
      <c r="L10" s="127" t="s">
        <v>3</v>
      </c>
      <c r="N10" s="127" t="s">
        <v>175</v>
      </c>
      <c r="T10" s="127" t="s">
        <v>176</v>
      </c>
      <c r="AF10" s="127" t="s">
        <v>177</v>
      </c>
      <c r="AL10" s="127" t="s">
        <v>82</v>
      </c>
      <c r="AO10" s="127" t="s">
        <v>178</v>
      </c>
      <c r="AU10" s="127" t="s">
        <v>179</v>
      </c>
      <c r="BG10" s="127" t="s">
        <v>180</v>
      </c>
    </row>
    <row r="11" spans="1:64" x14ac:dyDescent="0.35">
      <c r="D11" s="127" t="s">
        <v>181</v>
      </c>
      <c r="E11" s="127" t="s">
        <v>182</v>
      </c>
      <c r="F11" s="127" t="s">
        <v>183</v>
      </c>
      <c r="G11" s="127" t="s">
        <v>184</v>
      </c>
      <c r="H11" s="127" t="s">
        <v>6067</v>
      </c>
      <c r="M11" s="127" t="s">
        <v>4</v>
      </c>
      <c r="N11" s="127" t="s">
        <v>186</v>
      </c>
      <c r="O11" s="127" t="s">
        <v>187</v>
      </c>
      <c r="P11" s="127" t="s">
        <v>188</v>
      </c>
      <c r="Q11" s="127" t="s">
        <v>189</v>
      </c>
      <c r="R11" s="127" t="s">
        <v>190</v>
      </c>
      <c r="S11" s="127" t="s">
        <v>191</v>
      </c>
      <c r="T11" s="127" t="s">
        <v>192</v>
      </c>
      <c r="U11" s="127" t="s">
        <v>193</v>
      </c>
      <c r="V11" s="127" t="s">
        <v>194</v>
      </c>
      <c r="W11" s="127" t="s">
        <v>195</v>
      </c>
      <c r="X11" s="127" t="s">
        <v>196</v>
      </c>
      <c r="Y11" s="127" t="s">
        <v>197</v>
      </c>
      <c r="Z11" s="127" t="s">
        <v>198</v>
      </c>
      <c r="AA11" s="127" t="s">
        <v>199</v>
      </c>
      <c r="AB11" s="127" t="s">
        <v>200</v>
      </c>
      <c r="AC11" s="127" t="s">
        <v>201</v>
      </c>
      <c r="AD11" s="127" t="s">
        <v>202</v>
      </c>
      <c r="AE11" s="127" t="s">
        <v>203</v>
      </c>
      <c r="AF11" s="127" t="s">
        <v>204</v>
      </c>
      <c r="AG11" s="127" t="s">
        <v>205</v>
      </c>
      <c r="AH11" s="127" t="s">
        <v>206</v>
      </c>
      <c r="AI11" s="127" t="s">
        <v>207</v>
      </c>
      <c r="AJ11" s="127" t="s">
        <v>208</v>
      </c>
      <c r="AK11" s="127" t="s">
        <v>209</v>
      </c>
      <c r="AO11" s="127" t="s">
        <v>186</v>
      </c>
      <c r="AP11" s="127" t="s">
        <v>187</v>
      </c>
      <c r="AQ11" s="127" t="s">
        <v>188</v>
      </c>
      <c r="AR11" s="127" t="s">
        <v>189</v>
      </c>
      <c r="AS11" s="127" t="s">
        <v>190</v>
      </c>
      <c r="AT11" s="127" t="s">
        <v>191</v>
      </c>
      <c r="AU11" s="127" t="s">
        <v>192</v>
      </c>
      <c r="AV11" s="127" t="s">
        <v>193</v>
      </c>
      <c r="AW11" s="127" t="s">
        <v>194</v>
      </c>
      <c r="AX11" s="127" t="s">
        <v>195</v>
      </c>
      <c r="AY11" s="127" t="s">
        <v>196</v>
      </c>
      <c r="AZ11" s="127" t="s">
        <v>197</v>
      </c>
      <c r="BA11" s="127" t="s">
        <v>198</v>
      </c>
      <c r="BB11" s="127" t="s">
        <v>199</v>
      </c>
      <c r="BC11" s="127" t="s">
        <v>200</v>
      </c>
      <c r="BD11" s="127" t="s">
        <v>201</v>
      </c>
      <c r="BE11" s="127" t="s">
        <v>202</v>
      </c>
      <c r="BF11" s="127" t="s">
        <v>203</v>
      </c>
      <c r="BG11" s="127" t="s">
        <v>204</v>
      </c>
      <c r="BH11" s="127" t="s">
        <v>205</v>
      </c>
      <c r="BI11" s="127" t="s">
        <v>206</v>
      </c>
      <c r="BJ11" s="127" t="s">
        <v>207</v>
      </c>
      <c r="BK11" s="127" t="s">
        <v>208</v>
      </c>
      <c r="BL11" s="127" t="s">
        <v>209</v>
      </c>
    </row>
    <row r="12" spans="1:64" x14ac:dyDescent="0.35">
      <c r="H12" s="127" t="s">
        <v>6068</v>
      </c>
      <c r="J12" s="127" t="s">
        <v>10</v>
      </c>
      <c r="L12" s="127" t="s">
        <v>5</v>
      </c>
      <c r="N12" s="127" t="s">
        <v>6069</v>
      </c>
      <c r="O12" s="127" t="s">
        <v>6070</v>
      </c>
      <c r="P12" s="127" t="s">
        <v>6071</v>
      </c>
      <c r="Q12" s="127" t="s">
        <v>6072</v>
      </c>
      <c r="R12" s="127" t="s">
        <v>6073</v>
      </c>
      <c r="S12" s="127" t="s">
        <v>6074</v>
      </c>
      <c r="T12" s="127" t="s">
        <v>6075</v>
      </c>
      <c r="U12" s="127" t="s">
        <v>6076</v>
      </c>
      <c r="V12" s="127" t="s">
        <v>6077</v>
      </c>
      <c r="W12" s="127" t="s">
        <v>6078</v>
      </c>
      <c r="X12" s="127" t="s">
        <v>6079</v>
      </c>
      <c r="Y12" s="127" t="s">
        <v>6080</v>
      </c>
      <c r="Z12" s="127" t="s">
        <v>6081</v>
      </c>
      <c r="AA12" s="127" t="s">
        <v>6082</v>
      </c>
      <c r="AB12" s="127" t="s">
        <v>6083</v>
      </c>
      <c r="AC12" s="127" t="s">
        <v>6084</v>
      </c>
      <c r="AD12" s="127" t="s">
        <v>6085</v>
      </c>
      <c r="AE12" s="127" t="s">
        <v>6086</v>
      </c>
      <c r="AF12" s="127" t="s">
        <v>6087</v>
      </c>
      <c r="AG12" s="127" t="s">
        <v>6088</v>
      </c>
      <c r="AH12" s="127" t="s">
        <v>6089</v>
      </c>
      <c r="AI12" s="127" t="s">
        <v>6090</v>
      </c>
      <c r="AJ12" s="127" t="s">
        <v>6091</v>
      </c>
      <c r="AK12" s="127" t="s">
        <v>6092</v>
      </c>
      <c r="AL12" s="127" t="s">
        <v>6093</v>
      </c>
    </row>
    <row r="13" spans="1:64" ht="409.5" x14ac:dyDescent="0.35">
      <c r="C13" s="127" t="s">
        <v>236</v>
      </c>
      <c r="D13" s="127" t="s">
        <v>237</v>
      </c>
      <c r="H13" s="128" t="s">
        <v>238</v>
      </c>
      <c r="J13" s="127" t="s">
        <v>239</v>
      </c>
      <c r="K13" s="127" t="s">
        <v>240</v>
      </c>
      <c r="L13" s="127" t="s">
        <v>241</v>
      </c>
      <c r="AL13" s="127" t="s">
        <v>242</v>
      </c>
      <c r="AO13" s="128" t="s">
        <v>16532</v>
      </c>
      <c r="AP13" s="128" t="s">
        <v>16533</v>
      </c>
      <c r="AQ13" s="128" t="s">
        <v>16534</v>
      </c>
      <c r="AR13" s="128" t="s">
        <v>16535</v>
      </c>
      <c r="AS13" s="128" t="s">
        <v>16536</v>
      </c>
      <c r="AT13" s="128" t="s">
        <v>16537</v>
      </c>
      <c r="AU13" s="128" t="s">
        <v>16538</v>
      </c>
      <c r="AV13" s="128" t="s">
        <v>16539</v>
      </c>
      <c r="AW13" s="128" t="s">
        <v>16540</v>
      </c>
      <c r="AX13" s="128" t="s">
        <v>16541</v>
      </c>
      <c r="AY13" s="128" t="s">
        <v>16542</v>
      </c>
      <c r="AZ13" s="128" t="s">
        <v>16543</v>
      </c>
      <c r="BA13" s="128" t="s">
        <v>16544</v>
      </c>
      <c r="BB13" s="128" t="s">
        <v>16545</v>
      </c>
      <c r="BC13" s="128" t="s">
        <v>16546</v>
      </c>
      <c r="BD13" s="128" t="s">
        <v>16547</v>
      </c>
      <c r="BE13" s="128" t="s">
        <v>16548</v>
      </c>
      <c r="BF13" s="128" t="s">
        <v>16549</v>
      </c>
      <c r="BG13" s="128" t="s">
        <v>16550</v>
      </c>
      <c r="BH13" s="128" t="s">
        <v>16551</v>
      </c>
      <c r="BI13" s="128" t="s">
        <v>16552</v>
      </c>
      <c r="BJ13" s="128" t="s">
        <v>16553</v>
      </c>
      <c r="BK13" s="128" t="s">
        <v>16554</v>
      </c>
      <c r="BL13" s="128" t="s">
        <v>16555</v>
      </c>
    </row>
    <row r="14" spans="1:64" ht="409.5" x14ac:dyDescent="0.35">
      <c r="A14" s="127" t="s">
        <v>6063</v>
      </c>
      <c r="C14" s="127" t="s">
        <v>6118</v>
      </c>
      <c r="D14" s="127" t="s">
        <v>6119</v>
      </c>
      <c r="H14" s="128" t="s">
        <v>6120</v>
      </c>
      <c r="J14" s="127" t="s">
        <v>6121</v>
      </c>
      <c r="K14" s="127" t="s">
        <v>7336</v>
      </c>
      <c r="L14" s="127" t="s">
        <v>7378</v>
      </c>
      <c r="AL14" s="127" t="s">
        <v>6122</v>
      </c>
      <c r="AO14" s="128" t="s">
        <v>16556</v>
      </c>
      <c r="AP14" s="128" t="s">
        <v>16557</v>
      </c>
      <c r="AQ14" s="128" t="s">
        <v>16558</v>
      </c>
      <c r="AR14" s="128" t="s">
        <v>16559</v>
      </c>
      <c r="AS14" s="128" t="s">
        <v>16560</v>
      </c>
      <c r="AT14" s="128" t="s">
        <v>16561</v>
      </c>
      <c r="AU14" s="128" t="s">
        <v>16562</v>
      </c>
      <c r="AV14" s="128" t="s">
        <v>16563</v>
      </c>
      <c r="AW14" s="128" t="s">
        <v>16564</v>
      </c>
      <c r="AX14" s="128" t="s">
        <v>16565</v>
      </c>
      <c r="AY14" s="128" t="s">
        <v>16566</v>
      </c>
      <c r="AZ14" s="128" t="s">
        <v>16567</v>
      </c>
      <c r="BA14" s="128" t="s">
        <v>16568</v>
      </c>
      <c r="BB14" s="128" t="s">
        <v>16569</v>
      </c>
      <c r="BC14" s="128" t="s">
        <v>16570</v>
      </c>
      <c r="BD14" s="128" t="s">
        <v>16571</v>
      </c>
      <c r="BE14" s="128" t="s">
        <v>16572</v>
      </c>
      <c r="BF14" s="128" t="s">
        <v>16573</v>
      </c>
      <c r="BG14" s="128" t="s">
        <v>16574</v>
      </c>
      <c r="BH14" s="128" t="s">
        <v>16575</v>
      </c>
      <c r="BI14" s="128" t="s">
        <v>16576</v>
      </c>
      <c r="BJ14" s="128" t="s">
        <v>16577</v>
      </c>
      <c r="BK14" s="128" t="s">
        <v>16578</v>
      </c>
      <c r="BL14" s="128" t="s">
        <v>16579</v>
      </c>
    </row>
    <row r="15" spans="1:64" ht="409.5" x14ac:dyDescent="0.35">
      <c r="A15" s="127" t="s">
        <v>6063</v>
      </c>
      <c r="C15" s="127" t="s">
        <v>6147</v>
      </c>
      <c r="D15" s="127" t="s">
        <v>6148</v>
      </c>
      <c r="H15" s="128" t="s">
        <v>6149</v>
      </c>
      <c r="J15" s="127" t="s">
        <v>6150</v>
      </c>
      <c r="K15" s="127" t="s">
        <v>7337</v>
      </c>
      <c r="L15" s="127" t="s">
        <v>7379</v>
      </c>
      <c r="AL15" s="127" t="s">
        <v>6151</v>
      </c>
      <c r="AO15" s="128" t="s">
        <v>16580</v>
      </c>
      <c r="AP15" s="128" t="s">
        <v>16581</v>
      </c>
      <c r="AQ15" s="128" t="s">
        <v>16582</v>
      </c>
      <c r="AR15" s="128" t="s">
        <v>16583</v>
      </c>
      <c r="AS15" s="128" t="s">
        <v>16584</v>
      </c>
      <c r="AT15" s="128" t="s">
        <v>16585</v>
      </c>
      <c r="AU15" s="128" t="s">
        <v>16586</v>
      </c>
      <c r="AV15" s="128" t="s">
        <v>16587</v>
      </c>
      <c r="AW15" s="128" t="s">
        <v>16588</v>
      </c>
      <c r="AX15" s="128" t="s">
        <v>16589</v>
      </c>
      <c r="AY15" s="128" t="s">
        <v>16590</v>
      </c>
      <c r="AZ15" s="128" t="s">
        <v>16591</v>
      </c>
      <c r="BA15" s="128" t="s">
        <v>16592</v>
      </c>
      <c r="BB15" s="128" t="s">
        <v>16593</v>
      </c>
      <c r="BC15" s="128" t="s">
        <v>16594</v>
      </c>
      <c r="BD15" s="128" t="s">
        <v>16595</v>
      </c>
      <c r="BE15" s="128" t="s">
        <v>16596</v>
      </c>
      <c r="BF15" s="128" t="s">
        <v>16597</v>
      </c>
      <c r="BG15" s="128" t="s">
        <v>16598</v>
      </c>
      <c r="BH15" s="128" t="s">
        <v>16599</v>
      </c>
      <c r="BI15" s="128" t="s">
        <v>16600</v>
      </c>
      <c r="BJ15" s="128" t="s">
        <v>16601</v>
      </c>
      <c r="BK15" s="128" t="s">
        <v>16602</v>
      </c>
      <c r="BL15" s="128" t="s">
        <v>16603</v>
      </c>
    </row>
    <row r="16" spans="1:64" ht="409.5" x14ac:dyDescent="0.35">
      <c r="A16" s="127" t="s">
        <v>6063</v>
      </c>
      <c r="C16" s="127" t="s">
        <v>6176</v>
      </c>
      <c r="D16" s="127" t="s">
        <v>6177</v>
      </c>
      <c r="H16" s="128" t="s">
        <v>6178</v>
      </c>
      <c r="J16" s="127" t="s">
        <v>6179</v>
      </c>
      <c r="K16" s="127" t="s">
        <v>7338</v>
      </c>
      <c r="L16" s="127" t="s">
        <v>7380</v>
      </c>
      <c r="AL16" s="127" t="s">
        <v>6180</v>
      </c>
      <c r="AO16" s="128" t="s">
        <v>16604</v>
      </c>
      <c r="AP16" s="128" t="s">
        <v>16605</v>
      </c>
      <c r="AQ16" s="128" t="s">
        <v>16606</v>
      </c>
      <c r="AR16" s="128" t="s">
        <v>16607</v>
      </c>
      <c r="AS16" s="128" t="s">
        <v>16608</v>
      </c>
      <c r="AT16" s="128" t="s">
        <v>16609</v>
      </c>
      <c r="AU16" s="128" t="s">
        <v>16610</v>
      </c>
      <c r="AV16" s="128" t="s">
        <v>16611</v>
      </c>
      <c r="AW16" s="128" t="s">
        <v>16612</v>
      </c>
      <c r="AX16" s="128" t="s">
        <v>16613</v>
      </c>
      <c r="AY16" s="128" t="s">
        <v>16614</v>
      </c>
      <c r="AZ16" s="128" t="s">
        <v>16615</v>
      </c>
      <c r="BA16" s="128" t="s">
        <v>16616</v>
      </c>
      <c r="BB16" s="128" t="s">
        <v>16617</v>
      </c>
      <c r="BC16" s="128" t="s">
        <v>16618</v>
      </c>
      <c r="BD16" s="128" t="s">
        <v>16619</v>
      </c>
      <c r="BE16" s="128" t="s">
        <v>16620</v>
      </c>
      <c r="BF16" s="128" t="s">
        <v>16621</v>
      </c>
      <c r="BG16" s="128" t="s">
        <v>16622</v>
      </c>
      <c r="BH16" s="128" t="s">
        <v>16623</v>
      </c>
      <c r="BI16" s="128" t="s">
        <v>16624</v>
      </c>
      <c r="BJ16" s="128" t="s">
        <v>16625</v>
      </c>
      <c r="BK16" s="128" t="s">
        <v>16626</v>
      </c>
      <c r="BL16" s="128" t="s">
        <v>16627</v>
      </c>
    </row>
    <row r="17" spans="1:64" ht="409.5" x14ac:dyDescent="0.35">
      <c r="A17" s="127" t="s">
        <v>6063</v>
      </c>
      <c r="C17" s="127" t="s">
        <v>6205</v>
      </c>
      <c r="D17" s="127" t="s">
        <v>6206</v>
      </c>
      <c r="H17" s="128" t="s">
        <v>6207</v>
      </c>
      <c r="J17" s="127" t="s">
        <v>6208</v>
      </c>
      <c r="K17" s="127" t="s">
        <v>7339</v>
      </c>
      <c r="L17" s="127" t="s">
        <v>7381</v>
      </c>
      <c r="AL17" s="127" t="s">
        <v>6209</v>
      </c>
      <c r="AO17" s="128" t="s">
        <v>16628</v>
      </c>
      <c r="AP17" s="128" t="s">
        <v>16629</v>
      </c>
      <c r="AQ17" s="128" t="s">
        <v>16630</v>
      </c>
      <c r="AR17" s="128" t="s">
        <v>16631</v>
      </c>
      <c r="AS17" s="128" t="s">
        <v>16632</v>
      </c>
      <c r="AT17" s="128" t="s">
        <v>16633</v>
      </c>
      <c r="AU17" s="128" t="s">
        <v>16634</v>
      </c>
      <c r="AV17" s="128" t="s">
        <v>16635</v>
      </c>
      <c r="AW17" s="128" t="s">
        <v>16636</v>
      </c>
      <c r="AX17" s="128" t="s">
        <v>16637</v>
      </c>
      <c r="AY17" s="128" t="s">
        <v>16638</v>
      </c>
      <c r="AZ17" s="128" t="s">
        <v>16639</v>
      </c>
      <c r="BA17" s="128" t="s">
        <v>16640</v>
      </c>
      <c r="BB17" s="128" t="s">
        <v>16641</v>
      </c>
      <c r="BC17" s="128" t="s">
        <v>16642</v>
      </c>
      <c r="BD17" s="128" t="s">
        <v>16643</v>
      </c>
      <c r="BE17" s="128" t="s">
        <v>16644</v>
      </c>
      <c r="BF17" s="128" t="s">
        <v>16645</v>
      </c>
      <c r="BG17" s="128" t="s">
        <v>16646</v>
      </c>
      <c r="BH17" s="128" t="s">
        <v>16647</v>
      </c>
      <c r="BI17" s="128" t="s">
        <v>16648</v>
      </c>
      <c r="BJ17" s="128" t="s">
        <v>16649</v>
      </c>
      <c r="BK17" s="128" t="s">
        <v>16650</v>
      </c>
      <c r="BL17" s="128" t="s">
        <v>16651</v>
      </c>
    </row>
    <row r="18" spans="1:64" ht="409.5" x14ac:dyDescent="0.35">
      <c r="A18" s="127" t="s">
        <v>6063</v>
      </c>
      <c r="C18" s="127" t="s">
        <v>6234</v>
      </c>
      <c r="D18" s="127" t="s">
        <v>6235</v>
      </c>
      <c r="H18" s="128" t="s">
        <v>6236</v>
      </c>
      <c r="J18" s="127" t="s">
        <v>6237</v>
      </c>
      <c r="K18" s="127" t="s">
        <v>7340</v>
      </c>
      <c r="L18" s="127" t="s">
        <v>7382</v>
      </c>
      <c r="AL18" s="127" t="s">
        <v>6238</v>
      </c>
      <c r="AO18" s="128" t="s">
        <v>16652</v>
      </c>
      <c r="AP18" s="128" t="s">
        <v>16653</v>
      </c>
      <c r="AQ18" s="128" t="s">
        <v>16654</v>
      </c>
      <c r="AR18" s="128" t="s">
        <v>16655</v>
      </c>
      <c r="AS18" s="128" t="s">
        <v>16656</v>
      </c>
      <c r="AT18" s="128" t="s">
        <v>16657</v>
      </c>
      <c r="AU18" s="128" t="s">
        <v>16658</v>
      </c>
      <c r="AV18" s="128" t="s">
        <v>16659</v>
      </c>
      <c r="AW18" s="128" t="s">
        <v>16660</v>
      </c>
      <c r="AX18" s="128" t="s">
        <v>16661</v>
      </c>
      <c r="AY18" s="128" t="s">
        <v>16662</v>
      </c>
      <c r="AZ18" s="128" t="s">
        <v>16663</v>
      </c>
      <c r="BA18" s="128" t="s">
        <v>16664</v>
      </c>
      <c r="BB18" s="128" t="s">
        <v>16665</v>
      </c>
      <c r="BC18" s="128" t="s">
        <v>16666</v>
      </c>
      <c r="BD18" s="128" t="s">
        <v>16667</v>
      </c>
      <c r="BE18" s="128" t="s">
        <v>16668</v>
      </c>
      <c r="BF18" s="128" t="s">
        <v>16669</v>
      </c>
      <c r="BG18" s="128" t="s">
        <v>16670</v>
      </c>
      <c r="BH18" s="128" t="s">
        <v>16671</v>
      </c>
      <c r="BI18" s="128" t="s">
        <v>16672</v>
      </c>
      <c r="BJ18" s="128" t="s">
        <v>16673</v>
      </c>
      <c r="BK18" s="128" t="s">
        <v>16674</v>
      </c>
      <c r="BL18" s="128" t="s">
        <v>16675</v>
      </c>
    </row>
    <row r="19" spans="1:64" ht="409.5" x14ac:dyDescent="0.35">
      <c r="A19" s="127" t="s">
        <v>6063</v>
      </c>
      <c r="C19" s="127" t="s">
        <v>6263</v>
      </c>
      <c r="D19" s="127" t="s">
        <v>6264</v>
      </c>
      <c r="H19" s="128" t="s">
        <v>6265</v>
      </c>
      <c r="J19" s="127" t="s">
        <v>6266</v>
      </c>
      <c r="K19" s="127" t="s">
        <v>7341</v>
      </c>
      <c r="L19" s="127" t="s">
        <v>7383</v>
      </c>
      <c r="AL19" s="127" t="s">
        <v>6267</v>
      </c>
      <c r="AO19" s="128" t="s">
        <v>16676</v>
      </c>
      <c r="AP19" s="128" t="s">
        <v>16677</v>
      </c>
      <c r="AQ19" s="128" t="s">
        <v>16678</v>
      </c>
      <c r="AR19" s="128" t="s">
        <v>16679</v>
      </c>
      <c r="AS19" s="128" t="s">
        <v>16680</v>
      </c>
      <c r="AT19" s="128" t="s">
        <v>16681</v>
      </c>
      <c r="AU19" s="128" t="s">
        <v>16682</v>
      </c>
      <c r="AV19" s="128" t="s">
        <v>16683</v>
      </c>
      <c r="AW19" s="128" t="s">
        <v>16684</v>
      </c>
      <c r="AX19" s="128" t="s">
        <v>16685</v>
      </c>
      <c r="AY19" s="128" t="s">
        <v>16686</v>
      </c>
      <c r="AZ19" s="128" t="s">
        <v>16687</v>
      </c>
      <c r="BA19" s="128" t="s">
        <v>16688</v>
      </c>
      <c r="BB19" s="128" t="s">
        <v>16689</v>
      </c>
      <c r="BC19" s="128" t="s">
        <v>16690</v>
      </c>
      <c r="BD19" s="128" t="s">
        <v>16691</v>
      </c>
      <c r="BE19" s="128" t="s">
        <v>16692</v>
      </c>
      <c r="BF19" s="128" t="s">
        <v>16693</v>
      </c>
      <c r="BG19" s="128" t="s">
        <v>16694</v>
      </c>
      <c r="BH19" s="128" t="s">
        <v>16695</v>
      </c>
      <c r="BI19" s="128" t="s">
        <v>16696</v>
      </c>
      <c r="BJ19" s="128" t="s">
        <v>16697</v>
      </c>
      <c r="BK19" s="128" t="s">
        <v>16698</v>
      </c>
      <c r="BL19" s="128" t="s">
        <v>16699</v>
      </c>
    </row>
    <row r="20" spans="1:64" ht="409.5" x14ac:dyDescent="0.35">
      <c r="A20" s="127" t="s">
        <v>6063</v>
      </c>
      <c r="C20" s="127" t="s">
        <v>6292</v>
      </c>
      <c r="D20" s="127" t="s">
        <v>6293</v>
      </c>
      <c r="H20" s="128" t="s">
        <v>6294</v>
      </c>
      <c r="J20" s="127" t="s">
        <v>6295</v>
      </c>
      <c r="K20" s="127" t="s">
        <v>7342</v>
      </c>
      <c r="L20" s="127" t="s">
        <v>7384</v>
      </c>
      <c r="AL20" s="127" t="s">
        <v>6296</v>
      </c>
      <c r="AO20" s="128" t="s">
        <v>16700</v>
      </c>
      <c r="AP20" s="128" t="s">
        <v>16701</v>
      </c>
      <c r="AQ20" s="128" t="s">
        <v>16702</v>
      </c>
      <c r="AR20" s="128" t="s">
        <v>16703</v>
      </c>
      <c r="AS20" s="128" t="s">
        <v>16704</v>
      </c>
      <c r="AT20" s="128" t="s">
        <v>16705</v>
      </c>
      <c r="AU20" s="128" t="s">
        <v>16706</v>
      </c>
      <c r="AV20" s="128" t="s">
        <v>16707</v>
      </c>
      <c r="AW20" s="128" t="s">
        <v>16708</v>
      </c>
      <c r="AX20" s="128" t="s">
        <v>16709</v>
      </c>
      <c r="AY20" s="128" t="s">
        <v>16710</v>
      </c>
      <c r="AZ20" s="128" t="s">
        <v>16711</v>
      </c>
      <c r="BA20" s="128" t="s">
        <v>16712</v>
      </c>
      <c r="BB20" s="128" t="s">
        <v>16713</v>
      </c>
      <c r="BC20" s="128" t="s">
        <v>16714</v>
      </c>
      <c r="BD20" s="128" t="s">
        <v>16715</v>
      </c>
      <c r="BE20" s="128" t="s">
        <v>16716</v>
      </c>
      <c r="BF20" s="128" t="s">
        <v>16717</v>
      </c>
      <c r="BG20" s="128" t="s">
        <v>16718</v>
      </c>
      <c r="BH20" s="128" t="s">
        <v>16719</v>
      </c>
      <c r="BI20" s="128" t="s">
        <v>16720</v>
      </c>
      <c r="BJ20" s="128" t="s">
        <v>16721</v>
      </c>
      <c r="BK20" s="128" t="s">
        <v>16722</v>
      </c>
      <c r="BL20" s="128" t="s">
        <v>16723</v>
      </c>
    </row>
    <row r="21" spans="1:64" ht="409.5" x14ac:dyDescent="0.35">
      <c r="A21" s="127" t="s">
        <v>6063</v>
      </c>
      <c r="C21" s="127" t="s">
        <v>6321</v>
      </c>
      <c r="D21" s="127" t="s">
        <v>6322</v>
      </c>
      <c r="H21" s="128" t="s">
        <v>6323</v>
      </c>
      <c r="J21" s="127" t="s">
        <v>6324</v>
      </c>
      <c r="K21" s="127" t="s">
        <v>7343</v>
      </c>
      <c r="L21" s="127" t="s">
        <v>7385</v>
      </c>
      <c r="AL21" s="127" t="s">
        <v>6325</v>
      </c>
      <c r="AO21" s="128" t="s">
        <v>16724</v>
      </c>
      <c r="AP21" s="128" t="s">
        <v>16725</v>
      </c>
      <c r="AQ21" s="128" t="s">
        <v>16726</v>
      </c>
      <c r="AR21" s="128" t="s">
        <v>16727</v>
      </c>
      <c r="AS21" s="128" t="s">
        <v>16728</v>
      </c>
      <c r="AT21" s="128" t="s">
        <v>16729</v>
      </c>
      <c r="AU21" s="128" t="s">
        <v>16730</v>
      </c>
      <c r="AV21" s="128" t="s">
        <v>16731</v>
      </c>
      <c r="AW21" s="128" t="s">
        <v>16732</v>
      </c>
      <c r="AX21" s="128" t="s">
        <v>16733</v>
      </c>
      <c r="AY21" s="128" t="s">
        <v>16734</v>
      </c>
      <c r="AZ21" s="128" t="s">
        <v>16735</v>
      </c>
      <c r="BA21" s="128" t="s">
        <v>16736</v>
      </c>
      <c r="BB21" s="128" t="s">
        <v>16737</v>
      </c>
      <c r="BC21" s="128" t="s">
        <v>16738</v>
      </c>
      <c r="BD21" s="128" t="s">
        <v>16739</v>
      </c>
      <c r="BE21" s="128" t="s">
        <v>16740</v>
      </c>
      <c r="BF21" s="128" t="s">
        <v>16741</v>
      </c>
      <c r="BG21" s="128" t="s">
        <v>16742</v>
      </c>
      <c r="BH21" s="128" t="s">
        <v>16743</v>
      </c>
      <c r="BI21" s="128" t="s">
        <v>16744</v>
      </c>
      <c r="BJ21" s="128" t="s">
        <v>16745</v>
      </c>
      <c r="BK21" s="128" t="s">
        <v>16746</v>
      </c>
      <c r="BL21" s="128" t="s">
        <v>16747</v>
      </c>
    </row>
    <row r="22" spans="1:64" ht="409.5" x14ac:dyDescent="0.35">
      <c r="A22" s="127" t="s">
        <v>6063</v>
      </c>
      <c r="C22" s="127" t="s">
        <v>6350</v>
      </c>
      <c r="D22" s="127" t="s">
        <v>6351</v>
      </c>
      <c r="H22" s="128" t="s">
        <v>6352</v>
      </c>
      <c r="J22" s="127" t="s">
        <v>6353</v>
      </c>
      <c r="K22" s="127" t="s">
        <v>7344</v>
      </c>
      <c r="L22" s="127" t="s">
        <v>7386</v>
      </c>
      <c r="AL22" s="127" t="s">
        <v>6354</v>
      </c>
      <c r="AO22" s="128" t="s">
        <v>16748</v>
      </c>
      <c r="AP22" s="128" t="s">
        <v>16749</v>
      </c>
      <c r="AQ22" s="128" t="s">
        <v>16750</v>
      </c>
      <c r="AR22" s="128" t="s">
        <v>16751</v>
      </c>
      <c r="AS22" s="128" t="s">
        <v>16752</v>
      </c>
      <c r="AT22" s="128" t="s">
        <v>16753</v>
      </c>
      <c r="AU22" s="128" t="s">
        <v>16754</v>
      </c>
      <c r="AV22" s="128" t="s">
        <v>16755</v>
      </c>
      <c r="AW22" s="128" t="s">
        <v>16756</v>
      </c>
      <c r="AX22" s="128" t="s">
        <v>16757</v>
      </c>
      <c r="AY22" s="128" t="s">
        <v>16758</v>
      </c>
      <c r="AZ22" s="128" t="s">
        <v>16759</v>
      </c>
      <c r="BA22" s="128" t="s">
        <v>16760</v>
      </c>
      <c r="BB22" s="128" t="s">
        <v>16761</v>
      </c>
      <c r="BC22" s="128" t="s">
        <v>16762</v>
      </c>
      <c r="BD22" s="128" t="s">
        <v>16763</v>
      </c>
      <c r="BE22" s="128" t="s">
        <v>16764</v>
      </c>
      <c r="BF22" s="128" t="s">
        <v>16765</v>
      </c>
      <c r="BG22" s="128" t="s">
        <v>16766</v>
      </c>
      <c r="BH22" s="128" t="s">
        <v>16767</v>
      </c>
      <c r="BI22" s="128" t="s">
        <v>16768</v>
      </c>
      <c r="BJ22" s="128" t="s">
        <v>16769</v>
      </c>
      <c r="BK22" s="128" t="s">
        <v>16770</v>
      </c>
      <c r="BL22" s="128" t="s">
        <v>16771</v>
      </c>
    </row>
    <row r="23" spans="1:64" ht="409.5" x14ac:dyDescent="0.35">
      <c r="A23" s="127" t="s">
        <v>6063</v>
      </c>
      <c r="C23" s="127" t="s">
        <v>6379</v>
      </c>
      <c r="D23" s="127" t="s">
        <v>6380</v>
      </c>
      <c r="H23" s="128" t="s">
        <v>6381</v>
      </c>
      <c r="J23" s="127" t="s">
        <v>6382</v>
      </c>
      <c r="K23" s="127" t="s">
        <v>7345</v>
      </c>
      <c r="L23" s="127" t="s">
        <v>7387</v>
      </c>
      <c r="AL23" s="127" t="s">
        <v>6383</v>
      </c>
      <c r="AO23" s="128" t="s">
        <v>16772</v>
      </c>
      <c r="AP23" s="128" t="s">
        <v>16773</v>
      </c>
      <c r="AQ23" s="128" t="s">
        <v>16774</v>
      </c>
      <c r="AR23" s="128" t="s">
        <v>16775</v>
      </c>
      <c r="AS23" s="128" t="s">
        <v>16776</v>
      </c>
      <c r="AT23" s="128" t="s">
        <v>16777</v>
      </c>
      <c r="AU23" s="128" t="s">
        <v>16778</v>
      </c>
      <c r="AV23" s="128" t="s">
        <v>16779</v>
      </c>
      <c r="AW23" s="128" t="s">
        <v>16780</v>
      </c>
      <c r="AX23" s="128" t="s">
        <v>16781</v>
      </c>
      <c r="AY23" s="128" t="s">
        <v>16782</v>
      </c>
      <c r="AZ23" s="128" t="s">
        <v>16783</v>
      </c>
      <c r="BA23" s="128" t="s">
        <v>16784</v>
      </c>
      <c r="BB23" s="128" t="s">
        <v>16785</v>
      </c>
      <c r="BC23" s="128" t="s">
        <v>16786</v>
      </c>
      <c r="BD23" s="128" t="s">
        <v>16787</v>
      </c>
      <c r="BE23" s="128" t="s">
        <v>16788</v>
      </c>
      <c r="BF23" s="128" t="s">
        <v>16789</v>
      </c>
      <c r="BG23" s="128" t="s">
        <v>16790</v>
      </c>
      <c r="BH23" s="128" t="s">
        <v>16791</v>
      </c>
      <c r="BI23" s="128" t="s">
        <v>16792</v>
      </c>
      <c r="BJ23" s="128" t="s">
        <v>16793</v>
      </c>
      <c r="BK23" s="128" t="s">
        <v>16794</v>
      </c>
      <c r="BL23" s="128" t="s">
        <v>16795</v>
      </c>
    </row>
    <row r="24" spans="1:64" ht="409.5" x14ac:dyDescent="0.35">
      <c r="A24" s="127" t="s">
        <v>6063</v>
      </c>
      <c r="C24" s="127" t="s">
        <v>6408</v>
      </c>
      <c r="D24" s="127" t="s">
        <v>6409</v>
      </c>
      <c r="H24" s="128" t="s">
        <v>6410</v>
      </c>
      <c r="J24" s="127" t="s">
        <v>6411</v>
      </c>
      <c r="K24" s="127" t="s">
        <v>7346</v>
      </c>
      <c r="L24" s="127" t="s">
        <v>7388</v>
      </c>
      <c r="AL24" s="127" t="s">
        <v>6412</v>
      </c>
      <c r="AO24" s="128" t="s">
        <v>16796</v>
      </c>
      <c r="AP24" s="128" t="s">
        <v>16797</v>
      </c>
      <c r="AQ24" s="128" t="s">
        <v>16798</v>
      </c>
      <c r="AR24" s="128" t="s">
        <v>16799</v>
      </c>
      <c r="AS24" s="128" t="s">
        <v>16800</v>
      </c>
      <c r="AT24" s="128" t="s">
        <v>16801</v>
      </c>
      <c r="AU24" s="128" t="s">
        <v>16802</v>
      </c>
      <c r="AV24" s="128" t="s">
        <v>16803</v>
      </c>
      <c r="AW24" s="128" t="s">
        <v>16804</v>
      </c>
      <c r="AX24" s="128" t="s">
        <v>16805</v>
      </c>
      <c r="AY24" s="128" t="s">
        <v>16806</v>
      </c>
      <c r="AZ24" s="128" t="s">
        <v>16807</v>
      </c>
      <c r="BA24" s="128" t="s">
        <v>16808</v>
      </c>
      <c r="BB24" s="128" t="s">
        <v>16809</v>
      </c>
      <c r="BC24" s="128" t="s">
        <v>16810</v>
      </c>
      <c r="BD24" s="128" t="s">
        <v>16811</v>
      </c>
      <c r="BE24" s="128" t="s">
        <v>16812</v>
      </c>
      <c r="BF24" s="128" t="s">
        <v>16813</v>
      </c>
      <c r="BG24" s="128" t="s">
        <v>16814</v>
      </c>
      <c r="BH24" s="128" t="s">
        <v>16815</v>
      </c>
      <c r="BI24" s="128" t="s">
        <v>16816</v>
      </c>
      <c r="BJ24" s="128" t="s">
        <v>16817</v>
      </c>
      <c r="BK24" s="128" t="s">
        <v>16818</v>
      </c>
      <c r="BL24" s="128" t="s">
        <v>16819</v>
      </c>
    </row>
    <row r="25" spans="1:64" ht="409.5" x14ac:dyDescent="0.35">
      <c r="A25" s="127" t="s">
        <v>6063</v>
      </c>
      <c r="C25" s="127" t="s">
        <v>6437</v>
      </c>
      <c r="D25" s="127" t="s">
        <v>6438</v>
      </c>
      <c r="H25" s="128" t="s">
        <v>6439</v>
      </c>
      <c r="J25" s="127" t="s">
        <v>6440</v>
      </c>
      <c r="K25" s="127" t="s">
        <v>7347</v>
      </c>
      <c r="L25" s="127" t="s">
        <v>7389</v>
      </c>
      <c r="AL25" s="127" t="s">
        <v>6441</v>
      </c>
      <c r="AO25" s="128" t="s">
        <v>16820</v>
      </c>
      <c r="AP25" s="128" t="s">
        <v>16821</v>
      </c>
      <c r="AQ25" s="128" t="s">
        <v>16822</v>
      </c>
      <c r="AR25" s="128" t="s">
        <v>16823</v>
      </c>
      <c r="AS25" s="128" t="s">
        <v>16824</v>
      </c>
      <c r="AT25" s="128" t="s">
        <v>16825</v>
      </c>
      <c r="AU25" s="128" t="s">
        <v>16826</v>
      </c>
      <c r="AV25" s="128" t="s">
        <v>16827</v>
      </c>
      <c r="AW25" s="128" t="s">
        <v>16828</v>
      </c>
      <c r="AX25" s="128" t="s">
        <v>16829</v>
      </c>
      <c r="AY25" s="128" t="s">
        <v>16830</v>
      </c>
      <c r="AZ25" s="128" t="s">
        <v>16831</v>
      </c>
      <c r="BA25" s="128" t="s">
        <v>16832</v>
      </c>
      <c r="BB25" s="128" t="s">
        <v>16833</v>
      </c>
      <c r="BC25" s="128" t="s">
        <v>16834</v>
      </c>
      <c r="BD25" s="128" t="s">
        <v>16835</v>
      </c>
      <c r="BE25" s="128" t="s">
        <v>16836</v>
      </c>
      <c r="BF25" s="128" t="s">
        <v>16837</v>
      </c>
      <c r="BG25" s="128" t="s">
        <v>16838</v>
      </c>
      <c r="BH25" s="128" t="s">
        <v>16839</v>
      </c>
      <c r="BI25" s="128" t="s">
        <v>16840</v>
      </c>
      <c r="BJ25" s="128" t="s">
        <v>16841</v>
      </c>
      <c r="BK25" s="128" t="s">
        <v>16842</v>
      </c>
      <c r="BL25" s="128" t="s">
        <v>16843</v>
      </c>
    </row>
    <row r="26" spans="1:64" ht="409.5" x14ac:dyDescent="0.35">
      <c r="A26" s="127" t="s">
        <v>6063</v>
      </c>
      <c r="C26" s="127" t="s">
        <v>6466</v>
      </c>
      <c r="D26" s="127" t="s">
        <v>6467</v>
      </c>
      <c r="H26" s="128" t="s">
        <v>6468</v>
      </c>
      <c r="J26" s="127" t="s">
        <v>6469</v>
      </c>
      <c r="K26" s="127" t="s">
        <v>7348</v>
      </c>
      <c r="L26" s="127" t="s">
        <v>7390</v>
      </c>
      <c r="AL26" s="127" t="s">
        <v>6470</v>
      </c>
      <c r="AO26" s="128" t="s">
        <v>16844</v>
      </c>
      <c r="AP26" s="128" t="s">
        <v>16845</v>
      </c>
      <c r="AQ26" s="128" t="s">
        <v>16846</v>
      </c>
      <c r="AR26" s="128" t="s">
        <v>16847</v>
      </c>
      <c r="AS26" s="128" t="s">
        <v>16848</v>
      </c>
      <c r="AT26" s="128" t="s">
        <v>16849</v>
      </c>
      <c r="AU26" s="128" t="s">
        <v>16850</v>
      </c>
      <c r="AV26" s="128" t="s">
        <v>16851</v>
      </c>
      <c r="AW26" s="128" t="s">
        <v>16852</v>
      </c>
      <c r="AX26" s="128" t="s">
        <v>16853</v>
      </c>
      <c r="AY26" s="128" t="s">
        <v>16854</v>
      </c>
      <c r="AZ26" s="128" t="s">
        <v>16855</v>
      </c>
      <c r="BA26" s="128" t="s">
        <v>16856</v>
      </c>
      <c r="BB26" s="128" t="s">
        <v>16857</v>
      </c>
      <c r="BC26" s="128" t="s">
        <v>16858</v>
      </c>
      <c r="BD26" s="128" t="s">
        <v>16859</v>
      </c>
      <c r="BE26" s="128" t="s">
        <v>16860</v>
      </c>
      <c r="BF26" s="128" t="s">
        <v>16861</v>
      </c>
      <c r="BG26" s="128" t="s">
        <v>16862</v>
      </c>
      <c r="BH26" s="128" t="s">
        <v>16863</v>
      </c>
      <c r="BI26" s="128" t="s">
        <v>16864</v>
      </c>
      <c r="BJ26" s="128" t="s">
        <v>16865</v>
      </c>
      <c r="BK26" s="128" t="s">
        <v>16866</v>
      </c>
      <c r="BL26" s="128" t="s">
        <v>16867</v>
      </c>
    </row>
    <row r="27" spans="1:64" ht="409.5" x14ac:dyDescent="0.35">
      <c r="A27" s="127" t="s">
        <v>6063</v>
      </c>
      <c r="C27" s="127" t="s">
        <v>6495</v>
      </c>
      <c r="D27" s="127" t="s">
        <v>6496</v>
      </c>
      <c r="H27" s="128" t="s">
        <v>6497</v>
      </c>
      <c r="J27" s="127" t="s">
        <v>6498</v>
      </c>
      <c r="K27" s="127" t="s">
        <v>7349</v>
      </c>
      <c r="L27" s="127" t="s">
        <v>7391</v>
      </c>
      <c r="AL27" s="127" t="s">
        <v>6499</v>
      </c>
      <c r="AO27" s="128" t="s">
        <v>16868</v>
      </c>
      <c r="AP27" s="128" t="s">
        <v>16869</v>
      </c>
      <c r="AQ27" s="128" t="s">
        <v>16870</v>
      </c>
      <c r="AR27" s="128" t="s">
        <v>16871</v>
      </c>
      <c r="AS27" s="128" t="s">
        <v>16872</v>
      </c>
      <c r="AT27" s="128" t="s">
        <v>16873</v>
      </c>
      <c r="AU27" s="128" t="s">
        <v>16874</v>
      </c>
      <c r="AV27" s="128" t="s">
        <v>16875</v>
      </c>
      <c r="AW27" s="128" t="s">
        <v>16876</v>
      </c>
      <c r="AX27" s="128" t="s">
        <v>16877</v>
      </c>
      <c r="AY27" s="128" t="s">
        <v>16878</v>
      </c>
      <c r="AZ27" s="128" t="s">
        <v>16879</v>
      </c>
      <c r="BA27" s="128" t="s">
        <v>16880</v>
      </c>
      <c r="BB27" s="128" t="s">
        <v>16881</v>
      </c>
      <c r="BC27" s="128" t="s">
        <v>16882</v>
      </c>
      <c r="BD27" s="128" t="s">
        <v>16883</v>
      </c>
      <c r="BE27" s="128" t="s">
        <v>16884</v>
      </c>
      <c r="BF27" s="128" t="s">
        <v>16885</v>
      </c>
      <c r="BG27" s="128" t="s">
        <v>16886</v>
      </c>
      <c r="BH27" s="128" t="s">
        <v>16887</v>
      </c>
      <c r="BI27" s="128" t="s">
        <v>16888</v>
      </c>
      <c r="BJ27" s="128" t="s">
        <v>16889</v>
      </c>
      <c r="BK27" s="128" t="s">
        <v>16890</v>
      </c>
      <c r="BL27" s="128" t="s">
        <v>16891</v>
      </c>
    </row>
    <row r="28" spans="1:64" ht="409.5" x14ac:dyDescent="0.35">
      <c r="A28" s="127" t="s">
        <v>6063</v>
      </c>
      <c r="C28" s="127" t="s">
        <v>6524</v>
      </c>
      <c r="D28" s="127" t="s">
        <v>6525</v>
      </c>
      <c r="H28" s="128" t="s">
        <v>6526</v>
      </c>
      <c r="J28" s="127" t="s">
        <v>6527</v>
      </c>
      <c r="K28" s="127" t="s">
        <v>7350</v>
      </c>
      <c r="L28" s="127" t="s">
        <v>7392</v>
      </c>
      <c r="AL28" s="127" t="s">
        <v>6528</v>
      </c>
      <c r="AO28" s="128" t="s">
        <v>16892</v>
      </c>
      <c r="AP28" s="128" t="s">
        <v>16893</v>
      </c>
      <c r="AQ28" s="128" t="s">
        <v>16894</v>
      </c>
      <c r="AR28" s="128" t="s">
        <v>16895</v>
      </c>
      <c r="AS28" s="128" t="s">
        <v>16896</v>
      </c>
      <c r="AT28" s="128" t="s">
        <v>16897</v>
      </c>
      <c r="AU28" s="128" t="s">
        <v>16898</v>
      </c>
      <c r="AV28" s="128" t="s">
        <v>16899</v>
      </c>
      <c r="AW28" s="128" t="s">
        <v>16900</v>
      </c>
      <c r="AX28" s="128" t="s">
        <v>16901</v>
      </c>
      <c r="AY28" s="128" t="s">
        <v>16902</v>
      </c>
      <c r="AZ28" s="128" t="s">
        <v>16903</v>
      </c>
      <c r="BA28" s="128" t="s">
        <v>16904</v>
      </c>
      <c r="BB28" s="128" t="s">
        <v>16905</v>
      </c>
      <c r="BC28" s="128" t="s">
        <v>16906</v>
      </c>
      <c r="BD28" s="128" t="s">
        <v>16907</v>
      </c>
      <c r="BE28" s="128" t="s">
        <v>16908</v>
      </c>
      <c r="BF28" s="128" t="s">
        <v>16909</v>
      </c>
      <c r="BG28" s="128" t="s">
        <v>16910</v>
      </c>
      <c r="BH28" s="128" t="s">
        <v>16911</v>
      </c>
      <c r="BI28" s="128" t="s">
        <v>16912</v>
      </c>
      <c r="BJ28" s="128" t="s">
        <v>16913</v>
      </c>
      <c r="BK28" s="128" t="s">
        <v>16914</v>
      </c>
      <c r="BL28" s="128" t="s">
        <v>16915</v>
      </c>
    </row>
    <row r="29" spans="1:64" ht="409.5" x14ac:dyDescent="0.35">
      <c r="A29" s="127" t="s">
        <v>6063</v>
      </c>
      <c r="C29" s="127" t="s">
        <v>6553</v>
      </c>
      <c r="D29" s="127" t="s">
        <v>6554</v>
      </c>
      <c r="H29" s="128" t="s">
        <v>6555</v>
      </c>
      <c r="J29" s="127" t="s">
        <v>6556</v>
      </c>
      <c r="K29" s="127" t="s">
        <v>7351</v>
      </c>
      <c r="L29" s="127" t="s">
        <v>7393</v>
      </c>
      <c r="AL29" s="127" t="s">
        <v>6557</v>
      </c>
      <c r="AO29" s="128" t="s">
        <v>16916</v>
      </c>
      <c r="AP29" s="128" t="s">
        <v>16917</v>
      </c>
      <c r="AQ29" s="128" t="s">
        <v>16918</v>
      </c>
      <c r="AR29" s="128" t="s">
        <v>16919</v>
      </c>
      <c r="AS29" s="128" t="s">
        <v>16920</v>
      </c>
      <c r="AT29" s="128" t="s">
        <v>16921</v>
      </c>
      <c r="AU29" s="128" t="s">
        <v>16922</v>
      </c>
      <c r="AV29" s="128" t="s">
        <v>16923</v>
      </c>
      <c r="AW29" s="128" t="s">
        <v>16924</v>
      </c>
      <c r="AX29" s="128" t="s">
        <v>16925</v>
      </c>
      <c r="AY29" s="128" t="s">
        <v>16926</v>
      </c>
      <c r="AZ29" s="128" t="s">
        <v>16927</v>
      </c>
      <c r="BA29" s="128" t="s">
        <v>16928</v>
      </c>
      <c r="BB29" s="128" t="s">
        <v>16929</v>
      </c>
      <c r="BC29" s="128" t="s">
        <v>16930</v>
      </c>
      <c r="BD29" s="128" t="s">
        <v>16931</v>
      </c>
      <c r="BE29" s="128" t="s">
        <v>16932</v>
      </c>
      <c r="BF29" s="128" t="s">
        <v>16933</v>
      </c>
      <c r="BG29" s="128" t="s">
        <v>16934</v>
      </c>
      <c r="BH29" s="128" t="s">
        <v>16935</v>
      </c>
      <c r="BI29" s="128" t="s">
        <v>16936</v>
      </c>
      <c r="BJ29" s="128" t="s">
        <v>16937</v>
      </c>
      <c r="BK29" s="128" t="s">
        <v>16938</v>
      </c>
      <c r="BL29" s="128" t="s">
        <v>16939</v>
      </c>
    </row>
    <row r="30" spans="1:64" ht="409.5" x14ac:dyDescent="0.35">
      <c r="A30" s="127" t="s">
        <v>6063</v>
      </c>
      <c r="C30" s="127" t="s">
        <v>6582</v>
      </c>
      <c r="D30" s="127" t="s">
        <v>6583</v>
      </c>
      <c r="H30" s="128" t="s">
        <v>6584</v>
      </c>
      <c r="J30" s="127" t="s">
        <v>6585</v>
      </c>
      <c r="K30" s="127" t="s">
        <v>7352</v>
      </c>
      <c r="L30" s="127" t="s">
        <v>7394</v>
      </c>
      <c r="AL30" s="127" t="s">
        <v>6586</v>
      </c>
      <c r="AO30" s="128" t="s">
        <v>16940</v>
      </c>
      <c r="AP30" s="128" t="s">
        <v>16941</v>
      </c>
      <c r="AQ30" s="128" t="s">
        <v>16942</v>
      </c>
      <c r="AR30" s="128" t="s">
        <v>16943</v>
      </c>
      <c r="AS30" s="128" t="s">
        <v>16944</v>
      </c>
      <c r="AT30" s="128" t="s">
        <v>16945</v>
      </c>
      <c r="AU30" s="128" t="s">
        <v>16946</v>
      </c>
      <c r="AV30" s="128" t="s">
        <v>16947</v>
      </c>
      <c r="AW30" s="128" t="s">
        <v>16948</v>
      </c>
      <c r="AX30" s="128" t="s">
        <v>16949</v>
      </c>
      <c r="AY30" s="128" t="s">
        <v>16950</v>
      </c>
      <c r="AZ30" s="128" t="s">
        <v>16951</v>
      </c>
      <c r="BA30" s="128" t="s">
        <v>16952</v>
      </c>
      <c r="BB30" s="128" t="s">
        <v>16953</v>
      </c>
      <c r="BC30" s="128" t="s">
        <v>16954</v>
      </c>
      <c r="BD30" s="128" t="s">
        <v>16955</v>
      </c>
      <c r="BE30" s="128" t="s">
        <v>16956</v>
      </c>
      <c r="BF30" s="128" t="s">
        <v>16957</v>
      </c>
      <c r="BG30" s="128" t="s">
        <v>16958</v>
      </c>
      <c r="BH30" s="128" t="s">
        <v>16959</v>
      </c>
      <c r="BI30" s="128" t="s">
        <v>16960</v>
      </c>
      <c r="BJ30" s="128" t="s">
        <v>16961</v>
      </c>
      <c r="BK30" s="128" t="s">
        <v>16962</v>
      </c>
      <c r="BL30" s="128" t="s">
        <v>16963</v>
      </c>
    </row>
    <row r="31" spans="1:64" ht="409.5" x14ac:dyDescent="0.35">
      <c r="A31" s="127" t="s">
        <v>6063</v>
      </c>
      <c r="C31" s="127" t="s">
        <v>6611</v>
      </c>
      <c r="D31" s="127" t="s">
        <v>6612</v>
      </c>
      <c r="H31" s="128" t="s">
        <v>6613</v>
      </c>
      <c r="J31" s="127" t="s">
        <v>6614</v>
      </c>
      <c r="K31" s="127" t="s">
        <v>7353</v>
      </c>
      <c r="L31" s="127" t="s">
        <v>7395</v>
      </c>
      <c r="AL31" s="127" t="s">
        <v>6615</v>
      </c>
      <c r="AO31" s="128" t="s">
        <v>16964</v>
      </c>
      <c r="AP31" s="128" t="s">
        <v>16965</v>
      </c>
      <c r="AQ31" s="128" t="s">
        <v>16966</v>
      </c>
      <c r="AR31" s="128" t="s">
        <v>16967</v>
      </c>
      <c r="AS31" s="128" t="s">
        <v>16968</v>
      </c>
      <c r="AT31" s="128" t="s">
        <v>16969</v>
      </c>
      <c r="AU31" s="128" t="s">
        <v>16970</v>
      </c>
      <c r="AV31" s="128" t="s">
        <v>16971</v>
      </c>
      <c r="AW31" s="128" t="s">
        <v>16972</v>
      </c>
      <c r="AX31" s="128" t="s">
        <v>16973</v>
      </c>
      <c r="AY31" s="128" t="s">
        <v>16974</v>
      </c>
      <c r="AZ31" s="128" t="s">
        <v>16975</v>
      </c>
      <c r="BA31" s="128" t="s">
        <v>16976</v>
      </c>
      <c r="BB31" s="128" t="s">
        <v>16977</v>
      </c>
      <c r="BC31" s="128" t="s">
        <v>16978</v>
      </c>
      <c r="BD31" s="128" t="s">
        <v>16979</v>
      </c>
      <c r="BE31" s="128" t="s">
        <v>16980</v>
      </c>
      <c r="BF31" s="128" t="s">
        <v>16981</v>
      </c>
      <c r="BG31" s="128" t="s">
        <v>16982</v>
      </c>
      <c r="BH31" s="128" t="s">
        <v>16983</v>
      </c>
      <c r="BI31" s="128" t="s">
        <v>16984</v>
      </c>
      <c r="BJ31" s="128" t="s">
        <v>16985</v>
      </c>
      <c r="BK31" s="128" t="s">
        <v>16986</v>
      </c>
      <c r="BL31" s="128" t="s">
        <v>16987</v>
      </c>
    </row>
    <row r="32" spans="1:64" ht="409.5" x14ac:dyDescent="0.35">
      <c r="A32" s="127" t="s">
        <v>6063</v>
      </c>
      <c r="C32" s="127" t="s">
        <v>6640</v>
      </c>
      <c r="D32" s="127" t="s">
        <v>6641</v>
      </c>
      <c r="H32" s="128" t="s">
        <v>6642</v>
      </c>
      <c r="J32" s="127" t="s">
        <v>6643</v>
      </c>
      <c r="K32" s="127" t="s">
        <v>7354</v>
      </c>
      <c r="L32" s="127" t="s">
        <v>7396</v>
      </c>
      <c r="AL32" s="127" t="s">
        <v>6644</v>
      </c>
      <c r="AO32" s="128" t="s">
        <v>16988</v>
      </c>
      <c r="AP32" s="128" t="s">
        <v>16989</v>
      </c>
      <c r="AQ32" s="128" t="s">
        <v>16990</v>
      </c>
      <c r="AR32" s="128" t="s">
        <v>16991</v>
      </c>
      <c r="AS32" s="128" t="s">
        <v>16992</v>
      </c>
      <c r="AT32" s="128" t="s">
        <v>16993</v>
      </c>
      <c r="AU32" s="128" t="s">
        <v>16994</v>
      </c>
      <c r="AV32" s="128" t="s">
        <v>16995</v>
      </c>
      <c r="AW32" s="128" t="s">
        <v>16996</v>
      </c>
      <c r="AX32" s="128" t="s">
        <v>16997</v>
      </c>
      <c r="AY32" s="128" t="s">
        <v>16998</v>
      </c>
      <c r="AZ32" s="128" t="s">
        <v>16999</v>
      </c>
      <c r="BA32" s="128" t="s">
        <v>17000</v>
      </c>
      <c r="BB32" s="128" t="s">
        <v>17001</v>
      </c>
      <c r="BC32" s="128" t="s">
        <v>17002</v>
      </c>
      <c r="BD32" s="128" t="s">
        <v>17003</v>
      </c>
      <c r="BE32" s="128" t="s">
        <v>17004</v>
      </c>
      <c r="BF32" s="128" t="s">
        <v>17005</v>
      </c>
      <c r="BG32" s="128" t="s">
        <v>17006</v>
      </c>
      <c r="BH32" s="128" t="s">
        <v>17007</v>
      </c>
      <c r="BI32" s="128" t="s">
        <v>17008</v>
      </c>
      <c r="BJ32" s="128" t="s">
        <v>17009</v>
      </c>
      <c r="BK32" s="128" t="s">
        <v>17010</v>
      </c>
      <c r="BL32" s="128" t="s">
        <v>17011</v>
      </c>
    </row>
    <row r="33" spans="1:64" ht="409.5" x14ac:dyDescent="0.35">
      <c r="A33" s="127" t="s">
        <v>6063</v>
      </c>
      <c r="C33" s="127" t="s">
        <v>6669</v>
      </c>
      <c r="D33" s="127" t="s">
        <v>6670</v>
      </c>
      <c r="H33" s="128" t="s">
        <v>6671</v>
      </c>
      <c r="J33" s="127" t="s">
        <v>6672</v>
      </c>
      <c r="K33" s="127" t="s">
        <v>7355</v>
      </c>
      <c r="L33" s="127" t="s">
        <v>7397</v>
      </c>
      <c r="AL33" s="127" t="s">
        <v>6673</v>
      </c>
      <c r="AO33" s="128" t="s">
        <v>17012</v>
      </c>
      <c r="AP33" s="128" t="s">
        <v>17013</v>
      </c>
      <c r="AQ33" s="128" t="s">
        <v>17014</v>
      </c>
      <c r="AR33" s="128" t="s">
        <v>17015</v>
      </c>
      <c r="AS33" s="128" t="s">
        <v>17016</v>
      </c>
      <c r="AT33" s="128" t="s">
        <v>17017</v>
      </c>
      <c r="AU33" s="128" t="s">
        <v>17018</v>
      </c>
      <c r="AV33" s="128" t="s">
        <v>17019</v>
      </c>
      <c r="AW33" s="128" t="s">
        <v>17020</v>
      </c>
      <c r="AX33" s="128" t="s">
        <v>17021</v>
      </c>
      <c r="AY33" s="128" t="s">
        <v>17022</v>
      </c>
      <c r="AZ33" s="128" t="s">
        <v>17023</v>
      </c>
      <c r="BA33" s="128" t="s">
        <v>17024</v>
      </c>
      <c r="BB33" s="128" t="s">
        <v>17025</v>
      </c>
      <c r="BC33" s="128" t="s">
        <v>17026</v>
      </c>
      <c r="BD33" s="128" t="s">
        <v>17027</v>
      </c>
      <c r="BE33" s="128" t="s">
        <v>17028</v>
      </c>
      <c r="BF33" s="128" t="s">
        <v>17029</v>
      </c>
      <c r="BG33" s="128" t="s">
        <v>17030</v>
      </c>
      <c r="BH33" s="128" t="s">
        <v>17031</v>
      </c>
      <c r="BI33" s="128" t="s">
        <v>17032</v>
      </c>
      <c r="BJ33" s="128" t="s">
        <v>17033</v>
      </c>
      <c r="BK33" s="128" t="s">
        <v>17034</v>
      </c>
      <c r="BL33" s="128" t="s">
        <v>17035</v>
      </c>
    </row>
    <row r="34" spans="1:64" ht="409.5" x14ac:dyDescent="0.35">
      <c r="A34" s="127" t="s">
        <v>6063</v>
      </c>
      <c r="C34" s="127" t="s">
        <v>6698</v>
      </c>
      <c r="D34" s="127" t="s">
        <v>6699</v>
      </c>
      <c r="H34" s="128" t="s">
        <v>6700</v>
      </c>
      <c r="J34" s="127" t="s">
        <v>6701</v>
      </c>
      <c r="K34" s="127" t="s">
        <v>7356</v>
      </c>
      <c r="L34" s="127" t="s">
        <v>7398</v>
      </c>
      <c r="AL34" s="127" t="s">
        <v>6702</v>
      </c>
      <c r="AO34" s="128" t="s">
        <v>17036</v>
      </c>
      <c r="AP34" s="128" t="s">
        <v>17037</v>
      </c>
      <c r="AQ34" s="128" t="s">
        <v>17038</v>
      </c>
      <c r="AR34" s="128" t="s">
        <v>17039</v>
      </c>
      <c r="AS34" s="128" t="s">
        <v>17040</v>
      </c>
      <c r="AT34" s="128" t="s">
        <v>17041</v>
      </c>
      <c r="AU34" s="128" t="s">
        <v>17042</v>
      </c>
      <c r="AV34" s="128" t="s">
        <v>17043</v>
      </c>
      <c r="AW34" s="128" t="s">
        <v>17044</v>
      </c>
      <c r="AX34" s="128" t="s">
        <v>17045</v>
      </c>
      <c r="AY34" s="128" t="s">
        <v>17046</v>
      </c>
      <c r="AZ34" s="128" t="s">
        <v>17047</v>
      </c>
      <c r="BA34" s="128" t="s">
        <v>17048</v>
      </c>
      <c r="BB34" s="128" t="s">
        <v>17049</v>
      </c>
      <c r="BC34" s="128" t="s">
        <v>17050</v>
      </c>
      <c r="BD34" s="128" t="s">
        <v>17051</v>
      </c>
      <c r="BE34" s="128" t="s">
        <v>17052</v>
      </c>
      <c r="BF34" s="128" t="s">
        <v>17053</v>
      </c>
      <c r="BG34" s="128" t="s">
        <v>17054</v>
      </c>
      <c r="BH34" s="128" t="s">
        <v>17055</v>
      </c>
      <c r="BI34" s="128" t="s">
        <v>17056</v>
      </c>
      <c r="BJ34" s="128" t="s">
        <v>17057</v>
      </c>
      <c r="BK34" s="128" t="s">
        <v>17058</v>
      </c>
      <c r="BL34" s="128" t="s">
        <v>17059</v>
      </c>
    </row>
    <row r="35" spans="1:64" ht="409.5" x14ac:dyDescent="0.35">
      <c r="A35" s="127" t="s">
        <v>6063</v>
      </c>
      <c r="C35" s="127" t="s">
        <v>6727</v>
      </c>
      <c r="D35" s="127" t="s">
        <v>6728</v>
      </c>
      <c r="H35" s="128" t="s">
        <v>6729</v>
      </c>
      <c r="J35" s="127" t="s">
        <v>6730</v>
      </c>
      <c r="K35" s="127" t="s">
        <v>7357</v>
      </c>
      <c r="L35" s="127" t="s">
        <v>7399</v>
      </c>
      <c r="AL35" s="127" t="s">
        <v>6731</v>
      </c>
      <c r="AO35" s="128" t="s">
        <v>17060</v>
      </c>
      <c r="AP35" s="128" t="s">
        <v>17061</v>
      </c>
      <c r="AQ35" s="128" t="s">
        <v>17062</v>
      </c>
      <c r="AR35" s="128" t="s">
        <v>17063</v>
      </c>
      <c r="AS35" s="128" t="s">
        <v>17064</v>
      </c>
      <c r="AT35" s="128" t="s">
        <v>17065</v>
      </c>
      <c r="AU35" s="128" t="s">
        <v>17066</v>
      </c>
      <c r="AV35" s="128" t="s">
        <v>17067</v>
      </c>
      <c r="AW35" s="128" t="s">
        <v>17068</v>
      </c>
      <c r="AX35" s="128" t="s">
        <v>17069</v>
      </c>
      <c r="AY35" s="128" t="s">
        <v>17070</v>
      </c>
      <c r="AZ35" s="128" t="s">
        <v>17071</v>
      </c>
      <c r="BA35" s="128" t="s">
        <v>17072</v>
      </c>
      <c r="BB35" s="128" t="s">
        <v>17073</v>
      </c>
      <c r="BC35" s="128" t="s">
        <v>17074</v>
      </c>
      <c r="BD35" s="128" t="s">
        <v>17075</v>
      </c>
      <c r="BE35" s="128" t="s">
        <v>17076</v>
      </c>
      <c r="BF35" s="128" t="s">
        <v>17077</v>
      </c>
      <c r="BG35" s="128" t="s">
        <v>17078</v>
      </c>
      <c r="BH35" s="128" t="s">
        <v>17079</v>
      </c>
      <c r="BI35" s="128" t="s">
        <v>17080</v>
      </c>
      <c r="BJ35" s="128" t="s">
        <v>17081</v>
      </c>
      <c r="BK35" s="128" t="s">
        <v>17082</v>
      </c>
      <c r="BL35" s="128" t="s">
        <v>17083</v>
      </c>
    </row>
    <row r="36" spans="1:64" ht="409.5" x14ac:dyDescent="0.35">
      <c r="A36" s="127" t="s">
        <v>6063</v>
      </c>
      <c r="C36" s="127" t="s">
        <v>6756</v>
      </c>
      <c r="D36" s="127" t="s">
        <v>6757</v>
      </c>
      <c r="H36" s="128" t="s">
        <v>6758</v>
      </c>
      <c r="J36" s="127" t="s">
        <v>6759</v>
      </c>
      <c r="K36" s="127" t="s">
        <v>7358</v>
      </c>
      <c r="L36" s="127" t="s">
        <v>7400</v>
      </c>
      <c r="AL36" s="127" t="s">
        <v>6760</v>
      </c>
      <c r="AO36" s="128" t="s">
        <v>17084</v>
      </c>
      <c r="AP36" s="128" t="s">
        <v>17085</v>
      </c>
      <c r="AQ36" s="128" t="s">
        <v>17086</v>
      </c>
      <c r="AR36" s="128" t="s">
        <v>17087</v>
      </c>
      <c r="AS36" s="128" t="s">
        <v>17088</v>
      </c>
      <c r="AT36" s="128" t="s">
        <v>17089</v>
      </c>
      <c r="AU36" s="128" t="s">
        <v>17090</v>
      </c>
      <c r="AV36" s="128" t="s">
        <v>17091</v>
      </c>
      <c r="AW36" s="128" t="s">
        <v>17092</v>
      </c>
      <c r="AX36" s="128" t="s">
        <v>17093</v>
      </c>
      <c r="AY36" s="128" t="s">
        <v>17094</v>
      </c>
      <c r="AZ36" s="128" t="s">
        <v>17095</v>
      </c>
      <c r="BA36" s="128" t="s">
        <v>17096</v>
      </c>
      <c r="BB36" s="128" t="s">
        <v>17097</v>
      </c>
      <c r="BC36" s="128" t="s">
        <v>17098</v>
      </c>
      <c r="BD36" s="128" t="s">
        <v>17099</v>
      </c>
      <c r="BE36" s="128" t="s">
        <v>17100</v>
      </c>
      <c r="BF36" s="128" t="s">
        <v>17101</v>
      </c>
      <c r="BG36" s="128" t="s">
        <v>17102</v>
      </c>
      <c r="BH36" s="128" t="s">
        <v>17103</v>
      </c>
      <c r="BI36" s="128" t="s">
        <v>17104</v>
      </c>
      <c r="BJ36" s="128" t="s">
        <v>17105</v>
      </c>
      <c r="BK36" s="128" t="s">
        <v>17106</v>
      </c>
      <c r="BL36" s="128" t="s">
        <v>17107</v>
      </c>
    </row>
    <row r="37" spans="1:64" ht="409.5" x14ac:dyDescent="0.35">
      <c r="A37" s="127" t="s">
        <v>6063</v>
      </c>
      <c r="C37" s="127" t="s">
        <v>6785</v>
      </c>
      <c r="D37" s="127" t="s">
        <v>6786</v>
      </c>
      <c r="H37" s="128" t="s">
        <v>6787</v>
      </c>
      <c r="J37" s="127" t="s">
        <v>6788</v>
      </c>
      <c r="K37" s="127" t="s">
        <v>7359</v>
      </c>
      <c r="L37" s="127" t="s">
        <v>7401</v>
      </c>
      <c r="AL37" s="127" t="s">
        <v>6789</v>
      </c>
      <c r="AO37" s="128" t="s">
        <v>17108</v>
      </c>
      <c r="AP37" s="128" t="s">
        <v>17109</v>
      </c>
      <c r="AQ37" s="128" t="s">
        <v>17110</v>
      </c>
      <c r="AR37" s="128" t="s">
        <v>17111</v>
      </c>
      <c r="AS37" s="128" t="s">
        <v>17112</v>
      </c>
      <c r="AT37" s="128" t="s">
        <v>17113</v>
      </c>
      <c r="AU37" s="128" t="s">
        <v>17114</v>
      </c>
      <c r="AV37" s="128" t="s">
        <v>17115</v>
      </c>
      <c r="AW37" s="128" t="s">
        <v>17116</v>
      </c>
      <c r="AX37" s="128" t="s">
        <v>17117</v>
      </c>
      <c r="AY37" s="128" t="s">
        <v>17118</v>
      </c>
      <c r="AZ37" s="128" t="s">
        <v>17119</v>
      </c>
      <c r="BA37" s="128" t="s">
        <v>17120</v>
      </c>
      <c r="BB37" s="128" t="s">
        <v>17121</v>
      </c>
      <c r="BC37" s="128" t="s">
        <v>17122</v>
      </c>
      <c r="BD37" s="128" t="s">
        <v>17123</v>
      </c>
      <c r="BE37" s="128" t="s">
        <v>17124</v>
      </c>
      <c r="BF37" s="128" t="s">
        <v>17125</v>
      </c>
      <c r="BG37" s="128" t="s">
        <v>17126</v>
      </c>
      <c r="BH37" s="128" t="s">
        <v>17127</v>
      </c>
      <c r="BI37" s="128" t="s">
        <v>17128</v>
      </c>
      <c r="BJ37" s="128" t="s">
        <v>17129</v>
      </c>
      <c r="BK37" s="128" t="s">
        <v>17130</v>
      </c>
      <c r="BL37" s="128" t="s">
        <v>17131</v>
      </c>
    </row>
    <row r="38" spans="1:64" ht="409.5" x14ac:dyDescent="0.35">
      <c r="A38" s="127" t="s">
        <v>6063</v>
      </c>
      <c r="C38" s="127" t="s">
        <v>6814</v>
      </c>
      <c r="D38" s="127" t="s">
        <v>6815</v>
      </c>
      <c r="H38" s="128" t="s">
        <v>6816</v>
      </c>
      <c r="J38" s="127" t="s">
        <v>6817</v>
      </c>
      <c r="K38" s="127" t="s">
        <v>7360</v>
      </c>
      <c r="L38" s="127" t="s">
        <v>7402</v>
      </c>
      <c r="AL38" s="127" t="s">
        <v>6818</v>
      </c>
      <c r="AO38" s="128" t="s">
        <v>17132</v>
      </c>
      <c r="AP38" s="128" t="s">
        <v>17133</v>
      </c>
      <c r="AQ38" s="128" t="s">
        <v>17134</v>
      </c>
      <c r="AR38" s="128" t="s">
        <v>17135</v>
      </c>
      <c r="AS38" s="128" t="s">
        <v>17136</v>
      </c>
      <c r="AT38" s="128" t="s">
        <v>17137</v>
      </c>
      <c r="AU38" s="128" t="s">
        <v>17138</v>
      </c>
      <c r="AV38" s="128" t="s">
        <v>17139</v>
      </c>
      <c r="AW38" s="128" t="s">
        <v>17140</v>
      </c>
      <c r="AX38" s="128" t="s">
        <v>17141</v>
      </c>
      <c r="AY38" s="128" t="s">
        <v>17142</v>
      </c>
      <c r="AZ38" s="128" t="s">
        <v>17143</v>
      </c>
      <c r="BA38" s="128" t="s">
        <v>17144</v>
      </c>
      <c r="BB38" s="128" t="s">
        <v>17145</v>
      </c>
      <c r="BC38" s="128" t="s">
        <v>17146</v>
      </c>
      <c r="BD38" s="128" t="s">
        <v>17147</v>
      </c>
      <c r="BE38" s="128" t="s">
        <v>17148</v>
      </c>
      <c r="BF38" s="128" t="s">
        <v>17149</v>
      </c>
      <c r="BG38" s="128" t="s">
        <v>17150</v>
      </c>
      <c r="BH38" s="128" t="s">
        <v>17151</v>
      </c>
      <c r="BI38" s="128" t="s">
        <v>17152</v>
      </c>
      <c r="BJ38" s="128" t="s">
        <v>17153</v>
      </c>
      <c r="BK38" s="128" t="s">
        <v>17154</v>
      </c>
      <c r="BL38" s="128" t="s">
        <v>17155</v>
      </c>
    </row>
    <row r="39" spans="1:64" ht="409.5" x14ac:dyDescent="0.35">
      <c r="A39" s="127" t="s">
        <v>6063</v>
      </c>
      <c r="C39" s="127" t="s">
        <v>6843</v>
      </c>
      <c r="D39" s="127" t="s">
        <v>6844</v>
      </c>
      <c r="H39" s="128" t="s">
        <v>6845</v>
      </c>
      <c r="J39" s="127" t="s">
        <v>6846</v>
      </c>
      <c r="K39" s="127" t="s">
        <v>7361</v>
      </c>
      <c r="L39" s="127" t="s">
        <v>7403</v>
      </c>
      <c r="AL39" s="127" t="s">
        <v>6847</v>
      </c>
      <c r="AO39" s="128" t="s">
        <v>17156</v>
      </c>
      <c r="AP39" s="128" t="s">
        <v>17157</v>
      </c>
      <c r="AQ39" s="128" t="s">
        <v>17158</v>
      </c>
      <c r="AR39" s="128" t="s">
        <v>17159</v>
      </c>
      <c r="AS39" s="128" t="s">
        <v>17160</v>
      </c>
      <c r="AT39" s="128" t="s">
        <v>17161</v>
      </c>
      <c r="AU39" s="128" t="s">
        <v>17162</v>
      </c>
      <c r="AV39" s="128" t="s">
        <v>17163</v>
      </c>
      <c r="AW39" s="128" t="s">
        <v>17164</v>
      </c>
      <c r="AX39" s="128" t="s">
        <v>17165</v>
      </c>
      <c r="AY39" s="128" t="s">
        <v>17166</v>
      </c>
      <c r="AZ39" s="128" t="s">
        <v>17167</v>
      </c>
      <c r="BA39" s="128" t="s">
        <v>17168</v>
      </c>
      <c r="BB39" s="128" t="s">
        <v>17169</v>
      </c>
      <c r="BC39" s="128" t="s">
        <v>17170</v>
      </c>
      <c r="BD39" s="128" t="s">
        <v>17171</v>
      </c>
      <c r="BE39" s="128" t="s">
        <v>17172</v>
      </c>
      <c r="BF39" s="128" t="s">
        <v>17173</v>
      </c>
      <c r="BG39" s="128" t="s">
        <v>17174</v>
      </c>
      <c r="BH39" s="128" t="s">
        <v>17175</v>
      </c>
      <c r="BI39" s="128" t="s">
        <v>17176</v>
      </c>
      <c r="BJ39" s="128" t="s">
        <v>17177</v>
      </c>
      <c r="BK39" s="128" t="s">
        <v>17178</v>
      </c>
      <c r="BL39" s="128" t="s">
        <v>17179</v>
      </c>
    </row>
    <row r="40" spans="1:64" ht="409.5" x14ac:dyDescent="0.35">
      <c r="A40" s="127" t="s">
        <v>6063</v>
      </c>
      <c r="C40" s="127" t="s">
        <v>6872</v>
      </c>
      <c r="D40" s="127" t="s">
        <v>6873</v>
      </c>
      <c r="H40" s="128" t="s">
        <v>6874</v>
      </c>
      <c r="J40" s="127" t="s">
        <v>6875</v>
      </c>
      <c r="K40" s="127" t="s">
        <v>7362</v>
      </c>
      <c r="L40" s="127" t="s">
        <v>7404</v>
      </c>
      <c r="AL40" s="127" t="s">
        <v>6876</v>
      </c>
      <c r="AO40" s="128" t="s">
        <v>17180</v>
      </c>
      <c r="AP40" s="128" t="s">
        <v>17181</v>
      </c>
      <c r="AQ40" s="128" t="s">
        <v>17182</v>
      </c>
      <c r="AR40" s="128" t="s">
        <v>17183</v>
      </c>
      <c r="AS40" s="128" t="s">
        <v>17184</v>
      </c>
      <c r="AT40" s="128" t="s">
        <v>17185</v>
      </c>
      <c r="AU40" s="128" t="s">
        <v>17186</v>
      </c>
      <c r="AV40" s="128" t="s">
        <v>17187</v>
      </c>
      <c r="AW40" s="128" t="s">
        <v>17188</v>
      </c>
      <c r="AX40" s="128" t="s">
        <v>17189</v>
      </c>
      <c r="AY40" s="128" t="s">
        <v>17190</v>
      </c>
      <c r="AZ40" s="128" t="s">
        <v>17191</v>
      </c>
      <c r="BA40" s="128" t="s">
        <v>17192</v>
      </c>
      <c r="BB40" s="128" t="s">
        <v>17193</v>
      </c>
      <c r="BC40" s="128" t="s">
        <v>17194</v>
      </c>
      <c r="BD40" s="128" t="s">
        <v>17195</v>
      </c>
      <c r="BE40" s="128" t="s">
        <v>17196</v>
      </c>
      <c r="BF40" s="128" t="s">
        <v>17197</v>
      </c>
      <c r="BG40" s="128" t="s">
        <v>17198</v>
      </c>
      <c r="BH40" s="128" t="s">
        <v>17199</v>
      </c>
      <c r="BI40" s="128" t="s">
        <v>17200</v>
      </c>
      <c r="BJ40" s="128" t="s">
        <v>17201</v>
      </c>
      <c r="BK40" s="128" t="s">
        <v>17202</v>
      </c>
      <c r="BL40" s="128" t="s">
        <v>17203</v>
      </c>
    </row>
    <row r="41" spans="1:64" ht="409.5" x14ac:dyDescent="0.35">
      <c r="A41" s="127" t="s">
        <v>6063</v>
      </c>
      <c r="C41" s="127" t="s">
        <v>6901</v>
      </c>
      <c r="D41" s="127" t="s">
        <v>6902</v>
      </c>
      <c r="H41" s="128" t="s">
        <v>6903</v>
      </c>
      <c r="J41" s="127" t="s">
        <v>6904</v>
      </c>
      <c r="K41" s="127" t="s">
        <v>7363</v>
      </c>
      <c r="L41" s="127" t="s">
        <v>7405</v>
      </c>
      <c r="AL41" s="127" t="s">
        <v>6905</v>
      </c>
      <c r="AO41" s="128" t="s">
        <v>17204</v>
      </c>
      <c r="AP41" s="128" t="s">
        <v>17205</v>
      </c>
      <c r="AQ41" s="128" t="s">
        <v>17206</v>
      </c>
      <c r="AR41" s="128" t="s">
        <v>17207</v>
      </c>
      <c r="AS41" s="128" t="s">
        <v>17208</v>
      </c>
      <c r="AT41" s="128" t="s">
        <v>17209</v>
      </c>
      <c r="AU41" s="128" t="s">
        <v>17210</v>
      </c>
      <c r="AV41" s="128" t="s">
        <v>17211</v>
      </c>
      <c r="AW41" s="128" t="s">
        <v>17212</v>
      </c>
      <c r="AX41" s="128" t="s">
        <v>17213</v>
      </c>
      <c r="AY41" s="128" t="s">
        <v>17214</v>
      </c>
      <c r="AZ41" s="128" t="s">
        <v>17215</v>
      </c>
      <c r="BA41" s="128" t="s">
        <v>17216</v>
      </c>
      <c r="BB41" s="128" t="s">
        <v>17217</v>
      </c>
      <c r="BC41" s="128" t="s">
        <v>17218</v>
      </c>
      <c r="BD41" s="128" t="s">
        <v>17219</v>
      </c>
      <c r="BE41" s="128" t="s">
        <v>17220</v>
      </c>
      <c r="BF41" s="128" t="s">
        <v>17221</v>
      </c>
      <c r="BG41" s="128" t="s">
        <v>17222</v>
      </c>
      <c r="BH41" s="128" t="s">
        <v>17223</v>
      </c>
      <c r="BI41" s="128" t="s">
        <v>17224</v>
      </c>
      <c r="BJ41" s="128" t="s">
        <v>17225</v>
      </c>
      <c r="BK41" s="128" t="s">
        <v>17226</v>
      </c>
      <c r="BL41" s="128" t="s">
        <v>17227</v>
      </c>
    </row>
    <row r="42" spans="1:64" ht="409.5" x14ac:dyDescent="0.35">
      <c r="A42" s="127" t="s">
        <v>6063</v>
      </c>
      <c r="C42" s="127" t="s">
        <v>6930</v>
      </c>
      <c r="D42" s="127" t="s">
        <v>6931</v>
      </c>
      <c r="H42" s="128" t="s">
        <v>6932</v>
      </c>
      <c r="J42" s="127" t="s">
        <v>6933</v>
      </c>
      <c r="K42" s="127" t="s">
        <v>7364</v>
      </c>
      <c r="L42" s="127" t="s">
        <v>7406</v>
      </c>
      <c r="AL42" s="127" t="s">
        <v>6934</v>
      </c>
      <c r="AO42" s="128" t="s">
        <v>17228</v>
      </c>
      <c r="AP42" s="128" t="s">
        <v>17229</v>
      </c>
      <c r="AQ42" s="128" t="s">
        <v>17230</v>
      </c>
      <c r="AR42" s="128" t="s">
        <v>17231</v>
      </c>
      <c r="AS42" s="128" t="s">
        <v>17232</v>
      </c>
      <c r="AT42" s="128" t="s">
        <v>17233</v>
      </c>
      <c r="AU42" s="128" t="s">
        <v>17234</v>
      </c>
      <c r="AV42" s="128" t="s">
        <v>17235</v>
      </c>
      <c r="AW42" s="128" t="s">
        <v>17236</v>
      </c>
      <c r="AX42" s="128" t="s">
        <v>17237</v>
      </c>
      <c r="AY42" s="128" t="s">
        <v>17238</v>
      </c>
      <c r="AZ42" s="128" t="s">
        <v>17239</v>
      </c>
      <c r="BA42" s="128" t="s">
        <v>17240</v>
      </c>
      <c r="BB42" s="128" t="s">
        <v>17241</v>
      </c>
      <c r="BC42" s="128" t="s">
        <v>17242</v>
      </c>
      <c r="BD42" s="128" t="s">
        <v>17243</v>
      </c>
      <c r="BE42" s="128" t="s">
        <v>17244</v>
      </c>
      <c r="BF42" s="128" t="s">
        <v>17245</v>
      </c>
      <c r="BG42" s="128" t="s">
        <v>17246</v>
      </c>
      <c r="BH42" s="128" t="s">
        <v>17247</v>
      </c>
      <c r="BI42" s="128" t="s">
        <v>17248</v>
      </c>
      <c r="BJ42" s="128" t="s">
        <v>17249</v>
      </c>
      <c r="BK42" s="128" t="s">
        <v>17250</v>
      </c>
      <c r="BL42" s="128" t="s">
        <v>17251</v>
      </c>
    </row>
    <row r="43" spans="1:64" ht="409.5" x14ac:dyDescent="0.35">
      <c r="A43" s="127" t="s">
        <v>6063</v>
      </c>
      <c r="C43" s="127" t="s">
        <v>6959</v>
      </c>
      <c r="D43" s="127" t="s">
        <v>6960</v>
      </c>
      <c r="H43" s="128" t="s">
        <v>6961</v>
      </c>
      <c r="J43" s="127" t="s">
        <v>6962</v>
      </c>
      <c r="K43" s="127" t="s">
        <v>7365</v>
      </c>
      <c r="L43" s="127" t="s">
        <v>7407</v>
      </c>
      <c r="AL43" s="127" t="s">
        <v>6963</v>
      </c>
      <c r="AO43" s="128" t="s">
        <v>17252</v>
      </c>
      <c r="AP43" s="128" t="s">
        <v>17253</v>
      </c>
      <c r="AQ43" s="128" t="s">
        <v>17254</v>
      </c>
      <c r="AR43" s="128" t="s">
        <v>17255</v>
      </c>
      <c r="AS43" s="128" t="s">
        <v>17256</v>
      </c>
      <c r="AT43" s="128" t="s">
        <v>17257</v>
      </c>
      <c r="AU43" s="128" t="s">
        <v>17258</v>
      </c>
      <c r="AV43" s="128" t="s">
        <v>17259</v>
      </c>
      <c r="AW43" s="128" t="s">
        <v>17260</v>
      </c>
      <c r="AX43" s="128" t="s">
        <v>17261</v>
      </c>
      <c r="AY43" s="128" t="s">
        <v>17262</v>
      </c>
      <c r="AZ43" s="128" t="s">
        <v>17263</v>
      </c>
      <c r="BA43" s="128" t="s">
        <v>17264</v>
      </c>
      <c r="BB43" s="128" t="s">
        <v>17265</v>
      </c>
      <c r="BC43" s="128" t="s">
        <v>17266</v>
      </c>
      <c r="BD43" s="128" t="s">
        <v>17267</v>
      </c>
      <c r="BE43" s="128" t="s">
        <v>17268</v>
      </c>
      <c r="BF43" s="128" t="s">
        <v>17269</v>
      </c>
      <c r="BG43" s="128" t="s">
        <v>17270</v>
      </c>
      <c r="BH43" s="128" t="s">
        <v>17271</v>
      </c>
      <c r="BI43" s="128" t="s">
        <v>17272</v>
      </c>
      <c r="BJ43" s="128" t="s">
        <v>17273</v>
      </c>
      <c r="BK43" s="128" t="s">
        <v>17274</v>
      </c>
      <c r="BL43" s="128" t="s">
        <v>17275</v>
      </c>
    </row>
    <row r="44" spans="1:64" ht="409.5" x14ac:dyDescent="0.35">
      <c r="A44" s="127" t="s">
        <v>6063</v>
      </c>
      <c r="C44" s="127" t="s">
        <v>6988</v>
      </c>
      <c r="D44" s="127" t="s">
        <v>6989</v>
      </c>
      <c r="H44" s="128" t="s">
        <v>6990</v>
      </c>
      <c r="J44" s="127" t="s">
        <v>6991</v>
      </c>
      <c r="K44" s="127" t="s">
        <v>7366</v>
      </c>
      <c r="L44" s="127" t="s">
        <v>7408</v>
      </c>
      <c r="AL44" s="127" t="s">
        <v>6992</v>
      </c>
      <c r="AO44" s="128" t="s">
        <v>17276</v>
      </c>
      <c r="AP44" s="128" t="s">
        <v>17277</v>
      </c>
      <c r="AQ44" s="128" t="s">
        <v>17278</v>
      </c>
      <c r="AR44" s="128" t="s">
        <v>17279</v>
      </c>
      <c r="AS44" s="128" t="s">
        <v>17280</v>
      </c>
      <c r="AT44" s="128" t="s">
        <v>17281</v>
      </c>
      <c r="AU44" s="128" t="s">
        <v>17282</v>
      </c>
      <c r="AV44" s="128" t="s">
        <v>17283</v>
      </c>
      <c r="AW44" s="128" t="s">
        <v>17284</v>
      </c>
      <c r="AX44" s="128" t="s">
        <v>17285</v>
      </c>
      <c r="AY44" s="128" t="s">
        <v>17286</v>
      </c>
      <c r="AZ44" s="128" t="s">
        <v>17287</v>
      </c>
      <c r="BA44" s="128" t="s">
        <v>17288</v>
      </c>
      <c r="BB44" s="128" t="s">
        <v>17289</v>
      </c>
      <c r="BC44" s="128" t="s">
        <v>17290</v>
      </c>
      <c r="BD44" s="128" t="s">
        <v>17291</v>
      </c>
      <c r="BE44" s="128" t="s">
        <v>17292</v>
      </c>
      <c r="BF44" s="128" t="s">
        <v>17293</v>
      </c>
      <c r="BG44" s="128" t="s">
        <v>17294</v>
      </c>
      <c r="BH44" s="128" t="s">
        <v>17295</v>
      </c>
      <c r="BI44" s="128" t="s">
        <v>17296</v>
      </c>
      <c r="BJ44" s="128" t="s">
        <v>17297</v>
      </c>
      <c r="BK44" s="128" t="s">
        <v>17298</v>
      </c>
      <c r="BL44" s="128" t="s">
        <v>17299</v>
      </c>
    </row>
    <row r="45" spans="1:64" ht="409.5" x14ac:dyDescent="0.35">
      <c r="A45" s="127" t="s">
        <v>6063</v>
      </c>
      <c r="C45" s="127" t="s">
        <v>7017</v>
      </c>
      <c r="D45" s="127" t="s">
        <v>7018</v>
      </c>
      <c r="H45" s="128" t="s">
        <v>7019</v>
      </c>
      <c r="J45" s="127" t="s">
        <v>7020</v>
      </c>
      <c r="K45" s="127" t="s">
        <v>7367</v>
      </c>
      <c r="L45" s="127" t="s">
        <v>7409</v>
      </c>
      <c r="AL45" s="127" t="s">
        <v>7021</v>
      </c>
      <c r="AO45" s="128" t="s">
        <v>17300</v>
      </c>
      <c r="AP45" s="128" t="s">
        <v>17301</v>
      </c>
      <c r="AQ45" s="128" t="s">
        <v>17302</v>
      </c>
      <c r="AR45" s="128" t="s">
        <v>17303</v>
      </c>
      <c r="AS45" s="128" t="s">
        <v>17304</v>
      </c>
      <c r="AT45" s="128" t="s">
        <v>17305</v>
      </c>
      <c r="AU45" s="128" t="s">
        <v>17306</v>
      </c>
      <c r="AV45" s="128" t="s">
        <v>17307</v>
      </c>
      <c r="AW45" s="128" t="s">
        <v>17308</v>
      </c>
      <c r="AX45" s="128" t="s">
        <v>17309</v>
      </c>
      <c r="AY45" s="128" t="s">
        <v>17310</v>
      </c>
      <c r="AZ45" s="128" t="s">
        <v>17311</v>
      </c>
      <c r="BA45" s="128" t="s">
        <v>17312</v>
      </c>
      <c r="BB45" s="128" t="s">
        <v>17313</v>
      </c>
      <c r="BC45" s="128" t="s">
        <v>17314</v>
      </c>
      <c r="BD45" s="128" t="s">
        <v>17315</v>
      </c>
      <c r="BE45" s="128" t="s">
        <v>17316</v>
      </c>
      <c r="BF45" s="128" t="s">
        <v>17317</v>
      </c>
      <c r="BG45" s="128" t="s">
        <v>17318</v>
      </c>
      <c r="BH45" s="128" t="s">
        <v>17319</v>
      </c>
      <c r="BI45" s="128" t="s">
        <v>17320</v>
      </c>
      <c r="BJ45" s="128" t="s">
        <v>17321</v>
      </c>
      <c r="BK45" s="128" t="s">
        <v>17322</v>
      </c>
      <c r="BL45" s="128" t="s">
        <v>17323</v>
      </c>
    </row>
    <row r="46" spans="1:64" ht="409.5" x14ac:dyDescent="0.35">
      <c r="A46" s="127" t="s">
        <v>6063</v>
      </c>
      <c r="C46" s="127" t="s">
        <v>7046</v>
      </c>
      <c r="D46" s="127" t="s">
        <v>7047</v>
      </c>
      <c r="H46" s="128" t="s">
        <v>7048</v>
      </c>
      <c r="J46" s="127" t="s">
        <v>7049</v>
      </c>
      <c r="K46" s="127" t="s">
        <v>7368</v>
      </c>
      <c r="L46" s="127" t="s">
        <v>7410</v>
      </c>
      <c r="AL46" s="127" t="s">
        <v>7050</v>
      </c>
      <c r="AO46" s="128" t="s">
        <v>17324</v>
      </c>
      <c r="AP46" s="128" t="s">
        <v>17325</v>
      </c>
      <c r="AQ46" s="128" t="s">
        <v>17326</v>
      </c>
      <c r="AR46" s="128" t="s">
        <v>17327</v>
      </c>
      <c r="AS46" s="128" t="s">
        <v>17328</v>
      </c>
      <c r="AT46" s="128" t="s">
        <v>17329</v>
      </c>
      <c r="AU46" s="128" t="s">
        <v>17330</v>
      </c>
      <c r="AV46" s="128" t="s">
        <v>17331</v>
      </c>
      <c r="AW46" s="128" t="s">
        <v>17332</v>
      </c>
      <c r="AX46" s="128" t="s">
        <v>17333</v>
      </c>
      <c r="AY46" s="128" t="s">
        <v>17334</v>
      </c>
      <c r="AZ46" s="128" t="s">
        <v>17335</v>
      </c>
      <c r="BA46" s="128" t="s">
        <v>17336</v>
      </c>
      <c r="BB46" s="128" t="s">
        <v>17337</v>
      </c>
      <c r="BC46" s="128" t="s">
        <v>17338</v>
      </c>
      <c r="BD46" s="128" t="s">
        <v>17339</v>
      </c>
      <c r="BE46" s="128" t="s">
        <v>17340</v>
      </c>
      <c r="BF46" s="128" t="s">
        <v>17341</v>
      </c>
      <c r="BG46" s="128" t="s">
        <v>17342</v>
      </c>
      <c r="BH46" s="128" t="s">
        <v>17343</v>
      </c>
      <c r="BI46" s="128" t="s">
        <v>17344</v>
      </c>
      <c r="BJ46" s="128" t="s">
        <v>17345</v>
      </c>
      <c r="BK46" s="128" t="s">
        <v>17346</v>
      </c>
      <c r="BL46" s="128" t="s">
        <v>17347</v>
      </c>
    </row>
    <row r="47" spans="1:64" ht="409.5" x14ac:dyDescent="0.35">
      <c r="A47" s="127" t="s">
        <v>6063</v>
      </c>
      <c r="C47" s="127" t="s">
        <v>7075</v>
      </c>
      <c r="D47" s="127" t="s">
        <v>7076</v>
      </c>
      <c r="H47" s="128" t="s">
        <v>7077</v>
      </c>
      <c r="J47" s="127" t="s">
        <v>7078</v>
      </c>
      <c r="K47" s="127" t="s">
        <v>7369</v>
      </c>
      <c r="L47" s="127" t="s">
        <v>7411</v>
      </c>
      <c r="AL47" s="127" t="s">
        <v>7079</v>
      </c>
      <c r="AO47" s="128" t="s">
        <v>17348</v>
      </c>
      <c r="AP47" s="128" t="s">
        <v>17349</v>
      </c>
      <c r="AQ47" s="128" t="s">
        <v>17350</v>
      </c>
      <c r="AR47" s="128" t="s">
        <v>17351</v>
      </c>
      <c r="AS47" s="128" t="s">
        <v>17352</v>
      </c>
      <c r="AT47" s="128" t="s">
        <v>17353</v>
      </c>
      <c r="AU47" s="128" t="s">
        <v>17354</v>
      </c>
      <c r="AV47" s="128" t="s">
        <v>17355</v>
      </c>
      <c r="AW47" s="128" t="s">
        <v>17356</v>
      </c>
      <c r="AX47" s="128" t="s">
        <v>17357</v>
      </c>
      <c r="AY47" s="128" t="s">
        <v>17358</v>
      </c>
      <c r="AZ47" s="128" t="s">
        <v>17359</v>
      </c>
      <c r="BA47" s="128" t="s">
        <v>17360</v>
      </c>
      <c r="BB47" s="128" t="s">
        <v>17361</v>
      </c>
      <c r="BC47" s="128" t="s">
        <v>17362</v>
      </c>
      <c r="BD47" s="128" t="s">
        <v>17363</v>
      </c>
      <c r="BE47" s="128" t="s">
        <v>17364</v>
      </c>
      <c r="BF47" s="128" t="s">
        <v>17365</v>
      </c>
      <c r="BG47" s="128" t="s">
        <v>17366</v>
      </c>
      <c r="BH47" s="128" t="s">
        <v>17367</v>
      </c>
      <c r="BI47" s="128" t="s">
        <v>17368</v>
      </c>
      <c r="BJ47" s="128" t="s">
        <v>17369</v>
      </c>
      <c r="BK47" s="128" t="s">
        <v>17370</v>
      </c>
      <c r="BL47" s="128" t="s">
        <v>17371</v>
      </c>
    </row>
    <row r="48" spans="1:64" ht="409.5" x14ac:dyDescent="0.35">
      <c r="A48" s="127" t="s">
        <v>6063</v>
      </c>
      <c r="C48" s="127" t="s">
        <v>7104</v>
      </c>
      <c r="D48" s="127" t="s">
        <v>7105</v>
      </c>
      <c r="H48" s="128" t="s">
        <v>7106</v>
      </c>
      <c r="J48" s="127" t="s">
        <v>7107</v>
      </c>
      <c r="K48" s="127" t="s">
        <v>7370</v>
      </c>
      <c r="L48" s="127" t="s">
        <v>7412</v>
      </c>
      <c r="AL48" s="127" t="s">
        <v>7108</v>
      </c>
      <c r="AO48" s="128" t="s">
        <v>17372</v>
      </c>
      <c r="AP48" s="128" t="s">
        <v>17373</v>
      </c>
      <c r="AQ48" s="128" t="s">
        <v>17374</v>
      </c>
      <c r="AR48" s="128" t="s">
        <v>17375</v>
      </c>
      <c r="AS48" s="128" t="s">
        <v>17376</v>
      </c>
      <c r="AT48" s="128" t="s">
        <v>17377</v>
      </c>
      <c r="AU48" s="128" t="s">
        <v>17378</v>
      </c>
      <c r="AV48" s="128" t="s">
        <v>17379</v>
      </c>
      <c r="AW48" s="128" t="s">
        <v>17380</v>
      </c>
      <c r="AX48" s="128" t="s">
        <v>17381</v>
      </c>
      <c r="AY48" s="128" t="s">
        <v>17382</v>
      </c>
      <c r="AZ48" s="128" t="s">
        <v>17383</v>
      </c>
      <c r="BA48" s="128" t="s">
        <v>17384</v>
      </c>
      <c r="BB48" s="128" t="s">
        <v>17385</v>
      </c>
      <c r="BC48" s="128" t="s">
        <v>17386</v>
      </c>
      <c r="BD48" s="128" t="s">
        <v>17387</v>
      </c>
      <c r="BE48" s="128" t="s">
        <v>17388</v>
      </c>
      <c r="BF48" s="128" t="s">
        <v>17389</v>
      </c>
      <c r="BG48" s="128" t="s">
        <v>17390</v>
      </c>
      <c r="BH48" s="128" t="s">
        <v>17391</v>
      </c>
      <c r="BI48" s="128" t="s">
        <v>17392</v>
      </c>
      <c r="BJ48" s="128" t="s">
        <v>17393</v>
      </c>
      <c r="BK48" s="128" t="s">
        <v>17394</v>
      </c>
      <c r="BL48" s="128" t="s">
        <v>17395</v>
      </c>
    </row>
    <row r="49" spans="1:64" ht="409.5" x14ac:dyDescent="0.35">
      <c r="A49" s="127" t="s">
        <v>6063</v>
      </c>
      <c r="C49" s="127" t="s">
        <v>7133</v>
      </c>
      <c r="D49" s="127" t="s">
        <v>7134</v>
      </c>
      <c r="H49" s="128" t="s">
        <v>7135</v>
      </c>
      <c r="J49" s="127" t="s">
        <v>7136</v>
      </c>
      <c r="K49" s="127" t="s">
        <v>7371</v>
      </c>
      <c r="L49" s="127" t="s">
        <v>7413</v>
      </c>
      <c r="AL49" s="127" t="s">
        <v>7137</v>
      </c>
      <c r="AO49" s="128" t="s">
        <v>17396</v>
      </c>
      <c r="AP49" s="128" t="s">
        <v>17397</v>
      </c>
      <c r="AQ49" s="128" t="s">
        <v>17398</v>
      </c>
      <c r="AR49" s="128" t="s">
        <v>17399</v>
      </c>
      <c r="AS49" s="128" t="s">
        <v>17400</v>
      </c>
      <c r="AT49" s="128" t="s">
        <v>17401</v>
      </c>
      <c r="AU49" s="128" t="s">
        <v>17402</v>
      </c>
      <c r="AV49" s="128" t="s">
        <v>17403</v>
      </c>
      <c r="AW49" s="128" t="s">
        <v>17404</v>
      </c>
      <c r="AX49" s="128" t="s">
        <v>17405</v>
      </c>
      <c r="AY49" s="128" t="s">
        <v>17406</v>
      </c>
      <c r="AZ49" s="128" t="s">
        <v>17407</v>
      </c>
      <c r="BA49" s="128" t="s">
        <v>17408</v>
      </c>
      <c r="BB49" s="128" t="s">
        <v>17409</v>
      </c>
      <c r="BC49" s="128" t="s">
        <v>17410</v>
      </c>
      <c r="BD49" s="128" t="s">
        <v>17411</v>
      </c>
      <c r="BE49" s="128" t="s">
        <v>17412</v>
      </c>
      <c r="BF49" s="128" t="s">
        <v>17413</v>
      </c>
      <c r="BG49" s="128" t="s">
        <v>17414</v>
      </c>
      <c r="BH49" s="128" t="s">
        <v>17415</v>
      </c>
      <c r="BI49" s="128" t="s">
        <v>17416</v>
      </c>
      <c r="BJ49" s="128" t="s">
        <v>17417</v>
      </c>
      <c r="BK49" s="128" t="s">
        <v>17418</v>
      </c>
      <c r="BL49" s="128" t="s">
        <v>17419</v>
      </c>
    </row>
    <row r="50" spans="1:64" ht="409.5" x14ac:dyDescent="0.35">
      <c r="A50" s="127" t="s">
        <v>6063</v>
      </c>
      <c r="C50" s="127" t="s">
        <v>7162</v>
      </c>
      <c r="D50" s="127" t="s">
        <v>7163</v>
      </c>
      <c r="H50" s="128" t="s">
        <v>7164</v>
      </c>
      <c r="J50" s="127" t="s">
        <v>7165</v>
      </c>
      <c r="K50" s="127" t="s">
        <v>7372</v>
      </c>
      <c r="L50" s="127" t="s">
        <v>7414</v>
      </c>
      <c r="AL50" s="127" t="s">
        <v>7166</v>
      </c>
      <c r="AO50" s="128" t="s">
        <v>17420</v>
      </c>
      <c r="AP50" s="128" t="s">
        <v>17421</v>
      </c>
      <c r="AQ50" s="128" t="s">
        <v>17422</v>
      </c>
      <c r="AR50" s="128" t="s">
        <v>17423</v>
      </c>
      <c r="AS50" s="128" t="s">
        <v>17424</v>
      </c>
      <c r="AT50" s="128" t="s">
        <v>17425</v>
      </c>
      <c r="AU50" s="128" t="s">
        <v>17426</v>
      </c>
      <c r="AV50" s="128" t="s">
        <v>17427</v>
      </c>
      <c r="AW50" s="128" t="s">
        <v>17428</v>
      </c>
      <c r="AX50" s="128" t="s">
        <v>17429</v>
      </c>
      <c r="AY50" s="128" t="s">
        <v>17430</v>
      </c>
      <c r="AZ50" s="128" t="s">
        <v>17431</v>
      </c>
      <c r="BA50" s="128" t="s">
        <v>17432</v>
      </c>
      <c r="BB50" s="128" t="s">
        <v>17433</v>
      </c>
      <c r="BC50" s="128" t="s">
        <v>17434</v>
      </c>
      <c r="BD50" s="128" t="s">
        <v>17435</v>
      </c>
      <c r="BE50" s="128" t="s">
        <v>17436</v>
      </c>
      <c r="BF50" s="128" t="s">
        <v>17437</v>
      </c>
      <c r="BG50" s="128" t="s">
        <v>17438</v>
      </c>
      <c r="BH50" s="128" t="s">
        <v>17439</v>
      </c>
      <c r="BI50" s="128" t="s">
        <v>17440</v>
      </c>
      <c r="BJ50" s="128" t="s">
        <v>17441</v>
      </c>
      <c r="BK50" s="128" t="s">
        <v>17442</v>
      </c>
      <c r="BL50" s="128" t="s">
        <v>17443</v>
      </c>
    </row>
    <row r="51" spans="1:64" ht="409.5" x14ac:dyDescent="0.35">
      <c r="A51" s="127" t="s">
        <v>6063</v>
      </c>
      <c r="C51" s="127" t="s">
        <v>7191</v>
      </c>
      <c r="D51" s="127" t="s">
        <v>7192</v>
      </c>
      <c r="H51" s="128" t="s">
        <v>7193</v>
      </c>
      <c r="J51" s="127" t="s">
        <v>7194</v>
      </c>
      <c r="K51" s="127" t="s">
        <v>7373</v>
      </c>
      <c r="L51" s="127" t="s">
        <v>7415</v>
      </c>
      <c r="AL51" s="127" t="s">
        <v>7195</v>
      </c>
      <c r="AO51" s="128" t="s">
        <v>17444</v>
      </c>
      <c r="AP51" s="128" t="s">
        <v>17445</v>
      </c>
      <c r="AQ51" s="128" t="s">
        <v>17446</v>
      </c>
      <c r="AR51" s="128" t="s">
        <v>17447</v>
      </c>
      <c r="AS51" s="128" t="s">
        <v>17448</v>
      </c>
      <c r="AT51" s="128" t="s">
        <v>17449</v>
      </c>
      <c r="AU51" s="128" t="s">
        <v>17450</v>
      </c>
      <c r="AV51" s="128" t="s">
        <v>17451</v>
      </c>
      <c r="AW51" s="128" t="s">
        <v>17452</v>
      </c>
      <c r="AX51" s="128" t="s">
        <v>17453</v>
      </c>
      <c r="AY51" s="128" t="s">
        <v>17454</v>
      </c>
      <c r="AZ51" s="128" t="s">
        <v>17455</v>
      </c>
      <c r="BA51" s="128" t="s">
        <v>17456</v>
      </c>
      <c r="BB51" s="128" t="s">
        <v>17457</v>
      </c>
      <c r="BC51" s="128" t="s">
        <v>17458</v>
      </c>
      <c r="BD51" s="128" t="s">
        <v>17459</v>
      </c>
      <c r="BE51" s="128" t="s">
        <v>17460</v>
      </c>
      <c r="BF51" s="128" t="s">
        <v>17461</v>
      </c>
      <c r="BG51" s="128" t="s">
        <v>17462</v>
      </c>
      <c r="BH51" s="128" t="s">
        <v>17463</v>
      </c>
      <c r="BI51" s="128" t="s">
        <v>17464</v>
      </c>
      <c r="BJ51" s="128" t="s">
        <v>17465</v>
      </c>
      <c r="BK51" s="128" t="s">
        <v>17466</v>
      </c>
      <c r="BL51" s="128" t="s">
        <v>17467</v>
      </c>
    </row>
    <row r="52" spans="1:64" ht="409.5" x14ac:dyDescent="0.35">
      <c r="A52" s="127" t="s">
        <v>6063</v>
      </c>
      <c r="C52" s="127" t="s">
        <v>7220</v>
      </c>
      <c r="D52" s="127" t="s">
        <v>7221</v>
      </c>
      <c r="H52" s="128" t="s">
        <v>7222</v>
      </c>
      <c r="J52" s="127" t="s">
        <v>7223</v>
      </c>
      <c r="K52" s="127" t="s">
        <v>7374</v>
      </c>
      <c r="L52" s="127" t="s">
        <v>7416</v>
      </c>
      <c r="AL52" s="127" t="s">
        <v>7224</v>
      </c>
      <c r="AO52" s="128" t="s">
        <v>17468</v>
      </c>
      <c r="AP52" s="128" t="s">
        <v>17469</v>
      </c>
      <c r="AQ52" s="128" t="s">
        <v>17470</v>
      </c>
      <c r="AR52" s="128" t="s">
        <v>17471</v>
      </c>
      <c r="AS52" s="128" t="s">
        <v>17472</v>
      </c>
      <c r="AT52" s="128" t="s">
        <v>17473</v>
      </c>
      <c r="AU52" s="128" t="s">
        <v>17474</v>
      </c>
      <c r="AV52" s="128" t="s">
        <v>17475</v>
      </c>
      <c r="AW52" s="128" t="s">
        <v>17476</v>
      </c>
      <c r="AX52" s="128" t="s">
        <v>17477</v>
      </c>
      <c r="AY52" s="128" t="s">
        <v>17478</v>
      </c>
      <c r="AZ52" s="128" t="s">
        <v>17479</v>
      </c>
      <c r="BA52" s="128" t="s">
        <v>17480</v>
      </c>
      <c r="BB52" s="128" t="s">
        <v>17481</v>
      </c>
      <c r="BC52" s="128" t="s">
        <v>17482</v>
      </c>
      <c r="BD52" s="128" t="s">
        <v>17483</v>
      </c>
      <c r="BE52" s="128" t="s">
        <v>17484</v>
      </c>
      <c r="BF52" s="128" t="s">
        <v>17485</v>
      </c>
      <c r="BG52" s="128" t="s">
        <v>17486</v>
      </c>
      <c r="BH52" s="128" t="s">
        <v>17487</v>
      </c>
      <c r="BI52" s="128" t="s">
        <v>17488</v>
      </c>
      <c r="BJ52" s="128" t="s">
        <v>17489</v>
      </c>
      <c r="BK52" s="128" t="s">
        <v>17490</v>
      </c>
      <c r="BL52" s="128" t="s">
        <v>17491</v>
      </c>
    </row>
    <row r="53" spans="1:64" ht="409.5" x14ac:dyDescent="0.35">
      <c r="A53" s="127" t="s">
        <v>6063</v>
      </c>
      <c r="C53" s="127" t="s">
        <v>7249</v>
      </c>
      <c r="D53" s="127" t="s">
        <v>7250</v>
      </c>
      <c r="H53" s="128" t="s">
        <v>7251</v>
      </c>
      <c r="J53" s="127" t="s">
        <v>7252</v>
      </c>
      <c r="K53" s="127" t="s">
        <v>7375</v>
      </c>
      <c r="L53" s="127" t="s">
        <v>7417</v>
      </c>
      <c r="AL53" s="127" t="s">
        <v>7253</v>
      </c>
      <c r="AO53" s="128" t="s">
        <v>17492</v>
      </c>
      <c r="AP53" s="128" t="s">
        <v>17493</v>
      </c>
      <c r="AQ53" s="128" t="s">
        <v>17494</v>
      </c>
      <c r="AR53" s="128" t="s">
        <v>17495</v>
      </c>
      <c r="AS53" s="128" t="s">
        <v>17496</v>
      </c>
      <c r="AT53" s="128" t="s">
        <v>17497</v>
      </c>
      <c r="AU53" s="128" t="s">
        <v>17498</v>
      </c>
      <c r="AV53" s="128" t="s">
        <v>17499</v>
      </c>
      <c r="AW53" s="128" t="s">
        <v>17500</v>
      </c>
      <c r="AX53" s="128" t="s">
        <v>17501</v>
      </c>
      <c r="AY53" s="128" t="s">
        <v>17502</v>
      </c>
      <c r="AZ53" s="128" t="s">
        <v>17503</v>
      </c>
      <c r="BA53" s="128" t="s">
        <v>17504</v>
      </c>
      <c r="BB53" s="128" t="s">
        <v>17505</v>
      </c>
      <c r="BC53" s="128" t="s">
        <v>17506</v>
      </c>
      <c r="BD53" s="128" t="s">
        <v>17507</v>
      </c>
      <c r="BE53" s="128" t="s">
        <v>17508</v>
      </c>
      <c r="BF53" s="128" t="s">
        <v>17509</v>
      </c>
      <c r="BG53" s="128" t="s">
        <v>17510</v>
      </c>
      <c r="BH53" s="128" t="s">
        <v>17511</v>
      </c>
      <c r="BI53" s="128" t="s">
        <v>17512</v>
      </c>
      <c r="BJ53" s="128" t="s">
        <v>17513</v>
      </c>
      <c r="BK53" s="128" t="s">
        <v>17514</v>
      </c>
      <c r="BL53" s="128" t="s">
        <v>17515</v>
      </c>
    </row>
    <row r="54" spans="1:64" ht="409.5" x14ac:dyDescent="0.35">
      <c r="A54" s="127" t="s">
        <v>6063</v>
      </c>
      <c r="C54" s="127" t="s">
        <v>7278</v>
      </c>
      <c r="D54" s="127" t="s">
        <v>7279</v>
      </c>
      <c r="H54" s="128" t="s">
        <v>7280</v>
      </c>
      <c r="J54" s="127" t="s">
        <v>7281</v>
      </c>
      <c r="K54" s="127" t="s">
        <v>7376</v>
      </c>
      <c r="L54" s="127" t="s">
        <v>7418</v>
      </c>
      <c r="AL54" s="127" t="s">
        <v>7282</v>
      </c>
      <c r="AO54" s="128" t="s">
        <v>17516</v>
      </c>
      <c r="AP54" s="128" t="s">
        <v>17517</v>
      </c>
      <c r="AQ54" s="128" t="s">
        <v>17518</v>
      </c>
      <c r="AR54" s="128" t="s">
        <v>17519</v>
      </c>
      <c r="AS54" s="128" t="s">
        <v>17520</v>
      </c>
      <c r="AT54" s="128" t="s">
        <v>17521</v>
      </c>
      <c r="AU54" s="128" t="s">
        <v>17522</v>
      </c>
      <c r="AV54" s="128" t="s">
        <v>17523</v>
      </c>
      <c r="AW54" s="128" t="s">
        <v>17524</v>
      </c>
      <c r="AX54" s="128" t="s">
        <v>17525</v>
      </c>
      <c r="AY54" s="128" t="s">
        <v>17526</v>
      </c>
      <c r="AZ54" s="128" t="s">
        <v>17527</v>
      </c>
      <c r="BA54" s="128" t="s">
        <v>17528</v>
      </c>
      <c r="BB54" s="128" t="s">
        <v>17529</v>
      </c>
      <c r="BC54" s="128" t="s">
        <v>17530</v>
      </c>
      <c r="BD54" s="128" t="s">
        <v>17531</v>
      </c>
      <c r="BE54" s="128" t="s">
        <v>17532</v>
      </c>
      <c r="BF54" s="128" t="s">
        <v>17533</v>
      </c>
      <c r="BG54" s="128" t="s">
        <v>17534</v>
      </c>
      <c r="BH54" s="128" t="s">
        <v>17535</v>
      </c>
      <c r="BI54" s="128" t="s">
        <v>17536</v>
      </c>
      <c r="BJ54" s="128" t="s">
        <v>17537</v>
      </c>
      <c r="BK54" s="128" t="s">
        <v>17538</v>
      </c>
      <c r="BL54" s="128" t="s">
        <v>17539</v>
      </c>
    </row>
    <row r="55" spans="1:64" ht="409.5" x14ac:dyDescent="0.35">
      <c r="A55" s="127" t="s">
        <v>6063</v>
      </c>
      <c r="C55" s="127" t="s">
        <v>7307</v>
      </c>
      <c r="D55" s="127" t="s">
        <v>7308</v>
      </c>
      <c r="H55" s="128" t="s">
        <v>7309</v>
      </c>
      <c r="J55" s="127" t="s">
        <v>7310</v>
      </c>
      <c r="K55" s="127" t="s">
        <v>7377</v>
      </c>
      <c r="L55" s="127" t="s">
        <v>7419</v>
      </c>
      <c r="AL55" s="127" t="s">
        <v>7311</v>
      </c>
      <c r="AO55" s="128" t="s">
        <v>17540</v>
      </c>
      <c r="AP55" s="128" t="s">
        <v>17541</v>
      </c>
      <c r="AQ55" s="128" t="s">
        <v>17542</v>
      </c>
      <c r="AR55" s="128" t="s">
        <v>17543</v>
      </c>
      <c r="AS55" s="128" t="s">
        <v>17544</v>
      </c>
      <c r="AT55" s="128" t="s">
        <v>17545</v>
      </c>
      <c r="AU55" s="128" t="s">
        <v>17546</v>
      </c>
      <c r="AV55" s="128" t="s">
        <v>17547</v>
      </c>
      <c r="AW55" s="128" t="s">
        <v>17548</v>
      </c>
      <c r="AX55" s="128" t="s">
        <v>17549</v>
      </c>
      <c r="AY55" s="128" t="s">
        <v>17550</v>
      </c>
      <c r="AZ55" s="128" t="s">
        <v>17551</v>
      </c>
      <c r="BA55" s="128" t="s">
        <v>17552</v>
      </c>
      <c r="BB55" s="128" t="s">
        <v>17553</v>
      </c>
      <c r="BC55" s="128" t="s">
        <v>17554</v>
      </c>
      <c r="BD55" s="128" t="s">
        <v>17555</v>
      </c>
      <c r="BE55" s="128" t="s">
        <v>17556</v>
      </c>
      <c r="BF55" s="128" t="s">
        <v>17557</v>
      </c>
      <c r="BG55" s="128" t="s">
        <v>17558</v>
      </c>
      <c r="BH55" s="128" t="s">
        <v>17559</v>
      </c>
      <c r="BI55" s="128" t="s">
        <v>17560</v>
      </c>
      <c r="BJ55" s="128" t="s">
        <v>17561</v>
      </c>
      <c r="BK55" s="128" t="s">
        <v>17562</v>
      </c>
      <c r="BL55" s="128" t="s">
        <v>17563</v>
      </c>
    </row>
    <row r="56" spans="1:64" x14ac:dyDescent="0.35">
      <c r="A56" s="127" t="s">
        <v>22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13"/>
  <sheetViews>
    <sheetView workbookViewId="0"/>
  </sheetViews>
  <sheetFormatPr defaultRowHeight="14.5" x14ac:dyDescent="0.35"/>
  <sheetData>
    <row r="1" spans="1:32" x14ac:dyDescent="0.35">
      <c r="A1" s="127" t="s">
        <v>20166</v>
      </c>
      <c r="B1" s="127" t="s">
        <v>22</v>
      </c>
      <c r="C1" s="127" t="s">
        <v>22</v>
      </c>
      <c r="D1" s="127" t="s">
        <v>22</v>
      </c>
      <c r="G1" s="127" t="s">
        <v>21</v>
      </c>
    </row>
    <row r="2" spans="1:32" x14ac:dyDescent="0.35">
      <c r="A2" s="127" t="s">
        <v>22</v>
      </c>
    </row>
    <row r="3" spans="1:32" ht="87" x14ac:dyDescent="0.35">
      <c r="A3" s="127" t="s">
        <v>22</v>
      </c>
      <c r="C3" s="127" t="s">
        <v>73</v>
      </c>
      <c r="E3" s="127" t="s">
        <v>74</v>
      </c>
      <c r="G3" s="127" t="s">
        <v>3303</v>
      </c>
      <c r="I3" s="127" t="s">
        <v>269</v>
      </c>
      <c r="J3" s="128" t="s">
        <v>270</v>
      </c>
      <c r="K3" s="128" t="s">
        <v>271</v>
      </c>
      <c r="L3" s="128" t="s">
        <v>272</v>
      </c>
      <c r="M3" s="128" t="s">
        <v>273</v>
      </c>
      <c r="N3" s="128" t="s">
        <v>274</v>
      </c>
      <c r="O3" s="128" t="s">
        <v>275</v>
      </c>
      <c r="P3" s="128" t="s">
        <v>276</v>
      </c>
      <c r="Q3" s="128" t="s">
        <v>277</v>
      </c>
      <c r="R3" s="128" t="s">
        <v>278</v>
      </c>
      <c r="S3" s="128" t="s">
        <v>279</v>
      </c>
      <c r="T3" s="128" t="s">
        <v>280</v>
      </c>
      <c r="U3" s="128" t="s">
        <v>281</v>
      </c>
      <c r="V3" s="128" t="s">
        <v>282</v>
      </c>
      <c r="W3" s="128" t="s">
        <v>283</v>
      </c>
      <c r="X3" s="128" t="s">
        <v>284</v>
      </c>
      <c r="Y3" s="128" t="s">
        <v>285</v>
      </c>
      <c r="Z3" s="128" t="s">
        <v>286</v>
      </c>
      <c r="AA3" s="128" t="s">
        <v>287</v>
      </c>
      <c r="AB3" s="128" t="s">
        <v>288</v>
      </c>
      <c r="AC3" s="128" t="s">
        <v>289</v>
      </c>
      <c r="AD3" s="128" t="s">
        <v>290</v>
      </c>
      <c r="AE3" s="128" t="s">
        <v>291</v>
      </c>
      <c r="AF3" s="128" t="s">
        <v>292</v>
      </c>
    </row>
    <row r="4" spans="1:32" x14ac:dyDescent="0.35">
      <c r="A4" s="127" t="s">
        <v>22</v>
      </c>
      <c r="C4" s="127" t="s">
        <v>3304</v>
      </c>
      <c r="E4" s="127" t="s">
        <v>75</v>
      </c>
      <c r="I4" s="127" t="s">
        <v>3305</v>
      </c>
      <c r="J4" s="127" t="s">
        <v>3306</v>
      </c>
      <c r="K4" s="127" t="s">
        <v>3307</v>
      </c>
      <c r="L4" s="127" t="s">
        <v>3308</v>
      </c>
      <c r="M4" s="127" t="s">
        <v>3309</v>
      </c>
      <c r="N4" s="127" t="s">
        <v>3310</v>
      </c>
      <c r="O4" s="127" t="s">
        <v>3311</v>
      </c>
      <c r="P4" s="127" t="s">
        <v>3312</v>
      </c>
      <c r="Q4" s="127" t="s">
        <v>3313</v>
      </c>
      <c r="R4" s="127" t="s">
        <v>3314</v>
      </c>
      <c r="S4" s="127" t="s">
        <v>3315</v>
      </c>
      <c r="T4" s="127" t="s">
        <v>3316</v>
      </c>
      <c r="U4" s="127" t="s">
        <v>3317</v>
      </c>
      <c r="V4" s="127" t="s">
        <v>3318</v>
      </c>
      <c r="W4" s="127" t="s">
        <v>3319</v>
      </c>
      <c r="X4" s="127" t="s">
        <v>3320</v>
      </c>
      <c r="Y4" s="127" t="s">
        <v>3321</v>
      </c>
      <c r="Z4" s="127" t="s">
        <v>3322</v>
      </c>
      <c r="AA4" s="127" t="s">
        <v>3323</v>
      </c>
      <c r="AB4" s="127" t="s">
        <v>3324</v>
      </c>
      <c r="AC4" s="127" t="s">
        <v>3325</v>
      </c>
      <c r="AD4" s="127" t="s">
        <v>3326</v>
      </c>
      <c r="AE4" s="127" t="s">
        <v>3327</v>
      </c>
      <c r="AF4" s="127" t="s">
        <v>3328</v>
      </c>
    </row>
    <row r="5" spans="1:32" x14ac:dyDescent="0.35">
      <c r="A5" s="127" t="s">
        <v>22</v>
      </c>
    </row>
    <row r="6" spans="1:32" x14ac:dyDescent="0.35">
      <c r="G6" s="127" t="s">
        <v>79</v>
      </c>
      <c r="J6" s="127" t="s">
        <v>90</v>
      </c>
      <c r="L6" s="127" t="s">
        <v>3329</v>
      </c>
    </row>
    <row r="7" spans="1:32" x14ac:dyDescent="0.35">
      <c r="G7" s="127" t="s">
        <v>80</v>
      </c>
      <c r="J7" s="127" t="s">
        <v>77</v>
      </c>
      <c r="M7" s="127" t="s">
        <v>12</v>
      </c>
      <c r="P7" s="127" t="s">
        <v>20</v>
      </c>
    </row>
    <row r="8" spans="1:32" x14ac:dyDescent="0.35">
      <c r="G8" s="127" t="s">
        <v>88</v>
      </c>
      <c r="H8" s="127" t="s">
        <v>3330</v>
      </c>
      <c r="J8" s="127" t="s">
        <v>3331</v>
      </c>
    </row>
    <row r="9" spans="1:32" x14ac:dyDescent="0.35">
      <c r="G9" s="127" t="s">
        <v>85</v>
      </c>
      <c r="H9" s="127" t="s">
        <v>320</v>
      </c>
    </row>
    <row r="10" spans="1:32" x14ac:dyDescent="0.35">
      <c r="J10" s="127" t="s">
        <v>76</v>
      </c>
      <c r="M10" s="127" t="s">
        <v>13</v>
      </c>
      <c r="P10" s="127" t="s">
        <v>89</v>
      </c>
    </row>
    <row r="11" spans="1:32" ht="159.5" x14ac:dyDescent="0.35">
      <c r="E11" s="127" t="s">
        <v>10</v>
      </c>
      <c r="F11" s="127" t="s">
        <v>2</v>
      </c>
      <c r="G11" s="127" t="s">
        <v>3</v>
      </c>
      <c r="H11" s="127" t="s">
        <v>82</v>
      </c>
      <c r="I11" s="128" t="s">
        <v>3332</v>
      </c>
      <c r="J11" s="128" t="s">
        <v>323</v>
      </c>
      <c r="K11" s="128" t="s">
        <v>324</v>
      </c>
      <c r="L11" s="128" t="s">
        <v>325</v>
      </c>
      <c r="M11" s="128" t="s">
        <v>326</v>
      </c>
      <c r="N11" s="128" t="s">
        <v>327</v>
      </c>
      <c r="O11" s="128" t="s">
        <v>328</v>
      </c>
      <c r="P11" s="128" t="s">
        <v>329</v>
      </c>
      <c r="Q11" s="128" t="s">
        <v>330</v>
      </c>
      <c r="R11" s="128" t="s">
        <v>331</v>
      </c>
      <c r="S11" s="128" t="s">
        <v>332</v>
      </c>
      <c r="T11" s="128" t="s">
        <v>333</v>
      </c>
      <c r="U11" s="128" t="s">
        <v>334</v>
      </c>
      <c r="V11" s="128" t="s">
        <v>335</v>
      </c>
      <c r="W11" s="128" t="s">
        <v>336</v>
      </c>
      <c r="X11" s="128" t="s">
        <v>337</v>
      </c>
      <c r="Y11" s="128" t="s">
        <v>338</v>
      </c>
      <c r="Z11" s="128" t="s">
        <v>339</v>
      </c>
      <c r="AA11" s="128" t="s">
        <v>340</v>
      </c>
      <c r="AB11" s="128" t="s">
        <v>341</v>
      </c>
      <c r="AC11" s="128" t="s">
        <v>342</v>
      </c>
      <c r="AD11" s="128" t="s">
        <v>343</v>
      </c>
      <c r="AE11" s="128" t="s">
        <v>344</v>
      </c>
      <c r="AF11" s="128" t="s">
        <v>345</v>
      </c>
    </row>
    <row r="12" spans="1:32" x14ac:dyDescent="0.35">
      <c r="H12" s="127" t="s">
        <v>346</v>
      </c>
    </row>
    <row r="14" spans="1:32" ht="319" x14ac:dyDescent="0.35">
      <c r="C14" s="127" t="s">
        <v>269</v>
      </c>
      <c r="E14" s="128" t="s">
        <v>347</v>
      </c>
      <c r="F14" s="128" t="s">
        <v>17566</v>
      </c>
      <c r="G14" s="128" t="s">
        <v>17567</v>
      </c>
      <c r="H14" s="128" t="s">
        <v>350</v>
      </c>
      <c r="I14" s="128" t="s">
        <v>17568</v>
      </c>
      <c r="J14" s="128" t="s">
        <v>17569</v>
      </c>
      <c r="K14" s="128" t="s">
        <v>17570</v>
      </c>
      <c r="L14" s="128" t="s">
        <v>17571</v>
      </c>
      <c r="M14" s="128" t="s">
        <v>17572</v>
      </c>
      <c r="N14" s="128" t="s">
        <v>17573</v>
      </c>
      <c r="O14" s="128" t="s">
        <v>17574</v>
      </c>
      <c r="P14" s="128" t="s">
        <v>17575</v>
      </c>
      <c r="Q14" s="128" t="s">
        <v>17576</v>
      </c>
      <c r="R14" s="128" t="s">
        <v>17577</v>
      </c>
      <c r="S14" s="128" t="s">
        <v>17578</v>
      </c>
      <c r="T14" s="128" t="s">
        <v>17579</v>
      </c>
      <c r="U14" s="128" t="s">
        <v>17580</v>
      </c>
      <c r="V14" s="128" t="s">
        <v>17581</v>
      </c>
      <c r="W14" s="128" t="s">
        <v>17582</v>
      </c>
      <c r="X14" s="128" t="s">
        <v>17583</v>
      </c>
      <c r="Y14" s="128" t="s">
        <v>17584</v>
      </c>
      <c r="Z14" s="128" t="s">
        <v>17585</v>
      </c>
      <c r="AA14" s="128" t="s">
        <v>17586</v>
      </c>
      <c r="AB14" s="128" t="s">
        <v>17587</v>
      </c>
      <c r="AC14" s="128" t="s">
        <v>17588</v>
      </c>
      <c r="AD14" s="128" t="s">
        <v>17589</v>
      </c>
      <c r="AE14" s="128" t="s">
        <v>17590</v>
      </c>
      <c r="AF14" s="128" t="s">
        <v>17591</v>
      </c>
    </row>
    <row r="15" spans="1:32" ht="319" x14ac:dyDescent="0.35">
      <c r="C15" s="128" t="s">
        <v>375</v>
      </c>
      <c r="E15" s="128" t="s">
        <v>376</v>
      </c>
      <c r="F15" s="128" t="s">
        <v>17592</v>
      </c>
      <c r="G15" s="128" t="s">
        <v>17593</v>
      </c>
      <c r="H15" s="128" t="s">
        <v>379</v>
      </c>
      <c r="I15" s="128" t="s">
        <v>17594</v>
      </c>
      <c r="J15" s="128" t="s">
        <v>17595</v>
      </c>
      <c r="K15" s="128" t="s">
        <v>17596</v>
      </c>
      <c r="L15" s="128" t="s">
        <v>17597</v>
      </c>
      <c r="M15" s="128" t="s">
        <v>17598</v>
      </c>
      <c r="N15" s="128" t="s">
        <v>17599</v>
      </c>
      <c r="O15" s="128" t="s">
        <v>17600</v>
      </c>
      <c r="P15" s="128" t="s">
        <v>17601</v>
      </c>
      <c r="Q15" s="128" t="s">
        <v>17602</v>
      </c>
      <c r="R15" s="128" t="s">
        <v>17603</v>
      </c>
      <c r="S15" s="128" t="s">
        <v>17604</v>
      </c>
      <c r="T15" s="128" t="s">
        <v>17605</v>
      </c>
      <c r="U15" s="128" t="s">
        <v>17606</v>
      </c>
      <c r="V15" s="128" t="s">
        <v>17607</v>
      </c>
      <c r="W15" s="128" t="s">
        <v>17608</v>
      </c>
      <c r="X15" s="128" t="s">
        <v>17609</v>
      </c>
      <c r="Y15" s="128" t="s">
        <v>17610</v>
      </c>
      <c r="Z15" s="128" t="s">
        <v>17611</v>
      </c>
      <c r="AA15" s="128" t="s">
        <v>17612</v>
      </c>
      <c r="AB15" s="128" t="s">
        <v>17613</v>
      </c>
      <c r="AC15" s="128" t="s">
        <v>17614</v>
      </c>
      <c r="AD15" s="128" t="s">
        <v>17615</v>
      </c>
      <c r="AE15" s="128" t="s">
        <v>17616</v>
      </c>
      <c r="AF15" s="128" t="s">
        <v>17617</v>
      </c>
    </row>
    <row r="16" spans="1:32" ht="319" x14ac:dyDescent="0.35">
      <c r="C16" s="128" t="s">
        <v>404</v>
      </c>
      <c r="E16" s="128" t="s">
        <v>405</v>
      </c>
      <c r="F16" s="128" t="s">
        <v>17618</v>
      </c>
      <c r="G16" s="128" t="s">
        <v>17619</v>
      </c>
      <c r="H16" s="128" t="s">
        <v>408</v>
      </c>
      <c r="I16" s="128" t="s">
        <v>17620</v>
      </c>
      <c r="J16" s="128" t="s">
        <v>17621</v>
      </c>
      <c r="K16" s="128" t="s">
        <v>17622</v>
      </c>
      <c r="L16" s="128" t="s">
        <v>17623</v>
      </c>
      <c r="M16" s="128" t="s">
        <v>17624</v>
      </c>
      <c r="N16" s="128" t="s">
        <v>17625</v>
      </c>
      <c r="O16" s="128" t="s">
        <v>17626</v>
      </c>
      <c r="P16" s="128" t="s">
        <v>17627</v>
      </c>
      <c r="Q16" s="128" t="s">
        <v>17628</v>
      </c>
      <c r="R16" s="128" t="s">
        <v>17629</v>
      </c>
      <c r="S16" s="128" t="s">
        <v>17630</v>
      </c>
      <c r="T16" s="128" t="s">
        <v>17631</v>
      </c>
      <c r="U16" s="128" t="s">
        <v>17632</v>
      </c>
      <c r="V16" s="128" t="s">
        <v>17633</v>
      </c>
      <c r="W16" s="128" t="s">
        <v>17634</v>
      </c>
      <c r="X16" s="128" t="s">
        <v>17635</v>
      </c>
      <c r="Y16" s="128" t="s">
        <v>17636</v>
      </c>
      <c r="Z16" s="128" t="s">
        <v>17637</v>
      </c>
      <c r="AA16" s="128" t="s">
        <v>17638</v>
      </c>
      <c r="AB16" s="128" t="s">
        <v>17639</v>
      </c>
      <c r="AC16" s="128" t="s">
        <v>17640</v>
      </c>
      <c r="AD16" s="128" t="s">
        <v>17641</v>
      </c>
      <c r="AE16" s="128" t="s">
        <v>17642</v>
      </c>
      <c r="AF16" s="128" t="s">
        <v>17643</v>
      </c>
    </row>
    <row r="17" spans="3:32" ht="319" x14ac:dyDescent="0.35">
      <c r="C17" s="128" t="s">
        <v>433</v>
      </c>
      <c r="E17" s="128" t="s">
        <v>434</v>
      </c>
      <c r="F17" s="128" t="s">
        <v>17644</v>
      </c>
      <c r="G17" s="128" t="s">
        <v>17645</v>
      </c>
      <c r="H17" s="128" t="s">
        <v>437</v>
      </c>
      <c r="I17" s="128" t="s">
        <v>17646</v>
      </c>
      <c r="J17" s="128" t="s">
        <v>17647</v>
      </c>
      <c r="K17" s="128" t="s">
        <v>17648</v>
      </c>
      <c r="L17" s="128" t="s">
        <v>17649</v>
      </c>
      <c r="M17" s="128" t="s">
        <v>17650</v>
      </c>
      <c r="N17" s="128" t="s">
        <v>17651</v>
      </c>
      <c r="O17" s="128" t="s">
        <v>17652</v>
      </c>
      <c r="P17" s="128" t="s">
        <v>17653</v>
      </c>
      <c r="Q17" s="128" t="s">
        <v>17654</v>
      </c>
      <c r="R17" s="128" t="s">
        <v>17655</v>
      </c>
      <c r="S17" s="128" t="s">
        <v>17656</v>
      </c>
      <c r="T17" s="128" t="s">
        <v>17657</v>
      </c>
      <c r="U17" s="128" t="s">
        <v>17658</v>
      </c>
      <c r="V17" s="128" t="s">
        <v>17659</v>
      </c>
      <c r="W17" s="128" t="s">
        <v>17660</v>
      </c>
      <c r="X17" s="128" t="s">
        <v>17661</v>
      </c>
      <c r="Y17" s="128" t="s">
        <v>17662</v>
      </c>
      <c r="Z17" s="128" t="s">
        <v>17663</v>
      </c>
      <c r="AA17" s="128" t="s">
        <v>17664</v>
      </c>
      <c r="AB17" s="128" t="s">
        <v>17665</v>
      </c>
      <c r="AC17" s="128" t="s">
        <v>17666</v>
      </c>
      <c r="AD17" s="128" t="s">
        <v>17667</v>
      </c>
      <c r="AE17" s="128" t="s">
        <v>17668</v>
      </c>
      <c r="AF17" s="128" t="s">
        <v>17669</v>
      </c>
    </row>
    <row r="18" spans="3:32" ht="319" x14ac:dyDescent="0.35">
      <c r="C18" s="128" t="s">
        <v>462</v>
      </c>
      <c r="E18" s="128" t="s">
        <v>463</v>
      </c>
      <c r="F18" s="128" t="s">
        <v>17670</v>
      </c>
      <c r="G18" s="128" t="s">
        <v>17671</v>
      </c>
      <c r="H18" s="128" t="s">
        <v>466</v>
      </c>
      <c r="I18" s="128" t="s">
        <v>17672</v>
      </c>
      <c r="J18" s="128" t="s">
        <v>17673</v>
      </c>
      <c r="K18" s="128" t="s">
        <v>17674</v>
      </c>
      <c r="L18" s="128" t="s">
        <v>17675</v>
      </c>
      <c r="M18" s="128" t="s">
        <v>17676</v>
      </c>
      <c r="N18" s="128" t="s">
        <v>17677</v>
      </c>
      <c r="O18" s="128" t="s">
        <v>17678</v>
      </c>
      <c r="P18" s="128" t="s">
        <v>17679</v>
      </c>
      <c r="Q18" s="128" t="s">
        <v>17680</v>
      </c>
      <c r="R18" s="128" t="s">
        <v>17681</v>
      </c>
      <c r="S18" s="128" t="s">
        <v>17682</v>
      </c>
      <c r="T18" s="128" t="s">
        <v>17683</v>
      </c>
      <c r="U18" s="128" t="s">
        <v>17684</v>
      </c>
      <c r="V18" s="128" t="s">
        <v>17685</v>
      </c>
      <c r="W18" s="128" t="s">
        <v>17686</v>
      </c>
      <c r="X18" s="128" t="s">
        <v>17687</v>
      </c>
      <c r="Y18" s="128" t="s">
        <v>17688</v>
      </c>
      <c r="Z18" s="128" t="s">
        <v>17689</v>
      </c>
      <c r="AA18" s="128" t="s">
        <v>17690</v>
      </c>
      <c r="AB18" s="128" t="s">
        <v>17691</v>
      </c>
      <c r="AC18" s="128" t="s">
        <v>17692</v>
      </c>
      <c r="AD18" s="128" t="s">
        <v>17693</v>
      </c>
      <c r="AE18" s="128" t="s">
        <v>17694</v>
      </c>
      <c r="AF18" s="128" t="s">
        <v>17695</v>
      </c>
    </row>
    <row r="19" spans="3:32" ht="319" x14ac:dyDescent="0.35">
      <c r="C19" s="128" t="s">
        <v>491</v>
      </c>
      <c r="E19" s="128" t="s">
        <v>492</v>
      </c>
      <c r="F19" s="128" t="s">
        <v>17696</v>
      </c>
      <c r="G19" s="128" t="s">
        <v>17697</v>
      </c>
      <c r="H19" s="128" t="s">
        <v>495</v>
      </c>
      <c r="I19" s="128" t="s">
        <v>17698</v>
      </c>
      <c r="J19" s="128" t="s">
        <v>17699</v>
      </c>
      <c r="K19" s="128" t="s">
        <v>17700</v>
      </c>
      <c r="L19" s="128" t="s">
        <v>17701</v>
      </c>
      <c r="M19" s="128" t="s">
        <v>17702</v>
      </c>
      <c r="N19" s="128" t="s">
        <v>17703</v>
      </c>
      <c r="O19" s="128" t="s">
        <v>17704</v>
      </c>
      <c r="P19" s="128" t="s">
        <v>17705</v>
      </c>
      <c r="Q19" s="128" t="s">
        <v>17706</v>
      </c>
      <c r="R19" s="128" t="s">
        <v>17707</v>
      </c>
      <c r="S19" s="128" t="s">
        <v>17708</v>
      </c>
      <c r="T19" s="128" t="s">
        <v>17709</v>
      </c>
      <c r="U19" s="128" t="s">
        <v>17710</v>
      </c>
      <c r="V19" s="128" t="s">
        <v>17711</v>
      </c>
      <c r="W19" s="128" t="s">
        <v>17712</v>
      </c>
      <c r="X19" s="128" t="s">
        <v>17713</v>
      </c>
      <c r="Y19" s="128" t="s">
        <v>17714</v>
      </c>
      <c r="Z19" s="128" t="s">
        <v>17715</v>
      </c>
      <c r="AA19" s="128" t="s">
        <v>17716</v>
      </c>
      <c r="AB19" s="128" t="s">
        <v>17717</v>
      </c>
      <c r="AC19" s="128" t="s">
        <v>17718</v>
      </c>
      <c r="AD19" s="128" t="s">
        <v>17719</v>
      </c>
      <c r="AE19" s="128" t="s">
        <v>17720</v>
      </c>
      <c r="AF19" s="128" t="s">
        <v>17721</v>
      </c>
    </row>
    <row r="20" spans="3:32" ht="319" x14ac:dyDescent="0.35">
      <c r="C20" s="128" t="s">
        <v>520</v>
      </c>
      <c r="E20" s="128" t="s">
        <v>521</v>
      </c>
      <c r="F20" s="128" t="s">
        <v>17722</v>
      </c>
      <c r="G20" s="128" t="s">
        <v>17723</v>
      </c>
      <c r="H20" s="128" t="s">
        <v>524</v>
      </c>
      <c r="I20" s="128" t="s">
        <v>17724</v>
      </c>
      <c r="J20" s="128" t="s">
        <v>17725</v>
      </c>
      <c r="K20" s="128" t="s">
        <v>17726</v>
      </c>
      <c r="L20" s="128" t="s">
        <v>17727</v>
      </c>
      <c r="M20" s="128" t="s">
        <v>17728</v>
      </c>
      <c r="N20" s="128" t="s">
        <v>17729</v>
      </c>
      <c r="O20" s="128" t="s">
        <v>17730</v>
      </c>
      <c r="P20" s="128" t="s">
        <v>17731</v>
      </c>
      <c r="Q20" s="128" t="s">
        <v>17732</v>
      </c>
      <c r="R20" s="128" t="s">
        <v>17733</v>
      </c>
      <c r="S20" s="128" t="s">
        <v>17734</v>
      </c>
      <c r="T20" s="128" t="s">
        <v>17735</v>
      </c>
      <c r="U20" s="128" t="s">
        <v>17736</v>
      </c>
      <c r="V20" s="128" t="s">
        <v>17737</v>
      </c>
      <c r="W20" s="128" t="s">
        <v>17738</v>
      </c>
      <c r="X20" s="128" t="s">
        <v>17739</v>
      </c>
      <c r="Y20" s="128" t="s">
        <v>17740</v>
      </c>
      <c r="Z20" s="128" t="s">
        <v>17741</v>
      </c>
      <c r="AA20" s="128" t="s">
        <v>17742</v>
      </c>
      <c r="AB20" s="128" t="s">
        <v>17743</v>
      </c>
      <c r="AC20" s="128" t="s">
        <v>17744</v>
      </c>
      <c r="AD20" s="128" t="s">
        <v>17745</v>
      </c>
      <c r="AE20" s="128" t="s">
        <v>17746</v>
      </c>
      <c r="AF20" s="128" t="s">
        <v>17747</v>
      </c>
    </row>
    <row r="21" spans="3:32" ht="319" x14ac:dyDescent="0.35">
      <c r="C21" s="128" t="s">
        <v>549</v>
      </c>
      <c r="E21" s="128" t="s">
        <v>550</v>
      </c>
      <c r="F21" s="128" t="s">
        <v>17748</v>
      </c>
      <c r="G21" s="128" t="s">
        <v>17749</v>
      </c>
      <c r="H21" s="128" t="s">
        <v>553</v>
      </c>
      <c r="I21" s="128" t="s">
        <v>17750</v>
      </c>
      <c r="J21" s="128" t="s">
        <v>17751</v>
      </c>
      <c r="K21" s="128" t="s">
        <v>17752</v>
      </c>
      <c r="L21" s="128" t="s">
        <v>17753</v>
      </c>
      <c r="M21" s="128" t="s">
        <v>17754</v>
      </c>
      <c r="N21" s="128" t="s">
        <v>17755</v>
      </c>
      <c r="O21" s="128" t="s">
        <v>17756</v>
      </c>
      <c r="P21" s="128" t="s">
        <v>17757</v>
      </c>
      <c r="Q21" s="128" t="s">
        <v>17758</v>
      </c>
      <c r="R21" s="128" t="s">
        <v>17759</v>
      </c>
      <c r="S21" s="128" t="s">
        <v>17760</v>
      </c>
      <c r="T21" s="128" t="s">
        <v>17761</v>
      </c>
      <c r="U21" s="128" t="s">
        <v>17762</v>
      </c>
      <c r="V21" s="128" t="s">
        <v>17763</v>
      </c>
      <c r="W21" s="128" t="s">
        <v>17764</v>
      </c>
      <c r="X21" s="128" t="s">
        <v>17765</v>
      </c>
      <c r="Y21" s="128" t="s">
        <v>17766</v>
      </c>
      <c r="Z21" s="128" t="s">
        <v>17767</v>
      </c>
      <c r="AA21" s="128" t="s">
        <v>17768</v>
      </c>
      <c r="AB21" s="128" t="s">
        <v>17769</v>
      </c>
      <c r="AC21" s="128" t="s">
        <v>17770</v>
      </c>
      <c r="AD21" s="128" t="s">
        <v>17771</v>
      </c>
      <c r="AE21" s="128" t="s">
        <v>17772</v>
      </c>
      <c r="AF21" s="128" t="s">
        <v>17773</v>
      </c>
    </row>
    <row r="22" spans="3:32" ht="319" x14ac:dyDescent="0.35">
      <c r="C22" s="128" t="s">
        <v>578</v>
      </c>
      <c r="E22" s="128" t="s">
        <v>579</v>
      </c>
      <c r="F22" s="128" t="s">
        <v>17774</v>
      </c>
      <c r="G22" s="128" t="s">
        <v>17775</v>
      </c>
      <c r="H22" s="128" t="s">
        <v>582</v>
      </c>
      <c r="I22" s="128" t="s">
        <v>17776</v>
      </c>
      <c r="J22" s="128" t="s">
        <v>17777</v>
      </c>
      <c r="K22" s="128" t="s">
        <v>17778</v>
      </c>
      <c r="L22" s="128" t="s">
        <v>17779</v>
      </c>
      <c r="M22" s="128" t="s">
        <v>17780</v>
      </c>
      <c r="N22" s="128" t="s">
        <v>17781</v>
      </c>
      <c r="O22" s="128" t="s">
        <v>17782</v>
      </c>
      <c r="P22" s="128" t="s">
        <v>17783</v>
      </c>
      <c r="Q22" s="128" t="s">
        <v>17784</v>
      </c>
      <c r="R22" s="128" t="s">
        <v>17785</v>
      </c>
      <c r="S22" s="128" t="s">
        <v>17786</v>
      </c>
      <c r="T22" s="128" t="s">
        <v>17787</v>
      </c>
      <c r="U22" s="128" t="s">
        <v>17788</v>
      </c>
      <c r="V22" s="128" t="s">
        <v>17789</v>
      </c>
      <c r="W22" s="128" t="s">
        <v>17790</v>
      </c>
      <c r="X22" s="128" t="s">
        <v>17791</v>
      </c>
      <c r="Y22" s="128" t="s">
        <v>17792</v>
      </c>
      <c r="Z22" s="128" t="s">
        <v>17793</v>
      </c>
      <c r="AA22" s="128" t="s">
        <v>17794</v>
      </c>
      <c r="AB22" s="128" t="s">
        <v>17795</v>
      </c>
      <c r="AC22" s="128" t="s">
        <v>17796</v>
      </c>
      <c r="AD22" s="128" t="s">
        <v>17797</v>
      </c>
      <c r="AE22" s="128" t="s">
        <v>17798</v>
      </c>
      <c r="AF22" s="128" t="s">
        <v>17799</v>
      </c>
    </row>
    <row r="23" spans="3:32" ht="319" x14ac:dyDescent="0.35">
      <c r="C23" s="128" t="s">
        <v>607</v>
      </c>
      <c r="E23" s="128" t="s">
        <v>608</v>
      </c>
      <c r="F23" s="128" t="s">
        <v>17800</v>
      </c>
      <c r="G23" s="128" t="s">
        <v>17801</v>
      </c>
      <c r="H23" s="128" t="s">
        <v>611</v>
      </c>
      <c r="I23" s="128" t="s">
        <v>17802</v>
      </c>
      <c r="J23" s="128" t="s">
        <v>17803</v>
      </c>
      <c r="K23" s="128" t="s">
        <v>17804</v>
      </c>
      <c r="L23" s="128" t="s">
        <v>17805</v>
      </c>
      <c r="M23" s="128" t="s">
        <v>17806</v>
      </c>
      <c r="N23" s="128" t="s">
        <v>17807</v>
      </c>
      <c r="O23" s="128" t="s">
        <v>17808</v>
      </c>
      <c r="P23" s="128" t="s">
        <v>17809</v>
      </c>
      <c r="Q23" s="128" t="s">
        <v>17810</v>
      </c>
      <c r="R23" s="128" t="s">
        <v>17811</v>
      </c>
      <c r="S23" s="128" t="s">
        <v>17812</v>
      </c>
      <c r="T23" s="128" t="s">
        <v>17813</v>
      </c>
      <c r="U23" s="128" t="s">
        <v>17814</v>
      </c>
      <c r="V23" s="128" t="s">
        <v>17815</v>
      </c>
      <c r="W23" s="128" t="s">
        <v>17816</v>
      </c>
      <c r="X23" s="128" t="s">
        <v>17817</v>
      </c>
      <c r="Y23" s="128" t="s">
        <v>17818</v>
      </c>
      <c r="Z23" s="128" t="s">
        <v>17819</v>
      </c>
      <c r="AA23" s="128" t="s">
        <v>17820</v>
      </c>
      <c r="AB23" s="128" t="s">
        <v>17821</v>
      </c>
      <c r="AC23" s="128" t="s">
        <v>17822</v>
      </c>
      <c r="AD23" s="128" t="s">
        <v>17823</v>
      </c>
      <c r="AE23" s="128" t="s">
        <v>17824</v>
      </c>
      <c r="AF23" s="128" t="s">
        <v>17825</v>
      </c>
    </row>
    <row r="24" spans="3:32" ht="319" x14ac:dyDescent="0.35">
      <c r="C24" s="128" t="s">
        <v>636</v>
      </c>
      <c r="E24" s="128" t="s">
        <v>637</v>
      </c>
      <c r="F24" s="128" t="s">
        <v>17826</v>
      </c>
      <c r="G24" s="128" t="s">
        <v>17827</v>
      </c>
      <c r="H24" s="128" t="s">
        <v>640</v>
      </c>
      <c r="I24" s="128" t="s">
        <v>17828</v>
      </c>
      <c r="J24" s="128" t="s">
        <v>17829</v>
      </c>
      <c r="K24" s="128" t="s">
        <v>17830</v>
      </c>
      <c r="L24" s="128" t="s">
        <v>17831</v>
      </c>
      <c r="M24" s="128" t="s">
        <v>17832</v>
      </c>
      <c r="N24" s="128" t="s">
        <v>17833</v>
      </c>
      <c r="O24" s="128" t="s">
        <v>17834</v>
      </c>
      <c r="P24" s="128" t="s">
        <v>17835</v>
      </c>
      <c r="Q24" s="128" t="s">
        <v>17836</v>
      </c>
      <c r="R24" s="128" t="s">
        <v>17837</v>
      </c>
      <c r="S24" s="128" t="s">
        <v>17838</v>
      </c>
      <c r="T24" s="128" t="s">
        <v>17839</v>
      </c>
      <c r="U24" s="128" t="s">
        <v>17840</v>
      </c>
      <c r="V24" s="128" t="s">
        <v>17841</v>
      </c>
      <c r="W24" s="128" t="s">
        <v>17842</v>
      </c>
      <c r="X24" s="128" t="s">
        <v>17843</v>
      </c>
      <c r="Y24" s="128" t="s">
        <v>17844</v>
      </c>
      <c r="Z24" s="128" t="s">
        <v>17845</v>
      </c>
      <c r="AA24" s="128" t="s">
        <v>17846</v>
      </c>
      <c r="AB24" s="128" t="s">
        <v>17847</v>
      </c>
      <c r="AC24" s="128" t="s">
        <v>17848</v>
      </c>
      <c r="AD24" s="128" t="s">
        <v>17849</v>
      </c>
      <c r="AE24" s="128" t="s">
        <v>17850</v>
      </c>
      <c r="AF24" s="128" t="s">
        <v>17851</v>
      </c>
    </row>
    <row r="25" spans="3:32" ht="319" x14ac:dyDescent="0.35">
      <c r="C25" s="128" t="s">
        <v>665</v>
      </c>
      <c r="E25" s="128" t="s">
        <v>666</v>
      </c>
      <c r="F25" s="128" t="s">
        <v>17852</v>
      </c>
      <c r="G25" s="128" t="s">
        <v>17853</v>
      </c>
      <c r="H25" s="128" t="s">
        <v>669</v>
      </c>
      <c r="I25" s="128" t="s">
        <v>17854</v>
      </c>
      <c r="J25" s="128" t="s">
        <v>17855</v>
      </c>
      <c r="K25" s="128" t="s">
        <v>17856</v>
      </c>
      <c r="L25" s="128" t="s">
        <v>17857</v>
      </c>
      <c r="M25" s="128" t="s">
        <v>17858</v>
      </c>
      <c r="N25" s="128" t="s">
        <v>17859</v>
      </c>
      <c r="O25" s="128" t="s">
        <v>17860</v>
      </c>
      <c r="P25" s="128" t="s">
        <v>17861</v>
      </c>
      <c r="Q25" s="128" t="s">
        <v>17862</v>
      </c>
      <c r="R25" s="128" t="s">
        <v>17863</v>
      </c>
      <c r="S25" s="128" t="s">
        <v>17864</v>
      </c>
      <c r="T25" s="128" t="s">
        <v>17865</v>
      </c>
      <c r="U25" s="128" t="s">
        <v>17866</v>
      </c>
      <c r="V25" s="128" t="s">
        <v>17867</v>
      </c>
      <c r="W25" s="128" t="s">
        <v>17868</v>
      </c>
      <c r="X25" s="128" t="s">
        <v>17869</v>
      </c>
      <c r="Y25" s="128" t="s">
        <v>17870</v>
      </c>
      <c r="Z25" s="128" t="s">
        <v>17871</v>
      </c>
      <c r="AA25" s="128" t="s">
        <v>17872</v>
      </c>
      <c r="AB25" s="128" t="s">
        <v>17873</v>
      </c>
      <c r="AC25" s="128" t="s">
        <v>17874</v>
      </c>
      <c r="AD25" s="128" t="s">
        <v>17875</v>
      </c>
      <c r="AE25" s="128" t="s">
        <v>17876</v>
      </c>
      <c r="AF25" s="128" t="s">
        <v>17877</v>
      </c>
    </row>
    <row r="26" spans="3:32" ht="319" x14ac:dyDescent="0.35">
      <c r="C26" s="128" t="s">
        <v>694</v>
      </c>
      <c r="E26" s="128" t="s">
        <v>695</v>
      </c>
      <c r="F26" s="128" t="s">
        <v>17878</v>
      </c>
      <c r="G26" s="128" t="s">
        <v>17879</v>
      </c>
      <c r="H26" s="128" t="s">
        <v>698</v>
      </c>
      <c r="I26" s="128" t="s">
        <v>17880</v>
      </c>
      <c r="J26" s="128" t="s">
        <v>17881</v>
      </c>
      <c r="K26" s="128" t="s">
        <v>17882</v>
      </c>
      <c r="L26" s="128" t="s">
        <v>17883</v>
      </c>
      <c r="M26" s="128" t="s">
        <v>17884</v>
      </c>
      <c r="N26" s="128" t="s">
        <v>17885</v>
      </c>
      <c r="O26" s="128" t="s">
        <v>17886</v>
      </c>
      <c r="P26" s="128" t="s">
        <v>17887</v>
      </c>
      <c r="Q26" s="128" t="s">
        <v>17888</v>
      </c>
      <c r="R26" s="128" t="s">
        <v>17889</v>
      </c>
      <c r="S26" s="128" t="s">
        <v>17890</v>
      </c>
      <c r="T26" s="128" t="s">
        <v>17891</v>
      </c>
      <c r="U26" s="128" t="s">
        <v>17892</v>
      </c>
      <c r="V26" s="128" t="s">
        <v>17893</v>
      </c>
      <c r="W26" s="128" t="s">
        <v>17894</v>
      </c>
      <c r="X26" s="128" t="s">
        <v>17895</v>
      </c>
      <c r="Y26" s="128" t="s">
        <v>17896</v>
      </c>
      <c r="Z26" s="128" t="s">
        <v>17897</v>
      </c>
      <c r="AA26" s="128" t="s">
        <v>17898</v>
      </c>
      <c r="AB26" s="128" t="s">
        <v>17899</v>
      </c>
      <c r="AC26" s="128" t="s">
        <v>17900</v>
      </c>
      <c r="AD26" s="128" t="s">
        <v>17901</v>
      </c>
      <c r="AE26" s="128" t="s">
        <v>17902</v>
      </c>
      <c r="AF26" s="128" t="s">
        <v>17903</v>
      </c>
    </row>
    <row r="27" spans="3:32" ht="319" x14ac:dyDescent="0.35">
      <c r="C27" s="128" t="s">
        <v>723</v>
      </c>
      <c r="E27" s="128" t="s">
        <v>724</v>
      </c>
      <c r="F27" s="128" t="s">
        <v>17904</v>
      </c>
      <c r="G27" s="128" t="s">
        <v>17905</v>
      </c>
      <c r="H27" s="128" t="s">
        <v>727</v>
      </c>
      <c r="I27" s="128" t="s">
        <v>17906</v>
      </c>
      <c r="J27" s="128" t="s">
        <v>17907</v>
      </c>
      <c r="K27" s="128" t="s">
        <v>17908</v>
      </c>
      <c r="L27" s="128" t="s">
        <v>17909</v>
      </c>
      <c r="M27" s="128" t="s">
        <v>17910</v>
      </c>
      <c r="N27" s="128" t="s">
        <v>17911</v>
      </c>
      <c r="O27" s="128" t="s">
        <v>17912</v>
      </c>
      <c r="P27" s="128" t="s">
        <v>17913</v>
      </c>
      <c r="Q27" s="128" t="s">
        <v>17914</v>
      </c>
      <c r="R27" s="128" t="s">
        <v>17915</v>
      </c>
      <c r="S27" s="128" t="s">
        <v>17916</v>
      </c>
      <c r="T27" s="128" t="s">
        <v>17917</v>
      </c>
      <c r="U27" s="128" t="s">
        <v>17918</v>
      </c>
      <c r="V27" s="128" t="s">
        <v>17919</v>
      </c>
      <c r="W27" s="128" t="s">
        <v>17920</v>
      </c>
      <c r="X27" s="128" t="s">
        <v>17921</v>
      </c>
      <c r="Y27" s="128" t="s">
        <v>17922</v>
      </c>
      <c r="Z27" s="128" t="s">
        <v>17923</v>
      </c>
      <c r="AA27" s="128" t="s">
        <v>17924</v>
      </c>
      <c r="AB27" s="128" t="s">
        <v>17925</v>
      </c>
      <c r="AC27" s="128" t="s">
        <v>17926</v>
      </c>
      <c r="AD27" s="128" t="s">
        <v>17927</v>
      </c>
      <c r="AE27" s="128" t="s">
        <v>17928</v>
      </c>
      <c r="AF27" s="128" t="s">
        <v>17929</v>
      </c>
    </row>
    <row r="28" spans="3:32" ht="319" x14ac:dyDescent="0.35">
      <c r="C28" s="128" t="s">
        <v>752</v>
      </c>
      <c r="E28" s="128" t="s">
        <v>753</v>
      </c>
      <c r="F28" s="128" t="s">
        <v>17930</v>
      </c>
      <c r="G28" s="128" t="s">
        <v>17931</v>
      </c>
      <c r="H28" s="128" t="s">
        <v>756</v>
      </c>
      <c r="I28" s="128" t="s">
        <v>17932</v>
      </c>
      <c r="J28" s="128" t="s">
        <v>17933</v>
      </c>
      <c r="K28" s="128" t="s">
        <v>17934</v>
      </c>
      <c r="L28" s="128" t="s">
        <v>17935</v>
      </c>
      <c r="M28" s="128" t="s">
        <v>17936</v>
      </c>
      <c r="N28" s="128" t="s">
        <v>17937</v>
      </c>
      <c r="O28" s="128" t="s">
        <v>17938</v>
      </c>
      <c r="P28" s="128" t="s">
        <v>17939</v>
      </c>
      <c r="Q28" s="128" t="s">
        <v>17940</v>
      </c>
      <c r="R28" s="128" t="s">
        <v>17941</v>
      </c>
      <c r="S28" s="128" t="s">
        <v>17942</v>
      </c>
      <c r="T28" s="128" t="s">
        <v>17943</v>
      </c>
      <c r="U28" s="128" t="s">
        <v>17944</v>
      </c>
      <c r="V28" s="128" t="s">
        <v>17945</v>
      </c>
      <c r="W28" s="128" t="s">
        <v>17946</v>
      </c>
      <c r="X28" s="128" t="s">
        <v>17947</v>
      </c>
      <c r="Y28" s="128" t="s">
        <v>17948</v>
      </c>
      <c r="Z28" s="128" t="s">
        <v>17949</v>
      </c>
      <c r="AA28" s="128" t="s">
        <v>17950</v>
      </c>
      <c r="AB28" s="128" t="s">
        <v>17951</v>
      </c>
      <c r="AC28" s="128" t="s">
        <v>17952</v>
      </c>
      <c r="AD28" s="128" t="s">
        <v>17953</v>
      </c>
      <c r="AE28" s="128" t="s">
        <v>17954</v>
      </c>
      <c r="AF28" s="128" t="s">
        <v>17955</v>
      </c>
    </row>
    <row r="29" spans="3:32" ht="319" x14ac:dyDescent="0.35">
      <c r="C29" s="128" t="s">
        <v>781</v>
      </c>
      <c r="E29" s="128" t="s">
        <v>782</v>
      </c>
      <c r="F29" s="128" t="s">
        <v>17956</v>
      </c>
      <c r="G29" s="128" t="s">
        <v>17957</v>
      </c>
      <c r="H29" s="128" t="s">
        <v>785</v>
      </c>
      <c r="I29" s="128" t="s">
        <v>17958</v>
      </c>
      <c r="J29" s="128" t="s">
        <v>17959</v>
      </c>
      <c r="K29" s="128" t="s">
        <v>17960</v>
      </c>
      <c r="L29" s="128" t="s">
        <v>17961</v>
      </c>
      <c r="M29" s="128" t="s">
        <v>17962</v>
      </c>
      <c r="N29" s="128" t="s">
        <v>17963</v>
      </c>
      <c r="O29" s="128" t="s">
        <v>17964</v>
      </c>
      <c r="P29" s="128" t="s">
        <v>17965</v>
      </c>
      <c r="Q29" s="128" t="s">
        <v>17966</v>
      </c>
      <c r="R29" s="128" t="s">
        <v>17967</v>
      </c>
      <c r="S29" s="128" t="s">
        <v>17968</v>
      </c>
      <c r="T29" s="128" t="s">
        <v>17969</v>
      </c>
      <c r="U29" s="128" t="s">
        <v>17970</v>
      </c>
      <c r="V29" s="128" t="s">
        <v>17971</v>
      </c>
      <c r="W29" s="128" t="s">
        <v>17972</v>
      </c>
      <c r="X29" s="128" t="s">
        <v>17973</v>
      </c>
      <c r="Y29" s="128" t="s">
        <v>17974</v>
      </c>
      <c r="Z29" s="128" t="s">
        <v>17975</v>
      </c>
      <c r="AA29" s="128" t="s">
        <v>17976</v>
      </c>
      <c r="AB29" s="128" t="s">
        <v>17977</v>
      </c>
      <c r="AC29" s="128" t="s">
        <v>17978</v>
      </c>
      <c r="AD29" s="128" t="s">
        <v>17979</v>
      </c>
      <c r="AE29" s="128" t="s">
        <v>17980</v>
      </c>
      <c r="AF29" s="128" t="s">
        <v>17981</v>
      </c>
    </row>
    <row r="30" spans="3:32" ht="319" x14ac:dyDescent="0.35">
      <c r="C30" s="128" t="s">
        <v>810</v>
      </c>
      <c r="E30" s="128" t="s">
        <v>811</v>
      </c>
      <c r="F30" s="128" t="s">
        <v>17982</v>
      </c>
      <c r="G30" s="128" t="s">
        <v>17983</v>
      </c>
      <c r="H30" s="128" t="s">
        <v>814</v>
      </c>
      <c r="I30" s="128" t="s">
        <v>17984</v>
      </c>
      <c r="J30" s="128" t="s">
        <v>17985</v>
      </c>
      <c r="K30" s="128" t="s">
        <v>17986</v>
      </c>
      <c r="L30" s="128" t="s">
        <v>17987</v>
      </c>
      <c r="M30" s="128" t="s">
        <v>17988</v>
      </c>
      <c r="N30" s="128" t="s">
        <v>17989</v>
      </c>
      <c r="O30" s="128" t="s">
        <v>17990</v>
      </c>
      <c r="P30" s="128" t="s">
        <v>17991</v>
      </c>
      <c r="Q30" s="128" t="s">
        <v>17992</v>
      </c>
      <c r="R30" s="128" t="s">
        <v>17993</v>
      </c>
      <c r="S30" s="128" t="s">
        <v>17994</v>
      </c>
      <c r="T30" s="128" t="s">
        <v>17995</v>
      </c>
      <c r="U30" s="128" t="s">
        <v>17996</v>
      </c>
      <c r="V30" s="128" t="s">
        <v>17997</v>
      </c>
      <c r="W30" s="128" t="s">
        <v>17998</v>
      </c>
      <c r="X30" s="128" t="s">
        <v>17999</v>
      </c>
      <c r="Y30" s="128" t="s">
        <v>18000</v>
      </c>
      <c r="Z30" s="128" t="s">
        <v>18001</v>
      </c>
      <c r="AA30" s="128" t="s">
        <v>18002</v>
      </c>
      <c r="AB30" s="128" t="s">
        <v>18003</v>
      </c>
      <c r="AC30" s="128" t="s">
        <v>18004</v>
      </c>
      <c r="AD30" s="128" t="s">
        <v>18005</v>
      </c>
      <c r="AE30" s="128" t="s">
        <v>18006</v>
      </c>
      <c r="AF30" s="128" t="s">
        <v>18007</v>
      </c>
    </row>
    <row r="31" spans="3:32" ht="319" x14ac:dyDescent="0.35">
      <c r="C31" s="128" t="s">
        <v>839</v>
      </c>
      <c r="E31" s="128" t="s">
        <v>840</v>
      </c>
      <c r="F31" s="128" t="s">
        <v>18008</v>
      </c>
      <c r="G31" s="128" t="s">
        <v>18009</v>
      </c>
      <c r="H31" s="128" t="s">
        <v>843</v>
      </c>
      <c r="I31" s="128" t="s">
        <v>18010</v>
      </c>
      <c r="J31" s="128" t="s">
        <v>18011</v>
      </c>
      <c r="K31" s="128" t="s">
        <v>18012</v>
      </c>
      <c r="L31" s="128" t="s">
        <v>18013</v>
      </c>
      <c r="M31" s="128" t="s">
        <v>18014</v>
      </c>
      <c r="N31" s="128" t="s">
        <v>18015</v>
      </c>
      <c r="O31" s="128" t="s">
        <v>18016</v>
      </c>
      <c r="P31" s="128" t="s">
        <v>18017</v>
      </c>
      <c r="Q31" s="128" t="s">
        <v>18018</v>
      </c>
      <c r="R31" s="128" t="s">
        <v>18019</v>
      </c>
      <c r="S31" s="128" t="s">
        <v>18020</v>
      </c>
      <c r="T31" s="128" t="s">
        <v>18021</v>
      </c>
      <c r="U31" s="128" t="s">
        <v>18022</v>
      </c>
      <c r="V31" s="128" t="s">
        <v>18023</v>
      </c>
      <c r="W31" s="128" t="s">
        <v>18024</v>
      </c>
      <c r="X31" s="128" t="s">
        <v>18025</v>
      </c>
      <c r="Y31" s="128" t="s">
        <v>18026</v>
      </c>
      <c r="Z31" s="128" t="s">
        <v>18027</v>
      </c>
      <c r="AA31" s="128" t="s">
        <v>18028</v>
      </c>
      <c r="AB31" s="128" t="s">
        <v>18029</v>
      </c>
      <c r="AC31" s="128" t="s">
        <v>18030</v>
      </c>
      <c r="AD31" s="128" t="s">
        <v>18031</v>
      </c>
      <c r="AE31" s="128" t="s">
        <v>18032</v>
      </c>
      <c r="AF31" s="128" t="s">
        <v>18033</v>
      </c>
    </row>
    <row r="32" spans="3:32" ht="319" x14ac:dyDescent="0.35">
      <c r="C32" s="128" t="s">
        <v>868</v>
      </c>
      <c r="E32" s="128" t="s">
        <v>869</v>
      </c>
      <c r="F32" s="128" t="s">
        <v>18034</v>
      </c>
      <c r="G32" s="128" t="s">
        <v>18035</v>
      </c>
      <c r="H32" s="128" t="s">
        <v>872</v>
      </c>
      <c r="I32" s="128" t="s">
        <v>18036</v>
      </c>
      <c r="J32" s="128" t="s">
        <v>18037</v>
      </c>
      <c r="K32" s="128" t="s">
        <v>18038</v>
      </c>
      <c r="L32" s="128" t="s">
        <v>18039</v>
      </c>
      <c r="M32" s="128" t="s">
        <v>18040</v>
      </c>
      <c r="N32" s="128" t="s">
        <v>18041</v>
      </c>
      <c r="O32" s="128" t="s">
        <v>18042</v>
      </c>
      <c r="P32" s="128" t="s">
        <v>18043</v>
      </c>
      <c r="Q32" s="128" t="s">
        <v>18044</v>
      </c>
      <c r="R32" s="128" t="s">
        <v>18045</v>
      </c>
      <c r="S32" s="128" t="s">
        <v>18046</v>
      </c>
      <c r="T32" s="128" t="s">
        <v>18047</v>
      </c>
      <c r="U32" s="128" t="s">
        <v>18048</v>
      </c>
      <c r="V32" s="128" t="s">
        <v>18049</v>
      </c>
      <c r="W32" s="128" t="s">
        <v>18050</v>
      </c>
      <c r="X32" s="128" t="s">
        <v>18051</v>
      </c>
      <c r="Y32" s="128" t="s">
        <v>18052</v>
      </c>
      <c r="Z32" s="128" t="s">
        <v>18053</v>
      </c>
      <c r="AA32" s="128" t="s">
        <v>18054</v>
      </c>
      <c r="AB32" s="128" t="s">
        <v>18055</v>
      </c>
      <c r="AC32" s="128" t="s">
        <v>18056</v>
      </c>
      <c r="AD32" s="128" t="s">
        <v>18057</v>
      </c>
      <c r="AE32" s="128" t="s">
        <v>18058</v>
      </c>
      <c r="AF32" s="128" t="s">
        <v>18059</v>
      </c>
    </row>
    <row r="33" spans="3:32" ht="319" x14ac:dyDescent="0.35">
      <c r="C33" s="128" t="s">
        <v>897</v>
      </c>
      <c r="E33" s="128" t="s">
        <v>898</v>
      </c>
      <c r="F33" s="128" t="s">
        <v>18060</v>
      </c>
      <c r="G33" s="128" t="s">
        <v>18061</v>
      </c>
      <c r="H33" s="128" t="s">
        <v>901</v>
      </c>
      <c r="I33" s="128" t="s">
        <v>18062</v>
      </c>
      <c r="J33" s="128" t="s">
        <v>18063</v>
      </c>
      <c r="K33" s="128" t="s">
        <v>18064</v>
      </c>
      <c r="L33" s="128" t="s">
        <v>18065</v>
      </c>
      <c r="M33" s="128" t="s">
        <v>18066</v>
      </c>
      <c r="N33" s="128" t="s">
        <v>18067</v>
      </c>
      <c r="O33" s="128" t="s">
        <v>18068</v>
      </c>
      <c r="P33" s="128" t="s">
        <v>18069</v>
      </c>
      <c r="Q33" s="128" t="s">
        <v>18070</v>
      </c>
      <c r="R33" s="128" t="s">
        <v>18071</v>
      </c>
      <c r="S33" s="128" t="s">
        <v>18072</v>
      </c>
      <c r="T33" s="128" t="s">
        <v>18073</v>
      </c>
      <c r="U33" s="128" t="s">
        <v>18074</v>
      </c>
      <c r="V33" s="128" t="s">
        <v>18075</v>
      </c>
      <c r="W33" s="128" t="s">
        <v>18076</v>
      </c>
      <c r="X33" s="128" t="s">
        <v>18077</v>
      </c>
      <c r="Y33" s="128" t="s">
        <v>18078</v>
      </c>
      <c r="Z33" s="128" t="s">
        <v>18079</v>
      </c>
      <c r="AA33" s="128" t="s">
        <v>18080</v>
      </c>
      <c r="AB33" s="128" t="s">
        <v>18081</v>
      </c>
      <c r="AC33" s="128" t="s">
        <v>18082</v>
      </c>
      <c r="AD33" s="128" t="s">
        <v>18083</v>
      </c>
      <c r="AE33" s="128" t="s">
        <v>18084</v>
      </c>
      <c r="AF33" s="128" t="s">
        <v>18085</v>
      </c>
    </row>
    <row r="34" spans="3:32" ht="319" x14ac:dyDescent="0.35">
      <c r="C34" s="128" t="s">
        <v>926</v>
      </c>
      <c r="E34" s="128" t="s">
        <v>927</v>
      </c>
      <c r="F34" s="128" t="s">
        <v>18086</v>
      </c>
      <c r="G34" s="128" t="s">
        <v>18087</v>
      </c>
      <c r="H34" s="128" t="s">
        <v>930</v>
      </c>
      <c r="I34" s="128" t="s">
        <v>18088</v>
      </c>
      <c r="J34" s="128" t="s">
        <v>18089</v>
      </c>
      <c r="K34" s="128" t="s">
        <v>18090</v>
      </c>
      <c r="L34" s="128" t="s">
        <v>18091</v>
      </c>
      <c r="M34" s="128" t="s">
        <v>18092</v>
      </c>
      <c r="N34" s="128" t="s">
        <v>18093</v>
      </c>
      <c r="O34" s="128" t="s">
        <v>18094</v>
      </c>
      <c r="P34" s="128" t="s">
        <v>18095</v>
      </c>
      <c r="Q34" s="128" t="s">
        <v>18096</v>
      </c>
      <c r="R34" s="128" t="s">
        <v>18097</v>
      </c>
      <c r="S34" s="128" t="s">
        <v>18098</v>
      </c>
      <c r="T34" s="128" t="s">
        <v>18099</v>
      </c>
      <c r="U34" s="128" t="s">
        <v>18100</v>
      </c>
      <c r="V34" s="128" t="s">
        <v>18101</v>
      </c>
      <c r="W34" s="128" t="s">
        <v>18102</v>
      </c>
      <c r="X34" s="128" t="s">
        <v>18103</v>
      </c>
      <c r="Y34" s="128" t="s">
        <v>18104</v>
      </c>
      <c r="Z34" s="128" t="s">
        <v>18105</v>
      </c>
      <c r="AA34" s="128" t="s">
        <v>18106</v>
      </c>
      <c r="AB34" s="128" t="s">
        <v>18107</v>
      </c>
      <c r="AC34" s="128" t="s">
        <v>18108</v>
      </c>
      <c r="AD34" s="128" t="s">
        <v>18109</v>
      </c>
      <c r="AE34" s="128" t="s">
        <v>18110</v>
      </c>
      <c r="AF34" s="128" t="s">
        <v>18111</v>
      </c>
    </row>
    <row r="35" spans="3:32" ht="319" x14ac:dyDescent="0.35">
      <c r="C35" s="128" t="s">
        <v>955</v>
      </c>
      <c r="E35" s="128" t="s">
        <v>956</v>
      </c>
      <c r="F35" s="128" t="s">
        <v>18112</v>
      </c>
      <c r="G35" s="128" t="s">
        <v>18113</v>
      </c>
      <c r="H35" s="128" t="s">
        <v>959</v>
      </c>
      <c r="I35" s="128" t="s">
        <v>18114</v>
      </c>
      <c r="J35" s="128" t="s">
        <v>18115</v>
      </c>
      <c r="K35" s="128" t="s">
        <v>18116</v>
      </c>
      <c r="L35" s="128" t="s">
        <v>18117</v>
      </c>
      <c r="M35" s="128" t="s">
        <v>18118</v>
      </c>
      <c r="N35" s="128" t="s">
        <v>18119</v>
      </c>
      <c r="O35" s="128" t="s">
        <v>18120</v>
      </c>
      <c r="P35" s="128" t="s">
        <v>18121</v>
      </c>
      <c r="Q35" s="128" t="s">
        <v>18122</v>
      </c>
      <c r="R35" s="128" t="s">
        <v>18123</v>
      </c>
      <c r="S35" s="128" t="s">
        <v>18124</v>
      </c>
      <c r="T35" s="128" t="s">
        <v>18125</v>
      </c>
      <c r="U35" s="128" t="s">
        <v>18126</v>
      </c>
      <c r="V35" s="128" t="s">
        <v>18127</v>
      </c>
      <c r="W35" s="128" t="s">
        <v>18128</v>
      </c>
      <c r="X35" s="128" t="s">
        <v>18129</v>
      </c>
      <c r="Y35" s="128" t="s">
        <v>18130</v>
      </c>
      <c r="Z35" s="128" t="s">
        <v>18131</v>
      </c>
      <c r="AA35" s="128" t="s">
        <v>18132</v>
      </c>
      <c r="AB35" s="128" t="s">
        <v>18133</v>
      </c>
      <c r="AC35" s="128" t="s">
        <v>18134</v>
      </c>
      <c r="AD35" s="128" t="s">
        <v>18135</v>
      </c>
      <c r="AE35" s="128" t="s">
        <v>18136</v>
      </c>
      <c r="AF35" s="128" t="s">
        <v>18137</v>
      </c>
    </row>
    <row r="36" spans="3:32" ht="319" x14ac:dyDescent="0.35">
      <c r="C36" s="128" t="s">
        <v>984</v>
      </c>
      <c r="E36" s="128" t="s">
        <v>985</v>
      </c>
      <c r="F36" s="128" t="s">
        <v>18138</v>
      </c>
      <c r="G36" s="128" t="s">
        <v>18139</v>
      </c>
      <c r="H36" s="128" t="s">
        <v>988</v>
      </c>
      <c r="I36" s="128" t="s">
        <v>18140</v>
      </c>
      <c r="J36" s="128" t="s">
        <v>18141</v>
      </c>
      <c r="K36" s="128" t="s">
        <v>18142</v>
      </c>
      <c r="L36" s="128" t="s">
        <v>18143</v>
      </c>
      <c r="M36" s="128" t="s">
        <v>18144</v>
      </c>
      <c r="N36" s="128" t="s">
        <v>18145</v>
      </c>
      <c r="O36" s="128" t="s">
        <v>18146</v>
      </c>
      <c r="P36" s="128" t="s">
        <v>18147</v>
      </c>
      <c r="Q36" s="128" t="s">
        <v>18148</v>
      </c>
      <c r="R36" s="128" t="s">
        <v>18149</v>
      </c>
      <c r="S36" s="128" t="s">
        <v>18150</v>
      </c>
      <c r="T36" s="128" t="s">
        <v>18151</v>
      </c>
      <c r="U36" s="128" t="s">
        <v>18152</v>
      </c>
      <c r="V36" s="128" t="s">
        <v>18153</v>
      </c>
      <c r="W36" s="128" t="s">
        <v>18154</v>
      </c>
      <c r="X36" s="128" t="s">
        <v>18155</v>
      </c>
      <c r="Y36" s="128" t="s">
        <v>18156</v>
      </c>
      <c r="Z36" s="128" t="s">
        <v>18157</v>
      </c>
      <c r="AA36" s="128" t="s">
        <v>18158</v>
      </c>
      <c r="AB36" s="128" t="s">
        <v>18159</v>
      </c>
      <c r="AC36" s="128" t="s">
        <v>18160</v>
      </c>
      <c r="AD36" s="128" t="s">
        <v>18161</v>
      </c>
      <c r="AE36" s="128" t="s">
        <v>18162</v>
      </c>
      <c r="AF36" s="128" t="s">
        <v>18163</v>
      </c>
    </row>
    <row r="37" spans="3:32" ht="319" x14ac:dyDescent="0.35">
      <c r="C37" s="128" t="s">
        <v>1013</v>
      </c>
      <c r="E37" s="128" t="s">
        <v>1014</v>
      </c>
      <c r="F37" s="128" t="s">
        <v>18164</v>
      </c>
      <c r="G37" s="128" t="s">
        <v>18165</v>
      </c>
      <c r="H37" s="128" t="s">
        <v>1017</v>
      </c>
      <c r="I37" s="128" t="s">
        <v>18166</v>
      </c>
      <c r="J37" s="128" t="s">
        <v>18167</v>
      </c>
      <c r="K37" s="128" t="s">
        <v>18168</v>
      </c>
      <c r="L37" s="128" t="s">
        <v>18169</v>
      </c>
      <c r="M37" s="128" t="s">
        <v>18170</v>
      </c>
      <c r="N37" s="128" t="s">
        <v>18171</v>
      </c>
      <c r="O37" s="128" t="s">
        <v>18172</v>
      </c>
      <c r="P37" s="128" t="s">
        <v>18173</v>
      </c>
      <c r="Q37" s="128" t="s">
        <v>18174</v>
      </c>
      <c r="R37" s="128" t="s">
        <v>18175</v>
      </c>
      <c r="S37" s="128" t="s">
        <v>18176</v>
      </c>
      <c r="T37" s="128" t="s">
        <v>18177</v>
      </c>
      <c r="U37" s="128" t="s">
        <v>18178</v>
      </c>
      <c r="V37" s="128" t="s">
        <v>18179</v>
      </c>
      <c r="W37" s="128" t="s">
        <v>18180</v>
      </c>
      <c r="X37" s="128" t="s">
        <v>18181</v>
      </c>
      <c r="Y37" s="128" t="s">
        <v>18182</v>
      </c>
      <c r="Z37" s="128" t="s">
        <v>18183</v>
      </c>
      <c r="AA37" s="128" t="s">
        <v>18184</v>
      </c>
      <c r="AB37" s="128" t="s">
        <v>18185</v>
      </c>
      <c r="AC37" s="128" t="s">
        <v>18186</v>
      </c>
      <c r="AD37" s="128" t="s">
        <v>18187</v>
      </c>
      <c r="AE37" s="128" t="s">
        <v>18188</v>
      </c>
      <c r="AF37" s="128" t="s">
        <v>18189</v>
      </c>
    </row>
    <row r="38" spans="3:32" ht="319" x14ac:dyDescent="0.35">
      <c r="C38" s="128" t="s">
        <v>1042</v>
      </c>
      <c r="E38" s="128" t="s">
        <v>1043</v>
      </c>
      <c r="F38" s="128" t="s">
        <v>18190</v>
      </c>
      <c r="G38" s="128" t="s">
        <v>18191</v>
      </c>
      <c r="H38" s="128" t="s">
        <v>1046</v>
      </c>
      <c r="I38" s="128" t="s">
        <v>18192</v>
      </c>
      <c r="J38" s="128" t="s">
        <v>18193</v>
      </c>
      <c r="K38" s="128" t="s">
        <v>18194</v>
      </c>
      <c r="L38" s="128" t="s">
        <v>18195</v>
      </c>
      <c r="M38" s="128" t="s">
        <v>18196</v>
      </c>
      <c r="N38" s="128" t="s">
        <v>18197</v>
      </c>
      <c r="O38" s="128" t="s">
        <v>18198</v>
      </c>
      <c r="P38" s="128" t="s">
        <v>18199</v>
      </c>
      <c r="Q38" s="128" t="s">
        <v>18200</v>
      </c>
      <c r="R38" s="128" t="s">
        <v>18201</v>
      </c>
      <c r="S38" s="128" t="s">
        <v>18202</v>
      </c>
      <c r="T38" s="128" t="s">
        <v>18203</v>
      </c>
      <c r="U38" s="128" t="s">
        <v>18204</v>
      </c>
      <c r="V38" s="128" t="s">
        <v>18205</v>
      </c>
      <c r="W38" s="128" t="s">
        <v>18206</v>
      </c>
      <c r="X38" s="128" t="s">
        <v>18207</v>
      </c>
      <c r="Y38" s="128" t="s">
        <v>18208</v>
      </c>
      <c r="Z38" s="128" t="s">
        <v>18209</v>
      </c>
      <c r="AA38" s="128" t="s">
        <v>18210</v>
      </c>
      <c r="AB38" s="128" t="s">
        <v>18211</v>
      </c>
      <c r="AC38" s="128" t="s">
        <v>18212</v>
      </c>
      <c r="AD38" s="128" t="s">
        <v>18213</v>
      </c>
      <c r="AE38" s="128" t="s">
        <v>18214</v>
      </c>
      <c r="AF38" s="128" t="s">
        <v>18215</v>
      </c>
    </row>
    <row r="39" spans="3:32" ht="319" x14ac:dyDescent="0.35">
      <c r="C39" s="128" t="s">
        <v>1071</v>
      </c>
      <c r="E39" s="128" t="s">
        <v>1072</v>
      </c>
      <c r="F39" s="128" t="s">
        <v>18216</v>
      </c>
      <c r="G39" s="128" t="s">
        <v>18217</v>
      </c>
      <c r="H39" s="128" t="s">
        <v>1075</v>
      </c>
      <c r="I39" s="128" t="s">
        <v>18218</v>
      </c>
      <c r="J39" s="128" t="s">
        <v>18219</v>
      </c>
      <c r="K39" s="128" t="s">
        <v>18220</v>
      </c>
      <c r="L39" s="128" t="s">
        <v>18221</v>
      </c>
      <c r="M39" s="128" t="s">
        <v>18222</v>
      </c>
      <c r="N39" s="128" t="s">
        <v>18223</v>
      </c>
      <c r="O39" s="128" t="s">
        <v>18224</v>
      </c>
      <c r="P39" s="128" t="s">
        <v>18225</v>
      </c>
      <c r="Q39" s="128" t="s">
        <v>18226</v>
      </c>
      <c r="R39" s="128" t="s">
        <v>18227</v>
      </c>
      <c r="S39" s="128" t="s">
        <v>18228</v>
      </c>
      <c r="T39" s="128" t="s">
        <v>18229</v>
      </c>
      <c r="U39" s="128" t="s">
        <v>18230</v>
      </c>
      <c r="V39" s="128" t="s">
        <v>18231</v>
      </c>
      <c r="W39" s="128" t="s">
        <v>18232</v>
      </c>
      <c r="X39" s="128" t="s">
        <v>18233</v>
      </c>
      <c r="Y39" s="128" t="s">
        <v>18234</v>
      </c>
      <c r="Z39" s="128" t="s">
        <v>18235</v>
      </c>
      <c r="AA39" s="128" t="s">
        <v>18236</v>
      </c>
      <c r="AB39" s="128" t="s">
        <v>18237</v>
      </c>
      <c r="AC39" s="128" t="s">
        <v>18238</v>
      </c>
      <c r="AD39" s="128" t="s">
        <v>18239</v>
      </c>
      <c r="AE39" s="128" t="s">
        <v>18240</v>
      </c>
      <c r="AF39" s="128" t="s">
        <v>18241</v>
      </c>
    </row>
    <row r="40" spans="3:32" ht="319" x14ac:dyDescent="0.35">
      <c r="C40" s="128" t="s">
        <v>1100</v>
      </c>
      <c r="E40" s="128" t="s">
        <v>1101</v>
      </c>
      <c r="F40" s="128" t="s">
        <v>18242</v>
      </c>
      <c r="G40" s="128" t="s">
        <v>18243</v>
      </c>
      <c r="H40" s="128" t="s">
        <v>1104</v>
      </c>
      <c r="I40" s="128" t="s">
        <v>18244</v>
      </c>
      <c r="J40" s="128" t="s">
        <v>18245</v>
      </c>
      <c r="K40" s="128" t="s">
        <v>18246</v>
      </c>
      <c r="L40" s="128" t="s">
        <v>18247</v>
      </c>
      <c r="M40" s="128" t="s">
        <v>18248</v>
      </c>
      <c r="N40" s="128" t="s">
        <v>18249</v>
      </c>
      <c r="O40" s="128" t="s">
        <v>18250</v>
      </c>
      <c r="P40" s="128" t="s">
        <v>18251</v>
      </c>
      <c r="Q40" s="128" t="s">
        <v>18252</v>
      </c>
      <c r="R40" s="128" t="s">
        <v>18253</v>
      </c>
      <c r="S40" s="128" t="s">
        <v>18254</v>
      </c>
      <c r="T40" s="128" t="s">
        <v>18255</v>
      </c>
      <c r="U40" s="128" t="s">
        <v>18256</v>
      </c>
      <c r="V40" s="128" t="s">
        <v>18257</v>
      </c>
      <c r="W40" s="128" t="s">
        <v>18258</v>
      </c>
      <c r="X40" s="128" t="s">
        <v>18259</v>
      </c>
      <c r="Y40" s="128" t="s">
        <v>18260</v>
      </c>
      <c r="Z40" s="128" t="s">
        <v>18261</v>
      </c>
      <c r="AA40" s="128" t="s">
        <v>18262</v>
      </c>
      <c r="AB40" s="128" t="s">
        <v>18263</v>
      </c>
      <c r="AC40" s="128" t="s">
        <v>18264</v>
      </c>
      <c r="AD40" s="128" t="s">
        <v>18265</v>
      </c>
      <c r="AE40" s="128" t="s">
        <v>18266</v>
      </c>
      <c r="AF40" s="128" t="s">
        <v>18267</v>
      </c>
    </row>
    <row r="41" spans="3:32" ht="319" x14ac:dyDescent="0.35">
      <c r="C41" s="128" t="s">
        <v>1129</v>
      </c>
      <c r="E41" s="128" t="s">
        <v>1130</v>
      </c>
      <c r="F41" s="128" t="s">
        <v>18268</v>
      </c>
      <c r="G41" s="128" t="s">
        <v>18269</v>
      </c>
      <c r="H41" s="128" t="s">
        <v>1133</v>
      </c>
      <c r="I41" s="128" t="s">
        <v>18270</v>
      </c>
      <c r="J41" s="128" t="s">
        <v>18271</v>
      </c>
      <c r="K41" s="128" t="s">
        <v>18272</v>
      </c>
      <c r="L41" s="128" t="s">
        <v>18273</v>
      </c>
      <c r="M41" s="128" t="s">
        <v>18274</v>
      </c>
      <c r="N41" s="128" t="s">
        <v>18275</v>
      </c>
      <c r="O41" s="128" t="s">
        <v>18276</v>
      </c>
      <c r="P41" s="128" t="s">
        <v>18277</v>
      </c>
      <c r="Q41" s="128" t="s">
        <v>18278</v>
      </c>
      <c r="R41" s="128" t="s">
        <v>18279</v>
      </c>
      <c r="S41" s="128" t="s">
        <v>18280</v>
      </c>
      <c r="T41" s="128" t="s">
        <v>18281</v>
      </c>
      <c r="U41" s="128" t="s">
        <v>18282</v>
      </c>
      <c r="V41" s="128" t="s">
        <v>18283</v>
      </c>
      <c r="W41" s="128" t="s">
        <v>18284</v>
      </c>
      <c r="X41" s="128" t="s">
        <v>18285</v>
      </c>
      <c r="Y41" s="128" t="s">
        <v>18286</v>
      </c>
      <c r="Z41" s="128" t="s">
        <v>18287</v>
      </c>
      <c r="AA41" s="128" t="s">
        <v>18288</v>
      </c>
      <c r="AB41" s="128" t="s">
        <v>18289</v>
      </c>
      <c r="AC41" s="128" t="s">
        <v>18290</v>
      </c>
      <c r="AD41" s="128" t="s">
        <v>18291</v>
      </c>
      <c r="AE41" s="128" t="s">
        <v>18292</v>
      </c>
      <c r="AF41" s="128" t="s">
        <v>18293</v>
      </c>
    </row>
    <row r="42" spans="3:32" ht="319" x14ac:dyDescent="0.35">
      <c r="C42" s="128" t="s">
        <v>1158</v>
      </c>
      <c r="E42" s="128" t="s">
        <v>1159</v>
      </c>
      <c r="F42" s="128" t="s">
        <v>18294</v>
      </c>
      <c r="G42" s="128" t="s">
        <v>18295</v>
      </c>
      <c r="H42" s="128" t="s">
        <v>1162</v>
      </c>
      <c r="I42" s="128" t="s">
        <v>18296</v>
      </c>
      <c r="J42" s="128" t="s">
        <v>18297</v>
      </c>
      <c r="K42" s="128" t="s">
        <v>18298</v>
      </c>
      <c r="L42" s="128" t="s">
        <v>18299</v>
      </c>
      <c r="M42" s="128" t="s">
        <v>18300</v>
      </c>
      <c r="N42" s="128" t="s">
        <v>18301</v>
      </c>
      <c r="O42" s="128" t="s">
        <v>18302</v>
      </c>
      <c r="P42" s="128" t="s">
        <v>18303</v>
      </c>
      <c r="Q42" s="128" t="s">
        <v>18304</v>
      </c>
      <c r="R42" s="128" t="s">
        <v>18305</v>
      </c>
      <c r="S42" s="128" t="s">
        <v>18306</v>
      </c>
      <c r="T42" s="128" t="s">
        <v>18307</v>
      </c>
      <c r="U42" s="128" t="s">
        <v>18308</v>
      </c>
      <c r="V42" s="128" t="s">
        <v>18309</v>
      </c>
      <c r="W42" s="128" t="s">
        <v>18310</v>
      </c>
      <c r="X42" s="128" t="s">
        <v>18311</v>
      </c>
      <c r="Y42" s="128" t="s">
        <v>18312</v>
      </c>
      <c r="Z42" s="128" t="s">
        <v>18313</v>
      </c>
      <c r="AA42" s="128" t="s">
        <v>18314</v>
      </c>
      <c r="AB42" s="128" t="s">
        <v>18315</v>
      </c>
      <c r="AC42" s="128" t="s">
        <v>18316</v>
      </c>
      <c r="AD42" s="128" t="s">
        <v>18317</v>
      </c>
      <c r="AE42" s="128" t="s">
        <v>18318</v>
      </c>
      <c r="AF42" s="128" t="s">
        <v>18319</v>
      </c>
    </row>
    <row r="43" spans="3:32" ht="319" x14ac:dyDescent="0.35">
      <c r="C43" s="128" t="s">
        <v>1187</v>
      </c>
      <c r="E43" s="128" t="s">
        <v>1188</v>
      </c>
      <c r="F43" s="128" t="s">
        <v>18320</v>
      </c>
      <c r="G43" s="128" t="s">
        <v>18321</v>
      </c>
      <c r="H43" s="128" t="s">
        <v>1191</v>
      </c>
      <c r="I43" s="128" t="s">
        <v>18322</v>
      </c>
      <c r="J43" s="128" t="s">
        <v>18323</v>
      </c>
      <c r="K43" s="128" t="s">
        <v>18324</v>
      </c>
      <c r="L43" s="128" t="s">
        <v>18325</v>
      </c>
      <c r="M43" s="128" t="s">
        <v>18326</v>
      </c>
      <c r="N43" s="128" t="s">
        <v>18327</v>
      </c>
      <c r="O43" s="128" t="s">
        <v>18328</v>
      </c>
      <c r="P43" s="128" t="s">
        <v>18329</v>
      </c>
      <c r="Q43" s="128" t="s">
        <v>18330</v>
      </c>
      <c r="R43" s="128" t="s">
        <v>18331</v>
      </c>
      <c r="S43" s="128" t="s">
        <v>18332</v>
      </c>
      <c r="T43" s="128" t="s">
        <v>18333</v>
      </c>
      <c r="U43" s="128" t="s">
        <v>18334</v>
      </c>
      <c r="V43" s="128" t="s">
        <v>18335</v>
      </c>
      <c r="W43" s="128" t="s">
        <v>18336</v>
      </c>
      <c r="X43" s="128" t="s">
        <v>18337</v>
      </c>
      <c r="Y43" s="128" t="s">
        <v>18338</v>
      </c>
      <c r="Z43" s="128" t="s">
        <v>18339</v>
      </c>
      <c r="AA43" s="128" t="s">
        <v>18340</v>
      </c>
      <c r="AB43" s="128" t="s">
        <v>18341</v>
      </c>
      <c r="AC43" s="128" t="s">
        <v>18342</v>
      </c>
      <c r="AD43" s="128" t="s">
        <v>18343</v>
      </c>
      <c r="AE43" s="128" t="s">
        <v>18344</v>
      </c>
      <c r="AF43" s="128" t="s">
        <v>18345</v>
      </c>
    </row>
    <row r="44" spans="3:32" ht="319" x14ac:dyDescent="0.35">
      <c r="C44" s="128" t="s">
        <v>1216</v>
      </c>
      <c r="E44" s="128" t="s">
        <v>1217</v>
      </c>
      <c r="F44" s="128" t="s">
        <v>18346</v>
      </c>
      <c r="G44" s="128" t="s">
        <v>18347</v>
      </c>
      <c r="H44" s="128" t="s">
        <v>1220</v>
      </c>
      <c r="I44" s="128" t="s">
        <v>18348</v>
      </c>
      <c r="J44" s="128" t="s">
        <v>18349</v>
      </c>
      <c r="K44" s="128" t="s">
        <v>18350</v>
      </c>
      <c r="L44" s="128" t="s">
        <v>18351</v>
      </c>
      <c r="M44" s="128" t="s">
        <v>18352</v>
      </c>
      <c r="N44" s="128" t="s">
        <v>18353</v>
      </c>
      <c r="O44" s="128" t="s">
        <v>18354</v>
      </c>
      <c r="P44" s="128" t="s">
        <v>18355</v>
      </c>
      <c r="Q44" s="128" t="s">
        <v>18356</v>
      </c>
      <c r="R44" s="128" t="s">
        <v>18357</v>
      </c>
      <c r="S44" s="128" t="s">
        <v>18358</v>
      </c>
      <c r="T44" s="128" t="s">
        <v>18359</v>
      </c>
      <c r="U44" s="128" t="s">
        <v>18360</v>
      </c>
      <c r="V44" s="128" t="s">
        <v>18361</v>
      </c>
      <c r="W44" s="128" t="s">
        <v>18362</v>
      </c>
      <c r="X44" s="128" t="s">
        <v>18363</v>
      </c>
      <c r="Y44" s="128" t="s">
        <v>18364</v>
      </c>
      <c r="Z44" s="128" t="s">
        <v>18365</v>
      </c>
      <c r="AA44" s="128" t="s">
        <v>18366</v>
      </c>
      <c r="AB44" s="128" t="s">
        <v>18367</v>
      </c>
      <c r="AC44" s="128" t="s">
        <v>18368</v>
      </c>
      <c r="AD44" s="128" t="s">
        <v>18369</v>
      </c>
      <c r="AE44" s="128" t="s">
        <v>18370</v>
      </c>
      <c r="AF44" s="128" t="s">
        <v>18371</v>
      </c>
    </row>
    <row r="45" spans="3:32" ht="319" x14ac:dyDescent="0.35">
      <c r="C45" s="128" t="s">
        <v>1245</v>
      </c>
      <c r="E45" s="128" t="s">
        <v>1246</v>
      </c>
      <c r="F45" s="128" t="s">
        <v>18372</v>
      </c>
      <c r="G45" s="128" t="s">
        <v>18373</v>
      </c>
      <c r="H45" s="128" t="s">
        <v>1249</v>
      </c>
      <c r="I45" s="128" t="s">
        <v>18374</v>
      </c>
      <c r="J45" s="128" t="s">
        <v>18375</v>
      </c>
      <c r="K45" s="128" t="s">
        <v>18376</v>
      </c>
      <c r="L45" s="128" t="s">
        <v>18377</v>
      </c>
      <c r="M45" s="128" t="s">
        <v>18378</v>
      </c>
      <c r="N45" s="128" t="s">
        <v>18379</v>
      </c>
      <c r="O45" s="128" t="s">
        <v>18380</v>
      </c>
      <c r="P45" s="128" t="s">
        <v>18381</v>
      </c>
      <c r="Q45" s="128" t="s">
        <v>18382</v>
      </c>
      <c r="R45" s="128" t="s">
        <v>18383</v>
      </c>
      <c r="S45" s="128" t="s">
        <v>18384</v>
      </c>
      <c r="T45" s="128" t="s">
        <v>18385</v>
      </c>
      <c r="U45" s="128" t="s">
        <v>18386</v>
      </c>
      <c r="V45" s="128" t="s">
        <v>18387</v>
      </c>
      <c r="W45" s="128" t="s">
        <v>18388</v>
      </c>
      <c r="X45" s="128" t="s">
        <v>18389</v>
      </c>
      <c r="Y45" s="128" t="s">
        <v>18390</v>
      </c>
      <c r="Z45" s="128" t="s">
        <v>18391</v>
      </c>
      <c r="AA45" s="128" t="s">
        <v>18392</v>
      </c>
      <c r="AB45" s="128" t="s">
        <v>18393</v>
      </c>
      <c r="AC45" s="128" t="s">
        <v>18394</v>
      </c>
      <c r="AD45" s="128" t="s">
        <v>18395</v>
      </c>
      <c r="AE45" s="128" t="s">
        <v>18396</v>
      </c>
      <c r="AF45" s="128" t="s">
        <v>18397</v>
      </c>
    </row>
    <row r="46" spans="3:32" ht="319" x14ac:dyDescent="0.35">
      <c r="C46" s="128" t="s">
        <v>1274</v>
      </c>
      <c r="E46" s="128" t="s">
        <v>1275</v>
      </c>
      <c r="F46" s="128" t="s">
        <v>18398</v>
      </c>
      <c r="G46" s="128" t="s">
        <v>18399</v>
      </c>
      <c r="H46" s="128" t="s">
        <v>1278</v>
      </c>
      <c r="I46" s="128" t="s">
        <v>18400</v>
      </c>
      <c r="J46" s="128" t="s">
        <v>18401</v>
      </c>
      <c r="K46" s="128" t="s">
        <v>18402</v>
      </c>
      <c r="L46" s="128" t="s">
        <v>18403</v>
      </c>
      <c r="M46" s="128" t="s">
        <v>18404</v>
      </c>
      <c r="N46" s="128" t="s">
        <v>18405</v>
      </c>
      <c r="O46" s="128" t="s">
        <v>18406</v>
      </c>
      <c r="P46" s="128" t="s">
        <v>18407</v>
      </c>
      <c r="Q46" s="128" t="s">
        <v>18408</v>
      </c>
      <c r="R46" s="128" t="s">
        <v>18409</v>
      </c>
      <c r="S46" s="128" t="s">
        <v>18410</v>
      </c>
      <c r="T46" s="128" t="s">
        <v>18411</v>
      </c>
      <c r="U46" s="128" t="s">
        <v>18412</v>
      </c>
      <c r="V46" s="128" t="s">
        <v>18413</v>
      </c>
      <c r="W46" s="128" t="s">
        <v>18414</v>
      </c>
      <c r="X46" s="128" t="s">
        <v>18415</v>
      </c>
      <c r="Y46" s="128" t="s">
        <v>18416</v>
      </c>
      <c r="Z46" s="128" t="s">
        <v>18417</v>
      </c>
      <c r="AA46" s="128" t="s">
        <v>18418</v>
      </c>
      <c r="AB46" s="128" t="s">
        <v>18419</v>
      </c>
      <c r="AC46" s="128" t="s">
        <v>18420</v>
      </c>
      <c r="AD46" s="128" t="s">
        <v>18421</v>
      </c>
      <c r="AE46" s="128" t="s">
        <v>18422</v>
      </c>
      <c r="AF46" s="128" t="s">
        <v>18423</v>
      </c>
    </row>
    <row r="47" spans="3:32" ht="319" x14ac:dyDescent="0.35">
      <c r="C47" s="128" t="s">
        <v>1303</v>
      </c>
      <c r="E47" s="128" t="s">
        <v>1304</v>
      </c>
      <c r="F47" s="128" t="s">
        <v>18424</v>
      </c>
      <c r="G47" s="128" t="s">
        <v>18425</v>
      </c>
      <c r="H47" s="128" t="s">
        <v>1307</v>
      </c>
      <c r="I47" s="128" t="s">
        <v>18426</v>
      </c>
      <c r="J47" s="128" t="s">
        <v>18427</v>
      </c>
      <c r="K47" s="128" t="s">
        <v>18428</v>
      </c>
      <c r="L47" s="128" t="s">
        <v>18429</v>
      </c>
      <c r="M47" s="128" t="s">
        <v>18430</v>
      </c>
      <c r="N47" s="128" t="s">
        <v>18431</v>
      </c>
      <c r="O47" s="128" t="s">
        <v>18432</v>
      </c>
      <c r="P47" s="128" t="s">
        <v>18433</v>
      </c>
      <c r="Q47" s="128" t="s">
        <v>18434</v>
      </c>
      <c r="R47" s="128" t="s">
        <v>18435</v>
      </c>
      <c r="S47" s="128" t="s">
        <v>18436</v>
      </c>
      <c r="T47" s="128" t="s">
        <v>18437</v>
      </c>
      <c r="U47" s="128" t="s">
        <v>18438</v>
      </c>
      <c r="V47" s="128" t="s">
        <v>18439</v>
      </c>
      <c r="W47" s="128" t="s">
        <v>18440</v>
      </c>
      <c r="X47" s="128" t="s">
        <v>18441</v>
      </c>
      <c r="Y47" s="128" t="s">
        <v>18442</v>
      </c>
      <c r="Z47" s="128" t="s">
        <v>18443</v>
      </c>
      <c r="AA47" s="128" t="s">
        <v>18444</v>
      </c>
      <c r="AB47" s="128" t="s">
        <v>18445</v>
      </c>
      <c r="AC47" s="128" t="s">
        <v>18446</v>
      </c>
      <c r="AD47" s="128" t="s">
        <v>18447</v>
      </c>
      <c r="AE47" s="128" t="s">
        <v>18448</v>
      </c>
      <c r="AF47" s="128" t="s">
        <v>18449</v>
      </c>
    </row>
    <row r="48" spans="3:32" ht="319" x14ac:dyDescent="0.35">
      <c r="C48" s="128" t="s">
        <v>1332</v>
      </c>
      <c r="E48" s="128" t="s">
        <v>1333</v>
      </c>
      <c r="F48" s="128" t="s">
        <v>18450</v>
      </c>
      <c r="G48" s="128" t="s">
        <v>18451</v>
      </c>
      <c r="H48" s="128" t="s">
        <v>1336</v>
      </c>
      <c r="I48" s="128" t="s">
        <v>18452</v>
      </c>
      <c r="J48" s="128" t="s">
        <v>18453</v>
      </c>
      <c r="K48" s="128" t="s">
        <v>18454</v>
      </c>
      <c r="L48" s="128" t="s">
        <v>18455</v>
      </c>
      <c r="M48" s="128" t="s">
        <v>18456</v>
      </c>
      <c r="N48" s="128" t="s">
        <v>18457</v>
      </c>
      <c r="O48" s="128" t="s">
        <v>18458</v>
      </c>
      <c r="P48" s="128" t="s">
        <v>18459</v>
      </c>
      <c r="Q48" s="128" t="s">
        <v>18460</v>
      </c>
      <c r="R48" s="128" t="s">
        <v>18461</v>
      </c>
      <c r="S48" s="128" t="s">
        <v>18462</v>
      </c>
      <c r="T48" s="128" t="s">
        <v>18463</v>
      </c>
      <c r="U48" s="128" t="s">
        <v>18464</v>
      </c>
      <c r="V48" s="128" t="s">
        <v>18465</v>
      </c>
      <c r="W48" s="128" t="s">
        <v>18466</v>
      </c>
      <c r="X48" s="128" t="s">
        <v>18467</v>
      </c>
      <c r="Y48" s="128" t="s">
        <v>18468</v>
      </c>
      <c r="Z48" s="128" t="s">
        <v>18469</v>
      </c>
      <c r="AA48" s="128" t="s">
        <v>18470</v>
      </c>
      <c r="AB48" s="128" t="s">
        <v>18471</v>
      </c>
      <c r="AC48" s="128" t="s">
        <v>18472</v>
      </c>
      <c r="AD48" s="128" t="s">
        <v>18473</v>
      </c>
      <c r="AE48" s="128" t="s">
        <v>18474</v>
      </c>
      <c r="AF48" s="128" t="s">
        <v>18475</v>
      </c>
    </row>
    <row r="49" spans="3:32" ht="319" x14ac:dyDescent="0.35">
      <c r="C49" s="128" t="s">
        <v>1361</v>
      </c>
      <c r="E49" s="128" t="s">
        <v>1362</v>
      </c>
      <c r="F49" s="128" t="s">
        <v>18476</v>
      </c>
      <c r="G49" s="128" t="s">
        <v>18477</v>
      </c>
      <c r="H49" s="128" t="s">
        <v>1365</v>
      </c>
      <c r="I49" s="128" t="s">
        <v>18478</v>
      </c>
      <c r="J49" s="128" t="s">
        <v>18479</v>
      </c>
      <c r="K49" s="128" t="s">
        <v>18480</v>
      </c>
      <c r="L49" s="128" t="s">
        <v>18481</v>
      </c>
      <c r="M49" s="128" t="s">
        <v>18482</v>
      </c>
      <c r="N49" s="128" t="s">
        <v>18483</v>
      </c>
      <c r="O49" s="128" t="s">
        <v>18484</v>
      </c>
      <c r="P49" s="128" t="s">
        <v>18485</v>
      </c>
      <c r="Q49" s="128" t="s">
        <v>18486</v>
      </c>
      <c r="R49" s="128" t="s">
        <v>18487</v>
      </c>
      <c r="S49" s="128" t="s">
        <v>18488</v>
      </c>
      <c r="T49" s="128" t="s">
        <v>18489</v>
      </c>
      <c r="U49" s="128" t="s">
        <v>18490</v>
      </c>
      <c r="V49" s="128" t="s">
        <v>18491</v>
      </c>
      <c r="W49" s="128" t="s">
        <v>18492</v>
      </c>
      <c r="X49" s="128" t="s">
        <v>18493</v>
      </c>
      <c r="Y49" s="128" t="s">
        <v>18494</v>
      </c>
      <c r="Z49" s="128" t="s">
        <v>18495</v>
      </c>
      <c r="AA49" s="128" t="s">
        <v>18496</v>
      </c>
      <c r="AB49" s="128" t="s">
        <v>18497</v>
      </c>
      <c r="AC49" s="128" t="s">
        <v>18498</v>
      </c>
      <c r="AD49" s="128" t="s">
        <v>18499</v>
      </c>
      <c r="AE49" s="128" t="s">
        <v>18500</v>
      </c>
      <c r="AF49" s="128" t="s">
        <v>18501</v>
      </c>
    </row>
    <row r="50" spans="3:32" ht="319" x14ac:dyDescent="0.35">
      <c r="C50" s="128" t="s">
        <v>1390</v>
      </c>
      <c r="E50" s="128" t="s">
        <v>1391</v>
      </c>
      <c r="F50" s="128" t="s">
        <v>18502</v>
      </c>
      <c r="G50" s="128" t="s">
        <v>18503</v>
      </c>
      <c r="H50" s="128" t="s">
        <v>1394</v>
      </c>
      <c r="I50" s="128" t="s">
        <v>18504</v>
      </c>
      <c r="J50" s="128" t="s">
        <v>18505</v>
      </c>
      <c r="K50" s="128" t="s">
        <v>18506</v>
      </c>
      <c r="L50" s="128" t="s">
        <v>18507</v>
      </c>
      <c r="M50" s="128" t="s">
        <v>18508</v>
      </c>
      <c r="N50" s="128" t="s">
        <v>18509</v>
      </c>
      <c r="O50" s="128" t="s">
        <v>18510</v>
      </c>
      <c r="P50" s="128" t="s">
        <v>18511</v>
      </c>
      <c r="Q50" s="128" t="s">
        <v>18512</v>
      </c>
      <c r="R50" s="128" t="s">
        <v>18513</v>
      </c>
      <c r="S50" s="128" t="s">
        <v>18514</v>
      </c>
      <c r="T50" s="128" t="s">
        <v>18515</v>
      </c>
      <c r="U50" s="128" t="s">
        <v>18516</v>
      </c>
      <c r="V50" s="128" t="s">
        <v>18517</v>
      </c>
      <c r="W50" s="128" t="s">
        <v>18518</v>
      </c>
      <c r="X50" s="128" t="s">
        <v>18519</v>
      </c>
      <c r="Y50" s="128" t="s">
        <v>18520</v>
      </c>
      <c r="Z50" s="128" t="s">
        <v>18521</v>
      </c>
      <c r="AA50" s="128" t="s">
        <v>18522</v>
      </c>
      <c r="AB50" s="128" t="s">
        <v>18523</v>
      </c>
      <c r="AC50" s="128" t="s">
        <v>18524</v>
      </c>
      <c r="AD50" s="128" t="s">
        <v>18525</v>
      </c>
      <c r="AE50" s="128" t="s">
        <v>18526</v>
      </c>
      <c r="AF50" s="128" t="s">
        <v>18527</v>
      </c>
    </row>
    <row r="51" spans="3:32" ht="319" x14ac:dyDescent="0.35">
      <c r="C51" s="128" t="s">
        <v>1419</v>
      </c>
      <c r="E51" s="128" t="s">
        <v>1420</v>
      </c>
      <c r="F51" s="128" t="s">
        <v>18528</v>
      </c>
      <c r="G51" s="128" t="s">
        <v>18529</v>
      </c>
      <c r="H51" s="128" t="s">
        <v>1423</v>
      </c>
      <c r="I51" s="128" t="s">
        <v>18530</v>
      </c>
      <c r="J51" s="128" t="s">
        <v>18531</v>
      </c>
      <c r="K51" s="128" t="s">
        <v>18532</v>
      </c>
      <c r="L51" s="128" t="s">
        <v>18533</v>
      </c>
      <c r="M51" s="128" t="s">
        <v>18534</v>
      </c>
      <c r="N51" s="128" t="s">
        <v>18535</v>
      </c>
      <c r="O51" s="128" t="s">
        <v>18536</v>
      </c>
      <c r="P51" s="128" t="s">
        <v>18537</v>
      </c>
      <c r="Q51" s="128" t="s">
        <v>18538</v>
      </c>
      <c r="R51" s="128" t="s">
        <v>18539</v>
      </c>
      <c r="S51" s="128" t="s">
        <v>18540</v>
      </c>
      <c r="T51" s="128" t="s">
        <v>18541</v>
      </c>
      <c r="U51" s="128" t="s">
        <v>18542</v>
      </c>
      <c r="V51" s="128" t="s">
        <v>18543</v>
      </c>
      <c r="W51" s="128" t="s">
        <v>18544</v>
      </c>
      <c r="X51" s="128" t="s">
        <v>18545</v>
      </c>
      <c r="Y51" s="128" t="s">
        <v>18546</v>
      </c>
      <c r="Z51" s="128" t="s">
        <v>18547</v>
      </c>
      <c r="AA51" s="128" t="s">
        <v>18548</v>
      </c>
      <c r="AB51" s="128" t="s">
        <v>18549</v>
      </c>
      <c r="AC51" s="128" t="s">
        <v>18550</v>
      </c>
      <c r="AD51" s="128" t="s">
        <v>18551</v>
      </c>
      <c r="AE51" s="128" t="s">
        <v>18552</v>
      </c>
      <c r="AF51" s="128" t="s">
        <v>18553</v>
      </c>
    </row>
    <row r="52" spans="3:32" ht="319" x14ac:dyDescent="0.35">
      <c r="C52" s="128" t="s">
        <v>1448</v>
      </c>
      <c r="E52" s="128" t="s">
        <v>1449</v>
      </c>
      <c r="F52" s="128" t="s">
        <v>18554</v>
      </c>
      <c r="G52" s="128" t="s">
        <v>18555</v>
      </c>
      <c r="H52" s="128" t="s">
        <v>1452</v>
      </c>
      <c r="I52" s="128" t="s">
        <v>18556</v>
      </c>
      <c r="J52" s="128" t="s">
        <v>18557</v>
      </c>
      <c r="K52" s="128" t="s">
        <v>18558</v>
      </c>
      <c r="L52" s="128" t="s">
        <v>18559</v>
      </c>
      <c r="M52" s="128" t="s">
        <v>18560</v>
      </c>
      <c r="N52" s="128" t="s">
        <v>18561</v>
      </c>
      <c r="O52" s="128" t="s">
        <v>18562</v>
      </c>
      <c r="P52" s="128" t="s">
        <v>18563</v>
      </c>
      <c r="Q52" s="128" t="s">
        <v>18564</v>
      </c>
      <c r="R52" s="128" t="s">
        <v>18565</v>
      </c>
      <c r="S52" s="128" t="s">
        <v>18566</v>
      </c>
      <c r="T52" s="128" t="s">
        <v>18567</v>
      </c>
      <c r="U52" s="128" t="s">
        <v>18568</v>
      </c>
      <c r="V52" s="128" t="s">
        <v>18569</v>
      </c>
      <c r="W52" s="128" t="s">
        <v>18570</v>
      </c>
      <c r="X52" s="128" t="s">
        <v>18571</v>
      </c>
      <c r="Y52" s="128" t="s">
        <v>18572</v>
      </c>
      <c r="Z52" s="128" t="s">
        <v>18573</v>
      </c>
      <c r="AA52" s="128" t="s">
        <v>18574</v>
      </c>
      <c r="AB52" s="128" t="s">
        <v>18575</v>
      </c>
      <c r="AC52" s="128" t="s">
        <v>18576</v>
      </c>
      <c r="AD52" s="128" t="s">
        <v>18577</v>
      </c>
      <c r="AE52" s="128" t="s">
        <v>18578</v>
      </c>
      <c r="AF52" s="128" t="s">
        <v>18579</v>
      </c>
    </row>
    <row r="53" spans="3:32" ht="319" x14ac:dyDescent="0.35">
      <c r="C53" s="128" t="s">
        <v>1477</v>
      </c>
      <c r="E53" s="128" t="s">
        <v>1478</v>
      </c>
      <c r="F53" s="128" t="s">
        <v>18580</v>
      </c>
      <c r="G53" s="128" t="s">
        <v>18581</v>
      </c>
      <c r="H53" s="128" t="s">
        <v>1481</v>
      </c>
      <c r="I53" s="128" t="s">
        <v>18582</v>
      </c>
      <c r="J53" s="128" t="s">
        <v>18583</v>
      </c>
      <c r="K53" s="128" t="s">
        <v>18584</v>
      </c>
      <c r="L53" s="128" t="s">
        <v>18585</v>
      </c>
      <c r="M53" s="128" t="s">
        <v>18586</v>
      </c>
      <c r="N53" s="128" t="s">
        <v>18587</v>
      </c>
      <c r="O53" s="128" t="s">
        <v>18588</v>
      </c>
      <c r="P53" s="128" t="s">
        <v>18589</v>
      </c>
      <c r="Q53" s="128" t="s">
        <v>18590</v>
      </c>
      <c r="R53" s="128" t="s">
        <v>18591</v>
      </c>
      <c r="S53" s="128" t="s">
        <v>18592</v>
      </c>
      <c r="T53" s="128" t="s">
        <v>18593</v>
      </c>
      <c r="U53" s="128" t="s">
        <v>18594</v>
      </c>
      <c r="V53" s="128" t="s">
        <v>18595</v>
      </c>
      <c r="W53" s="128" t="s">
        <v>18596</v>
      </c>
      <c r="X53" s="128" t="s">
        <v>18597</v>
      </c>
      <c r="Y53" s="128" t="s">
        <v>18598</v>
      </c>
      <c r="Z53" s="128" t="s">
        <v>18599</v>
      </c>
      <c r="AA53" s="128" t="s">
        <v>18600</v>
      </c>
      <c r="AB53" s="128" t="s">
        <v>18601</v>
      </c>
      <c r="AC53" s="128" t="s">
        <v>18602</v>
      </c>
      <c r="AD53" s="128" t="s">
        <v>18603</v>
      </c>
      <c r="AE53" s="128" t="s">
        <v>18604</v>
      </c>
      <c r="AF53" s="128" t="s">
        <v>18605</v>
      </c>
    </row>
    <row r="54" spans="3:32" ht="319" x14ac:dyDescent="0.35">
      <c r="C54" s="128" t="s">
        <v>1506</v>
      </c>
      <c r="E54" s="128" t="s">
        <v>1507</v>
      </c>
      <c r="F54" s="128" t="s">
        <v>18606</v>
      </c>
      <c r="G54" s="128" t="s">
        <v>18607</v>
      </c>
      <c r="H54" s="128" t="s">
        <v>1510</v>
      </c>
      <c r="I54" s="128" t="s">
        <v>18608</v>
      </c>
      <c r="J54" s="128" t="s">
        <v>18609</v>
      </c>
      <c r="K54" s="128" t="s">
        <v>18610</v>
      </c>
      <c r="L54" s="128" t="s">
        <v>18611</v>
      </c>
      <c r="M54" s="128" t="s">
        <v>18612</v>
      </c>
      <c r="N54" s="128" t="s">
        <v>18613</v>
      </c>
      <c r="O54" s="128" t="s">
        <v>18614</v>
      </c>
      <c r="P54" s="128" t="s">
        <v>18615</v>
      </c>
      <c r="Q54" s="128" t="s">
        <v>18616</v>
      </c>
      <c r="R54" s="128" t="s">
        <v>18617</v>
      </c>
      <c r="S54" s="128" t="s">
        <v>18618</v>
      </c>
      <c r="T54" s="128" t="s">
        <v>18619</v>
      </c>
      <c r="U54" s="128" t="s">
        <v>18620</v>
      </c>
      <c r="V54" s="128" t="s">
        <v>18621</v>
      </c>
      <c r="W54" s="128" t="s">
        <v>18622</v>
      </c>
      <c r="X54" s="128" t="s">
        <v>18623</v>
      </c>
      <c r="Y54" s="128" t="s">
        <v>18624</v>
      </c>
      <c r="Z54" s="128" t="s">
        <v>18625</v>
      </c>
      <c r="AA54" s="128" t="s">
        <v>18626</v>
      </c>
      <c r="AB54" s="128" t="s">
        <v>18627</v>
      </c>
      <c r="AC54" s="128" t="s">
        <v>18628</v>
      </c>
      <c r="AD54" s="128" t="s">
        <v>18629</v>
      </c>
      <c r="AE54" s="128" t="s">
        <v>18630</v>
      </c>
      <c r="AF54" s="128" t="s">
        <v>18631</v>
      </c>
    </row>
    <row r="55" spans="3:32" ht="319" x14ac:dyDescent="0.35">
      <c r="C55" s="128" t="s">
        <v>1535</v>
      </c>
      <c r="E55" s="128" t="s">
        <v>1536</v>
      </c>
      <c r="F55" s="128" t="s">
        <v>18632</v>
      </c>
      <c r="G55" s="128" t="s">
        <v>18633</v>
      </c>
      <c r="H55" s="128" t="s">
        <v>1539</v>
      </c>
      <c r="I55" s="128" t="s">
        <v>18634</v>
      </c>
      <c r="J55" s="128" t="s">
        <v>18635</v>
      </c>
      <c r="K55" s="128" t="s">
        <v>18636</v>
      </c>
      <c r="L55" s="128" t="s">
        <v>18637</v>
      </c>
      <c r="M55" s="128" t="s">
        <v>18638</v>
      </c>
      <c r="N55" s="128" t="s">
        <v>18639</v>
      </c>
      <c r="O55" s="128" t="s">
        <v>18640</v>
      </c>
      <c r="P55" s="128" t="s">
        <v>18641</v>
      </c>
      <c r="Q55" s="128" t="s">
        <v>18642</v>
      </c>
      <c r="R55" s="128" t="s">
        <v>18643</v>
      </c>
      <c r="S55" s="128" t="s">
        <v>18644</v>
      </c>
      <c r="T55" s="128" t="s">
        <v>18645</v>
      </c>
      <c r="U55" s="128" t="s">
        <v>18646</v>
      </c>
      <c r="V55" s="128" t="s">
        <v>18647</v>
      </c>
      <c r="W55" s="128" t="s">
        <v>18648</v>
      </c>
      <c r="X55" s="128" t="s">
        <v>18649</v>
      </c>
      <c r="Y55" s="128" t="s">
        <v>18650</v>
      </c>
      <c r="Z55" s="128" t="s">
        <v>18651</v>
      </c>
      <c r="AA55" s="128" t="s">
        <v>18652</v>
      </c>
      <c r="AB55" s="128" t="s">
        <v>18653</v>
      </c>
      <c r="AC55" s="128" t="s">
        <v>18654</v>
      </c>
      <c r="AD55" s="128" t="s">
        <v>18655</v>
      </c>
      <c r="AE55" s="128" t="s">
        <v>18656</v>
      </c>
      <c r="AF55" s="128" t="s">
        <v>18657</v>
      </c>
    </row>
    <row r="56" spans="3:32" ht="319" x14ac:dyDescent="0.35">
      <c r="C56" s="128" t="s">
        <v>1564</v>
      </c>
      <c r="E56" s="128" t="s">
        <v>1565</v>
      </c>
      <c r="F56" s="128" t="s">
        <v>18658</v>
      </c>
      <c r="G56" s="128" t="s">
        <v>18659</v>
      </c>
      <c r="H56" s="128" t="s">
        <v>1568</v>
      </c>
      <c r="I56" s="128" t="s">
        <v>18660</v>
      </c>
      <c r="J56" s="128" t="s">
        <v>18661</v>
      </c>
      <c r="K56" s="128" t="s">
        <v>18662</v>
      </c>
      <c r="L56" s="128" t="s">
        <v>18663</v>
      </c>
      <c r="M56" s="128" t="s">
        <v>18664</v>
      </c>
      <c r="N56" s="128" t="s">
        <v>18665</v>
      </c>
      <c r="O56" s="128" t="s">
        <v>18666</v>
      </c>
      <c r="P56" s="128" t="s">
        <v>18667</v>
      </c>
      <c r="Q56" s="128" t="s">
        <v>18668</v>
      </c>
      <c r="R56" s="128" t="s">
        <v>18669</v>
      </c>
      <c r="S56" s="128" t="s">
        <v>18670</v>
      </c>
      <c r="T56" s="128" t="s">
        <v>18671</v>
      </c>
      <c r="U56" s="128" t="s">
        <v>18672</v>
      </c>
      <c r="V56" s="128" t="s">
        <v>18673</v>
      </c>
      <c r="W56" s="128" t="s">
        <v>18674</v>
      </c>
      <c r="X56" s="128" t="s">
        <v>18675</v>
      </c>
      <c r="Y56" s="128" t="s">
        <v>18676</v>
      </c>
      <c r="Z56" s="128" t="s">
        <v>18677</v>
      </c>
      <c r="AA56" s="128" t="s">
        <v>18678</v>
      </c>
      <c r="AB56" s="128" t="s">
        <v>18679</v>
      </c>
      <c r="AC56" s="128" t="s">
        <v>18680</v>
      </c>
      <c r="AD56" s="128" t="s">
        <v>18681</v>
      </c>
      <c r="AE56" s="128" t="s">
        <v>18682</v>
      </c>
      <c r="AF56" s="128" t="s">
        <v>18683</v>
      </c>
    </row>
    <row r="57" spans="3:32" ht="319" x14ac:dyDescent="0.35">
      <c r="C57" s="128" t="s">
        <v>1593</v>
      </c>
      <c r="E57" s="128" t="s">
        <v>1594</v>
      </c>
      <c r="F57" s="128" t="s">
        <v>18684</v>
      </c>
      <c r="G57" s="128" t="s">
        <v>18685</v>
      </c>
      <c r="H57" s="128" t="s">
        <v>1597</v>
      </c>
      <c r="I57" s="128" t="s">
        <v>18686</v>
      </c>
      <c r="J57" s="128" t="s">
        <v>18687</v>
      </c>
      <c r="K57" s="128" t="s">
        <v>18688</v>
      </c>
      <c r="L57" s="128" t="s">
        <v>18689</v>
      </c>
      <c r="M57" s="128" t="s">
        <v>18690</v>
      </c>
      <c r="N57" s="128" t="s">
        <v>18691</v>
      </c>
      <c r="O57" s="128" t="s">
        <v>18692</v>
      </c>
      <c r="P57" s="128" t="s">
        <v>18693</v>
      </c>
      <c r="Q57" s="128" t="s">
        <v>18694</v>
      </c>
      <c r="R57" s="128" t="s">
        <v>18695</v>
      </c>
      <c r="S57" s="128" t="s">
        <v>18696</v>
      </c>
      <c r="T57" s="128" t="s">
        <v>18697</v>
      </c>
      <c r="U57" s="128" t="s">
        <v>18698</v>
      </c>
      <c r="V57" s="128" t="s">
        <v>18699</v>
      </c>
      <c r="W57" s="128" t="s">
        <v>18700</v>
      </c>
      <c r="X57" s="128" t="s">
        <v>18701</v>
      </c>
      <c r="Y57" s="128" t="s">
        <v>18702</v>
      </c>
      <c r="Z57" s="128" t="s">
        <v>18703</v>
      </c>
      <c r="AA57" s="128" t="s">
        <v>18704</v>
      </c>
      <c r="AB57" s="128" t="s">
        <v>18705</v>
      </c>
      <c r="AC57" s="128" t="s">
        <v>18706</v>
      </c>
      <c r="AD57" s="128" t="s">
        <v>18707</v>
      </c>
      <c r="AE57" s="128" t="s">
        <v>18708</v>
      </c>
      <c r="AF57" s="128" t="s">
        <v>18709</v>
      </c>
    </row>
    <row r="58" spans="3:32" ht="319" x14ac:dyDescent="0.35">
      <c r="C58" s="128" t="s">
        <v>1622</v>
      </c>
      <c r="E58" s="128" t="s">
        <v>1623</v>
      </c>
      <c r="F58" s="128" t="s">
        <v>18710</v>
      </c>
      <c r="G58" s="128" t="s">
        <v>18711</v>
      </c>
      <c r="H58" s="128" t="s">
        <v>1626</v>
      </c>
      <c r="I58" s="128" t="s">
        <v>18712</v>
      </c>
      <c r="J58" s="128" t="s">
        <v>18713</v>
      </c>
      <c r="K58" s="128" t="s">
        <v>18714</v>
      </c>
      <c r="L58" s="128" t="s">
        <v>18715</v>
      </c>
      <c r="M58" s="128" t="s">
        <v>18716</v>
      </c>
      <c r="N58" s="128" t="s">
        <v>18717</v>
      </c>
      <c r="O58" s="128" t="s">
        <v>18718</v>
      </c>
      <c r="P58" s="128" t="s">
        <v>18719</v>
      </c>
      <c r="Q58" s="128" t="s">
        <v>18720</v>
      </c>
      <c r="R58" s="128" t="s">
        <v>18721</v>
      </c>
      <c r="S58" s="128" t="s">
        <v>18722</v>
      </c>
      <c r="T58" s="128" t="s">
        <v>18723</v>
      </c>
      <c r="U58" s="128" t="s">
        <v>18724</v>
      </c>
      <c r="V58" s="128" t="s">
        <v>18725</v>
      </c>
      <c r="W58" s="128" t="s">
        <v>18726</v>
      </c>
      <c r="X58" s="128" t="s">
        <v>18727</v>
      </c>
      <c r="Y58" s="128" t="s">
        <v>18728</v>
      </c>
      <c r="Z58" s="128" t="s">
        <v>18729</v>
      </c>
      <c r="AA58" s="128" t="s">
        <v>18730</v>
      </c>
      <c r="AB58" s="128" t="s">
        <v>18731</v>
      </c>
      <c r="AC58" s="128" t="s">
        <v>18732</v>
      </c>
      <c r="AD58" s="128" t="s">
        <v>18733</v>
      </c>
      <c r="AE58" s="128" t="s">
        <v>18734</v>
      </c>
      <c r="AF58" s="128" t="s">
        <v>18735</v>
      </c>
    </row>
    <row r="59" spans="3:32" ht="319" x14ac:dyDescent="0.35">
      <c r="C59" s="128" t="s">
        <v>1651</v>
      </c>
      <c r="E59" s="128" t="s">
        <v>1652</v>
      </c>
      <c r="F59" s="128" t="s">
        <v>18736</v>
      </c>
      <c r="G59" s="128" t="s">
        <v>18737</v>
      </c>
      <c r="H59" s="128" t="s">
        <v>1655</v>
      </c>
      <c r="I59" s="128" t="s">
        <v>18738</v>
      </c>
      <c r="J59" s="128" t="s">
        <v>18739</v>
      </c>
      <c r="K59" s="128" t="s">
        <v>18740</v>
      </c>
      <c r="L59" s="128" t="s">
        <v>18741</v>
      </c>
      <c r="M59" s="128" t="s">
        <v>18742</v>
      </c>
      <c r="N59" s="128" t="s">
        <v>18743</v>
      </c>
      <c r="O59" s="128" t="s">
        <v>18744</v>
      </c>
      <c r="P59" s="128" t="s">
        <v>18745</v>
      </c>
      <c r="Q59" s="128" t="s">
        <v>18746</v>
      </c>
      <c r="R59" s="128" t="s">
        <v>18747</v>
      </c>
      <c r="S59" s="128" t="s">
        <v>18748</v>
      </c>
      <c r="T59" s="128" t="s">
        <v>18749</v>
      </c>
      <c r="U59" s="128" t="s">
        <v>18750</v>
      </c>
      <c r="V59" s="128" t="s">
        <v>18751</v>
      </c>
      <c r="W59" s="128" t="s">
        <v>18752</v>
      </c>
      <c r="X59" s="128" t="s">
        <v>18753</v>
      </c>
      <c r="Y59" s="128" t="s">
        <v>18754</v>
      </c>
      <c r="Z59" s="128" t="s">
        <v>18755</v>
      </c>
      <c r="AA59" s="128" t="s">
        <v>18756</v>
      </c>
      <c r="AB59" s="128" t="s">
        <v>18757</v>
      </c>
      <c r="AC59" s="128" t="s">
        <v>18758</v>
      </c>
      <c r="AD59" s="128" t="s">
        <v>18759</v>
      </c>
      <c r="AE59" s="128" t="s">
        <v>18760</v>
      </c>
      <c r="AF59" s="128" t="s">
        <v>18761</v>
      </c>
    </row>
    <row r="60" spans="3:32" ht="319" x14ac:dyDescent="0.35">
      <c r="C60" s="128" t="s">
        <v>1680</v>
      </c>
      <c r="E60" s="128" t="s">
        <v>1681</v>
      </c>
      <c r="F60" s="128" t="s">
        <v>18762</v>
      </c>
      <c r="G60" s="128" t="s">
        <v>18763</v>
      </c>
      <c r="H60" s="128" t="s">
        <v>1684</v>
      </c>
      <c r="I60" s="128" t="s">
        <v>18764</v>
      </c>
      <c r="J60" s="128" t="s">
        <v>18765</v>
      </c>
      <c r="K60" s="128" t="s">
        <v>18766</v>
      </c>
      <c r="L60" s="128" t="s">
        <v>18767</v>
      </c>
      <c r="M60" s="128" t="s">
        <v>18768</v>
      </c>
      <c r="N60" s="128" t="s">
        <v>18769</v>
      </c>
      <c r="O60" s="128" t="s">
        <v>18770</v>
      </c>
      <c r="P60" s="128" t="s">
        <v>18771</v>
      </c>
      <c r="Q60" s="128" t="s">
        <v>18772</v>
      </c>
      <c r="R60" s="128" t="s">
        <v>18773</v>
      </c>
      <c r="S60" s="128" t="s">
        <v>18774</v>
      </c>
      <c r="T60" s="128" t="s">
        <v>18775</v>
      </c>
      <c r="U60" s="128" t="s">
        <v>18776</v>
      </c>
      <c r="V60" s="128" t="s">
        <v>18777</v>
      </c>
      <c r="W60" s="128" t="s">
        <v>18778</v>
      </c>
      <c r="X60" s="128" t="s">
        <v>18779</v>
      </c>
      <c r="Y60" s="128" t="s">
        <v>18780</v>
      </c>
      <c r="Z60" s="128" t="s">
        <v>18781</v>
      </c>
      <c r="AA60" s="128" t="s">
        <v>18782</v>
      </c>
      <c r="AB60" s="128" t="s">
        <v>18783</v>
      </c>
      <c r="AC60" s="128" t="s">
        <v>18784</v>
      </c>
      <c r="AD60" s="128" t="s">
        <v>18785</v>
      </c>
      <c r="AE60" s="128" t="s">
        <v>18786</v>
      </c>
      <c r="AF60" s="128" t="s">
        <v>18787</v>
      </c>
    </row>
    <row r="61" spans="3:32" ht="319" x14ac:dyDescent="0.35">
      <c r="C61" s="128" t="s">
        <v>1709</v>
      </c>
      <c r="E61" s="128" t="s">
        <v>1710</v>
      </c>
      <c r="F61" s="128" t="s">
        <v>18788</v>
      </c>
      <c r="G61" s="128" t="s">
        <v>18789</v>
      </c>
      <c r="H61" s="128" t="s">
        <v>1713</v>
      </c>
      <c r="I61" s="128" t="s">
        <v>18790</v>
      </c>
      <c r="J61" s="128" t="s">
        <v>18791</v>
      </c>
      <c r="K61" s="128" t="s">
        <v>18792</v>
      </c>
      <c r="L61" s="128" t="s">
        <v>18793</v>
      </c>
      <c r="M61" s="128" t="s">
        <v>18794</v>
      </c>
      <c r="N61" s="128" t="s">
        <v>18795</v>
      </c>
      <c r="O61" s="128" t="s">
        <v>18796</v>
      </c>
      <c r="P61" s="128" t="s">
        <v>18797</v>
      </c>
      <c r="Q61" s="128" t="s">
        <v>18798</v>
      </c>
      <c r="R61" s="128" t="s">
        <v>18799</v>
      </c>
      <c r="S61" s="128" t="s">
        <v>18800</v>
      </c>
      <c r="T61" s="128" t="s">
        <v>18801</v>
      </c>
      <c r="U61" s="128" t="s">
        <v>18802</v>
      </c>
      <c r="V61" s="128" t="s">
        <v>18803</v>
      </c>
      <c r="W61" s="128" t="s">
        <v>18804</v>
      </c>
      <c r="X61" s="128" t="s">
        <v>18805</v>
      </c>
      <c r="Y61" s="128" t="s">
        <v>18806</v>
      </c>
      <c r="Z61" s="128" t="s">
        <v>18807</v>
      </c>
      <c r="AA61" s="128" t="s">
        <v>18808</v>
      </c>
      <c r="AB61" s="128" t="s">
        <v>18809</v>
      </c>
      <c r="AC61" s="128" t="s">
        <v>18810</v>
      </c>
      <c r="AD61" s="128" t="s">
        <v>18811</v>
      </c>
      <c r="AE61" s="128" t="s">
        <v>18812</v>
      </c>
      <c r="AF61" s="128" t="s">
        <v>18813</v>
      </c>
    </row>
    <row r="62" spans="3:32" ht="319" x14ac:dyDescent="0.35">
      <c r="C62" s="128" t="s">
        <v>1738</v>
      </c>
      <c r="E62" s="128" t="s">
        <v>1739</v>
      </c>
      <c r="F62" s="128" t="s">
        <v>18814</v>
      </c>
      <c r="G62" s="128" t="s">
        <v>18815</v>
      </c>
      <c r="H62" s="128" t="s">
        <v>1742</v>
      </c>
      <c r="I62" s="128" t="s">
        <v>18816</v>
      </c>
      <c r="J62" s="128" t="s">
        <v>18817</v>
      </c>
      <c r="K62" s="128" t="s">
        <v>18818</v>
      </c>
      <c r="L62" s="128" t="s">
        <v>18819</v>
      </c>
      <c r="M62" s="128" t="s">
        <v>18820</v>
      </c>
      <c r="N62" s="128" t="s">
        <v>18821</v>
      </c>
      <c r="O62" s="128" t="s">
        <v>18822</v>
      </c>
      <c r="P62" s="128" t="s">
        <v>18823</v>
      </c>
      <c r="Q62" s="128" t="s">
        <v>18824</v>
      </c>
      <c r="R62" s="128" t="s">
        <v>18825</v>
      </c>
      <c r="S62" s="128" t="s">
        <v>18826</v>
      </c>
      <c r="T62" s="128" t="s">
        <v>18827</v>
      </c>
      <c r="U62" s="128" t="s">
        <v>18828</v>
      </c>
      <c r="V62" s="128" t="s">
        <v>18829</v>
      </c>
      <c r="W62" s="128" t="s">
        <v>18830</v>
      </c>
      <c r="X62" s="128" t="s">
        <v>18831</v>
      </c>
      <c r="Y62" s="128" t="s">
        <v>18832</v>
      </c>
      <c r="Z62" s="128" t="s">
        <v>18833</v>
      </c>
      <c r="AA62" s="128" t="s">
        <v>18834</v>
      </c>
      <c r="AB62" s="128" t="s">
        <v>18835</v>
      </c>
      <c r="AC62" s="128" t="s">
        <v>18836</v>
      </c>
      <c r="AD62" s="128" t="s">
        <v>18837</v>
      </c>
      <c r="AE62" s="128" t="s">
        <v>18838</v>
      </c>
      <c r="AF62" s="128" t="s">
        <v>18839</v>
      </c>
    </row>
    <row r="63" spans="3:32" ht="319" x14ac:dyDescent="0.35">
      <c r="C63" s="128" t="s">
        <v>1767</v>
      </c>
      <c r="E63" s="128" t="s">
        <v>1768</v>
      </c>
      <c r="F63" s="128" t="s">
        <v>18840</v>
      </c>
      <c r="G63" s="128" t="s">
        <v>18841</v>
      </c>
      <c r="H63" s="128" t="s">
        <v>1771</v>
      </c>
      <c r="I63" s="128" t="s">
        <v>18842</v>
      </c>
      <c r="J63" s="128" t="s">
        <v>18843</v>
      </c>
      <c r="K63" s="128" t="s">
        <v>18844</v>
      </c>
      <c r="L63" s="128" t="s">
        <v>18845</v>
      </c>
      <c r="M63" s="128" t="s">
        <v>18846</v>
      </c>
      <c r="N63" s="128" t="s">
        <v>18847</v>
      </c>
      <c r="O63" s="128" t="s">
        <v>18848</v>
      </c>
      <c r="P63" s="128" t="s">
        <v>18849</v>
      </c>
      <c r="Q63" s="128" t="s">
        <v>18850</v>
      </c>
      <c r="R63" s="128" t="s">
        <v>18851</v>
      </c>
      <c r="S63" s="128" t="s">
        <v>18852</v>
      </c>
      <c r="T63" s="128" t="s">
        <v>18853</v>
      </c>
      <c r="U63" s="128" t="s">
        <v>18854</v>
      </c>
      <c r="V63" s="128" t="s">
        <v>18855</v>
      </c>
      <c r="W63" s="128" t="s">
        <v>18856</v>
      </c>
      <c r="X63" s="128" t="s">
        <v>18857</v>
      </c>
      <c r="Y63" s="128" t="s">
        <v>18858</v>
      </c>
      <c r="Z63" s="128" t="s">
        <v>18859</v>
      </c>
      <c r="AA63" s="128" t="s">
        <v>18860</v>
      </c>
      <c r="AB63" s="128" t="s">
        <v>18861</v>
      </c>
      <c r="AC63" s="128" t="s">
        <v>18862</v>
      </c>
      <c r="AD63" s="128" t="s">
        <v>18863</v>
      </c>
      <c r="AE63" s="128" t="s">
        <v>18864</v>
      </c>
      <c r="AF63" s="128" t="s">
        <v>18865</v>
      </c>
    </row>
    <row r="64" spans="3:32" ht="319" x14ac:dyDescent="0.35">
      <c r="C64" s="128" t="s">
        <v>1796</v>
      </c>
      <c r="E64" s="128" t="s">
        <v>1797</v>
      </c>
      <c r="F64" s="128" t="s">
        <v>18866</v>
      </c>
      <c r="G64" s="128" t="s">
        <v>18867</v>
      </c>
      <c r="H64" s="128" t="s">
        <v>1800</v>
      </c>
      <c r="I64" s="128" t="s">
        <v>18868</v>
      </c>
      <c r="J64" s="128" t="s">
        <v>18869</v>
      </c>
      <c r="K64" s="128" t="s">
        <v>18870</v>
      </c>
      <c r="L64" s="128" t="s">
        <v>18871</v>
      </c>
      <c r="M64" s="128" t="s">
        <v>18872</v>
      </c>
      <c r="N64" s="128" t="s">
        <v>18873</v>
      </c>
      <c r="O64" s="128" t="s">
        <v>18874</v>
      </c>
      <c r="P64" s="128" t="s">
        <v>18875</v>
      </c>
      <c r="Q64" s="128" t="s">
        <v>18876</v>
      </c>
      <c r="R64" s="128" t="s">
        <v>18877</v>
      </c>
      <c r="S64" s="128" t="s">
        <v>18878</v>
      </c>
      <c r="T64" s="128" t="s">
        <v>18879</v>
      </c>
      <c r="U64" s="128" t="s">
        <v>18880</v>
      </c>
      <c r="V64" s="128" t="s">
        <v>18881</v>
      </c>
      <c r="W64" s="128" t="s">
        <v>18882</v>
      </c>
      <c r="X64" s="128" t="s">
        <v>18883</v>
      </c>
      <c r="Y64" s="128" t="s">
        <v>18884</v>
      </c>
      <c r="Z64" s="128" t="s">
        <v>18885</v>
      </c>
      <c r="AA64" s="128" t="s">
        <v>18886</v>
      </c>
      <c r="AB64" s="128" t="s">
        <v>18887</v>
      </c>
      <c r="AC64" s="128" t="s">
        <v>18888</v>
      </c>
      <c r="AD64" s="128" t="s">
        <v>18889</v>
      </c>
      <c r="AE64" s="128" t="s">
        <v>18890</v>
      </c>
      <c r="AF64" s="128" t="s">
        <v>18891</v>
      </c>
    </row>
    <row r="65" spans="3:32" ht="319" x14ac:dyDescent="0.35">
      <c r="C65" s="128" t="s">
        <v>1825</v>
      </c>
      <c r="E65" s="128" t="s">
        <v>1826</v>
      </c>
      <c r="F65" s="128" t="s">
        <v>18892</v>
      </c>
      <c r="G65" s="128" t="s">
        <v>18893</v>
      </c>
      <c r="H65" s="128" t="s">
        <v>1829</v>
      </c>
      <c r="I65" s="128" t="s">
        <v>18894</v>
      </c>
      <c r="J65" s="128" t="s">
        <v>18895</v>
      </c>
      <c r="K65" s="128" t="s">
        <v>18896</v>
      </c>
      <c r="L65" s="128" t="s">
        <v>18897</v>
      </c>
      <c r="M65" s="128" t="s">
        <v>18898</v>
      </c>
      <c r="N65" s="128" t="s">
        <v>18899</v>
      </c>
      <c r="O65" s="128" t="s">
        <v>18900</v>
      </c>
      <c r="P65" s="128" t="s">
        <v>18901</v>
      </c>
      <c r="Q65" s="128" t="s">
        <v>18902</v>
      </c>
      <c r="R65" s="128" t="s">
        <v>18903</v>
      </c>
      <c r="S65" s="128" t="s">
        <v>18904</v>
      </c>
      <c r="T65" s="128" t="s">
        <v>18905</v>
      </c>
      <c r="U65" s="128" t="s">
        <v>18906</v>
      </c>
      <c r="V65" s="128" t="s">
        <v>18907</v>
      </c>
      <c r="W65" s="128" t="s">
        <v>18908</v>
      </c>
      <c r="X65" s="128" t="s">
        <v>18909</v>
      </c>
      <c r="Y65" s="128" t="s">
        <v>18910</v>
      </c>
      <c r="Z65" s="128" t="s">
        <v>18911</v>
      </c>
      <c r="AA65" s="128" t="s">
        <v>18912</v>
      </c>
      <c r="AB65" s="128" t="s">
        <v>18913</v>
      </c>
      <c r="AC65" s="128" t="s">
        <v>18914</v>
      </c>
      <c r="AD65" s="128" t="s">
        <v>18915</v>
      </c>
      <c r="AE65" s="128" t="s">
        <v>18916</v>
      </c>
      <c r="AF65" s="128" t="s">
        <v>18917</v>
      </c>
    </row>
    <row r="66" spans="3:32" ht="319" x14ac:dyDescent="0.35">
      <c r="C66" s="128" t="s">
        <v>1854</v>
      </c>
      <c r="E66" s="128" t="s">
        <v>1855</v>
      </c>
      <c r="F66" s="128" t="s">
        <v>18918</v>
      </c>
      <c r="G66" s="128" t="s">
        <v>18919</v>
      </c>
      <c r="H66" s="128" t="s">
        <v>1858</v>
      </c>
      <c r="I66" s="128" t="s">
        <v>18920</v>
      </c>
      <c r="J66" s="128" t="s">
        <v>18921</v>
      </c>
      <c r="K66" s="128" t="s">
        <v>18922</v>
      </c>
      <c r="L66" s="128" t="s">
        <v>18923</v>
      </c>
      <c r="M66" s="128" t="s">
        <v>18924</v>
      </c>
      <c r="N66" s="128" t="s">
        <v>18925</v>
      </c>
      <c r="O66" s="128" t="s">
        <v>18926</v>
      </c>
      <c r="P66" s="128" t="s">
        <v>18927</v>
      </c>
      <c r="Q66" s="128" t="s">
        <v>18928</v>
      </c>
      <c r="R66" s="128" t="s">
        <v>18929</v>
      </c>
      <c r="S66" s="128" t="s">
        <v>18930</v>
      </c>
      <c r="T66" s="128" t="s">
        <v>18931</v>
      </c>
      <c r="U66" s="128" t="s">
        <v>18932</v>
      </c>
      <c r="V66" s="128" t="s">
        <v>18933</v>
      </c>
      <c r="W66" s="128" t="s">
        <v>18934</v>
      </c>
      <c r="X66" s="128" t="s">
        <v>18935</v>
      </c>
      <c r="Y66" s="128" t="s">
        <v>18936</v>
      </c>
      <c r="Z66" s="128" t="s">
        <v>18937</v>
      </c>
      <c r="AA66" s="128" t="s">
        <v>18938</v>
      </c>
      <c r="AB66" s="128" t="s">
        <v>18939</v>
      </c>
      <c r="AC66" s="128" t="s">
        <v>18940</v>
      </c>
      <c r="AD66" s="128" t="s">
        <v>18941</v>
      </c>
      <c r="AE66" s="128" t="s">
        <v>18942</v>
      </c>
      <c r="AF66" s="128" t="s">
        <v>18943</v>
      </c>
    </row>
    <row r="67" spans="3:32" ht="319" x14ac:dyDescent="0.35">
      <c r="C67" s="128" t="s">
        <v>1883</v>
      </c>
      <c r="E67" s="128" t="s">
        <v>1884</v>
      </c>
      <c r="F67" s="128" t="s">
        <v>18944</v>
      </c>
      <c r="G67" s="128" t="s">
        <v>18945</v>
      </c>
      <c r="H67" s="128" t="s">
        <v>1887</v>
      </c>
      <c r="I67" s="128" t="s">
        <v>18946</v>
      </c>
      <c r="J67" s="128" t="s">
        <v>18947</v>
      </c>
      <c r="K67" s="128" t="s">
        <v>18948</v>
      </c>
      <c r="L67" s="128" t="s">
        <v>18949</v>
      </c>
      <c r="M67" s="128" t="s">
        <v>18950</v>
      </c>
      <c r="N67" s="128" t="s">
        <v>18951</v>
      </c>
      <c r="O67" s="128" t="s">
        <v>18952</v>
      </c>
      <c r="P67" s="128" t="s">
        <v>18953</v>
      </c>
      <c r="Q67" s="128" t="s">
        <v>18954</v>
      </c>
      <c r="R67" s="128" t="s">
        <v>18955</v>
      </c>
      <c r="S67" s="128" t="s">
        <v>18956</v>
      </c>
      <c r="T67" s="128" t="s">
        <v>18957</v>
      </c>
      <c r="U67" s="128" t="s">
        <v>18958</v>
      </c>
      <c r="V67" s="128" t="s">
        <v>18959</v>
      </c>
      <c r="W67" s="128" t="s">
        <v>18960</v>
      </c>
      <c r="X67" s="128" t="s">
        <v>18961</v>
      </c>
      <c r="Y67" s="128" t="s">
        <v>18962</v>
      </c>
      <c r="Z67" s="128" t="s">
        <v>18963</v>
      </c>
      <c r="AA67" s="128" t="s">
        <v>18964</v>
      </c>
      <c r="AB67" s="128" t="s">
        <v>18965</v>
      </c>
      <c r="AC67" s="128" t="s">
        <v>18966</v>
      </c>
      <c r="AD67" s="128" t="s">
        <v>18967</v>
      </c>
      <c r="AE67" s="128" t="s">
        <v>18968</v>
      </c>
      <c r="AF67" s="128" t="s">
        <v>18969</v>
      </c>
    </row>
    <row r="68" spans="3:32" ht="319" x14ac:dyDescent="0.35">
      <c r="C68" s="128" t="s">
        <v>1912</v>
      </c>
      <c r="E68" s="128" t="s">
        <v>1913</v>
      </c>
      <c r="F68" s="128" t="s">
        <v>18970</v>
      </c>
      <c r="G68" s="128" t="s">
        <v>18971</v>
      </c>
      <c r="H68" s="128" t="s">
        <v>1916</v>
      </c>
      <c r="I68" s="128" t="s">
        <v>18972</v>
      </c>
      <c r="J68" s="128" t="s">
        <v>18973</v>
      </c>
      <c r="K68" s="128" t="s">
        <v>18974</v>
      </c>
      <c r="L68" s="128" t="s">
        <v>18975</v>
      </c>
      <c r="M68" s="128" t="s">
        <v>18976</v>
      </c>
      <c r="N68" s="128" t="s">
        <v>18977</v>
      </c>
      <c r="O68" s="128" t="s">
        <v>18978</v>
      </c>
      <c r="P68" s="128" t="s">
        <v>18979</v>
      </c>
      <c r="Q68" s="128" t="s">
        <v>18980</v>
      </c>
      <c r="R68" s="128" t="s">
        <v>18981</v>
      </c>
      <c r="S68" s="128" t="s">
        <v>18982</v>
      </c>
      <c r="T68" s="128" t="s">
        <v>18983</v>
      </c>
      <c r="U68" s="128" t="s">
        <v>18984</v>
      </c>
      <c r="V68" s="128" t="s">
        <v>18985</v>
      </c>
      <c r="W68" s="128" t="s">
        <v>18986</v>
      </c>
      <c r="X68" s="128" t="s">
        <v>18987</v>
      </c>
      <c r="Y68" s="128" t="s">
        <v>18988</v>
      </c>
      <c r="Z68" s="128" t="s">
        <v>18989</v>
      </c>
      <c r="AA68" s="128" t="s">
        <v>18990</v>
      </c>
      <c r="AB68" s="128" t="s">
        <v>18991</v>
      </c>
      <c r="AC68" s="128" t="s">
        <v>18992</v>
      </c>
      <c r="AD68" s="128" t="s">
        <v>18993</v>
      </c>
      <c r="AE68" s="128" t="s">
        <v>18994</v>
      </c>
      <c r="AF68" s="128" t="s">
        <v>18995</v>
      </c>
    </row>
    <row r="69" spans="3:32" ht="319" x14ac:dyDescent="0.35">
      <c r="C69" s="128" t="s">
        <v>1941</v>
      </c>
      <c r="E69" s="128" t="s">
        <v>1942</v>
      </c>
      <c r="F69" s="128" t="s">
        <v>18996</v>
      </c>
      <c r="G69" s="128" t="s">
        <v>18997</v>
      </c>
      <c r="H69" s="128" t="s">
        <v>1945</v>
      </c>
      <c r="I69" s="128" t="s">
        <v>18998</v>
      </c>
      <c r="J69" s="128" t="s">
        <v>18999</v>
      </c>
      <c r="K69" s="128" t="s">
        <v>19000</v>
      </c>
      <c r="L69" s="128" t="s">
        <v>19001</v>
      </c>
      <c r="M69" s="128" t="s">
        <v>19002</v>
      </c>
      <c r="N69" s="128" t="s">
        <v>19003</v>
      </c>
      <c r="O69" s="128" t="s">
        <v>19004</v>
      </c>
      <c r="P69" s="128" t="s">
        <v>19005</v>
      </c>
      <c r="Q69" s="128" t="s">
        <v>19006</v>
      </c>
      <c r="R69" s="128" t="s">
        <v>19007</v>
      </c>
      <c r="S69" s="128" t="s">
        <v>19008</v>
      </c>
      <c r="T69" s="128" t="s">
        <v>19009</v>
      </c>
      <c r="U69" s="128" t="s">
        <v>19010</v>
      </c>
      <c r="V69" s="128" t="s">
        <v>19011</v>
      </c>
      <c r="W69" s="128" t="s">
        <v>19012</v>
      </c>
      <c r="X69" s="128" t="s">
        <v>19013</v>
      </c>
      <c r="Y69" s="128" t="s">
        <v>19014</v>
      </c>
      <c r="Z69" s="128" t="s">
        <v>19015</v>
      </c>
      <c r="AA69" s="128" t="s">
        <v>19016</v>
      </c>
      <c r="AB69" s="128" t="s">
        <v>19017</v>
      </c>
      <c r="AC69" s="128" t="s">
        <v>19018</v>
      </c>
      <c r="AD69" s="128" t="s">
        <v>19019</v>
      </c>
      <c r="AE69" s="128" t="s">
        <v>19020</v>
      </c>
      <c r="AF69" s="128" t="s">
        <v>19021</v>
      </c>
    </row>
    <row r="70" spans="3:32" ht="319" x14ac:dyDescent="0.35">
      <c r="C70" s="128" t="s">
        <v>1970</v>
      </c>
      <c r="E70" s="128" t="s">
        <v>1971</v>
      </c>
      <c r="F70" s="128" t="s">
        <v>19022</v>
      </c>
      <c r="G70" s="128" t="s">
        <v>19023</v>
      </c>
      <c r="H70" s="128" t="s">
        <v>1974</v>
      </c>
      <c r="I70" s="128" t="s">
        <v>19024</v>
      </c>
      <c r="J70" s="128" t="s">
        <v>19025</v>
      </c>
      <c r="K70" s="128" t="s">
        <v>19026</v>
      </c>
      <c r="L70" s="128" t="s">
        <v>19027</v>
      </c>
      <c r="M70" s="128" t="s">
        <v>19028</v>
      </c>
      <c r="N70" s="128" t="s">
        <v>19029</v>
      </c>
      <c r="O70" s="128" t="s">
        <v>19030</v>
      </c>
      <c r="P70" s="128" t="s">
        <v>19031</v>
      </c>
      <c r="Q70" s="128" t="s">
        <v>19032</v>
      </c>
      <c r="R70" s="128" t="s">
        <v>19033</v>
      </c>
      <c r="S70" s="128" t="s">
        <v>19034</v>
      </c>
      <c r="T70" s="128" t="s">
        <v>19035</v>
      </c>
      <c r="U70" s="128" t="s">
        <v>19036</v>
      </c>
      <c r="V70" s="128" t="s">
        <v>19037</v>
      </c>
      <c r="W70" s="128" t="s">
        <v>19038</v>
      </c>
      <c r="X70" s="128" t="s">
        <v>19039</v>
      </c>
      <c r="Y70" s="128" t="s">
        <v>19040</v>
      </c>
      <c r="Z70" s="128" t="s">
        <v>19041</v>
      </c>
      <c r="AA70" s="128" t="s">
        <v>19042</v>
      </c>
      <c r="AB70" s="128" t="s">
        <v>19043</v>
      </c>
      <c r="AC70" s="128" t="s">
        <v>19044</v>
      </c>
      <c r="AD70" s="128" t="s">
        <v>19045</v>
      </c>
      <c r="AE70" s="128" t="s">
        <v>19046</v>
      </c>
      <c r="AF70" s="128" t="s">
        <v>19047</v>
      </c>
    </row>
    <row r="71" spans="3:32" ht="319" x14ac:dyDescent="0.35">
      <c r="C71" s="128" t="s">
        <v>1999</v>
      </c>
      <c r="E71" s="128" t="s">
        <v>2000</v>
      </c>
      <c r="F71" s="128" t="s">
        <v>19048</v>
      </c>
      <c r="G71" s="128" t="s">
        <v>19049</v>
      </c>
      <c r="H71" s="128" t="s">
        <v>2003</v>
      </c>
      <c r="I71" s="128" t="s">
        <v>19050</v>
      </c>
      <c r="J71" s="128" t="s">
        <v>19051</v>
      </c>
      <c r="K71" s="128" t="s">
        <v>19052</v>
      </c>
      <c r="L71" s="128" t="s">
        <v>19053</v>
      </c>
      <c r="M71" s="128" t="s">
        <v>19054</v>
      </c>
      <c r="N71" s="128" t="s">
        <v>19055</v>
      </c>
      <c r="O71" s="128" t="s">
        <v>19056</v>
      </c>
      <c r="P71" s="128" t="s">
        <v>19057</v>
      </c>
      <c r="Q71" s="128" t="s">
        <v>19058</v>
      </c>
      <c r="R71" s="128" t="s">
        <v>19059</v>
      </c>
      <c r="S71" s="128" t="s">
        <v>19060</v>
      </c>
      <c r="T71" s="128" t="s">
        <v>19061</v>
      </c>
      <c r="U71" s="128" t="s">
        <v>19062</v>
      </c>
      <c r="V71" s="128" t="s">
        <v>19063</v>
      </c>
      <c r="W71" s="128" t="s">
        <v>19064</v>
      </c>
      <c r="X71" s="128" t="s">
        <v>19065</v>
      </c>
      <c r="Y71" s="128" t="s">
        <v>19066</v>
      </c>
      <c r="Z71" s="128" t="s">
        <v>19067</v>
      </c>
      <c r="AA71" s="128" t="s">
        <v>19068</v>
      </c>
      <c r="AB71" s="128" t="s">
        <v>19069</v>
      </c>
      <c r="AC71" s="128" t="s">
        <v>19070</v>
      </c>
      <c r="AD71" s="128" t="s">
        <v>19071</v>
      </c>
      <c r="AE71" s="128" t="s">
        <v>19072</v>
      </c>
      <c r="AF71" s="128" t="s">
        <v>19073</v>
      </c>
    </row>
    <row r="72" spans="3:32" ht="319" x14ac:dyDescent="0.35">
      <c r="C72" s="128" t="s">
        <v>2028</v>
      </c>
      <c r="E72" s="128" t="s">
        <v>2029</v>
      </c>
      <c r="F72" s="128" t="s">
        <v>19074</v>
      </c>
      <c r="G72" s="128" t="s">
        <v>19075</v>
      </c>
      <c r="H72" s="128" t="s">
        <v>2032</v>
      </c>
      <c r="I72" s="128" t="s">
        <v>19076</v>
      </c>
      <c r="J72" s="128" t="s">
        <v>19077</v>
      </c>
      <c r="K72" s="128" t="s">
        <v>19078</v>
      </c>
      <c r="L72" s="128" t="s">
        <v>19079</v>
      </c>
      <c r="M72" s="128" t="s">
        <v>19080</v>
      </c>
      <c r="N72" s="128" t="s">
        <v>19081</v>
      </c>
      <c r="O72" s="128" t="s">
        <v>19082</v>
      </c>
      <c r="P72" s="128" t="s">
        <v>19083</v>
      </c>
      <c r="Q72" s="128" t="s">
        <v>19084</v>
      </c>
      <c r="R72" s="128" t="s">
        <v>19085</v>
      </c>
      <c r="S72" s="128" t="s">
        <v>19086</v>
      </c>
      <c r="T72" s="128" t="s">
        <v>19087</v>
      </c>
      <c r="U72" s="128" t="s">
        <v>19088</v>
      </c>
      <c r="V72" s="128" t="s">
        <v>19089</v>
      </c>
      <c r="W72" s="128" t="s">
        <v>19090</v>
      </c>
      <c r="X72" s="128" t="s">
        <v>19091</v>
      </c>
      <c r="Y72" s="128" t="s">
        <v>19092</v>
      </c>
      <c r="Z72" s="128" t="s">
        <v>19093</v>
      </c>
      <c r="AA72" s="128" t="s">
        <v>19094</v>
      </c>
      <c r="AB72" s="128" t="s">
        <v>19095</v>
      </c>
      <c r="AC72" s="128" t="s">
        <v>19096</v>
      </c>
      <c r="AD72" s="128" t="s">
        <v>19097</v>
      </c>
      <c r="AE72" s="128" t="s">
        <v>19098</v>
      </c>
      <c r="AF72" s="128" t="s">
        <v>19099</v>
      </c>
    </row>
    <row r="73" spans="3:32" ht="319" x14ac:dyDescent="0.35">
      <c r="C73" s="128" t="s">
        <v>2057</v>
      </c>
      <c r="E73" s="128" t="s">
        <v>2058</v>
      </c>
      <c r="F73" s="128" t="s">
        <v>19100</v>
      </c>
      <c r="G73" s="128" t="s">
        <v>19101</v>
      </c>
      <c r="H73" s="128" t="s">
        <v>2061</v>
      </c>
      <c r="I73" s="128" t="s">
        <v>19102</v>
      </c>
      <c r="J73" s="128" t="s">
        <v>19103</v>
      </c>
      <c r="K73" s="128" t="s">
        <v>19104</v>
      </c>
      <c r="L73" s="128" t="s">
        <v>19105</v>
      </c>
      <c r="M73" s="128" t="s">
        <v>19106</v>
      </c>
      <c r="N73" s="128" t="s">
        <v>19107</v>
      </c>
      <c r="O73" s="128" t="s">
        <v>19108</v>
      </c>
      <c r="P73" s="128" t="s">
        <v>19109</v>
      </c>
      <c r="Q73" s="128" t="s">
        <v>19110</v>
      </c>
      <c r="R73" s="128" t="s">
        <v>19111</v>
      </c>
      <c r="S73" s="128" t="s">
        <v>19112</v>
      </c>
      <c r="T73" s="128" t="s">
        <v>19113</v>
      </c>
      <c r="U73" s="128" t="s">
        <v>19114</v>
      </c>
      <c r="V73" s="128" t="s">
        <v>19115</v>
      </c>
      <c r="W73" s="128" t="s">
        <v>19116</v>
      </c>
      <c r="X73" s="128" t="s">
        <v>19117</v>
      </c>
      <c r="Y73" s="128" t="s">
        <v>19118</v>
      </c>
      <c r="Z73" s="128" t="s">
        <v>19119</v>
      </c>
      <c r="AA73" s="128" t="s">
        <v>19120</v>
      </c>
      <c r="AB73" s="128" t="s">
        <v>19121</v>
      </c>
      <c r="AC73" s="128" t="s">
        <v>19122</v>
      </c>
      <c r="AD73" s="128" t="s">
        <v>19123</v>
      </c>
      <c r="AE73" s="128" t="s">
        <v>19124</v>
      </c>
      <c r="AF73" s="128" t="s">
        <v>19125</v>
      </c>
    </row>
    <row r="74" spans="3:32" ht="319" x14ac:dyDescent="0.35">
      <c r="C74" s="128" t="s">
        <v>2086</v>
      </c>
      <c r="E74" s="128" t="s">
        <v>2087</v>
      </c>
      <c r="F74" s="128" t="s">
        <v>19126</v>
      </c>
      <c r="G74" s="128" t="s">
        <v>19127</v>
      </c>
      <c r="H74" s="128" t="s">
        <v>2090</v>
      </c>
      <c r="I74" s="128" t="s">
        <v>19128</v>
      </c>
      <c r="J74" s="128" t="s">
        <v>19129</v>
      </c>
      <c r="K74" s="128" t="s">
        <v>19130</v>
      </c>
      <c r="L74" s="128" t="s">
        <v>19131</v>
      </c>
      <c r="M74" s="128" t="s">
        <v>19132</v>
      </c>
      <c r="N74" s="128" t="s">
        <v>19133</v>
      </c>
      <c r="O74" s="128" t="s">
        <v>19134</v>
      </c>
      <c r="P74" s="128" t="s">
        <v>19135</v>
      </c>
      <c r="Q74" s="128" t="s">
        <v>19136</v>
      </c>
      <c r="R74" s="128" t="s">
        <v>19137</v>
      </c>
      <c r="S74" s="128" t="s">
        <v>19138</v>
      </c>
      <c r="T74" s="128" t="s">
        <v>19139</v>
      </c>
      <c r="U74" s="128" t="s">
        <v>19140</v>
      </c>
      <c r="V74" s="128" t="s">
        <v>19141</v>
      </c>
      <c r="W74" s="128" t="s">
        <v>19142</v>
      </c>
      <c r="X74" s="128" t="s">
        <v>19143</v>
      </c>
      <c r="Y74" s="128" t="s">
        <v>19144</v>
      </c>
      <c r="Z74" s="128" t="s">
        <v>19145</v>
      </c>
      <c r="AA74" s="128" t="s">
        <v>19146</v>
      </c>
      <c r="AB74" s="128" t="s">
        <v>19147</v>
      </c>
      <c r="AC74" s="128" t="s">
        <v>19148</v>
      </c>
      <c r="AD74" s="128" t="s">
        <v>19149</v>
      </c>
      <c r="AE74" s="128" t="s">
        <v>19150</v>
      </c>
      <c r="AF74" s="128" t="s">
        <v>19151</v>
      </c>
    </row>
    <row r="75" spans="3:32" ht="319" x14ac:dyDescent="0.35">
      <c r="C75" s="128" t="s">
        <v>2115</v>
      </c>
      <c r="E75" s="128" t="s">
        <v>2116</v>
      </c>
      <c r="F75" s="128" t="s">
        <v>19152</v>
      </c>
      <c r="G75" s="128" t="s">
        <v>19153</v>
      </c>
      <c r="H75" s="128" t="s">
        <v>2119</v>
      </c>
      <c r="I75" s="128" t="s">
        <v>19154</v>
      </c>
      <c r="J75" s="128" t="s">
        <v>19155</v>
      </c>
      <c r="K75" s="128" t="s">
        <v>19156</v>
      </c>
      <c r="L75" s="128" t="s">
        <v>19157</v>
      </c>
      <c r="M75" s="128" t="s">
        <v>19158</v>
      </c>
      <c r="N75" s="128" t="s">
        <v>19159</v>
      </c>
      <c r="O75" s="128" t="s">
        <v>19160</v>
      </c>
      <c r="P75" s="128" t="s">
        <v>19161</v>
      </c>
      <c r="Q75" s="128" t="s">
        <v>19162</v>
      </c>
      <c r="R75" s="128" t="s">
        <v>19163</v>
      </c>
      <c r="S75" s="128" t="s">
        <v>19164</v>
      </c>
      <c r="T75" s="128" t="s">
        <v>19165</v>
      </c>
      <c r="U75" s="128" t="s">
        <v>19166</v>
      </c>
      <c r="V75" s="128" t="s">
        <v>19167</v>
      </c>
      <c r="W75" s="128" t="s">
        <v>19168</v>
      </c>
      <c r="X75" s="128" t="s">
        <v>19169</v>
      </c>
      <c r="Y75" s="128" t="s">
        <v>19170</v>
      </c>
      <c r="Z75" s="128" t="s">
        <v>19171</v>
      </c>
      <c r="AA75" s="128" t="s">
        <v>19172</v>
      </c>
      <c r="AB75" s="128" t="s">
        <v>19173</v>
      </c>
      <c r="AC75" s="128" t="s">
        <v>19174</v>
      </c>
      <c r="AD75" s="128" t="s">
        <v>19175</v>
      </c>
      <c r="AE75" s="128" t="s">
        <v>19176</v>
      </c>
      <c r="AF75" s="128" t="s">
        <v>19177</v>
      </c>
    </row>
    <row r="76" spans="3:32" ht="319" x14ac:dyDescent="0.35">
      <c r="C76" s="128" t="s">
        <v>2144</v>
      </c>
      <c r="E76" s="128" t="s">
        <v>2145</v>
      </c>
      <c r="F76" s="128" t="s">
        <v>19178</v>
      </c>
      <c r="G76" s="128" t="s">
        <v>19179</v>
      </c>
      <c r="H76" s="128" t="s">
        <v>2148</v>
      </c>
      <c r="I76" s="128" t="s">
        <v>19180</v>
      </c>
      <c r="J76" s="128" t="s">
        <v>19181</v>
      </c>
      <c r="K76" s="128" t="s">
        <v>19182</v>
      </c>
      <c r="L76" s="128" t="s">
        <v>19183</v>
      </c>
      <c r="M76" s="128" t="s">
        <v>19184</v>
      </c>
      <c r="N76" s="128" t="s">
        <v>19185</v>
      </c>
      <c r="O76" s="128" t="s">
        <v>19186</v>
      </c>
      <c r="P76" s="128" t="s">
        <v>19187</v>
      </c>
      <c r="Q76" s="128" t="s">
        <v>19188</v>
      </c>
      <c r="R76" s="128" t="s">
        <v>19189</v>
      </c>
      <c r="S76" s="128" t="s">
        <v>19190</v>
      </c>
      <c r="T76" s="128" t="s">
        <v>19191</v>
      </c>
      <c r="U76" s="128" t="s">
        <v>19192</v>
      </c>
      <c r="V76" s="128" t="s">
        <v>19193</v>
      </c>
      <c r="W76" s="128" t="s">
        <v>19194</v>
      </c>
      <c r="X76" s="128" t="s">
        <v>19195</v>
      </c>
      <c r="Y76" s="128" t="s">
        <v>19196</v>
      </c>
      <c r="Z76" s="128" t="s">
        <v>19197</v>
      </c>
      <c r="AA76" s="128" t="s">
        <v>19198</v>
      </c>
      <c r="AB76" s="128" t="s">
        <v>19199</v>
      </c>
      <c r="AC76" s="128" t="s">
        <v>19200</v>
      </c>
      <c r="AD76" s="128" t="s">
        <v>19201</v>
      </c>
      <c r="AE76" s="128" t="s">
        <v>19202</v>
      </c>
      <c r="AF76" s="128" t="s">
        <v>19203</v>
      </c>
    </row>
    <row r="77" spans="3:32" ht="319" x14ac:dyDescent="0.35">
      <c r="C77" s="128" t="s">
        <v>2173</v>
      </c>
      <c r="E77" s="128" t="s">
        <v>2174</v>
      </c>
      <c r="F77" s="128" t="s">
        <v>19204</v>
      </c>
      <c r="G77" s="128" t="s">
        <v>19205</v>
      </c>
      <c r="H77" s="128" t="s">
        <v>2177</v>
      </c>
      <c r="I77" s="128" t="s">
        <v>19206</v>
      </c>
      <c r="J77" s="128" t="s">
        <v>19207</v>
      </c>
      <c r="K77" s="128" t="s">
        <v>19208</v>
      </c>
      <c r="L77" s="128" t="s">
        <v>19209</v>
      </c>
      <c r="M77" s="128" t="s">
        <v>19210</v>
      </c>
      <c r="N77" s="128" t="s">
        <v>19211</v>
      </c>
      <c r="O77" s="128" t="s">
        <v>19212</v>
      </c>
      <c r="P77" s="128" t="s">
        <v>19213</v>
      </c>
      <c r="Q77" s="128" t="s">
        <v>19214</v>
      </c>
      <c r="R77" s="128" t="s">
        <v>19215</v>
      </c>
      <c r="S77" s="128" t="s">
        <v>19216</v>
      </c>
      <c r="T77" s="128" t="s">
        <v>19217</v>
      </c>
      <c r="U77" s="128" t="s">
        <v>19218</v>
      </c>
      <c r="V77" s="128" t="s">
        <v>19219</v>
      </c>
      <c r="W77" s="128" t="s">
        <v>19220</v>
      </c>
      <c r="X77" s="128" t="s">
        <v>19221</v>
      </c>
      <c r="Y77" s="128" t="s">
        <v>19222</v>
      </c>
      <c r="Z77" s="128" t="s">
        <v>19223</v>
      </c>
      <c r="AA77" s="128" t="s">
        <v>19224</v>
      </c>
      <c r="AB77" s="128" t="s">
        <v>19225</v>
      </c>
      <c r="AC77" s="128" t="s">
        <v>19226</v>
      </c>
      <c r="AD77" s="128" t="s">
        <v>19227</v>
      </c>
      <c r="AE77" s="128" t="s">
        <v>19228</v>
      </c>
      <c r="AF77" s="128" t="s">
        <v>19229</v>
      </c>
    </row>
    <row r="78" spans="3:32" ht="319" x14ac:dyDescent="0.35">
      <c r="C78" s="128" t="s">
        <v>2202</v>
      </c>
      <c r="E78" s="128" t="s">
        <v>2203</v>
      </c>
      <c r="F78" s="128" t="s">
        <v>19230</v>
      </c>
      <c r="G78" s="128" t="s">
        <v>19231</v>
      </c>
      <c r="H78" s="128" t="s">
        <v>2206</v>
      </c>
      <c r="I78" s="128" t="s">
        <v>19232</v>
      </c>
      <c r="J78" s="128" t="s">
        <v>19233</v>
      </c>
      <c r="K78" s="128" t="s">
        <v>19234</v>
      </c>
      <c r="L78" s="128" t="s">
        <v>19235</v>
      </c>
      <c r="M78" s="128" t="s">
        <v>19236</v>
      </c>
      <c r="N78" s="128" t="s">
        <v>19237</v>
      </c>
      <c r="O78" s="128" t="s">
        <v>19238</v>
      </c>
      <c r="P78" s="128" t="s">
        <v>19239</v>
      </c>
      <c r="Q78" s="128" t="s">
        <v>19240</v>
      </c>
      <c r="R78" s="128" t="s">
        <v>19241</v>
      </c>
      <c r="S78" s="128" t="s">
        <v>19242</v>
      </c>
      <c r="T78" s="128" t="s">
        <v>19243</v>
      </c>
      <c r="U78" s="128" t="s">
        <v>19244</v>
      </c>
      <c r="V78" s="128" t="s">
        <v>19245</v>
      </c>
      <c r="W78" s="128" t="s">
        <v>19246</v>
      </c>
      <c r="X78" s="128" t="s">
        <v>19247</v>
      </c>
      <c r="Y78" s="128" t="s">
        <v>19248</v>
      </c>
      <c r="Z78" s="128" t="s">
        <v>19249</v>
      </c>
      <c r="AA78" s="128" t="s">
        <v>19250</v>
      </c>
      <c r="AB78" s="128" t="s">
        <v>19251</v>
      </c>
      <c r="AC78" s="128" t="s">
        <v>19252</v>
      </c>
      <c r="AD78" s="128" t="s">
        <v>19253</v>
      </c>
      <c r="AE78" s="128" t="s">
        <v>19254</v>
      </c>
      <c r="AF78" s="128" t="s">
        <v>19255</v>
      </c>
    </row>
    <row r="79" spans="3:32" ht="319" x14ac:dyDescent="0.35">
      <c r="C79" s="128" t="s">
        <v>2231</v>
      </c>
      <c r="E79" s="128" t="s">
        <v>2232</v>
      </c>
      <c r="F79" s="128" t="s">
        <v>19256</v>
      </c>
      <c r="G79" s="128" t="s">
        <v>19257</v>
      </c>
      <c r="H79" s="128" t="s">
        <v>2235</v>
      </c>
      <c r="I79" s="128" t="s">
        <v>19258</v>
      </c>
      <c r="J79" s="128" t="s">
        <v>19259</v>
      </c>
      <c r="K79" s="128" t="s">
        <v>19260</v>
      </c>
      <c r="L79" s="128" t="s">
        <v>19261</v>
      </c>
      <c r="M79" s="128" t="s">
        <v>19262</v>
      </c>
      <c r="N79" s="128" t="s">
        <v>19263</v>
      </c>
      <c r="O79" s="128" t="s">
        <v>19264</v>
      </c>
      <c r="P79" s="128" t="s">
        <v>19265</v>
      </c>
      <c r="Q79" s="128" t="s">
        <v>19266</v>
      </c>
      <c r="R79" s="128" t="s">
        <v>19267</v>
      </c>
      <c r="S79" s="128" t="s">
        <v>19268</v>
      </c>
      <c r="T79" s="128" t="s">
        <v>19269</v>
      </c>
      <c r="U79" s="128" t="s">
        <v>19270</v>
      </c>
      <c r="V79" s="128" t="s">
        <v>19271</v>
      </c>
      <c r="W79" s="128" t="s">
        <v>19272</v>
      </c>
      <c r="X79" s="128" t="s">
        <v>19273</v>
      </c>
      <c r="Y79" s="128" t="s">
        <v>19274</v>
      </c>
      <c r="Z79" s="128" t="s">
        <v>19275</v>
      </c>
      <c r="AA79" s="128" t="s">
        <v>19276</v>
      </c>
      <c r="AB79" s="128" t="s">
        <v>19277</v>
      </c>
      <c r="AC79" s="128" t="s">
        <v>19278</v>
      </c>
      <c r="AD79" s="128" t="s">
        <v>19279</v>
      </c>
      <c r="AE79" s="128" t="s">
        <v>19280</v>
      </c>
      <c r="AF79" s="128" t="s">
        <v>19281</v>
      </c>
    </row>
    <row r="80" spans="3:32" ht="319" x14ac:dyDescent="0.35">
      <c r="C80" s="128" t="s">
        <v>2260</v>
      </c>
      <c r="E80" s="128" t="s">
        <v>2261</v>
      </c>
      <c r="F80" s="128" t="s">
        <v>19282</v>
      </c>
      <c r="G80" s="128" t="s">
        <v>19283</v>
      </c>
      <c r="H80" s="128" t="s">
        <v>2264</v>
      </c>
      <c r="I80" s="128" t="s">
        <v>19284</v>
      </c>
      <c r="J80" s="128" t="s">
        <v>19285</v>
      </c>
      <c r="K80" s="128" t="s">
        <v>19286</v>
      </c>
      <c r="L80" s="128" t="s">
        <v>19287</v>
      </c>
      <c r="M80" s="128" t="s">
        <v>19288</v>
      </c>
      <c r="N80" s="128" t="s">
        <v>19289</v>
      </c>
      <c r="O80" s="128" t="s">
        <v>19290</v>
      </c>
      <c r="P80" s="128" t="s">
        <v>19291</v>
      </c>
      <c r="Q80" s="128" t="s">
        <v>19292</v>
      </c>
      <c r="R80" s="128" t="s">
        <v>19293</v>
      </c>
      <c r="S80" s="128" t="s">
        <v>19294</v>
      </c>
      <c r="T80" s="128" t="s">
        <v>19295</v>
      </c>
      <c r="U80" s="128" t="s">
        <v>19296</v>
      </c>
      <c r="V80" s="128" t="s">
        <v>19297</v>
      </c>
      <c r="W80" s="128" t="s">
        <v>19298</v>
      </c>
      <c r="X80" s="128" t="s">
        <v>19299</v>
      </c>
      <c r="Y80" s="128" t="s">
        <v>19300</v>
      </c>
      <c r="Z80" s="128" t="s">
        <v>19301</v>
      </c>
      <c r="AA80" s="128" t="s">
        <v>19302</v>
      </c>
      <c r="AB80" s="128" t="s">
        <v>19303</v>
      </c>
      <c r="AC80" s="128" t="s">
        <v>19304</v>
      </c>
      <c r="AD80" s="128" t="s">
        <v>19305</v>
      </c>
      <c r="AE80" s="128" t="s">
        <v>19306</v>
      </c>
      <c r="AF80" s="128" t="s">
        <v>19307</v>
      </c>
    </row>
    <row r="81" spans="3:32" ht="319" x14ac:dyDescent="0.35">
      <c r="C81" s="128" t="s">
        <v>2289</v>
      </c>
      <c r="E81" s="128" t="s">
        <v>2290</v>
      </c>
      <c r="F81" s="128" t="s">
        <v>19308</v>
      </c>
      <c r="G81" s="128" t="s">
        <v>19309</v>
      </c>
      <c r="H81" s="128" t="s">
        <v>2293</v>
      </c>
      <c r="I81" s="128" t="s">
        <v>19310</v>
      </c>
      <c r="J81" s="128" t="s">
        <v>19311</v>
      </c>
      <c r="K81" s="128" t="s">
        <v>19312</v>
      </c>
      <c r="L81" s="128" t="s">
        <v>19313</v>
      </c>
      <c r="M81" s="128" t="s">
        <v>19314</v>
      </c>
      <c r="N81" s="128" t="s">
        <v>19315</v>
      </c>
      <c r="O81" s="128" t="s">
        <v>19316</v>
      </c>
      <c r="P81" s="128" t="s">
        <v>19317</v>
      </c>
      <c r="Q81" s="128" t="s">
        <v>19318</v>
      </c>
      <c r="R81" s="128" t="s">
        <v>19319</v>
      </c>
      <c r="S81" s="128" t="s">
        <v>19320</v>
      </c>
      <c r="T81" s="128" t="s">
        <v>19321</v>
      </c>
      <c r="U81" s="128" t="s">
        <v>19322</v>
      </c>
      <c r="V81" s="128" t="s">
        <v>19323</v>
      </c>
      <c r="W81" s="128" t="s">
        <v>19324</v>
      </c>
      <c r="X81" s="128" t="s">
        <v>19325</v>
      </c>
      <c r="Y81" s="128" t="s">
        <v>19326</v>
      </c>
      <c r="Z81" s="128" t="s">
        <v>19327</v>
      </c>
      <c r="AA81" s="128" t="s">
        <v>19328</v>
      </c>
      <c r="AB81" s="128" t="s">
        <v>19329</v>
      </c>
      <c r="AC81" s="128" t="s">
        <v>19330</v>
      </c>
      <c r="AD81" s="128" t="s">
        <v>19331</v>
      </c>
      <c r="AE81" s="128" t="s">
        <v>19332</v>
      </c>
      <c r="AF81" s="128" t="s">
        <v>19333</v>
      </c>
    </row>
    <row r="82" spans="3:32" ht="319" x14ac:dyDescent="0.35">
      <c r="C82" s="128" t="s">
        <v>2318</v>
      </c>
      <c r="E82" s="128" t="s">
        <v>2319</v>
      </c>
      <c r="F82" s="128" t="s">
        <v>19334</v>
      </c>
      <c r="G82" s="128" t="s">
        <v>19335</v>
      </c>
      <c r="H82" s="128" t="s">
        <v>2322</v>
      </c>
      <c r="I82" s="128" t="s">
        <v>19336</v>
      </c>
      <c r="J82" s="128" t="s">
        <v>19337</v>
      </c>
      <c r="K82" s="128" t="s">
        <v>19338</v>
      </c>
      <c r="L82" s="128" t="s">
        <v>19339</v>
      </c>
      <c r="M82" s="128" t="s">
        <v>19340</v>
      </c>
      <c r="N82" s="128" t="s">
        <v>19341</v>
      </c>
      <c r="O82" s="128" t="s">
        <v>19342</v>
      </c>
      <c r="P82" s="128" t="s">
        <v>19343</v>
      </c>
      <c r="Q82" s="128" t="s">
        <v>19344</v>
      </c>
      <c r="R82" s="128" t="s">
        <v>19345</v>
      </c>
      <c r="S82" s="128" t="s">
        <v>19346</v>
      </c>
      <c r="T82" s="128" t="s">
        <v>19347</v>
      </c>
      <c r="U82" s="128" t="s">
        <v>19348</v>
      </c>
      <c r="V82" s="128" t="s">
        <v>19349</v>
      </c>
      <c r="W82" s="128" t="s">
        <v>19350</v>
      </c>
      <c r="X82" s="128" t="s">
        <v>19351</v>
      </c>
      <c r="Y82" s="128" t="s">
        <v>19352</v>
      </c>
      <c r="Z82" s="128" t="s">
        <v>19353</v>
      </c>
      <c r="AA82" s="128" t="s">
        <v>19354</v>
      </c>
      <c r="AB82" s="128" t="s">
        <v>19355</v>
      </c>
      <c r="AC82" s="128" t="s">
        <v>19356</v>
      </c>
      <c r="AD82" s="128" t="s">
        <v>19357</v>
      </c>
      <c r="AE82" s="128" t="s">
        <v>19358</v>
      </c>
      <c r="AF82" s="128" t="s">
        <v>19359</v>
      </c>
    </row>
    <row r="83" spans="3:32" ht="319" x14ac:dyDescent="0.35">
      <c r="C83" s="128" t="s">
        <v>2347</v>
      </c>
      <c r="E83" s="128" t="s">
        <v>2348</v>
      </c>
      <c r="F83" s="128" t="s">
        <v>19360</v>
      </c>
      <c r="G83" s="128" t="s">
        <v>19361</v>
      </c>
      <c r="H83" s="128" t="s">
        <v>2351</v>
      </c>
      <c r="I83" s="128" t="s">
        <v>19362</v>
      </c>
      <c r="J83" s="128" t="s">
        <v>19363</v>
      </c>
      <c r="K83" s="128" t="s">
        <v>19364</v>
      </c>
      <c r="L83" s="128" t="s">
        <v>19365</v>
      </c>
      <c r="M83" s="128" t="s">
        <v>19366</v>
      </c>
      <c r="N83" s="128" t="s">
        <v>19367</v>
      </c>
      <c r="O83" s="128" t="s">
        <v>19368</v>
      </c>
      <c r="P83" s="128" t="s">
        <v>19369</v>
      </c>
      <c r="Q83" s="128" t="s">
        <v>19370</v>
      </c>
      <c r="R83" s="128" t="s">
        <v>19371</v>
      </c>
      <c r="S83" s="128" t="s">
        <v>19372</v>
      </c>
      <c r="T83" s="128" t="s">
        <v>19373</v>
      </c>
      <c r="U83" s="128" t="s">
        <v>19374</v>
      </c>
      <c r="V83" s="128" t="s">
        <v>19375</v>
      </c>
      <c r="W83" s="128" t="s">
        <v>19376</v>
      </c>
      <c r="X83" s="128" t="s">
        <v>19377</v>
      </c>
      <c r="Y83" s="128" t="s">
        <v>19378</v>
      </c>
      <c r="Z83" s="128" t="s">
        <v>19379</v>
      </c>
      <c r="AA83" s="128" t="s">
        <v>19380</v>
      </c>
      <c r="AB83" s="128" t="s">
        <v>19381</v>
      </c>
      <c r="AC83" s="128" t="s">
        <v>19382</v>
      </c>
      <c r="AD83" s="128" t="s">
        <v>19383</v>
      </c>
      <c r="AE83" s="128" t="s">
        <v>19384</v>
      </c>
      <c r="AF83" s="128" t="s">
        <v>19385</v>
      </c>
    </row>
    <row r="84" spans="3:32" ht="319" x14ac:dyDescent="0.35">
      <c r="C84" s="128" t="s">
        <v>2376</v>
      </c>
      <c r="E84" s="128" t="s">
        <v>2377</v>
      </c>
      <c r="F84" s="128" t="s">
        <v>19386</v>
      </c>
      <c r="G84" s="128" t="s">
        <v>19387</v>
      </c>
      <c r="H84" s="128" t="s">
        <v>2380</v>
      </c>
      <c r="I84" s="128" t="s">
        <v>19388</v>
      </c>
      <c r="J84" s="128" t="s">
        <v>19389</v>
      </c>
      <c r="K84" s="128" t="s">
        <v>19390</v>
      </c>
      <c r="L84" s="128" t="s">
        <v>19391</v>
      </c>
      <c r="M84" s="128" t="s">
        <v>19392</v>
      </c>
      <c r="N84" s="128" t="s">
        <v>19393</v>
      </c>
      <c r="O84" s="128" t="s">
        <v>19394</v>
      </c>
      <c r="P84" s="128" t="s">
        <v>19395</v>
      </c>
      <c r="Q84" s="128" t="s">
        <v>19396</v>
      </c>
      <c r="R84" s="128" t="s">
        <v>19397</v>
      </c>
      <c r="S84" s="128" t="s">
        <v>19398</v>
      </c>
      <c r="T84" s="128" t="s">
        <v>19399</v>
      </c>
      <c r="U84" s="128" t="s">
        <v>19400</v>
      </c>
      <c r="V84" s="128" t="s">
        <v>19401</v>
      </c>
      <c r="W84" s="128" t="s">
        <v>19402</v>
      </c>
      <c r="X84" s="128" t="s">
        <v>19403</v>
      </c>
      <c r="Y84" s="128" t="s">
        <v>19404</v>
      </c>
      <c r="Z84" s="128" t="s">
        <v>19405</v>
      </c>
      <c r="AA84" s="128" t="s">
        <v>19406</v>
      </c>
      <c r="AB84" s="128" t="s">
        <v>19407</v>
      </c>
      <c r="AC84" s="128" t="s">
        <v>19408</v>
      </c>
      <c r="AD84" s="128" t="s">
        <v>19409</v>
      </c>
      <c r="AE84" s="128" t="s">
        <v>19410</v>
      </c>
      <c r="AF84" s="128" t="s">
        <v>19411</v>
      </c>
    </row>
    <row r="85" spans="3:32" ht="319" x14ac:dyDescent="0.35">
      <c r="C85" s="128" t="s">
        <v>2405</v>
      </c>
      <c r="E85" s="128" t="s">
        <v>2406</v>
      </c>
      <c r="F85" s="128" t="s">
        <v>19412</v>
      </c>
      <c r="G85" s="128" t="s">
        <v>19413</v>
      </c>
      <c r="H85" s="128" t="s">
        <v>2409</v>
      </c>
      <c r="I85" s="128" t="s">
        <v>19414</v>
      </c>
      <c r="J85" s="128" t="s">
        <v>19415</v>
      </c>
      <c r="K85" s="128" t="s">
        <v>19416</v>
      </c>
      <c r="L85" s="128" t="s">
        <v>19417</v>
      </c>
      <c r="M85" s="128" t="s">
        <v>19418</v>
      </c>
      <c r="N85" s="128" t="s">
        <v>19419</v>
      </c>
      <c r="O85" s="128" t="s">
        <v>19420</v>
      </c>
      <c r="P85" s="128" t="s">
        <v>19421</v>
      </c>
      <c r="Q85" s="128" t="s">
        <v>19422</v>
      </c>
      <c r="R85" s="128" t="s">
        <v>19423</v>
      </c>
      <c r="S85" s="128" t="s">
        <v>19424</v>
      </c>
      <c r="T85" s="128" t="s">
        <v>19425</v>
      </c>
      <c r="U85" s="128" t="s">
        <v>19426</v>
      </c>
      <c r="V85" s="128" t="s">
        <v>19427</v>
      </c>
      <c r="W85" s="128" t="s">
        <v>19428</v>
      </c>
      <c r="X85" s="128" t="s">
        <v>19429</v>
      </c>
      <c r="Y85" s="128" t="s">
        <v>19430</v>
      </c>
      <c r="Z85" s="128" t="s">
        <v>19431</v>
      </c>
      <c r="AA85" s="128" t="s">
        <v>19432</v>
      </c>
      <c r="AB85" s="128" t="s">
        <v>19433</v>
      </c>
      <c r="AC85" s="128" t="s">
        <v>19434</v>
      </c>
      <c r="AD85" s="128" t="s">
        <v>19435</v>
      </c>
      <c r="AE85" s="128" t="s">
        <v>19436</v>
      </c>
      <c r="AF85" s="128" t="s">
        <v>19437</v>
      </c>
    </row>
    <row r="86" spans="3:32" ht="319" x14ac:dyDescent="0.35">
      <c r="C86" s="128" t="s">
        <v>2434</v>
      </c>
      <c r="E86" s="128" t="s">
        <v>2435</v>
      </c>
      <c r="F86" s="128" t="s">
        <v>19438</v>
      </c>
      <c r="G86" s="128" t="s">
        <v>19439</v>
      </c>
      <c r="H86" s="128" t="s">
        <v>2438</v>
      </c>
      <c r="I86" s="128" t="s">
        <v>19440</v>
      </c>
      <c r="J86" s="128" t="s">
        <v>19441</v>
      </c>
      <c r="K86" s="128" t="s">
        <v>19442</v>
      </c>
      <c r="L86" s="128" t="s">
        <v>19443</v>
      </c>
      <c r="M86" s="128" t="s">
        <v>19444</v>
      </c>
      <c r="N86" s="128" t="s">
        <v>19445</v>
      </c>
      <c r="O86" s="128" t="s">
        <v>19446</v>
      </c>
      <c r="P86" s="128" t="s">
        <v>19447</v>
      </c>
      <c r="Q86" s="128" t="s">
        <v>19448</v>
      </c>
      <c r="R86" s="128" t="s">
        <v>19449</v>
      </c>
      <c r="S86" s="128" t="s">
        <v>19450</v>
      </c>
      <c r="T86" s="128" t="s">
        <v>19451</v>
      </c>
      <c r="U86" s="128" t="s">
        <v>19452</v>
      </c>
      <c r="V86" s="128" t="s">
        <v>19453</v>
      </c>
      <c r="W86" s="128" t="s">
        <v>19454</v>
      </c>
      <c r="X86" s="128" t="s">
        <v>19455</v>
      </c>
      <c r="Y86" s="128" t="s">
        <v>19456</v>
      </c>
      <c r="Z86" s="128" t="s">
        <v>19457</v>
      </c>
      <c r="AA86" s="128" t="s">
        <v>19458</v>
      </c>
      <c r="AB86" s="128" t="s">
        <v>19459</v>
      </c>
      <c r="AC86" s="128" t="s">
        <v>19460</v>
      </c>
      <c r="AD86" s="128" t="s">
        <v>19461</v>
      </c>
      <c r="AE86" s="128" t="s">
        <v>19462</v>
      </c>
      <c r="AF86" s="128" t="s">
        <v>19463</v>
      </c>
    </row>
    <row r="87" spans="3:32" ht="319" x14ac:dyDescent="0.35">
      <c r="C87" s="128" t="s">
        <v>2463</v>
      </c>
      <c r="E87" s="128" t="s">
        <v>2464</v>
      </c>
      <c r="F87" s="128" t="s">
        <v>19464</v>
      </c>
      <c r="G87" s="128" t="s">
        <v>19465</v>
      </c>
      <c r="H87" s="128" t="s">
        <v>2467</v>
      </c>
      <c r="I87" s="128" t="s">
        <v>19466</v>
      </c>
      <c r="J87" s="128" t="s">
        <v>19467</v>
      </c>
      <c r="K87" s="128" t="s">
        <v>19468</v>
      </c>
      <c r="L87" s="128" t="s">
        <v>19469</v>
      </c>
      <c r="M87" s="128" t="s">
        <v>19470</v>
      </c>
      <c r="N87" s="128" t="s">
        <v>19471</v>
      </c>
      <c r="O87" s="128" t="s">
        <v>19472</v>
      </c>
      <c r="P87" s="128" t="s">
        <v>19473</v>
      </c>
      <c r="Q87" s="128" t="s">
        <v>19474</v>
      </c>
      <c r="R87" s="128" t="s">
        <v>19475</v>
      </c>
      <c r="S87" s="128" t="s">
        <v>19476</v>
      </c>
      <c r="T87" s="128" t="s">
        <v>19477</v>
      </c>
      <c r="U87" s="128" t="s">
        <v>19478</v>
      </c>
      <c r="V87" s="128" t="s">
        <v>19479</v>
      </c>
      <c r="W87" s="128" t="s">
        <v>19480</v>
      </c>
      <c r="X87" s="128" t="s">
        <v>19481</v>
      </c>
      <c r="Y87" s="128" t="s">
        <v>19482</v>
      </c>
      <c r="Z87" s="128" t="s">
        <v>19483</v>
      </c>
      <c r="AA87" s="128" t="s">
        <v>19484</v>
      </c>
      <c r="AB87" s="128" t="s">
        <v>19485</v>
      </c>
      <c r="AC87" s="128" t="s">
        <v>19486</v>
      </c>
      <c r="AD87" s="128" t="s">
        <v>19487</v>
      </c>
      <c r="AE87" s="128" t="s">
        <v>19488</v>
      </c>
      <c r="AF87" s="128" t="s">
        <v>19489</v>
      </c>
    </row>
    <row r="88" spans="3:32" ht="319" x14ac:dyDescent="0.35">
      <c r="C88" s="128" t="s">
        <v>2492</v>
      </c>
      <c r="E88" s="128" t="s">
        <v>2493</v>
      </c>
      <c r="F88" s="128" t="s">
        <v>19490</v>
      </c>
      <c r="G88" s="128" t="s">
        <v>19491</v>
      </c>
      <c r="H88" s="128" t="s">
        <v>2496</v>
      </c>
      <c r="I88" s="128" t="s">
        <v>19492</v>
      </c>
      <c r="J88" s="128" t="s">
        <v>19493</v>
      </c>
      <c r="K88" s="128" t="s">
        <v>19494</v>
      </c>
      <c r="L88" s="128" t="s">
        <v>19495</v>
      </c>
      <c r="M88" s="128" t="s">
        <v>19496</v>
      </c>
      <c r="N88" s="128" t="s">
        <v>19497</v>
      </c>
      <c r="O88" s="128" t="s">
        <v>19498</v>
      </c>
      <c r="P88" s="128" t="s">
        <v>19499</v>
      </c>
      <c r="Q88" s="128" t="s">
        <v>19500</v>
      </c>
      <c r="R88" s="128" t="s">
        <v>19501</v>
      </c>
      <c r="S88" s="128" t="s">
        <v>19502</v>
      </c>
      <c r="T88" s="128" t="s">
        <v>19503</v>
      </c>
      <c r="U88" s="128" t="s">
        <v>19504</v>
      </c>
      <c r="V88" s="128" t="s">
        <v>19505</v>
      </c>
      <c r="W88" s="128" t="s">
        <v>19506</v>
      </c>
      <c r="X88" s="128" t="s">
        <v>19507</v>
      </c>
      <c r="Y88" s="128" t="s">
        <v>19508</v>
      </c>
      <c r="Z88" s="128" t="s">
        <v>19509</v>
      </c>
      <c r="AA88" s="128" t="s">
        <v>19510</v>
      </c>
      <c r="AB88" s="128" t="s">
        <v>19511</v>
      </c>
      <c r="AC88" s="128" t="s">
        <v>19512</v>
      </c>
      <c r="AD88" s="128" t="s">
        <v>19513</v>
      </c>
      <c r="AE88" s="128" t="s">
        <v>19514</v>
      </c>
      <c r="AF88" s="128" t="s">
        <v>19515</v>
      </c>
    </row>
    <row r="89" spans="3:32" ht="319" x14ac:dyDescent="0.35">
      <c r="C89" s="128" t="s">
        <v>2521</v>
      </c>
      <c r="E89" s="128" t="s">
        <v>2522</v>
      </c>
      <c r="F89" s="128" t="s">
        <v>19516</v>
      </c>
      <c r="G89" s="128" t="s">
        <v>19517</v>
      </c>
      <c r="H89" s="128" t="s">
        <v>2525</v>
      </c>
      <c r="I89" s="128" t="s">
        <v>19518</v>
      </c>
      <c r="J89" s="128" t="s">
        <v>19519</v>
      </c>
      <c r="K89" s="128" t="s">
        <v>19520</v>
      </c>
      <c r="L89" s="128" t="s">
        <v>19521</v>
      </c>
      <c r="M89" s="128" t="s">
        <v>19522</v>
      </c>
      <c r="N89" s="128" t="s">
        <v>19523</v>
      </c>
      <c r="O89" s="128" t="s">
        <v>19524</v>
      </c>
      <c r="P89" s="128" t="s">
        <v>19525</v>
      </c>
      <c r="Q89" s="128" t="s">
        <v>19526</v>
      </c>
      <c r="R89" s="128" t="s">
        <v>19527</v>
      </c>
      <c r="S89" s="128" t="s">
        <v>19528</v>
      </c>
      <c r="T89" s="128" t="s">
        <v>19529</v>
      </c>
      <c r="U89" s="128" t="s">
        <v>19530</v>
      </c>
      <c r="V89" s="128" t="s">
        <v>19531</v>
      </c>
      <c r="W89" s="128" t="s">
        <v>19532</v>
      </c>
      <c r="X89" s="128" t="s">
        <v>19533</v>
      </c>
      <c r="Y89" s="128" t="s">
        <v>19534</v>
      </c>
      <c r="Z89" s="128" t="s">
        <v>19535</v>
      </c>
      <c r="AA89" s="128" t="s">
        <v>19536</v>
      </c>
      <c r="AB89" s="128" t="s">
        <v>19537</v>
      </c>
      <c r="AC89" s="128" t="s">
        <v>19538</v>
      </c>
      <c r="AD89" s="128" t="s">
        <v>19539</v>
      </c>
      <c r="AE89" s="128" t="s">
        <v>19540</v>
      </c>
      <c r="AF89" s="128" t="s">
        <v>19541</v>
      </c>
    </row>
    <row r="90" spans="3:32" ht="319" x14ac:dyDescent="0.35">
      <c r="C90" s="128" t="s">
        <v>2550</v>
      </c>
      <c r="E90" s="128" t="s">
        <v>2551</v>
      </c>
      <c r="F90" s="128" t="s">
        <v>19542</v>
      </c>
      <c r="G90" s="128" t="s">
        <v>19543</v>
      </c>
      <c r="H90" s="128" t="s">
        <v>2554</v>
      </c>
      <c r="I90" s="128" t="s">
        <v>19544</v>
      </c>
      <c r="J90" s="128" t="s">
        <v>19545</v>
      </c>
      <c r="K90" s="128" t="s">
        <v>19546</v>
      </c>
      <c r="L90" s="128" t="s">
        <v>19547</v>
      </c>
      <c r="M90" s="128" t="s">
        <v>19548</v>
      </c>
      <c r="N90" s="128" t="s">
        <v>19549</v>
      </c>
      <c r="O90" s="128" t="s">
        <v>19550</v>
      </c>
      <c r="P90" s="128" t="s">
        <v>19551</v>
      </c>
      <c r="Q90" s="128" t="s">
        <v>19552</v>
      </c>
      <c r="R90" s="128" t="s">
        <v>19553</v>
      </c>
      <c r="S90" s="128" t="s">
        <v>19554</v>
      </c>
      <c r="T90" s="128" t="s">
        <v>19555</v>
      </c>
      <c r="U90" s="128" t="s">
        <v>19556</v>
      </c>
      <c r="V90" s="128" t="s">
        <v>19557</v>
      </c>
      <c r="W90" s="128" t="s">
        <v>19558</v>
      </c>
      <c r="X90" s="128" t="s">
        <v>19559</v>
      </c>
      <c r="Y90" s="128" t="s">
        <v>19560</v>
      </c>
      <c r="Z90" s="128" t="s">
        <v>19561</v>
      </c>
      <c r="AA90" s="128" t="s">
        <v>19562</v>
      </c>
      <c r="AB90" s="128" t="s">
        <v>19563</v>
      </c>
      <c r="AC90" s="128" t="s">
        <v>19564</v>
      </c>
      <c r="AD90" s="128" t="s">
        <v>19565</v>
      </c>
      <c r="AE90" s="128" t="s">
        <v>19566</v>
      </c>
      <c r="AF90" s="128" t="s">
        <v>19567</v>
      </c>
    </row>
    <row r="91" spans="3:32" ht="319" x14ac:dyDescent="0.35">
      <c r="C91" s="128" t="s">
        <v>2579</v>
      </c>
      <c r="E91" s="128" t="s">
        <v>2580</v>
      </c>
      <c r="F91" s="128" t="s">
        <v>19568</v>
      </c>
      <c r="G91" s="128" t="s">
        <v>19569</v>
      </c>
      <c r="H91" s="128" t="s">
        <v>2583</v>
      </c>
      <c r="I91" s="128" t="s">
        <v>19570</v>
      </c>
      <c r="J91" s="128" t="s">
        <v>19571</v>
      </c>
      <c r="K91" s="128" t="s">
        <v>19572</v>
      </c>
      <c r="L91" s="128" t="s">
        <v>19573</v>
      </c>
      <c r="M91" s="128" t="s">
        <v>19574</v>
      </c>
      <c r="N91" s="128" t="s">
        <v>19575</v>
      </c>
      <c r="O91" s="128" t="s">
        <v>19576</v>
      </c>
      <c r="P91" s="128" t="s">
        <v>19577</v>
      </c>
      <c r="Q91" s="128" t="s">
        <v>19578</v>
      </c>
      <c r="R91" s="128" t="s">
        <v>19579</v>
      </c>
      <c r="S91" s="128" t="s">
        <v>19580</v>
      </c>
      <c r="T91" s="128" t="s">
        <v>19581</v>
      </c>
      <c r="U91" s="128" t="s">
        <v>19582</v>
      </c>
      <c r="V91" s="128" t="s">
        <v>19583</v>
      </c>
      <c r="W91" s="128" t="s">
        <v>19584</v>
      </c>
      <c r="X91" s="128" t="s">
        <v>19585</v>
      </c>
      <c r="Y91" s="128" t="s">
        <v>19586</v>
      </c>
      <c r="Z91" s="128" t="s">
        <v>19587</v>
      </c>
      <c r="AA91" s="128" t="s">
        <v>19588</v>
      </c>
      <c r="AB91" s="128" t="s">
        <v>19589</v>
      </c>
      <c r="AC91" s="128" t="s">
        <v>19590</v>
      </c>
      <c r="AD91" s="128" t="s">
        <v>19591</v>
      </c>
      <c r="AE91" s="128" t="s">
        <v>19592</v>
      </c>
      <c r="AF91" s="128" t="s">
        <v>19593</v>
      </c>
    </row>
    <row r="92" spans="3:32" ht="319" x14ac:dyDescent="0.35">
      <c r="C92" s="128" t="s">
        <v>2608</v>
      </c>
      <c r="E92" s="128" t="s">
        <v>2609</v>
      </c>
      <c r="F92" s="128" t="s">
        <v>19594</v>
      </c>
      <c r="G92" s="128" t="s">
        <v>19595</v>
      </c>
      <c r="H92" s="128" t="s">
        <v>2612</v>
      </c>
      <c r="I92" s="128" t="s">
        <v>19596</v>
      </c>
      <c r="J92" s="128" t="s">
        <v>19597</v>
      </c>
      <c r="K92" s="128" t="s">
        <v>19598</v>
      </c>
      <c r="L92" s="128" t="s">
        <v>19599</v>
      </c>
      <c r="M92" s="128" t="s">
        <v>19600</v>
      </c>
      <c r="N92" s="128" t="s">
        <v>19601</v>
      </c>
      <c r="O92" s="128" t="s">
        <v>19602</v>
      </c>
      <c r="P92" s="128" t="s">
        <v>19603</v>
      </c>
      <c r="Q92" s="128" t="s">
        <v>19604</v>
      </c>
      <c r="R92" s="128" t="s">
        <v>19605</v>
      </c>
      <c r="S92" s="128" t="s">
        <v>19606</v>
      </c>
      <c r="T92" s="128" t="s">
        <v>19607</v>
      </c>
      <c r="U92" s="128" t="s">
        <v>19608</v>
      </c>
      <c r="V92" s="128" t="s">
        <v>19609</v>
      </c>
      <c r="W92" s="128" t="s">
        <v>19610</v>
      </c>
      <c r="X92" s="128" t="s">
        <v>19611</v>
      </c>
      <c r="Y92" s="128" t="s">
        <v>19612</v>
      </c>
      <c r="Z92" s="128" t="s">
        <v>19613</v>
      </c>
      <c r="AA92" s="128" t="s">
        <v>19614</v>
      </c>
      <c r="AB92" s="128" t="s">
        <v>19615</v>
      </c>
      <c r="AC92" s="128" t="s">
        <v>19616</v>
      </c>
      <c r="AD92" s="128" t="s">
        <v>19617</v>
      </c>
      <c r="AE92" s="128" t="s">
        <v>19618</v>
      </c>
      <c r="AF92" s="128" t="s">
        <v>19619</v>
      </c>
    </row>
    <row r="93" spans="3:32" ht="319" x14ac:dyDescent="0.35">
      <c r="C93" s="128" t="s">
        <v>2637</v>
      </c>
      <c r="E93" s="128" t="s">
        <v>2638</v>
      </c>
      <c r="F93" s="128" t="s">
        <v>19620</v>
      </c>
      <c r="G93" s="128" t="s">
        <v>19621</v>
      </c>
      <c r="H93" s="128" t="s">
        <v>2641</v>
      </c>
      <c r="I93" s="128" t="s">
        <v>19622</v>
      </c>
      <c r="J93" s="128" t="s">
        <v>19623</v>
      </c>
      <c r="K93" s="128" t="s">
        <v>19624</v>
      </c>
      <c r="L93" s="128" t="s">
        <v>19625</v>
      </c>
      <c r="M93" s="128" t="s">
        <v>19626</v>
      </c>
      <c r="N93" s="128" t="s">
        <v>19627</v>
      </c>
      <c r="O93" s="128" t="s">
        <v>19628</v>
      </c>
      <c r="P93" s="128" t="s">
        <v>19629</v>
      </c>
      <c r="Q93" s="128" t="s">
        <v>19630</v>
      </c>
      <c r="R93" s="128" t="s">
        <v>19631</v>
      </c>
      <c r="S93" s="128" t="s">
        <v>19632</v>
      </c>
      <c r="T93" s="128" t="s">
        <v>19633</v>
      </c>
      <c r="U93" s="128" t="s">
        <v>19634</v>
      </c>
      <c r="V93" s="128" t="s">
        <v>19635</v>
      </c>
      <c r="W93" s="128" t="s">
        <v>19636</v>
      </c>
      <c r="X93" s="128" t="s">
        <v>19637</v>
      </c>
      <c r="Y93" s="128" t="s">
        <v>19638</v>
      </c>
      <c r="Z93" s="128" t="s">
        <v>19639</v>
      </c>
      <c r="AA93" s="128" t="s">
        <v>19640</v>
      </c>
      <c r="AB93" s="128" t="s">
        <v>19641</v>
      </c>
      <c r="AC93" s="128" t="s">
        <v>19642</v>
      </c>
      <c r="AD93" s="128" t="s">
        <v>19643</v>
      </c>
      <c r="AE93" s="128" t="s">
        <v>19644</v>
      </c>
      <c r="AF93" s="128" t="s">
        <v>19645</v>
      </c>
    </row>
    <row r="94" spans="3:32" ht="319" x14ac:dyDescent="0.35">
      <c r="C94" s="128" t="s">
        <v>2666</v>
      </c>
      <c r="E94" s="128" t="s">
        <v>2667</v>
      </c>
      <c r="F94" s="128" t="s">
        <v>19646</v>
      </c>
      <c r="G94" s="128" t="s">
        <v>19647</v>
      </c>
      <c r="H94" s="128" t="s">
        <v>2670</v>
      </c>
      <c r="I94" s="128" t="s">
        <v>19648</v>
      </c>
      <c r="J94" s="128" t="s">
        <v>19649</v>
      </c>
      <c r="K94" s="128" t="s">
        <v>19650</v>
      </c>
      <c r="L94" s="128" t="s">
        <v>19651</v>
      </c>
      <c r="M94" s="128" t="s">
        <v>19652</v>
      </c>
      <c r="N94" s="128" t="s">
        <v>19653</v>
      </c>
      <c r="O94" s="128" t="s">
        <v>19654</v>
      </c>
      <c r="P94" s="128" t="s">
        <v>19655</v>
      </c>
      <c r="Q94" s="128" t="s">
        <v>19656</v>
      </c>
      <c r="R94" s="128" t="s">
        <v>19657</v>
      </c>
      <c r="S94" s="128" t="s">
        <v>19658</v>
      </c>
      <c r="T94" s="128" t="s">
        <v>19659</v>
      </c>
      <c r="U94" s="128" t="s">
        <v>19660</v>
      </c>
      <c r="V94" s="128" t="s">
        <v>19661</v>
      </c>
      <c r="W94" s="128" t="s">
        <v>19662</v>
      </c>
      <c r="X94" s="128" t="s">
        <v>19663</v>
      </c>
      <c r="Y94" s="128" t="s">
        <v>19664</v>
      </c>
      <c r="Z94" s="128" t="s">
        <v>19665</v>
      </c>
      <c r="AA94" s="128" t="s">
        <v>19666</v>
      </c>
      <c r="AB94" s="128" t="s">
        <v>19667</v>
      </c>
      <c r="AC94" s="128" t="s">
        <v>19668</v>
      </c>
      <c r="AD94" s="128" t="s">
        <v>19669</v>
      </c>
      <c r="AE94" s="128" t="s">
        <v>19670</v>
      </c>
      <c r="AF94" s="128" t="s">
        <v>19671</v>
      </c>
    </row>
    <row r="95" spans="3:32" ht="319" x14ac:dyDescent="0.35">
      <c r="C95" s="128" t="s">
        <v>2695</v>
      </c>
      <c r="E95" s="128" t="s">
        <v>2696</v>
      </c>
      <c r="F95" s="128" t="s">
        <v>19672</v>
      </c>
      <c r="G95" s="128" t="s">
        <v>19673</v>
      </c>
      <c r="H95" s="128" t="s">
        <v>2699</v>
      </c>
      <c r="I95" s="128" t="s">
        <v>19674</v>
      </c>
      <c r="J95" s="128" t="s">
        <v>19675</v>
      </c>
      <c r="K95" s="128" t="s">
        <v>19676</v>
      </c>
      <c r="L95" s="128" t="s">
        <v>19677</v>
      </c>
      <c r="M95" s="128" t="s">
        <v>19678</v>
      </c>
      <c r="N95" s="128" t="s">
        <v>19679</v>
      </c>
      <c r="O95" s="128" t="s">
        <v>19680</v>
      </c>
      <c r="P95" s="128" t="s">
        <v>19681</v>
      </c>
      <c r="Q95" s="128" t="s">
        <v>19682</v>
      </c>
      <c r="R95" s="128" t="s">
        <v>19683</v>
      </c>
      <c r="S95" s="128" t="s">
        <v>19684</v>
      </c>
      <c r="T95" s="128" t="s">
        <v>19685</v>
      </c>
      <c r="U95" s="128" t="s">
        <v>19686</v>
      </c>
      <c r="V95" s="128" t="s">
        <v>19687</v>
      </c>
      <c r="W95" s="128" t="s">
        <v>19688</v>
      </c>
      <c r="X95" s="128" t="s">
        <v>19689</v>
      </c>
      <c r="Y95" s="128" t="s">
        <v>19690</v>
      </c>
      <c r="Z95" s="128" t="s">
        <v>19691</v>
      </c>
      <c r="AA95" s="128" t="s">
        <v>19692</v>
      </c>
      <c r="AB95" s="128" t="s">
        <v>19693</v>
      </c>
      <c r="AC95" s="128" t="s">
        <v>19694</v>
      </c>
      <c r="AD95" s="128" t="s">
        <v>19695</v>
      </c>
      <c r="AE95" s="128" t="s">
        <v>19696</v>
      </c>
      <c r="AF95" s="128" t="s">
        <v>19697</v>
      </c>
    </row>
    <row r="96" spans="3:32" ht="319" x14ac:dyDescent="0.35">
      <c r="C96" s="128" t="s">
        <v>2724</v>
      </c>
      <c r="E96" s="128" t="s">
        <v>2725</v>
      </c>
      <c r="F96" s="128" t="s">
        <v>19698</v>
      </c>
      <c r="G96" s="128" t="s">
        <v>19699</v>
      </c>
      <c r="H96" s="128" t="s">
        <v>2728</v>
      </c>
      <c r="I96" s="128" t="s">
        <v>19700</v>
      </c>
      <c r="J96" s="128" t="s">
        <v>19701</v>
      </c>
      <c r="K96" s="128" t="s">
        <v>19702</v>
      </c>
      <c r="L96" s="128" t="s">
        <v>19703</v>
      </c>
      <c r="M96" s="128" t="s">
        <v>19704</v>
      </c>
      <c r="N96" s="128" t="s">
        <v>19705</v>
      </c>
      <c r="O96" s="128" t="s">
        <v>19706</v>
      </c>
      <c r="P96" s="128" t="s">
        <v>19707</v>
      </c>
      <c r="Q96" s="128" t="s">
        <v>19708</v>
      </c>
      <c r="R96" s="128" t="s">
        <v>19709</v>
      </c>
      <c r="S96" s="128" t="s">
        <v>19710</v>
      </c>
      <c r="T96" s="128" t="s">
        <v>19711</v>
      </c>
      <c r="U96" s="128" t="s">
        <v>19712</v>
      </c>
      <c r="V96" s="128" t="s">
        <v>19713</v>
      </c>
      <c r="W96" s="128" t="s">
        <v>19714</v>
      </c>
      <c r="X96" s="128" t="s">
        <v>19715</v>
      </c>
      <c r="Y96" s="128" t="s">
        <v>19716</v>
      </c>
      <c r="Z96" s="128" t="s">
        <v>19717</v>
      </c>
      <c r="AA96" s="128" t="s">
        <v>19718</v>
      </c>
      <c r="AB96" s="128" t="s">
        <v>19719</v>
      </c>
      <c r="AC96" s="128" t="s">
        <v>19720</v>
      </c>
      <c r="AD96" s="128" t="s">
        <v>19721</v>
      </c>
      <c r="AE96" s="128" t="s">
        <v>19722</v>
      </c>
      <c r="AF96" s="128" t="s">
        <v>19723</v>
      </c>
    </row>
    <row r="97" spans="3:32" ht="319" x14ac:dyDescent="0.35">
      <c r="C97" s="128" t="s">
        <v>2753</v>
      </c>
      <c r="E97" s="128" t="s">
        <v>2754</v>
      </c>
      <c r="F97" s="128" t="s">
        <v>19724</v>
      </c>
      <c r="G97" s="128" t="s">
        <v>19725</v>
      </c>
      <c r="H97" s="128" t="s">
        <v>2757</v>
      </c>
      <c r="I97" s="128" t="s">
        <v>19726</v>
      </c>
      <c r="J97" s="128" t="s">
        <v>19727</v>
      </c>
      <c r="K97" s="128" t="s">
        <v>19728</v>
      </c>
      <c r="L97" s="128" t="s">
        <v>19729</v>
      </c>
      <c r="M97" s="128" t="s">
        <v>19730</v>
      </c>
      <c r="N97" s="128" t="s">
        <v>19731</v>
      </c>
      <c r="O97" s="128" t="s">
        <v>19732</v>
      </c>
      <c r="P97" s="128" t="s">
        <v>19733</v>
      </c>
      <c r="Q97" s="128" t="s">
        <v>19734</v>
      </c>
      <c r="R97" s="128" t="s">
        <v>19735</v>
      </c>
      <c r="S97" s="128" t="s">
        <v>19736</v>
      </c>
      <c r="T97" s="128" t="s">
        <v>19737</v>
      </c>
      <c r="U97" s="128" t="s">
        <v>19738</v>
      </c>
      <c r="V97" s="128" t="s">
        <v>19739</v>
      </c>
      <c r="W97" s="128" t="s">
        <v>19740</v>
      </c>
      <c r="X97" s="128" t="s">
        <v>19741</v>
      </c>
      <c r="Y97" s="128" t="s">
        <v>19742</v>
      </c>
      <c r="Z97" s="128" t="s">
        <v>19743</v>
      </c>
      <c r="AA97" s="128" t="s">
        <v>19744</v>
      </c>
      <c r="AB97" s="128" t="s">
        <v>19745</v>
      </c>
      <c r="AC97" s="128" t="s">
        <v>19746</v>
      </c>
      <c r="AD97" s="128" t="s">
        <v>19747</v>
      </c>
      <c r="AE97" s="128" t="s">
        <v>19748</v>
      </c>
      <c r="AF97" s="128" t="s">
        <v>19749</v>
      </c>
    </row>
    <row r="98" spans="3:32" ht="319" x14ac:dyDescent="0.35">
      <c r="C98" s="128" t="s">
        <v>2782</v>
      </c>
      <c r="E98" s="128" t="s">
        <v>2783</v>
      </c>
      <c r="F98" s="128" t="s">
        <v>19750</v>
      </c>
      <c r="G98" s="128" t="s">
        <v>19751</v>
      </c>
      <c r="H98" s="128" t="s">
        <v>2786</v>
      </c>
      <c r="I98" s="128" t="s">
        <v>19752</v>
      </c>
      <c r="J98" s="128" t="s">
        <v>19753</v>
      </c>
      <c r="K98" s="128" t="s">
        <v>19754</v>
      </c>
      <c r="L98" s="128" t="s">
        <v>19755</v>
      </c>
      <c r="M98" s="128" t="s">
        <v>19756</v>
      </c>
      <c r="N98" s="128" t="s">
        <v>19757</v>
      </c>
      <c r="O98" s="128" t="s">
        <v>19758</v>
      </c>
      <c r="P98" s="128" t="s">
        <v>19759</v>
      </c>
      <c r="Q98" s="128" t="s">
        <v>19760</v>
      </c>
      <c r="R98" s="128" t="s">
        <v>19761</v>
      </c>
      <c r="S98" s="128" t="s">
        <v>19762</v>
      </c>
      <c r="T98" s="128" t="s">
        <v>19763</v>
      </c>
      <c r="U98" s="128" t="s">
        <v>19764</v>
      </c>
      <c r="V98" s="128" t="s">
        <v>19765</v>
      </c>
      <c r="W98" s="128" t="s">
        <v>19766</v>
      </c>
      <c r="X98" s="128" t="s">
        <v>19767</v>
      </c>
      <c r="Y98" s="128" t="s">
        <v>19768</v>
      </c>
      <c r="Z98" s="128" t="s">
        <v>19769</v>
      </c>
      <c r="AA98" s="128" t="s">
        <v>19770</v>
      </c>
      <c r="AB98" s="128" t="s">
        <v>19771</v>
      </c>
      <c r="AC98" s="128" t="s">
        <v>19772</v>
      </c>
      <c r="AD98" s="128" t="s">
        <v>19773</v>
      </c>
      <c r="AE98" s="128" t="s">
        <v>19774</v>
      </c>
      <c r="AF98" s="128" t="s">
        <v>19775</v>
      </c>
    </row>
    <row r="99" spans="3:32" ht="319" x14ac:dyDescent="0.35">
      <c r="C99" s="128" t="s">
        <v>2811</v>
      </c>
      <c r="E99" s="128" t="s">
        <v>2812</v>
      </c>
      <c r="F99" s="128" t="s">
        <v>19776</v>
      </c>
      <c r="G99" s="128" t="s">
        <v>19777</v>
      </c>
      <c r="H99" s="128" t="s">
        <v>2815</v>
      </c>
      <c r="I99" s="128" t="s">
        <v>19778</v>
      </c>
      <c r="J99" s="128" t="s">
        <v>19779</v>
      </c>
      <c r="K99" s="128" t="s">
        <v>19780</v>
      </c>
      <c r="L99" s="128" t="s">
        <v>19781</v>
      </c>
      <c r="M99" s="128" t="s">
        <v>19782</v>
      </c>
      <c r="N99" s="128" t="s">
        <v>19783</v>
      </c>
      <c r="O99" s="128" t="s">
        <v>19784</v>
      </c>
      <c r="P99" s="128" t="s">
        <v>19785</v>
      </c>
      <c r="Q99" s="128" t="s">
        <v>19786</v>
      </c>
      <c r="R99" s="128" t="s">
        <v>19787</v>
      </c>
      <c r="S99" s="128" t="s">
        <v>19788</v>
      </c>
      <c r="T99" s="128" t="s">
        <v>19789</v>
      </c>
      <c r="U99" s="128" t="s">
        <v>19790</v>
      </c>
      <c r="V99" s="128" t="s">
        <v>19791</v>
      </c>
      <c r="W99" s="128" t="s">
        <v>19792</v>
      </c>
      <c r="X99" s="128" t="s">
        <v>19793</v>
      </c>
      <c r="Y99" s="128" t="s">
        <v>19794</v>
      </c>
      <c r="Z99" s="128" t="s">
        <v>19795</v>
      </c>
      <c r="AA99" s="128" t="s">
        <v>19796</v>
      </c>
      <c r="AB99" s="128" t="s">
        <v>19797</v>
      </c>
      <c r="AC99" s="128" t="s">
        <v>19798</v>
      </c>
      <c r="AD99" s="128" t="s">
        <v>19799</v>
      </c>
      <c r="AE99" s="128" t="s">
        <v>19800</v>
      </c>
      <c r="AF99" s="128" t="s">
        <v>19801</v>
      </c>
    </row>
    <row r="100" spans="3:32" ht="319" x14ac:dyDescent="0.35">
      <c r="C100" s="128" t="s">
        <v>2840</v>
      </c>
      <c r="E100" s="128" t="s">
        <v>2841</v>
      </c>
      <c r="F100" s="128" t="s">
        <v>19802</v>
      </c>
      <c r="G100" s="128" t="s">
        <v>19803</v>
      </c>
      <c r="H100" s="128" t="s">
        <v>2844</v>
      </c>
      <c r="I100" s="128" t="s">
        <v>19804</v>
      </c>
      <c r="J100" s="128" t="s">
        <v>19805</v>
      </c>
      <c r="K100" s="128" t="s">
        <v>19806</v>
      </c>
      <c r="L100" s="128" t="s">
        <v>19807</v>
      </c>
      <c r="M100" s="128" t="s">
        <v>19808</v>
      </c>
      <c r="N100" s="128" t="s">
        <v>19809</v>
      </c>
      <c r="O100" s="128" t="s">
        <v>19810</v>
      </c>
      <c r="P100" s="128" t="s">
        <v>19811</v>
      </c>
      <c r="Q100" s="128" t="s">
        <v>19812</v>
      </c>
      <c r="R100" s="128" t="s">
        <v>19813</v>
      </c>
      <c r="S100" s="128" t="s">
        <v>19814</v>
      </c>
      <c r="T100" s="128" t="s">
        <v>19815</v>
      </c>
      <c r="U100" s="128" t="s">
        <v>19816</v>
      </c>
      <c r="V100" s="128" t="s">
        <v>19817</v>
      </c>
      <c r="W100" s="128" t="s">
        <v>19818</v>
      </c>
      <c r="X100" s="128" t="s">
        <v>19819</v>
      </c>
      <c r="Y100" s="128" t="s">
        <v>19820</v>
      </c>
      <c r="Z100" s="128" t="s">
        <v>19821</v>
      </c>
      <c r="AA100" s="128" t="s">
        <v>19822</v>
      </c>
      <c r="AB100" s="128" t="s">
        <v>19823</v>
      </c>
      <c r="AC100" s="128" t="s">
        <v>19824</v>
      </c>
      <c r="AD100" s="128" t="s">
        <v>19825</v>
      </c>
      <c r="AE100" s="128" t="s">
        <v>19826</v>
      </c>
      <c r="AF100" s="128" t="s">
        <v>19827</v>
      </c>
    </row>
    <row r="101" spans="3:32" ht="319" x14ac:dyDescent="0.35">
      <c r="C101" s="128" t="s">
        <v>2869</v>
      </c>
      <c r="E101" s="128" t="s">
        <v>2870</v>
      </c>
      <c r="F101" s="128" t="s">
        <v>19828</v>
      </c>
      <c r="G101" s="128" t="s">
        <v>19829</v>
      </c>
      <c r="H101" s="128" t="s">
        <v>2873</v>
      </c>
      <c r="I101" s="128" t="s">
        <v>19830</v>
      </c>
      <c r="J101" s="128" t="s">
        <v>19831</v>
      </c>
      <c r="K101" s="128" t="s">
        <v>19832</v>
      </c>
      <c r="L101" s="128" t="s">
        <v>19833</v>
      </c>
      <c r="M101" s="128" t="s">
        <v>19834</v>
      </c>
      <c r="N101" s="128" t="s">
        <v>19835</v>
      </c>
      <c r="O101" s="128" t="s">
        <v>19836</v>
      </c>
      <c r="P101" s="128" t="s">
        <v>19837</v>
      </c>
      <c r="Q101" s="128" t="s">
        <v>19838</v>
      </c>
      <c r="R101" s="128" t="s">
        <v>19839</v>
      </c>
      <c r="S101" s="128" t="s">
        <v>19840</v>
      </c>
      <c r="T101" s="128" t="s">
        <v>19841</v>
      </c>
      <c r="U101" s="128" t="s">
        <v>19842</v>
      </c>
      <c r="V101" s="128" t="s">
        <v>19843</v>
      </c>
      <c r="W101" s="128" t="s">
        <v>19844</v>
      </c>
      <c r="X101" s="128" t="s">
        <v>19845</v>
      </c>
      <c r="Y101" s="128" t="s">
        <v>19846</v>
      </c>
      <c r="Z101" s="128" t="s">
        <v>19847</v>
      </c>
      <c r="AA101" s="128" t="s">
        <v>19848</v>
      </c>
      <c r="AB101" s="128" t="s">
        <v>19849</v>
      </c>
      <c r="AC101" s="128" t="s">
        <v>19850</v>
      </c>
      <c r="AD101" s="128" t="s">
        <v>19851</v>
      </c>
      <c r="AE101" s="128" t="s">
        <v>19852</v>
      </c>
      <c r="AF101" s="128" t="s">
        <v>19853</v>
      </c>
    </row>
    <row r="102" spans="3:32" ht="319" x14ac:dyDescent="0.35">
      <c r="C102" s="128" t="s">
        <v>2898</v>
      </c>
      <c r="E102" s="128" t="s">
        <v>2899</v>
      </c>
      <c r="F102" s="128" t="s">
        <v>19854</v>
      </c>
      <c r="G102" s="128" t="s">
        <v>19855</v>
      </c>
      <c r="H102" s="128" t="s">
        <v>2902</v>
      </c>
      <c r="I102" s="128" t="s">
        <v>19856</v>
      </c>
      <c r="J102" s="128" t="s">
        <v>19857</v>
      </c>
      <c r="K102" s="128" t="s">
        <v>19858</v>
      </c>
      <c r="L102" s="128" t="s">
        <v>19859</v>
      </c>
      <c r="M102" s="128" t="s">
        <v>19860</v>
      </c>
      <c r="N102" s="128" t="s">
        <v>19861</v>
      </c>
      <c r="O102" s="128" t="s">
        <v>19862</v>
      </c>
      <c r="P102" s="128" t="s">
        <v>19863</v>
      </c>
      <c r="Q102" s="128" t="s">
        <v>19864</v>
      </c>
      <c r="R102" s="128" t="s">
        <v>19865</v>
      </c>
      <c r="S102" s="128" t="s">
        <v>19866</v>
      </c>
      <c r="T102" s="128" t="s">
        <v>19867</v>
      </c>
      <c r="U102" s="128" t="s">
        <v>19868</v>
      </c>
      <c r="V102" s="128" t="s">
        <v>19869</v>
      </c>
      <c r="W102" s="128" t="s">
        <v>19870</v>
      </c>
      <c r="X102" s="128" t="s">
        <v>19871</v>
      </c>
      <c r="Y102" s="128" t="s">
        <v>19872</v>
      </c>
      <c r="Z102" s="128" t="s">
        <v>19873</v>
      </c>
      <c r="AA102" s="128" t="s">
        <v>19874</v>
      </c>
      <c r="AB102" s="128" t="s">
        <v>19875</v>
      </c>
      <c r="AC102" s="128" t="s">
        <v>19876</v>
      </c>
      <c r="AD102" s="128" t="s">
        <v>19877</v>
      </c>
      <c r="AE102" s="128" t="s">
        <v>19878</v>
      </c>
      <c r="AF102" s="128" t="s">
        <v>19879</v>
      </c>
    </row>
    <row r="103" spans="3:32" ht="319" x14ac:dyDescent="0.35">
      <c r="C103" s="128" t="s">
        <v>2927</v>
      </c>
      <c r="E103" s="128" t="s">
        <v>2928</v>
      </c>
      <c r="F103" s="128" t="s">
        <v>19880</v>
      </c>
      <c r="G103" s="128" t="s">
        <v>19881</v>
      </c>
      <c r="H103" s="128" t="s">
        <v>2931</v>
      </c>
      <c r="I103" s="128" t="s">
        <v>19882</v>
      </c>
      <c r="J103" s="128" t="s">
        <v>19883</v>
      </c>
      <c r="K103" s="128" t="s">
        <v>19884</v>
      </c>
      <c r="L103" s="128" t="s">
        <v>19885</v>
      </c>
      <c r="M103" s="128" t="s">
        <v>19886</v>
      </c>
      <c r="N103" s="128" t="s">
        <v>19887</v>
      </c>
      <c r="O103" s="128" t="s">
        <v>19888</v>
      </c>
      <c r="P103" s="128" t="s">
        <v>19889</v>
      </c>
      <c r="Q103" s="128" t="s">
        <v>19890</v>
      </c>
      <c r="R103" s="128" t="s">
        <v>19891</v>
      </c>
      <c r="S103" s="128" t="s">
        <v>19892</v>
      </c>
      <c r="T103" s="128" t="s">
        <v>19893</v>
      </c>
      <c r="U103" s="128" t="s">
        <v>19894</v>
      </c>
      <c r="V103" s="128" t="s">
        <v>19895</v>
      </c>
      <c r="W103" s="128" t="s">
        <v>19896</v>
      </c>
      <c r="X103" s="128" t="s">
        <v>19897</v>
      </c>
      <c r="Y103" s="128" t="s">
        <v>19898</v>
      </c>
      <c r="Z103" s="128" t="s">
        <v>19899</v>
      </c>
      <c r="AA103" s="128" t="s">
        <v>19900</v>
      </c>
      <c r="AB103" s="128" t="s">
        <v>19901</v>
      </c>
      <c r="AC103" s="128" t="s">
        <v>19902</v>
      </c>
      <c r="AD103" s="128" t="s">
        <v>19903</v>
      </c>
      <c r="AE103" s="128" t="s">
        <v>19904</v>
      </c>
      <c r="AF103" s="128" t="s">
        <v>19905</v>
      </c>
    </row>
    <row r="104" spans="3:32" ht="319" x14ac:dyDescent="0.35">
      <c r="C104" s="128" t="s">
        <v>2956</v>
      </c>
      <c r="E104" s="128" t="s">
        <v>2957</v>
      </c>
      <c r="F104" s="128" t="s">
        <v>19906</v>
      </c>
      <c r="G104" s="128" t="s">
        <v>19907</v>
      </c>
      <c r="H104" s="128" t="s">
        <v>2960</v>
      </c>
      <c r="I104" s="128" t="s">
        <v>19908</v>
      </c>
      <c r="J104" s="128" t="s">
        <v>19909</v>
      </c>
      <c r="K104" s="128" t="s">
        <v>19910</v>
      </c>
      <c r="L104" s="128" t="s">
        <v>19911</v>
      </c>
      <c r="M104" s="128" t="s">
        <v>19912</v>
      </c>
      <c r="N104" s="128" t="s">
        <v>19913</v>
      </c>
      <c r="O104" s="128" t="s">
        <v>19914</v>
      </c>
      <c r="P104" s="128" t="s">
        <v>19915</v>
      </c>
      <c r="Q104" s="128" t="s">
        <v>19916</v>
      </c>
      <c r="R104" s="128" t="s">
        <v>19917</v>
      </c>
      <c r="S104" s="128" t="s">
        <v>19918</v>
      </c>
      <c r="T104" s="128" t="s">
        <v>19919</v>
      </c>
      <c r="U104" s="128" t="s">
        <v>19920</v>
      </c>
      <c r="V104" s="128" t="s">
        <v>19921</v>
      </c>
      <c r="W104" s="128" t="s">
        <v>19922</v>
      </c>
      <c r="X104" s="128" t="s">
        <v>19923</v>
      </c>
      <c r="Y104" s="128" t="s">
        <v>19924</v>
      </c>
      <c r="Z104" s="128" t="s">
        <v>19925</v>
      </c>
      <c r="AA104" s="128" t="s">
        <v>19926</v>
      </c>
      <c r="AB104" s="128" t="s">
        <v>19927</v>
      </c>
      <c r="AC104" s="128" t="s">
        <v>19928</v>
      </c>
      <c r="AD104" s="128" t="s">
        <v>19929</v>
      </c>
      <c r="AE104" s="128" t="s">
        <v>19930</v>
      </c>
      <c r="AF104" s="128" t="s">
        <v>19931</v>
      </c>
    </row>
    <row r="105" spans="3:32" ht="319" x14ac:dyDescent="0.35">
      <c r="C105" s="128" t="s">
        <v>2985</v>
      </c>
      <c r="E105" s="128" t="s">
        <v>2986</v>
      </c>
      <c r="F105" s="128" t="s">
        <v>19932</v>
      </c>
      <c r="G105" s="128" t="s">
        <v>19933</v>
      </c>
      <c r="H105" s="128" t="s">
        <v>2989</v>
      </c>
      <c r="I105" s="128" t="s">
        <v>19934</v>
      </c>
      <c r="J105" s="128" t="s">
        <v>19935</v>
      </c>
      <c r="K105" s="128" t="s">
        <v>19936</v>
      </c>
      <c r="L105" s="128" t="s">
        <v>19937</v>
      </c>
      <c r="M105" s="128" t="s">
        <v>19938</v>
      </c>
      <c r="N105" s="128" t="s">
        <v>19939</v>
      </c>
      <c r="O105" s="128" t="s">
        <v>19940</v>
      </c>
      <c r="P105" s="128" t="s">
        <v>19941</v>
      </c>
      <c r="Q105" s="128" t="s">
        <v>19942</v>
      </c>
      <c r="R105" s="128" t="s">
        <v>19943</v>
      </c>
      <c r="S105" s="128" t="s">
        <v>19944</v>
      </c>
      <c r="T105" s="128" t="s">
        <v>19945</v>
      </c>
      <c r="U105" s="128" t="s">
        <v>19946</v>
      </c>
      <c r="V105" s="128" t="s">
        <v>19947</v>
      </c>
      <c r="W105" s="128" t="s">
        <v>19948</v>
      </c>
      <c r="X105" s="128" t="s">
        <v>19949</v>
      </c>
      <c r="Y105" s="128" t="s">
        <v>19950</v>
      </c>
      <c r="Z105" s="128" t="s">
        <v>19951</v>
      </c>
      <c r="AA105" s="128" t="s">
        <v>19952</v>
      </c>
      <c r="AB105" s="128" t="s">
        <v>19953</v>
      </c>
      <c r="AC105" s="128" t="s">
        <v>19954</v>
      </c>
      <c r="AD105" s="128" t="s">
        <v>19955</v>
      </c>
      <c r="AE105" s="128" t="s">
        <v>19956</v>
      </c>
      <c r="AF105" s="128" t="s">
        <v>19957</v>
      </c>
    </row>
    <row r="106" spans="3:32" ht="319" x14ac:dyDescent="0.35">
      <c r="C106" s="128" t="s">
        <v>3014</v>
      </c>
      <c r="E106" s="128" t="s">
        <v>3015</v>
      </c>
      <c r="F106" s="128" t="s">
        <v>19958</v>
      </c>
      <c r="G106" s="128" t="s">
        <v>19959</v>
      </c>
      <c r="H106" s="128" t="s">
        <v>3018</v>
      </c>
      <c r="I106" s="128" t="s">
        <v>19960</v>
      </c>
      <c r="J106" s="128" t="s">
        <v>19961</v>
      </c>
      <c r="K106" s="128" t="s">
        <v>19962</v>
      </c>
      <c r="L106" s="128" t="s">
        <v>19963</v>
      </c>
      <c r="M106" s="128" t="s">
        <v>19964</v>
      </c>
      <c r="N106" s="128" t="s">
        <v>19965</v>
      </c>
      <c r="O106" s="128" t="s">
        <v>19966</v>
      </c>
      <c r="P106" s="128" t="s">
        <v>19967</v>
      </c>
      <c r="Q106" s="128" t="s">
        <v>19968</v>
      </c>
      <c r="R106" s="128" t="s">
        <v>19969</v>
      </c>
      <c r="S106" s="128" t="s">
        <v>19970</v>
      </c>
      <c r="T106" s="128" t="s">
        <v>19971</v>
      </c>
      <c r="U106" s="128" t="s">
        <v>19972</v>
      </c>
      <c r="V106" s="128" t="s">
        <v>19973</v>
      </c>
      <c r="W106" s="128" t="s">
        <v>19974</v>
      </c>
      <c r="X106" s="128" t="s">
        <v>19975</v>
      </c>
      <c r="Y106" s="128" t="s">
        <v>19976</v>
      </c>
      <c r="Z106" s="128" t="s">
        <v>19977</v>
      </c>
      <c r="AA106" s="128" t="s">
        <v>19978</v>
      </c>
      <c r="AB106" s="128" t="s">
        <v>19979</v>
      </c>
      <c r="AC106" s="128" t="s">
        <v>19980</v>
      </c>
      <c r="AD106" s="128" t="s">
        <v>19981</v>
      </c>
      <c r="AE106" s="128" t="s">
        <v>19982</v>
      </c>
      <c r="AF106" s="128" t="s">
        <v>19983</v>
      </c>
    </row>
    <row r="107" spans="3:32" ht="319" x14ac:dyDescent="0.35">
      <c r="C107" s="128" t="s">
        <v>3043</v>
      </c>
      <c r="E107" s="128" t="s">
        <v>3044</v>
      </c>
      <c r="F107" s="128" t="s">
        <v>19984</v>
      </c>
      <c r="G107" s="128" t="s">
        <v>19985</v>
      </c>
      <c r="H107" s="128" t="s">
        <v>3047</v>
      </c>
      <c r="I107" s="128" t="s">
        <v>19986</v>
      </c>
      <c r="J107" s="128" t="s">
        <v>19987</v>
      </c>
      <c r="K107" s="128" t="s">
        <v>19988</v>
      </c>
      <c r="L107" s="128" t="s">
        <v>19989</v>
      </c>
      <c r="M107" s="128" t="s">
        <v>19990</v>
      </c>
      <c r="N107" s="128" t="s">
        <v>19991</v>
      </c>
      <c r="O107" s="128" t="s">
        <v>19992</v>
      </c>
      <c r="P107" s="128" t="s">
        <v>19993</v>
      </c>
      <c r="Q107" s="128" t="s">
        <v>19994</v>
      </c>
      <c r="R107" s="128" t="s">
        <v>19995</v>
      </c>
      <c r="S107" s="128" t="s">
        <v>19996</v>
      </c>
      <c r="T107" s="128" t="s">
        <v>19997</v>
      </c>
      <c r="U107" s="128" t="s">
        <v>19998</v>
      </c>
      <c r="V107" s="128" t="s">
        <v>19999</v>
      </c>
      <c r="W107" s="128" t="s">
        <v>20000</v>
      </c>
      <c r="X107" s="128" t="s">
        <v>20001</v>
      </c>
      <c r="Y107" s="128" t="s">
        <v>20002</v>
      </c>
      <c r="Z107" s="128" t="s">
        <v>20003</v>
      </c>
      <c r="AA107" s="128" t="s">
        <v>20004</v>
      </c>
      <c r="AB107" s="128" t="s">
        <v>20005</v>
      </c>
      <c r="AC107" s="128" t="s">
        <v>20006</v>
      </c>
      <c r="AD107" s="128" t="s">
        <v>20007</v>
      </c>
      <c r="AE107" s="128" t="s">
        <v>20008</v>
      </c>
      <c r="AF107" s="128" t="s">
        <v>20009</v>
      </c>
    </row>
    <row r="108" spans="3:32" ht="319" x14ac:dyDescent="0.35">
      <c r="C108" s="128" t="s">
        <v>3072</v>
      </c>
      <c r="E108" s="128" t="s">
        <v>3073</v>
      </c>
      <c r="F108" s="128" t="s">
        <v>20010</v>
      </c>
      <c r="G108" s="128" t="s">
        <v>20011</v>
      </c>
      <c r="H108" s="128" t="s">
        <v>3076</v>
      </c>
      <c r="I108" s="128" t="s">
        <v>20012</v>
      </c>
      <c r="J108" s="128" t="s">
        <v>20013</v>
      </c>
      <c r="K108" s="128" t="s">
        <v>20014</v>
      </c>
      <c r="L108" s="128" t="s">
        <v>20015</v>
      </c>
      <c r="M108" s="128" t="s">
        <v>20016</v>
      </c>
      <c r="N108" s="128" t="s">
        <v>20017</v>
      </c>
      <c r="O108" s="128" t="s">
        <v>20018</v>
      </c>
      <c r="P108" s="128" t="s">
        <v>20019</v>
      </c>
      <c r="Q108" s="128" t="s">
        <v>20020</v>
      </c>
      <c r="R108" s="128" t="s">
        <v>20021</v>
      </c>
      <c r="S108" s="128" t="s">
        <v>20022</v>
      </c>
      <c r="T108" s="128" t="s">
        <v>20023</v>
      </c>
      <c r="U108" s="128" t="s">
        <v>20024</v>
      </c>
      <c r="V108" s="128" t="s">
        <v>20025</v>
      </c>
      <c r="W108" s="128" t="s">
        <v>20026</v>
      </c>
      <c r="X108" s="128" t="s">
        <v>20027</v>
      </c>
      <c r="Y108" s="128" t="s">
        <v>20028</v>
      </c>
      <c r="Z108" s="128" t="s">
        <v>20029</v>
      </c>
      <c r="AA108" s="128" t="s">
        <v>20030</v>
      </c>
      <c r="AB108" s="128" t="s">
        <v>20031</v>
      </c>
      <c r="AC108" s="128" t="s">
        <v>20032</v>
      </c>
      <c r="AD108" s="128" t="s">
        <v>20033</v>
      </c>
      <c r="AE108" s="128" t="s">
        <v>20034</v>
      </c>
      <c r="AF108" s="128" t="s">
        <v>20035</v>
      </c>
    </row>
    <row r="109" spans="3:32" ht="319" x14ac:dyDescent="0.35">
      <c r="C109" s="128" t="s">
        <v>3101</v>
      </c>
      <c r="E109" s="128" t="s">
        <v>3102</v>
      </c>
      <c r="F109" s="128" t="s">
        <v>20036</v>
      </c>
      <c r="G109" s="128" t="s">
        <v>20037</v>
      </c>
      <c r="H109" s="128" t="s">
        <v>3105</v>
      </c>
      <c r="I109" s="128" t="s">
        <v>20038</v>
      </c>
      <c r="J109" s="128" t="s">
        <v>20039</v>
      </c>
      <c r="K109" s="128" t="s">
        <v>20040</v>
      </c>
      <c r="L109" s="128" t="s">
        <v>20041</v>
      </c>
      <c r="M109" s="128" t="s">
        <v>20042</v>
      </c>
      <c r="N109" s="128" t="s">
        <v>20043</v>
      </c>
      <c r="O109" s="128" t="s">
        <v>20044</v>
      </c>
      <c r="P109" s="128" t="s">
        <v>20045</v>
      </c>
      <c r="Q109" s="128" t="s">
        <v>20046</v>
      </c>
      <c r="R109" s="128" t="s">
        <v>20047</v>
      </c>
      <c r="S109" s="128" t="s">
        <v>20048</v>
      </c>
      <c r="T109" s="128" t="s">
        <v>20049</v>
      </c>
      <c r="U109" s="128" t="s">
        <v>20050</v>
      </c>
      <c r="V109" s="128" t="s">
        <v>20051</v>
      </c>
      <c r="W109" s="128" t="s">
        <v>20052</v>
      </c>
      <c r="X109" s="128" t="s">
        <v>20053</v>
      </c>
      <c r="Y109" s="128" t="s">
        <v>20054</v>
      </c>
      <c r="Z109" s="128" t="s">
        <v>20055</v>
      </c>
      <c r="AA109" s="128" t="s">
        <v>20056</v>
      </c>
      <c r="AB109" s="128" t="s">
        <v>20057</v>
      </c>
      <c r="AC109" s="128" t="s">
        <v>20058</v>
      </c>
      <c r="AD109" s="128" t="s">
        <v>20059</v>
      </c>
      <c r="AE109" s="128" t="s">
        <v>20060</v>
      </c>
      <c r="AF109" s="128" t="s">
        <v>20061</v>
      </c>
    </row>
    <row r="110" spans="3:32" ht="319" x14ac:dyDescent="0.35">
      <c r="C110" s="128" t="s">
        <v>3130</v>
      </c>
      <c r="E110" s="128" t="s">
        <v>3131</v>
      </c>
      <c r="F110" s="128" t="s">
        <v>20062</v>
      </c>
      <c r="G110" s="128" t="s">
        <v>20063</v>
      </c>
      <c r="H110" s="128" t="s">
        <v>3134</v>
      </c>
      <c r="I110" s="128" t="s">
        <v>20064</v>
      </c>
      <c r="J110" s="128" t="s">
        <v>20065</v>
      </c>
      <c r="K110" s="128" t="s">
        <v>20066</v>
      </c>
      <c r="L110" s="128" t="s">
        <v>20067</v>
      </c>
      <c r="M110" s="128" t="s">
        <v>20068</v>
      </c>
      <c r="N110" s="128" t="s">
        <v>20069</v>
      </c>
      <c r="O110" s="128" t="s">
        <v>20070</v>
      </c>
      <c r="P110" s="128" t="s">
        <v>20071</v>
      </c>
      <c r="Q110" s="128" t="s">
        <v>20072</v>
      </c>
      <c r="R110" s="128" t="s">
        <v>20073</v>
      </c>
      <c r="S110" s="128" t="s">
        <v>20074</v>
      </c>
      <c r="T110" s="128" t="s">
        <v>20075</v>
      </c>
      <c r="U110" s="128" t="s">
        <v>20076</v>
      </c>
      <c r="V110" s="128" t="s">
        <v>20077</v>
      </c>
      <c r="W110" s="128" t="s">
        <v>20078</v>
      </c>
      <c r="X110" s="128" t="s">
        <v>20079</v>
      </c>
      <c r="Y110" s="128" t="s">
        <v>20080</v>
      </c>
      <c r="Z110" s="128" t="s">
        <v>20081</v>
      </c>
      <c r="AA110" s="128" t="s">
        <v>20082</v>
      </c>
      <c r="AB110" s="128" t="s">
        <v>20083</v>
      </c>
      <c r="AC110" s="128" t="s">
        <v>20084</v>
      </c>
      <c r="AD110" s="128" t="s">
        <v>20085</v>
      </c>
      <c r="AE110" s="128" t="s">
        <v>20086</v>
      </c>
      <c r="AF110" s="128" t="s">
        <v>20087</v>
      </c>
    </row>
    <row r="111" spans="3:32" ht="319" x14ac:dyDescent="0.35">
      <c r="C111" s="128" t="s">
        <v>3159</v>
      </c>
      <c r="E111" s="128" t="s">
        <v>3160</v>
      </c>
      <c r="F111" s="128" t="s">
        <v>20088</v>
      </c>
      <c r="G111" s="128" t="s">
        <v>20089</v>
      </c>
      <c r="H111" s="128" t="s">
        <v>3163</v>
      </c>
      <c r="I111" s="128" t="s">
        <v>20090</v>
      </c>
      <c r="J111" s="128" t="s">
        <v>20091</v>
      </c>
      <c r="K111" s="128" t="s">
        <v>20092</v>
      </c>
      <c r="L111" s="128" t="s">
        <v>20093</v>
      </c>
      <c r="M111" s="128" t="s">
        <v>20094</v>
      </c>
      <c r="N111" s="128" t="s">
        <v>20095</v>
      </c>
      <c r="O111" s="128" t="s">
        <v>20096</v>
      </c>
      <c r="P111" s="128" t="s">
        <v>20097</v>
      </c>
      <c r="Q111" s="128" t="s">
        <v>20098</v>
      </c>
      <c r="R111" s="128" t="s">
        <v>20099</v>
      </c>
      <c r="S111" s="128" t="s">
        <v>20100</v>
      </c>
      <c r="T111" s="128" t="s">
        <v>20101</v>
      </c>
      <c r="U111" s="128" t="s">
        <v>20102</v>
      </c>
      <c r="V111" s="128" t="s">
        <v>20103</v>
      </c>
      <c r="W111" s="128" t="s">
        <v>20104</v>
      </c>
      <c r="X111" s="128" t="s">
        <v>20105</v>
      </c>
      <c r="Y111" s="128" t="s">
        <v>20106</v>
      </c>
      <c r="Z111" s="128" t="s">
        <v>20107</v>
      </c>
      <c r="AA111" s="128" t="s">
        <v>20108</v>
      </c>
      <c r="AB111" s="128" t="s">
        <v>20109</v>
      </c>
      <c r="AC111" s="128" t="s">
        <v>20110</v>
      </c>
      <c r="AD111" s="128" t="s">
        <v>20111</v>
      </c>
      <c r="AE111" s="128" t="s">
        <v>20112</v>
      </c>
      <c r="AF111" s="128" t="s">
        <v>20113</v>
      </c>
    </row>
    <row r="112" spans="3:32" ht="319" x14ac:dyDescent="0.35">
      <c r="C112" s="128" t="s">
        <v>3188</v>
      </c>
      <c r="E112" s="128" t="s">
        <v>3189</v>
      </c>
      <c r="F112" s="128" t="s">
        <v>20114</v>
      </c>
      <c r="G112" s="128" t="s">
        <v>20115</v>
      </c>
      <c r="H112" s="128" t="s">
        <v>3192</v>
      </c>
      <c r="I112" s="128" t="s">
        <v>20116</v>
      </c>
      <c r="J112" s="128" t="s">
        <v>20117</v>
      </c>
      <c r="K112" s="128" t="s">
        <v>20118</v>
      </c>
      <c r="L112" s="128" t="s">
        <v>20119</v>
      </c>
      <c r="M112" s="128" t="s">
        <v>20120</v>
      </c>
      <c r="N112" s="128" t="s">
        <v>20121</v>
      </c>
      <c r="O112" s="128" t="s">
        <v>20122</v>
      </c>
      <c r="P112" s="128" t="s">
        <v>20123</v>
      </c>
      <c r="Q112" s="128" t="s">
        <v>20124</v>
      </c>
      <c r="R112" s="128" t="s">
        <v>20125</v>
      </c>
      <c r="S112" s="128" t="s">
        <v>20126</v>
      </c>
      <c r="T112" s="128" t="s">
        <v>20127</v>
      </c>
      <c r="U112" s="128" t="s">
        <v>20128</v>
      </c>
      <c r="V112" s="128" t="s">
        <v>20129</v>
      </c>
      <c r="W112" s="128" t="s">
        <v>20130</v>
      </c>
      <c r="X112" s="128" t="s">
        <v>20131</v>
      </c>
      <c r="Y112" s="128" t="s">
        <v>20132</v>
      </c>
      <c r="Z112" s="128" t="s">
        <v>20133</v>
      </c>
      <c r="AA112" s="128" t="s">
        <v>20134</v>
      </c>
      <c r="AB112" s="128" t="s">
        <v>20135</v>
      </c>
      <c r="AC112" s="128" t="s">
        <v>20136</v>
      </c>
      <c r="AD112" s="128" t="s">
        <v>20137</v>
      </c>
      <c r="AE112" s="128" t="s">
        <v>20138</v>
      </c>
      <c r="AF112" s="128" t="s">
        <v>20139</v>
      </c>
    </row>
    <row r="113" spans="3:32" ht="319" x14ac:dyDescent="0.35">
      <c r="C113" s="128" t="s">
        <v>3217</v>
      </c>
      <c r="E113" s="128" t="s">
        <v>3218</v>
      </c>
      <c r="F113" s="128" t="s">
        <v>20140</v>
      </c>
      <c r="G113" s="128" t="s">
        <v>20141</v>
      </c>
      <c r="H113" s="128" t="s">
        <v>3221</v>
      </c>
      <c r="I113" s="128" t="s">
        <v>20142</v>
      </c>
      <c r="J113" s="128" t="s">
        <v>20143</v>
      </c>
      <c r="K113" s="128" t="s">
        <v>20144</v>
      </c>
      <c r="L113" s="128" t="s">
        <v>20145</v>
      </c>
      <c r="M113" s="128" t="s">
        <v>20146</v>
      </c>
      <c r="N113" s="128" t="s">
        <v>20147</v>
      </c>
      <c r="O113" s="128" t="s">
        <v>20148</v>
      </c>
      <c r="P113" s="128" t="s">
        <v>20149</v>
      </c>
      <c r="Q113" s="128" t="s">
        <v>20150</v>
      </c>
      <c r="R113" s="128" t="s">
        <v>20151</v>
      </c>
      <c r="S113" s="128" t="s">
        <v>20152</v>
      </c>
      <c r="T113" s="128" t="s">
        <v>20153</v>
      </c>
      <c r="U113" s="128" t="s">
        <v>20154</v>
      </c>
      <c r="V113" s="128" t="s">
        <v>20155</v>
      </c>
      <c r="W113" s="128" t="s">
        <v>20156</v>
      </c>
      <c r="X113" s="128" t="s">
        <v>20157</v>
      </c>
      <c r="Y113" s="128" t="s">
        <v>20158</v>
      </c>
      <c r="Z113" s="128" t="s">
        <v>20159</v>
      </c>
      <c r="AA113" s="128" t="s">
        <v>20160</v>
      </c>
      <c r="AB113" s="128" t="s">
        <v>20161</v>
      </c>
      <c r="AC113" s="128" t="s">
        <v>20162</v>
      </c>
      <c r="AD113" s="128" t="s">
        <v>20163</v>
      </c>
      <c r="AE113" s="128" t="s">
        <v>20164</v>
      </c>
      <c r="AF113" s="128" t="s">
        <v>20165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771"/>
  <sheetViews>
    <sheetView workbookViewId="0"/>
  </sheetViews>
  <sheetFormatPr defaultRowHeight="14.5" x14ac:dyDescent="0.35"/>
  <sheetData>
    <row r="1" spans="1:17" x14ac:dyDescent="0.35">
      <c r="A1" s="127" t="s">
        <v>20919</v>
      </c>
      <c r="B1" s="127" t="s">
        <v>22</v>
      </c>
      <c r="C1" s="127" t="s">
        <v>22</v>
      </c>
      <c r="D1" s="127" t="s">
        <v>22</v>
      </c>
      <c r="E1" s="127" t="s">
        <v>22</v>
      </c>
      <c r="F1" s="127" t="s">
        <v>22</v>
      </c>
      <c r="G1" s="127" t="s">
        <v>22</v>
      </c>
      <c r="H1" s="127" t="s">
        <v>22</v>
      </c>
      <c r="J1" s="127" t="s">
        <v>21</v>
      </c>
      <c r="K1" s="127" t="s">
        <v>21</v>
      </c>
      <c r="L1" s="127" t="s">
        <v>21</v>
      </c>
      <c r="M1" s="127" t="s">
        <v>21</v>
      </c>
      <c r="N1" s="127" t="s">
        <v>21</v>
      </c>
      <c r="O1" s="127" t="s">
        <v>21</v>
      </c>
      <c r="P1" s="127" t="s">
        <v>21</v>
      </c>
      <c r="Q1" s="127" t="s">
        <v>21</v>
      </c>
    </row>
    <row r="3" spans="1:17" x14ac:dyDescent="0.35">
      <c r="I3" s="127" t="s">
        <v>69</v>
      </c>
    </row>
    <row r="5" spans="1:17" x14ac:dyDescent="0.35">
      <c r="I5" s="127" t="s">
        <v>1</v>
      </c>
      <c r="J5" s="127" t="s">
        <v>3247</v>
      </c>
      <c r="K5" s="127" t="s">
        <v>123</v>
      </c>
    </row>
    <row r="6" spans="1:17" x14ac:dyDescent="0.35">
      <c r="I6" s="127" t="s">
        <v>44</v>
      </c>
      <c r="J6" s="127" t="s">
        <v>68</v>
      </c>
      <c r="K6" s="127" t="s">
        <v>3248</v>
      </c>
    </row>
    <row r="7" spans="1:17" x14ac:dyDescent="0.35">
      <c r="I7" s="127" t="s">
        <v>66</v>
      </c>
      <c r="J7" s="127" t="s">
        <v>3249</v>
      </c>
      <c r="K7" s="127" t="s">
        <v>3250</v>
      </c>
    </row>
    <row r="8" spans="1:17" x14ac:dyDescent="0.35">
      <c r="I8" s="127" t="s">
        <v>65</v>
      </c>
      <c r="J8" s="127" t="s">
        <v>3251</v>
      </c>
    </row>
    <row r="10" spans="1:17" x14ac:dyDescent="0.35">
      <c r="I10" s="127" t="s">
        <v>50</v>
      </c>
    </row>
    <row r="11" spans="1:17" x14ac:dyDescent="0.35">
      <c r="I11" s="127" t="s">
        <v>49</v>
      </c>
    </row>
    <row r="12" spans="1:17" x14ac:dyDescent="0.35">
      <c r="D12" s="127" t="s">
        <v>34</v>
      </c>
      <c r="I12" s="127" t="s">
        <v>37</v>
      </c>
      <c r="J12" s="127" t="s">
        <v>6</v>
      </c>
      <c r="K12" s="127" t="s">
        <v>34</v>
      </c>
      <c r="L12" s="127" t="s">
        <v>2</v>
      </c>
      <c r="M12" s="127" t="s">
        <v>11</v>
      </c>
      <c r="N12" s="127" t="s">
        <v>32</v>
      </c>
      <c r="O12" s="127" t="s">
        <v>9</v>
      </c>
      <c r="P12" s="127" t="s">
        <v>7</v>
      </c>
      <c r="Q12" s="127" t="s">
        <v>33</v>
      </c>
    </row>
    <row r="13" spans="1:17" x14ac:dyDescent="0.35">
      <c r="C13" s="127" t="s">
        <v>3252</v>
      </c>
      <c r="D13" s="127" t="s">
        <v>3253</v>
      </c>
      <c r="I13" s="127" t="s">
        <v>3254</v>
      </c>
      <c r="J13" s="127" t="s">
        <v>3255</v>
      </c>
      <c r="K13" s="127" t="s">
        <v>3256</v>
      </c>
      <c r="L13" s="127" t="s">
        <v>3257</v>
      </c>
      <c r="M13" s="127" t="s">
        <v>3258</v>
      </c>
      <c r="N13" s="127" t="s">
        <v>3259</v>
      </c>
      <c r="O13" s="127" t="s">
        <v>3260</v>
      </c>
      <c r="P13" s="127" t="s">
        <v>3261</v>
      </c>
      <c r="Q13" s="127" t="s">
        <v>3262</v>
      </c>
    </row>
    <row r="14" spans="1:17" x14ac:dyDescent="0.35">
      <c r="A14" s="127" t="s">
        <v>6063</v>
      </c>
      <c r="C14" s="127" t="s">
        <v>20168</v>
      </c>
      <c r="D14" s="127" t="s">
        <v>12900</v>
      </c>
      <c r="I14" s="127" t="s">
        <v>10025</v>
      </c>
      <c r="J14" s="127" t="s">
        <v>13210</v>
      </c>
      <c r="K14" s="127" t="s">
        <v>10026</v>
      </c>
      <c r="L14" s="127" t="s">
        <v>13520</v>
      </c>
      <c r="M14" s="127" t="s">
        <v>10027</v>
      </c>
      <c r="N14" s="127" t="s">
        <v>10028</v>
      </c>
      <c r="O14" s="127" t="s">
        <v>13830</v>
      </c>
      <c r="P14" s="127" t="s">
        <v>14140</v>
      </c>
      <c r="Q14" s="127" t="s">
        <v>14450</v>
      </c>
    </row>
    <row r="15" spans="1:17" x14ac:dyDescent="0.35">
      <c r="A15" s="127" t="s">
        <v>6063</v>
      </c>
      <c r="C15" s="127" t="s">
        <v>20169</v>
      </c>
      <c r="D15" s="127" t="s">
        <v>12901</v>
      </c>
      <c r="I15" s="127" t="s">
        <v>10030</v>
      </c>
      <c r="J15" s="127" t="s">
        <v>13211</v>
      </c>
      <c r="K15" s="127" t="s">
        <v>10031</v>
      </c>
      <c r="L15" s="127" t="s">
        <v>13521</v>
      </c>
      <c r="M15" s="127" t="s">
        <v>10032</v>
      </c>
      <c r="N15" s="127" t="s">
        <v>10033</v>
      </c>
      <c r="O15" s="127" t="s">
        <v>13831</v>
      </c>
      <c r="P15" s="127" t="s">
        <v>14141</v>
      </c>
      <c r="Q15" s="127" t="s">
        <v>14451</v>
      </c>
    </row>
    <row r="16" spans="1:17" x14ac:dyDescent="0.35">
      <c r="A16" s="127" t="s">
        <v>6063</v>
      </c>
      <c r="C16" s="127" t="s">
        <v>20170</v>
      </c>
      <c r="D16" s="127" t="s">
        <v>12902</v>
      </c>
      <c r="I16" s="127" t="s">
        <v>10035</v>
      </c>
      <c r="J16" s="127" t="s">
        <v>13212</v>
      </c>
      <c r="K16" s="127" t="s">
        <v>10036</v>
      </c>
      <c r="L16" s="127" t="s">
        <v>13522</v>
      </c>
      <c r="M16" s="127" t="s">
        <v>10037</v>
      </c>
      <c r="N16" s="127" t="s">
        <v>10038</v>
      </c>
      <c r="O16" s="127" t="s">
        <v>13832</v>
      </c>
      <c r="P16" s="127" t="s">
        <v>14142</v>
      </c>
      <c r="Q16" s="127" t="s">
        <v>14452</v>
      </c>
    </row>
    <row r="17" spans="1:17" x14ac:dyDescent="0.35">
      <c r="A17" s="127" t="s">
        <v>6063</v>
      </c>
      <c r="C17" s="127" t="s">
        <v>20171</v>
      </c>
      <c r="D17" s="127" t="s">
        <v>12903</v>
      </c>
      <c r="I17" s="127" t="s">
        <v>10040</v>
      </c>
      <c r="J17" s="127" t="s">
        <v>13213</v>
      </c>
      <c r="K17" s="127" t="s">
        <v>10041</v>
      </c>
      <c r="L17" s="127" t="s">
        <v>13523</v>
      </c>
      <c r="M17" s="127" t="s">
        <v>10042</v>
      </c>
      <c r="N17" s="127" t="s">
        <v>10043</v>
      </c>
      <c r="O17" s="127" t="s">
        <v>13833</v>
      </c>
      <c r="P17" s="127" t="s">
        <v>14143</v>
      </c>
      <c r="Q17" s="127" t="s">
        <v>14453</v>
      </c>
    </row>
    <row r="18" spans="1:17" x14ac:dyDescent="0.35">
      <c r="A18" s="127" t="s">
        <v>6063</v>
      </c>
      <c r="C18" s="127" t="s">
        <v>20172</v>
      </c>
      <c r="D18" s="127" t="s">
        <v>12904</v>
      </c>
      <c r="I18" s="127" t="s">
        <v>10045</v>
      </c>
      <c r="J18" s="127" t="s">
        <v>13214</v>
      </c>
      <c r="K18" s="127" t="s">
        <v>10046</v>
      </c>
      <c r="L18" s="127" t="s">
        <v>13524</v>
      </c>
      <c r="M18" s="127" t="s">
        <v>10047</v>
      </c>
      <c r="N18" s="127" t="s">
        <v>10048</v>
      </c>
      <c r="O18" s="127" t="s">
        <v>13834</v>
      </c>
      <c r="P18" s="127" t="s">
        <v>14144</v>
      </c>
      <c r="Q18" s="127" t="s">
        <v>14454</v>
      </c>
    </row>
    <row r="19" spans="1:17" x14ac:dyDescent="0.35">
      <c r="A19" s="127" t="s">
        <v>6063</v>
      </c>
      <c r="C19" s="127" t="s">
        <v>20173</v>
      </c>
      <c r="D19" s="127" t="s">
        <v>12905</v>
      </c>
      <c r="I19" s="127" t="s">
        <v>10050</v>
      </c>
      <c r="J19" s="127" t="s">
        <v>13215</v>
      </c>
      <c r="K19" s="127" t="s">
        <v>10051</v>
      </c>
      <c r="L19" s="127" t="s">
        <v>13525</v>
      </c>
      <c r="M19" s="127" t="s">
        <v>10052</v>
      </c>
      <c r="N19" s="127" t="s">
        <v>10053</v>
      </c>
      <c r="O19" s="127" t="s">
        <v>13835</v>
      </c>
      <c r="P19" s="127" t="s">
        <v>14145</v>
      </c>
      <c r="Q19" s="127" t="s">
        <v>14455</v>
      </c>
    </row>
    <row r="20" spans="1:17" x14ac:dyDescent="0.35">
      <c r="A20" s="127" t="s">
        <v>6063</v>
      </c>
      <c r="C20" s="127" t="s">
        <v>20174</v>
      </c>
      <c r="D20" s="127" t="s">
        <v>12906</v>
      </c>
      <c r="I20" s="127" t="s">
        <v>10055</v>
      </c>
      <c r="J20" s="127" t="s">
        <v>13216</v>
      </c>
      <c r="K20" s="127" t="s">
        <v>10056</v>
      </c>
      <c r="L20" s="127" t="s">
        <v>13526</v>
      </c>
      <c r="M20" s="127" t="s">
        <v>10057</v>
      </c>
      <c r="N20" s="127" t="s">
        <v>10058</v>
      </c>
      <c r="O20" s="127" t="s">
        <v>13836</v>
      </c>
      <c r="P20" s="127" t="s">
        <v>14146</v>
      </c>
      <c r="Q20" s="127" t="s">
        <v>14456</v>
      </c>
    </row>
    <row r="21" spans="1:17" x14ac:dyDescent="0.35">
      <c r="A21" s="127" t="s">
        <v>6063</v>
      </c>
      <c r="C21" s="127" t="s">
        <v>20175</v>
      </c>
      <c r="D21" s="127" t="s">
        <v>12907</v>
      </c>
      <c r="I21" s="127" t="s">
        <v>10060</v>
      </c>
      <c r="J21" s="127" t="s">
        <v>13217</v>
      </c>
      <c r="K21" s="127" t="s">
        <v>10061</v>
      </c>
      <c r="L21" s="127" t="s">
        <v>13527</v>
      </c>
      <c r="M21" s="127" t="s">
        <v>10062</v>
      </c>
      <c r="N21" s="127" t="s">
        <v>10063</v>
      </c>
      <c r="O21" s="127" t="s">
        <v>13837</v>
      </c>
      <c r="P21" s="127" t="s">
        <v>14147</v>
      </c>
      <c r="Q21" s="127" t="s">
        <v>14457</v>
      </c>
    </row>
    <row r="22" spans="1:17" x14ac:dyDescent="0.35">
      <c r="A22" s="127" t="s">
        <v>6063</v>
      </c>
      <c r="C22" s="127" t="s">
        <v>20176</v>
      </c>
      <c r="D22" s="127" t="s">
        <v>12908</v>
      </c>
      <c r="I22" s="127" t="s">
        <v>10065</v>
      </c>
      <c r="J22" s="127" t="s">
        <v>13218</v>
      </c>
      <c r="K22" s="127" t="s">
        <v>10066</v>
      </c>
      <c r="L22" s="127" t="s">
        <v>13528</v>
      </c>
      <c r="M22" s="127" t="s">
        <v>10067</v>
      </c>
      <c r="N22" s="127" t="s">
        <v>10068</v>
      </c>
      <c r="O22" s="127" t="s">
        <v>13838</v>
      </c>
      <c r="P22" s="127" t="s">
        <v>14148</v>
      </c>
      <c r="Q22" s="127" t="s">
        <v>14458</v>
      </c>
    </row>
    <row r="23" spans="1:17" x14ac:dyDescent="0.35">
      <c r="A23" s="127" t="s">
        <v>6063</v>
      </c>
      <c r="C23" s="127" t="s">
        <v>20177</v>
      </c>
      <c r="D23" s="127" t="s">
        <v>12909</v>
      </c>
      <c r="I23" s="127" t="s">
        <v>10070</v>
      </c>
      <c r="J23" s="127" t="s">
        <v>13219</v>
      </c>
      <c r="K23" s="127" t="s">
        <v>10071</v>
      </c>
      <c r="L23" s="127" t="s">
        <v>13529</v>
      </c>
      <c r="M23" s="127" t="s">
        <v>10072</v>
      </c>
      <c r="N23" s="127" t="s">
        <v>10073</v>
      </c>
      <c r="O23" s="127" t="s">
        <v>13839</v>
      </c>
      <c r="P23" s="127" t="s">
        <v>14149</v>
      </c>
      <c r="Q23" s="127" t="s">
        <v>14459</v>
      </c>
    </row>
    <row r="24" spans="1:17" x14ac:dyDescent="0.35">
      <c r="A24" s="127" t="s">
        <v>6063</v>
      </c>
      <c r="C24" s="127" t="s">
        <v>20178</v>
      </c>
      <c r="D24" s="127" t="s">
        <v>12910</v>
      </c>
      <c r="I24" s="127" t="s">
        <v>10075</v>
      </c>
      <c r="J24" s="127" t="s">
        <v>13220</v>
      </c>
      <c r="K24" s="127" t="s">
        <v>10076</v>
      </c>
      <c r="L24" s="127" t="s">
        <v>13530</v>
      </c>
      <c r="M24" s="127" t="s">
        <v>10077</v>
      </c>
      <c r="N24" s="127" t="s">
        <v>10078</v>
      </c>
      <c r="O24" s="127" t="s">
        <v>13840</v>
      </c>
      <c r="P24" s="127" t="s">
        <v>14150</v>
      </c>
      <c r="Q24" s="127" t="s">
        <v>14460</v>
      </c>
    </row>
    <row r="25" spans="1:17" x14ac:dyDescent="0.35">
      <c r="A25" s="127" t="s">
        <v>6063</v>
      </c>
      <c r="C25" s="127" t="s">
        <v>20179</v>
      </c>
      <c r="D25" s="127" t="s">
        <v>12911</v>
      </c>
      <c r="I25" s="127" t="s">
        <v>10080</v>
      </c>
      <c r="J25" s="127" t="s">
        <v>13221</v>
      </c>
      <c r="K25" s="127" t="s">
        <v>10081</v>
      </c>
      <c r="L25" s="127" t="s">
        <v>13531</v>
      </c>
      <c r="M25" s="127" t="s">
        <v>10082</v>
      </c>
      <c r="N25" s="127" t="s">
        <v>10083</v>
      </c>
      <c r="O25" s="127" t="s">
        <v>13841</v>
      </c>
      <c r="P25" s="127" t="s">
        <v>14151</v>
      </c>
      <c r="Q25" s="127" t="s">
        <v>14461</v>
      </c>
    </row>
    <row r="26" spans="1:17" x14ac:dyDescent="0.35">
      <c r="A26" s="127" t="s">
        <v>6063</v>
      </c>
      <c r="C26" s="127" t="s">
        <v>20180</v>
      </c>
      <c r="D26" s="127" t="s">
        <v>12912</v>
      </c>
      <c r="I26" s="127" t="s">
        <v>10085</v>
      </c>
      <c r="J26" s="127" t="s">
        <v>13222</v>
      </c>
      <c r="K26" s="127" t="s">
        <v>10086</v>
      </c>
      <c r="L26" s="127" t="s">
        <v>13532</v>
      </c>
      <c r="M26" s="127" t="s">
        <v>10087</v>
      </c>
      <c r="N26" s="127" t="s">
        <v>10088</v>
      </c>
      <c r="O26" s="127" t="s">
        <v>13842</v>
      </c>
      <c r="P26" s="127" t="s">
        <v>14152</v>
      </c>
      <c r="Q26" s="127" t="s">
        <v>14462</v>
      </c>
    </row>
    <row r="27" spans="1:17" x14ac:dyDescent="0.35">
      <c r="A27" s="127" t="s">
        <v>6063</v>
      </c>
      <c r="C27" s="127" t="s">
        <v>20181</v>
      </c>
      <c r="D27" s="127" t="s">
        <v>12913</v>
      </c>
      <c r="I27" s="127" t="s">
        <v>10090</v>
      </c>
      <c r="J27" s="127" t="s">
        <v>13223</v>
      </c>
      <c r="K27" s="127" t="s">
        <v>10091</v>
      </c>
      <c r="L27" s="127" t="s">
        <v>13533</v>
      </c>
      <c r="M27" s="127" t="s">
        <v>10092</v>
      </c>
      <c r="N27" s="127" t="s">
        <v>10093</v>
      </c>
      <c r="O27" s="127" t="s">
        <v>13843</v>
      </c>
      <c r="P27" s="127" t="s">
        <v>14153</v>
      </c>
      <c r="Q27" s="127" t="s">
        <v>14463</v>
      </c>
    </row>
    <row r="28" spans="1:17" x14ac:dyDescent="0.35">
      <c r="A28" s="127" t="s">
        <v>6063</v>
      </c>
      <c r="C28" s="127" t="s">
        <v>20182</v>
      </c>
      <c r="D28" s="127" t="s">
        <v>12914</v>
      </c>
      <c r="I28" s="127" t="s">
        <v>10095</v>
      </c>
      <c r="J28" s="127" t="s">
        <v>13224</v>
      </c>
      <c r="K28" s="127" t="s">
        <v>10096</v>
      </c>
      <c r="L28" s="127" t="s">
        <v>13534</v>
      </c>
      <c r="M28" s="127" t="s">
        <v>10097</v>
      </c>
      <c r="N28" s="127" t="s">
        <v>10098</v>
      </c>
      <c r="O28" s="127" t="s">
        <v>13844</v>
      </c>
      <c r="P28" s="127" t="s">
        <v>14154</v>
      </c>
      <c r="Q28" s="127" t="s">
        <v>14464</v>
      </c>
    </row>
    <row r="29" spans="1:17" x14ac:dyDescent="0.35">
      <c r="A29" s="127" t="s">
        <v>6063</v>
      </c>
      <c r="C29" s="127" t="s">
        <v>20183</v>
      </c>
      <c r="D29" s="127" t="s">
        <v>12915</v>
      </c>
      <c r="I29" s="127" t="s">
        <v>10100</v>
      </c>
      <c r="J29" s="127" t="s">
        <v>13225</v>
      </c>
      <c r="K29" s="127" t="s">
        <v>10101</v>
      </c>
      <c r="L29" s="127" t="s">
        <v>13535</v>
      </c>
      <c r="M29" s="127" t="s">
        <v>10102</v>
      </c>
      <c r="N29" s="127" t="s">
        <v>10103</v>
      </c>
      <c r="O29" s="127" t="s">
        <v>13845</v>
      </c>
      <c r="P29" s="127" t="s">
        <v>14155</v>
      </c>
      <c r="Q29" s="127" t="s">
        <v>14465</v>
      </c>
    </row>
    <row r="30" spans="1:17" x14ac:dyDescent="0.35">
      <c r="A30" s="127" t="s">
        <v>6063</v>
      </c>
      <c r="C30" s="127" t="s">
        <v>20184</v>
      </c>
      <c r="D30" s="127" t="s">
        <v>12916</v>
      </c>
      <c r="I30" s="127" t="s">
        <v>10105</v>
      </c>
      <c r="J30" s="127" t="s">
        <v>13226</v>
      </c>
      <c r="K30" s="127" t="s">
        <v>10106</v>
      </c>
      <c r="L30" s="127" t="s">
        <v>13536</v>
      </c>
      <c r="M30" s="127" t="s">
        <v>10107</v>
      </c>
      <c r="N30" s="127" t="s">
        <v>10108</v>
      </c>
      <c r="O30" s="127" t="s">
        <v>13846</v>
      </c>
      <c r="P30" s="127" t="s">
        <v>14156</v>
      </c>
      <c r="Q30" s="127" t="s">
        <v>14466</v>
      </c>
    </row>
    <row r="31" spans="1:17" x14ac:dyDescent="0.35">
      <c r="A31" s="127" t="s">
        <v>6063</v>
      </c>
      <c r="C31" s="127" t="s">
        <v>20185</v>
      </c>
      <c r="D31" s="127" t="s">
        <v>12917</v>
      </c>
      <c r="I31" s="127" t="s">
        <v>10110</v>
      </c>
      <c r="J31" s="127" t="s">
        <v>13227</v>
      </c>
      <c r="K31" s="127" t="s">
        <v>10111</v>
      </c>
      <c r="L31" s="127" t="s">
        <v>13537</v>
      </c>
      <c r="M31" s="127" t="s">
        <v>10112</v>
      </c>
      <c r="N31" s="127" t="s">
        <v>10113</v>
      </c>
      <c r="O31" s="127" t="s">
        <v>13847</v>
      </c>
      <c r="P31" s="127" t="s">
        <v>14157</v>
      </c>
      <c r="Q31" s="127" t="s">
        <v>14467</v>
      </c>
    </row>
    <row r="32" spans="1:17" x14ac:dyDescent="0.35">
      <c r="A32" s="127" t="s">
        <v>6063</v>
      </c>
      <c r="C32" s="127" t="s">
        <v>20186</v>
      </c>
      <c r="D32" s="127" t="s">
        <v>12918</v>
      </c>
      <c r="I32" s="127" t="s">
        <v>10115</v>
      </c>
      <c r="J32" s="127" t="s">
        <v>13228</v>
      </c>
      <c r="K32" s="127" t="s">
        <v>10116</v>
      </c>
      <c r="L32" s="127" t="s">
        <v>13538</v>
      </c>
      <c r="M32" s="127" t="s">
        <v>10117</v>
      </c>
      <c r="N32" s="127" t="s">
        <v>10118</v>
      </c>
      <c r="O32" s="127" t="s">
        <v>13848</v>
      </c>
      <c r="P32" s="127" t="s">
        <v>14158</v>
      </c>
      <c r="Q32" s="127" t="s">
        <v>14468</v>
      </c>
    </row>
    <row r="33" spans="1:17" x14ac:dyDescent="0.35">
      <c r="A33" s="127" t="s">
        <v>6063</v>
      </c>
      <c r="C33" s="127" t="s">
        <v>20187</v>
      </c>
      <c r="D33" s="127" t="s">
        <v>12919</v>
      </c>
      <c r="I33" s="127" t="s">
        <v>10120</v>
      </c>
      <c r="J33" s="127" t="s">
        <v>13229</v>
      </c>
      <c r="K33" s="127" t="s">
        <v>10121</v>
      </c>
      <c r="L33" s="127" t="s">
        <v>13539</v>
      </c>
      <c r="M33" s="127" t="s">
        <v>10122</v>
      </c>
      <c r="N33" s="127" t="s">
        <v>10123</v>
      </c>
      <c r="O33" s="127" t="s">
        <v>13849</v>
      </c>
      <c r="P33" s="127" t="s">
        <v>14159</v>
      </c>
      <c r="Q33" s="127" t="s">
        <v>14469</v>
      </c>
    </row>
    <row r="34" spans="1:17" x14ac:dyDescent="0.35">
      <c r="A34" s="127" t="s">
        <v>6063</v>
      </c>
      <c r="C34" s="127" t="s">
        <v>20188</v>
      </c>
      <c r="D34" s="127" t="s">
        <v>12920</v>
      </c>
      <c r="I34" s="127" t="s">
        <v>10125</v>
      </c>
      <c r="J34" s="127" t="s">
        <v>13230</v>
      </c>
      <c r="K34" s="127" t="s">
        <v>10126</v>
      </c>
      <c r="L34" s="127" t="s">
        <v>13540</v>
      </c>
      <c r="M34" s="127" t="s">
        <v>10127</v>
      </c>
      <c r="N34" s="127" t="s">
        <v>10128</v>
      </c>
      <c r="O34" s="127" t="s">
        <v>13850</v>
      </c>
      <c r="P34" s="127" t="s">
        <v>14160</v>
      </c>
      <c r="Q34" s="127" t="s">
        <v>14470</v>
      </c>
    </row>
    <row r="35" spans="1:17" x14ac:dyDescent="0.35">
      <c r="A35" s="127" t="s">
        <v>6063</v>
      </c>
      <c r="C35" s="127" t="s">
        <v>20189</v>
      </c>
      <c r="D35" s="127" t="s">
        <v>12921</v>
      </c>
      <c r="I35" s="127" t="s">
        <v>10130</v>
      </c>
      <c r="J35" s="127" t="s">
        <v>13231</v>
      </c>
      <c r="K35" s="127" t="s">
        <v>10131</v>
      </c>
      <c r="L35" s="127" t="s">
        <v>13541</v>
      </c>
      <c r="M35" s="127" t="s">
        <v>10132</v>
      </c>
      <c r="N35" s="127" t="s">
        <v>10133</v>
      </c>
      <c r="O35" s="127" t="s">
        <v>13851</v>
      </c>
      <c r="P35" s="127" t="s">
        <v>14161</v>
      </c>
      <c r="Q35" s="127" t="s">
        <v>14471</v>
      </c>
    </row>
    <row r="36" spans="1:17" x14ac:dyDescent="0.35">
      <c r="A36" s="127" t="s">
        <v>6063</v>
      </c>
      <c r="C36" s="127" t="s">
        <v>20190</v>
      </c>
      <c r="D36" s="127" t="s">
        <v>12922</v>
      </c>
      <c r="I36" s="127" t="s">
        <v>10135</v>
      </c>
      <c r="J36" s="127" t="s">
        <v>13232</v>
      </c>
      <c r="K36" s="127" t="s">
        <v>10136</v>
      </c>
      <c r="L36" s="127" t="s">
        <v>13542</v>
      </c>
      <c r="M36" s="127" t="s">
        <v>10137</v>
      </c>
      <c r="N36" s="127" t="s">
        <v>10138</v>
      </c>
      <c r="O36" s="127" t="s">
        <v>13852</v>
      </c>
      <c r="P36" s="127" t="s">
        <v>14162</v>
      </c>
      <c r="Q36" s="127" t="s">
        <v>14472</v>
      </c>
    </row>
    <row r="37" spans="1:17" x14ac:dyDescent="0.35">
      <c r="A37" s="127" t="s">
        <v>6063</v>
      </c>
      <c r="C37" s="127" t="s">
        <v>20191</v>
      </c>
      <c r="D37" s="127" t="s">
        <v>12923</v>
      </c>
      <c r="I37" s="127" t="s">
        <v>10140</v>
      </c>
      <c r="J37" s="127" t="s">
        <v>13233</v>
      </c>
      <c r="K37" s="127" t="s">
        <v>10141</v>
      </c>
      <c r="L37" s="127" t="s">
        <v>13543</v>
      </c>
      <c r="M37" s="127" t="s">
        <v>10142</v>
      </c>
      <c r="N37" s="127" t="s">
        <v>10143</v>
      </c>
      <c r="O37" s="127" t="s">
        <v>13853</v>
      </c>
      <c r="P37" s="127" t="s">
        <v>14163</v>
      </c>
      <c r="Q37" s="127" t="s">
        <v>14473</v>
      </c>
    </row>
    <row r="38" spans="1:17" x14ac:dyDescent="0.35">
      <c r="A38" s="127" t="s">
        <v>6063</v>
      </c>
      <c r="C38" s="127" t="s">
        <v>20192</v>
      </c>
      <c r="D38" s="127" t="s">
        <v>12924</v>
      </c>
      <c r="I38" s="127" t="s">
        <v>10145</v>
      </c>
      <c r="J38" s="127" t="s">
        <v>13234</v>
      </c>
      <c r="K38" s="127" t="s">
        <v>10146</v>
      </c>
      <c r="L38" s="127" t="s">
        <v>13544</v>
      </c>
      <c r="M38" s="127" t="s">
        <v>10147</v>
      </c>
      <c r="N38" s="127" t="s">
        <v>10148</v>
      </c>
      <c r="O38" s="127" t="s">
        <v>13854</v>
      </c>
      <c r="P38" s="127" t="s">
        <v>14164</v>
      </c>
      <c r="Q38" s="127" t="s">
        <v>14474</v>
      </c>
    </row>
    <row r="39" spans="1:17" x14ac:dyDescent="0.35">
      <c r="A39" s="127" t="s">
        <v>6063</v>
      </c>
      <c r="C39" s="127" t="s">
        <v>20193</v>
      </c>
      <c r="D39" s="127" t="s">
        <v>12925</v>
      </c>
      <c r="I39" s="127" t="s">
        <v>10150</v>
      </c>
      <c r="J39" s="127" t="s">
        <v>13235</v>
      </c>
      <c r="K39" s="127" t="s">
        <v>10151</v>
      </c>
      <c r="L39" s="127" t="s">
        <v>13545</v>
      </c>
      <c r="M39" s="127" t="s">
        <v>10152</v>
      </c>
      <c r="N39" s="127" t="s">
        <v>10153</v>
      </c>
      <c r="O39" s="127" t="s">
        <v>13855</v>
      </c>
      <c r="P39" s="127" t="s">
        <v>14165</v>
      </c>
      <c r="Q39" s="127" t="s">
        <v>14475</v>
      </c>
    </row>
    <row r="40" spans="1:17" x14ac:dyDescent="0.35">
      <c r="A40" s="127" t="s">
        <v>6063</v>
      </c>
      <c r="C40" s="127" t="s">
        <v>20194</v>
      </c>
      <c r="D40" s="127" t="s">
        <v>12926</v>
      </c>
      <c r="I40" s="127" t="s">
        <v>10155</v>
      </c>
      <c r="J40" s="127" t="s">
        <v>13236</v>
      </c>
      <c r="K40" s="127" t="s">
        <v>10156</v>
      </c>
      <c r="L40" s="127" t="s">
        <v>13546</v>
      </c>
      <c r="M40" s="127" t="s">
        <v>10157</v>
      </c>
      <c r="N40" s="127" t="s">
        <v>10158</v>
      </c>
      <c r="O40" s="127" t="s">
        <v>13856</v>
      </c>
      <c r="P40" s="127" t="s">
        <v>14166</v>
      </c>
      <c r="Q40" s="127" t="s">
        <v>14476</v>
      </c>
    </row>
    <row r="41" spans="1:17" x14ac:dyDescent="0.35">
      <c r="A41" s="127" t="s">
        <v>6063</v>
      </c>
      <c r="C41" s="127" t="s">
        <v>20195</v>
      </c>
      <c r="D41" s="127" t="s">
        <v>12927</v>
      </c>
      <c r="I41" s="127" t="s">
        <v>10160</v>
      </c>
      <c r="J41" s="127" t="s">
        <v>13237</v>
      </c>
      <c r="K41" s="127" t="s">
        <v>10161</v>
      </c>
      <c r="L41" s="127" t="s">
        <v>13547</v>
      </c>
      <c r="M41" s="127" t="s">
        <v>10162</v>
      </c>
      <c r="N41" s="127" t="s">
        <v>10163</v>
      </c>
      <c r="O41" s="127" t="s">
        <v>13857</v>
      </c>
      <c r="P41" s="127" t="s">
        <v>14167</v>
      </c>
      <c r="Q41" s="127" t="s">
        <v>14477</v>
      </c>
    </row>
    <row r="42" spans="1:17" x14ac:dyDescent="0.35">
      <c r="A42" s="127" t="s">
        <v>6063</v>
      </c>
      <c r="C42" s="127" t="s">
        <v>20196</v>
      </c>
      <c r="D42" s="127" t="s">
        <v>12928</v>
      </c>
      <c r="I42" s="127" t="s">
        <v>10165</v>
      </c>
      <c r="J42" s="127" t="s">
        <v>13238</v>
      </c>
      <c r="K42" s="127" t="s">
        <v>10166</v>
      </c>
      <c r="L42" s="127" t="s">
        <v>13548</v>
      </c>
      <c r="M42" s="127" t="s">
        <v>10167</v>
      </c>
      <c r="N42" s="127" t="s">
        <v>10168</v>
      </c>
      <c r="O42" s="127" t="s">
        <v>13858</v>
      </c>
      <c r="P42" s="127" t="s">
        <v>14168</v>
      </c>
      <c r="Q42" s="127" t="s">
        <v>14478</v>
      </c>
    </row>
    <row r="43" spans="1:17" x14ac:dyDescent="0.35">
      <c r="A43" s="127" t="s">
        <v>6063</v>
      </c>
      <c r="C43" s="127" t="s">
        <v>20197</v>
      </c>
      <c r="D43" s="127" t="s">
        <v>12929</v>
      </c>
      <c r="I43" s="127" t="s">
        <v>10170</v>
      </c>
      <c r="J43" s="127" t="s">
        <v>13239</v>
      </c>
      <c r="K43" s="127" t="s">
        <v>10171</v>
      </c>
      <c r="L43" s="127" t="s">
        <v>13549</v>
      </c>
      <c r="M43" s="127" t="s">
        <v>10172</v>
      </c>
      <c r="N43" s="127" t="s">
        <v>10173</v>
      </c>
      <c r="O43" s="127" t="s">
        <v>13859</v>
      </c>
      <c r="P43" s="127" t="s">
        <v>14169</v>
      </c>
      <c r="Q43" s="127" t="s">
        <v>14479</v>
      </c>
    </row>
    <row r="44" spans="1:17" x14ac:dyDescent="0.35">
      <c r="A44" s="127" t="s">
        <v>6063</v>
      </c>
      <c r="C44" s="127" t="s">
        <v>20198</v>
      </c>
      <c r="D44" s="127" t="s">
        <v>12930</v>
      </c>
      <c r="I44" s="127" t="s">
        <v>10175</v>
      </c>
      <c r="J44" s="127" t="s">
        <v>13240</v>
      </c>
      <c r="K44" s="127" t="s">
        <v>10176</v>
      </c>
      <c r="L44" s="127" t="s">
        <v>13550</v>
      </c>
      <c r="M44" s="127" t="s">
        <v>10177</v>
      </c>
      <c r="N44" s="127" t="s">
        <v>10178</v>
      </c>
      <c r="O44" s="127" t="s">
        <v>13860</v>
      </c>
      <c r="P44" s="127" t="s">
        <v>14170</v>
      </c>
      <c r="Q44" s="127" t="s">
        <v>14480</v>
      </c>
    </row>
    <row r="45" spans="1:17" x14ac:dyDescent="0.35">
      <c r="A45" s="127" t="s">
        <v>6063</v>
      </c>
      <c r="C45" s="127" t="s">
        <v>20199</v>
      </c>
      <c r="D45" s="127" t="s">
        <v>12931</v>
      </c>
      <c r="I45" s="127" t="s">
        <v>10180</v>
      </c>
      <c r="J45" s="127" t="s">
        <v>13241</v>
      </c>
      <c r="K45" s="127" t="s">
        <v>10181</v>
      </c>
      <c r="L45" s="127" t="s">
        <v>13551</v>
      </c>
      <c r="M45" s="127" t="s">
        <v>10182</v>
      </c>
      <c r="N45" s="127" t="s">
        <v>10183</v>
      </c>
      <c r="O45" s="127" t="s">
        <v>13861</v>
      </c>
      <c r="P45" s="127" t="s">
        <v>14171</v>
      </c>
      <c r="Q45" s="127" t="s">
        <v>14481</v>
      </c>
    </row>
    <row r="46" spans="1:17" x14ac:dyDescent="0.35">
      <c r="A46" s="127" t="s">
        <v>6063</v>
      </c>
      <c r="C46" s="127" t="s">
        <v>20200</v>
      </c>
      <c r="D46" s="127" t="s">
        <v>12932</v>
      </c>
      <c r="I46" s="127" t="s">
        <v>10185</v>
      </c>
      <c r="J46" s="127" t="s">
        <v>13242</v>
      </c>
      <c r="K46" s="127" t="s">
        <v>10186</v>
      </c>
      <c r="L46" s="127" t="s">
        <v>13552</v>
      </c>
      <c r="M46" s="127" t="s">
        <v>10187</v>
      </c>
      <c r="N46" s="127" t="s">
        <v>10188</v>
      </c>
      <c r="O46" s="127" t="s">
        <v>13862</v>
      </c>
      <c r="P46" s="127" t="s">
        <v>14172</v>
      </c>
      <c r="Q46" s="127" t="s">
        <v>14482</v>
      </c>
    </row>
    <row r="47" spans="1:17" x14ac:dyDescent="0.35">
      <c r="A47" s="127" t="s">
        <v>6063</v>
      </c>
      <c r="C47" s="127" t="s">
        <v>20201</v>
      </c>
      <c r="D47" s="127" t="s">
        <v>12933</v>
      </c>
      <c r="I47" s="127" t="s">
        <v>10190</v>
      </c>
      <c r="J47" s="127" t="s">
        <v>13243</v>
      </c>
      <c r="K47" s="127" t="s">
        <v>10191</v>
      </c>
      <c r="L47" s="127" t="s">
        <v>13553</v>
      </c>
      <c r="M47" s="127" t="s">
        <v>10192</v>
      </c>
      <c r="N47" s="127" t="s">
        <v>10193</v>
      </c>
      <c r="O47" s="127" t="s">
        <v>13863</v>
      </c>
      <c r="P47" s="127" t="s">
        <v>14173</v>
      </c>
      <c r="Q47" s="127" t="s">
        <v>14483</v>
      </c>
    </row>
    <row r="48" spans="1:17" x14ac:dyDescent="0.35">
      <c r="A48" s="127" t="s">
        <v>6063</v>
      </c>
      <c r="C48" s="127" t="s">
        <v>20202</v>
      </c>
      <c r="D48" s="127" t="s">
        <v>12934</v>
      </c>
      <c r="I48" s="127" t="s">
        <v>10195</v>
      </c>
      <c r="J48" s="127" t="s">
        <v>13244</v>
      </c>
      <c r="K48" s="127" t="s">
        <v>10196</v>
      </c>
      <c r="L48" s="127" t="s">
        <v>13554</v>
      </c>
      <c r="M48" s="127" t="s">
        <v>10197</v>
      </c>
      <c r="N48" s="127" t="s">
        <v>10198</v>
      </c>
      <c r="O48" s="127" t="s">
        <v>13864</v>
      </c>
      <c r="P48" s="127" t="s">
        <v>14174</v>
      </c>
      <c r="Q48" s="127" t="s">
        <v>14484</v>
      </c>
    </row>
    <row r="49" spans="1:17" x14ac:dyDescent="0.35">
      <c r="A49" s="127" t="s">
        <v>6063</v>
      </c>
      <c r="C49" s="127" t="s">
        <v>20203</v>
      </c>
      <c r="D49" s="127" t="s">
        <v>12935</v>
      </c>
      <c r="I49" s="127" t="s">
        <v>10200</v>
      </c>
      <c r="J49" s="127" t="s">
        <v>13245</v>
      </c>
      <c r="K49" s="127" t="s">
        <v>10201</v>
      </c>
      <c r="L49" s="127" t="s">
        <v>13555</v>
      </c>
      <c r="M49" s="127" t="s">
        <v>10202</v>
      </c>
      <c r="N49" s="127" t="s">
        <v>10203</v>
      </c>
      <c r="O49" s="127" t="s">
        <v>13865</v>
      </c>
      <c r="P49" s="127" t="s">
        <v>14175</v>
      </c>
      <c r="Q49" s="127" t="s">
        <v>14485</v>
      </c>
    </row>
    <row r="50" spans="1:17" x14ac:dyDescent="0.35">
      <c r="A50" s="127" t="s">
        <v>6063</v>
      </c>
      <c r="C50" s="127" t="s">
        <v>20204</v>
      </c>
      <c r="D50" s="127" t="s">
        <v>12936</v>
      </c>
      <c r="I50" s="127" t="s">
        <v>10205</v>
      </c>
      <c r="J50" s="127" t="s">
        <v>13246</v>
      </c>
      <c r="K50" s="127" t="s">
        <v>10206</v>
      </c>
      <c r="L50" s="127" t="s">
        <v>13556</v>
      </c>
      <c r="M50" s="127" t="s">
        <v>10207</v>
      </c>
      <c r="N50" s="127" t="s">
        <v>10208</v>
      </c>
      <c r="O50" s="127" t="s">
        <v>13866</v>
      </c>
      <c r="P50" s="127" t="s">
        <v>14176</v>
      </c>
      <c r="Q50" s="127" t="s">
        <v>14486</v>
      </c>
    </row>
    <row r="51" spans="1:17" x14ac:dyDescent="0.35">
      <c r="A51" s="127" t="s">
        <v>6063</v>
      </c>
      <c r="C51" s="127" t="s">
        <v>20205</v>
      </c>
      <c r="D51" s="127" t="s">
        <v>12937</v>
      </c>
      <c r="I51" s="127" t="s">
        <v>10210</v>
      </c>
      <c r="J51" s="127" t="s">
        <v>13247</v>
      </c>
      <c r="K51" s="127" t="s">
        <v>10211</v>
      </c>
      <c r="L51" s="127" t="s">
        <v>13557</v>
      </c>
      <c r="M51" s="127" t="s">
        <v>10212</v>
      </c>
      <c r="N51" s="127" t="s">
        <v>10213</v>
      </c>
      <c r="O51" s="127" t="s">
        <v>13867</v>
      </c>
      <c r="P51" s="127" t="s">
        <v>14177</v>
      </c>
      <c r="Q51" s="127" t="s">
        <v>14487</v>
      </c>
    </row>
    <row r="52" spans="1:17" x14ac:dyDescent="0.35">
      <c r="A52" s="127" t="s">
        <v>6063</v>
      </c>
      <c r="C52" s="127" t="s">
        <v>20206</v>
      </c>
      <c r="D52" s="127" t="s">
        <v>12938</v>
      </c>
      <c r="I52" s="127" t="s">
        <v>10215</v>
      </c>
      <c r="J52" s="127" t="s">
        <v>13248</v>
      </c>
      <c r="K52" s="127" t="s">
        <v>10216</v>
      </c>
      <c r="L52" s="127" t="s">
        <v>13558</v>
      </c>
      <c r="M52" s="127" t="s">
        <v>10217</v>
      </c>
      <c r="N52" s="127" t="s">
        <v>10218</v>
      </c>
      <c r="O52" s="127" t="s">
        <v>13868</v>
      </c>
      <c r="P52" s="127" t="s">
        <v>14178</v>
      </c>
      <c r="Q52" s="127" t="s">
        <v>14488</v>
      </c>
    </row>
    <row r="53" spans="1:17" x14ac:dyDescent="0.35">
      <c r="A53" s="127" t="s">
        <v>6063</v>
      </c>
      <c r="C53" s="127" t="s">
        <v>20207</v>
      </c>
      <c r="D53" s="127" t="s">
        <v>12939</v>
      </c>
      <c r="I53" s="127" t="s">
        <v>10220</v>
      </c>
      <c r="J53" s="127" t="s">
        <v>13249</v>
      </c>
      <c r="K53" s="127" t="s">
        <v>10221</v>
      </c>
      <c r="L53" s="127" t="s">
        <v>13559</v>
      </c>
      <c r="M53" s="127" t="s">
        <v>10222</v>
      </c>
      <c r="N53" s="127" t="s">
        <v>10223</v>
      </c>
      <c r="O53" s="127" t="s">
        <v>13869</v>
      </c>
      <c r="P53" s="127" t="s">
        <v>14179</v>
      </c>
      <c r="Q53" s="127" t="s">
        <v>14489</v>
      </c>
    </row>
    <row r="54" spans="1:17" x14ac:dyDescent="0.35">
      <c r="A54" s="127" t="s">
        <v>6063</v>
      </c>
      <c r="C54" s="127" t="s">
        <v>20208</v>
      </c>
      <c r="D54" s="127" t="s">
        <v>12940</v>
      </c>
      <c r="I54" s="127" t="s">
        <v>10225</v>
      </c>
      <c r="J54" s="127" t="s">
        <v>13250</v>
      </c>
      <c r="K54" s="127" t="s">
        <v>10226</v>
      </c>
      <c r="L54" s="127" t="s">
        <v>13560</v>
      </c>
      <c r="M54" s="127" t="s">
        <v>10227</v>
      </c>
      <c r="N54" s="127" t="s">
        <v>10228</v>
      </c>
      <c r="O54" s="127" t="s">
        <v>13870</v>
      </c>
      <c r="P54" s="127" t="s">
        <v>14180</v>
      </c>
      <c r="Q54" s="127" t="s">
        <v>14490</v>
      </c>
    </row>
    <row r="55" spans="1:17" x14ac:dyDescent="0.35">
      <c r="A55" s="127" t="s">
        <v>6063</v>
      </c>
      <c r="C55" s="127" t="s">
        <v>20209</v>
      </c>
      <c r="D55" s="127" t="s">
        <v>12941</v>
      </c>
      <c r="I55" s="127" t="s">
        <v>10230</v>
      </c>
      <c r="J55" s="127" t="s">
        <v>13251</v>
      </c>
      <c r="K55" s="127" t="s">
        <v>10231</v>
      </c>
      <c r="L55" s="127" t="s">
        <v>13561</v>
      </c>
      <c r="M55" s="127" t="s">
        <v>10232</v>
      </c>
      <c r="N55" s="127" t="s">
        <v>10233</v>
      </c>
      <c r="O55" s="127" t="s">
        <v>13871</v>
      </c>
      <c r="P55" s="127" t="s">
        <v>14181</v>
      </c>
      <c r="Q55" s="127" t="s">
        <v>14491</v>
      </c>
    </row>
    <row r="56" spans="1:17" x14ac:dyDescent="0.35">
      <c r="A56" s="127" t="s">
        <v>6063</v>
      </c>
      <c r="C56" s="127" t="s">
        <v>20210</v>
      </c>
      <c r="D56" s="127" t="s">
        <v>12942</v>
      </c>
      <c r="I56" s="127" t="s">
        <v>10235</v>
      </c>
      <c r="J56" s="127" t="s">
        <v>13252</v>
      </c>
      <c r="K56" s="127" t="s">
        <v>10236</v>
      </c>
      <c r="L56" s="127" t="s">
        <v>13562</v>
      </c>
      <c r="M56" s="127" t="s">
        <v>10237</v>
      </c>
      <c r="N56" s="127" t="s">
        <v>10238</v>
      </c>
      <c r="O56" s="127" t="s">
        <v>13872</v>
      </c>
      <c r="P56" s="127" t="s">
        <v>14182</v>
      </c>
      <c r="Q56" s="127" t="s">
        <v>14492</v>
      </c>
    </row>
    <row r="57" spans="1:17" x14ac:dyDescent="0.35">
      <c r="A57" s="127" t="s">
        <v>6063</v>
      </c>
      <c r="C57" s="127" t="s">
        <v>20211</v>
      </c>
      <c r="D57" s="127" t="s">
        <v>12943</v>
      </c>
      <c r="I57" s="127" t="s">
        <v>10240</v>
      </c>
      <c r="J57" s="127" t="s">
        <v>13253</v>
      </c>
      <c r="K57" s="127" t="s">
        <v>10241</v>
      </c>
      <c r="L57" s="127" t="s">
        <v>13563</v>
      </c>
      <c r="M57" s="127" t="s">
        <v>10242</v>
      </c>
      <c r="N57" s="127" t="s">
        <v>10243</v>
      </c>
      <c r="O57" s="127" t="s">
        <v>13873</v>
      </c>
      <c r="P57" s="127" t="s">
        <v>14183</v>
      </c>
      <c r="Q57" s="127" t="s">
        <v>14493</v>
      </c>
    </row>
    <row r="58" spans="1:17" x14ac:dyDescent="0.35">
      <c r="A58" s="127" t="s">
        <v>6063</v>
      </c>
      <c r="C58" s="127" t="s">
        <v>20212</v>
      </c>
      <c r="D58" s="127" t="s">
        <v>12944</v>
      </c>
      <c r="I58" s="127" t="s">
        <v>10245</v>
      </c>
      <c r="J58" s="127" t="s">
        <v>13254</v>
      </c>
      <c r="K58" s="127" t="s">
        <v>10246</v>
      </c>
      <c r="L58" s="127" t="s">
        <v>13564</v>
      </c>
      <c r="M58" s="127" t="s">
        <v>10247</v>
      </c>
      <c r="N58" s="127" t="s">
        <v>10248</v>
      </c>
      <c r="O58" s="127" t="s">
        <v>13874</v>
      </c>
      <c r="P58" s="127" t="s">
        <v>14184</v>
      </c>
      <c r="Q58" s="127" t="s">
        <v>14494</v>
      </c>
    </row>
    <row r="59" spans="1:17" x14ac:dyDescent="0.35">
      <c r="A59" s="127" t="s">
        <v>6063</v>
      </c>
      <c r="C59" s="127" t="s">
        <v>20213</v>
      </c>
      <c r="D59" s="127" t="s">
        <v>12945</v>
      </c>
      <c r="I59" s="127" t="s">
        <v>10250</v>
      </c>
      <c r="J59" s="127" t="s">
        <v>13255</v>
      </c>
      <c r="K59" s="127" t="s">
        <v>10251</v>
      </c>
      <c r="L59" s="127" t="s">
        <v>13565</v>
      </c>
      <c r="M59" s="127" t="s">
        <v>10252</v>
      </c>
      <c r="N59" s="127" t="s">
        <v>10253</v>
      </c>
      <c r="O59" s="127" t="s">
        <v>13875</v>
      </c>
      <c r="P59" s="127" t="s">
        <v>14185</v>
      </c>
      <c r="Q59" s="127" t="s">
        <v>14495</v>
      </c>
    </row>
    <row r="60" spans="1:17" x14ac:dyDescent="0.35">
      <c r="A60" s="127" t="s">
        <v>6063</v>
      </c>
      <c r="C60" s="127" t="s">
        <v>20214</v>
      </c>
      <c r="D60" s="127" t="s">
        <v>12946</v>
      </c>
      <c r="I60" s="127" t="s">
        <v>10255</v>
      </c>
      <c r="J60" s="127" t="s">
        <v>13256</v>
      </c>
      <c r="K60" s="127" t="s">
        <v>10256</v>
      </c>
      <c r="L60" s="127" t="s">
        <v>13566</v>
      </c>
      <c r="M60" s="127" t="s">
        <v>10257</v>
      </c>
      <c r="N60" s="127" t="s">
        <v>10258</v>
      </c>
      <c r="O60" s="127" t="s">
        <v>13876</v>
      </c>
      <c r="P60" s="127" t="s">
        <v>14186</v>
      </c>
      <c r="Q60" s="127" t="s">
        <v>14496</v>
      </c>
    </row>
    <row r="61" spans="1:17" x14ac:dyDescent="0.35">
      <c r="A61" s="127" t="s">
        <v>6063</v>
      </c>
      <c r="C61" s="127" t="s">
        <v>20215</v>
      </c>
      <c r="D61" s="127" t="s">
        <v>12947</v>
      </c>
      <c r="I61" s="127" t="s">
        <v>10260</v>
      </c>
      <c r="J61" s="127" t="s">
        <v>13257</v>
      </c>
      <c r="K61" s="127" t="s">
        <v>10261</v>
      </c>
      <c r="L61" s="127" t="s">
        <v>13567</v>
      </c>
      <c r="M61" s="127" t="s">
        <v>10262</v>
      </c>
      <c r="N61" s="127" t="s">
        <v>10263</v>
      </c>
      <c r="O61" s="127" t="s">
        <v>13877</v>
      </c>
      <c r="P61" s="127" t="s">
        <v>14187</v>
      </c>
      <c r="Q61" s="127" t="s">
        <v>14497</v>
      </c>
    </row>
    <row r="62" spans="1:17" x14ac:dyDescent="0.35">
      <c r="A62" s="127" t="s">
        <v>6063</v>
      </c>
      <c r="C62" s="127" t="s">
        <v>20216</v>
      </c>
      <c r="D62" s="127" t="s">
        <v>12948</v>
      </c>
      <c r="I62" s="127" t="s">
        <v>10265</v>
      </c>
      <c r="J62" s="127" t="s">
        <v>13258</v>
      </c>
      <c r="K62" s="127" t="s">
        <v>10266</v>
      </c>
      <c r="L62" s="127" t="s">
        <v>13568</v>
      </c>
      <c r="M62" s="127" t="s">
        <v>10267</v>
      </c>
      <c r="N62" s="127" t="s">
        <v>10268</v>
      </c>
      <c r="O62" s="127" t="s">
        <v>13878</v>
      </c>
      <c r="P62" s="127" t="s">
        <v>14188</v>
      </c>
      <c r="Q62" s="127" t="s">
        <v>14498</v>
      </c>
    </row>
    <row r="63" spans="1:17" x14ac:dyDescent="0.35">
      <c r="A63" s="127" t="s">
        <v>6063</v>
      </c>
      <c r="C63" s="127" t="s">
        <v>20217</v>
      </c>
      <c r="D63" s="127" t="s">
        <v>12949</v>
      </c>
      <c r="I63" s="127" t="s">
        <v>10270</v>
      </c>
      <c r="J63" s="127" t="s">
        <v>13259</v>
      </c>
      <c r="K63" s="127" t="s">
        <v>10271</v>
      </c>
      <c r="L63" s="127" t="s">
        <v>13569</v>
      </c>
      <c r="M63" s="127" t="s">
        <v>10272</v>
      </c>
      <c r="N63" s="127" t="s">
        <v>10273</v>
      </c>
      <c r="O63" s="127" t="s">
        <v>13879</v>
      </c>
      <c r="P63" s="127" t="s">
        <v>14189</v>
      </c>
      <c r="Q63" s="127" t="s">
        <v>14499</v>
      </c>
    </row>
    <row r="64" spans="1:17" x14ac:dyDescent="0.35">
      <c r="A64" s="127" t="s">
        <v>6063</v>
      </c>
      <c r="C64" s="127" t="s">
        <v>20218</v>
      </c>
      <c r="D64" s="127" t="s">
        <v>12950</v>
      </c>
      <c r="I64" s="127" t="s">
        <v>10275</v>
      </c>
      <c r="J64" s="127" t="s">
        <v>13260</v>
      </c>
      <c r="K64" s="127" t="s">
        <v>10276</v>
      </c>
      <c r="L64" s="127" t="s">
        <v>13570</v>
      </c>
      <c r="M64" s="127" t="s">
        <v>10277</v>
      </c>
      <c r="N64" s="127" t="s">
        <v>10278</v>
      </c>
      <c r="O64" s="127" t="s">
        <v>13880</v>
      </c>
      <c r="P64" s="127" t="s">
        <v>14190</v>
      </c>
      <c r="Q64" s="127" t="s">
        <v>14500</v>
      </c>
    </row>
    <row r="65" spans="1:17" x14ac:dyDescent="0.35">
      <c r="A65" s="127" t="s">
        <v>6063</v>
      </c>
      <c r="C65" s="127" t="s">
        <v>20219</v>
      </c>
      <c r="D65" s="127" t="s">
        <v>12951</v>
      </c>
      <c r="I65" s="127" t="s">
        <v>10280</v>
      </c>
      <c r="J65" s="127" t="s">
        <v>13261</v>
      </c>
      <c r="K65" s="127" t="s">
        <v>10281</v>
      </c>
      <c r="L65" s="127" t="s">
        <v>13571</v>
      </c>
      <c r="M65" s="127" t="s">
        <v>10282</v>
      </c>
      <c r="N65" s="127" t="s">
        <v>10283</v>
      </c>
      <c r="O65" s="127" t="s">
        <v>13881</v>
      </c>
      <c r="P65" s="127" t="s">
        <v>14191</v>
      </c>
      <c r="Q65" s="127" t="s">
        <v>14501</v>
      </c>
    </row>
    <row r="66" spans="1:17" x14ac:dyDescent="0.35">
      <c r="A66" s="127" t="s">
        <v>6063</v>
      </c>
      <c r="C66" s="127" t="s">
        <v>20220</v>
      </c>
      <c r="D66" s="127" t="s">
        <v>12952</v>
      </c>
      <c r="I66" s="127" t="s">
        <v>10285</v>
      </c>
      <c r="J66" s="127" t="s">
        <v>13262</v>
      </c>
      <c r="K66" s="127" t="s">
        <v>10286</v>
      </c>
      <c r="L66" s="127" t="s">
        <v>13572</v>
      </c>
      <c r="M66" s="127" t="s">
        <v>10287</v>
      </c>
      <c r="N66" s="127" t="s">
        <v>10288</v>
      </c>
      <c r="O66" s="127" t="s">
        <v>13882</v>
      </c>
      <c r="P66" s="127" t="s">
        <v>14192</v>
      </c>
      <c r="Q66" s="127" t="s">
        <v>14502</v>
      </c>
    </row>
    <row r="67" spans="1:17" x14ac:dyDescent="0.35">
      <c r="A67" s="127" t="s">
        <v>6063</v>
      </c>
      <c r="C67" s="127" t="s">
        <v>20221</v>
      </c>
      <c r="D67" s="127" t="s">
        <v>12953</v>
      </c>
      <c r="I67" s="127" t="s">
        <v>10290</v>
      </c>
      <c r="J67" s="127" t="s">
        <v>13263</v>
      </c>
      <c r="K67" s="127" t="s">
        <v>10291</v>
      </c>
      <c r="L67" s="127" t="s">
        <v>13573</v>
      </c>
      <c r="M67" s="127" t="s">
        <v>10292</v>
      </c>
      <c r="N67" s="127" t="s">
        <v>10293</v>
      </c>
      <c r="O67" s="127" t="s">
        <v>13883</v>
      </c>
      <c r="P67" s="127" t="s">
        <v>14193</v>
      </c>
      <c r="Q67" s="127" t="s">
        <v>14503</v>
      </c>
    </row>
    <row r="68" spans="1:17" x14ac:dyDescent="0.35">
      <c r="A68" s="127" t="s">
        <v>6063</v>
      </c>
      <c r="C68" s="127" t="s">
        <v>20222</v>
      </c>
      <c r="D68" s="127" t="s">
        <v>12954</v>
      </c>
      <c r="I68" s="127" t="s">
        <v>10295</v>
      </c>
      <c r="J68" s="127" t="s">
        <v>13264</v>
      </c>
      <c r="K68" s="127" t="s">
        <v>10296</v>
      </c>
      <c r="L68" s="127" t="s">
        <v>13574</v>
      </c>
      <c r="M68" s="127" t="s">
        <v>10297</v>
      </c>
      <c r="N68" s="127" t="s">
        <v>10298</v>
      </c>
      <c r="O68" s="127" t="s">
        <v>13884</v>
      </c>
      <c r="P68" s="127" t="s">
        <v>14194</v>
      </c>
      <c r="Q68" s="127" t="s">
        <v>14504</v>
      </c>
    </row>
    <row r="69" spans="1:17" x14ac:dyDescent="0.35">
      <c r="A69" s="127" t="s">
        <v>6063</v>
      </c>
      <c r="C69" s="127" t="s">
        <v>20223</v>
      </c>
      <c r="D69" s="127" t="s">
        <v>12955</v>
      </c>
      <c r="I69" s="127" t="s">
        <v>10300</v>
      </c>
      <c r="J69" s="127" t="s">
        <v>13265</v>
      </c>
      <c r="K69" s="127" t="s">
        <v>10301</v>
      </c>
      <c r="L69" s="127" t="s">
        <v>13575</v>
      </c>
      <c r="M69" s="127" t="s">
        <v>10302</v>
      </c>
      <c r="N69" s="127" t="s">
        <v>10303</v>
      </c>
      <c r="O69" s="127" t="s">
        <v>13885</v>
      </c>
      <c r="P69" s="127" t="s">
        <v>14195</v>
      </c>
      <c r="Q69" s="127" t="s">
        <v>14505</v>
      </c>
    </row>
    <row r="70" spans="1:17" x14ac:dyDescent="0.35">
      <c r="A70" s="127" t="s">
        <v>6063</v>
      </c>
      <c r="C70" s="127" t="s">
        <v>20224</v>
      </c>
      <c r="D70" s="127" t="s">
        <v>12956</v>
      </c>
      <c r="I70" s="127" t="s">
        <v>10305</v>
      </c>
      <c r="J70" s="127" t="s">
        <v>13266</v>
      </c>
      <c r="K70" s="127" t="s">
        <v>10306</v>
      </c>
      <c r="L70" s="127" t="s">
        <v>13576</v>
      </c>
      <c r="M70" s="127" t="s">
        <v>10307</v>
      </c>
      <c r="N70" s="127" t="s">
        <v>10308</v>
      </c>
      <c r="O70" s="127" t="s">
        <v>13886</v>
      </c>
      <c r="P70" s="127" t="s">
        <v>14196</v>
      </c>
      <c r="Q70" s="127" t="s">
        <v>14506</v>
      </c>
    </row>
    <row r="71" spans="1:17" x14ac:dyDescent="0.35">
      <c r="A71" s="127" t="s">
        <v>6063</v>
      </c>
      <c r="C71" s="127" t="s">
        <v>20225</v>
      </c>
      <c r="D71" s="127" t="s">
        <v>12957</v>
      </c>
      <c r="I71" s="127" t="s">
        <v>10310</v>
      </c>
      <c r="J71" s="127" t="s">
        <v>13267</v>
      </c>
      <c r="K71" s="127" t="s">
        <v>10311</v>
      </c>
      <c r="L71" s="127" t="s">
        <v>13577</v>
      </c>
      <c r="M71" s="127" t="s">
        <v>10312</v>
      </c>
      <c r="N71" s="127" t="s">
        <v>10313</v>
      </c>
      <c r="O71" s="127" t="s">
        <v>13887</v>
      </c>
      <c r="P71" s="127" t="s">
        <v>14197</v>
      </c>
      <c r="Q71" s="127" t="s">
        <v>14507</v>
      </c>
    </row>
    <row r="72" spans="1:17" x14ac:dyDescent="0.35">
      <c r="A72" s="127" t="s">
        <v>6063</v>
      </c>
      <c r="C72" s="127" t="s">
        <v>20226</v>
      </c>
      <c r="D72" s="127" t="s">
        <v>12958</v>
      </c>
      <c r="I72" s="127" t="s">
        <v>10315</v>
      </c>
      <c r="J72" s="127" t="s">
        <v>13268</v>
      </c>
      <c r="K72" s="127" t="s">
        <v>10316</v>
      </c>
      <c r="L72" s="127" t="s">
        <v>13578</v>
      </c>
      <c r="M72" s="127" t="s">
        <v>10317</v>
      </c>
      <c r="N72" s="127" t="s">
        <v>10318</v>
      </c>
      <c r="O72" s="127" t="s">
        <v>13888</v>
      </c>
      <c r="P72" s="127" t="s">
        <v>14198</v>
      </c>
      <c r="Q72" s="127" t="s">
        <v>14508</v>
      </c>
    </row>
    <row r="73" spans="1:17" x14ac:dyDescent="0.35">
      <c r="A73" s="127" t="s">
        <v>6063</v>
      </c>
      <c r="C73" s="127" t="s">
        <v>20227</v>
      </c>
      <c r="D73" s="127" t="s">
        <v>12959</v>
      </c>
      <c r="I73" s="127" t="s">
        <v>10320</v>
      </c>
      <c r="J73" s="127" t="s">
        <v>13269</v>
      </c>
      <c r="K73" s="127" t="s">
        <v>10321</v>
      </c>
      <c r="L73" s="127" t="s">
        <v>13579</v>
      </c>
      <c r="M73" s="127" t="s">
        <v>10322</v>
      </c>
      <c r="N73" s="127" t="s">
        <v>10323</v>
      </c>
      <c r="O73" s="127" t="s">
        <v>13889</v>
      </c>
      <c r="P73" s="127" t="s">
        <v>14199</v>
      </c>
      <c r="Q73" s="127" t="s">
        <v>14509</v>
      </c>
    </row>
    <row r="74" spans="1:17" x14ac:dyDescent="0.35">
      <c r="A74" s="127" t="s">
        <v>6063</v>
      </c>
      <c r="C74" s="127" t="s">
        <v>20228</v>
      </c>
      <c r="D74" s="127" t="s">
        <v>12960</v>
      </c>
      <c r="I74" s="127" t="s">
        <v>10325</v>
      </c>
      <c r="J74" s="127" t="s">
        <v>13270</v>
      </c>
      <c r="K74" s="127" t="s">
        <v>10326</v>
      </c>
      <c r="L74" s="127" t="s">
        <v>13580</v>
      </c>
      <c r="M74" s="127" t="s">
        <v>10327</v>
      </c>
      <c r="N74" s="127" t="s">
        <v>10328</v>
      </c>
      <c r="O74" s="127" t="s">
        <v>13890</v>
      </c>
      <c r="P74" s="127" t="s">
        <v>14200</v>
      </c>
      <c r="Q74" s="127" t="s">
        <v>14510</v>
      </c>
    </row>
    <row r="75" spans="1:17" x14ac:dyDescent="0.35">
      <c r="A75" s="127" t="s">
        <v>6063</v>
      </c>
      <c r="C75" s="127" t="s">
        <v>20229</v>
      </c>
      <c r="D75" s="127" t="s">
        <v>12961</v>
      </c>
      <c r="I75" s="127" t="s">
        <v>10330</v>
      </c>
      <c r="J75" s="127" t="s">
        <v>13271</v>
      </c>
      <c r="K75" s="127" t="s">
        <v>10331</v>
      </c>
      <c r="L75" s="127" t="s">
        <v>13581</v>
      </c>
      <c r="M75" s="127" t="s">
        <v>10332</v>
      </c>
      <c r="N75" s="127" t="s">
        <v>10333</v>
      </c>
      <c r="O75" s="127" t="s">
        <v>13891</v>
      </c>
      <c r="P75" s="127" t="s">
        <v>14201</v>
      </c>
      <c r="Q75" s="127" t="s">
        <v>14511</v>
      </c>
    </row>
    <row r="76" spans="1:17" x14ac:dyDescent="0.35">
      <c r="A76" s="127" t="s">
        <v>6063</v>
      </c>
      <c r="C76" s="127" t="s">
        <v>20230</v>
      </c>
      <c r="D76" s="127" t="s">
        <v>12962</v>
      </c>
      <c r="I76" s="127" t="s">
        <v>10335</v>
      </c>
      <c r="J76" s="127" t="s">
        <v>13272</v>
      </c>
      <c r="K76" s="127" t="s">
        <v>10336</v>
      </c>
      <c r="L76" s="127" t="s">
        <v>13582</v>
      </c>
      <c r="M76" s="127" t="s">
        <v>10337</v>
      </c>
      <c r="N76" s="127" t="s">
        <v>10338</v>
      </c>
      <c r="O76" s="127" t="s">
        <v>13892</v>
      </c>
      <c r="P76" s="127" t="s">
        <v>14202</v>
      </c>
      <c r="Q76" s="127" t="s">
        <v>14512</v>
      </c>
    </row>
    <row r="77" spans="1:17" x14ac:dyDescent="0.35">
      <c r="A77" s="127" t="s">
        <v>6063</v>
      </c>
      <c r="C77" s="127" t="s">
        <v>20231</v>
      </c>
      <c r="D77" s="127" t="s">
        <v>12963</v>
      </c>
      <c r="I77" s="127" t="s">
        <v>10340</v>
      </c>
      <c r="J77" s="127" t="s">
        <v>13273</v>
      </c>
      <c r="K77" s="127" t="s">
        <v>10341</v>
      </c>
      <c r="L77" s="127" t="s">
        <v>13583</v>
      </c>
      <c r="M77" s="127" t="s">
        <v>10342</v>
      </c>
      <c r="N77" s="127" t="s">
        <v>10343</v>
      </c>
      <c r="O77" s="127" t="s">
        <v>13893</v>
      </c>
      <c r="P77" s="127" t="s">
        <v>14203</v>
      </c>
      <c r="Q77" s="127" t="s">
        <v>14513</v>
      </c>
    </row>
    <row r="78" spans="1:17" x14ac:dyDescent="0.35">
      <c r="A78" s="127" t="s">
        <v>6063</v>
      </c>
      <c r="C78" s="127" t="s">
        <v>20232</v>
      </c>
      <c r="D78" s="127" t="s">
        <v>12964</v>
      </c>
      <c r="I78" s="127" t="s">
        <v>10345</v>
      </c>
      <c r="J78" s="127" t="s">
        <v>13274</v>
      </c>
      <c r="K78" s="127" t="s">
        <v>10346</v>
      </c>
      <c r="L78" s="127" t="s">
        <v>13584</v>
      </c>
      <c r="M78" s="127" t="s">
        <v>10347</v>
      </c>
      <c r="N78" s="127" t="s">
        <v>10348</v>
      </c>
      <c r="O78" s="127" t="s">
        <v>13894</v>
      </c>
      <c r="P78" s="127" t="s">
        <v>14204</v>
      </c>
      <c r="Q78" s="127" t="s">
        <v>14514</v>
      </c>
    </row>
    <row r="79" spans="1:17" x14ac:dyDescent="0.35">
      <c r="A79" s="127" t="s">
        <v>6063</v>
      </c>
      <c r="C79" s="127" t="s">
        <v>20233</v>
      </c>
      <c r="D79" s="127" t="s">
        <v>12965</v>
      </c>
      <c r="I79" s="127" t="s">
        <v>10350</v>
      </c>
      <c r="J79" s="127" t="s">
        <v>13275</v>
      </c>
      <c r="K79" s="127" t="s">
        <v>10351</v>
      </c>
      <c r="L79" s="127" t="s">
        <v>13585</v>
      </c>
      <c r="M79" s="127" t="s">
        <v>10352</v>
      </c>
      <c r="N79" s="127" t="s">
        <v>10353</v>
      </c>
      <c r="O79" s="127" t="s">
        <v>13895</v>
      </c>
      <c r="P79" s="127" t="s">
        <v>14205</v>
      </c>
      <c r="Q79" s="127" t="s">
        <v>14515</v>
      </c>
    </row>
    <row r="80" spans="1:17" x14ac:dyDescent="0.35">
      <c r="A80" s="127" t="s">
        <v>6063</v>
      </c>
      <c r="C80" s="127" t="s">
        <v>20234</v>
      </c>
      <c r="D80" s="127" t="s">
        <v>12966</v>
      </c>
      <c r="I80" s="127" t="s">
        <v>10355</v>
      </c>
      <c r="J80" s="127" t="s">
        <v>13276</v>
      </c>
      <c r="K80" s="127" t="s">
        <v>10356</v>
      </c>
      <c r="L80" s="127" t="s">
        <v>13586</v>
      </c>
      <c r="M80" s="127" t="s">
        <v>10357</v>
      </c>
      <c r="N80" s="127" t="s">
        <v>10358</v>
      </c>
      <c r="O80" s="127" t="s">
        <v>13896</v>
      </c>
      <c r="P80" s="127" t="s">
        <v>14206</v>
      </c>
      <c r="Q80" s="127" t="s">
        <v>14516</v>
      </c>
    </row>
    <row r="81" spans="1:17" x14ac:dyDescent="0.35">
      <c r="A81" s="127" t="s">
        <v>6063</v>
      </c>
      <c r="C81" s="127" t="s">
        <v>20235</v>
      </c>
      <c r="D81" s="127" t="s">
        <v>12967</v>
      </c>
      <c r="I81" s="127" t="s">
        <v>10360</v>
      </c>
      <c r="J81" s="127" t="s">
        <v>13277</v>
      </c>
      <c r="K81" s="127" t="s">
        <v>10361</v>
      </c>
      <c r="L81" s="127" t="s">
        <v>13587</v>
      </c>
      <c r="M81" s="127" t="s">
        <v>10362</v>
      </c>
      <c r="N81" s="127" t="s">
        <v>10363</v>
      </c>
      <c r="O81" s="127" t="s">
        <v>13897</v>
      </c>
      <c r="P81" s="127" t="s">
        <v>14207</v>
      </c>
      <c r="Q81" s="127" t="s">
        <v>14517</v>
      </c>
    </row>
    <row r="82" spans="1:17" x14ac:dyDescent="0.35">
      <c r="A82" s="127" t="s">
        <v>6063</v>
      </c>
      <c r="C82" s="127" t="s">
        <v>20236</v>
      </c>
      <c r="D82" s="127" t="s">
        <v>12968</v>
      </c>
      <c r="I82" s="127" t="s">
        <v>10365</v>
      </c>
      <c r="J82" s="127" t="s">
        <v>13278</v>
      </c>
      <c r="K82" s="127" t="s">
        <v>10366</v>
      </c>
      <c r="L82" s="127" t="s">
        <v>13588</v>
      </c>
      <c r="M82" s="127" t="s">
        <v>10367</v>
      </c>
      <c r="N82" s="127" t="s">
        <v>10368</v>
      </c>
      <c r="O82" s="127" t="s">
        <v>13898</v>
      </c>
      <c r="P82" s="127" t="s">
        <v>14208</v>
      </c>
      <c r="Q82" s="127" t="s">
        <v>14518</v>
      </c>
    </row>
    <row r="83" spans="1:17" x14ac:dyDescent="0.35">
      <c r="A83" s="127" t="s">
        <v>6063</v>
      </c>
      <c r="C83" s="127" t="s">
        <v>20237</v>
      </c>
      <c r="D83" s="127" t="s">
        <v>12969</v>
      </c>
      <c r="I83" s="127" t="s">
        <v>10370</v>
      </c>
      <c r="J83" s="127" t="s">
        <v>13279</v>
      </c>
      <c r="K83" s="127" t="s">
        <v>10371</v>
      </c>
      <c r="L83" s="127" t="s">
        <v>13589</v>
      </c>
      <c r="M83" s="127" t="s">
        <v>10372</v>
      </c>
      <c r="N83" s="127" t="s">
        <v>10373</v>
      </c>
      <c r="O83" s="127" t="s">
        <v>13899</v>
      </c>
      <c r="P83" s="127" t="s">
        <v>14209</v>
      </c>
      <c r="Q83" s="127" t="s">
        <v>14519</v>
      </c>
    </row>
    <row r="84" spans="1:17" x14ac:dyDescent="0.35">
      <c r="A84" s="127" t="s">
        <v>6063</v>
      </c>
      <c r="C84" s="127" t="s">
        <v>20238</v>
      </c>
      <c r="D84" s="127" t="s">
        <v>12970</v>
      </c>
      <c r="I84" s="127" t="s">
        <v>10375</v>
      </c>
      <c r="J84" s="127" t="s">
        <v>13280</v>
      </c>
      <c r="K84" s="127" t="s">
        <v>10376</v>
      </c>
      <c r="L84" s="127" t="s">
        <v>13590</v>
      </c>
      <c r="M84" s="127" t="s">
        <v>10377</v>
      </c>
      <c r="N84" s="127" t="s">
        <v>10378</v>
      </c>
      <c r="O84" s="127" t="s">
        <v>13900</v>
      </c>
      <c r="P84" s="127" t="s">
        <v>14210</v>
      </c>
      <c r="Q84" s="127" t="s">
        <v>14520</v>
      </c>
    </row>
    <row r="85" spans="1:17" x14ac:dyDescent="0.35">
      <c r="A85" s="127" t="s">
        <v>6063</v>
      </c>
      <c r="C85" s="127" t="s">
        <v>20239</v>
      </c>
      <c r="D85" s="127" t="s">
        <v>12971</v>
      </c>
      <c r="I85" s="127" t="s">
        <v>10380</v>
      </c>
      <c r="J85" s="127" t="s">
        <v>13281</v>
      </c>
      <c r="K85" s="127" t="s">
        <v>10381</v>
      </c>
      <c r="L85" s="127" t="s">
        <v>13591</v>
      </c>
      <c r="M85" s="127" t="s">
        <v>10382</v>
      </c>
      <c r="N85" s="127" t="s">
        <v>10383</v>
      </c>
      <c r="O85" s="127" t="s">
        <v>13901</v>
      </c>
      <c r="P85" s="127" t="s">
        <v>14211</v>
      </c>
      <c r="Q85" s="127" t="s">
        <v>14521</v>
      </c>
    </row>
    <row r="86" spans="1:17" x14ac:dyDescent="0.35">
      <c r="A86" s="127" t="s">
        <v>6063</v>
      </c>
      <c r="C86" s="127" t="s">
        <v>20240</v>
      </c>
      <c r="D86" s="127" t="s">
        <v>12972</v>
      </c>
      <c r="I86" s="127" t="s">
        <v>10385</v>
      </c>
      <c r="J86" s="127" t="s">
        <v>13282</v>
      </c>
      <c r="K86" s="127" t="s">
        <v>10386</v>
      </c>
      <c r="L86" s="127" t="s">
        <v>13592</v>
      </c>
      <c r="M86" s="127" t="s">
        <v>10387</v>
      </c>
      <c r="N86" s="127" t="s">
        <v>10388</v>
      </c>
      <c r="O86" s="127" t="s">
        <v>13902</v>
      </c>
      <c r="P86" s="127" t="s">
        <v>14212</v>
      </c>
      <c r="Q86" s="127" t="s">
        <v>14522</v>
      </c>
    </row>
    <row r="87" spans="1:17" x14ac:dyDescent="0.35">
      <c r="A87" s="127" t="s">
        <v>6063</v>
      </c>
      <c r="C87" s="127" t="s">
        <v>20241</v>
      </c>
      <c r="D87" s="127" t="s">
        <v>12973</v>
      </c>
      <c r="I87" s="127" t="s">
        <v>10390</v>
      </c>
      <c r="J87" s="127" t="s">
        <v>13283</v>
      </c>
      <c r="K87" s="127" t="s">
        <v>10391</v>
      </c>
      <c r="L87" s="127" t="s">
        <v>13593</v>
      </c>
      <c r="M87" s="127" t="s">
        <v>10392</v>
      </c>
      <c r="N87" s="127" t="s">
        <v>10393</v>
      </c>
      <c r="O87" s="127" t="s">
        <v>13903</v>
      </c>
      <c r="P87" s="127" t="s">
        <v>14213</v>
      </c>
      <c r="Q87" s="127" t="s">
        <v>14523</v>
      </c>
    </row>
    <row r="88" spans="1:17" x14ac:dyDescent="0.35">
      <c r="A88" s="127" t="s">
        <v>6063</v>
      </c>
      <c r="C88" s="127" t="s">
        <v>20242</v>
      </c>
      <c r="D88" s="127" t="s">
        <v>12974</v>
      </c>
      <c r="I88" s="127" t="s">
        <v>10395</v>
      </c>
      <c r="J88" s="127" t="s">
        <v>13284</v>
      </c>
      <c r="K88" s="127" t="s">
        <v>10396</v>
      </c>
      <c r="L88" s="127" t="s">
        <v>13594</v>
      </c>
      <c r="M88" s="127" t="s">
        <v>10397</v>
      </c>
      <c r="N88" s="127" t="s">
        <v>10398</v>
      </c>
      <c r="O88" s="127" t="s">
        <v>13904</v>
      </c>
      <c r="P88" s="127" t="s">
        <v>14214</v>
      </c>
      <c r="Q88" s="127" t="s">
        <v>14524</v>
      </c>
    </row>
    <row r="89" spans="1:17" x14ac:dyDescent="0.35">
      <c r="A89" s="127" t="s">
        <v>6063</v>
      </c>
      <c r="C89" s="127" t="s">
        <v>20243</v>
      </c>
      <c r="D89" s="127" t="s">
        <v>12975</v>
      </c>
      <c r="I89" s="127" t="s">
        <v>10400</v>
      </c>
      <c r="J89" s="127" t="s">
        <v>13285</v>
      </c>
      <c r="K89" s="127" t="s">
        <v>10401</v>
      </c>
      <c r="L89" s="127" t="s">
        <v>13595</v>
      </c>
      <c r="M89" s="127" t="s">
        <v>10402</v>
      </c>
      <c r="N89" s="127" t="s">
        <v>10403</v>
      </c>
      <c r="O89" s="127" t="s">
        <v>13905</v>
      </c>
      <c r="P89" s="127" t="s">
        <v>14215</v>
      </c>
      <c r="Q89" s="127" t="s">
        <v>14525</v>
      </c>
    </row>
    <row r="90" spans="1:17" x14ac:dyDescent="0.35">
      <c r="A90" s="127" t="s">
        <v>6063</v>
      </c>
      <c r="C90" s="127" t="s">
        <v>20244</v>
      </c>
      <c r="D90" s="127" t="s">
        <v>12976</v>
      </c>
      <c r="I90" s="127" t="s">
        <v>10405</v>
      </c>
      <c r="J90" s="127" t="s">
        <v>13286</v>
      </c>
      <c r="K90" s="127" t="s">
        <v>10406</v>
      </c>
      <c r="L90" s="127" t="s">
        <v>13596</v>
      </c>
      <c r="M90" s="127" t="s">
        <v>10407</v>
      </c>
      <c r="N90" s="127" t="s">
        <v>10408</v>
      </c>
      <c r="O90" s="127" t="s">
        <v>13906</v>
      </c>
      <c r="P90" s="127" t="s">
        <v>14216</v>
      </c>
      <c r="Q90" s="127" t="s">
        <v>14526</v>
      </c>
    </row>
    <row r="91" spans="1:17" x14ac:dyDescent="0.35">
      <c r="A91" s="127" t="s">
        <v>6063</v>
      </c>
      <c r="C91" s="127" t="s">
        <v>20245</v>
      </c>
      <c r="D91" s="127" t="s">
        <v>12977</v>
      </c>
      <c r="I91" s="127" t="s">
        <v>10410</v>
      </c>
      <c r="J91" s="127" t="s">
        <v>13287</v>
      </c>
      <c r="K91" s="127" t="s">
        <v>10411</v>
      </c>
      <c r="L91" s="127" t="s">
        <v>13597</v>
      </c>
      <c r="M91" s="127" t="s">
        <v>10412</v>
      </c>
      <c r="N91" s="127" t="s">
        <v>10413</v>
      </c>
      <c r="O91" s="127" t="s">
        <v>13907</v>
      </c>
      <c r="P91" s="127" t="s">
        <v>14217</v>
      </c>
      <c r="Q91" s="127" t="s">
        <v>14527</v>
      </c>
    </row>
    <row r="92" spans="1:17" x14ac:dyDescent="0.35">
      <c r="A92" s="127" t="s">
        <v>6063</v>
      </c>
      <c r="C92" s="127" t="s">
        <v>20246</v>
      </c>
      <c r="D92" s="127" t="s">
        <v>12978</v>
      </c>
      <c r="I92" s="127" t="s">
        <v>10415</v>
      </c>
      <c r="J92" s="127" t="s">
        <v>13288</v>
      </c>
      <c r="K92" s="127" t="s">
        <v>10416</v>
      </c>
      <c r="L92" s="127" t="s">
        <v>13598</v>
      </c>
      <c r="M92" s="127" t="s">
        <v>10417</v>
      </c>
      <c r="N92" s="127" t="s">
        <v>10418</v>
      </c>
      <c r="O92" s="127" t="s">
        <v>13908</v>
      </c>
      <c r="P92" s="127" t="s">
        <v>14218</v>
      </c>
      <c r="Q92" s="127" t="s">
        <v>14528</v>
      </c>
    </row>
    <row r="93" spans="1:17" x14ac:dyDescent="0.35">
      <c r="A93" s="127" t="s">
        <v>6063</v>
      </c>
      <c r="C93" s="127" t="s">
        <v>20247</v>
      </c>
      <c r="D93" s="127" t="s">
        <v>12979</v>
      </c>
      <c r="I93" s="127" t="s">
        <v>10420</v>
      </c>
      <c r="J93" s="127" t="s">
        <v>13289</v>
      </c>
      <c r="K93" s="127" t="s">
        <v>10421</v>
      </c>
      <c r="L93" s="127" t="s">
        <v>13599</v>
      </c>
      <c r="M93" s="127" t="s">
        <v>10422</v>
      </c>
      <c r="N93" s="127" t="s">
        <v>10423</v>
      </c>
      <c r="O93" s="127" t="s">
        <v>13909</v>
      </c>
      <c r="P93" s="127" t="s">
        <v>14219</v>
      </c>
      <c r="Q93" s="127" t="s">
        <v>14529</v>
      </c>
    </row>
    <row r="94" spans="1:17" x14ac:dyDescent="0.35">
      <c r="A94" s="127" t="s">
        <v>6063</v>
      </c>
      <c r="C94" s="127" t="s">
        <v>20248</v>
      </c>
      <c r="D94" s="127" t="s">
        <v>12980</v>
      </c>
      <c r="I94" s="127" t="s">
        <v>10425</v>
      </c>
      <c r="J94" s="127" t="s">
        <v>13290</v>
      </c>
      <c r="K94" s="127" t="s">
        <v>10426</v>
      </c>
      <c r="L94" s="127" t="s">
        <v>13600</v>
      </c>
      <c r="M94" s="127" t="s">
        <v>10427</v>
      </c>
      <c r="N94" s="127" t="s">
        <v>10428</v>
      </c>
      <c r="O94" s="127" t="s">
        <v>13910</v>
      </c>
      <c r="P94" s="127" t="s">
        <v>14220</v>
      </c>
      <c r="Q94" s="127" t="s">
        <v>14530</v>
      </c>
    </row>
    <row r="95" spans="1:17" x14ac:dyDescent="0.35">
      <c r="A95" s="127" t="s">
        <v>6063</v>
      </c>
      <c r="C95" s="127" t="s">
        <v>20249</v>
      </c>
      <c r="D95" s="127" t="s">
        <v>12981</v>
      </c>
      <c r="I95" s="127" t="s">
        <v>10430</v>
      </c>
      <c r="J95" s="127" t="s">
        <v>13291</v>
      </c>
      <c r="K95" s="127" t="s">
        <v>10431</v>
      </c>
      <c r="L95" s="127" t="s">
        <v>13601</v>
      </c>
      <c r="M95" s="127" t="s">
        <v>10432</v>
      </c>
      <c r="N95" s="127" t="s">
        <v>10433</v>
      </c>
      <c r="O95" s="127" t="s">
        <v>13911</v>
      </c>
      <c r="P95" s="127" t="s">
        <v>14221</v>
      </c>
      <c r="Q95" s="127" t="s">
        <v>14531</v>
      </c>
    </row>
    <row r="96" spans="1:17" x14ac:dyDescent="0.35">
      <c r="A96" s="127" t="s">
        <v>6063</v>
      </c>
      <c r="C96" s="127" t="s">
        <v>20250</v>
      </c>
      <c r="D96" s="127" t="s">
        <v>12982</v>
      </c>
      <c r="I96" s="127" t="s">
        <v>10435</v>
      </c>
      <c r="J96" s="127" t="s">
        <v>13292</v>
      </c>
      <c r="K96" s="127" t="s">
        <v>10436</v>
      </c>
      <c r="L96" s="127" t="s">
        <v>13602</v>
      </c>
      <c r="M96" s="127" t="s">
        <v>10437</v>
      </c>
      <c r="N96" s="127" t="s">
        <v>10438</v>
      </c>
      <c r="O96" s="127" t="s">
        <v>13912</v>
      </c>
      <c r="P96" s="127" t="s">
        <v>14222</v>
      </c>
      <c r="Q96" s="127" t="s">
        <v>14532</v>
      </c>
    </row>
    <row r="97" spans="1:17" x14ac:dyDescent="0.35">
      <c r="A97" s="127" t="s">
        <v>6063</v>
      </c>
      <c r="C97" s="127" t="s">
        <v>20251</v>
      </c>
      <c r="D97" s="127" t="s">
        <v>12983</v>
      </c>
      <c r="I97" s="127" t="s">
        <v>10440</v>
      </c>
      <c r="J97" s="127" t="s">
        <v>13293</v>
      </c>
      <c r="K97" s="127" t="s">
        <v>10441</v>
      </c>
      <c r="L97" s="127" t="s">
        <v>13603</v>
      </c>
      <c r="M97" s="127" t="s">
        <v>10442</v>
      </c>
      <c r="N97" s="127" t="s">
        <v>10443</v>
      </c>
      <c r="O97" s="127" t="s">
        <v>13913</v>
      </c>
      <c r="P97" s="127" t="s">
        <v>14223</v>
      </c>
      <c r="Q97" s="127" t="s">
        <v>14533</v>
      </c>
    </row>
    <row r="98" spans="1:17" x14ac:dyDescent="0.35">
      <c r="A98" s="127" t="s">
        <v>6063</v>
      </c>
      <c r="C98" s="127" t="s">
        <v>20252</v>
      </c>
      <c r="D98" s="127" t="s">
        <v>12984</v>
      </c>
      <c r="I98" s="127" t="s">
        <v>10445</v>
      </c>
      <c r="J98" s="127" t="s">
        <v>13294</v>
      </c>
      <c r="K98" s="127" t="s">
        <v>10446</v>
      </c>
      <c r="L98" s="127" t="s">
        <v>13604</v>
      </c>
      <c r="M98" s="127" t="s">
        <v>10447</v>
      </c>
      <c r="N98" s="127" t="s">
        <v>10448</v>
      </c>
      <c r="O98" s="127" t="s">
        <v>13914</v>
      </c>
      <c r="P98" s="127" t="s">
        <v>14224</v>
      </c>
      <c r="Q98" s="127" t="s">
        <v>14534</v>
      </c>
    </row>
    <row r="99" spans="1:17" x14ac:dyDescent="0.35">
      <c r="A99" s="127" t="s">
        <v>6063</v>
      </c>
      <c r="C99" s="127" t="s">
        <v>20253</v>
      </c>
      <c r="D99" s="127" t="s">
        <v>12985</v>
      </c>
      <c r="I99" s="127" t="s">
        <v>10450</v>
      </c>
      <c r="J99" s="127" t="s">
        <v>13295</v>
      </c>
      <c r="K99" s="127" t="s">
        <v>10451</v>
      </c>
      <c r="L99" s="127" t="s">
        <v>13605</v>
      </c>
      <c r="M99" s="127" t="s">
        <v>10452</v>
      </c>
      <c r="N99" s="127" t="s">
        <v>10453</v>
      </c>
      <c r="O99" s="127" t="s">
        <v>13915</v>
      </c>
      <c r="P99" s="127" t="s">
        <v>14225</v>
      </c>
      <c r="Q99" s="127" t="s">
        <v>14535</v>
      </c>
    </row>
    <row r="100" spans="1:17" x14ac:dyDescent="0.35">
      <c r="A100" s="127" t="s">
        <v>6063</v>
      </c>
      <c r="C100" s="127" t="s">
        <v>20254</v>
      </c>
      <c r="D100" s="127" t="s">
        <v>12986</v>
      </c>
      <c r="I100" s="127" t="s">
        <v>10455</v>
      </c>
      <c r="J100" s="127" t="s">
        <v>13296</v>
      </c>
      <c r="K100" s="127" t="s">
        <v>10456</v>
      </c>
      <c r="L100" s="127" t="s">
        <v>13606</v>
      </c>
      <c r="M100" s="127" t="s">
        <v>10457</v>
      </c>
      <c r="N100" s="127" t="s">
        <v>10458</v>
      </c>
      <c r="O100" s="127" t="s">
        <v>13916</v>
      </c>
      <c r="P100" s="127" t="s">
        <v>14226</v>
      </c>
      <c r="Q100" s="127" t="s">
        <v>14536</v>
      </c>
    </row>
    <row r="101" spans="1:17" x14ac:dyDescent="0.35">
      <c r="A101" s="127" t="s">
        <v>6063</v>
      </c>
      <c r="C101" s="127" t="s">
        <v>20255</v>
      </c>
      <c r="D101" s="127" t="s">
        <v>12987</v>
      </c>
      <c r="I101" s="127" t="s">
        <v>10460</v>
      </c>
      <c r="J101" s="127" t="s">
        <v>13297</v>
      </c>
      <c r="K101" s="127" t="s">
        <v>10461</v>
      </c>
      <c r="L101" s="127" t="s">
        <v>13607</v>
      </c>
      <c r="M101" s="127" t="s">
        <v>10462</v>
      </c>
      <c r="N101" s="127" t="s">
        <v>10463</v>
      </c>
      <c r="O101" s="127" t="s">
        <v>13917</v>
      </c>
      <c r="P101" s="127" t="s">
        <v>14227</v>
      </c>
      <c r="Q101" s="127" t="s">
        <v>14537</v>
      </c>
    </row>
    <row r="102" spans="1:17" x14ac:dyDescent="0.35">
      <c r="A102" s="127" t="s">
        <v>6063</v>
      </c>
      <c r="C102" s="127" t="s">
        <v>20256</v>
      </c>
      <c r="D102" s="127" t="s">
        <v>12988</v>
      </c>
      <c r="I102" s="127" t="s">
        <v>10465</v>
      </c>
      <c r="J102" s="127" t="s">
        <v>13298</v>
      </c>
      <c r="K102" s="127" t="s">
        <v>10466</v>
      </c>
      <c r="L102" s="127" t="s">
        <v>13608</v>
      </c>
      <c r="M102" s="127" t="s">
        <v>10467</v>
      </c>
      <c r="N102" s="127" t="s">
        <v>10468</v>
      </c>
      <c r="O102" s="127" t="s">
        <v>13918</v>
      </c>
      <c r="P102" s="127" t="s">
        <v>14228</v>
      </c>
      <c r="Q102" s="127" t="s">
        <v>14538</v>
      </c>
    </row>
    <row r="103" spans="1:17" x14ac:dyDescent="0.35">
      <c r="A103" s="127" t="s">
        <v>6063</v>
      </c>
      <c r="C103" s="127" t="s">
        <v>20257</v>
      </c>
      <c r="D103" s="127" t="s">
        <v>12989</v>
      </c>
      <c r="I103" s="127" t="s">
        <v>10470</v>
      </c>
      <c r="J103" s="127" t="s">
        <v>13299</v>
      </c>
      <c r="K103" s="127" t="s">
        <v>10471</v>
      </c>
      <c r="L103" s="127" t="s">
        <v>13609</v>
      </c>
      <c r="M103" s="127" t="s">
        <v>10472</v>
      </c>
      <c r="N103" s="127" t="s">
        <v>10473</v>
      </c>
      <c r="O103" s="127" t="s">
        <v>13919</v>
      </c>
      <c r="P103" s="127" t="s">
        <v>14229</v>
      </c>
      <c r="Q103" s="127" t="s">
        <v>14539</v>
      </c>
    </row>
    <row r="104" spans="1:17" x14ac:dyDescent="0.35">
      <c r="A104" s="127" t="s">
        <v>6063</v>
      </c>
      <c r="C104" s="127" t="s">
        <v>20258</v>
      </c>
      <c r="D104" s="127" t="s">
        <v>12990</v>
      </c>
      <c r="I104" s="127" t="s">
        <v>10475</v>
      </c>
      <c r="J104" s="127" t="s">
        <v>13300</v>
      </c>
      <c r="K104" s="127" t="s">
        <v>10476</v>
      </c>
      <c r="L104" s="127" t="s">
        <v>13610</v>
      </c>
      <c r="M104" s="127" t="s">
        <v>10477</v>
      </c>
      <c r="N104" s="127" t="s">
        <v>10478</v>
      </c>
      <c r="O104" s="127" t="s">
        <v>13920</v>
      </c>
      <c r="P104" s="127" t="s">
        <v>14230</v>
      </c>
      <c r="Q104" s="127" t="s">
        <v>14540</v>
      </c>
    </row>
    <row r="105" spans="1:17" x14ac:dyDescent="0.35">
      <c r="A105" s="127" t="s">
        <v>6063</v>
      </c>
      <c r="C105" s="127" t="s">
        <v>20259</v>
      </c>
      <c r="D105" s="127" t="s">
        <v>12991</v>
      </c>
      <c r="I105" s="127" t="s">
        <v>10480</v>
      </c>
      <c r="J105" s="127" t="s">
        <v>13301</v>
      </c>
      <c r="K105" s="127" t="s">
        <v>10481</v>
      </c>
      <c r="L105" s="127" t="s">
        <v>13611</v>
      </c>
      <c r="M105" s="127" t="s">
        <v>10482</v>
      </c>
      <c r="N105" s="127" t="s">
        <v>10483</v>
      </c>
      <c r="O105" s="127" t="s">
        <v>13921</v>
      </c>
      <c r="P105" s="127" t="s">
        <v>14231</v>
      </c>
      <c r="Q105" s="127" t="s">
        <v>14541</v>
      </c>
    </row>
    <row r="106" spans="1:17" x14ac:dyDescent="0.35">
      <c r="A106" s="127" t="s">
        <v>6063</v>
      </c>
      <c r="C106" s="127" t="s">
        <v>20260</v>
      </c>
      <c r="D106" s="127" t="s">
        <v>12992</v>
      </c>
      <c r="I106" s="127" t="s">
        <v>10485</v>
      </c>
      <c r="J106" s="127" t="s">
        <v>13302</v>
      </c>
      <c r="K106" s="127" t="s">
        <v>10486</v>
      </c>
      <c r="L106" s="127" t="s">
        <v>13612</v>
      </c>
      <c r="M106" s="127" t="s">
        <v>10487</v>
      </c>
      <c r="N106" s="127" t="s">
        <v>10488</v>
      </c>
      <c r="O106" s="127" t="s">
        <v>13922</v>
      </c>
      <c r="P106" s="127" t="s">
        <v>14232</v>
      </c>
      <c r="Q106" s="127" t="s">
        <v>14542</v>
      </c>
    </row>
    <row r="107" spans="1:17" x14ac:dyDescent="0.35">
      <c r="A107" s="127" t="s">
        <v>6063</v>
      </c>
      <c r="C107" s="127" t="s">
        <v>20261</v>
      </c>
      <c r="D107" s="127" t="s">
        <v>12993</v>
      </c>
      <c r="I107" s="127" t="s">
        <v>10490</v>
      </c>
      <c r="J107" s="127" t="s">
        <v>13303</v>
      </c>
      <c r="K107" s="127" t="s">
        <v>10491</v>
      </c>
      <c r="L107" s="127" t="s">
        <v>13613</v>
      </c>
      <c r="M107" s="127" t="s">
        <v>10492</v>
      </c>
      <c r="N107" s="127" t="s">
        <v>10493</v>
      </c>
      <c r="O107" s="127" t="s">
        <v>13923</v>
      </c>
      <c r="P107" s="127" t="s">
        <v>14233</v>
      </c>
      <c r="Q107" s="127" t="s">
        <v>14543</v>
      </c>
    </row>
    <row r="108" spans="1:17" x14ac:dyDescent="0.35">
      <c r="A108" s="127" t="s">
        <v>6063</v>
      </c>
      <c r="C108" s="127" t="s">
        <v>20262</v>
      </c>
      <c r="D108" s="127" t="s">
        <v>12994</v>
      </c>
      <c r="I108" s="127" t="s">
        <v>10495</v>
      </c>
      <c r="J108" s="127" t="s">
        <v>13304</v>
      </c>
      <c r="K108" s="127" t="s">
        <v>10496</v>
      </c>
      <c r="L108" s="127" t="s">
        <v>13614</v>
      </c>
      <c r="M108" s="127" t="s">
        <v>10497</v>
      </c>
      <c r="N108" s="127" t="s">
        <v>10498</v>
      </c>
      <c r="O108" s="127" t="s">
        <v>13924</v>
      </c>
      <c r="P108" s="127" t="s">
        <v>14234</v>
      </c>
      <c r="Q108" s="127" t="s">
        <v>14544</v>
      </c>
    </row>
    <row r="109" spans="1:17" x14ac:dyDescent="0.35">
      <c r="A109" s="127" t="s">
        <v>6063</v>
      </c>
      <c r="C109" s="127" t="s">
        <v>20263</v>
      </c>
      <c r="D109" s="127" t="s">
        <v>12995</v>
      </c>
      <c r="I109" s="127" t="s">
        <v>10500</v>
      </c>
      <c r="J109" s="127" t="s">
        <v>13305</v>
      </c>
      <c r="K109" s="127" t="s">
        <v>10501</v>
      </c>
      <c r="L109" s="127" t="s">
        <v>13615</v>
      </c>
      <c r="M109" s="127" t="s">
        <v>10502</v>
      </c>
      <c r="N109" s="127" t="s">
        <v>10503</v>
      </c>
      <c r="O109" s="127" t="s">
        <v>13925</v>
      </c>
      <c r="P109" s="127" t="s">
        <v>14235</v>
      </c>
      <c r="Q109" s="127" t="s">
        <v>14545</v>
      </c>
    </row>
    <row r="110" spans="1:17" x14ac:dyDescent="0.35">
      <c r="A110" s="127" t="s">
        <v>6063</v>
      </c>
      <c r="C110" s="127" t="s">
        <v>20264</v>
      </c>
      <c r="D110" s="127" t="s">
        <v>12996</v>
      </c>
      <c r="I110" s="127" t="s">
        <v>10505</v>
      </c>
      <c r="J110" s="127" t="s">
        <v>13306</v>
      </c>
      <c r="K110" s="127" t="s">
        <v>10506</v>
      </c>
      <c r="L110" s="127" t="s">
        <v>13616</v>
      </c>
      <c r="M110" s="127" t="s">
        <v>10507</v>
      </c>
      <c r="N110" s="127" t="s">
        <v>10508</v>
      </c>
      <c r="O110" s="127" t="s">
        <v>13926</v>
      </c>
      <c r="P110" s="127" t="s">
        <v>14236</v>
      </c>
      <c r="Q110" s="127" t="s">
        <v>14546</v>
      </c>
    </row>
    <row r="111" spans="1:17" x14ac:dyDescent="0.35">
      <c r="A111" s="127" t="s">
        <v>6063</v>
      </c>
      <c r="C111" s="127" t="s">
        <v>20265</v>
      </c>
      <c r="D111" s="127" t="s">
        <v>12997</v>
      </c>
      <c r="I111" s="127" t="s">
        <v>10510</v>
      </c>
      <c r="J111" s="127" t="s">
        <v>13307</v>
      </c>
      <c r="K111" s="127" t="s">
        <v>10511</v>
      </c>
      <c r="L111" s="127" t="s">
        <v>13617</v>
      </c>
      <c r="M111" s="127" t="s">
        <v>10512</v>
      </c>
      <c r="N111" s="127" t="s">
        <v>10513</v>
      </c>
      <c r="O111" s="127" t="s">
        <v>13927</v>
      </c>
      <c r="P111" s="127" t="s">
        <v>14237</v>
      </c>
      <c r="Q111" s="127" t="s">
        <v>14547</v>
      </c>
    </row>
    <row r="112" spans="1:17" x14ac:dyDescent="0.35">
      <c r="A112" s="127" t="s">
        <v>6063</v>
      </c>
      <c r="C112" s="127" t="s">
        <v>20266</v>
      </c>
      <c r="D112" s="127" t="s">
        <v>12998</v>
      </c>
      <c r="I112" s="127" t="s">
        <v>10515</v>
      </c>
      <c r="J112" s="127" t="s">
        <v>13308</v>
      </c>
      <c r="K112" s="127" t="s">
        <v>10516</v>
      </c>
      <c r="L112" s="127" t="s">
        <v>13618</v>
      </c>
      <c r="M112" s="127" t="s">
        <v>10517</v>
      </c>
      <c r="N112" s="127" t="s">
        <v>10518</v>
      </c>
      <c r="O112" s="127" t="s">
        <v>13928</v>
      </c>
      <c r="P112" s="127" t="s">
        <v>14238</v>
      </c>
      <c r="Q112" s="127" t="s">
        <v>14548</v>
      </c>
    </row>
    <row r="113" spans="1:17" x14ac:dyDescent="0.35">
      <c r="A113" s="127" t="s">
        <v>6063</v>
      </c>
      <c r="C113" s="127" t="s">
        <v>20267</v>
      </c>
      <c r="D113" s="127" t="s">
        <v>12999</v>
      </c>
      <c r="I113" s="127" t="s">
        <v>10520</v>
      </c>
      <c r="J113" s="127" t="s">
        <v>13309</v>
      </c>
      <c r="K113" s="127" t="s">
        <v>10521</v>
      </c>
      <c r="L113" s="127" t="s">
        <v>13619</v>
      </c>
      <c r="M113" s="127" t="s">
        <v>10522</v>
      </c>
      <c r="N113" s="127" t="s">
        <v>10523</v>
      </c>
      <c r="O113" s="127" t="s">
        <v>13929</v>
      </c>
      <c r="P113" s="127" t="s">
        <v>14239</v>
      </c>
      <c r="Q113" s="127" t="s">
        <v>14549</v>
      </c>
    </row>
    <row r="114" spans="1:17" x14ac:dyDescent="0.35">
      <c r="A114" s="127" t="s">
        <v>6063</v>
      </c>
      <c r="C114" s="127" t="s">
        <v>20268</v>
      </c>
      <c r="D114" s="127" t="s">
        <v>13000</v>
      </c>
      <c r="I114" s="127" t="s">
        <v>10525</v>
      </c>
      <c r="J114" s="127" t="s">
        <v>13310</v>
      </c>
      <c r="K114" s="127" t="s">
        <v>10526</v>
      </c>
      <c r="L114" s="127" t="s">
        <v>13620</v>
      </c>
      <c r="M114" s="127" t="s">
        <v>10527</v>
      </c>
      <c r="N114" s="127" t="s">
        <v>10528</v>
      </c>
      <c r="O114" s="127" t="s">
        <v>13930</v>
      </c>
      <c r="P114" s="127" t="s">
        <v>14240</v>
      </c>
      <c r="Q114" s="127" t="s">
        <v>14550</v>
      </c>
    </row>
    <row r="115" spans="1:17" x14ac:dyDescent="0.35">
      <c r="A115" s="127" t="s">
        <v>6063</v>
      </c>
      <c r="C115" s="127" t="s">
        <v>20269</v>
      </c>
      <c r="D115" s="127" t="s">
        <v>13001</v>
      </c>
      <c r="I115" s="127" t="s">
        <v>10530</v>
      </c>
      <c r="J115" s="127" t="s">
        <v>13311</v>
      </c>
      <c r="K115" s="127" t="s">
        <v>10531</v>
      </c>
      <c r="L115" s="127" t="s">
        <v>13621</v>
      </c>
      <c r="M115" s="127" t="s">
        <v>10532</v>
      </c>
      <c r="N115" s="127" t="s">
        <v>10533</v>
      </c>
      <c r="O115" s="127" t="s">
        <v>13931</v>
      </c>
      <c r="P115" s="127" t="s">
        <v>14241</v>
      </c>
      <c r="Q115" s="127" t="s">
        <v>14551</v>
      </c>
    </row>
    <row r="116" spans="1:17" x14ac:dyDescent="0.35">
      <c r="A116" s="127" t="s">
        <v>6063</v>
      </c>
      <c r="C116" s="127" t="s">
        <v>20270</v>
      </c>
      <c r="D116" s="127" t="s">
        <v>13002</v>
      </c>
      <c r="I116" s="127" t="s">
        <v>10535</v>
      </c>
      <c r="J116" s="127" t="s">
        <v>13312</v>
      </c>
      <c r="K116" s="127" t="s">
        <v>10536</v>
      </c>
      <c r="L116" s="127" t="s">
        <v>13622</v>
      </c>
      <c r="M116" s="127" t="s">
        <v>10537</v>
      </c>
      <c r="N116" s="127" t="s">
        <v>10538</v>
      </c>
      <c r="O116" s="127" t="s">
        <v>13932</v>
      </c>
      <c r="P116" s="127" t="s">
        <v>14242</v>
      </c>
      <c r="Q116" s="127" t="s">
        <v>14552</v>
      </c>
    </row>
    <row r="117" spans="1:17" x14ac:dyDescent="0.35">
      <c r="A117" s="127" t="s">
        <v>6063</v>
      </c>
      <c r="C117" s="127" t="s">
        <v>20271</v>
      </c>
      <c r="D117" s="127" t="s">
        <v>13003</v>
      </c>
      <c r="I117" s="127" t="s">
        <v>10540</v>
      </c>
      <c r="J117" s="127" t="s">
        <v>13313</v>
      </c>
      <c r="K117" s="127" t="s">
        <v>10541</v>
      </c>
      <c r="L117" s="127" t="s">
        <v>13623</v>
      </c>
      <c r="M117" s="127" t="s">
        <v>10542</v>
      </c>
      <c r="N117" s="127" t="s">
        <v>10543</v>
      </c>
      <c r="O117" s="127" t="s">
        <v>13933</v>
      </c>
      <c r="P117" s="127" t="s">
        <v>14243</v>
      </c>
      <c r="Q117" s="127" t="s">
        <v>14553</v>
      </c>
    </row>
    <row r="118" spans="1:17" x14ac:dyDescent="0.35">
      <c r="A118" s="127" t="s">
        <v>6063</v>
      </c>
      <c r="C118" s="127" t="s">
        <v>20272</v>
      </c>
      <c r="D118" s="127" t="s">
        <v>13004</v>
      </c>
      <c r="I118" s="127" t="s">
        <v>10545</v>
      </c>
      <c r="J118" s="127" t="s">
        <v>13314</v>
      </c>
      <c r="K118" s="127" t="s">
        <v>10546</v>
      </c>
      <c r="L118" s="127" t="s">
        <v>13624</v>
      </c>
      <c r="M118" s="127" t="s">
        <v>10547</v>
      </c>
      <c r="N118" s="127" t="s">
        <v>10548</v>
      </c>
      <c r="O118" s="127" t="s">
        <v>13934</v>
      </c>
      <c r="P118" s="127" t="s">
        <v>14244</v>
      </c>
      <c r="Q118" s="127" t="s">
        <v>14554</v>
      </c>
    </row>
    <row r="119" spans="1:17" x14ac:dyDescent="0.35">
      <c r="A119" s="127" t="s">
        <v>6063</v>
      </c>
      <c r="C119" s="127" t="s">
        <v>20273</v>
      </c>
      <c r="D119" s="127" t="s">
        <v>13005</v>
      </c>
      <c r="I119" s="127" t="s">
        <v>10550</v>
      </c>
      <c r="J119" s="127" t="s">
        <v>13315</v>
      </c>
      <c r="K119" s="127" t="s">
        <v>10551</v>
      </c>
      <c r="L119" s="127" t="s">
        <v>13625</v>
      </c>
      <c r="M119" s="127" t="s">
        <v>10552</v>
      </c>
      <c r="N119" s="127" t="s">
        <v>10553</v>
      </c>
      <c r="O119" s="127" t="s">
        <v>13935</v>
      </c>
      <c r="P119" s="127" t="s">
        <v>14245</v>
      </c>
      <c r="Q119" s="127" t="s">
        <v>14555</v>
      </c>
    </row>
    <row r="120" spans="1:17" x14ac:dyDescent="0.35">
      <c r="A120" s="127" t="s">
        <v>6063</v>
      </c>
      <c r="C120" s="127" t="s">
        <v>20274</v>
      </c>
      <c r="D120" s="127" t="s">
        <v>13006</v>
      </c>
      <c r="I120" s="127" t="s">
        <v>10555</v>
      </c>
      <c r="J120" s="127" t="s">
        <v>13316</v>
      </c>
      <c r="K120" s="127" t="s">
        <v>10556</v>
      </c>
      <c r="L120" s="127" t="s">
        <v>13626</v>
      </c>
      <c r="M120" s="127" t="s">
        <v>10557</v>
      </c>
      <c r="N120" s="127" t="s">
        <v>10558</v>
      </c>
      <c r="O120" s="127" t="s">
        <v>13936</v>
      </c>
      <c r="P120" s="127" t="s">
        <v>14246</v>
      </c>
      <c r="Q120" s="127" t="s">
        <v>14556</v>
      </c>
    </row>
    <row r="121" spans="1:17" x14ac:dyDescent="0.35">
      <c r="A121" s="127" t="s">
        <v>6063</v>
      </c>
      <c r="C121" s="127" t="s">
        <v>20275</v>
      </c>
      <c r="D121" s="127" t="s">
        <v>13007</v>
      </c>
      <c r="I121" s="127" t="s">
        <v>10560</v>
      </c>
      <c r="J121" s="127" t="s">
        <v>13317</v>
      </c>
      <c r="K121" s="127" t="s">
        <v>10561</v>
      </c>
      <c r="L121" s="127" t="s">
        <v>13627</v>
      </c>
      <c r="M121" s="127" t="s">
        <v>10562</v>
      </c>
      <c r="N121" s="127" t="s">
        <v>10563</v>
      </c>
      <c r="O121" s="127" t="s">
        <v>13937</v>
      </c>
      <c r="P121" s="127" t="s">
        <v>14247</v>
      </c>
      <c r="Q121" s="127" t="s">
        <v>14557</v>
      </c>
    </row>
    <row r="122" spans="1:17" x14ac:dyDescent="0.35">
      <c r="A122" s="127" t="s">
        <v>6063</v>
      </c>
      <c r="C122" s="127" t="s">
        <v>20276</v>
      </c>
      <c r="D122" s="127" t="s">
        <v>13008</v>
      </c>
      <c r="I122" s="127" t="s">
        <v>10565</v>
      </c>
      <c r="J122" s="127" t="s">
        <v>13318</v>
      </c>
      <c r="K122" s="127" t="s">
        <v>10566</v>
      </c>
      <c r="L122" s="127" t="s">
        <v>13628</v>
      </c>
      <c r="M122" s="127" t="s">
        <v>10567</v>
      </c>
      <c r="N122" s="127" t="s">
        <v>10568</v>
      </c>
      <c r="O122" s="127" t="s">
        <v>13938</v>
      </c>
      <c r="P122" s="127" t="s">
        <v>14248</v>
      </c>
      <c r="Q122" s="127" t="s">
        <v>14558</v>
      </c>
    </row>
    <row r="123" spans="1:17" x14ac:dyDescent="0.35">
      <c r="A123" s="127" t="s">
        <v>6063</v>
      </c>
      <c r="C123" s="127" t="s">
        <v>20277</v>
      </c>
      <c r="D123" s="127" t="s">
        <v>13009</v>
      </c>
      <c r="I123" s="127" t="s">
        <v>10570</v>
      </c>
      <c r="J123" s="127" t="s">
        <v>13319</v>
      </c>
      <c r="K123" s="127" t="s">
        <v>10571</v>
      </c>
      <c r="L123" s="127" t="s">
        <v>13629</v>
      </c>
      <c r="M123" s="127" t="s">
        <v>10572</v>
      </c>
      <c r="N123" s="127" t="s">
        <v>10573</v>
      </c>
      <c r="O123" s="127" t="s">
        <v>13939</v>
      </c>
      <c r="P123" s="127" t="s">
        <v>14249</v>
      </c>
      <c r="Q123" s="127" t="s">
        <v>14559</v>
      </c>
    </row>
    <row r="124" spans="1:17" x14ac:dyDescent="0.35">
      <c r="A124" s="127" t="s">
        <v>6063</v>
      </c>
      <c r="C124" s="127" t="s">
        <v>20278</v>
      </c>
      <c r="D124" s="127" t="s">
        <v>13010</v>
      </c>
      <c r="I124" s="127" t="s">
        <v>10575</v>
      </c>
      <c r="J124" s="127" t="s">
        <v>13320</v>
      </c>
      <c r="K124" s="127" t="s">
        <v>10576</v>
      </c>
      <c r="L124" s="127" t="s">
        <v>13630</v>
      </c>
      <c r="M124" s="127" t="s">
        <v>10577</v>
      </c>
      <c r="N124" s="127" t="s">
        <v>10578</v>
      </c>
      <c r="O124" s="127" t="s">
        <v>13940</v>
      </c>
      <c r="P124" s="127" t="s">
        <v>14250</v>
      </c>
      <c r="Q124" s="127" t="s">
        <v>14560</v>
      </c>
    </row>
    <row r="125" spans="1:17" x14ac:dyDescent="0.35">
      <c r="A125" s="127" t="s">
        <v>6063</v>
      </c>
      <c r="C125" s="127" t="s">
        <v>20279</v>
      </c>
      <c r="D125" s="127" t="s">
        <v>13011</v>
      </c>
      <c r="I125" s="127" t="s">
        <v>10580</v>
      </c>
      <c r="J125" s="127" t="s">
        <v>13321</v>
      </c>
      <c r="K125" s="127" t="s">
        <v>10581</v>
      </c>
      <c r="L125" s="127" t="s">
        <v>13631</v>
      </c>
      <c r="M125" s="127" t="s">
        <v>10582</v>
      </c>
      <c r="N125" s="127" t="s">
        <v>10583</v>
      </c>
      <c r="O125" s="127" t="s">
        <v>13941</v>
      </c>
      <c r="P125" s="127" t="s">
        <v>14251</v>
      </c>
      <c r="Q125" s="127" t="s">
        <v>14561</v>
      </c>
    </row>
    <row r="126" spans="1:17" x14ac:dyDescent="0.35">
      <c r="A126" s="127" t="s">
        <v>6063</v>
      </c>
      <c r="C126" s="127" t="s">
        <v>20280</v>
      </c>
      <c r="D126" s="127" t="s">
        <v>13012</v>
      </c>
      <c r="I126" s="127" t="s">
        <v>10585</v>
      </c>
      <c r="J126" s="127" t="s">
        <v>13322</v>
      </c>
      <c r="K126" s="127" t="s">
        <v>10586</v>
      </c>
      <c r="L126" s="127" t="s">
        <v>13632</v>
      </c>
      <c r="M126" s="127" t="s">
        <v>10587</v>
      </c>
      <c r="N126" s="127" t="s">
        <v>10588</v>
      </c>
      <c r="O126" s="127" t="s">
        <v>13942</v>
      </c>
      <c r="P126" s="127" t="s">
        <v>14252</v>
      </c>
      <c r="Q126" s="127" t="s">
        <v>14562</v>
      </c>
    </row>
    <row r="127" spans="1:17" x14ac:dyDescent="0.35">
      <c r="A127" s="127" t="s">
        <v>6063</v>
      </c>
      <c r="C127" s="127" t="s">
        <v>20281</v>
      </c>
      <c r="D127" s="127" t="s">
        <v>13013</v>
      </c>
      <c r="I127" s="127" t="s">
        <v>10590</v>
      </c>
      <c r="J127" s="127" t="s">
        <v>13323</v>
      </c>
      <c r="K127" s="127" t="s">
        <v>10591</v>
      </c>
      <c r="L127" s="127" t="s">
        <v>13633</v>
      </c>
      <c r="M127" s="127" t="s">
        <v>10592</v>
      </c>
      <c r="N127" s="127" t="s">
        <v>10593</v>
      </c>
      <c r="O127" s="127" t="s">
        <v>13943</v>
      </c>
      <c r="P127" s="127" t="s">
        <v>14253</v>
      </c>
      <c r="Q127" s="127" t="s">
        <v>14563</v>
      </c>
    </row>
    <row r="128" spans="1:17" x14ac:dyDescent="0.35">
      <c r="A128" s="127" t="s">
        <v>6063</v>
      </c>
      <c r="C128" s="127" t="s">
        <v>20282</v>
      </c>
      <c r="D128" s="127" t="s">
        <v>13014</v>
      </c>
      <c r="I128" s="127" t="s">
        <v>10595</v>
      </c>
      <c r="J128" s="127" t="s">
        <v>13324</v>
      </c>
      <c r="K128" s="127" t="s">
        <v>10596</v>
      </c>
      <c r="L128" s="127" t="s">
        <v>13634</v>
      </c>
      <c r="M128" s="127" t="s">
        <v>10597</v>
      </c>
      <c r="N128" s="127" t="s">
        <v>10598</v>
      </c>
      <c r="O128" s="127" t="s">
        <v>13944</v>
      </c>
      <c r="P128" s="127" t="s">
        <v>14254</v>
      </c>
      <c r="Q128" s="127" t="s">
        <v>14564</v>
      </c>
    </row>
    <row r="129" spans="1:17" x14ac:dyDescent="0.35">
      <c r="A129" s="127" t="s">
        <v>6063</v>
      </c>
      <c r="C129" s="127" t="s">
        <v>20283</v>
      </c>
      <c r="D129" s="127" t="s">
        <v>13015</v>
      </c>
      <c r="I129" s="127" t="s">
        <v>10600</v>
      </c>
      <c r="J129" s="127" t="s">
        <v>13325</v>
      </c>
      <c r="K129" s="127" t="s">
        <v>10601</v>
      </c>
      <c r="L129" s="127" t="s">
        <v>13635</v>
      </c>
      <c r="M129" s="127" t="s">
        <v>10602</v>
      </c>
      <c r="N129" s="127" t="s">
        <v>10603</v>
      </c>
      <c r="O129" s="127" t="s">
        <v>13945</v>
      </c>
      <c r="P129" s="127" t="s">
        <v>14255</v>
      </c>
      <c r="Q129" s="127" t="s">
        <v>14565</v>
      </c>
    </row>
    <row r="130" spans="1:17" x14ac:dyDescent="0.35">
      <c r="A130" s="127" t="s">
        <v>6063</v>
      </c>
      <c r="C130" s="127" t="s">
        <v>20284</v>
      </c>
      <c r="D130" s="127" t="s">
        <v>13016</v>
      </c>
      <c r="I130" s="127" t="s">
        <v>10605</v>
      </c>
      <c r="J130" s="127" t="s">
        <v>13326</v>
      </c>
      <c r="K130" s="127" t="s">
        <v>10606</v>
      </c>
      <c r="L130" s="127" t="s">
        <v>13636</v>
      </c>
      <c r="M130" s="127" t="s">
        <v>10607</v>
      </c>
      <c r="N130" s="127" t="s">
        <v>10608</v>
      </c>
      <c r="O130" s="127" t="s">
        <v>13946</v>
      </c>
      <c r="P130" s="127" t="s">
        <v>14256</v>
      </c>
      <c r="Q130" s="127" t="s">
        <v>14566</v>
      </c>
    </row>
    <row r="131" spans="1:17" x14ac:dyDescent="0.35">
      <c r="A131" s="127" t="s">
        <v>6063</v>
      </c>
      <c r="C131" s="127" t="s">
        <v>20285</v>
      </c>
      <c r="D131" s="127" t="s">
        <v>13017</v>
      </c>
      <c r="I131" s="127" t="s">
        <v>10610</v>
      </c>
      <c r="J131" s="127" t="s">
        <v>13327</v>
      </c>
      <c r="K131" s="127" t="s">
        <v>10611</v>
      </c>
      <c r="L131" s="127" t="s">
        <v>13637</v>
      </c>
      <c r="M131" s="127" t="s">
        <v>10612</v>
      </c>
      <c r="N131" s="127" t="s">
        <v>10613</v>
      </c>
      <c r="O131" s="127" t="s">
        <v>13947</v>
      </c>
      <c r="P131" s="127" t="s">
        <v>14257</v>
      </c>
      <c r="Q131" s="127" t="s">
        <v>14567</v>
      </c>
    </row>
    <row r="132" spans="1:17" x14ac:dyDescent="0.35">
      <c r="A132" s="127" t="s">
        <v>6063</v>
      </c>
      <c r="C132" s="127" t="s">
        <v>20286</v>
      </c>
      <c r="D132" s="127" t="s">
        <v>13018</v>
      </c>
      <c r="I132" s="127" t="s">
        <v>10615</v>
      </c>
      <c r="J132" s="127" t="s">
        <v>13328</v>
      </c>
      <c r="K132" s="127" t="s">
        <v>10616</v>
      </c>
      <c r="L132" s="127" t="s">
        <v>13638</v>
      </c>
      <c r="M132" s="127" t="s">
        <v>10617</v>
      </c>
      <c r="N132" s="127" t="s">
        <v>10618</v>
      </c>
      <c r="O132" s="127" t="s">
        <v>13948</v>
      </c>
      <c r="P132" s="127" t="s">
        <v>14258</v>
      </c>
      <c r="Q132" s="127" t="s">
        <v>14568</v>
      </c>
    </row>
    <row r="133" spans="1:17" x14ac:dyDescent="0.35">
      <c r="A133" s="127" t="s">
        <v>6063</v>
      </c>
      <c r="C133" s="127" t="s">
        <v>20287</v>
      </c>
      <c r="D133" s="127" t="s">
        <v>13019</v>
      </c>
      <c r="I133" s="127" t="s">
        <v>10620</v>
      </c>
      <c r="J133" s="127" t="s">
        <v>13329</v>
      </c>
      <c r="K133" s="127" t="s">
        <v>10621</v>
      </c>
      <c r="L133" s="127" t="s">
        <v>13639</v>
      </c>
      <c r="M133" s="127" t="s">
        <v>10622</v>
      </c>
      <c r="N133" s="127" t="s">
        <v>10623</v>
      </c>
      <c r="O133" s="127" t="s">
        <v>13949</v>
      </c>
      <c r="P133" s="127" t="s">
        <v>14259</v>
      </c>
      <c r="Q133" s="127" t="s">
        <v>14569</v>
      </c>
    </row>
    <row r="134" spans="1:17" x14ac:dyDescent="0.35">
      <c r="A134" s="127" t="s">
        <v>6063</v>
      </c>
      <c r="C134" s="127" t="s">
        <v>20288</v>
      </c>
      <c r="D134" s="127" t="s">
        <v>13020</v>
      </c>
      <c r="I134" s="127" t="s">
        <v>10625</v>
      </c>
      <c r="J134" s="127" t="s">
        <v>13330</v>
      </c>
      <c r="K134" s="127" t="s">
        <v>10626</v>
      </c>
      <c r="L134" s="127" t="s">
        <v>13640</v>
      </c>
      <c r="M134" s="127" t="s">
        <v>10627</v>
      </c>
      <c r="N134" s="127" t="s">
        <v>10628</v>
      </c>
      <c r="O134" s="127" t="s">
        <v>13950</v>
      </c>
      <c r="P134" s="127" t="s">
        <v>14260</v>
      </c>
      <c r="Q134" s="127" t="s">
        <v>14570</v>
      </c>
    </row>
    <row r="135" spans="1:17" x14ac:dyDescent="0.35">
      <c r="A135" s="127" t="s">
        <v>6063</v>
      </c>
      <c r="C135" s="127" t="s">
        <v>20289</v>
      </c>
      <c r="D135" s="127" t="s">
        <v>13021</v>
      </c>
      <c r="I135" s="127" t="s">
        <v>10630</v>
      </c>
      <c r="J135" s="127" t="s">
        <v>13331</v>
      </c>
      <c r="K135" s="127" t="s">
        <v>10631</v>
      </c>
      <c r="L135" s="127" t="s">
        <v>13641</v>
      </c>
      <c r="M135" s="127" t="s">
        <v>10632</v>
      </c>
      <c r="N135" s="127" t="s">
        <v>10633</v>
      </c>
      <c r="O135" s="127" t="s">
        <v>13951</v>
      </c>
      <c r="P135" s="127" t="s">
        <v>14261</v>
      </c>
      <c r="Q135" s="127" t="s">
        <v>14571</v>
      </c>
    </row>
    <row r="136" spans="1:17" x14ac:dyDescent="0.35">
      <c r="A136" s="127" t="s">
        <v>6063</v>
      </c>
      <c r="C136" s="127" t="s">
        <v>20290</v>
      </c>
      <c r="D136" s="127" t="s">
        <v>13022</v>
      </c>
      <c r="I136" s="127" t="s">
        <v>10635</v>
      </c>
      <c r="J136" s="127" t="s">
        <v>13332</v>
      </c>
      <c r="K136" s="127" t="s">
        <v>10636</v>
      </c>
      <c r="L136" s="127" t="s">
        <v>13642</v>
      </c>
      <c r="M136" s="127" t="s">
        <v>10637</v>
      </c>
      <c r="N136" s="127" t="s">
        <v>10638</v>
      </c>
      <c r="O136" s="127" t="s">
        <v>13952</v>
      </c>
      <c r="P136" s="127" t="s">
        <v>14262</v>
      </c>
      <c r="Q136" s="127" t="s">
        <v>14572</v>
      </c>
    </row>
    <row r="137" spans="1:17" x14ac:dyDescent="0.35">
      <c r="A137" s="127" t="s">
        <v>6063</v>
      </c>
      <c r="C137" s="127" t="s">
        <v>20291</v>
      </c>
      <c r="D137" s="127" t="s">
        <v>13023</v>
      </c>
      <c r="I137" s="127" t="s">
        <v>10640</v>
      </c>
      <c r="J137" s="127" t="s">
        <v>13333</v>
      </c>
      <c r="K137" s="127" t="s">
        <v>10641</v>
      </c>
      <c r="L137" s="127" t="s">
        <v>13643</v>
      </c>
      <c r="M137" s="127" t="s">
        <v>10642</v>
      </c>
      <c r="N137" s="127" t="s">
        <v>10643</v>
      </c>
      <c r="O137" s="127" t="s">
        <v>13953</v>
      </c>
      <c r="P137" s="127" t="s">
        <v>14263</v>
      </c>
      <c r="Q137" s="127" t="s">
        <v>14573</v>
      </c>
    </row>
    <row r="138" spans="1:17" x14ac:dyDescent="0.35">
      <c r="A138" s="127" t="s">
        <v>6063</v>
      </c>
      <c r="C138" s="127" t="s">
        <v>20292</v>
      </c>
      <c r="D138" s="127" t="s">
        <v>13024</v>
      </c>
      <c r="I138" s="127" t="s">
        <v>10645</v>
      </c>
      <c r="J138" s="127" t="s">
        <v>13334</v>
      </c>
      <c r="K138" s="127" t="s">
        <v>10646</v>
      </c>
      <c r="L138" s="127" t="s">
        <v>13644</v>
      </c>
      <c r="M138" s="127" t="s">
        <v>10647</v>
      </c>
      <c r="N138" s="127" t="s">
        <v>10648</v>
      </c>
      <c r="O138" s="127" t="s">
        <v>13954</v>
      </c>
      <c r="P138" s="127" t="s">
        <v>14264</v>
      </c>
      <c r="Q138" s="127" t="s">
        <v>14574</v>
      </c>
    </row>
    <row r="139" spans="1:17" x14ac:dyDescent="0.35">
      <c r="A139" s="127" t="s">
        <v>6063</v>
      </c>
      <c r="C139" s="127" t="s">
        <v>20293</v>
      </c>
      <c r="D139" s="127" t="s">
        <v>13025</v>
      </c>
      <c r="I139" s="127" t="s">
        <v>10650</v>
      </c>
      <c r="J139" s="127" t="s">
        <v>13335</v>
      </c>
      <c r="K139" s="127" t="s">
        <v>10651</v>
      </c>
      <c r="L139" s="127" t="s">
        <v>13645</v>
      </c>
      <c r="M139" s="127" t="s">
        <v>10652</v>
      </c>
      <c r="N139" s="127" t="s">
        <v>10653</v>
      </c>
      <c r="O139" s="127" t="s">
        <v>13955</v>
      </c>
      <c r="P139" s="127" t="s">
        <v>14265</v>
      </c>
      <c r="Q139" s="127" t="s">
        <v>14575</v>
      </c>
    </row>
    <row r="140" spans="1:17" x14ac:dyDescent="0.35">
      <c r="A140" s="127" t="s">
        <v>6063</v>
      </c>
      <c r="C140" s="127" t="s">
        <v>20294</v>
      </c>
      <c r="D140" s="127" t="s">
        <v>13026</v>
      </c>
      <c r="I140" s="127" t="s">
        <v>10655</v>
      </c>
      <c r="J140" s="127" t="s">
        <v>13336</v>
      </c>
      <c r="K140" s="127" t="s">
        <v>10656</v>
      </c>
      <c r="L140" s="127" t="s">
        <v>13646</v>
      </c>
      <c r="M140" s="127" t="s">
        <v>10657</v>
      </c>
      <c r="N140" s="127" t="s">
        <v>10658</v>
      </c>
      <c r="O140" s="127" t="s">
        <v>13956</v>
      </c>
      <c r="P140" s="127" t="s">
        <v>14266</v>
      </c>
      <c r="Q140" s="127" t="s">
        <v>14576</v>
      </c>
    </row>
    <row r="141" spans="1:17" x14ac:dyDescent="0.35">
      <c r="A141" s="127" t="s">
        <v>6063</v>
      </c>
      <c r="C141" s="127" t="s">
        <v>20295</v>
      </c>
      <c r="D141" s="127" t="s">
        <v>13027</v>
      </c>
      <c r="I141" s="127" t="s">
        <v>10660</v>
      </c>
      <c r="J141" s="127" t="s">
        <v>13337</v>
      </c>
      <c r="K141" s="127" t="s">
        <v>10661</v>
      </c>
      <c r="L141" s="127" t="s">
        <v>13647</v>
      </c>
      <c r="M141" s="127" t="s">
        <v>10662</v>
      </c>
      <c r="N141" s="127" t="s">
        <v>10663</v>
      </c>
      <c r="O141" s="127" t="s">
        <v>13957</v>
      </c>
      <c r="P141" s="127" t="s">
        <v>14267</v>
      </c>
      <c r="Q141" s="127" t="s">
        <v>14577</v>
      </c>
    </row>
    <row r="142" spans="1:17" x14ac:dyDescent="0.35">
      <c r="A142" s="127" t="s">
        <v>6063</v>
      </c>
      <c r="C142" s="127" t="s">
        <v>20296</v>
      </c>
      <c r="D142" s="127" t="s">
        <v>13028</v>
      </c>
      <c r="I142" s="127" t="s">
        <v>10665</v>
      </c>
      <c r="J142" s="127" t="s">
        <v>13338</v>
      </c>
      <c r="K142" s="127" t="s">
        <v>10666</v>
      </c>
      <c r="L142" s="127" t="s">
        <v>13648</v>
      </c>
      <c r="M142" s="127" t="s">
        <v>10667</v>
      </c>
      <c r="N142" s="127" t="s">
        <v>10668</v>
      </c>
      <c r="O142" s="127" t="s">
        <v>13958</v>
      </c>
      <c r="P142" s="127" t="s">
        <v>14268</v>
      </c>
      <c r="Q142" s="127" t="s">
        <v>14578</v>
      </c>
    </row>
    <row r="143" spans="1:17" x14ac:dyDescent="0.35">
      <c r="A143" s="127" t="s">
        <v>6063</v>
      </c>
      <c r="C143" s="127" t="s">
        <v>20297</v>
      </c>
      <c r="D143" s="127" t="s">
        <v>13029</v>
      </c>
      <c r="I143" s="127" t="s">
        <v>10670</v>
      </c>
      <c r="J143" s="127" t="s">
        <v>13339</v>
      </c>
      <c r="K143" s="127" t="s">
        <v>10671</v>
      </c>
      <c r="L143" s="127" t="s">
        <v>13649</v>
      </c>
      <c r="M143" s="127" t="s">
        <v>10672</v>
      </c>
      <c r="N143" s="127" t="s">
        <v>10673</v>
      </c>
      <c r="O143" s="127" t="s">
        <v>13959</v>
      </c>
      <c r="P143" s="127" t="s">
        <v>14269</v>
      </c>
      <c r="Q143" s="127" t="s">
        <v>14579</v>
      </c>
    </row>
    <row r="144" spans="1:17" x14ac:dyDescent="0.35">
      <c r="A144" s="127" t="s">
        <v>6063</v>
      </c>
      <c r="C144" s="127" t="s">
        <v>20298</v>
      </c>
      <c r="D144" s="127" t="s">
        <v>13030</v>
      </c>
      <c r="I144" s="127" t="s">
        <v>10675</v>
      </c>
      <c r="J144" s="127" t="s">
        <v>13340</v>
      </c>
      <c r="K144" s="127" t="s">
        <v>10676</v>
      </c>
      <c r="L144" s="127" t="s">
        <v>13650</v>
      </c>
      <c r="M144" s="127" t="s">
        <v>10677</v>
      </c>
      <c r="N144" s="127" t="s">
        <v>10678</v>
      </c>
      <c r="O144" s="127" t="s">
        <v>13960</v>
      </c>
      <c r="P144" s="127" t="s">
        <v>14270</v>
      </c>
      <c r="Q144" s="127" t="s">
        <v>14580</v>
      </c>
    </row>
    <row r="145" spans="1:17" x14ac:dyDescent="0.35">
      <c r="A145" s="127" t="s">
        <v>6063</v>
      </c>
      <c r="C145" s="127" t="s">
        <v>20299</v>
      </c>
      <c r="D145" s="127" t="s">
        <v>13031</v>
      </c>
      <c r="I145" s="127" t="s">
        <v>10680</v>
      </c>
      <c r="J145" s="127" t="s">
        <v>13341</v>
      </c>
      <c r="K145" s="127" t="s">
        <v>10681</v>
      </c>
      <c r="L145" s="127" t="s">
        <v>13651</v>
      </c>
      <c r="M145" s="127" t="s">
        <v>10682</v>
      </c>
      <c r="N145" s="127" t="s">
        <v>10683</v>
      </c>
      <c r="O145" s="127" t="s">
        <v>13961</v>
      </c>
      <c r="P145" s="127" t="s">
        <v>14271</v>
      </c>
      <c r="Q145" s="127" t="s">
        <v>14581</v>
      </c>
    </row>
    <row r="146" spans="1:17" x14ac:dyDescent="0.35">
      <c r="A146" s="127" t="s">
        <v>6063</v>
      </c>
      <c r="C146" s="127" t="s">
        <v>20300</v>
      </c>
      <c r="D146" s="127" t="s">
        <v>13032</v>
      </c>
      <c r="I146" s="127" t="s">
        <v>10685</v>
      </c>
      <c r="J146" s="127" t="s">
        <v>13342</v>
      </c>
      <c r="K146" s="127" t="s">
        <v>10686</v>
      </c>
      <c r="L146" s="127" t="s">
        <v>13652</v>
      </c>
      <c r="M146" s="127" t="s">
        <v>10687</v>
      </c>
      <c r="N146" s="127" t="s">
        <v>10688</v>
      </c>
      <c r="O146" s="127" t="s">
        <v>13962</v>
      </c>
      <c r="P146" s="127" t="s">
        <v>14272</v>
      </c>
      <c r="Q146" s="127" t="s">
        <v>14582</v>
      </c>
    </row>
    <row r="147" spans="1:17" x14ac:dyDescent="0.35">
      <c r="A147" s="127" t="s">
        <v>6063</v>
      </c>
      <c r="C147" s="127" t="s">
        <v>20301</v>
      </c>
      <c r="D147" s="127" t="s">
        <v>13033</v>
      </c>
      <c r="I147" s="127" t="s">
        <v>10690</v>
      </c>
      <c r="J147" s="127" t="s">
        <v>13343</v>
      </c>
      <c r="K147" s="127" t="s">
        <v>10691</v>
      </c>
      <c r="L147" s="127" t="s">
        <v>13653</v>
      </c>
      <c r="M147" s="127" t="s">
        <v>10692</v>
      </c>
      <c r="N147" s="127" t="s">
        <v>10693</v>
      </c>
      <c r="O147" s="127" t="s">
        <v>13963</v>
      </c>
      <c r="P147" s="127" t="s">
        <v>14273</v>
      </c>
      <c r="Q147" s="127" t="s">
        <v>14583</v>
      </c>
    </row>
    <row r="148" spans="1:17" x14ac:dyDescent="0.35">
      <c r="A148" s="127" t="s">
        <v>6063</v>
      </c>
      <c r="C148" s="127" t="s">
        <v>20302</v>
      </c>
      <c r="D148" s="127" t="s">
        <v>13034</v>
      </c>
      <c r="I148" s="127" t="s">
        <v>10695</v>
      </c>
      <c r="J148" s="127" t="s">
        <v>13344</v>
      </c>
      <c r="K148" s="127" t="s">
        <v>10696</v>
      </c>
      <c r="L148" s="127" t="s">
        <v>13654</v>
      </c>
      <c r="M148" s="127" t="s">
        <v>10697</v>
      </c>
      <c r="N148" s="127" t="s">
        <v>10698</v>
      </c>
      <c r="O148" s="127" t="s">
        <v>13964</v>
      </c>
      <c r="P148" s="127" t="s">
        <v>14274</v>
      </c>
      <c r="Q148" s="127" t="s">
        <v>14584</v>
      </c>
    </row>
    <row r="149" spans="1:17" x14ac:dyDescent="0.35">
      <c r="A149" s="127" t="s">
        <v>6063</v>
      </c>
      <c r="C149" s="127" t="s">
        <v>20303</v>
      </c>
      <c r="D149" s="127" t="s">
        <v>13035</v>
      </c>
      <c r="I149" s="127" t="s">
        <v>10700</v>
      </c>
      <c r="J149" s="127" t="s">
        <v>13345</v>
      </c>
      <c r="K149" s="127" t="s">
        <v>10701</v>
      </c>
      <c r="L149" s="127" t="s">
        <v>13655</v>
      </c>
      <c r="M149" s="127" t="s">
        <v>10702</v>
      </c>
      <c r="N149" s="127" t="s">
        <v>10703</v>
      </c>
      <c r="O149" s="127" t="s">
        <v>13965</v>
      </c>
      <c r="P149" s="127" t="s">
        <v>14275</v>
      </c>
      <c r="Q149" s="127" t="s">
        <v>14585</v>
      </c>
    </row>
    <row r="150" spans="1:17" x14ac:dyDescent="0.35">
      <c r="A150" s="127" t="s">
        <v>6063</v>
      </c>
      <c r="C150" s="127" t="s">
        <v>20304</v>
      </c>
      <c r="D150" s="127" t="s">
        <v>13036</v>
      </c>
      <c r="I150" s="127" t="s">
        <v>10705</v>
      </c>
      <c r="J150" s="127" t="s">
        <v>13346</v>
      </c>
      <c r="K150" s="127" t="s">
        <v>10706</v>
      </c>
      <c r="L150" s="127" t="s">
        <v>13656</v>
      </c>
      <c r="M150" s="127" t="s">
        <v>10707</v>
      </c>
      <c r="N150" s="127" t="s">
        <v>10708</v>
      </c>
      <c r="O150" s="127" t="s">
        <v>13966</v>
      </c>
      <c r="P150" s="127" t="s">
        <v>14276</v>
      </c>
      <c r="Q150" s="127" t="s">
        <v>14586</v>
      </c>
    </row>
    <row r="151" spans="1:17" x14ac:dyDescent="0.35">
      <c r="A151" s="127" t="s">
        <v>6063</v>
      </c>
      <c r="C151" s="127" t="s">
        <v>20305</v>
      </c>
      <c r="D151" s="127" t="s">
        <v>13037</v>
      </c>
      <c r="I151" s="127" t="s">
        <v>10710</v>
      </c>
      <c r="J151" s="127" t="s">
        <v>13347</v>
      </c>
      <c r="K151" s="127" t="s">
        <v>10711</v>
      </c>
      <c r="L151" s="127" t="s">
        <v>13657</v>
      </c>
      <c r="M151" s="127" t="s">
        <v>10712</v>
      </c>
      <c r="N151" s="127" t="s">
        <v>10713</v>
      </c>
      <c r="O151" s="127" t="s">
        <v>13967</v>
      </c>
      <c r="P151" s="127" t="s">
        <v>14277</v>
      </c>
      <c r="Q151" s="127" t="s">
        <v>14587</v>
      </c>
    </row>
    <row r="152" spans="1:17" x14ac:dyDescent="0.35">
      <c r="A152" s="127" t="s">
        <v>6063</v>
      </c>
      <c r="C152" s="127" t="s">
        <v>20306</v>
      </c>
      <c r="D152" s="127" t="s">
        <v>13038</v>
      </c>
      <c r="I152" s="127" t="s">
        <v>10715</v>
      </c>
      <c r="J152" s="127" t="s">
        <v>13348</v>
      </c>
      <c r="K152" s="127" t="s">
        <v>10716</v>
      </c>
      <c r="L152" s="127" t="s">
        <v>13658</v>
      </c>
      <c r="M152" s="127" t="s">
        <v>10717</v>
      </c>
      <c r="N152" s="127" t="s">
        <v>10718</v>
      </c>
      <c r="O152" s="127" t="s">
        <v>13968</v>
      </c>
      <c r="P152" s="127" t="s">
        <v>14278</v>
      </c>
      <c r="Q152" s="127" t="s">
        <v>14588</v>
      </c>
    </row>
    <row r="153" spans="1:17" x14ac:dyDescent="0.35">
      <c r="A153" s="127" t="s">
        <v>6063</v>
      </c>
      <c r="C153" s="127" t="s">
        <v>20307</v>
      </c>
      <c r="D153" s="127" t="s">
        <v>13039</v>
      </c>
      <c r="I153" s="127" t="s">
        <v>10720</v>
      </c>
      <c r="J153" s="127" t="s">
        <v>13349</v>
      </c>
      <c r="K153" s="127" t="s">
        <v>10721</v>
      </c>
      <c r="L153" s="127" t="s">
        <v>13659</v>
      </c>
      <c r="M153" s="127" t="s">
        <v>10722</v>
      </c>
      <c r="N153" s="127" t="s">
        <v>10723</v>
      </c>
      <c r="O153" s="127" t="s">
        <v>13969</v>
      </c>
      <c r="P153" s="127" t="s">
        <v>14279</v>
      </c>
      <c r="Q153" s="127" t="s">
        <v>14589</v>
      </c>
    </row>
    <row r="154" spans="1:17" x14ac:dyDescent="0.35">
      <c r="A154" s="127" t="s">
        <v>6063</v>
      </c>
      <c r="C154" s="127" t="s">
        <v>20308</v>
      </c>
      <c r="D154" s="127" t="s">
        <v>13040</v>
      </c>
      <c r="I154" s="127" t="s">
        <v>10725</v>
      </c>
      <c r="J154" s="127" t="s">
        <v>13350</v>
      </c>
      <c r="K154" s="127" t="s">
        <v>10726</v>
      </c>
      <c r="L154" s="127" t="s">
        <v>13660</v>
      </c>
      <c r="M154" s="127" t="s">
        <v>10727</v>
      </c>
      <c r="N154" s="127" t="s">
        <v>10728</v>
      </c>
      <c r="O154" s="127" t="s">
        <v>13970</v>
      </c>
      <c r="P154" s="127" t="s">
        <v>14280</v>
      </c>
      <c r="Q154" s="127" t="s">
        <v>14590</v>
      </c>
    </row>
    <row r="155" spans="1:17" x14ac:dyDescent="0.35">
      <c r="A155" s="127" t="s">
        <v>6063</v>
      </c>
      <c r="C155" s="127" t="s">
        <v>20309</v>
      </c>
      <c r="D155" s="127" t="s">
        <v>13041</v>
      </c>
      <c r="I155" s="127" t="s">
        <v>10730</v>
      </c>
      <c r="J155" s="127" t="s">
        <v>13351</v>
      </c>
      <c r="K155" s="127" t="s">
        <v>10731</v>
      </c>
      <c r="L155" s="127" t="s">
        <v>13661</v>
      </c>
      <c r="M155" s="127" t="s">
        <v>10732</v>
      </c>
      <c r="N155" s="127" t="s">
        <v>10733</v>
      </c>
      <c r="O155" s="127" t="s">
        <v>13971</v>
      </c>
      <c r="P155" s="127" t="s">
        <v>14281</v>
      </c>
      <c r="Q155" s="127" t="s">
        <v>14591</v>
      </c>
    </row>
    <row r="156" spans="1:17" x14ac:dyDescent="0.35">
      <c r="A156" s="127" t="s">
        <v>6063</v>
      </c>
      <c r="C156" s="127" t="s">
        <v>20310</v>
      </c>
      <c r="D156" s="127" t="s">
        <v>13042</v>
      </c>
      <c r="I156" s="127" t="s">
        <v>10735</v>
      </c>
      <c r="J156" s="127" t="s">
        <v>13352</v>
      </c>
      <c r="K156" s="127" t="s">
        <v>10736</v>
      </c>
      <c r="L156" s="127" t="s">
        <v>13662</v>
      </c>
      <c r="M156" s="127" t="s">
        <v>10737</v>
      </c>
      <c r="N156" s="127" t="s">
        <v>10738</v>
      </c>
      <c r="O156" s="127" t="s">
        <v>13972</v>
      </c>
      <c r="P156" s="127" t="s">
        <v>14282</v>
      </c>
      <c r="Q156" s="127" t="s">
        <v>14592</v>
      </c>
    </row>
    <row r="157" spans="1:17" x14ac:dyDescent="0.35">
      <c r="A157" s="127" t="s">
        <v>6063</v>
      </c>
      <c r="C157" s="127" t="s">
        <v>20311</v>
      </c>
      <c r="D157" s="127" t="s">
        <v>13043</v>
      </c>
      <c r="I157" s="127" t="s">
        <v>10740</v>
      </c>
      <c r="J157" s="127" t="s">
        <v>13353</v>
      </c>
      <c r="K157" s="127" t="s">
        <v>10741</v>
      </c>
      <c r="L157" s="127" t="s">
        <v>13663</v>
      </c>
      <c r="M157" s="127" t="s">
        <v>10742</v>
      </c>
      <c r="N157" s="127" t="s">
        <v>10743</v>
      </c>
      <c r="O157" s="127" t="s">
        <v>13973</v>
      </c>
      <c r="P157" s="127" t="s">
        <v>14283</v>
      </c>
      <c r="Q157" s="127" t="s">
        <v>14593</v>
      </c>
    </row>
    <row r="158" spans="1:17" x14ac:dyDescent="0.35">
      <c r="A158" s="127" t="s">
        <v>6063</v>
      </c>
      <c r="C158" s="127" t="s">
        <v>20312</v>
      </c>
      <c r="D158" s="127" t="s">
        <v>13044</v>
      </c>
      <c r="I158" s="127" t="s">
        <v>10745</v>
      </c>
      <c r="J158" s="127" t="s">
        <v>13354</v>
      </c>
      <c r="K158" s="127" t="s">
        <v>10746</v>
      </c>
      <c r="L158" s="127" t="s">
        <v>13664</v>
      </c>
      <c r="M158" s="127" t="s">
        <v>10747</v>
      </c>
      <c r="N158" s="127" t="s">
        <v>10748</v>
      </c>
      <c r="O158" s="127" t="s">
        <v>13974</v>
      </c>
      <c r="P158" s="127" t="s">
        <v>14284</v>
      </c>
      <c r="Q158" s="127" t="s">
        <v>14594</v>
      </c>
    </row>
    <row r="159" spans="1:17" x14ac:dyDescent="0.35">
      <c r="A159" s="127" t="s">
        <v>6063</v>
      </c>
      <c r="C159" s="127" t="s">
        <v>20313</v>
      </c>
      <c r="D159" s="127" t="s">
        <v>13045</v>
      </c>
      <c r="I159" s="127" t="s">
        <v>10750</v>
      </c>
      <c r="J159" s="127" t="s">
        <v>13355</v>
      </c>
      <c r="K159" s="127" t="s">
        <v>10751</v>
      </c>
      <c r="L159" s="127" t="s">
        <v>13665</v>
      </c>
      <c r="M159" s="127" t="s">
        <v>10752</v>
      </c>
      <c r="N159" s="127" t="s">
        <v>10753</v>
      </c>
      <c r="O159" s="127" t="s">
        <v>13975</v>
      </c>
      <c r="P159" s="127" t="s">
        <v>14285</v>
      </c>
      <c r="Q159" s="127" t="s">
        <v>14595</v>
      </c>
    </row>
    <row r="160" spans="1:17" x14ac:dyDescent="0.35">
      <c r="A160" s="127" t="s">
        <v>6063</v>
      </c>
      <c r="C160" s="127" t="s">
        <v>20314</v>
      </c>
      <c r="D160" s="127" t="s">
        <v>13046</v>
      </c>
      <c r="I160" s="127" t="s">
        <v>10755</v>
      </c>
      <c r="J160" s="127" t="s">
        <v>13356</v>
      </c>
      <c r="K160" s="127" t="s">
        <v>10756</v>
      </c>
      <c r="L160" s="127" t="s">
        <v>13666</v>
      </c>
      <c r="M160" s="127" t="s">
        <v>10757</v>
      </c>
      <c r="N160" s="127" t="s">
        <v>10758</v>
      </c>
      <c r="O160" s="127" t="s">
        <v>13976</v>
      </c>
      <c r="P160" s="127" t="s">
        <v>14286</v>
      </c>
      <c r="Q160" s="127" t="s">
        <v>14596</v>
      </c>
    </row>
    <row r="161" spans="1:17" x14ac:dyDescent="0.35">
      <c r="A161" s="127" t="s">
        <v>6063</v>
      </c>
      <c r="C161" s="127" t="s">
        <v>20315</v>
      </c>
      <c r="D161" s="127" t="s">
        <v>13047</v>
      </c>
      <c r="I161" s="127" t="s">
        <v>10760</v>
      </c>
      <c r="J161" s="127" t="s">
        <v>13357</v>
      </c>
      <c r="K161" s="127" t="s">
        <v>10761</v>
      </c>
      <c r="L161" s="127" t="s">
        <v>13667</v>
      </c>
      <c r="M161" s="127" t="s">
        <v>10762</v>
      </c>
      <c r="N161" s="127" t="s">
        <v>10763</v>
      </c>
      <c r="O161" s="127" t="s">
        <v>13977</v>
      </c>
      <c r="P161" s="127" t="s">
        <v>14287</v>
      </c>
      <c r="Q161" s="127" t="s">
        <v>14597</v>
      </c>
    </row>
    <row r="162" spans="1:17" x14ac:dyDescent="0.35">
      <c r="A162" s="127" t="s">
        <v>6063</v>
      </c>
      <c r="C162" s="127" t="s">
        <v>20316</v>
      </c>
      <c r="D162" s="127" t="s">
        <v>13048</v>
      </c>
      <c r="I162" s="127" t="s">
        <v>10765</v>
      </c>
      <c r="J162" s="127" t="s">
        <v>13358</v>
      </c>
      <c r="K162" s="127" t="s">
        <v>10766</v>
      </c>
      <c r="L162" s="127" t="s">
        <v>13668</v>
      </c>
      <c r="M162" s="127" t="s">
        <v>10767</v>
      </c>
      <c r="N162" s="127" t="s">
        <v>10768</v>
      </c>
      <c r="O162" s="127" t="s">
        <v>13978</v>
      </c>
      <c r="P162" s="127" t="s">
        <v>14288</v>
      </c>
      <c r="Q162" s="127" t="s">
        <v>14598</v>
      </c>
    </row>
    <row r="163" spans="1:17" x14ac:dyDescent="0.35">
      <c r="A163" s="127" t="s">
        <v>6063</v>
      </c>
      <c r="C163" s="127" t="s">
        <v>20317</v>
      </c>
      <c r="D163" s="127" t="s">
        <v>13049</v>
      </c>
      <c r="I163" s="127" t="s">
        <v>10770</v>
      </c>
      <c r="J163" s="127" t="s">
        <v>13359</v>
      </c>
      <c r="K163" s="127" t="s">
        <v>10771</v>
      </c>
      <c r="L163" s="127" t="s">
        <v>13669</v>
      </c>
      <c r="M163" s="127" t="s">
        <v>10772</v>
      </c>
      <c r="N163" s="127" t="s">
        <v>10773</v>
      </c>
      <c r="O163" s="127" t="s">
        <v>13979</v>
      </c>
      <c r="P163" s="127" t="s">
        <v>14289</v>
      </c>
      <c r="Q163" s="127" t="s">
        <v>14599</v>
      </c>
    </row>
    <row r="164" spans="1:17" x14ac:dyDescent="0.35">
      <c r="A164" s="127" t="s">
        <v>6063</v>
      </c>
      <c r="C164" s="127" t="s">
        <v>20318</v>
      </c>
      <c r="D164" s="127" t="s">
        <v>13050</v>
      </c>
      <c r="I164" s="127" t="s">
        <v>10775</v>
      </c>
      <c r="J164" s="127" t="s">
        <v>13360</v>
      </c>
      <c r="K164" s="127" t="s">
        <v>10776</v>
      </c>
      <c r="L164" s="127" t="s">
        <v>13670</v>
      </c>
      <c r="M164" s="127" t="s">
        <v>10777</v>
      </c>
      <c r="N164" s="127" t="s">
        <v>10778</v>
      </c>
      <c r="O164" s="127" t="s">
        <v>13980</v>
      </c>
      <c r="P164" s="127" t="s">
        <v>14290</v>
      </c>
      <c r="Q164" s="127" t="s">
        <v>14600</v>
      </c>
    </row>
    <row r="165" spans="1:17" x14ac:dyDescent="0.35">
      <c r="A165" s="127" t="s">
        <v>6063</v>
      </c>
      <c r="C165" s="127" t="s">
        <v>20319</v>
      </c>
      <c r="D165" s="127" t="s">
        <v>13051</v>
      </c>
      <c r="I165" s="127" t="s">
        <v>10780</v>
      </c>
      <c r="J165" s="127" t="s">
        <v>13361</v>
      </c>
      <c r="K165" s="127" t="s">
        <v>10781</v>
      </c>
      <c r="L165" s="127" t="s">
        <v>13671</v>
      </c>
      <c r="M165" s="127" t="s">
        <v>10782</v>
      </c>
      <c r="N165" s="127" t="s">
        <v>10783</v>
      </c>
      <c r="O165" s="127" t="s">
        <v>13981</v>
      </c>
      <c r="P165" s="127" t="s">
        <v>14291</v>
      </c>
      <c r="Q165" s="127" t="s">
        <v>14601</v>
      </c>
    </row>
    <row r="166" spans="1:17" x14ac:dyDescent="0.35">
      <c r="A166" s="127" t="s">
        <v>6063</v>
      </c>
      <c r="C166" s="127" t="s">
        <v>20320</v>
      </c>
      <c r="D166" s="127" t="s">
        <v>13052</v>
      </c>
      <c r="I166" s="127" t="s">
        <v>10785</v>
      </c>
      <c r="J166" s="127" t="s">
        <v>13362</v>
      </c>
      <c r="K166" s="127" t="s">
        <v>10786</v>
      </c>
      <c r="L166" s="127" t="s">
        <v>13672</v>
      </c>
      <c r="M166" s="127" t="s">
        <v>10787</v>
      </c>
      <c r="N166" s="127" t="s">
        <v>10788</v>
      </c>
      <c r="O166" s="127" t="s">
        <v>13982</v>
      </c>
      <c r="P166" s="127" t="s">
        <v>14292</v>
      </c>
      <c r="Q166" s="127" t="s">
        <v>14602</v>
      </c>
    </row>
    <row r="167" spans="1:17" x14ac:dyDescent="0.35">
      <c r="A167" s="127" t="s">
        <v>6063</v>
      </c>
      <c r="C167" s="127" t="s">
        <v>20321</v>
      </c>
      <c r="D167" s="127" t="s">
        <v>13053</v>
      </c>
      <c r="I167" s="127" t="s">
        <v>10790</v>
      </c>
      <c r="J167" s="127" t="s">
        <v>13363</v>
      </c>
      <c r="K167" s="127" t="s">
        <v>10791</v>
      </c>
      <c r="L167" s="127" t="s">
        <v>13673</v>
      </c>
      <c r="M167" s="127" t="s">
        <v>10792</v>
      </c>
      <c r="N167" s="127" t="s">
        <v>10793</v>
      </c>
      <c r="O167" s="127" t="s">
        <v>13983</v>
      </c>
      <c r="P167" s="127" t="s">
        <v>14293</v>
      </c>
      <c r="Q167" s="127" t="s">
        <v>14603</v>
      </c>
    </row>
    <row r="168" spans="1:17" x14ac:dyDescent="0.35">
      <c r="A168" s="127" t="s">
        <v>6063</v>
      </c>
      <c r="C168" s="127" t="s">
        <v>20322</v>
      </c>
      <c r="D168" s="127" t="s">
        <v>13054</v>
      </c>
      <c r="I168" s="127" t="s">
        <v>10795</v>
      </c>
      <c r="J168" s="127" t="s">
        <v>13364</v>
      </c>
      <c r="K168" s="127" t="s">
        <v>10796</v>
      </c>
      <c r="L168" s="127" t="s">
        <v>13674</v>
      </c>
      <c r="M168" s="127" t="s">
        <v>10797</v>
      </c>
      <c r="N168" s="127" t="s">
        <v>10798</v>
      </c>
      <c r="O168" s="127" t="s">
        <v>13984</v>
      </c>
      <c r="P168" s="127" t="s">
        <v>14294</v>
      </c>
      <c r="Q168" s="127" t="s">
        <v>14604</v>
      </c>
    </row>
    <row r="169" spans="1:17" x14ac:dyDescent="0.35">
      <c r="A169" s="127" t="s">
        <v>6063</v>
      </c>
      <c r="C169" s="127" t="s">
        <v>20323</v>
      </c>
      <c r="D169" s="127" t="s">
        <v>13055</v>
      </c>
      <c r="I169" s="127" t="s">
        <v>10800</v>
      </c>
      <c r="J169" s="127" t="s">
        <v>13365</v>
      </c>
      <c r="K169" s="127" t="s">
        <v>10801</v>
      </c>
      <c r="L169" s="127" t="s">
        <v>13675</v>
      </c>
      <c r="M169" s="127" t="s">
        <v>10802</v>
      </c>
      <c r="N169" s="127" t="s">
        <v>10803</v>
      </c>
      <c r="O169" s="127" t="s">
        <v>13985</v>
      </c>
      <c r="P169" s="127" t="s">
        <v>14295</v>
      </c>
      <c r="Q169" s="127" t="s">
        <v>14605</v>
      </c>
    </row>
    <row r="170" spans="1:17" x14ac:dyDescent="0.35">
      <c r="A170" s="127" t="s">
        <v>6063</v>
      </c>
      <c r="C170" s="127" t="s">
        <v>20324</v>
      </c>
      <c r="D170" s="127" t="s">
        <v>13056</v>
      </c>
      <c r="I170" s="127" t="s">
        <v>10805</v>
      </c>
      <c r="J170" s="127" t="s">
        <v>13366</v>
      </c>
      <c r="K170" s="127" t="s">
        <v>10806</v>
      </c>
      <c r="L170" s="127" t="s">
        <v>13676</v>
      </c>
      <c r="M170" s="127" t="s">
        <v>10807</v>
      </c>
      <c r="N170" s="127" t="s">
        <v>10808</v>
      </c>
      <c r="O170" s="127" t="s">
        <v>13986</v>
      </c>
      <c r="P170" s="127" t="s">
        <v>14296</v>
      </c>
      <c r="Q170" s="127" t="s">
        <v>14606</v>
      </c>
    </row>
    <row r="171" spans="1:17" x14ac:dyDescent="0.35">
      <c r="A171" s="127" t="s">
        <v>6063</v>
      </c>
      <c r="C171" s="127" t="s">
        <v>20325</v>
      </c>
      <c r="D171" s="127" t="s">
        <v>13057</v>
      </c>
      <c r="I171" s="127" t="s">
        <v>10810</v>
      </c>
      <c r="J171" s="127" t="s">
        <v>13367</v>
      </c>
      <c r="K171" s="127" t="s">
        <v>10811</v>
      </c>
      <c r="L171" s="127" t="s">
        <v>13677</v>
      </c>
      <c r="M171" s="127" t="s">
        <v>10812</v>
      </c>
      <c r="N171" s="127" t="s">
        <v>10813</v>
      </c>
      <c r="O171" s="127" t="s">
        <v>13987</v>
      </c>
      <c r="P171" s="127" t="s">
        <v>14297</v>
      </c>
      <c r="Q171" s="127" t="s">
        <v>14607</v>
      </c>
    </row>
    <row r="172" spans="1:17" x14ac:dyDescent="0.35">
      <c r="A172" s="127" t="s">
        <v>6063</v>
      </c>
      <c r="C172" s="127" t="s">
        <v>20326</v>
      </c>
      <c r="D172" s="127" t="s">
        <v>13058</v>
      </c>
      <c r="I172" s="127" t="s">
        <v>10815</v>
      </c>
      <c r="J172" s="127" t="s">
        <v>13368</v>
      </c>
      <c r="K172" s="127" t="s">
        <v>10816</v>
      </c>
      <c r="L172" s="127" t="s">
        <v>13678</v>
      </c>
      <c r="M172" s="127" t="s">
        <v>10817</v>
      </c>
      <c r="N172" s="127" t="s">
        <v>10818</v>
      </c>
      <c r="O172" s="127" t="s">
        <v>13988</v>
      </c>
      <c r="P172" s="127" t="s">
        <v>14298</v>
      </c>
      <c r="Q172" s="127" t="s">
        <v>14608</v>
      </c>
    </row>
    <row r="173" spans="1:17" x14ac:dyDescent="0.35">
      <c r="A173" s="127" t="s">
        <v>6063</v>
      </c>
      <c r="C173" s="127" t="s">
        <v>20327</v>
      </c>
      <c r="D173" s="127" t="s">
        <v>13059</v>
      </c>
      <c r="I173" s="127" t="s">
        <v>10820</v>
      </c>
      <c r="J173" s="127" t="s">
        <v>13369</v>
      </c>
      <c r="K173" s="127" t="s">
        <v>10821</v>
      </c>
      <c r="L173" s="127" t="s">
        <v>13679</v>
      </c>
      <c r="M173" s="127" t="s">
        <v>10822</v>
      </c>
      <c r="N173" s="127" t="s">
        <v>10823</v>
      </c>
      <c r="O173" s="127" t="s">
        <v>13989</v>
      </c>
      <c r="P173" s="127" t="s">
        <v>14299</v>
      </c>
      <c r="Q173" s="127" t="s">
        <v>14609</v>
      </c>
    </row>
    <row r="174" spans="1:17" x14ac:dyDescent="0.35">
      <c r="A174" s="127" t="s">
        <v>6063</v>
      </c>
      <c r="C174" s="127" t="s">
        <v>20328</v>
      </c>
      <c r="D174" s="127" t="s">
        <v>13060</v>
      </c>
      <c r="I174" s="127" t="s">
        <v>10825</v>
      </c>
      <c r="J174" s="127" t="s">
        <v>13370</v>
      </c>
      <c r="K174" s="127" t="s">
        <v>10826</v>
      </c>
      <c r="L174" s="127" t="s">
        <v>13680</v>
      </c>
      <c r="M174" s="127" t="s">
        <v>10827</v>
      </c>
      <c r="N174" s="127" t="s">
        <v>10828</v>
      </c>
      <c r="O174" s="127" t="s">
        <v>13990</v>
      </c>
      <c r="P174" s="127" t="s">
        <v>14300</v>
      </c>
      <c r="Q174" s="127" t="s">
        <v>14610</v>
      </c>
    </row>
    <row r="175" spans="1:17" x14ac:dyDescent="0.35">
      <c r="A175" s="127" t="s">
        <v>6063</v>
      </c>
      <c r="C175" s="127" t="s">
        <v>20329</v>
      </c>
      <c r="D175" s="127" t="s">
        <v>13061</v>
      </c>
      <c r="I175" s="127" t="s">
        <v>10830</v>
      </c>
      <c r="J175" s="127" t="s">
        <v>13371</v>
      </c>
      <c r="K175" s="127" t="s">
        <v>10831</v>
      </c>
      <c r="L175" s="127" t="s">
        <v>13681</v>
      </c>
      <c r="M175" s="127" t="s">
        <v>10832</v>
      </c>
      <c r="N175" s="127" t="s">
        <v>10833</v>
      </c>
      <c r="O175" s="127" t="s">
        <v>13991</v>
      </c>
      <c r="P175" s="127" t="s">
        <v>14301</v>
      </c>
      <c r="Q175" s="127" t="s">
        <v>14611</v>
      </c>
    </row>
    <row r="176" spans="1:17" x14ac:dyDescent="0.35">
      <c r="A176" s="127" t="s">
        <v>6063</v>
      </c>
      <c r="C176" s="127" t="s">
        <v>20330</v>
      </c>
      <c r="D176" s="127" t="s">
        <v>13062</v>
      </c>
      <c r="I176" s="127" t="s">
        <v>10835</v>
      </c>
      <c r="J176" s="127" t="s">
        <v>13372</v>
      </c>
      <c r="K176" s="127" t="s">
        <v>10836</v>
      </c>
      <c r="L176" s="127" t="s">
        <v>13682</v>
      </c>
      <c r="M176" s="127" t="s">
        <v>10837</v>
      </c>
      <c r="N176" s="127" t="s">
        <v>10838</v>
      </c>
      <c r="O176" s="127" t="s">
        <v>13992</v>
      </c>
      <c r="P176" s="127" t="s">
        <v>14302</v>
      </c>
      <c r="Q176" s="127" t="s">
        <v>14612</v>
      </c>
    </row>
    <row r="177" spans="1:17" x14ac:dyDescent="0.35">
      <c r="A177" s="127" t="s">
        <v>6063</v>
      </c>
      <c r="C177" s="127" t="s">
        <v>20331</v>
      </c>
      <c r="D177" s="127" t="s">
        <v>13063</v>
      </c>
      <c r="I177" s="127" t="s">
        <v>10840</v>
      </c>
      <c r="J177" s="127" t="s">
        <v>13373</v>
      </c>
      <c r="K177" s="127" t="s">
        <v>10841</v>
      </c>
      <c r="L177" s="127" t="s">
        <v>13683</v>
      </c>
      <c r="M177" s="127" t="s">
        <v>10842</v>
      </c>
      <c r="N177" s="127" t="s">
        <v>10843</v>
      </c>
      <c r="O177" s="127" t="s">
        <v>13993</v>
      </c>
      <c r="P177" s="127" t="s">
        <v>14303</v>
      </c>
      <c r="Q177" s="127" t="s">
        <v>14613</v>
      </c>
    </row>
    <row r="178" spans="1:17" x14ac:dyDescent="0.35">
      <c r="A178" s="127" t="s">
        <v>6063</v>
      </c>
      <c r="C178" s="127" t="s">
        <v>20332</v>
      </c>
      <c r="D178" s="127" t="s">
        <v>13064</v>
      </c>
      <c r="I178" s="127" t="s">
        <v>10845</v>
      </c>
      <c r="J178" s="127" t="s">
        <v>13374</v>
      </c>
      <c r="K178" s="127" t="s">
        <v>10846</v>
      </c>
      <c r="L178" s="127" t="s">
        <v>13684</v>
      </c>
      <c r="M178" s="127" t="s">
        <v>10847</v>
      </c>
      <c r="N178" s="127" t="s">
        <v>10848</v>
      </c>
      <c r="O178" s="127" t="s">
        <v>13994</v>
      </c>
      <c r="P178" s="127" t="s">
        <v>14304</v>
      </c>
      <c r="Q178" s="127" t="s">
        <v>14614</v>
      </c>
    </row>
    <row r="179" spans="1:17" x14ac:dyDescent="0.35">
      <c r="A179" s="127" t="s">
        <v>6063</v>
      </c>
      <c r="C179" s="127" t="s">
        <v>20333</v>
      </c>
      <c r="D179" s="127" t="s">
        <v>13065</v>
      </c>
      <c r="I179" s="127" t="s">
        <v>10850</v>
      </c>
      <c r="J179" s="127" t="s">
        <v>13375</v>
      </c>
      <c r="K179" s="127" t="s">
        <v>10851</v>
      </c>
      <c r="L179" s="127" t="s">
        <v>13685</v>
      </c>
      <c r="M179" s="127" t="s">
        <v>10852</v>
      </c>
      <c r="N179" s="127" t="s">
        <v>10853</v>
      </c>
      <c r="O179" s="127" t="s">
        <v>13995</v>
      </c>
      <c r="P179" s="127" t="s">
        <v>14305</v>
      </c>
      <c r="Q179" s="127" t="s">
        <v>14615</v>
      </c>
    </row>
    <row r="180" spans="1:17" x14ac:dyDescent="0.35">
      <c r="A180" s="127" t="s">
        <v>6063</v>
      </c>
      <c r="C180" s="127" t="s">
        <v>20334</v>
      </c>
      <c r="D180" s="127" t="s">
        <v>13066</v>
      </c>
      <c r="I180" s="127" t="s">
        <v>10855</v>
      </c>
      <c r="J180" s="127" t="s">
        <v>13376</v>
      </c>
      <c r="K180" s="127" t="s">
        <v>10856</v>
      </c>
      <c r="L180" s="127" t="s">
        <v>13686</v>
      </c>
      <c r="M180" s="127" t="s">
        <v>10857</v>
      </c>
      <c r="N180" s="127" t="s">
        <v>10858</v>
      </c>
      <c r="O180" s="127" t="s">
        <v>13996</v>
      </c>
      <c r="P180" s="127" t="s">
        <v>14306</v>
      </c>
      <c r="Q180" s="127" t="s">
        <v>14616</v>
      </c>
    </row>
    <row r="181" spans="1:17" x14ac:dyDescent="0.35">
      <c r="A181" s="127" t="s">
        <v>6063</v>
      </c>
      <c r="C181" s="127" t="s">
        <v>20335</v>
      </c>
      <c r="D181" s="127" t="s">
        <v>13067</v>
      </c>
      <c r="I181" s="127" t="s">
        <v>10860</v>
      </c>
      <c r="J181" s="127" t="s">
        <v>13377</v>
      </c>
      <c r="K181" s="127" t="s">
        <v>10861</v>
      </c>
      <c r="L181" s="127" t="s">
        <v>13687</v>
      </c>
      <c r="M181" s="127" t="s">
        <v>10862</v>
      </c>
      <c r="N181" s="127" t="s">
        <v>10863</v>
      </c>
      <c r="O181" s="127" t="s">
        <v>13997</v>
      </c>
      <c r="P181" s="127" t="s">
        <v>14307</v>
      </c>
      <c r="Q181" s="127" t="s">
        <v>14617</v>
      </c>
    </row>
    <row r="182" spans="1:17" x14ac:dyDescent="0.35">
      <c r="A182" s="127" t="s">
        <v>6063</v>
      </c>
      <c r="C182" s="127" t="s">
        <v>20336</v>
      </c>
      <c r="D182" s="127" t="s">
        <v>13068</v>
      </c>
      <c r="I182" s="127" t="s">
        <v>10865</v>
      </c>
      <c r="J182" s="127" t="s">
        <v>13378</v>
      </c>
      <c r="K182" s="127" t="s">
        <v>10866</v>
      </c>
      <c r="L182" s="127" t="s">
        <v>13688</v>
      </c>
      <c r="M182" s="127" t="s">
        <v>10867</v>
      </c>
      <c r="N182" s="127" t="s">
        <v>10868</v>
      </c>
      <c r="O182" s="127" t="s">
        <v>13998</v>
      </c>
      <c r="P182" s="127" t="s">
        <v>14308</v>
      </c>
      <c r="Q182" s="127" t="s">
        <v>14618</v>
      </c>
    </row>
    <row r="183" spans="1:17" x14ac:dyDescent="0.35">
      <c r="A183" s="127" t="s">
        <v>6063</v>
      </c>
      <c r="C183" s="127" t="s">
        <v>20337</v>
      </c>
      <c r="D183" s="127" t="s">
        <v>13069</v>
      </c>
      <c r="I183" s="127" t="s">
        <v>10870</v>
      </c>
      <c r="J183" s="127" t="s">
        <v>13379</v>
      </c>
      <c r="K183" s="127" t="s">
        <v>10871</v>
      </c>
      <c r="L183" s="127" t="s">
        <v>13689</v>
      </c>
      <c r="M183" s="127" t="s">
        <v>10872</v>
      </c>
      <c r="N183" s="127" t="s">
        <v>10873</v>
      </c>
      <c r="O183" s="127" t="s">
        <v>13999</v>
      </c>
      <c r="P183" s="127" t="s">
        <v>14309</v>
      </c>
      <c r="Q183" s="127" t="s">
        <v>14619</v>
      </c>
    </row>
    <row r="184" spans="1:17" x14ac:dyDescent="0.35">
      <c r="A184" s="127" t="s">
        <v>6063</v>
      </c>
      <c r="C184" s="127" t="s">
        <v>20338</v>
      </c>
      <c r="D184" s="127" t="s">
        <v>13070</v>
      </c>
      <c r="I184" s="127" t="s">
        <v>10875</v>
      </c>
      <c r="J184" s="127" t="s">
        <v>13380</v>
      </c>
      <c r="K184" s="127" t="s">
        <v>10876</v>
      </c>
      <c r="L184" s="127" t="s">
        <v>13690</v>
      </c>
      <c r="M184" s="127" t="s">
        <v>10877</v>
      </c>
      <c r="N184" s="127" t="s">
        <v>10878</v>
      </c>
      <c r="O184" s="127" t="s">
        <v>14000</v>
      </c>
      <c r="P184" s="127" t="s">
        <v>14310</v>
      </c>
      <c r="Q184" s="127" t="s">
        <v>14620</v>
      </c>
    </row>
    <row r="185" spans="1:17" x14ac:dyDescent="0.35">
      <c r="A185" s="127" t="s">
        <v>6063</v>
      </c>
      <c r="C185" s="127" t="s">
        <v>20339</v>
      </c>
      <c r="D185" s="127" t="s">
        <v>13071</v>
      </c>
      <c r="I185" s="127" t="s">
        <v>10880</v>
      </c>
      <c r="J185" s="127" t="s">
        <v>13381</v>
      </c>
      <c r="K185" s="127" t="s">
        <v>10881</v>
      </c>
      <c r="L185" s="127" t="s">
        <v>13691</v>
      </c>
      <c r="M185" s="127" t="s">
        <v>10882</v>
      </c>
      <c r="N185" s="127" t="s">
        <v>10883</v>
      </c>
      <c r="O185" s="127" t="s">
        <v>14001</v>
      </c>
      <c r="P185" s="127" t="s">
        <v>14311</v>
      </c>
      <c r="Q185" s="127" t="s">
        <v>14621</v>
      </c>
    </row>
    <row r="186" spans="1:17" x14ac:dyDescent="0.35">
      <c r="A186" s="127" t="s">
        <v>6063</v>
      </c>
      <c r="C186" s="127" t="s">
        <v>20340</v>
      </c>
      <c r="D186" s="127" t="s">
        <v>13072</v>
      </c>
      <c r="I186" s="127" t="s">
        <v>10885</v>
      </c>
      <c r="J186" s="127" t="s">
        <v>13382</v>
      </c>
      <c r="K186" s="127" t="s">
        <v>10886</v>
      </c>
      <c r="L186" s="127" t="s">
        <v>13692</v>
      </c>
      <c r="M186" s="127" t="s">
        <v>10887</v>
      </c>
      <c r="N186" s="127" t="s">
        <v>10888</v>
      </c>
      <c r="O186" s="127" t="s">
        <v>14002</v>
      </c>
      <c r="P186" s="127" t="s">
        <v>14312</v>
      </c>
      <c r="Q186" s="127" t="s">
        <v>14622</v>
      </c>
    </row>
    <row r="187" spans="1:17" x14ac:dyDescent="0.35">
      <c r="A187" s="127" t="s">
        <v>6063</v>
      </c>
      <c r="C187" s="127" t="s">
        <v>20341</v>
      </c>
      <c r="D187" s="127" t="s">
        <v>13073</v>
      </c>
      <c r="I187" s="127" t="s">
        <v>10890</v>
      </c>
      <c r="J187" s="127" t="s">
        <v>13383</v>
      </c>
      <c r="K187" s="127" t="s">
        <v>10891</v>
      </c>
      <c r="L187" s="127" t="s">
        <v>13693</v>
      </c>
      <c r="M187" s="127" t="s">
        <v>10892</v>
      </c>
      <c r="N187" s="127" t="s">
        <v>10893</v>
      </c>
      <c r="O187" s="127" t="s">
        <v>14003</v>
      </c>
      <c r="P187" s="127" t="s">
        <v>14313</v>
      </c>
      <c r="Q187" s="127" t="s">
        <v>14623</v>
      </c>
    </row>
    <row r="188" spans="1:17" x14ac:dyDescent="0.35">
      <c r="A188" s="127" t="s">
        <v>6063</v>
      </c>
      <c r="C188" s="127" t="s">
        <v>20342</v>
      </c>
      <c r="D188" s="127" t="s">
        <v>13074</v>
      </c>
      <c r="I188" s="127" t="s">
        <v>10895</v>
      </c>
      <c r="J188" s="127" t="s">
        <v>13384</v>
      </c>
      <c r="K188" s="127" t="s">
        <v>10896</v>
      </c>
      <c r="L188" s="127" t="s">
        <v>13694</v>
      </c>
      <c r="M188" s="127" t="s">
        <v>10897</v>
      </c>
      <c r="N188" s="127" t="s">
        <v>10898</v>
      </c>
      <c r="O188" s="127" t="s">
        <v>14004</v>
      </c>
      <c r="P188" s="127" t="s">
        <v>14314</v>
      </c>
      <c r="Q188" s="127" t="s">
        <v>14624</v>
      </c>
    </row>
    <row r="189" spans="1:17" x14ac:dyDescent="0.35">
      <c r="A189" s="127" t="s">
        <v>6063</v>
      </c>
      <c r="C189" s="127" t="s">
        <v>20343</v>
      </c>
      <c r="D189" s="127" t="s">
        <v>13075</v>
      </c>
      <c r="I189" s="127" t="s">
        <v>10900</v>
      </c>
      <c r="J189" s="127" t="s">
        <v>13385</v>
      </c>
      <c r="K189" s="127" t="s">
        <v>10901</v>
      </c>
      <c r="L189" s="127" t="s">
        <v>13695</v>
      </c>
      <c r="M189" s="127" t="s">
        <v>10902</v>
      </c>
      <c r="N189" s="127" t="s">
        <v>10903</v>
      </c>
      <c r="O189" s="127" t="s">
        <v>14005</v>
      </c>
      <c r="P189" s="127" t="s">
        <v>14315</v>
      </c>
      <c r="Q189" s="127" t="s">
        <v>14625</v>
      </c>
    </row>
    <row r="190" spans="1:17" x14ac:dyDescent="0.35">
      <c r="A190" s="127" t="s">
        <v>6063</v>
      </c>
      <c r="C190" s="127" t="s">
        <v>20344</v>
      </c>
      <c r="D190" s="127" t="s">
        <v>13076</v>
      </c>
      <c r="I190" s="127" t="s">
        <v>10905</v>
      </c>
      <c r="J190" s="127" t="s">
        <v>13386</v>
      </c>
      <c r="K190" s="127" t="s">
        <v>10906</v>
      </c>
      <c r="L190" s="127" t="s">
        <v>13696</v>
      </c>
      <c r="M190" s="127" t="s">
        <v>10907</v>
      </c>
      <c r="N190" s="127" t="s">
        <v>10908</v>
      </c>
      <c r="O190" s="127" t="s">
        <v>14006</v>
      </c>
      <c r="P190" s="127" t="s">
        <v>14316</v>
      </c>
      <c r="Q190" s="127" t="s">
        <v>14626</v>
      </c>
    </row>
    <row r="191" spans="1:17" x14ac:dyDescent="0.35">
      <c r="A191" s="127" t="s">
        <v>6063</v>
      </c>
      <c r="C191" s="127" t="s">
        <v>20345</v>
      </c>
      <c r="D191" s="127" t="s">
        <v>13077</v>
      </c>
      <c r="I191" s="127" t="s">
        <v>10910</v>
      </c>
      <c r="J191" s="127" t="s">
        <v>13387</v>
      </c>
      <c r="K191" s="127" t="s">
        <v>10911</v>
      </c>
      <c r="L191" s="127" t="s">
        <v>13697</v>
      </c>
      <c r="M191" s="127" t="s">
        <v>10912</v>
      </c>
      <c r="N191" s="127" t="s">
        <v>10913</v>
      </c>
      <c r="O191" s="127" t="s">
        <v>14007</v>
      </c>
      <c r="P191" s="127" t="s">
        <v>14317</v>
      </c>
      <c r="Q191" s="127" t="s">
        <v>14627</v>
      </c>
    </row>
    <row r="192" spans="1:17" x14ac:dyDescent="0.35">
      <c r="A192" s="127" t="s">
        <v>6063</v>
      </c>
      <c r="C192" s="127" t="s">
        <v>20346</v>
      </c>
      <c r="D192" s="127" t="s">
        <v>13078</v>
      </c>
      <c r="I192" s="127" t="s">
        <v>10915</v>
      </c>
      <c r="J192" s="127" t="s">
        <v>13388</v>
      </c>
      <c r="K192" s="127" t="s">
        <v>10916</v>
      </c>
      <c r="L192" s="127" t="s">
        <v>13698</v>
      </c>
      <c r="M192" s="127" t="s">
        <v>10917</v>
      </c>
      <c r="N192" s="127" t="s">
        <v>10918</v>
      </c>
      <c r="O192" s="127" t="s">
        <v>14008</v>
      </c>
      <c r="P192" s="127" t="s">
        <v>14318</v>
      </c>
      <c r="Q192" s="127" t="s">
        <v>14628</v>
      </c>
    </row>
    <row r="193" spans="1:17" x14ac:dyDescent="0.35">
      <c r="A193" s="127" t="s">
        <v>6063</v>
      </c>
      <c r="C193" s="127" t="s">
        <v>20347</v>
      </c>
      <c r="D193" s="127" t="s">
        <v>13079</v>
      </c>
      <c r="I193" s="127" t="s">
        <v>10920</v>
      </c>
      <c r="J193" s="127" t="s">
        <v>13389</v>
      </c>
      <c r="K193" s="127" t="s">
        <v>10921</v>
      </c>
      <c r="L193" s="127" t="s">
        <v>13699</v>
      </c>
      <c r="M193" s="127" t="s">
        <v>10922</v>
      </c>
      <c r="N193" s="127" t="s">
        <v>10923</v>
      </c>
      <c r="O193" s="127" t="s">
        <v>14009</v>
      </c>
      <c r="P193" s="127" t="s">
        <v>14319</v>
      </c>
      <c r="Q193" s="127" t="s">
        <v>14629</v>
      </c>
    </row>
    <row r="194" spans="1:17" x14ac:dyDescent="0.35">
      <c r="A194" s="127" t="s">
        <v>6063</v>
      </c>
      <c r="C194" s="127" t="s">
        <v>20348</v>
      </c>
      <c r="D194" s="127" t="s">
        <v>13080</v>
      </c>
      <c r="I194" s="127" t="s">
        <v>10925</v>
      </c>
      <c r="J194" s="127" t="s">
        <v>13390</v>
      </c>
      <c r="K194" s="127" t="s">
        <v>10926</v>
      </c>
      <c r="L194" s="127" t="s">
        <v>13700</v>
      </c>
      <c r="M194" s="127" t="s">
        <v>10927</v>
      </c>
      <c r="N194" s="127" t="s">
        <v>10928</v>
      </c>
      <c r="O194" s="127" t="s">
        <v>14010</v>
      </c>
      <c r="P194" s="127" t="s">
        <v>14320</v>
      </c>
      <c r="Q194" s="127" t="s">
        <v>14630</v>
      </c>
    </row>
    <row r="195" spans="1:17" x14ac:dyDescent="0.35">
      <c r="A195" s="127" t="s">
        <v>6063</v>
      </c>
      <c r="C195" s="127" t="s">
        <v>20349</v>
      </c>
      <c r="D195" s="127" t="s">
        <v>13081</v>
      </c>
      <c r="I195" s="127" t="s">
        <v>10930</v>
      </c>
      <c r="J195" s="127" t="s">
        <v>13391</v>
      </c>
      <c r="K195" s="127" t="s">
        <v>10931</v>
      </c>
      <c r="L195" s="127" t="s">
        <v>13701</v>
      </c>
      <c r="M195" s="127" t="s">
        <v>10932</v>
      </c>
      <c r="N195" s="127" t="s">
        <v>10933</v>
      </c>
      <c r="O195" s="127" t="s">
        <v>14011</v>
      </c>
      <c r="P195" s="127" t="s">
        <v>14321</v>
      </c>
      <c r="Q195" s="127" t="s">
        <v>14631</v>
      </c>
    </row>
    <row r="196" spans="1:17" x14ac:dyDescent="0.35">
      <c r="A196" s="127" t="s">
        <v>6063</v>
      </c>
      <c r="C196" s="127" t="s">
        <v>20350</v>
      </c>
      <c r="D196" s="127" t="s">
        <v>13082</v>
      </c>
      <c r="I196" s="127" t="s">
        <v>10935</v>
      </c>
      <c r="J196" s="127" t="s">
        <v>13392</v>
      </c>
      <c r="K196" s="127" t="s">
        <v>10936</v>
      </c>
      <c r="L196" s="127" t="s">
        <v>13702</v>
      </c>
      <c r="M196" s="127" t="s">
        <v>10937</v>
      </c>
      <c r="N196" s="127" t="s">
        <v>10938</v>
      </c>
      <c r="O196" s="127" t="s">
        <v>14012</v>
      </c>
      <c r="P196" s="127" t="s">
        <v>14322</v>
      </c>
      <c r="Q196" s="127" t="s">
        <v>14632</v>
      </c>
    </row>
    <row r="197" spans="1:17" x14ac:dyDescent="0.35">
      <c r="A197" s="127" t="s">
        <v>6063</v>
      </c>
      <c r="C197" s="127" t="s">
        <v>20351</v>
      </c>
      <c r="D197" s="127" t="s">
        <v>13083</v>
      </c>
      <c r="I197" s="127" t="s">
        <v>10940</v>
      </c>
      <c r="J197" s="127" t="s">
        <v>13393</v>
      </c>
      <c r="K197" s="127" t="s">
        <v>10941</v>
      </c>
      <c r="L197" s="127" t="s">
        <v>13703</v>
      </c>
      <c r="M197" s="127" t="s">
        <v>10942</v>
      </c>
      <c r="N197" s="127" t="s">
        <v>10943</v>
      </c>
      <c r="O197" s="127" t="s">
        <v>14013</v>
      </c>
      <c r="P197" s="127" t="s">
        <v>14323</v>
      </c>
      <c r="Q197" s="127" t="s">
        <v>14633</v>
      </c>
    </row>
    <row r="198" spans="1:17" x14ac:dyDescent="0.35">
      <c r="A198" s="127" t="s">
        <v>6063</v>
      </c>
      <c r="C198" s="127" t="s">
        <v>20352</v>
      </c>
      <c r="D198" s="127" t="s">
        <v>13084</v>
      </c>
      <c r="I198" s="127" t="s">
        <v>10945</v>
      </c>
      <c r="J198" s="127" t="s">
        <v>13394</v>
      </c>
      <c r="K198" s="127" t="s">
        <v>10946</v>
      </c>
      <c r="L198" s="127" t="s">
        <v>13704</v>
      </c>
      <c r="M198" s="127" t="s">
        <v>10947</v>
      </c>
      <c r="N198" s="127" t="s">
        <v>10948</v>
      </c>
      <c r="O198" s="127" t="s">
        <v>14014</v>
      </c>
      <c r="P198" s="127" t="s">
        <v>14324</v>
      </c>
      <c r="Q198" s="127" t="s">
        <v>14634</v>
      </c>
    </row>
    <row r="199" spans="1:17" x14ac:dyDescent="0.35">
      <c r="A199" s="127" t="s">
        <v>6063</v>
      </c>
      <c r="C199" s="127" t="s">
        <v>20353</v>
      </c>
      <c r="D199" s="127" t="s">
        <v>13085</v>
      </c>
      <c r="I199" s="127" t="s">
        <v>10950</v>
      </c>
      <c r="J199" s="127" t="s">
        <v>13395</v>
      </c>
      <c r="K199" s="127" t="s">
        <v>10951</v>
      </c>
      <c r="L199" s="127" t="s">
        <v>13705</v>
      </c>
      <c r="M199" s="127" t="s">
        <v>10952</v>
      </c>
      <c r="N199" s="127" t="s">
        <v>10953</v>
      </c>
      <c r="O199" s="127" t="s">
        <v>14015</v>
      </c>
      <c r="P199" s="127" t="s">
        <v>14325</v>
      </c>
      <c r="Q199" s="127" t="s">
        <v>14635</v>
      </c>
    </row>
    <row r="200" spans="1:17" x14ac:dyDescent="0.35">
      <c r="A200" s="127" t="s">
        <v>6063</v>
      </c>
      <c r="C200" s="127" t="s">
        <v>20354</v>
      </c>
      <c r="D200" s="127" t="s">
        <v>13086</v>
      </c>
      <c r="I200" s="127" t="s">
        <v>10955</v>
      </c>
      <c r="J200" s="127" t="s">
        <v>13396</v>
      </c>
      <c r="K200" s="127" t="s">
        <v>10956</v>
      </c>
      <c r="L200" s="127" t="s">
        <v>13706</v>
      </c>
      <c r="M200" s="127" t="s">
        <v>10957</v>
      </c>
      <c r="N200" s="127" t="s">
        <v>10958</v>
      </c>
      <c r="O200" s="127" t="s">
        <v>14016</v>
      </c>
      <c r="P200" s="127" t="s">
        <v>14326</v>
      </c>
      <c r="Q200" s="127" t="s">
        <v>14636</v>
      </c>
    </row>
    <row r="201" spans="1:17" x14ac:dyDescent="0.35">
      <c r="A201" s="127" t="s">
        <v>6063</v>
      </c>
      <c r="C201" s="127" t="s">
        <v>20355</v>
      </c>
      <c r="D201" s="127" t="s">
        <v>13087</v>
      </c>
      <c r="I201" s="127" t="s">
        <v>10960</v>
      </c>
      <c r="J201" s="127" t="s">
        <v>13397</v>
      </c>
      <c r="K201" s="127" t="s">
        <v>10961</v>
      </c>
      <c r="L201" s="127" t="s">
        <v>13707</v>
      </c>
      <c r="M201" s="127" t="s">
        <v>10962</v>
      </c>
      <c r="N201" s="127" t="s">
        <v>10963</v>
      </c>
      <c r="O201" s="127" t="s">
        <v>14017</v>
      </c>
      <c r="P201" s="127" t="s">
        <v>14327</v>
      </c>
      <c r="Q201" s="127" t="s">
        <v>14637</v>
      </c>
    </row>
    <row r="202" spans="1:17" x14ac:dyDescent="0.35">
      <c r="A202" s="127" t="s">
        <v>6063</v>
      </c>
      <c r="C202" s="127" t="s">
        <v>20356</v>
      </c>
      <c r="D202" s="127" t="s">
        <v>13088</v>
      </c>
      <c r="I202" s="127" t="s">
        <v>10965</v>
      </c>
      <c r="J202" s="127" t="s">
        <v>13398</v>
      </c>
      <c r="K202" s="127" t="s">
        <v>10966</v>
      </c>
      <c r="L202" s="127" t="s">
        <v>13708</v>
      </c>
      <c r="M202" s="127" t="s">
        <v>10967</v>
      </c>
      <c r="N202" s="127" t="s">
        <v>10968</v>
      </c>
      <c r="O202" s="127" t="s">
        <v>14018</v>
      </c>
      <c r="P202" s="127" t="s">
        <v>14328</v>
      </c>
      <c r="Q202" s="127" t="s">
        <v>14638</v>
      </c>
    </row>
    <row r="203" spans="1:17" x14ac:dyDescent="0.35">
      <c r="A203" s="127" t="s">
        <v>6063</v>
      </c>
      <c r="C203" s="127" t="s">
        <v>20357</v>
      </c>
      <c r="D203" s="127" t="s">
        <v>13089</v>
      </c>
      <c r="I203" s="127" t="s">
        <v>10970</v>
      </c>
      <c r="J203" s="127" t="s">
        <v>13399</v>
      </c>
      <c r="K203" s="127" t="s">
        <v>10971</v>
      </c>
      <c r="L203" s="127" t="s">
        <v>13709</v>
      </c>
      <c r="M203" s="127" t="s">
        <v>10972</v>
      </c>
      <c r="N203" s="127" t="s">
        <v>10973</v>
      </c>
      <c r="O203" s="127" t="s">
        <v>14019</v>
      </c>
      <c r="P203" s="127" t="s">
        <v>14329</v>
      </c>
      <c r="Q203" s="127" t="s">
        <v>14639</v>
      </c>
    </row>
    <row r="204" spans="1:17" x14ac:dyDescent="0.35">
      <c r="A204" s="127" t="s">
        <v>6063</v>
      </c>
      <c r="C204" s="127" t="s">
        <v>20358</v>
      </c>
      <c r="D204" s="127" t="s">
        <v>13090</v>
      </c>
      <c r="I204" s="127" t="s">
        <v>10975</v>
      </c>
      <c r="J204" s="127" t="s">
        <v>13400</v>
      </c>
      <c r="K204" s="127" t="s">
        <v>10976</v>
      </c>
      <c r="L204" s="127" t="s">
        <v>13710</v>
      </c>
      <c r="M204" s="127" t="s">
        <v>10977</v>
      </c>
      <c r="N204" s="127" t="s">
        <v>10978</v>
      </c>
      <c r="O204" s="127" t="s">
        <v>14020</v>
      </c>
      <c r="P204" s="127" t="s">
        <v>14330</v>
      </c>
      <c r="Q204" s="127" t="s">
        <v>14640</v>
      </c>
    </row>
    <row r="205" spans="1:17" x14ac:dyDescent="0.35">
      <c r="A205" s="127" t="s">
        <v>6063</v>
      </c>
      <c r="C205" s="127" t="s">
        <v>20359</v>
      </c>
      <c r="D205" s="127" t="s">
        <v>13091</v>
      </c>
      <c r="I205" s="127" t="s">
        <v>10980</v>
      </c>
      <c r="J205" s="127" t="s">
        <v>13401</v>
      </c>
      <c r="K205" s="127" t="s">
        <v>10981</v>
      </c>
      <c r="L205" s="127" t="s">
        <v>13711</v>
      </c>
      <c r="M205" s="127" t="s">
        <v>10982</v>
      </c>
      <c r="N205" s="127" t="s">
        <v>10983</v>
      </c>
      <c r="O205" s="127" t="s">
        <v>14021</v>
      </c>
      <c r="P205" s="127" t="s">
        <v>14331</v>
      </c>
      <c r="Q205" s="127" t="s">
        <v>14641</v>
      </c>
    </row>
    <row r="206" spans="1:17" x14ac:dyDescent="0.35">
      <c r="A206" s="127" t="s">
        <v>6063</v>
      </c>
      <c r="C206" s="127" t="s">
        <v>20360</v>
      </c>
      <c r="D206" s="127" t="s">
        <v>13092</v>
      </c>
      <c r="I206" s="127" t="s">
        <v>10985</v>
      </c>
      <c r="J206" s="127" t="s">
        <v>13402</v>
      </c>
      <c r="K206" s="127" t="s">
        <v>10986</v>
      </c>
      <c r="L206" s="127" t="s">
        <v>13712</v>
      </c>
      <c r="M206" s="127" t="s">
        <v>10987</v>
      </c>
      <c r="N206" s="127" t="s">
        <v>10988</v>
      </c>
      <c r="O206" s="127" t="s">
        <v>14022</v>
      </c>
      <c r="P206" s="127" t="s">
        <v>14332</v>
      </c>
      <c r="Q206" s="127" t="s">
        <v>14642</v>
      </c>
    </row>
    <row r="207" spans="1:17" x14ac:dyDescent="0.35">
      <c r="A207" s="127" t="s">
        <v>6063</v>
      </c>
      <c r="C207" s="127" t="s">
        <v>20361</v>
      </c>
      <c r="D207" s="127" t="s">
        <v>13093</v>
      </c>
      <c r="I207" s="127" t="s">
        <v>10990</v>
      </c>
      <c r="J207" s="127" t="s">
        <v>13403</v>
      </c>
      <c r="K207" s="127" t="s">
        <v>10991</v>
      </c>
      <c r="L207" s="127" t="s">
        <v>13713</v>
      </c>
      <c r="M207" s="127" t="s">
        <v>10992</v>
      </c>
      <c r="N207" s="127" t="s">
        <v>10993</v>
      </c>
      <c r="O207" s="127" t="s">
        <v>14023</v>
      </c>
      <c r="P207" s="127" t="s">
        <v>14333</v>
      </c>
      <c r="Q207" s="127" t="s">
        <v>14643</v>
      </c>
    </row>
    <row r="208" spans="1:17" x14ac:dyDescent="0.35">
      <c r="A208" s="127" t="s">
        <v>6063</v>
      </c>
      <c r="C208" s="127" t="s">
        <v>20362</v>
      </c>
      <c r="D208" s="127" t="s">
        <v>13094</v>
      </c>
      <c r="I208" s="127" t="s">
        <v>10995</v>
      </c>
      <c r="J208" s="127" t="s">
        <v>13404</v>
      </c>
      <c r="K208" s="127" t="s">
        <v>10996</v>
      </c>
      <c r="L208" s="127" t="s">
        <v>13714</v>
      </c>
      <c r="M208" s="127" t="s">
        <v>10997</v>
      </c>
      <c r="N208" s="127" t="s">
        <v>10998</v>
      </c>
      <c r="O208" s="127" t="s">
        <v>14024</v>
      </c>
      <c r="P208" s="127" t="s">
        <v>14334</v>
      </c>
      <c r="Q208" s="127" t="s">
        <v>14644</v>
      </c>
    </row>
    <row r="209" spans="1:17" x14ac:dyDescent="0.35">
      <c r="A209" s="127" t="s">
        <v>6063</v>
      </c>
      <c r="C209" s="127" t="s">
        <v>20363</v>
      </c>
      <c r="D209" s="127" t="s">
        <v>13095</v>
      </c>
      <c r="I209" s="127" t="s">
        <v>11000</v>
      </c>
      <c r="J209" s="127" t="s">
        <v>13405</v>
      </c>
      <c r="K209" s="127" t="s">
        <v>11001</v>
      </c>
      <c r="L209" s="127" t="s">
        <v>13715</v>
      </c>
      <c r="M209" s="127" t="s">
        <v>11002</v>
      </c>
      <c r="N209" s="127" t="s">
        <v>11003</v>
      </c>
      <c r="O209" s="127" t="s">
        <v>14025</v>
      </c>
      <c r="P209" s="127" t="s">
        <v>14335</v>
      </c>
      <c r="Q209" s="127" t="s">
        <v>14645</v>
      </c>
    </row>
    <row r="210" spans="1:17" x14ac:dyDescent="0.35">
      <c r="A210" s="127" t="s">
        <v>6063</v>
      </c>
      <c r="C210" s="127" t="s">
        <v>20364</v>
      </c>
      <c r="D210" s="127" t="s">
        <v>13096</v>
      </c>
      <c r="I210" s="127" t="s">
        <v>11005</v>
      </c>
      <c r="J210" s="127" t="s">
        <v>13406</v>
      </c>
      <c r="K210" s="127" t="s">
        <v>11006</v>
      </c>
      <c r="L210" s="127" t="s">
        <v>13716</v>
      </c>
      <c r="M210" s="127" t="s">
        <v>11007</v>
      </c>
      <c r="N210" s="127" t="s">
        <v>11008</v>
      </c>
      <c r="O210" s="127" t="s">
        <v>14026</v>
      </c>
      <c r="P210" s="127" t="s">
        <v>14336</v>
      </c>
      <c r="Q210" s="127" t="s">
        <v>14646</v>
      </c>
    </row>
    <row r="211" spans="1:17" x14ac:dyDescent="0.35">
      <c r="A211" s="127" t="s">
        <v>6063</v>
      </c>
      <c r="C211" s="127" t="s">
        <v>20365</v>
      </c>
      <c r="D211" s="127" t="s">
        <v>13097</v>
      </c>
      <c r="I211" s="127" t="s">
        <v>11010</v>
      </c>
      <c r="J211" s="127" t="s">
        <v>13407</v>
      </c>
      <c r="K211" s="127" t="s">
        <v>11011</v>
      </c>
      <c r="L211" s="127" t="s">
        <v>13717</v>
      </c>
      <c r="M211" s="127" t="s">
        <v>11012</v>
      </c>
      <c r="N211" s="127" t="s">
        <v>11013</v>
      </c>
      <c r="O211" s="127" t="s">
        <v>14027</v>
      </c>
      <c r="P211" s="127" t="s">
        <v>14337</v>
      </c>
      <c r="Q211" s="127" t="s">
        <v>14647</v>
      </c>
    </row>
    <row r="212" spans="1:17" x14ac:dyDescent="0.35">
      <c r="A212" s="127" t="s">
        <v>6063</v>
      </c>
      <c r="C212" s="127" t="s">
        <v>20366</v>
      </c>
      <c r="D212" s="127" t="s">
        <v>13098</v>
      </c>
      <c r="I212" s="127" t="s">
        <v>11015</v>
      </c>
      <c r="J212" s="127" t="s">
        <v>13408</v>
      </c>
      <c r="K212" s="127" t="s">
        <v>11016</v>
      </c>
      <c r="L212" s="127" t="s">
        <v>13718</v>
      </c>
      <c r="M212" s="127" t="s">
        <v>11017</v>
      </c>
      <c r="N212" s="127" t="s">
        <v>11018</v>
      </c>
      <c r="O212" s="127" t="s">
        <v>14028</v>
      </c>
      <c r="P212" s="127" t="s">
        <v>14338</v>
      </c>
      <c r="Q212" s="127" t="s">
        <v>14648</v>
      </c>
    </row>
    <row r="213" spans="1:17" x14ac:dyDescent="0.35">
      <c r="A213" s="127" t="s">
        <v>6063</v>
      </c>
      <c r="C213" s="127" t="s">
        <v>20367</v>
      </c>
      <c r="D213" s="127" t="s">
        <v>13099</v>
      </c>
      <c r="I213" s="127" t="s">
        <v>11020</v>
      </c>
      <c r="J213" s="127" t="s">
        <v>13409</v>
      </c>
      <c r="K213" s="127" t="s">
        <v>11021</v>
      </c>
      <c r="L213" s="127" t="s">
        <v>13719</v>
      </c>
      <c r="M213" s="127" t="s">
        <v>11022</v>
      </c>
      <c r="N213" s="127" t="s">
        <v>11023</v>
      </c>
      <c r="O213" s="127" t="s">
        <v>14029</v>
      </c>
      <c r="P213" s="127" t="s">
        <v>14339</v>
      </c>
      <c r="Q213" s="127" t="s">
        <v>14649</v>
      </c>
    </row>
    <row r="214" spans="1:17" x14ac:dyDescent="0.35">
      <c r="A214" s="127" t="s">
        <v>6063</v>
      </c>
      <c r="C214" s="127" t="s">
        <v>20368</v>
      </c>
      <c r="D214" s="127" t="s">
        <v>13100</v>
      </c>
      <c r="I214" s="127" t="s">
        <v>11025</v>
      </c>
      <c r="J214" s="127" t="s">
        <v>13410</v>
      </c>
      <c r="K214" s="127" t="s">
        <v>11026</v>
      </c>
      <c r="L214" s="127" t="s">
        <v>13720</v>
      </c>
      <c r="M214" s="127" t="s">
        <v>11027</v>
      </c>
      <c r="N214" s="127" t="s">
        <v>11028</v>
      </c>
      <c r="O214" s="127" t="s">
        <v>14030</v>
      </c>
      <c r="P214" s="127" t="s">
        <v>14340</v>
      </c>
      <c r="Q214" s="127" t="s">
        <v>14650</v>
      </c>
    </row>
    <row r="215" spans="1:17" x14ac:dyDescent="0.35">
      <c r="A215" s="127" t="s">
        <v>6063</v>
      </c>
      <c r="C215" s="127" t="s">
        <v>20369</v>
      </c>
      <c r="D215" s="127" t="s">
        <v>13101</v>
      </c>
      <c r="I215" s="127" t="s">
        <v>11030</v>
      </c>
      <c r="J215" s="127" t="s">
        <v>13411</v>
      </c>
      <c r="K215" s="127" t="s">
        <v>11031</v>
      </c>
      <c r="L215" s="127" t="s">
        <v>13721</v>
      </c>
      <c r="M215" s="127" t="s">
        <v>11032</v>
      </c>
      <c r="N215" s="127" t="s">
        <v>11033</v>
      </c>
      <c r="O215" s="127" t="s">
        <v>14031</v>
      </c>
      <c r="P215" s="127" t="s">
        <v>14341</v>
      </c>
      <c r="Q215" s="127" t="s">
        <v>14651</v>
      </c>
    </row>
    <row r="216" spans="1:17" x14ac:dyDescent="0.35">
      <c r="A216" s="127" t="s">
        <v>6063</v>
      </c>
      <c r="C216" s="127" t="s">
        <v>20370</v>
      </c>
      <c r="D216" s="127" t="s">
        <v>13102</v>
      </c>
      <c r="I216" s="127" t="s">
        <v>11035</v>
      </c>
      <c r="J216" s="127" t="s">
        <v>13412</v>
      </c>
      <c r="K216" s="127" t="s">
        <v>11036</v>
      </c>
      <c r="L216" s="127" t="s">
        <v>13722</v>
      </c>
      <c r="M216" s="127" t="s">
        <v>11037</v>
      </c>
      <c r="N216" s="127" t="s">
        <v>11038</v>
      </c>
      <c r="O216" s="127" t="s">
        <v>14032</v>
      </c>
      <c r="P216" s="127" t="s">
        <v>14342</v>
      </c>
      <c r="Q216" s="127" t="s">
        <v>14652</v>
      </c>
    </row>
    <row r="217" spans="1:17" x14ac:dyDescent="0.35">
      <c r="A217" s="127" t="s">
        <v>6063</v>
      </c>
      <c r="C217" s="127" t="s">
        <v>20371</v>
      </c>
      <c r="D217" s="127" t="s">
        <v>13103</v>
      </c>
      <c r="I217" s="127" t="s">
        <v>11040</v>
      </c>
      <c r="J217" s="127" t="s">
        <v>13413</v>
      </c>
      <c r="K217" s="127" t="s">
        <v>11041</v>
      </c>
      <c r="L217" s="127" t="s">
        <v>13723</v>
      </c>
      <c r="M217" s="127" t="s">
        <v>11042</v>
      </c>
      <c r="N217" s="127" t="s">
        <v>11043</v>
      </c>
      <c r="O217" s="127" t="s">
        <v>14033</v>
      </c>
      <c r="P217" s="127" t="s">
        <v>14343</v>
      </c>
      <c r="Q217" s="127" t="s">
        <v>14653</v>
      </c>
    </row>
    <row r="218" spans="1:17" x14ac:dyDescent="0.35">
      <c r="A218" s="127" t="s">
        <v>6063</v>
      </c>
      <c r="C218" s="127" t="s">
        <v>20372</v>
      </c>
      <c r="D218" s="127" t="s">
        <v>13104</v>
      </c>
      <c r="I218" s="127" t="s">
        <v>11045</v>
      </c>
      <c r="J218" s="127" t="s">
        <v>13414</v>
      </c>
      <c r="K218" s="127" t="s">
        <v>11046</v>
      </c>
      <c r="L218" s="127" t="s">
        <v>13724</v>
      </c>
      <c r="M218" s="127" t="s">
        <v>11047</v>
      </c>
      <c r="N218" s="127" t="s">
        <v>11048</v>
      </c>
      <c r="O218" s="127" t="s">
        <v>14034</v>
      </c>
      <c r="P218" s="127" t="s">
        <v>14344</v>
      </c>
      <c r="Q218" s="127" t="s">
        <v>14654</v>
      </c>
    </row>
    <row r="219" spans="1:17" x14ac:dyDescent="0.35">
      <c r="A219" s="127" t="s">
        <v>6063</v>
      </c>
      <c r="C219" s="127" t="s">
        <v>20373</v>
      </c>
      <c r="D219" s="127" t="s">
        <v>13105</v>
      </c>
      <c r="I219" s="127" t="s">
        <v>11050</v>
      </c>
      <c r="J219" s="127" t="s">
        <v>13415</v>
      </c>
      <c r="K219" s="127" t="s">
        <v>11051</v>
      </c>
      <c r="L219" s="127" t="s">
        <v>13725</v>
      </c>
      <c r="M219" s="127" t="s">
        <v>11052</v>
      </c>
      <c r="N219" s="127" t="s">
        <v>11053</v>
      </c>
      <c r="O219" s="127" t="s">
        <v>14035</v>
      </c>
      <c r="P219" s="127" t="s">
        <v>14345</v>
      </c>
      <c r="Q219" s="127" t="s">
        <v>14655</v>
      </c>
    </row>
    <row r="220" spans="1:17" x14ac:dyDescent="0.35">
      <c r="A220" s="127" t="s">
        <v>6063</v>
      </c>
      <c r="C220" s="127" t="s">
        <v>20374</v>
      </c>
      <c r="D220" s="127" t="s">
        <v>13106</v>
      </c>
      <c r="I220" s="127" t="s">
        <v>11055</v>
      </c>
      <c r="J220" s="127" t="s">
        <v>13416</v>
      </c>
      <c r="K220" s="127" t="s">
        <v>11056</v>
      </c>
      <c r="L220" s="127" t="s">
        <v>13726</v>
      </c>
      <c r="M220" s="127" t="s">
        <v>11057</v>
      </c>
      <c r="N220" s="127" t="s">
        <v>11058</v>
      </c>
      <c r="O220" s="127" t="s">
        <v>14036</v>
      </c>
      <c r="P220" s="127" t="s">
        <v>14346</v>
      </c>
      <c r="Q220" s="127" t="s">
        <v>14656</v>
      </c>
    </row>
    <row r="221" spans="1:17" x14ac:dyDescent="0.35">
      <c r="A221" s="127" t="s">
        <v>6063</v>
      </c>
      <c r="C221" s="127" t="s">
        <v>20375</v>
      </c>
      <c r="D221" s="127" t="s">
        <v>13107</v>
      </c>
      <c r="I221" s="127" t="s">
        <v>11060</v>
      </c>
      <c r="J221" s="127" t="s">
        <v>13417</v>
      </c>
      <c r="K221" s="127" t="s">
        <v>11061</v>
      </c>
      <c r="L221" s="127" t="s">
        <v>13727</v>
      </c>
      <c r="M221" s="127" t="s">
        <v>11062</v>
      </c>
      <c r="N221" s="127" t="s">
        <v>11063</v>
      </c>
      <c r="O221" s="127" t="s">
        <v>14037</v>
      </c>
      <c r="P221" s="127" t="s">
        <v>14347</v>
      </c>
      <c r="Q221" s="127" t="s">
        <v>14657</v>
      </c>
    </row>
    <row r="222" spans="1:17" x14ac:dyDescent="0.35">
      <c r="A222" s="127" t="s">
        <v>6063</v>
      </c>
      <c r="C222" s="127" t="s">
        <v>20376</v>
      </c>
      <c r="D222" s="127" t="s">
        <v>13108</v>
      </c>
      <c r="I222" s="127" t="s">
        <v>11065</v>
      </c>
      <c r="J222" s="127" t="s">
        <v>13418</v>
      </c>
      <c r="K222" s="127" t="s">
        <v>11066</v>
      </c>
      <c r="L222" s="127" t="s">
        <v>13728</v>
      </c>
      <c r="M222" s="127" t="s">
        <v>11067</v>
      </c>
      <c r="N222" s="127" t="s">
        <v>11068</v>
      </c>
      <c r="O222" s="127" t="s">
        <v>14038</v>
      </c>
      <c r="P222" s="127" t="s">
        <v>14348</v>
      </c>
      <c r="Q222" s="127" t="s">
        <v>14658</v>
      </c>
    </row>
    <row r="223" spans="1:17" x14ac:dyDescent="0.35">
      <c r="A223" s="127" t="s">
        <v>6063</v>
      </c>
      <c r="C223" s="127" t="s">
        <v>20377</v>
      </c>
      <c r="D223" s="127" t="s">
        <v>13109</v>
      </c>
      <c r="I223" s="127" t="s">
        <v>11070</v>
      </c>
      <c r="J223" s="127" t="s">
        <v>13419</v>
      </c>
      <c r="K223" s="127" t="s">
        <v>11071</v>
      </c>
      <c r="L223" s="127" t="s">
        <v>13729</v>
      </c>
      <c r="M223" s="127" t="s">
        <v>11072</v>
      </c>
      <c r="N223" s="127" t="s">
        <v>11073</v>
      </c>
      <c r="O223" s="127" t="s">
        <v>14039</v>
      </c>
      <c r="P223" s="127" t="s">
        <v>14349</v>
      </c>
      <c r="Q223" s="127" t="s">
        <v>14659</v>
      </c>
    </row>
    <row r="224" spans="1:17" x14ac:dyDescent="0.35">
      <c r="A224" s="127" t="s">
        <v>6063</v>
      </c>
      <c r="C224" s="127" t="s">
        <v>20378</v>
      </c>
      <c r="D224" s="127" t="s">
        <v>13110</v>
      </c>
      <c r="I224" s="127" t="s">
        <v>11075</v>
      </c>
      <c r="J224" s="127" t="s">
        <v>13420</v>
      </c>
      <c r="K224" s="127" t="s">
        <v>11076</v>
      </c>
      <c r="L224" s="127" t="s">
        <v>13730</v>
      </c>
      <c r="M224" s="127" t="s">
        <v>11077</v>
      </c>
      <c r="N224" s="127" t="s">
        <v>11078</v>
      </c>
      <c r="O224" s="127" t="s">
        <v>14040</v>
      </c>
      <c r="P224" s="127" t="s">
        <v>14350</v>
      </c>
      <c r="Q224" s="127" t="s">
        <v>14660</v>
      </c>
    </row>
    <row r="225" spans="1:17" x14ac:dyDescent="0.35">
      <c r="A225" s="127" t="s">
        <v>6063</v>
      </c>
      <c r="C225" s="127" t="s">
        <v>20379</v>
      </c>
      <c r="D225" s="127" t="s">
        <v>13111</v>
      </c>
      <c r="I225" s="127" t="s">
        <v>11080</v>
      </c>
      <c r="J225" s="127" t="s">
        <v>13421</v>
      </c>
      <c r="K225" s="127" t="s">
        <v>11081</v>
      </c>
      <c r="L225" s="127" t="s">
        <v>13731</v>
      </c>
      <c r="M225" s="127" t="s">
        <v>11082</v>
      </c>
      <c r="N225" s="127" t="s">
        <v>11083</v>
      </c>
      <c r="O225" s="127" t="s">
        <v>14041</v>
      </c>
      <c r="P225" s="127" t="s">
        <v>14351</v>
      </c>
      <c r="Q225" s="127" t="s">
        <v>14661</v>
      </c>
    </row>
    <row r="226" spans="1:17" x14ac:dyDescent="0.35">
      <c r="A226" s="127" t="s">
        <v>6063</v>
      </c>
      <c r="C226" s="127" t="s">
        <v>20380</v>
      </c>
      <c r="D226" s="127" t="s">
        <v>13112</v>
      </c>
      <c r="I226" s="127" t="s">
        <v>11085</v>
      </c>
      <c r="J226" s="127" t="s">
        <v>13422</v>
      </c>
      <c r="K226" s="127" t="s">
        <v>11086</v>
      </c>
      <c r="L226" s="127" t="s">
        <v>13732</v>
      </c>
      <c r="M226" s="127" t="s">
        <v>11087</v>
      </c>
      <c r="N226" s="127" t="s">
        <v>11088</v>
      </c>
      <c r="O226" s="127" t="s">
        <v>14042</v>
      </c>
      <c r="P226" s="127" t="s">
        <v>14352</v>
      </c>
      <c r="Q226" s="127" t="s">
        <v>14662</v>
      </c>
    </row>
    <row r="227" spans="1:17" x14ac:dyDescent="0.35">
      <c r="A227" s="127" t="s">
        <v>6063</v>
      </c>
      <c r="C227" s="127" t="s">
        <v>20381</v>
      </c>
      <c r="D227" s="127" t="s">
        <v>13113</v>
      </c>
      <c r="I227" s="127" t="s">
        <v>11090</v>
      </c>
      <c r="J227" s="127" t="s">
        <v>13423</v>
      </c>
      <c r="K227" s="127" t="s">
        <v>11091</v>
      </c>
      <c r="L227" s="127" t="s">
        <v>13733</v>
      </c>
      <c r="M227" s="127" t="s">
        <v>11092</v>
      </c>
      <c r="N227" s="127" t="s">
        <v>11093</v>
      </c>
      <c r="O227" s="127" t="s">
        <v>14043</v>
      </c>
      <c r="P227" s="127" t="s">
        <v>14353</v>
      </c>
      <c r="Q227" s="127" t="s">
        <v>14663</v>
      </c>
    </row>
    <row r="228" spans="1:17" x14ac:dyDescent="0.35">
      <c r="A228" s="127" t="s">
        <v>6063</v>
      </c>
      <c r="C228" s="127" t="s">
        <v>20382</v>
      </c>
      <c r="D228" s="127" t="s">
        <v>13114</v>
      </c>
      <c r="I228" s="127" t="s">
        <v>11095</v>
      </c>
      <c r="J228" s="127" t="s">
        <v>13424</v>
      </c>
      <c r="K228" s="127" t="s">
        <v>11096</v>
      </c>
      <c r="L228" s="127" t="s">
        <v>13734</v>
      </c>
      <c r="M228" s="127" t="s">
        <v>11097</v>
      </c>
      <c r="N228" s="127" t="s">
        <v>11098</v>
      </c>
      <c r="O228" s="127" t="s">
        <v>14044</v>
      </c>
      <c r="P228" s="127" t="s">
        <v>14354</v>
      </c>
      <c r="Q228" s="127" t="s">
        <v>14664</v>
      </c>
    </row>
    <row r="229" spans="1:17" x14ac:dyDescent="0.35">
      <c r="A229" s="127" t="s">
        <v>6063</v>
      </c>
      <c r="C229" s="127" t="s">
        <v>20383</v>
      </c>
      <c r="D229" s="127" t="s">
        <v>13115</v>
      </c>
      <c r="I229" s="127" t="s">
        <v>11100</v>
      </c>
      <c r="J229" s="127" t="s">
        <v>13425</v>
      </c>
      <c r="K229" s="127" t="s">
        <v>11101</v>
      </c>
      <c r="L229" s="127" t="s">
        <v>13735</v>
      </c>
      <c r="M229" s="127" t="s">
        <v>11102</v>
      </c>
      <c r="N229" s="127" t="s">
        <v>11103</v>
      </c>
      <c r="O229" s="127" t="s">
        <v>14045</v>
      </c>
      <c r="P229" s="127" t="s">
        <v>14355</v>
      </c>
      <c r="Q229" s="127" t="s">
        <v>14665</v>
      </c>
    </row>
    <row r="230" spans="1:17" x14ac:dyDescent="0.35">
      <c r="A230" s="127" t="s">
        <v>6063</v>
      </c>
      <c r="C230" s="127" t="s">
        <v>20384</v>
      </c>
      <c r="D230" s="127" t="s">
        <v>13116</v>
      </c>
      <c r="I230" s="127" t="s">
        <v>11105</v>
      </c>
      <c r="J230" s="127" t="s">
        <v>13426</v>
      </c>
      <c r="K230" s="127" t="s">
        <v>11106</v>
      </c>
      <c r="L230" s="127" t="s">
        <v>13736</v>
      </c>
      <c r="M230" s="127" t="s">
        <v>11107</v>
      </c>
      <c r="N230" s="127" t="s">
        <v>11108</v>
      </c>
      <c r="O230" s="127" t="s">
        <v>14046</v>
      </c>
      <c r="P230" s="127" t="s">
        <v>14356</v>
      </c>
      <c r="Q230" s="127" t="s">
        <v>14666</v>
      </c>
    </row>
    <row r="231" spans="1:17" x14ac:dyDescent="0.35">
      <c r="A231" s="127" t="s">
        <v>6063</v>
      </c>
      <c r="C231" s="127" t="s">
        <v>20385</v>
      </c>
      <c r="D231" s="127" t="s">
        <v>13117</v>
      </c>
      <c r="I231" s="127" t="s">
        <v>11110</v>
      </c>
      <c r="J231" s="127" t="s">
        <v>13427</v>
      </c>
      <c r="K231" s="127" t="s">
        <v>11111</v>
      </c>
      <c r="L231" s="127" t="s">
        <v>13737</v>
      </c>
      <c r="M231" s="127" t="s">
        <v>11112</v>
      </c>
      <c r="N231" s="127" t="s">
        <v>11113</v>
      </c>
      <c r="O231" s="127" t="s">
        <v>14047</v>
      </c>
      <c r="P231" s="127" t="s">
        <v>14357</v>
      </c>
      <c r="Q231" s="127" t="s">
        <v>14667</v>
      </c>
    </row>
    <row r="232" spans="1:17" x14ac:dyDescent="0.35">
      <c r="A232" s="127" t="s">
        <v>6063</v>
      </c>
      <c r="C232" s="127" t="s">
        <v>20386</v>
      </c>
      <c r="D232" s="127" t="s">
        <v>13118</v>
      </c>
      <c r="I232" s="127" t="s">
        <v>11115</v>
      </c>
      <c r="J232" s="127" t="s">
        <v>13428</v>
      </c>
      <c r="K232" s="127" t="s">
        <v>11116</v>
      </c>
      <c r="L232" s="127" t="s">
        <v>13738</v>
      </c>
      <c r="M232" s="127" t="s">
        <v>11117</v>
      </c>
      <c r="N232" s="127" t="s">
        <v>11118</v>
      </c>
      <c r="O232" s="127" t="s">
        <v>14048</v>
      </c>
      <c r="P232" s="127" t="s">
        <v>14358</v>
      </c>
      <c r="Q232" s="127" t="s">
        <v>14668</v>
      </c>
    </row>
    <row r="233" spans="1:17" x14ac:dyDescent="0.35">
      <c r="A233" s="127" t="s">
        <v>6063</v>
      </c>
      <c r="C233" s="127" t="s">
        <v>20387</v>
      </c>
      <c r="D233" s="127" t="s">
        <v>13119</v>
      </c>
      <c r="I233" s="127" t="s">
        <v>11120</v>
      </c>
      <c r="J233" s="127" t="s">
        <v>13429</v>
      </c>
      <c r="K233" s="127" t="s">
        <v>11121</v>
      </c>
      <c r="L233" s="127" t="s">
        <v>13739</v>
      </c>
      <c r="M233" s="127" t="s">
        <v>11122</v>
      </c>
      <c r="N233" s="127" t="s">
        <v>11123</v>
      </c>
      <c r="O233" s="127" t="s">
        <v>14049</v>
      </c>
      <c r="P233" s="127" t="s">
        <v>14359</v>
      </c>
      <c r="Q233" s="127" t="s">
        <v>14669</v>
      </c>
    </row>
    <row r="234" spans="1:17" x14ac:dyDescent="0.35">
      <c r="A234" s="127" t="s">
        <v>6063</v>
      </c>
      <c r="C234" s="127" t="s">
        <v>20388</v>
      </c>
      <c r="D234" s="127" t="s">
        <v>13120</v>
      </c>
      <c r="I234" s="127" t="s">
        <v>11125</v>
      </c>
      <c r="J234" s="127" t="s">
        <v>13430</v>
      </c>
      <c r="K234" s="127" t="s">
        <v>11126</v>
      </c>
      <c r="L234" s="127" t="s">
        <v>13740</v>
      </c>
      <c r="M234" s="127" t="s">
        <v>11127</v>
      </c>
      <c r="N234" s="127" t="s">
        <v>11128</v>
      </c>
      <c r="O234" s="127" t="s">
        <v>14050</v>
      </c>
      <c r="P234" s="127" t="s">
        <v>14360</v>
      </c>
      <c r="Q234" s="127" t="s">
        <v>14670</v>
      </c>
    </row>
    <row r="235" spans="1:17" x14ac:dyDescent="0.35">
      <c r="A235" s="127" t="s">
        <v>6063</v>
      </c>
      <c r="C235" s="127" t="s">
        <v>20389</v>
      </c>
      <c r="D235" s="127" t="s">
        <v>13121</v>
      </c>
      <c r="I235" s="127" t="s">
        <v>11130</v>
      </c>
      <c r="J235" s="127" t="s">
        <v>13431</v>
      </c>
      <c r="K235" s="127" t="s">
        <v>11131</v>
      </c>
      <c r="L235" s="127" t="s">
        <v>13741</v>
      </c>
      <c r="M235" s="127" t="s">
        <v>11132</v>
      </c>
      <c r="N235" s="127" t="s">
        <v>11133</v>
      </c>
      <c r="O235" s="127" t="s">
        <v>14051</v>
      </c>
      <c r="P235" s="127" t="s">
        <v>14361</v>
      </c>
      <c r="Q235" s="127" t="s">
        <v>14671</v>
      </c>
    </row>
    <row r="236" spans="1:17" x14ac:dyDescent="0.35">
      <c r="A236" s="127" t="s">
        <v>6063</v>
      </c>
      <c r="C236" s="127" t="s">
        <v>20390</v>
      </c>
      <c r="D236" s="127" t="s">
        <v>13122</v>
      </c>
      <c r="I236" s="127" t="s">
        <v>11135</v>
      </c>
      <c r="J236" s="127" t="s">
        <v>13432</v>
      </c>
      <c r="K236" s="127" t="s">
        <v>11136</v>
      </c>
      <c r="L236" s="127" t="s">
        <v>13742</v>
      </c>
      <c r="M236" s="127" t="s">
        <v>11137</v>
      </c>
      <c r="N236" s="127" t="s">
        <v>11138</v>
      </c>
      <c r="O236" s="127" t="s">
        <v>14052</v>
      </c>
      <c r="P236" s="127" t="s">
        <v>14362</v>
      </c>
      <c r="Q236" s="127" t="s">
        <v>14672</v>
      </c>
    </row>
    <row r="237" spans="1:17" x14ac:dyDescent="0.35">
      <c r="A237" s="127" t="s">
        <v>6063</v>
      </c>
      <c r="C237" s="127" t="s">
        <v>20391</v>
      </c>
      <c r="D237" s="127" t="s">
        <v>13123</v>
      </c>
      <c r="I237" s="127" t="s">
        <v>11140</v>
      </c>
      <c r="J237" s="127" t="s">
        <v>13433</v>
      </c>
      <c r="K237" s="127" t="s">
        <v>11141</v>
      </c>
      <c r="L237" s="127" t="s">
        <v>13743</v>
      </c>
      <c r="M237" s="127" t="s">
        <v>11142</v>
      </c>
      <c r="N237" s="127" t="s">
        <v>11143</v>
      </c>
      <c r="O237" s="127" t="s">
        <v>14053</v>
      </c>
      <c r="P237" s="127" t="s">
        <v>14363</v>
      </c>
      <c r="Q237" s="127" t="s">
        <v>14673</v>
      </c>
    </row>
    <row r="238" spans="1:17" x14ac:dyDescent="0.35">
      <c r="A238" s="127" t="s">
        <v>6063</v>
      </c>
      <c r="C238" s="127" t="s">
        <v>20392</v>
      </c>
      <c r="D238" s="127" t="s">
        <v>13124</v>
      </c>
      <c r="I238" s="127" t="s">
        <v>11145</v>
      </c>
      <c r="J238" s="127" t="s">
        <v>13434</v>
      </c>
      <c r="K238" s="127" t="s">
        <v>11146</v>
      </c>
      <c r="L238" s="127" t="s">
        <v>13744</v>
      </c>
      <c r="M238" s="127" t="s">
        <v>11147</v>
      </c>
      <c r="N238" s="127" t="s">
        <v>11148</v>
      </c>
      <c r="O238" s="127" t="s">
        <v>14054</v>
      </c>
      <c r="P238" s="127" t="s">
        <v>14364</v>
      </c>
      <c r="Q238" s="127" t="s">
        <v>14674</v>
      </c>
    </row>
    <row r="239" spans="1:17" x14ac:dyDescent="0.35">
      <c r="A239" s="127" t="s">
        <v>6063</v>
      </c>
      <c r="C239" s="127" t="s">
        <v>20393</v>
      </c>
      <c r="D239" s="127" t="s">
        <v>13125</v>
      </c>
      <c r="I239" s="127" t="s">
        <v>11150</v>
      </c>
      <c r="J239" s="127" t="s">
        <v>13435</v>
      </c>
      <c r="K239" s="127" t="s">
        <v>11151</v>
      </c>
      <c r="L239" s="127" t="s">
        <v>13745</v>
      </c>
      <c r="M239" s="127" t="s">
        <v>11152</v>
      </c>
      <c r="N239" s="127" t="s">
        <v>11153</v>
      </c>
      <c r="O239" s="127" t="s">
        <v>14055</v>
      </c>
      <c r="P239" s="127" t="s">
        <v>14365</v>
      </c>
      <c r="Q239" s="127" t="s">
        <v>14675</v>
      </c>
    </row>
    <row r="240" spans="1:17" x14ac:dyDescent="0.35">
      <c r="A240" s="127" t="s">
        <v>6063</v>
      </c>
      <c r="C240" s="127" t="s">
        <v>20394</v>
      </c>
      <c r="D240" s="127" t="s">
        <v>13126</v>
      </c>
      <c r="I240" s="127" t="s">
        <v>11155</v>
      </c>
      <c r="J240" s="127" t="s">
        <v>13436</v>
      </c>
      <c r="K240" s="127" t="s">
        <v>11156</v>
      </c>
      <c r="L240" s="127" t="s">
        <v>13746</v>
      </c>
      <c r="M240" s="127" t="s">
        <v>11157</v>
      </c>
      <c r="N240" s="127" t="s">
        <v>11158</v>
      </c>
      <c r="O240" s="127" t="s">
        <v>14056</v>
      </c>
      <c r="P240" s="127" t="s">
        <v>14366</v>
      </c>
      <c r="Q240" s="127" t="s">
        <v>14676</v>
      </c>
    </row>
    <row r="241" spans="1:17" x14ac:dyDescent="0.35">
      <c r="A241" s="127" t="s">
        <v>6063</v>
      </c>
      <c r="C241" s="127" t="s">
        <v>20395</v>
      </c>
      <c r="D241" s="127" t="s">
        <v>13127</v>
      </c>
      <c r="I241" s="127" t="s">
        <v>11160</v>
      </c>
      <c r="J241" s="127" t="s">
        <v>13437</v>
      </c>
      <c r="K241" s="127" t="s">
        <v>11161</v>
      </c>
      <c r="L241" s="127" t="s">
        <v>13747</v>
      </c>
      <c r="M241" s="127" t="s">
        <v>11162</v>
      </c>
      <c r="N241" s="127" t="s">
        <v>11163</v>
      </c>
      <c r="O241" s="127" t="s">
        <v>14057</v>
      </c>
      <c r="P241" s="127" t="s">
        <v>14367</v>
      </c>
      <c r="Q241" s="127" t="s">
        <v>14677</v>
      </c>
    </row>
    <row r="242" spans="1:17" x14ac:dyDescent="0.35">
      <c r="A242" s="127" t="s">
        <v>6063</v>
      </c>
      <c r="C242" s="127" t="s">
        <v>20396</v>
      </c>
      <c r="D242" s="127" t="s">
        <v>13128</v>
      </c>
      <c r="I242" s="127" t="s">
        <v>11165</v>
      </c>
      <c r="J242" s="127" t="s">
        <v>13438</v>
      </c>
      <c r="K242" s="127" t="s">
        <v>11166</v>
      </c>
      <c r="L242" s="127" t="s">
        <v>13748</v>
      </c>
      <c r="M242" s="127" t="s">
        <v>11167</v>
      </c>
      <c r="N242" s="127" t="s">
        <v>11168</v>
      </c>
      <c r="O242" s="127" t="s">
        <v>14058</v>
      </c>
      <c r="P242" s="127" t="s">
        <v>14368</v>
      </c>
      <c r="Q242" s="127" t="s">
        <v>14678</v>
      </c>
    </row>
    <row r="243" spans="1:17" x14ac:dyDescent="0.35">
      <c r="A243" s="127" t="s">
        <v>6063</v>
      </c>
      <c r="C243" s="127" t="s">
        <v>20397</v>
      </c>
      <c r="D243" s="127" t="s">
        <v>13129</v>
      </c>
      <c r="I243" s="127" t="s">
        <v>11170</v>
      </c>
      <c r="J243" s="127" t="s">
        <v>13439</v>
      </c>
      <c r="K243" s="127" t="s">
        <v>11171</v>
      </c>
      <c r="L243" s="127" t="s">
        <v>13749</v>
      </c>
      <c r="M243" s="127" t="s">
        <v>11172</v>
      </c>
      <c r="N243" s="127" t="s">
        <v>11173</v>
      </c>
      <c r="O243" s="127" t="s">
        <v>14059</v>
      </c>
      <c r="P243" s="127" t="s">
        <v>14369</v>
      </c>
      <c r="Q243" s="127" t="s">
        <v>14679</v>
      </c>
    </row>
    <row r="244" spans="1:17" x14ac:dyDescent="0.35">
      <c r="A244" s="127" t="s">
        <v>6063</v>
      </c>
      <c r="C244" s="127" t="s">
        <v>20398</v>
      </c>
      <c r="D244" s="127" t="s">
        <v>13130</v>
      </c>
      <c r="I244" s="127" t="s">
        <v>11175</v>
      </c>
      <c r="J244" s="127" t="s">
        <v>13440</v>
      </c>
      <c r="K244" s="127" t="s">
        <v>11176</v>
      </c>
      <c r="L244" s="127" t="s">
        <v>13750</v>
      </c>
      <c r="M244" s="127" t="s">
        <v>11177</v>
      </c>
      <c r="N244" s="127" t="s">
        <v>11178</v>
      </c>
      <c r="O244" s="127" t="s">
        <v>14060</v>
      </c>
      <c r="P244" s="127" t="s">
        <v>14370</v>
      </c>
      <c r="Q244" s="127" t="s">
        <v>14680</v>
      </c>
    </row>
    <row r="245" spans="1:17" x14ac:dyDescent="0.35">
      <c r="A245" s="127" t="s">
        <v>6063</v>
      </c>
      <c r="C245" s="127" t="s">
        <v>20399</v>
      </c>
      <c r="D245" s="127" t="s">
        <v>13131</v>
      </c>
      <c r="I245" s="127" t="s">
        <v>11180</v>
      </c>
      <c r="J245" s="127" t="s">
        <v>13441</v>
      </c>
      <c r="K245" s="127" t="s">
        <v>11181</v>
      </c>
      <c r="L245" s="127" t="s">
        <v>13751</v>
      </c>
      <c r="M245" s="127" t="s">
        <v>11182</v>
      </c>
      <c r="N245" s="127" t="s">
        <v>11183</v>
      </c>
      <c r="O245" s="127" t="s">
        <v>14061</v>
      </c>
      <c r="P245" s="127" t="s">
        <v>14371</v>
      </c>
      <c r="Q245" s="127" t="s">
        <v>14681</v>
      </c>
    </row>
    <row r="246" spans="1:17" x14ac:dyDescent="0.35">
      <c r="A246" s="127" t="s">
        <v>6063</v>
      </c>
      <c r="C246" s="127" t="s">
        <v>20400</v>
      </c>
      <c r="D246" s="127" t="s">
        <v>13132</v>
      </c>
      <c r="I246" s="127" t="s">
        <v>11185</v>
      </c>
      <c r="J246" s="127" t="s">
        <v>13442</v>
      </c>
      <c r="K246" s="127" t="s">
        <v>11186</v>
      </c>
      <c r="L246" s="127" t="s">
        <v>13752</v>
      </c>
      <c r="M246" s="127" t="s">
        <v>11187</v>
      </c>
      <c r="N246" s="127" t="s">
        <v>11188</v>
      </c>
      <c r="O246" s="127" t="s">
        <v>14062</v>
      </c>
      <c r="P246" s="127" t="s">
        <v>14372</v>
      </c>
      <c r="Q246" s="127" t="s">
        <v>14682</v>
      </c>
    </row>
    <row r="247" spans="1:17" x14ac:dyDescent="0.35">
      <c r="A247" s="127" t="s">
        <v>6063</v>
      </c>
      <c r="C247" s="127" t="s">
        <v>20401</v>
      </c>
      <c r="D247" s="127" t="s">
        <v>13133</v>
      </c>
      <c r="I247" s="127" t="s">
        <v>11190</v>
      </c>
      <c r="J247" s="127" t="s">
        <v>13443</v>
      </c>
      <c r="K247" s="127" t="s">
        <v>11191</v>
      </c>
      <c r="L247" s="127" t="s">
        <v>13753</v>
      </c>
      <c r="M247" s="127" t="s">
        <v>11192</v>
      </c>
      <c r="N247" s="127" t="s">
        <v>11193</v>
      </c>
      <c r="O247" s="127" t="s">
        <v>14063</v>
      </c>
      <c r="P247" s="127" t="s">
        <v>14373</v>
      </c>
      <c r="Q247" s="127" t="s">
        <v>14683</v>
      </c>
    </row>
    <row r="248" spans="1:17" x14ac:dyDescent="0.35">
      <c r="A248" s="127" t="s">
        <v>6063</v>
      </c>
      <c r="C248" s="127" t="s">
        <v>20402</v>
      </c>
      <c r="D248" s="127" t="s">
        <v>13134</v>
      </c>
      <c r="I248" s="127" t="s">
        <v>11195</v>
      </c>
      <c r="J248" s="127" t="s">
        <v>13444</v>
      </c>
      <c r="K248" s="127" t="s">
        <v>11196</v>
      </c>
      <c r="L248" s="127" t="s">
        <v>13754</v>
      </c>
      <c r="M248" s="127" t="s">
        <v>11197</v>
      </c>
      <c r="N248" s="127" t="s">
        <v>11198</v>
      </c>
      <c r="O248" s="127" t="s">
        <v>14064</v>
      </c>
      <c r="P248" s="127" t="s">
        <v>14374</v>
      </c>
      <c r="Q248" s="127" t="s">
        <v>14684</v>
      </c>
    </row>
    <row r="249" spans="1:17" x14ac:dyDescent="0.35">
      <c r="A249" s="127" t="s">
        <v>6063</v>
      </c>
      <c r="C249" s="127" t="s">
        <v>20403</v>
      </c>
      <c r="D249" s="127" t="s">
        <v>13135</v>
      </c>
      <c r="I249" s="127" t="s">
        <v>11200</v>
      </c>
      <c r="J249" s="127" t="s">
        <v>13445</v>
      </c>
      <c r="K249" s="127" t="s">
        <v>11201</v>
      </c>
      <c r="L249" s="127" t="s">
        <v>13755</v>
      </c>
      <c r="M249" s="127" t="s">
        <v>11202</v>
      </c>
      <c r="N249" s="127" t="s">
        <v>11203</v>
      </c>
      <c r="O249" s="127" t="s">
        <v>14065</v>
      </c>
      <c r="P249" s="127" t="s">
        <v>14375</v>
      </c>
      <c r="Q249" s="127" t="s">
        <v>14685</v>
      </c>
    </row>
    <row r="250" spans="1:17" x14ac:dyDescent="0.35">
      <c r="A250" s="127" t="s">
        <v>6063</v>
      </c>
      <c r="C250" s="127" t="s">
        <v>20404</v>
      </c>
      <c r="D250" s="127" t="s">
        <v>13136</v>
      </c>
      <c r="I250" s="127" t="s">
        <v>11205</v>
      </c>
      <c r="J250" s="127" t="s">
        <v>13446</v>
      </c>
      <c r="K250" s="127" t="s">
        <v>11206</v>
      </c>
      <c r="L250" s="127" t="s">
        <v>13756</v>
      </c>
      <c r="M250" s="127" t="s">
        <v>11207</v>
      </c>
      <c r="N250" s="127" t="s">
        <v>11208</v>
      </c>
      <c r="O250" s="127" t="s">
        <v>14066</v>
      </c>
      <c r="P250" s="127" t="s">
        <v>14376</v>
      </c>
      <c r="Q250" s="127" t="s">
        <v>14686</v>
      </c>
    </row>
    <row r="251" spans="1:17" x14ac:dyDescent="0.35">
      <c r="A251" s="127" t="s">
        <v>6063</v>
      </c>
      <c r="C251" s="127" t="s">
        <v>20405</v>
      </c>
      <c r="D251" s="127" t="s">
        <v>13137</v>
      </c>
      <c r="I251" s="127" t="s">
        <v>11210</v>
      </c>
      <c r="J251" s="127" t="s">
        <v>13447</v>
      </c>
      <c r="K251" s="127" t="s">
        <v>11211</v>
      </c>
      <c r="L251" s="127" t="s">
        <v>13757</v>
      </c>
      <c r="M251" s="127" t="s">
        <v>11212</v>
      </c>
      <c r="N251" s="127" t="s">
        <v>11213</v>
      </c>
      <c r="O251" s="127" t="s">
        <v>14067</v>
      </c>
      <c r="P251" s="127" t="s">
        <v>14377</v>
      </c>
      <c r="Q251" s="127" t="s">
        <v>14687</v>
      </c>
    </row>
    <row r="252" spans="1:17" x14ac:dyDescent="0.35">
      <c r="A252" s="127" t="s">
        <v>6063</v>
      </c>
      <c r="C252" s="127" t="s">
        <v>20406</v>
      </c>
      <c r="D252" s="127" t="s">
        <v>13138</v>
      </c>
      <c r="I252" s="127" t="s">
        <v>11215</v>
      </c>
      <c r="J252" s="127" t="s">
        <v>13448</v>
      </c>
      <c r="K252" s="127" t="s">
        <v>11216</v>
      </c>
      <c r="L252" s="127" t="s">
        <v>13758</v>
      </c>
      <c r="M252" s="127" t="s">
        <v>11217</v>
      </c>
      <c r="N252" s="127" t="s">
        <v>11218</v>
      </c>
      <c r="O252" s="127" t="s">
        <v>14068</v>
      </c>
      <c r="P252" s="127" t="s">
        <v>14378</v>
      </c>
      <c r="Q252" s="127" t="s">
        <v>14688</v>
      </c>
    </row>
    <row r="253" spans="1:17" x14ac:dyDescent="0.35">
      <c r="A253" s="127" t="s">
        <v>6063</v>
      </c>
      <c r="C253" s="127" t="s">
        <v>20407</v>
      </c>
      <c r="D253" s="127" t="s">
        <v>13139</v>
      </c>
      <c r="I253" s="127" t="s">
        <v>11220</v>
      </c>
      <c r="J253" s="127" t="s">
        <v>13449</v>
      </c>
      <c r="K253" s="127" t="s">
        <v>11221</v>
      </c>
      <c r="L253" s="127" t="s">
        <v>13759</v>
      </c>
      <c r="M253" s="127" t="s">
        <v>11222</v>
      </c>
      <c r="N253" s="127" t="s">
        <v>11223</v>
      </c>
      <c r="O253" s="127" t="s">
        <v>14069</v>
      </c>
      <c r="P253" s="127" t="s">
        <v>14379</v>
      </c>
      <c r="Q253" s="127" t="s">
        <v>14689</v>
      </c>
    </row>
    <row r="254" spans="1:17" x14ac:dyDescent="0.35">
      <c r="A254" s="127" t="s">
        <v>6063</v>
      </c>
      <c r="C254" s="127" t="s">
        <v>20408</v>
      </c>
      <c r="D254" s="127" t="s">
        <v>13140</v>
      </c>
      <c r="I254" s="127" t="s">
        <v>11225</v>
      </c>
      <c r="J254" s="127" t="s">
        <v>13450</v>
      </c>
      <c r="K254" s="127" t="s">
        <v>11226</v>
      </c>
      <c r="L254" s="127" t="s">
        <v>13760</v>
      </c>
      <c r="M254" s="127" t="s">
        <v>11227</v>
      </c>
      <c r="N254" s="127" t="s">
        <v>11228</v>
      </c>
      <c r="O254" s="127" t="s">
        <v>14070</v>
      </c>
      <c r="P254" s="127" t="s">
        <v>14380</v>
      </c>
      <c r="Q254" s="127" t="s">
        <v>14690</v>
      </c>
    </row>
    <row r="255" spans="1:17" x14ac:dyDescent="0.35">
      <c r="A255" s="127" t="s">
        <v>6063</v>
      </c>
      <c r="C255" s="127" t="s">
        <v>20409</v>
      </c>
      <c r="D255" s="127" t="s">
        <v>13141</v>
      </c>
      <c r="I255" s="127" t="s">
        <v>11230</v>
      </c>
      <c r="J255" s="127" t="s">
        <v>13451</v>
      </c>
      <c r="K255" s="127" t="s">
        <v>11231</v>
      </c>
      <c r="L255" s="127" t="s">
        <v>13761</v>
      </c>
      <c r="M255" s="127" t="s">
        <v>11232</v>
      </c>
      <c r="N255" s="127" t="s">
        <v>11233</v>
      </c>
      <c r="O255" s="127" t="s">
        <v>14071</v>
      </c>
      <c r="P255" s="127" t="s">
        <v>14381</v>
      </c>
      <c r="Q255" s="127" t="s">
        <v>14691</v>
      </c>
    </row>
    <row r="256" spans="1:17" x14ac:dyDescent="0.35">
      <c r="A256" s="127" t="s">
        <v>6063</v>
      </c>
      <c r="C256" s="127" t="s">
        <v>20410</v>
      </c>
      <c r="D256" s="127" t="s">
        <v>13142</v>
      </c>
      <c r="I256" s="127" t="s">
        <v>11235</v>
      </c>
      <c r="J256" s="127" t="s">
        <v>13452</v>
      </c>
      <c r="K256" s="127" t="s">
        <v>11236</v>
      </c>
      <c r="L256" s="127" t="s">
        <v>13762</v>
      </c>
      <c r="M256" s="127" t="s">
        <v>11237</v>
      </c>
      <c r="N256" s="127" t="s">
        <v>11238</v>
      </c>
      <c r="O256" s="127" t="s">
        <v>14072</v>
      </c>
      <c r="P256" s="127" t="s">
        <v>14382</v>
      </c>
      <c r="Q256" s="127" t="s">
        <v>14692</v>
      </c>
    </row>
    <row r="257" spans="1:17" x14ac:dyDescent="0.35">
      <c r="A257" s="127" t="s">
        <v>6063</v>
      </c>
      <c r="C257" s="127" t="s">
        <v>20411</v>
      </c>
      <c r="D257" s="127" t="s">
        <v>13143</v>
      </c>
      <c r="I257" s="127" t="s">
        <v>11240</v>
      </c>
      <c r="J257" s="127" t="s">
        <v>13453</v>
      </c>
      <c r="K257" s="127" t="s">
        <v>11241</v>
      </c>
      <c r="L257" s="127" t="s">
        <v>13763</v>
      </c>
      <c r="M257" s="127" t="s">
        <v>11242</v>
      </c>
      <c r="N257" s="127" t="s">
        <v>11243</v>
      </c>
      <c r="O257" s="127" t="s">
        <v>14073</v>
      </c>
      <c r="P257" s="127" t="s">
        <v>14383</v>
      </c>
      <c r="Q257" s="127" t="s">
        <v>14693</v>
      </c>
    </row>
    <row r="258" spans="1:17" x14ac:dyDescent="0.35">
      <c r="A258" s="127" t="s">
        <v>6063</v>
      </c>
      <c r="C258" s="127" t="s">
        <v>20412</v>
      </c>
      <c r="D258" s="127" t="s">
        <v>13144</v>
      </c>
      <c r="I258" s="127" t="s">
        <v>11245</v>
      </c>
      <c r="J258" s="127" t="s">
        <v>13454</v>
      </c>
      <c r="K258" s="127" t="s">
        <v>11246</v>
      </c>
      <c r="L258" s="127" t="s">
        <v>13764</v>
      </c>
      <c r="M258" s="127" t="s">
        <v>11247</v>
      </c>
      <c r="N258" s="127" t="s">
        <v>11248</v>
      </c>
      <c r="O258" s="127" t="s">
        <v>14074</v>
      </c>
      <c r="P258" s="127" t="s">
        <v>14384</v>
      </c>
      <c r="Q258" s="127" t="s">
        <v>14694</v>
      </c>
    </row>
    <row r="259" spans="1:17" x14ac:dyDescent="0.35">
      <c r="A259" s="127" t="s">
        <v>6063</v>
      </c>
      <c r="C259" s="127" t="s">
        <v>20413</v>
      </c>
      <c r="D259" s="127" t="s">
        <v>13145</v>
      </c>
      <c r="I259" s="127" t="s">
        <v>11250</v>
      </c>
      <c r="J259" s="127" t="s">
        <v>13455</v>
      </c>
      <c r="K259" s="127" t="s">
        <v>11251</v>
      </c>
      <c r="L259" s="127" t="s">
        <v>13765</v>
      </c>
      <c r="M259" s="127" t="s">
        <v>11252</v>
      </c>
      <c r="N259" s="127" t="s">
        <v>11253</v>
      </c>
      <c r="O259" s="127" t="s">
        <v>14075</v>
      </c>
      <c r="P259" s="127" t="s">
        <v>14385</v>
      </c>
      <c r="Q259" s="127" t="s">
        <v>14695</v>
      </c>
    </row>
    <row r="260" spans="1:17" x14ac:dyDescent="0.35">
      <c r="A260" s="127" t="s">
        <v>6063</v>
      </c>
      <c r="C260" s="127" t="s">
        <v>20414</v>
      </c>
      <c r="D260" s="127" t="s">
        <v>13146</v>
      </c>
      <c r="I260" s="127" t="s">
        <v>11255</v>
      </c>
      <c r="J260" s="127" t="s">
        <v>13456</v>
      </c>
      <c r="K260" s="127" t="s">
        <v>11256</v>
      </c>
      <c r="L260" s="127" t="s">
        <v>13766</v>
      </c>
      <c r="M260" s="127" t="s">
        <v>11257</v>
      </c>
      <c r="N260" s="127" t="s">
        <v>11258</v>
      </c>
      <c r="O260" s="127" t="s">
        <v>14076</v>
      </c>
      <c r="P260" s="127" t="s">
        <v>14386</v>
      </c>
      <c r="Q260" s="127" t="s">
        <v>14696</v>
      </c>
    </row>
    <row r="261" spans="1:17" x14ac:dyDescent="0.35">
      <c r="A261" s="127" t="s">
        <v>6063</v>
      </c>
      <c r="C261" s="127" t="s">
        <v>20415</v>
      </c>
      <c r="D261" s="127" t="s">
        <v>13147</v>
      </c>
      <c r="I261" s="127" t="s">
        <v>11260</v>
      </c>
      <c r="J261" s="127" t="s">
        <v>13457</v>
      </c>
      <c r="K261" s="127" t="s">
        <v>11261</v>
      </c>
      <c r="L261" s="127" t="s">
        <v>13767</v>
      </c>
      <c r="M261" s="127" t="s">
        <v>11262</v>
      </c>
      <c r="N261" s="127" t="s">
        <v>11263</v>
      </c>
      <c r="O261" s="127" t="s">
        <v>14077</v>
      </c>
      <c r="P261" s="127" t="s">
        <v>14387</v>
      </c>
      <c r="Q261" s="127" t="s">
        <v>14697</v>
      </c>
    </row>
    <row r="262" spans="1:17" x14ac:dyDescent="0.35">
      <c r="A262" s="127" t="s">
        <v>6063</v>
      </c>
      <c r="C262" s="127" t="s">
        <v>20416</v>
      </c>
      <c r="D262" s="127" t="s">
        <v>13148</v>
      </c>
      <c r="I262" s="127" t="s">
        <v>11265</v>
      </c>
      <c r="J262" s="127" t="s">
        <v>13458</v>
      </c>
      <c r="K262" s="127" t="s">
        <v>11266</v>
      </c>
      <c r="L262" s="127" t="s">
        <v>13768</v>
      </c>
      <c r="M262" s="127" t="s">
        <v>11267</v>
      </c>
      <c r="N262" s="127" t="s">
        <v>11268</v>
      </c>
      <c r="O262" s="127" t="s">
        <v>14078</v>
      </c>
      <c r="P262" s="127" t="s">
        <v>14388</v>
      </c>
      <c r="Q262" s="127" t="s">
        <v>14698</v>
      </c>
    </row>
    <row r="263" spans="1:17" x14ac:dyDescent="0.35">
      <c r="A263" s="127" t="s">
        <v>6063</v>
      </c>
      <c r="C263" s="127" t="s">
        <v>20417</v>
      </c>
      <c r="D263" s="127" t="s">
        <v>13149</v>
      </c>
      <c r="I263" s="127" t="s">
        <v>11270</v>
      </c>
      <c r="J263" s="127" t="s">
        <v>13459</v>
      </c>
      <c r="K263" s="127" t="s">
        <v>11271</v>
      </c>
      <c r="L263" s="127" t="s">
        <v>13769</v>
      </c>
      <c r="M263" s="127" t="s">
        <v>11272</v>
      </c>
      <c r="N263" s="127" t="s">
        <v>11273</v>
      </c>
      <c r="O263" s="127" t="s">
        <v>14079</v>
      </c>
      <c r="P263" s="127" t="s">
        <v>14389</v>
      </c>
      <c r="Q263" s="127" t="s">
        <v>14699</v>
      </c>
    </row>
    <row r="264" spans="1:17" x14ac:dyDescent="0.35">
      <c r="A264" s="127" t="s">
        <v>6063</v>
      </c>
      <c r="C264" s="127" t="s">
        <v>20418</v>
      </c>
      <c r="D264" s="127" t="s">
        <v>13150</v>
      </c>
      <c r="I264" s="127" t="s">
        <v>11275</v>
      </c>
      <c r="J264" s="127" t="s">
        <v>13460</v>
      </c>
      <c r="K264" s="127" t="s">
        <v>11276</v>
      </c>
      <c r="L264" s="127" t="s">
        <v>13770</v>
      </c>
      <c r="M264" s="127" t="s">
        <v>11277</v>
      </c>
      <c r="N264" s="127" t="s">
        <v>11278</v>
      </c>
      <c r="O264" s="127" t="s">
        <v>14080</v>
      </c>
      <c r="P264" s="127" t="s">
        <v>14390</v>
      </c>
      <c r="Q264" s="127" t="s">
        <v>14700</v>
      </c>
    </row>
    <row r="265" spans="1:17" x14ac:dyDescent="0.35">
      <c r="A265" s="127" t="s">
        <v>6063</v>
      </c>
      <c r="C265" s="127" t="s">
        <v>20419</v>
      </c>
      <c r="D265" s="127" t="s">
        <v>13151</v>
      </c>
      <c r="I265" s="127" t="s">
        <v>11280</v>
      </c>
      <c r="J265" s="127" t="s">
        <v>13461</v>
      </c>
      <c r="K265" s="127" t="s">
        <v>11281</v>
      </c>
      <c r="L265" s="127" t="s">
        <v>13771</v>
      </c>
      <c r="M265" s="127" t="s">
        <v>11282</v>
      </c>
      <c r="N265" s="127" t="s">
        <v>11283</v>
      </c>
      <c r="O265" s="127" t="s">
        <v>14081</v>
      </c>
      <c r="P265" s="127" t="s">
        <v>14391</v>
      </c>
      <c r="Q265" s="127" t="s">
        <v>14701</v>
      </c>
    </row>
    <row r="266" spans="1:17" x14ac:dyDescent="0.35">
      <c r="A266" s="127" t="s">
        <v>6063</v>
      </c>
      <c r="C266" s="127" t="s">
        <v>20420</v>
      </c>
      <c r="D266" s="127" t="s">
        <v>13152</v>
      </c>
      <c r="I266" s="127" t="s">
        <v>11285</v>
      </c>
      <c r="J266" s="127" t="s">
        <v>13462</v>
      </c>
      <c r="K266" s="127" t="s">
        <v>11286</v>
      </c>
      <c r="L266" s="127" t="s">
        <v>13772</v>
      </c>
      <c r="M266" s="127" t="s">
        <v>11287</v>
      </c>
      <c r="N266" s="127" t="s">
        <v>11288</v>
      </c>
      <c r="O266" s="127" t="s">
        <v>14082</v>
      </c>
      <c r="P266" s="127" t="s">
        <v>14392</v>
      </c>
      <c r="Q266" s="127" t="s">
        <v>14702</v>
      </c>
    </row>
    <row r="267" spans="1:17" x14ac:dyDescent="0.35">
      <c r="A267" s="127" t="s">
        <v>6063</v>
      </c>
      <c r="C267" s="127" t="s">
        <v>20421</v>
      </c>
      <c r="D267" s="127" t="s">
        <v>13153</v>
      </c>
      <c r="I267" s="127" t="s">
        <v>11290</v>
      </c>
      <c r="J267" s="127" t="s">
        <v>13463</v>
      </c>
      <c r="K267" s="127" t="s">
        <v>11291</v>
      </c>
      <c r="L267" s="127" t="s">
        <v>13773</v>
      </c>
      <c r="M267" s="127" t="s">
        <v>11292</v>
      </c>
      <c r="N267" s="127" t="s">
        <v>11293</v>
      </c>
      <c r="O267" s="127" t="s">
        <v>14083</v>
      </c>
      <c r="P267" s="127" t="s">
        <v>14393</v>
      </c>
      <c r="Q267" s="127" t="s">
        <v>14703</v>
      </c>
    </row>
    <row r="268" spans="1:17" x14ac:dyDescent="0.35">
      <c r="A268" s="127" t="s">
        <v>6063</v>
      </c>
      <c r="C268" s="127" t="s">
        <v>20422</v>
      </c>
      <c r="D268" s="127" t="s">
        <v>13154</v>
      </c>
      <c r="I268" s="127" t="s">
        <v>11295</v>
      </c>
      <c r="J268" s="127" t="s">
        <v>13464</v>
      </c>
      <c r="K268" s="127" t="s">
        <v>11296</v>
      </c>
      <c r="L268" s="127" t="s">
        <v>13774</v>
      </c>
      <c r="M268" s="127" t="s">
        <v>11297</v>
      </c>
      <c r="N268" s="127" t="s">
        <v>11298</v>
      </c>
      <c r="O268" s="127" t="s">
        <v>14084</v>
      </c>
      <c r="P268" s="127" t="s">
        <v>14394</v>
      </c>
      <c r="Q268" s="127" t="s">
        <v>14704</v>
      </c>
    </row>
    <row r="269" spans="1:17" x14ac:dyDescent="0.35">
      <c r="A269" s="127" t="s">
        <v>6063</v>
      </c>
      <c r="C269" s="127" t="s">
        <v>20423</v>
      </c>
      <c r="D269" s="127" t="s">
        <v>13155</v>
      </c>
      <c r="I269" s="127" t="s">
        <v>11300</v>
      </c>
      <c r="J269" s="127" t="s">
        <v>13465</v>
      </c>
      <c r="K269" s="127" t="s">
        <v>11301</v>
      </c>
      <c r="L269" s="127" t="s">
        <v>13775</v>
      </c>
      <c r="M269" s="127" t="s">
        <v>11302</v>
      </c>
      <c r="N269" s="127" t="s">
        <v>11303</v>
      </c>
      <c r="O269" s="127" t="s">
        <v>14085</v>
      </c>
      <c r="P269" s="127" t="s">
        <v>14395</v>
      </c>
      <c r="Q269" s="127" t="s">
        <v>14705</v>
      </c>
    </row>
    <row r="270" spans="1:17" x14ac:dyDescent="0.35">
      <c r="A270" s="127" t="s">
        <v>6063</v>
      </c>
      <c r="C270" s="127" t="s">
        <v>20424</v>
      </c>
      <c r="D270" s="127" t="s">
        <v>13156</v>
      </c>
      <c r="I270" s="127" t="s">
        <v>11305</v>
      </c>
      <c r="J270" s="127" t="s">
        <v>13466</v>
      </c>
      <c r="K270" s="127" t="s">
        <v>11306</v>
      </c>
      <c r="L270" s="127" t="s">
        <v>13776</v>
      </c>
      <c r="M270" s="127" t="s">
        <v>11307</v>
      </c>
      <c r="N270" s="127" t="s">
        <v>11308</v>
      </c>
      <c r="O270" s="127" t="s">
        <v>14086</v>
      </c>
      <c r="P270" s="127" t="s">
        <v>14396</v>
      </c>
      <c r="Q270" s="127" t="s">
        <v>14706</v>
      </c>
    </row>
    <row r="271" spans="1:17" x14ac:dyDescent="0.35">
      <c r="A271" s="127" t="s">
        <v>6063</v>
      </c>
      <c r="C271" s="127" t="s">
        <v>20425</v>
      </c>
      <c r="D271" s="127" t="s">
        <v>13157</v>
      </c>
      <c r="I271" s="127" t="s">
        <v>11310</v>
      </c>
      <c r="J271" s="127" t="s">
        <v>13467</v>
      </c>
      <c r="K271" s="127" t="s">
        <v>11311</v>
      </c>
      <c r="L271" s="127" t="s">
        <v>13777</v>
      </c>
      <c r="M271" s="127" t="s">
        <v>11312</v>
      </c>
      <c r="N271" s="127" t="s">
        <v>11313</v>
      </c>
      <c r="O271" s="127" t="s">
        <v>14087</v>
      </c>
      <c r="P271" s="127" t="s">
        <v>14397</v>
      </c>
      <c r="Q271" s="127" t="s">
        <v>14707</v>
      </c>
    </row>
    <row r="272" spans="1:17" x14ac:dyDescent="0.35">
      <c r="A272" s="127" t="s">
        <v>6063</v>
      </c>
      <c r="C272" s="127" t="s">
        <v>20426</v>
      </c>
      <c r="D272" s="127" t="s">
        <v>13158</v>
      </c>
      <c r="I272" s="127" t="s">
        <v>11315</v>
      </c>
      <c r="J272" s="127" t="s">
        <v>13468</v>
      </c>
      <c r="K272" s="127" t="s">
        <v>11316</v>
      </c>
      <c r="L272" s="127" t="s">
        <v>13778</v>
      </c>
      <c r="M272" s="127" t="s">
        <v>11317</v>
      </c>
      <c r="N272" s="127" t="s">
        <v>11318</v>
      </c>
      <c r="O272" s="127" t="s">
        <v>14088</v>
      </c>
      <c r="P272" s="127" t="s">
        <v>14398</v>
      </c>
      <c r="Q272" s="127" t="s">
        <v>14708</v>
      </c>
    </row>
    <row r="273" spans="1:17" x14ac:dyDescent="0.35">
      <c r="A273" s="127" t="s">
        <v>6063</v>
      </c>
      <c r="C273" s="127" t="s">
        <v>20427</v>
      </c>
      <c r="D273" s="127" t="s">
        <v>13159</v>
      </c>
      <c r="I273" s="127" t="s">
        <v>11320</v>
      </c>
      <c r="J273" s="127" t="s">
        <v>13469</v>
      </c>
      <c r="K273" s="127" t="s">
        <v>11321</v>
      </c>
      <c r="L273" s="127" t="s">
        <v>13779</v>
      </c>
      <c r="M273" s="127" t="s">
        <v>11322</v>
      </c>
      <c r="N273" s="127" t="s">
        <v>11323</v>
      </c>
      <c r="O273" s="127" t="s">
        <v>14089</v>
      </c>
      <c r="P273" s="127" t="s">
        <v>14399</v>
      </c>
      <c r="Q273" s="127" t="s">
        <v>14709</v>
      </c>
    </row>
    <row r="274" spans="1:17" x14ac:dyDescent="0.35">
      <c r="A274" s="127" t="s">
        <v>6063</v>
      </c>
      <c r="C274" s="127" t="s">
        <v>20428</v>
      </c>
      <c r="D274" s="127" t="s">
        <v>13160</v>
      </c>
      <c r="I274" s="127" t="s">
        <v>11325</v>
      </c>
      <c r="J274" s="127" t="s">
        <v>13470</v>
      </c>
      <c r="K274" s="127" t="s">
        <v>11326</v>
      </c>
      <c r="L274" s="127" t="s">
        <v>13780</v>
      </c>
      <c r="M274" s="127" t="s">
        <v>11327</v>
      </c>
      <c r="N274" s="127" t="s">
        <v>11328</v>
      </c>
      <c r="O274" s="127" t="s">
        <v>14090</v>
      </c>
      <c r="P274" s="127" t="s">
        <v>14400</v>
      </c>
      <c r="Q274" s="127" t="s">
        <v>14710</v>
      </c>
    </row>
    <row r="275" spans="1:17" x14ac:dyDescent="0.35">
      <c r="A275" s="127" t="s">
        <v>6063</v>
      </c>
      <c r="C275" s="127" t="s">
        <v>20429</v>
      </c>
      <c r="D275" s="127" t="s">
        <v>13161</v>
      </c>
      <c r="I275" s="127" t="s">
        <v>11330</v>
      </c>
      <c r="J275" s="127" t="s">
        <v>13471</v>
      </c>
      <c r="K275" s="127" t="s">
        <v>11331</v>
      </c>
      <c r="L275" s="127" t="s">
        <v>13781</v>
      </c>
      <c r="M275" s="127" t="s">
        <v>11332</v>
      </c>
      <c r="N275" s="127" t="s">
        <v>11333</v>
      </c>
      <c r="O275" s="127" t="s">
        <v>14091</v>
      </c>
      <c r="P275" s="127" t="s">
        <v>14401</v>
      </c>
      <c r="Q275" s="127" t="s">
        <v>14711</v>
      </c>
    </row>
    <row r="276" spans="1:17" x14ac:dyDescent="0.35">
      <c r="A276" s="127" t="s">
        <v>6063</v>
      </c>
      <c r="C276" s="127" t="s">
        <v>20430</v>
      </c>
      <c r="D276" s="127" t="s">
        <v>13162</v>
      </c>
      <c r="I276" s="127" t="s">
        <v>11335</v>
      </c>
      <c r="J276" s="127" t="s">
        <v>13472</v>
      </c>
      <c r="K276" s="127" t="s">
        <v>11336</v>
      </c>
      <c r="L276" s="127" t="s">
        <v>13782</v>
      </c>
      <c r="M276" s="127" t="s">
        <v>11337</v>
      </c>
      <c r="N276" s="127" t="s">
        <v>11338</v>
      </c>
      <c r="O276" s="127" t="s">
        <v>14092</v>
      </c>
      <c r="P276" s="127" t="s">
        <v>14402</v>
      </c>
      <c r="Q276" s="127" t="s">
        <v>14712</v>
      </c>
    </row>
    <row r="277" spans="1:17" x14ac:dyDescent="0.35">
      <c r="A277" s="127" t="s">
        <v>6063</v>
      </c>
      <c r="C277" s="127" t="s">
        <v>20431</v>
      </c>
      <c r="D277" s="127" t="s">
        <v>13163</v>
      </c>
      <c r="I277" s="127" t="s">
        <v>11340</v>
      </c>
      <c r="J277" s="127" t="s">
        <v>13473</v>
      </c>
      <c r="K277" s="127" t="s">
        <v>11341</v>
      </c>
      <c r="L277" s="127" t="s">
        <v>13783</v>
      </c>
      <c r="M277" s="127" t="s">
        <v>11342</v>
      </c>
      <c r="N277" s="127" t="s">
        <v>11343</v>
      </c>
      <c r="O277" s="127" t="s">
        <v>14093</v>
      </c>
      <c r="P277" s="127" t="s">
        <v>14403</v>
      </c>
      <c r="Q277" s="127" t="s">
        <v>14713</v>
      </c>
    </row>
    <row r="278" spans="1:17" x14ac:dyDescent="0.35">
      <c r="A278" s="127" t="s">
        <v>6063</v>
      </c>
      <c r="C278" s="127" t="s">
        <v>20432</v>
      </c>
      <c r="D278" s="127" t="s">
        <v>13164</v>
      </c>
      <c r="I278" s="127" t="s">
        <v>11345</v>
      </c>
      <c r="J278" s="127" t="s">
        <v>13474</v>
      </c>
      <c r="K278" s="127" t="s">
        <v>11346</v>
      </c>
      <c r="L278" s="127" t="s">
        <v>13784</v>
      </c>
      <c r="M278" s="127" t="s">
        <v>11347</v>
      </c>
      <c r="N278" s="127" t="s">
        <v>11348</v>
      </c>
      <c r="O278" s="127" t="s">
        <v>14094</v>
      </c>
      <c r="P278" s="127" t="s">
        <v>14404</v>
      </c>
      <c r="Q278" s="127" t="s">
        <v>14714</v>
      </c>
    </row>
    <row r="279" spans="1:17" x14ac:dyDescent="0.35">
      <c r="A279" s="127" t="s">
        <v>6063</v>
      </c>
      <c r="C279" s="127" t="s">
        <v>20433</v>
      </c>
      <c r="D279" s="127" t="s">
        <v>13165</v>
      </c>
      <c r="I279" s="127" t="s">
        <v>11350</v>
      </c>
      <c r="J279" s="127" t="s">
        <v>13475</v>
      </c>
      <c r="K279" s="127" t="s">
        <v>11351</v>
      </c>
      <c r="L279" s="127" t="s">
        <v>13785</v>
      </c>
      <c r="M279" s="127" t="s">
        <v>11352</v>
      </c>
      <c r="N279" s="127" t="s">
        <v>11353</v>
      </c>
      <c r="O279" s="127" t="s">
        <v>14095</v>
      </c>
      <c r="P279" s="127" t="s">
        <v>14405</v>
      </c>
      <c r="Q279" s="127" t="s">
        <v>14715</v>
      </c>
    </row>
    <row r="280" spans="1:17" x14ac:dyDescent="0.35">
      <c r="A280" s="127" t="s">
        <v>6063</v>
      </c>
      <c r="C280" s="127" t="s">
        <v>20434</v>
      </c>
      <c r="D280" s="127" t="s">
        <v>13166</v>
      </c>
      <c r="I280" s="127" t="s">
        <v>11355</v>
      </c>
      <c r="J280" s="127" t="s">
        <v>13476</v>
      </c>
      <c r="K280" s="127" t="s">
        <v>11356</v>
      </c>
      <c r="L280" s="127" t="s">
        <v>13786</v>
      </c>
      <c r="M280" s="127" t="s">
        <v>11357</v>
      </c>
      <c r="N280" s="127" t="s">
        <v>11358</v>
      </c>
      <c r="O280" s="127" t="s">
        <v>14096</v>
      </c>
      <c r="P280" s="127" t="s">
        <v>14406</v>
      </c>
      <c r="Q280" s="127" t="s">
        <v>14716</v>
      </c>
    </row>
    <row r="281" spans="1:17" x14ac:dyDescent="0.35">
      <c r="A281" s="127" t="s">
        <v>6063</v>
      </c>
      <c r="C281" s="127" t="s">
        <v>20435</v>
      </c>
      <c r="D281" s="127" t="s">
        <v>13167</v>
      </c>
      <c r="I281" s="127" t="s">
        <v>11360</v>
      </c>
      <c r="J281" s="127" t="s">
        <v>13477</v>
      </c>
      <c r="K281" s="127" t="s">
        <v>11361</v>
      </c>
      <c r="L281" s="127" t="s">
        <v>13787</v>
      </c>
      <c r="M281" s="127" t="s">
        <v>11362</v>
      </c>
      <c r="N281" s="127" t="s">
        <v>11363</v>
      </c>
      <c r="O281" s="127" t="s">
        <v>14097</v>
      </c>
      <c r="P281" s="127" t="s">
        <v>14407</v>
      </c>
      <c r="Q281" s="127" t="s">
        <v>14717</v>
      </c>
    </row>
    <row r="282" spans="1:17" x14ac:dyDescent="0.35">
      <c r="A282" s="127" t="s">
        <v>6063</v>
      </c>
      <c r="C282" s="127" t="s">
        <v>20436</v>
      </c>
      <c r="D282" s="127" t="s">
        <v>13168</v>
      </c>
      <c r="I282" s="127" t="s">
        <v>11365</v>
      </c>
      <c r="J282" s="127" t="s">
        <v>13478</v>
      </c>
      <c r="K282" s="127" t="s">
        <v>11366</v>
      </c>
      <c r="L282" s="127" t="s">
        <v>13788</v>
      </c>
      <c r="M282" s="127" t="s">
        <v>11367</v>
      </c>
      <c r="N282" s="127" t="s">
        <v>11368</v>
      </c>
      <c r="O282" s="127" t="s">
        <v>14098</v>
      </c>
      <c r="P282" s="127" t="s">
        <v>14408</v>
      </c>
      <c r="Q282" s="127" t="s">
        <v>14718</v>
      </c>
    </row>
    <row r="283" spans="1:17" x14ac:dyDescent="0.35">
      <c r="A283" s="127" t="s">
        <v>6063</v>
      </c>
      <c r="C283" s="127" t="s">
        <v>20437</v>
      </c>
      <c r="D283" s="127" t="s">
        <v>13169</v>
      </c>
      <c r="I283" s="127" t="s">
        <v>11370</v>
      </c>
      <c r="J283" s="127" t="s">
        <v>13479</v>
      </c>
      <c r="K283" s="127" t="s">
        <v>11371</v>
      </c>
      <c r="L283" s="127" t="s">
        <v>13789</v>
      </c>
      <c r="M283" s="127" t="s">
        <v>11372</v>
      </c>
      <c r="N283" s="127" t="s">
        <v>11373</v>
      </c>
      <c r="O283" s="127" t="s">
        <v>14099</v>
      </c>
      <c r="P283" s="127" t="s">
        <v>14409</v>
      </c>
      <c r="Q283" s="127" t="s">
        <v>14719</v>
      </c>
    </row>
    <row r="284" spans="1:17" x14ac:dyDescent="0.35">
      <c r="A284" s="127" t="s">
        <v>6063</v>
      </c>
      <c r="C284" s="127" t="s">
        <v>20438</v>
      </c>
      <c r="D284" s="127" t="s">
        <v>13170</v>
      </c>
      <c r="I284" s="127" t="s">
        <v>11375</v>
      </c>
      <c r="J284" s="127" t="s">
        <v>13480</v>
      </c>
      <c r="K284" s="127" t="s">
        <v>11376</v>
      </c>
      <c r="L284" s="127" t="s">
        <v>13790</v>
      </c>
      <c r="M284" s="127" t="s">
        <v>11377</v>
      </c>
      <c r="N284" s="127" t="s">
        <v>11378</v>
      </c>
      <c r="O284" s="127" t="s">
        <v>14100</v>
      </c>
      <c r="P284" s="127" t="s">
        <v>14410</v>
      </c>
      <c r="Q284" s="127" t="s">
        <v>14720</v>
      </c>
    </row>
    <row r="285" spans="1:17" x14ac:dyDescent="0.35">
      <c r="A285" s="127" t="s">
        <v>6063</v>
      </c>
      <c r="C285" s="127" t="s">
        <v>20439</v>
      </c>
      <c r="D285" s="127" t="s">
        <v>13171</v>
      </c>
      <c r="I285" s="127" t="s">
        <v>11380</v>
      </c>
      <c r="J285" s="127" t="s">
        <v>13481</v>
      </c>
      <c r="K285" s="127" t="s">
        <v>11381</v>
      </c>
      <c r="L285" s="127" t="s">
        <v>13791</v>
      </c>
      <c r="M285" s="127" t="s">
        <v>11382</v>
      </c>
      <c r="N285" s="127" t="s">
        <v>11383</v>
      </c>
      <c r="O285" s="127" t="s">
        <v>14101</v>
      </c>
      <c r="P285" s="127" t="s">
        <v>14411</v>
      </c>
      <c r="Q285" s="127" t="s">
        <v>14721</v>
      </c>
    </row>
    <row r="286" spans="1:17" x14ac:dyDescent="0.35">
      <c r="A286" s="127" t="s">
        <v>6063</v>
      </c>
      <c r="C286" s="127" t="s">
        <v>20440</v>
      </c>
      <c r="D286" s="127" t="s">
        <v>13172</v>
      </c>
      <c r="I286" s="127" t="s">
        <v>11385</v>
      </c>
      <c r="J286" s="127" t="s">
        <v>13482</v>
      </c>
      <c r="K286" s="127" t="s">
        <v>11386</v>
      </c>
      <c r="L286" s="127" t="s">
        <v>13792</v>
      </c>
      <c r="M286" s="127" t="s">
        <v>11387</v>
      </c>
      <c r="N286" s="127" t="s">
        <v>11388</v>
      </c>
      <c r="O286" s="127" t="s">
        <v>14102</v>
      </c>
      <c r="P286" s="127" t="s">
        <v>14412</v>
      </c>
      <c r="Q286" s="127" t="s">
        <v>14722</v>
      </c>
    </row>
    <row r="287" spans="1:17" x14ac:dyDescent="0.35">
      <c r="A287" s="127" t="s">
        <v>6063</v>
      </c>
      <c r="C287" s="127" t="s">
        <v>20441</v>
      </c>
      <c r="D287" s="127" t="s">
        <v>13173</v>
      </c>
      <c r="I287" s="127" t="s">
        <v>11390</v>
      </c>
      <c r="J287" s="127" t="s">
        <v>13483</v>
      </c>
      <c r="K287" s="127" t="s">
        <v>11391</v>
      </c>
      <c r="L287" s="127" t="s">
        <v>13793</v>
      </c>
      <c r="M287" s="127" t="s">
        <v>11392</v>
      </c>
      <c r="N287" s="127" t="s">
        <v>11393</v>
      </c>
      <c r="O287" s="127" t="s">
        <v>14103</v>
      </c>
      <c r="P287" s="127" t="s">
        <v>14413</v>
      </c>
      <c r="Q287" s="127" t="s">
        <v>14723</v>
      </c>
    </row>
    <row r="288" spans="1:17" x14ac:dyDescent="0.35">
      <c r="A288" s="127" t="s">
        <v>6063</v>
      </c>
      <c r="C288" s="127" t="s">
        <v>20442</v>
      </c>
      <c r="D288" s="127" t="s">
        <v>13174</v>
      </c>
      <c r="I288" s="127" t="s">
        <v>11395</v>
      </c>
      <c r="J288" s="127" t="s">
        <v>13484</v>
      </c>
      <c r="K288" s="127" t="s">
        <v>11396</v>
      </c>
      <c r="L288" s="127" t="s">
        <v>13794</v>
      </c>
      <c r="M288" s="127" t="s">
        <v>11397</v>
      </c>
      <c r="N288" s="127" t="s">
        <v>11398</v>
      </c>
      <c r="O288" s="127" t="s">
        <v>14104</v>
      </c>
      <c r="P288" s="127" t="s">
        <v>14414</v>
      </c>
      <c r="Q288" s="127" t="s">
        <v>14724</v>
      </c>
    </row>
    <row r="289" spans="1:17" x14ac:dyDescent="0.35">
      <c r="A289" s="127" t="s">
        <v>6063</v>
      </c>
      <c r="C289" s="127" t="s">
        <v>20443</v>
      </c>
      <c r="D289" s="127" t="s">
        <v>13175</v>
      </c>
      <c r="I289" s="127" t="s">
        <v>11400</v>
      </c>
      <c r="J289" s="127" t="s">
        <v>13485</v>
      </c>
      <c r="K289" s="127" t="s">
        <v>11401</v>
      </c>
      <c r="L289" s="127" t="s">
        <v>13795</v>
      </c>
      <c r="M289" s="127" t="s">
        <v>11402</v>
      </c>
      <c r="N289" s="127" t="s">
        <v>11403</v>
      </c>
      <c r="O289" s="127" t="s">
        <v>14105</v>
      </c>
      <c r="P289" s="127" t="s">
        <v>14415</v>
      </c>
      <c r="Q289" s="127" t="s">
        <v>14725</v>
      </c>
    </row>
    <row r="290" spans="1:17" x14ac:dyDescent="0.35">
      <c r="A290" s="127" t="s">
        <v>6063</v>
      </c>
      <c r="C290" s="127" t="s">
        <v>20444</v>
      </c>
      <c r="D290" s="127" t="s">
        <v>13176</v>
      </c>
      <c r="I290" s="127" t="s">
        <v>11405</v>
      </c>
      <c r="J290" s="127" t="s">
        <v>13486</v>
      </c>
      <c r="K290" s="127" t="s">
        <v>11406</v>
      </c>
      <c r="L290" s="127" t="s">
        <v>13796</v>
      </c>
      <c r="M290" s="127" t="s">
        <v>11407</v>
      </c>
      <c r="N290" s="127" t="s">
        <v>11408</v>
      </c>
      <c r="O290" s="127" t="s">
        <v>14106</v>
      </c>
      <c r="P290" s="127" t="s">
        <v>14416</v>
      </c>
      <c r="Q290" s="127" t="s">
        <v>14726</v>
      </c>
    </row>
    <row r="291" spans="1:17" x14ac:dyDescent="0.35">
      <c r="A291" s="127" t="s">
        <v>6063</v>
      </c>
      <c r="C291" s="127" t="s">
        <v>20445</v>
      </c>
      <c r="D291" s="127" t="s">
        <v>13177</v>
      </c>
      <c r="I291" s="127" t="s">
        <v>11410</v>
      </c>
      <c r="J291" s="127" t="s">
        <v>13487</v>
      </c>
      <c r="K291" s="127" t="s">
        <v>11411</v>
      </c>
      <c r="L291" s="127" t="s">
        <v>13797</v>
      </c>
      <c r="M291" s="127" t="s">
        <v>11412</v>
      </c>
      <c r="N291" s="127" t="s">
        <v>11413</v>
      </c>
      <c r="O291" s="127" t="s">
        <v>14107</v>
      </c>
      <c r="P291" s="127" t="s">
        <v>14417</v>
      </c>
      <c r="Q291" s="127" t="s">
        <v>14727</v>
      </c>
    </row>
    <row r="292" spans="1:17" x14ac:dyDescent="0.35">
      <c r="A292" s="127" t="s">
        <v>6063</v>
      </c>
      <c r="C292" s="127" t="s">
        <v>20446</v>
      </c>
      <c r="D292" s="127" t="s">
        <v>13178</v>
      </c>
      <c r="I292" s="127" t="s">
        <v>11415</v>
      </c>
      <c r="J292" s="127" t="s">
        <v>13488</v>
      </c>
      <c r="K292" s="127" t="s">
        <v>11416</v>
      </c>
      <c r="L292" s="127" t="s">
        <v>13798</v>
      </c>
      <c r="M292" s="127" t="s">
        <v>11417</v>
      </c>
      <c r="N292" s="127" t="s">
        <v>11418</v>
      </c>
      <c r="O292" s="127" t="s">
        <v>14108</v>
      </c>
      <c r="P292" s="127" t="s">
        <v>14418</v>
      </c>
      <c r="Q292" s="127" t="s">
        <v>14728</v>
      </c>
    </row>
    <row r="293" spans="1:17" x14ac:dyDescent="0.35">
      <c r="A293" s="127" t="s">
        <v>6063</v>
      </c>
      <c r="C293" s="127" t="s">
        <v>20447</v>
      </c>
      <c r="D293" s="127" t="s">
        <v>13179</v>
      </c>
      <c r="I293" s="127" t="s">
        <v>11420</v>
      </c>
      <c r="J293" s="127" t="s">
        <v>13489</v>
      </c>
      <c r="K293" s="127" t="s">
        <v>11421</v>
      </c>
      <c r="L293" s="127" t="s">
        <v>13799</v>
      </c>
      <c r="M293" s="127" t="s">
        <v>11422</v>
      </c>
      <c r="N293" s="127" t="s">
        <v>11423</v>
      </c>
      <c r="O293" s="127" t="s">
        <v>14109</v>
      </c>
      <c r="P293" s="127" t="s">
        <v>14419</v>
      </c>
      <c r="Q293" s="127" t="s">
        <v>14729</v>
      </c>
    </row>
    <row r="294" spans="1:17" x14ac:dyDescent="0.35">
      <c r="A294" s="127" t="s">
        <v>6063</v>
      </c>
      <c r="C294" s="127" t="s">
        <v>20448</v>
      </c>
      <c r="D294" s="127" t="s">
        <v>13180</v>
      </c>
      <c r="I294" s="127" t="s">
        <v>11425</v>
      </c>
      <c r="J294" s="127" t="s">
        <v>13490</v>
      </c>
      <c r="K294" s="127" t="s">
        <v>11426</v>
      </c>
      <c r="L294" s="127" t="s">
        <v>13800</v>
      </c>
      <c r="M294" s="127" t="s">
        <v>11427</v>
      </c>
      <c r="N294" s="127" t="s">
        <v>11428</v>
      </c>
      <c r="O294" s="127" t="s">
        <v>14110</v>
      </c>
      <c r="P294" s="127" t="s">
        <v>14420</v>
      </c>
      <c r="Q294" s="127" t="s">
        <v>14730</v>
      </c>
    </row>
    <row r="295" spans="1:17" x14ac:dyDescent="0.35">
      <c r="A295" s="127" t="s">
        <v>6063</v>
      </c>
      <c r="C295" s="127" t="s">
        <v>20449</v>
      </c>
      <c r="D295" s="127" t="s">
        <v>13181</v>
      </c>
      <c r="I295" s="127" t="s">
        <v>11430</v>
      </c>
      <c r="J295" s="127" t="s">
        <v>13491</v>
      </c>
      <c r="K295" s="127" t="s">
        <v>11431</v>
      </c>
      <c r="L295" s="127" t="s">
        <v>13801</v>
      </c>
      <c r="M295" s="127" t="s">
        <v>11432</v>
      </c>
      <c r="N295" s="127" t="s">
        <v>11433</v>
      </c>
      <c r="O295" s="127" t="s">
        <v>14111</v>
      </c>
      <c r="P295" s="127" t="s">
        <v>14421</v>
      </c>
      <c r="Q295" s="127" t="s">
        <v>14731</v>
      </c>
    </row>
    <row r="296" spans="1:17" x14ac:dyDescent="0.35">
      <c r="A296" s="127" t="s">
        <v>6063</v>
      </c>
      <c r="C296" s="127" t="s">
        <v>20450</v>
      </c>
      <c r="D296" s="127" t="s">
        <v>13182</v>
      </c>
      <c r="I296" s="127" t="s">
        <v>11435</v>
      </c>
      <c r="J296" s="127" t="s">
        <v>13492</v>
      </c>
      <c r="K296" s="127" t="s">
        <v>11436</v>
      </c>
      <c r="L296" s="127" t="s">
        <v>13802</v>
      </c>
      <c r="M296" s="127" t="s">
        <v>11437</v>
      </c>
      <c r="N296" s="127" t="s">
        <v>11438</v>
      </c>
      <c r="O296" s="127" t="s">
        <v>14112</v>
      </c>
      <c r="P296" s="127" t="s">
        <v>14422</v>
      </c>
      <c r="Q296" s="127" t="s">
        <v>14732</v>
      </c>
    </row>
    <row r="297" spans="1:17" x14ac:dyDescent="0.35">
      <c r="A297" s="127" t="s">
        <v>6063</v>
      </c>
      <c r="C297" s="127" t="s">
        <v>20451</v>
      </c>
      <c r="D297" s="127" t="s">
        <v>13183</v>
      </c>
      <c r="I297" s="127" t="s">
        <v>11440</v>
      </c>
      <c r="J297" s="127" t="s">
        <v>13493</v>
      </c>
      <c r="K297" s="127" t="s">
        <v>11441</v>
      </c>
      <c r="L297" s="127" t="s">
        <v>13803</v>
      </c>
      <c r="M297" s="127" t="s">
        <v>11442</v>
      </c>
      <c r="N297" s="127" t="s">
        <v>11443</v>
      </c>
      <c r="O297" s="127" t="s">
        <v>14113</v>
      </c>
      <c r="P297" s="127" t="s">
        <v>14423</v>
      </c>
      <c r="Q297" s="127" t="s">
        <v>14733</v>
      </c>
    </row>
    <row r="298" spans="1:17" x14ac:dyDescent="0.35">
      <c r="A298" s="127" t="s">
        <v>6063</v>
      </c>
      <c r="C298" s="127" t="s">
        <v>20452</v>
      </c>
      <c r="D298" s="127" t="s">
        <v>13184</v>
      </c>
      <c r="I298" s="127" t="s">
        <v>11445</v>
      </c>
      <c r="J298" s="127" t="s">
        <v>13494</v>
      </c>
      <c r="K298" s="127" t="s">
        <v>11446</v>
      </c>
      <c r="L298" s="127" t="s">
        <v>13804</v>
      </c>
      <c r="M298" s="127" t="s">
        <v>11447</v>
      </c>
      <c r="N298" s="127" t="s">
        <v>11448</v>
      </c>
      <c r="O298" s="127" t="s">
        <v>14114</v>
      </c>
      <c r="P298" s="127" t="s">
        <v>14424</v>
      </c>
      <c r="Q298" s="127" t="s">
        <v>14734</v>
      </c>
    </row>
    <row r="299" spans="1:17" x14ac:dyDescent="0.35">
      <c r="A299" s="127" t="s">
        <v>6063</v>
      </c>
      <c r="C299" s="127" t="s">
        <v>20453</v>
      </c>
      <c r="D299" s="127" t="s">
        <v>13185</v>
      </c>
      <c r="I299" s="127" t="s">
        <v>11450</v>
      </c>
      <c r="J299" s="127" t="s">
        <v>13495</v>
      </c>
      <c r="K299" s="127" t="s">
        <v>11451</v>
      </c>
      <c r="L299" s="127" t="s">
        <v>13805</v>
      </c>
      <c r="M299" s="127" t="s">
        <v>11452</v>
      </c>
      <c r="N299" s="127" t="s">
        <v>11453</v>
      </c>
      <c r="O299" s="127" t="s">
        <v>14115</v>
      </c>
      <c r="P299" s="127" t="s">
        <v>14425</v>
      </c>
      <c r="Q299" s="127" t="s">
        <v>14735</v>
      </c>
    </row>
    <row r="300" spans="1:17" x14ac:dyDescent="0.35">
      <c r="A300" s="127" t="s">
        <v>6063</v>
      </c>
      <c r="C300" s="127" t="s">
        <v>20454</v>
      </c>
      <c r="D300" s="127" t="s">
        <v>13186</v>
      </c>
      <c r="I300" s="127" t="s">
        <v>11455</v>
      </c>
      <c r="J300" s="127" t="s">
        <v>13496</v>
      </c>
      <c r="K300" s="127" t="s">
        <v>11456</v>
      </c>
      <c r="L300" s="127" t="s">
        <v>13806</v>
      </c>
      <c r="M300" s="127" t="s">
        <v>11457</v>
      </c>
      <c r="N300" s="127" t="s">
        <v>11458</v>
      </c>
      <c r="O300" s="127" t="s">
        <v>14116</v>
      </c>
      <c r="P300" s="127" t="s">
        <v>14426</v>
      </c>
      <c r="Q300" s="127" t="s">
        <v>14736</v>
      </c>
    </row>
    <row r="301" spans="1:17" x14ac:dyDescent="0.35">
      <c r="A301" s="127" t="s">
        <v>6063</v>
      </c>
      <c r="C301" s="127" t="s">
        <v>20455</v>
      </c>
      <c r="D301" s="127" t="s">
        <v>13187</v>
      </c>
      <c r="I301" s="127" t="s">
        <v>11460</v>
      </c>
      <c r="J301" s="127" t="s">
        <v>13497</v>
      </c>
      <c r="K301" s="127" t="s">
        <v>11461</v>
      </c>
      <c r="L301" s="127" t="s">
        <v>13807</v>
      </c>
      <c r="M301" s="127" t="s">
        <v>11462</v>
      </c>
      <c r="N301" s="127" t="s">
        <v>11463</v>
      </c>
      <c r="O301" s="127" t="s">
        <v>14117</v>
      </c>
      <c r="P301" s="127" t="s">
        <v>14427</v>
      </c>
      <c r="Q301" s="127" t="s">
        <v>14737</v>
      </c>
    </row>
    <row r="302" spans="1:17" x14ac:dyDescent="0.35">
      <c r="A302" s="127" t="s">
        <v>6063</v>
      </c>
      <c r="C302" s="127" t="s">
        <v>20456</v>
      </c>
      <c r="D302" s="127" t="s">
        <v>13188</v>
      </c>
      <c r="I302" s="127" t="s">
        <v>11465</v>
      </c>
      <c r="J302" s="127" t="s">
        <v>13498</v>
      </c>
      <c r="K302" s="127" t="s">
        <v>11466</v>
      </c>
      <c r="L302" s="127" t="s">
        <v>13808</v>
      </c>
      <c r="M302" s="127" t="s">
        <v>11467</v>
      </c>
      <c r="N302" s="127" t="s">
        <v>11468</v>
      </c>
      <c r="O302" s="127" t="s">
        <v>14118</v>
      </c>
      <c r="P302" s="127" t="s">
        <v>14428</v>
      </c>
      <c r="Q302" s="127" t="s">
        <v>14738</v>
      </c>
    </row>
    <row r="303" spans="1:17" x14ac:dyDescent="0.35">
      <c r="A303" s="127" t="s">
        <v>6063</v>
      </c>
      <c r="C303" s="127" t="s">
        <v>20457</v>
      </c>
      <c r="D303" s="127" t="s">
        <v>13189</v>
      </c>
      <c r="I303" s="127" t="s">
        <v>11470</v>
      </c>
      <c r="J303" s="127" t="s">
        <v>13499</v>
      </c>
      <c r="K303" s="127" t="s">
        <v>11471</v>
      </c>
      <c r="L303" s="127" t="s">
        <v>13809</v>
      </c>
      <c r="M303" s="127" t="s">
        <v>11472</v>
      </c>
      <c r="N303" s="127" t="s">
        <v>11473</v>
      </c>
      <c r="O303" s="127" t="s">
        <v>14119</v>
      </c>
      <c r="P303" s="127" t="s">
        <v>14429</v>
      </c>
      <c r="Q303" s="127" t="s">
        <v>14739</v>
      </c>
    </row>
    <row r="304" spans="1:17" x14ac:dyDescent="0.35">
      <c r="A304" s="127" t="s">
        <v>6063</v>
      </c>
      <c r="C304" s="127" t="s">
        <v>20458</v>
      </c>
      <c r="D304" s="127" t="s">
        <v>13190</v>
      </c>
      <c r="I304" s="127" t="s">
        <v>11475</v>
      </c>
      <c r="J304" s="127" t="s">
        <v>13500</v>
      </c>
      <c r="K304" s="127" t="s">
        <v>11476</v>
      </c>
      <c r="L304" s="127" t="s">
        <v>13810</v>
      </c>
      <c r="M304" s="127" t="s">
        <v>11477</v>
      </c>
      <c r="N304" s="127" t="s">
        <v>11478</v>
      </c>
      <c r="O304" s="127" t="s">
        <v>14120</v>
      </c>
      <c r="P304" s="127" t="s">
        <v>14430</v>
      </c>
      <c r="Q304" s="127" t="s">
        <v>14740</v>
      </c>
    </row>
    <row r="305" spans="1:17" x14ac:dyDescent="0.35">
      <c r="A305" s="127" t="s">
        <v>6063</v>
      </c>
      <c r="C305" s="127" t="s">
        <v>20459</v>
      </c>
      <c r="D305" s="127" t="s">
        <v>13191</v>
      </c>
      <c r="I305" s="127" t="s">
        <v>11480</v>
      </c>
      <c r="J305" s="127" t="s">
        <v>13501</v>
      </c>
      <c r="K305" s="127" t="s">
        <v>11481</v>
      </c>
      <c r="L305" s="127" t="s">
        <v>13811</v>
      </c>
      <c r="M305" s="127" t="s">
        <v>11482</v>
      </c>
      <c r="N305" s="127" t="s">
        <v>11483</v>
      </c>
      <c r="O305" s="127" t="s">
        <v>14121</v>
      </c>
      <c r="P305" s="127" t="s">
        <v>14431</v>
      </c>
      <c r="Q305" s="127" t="s">
        <v>14741</v>
      </c>
    </row>
    <row r="306" spans="1:17" x14ac:dyDescent="0.35">
      <c r="A306" s="127" t="s">
        <v>6063</v>
      </c>
      <c r="C306" s="127" t="s">
        <v>20460</v>
      </c>
      <c r="D306" s="127" t="s">
        <v>13192</v>
      </c>
      <c r="I306" s="127" t="s">
        <v>11485</v>
      </c>
      <c r="J306" s="127" t="s">
        <v>13502</v>
      </c>
      <c r="K306" s="127" t="s">
        <v>11486</v>
      </c>
      <c r="L306" s="127" t="s">
        <v>13812</v>
      </c>
      <c r="M306" s="127" t="s">
        <v>11487</v>
      </c>
      <c r="N306" s="127" t="s">
        <v>11488</v>
      </c>
      <c r="O306" s="127" t="s">
        <v>14122</v>
      </c>
      <c r="P306" s="127" t="s">
        <v>14432</v>
      </c>
      <c r="Q306" s="127" t="s">
        <v>14742</v>
      </c>
    </row>
    <row r="307" spans="1:17" x14ac:dyDescent="0.35">
      <c r="A307" s="127" t="s">
        <v>6063</v>
      </c>
      <c r="C307" s="127" t="s">
        <v>20461</v>
      </c>
      <c r="D307" s="127" t="s">
        <v>13193</v>
      </c>
      <c r="I307" s="127" t="s">
        <v>11490</v>
      </c>
      <c r="J307" s="127" t="s">
        <v>13503</v>
      </c>
      <c r="K307" s="127" t="s">
        <v>11491</v>
      </c>
      <c r="L307" s="127" t="s">
        <v>13813</v>
      </c>
      <c r="M307" s="127" t="s">
        <v>11492</v>
      </c>
      <c r="N307" s="127" t="s">
        <v>11493</v>
      </c>
      <c r="O307" s="127" t="s">
        <v>14123</v>
      </c>
      <c r="P307" s="127" t="s">
        <v>14433</v>
      </c>
      <c r="Q307" s="127" t="s">
        <v>14743</v>
      </c>
    </row>
    <row r="308" spans="1:17" x14ac:dyDescent="0.35">
      <c r="A308" s="127" t="s">
        <v>6063</v>
      </c>
      <c r="C308" s="127" t="s">
        <v>20462</v>
      </c>
      <c r="D308" s="127" t="s">
        <v>13194</v>
      </c>
      <c r="I308" s="127" t="s">
        <v>11495</v>
      </c>
      <c r="J308" s="127" t="s">
        <v>13504</v>
      </c>
      <c r="K308" s="127" t="s">
        <v>11496</v>
      </c>
      <c r="L308" s="127" t="s">
        <v>13814</v>
      </c>
      <c r="M308" s="127" t="s">
        <v>11497</v>
      </c>
      <c r="N308" s="127" t="s">
        <v>11498</v>
      </c>
      <c r="O308" s="127" t="s">
        <v>14124</v>
      </c>
      <c r="P308" s="127" t="s">
        <v>14434</v>
      </c>
      <c r="Q308" s="127" t="s">
        <v>14744</v>
      </c>
    </row>
    <row r="309" spans="1:17" x14ac:dyDescent="0.35">
      <c r="A309" s="127" t="s">
        <v>6063</v>
      </c>
      <c r="C309" s="127" t="s">
        <v>20463</v>
      </c>
      <c r="D309" s="127" t="s">
        <v>13195</v>
      </c>
      <c r="I309" s="127" t="s">
        <v>11500</v>
      </c>
      <c r="J309" s="127" t="s">
        <v>13505</v>
      </c>
      <c r="K309" s="127" t="s">
        <v>11501</v>
      </c>
      <c r="L309" s="127" t="s">
        <v>13815</v>
      </c>
      <c r="M309" s="127" t="s">
        <v>11502</v>
      </c>
      <c r="N309" s="127" t="s">
        <v>11503</v>
      </c>
      <c r="O309" s="127" t="s">
        <v>14125</v>
      </c>
      <c r="P309" s="127" t="s">
        <v>14435</v>
      </c>
      <c r="Q309" s="127" t="s">
        <v>14745</v>
      </c>
    </row>
    <row r="310" spans="1:17" x14ac:dyDescent="0.35">
      <c r="A310" s="127" t="s">
        <v>6063</v>
      </c>
      <c r="C310" s="127" t="s">
        <v>20464</v>
      </c>
      <c r="D310" s="127" t="s">
        <v>13196</v>
      </c>
      <c r="I310" s="127" t="s">
        <v>11505</v>
      </c>
      <c r="J310" s="127" t="s">
        <v>13506</v>
      </c>
      <c r="K310" s="127" t="s">
        <v>11506</v>
      </c>
      <c r="L310" s="127" t="s">
        <v>13816</v>
      </c>
      <c r="M310" s="127" t="s">
        <v>11507</v>
      </c>
      <c r="N310" s="127" t="s">
        <v>11508</v>
      </c>
      <c r="O310" s="127" t="s">
        <v>14126</v>
      </c>
      <c r="P310" s="127" t="s">
        <v>14436</v>
      </c>
      <c r="Q310" s="127" t="s">
        <v>14746</v>
      </c>
    </row>
    <row r="311" spans="1:17" x14ac:dyDescent="0.35">
      <c r="A311" s="127" t="s">
        <v>6063</v>
      </c>
      <c r="C311" s="127" t="s">
        <v>20465</v>
      </c>
      <c r="D311" s="127" t="s">
        <v>13197</v>
      </c>
      <c r="I311" s="127" t="s">
        <v>11510</v>
      </c>
      <c r="J311" s="127" t="s">
        <v>13507</v>
      </c>
      <c r="K311" s="127" t="s">
        <v>11511</v>
      </c>
      <c r="L311" s="127" t="s">
        <v>13817</v>
      </c>
      <c r="M311" s="127" t="s">
        <v>11512</v>
      </c>
      <c r="N311" s="127" t="s">
        <v>11513</v>
      </c>
      <c r="O311" s="127" t="s">
        <v>14127</v>
      </c>
      <c r="P311" s="127" t="s">
        <v>14437</v>
      </c>
      <c r="Q311" s="127" t="s">
        <v>14747</v>
      </c>
    </row>
    <row r="312" spans="1:17" x14ac:dyDescent="0.35">
      <c r="A312" s="127" t="s">
        <v>6063</v>
      </c>
      <c r="C312" s="127" t="s">
        <v>20466</v>
      </c>
      <c r="D312" s="127" t="s">
        <v>13198</v>
      </c>
      <c r="I312" s="127" t="s">
        <v>11515</v>
      </c>
      <c r="J312" s="127" t="s">
        <v>13508</v>
      </c>
      <c r="K312" s="127" t="s">
        <v>11516</v>
      </c>
      <c r="L312" s="127" t="s">
        <v>13818</v>
      </c>
      <c r="M312" s="127" t="s">
        <v>11517</v>
      </c>
      <c r="N312" s="127" t="s">
        <v>11518</v>
      </c>
      <c r="O312" s="127" t="s">
        <v>14128</v>
      </c>
      <c r="P312" s="127" t="s">
        <v>14438</v>
      </c>
      <c r="Q312" s="127" t="s">
        <v>14748</v>
      </c>
    </row>
    <row r="313" spans="1:17" x14ac:dyDescent="0.35">
      <c r="A313" s="127" t="s">
        <v>6063</v>
      </c>
      <c r="C313" s="127" t="s">
        <v>20467</v>
      </c>
      <c r="D313" s="127" t="s">
        <v>13199</v>
      </c>
      <c r="I313" s="127" t="s">
        <v>11520</v>
      </c>
      <c r="J313" s="127" t="s">
        <v>13509</v>
      </c>
      <c r="K313" s="127" t="s">
        <v>11521</v>
      </c>
      <c r="L313" s="127" t="s">
        <v>13819</v>
      </c>
      <c r="M313" s="127" t="s">
        <v>11522</v>
      </c>
      <c r="N313" s="127" t="s">
        <v>11523</v>
      </c>
      <c r="O313" s="127" t="s">
        <v>14129</v>
      </c>
      <c r="P313" s="127" t="s">
        <v>14439</v>
      </c>
      <c r="Q313" s="127" t="s">
        <v>14749</v>
      </c>
    </row>
    <row r="314" spans="1:17" x14ac:dyDescent="0.35">
      <c r="A314" s="127" t="s">
        <v>6063</v>
      </c>
      <c r="C314" s="127" t="s">
        <v>20468</v>
      </c>
      <c r="D314" s="127" t="s">
        <v>13200</v>
      </c>
      <c r="I314" s="127" t="s">
        <v>11525</v>
      </c>
      <c r="J314" s="127" t="s">
        <v>13510</v>
      </c>
      <c r="K314" s="127" t="s">
        <v>11526</v>
      </c>
      <c r="L314" s="127" t="s">
        <v>13820</v>
      </c>
      <c r="M314" s="127" t="s">
        <v>11527</v>
      </c>
      <c r="N314" s="127" t="s">
        <v>11528</v>
      </c>
      <c r="O314" s="127" t="s">
        <v>14130</v>
      </c>
      <c r="P314" s="127" t="s">
        <v>14440</v>
      </c>
      <c r="Q314" s="127" t="s">
        <v>14750</v>
      </c>
    </row>
    <row r="315" spans="1:17" x14ac:dyDescent="0.35">
      <c r="A315" s="127" t="s">
        <v>6063</v>
      </c>
      <c r="C315" s="127" t="s">
        <v>20469</v>
      </c>
      <c r="D315" s="127" t="s">
        <v>13201</v>
      </c>
      <c r="I315" s="127" t="s">
        <v>11530</v>
      </c>
      <c r="J315" s="127" t="s">
        <v>13511</v>
      </c>
      <c r="K315" s="127" t="s">
        <v>11531</v>
      </c>
      <c r="L315" s="127" t="s">
        <v>13821</v>
      </c>
      <c r="M315" s="127" t="s">
        <v>11532</v>
      </c>
      <c r="N315" s="127" t="s">
        <v>11533</v>
      </c>
      <c r="O315" s="127" t="s">
        <v>14131</v>
      </c>
      <c r="P315" s="127" t="s">
        <v>14441</v>
      </c>
      <c r="Q315" s="127" t="s">
        <v>14751</v>
      </c>
    </row>
    <row r="316" spans="1:17" x14ac:dyDescent="0.35">
      <c r="A316" s="127" t="s">
        <v>6063</v>
      </c>
      <c r="C316" s="127" t="s">
        <v>20470</v>
      </c>
      <c r="D316" s="127" t="s">
        <v>13202</v>
      </c>
      <c r="I316" s="127" t="s">
        <v>11535</v>
      </c>
      <c r="J316" s="127" t="s">
        <v>13512</v>
      </c>
      <c r="K316" s="127" t="s">
        <v>11536</v>
      </c>
      <c r="L316" s="127" t="s">
        <v>13822</v>
      </c>
      <c r="M316" s="127" t="s">
        <v>11537</v>
      </c>
      <c r="N316" s="127" t="s">
        <v>11538</v>
      </c>
      <c r="O316" s="127" t="s">
        <v>14132</v>
      </c>
      <c r="P316" s="127" t="s">
        <v>14442</v>
      </c>
      <c r="Q316" s="127" t="s">
        <v>14752</v>
      </c>
    </row>
    <row r="317" spans="1:17" x14ac:dyDescent="0.35">
      <c r="A317" s="127" t="s">
        <v>6063</v>
      </c>
      <c r="C317" s="127" t="s">
        <v>20471</v>
      </c>
      <c r="D317" s="127" t="s">
        <v>13203</v>
      </c>
      <c r="I317" s="127" t="s">
        <v>11540</v>
      </c>
      <c r="J317" s="127" t="s">
        <v>13513</v>
      </c>
      <c r="K317" s="127" t="s">
        <v>11541</v>
      </c>
      <c r="L317" s="127" t="s">
        <v>13823</v>
      </c>
      <c r="M317" s="127" t="s">
        <v>11542</v>
      </c>
      <c r="N317" s="127" t="s">
        <v>11543</v>
      </c>
      <c r="O317" s="127" t="s">
        <v>14133</v>
      </c>
      <c r="P317" s="127" t="s">
        <v>14443</v>
      </c>
      <c r="Q317" s="127" t="s">
        <v>14753</v>
      </c>
    </row>
    <row r="318" spans="1:17" x14ac:dyDescent="0.35">
      <c r="A318" s="127" t="s">
        <v>6063</v>
      </c>
      <c r="C318" s="127" t="s">
        <v>20472</v>
      </c>
      <c r="D318" s="127" t="s">
        <v>13204</v>
      </c>
      <c r="I318" s="127" t="s">
        <v>11545</v>
      </c>
      <c r="J318" s="127" t="s">
        <v>13514</v>
      </c>
      <c r="K318" s="127" t="s">
        <v>11546</v>
      </c>
      <c r="L318" s="127" t="s">
        <v>13824</v>
      </c>
      <c r="M318" s="127" t="s">
        <v>11547</v>
      </c>
      <c r="N318" s="127" t="s">
        <v>11548</v>
      </c>
      <c r="O318" s="127" t="s">
        <v>14134</v>
      </c>
      <c r="P318" s="127" t="s">
        <v>14444</v>
      </c>
      <c r="Q318" s="127" t="s">
        <v>14754</v>
      </c>
    </row>
    <row r="319" spans="1:17" x14ac:dyDescent="0.35">
      <c r="A319" s="127" t="s">
        <v>6063</v>
      </c>
      <c r="C319" s="127" t="s">
        <v>20473</v>
      </c>
      <c r="D319" s="127" t="s">
        <v>13205</v>
      </c>
      <c r="I319" s="127" t="s">
        <v>11550</v>
      </c>
      <c r="J319" s="127" t="s">
        <v>13515</v>
      </c>
      <c r="K319" s="127" t="s">
        <v>11551</v>
      </c>
      <c r="L319" s="127" t="s">
        <v>13825</v>
      </c>
      <c r="M319" s="127" t="s">
        <v>11552</v>
      </c>
      <c r="N319" s="127" t="s">
        <v>11553</v>
      </c>
      <c r="O319" s="127" t="s">
        <v>14135</v>
      </c>
      <c r="P319" s="127" t="s">
        <v>14445</v>
      </c>
      <c r="Q319" s="127" t="s">
        <v>14755</v>
      </c>
    </row>
    <row r="320" spans="1:17" x14ac:dyDescent="0.35">
      <c r="A320" s="127" t="s">
        <v>6063</v>
      </c>
      <c r="C320" s="127" t="s">
        <v>20474</v>
      </c>
      <c r="D320" s="127" t="s">
        <v>13206</v>
      </c>
      <c r="I320" s="127" t="s">
        <v>11555</v>
      </c>
      <c r="J320" s="127" t="s">
        <v>13516</v>
      </c>
      <c r="K320" s="127" t="s">
        <v>11556</v>
      </c>
      <c r="L320" s="127" t="s">
        <v>13826</v>
      </c>
      <c r="M320" s="127" t="s">
        <v>11557</v>
      </c>
      <c r="N320" s="127" t="s">
        <v>11558</v>
      </c>
      <c r="O320" s="127" t="s">
        <v>14136</v>
      </c>
      <c r="P320" s="127" t="s">
        <v>14446</v>
      </c>
      <c r="Q320" s="127" t="s">
        <v>14756</v>
      </c>
    </row>
    <row r="321" spans="1:17" x14ac:dyDescent="0.35">
      <c r="A321" s="127" t="s">
        <v>6063</v>
      </c>
      <c r="C321" s="127" t="s">
        <v>20475</v>
      </c>
      <c r="D321" s="127" t="s">
        <v>13207</v>
      </c>
      <c r="I321" s="127" t="s">
        <v>11560</v>
      </c>
      <c r="J321" s="127" t="s">
        <v>13517</v>
      </c>
      <c r="K321" s="127" t="s">
        <v>11561</v>
      </c>
      <c r="L321" s="127" t="s">
        <v>13827</v>
      </c>
      <c r="M321" s="127" t="s">
        <v>11562</v>
      </c>
      <c r="N321" s="127" t="s">
        <v>11563</v>
      </c>
      <c r="O321" s="127" t="s">
        <v>14137</v>
      </c>
      <c r="P321" s="127" t="s">
        <v>14447</v>
      </c>
      <c r="Q321" s="127" t="s">
        <v>14757</v>
      </c>
    </row>
    <row r="322" spans="1:17" x14ac:dyDescent="0.35">
      <c r="A322" s="127" t="s">
        <v>6063</v>
      </c>
      <c r="C322" s="127" t="s">
        <v>20476</v>
      </c>
      <c r="D322" s="127" t="s">
        <v>13208</v>
      </c>
      <c r="I322" s="127" t="s">
        <v>11565</v>
      </c>
      <c r="J322" s="127" t="s">
        <v>13518</v>
      </c>
      <c r="K322" s="127" t="s">
        <v>11566</v>
      </c>
      <c r="L322" s="127" t="s">
        <v>13828</v>
      </c>
      <c r="M322" s="127" t="s">
        <v>11567</v>
      </c>
      <c r="N322" s="127" t="s">
        <v>11568</v>
      </c>
      <c r="O322" s="127" t="s">
        <v>14138</v>
      </c>
      <c r="P322" s="127" t="s">
        <v>14448</v>
      </c>
      <c r="Q322" s="127" t="s">
        <v>14758</v>
      </c>
    </row>
    <row r="323" spans="1:17" x14ac:dyDescent="0.35">
      <c r="A323" s="127" t="s">
        <v>6063</v>
      </c>
      <c r="C323" s="127" t="s">
        <v>20477</v>
      </c>
      <c r="D323" s="127" t="s">
        <v>13209</v>
      </c>
      <c r="I323" s="127" t="s">
        <v>11570</v>
      </c>
      <c r="J323" s="127" t="s">
        <v>13519</v>
      </c>
      <c r="K323" s="127" t="s">
        <v>11571</v>
      </c>
      <c r="L323" s="127" t="s">
        <v>13829</v>
      </c>
      <c r="M323" s="127" t="s">
        <v>11572</v>
      </c>
      <c r="N323" s="127" t="s">
        <v>11573</v>
      </c>
      <c r="O323" s="127" t="s">
        <v>14139</v>
      </c>
      <c r="P323" s="127" t="s">
        <v>14449</v>
      </c>
      <c r="Q323" s="127" t="s">
        <v>14759</v>
      </c>
    </row>
    <row r="326" spans="1:17" x14ac:dyDescent="0.35">
      <c r="I326" s="127" t="s">
        <v>51</v>
      </c>
    </row>
    <row r="327" spans="1:17" x14ac:dyDescent="0.35">
      <c r="I327" s="127" t="s">
        <v>52</v>
      </c>
    </row>
    <row r="328" spans="1:17" x14ac:dyDescent="0.35">
      <c r="I328" s="127" t="s">
        <v>53</v>
      </c>
    </row>
    <row r="329" spans="1:17" x14ac:dyDescent="0.35">
      <c r="C329" s="127" t="s">
        <v>56</v>
      </c>
      <c r="D329" s="127" t="s">
        <v>55</v>
      </c>
      <c r="I329" s="127" t="s">
        <v>37</v>
      </c>
      <c r="J329" s="127" t="s">
        <v>10</v>
      </c>
      <c r="K329" s="127" t="s">
        <v>54</v>
      </c>
      <c r="L329" s="127" t="s">
        <v>57</v>
      </c>
      <c r="M329" s="127" t="s">
        <v>9</v>
      </c>
      <c r="N329" s="127" t="s">
        <v>32</v>
      </c>
    </row>
    <row r="330" spans="1:17" x14ac:dyDescent="0.35">
      <c r="C330" s="127" t="s">
        <v>3263</v>
      </c>
      <c r="D330" s="127" t="s">
        <v>11574</v>
      </c>
      <c r="I330" s="127" t="s">
        <v>11575</v>
      </c>
      <c r="J330" s="127" t="s">
        <v>14760</v>
      </c>
      <c r="K330" s="127" t="s">
        <v>15202</v>
      </c>
      <c r="L330" s="127" t="s">
        <v>15644</v>
      </c>
      <c r="M330" s="127" t="s">
        <v>16086</v>
      </c>
      <c r="N330" s="127" t="s">
        <v>11576</v>
      </c>
    </row>
    <row r="331" spans="1:17" x14ac:dyDescent="0.35">
      <c r="A331" s="127" t="s">
        <v>6063</v>
      </c>
      <c r="C331" s="127" t="s">
        <v>3263</v>
      </c>
      <c r="D331" s="127" t="s">
        <v>20478</v>
      </c>
      <c r="I331" s="127" t="s">
        <v>11578</v>
      </c>
      <c r="J331" s="127" t="s">
        <v>14761</v>
      </c>
      <c r="K331" s="127" t="s">
        <v>15203</v>
      </c>
      <c r="L331" s="127" t="s">
        <v>15645</v>
      </c>
      <c r="M331" s="127" t="s">
        <v>16087</v>
      </c>
      <c r="N331" s="127" t="s">
        <v>11579</v>
      </c>
    </row>
    <row r="332" spans="1:17" x14ac:dyDescent="0.35">
      <c r="A332" s="127" t="s">
        <v>6063</v>
      </c>
      <c r="C332" s="127" t="s">
        <v>3263</v>
      </c>
      <c r="D332" s="127" t="s">
        <v>20479</v>
      </c>
      <c r="I332" s="127" t="s">
        <v>11581</v>
      </c>
      <c r="J332" s="127" t="s">
        <v>14762</v>
      </c>
      <c r="K332" s="127" t="s">
        <v>15204</v>
      </c>
      <c r="L332" s="127" t="s">
        <v>15646</v>
      </c>
      <c r="M332" s="127" t="s">
        <v>16088</v>
      </c>
      <c r="N332" s="127" t="s">
        <v>11582</v>
      </c>
    </row>
    <row r="333" spans="1:17" x14ac:dyDescent="0.35">
      <c r="A333" s="127" t="s">
        <v>6063</v>
      </c>
      <c r="C333" s="127" t="s">
        <v>3263</v>
      </c>
      <c r="D333" s="127" t="s">
        <v>20480</v>
      </c>
      <c r="I333" s="127" t="s">
        <v>11584</v>
      </c>
      <c r="J333" s="127" t="s">
        <v>14763</v>
      </c>
      <c r="K333" s="127" t="s">
        <v>15205</v>
      </c>
      <c r="L333" s="127" t="s">
        <v>15647</v>
      </c>
      <c r="M333" s="127" t="s">
        <v>16089</v>
      </c>
      <c r="N333" s="127" t="s">
        <v>11585</v>
      </c>
    </row>
    <row r="334" spans="1:17" x14ac:dyDescent="0.35">
      <c r="A334" s="127" t="s">
        <v>6063</v>
      </c>
      <c r="C334" s="127" t="s">
        <v>3263</v>
      </c>
      <c r="D334" s="127" t="s">
        <v>20481</v>
      </c>
      <c r="I334" s="127" t="s">
        <v>11587</v>
      </c>
      <c r="J334" s="127" t="s">
        <v>14764</v>
      </c>
      <c r="K334" s="127" t="s">
        <v>15206</v>
      </c>
      <c r="L334" s="127" t="s">
        <v>15648</v>
      </c>
      <c r="M334" s="127" t="s">
        <v>16090</v>
      </c>
      <c r="N334" s="127" t="s">
        <v>11588</v>
      </c>
    </row>
    <row r="335" spans="1:17" x14ac:dyDescent="0.35">
      <c r="A335" s="127" t="s">
        <v>6063</v>
      </c>
      <c r="C335" s="127" t="s">
        <v>3263</v>
      </c>
      <c r="D335" s="127" t="s">
        <v>20482</v>
      </c>
      <c r="I335" s="127" t="s">
        <v>11590</v>
      </c>
      <c r="J335" s="127" t="s">
        <v>14765</v>
      </c>
      <c r="K335" s="127" t="s">
        <v>15207</v>
      </c>
      <c r="L335" s="127" t="s">
        <v>15649</v>
      </c>
      <c r="M335" s="127" t="s">
        <v>16091</v>
      </c>
      <c r="N335" s="127" t="s">
        <v>11591</v>
      </c>
    </row>
    <row r="336" spans="1:17" x14ac:dyDescent="0.35">
      <c r="A336" s="127" t="s">
        <v>6063</v>
      </c>
      <c r="C336" s="127" t="s">
        <v>3263</v>
      </c>
      <c r="D336" s="127" t="s">
        <v>20483</v>
      </c>
      <c r="I336" s="127" t="s">
        <v>11593</v>
      </c>
      <c r="J336" s="127" t="s">
        <v>14766</v>
      </c>
      <c r="K336" s="127" t="s">
        <v>15208</v>
      </c>
      <c r="L336" s="127" t="s">
        <v>15650</v>
      </c>
      <c r="M336" s="127" t="s">
        <v>16092</v>
      </c>
      <c r="N336" s="127" t="s">
        <v>11594</v>
      </c>
    </row>
    <row r="337" spans="1:14" x14ac:dyDescent="0.35">
      <c r="A337" s="127" t="s">
        <v>6063</v>
      </c>
      <c r="C337" s="127" t="s">
        <v>3263</v>
      </c>
      <c r="D337" s="127" t="s">
        <v>20484</v>
      </c>
      <c r="I337" s="127" t="s">
        <v>11596</v>
      </c>
      <c r="J337" s="127" t="s">
        <v>14767</v>
      </c>
      <c r="K337" s="127" t="s">
        <v>15209</v>
      </c>
      <c r="L337" s="127" t="s">
        <v>15651</v>
      </c>
      <c r="M337" s="127" t="s">
        <v>16093</v>
      </c>
      <c r="N337" s="127" t="s">
        <v>11597</v>
      </c>
    </row>
    <row r="338" spans="1:14" x14ac:dyDescent="0.35">
      <c r="A338" s="127" t="s">
        <v>6063</v>
      </c>
      <c r="C338" s="127" t="s">
        <v>3263</v>
      </c>
      <c r="D338" s="127" t="s">
        <v>20485</v>
      </c>
      <c r="I338" s="127" t="s">
        <v>11599</v>
      </c>
      <c r="J338" s="127" t="s">
        <v>14768</v>
      </c>
      <c r="K338" s="127" t="s">
        <v>15210</v>
      </c>
      <c r="L338" s="127" t="s">
        <v>15652</v>
      </c>
      <c r="M338" s="127" t="s">
        <v>16094</v>
      </c>
      <c r="N338" s="127" t="s">
        <v>11600</v>
      </c>
    </row>
    <row r="339" spans="1:14" x14ac:dyDescent="0.35">
      <c r="A339" s="127" t="s">
        <v>6063</v>
      </c>
      <c r="C339" s="127" t="s">
        <v>3263</v>
      </c>
      <c r="D339" s="127" t="s">
        <v>20486</v>
      </c>
      <c r="I339" s="127" t="s">
        <v>11602</v>
      </c>
      <c r="J339" s="127" t="s">
        <v>14769</v>
      </c>
      <c r="K339" s="127" t="s">
        <v>15211</v>
      </c>
      <c r="L339" s="127" t="s">
        <v>15653</v>
      </c>
      <c r="M339" s="127" t="s">
        <v>16095</v>
      </c>
      <c r="N339" s="127" t="s">
        <v>11603</v>
      </c>
    </row>
    <row r="340" spans="1:14" x14ac:dyDescent="0.35">
      <c r="A340" s="127" t="s">
        <v>6063</v>
      </c>
      <c r="C340" s="127" t="s">
        <v>3263</v>
      </c>
      <c r="D340" s="127" t="s">
        <v>20487</v>
      </c>
      <c r="I340" s="127" t="s">
        <v>11605</v>
      </c>
      <c r="J340" s="127" t="s">
        <v>14770</v>
      </c>
      <c r="K340" s="127" t="s">
        <v>15212</v>
      </c>
      <c r="L340" s="127" t="s">
        <v>15654</v>
      </c>
      <c r="M340" s="127" t="s">
        <v>16096</v>
      </c>
      <c r="N340" s="127" t="s">
        <v>11606</v>
      </c>
    </row>
    <row r="341" spans="1:14" x14ac:dyDescent="0.35">
      <c r="A341" s="127" t="s">
        <v>6063</v>
      </c>
      <c r="C341" s="127" t="s">
        <v>3263</v>
      </c>
      <c r="D341" s="127" t="s">
        <v>20488</v>
      </c>
      <c r="I341" s="127" t="s">
        <v>11608</v>
      </c>
      <c r="J341" s="127" t="s">
        <v>14771</v>
      </c>
      <c r="K341" s="127" t="s">
        <v>15213</v>
      </c>
      <c r="L341" s="127" t="s">
        <v>15655</v>
      </c>
      <c r="M341" s="127" t="s">
        <v>16097</v>
      </c>
      <c r="N341" s="127" t="s">
        <v>11609</v>
      </c>
    </row>
    <row r="342" spans="1:14" x14ac:dyDescent="0.35">
      <c r="A342" s="127" t="s">
        <v>6063</v>
      </c>
      <c r="C342" s="127" t="s">
        <v>3263</v>
      </c>
      <c r="D342" s="127" t="s">
        <v>20489</v>
      </c>
      <c r="I342" s="127" t="s">
        <v>11611</v>
      </c>
      <c r="J342" s="127" t="s">
        <v>14772</v>
      </c>
      <c r="K342" s="127" t="s">
        <v>15214</v>
      </c>
      <c r="L342" s="127" t="s">
        <v>15656</v>
      </c>
      <c r="M342" s="127" t="s">
        <v>16098</v>
      </c>
      <c r="N342" s="127" t="s">
        <v>11612</v>
      </c>
    </row>
    <row r="343" spans="1:14" x14ac:dyDescent="0.35">
      <c r="A343" s="127" t="s">
        <v>6063</v>
      </c>
      <c r="C343" s="127" t="s">
        <v>3263</v>
      </c>
      <c r="D343" s="127" t="s">
        <v>20490</v>
      </c>
      <c r="I343" s="127" t="s">
        <v>11614</v>
      </c>
      <c r="J343" s="127" t="s">
        <v>14773</v>
      </c>
      <c r="K343" s="127" t="s">
        <v>15215</v>
      </c>
      <c r="L343" s="127" t="s">
        <v>15657</v>
      </c>
      <c r="M343" s="127" t="s">
        <v>16099</v>
      </c>
      <c r="N343" s="127" t="s">
        <v>11615</v>
      </c>
    </row>
    <row r="344" spans="1:14" x14ac:dyDescent="0.35">
      <c r="A344" s="127" t="s">
        <v>6063</v>
      </c>
      <c r="C344" s="127" t="s">
        <v>3263</v>
      </c>
      <c r="D344" s="127" t="s">
        <v>20491</v>
      </c>
      <c r="I344" s="127" t="s">
        <v>11617</v>
      </c>
      <c r="J344" s="127" t="s">
        <v>14774</v>
      </c>
      <c r="K344" s="127" t="s">
        <v>15216</v>
      </c>
      <c r="L344" s="127" t="s">
        <v>15658</v>
      </c>
      <c r="M344" s="127" t="s">
        <v>16100</v>
      </c>
      <c r="N344" s="127" t="s">
        <v>11618</v>
      </c>
    </row>
    <row r="345" spans="1:14" x14ac:dyDescent="0.35">
      <c r="A345" s="127" t="s">
        <v>6063</v>
      </c>
      <c r="C345" s="127" t="s">
        <v>3263</v>
      </c>
      <c r="D345" s="127" t="s">
        <v>20492</v>
      </c>
      <c r="I345" s="127" t="s">
        <v>11620</v>
      </c>
      <c r="J345" s="127" t="s">
        <v>14775</v>
      </c>
      <c r="K345" s="127" t="s">
        <v>15217</v>
      </c>
      <c r="L345" s="127" t="s">
        <v>15659</v>
      </c>
      <c r="M345" s="127" t="s">
        <v>16101</v>
      </c>
      <c r="N345" s="127" t="s">
        <v>11621</v>
      </c>
    </row>
    <row r="346" spans="1:14" x14ac:dyDescent="0.35">
      <c r="A346" s="127" t="s">
        <v>6063</v>
      </c>
      <c r="C346" s="127" t="s">
        <v>3263</v>
      </c>
      <c r="D346" s="127" t="s">
        <v>20493</v>
      </c>
      <c r="I346" s="127" t="s">
        <v>11623</v>
      </c>
      <c r="J346" s="127" t="s">
        <v>14776</v>
      </c>
      <c r="K346" s="127" t="s">
        <v>15218</v>
      </c>
      <c r="L346" s="127" t="s">
        <v>15660</v>
      </c>
      <c r="M346" s="127" t="s">
        <v>16102</v>
      </c>
      <c r="N346" s="127" t="s">
        <v>11624</v>
      </c>
    </row>
    <row r="347" spans="1:14" x14ac:dyDescent="0.35">
      <c r="A347" s="127" t="s">
        <v>6063</v>
      </c>
      <c r="C347" s="127" t="s">
        <v>3263</v>
      </c>
      <c r="D347" s="127" t="s">
        <v>20494</v>
      </c>
      <c r="I347" s="127" t="s">
        <v>11626</v>
      </c>
      <c r="J347" s="127" t="s">
        <v>14777</v>
      </c>
      <c r="K347" s="127" t="s">
        <v>15219</v>
      </c>
      <c r="L347" s="127" t="s">
        <v>15661</v>
      </c>
      <c r="M347" s="127" t="s">
        <v>16103</v>
      </c>
      <c r="N347" s="127" t="s">
        <v>11627</v>
      </c>
    </row>
    <row r="348" spans="1:14" x14ac:dyDescent="0.35">
      <c r="A348" s="127" t="s">
        <v>6063</v>
      </c>
      <c r="C348" s="127" t="s">
        <v>3263</v>
      </c>
      <c r="D348" s="127" t="s">
        <v>20495</v>
      </c>
      <c r="I348" s="127" t="s">
        <v>11629</v>
      </c>
      <c r="J348" s="127" t="s">
        <v>14778</v>
      </c>
      <c r="K348" s="127" t="s">
        <v>15220</v>
      </c>
      <c r="L348" s="127" t="s">
        <v>15662</v>
      </c>
      <c r="M348" s="127" t="s">
        <v>16104</v>
      </c>
      <c r="N348" s="127" t="s">
        <v>11630</v>
      </c>
    </row>
    <row r="349" spans="1:14" x14ac:dyDescent="0.35">
      <c r="A349" s="127" t="s">
        <v>6063</v>
      </c>
      <c r="C349" s="127" t="s">
        <v>3263</v>
      </c>
      <c r="D349" s="127" t="s">
        <v>20496</v>
      </c>
      <c r="I349" s="127" t="s">
        <v>11632</v>
      </c>
      <c r="J349" s="127" t="s">
        <v>14779</v>
      </c>
      <c r="K349" s="127" t="s">
        <v>15221</v>
      </c>
      <c r="L349" s="127" t="s">
        <v>15663</v>
      </c>
      <c r="M349" s="127" t="s">
        <v>16105</v>
      </c>
      <c r="N349" s="127" t="s">
        <v>11633</v>
      </c>
    </row>
    <row r="350" spans="1:14" x14ac:dyDescent="0.35">
      <c r="A350" s="127" t="s">
        <v>6063</v>
      </c>
      <c r="C350" s="127" t="s">
        <v>3263</v>
      </c>
      <c r="D350" s="127" t="s">
        <v>20497</v>
      </c>
      <c r="I350" s="127" t="s">
        <v>11635</v>
      </c>
      <c r="J350" s="127" t="s">
        <v>14780</v>
      </c>
      <c r="K350" s="127" t="s">
        <v>15222</v>
      </c>
      <c r="L350" s="127" t="s">
        <v>15664</v>
      </c>
      <c r="M350" s="127" t="s">
        <v>16106</v>
      </c>
      <c r="N350" s="127" t="s">
        <v>11636</v>
      </c>
    </row>
    <row r="351" spans="1:14" x14ac:dyDescent="0.35">
      <c r="A351" s="127" t="s">
        <v>6063</v>
      </c>
      <c r="C351" s="127" t="s">
        <v>3263</v>
      </c>
      <c r="D351" s="127" t="s">
        <v>20498</v>
      </c>
      <c r="I351" s="127" t="s">
        <v>11638</v>
      </c>
      <c r="J351" s="127" t="s">
        <v>14781</v>
      </c>
      <c r="K351" s="127" t="s">
        <v>15223</v>
      </c>
      <c r="L351" s="127" t="s">
        <v>15665</v>
      </c>
      <c r="M351" s="127" t="s">
        <v>16107</v>
      </c>
      <c r="N351" s="127" t="s">
        <v>11639</v>
      </c>
    </row>
    <row r="352" spans="1:14" x14ac:dyDescent="0.35">
      <c r="A352" s="127" t="s">
        <v>6063</v>
      </c>
      <c r="C352" s="127" t="s">
        <v>3263</v>
      </c>
      <c r="D352" s="127" t="s">
        <v>20499</v>
      </c>
      <c r="I352" s="127" t="s">
        <v>11641</v>
      </c>
      <c r="J352" s="127" t="s">
        <v>14782</v>
      </c>
      <c r="K352" s="127" t="s">
        <v>15224</v>
      </c>
      <c r="L352" s="127" t="s">
        <v>15666</v>
      </c>
      <c r="M352" s="127" t="s">
        <v>16108</v>
      </c>
      <c r="N352" s="127" t="s">
        <v>11642</v>
      </c>
    </row>
    <row r="353" spans="1:14" x14ac:dyDescent="0.35">
      <c r="A353" s="127" t="s">
        <v>6063</v>
      </c>
      <c r="C353" s="127" t="s">
        <v>3263</v>
      </c>
      <c r="D353" s="127" t="s">
        <v>20500</v>
      </c>
      <c r="I353" s="127" t="s">
        <v>11644</v>
      </c>
      <c r="J353" s="127" t="s">
        <v>14783</v>
      </c>
      <c r="K353" s="127" t="s">
        <v>15225</v>
      </c>
      <c r="L353" s="127" t="s">
        <v>15667</v>
      </c>
      <c r="M353" s="127" t="s">
        <v>16109</v>
      </c>
      <c r="N353" s="127" t="s">
        <v>11645</v>
      </c>
    </row>
    <row r="354" spans="1:14" x14ac:dyDescent="0.35">
      <c r="A354" s="127" t="s">
        <v>6063</v>
      </c>
      <c r="C354" s="127" t="s">
        <v>3263</v>
      </c>
      <c r="D354" s="127" t="s">
        <v>20501</v>
      </c>
      <c r="I354" s="127" t="s">
        <v>11647</v>
      </c>
      <c r="J354" s="127" t="s">
        <v>14784</v>
      </c>
      <c r="K354" s="127" t="s">
        <v>15226</v>
      </c>
      <c r="L354" s="127" t="s">
        <v>15668</v>
      </c>
      <c r="M354" s="127" t="s">
        <v>16110</v>
      </c>
      <c r="N354" s="127" t="s">
        <v>11648</v>
      </c>
    </row>
    <row r="355" spans="1:14" x14ac:dyDescent="0.35">
      <c r="A355" s="127" t="s">
        <v>6063</v>
      </c>
      <c r="C355" s="127" t="s">
        <v>3263</v>
      </c>
      <c r="D355" s="127" t="s">
        <v>20502</v>
      </c>
      <c r="I355" s="127" t="s">
        <v>11650</v>
      </c>
      <c r="J355" s="127" t="s">
        <v>14785</v>
      </c>
      <c r="K355" s="127" t="s">
        <v>15227</v>
      </c>
      <c r="L355" s="127" t="s">
        <v>15669</v>
      </c>
      <c r="M355" s="127" t="s">
        <v>16111</v>
      </c>
      <c r="N355" s="127" t="s">
        <v>11651</v>
      </c>
    </row>
    <row r="356" spans="1:14" x14ac:dyDescent="0.35">
      <c r="A356" s="127" t="s">
        <v>6063</v>
      </c>
      <c r="C356" s="127" t="s">
        <v>3263</v>
      </c>
      <c r="D356" s="127" t="s">
        <v>20503</v>
      </c>
      <c r="I356" s="127" t="s">
        <v>11653</v>
      </c>
      <c r="J356" s="127" t="s">
        <v>14786</v>
      </c>
      <c r="K356" s="127" t="s">
        <v>15228</v>
      </c>
      <c r="L356" s="127" t="s">
        <v>15670</v>
      </c>
      <c r="M356" s="127" t="s">
        <v>16112</v>
      </c>
      <c r="N356" s="127" t="s">
        <v>11654</v>
      </c>
    </row>
    <row r="357" spans="1:14" x14ac:dyDescent="0.35">
      <c r="A357" s="127" t="s">
        <v>6063</v>
      </c>
      <c r="C357" s="127" t="s">
        <v>3263</v>
      </c>
      <c r="D357" s="127" t="s">
        <v>20504</v>
      </c>
      <c r="I357" s="127" t="s">
        <v>11656</v>
      </c>
      <c r="J357" s="127" t="s">
        <v>14787</v>
      </c>
      <c r="K357" s="127" t="s">
        <v>15229</v>
      </c>
      <c r="L357" s="127" t="s">
        <v>15671</v>
      </c>
      <c r="M357" s="127" t="s">
        <v>16113</v>
      </c>
      <c r="N357" s="127" t="s">
        <v>11657</v>
      </c>
    </row>
    <row r="358" spans="1:14" x14ac:dyDescent="0.35">
      <c r="A358" s="127" t="s">
        <v>6063</v>
      </c>
      <c r="C358" s="127" t="s">
        <v>3263</v>
      </c>
      <c r="D358" s="127" t="s">
        <v>20505</v>
      </c>
      <c r="I358" s="127" t="s">
        <v>11659</v>
      </c>
      <c r="J358" s="127" t="s">
        <v>14788</v>
      </c>
      <c r="K358" s="127" t="s">
        <v>15230</v>
      </c>
      <c r="L358" s="127" t="s">
        <v>15672</v>
      </c>
      <c r="M358" s="127" t="s">
        <v>16114</v>
      </c>
      <c r="N358" s="127" t="s">
        <v>11660</v>
      </c>
    </row>
    <row r="359" spans="1:14" x14ac:dyDescent="0.35">
      <c r="A359" s="127" t="s">
        <v>6063</v>
      </c>
      <c r="C359" s="127" t="s">
        <v>3263</v>
      </c>
      <c r="D359" s="127" t="s">
        <v>20506</v>
      </c>
      <c r="I359" s="127" t="s">
        <v>11662</v>
      </c>
      <c r="J359" s="127" t="s">
        <v>14789</v>
      </c>
      <c r="K359" s="127" t="s">
        <v>15231</v>
      </c>
      <c r="L359" s="127" t="s">
        <v>15673</v>
      </c>
      <c r="M359" s="127" t="s">
        <v>16115</v>
      </c>
      <c r="N359" s="127" t="s">
        <v>11663</v>
      </c>
    </row>
    <row r="360" spans="1:14" x14ac:dyDescent="0.35">
      <c r="A360" s="127" t="s">
        <v>6063</v>
      </c>
      <c r="C360" s="127" t="s">
        <v>3263</v>
      </c>
      <c r="D360" s="127" t="s">
        <v>20507</v>
      </c>
      <c r="I360" s="127" t="s">
        <v>11665</v>
      </c>
      <c r="J360" s="127" t="s">
        <v>14790</v>
      </c>
      <c r="K360" s="127" t="s">
        <v>15232</v>
      </c>
      <c r="L360" s="127" t="s">
        <v>15674</v>
      </c>
      <c r="M360" s="127" t="s">
        <v>16116</v>
      </c>
      <c r="N360" s="127" t="s">
        <v>11666</v>
      </c>
    </row>
    <row r="361" spans="1:14" x14ac:dyDescent="0.35">
      <c r="A361" s="127" t="s">
        <v>6063</v>
      </c>
      <c r="C361" s="127" t="s">
        <v>3263</v>
      </c>
      <c r="D361" s="127" t="s">
        <v>20508</v>
      </c>
      <c r="I361" s="127" t="s">
        <v>11668</v>
      </c>
      <c r="J361" s="127" t="s">
        <v>14791</v>
      </c>
      <c r="K361" s="127" t="s">
        <v>15233</v>
      </c>
      <c r="L361" s="127" t="s">
        <v>15675</v>
      </c>
      <c r="M361" s="127" t="s">
        <v>16117</v>
      </c>
      <c r="N361" s="127" t="s">
        <v>11669</v>
      </c>
    </row>
    <row r="362" spans="1:14" x14ac:dyDescent="0.35">
      <c r="A362" s="127" t="s">
        <v>6063</v>
      </c>
      <c r="C362" s="127" t="s">
        <v>3263</v>
      </c>
      <c r="D362" s="127" t="s">
        <v>20509</v>
      </c>
      <c r="I362" s="127" t="s">
        <v>11671</v>
      </c>
      <c r="J362" s="127" t="s">
        <v>14792</v>
      </c>
      <c r="K362" s="127" t="s">
        <v>15234</v>
      </c>
      <c r="L362" s="127" t="s">
        <v>15676</v>
      </c>
      <c r="M362" s="127" t="s">
        <v>16118</v>
      </c>
      <c r="N362" s="127" t="s">
        <v>11672</v>
      </c>
    </row>
    <row r="363" spans="1:14" x14ac:dyDescent="0.35">
      <c r="A363" s="127" t="s">
        <v>6063</v>
      </c>
      <c r="C363" s="127" t="s">
        <v>3263</v>
      </c>
      <c r="D363" s="127" t="s">
        <v>20510</v>
      </c>
      <c r="I363" s="127" t="s">
        <v>11674</v>
      </c>
      <c r="J363" s="127" t="s">
        <v>14793</v>
      </c>
      <c r="K363" s="127" t="s">
        <v>15235</v>
      </c>
      <c r="L363" s="127" t="s">
        <v>15677</v>
      </c>
      <c r="M363" s="127" t="s">
        <v>16119</v>
      </c>
      <c r="N363" s="127" t="s">
        <v>11675</v>
      </c>
    </row>
    <row r="364" spans="1:14" x14ac:dyDescent="0.35">
      <c r="A364" s="127" t="s">
        <v>6063</v>
      </c>
      <c r="C364" s="127" t="s">
        <v>3263</v>
      </c>
      <c r="D364" s="127" t="s">
        <v>20511</v>
      </c>
      <c r="I364" s="127" t="s">
        <v>11677</v>
      </c>
      <c r="J364" s="127" t="s">
        <v>14794</v>
      </c>
      <c r="K364" s="127" t="s">
        <v>15236</v>
      </c>
      <c r="L364" s="127" t="s">
        <v>15678</v>
      </c>
      <c r="M364" s="127" t="s">
        <v>16120</v>
      </c>
      <c r="N364" s="127" t="s">
        <v>11678</v>
      </c>
    </row>
    <row r="365" spans="1:14" x14ac:dyDescent="0.35">
      <c r="A365" s="127" t="s">
        <v>6063</v>
      </c>
      <c r="C365" s="127" t="s">
        <v>3263</v>
      </c>
      <c r="D365" s="127" t="s">
        <v>20512</v>
      </c>
      <c r="I365" s="127" t="s">
        <v>11680</v>
      </c>
      <c r="J365" s="127" t="s">
        <v>14795</v>
      </c>
      <c r="K365" s="127" t="s">
        <v>15237</v>
      </c>
      <c r="L365" s="127" t="s">
        <v>15679</v>
      </c>
      <c r="M365" s="127" t="s">
        <v>16121</v>
      </c>
      <c r="N365" s="127" t="s">
        <v>11681</v>
      </c>
    </row>
    <row r="366" spans="1:14" x14ac:dyDescent="0.35">
      <c r="A366" s="127" t="s">
        <v>6063</v>
      </c>
      <c r="C366" s="127" t="s">
        <v>3263</v>
      </c>
      <c r="D366" s="127" t="s">
        <v>20513</v>
      </c>
      <c r="I366" s="127" t="s">
        <v>11683</v>
      </c>
      <c r="J366" s="127" t="s">
        <v>14796</v>
      </c>
      <c r="K366" s="127" t="s">
        <v>15238</v>
      </c>
      <c r="L366" s="127" t="s">
        <v>15680</v>
      </c>
      <c r="M366" s="127" t="s">
        <v>16122</v>
      </c>
      <c r="N366" s="127" t="s">
        <v>11684</v>
      </c>
    </row>
    <row r="367" spans="1:14" x14ac:dyDescent="0.35">
      <c r="A367" s="127" t="s">
        <v>6063</v>
      </c>
      <c r="C367" s="127" t="s">
        <v>3263</v>
      </c>
      <c r="D367" s="127" t="s">
        <v>20514</v>
      </c>
      <c r="I367" s="127" t="s">
        <v>11686</v>
      </c>
      <c r="J367" s="127" t="s">
        <v>14797</v>
      </c>
      <c r="K367" s="127" t="s">
        <v>15239</v>
      </c>
      <c r="L367" s="127" t="s">
        <v>15681</v>
      </c>
      <c r="M367" s="127" t="s">
        <v>16123</v>
      </c>
      <c r="N367" s="127" t="s">
        <v>11687</v>
      </c>
    </row>
    <row r="368" spans="1:14" x14ac:dyDescent="0.35">
      <c r="A368" s="127" t="s">
        <v>6063</v>
      </c>
      <c r="C368" s="127" t="s">
        <v>3263</v>
      </c>
      <c r="D368" s="127" t="s">
        <v>20515</v>
      </c>
      <c r="I368" s="127" t="s">
        <v>11689</v>
      </c>
      <c r="J368" s="127" t="s">
        <v>14798</v>
      </c>
      <c r="K368" s="127" t="s">
        <v>15240</v>
      </c>
      <c r="L368" s="127" t="s">
        <v>15682</v>
      </c>
      <c r="M368" s="127" t="s">
        <v>16124</v>
      </c>
      <c r="N368" s="127" t="s">
        <v>11690</v>
      </c>
    </row>
    <row r="369" spans="1:14" x14ac:dyDescent="0.35">
      <c r="A369" s="127" t="s">
        <v>6063</v>
      </c>
      <c r="C369" s="127" t="s">
        <v>3263</v>
      </c>
      <c r="D369" s="127" t="s">
        <v>20516</v>
      </c>
      <c r="I369" s="127" t="s">
        <v>11692</v>
      </c>
      <c r="J369" s="127" t="s">
        <v>14799</v>
      </c>
      <c r="K369" s="127" t="s">
        <v>15241</v>
      </c>
      <c r="L369" s="127" t="s">
        <v>15683</v>
      </c>
      <c r="M369" s="127" t="s">
        <v>16125</v>
      </c>
      <c r="N369" s="127" t="s">
        <v>11693</v>
      </c>
    </row>
    <row r="370" spans="1:14" x14ac:dyDescent="0.35">
      <c r="A370" s="127" t="s">
        <v>6063</v>
      </c>
      <c r="C370" s="127" t="s">
        <v>3263</v>
      </c>
      <c r="D370" s="127" t="s">
        <v>20517</v>
      </c>
      <c r="I370" s="127" t="s">
        <v>11695</v>
      </c>
      <c r="J370" s="127" t="s">
        <v>14800</v>
      </c>
      <c r="K370" s="127" t="s">
        <v>15242</v>
      </c>
      <c r="L370" s="127" t="s">
        <v>15684</v>
      </c>
      <c r="M370" s="127" t="s">
        <v>16126</v>
      </c>
      <c r="N370" s="127" t="s">
        <v>11696</v>
      </c>
    </row>
    <row r="371" spans="1:14" x14ac:dyDescent="0.35">
      <c r="A371" s="127" t="s">
        <v>6063</v>
      </c>
      <c r="C371" s="127" t="s">
        <v>3263</v>
      </c>
      <c r="D371" s="127" t="s">
        <v>20518</v>
      </c>
      <c r="I371" s="127" t="s">
        <v>11698</v>
      </c>
      <c r="J371" s="127" t="s">
        <v>14801</v>
      </c>
      <c r="K371" s="127" t="s">
        <v>15243</v>
      </c>
      <c r="L371" s="127" t="s">
        <v>15685</v>
      </c>
      <c r="M371" s="127" t="s">
        <v>16127</v>
      </c>
      <c r="N371" s="127" t="s">
        <v>11699</v>
      </c>
    </row>
    <row r="372" spans="1:14" x14ac:dyDescent="0.35">
      <c r="A372" s="127" t="s">
        <v>6063</v>
      </c>
      <c r="C372" s="127" t="s">
        <v>3263</v>
      </c>
      <c r="D372" s="127" t="s">
        <v>20519</v>
      </c>
      <c r="I372" s="127" t="s">
        <v>11701</v>
      </c>
      <c r="J372" s="127" t="s">
        <v>14802</v>
      </c>
      <c r="K372" s="127" t="s">
        <v>15244</v>
      </c>
      <c r="L372" s="127" t="s">
        <v>15686</v>
      </c>
      <c r="M372" s="127" t="s">
        <v>16128</v>
      </c>
      <c r="N372" s="127" t="s">
        <v>11702</v>
      </c>
    </row>
    <row r="373" spans="1:14" x14ac:dyDescent="0.35">
      <c r="A373" s="127" t="s">
        <v>6063</v>
      </c>
      <c r="C373" s="127" t="s">
        <v>3263</v>
      </c>
      <c r="D373" s="127" t="s">
        <v>20520</v>
      </c>
      <c r="I373" s="127" t="s">
        <v>11704</v>
      </c>
      <c r="J373" s="127" t="s">
        <v>14803</v>
      </c>
      <c r="K373" s="127" t="s">
        <v>15245</v>
      </c>
      <c r="L373" s="127" t="s">
        <v>15687</v>
      </c>
      <c r="M373" s="127" t="s">
        <v>16129</v>
      </c>
      <c r="N373" s="127" t="s">
        <v>11705</v>
      </c>
    </row>
    <row r="374" spans="1:14" x14ac:dyDescent="0.35">
      <c r="A374" s="127" t="s">
        <v>6063</v>
      </c>
      <c r="C374" s="127" t="s">
        <v>3263</v>
      </c>
      <c r="D374" s="127" t="s">
        <v>20521</v>
      </c>
      <c r="I374" s="127" t="s">
        <v>11707</v>
      </c>
      <c r="J374" s="127" t="s">
        <v>14804</v>
      </c>
      <c r="K374" s="127" t="s">
        <v>15246</v>
      </c>
      <c r="L374" s="127" t="s">
        <v>15688</v>
      </c>
      <c r="M374" s="127" t="s">
        <v>16130</v>
      </c>
      <c r="N374" s="127" t="s">
        <v>11708</v>
      </c>
    </row>
    <row r="375" spans="1:14" x14ac:dyDescent="0.35">
      <c r="A375" s="127" t="s">
        <v>6063</v>
      </c>
      <c r="C375" s="127" t="s">
        <v>3263</v>
      </c>
      <c r="D375" s="127" t="s">
        <v>20522</v>
      </c>
      <c r="I375" s="127" t="s">
        <v>11710</v>
      </c>
      <c r="J375" s="127" t="s">
        <v>14805</v>
      </c>
      <c r="K375" s="127" t="s">
        <v>15247</v>
      </c>
      <c r="L375" s="127" t="s">
        <v>15689</v>
      </c>
      <c r="M375" s="127" t="s">
        <v>16131</v>
      </c>
      <c r="N375" s="127" t="s">
        <v>11711</v>
      </c>
    </row>
    <row r="376" spans="1:14" x14ac:dyDescent="0.35">
      <c r="A376" s="127" t="s">
        <v>6063</v>
      </c>
      <c r="C376" s="127" t="s">
        <v>3263</v>
      </c>
      <c r="D376" s="127" t="s">
        <v>20523</v>
      </c>
      <c r="I376" s="127" t="s">
        <v>11713</v>
      </c>
      <c r="J376" s="127" t="s">
        <v>14806</v>
      </c>
      <c r="K376" s="127" t="s">
        <v>15248</v>
      </c>
      <c r="L376" s="127" t="s">
        <v>15690</v>
      </c>
      <c r="M376" s="127" t="s">
        <v>16132</v>
      </c>
      <c r="N376" s="127" t="s">
        <v>11714</v>
      </c>
    </row>
    <row r="377" spans="1:14" x14ac:dyDescent="0.35">
      <c r="A377" s="127" t="s">
        <v>6063</v>
      </c>
      <c r="C377" s="127" t="s">
        <v>3263</v>
      </c>
      <c r="D377" s="127" t="s">
        <v>20524</v>
      </c>
      <c r="I377" s="127" t="s">
        <v>11716</v>
      </c>
      <c r="J377" s="127" t="s">
        <v>14807</v>
      </c>
      <c r="K377" s="127" t="s">
        <v>15249</v>
      </c>
      <c r="L377" s="127" t="s">
        <v>15691</v>
      </c>
      <c r="M377" s="127" t="s">
        <v>16133</v>
      </c>
      <c r="N377" s="127" t="s">
        <v>11717</v>
      </c>
    </row>
    <row r="378" spans="1:14" x14ac:dyDescent="0.35">
      <c r="A378" s="127" t="s">
        <v>6063</v>
      </c>
      <c r="C378" s="127" t="s">
        <v>3263</v>
      </c>
      <c r="D378" s="127" t="s">
        <v>20525</v>
      </c>
      <c r="I378" s="127" t="s">
        <v>11719</v>
      </c>
      <c r="J378" s="127" t="s">
        <v>14808</v>
      </c>
      <c r="K378" s="127" t="s">
        <v>15250</v>
      </c>
      <c r="L378" s="127" t="s">
        <v>15692</v>
      </c>
      <c r="M378" s="127" t="s">
        <v>16134</v>
      </c>
      <c r="N378" s="127" t="s">
        <v>11720</v>
      </c>
    </row>
    <row r="379" spans="1:14" x14ac:dyDescent="0.35">
      <c r="A379" s="127" t="s">
        <v>6063</v>
      </c>
      <c r="C379" s="127" t="s">
        <v>3263</v>
      </c>
      <c r="D379" s="127" t="s">
        <v>20526</v>
      </c>
      <c r="I379" s="127" t="s">
        <v>11722</v>
      </c>
      <c r="J379" s="127" t="s">
        <v>14809</v>
      </c>
      <c r="K379" s="127" t="s">
        <v>15251</v>
      </c>
      <c r="L379" s="127" t="s">
        <v>15693</v>
      </c>
      <c r="M379" s="127" t="s">
        <v>16135</v>
      </c>
      <c r="N379" s="127" t="s">
        <v>11723</v>
      </c>
    </row>
    <row r="380" spans="1:14" x14ac:dyDescent="0.35">
      <c r="A380" s="127" t="s">
        <v>6063</v>
      </c>
      <c r="C380" s="127" t="s">
        <v>3263</v>
      </c>
      <c r="D380" s="127" t="s">
        <v>20527</v>
      </c>
      <c r="I380" s="127" t="s">
        <v>11725</v>
      </c>
      <c r="J380" s="127" t="s">
        <v>14810</v>
      </c>
      <c r="K380" s="127" t="s">
        <v>15252</v>
      </c>
      <c r="L380" s="127" t="s">
        <v>15694</v>
      </c>
      <c r="M380" s="127" t="s">
        <v>16136</v>
      </c>
      <c r="N380" s="127" t="s">
        <v>11726</v>
      </c>
    </row>
    <row r="381" spans="1:14" x14ac:dyDescent="0.35">
      <c r="A381" s="127" t="s">
        <v>6063</v>
      </c>
      <c r="C381" s="127" t="s">
        <v>3263</v>
      </c>
      <c r="D381" s="127" t="s">
        <v>20528</v>
      </c>
      <c r="I381" s="127" t="s">
        <v>11728</v>
      </c>
      <c r="J381" s="127" t="s">
        <v>14811</v>
      </c>
      <c r="K381" s="127" t="s">
        <v>15253</v>
      </c>
      <c r="L381" s="127" t="s">
        <v>15695</v>
      </c>
      <c r="M381" s="127" t="s">
        <v>16137</v>
      </c>
      <c r="N381" s="127" t="s">
        <v>11729</v>
      </c>
    </row>
    <row r="382" spans="1:14" x14ac:dyDescent="0.35">
      <c r="A382" s="127" t="s">
        <v>6063</v>
      </c>
      <c r="C382" s="127" t="s">
        <v>3263</v>
      </c>
      <c r="D382" s="127" t="s">
        <v>20529</v>
      </c>
      <c r="I382" s="127" t="s">
        <v>11731</v>
      </c>
      <c r="J382" s="127" t="s">
        <v>14812</v>
      </c>
      <c r="K382" s="127" t="s">
        <v>15254</v>
      </c>
      <c r="L382" s="127" t="s">
        <v>15696</v>
      </c>
      <c r="M382" s="127" t="s">
        <v>16138</v>
      </c>
      <c r="N382" s="127" t="s">
        <v>11732</v>
      </c>
    </row>
    <row r="383" spans="1:14" x14ac:dyDescent="0.35">
      <c r="A383" s="127" t="s">
        <v>6063</v>
      </c>
      <c r="C383" s="127" t="s">
        <v>3263</v>
      </c>
      <c r="D383" s="127" t="s">
        <v>20530</v>
      </c>
      <c r="I383" s="127" t="s">
        <v>11734</v>
      </c>
      <c r="J383" s="127" t="s">
        <v>14813</v>
      </c>
      <c r="K383" s="127" t="s">
        <v>15255</v>
      </c>
      <c r="L383" s="127" t="s">
        <v>15697</v>
      </c>
      <c r="M383" s="127" t="s">
        <v>16139</v>
      </c>
      <c r="N383" s="127" t="s">
        <v>11735</v>
      </c>
    </row>
    <row r="384" spans="1:14" x14ac:dyDescent="0.35">
      <c r="A384" s="127" t="s">
        <v>6063</v>
      </c>
      <c r="C384" s="127" t="s">
        <v>3263</v>
      </c>
      <c r="D384" s="127" t="s">
        <v>20531</v>
      </c>
      <c r="I384" s="127" t="s">
        <v>11737</v>
      </c>
      <c r="J384" s="127" t="s">
        <v>14814</v>
      </c>
      <c r="K384" s="127" t="s">
        <v>15256</v>
      </c>
      <c r="L384" s="127" t="s">
        <v>15698</v>
      </c>
      <c r="M384" s="127" t="s">
        <v>16140</v>
      </c>
      <c r="N384" s="127" t="s">
        <v>11738</v>
      </c>
    </row>
    <row r="385" spans="1:14" x14ac:dyDescent="0.35">
      <c r="A385" s="127" t="s">
        <v>6063</v>
      </c>
      <c r="C385" s="127" t="s">
        <v>3263</v>
      </c>
      <c r="D385" s="127" t="s">
        <v>20532</v>
      </c>
      <c r="I385" s="127" t="s">
        <v>11740</v>
      </c>
      <c r="J385" s="127" t="s">
        <v>14815</v>
      </c>
      <c r="K385" s="127" t="s">
        <v>15257</v>
      </c>
      <c r="L385" s="127" t="s">
        <v>15699</v>
      </c>
      <c r="M385" s="127" t="s">
        <v>16141</v>
      </c>
      <c r="N385" s="127" t="s">
        <v>11741</v>
      </c>
    </row>
    <row r="386" spans="1:14" x14ac:dyDescent="0.35">
      <c r="A386" s="127" t="s">
        <v>6063</v>
      </c>
      <c r="C386" s="127" t="s">
        <v>3263</v>
      </c>
      <c r="D386" s="127" t="s">
        <v>20533</v>
      </c>
      <c r="I386" s="127" t="s">
        <v>11743</v>
      </c>
      <c r="J386" s="127" t="s">
        <v>14816</v>
      </c>
      <c r="K386" s="127" t="s">
        <v>15258</v>
      </c>
      <c r="L386" s="127" t="s">
        <v>15700</v>
      </c>
      <c r="M386" s="127" t="s">
        <v>16142</v>
      </c>
      <c r="N386" s="127" t="s">
        <v>11744</v>
      </c>
    </row>
    <row r="387" spans="1:14" x14ac:dyDescent="0.35">
      <c r="A387" s="127" t="s">
        <v>6063</v>
      </c>
      <c r="C387" s="127" t="s">
        <v>3263</v>
      </c>
      <c r="D387" s="127" t="s">
        <v>20534</v>
      </c>
      <c r="I387" s="127" t="s">
        <v>11746</v>
      </c>
      <c r="J387" s="127" t="s">
        <v>14817</v>
      </c>
      <c r="K387" s="127" t="s">
        <v>15259</v>
      </c>
      <c r="L387" s="127" t="s">
        <v>15701</v>
      </c>
      <c r="M387" s="127" t="s">
        <v>16143</v>
      </c>
      <c r="N387" s="127" t="s">
        <v>11747</v>
      </c>
    </row>
    <row r="388" spans="1:14" x14ac:dyDescent="0.35">
      <c r="A388" s="127" t="s">
        <v>6063</v>
      </c>
      <c r="C388" s="127" t="s">
        <v>3263</v>
      </c>
      <c r="D388" s="127" t="s">
        <v>20535</v>
      </c>
      <c r="I388" s="127" t="s">
        <v>11749</v>
      </c>
      <c r="J388" s="127" t="s">
        <v>14818</v>
      </c>
      <c r="K388" s="127" t="s">
        <v>15260</v>
      </c>
      <c r="L388" s="127" t="s">
        <v>15702</v>
      </c>
      <c r="M388" s="127" t="s">
        <v>16144</v>
      </c>
      <c r="N388" s="127" t="s">
        <v>11750</v>
      </c>
    </row>
    <row r="389" spans="1:14" x14ac:dyDescent="0.35">
      <c r="A389" s="127" t="s">
        <v>6063</v>
      </c>
      <c r="C389" s="127" t="s">
        <v>3263</v>
      </c>
      <c r="D389" s="127" t="s">
        <v>20536</v>
      </c>
      <c r="I389" s="127" t="s">
        <v>11752</v>
      </c>
      <c r="J389" s="127" t="s">
        <v>14819</v>
      </c>
      <c r="K389" s="127" t="s">
        <v>15261</v>
      </c>
      <c r="L389" s="127" t="s">
        <v>15703</v>
      </c>
      <c r="M389" s="127" t="s">
        <v>16145</v>
      </c>
      <c r="N389" s="127" t="s">
        <v>11753</v>
      </c>
    </row>
    <row r="390" spans="1:14" x14ac:dyDescent="0.35">
      <c r="A390" s="127" t="s">
        <v>6063</v>
      </c>
      <c r="C390" s="127" t="s">
        <v>3263</v>
      </c>
      <c r="D390" s="127" t="s">
        <v>20537</v>
      </c>
      <c r="I390" s="127" t="s">
        <v>11755</v>
      </c>
      <c r="J390" s="127" t="s">
        <v>14820</v>
      </c>
      <c r="K390" s="127" t="s">
        <v>15262</v>
      </c>
      <c r="L390" s="127" t="s">
        <v>15704</v>
      </c>
      <c r="M390" s="127" t="s">
        <v>16146</v>
      </c>
      <c r="N390" s="127" t="s">
        <v>11756</v>
      </c>
    </row>
    <row r="391" spans="1:14" x14ac:dyDescent="0.35">
      <c r="A391" s="127" t="s">
        <v>6063</v>
      </c>
      <c r="C391" s="127" t="s">
        <v>3263</v>
      </c>
      <c r="D391" s="127" t="s">
        <v>20538</v>
      </c>
      <c r="I391" s="127" t="s">
        <v>11758</v>
      </c>
      <c r="J391" s="127" t="s">
        <v>14821</v>
      </c>
      <c r="K391" s="127" t="s">
        <v>15263</v>
      </c>
      <c r="L391" s="127" t="s">
        <v>15705</v>
      </c>
      <c r="M391" s="127" t="s">
        <v>16147</v>
      </c>
      <c r="N391" s="127" t="s">
        <v>11759</v>
      </c>
    </row>
    <row r="392" spans="1:14" x14ac:dyDescent="0.35">
      <c r="A392" s="127" t="s">
        <v>6063</v>
      </c>
      <c r="C392" s="127" t="s">
        <v>3263</v>
      </c>
      <c r="D392" s="127" t="s">
        <v>20539</v>
      </c>
      <c r="I392" s="127" t="s">
        <v>11761</v>
      </c>
      <c r="J392" s="127" t="s">
        <v>14822</v>
      </c>
      <c r="K392" s="127" t="s">
        <v>15264</v>
      </c>
      <c r="L392" s="127" t="s">
        <v>15706</v>
      </c>
      <c r="M392" s="127" t="s">
        <v>16148</v>
      </c>
      <c r="N392" s="127" t="s">
        <v>11762</v>
      </c>
    </row>
    <row r="393" spans="1:14" x14ac:dyDescent="0.35">
      <c r="A393" s="127" t="s">
        <v>6063</v>
      </c>
      <c r="C393" s="127" t="s">
        <v>3263</v>
      </c>
      <c r="D393" s="127" t="s">
        <v>20540</v>
      </c>
      <c r="I393" s="127" t="s">
        <v>11764</v>
      </c>
      <c r="J393" s="127" t="s">
        <v>14823</v>
      </c>
      <c r="K393" s="127" t="s">
        <v>15265</v>
      </c>
      <c r="L393" s="127" t="s">
        <v>15707</v>
      </c>
      <c r="M393" s="127" t="s">
        <v>16149</v>
      </c>
      <c r="N393" s="127" t="s">
        <v>11765</v>
      </c>
    </row>
    <row r="394" spans="1:14" x14ac:dyDescent="0.35">
      <c r="A394" s="127" t="s">
        <v>6063</v>
      </c>
      <c r="C394" s="127" t="s">
        <v>3263</v>
      </c>
      <c r="D394" s="127" t="s">
        <v>20541</v>
      </c>
      <c r="I394" s="127" t="s">
        <v>11767</v>
      </c>
      <c r="J394" s="127" t="s">
        <v>14824</v>
      </c>
      <c r="K394" s="127" t="s">
        <v>15266</v>
      </c>
      <c r="L394" s="127" t="s">
        <v>15708</v>
      </c>
      <c r="M394" s="127" t="s">
        <v>16150</v>
      </c>
      <c r="N394" s="127" t="s">
        <v>11768</v>
      </c>
    </row>
    <row r="395" spans="1:14" x14ac:dyDescent="0.35">
      <c r="A395" s="127" t="s">
        <v>6063</v>
      </c>
      <c r="C395" s="127" t="s">
        <v>3263</v>
      </c>
      <c r="D395" s="127" t="s">
        <v>20542</v>
      </c>
      <c r="I395" s="127" t="s">
        <v>11770</v>
      </c>
      <c r="J395" s="127" t="s">
        <v>14825</v>
      </c>
      <c r="K395" s="127" t="s">
        <v>15267</v>
      </c>
      <c r="L395" s="127" t="s">
        <v>15709</v>
      </c>
      <c r="M395" s="127" t="s">
        <v>16151</v>
      </c>
      <c r="N395" s="127" t="s">
        <v>11771</v>
      </c>
    </row>
    <row r="396" spans="1:14" x14ac:dyDescent="0.35">
      <c r="A396" s="127" t="s">
        <v>6063</v>
      </c>
      <c r="C396" s="127" t="s">
        <v>3263</v>
      </c>
      <c r="D396" s="127" t="s">
        <v>20543</v>
      </c>
      <c r="I396" s="127" t="s">
        <v>11773</v>
      </c>
      <c r="J396" s="127" t="s">
        <v>14826</v>
      </c>
      <c r="K396" s="127" t="s">
        <v>15268</v>
      </c>
      <c r="L396" s="127" t="s">
        <v>15710</v>
      </c>
      <c r="M396" s="127" t="s">
        <v>16152</v>
      </c>
      <c r="N396" s="127" t="s">
        <v>11774</v>
      </c>
    </row>
    <row r="397" spans="1:14" x14ac:dyDescent="0.35">
      <c r="A397" s="127" t="s">
        <v>6063</v>
      </c>
      <c r="C397" s="127" t="s">
        <v>3263</v>
      </c>
      <c r="D397" s="127" t="s">
        <v>20544</v>
      </c>
      <c r="I397" s="127" t="s">
        <v>11776</v>
      </c>
      <c r="J397" s="127" t="s">
        <v>14827</v>
      </c>
      <c r="K397" s="127" t="s">
        <v>15269</v>
      </c>
      <c r="L397" s="127" t="s">
        <v>15711</v>
      </c>
      <c r="M397" s="127" t="s">
        <v>16153</v>
      </c>
      <c r="N397" s="127" t="s">
        <v>11777</v>
      </c>
    </row>
    <row r="398" spans="1:14" x14ac:dyDescent="0.35">
      <c r="A398" s="127" t="s">
        <v>6063</v>
      </c>
      <c r="C398" s="127" t="s">
        <v>3263</v>
      </c>
      <c r="D398" s="127" t="s">
        <v>20545</v>
      </c>
      <c r="I398" s="127" t="s">
        <v>11779</v>
      </c>
      <c r="J398" s="127" t="s">
        <v>14828</v>
      </c>
      <c r="K398" s="127" t="s">
        <v>15270</v>
      </c>
      <c r="L398" s="127" t="s">
        <v>15712</v>
      </c>
      <c r="M398" s="127" t="s">
        <v>16154</v>
      </c>
      <c r="N398" s="127" t="s">
        <v>11780</v>
      </c>
    </row>
    <row r="399" spans="1:14" x14ac:dyDescent="0.35">
      <c r="A399" s="127" t="s">
        <v>6063</v>
      </c>
      <c r="C399" s="127" t="s">
        <v>3263</v>
      </c>
      <c r="D399" s="127" t="s">
        <v>20546</v>
      </c>
      <c r="I399" s="127" t="s">
        <v>11782</v>
      </c>
      <c r="J399" s="127" t="s">
        <v>14829</v>
      </c>
      <c r="K399" s="127" t="s">
        <v>15271</v>
      </c>
      <c r="L399" s="127" t="s">
        <v>15713</v>
      </c>
      <c r="M399" s="127" t="s">
        <v>16155</v>
      </c>
      <c r="N399" s="127" t="s">
        <v>11783</v>
      </c>
    </row>
    <row r="400" spans="1:14" x14ac:dyDescent="0.35">
      <c r="A400" s="127" t="s">
        <v>6063</v>
      </c>
      <c r="C400" s="127" t="s">
        <v>3263</v>
      </c>
      <c r="D400" s="127" t="s">
        <v>20547</v>
      </c>
      <c r="I400" s="127" t="s">
        <v>11785</v>
      </c>
      <c r="J400" s="127" t="s">
        <v>14830</v>
      </c>
      <c r="K400" s="127" t="s">
        <v>15272</v>
      </c>
      <c r="L400" s="127" t="s">
        <v>15714</v>
      </c>
      <c r="M400" s="127" t="s">
        <v>16156</v>
      </c>
      <c r="N400" s="127" t="s">
        <v>11786</v>
      </c>
    </row>
    <row r="401" spans="1:14" x14ac:dyDescent="0.35">
      <c r="A401" s="127" t="s">
        <v>6063</v>
      </c>
      <c r="C401" s="127" t="s">
        <v>3263</v>
      </c>
      <c r="D401" s="127" t="s">
        <v>20548</v>
      </c>
      <c r="I401" s="127" t="s">
        <v>11788</v>
      </c>
      <c r="J401" s="127" t="s">
        <v>14831</v>
      </c>
      <c r="K401" s="127" t="s">
        <v>15273</v>
      </c>
      <c r="L401" s="127" t="s">
        <v>15715</v>
      </c>
      <c r="M401" s="127" t="s">
        <v>16157</v>
      </c>
      <c r="N401" s="127" t="s">
        <v>11789</v>
      </c>
    </row>
    <row r="402" spans="1:14" x14ac:dyDescent="0.35">
      <c r="A402" s="127" t="s">
        <v>6063</v>
      </c>
      <c r="C402" s="127" t="s">
        <v>3263</v>
      </c>
      <c r="D402" s="127" t="s">
        <v>20549</v>
      </c>
      <c r="I402" s="127" t="s">
        <v>11791</v>
      </c>
      <c r="J402" s="127" t="s">
        <v>14832</v>
      </c>
      <c r="K402" s="127" t="s">
        <v>15274</v>
      </c>
      <c r="L402" s="127" t="s">
        <v>15716</v>
      </c>
      <c r="M402" s="127" t="s">
        <v>16158</v>
      </c>
      <c r="N402" s="127" t="s">
        <v>11792</v>
      </c>
    </row>
    <row r="403" spans="1:14" x14ac:dyDescent="0.35">
      <c r="A403" s="127" t="s">
        <v>6063</v>
      </c>
      <c r="C403" s="127" t="s">
        <v>3263</v>
      </c>
      <c r="D403" s="127" t="s">
        <v>20550</v>
      </c>
      <c r="I403" s="127" t="s">
        <v>11794</v>
      </c>
      <c r="J403" s="127" t="s">
        <v>14833</v>
      </c>
      <c r="K403" s="127" t="s">
        <v>15275</v>
      </c>
      <c r="L403" s="127" t="s">
        <v>15717</v>
      </c>
      <c r="M403" s="127" t="s">
        <v>16159</v>
      </c>
      <c r="N403" s="127" t="s">
        <v>11795</v>
      </c>
    </row>
    <row r="404" spans="1:14" x14ac:dyDescent="0.35">
      <c r="A404" s="127" t="s">
        <v>6063</v>
      </c>
      <c r="C404" s="127" t="s">
        <v>3263</v>
      </c>
      <c r="D404" s="127" t="s">
        <v>20551</v>
      </c>
      <c r="I404" s="127" t="s">
        <v>11797</v>
      </c>
      <c r="J404" s="127" t="s">
        <v>14834</v>
      </c>
      <c r="K404" s="127" t="s">
        <v>15276</v>
      </c>
      <c r="L404" s="127" t="s">
        <v>15718</v>
      </c>
      <c r="M404" s="127" t="s">
        <v>16160</v>
      </c>
      <c r="N404" s="127" t="s">
        <v>11798</v>
      </c>
    </row>
    <row r="405" spans="1:14" x14ac:dyDescent="0.35">
      <c r="A405" s="127" t="s">
        <v>6063</v>
      </c>
      <c r="C405" s="127" t="s">
        <v>3263</v>
      </c>
      <c r="D405" s="127" t="s">
        <v>20552</v>
      </c>
      <c r="I405" s="127" t="s">
        <v>11800</v>
      </c>
      <c r="J405" s="127" t="s">
        <v>14835</v>
      </c>
      <c r="K405" s="127" t="s">
        <v>15277</v>
      </c>
      <c r="L405" s="127" t="s">
        <v>15719</v>
      </c>
      <c r="M405" s="127" t="s">
        <v>16161</v>
      </c>
      <c r="N405" s="127" t="s">
        <v>11801</v>
      </c>
    </row>
    <row r="406" spans="1:14" x14ac:dyDescent="0.35">
      <c r="A406" s="127" t="s">
        <v>6063</v>
      </c>
      <c r="C406" s="127" t="s">
        <v>3263</v>
      </c>
      <c r="D406" s="127" t="s">
        <v>20553</v>
      </c>
      <c r="I406" s="127" t="s">
        <v>11803</v>
      </c>
      <c r="J406" s="127" t="s">
        <v>14836</v>
      </c>
      <c r="K406" s="127" t="s">
        <v>15278</v>
      </c>
      <c r="L406" s="127" t="s">
        <v>15720</v>
      </c>
      <c r="M406" s="127" t="s">
        <v>16162</v>
      </c>
      <c r="N406" s="127" t="s">
        <v>11804</v>
      </c>
    </row>
    <row r="407" spans="1:14" x14ac:dyDescent="0.35">
      <c r="A407" s="127" t="s">
        <v>6063</v>
      </c>
      <c r="C407" s="127" t="s">
        <v>3263</v>
      </c>
      <c r="D407" s="127" t="s">
        <v>20554</v>
      </c>
      <c r="I407" s="127" t="s">
        <v>11806</v>
      </c>
      <c r="J407" s="127" t="s">
        <v>14837</v>
      </c>
      <c r="K407" s="127" t="s">
        <v>15279</v>
      </c>
      <c r="L407" s="127" t="s">
        <v>15721</v>
      </c>
      <c r="M407" s="127" t="s">
        <v>16163</v>
      </c>
      <c r="N407" s="127" t="s">
        <v>11807</v>
      </c>
    </row>
    <row r="408" spans="1:14" x14ac:dyDescent="0.35">
      <c r="A408" s="127" t="s">
        <v>6063</v>
      </c>
      <c r="C408" s="127" t="s">
        <v>3263</v>
      </c>
      <c r="D408" s="127" t="s">
        <v>20555</v>
      </c>
      <c r="I408" s="127" t="s">
        <v>11809</v>
      </c>
      <c r="J408" s="127" t="s">
        <v>14838</v>
      </c>
      <c r="K408" s="127" t="s">
        <v>15280</v>
      </c>
      <c r="L408" s="127" t="s">
        <v>15722</v>
      </c>
      <c r="M408" s="127" t="s">
        <v>16164</v>
      </c>
      <c r="N408" s="127" t="s">
        <v>11810</v>
      </c>
    </row>
    <row r="409" spans="1:14" x14ac:dyDescent="0.35">
      <c r="A409" s="127" t="s">
        <v>6063</v>
      </c>
      <c r="C409" s="127" t="s">
        <v>3263</v>
      </c>
      <c r="D409" s="127" t="s">
        <v>20556</v>
      </c>
      <c r="I409" s="127" t="s">
        <v>11812</v>
      </c>
      <c r="J409" s="127" t="s">
        <v>14839</v>
      </c>
      <c r="K409" s="127" t="s">
        <v>15281</v>
      </c>
      <c r="L409" s="127" t="s">
        <v>15723</v>
      </c>
      <c r="M409" s="127" t="s">
        <v>16165</v>
      </c>
      <c r="N409" s="127" t="s">
        <v>11813</v>
      </c>
    </row>
    <row r="410" spans="1:14" x14ac:dyDescent="0.35">
      <c r="A410" s="127" t="s">
        <v>6063</v>
      </c>
      <c r="C410" s="127" t="s">
        <v>3263</v>
      </c>
      <c r="D410" s="127" t="s">
        <v>20557</v>
      </c>
      <c r="I410" s="127" t="s">
        <v>11815</v>
      </c>
      <c r="J410" s="127" t="s">
        <v>14840</v>
      </c>
      <c r="K410" s="127" t="s">
        <v>15282</v>
      </c>
      <c r="L410" s="127" t="s">
        <v>15724</v>
      </c>
      <c r="M410" s="127" t="s">
        <v>16166</v>
      </c>
      <c r="N410" s="127" t="s">
        <v>11816</v>
      </c>
    </row>
    <row r="411" spans="1:14" x14ac:dyDescent="0.35">
      <c r="A411" s="127" t="s">
        <v>6063</v>
      </c>
      <c r="C411" s="127" t="s">
        <v>3263</v>
      </c>
      <c r="D411" s="127" t="s">
        <v>20558</v>
      </c>
      <c r="I411" s="127" t="s">
        <v>11818</v>
      </c>
      <c r="J411" s="127" t="s">
        <v>14841</v>
      </c>
      <c r="K411" s="127" t="s">
        <v>15283</v>
      </c>
      <c r="L411" s="127" t="s">
        <v>15725</v>
      </c>
      <c r="M411" s="127" t="s">
        <v>16167</v>
      </c>
      <c r="N411" s="127" t="s">
        <v>11819</v>
      </c>
    </row>
    <row r="412" spans="1:14" x14ac:dyDescent="0.35">
      <c r="A412" s="127" t="s">
        <v>6063</v>
      </c>
      <c r="C412" s="127" t="s">
        <v>3263</v>
      </c>
      <c r="D412" s="127" t="s">
        <v>20559</v>
      </c>
      <c r="I412" s="127" t="s">
        <v>11821</v>
      </c>
      <c r="J412" s="127" t="s">
        <v>14842</v>
      </c>
      <c r="K412" s="127" t="s">
        <v>15284</v>
      </c>
      <c r="L412" s="127" t="s">
        <v>15726</v>
      </c>
      <c r="M412" s="127" t="s">
        <v>16168</v>
      </c>
      <c r="N412" s="127" t="s">
        <v>11822</v>
      </c>
    </row>
    <row r="413" spans="1:14" x14ac:dyDescent="0.35">
      <c r="A413" s="127" t="s">
        <v>6063</v>
      </c>
      <c r="C413" s="127" t="s">
        <v>3263</v>
      </c>
      <c r="D413" s="127" t="s">
        <v>20560</v>
      </c>
      <c r="I413" s="127" t="s">
        <v>11824</v>
      </c>
      <c r="J413" s="127" t="s">
        <v>14843</v>
      </c>
      <c r="K413" s="127" t="s">
        <v>15285</v>
      </c>
      <c r="L413" s="127" t="s">
        <v>15727</v>
      </c>
      <c r="M413" s="127" t="s">
        <v>16169</v>
      </c>
      <c r="N413" s="127" t="s">
        <v>11825</v>
      </c>
    </row>
    <row r="414" spans="1:14" x14ac:dyDescent="0.35">
      <c r="A414" s="127" t="s">
        <v>6063</v>
      </c>
      <c r="C414" s="127" t="s">
        <v>3263</v>
      </c>
      <c r="D414" s="127" t="s">
        <v>20561</v>
      </c>
      <c r="I414" s="127" t="s">
        <v>11827</v>
      </c>
      <c r="J414" s="127" t="s">
        <v>14844</v>
      </c>
      <c r="K414" s="127" t="s">
        <v>15286</v>
      </c>
      <c r="L414" s="127" t="s">
        <v>15728</v>
      </c>
      <c r="M414" s="127" t="s">
        <v>16170</v>
      </c>
      <c r="N414" s="127" t="s">
        <v>11828</v>
      </c>
    </row>
    <row r="415" spans="1:14" x14ac:dyDescent="0.35">
      <c r="A415" s="127" t="s">
        <v>6063</v>
      </c>
      <c r="C415" s="127" t="s">
        <v>3263</v>
      </c>
      <c r="D415" s="127" t="s">
        <v>20562</v>
      </c>
      <c r="I415" s="127" t="s">
        <v>11830</v>
      </c>
      <c r="J415" s="127" t="s">
        <v>14845</v>
      </c>
      <c r="K415" s="127" t="s">
        <v>15287</v>
      </c>
      <c r="L415" s="127" t="s">
        <v>15729</v>
      </c>
      <c r="M415" s="127" t="s">
        <v>16171</v>
      </c>
      <c r="N415" s="127" t="s">
        <v>11831</v>
      </c>
    </row>
    <row r="416" spans="1:14" x14ac:dyDescent="0.35">
      <c r="A416" s="127" t="s">
        <v>6063</v>
      </c>
      <c r="C416" s="127" t="s">
        <v>3263</v>
      </c>
      <c r="D416" s="127" t="s">
        <v>20563</v>
      </c>
      <c r="I416" s="127" t="s">
        <v>11833</v>
      </c>
      <c r="J416" s="127" t="s">
        <v>14846</v>
      </c>
      <c r="K416" s="127" t="s">
        <v>15288</v>
      </c>
      <c r="L416" s="127" t="s">
        <v>15730</v>
      </c>
      <c r="M416" s="127" t="s">
        <v>16172</v>
      </c>
      <c r="N416" s="127" t="s">
        <v>11834</v>
      </c>
    </row>
    <row r="417" spans="1:14" x14ac:dyDescent="0.35">
      <c r="A417" s="127" t="s">
        <v>6063</v>
      </c>
      <c r="C417" s="127" t="s">
        <v>3263</v>
      </c>
      <c r="D417" s="127" t="s">
        <v>20564</v>
      </c>
      <c r="I417" s="127" t="s">
        <v>11836</v>
      </c>
      <c r="J417" s="127" t="s">
        <v>14847</v>
      </c>
      <c r="K417" s="127" t="s">
        <v>15289</v>
      </c>
      <c r="L417" s="127" t="s">
        <v>15731</v>
      </c>
      <c r="M417" s="127" t="s">
        <v>16173</v>
      </c>
      <c r="N417" s="127" t="s">
        <v>11837</v>
      </c>
    </row>
    <row r="418" spans="1:14" x14ac:dyDescent="0.35">
      <c r="A418" s="127" t="s">
        <v>6063</v>
      </c>
      <c r="C418" s="127" t="s">
        <v>3263</v>
      </c>
      <c r="D418" s="127" t="s">
        <v>20565</v>
      </c>
      <c r="I418" s="127" t="s">
        <v>11839</v>
      </c>
      <c r="J418" s="127" t="s">
        <v>14848</v>
      </c>
      <c r="K418" s="127" t="s">
        <v>15290</v>
      </c>
      <c r="L418" s="127" t="s">
        <v>15732</v>
      </c>
      <c r="M418" s="127" t="s">
        <v>16174</v>
      </c>
      <c r="N418" s="127" t="s">
        <v>11840</v>
      </c>
    </row>
    <row r="419" spans="1:14" x14ac:dyDescent="0.35">
      <c r="A419" s="127" t="s">
        <v>6063</v>
      </c>
      <c r="C419" s="127" t="s">
        <v>3263</v>
      </c>
      <c r="D419" s="127" t="s">
        <v>20566</v>
      </c>
      <c r="I419" s="127" t="s">
        <v>11842</v>
      </c>
      <c r="J419" s="127" t="s">
        <v>14849</v>
      </c>
      <c r="K419" s="127" t="s">
        <v>15291</v>
      </c>
      <c r="L419" s="127" t="s">
        <v>15733</v>
      </c>
      <c r="M419" s="127" t="s">
        <v>16175</v>
      </c>
      <c r="N419" s="127" t="s">
        <v>11843</v>
      </c>
    </row>
    <row r="420" spans="1:14" x14ac:dyDescent="0.35">
      <c r="A420" s="127" t="s">
        <v>6063</v>
      </c>
      <c r="C420" s="127" t="s">
        <v>3263</v>
      </c>
      <c r="D420" s="127" t="s">
        <v>20567</v>
      </c>
      <c r="I420" s="127" t="s">
        <v>11845</v>
      </c>
      <c r="J420" s="127" t="s">
        <v>14850</v>
      </c>
      <c r="K420" s="127" t="s">
        <v>15292</v>
      </c>
      <c r="L420" s="127" t="s">
        <v>15734</v>
      </c>
      <c r="M420" s="127" t="s">
        <v>16176</v>
      </c>
      <c r="N420" s="127" t="s">
        <v>11846</v>
      </c>
    </row>
    <row r="421" spans="1:14" x14ac:dyDescent="0.35">
      <c r="A421" s="127" t="s">
        <v>6063</v>
      </c>
      <c r="C421" s="127" t="s">
        <v>3263</v>
      </c>
      <c r="D421" s="127" t="s">
        <v>20568</v>
      </c>
      <c r="I421" s="127" t="s">
        <v>11848</v>
      </c>
      <c r="J421" s="127" t="s">
        <v>14851</v>
      </c>
      <c r="K421" s="127" t="s">
        <v>15293</v>
      </c>
      <c r="L421" s="127" t="s">
        <v>15735</v>
      </c>
      <c r="M421" s="127" t="s">
        <v>16177</v>
      </c>
      <c r="N421" s="127" t="s">
        <v>11849</v>
      </c>
    </row>
    <row r="422" spans="1:14" x14ac:dyDescent="0.35">
      <c r="A422" s="127" t="s">
        <v>6063</v>
      </c>
      <c r="C422" s="127" t="s">
        <v>3263</v>
      </c>
      <c r="D422" s="127" t="s">
        <v>20569</v>
      </c>
      <c r="I422" s="127" t="s">
        <v>11851</v>
      </c>
      <c r="J422" s="127" t="s">
        <v>14852</v>
      </c>
      <c r="K422" s="127" t="s">
        <v>15294</v>
      </c>
      <c r="L422" s="127" t="s">
        <v>15736</v>
      </c>
      <c r="M422" s="127" t="s">
        <v>16178</v>
      </c>
      <c r="N422" s="127" t="s">
        <v>11852</v>
      </c>
    </row>
    <row r="423" spans="1:14" x14ac:dyDescent="0.35">
      <c r="A423" s="127" t="s">
        <v>6063</v>
      </c>
      <c r="C423" s="127" t="s">
        <v>3263</v>
      </c>
      <c r="D423" s="127" t="s">
        <v>20570</v>
      </c>
      <c r="I423" s="127" t="s">
        <v>11854</v>
      </c>
      <c r="J423" s="127" t="s">
        <v>14853</v>
      </c>
      <c r="K423" s="127" t="s">
        <v>15295</v>
      </c>
      <c r="L423" s="127" t="s">
        <v>15737</v>
      </c>
      <c r="M423" s="127" t="s">
        <v>16179</v>
      </c>
      <c r="N423" s="127" t="s">
        <v>11855</v>
      </c>
    </row>
    <row r="424" spans="1:14" x14ac:dyDescent="0.35">
      <c r="A424" s="127" t="s">
        <v>6063</v>
      </c>
      <c r="C424" s="127" t="s">
        <v>3263</v>
      </c>
      <c r="D424" s="127" t="s">
        <v>20571</v>
      </c>
      <c r="I424" s="127" t="s">
        <v>11857</v>
      </c>
      <c r="J424" s="127" t="s">
        <v>14854</v>
      </c>
      <c r="K424" s="127" t="s">
        <v>15296</v>
      </c>
      <c r="L424" s="127" t="s">
        <v>15738</v>
      </c>
      <c r="M424" s="127" t="s">
        <v>16180</v>
      </c>
      <c r="N424" s="127" t="s">
        <v>11858</v>
      </c>
    </row>
    <row r="425" spans="1:14" x14ac:dyDescent="0.35">
      <c r="A425" s="127" t="s">
        <v>6063</v>
      </c>
      <c r="C425" s="127" t="s">
        <v>3263</v>
      </c>
      <c r="D425" s="127" t="s">
        <v>20572</v>
      </c>
      <c r="I425" s="127" t="s">
        <v>11860</v>
      </c>
      <c r="J425" s="127" t="s">
        <v>14855</v>
      </c>
      <c r="K425" s="127" t="s">
        <v>15297</v>
      </c>
      <c r="L425" s="127" t="s">
        <v>15739</v>
      </c>
      <c r="M425" s="127" t="s">
        <v>16181</v>
      </c>
      <c r="N425" s="127" t="s">
        <v>11861</v>
      </c>
    </row>
    <row r="426" spans="1:14" x14ac:dyDescent="0.35">
      <c r="A426" s="127" t="s">
        <v>6063</v>
      </c>
      <c r="C426" s="127" t="s">
        <v>3263</v>
      </c>
      <c r="D426" s="127" t="s">
        <v>20573</v>
      </c>
      <c r="I426" s="127" t="s">
        <v>11863</v>
      </c>
      <c r="J426" s="127" t="s">
        <v>14856</v>
      </c>
      <c r="K426" s="127" t="s">
        <v>15298</v>
      </c>
      <c r="L426" s="127" t="s">
        <v>15740</v>
      </c>
      <c r="M426" s="127" t="s">
        <v>16182</v>
      </c>
      <c r="N426" s="127" t="s">
        <v>11864</v>
      </c>
    </row>
    <row r="427" spans="1:14" x14ac:dyDescent="0.35">
      <c r="A427" s="127" t="s">
        <v>6063</v>
      </c>
      <c r="C427" s="127" t="s">
        <v>3263</v>
      </c>
      <c r="D427" s="127" t="s">
        <v>20574</v>
      </c>
      <c r="I427" s="127" t="s">
        <v>11866</v>
      </c>
      <c r="J427" s="127" t="s">
        <v>14857</v>
      </c>
      <c r="K427" s="127" t="s">
        <v>15299</v>
      </c>
      <c r="L427" s="127" t="s">
        <v>15741</v>
      </c>
      <c r="M427" s="127" t="s">
        <v>16183</v>
      </c>
      <c r="N427" s="127" t="s">
        <v>11867</v>
      </c>
    </row>
    <row r="428" spans="1:14" x14ac:dyDescent="0.35">
      <c r="A428" s="127" t="s">
        <v>6063</v>
      </c>
      <c r="C428" s="127" t="s">
        <v>3263</v>
      </c>
      <c r="D428" s="127" t="s">
        <v>20575</v>
      </c>
      <c r="I428" s="127" t="s">
        <v>11869</v>
      </c>
      <c r="J428" s="127" t="s">
        <v>14858</v>
      </c>
      <c r="K428" s="127" t="s">
        <v>15300</v>
      </c>
      <c r="L428" s="127" t="s">
        <v>15742</v>
      </c>
      <c r="M428" s="127" t="s">
        <v>16184</v>
      </c>
      <c r="N428" s="127" t="s">
        <v>11870</v>
      </c>
    </row>
    <row r="429" spans="1:14" x14ac:dyDescent="0.35">
      <c r="A429" s="127" t="s">
        <v>6063</v>
      </c>
      <c r="C429" s="127" t="s">
        <v>3263</v>
      </c>
      <c r="D429" s="127" t="s">
        <v>20576</v>
      </c>
      <c r="I429" s="127" t="s">
        <v>11872</v>
      </c>
      <c r="J429" s="127" t="s">
        <v>14859</v>
      </c>
      <c r="K429" s="127" t="s">
        <v>15301</v>
      </c>
      <c r="L429" s="127" t="s">
        <v>15743</v>
      </c>
      <c r="M429" s="127" t="s">
        <v>16185</v>
      </c>
      <c r="N429" s="127" t="s">
        <v>11873</v>
      </c>
    </row>
    <row r="430" spans="1:14" x14ac:dyDescent="0.35">
      <c r="A430" s="127" t="s">
        <v>6063</v>
      </c>
      <c r="C430" s="127" t="s">
        <v>3263</v>
      </c>
      <c r="D430" s="127" t="s">
        <v>20577</v>
      </c>
      <c r="I430" s="127" t="s">
        <v>11875</v>
      </c>
      <c r="J430" s="127" t="s">
        <v>14860</v>
      </c>
      <c r="K430" s="127" t="s">
        <v>15302</v>
      </c>
      <c r="L430" s="127" t="s">
        <v>15744</v>
      </c>
      <c r="M430" s="127" t="s">
        <v>16186</v>
      </c>
      <c r="N430" s="127" t="s">
        <v>11876</v>
      </c>
    </row>
    <row r="431" spans="1:14" x14ac:dyDescent="0.35">
      <c r="A431" s="127" t="s">
        <v>6063</v>
      </c>
      <c r="C431" s="127" t="s">
        <v>3263</v>
      </c>
      <c r="D431" s="127" t="s">
        <v>20578</v>
      </c>
      <c r="I431" s="127" t="s">
        <v>11878</v>
      </c>
      <c r="J431" s="127" t="s">
        <v>14861</v>
      </c>
      <c r="K431" s="127" t="s">
        <v>15303</v>
      </c>
      <c r="L431" s="127" t="s">
        <v>15745</v>
      </c>
      <c r="M431" s="127" t="s">
        <v>16187</v>
      </c>
      <c r="N431" s="127" t="s">
        <v>11879</v>
      </c>
    </row>
    <row r="432" spans="1:14" x14ac:dyDescent="0.35">
      <c r="A432" s="127" t="s">
        <v>6063</v>
      </c>
      <c r="C432" s="127" t="s">
        <v>3263</v>
      </c>
      <c r="D432" s="127" t="s">
        <v>20579</v>
      </c>
      <c r="I432" s="127" t="s">
        <v>11881</v>
      </c>
      <c r="J432" s="127" t="s">
        <v>14862</v>
      </c>
      <c r="K432" s="127" t="s">
        <v>15304</v>
      </c>
      <c r="L432" s="127" t="s">
        <v>15746</v>
      </c>
      <c r="M432" s="127" t="s">
        <v>16188</v>
      </c>
      <c r="N432" s="127" t="s">
        <v>11882</v>
      </c>
    </row>
    <row r="433" spans="1:14" x14ac:dyDescent="0.35">
      <c r="A433" s="127" t="s">
        <v>6063</v>
      </c>
      <c r="C433" s="127" t="s">
        <v>3263</v>
      </c>
      <c r="D433" s="127" t="s">
        <v>20580</v>
      </c>
      <c r="I433" s="127" t="s">
        <v>11884</v>
      </c>
      <c r="J433" s="127" t="s">
        <v>14863</v>
      </c>
      <c r="K433" s="127" t="s">
        <v>15305</v>
      </c>
      <c r="L433" s="127" t="s">
        <v>15747</v>
      </c>
      <c r="M433" s="127" t="s">
        <v>16189</v>
      </c>
      <c r="N433" s="127" t="s">
        <v>11885</v>
      </c>
    </row>
    <row r="434" spans="1:14" x14ac:dyDescent="0.35">
      <c r="A434" s="127" t="s">
        <v>6063</v>
      </c>
      <c r="C434" s="127" t="s">
        <v>3263</v>
      </c>
      <c r="D434" s="127" t="s">
        <v>20581</v>
      </c>
      <c r="I434" s="127" t="s">
        <v>11887</v>
      </c>
      <c r="J434" s="127" t="s">
        <v>14864</v>
      </c>
      <c r="K434" s="127" t="s">
        <v>15306</v>
      </c>
      <c r="L434" s="127" t="s">
        <v>15748</v>
      </c>
      <c r="M434" s="127" t="s">
        <v>16190</v>
      </c>
      <c r="N434" s="127" t="s">
        <v>11888</v>
      </c>
    </row>
    <row r="435" spans="1:14" x14ac:dyDescent="0.35">
      <c r="A435" s="127" t="s">
        <v>6063</v>
      </c>
      <c r="C435" s="127" t="s">
        <v>3263</v>
      </c>
      <c r="D435" s="127" t="s">
        <v>20582</v>
      </c>
      <c r="I435" s="127" t="s">
        <v>11890</v>
      </c>
      <c r="J435" s="127" t="s">
        <v>14865</v>
      </c>
      <c r="K435" s="127" t="s">
        <v>15307</v>
      </c>
      <c r="L435" s="127" t="s">
        <v>15749</v>
      </c>
      <c r="M435" s="127" t="s">
        <v>16191</v>
      </c>
      <c r="N435" s="127" t="s">
        <v>11891</v>
      </c>
    </row>
    <row r="436" spans="1:14" x14ac:dyDescent="0.35">
      <c r="A436" s="127" t="s">
        <v>6063</v>
      </c>
      <c r="C436" s="127" t="s">
        <v>3263</v>
      </c>
      <c r="D436" s="127" t="s">
        <v>20583</v>
      </c>
      <c r="I436" s="127" t="s">
        <v>11893</v>
      </c>
      <c r="J436" s="127" t="s">
        <v>14866</v>
      </c>
      <c r="K436" s="127" t="s">
        <v>15308</v>
      </c>
      <c r="L436" s="127" t="s">
        <v>15750</v>
      </c>
      <c r="M436" s="127" t="s">
        <v>16192</v>
      </c>
      <c r="N436" s="127" t="s">
        <v>11894</v>
      </c>
    </row>
    <row r="437" spans="1:14" x14ac:dyDescent="0.35">
      <c r="A437" s="127" t="s">
        <v>6063</v>
      </c>
      <c r="C437" s="127" t="s">
        <v>3263</v>
      </c>
      <c r="D437" s="127" t="s">
        <v>20584</v>
      </c>
      <c r="I437" s="127" t="s">
        <v>11896</v>
      </c>
      <c r="J437" s="127" t="s">
        <v>14867</v>
      </c>
      <c r="K437" s="127" t="s">
        <v>15309</v>
      </c>
      <c r="L437" s="127" t="s">
        <v>15751</v>
      </c>
      <c r="M437" s="127" t="s">
        <v>16193</v>
      </c>
      <c r="N437" s="127" t="s">
        <v>11897</v>
      </c>
    </row>
    <row r="438" spans="1:14" x14ac:dyDescent="0.35">
      <c r="A438" s="127" t="s">
        <v>6063</v>
      </c>
      <c r="C438" s="127" t="s">
        <v>3263</v>
      </c>
      <c r="D438" s="127" t="s">
        <v>20585</v>
      </c>
      <c r="I438" s="127" t="s">
        <v>11899</v>
      </c>
      <c r="J438" s="127" t="s">
        <v>14868</v>
      </c>
      <c r="K438" s="127" t="s">
        <v>15310</v>
      </c>
      <c r="L438" s="127" t="s">
        <v>15752</v>
      </c>
      <c r="M438" s="127" t="s">
        <v>16194</v>
      </c>
      <c r="N438" s="127" t="s">
        <v>11900</v>
      </c>
    </row>
    <row r="439" spans="1:14" x14ac:dyDescent="0.35">
      <c r="A439" s="127" t="s">
        <v>6063</v>
      </c>
      <c r="C439" s="127" t="s">
        <v>3263</v>
      </c>
      <c r="D439" s="127" t="s">
        <v>20586</v>
      </c>
      <c r="I439" s="127" t="s">
        <v>11902</v>
      </c>
      <c r="J439" s="127" t="s">
        <v>14869</v>
      </c>
      <c r="K439" s="127" t="s">
        <v>15311</v>
      </c>
      <c r="L439" s="127" t="s">
        <v>15753</v>
      </c>
      <c r="M439" s="127" t="s">
        <v>16195</v>
      </c>
      <c r="N439" s="127" t="s">
        <v>11903</v>
      </c>
    </row>
    <row r="440" spans="1:14" x14ac:dyDescent="0.35">
      <c r="A440" s="127" t="s">
        <v>6063</v>
      </c>
      <c r="C440" s="127" t="s">
        <v>3263</v>
      </c>
      <c r="D440" s="127" t="s">
        <v>20587</v>
      </c>
      <c r="I440" s="127" t="s">
        <v>11905</v>
      </c>
      <c r="J440" s="127" t="s">
        <v>14870</v>
      </c>
      <c r="K440" s="127" t="s">
        <v>15312</v>
      </c>
      <c r="L440" s="127" t="s">
        <v>15754</v>
      </c>
      <c r="M440" s="127" t="s">
        <v>16196</v>
      </c>
      <c r="N440" s="127" t="s">
        <v>11906</v>
      </c>
    </row>
    <row r="441" spans="1:14" x14ac:dyDescent="0.35">
      <c r="A441" s="127" t="s">
        <v>6063</v>
      </c>
      <c r="C441" s="127" t="s">
        <v>3263</v>
      </c>
      <c r="D441" s="127" t="s">
        <v>20588</v>
      </c>
      <c r="I441" s="127" t="s">
        <v>11908</v>
      </c>
      <c r="J441" s="127" t="s">
        <v>14871</v>
      </c>
      <c r="K441" s="127" t="s">
        <v>15313</v>
      </c>
      <c r="L441" s="127" t="s">
        <v>15755</v>
      </c>
      <c r="M441" s="127" t="s">
        <v>16197</v>
      </c>
      <c r="N441" s="127" t="s">
        <v>11909</v>
      </c>
    </row>
    <row r="442" spans="1:14" x14ac:dyDescent="0.35">
      <c r="A442" s="127" t="s">
        <v>6063</v>
      </c>
      <c r="C442" s="127" t="s">
        <v>3263</v>
      </c>
      <c r="D442" s="127" t="s">
        <v>20589</v>
      </c>
      <c r="I442" s="127" t="s">
        <v>11911</v>
      </c>
      <c r="J442" s="127" t="s">
        <v>14872</v>
      </c>
      <c r="K442" s="127" t="s">
        <v>15314</v>
      </c>
      <c r="L442" s="127" t="s">
        <v>15756</v>
      </c>
      <c r="M442" s="127" t="s">
        <v>16198</v>
      </c>
      <c r="N442" s="127" t="s">
        <v>11912</v>
      </c>
    </row>
    <row r="443" spans="1:14" x14ac:dyDescent="0.35">
      <c r="A443" s="127" t="s">
        <v>6063</v>
      </c>
      <c r="C443" s="127" t="s">
        <v>3263</v>
      </c>
      <c r="D443" s="127" t="s">
        <v>20590</v>
      </c>
      <c r="I443" s="127" t="s">
        <v>11914</v>
      </c>
      <c r="J443" s="127" t="s">
        <v>14873</v>
      </c>
      <c r="K443" s="127" t="s">
        <v>15315</v>
      </c>
      <c r="L443" s="127" t="s">
        <v>15757</v>
      </c>
      <c r="M443" s="127" t="s">
        <v>16199</v>
      </c>
      <c r="N443" s="127" t="s">
        <v>11915</v>
      </c>
    </row>
    <row r="444" spans="1:14" x14ac:dyDescent="0.35">
      <c r="A444" s="127" t="s">
        <v>6063</v>
      </c>
      <c r="C444" s="127" t="s">
        <v>3263</v>
      </c>
      <c r="D444" s="127" t="s">
        <v>20591</v>
      </c>
      <c r="I444" s="127" t="s">
        <v>11917</v>
      </c>
      <c r="J444" s="127" t="s">
        <v>14874</v>
      </c>
      <c r="K444" s="127" t="s">
        <v>15316</v>
      </c>
      <c r="L444" s="127" t="s">
        <v>15758</v>
      </c>
      <c r="M444" s="127" t="s">
        <v>16200</v>
      </c>
      <c r="N444" s="127" t="s">
        <v>11918</v>
      </c>
    </row>
    <row r="445" spans="1:14" x14ac:dyDescent="0.35">
      <c r="A445" s="127" t="s">
        <v>6063</v>
      </c>
      <c r="C445" s="127" t="s">
        <v>3263</v>
      </c>
      <c r="D445" s="127" t="s">
        <v>20592</v>
      </c>
      <c r="I445" s="127" t="s">
        <v>11920</v>
      </c>
      <c r="J445" s="127" t="s">
        <v>14875</v>
      </c>
      <c r="K445" s="127" t="s">
        <v>15317</v>
      </c>
      <c r="L445" s="127" t="s">
        <v>15759</v>
      </c>
      <c r="M445" s="127" t="s">
        <v>16201</v>
      </c>
      <c r="N445" s="127" t="s">
        <v>11921</v>
      </c>
    </row>
    <row r="446" spans="1:14" x14ac:dyDescent="0.35">
      <c r="A446" s="127" t="s">
        <v>6063</v>
      </c>
      <c r="C446" s="127" t="s">
        <v>3263</v>
      </c>
      <c r="D446" s="127" t="s">
        <v>20593</v>
      </c>
      <c r="I446" s="127" t="s">
        <v>11923</v>
      </c>
      <c r="J446" s="127" t="s">
        <v>14876</v>
      </c>
      <c r="K446" s="127" t="s">
        <v>15318</v>
      </c>
      <c r="L446" s="127" t="s">
        <v>15760</v>
      </c>
      <c r="M446" s="127" t="s">
        <v>16202</v>
      </c>
      <c r="N446" s="127" t="s">
        <v>11924</v>
      </c>
    </row>
    <row r="447" spans="1:14" x14ac:dyDescent="0.35">
      <c r="A447" s="127" t="s">
        <v>6063</v>
      </c>
      <c r="C447" s="127" t="s">
        <v>3263</v>
      </c>
      <c r="D447" s="127" t="s">
        <v>20594</v>
      </c>
      <c r="I447" s="127" t="s">
        <v>11926</v>
      </c>
      <c r="J447" s="127" t="s">
        <v>14877</v>
      </c>
      <c r="K447" s="127" t="s">
        <v>15319</v>
      </c>
      <c r="L447" s="127" t="s">
        <v>15761</v>
      </c>
      <c r="M447" s="127" t="s">
        <v>16203</v>
      </c>
      <c r="N447" s="127" t="s">
        <v>11927</v>
      </c>
    </row>
    <row r="448" spans="1:14" x14ac:dyDescent="0.35">
      <c r="A448" s="127" t="s">
        <v>6063</v>
      </c>
      <c r="C448" s="127" t="s">
        <v>3263</v>
      </c>
      <c r="D448" s="127" t="s">
        <v>20595</v>
      </c>
      <c r="I448" s="127" t="s">
        <v>11929</v>
      </c>
      <c r="J448" s="127" t="s">
        <v>14878</v>
      </c>
      <c r="K448" s="127" t="s">
        <v>15320</v>
      </c>
      <c r="L448" s="127" t="s">
        <v>15762</v>
      </c>
      <c r="M448" s="127" t="s">
        <v>16204</v>
      </c>
      <c r="N448" s="127" t="s">
        <v>11930</v>
      </c>
    </row>
    <row r="449" spans="1:14" x14ac:dyDescent="0.35">
      <c r="A449" s="127" t="s">
        <v>6063</v>
      </c>
      <c r="C449" s="127" t="s">
        <v>3263</v>
      </c>
      <c r="D449" s="127" t="s">
        <v>20596</v>
      </c>
      <c r="I449" s="127" t="s">
        <v>11932</v>
      </c>
      <c r="J449" s="127" t="s">
        <v>14879</v>
      </c>
      <c r="K449" s="127" t="s">
        <v>15321</v>
      </c>
      <c r="L449" s="127" t="s">
        <v>15763</v>
      </c>
      <c r="M449" s="127" t="s">
        <v>16205</v>
      </c>
      <c r="N449" s="127" t="s">
        <v>11933</v>
      </c>
    </row>
    <row r="450" spans="1:14" x14ac:dyDescent="0.35">
      <c r="A450" s="127" t="s">
        <v>6063</v>
      </c>
      <c r="C450" s="127" t="s">
        <v>3263</v>
      </c>
      <c r="D450" s="127" t="s">
        <v>20597</v>
      </c>
      <c r="I450" s="127" t="s">
        <v>11935</v>
      </c>
      <c r="J450" s="127" t="s">
        <v>14880</v>
      </c>
      <c r="K450" s="127" t="s">
        <v>15322</v>
      </c>
      <c r="L450" s="127" t="s">
        <v>15764</v>
      </c>
      <c r="M450" s="127" t="s">
        <v>16206</v>
      </c>
      <c r="N450" s="127" t="s">
        <v>11936</v>
      </c>
    </row>
    <row r="451" spans="1:14" x14ac:dyDescent="0.35">
      <c r="A451" s="127" t="s">
        <v>6063</v>
      </c>
      <c r="C451" s="127" t="s">
        <v>3263</v>
      </c>
      <c r="D451" s="127" t="s">
        <v>20598</v>
      </c>
      <c r="I451" s="127" t="s">
        <v>11938</v>
      </c>
      <c r="J451" s="127" t="s">
        <v>14881</v>
      </c>
      <c r="K451" s="127" t="s">
        <v>15323</v>
      </c>
      <c r="L451" s="127" t="s">
        <v>15765</v>
      </c>
      <c r="M451" s="127" t="s">
        <v>16207</v>
      </c>
      <c r="N451" s="127" t="s">
        <v>11939</v>
      </c>
    </row>
    <row r="452" spans="1:14" x14ac:dyDescent="0.35">
      <c r="A452" s="127" t="s">
        <v>6063</v>
      </c>
      <c r="C452" s="127" t="s">
        <v>3263</v>
      </c>
      <c r="D452" s="127" t="s">
        <v>20599</v>
      </c>
      <c r="I452" s="127" t="s">
        <v>11941</v>
      </c>
      <c r="J452" s="127" t="s">
        <v>14882</v>
      </c>
      <c r="K452" s="127" t="s">
        <v>15324</v>
      </c>
      <c r="L452" s="127" t="s">
        <v>15766</v>
      </c>
      <c r="M452" s="127" t="s">
        <v>16208</v>
      </c>
      <c r="N452" s="127" t="s">
        <v>11942</v>
      </c>
    </row>
    <row r="453" spans="1:14" x14ac:dyDescent="0.35">
      <c r="A453" s="127" t="s">
        <v>6063</v>
      </c>
      <c r="C453" s="127" t="s">
        <v>3263</v>
      </c>
      <c r="D453" s="127" t="s">
        <v>20600</v>
      </c>
      <c r="I453" s="127" t="s">
        <v>11944</v>
      </c>
      <c r="J453" s="127" t="s">
        <v>14883</v>
      </c>
      <c r="K453" s="127" t="s">
        <v>15325</v>
      </c>
      <c r="L453" s="127" t="s">
        <v>15767</v>
      </c>
      <c r="M453" s="127" t="s">
        <v>16209</v>
      </c>
      <c r="N453" s="127" t="s">
        <v>11945</v>
      </c>
    </row>
    <row r="454" spans="1:14" x14ac:dyDescent="0.35">
      <c r="A454" s="127" t="s">
        <v>6063</v>
      </c>
      <c r="C454" s="127" t="s">
        <v>3263</v>
      </c>
      <c r="D454" s="127" t="s">
        <v>20601</v>
      </c>
      <c r="I454" s="127" t="s">
        <v>11947</v>
      </c>
      <c r="J454" s="127" t="s">
        <v>14884</v>
      </c>
      <c r="K454" s="127" t="s">
        <v>15326</v>
      </c>
      <c r="L454" s="127" t="s">
        <v>15768</v>
      </c>
      <c r="M454" s="127" t="s">
        <v>16210</v>
      </c>
      <c r="N454" s="127" t="s">
        <v>11948</v>
      </c>
    </row>
    <row r="455" spans="1:14" x14ac:dyDescent="0.35">
      <c r="A455" s="127" t="s">
        <v>6063</v>
      </c>
      <c r="C455" s="127" t="s">
        <v>3263</v>
      </c>
      <c r="D455" s="127" t="s">
        <v>20602</v>
      </c>
      <c r="I455" s="127" t="s">
        <v>11950</v>
      </c>
      <c r="J455" s="127" t="s">
        <v>14885</v>
      </c>
      <c r="K455" s="127" t="s">
        <v>15327</v>
      </c>
      <c r="L455" s="127" t="s">
        <v>15769</v>
      </c>
      <c r="M455" s="127" t="s">
        <v>16211</v>
      </c>
      <c r="N455" s="127" t="s">
        <v>11951</v>
      </c>
    </row>
    <row r="456" spans="1:14" x14ac:dyDescent="0.35">
      <c r="A456" s="127" t="s">
        <v>6063</v>
      </c>
      <c r="C456" s="127" t="s">
        <v>3263</v>
      </c>
      <c r="D456" s="127" t="s">
        <v>20603</v>
      </c>
      <c r="I456" s="127" t="s">
        <v>11953</v>
      </c>
      <c r="J456" s="127" t="s">
        <v>14886</v>
      </c>
      <c r="K456" s="127" t="s">
        <v>15328</v>
      </c>
      <c r="L456" s="127" t="s">
        <v>15770</v>
      </c>
      <c r="M456" s="127" t="s">
        <v>16212</v>
      </c>
      <c r="N456" s="127" t="s">
        <v>11954</v>
      </c>
    </row>
    <row r="457" spans="1:14" x14ac:dyDescent="0.35">
      <c r="A457" s="127" t="s">
        <v>6063</v>
      </c>
      <c r="C457" s="127" t="s">
        <v>3263</v>
      </c>
      <c r="D457" s="127" t="s">
        <v>20604</v>
      </c>
      <c r="I457" s="127" t="s">
        <v>11956</v>
      </c>
      <c r="J457" s="127" t="s">
        <v>14887</v>
      </c>
      <c r="K457" s="127" t="s">
        <v>15329</v>
      </c>
      <c r="L457" s="127" t="s">
        <v>15771</v>
      </c>
      <c r="M457" s="127" t="s">
        <v>16213</v>
      </c>
      <c r="N457" s="127" t="s">
        <v>11957</v>
      </c>
    </row>
    <row r="458" spans="1:14" x14ac:dyDescent="0.35">
      <c r="A458" s="127" t="s">
        <v>6063</v>
      </c>
      <c r="C458" s="127" t="s">
        <v>3263</v>
      </c>
      <c r="D458" s="127" t="s">
        <v>20605</v>
      </c>
      <c r="I458" s="127" t="s">
        <v>11959</v>
      </c>
      <c r="J458" s="127" t="s">
        <v>14888</v>
      </c>
      <c r="K458" s="127" t="s">
        <v>15330</v>
      </c>
      <c r="L458" s="127" t="s">
        <v>15772</v>
      </c>
      <c r="M458" s="127" t="s">
        <v>16214</v>
      </c>
      <c r="N458" s="127" t="s">
        <v>11960</v>
      </c>
    </row>
    <row r="459" spans="1:14" x14ac:dyDescent="0.35">
      <c r="A459" s="127" t="s">
        <v>6063</v>
      </c>
      <c r="C459" s="127" t="s">
        <v>3263</v>
      </c>
      <c r="D459" s="127" t="s">
        <v>20606</v>
      </c>
      <c r="I459" s="127" t="s">
        <v>11962</v>
      </c>
      <c r="J459" s="127" t="s">
        <v>14889</v>
      </c>
      <c r="K459" s="127" t="s">
        <v>15331</v>
      </c>
      <c r="L459" s="127" t="s">
        <v>15773</v>
      </c>
      <c r="M459" s="127" t="s">
        <v>16215</v>
      </c>
      <c r="N459" s="127" t="s">
        <v>11963</v>
      </c>
    </row>
    <row r="460" spans="1:14" x14ac:dyDescent="0.35">
      <c r="A460" s="127" t="s">
        <v>6063</v>
      </c>
      <c r="C460" s="127" t="s">
        <v>3263</v>
      </c>
      <c r="D460" s="127" t="s">
        <v>20607</v>
      </c>
      <c r="I460" s="127" t="s">
        <v>11965</v>
      </c>
      <c r="J460" s="127" t="s">
        <v>14890</v>
      </c>
      <c r="K460" s="127" t="s">
        <v>15332</v>
      </c>
      <c r="L460" s="127" t="s">
        <v>15774</v>
      </c>
      <c r="M460" s="127" t="s">
        <v>16216</v>
      </c>
      <c r="N460" s="127" t="s">
        <v>11966</v>
      </c>
    </row>
    <row r="461" spans="1:14" x14ac:dyDescent="0.35">
      <c r="A461" s="127" t="s">
        <v>6063</v>
      </c>
      <c r="C461" s="127" t="s">
        <v>3263</v>
      </c>
      <c r="D461" s="127" t="s">
        <v>20608</v>
      </c>
      <c r="I461" s="127" t="s">
        <v>11968</v>
      </c>
      <c r="J461" s="127" t="s">
        <v>14891</v>
      </c>
      <c r="K461" s="127" t="s">
        <v>15333</v>
      </c>
      <c r="L461" s="127" t="s">
        <v>15775</v>
      </c>
      <c r="M461" s="127" t="s">
        <v>16217</v>
      </c>
      <c r="N461" s="127" t="s">
        <v>11969</v>
      </c>
    </row>
    <row r="462" spans="1:14" x14ac:dyDescent="0.35">
      <c r="A462" s="127" t="s">
        <v>6063</v>
      </c>
      <c r="C462" s="127" t="s">
        <v>3263</v>
      </c>
      <c r="D462" s="127" t="s">
        <v>20609</v>
      </c>
      <c r="I462" s="127" t="s">
        <v>11971</v>
      </c>
      <c r="J462" s="127" t="s">
        <v>14892</v>
      </c>
      <c r="K462" s="127" t="s">
        <v>15334</v>
      </c>
      <c r="L462" s="127" t="s">
        <v>15776</v>
      </c>
      <c r="M462" s="127" t="s">
        <v>16218</v>
      </c>
      <c r="N462" s="127" t="s">
        <v>11972</v>
      </c>
    </row>
    <row r="463" spans="1:14" x14ac:dyDescent="0.35">
      <c r="A463" s="127" t="s">
        <v>6063</v>
      </c>
      <c r="C463" s="127" t="s">
        <v>3263</v>
      </c>
      <c r="D463" s="127" t="s">
        <v>20610</v>
      </c>
      <c r="I463" s="127" t="s">
        <v>11974</v>
      </c>
      <c r="J463" s="127" t="s">
        <v>14893</v>
      </c>
      <c r="K463" s="127" t="s">
        <v>15335</v>
      </c>
      <c r="L463" s="127" t="s">
        <v>15777</v>
      </c>
      <c r="M463" s="127" t="s">
        <v>16219</v>
      </c>
      <c r="N463" s="127" t="s">
        <v>11975</v>
      </c>
    </row>
    <row r="464" spans="1:14" x14ac:dyDescent="0.35">
      <c r="A464" s="127" t="s">
        <v>6063</v>
      </c>
      <c r="C464" s="127" t="s">
        <v>3263</v>
      </c>
      <c r="D464" s="127" t="s">
        <v>20611</v>
      </c>
      <c r="I464" s="127" t="s">
        <v>11977</v>
      </c>
      <c r="J464" s="127" t="s">
        <v>14894</v>
      </c>
      <c r="K464" s="127" t="s">
        <v>15336</v>
      </c>
      <c r="L464" s="127" t="s">
        <v>15778</v>
      </c>
      <c r="M464" s="127" t="s">
        <v>16220</v>
      </c>
      <c r="N464" s="127" t="s">
        <v>11978</v>
      </c>
    </row>
    <row r="465" spans="1:14" x14ac:dyDescent="0.35">
      <c r="A465" s="127" t="s">
        <v>6063</v>
      </c>
      <c r="C465" s="127" t="s">
        <v>3263</v>
      </c>
      <c r="D465" s="127" t="s">
        <v>20612</v>
      </c>
      <c r="I465" s="127" t="s">
        <v>11980</v>
      </c>
      <c r="J465" s="127" t="s">
        <v>14895</v>
      </c>
      <c r="K465" s="127" t="s">
        <v>15337</v>
      </c>
      <c r="L465" s="127" t="s">
        <v>15779</v>
      </c>
      <c r="M465" s="127" t="s">
        <v>16221</v>
      </c>
      <c r="N465" s="127" t="s">
        <v>11981</v>
      </c>
    </row>
    <row r="466" spans="1:14" x14ac:dyDescent="0.35">
      <c r="A466" s="127" t="s">
        <v>6063</v>
      </c>
      <c r="C466" s="127" t="s">
        <v>3263</v>
      </c>
      <c r="D466" s="127" t="s">
        <v>20613</v>
      </c>
      <c r="I466" s="127" t="s">
        <v>11983</v>
      </c>
      <c r="J466" s="127" t="s">
        <v>14896</v>
      </c>
      <c r="K466" s="127" t="s">
        <v>15338</v>
      </c>
      <c r="L466" s="127" t="s">
        <v>15780</v>
      </c>
      <c r="M466" s="127" t="s">
        <v>16222</v>
      </c>
      <c r="N466" s="127" t="s">
        <v>11984</v>
      </c>
    </row>
    <row r="467" spans="1:14" x14ac:dyDescent="0.35">
      <c r="A467" s="127" t="s">
        <v>6063</v>
      </c>
      <c r="C467" s="127" t="s">
        <v>3263</v>
      </c>
      <c r="D467" s="127" t="s">
        <v>20614</v>
      </c>
      <c r="I467" s="127" t="s">
        <v>11986</v>
      </c>
      <c r="J467" s="127" t="s">
        <v>14897</v>
      </c>
      <c r="K467" s="127" t="s">
        <v>15339</v>
      </c>
      <c r="L467" s="127" t="s">
        <v>15781</v>
      </c>
      <c r="M467" s="127" t="s">
        <v>16223</v>
      </c>
      <c r="N467" s="127" t="s">
        <v>11987</v>
      </c>
    </row>
    <row r="468" spans="1:14" x14ac:dyDescent="0.35">
      <c r="A468" s="127" t="s">
        <v>6063</v>
      </c>
      <c r="C468" s="127" t="s">
        <v>3263</v>
      </c>
      <c r="D468" s="127" t="s">
        <v>20615</v>
      </c>
      <c r="I468" s="127" t="s">
        <v>11989</v>
      </c>
      <c r="J468" s="127" t="s">
        <v>14898</v>
      </c>
      <c r="K468" s="127" t="s">
        <v>15340</v>
      </c>
      <c r="L468" s="127" t="s">
        <v>15782</v>
      </c>
      <c r="M468" s="127" t="s">
        <v>16224</v>
      </c>
      <c r="N468" s="127" t="s">
        <v>11990</v>
      </c>
    </row>
    <row r="469" spans="1:14" x14ac:dyDescent="0.35">
      <c r="A469" s="127" t="s">
        <v>6063</v>
      </c>
      <c r="C469" s="127" t="s">
        <v>3263</v>
      </c>
      <c r="D469" s="127" t="s">
        <v>20616</v>
      </c>
      <c r="I469" s="127" t="s">
        <v>11992</v>
      </c>
      <c r="J469" s="127" t="s">
        <v>14899</v>
      </c>
      <c r="K469" s="127" t="s">
        <v>15341</v>
      </c>
      <c r="L469" s="127" t="s">
        <v>15783</v>
      </c>
      <c r="M469" s="127" t="s">
        <v>16225</v>
      </c>
      <c r="N469" s="127" t="s">
        <v>11993</v>
      </c>
    </row>
    <row r="470" spans="1:14" x14ac:dyDescent="0.35">
      <c r="A470" s="127" t="s">
        <v>6063</v>
      </c>
      <c r="C470" s="127" t="s">
        <v>3263</v>
      </c>
      <c r="D470" s="127" t="s">
        <v>20617</v>
      </c>
      <c r="I470" s="127" t="s">
        <v>11995</v>
      </c>
      <c r="J470" s="127" t="s">
        <v>14900</v>
      </c>
      <c r="K470" s="127" t="s">
        <v>15342</v>
      </c>
      <c r="L470" s="127" t="s">
        <v>15784</v>
      </c>
      <c r="M470" s="127" t="s">
        <v>16226</v>
      </c>
      <c r="N470" s="127" t="s">
        <v>11996</v>
      </c>
    </row>
    <row r="471" spans="1:14" x14ac:dyDescent="0.35">
      <c r="A471" s="127" t="s">
        <v>6063</v>
      </c>
      <c r="C471" s="127" t="s">
        <v>3263</v>
      </c>
      <c r="D471" s="127" t="s">
        <v>20618</v>
      </c>
      <c r="I471" s="127" t="s">
        <v>11998</v>
      </c>
      <c r="J471" s="127" t="s">
        <v>14901</v>
      </c>
      <c r="K471" s="127" t="s">
        <v>15343</v>
      </c>
      <c r="L471" s="127" t="s">
        <v>15785</v>
      </c>
      <c r="M471" s="127" t="s">
        <v>16227</v>
      </c>
      <c r="N471" s="127" t="s">
        <v>11999</v>
      </c>
    </row>
    <row r="472" spans="1:14" x14ac:dyDescent="0.35">
      <c r="A472" s="127" t="s">
        <v>6063</v>
      </c>
      <c r="C472" s="127" t="s">
        <v>3263</v>
      </c>
      <c r="D472" s="127" t="s">
        <v>20619</v>
      </c>
      <c r="I472" s="127" t="s">
        <v>12001</v>
      </c>
      <c r="J472" s="127" t="s">
        <v>14902</v>
      </c>
      <c r="K472" s="127" t="s">
        <v>15344</v>
      </c>
      <c r="L472" s="127" t="s">
        <v>15786</v>
      </c>
      <c r="M472" s="127" t="s">
        <v>16228</v>
      </c>
      <c r="N472" s="127" t="s">
        <v>12002</v>
      </c>
    </row>
    <row r="473" spans="1:14" x14ac:dyDescent="0.35">
      <c r="A473" s="127" t="s">
        <v>6063</v>
      </c>
      <c r="C473" s="127" t="s">
        <v>3263</v>
      </c>
      <c r="D473" s="127" t="s">
        <v>20620</v>
      </c>
      <c r="I473" s="127" t="s">
        <v>12004</v>
      </c>
      <c r="J473" s="127" t="s">
        <v>14903</v>
      </c>
      <c r="K473" s="127" t="s">
        <v>15345</v>
      </c>
      <c r="L473" s="127" t="s">
        <v>15787</v>
      </c>
      <c r="M473" s="127" t="s">
        <v>16229</v>
      </c>
      <c r="N473" s="127" t="s">
        <v>12005</v>
      </c>
    </row>
    <row r="474" spans="1:14" x14ac:dyDescent="0.35">
      <c r="A474" s="127" t="s">
        <v>6063</v>
      </c>
      <c r="C474" s="127" t="s">
        <v>3263</v>
      </c>
      <c r="D474" s="127" t="s">
        <v>20621</v>
      </c>
      <c r="I474" s="127" t="s">
        <v>12007</v>
      </c>
      <c r="J474" s="127" t="s">
        <v>14904</v>
      </c>
      <c r="K474" s="127" t="s">
        <v>15346</v>
      </c>
      <c r="L474" s="127" t="s">
        <v>15788</v>
      </c>
      <c r="M474" s="127" t="s">
        <v>16230</v>
      </c>
      <c r="N474" s="127" t="s">
        <v>12008</v>
      </c>
    </row>
    <row r="475" spans="1:14" x14ac:dyDescent="0.35">
      <c r="A475" s="127" t="s">
        <v>6063</v>
      </c>
      <c r="C475" s="127" t="s">
        <v>3263</v>
      </c>
      <c r="D475" s="127" t="s">
        <v>20622</v>
      </c>
      <c r="I475" s="127" t="s">
        <v>12010</v>
      </c>
      <c r="J475" s="127" t="s">
        <v>14905</v>
      </c>
      <c r="K475" s="127" t="s">
        <v>15347</v>
      </c>
      <c r="L475" s="127" t="s">
        <v>15789</v>
      </c>
      <c r="M475" s="127" t="s">
        <v>16231</v>
      </c>
      <c r="N475" s="127" t="s">
        <v>12011</v>
      </c>
    </row>
    <row r="476" spans="1:14" x14ac:dyDescent="0.35">
      <c r="A476" s="127" t="s">
        <v>6063</v>
      </c>
      <c r="C476" s="127" t="s">
        <v>3263</v>
      </c>
      <c r="D476" s="127" t="s">
        <v>20623</v>
      </c>
      <c r="I476" s="127" t="s">
        <v>12013</v>
      </c>
      <c r="J476" s="127" t="s">
        <v>14906</v>
      </c>
      <c r="K476" s="127" t="s">
        <v>15348</v>
      </c>
      <c r="L476" s="127" t="s">
        <v>15790</v>
      </c>
      <c r="M476" s="127" t="s">
        <v>16232</v>
      </c>
      <c r="N476" s="127" t="s">
        <v>12014</v>
      </c>
    </row>
    <row r="477" spans="1:14" x14ac:dyDescent="0.35">
      <c r="A477" s="127" t="s">
        <v>6063</v>
      </c>
      <c r="C477" s="127" t="s">
        <v>3263</v>
      </c>
      <c r="D477" s="127" t="s">
        <v>20624</v>
      </c>
      <c r="I477" s="127" t="s">
        <v>12016</v>
      </c>
      <c r="J477" s="127" t="s">
        <v>14907</v>
      </c>
      <c r="K477" s="127" t="s">
        <v>15349</v>
      </c>
      <c r="L477" s="127" t="s">
        <v>15791</v>
      </c>
      <c r="M477" s="127" t="s">
        <v>16233</v>
      </c>
      <c r="N477" s="127" t="s">
        <v>12017</v>
      </c>
    </row>
    <row r="478" spans="1:14" x14ac:dyDescent="0.35">
      <c r="A478" s="127" t="s">
        <v>6063</v>
      </c>
      <c r="C478" s="127" t="s">
        <v>3263</v>
      </c>
      <c r="D478" s="127" t="s">
        <v>20625</v>
      </c>
      <c r="I478" s="127" t="s">
        <v>12019</v>
      </c>
      <c r="J478" s="127" t="s">
        <v>14908</v>
      </c>
      <c r="K478" s="127" t="s">
        <v>15350</v>
      </c>
      <c r="L478" s="127" t="s">
        <v>15792</v>
      </c>
      <c r="M478" s="127" t="s">
        <v>16234</v>
      </c>
      <c r="N478" s="127" t="s">
        <v>12020</v>
      </c>
    </row>
    <row r="479" spans="1:14" x14ac:dyDescent="0.35">
      <c r="A479" s="127" t="s">
        <v>6063</v>
      </c>
      <c r="C479" s="127" t="s">
        <v>3263</v>
      </c>
      <c r="D479" s="127" t="s">
        <v>20626</v>
      </c>
      <c r="I479" s="127" t="s">
        <v>12022</v>
      </c>
      <c r="J479" s="127" t="s">
        <v>14909</v>
      </c>
      <c r="K479" s="127" t="s">
        <v>15351</v>
      </c>
      <c r="L479" s="127" t="s">
        <v>15793</v>
      </c>
      <c r="M479" s="127" t="s">
        <v>16235</v>
      </c>
      <c r="N479" s="127" t="s">
        <v>12023</v>
      </c>
    </row>
    <row r="480" spans="1:14" x14ac:dyDescent="0.35">
      <c r="A480" s="127" t="s">
        <v>6063</v>
      </c>
      <c r="C480" s="127" t="s">
        <v>3263</v>
      </c>
      <c r="D480" s="127" t="s">
        <v>20627</v>
      </c>
      <c r="I480" s="127" t="s">
        <v>12025</v>
      </c>
      <c r="J480" s="127" t="s">
        <v>14910</v>
      </c>
      <c r="K480" s="127" t="s">
        <v>15352</v>
      </c>
      <c r="L480" s="127" t="s">
        <v>15794</v>
      </c>
      <c r="M480" s="127" t="s">
        <v>16236</v>
      </c>
      <c r="N480" s="127" t="s">
        <v>12026</v>
      </c>
    </row>
    <row r="481" spans="1:14" x14ac:dyDescent="0.35">
      <c r="A481" s="127" t="s">
        <v>6063</v>
      </c>
      <c r="C481" s="127" t="s">
        <v>3263</v>
      </c>
      <c r="D481" s="127" t="s">
        <v>20628</v>
      </c>
      <c r="I481" s="127" t="s">
        <v>12028</v>
      </c>
      <c r="J481" s="127" t="s">
        <v>14911</v>
      </c>
      <c r="K481" s="127" t="s">
        <v>15353</v>
      </c>
      <c r="L481" s="127" t="s">
        <v>15795</v>
      </c>
      <c r="M481" s="127" t="s">
        <v>16237</v>
      </c>
      <c r="N481" s="127" t="s">
        <v>12029</v>
      </c>
    </row>
    <row r="482" spans="1:14" x14ac:dyDescent="0.35">
      <c r="A482" s="127" t="s">
        <v>6063</v>
      </c>
      <c r="C482" s="127" t="s">
        <v>3263</v>
      </c>
      <c r="D482" s="127" t="s">
        <v>20629</v>
      </c>
      <c r="I482" s="127" t="s">
        <v>12031</v>
      </c>
      <c r="J482" s="127" t="s">
        <v>14912</v>
      </c>
      <c r="K482" s="127" t="s">
        <v>15354</v>
      </c>
      <c r="L482" s="127" t="s">
        <v>15796</v>
      </c>
      <c r="M482" s="127" t="s">
        <v>16238</v>
      </c>
      <c r="N482" s="127" t="s">
        <v>12032</v>
      </c>
    </row>
    <row r="483" spans="1:14" x14ac:dyDescent="0.35">
      <c r="A483" s="127" t="s">
        <v>6063</v>
      </c>
      <c r="C483" s="127" t="s">
        <v>3263</v>
      </c>
      <c r="D483" s="127" t="s">
        <v>20630</v>
      </c>
      <c r="I483" s="127" t="s">
        <v>12034</v>
      </c>
      <c r="J483" s="127" t="s">
        <v>14913</v>
      </c>
      <c r="K483" s="127" t="s">
        <v>15355</v>
      </c>
      <c r="L483" s="127" t="s">
        <v>15797</v>
      </c>
      <c r="M483" s="127" t="s">
        <v>16239</v>
      </c>
      <c r="N483" s="127" t="s">
        <v>12035</v>
      </c>
    </row>
    <row r="484" spans="1:14" x14ac:dyDescent="0.35">
      <c r="A484" s="127" t="s">
        <v>6063</v>
      </c>
      <c r="C484" s="127" t="s">
        <v>3263</v>
      </c>
      <c r="D484" s="127" t="s">
        <v>20631</v>
      </c>
      <c r="I484" s="127" t="s">
        <v>12037</v>
      </c>
      <c r="J484" s="127" t="s">
        <v>14914</v>
      </c>
      <c r="K484" s="127" t="s">
        <v>15356</v>
      </c>
      <c r="L484" s="127" t="s">
        <v>15798</v>
      </c>
      <c r="M484" s="127" t="s">
        <v>16240</v>
      </c>
      <c r="N484" s="127" t="s">
        <v>12038</v>
      </c>
    </row>
    <row r="485" spans="1:14" x14ac:dyDescent="0.35">
      <c r="A485" s="127" t="s">
        <v>6063</v>
      </c>
      <c r="C485" s="127" t="s">
        <v>3263</v>
      </c>
      <c r="D485" s="127" t="s">
        <v>20632</v>
      </c>
      <c r="I485" s="127" t="s">
        <v>12040</v>
      </c>
      <c r="J485" s="127" t="s">
        <v>14915</v>
      </c>
      <c r="K485" s="127" t="s">
        <v>15357</v>
      </c>
      <c r="L485" s="127" t="s">
        <v>15799</v>
      </c>
      <c r="M485" s="127" t="s">
        <v>16241</v>
      </c>
      <c r="N485" s="127" t="s">
        <v>12041</v>
      </c>
    </row>
    <row r="486" spans="1:14" x14ac:dyDescent="0.35">
      <c r="A486" s="127" t="s">
        <v>6063</v>
      </c>
      <c r="C486" s="127" t="s">
        <v>3263</v>
      </c>
      <c r="D486" s="127" t="s">
        <v>20633</v>
      </c>
      <c r="I486" s="127" t="s">
        <v>12043</v>
      </c>
      <c r="J486" s="127" t="s">
        <v>14916</v>
      </c>
      <c r="K486" s="127" t="s">
        <v>15358</v>
      </c>
      <c r="L486" s="127" t="s">
        <v>15800</v>
      </c>
      <c r="M486" s="127" t="s">
        <v>16242</v>
      </c>
      <c r="N486" s="127" t="s">
        <v>12044</v>
      </c>
    </row>
    <row r="487" spans="1:14" x14ac:dyDescent="0.35">
      <c r="A487" s="127" t="s">
        <v>6063</v>
      </c>
      <c r="C487" s="127" t="s">
        <v>3263</v>
      </c>
      <c r="D487" s="127" t="s">
        <v>20634</v>
      </c>
      <c r="I487" s="127" t="s">
        <v>12046</v>
      </c>
      <c r="J487" s="127" t="s">
        <v>14917</v>
      </c>
      <c r="K487" s="127" t="s">
        <v>15359</v>
      </c>
      <c r="L487" s="127" t="s">
        <v>15801</v>
      </c>
      <c r="M487" s="127" t="s">
        <v>16243</v>
      </c>
      <c r="N487" s="127" t="s">
        <v>12047</v>
      </c>
    </row>
    <row r="488" spans="1:14" x14ac:dyDescent="0.35">
      <c r="A488" s="127" t="s">
        <v>6063</v>
      </c>
      <c r="C488" s="127" t="s">
        <v>3263</v>
      </c>
      <c r="D488" s="127" t="s">
        <v>20635</v>
      </c>
      <c r="I488" s="127" t="s">
        <v>12049</v>
      </c>
      <c r="J488" s="127" t="s">
        <v>14918</v>
      </c>
      <c r="K488" s="127" t="s">
        <v>15360</v>
      </c>
      <c r="L488" s="127" t="s">
        <v>15802</v>
      </c>
      <c r="M488" s="127" t="s">
        <v>16244</v>
      </c>
      <c r="N488" s="127" t="s">
        <v>12050</v>
      </c>
    </row>
    <row r="489" spans="1:14" x14ac:dyDescent="0.35">
      <c r="A489" s="127" t="s">
        <v>6063</v>
      </c>
      <c r="C489" s="127" t="s">
        <v>3263</v>
      </c>
      <c r="D489" s="127" t="s">
        <v>20636</v>
      </c>
      <c r="I489" s="127" t="s">
        <v>12052</v>
      </c>
      <c r="J489" s="127" t="s">
        <v>14919</v>
      </c>
      <c r="K489" s="127" t="s">
        <v>15361</v>
      </c>
      <c r="L489" s="127" t="s">
        <v>15803</v>
      </c>
      <c r="M489" s="127" t="s">
        <v>16245</v>
      </c>
      <c r="N489" s="127" t="s">
        <v>12053</v>
      </c>
    </row>
    <row r="490" spans="1:14" x14ac:dyDescent="0.35">
      <c r="A490" s="127" t="s">
        <v>6063</v>
      </c>
      <c r="C490" s="127" t="s">
        <v>3263</v>
      </c>
      <c r="D490" s="127" t="s">
        <v>20637</v>
      </c>
      <c r="I490" s="127" t="s">
        <v>12055</v>
      </c>
      <c r="J490" s="127" t="s">
        <v>14920</v>
      </c>
      <c r="K490" s="127" t="s">
        <v>15362</v>
      </c>
      <c r="L490" s="127" t="s">
        <v>15804</v>
      </c>
      <c r="M490" s="127" t="s">
        <v>16246</v>
      </c>
      <c r="N490" s="127" t="s">
        <v>12056</v>
      </c>
    </row>
    <row r="491" spans="1:14" x14ac:dyDescent="0.35">
      <c r="A491" s="127" t="s">
        <v>6063</v>
      </c>
      <c r="C491" s="127" t="s">
        <v>3263</v>
      </c>
      <c r="D491" s="127" t="s">
        <v>20638</v>
      </c>
      <c r="I491" s="127" t="s">
        <v>12058</v>
      </c>
      <c r="J491" s="127" t="s">
        <v>14921</v>
      </c>
      <c r="K491" s="127" t="s">
        <v>15363</v>
      </c>
      <c r="L491" s="127" t="s">
        <v>15805</v>
      </c>
      <c r="M491" s="127" t="s">
        <v>16247</v>
      </c>
      <c r="N491" s="127" t="s">
        <v>12059</v>
      </c>
    </row>
    <row r="492" spans="1:14" x14ac:dyDescent="0.35">
      <c r="A492" s="127" t="s">
        <v>6063</v>
      </c>
      <c r="C492" s="127" t="s">
        <v>3263</v>
      </c>
      <c r="D492" s="127" t="s">
        <v>20639</v>
      </c>
      <c r="I492" s="127" t="s">
        <v>12061</v>
      </c>
      <c r="J492" s="127" t="s">
        <v>14922</v>
      </c>
      <c r="K492" s="127" t="s">
        <v>15364</v>
      </c>
      <c r="L492" s="127" t="s">
        <v>15806</v>
      </c>
      <c r="M492" s="127" t="s">
        <v>16248</v>
      </c>
      <c r="N492" s="127" t="s">
        <v>12062</v>
      </c>
    </row>
    <row r="493" spans="1:14" x14ac:dyDescent="0.35">
      <c r="A493" s="127" t="s">
        <v>6063</v>
      </c>
      <c r="C493" s="127" t="s">
        <v>3263</v>
      </c>
      <c r="D493" s="127" t="s">
        <v>20640</v>
      </c>
      <c r="I493" s="127" t="s">
        <v>12064</v>
      </c>
      <c r="J493" s="127" t="s">
        <v>14923</v>
      </c>
      <c r="K493" s="127" t="s">
        <v>15365</v>
      </c>
      <c r="L493" s="127" t="s">
        <v>15807</v>
      </c>
      <c r="M493" s="127" t="s">
        <v>16249</v>
      </c>
      <c r="N493" s="127" t="s">
        <v>12065</v>
      </c>
    </row>
    <row r="494" spans="1:14" x14ac:dyDescent="0.35">
      <c r="A494" s="127" t="s">
        <v>6063</v>
      </c>
      <c r="C494" s="127" t="s">
        <v>3263</v>
      </c>
      <c r="D494" s="127" t="s">
        <v>20641</v>
      </c>
      <c r="I494" s="127" t="s">
        <v>12067</v>
      </c>
      <c r="J494" s="127" t="s">
        <v>14924</v>
      </c>
      <c r="K494" s="127" t="s">
        <v>15366</v>
      </c>
      <c r="L494" s="127" t="s">
        <v>15808</v>
      </c>
      <c r="M494" s="127" t="s">
        <v>16250</v>
      </c>
      <c r="N494" s="127" t="s">
        <v>12068</v>
      </c>
    </row>
    <row r="495" spans="1:14" x14ac:dyDescent="0.35">
      <c r="A495" s="127" t="s">
        <v>6063</v>
      </c>
      <c r="C495" s="127" t="s">
        <v>3263</v>
      </c>
      <c r="D495" s="127" t="s">
        <v>20642</v>
      </c>
      <c r="I495" s="127" t="s">
        <v>12070</v>
      </c>
      <c r="J495" s="127" t="s">
        <v>14925</v>
      </c>
      <c r="K495" s="127" t="s">
        <v>15367</v>
      </c>
      <c r="L495" s="127" t="s">
        <v>15809</v>
      </c>
      <c r="M495" s="127" t="s">
        <v>16251</v>
      </c>
      <c r="N495" s="127" t="s">
        <v>12071</v>
      </c>
    </row>
    <row r="496" spans="1:14" x14ac:dyDescent="0.35">
      <c r="A496" s="127" t="s">
        <v>6063</v>
      </c>
      <c r="C496" s="127" t="s">
        <v>3263</v>
      </c>
      <c r="D496" s="127" t="s">
        <v>20643</v>
      </c>
      <c r="I496" s="127" t="s">
        <v>12073</v>
      </c>
      <c r="J496" s="127" t="s">
        <v>14926</v>
      </c>
      <c r="K496" s="127" t="s">
        <v>15368</v>
      </c>
      <c r="L496" s="127" t="s">
        <v>15810</v>
      </c>
      <c r="M496" s="127" t="s">
        <v>16252</v>
      </c>
      <c r="N496" s="127" t="s">
        <v>12074</v>
      </c>
    </row>
    <row r="497" spans="1:14" x14ac:dyDescent="0.35">
      <c r="A497" s="127" t="s">
        <v>6063</v>
      </c>
      <c r="C497" s="127" t="s">
        <v>3263</v>
      </c>
      <c r="D497" s="127" t="s">
        <v>20644</v>
      </c>
      <c r="I497" s="127" t="s">
        <v>12076</v>
      </c>
      <c r="J497" s="127" t="s">
        <v>14927</v>
      </c>
      <c r="K497" s="127" t="s">
        <v>15369</v>
      </c>
      <c r="L497" s="127" t="s">
        <v>15811</v>
      </c>
      <c r="M497" s="127" t="s">
        <v>16253</v>
      </c>
      <c r="N497" s="127" t="s">
        <v>12077</v>
      </c>
    </row>
    <row r="498" spans="1:14" x14ac:dyDescent="0.35">
      <c r="A498" s="127" t="s">
        <v>6063</v>
      </c>
      <c r="C498" s="127" t="s">
        <v>3263</v>
      </c>
      <c r="D498" s="127" t="s">
        <v>20645</v>
      </c>
      <c r="I498" s="127" t="s">
        <v>12079</v>
      </c>
      <c r="J498" s="127" t="s">
        <v>14928</v>
      </c>
      <c r="K498" s="127" t="s">
        <v>15370</v>
      </c>
      <c r="L498" s="127" t="s">
        <v>15812</v>
      </c>
      <c r="M498" s="127" t="s">
        <v>16254</v>
      </c>
      <c r="N498" s="127" t="s">
        <v>12080</v>
      </c>
    </row>
    <row r="499" spans="1:14" x14ac:dyDescent="0.35">
      <c r="A499" s="127" t="s">
        <v>6063</v>
      </c>
      <c r="C499" s="127" t="s">
        <v>3263</v>
      </c>
      <c r="D499" s="127" t="s">
        <v>20646</v>
      </c>
      <c r="I499" s="127" t="s">
        <v>12082</v>
      </c>
      <c r="J499" s="127" t="s">
        <v>14929</v>
      </c>
      <c r="K499" s="127" t="s">
        <v>15371</v>
      </c>
      <c r="L499" s="127" t="s">
        <v>15813</v>
      </c>
      <c r="M499" s="127" t="s">
        <v>16255</v>
      </c>
      <c r="N499" s="127" t="s">
        <v>12083</v>
      </c>
    </row>
    <row r="500" spans="1:14" x14ac:dyDescent="0.35">
      <c r="A500" s="127" t="s">
        <v>6063</v>
      </c>
      <c r="C500" s="127" t="s">
        <v>3263</v>
      </c>
      <c r="D500" s="127" t="s">
        <v>20647</v>
      </c>
      <c r="I500" s="127" t="s">
        <v>12085</v>
      </c>
      <c r="J500" s="127" t="s">
        <v>14930</v>
      </c>
      <c r="K500" s="127" t="s">
        <v>15372</v>
      </c>
      <c r="L500" s="127" t="s">
        <v>15814</v>
      </c>
      <c r="M500" s="127" t="s">
        <v>16256</v>
      </c>
      <c r="N500" s="127" t="s">
        <v>12086</v>
      </c>
    </row>
    <row r="501" spans="1:14" x14ac:dyDescent="0.35">
      <c r="A501" s="127" t="s">
        <v>6063</v>
      </c>
      <c r="C501" s="127" t="s">
        <v>3263</v>
      </c>
      <c r="D501" s="127" t="s">
        <v>20648</v>
      </c>
      <c r="I501" s="127" t="s">
        <v>12088</v>
      </c>
      <c r="J501" s="127" t="s">
        <v>14931</v>
      </c>
      <c r="K501" s="127" t="s">
        <v>15373</v>
      </c>
      <c r="L501" s="127" t="s">
        <v>15815</v>
      </c>
      <c r="M501" s="127" t="s">
        <v>16257</v>
      </c>
      <c r="N501" s="127" t="s">
        <v>12089</v>
      </c>
    </row>
    <row r="502" spans="1:14" x14ac:dyDescent="0.35">
      <c r="A502" s="127" t="s">
        <v>6063</v>
      </c>
      <c r="C502" s="127" t="s">
        <v>3263</v>
      </c>
      <c r="D502" s="127" t="s">
        <v>20649</v>
      </c>
      <c r="I502" s="127" t="s">
        <v>12091</v>
      </c>
      <c r="J502" s="127" t="s">
        <v>14932</v>
      </c>
      <c r="K502" s="127" t="s">
        <v>15374</v>
      </c>
      <c r="L502" s="127" t="s">
        <v>15816</v>
      </c>
      <c r="M502" s="127" t="s">
        <v>16258</v>
      </c>
      <c r="N502" s="127" t="s">
        <v>12092</v>
      </c>
    </row>
    <row r="503" spans="1:14" x14ac:dyDescent="0.35">
      <c r="A503" s="127" t="s">
        <v>6063</v>
      </c>
      <c r="C503" s="127" t="s">
        <v>3263</v>
      </c>
      <c r="D503" s="127" t="s">
        <v>20650</v>
      </c>
      <c r="I503" s="127" t="s">
        <v>12094</v>
      </c>
      <c r="J503" s="127" t="s">
        <v>14933</v>
      </c>
      <c r="K503" s="127" t="s">
        <v>15375</v>
      </c>
      <c r="L503" s="127" t="s">
        <v>15817</v>
      </c>
      <c r="M503" s="127" t="s">
        <v>16259</v>
      </c>
      <c r="N503" s="127" t="s">
        <v>12095</v>
      </c>
    </row>
    <row r="504" spans="1:14" x14ac:dyDescent="0.35">
      <c r="A504" s="127" t="s">
        <v>6063</v>
      </c>
      <c r="C504" s="127" t="s">
        <v>3263</v>
      </c>
      <c r="D504" s="127" t="s">
        <v>20651</v>
      </c>
      <c r="I504" s="127" t="s">
        <v>12097</v>
      </c>
      <c r="J504" s="127" t="s">
        <v>14934</v>
      </c>
      <c r="K504" s="127" t="s">
        <v>15376</v>
      </c>
      <c r="L504" s="127" t="s">
        <v>15818</v>
      </c>
      <c r="M504" s="127" t="s">
        <v>16260</v>
      </c>
      <c r="N504" s="127" t="s">
        <v>12098</v>
      </c>
    </row>
    <row r="505" spans="1:14" x14ac:dyDescent="0.35">
      <c r="A505" s="127" t="s">
        <v>6063</v>
      </c>
      <c r="C505" s="127" t="s">
        <v>3263</v>
      </c>
      <c r="D505" s="127" t="s">
        <v>20652</v>
      </c>
      <c r="I505" s="127" t="s">
        <v>12100</v>
      </c>
      <c r="J505" s="127" t="s">
        <v>14935</v>
      </c>
      <c r="K505" s="127" t="s">
        <v>15377</v>
      </c>
      <c r="L505" s="127" t="s">
        <v>15819</v>
      </c>
      <c r="M505" s="127" t="s">
        <v>16261</v>
      </c>
      <c r="N505" s="127" t="s">
        <v>12101</v>
      </c>
    </row>
    <row r="506" spans="1:14" x14ac:dyDescent="0.35">
      <c r="A506" s="127" t="s">
        <v>6063</v>
      </c>
      <c r="C506" s="127" t="s">
        <v>3263</v>
      </c>
      <c r="D506" s="127" t="s">
        <v>20653</v>
      </c>
      <c r="I506" s="127" t="s">
        <v>12103</v>
      </c>
      <c r="J506" s="127" t="s">
        <v>14936</v>
      </c>
      <c r="K506" s="127" t="s">
        <v>15378</v>
      </c>
      <c r="L506" s="127" t="s">
        <v>15820</v>
      </c>
      <c r="M506" s="127" t="s">
        <v>16262</v>
      </c>
      <c r="N506" s="127" t="s">
        <v>12104</v>
      </c>
    </row>
    <row r="507" spans="1:14" x14ac:dyDescent="0.35">
      <c r="A507" s="127" t="s">
        <v>6063</v>
      </c>
      <c r="C507" s="127" t="s">
        <v>3263</v>
      </c>
      <c r="D507" s="127" t="s">
        <v>20654</v>
      </c>
      <c r="I507" s="127" t="s">
        <v>12106</v>
      </c>
      <c r="J507" s="127" t="s">
        <v>14937</v>
      </c>
      <c r="K507" s="127" t="s">
        <v>15379</v>
      </c>
      <c r="L507" s="127" t="s">
        <v>15821</v>
      </c>
      <c r="M507" s="127" t="s">
        <v>16263</v>
      </c>
      <c r="N507" s="127" t="s">
        <v>12107</v>
      </c>
    </row>
    <row r="508" spans="1:14" x14ac:dyDescent="0.35">
      <c r="A508" s="127" t="s">
        <v>6063</v>
      </c>
      <c r="C508" s="127" t="s">
        <v>3263</v>
      </c>
      <c r="D508" s="127" t="s">
        <v>20655</v>
      </c>
      <c r="I508" s="127" t="s">
        <v>12109</v>
      </c>
      <c r="J508" s="127" t="s">
        <v>14938</v>
      </c>
      <c r="K508" s="127" t="s">
        <v>15380</v>
      </c>
      <c r="L508" s="127" t="s">
        <v>15822</v>
      </c>
      <c r="M508" s="127" t="s">
        <v>16264</v>
      </c>
      <c r="N508" s="127" t="s">
        <v>12110</v>
      </c>
    </row>
    <row r="509" spans="1:14" x14ac:dyDescent="0.35">
      <c r="A509" s="127" t="s">
        <v>6063</v>
      </c>
      <c r="C509" s="127" t="s">
        <v>3263</v>
      </c>
      <c r="D509" s="127" t="s">
        <v>20656</v>
      </c>
      <c r="I509" s="127" t="s">
        <v>12112</v>
      </c>
      <c r="J509" s="127" t="s">
        <v>14939</v>
      </c>
      <c r="K509" s="127" t="s">
        <v>15381</v>
      </c>
      <c r="L509" s="127" t="s">
        <v>15823</v>
      </c>
      <c r="M509" s="127" t="s">
        <v>16265</v>
      </c>
      <c r="N509" s="127" t="s">
        <v>12113</v>
      </c>
    </row>
    <row r="510" spans="1:14" x14ac:dyDescent="0.35">
      <c r="A510" s="127" t="s">
        <v>6063</v>
      </c>
      <c r="C510" s="127" t="s">
        <v>3263</v>
      </c>
      <c r="D510" s="127" t="s">
        <v>20657</v>
      </c>
      <c r="I510" s="127" t="s">
        <v>12115</v>
      </c>
      <c r="J510" s="127" t="s">
        <v>14940</v>
      </c>
      <c r="K510" s="127" t="s">
        <v>15382</v>
      </c>
      <c r="L510" s="127" t="s">
        <v>15824</v>
      </c>
      <c r="M510" s="127" t="s">
        <v>16266</v>
      </c>
      <c r="N510" s="127" t="s">
        <v>12116</v>
      </c>
    </row>
    <row r="511" spans="1:14" x14ac:dyDescent="0.35">
      <c r="A511" s="127" t="s">
        <v>6063</v>
      </c>
      <c r="C511" s="127" t="s">
        <v>3263</v>
      </c>
      <c r="D511" s="127" t="s">
        <v>20658</v>
      </c>
      <c r="I511" s="127" t="s">
        <v>12118</v>
      </c>
      <c r="J511" s="127" t="s">
        <v>14941</v>
      </c>
      <c r="K511" s="127" t="s">
        <v>15383</v>
      </c>
      <c r="L511" s="127" t="s">
        <v>15825</v>
      </c>
      <c r="M511" s="127" t="s">
        <v>16267</v>
      </c>
      <c r="N511" s="127" t="s">
        <v>12119</v>
      </c>
    </row>
    <row r="512" spans="1:14" x14ac:dyDescent="0.35">
      <c r="A512" s="127" t="s">
        <v>6063</v>
      </c>
      <c r="C512" s="127" t="s">
        <v>3263</v>
      </c>
      <c r="D512" s="127" t="s">
        <v>20659</v>
      </c>
      <c r="I512" s="127" t="s">
        <v>12121</v>
      </c>
      <c r="J512" s="127" t="s">
        <v>14942</v>
      </c>
      <c r="K512" s="127" t="s">
        <v>15384</v>
      </c>
      <c r="L512" s="127" t="s">
        <v>15826</v>
      </c>
      <c r="M512" s="127" t="s">
        <v>16268</v>
      </c>
      <c r="N512" s="127" t="s">
        <v>12122</v>
      </c>
    </row>
    <row r="513" spans="1:14" x14ac:dyDescent="0.35">
      <c r="A513" s="127" t="s">
        <v>6063</v>
      </c>
      <c r="C513" s="127" t="s">
        <v>3263</v>
      </c>
      <c r="D513" s="127" t="s">
        <v>20660</v>
      </c>
      <c r="I513" s="127" t="s">
        <v>12124</v>
      </c>
      <c r="J513" s="127" t="s">
        <v>14943</v>
      </c>
      <c r="K513" s="127" t="s">
        <v>15385</v>
      </c>
      <c r="L513" s="127" t="s">
        <v>15827</v>
      </c>
      <c r="M513" s="127" t="s">
        <v>16269</v>
      </c>
      <c r="N513" s="127" t="s">
        <v>12125</v>
      </c>
    </row>
    <row r="514" spans="1:14" x14ac:dyDescent="0.35">
      <c r="A514" s="127" t="s">
        <v>6063</v>
      </c>
      <c r="C514" s="127" t="s">
        <v>3263</v>
      </c>
      <c r="D514" s="127" t="s">
        <v>20661</v>
      </c>
      <c r="I514" s="127" t="s">
        <v>12127</v>
      </c>
      <c r="J514" s="127" t="s">
        <v>14944</v>
      </c>
      <c r="K514" s="127" t="s">
        <v>15386</v>
      </c>
      <c r="L514" s="127" t="s">
        <v>15828</v>
      </c>
      <c r="M514" s="127" t="s">
        <v>16270</v>
      </c>
      <c r="N514" s="127" t="s">
        <v>12128</v>
      </c>
    </row>
    <row r="515" spans="1:14" x14ac:dyDescent="0.35">
      <c r="A515" s="127" t="s">
        <v>6063</v>
      </c>
      <c r="C515" s="127" t="s">
        <v>3263</v>
      </c>
      <c r="D515" s="127" t="s">
        <v>20662</v>
      </c>
      <c r="I515" s="127" t="s">
        <v>12130</v>
      </c>
      <c r="J515" s="127" t="s">
        <v>14945</v>
      </c>
      <c r="K515" s="127" t="s">
        <v>15387</v>
      </c>
      <c r="L515" s="127" t="s">
        <v>15829</v>
      </c>
      <c r="M515" s="127" t="s">
        <v>16271</v>
      </c>
      <c r="N515" s="127" t="s">
        <v>12131</v>
      </c>
    </row>
    <row r="516" spans="1:14" x14ac:dyDescent="0.35">
      <c r="A516" s="127" t="s">
        <v>6063</v>
      </c>
      <c r="C516" s="127" t="s">
        <v>3263</v>
      </c>
      <c r="D516" s="127" t="s">
        <v>20663</v>
      </c>
      <c r="I516" s="127" t="s">
        <v>12133</v>
      </c>
      <c r="J516" s="127" t="s">
        <v>14946</v>
      </c>
      <c r="K516" s="127" t="s">
        <v>15388</v>
      </c>
      <c r="L516" s="127" t="s">
        <v>15830</v>
      </c>
      <c r="M516" s="127" t="s">
        <v>16272</v>
      </c>
      <c r="N516" s="127" t="s">
        <v>12134</v>
      </c>
    </row>
    <row r="517" spans="1:14" x14ac:dyDescent="0.35">
      <c r="A517" s="127" t="s">
        <v>6063</v>
      </c>
      <c r="C517" s="127" t="s">
        <v>3263</v>
      </c>
      <c r="D517" s="127" t="s">
        <v>20664</v>
      </c>
      <c r="I517" s="127" t="s">
        <v>12136</v>
      </c>
      <c r="J517" s="127" t="s">
        <v>14947</v>
      </c>
      <c r="K517" s="127" t="s">
        <v>15389</v>
      </c>
      <c r="L517" s="127" t="s">
        <v>15831</v>
      </c>
      <c r="M517" s="127" t="s">
        <v>16273</v>
      </c>
      <c r="N517" s="127" t="s">
        <v>12137</v>
      </c>
    </row>
    <row r="518" spans="1:14" x14ac:dyDescent="0.35">
      <c r="A518" s="127" t="s">
        <v>6063</v>
      </c>
      <c r="C518" s="127" t="s">
        <v>3263</v>
      </c>
      <c r="D518" s="127" t="s">
        <v>20665</v>
      </c>
      <c r="I518" s="127" t="s">
        <v>12139</v>
      </c>
      <c r="J518" s="127" t="s">
        <v>14948</v>
      </c>
      <c r="K518" s="127" t="s">
        <v>15390</v>
      </c>
      <c r="L518" s="127" t="s">
        <v>15832</v>
      </c>
      <c r="M518" s="127" t="s">
        <v>16274</v>
      </c>
      <c r="N518" s="127" t="s">
        <v>12140</v>
      </c>
    </row>
    <row r="519" spans="1:14" x14ac:dyDescent="0.35">
      <c r="A519" s="127" t="s">
        <v>6063</v>
      </c>
      <c r="C519" s="127" t="s">
        <v>3263</v>
      </c>
      <c r="D519" s="127" t="s">
        <v>20666</v>
      </c>
      <c r="I519" s="127" t="s">
        <v>12142</v>
      </c>
      <c r="J519" s="127" t="s">
        <v>14949</v>
      </c>
      <c r="K519" s="127" t="s">
        <v>15391</v>
      </c>
      <c r="L519" s="127" t="s">
        <v>15833</v>
      </c>
      <c r="M519" s="127" t="s">
        <v>16275</v>
      </c>
      <c r="N519" s="127" t="s">
        <v>12143</v>
      </c>
    </row>
    <row r="520" spans="1:14" x14ac:dyDescent="0.35">
      <c r="A520" s="127" t="s">
        <v>6063</v>
      </c>
      <c r="C520" s="127" t="s">
        <v>3263</v>
      </c>
      <c r="D520" s="127" t="s">
        <v>20667</v>
      </c>
      <c r="I520" s="127" t="s">
        <v>12145</v>
      </c>
      <c r="J520" s="127" t="s">
        <v>14950</v>
      </c>
      <c r="K520" s="127" t="s">
        <v>15392</v>
      </c>
      <c r="L520" s="127" t="s">
        <v>15834</v>
      </c>
      <c r="M520" s="127" t="s">
        <v>16276</v>
      </c>
      <c r="N520" s="127" t="s">
        <v>12146</v>
      </c>
    </row>
    <row r="521" spans="1:14" x14ac:dyDescent="0.35">
      <c r="A521" s="127" t="s">
        <v>6063</v>
      </c>
      <c r="C521" s="127" t="s">
        <v>3263</v>
      </c>
      <c r="D521" s="127" t="s">
        <v>20668</v>
      </c>
      <c r="I521" s="127" t="s">
        <v>12148</v>
      </c>
      <c r="J521" s="127" t="s">
        <v>14951</v>
      </c>
      <c r="K521" s="127" t="s">
        <v>15393</v>
      </c>
      <c r="L521" s="127" t="s">
        <v>15835</v>
      </c>
      <c r="M521" s="127" t="s">
        <v>16277</v>
      </c>
      <c r="N521" s="127" t="s">
        <v>12149</v>
      </c>
    </row>
    <row r="522" spans="1:14" x14ac:dyDescent="0.35">
      <c r="A522" s="127" t="s">
        <v>6063</v>
      </c>
      <c r="C522" s="127" t="s">
        <v>3263</v>
      </c>
      <c r="D522" s="127" t="s">
        <v>20669</v>
      </c>
      <c r="I522" s="127" t="s">
        <v>12151</v>
      </c>
      <c r="J522" s="127" t="s">
        <v>14952</v>
      </c>
      <c r="K522" s="127" t="s">
        <v>15394</v>
      </c>
      <c r="L522" s="127" t="s">
        <v>15836</v>
      </c>
      <c r="M522" s="127" t="s">
        <v>16278</v>
      </c>
      <c r="N522" s="127" t="s">
        <v>12152</v>
      </c>
    </row>
    <row r="523" spans="1:14" x14ac:dyDescent="0.35">
      <c r="A523" s="127" t="s">
        <v>6063</v>
      </c>
      <c r="C523" s="127" t="s">
        <v>3263</v>
      </c>
      <c r="D523" s="127" t="s">
        <v>20670</v>
      </c>
      <c r="I523" s="127" t="s">
        <v>12154</v>
      </c>
      <c r="J523" s="127" t="s">
        <v>14953</v>
      </c>
      <c r="K523" s="127" t="s">
        <v>15395</v>
      </c>
      <c r="L523" s="127" t="s">
        <v>15837</v>
      </c>
      <c r="M523" s="127" t="s">
        <v>16279</v>
      </c>
      <c r="N523" s="127" t="s">
        <v>12155</v>
      </c>
    </row>
    <row r="524" spans="1:14" x14ac:dyDescent="0.35">
      <c r="A524" s="127" t="s">
        <v>6063</v>
      </c>
      <c r="C524" s="127" t="s">
        <v>3263</v>
      </c>
      <c r="D524" s="127" t="s">
        <v>20671</v>
      </c>
      <c r="I524" s="127" t="s">
        <v>12157</v>
      </c>
      <c r="J524" s="127" t="s">
        <v>14954</v>
      </c>
      <c r="K524" s="127" t="s">
        <v>15396</v>
      </c>
      <c r="L524" s="127" t="s">
        <v>15838</v>
      </c>
      <c r="M524" s="127" t="s">
        <v>16280</v>
      </c>
      <c r="N524" s="127" t="s">
        <v>12158</v>
      </c>
    </row>
    <row r="525" spans="1:14" x14ac:dyDescent="0.35">
      <c r="A525" s="127" t="s">
        <v>6063</v>
      </c>
      <c r="C525" s="127" t="s">
        <v>3263</v>
      </c>
      <c r="D525" s="127" t="s">
        <v>20672</v>
      </c>
      <c r="I525" s="127" t="s">
        <v>12160</v>
      </c>
      <c r="J525" s="127" t="s">
        <v>14955</v>
      </c>
      <c r="K525" s="127" t="s">
        <v>15397</v>
      </c>
      <c r="L525" s="127" t="s">
        <v>15839</v>
      </c>
      <c r="M525" s="127" t="s">
        <v>16281</v>
      </c>
      <c r="N525" s="127" t="s">
        <v>12161</v>
      </c>
    </row>
    <row r="526" spans="1:14" x14ac:dyDescent="0.35">
      <c r="A526" s="127" t="s">
        <v>6063</v>
      </c>
      <c r="C526" s="127" t="s">
        <v>3263</v>
      </c>
      <c r="D526" s="127" t="s">
        <v>20673</v>
      </c>
      <c r="I526" s="127" t="s">
        <v>12163</v>
      </c>
      <c r="J526" s="127" t="s">
        <v>14956</v>
      </c>
      <c r="K526" s="127" t="s">
        <v>15398</v>
      </c>
      <c r="L526" s="127" t="s">
        <v>15840</v>
      </c>
      <c r="M526" s="127" t="s">
        <v>16282</v>
      </c>
      <c r="N526" s="127" t="s">
        <v>12164</v>
      </c>
    </row>
    <row r="527" spans="1:14" x14ac:dyDescent="0.35">
      <c r="A527" s="127" t="s">
        <v>6063</v>
      </c>
      <c r="C527" s="127" t="s">
        <v>3263</v>
      </c>
      <c r="D527" s="127" t="s">
        <v>20674</v>
      </c>
      <c r="I527" s="127" t="s">
        <v>12166</v>
      </c>
      <c r="J527" s="127" t="s">
        <v>14957</v>
      </c>
      <c r="K527" s="127" t="s">
        <v>15399</v>
      </c>
      <c r="L527" s="127" t="s">
        <v>15841</v>
      </c>
      <c r="M527" s="127" t="s">
        <v>16283</v>
      </c>
      <c r="N527" s="127" t="s">
        <v>12167</v>
      </c>
    </row>
    <row r="528" spans="1:14" x14ac:dyDescent="0.35">
      <c r="A528" s="127" t="s">
        <v>6063</v>
      </c>
      <c r="C528" s="127" t="s">
        <v>3263</v>
      </c>
      <c r="D528" s="127" t="s">
        <v>20675</v>
      </c>
      <c r="I528" s="127" t="s">
        <v>12169</v>
      </c>
      <c r="J528" s="127" t="s">
        <v>14958</v>
      </c>
      <c r="K528" s="127" t="s">
        <v>15400</v>
      </c>
      <c r="L528" s="127" t="s">
        <v>15842</v>
      </c>
      <c r="M528" s="127" t="s">
        <v>16284</v>
      </c>
      <c r="N528" s="127" t="s">
        <v>12170</v>
      </c>
    </row>
    <row r="529" spans="1:14" x14ac:dyDescent="0.35">
      <c r="A529" s="127" t="s">
        <v>6063</v>
      </c>
      <c r="C529" s="127" t="s">
        <v>3263</v>
      </c>
      <c r="D529" s="127" t="s">
        <v>20676</v>
      </c>
      <c r="I529" s="127" t="s">
        <v>12172</v>
      </c>
      <c r="J529" s="127" t="s">
        <v>14959</v>
      </c>
      <c r="K529" s="127" t="s">
        <v>15401</v>
      </c>
      <c r="L529" s="127" t="s">
        <v>15843</v>
      </c>
      <c r="M529" s="127" t="s">
        <v>16285</v>
      </c>
      <c r="N529" s="127" t="s">
        <v>12173</v>
      </c>
    </row>
    <row r="530" spans="1:14" x14ac:dyDescent="0.35">
      <c r="A530" s="127" t="s">
        <v>6063</v>
      </c>
      <c r="C530" s="127" t="s">
        <v>3263</v>
      </c>
      <c r="D530" s="127" t="s">
        <v>20677</v>
      </c>
      <c r="I530" s="127" t="s">
        <v>12175</v>
      </c>
      <c r="J530" s="127" t="s">
        <v>14960</v>
      </c>
      <c r="K530" s="127" t="s">
        <v>15402</v>
      </c>
      <c r="L530" s="127" t="s">
        <v>15844</v>
      </c>
      <c r="M530" s="127" t="s">
        <v>16286</v>
      </c>
      <c r="N530" s="127" t="s">
        <v>12176</v>
      </c>
    </row>
    <row r="531" spans="1:14" x14ac:dyDescent="0.35">
      <c r="A531" s="127" t="s">
        <v>6063</v>
      </c>
      <c r="C531" s="127" t="s">
        <v>3263</v>
      </c>
      <c r="D531" s="127" t="s">
        <v>20678</v>
      </c>
      <c r="I531" s="127" t="s">
        <v>12178</v>
      </c>
      <c r="J531" s="127" t="s">
        <v>14961</v>
      </c>
      <c r="K531" s="127" t="s">
        <v>15403</v>
      </c>
      <c r="L531" s="127" t="s">
        <v>15845</v>
      </c>
      <c r="M531" s="127" t="s">
        <v>16287</v>
      </c>
      <c r="N531" s="127" t="s">
        <v>12179</v>
      </c>
    </row>
    <row r="532" spans="1:14" x14ac:dyDescent="0.35">
      <c r="A532" s="127" t="s">
        <v>6063</v>
      </c>
      <c r="C532" s="127" t="s">
        <v>3263</v>
      </c>
      <c r="D532" s="127" t="s">
        <v>20679</v>
      </c>
      <c r="I532" s="127" t="s">
        <v>12181</v>
      </c>
      <c r="J532" s="127" t="s">
        <v>14962</v>
      </c>
      <c r="K532" s="127" t="s">
        <v>15404</v>
      </c>
      <c r="L532" s="127" t="s">
        <v>15846</v>
      </c>
      <c r="M532" s="127" t="s">
        <v>16288</v>
      </c>
      <c r="N532" s="127" t="s">
        <v>12182</v>
      </c>
    </row>
    <row r="533" spans="1:14" x14ac:dyDescent="0.35">
      <c r="A533" s="127" t="s">
        <v>6063</v>
      </c>
      <c r="C533" s="127" t="s">
        <v>3263</v>
      </c>
      <c r="D533" s="127" t="s">
        <v>20680</v>
      </c>
      <c r="I533" s="127" t="s">
        <v>12184</v>
      </c>
      <c r="J533" s="127" t="s">
        <v>14963</v>
      </c>
      <c r="K533" s="127" t="s">
        <v>15405</v>
      </c>
      <c r="L533" s="127" t="s">
        <v>15847</v>
      </c>
      <c r="M533" s="127" t="s">
        <v>16289</v>
      </c>
      <c r="N533" s="127" t="s">
        <v>12185</v>
      </c>
    </row>
    <row r="534" spans="1:14" x14ac:dyDescent="0.35">
      <c r="A534" s="127" t="s">
        <v>6063</v>
      </c>
      <c r="C534" s="127" t="s">
        <v>3263</v>
      </c>
      <c r="D534" s="127" t="s">
        <v>20681</v>
      </c>
      <c r="I534" s="127" t="s">
        <v>12187</v>
      </c>
      <c r="J534" s="127" t="s">
        <v>14964</v>
      </c>
      <c r="K534" s="127" t="s">
        <v>15406</v>
      </c>
      <c r="L534" s="127" t="s">
        <v>15848</v>
      </c>
      <c r="M534" s="127" t="s">
        <v>16290</v>
      </c>
      <c r="N534" s="127" t="s">
        <v>12188</v>
      </c>
    </row>
    <row r="535" spans="1:14" x14ac:dyDescent="0.35">
      <c r="A535" s="127" t="s">
        <v>6063</v>
      </c>
      <c r="C535" s="127" t="s">
        <v>3263</v>
      </c>
      <c r="D535" s="127" t="s">
        <v>20682</v>
      </c>
      <c r="I535" s="127" t="s">
        <v>12190</v>
      </c>
      <c r="J535" s="127" t="s">
        <v>14965</v>
      </c>
      <c r="K535" s="127" t="s">
        <v>15407</v>
      </c>
      <c r="L535" s="127" t="s">
        <v>15849</v>
      </c>
      <c r="M535" s="127" t="s">
        <v>16291</v>
      </c>
      <c r="N535" s="127" t="s">
        <v>12191</v>
      </c>
    </row>
    <row r="536" spans="1:14" x14ac:dyDescent="0.35">
      <c r="A536" s="127" t="s">
        <v>6063</v>
      </c>
      <c r="C536" s="127" t="s">
        <v>3263</v>
      </c>
      <c r="D536" s="127" t="s">
        <v>20683</v>
      </c>
      <c r="I536" s="127" t="s">
        <v>12193</v>
      </c>
      <c r="J536" s="127" t="s">
        <v>14966</v>
      </c>
      <c r="K536" s="127" t="s">
        <v>15408</v>
      </c>
      <c r="L536" s="127" t="s">
        <v>15850</v>
      </c>
      <c r="M536" s="127" t="s">
        <v>16292</v>
      </c>
      <c r="N536" s="127" t="s">
        <v>12194</v>
      </c>
    </row>
    <row r="537" spans="1:14" x14ac:dyDescent="0.35">
      <c r="A537" s="127" t="s">
        <v>6063</v>
      </c>
      <c r="C537" s="127" t="s">
        <v>3263</v>
      </c>
      <c r="D537" s="127" t="s">
        <v>20684</v>
      </c>
      <c r="I537" s="127" t="s">
        <v>12196</v>
      </c>
      <c r="J537" s="127" t="s">
        <v>14967</v>
      </c>
      <c r="K537" s="127" t="s">
        <v>15409</v>
      </c>
      <c r="L537" s="127" t="s">
        <v>15851</v>
      </c>
      <c r="M537" s="127" t="s">
        <v>16293</v>
      </c>
      <c r="N537" s="127" t="s">
        <v>12197</v>
      </c>
    </row>
    <row r="538" spans="1:14" x14ac:dyDescent="0.35">
      <c r="A538" s="127" t="s">
        <v>6063</v>
      </c>
      <c r="C538" s="127" t="s">
        <v>3263</v>
      </c>
      <c r="D538" s="127" t="s">
        <v>20685</v>
      </c>
      <c r="I538" s="127" t="s">
        <v>12199</v>
      </c>
      <c r="J538" s="127" t="s">
        <v>14968</v>
      </c>
      <c r="K538" s="127" t="s">
        <v>15410</v>
      </c>
      <c r="L538" s="127" t="s">
        <v>15852</v>
      </c>
      <c r="M538" s="127" t="s">
        <v>16294</v>
      </c>
      <c r="N538" s="127" t="s">
        <v>12200</v>
      </c>
    </row>
    <row r="539" spans="1:14" x14ac:dyDescent="0.35">
      <c r="A539" s="127" t="s">
        <v>6063</v>
      </c>
      <c r="C539" s="127" t="s">
        <v>3263</v>
      </c>
      <c r="D539" s="127" t="s">
        <v>20686</v>
      </c>
      <c r="I539" s="127" t="s">
        <v>12202</v>
      </c>
      <c r="J539" s="127" t="s">
        <v>14969</v>
      </c>
      <c r="K539" s="127" t="s">
        <v>15411</v>
      </c>
      <c r="L539" s="127" t="s">
        <v>15853</v>
      </c>
      <c r="M539" s="127" t="s">
        <v>16295</v>
      </c>
      <c r="N539" s="127" t="s">
        <v>12203</v>
      </c>
    </row>
    <row r="540" spans="1:14" x14ac:dyDescent="0.35">
      <c r="A540" s="127" t="s">
        <v>6063</v>
      </c>
      <c r="C540" s="127" t="s">
        <v>3263</v>
      </c>
      <c r="D540" s="127" t="s">
        <v>20687</v>
      </c>
      <c r="I540" s="127" t="s">
        <v>12205</v>
      </c>
      <c r="J540" s="127" t="s">
        <v>14970</v>
      </c>
      <c r="K540" s="127" t="s">
        <v>15412</v>
      </c>
      <c r="L540" s="127" t="s">
        <v>15854</v>
      </c>
      <c r="M540" s="127" t="s">
        <v>16296</v>
      </c>
      <c r="N540" s="127" t="s">
        <v>12206</v>
      </c>
    </row>
    <row r="541" spans="1:14" x14ac:dyDescent="0.35">
      <c r="A541" s="127" t="s">
        <v>6063</v>
      </c>
      <c r="C541" s="127" t="s">
        <v>3263</v>
      </c>
      <c r="D541" s="127" t="s">
        <v>20688</v>
      </c>
      <c r="I541" s="127" t="s">
        <v>12208</v>
      </c>
      <c r="J541" s="127" t="s">
        <v>14971</v>
      </c>
      <c r="K541" s="127" t="s">
        <v>15413</v>
      </c>
      <c r="L541" s="127" t="s">
        <v>15855</v>
      </c>
      <c r="M541" s="127" t="s">
        <v>16297</v>
      </c>
      <c r="N541" s="127" t="s">
        <v>12209</v>
      </c>
    </row>
    <row r="542" spans="1:14" x14ac:dyDescent="0.35">
      <c r="A542" s="127" t="s">
        <v>6063</v>
      </c>
      <c r="C542" s="127" t="s">
        <v>3263</v>
      </c>
      <c r="D542" s="127" t="s">
        <v>20689</v>
      </c>
      <c r="I542" s="127" t="s">
        <v>12211</v>
      </c>
      <c r="J542" s="127" t="s">
        <v>14972</v>
      </c>
      <c r="K542" s="127" t="s">
        <v>15414</v>
      </c>
      <c r="L542" s="127" t="s">
        <v>15856</v>
      </c>
      <c r="M542" s="127" t="s">
        <v>16298</v>
      </c>
      <c r="N542" s="127" t="s">
        <v>12212</v>
      </c>
    </row>
    <row r="543" spans="1:14" x14ac:dyDescent="0.35">
      <c r="A543" s="127" t="s">
        <v>6063</v>
      </c>
      <c r="C543" s="127" t="s">
        <v>3263</v>
      </c>
      <c r="D543" s="127" t="s">
        <v>20690</v>
      </c>
      <c r="I543" s="127" t="s">
        <v>12214</v>
      </c>
      <c r="J543" s="127" t="s">
        <v>14973</v>
      </c>
      <c r="K543" s="127" t="s">
        <v>15415</v>
      </c>
      <c r="L543" s="127" t="s">
        <v>15857</v>
      </c>
      <c r="M543" s="127" t="s">
        <v>16299</v>
      </c>
      <c r="N543" s="127" t="s">
        <v>12215</v>
      </c>
    </row>
    <row r="544" spans="1:14" x14ac:dyDescent="0.35">
      <c r="A544" s="127" t="s">
        <v>6063</v>
      </c>
      <c r="C544" s="127" t="s">
        <v>3263</v>
      </c>
      <c r="D544" s="127" t="s">
        <v>20691</v>
      </c>
      <c r="I544" s="127" t="s">
        <v>12217</v>
      </c>
      <c r="J544" s="127" t="s">
        <v>14974</v>
      </c>
      <c r="K544" s="127" t="s">
        <v>15416</v>
      </c>
      <c r="L544" s="127" t="s">
        <v>15858</v>
      </c>
      <c r="M544" s="127" t="s">
        <v>16300</v>
      </c>
      <c r="N544" s="127" t="s">
        <v>12218</v>
      </c>
    </row>
    <row r="545" spans="1:14" x14ac:dyDescent="0.35">
      <c r="A545" s="127" t="s">
        <v>6063</v>
      </c>
      <c r="C545" s="127" t="s">
        <v>3263</v>
      </c>
      <c r="D545" s="127" t="s">
        <v>20692</v>
      </c>
      <c r="I545" s="127" t="s">
        <v>12220</v>
      </c>
      <c r="J545" s="127" t="s">
        <v>14975</v>
      </c>
      <c r="K545" s="127" t="s">
        <v>15417</v>
      </c>
      <c r="L545" s="127" t="s">
        <v>15859</v>
      </c>
      <c r="M545" s="127" t="s">
        <v>16301</v>
      </c>
      <c r="N545" s="127" t="s">
        <v>12221</v>
      </c>
    </row>
    <row r="546" spans="1:14" x14ac:dyDescent="0.35">
      <c r="A546" s="127" t="s">
        <v>6063</v>
      </c>
      <c r="C546" s="127" t="s">
        <v>3263</v>
      </c>
      <c r="D546" s="127" t="s">
        <v>20693</v>
      </c>
      <c r="I546" s="127" t="s">
        <v>12223</v>
      </c>
      <c r="J546" s="127" t="s">
        <v>14976</v>
      </c>
      <c r="K546" s="127" t="s">
        <v>15418</v>
      </c>
      <c r="L546" s="127" t="s">
        <v>15860</v>
      </c>
      <c r="M546" s="127" t="s">
        <v>16302</v>
      </c>
      <c r="N546" s="127" t="s">
        <v>12224</v>
      </c>
    </row>
    <row r="547" spans="1:14" x14ac:dyDescent="0.35">
      <c r="A547" s="127" t="s">
        <v>6063</v>
      </c>
      <c r="C547" s="127" t="s">
        <v>3263</v>
      </c>
      <c r="D547" s="127" t="s">
        <v>20694</v>
      </c>
      <c r="I547" s="127" t="s">
        <v>12226</v>
      </c>
      <c r="J547" s="127" t="s">
        <v>14977</v>
      </c>
      <c r="K547" s="127" t="s">
        <v>15419</v>
      </c>
      <c r="L547" s="127" t="s">
        <v>15861</v>
      </c>
      <c r="M547" s="127" t="s">
        <v>16303</v>
      </c>
      <c r="N547" s="127" t="s">
        <v>12227</v>
      </c>
    </row>
    <row r="548" spans="1:14" x14ac:dyDescent="0.35">
      <c r="A548" s="127" t="s">
        <v>6063</v>
      </c>
      <c r="C548" s="127" t="s">
        <v>3263</v>
      </c>
      <c r="D548" s="127" t="s">
        <v>20695</v>
      </c>
      <c r="I548" s="127" t="s">
        <v>12229</v>
      </c>
      <c r="J548" s="127" t="s">
        <v>14978</v>
      </c>
      <c r="K548" s="127" t="s">
        <v>15420</v>
      </c>
      <c r="L548" s="127" t="s">
        <v>15862</v>
      </c>
      <c r="M548" s="127" t="s">
        <v>16304</v>
      </c>
      <c r="N548" s="127" t="s">
        <v>12230</v>
      </c>
    </row>
    <row r="549" spans="1:14" x14ac:dyDescent="0.35">
      <c r="A549" s="127" t="s">
        <v>6063</v>
      </c>
      <c r="C549" s="127" t="s">
        <v>3263</v>
      </c>
      <c r="D549" s="127" t="s">
        <v>20696</v>
      </c>
      <c r="I549" s="127" t="s">
        <v>12232</v>
      </c>
      <c r="J549" s="127" t="s">
        <v>14979</v>
      </c>
      <c r="K549" s="127" t="s">
        <v>15421</v>
      </c>
      <c r="L549" s="127" t="s">
        <v>15863</v>
      </c>
      <c r="M549" s="127" t="s">
        <v>16305</v>
      </c>
      <c r="N549" s="127" t="s">
        <v>12233</v>
      </c>
    </row>
    <row r="550" spans="1:14" x14ac:dyDescent="0.35">
      <c r="A550" s="127" t="s">
        <v>6063</v>
      </c>
      <c r="C550" s="127" t="s">
        <v>3263</v>
      </c>
      <c r="D550" s="127" t="s">
        <v>20697</v>
      </c>
      <c r="I550" s="127" t="s">
        <v>12235</v>
      </c>
      <c r="J550" s="127" t="s">
        <v>14980</v>
      </c>
      <c r="K550" s="127" t="s">
        <v>15422</v>
      </c>
      <c r="L550" s="127" t="s">
        <v>15864</v>
      </c>
      <c r="M550" s="127" t="s">
        <v>16306</v>
      </c>
      <c r="N550" s="127" t="s">
        <v>12236</v>
      </c>
    </row>
    <row r="551" spans="1:14" x14ac:dyDescent="0.35">
      <c r="A551" s="127" t="s">
        <v>6063</v>
      </c>
      <c r="C551" s="127" t="s">
        <v>3263</v>
      </c>
      <c r="D551" s="127" t="s">
        <v>20698</v>
      </c>
      <c r="I551" s="127" t="s">
        <v>12238</v>
      </c>
      <c r="J551" s="127" t="s">
        <v>14981</v>
      </c>
      <c r="K551" s="127" t="s">
        <v>15423</v>
      </c>
      <c r="L551" s="127" t="s">
        <v>15865</v>
      </c>
      <c r="M551" s="127" t="s">
        <v>16307</v>
      </c>
      <c r="N551" s="127" t="s">
        <v>12239</v>
      </c>
    </row>
    <row r="552" spans="1:14" x14ac:dyDescent="0.35">
      <c r="A552" s="127" t="s">
        <v>6063</v>
      </c>
      <c r="C552" s="127" t="s">
        <v>3263</v>
      </c>
      <c r="D552" s="127" t="s">
        <v>20699</v>
      </c>
      <c r="I552" s="127" t="s">
        <v>12241</v>
      </c>
      <c r="J552" s="127" t="s">
        <v>14982</v>
      </c>
      <c r="K552" s="127" t="s">
        <v>15424</v>
      </c>
      <c r="L552" s="127" t="s">
        <v>15866</v>
      </c>
      <c r="M552" s="127" t="s">
        <v>16308</v>
      </c>
      <c r="N552" s="127" t="s">
        <v>12242</v>
      </c>
    </row>
    <row r="553" spans="1:14" x14ac:dyDescent="0.35">
      <c r="A553" s="127" t="s">
        <v>6063</v>
      </c>
      <c r="C553" s="127" t="s">
        <v>3263</v>
      </c>
      <c r="D553" s="127" t="s">
        <v>20700</v>
      </c>
      <c r="I553" s="127" t="s">
        <v>12244</v>
      </c>
      <c r="J553" s="127" t="s">
        <v>14983</v>
      </c>
      <c r="K553" s="127" t="s">
        <v>15425</v>
      </c>
      <c r="L553" s="127" t="s">
        <v>15867</v>
      </c>
      <c r="M553" s="127" t="s">
        <v>16309</v>
      </c>
      <c r="N553" s="127" t="s">
        <v>12245</v>
      </c>
    </row>
    <row r="554" spans="1:14" x14ac:dyDescent="0.35">
      <c r="A554" s="127" t="s">
        <v>6063</v>
      </c>
      <c r="C554" s="127" t="s">
        <v>3263</v>
      </c>
      <c r="D554" s="127" t="s">
        <v>20701</v>
      </c>
      <c r="I554" s="127" t="s">
        <v>12247</v>
      </c>
      <c r="J554" s="127" t="s">
        <v>14984</v>
      </c>
      <c r="K554" s="127" t="s">
        <v>15426</v>
      </c>
      <c r="L554" s="127" t="s">
        <v>15868</v>
      </c>
      <c r="M554" s="127" t="s">
        <v>16310</v>
      </c>
      <c r="N554" s="127" t="s">
        <v>12248</v>
      </c>
    </row>
    <row r="555" spans="1:14" x14ac:dyDescent="0.35">
      <c r="A555" s="127" t="s">
        <v>6063</v>
      </c>
      <c r="C555" s="127" t="s">
        <v>3263</v>
      </c>
      <c r="D555" s="127" t="s">
        <v>20702</v>
      </c>
      <c r="I555" s="127" t="s">
        <v>12250</v>
      </c>
      <c r="J555" s="127" t="s">
        <v>14985</v>
      </c>
      <c r="K555" s="127" t="s">
        <v>15427</v>
      </c>
      <c r="L555" s="127" t="s">
        <v>15869</v>
      </c>
      <c r="M555" s="127" t="s">
        <v>16311</v>
      </c>
      <c r="N555" s="127" t="s">
        <v>12251</v>
      </c>
    </row>
    <row r="556" spans="1:14" x14ac:dyDescent="0.35">
      <c r="A556" s="127" t="s">
        <v>6063</v>
      </c>
      <c r="C556" s="127" t="s">
        <v>3263</v>
      </c>
      <c r="D556" s="127" t="s">
        <v>20703</v>
      </c>
      <c r="I556" s="127" t="s">
        <v>12253</v>
      </c>
      <c r="J556" s="127" t="s">
        <v>14986</v>
      </c>
      <c r="K556" s="127" t="s">
        <v>15428</v>
      </c>
      <c r="L556" s="127" t="s">
        <v>15870</v>
      </c>
      <c r="M556" s="127" t="s">
        <v>16312</v>
      </c>
      <c r="N556" s="127" t="s">
        <v>12254</v>
      </c>
    </row>
    <row r="557" spans="1:14" x14ac:dyDescent="0.35">
      <c r="A557" s="127" t="s">
        <v>6063</v>
      </c>
      <c r="C557" s="127" t="s">
        <v>3263</v>
      </c>
      <c r="D557" s="127" t="s">
        <v>20704</v>
      </c>
      <c r="I557" s="127" t="s">
        <v>12256</v>
      </c>
      <c r="J557" s="127" t="s">
        <v>14987</v>
      </c>
      <c r="K557" s="127" t="s">
        <v>15429</v>
      </c>
      <c r="L557" s="127" t="s">
        <v>15871</v>
      </c>
      <c r="M557" s="127" t="s">
        <v>16313</v>
      </c>
      <c r="N557" s="127" t="s">
        <v>12257</v>
      </c>
    </row>
    <row r="558" spans="1:14" x14ac:dyDescent="0.35">
      <c r="A558" s="127" t="s">
        <v>6063</v>
      </c>
      <c r="C558" s="127" t="s">
        <v>3263</v>
      </c>
      <c r="D558" s="127" t="s">
        <v>20705</v>
      </c>
      <c r="I558" s="127" t="s">
        <v>12259</v>
      </c>
      <c r="J558" s="127" t="s">
        <v>14988</v>
      </c>
      <c r="K558" s="127" t="s">
        <v>15430</v>
      </c>
      <c r="L558" s="127" t="s">
        <v>15872</v>
      </c>
      <c r="M558" s="127" t="s">
        <v>16314</v>
      </c>
      <c r="N558" s="127" t="s">
        <v>12260</v>
      </c>
    </row>
    <row r="559" spans="1:14" x14ac:dyDescent="0.35">
      <c r="A559" s="127" t="s">
        <v>6063</v>
      </c>
      <c r="C559" s="127" t="s">
        <v>3263</v>
      </c>
      <c r="D559" s="127" t="s">
        <v>20706</v>
      </c>
      <c r="I559" s="127" t="s">
        <v>12262</v>
      </c>
      <c r="J559" s="127" t="s">
        <v>14989</v>
      </c>
      <c r="K559" s="127" t="s">
        <v>15431</v>
      </c>
      <c r="L559" s="127" t="s">
        <v>15873</v>
      </c>
      <c r="M559" s="127" t="s">
        <v>16315</v>
      </c>
      <c r="N559" s="127" t="s">
        <v>12263</v>
      </c>
    </row>
    <row r="560" spans="1:14" x14ac:dyDescent="0.35">
      <c r="A560" s="127" t="s">
        <v>6063</v>
      </c>
      <c r="C560" s="127" t="s">
        <v>3263</v>
      </c>
      <c r="D560" s="127" t="s">
        <v>20707</v>
      </c>
      <c r="I560" s="127" t="s">
        <v>12265</v>
      </c>
      <c r="J560" s="127" t="s">
        <v>14990</v>
      </c>
      <c r="K560" s="127" t="s">
        <v>15432</v>
      </c>
      <c r="L560" s="127" t="s">
        <v>15874</v>
      </c>
      <c r="M560" s="127" t="s">
        <v>16316</v>
      </c>
      <c r="N560" s="127" t="s">
        <v>12266</v>
      </c>
    </row>
    <row r="561" spans="1:14" x14ac:dyDescent="0.35">
      <c r="A561" s="127" t="s">
        <v>6063</v>
      </c>
      <c r="C561" s="127" t="s">
        <v>3263</v>
      </c>
      <c r="D561" s="127" t="s">
        <v>20708</v>
      </c>
      <c r="I561" s="127" t="s">
        <v>12268</v>
      </c>
      <c r="J561" s="127" t="s">
        <v>14991</v>
      </c>
      <c r="K561" s="127" t="s">
        <v>15433</v>
      </c>
      <c r="L561" s="127" t="s">
        <v>15875</v>
      </c>
      <c r="M561" s="127" t="s">
        <v>16317</v>
      </c>
      <c r="N561" s="127" t="s">
        <v>12269</v>
      </c>
    </row>
    <row r="562" spans="1:14" x14ac:dyDescent="0.35">
      <c r="A562" s="127" t="s">
        <v>6063</v>
      </c>
      <c r="C562" s="127" t="s">
        <v>3263</v>
      </c>
      <c r="D562" s="127" t="s">
        <v>20709</v>
      </c>
      <c r="I562" s="127" t="s">
        <v>12271</v>
      </c>
      <c r="J562" s="127" t="s">
        <v>14992</v>
      </c>
      <c r="K562" s="127" t="s">
        <v>15434</v>
      </c>
      <c r="L562" s="127" t="s">
        <v>15876</v>
      </c>
      <c r="M562" s="127" t="s">
        <v>16318</v>
      </c>
      <c r="N562" s="127" t="s">
        <v>12272</v>
      </c>
    </row>
    <row r="563" spans="1:14" x14ac:dyDescent="0.35">
      <c r="A563" s="127" t="s">
        <v>6063</v>
      </c>
      <c r="C563" s="127" t="s">
        <v>3263</v>
      </c>
      <c r="D563" s="127" t="s">
        <v>20710</v>
      </c>
      <c r="I563" s="127" t="s">
        <v>12274</v>
      </c>
      <c r="J563" s="127" t="s">
        <v>14993</v>
      </c>
      <c r="K563" s="127" t="s">
        <v>15435</v>
      </c>
      <c r="L563" s="127" t="s">
        <v>15877</v>
      </c>
      <c r="M563" s="127" t="s">
        <v>16319</v>
      </c>
      <c r="N563" s="127" t="s">
        <v>12275</v>
      </c>
    </row>
    <row r="564" spans="1:14" x14ac:dyDescent="0.35">
      <c r="A564" s="127" t="s">
        <v>6063</v>
      </c>
      <c r="C564" s="127" t="s">
        <v>3263</v>
      </c>
      <c r="D564" s="127" t="s">
        <v>20711</v>
      </c>
      <c r="I564" s="127" t="s">
        <v>12277</v>
      </c>
      <c r="J564" s="127" t="s">
        <v>14994</v>
      </c>
      <c r="K564" s="127" t="s">
        <v>15436</v>
      </c>
      <c r="L564" s="127" t="s">
        <v>15878</v>
      </c>
      <c r="M564" s="127" t="s">
        <v>16320</v>
      </c>
      <c r="N564" s="127" t="s">
        <v>12278</v>
      </c>
    </row>
    <row r="565" spans="1:14" x14ac:dyDescent="0.35">
      <c r="A565" s="127" t="s">
        <v>6063</v>
      </c>
      <c r="C565" s="127" t="s">
        <v>3263</v>
      </c>
      <c r="D565" s="127" t="s">
        <v>20712</v>
      </c>
      <c r="I565" s="127" t="s">
        <v>12280</v>
      </c>
      <c r="J565" s="127" t="s">
        <v>14995</v>
      </c>
      <c r="K565" s="127" t="s">
        <v>15437</v>
      </c>
      <c r="L565" s="127" t="s">
        <v>15879</v>
      </c>
      <c r="M565" s="127" t="s">
        <v>16321</v>
      </c>
      <c r="N565" s="127" t="s">
        <v>12281</v>
      </c>
    </row>
    <row r="566" spans="1:14" x14ac:dyDescent="0.35">
      <c r="A566" s="127" t="s">
        <v>6063</v>
      </c>
      <c r="C566" s="127" t="s">
        <v>3263</v>
      </c>
      <c r="D566" s="127" t="s">
        <v>20713</v>
      </c>
      <c r="I566" s="127" t="s">
        <v>12283</v>
      </c>
      <c r="J566" s="127" t="s">
        <v>14996</v>
      </c>
      <c r="K566" s="127" t="s">
        <v>15438</v>
      </c>
      <c r="L566" s="127" t="s">
        <v>15880</v>
      </c>
      <c r="M566" s="127" t="s">
        <v>16322</v>
      </c>
      <c r="N566" s="127" t="s">
        <v>12284</v>
      </c>
    </row>
    <row r="567" spans="1:14" x14ac:dyDescent="0.35">
      <c r="A567" s="127" t="s">
        <v>6063</v>
      </c>
      <c r="C567" s="127" t="s">
        <v>3263</v>
      </c>
      <c r="D567" s="127" t="s">
        <v>20714</v>
      </c>
      <c r="I567" s="127" t="s">
        <v>12286</v>
      </c>
      <c r="J567" s="127" t="s">
        <v>14997</v>
      </c>
      <c r="K567" s="127" t="s">
        <v>15439</v>
      </c>
      <c r="L567" s="127" t="s">
        <v>15881</v>
      </c>
      <c r="M567" s="127" t="s">
        <v>16323</v>
      </c>
      <c r="N567" s="127" t="s">
        <v>12287</v>
      </c>
    </row>
    <row r="568" spans="1:14" x14ac:dyDescent="0.35">
      <c r="A568" s="127" t="s">
        <v>6063</v>
      </c>
      <c r="C568" s="127" t="s">
        <v>3263</v>
      </c>
      <c r="D568" s="127" t="s">
        <v>20715</v>
      </c>
      <c r="I568" s="127" t="s">
        <v>12289</v>
      </c>
      <c r="J568" s="127" t="s">
        <v>14998</v>
      </c>
      <c r="K568" s="127" t="s">
        <v>15440</v>
      </c>
      <c r="L568" s="127" t="s">
        <v>15882</v>
      </c>
      <c r="M568" s="127" t="s">
        <v>16324</v>
      </c>
      <c r="N568" s="127" t="s">
        <v>12290</v>
      </c>
    </row>
    <row r="569" spans="1:14" x14ac:dyDescent="0.35">
      <c r="A569" s="127" t="s">
        <v>6063</v>
      </c>
      <c r="C569" s="127" t="s">
        <v>3263</v>
      </c>
      <c r="D569" s="127" t="s">
        <v>20716</v>
      </c>
      <c r="I569" s="127" t="s">
        <v>12292</v>
      </c>
      <c r="J569" s="127" t="s">
        <v>14999</v>
      </c>
      <c r="K569" s="127" t="s">
        <v>15441</v>
      </c>
      <c r="L569" s="127" t="s">
        <v>15883</v>
      </c>
      <c r="M569" s="127" t="s">
        <v>16325</v>
      </c>
      <c r="N569" s="127" t="s">
        <v>12293</v>
      </c>
    </row>
    <row r="570" spans="1:14" x14ac:dyDescent="0.35">
      <c r="A570" s="127" t="s">
        <v>6063</v>
      </c>
      <c r="C570" s="127" t="s">
        <v>3263</v>
      </c>
      <c r="D570" s="127" t="s">
        <v>20717</v>
      </c>
      <c r="I570" s="127" t="s">
        <v>12295</v>
      </c>
      <c r="J570" s="127" t="s">
        <v>15000</v>
      </c>
      <c r="K570" s="127" t="s">
        <v>15442</v>
      </c>
      <c r="L570" s="127" t="s">
        <v>15884</v>
      </c>
      <c r="M570" s="127" t="s">
        <v>16326</v>
      </c>
      <c r="N570" s="127" t="s">
        <v>12296</v>
      </c>
    </row>
    <row r="571" spans="1:14" x14ac:dyDescent="0.35">
      <c r="A571" s="127" t="s">
        <v>6063</v>
      </c>
      <c r="C571" s="127" t="s">
        <v>3263</v>
      </c>
      <c r="D571" s="127" t="s">
        <v>20718</v>
      </c>
      <c r="I571" s="127" t="s">
        <v>12298</v>
      </c>
      <c r="J571" s="127" t="s">
        <v>15001</v>
      </c>
      <c r="K571" s="127" t="s">
        <v>15443</v>
      </c>
      <c r="L571" s="127" t="s">
        <v>15885</v>
      </c>
      <c r="M571" s="127" t="s">
        <v>16327</v>
      </c>
      <c r="N571" s="127" t="s">
        <v>12299</v>
      </c>
    </row>
    <row r="572" spans="1:14" x14ac:dyDescent="0.35">
      <c r="A572" s="127" t="s">
        <v>6063</v>
      </c>
      <c r="C572" s="127" t="s">
        <v>3263</v>
      </c>
      <c r="D572" s="127" t="s">
        <v>20719</v>
      </c>
      <c r="I572" s="127" t="s">
        <v>12301</v>
      </c>
      <c r="J572" s="127" t="s">
        <v>15002</v>
      </c>
      <c r="K572" s="127" t="s">
        <v>15444</v>
      </c>
      <c r="L572" s="127" t="s">
        <v>15886</v>
      </c>
      <c r="M572" s="127" t="s">
        <v>16328</v>
      </c>
      <c r="N572" s="127" t="s">
        <v>12302</v>
      </c>
    </row>
    <row r="573" spans="1:14" x14ac:dyDescent="0.35">
      <c r="A573" s="127" t="s">
        <v>6063</v>
      </c>
      <c r="C573" s="127" t="s">
        <v>3263</v>
      </c>
      <c r="D573" s="127" t="s">
        <v>20720</v>
      </c>
      <c r="I573" s="127" t="s">
        <v>12304</v>
      </c>
      <c r="J573" s="127" t="s">
        <v>15003</v>
      </c>
      <c r="K573" s="127" t="s">
        <v>15445</v>
      </c>
      <c r="L573" s="127" t="s">
        <v>15887</v>
      </c>
      <c r="M573" s="127" t="s">
        <v>16329</v>
      </c>
      <c r="N573" s="127" t="s">
        <v>12305</v>
      </c>
    </row>
    <row r="574" spans="1:14" x14ac:dyDescent="0.35">
      <c r="A574" s="127" t="s">
        <v>6063</v>
      </c>
      <c r="C574" s="127" t="s">
        <v>3263</v>
      </c>
      <c r="D574" s="127" t="s">
        <v>20721</v>
      </c>
      <c r="I574" s="127" t="s">
        <v>12307</v>
      </c>
      <c r="J574" s="127" t="s">
        <v>15004</v>
      </c>
      <c r="K574" s="127" t="s">
        <v>15446</v>
      </c>
      <c r="L574" s="127" t="s">
        <v>15888</v>
      </c>
      <c r="M574" s="127" t="s">
        <v>16330</v>
      </c>
      <c r="N574" s="127" t="s">
        <v>12308</v>
      </c>
    </row>
    <row r="575" spans="1:14" x14ac:dyDescent="0.35">
      <c r="A575" s="127" t="s">
        <v>6063</v>
      </c>
      <c r="C575" s="127" t="s">
        <v>3263</v>
      </c>
      <c r="D575" s="127" t="s">
        <v>20722</v>
      </c>
      <c r="I575" s="127" t="s">
        <v>12310</v>
      </c>
      <c r="J575" s="127" t="s">
        <v>15005</v>
      </c>
      <c r="K575" s="127" t="s">
        <v>15447</v>
      </c>
      <c r="L575" s="127" t="s">
        <v>15889</v>
      </c>
      <c r="M575" s="127" t="s">
        <v>16331</v>
      </c>
      <c r="N575" s="127" t="s">
        <v>12311</v>
      </c>
    </row>
    <row r="576" spans="1:14" x14ac:dyDescent="0.35">
      <c r="A576" s="127" t="s">
        <v>6063</v>
      </c>
      <c r="C576" s="127" t="s">
        <v>3263</v>
      </c>
      <c r="D576" s="127" t="s">
        <v>20723</v>
      </c>
      <c r="I576" s="127" t="s">
        <v>12313</v>
      </c>
      <c r="J576" s="127" t="s">
        <v>15006</v>
      </c>
      <c r="K576" s="127" t="s">
        <v>15448</v>
      </c>
      <c r="L576" s="127" t="s">
        <v>15890</v>
      </c>
      <c r="M576" s="127" t="s">
        <v>16332</v>
      </c>
      <c r="N576" s="127" t="s">
        <v>12314</v>
      </c>
    </row>
    <row r="577" spans="1:14" x14ac:dyDescent="0.35">
      <c r="A577" s="127" t="s">
        <v>6063</v>
      </c>
      <c r="C577" s="127" t="s">
        <v>3263</v>
      </c>
      <c r="D577" s="127" t="s">
        <v>20724</v>
      </c>
      <c r="I577" s="127" t="s">
        <v>12316</v>
      </c>
      <c r="J577" s="127" t="s">
        <v>15007</v>
      </c>
      <c r="K577" s="127" t="s">
        <v>15449</v>
      </c>
      <c r="L577" s="127" t="s">
        <v>15891</v>
      </c>
      <c r="M577" s="127" t="s">
        <v>16333</v>
      </c>
      <c r="N577" s="127" t="s">
        <v>12317</v>
      </c>
    </row>
    <row r="578" spans="1:14" x14ac:dyDescent="0.35">
      <c r="A578" s="127" t="s">
        <v>6063</v>
      </c>
      <c r="C578" s="127" t="s">
        <v>3263</v>
      </c>
      <c r="D578" s="127" t="s">
        <v>20725</v>
      </c>
      <c r="I578" s="127" t="s">
        <v>12319</v>
      </c>
      <c r="J578" s="127" t="s">
        <v>15008</v>
      </c>
      <c r="K578" s="127" t="s">
        <v>15450</v>
      </c>
      <c r="L578" s="127" t="s">
        <v>15892</v>
      </c>
      <c r="M578" s="127" t="s">
        <v>16334</v>
      </c>
      <c r="N578" s="127" t="s">
        <v>12320</v>
      </c>
    </row>
    <row r="579" spans="1:14" x14ac:dyDescent="0.35">
      <c r="A579" s="127" t="s">
        <v>6063</v>
      </c>
      <c r="C579" s="127" t="s">
        <v>3263</v>
      </c>
      <c r="D579" s="127" t="s">
        <v>20726</v>
      </c>
      <c r="I579" s="127" t="s">
        <v>12322</v>
      </c>
      <c r="J579" s="127" t="s">
        <v>15009</v>
      </c>
      <c r="K579" s="127" t="s">
        <v>15451</v>
      </c>
      <c r="L579" s="127" t="s">
        <v>15893</v>
      </c>
      <c r="M579" s="127" t="s">
        <v>16335</v>
      </c>
      <c r="N579" s="127" t="s">
        <v>12323</v>
      </c>
    </row>
    <row r="580" spans="1:14" x14ac:dyDescent="0.35">
      <c r="A580" s="127" t="s">
        <v>6063</v>
      </c>
      <c r="C580" s="127" t="s">
        <v>3263</v>
      </c>
      <c r="D580" s="127" t="s">
        <v>20727</v>
      </c>
      <c r="I580" s="127" t="s">
        <v>12325</v>
      </c>
      <c r="J580" s="127" t="s">
        <v>15010</v>
      </c>
      <c r="K580" s="127" t="s">
        <v>15452</v>
      </c>
      <c r="L580" s="127" t="s">
        <v>15894</v>
      </c>
      <c r="M580" s="127" t="s">
        <v>16336</v>
      </c>
      <c r="N580" s="127" t="s">
        <v>12326</v>
      </c>
    </row>
    <row r="581" spans="1:14" x14ac:dyDescent="0.35">
      <c r="A581" s="127" t="s">
        <v>6063</v>
      </c>
      <c r="C581" s="127" t="s">
        <v>3263</v>
      </c>
      <c r="D581" s="127" t="s">
        <v>20728</v>
      </c>
      <c r="I581" s="127" t="s">
        <v>12328</v>
      </c>
      <c r="J581" s="127" t="s">
        <v>15011</v>
      </c>
      <c r="K581" s="127" t="s">
        <v>15453</v>
      </c>
      <c r="L581" s="127" t="s">
        <v>15895</v>
      </c>
      <c r="M581" s="127" t="s">
        <v>16337</v>
      </c>
      <c r="N581" s="127" t="s">
        <v>12329</v>
      </c>
    </row>
    <row r="582" spans="1:14" x14ac:dyDescent="0.35">
      <c r="A582" s="127" t="s">
        <v>6063</v>
      </c>
      <c r="C582" s="127" t="s">
        <v>3263</v>
      </c>
      <c r="D582" s="127" t="s">
        <v>20729</v>
      </c>
      <c r="I582" s="127" t="s">
        <v>12331</v>
      </c>
      <c r="J582" s="127" t="s">
        <v>15012</v>
      </c>
      <c r="K582" s="127" t="s">
        <v>15454</v>
      </c>
      <c r="L582" s="127" t="s">
        <v>15896</v>
      </c>
      <c r="M582" s="127" t="s">
        <v>16338</v>
      </c>
      <c r="N582" s="127" t="s">
        <v>12332</v>
      </c>
    </row>
    <row r="583" spans="1:14" x14ac:dyDescent="0.35">
      <c r="A583" s="127" t="s">
        <v>6063</v>
      </c>
      <c r="C583" s="127" t="s">
        <v>3263</v>
      </c>
      <c r="D583" s="127" t="s">
        <v>20730</v>
      </c>
      <c r="I583" s="127" t="s">
        <v>12334</v>
      </c>
      <c r="J583" s="127" t="s">
        <v>15013</v>
      </c>
      <c r="K583" s="127" t="s">
        <v>15455</v>
      </c>
      <c r="L583" s="127" t="s">
        <v>15897</v>
      </c>
      <c r="M583" s="127" t="s">
        <v>16339</v>
      </c>
      <c r="N583" s="127" t="s">
        <v>12335</v>
      </c>
    </row>
    <row r="584" spans="1:14" x14ac:dyDescent="0.35">
      <c r="A584" s="127" t="s">
        <v>6063</v>
      </c>
      <c r="C584" s="127" t="s">
        <v>3263</v>
      </c>
      <c r="D584" s="127" t="s">
        <v>20731</v>
      </c>
      <c r="I584" s="127" t="s">
        <v>12337</v>
      </c>
      <c r="J584" s="127" t="s">
        <v>15014</v>
      </c>
      <c r="K584" s="127" t="s">
        <v>15456</v>
      </c>
      <c r="L584" s="127" t="s">
        <v>15898</v>
      </c>
      <c r="M584" s="127" t="s">
        <v>16340</v>
      </c>
      <c r="N584" s="127" t="s">
        <v>12338</v>
      </c>
    </row>
    <row r="585" spans="1:14" x14ac:dyDescent="0.35">
      <c r="A585" s="127" t="s">
        <v>6063</v>
      </c>
      <c r="C585" s="127" t="s">
        <v>3263</v>
      </c>
      <c r="D585" s="127" t="s">
        <v>20732</v>
      </c>
      <c r="I585" s="127" t="s">
        <v>12340</v>
      </c>
      <c r="J585" s="127" t="s">
        <v>15015</v>
      </c>
      <c r="K585" s="127" t="s">
        <v>15457</v>
      </c>
      <c r="L585" s="127" t="s">
        <v>15899</v>
      </c>
      <c r="M585" s="127" t="s">
        <v>16341</v>
      </c>
      <c r="N585" s="127" t="s">
        <v>12341</v>
      </c>
    </row>
    <row r="586" spans="1:14" x14ac:dyDescent="0.35">
      <c r="A586" s="127" t="s">
        <v>6063</v>
      </c>
      <c r="C586" s="127" t="s">
        <v>3263</v>
      </c>
      <c r="D586" s="127" t="s">
        <v>20733</v>
      </c>
      <c r="I586" s="127" t="s">
        <v>12343</v>
      </c>
      <c r="J586" s="127" t="s">
        <v>15016</v>
      </c>
      <c r="K586" s="127" t="s">
        <v>15458</v>
      </c>
      <c r="L586" s="127" t="s">
        <v>15900</v>
      </c>
      <c r="M586" s="127" t="s">
        <v>16342</v>
      </c>
      <c r="N586" s="127" t="s">
        <v>12344</v>
      </c>
    </row>
    <row r="587" spans="1:14" x14ac:dyDescent="0.35">
      <c r="A587" s="127" t="s">
        <v>6063</v>
      </c>
      <c r="C587" s="127" t="s">
        <v>3263</v>
      </c>
      <c r="D587" s="127" t="s">
        <v>20734</v>
      </c>
      <c r="I587" s="127" t="s">
        <v>12346</v>
      </c>
      <c r="J587" s="127" t="s">
        <v>15017</v>
      </c>
      <c r="K587" s="127" t="s">
        <v>15459</v>
      </c>
      <c r="L587" s="127" t="s">
        <v>15901</v>
      </c>
      <c r="M587" s="127" t="s">
        <v>16343</v>
      </c>
      <c r="N587" s="127" t="s">
        <v>12347</v>
      </c>
    </row>
    <row r="588" spans="1:14" x14ac:dyDescent="0.35">
      <c r="A588" s="127" t="s">
        <v>6063</v>
      </c>
      <c r="C588" s="127" t="s">
        <v>3263</v>
      </c>
      <c r="D588" s="127" t="s">
        <v>20735</v>
      </c>
      <c r="I588" s="127" t="s">
        <v>12349</v>
      </c>
      <c r="J588" s="127" t="s">
        <v>15018</v>
      </c>
      <c r="K588" s="127" t="s">
        <v>15460</v>
      </c>
      <c r="L588" s="127" t="s">
        <v>15902</v>
      </c>
      <c r="M588" s="127" t="s">
        <v>16344</v>
      </c>
      <c r="N588" s="127" t="s">
        <v>12350</v>
      </c>
    </row>
    <row r="589" spans="1:14" x14ac:dyDescent="0.35">
      <c r="A589" s="127" t="s">
        <v>6063</v>
      </c>
      <c r="C589" s="127" t="s">
        <v>3263</v>
      </c>
      <c r="D589" s="127" t="s">
        <v>20736</v>
      </c>
      <c r="I589" s="127" t="s">
        <v>12352</v>
      </c>
      <c r="J589" s="127" t="s">
        <v>15019</v>
      </c>
      <c r="K589" s="127" t="s">
        <v>15461</v>
      </c>
      <c r="L589" s="127" t="s">
        <v>15903</v>
      </c>
      <c r="M589" s="127" t="s">
        <v>16345</v>
      </c>
      <c r="N589" s="127" t="s">
        <v>12353</v>
      </c>
    </row>
    <row r="590" spans="1:14" x14ac:dyDescent="0.35">
      <c r="A590" s="127" t="s">
        <v>6063</v>
      </c>
      <c r="C590" s="127" t="s">
        <v>3263</v>
      </c>
      <c r="D590" s="127" t="s">
        <v>20737</v>
      </c>
      <c r="I590" s="127" t="s">
        <v>12355</v>
      </c>
      <c r="J590" s="127" t="s">
        <v>15020</v>
      </c>
      <c r="K590" s="127" t="s">
        <v>15462</v>
      </c>
      <c r="L590" s="127" t="s">
        <v>15904</v>
      </c>
      <c r="M590" s="127" t="s">
        <v>16346</v>
      </c>
      <c r="N590" s="127" t="s">
        <v>12356</v>
      </c>
    </row>
    <row r="591" spans="1:14" x14ac:dyDescent="0.35">
      <c r="A591" s="127" t="s">
        <v>6063</v>
      </c>
      <c r="C591" s="127" t="s">
        <v>3263</v>
      </c>
      <c r="D591" s="127" t="s">
        <v>20738</v>
      </c>
      <c r="I591" s="127" t="s">
        <v>12358</v>
      </c>
      <c r="J591" s="127" t="s">
        <v>15021</v>
      </c>
      <c r="K591" s="127" t="s">
        <v>15463</v>
      </c>
      <c r="L591" s="127" t="s">
        <v>15905</v>
      </c>
      <c r="M591" s="127" t="s">
        <v>16347</v>
      </c>
      <c r="N591" s="127" t="s">
        <v>12359</v>
      </c>
    </row>
    <row r="592" spans="1:14" x14ac:dyDescent="0.35">
      <c r="A592" s="127" t="s">
        <v>6063</v>
      </c>
      <c r="C592" s="127" t="s">
        <v>3263</v>
      </c>
      <c r="D592" s="127" t="s">
        <v>20739</v>
      </c>
      <c r="I592" s="127" t="s">
        <v>12361</v>
      </c>
      <c r="J592" s="127" t="s">
        <v>15022</v>
      </c>
      <c r="K592" s="127" t="s">
        <v>15464</v>
      </c>
      <c r="L592" s="127" t="s">
        <v>15906</v>
      </c>
      <c r="M592" s="127" t="s">
        <v>16348</v>
      </c>
      <c r="N592" s="127" t="s">
        <v>12362</v>
      </c>
    </row>
    <row r="593" spans="1:14" x14ac:dyDescent="0.35">
      <c r="A593" s="127" t="s">
        <v>6063</v>
      </c>
      <c r="C593" s="127" t="s">
        <v>3263</v>
      </c>
      <c r="D593" s="127" t="s">
        <v>20740</v>
      </c>
      <c r="I593" s="127" t="s">
        <v>12364</v>
      </c>
      <c r="J593" s="127" t="s">
        <v>15023</v>
      </c>
      <c r="K593" s="127" t="s">
        <v>15465</v>
      </c>
      <c r="L593" s="127" t="s">
        <v>15907</v>
      </c>
      <c r="M593" s="127" t="s">
        <v>16349</v>
      </c>
      <c r="N593" s="127" t="s">
        <v>12365</v>
      </c>
    </row>
    <row r="594" spans="1:14" x14ac:dyDescent="0.35">
      <c r="A594" s="127" t="s">
        <v>6063</v>
      </c>
      <c r="C594" s="127" t="s">
        <v>3263</v>
      </c>
      <c r="D594" s="127" t="s">
        <v>20741</v>
      </c>
      <c r="I594" s="127" t="s">
        <v>12367</v>
      </c>
      <c r="J594" s="127" t="s">
        <v>15024</v>
      </c>
      <c r="K594" s="127" t="s">
        <v>15466</v>
      </c>
      <c r="L594" s="127" t="s">
        <v>15908</v>
      </c>
      <c r="M594" s="127" t="s">
        <v>16350</v>
      </c>
      <c r="N594" s="127" t="s">
        <v>12368</v>
      </c>
    </row>
    <row r="595" spans="1:14" x14ac:dyDescent="0.35">
      <c r="A595" s="127" t="s">
        <v>6063</v>
      </c>
      <c r="C595" s="127" t="s">
        <v>3263</v>
      </c>
      <c r="D595" s="127" t="s">
        <v>20742</v>
      </c>
      <c r="I595" s="127" t="s">
        <v>12370</v>
      </c>
      <c r="J595" s="127" t="s">
        <v>15025</v>
      </c>
      <c r="K595" s="127" t="s">
        <v>15467</v>
      </c>
      <c r="L595" s="127" t="s">
        <v>15909</v>
      </c>
      <c r="M595" s="127" t="s">
        <v>16351</v>
      </c>
      <c r="N595" s="127" t="s">
        <v>12371</v>
      </c>
    </row>
    <row r="596" spans="1:14" x14ac:dyDescent="0.35">
      <c r="A596" s="127" t="s">
        <v>6063</v>
      </c>
      <c r="C596" s="127" t="s">
        <v>3263</v>
      </c>
      <c r="D596" s="127" t="s">
        <v>20743</v>
      </c>
      <c r="I596" s="127" t="s">
        <v>12373</v>
      </c>
      <c r="J596" s="127" t="s">
        <v>15026</v>
      </c>
      <c r="K596" s="127" t="s">
        <v>15468</v>
      </c>
      <c r="L596" s="127" t="s">
        <v>15910</v>
      </c>
      <c r="M596" s="127" t="s">
        <v>16352</v>
      </c>
      <c r="N596" s="127" t="s">
        <v>12374</v>
      </c>
    </row>
    <row r="597" spans="1:14" x14ac:dyDescent="0.35">
      <c r="A597" s="127" t="s">
        <v>6063</v>
      </c>
      <c r="C597" s="127" t="s">
        <v>3263</v>
      </c>
      <c r="D597" s="127" t="s">
        <v>20744</v>
      </c>
      <c r="I597" s="127" t="s">
        <v>12376</v>
      </c>
      <c r="J597" s="127" t="s">
        <v>15027</v>
      </c>
      <c r="K597" s="127" t="s">
        <v>15469</v>
      </c>
      <c r="L597" s="127" t="s">
        <v>15911</v>
      </c>
      <c r="M597" s="127" t="s">
        <v>16353</v>
      </c>
      <c r="N597" s="127" t="s">
        <v>12377</v>
      </c>
    </row>
    <row r="598" spans="1:14" x14ac:dyDescent="0.35">
      <c r="A598" s="127" t="s">
        <v>6063</v>
      </c>
      <c r="C598" s="127" t="s">
        <v>3263</v>
      </c>
      <c r="D598" s="127" t="s">
        <v>20745</v>
      </c>
      <c r="I598" s="127" t="s">
        <v>12379</v>
      </c>
      <c r="J598" s="127" t="s">
        <v>15028</v>
      </c>
      <c r="K598" s="127" t="s">
        <v>15470</v>
      </c>
      <c r="L598" s="127" t="s">
        <v>15912</v>
      </c>
      <c r="M598" s="127" t="s">
        <v>16354</v>
      </c>
      <c r="N598" s="127" t="s">
        <v>12380</v>
      </c>
    </row>
    <row r="599" spans="1:14" x14ac:dyDescent="0.35">
      <c r="A599" s="127" t="s">
        <v>6063</v>
      </c>
      <c r="C599" s="127" t="s">
        <v>3263</v>
      </c>
      <c r="D599" s="127" t="s">
        <v>20746</v>
      </c>
      <c r="I599" s="127" t="s">
        <v>12382</v>
      </c>
      <c r="J599" s="127" t="s">
        <v>15029</v>
      </c>
      <c r="K599" s="127" t="s">
        <v>15471</v>
      </c>
      <c r="L599" s="127" t="s">
        <v>15913</v>
      </c>
      <c r="M599" s="127" t="s">
        <v>16355</v>
      </c>
      <c r="N599" s="127" t="s">
        <v>12383</v>
      </c>
    </row>
    <row r="600" spans="1:14" x14ac:dyDescent="0.35">
      <c r="A600" s="127" t="s">
        <v>6063</v>
      </c>
      <c r="C600" s="127" t="s">
        <v>3263</v>
      </c>
      <c r="D600" s="127" t="s">
        <v>20747</v>
      </c>
      <c r="I600" s="127" t="s">
        <v>12385</v>
      </c>
      <c r="J600" s="127" t="s">
        <v>15030</v>
      </c>
      <c r="K600" s="127" t="s">
        <v>15472</v>
      </c>
      <c r="L600" s="127" t="s">
        <v>15914</v>
      </c>
      <c r="M600" s="127" t="s">
        <v>16356</v>
      </c>
      <c r="N600" s="127" t="s">
        <v>12386</v>
      </c>
    </row>
    <row r="601" spans="1:14" x14ac:dyDescent="0.35">
      <c r="A601" s="127" t="s">
        <v>6063</v>
      </c>
      <c r="C601" s="127" t="s">
        <v>3263</v>
      </c>
      <c r="D601" s="127" t="s">
        <v>20748</v>
      </c>
      <c r="I601" s="127" t="s">
        <v>12388</v>
      </c>
      <c r="J601" s="127" t="s">
        <v>15031</v>
      </c>
      <c r="K601" s="127" t="s">
        <v>15473</v>
      </c>
      <c r="L601" s="127" t="s">
        <v>15915</v>
      </c>
      <c r="M601" s="127" t="s">
        <v>16357</v>
      </c>
      <c r="N601" s="127" t="s">
        <v>12389</v>
      </c>
    </row>
    <row r="602" spans="1:14" x14ac:dyDescent="0.35">
      <c r="A602" s="127" t="s">
        <v>6063</v>
      </c>
      <c r="C602" s="127" t="s">
        <v>3263</v>
      </c>
      <c r="D602" s="127" t="s">
        <v>20749</v>
      </c>
      <c r="I602" s="127" t="s">
        <v>12391</v>
      </c>
      <c r="J602" s="127" t="s">
        <v>15032</v>
      </c>
      <c r="K602" s="127" t="s">
        <v>15474</v>
      </c>
      <c r="L602" s="127" t="s">
        <v>15916</v>
      </c>
      <c r="M602" s="127" t="s">
        <v>16358</v>
      </c>
      <c r="N602" s="127" t="s">
        <v>12392</v>
      </c>
    </row>
    <row r="603" spans="1:14" x14ac:dyDescent="0.35">
      <c r="A603" s="127" t="s">
        <v>6063</v>
      </c>
      <c r="C603" s="127" t="s">
        <v>3263</v>
      </c>
      <c r="D603" s="127" t="s">
        <v>20750</v>
      </c>
      <c r="I603" s="127" t="s">
        <v>12394</v>
      </c>
      <c r="J603" s="127" t="s">
        <v>15033</v>
      </c>
      <c r="K603" s="127" t="s">
        <v>15475</v>
      </c>
      <c r="L603" s="127" t="s">
        <v>15917</v>
      </c>
      <c r="M603" s="127" t="s">
        <v>16359</v>
      </c>
      <c r="N603" s="127" t="s">
        <v>12395</v>
      </c>
    </row>
    <row r="604" spans="1:14" x14ac:dyDescent="0.35">
      <c r="A604" s="127" t="s">
        <v>6063</v>
      </c>
      <c r="C604" s="127" t="s">
        <v>3263</v>
      </c>
      <c r="D604" s="127" t="s">
        <v>20751</v>
      </c>
      <c r="I604" s="127" t="s">
        <v>12397</v>
      </c>
      <c r="J604" s="127" t="s">
        <v>15034</v>
      </c>
      <c r="K604" s="127" t="s">
        <v>15476</v>
      </c>
      <c r="L604" s="127" t="s">
        <v>15918</v>
      </c>
      <c r="M604" s="127" t="s">
        <v>16360</v>
      </c>
      <c r="N604" s="127" t="s">
        <v>12398</v>
      </c>
    </row>
    <row r="605" spans="1:14" x14ac:dyDescent="0.35">
      <c r="A605" s="127" t="s">
        <v>6063</v>
      </c>
      <c r="C605" s="127" t="s">
        <v>3263</v>
      </c>
      <c r="D605" s="127" t="s">
        <v>20752</v>
      </c>
      <c r="I605" s="127" t="s">
        <v>12400</v>
      </c>
      <c r="J605" s="127" t="s">
        <v>15035</v>
      </c>
      <c r="K605" s="127" t="s">
        <v>15477</v>
      </c>
      <c r="L605" s="127" t="s">
        <v>15919</v>
      </c>
      <c r="M605" s="127" t="s">
        <v>16361</v>
      </c>
      <c r="N605" s="127" t="s">
        <v>12401</v>
      </c>
    </row>
    <row r="606" spans="1:14" x14ac:dyDescent="0.35">
      <c r="A606" s="127" t="s">
        <v>6063</v>
      </c>
      <c r="C606" s="127" t="s">
        <v>3263</v>
      </c>
      <c r="D606" s="127" t="s">
        <v>20753</v>
      </c>
      <c r="I606" s="127" t="s">
        <v>12403</v>
      </c>
      <c r="J606" s="127" t="s">
        <v>15036</v>
      </c>
      <c r="K606" s="127" t="s">
        <v>15478</v>
      </c>
      <c r="L606" s="127" t="s">
        <v>15920</v>
      </c>
      <c r="M606" s="127" t="s">
        <v>16362</v>
      </c>
      <c r="N606" s="127" t="s">
        <v>12404</v>
      </c>
    </row>
    <row r="607" spans="1:14" x14ac:dyDescent="0.35">
      <c r="A607" s="127" t="s">
        <v>6063</v>
      </c>
      <c r="C607" s="127" t="s">
        <v>3263</v>
      </c>
      <c r="D607" s="127" t="s">
        <v>20754</v>
      </c>
      <c r="I607" s="127" t="s">
        <v>12406</v>
      </c>
      <c r="J607" s="127" t="s">
        <v>15037</v>
      </c>
      <c r="K607" s="127" t="s">
        <v>15479</v>
      </c>
      <c r="L607" s="127" t="s">
        <v>15921</v>
      </c>
      <c r="M607" s="127" t="s">
        <v>16363</v>
      </c>
      <c r="N607" s="127" t="s">
        <v>12407</v>
      </c>
    </row>
    <row r="608" spans="1:14" x14ac:dyDescent="0.35">
      <c r="A608" s="127" t="s">
        <v>6063</v>
      </c>
      <c r="C608" s="127" t="s">
        <v>3263</v>
      </c>
      <c r="D608" s="127" t="s">
        <v>20755</v>
      </c>
      <c r="I608" s="127" t="s">
        <v>12409</v>
      </c>
      <c r="J608" s="127" t="s">
        <v>15038</v>
      </c>
      <c r="K608" s="127" t="s">
        <v>15480</v>
      </c>
      <c r="L608" s="127" t="s">
        <v>15922</v>
      </c>
      <c r="M608" s="127" t="s">
        <v>16364</v>
      </c>
      <c r="N608" s="127" t="s">
        <v>12410</v>
      </c>
    </row>
    <row r="609" spans="1:14" x14ac:dyDescent="0.35">
      <c r="A609" s="127" t="s">
        <v>6063</v>
      </c>
      <c r="C609" s="127" t="s">
        <v>3263</v>
      </c>
      <c r="D609" s="127" t="s">
        <v>20756</v>
      </c>
      <c r="I609" s="127" t="s">
        <v>12412</v>
      </c>
      <c r="J609" s="127" t="s">
        <v>15039</v>
      </c>
      <c r="K609" s="127" t="s">
        <v>15481</v>
      </c>
      <c r="L609" s="127" t="s">
        <v>15923</v>
      </c>
      <c r="M609" s="127" t="s">
        <v>16365</v>
      </c>
      <c r="N609" s="127" t="s">
        <v>12413</v>
      </c>
    </row>
    <row r="610" spans="1:14" x14ac:dyDescent="0.35">
      <c r="A610" s="127" t="s">
        <v>6063</v>
      </c>
      <c r="C610" s="127" t="s">
        <v>3263</v>
      </c>
      <c r="D610" s="127" t="s">
        <v>20757</v>
      </c>
      <c r="I610" s="127" t="s">
        <v>12415</v>
      </c>
      <c r="J610" s="127" t="s">
        <v>15040</v>
      </c>
      <c r="K610" s="127" t="s">
        <v>15482</v>
      </c>
      <c r="L610" s="127" t="s">
        <v>15924</v>
      </c>
      <c r="M610" s="127" t="s">
        <v>16366</v>
      </c>
      <c r="N610" s="127" t="s">
        <v>12416</v>
      </c>
    </row>
    <row r="611" spans="1:14" x14ac:dyDescent="0.35">
      <c r="A611" s="127" t="s">
        <v>6063</v>
      </c>
      <c r="C611" s="127" t="s">
        <v>3263</v>
      </c>
      <c r="D611" s="127" t="s">
        <v>20758</v>
      </c>
      <c r="I611" s="127" t="s">
        <v>12418</v>
      </c>
      <c r="J611" s="127" t="s">
        <v>15041</v>
      </c>
      <c r="K611" s="127" t="s">
        <v>15483</v>
      </c>
      <c r="L611" s="127" t="s">
        <v>15925</v>
      </c>
      <c r="M611" s="127" t="s">
        <v>16367</v>
      </c>
      <c r="N611" s="127" t="s">
        <v>12419</v>
      </c>
    </row>
    <row r="612" spans="1:14" x14ac:dyDescent="0.35">
      <c r="A612" s="127" t="s">
        <v>6063</v>
      </c>
      <c r="C612" s="127" t="s">
        <v>3263</v>
      </c>
      <c r="D612" s="127" t="s">
        <v>20759</v>
      </c>
      <c r="I612" s="127" t="s">
        <v>12421</v>
      </c>
      <c r="J612" s="127" t="s">
        <v>15042</v>
      </c>
      <c r="K612" s="127" t="s">
        <v>15484</v>
      </c>
      <c r="L612" s="127" t="s">
        <v>15926</v>
      </c>
      <c r="M612" s="127" t="s">
        <v>16368</v>
      </c>
      <c r="N612" s="127" t="s">
        <v>12422</v>
      </c>
    </row>
    <row r="613" spans="1:14" x14ac:dyDescent="0.35">
      <c r="A613" s="127" t="s">
        <v>6063</v>
      </c>
      <c r="C613" s="127" t="s">
        <v>3263</v>
      </c>
      <c r="D613" s="127" t="s">
        <v>20760</v>
      </c>
      <c r="I613" s="127" t="s">
        <v>12424</v>
      </c>
      <c r="J613" s="127" t="s">
        <v>15043</v>
      </c>
      <c r="K613" s="127" t="s">
        <v>15485</v>
      </c>
      <c r="L613" s="127" t="s">
        <v>15927</v>
      </c>
      <c r="M613" s="127" t="s">
        <v>16369</v>
      </c>
      <c r="N613" s="127" t="s">
        <v>12425</v>
      </c>
    </row>
    <row r="614" spans="1:14" x14ac:dyDescent="0.35">
      <c r="A614" s="127" t="s">
        <v>6063</v>
      </c>
      <c r="C614" s="127" t="s">
        <v>3263</v>
      </c>
      <c r="D614" s="127" t="s">
        <v>20761</v>
      </c>
      <c r="I614" s="127" t="s">
        <v>12427</v>
      </c>
      <c r="J614" s="127" t="s">
        <v>15044</v>
      </c>
      <c r="K614" s="127" t="s">
        <v>15486</v>
      </c>
      <c r="L614" s="127" t="s">
        <v>15928</v>
      </c>
      <c r="M614" s="127" t="s">
        <v>16370</v>
      </c>
      <c r="N614" s="127" t="s">
        <v>12428</v>
      </c>
    </row>
    <row r="615" spans="1:14" x14ac:dyDescent="0.35">
      <c r="A615" s="127" t="s">
        <v>6063</v>
      </c>
      <c r="C615" s="127" t="s">
        <v>3263</v>
      </c>
      <c r="D615" s="127" t="s">
        <v>20762</v>
      </c>
      <c r="I615" s="127" t="s">
        <v>12430</v>
      </c>
      <c r="J615" s="127" t="s">
        <v>15045</v>
      </c>
      <c r="K615" s="127" t="s">
        <v>15487</v>
      </c>
      <c r="L615" s="127" t="s">
        <v>15929</v>
      </c>
      <c r="M615" s="127" t="s">
        <v>16371</v>
      </c>
      <c r="N615" s="127" t="s">
        <v>12431</v>
      </c>
    </row>
    <row r="616" spans="1:14" x14ac:dyDescent="0.35">
      <c r="A616" s="127" t="s">
        <v>6063</v>
      </c>
      <c r="C616" s="127" t="s">
        <v>3263</v>
      </c>
      <c r="D616" s="127" t="s">
        <v>20763</v>
      </c>
      <c r="I616" s="127" t="s">
        <v>12433</v>
      </c>
      <c r="J616" s="127" t="s">
        <v>15046</v>
      </c>
      <c r="K616" s="127" t="s">
        <v>15488</v>
      </c>
      <c r="L616" s="127" t="s">
        <v>15930</v>
      </c>
      <c r="M616" s="127" t="s">
        <v>16372</v>
      </c>
      <c r="N616" s="127" t="s">
        <v>12434</v>
      </c>
    </row>
    <row r="617" spans="1:14" x14ac:dyDescent="0.35">
      <c r="A617" s="127" t="s">
        <v>6063</v>
      </c>
      <c r="C617" s="127" t="s">
        <v>3263</v>
      </c>
      <c r="D617" s="127" t="s">
        <v>20764</v>
      </c>
      <c r="I617" s="127" t="s">
        <v>12436</v>
      </c>
      <c r="J617" s="127" t="s">
        <v>15047</v>
      </c>
      <c r="K617" s="127" t="s">
        <v>15489</v>
      </c>
      <c r="L617" s="127" t="s">
        <v>15931</v>
      </c>
      <c r="M617" s="127" t="s">
        <v>16373</v>
      </c>
      <c r="N617" s="127" t="s">
        <v>12437</v>
      </c>
    </row>
    <row r="618" spans="1:14" x14ac:dyDescent="0.35">
      <c r="A618" s="127" t="s">
        <v>6063</v>
      </c>
      <c r="C618" s="127" t="s">
        <v>3263</v>
      </c>
      <c r="D618" s="127" t="s">
        <v>20765</v>
      </c>
      <c r="I618" s="127" t="s">
        <v>12439</v>
      </c>
      <c r="J618" s="127" t="s">
        <v>15048</v>
      </c>
      <c r="K618" s="127" t="s">
        <v>15490</v>
      </c>
      <c r="L618" s="127" t="s">
        <v>15932</v>
      </c>
      <c r="M618" s="127" t="s">
        <v>16374</v>
      </c>
      <c r="N618" s="127" t="s">
        <v>12440</v>
      </c>
    </row>
    <row r="619" spans="1:14" x14ac:dyDescent="0.35">
      <c r="A619" s="127" t="s">
        <v>6063</v>
      </c>
      <c r="C619" s="127" t="s">
        <v>3263</v>
      </c>
      <c r="D619" s="127" t="s">
        <v>20766</v>
      </c>
      <c r="I619" s="127" t="s">
        <v>12442</v>
      </c>
      <c r="J619" s="127" t="s">
        <v>15049</v>
      </c>
      <c r="K619" s="127" t="s">
        <v>15491</v>
      </c>
      <c r="L619" s="127" t="s">
        <v>15933</v>
      </c>
      <c r="M619" s="127" t="s">
        <v>16375</v>
      </c>
      <c r="N619" s="127" t="s">
        <v>12443</v>
      </c>
    </row>
    <row r="620" spans="1:14" x14ac:dyDescent="0.35">
      <c r="A620" s="127" t="s">
        <v>6063</v>
      </c>
      <c r="C620" s="127" t="s">
        <v>3263</v>
      </c>
      <c r="D620" s="127" t="s">
        <v>20767</v>
      </c>
      <c r="I620" s="127" t="s">
        <v>12445</v>
      </c>
      <c r="J620" s="127" t="s">
        <v>15050</v>
      </c>
      <c r="K620" s="127" t="s">
        <v>15492</v>
      </c>
      <c r="L620" s="127" t="s">
        <v>15934</v>
      </c>
      <c r="M620" s="127" t="s">
        <v>16376</v>
      </c>
      <c r="N620" s="127" t="s">
        <v>12446</v>
      </c>
    </row>
    <row r="621" spans="1:14" x14ac:dyDescent="0.35">
      <c r="A621" s="127" t="s">
        <v>6063</v>
      </c>
      <c r="C621" s="127" t="s">
        <v>3263</v>
      </c>
      <c r="D621" s="127" t="s">
        <v>20768</v>
      </c>
      <c r="I621" s="127" t="s">
        <v>12448</v>
      </c>
      <c r="J621" s="127" t="s">
        <v>15051</v>
      </c>
      <c r="K621" s="127" t="s">
        <v>15493</v>
      </c>
      <c r="L621" s="127" t="s">
        <v>15935</v>
      </c>
      <c r="M621" s="127" t="s">
        <v>16377</v>
      </c>
      <c r="N621" s="127" t="s">
        <v>12449</v>
      </c>
    </row>
    <row r="622" spans="1:14" x14ac:dyDescent="0.35">
      <c r="A622" s="127" t="s">
        <v>6063</v>
      </c>
      <c r="C622" s="127" t="s">
        <v>3263</v>
      </c>
      <c r="D622" s="127" t="s">
        <v>20769</v>
      </c>
      <c r="I622" s="127" t="s">
        <v>12451</v>
      </c>
      <c r="J622" s="127" t="s">
        <v>15052</v>
      </c>
      <c r="K622" s="127" t="s">
        <v>15494</v>
      </c>
      <c r="L622" s="127" t="s">
        <v>15936</v>
      </c>
      <c r="M622" s="127" t="s">
        <v>16378</v>
      </c>
      <c r="N622" s="127" t="s">
        <v>12452</v>
      </c>
    </row>
    <row r="623" spans="1:14" x14ac:dyDescent="0.35">
      <c r="A623" s="127" t="s">
        <v>6063</v>
      </c>
      <c r="C623" s="127" t="s">
        <v>3263</v>
      </c>
      <c r="D623" s="127" t="s">
        <v>20770</v>
      </c>
      <c r="I623" s="127" t="s">
        <v>12454</v>
      </c>
      <c r="J623" s="127" t="s">
        <v>15053</v>
      </c>
      <c r="K623" s="127" t="s">
        <v>15495</v>
      </c>
      <c r="L623" s="127" t="s">
        <v>15937</v>
      </c>
      <c r="M623" s="127" t="s">
        <v>16379</v>
      </c>
      <c r="N623" s="127" t="s">
        <v>12455</v>
      </c>
    </row>
    <row r="624" spans="1:14" x14ac:dyDescent="0.35">
      <c r="A624" s="127" t="s">
        <v>6063</v>
      </c>
      <c r="C624" s="127" t="s">
        <v>3263</v>
      </c>
      <c r="D624" s="127" t="s">
        <v>20771</v>
      </c>
      <c r="I624" s="127" t="s">
        <v>12457</v>
      </c>
      <c r="J624" s="127" t="s">
        <v>15054</v>
      </c>
      <c r="K624" s="127" t="s">
        <v>15496</v>
      </c>
      <c r="L624" s="127" t="s">
        <v>15938</v>
      </c>
      <c r="M624" s="127" t="s">
        <v>16380</v>
      </c>
      <c r="N624" s="127" t="s">
        <v>12458</v>
      </c>
    </row>
    <row r="625" spans="1:14" x14ac:dyDescent="0.35">
      <c r="A625" s="127" t="s">
        <v>6063</v>
      </c>
      <c r="C625" s="127" t="s">
        <v>3263</v>
      </c>
      <c r="D625" s="127" t="s">
        <v>20772</v>
      </c>
      <c r="I625" s="127" t="s">
        <v>12460</v>
      </c>
      <c r="J625" s="127" t="s">
        <v>15055</v>
      </c>
      <c r="K625" s="127" t="s">
        <v>15497</v>
      </c>
      <c r="L625" s="127" t="s">
        <v>15939</v>
      </c>
      <c r="M625" s="127" t="s">
        <v>16381</v>
      </c>
      <c r="N625" s="127" t="s">
        <v>12461</v>
      </c>
    </row>
    <row r="626" spans="1:14" x14ac:dyDescent="0.35">
      <c r="A626" s="127" t="s">
        <v>6063</v>
      </c>
      <c r="C626" s="127" t="s">
        <v>3263</v>
      </c>
      <c r="D626" s="127" t="s">
        <v>20773</v>
      </c>
      <c r="I626" s="127" t="s">
        <v>12463</v>
      </c>
      <c r="J626" s="127" t="s">
        <v>15056</v>
      </c>
      <c r="K626" s="127" t="s">
        <v>15498</v>
      </c>
      <c r="L626" s="127" t="s">
        <v>15940</v>
      </c>
      <c r="M626" s="127" t="s">
        <v>16382</v>
      </c>
      <c r="N626" s="127" t="s">
        <v>12464</v>
      </c>
    </row>
    <row r="627" spans="1:14" x14ac:dyDescent="0.35">
      <c r="A627" s="127" t="s">
        <v>6063</v>
      </c>
      <c r="C627" s="127" t="s">
        <v>3263</v>
      </c>
      <c r="D627" s="127" t="s">
        <v>20774</v>
      </c>
      <c r="I627" s="127" t="s">
        <v>12466</v>
      </c>
      <c r="J627" s="127" t="s">
        <v>15057</v>
      </c>
      <c r="K627" s="127" t="s">
        <v>15499</v>
      </c>
      <c r="L627" s="127" t="s">
        <v>15941</v>
      </c>
      <c r="M627" s="127" t="s">
        <v>16383</v>
      </c>
      <c r="N627" s="127" t="s">
        <v>12467</v>
      </c>
    </row>
    <row r="628" spans="1:14" x14ac:dyDescent="0.35">
      <c r="A628" s="127" t="s">
        <v>6063</v>
      </c>
      <c r="C628" s="127" t="s">
        <v>3263</v>
      </c>
      <c r="D628" s="127" t="s">
        <v>20775</v>
      </c>
      <c r="I628" s="127" t="s">
        <v>12469</v>
      </c>
      <c r="J628" s="127" t="s">
        <v>15058</v>
      </c>
      <c r="K628" s="127" t="s">
        <v>15500</v>
      </c>
      <c r="L628" s="127" t="s">
        <v>15942</v>
      </c>
      <c r="M628" s="127" t="s">
        <v>16384</v>
      </c>
      <c r="N628" s="127" t="s">
        <v>12470</v>
      </c>
    </row>
    <row r="629" spans="1:14" x14ac:dyDescent="0.35">
      <c r="A629" s="127" t="s">
        <v>6063</v>
      </c>
      <c r="C629" s="127" t="s">
        <v>3263</v>
      </c>
      <c r="D629" s="127" t="s">
        <v>20776</v>
      </c>
      <c r="I629" s="127" t="s">
        <v>12472</v>
      </c>
      <c r="J629" s="127" t="s">
        <v>15059</v>
      </c>
      <c r="K629" s="127" t="s">
        <v>15501</v>
      </c>
      <c r="L629" s="127" t="s">
        <v>15943</v>
      </c>
      <c r="M629" s="127" t="s">
        <v>16385</v>
      </c>
      <c r="N629" s="127" t="s">
        <v>12473</v>
      </c>
    </row>
    <row r="630" spans="1:14" x14ac:dyDescent="0.35">
      <c r="A630" s="127" t="s">
        <v>6063</v>
      </c>
      <c r="C630" s="127" t="s">
        <v>3263</v>
      </c>
      <c r="D630" s="127" t="s">
        <v>20777</v>
      </c>
      <c r="I630" s="127" t="s">
        <v>12475</v>
      </c>
      <c r="J630" s="127" t="s">
        <v>15060</v>
      </c>
      <c r="K630" s="127" t="s">
        <v>15502</v>
      </c>
      <c r="L630" s="127" t="s">
        <v>15944</v>
      </c>
      <c r="M630" s="127" t="s">
        <v>16386</v>
      </c>
      <c r="N630" s="127" t="s">
        <v>12476</v>
      </c>
    </row>
    <row r="631" spans="1:14" x14ac:dyDescent="0.35">
      <c r="A631" s="127" t="s">
        <v>6063</v>
      </c>
      <c r="C631" s="127" t="s">
        <v>3263</v>
      </c>
      <c r="D631" s="127" t="s">
        <v>20778</v>
      </c>
      <c r="I631" s="127" t="s">
        <v>12478</v>
      </c>
      <c r="J631" s="127" t="s">
        <v>15061</v>
      </c>
      <c r="K631" s="127" t="s">
        <v>15503</v>
      </c>
      <c r="L631" s="127" t="s">
        <v>15945</v>
      </c>
      <c r="M631" s="127" t="s">
        <v>16387</v>
      </c>
      <c r="N631" s="127" t="s">
        <v>12479</v>
      </c>
    </row>
    <row r="632" spans="1:14" x14ac:dyDescent="0.35">
      <c r="A632" s="127" t="s">
        <v>6063</v>
      </c>
      <c r="C632" s="127" t="s">
        <v>3263</v>
      </c>
      <c r="D632" s="127" t="s">
        <v>20779</v>
      </c>
      <c r="I632" s="127" t="s">
        <v>12481</v>
      </c>
      <c r="J632" s="127" t="s">
        <v>15062</v>
      </c>
      <c r="K632" s="127" t="s">
        <v>15504</v>
      </c>
      <c r="L632" s="127" t="s">
        <v>15946</v>
      </c>
      <c r="M632" s="127" t="s">
        <v>16388</v>
      </c>
      <c r="N632" s="127" t="s">
        <v>12482</v>
      </c>
    </row>
    <row r="633" spans="1:14" x14ac:dyDescent="0.35">
      <c r="A633" s="127" t="s">
        <v>6063</v>
      </c>
      <c r="C633" s="127" t="s">
        <v>3263</v>
      </c>
      <c r="D633" s="127" t="s">
        <v>20780</v>
      </c>
      <c r="I633" s="127" t="s">
        <v>12484</v>
      </c>
      <c r="J633" s="127" t="s">
        <v>15063</v>
      </c>
      <c r="K633" s="127" t="s">
        <v>15505</v>
      </c>
      <c r="L633" s="127" t="s">
        <v>15947</v>
      </c>
      <c r="M633" s="127" t="s">
        <v>16389</v>
      </c>
      <c r="N633" s="127" t="s">
        <v>12485</v>
      </c>
    </row>
    <row r="634" spans="1:14" x14ac:dyDescent="0.35">
      <c r="A634" s="127" t="s">
        <v>6063</v>
      </c>
      <c r="C634" s="127" t="s">
        <v>3263</v>
      </c>
      <c r="D634" s="127" t="s">
        <v>20781</v>
      </c>
      <c r="I634" s="127" t="s">
        <v>12487</v>
      </c>
      <c r="J634" s="127" t="s">
        <v>15064</v>
      </c>
      <c r="K634" s="127" t="s">
        <v>15506</v>
      </c>
      <c r="L634" s="127" t="s">
        <v>15948</v>
      </c>
      <c r="M634" s="127" t="s">
        <v>16390</v>
      </c>
      <c r="N634" s="127" t="s">
        <v>12488</v>
      </c>
    </row>
    <row r="635" spans="1:14" x14ac:dyDescent="0.35">
      <c r="A635" s="127" t="s">
        <v>6063</v>
      </c>
      <c r="C635" s="127" t="s">
        <v>3263</v>
      </c>
      <c r="D635" s="127" t="s">
        <v>20782</v>
      </c>
      <c r="I635" s="127" t="s">
        <v>12490</v>
      </c>
      <c r="J635" s="127" t="s">
        <v>15065</v>
      </c>
      <c r="K635" s="127" t="s">
        <v>15507</v>
      </c>
      <c r="L635" s="127" t="s">
        <v>15949</v>
      </c>
      <c r="M635" s="127" t="s">
        <v>16391</v>
      </c>
      <c r="N635" s="127" t="s">
        <v>12491</v>
      </c>
    </row>
    <row r="636" spans="1:14" x14ac:dyDescent="0.35">
      <c r="A636" s="127" t="s">
        <v>6063</v>
      </c>
      <c r="C636" s="127" t="s">
        <v>3263</v>
      </c>
      <c r="D636" s="127" t="s">
        <v>20783</v>
      </c>
      <c r="I636" s="127" t="s">
        <v>12493</v>
      </c>
      <c r="J636" s="127" t="s">
        <v>15066</v>
      </c>
      <c r="K636" s="127" t="s">
        <v>15508</v>
      </c>
      <c r="L636" s="127" t="s">
        <v>15950</v>
      </c>
      <c r="M636" s="127" t="s">
        <v>16392</v>
      </c>
      <c r="N636" s="127" t="s">
        <v>12494</v>
      </c>
    </row>
    <row r="637" spans="1:14" x14ac:dyDescent="0.35">
      <c r="A637" s="127" t="s">
        <v>6063</v>
      </c>
      <c r="C637" s="127" t="s">
        <v>3263</v>
      </c>
      <c r="D637" s="127" t="s">
        <v>20784</v>
      </c>
      <c r="I637" s="127" t="s">
        <v>12496</v>
      </c>
      <c r="J637" s="127" t="s">
        <v>15067</v>
      </c>
      <c r="K637" s="127" t="s">
        <v>15509</v>
      </c>
      <c r="L637" s="127" t="s">
        <v>15951</v>
      </c>
      <c r="M637" s="127" t="s">
        <v>16393</v>
      </c>
      <c r="N637" s="127" t="s">
        <v>12497</v>
      </c>
    </row>
    <row r="638" spans="1:14" x14ac:dyDescent="0.35">
      <c r="A638" s="127" t="s">
        <v>6063</v>
      </c>
      <c r="C638" s="127" t="s">
        <v>3263</v>
      </c>
      <c r="D638" s="127" t="s">
        <v>20785</v>
      </c>
      <c r="I638" s="127" t="s">
        <v>12499</v>
      </c>
      <c r="J638" s="127" t="s">
        <v>15068</v>
      </c>
      <c r="K638" s="127" t="s">
        <v>15510</v>
      </c>
      <c r="L638" s="127" t="s">
        <v>15952</v>
      </c>
      <c r="M638" s="127" t="s">
        <v>16394</v>
      </c>
      <c r="N638" s="127" t="s">
        <v>12500</v>
      </c>
    </row>
    <row r="639" spans="1:14" x14ac:dyDescent="0.35">
      <c r="A639" s="127" t="s">
        <v>6063</v>
      </c>
      <c r="C639" s="127" t="s">
        <v>3263</v>
      </c>
      <c r="D639" s="127" t="s">
        <v>20786</v>
      </c>
      <c r="I639" s="127" t="s">
        <v>12502</v>
      </c>
      <c r="J639" s="127" t="s">
        <v>15069</v>
      </c>
      <c r="K639" s="127" t="s">
        <v>15511</v>
      </c>
      <c r="L639" s="127" t="s">
        <v>15953</v>
      </c>
      <c r="M639" s="127" t="s">
        <v>16395</v>
      </c>
      <c r="N639" s="127" t="s">
        <v>12503</v>
      </c>
    </row>
    <row r="640" spans="1:14" x14ac:dyDescent="0.35">
      <c r="A640" s="127" t="s">
        <v>6063</v>
      </c>
      <c r="C640" s="127" t="s">
        <v>3263</v>
      </c>
      <c r="D640" s="127" t="s">
        <v>20787</v>
      </c>
      <c r="I640" s="127" t="s">
        <v>12505</v>
      </c>
      <c r="J640" s="127" t="s">
        <v>15070</v>
      </c>
      <c r="K640" s="127" t="s">
        <v>15512</v>
      </c>
      <c r="L640" s="127" t="s">
        <v>15954</v>
      </c>
      <c r="M640" s="127" t="s">
        <v>16396</v>
      </c>
      <c r="N640" s="127" t="s">
        <v>12506</v>
      </c>
    </row>
    <row r="641" spans="1:14" x14ac:dyDescent="0.35">
      <c r="A641" s="127" t="s">
        <v>6063</v>
      </c>
      <c r="C641" s="127" t="s">
        <v>3263</v>
      </c>
      <c r="D641" s="127" t="s">
        <v>20788</v>
      </c>
      <c r="I641" s="127" t="s">
        <v>12508</v>
      </c>
      <c r="J641" s="127" t="s">
        <v>15071</v>
      </c>
      <c r="K641" s="127" t="s">
        <v>15513</v>
      </c>
      <c r="L641" s="127" t="s">
        <v>15955</v>
      </c>
      <c r="M641" s="127" t="s">
        <v>16397</v>
      </c>
      <c r="N641" s="127" t="s">
        <v>12509</v>
      </c>
    </row>
    <row r="642" spans="1:14" x14ac:dyDescent="0.35">
      <c r="A642" s="127" t="s">
        <v>6063</v>
      </c>
      <c r="C642" s="127" t="s">
        <v>3263</v>
      </c>
      <c r="D642" s="127" t="s">
        <v>20789</v>
      </c>
      <c r="I642" s="127" t="s">
        <v>12511</v>
      </c>
      <c r="J642" s="127" t="s">
        <v>15072</v>
      </c>
      <c r="K642" s="127" t="s">
        <v>15514</v>
      </c>
      <c r="L642" s="127" t="s">
        <v>15956</v>
      </c>
      <c r="M642" s="127" t="s">
        <v>16398</v>
      </c>
      <c r="N642" s="127" t="s">
        <v>12512</v>
      </c>
    </row>
    <row r="643" spans="1:14" x14ac:dyDescent="0.35">
      <c r="A643" s="127" t="s">
        <v>6063</v>
      </c>
      <c r="C643" s="127" t="s">
        <v>3263</v>
      </c>
      <c r="D643" s="127" t="s">
        <v>20790</v>
      </c>
      <c r="I643" s="127" t="s">
        <v>12514</v>
      </c>
      <c r="J643" s="127" t="s">
        <v>15073</v>
      </c>
      <c r="K643" s="127" t="s">
        <v>15515</v>
      </c>
      <c r="L643" s="127" t="s">
        <v>15957</v>
      </c>
      <c r="M643" s="127" t="s">
        <v>16399</v>
      </c>
      <c r="N643" s="127" t="s">
        <v>12515</v>
      </c>
    </row>
    <row r="644" spans="1:14" x14ac:dyDescent="0.35">
      <c r="A644" s="127" t="s">
        <v>6063</v>
      </c>
      <c r="C644" s="127" t="s">
        <v>3263</v>
      </c>
      <c r="D644" s="127" t="s">
        <v>20791</v>
      </c>
      <c r="I644" s="127" t="s">
        <v>12517</v>
      </c>
      <c r="J644" s="127" t="s">
        <v>15074</v>
      </c>
      <c r="K644" s="127" t="s">
        <v>15516</v>
      </c>
      <c r="L644" s="127" t="s">
        <v>15958</v>
      </c>
      <c r="M644" s="127" t="s">
        <v>16400</v>
      </c>
      <c r="N644" s="127" t="s">
        <v>12518</v>
      </c>
    </row>
    <row r="645" spans="1:14" x14ac:dyDescent="0.35">
      <c r="A645" s="127" t="s">
        <v>6063</v>
      </c>
      <c r="C645" s="127" t="s">
        <v>3263</v>
      </c>
      <c r="D645" s="127" t="s">
        <v>20792</v>
      </c>
      <c r="I645" s="127" t="s">
        <v>12520</v>
      </c>
      <c r="J645" s="127" t="s">
        <v>15075</v>
      </c>
      <c r="K645" s="127" t="s">
        <v>15517</v>
      </c>
      <c r="L645" s="127" t="s">
        <v>15959</v>
      </c>
      <c r="M645" s="127" t="s">
        <v>16401</v>
      </c>
      <c r="N645" s="127" t="s">
        <v>12521</v>
      </c>
    </row>
    <row r="646" spans="1:14" x14ac:dyDescent="0.35">
      <c r="A646" s="127" t="s">
        <v>6063</v>
      </c>
      <c r="C646" s="127" t="s">
        <v>3263</v>
      </c>
      <c r="D646" s="127" t="s">
        <v>20793</v>
      </c>
      <c r="I646" s="127" t="s">
        <v>12523</v>
      </c>
      <c r="J646" s="127" t="s">
        <v>15076</v>
      </c>
      <c r="K646" s="127" t="s">
        <v>15518</v>
      </c>
      <c r="L646" s="127" t="s">
        <v>15960</v>
      </c>
      <c r="M646" s="127" t="s">
        <v>16402</v>
      </c>
      <c r="N646" s="127" t="s">
        <v>12524</v>
      </c>
    </row>
    <row r="647" spans="1:14" x14ac:dyDescent="0.35">
      <c r="A647" s="127" t="s">
        <v>6063</v>
      </c>
      <c r="C647" s="127" t="s">
        <v>3263</v>
      </c>
      <c r="D647" s="127" t="s">
        <v>20794</v>
      </c>
      <c r="I647" s="127" t="s">
        <v>12526</v>
      </c>
      <c r="J647" s="127" t="s">
        <v>15077</v>
      </c>
      <c r="K647" s="127" t="s">
        <v>15519</v>
      </c>
      <c r="L647" s="127" t="s">
        <v>15961</v>
      </c>
      <c r="M647" s="127" t="s">
        <v>16403</v>
      </c>
      <c r="N647" s="127" t="s">
        <v>12527</v>
      </c>
    </row>
    <row r="648" spans="1:14" x14ac:dyDescent="0.35">
      <c r="A648" s="127" t="s">
        <v>6063</v>
      </c>
      <c r="C648" s="127" t="s">
        <v>3263</v>
      </c>
      <c r="D648" s="127" t="s">
        <v>20795</v>
      </c>
      <c r="I648" s="127" t="s">
        <v>12529</v>
      </c>
      <c r="J648" s="127" t="s">
        <v>15078</v>
      </c>
      <c r="K648" s="127" t="s">
        <v>15520</v>
      </c>
      <c r="L648" s="127" t="s">
        <v>15962</v>
      </c>
      <c r="M648" s="127" t="s">
        <v>16404</v>
      </c>
      <c r="N648" s="127" t="s">
        <v>12530</v>
      </c>
    </row>
    <row r="649" spans="1:14" x14ac:dyDescent="0.35">
      <c r="A649" s="127" t="s">
        <v>6063</v>
      </c>
      <c r="C649" s="127" t="s">
        <v>3263</v>
      </c>
      <c r="D649" s="127" t="s">
        <v>20796</v>
      </c>
      <c r="I649" s="127" t="s">
        <v>12532</v>
      </c>
      <c r="J649" s="127" t="s">
        <v>15079</v>
      </c>
      <c r="K649" s="127" t="s">
        <v>15521</v>
      </c>
      <c r="L649" s="127" t="s">
        <v>15963</v>
      </c>
      <c r="M649" s="127" t="s">
        <v>16405</v>
      </c>
      <c r="N649" s="127" t="s">
        <v>12533</v>
      </c>
    </row>
    <row r="650" spans="1:14" x14ac:dyDescent="0.35">
      <c r="A650" s="127" t="s">
        <v>6063</v>
      </c>
      <c r="C650" s="127" t="s">
        <v>3263</v>
      </c>
      <c r="D650" s="127" t="s">
        <v>20797</v>
      </c>
      <c r="I650" s="127" t="s">
        <v>12535</v>
      </c>
      <c r="J650" s="127" t="s">
        <v>15080</v>
      </c>
      <c r="K650" s="127" t="s">
        <v>15522</v>
      </c>
      <c r="L650" s="127" t="s">
        <v>15964</v>
      </c>
      <c r="M650" s="127" t="s">
        <v>16406</v>
      </c>
      <c r="N650" s="127" t="s">
        <v>12536</v>
      </c>
    </row>
    <row r="651" spans="1:14" x14ac:dyDescent="0.35">
      <c r="A651" s="127" t="s">
        <v>6063</v>
      </c>
      <c r="C651" s="127" t="s">
        <v>3263</v>
      </c>
      <c r="D651" s="127" t="s">
        <v>20798</v>
      </c>
      <c r="I651" s="127" t="s">
        <v>12538</v>
      </c>
      <c r="J651" s="127" t="s">
        <v>15081</v>
      </c>
      <c r="K651" s="127" t="s">
        <v>15523</v>
      </c>
      <c r="L651" s="127" t="s">
        <v>15965</v>
      </c>
      <c r="M651" s="127" t="s">
        <v>16407</v>
      </c>
      <c r="N651" s="127" t="s">
        <v>12539</v>
      </c>
    </row>
    <row r="652" spans="1:14" x14ac:dyDescent="0.35">
      <c r="A652" s="127" t="s">
        <v>6063</v>
      </c>
      <c r="C652" s="127" t="s">
        <v>3263</v>
      </c>
      <c r="D652" s="127" t="s">
        <v>20799</v>
      </c>
      <c r="I652" s="127" t="s">
        <v>12541</v>
      </c>
      <c r="J652" s="127" t="s">
        <v>15082</v>
      </c>
      <c r="K652" s="127" t="s">
        <v>15524</v>
      </c>
      <c r="L652" s="127" t="s">
        <v>15966</v>
      </c>
      <c r="M652" s="127" t="s">
        <v>16408</v>
      </c>
      <c r="N652" s="127" t="s">
        <v>12542</v>
      </c>
    </row>
    <row r="653" spans="1:14" x14ac:dyDescent="0.35">
      <c r="A653" s="127" t="s">
        <v>6063</v>
      </c>
      <c r="C653" s="127" t="s">
        <v>3263</v>
      </c>
      <c r="D653" s="127" t="s">
        <v>20800</v>
      </c>
      <c r="I653" s="127" t="s">
        <v>12544</v>
      </c>
      <c r="J653" s="127" t="s">
        <v>15083</v>
      </c>
      <c r="K653" s="127" t="s">
        <v>15525</v>
      </c>
      <c r="L653" s="127" t="s">
        <v>15967</v>
      </c>
      <c r="M653" s="127" t="s">
        <v>16409</v>
      </c>
      <c r="N653" s="127" t="s">
        <v>12545</v>
      </c>
    </row>
    <row r="654" spans="1:14" x14ac:dyDescent="0.35">
      <c r="A654" s="127" t="s">
        <v>6063</v>
      </c>
      <c r="C654" s="127" t="s">
        <v>3263</v>
      </c>
      <c r="D654" s="127" t="s">
        <v>20801</v>
      </c>
      <c r="I654" s="127" t="s">
        <v>12547</v>
      </c>
      <c r="J654" s="127" t="s">
        <v>15084</v>
      </c>
      <c r="K654" s="127" t="s">
        <v>15526</v>
      </c>
      <c r="L654" s="127" t="s">
        <v>15968</v>
      </c>
      <c r="M654" s="127" t="s">
        <v>16410</v>
      </c>
      <c r="N654" s="127" t="s">
        <v>12548</v>
      </c>
    </row>
    <row r="655" spans="1:14" x14ac:dyDescent="0.35">
      <c r="A655" s="127" t="s">
        <v>6063</v>
      </c>
      <c r="C655" s="127" t="s">
        <v>3263</v>
      </c>
      <c r="D655" s="127" t="s">
        <v>20802</v>
      </c>
      <c r="I655" s="127" t="s">
        <v>12550</v>
      </c>
      <c r="J655" s="127" t="s">
        <v>15085</v>
      </c>
      <c r="K655" s="127" t="s">
        <v>15527</v>
      </c>
      <c r="L655" s="127" t="s">
        <v>15969</v>
      </c>
      <c r="M655" s="127" t="s">
        <v>16411</v>
      </c>
      <c r="N655" s="127" t="s">
        <v>12551</v>
      </c>
    </row>
    <row r="656" spans="1:14" x14ac:dyDescent="0.35">
      <c r="A656" s="127" t="s">
        <v>6063</v>
      </c>
      <c r="C656" s="127" t="s">
        <v>3263</v>
      </c>
      <c r="D656" s="127" t="s">
        <v>20803</v>
      </c>
      <c r="I656" s="127" t="s">
        <v>12553</v>
      </c>
      <c r="J656" s="127" t="s">
        <v>15086</v>
      </c>
      <c r="K656" s="127" t="s">
        <v>15528</v>
      </c>
      <c r="L656" s="127" t="s">
        <v>15970</v>
      </c>
      <c r="M656" s="127" t="s">
        <v>16412</v>
      </c>
      <c r="N656" s="127" t="s">
        <v>12554</v>
      </c>
    </row>
    <row r="657" spans="1:14" x14ac:dyDescent="0.35">
      <c r="A657" s="127" t="s">
        <v>6063</v>
      </c>
      <c r="C657" s="127" t="s">
        <v>3263</v>
      </c>
      <c r="D657" s="127" t="s">
        <v>20804</v>
      </c>
      <c r="I657" s="127" t="s">
        <v>12556</v>
      </c>
      <c r="J657" s="127" t="s">
        <v>15087</v>
      </c>
      <c r="K657" s="127" t="s">
        <v>15529</v>
      </c>
      <c r="L657" s="127" t="s">
        <v>15971</v>
      </c>
      <c r="M657" s="127" t="s">
        <v>16413</v>
      </c>
      <c r="N657" s="127" t="s">
        <v>12557</v>
      </c>
    </row>
    <row r="658" spans="1:14" x14ac:dyDescent="0.35">
      <c r="A658" s="127" t="s">
        <v>6063</v>
      </c>
      <c r="C658" s="127" t="s">
        <v>3263</v>
      </c>
      <c r="D658" s="127" t="s">
        <v>20805</v>
      </c>
      <c r="I658" s="127" t="s">
        <v>12559</v>
      </c>
      <c r="J658" s="127" t="s">
        <v>15088</v>
      </c>
      <c r="K658" s="127" t="s">
        <v>15530</v>
      </c>
      <c r="L658" s="127" t="s">
        <v>15972</v>
      </c>
      <c r="M658" s="127" t="s">
        <v>16414</v>
      </c>
      <c r="N658" s="127" t="s">
        <v>12560</v>
      </c>
    </row>
    <row r="659" spans="1:14" x14ac:dyDescent="0.35">
      <c r="A659" s="127" t="s">
        <v>6063</v>
      </c>
      <c r="C659" s="127" t="s">
        <v>3263</v>
      </c>
      <c r="D659" s="127" t="s">
        <v>20806</v>
      </c>
      <c r="I659" s="127" t="s">
        <v>12562</v>
      </c>
      <c r="J659" s="127" t="s">
        <v>15089</v>
      </c>
      <c r="K659" s="127" t="s">
        <v>15531</v>
      </c>
      <c r="L659" s="127" t="s">
        <v>15973</v>
      </c>
      <c r="M659" s="127" t="s">
        <v>16415</v>
      </c>
      <c r="N659" s="127" t="s">
        <v>12563</v>
      </c>
    </row>
    <row r="660" spans="1:14" x14ac:dyDescent="0.35">
      <c r="A660" s="127" t="s">
        <v>6063</v>
      </c>
      <c r="C660" s="127" t="s">
        <v>3263</v>
      </c>
      <c r="D660" s="127" t="s">
        <v>20807</v>
      </c>
      <c r="I660" s="127" t="s">
        <v>12565</v>
      </c>
      <c r="J660" s="127" t="s">
        <v>15090</v>
      </c>
      <c r="K660" s="127" t="s">
        <v>15532</v>
      </c>
      <c r="L660" s="127" t="s">
        <v>15974</v>
      </c>
      <c r="M660" s="127" t="s">
        <v>16416</v>
      </c>
      <c r="N660" s="127" t="s">
        <v>12566</v>
      </c>
    </row>
    <row r="661" spans="1:14" x14ac:dyDescent="0.35">
      <c r="A661" s="127" t="s">
        <v>6063</v>
      </c>
      <c r="C661" s="127" t="s">
        <v>3263</v>
      </c>
      <c r="D661" s="127" t="s">
        <v>20808</v>
      </c>
      <c r="I661" s="127" t="s">
        <v>12568</v>
      </c>
      <c r="J661" s="127" t="s">
        <v>15091</v>
      </c>
      <c r="K661" s="127" t="s">
        <v>15533</v>
      </c>
      <c r="L661" s="127" t="s">
        <v>15975</v>
      </c>
      <c r="M661" s="127" t="s">
        <v>16417</v>
      </c>
      <c r="N661" s="127" t="s">
        <v>12569</v>
      </c>
    </row>
    <row r="662" spans="1:14" x14ac:dyDescent="0.35">
      <c r="A662" s="127" t="s">
        <v>6063</v>
      </c>
      <c r="C662" s="127" t="s">
        <v>3263</v>
      </c>
      <c r="D662" s="127" t="s">
        <v>20809</v>
      </c>
      <c r="I662" s="127" t="s">
        <v>12571</v>
      </c>
      <c r="J662" s="127" t="s">
        <v>15092</v>
      </c>
      <c r="K662" s="127" t="s">
        <v>15534</v>
      </c>
      <c r="L662" s="127" t="s">
        <v>15976</v>
      </c>
      <c r="M662" s="127" t="s">
        <v>16418</v>
      </c>
      <c r="N662" s="127" t="s">
        <v>12572</v>
      </c>
    </row>
    <row r="663" spans="1:14" x14ac:dyDescent="0.35">
      <c r="A663" s="127" t="s">
        <v>6063</v>
      </c>
      <c r="C663" s="127" t="s">
        <v>3263</v>
      </c>
      <c r="D663" s="127" t="s">
        <v>20810</v>
      </c>
      <c r="I663" s="127" t="s">
        <v>12574</v>
      </c>
      <c r="J663" s="127" t="s">
        <v>15093</v>
      </c>
      <c r="K663" s="127" t="s">
        <v>15535</v>
      </c>
      <c r="L663" s="127" t="s">
        <v>15977</v>
      </c>
      <c r="M663" s="127" t="s">
        <v>16419</v>
      </c>
      <c r="N663" s="127" t="s">
        <v>12575</v>
      </c>
    </row>
    <row r="664" spans="1:14" x14ac:dyDescent="0.35">
      <c r="A664" s="127" t="s">
        <v>6063</v>
      </c>
      <c r="C664" s="127" t="s">
        <v>3263</v>
      </c>
      <c r="D664" s="127" t="s">
        <v>20811</v>
      </c>
      <c r="I664" s="127" t="s">
        <v>12577</v>
      </c>
      <c r="J664" s="127" t="s">
        <v>15094</v>
      </c>
      <c r="K664" s="127" t="s">
        <v>15536</v>
      </c>
      <c r="L664" s="127" t="s">
        <v>15978</v>
      </c>
      <c r="M664" s="127" t="s">
        <v>16420</v>
      </c>
      <c r="N664" s="127" t="s">
        <v>12578</v>
      </c>
    </row>
    <row r="665" spans="1:14" x14ac:dyDescent="0.35">
      <c r="A665" s="127" t="s">
        <v>6063</v>
      </c>
      <c r="C665" s="127" t="s">
        <v>3263</v>
      </c>
      <c r="D665" s="127" t="s">
        <v>20812</v>
      </c>
      <c r="I665" s="127" t="s">
        <v>12580</v>
      </c>
      <c r="J665" s="127" t="s">
        <v>15095</v>
      </c>
      <c r="K665" s="127" t="s">
        <v>15537</v>
      </c>
      <c r="L665" s="127" t="s">
        <v>15979</v>
      </c>
      <c r="M665" s="127" t="s">
        <v>16421</v>
      </c>
      <c r="N665" s="127" t="s">
        <v>12581</v>
      </c>
    </row>
    <row r="666" spans="1:14" x14ac:dyDescent="0.35">
      <c r="A666" s="127" t="s">
        <v>6063</v>
      </c>
      <c r="C666" s="127" t="s">
        <v>3263</v>
      </c>
      <c r="D666" s="127" t="s">
        <v>20813</v>
      </c>
      <c r="I666" s="127" t="s">
        <v>12583</v>
      </c>
      <c r="J666" s="127" t="s">
        <v>15096</v>
      </c>
      <c r="K666" s="127" t="s">
        <v>15538</v>
      </c>
      <c r="L666" s="127" t="s">
        <v>15980</v>
      </c>
      <c r="M666" s="127" t="s">
        <v>16422</v>
      </c>
      <c r="N666" s="127" t="s">
        <v>12584</v>
      </c>
    </row>
    <row r="667" spans="1:14" x14ac:dyDescent="0.35">
      <c r="A667" s="127" t="s">
        <v>6063</v>
      </c>
      <c r="C667" s="127" t="s">
        <v>3263</v>
      </c>
      <c r="D667" s="127" t="s">
        <v>20814</v>
      </c>
      <c r="I667" s="127" t="s">
        <v>12586</v>
      </c>
      <c r="J667" s="127" t="s">
        <v>15097</v>
      </c>
      <c r="K667" s="127" t="s">
        <v>15539</v>
      </c>
      <c r="L667" s="127" t="s">
        <v>15981</v>
      </c>
      <c r="M667" s="127" t="s">
        <v>16423</v>
      </c>
      <c r="N667" s="127" t="s">
        <v>12587</v>
      </c>
    </row>
    <row r="668" spans="1:14" x14ac:dyDescent="0.35">
      <c r="A668" s="127" t="s">
        <v>6063</v>
      </c>
      <c r="C668" s="127" t="s">
        <v>3263</v>
      </c>
      <c r="D668" s="127" t="s">
        <v>20815</v>
      </c>
      <c r="I668" s="127" t="s">
        <v>12589</v>
      </c>
      <c r="J668" s="127" t="s">
        <v>15098</v>
      </c>
      <c r="K668" s="127" t="s">
        <v>15540</v>
      </c>
      <c r="L668" s="127" t="s">
        <v>15982</v>
      </c>
      <c r="M668" s="127" t="s">
        <v>16424</v>
      </c>
      <c r="N668" s="127" t="s">
        <v>12590</v>
      </c>
    </row>
    <row r="669" spans="1:14" x14ac:dyDescent="0.35">
      <c r="A669" s="127" t="s">
        <v>6063</v>
      </c>
      <c r="C669" s="127" t="s">
        <v>3263</v>
      </c>
      <c r="D669" s="127" t="s">
        <v>20816</v>
      </c>
      <c r="I669" s="127" t="s">
        <v>12592</v>
      </c>
      <c r="J669" s="127" t="s">
        <v>15099</v>
      </c>
      <c r="K669" s="127" t="s">
        <v>15541</v>
      </c>
      <c r="L669" s="127" t="s">
        <v>15983</v>
      </c>
      <c r="M669" s="127" t="s">
        <v>16425</v>
      </c>
      <c r="N669" s="127" t="s">
        <v>12593</v>
      </c>
    </row>
    <row r="670" spans="1:14" x14ac:dyDescent="0.35">
      <c r="A670" s="127" t="s">
        <v>6063</v>
      </c>
      <c r="C670" s="127" t="s">
        <v>3263</v>
      </c>
      <c r="D670" s="127" t="s">
        <v>20817</v>
      </c>
      <c r="I670" s="127" t="s">
        <v>12595</v>
      </c>
      <c r="J670" s="127" t="s">
        <v>15100</v>
      </c>
      <c r="K670" s="127" t="s">
        <v>15542</v>
      </c>
      <c r="L670" s="127" t="s">
        <v>15984</v>
      </c>
      <c r="M670" s="127" t="s">
        <v>16426</v>
      </c>
      <c r="N670" s="127" t="s">
        <v>12596</v>
      </c>
    </row>
    <row r="671" spans="1:14" x14ac:dyDescent="0.35">
      <c r="A671" s="127" t="s">
        <v>6063</v>
      </c>
      <c r="C671" s="127" t="s">
        <v>3263</v>
      </c>
      <c r="D671" s="127" t="s">
        <v>20818</v>
      </c>
      <c r="I671" s="127" t="s">
        <v>12598</v>
      </c>
      <c r="J671" s="127" t="s">
        <v>15101</v>
      </c>
      <c r="K671" s="127" t="s">
        <v>15543</v>
      </c>
      <c r="L671" s="127" t="s">
        <v>15985</v>
      </c>
      <c r="M671" s="127" t="s">
        <v>16427</v>
      </c>
      <c r="N671" s="127" t="s">
        <v>12599</v>
      </c>
    </row>
    <row r="672" spans="1:14" x14ac:dyDescent="0.35">
      <c r="A672" s="127" t="s">
        <v>6063</v>
      </c>
      <c r="C672" s="127" t="s">
        <v>3263</v>
      </c>
      <c r="D672" s="127" t="s">
        <v>20819</v>
      </c>
      <c r="I672" s="127" t="s">
        <v>12601</v>
      </c>
      <c r="J672" s="127" t="s">
        <v>15102</v>
      </c>
      <c r="K672" s="127" t="s">
        <v>15544</v>
      </c>
      <c r="L672" s="127" t="s">
        <v>15986</v>
      </c>
      <c r="M672" s="127" t="s">
        <v>16428</v>
      </c>
      <c r="N672" s="127" t="s">
        <v>12602</v>
      </c>
    </row>
    <row r="673" spans="1:14" x14ac:dyDescent="0.35">
      <c r="A673" s="127" t="s">
        <v>6063</v>
      </c>
      <c r="C673" s="127" t="s">
        <v>3263</v>
      </c>
      <c r="D673" s="127" t="s">
        <v>20820</v>
      </c>
      <c r="I673" s="127" t="s">
        <v>12604</v>
      </c>
      <c r="J673" s="127" t="s">
        <v>15103</v>
      </c>
      <c r="K673" s="127" t="s">
        <v>15545</v>
      </c>
      <c r="L673" s="127" t="s">
        <v>15987</v>
      </c>
      <c r="M673" s="127" t="s">
        <v>16429</v>
      </c>
      <c r="N673" s="127" t="s">
        <v>12605</v>
      </c>
    </row>
    <row r="674" spans="1:14" x14ac:dyDescent="0.35">
      <c r="A674" s="127" t="s">
        <v>6063</v>
      </c>
      <c r="C674" s="127" t="s">
        <v>3263</v>
      </c>
      <c r="D674" s="127" t="s">
        <v>20821</v>
      </c>
      <c r="I674" s="127" t="s">
        <v>12607</v>
      </c>
      <c r="J674" s="127" t="s">
        <v>15104</v>
      </c>
      <c r="K674" s="127" t="s">
        <v>15546</v>
      </c>
      <c r="L674" s="127" t="s">
        <v>15988</v>
      </c>
      <c r="M674" s="127" t="s">
        <v>16430</v>
      </c>
      <c r="N674" s="127" t="s">
        <v>12608</v>
      </c>
    </row>
    <row r="675" spans="1:14" x14ac:dyDescent="0.35">
      <c r="A675" s="127" t="s">
        <v>6063</v>
      </c>
      <c r="C675" s="127" t="s">
        <v>3263</v>
      </c>
      <c r="D675" s="127" t="s">
        <v>20822</v>
      </c>
      <c r="I675" s="127" t="s">
        <v>12610</v>
      </c>
      <c r="J675" s="127" t="s">
        <v>15105</v>
      </c>
      <c r="K675" s="127" t="s">
        <v>15547</v>
      </c>
      <c r="L675" s="127" t="s">
        <v>15989</v>
      </c>
      <c r="M675" s="127" t="s">
        <v>16431</v>
      </c>
      <c r="N675" s="127" t="s">
        <v>12611</v>
      </c>
    </row>
    <row r="676" spans="1:14" x14ac:dyDescent="0.35">
      <c r="A676" s="127" t="s">
        <v>6063</v>
      </c>
      <c r="C676" s="127" t="s">
        <v>3263</v>
      </c>
      <c r="D676" s="127" t="s">
        <v>20823</v>
      </c>
      <c r="I676" s="127" t="s">
        <v>12613</v>
      </c>
      <c r="J676" s="127" t="s">
        <v>15106</v>
      </c>
      <c r="K676" s="127" t="s">
        <v>15548</v>
      </c>
      <c r="L676" s="127" t="s">
        <v>15990</v>
      </c>
      <c r="M676" s="127" t="s">
        <v>16432</v>
      </c>
      <c r="N676" s="127" t="s">
        <v>12614</v>
      </c>
    </row>
    <row r="677" spans="1:14" x14ac:dyDescent="0.35">
      <c r="A677" s="127" t="s">
        <v>6063</v>
      </c>
      <c r="C677" s="127" t="s">
        <v>3263</v>
      </c>
      <c r="D677" s="127" t="s">
        <v>20824</v>
      </c>
      <c r="I677" s="127" t="s">
        <v>12616</v>
      </c>
      <c r="J677" s="127" t="s">
        <v>15107</v>
      </c>
      <c r="K677" s="127" t="s">
        <v>15549</v>
      </c>
      <c r="L677" s="127" t="s">
        <v>15991</v>
      </c>
      <c r="M677" s="127" t="s">
        <v>16433</v>
      </c>
      <c r="N677" s="127" t="s">
        <v>12617</v>
      </c>
    </row>
    <row r="678" spans="1:14" x14ac:dyDescent="0.35">
      <c r="A678" s="127" t="s">
        <v>6063</v>
      </c>
      <c r="C678" s="127" t="s">
        <v>3263</v>
      </c>
      <c r="D678" s="127" t="s">
        <v>20825</v>
      </c>
      <c r="I678" s="127" t="s">
        <v>12619</v>
      </c>
      <c r="J678" s="127" t="s">
        <v>15108</v>
      </c>
      <c r="K678" s="127" t="s">
        <v>15550</v>
      </c>
      <c r="L678" s="127" t="s">
        <v>15992</v>
      </c>
      <c r="M678" s="127" t="s">
        <v>16434</v>
      </c>
      <c r="N678" s="127" t="s">
        <v>12620</v>
      </c>
    </row>
    <row r="679" spans="1:14" x14ac:dyDescent="0.35">
      <c r="A679" s="127" t="s">
        <v>6063</v>
      </c>
      <c r="C679" s="127" t="s">
        <v>3263</v>
      </c>
      <c r="D679" s="127" t="s">
        <v>20826</v>
      </c>
      <c r="I679" s="127" t="s">
        <v>12622</v>
      </c>
      <c r="J679" s="127" t="s">
        <v>15109</v>
      </c>
      <c r="K679" s="127" t="s">
        <v>15551</v>
      </c>
      <c r="L679" s="127" t="s">
        <v>15993</v>
      </c>
      <c r="M679" s="127" t="s">
        <v>16435</v>
      </c>
      <c r="N679" s="127" t="s">
        <v>12623</v>
      </c>
    </row>
    <row r="680" spans="1:14" x14ac:dyDescent="0.35">
      <c r="A680" s="127" t="s">
        <v>6063</v>
      </c>
      <c r="C680" s="127" t="s">
        <v>3263</v>
      </c>
      <c r="D680" s="127" t="s">
        <v>20827</v>
      </c>
      <c r="I680" s="127" t="s">
        <v>12625</v>
      </c>
      <c r="J680" s="127" t="s">
        <v>15110</v>
      </c>
      <c r="K680" s="127" t="s">
        <v>15552</v>
      </c>
      <c r="L680" s="127" t="s">
        <v>15994</v>
      </c>
      <c r="M680" s="127" t="s">
        <v>16436</v>
      </c>
      <c r="N680" s="127" t="s">
        <v>12626</v>
      </c>
    </row>
    <row r="681" spans="1:14" x14ac:dyDescent="0.35">
      <c r="A681" s="127" t="s">
        <v>6063</v>
      </c>
      <c r="C681" s="127" t="s">
        <v>3263</v>
      </c>
      <c r="D681" s="127" t="s">
        <v>20828</v>
      </c>
      <c r="I681" s="127" t="s">
        <v>12628</v>
      </c>
      <c r="J681" s="127" t="s">
        <v>15111</v>
      </c>
      <c r="K681" s="127" t="s">
        <v>15553</v>
      </c>
      <c r="L681" s="127" t="s">
        <v>15995</v>
      </c>
      <c r="M681" s="127" t="s">
        <v>16437</v>
      </c>
      <c r="N681" s="127" t="s">
        <v>12629</v>
      </c>
    </row>
    <row r="682" spans="1:14" x14ac:dyDescent="0.35">
      <c r="A682" s="127" t="s">
        <v>6063</v>
      </c>
      <c r="C682" s="127" t="s">
        <v>3263</v>
      </c>
      <c r="D682" s="127" t="s">
        <v>20829</v>
      </c>
      <c r="I682" s="127" t="s">
        <v>12631</v>
      </c>
      <c r="J682" s="127" t="s">
        <v>15112</v>
      </c>
      <c r="K682" s="127" t="s">
        <v>15554</v>
      </c>
      <c r="L682" s="127" t="s">
        <v>15996</v>
      </c>
      <c r="M682" s="127" t="s">
        <v>16438</v>
      </c>
      <c r="N682" s="127" t="s">
        <v>12632</v>
      </c>
    </row>
    <row r="683" spans="1:14" x14ac:dyDescent="0.35">
      <c r="A683" s="127" t="s">
        <v>6063</v>
      </c>
      <c r="C683" s="127" t="s">
        <v>3263</v>
      </c>
      <c r="D683" s="127" t="s">
        <v>20830</v>
      </c>
      <c r="I683" s="127" t="s">
        <v>12634</v>
      </c>
      <c r="J683" s="127" t="s">
        <v>15113</v>
      </c>
      <c r="K683" s="127" t="s">
        <v>15555</v>
      </c>
      <c r="L683" s="127" t="s">
        <v>15997</v>
      </c>
      <c r="M683" s="127" t="s">
        <v>16439</v>
      </c>
      <c r="N683" s="127" t="s">
        <v>12635</v>
      </c>
    </row>
    <row r="684" spans="1:14" x14ac:dyDescent="0.35">
      <c r="A684" s="127" t="s">
        <v>6063</v>
      </c>
      <c r="C684" s="127" t="s">
        <v>3263</v>
      </c>
      <c r="D684" s="127" t="s">
        <v>20831</v>
      </c>
      <c r="I684" s="127" t="s">
        <v>12637</v>
      </c>
      <c r="J684" s="127" t="s">
        <v>15114</v>
      </c>
      <c r="K684" s="127" t="s">
        <v>15556</v>
      </c>
      <c r="L684" s="127" t="s">
        <v>15998</v>
      </c>
      <c r="M684" s="127" t="s">
        <v>16440</v>
      </c>
      <c r="N684" s="127" t="s">
        <v>12638</v>
      </c>
    </row>
    <row r="685" spans="1:14" x14ac:dyDescent="0.35">
      <c r="A685" s="127" t="s">
        <v>6063</v>
      </c>
      <c r="C685" s="127" t="s">
        <v>3263</v>
      </c>
      <c r="D685" s="127" t="s">
        <v>20832</v>
      </c>
      <c r="I685" s="127" t="s">
        <v>12640</v>
      </c>
      <c r="J685" s="127" t="s">
        <v>15115</v>
      </c>
      <c r="K685" s="127" t="s">
        <v>15557</v>
      </c>
      <c r="L685" s="127" t="s">
        <v>15999</v>
      </c>
      <c r="M685" s="127" t="s">
        <v>16441</v>
      </c>
      <c r="N685" s="127" t="s">
        <v>12641</v>
      </c>
    </row>
    <row r="686" spans="1:14" x14ac:dyDescent="0.35">
      <c r="A686" s="127" t="s">
        <v>6063</v>
      </c>
      <c r="C686" s="127" t="s">
        <v>3263</v>
      </c>
      <c r="D686" s="127" t="s">
        <v>20833</v>
      </c>
      <c r="I686" s="127" t="s">
        <v>12643</v>
      </c>
      <c r="J686" s="127" t="s">
        <v>15116</v>
      </c>
      <c r="K686" s="127" t="s">
        <v>15558</v>
      </c>
      <c r="L686" s="127" t="s">
        <v>16000</v>
      </c>
      <c r="M686" s="127" t="s">
        <v>16442</v>
      </c>
      <c r="N686" s="127" t="s">
        <v>12644</v>
      </c>
    </row>
    <row r="687" spans="1:14" x14ac:dyDescent="0.35">
      <c r="A687" s="127" t="s">
        <v>6063</v>
      </c>
      <c r="C687" s="127" t="s">
        <v>3263</v>
      </c>
      <c r="D687" s="127" t="s">
        <v>20834</v>
      </c>
      <c r="I687" s="127" t="s">
        <v>12646</v>
      </c>
      <c r="J687" s="127" t="s">
        <v>15117</v>
      </c>
      <c r="K687" s="127" t="s">
        <v>15559</v>
      </c>
      <c r="L687" s="127" t="s">
        <v>16001</v>
      </c>
      <c r="M687" s="127" t="s">
        <v>16443</v>
      </c>
      <c r="N687" s="127" t="s">
        <v>12647</v>
      </c>
    </row>
    <row r="688" spans="1:14" x14ac:dyDescent="0.35">
      <c r="A688" s="127" t="s">
        <v>6063</v>
      </c>
      <c r="C688" s="127" t="s">
        <v>3263</v>
      </c>
      <c r="D688" s="127" t="s">
        <v>20835</v>
      </c>
      <c r="I688" s="127" t="s">
        <v>12649</v>
      </c>
      <c r="J688" s="127" t="s">
        <v>15118</v>
      </c>
      <c r="K688" s="127" t="s">
        <v>15560</v>
      </c>
      <c r="L688" s="127" t="s">
        <v>16002</v>
      </c>
      <c r="M688" s="127" t="s">
        <v>16444</v>
      </c>
      <c r="N688" s="127" t="s">
        <v>12650</v>
      </c>
    </row>
    <row r="689" spans="1:14" x14ac:dyDescent="0.35">
      <c r="A689" s="127" t="s">
        <v>6063</v>
      </c>
      <c r="C689" s="127" t="s">
        <v>3263</v>
      </c>
      <c r="D689" s="127" t="s">
        <v>20836</v>
      </c>
      <c r="I689" s="127" t="s">
        <v>12652</v>
      </c>
      <c r="J689" s="127" t="s">
        <v>15119</v>
      </c>
      <c r="K689" s="127" t="s">
        <v>15561</v>
      </c>
      <c r="L689" s="127" t="s">
        <v>16003</v>
      </c>
      <c r="M689" s="127" t="s">
        <v>16445</v>
      </c>
      <c r="N689" s="127" t="s">
        <v>12653</v>
      </c>
    </row>
    <row r="690" spans="1:14" x14ac:dyDescent="0.35">
      <c r="A690" s="127" t="s">
        <v>6063</v>
      </c>
      <c r="C690" s="127" t="s">
        <v>3263</v>
      </c>
      <c r="D690" s="127" t="s">
        <v>20837</v>
      </c>
      <c r="I690" s="127" t="s">
        <v>12655</v>
      </c>
      <c r="J690" s="127" t="s">
        <v>15120</v>
      </c>
      <c r="K690" s="127" t="s">
        <v>15562</v>
      </c>
      <c r="L690" s="127" t="s">
        <v>16004</v>
      </c>
      <c r="M690" s="127" t="s">
        <v>16446</v>
      </c>
      <c r="N690" s="127" t="s">
        <v>12656</v>
      </c>
    </row>
    <row r="691" spans="1:14" x14ac:dyDescent="0.35">
      <c r="A691" s="127" t="s">
        <v>6063</v>
      </c>
      <c r="C691" s="127" t="s">
        <v>3263</v>
      </c>
      <c r="D691" s="127" t="s">
        <v>20838</v>
      </c>
      <c r="I691" s="127" t="s">
        <v>12658</v>
      </c>
      <c r="J691" s="127" t="s">
        <v>15121</v>
      </c>
      <c r="K691" s="127" t="s">
        <v>15563</v>
      </c>
      <c r="L691" s="127" t="s">
        <v>16005</v>
      </c>
      <c r="M691" s="127" t="s">
        <v>16447</v>
      </c>
      <c r="N691" s="127" t="s">
        <v>12659</v>
      </c>
    </row>
    <row r="692" spans="1:14" x14ac:dyDescent="0.35">
      <c r="A692" s="127" t="s">
        <v>6063</v>
      </c>
      <c r="C692" s="127" t="s">
        <v>3263</v>
      </c>
      <c r="D692" s="127" t="s">
        <v>20839</v>
      </c>
      <c r="I692" s="127" t="s">
        <v>12661</v>
      </c>
      <c r="J692" s="127" t="s">
        <v>15122</v>
      </c>
      <c r="K692" s="127" t="s">
        <v>15564</v>
      </c>
      <c r="L692" s="127" t="s">
        <v>16006</v>
      </c>
      <c r="M692" s="127" t="s">
        <v>16448</v>
      </c>
      <c r="N692" s="127" t="s">
        <v>12662</v>
      </c>
    </row>
    <row r="693" spans="1:14" x14ac:dyDescent="0.35">
      <c r="A693" s="127" t="s">
        <v>6063</v>
      </c>
      <c r="C693" s="127" t="s">
        <v>3263</v>
      </c>
      <c r="D693" s="127" t="s">
        <v>20840</v>
      </c>
      <c r="I693" s="127" t="s">
        <v>12664</v>
      </c>
      <c r="J693" s="127" t="s">
        <v>15123</v>
      </c>
      <c r="K693" s="127" t="s">
        <v>15565</v>
      </c>
      <c r="L693" s="127" t="s">
        <v>16007</v>
      </c>
      <c r="M693" s="127" t="s">
        <v>16449</v>
      </c>
      <c r="N693" s="127" t="s">
        <v>12665</v>
      </c>
    </row>
    <row r="694" spans="1:14" x14ac:dyDescent="0.35">
      <c r="A694" s="127" t="s">
        <v>6063</v>
      </c>
      <c r="C694" s="127" t="s">
        <v>3263</v>
      </c>
      <c r="D694" s="127" t="s">
        <v>20841</v>
      </c>
      <c r="I694" s="127" t="s">
        <v>12667</v>
      </c>
      <c r="J694" s="127" t="s">
        <v>15124</v>
      </c>
      <c r="K694" s="127" t="s">
        <v>15566</v>
      </c>
      <c r="L694" s="127" t="s">
        <v>16008</v>
      </c>
      <c r="M694" s="127" t="s">
        <v>16450</v>
      </c>
      <c r="N694" s="127" t="s">
        <v>12668</v>
      </c>
    </row>
    <row r="695" spans="1:14" x14ac:dyDescent="0.35">
      <c r="A695" s="127" t="s">
        <v>6063</v>
      </c>
      <c r="C695" s="127" t="s">
        <v>3263</v>
      </c>
      <c r="D695" s="127" t="s">
        <v>20842</v>
      </c>
      <c r="I695" s="127" t="s">
        <v>12670</v>
      </c>
      <c r="J695" s="127" t="s">
        <v>15125</v>
      </c>
      <c r="K695" s="127" t="s">
        <v>15567</v>
      </c>
      <c r="L695" s="127" t="s">
        <v>16009</v>
      </c>
      <c r="M695" s="127" t="s">
        <v>16451</v>
      </c>
      <c r="N695" s="127" t="s">
        <v>12671</v>
      </c>
    </row>
    <row r="696" spans="1:14" x14ac:dyDescent="0.35">
      <c r="A696" s="127" t="s">
        <v>6063</v>
      </c>
      <c r="C696" s="127" t="s">
        <v>3263</v>
      </c>
      <c r="D696" s="127" t="s">
        <v>20843</v>
      </c>
      <c r="I696" s="127" t="s">
        <v>12673</v>
      </c>
      <c r="J696" s="127" t="s">
        <v>15126</v>
      </c>
      <c r="K696" s="127" t="s">
        <v>15568</v>
      </c>
      <c r="L696" s="127" t="s">
        <v>16010</v>
      </c>
      <c r="M696" s="127" t="s">
        <v>16452</v>
      </c>
      <c r="N696" s="127" t="s">
        <v>12674</v>
      </c>
    </row>
    <row r="697" spans="1:14" x14ac:dyDescent="0.35">
      <c r="A697" s="127" t="s">
        <v>6063</v>
      </c>
      <c r="C697" s="127" t="s">
        <v>3263</v>
      </c>
      <c r="D697" s="127" t="s">
        <v>20844</v>
      </c>
      <c r="I697" s="127" t="s">
        <v>12676</v>
      </c>
      <c r="J697" s="127" t="s">
        <v>15127</v>
      </c>
      <c r="K697" s="127" t="s">
        <v>15569</v>
      </c>
      <c r="L697" s="127" t="s">
        <v>16011</v>
      </c>
      <c r="M697" s="127" t="s">
        <v>16453</v>
      </c>
      <c r="N697" s="127" t="s">
        <v>12677</v>
      </c>
    </row>
    <row r="698" spans="1:14" x14ac:dyDescent="0.35">
      <c r="A698" s="127" t="s">
        <v>6063</v>
      </c>
      <c r="C698" s="127" t="s">
        <v>3263</v>
      </c>
      <c r="D698" s="127" t="s">
        <v>20845</v>
      </c>
      <c r="I698" s="127" t="s">
        <v>12679</v>
      </c>
      <c r="J698" s="127" t="s">
        <v>15128</v>
      </c>
      <c r="K698" s="127" t="s">
        <v>15570</v>
      </c>
      <c r="L698" s="127" t="s">
        <v>16012</v>
      </c>
      <c r="M698" s="127" t="s">
        <v>16454</v>
      </c>
      <c r="N698" s="127" t="s">
        <v>12680</v>
      </c>
    </row>
    <row r="699" spans="1:14" x14ac:dyDescent="0.35">
      <c r="A699" s="127" t="s">
        <v>6063</v>
      </c>
      <c r="C699" s="127" t="s">
        <v>3263</v>
      </c>
      <c r="D699" s="127" t="s">
        <v>20846</v>
      </c>
      <c r="I699" s="127" t="s">
        <v>12682</v>
      </c>
      <c r="J699" s="127" t="s">
        <v>15129</v>
      </c>
      <c r="K699" s="127" t="s">
        <v>15571</v>
      </c>
      <c r="L699" s="127" t="s">
        <v>16013</v>
      </c>
      <c r="M699" s="127" t="s">
        <v>16455</v>
      </c>
      <c r="N699" s="127" t="s">
        <v>12683</v>
      </c>
    </row>
    <row r="700" spans="1:14" x14ac:dyDescent="0.35">
      <c r="A700" s="127" t="s">
        <v>6063</v>
      </c>
      <c r="C700" s="127" t="s">
        <v>3263</v>
      </c>
      <c r="D700" s="127" t="s">
        <v>20847</v>
      </c>
      <c r="I700" s="127" t="s">
        <v>12685</v>
      </c>
      <c r="J700" s="127" t="s">
        <v>15130</v>
      </c>
      <c r="K700" s="127" t="s">
        <v>15572</v>
      </c>
      <c r="L700" s="127" t="s">
        <v>16014</v>
      </c>
      <c r="M700" s="127" t="s">
        <v>16456</v>
      </c>
      <c r="N700" s="127" t="s">
        <v>12686</v>
      </c>
    </row>
    <row r="701" spans="1:14" x14ac:dyDescent="0.35">
      <c r="A701" s="127" t="s">
        <v>6063</v>
      </c>
      <c r="C701" s="127" t="s">
        <v>3263</v>
      </c>
      <c r="D701" s="127" t="s">
        <v>20848</v>
      </c>
      <c r="I701" s="127" t="s">
        <v>12688</v>
      </c>
      <c r="J701" s="127" t="s">
        <v>15131</v>
      </c>
      <c r="K701" s="127" t="s">
        <v>15573</v>
      </c>
      <c r="L701" s="127" t="s">
        <v>16015</v>
      </c>
      <c r="M701" s="127" t="s">
        <v>16457</v>
      </c>
      <c r="N701" s="127" t="s">
        <v>12689</v>
      </c>
    </row>
    <row r="702" spans="1:14" x14ac:dyDescent="0.35">
      <c r="A702" s="127" t="s">
        <v>6063</v>
      </c>
      <c r="C702" s="127" t="s">
        <v>3263</v>
      </c>
      <c r="D702" s="127" t="s">
        <v>20849</v>
      </c>
      <c r="I702" s="127" t="s">
        <v>12691</v>
      </c>
      <c r="J702" s="127" t="s">
        <v>15132</v>
      </c>
      <c r="K702" s="127" t="s">
        <v>15574</v>
      </c>
      <c r="L702" s="127" t="s">
        <v>16016</v>
      </c>
      <c r="M702" s="127" t="s">
        <v>16458</v>
      </c>
      <c r="N702" s="127" t="s">
        <v>12692</v>
      </c>
    </row>
    <row r="703" spans="1:14" x14ac:dyDescent="0.35">
      <c r="A703" s="127" t="s">
        <v>6063</v>
      </c>
      <c r="C703" s="127" t="s">
        <v>3263</v>
      </c>
      <c r="D703" s="127" t="s">
        <v>20850</v>
      </c>
      <c r="I703" s="127" t="s">
        <v>12694</v>
      </c>
      <c r="J703" s="127" t="s">
        <v>15133</v>
      </c>
      <c r="K703" s="127" t="s">
        <v>15575</v>
      </c>
      <c r="L703" s="127" t="s">
        <v>16017</v>
      </c>
      <c r="M703" s="127" t="s">
        <v>16459</v>
      </c>
      <c r="N703" s="127" t="s">
        <v>12695</v>
      </c>
    </row>
    <row r="704" spans="1:14" x14ac:dyDescent="0.35">
      <c r="A704" s="127" t="s">
        <v>6063</v>
      </c>
      <c r="C704" s="127" t="s">
        <v>3263</v>
      </c>
      <c r="D704" s="127" t="s">
        <v>20851</v>
      </c>
      <c r="I704" s="127" t="s">
        <v>12697</v>
      </c>
      <c r="J704" s="127" t="s">
        <v>15134</v>
      </c>
      <c r="K704" s="127" t="s">
        <v>15576</v>
      </c>
      <c r="L704" s="127" t="s">
        <v>16018</v>
      </c>
      <c r="M704" s="127" t="s">
        <v>16460</v>
      </c>
      <c r="N704" s="127" t="s">
        <v>12698</v>
      </c>
    </row>
    <row r="705" spans="1:14" x14ac:dyDescent="0.35">
      <c r="A705" s="127" t="s">
        <v>6063</v>
      </c>
      <c r="C705" s="127" t="s">
        <v>3263</v>
      </c>
      <c r="D705" s="127" t="s">
        <v>20852</v>
      </c>
      <c r="I705" s="127" t="s">
        <v>12700</v>
      </c>
      <c r="J705" s="127" t="s">
        <v>15135</v>
      </c>
      <c r="K705" s="127" t="s">
        <v>15577</v>
      </c>
      <c r="L705" s="127" t="s">
        <v>16019</v>
      </c>
      <c r="M705" s="127" t="s">
        <v>16461</v>
      </c>
      <c r="N705" s="127" t="s">
        <v>12701</v>
      </c>
    </row>
    <row r="706" spans="1:14" x14ac:dyDescent="0.35">
      <c r="A706" s="127" t="s">
        <v>6063</v>
      </c>
      <c r="C706" s="127" t="s">
        <v>3263</v>
      </c>
      <c r="D706" s="127" t="s">
        <v>20853</v>
      </c>
      <c r="I706" s="127" t="s">
        <v>12703</v>
      </c>
      <c r="J706" s="127" t="s">
        <v>15136</v>
      </c>
      <c r="K706" s="127" t="s">
        <v>15578</v>
      </c>
      <c r="L706" s="127" t="s">
        <v>16020</v>
      </c>
      <c r="M706" s="127" t="s">
        <v>16462</v>
      </c>
      <c r="N706" s="127" t="s">
        <v>12704</v>
      </c>
    </row>
    <row r="707" spans="1:14" x14ac:dyDescent="0.35">
      <c r="A707" s="127" t="s">
        <v>6063</v>
      </c>
      <c r="C707" s="127" t="s">
        <v>3263</v>
      </c>
      <c r="D707" s="127" t="s">
        <v>20854</v>
      </c>
      <c r="I707" s="127" t="s">
        <v>12706</v>
      </c>
      <c r="J707" s="127" t="s">
        <v>15137</v>
      </c>
      <c r="K707" s="127" t="s">
        <v>15579</v>
      </c>
      <c r="L707" s="127" t="s">
        <v>16021</v>
      </c>
      <c r="M707" s="127" t="s">
        <v>16463</v>
      </c>
      <c r="N707" s="127" t="s">
        <v>12707</v>
      </c>
    </row>
    <row r="708" spans="1:14" x14ac:dyDescent="0.35">
      <c r="A708" s="127" t="s">
        <v>6063</v>
      </c>
      <c r="C708" s="127" t="s">
        <v>3263</v>
      </c>
      <c r="D708" s="127" t="s">
        <v>20855</v>
      </c>
      <c r="I708" s="127" t="s">
        <v>12709</v>
      </c>
      <c r="J708" s="127" t="s">
        <v>15138</v>
      </c>
      <c r="K708" s="127" t="s">
        <v>15580</v>
      </c>
      <c r="L708" s="127" t="s">
        <v>16022</v>
      </c>
      <c r="M708" s="127" t="s">
        <v>16464</v>
      </c>
      <c r="N708" s="127" t="s">
        <v>12710</v>
      </c>
    </row>
    <row r="709" spans="1:14" x14ac:dyDescent="0.35">
      <c r="A709" s="127" t="s">
        <v>6063</v>
      </c>
      <c r="C709" s="127" t="s">
        <v>3263</v>
      </c>
      <c r="D709" s="127" t="s">
        <v>20856</v>
      </c>
      <c r="I709" s="127" t="s">
        <v>12712</v>
      </c>
      <c r="J709" s="127" t="s">
        <v>15139</v>
      </c>
      <c r="K709" s="127" t="s">
        <v>15581</v>
      </c>
      <c r="L709" s="127" t="s">
        <v>16023</v>
      </c>
      <c r="M709" s="127" t="s">
        <v>16465</v>
      </c>
      <c r="N709" s="127" t="s">
        <v>12713</v>
      </c>
    </row>
    <row r="710" spans="1:14" x14ac:dyDescent="0.35">
      <c r="A710" s="127" t="s">
        <v>6063</v>
      </c>
      <c r="C710" s="127" t="s">
        <v>3263</v>
      </c>
      <c r="D710" s="127" t="s">
        <v>20857</v>
      </c>
      <c r="I710" s="127" t="s">
        <v>12715</v>
      </c>
      <c r="J710" s="127" t="s">
        <v>15140</v>
      </c>
      <c r="K710" s="127" t="s">
        <v>15582</v>
      </c>
      <c r="L710" s="127" t="s">
        <v>16024</v>
      </c>
      <c r="M710" s="127" t="s">
        <v>16466</v>
      </c>
      <c r="N710" s="127" t="s">
        <v>12716</v>
      </c>
    </row>
    <row r="711" spans="1:14" x14ac:dyDescent="0.35">
      <c r="A711" s="127" t="s">
        <v>6063</v>
      </c>
      <c r="C711" s="127" t="s">
        <v>3263</v>
      </c>
      <c r="D711" s="127" t="s">
        <v>20858</v>
      </c>
      <c r="I711" s="127" t="s">
        <v>12718</v>
      </c>
      <c r="J711" s="127" t="s">
        <v>15141</v>
      </c>
      <c r="K711" s="127" t="s">
        <v>15583</v>
      </c>
      <c r="L711" s="127" t="s">
        <v>16025</v>
      </c>
      <c r="M711" s="127" t="s">
        <v>16467</v>
      </c>
      <c r="N711" s="127" t="s">
        <v>12719</v>
      </c>
    </row>
    <row r="712" spans="1:14" x14ac:dyDescent="0.35">
      <c r="A712" s="127" t="s">
        <v>6063</v>
      </c>
      <c r="C712" s="127" t="s">
        <v>3263</v>
      </c>
      <c r="D712" s="127" t="s">
        <v>20859</v>
      </c>
      <c r="I712" s="127" t="s">
        <v>12721</v>
      </c>
      <c r="J712" s="127" t="s">
        <v>15142</v>
      </c>
      <c r="K712" s="127" t="s">
        <v>15584</v>
      </c>
      <c r="L712" s="127" t="s">
        <v>16026</v>
      </c>
      <c r="M712" s="127" t="s">
        <v>16468</v>
      </c>
      <c r="N712" s="127" t="s">
        <v>12722</v>
      </c>
    </row>
    <row r="713" spans="1:14" x14ac:dyDescent="0.35">
      <c r="A713" s="127" t="s">
        <v>6063</v>
      </c>
      <c r="C713" s="127" t="s">
        <v>3263</v>
      </c>
      <c r="D713" s="127" t="s">
        <v>20860</v>
      </c>
      <c r="I713" s="127" t="s">
        <v>12724</v>
      </c>
      <c r="J713" s="127" t="s">
        <v>15143</v>
      </c>
      <c r="K713" s="127" t="s">
        <v>15585</v>
      </c>
      <c r="L713" s="127" t="s">
        <v>16027</v>
      </c>
      <c r="M713" s="127" t="s">
        <v>16469</v>
      </c>
      <c r="N713" s="127" t="s">
        <v>12725</v>
      </c>
    </row>
    <row r="714" spans="1:14" x14ac:dyDescent="0.35">
      <c r="A714" s="127" t="s">
        <v>6063</v>
      </c>
      <c r="C714" s="127" t="s">
        <v>3263</v>
      </c>
      <c r="D714" s="127" t="s">
        <v>20861</v>
      </c>
      <c r="I714" s="127" t="s">
        <v>12727</v>
      </c>
      <c r="J714" s="127" t="s">
        <v>15144</v>
      </c>
      <c r="K714" s="127" t="s">
        <v>15586</v>
      </c>
      <c r="L714" s="127" t="s">
        <v>16028</v>
      </c>
      <c r="M714" s="127" t="s">
        <v>16470</v>
      </c>
      <c r="N714" s="127" t="s">
        <v>12728</v>
      </c>
    </row>
    <row r="715" spans="1:14" x14ac:dyDescent="0.35">
      <c r="A715" s="127" t="s">
        <v>6063</v>
      </c>
      <c r="C715" s="127" t="s">
        <v>3263</v>
      </c>
      <c r="D715" s="127" t="s">
        <v>20862</v>
      </c>
      <c r="I715" s="127" t="s">
        <v>12730</v>
      </c>
      <c r="J715" s="127" t="s">
        <v>15145</v>
      </c>
      <c r="K715" s="127" t="s">
        <v>15587</v>
      </c>
      <c r="L715" s="127" t="s">
        <v>16029</v>
      </c>
      <c r="M715" s="127" t="s">
        <v>16471</v>
      </c>
      <c r="N715" s="127" t="s">
        <v>12731</v>
      </c>
    </row>
    <row r="716" spans="1:14" x14ac:dyDescent="0.35">
      <c r="A716" s="127" t="s">
        <v>6063</v>
      </c>
      <c r="C716" s="127" t="s">
        <v>3263</v>
      </c>
      <c r="D716" s="127" t="s">
        <v>20863</v>
      </c>
      <c r="I716" s="127" t="s">
        <v>12733</v>
      </c>
      <c r="J716" s="127" t="s">
        <v>15146</v>
      </c>
      <c r="K716" s="127" t="s">
        <v>15588</v>
      </c>
      <c r="L716" s="127" t="s">
        <v>16030</v>
      </c>
      <c r="M716" s="127" t="s">
        <v>16472</v>
      </c>
      <c r="N716" s="127" t="s">
        <v>12734</v>
      </c>
    </row>
    <row r="717" spans="1:14" x14ac:dyDescent="0.35">
      <c r="A717" s="127" t="s">
        <v>6063</v>
      </c>
      <c r="C717" s="127" t="s">
        <v>3263</v>
      </c>
      <c r="D717" s="127" t="s">
        <v>20864</v>
      </c>
      <c r="I717" s="127" t="s">
        <v>12736</v>
      </c>
      <c r="J717" s="127" t="s">
        <v>15147</v>
      </c>
      <c r="K717" s="127" t="s">
        <v>15589</v>
      </c>
      <c r="L717" s="127" t="s">
        <v>16031</v>
      </c>
      <c r="M717" s="127" t="s">
        <v>16473</v>
      </c>
      <c r="N717" s="127" t="s">
        <v>12737</v>
      </c>
    </row>
    <row r="718" spans="1:14" x14ac:dyDescent="0.35">
      <c r="A718" s="127" t="s">
        <v>6063</v>
      </c>
      <c r="C718" s="127" t="s">
        <v>3263</v>
      </c>
      <c r="D718" s="127" t="s">
        <v>20865</v>
      </c>
      <c r="I718" s="127" t="s">
        <v>12739</v>
      </c>
      <c r="J718" s="127" t="s">
        <v>15148</v>
      </c>
      <c r="K718" s="127" t="s">
        <v>15590</v>
      </c>
      <c r="L718" s="127" t="s">
        <v>16032</v>
      </c>
      <c r="M718" s="127" t="s">
        <v>16474</v>
      </c>
      <c r="N718" s="127" t="s">
        <v>12740</v>
      </c>
    </row>
    <row r="719" spans="1:14" x14ac:dyDescent="0.35">
      <c r="A719" s="127" t="s">
        <v>6063</v>
      </c>
      <c r="C719" s="127" t="s">
        <v>3263</v>
      </c>
      <c r="D719" s="127" t="s">
        <v>20866</v>
      </c>
      <c r="I719" s="127" t="s">
        <v>12742</v>
      </c>
      <c r="J719" s="127" t="s">
        <v>15149</v>
      </c>
      <c r="K719" s="127" t="s">
        <v>15591</v>
      </c>
      <c r="L719" s="127" t="s">
        <v>16033</v>
      </c>
      <c r="M719" s="127" t="s">
        <v>16475</v>
      </c>
      <c r="N719" s="127" t="s">
        <v>12743</v>
      </c>
    </row>
    <row r="720" spans="1:14" x14ac:dyDescent="0.35">
      <c r="A720" s="127" t="s">
        <v>6063</v>
      </c>
      <c r="C720" s="127" t="s">
        <v>3263</v>
      </c>
      <c r="D720" s="127" t="s">
        <v>20867</v>
      </c>
      <c r="I720" s="127" t="s">
        <v>12745</v>
      </c>
      <c r="J720" s="127" t="s">
        <v>15150</v>
      </c>
      <c r="K720" s="127" t="s">
        <v>15592</v>
      </c>
      <c r="L720" s="127" t="s">
        <v>16034</v>
      </c>
      <c r="M720" s="127" t="s">
        <v>16476</v>
      </c>
      <c r="N720" s="127" t="s">
        <v>12746</v>
      </c>
    </row>
    <row r="721" spans="1:14" x14ac:dyDescent="0.35">
      <c r="A721" s="127" t="s">
        <v>6063</v>
      </c>
      <c r="C721" s="127" t="s">
        <v>3263</v>
      </c>
      <c r="D721" s="127" t="s">
        <v>20868</v>
      </c>
      <c r="I721" s="127" t="s">
        <v>12748</v>
      </c>
      <c r="J721" s="127" t="s">
        <v>15151</v>
      </c>
      <c r="K721" s="127" t="s">
        <v>15593</v>
      </c>
      <c r="L721" s="127" t="s">
        <v>16035</v>
      </c>
      <c r="M721" s="127" t="s">
        <v>16477</v>
      </c>
      <c r="N721" s="127" t="s">
        <v>12749</v>
      </c>
    </row>
    <row r="722" spans="1:14" x14ac:dyDescent="0.35">
      <c r="A722" s="127" t="s">
        <v>6063</v>
      </c>
      <c r="C722" s="127" t="s">
        <v>3263</v>
      </c>
      <c r="D722" s="127" t="s">
        <v>20869</v>
      </c>
      <c r="I722" s="127" t="s">
        <v>12751</v>
      </c>
      <c r="J722" s="127" t="s">
        <v>15152</v>
      </c>
      <c r="K722" s="127" t="s">
        <v>15594</v>
      </c>
      <c r="L722" s="127" t="s">
        <v>16036</v>
      </c>
      <c r="M722" s="127" t="s">
        <v>16478</v>
      </c>
      <c r="N722" s="127" t="s">
        <v>12752</v>
      </c>
    </row>
    <row r="723" spans="1:14" x14ac:dyDescent="0.35">
      <c r="A723" s="127" t="s">
        <v>6063</v>
      </c>
      <c r="C723" s="127" t="s">
        <v>3263</v>
      </c>
      <c r="D723" s="127" t="s">
        <v>20870</v>
      </c>
      <c r="I723" s="127" t="s">
        <v>12754</v>
      </c>
      <c r="J723" s="127" t="s">
        <v>15153</v>
      </c>
      <c r="K723" s="127" t="s">
        <v>15595</v>
      </c>
      <c r="L723" s="127" t="s">
        <v>16037</v>
      </c>
      <c r="M723" s="127" t="s">
        <v>16479</v>
      </c>
      <c r="N723" s="127" t="s">
        <v>12755</v>
      </c>
    </row>
    <row r="724" spans="1:14" x14ac:dyDescent="0.35">
      <c r="A724" s="127" t="s">
        <v>6063</v>
      </c>
      <c r="C724" s="127" t="s">
        <v>3263</v>
      </c>
      <c r="D724" s="127" t="s">
        <v>20871</v>
      </c>
      <c r="I724" s="127" t="s">
        <v>12757</v>
      </c>
      <c r="J724" s="127" t="s">
        <v>15154</v>
      </c>
      <c r="K724" s="127" t="s">
        <v>15596</v>
      </c>
      <c r="L724" s="127" t="s">
        <v>16038</v>
      </c>
      <c r="M724" s="127" t="s">
        <v>16480</v>
      </c>
      <c r="N724" s="127" t="s">
        <v>12758</v>
      </c>
    </row>
    <row r="725" spans="1:14" x14ac:dyDescent="0.35">
      <c r="A725" s="127" t="s">
        <v>6063</v>
      </c>
      <c r="C725" s="127" t="s">
        <v>3263</v>
      </c>
      <c r="D725" s="127" t="s">
        <v>20872</v>
      </c>
      <c r="I725" s="127" t="s">
        <v>12760</v>
      </c>
      <c r="J725" s="127" t="s">
        <v>15155</v>
      </c>
      <c r="K725" s="127" t="s">
        <v>15597</v>
      </c>
      <c r="L725" s="127" t="s">
        <v>16039</v>
      </c>
      <c r="M725" s="127" t="s">
        <v>16481</v>
      </c>
      <c r="N725" s="127" t="s">
        <v>12761</v>
      </c>
    </row>
    <row r="726" spans="1:14" x14ac:dyDescent="0.35">
      <c r="A726" s="127" t="s">
        <v>6063</v>
      </c>
      <c r="C726" s="127" t="s">
        <v>3263</v>
      </c>
      <c r="D726" s="127" t="s">
        <v>20873</v>
      </c>
      <c r="I726" s="127" t="s">
        <v>12763</v>
      </c>
      <c r="J726" s="127" t="s">
        <v>15156</v>
      </c>
      <c r="K726" s="127" t="s">
        <v>15598</v>
      </c>
      <c r="L726" s="127" t="s">
        <v>16040</v>
      </c>
      <c r="M726" s="127" t="s">
        <v>16482</v>
      </c>
      <c r="N726" s="127" t="s">
        <v>12764</v>
      </c>
    </row>
    <row r="727" spans="1:14" x14ac:dyDescent="0.35">
      <c r="A727" s="127" t="s">
        <v>6063</v>
      </c>
      <c r="C727" s="127" t="s">
        <v>3263</v>
      </c>
      <c r="D727" s="127" t="s">
        <v>20874</v>
      </c>
      <c r="I727" s="127" t="s">
        <v>12766</v>
      </c>
      <c r="J727" s="127" t="s">
        <v>15157</v>
      </c>
      <c r="K727" s="127" t="s">
        <v>15599</v>
      </c>
      <c r="L727" s="127" t="s">
        <v>16041</v>
      </c>
      <c r="M727" s="127" t="s">
        <v>16483</v>
      </c>
      <c r="N727" s="127" t="s">
        <v>12767</v>
      </c>
    </row>
    <row r="728" spans="1:14" x14ac:dyDescent="0.35">
      <c r="A728" s="127" t="s">
        <v>6063</v>
      </c>
      <c r="C728" s="127" t="s">
        <v>3263</v>
      </c>
      <c r="D728" s="127" t="s">
        <v>20875</v>
      </c>
      <c r="I728" s="127" t="s">
        <v>12769</v>
      </c>
      <c r="J728" s="127" t="s">
        <v>15158</v>
      </c>
      <c r="K728" s="127" t="s">
        <v>15600</v>
      </c>
      <c r="L728" s="127" t="s">
        <v>16042</v>
      </c>
      <c r="M728" s="127" t="s">
        <v>16484</v>
      </c>
      <c r="N728" s="127" t="s">
        <v>12770</v>
      </c>
    </row>
    <row r="729" spans="1:14" x14ac:dyDescent="0.35">
      <c r="A729" s="127" t="s">
        <v>6063</v>
      </c>
      <c r="C729" s="127" t="s">
        <v>3263</v>
      </c>
      <c r="D729" s="127" t="s">
        <v>20876</v>
      </c>
      <c r="I729" s="127" t="s">
        <v>12772</v>
      </c>
      <c r="J729" s="127" t="s">
        <v>15159</v>
      </c>
      <c r="K729" s="127" t="s">
        <v>15601</v>
      </c>
      <c r="L729" s="127" t="s">
        <v>16043</v>
      </c>
      <c r="M729" s="127" t="s">
        <v>16485</v>
      </c>
      <c r="N729" s="127" t="s">
        <v>12773</v>
      </c>
    </row>
    <row r="730" spans="1:14" x14ac:dyDescent="0.35">
      <c r="A730" s="127" t="s">
        <v>6063</v>
      </c>
      <c r="C730" s="127" t="s">
        <v>3263</v>
      </c>
      <c r="D730" s="127" t="s">
        <v>20877</v>
      </c>
      <c r="I730" s="127" t="s">
        <v>12775</v>
      </c>
      <c r="J730" s="127" t="s">
        <v>15160</v>
      </c>
      <c r="K730" s="127" t="s">
        <v>15602</v>
      </c>
      <c r="L730" s="127" t="s">
        <v>16044</v>
      </c>
      <c r="M730" s="127" t="s">
        <v>16486</v>
      </c>
      <c r="N730" s="127" t="s">
        <v>12776</v>
      </c>
    </row>
    <row r="731" spans="1:14" x14ac:dyDescent="0.35">
      <c r="A731" s="127" t="s">
        <v>6063</v>
      </c>
      <c r="C731" s="127" t="s">
        <v>3263</v>
      </c>
      <c r="D731" s="127" t="s">
        <v>20878</v>
      </c>
      <c r="I731" s="127" t="s">
        <v>12778</v>
      </c>
      <c r="J731" s="127" t="s">
        <v>15161</v>
      </c>
      <c r="K731" s="127" t="s">
        <v>15603</v>
      </c>
      <c r="L731" s="127" t="s">
        <v>16045</v>
      </c>
      <c r="M731" s="127" t="s">
        <v>16487</v>
      </c>
      <c r="N731" s="127" t="s">
        <v>12779</v>
      </c>
    </row>
    <row r="732" spans="1:14" x14ac:dyDescent="0.35">
      <c r="A732" s="127" t="s">
        <v>6063</v>
      </c>
      <c r="C732" s="127" t="s">
        <v>3263</v>
      </c>
      <c r="D732" s="127" t="s">
        <v>20879</v>
      </c>
      <c r="I732" s="127" t="s">
        <v>12781</v>
      </c>
      <c r="J732" s="127" t="s">
        <v>15162</v>
      </c>
      <c r="K732" s="127" t="s">
        <v>15604</v>
      </c>
      <c r="L732" s="127" t="s">
        <v>16046</v>
      </c>
      <c r="M732" s="127" t="s">
        <v>16488</v>
      </c>
      <c r="N732" s="127" t="s">
        <v>12782</v>
      </c>
    </row>
    <row r="733" spans="1:14" x14ac:dyDescent="0.35">
      <c r="A733" s="127" t="s">
        <v>6063</v>
      </c>
      <c r="C733" s="127" t="s">
        <v>3263</v>
      </c>
      <c r="D733" s="127" t="s">
        <v>20880</v>
      </c>
      <c r="I733" s="127" t="s">
        <v>12784</v>
      </c>
      <c r="J733" s="127" t="s">
        <v>15163</v>
      </c>
      <c r="K733" s="127" t="s">
        <v>15605</v>
      </c>
      <c r="L733" s="127" t="s">
        <v>16047</v>
      </c>
      <c r="M733" s="127" t="s">
        <v>16489</v>
      </c>
      <c r="N733" s="127" t="s">
        <v>12785</v>
      </c>
    </row>
    <row r="734" spans="1:14" x14ac:dyDescent="0.35">
      <c r="A734" s="127" t="s">
        <v>6063</v>
      </c>
      <c r="C734" s="127" t="s">
        <v>3263</v>
      </c>
      <c r="D734" s="127" t="s">
        <v>20881</v>
      </c>
      <c r="I734" s="127" t="s">
        <v>12787</v>
      </c>
      <c r="J734" s="127" t="s">
        <v>15164</v>
      </c>
      <c r="K734" s="127" t="s">
        <v>15606</v>
      </c>
      <c r="L734" s="127" t="s">
        <v>16048</v>
      </c>
      <c r="M734" s="127" t="s">
        <v>16490</v>
      </c>
      <c r="N734" s="127" t="s">
        <v>12788</v>
      </c>
    </row>
    <row r="735" spans="1:14" x14ac:dyDescent="0.35">
      <c r="A735" s="127" t="s">
        <v>6063</v>
      </c>
      <c r="C735" s="127" t="s">
        <v>3263</v>
      </c>
      <c r="D735" s="127" t="s">
        <v>20882</v>
      </c>
      <c r="I735" s="127" t="s">
        <v>12790</v>
      </c>
      <c r="J735" s="127" t="s">
        <v>15165</v>
      </c>
      <c r="K735" s="127" t="s">
        <v>15607</v>
      </c>
      <c r="L735" s="127" t="s">
        <v>16049</v>
      </c>
      <c r="M735" s="127" t="s">
        <v>16491</v>
      </c>
      <c r="N735" s="127" t="s">
        <v>12791</v>
      </c>
    </row>
    <row r="736" spans="1:14" x14ac:dyDescent="0.35">
      <c r="A736" s="127" t="s">
        <v>6063</v>
      </c>
      <c r="C736" s="127" t="s">
        <v>3263</v>
      </c>
      <c r="D736" s="127" t="s">
        <v>20883</v>
      </c>
      <c r="I736" s="127" t="s">
        <v>12793</v>
      </c>
      <c r="J736" s="127" t="s">
        <v>15166</v>
      </c>
      <c r="K736" s="127" t="s">
        <v>15608</v>
      </c>
      <c r="L736" s="127" t="s">
        <v>16050</v>
      </c>
      <c r="M736" s="127" t="s">
        <v>16492</v>
      </c>
      <c r="N736" s="127" t="s">
        <v>12794</v>
      </c>
    </row>
    <row r="737" spans="1:14" x14ac:dyDescent="0.35">
      <c r="A737" s="127" t="s">
        <v>6063</v>
      </c>
      <c r="C737" s="127" t="s">
        <v>3263</v>
      </c>
      <c r="D737" s="127" t="s">
        <v>20884</v>
      </c>
      <c r="I737" s="127" t="s">
        <v>12796</v>
      </c>
      <c r="J737" s="127" t="s">
        <v>15167</v>
      </c>
      <c r="K737" s="127" t="s">
        <v>15609</v>
      </c>
      <c r="L737" s="127" t="s">
        <v>16051</v>
      </c>
      <c r="M737" s="127" t="s">
        <v>16493</v>
      </c>
      <c r="N737" s="127" t="s">
        <v>12797</v>
      </c>
    </row>
    <row r="738" spans="1:14" x14ac:dyDescent="0.35">
      <c r="A738" s="127" t="s">
        <v>6063</v>
      </c>
      <c r="C738" s="127" t="s">
        <v>3263</v>
      </c>
      <c r="D738" s="127" t="s">
        <v>20885</v>
      </c>
      <c r="I738" s="127" t="s">
        <v>12799</v>
      </c>
      <c r="J738" s="127" t="s">
        <v>15168</v>
      </c>
      <c r="K738" s="127" t="s">
        <v>15610</v>
      </c>
      <c r="L738" s="127" t="s">
        <v>16052</v>
      </c>
      <c r="M738" s="127" t="s">
        <v>16494</v>
      </c>
      <c r="N738" s="127" t="s">
        <v>12800</v>
      </c>
    </row>
    <row r="739" spans="1:14" x14ac:dyDescent="0.35">
      <c r="A739" s="127" t="s">
        <v>6063</v>
      </c>
      <c r="C739" s="127" t="s">
        <v>3263</v>
      </c>
      <c r="D739" s="127" t="s">
        <v>20886</v>
      </c>
      <c r="I739" s="127" t="s">
        <v>12802</v>
      </c>
      <c r="J739" s="127" t="s">
        <v>15169</v>
      </c>
      <c r="K739" s="127" t="s">
        <v>15611</v>
      </c>
      <c r="L739" s="127" t="s">
        <v>16053</v>
      </c>
      <c r="M739" s="127" t="s">
        <v>16495</v>
      </c>
      <c r="N739" s="127" t="s">
        <v>12803</v>
      </c>
    </row>
    <row r="740" spans="1:14" x14ac:dyDescent="0.35">
      <c r="A740" s="127" t="s">
        <v>6063</v>
      </c>
      <c r="C740" s="127" t="s">
        <v>3263</v>
      </c>
      <c r="D740" s="127" t="s">
        <v>20887</v>
      </c>
      <c r="I740" s="127" t="s">
        <v>12805</v>
      </c>
      <c r="J740" s="127" t="s">
        <v>15170</v>
      </c>
      <c r="K740" s="127" t="s">
        <v>15612</v>
      </c>
      <c r="L740" s="127" t="s">
        <v>16054</v>
      </c>
      <c r="M740" s="127" t="s">
        <v>16496</v>
      </c>
      <c r="N740" s="127" t="s">
        <v>12806</v>
      </c>
    </row>
    <row r="741" spans="1:14" x14ac:dyDescent="0.35">
      <c r="A741" s="127" t="s">
        <v>6063</v>
      </c>
      <c r="C741" s="127" t="s">
        <v>3263</v>
      </c>
      <c r="D741" s="127" t="s">
        <v>20888</v>
      </c>
      <c r="I741" s="127" t="s">
        <v>12808</v>
      </c>
      <c r="J741" s="127" t="s">
        <v>15171</v>
      </c>
      <c r="K741" s="127" t="s">
        <v>15613</v>
      </c>
      <c r="L741" s="127" t="s">
        <v>16055</v>
      </c>
      <c r="M741" s="127" t="s">
        <v>16497</v>
      </c>
      <c r="N741" s="127" t="s">
        <v>12809</v>
      </c>
    </row>
    <row r="742" spans="1:14" x14ac:dyDescent="0.35">
      <c r="A742" s="127" t="s">
        <v>6063</v>
      </c>
      <c r="C742" s="127" t="s">
        <v>3263</v>
      </c>
      <c r="D742" s="127" t="s">
        <v>20889</v>
      </c>
      <c r="I742" s="127" t="s">
        <v>12811</v>
      </c>
      <c r="J742" s="127" t="s">
        <v>15172</v>
      </c>
      <c r="K742" s="127" t="s">
        <v>15614</v>
      </c>
      <c r="L742" s="127" t="s">
        <v>16056</v>
      </c>
      <c r="M742" s="127" t="s">
        <v>16498</v>
      </c>
      <c r="N742" s="127" t="s">
        <v>12812</v>
      </c>
    </row>
    <row r="743" spans="1:14" x14ac:dyDescent="0.35">
      <c r="A743" s="127" t="s">
        <v>6063</v>
      </c>
      <c r="C743" s="127" t="s">
        <v>3263</v>
      </c>
      <c r="D743" s="127" t="s">
        <v>20890</v>
      </c>
      <c r="I743" s="127" t="s">
        <v>12814</v>
      </c>
      <c r="J743" s="127" t="s">
        <v>15173</v>
      </c>
      <c r="K743" s="127" t="s">
        <v>15615</v>
      </c>
      <c r="L743" s="127" t="s">
        <v>16057</v>
      </c>
      <c r="M743" s="127" t="s">
        <v>16499</v>
      </c>
      <c r="N743" s="127" t="s">
        <v>12815</v>
      </c>
    </row>
    <row r="744" spans="1:14" x14ac:dyDescent="0.35">
      <c r="A744" s="127" t="s">
        <v>6063</v>
      </c>
      <c r="C744" s="127" t="s">
        <v>3263</v>
      </c>
      <c r="D744" s="127" t="s">
        <v>20891</v>
      </c>
      <c r="I744" s="127" t="s">
        <v>12817</v>
      </c>
      <c r="J744" s="127" t="s">
        <v>15174</v>
      </c>
      <c r="K744" s="127" t="s">
        <v>15616</v>
      </c>
      <c r="L744" s="127" t="s">
        <v>16058</v>
      </c>
      <c r="M744" s="127" t="s">
        <v>16500</v>
      </c>
      <c r="N744" s="127" t="s">
        <v>12818</v>
      </c>
    </row>
    <row r="745" spans="1:14" x14ac:dyDescent="0.35">
      <c r="A745" s="127" t="s">
        <v>6063</v>
      </c>
      <c r="C745" s="127" t="s">
        <v>3263</v>
      </c>
      <c r="D745" s="127" t="s">
        <v>20892</v>
      </c>
      <c r="I745" s="127" t="s">
        <v>12820</v>
      </c>
      <c r="J745" s="127" t="s">
        <v>15175</v>
      </c>
      <c r="K745" s="127" t="s">
        <v>15617</v>
      </c>
      <c r="L745" s="127" t="s">
        <v>16059</v>
      </c>
      <c r="M745" s="127" t="s">
        <v>16501</v>
      </c>
      <c r="N745" s="127" t="s">
        <v>12821</v>
      </c>
    </row>
    <row r="746" spans="1:14" x14ac:dyDescent="0.35">
      <c r="A746" s="127" t="s">
        <v>6063</v>
      </c>
      <c r="C746" s="127" t="s">
        <v>3263</v>
      </c>
      <c r="D746" s="127" t="s">
        <v>20893</v>
      </c>
      <c r="I746" s="127" t="s">
        <v>12823</v>
      </c>
      <c r="J746" s="127" t="s">
        <v>15176</v>
      </c>
      <c r="K746" s="127" t="s">
        <v>15618</v>
      </c>
      <c r="L746" s="127" t="s">
        <v>16060</v>
      </c>
      <c r="M746" s="127" t="s">
        <v>16502</v>
      </c>
      <c r="N746" s="127" t="s">
        <v>12824</v>
      </c>
    </row>
    <row r="747" spans="1:14" x14ac:dyDescent="0.35">
      <c r="A747" s="127" t="s">
        <v>6063</v>
      </c>
      <c r="C747" s="127" t="s">
        <v>3263</v>
      </c>
      <c r="D747" s="127" t="s">
        <v>20894</v>
      </c>
      <c r="I747" s="127" t="s">
        <v>12826</v>
      </c>
      <c r="J747" s="127" t="s">
        <v>15177</v>
      </c>
      <c r="K747" s="127" t="s">
        <v>15619</v>
      </c>
      <c r="L747" s="127" t="s">
        <v>16061</v>
      </c>
      <c r="M747" s="127" t="s">
        <v>16503</v>
      </c>
      <c r="N747" s="127" t="s">
        <v>12827</v>
      </c>
    </row>
    <row r="748" spans="1:14" x14ac:dyDescent="0.35">
      <c r="A748" s="127" t="s">
        <v>6063</v>
      </c>
      <c r="C748" s="127" t="s">
        <v>3263</v>
      </c>
      <c r="D748" s="127" t="s">
        <v>20895</v>
      </c>
      <c r="I748" s="127" t="s">
        <v>12829</v>
      </c>
      <c r="J748" s="127" t="s">
        <v>15178</v>
      </c>
      <c r="K748" s="127" t="s">
        <v>15620</v>
      </c>
      <c r="L748" s="127" t="s">
        <v>16062</v>
      </c>
      <c r="M748" s="127" t="s">
        <v>16504</v>
      </c>
      <c r="N748" s="127" t="s">
        <v>12830</v>
      </c>
    </row>
    <row r="749" spans="1:14" x14ac:dyDescent="0.35">
      <c r="A749" s="127" t="s">
        <v>6063</v>
      </c>
      <c r="C749" s="127" t="s">
        <v>3263</v>
      </c>
      <c r="D749" s="127" t="s">
        <v>20896</v>
      </c>
      <c r="I749" s="127" t="s">
        <v>12832</v>
      </c>
      <c r="J749" s="127" t="s">
        <v>15179</v>
      </c>
      <c r="K749" s="127" t="s">
        <v>15621</v>
      </c>
      <c r="L749" s="127" t="s">
        <v>16063</v>
      </c>
      <c r="M749" s="127" t="s">
        <v>16505</v>
      </c>
      <c r="N749" s="127" t="s">
        <v>12833</v>
      </c>
    </row>
    <row r="750" spans="1:14" x14ac:dyDescent="0.35">
      <c r="A750" s="127" t="s">
        <v>6063</v>
      </c>
      <c r="C750" s="127" t="s">
        <v>3263</v>
      </c>
      <c r="D750" s="127" t="s">
        <v>20897</v>
      </c>
      <c r="I750" s="127" t="s">
        <v>12835</v>
      </c>
      <c r="J750" s="127" t="s">
        <v>15180</v>
      </c>
      <c r="K750" s="127" t="s">
        <v>15622</v>
      </c>
      <c r="L750" s="127" t="s">
        <v>16064</v>
      </c>
      <c r="M750" s="127" t="s">
        <v>16506</v>
      </c>
      <c r="N750" s="127" t="s">
        <v>12836</v>
      </c>
    </row>
    <row r="751" spans="1:14" x14ac:dyDescent="0.35">
      <c r="A751" s="127" t="s">
        <v>6063</v>
      </c>
      <c r="C751" s="127" t="s">
        <v>3263</v>
      </c>
      <c r="D751" s="127" t="s">
        <v>20898</v>
      </c>
      <c r="I751" s="127" t="s">
        <v>12838</v>
      </c>
      <c r="J751" s="127" t="s">
        <v>15181</v>
      </c>
      <c r="K751" s="127" t="s">
        <v>15623</v>
      </c>
      <c r="L751" s="127" t="s">
        <v>16065</v>
      </c>
      <c r="M751" s="127" t="s">
        <v>16507</v>
      </c>
      <c r="N751" s="127" t="s">
        <v>12839</v>
      </c>
    </row>
    <row r="752" spans="1:14" x14ac:dyDescent="0.35">
      <c r="A752" s="127" t="s">
        <v>6063</v>
      </c>
      <c r="C752" s="127" t="s">
        <v>3263</v>
      </c>
      <c r="D752" s="127" t="s">
        <v>20899</v>
      </c>
      <c r="I752" s="127" t="s">
        <v>12841</v>
      </c>
      <c r="J752" s="127" t="s">
        <v>15182</v>
      </c>
      <c r="K752" s="127" t="s">
        <v>15624</v>
      </c>
      <c r="L752" s="127" t="s">
        <v>16066</v>
      </c>
      <c r="M752" s="127" t="s">
        <v>16508</v>
      </c>
      <c r="N752" s="127" t="s">
        <v>12842</v>
      </c>
    </row>
    <row r="753" spans="1:14" x14ac:dyDescent="0.35">
      <c r="A753" s="127" t="s">
        <v>6063</v>
      </c>
      <c r="C753" s="127" t="s">
        <v>3263</v>
      </c>
      <c r="D753" s="127" t="s">
        <v>20900</v>
      </c>
      <c r="I753" s="127" t="s">
        <v>12844</v>
      </c>
      <c r="J753" s="127" t="s">
        <v>15183</v>
      </c>
      <c r="K753" s="127" t="s">
        <v>15625</v>
      </c>
      <c r="L753" s="127" t="s">
        <v>16067</v>
      </c>
      <c r="M753" s="127" t="s">
        <v>16509</v>
      </c>
      <c r="N753" s="127" t="s">
        <v>12845</v>
      </c>
    </row>
    <row r="754" spans="1:14" x14ac:dyDescent="0.35">
      <c r="A754" s="127" t="s">
        <v>6063</v>
      </c>
      <c r="C754" s="127" t="s">
        <v>3263</v>
      </c>
      <c r="D754" s="127" t="s">
        <v>20901</v>
      </c>
      <c r="I754" s="127" t="s">
        <v>12847</v>
      </c>
      <c r="J754" s="127" t="s">
        <v>15184</v>
      </c>
      <c r="K754" s="127" t="s">
        <v>15626</v>
      </c>
      <c r="L754" s="127" t="s">
        <v>16068</v>
      </c>
      <c r="M754" s="127" t="s">
        <v>16510</v>
      </c>
      <c r="N754" s="127" t="s">
        <v>12848</v>
      </c>
    </row>
    <row r="755" spans="1:14" x14ac:dyDescent="0.35">
      <c r="A755" s="127" t="s">
        <v>6063</v>
      </c>
      <c r="C755" s="127" t="s">
        <v>3263</v>
      </c>
      <c r="D755" s="127" t="s">
        <v>20902</v>
      </c>
      <c r="I755" s="127" t="s">
        <v>12850</v>
      </c>
      <c r="J755" s="127" t="s">
        <v>15185</v>
      </c>
      <c r="K755" s="127" t="s">
        <v>15627</v>
      </c>
      <c r="L755" s="127" t="s">
        <v>16069</v>
      </c>
      <c r="M755" s="127" t="s">
        <v>16511</v>
      </c>
      <c r="N755" s="127" t="s">
        <v>12851</v>
      </c>
    </row>
    <row r="756" spans="1:14" x14ac:dyDescent="0.35">
      <c r="A756" s="127" t="s">
        <v>6063</v>
      </c>
      <c r="C756" s="127" t="s">
        <v>3263</v>
      </c>
      <c r="D756" s="127" t="s">
        <v>20903</v>
      </c>
      <c r="I756" s="127" t="s">
        <v>12853</v>
      </c>
      <c r="J756" s="127" t="s">
        <v>15186</v>
      </c>
      <c r="K756" s="127" t="s">
        <v>15628</v>
      </c>
      <c r="L756" s="127" t="s">
        <v>16070</v>
      </c>
      <c r="M756" s="127" t="s">
        <v>16512</v>
      </c>
      <c r="N756" s="127" t="s">
        <v>12854</v>
      </c>
    </row>
    <row r="757" spans="1:14" x14ac:dyDescent="0.35">
      <c r="A757" s="127" t="s">
        <v>6063</v>
      </c>
      <c r="C757" s="127" t="s">
        <v>3263</v>
      </c>
      <c r="D757" s="127" t="s">
        <v>20904</v>
      </c>
      <c r="I757" s="127" t="s">
        <v>12856</v>
      </c>
      <c r="J757" s="127" t="s">
        <v>15187</v>
      </c>
      <c r="K757" s="127" t="s">
        <v>15629</v>
      </c>
      <c r="L757" s="127" t="s">
        <v>16071</v>
      </c>
      <c r="M757" s="127" t="s">
        <v>16513</v>
      </c>
      <c r="N757" s="127" t="s">
        <v>12857</v>
      </c>
    </row>
    <row r="758" spans="1:14" x14ac:dyDescent="0.35">
      <c r="A758" s="127" t="s">
        <v>6063</v>
      </c>
      <c r="C758" s="127" t="s">
        <v>3263</v>
      </c>
      <c r="D758" s="127" t="s">
        <v>20905</v>
      </c>
      <c r="I758" s="127" t="s">
        <v>12859</v>
      </c>
      <c r="J758" s="127" t="s">
        <v>15188</v>
      </c>
      <c r="K758" s="127" t="s">
        <v>15630</v>
      </c>
      <c r="L758" s="127" t="s">
        <v>16072</v>
      </c>
      <c r="M758" s="127" t="s">
        <v>16514</v>
      </c>
      <c r="N758" s="127" t="s">
        <v>12860</v>
      </c>
    </row>
    <row r="759" spans="1:14" x14ac:dyDescent="0.35">
      <c r="A759" s="127" t="s">
        <v>6063</v>
      </c>
      <c r="C759" s="127" t="s">
        <v>3263</v>
      </c>
      <c r="D759" s="127" t="s">
        <v>20906</v>
      </c>
      <c r="I759" s="127" t="s">
        <v>12862</v>
      </c>
      <c r="J759" s="127" t="s">
        <v>15189</v>
      </c>
      <c r="K759" s="127" t="s">
        <v>15631</v>
      </c>
      <c r="L759" s="127" t="s">
        <v>16073</v>
      </c>
      <c r="M759" s="127" t="s">
        <v>16515</v>
      </c>
      <c r="N759" s="127" t="s">
        <v>12863</v>
      </c>
    </row>
    <row r="760" spans="1:14" x14ac:dyDescent="0.35">
      <c r="A760" s="127" t="s">
        <v>6063</v>
      </c>
      <c r="C760" s="127" t="s">
        <v>3263</v>
      </c>
      <c r="D760" s="127" t="s">
        <v>20907</v>
      </c>
      <c r="I760" s="127" t="s">
        <v>12865</v>
      </c>
      <c r="J760" s="127" t="s">
        <v>15190</v>
      </c>
      <c r="K760" s="127" t="s">
        <v>15632</v>
      </c>
      <c r="L760" s="127" t="s">
        <v>16074</v>
      </c>
      <c r="M760" s="127" t="s">
        <v>16516</v>
      </c>
      <c r="N760" s="127" t="s">
        <v>12866</v>
      </c>
    </row>
    <row r="761" spans="1:14" x14ac:dyDescent="0.35">
      <c r="A761" s="127" t="s">
        <v>6063</v>
      </c>
      <c r="C761" s="127" t="s">
        <v>3263</v>
      </c>
      <c r="D761" s="127" t="s">
        <v>20908</v>
      </c>
      <c r="I761" s="127" t="s">
        <v>12868</v>
      </c>
      <c r="J761" s="127" t="s">
        <v>15191</v>
      </c>
      <c r="K761" s="127" t="s">
        <v>15633</v>
      </c>
      <c r="L761" s="127" t="s">
        <v>16075</v>
      </c>
      <c r="M761" s="127" t="s">
        <v>16517</v>
      </c>
      <c r="N761" s="127" t="s">
        <v>12869</v>
      </c>
    </row>
    <row r="762" spans="1:14" x14ac:dyDescent="0.35">
      <c r="A762" s="127" t="s">
        <v>6063</v>
      </c>
      <c r="C762" s="127" t="s">
        <v>3263</v>
      </c>
      <c r="D762" s="127" t="s">
        <v>20909</v>
      </c>
      <c r="I762" s="127" t="s">
        <v>12871</v>
      </c>
      <c r="J762" s="127" t="s">
        <v>15192</v>
      </c>
      <c r="K762" s="127" t="s">
        <v>15634</v>
      </c>
      <c r="L762" s="127" t="s">
        <v>16076</v>
      </c>
      <c r="M762" s="127" t="s">
        <v>16518</v>
      </c>
      <c r="N762" s="127" t="s">
        <v>12872</v>
      </c>
    </row>
    <row r="763" spans="1:14" x14ac:dyDescent="0.35">
      <c r="A763" s="127" t="s">
        <v>6063</v>
      </c>
      <c r="C763" s="127" t="s">
        <v>3263</v>
      </c>
      <c r="D763" s="127" t="s">
        <v>20910</v>
      </c>
      <c r="I763" s="127" t="s">
        <v>12874</v>
      </c>
      <c r="J763" s="127" t="s">
        <v>15193</v>
      </c>
      <c r="K763" s="127" t="s">
        <v>15635</v>
      </c>
      <c r="L763" s="127" t="s">
        <v>16077</v>
      </c>
      <c r="M763" s="127" t="s">
        <v>16519</v>
      </c>
      <c r="N763" s="127" t="s">
        <v>12875</v>
      </c>
    </row>
    <row r="764" spans="1:14" x14ac:dyDescent="0.35">
      <c r="A764" s="127" t="s">
        <v>6063</v>
      </c>
      <c r="C764" s="127" t="s">
        <v>3263</v>
      </c>
      <c r="D764" s="127" t="s">
        <v>20911</v>
      </c>
      <c r="I764" s="127" t="s">
        <v>12877</v>
      </c>
      <c r="J764" s="127" t="s">
        <v>15194</v>
      </c>
      <c r="K764" s="127" t="s">
        <v>15636</v>
      </c>
      <c r="L764" s="127" t="s">
        <v>16078</v>
      </c>
      <c r="M764" s="127" t="s">
        <v>16520</v>
      </c>
      <c r="N764" s="127" t="s">
        <v>12878</v>
      </c>
    </row>
    <row r="765" spans="1:14" x14ac:dyDescent="0.35">
      <c r="A765" s="127" t="s">
        <v>6063</v>
      </c>
      <c r="C765" s="127" t="s">
        <v>3263</v>
      </c>
      <c r="D765" s="127" t="s">
        <v>20912</v>
      </c>
      <c r="I765" s="127" t="s">
        <v>12880</v>
      </c>
      <c r="J765" s="127" t="s">
        <v>15195</v>
      </c>
      <c r="K765" s="127" t="s">
        <v>15637</v>
      </c>
      <c r="L765" s="127" t="s">
        <v>16079</v>
      </c>
      <c r="M765" s="127" t="s">
        <v>16521</v>
      </c>
      <c r="N765" s="127" t="s">
        <v>12881</v>
      </c>
    </row>
    <row r="766" spans="1:14" x14ac:dyDescent="0.35">
      <c r="A766" s="127" t="s">
        <v>6063</v>
      </c>
      <c r="C766" s="127" t="s">
        <v>3263</v>
      </c>
      <c r="D766" s="127" t="s">
        <v>20913</v>
      </c>
      <c r="I766" s="127" t="s">
        <v>12883</v>
      </c>
      <c r="J766" s="127" t="s">
        <v>15196</v>
      </c>
      <c r="K766" s="127" t="s">
        <v>15638</v>
      </c>
      <c r="L766" s="127" t="s">
        <v>16080</v>
      </c>
      <c r="M766" s="127" t="s">
        <v>16522</v>
      </c>
      <c r="N766" s="127" t="s">
        <v>12884</v>
      </c>
    </row>
    <row r="767" spans="1:14" x14ac:dyDescent="0.35">
      <c r="A767" s="127" t="s">
        <v>6063</v>
      </c>
      <c r="C767" s="127" t="s">
        <v>3263</v>
      </c>
      <c r="D767" s="127" t="s">
        <v>20914</v>
      </c>
      <c r="I767" s="127" t="s">
        <v>12886</v>
      </c>
      <c r="J767" s="127" t="s">
        <v>15197</v>
      </c>
      <c r="K767" s="127" t="s">
        <v>15639</v>
      </c>
      <c r="L767" s="127" t="s">
        <v>16081</v>
      </c>
      <c r="M767" s="127" t="s">
        <v>16523</v>
      </c>
      <c r="N767" s="127" t="s">
        <v>12887</v>
      </c>
    </row>
    <row r="768" spans="1:14" x14ac:dyDescent="0.35">
      <c r="A768" s="127" t="s">
        <v>6063</v>
      </c>
      <c r="C768" s="127" t="s">
        <v>3263</v>
      </c>
      <c r="D768" s="127" t="s">
        <v>20915</v>
      </c>
      <c r="I768" s="127" t="s">
        <v>12889</v>
      </c>
      <c r="J768" s="127" t="s">
        <v>15198</v>
      </c>
      <c r="K768" s="127" t="s">
        <v>15640</v>
      </c>
      <c r="L768" s="127" t="s">
        <v>16082</v>
      </c>
      <c r="M768" s="127" t="s">
        <v>16524</v>
      </c>
      <c r="N768" s="127" t="s">
        <v>12890</v>
      </c>
    </row>
    <row r="769" spans="1:14" x14ac:dyDescent="0.35">
      <c r="A769" s="127" t="s">
        <v>6063</v>
      </c>
      <c r="C769" s="127" t="s">
        <v>3263</v>
      </c>
      <c r="D769" s="127" t="s">
        <v>20916</v>
      </c>
      <c r="I769" s="127" t="s">
        <v>12892</v>
      </c>
      <c r="J769" s="127" t="s">
        <v>15199</v>
      </c>
      <c r="K769" s="127" t="s">
        <v>15641</v>
      </c>
      <c r="L769" s="127" t="s">
        <v>16083</v>
      </c>
      <c r="M769" s="127" t="s">
        <v>16525</v>
      </c>
      <c r="N769" s="127" t="s">
        <v>12893</v>
      </c>
    </row>
    <row r="770" spans="1:14" x14ac:dyDescent="0.35">
      <c r="A770" s="127" t="s">
        <v>6063</v>
      </c>
      <c r="C770" s="127" t="s">
        <v>3263</v>
      </c>
      <c r="D770" s="127" t="s">
        <v>20917</v>
      </c>
      <c r="I770" s="127" t="s">
        <v>12895</v>
      </c>
      <c r="J770" s="127" t="s">
        <v>15200</v>
      </c>
      <c r="K770" s="127" t="s">
        <v>15642</v>
      </c>
      <c r="L770" s="127" t="s">
        <v>16084</v>
      </c>
      <c r="M770" s="127" t="s">
        <v>16526</v>
      </c>
      <c r="N770" s="127" t="s">
        <v>12896</v>
      </c>
    </row>
    <row r="771" spans="1:14" x14ac:dyDescent="0.35">
      <c r="A771" s="127" t="s">
        <v>6063</v>
      </c>
      <c r="C771" s="127" t="s">
        <v>3263</v>
      </c>
      <c r="D771" s="127" t="s">
        <v>20918</v>
      </c>
      <c r="I771" s="127" t="s">
        <v>12898</v>
      </c>
      <c r="J771" s="127" t="s">
        <v>15201</v>
      </c>
      <c r="K771" s="127" t="s">
        <v>15643</v>
      </c>
      <c r="L771" s="127" t="s">
        <v>16085</v>
      </c>
      <c r="M771" s="127" t="s">
        <v>16527</v>
      </c>
      <c r="N771" s="127" t="s">
        <v>12899</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
  <sheetViews>
    <sheetView workbookViewId="0"/>
  </sheetViews>
  <sheetFormatPr defaultRowHeight="14.5" x14ac:dyDescent="0.35"/>
  <sheetData>
    <row r="1" spans="1:6" x14ac:dyDescent="0.35">
      <c r="A1" s="127" t="s">
        <v>20921</v>
      </c>
    </row>
    <row r="2" spans="1:6" x14ac:dyDescent="0.35">
      <c r="B2" s="127" t="s">
        <v>121</v>
      </c>
      <c r="C2" s="127" t="s">
        <v>3272</v>
      </c>
    </row>
    <row r="3" spans="1:6" x14ac:dyDescent="0.35">
      <c r="C3" s="127" t="s">
        <v>69</v>
      </c>
    </row>
    <row r="5" spans="1:6" x14ac:dyDescent="0.35">
      <c r="C5" s="127" t="s">
        <v>1</v>
      </c>
      <c r="D5" s="127" t="s">
        <v>3273</v>
      </c>
      <c r="E5" s="127" t="s">
        <v>123</v>
      </c>
    </row>
    <row r="6" spans="1:6" x14ac:dyDescent="0.35">
      <c r="C6" s="127" t="s">
        <v>6</v>
      </c>
      <c r="D6" s="127" t="s">
        <v>59</v>
      </c>
    </row>
    <row r="8" spans="1:6" x14ac:dyDescent="0.35">
      <c r="C8" s="127" t="s">
        <v>64</v>
      </c>
      <c r="D8" s="127" t="s">
        <v>63</v>
      </c>
    </row>
    <row r="9" spans="1:6" x14ac:dyDescent="0.35">
      <c r="C9" s="127" t="s">
        <v>60</v>
      </c>
      <c r="D9" s="127" t="s">
        <v>3275</v>
      </c>
      <c r="E9" s="127" t="s">
        <v>61</v>
      </c>
      <c r="F9" s="127" t="s">
        <v>62</v>
      </c>
    </row>
    <row r="10" spans="1:6" x14ac:dyDescent="0.35">
      <c r="C10" s="127" t="s">
        <v>8</v>
      </c>
      <c r="D10" s="127" t="s">
        <v>5935</v>
      </c>
      <c r="F10" s="127" t="s">
        <v>5935</v>
      </c>
    </row>
    <row r="11" spans="1:6" x14ac:dyDescent="0.35">
      <c r="C11" s="127" t="s">
        <v>83</v>
      </c>
      <c r="D11" s="127" t="s">
        <v>5935</v>
      </c>
      <c r="F11" s="127" t="s">
        <v>5935</v>
      </c>
    </row>
    <row r="12" spans="1:6" x14ac:dyDescent="0.35">
      <c r="C12" s="127" t="s">
        <v>61</v>
      </c>
    </row>
    <row r="13" spans="1:6" x14ac:dyDescent="0.35">
      <c r="C13" s="127" t="s">
        <v>61</v>
      </c>
    </row>
    <row r="14" spans="1:6" x14ac:dyDescent="0.35">
      <c r="C14" s="127" t="s">
        <v>62</v>
      </c>
      <c r="D14" s="127" t="s">
        <v>5935</v>
      </c>
      <c r="F14" s="127" t="s">
        <v>5935</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2"/>
  <sheetViews>
    <sheetView workbookViewId="0"/>
  </sheetViews>
  <sheetFormatPr defaultRowHeight="14.5" x14ac:dyDescent="0.35"/>
  <sheetData>
    <row r="1" spans="1:5" x14ac:dyDescent="0.35">
      <c r="A1" s="127" t="s">
        <v>20972</v>
      </c>
      <c r="B1" s="127" t="s">
        <v>22</v>
      </c>
    </row>
    <row r="2" spans="1:5" x14ac:dyDescent="0.35">
      <c r="A2" s="127" t="s">
        <v>22</v>
      </c>
    </row>
    <row r="3" spans="1:5" x14ac:dyDescent="0.35">
      <c r="C3" s="127" t="s">
        <v>86</v>
      </c>
    </row>
    <row r="5" spans="1:5" x14ac:dyDescent="0.35">
      <c r="D5" s="127" t="s">
        <v>88</v>
      </c>
      <c r="E5" s="127" t="s">
        <v>5937</v>
      </c>
    </row>
    <row r="6" spans="1:5" x14ac:dyDescent="0.35">
      <c r="E6" s="127" t="s">
        <v>20923</v>
      </c>
    </row>
    <row r="8" spans="1:5" x14ac:dyDescent="0.35">
      <c r="C8" s="127" t="s">
        <v>87</v>
      </c>
      <c r="D8" s="127" t="s">
        <v>78</v>
      </c>
      <c r="E8" s="127" t="s">
        <v>80</v>
      </c>
    </row>
    <row r="9" spans="1:5" x14ac:dyDescent="0.35">
      <c r="C9" s="127" t="s">
        <v>5939</v>
      </c>
      <c r="D9" s="127" t="s">
        <v>20924</v>
      </c>
      <c r="E9" s="127" t="s">
        <v>20925</v>
      </c>
    </row>
    <row r="10" spans="1:5" x14ac:dyDescent="0.35">
      <c r="C10" s="127" t="s">
        <v>5942</v>
      </c>
      <c r="D10" s="127" t="s">
        <v>20926</v>
      </c>
      <c r="E10" s="127" t="s">
        <v>20927</v>
      </c>
    </row>
    <row r="11" spans="1:5" x14ac:dyDescent="0.35">
      <c r="C11" s="127" t="s">
        <v>5945</v>
      </c>
      <c r="D11" s="127" t="s">
        <v>20928</v>
      </c>
      <c r="E11" s="127" t="s">
        <v>20929</v>
      </c>
    </row>
    <row r="12" spans="1:5" x14ac:dyDescent="0.35">
      <c r="C12" s="127" t="s">
        <v>5948</v>
      </c>
      <c r="D12" s="127" t="s">
        <v>20930</v>
      </c>
      <c r="E12" s="127" t="s">
        <v>20931</v>
      </c>
    </row>
    <row r="13" spans="1:5" x14ac:dyDescent="0.35">
      <c r="C13" s="127" t="s">
        <v>5951</v>
      </c>
      <c r="D13" s="127" t="s">
        <v>20932</v>
      </c>
      <c r="E13" s="127" t="s">
        <v>20933</v>
      </c>
    </row>
    <row r="14" spans="1:5" x14ac:dyDescent="0.35">
      <c r="C14" s="127" t="s">
        <v>5954</v>
      </c>
      <c r="D14" s="127" t="s">
        <v>20934</v>
      </c>
      <c r="E14" s="127" t="s">
        <v>20935</v>
      </c>
    </row>
    <row r="15" spans="1:5" x14ac:dyDescent="0.35">
      <c r="C15" s="127" t="s">
        <v>5957</v>
      </c>
      <c r="D15" s="127" t="s">
        <v>20936</v>
      </c>
      <c r="E15" s="127" t="s">
        <v>20937</v>
      </c>
    </row>
    <row r="16" spans="1:5" x14ac:dyDescent="0.35">
      <c r="C16" s="127" t="s">
        <v>5960</v>
      </c>
      <c r="D16" s="127" t="s">
        <v>20938</v>
      </c>
      <c r="E16" s="127" t="s">
        <v>20939</v>
      </c>
    </row>
    <row r="17" spans="3:5" x14ac:dyDescent="0.35">
      <c r="C17" s="127" t="s">
        <v>5963</v>
      </c>
      <c r="D17" s="127" t="s">
        <v>20940</v>
      </c>
      <c r="E17" s="127" t="s">
        <v>20941</v>
      </c>
    </row>
    <row r="18" spans="3:5" x14ac:dyDescent="0.35">
      <c r="C18" s="127" t="s">
        <v>5966</v>
      </c>
      <c r="D18" s="127" t="s">
        <v>20942</v>
      </c>
      <c r="E18" s="127" t="s">
        <v>20943</v>
      </c>
    </row>
    <row r="19" spans="3:5" x14ac:dyDescent="0.35">
      <c r="C19" s="127" t="s">
        <v>5969</v>
      </c>
      <c r="D19" s="127" t="s">
        <v>20944</v>
      </c>
      <c r="E19" s="127" t="s">
        <v>20945</v>
      </c>
    </row>
    <row r="20" spans="3:5" x14ac:dyDescent="0.35">
      <c r="C20" s="127" t="s">
        <v>5972</v>
      </c>
      <c r="D20" s="127" t="s">
        <v>20946</v>
      </c>
      <c r="E20" s="127" t="s">
        <v>20947</v>
      </c>
    </row>
    <row r="21" spans="3:5" x14ac:dyDescent="0.35">
      <c r="C21" s="127" t="s">
        <v>5975</v>
      </c>
      <c r="D21" s="127" t="s">
        <v>20948</v>
      </c>
      <c r="E21" s="127" t="s">
        <v>20949</v>
      </c>
    </row>
    <row r="22" spans="3:5" x14ac:dyDescent="0.35">
      <c r="C22" s="127" t="s">
        <v>5978</v>
      </c>
      <c r="D22" s="127" t="s">
        <v>20950</v>
      </c>
      <c r="E22" s="127" t="s">
        <v>20951</v>
      </c>
    </row>
    <row r="23" spans="3:5" x14ac:dyDescent="0.35">
      <c r="C23" s="127" t="s">
        <v>5981</v>
      </c>
      <c r="D23" s="127" t="s">
        <v>20952</v>
      </c>
      <c r="E23" s="127" t="s">
        <v>20953</v>
      </c>
    </row>
    <row r="24" spans="3:5" x14ac:dyDescent="0.35">
      <c r="C24" s="127" t="s">
        <v>5984</v>
      </c>
      <c r="D24" s="127" t="s">
        <v>20954</v>
      </c>
      <c r="E24" s="127" t="s">
        <v>20955</v>
      </c>
    </row>
    <row r="25" spans="3:5" x14ac:dyDescent="0.35">
      <c r="C25" s="127" t="s">
        <v>5987</v>
      </c>
      <c r="D25" s="127" t="s">
        <v>20956</v>
      </c>
      <c r="E25" s="127" t="s">
        <v>20957</v>
      </c>
    </row>
    <row r="26" spans="3:5" x14ac:dyDescent="0.35">
      <c r="C26" s="127" t="s">
        <v>5990</v>
      </c>
      <c r="D26" s="127" t="s">
        <v>20958</v>
      </c>
      <c r="E26" s="127" t="s">
        <v>20959</v>
      </c>
    </row>
    <row r="27" spans="3:5" x14ac:dyDescent="0.35">
      <c r="C27" s="127" t="s">
        <v>5993</v>
      </c>
      <c r="D27" s="127" t="s">
        <v>20960</v>
      </c>
      <c r="E27" s="127" t="s">
        <v>20961</v>
      </c>
    </row>
    <row r="28" spans="3:5" x14ac:dyDescent="0.35">
      <c r="C28" s="127" t="s">
        <v>5996</v>
      </c>
      <c r="D28" s="127" t="s">
        <v>20962</v>
      </c>
      <c r="E28" s="127" t="s">
        <v>20963</v>
      </c>
    </row>
    <row r="29" spans="3:5" x14ac:dyDescent="0.35">
      <c r="C29" s="127" t="s">
        <v>5999</v>
      </c>
      <c r="D29" s="127" t="s">
        <v>20964</v>
      </c>
      <c r="E29" s="127" t="s">
        <v>20965</v>
      </c>
    </row>
    <row r="30" spans="3:5" x14ac:dyDescent="0.35">
      <c r="C30" s="127" t="s">
        <v>6002</v>
      </c>
      <c r="D30" s="127" t="s">
        <v>20966</v>
      </c>
      <c r="E30" s="127" t="s">
        <v>20967</v>
      </c>
    </row>
    <row r="31" spans="3:5" x14ac:dyDescent="0.35">
      <c r="C31" s="127" t="s">
        <v>6005</v>
      </c>
      <c r="D31" s="127" t="s">
        <v>20968</v>
      </c>
      <c r="E31" s="127" t="s">
        <v>20969</v>
      </c>
    </row>
    <row r="32" spans="3:5" x14ac:dyDescent="0.35">
      <c r="C32" s="127" t="s">
        <v>6008</v>
      </c>
      <c r="D32" s="127" t="s">
        <v>20970</v>
      </c>
      <c r="E32" s="127" t="s">
        <v>20971</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9"/>
  <sheetViews>
    <sheetView workbookViewId="0"/>
  </sheetViews>
  <sheetFormatPr defaultRowHeight="14.5" x14ac:dyDescent="0.35"/>
  <sheetData>
    <row r="1" spans="1:15" x14ac:dyDescent="0.35">
      <c r="A1" s="127" t="s">
        <v>20974</v>
      </c>
      <c r="B1" s="127" t="s">
        <v>22</v>
      </c>
      <c r="C1" s="127" t="s">
        <v>22</v>
      </c>
      <c r="D1" s="127" t="s">
        <v>22</v>
      </c>
      <c r="E1" s="127" t="s">
        <v>22</v>
      </c>
      <c r="F1" s="127" t="s">
        <v>22</v>
      </c>
      <c r="G1" s="127" t="s">
        <v>22</v>
      </c>
      <c r="H1" s="127" t="s">
        <v>22</v>
      </c>
      <c r="I1" s="127" t="s">
        <v>22</v>
      </c>
      <c r="J1" s="127" t="s">
        <v>22</v>
      </c>
    </row>
    <row r="2" spans="1:15" x14ac:dyDescent="0.35">
      <c r="K2" s="127" t="s">
        <v>91</v>
      </c>
    </row>
    <row r="3" spans="1:15" x14ac:dyDescent="0.35">
      <c r="M3" s="127" t="s">
        <v>88</v>
      </c>
      <c r="N3" s="127" t="s">
        <v>318</v>
      </c>
    </row>
    <row r="4" spans="1:15" x14ac:dyDescent="0.35">
      <c r="F4" s="127" t="s">
        <v>103</v>
      </c>
      <c r="K4" s="127" t="s">
        <v>92</v>
      </c>
    </row>
    <row r="5" spans="1:15" x14ac:dyDescent="0.35">
      <c r="C5" s="127" t="s">
        <v>95</v>
      </c>
      <c r="D5" s="127" t="s">
        <v>104</v>
      </c>
      <c r="F5" s="127" t="s">
        <v>93</v>
      </c>
      <c r="G5" s="127" t="s">
        <v>94</v>
      </c>
      <c r="H5" s="127" t="s">
        <v>95</v>
      </c>
      <c r="I5" s="127" t="s">
        <v>96</v>
      </c>
      <c r="K5" s="127" t="s">
        <v>93</v>
      </c>
      <c r="L5" s="127" t="s">
        <v>94</v>
      </c>
      <c r="M5" s="127" t="s">
        <v>95</v>
      </c>
      <c r="N5" s="127" t="s">
        <v>96</v>
      </c>
      <c r="O5" s="127" t="s">
        <v>38</v>
      </c>
    </row>
    <row r="6" spans="1:15" ht="217.5" x14ac:dyDescent="0.35">
      <c r="C6" s="127" t="s">
        <v>97</v>
      </c>
      <c r="D6" s="127" t="s">
        <v>105</v>
      </c>
      <c r="F6" s="127" t="s">
        <v>6012</v>
      </c>
      <c r="G6" s="127" t="s">
        <v>6013</v>
      </c>
      <c r="H6" s="127" t="s">
        <v>6014</v>
      </c>
      <c r="I6" s="127" t="s">
        <v>6015</v>
      </c>
      <c r="O6" s="128" t="s">
        <v>6016</v>
      </c>
    </row>
    <row r="7" spans="1:15" ht="217.5" x14ac:dyDescent="0.35">
      <c r="C7" s="127" t="s">
        <v>98</v>
      </c>
      <c r="D7" s="127" t="s">
        <v>105</v>
      </c>
      <c r="F7" s="127" t="s">
        <v>6017</v>
      </c>
      <c r="G7" s="127" t="s">
        <v>6018</v>
      </c>
      <c r="H7" s="127" t="s">
        <v>6019</v>
      </c>
      <c r="I7" s="127" t="s">
        <v>6020</v>
      </c>
      <c r="O7" s="128" t="s">
        <v>6021</v>
      </c>
    </row>
    <row r="8" spans="1:15" ht="217.5" x14ac:dyDescent="0.35">
      <c r="C8" s="127" t="s">
        <v>99</v>
      </c>
      <c r="D8" s="127" t="s">
        <v>106</v>
      </c>
      <c r="F8" s="127" t="s">
        <v>6022</v>
      </c>
      <c r="G8" s="127" t="s">
        <v>6023</v>
      </c>
      <c r="H8" s="127" t="s">
        <v>6024</v>
      </c>
      <c r="I8" s="127" t="s">
        <v>6025</v>
      </c>
      <c r="O8" s="128" t="s">
        <v>6026</v>
      </c>
    </row>
    <row r="9" spans="1:15" ht="217.5" x14ac:dyDescent="0.35">
      <c r="C9" s="127" t="s">
        <v>100</v>
      </c>
      <c r="D9" s="127" t="s">
        <v>106</v>
      </c>
      <c r="F9" s="127" t="s">
        <v>6027</v>
      </c>
      <c r="G9" s="127" t="s">
        <v>6028</v>
      </c>
      <c r="H9" s="127" t="s">
        <v>6029</v>
      </c>
      <c r="I9" s="127" t="s">
        <v>6030</v>
      </c>
      <c r="O9" s="128" t="s">
        <v>6031</v>
      </c>
    </row>
    <row r="10" spans="1:15" ht="217.5" x14ac:dyDescent="0.35">
      <c r="C10" s="127" t="s">
        <v>101</v>
      </c>
      <c r="D10" s="127" t="s">
        <v>106</v>
      </c>
      <c r="F10" s="127" t="s">
        <v>6032</v>
      </c>
      <c r="G10" s="127" t="s">
        <v>6033</v>
      </c>
      <c r="H10" s="127" t="s">
        <v>6034</v>
      </c>
      <c r="I10" s="127" t="s">
        <v>6035</v>
      </c>
      <c r="O10" s="128" t="s">
        <v>6036</v>
      </c>
    </row>
    <row r="11" spans="1:15" x14ac:dyDescent="0.35">
      <c r="C11" s="127" t="s">
        <v>102</v>
      </c>
      <c r="D11" s="127" t="s">
        <v>105</v>
      </c>
    </row>
    <row r="13" spans="1:15" x14ac:dyDescent="0.35">
      <c r="F13" s="127" t="s">
        <v>103</v>
      </c>
      <c r="K13" s="127" t="s">
        <v>107</v>
      </c>
    </row>
    <row r="14" spans="1:15" x14ac:dyDescent="0.35">
      <c r="C14" s="127" t="s">
        <v>109</v>
      </c>
      <c r="D14" s="127" t="s">
        <v>104</v>
      </c>
      <c r="F14" s="127" t="s">
        <v>93</v>
      </c>
      <c r="G14" s="127" t="s">
        <v>94</v>
      </c>
      <c r="H14" s="127" t="s">
        <v>95</v>
      </c>
      <c r="I14" s="127" t="s">
        <v>96</v>
      </c>
      <c r="K14" s="127" t="s">
        <v>2</v>
      </c>
      <c r="L14" s="127" t="s">
        <v>108</v>
      </c>
      <c r="M14" s="127" t="s">
        <v>109</v>
      </c>
      <c r="N14" s="127" t="s">
        <v>96</v>
      </c>
      <c r="O14" s="127" t="s">
        <v>38</v>
      </c>
    </row>
    <row r="15" spans="1:15" ht="217.5" x14ac:dyDescent="0.35">
      <c r="C15" s="127" t="s">
        <v>110</v>
      </c>
      <c r="D15" s="127" t="s">
        <v>106</v>
      </c>
      <c r="F15" s="127" t="s">
        <v>6037</v>
      </c>
      <c r="G15" s="127" t="s">
        <v>6038</v>
      </c>
      <c r="H15" s="127" t="s">
        <v>6039</v>
      </c>
      <c r="I15" s="127" t="s">
        <v>6040</v>
      </c>
      <c r="O15" s="128" t="s">
        <v>6041</v>
      </c>
    </row>
    <row r="16" spans="1:15" ht="217.5" x14ac:dyDescent="0.35">
      <c r="C16" s="127" t="s">
        <v>111</v>
      </c>
      <c r="D16" s="127" t="s">
        <v>106</v>
      </c>
      <c r="F16" s="127" t="s">
        <v>6042</v>
      </c>
      <c r="G16" s="127" t="s">
        <v>6043</v>
      </c>
      <c r="H16" s="127" t="s">
        <v>6044</v>
      </c>
      <c r="I16" s="127" t="s">
        <v>6045</v>
      </c>
      <c r="O16" s="128" t="s">
        <v>6046</v>
      </c>
    </row>
    <row r="17" spans="3:15" ht="217.5" x14ac:dyDescent="0.35">
      <c r="C17" s="127" t="s">
        <v>112</v>
      </c>
      <c r="D17" s="127" t="s">
        <v>106</v>
      </c>
      <c r="F17" s="127" t="s">
        <v>6047</v>
      </c>
      <c r="G17" s="127" t="s">
        <v>6048</v>
      </c>
      <c r="H17" s="127" t="s">
        <v>6049</v>
      </c>
      <c r="I17" s="127" t="s">
        <v>6050</v>
      </c>
      <c r="O17" s="128" t="s">
        <v>6051</v>
      </c>
    </row>
    <row r="18" spans="3:15" ht="217.5" x14ac:dyDescent="0.35">
      <c r="C18" s="127" t="s">
        <v>102</v>
      </c>
      <c r="D18" s="127" t="s">
        <v>105</v>
      </c>
      <c r="F18" s="127" t="s">
        <v>6052</v>
      </c>
      <c r="G18" s="127" t="s">
        <v>6053</v>
      </c>
      <c r="H18" s="127" t="s">
        <v>6054</v>
      </c>
      <c r="I18" s="127" t="s">
        <v>6055</v>
      </c>
      <c r="O18" s="128" t="s">
        <v>6056</v>
      </c>
    </row>
    <row r="19" spans="3:15" ht="217.5" x14ac:dyDescent="0.35">
      <c r="F19" s="127" t="s">
        <v>6057</v>
      </c>
      <c r="G19" s="127" t="s">
        <v>6058</v>
      </c>
      <c r="H19" s="127" t="s">
        <v>6059</v>
      </c>
      <c r="I19" s="127" t="s">
        <v>6060</v>
      </c>
      <c r="O19" s="128" t="s">
        <v>6061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17</vt:i4>
      </vt:variant>
    </vt:vector>
  </HeadingPairs>
  <TitlesOfParts>
    <vt:vector size="29" baseType="lpstr">
      <vt:lpstr>Options</vt:lpstr>
      <vt:lpstr>DanaSehat</vt:lpstr>
      <vt:lpstr>PrintDS</vt:lpstr>
      <vt:lpstr>IuranDSSebelumnya</vt:lpstr>
      <vt:lpstr>LaporanDS</vt:lpstr>
      <vt:lpstr>SantoYusuf</vt:lpstr>
      <vt:lpstr>PrintSY</vt:lpstr>
      <vt:lpstr>IuranSYSebelumnya</vt:lpstr>
      <vt:lpstr>LaporanSY</vt:lpstr>
      <vt:lpstr>KartuKuning</vt:lpstr>
      <vt:lpstr>Aktivitas Lingkungan</vt:lpstr>
      <vt:lpstr>RubahDataKK</vt:lpstr>
      <vt:lpstr>DanaSehat!BarisAwalIuran</vt:lpstr>
      <vt:lpstr>SantoYusuf!BarisAwalIuran</vt:lpstr>
      <vt:lpstr>DanaSehat!JumlahBarisIuran</vt:lpstr>
      <vt:lpstr>SantoYusuf!JumlahBarisIuran</vt:lpstr>
      <vt:lpstr>DanaSehat!JumlahKolomIuran</vt:lpstr>
      <vt:lpstr>SantoYusuf!JumlahKolomIuran</vt:lpstr>
      <vt:lpstr>DanaSehat!KolomAwalIuran</vt:lpstr>
      <vt:lpstr>SantoYusuf!KolomAwalIuran</vt:lpstr>
      <vt:lpstr>DanaSehat!NamaLingkungan</vt:lpstr>
      <vt:lpstr>SantoYusuf!NamaLingkungan</vt:lpstr>
      <vt:lpstr>NamaLingkungan</vt:lpstr>
      <vt:lpstr>'Aktivitas Lingkungan'!Print_Area</vt:lpstr>
      <vt:lpstr>RubahDataKK!Print_Area</vt:lpstr>
      <vt:lpstr>PrintDS!Print_Titles</vt:lpstr>
      <vt:lpstr>PrintSY!Print_Titles</vt:lpstr>
      <vt:lpstr>TotalDS</vt:lpstr>
      <vt:lpstr>TotalSY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Setiono Hartono</dc:creator>
  <cp:lastModifiedBy>Adrian Imanuel</cp:lastModifiedBy>
  <cp:lastPrinted>2016-09-22T05:03:18Z</cp:lastPrinted>
  <dcterms:created xsi:type="dcterms:W3CDTF">2015-01-15T05:02:16Z</dcterms:created>
  <dcterms:modified xsi:type="dcterms:W3CDTF">2016-10-21T09:40:35Z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Jet Reports Design Mode Active">
    <vt:bool>false</vt:bool>
  </property>
</Properties>
</file>